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cha" sheetId="1" state="visible" r:id="rId3"/>
    <sheet name="Partidas" sheetId="2" state="visible" r:id="rId4"/>
    <sheet name="Reprogramaciones" sheetId="3" state="visible" r:id="rId5"/>
    <sheet name="Curva S" sheetId="4" state="visible" r:id="rId6"/>
    <sheet name="Instrucciones" sheetId="5" state="visible" r:id="rId7"/>
    <sheet name="Lista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<sst xmlns="http://schemas.openxmlformats.org/spreadsheetml/2006/main" count="388" uniqueCount="354">
  <si>
    <t xml:space="preserve">FICHA DEL PROYECTO</t>
  </si>
  <si>
    <t xml:space="preserve">Llena solo las celdas verdes. * = obligatorio. Un archivo por proyecto.</t>
  </si>
  <si>
    <t xml:space="preserve">Dato</t>
  </si>
  <si>
    <t xml:space="preserve">Valor</t>
  </si>
  <si>
    <t xml:space="preserve">Indicación</t>
  </si>
  <si>
    <t xml:space="preserve">Código de obra *</t>
  </si>
  <si>
    <t xml:space="preserve">OP-26-020</t>
  </si>
  <si>
    <t xml:space="preserve">Obligatorio y único por obra · Ej.: OP-26-014</t>
  </si>
  <si>
    <t xml:space="preserve">Cliente *</t>
  </si>
  <si>
    <t xml:space="preserve">Tambo</t>
  </si>
  <si>
    <t xml:space="preserve">Elige de la lista</t>
  </si>
  <si>
    <t xml:space="preserve">Tienda / sede *</t>
  </si>
  <si>
    <t xml:space="preserve">Samame Surco</t>
  </si>
  <si>
    <t xml:space="preserve">Ej.: Lince</t>
  </si>
  <si>
    <t xml:space="preserve">Departamento *</t>
  </si>
  <si>
    <t xml:space="preserve">Lima</t>
  </si>
  <si>
    <t xml:space="preserve">Jefe de proyecto *</t>
  </si>
  <si>
    <t xml:space="preserve">Carlos G.</t>
  </si>
  <si>
    <t xml:space="preserve">Elige de la lista (o escribe uno nuevo)</t>
  </si>
  <si>
    <t xml:space="preserve">Coordinador *</t>
  </si>
  <si>
    <t xml:space="preserve">Abel Narvaez</t>
  </si>
  <si>
    <t xml:space="preserve">Estado *</t>
  </si>
  <si>
    <t xml:space="preserve">En ejecución</t>
  </si>
  <si>
    <t xml:space="preserve">Próximo proyecto, En ejecución, Post venta, Culminado, Suspendida o Cancelada</t>
  </si>
  <si>
    <t xml:space="preserve">Fecha de inicio *</t>
  </si>
  <si>
    <t xml:space="preserve">dd/mm/aaaa · si la dejas vacía se toma de las partidas</t>
  </si>
  <si>
    <t xml:space="preserve">Fecha de fin *</t>
  </si>
  <si>
    <t xml:space="preserve">dd/mm/aaaa · máximo 10 semanas desde el inicio</t>
  </si>
  <si>
    <t xml:space="preserve">% avance general (0 a 100)</t>
  </si>
  <si>
    <t xml:space="preserve">Solo si NO llenas la hoja Partidas</t>
  </si>
  <si>
    <t xml:space="preserve">Comentario</t>
  </si>
  <si>
    <t xml:space="preserve">Opcional · se ve en la pantalla en vivo</t>
  </si>
  <si>
    <t xml:space="preserve">Encargado de actualizar</t>
  </si>
  <si>
    <t xml:space="preserve">Nombre de quien actualiza este archivo</t>
  </si>
  <si>
    <t xml:space="preserve">Fecha de actualización</t>
  </si>
  <si>
    <t xml:space="preserve">dd/mm/aaaa</t>
  </si>
  <si>
    <t xml:space="preserve">Post venta (llenar al entregar la obra)</t>
  </si>
  <si>
    <t xml:space="preserve">Fecha de entrega real</t>
  </si>
  <si>
    <t xml:space="preserve">dd/mm/aaaa · día en que se entregó la obra (inicia la post venta)</t>
  </si>
  <si>
    <t xml:space="preserve">Fecha de cierre de post venta</t>
  </si>
  <si>
    <t xml:space="preserve">dd/mm/aaaa · vacía mientras siga abierta (la post venta no tiene plazo fijo)</t>
  </si>
  <si>
    <t xml:space="preserve">Observaciones de post venta</t>
  </si>
  <si>
    <t xml:space="preserve">Pendientes o levantamientos</t>
  </si>
  <si>
    <t xml:space="preserve">Resumen (cálculo automático)</t>
  </si>
  <si>
    <t xml:space="preserve">Plazo según partidas</t>
  </si>
  <si>
    <t xml:space="preserve">Avance real calculado (%)</t>
  </si>
  <si>
    <t xml:space="preserve">Programado al cierre de la semana anterior (%)</t>
  </si>
  <si>
    <t xml:space="preserve">Situación de ejecución</t>
  </si>
  <si>
    <t xml:space="preserve">Inicio de post venta</t>
  </si>
  <si>
    <t xml:space="preserve">Situación de post venta</t>
  </si>
  <si>
    <t xml:space="preserve">Revisión de la ficha</t>
  </si>
  <si>
    <t xml:space="preserve">Adicionales</t>
  </si>
  <si>
    <t xml:space="preserve">Reprogramación</t>
  </si>
  <si>
    <t xml:space="preserve">Se registra en la hoja Reprogramaciones</t>
  </si>
  <si>
    <t xml:space="preserve">Equipo del proyecto</t>
  </si>
  <si>
    <t xml:space="preserve">Residente de obra</t>
  </si>
  <si>
    <t xml:space="preserve">Melany Antuanett Huarhua Lagos</t>
  </si>
  <si>
    <t xml:space="preserve">Responsable de presupuesto</t>
  </si>
  <si>
    <t xml:space="preserve">Lucía Ramos</t>
  </si>
  <si>
    <t xml:space="preserve">Responsable de procura</t>
  </si>
  <si>
    <t xml:space="preserve">Rosa Quispe</t>
  </si>
  <si>
    <t xml:space="preserve">PARTIDAS, METAS Y AVANCE SEMANAL</t>
  </si>
  <si>
    <t xml:space="preserve">Azul = programado sin reporte · Verde = al día · Ámbar = semana en curso, aún bajo la meta · Rojo = semana cerrada sin cumplir la meta · «Pend.» = venció sin llegar a 100% · Lila = semana en pausa por reprogramación</t>
  </si>
  <si>
    <t xml:space="preserve">Inicio de la obra:</t>
  </si>
  <si>
    <t xml:space="preserve">Semana en curso:</t>
  </si>
  <si>
    <t xml:space="preserve">Reprogramación:</t>
  </si>
  <si>
    <t xml:space="preserve">Beige = jefe / presupuesto: partidas, fechas y META de cada semana (% de la subpartida que se espera lograr; viene calculada con los días laborables, de lunes a sábado, y se puede reemplazar; debe sumar 100). Tipo: Adicional para trabajos fuera del contrato. Verde = coordinador: lo AVANZADO en cada semana (lunes a domingo; se reporta el sábado). Gris = automático. Las semanas son de lunes a domingo y la Sem 1 es la semana en que empieza la obra. Si la obra se reprograma, NO se cambian estas fechas: se registra en la hoja Reprogramaciones y el plan se corre solo.</t>
  </si>
  <si>
    <t xml:space="preserve">META: % ESPERADO EN LA SEMANA</t>
  </si>
  <si>
    <t xml:space="preserve">AVANCE REAL DE LA SEMANA (%)</t>
  </si>
  <si>
    <t xml:space="preserve">CRONOGRAMA: PACTADO / REAL ACUMULADO</t>
  </si>
  <si>
    <t xml:space="preserve">Ítem</t>
  </si>
  <si>
    <t xml:space="preserve">Partida</t>
  </si>
  <si>
    <t xml:space="preserve">Subpartida</t>
  </si>
  <si>
    <t xml:space="preserve">Tipo</t>
  </si>
  <si>
    <t xml:space="preserve">Inicio prog.</t>
  </si>
  <si>
    <t xml:space="preserve">Fin prog.</t>
  </si>
  <si>
    <t xml:space="preserve">Meta sem 1</t>
  </si>
  <si>
    <t xml:space="preserve">Meta sem 2</t>
  </si>
  <si>
    <t xml:space="preserve">Meta sem 3</t>
  </si>
  <si>
    <t xml:space="preserve">Meta sem 4</t>
  </si>
  <si>
    <t xml:space="preserve">Meta sem 5</t>
  </si>
  <si>
    <t xml:space="preserve">Meta sem 6</t>
  </si>
  <si>
    <t xml:space="preserve">Meta sem 7</t>
  </si>
  <si>
    <t xml:space="preserve">Meta sem 8</t>
  </si>
  <si>
    <t xml:space="preserve">Meta sem 9</t>
  </si>
  <si>
    <t xml:space="preserve">Meta sem 10</t>
  </si>
  <si>
    <t xml:space="preserve">Avance sem 1</t>
  </si>
  <si>
    <t xml:space="preserve">Avance sem 2</t>
  </si>
  <si>
    <t xml:space="preserve">Avance sem 3</t>
  </si>
  <si>
    <t xml:space="preserve">Avance sem 4</t>
  </si>
  <si>
    <t xml:space="preserve">Avance sem 5</t>
  </si>
  <si>
    <t xml:space="preserve">Avance sem 6</t>
  </si>
  <si>
    <t xml:space="preserve">Avance sem 7</t>
  </si>
  <si>
    <t xml:space="preserve">Avance sem 8</t>
  </si>
  <si>
    <t xml:space="preserve">Avance sem 9</t>
  </si>
  <si>
    <t xml:space="preserve">Avance sem 10</t>
  </si>
  <si>
    <t xml:space="preserve">Días lab.</t>
  </si>
  <si>
    <t xml:space="preserve">% programado (cierre de la semana anterior)</t>
  </si>
  <si>
    <t xml:space="preserve">% real acumulado</t>
  </si>
  <si>
    <t xml:space="preserve">Desviación (pp)</t>
  </si>
  <si>
    <t xml:space="preserve">Situación</t>
  </si>
  <si>
    <t xml:space="preserve">Revisión</t>
  </si>
  <si>
    <t xml:space="preserve">Peso</t>
  </si>
  <si>
    <t xml:space="preserve">Pactado original acum. sem 1</t>
  </si>
  <si>
    <t xml:space="preserve">Pactado original acum. sem 2</t>
  </si>
  <si>
    <t xml:space="preserve">Pactado original acum. sem 3</t>
  </si>
  <si>
    <t xml:space="preserve">Pactado original acum. sem 4</t>
  </si>
  <si>
    <t xml:space="preserve">Pactado original acum. sem 5</t>
  </si>
  <si>
    <t xml:space="preserve">Pactado original acum. sem 6</t>
  </si>
  <si>
    <t xml:space="preserve">Pactado original acum. sem 7</t>
  </si>
  <si>
    <t xml:space="preserve">Pactado original acum. sem 8</t>
  </si>
  <si>
    <t xml:space="preserve">Pactado original acum. sem 9</t>
  </si>
  <si>
    <t xml:space="preserve">Pactado original acum. sem 10</t>
  </si>
  <si>
    <t xml:space="preserve">Pactado original acum. sem 11</t>
  </si>
  <si>
    <t xml:space="preserve">Pactado original acum. sem 12</t>
  </si>
  <si>
    <t xml:space="preserve">Pactado original acum. sem 13</t>
  </si>
  <si>
    <t xml:space="preserve">Pactado original acum. sem 14</t>
  </si>
  <si>
    <t xml:space="preserve">Pactado original acum. sem 15</t>
  </si>
  <si>
    <t xml:space="preserve">Pactado original acum. sem 16</t>
  </si>
  <si>
    <t xml:space="preserve">Pactado control acum. sem 1</t>
  </si>
  <si>
    <t xml:space="preserve">Pactado control acum. sem 2</t>
  </si>
  <si>
    <t xml:space="preserve">Pactado control acum. sem 3</t>
  </si>
  <si>
    <t xml:space="preserve">Pactado control acum. sem 4</t>
  </si>
  <si>
    <t xml:space="preserve">Pactado control acum. sem 5</t>
  </si>
  <si>
    <t xml:space="preserve">Pactado control acum. sem 6</t>
  </si>
  <si>
    <t xml:space="preserve">Pactado control acum. sem 7</t>
  </si>
  <si>
    <t xml:space="preserve">Pactado control acum. sem 8</t>
  </si>
  <si>
    <t xml:space="preserve">Pactado control acum. sem 9</t>
  </si>
  <si>
    <t xml:space="preserve">Pactado control acum. sem 10</t>
  </si>
  <si>
    <t xml:space="preserve">Pactado control acum. sem 11</t>
  </si>
  <si>
    <t xml:space="preserve">Pactado control acum. sem 12</t>
  </si>
  <si>
    <t xml:space="preserve">Pactado control acum. sem 13</t>
  </si>
  <si>
    <t xml:space="preserve">Pactado control acum. sem 14</t>
  </si>
  <si>
    <t xml:space="preserve">Pactado control acum. sem 15</t>
  </si>
  <si>
    <t xml:space="preserve">Pactado control acum. sem 16</t>
  </si>
  <si>
    <t xml:space="preserve">Real acum. sem 1</t>
  </si>
  <si>
    <t xml:space="preserve">Real acum. sem 2</t>
  </si>
  <si>
    <t xml:space="preserve">Real acum. sem 3</t>
  </si>
  <si>
    <t xml:space="preserve">Real acum. sem 4</t>
  </si>
  <si>
    <t xml:space="preserve">Real acum. sem 5</t>
  </si>
  <si>
    <t xml:space="preserve">Real acum. sem 6</t>
  </si>
  <si>
    <t xml:space="preserve">Real acum. sem 7</t>
  </si>
  <si>
    <t xml:space="preserve">Real acum. sem 8</t>
  </si>
  <si>
    <t xml:space="preserve">Real acum. sem 9</t>
  </si>
  <si>
    <t xml:space="preserve">Real acum. sem 10</t>
  </si>
  <si>
    <t xml:space="preserve">Real acum. sem 11</t>
  </si>
  <si>
    <t xml:space="preserve">Real acum. sem 12</t>
  </si>
  <si>
    <t xml:space="preserve">Real acum. sem 13</t>
  </si>
  <si>
    <t xml:space="preserve">Real acum. sem 14</t>
  </si>
  <si>
    <t xml:space="preserve">Real acum. sem 15</t>
  </si>
  <si>
    <t xml:space="preserve">Real acum. sem 16</t>
  </si>
  <si>
    <t xml:space="preserve">Tipo efectivo</t>
  </si>
  <si>
    <t xml:space="preserve">Pactado semanas cerradas</t>
  </si>
  <si>
    <t xml:space="preserve">01</t>
  </si>
  <si>
    <t xml:space="preserve">Obras preliminares</t>
  </si>
  <si>
    <t xml:space="preserve">01.01</t>
  </si>
  <si>
    <t xml:space="preserve">Movilización e instalación de obra</t>
  </si>
  <si>
    <t xml:space="preserve">01.02</t>
  </si>
  <si>
    <t xml:space="preserve">Cerco y protección de áreas</t>
  </si>
  <si>
    <t xml:space="preserve">01.03</t>
  </si>
  <si>
    <t xml:space="preserve">Trazo y replanteo</t>
  </si>
  <si>
    <t xml:space="preserve">02</t>
  </si>
  <si>
    <t xml:space="preserve">Desmontajes y demoliciones</t>
  </si>
  <si>
    <t xml:space="preserve">02.01</t>
  </si>
  <si>
    <t xml:space="preserve">Desmontaje de mobiliario y góndolas existentes</t>
  </si>
  <si>
    <t xml:space="preserve">02.02</t>
  </si>
  <si>
    <t xml:space="preserve">Demolición de tabiques y pisos</t>
  </si>
  <si>
    <t xml:space="preserve">02.03</t>
  </si>
  <si>
    <t xml:space="preserve">Eliminación de desmonte</t>
  </si>
  <si>
    <t xml:space="preserve">03</t>
  </si>
  <si>
    <t xml:space="preserve">Obras civiles</t>
  </si>
  <si>
    <t xml:space="preserve">03.01</t>
  </si>
  <si>
    <t xml:space="preserve">Tabiquería de ladrillo</t>
  </si>
  <si>
    <t xml:space="preserve">03.02</t>
  </si>
  <si>
    <t xml:space="preserve">Contrapiso y nivelación</t>
  </si>
  <si>
    <t xml:space="preserve">03.03</t>
  </si>
  <si>
    <t xml:space="preserve">Tarrajeo y resanes</t>
  </si>
  <si>
    <t xml:space="preserve">04</t>
  </si>
  <si>
    <t xml:space="preserve">Drywall y cielo raso</t>
  </si>
  <si>
    <t xml:space="preserve">04.01</t>
  </si>
  <si>
    <t xml:space="preserve">Tabiques de drywall</t>
  </si>
  <si>
    <t xml:space="preserve">04.02</t>
  </si>
  <si>
    <t xml:space="preserve">Cielo raso de baldosas</t>
  </si>
  <si>
    <t xml:space="preserve">04.03</t>
  </si>
  <si>
    <t xml:space="preserve">Cajuelas y bajadas de drywall</t>
  </si>
  <si>
    <t xml:space="preserve">05</t>
  </si>
  <si>
    <t xml:space="preserve">Instalaciones eléctricas</t>
  </si>
  <si>
    <t xml:space="preserve">05.01</t>
  </si>
  <si>
    <t xml:space="preserve">Canalización y cableado</t>
  </si>
  <si>
    <t xml:space="preserve">05.02</t>
  </si>
  <si>
    <t xml:space="preserve">Tableros eléctricos</t>
  </si>
  <si>
    <t xml:space="preserve">05.03</t>
  </si>
  <si>
    <t xml:space="preserve">Luminarias LED</t>
  </si>
  <si>
    <t xml:space="preserve">06</t>
  </si>
  <si>
    <t xml:space="preserve">Instalaciones sanitarias</t>
  </si>
  <si>
    <t xml:space="preserve">06.01</t>
  </si>
  <si>
    <t xml:space="preserve">Red de agua fría</t>
  </si>
  <si>
    <t xml:space="preserve">06.02</t>
  </si>
  <si>
    <t xml:space="preserve">Red de desagüe</t>
  </si>
  <si>
    <t xml:space="preserve">06.03</t>
  </si>
  <si>
    <t xml:space="preserve">Aparatos sanitarios</t>
  </si>
  <si>
    <t xml:space="preserve">07</t>
  </si>
  <si>
    <t xml:space="preserve">Climatización</t>
  </si>
  <si>
    <t xml:space="preserve">07.01</t>
  </si>
  <si>
    <t xml:space="preserve">Ductos y rejillas</t>
  </si>
  <si>
    <t xml:space="preserve">07.02</t>
  </si>
  <si>
    <t xml:space="preserve">Equipos de aire acondicionado</t>
  </si>
  <si>
    <t xml:space="preserve">07.03</t>
  </si>
  <si>
    <t xml:space="preserve">Pruebas y balanceo</t>
  </si>
  <si>
    <t xml:space="preserve">08</t>
  </si>
  <si>
    <t xml:space="preserve">Acabados</t>
  </si>
  <si>
    <t xml:space="preserve">08.01</t>
  </si>
  <si>
    <t xml:space="preserve">Piso porcelanato</t>
  </si>
  <si>
    <t xml:space="preserve">08.02</t>
  </si>
  <si>
    <t xml:space="preserve">Pintura de muros y cielo raso</t>
  </si>
  <si>
    <t xml:space="preserve">08.03</t>
  </si>
  <si>
    <t xml:space="preserve">Carpintería metálica y vidrios</t>
  </si>
  <si>
    <t xml:space="preserve">09</t>
  </si>
  <si>
    <t xml:space="preserve">Refrigeración comercial</t>
  </si>
  <si>
    <t xml:space="preserve">09.01</t>
  </si>
  <si>
    <t xml:space="preserve">Cámara de frío</t>
  </si>
  <si>
    <t xml:space="preserve">09.02</t>
  </si>
  <si>
    <t xml:space="preserve">Exhibidoras refrigeradas</t>
  </si>
  <si>
    <t xml:space="preserve">09.03</t>
  </si>
  <si>
    <t xml:space="preserve">Pruebas de temperatura</t>
  </si>
  <si>
    <t xml:space="preserve">10</t>
  </si>
  <si>
    <t xml:space="preserve">Mobiliario y señalética</t>
  </si>
  <si>
    <t xml:space="preserve">10.01</t>
  </si>
  <si>
    <t xml:space="preserve">Góndolas y mobiliario de tienda</t>
  </si>
  <si>
    <t xml:space="preserve">10.02</t>
  </si>
  <si>
    <t xml:space="preserve">Letrero luminoso de fachada</t>
  </si>
  <si>
    <t xml:space="preserve">10.03</t>
  </si>
  <si>
    <t xml:space="preserve">Señalética de seguridad</t>
  </si>
  <si>
    <t xml:space="preserve">11</t>
  </si>
  <si>
    <t xml:space="preserve">Limpieza y entrega</t>
  </si>
  <si>
    <t xml:space="preserve">11.01</t>
  </si>
  <si>
    <t xml:space="preserve">Limpieza final de obra</t>
  </si>
  <si>
    <t xml:space="preserve">11.02</t>
  </si>
  <si>
    <t xml:space="preserve">Levantamiento de observaciones</t>
  </si>
  <si>
    <t xml:space="preserve">11.03</t>
  </si>
  <si>
    <t xml:space="preserve">Acta de entrega</t>
  </si>
  <si>
    <t xml:space="preserve">REPROGRAMACIONES DE LA OBRA</t>
  </si>
  <si>
    <t xml:space="preserve">Una fila por cada reprogramación aprobada. «Desde» = día en que se detiene o se corre el trabajo; «Días» = días calendario que se amplía. No se cambian las fechas de Partidas: las semanas de trabajo se corren solas. Causa externa (cliente, permisos, proveedor del cliente, fuerza mayor) = no es atraso; Interno = cuenta como atraso.</t>
  </si>
  <si>
    <t xml:space="preserve">N°</t>
  </si>
  <si>
    <t xml:space="preserve">Desde</t>
  </si>
  <si>
    <t xml:space="preserve">Días</t>
  </si>
  <si>
    <t xml:space="preserve">Motivo</t>
  </si>
  <si>
    <t xml:space="preserve">Detalle</t>
  </si>
  <si>
    <t xml:space="preserve">¿Es atraso?</t>
  </si>
  <si>
    <t xml:space="preserve">Auxiliar</t>
  </si>
  <si>
    <t xml:space="preserve">Lunes de la semana</t>
  </si>
  <si>
    <t xml:space="preserve">Domingo de la semana</t>
  </si>
  <si>
    <t xml:space="preserve">Pausa externa al domingo (días)</t>
  </si>
  <si>
    <t xml:space="preserve">Pausa total al domingo (días)</t>
  </si>
  <si>
    <t xml:space="preserve">Días de pausa en la semana</t>
  </si>
  <si>
    <t xml:space="preserve">Fecha de control al domingo</t>
  </si>
  <si>
    <t xml:space="preserve">Semana de esa fecha</t>
  </si>
  <si>
    <t xml:space="preserve">Semana en curso · cierre · control</t>
  </si>
  <si>
    <t xml:space="preserve">Inicio de la obra</t>
  </si>
  <si>
    <t xml:space="preserve">Semanas con avance (para el acumulado)</t>
  </si>
  <si>
    <t xml:space="preserve">Fin original</t>
  </si>
  <si>
    <t xml:space="preserve">Días reprogramados</t>
  </si>
  <si>
    <t xml:space="preserve">Causa externa (no es atraso)</t>
  </si>
  <si>
    <t xml:space="preserve">Causa interna (es atraso)</t>
  </si>
  <si>
    <t xml:space="preserve">Fin vigente</t>
  </si>
  <si>
    <t xml:space="preserve">Resumen</t>
  </si>
  <si>
    <t xml:space="preserve">CURVA S · PACTADO VS REAL POR SEMANA</t>
  </si>
  <si>
    <t xml:space="preserve">Semana</t>
  </si>
  <si>
    <t xml:space="preserve">Del – al</t>
  </si>
  <si>
    <t xml:space="preserve">Pactado semana %</t>
  </si>
  <si>
    <t xml:space="preserve">Real semana %</t>
  </si>
  <si>
    <t xml:space="preserve">Pactado acum. %</t>
  </si>
  <si>
    <t xml:space="preserve">Real acum. %</t>
  </si>
  <si>
    <t xml:space="preserve">Pactado original %</t>
  </si>
  <si>
    <t xml:space="preserve">CÓMO LLENAR ESTE ARCHIVO</t>
  </si>
  <si>
    <t xml:space="preserve">1. Guardar</t>
  </si>
  <si>
    <t xml:space="preserve">Un archivo por proyecto: Código_Cliente_Tienda.xlsx, dentro de la carpeta del jefe de proyecto.</t>
  </si>
  <si>
    <t xml:space="preserve">2. Ficha</t>
  </si>
  <si>
    <t xml:space="preserve">El jefe llena la hoja Ficha (celdas verdes). Una sola vez; se corrige si cambia algo. El Código de obra es obligatorio y no se repite entre obras: dos obras en la misma tienda llevan códigos distintos.</t>
  </si>
  <si>
    <t xml:space="preserve">3. Partidas</t>
  </si>
  <si>
    <t xml:space="preserve">El jefe o presupuesto pega partidas y fechas, y revisa la META de cada semana (% esperado; viene calculada con los días laborables, de lunes a sábado, y se puede ajustar; suma 100). Los trabajos fuera del contrato se marcan con Tipo = Adicional.</t>
  </si>
  <si>
    <t xml:space="preserve">4. Avance</t>
  </si>
  <si>
    <t xml:space="preserve">Las semanas son de lunes a domingo, iguales para todas las obras (la Sem 1 es la semana en que empieza la obra). Cada sábado, el coordinador escribe en «Avance sem N» lo avanzado en esa semana (no el acumulado). Desde el lunes, la obra se mide al cierre de la semana anterior.</t>
  </si>
  <si>
    <t xml:space="preserve">5. Revisión</t>
  </si>
  <si>
    <t xml:space="preserve">La columna «Revisión» debe decir OK o «Título de partida». Las filas con fechas o avances imposibles no se cargan en el dashboard; las demás advertencias se cargan y se marcan en la obra.</t>
  </si>
  <si>
    <t xml:space="preserve">6. Cronograma</t>
  </si>
  <si>
    <t xml:space="preserve">Situación: Retrasada = una semana ya cerrada no alcanzó lo programado · En riesgo = la obra va al día en promedio, pero tiene alguna subpartida retrasada · Al día · Sem N en curso = cumplió todas las semanas cerradas; la semana actual aún no se juzga · A tiempo = ya cumple la meta de esta semana.</t>
  </si>
  <si>
    <t xml:space="preserve">7. Plazo</t>
  </si>
  <si>
    <t xml:space="preserve">Máximo 10 semanas de meta. El avance se registra hasta la semana 16: las semanas 11 a 16 solo se usan si la obra se reprograma. Si la obra se reprograma, no se cambian las fechas: se registra en la hoja Reprogramaciones y el plan se corre solo.</t>
  </si>
  <si>
    <t xml:space="preserve">8. Reprogramar</t>
  </si>
  <si>
    <t xml:space="preserve">Hoja Reprogramaciones: una fila por cambio, con Desde, Días y Motivo. Causa externa no es atraso; Interno sí. Si la obra se paraliza sin fecha de reinicio, cambia el Estado a «Suspendida»; si no se hará, a «Cancelada».</t>
  </si>
  <si>
    <t xml:space="preserve">Ejemplo de la hoja Partidas</t>
  </si>
  <si>
    <t xml:space="preserve">Inicio</t>
  </si>
  <si>
    <t xml:space="preserve">Fin</t>
  </si>
  <si>
    <t xml:space="preserve">Movilización</t>
  </si>
  <si>
    <t xml:space="preserve">05/10/2026</t>
  </si>
  <si>
    <t xml:space="preserve">07/10/2026</t>
  </si>
  <si>
    <t xml:space="preserve">Muros</t>
  </si>
  <si>
    <t xml:space="preserve">01/11/2026</t>
  </si>
  <si>
    <t xml:space="preserve">Tableros</t>
  </si>
  <si>
    <t xml:space="preserve">19/10/2026</t>
  </si>
  <si>
    <t xml:space="preserve">29/10/2026</t>
  </si>
  <si>
    <t xml:space="preserve">Colores</t>
  </si>
  <si>
    <t xml:space="preserve">Lo llena el responsable</t>
  </si>
  <si>
    <t xml:space="preserve">Lo carga el jefe / presupuesto</t>
  </si>
  <si>
    <t xml:space="preserve">Automático, no se toca</t>
  </si>
  <si>
    <t xml:space="preserve">Listas: los clientes, jefes y coordinadores se editan en la hoja Listas.</t>
  </si>
  <si>
    <t xml:space="preserve">Clientes</t>
  </si>
  <si>
    <t xml:space="preserve">Departamentos</t>
  </si>
  <si>
    <t xml:space="preserve">Jefes de proyecto</t>
  </si>
  <si>
    <t xml:space="preserve">Coordinadores</t>
  </si>
  <si>
    <t xml:space="preserve">Estados</t>
  </si>
  <si>
    <t xml:space="preserve">Residentes</t>
  </si>
  <si>
    <t xml:space="preserve">Resp. presupuesto</t>
  </si>
  <si>
    <t xml:space="preserve">Resp. procura</t>
  </si>
  <si>
    <t xml:space="preserve">Amazonas</t>
  </si>
  <si>
    <t xml:space="preserve">Andrea B.</t>
  </si>
  <si>
    <t xml:space="preserve">Próximo proyecto</t>
  </si>
  <si>
    <t xml:space="preserve">Coolbox</t>
  </si>
  <si>
    <t xml:space="preserve">Áncash</t>
  </si>
  <si>
    <t xml:space="preserve">Diego Loloy</t>
  </si>
  <si>
    <t xml:space="preserve">Aruma</t>
  </si>
  <si>
    <t xml:space="preserve">Apurímac</t>
  </si>
  <si>
    <t xml:space="preserve">Marifá</t>
  </si>
  <si>
    <t xml:space="preserve">Nicole Chavez</t>
  </si>
  <si>
    <t xml:space="preserve">Post venta</t>
  </si>
  <si>
    <t xml:space="preserve">Platanitos</t>
  </si>
  <si>
    <t xml:space="preserve">Arequipa</t>
  </si>
  <si>
    <t xml:space="preserve">Melissa G.</t>
  </si>
  <si>
    <t xml:space="preserve">Sin coordinador</t>
  </si>
  <si>
    <t xml:space="preserve">Culminado</t>
  </si>
  <si>
    <t xml:space="preserve">Tiendas Mass</t>
  </si>
  <si>
    <t xml:space="preserve">Ayacucho</t>
  </si>
  <si>
    <t xml:space="preserve">Suspendida</t>
  </si>
  <si>
    <t xml:space="preserve">Cajamarca</t>
  </si>
  <si>
    <t xml:space="preserve">Cancelada</t>
  </si>
  <si>
    <t xml:space="preserve">Callao</t>
  </si>
  <si>
    <t xml:space="preserve">Cusco</t>
  </si>
  <si>
    <t xml:space="preserve">Huancavelica</t>
  </si>
  <si>
    <t xml:space="preserve">Huánuco</t>
  </si>
  <si>
    <t xml:space="preserve">Ica</t>
  </si>
  <si>
    <t xml:space="preserve">Junín</t>
  </si>
  <si>
    <t xml:space="preserve">La Libertad</t>
  </si>
  <si>
    <t xml:space="preserve">Lambayeque</t>
  </si>
  <si>
    <t xml:space="preserve">Loreto</t>
  </si>
  <si>
    <t xml:space="preserve">Madre de Dios</t>
  </si>
  <si>
    <t xml:space="preserve">Moquegua</t>
  </si>
  <si>
    <t xml:space="preserve">Pasco</t>
  </si>
  <si>
    <t xml:space="preserve">Piura</t>
  </si>
  <si>
    <t xml:space="preserve">Puno</t>
  </si>
  <si>
    <t xml:space="preserve">San Martín</t>
  </si>
  <si>
    <t xml:space="preserve">Tacna</t>
  </si>
  <si>
    <t xml:space="preserve">Tumbes</t>
  </si>
  <si>
    <t xml:space="preserve">Ucayali</t>
  </si>
</sst>
</file>

<file path=xl/styles.xml><?xml version="1.0" encoding="utf-8"?>
<styleSheet xmlns="http://schemas.openxmlformats.org/spreadsheetml/2006/main">
  <numFmts count="7">
    <numFmt numFmtId="164" formatCode="General"/>
    <numFmt numFmtId="165" formatCode="dd/mm/yyyy"/>
    <numFmt numFmtId="166" formatCode="0"/>
    <numFmt numFmtId="167" formatCode="General"/>
    <numFmt numFmtId="168" formatCode="@"/>
    <numFmt numFmtId="169" formatCode="0.0"/>
    <numFmt numFmtId="170" formatCode="0\%"/>
  </numFmts>
  <fonts count="25">
    <font>
      <sz val="11"/>
      <color theme="1"/>
      <name val="Calibri"/>
      <family val="2"/>
      <charset val="1"/>
    </font>
    <font>
      <sz val="10"/>
      <name val="Arial"/>
      <family val="0"/>
    </font>
    <font>
      <sz val="10"/>
      <name val="Arial"/>
      <family val="0"/>
    </font>
    <font>
      <sz val="10"/>
      <name val="Arial"/>
      <family val="0"/>
    </font>
    <font>
      <b val="true"/>
      <sz val="14"/>
      <color rgb="FF2F4A3B"/>
      <name val="Arial"/>
      <family val="0"/>
      <charset val="1"/>
    </font>
    <font>
      <sz val="9"/>
      <color rgb="FF7A847D"/>
      <name val="Arial"/>
      <family val="0"/>
      <charset val="1"/>
    </font>
    <font>
      <b val="true"/>
      <sz val="11"/>
      <color rgb="FFFFFFFF"/>
      <name val="Arial"/>
      <family val="0"/>
      <charset val="1"/>
    </font>
    <font>
      <b val="true"/>
      <sz val="11"/>
      <name val="Arial"/>
      <family val="0"/>
      <charset val="1"/>
    </font>
    <font>
      <sz val="11"/>
      <name val="Arial"/>
      <family val="0"/>
      <charset val="1"/>
    </font>
    <font>
      <b val="true"/>
      <sz val="11"/>
      <color rgb="FF4B2E83"/>
      <name val="Arial"/>
      <family val="0"/>
      <charset val="1"/>
    </font>
    <font>
      <sz val="8"/>
      <color rgb="FF7A847D"/>
      <name val="Arial"/>
      <family val="0"/>
      <charset val="1"/>
    </font>
    <font>
      <b val="true"/>
      <sz val="10"/>
      <color rgb="FF2F4A3B"/>
      <name val="Arial"/>
      <family val="0"/>
      <charset val="1"/>
    </font>
    <font>
      <b val="true"/>
      <sz val="10"/>
      <color rgb="FF4B2E83"/>
      <name val="Arial"/>
      <family val="0"/>
      <charset val="1"/>
    </font>
    <font>
      <b val="true"/>
      <sz val="9"/>
      <color rgb="FF2F4A3B"/>
      <name val="Arial"/>
      <family val="0"/>
      <charset val="1"/>
    </font>
    <font>
      <b val="true"/>
      <sz val="9"/>
      <color rgb="FFFFFFFF"/>
      <name val="Arial"/>
      <family val="0"/>
      <charset val="1"/>
    </font>
    <font>
      <sz val="10"/>
      <name val="Arial"/>
      <family val="0"/>
      <charset val="1"/>
    </font>
    <font>
      <sz val="10"/>
      <color rgb="FF5B4A1E"/>
      <name val="Arial"/>
      <family val="0"/>
      <charset val="1"/>
    </font>
    <font>
      <sz val="9"/>
      <name val="Arial"/>
      <family val="0"/>
      <charset val="1"/>
    </font>
    <font>
      <b val="true"/>
      <sz val="10"/>
      <color rgb="FFFFFFFF"/>
      <name val="Arial"/>
      <family val="0"/>
      <charset val="1"/>
    </font>
    <font>
      <sz val="11"/>
      <color rgb="FF7A847D"/>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2F4A3B"/>
      <name val="Arial"/>
      <family val="0"/>
      <charset val="1"/>
    </font>
    <font>
      <sz val="10"/>
      <color rgb="FF22302A"/>
      <name val="Arial"/>
      <family val="0"/>
      <charset val="1"/>
    </font>
  </fonts>
  <fills count="7">
    <fill>
      <patternFill patternType="none"/>
    </fill>
    <fill>
      <patternFill patternType="gray125"/>
    </fill>
    <fill>
      <patternFill patternType="solid">
        <fgColor rgb="FF2F4A3B"/>
        <bgColor rgb="FF1F3A6B"/>
      </patternFill>
    </fill>
    <fill>
      <patternFill patternType="solid">
        <fgColor rgb="FFE2EEDB"/>
        <bgColor rgb="FFECE9E2"/>
      </patternFill>
    </fill>
    <fill>
      <patternFill patternType="solid">
        <fgColor rgb="FFECE9E2"/>
        <bgColor rgb="FFEFE6CF"/>
      </patternFill>
    </fill>
    <fill>
      <patternFill patternType="solid">
        <fgColor rgb="FFF4F2EC"/>
        <bgColor rgb="FFF3EFF9"/>
      </patternFill>
    </fill>
    <fill>
      <patternFill patternType="solid">
        <fgColor rgb="FFEFE6CF"/>
        <bgColor rgb="FFECE9E2"/>
      </patternFill>
    </fill>
  </fills>
  <borders count="3">
    <border diagonalUp="false" diagonalDown="false">
      <left/>
      <right/>
      <top/>
      <bottom/>
      <diagonal/>
    </border>
    <border diagonalUp="false" diagonalDown="false">
      <left style="thin">
        <color rgb="FFD2CDC2"/>
      </left>
      <right style="thin">
        <color rgb="FFD2CDC2"/>
      </right>
      <top style="thin">
        <color rgb="FFD2CDC2"/>
      </top>
      <bottom style="thin">
        <color rgb="FFD2CDC2"/>
      </bottom>
      <diagonal/>
    </border>
    <border diagonalUp="false" diagonalDown="false">
      <left style="thin">
        <color rgb="FFD2CDC2"/>
      </left>
      <right/>
      <top style="thin">
        <color rgb="FFD2CDC2"/>
      </top>
      <bottom style="thin">
        <color rgb="FFD2CD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left" vertical="bottom" textRotation="0" wrapText="false" indent="0" shrinkToFit="false"/>
      <protection locked="fals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8" fillId="3" borderId="1" xfId="0" applyFont="true" applyBorder="true" applyAlignment="true" applyProtection="true">
      <alignment horizontal="left" vertical="bottom" textRotation="0" wrapText="false" indent="0" shrinkToFit="false"/>
      <protection locked="false" hidden="false"/>
    </xf>
    <xf numFmtId="164" fontId="8" fillId="0" borderId="1" xfId="0" applyFont="true" applyBorder="true" applyAlignment="true" applyProtection="true">
      <alignment horizontal="general" vertical="bottom" textRotation="0" wrapText="false" indent="0" shrinkToFit="false"/>
      <protection locked="true" hidden="false"/>
    </xf>
    <xf numFmtId="166" fontId="8" fillId="3" borderId="1"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left" vertical="bottom" textRotation="0" wrapText="false" indent="0" shrinkToFit="false"/>
      <protection locked="true" hidden="false"/>
    </xf>
    <xf numFmtId="165" fontId="7" fillId="4" borderId="1" xfId="0" applyFont="true" applyBorder="tru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left" vertical="bottom" textRotation="0" wrapText="fals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right" vertical="center" textRotation="0" wrapText="false" indent="0" shrinkToFit="false"/>
      <protection locked="true" hidden="false"/>
    </xf>
    <xf numFmtId="165" fontId="7" fillId="4" borderId="1" xfId="0" applyFont="true" applyBorder="true" applyAlignment="true" applyProtection="true">
      <alignment horizontal="center" vertical="center" textRotation="0" wrapText="false" indent="0" shrinkToFit="false"/>
      <protection locked="true" hidden="false"/>
    </xf>
    <xf numFmtId="166" fontId="7" fillId="4" borderId="1" xfId="0" applyFont="true" applyBorder="true" applyAlignment="true" applyProtection="true">
      <alignment horizontal="center" vertical="center" textRotation="0" wrapText="false" indent="0" shrinkToFit="false"/>
      <protection locked="true" hidden="false"/>
    </xf>
    <xf numFmtId="167" fontId="12"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7" fontId="10" fillId="0" borderId="0" xfId="0" applyFont="true" applyBorder="false" applyAlignment="true" applyProtection="true">
      <alignment horizontal="center" vertical="bottom" textRotation="0" wrapText="tru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7" fontId="14"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8" fontId="15" fillId="5" borderId="1" xfId="0" applyFont="true" applyBorder="true" applyAlignment="true" applyProtection="true">
      <alignment horizontal="left" vertical="bottom" textRotation="0" wrapText="false" indent="0" shrinkToFit="false"/>
      <protection locked="false" hidden="false"/>
    </xf>
    <xf numFmtId="164" fontId="15" fillId="5" borderId="1" xfId="0" applyFont="true" applyBorder="true" applyAlignment="true" applyProtection="true">
      <alignment horizontal="general" vertical="bottom" textRotation="0" wrapText="false" indent="0" shrinkToFit="false"/>
      <protection locked="false" hidden="false"/>
    </xf>
    <xf numFmtId="164" fontId="15" fillId="5" borderId="1" xfId="0" applyFont="true" applyBorder="true" applyAlignment="true" applyProtection="true">
      <alignment horizontal="center" vertical="bottom" textRotation="0" wrapText="false" indent="0" shrinkToFit="false"/>
      <protection locked="false" hidden="false"/>
    </xf>
    <xf numFmtId="165" fontId="15" fillId="5" borderId="1" xfId="0" applyFont="true" applyBorder="true" applyAlignment="true" applyProtection="true">
      <alignment horizontal="general" vertical="bottom" textRotation="0" wrapText="false" indent="0" shrinkToFit="false"/>
      <protection locked="false" hidden="false"/>
    </xf>
    <xf numFmtId="166" fontId="16" fillId="6" borderId="1" xfId="0" applyFont="true" applyBorder="true" applyAlignment="true" applyProtection="true">
      <alignment horizontal="center" vertical="bottom" textRotation="0" wrapText="false" indent="0" shrinkToFit="false"/>
      <protection locked="false" hidden="false"/>
    </xf>
    <xf numFmtId="166" fontId="15" fillId="3" borderId="1" xfId="0" applyFont="true" applyBorder="true" applyAlignment="true" applyProtection="true">
      <alignment horizontal="center" vertical="bottom" textRotation="0" wrapText="false" indent="0" shrinkToFit="false"/>
      <protection locked="false" hidden="false"/>
    </xf>
    <xf numFmtId="166" fontId="15" fillId="4" borderId="1" xfId="0" applyFont="true" applyBorder="true" applyAlignment="true" applyProtection="true">
      <alignment horizontal="general" vertical="bottom" textRotation="0" wrapText="false" indent="0" shrinkToFit="false"/>
      <protection locked="true" hidden="false"/>
    </xf>
    <xf numFmtId="164" fontId="15" fillId="4" borderId="1"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center" vertical="bottom" textRotation="0" wrapText="false" indent="0" shrinkToFit="false"/>
      <protection locked="true" hidden="false"/>
    </xf>
    <xf numFmtId="164" fontId="18" fillId="2" borderId="1" xfId="0" applyFont="true" applyBorder="true" applyAlignment="true" applyProtection="true">
      <alignment horizontal="center" vertical="center"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false" hidden="false"/>
    </xf>
    <xf numFmtId="166" fontId="8" fillId="3" borderId="1" xfId="0" applyFont="true" applyBorder="true" applyAlignment="true" applyProtection="true">
      <alignment horizontal="center" vertical="bottom" textRotation="0" wrapText="false" indent="0" shrinkToFit="false"/>
      <protection locked="false" hidden="false"/>
    </xf>
    <xf numFmtId="164" fontId="8" fillId="3" borderId="1" xfId="0" applyFont="true" applyBorder="true" applyAlignment="true" applyProtection="true">
      <alignment horizontal="general" vertical="bottom" textRotation="0" wrapText="false" indent="0" shrinkToFit="false"/>
      <protection locked="false" hidden="false"/>
    </xf>
    <xf numFmtId="164" fontId="8" fillId="4" borderId="1" xfId="0" applyFont="true" applyBorder="tru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6" fontId="7" fillId="4" borderId="1" xfId="0" applyFont="true" applyBorder="true" applyAlignment="true" applyProtection="true">
      <alignment horizontal="left"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8" fontId="7" fillId="4" borderId="1" xfId="0" applyFont="true" applyBorder="true" applyAlignment="true" applyProtection="true">
      <alignment horizontal="left" vertical="bottom" textRotation="0" wrapText="false" indent="0" shrinkToFit="false"/>
      <protection locked="true" hidden="false"/>
    </xf>
    <xf numFmtId="164" fontId="15" fillId="0" borderId="1" xfId="0" applyFont="true" applyBorder="true" applyAlignment="true" applyProtection="true">
      <alignment horizontal="center" vertical="bottom" textRotation="0" wrapText="false" indent="0" shrinkToFit="false"/>
      <protection locked="true" hidden="false"/>
    </xf>
    <xf numFmtId="169" fontId="15" fillId="4" borderId="1" xfId="0" applyFont="true" applyBorder="true" applyAlignment="true" applyProtection="true">
      <alignment horizontal="center" vertical="bottom" textRotation="0" wrapText="false" indent="0" shrinkToFit="false"/>
      <protection locked="true" hidden="false"/>
    </xf>
    <xf numFmtId="164" fontId="15" fillId="4"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8" fillId="2" borderId="1" xfId="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F5DFDA"/>
        </patternFill>
      </fill>
    </dxf>
    <dxf>
      <fill>
        <patternFill>
          <bgColor rgb="FFF8EED2"/>
        </patternFill>
      </fill>
    </dxf>
    <dxf>
      <fill>
        <patternFill>
          <bgColor rgb="FFE2EEDB"/>
        </patternFill>
      </fill>
    </dxf>
    <dxf>
      <font>
        <name val="Arial"/>
        <charset val="1"/>
        <family val="0"/>
        <b val="1"/>
      </font>
    </dxf>
    <dxf>
      <fill>
        <patternFill>
          <bgColor rgb="FFE3E9F5"/>
        </patternFill>
      </fill>
    </dxf>
    <dxf>
      <font>
        <name val="Arial"/>
        <charset val="1"/>
        <family val="0"/>
        <color rgb="FFC9BFA6"/>
        <sz val="10"/>
      </font>
    </dxf>
    <dxf>
      <font>
        <name val="Arial"/>
        <charset val="1"/>
        <family val="0"/>
        <b val="1"/>
        <color rgb="FF1F3A6B"/>
        <sz val="10"/>
      </font>
      <fill>
        <patternFill>
          <bgColor rgb="FFC9D5EE"/>
        </patternFill>
      </fill>
    </dxf>
    <dxf>
      <fill>
        <patternFill>
          <bgColor rgb="FFF3EFF9"/>
        </patternFill>
      </fill>
    </dxf>
    <dxf>
      <font>
        <name val="Arial"/>
        <charset val="1"/>
        <family val="0"/>
        <b val="1"/>
        <color rgb="FF7A1E14"/>
        <sz val="9"/>
      </font>
      <fill>
        <patternFill>
          <bgColor rgb="FFE8A99F"/>
        </patternFill>
      </fill>
    </dxf>
    <dxf>
      <fill>
        <patternFill>
          <bgColor rgb="FFF2C6BF"/>
        </patternFill>
      </fill>
    </dxf>
    <dxf>
      <fill>
        <patternFill>
          <bgColor rgb="FFF8E3B5"/>
        </patternFill>
      </fill>
    </dxf>
    <dxf>
      <fill>
        <patternFill>
          <bgColor rgb="FFCFE5C8"/>
        </patternFill>
      </fill>
    </dxf>
    <dxf>
      <fill>
        <patternFill>
          <bgColor rgb="FFDCE3EC"/>
        </patternFill>
      </fill>
    </dxf>
    <dxf>
      <font>
        <name val="Arial"/>
        <charset val="1"/>
        <family val="0"/>
        <b val="1"/>
        <color rgb="FF4B2E83"/>
        <sz val="8"/>
      </font>
      <fill>
        <patternFill>
          <bgColor rgb="FFE6DDF2"/>
        </patternFill>
      </fill>
    </dxf>
    <dxf>
      <font>
        <name val="Arial"/>
        <charset val="1"/>
        <family val="0"/>
        <b val="1"/>
        <color rgb="FFFFFFFF"/>
        <sz val="9"/>
      </font>
      <fill>
        <patternFill>
          <bgColor rgb="FF8E7CC3"/>
        </patternFill>
      </fill>
    </dxf>
    <dxf>
      <font>
        <name val="Arial"/>
        <charset val="1"/>
        <family val="0"/>
        <b val="1"/>
        <color rgb="FF1E2A24"/>
        <sz val="9"/>
      </font>
      <fill>
        <patternFill>
          <bgColor rgb="FFC9A227"/>
        </patternFill>
      </fill>
    </dxf>
    <dxf>
      <font>
        <name val="Arial"/>
        <charset val="1"/>
        <family val="0"/>
        <b val="1"/>
        <color rgb="FFFFFFFF"/>
        <sz val="9"/>
      </font>
      <fill>
        <patternFill>
          <bgColor rgb="FF2F4A3B"/>
        </patternFill>
      </fill>
    </dxf>
    <dxf>
      <font>
        <name val="Arial"/>
        <charset val="1"/>
        <family val="0"/>
        <b val="1"/>
        <color rgb="FF9C2F22"/>
      </font>
    </dxf>
    <dxf>
      <font>
        <name val="Arial"/>
        <charset val="1"/>
        <family val="0"/>
        <b val="1"/>
        <color rgb="FF4B2E83"/>
      </font>
      <fill>
        <patternFill>
          <bgColor rgb="FFE6DDF2"/>
        </patternFill>
      </fill>
    </dxf>
  </dxfs>
  <colors>
    <indexedColors>
      <rgbColor rgb="FF000000"/>
      <rgbColor rgb="FFFFFFFF"/>
      <rgbColor rgb="FFFF0000"/>
      <rgbColor rgb="FF00FF00"/>
      <rgbColor rgb="FF0000FF"/>
      <rgbColor rgb="FFEFE6CF"/>
      <rgbColor rgb="FFFF00FF"/>
      <rgbColor rgb="FF00FFFF"/>
      <rgbColor rgb="FF7A1E14"/>
      <rgbColor rgb="FF008000"/>
      <rgbColor rgb="FF000080"/>
      <rgbColor rgb="FF808000"/>
      <rgbColor rgb="FF800080"/>
      <rgbColor rgb="FF008080"/>
      <rgbColor rgb="FFC9BFA6"/>
      <rgbColor rgb="FF7A847D"/>
      <rgbColor rgb="FF8E7CC3"/>
      <rgbColor rgb="FF5B4A1E"/>
      <rgbColor rgb="FFF8EED2"/>
      <rgbColor rgb="FFE3E9F5"/>
      <rgbColor rgb="FF660066"/>
      <rgbColor rgb="FFD9D9D9"/>
      <rgbColor rgb="FF0066CC"/>
      <rgbColor rgb="FFC9D5EE"/>
      <rgbColor rgb="FF000080"/>
      <rgbColor rgb="FFFF00FF"/>
      <rgbColor rgb="FFF5DFDA"/>
      <rgbColor rgb="FF00FFFF"/>
      <rgbColor rgb="FF800080"/>
      <rgbColor rgb="FF800000"/>
      <rgbColor rgb="FF008080"/>
      <rgbColor rgb="FF0000FF"/>
      <rgbColor rgb="FF00CCFF"/>
      <rgbColor rgb="FFDCE3EC"/>
      <rgbColor rgb="FFE2EEDB"/>
      <rgbColor rgb="FFF8E3B5"/>
      <rgbColor rgb="FFD2CDC2"/>
      <rgbColor rgb="FFE8A99F"/>
      <rgbColor rgb="FFB3A7D6"/>
      <rgbColor rgb="FFF2C6BF"/>
      <rgbColor rgb="FF3366FF"/>
      <rgbColor rgb="FFE6DDF2"/>
      <rgbColor rgb="FFECE9E2"/>
      <rgbColor rgb="FFCFE5C8"/>
      <rgbColor rgb="FFC9A227"/>
      <rgbColor rgb="FFF4F2EC"/>
      <rgbColor rgb="FF6B7570"/>
      <rgbColor rgb="FF878787"/>
      <rgbColor rgb="FF1F3A6B"/>
      <rgbColor rgb="FFF3EFF9"/>
      <rgbColor rgb="FF2F4A3B"/>
      <rgbColor rgb="FF1E2A24"/>
      <rgbColor rgb="FF9C2F22"/>
      <rgbColor rgb="FF993366"/>
      <rgbColor rgb="FF4B2E83"/>
      <rgbColor rgb="FF2230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Curva S · real (barras) vs pactado (línea)</a:t>
            </a:r>
          </a:p>
        </c:rich>
      </c:tx>
      <c:overlay val="0"/>
      <c:spPr>
        <a:noFill/>
        <a:ln w="0">
          <a:noFill/>
        </a:ln>
      </c:spPr>
    </c:title>
    <c:autoTitleDeleted val="0"/>
    <c:plotArea>
      <c:barChart>
        <c:barDir val="col"/>
        <c:grouping val="clustered"/>
        <c:varyColors val="0"/>
        <c:ser>
          <c:idx val="0"/>
          <c:order val="0"/>
          <c:tx>
            <c:strRef>
              <c:f>'Curva S'!G5</c:f>
              <c:strCache>
                <c:ptCount val="1"/>
                <c:pt idx="0">
                  <c:v>Real acum. %</c:v>
                </c:pt>
              </c:strCache>
            </c:strRef>
          </c:tx>
          <c:spPr>
            <a:solidFill>
              <a:srgbClr val="2f4a3b"/>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
                </c:pt>
                <c:pt idx="7">
                  <c:v/>
                </c:pt>
                <c:pt idx="8">
                  <c:v/>
                </c:pt>
                <c:pt idx="9">
                  <c:v/>
                </c:pt>
                <c:pt idx="10">
                  <c:v/>
                </c:pt>
                <c:pt idx="11">
                  <c:v/>
                </c:pt>
                <c:pt idx="12">
                  <c:v/>
                </c:pt>
                <c:pt idx="13">
                  <c:v/>
                </c:pt>
                <c:pt idx="14">
                  <c:v/>
                </c:pt>
                <c:pt idx="15">
                  <c:v/>
                </c:pt>
              </c:strCache>
            </c:strRef>
          </c:cat>
          <c:val>
            <c:numRef>
              <c:f>'Curva S'!$G$6:$G$21</c:f>
              <c:numCache>
                <c:formatCode>0.0</c:formatCode>
                <c:ptCount val="16"/>
                <c:pt idx="0">
                  <c:v>7.4</c:v>
                </c:pt>
                <c:pt idx="1">
                  <c:v>22.1</c:v>
                </c:pt>
                <c:pt idx="2">
                  <c:v>51.5</c:v>
                </c:pt>
                <c:pt idx="3">
                  <c:v>79.4</c:v>
                </c:pt>
                <c:pt idx="4">
                  <c:v>79.4</c:v>
                </c:pt>
              </c:numCache>
            </c:numRef>
          </c:val>
        </c:ser>
        <c:gapWidth val="60"/>
        <c:overlap val="0"/>
        <c:axId val="56767444"/>
        <c:axId val="81593168"/>
      </c:barChart>
      <c:lineChart>
        <c:grouping val="standard"/>
        <c:varyColors val="0"/>
        <c:ser>
          <c:idx val="1"/>
          <c:order val="1"/>
          <c:tx>
            <c:strRef>
              <c:f>'Curva S'!F5</c:f>
              <c:strCache>
                <c:ptCount val="1"/>
                <c:pt idx="0">
                  <c:v>Pactado acum. %</c:v>
                </c:pt>
              </c:strCache>
            </c:strRef>
          </c:tx>
          <c:spPr>
            <a:solidFill>
              <a:srgbClr val="6b7570"/>
            </a:solidFill>
            <a:ln w="25560">
              <a:solidFill>
                <a:srgbClr val="6b7570"/>
              </a:solidFill>
              <a:prstDash val="dash"/>
              <a:round/>
            </a:ln>
          </c:spPr>
          <c:marker>
            <c:symbol val="circle"/>
            <c:size val="6"/>
            <c:spPr>
              <a:solidFill>
                <a:srgbClr val="6b7570"/>
              </a:solidFill>
            </c:spPr>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
                </c:pt>
                <c:pt idx="7">
                  <c:v/>
                </c:pt>
                <c:pt idx="8">
                  <c:v/>
                </c:pt>
                <c:pt idx="9">
                  <c:v/>
                </c:pt>
                <c:pt idx="10">
                  <c:v/>
                </c:pt>
                <c:pt idx="11">
                  <c:v/>
                </c:pt>
                <c:pt idx="12">
                  <c:v/>
                </c:pt>
                <c:pt idx="13">
                  <c:v/>
                </c:pt>
                <c:pt idx="14">
                  <c:v/>
                </c:pt>
                <c:pt idx="15">
                  <c:v/>
                </c:pt>
              </c:strCache>
            </c:strRef>
          </c:cat>
          <c:val>
            <c:numRef>
              <c:f>'Curva S'!$F$6:$F$21</c:f>
              <c:numCache>
                <c:formatCode>0.0</c:formatCode>
                <c:ptCount val="16"/>
                <c:pt idx="0">
                  <c:v>7.4</c:v>
                </c:pt>
                <c:pt idx="1">
                  <c:v>22.1</c:v>
                </c:pt>
                <c:pt idx="2">
                  <c:v>51.5</c:v>
                </c:pt>
                <c:pt idx="3">
                  <c:v>79.4</c:v>
                </c:pt>
                <c:pt idx="4">
                  <c:v>98.5</c:v>
                </c:pt>
                <c:pt idx="5">
                  <c:v>100</c:v>
                </c:pt>
              </c:numCache>
            </c:numRef>
          </c:val>
          <c:smooth val="0"/>
        </c:ser>
        <c:ser>
          <c:idx val="2"/>
          <c:order val="2"/>
          <c:tx>
            <c:strRef>
              <c:f>'Curva S'!J5</c:f>
              <c:strCache>
                <c:ptCount val="1"/>
                <c:pt idx="0">
                  <c:v>Pactado original %</c:v>
                </c:pt>
              </c:strCache>
            </c:strRef>
          </c:tx>
          <c:spPr>
            <a:solidFill>
              <a:srgbClr val="b3a7d6"/>
            </a:solidFill>
            <a:ln w="15840">
              <a:solidFill>
                <a:srgbClr val="b3a7d6"/>
              </a:solidFill>
              <a:prstDash val="sysDot"/>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
                </c:pt>
                <c:pt idx="7">
                  <c:v/>
                </c:pt>
                <c:pt idx="8">
                  <c:v/>
                </c:pt>
                <c:pt idx="9">
                  <c:v/>
                </c:pt>
                <c:pt idx="10">
                  <c:v/>
                </c:pt>
                <c:pt idx="11">
                  <c:v/>
                </c:pt>
                <c:pt idx="12">
                  <c:v/>
                </c:pt>
                <c:pt idx="13">
                  <c:v/>
                </c:pt>
                <c:pt idx="14">
                  <c:v/>
                </c:pt>
                <c:pt idx="15">
                  <c:v/>
                </c:pt>
              </c:strCache>
            </c:strRef>
          </c:cat>
          <c:val>
            <c:numRef>
              <c:f>'Curva S'!$J$6:$J$21</c:f>
              <c:numCache>
                <c:formatCode>0.0</c:formatCode>
                <c:ptCount val="16"/>
                <c:pt idx="0">
                  <c:v>7.4</c:v>
                </c:pt>
                <c:pt idx="1">
                  <c:v>22.1</c:v>
                </c:pt>
                <c:pt idx="2">
                  <c:v>51.5</c:v>
                </c:pt>
                <c:pt idx="3">
                  <c:v>79.4</c:v>
                </c:pt>
                <c:pt idx="4">
                  <c:v>98.5</c:v>
                </c:pt>
                <c:pt idx="5">
                  <c:v>100</c:v>
                </c:pt>
              </c:numCache>
            </c:numRef>
          </c:val>
          <c:smooth val="0"/>
        </c:ser>
        <c:hiLowLines>
          <c:spPr>
            <a:ln w="0">
              <a:noFill/>
            </a:ln>
          </c:spPr>
        </c:hiLowLines>
        <c:marker val="1"/>
        <c:axId val="56767444"/>
        <c:axId val="81593168"/>
      </c:lineChart>
      <c:catAx>
        <c:axId val="5676744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93168"/>
        <c:crosses val="autoZero"/>
        <c:auto val="1"/>
        <c:lblAlgn val="ctr"/>
        <c:lblOffset val="100"/>
        <c:noMultiLvlLbl val="0"/>
      </c:catAx>
      <c:valAx>
        <c:axId val="81593168"/>
        <c:scaling>
          <c:orientation val="minMax"/>
          <c:max val="100"/>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acumulado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6744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160560</xdr:rowOff>
    </xdr:from>
    <xdr:to>
      <xdr:col>8</xdr:col>
      <xdr:colOff>698040</xdr:colOff>
      <xdr:row>37</xdr:row>
      <xdr:rowOff>180720</xdr:rowOff>
    </xdr:to>
    <xdr:graphicFrame>
      <xdr:nvGraphicFramePr>
        <xdr:cNvPr id="0" name="Chart 1"/>
        <xdr:cNvGraphicFramePr/>
      </xdr:nvGraphicFramePr>
      <xdr:xfrm>
        <a:off x="141120" y="4572000"/>
        <a:ext cx="6477840" cy="287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40"/>
    <col collapsed="false" customWidth="true" hidden="false" outlineLevel="0" max="4" min="4" style="1" width="46"/>
  </cols>
  <sheetData>
    <row r="1" customFormat="false" ht="17.35" hidden="false" customHeight="false" outlineLevel="0" collapsed="false">
      <c r="B1" s="2" t="s">
        <v>0</v>
      </c>
    </row>
    <row r="2" customFormat="false" ht="15" hidden="false" customHeight="false" outlineLevel="0" collapsed="false">
      <c r="B2" s="3" t="s">
        <v>1</v>
      </c>
    </row>
    <row r="3" customFormat="false" ht="15" hidden="false" customHeight="false" outlineLevel="0" collapsed="false">
      <c r="B3" s="4" t="s">
        <v>2</v>
      </c>
      <c r="C3" s="4" t="s">
        <v>3</v>
      </c>
      <c r="D3" s="4" t="s">
        <v>4</v>
      </c>
    </row>
    <row r="4" customFormat="false" ht="15" hidden="false" customHeight="false" outlineLevel="0" collapsed="false">
      <c r="B4" s="5" t="s">
        <v>5</v>
      </c>
      <c r="C4" s="6" t="s">
        <v>6</v>
      </c>
      <c r="D4" s="7" t="s">
        <v>7</v>
      </c>
    </row>
    <row r="5" customFormat="false" ht="15" hidden="false" customHeight="false" outlineLevel="0" collapsed="false">
      <c r="B5" s="5" t="s">
        <v>8</v>
      </c>
      <c r="C5" s="6" t="s">
        <v>9</v>
      </c>
      <c r="D5" s="7" t="s">
        <v>10</v>
      </c>
    </row>
    <row r="6" customFormat="false" ht="15" hidden="false" customHeight="false" outlineLevel="0" collapsed="false">
      <c r="B6" s="5" t="s">
        <v>11</v>
      </c>
      <c r="C6" s="6" t="s">
        <v>12</v>
      </c>
      <c r="D6" s="7" t="s">
        <v>13</v>
      </c>
    </row>
    <row r="7" customFormat="false" ht="15" hidden="false" customHeight="false" outlineLevel="0" collapsed="false">
      <c r="B7" s="5" t="s">
        <v>14</v>
      </c>
      <c r="C7" s="6" t="s">
        <v>15</v>
      </c>
      <c r="D7" s="7" t="s">
        <v>10</v>
      </c>
    </row>
    <row r="8" customFormat="false" ht="15" hidden="false" customHeight="false" outlineLevel="0" collapsed="false">
      <c r="B8" s="5" t="s">
        <v>16</v>
      </c>
      <c r="C8" s="6" t="s">
        <v>17</v>
      </c>
      <c r="D8" s="7" t="s">
        <v>18</v>
      </c>
    </row>
    <row r="9" customFormat="false" ht="15" hidden="false" customHeight="false" outlineLevel="0" collapsed="false">
      <c r="B9" s="5" t="s">
        <v>19</v>
      </c>
      <c r="C9" s="6" t="s">
        <v>20</v>
      </c>
      <c r="D9" s="7" t="s">
        <v>18</v>
      </c>
    </row>
    <row r="10" customFormat="false" ht="15" hidden="false" customHeight="false" outlineLevel="0" collapsed="false">
      <c r="B10" s="5" t="s">
        <v>21</v>
      </c>
      <c r="C10" s="6" t="s">
        <v>22</v>
      </c>
      <c r="D10" s="7" t="s">
        <v>23</v>
      </c>
    </row>
    <row r="11" customFormat="false" ht="15" hidden="false" customHeight="false" outlineLevel="0" collapsed="false">
      <c r="B11" s="5" t="s">
        <v>24</v>
      </c>
      <c r="C11" s="8" t="n">
        <v>46288</v>
      </c>
      <c r="D11" s="7" t="s">
        <v>25</v>
      </c>
    </row>
    <row r="12" customFormat="false" ht="15" hidden="false" customHeight="false" outlineLevel="0" collapsed="false">
      <c r="B12" s="5" t="s">
        <v>26</v>
      </c>
      <c r="C12" s="8" t="n">
        <v>46321</v>
      </c>
      <c r="D12" s="7" t="s">
        <v>27</v>
      </c>
    </row>
    <row r="13" customFormat="false" ht="15" hidden="false" customHeight="false" outlineLevel="0" collapsed="false">
      <c r="B13" s="9" t="s">
        <v>28</v>
      </c>
      <c r="C13" s="10"/>
      <c r="D13" s="7" t="s">
        <v>29</v>
      </c>
    </row>
    <row r="14" customFormat="false" ht="15" hidden="false" customHeight="false" outlineLevel="0" collapsed="false">
      <c r="B14" s="9" t="s">
        <v>30</v>
      </c>
      <c r="C14" s="6"/>
      <c r="D14" s="7" t="s">
        <v>31</v>
      </c>
    </row>
    <row r="15" customFormat="false" ht="15" hidden="false" customHeight="false" outlineLevel="0" collapsed="false">
      <c r="B15" s="9" t="s">
        <v>32</v>
      </c>
      <c r="C15" s="6" t="s">
        <v>17</v>
      </c>
      <c r="D15" s="7" t="s">
        <v>33</v>
      </c>
    </row>
    <row r="16" customFormat="false" ht="15" hidden="false" customHeight="false" outlineLevel="0" collapsed="false">
      <c r="B16" s="9" t="s">
        <v>34</v>
      </c>
      <c r="C16" s="8" t="n">
        <v>46314</v>
      </c>
      <c r="D16" s="7" t="s">
        <v>35</v>
      </c>
    </row>
    <row r="17" customFormat="false" ht="15" hidden="false" customHeight="false" outlineLevel="0" collapsed="false">
      <c r="C17" s="11"/>
    </row>
    <row r="18" customFormat="false" ht="15" hidden="false" customHeight="false" outlineLevel="0" collapsed="false">
      <c r="B18" s="12" t="s">
        <v>36</v>
      </c>
      <c r="C18" s="13"/>
      <c r="D18" s="14"/>
    </row>
    <row r="19" customFormat="false" ht="15" hidden="false" customHeight="false" outlineLevel="0" collapsed="false">
      <c r="B19" s="9" t="s">
        <v>37</v>
      </c>
      <c r="C19" s="8"/>
      <c r="D19" s="7" t="s">
        <v>38</v>
      </c>
    </row>
    <row r="20" customFormat="false" ht="15" hidden="false" customHeight="false" outlineLevel="0" collapsed="false">
      <c r="B20" s="9" t="s">
        <v>39</v>
      </c>
      <c r="C20" s="8"/>
      <c r="D20" s="7" t="s">
        <v>40</v>
      </c>
    </row>
    <row r="21" customFormat="false" ht="15" hidden="false" customHeight="false" outlineLevel="0" collapsed="false">
      <c r="B21" s="9" t="s">
        <v>41</v>
      </c>
      <c r="C21" s="6"/>
      <c r="D21" s="7" t="s">
        <v>42</v>
      </c>
    </row>
    <row r="24" customFormat="false" ht="15" hidden="false" customHeight="false" outlineLevel="0" collapsed="false">
      <c r="B24" s="12" t="s">
        <v>43</v>
      </c>
      <c r="C24" s="14"/>
      <c r="D24" s="14"/>
    </row>
    <row r="25" customFormat="false" ht="15" hidden="false" customHeight="false" outlineLevel="0" collapsed="false">
      <c r="B25" s="9" t="s">
        <v>44</v>
      </c>
      <c r="C25" s="15" t="str">
        <f aca="false">IF(COUNT(Partidas!E6:E305)=0,"",TEXT(MIN(Partidas!E6:E305),"dd/mm/yyyy")&amp;" – "&amp;TEXT(MAX(Partidas!F6:F305),"dd/mm/yyyy"))</f>
        <v>23/09/2026 – 26/10/2026</v>
      </c>
    </row>
    <row r="26" customFormat="false" ht="15" hidden="false" customHeight="false" outlineLevel="0" collapsed="false">
      <c r="B26" s="9" t="s">
        <v>45</v>
      </c>
      <c r="C26" s="15" t="n">
        <f aca="false">IF(SUM(Partidas!BC6:BC305)=0,IF(C13="","",C13),ROUNDDOWN(ROUND(SUMPRODUCT(Partidas!BC6:BC305,Partidas!AI6:AI305)/SUM(Partidas!BC6:BC305),6),0))</f>
        <v>79</v>
      </c>
    </row>
    <row r="27" customFormat="false" ht="15" hidden="false" customHeight="false" outlineLevel="0" collapsed="false">
      <c r="B27" s="9" t="s">
        <v>46</v>
      </c>
      <c r="C27" s="15" t="n">
        <f aca="false">IF(OR(C10="Post venta",C10="Culminado"),100,IF(OR(C10="Suspendida",C10="Cancelada"),C26,IF(Reprogramaciones!$X$15="","",ROUNDDOWN(ROUND(Reprogramaciones!$X$15,6),0))))</f>
        <v>79</v>
      </c>
    </row>
    <row r="28" customFormat="false" ht="15" hidden="false" customHeight="false" outlineLevel="0" collapsed="false">
      <c r="B28" s="9" t="s">
        <v>47</v>
      </c>
      <c r="C28" s="15" t="str">
        <f aca="true">IF(C10="Suspendida","Suspendida",IF(C10="Cancelada","Cancelada",IF(AND(C10="En ejecución",SUMPRODUCT((Reprogramaciones!$H$5:$H$14="OK")*(Reprogramaciones!$C$5:$C$14&lt;=TODAY())*(Reprogramaciones!$C$5:$C$14+Reprogramaciones!$D$5:$D$14&gt;TODAY()))&gt;0),"En pausa",IF(OR(C10="Post venta",C10="Culminado"),"Entregada",IF(OR(C26="",C27=""),"",IF(C26&gt;=100,"Por entregar",IF(AND(N(Partidas!$J$2)&gt;TODAY(),N(Reprogramaciones!$V$15)=0),"Por iniciar",IF(Reprogramaciones!$V$15+0.5&lt;Reprogramaciones!$X$15,"Retrasada",IF(Reprogramaciones!$Y$15,"En riesgo",IF(Reprogramaciones!$V$15+0.5&lt;Reprogramaciones!$W$15,IF(Reprogramaciones!$K$15&gt;0,"Al día · Sem "&amp;Reprogramaciones!$K$15&amp;" en curso","Al día · en curso"),"A tiempo"))))))))))</f>
        <v>Al día · Sem 5 en curso</v>
      </c>
    </row>
    <row r="29" customFormat="false" ht="15" hidden="false" customHeight="false" outlineLevel="0" collapsed="false">
      <c r="B29" s="9" t="s">
        <v>48</v>
      </c>
      <c r="C29" s="16" t="str">
        <f aca="false">IF(OR(C10="Post venta",C10="Culminado"),IF(C19&lt;&gt;"",C19,IF(C12&lt;&gt;"",C12,"")),"")</f>
        <v/>
      </c>
      <c r="D29" s="17" t="str">
        <f aca="true">IF(C29="","",IF(C20&lt;&gt;"",C20,TODAY())-C29&amp;" días en post venta")</f>
        <v/>
      </c>
    </row>
    <row r="30" customFormat="false" ht="15" hidden="false" customHeight="false" outlineLevel="0" collapsed="false">
      <c r="B30" s="9" t="s">
        <v>49</v>
      </c>
      <c r="C30" s="15" t="str">
        <f aca="true">IF(C29="","",IF(C20&lt;&gt;"","Cerrada en "&amp;(C20-C29)&amp;" días","En curso · "&amp;(TODAY()-C29)&amp;" días"))</f>
        <v/>
      </c>
    </row>
    <row r="31" customFormat="false" ht="15" hidden="false" customHeight="false" outlineLevel="0" collapsed="false">
      <c r="B31" s="9" t="s">
        <v>50</v>
      </c>
      <c r="C31" s="15" t="str">
        <f aca="true">IF(COUNTA(C5:C10)=0,"Sin llenar",IF(C4="","Falta el código de obra",IF(C5="","Falta el cliente",IF(C6="","Falta la tienda",IF(C7="","Falta el departamento",IF(C8="","Falta el jefe",IF(C9="","Falta el coordinador",IF(C10="","Falta el estado",IF(AND(C11="",COUNT(Partidas!E6:E305)=0),"Falta la fecha de inicio",IF(AND(C12="",COUNT(Partidas!F6:F305)=0),"Falta la fecha de fin",IF(AND(C11&lt;&gt;"",C12&lt;&gt;"",C12&lt;C11),"El fin es anterior al inicio",IF(AND(C10="Post venta",C19=""),"Falta la fecha de entrega real",IF(AND(C19&lt;&gt;"",C20&lt;&gt;"",C20&lt;C19),"El cierre es anterior a la entrega",IF(AND(C11&lt;&gt;"",C12&lt;&gt;"",C12-C11&gt;69),"La obra supera 10 semanas",IF(Reprogramaciones!$E$23&lt;&gt;"OK","Revisar Reprogramaciones",IF(AND(OR(C10="Post venta",C10="Culminado"),ISNUMBER(C26),N(C26)&lt;100),"Entregada sin el 100% de avance",IF(AND(C19&lt;&gt;"",OR(C10="En ejecución",C10="Próximo proyecto")),"Tiene fecha de entrega: cambia el estado a Post venta",IF(AND(ISNUMBER(C16),C16&gt;TODAY()),"La fecha de actualización es posterior a hoy",IF(COUNTIF(Partidas!$AL$6:$AL$305,"Avance después del fin*")&gt;0,"Hay avance después del fin de la obra: registra una reprogramación por atraso (causa Interno)","OK")))))))))))))))))))</f>
        <v>OK</v>
      </c>
    </row>
    <row r="32" customFormat="false" ht="15" hidden="false" customHeight="false" outlineLevel="0" collapsed="false">
      <c r="B32" s="9" t="s">
        <v>51</v>
      </c>
      <c r="C32" s="15" t="str">
        <f aca="false">IF(COUNTIFS(Partidas!CZ6:CZ305,"Adicional",Partidas!BC6:BC305,"&gt;0")=0,"Sin adicionales",COUNTIFS(Partidas!CZ6:CZ305,"Adicional",Partidas!BC6:BC305,"&gt;0")&amp;" subpartida"&amp;IF(COUNTIFS(Partidas!CZ6:CZ305,"Adicional",Partidas!BC6:BC305,"&gt;0")=1,"","s")&amp;" · "&amp;ROUND(SUMPRODUCT(--(Partidas!CZ6:CZ305="Adicional"),Partidas!BC6:BC305,Partidas!AI6:AI305)/SUMPRODUCT(--(Partidas!CZ6:CZ305="Adicional"),Partidas!BC6:BC305),0)&amp;"% de avance · "&amp;ROUND(SUMPRODUCT(--(Partidas!CZ6:CZ305="Adicional"),Partidas!BC6:BC305)/SUM(Partidas!BC6:BC305)*100,0)&amp;"% del trabajo")</f>
        <v>Sin adicionales</v>
      </c>
    </row>
    <row r="33" customFormat="false" ht="15" hidden="false" customHeight="false" outlineLevel="0" collapsed="false">
      <c r="B33" s="9" t="s">
        <v>52</v>
      </c>
      <c r="C33" s="18" t="str">
        <f aca="false">Reprogramaciones!$E$22</f>
        <v>Sin reprogramación</v>
      </c>
      <c r="D33" s="7" t="s">
        <v>53</v>
      </c>
    </row>
    <row r="35" customFormat="false" ht="15" hidden="false" customHeight="false" outlineLevel="0" collapsed="false">
      <c r="B35" s="12" t="s">
        <v>54</v>
      </c>
      <c r="C35" s="14"/>
      <c r="D35" s="14"/>
    </row>
    <row r="36" customFormat="false" ht="15" hidden="false" customHeight="false" outlineLevel="0" collapsed="false">
      <c r="B36" s="9" t="s">
        <v>55</v>
      </c>
      <c r="C36" s="6" t="s">
        <v>56</v>
      </c>
      <c r="D36" s="7" t="s">
        <v>18</v>
      </c>
    </row>
    <row r="37" customFormat="false" ht="15" hidden="false" customHeight="false" outlineLevel="0" collapsed="false">
      <c r="B37" s="9" t="s">
        <v>57</v>
      </c>
      <c r="C37" s="6" t="s">
        <v>58</v>
      </c>
      <c r="D37" s="7" t="s">
        <v>18</v>
      </c>
    </row>
    <row r="38" customFormat="false" ht="15" hidden="false" customHeight="false" outlineLevel="0" collapsed="false">
      <c r="B38" s="9" t="s">
        <v>59</v>
      </c>
      <c r="C38" s="6" t="s">
        <v>60</v>
      </c>
      <c r="D38" s="7" t="s">
        <v>18</v>
      </c>
    </row>
  </sheetData>
  <sheetProtection sheet="true" password="c4ae" formatColumns="false" formatRows="false"/>
  <conditionalFormatting sqref="C28">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1">
      <formula>"Por entregar"</formula>
    </cfRule>
    <cfRule type="cellIs" priority="5" operator="equal" aboveAverage="0" equalAverage="0" bottom="0" percent="0" rank="0" text="" dxfId="2">
      <formula>"A tiempo"</formula>
    </cfRule>
  </conditionalFormatting>
  <conditionalFormatting sqref="C31">
    <cfRule type="expression" priority="6" aboveAverage="0" equalAverage="0" bottom="0" percent="0" rank="0" text="" dxfId="0">
      <formula>AND(C31&lt;&gt;"OK",C31&lt;&gt;"")</formula>
    </cfRule>
  </conditionalFormatting>
  <dataValidations count="10">
    <dataValidation allowBlank="true" error="Elige un valor de la lista" errorStyle="warning" errorTitle="Valor no válido" operator="between" prompt="Elige el cliente" promptTitle="Dato" showDropDown="false" showErrorMessage="true" showInputMessage="true" sqref="C5" type="list">
      <formula1>Listas!$A$2:$A$61</formula1>
      <formula2>0</formula2>
    </dataValidation>
    <dataValidation allowBlank="true" error="Elige un valor de la lista" errorStyle="stop" errorTitle="Valor no válido" operator="between" prompt="Elige el departamento" promptTitle="Dato" showDropDown="false" showErrorMessage="true" showInputMessage="true" sqref="C7" type="list">
      <formula1>Listas!$B$2:$B$26</formula1>
      <formula2>0</formula2>
    </dataValidation>
    <dataValidation allowBlank="true" error="Elige un valor de la lista" errorStyle="warning" errorTitle="Valor no válido" operator="between" prompt="Elige el jefe" promptTitle="Dato" showDropDown="false" showErrorMessage="true" showInputMessage="true" sqref="C8" type="list">
      <formula1>Listas!$C$2:$C$61</formula1>
      <formula2>0</formula2>
    </dataValidation>
    <dataValidation allowBlank="true" error="Elige un valor de la lista" errorStyle="warning" errorTitle="Valor no válido" operator="between" prompt="Elige el coordinador" promptTitle="Dato" showDropDown="false" showErrorMessage="true" showInputMessage="true" sqref="C9" type="list">
      <formula1>Listas!$D$2:$D$61</formula1>
      <formula2>0</formula2>
    </dataValidation>
    <dataValidation allowBlank="true" error="Elige un valor de la lista" errorStyle="stop" errorTitle="Valor no válido" operator="between" prompt="Elige el estado" promptTitle="Dato" showDropDown="false" showErrorMessage="true" showInputMessage="true" sqref="C10" type="list">
      <formula1>Listas!$E$2:$E$7</formula1>
      <formula2>0</formula2>
    </dataValidation>
    <dataValidation allowBlank="true" error="Elige un valor de la lista" errorStyle="warning" errorTitle="Valor no válido" operator="between" prompt="Elige el residente" promptTitle="Dato" showDropDown="false" showErrorMessage="true" showInputMessage="true" sqref="C36" type="list">
      <formula1>Listas!$F$2:$F$61</formula1>
      <formula2>0</formula2>
    </dataValidation>
    <dataValidation allowBlank="true" error="Elige un valor de la lista" errorStyle="warning" errorTitle="Valor no válido" operator="between" prompt="Elige el responsable de presupuesto" promptTitle="Dato" showDropDown="false" showErrorMessage="true" showInputMessage="true" sqref="C37" type="list">
      <formula1>Listas!$G$2:$G$61</formula1>
      <formula2>0</formula2>
    </dataValidation>
    <dataValidation allowBlank="true" error="Elige un valor de la lista" errorStyle="warning" errorTitle="Valor no válido" operator="between" prompt="Elige el responsable de procura" promptTitle="Dato" showDropDown="false" showErrorMessage="true" showInputMessage="true" sqref="C38" type="list">
      <formula1>Listas!$H$2:$H$61</formula1>
      <formula2>0</formula2>
    </dataValidation>
    <dataValidation allowBlank="true" error="Escribe una fecha dd/mm/aaaa" errorStyle="stop" operator="greaterThan" showDropDown="false" showErrorMessage="true" showInputMessage="false" sqref="C11:C12 C16 C19:C20" type="date">
      <formula1>36526</formula1>
      <formula2>0</formula2>
    </dataValidation>
    <dataValidation allowBlank="true" error="Número de 0 a 100" errorStyle="stop" operator="between" showDropDown="false" showErrorMessage="true" showInputMessage="false" sqref="C13" type="decimal">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S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1" width="9"/>
    <col collapsed="false" customWidth="true" hidden="false" outlineLevel="0" max="2" min="2" style="1" width="26"/>
    <col collapsed="false" customWidth="true" hidden="false" outlineLevel="0" max="3" min="3" style="1" width="28"/>
    <col collapsed="false" customWidth="true" hidden="false" outlineLevel="0" max="4" min="4" style="1" width="11.5"/>
    <col collapsed="false" customWidth="true" hidden="false" outlineLevel="0" max="6" min="5" style="1" width="10.51"/>
    <col collapsed="false" customWidth="true" hidden="false" outlineLevel="0" max="26" min="7" style="1" width="7.5"/>
    <col collapsed="false" customWidth="true" hidden="true" outlineLevel="0" max="31" min="27" style="1" width="6"/>
    <col collapsed="false" customWidth="true" hidden="true" outlineLevel="0" max="32" min="32" style="1" width="20"/>
    <col collapsed="false" customWidth="true" hidden="true" outlineLevel="1" max="37" min="33" style="1" width="6"/>
    <col collapsed="false" customWidth="true" hidden="false" outlineLevel="0" max="38" min="38" style="1" width="20"/>
    <col collapsed="false" customWidth="true" hidden="false" outlineLevel="0" max="54" min="39" style="1" width="11"/>
    <col collapsed="false" customWidth="true" hidden="true" outlineLevel="0" max="55" min="55" style="1" width="6"/>
    <col collapsed="false" customWidth="true" hidden="true" outlineLevel="0" max="123" min="56" style="1" width="13"/>
  </cols>
  <sheetData>
    <row r="1" customFormat="false" ht="33.75" hidden="false" customHeight="true" outlineLevel="0" collapsed="false">
      <c r="A1" s="2" t="s">
        <v>61</v>
      </c>
      <c r="AM1" s="19" t="s">
        <v>62</v>
      </c>
      <c r="AN1" s="19"/>
      <c r="AO1" s="19"/>
      <c r="AP1" s="19"/>
      <c r="AQ1" s="19"/>
      <c r="AR1" s="19"/>
      <c r="AS1" s="19"/>
      <c r="AT1" s="19"/>
      <c r="AU1" s="19"/>
      <c r="AV1" s="19"/>
      <c r="AW1" s="19"/>
      <c r="AX1" s="19"/>
      <c r="AY1" s="19"/>
      <c r="AZ1" s="19"/>
      <c r="BA1" s="19"/>
      <c r="BB1" s="19"/>
      <c r="DC1" s="20" t="n">
        <f aca="false">Reprogramaciones!K$8</f>
        <v>46286</v>
      </c>
      <c r="DD1" s="20" t="n">
        <f aca="false">Reprogramaciones!L$8</f>
        <v>46293</v>
      </c>
      <c r="DE1" s="20" t="n">
        <f aca="false">Reprogramaciones!M$8</f>
        <v>46300</v>
      </c>
      <c r="DF1" s="20" t="n">
        <f aca="false">Reprogramaciones!N$8</f>
        <v>46307</v>
      </c>
      <c r="DG1" s="20" t="n">
        <f aca="false">Reprogramaciones!O$8</f>
        <v>46314</v>
      </c>
      <c r="DH1" s="20" t="n">
        <f aca="false">Reprogramaciones!P$8</f>
        <v>46321</v>
      </c>
      <c r="DI1" s="20" t="n">
        <f aca="false">Reprogramaciones!Q$8</f>
        <v>46328</v>
      </c>
      <c r="DJ1" s="20" t="n">
        <f aca="false">Reprogramaciones!R$8</f>
        <v>46335</v>
      </c>
      <c r="DK1" s="20" t="n">
        <f aca="false">Reprogramaciones!S$8</f>
        <v>46342</v>
      </c>
      <c r="DL1" s="20" t="n">
        <f aca="false">Reprogramaciones!T$8</f>
        <v>46349</v>
      </c>
      <c r="DM1" s="20" t="n">
        <f aca="false">Reprogramaciones!U$8</f>
        <v>46356</v>
      </c>
      <c r="DN1" s="20" t="n">
        <f aca="false">Reprogramaciones!V$8</f>
        <v>46363</v>
      </c>
      <c r="DO1" s="20" t="n">
        <f aca="false">Reprogramaciones!W$8</f>
        <v>46370</v>
      </c>
      <c r="DP1" s="20" t="n">
        <f aca="false">Reprogramaciones!X$8</f>
        <v>46377</v>
      </c>
      <c r="DQ1" s="20" t="n">
        <f aca="false">Reprogramaciones!Y$8</f>
        <v>46384</v>
      </c>
      <c r="DR1" s="20" t="n">
        <f aca="false">Reprogramaciones!Z$8</f>
        <v>46391</v>
      </c>
      <c r="DS1" s="1" t="n">
        <f aca="false">Reprogramaciones!$K$15</f>
        <v>5</v>
      </c>
    </row>
    <row r="2" customFormat="false" ht="30" hidden="false" customHeight="true" outlineLevel="0" collapsed="false">
      <c r="A2" s="21" t="str">
        <f aca="false">IF(Ficha!C5="","(llena la ficha)",Ficha!C4&amp;"  "&amp;Ficha!C5&amp;" "&amp;Ficha!C6)</f>
        <v>OP-26-020  Tambo Samame Surco</v>
      </c>
      <c r="G2" s="22" t="s">
        <v>63</v>
      </c>
      <c r="H2" s="22"/>
      <c r="I2" s="22"/>
      <c r="J2" s="23" t="n">
        <f aca="false">IF(Ficha!C11&lt;&gt;"",Ficha!C11,IF(COUNT(E6:E305)=0,"",MIN(E6:E305)))</f>
        <v>46288</v>
      </c>
      <c r="K2" s="23"/>
      <c r="M2" s="22" t="s">
        <v>64</v>
      </c>
      <c r="N2" s="22"/>
      <c r="O2" s="22"/>
      <c r="P2" s="24" t="n">
        <f aca="false">IF($J$2="","",Reprogramaciones!$K$15)</f>
        <v>5</v>
      </c>
      <c r="Q2" s="25" t="str">
        <f aca="false">IF(COUNTIF($AL$6:$AL$305,"Avance después del fin*")=0,"","⚠ Hay avance registrado después del fin de la obra ("&amp;TEXT(Reprogramaciones!$E$21,"dd/mm/yyyy")&amp;"). Registra una reprogramación por atraso en la hoja Reprogramaciones (causa: Interno).")</f>
        <v/>
      </c>
      <c r="R2" s="25"/>
      <c r="S2" s="25"/>
      <c r="T2" s="25"/>
      <c r="U2" s="25"/>
      <c r="V2" s="25"/>
      <c r="W2" s="25"/>
      <c r="X2" s="25"/>
      <c r="Y2" s="25"/>
      <c r="Z2" s="25"/>
      <c r="AA2" s="25"/>
      <c r="AB2" s="25"/>
      <c r="AC2" s="25"/>
      <c r="AD2" s="25"/>
      <c r="AE2" s="25"/>
      <c r="AF2" s="25"/>
      <c r="AG2" s="25"/>
      <c r="AH2" s="25"/>
      <c r="AI2" s="25"/>
      <c r="AJ2" s="25"/>
      <c r="AK2" s="25"/>
      <c r="AL2" s="25"/>
      <c r="AM2" s="22" t="s">
        <v>65</v>
      </c>
      <c r="AN2" s="22"/>
      <c r="AO2" s="25" t="str">
        <f aca="false">Reprogramaciones!$E$22</f>
        <v>Sin reprogramación</v>
      </c>
      <c r="AP2" s="25"/>
      <c r="AQ2" s="25"/>
      <c r="AR2" s="25"/>
      <c r="AS2" s="25"/>
      <c r="AT2" s="25"/>
      <c r="AU2" s="25"/>
      <c r="AV2" s="25"/>
      <c r="AW2" s="25"/>
      <c r="AX2" s="25"/>
      <c r="AY2" s="25"/>
      <c r="AZ2" s="25"/>
      <c r="BA2" s="25"/>
      <c r="BB2" s="25"/>
      <c r="DC2" s="20" t="n">
        <f aca="false">Reprogramaciones!K$9</f>
        <v>46292</v>
      </c>
      <c r="DD2" s="20" t="n">
        <f aca="false">Reprogramaciones!L$9</f>
        <v>46299</v>
      </c>
      <c r="DE2" s="20" t="n">
        <f aca="false">Reprogramaciones!M$9</f>
        <v>46306</v>
      </c>
      <c r="DF2" s="20" t="n">
        <f aca="false">Reprogramaciones!N$9</f>
        <v>46313</v>
      </c>
      <c r="DG2" s="20" t="n">
        <f aca="false">Reprogramaciones!O$9</f>
        <v>46320</v>
      </c>
      <c r="DH2" s="20" t="n">
        <f aca="false">Reprogramaciones!P$9</f>
        <v>46327</v>
      </c>
      <c r="DI2" s="20" t="n">
        <f aca="false">Reprogramaciones!Q$9</f>
        <v>46334</v>
      </c>
      <c r="DJ2" s="20" t="n">
        <f aca="false">Reprogramaciones!R$9</f>
        <v>46341</v>
      </c>
      <c r="DK2" s="20" t="n">
        <f aca="false">Reprogramaciones!S$9</f>
        <v>46348</v>
      </c>
      <c r="DL2" s="20" t="n">
        <f aca="false">Reprogramaciones!T$9</f>
        <v>46355</v>
      </c>
      <c r="DM2" s="20" t="n">
        <f aca="false">Reprogramaciones!U$9</f>
        <v>46362</v>
      </c>
      <c r="DN2" s="20" t="n">
        <f aca="false">Reprogramaciones!V$9</f>
        <v>46369</v>
      </c>
      <c r="DO2" s="20" t="n">
        <f aca="false">Reprogramaciones!W$9</f>
        <v>46376</v>
      </c>
      <c r="DP2" s="20" t="n">
        <f aca="false">Reprogramaciones!X$9</f>
        <v>46383</v>
      </c>
      <c r="DQ2" s="20" t="n">
        <f aca="false">Reprogramaciones!Y$9</f>
        <v>46390</v>
      </c>
      <c r="DR2" s="20" t="n">
        <f aca="false">Reprogramaciones!Z$9</f>
        <v>46397</v>
      </c>
      <c r="DS2" s="1" t="n">
        <f aca="false">Reprogramaciones!$U$15</f>
        <v>6</v>
      </c>
    </row>
    <row r="3" customFormat="false" ht="30" hidden="false" customHeight="true" outlineLevel="0" collapsed="false">
      <c r="A3" s="26" t="s">
        <v>66</v>
      </c>
      <c r="B3" s="26"/>
      <c r="C3" s="26"/>
      <c r="D3" s="26"/>
      <c r="E3" s="26"/>
      <c r="F3" s="26"/>
      <c r="G3" s="27" t="s">
        <v>67</v>
      </c>
      <c r="H3" s="27"/>
      <c r="I3" s="27"/>
      <c r="J3" s="27"/>
      <c r="K3" s="27"/>
      <c r="L3" s="27"/>
      <c r="M3" s="27"/>
      <c r="N3" s="27"/>
      <c r="O3" s="27"/>
      <c r="P3" s="27"/>
      <c r="Q3" s="27" t="s">
        <v>68</v>
      </c>
      <c r="R3" s="27"/>
      <c r="S3" s="27"/>
      <c r="T3" s="27"/>
      <c r="U3" s="27"/>
      <c r="V3" s="27"/>
      <c r="W3" s="27"/>
      <c r="X3" s="27"/>
      <c r="Y3" s="27"/>
      <c r="Z3" s="27"/>
      <c r="AA3" s="27"/>
      <c r="AB3" s="27"/>
      <c r="AC3" s="27"/>
      <c r="AD3" s="27"/>
      <c r="AE3" s="27"/>
      <c r="AF3" s="27"/>
      <c r="AM3" s="27" t="s">
        <v>69</v>
      </c>
      <c r="AN3" s="27"/>
      <c r="AO3" s="27"/>
      <c r="AP3" s="27"/>
      <c r="AQ3" s="27"/>
      <c r="AR3" s="27"/>
      <c r="AS3" s="27"/>
      <c r="AT3" s="27"/>
      <c r="AU3" s="27"/>
      <c r="AV3" s="27"/>
      <c r="AW3" s="27"/>
      <c r="AX3" s="27"/>
      <c r="AY3" s="27"/>
      <c r="AZ3" s="27"/>
      <c r="BA3" s="27"/>
      <c r="BB3" s="27"/>
      <c r="DC3" s="1" t="n">
        <f aca="false">Reprogramaciones!K$12</f>
        <v>0</v>
      </c>
      <c r="DD3" s="1" t="n">
        <f aca="false">Reprogramaciones!L$12</f>
        <v>0</v>
      </c>
      <c r="DE3" s="1" t="n">
        <f aca="false">Reprogramaciones!M$12</f>
        <v>0</v>
      </c>
      <c r="DF3" s="1" t="n">
        <f aca="false">Reprogramaciones!N$12</f>
        <v>0</v>
      </c>
      <c r="DG3" s="1" t="n">
        <f aca="false">Reprogramaciones!O$12</f>
        <v>0</v>
      </c>
      <c r="DH3" s="1" t="n">
        <f aca="false">Reprogramaciones!P$12</f>
        <v>0</v>
      </c>
      <c r="DI3" s="1" t="n">
        <f aca="false">Reprogramaciones!Q$12</f>
        <v>0</v>
      </c>
      <c r="DJ3" s="1" t="n">
        <f aca="false">Reprogramaciones!R$12</f>
        <v>0</v>
      </c>
      <c r="DK3" s="1" t="n">
        <f aca="false">Reprogramaciones!S$12</f>
        <v>0</v>
      </c>
      <c r="DL3" s="1" t="n">
        <f aca="false">Reprogramaciones!T$12</f>
        <v>0</v>
      </c>
      <c r="DM3" s="1" t="n">
        <f aca="false">Reprogramaciones!U$12</f>
        <v>0</v>
      </c>
      <c r="DN3" s="1" t="n">
        <f aca="false">Reprogramaciones!V$12</f>
        <v>0</v>
      </c>
      <c r="DO3" s="1" t="n">
        <f aca="false">Reprogramaciones!W$12</f>
        <v>0</v>
      </c>
      <c r="DP3" s="1" t="n">
        <f aca="false">Reprogramaciones!X$12</f>
        <v>0</v>
      </c>
      <c r="DQ3" s="1" t="n">
        <f aca="false">Reprogramaciones!Y$12</f>
        <v>0</v>
      </c>
      <c r="DR3" s="1" t="n">
        <f aca="false">Reprogramaciones!Z$12</f>
        <v>0</v>
      </c>
      <c r="DS3" s="20" t="n">
        <f aca="false">Reprogramaciones!$E$21</f>
        <v>46321</v>
      </c>
    </row>
    <row r="4" customFormat="false" ht="25.5" hidden="false" customHeight="true" outlineLevel="0" collapsed="false">
      <c r="A4" s="26"/>
      <c r="B4" s="26"/>
      <c r="C4" s="26"/>
      <c r="D4" s="26"/>
      <c r="E4" s="26"/>
      <c r="F4" s="26"/>
      <c r="G4" s="28" t="str">
        <f aca="false">IF($J$2="","",TEXT(Reprogramaciones!K$8,"dd/mm")&amp;CHAR(10)&amp;TEXT(Reprogramaciones!K$9,"dd/mm"))</f>
        <v>21/09
27/09</v>
      </c>
      <c r="H4" s="28" t="str">
        <f aca="false">IF($J$2="","",TEXT(Reprogramaciones!L$8,"dd/mm")&amp;CHAR(10)&amp;TEXT(Reprogramaciones!L$9,"dd/mm"))</f>
        <v>28/09
04/10</v>
      </c>
      <c r="I4" s="28" t="str">
        <f aca="false">IF($J$2="","",TEXT(Reprogramaciones!M$8,"dd/mm")&amp;CHAR(10)&amp;TEXT(Reprogramaciones!M$9,"dd/mm"))</f>
        <v>05/10
11/10</v>
      </c>
      <c r="J4" s="28" t="str">
        <f aca="false">IF($J$2="","",TEXT(Reprogramaciones!N$8,"dd/mm")&amp;CHAR(10)&amp;TEXT(Reprogramaciones!N$9,"dd/mm"))</f>
        <v>12/10
18/10</v>
      </c>
      <c r="K4" s="28" t="str">
        <f aca="false">IF($J$2="","",TEXT(Reprogramaciones!O$8,"dd/mm")&amp;CHAR(10)&amp;TEXT(Reprogramaciones!O$9,"dd/mm"))</f>
        <v>19/10
25/10</v>
      </c>
      <c r="L4" s="28" t="str">
        <f aca="false">IF($J$2="","",TEXT(Reprogramaciones!P$8,"dd/mm")&amp;CHAR(10)&amp;TEXT(Reprogramaciones!P$9,"dd/mm"))</f>
        <v>26/10
01/11</v>
      </c>
      <c r="M4" s="28" t="str">
        <f aca="false">IF($J$2="","",TEXT(Reprogramaciones!Q$8,"dd/mm")&amp;CHAR(10)&amp;TEXT(Reprogramaciones!Q$9,"dd/mm"))</f>
        <v>02/11
08/11</v>
      </c>
      <c r="N4" s="28" t="str">
        <f aca="false">IF($J$2="","",TEXT(Reprogramaciones!R$8,"dd/mm")&amp;CHAR(10)&amp;TEXT(Reprogramaciones!R$9,"dd/mm"))</f>
        <v>09/11
15/11</v>
      </c>
      <c r="O4" s="28" t="str">
        <f aca="false">IF($J$2="","",TEXT(Reprogramaciones!S$8,"dd/mm")&amp;CHAR(10)&amp;TEXT(Reprogramaciones!S$9,"dd/mm"))</f>
        <v>16/11
22/11</v>
      </c>
      <c r="P4" s="28" t="str">
        <f aca="false">IF($J$2="","",TEXT(Reprogramaciones!T$8,"dd/mm")&amp;CHAR(10)&amp;TEXT(Reprogramaciones!T$9,"dd/mm"))</f>
        <v>23/11
29/11</v>
      </c>
      <c r="Q4" s="28" t="str">
        <f aca="false">IF(OR($J$2="",AND(1&gt;10,1&gt;Reprogramaciones!$U$15)),"",TEXT(Reprogramaciones!K$8,"dd/mm")&amp;CHAR(10)&amp;TEXT(Reprogramaciones!K$9,"dd/mm"))</f>
        <v>21/09
27/09</v>
      </c>
      <c r="R4" s="28" t="str">
        <f aca="false">IF(OR($J$2="",AND(2&gt;10,2&gt;Reprogramaciones!$U$15)),"",TEXT(Reprogramaciones!L$8,"dd/mm")&amp;CHAR(10)&amp;TEXT(Reprogramaciones!L$9,"dd/mm"))</f>
        <v>28/09
04/10</v>
      </c>
      <c r="S4" s="28" t="str">
        <f aca="false">IF(OR($J$2="",AND(3&gt;10,3&gt;Reprogramaciones!$U$15)),"",TEXT(Reprogramaciones!M$8,"dd/mm")&amp;CHAR(10)&amp;TEXT(Reprogramaciones!M$9,"dd/mm"))</f>
        <v>05/10
11/10</v>
      </c>
      <c r="T4" s="28" t="str">
        <f aca="false">IF(OR($J$2="",AND(4&gt;10,4&gt;Reprogramaciones!$U$15)),"",TEXT(Reprogramaciones!N$8,"dd/mm")&amp;CHAR(10)&amp;TEXT(Reprogramaciones!N$9,"dd/mm"))</f>
        <v>12/10
18/10</v>
      </c>
      <c r="U4" s="28" t="str">
        <f aca="false">IF(OR($J$2="",AND(5&gt;10,5&gt;Reprogramaciones!$U$15)),"",TEXT(Reprogramaciones!O$8,"dd/mm")&amp;CHAR(10)&amp;TEXT(Reprogramaciones!O$9,"dd/mm"))</f>
        <v>19/10
25/10</v>
      </c>
      <c r="V4" s="28" t="str">
        <f aca="false">IF(OR($J$2="",AND(6&gt;10,6&gt;Reprogramaciones!$U$15)),"",TEXT(Reprogramaciones!P$8,"dd/mm")&amp;CHAR(10)&amp;TEXT(Reprogramaciones!P$9,"dd/mm"))</f>
        <v>26/10
01/11</v>
      </c>
      <c r="W4" s="28" t="str">
        <f aca="false">IF(OR($J$2="",AND(7&gt;10,7&gt;Reprogramaciones!$U$15)),"",TEXT(Reprogramaciones!Q$8,"dd/mm")&amp;CHAR(10)&amp;TEXT(Reprogramaciones!Q$9,"dd/mm"))</f>
        <v>02/11
08/11</v>
      </c>
      <c r="X4" s="28" t="str">
        <f aca="false">IF(OR($J$2="",AND(8&gt;10,8&gt;Reprogramaciones!$U$15)),"",TEXT(Reprogramaciones!R$8,"dd/mm")&amp;CHAR(10)&amp;TEXT(Reprogramaciones!R$9,"dd/mm"))</f>
        <v>09/11
15/11</v>
      </c>
      <c r="Y4" s="28" t="str">
        <f aca="false">IF(OR($J$2="",AND(9&gt;10,9&gt;Reprogramaciones!$U$15)),"",TEXT(Reprogramaciones!S$8,"dd/mm")&amp;CHAR(10)&amp;TEXT(Reprogramaciones!S$9,"dd/mm"))</f>
        <v>16/11
22/11</v>
      </c>
      <c r="Z4" s="28" t="str">
        <f aca="false">IF(OR($J$2="",AND(10&gt;10,10&gt;Reprogramaciones!$U$15)),"",TEXT(Reprogramaciones!T$8,"dd/mm")&amp;CHAR(10)&amp;TEXT(Reprogramaciones!T$9,"dd/mm"))</f>
        <v>23/11
29/11</v>
      </c>
      <c r="AA4" s="28" t="str">
        <f aca="false">IF(OR($J$2="",AND(11&gt;10,11&gt;Reprogramaciones!$U$15)),"",TEXT(Reprogramaciones!U$8,"dd/mm")&amp;CHAR(10)&amp;TEXT(Reprogramaciones!U$9,"dd/mm"))</f>
        <v/>
      </c>
      <c r="AB4" s="28" t="str">
        <f aca="false">IF(OR($J$2="",AND(12&gt;10,12&gt;Reprogramaciones!$U$15)),"",TEXT(Reprogramaciones!V$8,"dd/mm")&amp;CHAR(10)&amp;TEXT(Reprogramaciones!V$9,"dd/mm"))</f>
        <v/>
      </c>
      <c r="AC4" s="28" t="str">
        <f aca="false">IF(OR($J$2="",AND(13&gt;10,13&gt;Reprogramaciones!$U$15)),"",TEXT(Reprogramaciones!W$8,"dd/mm")&amp;CHAR(10)&amp;TEXT(Reprogramaciones!W$9,"dd/mm"))</f>
        <v/>
      </c>
      <c r="AD4" s="28" t="str">
        <f aca="false">IF(OR($J$2="",AND(14&gt;10,14&gt;Reprogramaciones!$U$15)),"",TEXT(Reprogramaciones!X$8,"dd/mm")&amp;CHAR(10)&amp;TEXT(Reprogramaciones!X$9,"dd/mm"))</f>
        <v/>
      </c>
      <c r="AE4" s="28" t="str">
        <f aca="false">IF(OR($J$2="",AND(15&gt;10,15&gt;Reprogramaciones!$U$15)),"",TEXT(Reprogramaciones!Y$8,"dd/mm")&amp;CHAR(10)&amp;TEXT(Reprogramaciones!Y$9,"dd/mm"))</f>
        <v/>
      </c>
      <c r="AF4" s="28" t="str">
        <f aca="false">IF(OR($J$2="",AND(16&gt;10,16&gt;Reprogramaciones!$U$15)),"",TEXT(Reprogramaciones!Z$8,"dd/mm")&amp;CHAR(10)&amp;TEXT(Reprogramaciones!Z$9,"dd/mm"))</f>
        <v/>
      </c>
      <c r="AM4" s="28" t="str">
        <f aca="false">IF(OR($J$2="",1&gt;MAX(1,Reprogramaciones!$U$15)),"",TEXT(Reprogramaciones!K$8,"dd/mm")&amp;CHAR(10)&amp;TEXT(Reprogramaciones!K$9,"dd/mm"))</f>
        <v>21/09
27/09</v>
      </c>
      <c r="AN4" s="28" t="str">
        <f aca="false">IF(OR($J$2="",2&gt;MAX(1,Reprogramaciones!$U$15)),"",TEXT(Reprogramaciones!L$8,"dd/mm")&amp;CHAR(10)&amp;TEXT(Reprogramaciones!L$9,"dd/mm"))</f>
        <v>28/09
04/10</v>
      </c>
      <c r="AO4" s="28" t="str">
        <f aca="false">IF(OR($J$2="",3&gt;MAX(1,Reprogramaciones!$U$15)),"",TEXT(Reprogramaciones!M$8,"dd/mm")&amp;CHAR(10)&amp;TEXT(Reprogramaciones!M$9,"dd/mm"))</f>
        <v>05/10
11/10</v>
      </c>
      <c r="AP4" s="28" t="str">
        <f aca="false">IF(OR($J$2="",4&gt;MAX(1,Reprogramaciones!$U$15)),"",TEXT(Reprogramaciones!N$8,"dd/mm")&amp;CHAR(10)&amp;TEXT(Reprogramaciones!N$9,"dd/mm"))</f>
        <v>12/10
18/10</v>
      </c>
      <c r="AQ4" s="28" t="str">
        <f aca="false">IF(OR($J$2="",5&gt;MAX(1,Reprogramaciones!$U$15)),"",TEXT(Reprogramaciones!O$8,"dd/mm")&amp;CHAR(10)&amp;TEXT(Reprogramaciones!O$9,"dd/mm"))</f>
        <v>19/10
25/10</v>
      </c>
      <c r="AR4" s="28" t="str">
        <f aca="false">IF(OR($J$2="",6&gt;MAX(1,Reprogramaciones!$U$15)),"",TEXT(Reprogramaciones!P$8,"dd/mm")&amp;CHAR(10)&amp;TEXT(Reprogramaciones!P$9,"dd/mm"))</f>
        <v>26/10
01/11</v>
      </c>
      <c r="AS4" s="28" t="str">
        <f aca="false">IF(OR($J$2="",7&gt;MAX(1,Reprogramaciones!$U$15)),"",TEXT(Reprogramaciones!Q$8,"dd/mm")&amp;CHAR(10)&amp;TEXT(Reprogramaciones!Q$9,"dd/mm"))</f>
        <v/>
      </c>
      <c r="AT4" s="28" t="str">
        <f aca="false">IF(OR($J$2="",8&gt;MAX(1,Reprogramaciones!$U$15)),"",TEXT(Reprogramaciones!R$8,"dd/mm")&amp;CHAR(10)&amp;TEXT(Reprogramaciones!R$9,"dd/mm"))</f>
        <v/>
      </c>
      <c r="AU4" s="28" t="str">
        <f aca="false">IF(OR($J$2="",9&gt;MAX(1,Reprogramaciones!$U$15)),"",TEXT(Reprogramaciones!S$8,"dd/mm")&amp;CHAR(10)&amp;TEXT(Reprogramaciones!S$9,"dd/mm"))</f>
        <v/>
      </c>
      <c r="AV4" s="28" t="str">
        <f aca="false">IF(OR($J$2="",10&gt;MAX(1,Reprogramaciones!$U$15)),"",TEXT(Reprogramaciones!T$8,"dd/mm")&amp;CHAR(10)&amp;TEXT(Reprogramaciones!T$9,"dd/mm"))</f>
        <v/>
      </c>
      <c r="AW4" s="28" t="str">
        <f aca="false">IF(OR($J$2="",11&gt;MAX(1,Reprogramaciones!$U$15)),"",TEXT(Reprogramaciones!U$8,"dd/mm")&amp;CHAR(10)&amp;TEXT(Reprogramaciones!U$9,"dd/mm"))</f>
        <v/>
      </c>
      <c r="AX4" s="28" t="str">
        <f aca="false">IF(OR($J$2="",12&gt;MAX(1,Reprogramaciones!$U$15)),"",TEXT(Reprogramaciones!V$8,"dd/mm")&amp;CHAR(10)&amp;TEXT(Reprogramaciones!V$9,"dd/mm"))</f>
        <v/>
      </c>
      <c r="AY4" s="28" t="str">
        <f aca="false">IF(OR($J$2="",13&gt;MAX(1,Reprogramaciones!$U$15)),"",TEXT(Reprogramaciones!W$8,"dd/mm")&amp;CHAR(10)&amp;TEXT(Reprogramaciones!W$9,"dd/mm"))</f>
        <v/>
      </c>
      <c r="AZ4" s="28" t="str">
        <f aca="false">IF(OR($J$2="",14&gt;MAX(1,Reprogramaciones!$U$15)),"",TEXT(Reprogramaciones!X$8,"dd/mm")&amp;CHAR(10)&amp;TEXT(Reprogramaciones!X$9,"dd/mm"))</f>
        <v/>
      </c>
      <c r="BA4" s="28" t="str">
        <f aca="false">IF(OR($J$2="",15&gt;MAX(1,Reprogramaciones!$U$15)),"",TEXT(Reprogramaciones!Y$8,"dd/mm")&amp;CHAR(10)&amp;TEXT(Reprogramaciones!Y$9,"dd/mm"))</f>
        <v/>
      </c>
      <c r="BB4" s="28" t="str">
        <f aca="false">IF(OR($J$2="",16&gt;MAX(1,Reprogramaciones!$U$15)),"",TEXT(Reprogramaciones!Z$8,"dd/mm")&amp;CHAR(10)&amp;TEXT(Reprogramaciones!Z$9,"dd/mm"))</f>
        <v/>
      </c>
    </row>
    <row r="5" customFormat="false" ht="30" hidden="false" customHeight="true" outlineLevel="0" collapsed="false">
      <c r="A5" s="29" t="s">
        <v>70</v>
      </c>
      <c r="B5" s="29" t="s">
        <v>71</v>
      </c>
      <c r="C5" s="29" t="s">
        <v>72</v>
      </c>
      <c r="D5" s="29" t="s">
        <v>73</v>
      </c>
      <c r="E5" s="29" t="s">
        <v>74</v>
      </c>
      <c r="F5" s="29" t="s">
        <v>75</v>
      </c>
      <c r="G5" s="29" t="s">
        <v>76</v>
      </c>
      <c r="H5" s="29" t="s">
        <v>77</v>
      </c>
      <c r="I5" s="29" t="s">
        <v>78</v>
      </c>
      <c r="J5" s="29" t="s">
        <v>79</v>
      </c>
      <c r="K5" s="29" t="s">
        <v>80</v>
      </c>
      <c r="L5" s="29" t="s">
        <v>81</v>
      </c>
      <c r="M5" s="29" t="s">
        <v>82</v>
      </c>
      <c r="N5" s="29" t="s">
        <v>83</v>
      </c>
      <c r="O5" s="29" t="s">
        <v>84</v>
      </c>
      <c r="P5" s="29" t="s">
        <v>85</v>
      </c>
      <c r="Q5" s="29" t="s">
        <v>86</v>
      </c>
      <c r="R5" s="29" t="s">
        <v>87</v>
      </c>
      <c r="S5" s="29" t="s">
        <v>88</v>
      </c>
      <c r="T5" s="29" t="s">
        <v>89</v>
      </c>
      <c r="U5" s="29" t="s">
        <v>90</v>
      </c>
      <c r="V5" s="29" t="s">
        <v>91</v>
      </c>
      <c r="W5" s="29" t="s">
        <v>92</v>
      </c>
      <c r="X5" s="29" t="s">
        <v>93</v>
      </c>
      <c r="Y5" s="29" t="s">
        <v>94</v>
      </c>
      <c r="Z5" s="29" t="s">
        <v>95</v>
      </c>
      <c r="AA5" s="30" t="str">
        <f aca="false">IF(OR($J$2="",11&gt;Reprogramaciones!$U$15),"","Avance sem 11")</f>
        <v/>
      </c>
      <c r="AB5" s="30" t="str">
        <f aca="false">IF(OR($J$2="",12&gt;Reprogramaciones!$U$15),"","Avance sem 12")</f>
        <v/>
      </c>
      <c r="AC5" s="30" t="str">
        <f aca="false">IF(OR($J$2="",13&gt;Reprogramaciones!$U$15),"","Avance sem 13")</f>
        <v/>
      </c>
      <c r="AD5" s="30" t="str">
        <f aca="false">IF(OR($J$2="",14&gt;Reprogramaciones!$U$15),"","Avance sem 14")</f>
        <v/>
      </c>
      <c r="AE5" s="30" t="str">
        <f aca="false">IF(OR($J$2="",15&gt;Reprogramaciones!$U$15),"","Avance sem 15")</f>
        <v/>
      </c>
      <c r="AF5" s="30" t="str">
        <f aca="false">IF(OR($J$2="",16&gt;Reprogramaciones!$U$15),"","Avance sem 16")</f>
        <v/>
      </c>
      <c r="AG5" s="29" t="s">
        <v>96</v>
      </c>
      <c r="AH5" s="29" t="s">
        <v>97</v>
      </c>
      <c r="AI5" s="29" t="s">
        <v>98</v>
      </c>
      <c r="AJ5" s="29" t="s">
        <v>99</v>
      </c>
      <c r="AK5" s="29" t="s">
        <v>100</v>
      </c>
      <c r="AL5" s="29" t="s">
        <v>101</v>
      </c>
      <c r="AM5" s="30" t="str">
        <f aca="false">IF(OR($J$2="",1&gt;MAX(1,Reprogramaciones!$U$15)),"","Sem 1")</f>
        <v>Sem 1</v>
      </c>
      <c r="AN5" s="30" t="str">
        <f aca="false">IF(OR($J$2="",2&gt;MAX(1,Reprogramaciones!$U$15)),"","Sem 2")</f>
        <v>Sem 2</v>
      </c>
      <c r="AO5" s="30" t="str">
        <f aca="false">IF(OR($J$2="",3&gt;MAX(1,Reprogramaciones!$U$15)),"","Sem 3")</f>
        <v>Sem 3</v>
      </c>
      <c r="AP5" s="30" t="str">
        <f aca="false">IF(OR($J$2="",4&gt;MAX(1,Reprogramaciones!$U$15)),"","Sem 4")</f>
        <v>Sem 4</v>
      </c>
      <c r="AQ5" s="30" t="str">
        <f aca="false">IF(OR($J$2="",5&gt;MAX(1,Reprogramaciones!$U$15)),"","Sem 5")</f>
        <v>Sem 5</v>
      </c>
      <c r="AR5" s="30" t="str">
        <f aca="false">IF(OR($J$2="",6&gt;MAX(1,Reprogramaciones!$U$15)),"","Sem 6")</f>
        <v>Sem 6</v>
      </c>
      <c r="AS5" s="30" t="str">
        <f aca="false">IF(OR($J$2="",7&gt;MAX(1,Reprogramaciones!$U$15)),"","Sem 7")</f>
        <v/>
      </c>
      <c r="AT5" s="30" t="str">
        <f aca="false">IF(OR($J$2="",8&gt;MAX(1,Reprogramaciones!$U$15)),"","Sem 8")</f>
        <v/>
      </c>
      <c r="AU5" s="30" t="str">
        <f aca="false">IF(OR($J$2="",9&gt;MAX(1,Reprogramaciones!$U$15)),"","Sem 9")</f>
        <v/>
      </c>
      <c r="AV5" s="30" t="str">
        <f aca="false">IF(OR($J$2="",10&gt;MAX(1,Reprogramaciones!$U$15)),"","Sem 10")</f>
        <v/>
      </c>
      <c r="AW5" s="30" t="str">
        <f aca="false">IF(OR($J$2="",11&gt;MAX(1,Reprogramaciones!$U$15)),"","Sem 11")</f>
        <v/>
      </c>
      <c r="AX5" s="30" t="str">
        <f aca="false">IF(OR($J$2="",12&gt;MAX(1,Reprogramaciones!$U$15)),"","Sem 12")</f>
        <v/>
      </c>
      <c r="AY5" s="30" t="str">
        <f aca="false">IF(OR($J$2="",13&gt;MAX(1,Reprogramaciones!$U$15)),"","Sem 13")</f>
        <v/>
      </c>
      <c r="AZ5" s="30" t="str">
        <f aca="false">IF(OR($J$2="",14&gt;MAX(1,Reprogramaciones!$U$15)),"","Sem 14")</f>
        <v/>
      </c>
      <c r="BA5" s="30" t="str">
        <f aca="false">IF(OR($J$2="",15&gt;MAX(1,Reprogramaciones!$U$15)),"","Sem 15")</f>
        <v/>
      </c>
      <c r="BB5" s="30" t="str">
        <f aca="false">IF(OR($J$2="",16&gt;MAX(1,Reprogramaciones!$U$15)),"","Sem 16")</f>
        <v/>
      </c>
      <c r="BC5" s="29" t="s">
        <v>102</v>
      </c>
      <c r="BD5" s="31" t="s">
        <v>103</v>
      </c>
      <c r="BE5" s="31" t="s">
        <v>104</v>
      </c>
      <c r="BF5" s="31" t="s">
        <v>105</v>
      </c>
      <c r="BG5" s="31" t="s">
        <v>106</v>
      </c>
      <c r="BH5" s="31" t="s">
        <v>107</v>
      </c>
      <c r="BI5" s="31" t="s">
        <v>108</v>
      </c>
      <c r="BJ5" s="31" t="s">
        <v>109</v>
      </c>
      <c r="BK5" s="31" t="s">
        <v>110</v>
      </c>
      <c r="BL5" s="31" t="s">
        <v>111</v>
      </c>
      <c r="BM5" s="31" t="s">
        <v>112</v>
      </c>
      <c r="BN5" s="31" t="s">
        <v>113</v>
      </c>
      <c r="BO5" s="31" t="s">
        <v>114</v>
      </c>
      <c r="BP5" s="31" t="s">
        <v>115</v>
      </c>
      <c r="BQ5" s="31" t="s">
        <v>116</v>
      </c>
      <c r="BR5" s="31" t="s">
        <v>117</v>
      </c>
      <c r="BS5" s="31" t="s">
        <v>118</v>
      </c>
      <c r="BT5" s="31" t="s">
        <v>119</v>
      </c>
      <c r="BU5" s="31" t="s">
        <v>120</v>
      </c>
      <c r="BV5" s="31" t="s">
        <v>121</v>
      </c>
      <c r="BW5" s="31" t="s">
        <v>122</v>
      </c>
      <c r="BX5" s="31" t="s">
        <v>123</v>
      </c>
      <c r="BY5" s="31" t="s">
        <v>124</v>
      </c>
      <c r="BZ5" s="31" t="s">
        <v>125</v>
      </c>
      <c r="CA5" s="31" t="s">
        <v>126</v>
      </c>
      <c r="CB5" s="31" t="s">
        <v>127</v>
      </c>
      <c r="CC5" s="31" t="s">
        <v>128</v>
      </c>
      <c r="CD5" s="31" t="s">
        <v>129</v>
      </c>
      <c r="CE5" s="31" t="s">
        <v>130</v>
      </c>
      <c r="CF5" s="31" t="s">
        <v>131</v>
      </c>
      <c r="CG5" s="31" t="s">
        <v>132</v>
      </c>
      <c r="CH5" s="31" t="s">
        <v>133</v>
      </c>
      <c r="CI5" s="31" t="s">
        <v>134</v>
      </c>
      <c r="CJ5" s="31" t="s">
        <v>135</v>
      </c>
      <c r="CK5" s="31" t="s">
        <v>136</v>
      </c>
      <c r="CL5" s="31" t="s">
        <v>137</v>
      </c>
      <c r="CM5" s="31" t="s">
        <v>138</v>
      </c>
      <c r="CN5" s="31" t="s">
        <v>139</v>
      </c>
      <c r="CO5" s="31" t="s">
        <v>140</v>
      </c>
      <c r="CP5" s="31" t="s">
        <v>141</v>
      </c>
      <c r="CQ5" s="31" t="s">
        <v>142</v>
      </c>
      <c r="CR5" s="31" t="s">
        <v>143</v>
      </c>
      <c r="CS5" s="31" t="s">
        <v>144</v>
      </c>
      <c r="CT5" s="31" t="s">
        <v>145</v>
      </c>
      <c r="CU5" s="31" t="s">
        <v>146</v>
      </c>
      <c r="CV5" s="31" t="s">
        <v>147</v>
      </c>
      <c r="CW5" s="31" t="s">
        <v>148</v>
      </c>
      <c r="CX5" s="31" t="s">
        <v>149</v>
      </c>
      <c r="CY5" s="31" t="s">
        <v>150</v>
      </c>
      <c r="CZ5" s="31" t="s">
        <v>151</v>
      </c>
      <c r="DA5" s="31" t="s">
        <v>152</v>
      </c>
    </row>
    <row r="6" customFormat="false" ht="15" hidden="false" customHeight="false" outlineLevel="0" collapsed="false">
      <c r="A6" s="32" t="s">
        <v>153</v>
      </c>
      <c r="B6" s="33" t="s">
        <v>154</v>
      </c>
      <c r="C6" s="33"/>
      <c r="D6" s="34"/>
      <c r="E6" s="35"/>
      <c r="F6" s="35"/>
      <c r="G6" s="36" t="str">
        <f aca="false">IF(OR(NOT(AND(ISNUMBER(E6),ISNUMBER(F6))),$J$2=""),"",IF(Reprogramaciones!K$9&lt;E6,0,IF(NETWORKDAYS.INTL(E6,F6,11)=0,IF(Reprogramaciones!K$9&gt;=F6,100,0),ROUND(NETWORKDAYS.INTL(E6,MIN(F6,Reprogramaciones!K$9),11)/NETWORKDAYS.INTL(E6,F6,11)*100,1)))-0)</f>
        <v/>
      </c>
      <c r="H6" s="36" t="str">
        <f aca="false">IF(OR(NOT(AND(ISNUMBER(E6),ISNUMBER(F6))),$J$2=""),"",IF(Reprogramaciones!L$9&lt;E6,0,IF(NETWORKDAYS.INTL(E6,F6,11)=0,IF(Reprogramaciones!L$9&gt;=F6,100,0),ROUND(NETWORKDAYS.INTL(E6,MIN(F6,Reprogramaciones!L$9),11)/NETWORKDAYS.INTL(E6,F6,11)*100,1)))-IF(Reprogramaciones!K$9&lt;E6,0,IF(NETWORKDAYS.INTL(E6,F6,11)=0,IF(Reprogramaciones!K$9&gt;=F6,100,0),ROUND(NETWORKDAYS.INTL(E6,MIN(F6,Reprogramaciones!K$9),11)/NETWORKDAYS.INTL(E6,F6,11)*100,1))))</f>
        <v/>
      </c>
      <c r="I6" s="36" t="str">
        <f aca="false">IF(OR(NOT(AND(ISNUMBER(E6),ISNUMBER(F6))),$J$2=""),"",IF(Reprogramaciones!M$9&lt;E6,0,IF(NETWORKDAYS.INTL(E6,F6,11)=0,IF(Reprogramaciones!M$9&gt;=F6,100,0),ROUND(NETWORKDAYS.INTL(E6,MIN(F6,Reprogramaciones!M$9),11)/NETWORKDAYS.INTL(E6,F6,11)*100,1)))-IF(Reprogramaciones!L$9&lt;E6,0,IF(NETWORKDAYS.INTL(E6,F6,11)=0,IF(Reprogramaciones!L$9&gt;=F6,100,0),ROUND(NETWORKDAYS.INTL(E6,MIN(F6,Reprogramaciones!L$9),11)/NETWORKDAYS.INTL(E6,F6,11)*100,1))))</f>
        <v/>
      </c>
      <c r="J6" s="36" t="str">
        <f aca="false">IF(OR(NOT(AND(ISNUMBER(E6),ISNUMBER(F6))),$J$2=""),"",IF(Reprogramaciones!N$9&lt;E6,0,IF(NETWORKDAYS.INTL(E6,F6,11)=0,IF(Reprogramaciones!N$9&gt;=F6,100,0),ROUND(NETWORKDAYS.INTL(E6,MIN(F6,Reprogramaciones!N$9),11)/NETWORKDAYS.INTL(E6,F6,11)*100,1)))-IF(Reprogramaciones!M$9&lt;E6,0,IF(NETWORKDAYS.INTL(E6,F6,11)=0,IF(Reprogramaciones!M$9&gt;=F6,100,0),ROUND(NETWORKDAYS.INTL(E6,MIN(F6,Reprogramaciones!M$9),11)/NETWORKDAYS.INTL(E6,F6,11)*100,1))))</f>
        <v/>
      </c>
      <c r="K6" s="36" t="str">
        <f aca="false">IF(OR(NOT(AND(ISNUMBER(E6),ISNUMBER(F6))),$J$2=""),"",IF(Reprogramaciones!O$9&lt;E6,0,IF(NETWORKDAYS.INTL(E6,F6,11)=0,IF(Reprogramaciones!O$9&gt;=F6,100,0),ROUND(NETWORKDAYS.INTL(E6,MIN(F6,Reprogramaciones!O$9),11)/NETWORKDAYS.INTL(E6,F6,11)*100,1)))-IF(Reprogramaciones!N$9&lt;E6,0,IF(NETWORKDAYS.INTL(E6,F6,11)=0,IF(Reprogramaciones!N$9&gt;=F6,100,0),ROUND(NETWORKDAYS.INTL(E6,MIN(F6,Reprogramaciones!N$9),11)/NETWORKDAYS.INTL(E6,F6,11)*100,1))))</f>
        <v/>
      </c>
      <c r="L6" s="36" t="str">
        <f aca="false">IF(OR(NOT(AND(ISNUMBER(E6),ISNUMBER(F6))),$J$2=""),"",IF(Reprogramaciones!P$9&lt;E6,0,IF(NETWORKDAYS.INTL(E6,F6,11)=0,IF(Reprogramaciones!P$9&gt;=F6,100,0),ROUND(NETWORKDAYS.INTL(E6,MIN(F6,Reprogramaciones!P$9),11)/NETWORKDAYS.INTL(E6,F6,11)*100,1)))-IF(Reprogramaciones!O$9&lt;E6,0,IF(NETWORKDAYS.INTL(E6,F6,11)=0,IF(Reprogramaciones!O$9&gt;=F6,100,0),ROUND(NETWORKDAYS.INTL(E6,MIN(F6,Reprogramaciones!O$9),11)/NETWORKDAYS.INTL(E6,F6,11)*100,1))))</f>
        <v/>
      </c>
      <c r="M6" s="36" t="str">
        <f aca="false">IF(OR(NOT(AND(ISNUMBER(E6),ISNUMBER(F6))),$J$2=""),"",IF(Reprogramaciones!Q$9&lt;E6,0,IF(NETWORKDAYS.INTL(E6,F6,11)=0,IF(Reprogramaciones!Q$9&gt;=F6,100,0),ROUND(NETWORKDAYS.INTL(E6,MIN(F6,Reprogramaciones!Q$9),11)/NETWORKDAYS.INTL(E6,F6,11)*100,1)))-IF(Reprogramaciones!P$9&lt;E6,0,IF(NETWORKDAYS.INTL(E6,F6,11)=0,IF(Reprogramaciones!P$9&gt;=F6,100,0),ROUND(NETWORKDAYS.INTL(E6,MIN(F6,Reprogramaciones!P$9),11)/NETWORKDAYS.INTL(E6,F6,11)*100,1))))</f>
        <v/>
      </c>
      <c r="N6" s="36" t="str">
        <f aca="false">IF(OR(NOT(AND(ISNUMBER(E6),ISNUMBER(F6))),$J$2=""),"",IF(Reprogramaciones!R$9&lt;E6,0,IF(NETWORKDAYS.INTL(E6,F6,11)=0,IF(Reprogramaciones!R$9&gt;=F6,100,0),ROUND(NETWORKDAYS.INTL(E6,MIN(F6,Reprogramaciones!R$9),11)/NETWORKDAYS.INTL(E6,F6,11)*100,1)))-IF(Reprogramaciones!Q$9&lt;E6,0,IF(NETWORKDAYS.INTL(E6,F6,11)=0,IF(Reprogramaciones!Q$9&gt;=F6,100,0),ROUND(NETWORKDAYS.INTL(E6,MIN(F6,Reprogramaciones!Q$9),11)/NETWORKDAYS.INTL(E6,F6,11)*100,1))))</f>
        <v/>
      </c>
      <c r="O6" s="36" t="str">
        <f aca="false">IF(OR(NOT(AND(ISNUMBER(E6),ISNUMBER(F6))),$J$2=""),"",IF(Reprogramaciones!S$9&lt;E6,0,IF(NETWORKDAYS.INTL(E6,F6,11)=0,IF(Reprogramaciones!S$9&gt;=F6,100,0),ROUND(NETWORKDAYS.INTL(E6,MIN(F6,Reprogramaciones!S$9),11)/NETWORKDAYS.INTL(E6,F6,11)*100,1)))-IF(Reprogramaciones!R$9&lt;E6,0,IF(NETWORKDAYS.INTL(E6,F6,11)=0,IF(Reprogramaciones!R$9&gt;=F6,100,0),ROUND(NETWORKDAYS.INTL(E6,MIN(F6,Reprogramaciones!R$9),11)/NETWORKDAYS.INTL(E6,F6,11)*100,1))))</f>
        <v/>
      </c>
      <c r="P6" s="36" t="str">
        <f aca="false">IF(OR(NOT(AND(ISNUMBER(E6),ISNUMBER(F6))),$J$2=""),"",IF(Reprogramaciones!T$9&lt;E6,0,IF(NETWORKDAYS.INTL(E6,F6,11)=0,IF(Reprogramaciones!T$9&gt;=F6,100,0),ROUND(NETWORKDAYS.INTL(E6,MIN(F6,Reprogramaciones!T$9),11)/NETWORKDAYS.INTL(E6,F6,11)*100,1)))-IF(Reprogramaciones!S$9&lt;E6,0,IF(NETWORKDAYS.INTL(E6,F6,11)=0,IF(Reprogramaciones!S$9&gt;=F6,100,0),ROUND(NETWORKDAYS.INTL(E6,MIN(F6,Reprogramaciones!S$9),11)/NETWORKDAYS.INTL(E6,F6,11)*100,1))))</f>
        <v/>
      </c>
      <c r="Q6" s="37"/>
      <c r="R6" s="37"/>
      <c r="S6" s="37"/>
      <c r="T6" s="37"/>
      <c r="U6" s="37"/>
      <c r="V6" s="37"/>
      <c r="W6" s="37"/>
      <c r="X6" s="37"/>
      <c r="Y6" s="37"/>
      <c r="Z6" s="37"/>
      <c r="AA6" s="37"/>
      <c r="AB6" s="37"/>
      <c r="AC6" s="37"/>
      <c r="AD6" s="37"/>
      <c r="AE6" s="37"/>
      <c r="AF6" s="37"/>
      <c r="AG6" s="38" t="str">
        <f aca="false">IF(AND(ISNUMBER(E6),ISNUMBER(F6)),NETWORKDAYS.INTL(E6,F6,11),"")</f>
        <v/>
      </c>
      <c r="AH6" s="38" t="str">
        <f aca="false">IF(OR(NOT(AND(ISNUMBER(E6),ISNUMBER(F6))),$J$2=""),"",IF(Reprogramaciones!$P$15&lt;Reprogramaciones!$T$15,0,IF(Reprogramaciones!$R$15&gt;10,MIN(100,SUM($G6:$P6)),MIN(100,SUMPRODUCT((COLUMN($G6:$P6)-COLUMN($G6)+1&lt;Reprogramaciones!$R$15)*$G6:$P6)+N(INDEX($G6:$P6,1,Reprogramaciones!$R$15))*IF(Reprogramaciones!$P$15&gt;=(Reprogramaciones!$T$15+7*(Reprogramaciones!$R$15-1))+6,1,IF(MAX(0,NETWORKDAYS.INTL(MAX(E6,(Reprogramaciones!$T$15+7*(Reprogramaciones!$R$15-1))),MIN(F6,(Reprogramaciones!$T$15+7*(Reprogramaciones!$R$15-1))+6),11))=0,0,MAX(0,NETWORKDAYS.INTL(MAX(E6,(Reprogramaciones!$T$15+7*(Reprogramaciones!$R$15-1))),MIN(F6,Reprogramaciones!$P$15),11))/MAX(0,NETWORKDAYS.INTL(MAX(E6,(Reprogramaciones!$T$15+7*(Reprogramaciones!$R$15-1))),MIN(F6,(Reprogramaciones!$T$15+7*(Reprogramaciones!$R$15-1))+6),11))))))))</f>
        <v/>
      </c>
      <c r="AI6" s="38" t="str">
        <f aca="false">IF(COUNT($Q6:$AF6)=0,"",IF(ROUND(SUM($Q6:$AF6),1)&gt;=99.5,100,MIN(100,ROUND(SUM($Q6:$AF6),1))))</f>
        <v/>
      </c>
      <c r="AJ6" s="38" t="str">
        <f aca="false">IF(OR(AH6="",AI6=""),"",AI6-AH6)</f>
        <v/>
      </c>
      <c r="AK6" s="39" t="str">
        <f aca="true">IF(AH6="","",IF(OR(Ficha!$C$10="Suspendida",Ficha!$C$10="Cancelada"),Ficha!$C$10,IF(AND(AI6&lt;&gt;"",N(AI6)&gt;=100),"Completada",IF(AND(E6&gt;TODAY(),N(AI6)=0),"Por iniciar",IF(N(AI6)+0.5&lt;AH6,"Retrasada",IF(N(AI6)+0.5&lt;DA6,IF(Reprogramaciones!$K$15&gt;0,"Al día · Sem "&amp;Reprogramaciones!$K$15&amp;" en curso","Al día · en curso"),"A tiempo"))))))</f>
        <v/>
      </c>
      <c r="AL6" s="39" t="str">
        <f aca="true">IF(AND(A6="",AND(B6="",C6="",E6="",F6="",COUNT(Q6:AF6)=0)),"",IF(AND(B6="",C6="",E6="",F6="",COUNT(Q6:AF6)=0),"Falta la partida o subpartida",IF(AND(A6&lt;&gt;"",COUNTIF($A$6:$A$305,A6)&gt;1),"Ítem repetido",IF(AND(C6="",E6="",F6="",COUNT(Q6:AF6)=0),"Título de partida",IF(OR(E6="",F6=""),"Faltan fechas",IF(OR(ISTEXT(E6),ISTEXT(F6)),"Fecha escrita como texto: usa dd/mm/aaaa",IF(F6&lt;E6,"Fin antes del inicio",IF(IF($J$2="",FALSE(),OR(E6&lt;$J$2,F6&gt;Reprogramaciones!$T$15+69)),"Fuera de las 10 semanas",IF(ABS(SUM(G6:P6)-100)&gt;0.5,"La meta no suma 100%",IF(ROUND(SUM(Q6:AF6),1)&gt;100.5,"El avance pasa de 100%",IF(MIN(Q6:AF6)&lt;0,"Avance negativo",IF(COUNTA(Q6:AF6)&gt;COUNT(Q6:AF6),"Avance escrito como texto",IF(SUMPRODUCT((Q6:AF6&gt;0)*(Q6:AF6&lt;1))&gt;0,"Avance menor a 1: escribe 50, no 50%",IF(SUMPRODUCT(ISNUMBER(Q6:AF6)*(Reprogramaciones!$K$8:$Z$8&gt;TODAY()))&gt;0,"Avance en semana que aún no llega",IF(AND(N(Reprogramaciones!$E$21)&gt;0,F6&gt;Reprogramaciones!$E$21),"Pasa el fin de la obra: registra una reprogramación",IF(AND(N(Reprogramaciones!$E$21)&gt;0,SUMPRODUCT(ISNUMBER(Q6:AF6)*(Reprogramaciones!$K$8:$Z$8&gt;Reprogramaciones!$E$21))&gt;0),"Avance después del fin de la obra: registra una reprogramación por atraso","OK"))))))))))))))))</f>
        <v>Título de partida</v>
      </c>
      <c r="AM6" s="40" t="str">
        <f aca="false">IF(OR(OR(NOT(AND(ISNUMBER(E6),ISNUMBER(F6))),$J$2=""),1&gt;MAX(1,Reprogramaciones!$U$15)),"",IF(Reprogramaciones!K$12&gt;=7,"",IF(OR(BT6-N(0)&gt;0.05,N(Q6)&gt;0),ROUNDDOWN(ROUND(BT6,6),0)&amp;"%"&amp;IF(CJ6="",""," / "&amp;CJ6&amp;"%"),IF(AND(N(0)&gt;=99.95,CJ6&lt;&gt;"",N(CJ6)&lt;100),"Pend. "&amp;CJ6&amp;"%",""))))</f>
        <v/>
      </c>
      <c r="AN6" s="40" t="str">
        <f aca="false">IF(OR(OR(NOT(AND(ISNUMBER(E6),ISNUMBER(F6))),$J$2=""),2&gt;MAX(1,Reprogramaciones!$U$15)),"",IF(Reprogramaciones!L$12&gt;=7,"",IF(OR(BU6-N(BT6)&gt;0.05,N(R6)&gt;0),ROUNDDOWN(ROUND(BU6,6),0)&amp;"%"&amp;IF(CK6="",""," / "&amp;CK6&amp;"%"),IF(AND(N(BT6)&gt;=99.95,CK6&lt;&gt;"",N(CK6)&lt;100),"Pend. "&amp;CK6&amp;"%",""))))</f>
        <v/>
      </c>
      <c r="AO6" s="40" t="str">
        <f aca="false">IF(OR(OR(NOT(AND(ISNUMBER(E6),ISNUMBER(F6))),$J$2=""),3&gt;MAX(1,Reprogramaciones!$U$15)),"",IF(Reprogramaciones!M$12&gt;=7,"",IF(OR(BV6-N(BU6)&gt;0.05,N(S6)&gt;0),ROUNDDOWN(ROUND(BV6,6),0)&amp;"%"&amp;IF(CL6="",""," / "&amp;CL6&amp;"%"),IF(AND(N(BU6)&gt;=99.95,CL6&lt;&gt;"",N(CL6)&lt;100),"Pend. "&amp;CL6&amp;"%",""))))</f>
        <v/>
      </c>
      <c r="AP6" s="40" t="str">
        <f aca="false">IF(OR(OR(NOT(AND(ISNUMBER(E6),ISNUMBER(F6))),$J$2=""),4&gt;MAX(1,Reprogramaciones!$U$15)),"",IF(Reprogramaciones!N$12&gt;=7,"",IF(OR(BW6-N(BV6)&gt;0.05,N(T6)&gt;0),ROUNDDOWN(ROUND(BW6,6),0)&amp;"%"&amp;IF(CM6="",""," / "&amp;CM6&amp;"%"),IF(AND(N(BV6)&gt;=99.95,CM6&lt;&gt;"",N(CM6)&lt;100),"Pend. "&amp;CM6&amp;"%",""))))</f>
        <v/>
      </c>
      <c r="AQ6" s="40" t="str">
        <f aca="false">IF(OR(OR(NOT(AND(ISNUMBER(E6),ISNUMBER(F6))),$J$2=""),5&gt;MAX(1,Reprogramaciones!$U$15)),"",IF(Reprogramaciones!O$12&gt;=7,"",IF(OR(BX6-N(BW6)&gt;0.05,N(U6)&gt;0),ROUNDDOWN(ROUND(BX6,6),0)&amp;"%"&amp;IF(CN6="",""," / "&amp;CN6&amp;"%"),IF(AND(N(BW6)&gt;=99.95,CN6&lt;&gt;"",N(CN6)&lt;100),"Pend. "&amp;CN6&amp;"%",""))))</f>
        <v/>
      </c>
      <c r="AR6" s="40" t="str">
        <f aca="false">IF(OR(OR(NOT(AND(ISNUMBER(E6),ISNUMBER(F6))),$J$2=""),6&gt;MAX(1,Reprogramaciones!$U$15)),"",IF(Reprogramaciones!P$12&gt;=7,"",IF(OR(BY6-N(BX6)&gt;0.05,N(V6)&gt;0),ROUNDDOWN(ROUND(BY6,6),0)&amp;"%"&amp;IF(CO6="",""," / "&amp;CO6&amp;"%"),IF(AND(N(BX6)&gt;=99.95,CO6&lt;&gt;"",N(CO6)&lt;100),"Pend. "&amp;CO6&amp;"%",""))))</f>
        <v/>
      </c>
      <c r="AS6" s="40" t="str">
        <f aca="false">IF(OR(OR(NOT(AND(ISNUMBER(E6),ISNUMBER(F6))),$J$2=""),7&gt;MAX(1,Reprogramaciones!$U$15)),"",IF(Reprogramaciones!Q$12&gt;=7,"",IF(OR(BZ6-N(BY6)&gt;0.05,N(W6)&gt;0),ROUNDDOWN(ROUND(BZ6,6),0)&amp;"%"&amp;IF(CP6="",""," / "&amp;CP6&amp;"%"),IF(AND(N(BY6)&gt;=99.95,CP6&lt;&gt;"",N(CP6)&lt;100),"Pend. "&amp;CP6&amp;"%",""))))</f>
        <v/>
      </c>
      <c r="AT6" s="40" t="str">
        <f aca="false">IF(OR(OR(NOT(AND(ISNUMBER(E6),ISNUMBER(F6))),$J$2=""),8&gt;MAX(1,Reprogramaciones!$U$15)),"",IF(Reprogramaciones!R$12&gt;=7,"",IF(OR(CA6-N(BZ6)&gt;0.05,N(X6)&gt;0),ROUNDDOWN(ROUND(CA6,6),0)&amp;"%"&amp;IF(CQ6="",""," / "&amp;CQ6&amp;"%"),IF(AND(N(BZ6)&gt;=99.95,CQ6&lt;&gt;"",N(CQ6)&lt;100),"Pend. "&amp;CQ6&amp;"%",""))))</f>
        <v/>
      </c>
      <c r="AU6" s="40" t="str">
        <f aca="false">IF(OR(OR(NOT(AND(ISNUMBER(E6),ISNUMBER(F6))),$J$2=""),9&gt;MAX(1,Reprogramaciones!$U$15)),"",IF(Reprogramaciones!S$12&gt;=7,"",IF(OR(CB6-N(CA6)&gt;0.05,N(Y6)&gt;0),ROUNDDOWN(ROUND(CB6,6),0)&amp;"%"&amp;IF(CR6="",""," / "&amp;CR6&amp;"%"),IF(AND(N(CA6)&gt;=99.95,CR6&lt;&gt;"",N(CR6)&lt;100),"Pend. "&amp;CR6&amp;"%",""))))</f>
        <v/>
      </c>
      <c r="AV6" s="40" t="str">
        <f aca="false">IF(OR(OR(NOT(AND(ISNUMBER(E6),ISNUMBER(F6))),$J$2=""),10&gt;MAX(1,Reprogramaciones!$U$15)),"",IF(Reprogramaciones!T$12&gt;=7,"",IF(OR(CC6-N(CB6)&gt;0.05,N(Z6)&gt;0),ROUNDDOWN(ROUND(CC6,6),0)&amp;"%"&amp;IF(CS6="",""," / "&amp;CS6&amp;"%"),IF(AND(N(CB6)&gt;=99.95,CS6&lt;&gt;"",N(CS6)&lt;100),"Pend. "&amp;CS6&amp;"%",""))))</f>
        <v/>
      </c>
      <c r="AW6" s="40" t="str">
        <f aca="false">IF(OR(OR(NOT(AND(ISNUMBER(E6),ISNUMBER(F6))),$J$2=""),11&gt;MAX(1,Reprogramaciones!$U$15)),"",IF(Reprogramaciones!U$12&gt;=7,"",IF(OR(CD6-N(CC6)&gt;0.05,N(AA6)&gt;0),ROUNDDOWN(ROUND(CD6,6),0)&amp;"%"&amp;IF(CT6="",""," / "&amp;CT6&amp;"%"),IF(AND(N(CC6)&gt;=99.95,CT6&lt;&gt;"",N(CT6)&lt;100),"Pend. "&amp;CT6&amp;"%",""))))</f>
        <v/>
      </c>
      <c r="AX6" s="40" t="str">
        <f aca="false">IF(OR(OR(NOT(AND(ISNUMBER(E6),ISNUMBER(F6))),$J$2=""),12&gt;MAX(1,Reprogramaciones!$U$15)),"",IF(Reprogramaciones!V$12&gt;=7,"",IF(OR(CE6-N(CD6)&gt;0.05,N(AB6)&gt;0),ROUNDDOWN(ROUND(CE6,6),0)&amp;"%"&amp;IF(CU6="",""," / "&amp;CU6&amp;"%"),IF(AND(N(CD6)&gt;=99.95,CU6&lt;&gt;"",N(CU6)&lt;100),"Pend. "&amp;CU6&amp;"%",""))))</f>
        <v/>
      </c>
      <c r="AY6" s="40" t="str">
        <f aca="false">IF(OR(OR(NOT(AND(ISNUMBER(E6),ISNUMBER(F6))),$J$2=""),13&gt;MAX(1,Reprogramaciones!$U$15)),"",IF(Reprogramaciones!W$12&gt;=7,"",IF(OR(CF6-N(CE6)&gt;0.05,N(AC6)&gt;0),ROUNDDOWN(ROUND(CF6,6),0)&amp;"%"&amp;IF(CV6="",""," / "&amp;CV6&amp;"%"),IF(AND(N(CE6)&gt;=99.95,CV6&lt;&gt;"",N(CV6)&lt;100),"Pend. "&amp;CV6&amp;"%",""))))</f>
        <v/>
      </c>
      <c r="AZ6" s="40" t="str">
        <f aca="false">IF(OR(OR(NOT(AND(ISNUMBER(E6),ISNUMBER(F6))),$J$2=""),14&gt;MAX(1,Reprogramaciones!$U$15)),"",IF(Reprogramaciones!X$12&gt;=7,"",IF(OR(CG6-N(CF6)&gt;0.05,N(AD6)&gt;0),ROUNDDOWN(ROUND(CG6,6),0)&amp;"%"&amp;IF(CW6="",""," / "&amp;CW6&amp;"%"),IF(AND(N(CF6)&gt;=99.95,CW6&lt;&gt;"",N(CW6)&lt;100),"Pend. "&amp;CW6&amp;"%",""))))</f>
        <v/>
      </c>
      <c r="BA6" s="40" t="str">
        <f aca="false">IF(OR(OR(NOT(AND(ISNUMBER(E6),ISNUMBER(F6))),$J$2=""),15&gt;MAX(1,Reprogramaciones!$U$15)),"",IF(Reprogramaciones!Y$12&gt;=7,"",IF(OR(CH6-N(CG6)&gt;0.05,N(AE6)&gt;0),ROUNDDOWN(ROUND(CH6,6),0)&amp;"%"&amp;IF(CX6="",""," / "&amp;CX6&amp;"%"),IF(AND(N(CG6)&gt;=99.95,CX6&lt;&gt;"",N(CX6)&lt;100),"Pend. "&amp;CX6&amp;"%",""))))</f>
        <v/>
      </c>
      <c r="BB6" s="40" t="str">
        <f aca="false">IF(OR(OR(NOT(AND(ISNUMBER(E6),ISNUMBER(F6))),$J$2=""),16&gt;MAX(1,Reprogramaciones!$U$15)),"",IF(Reprogramaciones!Z$12&gt;=7,"",IF(OR(CI6-N(CH6)&gt;0.05,N(AF6)&gt;0),ROUNDDOWN(ROUND(CI6,6),0)&amp;"%"&amp;IF(CY6="",""," / "&amp;CY6&amp;"%"),IF(AND(N(CH6)&gt;=99.95,CY6&lt;&gt;"",N(CY6)&lt;100),"Pend. "&amp;CY6&amp;"%",""))))</f>
        <v/>
      </c>
      <c r="BC6" s="31" t="n">
        <f aca="false">IF(AND(ISNUMBER(E6),ISNUMBER(F6)),MAX(1,NETWORKDAYS.INTL(E6,F6,11)),0)</f>
        <v>0</v>
      </c>
      <c r="BD6" s="1" t="str">
        <f aca="false">IF(OR(NOT(AND(ISNUMBER(E6),ISNUMBER(F6))),$J$2=""),"",MIN(100,ROUND(SUM($G6:G6),1)))</f>
        <v/>
      </c>
      <c r="BE6" s="1" t="str">
        <f aca="false">IF(OR(NOT(AND(ISNUMBER(E6),ISNUMBER(F6))),$J$2=""),"",MIN(100,ROUND(SUM($G6:H6),1)))</f>
        <v/>
      </c>
      <c r="BF6" s="1" t="str">
        <f aca="false">IF(OR(NOT(AND(ISNUMBER(E6),ISNUMBER(F6))),$J$2=""),"",MIN(100,ROUND(SUM($G6:I6),1)))</f>
        <v/>
      </c>
      <c r="BG6" s="1" t="str">
        <f aca="false">IF(OR(NOT(AND(ISNUMBER(E6),ISNUMBER(F6))),$J$2=""),"",MIN(100,ROUND(SUM($G6:J6),1)))</f>
        <v/>
      </c>
      <c r="BH6" s="1" t="str">
        <f aca="false">IF(OR(NOT(AND(ISNUMBER(E6),ISNUMBER(F6))),$J$2=""),"",MIN(100,ROUND(SUM($G6:K6),1)))</f>
        <v/>
      </c>
      <c r="BI6" s="1" t="str">
        <f aca="false">IF(OR(NOT(AND(ISNUMBER(E6),ISNUMBER(F6))),$J$2=""),"",MIN(100,ROUND(SUM($G6:L6),1)))</f>
        <v/>
      </c>
      <c r="BJ6" s="1" t="str">
        <f aca="false">IF(OR(NOT(AND(ISNUMBER(E6),ISNUMBER(F6))),$J$2=""),"",MIN(100,ROUND(SUM($G6:M6),1)))</f>
        <v/>
      </c>
      <c r="BK6" s="1" t="str">
        <f aca="false">IF(OR(NOT(AND(ISNUMBER(E6),ISNUMBER(F6))),$J$2=""),"",MIN(100,ROUND(SUM($G6:N6),1)))</f>
        <v/>
      </c>
      <c r="BL6" s="1" t="str">
        <f aca="false">IF(OR(NOT(AND(ISNUMBER(E6),ISNUMBER(F6))),$J$2=""),"",MIN(100,ROUND(SUM($G6:O6),1)))</f>
        <v/>
      </c>
      <c r="BM6" s="1" t="str">
        <f aca="false">IF(OR(NOT(AND(ISNUMBER(E6),ISNUMBER(F6))),$J$2=""),"",MIN(100,ROUND(SUM($G6:P6),1)))</f>
        <v/>
      </c>
      <c r="BN6" s="1" t="str">
        <f aca="false">IF(OR(NOT(AND(ISNUMBER(E6),ISNUMBER(F6))),$J$2=""),"",MIN(100,ROUND(SUM($G6:P6),1)))</f>
        <v/>
      </c>
      <c r="BO6" s="1" t="str">
        <f aca="false">IF(OR(NOT(AND(ISNUMBER(E6),ISNUMBER(F6))),$J$2=""),"",MIN(100,ROUND(SUM($G6:P6),1)))</f>
        <v/>
      </c>
      <c r="BP6" s="1" t="str">
        <f aca="false">IF(OR(NOT(AND(ISNUMBER(E6),ISNUMBER(F6))),$J$2=""),"",MIN(100,ROUND(SUM($G6:P6),1)))</f>
        <v/>
      </c>
      <c r="BQ6" s="1" t="str">
        <f aca="false">IF(OR(NOT(AND(ISNUMBER(E6),ISNUMBER(F6))),$J$2=""),"",MIN(100,ROUND(SUM($G6:P6),1)))</f>
        <v/>
      </c>
      <c r="BR6" s="1" t="str">
        <f aca="false">IF(OR(NOT(AND(ISNUMBER(E6),ISNUMBER(F6))),$J$2=""),"",MIN(100,ROUND(SUM($G6:P6),1)))</f>
        <v/>
      </c>
      <c r="BS6" s="1" t="str">
        <f aca="false">IF(OR(NOT(AND(ISNUMBER(E6),ISNUMBER(F6))),$J$2=""),"",MIN(100,ROUND(SUM($G6:P6),1)))</f>
        <v/>
      </c>
      <c r="BT6" s="1" t="str">
        <f aca="false">IF(OR(NOT(AND(ISNUMBER(E6),ISNUMBER(F6))),$J$2=""),"",IF(Reprogramaciones!K$13&lt;Reprogramaciones!$T$15,0,IF(Reprogramaciones!K$14&gt;10,MIN(100,SUM($G6:$P6)),MIN(100,SUMPRODUCT((COLUMN($G6:$P6)-COLUMN($G6)+1&lt;Reprogramaciones!K$14)*$G6:$P6)+N(INDEX($G6:$P6,1,Reprogramaciones!K$14))*IF(Reprogramaciones!K$13&gt;=(Reprogramaciones!$T$15+7*(Reprogramaciones!K$14-1))+6,1,IF(MAX(0,NETWORKDAYS.INTL(MAX(E6,(Reprogramaciones!$T$15+7*(Reprogramaciones!K$14-1))),MIN(F6,(Reprogramaciones!$T$15+7*(Reprogramaciones!K$14-1))+6),11))=0,0,MAX(0,NETWORKDAYS.INTL(MAX(E6,(Reprogramaciones!$T$15+7*(Reprogramaciones!K$14-1))),MIN(F6,Reprogramaciones!K$13),11))/MAX(0,NETWORKDAYS.INTL(MAX(E6,(Reprogramaciones!$T$15+7*(Reprogramaciones!K$14-1))),MIN(F6,(Reprogramaciones!$T$15+7*(Reprogramaciones!K$14-1))+6),11))))))))</f>
        <v/>
      </c>
      <c r="BU6" s="1" t="str">
        <f aca="false">IF(OR(NOT(AND(ISNUMBER(E6),ISNUMBER(F6))),$J$2=""),"",IF(Reprogramaciones!L$13&lt;Reprogramaciones!$T$15,0,IF(Reprogramaciones!L$14&gt;10,MIN(100,SUM($G6:$P6)),MIN(100,SUMPRODUCT((COLUMN($G6:$P6)-COLUMN($G6)+1&lt;Reprogramaciones!L$14)*$G6:$P6)+N(INDEX($G6:$P6,1,Reprogramaciones!L$14))*IF(Reprogramaciones!L$13&gt;=(Reprogramaciones!$T$15+7*(Reprogramaciones!L$14-1))+6,1,IF(MAX(0,NETWORKDAYS.INTL(MAX(E6,(Reprogramaciones!$T$15+7*(Reprogramaciones!L$14-1))),MIN(F6,(Reprogramaciones!$T$15+7*(Reprogramaciones!L$14-1))+6),11))=0,0,MAX(0,NETWORKDAYS.INTL(MAX(E6,(Reprogramaciones!$T$15+7*(Reprogramaciones!L$14-1))),MIN(F6,Reprogramaciones!L$13),11))/MAX(0,NETWORKDAYS.INTL(MAX(E6,(Reprogramaciones!$T$15+7*(Reprogramaciones!L$14-1))),MIN(F6,(Reprogramaciones!$T$15+7*(Reprogramaciones!L$14-1))+6),11))))))))</f>
        <v/>
      </c>
      <c r="BV6" s="1" t="str">
        <f aca="false">IF(OR(NOT(AND(ISNUMBER(E6),ISNUMBER(F6))),$J$2=""),"",IF(Reprogramaciones!M$13&lt;Reprogramaciones!$T$15,0,IF(Reprogramaciones!M$14&gt;10,MIN(100,SUM($G6:$P6)),MIN(100,SUMPRODUCT((COLUMN($G6:$P6)-COLUMN($G6)+1&lt;Reprogramaciones!M$14)*$G6:$P6)+N(INDEX($G6:$P6,1,Reprogramaciones!M$14))*IF(Reprogramaciones!M$13&gt;=(Reprogramaciones!$T$15+7*(Reprogramaciones!M$14-1))+6,1,IF(MAX(0,NETWORKDAYS.INTL(MAX(E6,(Reprogramaciones!$T$15+7*(Reprogramaciones!M$14-1))),MIN(F6,(Reprogramaciones!$T$15+7*(Reprogramaciones!M$14-1))+6),11))=0,0,MAX(0,NETWORKDAYS.INTL(MAX(E6,(Reprogramaciones!$T$15+7*(Reprogramaciones!M$14-1))),MIN(F6,Reprogramaciones!M$13),11))/MAX(0,NETWORKDAYS.INTL(MAX(E6,(Reprogramaciones!$T$15+7*(Reprogramaciones!M$14-1))),MIN(F6,(Reprogramaciones!$T$15+7*(Reprogramaciones!M$14-1))+6),11))))))))</f>
        <v/>
      </c>
      <c r="BW6" s="1" t="str">
        <f aca="false">IF(OR(NOT(AND(ISNUMBER(E6),ISNUMBER(F6))),$J$2=""),"",IF(Reprogramaciones!N$13&lt;Reprogramaciones!$T$15,0,IF(Reprogramaciones!N$14&gt;10,MIN(100,SUM($G6:$P6)),MIN(100,SUMPRODUCT((COLUMN($G6:$P6)-COLUMN($G6)+1&lt;Reprogramaciones!N$14)*$G6:$P6)+N(INDEX($G6:$P6,1,Reprogramaciones!N$14))*IF(Reprogramaciones!N$13&gt;=(Reprogramaciones!$T$15+7*(Reprogramaciones!N$14-1))+6,1,IF(MAX(0,NETWORKDAYS.INTL(MAX(E6,(Reprogramaciones!$T$15+7*(Reprogramaciones!N$14-1))),MIN(F6,(Reprogramaciones!$T$15+7*(Reprogramaciones!N$14-1))+6),11))=0,0,MAX(0,NETWORKDAYS.INTL(MAX(E6,(Reprogramaciones!$T$15+7*(Reprogramaciones!N$14-1))),MIN(F6,Reprogramaciones!N$13),11))/MAX(0,NETWORKDAYS.INTL(MAX(E6,(Reprogramaciones!$T$15+7*(Reprogramaciones!N$14-1))),MIN(F6,(Reprogramaciones!$T$15+7*(Reprogramaciones!N$14-1))+6),11))))))))</f>
        <v/>
      </c>
      <c r="BX6" s="1" t="str">
        <f aca="false">IF(OR(NOT(AND(ISNUMBER(E6),ISNUMBER(F6))),$J$2=""),"",IF(Reprogramaciones!O$13&lt;Reprogramaciones!$T$15,0,IF(Reprogramaciones!O$14&gt;10,MIN(100,SUM($G6:$P6)),MIN(100,SUMPRODUCT((COLUMN($G6:$P6)-COLUMN($G6)+1&lt;Reprogramaciones!O$14)*$G6:$P6)+N(INDEX($G6:$P6,1,Reprogramaciones!O$14))*IF(Reprogramaciones!O$13&gt;=(Reprogramaciones!$T$15+7*(Reprogramaciones!O$14-1))+6,1,IF(MAX(0,NETWORKDAYS.INTL(MAX(E6,(Reprogramaciones!$T$15+7*(Reprogramaciones!O$14-1))),MIN(F6,(Reprogramaciones!$T$15+7*(Reprogramaciones!O$14-1))+6),11))=0,0,MAX(0,NETWORKDAYS.INTL(MAX(E6,(Reprogramaciones!$T$15+7*(Reprogramaciones!O$14-1))),MIN(F6,Reprogramaciones!O$13),11))/MAX(0,NETWORKDAYS.INTL(MAX(E6,(Reprogramaciones!$T$15+7*(Reprogramaciones!O$14-1))),MIN(F6,(Reprogramaciones!$T$15+7*(Reprogramaciones!O$14-1))+6),11))))))))</f>
        <v/>
      </c>
      <c r="BY6" s="1" t="str">
        <f aca="false">IF(OR(NOT(AND(ISNUMBER(E6),ISNUMBER(F6))),$J$2=""),"",IF(Reprogramaciones!P$13&lt;Reprogramaciones!$T$15,0,IF(Reprogramaciones!P$14&gt;10,MIN(100,SUM($G6:$P6)),MIN(100,SUMPRODUCT((COLUMN($G6:$P6)-COLUMN($G6)+1&lt;Reprogramaciones!P$14)*$G6:$P6)+N(INDEX($G6:$P6,1,Reprogramaciones!P$14))*IF(Reprogramaciones!P$13&gt;=(Reprogramaciones!$T$15+7*(Reprogramaciones!P$14-1))+6,1,IF(MAX(0,NETWORKDAYS.INTL(MAX(E6,(Reprogramaciones!$T$15+7*(Reprogramaciones!P$14-1))),MIN(F6,(Reprogramaciones!$T$15+7*(Reprogramaciones!P$14-1))+6),11))=0,0,MAX(0,NETWORKDAYS.INTL(MAX(E6,(Reprogramaciones!$T$15+7*(Reprogramaciones!P$14-1))),MIN(F6,Reprogramaciones!P$13),11))/MAX(0,NETWORKDAYS.INTL(MAX(E6,(Reprogramaciones!$T$15+7*(Reprogramaciones!P$14-1))),MIN(F6,(Reprogramaciones!$T$15+7*(Reprogramaciones!P$14-1))+6),11))))))))</f>
        <v/>
      </c>
      <c r="BZ6" s="1" t="str">
        <f aca="false">IF(OR(NOT(AND(ISNUMBER(E6),ISNUMBER(F6))),$J$2=""),"",IF(Reprogramaciones!Q$13&lt;Reprogramaciones!$T$15,0,IF(Reprogramaciones!Q$14&gt;10,MIN(100,SUM($G6:$P6)),MIN(100,SUMPRODUCT((COLUMN($G6:$P6)-COLUMN($G6)+1&lt;Reprogramaciones!Q$14)*$G6:$P6)+N(INDEX($G6:$P6,1,Reprogramaciones!Q$14))*IF(Reprogramaciones!Q$13&gt;=(Reprogramaciones!$T$15+7*(Reprogramaciones!Q$14-1))+6,1,IF(MAX(0,NETWORKDAYS.INTL(MAX(E6,(Reprogramaciones!$T$15+7*(Reprogramaciones!Q$14-1))),MIN(F6,(Reprogramaciones!$T$15+7*(Reprogramaciones!Q$14-1))+6),11))=0,0,MAX(0,NETWORKDAYS.INTL(MAX(E6,(Reprogramaciones!$T$15+7*(Reprogramaciones!Q$14-1))),MIN(F6,Reprogramaciones!Q$13),11))/MAX(0,NETWORKDAYS.INTL(MAX(E6,(Reprogramaciones!$T$15+7*(Reprogramaciones!Q$14-1))),MIN(F6,(Reprogramaciones!$T$15+7*(Reprogramaciones!Q$14-1))+6),11))))))))</f>
        <v/>
      </c>
      <c r="CA6" s="1" t="str">
        <f aca="false">IF(OR(NOT(AND(ISNUMBER(E6),ISNUMBER(F6))),$J$2=""),"",IF(Reprogramaciones!R$13&lt;Reprogramaciones!$T$15,0,IF(Reprogramaciones!R$14&gt;10,MIN(100,SUM($G6:$P6)),MIN(100,SUMPRODUCT((COLUMN($G6:$P6)-COLUMN($G6)+1&lt;Reprogramaciones!R$14)*$G6:$P6)+N(INDEX($G6:$P6,1,Reprogramaciones!R$14))*IF(Reprogramaciones!R$13&gt;=(Reprogramaciones!$T$15+7*(Reprogramaciones!R$14-1))+6,1,IF(MAX(0,NETWORKDAYS.INTL(MAX(E6,(Reprogramaciones!$T$15+7*(Reprogramaciones!R$14-1))),MIN(F6,(Reprogramaciones!$T$15+7*(Reprogramaciones!R$14-1))+6),11))=0,0,MAX(0,NETWORKDAYS.INTL(MAX(E6,(Reprogramaciones!$T$15+7*(Reprogramaciones!R$14-1))),MIN(F6,Reprogramaciones!R$13),11))/MAX(0,NETWORKDAYS.INTL(MAX(E6,(Reprogramaciones!$T$15+7*(Reprogramaciones!R$14-1))),MIN(F6,(Reprogramaciones!$T$15+7*(Reprogramaciones!R$14-1))+6),11))))))))</f>
        <v/>
      </c>
      <c r="CB6" s="1" t="str">
        <f aca="false">IF(OR(NOT(AND(ISNUMBER(E6),ISNUMBER(F6))),$J$2=""),"",IF(Reprogramaciones!S$13&lt;Reprogramaciones!$T$15,0,IF(Reprogramaciones!S$14&gt;10,MIN(100,SUM($G6:$P6)),MIN(100,SUMPRODUCT((COLUMN($G6:$P6)-COLUMN($G6)+1&lt;Reprogramaciones!S$14)*$G6:$P6)+N(INDEX($G6:$P6,1,Reprogramaciones!S$14))*IF(Reprogramaciones!S$13&gt;=(Reprogramaciones!$T$15+7*(Reprogramaciones!S$14-1))+6,1,IF(MAX(0,NETWORKDAYS.INTL(MAX(E6,(Reprogramaciones!$T$15+7*(Reprogramaciones!S$14-1))),MIN(F6,(Reprogramaciones!$T$15+7*(Reprogramaciones!S$14-1))+6),11))=0,0,MAX(0,NETWORKDAYS.INTL(MAX(E6,(Reprogramaciones!$T$15+7*(Reprogramaciones!S$14-1))),MIN(F6,Reprogramaciones!S$13),11))/MAX(0,NETWORKDAYS.INTL(MAX(E6,(Reprogramaciones!$T$15+7*(Reprogramaciones!S$14-1))),MIN(F6,(Reprogramaciones!$T$15+7*(Reprogramaciones!S$14-1))+6),11))))))))</f>
        <v/>
      </c>
      <c r="CC6" s="1" t="str">
        <f aca="false">IF(OR(NOT(AND(ISNUMBER(E6),ISNUMBER(F6))),$J$2=""),"",IF(Reprogramaciones!T$13&lt;Reprogramaciones!$T$15,0,IF(Reprogramaciones!T$14&gt;10,MIN(100,SUM($G6:$P6)),MIN(100,SUMPRODUCT((COLUMN($G6:$P6)-COLUMN($G6)+1&lt;Reprogramaciones!T$14)*$G6:$P6)+N(INDEX($G6:$P6,1,Reprogramaciones!T$14))*IF(Reprogramaciones!T$13&gt;=(Reprogramaciones!$T$15+7*(Reprogramaciones!T$14-1))+6,1,IF(MAX(0,NETWORKDAYS.INTL(MAX(E6,(Reprogramaciones!$T$15+7*(Reprogramaciones!T$14-1))),MIN(F6,(Reprogramaciones!$T$15+7*(Reprogramaciones!T$14-1))+6),11))=0,0,MAX(0,NETWORKDAYS.INTL(MAX(E6,(Reprogramaciones!$T$15+7*(Reprogramaciones!T$14-1))),MIN(F6,Reprogramaciones!T$13),11))/MAX(0,NETWORKDAYS.INTL(MAX(E6,(Reprogramaciones!$T$15+7*(Reprogramaciones!T$14-1))),MIN(F6,(Reprogramaciones!$T$15+7*(Reprogramaciones!T$14-1))+6),11))))))))</f>
        <v/>
      </c>
      <c r="CD6" s="1" t="str">
        <f aca="false">IF(OR(NOT(AND(ISNUMBER(E6),ISNUMBER(F6))),$J$2=""),"",IF(Reprogramaciones!U$13&lt;Reprogramaciones!$T$15,0,IF(Reprogramaciones!U$14&gt;10,MIN(100,SUM($G6:$P6)),MIN(100,SUMPRODUCT((COLUMN($G6:$P6)-COLUMN($G6)+1&lt;Reprogramaciones!U$14)*$G6:$P6)+N(INDEX($G6:$P6,1,Reprogramaciones!U$14))*IF(Reprogramaciones!U$13&gt;=(Reprogramaciones!$T$15+7*(Reprogramaciones!U$14-1))+6,1,IF(MAX(0,NETWORKDAYS.INTL(MAX(E6,(Reprogramaciones!$T$15+7*(Reprogramaciones!U$14-1))),MIN(F6,(Reprogramaciones!$T$15+7*(Reprogramaciones!U$14-1))+6),11))=0,0,MAX(0,NETWORKDAYS.INTL(MAX(E6,(Reprogramaciones!$T$15+7*(Reprogramaciones!U$14-1))),MIN(F6,Reprogramaciones!U$13),11))/MAX(0,NETWORKDAYS.INTL(MAX(E6,(Reprogramaciones!$T$15+7*(Reprogramaciones!U$14-1))),MIN(F6,(Reprogramaciones!$T$15+7*(Reprogramaciones!U$14-1))+6),11))))))))</f>
        <v/>
      </c>
      <c r="CE6" s="1" t="str">
        <f aca="false">IF(OR(NOT(AND(ISNUMBER(E6),ISNUMBER(F6))),$J$2=""),"",IF(Reprogramaciones!V$13&lt;Reprogramaciones!$T$15,0,IF(Reprogramaciones!V$14&gt;10,MIN(100,SUM($G6:$P6)),MIN(100,SUMPRODUCT((COLUMN($G6:$P6)-COLUMN($G6)+1&lt;Reprogramaciones!V$14)*$G6:$P6)+N(INDEX($G6:$P6,1,Reprogramaciones!V$14))*IF(Reprogramaciones!V$13&gt;=(Reprogramaciones!$T$15+7*(Reprogramaciones!V$14-1))+6,1,IF(MAX(0,NETWORKDAYS.INTL(MAX(E6,(Reprogramaciones!$T$15+7*(Reprogramaciones!V$14-1))),MIN(F6,(Reprogramaciones!$T$15+7*(Reprogramaciones!V$14-1))+6),11))=0,0,MAX(0,NETWORKDAYS.INTL(MAX(E6,(Reprogramaciones!$T$15+7*(Reprogramaciones!V$14-1))),MIN(F6,Reprogramaciones!V$13),11))/MAX(0,NETWORKDAYS.INTL(MAX(E6,(Reprogramaciones!$T$15+7*(Reprogramaciones!V$14-1))),MIN(F6,(Reprogramaciones!$T$15+7*(Reprogramaciones!V$14-1))+6),11))))))))</f>
        <v/>
      </c>
      <c r="CF6" s="1" t="str">
        <f aca="false">IF(OR(NOT(AND(ISNUMBER(E6),ISNUMBER(F6))),$J$2=""),"",IF(Reprogramaciones!W$13&lt;Reprogramaciones!$T$15,0,IF(Reprogramaciones!W$14&gt;10,MIN(100,SUM($G6:$P6)),MIN(100,SUMPRODUCT((COLUMN($G6:$P6)-COLUMN($G6)+1&lt;Reprogramaciones!W$14)*$G6:$P6)+N(INDEX($G6:$P6,1,Reprogramaciones!W$14))*IF(Reprogramaciones!W$13&gt;=(Reprogramaciones!$T$15+7*(Reprogramaciones!W$14-1))+6,1,IF(MAX(0,NETWORKDAYS.INTL(MAX(E6,(Reprogramaciones!$T$15+7*(Reprogramaciones!W$14-1))),MIN(F6,(Reprogramaciones!$T$15+7*(Reprogramaciones!W$14-1))+6),11))=0,0,MAX(0,NETWORKDAYS.INTL(MAX(E6,(Reprogramaciones!$T$15+7*(Reprogramaciones!W$14-1))),MIN(F6,Reprogramaciones!W$13),11))/MAX(0,NETWORKDAYS.INTL(MAX(E6,(Reprogramaciones!$T$15+7*(Reprogramaciones!W$14-1))),MIN(F6,(Reprogramaciones!$T$15+7*(Reprogramaciones!W$14-1))+6),11))))))))</f>
        <v/>
      </c>
      <c r="CG6" s="1" t="str">
        <f aca="false">IF(OR(NOT(AND(ISNUMBER(E6),ISNUMBER(F6))),$J$2=""),"",IF(Reprogramaciones!X$13&lt;Reprogramaciones!$T$15,0,IF(Reprogramaciones!X$14&gt;10,MIN(100,SUM($G6:$P6)),MIN(100,SUMPRODUCT((COLUMN($G6:$P6)-COLUMN($G6)+1&lt;Reprogramaciones!X$14)*$G6:$P6)+N(INDEX($G6:$P6,1,Reprogramaciones!X$14))*IF(Reprogramaciones!X$13&gt;=(Reprogramaciones!$T$15+7*(Reprogramaciones!X$14-1))+6,1,IF(MAX(0,NETWORKDAYS.INTL(MAX(E6,(Reprogramaciones!$T$15+7*(Reprogramaciones!X$14-1))),MIN(F6,(Reprogramaciones!$T$15+7*(Reprogramaciones!X$14-1))+6),11))=0,0,MAX(0,NETWORKDAYS.INTL(MAX(E6,(Reprogramaciones!$T$15+7*(Reprogramaciones!X$14-1))),MIN(F6,Reprogramaciones!X$13),11))/MAX(0,NETWORKDAYS.INTL(MAX(E6,(Reprogramaciones!$T$15+7*(Reprogramaciones!X$14-1))),MIN(F6,(Reprogramaciones!$T$15+7*(Reprogramaciones!X$14-1))+6),11))))))))</f>
        <v/>
      </c>
      <c r="CH6" s="1" t="str">
        <f aca="false">IF(OR(NOT(AND(ISNUMBER(E6),ISNUMBER(F6))),$J$2=""),"",IF(Reprogramaciones!Y$13&lt;Reprogramaciones!$T$15,0,IF(Reprogramaciones!Y$14&gt;10,MIN(100,SUM($G6:$P6)),MIN(100,SUMPRODUCT((COLUMN($G6:$P6)-COLUMN($G6)+1&lt;Reprogramaciones!Y$14)*$G6:$P6)+N(INDEX($G6:$P6,1,Reprogramaciones!Y$14))*IF(Reprogramaciones!Y$13&gt;=(Reprogramaciones!$T$15+7*(Reprogramaciones!Y$14-1))+6,1,IF(MAX(0,NETWORKDAYS.INTL(MAX(E6,(Reprogramaciones!$T$15+7*(Reprogramaciones!Y$14-1))),MIN(F6,(Reprogramaciones!$T$15+7*(Reprogramaciones!Y$14-1))+6),11))=0,0,MAX(0,NETWORKDAYS.INTL(MAX(E6,(Reprogramaciones!$T$15+7*(Reprogramaciones!Y$14-1))),MIN(F6,Reprogramaciones!Y$13),11))/MAX(0,NETWORKDAYS.INTL(MAX(E6,(Reprogramaciones!$T$15+7*(Reprogramaciones!Y$14-1))),MIN(F6,(Reprogramaciones!$T$15+7*(Reprogramaciones!Y$14-1))+6),11))))))))</f>
        <v/>
      </c>
      <c r="CI6" s="1" t="str">
        <f aca="false">IF(OR(NOT(AND(ISNUMBER(E6),ISNUMBER(F6))),$J$2=""),"",IF(Reprogramaciones!Z$13&lt;Reprogramaciones!$T$15,0,IF(Reprogramaciones!Z$14&gt;10,MIN(100,SUM($G6:$P6)),MIN(100,SUMPRODUCT((COLUMN($G6:$P6)-COLUMN($G6)+1&lt;Reprogramaciones!Z$14)*$G6:$P6)+N(INDEX($G6:$P6,1,Reprogramaciones!Z$14))*IF(Reprogramaciones!Z$13&gt;=(Reprogramaciones!$T$15+7*(Reprogramaciones!Z$14-1))+6,1,IF(MAX(0,NETWORKDAYS.INTL(MAX(E6,(Reprogramaciones!$T$15+7*(Reprogramaciones!Z$14-1))),MIN(F6,(Reprogramaciones!$T$15+7*(Reprogramaciones!Z$14-1))+6),11))=0,0,MAX(0,NETWORKDAYS.INTL(MAX(E6,(Reprogramaciones!$T$15+7*(Reprogramaciones!Z$14-1))),MIN(F6,Reprogramaciones!Z$13),11))/MAX(0,NETWORKDAYS.INTL(MAX(E6,(Reprogramaciones!$T$15+7*(Reprogramaciones!Z$14-1))),MIN(F6,(Reprogramaciones!$T$15+7*(Reprogramaciones!Z$14-1))+6),11))))))))</f>
        <v/>
      </c>
      <c r="CJ6" s="1" t="str">
        <f aca="false">IF(OR(OR(NOT(AND(ISNUMBER(E6),ISNUMBER(F6))),$J$2=""),1&gt;Reprogramaciones!$K$16),"",IF(ROUND(SUM($Q6:Q6),1)&gt;=99.5,100,MIN(100,ROUND(SUM($Q6:Q6),1))))</f>
        <v/>
      </c>
      <c r="CK6" s="1" t="str">
        <f aca="false">IF(OR(OR(NOT(AND(ISNUMBER(E6),ISNUMBER(F6))),$J$2=""),2&gt;Reprogramaciones!$K$16),"",IF(ROUND(SUM($Q6:R6),1)&gt;=99.5,100,MIN(100,ROUND(SUM($Q6:R6),1))))</f>
        <v/>
      </c>
      <c r="CL6" s="1" t="str">
        <f aca="false">IF(OR(OR(NOT(AND(ISNUMBER(E6),ISNUMBER(F6))),$J$2=""),3&gt;Reprogramaciones!$K$16),"",IF(ROUND(SUM($Q6:S6),1)&gt;=99.5,100,MIN(100,ROUND(SUM($Q6:S6),1))))</f>
        <v/>
      </c>
      <c r="CM6" s="1" t="str">
        <f aca="false">IF(OR(OR(NOT(AND(ISNUMBER(E6),ISNUMBER(F6))),$J$2=""),4&gt;Reprogramaciones!$K$16),"",IF(ROUND(SUM($Q6:T6),1)&gt;=99.5,100,MIN(100,ROUND(SUM($Q6:T6),1))))</f>
        <v/>
      </c>
      <c r="CN6" s="1" t="str">
        <f aca="false">IF(OR(OR(NOT(AND(ISNUMBER(E6),ISNUMBER(F6))),$J$2=""),5&gt;Reprogramaciones!$K$16),"",IF(ROUND(SUM($Q6:U6),1)&gt;=99.5,100,MIN(100,ROUND(SUM($Q6:U6),1))))</f>
        <v/>
      </c>
      <c r="CO6" s="1" t="str">
        <f aca="false">IF(OR(OR(NOT(AND(ISNUMBER(E6),ISNUMBER(F6))),$J$2=""),6&gt;Reprogramaciones!$K$16),"",IF(ROUND(SUM($Q6:V6),1)&gt;=99.5,100,MIN(100,ROUND(SUM($Q6:V6),1))))</f>
        <v/>
      </c>
      <c r="CP6" s="1" t="str">
        <f aca="false">IF(OR(OR(NOT(AND(ISNUMBER(E6),ISNUMBER(F6))),$J$2=""),7&gt;Reprogramaciones!$K$16),"",IF(ROUND(SUM($Q6:W6),1)&gt;=99.5,100,MIN(100,ROUND(SUM($Q6:W6),1))))</f>
        <v/>
      </c>
      <c r="CQ6" s="1" t="str">
        <f aca="false">IF(OR(OR(NOT(AND(ISNUMBER(E6),ISNUMBER(F6))),$J$2=""),8&gt;Reprogramaciones!$K$16),"",IF(ROUND(SUM($Q6:X6),1)&gt;=99.5,100,MIN(100,ROUND(SUM($Q6:X6),1))))</f>
        <v/>
      </c>
      <c r="CR6" s="1" t="str">
        <f aca="false">IF(OR(OR(NOT(AND(ISNUMBER(E6),ISNUMBER(F6))),$J$2=""),9&gt;Reprogramaciones!$K$16),"",IF(ROUND(SUM($Q6:Y6),1)&gt;=99.5,100,MIN(100,ROUND(SUM($Q6:Y6),1))))</f>
        <v/>
      </c>
      <c r="CS6" s="1" t="str">
        <f aca="false">IF(OR(OR(NOT(AND(ISNUMBER(E6),ISNUMBER(F6))),$J$2=""),10&gt;Reprogramaciones!$K$16),"",IF(ROUND(SUM($Q6:Z6),1)&gt;=99.5,100,MIN(100,ROUND(SUM($Q6:Z6),1))))</f>
        <v/>
      </c>
      <c r="CT6" s="1" t="str">
        <f aca="false">IF(OR(OR(NOT(AND(ISNUMBER(E6),ISNUMBER(F6))),$J$2=""),11&gt;Reprogramaciones!$K$16),"",IF(ROUND(SUM($Q6:AA6),1)&gt;=99.5,100,MIN(100,ROUND(SUM($Q6:AA6),1))))</f>
        <v/>
      </c>
      <c r="CU6" s="1" t="str">
        <f aca="false">IF(OR(OR(NOT(AND(ISNUMBER(E6),ISNUMBER(F6))),$J$2=""),12&gt;Reprogramaciones!$K$16),"",IF(ROUND(SUM($Q6:AB6),1)&gt;=99.5,100,MIN(100,ROUND(SUM($Q6:AB6),1))))</f>
        <v/>
      </c>
      <c r="CV6" s="1" t="str">
        <f aca="false">IF(OR(OR(NOT(AND(ISNUMBER(E6),ISNUMBER(F6))),$J$2=""),13&gt;Reprogramaciones!$K$16),"",IF(ROUND(SUM($Q6:AC6),1)&gt;=99.5,100,MIN(100,ROUND(SUM($Q6:AC6),1))))</f>
        <v/>
      </c>
      <c r="CW6" s="1" t="str">
        <f aca="false">IF(OR(OR(NOT(AND(ISNUMBER(E6),ISNUMBER(F6))),$J$2=""),14&gt;Reprogramaciones!$K$16),"",IF(ROUND(SUM($Q6:AD6),1)&gt;=99.5,100,MIN(100,ROUND(SUM($Q6:AD6),1))))</f>
        <v/>
      </c>
      <c r="CX6" s="1" t="str">
        <f aca="false">IF(OR(OR(NOT(AND(ISNUMBER(E6),ISNUMBER(F6))),$J$2=""),15&gt;Reprogramaciones!$K$16),"",IF(ROUND(SUM($Q6:AE6),1)&gt;=99.5,100,MIN(100,ROUND(SUM($Q6:AE6),1))))</f>
        <v/>
      </c>
      <c r="CY6" s="1" t="str">
        <f aca="false">IF(OR(OR(NOT(AND(ISNUMBER(E6),ISNUMBER(F6))),$J$2=""),16&gt;Reprogramaciones!$K$16),"",IF(ROUND(SUM($Q6:AF6),1)&gt;=99.5,100,MIN(100,ROUND(SUM($Q6:AF6),1))))</f>
        <v/>
      </c>
      <c r="CZ6" s="1" t="str">
        <f aca="false">IF(D6&lt;&gt;"",D6,IF(B6&lt;&gt;"","Contractual","Contractual"))</f>
        <v>Contractual</v>
      </c>
      <c r="DA6" s="1" t="str">
        <f aca="false">IF(OR(NOT(AND(ISNUMBER(E6),ISNUMBER(F6))),$J$2=""),"",IF(Reprogramaciones!$Q$15&lt;Reprogramaciones!$T$15,0,IF(Reprogramaciones!$S$15&gt;10,MIN(100,SUM($G6:$P6)),MIN(100,SUMPRODUCT((COLUMN($G6:$P6)-COLUMN($G6)+1&lt;Reprogramaciones!$S$15)*$G6:$P6)+N(INDEX($G6:$P6,1,Reprogramaciones!$S$15))*IF(Reprogramaciones!$Q$15&gt;=(Reprogramaciones!$T$15+7*(Reprogramaciones!$S$15-1))+6,1,IF(MAX(0,NETWORKDAYS.INTL(MAX(E6,(Reprogramaciones!$T$15+7*(Reprogramaciones!$S$15-1))),MIN(F6,(Reprogramaciones!$T$15+7*(Reprogramaciones!$S$15-1))+6),11))=0,0,MAX(0,NETWORKDAYS.INTL(MAX(E6,(Reprogramaciones!$T$15+7*(Reprogramaciones!$S$15-1))),MIN(F6,Reprogramaciones!$Q$15),11))/MAX(0,NETWORKDAYS.INTL(MAX(E6,(Reprogramaciones!$T$15+7*(Reprogramaciones!$S$15-1))),MIN(F6,(Reprogramaciones!$T$15+7*(Reprogramaciones!$S$15-1))+6),11))))))))</f>
        <v/>
      </c>
    </row>
    <row r="7" customFormat="false" ht="15" hidden="false" customHeight="false" outlineLevel="0" collapsed="false">
      <c r="A7" s="32" t="s">
        <v>155</v>
      </c>
      <c r="B7" s="33"/>
      <c r="C7" s="33" t="s">
        <v>156</v>
      </c>
      <c r="D7" s="34"/>
      <c r="E7" s="35" t="n">
        <v>46288</v>
      </c>
      <c r="F7" s="35" t="n">
        <v>46289</v>
      </c>
      <c r="G7" s="36" t="n">
        <f aca="false">IF(OR(NOT(AND(ISNUMBER(E7),ISNUMBER(F7))),$J$2=""),"",IF(Reprogramaciones!K$9&lt;E7,0,IF(NETWORKDAYS.INTL(E7,F7,11)=0,IF(Reprogramaciones!K$9&gt;=F7,100,0),ROUND(NETWORKDAYS.INTL(E7,MIN(F7,Reprogramaciones!K$9),11)/NETWORKDAYS.INTL(E7,F7,11)*100,1)))-0)</f>
        <v>100</v>
      </c>
      <c r="H7" s="36" t="n">
        <f aca="false">IF(OR(NOT(AND(ISNUMBER(E7),ISNUMBER(F7))),$J$2=""),"",IF(Reprogramaciones!L$9&lt;E7,0,IF(NETWORKDAYS.INTL(E7,F7,11)=0,IF(Reprogramaciones!L$9&gt;=F7,100,0),ROUND(NETWORKDAYS.INTL(E7,MIN(F7,Reprogramaciones!L$9),11)/NETWORKDAYS.INTL(E7,F7,11)*100,1)))-IF(Reprogramaciones!K$9&lt;E7,0,IF(NETWORKDAYS.INTL(E7,F7,11)=0,IF(Reprogramaciones!K$9&gt;=F7,100,0),ROUND(NETWORKDAYS.INTL(E7,MIN(F7,Reprogramaciones!K$9),11)/NETWORKDAYS.INTL(E7,F7,11)*100,1))))</f>
        <v>0</v>
      </c>
      <c r="I7" s="36" t="n">
        <f aca="false">IF(OR(NOT(AND(ISNUMBER(E7),ISNUMBER(F7))),$J$2=""),"",IF(Reprogramaciones!M$9&lt;E7,0,IF(NETWORKDAYS.INTL(E7,F7,11)=0,IF(Reprogramaciones!M$9&gt;=F7,100,0),ROUND(NETWORKDAYS.INTL(E7,MIN(F7,Reprogramaciones!M$9),11)/NETWORKDAYS.INTL(E7,F7,11)*100,1)))-IF(Reprogramaciones!L$9&lt;E7,0,IF(NETWORKDAYS.INTL(E7,F7,11)=0,IF(Reprogramaciones!L$9&gt;=F7,100,0),ROUND(NETWORKDAYS.INTL(E7,MIN(F7,Reprogramaciones!L$9),11)/NETWORKDAYS.INTL(E7,F7,11)*100,1))))</f>
        <v>0</v>
      </c>
      <c r="J7" s="36" t="n">
        <f aca="false">IF(OR(NOT(AND(ISNUMBER(E7),ISNUMBER(F7))),$J$2=""),"",IF(Reprogramaciones!N$9&lt;E7,0,IF(NETWORKDAYS.INTL(E7,F7,11)=0,IF(Reprogramaciones!N$9&gt;=F7,100,0),ROUND(NETWORKDAYS.INTL(E7,MIN(F7,Reprogramaciones!N$9),11)/NETWORKDAYS.INTL(E7,F7,11)*100,1)))-IF(Reprogramaciones!M$9&lt;E7,0,IF(NETWORKDAYS.INTL(E7,F7,11)=0,IF(Reprogramaciones!M$9&gt;=F7,100,0),ROUND(NETWORKDAYS.INTL(E7,MIN(F7,Reprogramaciones!M$9),11)/NETWORKDAYS.INTL(E7,F7,11)*100,1))))</f>
        <v>0</v>
      </c>
      <c r="K7" s="36" t="n">
        <f aca="false">IF(OR(NOT(AND(ISNUMBER(E7),ISNUMBER(F7))),$J$2=""),"",IF(Reprogramaciones!O$9&lt;E7,0,IF(NETWORKDAYS.INTL(E7,F7,11)=0,IF(Reprogramaciones!O$9&gt;=F7,100,0),ROUND(NETWORKDAYS.INTL(E7,MIN(F7,Reprogramaciones!O$9),11)/NETWORKDAYS.INTL(E7,F7,11)*100,1)))-IF(Reprogramaciones!N$9&lt;E7,0,IF(NETWORKDAYS.INTL(E7,F7,11)=0,IF(Reprogramaciones!N$9&gt;=F7,100,0),ROUND(NETWORKDAYS.INTL(E7,MIN(F7,Reprogramaciones!N$9),11)/NETWORKDAYS.INTL(E7,F7,11)*100,1))))</f>
        <v>0</v>
      </c>
      <c r="L7" s="36" t="n">
        <f aca="false">IF(OR(NOT(AND(ISNUMBER(E7),ISNUMBER(F7))),$J$2=""),"",IF(Reprogramaciones!P$9&lt;E7,0,IF(NETWORKDAYS.INTL(E7,F7,11)=0,IF(Reprogramaciones!P$9&gt;=F7,100,0),ROUND(NETWORKDAYS.INTL(E7,MIN(F7,Reprogramaciones!P$9),11)/NETWORKDAYS.INTL(E7,F7,11)*100,1)))-IF(Reprogramaciones!O$9&lt;E7,0,IF(NETWORKDAYS.INTL(E7,F7,11)=0,IF(Reprogramaciones!O$9&gt;=F7,100,0),ROUND(NETWORKDAYS.INTL(E7,MIN(F7,Reprogramaciones!O$9),11)/NETWORKDAYS.INTL(E7,F7,11)*100,1))))</f>
        <v>0</v>
      </c>
      <c r="M7" s="36" t="n">
        <f aca="false">IF(OR(NOT(AND(ISNUMBER(E7),ISNUMBER(F7))),$J$2=""),"",IF(Reprogramaciones!Q$9&lt;E7,0,IF(NETWORKDAYS.INTL(E7,F7,11)=0,IF(Reprogramaciones!Q$9&gt;=F7,100,0),ROUND(NETWORKDAYS.INTL(E7,MIN(F7,Reprogramaciones!Q$9),11)/NETWORKDAYS.INTL(E7,F7,11)*100,1)))-IF(Reprogramaciones!P$9&lt;E7,0,IF(NETWORKDAYS.INTL(E7,F7,11)=0,IF(Reprogramaciones!P$9&gt;=F7,100,0),ROUND(NETWORKDAYS.INTL(E7,MIN(F7,Reprogramaciones!P$9),11)/NETWORKDAYS.INTL(E7,F7,11)*100,1))))</f>
        <v>0</v>
      </c>
      <c r="N7" s="36" t="n">
        <f aca="false">IF(OR(NOT(AND(ISNUMBER(E7),ISNUMBER(F7))),$J$2=""),"",IF(Reprogramaciones!R$9&lt;E7,0,IF(NETWORKDAYS.INTL(E7,F7,11)=0,IF(Reprogramaciones!R$9&gt;=F7,100,0),ROUND(NETWORKDAYS.INTL(E7,MIN(F7,Reprogramaciones!R$9),11)/NETWORKDAYS.INTL(E7,F7,11)*100,1)))-IF(Reprogramaciones!Q$9&lt;E7,0,IF(NETWORKDAYS.INTL(E7,F7,11)=0,IF(Reprogramaciones!Q$9&gt;=F7,100,0),ROUND(NETWORKDAYS.INTL(E7,MIN(F7,Reprogramaciones!Q$9),11)/NETWORKDAYS.INTL(E7,F7,11)*100,1))))</f>
        <v>0</v>
      </c>
      <c r="O7" s="36" t="n">
        <f aca="false">IF(OR(NOT(AND(ISNUMBER(E7),ISNUMBER(F7))),$J$2=""),"",IF(Reprogramaciones!S$9&lt;E7,0,IF(NETWORKDAYS.INTL(E7,F7,11)=0,IF(Reprogramaciones!S$9&gt;=F7,100,0),ROUND(NETWORKDAYS.INTL(E7,MIN(F7,Reprogramaciones!S$9),11)/NETWORKDAYS.INTL(E7,F7,11)*100,1)))-IF(Reprogramaciones!R$9&lt;E7,0,IF(NETWORKDAYS.INTL(E7,F7,11)=0,IF(Reprogramaciones!R$9&gt;=F7,100,0),ROUND(NETWORKDAYS.INTL(E7,MIN(F7,Reprogramaciones!R$9),11)/NETWORKDAYS.INTL(E7,F7,11)*100,1))))</f>
        <v>0</v>
      </c>
      <c r="P7" s="36" t="n">
        <f aca="false">IF(OR(NOT(AND(ISNUMBER(E7),ISNUMBER(F7))),$J$2=""),"",IF(Reprogramaciones!T$9&lt;E7,0,IF(NETWORKDAYS.INTL(E7,F7,11)=0,IF(Reprogramaciones!T$9&gt;=F7,100,0),ROUND(NETWORKDAYS.INTL(E7,MIN(F7,Reprogramaciones!T$9),11)/NETWORKDAYS.INTL(E7,F7,11)*100,1)))-IF(Reprogramaciones!S$9&lt;E7,0,IF(NETWORKDAYS.INTL(E7,F7,11)=0,IF(Reprogramaciones!S$9&gt;=F7,100,0),ROUND(NETWORKDAYS.INTL(E7,MIN(F7,Reprogramaciones!S$9),11)/NETWORKDAYS.INTL(E7,F7,11)*100,1))))</f>
        <v>0</v>
      </c>
      <c r="Q7" s="37" t="n">
        <v>100</v>
      </c>
      <c r="R7" s="37"/>
      <c r="S7" s="37"/>
      <c r="T7" s="37"/>
      <c r="U7" s="37"/>
      <c r="V7" s="37"/>
      <c r="W7" s="37"/>
      <c r="X7" s="37"/>
      <c r="Y7" s="37"/>
      <c r="Z7" s="37"/>
      <c r="AA7" s="37"/>
      <c r="AB7" s="37"/>
      <c r="AC7" s="37"/>
      <c r="AD7" s="37"/>
      <c r="AE7" s="37"/>
      <c r="AF7" s="37"/>
      <c r="AG7" s="38" t="n">
        <f aca="false">IF(AND(ISNUMBER(E7),ISNUMBER(F7)),NETWORKDAYS.INTL(E7,F7,11),"")</f>
        <v>2</v>
      </c>
      <c r="AH7" s="38" t="n">
        <f aca="false">IF(OR(NOT(AND(ISNUMBER(E7),ISNUMBER(F7))),$J$2=""),"",IF(Reprogramaciones!$P$15&lt;Reprogramaciones!$T$15,0,IF(Reprogramaciones!$R$15&gt;10,MIN(100,SUM($G7:$P7)),MIN(100,SUMPRODUCT((COLUMN($G7:$P7)-COLUMN($G7)+1&lt;Reprogramaciones!$R$15)*$G7:$P7)+N(INDEX($G7:$P7,1,Reprogramaciones!$R$15))*IF(Reprogramaciones!$P$15&gt;=(Reprogramaciones!$T$15+7*(Reprogramaciones!$R$15-1))+6,1,IF(MAX(0,NETWORKDAYS.INTL(MAX(E7,(Reprogramaciones!$T$15+7*(Reprogramaciones!$R$15-1))),MIN(F7,(Reprogramaciones!$T$15+7*(Reprogramaciones!$R$15-1))+6),11))=0,0,MAX(0,NETWORKDAYS.INTL(MAX(E7,(Reprogramaciones!$T$15+7*(Reprogramaciones!$R$15-1))),MIN(F7,Reprogramaciones!$P$15),11))/MAX(0,NETWORKDAYS.INTL(MAX(E7,(Reprogramaciones!$T$15+7*(Reprogramaciones!$R$15-1))),MIN(F7,(Reprogramaciones!$T$15+7*(Reprogramaciones!$R$15-1))+6),11))))))))</f>
        <v>100</v>
      </c>
      <c r="AI7" s="38" t="n">
        <f aca="false">IF(COUNT($Q7:$AF7)=0,"",IF(ROUND(SUM($Q7:$AF7),1)&gt;=99.5,100,MIN(100,ROUND(SUM($Q7:$AF7),1))))</f>
        <v>100</v>
      </c>
      <c r="AJ7" s="38" t="n">
        <f aca="false">IF(OR(AH7="",AI7=""),"",AI7-AH7)</f>
        <v>0</v>
      </c>
      <c r="AK7" s="39" t="str">
        <f aca="true">IF(AH7="","",IF(OR(Ficha!$C$10="Suspendida",Ficha!$C$10="Cancelada"),Ficha!$C$10,IF(AND(AI7&lt;&gt;"",N(AI7)&gt;=100),"Completada",IF(AND(E7&gt;TODAY(),N(AI7)=0),"Por iniciar",IF(N(AI7)+0.5&lt;AH7,"Retrasada",IF(N(AI7)+0.5&lt;DA7,IF(Reprogramaciones!$K$15&gt;0,"Al día · Sem "&amp;Reprogramaciones!$K$15&amp;" en curso","Al día · en curso"),"A tiempo"))))))</f>
        <v>Completada</v>
      </c>
      <c r="AL7" s="39" t="str">
        <f aca="true">IF(AND(A7="",AND(B7="",C7="",E7="",F7="",COUNT(Q7:AF7)=0)),"",IF(AND(B7="",C7="",E7="",F7="",COUNT(Q7:AF7)=0),"Falta la partida o subpartida",IF(AND(A7&lt;&gt;"",COUNTIF($A$6:$A$305,A7)&gt;1),"Ítem repetido",IF(AND(C7="",E7="",F7="",COUNT(Q7:AF7)=0),"Título de partida",IF(OR(E7="",F7=""),"Faltan fechas",IF(OR(ISTEXT(E7),ISTEXT(F7)),"Fecha escrita como texto: usa dd/mm/aaaa",IF(F7&lt;E7,"Fin antes del inicio",IF(IF($J$2="",FALSE(),OR(E7&lt;$J$2,F7&gt;Reprogramaciones!$T$15+69)),"Fuera de las 10 semanas",IF(ABS(SUM(G7:P7)-100)&gt;0.5,"La meta no suma 100%",IF(ROUND(SUM(Q7:AF7),1)&gt;100.5,"El avance pasa de 100%",IF(MIN(Q7:AF7)&lt;0,"Avance negativo",IF(COUNTA(Q7:AF7)&gt;COUNT(Q7:AF7),"Avance escrito como texto",IF(SUMPRODUCT((Q7:AF7&gt;0)*(Q7:AF7&lt;1))&gt;0,"Avance menor a 1: escribe 50, no 50%",IF(SUMPRODUCT(ISNUMBER(Q7:AF7)*(Reprogramaciones!$K$8:$Z$8&gt;TODAY()))&gt;0,"Avance en semana que aún no llega",IF(AND(N(Reprogramaciones!$E$21)&gt;0,F7&gt;Reprogramaciones!$E$21),"Pasa el fin de la obra: registra una reprogramación",IF(AND(N(Reprogramaciones!$E$21)&gt;0,SUMPRODUCT(ISNUMBER(Q7:AF7)*(Reprogramaciones!$K$8:$Z$8&gt;Reprogramaciones!$E$21))&gt;0),"Avance después del fin de la obra: registra una reprogramación por atraso","OK"))))))))))))))))</f>
        <v>OK</v>
      </c>
      <c r="AM7" s="40" t="str">
        <f aca="false">IF(OR(OR(NOT(AND(ISNUMBER(E7),ISNUMBER(F7))),$J$2=""),1&gt;MAX(1,Reprogramaciones!$U$15)),"",IF(Reprogramaciones!K$12&gt;=7,"",IF(OR(BT7-N(0)&gt;0.05,N(Q7)&gt;0),ROUNDDOWN(ROUND(BT7,6),0)&amp;"%"&amp;IF(CJ7="",""," / "&amp;CJ7&amp;"%"),IF(AND(N(0)&gt;=99.95,CJ7&lt;&gt;"",N(CJ7)&lt;100),"Pend. "&amp;CJ7&amp;"%",""))))</f>
        <v>100% / 100%</v>
      </c>
      <c r="AN7" s="40" t="str">
        <f aca="false">IF(OR(OR(NOT(AND(ISNUMBER(E7),ISNUMBER(F7))),$J$2=""),2&gt;MAX(1,Reprogramaciones!$U$15)),"",IF(Reprogramaciones!L$12&gt;=7,"",IF(OR(BU7-N(BT7)&gt;0.05,N(R7)&gt;0),ROUNDDOWN(ROUND(BU7,6),0)&amp;"%"&amp;IF(CK7="",""," / "&amp;CK7&amp;"%"),IF(AND(N(BT7)&gt;=99.95,CK7&lt;&gt;"",N(CK7)&lt;100),"Pend. "&amp;CK7&amp;"%",""))))</f>
        <v/>
      </c>
      <c r="AO7" s="40" t="str">
        <f aca="false">IF(OR(OR(NOT(AND(ISNUMBER(E7),ISNUMBER(F7))),$J$2=""),3&gt;MAX(1,Reprogramaciones!$U$15)),"",IF(Reprogramaciones!M$12&gt;=7,"",IF(OR(BV7-N(BU7)&gt;0.05,N(S7)&gt;0),ROUNDDOWN(ROUND(BV7,6),0)&amp;"%"&amp;IF(CL7="",""," / "&amp;CL7&amp;"%"),IF(AND(N(BU7)&gt;=99.95,CL7&lt;&gt;"",N(CL7)&lt;100),"Pend. "&amp;CL7&amp;"%",""))))</f>
        <v/>
      </c>
      <c r="AP7" s="40" t="str">
        <f aca="false">IF(OR(OR(NOT(AND(ISNUMBER(E7),ISNUMBER(F7))),$J$2=""),4&gt;MAX(1,Reprogramaciones!$U$15)),"",IF(Reprogramaciones!N$12&gt;=7,"",IF(OR(BW7-N(BV7)&gt;0.05,N(T7)&gt;0),ROUNDDOWN(ROUND(BW7,6),0)&amp;"%"&amp;IF(CM7="",""," / "&amp;CM7&amp;"%"),IF(AND(N(BV7)&gt;=99.95,CM7&lt;&gt;"",N(CM7)&lt;100),"Pend. "&amp;CM7&amp;"%",""))))</f>
        <v/>
      </c>
      <c r="AQ7" s="40" t="str">
        <f aca="false">IF(OR(OR(NOT(AND(ISNUMBER(E7),ISNUMBER(F7))),$J$2=""),5&gt;MAX(1,Reprogramaciones!$U$15)),"",IF(Reprogramaciones!O$12&gt;=7,"",IF(OR(BX7-N(BW7)&gt;0.05,N(U7)&gt;0),ROUNDDOWN(ROUND(BX7,6),0)&amp;"%"&amp;IF(CN7="",""," / "&amp;CN7&amp;"%"),IF(AND(N(BW7)&gt;=99.95,CN7&lt;&gt;"",N(CN7)&lt;100),"Pend. "&amp;CN7&amp;"%",""))))</f>
        <v/>
      </c>
      <c r="AR7" s="40" t="str">
        <f aca="false">IF(OR(OR(NOT(AND(ISNUMBER(E7),ISNUMBER(F7))),$J$2=""),6&gt;MAX(1,Reprogramaciones!$U$15)),"",IF(Reprogramaciones!P$12&gt;=7,"",IF(OR(BY7-N(BX7)&gt;0.05,N(V7)&gt;0),ROUNDDOWN(ROUND(BY7,6),0)&amp;"%"&amp;IF(CO7="",""," / "&amp;CO7&amp;"%"),IF(AND(N(BX7)&gt;=99.95,CO7&lt;&gt;"",N(CO7)&lt;100),"Pend. "&amp;CO7&amp;"%",""))))</f>
        <v/>
      </c>
      <c r="AS7" s="40" t="str">
        <f aca="false">IF(OR(OR(NOT(AND(ISNUMBER(E7),ISNUMBER(F7))),$J$2=""),7&gt;MAX(1,Reprogramaciones!$U$15)),"",IF(Reprogramaciones!Q$12&gt;=7,"",IF(OR(BZ7-N(BY7)&gt;0.05,N(W7)&gt;0),ROUNDDOWN(ROUND(BZ7,6),0)&amp;"%"&amp;IF(CP7="",""," / "&amp;CP7&amp;"%"),IF(AND(N(BY7)&gt;=99.95,CP7&lt;&gt;"",N(CP7)&lt;100),"Pend. "&amp;CP7&amp;"%",""))))</f>
        <v/>
      </c>
      <c r="AT7" s="40" t="str">
        <f aca="false">IF(OR(OR(NOT(AND(ISNUMBER(E7),ISNUMBER(F7))),$J$2=""),8&gt;MAX(1,Reprogramaciones!$U$15)),"",IF(Reprogramaciones!R$12&gt;=7,"",IF(OR(CA7-N(BZ7)&gt;0.05,N(X7)&gt;0),ROUNDDOWN(ROUND(CA7,6),0)&amp;"%"&amp;IF(CQ7="",""," / "&amp;CQ7&amp;"%"),IF(AND(N(BZ7)&gt;=99.95,CQ7&lt;&gt;"",N(CQ7)&lt;100),"Pend. "&amp;CQ7&amp;"%",""))))</f>
        <v/>
      </c>
      <c r="AU7" s="40" t="str">
        <f aca="false">IF(OR(OR(NOT(AND(ISNUMBER(E7),ISNUMBER(F7))),$J$2=""),9&gt;MAX(1,Reprogramaciones!$U$15)),"",IF(Reprogramaciones!S$12&gt;=7,"",IF(OR(CB7-N(CA7)&gt;0.05,N(Y7)&gt;0),ROUNDDOWN(ROUND(CB7,6),0)&amp;"%"&amp;IF(CR7="",""," / "&amp;CR7&amp;"%"),IF(AND(N(CA7)&gt;=99.95,CR7&lt;&gt;"",N(CR7)&lt;100),"Pend. "&amp;CR7&amp;"%",""))))</f>
        <v/>
      </c>
      <c r="AV7" s="40" t="str">
        <f aca="false">IF(OR(OR(NOT(AND(ISNUMBER(E7),ISNUMBER(F7))),$J$2=""),10&gt;MAX(1,Reprogramaciones!$U$15)),"",IF(Reprogramaciones!T$12&gt;=7,"",IF(OR(CC7-N(CB7)&gt;0.05,N(Z7)&gt;0),ROUNDDOWN(ROUND(CC7,6),0)&amp;"%"&amp;IF(CS7="",""," / "&amp;CS7&amp;"%"),IF(AND(N(CB7)&gt;=99.95,CS7&lt;&gt;"",N(CS7)&lt;100),"Pend. "&amp;CS7&amp;"%",""))))</f>
        <v/>
      </c>
      <c r="AW7" s="40" t="str">
        <f aca="false">IF(OR(OR(NOT(AND(ISNUMBER(E7),ISNUMBER(F7))),$J$2=""),11&gt;MAX(1,Reprogramaciones!$U$15)),"",IF(Reprogramaciones!U$12&gt;=7,"",IF(OR(CD7-N(CC7)&gt;0.05,N(AA7)&gt;0),ROUNDDOWN(ROUND(CD7,6),0)&amp;"%"&amp;IF(CT7="",""," / "&amp;CT7&amp;"%"),IF(AND(N(CC7)&gt;=99.95,CT7&lt;&gt;"",N(CT7)&lt;100),"Pend. "&amp;CT7&amp;"%",""))))</f>
        <v/>
      </c>
      <c r="AX7" s="40" t="str">
        <f aca="false">IF(OR(OR(NOT(AND(ISNUMBER(E7),ISNUMBER(F7))),$J$2=""),12&gt;MAX(1,Reprogramaciones!$U$15)),"",IF(Reprogramaciones!V$12&gt;=7,"",IF(OR(CE7-N(CD7)&gt;0.05,N(AB7)&gt;0),ROUNDDOWN(ROUND(CE7,6),0)&amp;"%"&amp;IF(CU7="",""," / "&amp;CU7&amp;"%"),IF(AND(N(CD7)&gt;=99.95,CU7&lt;&gt;"",N(CU7)&lt;100),"Pend. "&amp;CU7&amp;"%",""))))</f>
        <v/>
      </c>
      <c r="AY7" s="40" t="str">
        <f aca="false">IF(OR(OR(NOT(AND(ISNUMBER(E7),ISNUMBER(F7))),$J$2=""),13&gt;MAX(1,Reprogramaciones!$U$15)),"",IF(Reprogramaciones!W$12&gt;=7,"",IF(OR(CF7-N(CE7)&gt;0.05,N(AC7)&gt;0),ROUNDDOWN(ROUND(CF7,6),0)&amp;"%"&amp;IF(CV7="",""," / "&amp;CV7&amp;"%"),IF(AND(N(CE7)&gt;=99.95,CV7&lt;&gt;"",N(CV7)&lt;100),"Pend. "&amp;CV7&amp;"%",""))))</f>
        <v/>
      </c>
      <c r="AZ7" s="40" t="str">
        <f aca="false">IF(OR(OR(NOT(AND(ISNUMBER(E7),ISNUMBER(F7))),$J$2=""),14&gt;MAX(1,Reprogramaciones!$U$15)),"",IF(Reprogramaciones!X$12&gt;=7,"",IF(OR(CG7-N(CF7)&gt;0.05,N(AD7)&gt;0),ROUNDDOWN(ROUND(CG7,6),0)&amp;"%"&amp;IF(CW7="",""," / "&amp;CW7&amp;"%"),IF(AND(N(CF7)&gt;=99.95,CW7&lt;&gt;"",N(CW7)&lt;100),"Pend. "&amp;CW7&amp;"%",""))))</f>
        <v/>
      </c>
      <c r="BA7" s="40" t="str">
        <f aca="false">IF(OR(OR(NOT(AND(ISNUMBER(E7),ISNUMBER(F7))),$J$2=""),15&gt;MAX(1,Reprogramaciones!$U$15)),"",IF(Reprogramaciones!Y$12&gt;=7,"",IF(OR(CH7-N(CG7)&gt;0.05,N(AE7)&gt;0),ROUNDDOWN(ROUND(CH7,6),0)&amp;"%"&amp;IF(CX7="",""," / "&amp;CX7&amp;"%"),IF(AND(N(CG7)&gt;=99.95,CX7&lt;&gt;"",N(CX7)&lt;100),"Pend. "&amp;CX7&amp;"%",""))))</f>
        <v/>
      </c>
      <c r="BB7" s="40" t="str">
        <f aca="false">IF(OR(OR(NOT(AND(ISNUMBER(E7),ISNUMBER(F7))),$J$2=""),16&gt;MAX(1,Reprogramaciones!$U$15)),"",IF(Reprogramaciones!Z$12&gt;=7,"",IF(OR(CI7-N(CH7)&gt;0.05,N(AF7)&gt;0),ROUNDDOWN(ROUND(CI7,6),0)&amp;"%"&amp;IF(CY7="",""," / "&amp;CY7&amp;"%"),IF(AND(N(CH7)&gt;=99.95,CY7&lt;&gt;"",N(CY7)&lt;100),"Pend. "&amp;CY7&amp;"%",""))))</f>
        <v/>
      </c>
      <c r="BC7" s="31" t="n">
        <f aca="false">IF(AND(ISNUMBER(E7),ISNUMBER(F7)),MAX(1,NETWORKDAYS.INTL(E7,F7,11)),0)</f>
        <v>2</v>
      </c>
      <c r="BD7" s="1" t="n">
        <f aca="false">IF(OR(NOT(AND(ISNUMBER(E7),ISNUMBER(F7))),$J$2=""),"",MIN(100,ROUND(SUM($G7:G7),1)))</f>
        <v>100</v>
      </c>
      <c r="BE7" s="1" t="n">
        <f aca="false">IF(OR(NOT(AND(ISNUMBER(E7),ISNUMBER(F7))),$J$2=""),"",MIN(100,ROUND(SUM($G7:H7),1)))</f>
        <v>100</v>
      </c>
      <c r="BF7" s="1" t="n">
        <f aca="false">IF(OR(NOT(AND(ISNUMBER(E7),ISNUMBER(F7))),$J$2=""),"",MIN(100,ROUND(SUM($G7:I7),1)))</f>
        <v>100</v>
      </c>
      <c r="BG7" s="1" t="n">
        <f aca="false">IF(OR(NOT(AND(ISNUMBER(E7),ISNUMBER(F7))),$J$2=""),"",MIN(100,ROUND(SUM($G7:J7),1)))</f>
        <v>100</v>
      </c>
      <c r="BH7" s="1" t="n">
        <f aca="false">IF(OR(NOT(AND(ISNUMBER(E7),ISNUMBER(F7))),$J$2=""),"",MIN(100,ROUND(SUM($G7:K7),1)))</f>
        <v>100</v>
      </c>
      <c r="BI7" s="1" t="n">
        <f aca="false">IF(OR(NOT(AND(ISNUMBER(E7),ISNUMBER(F7))),$J$2=""),"",MIN(100,ROUND(SUM($G7:L7),1)))</f>
        <v>100</v>
      </c>
      <c r="BJ7" s="1" t="n">
        <f aca="false">IF(OR(NOT(AND(ISNUMBER(E7),ISNUMBER(F7))),$J$2=""),"",MIN(100,ROUND(SUM($G7:M7),1)))</f>
        <v>100</v>
      </c>
      <c r="BK7" s="1" t="n">
        <f aca="false">IF(OR(NOT(AND(ISNUMBER(E7),ISNUMBER(F7))),$J$2=""),"",MIN(100,ROUND(SUM($G7:N7),1)))</f>
        <v>100</v>
      </c>
      <c r="BL7" s="1" t="n">
        <f aca="false">IF(OR(NOT(AND(ISNUMBER(E7),ISNUMBER(F7))),$J$2=""),"",MIN(100,ROUND(SUM($G7:O7),1)))</f>
        <v>100</v>
      </c>
      <c r="BM7" s="1" t="n">
        <f aca="false">IF(OR(NOT(AND(ISNUMBER(E7),ISNUMBER(F7))),$J$2=""),"",MIN(100,ROUND(SUM($G7:P7),1)))</f>
        <v>100</v>
      </c>
      <c r="BN7" s="1" t="n">
        <f aca="false">IF(OR(NOT(AND(ISNUMBER(E7),ISNUMBER(F7))),$J$2=""),"",MIN(100,ROUND(SUM($G7:P7),1)))</f>
        <v>100</v>
      </c>
      <c r="BO7" s="1" t="n">
        <f aca="false">IF(OR(NOT(AND(ISNUMBER(E7),ISNUMBER(F7))),$J$2=""),"",MIN(100,ROUND(SUM($G7:P7),1)))</f>
        <v>100</v>
      </c>
      <c r="BP7" s="1" t="n">
        <f aca="false">IF(OR(NOT(AND(ISNUMBER(E7),ISNUMBER(F7))),$J$2=""),"",MIN(100,ROUND(SUM($G7:P7),1)))</f>
        <v>100</v>
      </c>
      <c r="BQ7" s="1" t="n">
        <f aca="false">IF(OR(NOT(AND(ISNUMBER(E7),ISNUMBER(F7))),$J$2=""),"",MIN(100,ROUND(SUM($G7:P7),1)))</f>
        <v>100</v>
      </c>
      <c r="BR7" s="1" t="n">
        <f aca="false">IF(OR(NOT(AND(ISNUMBER(E7),ISNUMBER(F7))),$J$2=""),"",MIN(100,ROUND(SUM($G7:P7),1)))</f>
        <v>100</v>
      </c>
      <c r="BS7" s="1" t="n">
        <f aca="false">IF(OR(NOT(AND(ISNUMBER(E7),ISNUMBER(F7))),$J$2=""),"",MIN(100,ROUND(SUM($G7:P7),1)))</f>
        <v>100</v>
      </c>
      <c r="BT7" s="1" t="n">
        <f aca="false">IF(OR(NOT(AND(ISNUMBER(E7),ISNUMBER(F7))),$J$2=""),"",IF(Reprogramaciones!K$13&lt;Reprogramaciones!$T$15,0,IF(Reprogramaciones!K$14&gt;10,MIN(100,SUM($G7:$P7)),MIN(100,SUMPRODUCT((COLUMN($G7:$P7)-COLUMN($G7)+1&lt;Reprogramaciones!K$14)*$G7:$P7)+N(INDEX($G7:$P7,1,Reprogramaciones!K$14))*IF(Reprogramaciones!K$13&gt;=(Reprogramaciones!$T$15+7*(Reprogramaciones!K$14-1))+6,1,IF(MAX(0,NETWORKDAYS.INTL(MAX(E7,(Reprogramaciones!$T$15+7*(Reprogramaciones!K$14-1))),MIN(F7,(Reprogramaciones!$T$15+7*(Reprogramaciones!K$14-1))+6),11))=0,0,MAX(0,NETWORKDAYS.INTL(MAX(E7,(Reprogramaciones!$T$15+7*(Reprogramaciones!K$14-1))),MIN(F7,Reprogramaciones!K$13),11))/MAX(0,NETWORKDAYS.INTL(MAX(E7,(Reprogramaciones!$T$15+7*(Reprogramaciones!K$14-1))),MIN(F7,(Reprogramaciones!$T$15+7*(Reprogramaciones!K$14-1))+6),11))))))))</f>
        <v>100</v>
      </c>
      <c r="BU7" s="1" t="n">
        <f aca="false">IF(OR(NOT(AND(ISNUMBER(E7),ISNUMBER(F7))),$J$2=""),"",IF(Reprogramaciones!L$13&lt;Reprogramaciones!$T$15,0,IF(Reprogramaciones!L$14&gt;10,MIN(100,SUM($G7:$P7)),MIN(100,SUMPRODUCT((COLUMN($G7:$P7)-COLUMN($G7)+1&lt;Reprogramaciones!L$14)*$G7:$P7)+N(INDEX($G7:$P7,1,Reprogramaciones!L$14))*IF(Reprogramaciones!L$13&gt;=(Reprogramaciones!$T$15+7*(Reprogramaciones!L$14-1))+6,1,IF(MAX(0,NETWORKDAYS.INTL(MAX(E7,(Reprogramaciones!$T$15+7*(Reprogramaciones!L$14-1))),MIN(F7,(Reprogramaciones!$T$15+7*(Reprogramaciones!L$14-1))+6),11))=0,0,MAX(0,NETWORKDAYS.INTL(MAX(E7,(Reprogramaciones!$T$15+7*(Reprogramaciones!L$14-1))),MIN(F7,Reprogramaciones!L$13),11))/MAX(0,NETWORKDAYS.INTL(MAX(E7,(Reprogramaciones!$T$15+7*(Reprogramaciones!L$14-1))),MIN(F7,(Reprogramaciones!$T$15+7*(Reprogramaciones!L$14-1))+6),11))))))))</f>
        <v>100</v>
      </c>
      <c r="BV7" s="1" t="n">
        <f aca="false">IF(OR(NOT(AND(ISNUMBER(E7),ISNUMBER(F7))),$J$2=""),"",IF(Reprogramaciones!M$13&lt;Reprogramaciones!$T$15,0,IF(Reprogramaciones!M$14&gt;10,MIN(100,SUM($G7:$P7)),MIN(100,SUMPRODUCT((COLUMN($G7:$P7)-COLUMN($G7)+1&lt;Reprogramaciones!M$14)*$G7:$P7)+N(INDEX($G7:$P7,1,Reprogramaciones!M$14))*IF(Reprogramaciones!M$13&gt;=(Reprogramaciones!$T$15+7*(Reprogramaciones!M$14-1))+6,1,IF(MAX(0,NETWORKDAYS.INTL(MAX(E7,(Reprogramaciones!$T$15+7*(Reprogramaciones!M$14-1))),MIN(F7,(Reprogramaciones!$T$15+7*(Reprogramaciones!M$14-1))+6),11))=0,0,MAX(0,NETWORKDAYS.INTL(MAX(E7,(Reprogramaciones!$T$15+7*(Reprogramaciones!M$14-1))),MIN(F7,Reprogramaciones!M$13),11))/MAX(0,NETWORKDAYS.INTL(MAX(E7,(Reprogramaciones!$T$15+7*(Reprogramaciones!M$14-1))),MIN(F7,(Reprogramaciones!$T$15+7*(Reprogramaciones!M$14-1))+6),11))))))))</f>
        <v>100</v>
      </c>
      <c r="BW7" s="1" t="n">
        <f aca="false">IF(OR(NOT(AND(ISNUMBER(E7),ISNUMBER(F7))),$J$2=""),"",IF(Reprogramaciones!N$13&lt;Reprogramaciones!$T$15,0,IF(Reprogramaciones!N$14&gt;10,MIN(100,SUM($G7:$P7)),MIN(100,SUMPRODUCT((COLUMN($G7:$P7)-COLUMN($G7)+1&lt;Reprogramaciones!N$14)*$G7:$P7)+N(INDEX($G7:$P7,1,Reprogramaciones!N$14))*IF(Reprogramaciones!N$13&gt;=(Reprogramaciones!$T$15+7*(Reprogramaciones!N$14-1))+6,1,IF(MAX(0,NETWORKDAYS.INTL(MAX(E7,(Reprogramaciones!$T$15+7*(Reprogramaciones!N$14-1))),MIN(F7,(Reprogramaciones!$T$15+7*(Reprogramaciones!N$14-1))+6),11))=0,0,MAX(0,NETWORKDAYS.INTL(MAX(E7,(Reprogramaciones!$T$15+7*(Reprogramaciones!N$14-1))),MIN(F7,Reprogramaciones!N$13),11))/MAX(0,NETWORKDAYS.INTL(MAX(E7,(Reprogramaciones!$T$15+7*(Reprogramaciones!N$14-1))),MIN(F7,(Reprogramaciones!$T$15+7*(Reprogramaciones!N$14-1))+6),11))))))))</f>
        <v>100</v>
      </c>
      <c r="BX7" s="1" t="n">
        <f aca="false">IF(OR(NOT(AND(ISNUMBER(E7),ISNUMBER(F7))),$J$2=""),"",IF(Reprogramaciones!O$13&lt;Reprogramaciones!$T$15,0,IF(Reprogramaciones!O$14&gt;10,MIN(100,SUM($G7:$P7)),MIN(100,SUMPRODUCT((COLUMN($G7:$P7)-COLUMN($G7)+1&lt;Reprogramaciones!O$14)*$G7:$P7)+N(INDEX($G7:$P7,1,Reprogramaciones!O$14))*IF(Reprogramaciones!O$13&gt;=(Reprogramaciones!$T$15+7*(Reprogramaciones!O$14-1))+6,1,IF(MAX(0,NETWORKDAYS.INTL(MAX(E7,(Reprogramaciones!$T$15+7*(Reprogramaciones!O$14-1))),MIN(F7,(Reprogramaciones!$T$15+7*(Reprogramaciones!O$14-1))+6),11))=0,0,MAX(0,NETWORKDAYS.INTL(MAX(E7,(Reprogramaciones!$T$15+7*(Reprogramaciones!O$14-1))),MIN(F7,Reprogramaciones!O$13),11))/MAX(0,NETWORKDAYS.INTL(MAX(E7,(Reprogramaciones!$T$15+7*(Reprogramaciones!O$14-1))),MIN(F7,(Reprogramaciones!$T$15+7*(Reprogramaciones!O$14-1))+6),11))))))))</f>
        <v>100</v>
      </c>
      <c r="BY7" s="1" t="n">
        <f aca="false">IF(OR(NOT(AND(ISNUMBER(E7),ISNUMBER(F7))),$J$2=""),"",IF(Reprogramaciones!P$13&lt;Reprogramaciones!$T$15,0,IF(Reprogramaciones!P$14&gt;10,MIN(100,SUM($G7:$P7)),MIN(100,SUMPRODUCT((COLUMN($G7:$P7)-COLUMN($G7)+1&lt;Reprogramaciones!P$14)*$G7:$P7)+N(INDEX($G7:$P7,1,Reprogramaciones!P$14))*IF(Reprogramaciones!P$13&gt;=(Reprogramaciones!$T$15+7*(Reprogramaciones!P$14-1))+6,1,IF(MAX(0,NETWORKDAYS.INTL(MAX(E7,(Reprogramaciones!$T$15+7*(Reprogramaciones!P$14-1))),MIN(F7,(Reprogramaciones!$T$15+7*(Reprogramaciones!P$14-1))+6),11))=0,0,MAX(0,NETWORKDAYS.INTL(MAX(E7,(Reprogramaciones!$T$15+7*(Reprogramaciones!P$14-1))),MIN(F7,Reprogramaciones!P$13),11))/MAX(0,NETWORKDAYS.INTL(MAX(E7,(Reprogramaciones!$T$15+7*(Reprogramaciones!P$14-1))),MIN(F7,(Reprogramaciones!$T$15+7*(Reprogramaciones!P$14-1))+6),11))))))))</f>
        <v>100</v>
      </c>
      <c r="BZ7" s="1" t="n">
        <f aca="false">IF(OR(NOT(AND(ISNUMBER(E7),ISNUMBER(F7))),$J$2=""),"",IF(Reprogramaciones!Q$13&lt;Reprogramaciones!$T$15,0,IF(Reprogramaciones!Q$14&gt;10,MIN(100,SUM($G7:$P7)),MIN(100,SUMPRODUCT((COLUMN($G7:$P7)-COLUMN($G7)+1&lt;Reprogramaciones!Q$14)*$G7:$P7)+N(INDEX($G7:$P7,1,Reprogramaciones!Q$14))*IF(Reprogramaciones!Q$13&gt;=(Reprogramaciones!$T$15+7*(Reprogramaciones!Q$14-1))+6,1,IF(MAX(0,NETWORKDAYS.INTL(MAX(E7,(Reprogramaciones!$T$15+7*(Reprogramaciones!Q$14-1))),MIN(F7,(Reprogramaciones!$T$15+7*(Reprogramaciones!Q$14-1))+6),11))=0,0,MAX(0,NETWORKDAYS.INTL(MAX(E7,(Reprogramaciones!$T$15+7*(Reprogramaciones!Q$14-1))),MIN(F7,Reprogramaciones!Q$13),11))/MAX(0,NETWORKDAYS.INTL(MAX(E7,(Reprogramaciones!$T$15+7*(Reprogramaciones!Q$14-1))),MIN(F7,(Reprogramaciones!$T$15+7*(Reprogramaciones!Q$14-1))+6),11))))))))</f>
        <v>100</v>
      </c>
      <c r="CA7" s="1" t="n">
        <f aca="false">IF(OR(NOT(AND(ISNUMBER(E7),ISNUMBER(F7))),$J$2=""),"",IF(Reprogramaciones!R$13&lt;Reprogramaciones!$T$15,0,IF(Reprogramaciones!R$14&gt;10,MIN(100,SUM($G7:$P7)),MIN(100,SUMPRODUCT((COLUMN($G7:$P7)-COLUMN($G7)+1&lt;Reprogramaciones!R$14)*$G7:$P7)+N(INDEX($G7:$P7,1,Reprogramaciones!R$14))*IF(Reprogramaciones!R$13&gt;=(Reprogramaciones!$T$15+7*(Reprogramaciones!R$14-1))+6,1,IF(MAX(0,NETWORKDAYS.INTL(MAX(E7,(Reprogramaciones!$T$15+7*(Reprogramaciones!R$14-1))),MIN(F7,(Reprogramaciones!$T$15+7*(Reprogramaciones!R$14-1))+6),11))=0,0,MAX(0,NETWORKDAYS.INTL(MAX(E7,(Reprogramaciones!$T$15+7*(Reprogramaciones!R$14-1))),MIN(F7,Reprogramaciones!R$13),11))/MAX(0,NETWORKDAYS.INTL(MAX(E7,(Reprogramaciones!$T$15+7*(Reprogramaciones!R$14-1))),MIN(F7,(Reprogramaciones!$T$15+7*(Reprogramaciones!R$14-1))+6),11))))))))</f>
        <v>100</v>
      </c>
      <c r="CB7" s="1" t="n">
        <f aca="false">IF(OR(NOT(AND(ISNUMBER(E7),ISNUMBER(F7))),$J$2=""),"",IF(Reprogramaciones!S$13&lt;Reprogramaciones!$T$15,0,IF(Reprogramaciones!S$14&gt;10,MIN(100,SUM($G7:$P7)),MIN(100,SUMPRODUCT((COLUMN($G7:$P7)-COLUMN($G7)+1&lt;Reprogramaciones!S$14)*$G7:$P7)+N(INDEX($G7:$P7,1,Reprogramaciones!S$14))*IF(Reprogramaciones!S$13&gt;=(Reprogramaciones!$T$15+7*(Reprogramaciones!S$14-1))+6,1,IF(MAX(0,NETWORKDAYS.INTL(MAX(E7,(Reprogramaciones!$T$15+7*(Reprogramaciones!S$14-1))),MIN(F7,(Reprogramaciones!$T$15+7*(Reprogramaciones!S$14-1))+6),11))=0,0,MAX(0,NETWORKDAYS.INTL(MAX(E7,(Reprogramaciones!$T$15+7*(Reprogramaciones!S$14-1))),MIN(F7,Reprogramaciones!S$13),11))/MAX(0,NETWORKDAYS.INTL(MAX(E7,(Reprogramaciones!$T$15+7*(Reprogramaciones!S$14-1))),MIN(F7,(Reprogramaciones!$T$15+7*(Reprogramaciones!S$14-1))+6),11))))))))</f>
        <v>100</v>
      </c>
      <c r="CC7" s="1" t="n">
        <f aca="false">IF(OR(NOT(AND(ISNUMBER(E7),ISNUMBER(F7))),$J$2=""),"",IF(Reprogramaciones!T$13&lt;Reprogramaciones!$T$15,0,IF(Reprogramaciones!T$14&gt;10,MIN(100,SUM($G7:$P7)),MIN(100,SUMPRODUCT((COLUMN($G7:$P7)-COLUMN($G7)+1&lt;Reprogramaciones!T$14)*$G7:$P7)+N(INDEX($G7:$P7,1,Reprogramaciones!T$14))*IF(Reprogramaciones!T$13&gt;=(Reprogramaciones!$T$15+7*(Reprogramaciones!T$14-1))+6,1,IF(MAX(0,NETWORKDAYS.INTL(MAX(E7,(Reprogramaciones!$T$15+7*(Reprogramaciones!T$14-1))),MIN(F7,(Reprogramaciones!$T$15+7*(Reprogramaciones!T$14-1))+6),11))=0,0,MAX(0,NETWORKDAYS.INTL(MAX(E7,(Reprogramaciones!$T$15+7*(Reprogramaciones!T$14-1))),MIN(F7,Reprogramaciones!T$13),11))/MAX(0,NETWORKDAYS.INTL(MAX(E7,(Reprogramaciones!$T$15+7*(Reprogramaciones!T$14-1))),MIN(F7,(Reprogramaciones!$T$15+7*(Reprogramaciones!T$14-1))+6),11))))))))</f>
        <v>100</v>
      </c>
      <c r="CD7" s="1" t="n">
        <f aca="false">IF(OR(NOT(AND(ISNUMBER(E7),ISNUMBER(F7))),$J$2=""),"",IF(Reprogramaciones!U$13&lt;Reprogramaciones!$T$15,0,IF(Reprogramaciones!U$14&gt;10,MIN(100,SUM($G7:$P7)),MIN(100,SUMPRODUCT((COLUMN($G7:$P7)-COLUMN($G7)+1&lt;Reprogramaciones!U$14)*$G7:$P7)+N(INDEX($G7:$P7,1,Reprogramaciones!U$14))*IF(Reprogramaciones!U$13&gt;=(Reprogramaciones!$T$15+7*(Reprogramaciones!U$14-1))+6,1,IF(MAX(0,NETWORKDAYS.INTL(MAX(E7,(Reprogramaciones!$T$15+7*(Reprogramaciones!U$14-1))),MIN(F7,(Reprogramaciones!$T$15+7*(Reprogramaciones!U$14-1))+6),11))=0,0,MAX(0,NETWORKDAYS.INTL(MAX(E7,(Reprogramaciones!$T$15+7*(Reprogramaciones!U$14-1))),MIN(F7,Reprogramaciones!U$13),11))/MAX(0,NETWORKDAYS.INTL(MAX(E7,(Reprogramaciones!$T$15+7*(Reprogramaciones!U$14-1))),MIN(F7,(Reprogramaciones!$T$15+7*(Reprogramaciones!U$14-1))+6),11))))))))</f>
        <v>100</v>
      </c>
      <c r="CE7" s="1" t="n">
        <f aca="false">IF(OR(NOT(AND(ISNUMBER(E7),ISNUMBER(F7))),$J$2=""),"",IF(Reprogramaciones!V$13&lt;Reprogramaciones!$T$15,0,IF(Reprogramaciones!V$14&gt;10,MIN(100,SUM($G7:$P7)),MIN(100,SUMPRODUCT((COLUMN($G7:$P7)-COLUMN($G7)+1&lt;Reprogramaciones!V$14)*$G7:$P7)+N(INDEX($G7:$P7,1,Reprogramaciones!V$14))*IF(Reprogramaciones!V$13&gt;=(Reprogramaciones!$T$15+7*(Reprogramaciones!V$14-1))+6,1,IF(MAX(0,NETWORKDAYS.INTL(MAX(E7,(Reprogramaciones!$T$15+7*(Reprogramaciones!V$14-1))),MIN(F7,(Reprogramaciones!$T$15+7*(Reprogramaciones!V$14-1))+6),11))=0,0,MAX(0,NETWORKDAYS.INTL(MAX(E7,(Reprogramaciones!$T$15+7*(Reprogramaciones!V$14-1))),MIN(F7,Reprogramaciones!V$13),11))/MAX(0,NETWORKDAYS.INTL(MAX(E7,(Reprogramaciones!$T$15+7*(Reprogramaciones!V$14-1))),MIN(F7,(Reprogramaciones!$T$15+7*(Reprogramaciones!V$14-1))+6),11))))))))</f>
        <v>100</v>
      </c>
      <c r="CF7" s="1" t="n">
        <f aca="false">IF(OR(NOT(AND(ISNUMBER(E7),ISNUMBER(F7))),$J$2=""),"",IF(Reprogramaciones!W$13&lt;Reprogramaciones!$T$15,0,IF(Reprogramaciones!W$14&gt;10,MIN(100,SUM($G7:$P7)),MIN(100,SUMPRODUCT((COLUMN($G7:$P7)-COLUMN($G7)+1&lt;Reprogramaciones!W$14)*$G7:$P7)+N(INDEX($G7:$P7,1,Reprogramaciones!W$14))*IF(Reprogramaciones!W$13&gt;=(Reprogramaciones!$T$15+7*(Reprogramaciones!W$14-1))+6,1,IF(MAX(0,NETWORKDAYS.INTL(MAX(E7,(Reprogramaciones!$T$15+7*(Reprogramaciones!W$14-1))),MIN(F7,(Reprogramaciones!$T$15+7*(Reprogramaciones!W$14-1))+6),11))=0,0,MAX(0,NETWORKDAYS.INTL(MAX(E7,(Reprogramaciones!$T$15+7*(Reprogramaciones!W$14-1))),MIN(F7,Reprogramaciones!W$13),11))/MAX(0,NETWORKDAYS.INTL(MAX(E7,(Reprogramaciones!$T$15+7*(Reprogramaciones!W$14-1))),MIN(F7,(Reprogramaciones!$T$15+7*(Reprogramaciones!W$14-1))+6),11))))))))</f>
        <v>100</v>
      </c>
      <c r="CG7" s="1" t="n">
        <f aca="false">IF(OR(NOT(AND(ISNUMBER(E7),ISNUMBER(F7))),$J$2=""),"",IF(Reprogramaciones!X$13&lt;Reprogramaciones!$T$15,0,IF(Reprogramaciones!X$14&gt;10,MIN(100,SUM($G7:$P7)),MIN(100,SUMPRODUCT((COLUMN($G7:$P7)-COLUMN($G7)+1&lt;Reprogramaciones!X$14)*$G7:$P7)+N(INDEX($G7:$P7,1,Reprogramaciones!X$14))*IF(Reprogramaciones!X$13&gt;=(Reprogramaciones!$T$15+7*(Reprogramaciones!X$14-1))+6,1,IF(MAX(0,NETWORKDAYS.INTL(MAX(E7,(Reprogramaciones!$T$15+7*(Reprogramaciones!X$14-1))),MIN(F7,(Reprogramaciones!$T$15+7*(Reprogramaciones!X$14-1))+6),11))=0,0,MAX(0,NETWORKDAYS.INTL(MAX(E7,(Reprogramaciones!$T$15+7*(Reprogramaciones!X$14-1))),MIN(F7,Reprogramaciones!X$13),11))/MAX(0,NETWORKDAYS.INTL(MAX(E7,(Reprogramaciones!$T$15+7*(Reprogramaciones!X$14-1))),MIN(F7,(Reprogramaciones!$T$15+7*(Reprogramaciones!X$14-1))+6),11))))))))</f>
        <v>100</v>
      </c>
      <c r="CH7" s="1" t="n">
        <f aca="false">IF(OR(NOT(AND(ISNUMBER(E7),ISNUMBER(F7))),$J$2=""),"",IF(Reprogramaciones!Y$13&lt;Reprogramaciones!$T$15,0,IF(Reprogramaciones!Y$14&gt;10,MIN(100,SUM($G7:$P7)),MIN(100,SUMPRODUCT((COLUMN($G7:$P7)-COLUMN($G7)+1&lt;Reprogramaciones!Y$14)*$G7:$P7)+N(INDEX($G7:$P7,1,Reprogramaciones!Y$14))*IF(Reprogramaciones!Y$13&gt;=(Reprogramaciones!$T$15+7*(Reprogramaciones!Y$14-1))+6,1,IF(MAX(0,NETWORKDAYS.INTL(MAX(E7,(Reprogramaciones!$T$15+7*(Reprogramaciones!Y$14-1))),MIN(F7,(Reprogramaciones!$T$15+7*(Reprogramaciones!Y$14-1))+6),11))=0,0,MAX(0,NETWORKDAYS.INTL(MAX(E7,(Reprogramaciones!$T$15+7*(Reprogramaciones!Y$14-1))),MIN(F7,Reprogramaciones!Y$13),11))/MAX(0,NETWORKDAYS.INTL(MAX(E7,(Reprogramaciones!$T$15+7*(Reprogramaciones!Y$14-1))),MIN(F7,(Reprogramaciones!$T$15+7*(Reprogramaciones!Y$14-1))+6),11))))))))</f>
        <v>100</v>
      </c>
      <c r="CI7" s="1" t="n">
        <f aca="false">IF(OR(NOT(AND(ISNUMBER(E7),ISNUMBER(F7))),$J$2=""),"",IF(Reprogramaciones!Z$13&lt;Reprogramaciones!$T$15,0,IF(Reprogramaciones!Z$14&gt;10,MIN(100,SUM($G7:$P7)),MIN(100,SUMPRODUCT((COLUMN($G7:$P7)-COLUMN($G7)+1&lt;Reprogramaciones!Z$14)*$G7:$P7)+N(INDEX($G7:$P7,1,Reprogramaciones!Z$14))*IF(Reprogramaciones!Z$13&gt;=(Reprogramaciones!$T$15+7*(Reprogramaciones!Z$14-1))+6,1,IF(MAX(0,NETWORKDAYS.INTL(MAX(E7,(Reprogramaciones!$T$15+7*(Reprogramaciones!Z$14-1))),MIN(F7,(Reprogramaciones!$T$15+7*(Reprogramaciones!Z$14-1))+6),11))=0,0,MAX(0,NETWORKDAYS.INTL(MAX(E7,(Reprogramaciones!$T$15+7*(Reprogramaciones!Z$14-1))),MIN(F7,Reprogramaciones!Z$13),11))/MAX(0,NETWORKDAYS.INTL(MAX(E7,(Reprogramaciones!$T$15+7*(Reprogramaciones!Z$14-1))),MIN(F7,(Reprogramaciones!$T$15+7*(Reprogramaciones!Z$14-1))+6),11))))))))</f>
        <v>100</v>
      </c>
      <c r="CJ7" s="1" t="n">
        <f aca="false">IF(OR(OR(NOT(AND(ISNUMBER(E7),ISNUMBER(F7))),$J$2=""),1&gt;Reprogramaciones!$K$16),"",IF(ROUND(SUM($Q7:Q7),1)&gt;=99.5,100,MIN(100,ROUND(SUM($Q7:Q7),1))))</f>
        <v>100</v>
      </c>
      <c r="CK7" s="1" t="n">
        <f aca="false">IF(OR(OR(NOT(AND(ISNUMBER(E7),ISNUMBER(F7))),$J$2=""),2&gt;Reprogramaciones!$K$16),"",IF(ROUND(SUM($Q7:R7),1)&gt;=99.5,100,MIN(100,ROUND(SUM($Q7:R7),1))))</f>
        <v>100</v>
      </c>
      <c r="CL7" s="1" t="n">
        <f aca="false">IF(OR(OR(NOT(AND(ISNUMBER(E7),ISNUMBER(F7))),$J$2=""),3&gt;Reprogramaciones!$K$16),"",IF(ROUND(SUM($Q7:S7),1)&gt;=99.5,100,MIN(100,ROUND(SUM($Q7:S7),1))))</f>
        <v>100</v>
      </c>
      <c r="CM7" s="1" t="n">
        <f aca="false">IF(OR(OR(NOT(AND(ISNUMBER(E7),ISNUMBER(F7))),$J$2=""),4&gt;Reprogramaciones!$K$16),"",IF(ROUND(SUM($Q7:T7),1)&gt;=99.5,100,MIN(100,ROUND(SUM($Q7:T7),1))))</f>
        <v>100</v>
      </c>
      <c r="CN7" s="1" t="n">
        <f aca="false">IF(OR(OR(NOT(AND(ISNUMBER(E7),ISNUMBER(F7))),$J$2=""),5&gt;Reprogramaciones!$K$16),"",IF(ROUND(SUM($Q7:U7),1)&gt;=99.5,100,MIN(100,ROUND(SUM($Q7:U7),1))))</f>
        <v>100</v>
      </c>
      <c r="CO7" s="1" t="str">
        <f aca="false">IF(OR(OR(NOT(AND(ISNUMBER(E7),ISNUMBER(F7))),$J$2=""),6&gt;Reprogramaciones!$K$16),"",IF(ROUND(SUM($Q7:V7),1)&gt;=99.5,100,MIN(100,ROUND(SUM($Q7:V7),1))))</f>
        <v/>
      </c>
      <c r="CP7" s="1" t="str">
        <f aca="false">IF(OR(OR(NOT(AND(ISNUMBER(E7),ISNUMBER(F7))),$J$2=""),7&gt;Reprogramaciones!$K$16),"",IF(ROUND(SUM($Q7:W7),1)&gt;=99.5,100,MIN(100,ROUND(SUM($Q7:W7),1))))</f>
        <v/>
      </c>
      <c r="CQ7" s="1" t="str">
        <f aca="false">IF(OR(OR(NOT(AND(ISNUMBER(E7),ISNUMBER(F7))),$J$2=""),8&gt;Reprogramaciones!$K$16),"",IF(ROUND(SUM($Q7:X7),1)&gt;=99.5,100,MIN(100,ROUND(SUM($Q7:X7),1))))</f>
        <v/>
      </c>
      <c r="CR7" s="1" t="str">
        <f aca="false">IF(OR(OR(NOT(AND(ISNUMBER(E7),ISNUMBER(F7))),$J$2=""),9&gt;Reprogramaciones!$K$16),"",IF(ROUND(SUM($Q7:Y7),1)&gt;=99.5,100,MIN(100,ROUND(SUM($Q7:Y7),1))))</f>
        <v/>
      </c>
      <c r="CS7" s="1" t="str">
        <f aca="false">IF(OR(OR(NOT(AND(ISNUMBER(E7),ISNUMBER(F7))),$J$2=""),10&gt;Reprogramaciones!$K$16),"",IF(ROUND(SUM($Q7:Z7),1)&gt;=99.5,100,MIN(100,ROUND(SUM($Q7:Z7),1))))</f>
        <v/>
      </c>
      <c r="CT7" s="1" t="str">
        <f aca="false">IF(OR(OR(NOT(AND(ISNUMBER(E7),ISNUMBER(F7))),$J$2=""),11&gt;Reprogramaciones!$K$16),"",IF(ROUND(SUM($Q7:AA7),1)&gt;=99.5,100,MIN(100,ROUND(SUM($Q7:AA7),1))))</f>
        <v/>
      </c>
      <c r="CU7" s="1" t="str">
        <f aca="false">IF(OR(OR(NOT(AND(ISNUMBER(E7),ISNUMBER(F7))),$J$2=""),12&gt;Reprogramaciones!$K$16),"",IF(ROUND(SUM($Q7:AB7),1)&gt;=99.5,100,MIN(100,ROUND(SUM($Q7:AB7),1))))</f>
        <v/>
      </c>
      <c r="CV7" s="1" t="str">
        <f aca="false">IF(OR(OR(NOT(AND(ISNUMBER(E7),ISNUMBER(F7))),$J$2=""),13&gt;Reprogramaciones!$K$16),"",IF(ROUND(SUM($Q7:AC7),1)&gt;=99.5,100,MIN(100,ROUND(SUM($Q7:AC7),1))))</f>
        <v/>
      </c>
      <c r="CW7" s="1" t="str">
        <f aca="false">IF(OR(OR(NOT(AND(ISNUMBER(E7),ISNUMBER(F7))),$J$2=""),14&gt;Reprogramaciones!$K$16),"",IF(ROUND(SUM($Q7:AD7),1)&gt;=99.5,100,MIN(100,ROUND(SUM($Q7:AD7),1))))</f>
        <v/>
      </c>
      <c r="CX7" s="1" t="str">
        <f aca="false">IF(OR(OR(NOT(AND(ISNUMBER(E7),ISNUMBER(F7))),$J$2=""),15&gt;Reprogramaciones!$K$16),"",IF(ROUND(SUM($Q7:AE7),1)&gt;=99.5,100,MIN(100,ROUND(SUM($Q7:AE7),1))))</f>
        <v/>
      </c>
      <c r="CY7" s="1" t="str">
        <f aca="false">IF(OR(OR(NOT(AND(ISNUMBER(E7),ISNUMBER(F7))),$J$2=""),16&gt;Reprogramaciones!$K$16),"",IF(ROUND(SUM($Q7:AF7),1)&gt;=99.5,100,MIN(100,ROUND(SUM($Q7:AF7),1))))</f>
        <v/>
      </c>
      <c r="CZ7" s="1" t="str">
        <f aca="false">IF(D7&lt;&gt;"",D7,IF(B7&lt;&gt;"","Contractual",CZ6))</f>
        <v>Contractual</v>
      </c>
      <c r="DA7" s="1" t="n">
        <f aca="false">IF(OR(NOT(AND(ISNUMBER(E7),ISNUMBER(F7))),$J$2=""),"",IF(Reprogramaciones!$Q$15&lt;Reprogramaciones!$T$15,0,IF(Reprogramaciones!$S$15&gt;10,MIN(100,SUM($G7:$P7)),MIN(100,SUMPRODUCT((COLUMN($G7:$P7)-COLUMN($G7)+1&lt;Reprogramaciones!$S$15)*$G7:$P7)+N(INDEX($G7:$P7,1,Reprogramaciones!$S$15))*IF(Reprogramaciones!$Q$15&gt;=(Reprogramaciones!$T$15+7*(Reprogramaciones!$S$15-1))+6,1,IF(MAX(0,NETWORKDAYS.INTL(MAX(E7,(Reprogramaciones!$T$15+7*(Reprogramaciones!$S$15-1))),MIN(F7,(Reprogramaciones!$T$15+7*(Reprogramaciones!$S$15-1))+6),11))=0,0,MAX(0,NETWORKDAYS.INTL(MAX(E7,(Reprogramaciones!$T$15+7*(Reprogramaciones!$S$15-1))),MIN(F7,Reprogramaciones!$Q$15),11))/MAX(0,NETWORKDAYS.INTL(MAX(E7,(Reprogramaciones!$T$15+7*(Reprogramaciones!$S$15-1))),MIN(F7,(Reprogramaciones!$T$15+7*(Reprogramaciones!$S$15-1))+6),11))))))))</f>
        <v>100</v>
      </c>
    </row>
    <row r="8" customFormat="false" ht="15" hidden="false" customHeight="false" outlineLevel="0" collapsed="false">
      <c r="A8" s="32" t="s">
        <v>157</v>
      </c>
      <c r="B8" s="33"/>
      <c r="C8" s="33" t="s">
        <v>158</v>
      </c>
      <c r="D8" s="34"/>
      <c r="E8" s="35" t="n">
        <v>46289</v>
      </c>
      <c r="F8" s="35" t="n">
        <v>46290</v>
      </c>
      <c r="G8" s="36" t="n">
        <f aca="false">IF(OR(NOT(AND(ISNUMBER(E8),ISNUMBER(F8))),$J$2=""),"",IF(Reprogramaciones!K$9&lt;E8,0,IF(NETWORKDAYS.INTL(E8,F8,11)=0,IF(Reprogramaciones!K$9&gt;=F8,100,0),ROUND(NETWORKDAYS.INTL(E8,MIN(F8,Reprogramaciones!K$9),11)/NETWORKDAYS.INTL(E8,F8,11)*100,1)))-0)</f>
        <v>100</v>
      </c>
      <c r="H8" s="36" t="n">
        <f aca="false">IF(OR(NOT(AND(ISNUMBER(E8),ISNUMBER(F8))),$J$2=""),"",IF(Reprogramaciones!L$9&lt;E8,0,IF(NETWORKDAYS.INTL(E8,F8,11)=0,IF(Reprogramaciones!L$9&gt;=F8,100,0),ROUND(NETWORKDAYS.INTL(E8,MIN(F8,Reprogramaciones!L$9),11)/NETWORKDAYS.INTL(E8,F8,11)*100,1)))-IF(Reprogramaciones!K$9&lt;E8,0,IF(NETWORKDAYS.INTL(E8,F8,11)=0,IF(Reprogramaciones!K$9&gt;=F8,100,0),ROUND(NETWORKDAYS.INTL(E8,MIN(F8,Reprogramaciones!K$9),11)/NETWORKDAYS.INTL(E8,F8,11)*100,1))))</f>
        <v>0</v>
      </c>
      <c r="I8" s="36" t="n">
        <f aca="false">IF(OR(NOT(AND(ISNUMBER(E8),ISNUMBER(F8))),$J$2=""),"",IF(Reprogramaciones!M$9&lt;E8,0,IF(NETWORKDAYS.INTL(E8,F8,11)=0,IF(Reprogramaciones!M$9&gt;=F8,100,0),ROUND(NETWORKDAYS.INTL(E8,MIN(F8,Reprogramaciones!M$9),11)/NETWORKDAYS.INTL(E8,F8,11)*100,1)))-IF(Reprogramaciones!L$9&lt;E8,0,IF(NETWORKDAYS.INTL(E8,F8,11)=0,IF(Reprogramaciones!L$9&gt;=F8,100,0),ROUND(NETWORKDAYS.INTL(E8,MIN(F8,Reprogramaciones!L$9),11)/NETWORKDAYS.INTL(E8,F8,11)*100,1))))</f>
        <v>0</v>
      </c>
      <c r="J8" s="36" t="n">
        <f aca="false">IF(OR(NOT(AND(ISNUMBER(E8),ISNUMBER(F8))),$J$2=""),"",IF(Reprogramaciones!N$9&lt;E8,0,IF(NETWORKDAYS.INTL(E8,F8,11)=0,IF(Reprogramaciones!N$9&gt;=F8,100,0),ROUND(NETWORKDAYS.INTL(E8,MIN(F8,Reprogramaciones!N$9),11)/NETWORKDAYS.INTL(E8,F8,11)*100,1)))-IF(Reprogramaciones!M$9&lt;E8,0,IF(NETWORKDAYS.INTL(E8,F8,11)=0,IF(Reprogramaciones!M$9&gt;=F8,100,0),ROUND(NETWORKDAYS.INTL(E8,MIN(F8,Reprogramaciones!M$9),11)/NETWORKDAYS.INTL(E8,F8,11)*100,1))))</f>
        <v>0</v>
      </c>
      <c r="K8" s="36" t="n">
        <f aca="false">IF(OR(NOT(AND(ISNUMBER(E8),ISNUMBER(F8))),$J$2=""),"",IF(Reprogramaciones!O$9&lt;E8,0,IF(NETWORKDAYS.INTL(E8,F8,11)=0,IF(Reprogramaciones!O$9&gt;=F8,100,0),ROUND(NETWORKDAYS.INTL(E8,MIN(F8,Reprogramaciones!O$9),11)/NETWORKDAYS.INTL(E8,F8,11)*100,1)))-IF(Reprogramaciones!N$9&lt;E8,0,IF(NETWORKDAYS.INTL(E8,F8,11)=0,IF(Reprogramaciones!N$9&gt;=F8,100,0),ROUND(NETWORKDAYS.INTL(E8,MIN(F8,Reprogramaciones!N$9),11)/NETWORKDAYS.INTL(E8,F8,11)*100,1))))</f>
        <v>0</v>
      </c>
      <c r="L8" s="36" t="n">
        <f aca="false">IF(OR(NOT(AND(ISNUMBER(E8),ISNUMBER(F8))),$J$2=""),"",IF(Reprogramaciones!P$9&lt;E8,0,IF(NETWORKDAYS.INTL(E8,F8,11)=0,IF(Reprogramaciones!P$9&gt;=F8,100,0),ROUND(NETWORKDAYS.INTL(E8,MIN(F8,Reprogramaciones!P$9),11)/NETWORKDAYS.INTL(E8,F8,11)*100,1)))-IF(Reprogramaciones!O$9&lt;E8,0,IF(NETWORKDAYS.INTL(E8,F8,11)=0,IF(Reprogramaciones!O$9&gt;=F8,100,0),ROUND(NETWORKDAYS.INTL(E8,MIN(F8,Reprogramaciones!O$9),11)/NETWORKDAYS.INTL(E8,F8,11)*100,1))))</f>
        <v>0</v>
      </c>
      <c r="M8" s="36" t="n">
        <f aca="false">IF(OR(NOT(AND(ISNUMBER(E8),ISNUMBER(F8))),$J$2=""),"",IF(Reprogramaciones!Q$9&lt;E8,0,IF(NETWORKDAYS.INTL(E8,F8,11)=0,IF(Reprogramaciones!Q$9&gt;=F8,100,0),ROUND(NETWORKDAYS.INTL(E8,MIN(F8,Reprogramaciones!Q$9),11)/NETWORKDAYS.INTL(E8,F8,11)*100,1)))-IF(Reprogramaciones!P$9&lt;E8,0,IF(NETWORKDAYS.INTL(E8,F8,11)=0,IF(Reprogramaciones!P$9&gt;=F8,100,0),ROUND(NETWORKDAYS.INTL(E8,MIN(F8,Reprogramaciones!P$9),11)/NETWORKDAYS.INTL(E8,F8,11)*100,1))))</f>
        <v>0</v>
      </c>
      <c r="N8" s="36" t="n">
        <f aca="false">IF(OR(NOT(AND(ISNUMBER(E8),ISNUMBER(F8))),$J$2=""),"",IF(Reprogramaciones!R$9&lt;E8,0,IF(NETWORKDAYS.INTL(E8,F8,11)=0,IF(Reprogramaciones!R$9&gt;=F8,100,0),ROUND(NETWORKDAYS.INTL(E8,MIN(F8,Reprogramaciones!R$9),11)/NETWORKDAYS.INTL(E8,F8,11)*100,1)))-IF(Reprogramaciones!Q$9&lt;E8,0,IF(NETWORKDAYS.INTL(E8,F8,11)=0,IF(Reprogramaciones!Q$9&gt;=F8,100,0),ROUND(NETWORKDAYS.INTL(E8,MIN(F8,Reprogramaciones!Q$9),11)/NETWORKDAYS.INTL(E8,F8,11)*100,1))))</f>
        <v>0</v>
      </c>
      <c r="O8" s="36" t="n">
        <f aca="false">IF(OR(NOT(AND(ISNUMBER(E8),ISNUMBER(F8))),$J$2=""),"",IF(Reprogramaciones!S$9&lt;E8,0,IF(NETWORKDAYS.INTL(E8,F8,11)=0,IF(Reprogramaciones!S$9&gt;=F8,100,0),ROUND(NETWORKDAYS.INTL(E8,MIN(F8,Reprogramaciones!S$9),11)/NETWORKDAYS.INTL(E8,F8,11)*100,1)))-IF(Reprogramaciones!R$9&lt;E8,0,IF(NETWORKDAYS.INTL(E8,F8,11)=0,IF(Reprogramaciones!R$9&gt;=F8,100,0),ROUND(NETWORKDAYS.INTL(E8,MIN(F8,Reprogramaciones!R$9),11)/NETWORKDAYS.INTL(E8,F8,11)*100,1))))</f>
        <v>0</v>
      </c>
      <c r="P8" s="36" t="n">
        <f aca="false">IF(OR(NOT(AND(ISNUMBER(E8),ISNUMBER(F8))),$J$2=""),"",IF(Reprogramaciones!T$9&lt;E8,0,IF(NETWORKDAYS.INTL(E8,F8,11)=0,IF(Reprogramaciones!T$9&gt;=F8,100,0),ROUND(NETWORKDAYS.INTL(E8,MIN(F8,Reprogramaciones!T$9),11)/NETWORKDAYS.INTL(E8,F8,11)*100,1)))-IF(Reprogramaciones!S$9&lt;E8,0,IF(NETWORKDAYS.INTL(E8,F8,11)=0,IF(Reprogramaciones!S$9&gt;=F8,100,0),ROUND(NETWORKDAYS.INTL(E8,MIN(F8,Reprogramaciones!S$9),11)/NETWORKDAYS.INTL(E8,F8,11)*100,1))))</f>
        <v>0</v>
      </c>
      <c r="Q8" s="37" t="n">
        <v>100</v>
      </c>
      <c r="R8" s="37"/>
      <c r="S8" s="37"/>
      <c r="T8" s="37"/>
      <c r="U8" s="37"/>
      <c r="V8" s="37"/>
      <c r="W8" s="37"/>
      <c r="X8" s="37"/>
      <c r="Y8" s="37"/>
      <c r="Z8" s="37"/>
      <c r="AA8" s="37"/>
      <c r="AB8" s="37"/>
      <c r="AC8" s="37"/>
      <c r="AD8" s="37"/>
      <c r="AE8" s="37"/>
      <c r="AF8" s="37"/>
      <c r="AG8" s="38" t="n">
        <f aca="false">IF(AND(ISNUMBER(E8),ISNUMBER(F8)),NETWORKDAYS.INTL(E8,F8,11),"")</f>
        <v>2</v>
      </c>
      <c r="AH8" s="38" t="n">
        <f aca="false">IF(OR(NOT(AND(ISNUMBER(E8),ISNUMBER(F8))),$J$2=""),"",IF(Reprogramaciones!$P$15&lt;Reprogramaciones!$T$15,0,IF(Reprogramaciones!$R$15&gt;10,MIN(100,SUM($G8:$P8)),MIN(100,SUMPRODUCT((COLUMN($G8:$P8)-COLUMN($G8)+1&lt;Reprogramaciones!$R$15)*$G8:$P8)+N(INDEX($G8:$P8,1,Reprogramaciones!$R$15))*IF(Reprogramaciones!$P$15&gt;=(Reprogramaciones!$T$15+7*(Reprogramaciones!$R$15-1))+6,1,IF(MAX(0,NETWORKDAYS.INTL(MAX(E8,(Reprogramaciones!$T$15+7*(Reprogramaciones!$R$15-1))),MIN(F8,(Reprogramaciones!$T$15+7*(Reprogramaciones!$R$15-1))+6),11))=0,0,MAX(0,NETWORKDAYS.INTL(MAX(E8,(Reprogramaciones!$T$15+7*(Reprogramaciones!$R$15-1))),MIN(F8,Reprogramaciones!$P$15),11))/MAX(0,NETWORKDAYS.INTL(MAX(E8,(Reprogramaciones!$T$15+7*(Reprogramaciones!$R$15-1))),MIN(F8,(Reprogramaciones!$T$15+7*(Reprogramaciones!$R$15-1))+6),11))))))))</f>
        <v>100</v>
      </c>
      <c r="AI8" s="38" t="n">
        <f aca="false">IF(COUNT($Q8:$AF8)=0,"",IF(ROUND(SUM($Q8:$AF8),1)&gt;=99.5,100,MIN(100,ROUND(SUM($Q8:$AF8),1))))</f>
        <v>100</v>
      </c>
      <c r="AJ8" s="38" t="n">
        <f aca="false">IF(OR(AH8="",AI8=""),"",AI8-AH8)</f>
        <v>0</v>
      </c>
      <c r="AK8" s="39" t="str">
        <f aca="true">IF(AH8="","",IF(OR(Ficha!$C$10="Suspendida",Ficha!$C$10="Cancelada"),Ficha!$C$10,IF(AND(AI8&lt;&gt;"",N(AI8)&gt;=100),"Completada",IF(AND(E8&gt;TODAY(),N(AI8)=0),"Por iniciar",IF(N(AI8)+0.5&lt;AH8,"Retrasada",IF(N(AI8)+0.5&lt;DA8,IF(Reprogramaciones!$K$15&gt;0,"Al día · Sem "&amp;Reprogramaciones!$K$15&amp;" en curso","Al día · en curso"),"A tiempo"))))))</f>
        <v>Completada</v>
      </c>
      <c r="AL8" s="39" t="str">
        <f aca="true">IF(AND(A8="",AND(B8="",C8="",E8="",F8="",COUNT(Q8:AF8)=0)),"",IF(AND(B8="",C8="",E8="",F8="",COUNT(Q8:AF8)=0),"Falta la partida o subpartida",IF(AND(A8&lt;&gt;"",COUNTIF($A$6:$A$305,A8)&gt;1),"Ítem repetido",IF(AND(C8="",E8="",F8="",COUNT(Q8:AF8)=0),"Título de partida",IF(OR(E8="",F8=""),"Faltan fechas",IF(OR(ISTEXT(E8),ISTEXT(F8)),"Fecha escrita como texto: usa dd/mm/aaaa",IF(F8&lt;E8,"Fin antes del inicio",IF(IF($J$2="",FALSE(),OR(E8&lt;$J$2,F8&gt;Reprogramaciones!$T$15+69)),"Fuera de las 10 semanas",IF(ABS(SUM(G8:P8)-100)&gt;0.5,"La meta no suma 100%",IF(ROUND(SUM(Q8:AF8),1)&gt;100.5,"El avance pasa de 100%",IF(MIN(Q8:AF8)&lt;0,"Avance negativo",IF(COUNTA(Q8:AF8)&gt;COUNT(Q8:AF8),"Avance escrito como texto",IF(SUMPRODUCT((Q8:AF8&gt;0)*(Q8:AF8&lt;1))&gt;0,"Avance menor a 1: escribe 50, no 50%",IF(SUMPRODUCT(ISNUMBER(Q8:AF8)*(Reprogramaciones!$K$8:$Z$8&gt;TODAY()))&gt;0,"Avance en semana que aún no llega",IF(AND(N(Reprogramaciones!$E$21)&gt;0,F8&gt;Reprogramaciones!$E$21),"Pasa el fin de la obra: registra una reprogramación",IF(AND(N(Reprogramaciones!$E$21)&gt;0,SUMPRODUCT(ISNUMBER(Q8:AF8)*(Reprogramaciones!$K$8:$Z$8&gt;Reprogramaciones!$E$21))&gt;0),"Avance después del fin de la obra: registra una reprogramación por atraso","OK"))))))))))))))))</f>
        <v>OK</v>
      </c>
      <c r="AM8" s="40" t="str">
        <f aca="false">IF(OR(OR(NOT(AND(ISNUMBER(E8),ISNUMBER(F8))),$J$2=""),1&gt;MAX(1,Reprogramaciones!$U$15)),"",IF(Reprogramaciones!K$12&gt;=7,"",IF(OR(BT8-N(0)&gt;0.05,N(Q8)&gt;0),ROUNDDOWN(ROUND(BT8,6),0)&amp;"%"&amp;IF(CJ8="",""," / "&amp;CJ8&amp;"%"),IF(AND(N(0)&gt;=99.95,CJ8&lt;&gt;"",N(CJ8)&lt;100),"Pend. "&amp;CJ8&amp;"%",""))))</f>
        <v>100% / 100%</v>
      </c>
      <c r="AN8" s="40" t="str">
        <f aca="false">IF(OR(OR(NOT(AND(ISNUMBER(E8),ISNUMBER(F8))),$J$2=""),2&gt;MAX(1,Reprogramaciones!$U$15)),"",IF(Reprogramaciones!L$12&gt;=7,"",IF(OR(BU8-N(BT8)&gt;0.05,N(R8)&gt;0),ROUNDDOWN(ROUND(BU8,6),0)&amp;"%"&amp;IF(CK8="",""," / "&amp;CK8&amp;"%"),IF(AND(N(BT8)&gt;=99.95,CK8&lt;&gt;"",N(CK8)&lt;100),"Pend. "&amp;CK8&amp;"%",""))))</f>
        <v/>
      </c>
      <c r="AO8" s="40" t="str">
        <f aca="false">IF(OR(OR(NOT(AND(ISNUMBER(E8),ISNUMBER(F8))),$J$2=""),3&gt;MAX(1,Reprogramaciones!$U$15)),"",IF(Reprogramaciones!M$12&gt;=7,"",IF(OR(BV8-N(BU8)&gt;0.05,N(S8)&gt;0),ROUNDDOWN(ROUND(BV8,6),0)&amp;"%"&amp;IF(CL8="",""," / "&amp;CL8&amp;"%"),IF(AND(N(BU8)&gt;=99.95,CL8&lt;&gt;"",N(CL8)&lt;100),"Pend. "&amp;CL8&amp;"%",""))))</f>
        <v/>
      </c>
      <c r="AP8" s="40" t="str">
        <f aca="false">IF(OR(OR(NOT(AND(ISNUMBER(E8),ISNUMBER(F8))),$J$2=""),4&gt;MAX(1,Reprogramaciones!$U$15)),"",IF(Reprogramaciones!N$12&gt;=7,"",IF(OR(BW8-N(BV8)&gt;0.05,N(T8)&gt;0),ROUNDDOWN(ROUND(BW8,6),0)&amp;"%"&amp;IF(CM8="",""," / "&amp;CM8&amp;"%"),IF(AND(N(BV8)&gt;=99.95,CM8&lt;&gt;"",N(CM8)&lt;100),"Pend. "&amp;CM8&amp;"%",""))))</f>
        <v/>
      </c>
      <c r="AQ8" s="40" t="str">
        <f aca="false">IF(OR(OR(NOT(AND(ISNUMBER(E8),ISNUMBER(F8))),$J$2=""),5&gt;MAX(1,Reprogramaciones!$U$15)),"",IF(Reprogramaciones!O$12&gt;=7,"",IF(OR(BX8-N(BW8)&gt;0.05,N(U8)&gt;0),ROUNDDOWN(ROUND(BX8,6),0)&amp;"%"&amp;IF(CN8="",""," / "&amp;CN8&amp;"%"),IF(AND(N(BW8)&gt;=99.95,CN8&lt;&gt;"",N(CN8)&lt;100),"Pend. "&amp;CN8&amp;"%",""))))</f>
        <v/>
      </c>
      <c r="AR8" s="40" t="str">
        <f aca="false">IF(OR(OR(NOT(AND(ISNUMBER(E8),ISNUMBER(F8))),$J$2=""),6&gt;MAX(1,Reprogramaciones!$U$15)),"",IF(Reprogramaciones!P$12&gt;=7,"",IF(OR(BY8-N(BX8)&gt;0.05,N(V8)&gt;0),ROUNDDOWN(ROUND(BY8,6),0)&amp;"%"&amp;IF(CO8="",""," / "&amp;CO8&amp;"%"),IF(AND(N(BX8)&gt;=99.95,CO8&lt;&gt;"",N(CO8)&lt;100),"Pend. "&amp;CO8&amp;"%",""))))</f>
        <v/>
      </c>
      <c r="AS8" s="40" t="str">
        <f aca="false">IF(OR(OR(NOT(AND(ISNUMBER(E8),ISNUMBER(F8))),$J$2=""),7&gt;MAX(1,Reprogramaciones!$U$15)),"",IF(Reprogramaciones!Q$12&gt;=7,"",IF(OR(BZ8-N(BY8)&gt;0.05,N(W8)&gt;0),ROUNDDOWN(ROUND(BZ8,6),0)&amp;"%"&amp;IF(CP8="",""," / "&amp;CP8&amp;"%"),IF(AND(N(BY8)&gt;=99.95,CP8&lt;&gt;"",N(CP8)&lt;100),"Pend. "&amp;CP8&amp;"%",""))))</f>
        <v/>
      </c>
      <c r="AT8" s="40" t="str">
        <f aca="false">IF(OR(OR(NOT(AND(ISNUMBER(E8),ISNUMBER(F8))),$J$2=""),8&gt;MAX(1,Reprogramaciones!$U$15)),"",IF(Reprogramaciones!R$12&gt;=7,"",IF(OR(CA8-N(BZ8)&gt;0.05,N(X8)&gt;0),ROUNDDOWN(ROUND(CA8,6),0)&amp;"%"&amp;IF(CQ8="",""," / "&amp;CQ8&amp;"%"),IF(AND(N(BZ8)&gt;=99.95,CQ8&lt;&gt;"",N(CQ8)&lt;100),"Pend. "&amp;CQ8&amp;"%",""))))</f>
        <v/>
      </c>
      <c r="AU8" s="40" t="str">
        <f aca="false">IF(OR(OR(NOT(AND(ISNUMBER(E8),ISNUMBER(F8))),$J$2=""),9&gt;MAX(1,Reprogramaciones!$U$15)),"",IF(Reprogramaciones!S$12&gt;=7,"",IF(OR(CB8-N(CA8)&gt;0.05,N(Y8)&gt;0),ROUNDDOWN(ROUND(CB8,6),0)&amp;"%"&amp;IF(CR8="",""," / "&amp;CR8&amp;"%"),IF(AND(N(CA8)&gt;=99.95,CR8&lt;&gt;"",N(CR8)&lt;100),"Pend. "&amp;CR8&amp;"%",""))))</f>
        <v/>
      </c>
      <c r="AV8" s="40" t="str">
        <f aca="false">IF(OR(OR(NOT(AND(ISNUMBER(E8),ISNUMBER(F8))),$J$2=""),10&gt;MAX(1,Reprogramaciones!$U$15)),"",IF(Reprogramaciones!T$12&gt;=7,"",IF(OR(CC8-N(CB8)&gt;0.05,N(Z8)&gt;0),ROUNDDOWN(ROUND(CC8,6),0)&amp;"%"&amp;IF(CS8="",""," / "&amp;CS8&amp;"%"),IF(AND(N(CB8)&gt;=99.95,CS8&lt;&gt;"",N(CS8)&lt;100),"Pend. "&amp;CS8&amp;"%",""))))</f>
        <v/>
      </c>
      <c r="AW8" s="40" t="str">
        <f aca="false">IF(OR(OR(NOT(AND(ISNUMBER(E8),ISNUMBER(F8))),$J$2=""),11&gt;MAX(1,Reprogramaciones!$U$15)),"",IF(Reprogramaciones!U$12&gt;=7,"",IF(OR(CD8-N(CC8)&gt;0.05,N(AA8)&gt;0),ROUNDDOWN(ROUND(CD8,6),0)&amp;"%"&amp;IF(CT8="",""," / "&amp;CT8&amp;"%"),IF(AND(N(CC8)&gt;=99.95,CT8&lt;&gt;"",N(CT8)&lt;100),"Pend. "&amp;CT8&amp;"%",""))))</f>
        <v/>
      </c>
      <c r="AX8" s="40" t="str">
        <f aca="false">IF(OR(OR(NOT(AND(ISNUMBER(E8),ISNUMBER(F8))),$J$2=""),12&gt;MAX(1,Reprogramaciones!$U$15)),"",IF(Reprogramaciones!V$12&gt;=7,"",IF(OR(CE8-N(CD8)&gt;0.05,N(AB8)&gt;0),ROUNDDOWN(ROUND(CE8,6),0)&amp;"%"&amp;IF(CU8="",""," / "&amp;CU8&amp;"%"),IF(AND(N(CD8)&gt;=99.95,CU8&lt;&gt;"",N(CU8)&lt;100),"Pend. "&amp;CU8&amp;"%",""))))</f>
        <v/>
      </c>
      <c r="AY8" s="40" t="str">
        <f aca="false">IF(OR(OR(NOT(AND(ISNUMBER(E8),ISNUMBER(F8))),$J$2=""),13&gt;MAX(1,Reprogramaciones!$U$15)),"",IF(Reprogramaciones!W$12&gt;=7,"",IF(OR(CF8-N(CE8)&gt;0.05,N(AC8)&gt;0),ROUNDDOWN(ROUND(CF8,6),0)&amp;"%"&amp;IF(CV8="",""," / "&amp;CV8&amp;"%"),IF(AND(N(CE8)&gt;=99.95,CV8&lt;&gt;"",N(CV8)&lt;100),"Pend. "&amp;CV8&amp;"%",""))))</f>
        <v/>
      </c>
      <c r="AZ8" s="40" t="str">
        <f aca="false">IF(OR(OR(NOT(AND(ISNUMBER(E8),ISNUMBER(F8))),$J$2=""),14&gt;MAX(1,Reprogramaciones!$U$15)),"",IF(Reprogramaciones!X$12&gt;=7,"",IF(OR(CG8-N(CF8)&gt;0.05,N(AD8)&gt;0),ROUNDDOWN(ROUND(CG8,6),0)&amp;"%"&amp;IF(CW8="",""," / "&amp;CW8&amp;"%"),IF(AND(N(CF8)&gt;=99.95,CW8&lt;&gt;"",N(CW8)&lt;100),"Pend. "&amp;CW8&amp;"%",""))))</f>
        <v/>
      </c>
      <c r="BA8" s="40" t="str">
        <f aca="false">IF(OR(OR(NOT(AND(ISNUMBER(E8),ISNUMBER(F8))),$J$2=""),15&gt;MAX(1,Reprogramaciones!$U$15)),"",IF(Reprogramaciones!Y$12&gt;=7,"",IF(OR(CH8-N(CG8)&gt;0.05,N(AE8)&gt;0),ROUNDDOWN(ROUND(CH8,6),0)&amp;"%"&amp;IF(CX8="",""," / "&amp;CX8&amp;"%"),IF(AND(N(CG8)&gt;=99.95,CX8&lt;&gt;"",N(CX8)&lt;100),"Pend. "&amp;CX8&amp;"%",""))))</f>
        <v/>
      </c>
      <c r="BB8" s="40" t="str">
        <f aca="false">IF(OR(OR(NOT(AND(ISNUMBER(E8),ISNUMBER(F8))),$J$2=""),16&gt;MAX(1,Reprogramaciones!$U$15)),"",IF(Reprogramaciones!Z$12&gt;=7,"",IF(OR(CI8-N(CH8)&gt;0.05,N(AF8)&gt;0),ROUNDDOWN(ROUND(CI8,6),0)&amp;"%"&amp;IF(CY8="",""," / "&amp;CY8&amp;"%"),IF(AND(N(CH8)&gt;=99.95,CY8&lt;&gt;"",N(CY8)&lt;100),"Pend. "&amp;CY8&amp;"%",""))))</f>
        <v/>
      </c>
      <c r="BC8" s="31" t="n">
        <f aca="false">IF(AND(ISNUMBER(E8),ISNUMBER(F8)),MAX(1,NETWORKDAYS.INTL(E8,F8,11)),0)</f>
        <v>2</v>
      </c>
      <c r="BD8" s="1" t="n">
        <f aca="false">IF(OR(NOT(AND(ISNUMBER(E8),ISNUMBER(F8))),$J$2=""),"",MIN(100,ROUND(SUM($G8:G8),1)))</f>
        <v>100</v>
      </c>
      <c r="BE8" s="1" t="n">
        <f aca="false">IF(OR(NOT(AND(ISNUMBER(E8),ISNUMBER(F8))),$J$2=""),"",MIN(100,ROUND(SUM($G8:H8),1)))</f>
        <v>100</v>
      </c>
      <c r="BF8" s="1" t="n">
        <f aca="false">IF(OR(NOT(AND(ISNUMBER(E8),ISNUMBER(F8))),$J$2=""),"",MIN(100,ROUND(SUM($G8:I8),1)))</f>
        <v>100</v>
      </c>
      <c r="BG8" s="1" t="n">
        <f aca="false">IF(OR(NOT(AND(ISNUMBER(E8),ISNUMBER(F8))),$J$2=""),"",MIN(100,ROUND(SUM($G8:J8),1)))</f>
        <v>100</v>
      </c>
      <c r="BH8" s="1" t="n">
        <f aca="false">IF(OR(NOT(AND(ISNUMBER(E8),ISNUMBER(F8))),$J$2=""),"",MIN(100,ROUND(SUM($G8:K8),1)))</f>
        <v>100</v>
      </c>
      <c r="BI8" s="1" t="n">
        <f aca="false">IF(OR(NOT(AND(ISNUMBER(E8),ISNUMBER(F8))),$J$2=""),"",MIN(100,ROUND(SUM($G8:L8),1)))</f>
        <v>100</v>
      </c>
      <c r="BJ8" s="1" t="n">
        <f aca="false">IF(OR(NOT(AND(ISNUMBER(E8),ISNUMBER(F8))),$J$2=""),"",MIN(100,ROUND(SUM($G8:M8),1)))</f>
        <v>100</v>
      </c>
      <c r="BK8" s="1" t="n">
        <f aca="false">IF(OR(NOT(AND(ISNUMBER(E8),ISNUMBER(F8))),$J$2=""),"",MIN(100,ROUND(SUM($G8:N8),1)))</f>
        <v>100</v>
      </c>
      <c r="BL8" s="1" t="n">
        <f aca="false">IF(OR(NOT(AND(ISNUMBER(E8),ISNUMBER(F8))),$J$2=""),"",MIN(100,ROUND(SUM($G8:O8),1)))</f>
        <v>100</v>
      </c>
      <c r="BM8" s="1" t="n">
        <f aca="false">IF(OR(NOT(AND(ISNUMBER(E8),ISNUMBER(F8))),$J$2=""),"",MIN(100,ROUND(SUM($G8:P8),1)))</f>
        <v>100</v>
      </c>
      <c r="BN8" s="1" t="n">
        <f aca="false">IF(OR(NOT(AND(ISNUMBER(E8),ISNUMBER(F8))),$J$2=""),"",MIN(100,ROUND(SUM($G8:P8),1)))</f>
        <v>100</v>
      </c>
      <c r="BO8" s="1" t="n">
        <f aca="false">IF(OR(NOT(AND(ISNUMBER(E8),ISNUMBER(F8))),$J$2=""),"",MIN(100,ROUND(SUM($G8:P8),1)))</f>
        <v>100</v>
      </c>
      <c r="BP8" s="1" t="n">
        <f aca="false">IF(OR(NOT(AND(ISNUMBER(E8),ISNUMBER(F8))),$J$2=""),"",MIN(100,ROUND(SUM($G8:P8),1)))</f>
        <v>100</v>
      </c>
      <c r="BQ8" s="1" t="n">
        <f aca="false">IF(OR(NOT(AND(ISNUMBER(E8),ISNUMBER(F8))),$J$2=""),"",MIN(100,ROUND(SUM($G8:P8),1)))</f>
        <v>100</v>
      </c>
      <c r="BR8" s="1" t="n">
        <f aca="false">IF(OR(NOT(AND(ISNUMBER(E8),ISNUMBER(F8))),$J$2=""),"",MIN(100,ROUND(SUM($G8:P8),1)))</f>
        <v>100</v>
      </c>
      <c r="BS8" s="1" t="n">
        <f aca="false">IF(OR(NOT(AND(ISNUMBER(E8),ISNUMBER(F8))),$J$2=""),"",MIN(100,ROUND(SUM($G8:P8),1)))</f>
        <v>100</v>
      </c>
      <c r="BT8" s="1" t="n">
        <f aca="false">IF(OR(NOT(AND(ISNUMBER(E8),ISNUMBER(F8))),$J$2=""),"",IF(Reprogramaciones!K$13&lt;Reprogramaciones!$T$15,0,IF(Reprogramaciones!K$14&gt;10,MIN(100,SUM($G8:$P8)),MIN(100,SUMPRODUCT((COLUMN($G8:$P8)-COLUMN($G8)+1&lt;Reprogramaciones!K$14)*$G8:$P8)+N(INDEX($G8:$P8,1,Reprogramaciones!K$14))*IF(Reprogramaciones!K$13&gt;=(Reprogramaciones!$T$15+7*(Reprogramaciones!K$14-1))+6,1,IF(MAX(0,NETWORKDAYS.INTL(MAX(E8,(Reprogramaciones!$T$15+7*(Reprogramaciones!K$14-1))),MIN(F8,(Reprogramaciones!$T$15+7*(Reprogramaciones!K$14-1))+6),11))=0,0,MAX(0,NETWORKDAYS.INTL(MAX(E8,(Reprogramaciones!$T$15+7*(Reprogramaciones!K$14-1))),MIN(F8,Reprogramaciones!K$13),11))/MAX(0,NETWORKDAYS.INTL(MAX(E8,(Reprogramaciones!$T$15+7*(Reprogramaciones!K$14-1))),MIN(F8,(Reprogramaciones!$T$15+7*(Reprogramaciones!K$14-1))+6),11))))))))</f>
        <v>100</v>
      </c>
      <c r="BU8" s="1" t="n">
        <f aca="false">IF(OR(NOT(AND(ISNUMBER(E8),ISNUMBER(F8))),$J$2=""),"",IF(Reprogramaciones!L$13&lt;Reprogramaciones!$T$15,0,IF(Reprogramaciones!L$14&gt;10,MIN(100,SUM($G8:$P8)),MIN(100,SUMPRODUCT((COLUMN($G8:$P8)-COLUMN($G8)+1&lt;Reprogramaciones!L$14)*$G8:$P8)+N(INDEX($G8:$P8,1,Reprogramaciones!L$14))*IF(Reprogramaciones!L$13&gt;=(Reprogramaciones!$T$15+7*(Reprogramaciones!L$14-1))+6,1,IF(MAX(0,NETWORKDAYS.INTL(MAX(E8,(Reprogramaciones!$T$15+7*(Reprogramaciones!L$14-1))),MIN(F8,(Reprogramaciones!$T$15+7*(Reprogramaciones!L$14-1))+6),11))=0,0,MAX(0,NETWORKDAYS.INTL(MAX(E8,(Reprogramaciones!$T$15+7*(Reprogramaciones!L$14-1))),MIN(F8,Reprogramaciones!L$13),11))/MAX(0,NETWORKDAYS.INTL(MAX(E8,(Reprogramaciones!$T$15+7*(Reprogramaciones!L$14-1))),MIN(F8,(Reprogramaciones!$T$15+7*(Reprogramaciones!L$14-1))+6),11))))))))</f>
        <v>100</v>
      </c>
      <c r="BV8" s="1" t="n">
        <f aca="false">IF(OR(NOT(AND(ISNUMBER(E8),ISNUMBER(F8))),$J$2=""),"",IF(Reprogramaciones!M$13&lt;Reprogramaciones!$T$15,0,IF(Reprogramaciones!M$14&gt;10,MIN(100,SUM($G8:$P8)),MIN(100,SUMPRODUCT((COLUMN($G8:$P8)-COLUMN($G8)+1&lt;Reprogramaciones!M$14)*$G8:$P8)+N(INDEX($G8:$P8,1,Reprogramaciones!M$14))*IF(Reprogramaciones!M$13&gt;=(Reprogramaciones!$T$15+7*(Reprogramaciones!M$14-1))+6,1,IF(MAX(0,NETWORKDAYS.INTL(MAX(E8,(Reprogramaciones!$T$15+7*(Reprogramaciones!M$14-1))),MIN(F8,(Reprogramaciones!$T$15+7*(Reprogramaciones!M$14-1))+6),11))=0,0,MAX(0,NETWORKDAYS.INTL(MAX(E8,(Reprogramaciones!$T$15+7*(Reprogramaciones!M$14-1))),MIN(F8,Reprogramaciones!M$13),11))/MAX(0,NETWORKDAYS.INTL(MAX(E8,(Reprogramaciones!$T$15+7*(Reprogramaciones!M$14-1))),MIN(F8,(Reprogramaciones!$T$15+7*(Reprogramaciones!M$14-1))+6),11))))))))</f>
        <v>100</v>
      </c>
      <c r="BW8" s="1" t="n">
        <f aca="false">IF(OR(NOT(AND(ISNUMBER(E8),ISNUMBER(F8))),$J$2=""),"",IF(Reprogramaciones!N$13&lt;Reprogramaciones!$T$15,0,IF(Reprogramaciones!N$14&gt;10,MIN(100,SUM($G8:$P8)),MIN(100,SUMPRODUCT((COLUMN($G8:$P8)-COLUMN($G8)+1&lt;Reprogramaciones!N$14)*$G8:$P8)+N(INDEX($G8:$P8,1,Reprogramaciones!N$14))*IF(Reprogramaciones!N$13&gt;=(Reprogramaciones!$T$15+7*(Reprogramaciones!N$14-1))+6,1,IF(MAX(0,NETWORKDAYS.INTL(MAX(E8,(Reprogramaciones!$T$15+7*(Reprogramaciones!N$14-1))),MIN(F8,(Reprogramaciones!$T$15+7*(Reprogramaciones!N$14-1))+6),11))=0,0,MAX(0,NETWORKDAYS.INTL(MAX(E8,(Reprogramaciones!$T$15+7*(Reprogramaciones!N$14-1))),MIN(F8,Reprogramaciones!N$13),11))/MAX(0,NETWORKDAYS.INTL(MAX(E8,(Reprogramaciones!$T$15+7*(Reprogramaciones!N$14-1))),MIN(F8,(Reprogramaciones!$T$15+7*(Reprogramaciones!N$14-1))+6),11))))))))</f>
        <v>100</v>
      </c>
      <c r="BX8" s="1" t="n">
        <f aca="false">IF(OR(NOT(AND(ISNUMBER(E8),ISNUMBER(F8))),$J$2=""),"",IF(Reprogramaciones!O$13&lt;Reprogramaciones!$T$15,0,IF(Reprogramaciones!O$14&gt;10,MIN(100,SUM($G8:$P8)),MIN(100,SUMPRODUCT((COLUMN($G8:$P8)-COLUMN($G8)+1&lt;Reprogramaciones!O$14)*$G8:$P8)+N(INDEX($G8:$P8,1,Reprogramaciones!O$14))*IF(Reprogramaciones!O$13&gt;=(Reprogramaciones!$T$15+7*(Reprogramaciones!O$14-1))+6,1,IF(MAX(0,NETWORKDAYS.INTL(MAX(E8,(Reprogramaciones!$T$15+7*(Reprogramaciones!O$14-1))),MIN(F8,(Reprogramaciones!$T$15+7*(Reprogramaciones!O$14-1))+6),11))=0,0,MAX(0,NETWORKDAYS.INTL(MAX(E8,(Reprogramaciones!$T$15+7*(Reprogramaciones!O$14-1))),MIN(F8,Reprogramaciones!O$13),11))/MAX(0,NETWORKDAYS.INTL(MAX(E8,(Reprogramaciones!$T$15+7*(Reprogramaciones!O$14-1))),MIN(F8,(Reprogramaciones!$T$15+7*(Reprogramaciones!O$14-1))+6),11))))))))</f>
        <v>100</v>
      </c>
      <c r="BY8" s="1" t="n">
        <f aca="false">IF(OR(NOT(AND(ISNUMBER(E8),ISNUMBER(F8))),$J$2=""),"",IF(Reprogramaciones!P$13&lt;Reprogramaciones!$T$15,0,IF(Reprogramaciones!P$14&gt;10,MIN(100,SUM($G8:$P8)),MIN(100,SUMPRODUCT((COLUMN($G8:$P8)-COLUMN($G8)+1&lt;Reprogramaciones!P$14)*$G8:$P8)+N(INDEX($G8:$P8,1,Reprogramaciones!P$14))*IF(Reprogramaciones!P$13&gt;=(Reprogramaciones!$T$15+7*(Reprogramaciones!P$14-1))+6,1,IF(MAX(0,NETWORKDAYS.INTL(MAX(E8,(Reprogramaciones!$T$15+7*(Reprogramaciones!P$14-1))),MIN(F8,(Reprogramaciones!$T$15+7*(Reprogramaciones!P$14-1))+6),11))=0,0,MAX(0,NETWORKDAYS.INTL(MAX(E8,(Reprogramaciones!$T$15+7*(Reprogramaciones!P$14-1))),MIN(F8,Reprogramaciones!P$13),11))/MAX(0,NETWORKDAYS.INTL(MAX(E8,(Reprogramaciones!$T$15+7*(Reprogramaciones!P$14-1))),MIN(F8,(Reprogramaciones!$T$15+7*(Reprogramaciones!P$14-1))+6),11))))))))</f>
        <v>100</v>
      </c>
      <c r="BZ8" s="1" t="n">
        <f aca="false">IF(OR(NOT(AND(ISNUMBER(E8),ISNUMBER(F8))),$J$2=""),"",IF(Reprogramaciones!Q$13&lt;Reprogramaciones!$T$15,0,IF(Reprogramaciones!Q$14&gt;10,MIN(100,SUM($G8:$P8)),MIN(100,SUMPRODUCT((COLUMN($G8:$P8)-COLUMN($G8)+1&lt;Reprogramaciones!Q$14)*$G8:$P8)+N(INDEX($G8:$P8,1,Reprogramaciones!Q$14))*IF(Reprogramaciones!Q$13&gt;=(Reprogramaciones!$T$15+7*(Reprogramaciones!Q$14-1))+6,1,IF(MAX(0,NETWORKDAYS.INTL(MAX(E8,(Reprogramaciones!$T$15+7*(Reprogramaciones!Q$14-1))),MIN(F8,(Reprogramaciones!$T$15+7*(Reprogramaciones!Q$14-1))+6),11))=0,0,MAX(0,NETWORKDAYS.INTL(MAX(E8,(Reprogramaciones!$T$15+7*(Reprogramaciones!Q$14-1))),MIN(F8,Reprogramaciones!Q$13),11))/MAX(0,NETWORKDAYS.INTL(MAX(E8,(Reprogramaciones!$T$15+7*(Reprogramaciones!Q$14-1))),MIN(F8,(Reprogramaciones!$T$15+7*(Reprogramaciones!Q$14-1))+6),11))))))))</f>
        <v>100</v>
      </c>
      <c r="CA8" s="1" t="n">
        <f aca="false">IF(OR(NOT(AND(ISNUMBER(E8),ISNUMBER(F8))),$J$2=""),"",IF(Reprogramaciones!R$13&lt;Reprogramaciones!$T$15,0,IF(Reprogramaciones!R$14&gt;10,MIN(100,SUM($G8:$P8)),MIN(100,SUMPRODUCT((COLUMN($G8:$P8)-COLUMN($G8)+1&lt;Reprogramaciones!R$14)*$G8:$P8)+N(INDEX($G8:$P8,1,Reprogramaciones!R$14))*IF(Reprogramaciones!R$13&gt;=(Reprogramaciones!$T$15+7*(Reprogramaciones!R$14-1))+6,1,IF(MAX(0,NETWORKDAYS.INTL(MAX(E8,(Reprogramaciones!$T$15+7*(Reprogramaciones!R$14-1))),MIN(F8,(Reprogramaciones!$T$15+7*(Reprogramaciones!R$14-1))+6),11))=0,0,MAX(0,NETWORKDAYS.INTL(MAX(E8,(Reprogramaciones!$T$15+7*(Reprogramaciones!R$14-1))),MIN(F8,Reprogramaciones!R$13),11))/MAX(0,NETWORKDAYS.INTL(MAX(E8,(Reprogramaciones!$T$15+7*(Reprogramaciones!R$14-1))),MIN(F8,(Reprogramaciones!$T$15+7*(Reprogramaciones!R$14-1))+6),11))))))))</f>
        <v>100</v>
      </c>
      <c r="CB8" s="1" t="n">
        <f aca="false">IF(OR(NOT(AND(ISNUMBER(E8),ISNUMBER(F8))),$J$2=""),"",IF(Reprogramaciones!S$13&lt;Reprogramaciones!$T$15,0,IF(Reprogramaciones!S$14&gt;10,MIN(100,SUM($G8:$P8)),MIN(100,SUMPRODUCT((COLUMN($G8:$P8)-COLUMN($G8)+1&lt;Reprogramaciones!S$14)*$G8:$P8)+N(INDEX($G8:$P8,1,Reprogramaciones!S$14))*IF(Reprogramaciones!S$13&gt;=(Reprogramaciones!$T$15+7*(Reprogramaciones!S$14-1))+6,1,IF(MAX(0,NETWORKDAYS.INTL(MAX(E8,(Reprogramaciones!$T$15+7*(Reprogramaciones!S$14-1))),MIN(F8,(Reprogramaciones!$T$15+7*(Reprogramaciones!S$14-1))+6),11))=0,0,MAX(0,NETWORKDAYS.INTL(MAX(E8,(Reprogramaciones!$T$15+7*(Reprogramaciones!S$14-1))),MIN(F8,Reprogramaciones!S$13),11))/MAX(0,NETWORKDAYS.INTL(MAX(E8,(Reprogramaciones!$T$15+7*(Reprogramaciones!S$14-1))),MIN(F8,(Reprogramaciones!$T$15+7*(Reprogramaciones!S$14-1))+6),11))))))))</f>
        <v>100</v>
      </c>
      <c r="CC8" s="1" t="n">
        <f aca="false">IF(OR(NOT(AND(ISNUMBER(E8),ISNUMBER(F8))),$J$2=""),"",IF(Reprogramaciones!T$13&lt;Reprogramaciones!$T$15,0,IF(Reprogramaciones!T$14&gt;10,MIN(100,SUM($G8:$P8)),MIN(100,SUMPRODUCT((COLUMN($G8:$P8)-COLUMN($G8)+1&lt;Reprogramaciones!T$14)*$G8:$P8)+N(INDEX($G8:$P8,1,Reprogramaciones!T$14))*IF(Reprogramaciones!T$13&gt;=(Reprogramaciones!$T$15+7*(Reprogramaciones!T$14-1))+6,1,IF(MAX(0,NETWORKDAYS.INTL(MAX(E8,(Reprogramaciones!$T$15+7*(Reprogramaciones!T$14-1))),MIN(F8,(Reprogramaciones!$T$15+7*(Reprogramaciones!T$14-1))+6),11))=0,0,MAX(0,NETWORKDAYS.INTL(MAX(E8,(Reprogramaciones!$T$15+7*(Reprogramaciones!T$14-1))),MIN(F8,Reprogramaciones!T$13),11))/MAX(0,NETWORKDAYS.INTL(MAX(E8,(Reprogramaciones!$T$15+7*(Reprogramaciones!T$14-1))),MIN(F8,(Reprogramaciones!$T$15+7*(Reprogramaciones!T$14-1))+6),11))))))))</f>
        <v>100</v>
      </c>
      <c r="CD8" s="1" t="n">
        <f aca="false">IF(OR(NOT(AND(ISNUMBER(E8),ISNUMBER(F8))),$J$2=""),"",IF(Reprogramaciones!U$13&lt;Reprogramaciones!$T$15,0,IF(Reprogramaciones!U$14&gt;10,MIN(100,SUM($G8:$P8)),MIN(100,SUMPRODUCT((COLUMN($G8:$P8)-COLUMN($G8)+1&lt;Reprogramaciones!U$14)*$G8:$P8)+N(INDEX($G8:$P8,1,Reprogramaciones!U$14))*IF(Reprogramaciones!U$13&gt;=(Reprogramaciones!$T$15+7*(Reprogramaciones!U$14-1))+6,1,IF(MAX(0,NETWORKDAYS.INTL(MAX(E8,(Reprogramaciones!$T$15+7*(Reprogramaciones!U$14-1))),MIN(F8,(Reprogramaciones!$T$15+7*(Reprogramaciones!U$14-1))+6),11))=0,0,MAX(0,NETWORKDAYS.INTL(MAX(E8,(Reprogramaciones!$T$15+7*(Reprogramaciones!U$14-1))),MIN(F8,Reprogramaciones!U$13),11))/MAX(0,NETWORKDAYS.INTL(MAX(E8,(Reprogramaciones!$T$15+7*(Reprogramaciones!U$14-1))),MIN(F8,(Reprogramaciones!$T$15+7*(Reprogramaciones!U$14-1))+6),11))))))))</f>
        <v>100</v>
      </c>
      <c r="CE8" s="1" t="n">
        <f aca="false">IF(OR(NOT(AND(ISNUMBER(E8),ISNUMBER(F8))),$J$2=""),"",IF(Reprogramaciones!V$13&lt;Reprogramaciones!$T$15,0,IF(Reprogramaciones!V$14&gt;10,MIN(100,SUM($G8:$P8)),MIN(100,SUMPRODUCT((COLUMN($G8:$P8)-COLUMN($G8)+1&lt;Reprogramaciones!V$14)*$G8:$P8)+N(INDEX($G8:$P8,1,Reprogramaciones!V$14))*IF(Reprogramaciones!V$13&gt;=(Reprogramaciones!$T$15+7*(Reprogramaciones!V$14-1))+6,1,IF(MAX(0,NETWORKDAYS.INTL(MAX(E8,(Reprogramaciones!$T$15+7*(Reprogramaciones!V$14-1))),MIN(F8,(Reprogramaciones!$T$15+7*(Reprogramaciones!V$14-1))+6),11))=0,0,MAX(0,NETWORKDAYS.INTL(MAX(E8,(Reprogramaciones!$T$15+7*(Reprogramaciones!V$14-1))),MIN(F8,Reprogramaciones!V$13),11))/MAX(0,NETWORKDAYS.INTL(MAX(E8,(Reprogramaciones!$T$15+7*(Reprogramaciones!V$14-1))),MIN(F8,(Reprogramaciones!$T$15+7*(Reprogramaciones!V$14-1))+6),11))))))))</f>
        <v>100</v>
      </c>
      <c r="CF8" s="1" t="n">
        <f aca="false">IF(OR(NOT(AND(ISNUMBER(E8),ISNUMBER(F8))),$J$2=""),"",IF(Reprogramaciones!W$13&lt;Reprogramaciones!$T$15,0,IF(Reprogramaciones!W$14&gt;10,MIN(100,SUM($G8:$P8)),MIN(100,SUMPRODUCT((COLUMN($G8:$P8)-COLUMN($G8)+1&lt;Reprogramaciones!W$14)*$G8:$P8)+N(INDEX($G8:$P8,1,Reprogramaciones!W$14))*IF(Reprogramaciones!W$13&gt;=(Reprogramaciones!$T$15+7*(Reprogramaciones!W$14-1))+6,1,IF(MAX(0,NETWORKDAYS.INTL(MAX(E8,(Reprogramaciones!$T$15+7*(Reprogramaciones!W$14-1))),MIN(F8,(Reprogramaciones!$T$15+7*(Reprogramaciones!W$14-1))+6),11))=0,0,MAX(0,NETWORKDAYS.INTL(MAX(E8,(Reprogramaciones!$T$15+7*(Reprogramaciones!W$14-1))),MIN(F8,Reprogramaciones!W$13),11))/MAX(0,NETWORKDAYS.INTL(MAX(E8,(Reprogramaciones!$T$15+7*(Reprogramaciones!W$14-1))),MIN(F8,(Reprogramaciones!$T$15+7*(Reprogramaciones!W$14-1))+6),11))))))))</f>
        <v>100</v>
      </c>
      <c r="CG8" s="1" t="n">
        <f aca="false">IF(OR(NOT(AND(ISNUMBER(E8),ISNUMBER(F8))),$J$2=""),"",IF(Reprogramaciones!X$13&lt;Reprogramaciones!$T$15,0,IF(Reprogramaciones!X$14&gt;10,MIN(100,SUM($G8:$P8)),MIN(100,SUMPRODUCT((COLUMN($G8:$P8)-COLUMN($G8)+1&lt;Reprogramaciones!X$14)*$G8:$P8)+N(INDEX($G8:$P8,1,Reprogramaciones!X$14))*IF(Reprogramaciones!X$13&gt;=(Reprogramaciones!$T$15+7*(Reprogramaciones!X$14-1))+6,1,IF(MAX(0,NETWORKDAYS.INTL(MAX(E8,(Reprogramaciones!$T$15+7*(Reprogramaciones!X$14-1))),MIN(F8,(Reprogramaciones!$T$15+7*(Reprogramaciones!X$14-1))+6),11))=0,0,MAX(0,NETWORKDAYS.INTL(MAX(E8,(Reprogramaciones!$T$15+7*(Reprogramaciones!X$14-1))),MIN(F8,Reprogramaciones!X$13),11))/MAX(0,NETWORKDAYS.INTL(MAX(E8,(Reprogramaciones!$T$15+7*(Reprogramaciones!X$14-1))),MIN(F8,(Reprogramaciones!$T$15+7*(Reprogramaciones!X$14-1))+6),11))))))))</f>
        <v>100</v>
      </c>
      <c r="CH8" s="1" t="n">
        <f aca="false">IF(OR(NOT(AND(ISNUMBER(E8),ISNUMBER(F8))),$J$2=""),"",IF(Reprogramaciones!Y$13&lt;Reprogramaciones!$T$15,0,IF(Reprogramaciones!Y$14&gt;10,MIN(100,SUM($G8:$P8)),MIN(100,SUMPRODUCT((COLUMN($G8:$P8)-COLUMN($G8)+1&lt;Reprogramaciones!Y$14)*$G8:$P8)+N(INDEX($G8:$P8,1,Reprogramaciones!Y$14))*IF(Reprogramaciones!Y$13&gt;=(Reprogramaciones!$T$15+7*(Reprogramaciones!Y$14-1))+6,1,IF(MAX(0,NETWORKDAYS.INTL(MAX(E8,(Reprogramaciones!$T$15+7*(Reprogramaciones!Y$14-1))),MIN(F8,(Reprogramaciones!$T$15+7*(Reprogramaciones!Y$14-1))+6),11))=0,0,MAX(0,NETWORKDAYS.INTL(MAX(E8,(Reprogramaciones!$T$15+7*(Reprogramaciones!Y$14-1))),MIN(F8,Reprogramaciones!Y$13),11))/MAX(0,NETWORKDAYS.INTL(MAX(E8,(Reprogramaciones!$T$15+7*(Reprogramaciones!Y$14-1))),MIN(F8,(Reprogramaciones!$T$15+7*(Reprogramaciones!Y$14-1))+6),11))))))))</f>
        <v>100</v>
      </c>
      <c r="CI8" s="1" t="n">
        <f aca="false">IF(OR(NOT(AND(ISNUMBER(E8),ISNUMBER(F8))),$J$2=""),"",IF(Reprogramaciones!Z$13&lt;Reprogramaciones!$T$15,0,IF(Reprogramaciones!Z$14&gt;10,MIN(100,SUM($G8:$P8)),MIN(100,SUMPRODUCT((COLUMN($G8:$P8)-COLUMN($G8)+1&lt;Reprogramaciones!Z$14)*$G8:$P8)+N(INDEX($G8:$P8,1,Reprogramaciones!Z$14))*IF(Reprogramaciones!Z$13&gt;=(Reprogramaciones!$T$15+7*(Reprogramaciones!Z$14-1))+6,1,IF(MAX(0,NETWORKDAYS.INTL(MAX(E8,(Reprogramaciones!$T$15+7*(Reprogramaciones!Z$14-1))),MIN(F8,(Reprogramaciones!$T$15+7*(Reprogramaciones!Z$14-1))+6),11))=0,0,MAX(0,NETWORKDAYS.INTL(MAX(E8,(Reprogramaciones!$T$15+7*(Reprogramaciones!Z$14-1))),MIN(F8,Reprogramaciones!Z$13),11))/MAX(0,NETWORKDAYS.INTL(MAX(E8,(Reprogramaciones!$T$15+7*(Reprogramaciones!Z$14-1))),MIN(F8,(Reprogramaciones!$T$15+7*(Reprogramaciones!Z$14-1))+6),11))))))))</f>
        <v>100</v>
      </c>
      <c r="CJ8" s="1" t="n">
        <f aca="false">IF(OR(OR(NOT(AND(ISNUMBER(E8),ISNUMBER(F8))),$J$2=""),1&gt;Reprogramaciones!$K$16),"",IF(ROUND(SUM($Q8:Q8),1)&gt;=99.5,100,MIN(100,ROUND(SUM($Q8:Q8),1))))</f>
        <v>100</v>
      </c>
      <c r="CK8" s="1" t="n">
        <f aca="false">IF(OR(OR(NOT(AND(ISNUMBER(E8),ISNUMBER(F8))),$J$2=""),2&gt;Reprogramaciones!$K$16),"",IF(ROUND(SUM($Q8:R8),1)&gt;=99.5,100,MIN(100,ROUND(SUM($Q8:R8),1))))</f>
        <v>100</v>
      </c>
      <c r="CL8" s="1" t="n">
        <f aca="false">IF(OR(OR(NOT(AND(ISNUMBER(E8),ISNUMBER(F8))),$J$2=""),3&gt;Reprogramaciones!$K$16),"",IF(ROUND(SUM($Q8:S8),1)&gt;=99.5,100,MIN(100,ROUND(SUM($Q8:S8),1))))</f>
        <v>100</v>
      </c>
      <c r="CM8" s="1" t="n">
        <f aca="false">IF(OR(OR(NOT(AND(ISNUMBER(E8),ISNUMBER(F8))),$J$2=""),4&gt;Reprogramaciones!$K$16),"",IF(ROUND(SUM($Q8:T8),1)&gt;=99.5,100,MIN(100,ROUND(SUM($Q8:T8),1))))</f>
        <v>100</v>
      </c>
      <c r="CN8" s="1" t="n">
        <f aca="false">IF(OR(OR(NOT(AND(ISNUMBER(E8),ISNUMBER(F8))),$J$2=""),5&gt;Reprogramaciones!$K$16),"",IF(ROUND(SUM($Q8:U8),1)&gt;=99.5,100,MIN(100,ROUND(SUM($Q8:U8),1))))</f>
        <v>100</v>
      </c>
      <c r="CO8" s="1" t="str">
        <f aca="false">IF(OR(OR(NOT(AND(ISNUMBER(E8),ISNUMBER(F8))),$J$2=""),6&gt;Reprogramaciones!$K$16),"",IF(ROUND(SUM($Q8:V8),1)&gt;=99.5,100,MIN(100,ROUND(SUM($Q8:V8),1))))</f>
        <v/>
      </c>
      <c r="CP8" s="1" t="str">
        <f aca="false">IF(OR(OR(NOT(AND(ISNUMBER(E8),ISNUMBER(F8))),$J$2=""),7&gt;Reprogramaciones!$K$16),"",IF(ROUND(SUM($Q8:W8),1)&gt;=99.5,100,MIN(100,ROUND(SUM($Q8:W8),1))))</f>
        <v/>
      </c>
      <c r="CQ8" s="1" t="str">
        <f aca="false">IF(OR(OR(NOT(AND(ISNUMBER(E8),ISNUMBER(F8))),$J$2=""),8&gt;Reprogramaciones!$K$16),"",IF(ROUND(SUM($Q8:X8),1)&gt;=99.5,100,MIN(100,ROUND(SUM($Q8:X8),1))))</f>
        <v/>
      </c>
      <c r="CR8" s="1" t="str">
        <f aca="false">IF(OR(OR(NOT(AND(ISNUMBER(E8),ISNUMBER(F8))),$J$2=""),9&gt;Reprogramaciones!$K$16),"",IF(ROUND(SUM($Q8:Y8),1)&gt;=99.5,100,MIN(100,ROUND(SUM($Q8:Y8),1))))</f>
        <v/>
      </c>
      <c r="CS8" s="1" t="str">
        <f aca="false">IF(OR(OR(NOT(AND(ISNUMBER(E8),ISNUMBER(F8))),$J$2=""),10&gt;Reprogramaciones!$K$16),"",IF(ROUND(SUM($Q8:Z8),1)&gt;=99.5,100,MIN(100,ROUND(SUM($Q8:Z8),1))))</f>
        <v/>
      </c>
      <c r="CT8" s="1" t="str">
        <f aca="false">IF(OR(OR(NOT(AND(ISNUMBER(E8),ISNUMBER(F8))),$J$2=""),11&gt;Reprogramaciones!$K$16),"",IF(ROUND(SUM($Q8:AA8),1)&gt;=99.5,100,MIN(100,ROUND(SUM($Q8:AA8),1))))</f>
        <v/>
      </c>
      <c r="CU8" s="1" t="str">
        <f aca="false">IF(OR(OR(NOT(AND(ISNUMBER(E8),ISNUMBER(F8))),$J$2=""),12&gt;Reprogramaciones!$K$16),"",IF(ROUND(SUM($Q8:AB8),1)&gt;=99.5,100,MIN(100,ROUND(SUM($Q8:AB8),1))))</f>
        <v/>
      </c>
      <c r="CV8" s="1" t="str">
        <f aca="false">IF(OR(OR(NOT(AND(ISNUMBER(E8),ISNUMBER(F8))),$J$2=""),13&gt;Reprogramaciones!$K$16),"",IF(ROUND(SUM($Q8:AC8),1)&gt;=99.5,100,MIN(100,ROUND(SUM($Q8:AC8),1))))</f>
        <v/>
      </c>
      <c r="CW8" s="1" t="str">
        <f aca="false">IF(OR(OR(NOT(AND(ISNUMBER(E8),ISNUMBER(F8))),$J$2=""),14&gt;Reprogramaciones!$K$16),"",IF(ROUND(SUM($Q8:AD8),1)&gt;=99.5,100,MIN(100,ROUND(SUM($Q8:AD8),1))))</f>
        <v/>
      </c>
      <c r="CX8" s="1" t="str">
        <f aca="false">IF(OR(OR(NOT(AND(ISNUMBER(E8),ISNUMBER(F8))),$J$2=""),15&gt;Reprogramaciones!$K$16),"",IF(ROUND(SUM($Q8:AE8),1)&gt;=99.5,100,MIN(100,ROUND(SUM($Q8:AE8),1))))</f>
        <v/>
      </c>
      <c r="CY8" s="1" t="str">
        <f aca="false">IF(OR(OR(NOT(AND(ISNUMBER(E8),ISNUMBER(F8))),$J$2=""),16&gt;Reprogramaciones!$K$16),"",IF(ROUND(SUM($Q8:AF8),1)&gt;=99.5,100,MIN(100,ROUND(SUM($Q8:AF8),1))))</f>
        <v/>
      </c>
      <c r="CZ8" s="1" t="str">
        <f aca="false">IF(D8&lt;&gt;"",D8,IF(B8&lt;&gt;"","Contractual",CZ7))</f>
        <v>Contractual</v>
      </c>
      <c r="DA8" s="1" t="n">
        <f aca="false">IF(OR(NOT(AND(ISNUMBER(E8),ISNUMBER(F8))),$J$2=""),"",IF(Reprogramaciones!$Q$15&lt;Reprogramaciones!$T$15,0,IF(Reprogramaciones!$S$15&gt;10,MIN(100,SUM($G8:$P8)),MIN(100,SUMPRODUCT((COLUMN($G8:$P8)-COLUMN($G8)+1&lt;Reprogramaciones!$S$15)*$G8:$P8)+N(INDEX($G8:$P8,1,Reprogramaciones!$S$15))*IF(Reprogramaciones!$Q$15&gt;=(Reprogramaciones!$T$15+7*(Reprogramaciones!$S$15-1))+6,1,IF(MAX(0,NETWORKDAYS.INTL(MAX(E8,(Reprogramaciones!$T$15+7*(Reprogramaciones!$S$15-1))),MIN(F8,(Reprogramaciones!$T$15+7*(Reprogramaciones!$S$15-1))+6),11))=0,0,MAX(0,NETWORKDAYS.INTL(MAX(E8,(Reprogramaciones!$T$15+7*(Reprogramaciones!$S$15-1))),MIN(F8,Reprogramaciones!$Q$15),11))/MAX(0,NETWORKDAYS.INTL(MAX(E8,(Reprogramaciones!$T$15+7*(Reprogramaciones!$S$15-1))),MIN(F8,(Reprogramaciones!$T$15+7*(Reprogramaciones!$S$15-1))+6),11))))))))</f>
        <v>100</v>
      </c>
    </row>
    <row r="9" customFormat="false" ht="15" hidden="false" customHeight="false" outlineLevel="0" collapsed="false">
      <c r="A9" s="32" t="s">
        <v>159</v>
      </c>
      <c r="B9" s="33"/>
      <c r="C9" s="33" t="s">
        <v>160</v>
      </c>
      <c r="D9" s="34"/>
      <c r="E9" s="35" t="n">
        <v>46290</v>
      </c>
      <c r="F9" s="35" t="n">
        <v>46291</v>
      </c>
      <c r="G9" s="36" t="n">
        <f aca="false">IF(OR(NOT(AND(ISNUMBER(E9),ISNUMBER(F9))),$J$2=""),"",IF(Reprogramaciones!K$9&lt;E9,0,IF(NETWORKDAYS.INTL(E9,F9,11)=0,IF(Reprogramaciones!K$9&gt;=F9,100,0),ROUND(NETWORKDAYS.INTL(E9,MIN(F9,Reprogramaciones!K$9),11)/NETWORKDAYS.INTL(E9,F9,11)*100,1)))-0)</f>
        <v>100</v>
      </c>
      <c r="H9" s="36" t="n">
        <f aca="false">IF(OR(NOT(AND(ISNUMBER(E9),ISNUMBER(F9))),$J$2=""),"",IF(Reprogramaciones!L$9&lt;E9,0,IF(NETWORKDAYS.INTL(E9,F9,11)=0,IF(Reprogramaciones!L$9&gt;=F9,100,0),ROUND(NETWORKDAYS.INTL(E9,MIN(F9,Reprogramaciones!L$9),11)/NETWORKDAYS.INTL(E9,F9,11)*100,1)))-IF(Reprogramaciones!K$9&lt;E9,0,IF(NETWORKDAYS.INTL(E9,F9,11)=0,IF(Reprogramaciones!K$9&gt;=F9,100,0),ROUND(NETWORKDAYS.INTL(E9,MIN(F9,Reprogramaciones!K$9),11)/NETWORKDAYS.INTL(E9,F9,11)*100,1))))</f>
        <v>0</v>
      </c>
      <c r="I9" s="36" t="n">
        <f aca="false">IF(OR(NOT(AND(ISNUMBER(E9),ISNUMBER(F9))),$J$2=""),"",IF(Reprogramaciones!M$9&lt;E9,0,IF(NETWORKDAYS.INTL(E9,F9,11)=0,IF(Reprogramaciones!M$9&gt;=F9,100,0),ROUND(NETWORKDAYS.INTL(E9,MIN(F9,Reprogramaciones!M$9),11)/NETWORKDAYS.INTL(E9,F9,11)*100,1)))-IF(Reprogramaciones!L$9&lt;E9,0,IF(NETWORKDAYS.INTL(E9,F9,11)=0,IF(Reprogramaciones!L$9&gt;=F9,100,0),ROUND(NETWORKDAYS.INTL(E9,MIN(F9,Reprogramaciones!L$9),11)/NETWORKDAYS.INTL(E9,F9,11)*100,1))))</f>
        <v>0</v>
      </c>
      <c r="J9" s="36" t="n">
        <f aca="false">IF(OR(NOT(AND(ISNUMBER(E9),ISNUMBER(F9))),$J$2=""),"",IF(Reprogramaciones!N$9&lt;E9,0,IF(NETWORKDAYS.INTL(E9,F9,11)=0,IF(Reprogramaciones!N$9&gt;=F9,100,0),ROUND(NETWORKDAYS.INTL(E9,MIN(F9,Reprogramaciones!N$9),11)/NETWORKDAYS.INTL(E9,F9,11)*100,1)))-IF(Reprogramaciones!M$9&lt;E9,0,IF(NETWORKDAYS.INTL(E9,F9,11)=0,IF(Reprogramaciones!M$9&gt;=F9,100,0),ROUND(NETWORKDAYS.INTL(E9,MIN(F9,Reprogramaciones!M$9),11)/NETWORKDAYS.INTL(E9,F9,11)*100,1))))</f>
        <v>0</v>
      </c>
      <c r="K9" s="36" t="n">
        <f aca="false">IF(OR(NOT(AND(ISNUMBER(E9),ISNUMBER(F9))),$J$2=""),"",IF(Reprogramaciones!O$9&lt;E9,0,IF(NETWORKDAYS.INTL(E9,F9,11)=0,IF(Reprogramaciones!O$9&gt;=F9,100,0),ROUND(NETWORKDAYS.INTL(E9,MIN(F9,Reprogramaciones!O$9),11)/NETWORKDAYS.INTL(E9,F9,11)*100,1)))-IF(Reprogramaciones!N$9&lt;E9,0,IF(NETWORKDAYS.INTL(E9,F9,11)=0,IF(Reprogramaciones!N$9&gt;=F9,100,0),ROUND(NETWORKDAYS.INTL(E9,MIN(F9,Reprogramaciones!N$9),11)/NETWORKDAYS.INTL(E9,F9,11)*100,1))))</f>
        <v>0</v>
      </c>
      <c r="L9" s="36" t="n">
        <f aca="false">IF(OR(NOT(AND(ISNUMBER(E9),ISNUMBER(F9))),$J$2=""),"",IF(Reprogramaciones!P$9&lt;E9,0,IF(NETWORKDAYS.INTL(E9,F9,11)=0,IF(Reprogramaciones!P$9&gt;=F9,100,0),ROUND(NETWORKDAYS.INTL(E9,MIN(F9,Reprogramaciones!P$9),11)/NETWORKDAYS.INTL(E9,F9,11)*100,1)))-IF(Reprogramaciones!O$9&lt;E9,0,IF(NETWORKDAYS.INTL(E9,F9,11)=0,IF(Reprogramaciones!O$9&gt;=F9,100,0),ROUND(NETWORKDAYS.INTL(E9,MIN(F9,Reprogramaciones!O$9),11)/NETWORKDAYS.INTL(E9,F9,11)*100,1))))</f>
        <v>0</v>
      </c>
      <c r="M9" s="36" t="n">
        <f aca="false">IF(OR(NOT(AND(ISNUMBER(E9),ISNUMBER(F9))),$J$2=""),"",IF(Reprogramaciones!Q$9&lt;E9,0,IF(NETWORKDAYS.INTL(E9,F9,11)=0,IF(Reprogramaciones!Q$9&gt;=F9,100,0),ROUND(NETWORKDAYS.INTL(E9,MIN(F9,Reprogramaciones!Q$9),11)/NETWORKDAYS.INTL(E9,F9,11)*100,1)))-IF(Reprogramaciones!P$9&lt;E9,0,IF(NETWORKDAYS.INTL(E9,F9,11)=0,IF(Reprogramaciones!P$9&gt;=F9,100,0),ROUND(NETWORKDAYS.INTL(E9,MIN(F9,Reprogramaciones!P$9),11)/NETWORKDAYS.INTL(E9,F9,11)*100,1))))</f>
        <v>0</v>
      </c>
      <c r="N9" s="36" t="n">
        <f aca="false">IF(OR(NOT(AND(ISNUMBER(E9),ISNUMBER(F9))),$J$2=""),"",IF(Reprogramaciones!R$9&lt;E9,0,IF(NETWORKDAYS.INTL(E9,F9,11)=0,IF(Reprogramaciones!R$9&gt;=F9,100,0),ROUND(NETWORKDAYS.INTL(E9,MIN(F9,Reprogramaciones!R$9),11)/NETWORKDAYS.INTL(E9,F9,11)*100,1)))-IF(Reprogramaciones!Q$9&lt;E9,0,IF(NETWORKDAYS.INTL(E9,F9,11)=0,IF(Reprogramaciones!Q$9&gt;=F9,100,0),ROUND(NETWORKDAYS.INTL(E9,MIN(F9,Reprogramaciones!Q$9),11)/NETWORKDAYS.INTL(E9,F9,11)*100,1))))</f>
        <v>0</v>
      </c>
      <c r="O9" s="36" t="n">
        <f aca="false">IF(OR(NOT(AND(ISNUMBER(E9),ISNUMBER(F9))),$J$2=""),"",IF(Reprogramaciones!S$9&lt;E9,0,IF(NETWORKDAYS.INTL(E9,F9,11)=0,IF(Reprogramaciones!S$9&gt;=F9,100,0),ROUND(NETWORKDAYS.INTL(E9,MIN(F9,Reprogramaciones!S$9),11)/NETWORKDAYS.INTL(E9,F9,11)*100,1)))-IF(Reprogramaciones!R$9&lt;E9,0,IF(NETWORKDAYS.INTL(E9,F9,11)=0,IF(Reprogramaciones!R$9&gt;=F9,100,0),ROUND(NETWORKDAYS.INTL(E9,MIN(F9,Reprogramaciones!R$9),11)/NETWORKDAYS.INTL(E9,F9,11)*100,1))))</f>
        <v>0</v>
      </c>
      <c r="P9" s="36" t="n">
        <f aca="false">IF(OR(NOT(AND(ISNUMBER(E9),ISNUMBER(F9))),$J$2=""),"",IF(Reprogramaciones!T$9&lt;E9,0,IF(NETWORKDAYS.INTL(E9,F9,11)=0,IF(Reprogramaciones!T$9&gt;=F9,100,0),ROUND(NETWORKDAYS.INTL(E9,MIN(F9,Reprogramaciones!T$9),11)/NETWORKDAYS.INTL(E9,F9,11)*100,1)))-IF(Reprogramaciones!S$9&lt;E9,0,IF(NETWORKDAYS.INTL(E9,F9,11)=0,IF(Reprogramaciones!S$9&gt;=F9,100,0),ROUND(NETWORKDAYS.INTL(E9,MIN(F9,Reprogramaciones!S$9),11)/NETWORKDAYS.INTL(E9,F9,11)*100,1))))</f>
        <v>0</v>
      </c>
      <c r="Q9" s="37" t="n">
        <v>100</v>
      </c>
      <c r="R9" s="37"/>
      <c r="S9" s="37"/>
      <c r="T9" s="37"/>
      <c r="U9" s="37"/>
      <c r="V9" s="37"/>
      <c r="W9" s="37"/>
      <c r="X9" s="37"/>
      <c r="Y9" s="37"/>
      <c r="Z9" s="37"/>
      <c r="AA9" s="37"/>
      <c r="AB9" s="37"/>
      <c r="AC9" s="37"/>
      <c r="AD9" s="37"/>
      <c r="AE9" s="37"/>
      <c r="AF9" s="37"/>
      <c r="AG9" s="38" t="n">
        <f aca="false">IF(AND(ISNUMBER(E9),ISNUMBER(F9)),NETWORKDAYS.INTL(E9,F9,11),"")</f>
        <v>2</v>
      </c>
      <c r="AH9" s="38" t="n">
        <f aca="false">IF(OR(NOT(AND(ISNUMBER(E9),ISNUMBER(F9))),$J$2=""),"",IF(Reprogramaciones!$P$15&lt;Reprogramaciones!$T$15,0,IF(Reprogramaciones!$R$15&gt;10,MIN(100,SUM($G9:$P9)),MIN(100,SUMPRODUCT((COLUMN($G9:$P9)-COLUMN($G9)+1&lt;Reprogramaciones!$R$15)*$G9:$P9)+N(INDEX($G9:$P9,1,Reprogramaciones!$R$15))*IF(Reprogramaciones!$P$15&gt;=(Reprogramaciones!$T$15+7*(Reprogramaciones!$R$15-1))+6,1,IF(MAX(0,NETWORKDAYS.INTL(MAX(E9,(Reprogramaciones!$T$15+7*(Reprogramaciones!$R$15-1))),MIN(F9,(Reprogramaciones!$T$15+7*(Reprogramaciones!$R$15-1))+6),11))=0,0,MAX(0,NETWORKDAYS.INTL(MAX(E9,(Reprogramaciones!$T$15+7*(Reprogramaciones!$R$15-1))),MIN(F9,Reprogramaciones!$P$15),11))/MAX(0,NETWORKDAYS.INTL(MAX(E9,(Reprogramaciones!$T$15+7*(Reprogramaciones!$R$15-1))),MIN(F9,(Reprogramaciones!$T$15+7*(Reprogramaciones!$R$15-1))+6),11))))))))</f>
        <v>100</v>
      </c>
      <c r="AI9" s="38" t="n">
        <f aca="false">IF(COUNT($Q9:$AF9)=0,"",IF(ROUND(SUM($Q9:$AF9),1)&gt;=99.5,100,MIN(100,ROUND(SUM($Q9:$AF9),1))))</f>
        <v>100</v>
      </c>
      <c r="AJ9" s="38" t="n">
        <f aca="false">IF(OR(AH9="",AI9=""),"",AI9-AH9)</f>
        <v>0</v>
      </c>
      <c r="AK9" s="39" t="str">
        <f aca="true">IF(AH9="","",IF(OR(Ficha!$C$10="Suspendida",Ficha!$C$10="Cancelada"),Ficha!$C$10,IF(AND(AI9&lt;&gt;"",N(AI9)&gt;=100),"Completada",IF(AND(E9&gt;TODAY(),N(AI9)=0),"Por iniciar",IF(N(AI9)+0.5&lt;AH9,"Retrasada",IF(N(AI9)+0.5&lt;DA9,IF(Reprogramaciones!$K$15&gt;0,"Al día · Sem "&amp;Reprogramaciones!$K$15&amp;" en curso","Al día · en curso"),"A tiempo"))))))</f>
        <v>Completada</v>
      </c>
      <c r="AL9" s="39" t="str">
        <f aca="true">IF(AND(A9="",AND(B9="",C9="",E9="",F9="",COUNT(Q9:AF9)=0)),"",IF(AND(B9="",C9="",E9="",F9="",COUNT(Q9:AF9)=0),"Falta la partida o subpartida",IF(AND(A9&lt;&gt;"",COUNTIF($A$6:$A$305,A9)&gt;1),"Ítem repetido",IF(AND(C9="",E9="",F9="",COUNT(Q9:AF9)=0),"Título de partida",IF(OR(E9="",F9=""),"Faltan fechas",IF(OR(ISTEXT(E9),ISTEXT(F9)),"Fecha escrita como texto: usa dd/mm/aaaa",IF(F9&lt;E9,"Fin antes del inicio",IF(IF($J$2="",FALSE(),OR(E9&lt;$J$2,F9&gt;Reprogramaciones!$T$15+69)),"Fuera de las 10 semanas",IF(ABS(SUM(G9:P9)-100)&gt;0.5,"La meta no suma 100%",IF(ROUND(SUM(Q9:AF9),1)&gt;100.5,"El avance pasa de 100%",IF(MIN(Q9:AF9)&lt;0,"Avance negativo",IF(COUNTA(Q9:AF9)&gt;COUNT(Q9:AF9),"Avance escrito como texto",IF(SUMPRODUCT((Q9:AF9&gt;0)*(Q9:AF9&lt;1))&gt;0,"Avance menor a 1: escribe 50, no 50%",IF(SUMPRODUCT(ISNUMBER(Q9:AF9)*(Reprogramaciones!$K$8:$Z$8&gt;TODAY()))&gt;0,"Avance en semana que aún no llega",IF(AND(N(Reprogramaciones!$E$21)&gt;0,F9&gt;Reprogramaciones!$E$21),"Pasa el fin de la obra: registra una reprogramación",IF(AND(N(Reprogramaciones!$E$21)&gt;0,SUMPRODUCT(ISNUMBER(Q9:AF9)*(Reprogramaciones!$K$8:$Z$8&gt;Reprogramaciones!$E$21))&gt;0),"Avance después del fin de la obra: registra una reprogramación por atraso","OK"))))))))))))))))</f>
        <v>OK</v>
      </c>
      <c r="AM9" s="40" t="str">
        <f aca="false">IF(OR(OR(NOT(AND(ISNUMBER(E9),ISNUMBER(F9))),$J$2=""),1&gt;MAX(1,Reprogramaciones!$U$15)),"",IF(Reprogramaciones!K$12&gt;=7,"",IF(OR(BT9-N(0)&gt;0.05,N(Q9)&gt;0),ROUNDDOWN(ROUND(BT9,6),0)&amp;"%"&amp;IF(CJ9="",""," / "&amp;CJ9&amp;"%"),IF(AND(N(0)&gt;=99.95,CJ9&lt;&gt;"",N(CJ9)&lt;100),"Pend. "&amp;CJ9&amp;"%",""))))</f>
        <v>100% / 100%</v>
      </c>
      <c r="AN9" s="40" t="str">
        <f aca="false">IF(OR(OR(NOT(AND(ISNUMBER(E9),ISNUMBER(F9))),$J$2=""),2&gt;MAX(1,Reprogramaciones!$U$15)),"",IF(Reprogramaciones!L$12&gt;=7,"",IF(OR(BU9-N(BT9)&gt;0.05,N(R9)&gt;0),ROUNDDOWN(ROUND(BU9,6),0)&amp;"%"&amp;IF(CK9="",""," / "&amp;CK9&amp;"%"),IF(AND(N(BT9)&gt;=99.95,CK9&lt;&gt;"",N(CK9)&lt;100),"Pend. "&amp;CK9&amp;"%",""))))</f>
        <v/>
      </c>
      <c r="AO9" s="40" t="str">
        <f aca="false">IF(OR(OR(NOT(AND(ISNUMBER(E9),ISNUMBER(F9))),$J$2=""),3&gt;MAX(1,Reprogramaciones!$U$15)),"",IF(Reprogramaciones!M$12&gt;=7,"",IF(OR(BV9-N(BU9)&gt;0.05,N(S9)&gt;0),ROUNDDOWN(ROUND(BV9,6),0)&amp;"%"&amp;IF(CL9="",""," / "&amp;CL9&amp;"%"),IF(AND(N(BU9)&gt;=99.95,CL9&lt;&gt;"",N(CL9)&lt;100),"Pend. "&amp;CL9&amp;"%",""))))</f>
        <v/>
      </c>
      <c r="AP9" s="40" t="str">
        <f aca="false">IF(OR(OR(NOT(AND(ISNUMBER(E9),ISNUMBER(F9))),$J$2=""),4&gt;MAX(1,Reprogramaciones!$U$15)),"",IF(Reprogramaciones!N$12&gt;=7,"",IF(OR(BW9-N(BV9)&gt;0.05,N(T9)&gt;0),ROUNDDOWN(ROUND(BW9,6),0)&amp;"%"&amp;IF(CM9="",""," / "&amp;CM9&amp;"%"),IF(AND(N(BV9)&gt;=99.95,CM9&lt;&gt;"",N(CM9)&lt;100),"Pend. "&amp;CM9&amp;"%",""))))</f>
        <v/>
      </c>
      <c r="AQ9" s="40" t="str">
        <f aca="false">IF(OR(OR(NOT(AND(ISNUMBER(E9),ISNUMBER(F9))),$J$2=""),5&gt;MAX(1,Reprogramaciones!$U$15)),"",IF(Reprogramaciones!O$12&gt;=7,"",IF(OR(BX9-N(BW9)&gt;0.05,N(U9)&gt;0),ROUNDDOWN(ROUND(BX9,6),0)&amp;"%"&amp;IF(CN9="",""," / "&amp;CN9&amp;"%"),IF(AND(N(BW9)&gt;=99.95,CN9&lt;&gt;"",N(CN9)&lt;100),"Pend. "&amp;CN9&amp;"%",""))))</f>
        <v/>
      </c>
      <c r="AR9" s="40" t="str">
        <f aca="false">IF(OR(OR(NOT(AND(ISNUMBER(E9),ISNUMBER(F9))),$J$2=""),6&gt;MAX(1,Reprogramaciones!$U$15)),"",IF(Reprogramaciones!P$12&gt;=7,"",IF(OR(BY9-N(BX9)&gt;0.05,N(V9)&gt;0),ROUNDDOWN(ROUND(BY9,6),0)&amp;"%"&amp;IF(CO9="",""," / "&amp;CO9&amp;"%"),IF(AND(N(BX9)&gt;=99.95,CO9&lt;&gt;"",N(CO9)&lt;100),"Pend. "&amp;CO9&amp;"%",""))))</f>
        <v/>
      </c>
      <c r="AS9" s="40" t="str">
        <f aca="false">IF(OR(OR(NOT(AND(ISNUMBER(E9),ISNUMBER(F9))),$J$2=""),7&gt;MAX(1,Reprogramaciones!$U$15)),"",IF(Reprogramaciones!Q$12&gt;=7,"",IF(OR(BZ9-N(BY9)&gt;0.05,N(W9)&gt;0),ROUNDDOWN(ROUND(BZ9,6),0)&amp;"%"&amp;IF(CP9="",""," / "&amp;CP9&amp;"%"),IF(AND(N(BY9)&gt;=99.95,CP9&lt;&gt;"",N(CP9)&lt;100),"Pend. "&amp;CP9&amp;"%",""))))</f>
        <v/>
      </c>
      <c r="AT9" s="40" t="str">
        <f aca="false">IF(OR(OR(NOT(AND(ISNUMBER(E9),ISNUMBER(F9))),$J$2=""),8&gt;MAX(1,Reprogramaciones!$U$15)),"",IF(Reprogramaciones!R$12&gt;=7,"",IF(OR(CA9-N(BZ9)&gt;0.05,N(X9)&gt;0),ROUNDDOWN(ROUND(CA9,6),0)&amp;"%"&amp;IF(CQ9="",""," / "&amp;CQ9&amp;"%"),IF(AND(N(BZ9)&gt;=99.95,CQ9&lt;&gt;"",N(CQ9)&lt;100),"Pend. "&amp;CQ9&amp;"%",""))))</f>
        <v/>
      </c>
      <c r="AU9" s="40" t="str">
        <f aca="false">IF(OR(OR(NOT(AND(ISNUMBER(E9),ISNUMBER(F9))),$J$2=""),9&gt;MAX(1,Reprogramaciones!$U$15)),"",IF(Reprogramaciones!S$12&gt;=7,"",IF(OR(CB9-N(CA9)&gt;0.05,N(Y9)&gt;0),ROUNDDOWN(ROUND(CB9,6),0)&amp;"%"&amp;IF(CR9="",""," / "&amp;CR9&amp;"%"),IF(AND(N(CA9)&gt;=99.95,CR9&lt;&gt;"",N(CR9)&lt;100),"Pend. "&amp;CR9&amp;"%",""))))</f>
        <v/>
      </c>
      <c r="AV9" s="40" t="str">
        <f aca="false">IF(OR(OR(NOT(AND(ISNUMBER(E9),ISNUMBER(F9))),$J$2=""),10&gt;MAX(1,Reprogramaciones!$U$15)),"",IF(Reprogramaciones!T$12&gt;=7,"",IF(OR(CC9-N(CB9)&gt;0.05,N(Z9)&gt;0),ROUNDDOWN(ROUND(CC9,6),0)&amp;"%"&amp;IF(CS9="",""," / "&amp;CS9&amp;"%"),IF(AND(N(CB9)&gt;=99.95,CS9&lt;&gt;"",N(CS9)&lt;100),"Pend. "&amp;CS9&amp;"%",""))))</f>
        <v/>
      </c>
      <c r="AW9" s="40" t="str">
        <f aca="false">IF(OR(OR(NOT(AND(ISNUMBER(E9),ISNUMBER(F9))),$J$2=""),11&gt;MAX(1,Reprogramaciones!$U$15)),"",IF(Reprogramaciones!U$12&gt;=7,"",IF(OR(CD9-N(CC9)&gt;0.05,N(AA9)&gt;0),ROUNDDOWN(ROUND(CD9,6),0)&amp;"%"&amp;IF(CT9="",""," / "&amp;CT9&amp;"%"),IF(AND(N(CC9)&gt;=99.95,CT9&lt;&gt;"",N(CT9)&lt;100),"Pend. "&amp;CT9&amp;"%",""))))</f>
        <v/>
      </c>
      <c r="AX9" s="40" t="str">
        <f aca="false">IF(OR(OR(NOT(AND(ISNUMBER(E9),ISNUMBER(F9))),$J$2=""),12&gt;MAX(1,Reprogramaciones!$U$15)),"",IF(Reprogramaciones!V$12&gt;=7,"",IF(OR(CE9-N(CD9)&gt;0.05,N(AB9)&gt;0),ROUNDDOWN(ROUND(CE9,6),0)&amp;"%"&amp;IF(CU9="",""," / "&amp;CU9&amp;"%"),IF(AND(N(CD9)&gt;=99.95,CU9&lt;&gt;"",N(CU9)&lt;100),"Pend. "&amp;CU9&amp;"%",""))))</f>
        <v/>
      </c>
      <c r="AY9" s="40" t="str">
        <f aca="false">IF(OR(OR(NOT(AND(ISNUMBER(E9),ISNUMBER(F9))),$J$2=""),13&gt;MAX(1,Reprogramaciones!$U$15)),"",IF(Reprogramaciones!W$12&gt;=7,"",IF(OR(CF9-N(CE9)&gt;0.05,N(AC9)&gt;0),ROUNDDOWN(ROUND(CF9,6),0)&amp;"%"&amp;IF(CV9="",""," / "&amp;CV9&amp;"%"),IF(AND(N(CE9)&gt;=99.95,CV9&lt;&gt;"",N(CV9)&lt;100),"Pend. "&amp;CV9&amp;"%",""))))</f>
        <v/>
      </c>
      <c r="AZ9" s="40" t="str">
        <f aca="false">IF(OR(OR(NOT(AND(ISNUMBER(E9),ISNUMBER(F9))),$J$2=""),14&gt;MAX(1,Reprogramaciones!$U$15)),"",IF(Reprogramaciones!X$12&gt;=7,"",IF(OR(CG9-N(CF9)&gt;0.05,N(AD9)&gt;0),ROUNDDOWN(ROUND(CG9,6),0)&amp;"%"&amp;IF(CW9="",""," / "&amp;CW9&amp;"%"),IF(AND(N(CF9)&gt;=99.95,CW9&lt;&gt;"",N(CW9)&lt;100),"Pend. "&amp;CW9&amp;"%",""))))</f>
        <v/>
      </c>
      <c r="BA9" s="40" t="str">
        <f aca="false">IF(OR(OR(NOT(AND(ISNUMBER(E9),ISNUMBER(F9))),$J$2=""),15&gt;MAX(1,Reprogramaciones!$U$15)),"",IF(Reprogramaciones!Y$12&gt;=7,"",IF(OR(CH9-N(CG9)&gt;0.05,N(AE9)&gt;0),ROUNDDOWN(ROUND(CH9,6),0)&amp;"%"&amp;IF(CX9="",""," / "&amp;CX9&amp;"%"),IF(AND(N(CG9)&gt;=99.95,CX9&lt;&gt;"",N(CX9)&lt;100),"Pend. "&amp;CX9&amp;"%",""))))</f>
        <v/>
      </c>
      <c r="BB9" s="40" t="str">
        <f aca="false">IF(OR(OR(NOT(AND(ISNUMBER(E9),ISNUMBER(F9))),$J$2=""),16&gt;MAX(1,Reprogramaciones!$U$15)),"",IF(Reprogramaciones!Z$12&gt;=7,"",IF(OR(CI9-N(CH9)&gt;0.05,N(AF9)&gt;0),ROUNDDOWN(ROUND(CI9,6),0)&amp;"%"&amp;IF(CY9="",""," / "&amp;CY9&amp;"%"),IF(AND(N(CH9)&gt;=99.95,CY9&lt;&gt;"",N(CY9)&lt;100),"Pend. "&amp;CY9&amp;"%",""))))</f>
        <v/>
      </c>
      <c r="BC9" s="31" t="n">
        <f aca="false">IF(AND(ISNUMBER(E9),ISNUMBER(F9)),MAX(1,NETWORKDAYS.INTL(E9,F9,11)),0)</f>
        <v>2</v>
      </c>
      <c r="BD9" s="1" t="n">
        <f aca="false">IF(OR(NOT(AND(ISNUMBER(E9),ISNUMBER(F9))),$J$2=""),"",MIN(100,ROUND(SUM($G9:G9),1)))</f>
        <v>100</v>
      </c>
      <c r="BE9" s="1" t="n">
        <f aca="false">IF(OR(NOT(AND(ISNUMBER(E9),ISNUMBER(F9))),$J$2=""),"",MIN(100,ROUND(SUM($G9:H9),1)))</f>
        <v>100</v>
      </c>
      <c r="BF9" s="1" t="n">
        <f aca="false">IF(OR(NOT(AND(ISNUMBER(E9),ISNUMBER(F9))),$J$2=""),"",MIN(100,ROUND(SUM($G9:I9),1)))</f>
        <v>100</v>
      </c>
      <c r="BG9" s="1" t="n">
        <f aca="false">IF(OR(NOT(AND(ISNUMBER(E9),ISNUMBER(F9))),$J$2=""),"",MIN(100,ROUND(SUM($G9:J9),1)))</f>
        <v>100</v>
      </c>
      <c r="BH9" s="1" t="n">
        <f aca="false">IF(OR(NOT(AND(ISNUMBER(E9),ISNUMBER(F9))),$J$2=""),"",MIN(100,ROUND(SUM($G9:K9),1)))</f>
        <v>100</v>
      </c>
      <c r="BI9" s="1" t="n">
        <f aca="false">IF(OR(NOT(AND(ISNUMBER(E9),ISNUMBER(F9))),$J$2=""),"",MIN(100,ROUND(SUM($G9:L9),1)))</f>
        <v>100</v>
      </c>
      <c r="BJ9" s="1" t="n">
        <f aca="false">IF(OR(NOT(AND(ISNUMBER(E9),ISNUMBER(F9))),$J$2=""),"",MIN(100,ROUND(SUM($G9:M9),1)))</f>
        <v>100</v>
      </c>
      <c r="BK9" s="1" t="n">
        <f aca="false">IF(OR(NOT(AND(ISNUMBER(E9),ISNUMBER(F9))),$J$2=""),"",MIN(100,ROUND(SUM($G9:N9),1)))</f>
        <v>100</v>
      </c>
      <c r="BL9" s="1" t="n">
        <f aca="false">IF(OR(NOT(AND(ISNUMBER(E9),ISNUMBER(F9))),$J$2=""),"",MIN(100,ROUND(SUM($G9:O9),1)))</f>
        <v>100</v>
      </c>
      <c r="BM9" s="1" t="n">
        <f aca="false">IF(OR(NOT(AND(ISNUMBER(E9),ISNUMBER(F9))),$J$2=""),"",MIN(100,ROUND(SUM($G9:P9),1)))</f>
        <v>100</v>
      </c>
      <c r="BN9" s="1" t="n">
        <f aca="false">IF(OR(NOT(AND(ISNUMBER(E9),ISNUMBER(F9))),$J$2=""),"",MIN(100,ROUND(SUM($G9:P9),1)))</f>
        <v>100</v>
      </c>
      <c r="BO9" s="1" t="n">
        <f aca="false">IF(OR(NOT(AND(ISNUMBER(E9),ISNUMBER(F9))),$J$2=""),"",MIN(100,ROUND(SUM($G9:P9),1)))</f>
        <v>100</v>
      </c>
      <c r="BP9" s="1" t="n">
        <f aca="false">IF(OR(NOT(AND(ISNUMBER(E9),ISNUMBER(F9))),$J$2=""),"",MIN(100,ROUND(SUM($G9:P9),1)))</f>
        <v>100</v>
      </c>
      <c r="BQ9" s="1" t="n">
        <f aca="false">IF(OR(NOT(AND(ISNUMBER(E9),ISNUMBER(F9))),$J$2=""),"",MIN(100,ROUND(SUM($G9:P9),1)))</f>
        <v>100</v>
      </c>
      <c r="BR9" s="1" t="n">
        <f aca="false">IF(OR(NOT(AND(ISNUMBER(E9),ISNUMBER(F9))),$J$2=""),"",MIN(100,ROUND(SUM($G9:P9),1)))</f>
        <v>100</v>
      </c>
      <c r="BS9" s="1" t="n">
        <f aca="false">IF(OR(NOT(AND(ISNUMBER(E9),ISNUMBER(F9))),$J$2=""),"",MIN(100,ROUND(SUM($G9:P9),1)))</f>
        <v>100</v>
      </c>
      <c r="BT9" s="1" t="n">
        <f aca="false">IF(OR(NOT(AND(ISNUMBER(E9),ISNUMBER(F9))),$J$2=""),"",IF(Reprogramaciones!K$13&lt;Reprogramaciones!$T$15,0,IF(Reprogramaciones!K$14&gt;10,MIN(100,SUM($G9:$P9)),MIN(100,SUMPRODUCT((COLUMN($G9:$P9)-COLUMN($G9)+1&lt;Reprogramaciones!K$14)*$G9:$P9)+N(INDEX($G9:$P9,1,Reprogramaciones!K$14))*IF(Reprogramaciones!K$13&gt;=(Reprogramaciones!$T$15+7*(Reprogramaciones!K$14-1))+6,1,IF(MAX(0,NETWORKDAYS.INTL(MAX(E9,(Reprogramaciones!$T$15+7*(Reprogramaciones!K$14-1))),MIN(F9,(Reprogramaciones!$T$15+7*(Reprogramaciones!K$14-1))+6),11))=0,0,MAX(0,NETWORKDAYS.INTL(MAX(E9,(Reprogramaciones!$T$15+7*(Reprogramaciones!K$14-1))),MIN(F9,Reprogramaciones!K$13),11))/MAX(0,NETWORKDAYS.INTL(MAX(E9,(Reprogramaciones!$T$15+7*(Reprogramaciones!K$14-1))),MIN(F9,(Reprogramaciones!$T$15+7*(Reprogramaciones!K$14-1))+6),11))))))))</f>
        <v>100</v>
      </c>
      <c r="BU9" s="1" t="n">
        <f aca="false">IF(OR(NOT(AND(ISNUMBER(E9),ISNUMBER(F9))),$J$2=""),"",IF(Reprogramaciones!L$13&lt;Reprogramaciones!$T$15,0,IF(Reprogramaciones!L$14&gt;10,MIN(100,SUM($G9:$P9)),MIN(100,SUMPRODUCT((COLUMN($G9:$P9)-COLUMN($G9)+1&lt;Reprogramaciones!L$14)*$G9:$P9)+N(INDEX($G9:$P9,1,Reprogramaciones!L$14))*IF(Reprogramaciones!L$13&gt;=(Reprogramaciones!$T$15+7*(Reprogramaciones!L$14-1))+6,1,IF(MAX(0,NETWORKDAYS.INTL(MAX(E9,(Reprogramaciones!$T$15+7*(Reprogramaciones!L$14-1))),MIN(F9,(Reprogramaciones!$T$15+7*(Reprogramaciones!L$14-1))+6),11))=0,0,MAX(0,NETWORKDAYS.INTL(MAX(E9,(Reprogramaciones!$T$15+7*(Reprogramaciones!L$14-1))),MIN(F9,Reprogramaciones!L$13),11))/MAX(0,NETWORKDAYS.INTL(MAX(E9,(Reprogramaciones!$T$15+7*(Reprogramaciones!L$14-1))),MIN(F9,(Reprogramaciones!$T$15+7*(Reprogramaciones!L$14-1))+6),11))))))))</f>
        <v>100</v>
      </c>
      <c r="BV9" s="1" t="n">
        <f aca="false">IF(OR(NOT(AND(ISNUMBER(E9),ISNUMBER(F9))),$J$2=""),"",IF(Reprogramaciones!M$13&lt;Reprogramaciones!$T$15,0,IF(Reprogramaciones!M$14&gt;10,MIN(100,SUM($G9:$P9)),MIN(100,SUMPRODUCT((COLUMN($G9:$P9)-COLUMN($G9)+1&lt;Reprogramaciones!M$14)*$G9:$P9)+N(INDEX($G9:$P9,1,Reprogramaciones!M$14))*IF(Reprogramaciones!M$13&gt;=(Reprogramaciones!$T$15+7*(Reprogramaciones!M$14-1))+6,1,IF(MAX(0,NETWORKDAYS.INTL(MAX(E9,(Reprogramaciones!$T$15+7*(Reprogramaciones!M$14-1))),MIN(F9,(Reprogramaciones!$T$15+7*(Reprogramaciones!M$14-1))+6),11))=0,0,MAX(0,NETWORKDAYS.INTL(MAX(E9,(Reprogramaciones!$T$15+7*(Reprogramaciones!M$14-1))),MIN(F9,Reprogramaciones!M$13),11))/MAX(0,NETWORKDAYS.INTL(MAX(E9,(Reprogramaciones!$T$15+7*(Reprogramaciones!M$14-1))),MIN(F9,(Reprogramaciones!$T$15+7*(Reprogramaciones!M$14-1))+6),11))))))))</f>
        <v>100</v>
      </c>
      <c r="BW9" s="1" t="n">
        <f aca="false">IF(OR(NOT(AND(ISNUMBER(E9),ISNUMBER(F9))),$J$2=""),"",IF(Reprogramaciones!N$13&lt;Reprogramaciones!$T$15,0,IF(Reprogramaciones!N$14&gt;10,MIN(100,SUM($G9:$P9)),MIN(100,SUMPRODUCT((COLUMN($G9:$P9)-COLUMN($G9)+1&lt;Reprogramaciones!N$14)*$G9:$P9)+N(INDEX($G9:$P9,1,Reprogramaciones!N$14))*IF(Reprogramaciones!N$13&gt;=(Reprogramaciones!$T$15+7*(Reprogramaciones!N$14-1))+6,1,IF(MAX(0,NETWORKDAYS.INTL(MAX(E9,(Reprogramaciones!$T$15+7*(Reprogramaciones!N$14-1))),MIN(F9,(Reprogramaciones!$T$15+7*(Reprogramaciones!N$14-1))+6),11))=0,0,MAX(0,NETWORKDAYS.INTL(MAX(E9,(Reprogramaciones!$T$15+7*(Reprogramaciones!N$14-1))),MIN(F9,Reprogramaciones!N$13),11))/MAX(0,NETWORKDAYS.INTL(MAX(E9,(Reprogramaciones!$T$15+7*(Reprogramaciones!N$14-1))),MIN(F9,(Reprogramaciones!$T$15+7*(Reprogramaciones!N$14-1))+6),11))))))))</f>
        <v>100</v>
      </c>
      <c r="BX9" s="1" t="n">
        <f aca="false">IF(OR(NOT(AND(ISNUMBER(E9),ISNUMBER(F9))),$J$2=""),"",IF(Reprogramaciones!O$13&lt;Reprogramaciones!$T$15,0,IF(Reprogramaciones!O$14&gt;10,MIN(100,SUM($G9:$P9)),MIN(100,SUMPRODUCT((COLUMN($G9:$P9)-COLUMN($G9)+1&lt;Reprogramaciones!O$14)*$G9:$P9)+N(INDEX($G9:$P9,1,Reprogramaciones!O$14))*IF(Reprogramaciones!O$13&gt;=(Reprogramaciones!$T$15+7*(Reprogramaciones!O$14-1))+6,1,IF(MAX(0,NETWORKDAYS.INTL(MAX(E9,(Reprogramaciones!$T$15+7*(Reprogramaciones!O$14-1))),MIN(F9,(Reprogramaciones!$T$15+7*(Reprogramaciones!O$14-1))+6),11))=0,0,MAX(0,NETWORKDAYS.INTL(MAX(E9,(Reprogramaciones!$T$15+7*(Reprogramaciones!O$14-1))),MIN(F9,Reprogramaciones!O$13),11))/MAX(0,NETWORKDAYS.INTL(MAX(E9,(Reprogramaciones!$T$15+7*(Reprogramaciones!O$14-1))),MIN(F9,(Reprogramaciones!$T$15+7*(Reprogramaciones!O$14-1))+6),11))))))))</f>
        <v>100</v>
      </c>
      <c r="BY9" s="1" t="n">
        <f aca="false">IF(OR(NOT(AND(ISNUMBER(E9),ISNUMBER(F9))),$J$2=""),"",IF(Reprogramaciones!P$13&lt;Reprogramaciones!$T$15,0,IF(Reprogramaciones!P$14&gt;10,MIN(100,SUM($G9:$P9)),MIN(100,SUMPRODUCT((COLUMN($G9:$P9)-COLUMN($G9)+1&lt;Reprogramaciones!P$14)*$G9:$P9)+N(INDEX($G9:$P9,1,Reprogramaciones!P$14))*IF(Reprogramaciones!P$13&gt;=(Reprogramaciones!$T$15+7*(Reprogramaciones!P$14-1))+6,1,IF(MAX(0,NETWORKDAYS.INTL(MAX(E9,(Reprogramaciones!$T$15+7*(Reprogramaciones!P$14-1))),MIN(F9,(Reprogramaciones!$T$15+7*(Reprogramaciones!P$14-1))+6),11))=0,0,MAX(0,NETWORKDAYS.INTL(MAX(E9,(Reprogramaciones!$T$15+7*(Reprogramaciones!P$14-1))),MIN(F9,Reprogramaciones!P$13),11))/MAX(0,NETWORKDAYS.INTL(MAX(E9,(Reprogramaciones!$T$15+7*(Reprogramaciones!P$14-1))),MIN(F9,(Reprogramaciones!$T$15+7*(Reprogramaciones!P$14-1))+6),11))))))))</f>
        <v>100</v>
      </c>
      <c r="BZ9" s="1" t="n">
        <f aca="false">IF(OR(NOT(AND(ISNUMBER(E9),ISNUMBER(F9))),$J$2=""),"",IF(Reprogramaciones!Q$13&lt;Reprogramaciones!$T$15,0,IF(Reprogramaciones!Q$14&gt;10,MIN(100,SUM($G9:$P9)),MIN(100,SUMPRODUCT((COLUMN($G9:$P9)-COLUMN($G9)+1&lt;Reprogramaciones!Q$14)*$G9:$P9)+N(INDEX($G9:$P9,1,Reprogramaciones!Q$14))*IF(Reprogramaciones!Q$13&gt;=(Reprogramaciones!$T$15+7*(Reprogramaciones!Q$14-1))+6,1,IF(MAX(0,NETWORKDAYS.INTL(MAX(E9,(Reprogramaciones!$T$15+7*(Reprogramaciones!Q$14-1))),MIN(F9,(Reprogramaciones!$T$15+7*(Reprogramaciones!Q$14-1))+6),11))=0,0,MAX(0,NETWORKDAYS.INTL(MAX(E9,(Reprogramaciones!$T$15+7*(Reprogramaciones!Q$14-1))),MIN(F9,Reprogramaciones!Q$13),11))/MAX(0,NETWORKDAYS.INTL(MAX(E9,(Reprogramaciones!$T$15+7*(Reprogramaciones!Q$14-1))),MIN(F9,(Reprogramaciones!$T$15+7*(Reprogramaciones!Q$14-1))+6),11))))))))</f>
        <v>100</v>
      </c>
      <c r="CA9" s="1" t="n">
        <f aca="false">IF(OR(NOT(AND(ISNUMBER(E9),ISNUMBER(F9))),$J$2=""),"",IF(Reprogramaciones!R$13&lt;Reprogramaciones!$T$15,0,IF(Reprogramaciones!R$14&gt;10,MIN(100,SUM($G9:$P9)),MIN(100,SUMPRODUCT((COLUMN($G9:$P9)-COLUMN($G9)+1&lt;Reprogramaciones!R$14)*$G9:$P9)+N(INDEX($G9:$P9,1,Reprogramaciones!R$14))*IF(Reprogramaciones!R$13&gt;=(Reprogramaciones!$T$15+7*(Reprogramaciones!R$14-1))+6,1,IF(MAX(0,NETWORKDAYS.INTL(MAX(E9,(Reprogramaciones!$T$15+7*(Reprogramaciones!R$14-1))),MIN(F9,(Reprogramaciones!$T$15+7*(Reprogramaciones!R$14-1))+6),11))=0,0,MAX(0,NETWORKDAYS.INTL(MAX(E9,(Reprogramaciones!$T$15+7*(Reprogramaciones!R$14-1))),MIN(F9,Reprogramaciones!R$13),11))/MAX(0,NETWORKDAYS.INTL(MAX(E9,(Reprogramaciones!$T$15+7*(Reprogramaciones!R$14-1))),MIN(F9,(Reprogramaciones!$T$15+7*(Reprogramaciones!R$14-1))+6),11))))))))</f>
        <v>100</v>
      </c>
      <c r="CB9" s="1" t="n">
        <f aca="false">IF(OR(NOT(AND(ISNUMBER(E9),ISNUMBER(F9))),$J$2=""),"",IF(Reprogramaciones!S$13&lt;Reprogramaciones!$T$15,0,IF(Reprogramaciones!S$14&gt;10,MIN(100,SUM($G9:$P9)),MIN(100,SUMPRODUCT((COLUMN($G9:$P9)-COLUMN($G9)+1&lt;Reprogramaciones!S$14)*$G9:$P9)+N(INDEX($G9:$P9,1,Reprogramaciones!S$14))*IF(Reprogramaciones!S$13&gt;=(Reprogramaciones!$T$15+7*(Reprogramaciones!S$14-1))+6,1,IF(MAX(0,NETWORKDAYS.INTL(MAX(E9,(Reprogramaciones!$T$15+7*(Reprogramaciones!S$14-1))),MIN(F9,(Reprogramaciones!$T$15+7*(Reprogramaciones!S$14-1))+6),11))=0,0,MAX(0,NETWORKDAYS.INTL(MAX(E9,(Reprogramaciones!$T$15+7*(Reprogramaciones!S$14-1))),MIN(F9,Reprogramaciones!S$13),11))/MAX(0,NETWORKDAYS.INTL(MAX(E9,(Reprogramaciones!$T$15+7*(Reprogramaciones!S$14-1))),MIN(F9,(Reprogramaciones!$T$15+7*(Reprogramaciones!S$14-1))+6),11))))))))</f>
        <v>100</v>
      </c>
      <c r="CC9" s="1" t="n">
        <f aca="false">IF(OR(NOT(AND(ISNUMBER(E9),ISNUMBER(F9))),$J$2=""),"",IF(Reprogramaciones!T$13&lt;Reprogramaciones!$T$15,0,IF(Reprogramaciones!T$14&gt;10,MIN(100,SUM($G9:$P9)),MIN(100,SUMPRODUCT((COLUMN($G9:$P9)-COLUMN($G9)+1&lt;Reprogramaciones!T$14)*$G9:$P9)+N(INDEX($G9:$P9,1,Reprogramaciones!T$14))*IF(Reprogramaciones!T$13&gt;=(Reprogramaciones!$T$15+7*(Reprogramaciones!T$14-1))+6,1,IF(MAX(0,NETWORKDAYS.INTL(MAX(E9,(Reprogramaciones!$T$15+7*(Reprogramaciones!T$14-1))),MIN(F9,(Reprogramaciones!$T$15+7*(Reprogramaciones!T$14-1))+6),11))=0,0,MAX(0,NETWORKDAYS.INTL(MAX(E9,(Reprogramaciones!$T$15+7*(Reprogramaciones!T$14-1))),MIN(F9,Reprogramaciones!T$13),11))/MAX(0,NETWORKDAYS.INTL(MAX(E9,(Reprogramaciones!$T$15+7*(Reprogramaciones!T$14-1))),MIN(F9,(Reprogramaciones!$T$15+7*(Reprogramaciones!T$14-1))+6),11))))))))</f>
        <v>100</v>
      </c>
      <c r="CD9" s="1" t="n">
        <f aca="false">IF(OR(NOT(AND(ISNUMBER(E9),ISNUMBER(F9))),$J$2=""),"",IF(Reprogramaciones!U$13&lt;Reprogramaciones!$T$15,0,IF(Reprogramaciones!U$14&gt;10,MIN(100,SUM($G9:$P9)),MIN(100,SUMPRODUCT((COLUMN($G9:$P9)-COLUMN($G9)+1&lt;Reprogramaciones!U$14)*$G9:$P9)+N(INDEX($G9:$P9,1,Reprogramaciones!U$14))*IF(Reprogramaciones!U$13&gt;=(Reprogramaciones!$T$15+7*(Reprogramaciones!U$14-1))+6,1,IF(MAX(0,NETWORKDAYS.INTL(MAX(E9,(Reprogramaciones!$T$15+7*(Reprogramaciones!U$14-1))),MIN(F9,(Reprogramaciones!$T$15+7*(Reprogramaciones!U$14-1))+6),11))=0,0,MAX(0,NETWORKDAYS.INTL(MAX(E9,(Reprogramaciones!$T$15+7*(Reprogramaciones!U$14-1))),MIN(F9,Reprogramaciones!U$13),11))/MAX(0,NETWORKDAYS.INTL(MAX(E9,(Reprogramaciones!$T$15+7*(Reprogramaciones!U$14-1))),MIN(F9,(Reprogramaciones!$T$15+7*(Reprogramaciones!U$14-1))+6),11))))))))</f>
        <v>100</v>
      </c>
      <c r="CE9" s="1" t="n">
        <f aca="false">IF(OR(NOT(AND(ISNUMBER(E9),ISNUMBER(F9))),$J$2=""),"",IF(Reprogramaciones!V$13&lt;Reprogramaciones!$T$15,0,IF(Reprogramaciones!V$14&gt;10,MIN(100,SUM($G9:$P9)),MIN(100,SUMPRODUCT((COLUMN($G9:$P9)-COLUMN($G9)+1&lt;Reprogramaciones!V$14)*$G9:$P9)+N(INDEX($G9:$P9,1,Reprogramaciones!V$14))*IF(Reprogramaciones!V$13&gt;=(Reprogramaciones!$T$15+7*(Reprogramaciones!V$14-1))+6,1,IF(MAX(0,NETWORKDAYS.INTL(MAX(E9,(Reprogramaciones!$T$15+7*(Reprogramaciones!V$14-1))),MIN(F9,(Reprogramaciones!$T$15+7*(Reprogramaciones!V$14-1))+6),11))=0,0,MAX(0,NETWORKDAYS.INTL(MAX(E9,(Reprogramaciones!$T$15+7*(Reprogramaciones!V$14-1))),MIN(F9,Reprogramaciones!V$13),11))/MAX(0,NETWORKDAYS.INTL(MAX(E9,(Reprogramaciones!$T$15+7*(Reprogramaciones!V$14-1))),MIN(F9,(Reprogramaciones!$T$15+7*(Reprogramaciones!V$14-1))+6),11))))))))</f>
        <v>100</v>
      </c>
      <c r="CF9" s="1" t="n">
        <f aca="false">IF(OR(NOT(AND(ISNUMBER(E9),ISNUMBER(F9))),$J$2=""),"",IF(Reprogramaciones!W$13&lt;Reprogramaciones!$T$15,0,IF(Reprogramaciones!W$14&gt;10,MIN(100,SUM($G9:$P9)),MIN(100,SUMPRODUCT((COLUMN($G9:$P9)-COLUMN($G9)+1&lt;Reprogramaciones!W$14)*$G9:$P9)+N(INDEX($G9:$P9,1,Reprogramaciones!W$14))*IF(Reprogramaciones!W$13&gt;=(Reprogramaciones!$T$15+7*(Reprogramaciones!W$14-1))+6,1,IF(MAX(0,NETWORKDAYS.INTL(MAX(E9,(Reprogramaciones!$T$15+7*(Reprogramaciones!W$14-1))),MIN(F9,(Reprogramaciones!$T$15+7*(Reprogramaciones!W$14-1))+6),11))=0,0,MAX(0,NETWORKDAYS.INTL(MAX(E9,(Reprogramaciones!$T$15+7*(Reprogramaciones!W$14-1))),MIN(F9,Reprogramaciones!W$13),11))/MAX(0,NETWORKDAYS.INTL(MAX(E9,(Reprogramaciones!$T$15+7*(Reprogramaciones!W$14-1))),MIN(F9,(Reprogramaciones!$T$15+7*(Reprogramaciones!W$14-1))+6),11))))))))</f>
        <v>100</v>
      </c>
      <c r="CG9" s="1" t="n">
        <f aca="false">IF(OR(NOT(AND(ISNUMBER(E9),ISNUMBER(F9))),$J$2=""),"",IF(Reprogramaciones!X$13&lt;Reprogramaciones!$T$15,0,IF(Reprogramaciones!X$14&gt;10,MIN(100,SUM($G9:$P9)),MIN(100,SUMPRODUCT((COLUMN($G9:$P9)-COLUMN($G9)+1&lt;Reprogramaciones!X$14)*$G9:$P9)+N(INDEX($G9:$P9,1,Reprogramaciones!X$14))*IF(Reprogramaciones!X$13&gt;=(Reprogramaciones!$T$15+7*(Reprogramaciones!X$14-1))+6,1,IF(MAX(0,NETWORKDAYS.INTL(MAX(E9,(Reprogramaciones!$T$15+7*(Reprogramaciones!X$14-1))),MIN(F9,(Reprogramaciones!$T$15+7*(Reprogramaciones!X$14-1))+6),11))=0,0,MAX(0,NETWORKDAYS.INTL(MAX(E9,(Reprogramaciones!$T$15+7*(Reprogramaciones!X$14-1))),MIN(F9,Reprogramaciones!X$13),11))/MAX(0,NETWORKDAYS.INTL(MAX(E9,(Reprogramaciones!$T$15+7*(Reprogramaciones!X$14-1))),MIN(F9,(Reprogramaciones!$T$15+7*(Reprogramaciones!X$14-1))+6),11))))))))</f>
        <v>100</v>
      </c>
      <c r="CH9" s="1" t="n">
        <f aca="false">IF(OR(NOT(AND(ISNUMBER(E9),ISNUMBER(F9))),$J$2=""),"",IF(Reprogramaciones!Y$13&lt;Reprogramaciones!$T$15,0,IF(Reprogramaciones!Y$14&gt;10,MIN(100,SUM($G9:$P9)),MIN(100,SUMPRODUCT((COLUMN($G9:$P9)-COLUMN($G9)+1&lt;Reprogramaciones!Y$14)*$G9:$P9)+N(INDEX($G9:$P9,1,Reprogramaciones!Y$14))*IF(Reprogramaciones!Y$13&gt;=(Reprogramaciones!$T$15+7*(Reprogramaciones!Y$14-1))+6,1,IF(MAX(0,NETWORKDAYS.INTL(MAX(E9,(Reprogramaciones!$T$15+7*(Reprogramaciones!Y$14-1))),MIN(F9,(Reprogramaciones!$T$15+7*(Reprogramaciones!Y$14-1))+6),11))=0,0,MAX(0,NETWORKDAYS.INTL(MAX(E9,(Reprogramaciones!$T$15+7*(Reprogramaciones!Y$14-1))),MIN(F9,Reprogramaciones!Y$13),11))/MAX(0,NETWORKDAYS.INTL(MAX(E9,(Reprogramaciones!$T$15+7*(Reprogramaciones!Y$14-1))),MIN(F9,(Reprogramaciones!$T$15+7*(Reprogramaciones!Y$14-1))+6),11))))))))</f>
        <v>100</v>
      </c>
      <c r="CI9" s="1" t="n">
        <f aca="false">IF(OR(NOT(AND(ISNUMBER(E9),ISNUMBER(F9))),$J$2=""),"",IF(Reprogramaciones!Z$13&lt;Reprogramaciones!$T$15,0,IF(Reprogramaciones!Z$14&gt;10,MIN(100,SUM($G9:$P9)),MIN(100,SUMPRODUCT((COLUMN($G9:$P9)-COLUMN($G9)+1&lt;Reprogramaciones!Z$14)*$G9:$P9)+N(INDEX($G9:$P9,1,Reprogramaciones!Z$14))*IF(Reprogramaciones!Z$13&gt;=(Reprogramaciones!$T$15+7*(Reprogramaciones!Z$14-1))+6,1,IF(MAX(0,NETWORKDAYS.INTL(MAX(E9,(Reprogramaciones!$T$15+7*(Reprogramaciones!Z$14-1))),MIN(F9,(Reprogramaciones!$T$15+7*(Reprogramaciones!Z$14-1))+6),11))=0,0,MAX(0,NETWORKDAYS.INTL(MAX(E9,(Reprogramaciones!$T$15+7*(Reprogramaciones!Z$14-1))),MIN(F9,Reprogramaciones!Z$13),11))/MAX(0,NETWORKDAYS.INTL(MAX(E9,(Reprogramaciones!$T$15+7*(Reprogramaciones!Z$14-1))),MIN(F9,(Reprogramaciones!$T$15+7*(Reprogramaciones!Z$14-1))+6),11))))))))</f>
        <v>100</v>
      </c>
      <c r="CJ9" s="1" t="n">
        <f aca="false">IF(OR(OR(NOT(AND(ISNUMBER(E9),ISNUMBER(F9))),$J$2=""),1&gt;Reprogramaciones!$K$16),"",IF(ROUND(SUM($Q9:Q9),1)&gt;=99.5,100,MIN(100,ROUND(SUM($Q9:Q9),1))))</f>
        <v>100</v>
      </c>
      <c r="CK9" s="1" t="n">
        <f aca="false">IF(OR(OR(NOT(AND(ISNUMBER(E9),ISNUMBER(F9))),$J$2=""),2&gt;Reprogramaciones!$K$16),"",IF(ROUND(SUM($Q9:R9),1)&gt;=99.5,100,MIN(100,ROUND(SUM($Q9:R9),1))))</f>
        <v>100</v>
      </c>
      <c r="CL9" s="1" t="n">
        <f aca="false">IF(OR(OR(NOT(AND(ISNUMBER(E9),ISNUMBER(F9))),$J$2=""),3&gt;Reprogramaciones!$K$16),"",IF(ROUND(SUM($Q9:S9),1)&gt;=99.5,100,MIN(100,ROUND(SUM($Q9:S9),1))))</f>
        <v>100</v>
      </c>
      <c r="CM9" s="1" t="n">
        <f aca="false">IF(OR(OR(NOT(AND(ISNUMBER(E9),ISNUMBER(F9))),$J$2=""),4&gt;Reprogramaciones!$K$16),"",IF(ROUND(SUM($Q9:T9),1)&gt;=99.5,100,MIN(100,ROUND(SUM($Q9:T9),1))))</f>
        <v>100</v>
      </c>
      <c r="CN9" s="1" t="n">
        <f aca="false">IF(OR(OR(NOT(AND(ISNUMBER(E9),ISNUMBER(F9))),$J$2=""),5&gt;Reprogramaciones!$K$16),"",IF(ROUND(SUM($Q9:U9),1)&gt;=99.5,100,MIN(100,ROUND(SUM($Q9:U9),1))))</f>
        <v>100</v>
      </c>
      <c r="CO9" s="1" t="str">
        <f aca="false">IF(OR(OR(NOT(AND(ISNUMBER(E9),ISNUMBER(F9))),$J$2=""),6&gt;Reprogramaciones!$K$16),"",IF(ROUND(SUM($Q9:V9),1)&gt;=99.5,100,MIN(100,ROUND(SUM($Q9:V9),1))))</f>
        <v/>
      </c>
      <c r="CP9" s="1" t="str">
        <f aca="false">IF(OR(OR(NOT(AND(ISNUMBER(E9),ISNUMBER(F9))),$J$2=""),7&gt;Reprogramaciones!$K$16),"",IF(ROUND(SUM($Q9:W9),1)&gt;=99.5,100,MIN(100,ROUND(SUM($Q9:W9),1))))</f>
        <v/>
      </c>
      <c r="CQ9" s="1" t="str">
        <f aca="false">IF(OR(OR(NOT(AND(ISNUMBER(E9),ISNUMBER(F9))),$J$2=""),8&gt;Reprogramaciones!$K$16),"",IF(ROUND(SUM($Q9:X9),1)&gt;=99.5,100,MIN(100,ROUND(SUM($Q9:X9),1))))</f>
        <v/>
      </c>
      <c r="CR9" s="1" t="str">
        <f aca="false">IF(OR(OR(NOT(AND(ISNUMBER(E9),ISNUMBER(F9))),$J$2=""),9&gt;Reprogramaciones!$K$16),"",IF(ROUND(SUM($Q9:Y9),1)&gt;=99.5,100,MIN(100,ROUND(SUM($Q9:Y9),1))))</f>
        <v/>
      </c>
      <c r="CS9" s="1" t="str">
        <f aca="false">IF(OR(OR(NOT(AND(ISNUMBER(E9),ISNUMBER(F9))),$J$2=""),10&gt;Reprogramaciones!$K$16),"",IF(ROUND(SUM($Q9:Z9),1)&gt;=99.5,100,MIN(100,ROUND(SUM($Q9:Z9),1))))</f>
        <v/>
      </c>
      <c r="CT9" s="1" t="str">
        <f aca="false">IF(OR(OR(NOT(AND(ISNUMBER(E9),ISNUMBER(F9))),$J$2=""),11&gt;Reprogramaciones!$K$16),"",IF(ROUND(SUM($Q9:AA9),1)&gt;=99.5,100,MIN(100,ROUND(SUM($Q9:AA9),1))))</f>
        <v/>
      </c>
      <c r="CU9" s="1" t="str">
        <f aca="false">IF(OR(OR(NOT(AND(ISNUMBER(E9),ISNUMBER(F9))),$J$2=""),12&gt;Reprogramaciones!$K$16),"",IF(ROUND(SUM($Q9:AB9),1)&gt;=99.5,100,MIN(100,ROUND(SUM($Q9:AB9),1))))</f>
        <v/>
      </c>
      <c r="CV9" s="1" t="str">
        <f aca="false">IF(OR(OR(NOT(AND(ISNUMBER(E9),ISNUMBER(F9))),$J$2=""),13&gt;Reprogramaciones!$K$16),"",IF(ROUND(SUM($Q9:AC9),1)&gt;=99.5,100,MIN(100,ROUND(SUM($Q9:AC9),1))))</f>
        <v/>
      </c>
      <c r="CW9" s="1" t="str">
        <f aca="false">IF(OR(OR(NOT(AND(ISNUMBER(E9),ISNUMBER(F9))),$J$2=""),14&gt;Reprogramaciones!$K$16),"",IF(ROUND(SUM($Q9:AD9),1)&gt;=99.5,100,MIN(100,ROUND(SUM($Q9:AD9),1))))</f>
        <v/>
      </c>
      <c r="CX9" s="1" t="str">
        <f aca="false">IF(OR(OR(NOT(AND(ISNUMBER(E9),ISNUMBER(F9))),$J$2=""),15&gt;Reprogramaciones!$K$16),"",IF(ROUND(SUM($Q9:AE9),1)&gt;=99.5,100,MIN(100,ROUND(SUM($Q9:AE9),1))))</f>
        <v/>
      </c>
      <c r="CY9" s="1" t="str">
        <f aca="false">IF(OR(OR(NOT(AND(ISNUMBER(E9),ISNUMBER(F9))),$J$2=""),16&gt;Reprogramaciones!$K$16),"",IF(ROUND(SUM($Q9:AF9),1)&gt;=99.5,100,MIN(100,ROUND(SUM($Q9:AF9),1))))</f>
        <v/>
      </c>
      <c r="CZ9" s="1" t="str">
        <f aca="false">IF(D9&lt;&gt;"",D9,IF(B9&lt;&gt;"","Contractual",CZ8))</f>
        <v>Contractual</v>
      </c>
      <c r="DA9" s="1" t="n">
        <f aca="false">IF(OR(NOT(AND(ISNUMBER(E9),ISNUMBER(F9))),$J$2=""),"",IF(Reprogramaciones!$Q$15&lt;Reprogramaciones!$T$15,0,IF(Reprogramaciones!$S$15&gt;10,MIN(100,SUM($G9:$P9)),MIN(100,SUMPRODUCT((COLUMN($G9:$P9)-COLUMN($G9)+1&lt;Reprogramaciones!$S$15)*$G9:$P9)+N(INDEX($G9:$P9,1,Reprogramaciones!$S$15))*IF(Reprogramaciones!$Q$15&gt;=(Reprogramaciones!$T$15+7*(Reprogramaciones!$S$15-1))+6,1,IF(MAX(0,NETWORKDAYS.INTL(MAX(E9,(Reprogramaciones!$T$15+7*(Reprogramaciones!$S$15-1))),MIN(F9,(Reprogramaciones!$T$15+7*(Reprogramaciones!$S$15-1))+6),11))=0,0,MAX(0,NETWORKDAYS.INTL(MAX(E9,(Reprogramaciones!$T$15+7*(Reprogramaciones!$S$15-1))),MIN(F9,Reprogramaciones!$Q$15),11))/MAX(0,NETWORKDAYS.INTL(MAX(E9,(Reprogramaciones!$T$15+7*(Reprogramaciones!$S$15-1))),MIN(F9,(Reprogramaciones!$T$15+7*(Reprogramaciones!$S$15-1))+6),11))))))))</f>
        <v>100</v>
      </c>
    </row>
    <row r="10" customFormat="false" ht="15" hidden="false" customHeight="false" outlineLevel="0" collapsed="false">
      <c r="A10" s="32" t="s">
        <v>161</v>
      </c>
      <c r="B10" s="33" t="s">
        <v>162</v>
      </c>
      <c r="C10" s="33"/>
      <c r="D10" s="34"/>
      <c r="E10" s="35"/>
      <c r="F10" s="35"/>
      <c r="G10" s="36" t="str">
        <f aca="false">IF(OR(NOT(AND(ISNUMBER(E10),ISNUMBER(F10))),$J$2=""),"",IF(Reprogramaciones!K$9&lt;E10,0,IF(NETWORKDAYS.INTL(E10,F10,11)=0,IF(Reprogramaciones!K$9&gt;=F10,100,0),ROUND(NETWORKDAYS.INTL(E10,MIN(F10,Reprogramaciones!K$9),11)/NETWORKDAYS.INTL(E10,F10,11)*100,1)))-0)</f>
        <v/>
      </c>
      <c r="H10" s="36" t="str">
        <f aca="false">IF(OR(NOT(AND(ISNUMBER(E10),ISNUMBER(F10))),$J$2=""),"",IF(Reprogramaciones!L$9&lt;E10,0,IF(NETWORKDAYS.INTL(E10,F10,11)=0,IF(Reprogramaciones!L$9&gt;=F10,100,0),ROUND(NETWORKDAYS.INTL(E10,MIN(F10,Reprogramaciones!L$9),11)/NETWORKDAYS.INTL(E10,F10,11)*100,1)))-IF(Reprogramaciones!K$9&lt;E10,0,IF(NETWORKDAYS.INTL(E10,F10,11)=0,IF(Reprogramaciones!K$9&gt;=F10,100,0),ROUND(NETWORKDAYS.INTL(E10,MIN(F10,Reprogramaciones!K$9),11)/NETWORKDAYS.INTL(E10,F10,11)*100,1))))</f>
        <v/>
      </c>
      <c r="I10" s="36" t="str">
        <f aca="false">IF(OR(NOT(AND(ISNUMBER(E10),ISNUMBER(F10))),$J$2=""),"",IF(Reprogramaciones!M$9&lt;E10,0,IF(NETWORKDAYS.INTL(E10,F10,11)=0,IF(Reprogramaciones!M$9&gt;=F10,100,0),ROUND(NETWORKDAYS.INTL(E10,MIN(F10,Reprogramaciones!M$9),11)/NETWORKDAYS.INTL(E10,F10,11)*100,1)))-IF(Reprogramaciones!L$9&lt;E10,0,IF(NETWORKDAYS.INTL(E10,F10,11)=0,IF(Reprogramaciones!L$9&gt;=F10,100,0),ROUND(NETWORKDAYS.INTL(E10,MIN(F10,Reprogramaciones!L$9),11)/NETWORKDAYS.INTL(E10,F10,11)*100,1))))</f>
        <v/>
      </c>
      <c r="J10" s="36" t="str">
        <f aca="false">IF(OR(NOT(AND(ISNUMBER(E10),ISNUMBER(F10))),$J$2=""),"",IF(Reprogramaciones!N$9&lt;E10,0,IF(NETWORKDAYS.INTL(E10,F10,11)=0,IF(Reprogramaciones!N$9&gt;=F10,100,0),ROUND(NETWORKDAYS.INTL(E10,MIN(F10,Reprogramaciones!N$9),11)/NETWORKDAYS.INTL(E10,F10,11)*100,1)))-IF(Reprogramaciones!M$9&lt;E10,0,IF(NETWORKDAYS.INTL(E10,F10,11)=0,IF(Reprogramaciones!M$9&gt;=F10,100,0),ROUND(NETWORKDAYS.INTL(E10,MIN(F10,Reprogramaciones!M$9),11)/NETWORKDAYS.INTL(E10,F10,11)*100,1))))</f>
        <v/>
      </c>
      <c r="K10" s="36" t="str">
        <f aca="false">IF(OR(NOT(AND(ISNUMBER(E10),ISNUMBER(F10))),$J$2=""),"",IF(Reprogramaciones!O$9&lt;E10,0,IF(NETWORKDAYS.INTL(E10,F10,11)=0,IF(Reprogramaciones!O$9&gt;=F10,100,0),ROUND(NETWORKDAYS.INTL(E10,MIN(F10,Reprogramaciones!O$9),11)/NETWORKDAYS.INTL(E10,F10,11)*100,1)))-IF(Reprogramaciones!N$9&lt;E10,0,IF(NETWORKDAYS.INTL(E10,F10,11)=0,IF(Reprogramaciones!N$9&gt;=F10,100,0),ROUND(NETWORKDAYS.INTL(E10,MIN(F10,Reprogramaciones!N$9),11)/NETWORKDAYS.INTL(E10,F10,11)*100,1))))</f>
        <v/>
      </c>
      <c r="L10" s="36" t="str">
        <f aca="false">IF(OR(NOT(AND(ISNUMBER(E10),ISNUMBER(F10))),$J$2=""),"",IF(Reprogramaciones!P$9&lt;E10,0,IF(NETWORKDAYS.INTL(E10,F10,11)=0,IF(Reprogramaciones!P$9&gt;=F10,100,0),ROUND(NETWORKDAYS.INTL(E10,MIN(F10,Reprogramaciones!P$9),11)/NETWORKDAYS.INTL(E10,F10,11)*100,1)))-IF(Reprogramaciones!O$9&lt;E10,0,IF(NETWORKDAYS.INTL(E10,F10,11)=0,IF(Reprogramaciones!O$9&gt;=F10,100,0),ROUND(NETWORKDAYS.INTL(E10,MIN(F10,Reprogramaciones!O$9),11)/NETWORKDAYS.INTL(E10,F10,11)*100,1))))</f>
        <v/>
      </c>
      <c r="M10" s="36" t="str">
        <f aca="false">IF(OR(NOT(AND(ISNUMBER(E10),ISNUMBER(F10))),$J$2=""),"",IF(Reprogramaciones!Q$9&lt;E10,0,IF(NETWORKDAYS.INTL(E10,F10,11)=0,IF(Reprogramaciones!Q$9&gt;=F10,100,0),ROUND(NETWORKDAYS.INTL(E10,MIN(F10,Reprogramaciones!Q$9),11)/NETWORKDAYS.INTL(E10,F10,11)*100,1)))-IF(Reprogramaciones!P$9&lt;E10,0,IF(NETWORKDAYS.INTL(E10,F10,11)=0,IF(Reprogramaciones!P$9&gt;=F10,100,0),ROUND(NETWORKDAYS.INTL(E10,MIN(F10,Reprogramaciones!P$9),11)/NETWORKDAYS.INTL(E10,F10,11)*100,1))))</f>
        <v/>
      </c>
      <c r="N10" s="36" t="str">
        <f aca="false">IF(OR(NOT(AND(ISNUMBER(E10),ISNUMBER(F10))),$J$2=""),"",IF(Reprogramaciones!R$9&lt;E10,0,IF(NETWORKDAYS.INTL(E10,F10,11)=0,IF(Reprogramaciones!R$9&gt;=F10,100,0),ROUND(NETWORKDAYS.INTL(E10,MIN(F10,Reprogramaciones!R$9),11)/NETWORKDAYS.INTL(E10,F10,11)*100,1)))-IF(Reprogramaciones!Q$9&lt;E10,0,IF(NETWORKDAYS.INTL(E10,F10,11)=0,IF(Reprogramaciones!Q$9&gt;=F10,100,0),ROUND(NETWORKDAYS.INTL(E10,MIN(F10,Reprogramaciones!Q$9),11)/NETWORKDAYS.INTL(E10,F10,11)*100,1))))</f>
        <v/>
      </c>
      <c r="O10" s="36" t="str">
        <f aca="false">IF(OR(NOT(AND(ISNUMBER(E10),ISNUMBER(F10))),$J$2=""),"",IF(Reprogramaciones!S$9&lt;E10,0,IF(NETWORKDAYS.INTL(E10,F10,11)=0,IF(Reprogramaciones!S$9&gt;=F10,100,0),ROUND(NETWORKDAYS.INTL(E10,MIN(F10,Reprogramaciones!S$9),11)/NETWORKDAYS.INTL(E10,F10,11)*100,1)))-IF(Reprogramaciones!R$9&lt;E10,0,IF(NETWORKDAYS.INTL(E10,F10,11)=0,IF(Reprogramaciones!R$9&gt;=F10,100,0),ROUND(NETWORKDAYS.INTL(E10,MIN(F10,Reprogramaciones!R$9),11)/NETWORKDAYS.INTL(E10,F10,11)*100,1))))</f>
        <v/>
      </c>
      <c r="P10" s="36" t="str">
        <f aca="false">IF(OR(NOT(AND(ISNUMBER(E10),ISNUMBER(F10))),$J$2=""),"",IF(Reprogramaciones!T$9&lt;E10,0,IF(NETWORKDAYS.INTL(E10,F10,11)=0,IF(Reprogramaciones!T$9&gt;=F10,100,0),ROUND(NETWORKDAYS.INTL(E10,MIN(F10,Reprogramaciones!T$9),11)/NETWORKDAYS.INTL(E10,F10,11)*100,1)))-IF(Reprogramaciones!S$9&lt;E10,0,IF(NETWORKDAYS.INTL(E10,F10,11)=0,IF(Reprogramaciones!S$9&gt;=F10,100,0),ROUND(NETWORKDAYS.INTL(E10,MIN(F10,Reprogramaciones!S$9),11)/NETWORKDAYS.INTL(E10,F10,11)*100,1))))</f>
        <v/>
      </c>
      <c r="Q10" s="37"/>
      <c r="R10" s="37"/>
      <c r="S10" s="37"/>
      <c r="T10" s="37"/>
      <c r="U10" s="37"/>
      <c r="V10" s="37"/>
      <c r="W10" s="37"/>
      <c r="X10" s="37"/>
      <c r="Y10" s="37"/>
      <c r="Z10" s="37"/>
      <c r="AA10" s="37"/>
      <c r="AB10" s="37"/>
      <c r="AC10" s="37"/>
      <c r="AD10" s="37"/>
      <c r="AE10" s="37"/>
      <c r="AF10" s="37"/>
      <c r="AG10" s="38" t="str">
        <f aca="false">IF(AND(ISNUMBER(E10),ISNUMBER(F10)),NETWORKDAYS.INTL(E10,F10,11),"")</f>
        <v/>
      </c>
      <c r="AH10" s="38" t="str">
        <f aca="false">IF(OR(NOT(AND(ISNUMBER(E10),ISNUMBER(F10))),$J$2=""),"",IF(Reprogramaciones!$P$15&lt;Reprogramaciones!$T$15,0,IF(Reprogramaciones!$R$15&gt;10,MIN(100,SUM($G10:$P10)),MIN(100,SUMPRODUCT((COLUMN($G10:$P10)-COLUMN($G10)+1&lt;Reprogramaciones!$R$15)*$G10:$P10)+N(INDEX($G10:$P10,1,Reprogramaciones!$R$15))*IF(Reprogramaciones!$P$15&gt;=(Reprogramaciones!$T$15+7*(Reprogramaciones!$R$15-1))+6,1,IF(MAX(0,NETWORKDAYS.INTL(MAX(E10,(Reprogramaciones!$T$15+7*(Reprogramaciones!$R$15-1))),MIN(F10,(Reprogramaciones!$T$15+7*(Reprogramaciones!$R$15-1))+6),11))=0,0,MAX(0,NETWORKDAYS.INTL(MAX(E10,(Reprogramaciones!$T$15+7*(Reprogramaciones!$R$15-1))),MIN(F10,Reprogramaciones!$P$15),11))/MAX(0,NETWORKDAYS.INTL(MAX(E10,(Reprogramaciones!$T$15+7*(Reprogramaciones!$R$15-1))),MIN(F10,(Reprogramaciones!$T$15+7*(Reprogramaciones!$R$15-1))+6),11))))))))</f>
        <v/>
      </c>
      <c r="AI10" s="38" t="str">
        <f aca="false">IF(COUNT($Q10:$AF10)=0,"",IF(ROUND(SUM($Q10:$AF10),1)&gt;=99.5,100,MIN(100,ROUND(SUM($Q10:$AF10),1))))</f>
        <v/>
      </c>
      <c r="AJ10" s="38" t="str">
        <f aca="false">IF(OR(AH10="",AI10=""),"",AI10-AH10)</f>
        <v/>
      </c>
      <c r="AK10" s="39" t="str">
        <f aca="true">IF(AH10="","",IF(OR(Ficha!$C$10="Suspendida",Ficha!$C$10="Cancelada"),Ficha!$C$10,IF(AND(AI10&lt;&gt;"",N(AI10)&gt;=100),"Completada",IF(AND(E10&gt;TODAY(),N(AI10)=0),"Por iniciar",IF(N(AI10)+0.5&lt;AH10,"Retrasada",IF(N(AI10)+0.5&lt;DA10,IF(Reprogramaciones!$K$15&gt;0,"Al día · Sem "&amp;Reprogramaciones!$K$15&amp;" en curso","Al día · en curso"),"A tiempo"))))))</f>
        <v/>
      </c>
      <c r="AL10" s="39" t="str">
        <f aca="true">IF(AND(A10="",AND(B10="",C10="",E10="",F10="",COUNT(Q10:AF10)=0)),"",IF(AND(B10="",C10="",E10="",F10="",COUNT(Q10:AF10)=0),"Falta la partida o subpartida",IF(AND(A10&lt;&gt;"",COUNTIF($A$6:$A$305,A10)&gt;1),"Ítem repetido",IF(AND(C10="",E10="",F10="",COUNT(Q10:AF10)=0),"Título de partida",IF(OR(E10="",F10=""),"Faltan fechas",IF(OR(ISTEXT(E10),ISTEXT(F10)),"Fecha escrita como texto: usa dd/mm/aaaa",IF(F10&lt;E10,"Fin antes del inicio",IF(IF($J$2="",FALSE(),OR(E10&lt;$J$2,F10&gt;Reprogramaciones!$T$15+69)),"Fuera de las 10 semanas",IF(ABS(SUM(G10:P10)-100)&gt;0.5,"La meta no suma 100%",IF(ROUND(SUM(Q10:AF10),1)&gt;100.5,"El avance pasa de 100%",IF(MIN(Q10:AF10)&lt;0,"Avance negativo",IF(COUNTA(Q10:AF10)&gt;COUNT(Q10:AF10),"Avance escrito como texto",IF(SUMPRODUCT((Q10:AF10&gt;0)*(Q10:AF10&lt;1))&gt;0,"Avance menor a 1: escribe 50, no 50%",IF(SUMPRODUCT(ISNUMBER(Q10:AF10)*(Reprogramaciones!$K$8:$Z$8&gt;TODAY()))&gt;0,"Avance en semana que aún no llega",IF(AND(N(Reprogramaciones!$E$21)&gt;0,F10&gt;Reprogramaciones!$E$21),"Pasa el fin de la obra: registra una reprogramación",IF(AND(N(Reprogramaciones!$E$21)&gt;0,SUMPRODUCT(ISNUMBER(Q10:AF10)*(Reprogramaciones!$K$8:$Z$8&gt;Reprogramaciones!$E$21))&gt;0),"Avance después del fin de la obra: registra una reprogramación por atraso","OK"))))))))))))))))</f>
        <v>Título de partida</v>
      </c>
      <c r="AM10" s="40" t="str">
        <f aca="false">IF(OR(OR(NOT(AND(ISNUMBER(E10),ISNUMBER(F10))),$J$2=""),1&gt;MAX(1,Reprogramaciones!$U$15)),"",IF(Reprogramaciones!K$12&gt;=7,"",IF(OR(BT10-N(0)&gt;0.05,N(Q10)&gt;0),ROUNDDOWN(ROUND(BT10,6),0)&amp;"%"&amp;IF(CJ10="",""," / "&amp;CJ10&amp;"%"),IF(AND(N(0)&gt;=99.95,CJ10&lt;&gt;"",N(CJ10)&lt;100),"Pend. "&amp;CJ10&amp;"%",""))))</f>
        <v/>
      </c>
      <c r="AN10" s="40" t="str">
        <f aca="false">IF(OR(OR(NOT(AND(ISNUMBER(E10),ISNUMBER(F10))),$J$2=""),2&gt;MAX(1,Reprogramaciones!$U$15)),"",IF(Reprogramaciones!L$12&gt;=7,"",IF(OR(BU10-N(BT10)&gt;0.05,N(R10)&gt;0),ROUNDDOWN(ROUND(BU10,6),0)&amp;"%"&amp;IF(CK10="",""," / "&amp;CK10&amp;"%"),IF(AND(N(BT10)&gt;=99.95,CK10&lt;&gt;"",N(CK10)&lt;100),"Pend. "&amp;CK10&amp;"%",""))))</f>
        <v/>
      </c>
      <c r="AO10" s="40" t="str">
        <f aca="false">IF(OR(OR(NOT(AND(ISNUMBER(E10),ISNUMBER(F10))),$J$2=""),3&gt;MAX(1,Reprogramaciones!$U$15)),"",IF(Reprogramaciones!M$12&gt;=7,"",IF(OR(BV10-N(BU10)&gt;0.05,N(S10)&gt;0),ROUNDDOWN(ROUND(BV10,6),0)&amp;"%"&amp;IF(CL10="",""," / "&amp;CL10&amp;"%"),IF(AND(N(BU10)&gt;=99.95,CL10&lt;&gt;"",N(CL10)&lt;100),"Pend. "&amp;CL10&amp;"%",""))))</f>
        <v/>
      </c>
      <c r="AP10" s="40" t="str">
        <f aca="false">IF(OR(OR(NOT(AND(ISNUMBER(E10),ISNUMBER(F10))),$J$2=""),4&gt;MAX(1,Reprogramaciones!$U$15)),"",IF(Reprogramaciones!N$12&gt;=7,"",IF(OR(BW10-N(BV10)&gt;0.05,N(T10)&gt;0),ROUNDDOWN(ROUND(BW10,6),0)&amp;"%"&amp;IF(CM10="",""," / "&amp;CM10&amp;"%"),IF(AND(N(BV10)&gt;=99.95,CM10&lt;&gt;"",N(CM10)&lt;100),"Pend. "&amp;CM10&amp;"%",""))))</f>
        <v/>
      </c>
      <c r="AQ10" s="40" t="str">
        <f aca="false">IF(OR(OR(NOT(AND(ISNUMBER(E10),ISNUMBER(F10))),$J$2=""),5&gt;MAX(1,Reprogramaciones!$U$15)),"",IF(Reprogramaciones!O$12&gt;=7,"",IF(OR(BX10-N(BW10)&gt;0.05,N(U10)&gt;0),ROUNDDOWN(ROUND(BX10,6),0)&amp;"%"&amp;IF(CN10="",""," / "&amp;CN10&amp;"%"),IF(AND(N(BW10)&gt;=99.95,CN10&lt;&gt;"",N(CN10)&lt;100),"Pend. "&amp;CN10&amp;"%",""))))</f>
        <v/>
      </c>
      <c r="AR10" s="40" t="str">
        <f aca="false">IF(OR(OR(NOT(AND(ISNUMBER(E10),ISNUMBER(F10))),$J$2=""),6&gt;MAX(1,Reprogramaciones!$U$15)),"",IF(Reprogramaciones!P$12&gt;=7,"",IF(OR(BY10-N(BX10)&gt;0.05,N(V10)&gt;0),ROUNDDOWN(ROUND(BY10,6),0)&amp;"%"&amp;IF(CO10="",""," / "&amp;CO10&amp;"%"),IF(AND(N(BX10)&gt;=99.95,CO10&lt;&gt;"",N(CO10)&lt;100),"Pend. "&amp;CO10&amp;"%",""))))</f>
        <v/>
      </c>
      <c r="AS10" s="40" t="str">
        <f aca="false">IF(OR(OR(NOT(AND(ISNUMBER(E10),ISNUMBER(F10))),$J$2=""),7&gt;MAX(1,Reprogramaciones!$U$15)),"",IF(Reprogramaciones!Q$12&gt;=7,"",IF(OR(BZ10-N(BY10)&gt;0.05,N(W10)&gt;0),ROUNDDOWN(ROUND(BZ10,6),0)&amp;"%"&amp;IF(CP10="",""," / "&amp;CP10&amp;"%"),IF(AND(N(BY10)&gt;=99.95,CP10&lt;&gt;"",N(CP10)&lt;100),"Pend. "&amp;CP10&amp;"%",""))))</f>
        <v/>
      </c>
      <c r="AT10" s="40" t="str">
        <f aca="false">IF(OR(OR(NOT(AND(ISNUMBER(E10),ISNUMBER(F10))),$J$2=""),8&gt;MAX(1,Reprogramaciones!$U$15)),"",IF(Reprogramaciones!R$12&gt;=7,"",IF(OR(CA10-N(BZ10)&gt;0.05,N(X10)&gt;0),ROUNDDOWN(ROUND(CA10,6),0)&amp;"%"&amp;IF(CQ10="",""," / "&amp;CQ10&amp;"%"),IF(AND(N(BZ10)&gt;=99.95,CQ10&lt;&gt;"",N(CQ10)&lt;100),"Pend. "&amp;CQ10&amp;"%",""))))</f>
        <v/>
      </c>
      <c r="AU10" s="40" t="str">
        <f aca="false">IF(OR(OR(NOT(AND(ISNUMBER(E10),ISNUMBER(F10))),$J$2=""),9&gt;MAX(1,Reprogramaciones!$U$15)),"",IF(Reprogramaciones!S$12&gt;=7,"",IF(OR(CB10-N(CA10)&gt;0.05,N(Y10)&gt;0),ROUNDDOWN(ROUND(CB10,6),0)&amp;"%"&amp;IF(CR10="",""," / "&amp;CR10&amp;"%"),IF(AND(N(CA10)&gt;=99.95,CR10&lt;&gt;"",N(CR10)&lt;100),"Pend. "&amp;CR10&amp;"%",""))))</f>
        <v/>
      </c>
      <c r="AV10" s="40" t="str">
        <f aca="false">IF(OR(OR(NOT(AND(ISNUMBER(E10),ISNUMBER(F10))),$J$2=""),10&gt;MAX(1,Reprogramaciones!$U$15)),"",IF(Reprogramaciones!T$12&gt;=7,"",IF(OR(CC10-N(CB10)&gt;0.05,N(Z10)&gt;0),ROUNDDOWN(ROUND(CC10,6),0)&amp;"%"&amp;IF(CS10="",""," / "&amp;CS10&amp;"%"),IF(AND(N(CB10)&gt;=99.95,CS10&lt;&gt;"",N(CS10)&lt;100),"Pend. "&amp;CS10&amp;"%",""))))</f>
        <v/>
      </c>
      <c r="AW10" s="40" t="str">
        <f aca="false">IF(OR(OR(NOT(AND(ISNUMBER(E10),ISNUMBER(F10))),$J$2=""),11&gt;MAX(1,Reprogramaciones!$U$15)),"",IF(Reprogramaciones!U$12&gt;=7,"",IF(OR(CD10-N(CC10)&gt;0.05,N(AA10)&gt;0),ROUNDDOWN(ROUND(CD10,6),0)&amp;"%"&amp;IF(CT10="",""," / "&amp;CT10&amp;"%"),IF(AND(N(CC10)&gt;=99.95,CT10&lt;&gt;"",N(CT10)&lt;100),"Pend. "&amp;CT10&amp;"%",""))))</f>
        <v/>
      </c>
      <c r="AX10" s="40" t="str">
        <f aca="false">IF(OR(OR(NOT(AND(ISNUMBER(E10),ISNUMBER(F10))),$J$2=""),12&gt;MAX(1,Reprogramaciones!$U$15)),"",IF(Reprogramaciones!V$12&gt;=7,"",IF(OR(CE10-N(CD10)&gt;0.05,N(AB10)&gt;0),ROUNDDOWN(ROUND(CE10,6),0)&amp;"%"&amp;IF(CU10="",""," / "&amp;CU10&amp;"%"),IF(AND(N(CD10)&gt;=99.95,CU10&lt;&gt;"",N(CU10)&lt;100),"Pend. "&amp;CU10&amp;"%",""))))</f>
        <v/>
      </c>
      <c r="AY10" s="40" t="str">
        <f aca="false">IF(OR(OR(NOT(AND(ISNUMBER(E10),ISNUMBER(F10))),$J$2=""),13&gt;MAX(1,Reprogramaciones!$U$15)),"",IF(Reprogramaciones!W$12&gt;=7,"",IF(OR(CF10-N(CE10)&gt;0.05,N(AC10)&gt;0),ROUNDDOWN(ROUND(CF10,6),0)&amp;"%"&amp;IF(CV10="",""," / "&amp;CV10&amp;"%"),IF(AND(N(CE10)&gt;=99.95,CV10&lt;&gt;"",N(CV10)&lt;100),"Pend. "&amp;CV10&amp;"%",""))))</f>
        <v/>
      </c>
      <c r="AZ10" s="40" t="str">
        <f aca="false">IF(OR(OR(NOT(AND(ISNUMBER(E10),ISNUMBER(F10))),$J$2=""),14&gt;MAX(1,Reprogramaciones!$U$15)),"",IF(Reprogramaciones!X$12&gt;=7,"",IF(OR(CG10-N(CF10)&gt;0.05,N(AD10)&gt;0),ROUNDDOWN(ROUND(CG10,6),0)&amp;"%"&amp;IF(CW10="",""," / "&amp;CW10&amp;"%"),IF(AND(N(CF10)&gt;=99.95,CW10&lt;&gt;"",N(CW10)&lt;100),"Pend. "&amp;CW10&amp;"%",""))))</f>
        <v/>
      </c>
      <c r="BA10" s="40" t="str">
        <f aca="false">IF(OR(OR(NOT(AND(ISNUMBER(E10),ISNUMBER(F10))),$J$2=""),15&gt;MAX(1,Reprogramaciones!$U$15)),"",IF(Reprogramaciones!Y$12&gt;=7,"",IF(OR(CH10-N(CG10)&gt;0.05,N(AE10)&gt;0),ROUNDDOWN(ROUND(CH10,6),0)&amp;"%"&amp;IF(CX10="",""," / "&amp;CX10&amp;"%"),IF(AND(N(CG10)&gt;=99.95,CX10&lt;&gt;"",N(CX10)&lt;100),"Pend. "&amp;CX10&amp;"%",""))))</f>
        <v/>
      </c>
      <c r="BB10" s="40" t="str">
        <f aca="false">IF(OR(OR(NOT(AND(ISNUMBER(E10),ISNUMBER(F10))),$J$2=""),16&gt;MAX(1,Reprogramaciones!$U$15)),"",IF(Reprogramaciones!Z$12&gt;=7,"",IF(OR(CI10-N(CH10)&gt;0.05,N(AF10)&gt;0),ROUNDDOWN(ROUND(CI10,6),0)&amp;"%"&amp;IF(CY10="",""," / "&amp;CY10&amp;"%"),IF(AND(N(CH10)&gt;=99.95,CY10&lt;&gt;"",N(CY10)&lt;100),"Pend. "&amp;CY10&amp;"%",""))))</f>
        <v/>
      </c>
      <c r="BC10" s="31" t="n">
        <f aca="false">IF(AND(ISNUMBER(E10),ISNUMBER(F10)),MAX(1,NETWORKDAYS.INTL(E10,F10,11)),0)</f>
        <v>0</v>
      </c>
      <c r="BD10" s="1" t="str">
        <f aca="false">IF(OR(NOT(AND(ISNUMBER(E10),ISNUMBER(F10))),$J$2=""),"",MIN(100,ROUND(SUM($G10:G10),1)))</f>
        <v/>
      </c>
      <c r="BE10" s="1" t="str">
        <f aca="false">IF(OR(NOT(AND(ISNUMBER(E10),ISNUMBER(F10))),$J$2=""),"",MIN(100,ROUND(SUM($G10:H10),1)))</f>
        <v/>
      </c>
      <c r="BF10" s="1" t="str">
        <f aca="false">IF(OR(NOT(AND(ISNUMBER(E10),ISNUMBER(F10))),$J$2=""),"",MIN(100,ROUND(SUM($G10:I10),1)))</f>
        <v/>
      </c>
      <c r="BG10" s="1" t="str">
        <f aca="false">IF(OR(NOT(AND(ISNUMBER(E10),ISNUMBER(F10))),$J$2=""),"",MIN(100,ROUND(SUM($G10:J10),1)))</f>
        <v/>
      </c>
      <c r="BH10" s="1" t="str">
        <f aca="false">IF(OR(NOT(AND(ISNUMBER(E10),ISNUMBER(F10))),$J$2=""),"",MIN(100,ROUND(SUM($G10:K10),1)))</f>
        <v/>
      </c>
      <c r="BI10" s="1" t="str">
        <f aca="false">IF(OR(NOT(AND(ISNUMBER(E10),ISNUMBER(F10))),$J$2=""),"",MIN(100,ROUND(SUM($G10:L10),1)))</f>
        <v/>
      </c>
      <c r="BJ10" s="1" t="str">
        <f aca="false">IF(OR(NOT(AND(ISNUMBER(E10),ISNUMBER(F10))),$J$2=""),"",MIN(100,ROUND(SUM($G10:M10),1)))</f>
        <v/>
      </c>
      <c r="BK10" s="1" t="str">
        <f aca="false">IF(OR(NOT(AND(ISNUMBER(E10),ISNUMBER(F10))),$J$2=""),"",MIN(100,ROUND(SUM($G10:N10),1)))</f>
        <v/>
      </c>
      <c r="BL10" s="1" t="str">
        <f aca="false">IF(OR(NOT(AND(ISNUMBER(E10),ISNUMBER(F10))),$J$2=""),"",MIN(100,ROUND(SUM($G10:O10),1)))</f>
        <v/>
      </c>
      <c r="BM10" s="1" t="str">
        <f aca="false">IF(OR(NOT(AND(ISNUMBER(E10),ISNUMBER(F10))),$J$2=""),"",MIN(100,ROUND(SUM($G10:P10),1)))</f>
        <v/>
      </c>
      <c r="BN10" s="1" t="str">
        <f aca="false">IF(OR(NOT(AND(ISNUMBER(E10),ISNUMBER(F10))),$J$2=""),"",MIN(100,ROUND(SUM($G10:P10),1)))</f>
        <v/>
      </c>
      <c r="BO10" s="1" t="str">
        <f aca="false">IF(OR(NOT(AND(ISNUMBER(E10),ISNUMBER(F10))),$J$2=""),"",MIN(100,ROUND(SUM($G10:P10),1)))</f>
        <v/>
      </c>
      <c r="BP10" s="1" t="str">
        <f aca="false">IF(OR(NOT(AND(ISNUMBER(E10),ISNUMBER(F10))),$J$2=""),"",MIN(100,ROUND(SUM($G10:P10),1)))</f>
        <v/>
      </c>
      <c r="BQ10" s="1" t="str">
        <f aca="false">IF(OR(NOT(AND(ISNUMBER(E10),ISNUMBER(F10))),$J$2=""),"",MIN(100,ROUND(SUM($G10:P10),1)))</f>
        <v/>
      </c>
      <c r="BR10" s="1" t="str">
        <f aca="false">IF(OR(NOT(AND(ISNUMBER(E10),ISNUMBER(F10))),$J$2=""),"",MIN(100,ROUND(SUM($G10:P10),1)))</f>
        <v/>
      </c>
      <c r="BS10" s="1" t="str">
        <f aca="false">IF(OR(NOT(AND(ISNUMBER(E10),ISNUMBER(F10))),$J$2=""),"",MIN(100,ROUND(SUM($G10:P10),1)))</f>
        <v/>
      </c>
      <c r="BT10" s="1" t="str">
        <f aca="false">IF(OR(NOT(AND(ISNUMBER(E10),ISNUMBER(F10))),$J$2=""),"",IF(Reprogramaciones!K$13&lt;Reprogramaciones!$T$15,0,IF(Reprogramaciones!K$14&gt;10,MIN(100,SUM($G10:$P10)),MIN(100,SUMPRODUCT((COLUMN($G10:$P10)-COLUMN($G10)+1&lt;Reprogramaciones!K$14)*$G10:$P10)+N(INDEX($G10:$P10,1,Reprogramaciones!K$14))*IF(Reprogramaciones!K$13&gt;=(Reprogramaciones!$T$15+7*(Reprogramaciones!K$14-1))+6,1,IF(MAX(0,NETWORKDAYS.INTL(MAX(E10,(Reprogramaciones!$T$15+7*(Reprogramaciones!K$14-1))),MIN(F10,(Reprogramaciones!$T$15+7*(Reprogramaciones!K$14-1))+6),11))=0,0,MAX(0,NETWORKDAYS.INTL(MAX(E10,(Reprogramaciones!$T$15+7*(Reprogramaciones!K$14-1))),MIN(F10,Reprogramaciones!K$13),11))/MAX(0,NETWORKDAYS.INTL(MAX(E10,(Reprogramaciones!$T$15+7*(Reprogramaciones!K$14-1))),MIN(F10,(Reprogramaciones!$T$15+7*(Reprogramaciones!K$14-1))+6),11))))))))</f>
        <v/>
      </c>
      <c r="BU10" s="1" t="str">
        <f aca="false">IF(OR(NOT(AND(ISNUMBER(E10),ISNUMBER(F10))),$J$2=""),"",IF(Reprogramaciones!L$13&lt;Reprogramaciones!$T$15,0,IF(Reprogramaciones!L$14&gt;10,MIN(100,SUM($G10:$P10)),MIN(100,SUMPRODUCT((COLUMN($G10:$P10)-COLUMN($G10)+1&lt;Reprogramaciones!L$14)*$G10:$P10)+N(INDEX($G10:$P10,1,Reprogramaciones!L$14))*IF(Reprogramaciones!L$13&gt;=(Reprogramaciones!$T$15+7*(Reprogramaciones!L$14-1))+6,1,IF(MAX(0,NETWORKDAYS.INTL(MAX(E10,(Reprogramaciones!$T$15+7*(Reprogramaciones!L$14-1))),MIN(F10,(Reprogramaciones!$T$15+7*(Reprogramaciones!L$14-1))+6),11))=0,0,MAX(0,NETWORKDAYS.INTL(MAX(E10,(Reprogramaciones!$T$15+7*(Reprogramaciones!L$14-1))),MIN(F10,Reprogramaciones!L$13),11))/MAX(0,NETWORKDAYS.INTL(MAX(E10,(Reprogramaciones!$T$15+7*(Reprogramaciones!L$14-1))),MIN(F10,(Reprogramaciones!$T$15+7*(Reprogramaciones!L$14-1))+6),11))))))))</f>
        <v/>
      </c>
      <c r="BV10" s="1" t="str">
        <f aca="false">IF(OR(NOT(AND(ISNUMBER(E10),ISNUMBER(F10))),$J$2=""),"",IF(Reprogramaciones!M$13&lt;Reprogramaciones!$T$15,0,IF(Reprogramaciones!M$14&gt;10,MIN(100,SUM($G10:$P10)),MIN(100,SUMPRODUCT((COLUMN($G10:$P10)-COLUMN($G10)+1&lt;Reprogramaciones!M$14)*$G10:$P10)+N(INDEX($G10:$P10,1,Reprogramaciones!M$14))*IF(Reprogramaciones!M$13&gt;=(Reprogramaciones!$T$15+7*(Reprogramaciones!M$14-1))+6,1,IF(MAX(0,NETWORKDAYS.INTL(MAX(E10,(Reprogramaciones!$T$15+7*(Reprogramaciones!M$14-1))),MIN(F10,(Reprogramaciones!$T$15+7*(Reprogramaciones!M$14-1))+6),11))=0,0,MAX(0,NETWORKDAYS.INTL(MAX(E10,(Reprogramaciones!$T$15+7*(Reprogramaciones!M$14-1))),MIN(F10,Reprogramaciones!M$13),11))/MAX(0,NETWORKDAYS.INTL(MAX(E10,(Reprogramaciones!$T$15+7*(Reprogramaciones!M$14-1))),MIN(F10,(Reprogramaciones!$T$15+7*(Reprogramaciones!M$14-1))+6),11))))))))</f>
        <v/>
      </c>
      <c r="BW10" s="1" t="str">
        <f aca="false">IF(OR(NOT(AND(ISNUMBER(E10),ISNUMBER(F10))),$J$2=""),"",IF(Reprogramaciones!N$13&lt;Reprogramaciones!$T$15,0,IF(Reprogramaciones!N$14&gt;10,MIN(100,SUM($G10:$P10)),MIN(100,SUMPRODUCT((COLUMN($G10:$P10)-COLUMN($G10)+1&lt;Reprogramaciones!N$14)*$G10:$P10)+N(INDEX($G10:$P10,1,Reprogramaciones!N$14))*IF(Reprogramaciones!N$13&gt;=(Reprogramaciones!$T$15+7*(Reprogramaciones!N$14-1))+6,1,IF(MAX(0,NETWORKDAYS.INTL(MAX(E10,(Reprogramaciones!$T$15+7*(Reprogramaciones!N$14-1))),MIN(F10,(Reprogramaciones!$T$15+7*(Reprogramaciones!N$14-1))+6),11))=0,0,MAX(0,NETWORKDAYS.INTL(MAX(E10,(Reprogramaciones!$T$15+7*(Reprogramaciones!N$14-1))),MIN(F10,Reprogramaciones!N$13),11))/MAX(0,NETWORKDAYS.INTL(MAX(E10,(Reprogramaciones!$T$15+7*(Reprogramaciones!N$14-1))),MIN(F10,(Reprogramaciones!$T$15+7*(Reprogramaciones!N$14-1))+6),11))))))))</f>
        <v/>
      </c>
      <c r="BX10" s="1" t="str">
        <f aca="false">IF(OR(NOT(AND(ISNUMBER(E10),ISNUMBER(F10))),$J$2=""),"",IF(Reprogramaciones!O$13&lt;Reprogramaciones!$T$15,0,IF(Reprogramaciones!O$14&gt;10,MIN(100,SUM($G10:$P10)),MIN(100,SUMPRODUCT((COLUMN($G10:$P10)-COLUMN($G10)+1&lt;Reprogramaciones!O$14)*$G10:$P10)+N(INDEX($G10:$P10,1,Reprogramaciones!O$14))*IF(Reprogramaciones!O$13&gt;=(Reprogramaciones!$T$15+7*(Reprogramaciones!O$14-1))+6,1,IF(MAX(0,NETWORKDAYS.INTL(MAX(E10,(Reprogramaciones!$T$15+7*(Reprogramaciones!O$14-1))),MIN(F10,(Reprogramaciones!$T$15+7*(Reprogramaciones!O$14-1))+6),11))=0,0,MAX(0,NETWORKDAYS.INTL(MAX(E10,(Reprogramaciones!$T$15+7*(Reprogramaciones!O$14-1))),MIN(F10,Reprogramaciones!O$13),11))/MAX(0,NETWORKDAYS.INTL(MAX(E10,(Reprogramaciones!$T$15+7*(Reprogramaciones!O$14-1))),MIN(F10,(Reprogramaciones!$T$15+7*(Reprogramaciones!O$14-1))+6),11))))))))</f>
        <v/>
      </c>
      <c r="BY10" s="1" t="str">
        <f aca="false">IF(OR(NOT(AND(ISNUMBER(E10),ISNUMBER(F10))),$J$2=""),"",IF(Reprogramaciones!P$13&lt;Reprogramaciones!$T$15,0,IF(Reprogramaciones!P$14&gt;10,MIN(100,SUM($G10:$P10)),MIN(100,SUMPRODUCT((COLUMN($G10:$P10)-COLUMN($G10)+1&lt;Reprogramaciones!P$14)*$G10:$P10)+N(INDEX($G10:$P10,1,Reprogramaciones!P$14))*IF(Reprogramaciones!P$13&gt;=(Reprogramaciones!$T$15+7*(Reprogramaciones!P$14-1))+6,1,IF(MAX(0,NETWORKDAYS.INTL(MAX(E10,(Reprogramaciones!$T$15+7*(Reprogramaciones!P$14-1))),MIN(F10,(Reprogramaciones!$T$15+7*(Reprogramaciones!P$14-1))+6),11))=0,0,MAX(0,NETWORKDAYS.INTL(MAX(E10,(Reprogramaciones!$T$15+7*(Reprogramaciones!P$14-1))),MIN(F10,Reprogramaciones!P$13),11))/MAX(0,NETWORKDAYS.INTL(MAX(E10,(Reprogramaciones!$T$15+7*(Reprogramaciones!P$14-1))),MIN(F10,(Reprogramaciones!$T$15+7*(Reprogramaciones!P$14-1))+6),11))))))))</f>
        <v/>
      </c>
      <c r="BZ10" s="1" t="str">
        <f aca="false">IF(OR(NOT(AND(ISNUMBER(E10),ISNUMBER(F10))),$J$2=""),"",IF(Reprogramaciones!Q$13&lt;Reprogramaciones!$T$15,0,IF(Reprogramaciones!Q$14&gt;10,MIN(100,SUM($G10:$P10)),MIN(100,SUMPRODUCT((COLUMN($G10:$P10)-COLUMN($G10)+1&lt;Reprogramaciones!Q$14)*$G10:$P10)+N(INDEX($G10:$P10,1,Reprogramaciones!Q$14))*IF(Reprogramaciones!Q$13&gt;=(Reprogramaciones!$T$15+7*(Reprogramaciones!Q$14-1))+6,1,IF(MAX(0,NETWORKDAYS.INTL(MAX(E10,(Reprogramaciones!$T$15+7*(Reprogramaciones!Q$14-1))),MIN(F10,(Reprogramaciones!$T$15+7*(Reprogramaciones!Q$14-1))+6),11))=0,0,MAX(0,NETWORKDAYS.INTL(MAX(E10,(Reprogramaciones!$T$15+7*(Reprogramaciones!Q$14-1))),MIN(F10,Reprogramaciones!Q$13),11))/MAX(0,NETWORKDAYS.INTL(MAX(E10,(Reprogramaciones!$T$15+7*(Reprogramaciones!Q$14-1))),MIN(F10,(Reprogramaciones!$T$15+7*(Reprogramaciones!Q$14-1))+6),11))))))))</f>
        <v/>
      </c>
      <c r="CA10" s="1" t="str">
        <f aca="false">IF(OR(NOT(AND(ISNUMBER(E10),ISNUMBER(F10))),$J$2=""),"",IF(Reprogramaciones!R$13&lt;Reprogramaciones!$T$15,0,IF(Reprogramaciones!R$14&gt;10,MIN(100,SUM($G10:$P10)),MIN(100,SUMPRODUCT((COLUMN($G10:$P10)-COLUMN($G10)+1&lt;Reprogramaciones!R$14)*$G10:$P10)+N(INDEX($G10:$P10,1,Reprogramaciones!R$14))*IF(Reprogramaciones!R$13&gt;=(Reprogramaciones!$T$15+7*(Reprogramaciones!R$14-1))+6,1,IF(MAX(0,NETWORKDAYS.INTL(MAX(E10,(Reprogramaciones!$T$15+7*(Reprogramaciones!R$14-1))),MIN(F10,(Reprogramaciones!$T$15+7*(Reprogramaciones!R$14-1))+6),11))=0,0,MAX(0,NETWORKDAYS.INTL(MAX(E10,(Reprogramaciones!$T$15+7*(Reprogramaciones!R$14-1))),MIN(F10,Reprogramaciones!R$13),11))/MAX(0,NETWORKDAYS.INTL(MAX(E10,(Reprogramaciones!$T$15+7*(Reprogramaciones!R$14-1))),MIN(F10,(Reprogramaciones!$T$15+7*(Reprogramaciones!R$14-1))+6),11))))))))</f>
        <v/>
      </c>
      <c r="CB10" s="1" t="str">
        <f aca="false">IF(OR(NOT(AND(ISNUMBER(E10),ISNUMBER(F10))),$J$2=""),"",IF(Reprogramaciones!S$13&lt;Reprogramaciones!$T$15,0,IF(Reprogramaciones!S$14&gt;10,MIN(100,SUM($G10:$P10)),MIN(100,SUMPRODUCT((COLUMN($G10:$P10)-COLUMN($G10)+1&lt;Reprogramaciones!S$14)*$G10:$P10)+N(INDEX($G10:$P10,1,Reprogramaciones!S$14))*IF(Reprogramaciones!S$13&gt;=(Reprogramaciones!$T$15+7*(Reprogramaciones!S$14-1))+6,1,IF(MAX(0,NETWORKDAYS.INTL(MAX(E10,(Reprogramaciones!$T$15+7*(Reprogramaciones!S$14-1))),MIN(F10,(Reprogramaciones!$T$15+7*(Reprogramaciones!S$14-1))+6),11))=0,0,MAX(0,NETWORKDAYS.INTL(MAX(E10,(Reprogramaciones!$T$15+7*(Reprogramaciones!S$14-1))),MIN(F10,Reprogramaciones!S$13),11))/MAX(0,NETWORKDAYS.INTL(MAX(E10,(Reprogramaciones!$T$15+7*(Reprogramaciones!S$14-1))),MIN(F10,(Reprogramaciones!$T$15+7*(Reprogramaciones!S$14-1))+6),11))))))))</f>
        <v/>
      </c>
      <c r="CC10" s="1" t="str">
        <f aca="false">IF(OR(NOT(AND(ISNUMBER(E10),ISNUMBER(F10))),$J$2=""),"",IF(Reprogramaciones!T$13&lt;Reprogramaciones!$T$15,0,IF(Reprogramaciones!T$14&gt;10,MIN(100,SUM($G10:$P10)),MIN(100,SUMPRODUCT((COLUMN($G10:$P10)-COLUMN($G10)+1&lt;Reprogramaciones!T$14)*$G10:$P10)+N(INDEX($G10:$P10,1,Reprogramaciones!T$14))*IF(Reprogramaciones!T$13&gt;=(Reprogramaciones!$T$15+7*(Reprogramaciones!T$14-1))+6,1,IF(MAX(0,NETWORKDAYS.INTL(MAX(E10,(Reprogramaciones!$T$15+7*(Reprogramaciones!T$14-1))),MIN(F10,(Reprogramaciones!$T$15+7*(Reprogramaciones!T$14-1))+6),11))=0,0,MAX(0,NETWORKDAYS.INTL(MAX(E10,(Reprogramaciones!$T$15+7*(Reprogramaciones!T$14-1))),MIN(F10,Reprogramaciones!T$13),11))/MAX(0,NETWORKDAYS.INTL(MAX(E10,(Reprogramaciones!$T$15+7*(Reprogramaciones!T$14-1))),MIN(F10,(Reprogramaciones!$T$15+7*(Reprogramaciones!T$14-1))+6),11))))))))</f>
        <v/>
      </c>
      <c r="CD10" s="1" t="str">
        <f aca="false">IF(OR(NOT(AND(ISNUMBER(E10),ISNUMBER(F10))),$J$2=""),"",IF(Reprogramaciones!U$13&lt;Reprogramaciones!$T$15,0,IF(Reprogramaciones!U$14&gt;10,MIN(100,SUM($G10:$P10)),MIN(100,SUMPRODUCT((COLUMN($G10:$P10)-COLUMN($G10)+1&lt;Reprogramaciones!U$14)*$G10:$P10)+N(INDEX($G10:$P10,1,Reprogramaciones!U$14))*IF(Reprogramaciones!U$13&gt;=(Reprogramaciones!$T$15+7*(Reprogramaciones!U$14-1))+6,1,IF(MAX(0,NETWORKDAYS.INTL(MAX(E10,(Reprogramaciones!$T$15+7*(Reprogramaciones!U$14-1))),MIN(F10,(Reprogramaciones!$T$15+7*(Reprogramaciones!U$14-1))+6),11))=0,0,MAX(0,NETWORKDAYS.INTL(MAX(E10,(Reprogramaciones!$T$15+7*(Reprogramaciones!U$14-1))),MIN(F10,Reprogramaciones!U$13),11))/MAX(0,NETWORKDAYS.INTL(MAX(E10,(Reprogramaciones!$T$15+7*(Reprogramaciones!U$14-1))),MIN(F10,(Reprogramaciones!$T$15+7*(Reprogramaciones!U$14-1))+6),11))))))))</f>
        <v/>
      </c>
      <c r="CE10" s="1" t="str">
        <f aca="false">IF(OR(NOT(AND(ISNUMBER(E10),ISNUMBER(F10))),$J$2=""),"",IF(Reprogramaciones!V$13&lt;Reprogramaciones!$T$15,0,IF(Reprogramaciones!V$14&gt;10,MIN(100,SUM($G10:$P10)),MIN(100,SUMPRODUCT((COLUMN($G10:$P10)-COLUMN($G10)+1&lt;Reprogramaciones!V$14)*$G10:$P10)+N(INDEX($G10:$P10,1,Reprogramaciones!V$14))*IF(Reprogramaciones!V$13&gt;=(Reprogramaciones!$T$15+7*(Reprogramaciones!V$14-1))+6,1,IF(MAX(0,NETWORKDAYS.INTL(MAX(E10,(Reprogramaciones!$T$15+7*(Reprogramaciones!V$14-1))),MIN(F10,(Reprogramaciones!$T$15+7*(Reprogramaciones!V$14-1))+6),11))=0,0,MAX(0,NETWORKDAYS.INTL(MAX(E10,(Reprogramaciones!$T$15+7*(Reprogramaciones!V$14-1))),MIN(F10,Reprogramaciones!V$13),11))/MAX(0,NETWORKDAYS.INTL(MAX(E10,(Reprogramaciones!$T$15+7*(Reprogramaciones!V$14-1))),MIN(F10,(Reprogramaciones!$T$15+7*(Reprogramaciones!V$14-1))+6),11))))))))</f>
        <v/>
      </c>
      <c r="CF10" s="1" t="str">
        <f aca="false">IF(OR(NOT(AND(ISNUMBER(E10),ISNUMBER(F10))),$J$2=""),"",IF(Reprogramaciones!W$13&lt;Reprogramaciones!$T$15,0,IF(Reprogramaciones!W$14&gt;10,MIN(100,SUM($G10:$P10)),MIN(100,SUMPRODUCT((COLUMN($G10:$P10)-COLUMN($G10)+1&lt;Reprogramaciones!W$14)*$G10:$P10)+N(INDEX($G10:$P10,1,Reprogramaciones!W$14))*IF(Reprogramaciones!W$13&gt;=(Reprogramaciones!$T$15+7*(Reprogramaciones!W$14-1))+6,1,IF(MAX(0,NETWORKDAYS.INTL(MAX(E10,(Reprogramaciones!$T$15+7*(Reprogramaciones!W$14-1))),MIN(F10,(Reprogramaciones!$T$15+7*(Reprogramaciones!W$14-1))+6),11))=0,0,MAX(0,NETWORKDAYS.INTL(MAX(E10,(Reprogramaciones!$T$15+7*(Reprogramaciones!W$14-1))),MIN(F10,Reprogramaciones!W$13),11))/MAX(0,NETWORKDAYS.INTL(MAX(E10,(Reprogramaciones!$T$15+7*(Reprogramaciones!W$14-1))),MIN(F10,(Reprogramaciones!$T$15+7*(Reprogramaciones!W$14-1))+6),11))))))))</f>
        <v/>
      </c>
      <c r="CG10" s="1" t="str">
        <f aca="false">IF(OR(NOT(AND(ISNUMBER(E10),ISNUMBER(F10))),$J$2=""),"",IF(Reprogramaciones!X$13&lt;Reprogramaciones!$T$15,0,IF(Reprogramaciones!X$14&gt;10,MIN(100,SUM($G10:$P10)),MIN(100,SUMPRODUCT((COLUMN($G10:$P10)-COLUMN($G10)+1&lt;Reprogramaciones!X$14)*$G10:$P10)+N(INDEX($G10:$P10,1,Reprogramaciones!X$14))*IF(Reprogramaciones!X$13&gt;=(Reprogramaciones!$T$15+7*(Reprogramaciones!X$14-1))+6,1,IF(MAX(0,NETWORKDAYS.INTL(MAX(E10,(Reprogramaciones!$T$15+7*(Reprogramaciones!X$14-1))),MIN(F10,(Reprogramaciones!$T$15+7*(Reprogramaciones!X$14-1))+6),11))=0,0,MAX(0,NETWORKDAYS.INTL(MAX(E10,(Reprogramaciones!$T$15+7*(Reprogramaciones!X$14-1))),MIN(F10,Reprogramaciones!X$13),11))/MAX(0,NETWORKDAYS.INTL(MAX(E10,(Reprogramaciones!$T$15+7*(Reprogramaciones!X$14-1))),MIN(F10,(Reprogramaciones!$T$15+7*(Reprogramaciones!X$14-1))+6),11))))))))</f>
        <v/>
      </c>
      <c r="CH10" s="1" t="str">
        <f aca="false">IF(OR(NOT(AND(ISNUMBER(E10),ISNUMBER(F10))),$J$2=""),"",IF(Reprogramaciones!Y$13&lt;Reprogramaciones!$T$15,0,IF(Reprogramaciones!Y$14&gt;10,MIN(100,SUM($G10:$P10)),MIN(100,SUMPRODUCT((COLUMN($G10:$P10)-COLUMN($G10)+1&lt;Reprogramaciones!Y$14)*$G10:$P10)+N(INDEX($G10:$P10,1,Reprogramaciones!Y$14))*IF(Reprogramaciones!Y$13&gt;=(Reprogramaciones!$T$15+7*(Reprogramaciones!Y$14-1))+6,1,IF(MAX(0,NETWORKDAYS.INTL(MAX(E10,(Reprogramaciones!$T$15+7*(Reprogramaciones!Y$14-1))),MIN(F10,(Reprogramaciones!$T$15+7*(Reprogramaciones!Y$14-1))+6),11))=0,0,MAX(0,NETWORKDAYS.INTL(MAX(E10,(Reprogramaciones!$T$15+7*(Reprogramaciones!Y$14-1))),MIN(F10,Reprogramaciones!Y$13),11))/MAX(0,NETWORKDAYS.INTL(MAX(E10,(Reprogramaciones!$T$15+7*(Reprogramaciones!Y$14-1))),MIN(F10,(Reprogramaciones!$T$15+7*(Reprogramaciones!Y$14-1))+6),11))))))))</f>
        <v/>
      </c>
      <c r="CI10" s="1" t="str">
        <f aca="false">IF(OR(NOT(AND(ISNUMBER(E10),ISNUMBER(F10))),$J$2=""),"",IF(Reprogramaciones!Z$13&lt;Reprogramaciones!$T$15,0,IF(Reprogramaciones!Z$14&gt;10,MIN(100,SUM($G10:$P10)),MIN(100,SUMPRODUCT((COLUMN($G10:$P10)-COLUMN($G10)+1&lt;Reprogramaciones!Z$14)*$G10:$P10)+N(INDEX($G10:$P10,1,Reprogramaciones!Z$14))*IF(Reprogramaciones!Z$13&gt;=(Reprogramaciones!$T$15+7*(Reprogramaciones!Z$14-1))+6,1,IF(MAX(0,NETWORKDAYS.INTL(MAX(E10,(Reprogramaciones!$T$15+7*(Reprogramaciones!Z$14-1))),MIN(F10,(Reprogramaciones!$T$15+7*(Reprogramaciones!Z$14-1))+6),11))=0,0,MAX(0,NETWORKDAYS.INTL(MAX(E10,(Reprogramaciones!$T$15+7*(Reprogramaciones!Z$14-1))),MIN(F10,Reprogramaciones!Z$13),11))/MAX(0,NETWORKDAYS.INTL(MAX(E10,(Reprogramaciones!$T$15+7*(Reprogramaciones!Z$14-1))),MIN(F10,(Reprogramaciones!$T$15+7*(Reprogramaciones!Z$14-1))+6),11))))))))</f>
        <v/>
      </c>
      <c r="CJ10" s="1" t="str">
        <f aca="false">IF(OR(OR(NOT(AND(ISNUMBER(E10),ISNUMBER(F10))),$J$2=""),1&gt;Reprogramaciones!$K$16),"",IF(ROUND(SUM($Q10:Q10),1)&gt;=99.5,100,MIN(100,ROUND(SUM($Q10:Q10),1))))</f>
        <v/>
      </c>
      <c r="CK10" s="1" t="str">
        <f aca="false">IF(OR(OR(NOT(AND(ISNUMBER(E10),ISNUMBER(F10))),$J$2=""),2&gt;Reprogramaciones!$K$16),"",IF(ROUND(SUM($Q10:R10),1)&gt;=99.5,100,MIN(100,ROUND(SUM($Q10:R10),1))))</f>
        <v/>
      </c>
      <c r="CL10" s="1" t="str">
        <f aca="false">IF(OR(OR(NOT(AND(ISNUMBER(E10),ISNUMBER(F10))),$J$2=""),3&gt;Reprogramaciones!$K$16),"",IF(ROUND(SUM($Q10:S10),1)&gt;=99.5,100,MIN(100,ROUND(SUM($Q10:S10),1))))</f>
        <v/>
      </c>
      <c r="CM10" s="1" t="str">
        <f aca="false">IF(OR(OR(NOT(AND(ISNUMBER(E10),ISNUMBER(F10))),$J$2=""),4&gt;Reprogramaciones!$K$16),"",IF(ROUND(SUM($Q10:T10),1)&gt;=99.5,100,MIN(100,ROUND(SUM($Q10:T10),1))))</f>
        <v/>
      </c>
      <c r="CN10" s="1" t="str">
        <f aca="false">IF(OR(OR(NOT(AND(ISNUMBER(E10),ISNUMBER(F10))),$J$2=""),5&gt;Reprogramaciones!$K$16),"",IF(ROUND(SUM($Q10:U10),1)&gt;=99.5,100,MIN(100,ROUND(SUM($Q10:U10),1))))</f>
        <v/>
      </c>
      <c r="CO10" s="1" t="str">
        <f aca="false">IF(OR(OR(NOT(AND(ISNUMBER(E10),ISNUMBER(F10))),$J$2=""),6&gt;Reprogramaciones!$K$16),"",IF(ROUND(SUM($Q10:V10),1)&gt;=99.5,100,MIN(100,ROUND(SUM($Q10:V10),1))))</f>
        <v/>
      </c>
      <c r="CP10" s="1" t="str">
        <f aca="false">IF(OR(OR(NOT(AND(ISNUMBER(E10),ISNUMBER(F10))),$J$2=""),7&gt;Reprogramaciones!$K$16),"",IF(ROUND(SUM($Q10:W10),1)&gt;=99.5,100,MIN(100,ROUND(SUM($Q10:W10),1))))</f>
        <v/>
      </c>
      <c r="CQ10" s="1" t="str">
        <f aca="false">IF(OR(OR(NOT(AND(ISNUMBER(E10),ISNUMBER(F10))),$J$2=""),8&gt;Reprogramaciones!$K$16),"",IF(ROUND(SUM($Q10:X10),1)&gt;=99.5,100,MIN(100,ROUND(SUM($Q10:X10),1))))</f>
        <v/>
      </c>
      <c r="CR10" s="1" t="str">
        <f aca="false">IF(OR(OR(NOT(AND(ISNUMBER(E10),ISNUMBER(F10))),$J$2=""),9&gt;Reprogramaciones!$K$16),"",IF(ROUND(SUM($Q10:Y10),1)&gt;=99.5,100,MIN(100,ROUND(SUM($Q10:Y10),1))))</f>
        <v/>
      </c>
      <c r="CS10" s="1" t="str">
        <f aca="false">IF(OR(OR(NOT(AND(ISNUMBER(E10),ISNUMBER(F10))),$J$2=""),10&gt;Reprogramaciones!$K$16),"",IF(ROUND(SUM($Q10:Z10),1)&gt;=99.5,100,MIN(100,ROUND(SUM($Q10:Z10),1))))</f>
        <v/>
      </c>
      <c r="CT10" s="1" t="str">
        <f aca="false">IF(OR(OR(NOT(AND(ISNUMBER(E10),ISNUMBER(F10))),$J$2=""),11&gt;Reprogramaciones!$K$16),"",IF(ROUND(SUM($Q10:AA10),1)&gt;=99.5,100,MIN(100,ROUND(SUM($Q10:AA10),1))))</f>
        <v/>
      </c>
      <c r="CU10" s="1" t="str">
        <f aca="false">IF(OR(OR(NOT(AND(ISNUMBER(E10),ISNUMBER(F10))),$J$2=""),12&gt;Reprogramaciones!$K$16),"",IF(ROUND(SUM($Q10:AB10),1)&gt;=99.5,100,MIN(100,ROUND(SUM($Q10:AB10),1))))</f>
        <v/>
      </c>
      <c r="CV10" s="1" t="str">
        <f aca="false">IF(OR(OR(NOT(AND(ISNUMBER(E10),ISNUMBER(F10))),$J$2=""),13&gt;Reprogramaciones!$K$16),"",IF(ROUND(SUM($Q10:AC10),1)&gt;=99.5,100,MIN(100,ROUND(SUM($Q10:AC10),1))))</f>
        <v/>
      </c>
      <c r="CW10" s="1" t="str">
        <f aca="false">IF(OR(OR(NOT(AND(ISNUMBER(E10),ISNUMBER(F10))),$J$2=""),14&gt;Reprogramaciones!$K$16),"",IF(ROUND(SUM($Q10:AD10),1)&gt;=99.5,100,MIN(100,ROUND(SUM($Q10:AD10),1))))</f>
        <v/>
      </c>
      <c r="CX10" s="1" t="str">
        <f aca="false">IF(OR(OR(NOT(AND(ISNUMBER(E10),ISNUMBER(F10))),$J$2=""),15&gt;Reprogramaciones!$K$16),"",IF(ROUND(SUM($Q10:AE10),1)&gt;=99.5,100,MIN(100,ROUND(SUM($Q10:AE10),1))))</f>
        <v/>
      </c>
      <c r="CY10" s="1" t="str">
        <f aca="false">IF(OR(OR(NOT(AND(ISNUMBER(E10),ISNUMBER(F10))),$J$2=""),16&gt;Reprogramaciones!$K$16),"",IF(ROUND(SUM($Q10:AF10),1)&gt;=99.5,100,MIN(100,ROUND(SUM($Q10:AF10),1))))</f>
        <v/>
      </c>
      <c r="CZ10" s="1" t="str">
        <f aca="false">IF(D10&lt;&gt;"",D10,IF(B10&lt;&gt;"","Contractual",CZ9))</f>
        <v>Contractual</v>
      </c>
      <c r="DA10" s="1" t="str">
        <f aca="false">IF(OR(NOT(AND(ISNUMBER(E10),ISNUMBER(F10))),$J$2=""),"",IF(Reprogramaciones!$Q$15&lt;Reprogramaciones!$T$15,0,IF(Reprogramaciones!$S$15&gt;10,MIN(100,SUM($G10:$P10)),MIN(100,SUMPRODUCT((COLUMN($G10:$P10)-COLUMN($G10)+1&lt;Reprogramaciones!$S$15)*$G10:$P10)+N(INDEX($G10:$P10,1,Reprogramaciones!$S$15))*IF(Reprogramaciones!$Q$15&gt;=(Reprogramaciones!$T$15+7*(Reprogramaciones!$S$15-1))+6,1,IF(MAX(0,NETWORKDAYS.INTL(MAX(E10,(Reprogramaciones!$T$15+7*(Reprogramaciones!$S$15-1))),MIN(F10,(Reprogramaciones!$T$15+7*(Reprogramaciones!$S$15-1))+6),11))=0,0,MAX(0,NETWORKDAYS.INTL(MAX(E10,(Reprogramaciones!$T$15+7*(Reprogramaciones!$S$15-1))),MIN(F10,Reprogramaciones!$Q$15),11))/MAX(0,NETWORKDAYS.INTL(MAX(E10,(Reprogramaciones!$T$15+7*(Reprogramaciones!$S$15-1))),MIN(F10,(Reprogramaciones!$T$15+7*(Reprogramaciones!$S$15-1))+6),11))))))))</f>
        <v/>
      </c>
    </row>
    <row r="11" customFormat="false" ht="15" hidden="false" customHeight="false" outlineLevel="0" collapsed="false">
      <c r="A11" s="32" t="s">
        <v>163</v>
      </c>
      <c r="B11" s="33"/>
      <c r="C11" s="33" t="s">
        <v>164</v>
      </c>
      <c r="D11" s="34"/>
      <c r="E11" s="35" t="n">
        <v>46289</v>
      </c>
      <c r="F11" s="35" t="n">
        <v>46291</v>
      </c>
      <c r="G11" s="36" t="n">
        <f aca="false">IF(OR(NOT(AND(ISNUMBER(E11),ISNUMBER(F11))),$J$2=""),"",IF(Reprogramaciones!K$9&lt;E11,0,IF(NETWORKDAYS.INTL(E11,F11,11)=0,IF(Reprogramaciones!K$9&gt;=F11,100,0),ROUND(NETWORKDAYS.INTL(E11,MIN(F11,Reprogramaciones!K$9),11)/NETWORKDAYS.INTL(E11,F11,11)*100,1)))-0)</f>
        <v>100</v>
      </c>
      <c r="H11" s="36" t="n">
        <f aca="false">IF(OR(NOT(AND(ISNUMBER(E11),ISNUMBER(F11))),$J$2=""),"",IF(Reprogramaciones!L$9&lt;E11,0,IF(NETWORKDAYS.INTL(E11,F11,11)=0,IF(Reprogramaciones!L$9&gt;=F11,100,0),ROUND(NETWORKDAYS.INTL(E11,MIN(F11,Reprogramaciones!L$9),11)/NETWORKDAYS.INTL(E11,F11,11)*100,1)))-IF(Reprogramaciones!K$9&lt;E11,0,IF(NETWORKDAYS.INTL(E11,F11,11)=0,IF(Reprogramaciones!K$9&gt;=F11,100,0),ROUND(NETWORKDAYS.INTL(E11,MIN(F11,Reprogramaciones!K$9),11)/NETWORKDAYS.INTL(E11,F11,11)*100,1))))</f>
        <v>0</v>
      </c>
      <c r="I11" s="36" t="n">
        <f aca="false">IF(OR(NOT(AND(ISNUMBER(E11),ISNUMBER(F11))),$J$2=""),"",IF(Reprogramaciones!M$9&lt;E11,0,IF(NETWORKDAYS.INTL(E11,F11,11)=0,IF(Reprogramaciones!M$9&gt;=F11,100,0),ROUND(NETWORKDAYS.INTL(E11,MIN(F11,Reprogramaciones!M$9),11)/NETWORKDAYS.INTL(E11,F11,11)*100,1)))-IF(Reprogramaciones!L$9&lt;E11,0,IF(NETWORKDAYS.INTL(E11,F11,11)=0,IF(Reprogramaciones!L$9&gt;=F11,100,0),ROUND(NETWORKDAYS.INTL(E11,MIN(F11,Reprogramaciones!L$9),11)/NETWORKDAYS.INTL(E11,F11,11)*100,1))))</f>
        <v>0</v>
      </c>
      <c r="J11" s="36" t="n">
        <f aca="false">IF(OR(NOT(AND(ISNUMBER(E11),ISNUMBER(F11))),$J$2=""),"",IF(Reprogramaciones!N$9&lt;E11,0,IF(NETWORKDAYS.INTL(E11,F11,11)=0,IF(Reprogramaciones!N$9&gt;=F11,100,0),ROUND(NETWORKDAYS.INTL(E11,MIN(F11,Reprogramaciones!N$9),11)/NETWORKDAYS.INTL(E11,F11,11)*100,1)))-IF(Reprogramaciones!M$9&lt;E11,0,IF(NETWORKDAYS.INTL(E11,F11,11)=0,IF(Reprogramaciones!M$9&gt;=F11,100,0),ROUND(NETWORKDAYS.INTL(E11,MIN(F11,Reprogramaciones!M$9),11)/NETWORKDAYS.INTL(E11,F11,11)*100,1))))</f>
        <v>0</v>
      </c>
      <c r="K11" s="36" t="n">
        <f aca="false">IF(OR(NOT(AND(ISNUMBER(E11),ISNUMBER(F11))),$J$2=""),"",IF(Reprogramaciones!O$9&lt;E11,0,IF(NETWORKDAYS.INTL(E11,F11,11)=0,IF(Reprogramaciones!O$9&gt;=F11,100,0),ROUND(NETWORKDAYS.INTL(E11,MIN(F11,Reprogramaciones!O$9),11)/NETWORKDAYS.INTL(E11,F11,11)*100,1)))-IF(Reprogramaciones!N$9&lt;E11,0,IF(NETWORKDAYS.INTL(E11,F11,11)=0,IF(Reprogramaciones!N$9&gt;=F11,100,0),ROUND(NETWORKDAYS.INTL(E11,MIN(F11,Reprogramaciones!N$9),11)/NETWORKDAYS.INTL(E11,F11,11)*100,1))))</f>
        <v>0</v>
      </c>
      <c r="L11" s="36" t="n">
        <f aca="false">IF(OR(NOT(AND(ISNUMBER(E11),ISNUMBER(F11))),$J$2=""),"",IF(Reprogramaciones!P$9&lt;E11,0,IF(NETWORKDAYS.INTL(E11,F11,11)=0,IF(Reprogramaciones!P$9&gt;=F11,100,0),ROUND(NETWORKDAYS.INTL(E11,MIN(F11,Reprogramaciones!P$9),11)/NETWORKDAYS.INTL(E11,F11,11)*100,1)))-IF(Reprogramaciones!O$9&lt;E11,0,IF(NETWORKDAYS.INTL(E11,F11,11)=0,IF(Reprogramaciones!O$9&gt;=F11,100,0),ROUND(NETWORKDAYS.INTL(E11,MIN(F11,Reprogramaciones!O$9),11)/NETWORKDAYS.INTL(E11,F11,11)*100,1))))</f>
        <v>0</v>
      </c>
      <c r="M11" s="36" t="n">
        <f aca="false">IF(OR(NOT(AND(ISNUMBER(E11),ISNUMBER(F11))),$J$2=""),"",IF(Reprogramaciones!Q$9&lt;E11,0,IF(NETWORKDAYS.INTL(E11,F11,11)=0,IF(Reprogramaciones!Q$9&gt;=F11,100,0),ROUND(NETWORKDAYS.INTL(E11,MIN(F11,Reprogramaciones!Q$9),11)/NETWORKDAYS.INTL(E11,F11,11)*100,1)))-IF(Reprogramaciones!P$9&lt;E11,0,IF(NETWORKDAYS.INTL(E11,F11,11)=0,IF(Reprogramaciones!P$9&gt;=F11,100,0),ROUND(NETWORKDAYS.INTL(E11,MIN(F11,Reprogramaciones!P$9),11)/NETWORKDAYS.INTL(E11,F11,11)*100,1))))</f>
        <v>0</v>
      </c>
      <c r="N11" s="36" t="n">
        <f aca="false">IF(OR(NOT(AND(ISNUMBER(E11),ISNUMBER(F11))),$J$2=""),"",IF(Reprogramaciones!R$9&lt;E11,0,IF(NETWORKDAYS.INTL(E11,F11,11)=0,IF(Reprogramaciones!R$9&gt;=F11,100,0),ROUND(NETWORKDAYS.INTL(E11,MIN(F11,Reprogramaciones!R$9),11)/NETWORKDAYS.INTL(E11,F11,11)*100,1)))-IF(Reprogramaciones!Q$9&lt;E11,0,IF(NETWORKDAYS.INTL(E11,F11,11)=0,IF(Reprogramaciones!Q$9&gt;=F11,100,0),ROUND(NETWORKDAYS.INTL(E11,MIN(F11,Reprogramaciones!Q$9),11)/NETWORKDAYS.INTL(E11,F11,11)*100,1))))</f>
        <v>0</v>
      </c>
      <c r="O11" s="36" t="n">
        <f aca="false">IF(OR(NOT(AND(ISNUMBER(E11),ISNUMBER(F11))),$J$2=""),"",IF(Reprogramaciones!S$9&lt;E11,0,IF(NETWORKDAYS.INTL(E11,F11,11)=0,IF(Reprogramaciones!S$9&gt;=F11,100,0),ROUND(NETWORKDAYS.INTL(E11,MIN(F11,Reprogramaciones!S$9),11)/NETWORKDAYS.INTL(E11,F11,11)*100,1)))-IF(Reprogramaciones!R$9&lt;E11,0,IF(NETWORKDAYS.INTL(E11,F11,11)=0,IF(Reprogramaciones!R$9&gt;=F11,100,0),ROUND(NETWORKDAYS.INTL(E11,MIN(F11,Reprogramaciones!R$9),11)/NETWORKDAYS.INTL(E11,F11,11)*100,1))))</f>
        <v>0</v>
      </c>
      <c r="P11" s="36" t="n">
        <f aca="false">IF(OR(NOT(AND(ISNUMBER(E11),ISNUMBER(F11))),$J$2=""),"",IF(Reprogramaciones!T$9&lt;E11,0,IF(NETWORKDAYS.INTL(E11,F11,11)=0,IF(Reprogramaciones!T$9&gt;=F11,100,0),ROUND(NETWORKDAYS.INTL(E11,MIN(F11,Reprogramaciones!T$9),11)/NETWORKDAYS.INTL(E11,F11,11)*100,1)))-IF(Reprogramaciones!S$9&lt;E11,0,IF(NETWORKDAYS.INTL(E11,F11,11)=0,IF(Reprogramaciones!S$9&gt;=F11,100,0),ROUND(NETWORKDAYS.INTL(E11,MIN(F11,Reprogramaciones!S$9),11)/NETWORKDAYS.INTL(E11,F11,11)*100,1))))</f>
        <v>0</v>
      </c>
      <c r="Q11" s="37" t="n">
        <v>100</v>
      </c>
      <c r="R11" s="37"/>
      <c r="S11" s="37"/>
      <c r="T11" s="37"/>
      <c r="U11" s="37"/>
      <c r="V11" s="37"/>
      <c r="W11" s="37"/>
      <c r="X11" s="37"/>
      <c r="Y11" s="37"/>
      <c r="Z11" s="37"/>
      <c r="AA11" s="37"/>
      <c r="AB11" s="37"/>
      <c r="AC11" s="37"/>
      <c r="AD11" s="37"/>
      <c r="AE11" s="37"/>
      <c r="AF11" s="37"/>
      <c r="AG11" s="38" t="n">
        <f aca="false">IF(AND(ISNUMBER(E11),ISNUMBER(F11)),NETWORKDAYS.INTL(E11,F11,11),"")</f>
        <v>3</v>
      </c>
      <c r="AH11" s="38" t="n">
        <f aca="false">IF(OR(NOT(AND(ISNUMBER(E11),ISNUMBER(F11))),$J$2=""),"",IF(Reprogramaciones!$P$15&lt;Reprogramaciones!$T$15,0,IF(Reprogramaciones!$R$15&gt;10,MIN(100,SUM($G11:$P11)),MIN(100,SUMPRODUCT((COLUMN($G11:$P11)-COLUMN($G11)+1&lt;Reprogramaciones!$R$15)*$G11:$P11)+N(INDEX($G11:$P11,1,Reprogramaciones!$R$15))*IF(Reprogramaciones!$P$15&gt;=(Reprogramaciones!$T$15+7*(Reprogramaciones!$R$15-1))+6,1,IF(MAX(0,NETWORKDAYS.INTL(MAX(E11,(Reprogramaciones!$T$15+7*(Reprogramaciones!$R$15-1))),MIN(F11,(Reprogramaciones!$T$15+7*(Reprogramaciones!$R$15-1))+6),11))=0,0,MAX(0,NETWORKDAYS.INTL(MAX(E11,(Reprogramaciones!$T$15+7*(Reprogramaciones!$R$15-1))),MIN(F11,Reprogramaciones!$P$15),11))/MAX(0,NETWORKDAYS.INTL(MAX(E11,(Reprogramaciones!$T$15+7*(Reprogramaciones!$R$15-1))),MIN(F11,(Reprogramaciones!$T$15+7*(Reprogramaciones!$R$15-1))+6),11))))))))</f>
        <v>100</v>
      </c>
      <c r="AI11" s="38" t="n">
        <f aca="false">IF(COUNT($Q11:$AF11)=0,"",IF(ROUND(SUM($Q11:$AF11),1)&gt;=99.5,100,MIN(100,ROUND(SUM($Q11:$AF11),1))))</f>
        <v>100</v>
      </c>
      <c r="AJ11" s="38" t="n">
        <f aca="false">IF(OR(AH11="",AI11=""),"",AI11-AH11)</f>
        <v>0</v>
      </c>
      <c r="AK11" s="39" t="str">
        <f aca="true">IF(AH11="","",IF(OR(Ficha!$C$10="Suspendida",Ficha!$C$10="Cancelada"),Ficha!$C$10,IF(AND(AI11&lt;&gt;"",N(AI11)&gt;=100),"Completada",IF(AND(E11&gt;TODAY(),N(AI11)=0),"Por iniciar",IF(N(AI11)+0.5&lt;AH11,"Retrasada",IF(N(AI11)+0.5&lt;DA11,IF(Reprogramaciones!$K$15&gt;0,"Al día · Sem "&amp;Reprogramaciones!$K$15&amp;" en curso","Al día · en curso"),"A tiempo"))))))</f>
        <v>Completada</v>
      </c>
      <c r="AL11" s="39" t="str">
        <f aca="true">IF(AND(A11="",AND(B11="",C11="",E11="",F11="",COUNT(Q11:AF11)=0)),"",IF(AND(B11="",C11="",E11="",F11="",COUNT(Q11:AF11)=0),"Falta la partida o subpartida",IF(AND(A11&lt;&gt;"",COUNTIF($A$6:$A$305,A11)&gt;1),"Ítem repetido",IF(AND(C11="",E11="",F11="",COUNT(Q11:AF11)=0),"Título de partida",IF(OR(E11="",F11=""),"Faltan fechas",IF(OR(ISTEXT(E11),ISTEXT(F11)),"Fecha escrita como texto: usa dd/mm/aaaa",IF(F11&lt;E11,"Fin antes del inicio",IF(IF($J$2="",FALSE(),OR(E11&lt;$J$2,F11&gt;Reprogramaciones!$T$15+69)),"Fuera de las 10 semanas",IF(ABS(SUM(G11:P11)-100)&gt;0.5,"La meta no suma 100%",IF(ROUND(SUM(Q11:AF11),1)&gt;100.5,"El avance pasa de 100%",IF(MIN(Q11:AF11)&lt;0,"Avance negativo",IF(COUNTA(Q11:AF11)&gt;COUNT(Q11:AF11),"Avance escrito como texto",IF(SUMPRODUCT((Q11:AF11&gt;0)*(Q11:AF11&lt;1))&gt;0,"Avance menor a 1: escribe 50, no 50%",IF(SUMPRODUCT(ISNUMBER(Q11:AF11)*(Reprogramaciones!$K$8:$Z$8&gt;TODAY()))&gt;0,"Avance en semana que aún no llega",IF(AND(N(Reprogramaciones!$E$21)&gt;0,F11&gt;Reprogramaciones!$E$21),"Pasa el fin de la obra: registra una reprogramación",IF(AND(N(Reprogramaciones!$E$21)&gt;0,SUMPRODUCT(ISNUMBER(Q11:AF11)*(Reprogramaciones!$K$8:$Z$8&gt;Reprogramaciones!$E$21))&gt;0),"Avance después del fin de la obra: registra una reprogramación por atraso","OK"))))))))))))))))</f>
        <v>OK</v>
      </c>
      <c r="AM11" s="40" t="str">
        <f aca="false">IF(OR(OR(NOT(AND(ISNUMBER(E11),ISNUMBER(F11))),$J$2=""),1&gt;MAX(1,Reprogramaciones!$U$15)),"",IF(Reprogramaciones!K$12&gt;=7,"",IF(OR(BT11-N(0)&gt;0.05,N(Q11)&gt;0),ROUNDDOWN(ROUND(BT11,6),0)&amp;"%"&amp;IF(CJ11="",""," / "&amp;CJ11&amp;"%"),IF(AND(N(0)&gt;=99.95,CJ11&lt;&gt;"",N(CJ11)&lt;100),"Pend. "&amp;CJ11&amp;"%",""))))</f>
        <v>100% / 100%</v>
      </c>
      <c r="AN11" s="40" t="str">
        <f aca="false">IF(OR(OR(NOT(AND(ISNUMBER(E11),ISNUMBER(F11))),$J$2=""),2&gt;MAX(1,Reprogramaciones!$U$15)),"",IF(Reprogramaciones!L$12&gt;=7,"",IF(OR(BU11-N(BT11)&gt;0.05,N(R11)&gt;0),ROUNDDOWN(ROUND(BU11,6),0)&amp;"%"&amp;IF(CK11="",""," / "&amp;CK11&amp;"%"),IF(AND(N(BT11)&gt;=99.95,CK11&lt;&gt;"",N(CK11)&lt;100),"Pend. "&amp;CK11&amp;"%",""))))</f>
        <v/>
      </c>
      <c r="AO11" s="40" t="str">
        <f aca="false">IF(OR(OR(NOT(AND(ISNUMBER(E11),ISNUMBER(F11))),$J$2=""),3&gt;MAX(1,Reprogramaciones!$U$15)),"",IF(Reprogramaciones!M$12&gt;=7,"",IF(OR(BV11-N(BU11)&gt;0.05,N(S11)&gt;0),ROUNDDOWN(ROUND(BV11,6),0)&amp;"%"&amp;IF(CL11="",""," / "&amp;CL11&amp;"%"),IF(AND(N(BU11)&gt;=99.95,CL11&lt;&gt;"",N(CL11)&lt;100),"Pend. "&amp;CL11&amp;"%",""))))</f>
        <v/>
      </c>
      <c r="AP11" s="40" t="str">
        <f aca="false">IF(OR(OR(NOT(AND(ISNUMBER(E11),ISNUMBER(F11))),$J$2=""),4&gt;MAX(1,Reprogramaciones!$U$15)),"",IF(Reprogramaciones!N$12&gt;=7,"",IF(OR(BW11-N(BV11)&gt;0.05,N(T11)&gt;0),ROUNDDOWN(ROUND(BW11,6),0)&amp;"%"&amp;IF(CM11="",""," / "&amp;CM11&amp;"%"),IF(AND(N(BV11)&gt;=99.95,CM11&lt;&gt;"",N(CM11)&lt;100),"Pend. "&amp;CM11&amp;"%",""))))</f>
        <v/>
      </c>
      <c r="AQ11" s="40" t="str">
        <f aca="false">IF(OR(OR(NOT(AND(ISNUMBER(E11),ISNUMBER(F11))),$J$2=""),5&gt;MAX(1,Reprogramaciones!$U$15)),"",IF(Reprogramaciones!O$12&gt;=7,"",IF(OR(BX11-N(BW11)&gt;0.05,N(U11)&gt;0),ROUNDDOWN(ROUND(BX11,6),0)&amp;"%"&amp;IF(CN11="",""," / "&amp;CN11&amp;"%"),IF(AND(N(BW11)&gt;=99.95,CN11&lt;&gt;"",N(CN11)&lt;100),"Pend. "&amp;CN11&amp;"%",""))))</f>
        <v/>
      </c>
      <c r="AR11" s="40" t="str">
        <f aca="false">IF(OR(OR(NOT(AND(ISNUMBER(E11),ISNUMBER(F11))),$J$2=""),6&gt;MAX(1,Reprogramaciones!$U$15)),"",IF(Reprogramaciones!P$12&gt;=7,"",IF(OR(BY11-N(BX11)&gt;0.05,N(V11)&gt;0),ROUNDDOWN(ROUND(BY11,6),0)&amp;"%"&amp;IF(CO11="",""," / "&amp;CO11&amp;"%"),IF(AND(N(BX11)&gt;=99.95,CO11&lt;&gt;"",N(CO11)&lt;100),"Pend. "&amp;CO11&amp;"%",""))))</f>
        <v/>
      </c>
      <c r="AS11" s="40" t="str">
        <f aca="false">IF(OR(OR(NOT(AND(ISNUMBER(E11),ISNUMBER(F11))),$J$2=""),7&gt;MAX(1,Reprogramaciones!$U$15)),"",IF(Reprogramaciones!Q$12&gt;=7,"",IF(OR(BZ11-N(BY11)&gt;0.05,N(W11)&gt;0),ROUNDDOWN(ROUND(BZ11,6),0)&amp;"%"&amp;IF(CP11="",""," / "&amp;CP11&amp;"%"),IF(AND(N(BY11)&gt;=99.95,CP11&lt;&gt;"",N(CP11)&lt;100),"Pend. "&amp;CP11&amp;"%",""))))</f>
        <v/>
      </c>
      <c r="AT11" s="40" t="str">
        <f aca="false">IF(OR(OR(NOT(AND(ISNUMBER(E11),ISNUMBER(F11))),$J$2=""),8&gt;MAX(1,Reprogramaciones!$U$15)),"",IF(Reprogramaciones!R$12&gt;=7,"",IF(OR(CA11-N(BZ11)&gt;0.05,N(X11)&gt;0),ROUNDDOWN(ROUND(CA11,6),0)&amp;"%"&amp;IF(CQ11="",""," / "&amp;CQ11&amp;"%"),IF(AND(N(BZ11)&gt;=99.95,CQ11&lt;&gt;"",N(CQ11)&lt;100),"Pend. "&amp;CQ11&amp;"%",""))))</f>
        <v/>
      </c>
      <c r="AU11" s="40" t="str">
        <f aca="false">IF(OR(OR(NOT(AND(ISNUMBER(E11),ISNUMBER(F11))),$J$2=""),9&gt;MAX(1,Reprogramaciones!$U$15)),"",IF(Reprogramaciones!S$12&gt;=7,"",IF(OR(CB11-N(CA11)&gt;0.05,N(Y11)&gt;0),ROUNDDOWN(ROUND(CB11,6),0)&amp;"%"&amp;IF(CR11="",""," / "&amp;CR11&amp;"%"),IF(AND(N(CA11)&gt;=99.95,CR11&lt;&gt;"",N(CR11)&lt;100),"Pend. "&amp;CR11&amp;"%",""))))</f>
        <v/>
      </c>
      <c r="AV11" s="40" t="str">
        <f aca="false">IF(OR(OR(NOT(AND(ISNUMBER(E11),ISNUMBER(F11))),$J$2=""),10&gt;MAX(1,Reprogramaciones!$U$15)),"",IF(Reprogramaciones!T$12&gt;=7,"",IF(OR(CC11-N(CB11)&gt;0.05,N(Z11)&gt;0),ROUNDDOWN(ROUND(CC11,6),0)&amp;"%"&amp;IF(CS11="",""," / "&amp;CS11&amp;"%"),IF(AND(N(CB11)&gt;=99.95,CS11&lt;&gt;"",N(CS11)&lt;100),"Pend. "&amp;CS11&amp;"%",""))))</f>
        <v/>
      </c>
      <c r="AW11" s="40" t="str">
        <f aca="false">IF(OR(OR(NOT(AND(ISNUMBER(E11),ISNUMBER(F11))),$J$2=""),11&gt;MAX(1,Reprogramaciones!$U$15)),"",IF(Reprogramaciones!U$12&gt;=7,"",IF(OR(CD11-N(CC11)&gt;0.05,N(AA11)&gt;0),ROUNDDOWN(ROUND(CD11,6),0)&amp;"%"&amp;IF(CT11="",""," / "&amp;CT11&amp;"%"),IF(AND(N(CC11)&gt;=99.95,CT11&lt;&gt;"",N(CT11)&lt;100),"Pend. "&amp;CT11&amp;"%",""))))</f>
        <v/>
      </c>
      <c r="AX11" s="40" t="str">
        <f aca="false">IF(OR(OR(NOT(AND(ISNUMBER(E11),ISNUMBER(F11))),$J$2=""),12&gt;MAX(1,Reprogramaciones!$U$15)),"",IF(Reprogramaciones!V$12&gt;=7,"",IF(OR(CE11-N(CD11)&gt;0.05,N(AB11)&gt;0),ROUNDDOWN(ROUND(CE11,6),0)&amp;"%"&amp;IF(CU11="",""," / "&amp;CU11&amp;"%"),IF(AND(N(CD11)&gt;=99.95,CU11&lt;&gt;"",N(CU11)&lt;100),"Pend. "&amp;CU11&amp;"%",""))))</f>
        <v/>
      </c>
      <c r="AY11" s="40" t="str">
        <f aca="false">IF(OR(OR(NOT(AND(ISNUMBER(E11),ISNUMBER(F11))),$J$2=""),13&gt;MAX(1,Reprogramaciones!$U$15)),"",IF(Reprogramaciones!W$12&gt;=7,"",IF(OR(CF11-N(CE11)&gt;0.05,N(AC11)&gt;0),ROUNDDOWN(ROUND(CF11,6),0)&amp;"%"&amp;IF(CV11="",""," / "&amp;CV11&amp;"%"),IF(AND(N(CE11)&gt;=99.95,CV11&lt;&gt;"",N(CV11)&lt;100),"Pend. "&amp;CV11&amp;"%",""))))</f>
        <v/>
      </c>
      <c r="AZ11" s="40" t="str">
        <f aca="false">IF(OR(OR(NOT(AND(ISNUMBER(E11),ISNUMBER(F11))),$J$2=""),14&gt;MAX(1,Reprogramaciones!$U$15)),"",IF(Reprogramaciones!X$12&gt;=7,"",IF(OR(CG11-N(CF11)&gt;0.05,N(AD11)&gt;0),ROUNDDOWN(ROUND(CG11,6),0)&amp;"%"&amp;IF(CW11="",""," / "&amp;CW11&amp;"%"),IF(AND(N(CF11)&gt;=99.95,CW11&lt;&gt;"",N(CW11)&lt;100),"Pend. "&amp;CW11&amp;"%",""))))</f>
        <v/>
      </c>
      <c r="BA11" s="40" t="str">
        <f aca="false">IF(OR(OR(NOT(AND(ISNUMBER(E11),ISNUMBER(F11))),$J$2=""),15&gt;MAX(1,Reprogramaciones!$U$15)),"",IF(Reprogramaciones!Y$12&gt;=7,"",IF(OR(CH11-N(CG11)&gt;0.05,N(AE11)&gt;0),ROUNDDOWN(ROUND(CH11,6),0)&amp;"%"&amp;IF(CX11="",""," / "&amp;CX11&amp;"%"),IF(AND(N(CG11)&gt;=99.95,CX11&lt;&gt;"",N(CX11)&lt;100),"Pend. "&amp;CX11&amp;"%",""))))</f>
        <v/>
      </c>
      <c r="BB11" s="40" t="str">
        <f aca="false">IF(OR(OR(NOT(AND(ISNUMBER(E11),ISNUMBER(F11))),$J$2=""),16&gt;MAX(1,Reprogramaciones!$U$15)),"",IF(Reprogramaciones!Z$12&gt;=7,"",IF(OR(CI11-N(CH11)&gt;0.05,N(AF11)&gt;0),ROUNDDOWN(ROUND(CI11,6),0)&amp;"%"&amp;IF(CY11="",""," / "&amp;CY11&amp;"%"),IF(AND(N(CH11)&gt;=99.95,CY11&lt;&gt;"",N(CY11)&lt;100),"Pend. "&amp;CY11&amp;"%",""))))</f>
        <v/>
      </c>
      <c r="BC11" s="31" t="n">
        <f aca="false">IF(AND(ISNUMBER(E11),ISNUMBER(F11)),MAX(1,NETWORKDAYS.INTL(E11,F11,11)),0)</f>
        <v>3</v>
      </c>
      <c r="BD11" s="1" t="n">
        <f aca="false">IF(OR(NOT(AND(ISNUMBER(E11),ISNUMBER(F11))),$J$2=""),"",MIN(100,ROUND(SUM($G11:G11),1)))</f>
        <v>100</v>
      </c>
      <c r="BE11" s="1" t="n">
        <f aca="false">IF(OR(NOT(AND(ISNUMBER(E11),ISNUMBER(F11))),$J$2=""),"",MIN(100,ROUND(SUM($G11:H11),1)))</f>
        <v>100</v>
      </c>
      <c r="BF11" s="1" t="n">
        <f aca="false">IF(OR(NOT(AND(ISNUMBER(E11),ISNUMBER(F11))),$J$2=""),"",MIN(100,ROUND(SUM($G11:I11),1)))</f>
        <v>100</v>
      </c>
      <c r="BG11" s="1" t="n">
        <f aca="false">IF(OR(NOT(AND(ISNUMBER(E11),ISNUMBER(F11))),$J$2=""),"",MIN(100,ROUND(SUM($G11:J11),1)))</f>
        <v>100</v>
      </c>
      <c r="BH11" s="1" t="n">
        <f aca="false">IF(OR(NOT(AND(ISNUMBER(E11),ISNUMBER(F11))),$J$2=""),"",MIN(100,ROUND(SUM($G11:K11),1)))</f>
        <v>100</v>
      </c>
      <c r="BI11" s="1" t="n">
        <f aca="false">IF(OR(NOT(AND(ISNUMBER(E11),ISNUMBER(F11))),$J$2=""),"",MIN(100,ROUND(SUM($G11:L11),1)))</f>
        <v>100</v>
      </c>
      <c r="BJ11" s="1" t="n">
        <f aca="false">IF(OR(NOT(AND(ISNUMBER(E11),ISNUMBER(F11))),$J$2=""),"",MIN(100,ROUND(SUM($G11:M11),1)))</f>
        <v>100</v>
      </c>
      <c r="BK11" s="1" t="n">
        <f aca="false">IF(OR(NOT(AND(ISNUMBER(E11),ISNUMBER(F11))),$J$2=""),"",MIN(100,ROUND(SUM($G11:N11),1)))</f>
        <v>100</v>
      </c>
      <c r="BL11" s="1" t="n">
        <f aca="false">IF(OR(NOT(AND(ISNUMBER(E11),ISNUMBER(F11))),$J$2=""),"",MIN(100,ROUND(SUM($G11:O11),1)))</f>
        <v>100</v>
      </c>
      <c r="BM11" s="1" t="n">
        <f aca="false">IF(OR(NOT(AND(ISNUMBER(E11),ISNUMBER(F11))),$J$2=""),"",MIN(100,ROUND(SUM($G11:P11),1)))</f>
        <v>100</v>
      </c>
      <c r="BN11" s="1" t="n">
        <f aca="false">IF(OR(NOT(AND(ISNUMBER(E11),ISNUMBER(F11))),$J$2=""),"",MIN(100,ROUND(SUM($G11:P11),1)))</f>
        <v>100</v>
      </c>
      <c r="BO11" s="1" t="n">
        <f aca="false">IF(OR(NOT(AND(ISNUMBER(E11),ISNUMBER(F11))),$J$2=""),"",MIN(100,ROUND(SUM($G11:P11),1)))</f>
        <v>100</v>
      </c>
      <c r="BP11" s="1" t="n">
        <f aca="false">IF(OR(NOT(AND(ISNUMBER(E11),ISNUMBER(F11))),$J$2=""),"",MIN(100,ROUND(SUM($G11:P11),1)))</f>
        <v>100</v>
      </c>
      <c r="BQ11" s="1" t="n">
        <f aca="false">IF(OR(NOT(AND(ISNUMBER(E11),ISNUMBER(F11))),$J$2=""),"",MIN(100,ROUND(SUM($G11:P11),1)))</f>
        <v>100</v>
      </c>
      <c r="BR11" s="1" t="n">
        <f aca="false">IF(OR(NOT(AND(ISNUMBER(E11),ISNUMBER(F11))),$J$2=""),"",MIN(100,ROUND(SUM($G11:P11),1)))</f>
        <v>100</v>
      </c>
      <c r="BS11" s="1" t="n">
        <f aca="false">IF(OR(NOT(AND(ISNUMBER(E11),ISNUMBER(F11))),$J$2=""),"",MIN(100,ROUND(SUM($G11:P11),1)))</f>
        <v>100</v>
      </c>
      <c r="BT11" s="1" t="n">
        <f aca="false">IF(OR(NOT(AND(ISNUMBER(E11),ISNUMBER(F11))),$J$2=""),"",IF(Reprogramaciones!K$13&lt;Reprogramaciones!$T$15,0,IF(Reprogramaciones!K$14&gt;10,MIN(100,SUM($G11:$P11)),MIN(100,SUMPRODUCT((COLUMN($G11:$P11)-COLUMN($G11)+1&lt;Reprogramaciones!K$14)*$G11:$P11)+N(INDEX($G11:$P11,1,Reprogramaciones!K$14))*IF(Reprogramaciones!K$13&gt;=(Reprogramaciones!$T$15+7*(Reprogramaciones!K$14-1))+6,1,IF(MAX(0,NETWORKDAYS.INTL(MAX(E11,(Reprogramaciones!$T$15+7*(Reprogramaciones!K$14-1))),MIN(F11,(Reprogramaciones!$T$15+7*(Reprogramaciones!K$14-1))+6),11))=0,0,MAX(0,NETWORKDAYS.INTL(MAX(E11,(Reprogramaciones!$T$15+7*(Reprogramaciones!K$14-1))),MIN(F11,Reprogramaciones!K$13),11))/MAX(0,NETWORKDAYS.INTL(MAX(E11,(Reprogramaciones!$T$15+7*(Reprogramaciones!K$14-1))),MIN(F11,(Reprogramaciones!$T$15+7*(Reprogramaciones!K$14-1))+6),11))))))))</f>
        <v>100</v>
      </c>
      <c r="BU11" s="1" t="n">
        <f aca="false">IF(OR(NOT(AND(ISNUMBER(E11),ISNUMBER(F11))),$J$2=""),"",IF(Reprogramaciones!L$13&lt;Reprogramaciones!$T$15,0,IF(Reprogramaciones!L$14&gt;10,MIN(100,SUM($G11:$P11)),MIN(100,SUMPRODUCT((COLUMN($G11:$P11)-COLUMN($G11)+1&lt;Reprogramaciones!L$14)*$G11:$P11)+N(INDEX($G11:$P11,1,Reprogramaciones!L$14))*IF(Reprogramaciones!L$13&gt;=(Reprogramaciones!$T$15+7*(Reprogramaciones!L$14-1))+6,1,IF(MAX(0,NETWORKDAYS.INTL(MAX(E11,(Reprogramaciones!$T$15+7*(Reprogramaciones!L$14-1))),MIN(F11,(Reprogramaciones!$T$15+7*(Reprogramaciones!L$14-1))+6),11))=0,0,MAX(0,NETWORKDAYS.INTL(MAX(E11,(Reprogramaciones!$T$15+7*(Reprogramaciones!L$14-1))),MIN(F11,Reprogramaciones!L$13),11))/MAX(0,NETWORKDAYS.INTL(MAX(E11,(Reprogramaciones!$T$15+7*(Reprogramaciones!L$14-1))),MIN(F11,(Reprogramaciones!$T$15+7*(Reprogramaciones!L$14-1))+6),11))))))))</f>
        <v>100</v>
      </c>
      <c r="BV11" s="1" t="n">
        <f aca="false">IF(OR(NOT(AND(ISNUMBER(E11),ISNUMBER(F11))),$J$2=""),"",IF(Reprogramaciones!M$13&lt;Reprogramaciones!$T$15,0,IF(Reprogramaciones!M$14&gt;10,MIN(100,SUM($G11:$P11)),MIN(100,SUMPRODUCT((COLUMN($G11:$P11)-COLUMN($G11)+1&lt;Reprogramaciones!M$14)*$G11:$P11)+N(INDEX($G11:$P11,1,Reprogramaciones!M$14))*IF(Reprogramaciones!M$13&gt;=(Reprogramaciones!$T$15+7*(Reprogramaciones!M$14-1))+6,1,IF(MAX(0,NETWORKDAYS.INTL(MAX(E11,(Reprogramaciones!$T$15+7*(Reprogramaciones!M$14-1))),MIN(F11,(Reprogramaciones!$T$15+7*(Reprogramaciones!M$14-1))+6),11))=0,0,MAX(0,NETWORKDAYS.INTL(MAX(E11,(Reprogramaciones!$T$15+7*(Reprogramaciones!M$14-1))),MIN(F11,Reprogramaciones!M$13),11))/MAX(0,NETWORKDAYS.INTL(MAX(E11,(Reprogramaciones!$T$15+7*(Reprogramaciones!M$14-1))),MIN(F11,(Reprogramaciones!$T$15+7*(Reprogramaciones!M$14-1))+6),11))))))))</f>
        <v>100</v>
      </c>
      <c r="BW11" s="1" t="n">
        <f aca="false">IF(OR(NOT(AND(ISNUMBER(E11),ISNUMBER(F11))),$J$2=""),"",IF(Reprogramaciones!N$13&lt;Reprogramaciones!$T$15,0,IF(Reprogramaciones!N$14&gt;10,MIN(100,SUM($G11:$P11)),MIN(100,SUMPRODUCT((COLUMN($G11:$P11)-COLUMN($G11)+1&lt;Reprogramaciones!N$14)*$G11:$P11)+N(INDEX($G11:$P11,1,Reprogramaciones!N$14))*IF(Reprogramaciones!N$13&gt;=(Reprogramaciones!$T$15+7*(Reprogramaciones!N$14-1))+6,1,IF(MAX(0,NETWORKDAYS.INTL(MAX(E11,(Reprogramaciones!$T$15+7*(Reprogramaciones!N$14-1))),MIN(F11,(Reprogramaciones!$T$15+7*(Reprogramaciones!N$14-1))+6),11))=0,0,MAX(0,NETWORKDAYS.INTL(MAX(E11,(Reprogramaciones!$T$15+7*(Reprogramaciones!N$14-1))),MIN(F11,Reprogramaciones!N$13),11))/MAX(0,NETWORKDAYS.INTL(MAX(E11,(Reprogramaciones!$T$15+7*(Reprogramaciones!N$14-1))),MIN(F11,(Reprogramaciones!$T$15+7*(Reprogramaciones!N$14-1))+6),11))))))))</f>
        <v>100</v>
      </c>
      <c r="BX11" s="1" t="n">
        <f aca="false">IF(OR(NOT(AND(ISNUMBER(E11),ISNUMBER(F11))),$J$2=""),"",IF(Reprogramaciones!O$13&lt;Reprogramaciones!$T$15,0,IF(Reprogramaciones!O$14&gt;10,MIN(100,SUM($G11:$P11)),MIN(100,SUMPRODUCT((COLUMN($G11:$P11)-COLUMN($G11)+1&lt;Reprogramaciones!O$14)*$G11:$P11)+N(INDEX($G11:$P11,1,Reprogramaciones!O$14))*IF(Reprogramaciones!O$13&gt;=(Reprogramaciones!$T$15+7*(Reprogramaciones!O$14-1))+6,1,IF(MAX(0,NETWORKDAYS.INTL(MAX(E11,(Reprogramaciones!$T$15+7*(Reprogramaciones!O$14-1))),MIN(F11,(Reprogramaciones!$T$15+7*(Reprogramaciones!O$14-1))+6),11))=0,0,MAX(0,NETWORKDAYS.INTL(MAX(E11,(Reprogramaciones!$T$15+7*(Reprogramaciones!O$14-1))),MIN(F11,Reprogramaciones!O$13),11))/MAX(0,NETWORKDAYS.INTL(MAX(E11,(Reprogramaciones!$T$15+7*(Reprogramaciones!O$14-1))),MIN(F11,(Reprogramaciones!$T$15+7*(Reprogramaciones!O$14-1))+6),11))))))))</f>
        <v>100</v>
      </c>
      <c r="BY11" s="1" t="n">
        <f aca="false">IF(OR(NOT(AND(ISNUMBER(E11),ISNUMBER(F11))),$J$2=""),"",IF(Reprogramaciones!P$13&lt;Reprogramaciones!$T$15,0,IF(Reprogramaciones!P$14&gt;10,MIN(100,SUM($G11:$P11)),MIN(100,SUMPRODUCT((COLUMN($G11:$P11)-COLUMN($G11)+1&lt;Reprogramaciones!P$14)*$G11:$P11)+N(INDEX($G11:$P11,1,Reprogramaciones!P$14))*IF(Reprogramaciones!P$13&gt;=(Reprogramaciones!$T$15+7*(Reprogramaciones!P$14-1))+6,1,IF(MAX(0,NETWORKDAYS.INTL(MAX(E11,(Reprogramaciones!$T$15+7*(Reprogramaciones!P$14-1))),MIN(F11,(Reprogramaciones!$T$15+7*(Reprogramaciones!P$14-1))+6),11))=0,0,MAX(0,NETWORKDAYS.INTL(MAX(E11,(Reprogramaciones!$T$15+7*(Reprogramaciones!P$14-1))),MIN(F11,Reprogramaciones!P$13),11))/MAX(0,NETWORKDAYS.INTL(MAX(E11,(Reprogramaciones!$T$15+7*(Reprogramaciones!P$14-1))),MIN(F11,(Reprogramaciones!$T$15+7*(Reprogramaciones!P$14-1))+6),11))))))))</f>
        <v>100</v>
      </c>
      <c r="BZ11" s="1" t="n">
        <f aca="false">IF(OR(NOT(AND(ISNUMBER(E11),ISNUMBER(F11))),$J$2=""),"",IF(Reprogramaciones!Q$13&lt;Reprogramaciones!$T$15,0,IF(Reprogramaciones!Q$14&gt;10,MIN(100,SUM($G11:$P11)),MIN(100,SUMPRODUCT((COLUMN($G11:$P11)-COLUMN($G11)+1&lt;Reprogramaciones!Q$14)*$G11:$P11)+N(INDEX($G11:$P11,1,Reprogramaciones!Q$14))*IF(Reprogramaciones!Q$13&gt;=(Reprogramaciones!$T$15+7*(Reprogramaciones!Q$14-1))+6,1,IF(MAX(0,NETWORKDAYS.INTL(MAX(E11,(Reprogramaciones!$T$15+7*(Reprogramaciones!Q$14-1))),MIN(F11,(Reprogramaciones!$T$15+7*(Reprogramaciones!Q$14-1))+6),11))=0,0,MAX(0,NETWORKDAYS.INTL(MAX(E11,(Reprogramaciones!$T$15+7*(Reprogramaciones!Q$14-1))),MIN(F11,Reprogramaciones!Q$13),11))/MAX(0,NETWORKDAYS.INTL(MAX(E11,(Reprogramaciones!$T$15+7*(Reprogramaciones!Q$14-1))),MIN(F11,(Reprogramaciones!$T$15+7*(Reprogramaciones!Q$14-1))+6),11))))))))</f>
        <v>100</v>
      </c>
      <c r="CA11" s="1" t="n">
        <f aca="false">IF(OR(NOT(AND(ISNUMBER(E11),ISNUMBER(F11))),$J$2=""),"",IF(Reprogramaciones!R$13&lt;Reprogramaciones!$T$15,0,IF(Reprogramaciones!R$14&gt;10,MIN(100,SUM($G11:$P11)),MIN(100,SUMPRODUCT((COLUMN($G11:$P11)-COLUMN($G11)+1&lt;Reprogramaciones!R$14)*$G11:$P11)+N(INDEX($G11:$P11,1,Reprogramaciones!R$14))*IF(Reprogramaciones!R$13&gt;=(Reprogramaciones!$T$15+7*(Reprogramaciones!R$14-1))+6,1,IF(MAX(0,NETWORKDAYS.INTL(MAX(E11,(Reprogramaciones!$T$15+7*(Reprogramaciones!R$14-1))),MIN(F11,(Reprogramaciones!$T$15+7*(Reprogramaciones!R$14-1))+6),11))=0,0,MAX(0,NETWORKDAYS.INTL(MAX(E11,(Reprogramaciones!$T$15+7*(Reprogramaciones!R$14-1))),MIN(F11,Reprogramaciones!R$13),11))/MAX(0,NETWORKDAYS.INTL(MAX(E11,(Reprogramaciones!$T$15+7*(Reprogramaciones!R$14-1))),MIN(F11,(Reprogramaciones!$T$15+7*(Reprogramaciones!R$14-1))+6),11))))))))</f>
        <v>100</v>
      </c>
      <c r="CB11" s="1" t="n">
        <f aca="false">IF(OR(NOT(AND(ISNUMBER(E11),ISNUMBER(F11))),$J$2=""),"",IF(Reprogramaciones!S$13&lt;Reprogramaciones!$T$15,0,IF(Reprogramaciones!S$14&gt;10,MIN(100,SUM($G11:$P11)),MIN(100,SUMPRODUCT((COLUMN($G11:$P11)-COLUMN($G11)+1&lt;Reprogramaciones!S$14)*$G11:$P11)+N(INDEX($G11:$P11,1,Reprogramaciones!S$14))*IF(Reprogramaciones!S$13&gt;=(Reprogramaciones!$T$15+7*(Reprogramaciones!S$14-1))+6,1,IF(MAX(0,NETWORKDAYS.INTL(MAX(E11,(Reprogramaciones!$T$15+7*(Reprogramaciones!S$14-1))),MIN(F11,(Reprogramaciones!$T$15+7*(Reprogramaciones!S$14-1))+6),11))=0,0,MAX(0,NETWORKDAYS.INTL(MAX(E11,(Reprogramaciones!$T$15+7*(Reprogramaciones!S$14-1))),MIN(F11,Reprogramaciones!S$13),11))/MAX(0,NETWORKDAYS.INTL(MAX(E11,(Reprogramaciones!$T$15+7*(Reprogramaciones!S$14-1))),MIN(F11,(Reprogramaciones!$T$15+7*(Reprogramaciones!S$14-1))+6),11))))))))</f>
        <v>100</v>
      </c>
      <c r="CC11" s="1" t="n">
        <f aca="false">IF(OR(NOT(AND(ISNUMBER(E11),ISNUMBER(F11))),$J$2=""),"",IF(Reprogramaciones!T$13&lt;Reprogramaciones!$T$15,0,IF(Reprogramaciones!T$14&gt;10,MIN(100,SUM($G11:$P11)),MIN(100,SUMPRODUCT((COLUMN($G11:$P11)-COLUMN($G11)+1&lt;Reprogramaciones!T$14)*$G11:$P11)+N(INDEX($G11:$P11,1,Reprogramaciones!T$14))*IF(Reprogramaciones!T$13&gt;=(Reprogramaciones!$T$15+7*(Reprogramaciones!T$14-1))+6,1,IF(MAX(0,NETWORKDAYS.INTL(MAX(E11,(Reprogramaciones!$T$15+7*(Reprogramaciones!T$14-1))),MIN(F11,(Reprogramaciones!$T$15+7*(Reprogramaciones!T$14-1))+6),11))=0,0,MAX(0,NETWORKDAYS.INTL(MAX(E11,(Reprogramaciones!$T$15+7*(Reprogramaciones!T$14-1))),MIN(F11,Reprogramaciones!T$13),11))/MAX(0,NETWORKDAYS.INTL(MAX(E11,(Reprogramaciones!$T$15+7*(Reprogramaciones!T$14-1))),MIN(F11,(Reprogramaciones!$T$15+7*(Reprogramaciones!T$14-1))+6),11))))))))</f>
        <v>100</v>
      </c>
      <c r="CD11" s="1" t="n">
        <f aca="false">IF(OR(NOT(AND(ISNUMBER(E11),ISNUMBER(F11))),$J$2=""),"",IF(Reprogramaciones!U$13&lt;Reprogramaciones!$T$15,0,IF(Reprogramaciones!U$14&gt;10,MIN(100,SUM($G11:$P11)),MIN(100,SUMPRODUCT((COLUMN($G11:$P11)-COLUMN($G11)+1&lt;Reprogramaciones!U$14)*$G11:$P11)+N(INDEX($G11:$P11,1,Reprogramaciones!U$14))*IF(Reprogramaciones!U$13&gt;=(Reprogramaciones!$T$15+7*(Reprogramaciones!U$14-1))+6,1,IF(MAX(0,NETWORKDAYS.INTL(MAX(E11,(Reprogramaciones!$T$15+7*(Reprogramaciones!U$14-1))),MIN(F11,(Reprogramaciones!$T$15+7*(Reprogramaciones!U$14-1))+6),11))=0,0,MAX(0,NETWORKDAYS.INTL(MAX(E11,(Reprogramaciones!$T$15+7*(Reprogramaciones!U$14-1))),MIN(F11,Reprogramaciones!U$13),11))/MAX(0,NETWORKDAYS.INTL(MAX(E11,(Reprogramaciones!$T$15+7*(Reprogramaciones!U$14-1))),MIN(F11,(Reprogramaciones!$T$15+7*(Reprogramaciones!U$14-1))+6),11))))))))</f>
        <v>100</v>
      </c>
      <c r="CE11" s="1" t="n">
        <f aca="false">IF(OR(NOT(AND(ISNUMBER(E11),ISNUMBER(F11))),$J$2=""),"",IF(Reprogramaciones!V$13&lt;Reprogramaciones!$T$15,0,IF(Reprogramaciones!V$14&gt;10,MIN(100,SUM($G11:$P11)),MIN(100,SUMPRODUCT((COLUMN($G11:$P11)-COLUMN($G11)+1&lt;Reprogramaciones!V$14)*$G11:$P11)+N(INDEX($G11:$P11,1,Reprogramaciones!V$14))*IF(Reprogramaciones!V$13&gt;=(Reprogramaciones!$T$15+7*(Reprogramaciones!V$14-1))+6,1,IF(MAX(0,NETWORKDAYS.INTL(MAX(E11,(Reprogramaciones!$T$15+7*(Reprogramaciones!V$14-1))),MIN(F11,(Reprogramaciones!$T$15+7*(Reprogramaciones!V$14-1))+6),11))=0,0,MAX(0,NETWORKDAYS.INTL(MAX(E11,(Reprogramaciones!$T$15+7*(Reprogramaciones!V$14-1))),MIN(F11,Reprogramaciones!V$13),11))/MAX(0,NETWORKDAYS.INTL(MAX(E11,(Reprogramaciones!$T$15+7*(Reprogramaciones!V$14-1))),MIN(F11,(Reprogramaciones!$T$15+7*(Reprogramaciones!V$14-1))+6),11))))))))</f>
        <v>100</v>
      </c>
      <c r="CF11" s="1" t="n">
        <f aca="false">IF(OR(NOT(AND(ISNUMBER(E11),ISNUMBER(F11))),$J$2=""),"",IF(Reprogramaciones!W$13&lt;Reprogramaciones!$T$15,0,IF(Reprogramaciones!W$14&gt;10,MIN(100,SUM($G11:$P11)),MIN(100,SUMPRODUCT((COLUMN($G11:$P11)-COLUMN($G11)+1&lt;Reprogramaciones!W$14)*$G11:$P11)+N(INDEX($G11:$P11,1,Reprogramaciones!W$14))*IF(Reprogramaciones!W$13&gt;=(Reprogramaciones!$T$15+7*(Reprogramaciones!W$14-1))+6,1,IF(MAX(0,NETWORKDAYS.INTL(MAX(E11,(Reprogramaciones!$T$15+7*(Reprogramaciones!W$14-1))),MIN(F11,(Reprogramaciones!$T$15+7*(Reprogramaciones!W$14-1))+6),11))=0,0,MAX(0,NETWORKDAYS.INTL(MAX(E11,(Reprogramaciones!$T$15+7*(Reprogramaciones!W$14-1))),MIN(F11,Reprogramaciones!W$13),11))/MAX(0,NETWORKDAYS.INTL(MAX(E11,(Reprogramaciones!$T$15+7*(Reprogramaciones!W$14-1))),MIN(F11,(Reprogramaciones!$T$15+7*(Reprogramaciones!W$14-1))+6),11))))))))</f>
        <v>100</v>
      </c>
      <c r="CG11" s="1" t="n">
        <f aca="false">IF(OR(NOT(AND(ISNUMBER(E11),ISNUMBER(F11))),$J$2=""),"",IF(Reprogramaciones!X$13&lt;Reprogramaciones!$T$15,0,IF(Reprogramaciones!X$14&gt;10,MIN(100,SUM($G11:$P11)),MIN(100,SUMPRODUCT((COLUMN($G11:$P11)-COLUMN($G11)+1&lt;Reprogramaciones!X$14)*$G11:$P11)+N(INDEX($G11:$P11,1,Reprogramaciones!X$14))*IF(Reprogramaciones!X$13&gt;=(Reprogramaciones!$T$15+7*(Reprogramaciones!X$14-1))+6,1,IF(MAX(0,NETWORKDAYS.INTL(MAX(E11,(Reprogramaciones!$T$15+7*(Reprogramaciones!X$14-1))),MIN(F11,(Reprogramaciones!$T$15+7*(Reprogramaciones!X$14-1))+6),11))=0,0,MAX(0,NETWORKDAYS.INTL(MAX(E11,(Reprogramaciones!$T$15+7*(Reprogramaciones!X$14-1))),MIN(F11,Reprogramaciones!X$13),11))/MAX(0,NETWORKDAYS.INTL(MAX(E11,(Reprogramaciones!$T$15+7*(Reprogramaciones!X$14-1))),MIN(F11,(Reprogramaciones!$T$15+7*(Reprogramaciones!X$14-1))+6),11))))))))</f>
        <v>100</v>
      </c>
      <c r="CH11" s="1" t="n">
        <f aca="false">IF(OR(NOT(AND(ISNUMBER(E11),ISNUMBER(F11))),$J$2=""),"",IF(Reprogramaciones!Y$13&lt;Reprogramaciones!$T$15,0,IF(Reprogramaciones!Y$14&gt;10,MIN(100,SUM($G11:$P11)),MIN(100,SUMPRODUCT((COLUMN($G11:$P11)-COLUMN($G11)+1&lt;Reprogramaciones!Y$14)*$G11:$P11)+N(INDEX($G11:$P11,1,Reprogramaciones!Y$14))*IF(Reprogramaciones!Y$13&gt;=(Reprogramaciones!$T$15+7*(Reprogramaciones!Y$14-1))+6,1,IF(MAX(0,NETWORKDAYS.INTL(MAX(E11,(Reprogramaciones!$T$15+7*(Reprogramaciones!Y$14-1))),MIN(F11,(Reprogramaciones!$T$15+7*(Reprogramaciones!Y$14-1))+6),11))=0,0,MAX(0,NETWORKDAYS.INTL(MAX(E11,(Reprogramaciones!$T$15+7*(Reprogramaciones!Y$14-1))),MIN(F11,Reprogramaciones!Y$13),11))/MAX(0,NETWORKDAYS.INTL(MAX(E11,(Reprogramaciones!$T$15+7*(Reprogramaciones!Y$14-1))),MIN(F11,(Reprogramaciones!$T$15+7*(Reprogramaciones!Y$14-1))+6),11))))))))</f>
        <v>100</v>
      </c>
      <c r="CI11" s="1" t="n">
        <f aca="false">IF(OR(NOT(AND(ISNUMBER(E11),ISNUMBER(F11))),$J$2=""),"",IF(Reprogramaciones!Z$13&lt;Reprogramaciones!$T$15,0,IF(Reprogramaciones!Z$14&gt;10,MIN(100,SUM($G11:$P11)),MIN(100,SUMPRODUCT((COLUMN($G11:$P11)-COLUMN($G11)+1&lt;Reprogramaciones!Z$14)*$G11:$P11)+N(INDEX($G11:$P11,1,Reprogramaciones!Z$14))*IF(Reprogramaciones!Z$13&gt;=(Reprogramaciones!$T$15+7*(Reprogramaciones!Z$14-1))+6,1,IF(MAX(0,NETWORKDAYS.INTL(MAX(E11,(Reprogramaciones!$T$15+7*(Reprogramaciones!Z$14-1))),MIN(F11,(Reprogramaciones!$T$15+7*(Reprogramaciones!Z$14-1))+6),11))=0,0,MAX(0,NETWORKDAYS.INTL(MAX(E11,(Reprogramaciones!$T$15+7*(Reprogramaciones!Z$14-1))),MIN(F11,Reprogramaciones!Z$13),11))/MAX(0,NETWORKDAYS.INTL(MAX(E11,(Reprogramaciones!$T$15+7*(Reprogramaciones!Z$14-1))),MIN(F11,(Reprogramaciones!$T$15+7*(Reprogramaciones!Z$14-1))+6),11))))))))</f>
        <v>100</v>
      </c>
      <c r="CJ11" s="1" t="n">
        <f aca="false">IF(OR(OR(NOT(AND(ISNUMBER(E11),ISNUMBER(F11))),$J$2=""),1&gt;Reprogramaciones!$K$16),"",IF(ROUND(SUM($Q11:Q11),1)&gt;=99.5,100,MIN(100,ROUND(SUM($Q11:Q11),1))))</f>
        <v>100</v>
      </c>
      <c r="CK11" s="1" t="n">
        <f aca="false">IF(OR(OR(NOT(AND(ISNUMBER(E11),ISNUMBER(F11))),$J$2=""),2&gt;Reprogramaciones!$K$16),"",IF(ROUND(SUM($Q11:R11),1)&gt;=99.5,100,MIN(100,ROUND(SUM($Q11:R11),1))))</f>
        <v>100</v>
      </c>
      <c r="CL11" s="1" t="n">
        <f aca="false">IF(OR(OR(NOT(AND(ISNUMBER(E11),ISNUMBER(F11))),$J$2=""),3&gt;Reprogramaciones!$K$16),"",IF(ROUND(SUM($Q11:S11),1)&gt;=99.5,100,MIN(100,ROUND(SUM($Q11:S11),1))))</f>
        <v>100</v>
      </c>
      <c r="CM11" s="1" t="n">
        <f aca="false">IF(OR(OR(NOT(AND(ISNUMBER(E11),ISNUMBER(F11))),$J$2=""),4&gt;Reprogramaciones!$K$16),"",IF(ROUND(SUM($Q11:T11),1)&gt;=99.5,100,MIN(100,ROUND(SUM($Q11:T11),1))))</f>
        <v>100</v>
      </c>
      <c r="CN11" s="1" t="n">
        <f aca="false">IF(OR(OR(NOT(AND(ISNUMBER(E11),ISNUMBER(F11))),$J$2=""),5&gt;Reprogramaciones!$K$16),"",IF(ROUND(SUM($Q11:U11),1)&gt;=99.5,100,MIN(100,ROUND(SUM($Q11:U11),1))))</f>
        <v>100</v>
      </c>
      <c r="CO11" s="1" t="str">
        <f aca="false">IF(OR(OR(NOT(AND(ISNUMBER(E11),ISNUMBER(F11))),$J$2=""),6&gt;Reprogramaciones!$K$16),"",IF(ROUND(SUM($Q11:V11),1)&gt;=99.5,100,MIN(100,ROUND(SUM($Q11:V11),1))))</f>
        <v/>
      </c>
      <c r="CP11" s="1" t="str">
        <f aca="false">IF(OR(OR(NOT(AND(ISNUMBER(E11),ISNUMBER(F11))),$J$2=""),7&gt;Reprogramaciones!$K$16),"",IF(ROUND(SUM($Q11:W11),1)&gt;=99.5,100,MIN(100,ROUND(SUM($Q11:W11),1))))</f>
        <v/>
      </c>
      <c r="CQ11" s="1" t="str">
        <f aca="false">IF(OR(OR(NOT(AND(ISNUMBER(E11),ISNUMBER(F11))),$J$2=""),8&gt;Reprogramaciones!$K$16),"",IF(ROUND(SUM($Q11:X11),1)&gt;=99.5,100,MIN(100,ROUND(SUM($Q11:X11),1))))</f>
        <v/>
      </c>
      <c r="CR11" s="1" t="str">
        <f aca="false">IF(OR(OR(NOT(AND(ISNUMBER(E11),ISNUMBER(F11))),$J$2=""),9&gt;Reprogramaciones!$K$16),"",IF(ROUND(SUM($Q11:Y11),1)&gt;=99.5,100,MIN(100,ROUND(SUM($Q11:Y11),1))))</f>
        <v/>
      </c>
      <c r="CS11" s="1" t="str">
        <f aca="false">IF(OR(OR(NOT(AND(ISNUMBER(E11),ISNUMBER(F11))),$J$2=""),10&gt;Reprogramaciones!$K$16),"",IF(ROUND(SUM($Q11:Z11),1)&gt;=99.5,100,MIN(100,ROUND(SUM($Q11:Z11),1))))</f>
        <v/>
      </c>
      <c r="CT11" s="1" t="str">
        <f aca="false">IF(OR(OR(NOT(AND(ISNUMBER(E11),ISNUMBER(F11))),$J$2=""),11&gt;Reprogramaciones!$K$16),"",IF(ROUND(SUM($Q11:AA11),1)&gt;=99.5,100,MIN(100,ROUND(SUM($Q11:AA11),1))))</f>
        <v/>
      </c>
      <c r="CU11" s="1" t="str">
        <f aca="false">IF(OR(OR(NOT(AND(ISNUMBER(E11),ISNUMBER(F11))),$J$2=""),12&gt;Reprogramaciones!$K$16),"",IF(ROUND(SUM($Q11:AB11),1)&gt;=99.5,100,MIN(100,ROUND(SUM($Q11:AB11),1))))</f>
        <v/>
      </c>
      <c r="CV11" s="1" t="str">
        <f aca="false">IF(OR(OR(NOT(AND(ISNUMBER(E11),ISNUMBER(F11))),$J$2=""),13&gt;Reprogramaciones!$K$16),"",IF(ROUND(SUM($Q11:AC11),1)&gt;=99.5,100,MIN(100,ROUND(SUM($Q11:AC11),1))))</f>
        <v/>
      </c>
      <c r="CW11" s="1" t="str">
        <f aca="false">IF(OR(OR(NOT(AND(ISNUMBER(E11),ISNUMBER(F11))),$J$2=""),14&gt;Reprogramaciones!$K$16),"",IF(ROUND(SUM($Q11:AD11),1)&gt;=99.5,100,MIN(100,ROUND(SUM($Q11:AD11),1))))</f>
        <v/>
      </c>
      <c r="CX11" s="1" t="str">
        <f aca="false">IF(OR(OR(NOT(AND(ISNUMBER(E11),ISNUMBER(F11))),$J$2=""),15&gt;Reprogramaciones!$K$16),"",IF(ROUND(SUM($Q11:AE11),1)&gt;=99.5,100,MIN(100,ROUND(SUM($Q11:AE11),1))))</f>
        <v/>
      </c>
      <c r="CY11" s="1" t="str">
        <f aca="false">IF(OR(OR(NOT(AND(ISNUMBER(E11),ISNUMBER(F11))),$J$2=""),16&gt;Reprogramaciones!$K$16),"",IF(ROUND(SUM($Q11:AF11),1)&gt;=99.5,100,MIN(100,ROUND(SUM($Q11:AF11),1))))</f>
        <v/>
      </c>
      <c r="CZ11" s="1" t="str">
        <f aca="false">IF(D11&lt;&gt;"",D11,IF(B11&lt;&gt;"","Contractual",CZ10))</f>
        <v>Contractual</v>
      </c>
      <c r="DA11" s="1" t="n">
        <f aca="false">IF(OR(NOT(AND(ISNUMBER(E11),ISNUMBER(F11))),$J$2=""),"",IF(Reprogramaciones!$Q$15&lt;Reprogramaciones!$T$15,0,IF(Reprogramaciones!$S$15&gt;10,MIN(100,SUM($G11:$P11)),MIN(100,SUMPRODUCT((COLUMN($G11:$P11)-COLUMN($G11)+1&lt;Reprogramaciones!$S$15)*$G11:$P11)+N(INDEX($G11:$P11,1,Reprogramaciones!$S$15))*IF(Reprogramaciones!$Q$15&gt;=(Reprogramaciones!$T$15+7*(Reprogramaciones!$S$15-1))+6,1,IF(MAX(0,NETWORKDAYS.INTL(MAX(E11,(Reprogramaciones!$T$15+7*(Reprogramaciones!$S$15-1))),MIN(F11,(Reprogramaciones!$T$15+7*(Reprogramaciones!$S$15-1))+6),11))=0,0,MAX(0,NETWORKDAYS.INTL(MAX(E11,(Reprogramaciones!$T$15+7*(Reprogramaciones!$S$15-1))),MIN(F11,Reprogramaciones!$Q$15),11))/MAX(0,NETWORKDAYS.INTL(MAX(E11,(Reprogramaciones!$T$15+7*(Reprogramaciones!$S$15-1))),MIN(F11,(Reprogramaciones!$T$15+7*(Reprogramaciones!$S$15-1))+6),11))))))))</f>
        <v>100</v>
      </c>
    </row>
    <row r="12" customFormat="false" ht="15" hidden="false" customHeight="false" outlineLevel="0" collapsed="false">
      <c r="A12" s="32" t="s">
        <v>165</v>
      </c>
      <c r="B12" s="33"/>
      <c r="C12" s="33" t="s">
        <v>166</v>
      </c>
      <c r="D12" s="34"/>
      <c r="E12" s="35" t="n">
        <v>46291</v>
      </c>
      <c r="F12" s="35" t="n">
        <v>46293</v>
      </c>
      <c r="G12" s="36" t="n">
        <f aca="false">IF(OR(NOT(AND(ISNUMBER(E12),ISNUMBER(F12))),$J$2=""),"",IF(Reprogramaciones!K$9&lt;E12,0,IF(NETWORKDAYS.INTL(E12,F12,11)=0,IF(Reprogramaciones!K$9&gt;=F12,100,0),ROUND(NETWORKDAYS.INTL(E12,MIN(F12,Reprogramaciones!K$9),11)/NETWORKDAYS.INTL(E12,F12,11)*100,1)))-0)</f>
        <v>50</v>
      </c>
      <c r="H12" s="36" t="n">
        <f aca="false">IF(OR(NOT(AND(ISNUMBER(E12),ISNUMBER(F12))),$J$2=""),"",IF(Reprogramaciones!L$9&lt;E12,0,IF(NETWORKDAYS.INTL(E12,F12,11)=0,IF(Reprogramaciones!L$9&gt;=F12,100,0),ROUND(NETWORKDAYS.INTL(E12,MIN(F12,Reprogramaciones!L$9),11)/NETWORKDAYS.INTL(E12,F12,11)*100,1)))-IF(Reprogramaciones!K$9&lt;E12,0,IF(NETWORKDAYS.INTL(E12,F12,11)=0,IF(Reprogramaciones!K$9&gt;=F12,100,0),ROUND(NETWORKDAYS.INTL(E12,MIN(F12,Reprogramaciones!K$9),11)/NETWORKDAYS.INTL(E12,F12,11)*100,1))))</f>
        <v>50</v>
      </c>
      <c r="I12" s="36" t="n">
        <f aca="false">IF(OR(NOT(AND(ISNUMBER(E12),ISNUMBER(F12))),$J$2=""),"",IF(Reprogramaciones!M$9&lt;E12,0,IF(NETWORKDAYS.INTL(E12,F12,11)=0,IF(Reprogramaciones!M$9&gt;=F12,100,0),ROUND(NETWORKDAYS.INTL(E12,MIN(F12,Reprogramaciones!M$9),11)/NETWORKDAYS.INTL(E12,F12,11)*100,1)))-IF(Reprogramaciones!L$9&lt;E12,0,IF(NETWORKDAYS.INTL(E12,F12,11)=0,IF(Reprogramaciones!L$9&gt;=F12,100,0),ROUND(NETWORKDAYS.INTL(E12,MIN(F12,Reprogramaciones!L$9),11)/NETWORKDAYS.INTL(E12,F12,11)*100,1))))</f>
        <v>0</v>
      </c>
      <c r="J12" s="36" t="n">
        <f aca="false">IF(OR(NOT(AND(ISNUMBER(E12),ISNUMBER(F12))),$J$2=""),"",IF(Reprogramaciones!N$9&lt;E12,0,IF(NETWORKDAYS.INTL(E12,F12,11)=0,IF(Reprogramaciones!N$9&gt;=F12,100,0),ROUND(NETWORKDAYS.INTL(E12,MIN(F12,Reprogramaciones!N$9),11)/NETWORKDAYS.INTL(E12,F12,11)*100,1)))-IF(Reprogramaciones!M$9&lt;E12,0,IF(NETWORKDAYS.INTL(E12,F12,11)=0,IF(Reprogramaciones!M$9&gt;=F12,100,0),ROUND(NETWORKDAYS.INTL(E12,MIN(F12,Reprogramaciones!M$9),11)/NETWORKDAYS.INTL(E12,F12,11)*100,1))))</f>
        <v>0</v>
      </c>
      <c r="K12" s="36" t="n">
        <f aca="false">IF(OR(NOT(AND(ISNUMBER(E12),ISNUMBER(F12))),$J$2=""),"",IF(Reprogramaciones!O$9&lt;E12,0,IF(NETWORKDAYS.INTL(E12,F12,11)=0,IF(Reprogramaciones!O$9&gt;=F12,100,0),ROUND(NETWORKDAYS.INTL(E12,MIN(F12,Reprogramaciones!O$9),11)/NETWORKDAYS.INTL(E12,F12,11)*100,1)))-IF(Reprogramaciones!N$9&lt;E12,0,IF(NETWORKDAYS.INTL(E12,F12,11)=0,IF(Reprogramaciones!N$9&gt;=F12,100,0),ROUND(NETWORKDAYS.INTL(E12,MIN(F12,Reprogramaciones!N$9),11)/NETWORKDAYS.INTL(E12,F12,11)*100,1))))</f>
        <v>0</v>
      </c>
      <c r="L12" s="36" t="n">
        <f aca="false">IF(OR(NOT(AND(ISNUMBER(E12),ISNUMBER(F12))),$J$2=""),"",IF(Reprogramaciones!P$9&lt;E12,0,IF(NETWORKDAYS.INTL(E12,F12,11)=0,IF(Reprogramaciones!P$9&gt;=F12,100,0),ROUND(NETWORKDAYS.INTL(E12,MIN(F12,Reprogramaciones!P$9),11)/NETWORKDAYS.INTL(E12,F12,11)*100,1)))-IF(Reprogramaciones!O$9&lt;E12,0,IF(NETWORKDAYS.INTL(E12,F12,11)=0,IF(Reprogramaciones!O$9&gt;=F12,100,0),ROUND(NETWORKDAYS.INTL(E12,MIN(F12,Reprogramaciones!O$9),11)/NETWORKDAYS.INTL(E12,F12,11)*100,1))))</f>
        <v>0</v>
      </c>
      <c r="M12" s="36" t="n">
        <f aca="false">IF(OR(NOT(AND(ISNUMBER(E12),ISNUMBER(F12))),$J$2=""),"",IF(Reprogramaciones!Q$9&lt;E12,0,IF(NETWORKDAYS.INTL(E12,F12,11)=0,IF(Reprogramaciones!Q$9&gt;=F12,100,0),ROUND(NETWORKDAYS.INTL(E12,MIN(F12,Reprogramaciones!Q$9),11)/NETWORKDAYS.INTL(E12,F12,11)*100,1)))-IF(Reprogramaciones!P$9&lt;E12,0,IF(NETWORKDAYS.INTL(E12,F12,11)=0,IF(Reprogramaciones!P$9&gt;=F12,100,0),ROUND(NETWORKDAYS.INTL(E12,MIN(F12,Reprogramaciones!P$9),11)/NETWORKDAYS.INTL(E12,F12,11)*100,1))))</f>
        <v>0</v>
      </c>
      <c r="N12" s="36" t="n">
        <f aca="false">IF(OR(NOT(AND(ISNUMBER(E12),ISNUMBER(F12))),$J$2=""),"",IF(Reprogramaciones!R$9&lt;E12,0,IF(NETWORKDAYS.INTL(E12,F12,11)=0,IF(Reprogramaciones!R$9&gt;=F12,100,0),ROUND(NETWORKDAYS.INTL(E12,MIN(F12,Reprogramaciones!R$9),11)/NETWORKDAYS.INTL(E12,F12,11)*100,1)))-IF(Reprogramaciones!Q$9&lt;E12,0,IF(NETWORKDAYS.INTL(E12,F12,11)=0,IF(Reprogramaciones!Q$9&gt;=F12,100,0),ROUND(NETWORKDAYS.INTL(E12,MIN(F12,Reprogramaciones!Q$9),11)/NETWORKDAYS.INTL(E12,F12,11)*100,1))))</f>
        <v>0</v>
      </c>
      <c r="O12" s="36" t="n">
        <f aca="false">IF(OR(NOT(AND(ISNUMBER(E12),ISNUMBER(F12))),$J$2=""),"",IF(Reprogramaciones!S$9&lt;E12,0,IF(NETWORKDAYS.INTL(E12,F12,11)=0,IF(Reprogramaciones!S$9&gt;=F12,100,0),ROUND(NETWORKDAYS.INTL(E12,MIN(F12,Reprogramaciones!S$9),11)/NETWORKDAYS.INTL(E12,F12,11)*100,1)))-IF(Reprogramaciones!R$9&lt;E12,0,IF(NETWORKDAYS.INTL(E12,F12,11)=0,IF(Reprogramaciones!R$9&gt;=F12,100,0),ROUND(NETWORKDAYS.INTL(E12,MIN(F12,Reprogramaciones!R$9),11)/NETWORKDAYS.INTL(E12,F12,11)*100,1))))</f>
        <v>0</v>
      </c>
      <c r="P12" s="36" t="n">
        <f aca="false">IF(OR(NOT(AND(ISNUMBER(E12),ISNUMBER(F12))),$J$2=""),"",IF(Reprogramaciones!T$9&lt;E12,0,IF(NETWORKDAYS.INTL(E12,F12,11)=0,IF(Reprogramaciones!T$9&gt;=F12,100,0),ROUND(NETWORKDAYS.INTL(E12,MIN(F12,Reprogramaciones!T$9),11)/NETWORKDAYS.INTL(E12,F12,11)*100,1)))-IF(Reprogramaciones!S$9&lt;E12,0,IF(NETWORKDAYS.INTL(E12,F12,11)=0,IF(Reprogramaciones!S$9&gt;=F12,100,0),ROUND(NETWORKDAYS.INTL(E12,MIN(F12,Reprogramaciones!S$9),11)/NETWORKDAYS.INTL(E12,F12,11)*100,1))))</f>
        <v>0</v>
      </c>
      <c r="Q12" s="37" t="n">
        <v>50</v>
      </c>
      <c r="R12" s="37" t="n">
        <v>50</v>
      </c>
      <c r="S12" s="37"/>
      <c r="T12" s="37"/>
      <c r="U12" s="37"/>
      <c r="V12" s="37"/>
      <c r="W12" s="37"/>
      <c r="X12" s="37"/>
      <c r="Y12" s="37"/>
      <c r="Z12" s="37"/>
      <c r="AA12" s="37"/>
      <c r="AB12" s="37"/>
      <c r="AC12" s="37"/>
      <c r="AD12" s="37"/>
      <c r="AE12" s="37"/>
      <c r="AF12" s="37"/>
      <c r="AG12" s="38" t="n">
        <f aca="false">IF(AND(ISNUMBER(E12),ISNUMBER(F12)),NETWORKDAYS.INTL(E12,F12,11),"")</f>
        <v>2</v>
      </c>
      <c r="AH12" s="38" t="n">
        <f aca="false">IF(OR(NOT(AND(ISNUMBER(E12),ISNUMBER(F12))),$J$2=""),"",IF(Reprogramaciones!$P$15&lt;Reprogramaciones!$T$15,0,IF(Reprogramaciones!$R$15&gt;10,MIN(100,SUM($G12:$P12)),MIN(100,SUMPRODUCT((COLUMN($G12:$P12)-COLUMN($G12)+1&lt;Reprogramaciones!$R$15)*$G12:$P12)+N(INDEX($G12:$P12,1,Reprogramaciones!$R$15))*IF(Reprogramaciones!$P$15&gt;=(Reprogramaciones!$T$15+7*(Reprogramaciones!$R$15-1))+6,1,IF(MAX(0,NETWORKDAYS.INTL(MAX(E12,(Reprogramaciones!$T$15+7*(Reprogramaciones!$R$15-1))),MIN(F12,(Reprogramaciones!$T$15+7*(Reprogramaciones!$R$15-1))+6),11))=0,0,MAX(0,NETWORKDAYS.INTL(MAX(E12,(Reprogramaciones!$T$15+7*(Reprogramaciones!$R$15-1))),MIN(F12,Reprogramaciones!$P$15),11))/MAX(0,NETWORKDAYS.INTL(MAX(E12,(Reprogramaciones!$T$15+7*(Reprogramaciones!$R$15-1))),MIN(F12,(Reprogramaciones!$T$15+7*(Reprogramaciones!$R$15-1))+6),11))))))))</f>
        <v>100</v>
      </c>
      <c r="AI12" s="38" t="n">
        <f aca="false">IF(COUNT($Q12:$AF12)=0,"",IF(ROUND(SUM($Q12:$AF12),1)&gt;=99.5,100,MIN(100,ROUND(SUM($Q12:$AF12),1))))</f>
        <v>100</v>
      </c>
      <c r="AJ12" s="38" t="n">
        <f aca="false">IF(OR(AH12="",AI12=""),"",AI12-AH12)</f>
        <v>0</v>
      </c>
      <c r="AK12" s="39" t="str">
        <f aca="true">IF(AH12="","",IF(OR(Ficha!$C$10="Suspendida",Ficha!$C$10="Cancelada"),Ficha!$C$10,IF(AND(AI12&lt;&gt;"",N(AI12)&gt;=100),"Completada",IF(AND(E12&gt;TODAY(),N(AI12)=0),"Por iniciar",IF(N(AI12)+0.5&lt;AH12,"Retrasada",IF(N(AI12)+0.5&lt;DA12,IF(Reprogramaciones!$K$15&gt;0,"Al día · Sem "&amp;Reprogramaciones!$K$15&amp;" en curso","Al día · en curso"),"A tiempo"))))))</f>
        <v>Completada</v>
      </c>
      <c r="AL12" s="39" t="str">
        <f aca="true">IF(AND(A12="",AND(B12="",C12="",E12="",F12="",COUNT(Q12:AF12)=0)),"",IF(AND(B12="",C12="",E12="",F12="",COUNT(Q12:AF12)=0),"Falta la partida o subpartida",IF(AND(A12&lt;&gt;"",COUNTIF($A$6:$A$305,A12)&gt;1),"Ítem repetido",IF(AND(C12="",E12="",F12="",COUNT(Q12:AF12)=0),"Título de partida",IF(OR(E12="",F12=""),"Faltan fechas",IF(OR(ISTEXT(E12),ISTEXT(F12)),"Fecha escrita como texto: usa dd/mm/aaaa",IF(F12&lt;E12,"Fin antes del inicio",IF(IF($J$2="",FALSE(),OR(E12&lt;$J$2,F12&gt;Reprogramaciones!$T$15+69)),"Fuera de las 10 semanas",IF(ABS(SUM(G12:P12)-100)&gt;0.5,"La meta no suma 100%",IF(ROUND(SUM(Q12:AF12),1)&gt;100.5,"El avance pasa de 100%",IF(MIN(Q12:AF12)&lt;0,"Avance negativo",IF(COUNTA(Q12:AF12)&gt;COUNT(Q12:AF12),"Avance escrito como texto",IF(SUMPRODUCT((Q12:AF12&gt;0)*(Q12:AF12&lt;1))&gt;0,"Avance menor a 1: escribe 50, no 50%",IF(SUMPRODUCT(ISNUMBER(Q12:AF12)*(Reprogramaciones!$K$8:$Z$8&gt;TODAY()))&gt;0,"Avance en semana que aún no llega",IF(AND(N(Reprogramaciones!$E$21)&gt;0,F12&gt;Reprogramaciones!$E$21),"Pasa el fin de la obra: registra una reprogramación",IF(AND(N(Reprogramaciones!$E$21)&gt;0,SUMPRODUCT(ISNUMBER(Q12:AF12)*(Reprogramaciones!$K$8:$Z$8&gt;Reprogramaciones!$E$21))&gt;0),"Avance después del fin de la obra: registra una reprogramación por atraso","OK"))))))))))))))))</f>
        <v>OK</v>
      </c>
      <c r="AM12" s="40" t="str">
        <f aca="false">IF(OR(OR(NOT(AND(ISNUMBER(E12),ISNUMBER(F12))),$J$2=""),1&gt;MAX(1,Reprogramaciones!$U$15)),"",IF(Reprogramaciones!K$12&gt;=7,"",IF(OR(BT12-N(0)&gt;0.05,N(Q12)&gt;0),ROUNDDOWN(ROUND(BT12,6),0)&amp;"%"&amp;IF(CJ12="",""," / "&amp;CJ12&amp;"%"),IF(AND(N(0)&gt;=99.95,CJ12&lt;&gt;"",N(CJ12)&lt;100),"Pend. "&amp;CJ12&amp;"%",""))))</f>
        <v>50% / 50%</v>
      </c>
      <c r="AN12" s="40" t="str">
        <f aca="false">IF(OR(OR(NOT(AND(ISNUMBER(E12),ISNUMBER(F12))),$J$2=""),2&gt;MAX(1,Reprogramaciones!$U$15)),"",IF(Reprogramaciones!L$12&gt;=7,"",IF(OR(BU12-N(BT12)&gt;0.05,N(R12)&gt;0),ROUNDDOWN(ROUND(BU12,6),0)&amp;"%"&amp;IF(CK12="",""," / "&amp;CK12&amp;"%"),IF(AND(N(BT12)&gt;=99.95,CK12&lt;&gt;"",N(CK12)&lt;100),"Pend. "&amp;CK12&amp;"%",""))))</f>
        <v>100% / 100%</v>
      </c>
      <c r="AO12" s="40" t="str">
        <f aca="false">IF(OR(OR(NOT(AND(ISNUMBER(E12),ISNUMBER(F12))),$J$2=""),3&gt;MAX(1,Reprogramaciones!$U$15)),"",IF(Reprogramaciones!M$12&gt;=7,"",IF(OR(BV12-N(BU12)&gt;0.05,N(S12)&gt;0),ROUNDDOWN(ROUND(BV12,6),0)&amp;"%"&amp;IF(CL12="",""," / "&amp;CL12&amp;"%"),IF(AND(N(BU12)&gt;=99.95,CL12&lt;&gt;"",N(CL12)&lt;100),"Pend. "&amp;CL12&amp;"%",""))))</f>
        <v/>
      </c>
      <c r="AP12" s="40" t="str">
        <f aca="false">IF(OR(OR(NOT(AND(ISNUMBER(E12),ISNUMBER(F12))),$J$2=""),4&gt;MAX(1,Reprogramaciones!$U$15)),"",IF(Reprogramaciones!N$12&gt;=7,"",IF(OR(BW12-N(BV12)&gt;0.05,N(T12)&gt;0),ROUNDDOWN(ROUND(BW12,6),0)&amp;"%"&amp;IF(CM12="",""," / "&amp;CM12&amp;"%"),IF(AND(N(BV12)&gt;=99.95,CM12&lt;&gt;"",N(CM12)&lt;100),"Pend. "&amp;CM12&amp;"%",""))))</f>
        <v/>
      </c>
      <c r="AQ12" s="40" t="str">
        <f aca="false">IF(OR(OR(NOT(AND(ISNUMBER(E12),ISNUMBER(F12))),$J$2=""),5&gt;MAX(1,Reprogramaciones!$U$15)),"",IF(Reprogramaciones!O$12&gt;=7,"",IF(OR(BX12-N(BW12)&gt;0.05,N(U12)&gt;0),ROUNDDOWN(ROUND(BX12,6),0)&amp;"%"&amp;IF(CN12="",""," / "&amp;CN12&amp;"%"),IF(AND(N(BW12)&gt;=99.95,CN12&lt;&gt;"",N(CN12)&lt;100),"Pend. "&amp;CN12&amp;"%",""))))</f>
        <v/>
      </c>
      <c r="AR12" s="40" t="str">
        <f aca="false">IF(OR(OR(NOT(AND(ISNUMBER(E12),ISNUMBER(F12))),$J$2=""),6&gt;MAX(1,Reprogramaciones!$U$15)),"",IF(Reprogramaciones!P$12&gt;=7,"",IF(OR(BY12-N(BX12)&gt;0.05,N(V12)&gt;0),ROUNDDOWN(ROUND(BY12,6),0)&amp;"%"&amp;IF(CO12="",""," / "&amp;CO12&amp;"%"),IF(AND(N(BX12)&gt;=99.95,CO12&lt;&gt;"",N(CO12)&lt;100),"Pend. "&amp;CO12&amp;"%",""))))</f>
        <v/>
      </c>
      <c r="AS12" s="40" t="str">
        <f aca="false">IF(OR(OR(NOT(AND(ISNUMBER(E12),ISNUMBER(F12))),$J$2=""),7&gt;MAX(1,Reprogramaciones!$U$15)),"",IF(Reprogramaciones!Q$12&gt;=7,"",IF(OR(BZ12-N(BY12)&gt;0.05,N(W12)&gt;0),ROUNDDOWN(ROUND(BZ12,6),0)&amp;"%"&amp;IF(CP12="",""," / "&amp;CP12&amp;"%"),IF(AND(N(BY12)&gt;=99.95,CP12&lt;&gt;"",N(CP12)&lt;100),"Pend. "&amp;CP12&amp;"%",""))))</f>
        <v/>
      </c>
      <c r="AT12" s="40" t="str">
        <f aca="false">IF(OR(OR(NOT(AND(ISNUMBER(E12),ISNUMBER(F12))),$J$2=""),8&gt;MAX(1,Reprogramaciones!$U$15)),"",IF(Reprogramaciones!R$12&gt;=7,"",IF(OR(CA12-N(BZ12)&gt;0.05,N(X12)&gt;0),ROUNDDOWN(ROUND(CA12,6),0)&amp;"%"&amp;IF(CQ12="",""," / "&amp;CQ12&amp;"%"),IF(AND(N(BZ12)&gt;=99.95,CQ12&lt;&gt;"",N(CQ12)&lt;100),"Pend. "&amp;CQ12&amp;"%",""))))</f>
        <v/>
      </c>
      <c r="AU12" s="40" t="str">
        <f aca="false">IF(OR(OR(NOT(AND(ISNUMBER(E12),ISNUMBER(F12))),$J$2=""),9&gt;MAX(1,Reprogramaciones!$U$15)),"",IF(Reprogramaciones!S$12&gt;=7,"",IF(OR(CB12-N(CA12)&gt;0.05,N(Y12)&gt;0),ROUNDDOWN(ROUND(CB12,6),0)&amp;"%"&amp;IF(CR12="",""," / "&amp;CR12&amp;"%"),IF(AND(N(CA12)&gt;=99.95,CR12&lt;&gt;"",N(CR12)&lt;100),"Pend. "&amp;CR12&amp;"%",""))))</f>
        <v/>
      </c>
      <c r="AV12" s="40" t="str">
        <f aca="false">IF(OR(OR(NOT(AND(ISNUMBER(E12),ISNUMBER(F12))),$J$2=""),10&gt;MAX(1,Reprogramaciones!$U$15)),"",IF(Reprogramaciones!T$12&gt;=7,"",IF(OR(CC12-N(CB12)&gt;0.05,N(Z12)&gt;0),ROUNDDOWN(ROUND(CC12,6),0)&amp;"%"&amp;IF(CS12="",""," / "&amp;CS12&amp;"%"),IF(AND(N(CB12)&gt;=99.95,CS12&lt;&gt;"",N(CS12)&lt;100),"Pend. "&amp;CS12&amp;"%",""))))</f>
        <v/>
      </c>
      <c r="AW12" s="40" t="str">
        <f aca="false">IF(OR(OR(NOT(AND(ISNUMBER(E12),ISNUMBER(F12))),$J$2=""),11&gt;MAX(1,Reprogramaciones!$U$15)),"",IF(Reprogramaciones!U$12&gt;=7,"",IF(OR(CD12-N(CC12)&gt;0.05,N(AA12)&gt;0),ROUNDDOWN(ROUND(CD12,6),0)&amp;"%"&amp;IF(CT12="",""," / "&amp;CT12&amp;"%"),IF(AND(N(CC12)&gt;=99.95,CT12&lt;&gt;"",N(CT12)&lt;100),"Pend. "&amp;CT12&amp;"%",""))))</f>
        <v/>
      </c>
      <c r="AX12" s="40" t="str">
        <f aca="false">IF(OR(OR(NOT(AND(ISNUMBER(E12),ISNUMBER(F12))),$J$2=""),12&gt;MAX(1,Reprogramaciones!$U$15)),"",IF(Reprogramaciones!V$12&gt;=7,"",IF(OR(CE12-N(CD12)&gt;0.05,N(AB12)&gt;0),ROUNDDOWN(ROUND(CE12,6),0)&amp;"%"&amp;IF(CU12="",""," / "&amp;CU12&amp;"%"),IF(AND(N(CD12)&gt;=99.95,CU12&lt;&gt;"",N(CU12)&lt;100),"Pend. "&amp;CU12&amp;"%",""))))</f>
        <v/>
      </c>
      <c r="AY12" s="40" t="str">
        <f aca="false">IF(OR(OR(NOT(AND(ISNUMBER(E12),ISNUMBER(F12))),$J$2=""),13&gt;MAX(1,Reprogramaciones!$U$15)),"",IF(Reprogramaciones!W$12&gt;=7,"",IF(OR(CF12-N(CE12)&gt;0.05,N(AC12)&gt;0),ROUNDDOWN(ROUND(CF12,6),0)&amp;"%"&amp;IF(CV12="",""," / "&amp;CV12&amp;"%"),IF(AND(N(CE12)&gt;=99.95,CV12&lt;&gt;"",N(CV12)&lt;100),"Pend. "&amp;CV12&amp;"%",""))))</f>
        <v/>
      </c>
      <c r="AZ12" s="40" t="str">
        <f aca="false">IF(OR(OR(NOT(AND(ISNUMBER(E12),ISNUMBER(F12))),$J$2=""),14&gt;MAX(1,Reprogramaciones!$U$15)),"",IF(Reprogramaciones!X$12&gt;=7,"",IF(OR(CG12-N(CF12)&gt;0.05,N(AD12)&gt;0),ROUNDDOWN(ROUND(CG12,6),0)&amp;"%"&amp;IF(CW12="",""," / "&amp;CW12&amp;"%"),IF(AND(N(CF12)&gt;=99.95,CW12&lt;&gt;"",N(CW12)&lt;100),"Pend. "&amp;CW12&amp;"%",""))))</f>
        <v/>
      </c>
      <c r="BA12" s="40" t="str">
        <f aca="false">IF(OR(OR(NOT(AND(ISNUMBER(E12),ISNUMBER(F12))),$J$2=""),15&gt;MAX(1,Reprogramaciones!$U$15)),"",IF(Reprogramaciones!Y$12&gt;=7,"",IF(OR(CH12-N(CG12)&gt;0.05,N(AE12)&gt;0),ROUNDDOWN(ROUND(CH12,6),0)&amp;"%"&amp;IF(CX12="",""," / "&amp;CX12&amp;"%"),IF(AND(N(CG12)&gt;=99.95,CX12&lt;&gt;"",N(CX12)&lt;100),"Pend. "&amp;CX12&amp;"%",""))))</f>
        <v/>
      </c>
      <c r="BB12" s="40" t="str">
        <f aca="false">IF(OR(OR(NOT(AND(ISNUMBER(E12),ISNUMBER(F12))),$J$2=""),16&gt;MAX(1,Reprogramaciones!$U$15)),"",IF(Reprogramaciones!Z$12&gt;=7,"",IF(OR(CI12-N(CH12)&gt;0.05,N(AF12)&gt;0),ROUNDDOWN(ROUND(CI12,6),0)&amp;"%"&amp;IF(CY12="",""," / "&amp;CY12&amp;"%"),IF(AND(N(CH12)&gt;=99.95,CY12&lt;&gt;"",N(CY12)&lt;100),"Pend. "&amp;CY12&amp;"%",""))))</f>
        <v/>
      </c>
      <c r="BC12" s="31" t="n">
        <f aca="false">IF(AND(ISNUMBER(E12),ISNUMBER(F12)),MAX(1,NETWORKDAYS.INTL(E12,F12,11)),0)</f>
        <v>2</v>
      </c>
      <c r="BD12" s="1" t="n">
        <f aca="false">IF(OR(NOT(AND(ISNUMBER(E12),ISNUMBER(F12))),$J$2=""),"",MIN(100,ROUND(SUM($G12:G12),1)))</f>
        <v>50</v>
      </c>
      <c r="BE12" s="1" t="n">
        <f aca="false">IF(OR(NOT(AND(ISNUMBER(E12),ISNUMBER(F12))),$J$2=""),"",MIN(100,ROUND(SUM($G12:H12),1)))</f>
        <v>100</v>
      </c>
      <c r="BF12" s="1" t="n">
        <f aca="false">IF(OR(NOT(AND(ISNUMBER(E12),ISNUMBER(F12))),$J$2=""),"",MIN(100,ROUND(SUM($G12:I12),1)))</f>
        <v>100</v>
      </c>
      <c r="BG12" s="1" t="n">
        <f aca="false">IF(OR(NOT(AND(ISNUMBER(E12),ISNUMBER(F12))),$J$2=""),"",MIN(100,ROUND(SUM($G12:J12),1)))</f>
        <v>100</v>
      </c>
      <c r="BH12" s="1" t="n">
        <f aca="false">IF(OR(NOT(AND(ISNUMBER(E12),ISNUMBER(F12))),$J$2=""),"",MIN(100,ROUND(SUM($G12:K12),1)))</f>
        <v>100</v>
      </c>
      <c r="BI12" s="1" t="n">
        <f aca="false">IF(OR(NOT(AND(ISNUMBER(E12),ISNUMBER(F12))),$J$2=""),"",MIN(100,ROUND(SUM($G12:L12),1)))</f>
        <v>100</v>
      </c>
      <c r="BJ12" s="1" t="n">
        <f aca="false">IF(OR(NOT(AND(ISNUMBER(E12),ISNUMBER(F12))),$J$2=""),"",MIN(100,ROUND(SUM($G12:M12),1)))</f>
        <v>100</v>
      </c>
      <c r="BK12" s="1" t="n">
        <f aca="false">IF(OR(NOT(AND(ISNUMBER(E12),ISNUMBER(F12))),$J$2=""),"",MIN(100,ROUND(SUM($G12:N12),1)))</f>
        <v>100</v>
      </c>
      <c r="BL12" s="1" t="n">
        <f aca="false">IF(OR(NOT(AND(ISNUMBER(E12),ISNUMBER(F12))),$J$2=""),"",MIN(100,ROUND(SUM($G12:O12),1)))</f>
        <v>100</v>
      </c>
      <c r="BM12" s="1" t="n">
        <f aca="false">IF(OR(NOT(AND(ISNUMBER(E12),ISNUMBER(F12))),$J$2=""),"",MIN(100,ROUND(SUM($G12:P12),1)))</f>
        <v>100</v>
      </c>
      <c r="BN12" s="1" t="n">
        <f aca="false">IF(OR(NOT(AND(ISNUMBER(E12),ISNUMBER(F12))),$J$2=""),"",MIN(100,ROUND(SUM($G12:P12),1)))</f>
        <v>100</v>
      </c>
      <c r="BO12" s="1" t="n">
        <f aca="false">IF(OR(NOT(AND(ISNUMBER(E12),ISNUMBER(F12))),$J$2=""),"",MIN(100,ROUND(SUM($G12:P12),1)))</f>
        <v>100</v>
      </c>
      <c r="BP12" s="1" t="n">
        <f aca="false">IF(OR(NOT(AND(ISNUMBER(E12),ISNUMBER(F12))),$J$2=""),"",MIN(100,ROUND(SUM($G12:P12),1)))</f>
        <v>100</v>
      </c>
      <c r="BQ12" s="1" t="n">
        <f aca="false">IF(OR(NOT(AND(ISNUMBER(E12),ISNUMBER(F12))),$J$2=""),"",MIN(100,ROUND(SUM($G12:P12),1)))</f>
        <v>100</v>
      </c>
      <c r="BR12" s="1" t="n">
        <f aca="false">IF(OR(NOT(AND(ISNUMBER(E12),ISNUMBER(F12))),$J$2=""),"",MIN(100,ROUND(SUM($G12:P12),1)))</f>
        <v>100</v>
      </c>
      <c r="BS12" s="1" t="n">
        <f aca="false">IF(OR(NOT(AND(ISNUMBER(E12),ISNUMBER(F12))),$J$2=""),"",MIN(100,ROUND(SUM($G12:P12),1)))</f>
        <v>100</v>
      </c>
      <c r="BT12" s="1" t="n">
        <f aca="false">IF(OR(NOT(AND(ISNUMBER(E12),ISNUMBER(F12))),$J$2=""),"",IF(Reprogramaciones!K$13&lt;Reprogramaciones!$T$15,0,IF(Reprogramaciones!K$14&gt;10,MIN(100,SUM($G12:$P12)),MIN(100,SUMPRODUCT((COLUMN($G12:$P12)-COLUMN($G12)+1&lt;Reprogramaciones!K$14)*$G12:$P12)+N(INDEX($G12:$P12,1,Reprogramaciones!K$14))*IF(Reprogramaciones!K$13&gt;=(Reprogramaciones!$T$15+7*(Reprogramaciones!K$14-1))+6,1,IF(MAX(0,NETWORKDAYS.INTL(MAX(E12,(Reprogramaciones!$T$15+7*(Reprogramaciones!K$14-1))),MIN(F12,(Reprogramaciones!$T$15+7*(Reprogramaciones!K$14-1))+6),11))=0,0,MAX(0,NETWORKDAYS.INTL(MAX(E12,(Reprogramaciones!$T$15+7*(Reprogramaciones!K$14-1))),MIN(F12,Reprogramaciones!K$13),11))/MAX(0,NETWORKDAYS.INTL(MAX(E12,(Reprogramaciones!$T$15+7*(Reprogramaciones!K$14-1))),MIN(F12,(Reprogramaciones!$T$15+7*(Reprogramaciones!K$14-1))+6),11))))))))</f>
        <v>50</v>
      </c>
      <c r="BU12" s="1" t="n">
        <f aca="false">IF(OR(NOT(AND(ISNUMBER(E12),ISNUMBER(F12))),$J$2=""),"",IF(Reprogramaciones!L$13&lt;Reprogramaciones!$T$15,0,IF(Reprogramaciones!L$14&gt;10,MIN(100,SUM($G12:$P12)),MIN(100,SUMPRODUCT((COLUMN($G12:$P12)-COLUMN($G12)+1&lt;Reprogramaciones!L$14)*$G12:$P12)+N(INDEX($G12:$P12,1,Reprogramaciones!L$14))*IF(Reprogramaciones!L$13&gt;=(Reprogramaciones!$T$15+7*(Reprogramaciones!L$14-1))+6,1,IF(MAX(0,NETWORKDAYS.INTL(MAX(E12,(Reprogramaciones!$T$15+7*(Reprogramaciones!L$14-1))),MIN(F12,(Reprogramaciones!$T$15+7*(Reprogramaciones!L$14-1))+6),11))=0,0,MAX(0,NETWORKDAYS.INTL(MAX(E12,(Reprogramaciones!$T$15+7*(Reprogramaciones!L$14-1))),MIN(F12,Reprogramaciones!L$13),11))/MAX(0,NETWORKDAYS.INTL(MAX(E12,(Reprogramaciones!$T$15+7*(Reprogramaciones!L$14-1))),MIN(F12,(Reprogramaciones!$T$15+7*(Reprogramaciones!L$14-1))+6),11))))))))</f>
        <v>100</v>
      </c>
      <c r="BV12" s="1" t="n">
        <f aca="false">IF(OR(NOT(AND(ISNUMBER(E12),ISNUMBER(F12))),$J$2=""),"",IF(Reprogramaciones!M$13&lt;Reprogramaciones!$T$15,0,IF(Reprogramaciones!M$14&gt;10,MIN(100,SUM($G12:$P12)),MIN(100,SUMPRODUCT((COLUMN($G12:$P12)-COLUMN($G12)+1&lt;Reprogramaciones!M$14)*$G12:$P12)+N(INDEX($G12:$P12,1,Reprogramaciones!M$14))*IF(Reprogramaciones!M$13&gt;=(Reprogramaciones!$T$15+7*(Reprogramaciones!M$14-1))+6,1,IF(MAX(0,NETWORKDAYS.INTL(MAX(E12,(Reprogramaciones!$T$15+7*(Reprogramaciones!M$14-1))),MIN(F12,(Reprogramaciones!$T$15+7*(Reprogramaciones!M$14-1))+6),11))=0,0,MAX(0,NETWORKDAYS.INTL(MAX(E12,(Reprogramaciones!$T$15+7*(Reprogramaciones!M$14-1))),MIN(F12,Reprogramaciones!M$13),11))/MAX(0,NETWORKDAYS.INTL(MAX(E12,(Reprogramaciones!$T$15+7*(Reprogramaciones!M$14-1))),MIN(F12,(Reprogramaciones!$T$15+7*(Reprogramaciones!M$14-1))+6),11))))))))</f>
        <v>100</v>
      </c>
      <c r="BW12" s="1" t="n">
        <f aca="false">IF(OR(NOT(AND(ISNUMBER(E12),ISNUMBER(F12))),$J$2=""),"",IF(Reprogramaciones!N$13&lt;Reprogramaciones!$T$15,0,IF(Reprogramaciones!N$14&gt;10,MIN(100,SUM($G12:$P12)),MIN(100,SUMPRODUCT((COLUMN($G12:$P12)-COLUMN($G12)+1&lt;Reprogramaciones!N$14)*$G12:$P12)+N(INDEX($G12:$P12,1,Reprogramaciones!N$14))*IF(Reprogramaciones!N$13&gt;=(Reprogramaciones!$T$15+7*(Reprogramaciones!N$14-1))+6,1,IF(MAX(0,NETWORKDAYS.INTL(MAX(E12,(Reprogramaciones!$T$15+7*(Reprogramaciones!N$14-1))),MIN(F12,(Reprogramaciones!$T$15+7*(Reprogramaciones!N$14-1))+6),11))=0,0,MAX(0,NETWORKDAYS.INTL(MAX(E12,(Reprogramaciones!$T$15+7*(Reprogramaciones!N$14-1))),MIN(F12,Reprogramaciones!N$13),11))/MAX(0,NETWORKDAYS.INTL(MAX(E12,(Reprogramaciones!$T$15+7*(Reprogramaciones!N$14-1))),MIN(F12,(Reprogramaciones!$T$15+7*(Reprogramaciones!N$14-1))+6),11))))))))</f>
        <v>100</v>
      </c>
      <c r="BX12" s="1" t="n">
        <f aca="false">IF(OR(NOT(AND(ISNUMBER(E12),ISNUMBER(F12))),$J$2=""),"",IF(Reprogramaciones!O$13&lt;Reprogramaciones!$T$15,0,IF(Reprogramaciones!O$14&gt;10,MIN(100,SUM($G12:$P12)),MIN(100,SUMPRODUCT((COLUMN($G12:$P12)-COLUMN($G12)+1&lt;Reprogramaciones!O$14)*$G12:$P12)+N(INDEX($G12:$P12,1,Reprogramaciones!O$14))*IF(Reprogramaciones!O$13&gt;=(Reprogramaciones!$T$15+7*(Reprogramaciones!O$14-1))+6,1,IF(MAX(0,NETWORKDAYS.INTL(MAX(E12,(Reprogramaciones!$T$15+7*(Reprogramaciones!O$14-1))),MIN(F12,(Reprogramaciones!$T$15+7*(Reprogramaciones!O$14-1))+6),11))=0,0,MAX(0,NETWORKDAYS.INTL(MAX(E12,(Reprogramaciones!$T$15+7*(Reprogramaciones!O$14-1))),MIN(F12,Reprogramaciones!O$13),11))/MAX(0,NETWORKDAYS.INTL(MAX(E12,(Reprogramaciones!$T$15+7*(Reprogramaciones!O$14-1))),MIN(F12,(Reprogramaciones!$T$15+7*(Reprogramaciones!O$14-1))+6),11))))))))</f>
        <v>100</v>
      </c>
      <c r="BY12" s="1" t="n">
        <f aca="false">IF(OR(NOT(AND(ISNUMBER(E12),ISNUMBER(F12))),$J$2=""),"",IF(Reprogramaciones!P$13&lt;Reprogramaciones!$T$15,0,IF(Reprogramaciones!P$14&gt;10,MIN(100,SUM($G12:$P12)),MIN(100,SUMPRODUCT((COLUMN($G12:$P12)-COLUMN($G12)+1&lt;Reprogramaciones!P$14)*$G12:$P12)+N(INDEX($G12:$P12,1,Reprogramaciones!P$14))*IF(Reprogramaciones!P$13&gt;=(Reprogramaciones!$T$15+7*(Reprogramaciones!P$14-1))+6,1,IF(MAX(0,NETWORKDAYS.INTL(MAX(E12,(Reprogramaciones!$T$15+7*(Reprogramaciones!P$14-1))),MIN(F12,(Reprogramaciones!$T$15+7*(Reprogramaciones!P$14-1))+6),11))=0,0,MAX(0,NETWORKDAYS.INTL(MAX(E12,(Reprogramaciones!$T$15+7*(Reprogramaciones!P$14-1))),MIN(F12,Reprogramaciones!P$13),11))/MAX(0,NETWORKDAYS.INTL(MAX(E12,(Reprogramaciones!$T$15+7*(Reprogramaciones!P$14-1))),MIN(F12,(Reprogramaciones!$T$15+7*(Reprogramaciones!P$14-1))+6),11))))))))</f>
        <v>100</v>
      </c>
      <c r="BZ12" s="1" t="n">
        <f aca="false">IF(OR(NOT(AND(ISNUMBER(E12),ISNUMBER(F12))),$J$2=""),"",IF(Reprogramaciones!Q$13&lt;Reprogramaciones!$T$15,0,IF(Reprogramaciones!Q$14&gt;10,MIN(100,SUM($G12:$P12)),MIN(100,SUMPRODUCT((COLUMN($G12:$P12)-COLUMN($G12)+1&lt;Reprogramaciones!Q$14)*$G12:$P12)+N(INDEX($G12:$P12,1,Reprogramaciones!Q$14))*IF(Reprogramaciones!Q$13&gt;=(Reprogramaciones!$T$15+7*(Reprogramaciones!Q$14-1))+6,1,IF(MAX(0,NETWORKDAYS.INTL(MAX(E12,(Reprogramaciones!$T$15+7*(Reprogramaciones!Q$14-1))),MIN(F12,(Reprogramaciones!$T$15+7*(Reprogramaciones!Q$14-1))+6),11))=0,0,MAX(0,NETWORKDAYS.INTL(MAX(E12,(Reprogramaciones!$T$15+7*(Reprogramaciones!Q$14-1))),MIN(F12,Reprogramaciones!Q$13),11))/MAX(0,NETWORKDAYS.INTL(MAX(E12,(Reprogramaciones!$T$15+7*(Reprogramaciones!Q$14-1))),MIN(F12,(Reprogramaciones!$T$15+7*(Reprogramaciones!Q$14-1))+6),11))))))))</f>
        <v>100</v>
      </c>
      <c r="CA12" s="1" t="n">
        <f aca="false">IF(OR(NOT(AND(ISNUMBER(E12),ISNUMBER(F12))),$J$2=""),"",IF(Reprogramaciones!R$13&lt;Reprogramaciones!$T$15,0,IF(Reprogramaciones!R$14&gt;10,MIN(100,SUM($G12:$P12)),MIN(100,SUMPRODUCT((COLUMN($G12:$P12)-COLUMN($G12)+1&lt;Reprogramaciones!R$14)*$G12:$P12)+N(INDEX($G12:$P12,1,Reprogramaciones!R$14))*IF(Reprogramaciones!R$13&gt;=(Reprogramaciones!$T$15+7*(Reprogramaciones!R$14-1))+6,1,IF(MAX(0,NETWORKDAYS.INTL(MAX(E12,(Reprogramaciones!$T$15+7*(Reprogramaciones!R$14-1))),MIN(F12,(Reprogramaciones!$T$15+7*(Reprogramaciones!R$14-1))+6),11))=0,0,MAX(0,NETWORKDAYS.INTL(MAX(E12,(Reprogramaciones!$T$15+7*(Reprogramaciones!R$14-1))),MIN(F12,Reprogramaciones!R$13),11))/MAX(0,NETWORKDAYS.INTL(MAX(E12,(Reprogramaciones!$T$15+7*(Reprogramaciones!R$14-1))),MIN(F12,(Reprogramaciones!$T$15+7*(Reprogramaciones!R$14-1))+6),11))))))))</f>
        <v>100</v>
      </c>
      <c r="CB12" s="1" t="n">
        <f aca="false">IF(OR(NOT(AND(ISNUMBER(E12),ISNUMBER(F12))),$J$2=""),"",IF(Reprogramaciones!S$13&lt;Reprogramaciones!$T$15,0,IF(Reprogramaciones!S$14&gt;10,MIN(100,SUM($G12:$P12)),MIN(100,SUMPRODUCT((COLUMN($G12:$P12)-COLUMN($G12)+1&lt;Reprogramaciones!S$14)*$G12:$P12)+N(INDEX($G12:$P12,1,Reprogramaciones!S$14))*IF(Reprogramaciones!S$13&gt;=(Reprogramaciones!$T$15+7*(Reprogramaciones!S$14-1))+6,1,IF(MAX(0,NETWORKDAYS.INTL(MAX(E12,(Reprogramaciones!$T$15+7*(Reprogramaciones!S$14-1))),MIN(F12,(Reprogramaciones!$T$15+7*(Reprogramaciones!S$14-1))+6),11))=0,0,MAX(0,NETWORKDAYS.INTL(MAX(E12,(Reprogramaciones!$T$15+7*(Reprogramaciones!S$14-1))),MIN(F12,Reprogramaciones!S$13),11))/MAX(0,NETWORKDAYS.INTL(MAX(E12,(Reprogramaciones!$T$15+7*(Reprogramaciones!S$14-1))),MIN(F12,(Reprogramaciones!$T$15+7*(Reprogramaciones!S$14-1))+6),11))))))))</f>
        <v>100</v>
      </c>
      <c r="CC12" s="1" t="n">
        <f aca="false">IF(OR(NOT(AND(ISNUMBER(E12),ISNUMBER(F12))),$J$2=""),"",IF(Reprogramaciones!T$13&lt;Reprogramaciones!$T$15,0,IF(Reprogramaciones!T$14&gt;10,MIN(100,SUM($G12:$P12)),MIN(100,SUMPRODUCT((COLUMN($G12:$P12)-COLUMN($G12)+1&lt;Reprogramaciones!T$14)*$G12:$P12)+N(INDEX($G12:$P12,1,Reprogramaciones!T$14))*IF(Reprogramaciones!T$13&gt;=(Reprogramaciones!$T$15+7*(Reprogramaciones!T$14-1))+6,1,IF(MAX(0,NETWORKDAYS.INTL(MAX(E12,(Reprogramaciones!$T$15+7*(Reprogramaciones!T$14-1))),MIN(F12,(Reprogramaciones!$T$15+7*(Reprogramaciones!T$14-1))+6),11))=0,0,MAX(0,NETWORKDAYS.INTL(MAX(E12,(Reprogramaciones!$T$15+7*(Reprogramaciones!T$14-1))),MIN(F12,Reprogramaciones!T$13),11))/MAX(0,NETWORKDAYS.INTL(MAX(E12,(Reprogramaciones!$T$15+7*(Reprogramaciones!T$14-1))),MIN(F12,(Reprogramaciones!$T$15+7*(Reprogramaciones!T$14-1))+6),11))))))))</f>
        <v>100</v>
      </c>
      <c r="CD12" s="1" t="n">
        <f aca="false">IF(OR(NOT(AND(ISNUMBER(E12),ISNUMBER(F12))),$J$2=""),"",IF(Reprogramaciones!U$13&lt;Reprogramaciones!$T$15,0,IF(Reprogramaciones!U$14&gt;10,MIN(100,SUM($G12:$P12)),MIN(100,SUMPRODUCT((COLUMN($G12:$P12)-COLUMN($G12)+1&lt;Reprogramaciones!U$14)*$G12:$P12)+N(INDEX($G12:$P12,1,Reprogramaciones!U$14))*IF(Reprogramaciones!U$13&gt;=(Reprogramaciones!$T$15+7*(Reprogramaciones!U$14-1))+6,1,IF(MAX(0,NETWORKDAYS.INTL(MAX(E12,(Reprogramaciones!$T$15+7*(Reprogramaciones!U$14-1))),MIN(F12,(Reprogramaciones!$T$15+7*(Reprogramaciones!U$14-1))+6),11))=0,0,MAX(0,NETWORKDAYS.INTL(MAX(E12,(Reprogramaciones!$T$15+7*(Reprogramaciones!U$14-1))),MIN(F12,Reprogramaciones!U$13),11))/MAX(0,NETWORKDAYS.INTL(MAX(E12,(Reprogramaciones!$T$15+7*(Reprogramaciones!U$14-1))),MIN(F12,(Reprogramaciones!$T$15+7*(Reprogramaciones!U$14-1))+6),11))))))))</f>
        <v>100</v>
      </c>
      <c r="CE12" s="1" t="n">
        <f aca="false">IF(OR(NOT(AND(ISNUMBER(E12),ISNUMBER(F12))),$J$2=""),"",IF(Reprogramaciones!V$13&lt;Reprogramaciones!$T$15,0,IF(Reprogramaciones!V$14&gt;10,MIN(100,SUM($G12:$P12)),MIN(100,SUMPRODUCT((COLUMN($G12:$P12)-COLUMN($G12)+1&lt;Reprogramaciones!V$14)*$G12:$P12)+N(INDEX($G12:$P12,1,Reprogramaciones!V$14))*IF(Reprogramaciones!V$13&gt;=(Reprogramaciones!$T$15+7*(Reprogramaciones!V$14-1))+6,1,IF(MAX(0,NETWORKDAYS.INTL(MAX(E12,(Reprogramaciones!$T$15+7*(Reprogramaciones!V$14-1))),MIN(F12,(Reprogramaciones!$T$15+7*(Reprogramaciones!V$14-1))+6),11))=0,0,MAX(0,NETWORKDAYS.INTL(MAX(E12,(Reprogramaciones!$T$15+7*(Reprogramaciones!V$14-1))),MIN(F12,Reprogramaciones!V$13),11))/MAX(0,NETWORKDAYS.INTL(MAX(E12,(Reprogramaciones!$T$15+7*(Reprogramaciones!V$14-1))),MIN(F12,(Reprogramaciones!$T$15+7*(Reprogramaciones!V$14-1))+6),11))))))))</f>
        <v>100</v>
      </c>
      <c r="CF12" s="1" t="n">
        <f aca="false">IF(OR(NOT(AND(ISNUMBER(E12),ISNUMBER(F12))),$J$2=""),"",IF(Reprogramaciones!W$13&lt;Reprogramaciones!$T$15,0,IF(Reprogramaciones!W$14&gt;10,MIN(100,SUM($G12:$P12)),MIN(100,SUMPRODUCT((COLUMN($G12:$P12)-COLUMN($G12)+1&lt;Reprogramaciones!W$14)*$G12:$P12)+N(INDEX($G12:$P12,1,Reprogramaciones!W$14))*IF(Reprogramaciones!W$13&gt;=(Reprogramaciones!$T$15+7*(Reprogramaciones!W$14-1))+6,1,IF(MAX(0,NETWORKDAYS.INTL(MAX(E12,(Reprogramaciones!$T$15+7*(Reprogramaciones!W$14-1))),MIN(F12,(Reprogramaciones!$T$15+7*(Reprogramaciones!W$14-1))+6),11))=0,0,MAX(0,NETWORKDAYS.INTL(MAX(E12,(Reprogramaciones!$T$15+7*(Reprogramaciones!W$14-1))),MIN(F12,Reprogramaciones!W$13),11))/MAX(0,NETWORKDAYS.INTL(MAX(E12,(Reprogramaciones!$T$15+7*(Reprogramaciones!W$14-1))),MIN(F12,(Reprogramaciones!$T$15+7*(Reprogramaciones!W$14-1))+6),11))))))))</f>
        <v>100</v>
      </c>
      <c r="CG12" s="1" t="n">
        <f aca="false">IF(OR(NOT(AND(ISNUMBER(E12),ISNUMBER(F12))),$J$2=""),"",IF(Reprogramaciones!X$13&lt;Reprogramaciones!$T$15,0,IF(Reprogramaciones!X$14&gt;10,MIN(100,SUM($G12:$P12)),MIN(100,SUMPRODUCT((COLUMN($G12:$P12)-COLUMN($G12)+1&lt;Reprogramaciones!X$14)*$G12:$P12)+N(INDEX($G12:$P12,1,Reprogramaciones!X$14))*IF(Reprogramaciones!X$13&gt;=(Reprogramaciones!$T$15+7*(Reprogramaciones!X$14-1))+6,1,IF(MAX(0,NETWORKDAYS.INTL(MAX(E12,(Reprogramaciones!$T$15+7*(Reprogramaciones!X$14-1))),MIN(F12,(Reprogramaciones!$T$15+7*(Reprogramaciones!X$14-1))+6),11))=0,0,MAX(0,NETWORKDAYS.INTL(MAX(E12,(Reprogramaciones!$T$15+7*(Reprogramaciones!X$14-1))),MIN(F12,Reprogramaciones!X$13),11))/MAX(0,NETWORKDAYS.INTL(MAX(E12,(Reprogramaciones!$T$15+7*(Reprogramaciones!X$14-1))),MIN(F12,(Reprogramaciones!$T$15+7*(Reprogramaciones!X$14-1))+6),11))))))))</f>
        <v>100</v>
      </c>
      <c r="CH12" s="1" t="n">
        <f aca="false">IF(OR(NOT(AND(ISNUMBER(E12),ISNUMBER(F12))),$J$2=""),"",IF(Reprogramaciones!Y$13&lt;Reprogramaciones!$T$15,0,IF(Reprogramaciones!Y$14&gt;10,MIN(100,SUM($G12:$P12)),MIN(100,SUMPRODUCT((COLUMN($G12:$P12)-COLUMN($G12)+1&lt;Reprogramaciones!Y$14)*$G12:$P12)+N(INDEX($G12:$P12,1,Reprogramaciones!Y$14))*IF(Reprogramaciones!Y$13&gt;=(Reprogramaciones!$T$15+7*(Reprogramaciones!Y$14-1))+6,1,IF(MAX(0,NETWORKDAYS.INTL(MAX(E12,(Reprogramaciones!$T$15+7*(Reprogramaciones!Y$14-1))),MIN(F12,(Reprogramaciones!$T$15+7*(Reprogramaciones!Y$14-1))+6),11))=0,0,MAX(0,NETWORKDAYS.INTL(MAX(E12,(Reprogramaciones!$T$15+7*(Reprogramaciones!Y$14-1))),MIN(F12,Reprogramaciones!Y$13),11))/MAX(0,NETWORKDAYS.INTL(MAX(E12,(Reprogramaciones!$T$15+7*(Reprogramaciones!Y$14-1))),MIN(F12,(Reprogramaciones!$T$15+7*(Reprogramaciones!Y$14-1))+6),11))))))))</f>
        <v>100</v>
      </c>
      <c r="CI12" s="1" t="n">
        <f aca="false">IF(OR(NOT(AND(ISNUMBER(E12),ISNUMBER(F12))),$J$2=""),"",IF(Reprogramaciones!Z$13&lt;Reprogramaciones!$T$15,0,IF(Reprogramaciones!Z$14&gt;10,MIN(100,SUM($G12:$P12)),MIN(100,SUMPRODUCT((COLUMN($G12:$P12)-COLUMN($G12)+1&lt;Reprogramaciones!Z$14)*$G12:$P12)+N(INDEX($G12:$P12,1,Reprogramaciones!Z$14))*IF(Reprogramaciones!Z$13&gt;=(Reprogramaciones!$T$15+7*(Reprogramaciones!Z$14-1))+6,1,IF(MAX(0,NETWORKDAYS.INTL(MAX(E12,(Reprogramaciones!$T$15+7*(Reprogramaciones!Z$14-1))),MIN(F12,(Reprogramaciones!$T$15+7*(Reprogramaciones!Z$14-1))+6),11))=0,0,MAX(0,NETWORKDAYS.INTL(MAX(E12,(Reprogramaciones!$T$15+7*(Reprogramaciones!Z$14-1))),MIN(F12,Reprogramaciones!Z$13),11))/MAX(0,NETWORKDAYS.INTL(MAX(E12,(Reprogramaciones!$T$15+7*(Reprogramaciones!Z$14-1))),MIN(F12,(Reprogramaciones!$T$15+7*(Reprogramaciones!Z$14-1))+6),11))))))))</f>
        <v>100</v>
      </c>
      <c r="CJ12" s="1" t="n">
        <f aca="false">IF(OR(OR(NOT(AND(ISNUMBER(E12),ISNUMBER(F12))),$J$2=""),1&gt;Reprogramaciones!$K$16),"",IF(ROUND(SUM($Q12:Q12),1)&gt;=99.5,100,MIN(100,ROUND(SUM($Q12:Q12),1))))</f>
        <v>50</v>
      </c>
      <c r="CK12" s="1" t="n">
        <f aca="false">IF(OR(OR(NOT(AND(ISNUMBER(E12),ISNUMBER(F12))),$J$2=""),2&gt;Reprogramaciones!$K$16),"",IF(ROUND(SUM($Q12:R12),1)&gt;=99.5,100,MIN(100,ROUND(SUM($Q12:R12),1))))</f>
        <v>100</v>
      </c>
      <c r="CL12" s="1" t="n">
        <f aca="false">IF(OR(OR(NOT(AND(ISNUMBER(E12),ISNUMBER(F12))),$J$2=""),3&gt;Reprogramaciones!$K$16),"",IF(ROUND(SUM($Q12:S12),1)&gt;=99.5,100,MIN(100,ROUND(SUM($Q12:S12),1))))</f>
        <v>100</v>
      </c>
      <c r="CM12" s="1" t="n">
        <f aca="false">IF(OR(OR(NOT(AND(ISNUMBER(E12),ISNUMBER(F12))),$J$2=""),4&gt;Reprogramaciones!$K$16),"",IF(ROUND(SUM($Q12:T12),1)&gt;=99.5,100,MIN(100,ROUND(SUM($Q12:T12),1))))</f>
        <v>100</v>
      </c>
      <c r="CN12" s="1" t="n">
        <f aca="false">IF(OR(OR(NOT(AND(ISNUMBER(E12),ISNUMBER(F12))),$J$2=""),5&gt;Reprogramaciones!$K$16),"",IF(ROUND(SUM($Q12:U12),1)&gt;=99.5,100,MIN(100,ROUND(SUM($Q12:U12),1))))</f>
        <v>100</v>
      </c>
      <c r="CO12" s="1" t="str">
        <f aca="false">IF(OR(OR(NOT(AND(ISNUMBER(E12),ISNUMBER(F12))),$J$2=""),6&gt;Reprogramaciones!$K$16),"",IF(ROUND(SUM($Q12:V12),1)&gt;=99.5,100,MIN(100,ROUND(SUM($Q12:V12),1))))</f>
        <v/>
      </c>
      <c r="CP12" s="1" t="str">
        <f aca="false">IF(OR(OR(NOT(AND(ISNUMBER(E12),ISNUMBER(F12))),$J$2=""),7&gt;Reprogramaciones!$K$16),"",IF(ROUND(SUM($Q12:W12),1)&gt;=99.5,100,MIN(100,ROUND(SUM($Q12:W12),1))))</f>
        <v/>
      </c>
      <c r="CQ12" s="1" t="str">
        <f aca="false">IF(OR(OR(NOT(AND(ISNUMBER(E12),ISNUMBER(F12))),$J$2=""),8&gt;Reprogramaciones!$K$16),"",IF(ROUND(SUM($Q12:X12),1)&gt;=99.5,100,MIN(100,ROUND(SUM($Q12:X12),1))))</f>
        <v/>
      </c>
      <c r="CR12" s="1" t="str">
        <f aca="false">IF(OR(OR(NOT(AND(ISNUMBER(E12),ISNUMBER(F12))),$J$2=""),9&gt;Reprogramaciones!$K$16),"",IF(ROUND(SUM($Q12:Y12),1)&gt;=99.5,100,MIN(100,ROUND(SUM($Q12:Y12),1))))</f>
        <v/>
      </c>
      <c r="CS12" s="1" t="str">
        <f aca="false">IF(OR(OR(NOT(AND(ISNUMBER(E12),ISNUMBER(F12))),$J$2=""),10&gt;Reprogramaciones!$K$16),"",IF(ROUND(SUM($Q12:Z12),1)&gt;=99.5,100,MIN(100,ROUND(SUM($Q12:Z12),1))))</f>
        <v/>
      </c>
      <c r="CT12" s="1" t="str">
        <f aca="false">IF(OR(OR(NOT(AND(ISNUMBER(E12),ISNUMBER(F12))),$J$2=""),11&gt;Reprogramaciones!$K$16),"",IF(ROUND(SUM($Q12:AA12),1)&gt;=99.5,100,MIN(100,ROUND(SUM($Q12:AA12),1))))</f>
        <v/>
      </c>
      <c r="CU12" s="1" t="str">
        <f aca="false">IF(OR(OR(NOT(AND(ISNUMBER(E12),ISNUMBER(F12))),$J$2=""),12&gt;Reprogramaciones!$K$16),"",IF(ROUND(SUM($Q12:AB12),1)&gt;=99.5,100,MIN(100,ROUND(SUM($Q12:AB12),1))))</f>
        <v/>
      </c>
      <c r="CV12" s="1" t="str">
        <f aca="false">IF(OR(OR(NOT(AND(ISNUMBER(E12),ISNUMBER(F12))),$J$2=""),13&gt;Reprogramaciones!$K$16),"",IF(ROUND(SUM($Q12:AC12),1)&gt;=99.5,100,MIN(100,ROUND(SUM($Q12:AC12),1))))</f>
        <v/>
      </c>
      <c r="CW12" s="1" t="str">
        <f aca="false">IF(OR(OR(NOT(AND(ISNUMBER(E12),ISNUMBER(F12))),$J$2=""),14&gt;Reprogramaciones!$K$16),"",IF(ROUND(SUM($Q12:AD12),1)&gt;=99.5,100,MIN(100,ROUND(SUM($Q12:AD12),1))))</f>
        <v/>
      </c>
      <c r="CX12" s="1" t="str">
        <f aca="false">IF(OR(OR(NOT(AND(ISNUMBER(E12),ISNUMBER(F12))),$J$2=""),15&gt;Reprogramaciones!$K$16),"",IF(ROUND(SUM($Q12:AE12),1)&gt;=99.5,100,MIN(100,ROUND(SUM($Q12:AE12),1))))</f>
        <v/>
      </c>
      <c r="CY12" s="1" t="str">
        <f aca="false">IF(OR(OR(NOT(AND(ISNUMBER(E12),ISNUMBER(F12))),$J$2=""),16&gt;Reprogramaciones!$K$16),"",IF(ROUND(SUM($Q12:AF12),1)&gt;=99.5,100,MIN(100,ROUND(SUM($Q12:AF12),1))))</f>
        <v/>
      </c>
      <c r="CZ12" s="1" t="str">
        <f aca="false">IF(D12&lt;&gt;"",D12,IF(B12&lt;&gt;"","Contractual",CZ11))</f>
        <v>Contractual</v>
      </c>
      <c r="DA12" s="1" t="n">
        <f aca="false">IF(OR(NOT(AND(ISNUMBER(E12),ISNUMBER(F12))),$J$2=""),"",IF(Reprogramaciones!$Q$15&lt;Reprogramaciones!$T$15,0,IF(Reprogramaciones!$S$15&gt;10,MIN(100,SUM($G12:$P12)),MIN(100,SUMPRODUCT((COLUMN($G12:$P12)-COLUMN($G12)+1&lt;Reprogramaciones!$S$15)*$G12:$P12)+N(INDEX($G12:$P12,1,Reprogramaciones!$S$15))*IF(Reprogramaciones!$Q$15&gt;=(Reprogramaciones!$T$15+7*(Reprogramaciones!$S$15-1))+6,1,IF(MAX(0,NETWORKDAYS.INTL(MAX(E12,(Reprogramaciones!$T$15+7*(Reprogramaciones!$S$15-1))),MIN(F12,(Reprogramaciones!$T$15+7*(Reprogramaciones!$S$15-1))+6),11))=0,0,MAX(0,NETWORKDAYS.INTL(MAX(E12,(Reprogramaciones!$T$15+7*(Reprogramaciones!$S$15-1))),MIN(F12,Reprogramaciones!$Q$15),11))/MAX(0,NETWORKDAYS.INTL(MAX(E12,(Reprogramaciones!$T$15+7*(Reprogramaciones!$S$15-1))),MIN(F12,(Reprogramaciones!$T$15+7*(Reprogramaciones!$S$15-1))+6),11))))))))</f>
        <v>100</v>
      </c>
    </row>
    <row r="13" customFormat="false" ht="15" hidden="false" customHeight="false" outlineLevel="0" collapsed="false">
      <c r="A13" s="32" t="s">
        <v>167</v>
      </c>
      <c r="B13" s="33"/>
      <c r="C13" s="33" t="s">
        <v>168</v>
      </c>
      <c r="D13" s="34"/>
      <c r="E13" s="35" t="n">
        <v>46293</v>
      </c>
      <c r="F13" s="35" t="n">
        <v>46295</v>
      </c>
      <c r="G13" s="36" t="n">
        <f aca="false">IF(OR(NOT(AND(ISNUMBER(E13),ISNUMBER(F13))),$J$2=""),"",IF(Reprogramaciones!K$9&lt;E13,0,IF(NETWORKDAYS.INTL(E13,F13,11)=0,IF(Reprogramaciones!K$9&gt;=F13,100,0),ROUND(NETWORKDAYS.INTL(E13,MIN(F13,Reprogramaciones!K$9),11)/NETWORKDAYS.INTL(E13,F13,11)*100,1)))-0)</f>
        <v>0</v>
      </c>
      <c r="H13" s="36" t="n">
        <f aca="false">IF(OR(NOT(AND(ISNUMBER(E13),ISNUMBER(F13))),$J$2=""),"",IF(Reprogramaciones!L$9&lt;E13,0,IF(NETWORKDAYS.INTL(E13,F13,11)=0,IF(Reprogramaciones!L$9&gt;=F13,100,0),ROUND(NETWORKDAYS.INTL(E13,MIN(F13,Reprogramaciones!L$9),11)/NETWORKDAYS.INTL(E13,F13,11)*100,1)))-IF(Reprogramaciones!K$9&lt;E13,0,IF(NETWORKDAYS.INTL(E13,F13,11)=0,IF(Reprogramaciones!K$9&gt;=F13,100,0),ROUND(NETWORKDAYS.INTL(E13,MIN(F13,Reprogramaciones!K$9),11)/NETWORKDAYS.INTL(E13,F13,11)*100,1))))</f>
        <v>100</v>
      </c>
      <c r="I13" s="36" t="n">
        <f aca="false">IF(OR(NOT(AND(ISNUMBER(E13),ISNUMBER(F13))),$J$2=""),"",IF(Reprogramaciones!M$9&lt;E13,0,IF(NETWORKDAYS.INTL(E13,F13,11)=0,IF(Reprogramaciones!M$9&gt;=F13,100,0),ROUND(NETWORKDAYS.INTL(E13,MIN(F13,Reprogramaciones!M$9),11)/NETWORKDAYS.INTL(E13,F13,11)*100,1)))-IF(Reprogramaciones!L$9&lt;E13,0,IF(NETWORKDAYS.INTL(E13,F13,11)=0,IF(Reprogramaciones!L$9&gt;=F13,100,0),ROUND(NETWORKDAYS.INTL(E13,MIN(F13,Reprogramaciones!L$9),11)/NETWORKDAYS.INTL(E13,F13,11)*100,1))))</f>
        <v>0</v>
      </c>
      <c r="J13" s="36" t="n">
        <f aca="false">IF(OR(NOT(AND(ISNUMBER(E13),ISNUMBER(F13))),$J$2=""),"",IF(Reprogramaciones!N$9&lt;E13,0,IF(NETWORKDAYS.INTL(E13,F13,11)=0,IF(Reprogramaciones!N$9&gt;=F13,100,0),ROUND(NETWORKDAYS.INTL(E13,MIN(F13,Reprogramaciones!N$9),11)/NETWORKDAYS.INTL(E13,F13,11)*100,1)))-IF(Reprogramaciones!M$9&lt;E13,0,IF(NETWORKDAYS.INTL(E13,F13,11)=0,IF(Reprogramaciones!M$9&gt;=F13,100,0),ROUND(NETWORKDAYS.INTL(E13,MIN(F13,Reprogramaciones!M$9),11)/NETWORKDAYS.INTL(E13,F13,11)*100,1))))</f>
        <v>0</v>
      </c>
      <c r="K13" s="36" t="n">
        <f aca="false">IF(OR(NOT(AND(ISNUMBER(E13),ISNUMBER(F13))),$J$2=""),"",IF(Reprogramaciones!O$9&lt;E13,0,IF(NETWORKDAYS.INTL(E13,F13,11)=0,IF(Reprogramaciones!O$9&gt;=F13,100,0),ROUND(NETWORKDAYS.INTL(E13,MIN(F13,Reprogramaciones!O$9),11)/NETWORKDAYS.INTL(E13,F13,11)*100,1)))-IF(Reprogramaciones!N$9&lt;E13,0,IF(NETWORKDAYS.INTL(E13,F13,11)=0,IF(Reprogramaciones!N$9&gt;=F13,100,0),ROUND(NETWORKDAYS.INTL(E13,MIN(F13,Reprogramaciones!N$9),11)/NETWORKDAYS.INTL(E13,F13,11)*100,1))))</f>
        <v>0</v>
      </c>
      <c r="L13" s="36" t="n">
        <f aca="false">IF(OR(NOT(AND(ISNUMBER(E13),ISNUMBER(F13))),$J$2=""),"",IF(Reprogramaciones!P$9&lt;E13,0,IF(NETWORKDAYS.INTL(E13,F13,11)=0,IF(Reprogramaciones!P$9&gt;=F13,100,0),ROUND(NETWORKDAYS.INTL(E13,MIN(F13,Reprogramaciones!P$9),11)/NETWORKDAYS.INTL(E13,F13,11)*100,1)))-IF(Reprogramaciones!O$9&lt;E13,0,IF(NETWORKDAYS.INTL(E13,F13,11)=0,IF(Reprogramaciones!O$9&gt;=F13,100,0),ROUND(NETWORKDAYS.INTL(E13,MIN(F13,Reprogramaciones!O$9),11)/NETWORKDAYS.INTL(E13,F13,11)*100,1))))</f>
        <v>0</v>
      </c>
      <c r="M13" s="36" t="n">
        <f aca="false">IF(OR(NOT(AND(ISNUMBER(E13),ISNUMBER(F13))),$J$2=""),"",IF(Reprogramaciones!Q$9&lt;E13,0,IF(NETWORKDAYS.INTL(E13,F13,11)=0,IF(Reprogramaciones!Q$9&gt;=F13,100,0),ROUND(NETWORKDAYS.INTL(E13,MIN(F13,Reprogramaciones!Q$9),11)/NETWORKDAYS.INTL(E13,F13,11)*100,1)))-IF(Reprogramaciones!P$9&lt;E13,0,IF(NETWORKDAYS.INTL(E13,F13,11)=0,IF(Reprogramaciones!P$9&gt;=F13,100,0),ROUND(NETWORKDAYS.INTL(E13,MIN(F13,Reprogramaciones!P$9),11)/NETWORKDAYS.INTL(E13,F13,11)*100,1))))</f>
        <v>0</v>
      </c>
      <c r="N13" s="36" t="n">
        <f aca="false">IF(OR(NOT(AND(ISNUMBER(E13),ISNUMBER(F13))),$J$2=""),"",IF(Reprogramaciones!R$9&lt;E13,0,IF(NETWORKDAYS.INTL(E13,F13,11)=0,IF(Reprogramaciones!R$9&gt;=F13,100,0),ROUND(NETWORKDAYS.INTL(E13,MIN(F13,Reprogramaciones!R$9),11)/NETWORKDAYS.INTL(E13,F13,11)*100,1)))-IF(Reprogramaciones!Q$9&lt;E13,0,IF(NETWORKDAYS.INTL(E13,F13,11)=0,IF(Reprogramaciones!Q$9&gt;=F13,100,0),ROUND(NETWORKDAYS.INTL(E13,MIN(F13,Reprogramaciones!Q$9),11)/NETWORKDAYS.INTL(E13,F13,11)*100,1))))</f>
        <v>0</v>
      </c>
      <c r="O13" s="36" t="n">
        <f aca="false">IF(OR(NOT(AND(ISNUMBER(E13),ISNUMBER(F13))),$J$2=""),"",IF(Reprogramaciones!S$9&lt;E13,0,IF(NETWORKDAYS.INTL(E13,F13,11)=0,IF(Reprogramaciones!S$9&gt;=F13,100,0),ROUND(NETWORKDAYS.INTL(E13,MIN(F13,Reprogramaciones!S$9),11)/NETWORKDAYS.INTL(E13,F13,11)*100,1)))-IF(Reprogramaciones!R$9&lt;E13,0,IF(NETWORKDAYS.INTL(E13,F13,11)=0,IF(Reprogramaciones!R$9&gt;=F13,100,0),ROUND(NETWORKDAYS.INTL(E13,MIN(F13,Reprogramaciones!R$9),11)/NETWORKDAYS.INTL(E13,F13,11)*100,1))))</f>
        <v>0</v>
      </c>
      <c r="P13" s="36" t="n">
        <f aca="false">IF(OR(NOT(AND(ISNUMBER(E13),ISNUMBER(F13))),$J$2=""),"",IF(Reprogramaciones!T$9&lt;E13,0,IF(NETWORKDAYS.INTL(E13,F13,11)=0,IF(Reprogramaciones!T$9&gt;=F13,100,0),ROUND(NETWORKDAYS.INTL(E13,MIN(F13,Reprogramaciones!T$9),11)/NETWORKDAYS.INTL(E13,F13,11)*100,1)))-IF(Reprogramaciones!S$9&lt;E13,0,IF(NETWORKDAYS.INTL(E13,F13,11)=0,IF(Reprogramaciones!S$9&gt;=F13,100,0),ROUND(NETWORKDAYS.INTL(E13,MIN(F13,Reprogramaciones!S$9),11)/NETWORKDAYS.INTL(E13,F13,11)*100,1))))</f>
        <v>0</v>
      </c>
      <c r="Q13" s="37"/>
      <c r="R13" s="37" t="n">
        <v>100</v>
      </c>
      <c r="S13" s="37"/>
      <c r="T13" s="37"/>
      <c r="U13" s="37"/>
      <c r="V13" s="37"/>
      <c r="W13" s="37"/>
      <c r="X13" s="37"/>
      <c r="Y13" s="37"/>
      <c r="Z13" s="37"/>
      <c r="AA13" s="37"/>
      <c r="AB13" s="37"/>
      <c r="AC13" s="37"/>
      <c r="AD13" s="37"/>
      <c r="AE13" s="37"/>
      <c r="AF13" s="37"/>
      <c r="AG13" s="38" t="n">
        <f aca="false">IF(AND(ISNUMBER(E13),ISNUMBER(F13)),NETWORKDAYS.INTL(E13,F13,11),"")</f>
        <v>3</v>
      </c>
      <c r="AH13" s="38" t="n">
        <f aca="false">IF(OR(NOT(AND(ISNUMBER(E13),ISNUMBER(F13))),$J$2=""),"",IF(Reprogramaciones!$P$15&lt;Reprogramaciones!$T$15,0,IF(Reprogramaciones!$R$15&gt;10,MIN(100,SUM($G13:$P13)),MIN(100,SUMPRODUCT((COLUMN($G13:$P13)-COLUMN($G13)+1&lt;Reprogramaciones!$R$15)*$G13:$P13)+N(INDEX($G13:$P13,1,Reprogramaciones!$R$15))*IF(Reprogramaciones!$P$15&gt;=(Reprogramaciones!$T$15+7*(Reprogramaciones!$R$15-1))+6,1,IF(MAX(0,NETWORKDAYS.INTL(MAX(E13,(Reprogramaciones!$T$15+7*(Reprogramaciones!$R$15-1))),MIN(F13,(Reprogramaciones!$T$15+7*(Reprogramaciones!$R$15-1))+6),11))=0,0,MAX(0,NETWORKDAYS.INTL(MAX(E13,(Reprogramaciones!$T$15+7*(Reprogramaciones!$R$15-1))),MIN(F13,Reprogramaciones!$P$15),11))/MAX(0,NETWORKDAYS.INTL(MAX(E13,(Reprogramaciones!$T$15+7*(Reprogramaciones!$R$15-1))),MIN(F13,(Reprogramaciones!$T$15+7*(Reprogramaciones!$R$15-1))+6),11))))))))</f>
        <v>100</v>
      </c>
      <c r="AI13" s="38" t="n">
        <f aca="false">IF(COUNT($Q13:$AF13)=0,"",IF(ROUND(SUM($Q13:$AF13),1)&gt;=99.5,100,MIN(100,ROUND(SUM($Q13:$AF13),1))))</f>
        <v>100</v>
      </c>
      <c r="AJ13" s="38" t="n">
        <f aca="false">IF(OR(AH13="",AI13=""),"",AI13-AH13)</f>
        <v>0</v>
      </c>
      <c r="AK13" s="39" t="str">
        <f aca="true">IF(AH13="","",IF(OR(Ficha!$C$10="Suspendida",Ficha!$C$10="Cancelada"),Ficha!$C$10,IF(AND(AI13&lt;&gt;"",N(AI13)&gt;=100),"Completada",IF(AND(E13&gt;TODAY(),N(AI13)=0),"Por iniciar",IF(N(AI13)+0.5&lt;AH13,"Retrasada",IF(N(AI13)+0.5&lt;DA13,IF(Reprogramaciones!$K$15&gt;0,"Al día · Sem "&amp;Reprogramaciones!$K$15&amp;" en curso","Al día · en curso"),"A tiempo"))))))</f>
        <v>Completada</v>
      </c>
      <c r="AL13" s="39" t="str">
        <f aca="true">IF(AND(A13="",AND(B13="",C13="",E13="",F13="",COUNT(Q13:AF13)=0)),"",IF(AND(B13="",C13="",E13="",F13="",COUNT(Q13:AF13)=0),"Falta la partida o subpartida",IF(AND(A13&lt;&gt;"",COUNTIF($A$6:$A$305,A13)&gt;1),"Ítem repetido",IF(AND(C13="",E13="",F13="",COUNT(Q13:AF13)=0),"Título de partida",IF(OR(E13="",F13=""),"Faltan fechas",IF(OR(ISTEXT(E13),ISTEXT(F13)),"Fecha escrita como texto: usa dd/mm/aaaa",IF(F13&lt;E13,"Fin antes del inicio",IF(IF($J$2="",FALSE(),OR(E13&lt;$J$2,F13&gt;Reprogramaciones!$T$15+69)),"Fuera de las 10 semanas",IF(ABS(SUM(G13:P13)-100)&gt;0.5,"La meta no suma 100%",IF(ROUND(SUM(Q13:AF13),1)&gt;100.5,"El avance pasa de 100%",IF(MIN(Q13:AF13)&lt;0,"Avance negativo",IF(COUNTA(Q13:AF13)&gt;COUNT(Q13:AF13),"Avance escrito como texto",IF(SUMPRODUCT((Q13:AF13&gt;0)*(Q13:AF13&lt;1))&gt;0,"Avance menor a 1: escribe 50, no 50%",IF(SUMPRODUCT(ISNUMBER(Q13:AF13)*(Reprogramaciones!$K$8:$Z$8&gt;TODAY()))&gt;0,"Avance en semana que aún no llega",IF(AND(N(Reprogramaciones!$E$21)&gt;0,F13&gt;Reprogramaciones!$E$21),"Pasa el fin de la obra: registra una reprogramación",IF(AND(N(Reprogramaciones!$E$21)&gt;0,SUMPRODUCT(ISNUMBER(Q13:AF13)*(Reprogramaciones!$K$8:$Z$8&gt;Reprogramaciones!$E$21))&gt;0),"Avance después del fin de la obra: registra una reprogramación por atraso","OK"))))))))))))))))</f>
        <v>OK</v>
      </c>
      <c r="AM13" s="40" t="str">
        <f aca="false">IF(OR(OR(NOT(AND(ISNUMBER(E13),ISNUMBER(F13))),$J$2=""),1&gt;MAX(1,Reprogramaciones!$U$15)),"",IF(Reprogramaciones!K$12&gt;=7,"",IF(OR(BT13-N(0)&gt;0.05,N(Q13)&gt;0),ROUNDDOWN(ROUND(BT13,6),0)&amp;"%"&amp;IF(CJ13="",""," / "&amp;CJ13&amp;"%"),IF(AND(N(0)&gt;=99.95,CJ13&lt;&gt;"",N(CJ13)&lt;100),"Pend. "&amp;CJ13&amp;"%",""))))</f>
        <v/>
      </c>
      <c r="AN13" s="40" t="str">
        <f aca="false">IF(OR(OR(NOT(AND(ISNUMBER(E13),ISNUMBER(F13))),$J$2=""),2&gt;MAX(1,Reprogramaciones!$U$15)),"",IF(Reprogramaciones!L$12&gt;=7,"",IF(OR(BU13-N(BT13)&gt;0.05,N(R13)&gt;0),ROUNDDOWN(ROUND(BU13,6),0)&amp;"%"&amp;IF(CK13="",""," / "&amp;CK13&amp;"%"),IF(AND(N(BT13)&gt;=99.95,CK13&lt;&gt;"",N(CK13)&lt;100),"Pend. "&amp;CK13&amp;"%",""))))</f>
        <v>100% / 100%</v>
      </c>
      <c r="AO13" s="40" t="str">
        <f aca="false">IF(OR(OR(NOT(AND(ISNUMBER(E13),ISNUMBER(F13))),$J$2=""),3&gt;MAX(1,Reprogramaciones!$U$15)),"",IF(Reprogramaciones!M$12&gt;=7,"",IF(OR(BV13-N(BU13)&gt;0.05,N(S13)&gt;0),ROUNDDOWN(ROUND(BV13,6),0)&amp;"%"&amp;IF(CL13="",""," / "&amp;CL13&amp;"%"),IF(AND(N(BU13)&gt;=99.95,CL13&lt;&gt;"",N(CL13)&lt;100),"Pend. "&amp;CL13&amp;"%",""))))</f>
        <v/>
      </c>
      <c r="AP13" s="40" t="str">
        <f aca="false">IF(OR(OR(NOT(AND(ISNUMBER(E13),ISNUMBER(F13))),$J$2=""),4&gt;MAX(1,Reprogramaciones!$U$15)),"",IF(Reprogramaciones!N$12&gt;=7,"",IF(OR(BW13-N(BV13)&gt;0.05,N(T13)&gt;0),ROUNDDOWN(ROUND(BW13,6),0)&amp;"%"&amp;IF(CM13="",""," / "&amp;CM13&amp;"%"),IF(AND(N(BV13)&gt;=99.95,CM13&lt;&gt;"",N(CM13)&lt;100),"Pend. "&amp;CM13&amp;"%",""))))</f>
        <v/>
      </c>
      <c r="AQ13" s="40" t="str">
        <f aca="false">IF(OR(OR(NOT(AND(ISNUMBER(E13),ISNUMBER(F13))),$J$2=""),5&gt;MAX(1,Reprogramaciones!$U$15)),"",IF(Reprogramaciones!O$12&gt;=7,"",IF(OR(BX13-N(BW13)&gt;0.05,N(U13)&gt;0),ROUNDDOWN(ROUND(BX13,6),0)&amp;"%"&amp;IF(CN13="",""," / "&amp;CN13&amp;"%"),IF(AND(N(BW13)&gt;=99.95,CN13&lt;&gt;"",N(CN13)&lt;100),"Pend. "&amp;CN13&amp;"%",""))))</f>
        <v/>
      </c>
      <c r="AR13" s="40" t="str">
        <f aca="false">IF(OR(OR(NOT(AND(ISNUMBER(E13),ISNUMBER(F13))),$J$2=""),6&gt;MAX(1,Reprogramaciones!$U$15)),"",IF(Reprogramaciones!P$12&gt;=7,"",IF(OR(BY13-N(BX13)&gt;0.05,N(V13)&gt;0),ROUNDDOWN(ROUND(BY13,6),0)&amp;"%"&amp;IF(CO13="",""," / "&amp;CO13&amp;"%"),IF(AND(N(BX13)&gt;=99.95,CO13&lt;&gt;"",N(CO13)&lt;100),"Pend. "&amp;CO13&amp;"%",""))))</f>
        <v/>
      </c>
      <c r="AS13" s="40" t="str">
        <f aca="false">IF(OR(OR(NOT(AND(ISNUMBER(E13),ISNUMBER(F13))),$J$2=""),7&gt;MAX(1,Reprogramaciones!$U$15)),"",IF(Reprogramaciones!Q$12&gt;=7,"",IF(OR(BZ13-N(BY13)&gt;0.05,N(W13)&gt;0),ROUNDDOWN(ROUND(BZ13,6),0)&amp;"%"&amp;IF(CP13="",""," / "&amp;CP13&amp;"%"),IF(AND(N(BY13)&gt;=99.95,CP13&lt;&gt;"",N(CP13)&lt;100),"Pend. "&amp;CP13&amp;"%",""))))</f>
        <v/>
      </c>
      <c r="AT13" s="40" t="str">
        <f aca="false">IF(OR(OR(NOT(AND(ISNUMBER(E13),ISNUMBER(F13))),$J$2=""),8&gt;MAX(1,Reprogramaciones!$U$15)),"",IF(Reprogramaciones!R$12&gt;=7,"",IF(OR(CA13-N(BZ13)&gt;0.05,N(X13)&gt;0),ROUNDDOWN(ROUND(CA13,6),0)&amp;"%"&amp;IF(CQ13="",""," / "&amp;CQ13&amp;"%"),IF(AND(N(BZ13)&gt;=99.95,CQ13&lt;&gt;"",N(CQ13)&lt;100),"Pend. "&amp;CQ13&amp;"%",""))))</f>
        <v/>
      </c>
      <c r="AU13" s="40" t="str">
        <f aca="false">IF(OR(OR(NOT(AND(ISNUMBER(E13),ISNUMBER(F13))),$J$2=""),9&gt;MAX(1,Reprogramaciones!$U$15)),"",IF(Reprogramaciones!S$12&gt;=7,"",IF(OR(CB13-N(CA13)&gt;0.05,N(Y13)&gt;0),ROUNDDOWN(ROUND(CB13,6),0)&amp;"%"&amp;IF(CR13="",""," / "&amp;CR13&amp;"%"),IF(AND(N(CA13)&gt;=99.95,CR13&lt;&gt;"",N(CR13)&lt;100),"Pend. "&amp;CR13&amp;"%",""))))</f>
        <v/>
      </c>
      <c r="AV13" s="40" t="str">
        <f aca="false">IF(OR(OR(NOT(AND(ISNUMBER(E13),ISNUMBER(F13))),$J$2=""),10&gt;MAX(1,Reprogramaciones!$U$15)),"",IF(Reprogramaciones!T$12&gt;=7,"",IF(OR(CC13-N(CB13)&gt;0.05,N(Z13)&gt;0),ROUNDDOWN(ROUND(CC13,6),0)&amp;"%"&amp;IF(CS13="",""," / "&amp;CS13&amp;"%"),IF(AND(N(CB13)&gt;=99.95,CS13&lt;&gt;"",N(CS13)&lt;100),"Pend. "&amp;CS13&amp;"%",""))))</f>
        <v/>
      </c>
      <c r="AW13" s="40" t="str">
        <f aca="false">IF(OR(OR(NOT(AND(ISNUMBER(E13),ISNUMBER(F13))),$J$2=""),11&gt;MAX(1,Reprogramaciones!$U$15)),"",IF(Reprogramaciones!U$12&gt;=7,"",IF(OR(CD13-N(CC13)&gt;0.05,N(AA13)&gt;0),ROUNDDOWN(ROUND(CD13,6),0)&amp;"%"&amp;IF(CT13="",""," / "&amp;CT13&amp;"%"),IF(AND(N(CC13)&gt;=99.95,CT13&lt;&gt;"",N(CT13)&lt;100),"Pend. "&amp;CT13&amp;"%",""))))</f>
        <v/>
      </c>
      <c r="AX13" s="40" t="str">
        <f aca="false">IF(OR(OR(NOT(AND(ISNUMBER(E13),ISNUMBER(F13))),$J$2=""),12&gt;MAX(1,Reprogramaciones!$U$15)),"",IF(Reprogramaciones!V$12&gt;=7,"",IF(OR(CE13-N(CD13)&gt;0.05,N(AB13)&gt;0),ROUNDDOWN(ROUND(CE13,6),0)&amp;"%"&amp;IF(CU13="",""," / "&amp;CU13&amp;"%"),IF(AND(N(CD13)&gt;=99.95,CU13&lt;&gt;"",N(CU13)&lt;100),"Pend. "&amp;CU13&amp;"%",""))))</f>
        <v/>
      </c>
      <c r="AY13" s="40" t="str">
        <f aca="false">IF(OR(OR(NOT(AND(ISNUMBER(E13),ISNUMBER(F13))),$J$2=""),13&gt;MAX(1,Reprogramaciones!$U$15)),"",IF(Reprogramaciones!W$12&gt;=7,"",IF(OR(CF13-N(CE13)&gt;0.05,N(AC13)&gt;0),ROUNDDOWN(ROUND(CF13,6),0)&amp;"%"&amp;IF(CV13="",""," / "&amp;CV13&amp;"%"),IF(AND(N(CE13)&gt;=99.95,CV13&lt;&gt;"",N(CV13)&lt;100),"Pend. "&amp;CV13&amp;"%",""))))</f>
        <v/>
      </c>
      <c r="AZ13" s="40" t="str">
        <f aca="false">IF(OR(OR(NOT(AND(ISNUMBER(E13),ISNUMBER(F13))),$J$2=""),14&gt;MAX(1,Reprogramaciones!$U$15)),"",IF(Reprogramaciones!X$12&gt;=7,"",IF(OR(CG13-N(CF13)&gt;0.05,N(AD13)&gt;0),ROUNDDOWN(ROUND(CG13,6),0)&amp;"%"&amp;IF(CW13="",""," / "&amp;CW13&amp;"%"),IF(AND(N(CF13)&gt;=99.95,CW13&lt;&gt;"",N(CW13)&lt;100),"Pend. "&amp;CW13&amp;"%",""))))</f>
        <v/>
      </c>
      <c r="BA13" s="40" t="str">
        <f aca="false">IF(OR(OR(NOT(AND(ISNUMBER(E13),ISNUMBER(F13))),$J$2=""),15&gt;MAX(1,Reprogramaciones!$U$15)),"",IF(Reprogramaciones!Y$12&gt;=7,"",IF(OR(CH13-N(CG13)&gt;0.05,N(AE13)&gt;0),ROUNDDOWN(ROUND(CH13,6),0)&amp;"%"&amp;IF(CX13="",""," / "&amp;CX13&amp;"%"),IF(AND(N(CG13)&gt;=99.95,CX13&lt;&gt;"",N(CX13)&lt;100),"Pend. "&amp;CX13&amp;"%",""))))</f>
        <v/>
      </c>
      <c r="BB13" s="40" t="str">
        <f aca="false">IF(OR(OR(NOT(AND(ISNUMBER(E13),ISNUMBER(F13))),$J$2=""),16&gt;MAX(1,Reprogramaciones!$U$15)),"",IF(Reprogramaciones!Z$12&gt;=7,"",IF(OR(CI13-N(CH13)&gt;0.05,N(AF13)&gt;0),ROUNDDOWN(ROUND(CI13,6),0)&amp;"%"&amp;IF(CY13="",""," / "&amp;CY13&amp;"%"),IF(AND(N(CH13)&gt;=99.95,CY13&lt;&gt;"",N(CY13)&lt;100),"Pend. "&amp;CY13&amp;"%",""))))</f>
        <v/>
      </c>
      <c r="BC13" s="31" t="n">
        <f aca="false">IF(AND(ISNUMBER(E13),ISNUMBER(F13)),MAX(1,NETWORKDAYS.INTL(E13,F13,11)),0)</f>
        <v>3</v>
      </c>
      <c r="BD13" s="1" t="n">
        <f aca="false">IF(OR(NOT(AND(ISNUMBER(E13),ISNUMBER(F13))),$J$2=""),"",MIN(100,ROUND(SUM($G13:G13),1)))</f>
        <v>0</v>
      </c>
      <c r="BE13" s="1" t="n">
        <f aca="false">IF(OR(NOT(AND(ISNUMBER(E13),ISNUMBER(F13))),$J$2=""),"",MIN(100,ROUND(SUM($G13:H13),1)))</f>
        <v>100</v>
      </c>
      <c r="BF13" s="1" t="n">
        <f aca="false">IF(OR(NOT(AND(ISNUMBER(E13),ISNUMBER(F13))),$J$2=""),"",MIN(100,ROUND(SUM($G13:I13),1)))</f>
        <v>100</v>
      </c>
      <c r="BG13" s="1" t="n">
        <f aca="false">IF(OR(NOT(AND(ISNUMBER(E13),ISNUMBER(F13))),$J$2=""),"",MIN(100,ROUND(SUM($G13:J13),1)))</f>
        <v>100</v>
      </c>
      <c r="BH13" s="1" t="n">
        <f aca="false">IF(OR(NOT(AND(ISNUMBER(E13),ISNUMBER(F13))),$J$2=""),"",MIN(100,ROUND(SUM($G13:K13),1)))</f>
        <v>100</v>
      </c>
      <c r="BI13" s="1" t="n">
        <f aca="false">IF(OR(NOT(AND(ISNUMBER(E13),ISNUMBER(F13))),$J$2=""),"",MIN(100,ROUND(SUM($G13:L13),1)))</f>
        <v>100</v>
      </c>
      <c r="BJ13" s="1" t="n">
        <f aca="false">IF(OR(NOT(AND(ISNUMBER(E13),ISNUMBER(F13))),$J$2=""),"",MIN(100,ROUND(SUM($G13:M13),1)))</f>
        <v>100</v>
      </c>
      <c r="BK13" s="1" t="n">
        <f aca="false">IF(OR(NOT(AND(ISNUMBER(E13),ISNUMBER(F13))),$J$2=""),"",MIN(100,ROUND(SUM($G13:N13),1)))</f>
        <v>100</v>
      </c>
      <c r="BL13" s="1" t="n">
        <f aca="false">IF(OR(NOT(AND(ISNUMBER(E13),ISNUMBER(F13))),$J$2=""),"",MIN(100,ROUND(SUM($G13:O13),1)))</f>
        <v>100</v>
      </c>
      <c r="BM13" s="1" t="n">
        <f aca="false">IF(OR(NOT(AND(ISNUMBER(E13),ISNUMBER(F13))),$J$2=""),"",MIN(100,ROUND(SUM($G13:P13),1)))</f>
        <v>100</v>
      </c>
      <c r="BN13" s="1" t="n">
        <f aca="false">IF(OR(NOT(AND(ISNUMBER(E13),ISNUMBER(F13))),$J$2=""),"",MIN(100,ROUND(SUM($G13:P13),1)))</f>
        <v>100</v>
      </c>
      <c r="BO13" s="1" t="n">
        <f aca="false">IF(OR(NOT(AND(ISNUMBER(E13),ISNUMBER(F13))),$J$2=""),"",MIN(100,ROUND(SUM($G13:P13),1)))</f>
        <v>100</v>
      </c>
      <c r="BP13" s="1" t="n">
        <f aca="false">IF(OR(NOT(AND(ISNUMBER(E13),ISNUMBER(F13))),$J$2=""),"",MIN(100,ROUND(SUM($G13:P13),1)))</f>
        <v>100</v>
      </c>
      <c r="BQ13" s="1" t="n">
        <f aca="false">IF(OR(NOT(AND(ISNUMBER(E13),ISNUMBER(F13))),$J$2=""),"",MIN(100,ROUND(SUM($G13:P13),1)))</f>
        <v>100</v>
      </c>
      <c r="BR13" s="1" t="n">
        <f aca="false">IF(OR(NOT(AND(ISNUMBER(E13),ISNUMBER(F13))),$J$2=""),"",MIN(100,ROUND(SUM($G13:P13),1)))</f>
        <v>100</v>
      </c>
      <c r="BS13" s="1" t="n">
        <f aca="false">IF(OR(NOT(AND(ISNUMBER(E13),ISNUMBER(F13))),$J$2=""),"",MIN(100,ROUND(SUM($G13:P13),1)))</f>
        <v>100</v>
      </c>
      <c r="BT13" s="1" t="n">
        <f aca="false">IF(OR(NOT(AND(ISNUMBER(E13),ISNUMBER(F13))),$J$2=""),"",IF(Reprogramaciones!K$13&lt;Reprogramaciones!$T$15,0,IF(Reprogramaciones!K$14&gt;10,MIN(100,SUM($G13:$P13)),MIN(100,SUMPRODUCT((COLUMN($G13:$P13)-COLUMN($G13)+1&lt;Reprogramaciones!K$14)*$G13:$P13)+N(INDEX($G13:$P13,1,Reprogramaciones!K$14))*IF(Reprogramaciones!K$13&gt;=(Reprogramaciones!$T$15+7*(Reprogramaciones!K$14-1))+6,1,IF(MAX(0,NETWORKDAYS.INTL(MAX(E13,(Reprogramaciones!$T$15+7*(Reprogramaciones!K$14-1))),MIN(F13,(Reprogramaciones!$T$15+7*(Reprogramaciones!K$14-1))+6),11))=0,0,MAX(0,NETWORKDAYS.INTL(MAX(E13,(Reprogramaciones!$T$15+7*(Reprogramaciones!K$14-1))),MIN(F13,Reprogramaciones!K$13),11))/MAX(0,NETWORKDAYS.INTL(MAX(E13,(Reprogramaciones!$T$15+7*(Reprogramaciones!K$14-1))),MIN(F13,(Reprogramaciones!$T$15+7*(Reprogramaciones!K$14-1))+6),11))))))))</f>
        <v>0</v>
      </c>
      <c r="BU13" s="1" t="n">
        <f aca="false">IF(OR(NOT(AND(ISNUMBER(E13),ISNUMBER(F13))),$J$2=""),"",IF(Reprogramaciones!L$13&lt;Reprogramaciones!$T$15,0,IF(Reprogramaciones!L$14&gt;10,MIN(100,SUM($G13:$P13)),MIN(100,SUMPRODUCT((COLUMN($G13:$P13)-COLUMN($G13)+1&lt;Reprogramaciones!L$14)*$G13:$P13)+N(INDEX($G13:$P13,1,Reprogramaciones!L$14))*IF(Reprogramaciones!L$13&gt;=(Reprogramaciones!$T$15+7*(Reprogramaciones!L$14-1))+6,1,IF(MAX(0,NETWORKDAYS.INTL(MAX(E13,(Reprogramaciones!$T$15+7*(Reprogramaciones!L$14-1))),MIN(F13,(Reprogramaciones!$T$15+7*(Reprogramaciones!L$14-1))+6),11))=0,0,MAX(0,NETWORKDAYS.INTL(MAX(E13,(Reprogramaciones!$T$15+7*(Reprogramaciones!L$14-1))),MIN(F13,Reprogramaciones!L$13),11))/MAX(0,NETWORKDAYS.INTL(MAX(E13,(Reprogramaciones!$T$15+7*(Reprogramaciones!L$14-1))),MIN(F13,(Reprogramaciones!$T$15+7*(Reprogramaciones!L$14-1))+6),11))))))))</f>
        <v>100</v>
      </c>
      <c r="BV13" s="1" t="n">
        <f aca="false">IF(OR(NOT(AND(ISNUMBER(E13),ISNUMBER(F13))),$J$2=""),"",IF(Reprogramaciones!M$13&lt;Reprogramaciones!$T$15,0,IF(Reprogramaciones!M$14&gt;10,MIN(100,SUM($G13:$P13)),MIN(100,SUMPRODUCT((COLUMN($G13:$P13)-COLUMN($G13)+1&lt;Reprogramaciones!M$14)*$G13:$P13)+N(INDEX($G13:$P13,1,Reprogramaciones!M$14))*IF(Reprogramaciones!M$13&gt;=(Reprogramaciones!$T$15+7*(Reprogramaciones!M$14-1))+6,1,IF(MAX(0,NETWORKDAYS.INTL(MAX(E13,(Reprogramaciones!$T$15+7*(Reprogramaciones!M$14-1))),MIN(F13,(Reprogramaciones!$T$15+7*(Reprogramaciones!M$14-1))+6),11))=0,0,MAX(0,NETWORKDAYS.INTL(MAX(E13,(Reprogramaciones!$T$15+7*(Reprogramaciones!M$14-1))),MIN(F13,Reprogramaciones!M$13),11))/MAX(0,NETWORKDAYS.INTL(MAX(E13,(Reprogramaciones!$T$15+7*(Reprogramaciones!M$14-1))),MIN(F13,(Reprogramaciones!$T$15+7*(Reprogramaciones!M$14-1))+6),11))))))))</f>
        <v>100</v>
      </c>
      <c r="BW13" s="1" t="n">
        <f aca="false">IF(OR(NOT(AND(ISNUMBER(E13),ISNUMBER(F13))),$J$2=""),"",IF(Reprogramaciones!N$13&lt;Reprogramaciones!$T$15,0,IF(Reprogramaciones!N$14&gt;10,MIN(100,SUM($G13:$P13)),MIN(100,SUMPRODUCT((COLUMN($G13:$P13)-COLUMN($G13)+1&lt;Reprogramaciones!N$14)*$G13:$P13)+N(INDEX($G13:$P13,1,Reprogramaciones!N$14))*IF(Reprogramaciones!N$13&gt;=(Reprogramaciones!$T$15+7*(Reprogramaciones!N$14-1))+6,1,IF(MAX(0,NETWORKDAYS.INTL(MAX(E13,(Reprogramaciones!$T$15+7*(Reprogramaciones!N$14-1))),MIN(F13,(Reprogramaciones!$T$15+7*(Reprogramaciones!N$14-1))+6),11))=0,0,MAX(0,NETWORKDAYS.INTL(MAX(E13,(Reprogramaciones!$T$15+7*(Reprogramaciones!N$14-1))),MIN(F13,Reprogramaciones!N$13),11))/MAX(0,NETWORKDAYS.INTL(MAX(E13,(Reprogramaciones!$T$15+7*(Reprogramaciones!N$14-1))),MIN(F13,(Reprogramaciones!$T$15+7*(Reprogramaciones!N$14-1))+6),11))))))))</f>
        <v>100</v>
      </c>
      <c r="BX13" s="1" t="n">
        <f aca="false">IF(OR(NOT(AND(ISNUMBER(E13),ISNUMBER(F13))),$J$2=""),"",IF(Reprogramaciones!O$13&lt;Reprogramaciones!$T$15,0,IF(Reprogramaciones!O$14&gt;10,MIN(100,SUM($G13:$P13)),MIN(100,SUMPRODUCT((COLUMN($G13:$P13)-COLUMN($G13)+1&lt;Reprogramaciones!O$14)*$G13:$P13)+N(INDEX($G13:$P13,1,Reprogramaciones!O$14))*IF(Reprogramaciones!O$13&gt;=(Reprogramaciones!$T$15+7*(Reprogramaciones!O$14-1))+6,1,IF(MAX(0,NETWORKDAYS.INTL(MAX(E13,(Reprogramaciones!$T$15+7*(Reprogramaciones!O$14-1))),MIN(F13,(Reprogramaciones!$T$15+7*(Reprogramaciones!O$14-1))+6),11))=0,0,MAX(0,NETWORKDAYS.INTL(MAX(E13,(Reprogramaciones!$T$15+7*(Reprogramaciones!O$14-1))),MIN(F13,Reprogramaciones!O$13),11))/MAX(0,NETWORKDAYS.INTL(MAX(E13,(Reprogramaciones!$T$15+7*(Reprogramaciones!O$14-1))),MIN(F13,(Reprogramaciones!$T$15+7*(Reprogramaciones!O$14-1))+6),11))))))))</f>
        <v>100</v>
      </c>
      <c r="BY13" s="1" t="n">
        <f aca="false">IF(OR(NOT(AND(ISNUMBER(E13),ISNUMBER(F13))),$J$2=""),"",IF(Reprogramaciones!P$13&lt;Reprogramaciones!$T$15,0,IF(Reprogramaciones!P$14&gt;10,MIN(100,SUM($G13:$P13)),MIN(100,SUMPRODUCT((COLUMN($G13:$P13)-COLUMN($G13)+1&lt;Reprogramaciones!P$14)*$G13:$P13)+N(INDEX($G13:$P13,1,Reprogramaciones!P$14))*IF(Reprogramaciones!P$13&gt;=(Reprogramaciones!$T$15+7*(Reprogramaciones!P$14-1))+6,1,IF(MAX(0,NETWORKDAYS.INTL(MAX(E13,(Reprogramaciones!$T$15+7*(Reprogramaciones!P$14-1))),MIN(F13,(Reprogramaciones!$T$15+7*(Reprogramaciones!P$14-1))+6),11))=0,0,MAX(0,NETWORKDAYS.INTL(MAX(E13,(Reprogramaciones!$T$15+7*(Reprogramaciones!P$14-1))),MIN(F13,Reprogramaciones!P$13),11))/MAX(0,NETWORKDAYS.INTL(MAX(E13,(Reprogramaciones!$T$15+7*(Reprogramaciones!P$14-1))),MIN(F13,(Reprogramaciones!$T$15+7*(Reprogramaciones!P$14-1))+6),11))))))))</f>
        <v>100</v>
      </c>
      <c r="BZ13" s="1" t="n">
        <f aca="false">IF(OR(NOT(AND(ISNUMBER(E13),ISNUMBER(F13))),$J$2=""),"",IF(Reprogramaciones!Q$13&lt;Reprogramaciones!$T$15,0,IF(Reprogramaciones!Q$14&gt;10,MIN(100,SUM($G13:$P13)),MIN(100,SUMPRODUCT((COLUMN($G13:$P13)-COLUMN($G13)+1&lt;Reprogramaciones!Q$14)*$G13:$P13)+N(INDEX($G13:$P13,1,Reprogramaciones!Q$14))*IF(Reprogramaciones!Q$13&gt;=(Reprogramaciones!$T$15+7*(Reprogramaciones!Q$14-1))+6,1,IF(MAX(0,NETWORKDAYS.INTL(MAX(E13,(Reprogramaciones!$T$15+7*(Reprogramaciones!Q$14-1))),MIN(F13,(Reprogramaciones!$T$15+7*(Reprogramaciones!Q$14-1))+6),11))=0,0,MAX(0,NETWORKDAYS.INTL(MAX(E13,(Reprogramaciones!$T$15+7*(Reprogramaciones!Q$14-1))),MIN(F13,Reprogramaciones!Q$13),11))/MAX(0,NETWORKDAYS.INTL(MAX(E13,(Reprogramaciones!$T$15+7*(Reprogramaciones!Q$14-1))),MIN(F13,(Reprogramaciones!$T$15+7*(Reprogramaciones!Q$14-1))+6),11))))))))</f>
        <v>100</v>
      </c>
      <c r="CA13" s="1" t="n">
        <f aca="false">IF(OR(NOT(AND(ISNUMBER(E13),ISNUMBER(F13))),$J$2=""),"",IF(Reprogramaciones!R$13&lt;Reprogramaciones!$T$15,0,IF(Reprogramaciones!R$14&gt;10,MIN(100,SUM($G13:$P13)),MIN(100,SUMPRODUCT((COLUMN($G13:$P13)-COLUMN($G13)+1&lt;Reprogramaciones!R$14)*$G13:$P13)+N(INDEX($G13:$P13,1,Reprogramaciones!R$14))*IF(Reprogramaciones!R$13&gt;=(Reprogramaciones!$T$15+7*(Reprogramaciones!R$14-1))+6,1,IF(MAX(0,NETWORKDAYS.INTL(MAX(E13,(Reprogramaciones!$T$15+7*(Reprogramaciones!R$14-1))),MIN(F13,(Reprogramaciones!$T$15+7*(Reprogramaciones!R$14-1))+6),11))=0,0,MAX(0,NETWORKDAYS.INTL(MAX(E13,(Reprogramaciones!$T$15+7*(Reprogramaciones!R$14-1))),MIN(F13,Reprogramaciones!R$13),11))/MAX(0,NETWORKDAYS.INTL(MAX(E13,(Reprogramaciones!$T$15+7*(Reprogramaciones!R$14-1))),MIN(F13,(Reprogramaciones!$T$15+7*(Reprogramaciones!R$14-1))+6),11))))))))</f>
        <v>100</v>
      </c>
      <c r="CB13" s="1" t="n">
        <f aca="false">IF(OR(NOT(AND(ISNUMBER(E13),ISNUMBER(F13))),$J$2=""),"",IF(Reprogramaciones!S$13&lt;Reprogramaciones!$T$15,0,IF(Reprogramaciones!S$14&gt;10,MIN(100,SUM($G13:$P13)),MIN(100,SUMPRODUCT((COLUMN($G13:$P13)-COLUMN($G13)+1&lt;Reprogramaciones!S$14)*$G13:$P13)+N(INDEX($G13:$P13,1,Reprogramaciones!S$14))*IF(Reprogramaciones!S$13&gt;=(Reprogramaciones!$T$15+7*(Reprogramaciones!S$14-1))+6,1,IF(MAX(0,NETWORKDAYS.INTL(MAX(E13,(Reprogramaciones!$T$15+7*(Reprogramaciones!S$14-1))),MIN(F13,(Reprogramaciones!$T$15+7*(Reprogramaciones!S$14-1))+6),11))=0,0,MAX(0,NETWORKDAYS.INTL(MAX(E13,(Reprogramaciones!$T$15+7*(Reprogramaciones!S$14-1))),MIN(F13,Reprogramaciones!S$13),11))/MAX(0,NETWORKDAYS.INTL(MAX(E13,(Reprogramaciones!$T$15+7*(Reprogramaciones!S$14-1))),MIN(F13,(Reprogramaciones!$T$15+7*(Reprogramaciones!S$14-1))+6),11))))))))</f>
        <v>100</v>
      </c>
      <c r="CC13" s="1" t="n">
        <f aca="false">IF(OR(NOT(AND(ISNUMBER(E13),ISNUMBER(F13))),$J$2=""),"",IF(Reprogramaciones!T$13&lt;Reprogramaciones!$T$15,0,IF(Reprogramaciones!T$14&gt;10,MIN(100,SUM($G13:$P13)),MIN(100,SUMPRODUCT((COLUMN($G13:$P13)-COLUMN($G13)+1&lt;Reprogramaciones!T$14)*$G13:$P13)+N(INDEX($G13:$P13,1,Reprogramaciones!T$14))*IF(Reprogramaciones!T$13&gt;=(Reprogramaciones!$T$15+7*(Reprogramaciones!T$14-1))+6,1,IF(MAX(0,NETWORKDAYS.INTL(MAX(E13,(Reprogramaciones!$T$15+7*(Reprogramaciones!T$14-1))),MIN(F13,(Reprogramaciones!$T$15+7*(Reprogramaciones!T$14-1))+6),11))=0,0,MAX(0,NETWORKDAYS.INTL(MAX(E13,(Reprogramaciones!$T$15+7*(Reprogramaciones!T$14-1))),MIN(F13,Reprogramaciones!T$13),11))/MAX(0,NETWORKDAYS.INTL(MAX(E13,(Reprogramaciones!$T$15+7*(Reprogramaciones!T$14-1))),MIN(F13,(Reprogramaciones!$T$15+7*(Reprogramaciones!T$14-1))+6),11))))))))</f>
        <v>100</v>
      </c>
      <c r="CD13" s="1" t="n">
        <f aca="false">IF(OR(NOT(AND(ISNUMBER(E13),ISNUMBER(F13))),$J$2=""),"",IF(Reprogramaciones!U$13&lt;Reprogramaciones!$T$15,0,IF(Reprogramaciones!U$14&gt;10,MIN(100,SUM($G13:$P13)),MIN(100,SUMPRODUCT((COLUMN($G13:$P13)-COLUMN($G13)+1&lt;Reprogramaciones!U$14)*$G13:$P13)+N(INDEX($G13:$P13,1,Reprogramaciones!U$14))*IF(Reprogramaciones!U$13&gt;=(Reprogramaciones!$T$15+7*(Reprogramaciones!U$14-1))+6,1,IF(MAX(0,NETWORKDAYS.INTL(MAX(E13,(Reprogramaciones!$T$15+7*(Reprogramaciones!U$14-1))),MIN(F13,(Reprogramaciones!$T$15+7*(Reprogramaciones!U$14-1))+6),11))=0,0,MAX(0,NETWORKDAYS.INTL(MAX(E13,(Reprogramaciones!$T$15+7*(Reprogramaciones!U$14-1))),MIN(F13,Reprogramaciones!U$13),11))/MAX(0,NETWORKDAYS.INTL(MAX(E13,(Reprogramaciones!$T$15+7*(Reprogramaciones!U$14-1))),MIN(F13,(Reprogramaciones!$T$15+7*(Reprogramaciones!U$14-1))+6),11))))))))</f>
        <v>100</v>
      </c>
      <c r="CE13" s="1" t="n">
        <f aca="false">IF(OR(NOT(AND(ISNUMBER(E13),ISNUMBER(F13))),$J$2=""),"",IF(Reprogramaciones!V$13&lt;Reprogramaciones!$T$15,0,IF(Reprogramaciones!V$14&gt;10,MIN(100,SUM($G13:$P13)),MIN(100,SUMPRODUCT((COLUMN($G13:$P13)-COLUMN($G13)+1&lt;Reprogramaciones!V$14)*$G13:$P13)+N(INDEX($G13:$P13,1,Reprogramaciones!V$14))*IF(Reprogramaciones!V$13&gt;=(Reprogramaciones!$T$15+7*(Reprogramaciones!V$14-1))+6,1,IF(MAX(0,NETWORKDAYS.INTL(MAX(E13,(Reprogramaciones!$T$15+7*(Reprogramaciones!V$14-1))),MIN(F13,(Reprogramaciones!$T$15+7*(Reprogramaciones!V$14-1))+6),11))=0,0,MAX(0,NETWORKDAYS.INTL(MAX(E13,(Reprogramaciones!$T$15+7*(Reprogramaciones!V$14-1))),MIN(F13,Reprogramaciones!V$13),11))/MAX(0,NETWORKDAYS.INTL(MAX(E13,(Reprogramaciones!$T$15+7*(Reprogramaciones!V$14-1))),MIN(F13,(Reprogramaciones!$T$15+7*(Reprogramaciones!V$14-1))+6),11))))))))</f>
        <v>100</v>
      </c>
      <c r="CF13" s="1" t="n">
        <f aca="false">IF(OR(NOT(AND(ISNUMBER(E13),ISNUMBER(F13))),$J$2=""),"",IF(Reprogramaciones!W$13&lt;Reprogramaciones!$T$15,0,IF(Reprogramaciones!W$14&gt;10,MIN(100,SUM($G13:$P13)),MIN(100,SUMPRODUCT((COLUMN($G13:$P13)-COLUMN($G13)+1&lt;Reprogramaciones!W$14)*$G13:$P13)+N(INDEX($G13:$P13,1,Reprogramaciones!W$14))*IF(Reprogramaciones!W$13&gt;=(Reprogramaciones!$T$15+7*(Reprogramaciones!W$14-1))+6,1,IF(MAX(0,NETWORKDAYS.INTL(MAX(E13,(Reprogramaciones!$T$15+7*(Reprogramaciones!W$14-1))),MIN(F13,(Reprogramaciones!$T$15+7*(Reprogramaciones!W$14-1))+6),11))=0,0,MAX(0,NETWORKDAYS.INTL(MAX(E13,(Reprogramaciones!$T$15+7*(Reprogramaciones!W$14-1))),MIN(F13,Reprogramaciones!W$13),11))/MAX(0,NETWORKDAYS.INTL(MAX(E13,(Reprogramaciones!$T$15+7*(Reprogramaciones!W$14-1))),MIN(F13,(Reprogramaciones!$T$15+7*(Reprogramaciones!W$14-1))+6),11))))))))</f>
        <v>100</v>
      </c>
      <c r="CG13" s="1" t="n">
        <f aca="false">IF(OR(NOT(AND(ISNUMBER(E13),ISNUMBER(F13))),$J$2=""),"",IF(Reprogramaciones!X$13&lt;Reprogramaciones!$T$15,0,IF(Reprogramaciones!X$14&gt;10,MIN(100,SUM($G13:$P13)),MIN(100,SUMPRODUCT((COLUMN($G13:$P13)-COLUMN($G13)+1&lt;Reprogramaciones!X$14)*$G13:$P13)+N(INDEX($G13:$P13,1,Reprogramaciones!X$14))*IF(Reprogramaciones!X$13&gt;=(Reprogramaciones!$T$15+7*(Reprogramaciones!X$14-1))+6,1,IF(MAX(0,NETWORKDAYS.INTL(MAX(E13,(Reprogramaciones!$T$15+7*(Reprogramaciones!X$14-1))),MIN(F13,(Reprogramaciones!$T$15+7*(Reprogramaciones!X$14-1))+6),11))=0,0,MAX(0,NETWORKDAYS.INTL(MAX(E13,(Reprogramaciones!$T$15+7*(Reprogramaciones!X$14-1))),MIN(F13,Reprogramaciones!X$13),11))/MAX(0,NETWORKDAYS.INTL(MAX(E13,(Reprogramaciones!$T$15+7*(Reprogramaciones!X$14-1))),MIN(F13,(Reprogramaciones!$T$15+7*(Reprogramaciones!X$14-1))+6),11))))))))</f>
        <v>100</v>
      </c>
      <c r="CH13" s="1" t="n">
        <f aca="false">IF(OR(NOT(AND(ISNUMBER(E13),ISNUMBER(F13))),$J$2=""),"",IF(Reprogramaciones!Y$13&lt;Reprogramaciones!$T$15,0,IF(Reprogramaciones!Y$14&gt;10,MIN(100,SUM($G13:$P13)),MIN(100,SUMPRODUCT((COLUMN($G13:$P13)-COLUMN($G13)+1&lt;Reprogramaciones!Y$14)*$G13:$P13)+N(INDEX($G13:$P13,1,Reprogramaciones!Y$14))*IF(Reprogramaciones!Y$13&gt;=(Reprogramaciones!$T$15+7*(Reprogramaciones!Y$14-1))+6,1,IF(MAX(0,NETWORKDAYS.INTL(MAX(E13,(Reprogramaciones!$T$15+7*(Reprogramaciones!Y$14-1))),MIN(F13,(Reprogramaciones!$T$15+7*(Reprogramaciones!Y$14-1))+6),11))=0,0,MAX(0,NETWORKDAYS.INTL(MAX(E13,(Reprogramaciones!$T$15+7*(Reprogramaciones!Y$14-1))),MIN(F13,Reprogramaciones!Y$13),11))/MAX(0,NETWORKDAYS.INTL(MAX(E13,(Reprogramaciones!$T$15+7*(Reprogramaciones!Y$14-1))),MIN(F13,(Reprogramaciones!$T$15+7*(Reprogramaciones!Y$14-1))+6),11))))))))</f>
        <v>100</v>
      </c>
      <c r="CI13" s="1" t="n">
        <f aca="false">IF(OR(NOT(AND(ISNUMBER(E13),ISNUMBER(F13))),$J$2=""),"",IF(Reprogramaciones!Z$13&lt;Reprogramaciones!$T$15,0,IF(Reprogramaciones!Z$14&gt;10,MIN(100,SUM($G13:$P13)),MIN(100,SUMPRODUCT((COLUMN($G13:$P13)-COLUMN($G13)+1&lt;Reprogramaciones!Z$14)*$G13:$P13)+N(INDEX($G13:$P13,1,Reprogramaciones!Z$14))*IF(Reprogramaciones!Z$13&gt;=(Reprogramaciones!$T$15+7*(Reprogramaciones!Z$14-1))+6,1,IF(MAX(0,NETWORKDAYS.INTL(MAX(E13,(Reprogramaciones!$T$15+7*(Reprogramaciones!Z$14-1))),MIN(F13,(Reprogramaciones!$T$15+7*(Reprogramaciones!Z$14-1))+6),11))=0,0,MAX(0,NETWORKDAYS.INTL(MAX(E13,(Reprogramaciones!$T$15+7*(Reprogramaciones!Z$14-1))),MIN(F13,Reprogramaciones!Z$13),11))/MAX(0,NETWORKDAYS.INTL(MAX(E13,(Reprogramaciones!$T$15+7*(Reprogramaciones!Z$14-1))),MIN(F13,(Reprogramaciones!$T$15+7*(Reprogramaciones!Z$14-1))+6),11))))))))</f>
        <v>100</v>
      </c>
      <c r="CJ13" s="1" t="n">
        <f aca="false">IF(OR(OR(NOT(AND(ISNUMBER(E13),ISNUMBER(F13))),$J$2=""),1&gt;Reprogramaciones!$K$16),"",IF(ROUND(SUM($Q13:Q13),1)&gt;=99.5,100,MIN(100,ROUND(SUM($Q13:Q13),1))))</f>
        <v>0</v>
      </c>
      <c r="CK13" s="1" t="n">
        <f aca="false">IF(OR(OR(NOT(AND(ISNUMBER(E13),ISNUMBER(F13))),$J$2=""),2&gt;Reprogramaciones!$K$16),"",IF(ROUND(SUM($Q13:R13),1)&gt;=99.5,100,MIN(100,ROUND(SUM($Q13:R13),1))))</f>
        <v>100</v>
      </c>
      <c r="CL13" s="1" t="n">
        <f aca="false">IF(OR(OR(NOT(AND(ISNUMBER(E13),ISNUMBER(F13))),$J$2=""),3&gt;Reprogramaciones!$K$16),"",IF(ROUND(SUM($Q13:S13),1)&gt;=99.5,100,MIN(100,ROUND(SUM($Q13:S13),1))))</f>
        <v>100</v>
      </c>
      <c r="CM13" s="1" t="n">
        <f aca="false">IF(OR(OR(NOT(AND(ISNUMBER(E13),ISNUMBER(F13))),$J$2=""),4&gt;Reprogramaciones!$K$16),"",IF(ROUND(SUM($Q13:T13),1)&gt;=99.5,100,MIN(100,ROUND(SUM($Q13:T13),1))))</f>
        <v>100</v>
      </c>
      <c r="CN13" s="1" t="n">
        <f aca="false">IF(OR(OR(NOT(AND(ISNUMBER(E13),ISNUMBER(F13))),$J$2=""),5&gt;Reprogramaciones!$K$16),"",IF(ROUND(SUM($Q13:U13),1)&gt;=99.5,100,MIN(100,ROUND(SUM($Q13:U13),1))))</f>
        <v>100</v>
      </c>
      <c r="CO13" s="1" t="str">
        <f aca="false">IF(OR(OR(NOT(AND(ISNUMBER(E13),ISNUMBER(F13))),$J$2=""),6&gt;Reprogramaciones!$K$16),"",IF(ROUND(SUM($Q13:V13),1)&gt;=99.5,100,MIN(100,ROUND(SUM($Q13:V13),1))))</f>
        <v/>
      </c>
      <c r="CP13" s="1" t="str">
        <f aca="false">IF(OR(OR(NOT(AND(ISNUMBER(E13),ISNUMBER(F13))),$J$2=""),7&gt;Reprogramaciones!$K$16),"",IF(ROUND(SUM($Q13:W13),1)&gt;=99.5,100,MIN(100,ROUND(SUM($Q13:W13),1))))</f>
        <v/>
      </c>
      <c r="CQ13" s="1" t="str">
        <f aca="false">IF(OR(OR(NOT(AND(ISNUMBER(E13),ISNUMBER(F13))),$J$2=""),8&gt;Reprogramaciones!$K$16),"",IF(ROUND(SUM($Q13:X13),1)&gt;=99.5,100,MIN(100,ROUND(SUM($Q13:X13),1))))</f>
        <v/>
      </c>
      <c r="CR13" s="1" t="str">
        <f aca="false">IF(OR(OR(NOT(AND(ISNUMBER(E13),ISNUMBER(F13))),$J$2=""),9&gt;Reprogramaciones!$K$16),"",IF(ROUND(SUM($Q13:Y13),1)&gt;=99.5,100,MIN(100,ROUND(SUM($Q13:Y13),1))))</f>
        <v/>
      </c>
      <c r="CS13" s="1" t="str">
        <f aca="false">IF(OR(OR(NOT(AND(ISNUMBER(E13),ISNUMBER(F13))),$J$2=""),10&gt;Reprogramaciones!$K$16),"",IF(ROUND(SUM($Q13:Z13),1)&gt;=99.5,100,MIN(100,ROUND(SUM($Q13:Z13),1))))</f>
        <v/>
      </c>
      <c r="CT13" s="1" t="str">
        <f aca="false">IF(OR(OR(NOT(AND(ISNUMBER(E13),ISNUMBER(F13))),$J$2=""),11&gt;Reprogramaciones!$K$16),"",IF(ROUND(SUM($Q13:AA13),1)&gt;=99.5,100,MIN(100,ROUND(SUM($Q13:AA13),1))))</f>
        <v/>
      </c>
      <c r="CU13" s="1" t="str">
        <f aca="false">IF(OR(OR(NOT(AND(ISNUMBER(E13),ISNUMBER(F13))),$J$2=""),12&gt;Reprogramaciones!$K$16),"",IF(ROUND(SUM($Q13:AB13),1)&gt;=99.5,100,MIN(100,ROUND(SUM($Q13:AB13),1))))</f>
        <v/>
      </c>
      <c r="CV13" s="1" t="str">
        <f aca="false">IF(OR(OR(NOT(AND(ISNUMBER(E13),ISNUMBER(F13))),$J$2=""),13&gt;Reprogramaciones!$K$16),"",IF(ROUND(SUM($Q13:AC13),1)&gt;=99.5,100,MIN(100,ROUND(SUM($Q13:AC13),1))))</f>
        <v/>
      </c>
      <c r="CW13" s="1" t="str">
        <f aca="false">IF(OR(OR(NOT(AND(ISNUMBER(E13),ISNUMBER(F13))),$J$2=""),14&gt;Reprogramaciones!$K$16),"",IF(ROUND(SUM($Q13:AD13),1)&gt;=99.5,100,MIN(100,ROUND(SUM($Q13:AD13),1))))</f>
        <v/>
      </c>
      <c r="CX13" s="1" t="str">
        <f aca="false">IF(OR(OR(NOT(AND(ISNUMBER(E13),ISNUMBER(F13))),$J$2=""),15&gt;Reprogramaciones!$K$16),"",IF(ROUND(SUM($Q13:AE13),1)&gt;=99.5,100,MIN(100,ROUND(SUM($Q13:AE13),1))))</f>
        <v/>
      </c>
      <c r="CY13" s="1" t="str">
        <f aca="false">IF(OR(OR(NOT(AND(ISNUMBER(E13),ISNUMBER(F13))),$J$2=""),16&gt;Reprogramaciones!$K$16),"",IF(ROUND(SUM($Q13:AF13),1)&gt;=99.5,100,MIN(100,ROUND(SUM($Q13:AF13),1))))</f>
        <v/>
      </c>
      <c r="CZ13" s="1" t="str">
        <f aca="false">IF(D13&lt;&gt;"",D13,IF(B13&lt;&gt;"","Contractual",CZ12))</f>
        <v>Contractual</v>
      </c>
      <c r="DA13" s="1" t="n">
        <f aca="false">IF(OR(NOT(AND(ISNUMBER(E13),ISNUMBER(F13))),$J$2=""),"",IF(Reprogramaciones!$Q$15&lt;Reprogramaciones!$T$15,0,IF(Reprogramaciones!$S$15&gt;10,MIN(100,SUM($G13:$P13)),MIN(100,SUMPRODUCT((COLUMN($G13:$P13)-COLUMN($G13)+1&lt;Reprogramaciones!$S$15)*$G13:$P13)+N(INDEX($G13:$P13,1,Reprogramaciones!$S$15))*IF(Reprogramaciones!$Q$15&gt;=(Reprogramaciones!$T$15+7*(Reprogramaciones!$S$15-1))+6,1,IF(MAX(0,NETWORKDAYS.INTL(MAX(E13,(Reprogramaciones!$T$15+7*(Reprogramaciones!$S$15-1))),MIN(F13,(Reprogramaciones!$T$15+7*(Reprogramaciones!$S$15-1))+6),11))=0,0,MAX(0,NETWORKDAYS.INTL(MAX(E13,(Reprogramaciones!$T$15+7*(Reprogramaciones!$S$15-1))),MIN(F13,Reprogramaciones!$Q$15),11))/MAX(0,NETWORKDAYS.INTL(MAX(E13,(Reprogramaciones!$T$15+7*(Reprogramaciones!$S$15-1))),MIN(F13,(Reprogramaciones!$T$15+7*(Reprogramaciones!$S$15-1))+6),11))))))))</f>
        <v>100</v>
      </c>
    </row>
    <row r="14" customFormat="false" ht="15" hidden="false" customHeight="false" outlineLevel="0" collapsed="false">
      <c r="A14" s="32" t="s">
        <v>169</v>
      </c>
      <c r="B14" s="33" t="s">
        <v>170</v>
      </c>
      <c r="C14" s="33"/>
      <c r="D14" s="34"/>
      <c r="E14" s="35"/>
      <c r="F14" s="35"/>
      <c r="G14" s="36" t="str">
        <f aca="false">IF(OR(NOT(AND(ISNUMBER(E14),ISNUMBER(F14))),$J$2=""),"",IF(Reprogramaciones!K$9&lt;E14,0,IF(NETWORKDAYS.INTL(E14,F14,11)=0,IF(Reprogramaciones!K$9&gt;=F14,100,0),ROUND(NETWORKDAYS.INTL(E14,MIN(F14,Reprogramaciones!K$9),11)/NETWORKDAYS.INTL(E14,F14,11)*100,1)))-0)</f>
        <v/>
      </c>
      <c r="H14" s="36" t="str">
        <f aca="false">IF(OR(NOT(AND(ISNUMBER(E14),ISNUMBER(F14))),$J$2=""),"",IF(Reprogramaciones!L$9&lt;E14,0,IF(NETWORKDAYS.INTL(E14,F14,11)=0,IF(Reprogramaciones!L$9&gt;=F14,100,0),ROUND(NETWORKDAYS.INTL(E14,MIN(F14,Reprogramaciones!L$9),11)/NETWORKDAYS.INTL(E14,F14,11)*100,1)))-IF(Reprogramaciones!K$9&lt;E14,0,IF(NETWORKDAYS.INTL(E14,F14,11)=0,IF(Reprogramaciones!K$9&gt;=F14,100,0),ROUND(NETWORKDAYS.INTL(E14,MIN(F14,Reprogramaciones!K$9),11)/NETWORKDAYS.INTL(E14,F14,11)*100,1))))</f>
        <v/>
      </c>
      <c r="I14" s="36" t="str">
        <f aca="false">IF(OR(NOT(AND(ISNUMBER(E14),ISNUMBER(F14))),$J$2=""),"",IF(Reprogramaciones!M$9&lt;E14,0,IF(NETWORKDAYS.INTL(E14,F14,11)=0,IF(Reprogramaciones!M$9&gt;=F14,100,0),ROUND(NETWORKDAYS.INTL(E14,MIN(F14,Reprogramaciones!M$9),11)/NETWORKDAYS.INTL(E14,F14,11)*100,1)))-IF(Reprogramaciones!L$9&lt;E14,0,IF(NETWORKDAYS.INTL(E14,F14,11)=0,IF(Reprogramaciones!L$9&gt;=F14,100,0),ROUND(NETWORKDAYS.INTL(E14,MIN(F14,Reprogramaciones!L$9),11)/NETWORKDAYS.INTL(E14,F14,11)*100,1))))</f>
        <v/>
      </c>
      <c r="J14" s="36" t="str">
        <f aca="false">IF(OR(NOT(AND(ISNUMBER(E14),ISNUMBER(F14))),$J$2=""),"",IF(Reprogramaciones!N$9&lt;E14,0,IF(NETWORKDAYS.INTL(E14,F14,11)=0,IF(Reprogramaciones!N$9&gt;=F14,100,0),ROUND(NETWORKDAYS.INTL(E14,MIN(F14,Reprogramaciones!N$9),11)/NETWORKDAYS.INTL(E14,F14,11)*100,1)))-IF(Reprogramaciones!M$9&lt;E14,0,IF(NETWORKDAYS.INTL(E14,F14,11)=0,IF(Reprogramaciones!M$9&gt;=F14,100,0),ROUND(NETWORKDAYS.INTL(E14,MIN(F14,Reprogramaciones!M$9),11)/NETWORKDAYS.INTL(E14,F14,11)*100,1))))</f>
        <v/>
      </c>
      <c r="K14" s="36" t="str">
        <f aca="false">IF(OR(NOT(AND(ISNUMBER(E14),ISNUMBER(F14))),$J$2=""),"",IF(Reprogramaciones!O$9&lt;E14,0,IF(NETWORKDAYS.INTL(E14,F14,11)=0,IF(Reprogramaciones!O$9&gt;=F14,100,0),ROUND(NETWORKDAYS.INTL(E14,MIN(F14,Reprogramaciones!O$9),11)/NETWORKDAYS.INTL(E14,F14,11)*100,1)))-IF(Reprogramaciones!N$9&lt;E14,0,IF(NETWORKDAYS.INTL(E14,F14,11)=0,IF(Reprogramaciones!N$9&gt;=F14,100,0),ROUND(NETWORKDAYS.INTL(E14,MIN(F14,Reprogramaciones!N$9),11)/NETWORKDAYS.INTL(E14,F14,11)*100,1))))</f>
        <v/>
      </c>
      <c r="L14" s="36" t="str">
        <f aca="false">IF(OR(NOT(AND(ISNUMBER(E14),ISNUMBER(F14))),$J$2=""),"",IF(Reprogramaciones!P$9&lt;E14,0,IF(NETWORKDAYS.INTL(E14,F14,11)=0,IF(Reprogramaciones!P$9&gt;=F14,100,0),ROUND(NETWORKDAYS.INTL(E14,MIN(F14,Reprogramaciones!P$9),11)/NETWORKDAYS.INTL(E14,F14,11)*100,1)))-IF(Reprogramaciones!O$9&lt;E14,0,IF(NETWORKDAYS.INTL(E14,F14,11)=0,IF(Reprogramaciones!O$9&gt;=F14,100,0),ROUND(NETWORKDAYS.INTL(E14,MIN(F14,Reprogramaciones!O$9),11)/NETWORKDAYS.INTL(E14,F14,11)*100,1))))</f>
        <v/>
      </c>
      <c r="M14" s="36" t="str">
        <f aca="false">IF(OR(NOT(AND(ISNUMBER(E14),ISNUMBER(F14))),$J$2=""),"",IF(Reprogramaciones!Q$9&lt;E14,0,IF(NETWORKDAYS.INTL(E14,F14,11)=0,IF(Reprogramaciones!Q$9&gt;=F14,100,0),ROUND(NETWORKDAYS.INTL(E14,MIN(F14,Reprogramaciones!Q$9),11)/NETWORKDAYS.INTL(E14,F14,11)*100,1)))-IF(Reprogramaciones!P$9&lt;E14,0,IF(NETWORKDAYS.INTL(E14,F14,11)=0,IF(Reprogramaciones!P$9&gt;=F14,100,0),ROUND(NETWORKDAYS.INTL(E14,MIN(F14,Reprogramaciones!P$9),11)/NETWORKDAYS.INTL(E14,F14,11)*100,1))))</f>
        <v/>
      </c>
      <c r="N14" s="36" t="str">
        <f aca="false">IF(OR(NOT(AND(ISNUMBER(E14),ISNUMBER(F14))),$J$2=""),"",IF(Reprogramaciones!R$9&lt;E14,0,IF(NETWORKDAYS.INTL(E14,F14,11)=0,IF(Reprogramaciones!R$9&gt;=F14,100,0),ROUND(NETWORKDAYS.INTL(E14,MIN(F14,Reprogramaciones!R$9),11)/NETWORKDAYS.INTL(E14,F14,11)*100,1)))-IF(Reprogramaciones!Q$9&lt;E14,0,IF(NETWORKDAYS.INTL(E14,F14,11)=0,IF(Reprogramaciones!Q$9&gt;=F14,100,0),ROUND(NETWORKDAYS.INTL(E14,MIN(F14,Reprogramaciones!Q$9),11)/NETWORKDAYS.INTL(E14,F14,11)*100,1))))</f>
        <v/>
      </c>
      <c r="O14" s="36" t="str">
        <f aca="false">IF(OR(NOT(AND(ISNUMBER(E14),ISNUMBER(F14))),$J$2=""),"",IF(Reprogramaciones!S$9&lt;E14,0,IF(NETWORKDAYS.INTL(E14,F14,11)=0,IF(Reprogramaciones!S$9&gt;=F14,100,0),ROUND(NETWORKDAYS.INTL(E14,MIN(F14,Reprogramaciones!S$9),11)/NETWORKDAYS.INTL(E14,F14,11)*100,1)))-IF(Reprogramaciones!R$9&lt;E14,0,IF(NETWORKDAYS.INTL(E14,F14,11)=0,IF(Reprogramaciones!R$9&gt;=F14,100,0),ROUND(NETWORKDAYS.INTL(E14,MIN(F14,Reprogramaciones!R$9),11)/NETWORKDAYS.INTL(E14,F14,11)*100,1))))</f>
        <v/>
      </c>
      <c r="P14" s="36" t="str">
        <f aca="false">IF(OR(NOT(AND(ISNUMBER(E14),ISNUMBER(F14))),$J$2=""),"",IF(Reprogramaciones!T$9&lt;E14,0,IF(NETWORKDAYS.INTL(E14,F14,11)=0,IF(Reprogramaciones!T$9&gt;=F14,100,0),ROUND(NETWORKDAYS.INTL(E14,MIN(F14,Reprogramaciones!T$9),11)/NETWORKDAYS.INTL(E14,F14,11)*100,1)))-IF(Reprogramaciones!S$9&lt;E14,0,IF(NETWORKDAYS.INTL(E14,F14,11)=0,IF(Reprogramaciones!S$9&gt;=F14,100,0),ROUND(NETWORKDAYS.INTL(E14,MIN(F14,Reprogramaciones!S$9),11)/NETWORKDAYS.INTL(E14,F14,11)*100,1))))</f>
        <v/>
      </c>
      <c r="Q14" s="37"/>
      <c r="R14" s="37"/>
      <c r="S14" s="37"/>
      <c r="T14" s="37"/>
      <c r="U14" s="37"/>
      <c r="V14" s="37"/>
      <c r="W14" s="37"/>
      <c r="X14" s="37"/>
      <c r="Y14" s="37"/>
      <c r="Z14" s="37"/>
      <c r="AA14" s="37"/>
      <c r="AB14" s="37"/>
      <c r="AC14" s="37"/>
      <c r="AD14" s="37"/>
      <c r="AE14" s="37"/>
      <c r="AF14" s="37"/>
      <c r="AG14" s="38" t="str">
        <f aca="false">IF(AND(ISNUMBER(E14),ISNUMBER(F14)),NETWORKDAYS.INTL(E14,F14,11),"")</f>
        <v/>
      </c>
      <c r="AH14" s="38" t="str">
        <f aca="false">IF(OR(NOT(AND(ISNUMBER(E14),ISNUMBER(F14))),$J$2=""),"",IF(Reprogramaciones!$P$15&lt;Reprogramaciones!$T$15,0,IF(Reprogramaciones!$R$15&gt;10,MIN(100,SUM($G14:$P14)),MIN(100,SUMPRODUCT((COLUMN($G14:$P14)-COLUMN($G14)+1&lt;Reprogramaciones!$R$15)*$G14:$P14)+N(INDEX($G14:$P14,1,Reprogramaciones!$R$15))*IF(Reprogramaciones!$P$15&gt;=(Reprogramaciones!$T$15+7*(Reprogramaciones!$R$15-1))+6,1,IF(MAX(0,NETWORKDAYS.INTL(MAX(E14,(Reprogramaciones!$T$15+7*(Reprogramaciones!$R$15-1))),MIN(F14,(Reprogramaciones!$T$15+7*(Reprogramaciones!$R$15-1))+6),11))=0,0,MAX(0,NETWORKDAYS.INTL(MAX(E14,(Reprogramaciones!$T$15+7*(Reprogramaciones!$R$15-1))),MIN(F14,Reprogramaciones!$P$15),11))/MAX(0,NETWORKDAYS.INTL(MAX(E14,(Reprogramaciones!$T$15+7*(Reprogramaciones!$R$15-1))),MIN(F14,(Reprogramaciones!$T$15+7*(Reprogramaciones!$R$15-1))+6),11))))))))</f>
        <v/>
      </c>
      <c r="AI14" s="38" t="str">
        <f aca="false">IF(COUNT($Q14:$AF14)=0,"",IF(ROUND(SUM($Q14:$AF14),1)&gt;=99.5,100,MIN(100,ROUND(SUM($Q14:$AF14),1))))</f>
        <v/>
      </c>
      <c r="AJ14" s="38" t="str">
        <f aca="false">IF(OR(AH14="",AI14=""),"",AI14-AH14)</f>
        <v/>
      </c>
      <c r="AK14" s="39" t="str">
        <f aca="true">IF(AH14="","",IF(OR(Ficha!$C$10="Suspendida",Ficha!$C$10="Cancelada"),Ficha!$C$10,IF(AND(AI14&lt;&gt;"",N(AI14)&gt;=100),"Completada",IF(AND(E14&gt;TODAY(),N(AI14)=0),"Por iniciar",IF(N(AI14)+0.5&lt;AH14,"Retrasada",IF(N(AI14)+0.5&lt;DA14,IF(Reprogramaciones!$K$15&gt;0,"Al día · Sem "&amp;Reprogramaciones!$K$15&amp;" en curso","Al día · en curso"),"A tiempo"))))))</f>
        <v/>
      </c>
      <c r="AL14" s="39" t="str">
        <f aca="true">IF(AND(A14="",AND(B14="",C14="",E14="",F14="",COUNT(Q14:AF14)=0)),"",IF(AND(B14="",C14="",E14="",F14="",COUNT(Q14:AF14)=0),"Falta la partida o subpartida",IF(AND(A14&lt;&gt;"",COUNTIF($A$6:$A$305,A14)&gt;1),"Ítem repetido",IF(AND(C14="",E14="",F14="",COUNT(Q14:AF14)=0),"Título de partida",IF(OR(E14="",F14=""),"Faltan fechas",IF(OR(ISTEXT(E14),ISTEXT(F14)),"Fecha escrita como texto: usa dd/mm/aaaa",IF(F14&lt;E14,"Fin antes del inicio",IF(IF($J$2="",FALSE(),OR(E14&lt;$J$2,F14&gt;Reprogramaciones!$T$15+69)),"Fuera de las 10 semanas",IF(ABS(SUM(G14:P14)-100)&gt;0.5,"La meta no suma 100%",IF(ROUND(SUM(Q14:AF14),1)&gt;100.5,"El avance pasa de 100%",IF(MIN(Q14:AF14)&lt;0,"Avance negativo",IF(COUNTA(Q14:AF14)&gt;COUNT(Q14:AF14),"Avance escrito como texto",IF(SUMPRODUCT((Q14:AF14&gt;0)*(Q14:AF14&lt;1))&gt;0,"Avance menor a 1: escribe 50, no 50%",IF(SUMPRODUCT(ISNUMBER(Q14:AF14)*(Reprogramaciones!$K$8:$Z$8&gt;TODAY()))&gt;0,"Avance en semana que aún no llega",IF(AND(N(Reprogramaciones!$E$21)&gt;0,F14&gt;Reprogramaciones!$E$21),"Pasa el fin de la obra: registra una reprogramación",IF(AND(N(Reprogramaciones!$E$21)&gt;0,SUMPRODUCT(ISNUMBER(Q14:AF14)*(Reprogramaciones!$K$8:$Z$8&gt;Reprogramaciones!$E$21))&gt;0),"Avance después del fin de la obra: registra una reprogramación por atraso","OK"))))))))))))))))</f>
        <v>Título de partida</v>
      </c>
      <c r="AM14" s="40" t="str">
        <f aca="false">IF(OR(OR(NOT(AND(ISNUMBER(E14),ISNUMBER(F14))),$J$2=""),1&gt;MAX(1,Reprogramaciones!$U$15)),"",IF(Reprogramaciones!K$12&gt;=7,"",IF(OR(BT14-N(0)&gt;0.05,N(Q14)&gt;0),ROUNDDOWN(ROUND(BT14,6),0)&amp;"%"&amp;IF(CJ14="",""," / "&amp;CJ14&amp;"%"),IF(AND(N(0)&gt;=99.95,CJ14&lt;&gt;"",N(CJ14)&lt;100),"Pend. "&amp;CJ14&amp;"%",""))))</f>
        <v/>
      </c>
      <c r="AN14" s="40" t="str">
        <f aca="false">IF(OR(OR(NOT(AND(ISNUMBER(E14),ISNUMBER(F14))),$J$2=""),2&gt;MAX(1,Reprogramaciones!$U$15)),"",IF(Reprogramaciones!L$12&gt;=7,"",IF(OR(BU14-N(BT14)&gt;0.05,N(R14)&gt;0),ROUNDDOWN(ROUND(BU14,6),0)&amp;"%"&amp;IF(CK14="",""," / "&amp;CK14&amp;"%"),IF(AND(N(BT14)&gt;=99.95,CK14&lt;&gt;"",N(CK14)&lt;100),"Pend. "&amp;CK14&amp;"%",""))))</f>
        <v/>
      </c>
      <c r="AO14" s="40" t="str">
        <f aca="false">IF(OR(OR(NOT(AND(ISNUMBER(E14),ISNUMBER(F14))),$J$2=""),3&gt;MAX(1,Reprogramaciones!$U$15)),"",IF(Reprogramaciones!M$12&gt;=7,"",IF(OR(BV14-N(BU14)&gt;0.05,N(S14)&gt;0),ROUNDDOWN(ROUND(BV14,6),0)&amp;"%"&amp;IF(CL14="",""," / "&amp;CL14&amp;"%"),IF(AND(N(BU14)&gt;=99.95,CL14&lt;&gt;"",N(CL14)&lt;100),"Pend. "&amp;CL14&amp;"%",""))))</f>
        <v/>
      </c>
      <c r="AP14" s="40" t="str">
        <f aca="false">IF(OR(OR(NOT(AND(ISNUMBER(E14),ISNUMBER(F14))),$J$2=""),4&gt;MAX(1,Reprogramaciones!$U$15)),"",IF(Reprogramaciones!N$12&gt;=7,"",IF(OR(BW14-N(BV14)&gt;0.05,N(T14)&gt;0),ROUNDDOWN(ROUND(BW14,6),0)&amp;"%"&amp;IF(CM14="",""," / "&amp;CM14&amp;"%"),IF(AND(N(BV14)&gt;=99.95,CM14&lt;&gt;"",N(CM14)&lt;100),"Pend. "&amp;CM14&amp;"%",""))))</f>
        <v/>
      </c>
      <c r="AQ14" s="40" t="str">
        <f aca="false">IF(OR(OR(NOT(AND(ISNUMBER(E14),ISNUMBER(F14))),$J$2=""),5&gt;MAX(1,Reprogramaciones!$U$15)),"",IF(Reprogramaciones!O$12&gt;=7,"",IF(OR(BX14-N(BW14)&gt;0.05,N(U14)&gt;0),ROUNDDOWN(ROUND(BX14,6),0)&amp;"%"&amp;IF(CN14="",""," / "&amp;CN14&amp;"%"),IF(AND(N(BW14)&gt;=99.95,CN14&lt;&gt;"",N(CN14)&lt;100),"Pend. "&amp;CN14&amp;"%",""))))</f>
        <v/>
      </c>
      <c r="AR14" s="40" t="str">
        <f aca="false">IF(OR(OR(NOT(AND(ISNUMBER(E14),ISNUMBER(F14))),$J$2=""),6&gt;MAX(1,Reprogramaciones!$U$15)),"",IF(Reprogramaciones!P$12&gt;=7,"",IF(OR(BY14-N(BX14)&gt;0.05,N(V14)&gt;0),ROUNDDOWN(ROUND(BY14,6),0)&amp;"%"&amp;IF(CO14="",""," / "&amp;CO14&amp;"%"),IF(AND(N(BX14)&gt;=99.95,CO14&lt;&gt;"",N(CO14)&lt;100),"Pend. "&amp;CO14&amp;"%",""))))</f>
        <v/>
      </c>
      <c r="AS14" s="40" t="str">
        <f aca="false">IF(OR(OR(NOT(AND(ISNUMBER(E14),ISNUMBER(F14))),$J$2=""),7&gt;MAX(1,Reprogramaciones!$U$15)),"",IF(Reprogramaciones!Q$12&gt;=7,"",IF(OR(BZ14-N(BY14)&gt;0.05,N(W14)&gt;0),ROUNDDOWN(ROUND(BZ14,6),0)&amp;"%"&amp;IF(CP14="",""," / "&amp;CP14&amp;"%"),IF(AND(N(BY14)&gt;=99.95,CP14&lt;&gt;"",N(CP14)&lt;100),"Pend. "&amp;CP14&amp;"%",""))))</f>
        <v/>
      </c>
      <c r="AT14" s="40" t="str">
        <f aca="false">IF(OR(OR(NOT(AND(ISNUMBER(E14),ISNUMBER(F14))),$J$2=""),8&gt;MAX(1,Reprogramaciones!$U$15)),"",IF(Reprogramaciones!R$12&gt;=7,"",IF(OR(CA14-N(BZ14)&gt;0.05,N(X14)&gt;0),ROUNDDOWN(ROUND(CA14,6),0)&amp;"%"&amp;IF(CQ14="",""," / "&amp;CQ14&amp;"%"),IF(AND(N(BZ14)&gt;=99.95,CQ14&lt;&gt;"",N(CQ14)&lt;100),"Pend. "&amp;CQ14&amp;"%",""))))</f>
        <v/>
      </c>
      <c r="AU14" s="40" t="str">
        <f aca="false">IF(OR(OR(NOT(AND(ISNUMBER(E14),ISNUMBER(F14))),$J$2=""),9&gt;MAX(1,Reprogramaciones!$U$15)),"",IF(Reprogramaciones!S$12&gt;=7,"",IF(OR(CB14-N(CA14)&gt;0.05,N(Y14)&gt;0),ROUNDDOWN(ROUND(CB14,6),0)&amp;"%"&amp;IF(CR14="",""," / "&amp;CR14&amp;"%"),IF(AND(N(CA14)&gt;=99.95,CR14&lt;&gt;"",N(CR14)&lt;100),"Pend. "&amp;CR14&amp;"%",""))))</f>
        <v/>
      </c>
      <c r="AV14" s="40" t="str">
        <f aca="false">IF(OR(OR(NOT(AND(ISNUMBER(E14),ISNUMBER(F14))),$J$2=""),10&gt;MAX(1,Reprogramaciones!$U$15)),"",IF(Reprogramaciones!T$12&gt;=7,"",IF(OR(CC14-N(CB14)&gt;0.05,N(Z14)&gt;0),ROUNDDOWN(ROUND(CC14,6),0)&amp;"%"&amp;IF(CS14="",""," / "&amp;CS14&amp;"%"),IF(AND(N(CB14)&gt;=99.95,CS14&lt;&gt;"",N(CS14)&lt;100),"Pend. "&amp;CS14&amp;"%",""))))</f>
        <v/>
      </c>
      <c r="AW14" s="40" t="str">
        <f aca="false">IF(OR(OR(NOT(AND(ISNUMBER(E14),ISNUMBER(F14))),$J$2=""),11&gt;MAX(1,Reprogramaciones!$U$15)),"",IF(Reprogramaciones!U$12&gt;=7,"",IF(OR(CD14-N(CC14)&gt;0.05,N(AA14)&gt;0),ROUNDDOWN(ROUND(CD14,6),0)&amp;"%"&amp;IF(CT14="",""," / "&amp;CT14&amp;"%"),IF(AND(N(CC14)&gt;=99.95,CT14&lt;&gt;"",N(CT14)&lt;100),"Pend. "&amp;CT14&amp;"%",""))))</f>
        <v/>
      </c>
      <c r="AX14" s="40" t="str">
        <f aca="false">IF(OR(OR(NOT(AND(ISNUMBER(E14),ISNUMBER(F14))),$J$2=""),12&gt;MAX(1,Reprogramaciones!$U$15)),"",IF(Reprogramaciones!V$12&gt;=7,"",IF(OR(CE14-N(CD14)&gt;0.05,N(AB14)&gt;0),ROUNDDOWN(ROUND(CE14,6),0)&amp;"%"&amp;IF(CU14="",""," / "&amp;CU14&amp;"%"),IF(AND(N(CD14)&gt;=99.95,CU14&lt;&gt;"",N(CU14)&lt;100),"Pend. "&amp;CU14&amp;"%",""))))</f>
        <v/>
      </c>
      <c r="AY14" s="40" t="str">
        <f aca="false">IF(OR(OR(NOT(AND(ISNUMBER(E14),ISNUMBER(F14))),$J$2=""),13&gt;MAX(1,Reprogramaciones!$U$15)),"",IF(Reprogramaciones!W$12&gt;=7,"",IF(OR(CF14-N(CE14)&gt;0.05,N(AC14)&gt;0),ROUNDDOWN(ROUND(CF14,6),0)&amp;"%"&amp;IF(CV14="",""," / "&amp;CV14&amp;"%"),IF(AND(N(CE14)&gt;=99.95,CV14&lt;&gt;"",N(CV14)&lt;100),"Pend. "&amp;CV14&amp;"%",""))))</f>
        <v/>
      </c>
      <c r="AZ14" s="40" t="str">
        <f aca="false">IF(OR(OR(NOT(AND(ISNUMBER(E14),ISNUMBER(F14))),$J$2=""),14&gt;MAX(1,Reprogramaciones!$U$15)),"",IF(Reprogramaciones!X$12&gt;=7,"",IF(OR(CG14-N(CF14)&gt;0.05,N(AD14)&gt;0),ROUNDDOWN(ROUND(CG14,6),0)&amp;"%"&amp;IF(CW14="",""," / "&amp;CW14&amp;"%"),IF(AND(N(CF14)&gt;=99.95,CW14&lt;&gt;"",N(CW14)&lt;100),"Pend. "&amp;CW14&amp;"%",""))))</f>
        <v/>
      </c>
      <c r="BA14" s="40" t="str">
        <f aca="false">IF(OR(OR(NOT(AND(ISNUMBER(E14),ISNUMBER(F14))),$J$2=""),15&gt;MAX(1,Reprogramaciones!$U$15)),"",IF(Reprogramaciones!Y$12&gt;=7,"",IF(OR(CH14-N(CG14)&gt;0.05,N(AE14)&gt;0),ROUNDDOWN(ROUND(CH14,6),0)&amp;"%"&amp;IF(CX14="",""," / "&amp;CX14&amp;"%"),IF(AND(N(CG14)&gt;=99.95,CX14&lt;&gt;"",N(CX14)&lt;100),"Pend. "&amp;CX14&amp;"%",""))))</f>
        <v/>
      </c>
      <c r="BB14" s="40" t="str">
        <f aca="false">IF(OR(OR(NOT(AND(ISNUMBER(E14),ISNUMBER(F14))),$J$2=""),16&gt;MAX(1,Reprogramaciones!$U$15)),"",IF(Reprogramaciones!Z$12&gt;=7,"",IF(OR(CI14-N(CH14)&gt;0.05,N(AF14)&gt;0),ROUNDDOWN(ROUND(CI14,6),0)&amp;"%"&amp;IF(CY14="",""," / "&amp;CY14&amp;"%"),IF(AND(N(CH14)&gt;=99.95,CY14&lt;&gt;"",N(CY14)&lt;100),"Pend. "&amp;CY14&amp;"%",""))))</f>
        <v/>
      </c>
      <c r="BC14" s="31" t="n">
        <f aca="false">IF(AND(ISNUMBER(E14),ISNUMBER(F14)),MAX(1,NETWORKDAYS.INTL(E14,F14,11)),0)</f>
        <v>0</v>
      </c>
      <c r="BD14" s="1" t="str">
        <f aca="false">IF(OR(NOT(AND(ISNUMBER(E14),ISNUMBER(F14))),$J$2=""),"",MIN(100,ROUND(SUM($G14:G14),1)))</f>
        <v/>
      </c>
      <c r="BE14" s="1" t="str">
        <f aca="false">IF(OR(NOT(AND(ISNUMBER(E14),ISNUMBER(F14))),$J$2=""),"",MIN(100,ROUND(SUM($G14:H14),1)))</f>
        <v/>
      </c>
      <c r="BF14" s="1" t="str">
        <f aca="false">IF(OR(NOT(AND(ISNUMBER(E14),ISNUMBER(F14))),$J$2=""),"",MIN(100,ROUND(SUM($G14:I14),1)))</f>
        <v/>
      </c>
      <c r="BG14" s="1" t="str">
        <f aca="false">IF(OR(NOT(AND(ISNUMBER(E14),ISNUMBER(F14))),$J$2=""),"",MIN(100,ROUND(SUM($G14:J14),1)))</f>
        <v/>
      </c>
      <c r="BH14" s="1" t="str">
        <f aca="false">IF(OR(NOT(AND(ISNUMBER(E14),ISNUMBER(F14))),$J$2=""),"",MIN(100,ROUND(SUM($G14:K14),1)))</f>
        <v/>
      </c>
      <c r="BI14" s="1" t="str">
        <f aca="false">IF(OR(NOT(AND(ISNUMBER(E14),ISNUMBER(F14))),$J$2=""),"",MIN(100,ROUND(SUM($G14:L14),1)))</f>
        <v/>
      </c>
      <c r="BJ14" s="1" t="str">
        <f aca="false">IF(OR(NOT(AND(ISNUMBER(E14),ISNUMBER(F14))),$J$2=""),"",MIN(100,ROUND(SUM($G14:M14),1)))</f>
        <v/>
      </c>
      <c r="BK14" s="1" t="str">
        <f aca="false">IF(OR(NOT(AND(ISNUMBER(E14),ISNUMBER(F14))),$J$2=""),"",MIN(100,ROUND(SUM($G14:N14),1)))</f>
        <v/>
      </c>
      <c r="BL14" s="1" t="str">
        <f aca="false">IF(OR(NOT(AND(ISNUMBER(E14),ISNUMBER(F14))),$J$2=""),"",MIN(100,ROUND(SUM($G14:O14),1)))</f>
        <v/>
      </c>
      <c r="BM14" s="1" t="str">
        <f aca="false">IF(OR(NOT(AND(ISNUMBER(E14),ISNUMBER(F14))),$J$2=""),"",MIN(100,ROUND(SUM($G14:P14),1)))</f>
        <v/>
      </c>
      <c r="BN14" s="1" t="str">
        <f aca="false">IF(OR(NOT(AND(ISNUMBER(E14),ISNUMBER(F14))),$J$2=""),"",MIN(100,ROUND(SUM($G14:P14),1)))</f>
        <v/>
      </c>
      <c r="BO14" s="1" t="str">
        <f aca="false">IF(OR(NOT(AND(ISNUMBER(E14),ISNUMBER(F14))),$J$2=""),"",MIN(100,ROUND(SUM($G14:P14),1)))</f>
        <v/>
      </c>
      <c r="BP14" s="1" t="str">
        <f aca="false">IF(OR(NOT(AND(ISNUMBER(E14),ISNUMBER(F14))),$J$2=""),"",MIN(100,ROUND(SUM($G14:P14),1)))</f>
        <v/>
      </c>
      <c r="BQ14" s="1" t="str">
        <f aca="false">IF(OR(NOT(AND(ISNUMBER(E14),ISNUMBER(F14))),$J$2=""),"",MIN(100,ROUND(SUM($G14:P14),1)))</f>
        <v/>
      </c>
      <c r="BR14" s="1" t="str">
        <f aca="false">IF(OR(NOT(AND(ISNUMBER(E14),ISNUMBER(F14))),$J$2=""),"",MIN(100,ROUND(SUM($G14:P14),1)))</f>
        <v/>
      </c>
      <c r="BS14" s="1" t="str">
        <f aca="false">IF(OR(NOT(AND(ISNUMBER(E14),ISNUMBER(F14))),$J$2=""),"",MIN(100,ROUND(SUM($G14:P14),1)))</f>
        <v/>
      </c>
      <c r="BT14" s="1" t="str">
        <f aca="false">IF(OR(NOT(AND(ISNUMBER(E14),ISNUMBER(F14))),$J$2=""),"",IF(Reprogramaciones!K$13&lt;Reprogramaciones!$T$15,0,IF(Reprogramaciones!K$14&gt;10,MIN(100,SUM($G14:$P14)),MIN(100,SUMPRODUCT((COLUMN($G14:$P14)-COLUMN($G14)+1&lt;Reprogramaciones!K$14)*$G14:$P14)+N(INDEX($G14:$P14,1,Reprogramaciones!K$14))*IF(Reprogramaciones!K$13&gt;=(Reprogramaciones!$T$15+7*(Reprogramaciones!K$14-1))+6,1,IF(MAX(0,NETWORKDAYS.INTL(MAX(E14,(Reprogramaciones!$T$15+7*(Reprogramaciones!K$14-1))),MIN(F14,(Reprogramaciones!$T$15+7*(Reprogramaciones!K$14-1))+6),11))=0,0,MAX(0,NETWORKDAYS.INTL(MAX(E14,(Reprogramaciones!$T$15+7*(Reprogramaciones!K$14-1))),MIN(F14,Reprogramaciones!K$13),11))/MAX(0,NETWORKDAYS.INTL(MAX(E14,(Reprogramaciones!$T$15+7*(Reprogramaciones!K$14-1))),MIN(F14,(Reprogramaciones!$T$15+7*(Reprogramaciones!K$14-1))+6),11))))))))</f>
        <v/>
      </c>
      <c r="BU14" s="1" t="str">
        <f aca="false">IF(OR(NOT(AND(ISNUMBER(E14),ISNUMBER(F14))),$J$2=""),"",IF(Reprogramaciones!L$13&lt;Reprogramaciones!$T$15,0,IF(Reprogramaciones!L$14&gt;10,MIN(100,SUM($G14:$P14)),MIN(100,SUMPRODUCT((COLUMN($G14:$P14)-COLUMN($G14)+1&lt;Reprogramaciones!L$14)*$G14:$P14)+N(INDEX($G14:$P14,1,Reprogramaciones!L$14))*IF(Reprogramaciones!L$13&gt;=(Reprogramaciones!$T$15+7*(Reprogramaciones!L$14-1))+6,1,IF(MAX(0,NETWORKDAYS.INTL(MAX(E14,(Reprogramaciones!$T$15+7*(Reprogramaciones!L$14-1))),MIN(F14,(Reprogramaciones!$T$15+7*(Reprogramaciones!L$14-1))+6),11))=0,0,MAX(0,NETWORKDAYS.INTL(MAX(E14,(Reprogramaciones!$T$15+7*(Reprogramaciones!L$14-1))),MIN(F14,Reprogramaciones!L$13),11))/MAX(0,NETWORKDAYS.INTL(MAX(E14,(Reprogramaciones!$T$15+7*(Reprogramaciones!L$14-1))),MIN(F14,(Reprogramaciones!$T$15+7*(Reprogramaciones!L$14-1))+6),11))))))))</f>
        <v/>
      </c>
      <c r="BV14" s="1" t="str">
        <f aca="false">IF(OR(NOT(AND(ISNUMBER(E14),ISNUMBER(F14))),$J$2=""),"",IF(Reprogramaciones!M$13&lt;Reprogramaciones!$T$15,0,IF(Reprogramaciones!M$14&gt;10,MIN(100,SUM($G14:$P14)),MIN(100,SUMPRODUCT((COLUMN($G14:$P14)-COLUMN($G14)+1&lt;Reprogramaciones!M$14)*$G14:$P14)+N(INDEX($G14:$P14,1,Reprogramaciones!M$14))*IF(Reprogramaciones!M$13&gt;=(Reprogramaciones!$T$15+7*(Reprogramaciones!M$14-1))+6,1,IF(MAX(0,NETWORKDAYS.INTL(MAX(E14,(Reprogramaciones!$T$15+7*(Reprogramaciones!M$14-1))),MIN(F14,(Reprogramaciones!$T$15+7*(Reprogramaciones!M$14-1))+6),11))=0,0,MAX(0,NETWORKDAYS.INTL(MAX(E14,(Reprogramaciones!$T$15+7*(Reprogramaciones!M$14-1))),MIN(F14,Reprogramaciones!M$13),11))/MAX(0,NETWORKDAYS.INTL(MAX(E14,(Reprogramaciones!$T$15+7*(Reprogramaciones!M$14-1))),MIN(F14,(Reprogramaciones!$T$15+7*(Reprogramaciones!M$14-1))+6),11))))))))</f>
        <v/>
      </c>
      <c r="BW14" s="1" t="str">
        <f aca="false">IF(OR(NOT(AND(ISNUMBER(E14),ISNUMBER(F14))),$J$2=""),"",IF(Reprogramaciones!N$13&lt;Reprogramaciones!$T$15,0,IF(Reprogramaciones!N$14&gt;10,MIN(100,SUM($G14:$P14)),MIN(100,SUMPRODUCT((COLUMN($G14:$P14)-COLUMN($G14)+1&lt;Reprogramaciones!N$14)*$G14:$P14)+N(INDEX($G14:$P14,1,Reprogramaciones!N$14))*IF(Reprogramaciones!N$13&gt;=(Reprogramaciones!$T$15+7*(Reprogramaciones!N$14-1))+6,1,IF(MAX(0,NETWORKDAYS.INTL(MAX(E14,(Reprogramaciones!$T$15+7*(Reprogramaciones!N$14-1))),MIN(F14,(Reprogramaciones!$T$15+7*(Reprogramaciones!N$14-1))+6),11))=0,0,MAX(0,NETWORKDAYS.INTL(MAX(E14,(Reprogramaciones!$T$15+7*(Reprogramaciones!N$14-1))),MIN(F14,Reprogramaciones!N$13),11))/MAX(0,NETWORKDAYS.INTL(MAX(E14,(Reprogramaciones!$T$15+7*(Reprogramaciones!N$14-1))),MIN(F14,(Reprogramaciones!$T$15+7*(Reprogramaciones!N$14-1))+6),11))))))))</f>
        <v/>
      </c>
      <c r="BX14" s="1" t="str">
        <f aca="false">IF(OR(NOT(AND(ISNUMBER(E14),ISNUMBER(F14))),$J$2=""),"",IF(Reprogramaciones!O$13&lt;Reprogramaciones!$T$15,0,IF(Reprogramaciones!O$14&gt;10,MIN(100,SUM($G14:$P14)),MIN(100,SUMPRODUCT((COLUMN($G14:$P14)-COLUMN($G14)+1&lt;Reprogramaciones!O$14)*$G14:$P14)+N(INDEX($G14:$P14,1,Reprogramaciones!O$14))*IF(Reprogramaciones!O$13&gt;=(Reprogramaciones!$T$15+7*(Reprogramaciones!O$14-1))+6,1,IF(MAX(0,NETWORKDAYS.INTL(MAX(E14,(Reprogramaciones!$T$15+7*(Reprogramaciones!O$14-1))),MIN(F14,(Reprogramaciones!$T$15+7*(Reprogramaciones!O$14-1))+6),11))=0,0,MAX(0,NETWORKDAYS.INTL(MAX(E14,(Reprogramaciones!$T$15+7*(Reprogramaciones!O$14-1))),MIN(F14,Reprogramaciones!O$13),11))/MAX(0,NETWORKDAYS.INTL(MAX(E14,(Reprogramaciones!$T$15+7*(Reprogramaciones!O$14-1))),MIN(F14,(Reprogramaciones!$T$15+7*(Reprogramaciones!O$14-1))+6),11))))))))</f>
        <v/>
      </c>
      <c r="BY14" s="1" t="str">
        <f aca="false">IF(OR(NOT(AND(ISNUMBER(E14),ISNUMBER(F14))),$J$2=""),"",IF(Reprogramaciones!P$13&lt;Reprogramaciones!$T$15,0,IF(Reprogramaciones!P$14&gt;10,MIN(100,SUM($G14:$P14)),MIN(100,SUMPRODUCT((COLUMN($G14:$P14)-COLUMN($G14)+1&lt;Reprogramaciones!P$14)*$G14:$P14)+N(INDEX($G14:$P14,1,Reprogramaciones!P$14))*IF(Reprogramaciones!P$13&gt;=(Reprogramaciones!$T$15+7*(Reprogramaciones!P$14-1))+6,1,IF(MAX(0,NETWORKDAYS.INTL(MAX(E14,(Reprogramaciones!$T$15+7*(Reprogramaciones!P$14-1))),MIN(F14,(Reprogramaciones!$T$15+7*(Reprogramaciones!P$14-1))+6),11))=0,0,MAX(0,NETWORKDAYS.INTL(MAX(E14,(Reprogramaciones!$T$15+7*(Reprogramaciones!P$14-1))),MIN(F14,Reprogramaciones!P$13),11))/MAX(0,NETWORKDAYS.INTL(MAX(E14,(Reprogramaciones!$T$15+7*(Reprogramaciones!P$14-1))),MIN(F14,(Reprogramaciones!$T$15+7*(Reprogramaciones!P$14-1))+6),11))))))))</f>
        <v/>
      </c>
      <c r="BZ14" s="1" t="str">
        <f aca="false">IF(OR(NOT(AND(ISNUMBER(E14),ISNUMBER(F14))),$J$2=""),"",IF(Reprogramaciones!Q$13&lt;Reprogramaciones!$T$15,0,IF(Reprogramaciones!Q$14&gt;10,MIN(100,SUM($G14:$P14)),MIN(100,SUMPRODUCT((COLUMN($G14:$P14)-COLUMN($G14)+1&lt;Reprogramaciones!Q$14)*$G14:$P14)+N(INDEX($G14:$P14,1,Reprogramaciones!Q$14))*IF(Reprogramaciones!Q$13&gt;=(Reprogramaciones!$T$15+7*(Reprogramaciones!Q$14-1))+6,1,IF(MAX(0,NETWORKDAYS.INTL(MAX(E14,(Reprogramaciones!$T$15+7*(Reprogramaciones!Q$14-1))),MIN(F14,(Reprogramaciones!$T$15+7*(Reprogramaciones!Q$14-1))+6),11))=0,0,MAX(0,NETWORKDAYS.INTL(MAX(E14,(Reprogramaciones!$T$15+7*(Reprogramaciones!Q$14-1))),MIN(F14,Reprogramaciones!Q$13),11))/MAX(0,NETWORKDAYS.INTL(MAX(E14,(Reprogramaciones!$T$15+7*(Reprogramaciones!Q$14-1))),MIN(F14,(Reprogramaciones!$T$15+7*(Reprogramaciones!Q$14-1))+6),11))))))))</f>
        <v/>
      </c>
      <c r="CA14" s="1" t="str">
        <f aca="false">IF(OR(NOT(AND(ISNUMBER(E14),ISNUMBER(F14))),$J$2=""),"",IF(Reprogramaciones!R$13&lt;Reprogramaciones!$T$15,0,IF(Reprogramaciones!R$14&gt;10,MIN(100,SUM($G14:$P14)),MIN(100,SUMPRODUCT((COLUMN($G14:$P14)-COLUMN($G14)+1&lt;Reprogramaciones!R$14)*$G14:$P14)+N(INDEX($G14:$P14,1,Reprogramaciones!R$14))*IF(Reprogramaciones!R$13&gt;=(Reprogramaciones!$T$15+7*(Reprogramaciones!R$14-1))+6,1,IF(MAX(0,NETWORKDAYS.INTL(MAX(E14,(Reprogramaciones!$T$15+7*(Reprogramaciones!R$14-1))),MIN(F14,(Reprogramaciones!$T$15+7*(Reprogramaciones!R$14-1))+6),11))=0,0,MAX(0,NETWORKDAYS.INTL(MAX(E14,(Reprogramaciones!$T$15+7*(Reprogramaciones!R$14-1))),MIN(F14,Reprogramaciones!R$13),11))/MAX(0,NETWORKDAYS.INTL(MAX(E14,(Reprogramaciones!$T$15+7*(Reprogramaciones!R$14-1))),MIN(F14,(Reprogramaciones!$T$15+7*(Reprogramaciones!R$14-1))+6),11))))))))</f>
        <v/>
      </c>
      <c r="CB14" s="1" t="str">
        <f aca="false">IF(OR(NOT(AND(ISNUMBER(E14),ISNUMBER(F14))),$J$2=""),"",IF(Reprogramaciones!S$13&lt;Reprogramaciones!$T$15,0,IF(Reprogramaciones!S$14&gt;10,MIN(100,SUM($G14:$P14)),MIN(100,SUMPRODUCT((COLUMN($G14:$P14)-COLUMN($G14)+1&lt;Reprogramaciones!S$14)*$G14:$P14)+N(INDEX($G14:$P14,1,Reprogramaciones!S$14))*IF(Reprogramaciones!S$13&gt;=(Reprogramaciones!$T$15+7*(Reprogramaciones!S$14-1))+6,1,IF(MAX(0,NETWORKDAYS.INTL(MAX(E14,(Reprogramaciones!$T$15+7*(Reprogramaciones!S$14-1))),MIN(F14,(Reprogramaciones!$T$15+7*(Reprogramaciones!S$14-1))+6),11))=0,0,MAX(0,NETWORKDAYS.INTL(MAX(E14,(Reprogramaciones!$T$15+7*(Reprogramaciones!S$14-1))),MIN(F14,Reprogramaciones!S$13),11))/MAX(0,NETWORKDAYS.INTL(MAX(E14,(Reprogramaciones!$T$15+7*(Reprogramaciones!S$14-1))),MIN(F14,(Reprogramaciones!$T$15+7*(Reprogramaciones!S$14-1))+6),11))))))))</f>
        <v/>
      </c>
      <c r="CC14" s="1" t="str">
        <f aca="false">IF(OR(NOT(AND(ISNUMBER(E14),ISNUMBER(F14))),$J$2=""),"",IF(Reprogramaciones!T$13&lt;Reprogramaciones!$T$15,0,IF(Reprogramaciones!T$14&gt;10,MIN(100,SUM($G14:$P14)),MIN(100,SUMPRODUCT((COLUMN($G14:$P14)-COLUMN($G14)+1&lt;Reprogramaciones!T$14)*$G14:$P14)+N(INDEX($G14:$P14,1,Reprogramaciones!T$14))*IF(Reprogramaciones!T$13&gt;=(Reprogramaciones!$T$15+7*(Reprogramaciones!T$14-1))+6,1,IF(MAX(0,NETWORKDAYS.INTL(MAX(E14,(Reprogramaciones!$T$15+7*(Reprogramaciones!T$14-1))),MIN(F14,(Reprogramaciones!$T$15+7*(Reprogramaciones!T$14-1))+6),11))=0,0,MAX(0,NETWORKDAYS.INTL(MAX(E14,(Reprogramaciones!$T$15+7*(Reprogramaciones!T$14-1))),MIN(F14,Reprogramaciones!T$13),11))/MAX(0,NETWORKDAYS.INTL(MAX(E14,(Reprogramaciones!$T$15+7*(Reprogramaciones!T$14-1))),MIN(F14,(Reprogramaciones!$T$15+7*(Reprogramaciones!T$14-1))+6),11))))))))</f>
        <v/>
      </c>
      <c r="CD14" s="1" t="str">
        <f aca="false">IF(OR(NOT(AND(ISNUMBER(E14),ISNUMBER(F14))),$J$2=""),"",IF(Reprogramaciones!U$13&lt;Reprogramaciones!$T$15,0,IF(Reprogramaciones!U$14&gt;10,MIN(100,SUM($G14:$P14)),MIN(100,SUMPRODUCT((COLUMN($G14:$P14)-COLUMN($G14)+1&lt;Reprogramaciones!U$14)*$G14:$P14)+N(INDEX($G14:$P14,1,Reprogramaciones!U$14))*IF(Reprogramaciones!U$13&gt;=(Reprogramaciones!$T$15+7*(Reprogramaciones!U$14-1))+6,1,IF(MAX(0,NETWORKDAYS.INTL(MAX(E14,(Reprogramaciones!$T$15+7*(Reprogramaciones!U$14-1))),MIN(F14,(Reprogramaciones!$T$15+7*(Reprogramaciones!U$14-1))+6),11))=0,0,MAX(0,NETWORKDAYS.INTL(MAX(E14,(Reprogramaciones!$T$15+7*(Reprogramaciones!U$14-1))),MIN(F14,Reprogramaciones!U$13),11))/MAX(0,NETWORKDAYS.INTL(MAX(E14,(Reprogramaciones!$T$15+7*(Reprogramaciones!U$14-1))),MIN(F14,(Reprogramaciones!$T$15+7*(Reprogramaciones!U$14-1))+6),11))))))))</f>
        <v/>
      </c>
      <c r="CE14" s="1" t="str">
        <f aca="false">IF(OR(NOT(AND(ISNUMBER(E14),ISNUMBER(F14))),$J$2=""),"",IF(Reprogramaciones!V$13&lt;Reprogramaciones!$T$15,0,IF(Reprogramaciones!V$14&gt;10,MIN(100,SUM($G14:$P14)),MIN(100,SUMPRODUCT((COLUMN($G14:$P14)-COLUMN($G14)+1&lt;Reprogramaciones!V$14)*$G14:$P14)+N(INDEX($G14:$P14,1,Reprogramaciones!V$14))*IF(Reprogramaciones!V$13&gt;=(Reprogramaciones!$T$15+7*(Reprogramaciones!V$14-1))+6,1,IF(MAX(0,NETWORKDAYS.INTL(MAX(E14,(Reprogramaciones!$T$15+7*(Reprogramaciones!V$14-1))),MIN(F14,(Reprogramaciones!$T$15+7*(Reprogramaciones!V$14-1))+6),11))=0,0,MAX(0,NETWORKDAYS.INTL(MAX(E14,(Reprogramaciones!$T$15+7*(Reprogramaciones!V$14-1))),MIN(F14,Reprogramaciones!V$13),11))/MAX(0,NETWORKDAYS.INTL(MAX(E14,(Reprogramaciones!$T$15+7*(Reprogramaciones!V$14-1))),MIN(F14,(Reprogramaciones!$T$15+7*(Reprogramaciones!V$14-1))+6),11))))))))</f>
        <v/>
      </c>
      <c r="CF14" s="1" t="str">
        <f aca="false">IF(OR(NOT(AND(ISNUMBER(E14),ISNUMBER(F14))),$J$2=""),"",IF(Reprogramaciones!W$13&lt;Reprogramaciones!$T$15,0,IF(Reprogramaciones!W$14&gt;10,MIN(100,SUM($G14:$P14)),MIN(100,SUMPRODUCT((COLUMN($G14:$P14)-COLUMN($G14)+1&lt;Reprogramaciones!W$14)*$G14:$P14)+N(INDEX($G14:$P14,1,Reprogramaciones!W$14))*IF(Reprogramaciones!W$13&gt;=(Reprogramaciones!$T$15+7*(Reprogramaciones!W$14-1))+6,1,IF(MAX(0,NETWORKDAYS.INTL(MAX(E14,(Reprogramaciones!$T$15+7*(Reprogramaciones!W$14-1))),MIN(F14,(Reprogramaciones!$T$15+7*(Reprogramaciones!W$14-1))+6),11))=0,0,MAX(0,NETWORKDAYS.INTL(MAX(E14,(Reprogramaciones!$T$15+7*(Reprogramaciones!W$14-1))),MIN(F14,Reprogramaciones!W$13),11))/MAX(0,NETWORKDAYS.INTL(MAX(E14,(Reprogramaciones!$T$15+7*(Reprogramaciones!W$14-1))),MIN(F14,(Reprogramaciones!$T$15+7*(Reprogramaciones!W$14-1))+6),11))))))))</f>
        <v/>
      </c>
      <c r="CG14" s="1" t="str">
        <f aca="false">IF(OR(NOT(AND(ISNUMBER(E14),ISNUMBER(F14))),$J$2=""),"",IF(Reprogramaciones!X$13&lt;Reprogramaciones!$T$15,0,IF(Reprogramaciones!X$14&gt;10,MIN(100,SUM($G14:$P14)),MIN(100,SUMPRODUCT((COLUMN($G14:$P14)-COLUMN($G14)+1&lt;Reprogramaciones!X$14)*$G14:$P14)+N(INDEX($G14:$P14,1,Reprogramaciones!X$14))*IF(Reprogramaciones!X$13&gt;=(Reprogramaciones!$T$15+7*(Reprogramaciones!X$14-1))+6,1,IF(MAX(0,NETWORKDAYS.INTL(MAX(E14,(Reprogramaciones!$T$15+7*(Reprogramaciones!X$14-1))),MIN(F14,(Reprogramaciones!$T$15+7*(Reprogramaciones!X$14-1))+6),11))=0,0,MAX(0,NETWORKDAYS.INTL(MAX(E14,(Reprogramaciones!$T$15+7*(Reprogramaciones!X$14-1))),MIN(F14,Reprogramaciones!X$13),11))/MAX(0,NETWORKDAYS.INTL(MAX(E14,(Reprogramaciones!$T$15+7*(Reprogramaciones!X$14-1))),MIN(F14,(Reprogramaciones!$T$15+7*(Reprogramaciones!X$14-1))+6),11))))))))</f>
        <v/>
      </c>
      <c r="CH14" s="1" t="str">
        <f aca="false">IF(OR(NOT(AND(ISNUMBER(E14),ISNUMBER(F14))),$J$2=""),"",IF(Reprogramaciones!Y$13&lt;Reprogramaciones!$T$15,0,IF(Reprogramaciones!Y$14&gt;10,MIN(100,SUM($G14:$P14)),MIN(100,SUMPRODUCT((COLUMN($G14:$P14)-COLUMN($G14)+1&lt;Reprogramaciones!Y$14)*$G14:$P14)+N(INDEX($G14:$P14,1,Reprogramaciones!Y$14))*IF(Reprogramaciones!Y$13&gt;=(Reprogramaciones!$T$15+7*(Reprogramaciones!Y$14-1))+6,1,IF(MAX(0,NETWORKDAYS.INTL(MAX(E14,(Reprogramaciones!$T$15+7*(Reprogramaciones!Y$14-1))),MIN(F14,(Reprogramaciones!$T$15+7*(Reprogramaciones!Y$14-1))+6),11))=0,0,MAX(0,NETWORKDAYS.INTL(MAX(E14,(Reprogramaciones!$T$15+7*(Reprogramaciones!Y$14-1))),MIN(F14,Reprogramaciones!Y$13),11))/MAX(0,NETWORKDAYS.INTL(MAX(E14,(Reprogramaciones!$T$15+7*(Reprogramaciones!Y$14-1))),MIN(F14,(Reprogramaciones!$T$15+7*(Reprogramaciones!Y$14-1))+6),11))))))))</f>
        <v/>
      </c>
      <c r="CI14" s="1" t="str">
        <f aca="false">IF(OR(NOT(AND(ISNUMBER(E14),ISNUMBER(F14))),$J$2=""),"",IF(Reprogramaciones!Z$13&lt;Reprogramaciones!$T$15,0,IF(Reprogramaciones!Z$14&gt;10,MIN(100,SUM($G14:$P14)),MIN(100,SUMPRODUCT((COLUMN($G14:$P14)-COLUMN($G14)+1&lt;Reprogramaciones!Z$14)*$G14:$P14)+N(INDEX($G14:$P14,1,Reprogramaciones!Z$14))*IF(Reprogramaciones!Z$13&gt;=(Reprogramaciones!$T$15+7*(Reprogramaciones!Z$14-1))+6,1,IF(MAX(0,NETWORKDAYS.INTL(MAX(E14,(Reprogramaciones!$T$15+7*(Reprogramaciones!Z$14-1))),MIN(F14,(Reprogramaciones!$T$15+7*(Reprogramaciones!Z$14-1))+6),11))=0,0,MAX(0,NETWORKDAYS.INTL(MAX(E14,(Reprogramaciones!$T$15+7*(Reprogramaciones!Z$14-1))),MIN(F14,Reprogramaciones!Z$13),11))/MAX(0,NETWORKDAYS.INTL(MAX(E14,(Reprogramaciones!$T$15+7*(Reprogramaciones!Z$14-1))),MIN(F14,(Reprogramaciones!$T$15+7*(Reprogramaciones!Z$14-1))+6),11))))))))</f>
        <v/>
      </c>
      <c r="CJ14" s="1" t="str">
        <f aca="false">IF(OR(OR(NOT(AND(ISNUMBER(E14),ISNUMBER(F14))),$J$2=""),1&gt;Reprogramaciones!$K$16),"",IF(ROUND(SUM($Q14:Q14),1)&gt;=99.5,100,MIN(100,ROUND(SUM($Q14:Q14),1))))</f>
        <v/>
      </c>
      <c r="CK14" s="1" t="str">
        <f aca="false">IF(OR(OR(NOT(AND(ISNUMBER(E14),ISNUMBER(F14))),$J$2=""),2&gt;Reprogramaciones!$K$16),"",IF(ROUND(SUM($Q14:R14),1)&gt;=99.5,100,MIN(100,ROUND(SUM($Q14:R14),1))))</f>
        <v/>
      </c>
      <c r="CL14" s="1" t="str">
        <f aca="false">IF(OR(OR(NOT(AND(ISNUMBER(E14),ISNUMBER(F14))),$J$2=""),3&gt;Reprogramaciones!$K$16),"",IF(ROUND(SUM($Q14:S14),1)&gt;=99.5,100,MIN(100,ROUND(SUM($Q14:S14),1))))</f>
        <v/>
      </c>
      <c r="CM14" s="1" t="str">
        <f aca="false">IF(OR(OR(NOT(AND(ISNUMBER(E14),ISNUMBER(F14))),$J$2=""),4&gt;Reprogramaciones!$K$16),"",IF(ROUND(SUM($Q14:T14),1)&gt;=99.5,100,MIN(100,ROUND(SUM($Q14:T14),1))))</f>
        <v/>
      </c>
      <c r="CN14" s="1" t="str">
        <f aca="false">IF(OR(OR(NOT(AND(ISNUMBER(E14),ISNUMBER(F14))),$J$2=""),5&gt;Reprogramaciones!$K$16),"",IF(ROUND(SUM($Q14:U14),1)&gt;=99.5,100,MIN(100,ROUND(SUM($Q14:U14),1))))</f>
        <v/>
      </c>
      <c r="CO14" s="1" t="str">
        <f aca="false">IF(OR(OR(NOT(AND(ISNUMBER(E14),ISNUMBER(F14))),$J$2=""),6&gt;Reprogramaciones!$K$16),"",IF(ROUND(SUM($Q14:V14),1)&gt;=99.5,100,MIN(100,ROUND(SUM($Q14:V14),1))))</f>
        <v/>
      </c>
      <c r="CP14" s="1" t="str">
        <f aca="false">IF(OR(OR(NOT(AND(ISNUMBER(E14),ISNUMBER(F14))),$J$2=""),7&gt;Reprogramaciones!$K$16),"",IF(ROUND(SUM($Q14:W14),1)&gt;=99.5,100,MIN(100,ROUND(SUM($Q14:W14),1))))</f>
        <v/>
      </c>
      <c r="CQ14" s="1" t="str">
        <f aca="false">IF(OR(OR(NOT(AND(ISNUMBER(E14),ISNUMBER(F14))),$J$2=""),8&gt;Reprogramaciones!$K$16),"",IF(ROUND(SUM($Q14:X14),1)&gt;=99.5,100,MIN(100,ROUND(SUM($Q14:X14),1))))</f>
        <v/>
      </c>
      <c r="CR14" s="1" t="str">
        <f aca="false">IF(OR(OR(NOT(AND(ISNUMBER(E14),ISNUMBER(F14))),$J$2=""),9&gt;Reprogramaciones!$K$16),"",IF(ROUND(SUM($Q14:Y14),1)&gt;=99.5,100,MIN(100,ROUND(SUM($Q14:Y14),1))))</f>
        <v/>
      </c>
      <c r="CS14" s="1" t="str">
        <f aca="false">IF(OR(OR(NOT(AND(ISNUMBER(E14),ISNUMBER(F14))),$J$2=""),10&gt;Reprogramaciones!$K$16),"",IF(ROUND(SUM($Q14:Z14),1)&gt;=99.5,100,MIN(100,ROUND(SUM($Q14:Z14),1))))</f>
        <v/>
      </c>
      <c r="CT14" s="1" t="str">
        <f aca="false">IF(OR(OR(NOT(AND(ISNUMBER(E14),ISNUMBER(F14))),$J$2=""),11&gt;Reprogramaciones!$K$16),"",IF(ROUND(SUM($Q14:AA14),1)&gt;=99.5,100,MIN(100,ROUND(SUM($Q14:AA14),1))))</f>
        <v/>
      </c>
      <c r="CU14" s="1" t="str">
        <f aca="false">IF(OR(OR(NOT(AND(ISNUMBER(E14),ISNUMBER(F14))),$J$2=""),12&gt;Reprogramaciones!$K$16),"",IF(ROUND(SUM($Q14:AB14),1)&gt;=99.5,100,MIN(100,ROUND(SUM($Q14:AB14),1))))</f>
        <v/>
      </c>
      <c r="CV14" s="1" t="str">
        <f aca="false">IF(OR(OR(NOT(AND(ISNUMBER(E14),ISNUMBER(F14))),$J$2=""),13&gt;Reprogramaciones!$K$16),"",IF(ROUND(SUM($Q14:AC14),1)&gt;=99.5,100,MIN(100,ROUND(SUM($Q14:AC14),1))))</f>
        <v/>
      </c>
      <c r="CW14" s="1" t="str">
        <f aca="false">IF(OR(OR(NOT(AND(ISNUMBER(E14),ISNUMBER(F14))),$J$2=""),14&gt;Reprogramaciones!$K$16),"",IF(ROUND(SUM($Q14:AD14),1)&gt;=99.5,100,MIN(100,ROUND(SUM($Q14:AD14),1))))</f>
        <v/>
      </c>
      <c r="CX14" s="1" t="str">
        <f aca="false">IF(OR(OR(NOT(AND(ISNUMBER(E14),ISNUMBER(F14))),$J$2=""),15&gt;Reprogramaciones!$K$16),"",IF(ROUND(SUM($Q14:AE14),1)&gt;=99.5,100,MIN(100,ROUND(SUM($Q14:AE14),1))))</f>
        <v/>
      </c>
      <c r="CY14" s="1" t="str">
        <f aca="false">IF(OR(OR(NOT(AND(ISNUMBER(E14),ISNUMBER(F14))),$J$2=""),16&gt;Reprogramaciones!$K$16),"",IF(ROUND(SUM($Q14:AF14),1)&gt;=99.5,100,MIN(100,ROUND(SUM($Q14:AF14),1))))</f>
        <v/>
      </c>
      <c r="CZ14" s="1" t="str">
        <f aca="false">IF(D14&lt;&gt;"",D14,IF(B14&lt;&gt;"","Contractual",CZ13))</f>
        <v>Contractual</v>
      </c>
      <c r="DA14" s="1" t="str">
        <f aca="false">IF(OR(NOT(AND(ISNUMBER(E14),ISNUMBER(F14))),$J$2=""),"",IF(Reprogramaciones!$Q$15&lt;Reprogramaciones!$T$15,0,IF(Reprogramaciones!$S$15&gt;10,MIN(100,SUM($G14:$P14)),MIN(100,SUMPRODUCT((COLUMN($G14:$P14)-COLUMN($G14)+1&lt;Reprogramaciones!$S$15)*$G14:$P14)+N(INDEX($G14:$P14,1,Reprogramaciones!$S$15))*IF(Reprogramaciones!$Q$15&gt;=(Reprogramaciones!$T$15+7*(Reprogramaciones!$S$15-1))+6,1,IF(MAX(0,NETWORKDAYS.INTL(MAX(E14,(Reprogramaciones!$T$15+7*(Reprogramaciones!$S$15-1))),MIN(F14,(Reprogramaciones!$T$15+7*(Reprogramaciones!$S$15-1))+6),11))=0,0,MAX(0,NETWORKDAYS.INTL(MAX(E14,(Reprogramaciones!$T$15+7*(Reprogramaciones!$S$15-1))),MIN(F14,Reprogramaciones!$Q$15),11))/MAX(0,NETWORKDAYS.INTL(MAX(E14,(Reprogramaciones!$T$15+7*(Reprogramaciones!$S$15-1))),MIN(F14,(Reprogramaciones!$T$15+7*(Reprogramaciones!$S$15-1))+6),11))))))))</f>
        <v/>
      </c>
    </row>
    <row r="15" customFormat="false" ht="15" hidden="false" customHeight="false" outlineLevel="0" collapsed="false">
      <c r="A15" s="32" t="s">
        <v>171</v>
      </c>
      <c r="B15" s="33"/>
      <c r="C15" s="33" t="s">
        <v>172</v>
      </c>
      <c r="D15" s="34"/>
      <c r="E15" s="35" t="n">
        <v>46293</v>
      </c>
      <c r="F15" s="35" t="n">
        <v>46297</v>
      </c>
      <c r="G15" s="36" t="n">
        <f aca="false">IF(OR(NOT(AND(ISNUMBER(E15),ISNUMBER(F15))),$J$2=""),"",IF(Reprogramaciones!K$9&lt;E15,0,IF(NETWORKDAYS.INTL(E15,F15,11)=0,IF(Reprogramaciones!K$9&gt;=F15,100,0),ROUND(NETWORKDAYS.INTL(E15,MIN(F15,Reprogramaciones!K$9),11)/NETWORKDAYS.INTL(E15,F15,11)*100,1)))-0)</f>
        <v>0</v>
      </c>
      <c r="H15" s="36" t="n">
        <f aca="false">IF(OR(NOT(AND(ISNUMBER(E15),ISNUMBER(F15))),$J$2=""),"",IF(Reprogramaciones!L$9&lt;E15,0,IF(NETWORKDAYS.INTL(E15,F15,11)=0,IF(Reprogramaciones!L$9&gt;=F15,100,0),ROUND(NETWORKDAYS.INTL(E15,MIN(F15,Reprogramaciones!L$9),11)/NETWORKDAYS.INTL(E15,F15,11)*100,1)))-IF(Reprogramaciones!K$9&lt;E15,0,IF(NETWORKDAYS.INTL(E15,F15,11)=0,IF(Reprogramaciones!K$9&gt;=F15,100,0),ROUND(NETWORKDAYS.INTL(E15,MIN(F15,Reprogramaciones!K$9),11)/NETWORKDAYS.INTL(E15,F15,11)*100,1))))</f>
        <v>100</v>
      </c>
      <c r="I15" s="36" t="n">
        <f aca="false">IF(OR(NOT(AND(ISNUMBER(E15),ISNUMBER(F15))),$J$2=""),"",IF(Reprogramaciones!M$9&lt;E15,0,IF(NETWORKDAYS.INTL(E15,F15,11)=0,IF(Reprogramaciones!M$9&gt;=F15,100,0),ROUND(NETWORKDAYS.INTL(E15,MIN(F15,Reprogramaciones!M$9),11)/NETWORKDAYS.INTL(E15,F15,11)*100,1)))-IF(Reprogramaciones!L$9&lt;E15,0,IF(NETWORKDAYS.INTL(E15,F15,11)=0,IF(Reprogramaciones!L$9&gt;=F15,100,0),ROUND(NETWORKDAYS.INTL(E15,MIN(F15,Reprogramaciones!L$9),11)/NETWORKDAYS.INTL(E15,F15,11)*100,1))))</f>
        <v>0</v>
      </c>
      <c r="J15" s="36" t="n">
        <f aca="false">IF(OR(NOT(AND(ISNUMBER(E15),ISNUMBER(F15))),$J$2=""),"",IF(Reprogramaciones!N$9&lt;E15,0,IF(NETWORKDAYS.INTL(E15,F15,11)=0,IF(Reprogramaciones!N$9&gt;=F15,100,0),ROUND(NETWORKDAYS.INTL(E15,MIN(F15,Reprogramaciones!N$9),11)/NETWORKDAYS.INTL(E15,F15,11)*100,1)))-IF(Reprogramaciones!M$9&lt;E15,0,IF(NETWORKDAYS.INTL(E15,F15,11)=0,IF(Reprogramaciones!M$9&gt;=F15,100,0),ROUND(NETWORKDAYS.INTL(E15,MIN(F15,Reprogramaciones!M$9),11)/NETWORKDAYS.INTL(E15,F15,11)*100,1))))</f>
        <v>0</v>
      </c>
      <c r="K15" s="36" t="n">
        <f aca="false">IF(OR(NOT(AND(ISNUMBER(E15),ISNUMBER(F15))),$J$2=""),"",IF(Reprogramaciones!O$9&lt;E15,0,IF(NETWORKDAYS.INTL(E15,F15,11)=0,IF(Reprogramaciones!O$9&gt;=F15,100,0),ROUND(NETWORKDAYS.INTL(E15,MIN(F15,Reprogramaciones!O$9),11)/NETWORKDAYS.INTL(E15,F15,11)*100,1)))-IF(Reprogramaciones!N$9&lt;E15,0,IF(NETWORKDAYS.INTL(E15,F15,11)=0,IF(Reprogramaciones!N$9&gt;=F15,100,0),ROUND(NETWORKDAYS.INTL(E15,MIN(F15,Reprogramaciones!N$9),11)/NETWORKDAYS.INTL(E15,F15,11)*100,1))))</f>
        <v>0</v>
      </c>
      <c r="L15" s="36" t="n">
        <f aca="false">IF(OR(NOT(AND(ISNUMBER(E15),ISNUMBER(F15))),$J$2=""),"",IF(Reprogramaciones!P$9&lt;E15,0,IF(NETWORKDAYS.INTL(E15,F15,11)=0,IF(Reprogramaciones!P$9&gt;=F15,100,0),ROUND(NETWORKDAYS.INTL(E15,MIN(F15,Reprogramaciones!P$9),11)/NETWORKDAYS.INTL(E15,F15,11)*100,1)))-IF(Reprogramaciones!O$9&lt;E15,0,IF(NETWORKDAYS.INTL(E15,F15,11)=0,IF(Reprogramaciones!O$9&gt;=F15,100,0),ROUND(NETWORKDAYS.INTL(E15,MIN(F15,Reprogramaciones!O$9),11)/NETWORKDAYS.INTL(E15,F15,11)*100,1))))</f>
        <v>0</v>
      </c>
      <c r="M15" s="36" t="n">
        <f aca="false">IF(OR(NOT(AND(ISNUMBER(E15),ISNUMBER(F15))),$J$2=""),"",IF(Reprogramaciones!Q$9&lt;E15,0,IF(NETWORKDAYS.INTL(E15,F15,11)=0,IF(Reprogramaciones!Q$9&gt;=F15,100,0),ROUND(NETWORKDAYS.INTL(E15,MIN(F15,Reprogramaciones!Q$9),11)/NETWORKDAYS.INTL(E15,F15,11)*100,1)))-IF(Reprogramaciones!P$9&lt;E15,0,IF(NETWORKDAYS.INTL(E15,F15,11)=0,IF(Reprogramaciones!P$9&gt;=F15,100,0),ROUND(NETWORKDAYS.INTL(E15,MIN(F15,Reprogramaciones!P$9),11)/NETWORKDAYS.INTL(E15,F15,11)*100,1))))</f>
        <v>0</v>
      </c>
      <c r="N15" s="36" t="n">
        <f aca="false">IF(OR(NOT(AND(ISNUMBER(E15),ISNUMBER(F15))),$J$2=""),"",IF(Reprogramaciones!R$9&lt;E15,0,IF(NETWORKDAYS.INTL(E15,F15,11)=0,IF(Reprogramaciones!R$9&gt;=F15,100,0),ROUND(NETWORKDAYS.INTL(E15,MIN(F15,Reprogramaciones!R$9),11)/NETWORKDAYS.INTL(E15,F15,11)*100,1)))-IF(Reprogramaciones!Q$9&lt;E15,0,IF(NETWORKDAYS.INTL(E15,F15,11)=0,IF(Reprogramaciones!Q$9&gt;=F15,100,0),ROUND(NETWORKDAYS.INTL(E15,MIN(F15,Reprogramaciones!Q$9),11)/NETWORKDAYS.INTL(E15,F15,11)*100,1))))</f>
        <v>0</v>
      </c>
      <c r="O15" s="36" t="n">
        <f aca="false">IF(OR(NOT(AND(ISNUMBER(E15),ISNUMBER(F15))),$J$2=""),"",IF(Reprogramaciones!S$9&lt;E15,0,IF(NETWORKDAYS.INTL(E15,F15,11)=0,IF(Reprogramaciones!S$9&gt;=F15,100,0),ROUND(NETWORKDAYS.INTL(E15,MIN(F15,Reprogramaciones!S$9),11)/NETWORKDAYS.INTL(E15,F15,11)*100,1)))-IF(Reprogramaciones!R$9&lt;E15,0,IF(NETWORKDAYS.INTL(E15,F15,11)=0,IF(Reprogramaciones!R$9&gt;=F15,100,0),ROUND(NETWORKDAYS.INTL(E15,MIN(F15,Reprogramaciones!R$9),11)/NETWORKDAYS.INTL(E15,F15,11)*100,1))))</f>
        <v>0</v>
      </c>
      <c r="P15" s="36" t="n">
        <f aca="false">IF(OR(NOT(AND(ISNUMBER(E15),ISNUMBER(F15))),$J$2=""),"",IF(Reprogramaciones!T$9&lt;E15,0,IF(NETWORKDAYS.INTL(E15,F15,11)=0,IF(Reprogramaciones!T$9&gt;=F15,100,0),ROUND(NETWORKDAYS.INTL(E15,MIN(F15,Reprogramaciones!T$9),11)/NETWORKDAYS.INTL(E15,F15,11)*100,1)))-IF(Reprogramaciones!S$9&lt;E15,0,IF(NETWORKDAYS.INTL(E15,F15,11)=0,IF(Reprogramaciones!S$9&gt;=F15,100,0),ROUND(NETWORKDAYS.INTL(E15,MIN(F15,Reprogramaciones!S$9),11)/NETWORKDAYS.INTL(E15,F15,11)*100,1))))</f>
        <v>0</v>
      </c>
      <c r="Q15" s="37"/>
      <c r="R15" s="37" t="n">
        <v>100</v>
      </c>
      <c r="S15" s="37"/>
      <c r="T15" s="37"/>
      <c r="U15" s="37"/>
      <c r="V15" s="37"/>
      <c r="W15" s="37"/>
      <c r="X15" s="37"/>
      <c r="Y15" s="37"/>
      <c r="Z15" s="37"/>
      <c r="AA15" s="37"/>
      <c r="AB15" s="37"/>
      <c r="AC15" s="37"/>
      <c r="AD15" s="37"/>
      <c r="AE15" s="37"/>
      <c r="AF15" s="37"/>
      <c r="AG15" s="38" t="n">
        <f aca="false">IF(AND(ISNUMBER(E15),ISNUMBER(F15)),NETWORKDAYS.INTL(E15,F15,11),"")</f>
        <v>5</v>
      </c>
      <c r="AH15" s="38" t="n">
        <f aca="false">IF(OR(NOT(AND(ISNUMBER(E15),ISNUMBER(F15))),$J$2=""),"",IF(Reprogramaciones!$P$15&lt;Reprogramaciones!$T$15,0,IF(Reprogramaciones!$R$15&gt;10,MIN(100,SUM($G15:$P15)),MIN(100,SUMPRODUCT((COLUMN($G15:$P15)-COLUMN($G15)+1&lt;Reprogramaciones!$R$15)*$G15:$P15)+N(INDEX($G15:$P15,1,Reprogramaciones!$R$15))*IF(Reprogramaciones!$P$15&gt;=(Reprogramaciones!$T$15+7*(Reprogramaciones!$R$15-1))+6,1,IF(MAX(0,NETWORKDAYS.INTL(MAX(E15,(Reprogramaciones!$T$15+7*(Reprogramaciones!$R$15-1))),MIN(F15,(Reprogramaciones!$T$15+7*(Reprogramaciones!$R$15-1))+6),11))=0,0,MAX(0,NETWORKDAYS.INTL(MAX(E15,(Reprogramaciones!$T$15+7*(Reprogramaciones!$R$15-1))),MIN(F15,Reprogramaciones!$P$15),11))/MAX(0,NETWORKDAYS.INTL(MAX(E15,(Reprogramaciones!$T$15+7*(Reprogramaciones!$R$15-1))),MIN(F15,(Reprogramaciones!$T$15+7*(Reprogramaciones!$R$15-1))+6),11))))))))</f>
        <v>100</v>
      </c>
      <c r="AI15" s="38" t="n">
        <f aca="false">IF(COUNT($Q15:$AF15)=0,"",IF(ROUND(SUM($Q15:$AF15),1)&gt;=99.5,100,MIN(100,ROUND(SUM($Q15:$AF15),1))))</f>
        <v>100</v>
      </c>
      <c r="AJ15" s="38" t="n">
        <f aca="false">IF(OR(AH15="",AI15=""),"",AI15-AH15)</f>
        <v>0</v>
      </c>
      <c r="AK15" s="39" t="str">
        <f aca="true">IF(AH15="","",IF(OR(Ficha!$C$10="Suspendida",Ficha!$C$10="Cancelada"),Ficha!$C$10,IF(AND(AI15&lt;&gt;"",N(AI15)&gt;=100),"Completada",IF(AND(E15&gt;TODAY(),N(AI15)=0),"Por iniciar",IF(N(AI15)+0.5&lt;AH15,"Retrasada",IF(N(AI15)+0.5&lt;DA15,IF(Reprogramaciones!$K$15&gt;0,"Al día · Sem "&amp;Reprogramaciones!$K$15&amp;" en curso","Al día · en curso"),"A tiempo"))))))</f>
        <v>Completada</v>
      </c>
      <c r="AL15" s="39" t="str">
        <f aca="true">IF(AND(A15="",AND(B15="",C15="",E15="",F15="",COUNT(Q15:AF15)=0)),"",IF(AND(B15="",C15="",E15="",F15="",COUNT(Q15:AF15)=0),"Falta la partida o subpartida",IF(AND(A15&lt;&gt;"",COUNTIF($A$6:$A$305,A15)&gt;1),"Ítem repetido",IF(AND(C15="",E15="",F15="",COUNT(Q15:AF15)=0),"Título de partida",IF(OR(E15="",F15=""),"Faltan fechas",IF(OR(ISTEXT(E15),ISTEXT(F15)),"Fecha escrita como texto: usa dd/mm/aaaa",IF(F15&lt;E15,"Fin antes del inicio",IF(IF($J$2="",FALSE(),OR(E15&lt;$J$2,F15&gt;Reprogramaciones!$T$15+69)),"Fuera de las 10 semanas",IF(ABS(SUM(G15:P15)-100)&gt;0.5,"La meta no suma 100%",IF(ROUND(SUM(Q15:AF15),1)&gt;100.5,"El avance pasa de 100%",IF(MIN(Q15:AF15)&lt;0,"Avance negativo",IF(COUNTA(Q15:AF15)&gt;COUNT(Q15:AF15),"Avance escrito como texto",IF(SUMPRODUCT((Q15:AF15&gt;0)*(Q15:AF15&lt;1))&gt;0,"Avance menor a 1: escribe 50, no 50%",IF(SUMPRODUCT(ISNUMBER(Q15:AF15)*(Reprogramaciones!$K$8:$Z$8&gt;TODAY()))&gt;0,"Avance en semana que aún no llega",IF(AND(N(Reprogramaciones!$E$21)&gt;0,F15&gt;Reprogramaciones!$E$21),"Pasa el fin de la obra: registra una reprogramación",IF(AND(N(Reprogramaciones!$E$21)&gt;0,SUMPRODUCT(ISNUMBER(Q15:AF15)*(Reprogramaciones!$K$8:$Z$8&gt;Reprogramaciones!$E$21))&gt;0),"Avance después del fin de la obra: registra una reprogramación por atraso","OK"))))))))))))))))</f>
        <v>OK</v>
      </c>
      <c r="AM15" s="40" t="str">
        <f aca="false">IF(OR(OR(NOT(AND(ISNUMBER(E15),ISNUMBER(F15))),$J$2=""),1&gt;MAX(1,Reprogramaciones!$U$15)),"",IF(Reprogramaciones!K$12&gt;=7,"",IF(OR(BT15-N(0)&gt;0.05,N(Q15)&gt;0),ROUNDDOWN(ROUND(BT15,6),0)&amp;"%"&amp;IF(CJ15="",""," / "&amp;CJ15&amp;"%"),IF(AND(N(0)&gt;=99.95,CJ15&lt;&gt;"",N(CJ15)&lt;100),"Pend. "&amp;CJ15&amp;"%",""))))</f>
        <v/>
      </c>
      <c r="AN15" s="40" t="str">
        <f aca="false">IF(OR(OR(NOT(AND(ISNUMBER(E15),ISNUMBER(F15))),$J$2=""),2&gt;MAX(1,Reprogramaciones!$U$15)),"",IF(Reprogramaciones!L$12&gt;=7,"",IF(OR(BU15-N(BT15)&gt;0.05,N(R15)&gt;0),ROUNDDOWN(ROUND(BU15,6),0)&amp;"%"&amp;IF(CK15="",""," / "&amp;CK15&amp;"%"),IF(AND(N(BT15)&gt;=99.95,CK15&lt;&gt;"",N(CK15)&lt;100),"Pend. "&amp;CK15&amp;"%",""))))</f>
        <v>100% / 100%</v>
      </c>
      <c r="AO15" s="40" t="str">
        <f aca="false">IF(OR(OR(NOT(AND(ISNUMBER(E15),ISNUMBER(F15))),$J$2=""),3&gt;MAX(1,Reprogramaciones!$U$15)),"",IF(Reprogramaciones!M$12&gt;=7,"",IF(OR(BV15-N(BU15)&gt;0.05,N(S15)&gt;0),ROUNDDOWN(ROUND(BV15,6),0)&amp;"%"&amp;IF(CL15="",""," / "&amp;CL15&amp;"%"),IF(AND(N(BU15)&gt;=99.95,CL15&lt;&gt;"",N(CL15)&lt;100),"Pend. "&amp;CL15&amp;"%",""))))</f>
        <v/>
      </c>
      <c r="AP15" s="40" t="str">
        <f aca="false">IF(OR(OR(NOT(AND(ISNUMBER(E15),ISNUMBER(F15))),$J$2=""),4&gt;MAX(1,Reprogramaciones!$U$15)),"",IF(Reprogramaciones!N$12&gt;=7,"",IF(OR(BW15-N(BV15)&gt;0.05,N(T15)&gt;0),ROUNDDOWN(ROUND(BW15,6),0)&amp;"%"&amp;IF(CM15="",""," / "&amp;CM15&amp;"%"),IF(AND(N(BV15)&gt;=99.95,CM15&lt;&gt;"",N(CM15)&lt;100),"Pend. "&amp;CM15&amp;"%",""))))</f>
        <v/>
      </c>
      <c r="AQ15" s="40" t="str">
        <f aca="false">IF(OR(OR(NOT(AND(ISNUMBER(E15),ISNUMBER(F15))),$J$2=""),5&gt;MAX(1,Reprogramaciones!$U$15)),"",IF(Reprogramaciones!O$12&gt;=7,"",IF(OR(BX15-N(BW15)&gt;0.05,N(U15)&gt;0),ROUNDDOWN(ROUND(BX15,6),0)&amp;"%"&amp;IF(CN15="",""," / "&amp;CN15&amp;"%"),IF(AND(N(BW15)&gt;=99.95,CN15&lt;&gt;"",N(CN15)&lt;100),"Pend. "&amp;CN15&amp;"%",""))))</f>
        <v/>
      </c>
      <c r="AR15" s="40" t="str">
        <f aca="false">IF(OR(OR(NOT(AND(ISNUMBER(E15),ISNUMBER(F15))),$J$2=""),6&gt;MAX(1,Reprogramaciones!$U$15)),"",IF(Reprogramaciones!P$12&gt;=7,"",IF(OR(BY15-N(BX15)&gt;0.05,N(V15)&gt;0),ROUNDDOWN(ROUND(BY15,6),0)&amp;"%"&amp;IF(CO15="",""," / "&amp;CO15&amp;"%"),IF(AND(N(BX15)&gt;=99.95,CO15&lt;&gt;"",N(CO15)&lt;100),"Pend. "&amp;CO15&amp;"%",""))))</f>
        <v/>
      </c>
      <c r="AS15" s="40" t="str">
        <f aca="false">IF(OR(OR(NOT(AND(ISNUMBER(E15),ISNUMBER(F15))),$J$2=""),7&gt;MAX(1,Reprogramaciones!$U$15)),"",IF(Reprogramaciones!Q$12&gt;=7,"",IF(OR(BZ15-N(BY15)&gt;0.05,N(W15)&gt;0),ROUNDDOWN(ROUND(BZ15,6),0)&amp;"%"&amp;IF(CP15="",""," / "&amp;CP15&amp;"%"),IF(AND(N(BY15)&gt;=99.95,CP15&lt;&gt;"",N(CP15)&lt;100),"Pend. "&amp;CP15&amp;"%",""))))</f>
        <v/>
      </c>
      <c r="AT15" s="40" t="str">
        <f aca="false">IF(OR(OR(NOT(AND(ISNUMBER(E15),ISNUMBER(F15))),$J$2=""),8&gt;MAX(1,Reprogramaciones!$U$15)),"",IF(Reprogramaciones!R$12&gt;=7,"",IF(OR(CA15-N(BZ15)&gt;0.05,N(X15)&gt;0),ROUNDDOWN(ROUND(CA15,6),0)&amp;"%"&amp;IF(CQ15="",""," / "&amp;CQ15&amp;"%"),IF(AND(N(BZ15)&gt;=99.95,CQ15&lt;&gt;"",N(CQ15)&lt;100),"Pend. "&amp;CQ15&amp;"%",""))))</f>
        <v/>
      </c>
      <c r="AU15" s="40" t="str">
        <f aca="false">IF(OR(OR(NOT(AND(ISNUMBER(E15),ISNUMBER(F15))),$J$2=""),9&gt;MAX(1,Reprogramaciones!$U$15)),"",IF(Reprogramaciones!S$12&gt;=7,"",IF(OR(CB15-N(CA15)&gt;0.05,N(Y15)&gt;0),ROUNDDOWN(ROUND(CB15,6),0)&amp;"%"&amp;IF(CR15="",""," / "&amp;CR15&amp;"%"),IF(AND(N(CA15)&gt;=99.95,CR15&lt;&gt;"",N(CR15)&lt;100),"Pend. "&amp;CR15&amp;"%",""))))</f>
        <v/>
      </c>
      <c r="AV15" s="40" t="str">
        <f aca="false">IF(OR(OR(NOT(AND(ISNUMBER(E15),ISNUMBER(F15))),$J$2=""),10&gt;MAX(1,Reprogramaciones!$U$15)),"",IF(Reprogramaciones!T$12&gt;=7,"",IF(OR(CC15-N(CB15)&gt;0.05,N(Z15)&gt;0),ROUNDDOWN(ROUND(CC15,6),0)&amp;"%"&amp;IF(CS15="",""," / "&amp;CS15&amp;"%"),IF(AND(N(CB15)&gt;=99.95,CS15&lt;&gt;"",N(CS15)&lt;100),"Pend. "&amp;CS15&amp;"%",""))))</f>
        <v/>
      </c>
      <c r="AW15" s="40" t="str">
        <f aca="false">IF(OR(OR(NOT(AND(ISNUMBER(E15),ISNUMBER(F15))),$J$2=""),11&gt;MAX(1,Reprogramaciones!$U$15)),"",IF(Reprogramaciones!U$12&gt;=7,"",IF(OR(CD15-N(CC15)&gt;0.05,N(AA15)&gt;0),ROUNDDOWN(ROUND(CD15,6),0)&amp;"%"&amp;IF(CT15="",""," / "&amp;CT15&amp;"%"),IF(AND(N(CC15)&gt;=99.95,CT15&lt;&gt;"",N(CT15)&lt;100),"Pend. "&amp;CT15&amp;"%",""))))</f>
        <v/>
      </c>
      <c r="AX15" s="40" t="str">
        <f aca="false">IF(OR(OR(NOT(AND(ISNUMBER(E15),ISNUMBER(F15))),$J$2=""),12&gt;MAX(1,Reprogramaciones!$U$15)),"",IF(Reprogramaciones!V$12&gt;=7,"",IF(OR(CE15-N(CD15)&gt;0.05,N(AB15)&gt;0),ROUNDDOWN(ROUND(CE15,6),0)&amp;"%"&amp;IF(CU15="",""," / "&amp;CU15&amp;"%"),IF(AND(N(CD15)&gt;=99.95,CU15&lt;&gt;"",N(CU15)&lt;100),"Pend. "&amp;CU15&amp;"%",""))))</f>
        <v/>
      </c>
      <c r="AY15" s="40" t="str">
        <f aca="false">IF(OR(OR(NOT(AND(ISNUMBER(E15),ISNUMBER(F15))),$J$2=""),13&gt;MAX(1,Reprogramaciones!$U$15)),"",IF(Reprogramaciones!W$12&gt;=7,"",IF(OR(CF15-N(CE15)&gt;0.05,N(AC15)&gt;0),ROUNDDOWN(ROUND(CF15,6),0)&amp;"%"&amp;IF(CV15="",""," / "&amp;CV15&amp;"%"),IF(AND(N(CE15)&gt;=99.95,CV15&lt;&gt;"",N(CV15)&lt;100),"Pend. "&amp;CV15&amp;"%",""))))</f>
        <v/>
      </c>
      <c r="AZ15" s="40" t="str">
        <f aca="false">IF(OR(OR(NOT(AND(ISNUMBER(E15),ISNUMBER(F15))),$J$2=""),14&gt;MAX(1,Reprogramaciones!$U$15)),"",IF(Reprogramaciones!X$12&gt;=7,"",IF(OR(CG15-N(CF15)&gt;0.05,N(AD15)&gt;0),ROUNDDOWN(ROUND(CG15,6),0)&amp;"%"&amp;IF(CW15="",""," / "&amp;CW15&amp;"%"),IF(AND(N(CF15)&gt;=99.95,CW15&lt;&gt;"",N(CW15)&lt;100),"Pend. "&amp;CW15&amp;"%",""))))</f>
        <v/>
      </c>
      <c r="BA15" s="40" t="str">
        <f aca="false">IF(OR(OR(NOT(AND(ISNUMBER(E15),ISNUMBER(F15))),$J$2=""),15&gt;MAX(1,Reprogramaciones!$U$15)),"",IF(Reprogramaciones!Y$12&gt;=7,"",IF(OR(CH15-N(CG15)&gt;0.05,N(AE15)&gt;0),ROUNDDOWN(ROUND(CH15,6),0)&amp;"%"&amp;IF(CX15="",""," / "&amp;CX15&amp;"%"),IF(AND(N(CG15)&gt;=99.95,CX15&lt;&gt;"",N(CX15)&lt;100),"Pend. "&amp;CX15&amp;"%",""))))</f>
        <v/>
      </c>
      <c r="BB15" s="40" t="str">
        <f aca="false">IF(OR(OR(NOT(AND(ISNUMBER(E15),ISNUMBER(F15))),$J$2=""),16&gt;MAX(1,Reprogramaciones!$U$15)),"",IF(Reprogramaciones!Z$12&gt;=7,"",IF(OR(CI15-N(CH15)&gt;0.05,N(AF15)&gt;0),ROUNDDOWN(ROUND(CI15,6),0)&amp;"%"&amp;IF(CY15="",""," / "&amp;CY15&amp;"%"),IF(AND(N(CH15)&gt;=99.95,CY15&lt;&gt;"",N(CY15)&lt;100),"Pend. "&amp;CY15&amp;"%",""))))</f>
        <v/>
      </c>
      <c r="BC15" s="31" t="n">
        <f aca="false">IF(AND(ISNUMBER(E15),ISNUMBER(F15)),MAX(1,NETWORKDAYS.INTL(E15,F15,11)),0)</f>
        <v>5</v>
      </c>
      <c r="BD15" s="1" t="n">
        <f aca="false">IF(OR(NOT(AND(ISNUMBER(E15),ISNUMBER(F15))),$J$2=""),"",MIN(100,ROUND(SUM($G15:G15),1)))</f>
        <v>0</v>
      </c>
      <c r="BE15" s="1" t="n">
        <f aca="false">IF(OR(NOT(AND(ISNUMBER(E15),ISNUMBER(F15))),$J$2=""),"",MIN(100,ROUND(SUM($G15:H15),1)))</f>
        <v>100</v>
      </c>
      <c r="BF15" s="1" t="n">
        <f aca="false">IF(OR(NOT(AND(ISNUMBER(E15),ISNUMBER(F15))),$J$2=""),"",MIN(100,ROUND(SUM($G15:I15),1)))</f>
        <v>100</v>
      </c>
      <c r="BG15" s="1" t="n">
        <f aca="false">IF(OR(NOT(AND(ISNUMBER(E15),ISNUMBER(F15))),$J$2=""),"",MIN(100,ROUND(SUM($G15:J15),1)))</f>
        <v>100</v>
      </c>
      <c r="BH15" s="1" t="n">
        <f aca="false">IF(OR(NOT(AND(ISNUMBER(E15),ISNUMBER(F15))),$J$2=""),"",MIN(100,ROUND(SUM($G15:K15),1)))</f>
        <v>100</v>
      </c>
      <c r="BI15" s="1" t="n">
        <f aca="false">IF(OR(NOT(AND(ISNUMBER(E15),ISNUMBER(F15))),$J$2=""),"",MIN(100,ROUND(SUM($G15:L15),1)))</f>
        <v>100</v>
      </c>
      <c r="BJ15" s="1" t="n">
        <f aca="false">IF(OR(NOT(AND(ISNUMBER(E15),ISNUMBER(F15))),$J$2=""),"",MIN(100,ROUND(SUM($G15:M15),1)))</f>
        <v>100</v>
      </c>
      <c r="BK15" s="1" t="n">
        <f aca="false">IF(OR(NOT(AND(ISNUMBER(E15),ISNUMBER(F15))),$J$2=""),"",MIN(100,ROUND(SUM($G15:N15),1)))</f>
        <v>100</v>
      </c>
      <c r="BL15" s="1" t="n">
        <f aca="false">IF(OR(NOT(AND(ISNUMBER(E15),ISNUMBER(F15))),$J$2=""),"",MIN(100,ROUND(SUM($G15:O15),1)))</f>
        <v>100</v>
      </c>
      <c r="BM15" s="1" t="n">
        <f aca="false">IF(OR(NOT(AND(ISNUMBER(E15),ISNUMBER(F15))),$J$2=""),"",MIN(100,ROUND(SUM($G15:P15),1)))</f>
        <v>100</v>
      </c>
      <c r="BN15" s="1" t="n">
        <f aca="false">IF(OR(NOT(AND(ISNUMBER(E15),ISNUMBER(F15))),$J$2=""),"",MIN(100,ROUND(SUM($G15:P15),1)))</f>
        <v>100</v>
      </c>
      <c r="BO15" s="1" t="n">
        <f aca="false">IF(OR(NOT(AND(ISNUMBER(E15),ISNUMBER(F15))),$J$2=""),"",MIN(100,ROUND(SUM($G15:P15),1)))</f>
        <v>100</v>
      </c>
      <c r="BP15" s="1" t="n">
        <f aca="false">IF(OR(NOT(AND(ISNUMBER(E15),ISNUMBER(F15))),$J$2=""),"",MIN(100,ROUND(SUM($G15:P15),1)))</f>
        <v>100</v>
      </c>
      <c r="BQ15" s="1" t="n">
        <f aca="false">IF(OR(NOT(AND(ISNUMBER(E15),ISNUMBER(F15))),$J$2=""),"",MIN(100,ROUND(SUM($G15:P15),1)))</f>
        <v>100</v>
      </c>
      <c r="BR15" s="1" t="n">
        <f aca="false">IF(OR(NOT(AND(ISNUMBER(E15),ISNUMBER(F15))),$J$2=""),"",MIN(100,ROUND(SUM($G15:P15),1)))</f>
        <v>100</v>
      </c>
      <c r="BS15" s="1" t="n">
        <f aca="false">IF(OR(NOT(AND(ISNUMBER(E15),ISNUMBER(F15))),$J$2=""),"",MIN(100,ROUND(SUM($G15:P15),1)))</f>
        <v>100</v>
      </c>
      <c r="BT15" s="1" t="n">
        <f aca="false">IF(OR(NOT(AND(ISNUMBER(E15),ISNUMBER(F15))),$J$2=""),"",IF(Reprogramaciones!K$13&lt;Reprogramaciones!$T$15,0,IF(Reprogramaciones!K$14&gt;10,MIN(100,SUM($G15:$P15)),MIN(100,SUMPRODUCT((COLUMN($G15:$P15)-COLUMN($G15)+1&lt;Reprogramaciones!K$14)*$G15:$P15)+N(INDEX($G15:$P15,1,Reprogramaciones!K$14))*IF(Reprogramaciones!K$13&gt;=(Reprogramaciones!$T$15+7*(Reprogramaciones!K$14-1))+6,1,IF(MAX(0,NETWORKDAYS.INTL(MAX(E15,(Reprogramaciones!$T$15+7*(Reprogramaciones!K$14-1))),MIN(F15,(Reprogramaciones!$T$15+7*(Reprogramaciones!K$14-1))+6),11))=0,0,MAX(0,NETWORKDAYS.INTL(MAX(E15,(Reprogramaciones!$T$15+7*(Reprogramaciones!K$14-1))),MIN(F15,Reprogramaciones!K$13),11))/MAX(0,NETWORKDAYS.INTL(MAX(E15,(Reprogramaciones!$T$15+7*(Reprogramaciones!K$14-1))),MIN(F15,(Reprogramaciones!$T$15+7*(Reprogramaciones!K$14-1))+6),11))))))))</f>
        <v>0</v>
      </c>
      <c r="BU15" s="1" t="n">
        <f aca="false">IF(OR(NOT(AND(ISNUMBER(E15),ISNUMBER(F15))),$J$2=""),"",IF(Reprogramaciones!L$13&lt;Reprogramaciones!$T$15,0,IF(Reprogramaciones!L$14&gt;10,MIN(100,SUM($G15:$P15)),MIN(100,SUMPRODUCT((COLUMN($G15:$P15)-COLUMN($G15)+1&lt;Reprogramaciones!L$14)*$G15:$P15)+N(INDEX($G15:$P15,1,Reprogramaciones!L$14))*IF(Reprogramaciones!L$13&gt;=(Reprogramaciones!$T$15+7*(Reprogramaciones!L$14-1))+6,1,IF(MAX(0,NETWORKDAYS.INTL(MAX(E15,(Reprogramaciones!$T$15+7*(Reprogramaciones!L$14-1))),MIN(F15,(Reprogramaciones!$T$15+7*(Reprogramaciones!L$14-1))+6),11))=0,0,MAX(0,NETWORKDAYS.INTL(MAX(E15,(Reprogramaciones!$T$15+7*(Reprogramaciones!L$14-1))),MIN(F15,Reprogramaciones!L$13),11))/MAX(0,NETWORKDAYS.INTL(MAX(E15,(Reprogramaciones!$T$15+7*(Reprogramaciones!L$14-1))),MIN(F15,(Reprogramaciones!$T$15+7*(Reprogramaciones!L$14-1))+6),11))))))))</f>
        <v>100</v>
      </c>
      <c r="BV15" s="1" t="n">
        <f aca="false">IF(OR(NOT(AND(ISNUMBER(E15),ISNUMBER(F15))),$J$2=""),"",IF(Reprogramaciones!M$13&lt;Reprogramaciones!$T$15,0,IF(Reprogramaciones!M$14&gt;10,MIN(100,SUM($G15:$P15)),MIN(100,SUMPRODUCT((COLUMN($G15:$P15)-COLUMN($G15)+1&lt;Reprogramaciones!M$14)*$G15:$P15)+N(INDEX($G15:$P15,1,Reprogramaciones!M$14))*IF(Reprogramaciones!M$13&gt;=(Reprogramaciones!$T$15+7*(Reprogramaciones!M$14-1))+6,1,IF(MAX(0,NETWORKDAYS.INTL(MAX(E15,(Reprogramaciones!$T$15+7*(Reprogramaciones!M$14-1))),MIN(F15,(Reprogramaciones!$T$15+7*(Reprogramaciones!M$14-1))+6),11))=0,0,MAX(0,NETWORKDAYS.INTL(MAX(E15,(Reprogramaciones!$T$15+7*(Reprogramaciones!M$14-1))),MIN(F15,Reprogramaciones!M$13),11))/MAX(0,NETWORKDAYS.INTL(MAX(E15,(Reprogramaciones!$T$15+7*(Reprogramaciones!M$14-1))),MIN(F15,(Reprogramaciones!$T$15+7*(Reprogramaciones!M$14-1))+6),11))))))))</f>
        <v>100</v>
      </c>
      <c r="BW15" s="1" t="n">
        <f aca="false">IF(OR(NOT(AND(ISNUMBER(E15),ISNUMBER(F15))),$J$2=""),"",IF(Reprogramaciones!N$13&lt;Reprogramaciones!$T$15,0,IF(Reprogramaciones!N$14&gt;10,MIN(100,SUM($G15:$P15)),MIN(100,SUMPRODUCT((COLUMN($G15:$P15)-COLUMN($G15)+1&lt;Reprogramaciones!N$14)*$G15:$P15)+N(INDEX($G15:$P15,1,Reprogramaciones!N$14))*IF(Reprogramaciones!N$13&gt;=(Reprogramaciones!$T$15+7*(Reprogramaciones!N$14-1))+6,1,IF(MAX(0,NETWORKDAYS.INTL(MAX(E15,(Reprogramaciones!$T$15+7*(Reprogramaciones!N$14-1))),MIN(F15,(Reprogramaciones!$T$15+7*(Reprogramaciones!N$14-1))+6),11))=0,0,MAX(0,NETWORKDAYS.INTL(MAX(E15,(Reprogramaciones!$T$15+7*(Reprogramaciones!N$14-1))),MIN(F15,Reprogramaciones!N$13),11))/MAX(0,NETWORKDAYS.INTL(MAX(E15,(Reprogramaciones!$T$15+7*(Reprogramaciones!N$14-1))),MIN(F15,(Reprogramaciones!$T$15+7*(Reprogramaciones!N$14-1))+6),11))))))))</f>
        <v>100</v>
      </c>
      <c r="BX15" s="1" t="n">
        <f aca="false">IF(OR(NOT(AND(ISNUMBER(E15),ISNUMBER(F15))),$J$2=""),"",IF(Reprogramaciones!O$13&lt;Reprogramaciones!$T$15,0,IF(Reprogramaciones!O$14&gt;10,MIN(100,SUM($G15:$P15)),MIN(100,SUMPRODUCT((COLUMN($G15:$P15)-COLUMN($G15)+1&lt;Reprogramaciones!O$14)*$G15:$P15)+N(INDEX($G15:$P15,1,Reprogramaciones!O$14))*IF(Reprogramaciones!O$13&gt;=(Reprogramaciones!$T$15+7*(Reprogramaciones!O$14-1))+6,1,IF(MAX(0,NETWORKDAYS.INTL(MAX(E15,(Reprogramaciones!$T$15+7*(Reprogramaciones!O$14-1))),MIN(F15,(Reprogramaciones!$T$15+7*(Reprogramaciones!O$14-1))+6),11))=0,0,MAX(0,NETWORKDAYS.INTL(MAX(E15,(Reprogramaciones!$T$15+7*(Reprogramaciones!O$14-1))),MIN(F15,Reprogramaciones!O$13),11))/MAX(0,NETWORKDAYS.INTL(MAX(E15,(Reprogramaciones!$T$15+7*(Reprogramaciones!O$14-1))),MIN(F15,(Reprogramaciones!$T$15+7*(Reprogramaciones!O$14-1))+6),11))))))))</f>
        <v>100</v>
      </c>
      <c r="BY15" s="1" t="n">
        <f aca="false">IF(OR(NOT(AND(ISNUMBER(E15),ISNUMBER(F15))),$J$2=""),"",IF(Reprogramaciones!P$13&lt;Reprogramaciones!$T$15,0,IF(Reprogramaciones!P$14&gt;10,MIN(100,SUM($G15:$P15)),MIN(100,SUMPRODUCT((COLUMN($G15:$P15)-COLUMN($G15)+1&lt;Reprogramaciones!P$14)*$G15:$P15)+N(INDEX($G15:$P15,1,Reprogramaciones!P$14))*IF(Reprogramaciones!P$13&gt;=(Reprogramaciones!$T$15+7*(Reprogramaciones!P$14-1))+6,1,IF(MAX(0,NETWORKDAYS.INTL(MAX(E15,(Reprogramaciones!$T$15+7*(Reprogramaciones!P$14-1))),MIN(F15,(Reprogramaciones!$T$15+7*(Reprogramaciones!P$14-1))+6),11))=0,0,MAX(0,NETWORKDAYS.INTL(MAX(E15,(Reprogramaciones!$T$15+7*(Reprogramaciones!P$14-1))),MIN(F15,Reprogramaciones!P$13),11))/MAX(0,NETWORKDAYS.INTL(MAX(E15,(Reprogramaciones!$T$15+7*(Reprogramaciones!P$14-1))),MIN(F15,(Reprogramaciones!$T$15+7*(Reprogramaciones!P$14-1))+6),11))))))))</f>
        <v>100</v>
      </c>
      <c r="BZ15" s="1" t="n">
        <f aca="false">IF(OR(NOT(AND(ISNUMBER(E15),ISNUMBER(F15))),$J$2=""),"",IF(Reprogramaciones!Q$13&lt;Reprogramaciones!$T$15,0,IF(Reprogramaciones!Q$14&gt;10,MIN(100,SUM($G15:$P15)),MIN(100,SUMPRODUCT((COLUMN($G15:$P15)-COLUMN($G15)+1&lt;Reprogramaciones!Q$14)*$G15:$P15)+N(INDEX($G15:$P15,1,Reprogramaciones!Q$14))*IF(Reprogramaciones!Q$13&gt;=(Reprogramaciones!$T$15+7*(Reprogramaciones!Q$14-1))+6,1,IF(MAX(0,NETWORKDAYS.INTL(MAX(E15,(Reprogramaciones!$T$15+7*(Reprogramaciones!Q$14-1))),MIN(F15,(Reprogramaciones!$T$15+7*(Reprogramaciones!Q$14-1))+6),11))=0,0,MAX(0,NETWORKDAYS.INTL(MAX(E15,(Reprogramaciones!$T$15+7*(Reprogramaciones!Q$14-1))),MIN(F15,Reprogramaciones!Q$13),11))/MAX(0,NETWORKDAYS.INTL(MAX(E15,(Reprogramaciones!$T$15+7*(Reprogramaciones!Q$14-1))),MIN(F15,(Reprogramaciones!$T$15+7*(Reprogramaciones!Q$14-1))+6),11))))))))</f>
        <v>100</v>
      </c>
      <c r="CA15" s="1" t="n">
        <f aca="false">IF(OR(NOT(AND(ISNUMBER(E15),ISNUMBER(F15))),$J$2=""),"",IF(Reprogramaciones!R$13&lt;Reprogramaciones!$T$15,0,IF(Reprogramaciones!R$14&gt;10,MIN(100,SUM($G15:$P15)),MIN(100,SUMPRODUCT((COLUMN($G15:$P15)-COLUMN($G15)+1&lt;Reprogramaciones!R$14)*$G15:$P15)+N(INDEX($G15:$P15,1,Reprogramaciones!R$14))*IF(Reprogramaciones!R$13&gt;=(Reprogramaciones!$T$15+7*(Reprogramaciones!R$14-1))+6,1,IF(MAX(0,NETWORKDAYS.INTL(MAX(E15,(Reprogramaciones!$T$15+7*(Reprogramaciones!R$14-1))),MIN(F15,(Reprogramaciones!$T$15+7*(Reprogramaciones!R$14-1))+6),11))=0,0,MAX(0,NETWORKDAYS.INTL(MAX(E15,(Reprogramaciones!$T$15+7*(Reprogramaciones!R$14-1))),MIN(F15,Reprogramaciones!R$13),11))/MAX(0,NETWORKDAYS.INTL(MAX(E15,(Reprogramaciones!$T$15+7*(Reprogramaciones!R$14-1))),MIN(F15,(Reprogramaciones!$T$15+7*(Reprogramaciones!R$14-1))+6),11))))))))</f>
        <v>100</v>
      </c>
      <c r="CB15" s="1" t="n">
        <f aca="false">IF(OR(NOT(AND(ISNUMBER(E15),ISNUMBER(F15))),$J$2=""),"",IF(Reprogramaciones!S$13&lt;Reprogramaciones!$T$15,0,IF(Reprogramaciones!S$14&gt;10,MIN(100,SUM($G15:$P15)),MIN(100,SUMPRODUCT((COLUMN($G15:$P15)-COLUMN($G15)+1&lt;Reprogramaciones!S$14)*$G15:$P15)+N(INDEX($G15:$P15,1,Reprogramaciones!S$14))*IF(Reprogramaciones!S$13&gt;=(Reprogramaciones!$T$15+7*(Reprogramaciones!S$14-1))+6,1,IF(MAX(0,NETWORKDAYS.INTL(MAX(E15,(Reprogramaciones!$T$15+7*(Reprogramaciones!S$14-1))),MIN(F15,(Reprogramaciones!$T$15+7*(Reprogramaciones!S$14-1))+6),11))=0,0,MAX(0,NETWORKDAYS.INTL(MAX(E15,(Reprogramaciones!$T$15+7*(Reprogramaciones!S$14-1))),MIN(F15,Reprogramaciones!S$13),11))/MAX(0,NETWORKDAYS.INTL(MAX(E15,(Reprogramaciones!$T$15+7*(Reprogramaciones!S$14-1))),MIN(F15,(Reprogramaciones!$T$15+7*(Reprogramaciones!S$14-1))+6),11))))))))</f>
        <v>100</v>
      </c>
      <c r="CC15" s="1" t="n">
        <f aca="false">IF(OR(NOT(AND(ISNUMBER(E15),ISNUMBER(F15))),$J$2=""),"",IF(Reprogramaciones!T$13&lt;Reprogramaciones!$T$15,0,IF(Reprogramaciones!T$14&gt;10,MIN(100,SUM($G15:$P15)),MIN(100,SUMPRODUCT((COLUMN($G15:$P15)-COLUMN($G15)+1&lt;Reprogramaciones!T$14)*$G15:$P15)+N(INDEX($G15:$P15,1,Reprogramaciones!T$14))*IF(Reprogramaciones!T$13&gt;=(Reprogramaciones!$T$15+7*(Reprogramaciones!T$14-1))+6,1,IF(MAX(0,NETWORKDAYS.INTL(MAX(E15,(Reprogramaciones!$T$15+7*(Reprogramaciones!T$14-1))),MIN(F15,(Reprogramaciones!$T$15+7*(Reprogramaciones!T$14-1))+6),11))=0,0,MAX(0,NETWORKDAYS.INTL(MAX(E15,(Reprogramaciones!$T$15+7*(Reprogramaciones!T$14-1))),MIN(F15,Reprogramaciones!T$13),11))/MAX(0,NETWORKDAYS.INTL(MAX(E15,(Reprogramaciones!$T$15+7*(Reprogramaciones!T$14-1))),MIN(F15,(Reprogramaciones!$T$15+7*(Reprogramaciones!T$14-1))+6),11))))))))</f>
        <v>100</v>
      </c>
      <c r="CD15" s="1" t="n">
        <f aca="false">IF(OR(NOT(AND(ISNUMBER(E15),ISNUMBER(F15))),$J$2=""),"",IF(Reprogramaciones!U$13&lt;Reprogramaciones!$T$15,0,IF(Reprogramaciones!U$14&gt;10,MIN(100,SUM($G15:$P15)),MIN(100,SUMPRODUCT((COLUMN($G15:$P15)-COLUMN($G15)+1&lt;Reprogramaciones!U$14)*$G15:$P15)+N(INDEX($G15:$P15,1,Reprogramaciones!U$14))*IF(Reprogramaciones!U$13&gt;=(Reprogramaciones!$T$15+7*(Reprogramaciones!U$14-1))+6,1,IF(MAX(0,NETWORKDAYS.INTL(MAX(E15,(Reprogramaciones!$T$15+7*(Reprogramaciones!U$14-1))),MIN(F15,(Reprogramaciones!$T$15+7*(Reprogramaciones!U$14-1))+6),11))=0,0,MAX(0,NETWORKDAYS.INTL(MAX(E15,(Reprogramaciones!$T$15+7*(Reprogramaciones!U$14-1))),MIN(F15,Reprogramaciones!U$13),11))/MAX(0,NETWORKDAYS.INTL(MAX(E15,(Reprogramaciones!$T$15+7*(Reprogramaciones!U$14-1))),MIN(F15,(Reprogramaciones!$T$15+7*(Reprogramaciones!U$14-1))+6),11))))))))</f>
        <v>100</v>
      </c>
      <c r="CE15" s="1" t="n">
        <f aca="false">IF(OR(NOT(AND(ISNUMBER(E15),ISNUMBER(F15))),$J$2=""),"",IF(Reprogramaciones!V$13&lt;Reprogramaciones!$T$15,0,IF(Reprogramaciones!V$14&gt;10,MIN(100,SUM($G15:$P15)),MIN(100,SUMPRODUCT((COLUMN($G15:$P15)-COLUMN($G15)+1&lt;Reprogramaciones!V$14)*$G15:$P15)+N(INDEX($G15:$P15,1,Reprogramaciones!V$14))*IF(Reprogramaciones!V$13&gt;=(Reprogramaciones!$T$15+7*(Reprogramaciones!V$14-1))+6,1,IF(MAX(0,NETWORKDAYS.INTL(MAX(E15,(Reprogramaciones!$T$15+7*(Reprogramaciones!V$14-1))),MIN(F15,(Reprogramaciones!$T$15+7*(Reprogramaciones!V$14-1))+6),11))=0,0,MAX(0,NETWORKDAYS.INTL(MAX(E15,(Reprogramaciones!$T$15+7*(Reprogramaciones!V$14-1))),MIN(F15,Reprogramaciones!V$13),11))/MAX(0,NETWORKDAYS.INTL(MAX(E15,(Reprogramaciones!$T$15+7*(Reprogramaciones!V$14-1))),MIN(F15,(Reprogramaciones!$T$15+7*(Reprogramaciones!V$14-1))+6),11))))))))</f>
        <v>100</v>
      </c>
      <c r="CF15" s="1" t="n">
        <f aca="false">IF(OR(NOT(AND(ISNUMBER(E15),ISNUMBER(F15))),$J$2=""),"",IF(Reprogramaciones!W$13&lt;Reprogramaciones!$T$15,0,IF(Reprogramaciones!W$14&gt;10,MIN(100,SUM($G15:$P15)),MIN(100,SUMPRODUCT((COLUMN($G15:$P15)-COLUMN($G15)+1&lt;Reprogramaciones!W$14)*$G15:$P15)+N(INDEX($G15:$P15,1,Reprogramaciones!W$14))*IF(Reprogramaciones!W$13&gt;=(Reprogramaciones!$T$15+7*(Reprogramaciones!W$14-1))+6,1,IF(MAX(0,NETWORKDAYS.INTL(MAX(E15,(Reprogramaciones!$T$15+7*(Reprogramaciones!W$14-1))),MIN(F15,(Reprogramaciones!$T$15+7*(Reprogramaciones!W$14-1))+6),11))=0,0,MAX(0,NETWORKDAYS.INTL(MAX(E15,(Reprogramaciones!$T$15+7*(Reprogramaciones!W$14-1))),MIN(F15,Reprogramaciones!W$13),11))/MAX(0,NETWORKDAYS.INTL(MAX(E15,(Reprogramaciones!$T$15+7*(Reprogramaciones!W$14-1))),MIN(F15,(Reprogramaciones!$T$15+7*(Reprogramaciones!W$14-1))+6),11))))))))</f>
        <v>100</v>
      </c>
      <c r="CG15" s="1" t="n">
        <f aca="false">IF(OR(NOT(AND(ISNUMBER(E15),ISNUMBER(F15))),$J$2=""),"",IF(Reprogramaciones!X$13&lt;Reprogramaciones!$T$15,0,IF(Reprogramaciones!X$14&gt;10,MIN(100,SUM($G15:$P15)),MIN(100,SUMPRODUCT((COLUMN($G15:$P15)-COLUMN($G15)+1&lt;Reprogramaciones!X$14)*$G15:$P15)+N(INDEX($G15:$P15,1,Reprogramaciones!X$14))*IF(Reprogramaciones!X$13&gt;=(Reprogramaciones!$T$15+7*(Reprogramaciones!X$14-1))+6,1,IF(MAX(0,NETWORKDAYS.INTL(MAX(E15,(Reprogramaciones!$T$15+7*(Reprogramaciones!X$14-1))),MIN(F15,(Reprogramaciones!$T$15+7*(Reprogramaciones!X$14-1))+6),11))=0,0,MAX(0,NETWORKDAYS.INTL(MAX(E15,(Reprogramaciones!$T$15+7*(Reprogramaciones!X$14-1))),MIN(F15,Reprogramaciones!X$13),11))/MAX(0,NETWORKDAYS.INTL(MAX(E15,(Reprogramaciones!$T$15+7*(Reprogramaciones!X$14-1))),MIN(F15,(Reprogramaciones!$T$15+7*(Reprogramaciones!X$14-1))+6),11))))))))</f>
        <v>100</v>
      </c>
      <c r="CH15" s="1" t="n">
        <f aca="false">IF(OR(NOT(AND(ISNUMBER(E15),ISNUMBER(F15))),$J$2=""),"",IF(Reprogramaciones!Y$13&lt;Reprogramaciones!$T$15,0,IF(Reprogramaciones!Y$14&gt;10,MIN(100,SUM($G15:$P15)),MIN(100,SUMPRODUCT((COLUMN($G15:$P15)-COLUMN($G15)+1&lt;Reprogramaciones!Y$14)*$G15:$P15)+N(INDEX($G15:$P15,1,Reprogramaciones!Y$14))*IF(Reprogramaciones!Y$13&gt;=(Reprogramaciones!$T$15+7*(Reprogramaciones!Y$14-1))+6,1,IF(MAX(0,NETWORKDAYS.INTL(MAX(E15,(Reprogramaciones!$T$15+7*(Reprogramaciones!Y$14-1))),MIN(F15,(Reprogramaciones!$T$15+7*(Reprogramaciones!Y$14-1))+6),11))=0,0,MAX(0,NETWORKDAYS.INTL(MAX(E15,(Reprogramaciones!$T$15+7*(Reprogramaciones!Y$14-1))),MIN(F15,Reprogramaciones!Y$13),11))/MAX(0,NETWORKDAYS.INTL(MAX(E15,(Reprogramaciones!$T$15+7*(Reprogramaciones!Y$14-1))),MIN(F15,(Reprogramaciones!$T$15+7*(Reprogramaciones!Y$14-1))+6),11))))))))</f>
        <v>100</v>
      </c>
      <c r="CI15" s="1" t="n">
        <f aca="false">IF(OR(NOT(AND(ISNUMBER(E15),ISNUMBER(F15))),$J$2=""),"",IF(Reprogramaciones!Z$13&lt;Reprogramaciones!$T$15,0,IF(Reprogramaciones!Z$14&gt;10,MIN(100,SUM($G15:$P15)),MIN(100,SUMPRODUCT((COLUMN($G15:$P15)-COLUMN($G15)+1&lt;Reprogramaciones!Z$14)*$G15:$P15)+N(INDEX($G15:$P15,1,Reprogramaciones!Z$14))*IF(Reprogramaciones!Z$13&gt;=(Reprogramaciones!$T$15+7*(Reprogramaciones!Z$14-1))+6,1,IF(MAX(0,NETWORKDAYS.INTL(MAX(E15,(Reprogramaciones!$T$15+7*(Reprogramaciones!Z$14-1))),MIN(F15,(Reprogramaciones!$T$15+7*(Reprogramaciones!Z$14-1))+6),11))=0,0,MAX(0,NETWORKDAYS.INTL(MAX(E15,(Reprogramaciones!$T$15+7*(Reprogramaciones!Z$14-1))),MIN(F15,Reprogramaciones!Z$13),11))/MAX(0,NETWORKDAYS.INTL(MAX(E15,(Reprogramaciones!$T$15+7*(Reprogramaciones!Z$14-1))),MIN(F15,(Reprogramaciones!$T$15+7*(Reprogramaciones!Z$14-1))+6),11))))))))</f>
        <v>100</v>
      </c>
      <c r="CJ15" s="1" t="n">
        <f aca="false">IF(OR(OR(NOT(AND(ISNUMBER(E15),ISNUMBER(F15))),$J$2=""),1&gt;Reprogramaciones!$K$16),"",IF(ROUND(SUM($Q15:Q15),1)&gt;=99.5,100,MIN(100,ROUND(SUM($Q15:Q15),1))))</f>
        <v>0</v>
      </c>
      <c r="CK15" s="1" t="n">
        <f aca="false">IF(OR(OR(NOT(AND(ISNUMBER(E15),ISNUMBER(F15))),$J$2=""),2&gt;Reprogramaciones!$K$16),"",IF(ROUND(SUM($Q15:R15),1)&gt;=99.5,100,MIN(100,ROUND(SUM($Q15:R15),1))))</f>
        <v>100</v>
      </c>
      <c r="CL15" s="1" t="n">
        <f aca="false">IF(OR(OR(NOT(AND(ISNUMBER(E15),ISNUMBER(F15))),$J$2=""),3&gt;Reprogramaciones!$K$16),"",IF(ROUND(SUM($Q15:S15),1)&gt;=99.5,100,MIN(100,ROUND(SUM($Q15:S15),1))))</f>
        <v>100</v>
      </c>
      <c r="CM15" s="1" t="n">
        <f aca="false">IF(OR(OR(NOT(AND(ISNUMBER(E15),ISNUMBER(F15))),$J$2=""),4&gt;Reprogramaciones!$K$16),"",IF(ROUND(SUM($Q15:T15),1)&gt;=99.5,100,MIN(100,ROUND(SUM($Q15:T15),1))))</f>
        <v>100</v>
      </c>
      <c r="CN15" s="1" t="n">
        <f aca="false">IF(OR(OR(NOT(AND(ISNUMBER(E15),ISNUMBER(F15))),$J$2=""),5&gt;Reprogramaciones!$K$16),"",IF(ROUND(SUM($Q15:U15),1)&gt;=99.5,100,MIN(100,ROUND(SUM($Q15:U15),1))))</f>
        <v>100</v>
      </c>
      <c r="CO15" s="1" t="str">
        <f aca="false">IF(OR(OR(NOT(AND(ISNUMBER(E15),ISNUMBER(F15))),$J$2=""),6&gt;Reprogramaciones!$K$16),"",IF(ROUND(SUM($Q15:V15),1)&gt;=99.5,100,MIN(100,ROUND(SUM($Q15:V15),1))))</f>
        <v/>
      </c>
      <c r="CP15" s="1" t="str">
        <f aca="false">IF(OR(OR(NOT(AND(ISNUMBER(E15),ISNUMBER(F15))),$J$2=""),7&gt;Reprogramaciones!$K$16),"",IF(ROUND(SUM($Q15:W15),1)&gt;=99.5,100,MIN(100,ROUND(SUM($Q15:W15),1))))</f>
        <v/>
      </c>
      <c r="CQ15" s="1" t="str">
        <f aca="false">IF(OR(OR(NOT(AND(ISNUMBER(E15),ISNUMBER(F15))),$J$2=""),8&gt;Reprogramaciones!$K$16),"",IF(ROUND(SUM($Q15:X15),1)&gt;=99.5,100,MIN(100,ROUND(SUM($Q15:X15),1))))</f>
        <v/>
      </c>
      <c r="CR15" s="1" t="str">
        <f aca="false">IF(OR(OR(NOT(AND(ISNUMBER(E15),ISNUMBER(F15))),$J$2=""),9&gt;Reprogramaciones!$K$16),"",IF(ROUND(SUM($Q15:Y15),1)&gt;=99.5,100,MIN(100,ROUND(SUM($Q15:Y15),1))))</f>
        <v/>
      </c>
      <c r="CS15" s="1" t="str">
        <f aca="false">IF(OR(OR(NOT(AND(ISNUMBER(E15),ISNUMBER(F15))),$J$2=""),10&gt;Reprogramaciones!$K$16),"",IF(ROUND(SUM($Q15:Z15),1)&gt;=99.5,100,MIN(100,ROUND(SUM($Q15:Z15),1))))</f>
        <v/>
      </c>
      <c r="CT15" s="1" t="str">
        <f aca="false">IF(OR(OR(NOT(AND(ISNUMBER(E15),ISNUMBER(F15))),$J$2=""),11&gt;Reprogramaciones!$K$16),"",IF(ROUND(SUM($Q15:AA15),1)&gt;=99.5,100,MIN(100,ROUND(SUM($Q15:AA15),1))))</f>
        <v/>
      </c>
      <c r="CU15" s="1" t="str">
        <f aca="false">IF(OR(OR(NOT(AND(ISNUMBER(E15),ISNUMBER(F15))),$J$2=""),12&gt;Reprogramaciones!$K$16),"",IF(ROUND(SUM($Q15:AB15),1)&gt;=99.5,100,MIN(100,ROUND(SUM($Q15:AB15),1))))</f>
        <v/>
      </c>
      <c r="CV15" s="1" t="str">
        <f aca="false">IF(OR(OR(NOT(AND(ISNUMBER(E15),ISNUMBER(F15))),$J$2=""),13&gt;Reprogramaciones!$K$16),"",IF(ROUND(SUM($Q15:AC15),1)&gt;=99.5,100,MIN(100,ROUND(SUM($Q15:AC15),1))))</f>
        <v/>
      </c>
      <c r="CW15" s="1" t="str">
        <f aca="false">IF(OR(OR(NOT(AND(ISNUMBER(E15),ISNUMBER(F15))),$J$2=""),14&gt;Reprogramaciones!$K$16),"",IF(ROUND(SUM($Q15:AD15),1)&gt;=99.5,100,MIN(100,ROUND(SUM($Q15:AD15),1))))</f>
        <v/>
      </c>
      <c r="CX15" s="1" t="str">
        <f aca="false">IF(OR(OR(NOT(AND(ISNUMBER(E15),ISNUMBER(F15))),$J$2=""),15&gt;Reprogramaciones!$K$16),"",IF(ROUND(SUM($Q15:AE15),1)&gt;=99.5,100,MIN(100,ROUND(SUM($Q15:AE15),1))))</f>
        <v/>
      </c>
      <c r="CY15" s="1" t="str">
        <f aca="false">IF(OR(OR(NOT(AND(ISNUMBER(E15),ISNUMBER(F15))),$J$2=""),16&gt;Reprogramaciones!$K$16),"",IF(ROUND(SUM($Q15:AF15),1)&gt;=99.5,100,MIN(100,ROUND(SUM($Q15:AF15),1))))</f>
        <v/>
      </c>
      <c r="CZ15" s="1" t="str">
        <f aca="false">IF(D15&lt;&gt;"",D15,IF(B15&lt;&gt;"","Contractual",CZ14))</f>
        <v>Contractual</v>
      </c>
      <c r="DA15" s="1" t="n">
        <f aca="false">IF(OR(NOT(AND(ISNUMBER(E15),ISNUMBER(F15))),$J$2=""),"",IF(Reprogramaciones!$Q$15&lt;Reprogramaciones!$T$15,0,IF(Reprogramaciones!$S$15&gt;10,MIN(100,SUM($G15:$P15)),MIN(100,SUMPRODUCT((COLUMN($G15:$P15)-COLUMN($G15)+1&lt;Reprogramaciones!$S$15)*$G15:$P15)+N(INDEX($G15:$P15,1,Reprogramaciones!$S$15))*IF(Reprogramaciones!$Q$15&gt;=(Reprogramaciones!$T$15+7*(Reprogramaciones!$S$15-1))+6,1,IF(MAX(0,NETWORKDAYS.INTL(MAX(E15,(Reprogramaciones!$T$15+7*(Reprogramaciones!$S$15-1))),MIN(F15,(Reprogramaciones!$T$15+7*(Reprogramaciones!$S$15-1))+6),11))=0,0,MAX(0,NETWORKDAYS.INTL(MAX(E15,(Reprogramaciones!$T$15+7*(Reprogramaciones!$S$15-1))),MIN(F15,Reprogramaciones!$Q$15),11))/MAX(0,NETWORKDAYS.INTL(MAX(E15,(Reprogramaciones!$T$15+7*(Reprogramaciones!$S$15-1))),MIN(F15,(Reprogramaciones!$T$15+7*(Reprogramaciones!$S$15-1))+6),11))))))))</f>
        <v>100</v>
      </c>
    </row>
    <row r="16" customFormat="false" ht="15" hidden="false" customHeight="false" outlineLevel="0" collapsed="false">
      <c r="A16" s="32" t="s">
        <v>173</v>
      </c>
      <c r="B16" s="33"/>
      <c r="C16" s="33" t="s">
        <v>174</v>
      </c>
      <c r="D16" s="34"/>
      <c r="E16" s="35" t="n">
        <v>46296</v>
      </c>
      <c r="F16" s="35" t="n">
        <v>46300</v>
      </c>
      <c r="G16" s="36" t="n">
        <f aca="false">IF(OR(NOT(AND(ISNUMBER(E16),ISNUMBER(F16))),$J$2=""),"",IF(Reprogramaciones!K$9&lt;E16,0,IF(NETWORKDAYS.INTL(E16,F16,11)=0,IF(Reprogramaciones!K$9&gt;=F16,100,0),ROUND(NETWORKDAYS.INTL(E16,MIN(F16,Reprogramaciones!K$9),11)/NETWORKDAYS.INTL(E16,F16,11)*100,1)))-0)</f>
        <v>0</v>
      </c>
      <c r="H16" s="36" t="n">
        <f aca="false">IF(OR(NOT(AND(ISNUMBER(E16),ISNUMBER(F16))),$J$2=""),"",IF(Reprogramaciones!L$9&lt;E16,0,IF(NETWORKDAYS.INTL(E16,F16,11)=0,IF(Reprogramaciones!L$9&gt;=F16,100,0),ROUND(NETWORKDAYS.INTL(E16,MIN(F16,Reprogramaciones!L$9),11)/NETWORKDAYS.INTL(E16,F16,11)*100,1)))-IF(Reprogramaciones!K$9&lt;E16,0,IF(NETWORKDAYS.INTL(E16,F16,11)=0,IF(Reprogramaciones!K$9&gt;=F16,100,0),ROUND(NETWORKDAYS.INTL(E16,MIN(F16,Reprogramaciones!K$9),11)/NETWORKDAYS.INTL(E16,F16,11)*100,1))))</f>
        <v>75</v>
      </c>
      <c r="I16" s="36" t="n">
        <f aca="false">IF(OR(NOT(AND(ISNUMBER(E16),ISNUMBER(F16))),$J$2=""),"",IF(Reprogramaciones!M$9&lt;E16,0,IF(NETWORKDAYS.INTL(E16,F16,11)=0,IF(Reprogramaciones!M$9&gt;=F16,100,0),ROUND(NETWORKDAYS.INTL(E16,MIN(F16,Reprogramaciones!M$9),11)/NETWORKDAYS.INTL(E16,F16,11)*100,1)))-IF(Reprogramaciones!L$9&lt;E16,0,IF(NETWORKDAYS.INTL(E16,F16,11)=0,IF(Reprogramaciones!L$9&gt;=F16,100,0),ROUND(NETWORKDAYS.INTL(E16,MIN(F16,Reprogramaciones!L$9),11)/NETWORKDAYS.INTL(E16,F16,11)*100,1))))</f>
        <v>25</v>
      </c>
      <c r="J16" s="36" t="n">
        <f aca="false">IF(OR(NOT(AND(ISNUMBER(E16),ISNUMBER(F16))),$J$2=""),"",IF(Reprogramaciones!N$9&lt;E16,0,IF(NETWORKDAYS.INTL(E16,F16,11)=0,IF(Reprogramaciones!N$9&gt;=F16,100,0),ROUND(NETWORKDAYS.INTL(E16,MIN(F16,Reprogramaciones!N$9),11)/NETWORKDAYS.INTL(E16,F16,11)*100,1)))-IF(Reprogramaciones!M$9&lt;E16,0,IF(NETWORKDAYS.INTL(E16,F16,11)=0,IF(Reprogramaciones!M$9&gt;=F16,100,0),ROUND(NETWORKDAYS.INTL(E16,MIN(F16,Reprogramaciones!M$9),11)/NETWORKDAYS.INTL(E16,F16,11)*100,1))))</f>
        <v>0</v>
      </c>
      <c r="K16" s="36" t="n">
        <f aca="false">IF(OR(NOT(AND(ISNUMBER(E16),ISNUMBER(F16))),$J$2=""),"",IF(Reprogramaciones!O$9&lt;E16,0,IF(NETWORKDAYS.INTL(E16,F16,11)=0,IF(Reprogramaciones!O$9&gt;=F16,100,0),ROUND(NETWORKDAYS.INTL(E16,MIN(F16,Reprogramaciones!O$9),11)/NETWORKDAYS.INTL(E16,F16,11)*100,1)))-IF(Reprogramaciones!N$9&lt;E16,0,IF(NETWORKDAYS.INTL(E16,F16,11)=0,IF(Reprogramaciones!N$9&gt;=F16,100,0),ROUND(NETWORKDAYS.INTL(E16,MIN(F16,Reprogramaciones!N$9),11)/NETWORKDAYS.INTL(E16,F16,11)*100,1))))</f>
        <v>0</v>
      </c>
      <c r="L16" s="36" t="n">
        <f aca="false">IF(OR(NOT(AND(ISNUMBER(E16),ISNUMBER(F16))),$J$2=""),"",IF(Reprogramaciones!P$9&lt;E16,0,IF(NETWORKDAYS.INTL(E16,F16,11)=0,IF(Reprogramaciones!P$9&gt;=F16,100,0),ROUND(NETWORKDAYS.INTL(E16,MIN(F16,Reprogramaciones!P$9),11)/NETWORKDAYS.INTL(E16,F16,11)*100,1)))-IF(Reprogramaciones!O$9&lt;E16,0,IF(NETWORKDAYS.INTL(E16,F16,11)=0,IF(Reprogramaciones!O$9&gt;=F16,100,0),ROUND(NETWORKDAYS.INTL(E16,MIN(F16,Reprogramaciones!O$9),11)/NETWORKDAYS.INTL(E16,F16,11)*100,1))))</f>
        <v>0</v>
      </c>
      <c r="M16" s="36" t="n">
        <f aca="false">IF(OR(NOT(AND(ISNUMBER(E16),ISNUMBER(F16))),$J$2=""),"",IF(Reprogramaciones!Q$9&lt;E16,0,IF(NETWORKDAYS.INTL(E16,F16,11)=0,IF(Reprogramaciones!Q$9&gt;=F16,100,0),ROUND(NETWORKDAYS.INTL(E16,MIN(F16,Reprogramaciones!Q$9),11)/NETWORKDAYS.INTL(E16,F16,11)*100,1)))-IF(Reprogramaciones!P$9&lt;E16,0,IF(NETWORKDAYS.INTL(E16,F16,11)=0,IF(Reprogramaciones!P$9&gt;=F16,100,0),ROUND(NETWORKDAYS.INTL(E16,MIN(F16,Reprogramaciones!P$9),11)/NETWORKDAYS.INTL(E16,F16,11)*100,1))))</f>
        <v>0</v>
      </c>
      <c r="N16" s="36" t="n">
        <f aca="false">IF(OR(NOT(AND(ISNUMBER(E16),ISNUMBER(F16))),$J$2=""),"",IF(Reprogramaciones!R$9&lt;E16,0,IF(NETWORKDAYS.INTL(E16,F16,11)=0,IF(Reprogramaciones!R$9&gt;=F16,100,0),ROUND(NETWORKDAYS.INTL(E16,MIN(F16,Reprogramaciones!R$9),11)/NETWORKDAYS.INTL(E16,F16,11)*100,1)))-IF(Reprogramaciones!Q$9&lt;E16,0,IF(NETWORKDAYS.INTL(E16,F16,11)=0,IF(Reprogramaciones!Q$9&gt;=F16,100,0),ROUND(NETWORKDAYS.INTL(E16,MIN(F16,Reprogramaciones!Q$9),11)/NETWORKDAYS.INTL(E16,F16,11)*100,1))))</f>
        <v>0</v>
      </c>
      <c r="O16" s="36" t="n">
        <f aca="false">IF(OR(NOT(AND(ISNUMBER(E16),ISNUMBER(F16))),$J$2=""),"",IF(Reprogramaciones!S$9&lt;E16,0,IF(NETWORKDAYS.INTL(E16,F16,11)=0,IF(Reprogramaciones!S$9&gt;=F16,100,0),ROUND(NETWORKDAYS.INTL(E16,MIN(F16,Reprogramaciones!S$9),11)/NETWORKDAYS.INTL(E16,F16,11)*100,1)))-IF(Reprogramaciones!R$9&lt;E16,0,IF(NETWORKDAYS.INTL(E16,F16,11)=0,IF(Reprogramaciones!R$9&gt;=F16,100,0),ROUND(NETWORKDAYS.INTL(E16,MIN(F16,Reprogramaciones!R$9),11)/NETWORKDAYS.INTL(E16,F16,11)*100,1))))</f>
        <v>0</v>
      </c>
      <c r="P16" s="36" t="n">
        <f aca="false">IF(OR(NOT(AND(ISNUMBER(E16),ISNUMBER(F16))),$J$2=""),"",IF(Reprogramaciones!T$9&lt;E16,0,IF(NETWORKDAYS.INTL(E16,F16,11)=0,IF(Reprogramaciones!T$9&gt;=F16,100,0),ROUND(NETWORKDAYS.INTL(E16,MIN(F16,Reprogramaciones!T$9),11)/NETWORKDAYS.INTL(E16,F16,11)*100,1)))-IF(Reprogramaciones!S$9&lt;E16,0,IF(NETWORKDAYS.INTL(E16,F16,11)=0,IF(Reprogramaciones!S$9&gt;=F16,100,0),ROUND(NETWORKDAYS.INTL(E16,MIN(F16,Reprogramaciones!S$9),11)/NETWORKDAYS.INTL(E16,F16,11)*100,1))))</f>
        <v>0</v>
      </c>
      <c r="Q16" s="37"/>
      <c r="R16" s="37" t="n">
        <v>75</v>
      </c>
      <c r="S16" s="37" t="n">
        <v>25</v>
      </c>
      <c r="T16" s="37"/>
      <c r="U16" s="37"/>
      <c r="V16" s="37"/>
      <c r="W16" s="37"/>
      <c r="X16" s="37"/>
      <c r="Y16" s="37"/>
      <c r="Z16" s="37"/>
      <c r="AA16" s="37"/>
      <c r="AB16" s="37"/>
      <c r="AC16" s="37"/>
      <c r="AD16" s="37"/>
      <c r="AE16" s="37"/>
      <c r="AF16" s="37"/>
      <c r="AG16" s="38" t="n">
        <f aca="false">IF(AND(ISNUMBER(E16),ISNUMBER(F16)),NETWORKDAYS.INTL(E16,F16,11),"")</f>
        <v>4</v>
      </c>
      <c r="AH16" s="38" t="n">
        <f aca="false">IF(OR(NOT(AND(ISNUMBER(E16),ISNUMBER(F16))),$J$2=""),"",IF(Reprogramaciones!$P$15&lt;Reprogramaciones!$T$15,0,IF(Reprogramaciones!$R$15&gt;10,MIN(100,SUM($G16:$P16)),MIN(100,SUMPRODUCT((COLUMN($G16:$P16)-COLUMN($G16)+1&lt;Reprogramaciones!$R$15)*$G16:$P16)+N(INDEX($G16:$P16,1,Reprogramaciones!$R$15))*IF(Reprogramaciones!$P$15&gt;=(Reprogramaciones!$T$15+7*(Reprogramaciones!$R$15-1))+6,1,IF(MAX(0,NETWORKDAYS.INTL(MAX(E16,(Reprogramaciones!$T$15+7*(Reprogramaciones!$R$15-1))),MIN(F16,(Reprogramaciones!$T$15+7*(Reprogramaciones!$R$15-1))+6),11))=0,0,MAX(0,NETWORKDAYS.INTL(MAX(E16,(Reprogramaciones!$T$15+7*(Reprogramaciones!$R$15-1))),MIN(F16,Reprogramaciones!$P$15),11))/MAX(0,NETWORKDAYS.INTL(MAX(E16,(Reprogramaciones!$T$15+7*(Reprogramaciones!$R$15-1))),MIN(F16,(Reprogramaciones!$T$15+7*(Reprogramaciones!$R$15-1))+6),11))))))))</f>
        <v>100</v>
      </c>
      <c r="AI16" s="38" t="n">
        <f aca="false">IF(COUNT($Q16:$AF16)=0,"",IF(ROUND(SUM($Q16:$AF16),1)&gt;=99.5,100,MIN(100,ROUND(SUM($Q16:$AF16),1))))</f>
        <v>100</v>
      </c>
      <c r="AJ16" s="38" t="n">
        <f aca="false">IF(OR(AH16="",AI16=""),"",AI16-AH16)</f>
        <v>0</v>
      </c>
      <c r="AK16" s="39" t="str">
        <f aca="true">IF(AH16="","",IF(OR(Ficha!$C$10="Suspendida",Ficha!$C$10="Cancelada"),Ficha!$C$10,IF(AND(AI16&lt;&gt;"",N(AI16)&gt;=100),"Completada",IF(AND(E16&gt;TODAY(),N(AI16)=0),"Por iniciar",IF(N(AI16)+0.5&lt;AH16,"Retrasada",IF(N(AI16)+0.5&lt;DA16,IF(Reprogramaciones!$K$15&gt;0,"Al día · Sem "&amp;Reprogramaciones!$K$15&amp;" en curso","Al día · en curso"),"A tiempo"))))))</f>
        <v>Completada</v>
      </c>
      <c r="AL16" s="39" t="str">
        <f aca="true">IF(AND(A16="",AND(B16="",C16="",E16="",F16="",COUNT(Q16:AF16)=0)),"",IF(AND(B16="",C16="",E16="",F16="",COUNT(Q16:AF16)=0),"Falta la partida o subpartida",IF(AND(A16&lt;&gt;"",COUNTIF($A$6:$A$305,A16)&gt;1),"Ítem repetido",IF(AND(C16="",E16="",F16="",COUNT(Q16:AF16)=0),"Título de partida",IF(OR(E16="",F16=""),"Faltan fechas",IF(OR(ISTEXT(E16),ISTEXT(F16)),"Fecha escrita como texto: usa dd/mm/aaaa",IF(F16&lt;E16,"Fin antes del inicio",IF(IF($J$2="",FALSE(),OR(E16&lt;$J$2,F16&gt;Reprogramaciones!$T$15+69)),"Fuera de las 10 semanas",IF(ABS(SUM(G16:P16)-100)&gt;0.5,"La meta no suma 100%",IF(ROUND(SUM(Q16:AF16),1)&gt;100.5,"El avance pasa de 100%",IF(MIN(Q16:AF16)&lt;0,"Avance negativo",IF(COUNTA(Q16:AF16)&gt;COUNT(Q16:AF16),"Avance escrito como texto",IF(SUMPRODUCT((Q16:AF16&gt;0)*(Q16:AF16&lt;1))&gt;0,"Avance menor a 1: escribe 50, no 50%",IF(SUMPRODUCT(ISNUMBER(Q16:AF16)*(Reprogramaciones!$K$8:$Z$8&gt;TODAY()))&gt;0,"Avance en semana que aún no llega",IF(AND(N(Reprogramaciones!$E$21)&gt;0,F16&gt;Reprogramaciones!$E$21),"Pasa el fin de la obra: registra una reprogramación",IF(AND(N(Reprogramaciones!$E$21)&gt;0,SUMPRODUCT(ISNUMBER(Q16:AF16)*(Reprogramaciones!$K$8:$Z$8&gt;Reprogramaciones!$E$21))&gt;0),"Avance después del fin de la obra: registra una reprogramación por atraso","OK"))))))))))))))))</f>
        <v>OK</v>
      </c>
      <c r="AM16" s="40" t="str">
        <f aca="false">IF(OR(OR(NOT(AND(ISNUMBER(E16),ISNUMBER(F16))),$J$2=""),1&gt;MAX(1,Reprogramaciones!$U$15)),"",IF(Reprogramaciones!K$12&gt;=7,"",IF(OR(BT16-N(0)&gt;0.05,N(Q16)&gt;0),ROUNDDOWN(ROUND(BT16,6),0)&amp;"%"&amp;IF(CJ16="",""," / "&amp;CJ16&amp;"%"),IF(AND(N(0)&gt;=99.95,CJ16&lt;&gt;"",N(CJ16)&lt;100),"Pend. "&amp;CJ16&amp;"%",""))))</f>
        <v/>
      </c>
      <c r="AN16" s="40" t="str">
        <f aca="false">IF(OR(OR(NOT(AND(ISNUMBER(E16),ISNUMBER(F16))),$J$2=""),2&gt;MAX(1,Reprogramaciones!$U$15)),"",IF(Reprogramaciones!L$12&gt;=7,"",IF(OR(BU16-N(BT16)&gt;0.05,N(R16)&gt;0),ROUNDDOWN(ROUND(BU16,6),0)&amp;"%"&amp;IF(CK16="",""," / "&amp;CK16&amp;"%"),IF(AND(N(BT16)&gt;=99.95,CK16&lt;&gt;"",N(CK16)&lt;100),"Pend. "&amp;CK16&amp;"%",""))))</f>
        <v>75% / 75%</v>
      </c>
      <c r="AO16" s="40" t="str">
        <f aca="false">IF(OR(OR(NOT(AND(ISNUMBER(E16),ISNUMBER(F16))),$J$2=""),3&gt;MAX(1,Reprogramaciones!$U$15)),"",IF(Reprogramaciones!M$12&gt;=7,"",IF(OR(BV16-N(BU16)&gt;0.05,N(S16)&gt;0),ROUNDDOWN(ROUND(BV16,6),0)&amp;"%"&amp;IF(CL16="",""," / "&amp;CL16&amp;"%"),IF(AND(N(BU16)&gt;=99.95,CL16&lt;&gt;"",N(CL16)&lt;100),"Pend. "&amp;CL16&amp;"%",""))))</f>
        <v>100% / 100%</v>
      </c>
      <c r="AP16" s="40" t="str">
        <f aca="false">IF(OR(OR(NOT(AND(ISNUMBER(E16),ISNUMBER(F16))),$J$2=""),4&gt;MAX(1,Reprogramaciones!$U$15)),"",IF(Reprogramaciones!N$12&gt;=7,"",IF(OR(BW16-N(BV16)&gt;0.05,N(T16)&gt;0),ROUNDDOWN(ROUND(BW16,6),0)&amp;"%"&amp;IF(CM16="",""," / "&amp;CM16&amp;"%"),IF(AND(N(BV16)&gt;=99.95,CM16&lt;&gt;"",N(CM16)&lt;100),"Pend. "&amp;CM16&amp;"%",""))))</f>
        <v/>
      </c>
      <c r="AQ16" s="40" t="str">
        <f aca="false">IF(OR(OR(NOT(AND(ISNUMBER(E16),ISNUMBER(F16))),$J$2=""),5&gt;MAX(1,Reprogramaciones!$U$15)),"",IF(Reprogramaciones!O$12&gt;=7,"",IF(OR(BX16-N(BW16)&gt;0.05,N(U16)&gt;0),ROUNDDOWN(ROUND(BX16,6),0)&amp;"%"&amp;IF(CN16="",""," / "&amp;CN16&amp;"%"),IF(AND(N(BW16)&gt;=99.95,CN16&lt;&gt;"",N(CN16)&lt;100),"Pend. "&amp;CN16&amp;"%",""))))</f>
        <v/>
      </c>
      <c r="AR16" s="40" t="str">
        <f aca="false">IF(OR(OR(NOT(AND(ISNUMBER(E16),ISNUMBER(F16))),$J$2=""),6&gt;MAX(1,Reprogramaciones!$U$15)),"",IF(Reprogramaciones!P$12&gt;=7,"",IF(OR(BY16-N(BX16)&gt;0.05,N(V16)&gt;0),ROUNDDOWN(ROUND(BY16,6),0)&amp;"%"&amp;IF(CO16="",""," / "&amp;CO16&amp;"%"),IF(AND(N(BX16)&gt;=99.95,CO16&lt;&gt;"",N(CO16)&lt;100),"Pend. "&amp;CO16&amp;"%",""))))</f>
        <v/>
      </c>
      <c r="AS16" s="40" t="str">
        <f aca="false">IF(OR(OR(NOT(AND(ISNUMBER(E16),ISNUMBER(F16))),$J$2=""),7&gt;MAX(1,Reprogramaciones!$U$15)),"",IF(Reprogramaciones!Q$12&gt;=7,"",IF(OR(BZ16-N(BY16)&gt;0.05,N(W16)&gt;0),ROUNDDOWN(ROUND(BZ16,6),0)&amp;"%"&amp;IF(CP16="",""," / "&amp;CP16&amp;"%"),IF(AND(N(BY16)&gt;=99.95,CP16&lt;&gt;"",N(CP16)&lt;100),"Pend. "&amp;CP16&amp;"%",""))))</f>
        <v/>
      </c>
      <c r="AT16" s="40" t="str">
        <f aca="false">IF(OR(OR(NOT(AND(ISNUMBER(E16),ISNUMBER(F16))),$J$2=""),8&gt;MAX(1,Reprogramaciones!$U$15)),"",IF(Reprogramaciones!R$12&gt;=7,"",IF(OR(CA16-N(BZ16)&gt;0.05,N(X16)&gt;0),ROUNDDOWN(ROUND(CA16,6),0)&amp;"%"&amp;IF(CQ16="",""," / "&amp;CQ16&amp;"%"),IF(AND(N(BZ16)&gt;=99.95,CQ16&lt;&gt;"",N(CQ16)&lt;100),"Pend. "&amp;CQ16&amp;"%",""))))</f>
        <v/>
      </c>
      <c r="AU16" s="40" t="str">
        <f aca="false">IF(OR(OR(NOT(AND(ISNUMBER(E16),ISNUMBER(F16))),$J$2=""),9&gt;MAX(1,Reprogramaciones!$U$15)),"",IF(Reprogramaciones!S$12&gt;=7,"",IF(OR(CB16-N(CA16)&gt;0.05,N(Y16)&gt;0),ROUNDDOWN(ROUND(CB16,6),0)&amp;"%"&amp;IF(CR16="",""," / "&amp;CR16&amp;"%"),IF(AND(N(CA16)&gt;=99.95,CR16&lt;&gt;"",N(CR16)&lt;100),"Pend. "&amp;CR16&amp;"%",""))))</f>
        <v/>
      </c>
      <c r="AV16" s="40" t="str">
        <f aca="false">IF(OR(OR(NOT(AND(ISNUMBER(E16),ISNUMBER(F16))),$J$2=""),10&gt;MAX(1,Reprogramaciones!$U$15)),"",IF(Reprogramaciones!T$12&gt;=7,"",IF(OR(CC16-N(CB16)&gt;0.05,N(Z16)&gt;0),ROUNDDOWN(ROUND(CC16,6),0)&amp;"%"&amp;IF(CS16="",""," / "&amp;CS16&amp;"%"),IF(AND(N(CB16)&gt;=99.95,CS16&lt;&gt;"",N(CS16)&lt;100),"Pend. "&amp;CS16&amp;"%",""))))</f>
        <v/>
      </c>
      <c r="AW16" s="40" t="str">
        <f aca="false">IF(OR(OR(NOT(AND(ISNUMBER(E16),ISNUMBER(F16))),$J$2=""),11&gt;MAX(1,Reprogramaciones!$U$15)),"",IF(Reprogramaciones!U$12&gt;=7,"",IF(OR(CD16-N(CC16)&gt;0.05,N(AA16)&gt;0),ROUNDDOWN(ROUND(CD16,6),0)&amp;"%"&amp;IF(CT16="",""," / "&amp;CT16&amp;"%"),IF(AND(N(CC16)&gt;=99.95,CT16&lt;&gt;"",N(CT16)&lt;100),"Pend. "&amp;CT16&amp;"%",""))))</f>
        <v/>
      </c>
      <c r="AX16" s="40" t="str">
        <f aca="false">IF(OR(OR(NOT(AND(ISNUMBER(E16),ISNUMBER(F16))),$J$2=""),12&gt;MAX(1,Reprogramaciones!$U$15)),"",IF(Reprogramaciones!V$12&gt;=7,"",IF(OR(CE16-N(CD16)&gt;0.05,N(AB16)&gt;0),ROUNDDOWN(ROUND(CE16,6),0)&amp;"%"&amp;IF(CU16="",""," / "&amp;CU16&amp;"%"),IF(AND(N(CD16)&gt;=99.95,CU16&lt;&gt;"",N(CU16)&lt;100),"Pend. "&amp;CU16&amp;"%",""))))</f>
        <v/>
      </c>
      <c r="AY16" s="40" t="str">
        <f aca="false">IF(OR(OR(NOT(AND(ISNUMBER(E16),ISNUMBER(F16))),$J$2=""),13&gt;MAX(1,Reprogramaciones!$U$15)),"",IF(Reprogramaciones!W$12&gt;=7,"",IF(OR(CF16-N(CE16)&gt;0.05,N(AC16)&gt;0),ROUNDDOWN(ROUND(CF16,6),0)&amp;"%"&amp;IF(CV16="",""," / "&amp;CV16&amp;"%"),IF(AND(N(CE16)&gt;=99.95,CV16&lt;&gt;"",N(CV16)&lt;100),"Pend. "&amp;CV16&amp;"%",""))))</f>
        <v/>
      </c>
      <c r="AZ16" s="40" t="str">
        <f aca="false">IF(OR(OR(NOT(AND(ISNUMBER(E16),ISNUMBER(F16))),$J$2=""),14&gt;MAX(1,Reprogramaciones!$U$15)),"",IF(Reprogramaciones!X$12&gt;=7,"",IF(OR(CG16-N(CF16)&gt;0.05,N(AD16)&gt;0),ROUNDDOWN(ROUND(CG16,6),0)&amp;"%"&amp;IF(CW16="",""," / "&amp;CW16&amp;"%"),IF(AND(N(CF16)&gt;=99.95,CW16&lt;&gt;"",N(CW16)&lt;100),"Pend. "&amp;CW16&amp;"%",""))))</f>
        <v/>
      </c>
      <c r="BA16" s="40" t="str">
        <f aca="false">IF(OR(OR(NOT(AND(ISNUMBER(E16),ISNUMBER(F16))),$J$2=""),15&gt;MAX(1,Reprogramaciones!$U$15)),"",IF(Reprogramaciones!Y$12&gt;=7,"",IF(OR(CH16-N(CG16)&gt;0.05,N(AE16)&gt;0),ROUNDDOWN(ROUND(CH16,6),0)&amp;"%"&amp;IF(CX16="",""," / "&amp;CX16&amp;"%"),IF(AND(N(CG16)&gt;=99.95,CX16&lt;&gt;"",N(CX16)&lt;100),"Pend. "&amp;CX16&amp;"%",""))))</f>
        <v/>
      </c>
      <c r="BB16" s="40" t="str">
        <f aca="false">IF(OR(OR(NOT(AND(ISNUMBER(E16),ISNUMBER(F16))),$J$2=""),16&gt;MAX(1,Reprogramaciones!$U$15)),"",IF(Reprogramaciones!Z$12&gt;=7,"",IF(OR(CI16-N(CH16)&gt;0.05,N(AF16)&gt;0),ROUNDDOWN(ROUND(CI16,6),0)&amp;"%"&amp;IF(CY16="",""," / "&amp;CY16&amp;"%"),IF(AND(N(CH16)&gt;=99.95,CY16&lt;&gt;"",N(CY16)&lt;100),"Pend. "&amp;CY16&amp;"%",""))))</f>
        <v/>
      </c>
      <c r="BC16" s="31" t="n">
        <f aca="false">IF(AND(ISNUMBER(E16),ISNUMBER(F16)),MAX(1,NETWORKDAYS.INTL(E16,F16,11)),0)</f>
        <v>4</v>
      </c>
      <c r="BD16" s="1" t="n">
        <f aca="false">IF(OR(NOT(AND(ISNUMBER(E16),ISNUMBER(F16))),$J$2=""),"",MIN(100,ROUND(SUM($G16:G16),1)))</f>
        <v>0</v>
      </c>
      <c r="BE16" s="1" t="n">
        <f aca="false">IF(OR(NOT(AND(ISNUMBER(E16),ISNUMBER(F16))),$J$2=""),"",MIN(100,ROUND(SUM($G16:H16),1)))</f>
        <v>75</v>
      </c>
      <c r="BF16" s="1" t="n">
        <f aca="false">IF(OR(NOT(AND(ISNUMBER(E16),ISNUMBER(F16))),$J$2=""),"",MIN(100,ROUND(SUM($G16:I16),1)))</f>
        <v>100</v>
      </c>
      <c r="BG16" s="1" t="n">
        <f aca="false">IF(OR(NOT(AND(ISNUMBER(E16),ISNUMBER(F16))),$J$2=""),"",MIN(100,ROUND(SUM($G16:J16),1)))</f>
        <v>100</v>
      </c>
      <c r="BH16" s="1" t="n">
        <f aca="false">IF(OR(NOT(AND(ISNUMBER(E16),ISNUMBER(F16))),$J$2=""),"",MIN(100,ROUND(SUM($G16:K16),1)))</f>
        <v>100</v>
      </c>
      <c r="BI16" s="1" t="n">
        <f aca="false">IF(OR(NOT(AND(ISNUMBER(E16),ISNUMBER(F16))),$J$2=""),"",MIN(100,ROUND(SUM($G16:L16),1)))</f>
        <v>100</v>
      </c>
      <c r="BJ16" s="1" t="n">
        <f aca="false">IF(OR(NOT(AND(ISNUMBER(E16),ISNUMBER(F16))),$J$2=""),"",MIN(100,ROUND(SUM($G16:M16),1)))</f>
        <v>100</v>
      </c>
      <c r="BK16" s="1" t="n">
        <f aca="false">IF(OR(NOT(AND(ISNUMBER(E16),ISNUMBER(F16))),$J$2=""),"",MIN(100,ROUND(SUM($G16:N16),1)))</f>
        <v>100</v>
      </c>
      <c r="BL16" s="1" t="n">
        <f aca="false">IF(OR(NOT(AND(ISNUMBER(E16),ISNUMBER(F16))),$J$2=""),"",MIN(100,ROUND(SUM($G16:O16),1)))</f>
        <v>100</v>
      </c>
      <c r="BM16" s="1" t="n">
        <f aca="false">IF(OR(NOT(AND(ISNUMBER(E16),ISNUMBER(F16))),$J$2=""),"",MIN(100,ROUND(SUM($G16:P16),1)))</f>
        <v>100</v>
      </c>
      <c r="BN16" s="1" t="n">
        <f aca="false">IF(OR(NOT(AND(ISNUMBER(E16),ISNUMBER(F16))),$J$2=""),"",MIN(100,ROUND(SUM($G16:P16),1)))</f>
        <v>100</v>
      </c>
      <c r="BO16" s="1" t="n">
        <f aca="false">IF(OR(NOT(AND(ISNUMBER(E16),ISNUMBER(F16))),$J$2=""),"",MIN(100,ROUND(SUM($G16:P16),1)))</f>
        <v>100</v>
      </c>
      <c r="BP16" s="1" t="n">
        <f aca="false">IF(OR(NOT(AND(ISNUMBER(E16),ISNUMBER(F16))),$J$2=""),"",MIN(100,ROUND(SUM($G16:P16),1)))</f>
        <v>100</v>
      </c>
      <c r="BQ16" s="1" t="n">
        <f aca="false">IF(OR(NOT(AND(ISNUMBER(E16),ISNUMBER(F16))),$J$2=""),"",MIN(100,ROUND(SUM($G16:P16),1)))</f>
        <v>100</v>
      </c>
      <c r="BR16" s="1" t="n">
        <f aca="false">IF(OR(NOT(AND(ISNUMBER(E16),ISNUMBER(F16))),$J$2=""),"",MIN(100,ROUND(SUM($G16:P16),1)))</f>
        <v>100</v>
      </c>
      <c r="BS16" s="1" t="n">
        <f aca="false">IF(OR(NOT(AND(ISNUMBER(E16),ISNUMBER(F16))),$J$2=""),"",MIN(100,ROUND(SUM($G16:P16),1)))</f>
        <v>100</v>
      </c>
      <c r="BT16" s="1" t="n">
        <f aca="false">IF(OR(NOT(AND(ISNUMBER(E16),ISNUMBER(F16))),$J$2=""),"",IF(Reprogramaciones!K$13&lt;Reprogramaciones!$T$15,0,IF(Reprogramaciones!K$14&gt;10,MIN(100,SUM($G16:$P16)),MIN(100,SUMPRODUCT((COLUMN($G16:$P16)-COLUMN($G16)+1&lt;Reprogramaciones!K$14)*$G16:$P16)+N(INDEX($G16:$P16,1,Reprogramaciones!K$14))*IF(Reprogramaciones!K$13&gt;=(Reprogramaciones!$T$15+7*(Reprogramaciones!K$14-1))+6,1,IF(MAX(0,NETWORKDAYS.INTL(MAX(E16,(Reprogramaciones!$T$15+7*(Reprogramaciones!K$14-1))),MIN(F16,(Reprogramaciones!$T$15+7*(Reprogramaciones!K$14-1))+6),11))=0,0,MAX(0,NETWORKDAYS.INTL(MAX(E16,(Reprogramaciones!$T$15+7*(Reprogramaciones!K$14-1))),MIN(F16,Reprogramaciones!K$13),11))/MAX(0,NETWORKDAYS.INTL(MAX(E16,(Reprogramaciones!$T$15+7*(Reprogramaciones!K$14-1))),MIN(F16,(Reprogramaciones!$T$15+7*(Reprogramaciones!K$14-1))+6),11))))))))</f>
        <v>0</v>
      </c>
      <c r="BU16" s="1" t="n">
        <f aca="false">IF(OR(NOT(AND(ISNUMBER(E16),ISNUMBER(F16))),$J$2=""),"",IF(Reprogramaciones!L$13&lt;Reprogramaciones!$T$15,0,IF(Reprogramaciones!L$14&gt;10,MIN(100,SUM($G16:$P16)),MIN(100,SUMPRODUCT((COLUMN($G16:$P16)-COLUMN($G16)+1&lt;Reprogramaciones!L$14)*$G16:$P16)+N(INDEX($G16:$P16,1,Reprogramaciones!L$14))*IF(Reprogramaciones!L$13&gt;=(Reprogramaciones!$T$15+7*(Reprogramaciones!L$14-1))+6,1,IF(MAX(0,NETWORKDAYS.INTL(MAX(E16,(Reprogramaciones!$T$15+7*(Reprogramaciones!L$14-1))),MIN(F16,(Reprogramaciones!$T$15+7*(Reprogramaciones!L$14-1))+6),11))=0,0,MAX(0,NETWORKDAYS.INTL(MAX(E16,(Reprogramaciones!$T$15+7*(Reprogramaciones!L$14-1))),MIN(F16,Reprogramaciones!L$13),11))/MAX(0,NETWORKDAYS.INTL(MAX(E16,(Reprogramaciones!$T$15+7*(Reprogramaciones!L$14-1))),MIN(F16,(Reprogramaciones!$T$15+7*(Reprogramaciones!L$14-1))+6),11))))))))</f>
        <v>75</v>
      </c>
      <c r="BV16" s="1" t="n">
        <f aca="false">IF(OR(NOT(AND(ISNUMBER(E16),ISNUMBER(F16))),$J$2=""),"",IF(Reprogramaciones!M$13&lt;Reprogramaciones!$T$15,0,IF(Reprogramaciones!M$14&gt;10,MIN(100,SUM($G16:$P16)),MIN(100,SUMPRODUCT((COLUMN($G16:$P16)-COLUMN($G16)+1&lt;Reprogramaciones!M$14)*$G16:$P16)+N(INDEX($G16:$P16,1,Reprogramaciones!M$14))*IF(Reprogramaciones!M$13&gt;=(Reprogramaciones!$T$15+7*(Reprogramaciones!M$14-1))+6,1,IF(MAX(0,NETWORKDAYS.INTL(MAX(E16,(Reprogramaciones!$T$15+7*(Reprogramaciones!M$14-1))),MIN(F16,(Reprogramaciones!$T$15+7*(Reprogramaciones!M$14-1))+6),11))=0,0,MAX(0,NETWORKDAYS.INTL(MAX(E16,(Reprogramaciones!$T$15+7*(Reprogramaciones!M$14-1))),MIN(F16,Reprogramaciones!M$13),11))/MAX(0,NETWORKDAYS.INTL(MAX(E16,(Reprogramaciones!$T$15+7*(Reprogramaciones!M$14-1))),MIN(F16,(Reprogramaciones!$T$15+7*(Reprogramaciones!M$14-1))+6),11))))))))</f>
        <v>100</v>
      </c>
      <c r="BW16" s="1" t="n">
        <f aca="false">IF(OR(NOT(AND(ISNUMBER(E16),ISNUMBER(F16))),$J$2=""),"",IF(Reprogramaciones!N$13&lt;Reprogramaciones!$T$15,0,IF(Reprogramaciones!N$14&gt;10,MIN(100,SUM($G16:$P16)),MIN(100,SUMPRODUCT((COLUMN($G16:$P16)-COLUMN($G16)+1&lt;Reprogramaciones!N$14)*$G16:$P16)+N(INDEX($G16:$P16,1,Reprogramaciones!N$14))*IF(Reprogramaciones!N$13&gt;=(Reprogramaciones!$T$15+7*(Reprogramaciones!N$14-1))+6,1,IF(MAX(0,NETWORKDAYS.INTL(MAX(E16,(Reprogramaciones!$T$15+7*(Reprogramaciones!N$14-1))),MIN(F16,(Reprogramaciones!$T$15+7*(Reprogramaciones!N$14-1))+6),11))=0,0,MAX(0,NETWORKDAYS.INTL(MAX(E16,(Reprogramaciones!$T$15+7*(Reprogramaciones!N$14-1))),MIN(F16,Reprogramaciones!N$13),11))/MAX(0,NETWORKDAYS.INTL(MAX(E16,(Reprogramaciones!$T$15+7*(Reprogramaciones!N$14-1))),MIN(F16,(Reprogramaciones!$T$15+7*(Reprogramaciones!N$14-1))+6),11))))))))</f>
        <v>100</v>
      </c>
      <c r="BX16" s="1" t="n">
        <f aca="false">IF(OR(NOT(AND(ISNUMBER(E16),ISNUMBER(F16))),$J$2=""),"",IF(Reprogramaciones!O$13&lt;Reprogramaciones!$T$15,0,IF(Reprogramaciones!O$14&gt;10,MIN(100,SUM($G16:$P16)),MIN(100,SUMPRODUCT((COLUMN($G16:$P16)-COLUMN($G16)+1&lt;Reprogramaciones!O$14)*$G16:$P16)+N(INDEX($G16:$P16,1,Reprogramaciones!O$14))*IF(Reprogramaciones!O$13&gt;=(Reprogramaciones!$T$15+7*(Reprogramaciones!O$14-1))+6,1,IF(MAX(0,NETWORKDAYS.INTL(MAX(E16,(Reprogramaciones!$T$15+7*(Reprogramaciones!O$14-1))),MIN(F16,(Reprogramaciones!$T$15+7*(Reprogramaciones!O$14-1))+6),11))=0,0,MAX(0,NETWORKDAYS.INTL(MAX(E16,(Reprogramaciones!$T$15+7*(Reprogramaciones!O$14-1))),MIN(F16,Reprogramaciones!O$13),11))/MAX(0,NETWORKDAYS.INTL(MAX(E16,(Reprogramaciones!$T$15+7*(Reprogramaciones!O$14-1))),MIN(F16,(Reprogramaciones!$T$15+7*(Reprogramaciones!O$14-1))+6),11))))))))</f>
        <v>100</v>
      </c>
      <c r="BY16" s="1" t="n">
        <f aca="false">IF(OR(NOT(AND(ISNUMBER(E16),ISNUMBER(F16))),$J$2=""),"",IF(Reprogramaciones!P$13&lt;Reprogramaciones!$T$15,0,IF(Reprogramaciones!P$14&gt;10,MIN(100,SUM($G16:$P16)),MIN(100,SUMPRODUCT((COLUMN($G16:$P16)-COLUMN($G16)+1&lt;Reprogramaciones!P$14)*$G16:$P16)+N(INDEX($G16:$P16,1,Reprogramaciones!P$14))*IF(Reprogramaciones!P$13&gt;=(Reprogramaciones!$T$15+7*(Reprogramaciones!P$14-1))+6,1,IF(MAX(0,NETWORKDAYS.INTL(MAX(E16,(Reprogramaciones!$T$15+7*(Reprogramaciones!P$14-1))),MIN(F16,(Reprogramaciones!$T$15+7*(Reprogramaciones!P$14-1))+6),11))=0,0,MAX(0,NETWORKDAYS.INTL(MAX(E16,(Reprogramaciones!$T$15+7*(Reprogramaciones!P$14-1))),MIN(F16,Reprogramaciones!P$13),11))/MAX(0,NETWORKDAYS.INTL(MAX(E16,(Reprogramaciones!$T$15+7*(Reprogramaciones!P$14-1))),MIN(F16,(Reprogramaciones!$T$15+7*(Reprogramaciones!P$14-1))+6),11))))))))</f>
        <v>100</v>
      </c>
      <c r="BZ16" s="1" t="n">
        <f aca="false">IF(OR(NOT(AND(ISNUMBER(E16),ISNUMBER(F16))),$J$2=""),"",IF(Reprogramaciones!Q$13&lt;Reprogramaciones!$T$15,0,IF(Reprogramaciones!Q$14&gt;10,MIN(100,SUM($G16:$P16)),MIN(100,SUMPRODUCT((COLUMN($G16:$P16)-COLUMN($G16)+1&lt;Reprogramaciones!Q$14)*$G16:$P16)+N(INDEX($G16:$P16,1,Reprogramaciones!Q$14))*IF(Reprogramaciones!Q$13&gt;=(Reprogramaciones!$T$15+7*(Reprogramaciones!Q$14-1))+6,1,IF(MAX(0,NETWORKDAYS.INTL(MAX(E16,(Reprogramaciones!$T$15+7*(Reprogramaciones!Q$14-1))),MIN(F16,(Reprogramaciones!$T$15+7*(Reprogramaciones!Q$14-1))+6),11))=0,0,MAX(0,NETWORKDAYS.INTL(MAX(E16,(Reprogramaciones!$T$15+7*(Reprogramaciones!Q$14-1))),MIN(F16,Reprogramaciones!Q$13),11))/MAX(0,NETWORKDAYS.INTL(MAX(E16,(Reprogramaciones!$T$15+7*(Reprogramaciones!Q$14-1))),MIN(F16,(Reprogramaciones!$T$15+7*(Reprogramaciones!Q$14-1))+6),11))))))))</f>
        <v>100</v>
      </c>
      <c r="CA16" s="1" t="n">
        <f aca="false">IF(OR(NOT(AND(ISNUMBER(E16),ISNUMBER(F16))),$J$2=""),"",IF(Reprogramaciones!R$13&lt;Reprogramaciones!$T$15,0,IF(Reprogramaciones!R$14&gt;10,MIN(100,SUM($G16:$P16)),MIN(100,SUMPRODUCT((COLUMN($G16:$P16)-COLUMN($G16)+1&lt;Reprogramaciones!R$14)*$G16:$P16)+N(INDEX($G16:$P16,1,Reprogramaciones!R$14))*IF(Reprogramaciones!R$13&gt;=(Reprogramaciones!$T$15+7*(Reprogramaciones!R$14-1))+6,1,IF(MAX(0,NETWORKDAYS.INTL(MAX(E16,(Reprogramaciones!$T$15+7*(Reprogramaciones!R$14-1))),MIN(F16,(Reprogramaciones!$T$15+7*(Reprogramaciones!R$14-1))+6),11))=0,0,MAX(0,NETWORKDAYS.INTL(MAX(E16,(Reprogramaciones!$T$15+7*(Reprogramaciones!R$14-1))),MIN(F16,Reprogramaciones!R$13),11))/MAX(0,NETWORKDAYS.INTL(MAX(E16,(Reprogramaciones!$T$15+7*(Reprogramaciones!R$14-1))),MIN(F16,(Reprogramaciones!$T$15+7*(Reprogramaciones!R$14-1))+6),11))))))))</f>
        <v>100</v>
      </c>
      <c r="CB16" s="1" t="n">
        <f aca="false">IF(OR(NOT(AND(ISNUMBER(E16),ISNUMBER(F16))),$J$2=""),"",IF(Reprogramaciones!S$13&lt;Reprogramaciones!$T$15,0,IF(Reprogramaciones!S$14&gt;10,MIN(100,SUM($G16:$P16)),MIN(100,SUMPRODUCT((COLUMN($G16:$P16)-COLUMN($G16)+1&lt;Reprogramaciones!S$14)*$G16:$P16)+N(INDEX($G16:$P16,1,Reprogramaciones!S$14))*IF(Reprogramaciones!S$13&gt;=(Reprogramaciones!$T$15+7*(Reprogramaciones!S$14-1))+6,1,IF(MAX(0,NETWORKDAYS.INTL(MAX(E16,(Reprogramaciones!$T$15+7*(Reprogramaciones!S$14-1))),MIN(F16,(Reprogramaciones!$T$15+7*(Reprogramaciones!S$14-1))+6),11))=0,0,MAX(0,NETWORKDAYS.INTL(MAX(E16,(Reprogramaciones!$T$15+7*(Reprogramaciones!S$14-1))),MIN(F16,Reprogramaciones!S$13),11))/MAX(0,NETWORKDAYS.INTL(MAX(E16,(Reprogramaciones!$T$15+7*(Reprogramaciones!S$14-1))),MIN(F16,(Reprogramaciones!$T$15+7*(Reprogramaciones!S$14-1))+6),11))))))))</f>
        <v>100</v>
      </c>
      <c r="CC16" s="1" t="n">
        <f aca="false">IF(OR(NOT(AND(ISNUMBER(E16),ISNUMBER(F16))),$J$2=""),"",IF(Reprogramaciones!T$13&lt;Reprogramaciones!$T$15,0,IF(Reprogramaciones!T$14&gt;10,MIN(100,SUM($G16:$P16)),MIN(100,SUMPRODUCT((COLUMN($G16:$P16)-COLUMN($G16)+1&lt;Reprogramaciones!T$14)*$G16:$P16)+N(INDEX($G16:$P16,1,Reprogramaciones!T$14))*IF(Reprogramaciones!T$13&gt;=(Reprogramaciones!$T$15+7*(Reprogramaciones!T$14-1))+6,1,IF(MAX(0,NETWORKDAYS.INTL(MAX(E16,(Reprogramaciones!$T$15+7*(Reprogramaciones!T$14-1))),MIN(F16,(Reprogramaciones!$T$15+7*(Reprogramaciones!T$14-1))+6),11))=0,0,MAX(0,NETWORKDAYS.INTL(MAX(E16,(Reprogramaciones!$T$15+7*(Reprogramaciones!T$14-1))),MIN(F16,Reprogramaciones!T$13),11))/MAX(0,NETWORKDAYS.INTL(MAX(E16,(Reprogramaciones!$T$15+7*(Reprogramaciones!T$14-1))),MIN(F16,(Reprogramaciones!$T$15+7*(Reprogramaciones!T$14-1))+6),11))))))))</f>
        <v>100</v>
      </c>
      <c r="CD16" s="1" t="n">
        <f aca="false">IF(OR(NOT(AND(ISNUMBER(E16),ISNUMBER(F16))),$J$2=""),"",IF(Reprogramaciones!U$13&lt;Reprogramaciones!$T$15,0,IF(Reprogramaciones!U$14&gt;10,MIN(100,SUM($G16:$P16)),MIN(100,SUMPRODUCT((COLUMN($G16:$P16)-COLUMN($G16)+1&lt;Reprogramaciones!U$14)*$G16:$P16)+N(INDEX($G16:$P16,1,Reprogramaciones!U$14))*IF(Reprogramaciones!U$13&gt;=(Reprogramaciones!$T$15+7*(Reprogramaciones!U$14-1))+6,1,IF(MAX(0,NETWORKDAYS.INTL(MAX(E16,(Reprogramaciones!$T$15+7*(Reprogramaciones!U$14-1))),MIN(F16,(Reprogramaciones!$T$15+7*(Reprogramaciones!U$14-1))+6),11))=0,0,MAX(0,NETWORKDAYS.INTL(MAX(E16,(Reprogramaciones!$T$15+7*(Reprogramaciones!U$14-1))),MIN(F16,Reprogramaciones!U$13),11))/MAX(0,NETWORKDAYS.INTL(MAX(E16,(Reprogramaciones!$T$15+7*(Reprogramaciones!U$14-1))),MIN(F16,(Reprogramaciones!$T$15+7*(Reprogramaciones!U$14-1))+6),11))))))))</f>
        <v>100</v>
      </c>
      <c r="CE16" s="1" t="n">
        <f aca="false">IF(OR(NOT(AND(ISNUMBER(E16),ISNUMBER(F16))),$J$2=""),"",IF(Reprogramaciones!V$13&lt;Reprogramaciones!$T$15,0,IF(Reprogramaciones!V$14&gt;10,MIN(100,SUM($G16:$P16)),MIN(100,SUMPRODUCT((COLUMN($G16:$P16)-COLUMN($G16)+1&lt;Reprogramaciones!V$14)*$G16:$P16)+N(INDEX($G16:$P16,1,Reprogramaciones!V$14))*IF(Reprogramaciones!V$13&gt;=(Reprogramaciones!$T$15+7*(Reprogramaciones!V$14-1))+6,1,IF(MAX(0,NETWORKDAYS.INTL(MAX(E16,(Reprogramaciones!$T$15+7*(Reprogramaciones!V$14-1))),MIN(F16,(Reprogramaciones!$T$15+7*(Reprogramaciones!V$14-1))+6),11))=0,0,MAX(0,NETWORKDAYS.INTL(MAX(E16,(Reprogramaciones!$T$15+7*(Reprogramaciones!V$14-1))),MIN(F16,Reprogramaciones!V$13),11))/MAX(0,NETWORKDAYS.INTL(MAX(E16,(Reprogramaciones!$T$15+7*(Reprogramaciones!V$14-1))),MIN(F16,(Reprogramaciones!$T$15+7*(Reprogramaciones!V$14-1))+6),11))))))))</f>
        <v>100</v>
      </c>
      <c r="CF16" s="1" t="n">
        <f aca="false">IF(OR(NOT(AND(ISNUMBER(E16),ISNUMBER(F16))),$J$2=""),"",IF(Reprogramaciones!W$13&lt;Reprogramaciones!$T$15,0,IF(Reprogramaciones!W$14&gt;10,MIN(100,SUM($G16:$P16)),MIN(100,SUMPRODUCT((COLUMN($G16:$P16)-COLUMN($G16)+1&lt;Reprogramaciones!W$14)*$G16:$P16)+N(INDEX($G16:$P16,1,Reprogramaciones!W$14))*IF(Reprogramaciones!W$13&gt;=(Reprogramaciones!$T$15+7*(Reprogramaciones!W$14-1))+6,1,IF(MAX(0,NETWORKDAYS.INTL(MAX(E16,(Reprogramaciones!$T$15+7*(Reprogramaciones!W$14-1))),MIN(F16,(Reprogramaciones!$T$15+7*(Reprogramaciones!W$14-1))+6),11))=0,0,MAX(0,NETWORKDAYS.INTL(MAX(E16,(Reprogramaciones!$T$15+7*(Reprogramaciones!W$14-1))),MIN(F16,Reprogramaciones!W$13),11))/MAX(0,NETWORKDAYS.INTL(MAX(E16,(Reprogramaciones!$T$15+7*(Reprogramaciones!W$14-1))),MIN(F16,(Reprogramaciones!$T$15+7*(Reprogramaciones!W$14-1))+6),11))))))))</f>
        <v>100</v>
      </c>
      <c r="CG16" s="1" t="n">
        <f aca="false">IF(OR(NOT(AND(ISNUMBER(E16),ISNUMBER(F16))),$J$2=""),"",IF(Reprogramaciones!X$13&lt;Reprogramaciones!$T$15,0,IF(Reprogramaciones!X$14&gt;10,MIN(100,SUM($G16:$P16)),MIN(100,SUMPRODUCT((COLUMN($G16:$P16)-COLUMN($G16)+1&lt;Reprogramaciones!X$14)*$G16:$P16)+N(INDEX($G16:$P16,1,Reprogramaciones!X$14))*IF(Reprogramaciones!X$13&gt;=(Reprogramaciones!$T$15+7*(Reprogramaciones!X$14-1))+6,1,IF(MAX(0,NETWORKDAYS.INTL(MAX(E16,(Reprogramaciones!$T$15+7*(Reprogramaciones!X$14-1))),MIN(F16,(Reprogramaciones!$T$15+7*(Reprogramaciones!X$14-1))+6),11))=0,0,MAX(0,NETWORKDAYS.INTL(MAX(E16,(Reprogramaciones!$T$15+7*(Reprogramaciones!X$14-1))),MIN(F16,Reprogramaciones!X$13),11))/MAX(0,NETWORKDAYS.INTL(MAX(E16,(Reprogramaciones!$T$15+7*(Reprogramaciones!X$14-1))),MIN(F16,(Reprogramaciones!$T$15+7*(Reprogramaciones!X$14-1))+6),11))))))))</f>
        <v>100</v>
      </c>
      <c r="CH16" s="1" t="n">
        <f aca="false">IF(OR(NOT(AND(ISNUMBER(E16),ISNUMBER(F16))),$J$2=""),"",IF(Reprogramaciones!Y$13&lt;Reprogramaciones!$T$15,0,IF(Reprogramaciones!Y$14&gt;10,MIN(100,SUM($G16:$P16)),MIN(100,SUMPRODUCT((COLUMN($G16:$P16)-COLUMN($G16)+1&lt;Reprogramaciones!Y$14)*$G16:$P16)+N(INDEX($G16:$P16,1,Reprogramaciones!Y$14))*IF(Reprogramaciones!Y$13&gt;=(Reprogramaciones!$T$15+7*(Reprogramaciones!Y$14-1))+6,1,IF(MAX(0,NETWORKDAYS.INTL(MAX(E16,(Reprogramaciones!$T$15+7*(Reprogramaciones!Y$14-1))),MIN(F16,(Reprogramaciones!$T$15+7*(Reprogramaciones!Y$14-1))+6),11))=0,0,MAX(0,NETWORKDAYS.INTL(MAX(E16,(Reprogramaciones!$T$15+7*(Reprogramaciones!Y$14-1))),MIN(F16,Reprogramaciones!Y$13),11))/MAX(0,NETWORKDAYS.INTL(MAX(E16,(Reprogramaciones!$T$15+7*(Reprogramaciones!Y$14-1))),MIN(F16,(Reprogramaciones!$T$15+7*(Reprogramaciones!Y$14-1))+6),11))))))))</f>
        <v>100</v>
      </c>
      <c r="CI16" s="1" t="n">
        <f aca="false">IF(OR(NOT(AND(ISNUMBER(E16),ISNUMBER(F16))),$J$2=""),"",IF(Reprogramaciones!Z$13&lt;Reprogramaciones!$T$15,0,IF(Reprogramaciones!Z$14&gt;10,MIN(100,SUM($G16:$P16)),MIN(100,SUMPRODUCT((COLUMN($G16:$P16)-COLUMN($G16)+1&lt;Reprogramaciones!Z$14)*$G16:$P16)+N(INDEX($G16:$P16,1,Reprogramaciones!Z$14))*IF(Reprogramaciones!Z$13&gt;=(Reprogramaciones!$T$15+7*(Reprogramaciones!Z$14-1))+6,1,IF(MAX(0,NETWORKDAYS.INTL(MAX(E16,(Reprogramaciones!$T$15+7*(Reprogramaciones!Z$14-1))),MIN(F16,(Reprogramaciones!$T$15+7*(Reprogramaciones!Z$14-1))+6),11))=0,0,MAX(0,NETWORKDAYS.INTL(MAX(E16,(Reprogramaciones!$T$15+7*(Reprogramaciones!Z$14-1))),MIN(F16,Reprogramaciones!Z$13),11))/MAX(0,NETWORKDAYS.INTL(MAX(E16,(Reprogramaciones!$T$15+7*(Reprogramaciones!Z$14-1))),MIN(F16,(Reprogramaciones!$T$15+7*(Reprogramaciones!Z$14-1))+6),11))))))))</f>
        <v>100</v>
      </c>
      <c r="CJ16" s="1" t="n">
        <f aca="false">IF(OR(OR(NOT(AND(ISNUMBER(E16),ISNUMBER(F16))),$J$2=""),1&gt;Reprogramaciones!$K$16),"",IF(ROUND(SUM($Q16:Q16),1)&gt;=99.5,100,MIN(100,ROUND(SUM($Q16:Q16),1))))</f>
        <v>0</v>
      </c>
      <c r="CK16" s="1" t="n">
        <f aca="false">IF(OR(OR(NOT(AND(ISNUMBER(E16),ISNUMBER(F16))),$J$2=""),2&gt;Reprogramaciones!$K$16),"",IF(ROUND(SUM($Q16:R16),1)&gt;=99.5,100,MIN(100,ROUND(SUM($Q16:R16),1))))</f>
        <v>75</v>
      </c>
      <c r="CL16" s="1" t="n">
        <f aca="false">IF(OR(OR(NOT(AND(ISNUMBER(E16),ISNUMBER(F16))),$J$2=""),3&gt;Reprogramaciones!$K$16),"",IF(ROUND(SUM($Q16:S16),1)&gt;=99.5,100,MIN(100,ROUND(SUM($Q16:S16),1))))</f>
        <v>100</v>
      </c>
      <c r="CM16" s="1" t="n">
        <f aca="false">IF(OR(OR(NOT(AND(ISNUMBER(E16),ISNUMBER(F16))),$J$2=""),4&gt;Reprogramaciones!$K$16),"",IF(ROUND(SUM($Q16:T16),1)&gt;=99.5,100,MIN(100,ROUND(SUM($Q16:T16),1))))</f>
        <v>100</v>
      </c>
      <c r="CN16" s="1" t="n">
        <f aca="false">IF(OR(OR(NOT(AND(ISNUMBER(E16),ISNUMBER(F16))),$J$2=""),5&gt;Reprogramaciones!$K$16),"",IF(ROUND(SUM($Q16:U16),1)&gt;=99.5,100,MIN(100,ROUND(SUM($Q16:U16),1))))</f>
        <v>100</v>
      </c>
      <c r="CO16" s="1" t="str">
        <f aca="false">IF(OR(OR(NOT(AND(ISNUMBER(E16),ISNUMBER(F16))),$J$2=""),6&gt;Reprogramaciones!$K$16),"",IF(ROUND(SUM($Q16:V16),1)&gt;=99.5,100,MIN(100,ROUND(SUM($Q16:V16),1))))</f>
        <v/>
      </c>
      <c r="CP16" s="1" t="str">
        <f aca="false">IF(OR(OR(NOT(AND(ISNUMBER(E16),ISNUMBER(F16))),$J$2=""),7&gt;Reprogramaciones!$K$16),"",IF(ROUND(SUM($Q16:W16),1)&gt;=99.5,100,MIN(100,ROUND(SUM($Q16:W16),1))))</f>
        <v/>
      </c>
      <c r="CQ16" s="1" t="str">
        <f aca="false">IF(OR(OR(NOT(AND(ISNUMBER(E16),ISNUMBER(F16))),$J$2=""),8&gt;Reprogramaciones!$K$16),"",IF(ROUND(SUM($Q16:X16),1)&gt;=99.5,100,MIN(100,ROUND(SUM($Q16:X16),1))))</f>
        <v/>
      </c>
      <c r="CR16" s="1" t="str">
        <f aca="false">IF(OR(OR(NOT(AND(ISNUMBER(E16),ISNUMBER(F16))),$J$2=""),9&gt;Reprogramaciones!$K$16),"",IF(ROUND(SUM($Q16:Y16),1)&gt;=99.5,100,MIN(100,ROUND(SUM($Q16:Y16),1))))</f>
        <v/>
      </c>
      <c r="CS16" s="1" t="str">
        <f aca="false">IF(OR(OR(NOT(AND(ISNUMBER(E16),ISNUMBER(F16))),$J$2=""),10&gt;Reprogramaciones!$K$16),"",IF(ROUND(SUM($Q16:Z16),1)&gt;=99.5,100,MIN(100,ROUND(SUM($Q16:Z16),1))))</f>
        <v/>
      </c>
      <c r="CT16" s="1" t="str">
        <f aca="false">IF(OR(OR(NOT(AND(ISNUMBER(E16),ISNUMBER(F16))),$J$2=""),11&gt;Reprogramaciones!$K$16),"",IF(ROUND(SUM($Q16:AA16),1)&gt;=99.5,100,MIN(100,ROUND(SUM($Q16:AA16),1))))</f>
        <v/>
      </c>
      <c r="CU16" s="1" t="str">
        <f aca="false">IF(OR(OR(NOT(AND(ISNUMBER(E16),ISNUMBER(F16))),$J$2=""),12&gt;Reprogramaciones!$K$16),"",IF(ROUND(SUM($Q16:AB16),1)&gt;=99.5,100,MIN(100,ROUND(SUM($Q16:AB16),1))))</f>
        <v/>
      </c>
      <c r="CV16" s="1" t="str">
        <f aca="false">IF(OR(OR(NOT(AND(ISNUMBER(E16),ISNUMBER(F16))),$J$2=""),13&gt;Reprogramaciones!$K$16),"",IF(ROUND(SUM($Q16:AC16),1)&gt;=99.5,100,MIN(100,ROUND(SUM($Q16:AC16),1))))</f>
        <v/>
      </c>
      <c r="CW16" s="1" t="str">
        <f aca="false">IF(OR(OR(NOT(AND(ISNUMBER(E16),ISNUMBER(F16))),$J$2=""),14&gt;Reprogramaciones!$K$16),"",IF(ROUND(SUM($Q16:AD16),1)&gt;=99.5,100,MIN(100,ROUND(SUM($Q16:AD16),1))))</f>
        <v/>
      </c>
      <c r="CX16" s="1" t="str">
        <f aca="false">IF(OR(OR(NOT(AND(ISNUMBER(E16),ISNUMBER(F16))),$J$2=""),15&gt;Reprogramaciones!$K$16),"",IF(ROUND(SUM($Q16:AE16),1)&gt;=99.5,100,MIN(100,ROUND(SUM($Q16:AE16),1))))</f>
        <v/>
      </c>
      <c r="CY16" s="1" t="str">
        <f aca="false">IF(OR(OR(NOT(AND(ISNUMBER(E16),ISNUMBER(F16))),$J$2=""),16&gt;Reprogramaciones!$K$16),"",IF(ROUND(SUM($Q16:AF16),1)&gt;=99.5,100,MIN(100,ROUND(SUM($Q16:AF16),1))))</f>
        <v/>
      </c>
      <c r="CZ16" s="1" t="str">
        <f aca="false">IF(D16&lt;&gt;"",D16,IF(B16&lt;&gt;"","Contractual",CZ15))</f>
        <v>Contractual</v>
      </c>
      <c r="DA16" s="1" t="n">
        <f aca="false">IF(OR(NOT(AND(ISNUMBER(E16),ISNUMBER(F16))),$J$2=""),"",IF(Reprogramaciones!$Q$15&lt;Reprogramaciones!$T$15,0,IF(Reprogramaciones!$S$15&gt;10,MIN(100,SUM($G16:$P16)),MIN(100,SUMPRODUCT((COLUMN($G16:$P16)-COLUMN($G16)+1&lt;Reprogramaciones!$S$15)*$G16:$P16)+N(INDEX($G16:$P16,1,Reprogramaciones!$S$15))*IF(Reprogramaciones!$Q$15&gt;=(Reprogramaciones!$T$15+7*(Reprogramaciones!$S$15-1))+6,1,IF(MAX(0,NETWORKDAYS.INTL(MAX(E16,(Reprogramaciones!$T$15+7*(Reprogramaciones!$S$15-1))),MIN(F16,(Reprogramaciones!$T$15+7*(Reprogramaciones!$S$15-1))+6),11))=0,0,MAX(0,NETWORKDAYS.INTL(MAX(E16,(Reprogramaciones!$T$15+7*(Reprogramaciones!$S$15-1))),MIN(F16,Reprogramaciones!$Q$15),11))/MAX(0,NETWORKDAYS.INTL(MAX(E16,(Reprogramaciones!$T$15+7*(Reprogramaciones!$S$15-1))),MIN(F16,(Reprogramaciones!$T$15+7*(Reprogramaciones!$S$15-1))+6),11))))))))</f>
        <v>100</v>
      </c>
    </row>
    <row r="17" customFormat="false" ht="15" hidden="false" customHeight="false" outlineLevel="0" collapsed="false">
      <c r="A17" s="32" t="s">
        <v>175</v>
      </c>
      <c r="B17" s="33"/>
      <c r="C17" s="33" t="s">
        <v>176</v>
      </c>
      <c r="D17" s="34"/>
      <c r="E17" s="35" t="n">
        <v>46298</v>
      </c>
      <c r="F17" s="35" t="n">
        <v>46303</v>
      </c>
      <c r="G17" s="36" t="n">
        <f aca="false">IF(OR(NOT(AND(ISNUMBER(E17),ISNUMBER(F17))),$J$2=""),"",IF(Reprogramaciones!K$9&lt;E17,0,IF(NETWORKDAYS.INTL(E17,F17,11)=0,IF(Reprogramaciones!K$9&gt;=F17,100,0),ROUND(NETWORKDAYS.INTL(E17,MIN(F17,Reprogramaciones!K$9),11)/NETWORKDAYS.INTL(E17,F17,11)*100,1)))-0)</f>
        <v>0</v>
      </c>
      <c r="H17" s="36" t="n">
        <f aca="false">IF(OR(NOT(AND(ISNUMBER(E17),ISNUMBER(F17))),$J$2=""),"",IF(Reprogramaciones!L$9&lt;E17,0,IF(NETWORKDAYS.INTL(E17,F17,11)=0,IF(Reprogramaciones!L$9&gt;=F17,100,0),ROUND(NETWORKDAYS.INTL(E17,MIN(F17,Reprogramaciones!L$9),11)/NETWORKDAYS.INTL(E17,F17,11)*100,1)))-IF(Reprogramaciones!K$9&lt;E17,0,IF(NETWORKDAYS.INTL(E17,F17,11)=0,IF(Reprogramaciones!K$9&gt;=F17,100,0),ROUND(NETWORKDAYS.INTL(E17,MIN(F17,Reprogramaciones!K$9),11)/NETWORKDAYS.INTL(E17,F17,11)*100,1))))</f>
        <v>20</v>
      </c>
      <c r="I17" s="36" t="n">
        <f aca="false">IF(OR(NOT(AND(ISNUMBER(E17),ISNUMBER(F17))),$J$2=""),"",IF(Reprogramaciones!M$9&lt;E17,0,IF(NETWORKDAYS.INTL(E17,F17,11)=0,IF(Reprogramaciones!M$9&gt;=F17,100,0),ROUND(NETWORKDAYS.INTL(E17,MIN(F17,Reprogramaciones!M$9),11)/NETWORKDAYS.INTL(E17,F17,11)*100,1)))-IF(Reprogramaciones!L$9&lt;E17,0,IF(NETWORKDAYS.INTL(E17,F17,11)=0,IF(Reprogramaciones!L$9&gt;=F17,100,0),ROUND(NETWORKDAYS.INTL(E17,MIN(F17,Reprogramaciones!L$9),11)/NETWORKDAYS.INTL(E17,F17,11)*100,1))))</f>
        <v>80</v>
      </c>
      <c r="J17" s="36" t="n">
        <f aca="false">IF(OR(NOT(AND(ISNUMBER(E17),ISNUMBER(F17))),$J$2=""),"",IF(Reprogramaciones!N$9&lt;E17,0,IF(NETWORKDAYS.INTL(E17,F17,11)=0,IF(Reprogramaciones!N$9&gt;=F17,100,0),ROUND(NETWORKDAYS.INTL(E17,MIN(F17,Reprogramaciones!N$9),11)/NETWORKDAYS.INTL(E17,F17,11)*100,1)))-IF(Reprogramaciones!M$9&lt;E17,0,IF(NETWORKDAYS.INTL(E17,F17,11)=0,IF(Reprogramaciones!M$9&gt;=F17,100,0),ROUND(NETWORKDAYS.INTL(E17,MIN(F17,Reprogramaciones!M$9),11)/NETWORKDAYS.INTL(E17,F17,11)*100,1))))</f>
        <v>0</v>
      </c>
      <c r="K17" s="36" t="n">
        <f aca="false">IF(OR(NOT(AND(ISNUMBER(E17),ISNUMBER(F17))),$J$2=""),"",IF(Reprogramaciones!O$9&lt;E17,0,IF(NETWORKDAYS.INTL(E17,F17,11)=0,IF(Reprogramaciones!O$9&gt;=F17,100,0),ROUND(NETWORKDAYS.INTL(E17,MIN(F17,Reprogramaciones!O$9),11)/NETWORKDAYS.INTL(E17,F17,11)*100,1)))-IF(Reprogramaciones!N$9&lt;E17,0,IF(NETWORKDAYS.INTL(E17,F17,11)=0,IF(Reprogramaciones!N$9&gt;=F17,100,0),ROUND(NETWORKDAYS.INTL(E17,MIN(F17,Reprogramaciones!N$9),11)/NETWORKDAYS.INTL(E17,F17,11)*100,1))))</f>
        <v>0</v>
      </c>
      <c r="L17" s="36" t="n">
        <f aca="false">IF(OR(NOT(AND(ISNUMBER(E17),ISNUMBER(F17))),$J$2=""),"",IF(Reprogramaciones!P$9&lt;E17,0,IF(NETWORKDAYS.INTL(E17,F17,11)=0,IF(Reprogramaciones!P$9&gt;=F17,100,0),ROUND(NETWORKDAYS.INTL(E17,MIN(F17,Reprogramaciones!P$9),11)/NETWORKDAYS.INTL(E17,F17,11)*100,1)))-IF(Reprogramaciones!O$9&lt;E17,0,IF(NETWORKDAYS.INTL(E17,F17,11)=0,IF(Reprogramaciones!O$9&gt;=F17,100,0),ROUND(NETWORKDAYS.INTL(E17,MIN(F17,Reprogramaciones!O$9),11)/NETWORKDAYS.INTL(E17,F17,11)*100,1))))</f>
        <v>0</v>
      </c>
      <c r="M17" s="36" t="n">
        <f aca="false">IF(OR(NOT(AND(ISNUMBER(E17),ISNUMBER(F17))),$J$2=""),"",IF(Reprogramaciones!Q$9&lt;E17,0,IF(NETWORKDAYS.INTL(E17,F17,11)=0,IF(Reprogramaciones!Q$9&gt;=F17,100,0),ROUND(NETWORKDAYS.INTL(E17,MIN(F17,Reprogramaciones!Q$9),11)/NETWORKDAYS.INTL(E17,F17,11)*100,1)))-IF(Reprogramaciones!P$9&lt;E17,0,IF(NETWORKDAYS.INTL(E17,F17,11)=0,IF(Reprogramaciones!P$9&gt;=F17,100,0),ROUND(NETWORKDAYS.INTL(E17,MIN(F17,Reprogramaciones!P$9),11)/NETWORKDAYS.INTL(E17,F17,11)*100,1))))</f>
        <v>0</v>
      </c>
      <c r="N17" s="36" t="n">
        <f aca="false">IF(OR(NOT(AND(ISNUMBER(E17),ISNUMBER(F17))),$J$2=""),"",IF(Reprogramaciones!R$9&lt;E17,0,IF(NETWORKDAYS.INTL(E17,F17,11)=0,IF(Reprogramaciones!R$9&gt;=F17,100,0),ROUND(NETWORKDAYS.INTL(E17,MIN(F17,Reprogramaciones!R$9),11)/NETWORKDAYS.INTL(E17,F17,11)*100,1)))-IF(Reprogramaciones!Q$9&lt;E17,0,IF(NETWORKDAYS.INTL(E17,F17,11)=0,IF(Reprogramaciones!Q$9&gt;=F17,100,0),ROUND(NETWORKDAYS.INTL(E17,MIN(F17,Reprogramaciones!Q$9),11)/NETWORKDAYS.INTL(E17,F17,11)*100,1))))</f>
        <v>0</v>
      </c>
      <c r="O17" s="36" t="n">
        <f aca="false">IF(OR(NOT(AND(ISNUMBER(E17),ISNUMBER(F17))),$J$2=""),"",IF(Reprogramaciones!S$9&lt;E17,0,IF(NETWORKDAYS.INTL(E17,F17,11)=0,IF(Reprogramaciones!S$9&gt;=F17,100,0),ROUND(NETWORKDAYS.INTL(E17,MIN(F17,Reprogramaciones!S$9),11)/NETWORKDAYS.INTL(E17,F17,11)*100,1)))-IF(Reprogramaciones!R$9&lt;E17,0,IF(NETWORKDAYS.INTL(E17,F17,11)=0,IF(Reprogramaciones!R$9&gt;=F17,100,0),ROUND(NETWORKDAYS.INTL(E17,MIN(F17,Reprogramaciones!R$9),11)/NETWORKDAYS.INTL(E17,F17,11)*100,1))))</f>
        <v>0</v>
      </c>
      <c r="P17" s="36" t="n">
        <f aca="false">IF(OR(NOT(AND(ISNUMBER(E17),ISNUMBER(F17))),$J$2=""),"",IF(Reprogramaciones!T$9&lt;E17,0,IF(NETWORKDAYS.INTL(E17,F17,11)=0,IF(Reprogramaciones!T$9&gt;=F17,100,0),ROUND(NETWORKDAYS.INTL(E17,MIN(F17,Reprogramaciones!T$9),11)/NETWORKDAYS.INTL(E17,F17,11)*100,1)))-IF(Reprogramaciones!S$9&lt;E17,0,IF(NETWORKDAYS.INTL(E17,F17,11)=0,IF(Reprogramaciones!S$9&gt;=F17,100,0),ROUND(NETWORKDAYS.INTL(E17,MIN(F17,Reprogramaciones!S$9),11)/NETWORKDAYS.INTL(E17,F17,11)*100,1))))</f>
        <v>0</v>
      </c>
      <c r="Q17" s="37"/>
      <c r="R17" s="37" t="n">
        <v>20</v>
      </c>
      <c r="S17" s="37" t="n">
        <v>80</v>
      </c>
      <c r="T17" s="37"/>
      <c r="U17" s="37"/>
      <c r="V17" s="37"/>
      <c r="W17" s="37"/>
      <c r="X17" s="37"/>
      <c r="Y17" s="37"/>
      <c r="Z17" s="37"/>
      <c r="AA17" s="37"/>
      <c r="AB17" s="37"/>
      <c r="AC17" s="37"/>
      <c r="AD17" s="37"/>
      <c r="AE17" s="37"/>
      <c r="AF17" s="37"/>
      <c r="AG17" s="38" t="n">
        <f aca="false">IF(AND(ISNUMBER(E17),ISNUMBER(F17)),NETWORKDAYS.INTL(E17,F17,11),"")</f>
        <v>5</v>
      </c>
      <c r="AH17" s="38" t="n">
        <f aca="false">IF(OR(NOT(AND(ISNUMBER(E17),ISNUMBER(F17))),$J$2=""),"",IF(Reprogramaciones!$P$15&lt;Reprogramaciones!$T$15,0,IF(Reprogramaciones!$R$15&gt;10,MIN(100,SUM($G17:$P17)),MIN(100,SUMPRODUCT((COLUMN($G17:$P17)-COLUMN($G17)+1&lt;Reprogramaciones!$R$15)*$G17:$P17)+N(INDEX($G17:$P17,1,Reprogramaciones!$R$15))*IF(Reprogramaciones!$P$15&gt;=(Reprogramaciones!$T$15+7*(Reprogramaciones!$R$15-1))+6,1,IF(MAX(0,NETWORKDAYS.INTL(MAX(E17,(Reprogramaciones!$T$15+7*(Reprogramaciones!$R$15-1))),MIN(F17,(Reprogramaciones!$T$15+7*(Reprogramaciones!$R$15-1))+6),11))=0,0,MAX(0,NETWORKDAYS.INTL(MAX(E17,(Reprogramaciones!$T$15+7*(Reprogramaciones!$R$15-1))),MIN(F17,Reprogramaciones!$P$15),11))/MAX(0,NETWORKDAYS.INTL(MAX(E17,(Reprogramaciones!$T$15+7*(Reprogramaciones!$R$15-1))),MIN(F17,(Reprogramaciones!$T$15+7*(Reprogramaciones!$R$15-1))+6),11))))))))</f>
        <v>100</v>
      </c>
      <c r="AI17" s="38" t="n">
        <f aca="false">IF(COUNT($Q17:$AF17)=0,"",IF(ROUND(SUM($Q17:$AF17),1)&gt;=99.5,100,MIN(100,ROUND(SUM($Q17:$AF17),1))))</f>
        <v>100</v>
      </c>
      <c r="AJ17" s="38" t="n">
        <f aca="false">IF(OR(AH17="",AI17=""),"",AI17-AH17)</f>
        <v>0</v>
      </c>
      <c r="AK17" s="39" t="str">
        <f aca="true">IF(AH17="","",IF(OR(Ficha!$C$10="Suspendida",Ficha!$C$10="Cancelada"),Ficha!$C$10,IF(AND(AI17&lt;&gt;"",N(AI17)&gt;=100),"Completada",IF(AND(E17&gt;TODAY(),N(AI17)=0),"Por iniciar",IF(N(AI17)+0.5&lt;AH17,"Retrasada",IF(N(AI17)+0.5&lt;DA17,IF(Reprogramaciones!$K$15&gt;0,"Al día · Sem "&amp;Reprogramaciones!$K$15&amp;" en curso","Al día · en curso"),"A tiempo"))))))</f>
        <v>Completada</v>
      </c>
      <c r="AL17" s="39" t="str">
        <f aca="true">IF(AND(A17="",AND(B17="",C17="",E17="",F17="",COUNT(Q17:AF17)=0)),"",IF(AND(B17="",C17="",E17="",F17="",COUNT(Q17:AF17)=0),"Falta la partida o subpartida",IF(AND(A17&lt;&gt;"",COUNTIF($A$6:$A$305,A17)&gt;1),"Ítem repetido",IF(AND(C17="",E17="",F17="",COUNT(Q17:AF17)=0),"Título de partida",IF(OR(E17="",F17=""),"Faltan fechas",IF(OR(ISTEXT(E17),ISTEXT(F17)),"Fecha escrita como texto: usa dd/mm/aaaa",IF(F17&lt;E17,"Fin antes del inicio",IF(IF($J$2="",FALSE(),OR(E17&lt;$J$2,F17&gt;Reprogramaciones!$T$15+69)),"Fuera de las 10 semanas",IF(ABS(SUM(G17:P17)-100)&gt;0.5,"La meta no suma 100%",IF(ROUND(SUM(Q17:AF17),1)&gt;100.5,"El avance pasa de 100%",IF(MIN(Q17:AF17)&lt;0,"Avance negativo",IF(COUNTA(Q17:AF17)&gt;COUNT(Q17:AF17),"Avance escrito como texto",IF(SUMPRODUCT((Q17:AF17&gt;0)*(Q17:AF17&lt;1))&gt;0,"Avance menor a 1: escribe 50, no 50%",IF(SUMPRODUCT(ISNUMBER(Q17:AF17)*(Reprogramaciones!$K$8:$Z$8&gt;TODAY()))&gt;0,"Avance en semana que aún no llega",IF(AND(N(Reprogramaciones!$E$21)&gt;0,F17&gt;Reprogramaciones!$E$21),"Pasa el fin de la obra: registra una reprogramación",IF(AND(N(Reprogramaciones!$E$21)&gt;0,SUMPRODUCT(ISNUMBER(Q17:AF17)*(Reprogramaciones!$K$8:$Z$8&gt;Reprogramaciones!$E$21))&gt;0),"Avance después del fin de la obra: registra una reprogramación por atraso","OK"))))))))))))))))</f>
        <v>OK</v>
      </c>
      <c r="AM17" s="40" t="str">
        <f aca="false">IF(OR(OR(NOT(AND(ISNUMBER(E17),ISNUMBER(F17))),$J$2=""),1&gt;MAX(1,Reprogramaciones!$U$15)),"",IF(Reprogramaciones!K$12&gt;=7,"",IF(OR(BT17-N(0)&gt;0.05,N(Q17)&gt;0),ROUNDDOWN(ROUND(BT17,6),0)&amp;"%"&amp;IF(CJ17="",""," / "&amp;CJ17&amp;"%"),IF(AND(N(0)&gt;=99.95,CJ17&lt;&gt;"",N(CJ17)&lt;100),"Pend. "&amp;CJ17&amp;"%",""))))</f>
        <v/>
      </c>
      <c r="AN17" s="40" t="str">
        <f aca="false">IF(OR(OR(NOT(AND(ISNUMBER(E17),ISNUMBER(F17))),$J$2=""),2&gt;MAX(1,Reprogramaciones!$U$15)),"",IF(Reprogramaciones!L$12&gt;=7,"",IF(OR(BU17-N(BT17)&gt;0.05,N(R17)&gt;0),ROUNDDOWN(ROUND(BU17,6),0)&amp;"%"&amp;IF(CK17="",""," / "&amp;CK17&amp;"%"),IF(AND(N(BT17)&gt;=99.95,CK17&lt;&gt;"",N(CK17)&lt;100),"Pend. "&amp;CK17&amp;"%",""))))</f>
        <v>20% / 20%</v>
      </c>
      <c r="AO17" s="40" t="str">
        <f aca="false">IF(OR(OR(NOT(AND(ISNUMBER(E17),ISNUMBER(F17))),$J$2=""),3&gt;MAX(1,Reprogramaciones!$U$15)),"",IF(Reprogramaciones!M$12&gt;=7,"",IF(OR(BV17-N(BU17)&gt;0.05,N(S17)&gt;0),ROUNDDOWN(ROUND(BV17,6),0)&amp;"%"&amp;IF(CL17="",""," / "&amp;CL17&amp;"%"),IF(AND(N(BU17)&gt;=99.95,CL17&lt;&gt;"",N(CL17)&lt;100),"Pend. "&amp;CL17&amp;"%",""))))</f>
        <v>100% / 100%</v>
      </c>
      <c r="AP17" s="40" t="str">
        <f aca="false">IF(OR(OR(NOT(AND(ISNUMBER(E17),ISNUMBER(F17))),$J$2=""),4&gt;MAX(1,Reprogramaciones!$U$15)),"",IF(Reprogramaciones!N$12&gt;=7,"",IF(OR(BW17-N(BV17)&gt;0.05,N(T17)&gt;0),ROUNDDOWN(ROUND(BW17,6),0)&amp;"%"&amp;IF(CM17="",""," / "&amp;CM17&amp;"%"),IF(AND(N(BV17)&gt;=99.95,CM17&lt;&gt;"",N(CM17)&lt;100),"Pend. "&amp;CM17&amp;"%",""))))</f>
        <v/>
      </c>
      <c r="AQ17" s="40" t="str">
        <f aca="false">IF(OR(OR(NOT(AND(ISNUMBER(E17),ISNUMBER(F17))),$J$2=""),5&gt;MAX(1,Reprogramaciones!$U$15)),"",IF(Reprogramaciones!O$12&gt;=7,"",IF(OR(BX17-N(BW17)&gt;0.05,N(U17)&gt;0),ROUNDDOWN(ROUND(BX17,6),0)&amp;"%"&amp;IF(CN17="",""," / "&amp;CN17&amp;"%"),IF(AND(N(BW17)&gt;=99.95,CN17&lt;&gt;"",N(CN17)&lt;100),"Pend. "&amp;CN17&amp;"%",""))))</f>
        <v/>
      </c>
      <c r="AR17" s="40" t="str">
        <f aca="false">IF(OR(OR(NOT(AND(ISNUMBER(E17),ISNUMBER(F17))),$J$2=""),6&gt;MAX(1,Reprogramaciones!$U$15)),"",IF(Reprogramaciones!P$12&gt;=7,"",IF(OR(BY17-N(BX17)&gt;0.05,N(V17)&gt;0),ROUNDDOWN(ROUND(BY17,6),0)&amp;"%"&amp;IF(CO17="",""," / "&amp;CO17&amp;"%"),IF(AND(N(BX17)&gt;=99.95,CO17&lt;&gt;"",N(CO17)&lt;100),"Pend. "&amp;CO17&amp;"%",""))))</f>
        <v/>
      </c>
      <c r="AS17" s="40" t="str">
        <f aca="false">IF(OR(OR(NOT(AND(ISNUMBER(E17),ISNUMBER(F17))),$J$2=""),7&gt;MAX(1,Reprogramaciones!$U$15)),"",IF(Reprogramaciones!Q$12&gt;=7,"",IF(OR(BZ17-N(BY17)&gt;0.05,N(W17)&gt;0),ROUNDDOWN(ROUND(BZ17,6),0)&amp;"%"&amp;IF(CP17="",""," / "&amp;CP17&amp;"%"),IF(AND(N(BY17)&gt;=99.95,CP17&lt;&gt;"",N(CP17)&lt;100),"Pend. "&amp;CP17&amp;"%",""))))</f>
        <v/>
      </c>
      <c r="AT17" s="40" t="str">
        <f aca="false">IF(OR(OR(NOT(AND(ISNUMBER(E17),ISNUMBER(F17))),$J$2=""),8&gt;MAX(1,Reprogramaciones!$U$15)),"",IF(Reprogramaciones!R$12&gt;=7,"",IF(OR(CA17-N(BZ17)&gt;0.05,N(X17)&gt;0),ROUNDDOWN(ROUND(CA17,6),0)&amp;"%"&amp;IF(CQ17="",""," / "&amp;CQ17&amp;"%"),IF(AND(N(BZ17)&gt;=99.95,CQ17&lt;&gt;"",N(CQ17)&lt;100),"Pend. "&amp;CQ17&amp;"%",""))))</f>
        <v/>
      </c>
      <c r="AU17" s="40" t="str">
        <f aca="false">IF(OR(OR(NOT(AND(ISNUMBER(E17),ISNUMBER(F17))),$J$2=""),9&gt;MAX(1,Reprogramaciones!$U$15)),"",IF(Reprogramaciones!S$12&gt;=7,"",IF(OR(CB17-N(CA17)&gt;0.05,N(Y17)&gt;0),ROUNDDOWN(ROUND(CB17,6),0)&amp;"%"&amp;IF(CR17="",""," / "&amp;CR17&amp;"%"),IF(AND(N(CA17)&gt;=99.95,CR17&lt;&gt;"",N(CR17)&lt;100),"Pend. "&amp;CR17&amp;"%",""))))</f>
        <v/>
      </c>
      <c r="AV17" s="40" t="str">
        <f aca="false">IF(OR(OR(NOT(AND(ISNUMBER(E17),ISNUMBER(F17))),$J$2=""),10&gt;MAX(1,Reprogramaciones!$U$15)),"",IF(Reprogramaciones!T$12&gt;=7,"",IF(OR(CC17-N(CB17)&gt;0.05,N(Z17)&gt;0),ROUNDDOWN(ROUND(CC17,6),0)&amp;"%"&amp;IF(CS17="",""," / "&amp;CS17&amp;"%"),IF(AND(N(CB17)&gt;=99.95,CS17&lt;&gt;"",N(CS17)&lt;100),"Pend. "&amp;CS17&amp;"%",""))))</f>
        <v/>
      </c>
      <c r="AW17" s="40" t="str">
        <f aca="false">IF(OR(OR(NOT(AND(ISNUMBER(E17),ISNUMBER(F17))),$J$2=""),11&gt;MAX(1,Reprogramaciones!$U$15)),"",IF(Reprogramaciones!U$12&gt;=7,"",IF(OR(CD17-N(CC17)&gt;0.05,N(AA17)&gt;0),ROUNDDOWN(ROUND(CD17,6),0)&amp;"%"&amp;IF(CT17="",""," / "&amp;CT17&amp;"%"),IF(AND(N(CC17)&gt;=99.95,CT17&lt;&gt;"",N(CT17)&lt;100),"Pend. "&amp;CT17&amp;"%",""))))</f>
        <v/>
      </c>
      <c r="AX17" s="40" t="str">
        <f aca="false">IF(OR(OR(NOT(AND(ISNUMBER(E17),ISNUMBER(F17))),$J$2=""),12&gt;MAX(1,Reprogramaciones!$U$15)),"",IF(Reprogramaciones!V$12&gt;=7,"",IF(OR(CE17-N(CD17)&gt;0.05,N(AB17)&gt;0),ROUNDDOWN(ROUND(CE17,6),0)&amp;"%"&amp;IF(CU17="",""," / "&amp;CU17&amp;"%"),IF(AND(N(CD17)&gt;=99.95,CU17&lt;&gt;"",N(CU17)&lt;100),"Pend. "&amp;CU17&amp;"%",""))))</f>
        <v/>
      </c>
      <c r="AY17" s="40" t="str">
        <f aca="false">IF(OR(OR(NOT(AND(ISNUMBER(E17),ISNUMBER(F17))),$J$2=""),13&gt;MAX(1,Reprogramaciones!$U$15)),"",IF(Reprogramaciones!W$12&gt;=7,"",IF(OR(CF17-N(CE17)&gt;0.05,N(AC17)&gt;0),ROUNDDOWN(ROUND(CF17,6),0)&amp;"%"&amp;IF(CV17="",""," / "&amp;CV17&amp;"%"),IF(AND(N(CE17)&gt;=99.95,CV17&lt;&gt;"",N(CV17)&lt;100),"Pend. "&amp;CV17&amp;"%",""))))</f>
        <v/>
      </c>
      <c r="AZ17" s="40" t="str">
        <f aca="false">IF(OR(OR(NOT(AND(ISNUMBER(E17),ISNUMBER(F17))),$J$2=""),14&gt;MAX(1,Reprogramaciones!$U$15)),"",IF(Reprogramaciones!X$12&gt;=7,"",IF(OR(CG17-N(CF17)&gt;0.05,N(AD17)&gt;0),ROUNDDOWN(ROUND(CG17,6),0)&amp;"%"&amp;IF(CW17="",""," / "&amp;CW17&amp;"%"),IF(AND(N(CF17)&gt;=99.95,CW17&lt;&gt;"",N(CW17)&lt;100),"Pend. "&amp;CW17&amp;"%",""))))</f>
        <v/>
      </c>
      <c r="BA17" s="40" t="str">
        <f aca="false">IF(OR(OR(NOT(AND(ISNUMBER(E17),ISNUMBER(F17))),$J$2=""),15&gt;MAX(1,Reprogramaciones!$U$15)),"",IF(Reprogramaciones!Y$12&gt;=7,"",IF(OR(CH17-N(CG17)&gt;0.05,N(AE17)&gt;0),ROUNDDOWN(ROUND(CH17,6),0)&amp;"%"&amp;IF(CX17="",""," / "&amp;CX17&amp;"%"),IF(AND(N(CG17)&gt;=99.95,CX17&lt;&gt;"",N(CX17)&lt;100),"Pend. "&amp;CX17&amp;"%",""))))</f>
        <v/>
      </c>
      <c r="BB17" s="40" t="str">
        <f aca="false">IF(OR(OR(NOT(AND(ISNUMBER(E17),ISNUMBER(F17))),$J$2=""),16&gt;MAX(1,Reprogramaciones!$U$15)),"",IF(Reprogramaciones!Z$12&gt;=7,"",IF(OR(CI17-N(CH17)&gt;0.05,N(AF17)&gt;0),ROUNDDOWN(ROUND(CI17,6),0)&amp;"%"&amp;IF(CY17="",""," / "&amp;CY17&amp;"%"),IF(AND(N(CH17)&gt;=99.95,CY17&lt;&gt;"",N(CY17)&lt;100),"Pend. "&amp;CY17&amp;"%",""))))</f>
        <v/>
      </c>
      <c r="BC17" s="31" t="n">
        <f aca="false">IF(AND(ISNUMBER(E17),ISNUMBER(F17)),MAX(1,NETWORKDAYS.INTL(E17,F17,11)),0)</f>
        <v>5</v>
      </c>
      <c r="BD17" s="1" t="n">
        <f aca="false">IF(OR(NOT(AND(ISNUMBER(E17),ISNUMBER(F17))),$J$2=""),"",MIN(100,ROUND(SUM($G17:G17),1)))</f>
        <v>0</v>
      </c>
      <c r="BE17" s="1" t="n">
        <f aca="false">IF(OR(NOT(AND(ISNUMBER(E17),ISNUMBER(F17))),$J$2=""),"",MIN(100,ROUND(SUM($G17:H17),1)))</f>
        <v>20</v>
      </c>
      <c r="BF17" s="1" t="n">
        <f aca="false">IF(OR(NOT(AND(ISNUMBER(E17),ISNUMBER(F17))),$J$2=""),"",MIN(100,ROUND(SUM($G17:I17),1)))</f>
        <v>100</v>
      </c>
      <c r="BG17" s="1" t="n">
        <f aca="false">IF(OR(NOT(AND(ISNUMBER(E17),ISNUMBER(F17))),$J$2=""),"",MIN(100,ROUND(SUM($G17:J17),1)))</f>
        <v>100</v>
      </c>
      <c r="BH17" s="1" t="n">
        <f aca="false">IF(OR(NOT(AND(ISNUMBER(E17),ISNUMBER(F17))),$J$2=""),"",MIN(100,ROUND(SUM($G17:K17),1)))</f>
        <v>100</v>
      </c>
      <c r="BI17" s="1" t="n">
        <f aca="false">IF(OR(NOT(AND(ISNUMBER(E17),ISNUMBER(F17))),$J$2=""),"",MIN(100,ROUND(SUM($G17:L17),1)))</f>
        <v>100</v>
      </c>
      <c r="BJ17" s="1" t="n">
        <f aca="false">IF(OR(NOT(AND(ISNUMBER(E17),ISNUMBER(F17))),$J$2=""),"",MIN(100,ROUND(SUM($G17:M17),1)))</f>
        <v>100</v>
      </c>
      <c r="BK17" s="1" t="n">
        <f aca="false">IF(OR(NOT(AND(ISNUMBER(E17),ISNUMBER(F17))),$J$2=""),"",MIN(100,ROUND(SUM($G17:N17),1)))</f>
        <v>100</v>
      </c>
      <c r="BL17" s="1" t="n">
        <f aca="false">IF(OR(NOT(AND(ISNUMBER(E17),ISNUMBER(F17))),$J$2=""),"",MIN(100,ROUND(SUM($G17:O17),1)))</f>
        <v>100</v>
      </c>
      <c r="BM17" s="1" t="n">
        <f aca="false">IF(OR(NOT(AND(ISNUMBER(E17),ISNUMBER(F17))),$J$2=""),"",MIN(100,ROUND(SUM($G17:P17),1)))</f>
        <v>100</v>
      </c>
      <c r="BN17" s="1" t="n">
        <f aca="false">IF(OR(NOT(AND(ISNUMBER(E17),ISNUMBER(F17))),$J$2=""),"",MIN(100,ROUND(SUM($G17:P17),1)))</f>
        <v>100</v>
      </c>
      <c r="BO17" s="1" t="n">
        <f aca="false">IF(OR(NOT(AND(ISNUMBER(E17),ISNUMBER(F17))),$J$2=""),"",MIN(100,ROUND(SUM($G17:P17),1)))</f>
        <v>100</v>
      </c>
      <c r="BP17" s="1" t="n">
        <f aca="false">IF(OR(NOT(AND(ISNUMBER(E17),ISNUMBER(F17))),$J$2=""),"",MIN(100,ROUND(SUM($G17:P17),1)))</f>
        <v>100</v>
      </c>
      <c r="BQ17" s="1" t="n">
        <f aca="false">IF(OR(NOT(AND(ISNUMBER(E17),ISNUMBER(F17))),$J$2=""),"",MIN(100,ROUND(SUM($G17:P17),1)))</f>
        <v>100</v>
      </c>
      <c r="BR17" s="1" t="n">
        <f aca="false">IF(OR(NOT(AND(ISNUMBER(E17),ISNUMBER(F17))),$J$2=""),"",MIN(100,ROUND(SUM($G17:P17),1)))</f>
        <v>100</v>
      </c>
      <c r="BS17" s="1" t="n">
        <f aca="false">IF(OR(NOT(AND(ISNUMBER(E17),ISNUMBER(F17))),$J$2=""),"",MIN(100,ROUND(SUM($G17:P17),1)))</f>
        <v>100</v>
      </c>
      <c r="BT17" s="1" t="n">
        <f aca="false">IF(OR(NOT(AND(ISNUMBER(E17),ISNUMBER(F17))),$J$2=""),"",IF(Reprogramaciones!K$13&lt;Reprogramaciones!$T$15,0,IF(Reprogramaciones!K$14&gt;10,MIN(100,SUM($G17:$P17)),MIN(100,SUMPRODUCT((COLUMN($G17:$P17)-COLUMN($G17)+1&lt;Reprogramaciones!K$14)*$G17:$P17)+N(INDEX($G17:$P17,1,Reprogramaciones!K$14))*IF(Reprogramaciones!K$13&gt;=(Reprogramaciones!$T$15+7*(Reprogramaciones!K$14-1))+6,1,IF(MAX(0,NETWORKDAYS.INTL(MAX(E17,(Reprogramaciones!$T$15+7*(Reprogramaciones!K$14-1))),MIN(F17,(Reprogramaciones!$T$15+7*(Reprogramaciones!K$14-1))+6),11))=0,0,MAX(0,NETWORKDAYS.INTL(MAX(E17,(Reprogramaciones!$T$15+7*(Reprogramaciones!K$14-1))),MIN(F17,Reprogramaciones!K$13),11))/MAX(0,NETWORKDAYS.INTL(MAX(E17,(Reprogramaciones!$T$15+7*(Reprogramaciones!K$14-1))),MIN(F17,(Reprogramaciones!$T$15+7*(Reprogramaciones!K$14-1))+6),11))))))))</f>
        <v>0</v>
      </c>
      <c r="BU17" s="1" t="n">
        <f aca="false">IF(OR(NOT(AND(ISNUMBER(E17),ISNUMBER(F17))),$J$2=""),"",IF(Reprogramaciones!L$13&lt;Reprogramaciones!$T$15,0,IF(Reprogramaciones!L$14&gt;10,MIN(100,SUM($G17:$P17)),MIN(100,SUMPRODUCT((COLUMN($G17:$P17)-COLUMN($G17)+1&lt;Reprogramaciones!L$14)*$G17:$P17)+N(INDEX($G17:$P17,1,Reprogramaciones!L$14))*IF(Reprogramaciones!L$13&gt;=(Reprogramaciones!$T$15+7*(Reprogramaciones!L$14-1))+6,1,IF(MAX(0,NETWORKDAYS.INTL(MAX(E17,(Reprogramaciones!$T$15+7*(Reprogramaciones!L$14-1))),MIN(F17,(Reprogramaciones!$T$15+7*(Reprogramaciones!L$14-1))+6),11))=0,0,MAX(0,NETWORKDAYS.INTL(MAX(E17,(Reprogramaciones!$T$15+7*(Reprogramaciones!L$14-1))),MIN(F17,Reprogramaciones!L$13),11))/MAX(0,NETWORKDAYS.INTL(MAX(E17,(Reprogramaciones!$T$15+7*(Reprogramaciones!L$14-1))),MIN(F17,(Reprogramaciones!$T$15+7*(Reprogramaciones!L$14-1))+6),11))))))))</f>
        <v>20</v>
      </c>
      <c r="BV17" s="1" t="n">
        <f aca="false">IF(OR(NOT(AND(ISNUMBER(E17),ISNUMBER(F17))),$J$2=""),"",IF(Reprogramaciones!M$13&lt;Reprogramaciones!$T$15,0,IF(Reprogramaciones!M$14&gt;10,MIN(100,SUM($G17:$P17)),MIN(100,SUMPRODUCT((COLUMN($G17:$P17)-COLUMN($G17)+1&lt;Reprogramaciones!M$14)*$G17:$P17)+N(INDEX($G17:$P17,1,Reprogramaciones!M$14))*IF(Reprogramaciones!M$13&gt;=(Reprogramaciones!$T$15+7*(Reprogramaciones!M$14-1))+6,1,IF(MAX(0,NETWORKDAYS.INTL(MAX(E17,(Reprogramaciones!$T$15+7*(Reprogramaciones!M$14-1))),MIN(F17,(Reprogramaciones!$T$15+7*(Reprogramaciones!M$14-1))+6),11))=0,0,MAX(0,NETWORKDAYS.INTL(MAX(E17,(Reprogramaciones!$T$15+7*(Reprogramaciones!M$14-1))),MIN(F17,Reprogramaciones!M$13),11))/MAX(0,NETWORKDAYS.INTL(MAX(E17,(Reprogramaciones!$T$15+7*(Reprogramaciones!M$14-1))),MIN(F17,(Reprogramaciones!$T$15+7*(Reprogramaciones!M$14-1))+6),11))))))))</f>
        <v>100</v>
      </c>
      <c r="BW17" s="1" t="n">
        <f aca="false">IF(OR(NOT(AND(ISNUMBER(E17),ISNUMBER(F17))),$J$2=""),"",IF(Reprogramaciones!N$13&lt;Reprogramaciones!$T$15,0,IF(Reprogramaciones!N$14&gt;10,MIN(100,SUM($G17:$P17)),MIN(100,SUMPRODUCT((COLUMN($G17:$P17)-COLUMN($G17)+1&lt;Reprogramaciones!N$14)*$G17:$P17)+N(INDEX($G17:$P17,1,Reprogramaciones!N$14))*IF(Reprogramaciones!N$13&gt;=(Reprogramaciones!$T$15+7*(Reprogramaciones!N$14-1))+6,1,IF(MAX(0,NETWORKDAYS.INTL(MAX(E17,(Reprogramaciones!$T$15+7*(Reprogramaciones!N$14-1))),MIN(F17,(Reprogramaciones!$T$15+7*(Reprogramaciones!N$14-1))+6),11))=0,0,MAX(0,NETWORKDAYS.INTL(MAX(E17,(Reprogramaciones!$T$15+7*(Reprogramaciones!N$14-1))),MIN(F17,Reprogramaciones!N$13),11))/MAX(0,NETWORKDAYS.INTL(MAX(E17,(Reprogramaciones!$T$15+7*(Reprogramaciones!N$14-1))),MIN(F17,(Reprogramaciones!$T$15+7*(Reprogramaciones!N$14-1))+6),11))))))))</f>
        <v>100</v>
      </c>
      <c r="BX17" s="1" t="n">
        <f aca="false">IF(OR(NOT(AND(ISNUMBER(E17),ISNUMBER(F17))),$J$2=""),"",IF(Reprogramaciones!O$13&lt;Reprogramaciones!$T$15,0,IF(Reprogramaciones!O$14&gt;10,MIN(100,SUM($G17:$P17)),MIN(100,SUMPRODUCT((COLUMN($G17:$P17)-COLUMN($G17)+1&lt;Reprogramaciones!O$14)*$G17:$P17)+N(INDEX($G17:$P17,1,Reprogramaciones!O$14))*IF(Reprogramaciones!O$13&gt;=(Reprogramaciones!$T$15+7*(Reprogramaciones!O$14-1))+6,1,IF(MAX(0,NETWORKDAYS.INTL(MAX(E17,(Reprogramaciones!$T$15+7*(Reprogramaciones!O$14-1))),MIN(F17,(Reprogramaciones!$T$15+7*(Reprogramaciones!O$14-1))+6),11))=0,0,MAX(0,NETWORKDAYS.INTL(MAX(E17,(Reprogramaciones!$T$15+7*(Reprogramaciones!O$14-1))),MIN(F17,Reprogramaciones!O$13),11))/MAX(0,NETWORKDAYS.INTL(MAX(E17,(Reprogramaciones!$T$15+7*(Reprogramaciones!O$14-1))),MIN(F17,(Reprogramaciones!$T$15+7*(Reprogramaciones!O$14-1))+6),11))))))))</f>
        <v>100</v>
      </c>
      <c r="BY17" s="1" t="n">
        <f aca="false">IF(OR(NOT(AND(ISNUMBER(E17),ISNUMBER(F17))),$J$2=""),"",IF(Reprogramaciones!P$13&lt;Reprogramaciones!$T$15,0,IF(Reprogramaciones!P$14&gt;10,MIN(100,SUM($G17:$P17)),MIN(100,SUMPRODUCT((COLUMN($G17:$P17)-COLUMN($G17)+1&lt;Reprogramaciones!P$14)*$G17:$P17)+N(INDEX($G17:$P17,1,Reprogramaciones!P$14))*IF(Reprogramaciones!P$13&gt;=(Reprogramaciones!$T$15+7*(Reprogramaciones!P$14-1))+6,1,IF(MAX(0,NETWORKDAYS.INTL(MAX(E17,(Reprogramaciones!$T$15+7*(Reprogramaciones!P$14-1))),MIN(F17,(Reprogramaciones!$T$15+7*(Reprogramaciones!P$14-1))+6),11))=0,0,MAX(0,NETWORKDAYS.INTL(MAX(E17,(Reprogramaciones!$T$15+7*(Reprogramaciones!P$14-1))),MIN(F17,Reprogramaciones!P$13),11))/MAX(0,NETWORKDAYS.INTL(MAX(E17,(Reprogramaciones!$T$15+7*(Reprogramaciones!P$14-1))),MIN(F17,(Reprogramaciones!$T$15+7*(Reprogramaciones!P$14-1))+6),11))))))))</f>
        <v>100</v>
      </c>
      <c r="BZ17" s="1" t="n">
        <f aca="false">IF(OR(NOT(AND(ISNUMBER(E17),ISNUMBER(F17))),$J$2=""),"",IF(Reprogramaciones!Q$13&lt;Reprogramaciones!$T$15,0,IF(Reprogramaciones!Q$14&gt;10,MIN(100,SUM($G17:$P17)),MIN(100,SUMPRODUCT((COLUMN($G17:$P17)-COLUMN($G17)+1&lt;Reprogramaciones!Q$14)*$G17:$P17)+N(INDEX($G17:$P17,1,Reprogramaciones!Q$14))*IF(Reprogramaciones!Q$13&gt;=(Reprogramaciones!$T$15+7*(Reprogramaciones!Q$14-1))+6,1,IF(MAX(0,NETWORKDAYS.INTL(MAX(E17,(Reprogramaciones!$T$15+7*(Reprogramaciones!Q$14-1))),MIN(F17,(Reprogramaciones!$T$15+7*(Reprogramaciones!Q$14-1))+6),11))=0,0,MAX(0,NETWORKDAYS.INTL(MAX(E17,(Reprogramaciones!$T$15+7*(Reprogramaciones!Q$14-1))),MIN(F17,Reprogramaciones!Q$13),11))/MAX(0,NETWORKDAYS.INTL(MAX(E17,(Reprogramaciones!$T$15+7*(Reprogramaciones!Q$14-1))),MIN(F17,(Reprogramaciones!$T$15+7*(Reprogramaciones!Q$14-1))+6),11))))))))</f>
        <v>100</v>
      </c>
      <c r="CA17" s="1" t="n">
        <f aca="false">IF(OR(NOT(AND(ISNUMBER(E17),ISNUMBER(F17))),$J$2=""),"",IF(Reprogramaciones!R$13&lt;Reprogramaciones!$T$15,0,IF(Reprogramaciones!R$14&gt;10,MIN(100,SUM($G17:$P17)),MIN(100,SUMPRODUCT((COLUMN($G17:$P17)-COLUMN($G17)+1&lt;Reprogramaciones!R$14)*$G17:$P17)+N(INDEX($G17:$P17,1,Reprogramaciones!R$14))*IF(Reprogramaciones!R$13&gt;=(Reprogramaciones!$T$15+7*(Reprogramaciones!R$14-1))+6,1,IF(MAX(0,NETWORKDAYS.INTL(MAX(E17,(Reprogramaciones!$T$15+7*(Reprogramaciones!R$14-1))),MIN(F17,(Reprogramaciones!$T$15+7*(Reprogramaciones!R$14-1))+6),11))=0,0,MAX(0,NETWORKDAYS.INTL(MAX(E17,(Reprogramaciones!$T$15+7*(Reprogramaciones!R$14-1))),MIN(F17,Reprogramaciones!R$13),11))/MAX(0,NETWORKDAYS.INTL(MAX(E17,(Reprogramaciones!$T$15+7*(Reprogramaciones!R$14-1))),MIN(F17,(Reprogramaciones!$T$15+7*(Reprogramaciones!R$14-1))+6),11))))))))</f>
        <v>100</v>
      </c>
      <c r="CB17" s="1" t="n">
        <f aca="false">IF(OR(NOT(AND(ISNUMBER(E17),ISNUMBER(F17))),$J$2=""),"",IF(Reprogramaciones!S$13&lt;Reprogramaciones!$T$15,0,IF(Reprogramaciones!S$14&gt;10,MIN(100,SUM($G17:$P17)),MIN(100,SUMPRODUCT((COLUMN($G17:$P17)-COLUMN($G17)+1&lt;Reprogramaciones!S$14)*$G17:$P17)+N(INDEX($G17:$P17,1,Reprogramaciones!S$14))*IF(Reprogramaciones!S$13&gt;=(Reprogramaciones!$T$15+7*(Reprogramaciones!S$14-1))+6,1,IF(MAX(0,NETWORKDAYS.INTL(MAX(E17,(Reprogramaciones!$T$15+7*(Reprogramaciones!S$14-1))),MIN(F17,(Reprogramaciones!$T$15+7*(Reprogramaciones!S$14-1))+6),11))=0,0,MAX(0,NETWORKDAYS.INTL(MAX(E17,(Reprogramaciones!$T$15+7*(Reprogramaciones!S$14-1))),MIN(F17,Reprogramaciones!S$13),11))/MAX(0,NETWORKDAYS.INTL(MAX(E17,(Reprogramaciones!$T$15+7*(Reprogramaciones!S$14-1))),MIN(F17,(Reprogramaciones!$T$15+7*(Reprogramaciones!S$14-1))+6),11))))))))</f>
        <v>100</v>
      </c>
      <c r="CC17" s="1" t="n">
        <f aca="false">IF(OR(NOT(AND(ISNUMBER(E17),ISNUMBER(F17))),$J$2=""),"",IF(Reprogramaciones!T$13&lt;Reprogramaciones!$T$15,0,IF(Reprogramaciones!T$14&gt;10,MIN(100,SUM($G17:$P17)),MIN(100,SUMPRODUCT((COLUMN($G17:$P17)-COLUMN($G17)+1&lt;Reprogramaciones!T$14)*$G17:$P17)+N(INDEX($G17:$P17,1,Reprogramaciones!T$14))*IF(Reprogramaciones!T$13&gt;=(Reprogramaciones!$T$15+7*(Reprogramaciones!T$14-1))+6,1,IF(MAX(0,NETWORKDAYS.INTL(MAX(E17,(Reprogramaciones!$T$15+7*(Reprogramaciones!T$14-1))),MIN(F17,(Reprogramaciones!$T$15+7*(Reprogramaciones!T$14-1))+6),11))=0,0,MAX(0,NETWORKDAYS.INTL(MAX(E17,(Reprogramaciones!$T$15+7*(Reprogramaciones!T$14-1))),MIN(F17,Reprogramaciones!T$13),11))/MAX(0,NETWORKDAYS.INTL(MAX(E17,(Reprogramaciones!$T$15+7*(Reprogramaciones!T$14-1))),MIN(F17,(Reprogramaciones!$T$15+7*(Reprogramaciones!T$14-1))+6),11))))))))</f>
        <v>100</v>
      </c>
      <c r="CD17" s="1" t="n">
        <f aca="false">IF(OR(NOT(AND(ISNUMBER(E17),ISNUMBER(F17))),$J$2=""),"",IF(Reprogramaciones!U$13&lt;Reprogramaciones!$T$15,0,IF(Reprogramaciones!U$14&gt;10,MIN(100,SUM($G17:$P17)),MIN(100,SUMPRODUCT((COLUMN($G17:$P17)-COLUMN($G17)+1&lt;Reprogramaciones!U$14)*$G17:$P17)+N(INDEX($G17:$P17,1,Reprogramaciones!U$14))*IF(Reprogramaciones!U$13&gt;=(Reprogramaciones!$T$15+7*(Reprogramaciones!U$14-1))+6,1,IF(MAX(0,NETWORKDAYS.INTL(MAX(E17,(Reprogramaciones!$T$15+7*(Reprogramaciones!U$14-1))),MIN(F17,(Reprogramaciones!$T$15+7*(Reprogramaciones!U$14-1))+6),11))=0,0,MAX(0,NETWORKDAYS.INTL(MAX(E17,(Reprogramaciones!$T$15+7*(Reprogramaciones!U$14-1))),MIN(F17,Reprogramaciones!U$13),11))/MAX(0,NETWORKDAYS.INTL(MAX(E17,(Reprogramaciones!$T$15+7*(Reprogramaciones!U$14-1))),MIN(F17,(Reprogramaciones!$T$15+7*(Reprogramaciones!U$14-1))+6),11))))))))</f>
        <v>100</v>
      </c>
      <c r="CE17" s="1" t="n">
        <f aca="false">IF(OR(NOT(AND(ISNUMBER(E17),ISNUMBER(F17))),$J$2=""),"",IF(Reprogramaciones!V$13&lt;Reprogramaciones!$T$15,0,IF(Reprogramaciones!V$14&gt;10,MIN(100,SUM($G17:$P17)),MIN(100,SUMPRODUCT((COLUMN($G17:$P17)-COLUMN($G17)+1&lt;Reprogramaciones!V$14)*$G17:$P17)+N(INDEX($G17:$P17,1,Reprogramaciones!V$14))*IF(Reprogramaciones!V$13&gt;=(Reprogramaciones!$T$15+7*(Reprogramaciones!V$14-1))+6,1,IF(MAX(0,NETWORKDAYS.INTL(MAX(E17,(Reprogramaciones!$T$15+7*(Reprogramaciones!V$14-1))),MIN(F17,(Reprogramaciones!$T$15+7*(Reprogramaciones!V$14-1))+6),11))=0,0,MAX(0,NETWORKDAYS.INTL(MAX(E17,(Reprogramaciones!$T$15+7*(Reprogramaciones!V$14-1))),MIN(F17,Reprogramaciones!V$13),11))/MAX(0,NETWORKDAYS.INTL(MAX(E17,(Reprogramaciones!$T$15+7*(Reprogramaciones!V$14-1))),MIN(F17,(Reprogramaciones!$T$15+7*(Reprogramaciones!V$14-1))+6),11))))))))</f>
        <v>100</v>
      </c>
      <c r="CF17" s="1" t="n">
        <f aca="false">IF(OR(NOT(AND(ISNUMBER(E17),ISNUMBER(F17))),$J$2=""),"",IF(Reprogramaciones!W$13&lt;Reprogramaciones!$T$15,0,IF(Reprogramaciones!W$14&gt;10,MIN(100,SUM($G17:$P17)),MIN(100,SUMPRODUCT((COLUMN($G17:$P17)-COLUMN($G17)+1&lt;Reprogramaciones!W$14)*$G17:$P17)+N(INDEX($G17:$P17,1,Reprogramaciones!W$14))*IF(Reprogramaciones!W$13&gt;=(Reprogramaciones!$T$15+7*(Reprogramaciones!W$14-1))+6,1,IF(MAX(0,NETWORKDAYS.INTL(MAX(E17,(Reprogramaciones!$T$15+7*(Reprogramaciones!W$14-1))),MIN(F17,(Reprogramaciones!$T$15+7*(Reprogramaciones!W$14-1))+6),11))=0,0,MAX(0,NETWORKDAYS.INTL(MAX(E17,(Reprogramaciones!$T$15+7*(Reprogramaciones!W$14-1))),MIN(F17,Reprogramaciones!W$13),11))/MAX(0,NETWORKDAYS.INTL(MAX(E17,(Reprogramaciones!$T$15+7*(Reprogramaciones!W$14-1))),MIN(F17,(Reprogramaciones!$T$15+7*(Reprogramaciones!W$14-1))+6),11))))))))</f>
        <v>100</v>
      </c>
      <c r="CG17" s="1" t="n">
        <f aca="false">IF(OR(NOT(AND(ISNUMBER(E17),ISNUMBER(F17))),$J$2=""),"",IF(Reprogramaciones!X$13&lt;Reprogramaciones!$T$15,0,IF(Reprogramaciones!X$14&gt;10,MIN(100,SUM($G17:$P17)),MIN(100,SUMPRODUCT((COLUMN($G17:$P17)-COLUMN($G17)+1&lt;Reprogramaciones!X$14)*$G17:$P17)+N(INDEX($G17:$P17,1,Reprogramaciones!X$14))*IF(Reprogramaciones!X$13&gt;=(Reprogramaciones!$T$15+7*(Reprogramaciones!X$14-1))+6,1,IF(MAX(0,NETWORKDAYS.INTL(MAX(E17,(Reprogramaciones!$T$15+7*(Reprogramaciones!X$14-1))),MIN(F17,(Reprogramaciones!$T$15+7*(Reprogramaciones!X$14-1))+6),11))=0,0,MAX(0,NETWORKDAYS.INTL(MAX(E17,(Reprogramaciones!$T$15+7*(Reprogramaciones!X$14-1))),MIN(F17,Reprogramaciones!X$13),11))/MAX(0,NETWORKDAYS.INTL(MAX(E17,(Reprogramaciones!$T$15+7*(Reprogramaciones!X$14-1))),MIN(F17,(Reprogramaciones!$T$15+7*(Reprogramaciones!X$14-1))+6),11))))))))</f>
        <v>100</v>
      </c>
      <c r="CH17" s="1" t="n">
        <f aca="false">IF(OR(NOT(AND(ISNUMBER(E17),ISNUMBER(F17))),$J$2=""),"",IF(Reprogramaciones!Y$13&lt;Reprogramaciones!$T$15,0,IF(Reprogramaciones!Y$14&gt;10,MIN(100,SUM($G17:$P17)),MIN(100,SUMPRODUCT((COLUMN($G17:$P17)-COLUMN($G17)+1&lt;Reprogramaciones!Y$14)*$G17:$P17)+N(INDEX($G17:$P17,1,Reprogramaciones!Y$14))*IF(Reprogramaciones!Y$13&gt;=(Reprogramaciones!$T$15+7*(Reprogramaciones!Y$14-1))+6,1,IF(MAX(0,NETWORKDAYS.INTL(MAX(E17,(Reprogramaciones!$T$15+7*(Reprogramaciones!Y$14-1))),MIN(F17,(Reprogramaciones!$T$15+7*(Reprogramaciones!Y$14-1))+6),11))=0,0,MAX(0,NETWORKDAYS.INTL(MAX(E17,(Reprogramaciones!$T$15+7*(Reprogramaciones!Y$14-1))),MIN(F17,Reprogramaciones!Y$13),11))/MAX(0,NETWORKDAYS.INTL(MAX(E17,(Reprogramaciones!$T$15+7*(Reprogramaciones!Y$14-1))),MIN(F17,(Reprogramaciones!$T$15+7*(Reprogramaciones!Y$14-1))+6),11))))))))</f>
        <v>100</v>
      </c>
      <c r="CI17" s="1" t="n">
        <f aca="false">IF(OR(NOT(AND(ISNUMBER(E17),ISNUMBER(F17))),$J$2=""),"",IF(Reprogramaciones!Z$13&lt;Reprogramaciones!$T$15,0,IF(Reprogramaciones!Z$14&gt;10,MIN(100,SUM($G17:$P17)),MIN(100,SUMPRODUCT((COLUMN($G17:$P17)-COLUMN($G17)+1&lt;Reprogramaciones!Z$14)*$G17:$P17)+N(INDEX($G17:$P17,1,Reprogramaciones!Z$14))*IF(Reprogramaciones!Z$13&gt;=(Reprogramaciones!$T$15+7*(Reprogramaciones!Z$14-1))+6,1,IF(MAX(0,NETWORKDAYS.INTL(MAX(E17,(Reprogramaciones!$T$15+7*(Reprogramaciones!Z$14-1))),MIN(F17,(Reprogramaciones!$T$15+7*(Reprogramaciones!Z$14-1))+6),11))=0,0,MAX(0,NETWORKDAYS.INTL(MAX(E17,(Reprogramaciones!$T$15+7*(Reprogramaciones!Z$14-1))),MIN(F17,Reprogramaciones!Z$13),11))/MAX(0,NETWORKDAYS.INTL(MAX(E17,(Reprogramaciones!$T$15+7*(Reprogramaciones!Z$14-1))),MIN(F17,(Reprogramaciones!$T$15+7*(Reprogramaciones!Z$14-1))+6),11))))))))</f>
        <v>100</v>
      </c>
      <c r="CJ17" s="1" t="n">
        <f aca="false">IF(OR(OR(NOT(AND(ISNUMBER(E17),ISNUMBER(F17))),$J$2=""),1&gt;Reprogramaciones!$K$16),"",IF(ROUND(SUM($Q17:Q17),1)&gt;=99.5,100,MIN(100,ROUND(SUM($Q17:Q17),1))))</f>
        <v>0</v>
      </c>
      <c r="CK17" s="1" t="n">
        <f aca="false">IF(OR(OR(NOT(AND(ISNUMBER(E17),ISNUMBER(F17))),$J$2=""),2&gt;Reprogramaciones!$K$16),"",IF(ROUND(SUM($Q17:R17),1)&gt;=99.5,100,MIN(100,ROUND(SUM($Q17:R17),1))))</f>
        <v>20</v>
      </c>
      <c r="CL17" s="1" t="n">
        <f aca="false">IF(OR(OR(NOT(AND(ISNUMBER(E17),ISNUMBER(F17))),$J$2=""),3&gt;Reprogramaciones!$K$16),"",IF(ROUND(SUM($Q17:S17),1)&gt;=99.5,100,MIN(100,ROUND(SUM($Q17:S17),1))))</f>
        <v>100</v>
      </c>
      <c r="CM17" s="1" t="n">
        <f aca="false">IF(OR(OR(NOT(AND(ISNUMBER(E17),ISNUMBER(F17))),$J$2=""),4&gt;Reprogramaciones!$K$16),"",IF(ROUND(SUM($Q17:T17),1)&gt;=99.5,100,MIN(100,ROUND(SUM($Q17:T17),1))))</f>
        <v>100</v>
      </c>
      <c r="CN17" s="1" t="n">
        <f aca="false">IF(OR(OR(NOT(AND(ISNUMBER(E17),ISNUMBER(F17))),$J$2=""),5&gt;Reprogramaciones!$K$16),"",IF(ROUND(SUM($Q17:U17),1)&gt;=99.5,100,MIN(100,ROUND(SUM($Q17:U17),1))))</f>
        <v>100</v>
      </c>
      <c r="CO17" s="1" t="str">
        <f aca="false">IF(OR(OR(NOT(AND(ISNUMBER(E17),ISNUMBER(F17))),$J$2=""),6&gt;Reprogramaciones!$K$16),"",IF(ROUND(SUM($Q17:V17),1)&gt;=99.5,100,MIN(100,ROUND(SUM($Q17:V17),1))))</f>
        <v/>
      </c>
      <c r="CP17" s="1" t="str">
        <f aca="false">IF(OR(OR(NOT(AND(ISNUMBER(E17),ISNUMBER(F17))),$J$2=""),7&gt;Reprogramaciones!$K$16),"",IF(ROUND(SUM($Q17:W17),1)&gt;=99.5,100,MIN(100,ROUND(SUM($Q17:W17),1))))</f>
        <v/>
      </c>
      <c r="CQ17" s="1" t="str">
        <f aca="false">IF(OR(OR(NOT(AND(ISNUMBER(E17),ISNUMBER(F17))),$J$2=""),8&gt;Reprogramaciones!$K$16),"",IF(ROUND(SUM($Q17:X17),1)&gt;=99.5,100,MIN(100,ROUND(SUM($Q17:X17),1))))</f>
        <v/>
      </c>
      <c r="CR17" s="1" t="str">
        <f aca="false">IF(OR(OR(NOT(AND(ISNUMBER(E17),ISNUMBER(F17))),$J$2=""),9&gt;Reprogramaciones!$K$16),"",IF(ROUND(SUM($Q17:Y17),1)&gt;=99.5,100,MIN(100,ROUND(SUM($Q17:Y17),1))))</f>
        <v/>
      </c>
      <c r="CS17" s="1" t="str">
        <f aca="false">IF(OR(OR(NOT(AND(ISNUMBER(E17),ISNUMBER(F17))),$J$2=""),10&gt;Reprogramaciones!$K$16),"",IF(ROUND(SUM($Q17:Z17),1)&gt;=99.5,100,MIN(100,ROUND(SUM($Q17:Z17),1))))</f>
        <v/>
      </c>
      <c r="CT17" s="1" t="str">
        <f aca="false">IF(OR(OR(NOT(AND(ISNUMBER(E17),ISNUMBER(F17))),$J$2=""),11&gt;Reprogramaciones!$K$16),"",IF(ROUND(SUM($Q17:AA17),1)&gt;=99.5,100,MIN(100,ROUND(SUM($Q17:AA17),1))))</f>
        <v/>
      </c>
      <c r="CU17" s="1" t="str">
        <f aca="false">IF(OR(OR(NOT(AND(ISNUMBER(E17),ISNUMBER(F17))),$J$2=""),12&gt;Reprogramaciones!$K$16),"",IF(ROUND(SUM($Q17:AB17),1)&gt;=99.5,100,MIN(100,ROUND(SUM($Q17:AB17),1))))</f>
        <v/>
      </c>
      <c r="CV17" s="1" t="str">
        <f aca="false">IF(OR(OR(NOT(AND(ISNUMBER(E17),ISNUMBER(F17))),$J$2=""),13&gt;Reprogramaciones!$K$16),"",IF(ROUND(SUM($Q17:AC17),1)&gt;=99.5,100,MIN(100,ROUND(SUM($Q17:AC17),1))))</f>
        <v/>
      </c>
      <c r="CW17" s="1" t="str">
        <f aca="false">IF(OR(OR(NOT(AND(ISNUMBER(E17),ISNUMBER(F17))),$J$2=""),14&gt;Reprogramaciones!$K$16),"",IF(ROUND(SUM($Q17:AD17),1)&gt;=99.5,100,MIN(100,ROUND(SUM($Q17:AD17),1))))</f>
        <v/>
      </c>
      <c r="CX17" s="1" t="str">
        <f aca="false">IF(OR(OR(NOT(AND(ISNUMBER(E17),ISNUMBER(F17))),$J$2=""),15&gt;Reprogramaciones!$K$16),"",IF(ROUND(SUM($Q17:AE17),1)&gt;=99.5,100,MIN(100,ROUND(SUM($Q17:AE17),1))))</f>
        <v/>
      </c>
      <c r="CY17" s="1" t="str">
        <f aca="false">IF(OR(OR(NOT(AND(ISNUMBER(E17),ISNUMBER(F17))),$J$2=""),16&gt;Reprogramaciones!$K$16),"",IF(ROUND(SUM($Q17:AF17),1)&gt;=99.5,100,MIN(100,ROUND(SUM($Q17:AF17),1))))</f>
        <v/>
      </c>
      <c r="CZ17" s="1" t="str">
        <f aca="false">IF(D17&lt;&gt;"",D17,IF(B17&lt;&gt;"","Contractual",CZ16))</f>
        <v>Contractual</v>
      </c>
      <c r="DA17" s="1" t="n">
        <f aca="false">IF(OR(NOT(AND(ISNUMBER(E17),ISNUMBER(F17))),$J$2=""),"",IF(Reprogramaciones!$Q$15&lt;Reprogramaciones!$T$15,0,IF(Reprogramaciones!$S$15&gt;10,MIN(100,SUM($G17:$P17)),MIN(100,SUMPRODUCT((COLUMN($G17:$P17)-COLUMN($G17)+1&lt;Reprogramaciones!$S$15)*$G17:$P17)+N(INDEX($G17:$P17,1,Reprogramaciones!$S$15))*IF(Reprogramaciones!$Q$15&gt;=(Reprogramaciones!$T$15+7*(Reprogramaciones!$S$15-1))+6,1,IF(MAX(0,NETWORKDAYS.INTL(MAX(E17,(Reprogramaciones!$T$15+7*(Reprogramaciones!$S$15-1))),MIN(F17,(Reprogramaciones!$T$15+7*(Reprogramaciones!$S$15-1))+6),11))=0,0,MAX(0,NETWORKDAYS.INTL(MAX(E17,(Reprogramaciones!$T$15+7*(Reprogramaciones!$S$15-1))),MIN(F17,Reprogramaciones!$Q$15),11))/MAX(0,NETWORKDAYS.INTL(MAX(E17,(Reprogramaciones!$T$15+7*(Reprogramaciones!$S$15-1))),MIN(F17,(Reprogramaciones!$T$15+7*(Reprogramaciones!$S$15-1))+6),11))))))))</f>
        <v>100</v>
      </c>
    </row>
    <row r="18" customFormat="false" ht="15" hidden="false" customHeight="false" outlineLevel="0" collapsed="false">
      <c r="A18" s="32" t="s">
        <v>177</v>
      </c>
      <c r="B18" s="33" t="s">
        <v>178</v>
      </c>
      <c r="C18" s="33"/>
      <c r="D18" s="34"/>
      <c r="E18" s="35"/>
      <c r="F18" s="35"/>
      <c r="G18" s="36" t="str">
        <f aca="false">IF(OR(NOT(AND(ISNUMBER(E18),ISNUMBER(F18))),$J$2=""),"",IF(Reprogramaciones!K$9&lt;E18,0,IF(NETWORKDAYS.INTL(E18,F18,11)=0,IF(Reprogramaciones!K$9&gt;=F18,100,0),ROUND(NETWORKDAYS.INTL(E18,MIN(F18,Reprogramaciones!K$9),11)/NETWORKDAYS.INTL(E18,F18,11)*100,1)))-0)</f>
        <v/>
      </c>
      <c r="H18" s="36" t="str">
        <f aca="false">IF(OR(NOT(AND(ISNUMBER(E18),ISNUMBER(F18))),$J$2=""),"",IF(Reprogramaciones!L$9&lt;E18,0,IF(NETWORKDAYS.INTL(E18,F18,11)=0,IF(Reprogramaciones!L$9&gt;=F18,100,0),ROUND(NETWORKDAYS.INTL(E18,MIN(F18,Reprogramaciones!L$9),11)/NETWORKDAYS.INTL(E18,F18,11)*100,1)))-IF(Reprogramaciones!K$9&lt;E18,0,IF(NETWORKDAYS.INTL(E18,F18,11)=0,IF(Reprogramaciones!K$9&gt;=F18,100,0),ROUND(NETWORKDAYS.INTL(E18,MIN(F18,Reprogramaciones!K$9),11)/NETWORKDAYS.INTL(E18,F18,11)*100,1))))</f>
        <v/>
      </c>
      <c r="I18" s="36" t="str">
        <f aca="false">IF(OR(NOT(AND(ISNUMBER(E18),ISNUMBER(F18))),$J$2=""),"",IF(Reprogramaciones!M$9&lt;E18,0,IF(NETWORKDAYS.INTL(E18,F18,11)=0,IF(Reprogramaciones!M$9&gt;=F18,100,0),ROUND(NETWORKDAYS.INTL(E18,MIN(F18,Reprogramaciones!M$9),11)/NETWORKDAYS.INTL(E18,F18,11)*100,1)))-IF(Reprogramaciones!L$9&lt;E18,0,IF(NETWORKDAYS.INTL(E18,F18,11)=0,IF(Reprogramaciones!L$9&gt;=F18,100,0),ROUND(NETWORKDAYS.INTL(E18,MIN(F18,Reprogramaciones!L$9),11)/NETWORKDAYS.INTL(E18,F18,11)*100,1))))</f>
        <v/>
      </c>
      <c r="J18" s="36" t="str">
        <f aca="false">IF(OR(NOT(AND(ISNUMBER(E18),ISNUMBER(F18))),$J$2=""),"",IF(Reprogramaciones!N$9&lt;E18,0,IF(NETWORKDAYS.INTL(E18,F18,11)=0,IF(Reprogramaciones!N$9&gt;=F18,100,0),ROUND(NETWORKDAYS.INTL(E18,MIN(F18,Reprogramaciones!N$9),11)/NETWORKDAYS.INTL(E18,F18,11)*100,1)))-IF(Reprogramaciones!M$9&lt;E18,0,IF(NETWORKDAYS.INTL(E18,F18,11)=0,IF(Reprogramaciones!M$9&gt;=F18,100,0),ROUND(NETWORKDAYS.INTL(E18,MIN(F18,Reprogramaciones!M$9),11)/NETWORKDAYS.INTL(E18,F18,11)*100,1))))</f>
        <v/>
      </c>
      <c r="K18" s="36" t="str">
        <f aca="false">IF(OR(NOT(AND(ISNUMBER(E18),ISNUMBER(F18))),$J$2=""),"",IF(Reprogramaciones!O$9&lt;E18,0,IF(NETWORKDAYS.INTL(E18,F18,11)=0,IF(Reprogramaciones!O$9&gt;=F18,100,0),ROUND(NETWORKDAYS.INTL(E18,MIN(F18,Reprogramaciones!O$9),11)/NETWORKDAYS.INTL(E18,F18,11)*100,1)))-IF(Reprogramaciones!N$9&lt;E18,0,IF(NETWORKDAYS.INTL(E18,F18,11)=0,IF(Reprogramaciones!N$9&gt;=F18,100,0),ROUND(NETWORKDAYS.INTL(E18,MIN(F18,Reprogramaciones!N$9),11)/NETWORKDAYS.INTL(E18,F18,11)*100,1))))</f>
        <v/>
      </c>
      <c r="L18" s="36" t="str">
        <f aca="false">IF(OR(NOT(AND(ISNUMBER(E18),ISNUMBER(F18))),$J$2=""),"",IF(Reprogramaciones!P$9&lt;E18,0,IF(NETWORKDAYS.INTL(E18,F18,11)=0,IF(Reprogramaciones!P$9&gt;=F18,100,0),ROUND(NETWORKDAYS.INTL(E18,MIN(F18,Reprogramaciones!P$9),11)/NETWORKDAYS.INTL(E18,F18,11)*100,1)))-IF(Reprogramaciones!O$9&lt;E18,0,IF(NETWORKDAYS.INTL(E18,F18,11)=0,IF(Reprogramaciones!O$9&gt;=F18,100,0),ROUND(NETWORKDAYS.INTL(E18,MIN(F18,Reprogramaciones!O$9),11)/NETWORKDAYS.INTL(E18,F18,11)*100,1))))</f>
        <v/>
      </c>
      <c r="M18" s="36" t="str">
        <f aca="false">IF(OR(NOT(AND(ISNUMBER(E18),ISNUMBER(F18))),$J$2=""),"",IF(Reprogramaciones!Q$9&lt;E18,0,IF(NETWORKDAYS.INTL(E18,F18,11)=0,IF(Reprogramaciones!Q$9&gt;=F18,100,0),ROUND(NETWORKDAYS.INTL(E18,MIN(F18,Reprogramaciones!Q$9),11)/NETWORKDAYS.INTL(E18,F18,11)*100,1)))-IF(Reprogramaciones!P$9&lt;E18,0,IF(NETWORKDAYS.INTL(E18,F18,11)=0,IF(Reprogramaciones!P$9&gt;=F18,100,0),ROUND(NETWORKDAYS.INTL(E18,MIN(F18,Reprogramaciones!P$9),11)/NETWORKDAYS.INTL(E18,F18,11)*100,1))))</f>
        <v/>
      </c>
      <c r="N18" s="36" t="str">
        <f aca="false">IF(OR(NOT(AND(ISNUMBER(E18),ISNUMBER(F18))),$J$2=""),"",IF(Reprogramaciones!R$9&lt;E18,0,IF(NETWORKDAYS.INTL(E18,F18,11)=0,IF(Reprogramaciones!R$9&gt;=F18,100,0),ROUND(NETWORKDAYS.INTL(E18,MIN(F18,Reprogramaciones!R$9),11)/NETWORKDAYS.INTL(E18,F18,11)*100,1)))-IF(Reprogramaciones!Q$9&lt;E18,0,IF(NETWORKDAYS.INTL(E18,F18,11)=0,IF(Reprogramaciones!Q$9&gt;=F18,100,0),ROUND(NETWORKDAYS.INTL(E18,MIN(F18,Reprogramaciones!Q$9),11)/NETWORKDAYS.INTL(E18,F18,11)*100,1))))</f>
        <v/>
      </c>
      <c r="O18" s="36" t="str">
        <f aca="false">IF(OR(NOT(AND(ISNUMBER(E18),ISNUMBER(F18))),$J$2=""),"",IF(Reprogramaciones!S$9&lt;E18,0,IF(NETWORKDAYS.INTL(E18,F18,11)=0,IF(Reprogramaciones!S$9&gt;=F18,100,0),ROUND(NETWORKDAYS.INTL(E18,MIN(F18,Reprogramaciones!S$9),11)/NETWORKDAYS.INTL(E18,F18,11)*100,1)))-IF(Reprogramaciones!R$9&lt;E18,0,IF(NETWORKDAYS.INTL(E18,F18,11)=0,IF(Reprogramaciones!R$9&gt;=F18,100,0),ROUND(NETWORKDAYS.INTL(E18,MIN(F18,Reprogramaciones!R$9),11)/NETWORKDAYS.INTL(E18,F18,11)*100,1))))</f>
        <v/>
      </c>
      <c r="P18" s="36" t="str">
        <f aca="false">IF(OR(NOT(AND(ISNUMBER(E18),ISNUMBER(F18))),$J$2=""),"",IF(Reprogramaciones!T$9&lt;E18,0,IF(NETWORKDAYS.INTL(E18,F18,11)=0,IF(Reprogramaciones!T$9&gt;=F18,100,0),ROUND(NETWORKDAYS.INTL(E18,MIN(F18,Reprogramaciones!T$9),11)/NETWORKDAYS.INTL(E18,F18,11)*100,1)))-IF(Reprogramaciones!S$9&lt;E18,0,IF(NETWORKDAYS.INTL(E18,F18,11)=0,IF(Reprogramaciones!S$9&gt;=F18,100,0),ROUND(NETWORKDAYS.INTL(E18,MIN(F18,Reprogramaciones!S$9),11)/NETWORKDAYS.INTL(E18,F18,11)*100,1))))</f>
        <v/>
      </c>
      <c r="Q18" s="37"/>
      <c r="R18" s="37"/>
      <c r="S18" s="37"/>
      <c r="T18" s="37"/>
      <c r="U18" s="37"/>
      <c r="V18" s="37"/>
      <c r="W18" s="37"/>
      <c r="X18" s="37"/>
      <c r="Y18" s="37"/>
      <c r="Z18" s="37"/>
      <c r="AA18" s="37"/>
      <c r="AB18" s="37"/>
      <c r="AC18" s="37"/>
      <c r="AD18" s="37"/>
      <c r="AE18" s="37"/>
      <c r="AF18" s="37"/>
      <c r="AG18" s="38" t="str">
        <f aca="false">IF(AND(ISNUMBER(E18),ISNUMBER(F18)),NETWORKDAYS.INTL(E18,F18,11),"")</f>
        <v/>
      </c>
      <c r="AH18" s="38" t="str">
        <f aca="false">IF(OR(NOT(AND(ISNUMBER(E18),ISNUMBER(F18))),$J$2=""),"",IF(Reprogramaciones!$P$15&lt;Reprogramaciones!$T$15,0,IF(Reprogramaciones!$R$15&gt;10,MIN(100,SUM($G18:$P18)),MIN(100,SUMPRODUCT((COLUMN($G18:$P18)-COLUMN($G18)+1&lt;Reprogramaciones!$R$15)*$G18:$P18)+N(INDEX($G18:$P18,1,Reprogramaciones!$R$15))*IF(Reprogramaciones!$P$15&gt;=(Reprogramaciones!$T$15+7*(Reprogramaciones!$R$15-1))+6,1,IF(MAX(0,NETWORKDAYS.INTL(MAX(E18,(Reprogramaciones!$T$15+7*(Reprogramaciones!$R$15-1))),MIN(F18,(Reprogramaciones!$T$15+7*(Reprogramaciones!$R$15-1))+6),11))=0,0,MAX(0,NETWORKDAYS.INTL(MAX(E18,(Reprogramaciones!$T$15+7*(Reprogramaciones!$R$15-1))),MIN(F18,Reprogramaciones!$P$15),11))/MAX(0,NETWORKDAYS.INTL(MAX(E18,(Reprogramaciones!$T$15+7*(Reprogramaciones!$R$15-1))),MIN(F18,(Reprogramaciones!$T$15+7*(Reprogramaciones!$R$15-1))+6),11))))))))</f>
        <v/>
      </c>
      <c r="AI18" s="38" t="str">
        <f aca="false">IF(COUNT($Q18:$AF18)=0,"",IF(ROUND(SUM($Q18:$AF18),1)&gt;=99.5,100,MIN(100,ROUND(SUM($Q18:$AF18),1))))</f>
        <v/>
      </c>
      <c r="AJ18" s="38" t="str">
        <f aca="false">IF(OR(AH18="",AI18=""),"",AI18-AH18)</f>
        <v/>
      </c>
      <c r="AK18" s="39" t="str">
        <f aca="true">IF(AH18="","",IF(OR(Ficha!$C$10="Suspendida",Ficha!$C$10="Cancelada"),Ficha!$C$10,IF(AND(AI18&lt;&gt;"",N(AI18)&gt;=100),"Completada",IF(AND(E18&gt;TODAY(),N(AI18)=0),"Por iniciar",IF(N(AI18)+0.5&lt;AH18,"Retrasada",IF(N(AI18)+0.5&lt;DA18,IF(Reprogramaciones!$K$15&gt;0,"Al día · Sem "&amp;Reprogramaciones!$K$15&amp;" en curso","Al día · en curso"),"A tiempo"))))))</f>
        <v/>
      </c>
      <c r="AL18" s="39" t="str">
        <f aca="true">IF(AND(A18="",AND(B18="",C18="",E18="",F18="",COUNT(Q18:AF18)=0)),"",IF(AND(B18="",C18="",E18="",F18="",COUNT(Q18:AF18)=0),"Falta la partida o subpartida",IF(AND(A18&lt;&gt;"",COUNTIF($A$6:$A$305,A18)&gt;1),"Ítem repetido",IF(AND(C18="",E18="",F18="",COUNT(Q18:AF18)=0),"Título de partida",IF(OR(E18="",F18=""),"Faltan fechas",IF(OR(ISTEXT(E18),ISTEXT(F18)),"Fecha escrita como texto: usa dd/mm/aaaa",IF(F18&lt;E18,"Fin antes del inicio",IF(IF($J$2="",FALSE(),OR(E18&lt;$J$2,F18&gt;Reprogramaciones!$T$15+69)),"Fuera de las 10 semanas",IF(ABS(SUM(G18:P18)-100)&gt;0.5,"La meta no suma 100%",IF(ROUND(SUM(Q18:AF18),1)&gt;100.5,"El avance pasa de 100%",IF(MIN(Q18:AF18)&lt;0,"Avance negativo",IF(COUNTA(Q18:AF18)&gt;COUNT(Q18:AF18),"Avance escrito como texto",IF(SUMPRODUCT((Q18:AF18&gt;0)*(Q18:AF18&lt;1))&gt;0,"Avance menor a 1: escribe 50, no 50%",IF(SUMPRODUCT(ISNUMBER(Q18:AF18)*(Reprogramaciones!$K$8:$Z$8&gt;TODAY()))&gt;0,"Avance en semana que aún no llega",IF(AND(N(Reprogramaciones!$E$21)&gt;0,F18&gt;Reprogramaciones!$E$21),"Pasa el fin de la obra: registra una reprogramación",IF(AND(N(Reprogramaciones!$E$21)&gt;0,SUMPRODUCT(ISNUMBER(Q18:AF18)*(Reprogramaciones!$K$8:$Z$8&gt;Reprogramaciones!$E$21))&gt;0),"Avance después del fin de la obra: registra una reprogramación por atraso","OK"))))))))))))))))</f>
        <v>Título de partida</v>
      </c>
      <c r="AM18" s="40" t="str">
        <f aca="false">IF(OR(OR(NOT(AND(ISNUMBER(E18),ISNUMBER(F18))),$J$2=""),1&gt;MAX(1,Reprogramaciones!$U$15)),"",IF(Reprogramaciones!K$12&gt;=7,"",IF(OR(BT18-N(0)&gt;0.05,N(Q18)&gt;0),ROUNDDOWN(ROUND(BT18,6),0)&amp;"%"&amp;IF(CJ18="",""," / "&amp;CJ18&amp;"%"),IF(AND(N(0)&gt;=99.95,CJ18&lt;&gt;"",N(CJ18)&lt;100),"Pend. "&amp;CJ18&amp;"%",""))))</f>
        <v/>
      </c>
      <c r="AN18" s="40" t="str">
        <f aca="false">IF(OR(OR(NOT(AND(ISNUMBER(E18),ISNUMBER(F18))),$J$2=""),2&gt;MAX(1,Reprogramaciones!$U$15)),"",IF(Reprogramaciones!L$12&gt;=7,"",IF(OR(BU18-N(BT18)&gt;0.05,N(R18)&gt;0),ROUNDDOWN(ROUND(BU18,6),0)&amp;"%"&amp;IF(CK18="",""," / "&amp;CK18&amp;"%"),IF(AND(N(BT18)&gt;=99.95,CK18&lt;&gt;"",N(CK18)&lt;100),"Pend. "&amp;CK18&amp;"%",""))))</f>
        <v/>
      </c>
      <c r="AO18" s="40" t="str">
        <f aca="false">IF(OR(OR(NOT(AND(ISNUMBER(E18),ISNUMBER(F18))),$J$2=""),3&gt;MAX(1,Reprogramaciones!$U$15)),"",IF(Reprogramaciones!M$12&gt;=7,"",IF(OR(BV18-N(BU18)&gt;0.05,N(S18)&gt;0),ROUNDDOWN(ROUND(BV18,6),0)&amp;"%"&amp;IF(CL18="",""," / "&amp;CL18&amp;"%"),IF(AND(N(BU18)&gt;=99.95,CL18&lt;&gt;"",N(CL18)&lt;100),"Pend. "&amp;CL18&amp;"%",""))))</f>
        <v/>
      </c>
      <c r="AP18" s="40" t="str">
        <f aca="false">IF(OR(OR(NOT(AND(ISNUMBER(E18),ISNUMBER(F18))),$J$2=""),4&gt;MAX(1,Reprogramaciones!$U$15)),"",IF(Reprogramaciones!N$12&gt;=7,"",IF(OR(BW18-N(BV18)&gt;0.05,N(T18)&gt;0),ROUNDDOWN(ROUND(BW18,6),0)&amp;"%"&amp;IF(CM18="",""," / "&amp;CM18&amp;"%"),IF(AND(N(BV18)&gt;=99.95,CM18&lt;&gt;"",N(CM18)&lt;100),"Pend. "&amp;CM18&amp;"%",""))))</f>
        <v/>
      </c>
      <c r="AQ18" s="40" t="str">
        <f aca="false">IF(OR(OR(NOT(AND(ISNUMBER(E18),ISNUMBER(F18))),$J$2=""),5&gt;MAX(1,Reprogramaciones!$U$15)),"",IF(Reprogramaciones!O$12&gt;=7,"",IF(OR(BX18-N(BW18)&gt;0.05,N(U18)&gt;0),ROUNDDOWN(ROUND(BX18,6),0)&amp;"%"&amp;IF(CN18="",""," / "&amp;CN18&amp;"%"),IF(AND(N(BW18)&gt;=99.95,CN18&lt;&gt;"",N(CN18)&lt;100),"Pend. "&amp;CN18&amp;"%",""))))</f>
        <v/>
      </c>
      <c r="AR18" s="40" t="str">
        <f aca="false">IF(OR(OR(NOT(AND(ISNUMBER(E18),ISNUMBER(F18))),$J$2=""),6&gt;MAX(1,Reprogramaciones!$U$15)),"",IF(Reprogramaciones!P$12&gt;=7,"",IF(OR(BY18-N(BX18)&gt;0.05,N(V18)&gt;0),ROUNDDOWN(ROUND(BY18,6),0)&amp;"%"&amp;IF(CO18="",""," / "&amp;CO18&amp;"%"),IF(AND(N(BX18)&gt;=99.95,CO18&lt;&gt;"",N(CO18)&lt;100),"Pend. "&amp;CO18&amp;"%",""))))</f>
        <v/>
      </c>
      <c r="AS18" s="40" t="str">
        <f aca="false">IF(OR(OR(NOT(AND(ISNUMBER(E18),ISNUMBER(F18))),$J$2=""),7&gt;MAX(1,Reprogramaciones!$U$15)),"",IF(Reprogramaciones!Q$12&gt;=7,"",IF(OR(BZ18-N(BY18)&gt;0.05,N(W18)&gt;0),ROUNDDOWN(ROUND(BZ18,6),0)&amp;"%"&amp;IF(CP18="",""," / "&amp;CP18&amp;"%"),IF(AND(N(BY18)&gt;=99.95,CP18&lt;&gt;"",N(CP18)&lt;100),"Pend. "&amp;CP18&amp;"%",""))))</f>
        <v/>
      </c>
      <c r="AT18" s="40" t="str">
        <f aca="false">IF(OR(OR(NOT(AND(ISNUMBER(E18),ISNUMBER(F18))),$J$2=""),8&gt;MAX(1,Reprogramaciones!$U$15)),"",IF(Reprogramaciones!R$12&gt;=7,"",IF(OR(CA18-N(BZ18)&gt;0.05,N(X18)&gt;0),ROUNDDOWN(ROUND(CA18,6),0)&amp;"%"&amp;IF(CQ18="",""," / "&amp;CQ18&amp;"%"),IF(AND(N(BZ18)&gt;=99.95,CQ18&lt;&gt;"",N(CQ18)&lt;100),"Pend. "&amp;CQ18&amp;"%",""))))</f>
        <v/>
      </c>
      <c r="AU18" s="40" t="str">
        <f aca="false">IF(OR(OR(NOT(AND(ISNUMBER(E18),ISNUMBER(F18))),$J$2=""),9&gt;MAX(1,Reprogramaciones!$U$15)),"",IF(Reprogramaciones!S$12&gt;=7,"",IF(OR(CB18-N(CA18)&gt;0.05,N(Y18)&gt;0),ROUNDDOWN(ROUND(CB18,6),0)&amp;"%"&amp;IF(CR18="",""," / "&amp;CR18&amp;"%"),IF(AND(N(CA18)&gt;=99.95,CR18&lt;&gt;"",N(CR18)&lt;100),"Pend. "&amp;CR18&amp;"%",""))))</f>
        <v/>
      </c>
      <c r="AV18" s="40" t="str">
        <f aca="false">IF(OR(OR(NOT(AND(ISNUMBER(E18),ISNUMBER(F18))),$J$2=""),10&gt;MAX(1,Reprogramaciones!$U$15)),"",IF(Reprogramaciones!T$12&gt;=7,"",IF(OR(CC18-N(CB18)&gt;0.05,N(Z18)&gt;0),ROUNDDOWN(ROUND(CC18,6),0)&amp;"%"&amp;IF(CS18="",""," / "&amp;CS18&amp;"%"),IF(AND(N(CB18)&gt;=99.95,CS18&lt;&gt;"",N(CS18)&lt;100),"Pend. "&amp;CS18&amp;"%",""))))</f>
        <v/>
      </c>
      <c r="AW18" s="40" t="str">
        <f aca="false">IF(OR(OR(NOT(AND(ISNUMBER(E18),ISNUMBER(F18))),$J$2=""),11&gt;MAX(1,Reprogramaciones!$U$15)),"",IF(Reprogramaciones!U$12&gt;=7,"",IF(OR(CD18-N(CC18)&gt;0.05,N(AA18)&gt;0),ROUNDDOWN(ROUND(CD18,6),0)&amp;"%"&amp;IF(CT18="",""," / "&amp;CT18&amp;"%"),IF(AND(N(CC18)&gt;=99.95,CT18&lt;&gt;"",N(CT18)&lt;100),"Pend. "&amp;CT18&amp;"%",""))))</f>
        <v/>
      </c>
      <c r="AX18" s="40" t="str">
        <f aca="false">IF(OR(OR(NOT(AND(ISNUMBER(E18),ISNUMBER(F18))),$J$2=""),12&gt;MAX(1,Reprogramaciones!$U$15)),"",IF(Reprogramaciones!V$12&gt;=7,"",IF(OR(CE18-N(CD18)&gt;0.05,N(AB18)&gt;0),ROUNDDOWN(ROUND(CE18,6),0)&amp;"%"&amp;IF(CU18="",""," / "&amp;CU18&amp;"%"),IF(AND(N(CD18)&gt;=99.95,CU18&lt;&gt;"",N(CU18)&lt;100),"Pend. "&amp;CU18&amp;"%",""))))</f>
        <v/>
      </c>
      <c r="AY18" s="40" t="str">
        <f aca="false">IF(OR(OR(NOT(AND(ISNUMBER(E18),ISNUMBER(F18))),$J$2=""),13&gt;MAX(1,Reprogramaciones!$U$15)),"",IF(Reprogramaciones!W$12&gt;=7,"",IF(OR(CF18-N(CE18)&gt;0.05,N(AC18)&gt;0),ROUNDDOWN(ROUND(CF18,6),0)&amp;"%"&amp;IF(CV18="",""," / "&amp;CV18&amp;"%"),IF(AND(N(CE18)&gt;=99.95,CV18&lt;&gt;"",N(CV18)&lt;100),"Pend. "&amp;CV18&amp;"%",""))))</f>
        <v/>
      </c>
      <c r="AZ18" s="40" t="str">
        <f aca="false">IF(OR(OR(NOT(AND(ISNUMBER(E18),ISNUMBER(F18))),$J$2=""),14&gt;MAX(1,Reprogramaciones!$U$15)),"",IF(Reprogramaciones!X$12&gt;=7,"",IF(OR(CG18-N(CF18)&gt;0.05,N(AD18)&gt;0),ROUNDDOWN(ROUND(CG18,6),0)&amp;"%"&amp;IF(CW18="",""," / "&amp;CW18&amp;"%"),IF(AND(N(CF18)&gt;=99.95,CW18&lt;&gt;"",N(CW18)&lt;100),"Pend. "&amp;CW18&amp;"%",""))))</f>
        <v/>
      </c>
      <c r="BA18" s="40" t="str">
        <f aca="false">IF(OR(OR(NOT(AND(ISNUMBER(E18),ISNUMBER(F18))),$J$2=""),15&gt;MAX(1,Reprogramaciones!$U$15)),"",IF(Reprogramaciones!Y$12&gt;=7,"",IF(OR(CH18-N(CG18)&gt;0.05,N(AE18)&gt;0),ROUNDDOWN(ROUND(CH18,6),0)&amp;"%"&amp;IF(CX18="",""," / "&amp;CX18&amp;"%"),IF(AND(N(CG18)&gt;=99.95,CX18&lt;&gt;"",N(CX18)&lt;100),"Pend. "&amp;CX18&amp;"%",""))))</f>
        <v/>
      </c>
      <c r="BB18" s="40" t="str">
        <f aca="false">IF(OR(OR(NOT(AND(ISNUMBER(E18),ISNUMBER(F18))),$J$2=""),16&gt;MAX(1,Reprogramaciones!$U$15)),"",IF(Reprogramaciones!Z$12&gt;=7,"",IF(OR(CI18-N(CH18)&gt;0.05,N(AF18)&gt;0),ROUNDDOWN(ROUND(CI18,6),0)&amp;"%"&amp;IF(CY18="",""," / "&amp;CY18&amp;"%"),IF(AND(N(CH18)&gt;=99.95,CY18&lt;&gt;"",N(CY18)&lt;100),"Pend. "&amp;CY18&amp;"%",""))))</f>
        <v/>
      </c>
      <c r="BC18" s="31" t="n">
        <f aca="false">IF(AND(ISNUMBER(E18),ISNUMBER(F18)),MAX(1,NETWORKDAYS.INTL(E18,F18,11)),0)</f>
        <v>0</v>
      </c>
      <c r="BD18" s="1" t="str">
        <f aca="false">IF(OR(NOT(AND(ISNUMBER(E18),ISNUMBER(F18))),$J$2=""),"",MIN(100,ROUND(SUM($G18:G18),1)))</f>
        <v/>
      </c>
      <c r="BE18" s="1" t="str">
        <f aca="false">IF(OR(NOT(AND(ISNUMBER(E18),ISNUMBER(F18))),$J$2=""),"",MIN(100,ROUND(SUM($G18:H18),1)))</f>
        <v/>
      </c>
      <c r="BF18" s="1" t="str">
        <f aca="false">IF(OR(NOT(AND(ISNUMBER(E18),ISNUMBER(F18))),$J$2=""),"",MIN(100,ROUND(SUM($G18:I18),1)))</f>
        <v/>
      </c>
      <c r="BG18" s="1" t="str">
        <f aca="false">IF(OR(NOT(AND(ISNUMBER(E18),ISNUMBER(F18))),$J$2=""),"",MIN(100,ROUND(SUM($G18:J18),1)))</f>
        <v/>
      </c>
      <c r="BH18" s="1" t="str">
        <f aca="false">IF(OR(NOT(AND(ISNUMBER(E18),ISNUMBER(F18))),$J$2=""),"",MIN(100,ROUND(SUM($G18:K18),1)))</f>
        <v/>
      </c>
      <c r="BI18" s="1" t="str">
        <f aca="false">IF(OR(NOT(AND(ISNUMBER(E18),ISNUMBER(F18))),$J$2=""),"",MIN(100,ROUND(SUM($G18:L18),1)))</f>
        <v/>
      </c>
      <c r="BJ18" s="1" t="str">
        <f aca="false">IF(OR(NOT(AND(ISNUMBER(E18),ISNUMBER(F18))),$J$2=""),"",MIN(100,ROUND(SUM($G18:M18),1)))</f>
        <v/>
      </c>
      <c r="BK18" s="1" t="str">
        <f aca="false">IF(OR(NOT(AND(ISNUMBER(E18),ISNUMBER(F18))),$J$2=""),"",MIN(100,ROUND(SUM($G18:N18),1)))</f>
        <v/>
      </c>
      <c r="BL18" s="1" t="str">
        <f aca="false">IF(OR(NOT(AND(ISNUMBER(E18),ISNUMBER(F18))),$J$2=""),"",MIN(100,ROUND(SUM($G18:O18),1)))</f>
        <v/>
      </c>
      <c r="BM18" s="1" t="str">
        <f aca="false">IF(OR(NOT(AND(ISNUMBER(E18),ISNUMBER(F18))),$J$2=""),"",MIN(100,ROUND(SUM($G18:P18),1)))</f>
        <v/>
      </c>
      <c r="BN18" s="1" t="str">
        <f aca="false">IF(OR(NOT(AND(ISNUMBER(E18),ISNUMBER(F18))),$J$2=""),"",MIN(100,ROUND(SUM($G18:P18),1)))</f>
        <v/>
      </c>
      <c r="BO18" s="1" t="str">
        <f aca="false">IF(OR(NOT(AND(ISNUMBER(E18),ISNUMBER(F18))),$J$2=""),"",MIN(100,ROUND(SUM($G18:P18),1)))</f>
        <v/>
      </c>
      <c r="BP18" s="1" t="str">
        <f aca="false">IF(OR(NOT(AND(ISNUMBER(E18),ISNUMBER(F18))),$J$2=""),"",MIN(100,ROUND(SUM($G18:P18),1)))</f>
        <v/>
      </c>
      <c r="BQ18" s="1" t="str">
        <f aca="false">IF(OR(NOT(AND(ISNUMBER(E18),ISNUMBER(F18))),$J$2=""),"",MIN(100,ROUND(SUM($G18:P18),1)))</f>
        <v/>
      </c>
      <c r="BR18" s="1" t="str">
        <f aca="false">IF(OR(NOT(AND(ISNUMBER(E18),ISNUMBER(F18))),$J$2=""),"",MIN(100,ROUND(SUM($G18:P18),1)))</f>
        <v/>
      </c>
      <c r="BS18" s="1" t="str">
        <f aca="false">IF(OR(NOT(AND(ISNUMBER(E18),ISNUMBER(F18))),$J$2=""),"",MIN(100,ROUND(SUM($G18:P18),1)))</f>
        <v/>
      </c>
      <c r="BT18" s="1" t="str">
        <f aca="false">IF(OR(NOT(AND(ISNUMBER(E18),ISNUMBER(F18))),$J$2=""),"",IF(Reprogramaciones!K$13&lt;Reprogramaciones!$T$15,0,IF(Reprogramaciones!K$14&gt;10,MIN(100,SUM($G18:$P18)),MIN(100,SUMPRODUCT((COLUMN($G18:$P18)-COLUMN($G18)+1&lt;Reprogramaciones!K$14)*$G18:$P18)+N(INDEX($G18:$P18,1,Reprogramaciones!K$14))*IF(Reprogramaciones!K$13&gt;=(Reprogramaciones!$T$15+7*(Reprogramaciones!K$14-1))+6,1,IF(MAX(0,NETWORKDAYS.INTL(MAX(E18,(Reprogramaciones!$T$15+7*(Reprogramaciones!K$14-1))),MIN(F18,(Reprogramaciones!$T$15+7*(Reprogramaciones!K$14-1))+6),11))=0,0,MAX(0,NETWORKDAYS.INTL(MAX(E18,(Reprogramaciones!$T$15+7*(Reprogramaciones!K$14-1))),MIN(F18,Reprogramaciones!K$13),11))/MAX(0,NETWORKDAYS.INTL(MAX(E18,(Reprogramaciones!$T$15+7*(Reprogramaciones!K$14-1))),MIN(F18,(Reprogramaciones!$T$15+7*(Reprogramaciones!K$14-1))+6),11))))))))</f>
        <v/>
      </c>
      <c r="BU18" s="1" t="str">
        <f aca="false">IF(OR(NOT(AND(ISNUMBER(E18),ISNUMBER(F18))),$J$2=""),"",IF(Reprogramaciones!L$13&lt;Reprogramaciones!$T$15,0,IF(Reprogramaciones!L$14&gt;10,MIN(100,SUM($G18:$P18)),MIN(100,SUMPRODUCT((COLUMN($G18:$P18)-COLUMN($G18)+1&lt;Reprogramaciones!L$14)*$G18:$P18)+N(INDEX($G18:$P18,1,Reprogramaciones!L$14))*IF(Reprogramaciones!L$13&gt;=(Reprogramaciones!$T$15+7*(Reprogramaciones!L$14-1))+6,1,IF(MAX(0,NETWORKDAYS.INTL(MAX(E18,(Reprogramaciones!$T$15+7*(Reprogramaciones!L$14-1))),MIN(F18,(Reprogramaciones!$T$15+7*(Reprogramaciones!L$14-1))+6),11))=0,0,MAX(0,NETWORKDAYS.INTL(MAX(E18,(Reprogramaciones!$T$15+7*(Reprogramaciones!L$14-1))),MIN(F18,Reprogramaciones!L$13),11))/MAX(0,NETWORKDAYS.INTL(MAX(E18,(Reprogramaciones!$T$15+7*(Reprogramaciones!L$14-1))),MIN(F18,(Reprogramaciones!$T$15+7*(Reprogramaciones!L$14-1))+6),11))))))))</f>
        <v/>
      </c>
      <c r="BV18" s="1" t="str">
        <f aca="false">IF(OR(NOT(AND(ISNUMBER(E18),ISNUMBER(F18))),$J$2=""),"",IF(Reprogramaciones!M$13&lt;Reprogramaciones!$T$15,0,IF(Reprogramaciones!M$14&gt;10,MIN(100,SUM($G18:$P18)),MIN(100,SUMPRODUCT((COLUMN($G18:$P18)-COLUMN($G18)+1&lt;Reprogramaciones!M$14)*$G18:$P18)+N(INDEX($G18:$P18,1,Reprogramaciones!M$14))*IF(Reprogramaciones!M$13&gt;=(Reprogramaciones!$T$15+7*(Reprogramaciones!M$14-1))+6,1,IF(MAX(0,NETWORKDAYS.INTL(MAX(E18,(Reprogramaciones!$T$15+7*(Reprogramaciones!M$14-1))),MIN(F18,(Reprogramaciones!$T$15+7*(Reprogramaciones!M$14-1))+6),11))=0,0,MAX(0,NETWORKDAYS.INTL(MAX(E18,(Reprogramaciones!$T$15+7*(Reprogramaciones!M$14-1))),MIN(F18,Reprogramaciones!M$13),11))/MAX(0,NETWORKDAYS.INTL(MAX(E18,(Reprogramaciones!$T$15+7*(Reprogramaciones!M$14-1))),MIN(F18,(Reprogramaciones!$T$15+7*(Reprogramaciones!M$14-1))+6),11))))))))</f>
        <v/>
      </c>
      <c r="BW18" s="1" t="str">
        <f aca="false">IF(OR(NOT(AND(ISNUMBER(E18),ISNUMBER(F18))),$J$2=""),"",IF(Reprogramaciones!N$13&lt;Reprogramaciones!$T$15,0,IF(Reprogramaciones!N$14&gt;10,MIN(100,SUM($G18:$P18)),MIN(100,SUMPRODUCT((COLUMN($G18:$P18)-COLUMN($G18)+1&lt;Reprogramaciones!N$14)*$G18:$P18)+N(INDEX($G18:$P18,1,Reprogramaciones!N$14))*IF(Reprogramaciones!N$13&gt;=(Reprogramaciones!$T$15+7*(Reprogramaciones!N$14-1))+6,1,IF(MAX(0,NETWORKDAYS.INTL(MAX(E18,(Reprogramaciones!$T$15+7*(Reprogramaciones!N$14-1))),MIN(F18,(Reprogramaciones!$T$15+7*(Reprogramaciones!N$14-1))+6),11))=0,0,MAX(0,NETWORKDAYS.INTL(MAX(E18,(Reprogramaciones!$T$15+7*(Reprogramaciones!N$14-1))),MIN(F18,Reprogramaciones!N$13),11))/MAX(0,NETWORKDAYS.INTL(MAX(E18,(Reprogramaciones!$T$15+7*(Reprogramaciones!N$14-1))),MIN(F18,(Reprogramaciones!$T$15+7*(Reprogramaciones!N$14-1))+6),11))))))))</f>
        <v/>
      </c>
      <c r="BX18" s="1" t="str">
        <f aca="false">IF(OR(NOT(AND(ISNUMBER(E18),ISNUMBER(F18))),$J$2=""),"",IF(Reprogramaciones!O$13&lt;Reprogramaciones!$T$15,0,IF(Reprogramaciones!O$14&gt;10,MIN(100,SUM($G18:$P18)),MIN(100,SUMPRODUCT((COLUMN($G18:$P18)-COLUMN($G18)+1&lt;Reprogramaciones!O$14)*$G18:$P18)+N(INDEX($G18:$P18,1,Reprogramaciones!O$14))*IF(Reprogramaciones!O$13&gt;=(Reprogramaciones!$T$15+7*(Reprogramaciones!O$14-1))+6,1,IF(MAX(0,NETWORKDAYS.INTL(MAX(E18,(Reprogramaciones!$T$15+7*(Reprogramaciones!O$14-1))),MIN(F18,(Reprogramaciones!$T$15+7*(Reprogramaciones!O$14-1))+6),11))=0,0,MAX(0,NETWORKDAYS.INTL(MAX(E18,(Reprogramaciones!$T$15+7*(Reprogramaciones!O$14-1))),MIN(F18,Reprogramaciones!O$13),11))/MAX(0,NETWORKDAYS.INTL(MAX(E18,(Reprogramaciones!$T$15+7*(Reprogramaciones!O$14-1))),MIN(F18,(Reprogramaciones!$T$15+7*(Reprogramaciones!O$14-1))+6),11))))))))</f>
        <v/>
      </c>
      <c r="BY18" s="1" t="str">
        <f aca="false">IF(OR(NOT(AND(ISNUMBER(E18),ISNUMBER(F18))),$J$2=""),"",IF(Reprogramaciones!P$13&lt;Reprogramaciones!$T$15,0,IF(Reprogramaciones!P$14&gt;10,MIN(100,SUM($G18:$P18)),MIN(100,SUMPRODUCT((COLUMN($G18:$P18)-COLUMN($G18)+1&lt;Reprogramaciones!P$14)*$G18:$P18)+N(INDEX($G18:$P18,1,Reprogramaciones!P$14))*IF(Reprogramaciones!P$13&gt;=(Reprogramaciones!$T$15+7*(Reprogramaciones!P$14-1))+6,1,IF(MAX(0,NETWORKDAYS.INTL(MAX(E18,(Reprogramaciones!$T$15+7*(Reprogramaciones!P$14-1))),MIN(F18,(Reprogramaciones!$T$15+7*(Reprogramaciones!P$14-1))+6),11))=0,0,MAX(0,NETWORKDAYS.INTL(MAX(E18,(Reprogramaciones!$T$15+7*(Reprogramaciones!P$14-1))),MIN(F18,Reprogramaciones!P$13),11))/MAX(0,NETWORKDAYS.INTL(MAX(E18,(Reprogramaciones!$T$15+7*(Reprogramaciones!P$14-1))),MIN(F18,(Reprogramaciones!$T$15+7*(Reprogramaciones!P$14-1))+6),11))))))))</f>
        <v/>
      </c>
      <c r="BZ18" s="1" t="str">
        <f aca="false">IF(OR(NOT(AND(ISNUMBER(E18),ISNUMBER(F18))),$J$2=""),"",IF(Reprogramaciones!Q$13&lt;Reprogramaciones!$T$15,0,IF(Reprogramaciones!Q$14&gt;10,MIN(100,SUM($G18:$P18)),MIN(100,SUMPRODUCT((COLUMN($G18:$P18)-COLUMN($G18)+1&lt;Reprogramaciones!Q$14)*$G18:$P18)+N(INDEX($G18:$P18,1,Reprogramaciones!Q$14))*IF(Reprogramaciones!Q$13&gt;=(Reprogramaciones!$T$15+7*(Reprogramaciones!Q$14-1))+6,1,IF(MAX(0,NETWORKDAYS.INTL(MAX(E18,(Reprogramaciones!$T$15+7*(Reprogramaciones!Q$14-1))),MIN(F18,(Reprogramaciones!$T$15+7*(Reprogramaciones!Q$14-1))+6),11))=0,0,MAX(0,NETWORKDAYS.INTL(MAX(E18,(Reprogramaciones!$T$15+7*(Reprogramaciones!Q$14-1))),MIN(F18,Reprogramaciones!Q$13),11))/MAX(0,NETWORKDAYS.INTL(MAX(E18,(Reprogramaciones!$T$15+7*(Reprogramaciones!Q$14-1))),MIN(F18,(Reprogramaciones!$T$15+7*(Reprogramaciones!Q$14-1))+6),11))))))))</f>
        <v/>
      </c>
      <c r="CA18" s="1" t="str">
        <f aca="false">IF(OR(NOT(AND(ISNUMBER(E18),ISNUMBER(F18))),$J$2=""),"",IF(Reprogramaciones!R$13&lt;Reprogramaciones!$T$15,0,IF(Reprogramaciones!R$14&gt;10,MIN(100,SUM($G18:$P18)),MIN(100,SUMPRODUCT((COLUMN($G18:$P18)-COLUMN($G18)+1&lt;Reprogramaciones!R$14)*$G18:$P18)+N(INDEX($G18:$P18,1,Reprogramaciones!R$14))*IF(Reprogramaciones!R$13&gt;=(Reprogramaciones!$T$15+7*(Reprogramaciones!R$14-1))+6,1,IF(MAX(0,NETWORKDAYS.INTL(MAX(E18,(Reprogramaciones!$T$15+7*(Reprogramaciones!R$14-1))),MIN(F18,(Reprogramaciones!$T$15+7*(Reprogramaciones!R$14-1))+6),11))=0,0,MAX(0,NETWORKDAYS.INTL(MAX(E18,(Reprogramaciones!$T$15+7*(Reprogramaciones!R$14-1))),MIN(F18,Reprogramaciones!R$13),11))/MAX(0,NETWORKDAYS.INTL(MAX(E18,(Reprogramaciones!$T$15+7*(Reprogramaciones!R$14-1))),MIN(F18,(Reprogramaciones!$T$15+7*(Reprogramaciones!R$14-1))+6),11))))))))</f>
        <v/>
      </c>
      <c r="CB18" s="1" t="str">
        <f aca="false">IF(OR(NOT(AND(ISNUMBER(E18),ISNUMBER(F18))),$J$2=""),"",IF(Reprogramaciones!S$13&lt;Reprogramaciones!$T$15,0,IF(Reprogramaciones!S$14&gt;10,MIN(100,SUM($G18:$P18)),MIN(100,SUMPRODUCT((COLUMN($G18:$P18)-COLUMN($G18)+1&lt;Reprogramaciones!S$14)*$G18:$P18)+N(INDEX($G18:$P18,1,Reprogramaciones!S$14))*IF(Reprogramaciones!S$13&gt;=(Reprogramaciones!$T$15+7*(Reprogramaciones!S$14-1))+6,1,IF(MAX(0,NETWORKDAYS.INTL(MAX(E18,(Reprogramaciones!$T$15+7*(Reprogramaciones!S$14-1))),MIN(F18,(Reprogramaciones!$T$15+7*(Reprogramaciones!S$14-1))+6),11))=0,0,MAX(0,NETWORKDAYS.INTL(MAX(E18,(Reprogramaciones!$T$15+7*(Reprogramaciones!S$14-1))),MIN(F18,Reprogramaciones!S$13),11))/MAX(0,NETWORKDAYS.INTL(MAX(E18,(Reprogramaciones!$T$15+7*(Reprogramaciones!S$14-1))),MIN(F18,(Reprogramaciones!$T$15+7*(Reprogramaciones!S$14-1))+6),11))))))))</f>
        <v/>
      </c>
      <c r="CC18" s="1" t="str">
        <f aca="false">IF(OR(NOT(AND(ISNUMBER(E18),ISNUMBER(F18))),$J$2=""),"",IF(Reprogramaciones!T$13&lt;Reprogramaciones!$T$15,0,IF(Reprogramaciones!T$14&gt;10,MIN(100,SUM($G18:$P18)),MIN(100,SUMPRODUCT((COLUMN($G18:$P18)-COLUMN($G18)+1&lt;Reprogramaciones!T$14)*$G18:$P18)+N(INDEX($G18:$P18,1,Reprogramaciones!T$14))*IF(Reprogramaciones!T$13&gt;=(Reprogramaciones!$T$15+7*(Reprogramaciones!T$14-1))+6,1,IF(MAX(0,NETWORKDAYS.INTL(MAX(E18,(Reprogramaciones!$T$15+7*(Reprogramaciones!T$14-1))),MIN(F18,(Reprogramaciones!$T$15+7*(Reprogramaciones!T$14-1))+6),11))=0,0,MAX(0,NETWORKDAYS.INTL(MAX(E18,(Reprogramaciones!$T$15+7*(Reprogramaciones!T$14-1))),MIN(F18,Reprogramaciones!T$13),11))/MAX(0,NETWORKDAYS.INTL(MAX(E18,(Reprogramaciones!$T$15+7*(Reprogramaciones!T$14-1))),MIN(F18,(Reprogramaciones!$T$15+7*(Reprogramaciones!T$14-1))+6),11))))))))</f>
        <v/>
      </c>
      <c r="CD18" s="1" t="str">
        <f aca="false">IF(OR(NOT(AND(ISNUMBER(E18),ISNUMBER(F18))),$J$2=""),"",IF(Reprogramaciones!U$13&lt;Reprogramaciones!$T$15,0,IF(Reprogramaciones!U$14&gt;10,MIN(100,SUM($G18:$P18)),MIN(100,SUMPRODUCT((COLUMN($G18:$P18)-COLUMN($G18)+1&lt;Reprogramaciones!U$14)*$G18:$P18)+N(INDEX($G18:$P18,1,Reprogramaciones!U$14))*IF(Reprogramaciones!U$13&gt;=(Reprogramaciones!$T$15+7*(Reprogramaciones!U$14-1))+6,1,IF(MAX(0,NETWORKDAYS.INTL(MAX(E18,(Reprogramaciones!$T$15+7*(Reprogramaciones!U$14-1))),MIN(F18,(Reprogramaciones!$T$15+7*(Reprogramaciones!U$14-1))+6),11))=0,0,MAX(0,NETWORKDAYS.INTL(MAX(E18,(Reprogramaciones!$T$15+7*(Reprogramaciones!U$14-1))),MIN(F18,Reprogramaciones!U$13),11))/MAX(0,NETWORKDAYS.INTL(MAX(E18,(Reprogramaciones!$T$15+7*(Reprogramaciones!U$14-1))),MIN(F18,(Reprogramaciones!$T$15+7*(Reprogramaciones!U$14-1))+6),11))))))))</f>
        <v/>
      </c>
      <c r="CE18" s="1" t="str">
        <f aca="false">IF(OR(NOT(AND(ISNUMBER(E18),ISNUMBER(F18))),$J$2=""),"",IF(Reprogramaciones!V$13&lt;Reprogramaciones!$T$15,0,IF(Reprogramaciones!V$14&gt;10,MIN(100,SUM($G18:$P18)),MIN(100,SUMPRODUCT((COLUMN($G18:$P18)-COLUMN($G18)+1&lt;Reprogramaciones!V$14)*$G18:$P18)+N(INDEX($G18:$P18,1,Reprogramaciones!V$14))*IF(Reprogramaciones!V$13&gt;=(Reprogramaciones!$T$15+7*(Reprogramaciones!V$14-1))+6,1,IF(MAX(0,NETWORKDAYS.INTL(MAX(E18,(Reprogramaciones!$T$15+7*(Reprogramaciones!V$14-1))),MIN(F18,(Reprogramaciones!$T$15+7*(Reprogramaciones!V$14-1))+6),11))=0,0,MAX(0,NETWORKDAYS.INTL(MAX(E18,(Reprogramaciones!$T$15+7*(Reprogramaciones!V$14-1))),MIN(F18,Reprogramaciones!V$13),11))/MAX(0,NETWORKDAYS.INTL(MAX(E18,(Reprogramaciones!$T$15+7*(Reprogramaciones!V$14-1))),MIN(F18,(Reprogramaciones!$T$15+7*(Reprogramaciones!V$14-1))+6),11))))))))</f>
        <v/>
      </c>
      <c r="CF18" s="1" t="str">
        <f aca="false">IF(OR(NOT(AND(ISNUMBER(E18),ISNUMBER(F18))),$J$2=""),"",IF(Reprogramaciones!W$13&lt;Reprogramaciones!$T$15,0,IF(Reprogramaciones!W$14&gt;10,MIN(100,SUM($G18:$P18)),MIN(100,SUMPRODUCT((COLUMN($G18:$P18)-COLUMN($G18)+1&lt;Reprogramaciones!W$14)*$G18:$P18)+N(INDEX($G18:$P18,1,Reprogramaciones!W$14))*IF(Reprogramaciones!W$13&gt;=(Reprogramaciones!$T$15+7*(Reprogramaciones!W$14-1))+6,1,IF(MAX(0,NETWORKDAYS.INTL(MAX(E18,(Reprogramaciones!$T$15+7*(Reprogramaciones!W$14-1))),MIN(F18,(Reprogramaciones!$T$15+7*(Reprogramaciones!W$14-1))+6),11))=0,0,MAX(0,NETWORKDAYS.INTL(MAX(E18,(Reprogramaciones!$T$15+7*(Reprogramaciones!W$14-1))),MIN(F18,Reprogramaciones!W$13),11))/MAX(0,NETWORKDAYS.INTL(MAX(E18,(Reprogramaciones!$T$15+7*(Reprogramaciones!W$14-1))),MIN(F18,(Reprogramaciones!$T$15+7*(Reprogramaciones!W$14-1))+6),11))))))))</f>
        <v/>
      </c>
      <c r="CG18" s="1" t="str">
        <f aca="false">IF(OR(NOT(AND(ISNUMBER(E18),ISNUMBER(F18))),$J$2=""),"",IF(Reprogramaciones!X$13&lt;Reprogramaciones!$T$15,0,IF(Reprogramaciones!X$14&gt;10,MIN(100,SUM($G18:$P18)),MIN(100,SUMPRODUCT((COLUMN($G18:$P18)-COLUMN($G18)+1&lt;Reprogramaciones!X$14)*$G18:$P18)+N(INDEX($G18:$P18,1,Reprogramaciones!X$14))*IF(Reprogramaciones!X$13&gt;=(Reprogramaciones!$T$15+7*(Reprogramaciones!X$14-1))+6,1,IF(MAX(0,NETWORKDAYS.INTL(MAX(E18,(Reprogramaciones!$T$15+7*(Reprogramaciones!X$14-1))),MIN(F18,(Reprogramaciones!$T$15+7*(Reprogramaciones!X$14-1))+6),11))=0,0,MAX(0,NETWORKDAYS.INTL(MAX(E18,(Reprogramaciones!$T$15+7*(Reprogramaciones!X$14-1))),MIN(F18,Reprogramaciones!X$13),11))/MAX(0,NETWORKDAYS.INTL(MAX(E18,(Reprogramaciones!$T$15+7*(Reprogramaciones!X$14-1))),MIN(F18,(Reprogramaciones!$T$15+7*(Reprogramaciones!X$14-1))+6),11))))))))</f>
        <v/>
      </c>
      <c r="CH18" s="1" t="str">
        <f aca="false">IF(OR(NOT(AND(ISNUMBER(E18),ISNUMBER(F18))),$J$2=""),"",IF(Reprogramaciones!Y$13&lt;Reprogramaciones!$T$15,0,IF(Reprogramaciones!Y$14&gt;10,MIN(100,SUM($G18:$P18)),MIN(100,SUMPRODUCT((COLUMN($G18:$P18)-COLUMN($G18)+1&lt;Reprogramaciones!Y$14)*$G18:$P18)+N(INDEX($G18:$P18,1,Reprogramaciones!Y$14))*IF(Reprogramaciones!Y$13&gt;=(Reprogramaciones!$T$15+7*(Reprogramaciones!Y$14-1))+6,1,IF(MAX(0,NETWORKDAYS.INTL(MAX(E18,(Reprogramaciones!$T$15+7*(Reprogramaciones!Y$14-1))),MIN(F18,(Reprogramaciones!$T$15+7*(Reprogramaciones!Y$14-1))+6),11))=0,0,MAX(0,NETWORKDAYS.INTL(MAX(E18,(Reprogramaciones!$T$15+7*(Reprogramaciones!Y$14-1))),MIN(F18,Reprogramaciones!Y$13),11))/MAX(0,NETWORKDAYS.INTL(MAX(E18,(Reprogramaciones!$T$15+7*(Reprogramaciones!Y$14-1))),MIN(F18,(Reprogramaciones!$T$15+7*(Reprogramaciones!Y$14-1))+6),11))))))))</f>
        <v/>
      </c>
      <c r="CI18" s="1" t="str">
        <f aca="false">IF(OR(NOT(AND(ISNUMBER(E18),ISNUMBER(F18))),$J$2=""),"",IF(Reprogramaciones!Z$13&lt;Reprogramaciones!$T$15,0,IF(Reprogramaciones!Z$14&gt;10,MIN(100,SUM($G18:$P18)),MIN(100,SUMPRODUCT((COLUMN($G18:$P18)-COLUMN($G18)+1&lt;Reprogramaciones!Z$14)*$G18:$P18)+N(INDEX($G18:$P18,1,Reprogramaciones!Z$14))*IF(Reprogramaciones!Z$13&gt;=(Reprogramaciones!$T$15+7*(Reprogramaciones!Z$14-1))+6,1,IF(MAX(0,NETWORKDAYS.INTL(MAX(E18,(Reprogramaciones!$T$15+7*(Reprogramaciones!Z$14-1))),MIN(F18,(Reprogramaciones!$T$15+7*(Reprogramaciones!Z$14-1))+6),11))=0,0,MAX(0,NETWORKDAYS.INTL(MAX(E18,(Reprogramaciones!$T$15+7*(Reprogramaciones!Z$14-1))),MIN(F18,Reprogramaciones!Z$13),11))/MAX(0,NETWORKDAYS.INTL(MAX(E18,(Reprogramaciones!$T$15+7*(Reprogramaciones!Z$14-1))),MIN(F18,(Reprogramaciones!$T$15+7*(Reprogramaciones!Z$14-1))+6),11))))))))</f>
        <v/>
      </c>
      <c r="CJ18" s="1" t="str">
        <f aca="false">IF(OR(OR(NOT(AND(ISNUMBER(E18),ISNUMBER(F18))),$J$2=""),1&gt;Reprogramaciones!$K$16),"",IF(ROUND(SUM($Q18:Q18),1)&gt;=99.5,100,MIN(100,ROUND(SUM($Q18:Q18),1))))</f>
        <v/>
      </c>
      <c r="CK18" s="1" t="str">
        <f aca="false">IF(OR(OR(NOT(AND(ISNUMBER(E18),ISNUMBER(F18))),$J$2=""),2&gt;Reprogramaciones!$K$16),"",IF(ROUND(SUM($Q18:R18),1)&gt;=99.5,100,MIN(100,ROUND(SUM($Q18:R18),1))))</f>
        <v/>
      </c>
      <c r="CL18" s="1" t="str">
        <f aca="false">IF(OR(OR(NOT(AND(ISNUMBER(E18),ISNUMBER(F18))),$J$2=""),3&gt;Reprogramaciones!$K$16),"",IF(ROUND(SUM($Q18:S18),1)&gt;=99.5,100,MIN(100,ROUND(SUM($Q18:S18),1))))</f>
        <v/>
      </c>
      <c r="CM18" s="1" t="str">
        <f aca="false">IF(OR(OR(NOT(AND(ISNUMBER(E18),ISNUMBER(F18))),$J$2=""),4&gt;Reprogramaciones!$K$16),"",IF(ROUND(SUM($Q18:T18),1)&gt;=99.5,100,MIN(100,ROUND(SUM($Q18:T18),1))))</f>
        <v/>
      </c>
      <c r="CN18" s="1" t="str">
        <f aca="false">IF(OR(OR(NOT(AND(ISNUMBER(E18),ISNUMBER(F18))),$J$2=""),5&gt;Reprogramaciones!$K$16),"",IF(ROUND(SUM($Q18:U18),1)&gt;=99.5,100,MIN(100,ROUND(SUM($Q18:U18),1))))</f>
        <v/>
      </c>
      <c r="CO18" s="1" t="str">
        <f aca="false">IF(OR(OR(NOT(AND(ISNUMBER(E18),ISNUMBER(F18))),$J$2=""),6&gt;Reprogramaciones!$K$16),"",IF(ROUND(SUM($Q18:V18),1)&gt;=99.5,100,MIN(100,ROUND(SUM($Q18:V18),1))))</f>
        <v/>
      </c>
      <c r="CP18" s="1" t="str">
        <f aca="false">IF(OR(OR(NOT(AND(ISNUMBER(E18),ISNUMBER(F18))),$J$2=""),7&gt;Reprogramaciones!$K$16),"",IF(ROUND(SUM($Q18:W18),1)&gt;=99.5,100,MIN(100,ROUND(SUM($Q18:W18),1))))</f>
        <v/>
      </c>
      <c r="CQ18" s="1" t="str">
        <f aca="false">IF(OR(OR(NOT(AND(ISNUMBER(E18),ISNUMBER(F18))),$J$2=""),8&gt;Reprogramaciones!$K$16),"",IF(ROUND(SUM($Q18:X18),1)&gt;=99.5,100,MIN(100,ROUND(SUM($Q18:X18),1))))</f>
        <v/>
      </c>
      <c r="CR18" s="1" t="str">
        <f aca="false">IF(OR(OR(NOT(AND(ISNUMBER(E18),ISNUMBER(F18))),$J$2=""),9&gt;Reprogramaciones!$K$16),"",IF(ROUND(SUM($Q18:Y18),1)&gt;=99.5,100,MIN(100,ROUND(SUM($Q18:Y18),1))))</f>
        <v/>
      </c>
      <c r="CS18" s="1" t="str">
        <f aca="false">IF(OR(OR(NOT(AND(ISNUMBER(E18),ISNUMBER(F18))),$J$2=""),10&gt;Reprogramaciones!$K$16),"",IF(ROUND(SUM($Q18:Z18),1)&gt;=99.5,100,MIN(100,ROUND(SUM($Q18:Z18),1))))</f>
        <v/>
      </c>
      <c r="CT18" s="1" t="str">
        <f aca="false">IF(OR(OR(NOT(AND(ISNUMBER(E18),ISNUMBER(F18))),$J$2=""),11&gt;Reprogramaciones!$K$16),"",IF(ROUND(SUM($Q18:AA18),1)&gt;=99.5,100,MIN(100,ROUND(SUM($Q18:AA18),1))))</f>
        <v/>
      </c>
      <c r="CU18" s="1" t="str">
        <f aca="false">IF(OR(OR(NOT(AND(ISNUMBER(E18),ISNUMBER(F18))),$J$2=""),12&gt;Reprogramaciones!$K$16),"",IF(ROUND(SUM($Q18:AB18),1)&gt;=99.5,100,MIN(100,ROUND(SUM($Q18:AB18),1))))</f>
        <v/>
      </c>
      <c r="CV18" s="1" t="str">
        <f aca="false">IF(OR(OR(NOT(AND(ISNUMBER(E18),ISNUMBER(F18))),$J$2=""),13&gt;Reprogramaciones!$K$16),"",IF(ROUND(SUM($Q18:AC18),1)&gt;=99.5,100,MIN(100,ROUND(SUM($Q18:AC18),1))))</f>
        <v/>
      </c>
      <c r="CW18" s="1" t="str">
        <f aca="false">IF(OR(OR(NOT(AND(ISNUMBER(E18),ISNUMBER(F18))),$J$2=""),14&gt;Reprogramaciones!$K$16),"",IF(ROUND(SUM($Q18:AD18),1)&gt;=99.5,100,MIN(100,ROUND(SUM($Q18:AD18),1))))</f>
        <v/>
      </c>
      <c r="CX18" s="1" t="str">
        <f aca="false">IF(OR(OR(NOT(AND(ISNUMBER(E18),ISNUMBER(F18))),$J$2=""),15&gt;Reprogramaciones!$K$16),"",IF(ROUND(SUM($Q18:AE18),1)&gt;=99.5,100,MIN(100,ROUND(SUM($Q18:AE18),1))))</f>
        <v/>
      </c>
      <c r="CY18" s="1" t="str">
        <f aca="false">IF(OR(OR(NOT(AND(ISNUMBER(E18),ISNUMBER(F18))),$J$2=""),16&gt;Reprogramaciones!$K$16),"",IF(ROUND(SUM($Q18:AF18),1)&gt;=99.5,100,MIN(100,ROUND(SUM($Q18:AF18),1))))</f>
        <v/>
      </c>
      <c r="CZ18" s="1" t="str">
        <f aca="false">IF(D18&lt;&gt;"",D18,IF(B18&lt;&gt;"","Contractual",CZ17))</f>
        <v>Contractual</v>
      </c>
      <c r="DA18" s="1" t="str">
        <f aca="false">IF(OR(NOT(AND(ISNUMBER(E18),ISNUMBER(F18))),$J$2=""),"",IF(Reprogramaciones!$Q$15&lt;Reprogramaciones!$T$15,0,IF(Reprogramaciones!$S$15&gt;10,MIN(100,SUM($G18:$P18)),MIN(100,SUMPRODUCT((COLUMN($G18:$P18)-COLUMN($G18)+1&lt;Reprogramaciones!$S$15)*$G18:$P18)+N(INDEX($G18:$P18,1,Reprogramaciones!$S$15))*IF(Reprogramaciones!$Q$15&gt;=(Reprogramaciones!$T$15+7*(Reprogramaciones!$S$15-1))+6,1,IF(MAX(0,NETWORKDAYS.INTL(MAX(E18,(Reprogramaciones!$T$15+7*(Reprogramaciones!$S$15-1))),MIN(F18,(Reprogramaciones!$T$15+7*(Reprogramaciones!$S$15-1))+6),11))=0,0,MAX(0,NETWORKDAYS.INTL(MAX(E18,(Reprogramaciones!$T$15+7*(Reprogramaciones!$S$15-1))),MIN(F18,Reprogramaciones!$Q$15),11))/MAX(0,NETWORKDAYS.INTL(MAX(E18,(Reprogramaciones!$T$15+7*(Reprogramaciones!$S$15-1))),MIN(F18,(Reprogramaciones!$T$15+7*(Reprogramaciones!$S$15-1))+6),11))))))))</f>
        <v/>
      </c>
    </row>
    <row r="19" customFormat="false" ht="15" hidden="false" customHeight="false" outlineLevel="0" collapsed="false">
      <c r="A19" s="32" t="s">
        <v>179</v>
      </c>
      <c r="B19" s="33"/>
      <c r="C19" s="33" t="s">
        <v>180</v>
      </c>
      <c r="D19" s="34"/>
      <c r="E19" s="35" t="n">
        <v>46298</v>
      </c>
      <c r="F19" s="35" t="n">
        <v>46302</v>
      </c>
      <c r="G19" s="36" t="n">
        <f aca="false">IF(OR(NOT(AND(ISNUMBER(E19),ISNUMBER(F19))),$J$2=""),"",IF(Reprogramaciones!K$9&lt;E19,0,IF(NETWORKDAYS.INTL(E19,F19,11)=0,IF(Reprogramaciones!K$9&gt;=F19,100,0),ROUND(NETWORKDAYS.INTL(E19,MIN(F19,Reprogramaciones!K$9),11)/NETWORKDAYS.INTL(E19,F19,11)*100,1)))-0)</f>
        <v>0</v>
      </c>
      <c r="H19" s="36" t="n">
        <f aca="false">IF(OR(NOT(AND(ISNUMBER(E19),ISNUMBER(F19))),$J$2=""),"",IF(Reprogramaciones!L$9&lt;E19,0,IF(NETWORKDAYS.INTL(E19,F19,11)=0,IF(Reprogramaciones!L$9&gt;=F19,100,0),ROUND(NETWORKDAYS.INTL(E19,MIN(F19,Reprogramaciones!L$9),11)/NETWORKDAYS.INTL(E19,F19,11)*100,1)))-IF(Reprogramaciones!K$9&lt;E19,0,IF(NETWORKDAYS.INTL(E19,F19,11)=0,IF(Reprogramaciones!K$9&gt;=F19,100,0),ROUND(NETWORKDAYS.INTL(E19,MIN(F19,Reprogramaciones!K$9),11)/NETWORKDAYS.INTL(E19,F19,11)*100,1))))</f>
        <v>25</v>
      </c>
      <c r="I19" s="36" t="n">
        <f aca="false">IF(OR(NOT(AND(ISNUMBER(E19),ISNUMBER(F19))),$J$2=""),"",IF(Reprogramaciones!M$9&lt;E19,0,IF(NETWORKDAYS.INTL(E19,F19,11)=0,IF(Reprogramaciones!M$9&gt;=F19,100,0),ROUND(NETWORKDAYS.INTL(E19,MIN(F19,Reprogramaciones!M$9),11)/NETWORKDAYS.INTL(E19,F19,11)*100,1)))-IF(Reprogramaciones!L$9&lt;E19,0,IF(NETWORKDAYS.INTL(E19,F19,11)=0,IF(Reprogramaciones!L$9&gt;=F19,100,0),ROUND(NETWORKDAYS.INTL(E19,MIN(F19,Reprogramaciones!L$9),11)/NETWORKDAYS.INTL(E19,F19,11)*100,1))))</f>
        <v>75</v>
      </c>
      <c r="J19" s="36" t="n">
        <f aca="false">IF(OR(NOT(AND(ISNUMBER(E19),ISNUMBER(F19))),$J$2=""),"",IF(Reprogramaciones!N$9&lt;E19,0,IF(NETWORKDAYS.INTL(E19,F19,11)=0,IF(Reprogramaciones!N$9&gt;=F19,100,0),ROUND(NETWORKDAYS.INTL(E19,MIN(F19,Reprogramaciones!N$9),11)/NETWORKDAYS.INTL(E19,F19,11)*100,1)))-IF(Reprogramaciones!M$9&lt;E19,0,IF(NETWORKDAYS.INTL(E19,F19,11)=0,IF(Reprogramaciones!M$9&gt;=F19,100,0),ROUND(NETWORKDAYS.INTL(E19,MIN(F19,Reprogramaciones!M$9),11)/NETWORKDAYS.INTL(E19,F19,11)*100,1))))</f>
        <v>0</v>
      </c>
      <c r="K19" s="36" t="n">
        <f aca="false">IF(OR(NOT(AND(ISNUMBER(E19),ISNUMBER(F19))),$J$2=""),"",IF(Reprogramaciones!O$9&lt;E19,0,IF(NETWORKDAYS.INTL(E19,F19,11)=0,IF(Reprogramaciones!O$9&gt;=F19,100,0),ROUND(NETWORKDAYS.INTL(E19,MIN(F19,Reprogramaciones!O$9),11)/NETWORKDAYS.INTL(E19,F19,11)*100,1)))-IF(Reprogramaciones!N$9&lt;E19,0,IF(NETWORKDAYS.INTL(E19,F19,11)=0,IF(Reprogramaciones!N$9&gt;=F19,100,0),ROUND(NETWORKDAYS.INTL(E19,MIN(F19,Reprogramaciones!N$9),11)/NETWORKDAYS.INTL(E19,F19,11)*100,1))))</f>
        <v>0</v>
      </c>
      <c r="L19" s="36" t="n">
        <f aca="false">IF(OR(NOT(AND(ISNUMBER(E19),ISNUMBER(F19))),$J$2=""),"",IF(Reprogramaciones!P$9&lt;E19,0,IF(NETWORKDAYS.INTL(E19,F19,11)=0,IF(Reprogramaciones!P$9&gt;=F19,100,0),ROUND(NETWORKDAYS.INTL(E19,MIN(F19,Reprogramaciones!P$9),11)/NETWORKDAYS.INTL(E19,F19,11)*100,1)))-IF(Reprogramaciones!O$9&lt;E19,0,IF(NETWORKDAYS.INTL(E19,F19,11)=0,IF(Reprogramaciones!O$9&gt;=F19,100,0),ROUND(NETWORKDAYS.INTL(E19,MIN(F19,Reprogramaciones!O$9),11)/NETWORKDAYS.INTL(E19,F19,11)*100,1))))</f>
        <v>0</v>
      </c>
      <c r="M19" s="36" t="n">
        <f aca="false">IF(OR(NOT(AND(ISNUMBER(E19),ISNUMBER(F19))),$J$2=""),"",IF(Reprogramaciones!Q$9&lt;E19,0,IF(NETWORKDAYS.INTL(E19,F19,11)=0,IF(Reprogramaciones!Q$9&gt;=F19,100,0),ROUND(NETWORKDAYS.INTL(E19,MIN(F19,Reprogramaciones!Q$9),11)/NETWORKDAYS.INTL(E19,F19,11)*100,1)))-IF(Reprogramaciones!P$9&lt;E19,0,IF(NETWORKDAYS.INTL(E19,F19,11)=0,IF(Reprogramaciones!P$9&gt;=F19,100,0),ROUND(NETWORKDAYS.INTL(E19,MIN(F19,Reprogramaciones!P$9),11)/NETWORKDAYS.INTL(E19,F19,11)*100,1))))</f>
        <v>0</v>
      </c>
      <c r="N19" s="36" t="n">
        <f aca="false">IF(OR(NOT(AND(ISNUMBER(E19),ISNUMBER(F19))),$J$2=""),"",IF(Reprogramaciones!R$9&lt;E19,0,IF(NETWORKDAYS.INTL(E19,F19,11)=0,IF(Reprogramaciones!R$9&gt;=F19,100,0),ROUND(NETWORKDAYS.INTL(E19,MIN(F19,Reprogramaciones!R$9),11)/NETWORKDAYS.INTL(E19,F19,11)*100,1)))-IF(Reprogramaciones!Q$9&lt;E19,0,IF(NETWORKDAYS.INTL(E19,F19,11)=0,IF(Reprogramaciones!Q$9&gt;=F19,100,0),ROUND(NETWORKDAYS.INTL(E19,MIN(F19,Reprogramaciones!Q$9),11)/NETWORKDAYS.INTL(E19,F19,11)*100,1))))</f>
        <v>0</v>
      </c>
      <c r="O19" s="36" t="n">
        <f aca="false">IF(OR(NOT(AND(ISNUMBER(E19),ISNUMBER(F19))),$J$2=""),"",IF(Reprogramaciones!S$9&lt;E19,0,IF(NETWORKDAYS.INTL(E19,F19,11)=0,IF(Reprogramaciones!S$9&gt;=F19,100,0),ROUND(NETWORKDAYS.INTL(E19,MIN(F19,Reprogramaciones!S$9),11)/NETWORKDAYS.INTL(E19,F19,11)*100,1)))-IF(Reprogramaciones!R$9&lt;E19,0,IF(NETWORKDAYS.INTL(E19,F19,11)=0,IF(Reprogramaciones!R$9&gt;=F19,100,0),ROUND(NETWORKDAYS.INTL(E19,MIN(F19,Reprogramaciones!R$9),11)/NETWORKDAYS.INTL(E19,F19,11)*100,1))))</f>
        <v>0</v>
      </c>
      <c r="P19" s="36" t="n">
        <f aca="false">IF(OR(NOT(AND(ISNUMBER(E19),ISNUMBER(F19))),$J$2=""),"",IF(Reprogramaciones!T$9&lt;E19,0,IF(NETWORKDAYS.INTL(E19,F19,11)=0,IF(Reprogramaciones!T$9&gt;=F19,100,0),ROUND(NETWORKDAYS.INTL(E19,MIN(F19,Reprogramaciones!T$9),11)/NETWORKDAYS.INTL(E19,F19,11)*100,1)))-IF(Reprogramaciones!S$9&lt;E19,0,IF(NETWORKDAYS.INTL(E19,F19,11)=0,IF(Reprogramaciones!S$9&gt;=F19,100,0),ROUND(NETWORKDAYS.INTL(E19,MIN(F19,Reprogramaciones!S$9),11)/NETWORKDAYS.INTL(E19,F19,11)*100,1))))</f>
        <v>0</v>
      </c>
      <c r="Q19" s="37"/>
      <c r="R19" s="37" t="n">
        <v>25</v>
      </c>
      <c r="S19" s="37" t="n">
        <v>75</v>
      </c>
      <c r="T19" s="37"/>
      <c r="U19" s="37"/>
      <c r="V19" s="37"/>
      <c r="W19" s="37"/>
      <c r="X19" s="37"/>
      <c r="Y19" s="37"/>
      <c r="Z19" s="37"/>
      <c r="AA19" s="37"/>
      <c r="AB19" s="37"/>
      <c r="AC19" s="37"/>
      <c r="AD19" s="37"/>
      <c r="AE19" s="37"/>
      <c r="AF19" s="37"/>
      <c r="AG19" s="38" t="n">
        <f aca="false">IF(AND(ISNUMBER(E19),ISNUMBER(F19)),NETWORKDAYS.INTL(E19,F19,11),"")</f>
        <v>4</v>
      </c>
      <c r="AH19" s="38" t="n">
        <f aca="false">IF(OR(NOT(AND(ISNUMBER(E19),ISNUMBER(F19))),$J$2=""),"",IF(Reprogramaciones!$P$15&lt;Reprogramaciones!$T$15,0,IF(Reprogramaciones!$R$15&gt;10,MIN(100,SUM($G19:$P19)),MIN(100,SUMPRODUCT((COLUMN($G19:$P19)-COLUMN($G19)+1&lt;Reprogramaciones!$R$15)*$G19:$P19)+N(INDEX($G19:$P19,1,Reprogramaciones!$R$15))*IF(Reprogramaciones!$P$15&gt;=(Reprogramaciones!$T$15+7*(Reprogramaciones!$R$15-1))+6,1,IF(MAX(0,NETWORKDAYS.INTL(MAX(E19,(Reprogramaciones!$T$15+7*(Reprogramaciones!$R$15-1))),MIN(F19,(Reprogramaciones!$T$15+7*(Reprogramaciones!$R$15-1))+6),11))=0,0,MAX(0,NETWORKDAYS.INTL(MAX(E19,(Reprogramaciones!$T$15+7*(Reprogramaciones!$R$15-1))),MIN(F19,Reprogramaciones!$P$15),11))/MAX(0,NETWORKDAYS.INTL(MAX(E19,(Reprogramaciones!$T$15+7*(Reprogramaciones!$R$15-1))),MIN(F19,(Reprogramaciones!$T$15+7*(Reprogramaciones!$R$15-1))+6),11))))))))</f>
        <v>100</v>
      </c>
      <c r="AI19" s="38" t="n">
        <f aca="false">IF(COUNT($Q19:$AF19)=0,"",IF(ROUND(SUM($Q19:$AF19),1)&gt;=99.5,100,MIN(100,ROUND(SUM($Q19:$AF19),1))))</f>
        <v>100</v>
      </c>
      <c r="AJ19" s="38" t="n">
        <f aca="false">IF(OR(AH19="",AI19=""),"",AI19-AH19)</f>
        <v>0</v>
      </c>
      <c r="AK19" s="39" t="str">
        <f aca="true">IF(AH19="","",IF(OR(Ficha!$C$10="Suspendida",Ficha!$C$10="Cancelada"),Ficha!$C$10,IF(AND(AI19&lt;&gt;"",N(AI19)&gt;=100),"Completada",IF(AND(E19&gt;TODAY(),N(AI19)=0),"Por iniciar",IF(N(AI19)+0.5&lt;AH19,"Retrasada",IF(N(AI19)+0.5&lt;DA19,IF(Reprogramaciones!$K$15&gt;0,"Al día · Sem "&amp;Reprogramaciones!$K$15&amp;" en curso","Al día · en curso"),"A tiempo"))))))</f>
        <v>Completada</v>
      </c>
      <c r="AL19" s="39" t="str">
        <f aca="true">IF(AND(A19="",AND(B19="",C19="",E19="",F19="",COUNT(Q19:AF19)=0)),"",IF(AND(B19="",C19="",E19="",F19="",COUNT(Q19:AF19)=0),"Falta la partida o subpartida",IF(AND(A19&lt;&gt;"",COUNTIF($A$6:$A$305,A19)&gt;1),"Ítem repetido",IF(AND(C19="",E19="",F19="",COUNT(Q19:AF19)=0),"Título de partida",IF(OR(E19="",F19=""),"Faltan fechas",IF(OR(ISTEXT(E19),ISTEXT(F19)),"Fecha escrita como texto: usa dd/mm/aaaa",IF(F19&lt;E19,"Fin antes del inicio",IF(IF($J$2="",FALSE(),OR(E19&lt;$J$2,F19&gt;Reprogramaciones!$T$15+69)),"Fuera de las 10 semanas",IF(ABS(SUM(G19:P19)-100)&gt;0.5,"La meta no suma 100%",IF(ROUND(SUM(Q19:AF19),1)&gt;100.5,"El avance pasa de 100%",IF(MIN(Q19:AF19)&lt;0,"Avance negativo",IF(COUNTA(Q19:AF19)&gt;COUNT(Q19:AF19),"Avance escrito como texto",IF(SUMPRODUCT((Q19:AF19&gt;0)*(Q19:AF19&lt;1))&gt;0,"Avance menor a 1: escribe 50, no 50%",IF(SUMPRODUCT(ISNUMBER(Q19:AF19)*(Reprogramaciones!$K$8:$Z$8&gt;TODAY()))&gt;0,"Avance en semana que aún no llega",IF(AND(N(Reprogramaciones!$E$21)&gt;0,F19&gt;Reprogramaciones!$E$21),"Pasa el fin de la obra: registra una reprogramación",IF(AND(N(Reprogramaciones!$E$21)&gt;0,SUMPRODUCT(ISNUMBER(Q19:AF19)*(Reprogramaciones!$K$8:$Z$8&gt;Reprogramaciones!$E$21))&gt;0),"Avance después del fin de la obra: registra una reprogramación por atraso","OK"))))))))))))))))</f>
        <v>OK</v>
      </c>
      <c r="AM19" s="40" t="str">
        <f aca="false">IF(OR(OR(NOT(AND(ISNUMBER(E19),ISNUMBER(F19))),$J$2=""),1&gt;MAX(1,Reprogramaciones!$U$15)),"",IF(Reprogramaciones!K$12&gt;=7,"",IF(OR(BT19-N(0)&gt;0.05,N(Q19)&gt;0),ROUNDDOWN(ROUND(BT19,6),0)&amp;"%"&amp;IF(CJ19="",""," / "&amp;CJ19&amp;"%"),IF(AND(N(0)&gt;=99.95,CJ19&lt;&gt;"",N(CJ19)&lt;100),"Pend. "&amp;CJ19&amp;"%",""))))</f>
        <v/>
      </c>
      <c r="AN19" s="40" t="str">
        <f aca="false">IF(OR(OR(NOT(AND(ISNUMBER(E19),ISNUMBER(F19))),$J$2=""),2&gt;MAX(1,Reprogramaciones!$U$15)),"",IF(Reprogramaciones!L$12&gt;=7,"",IF(OR(BU19-N(BT19)&gt;0.05,N(R19)&gt;0),ROUNDDOWN(ROUND(BU19,6),0)&amp;"%"&amp;IF(CK19="",""," / "&amp;CK19&amp;"%"),IF(AND(N(BT19)&gt;=99.95,CK19&lt;&gt;"",N(CK19)&lt;100),"Pend. "&amp;CK19&amp;"%",""))))</f>
        <v>25% / 25%</v>
      </c>
      <c r="AO19" s="40" t="str">
        <f aca="false">IF(OR(OR(NOT(AND(ISNUMBER(E19),ISNUMBER(F19))),$J$2=""),3&gt;MAX(1,Reprogramaciones!$U$15)),"",IF(Reprogramaciones!M$12&gt;=7,"",IF(OR(BV19-N(BU19)&gt;0.05,N(S19)&gt;0),ROUNDDOWN(ROUND(BV19,6),0)&amp;"%"&amp;IF(CL19="",""," / "&amp;CL19&amp;"%"),IF(AND(N(BU19)&gt;=99.95,CL19&lt;&gt;"",N(CL19)&lt;100),"Pend. "&amp;CL19&amp;"%",""))))</f>
        <v>100% / 100%</v>
      </c>
      <c r="AP19" s="40" t="str">
        <f aca="false">IF(OR(OR(NOT(AND(ISNUMBER(E19),ISNUMBER(F19))),$J$2=""),4&gt;MAX(1,Reprogramaciones!$U$15)),"",IF(Reprogramaciones!N$12&gt;=7,"",IF(OR(BW19-N(BV19)&gt;0.05,N(T19)&gt;0),ROUNDDOWN(ROUND(BW19,6),0)&amp;"%"&amp;IF(CM19="",""," / "&amp;CM19&amp;"%"),IF(AND(N(BV19)&gt;=99.95,CM19&lt;&gt;"",N(CM19)&lt;100),"Pend. "&amp;CM19&amp;"%",""))))</f>
        <v/>
      </c>
      <c r="AQ19" s="40" t="str">
        <f aca="false">IF(OR(OR(NOT(AND(ISNUMBER(E19),ISNUMBER(F19))),$J$2=""),5&gt;MAX(1,Reprogramaciones!$U$15)),"",IF(Reprogramaciones!O$12&gt;=7,"",IF(OR(BX19-N(BW19)&gt;0.05,N(U19)&gt;0),ROUNDDOWN(ROUND(BX19,6),0)&amp;"%"&amp;IF(CN19="",""," / "&amp;CN19&amp;"%"),IF(AND(N(BW19)&gt;=99.95,CN19&lt;&gt;"",N(CN19)&lt;100),"Pend. "&amp;CN19&amp;"%",""))))</f>
        <v/>
      </c>
      <c r="AR19" s="40" t="str">
        <f aca="false">IF(OR(OR(NOT(AND(ISNUMBER(E19),ISNUMBER(F19))),$J$2=""),6&gt;MAX(1,Reprogramaciones!$U$15)),"",IF(Reprogramaciones!P$12&gt;=7,"",IF(OR(BY19-N(BX19)&gt;0.05,N(V19)&gt;0),ROUNDDOWN(ROUND(BY19,6),0)&amp;"%"&amp;IF(CO19="",""," / "&amp;CO19&amp;"%"),IF(AND(N(BX19)&gt;=99.95,CO19&lt;&gt;"",N(CO19)&lt;100),"Pend. "&amp;CO19&amp;"%",""))))</f>
        <v/>
      </c>
      <c r="AS19" s="40" t="str">
        <f aca="false">IF(OR(OR(NOT(AND(ISNUMBER(E19),ISNUMBER(F19))),$J$2=""),7&gt;MAX(1,Reprogramaciones!$U$15)),"",IF(Reprogramaciones!Q$12&gt;=7,"",IF(OR(BZ19-N(BY19)&gt;0.05,N(W19)&gt;0),ROUNDDOWN(ROUND(BZ19,6),0)&amp;"%"&amp;IF(CP19="",""," / "&amp;CP19&amp;"%"),IF(AND(N(BY19)&gt;=99.95,CP19&lt;&gt;"",N(CP19)&lt;100),"Pend. "&amp;CP19&amp;"%",""))))</f>
        <v/>
      </c>
      <c r="AT19" s="40" t="str">
        <f aca="false">IF(OR(OR(NOT(AND(ISNUMBER(E19),ISNUMBER(F19))),$J$2=""),8&gt;MAX(1,Reprogramaciones!$U$15)),"",IF(Reprogramaciones!R$12&gt;=7,"",IF(OR(CA19-N(BZ19)&gt;0.05,N(X19)&gt;0),ROUNDDOWN(ROUND(CA19,6),0)&amp;"%"&amp;IF(CQ19="",""," / "&amp;CQ19&amp;"%"),IF(AND(N(BZ19)&gt;=99.95,CQ19&lt;&gt;"",N(CQ19)&lt;100),"Pend. "&amp;CQ19&amp;"%",""))))</f>
        <v/>
      </c>
      <c r="AU19" s="40" t="str">
        <f aca="false">IF(OR(OR(NOT(AND(ISNUMBER(E19),ISNUMBER(F19))),$J$2=""),9&gt;MAX(1,Reprogramaciones!$U$15)),"",IF(Reprogramaciones!S$12&gt;=7,"",IF(OR(CB19-N(CA19)&gt;0.05,N(Y19)&gt;0),ROUNDDOWN(ROUND(CB19,6),0)&amp;"%"&amp;IF(CR19="",""," / "&amp;CR19&amp;"%"),IF(AND(N(CA19)&gt;=99.95,CR19&lt;&gt;"",N(CR19)&lt;100),"Pend. "&amp;CR19&amp;"%",""))))</f>
        <v/>
      </c>
      <c r="AV19" s="40" t="str">
        <f aca="false">IF(OR(OR(NOT(AND(ISNUMBER(E19),ISNUMBER(F19))),$J$2=""),10&gt;MAX(1,Reprogramaciones!$U$15)),"",IF(Reprogramaciones!T$12&gt;=7,"",IF(OR(CC19-N(CB19)&gt;0.05,N(Z19)&gt;0),ROUNDDOWN(ROUND(CC19,6),0)&amp;"%"&amp;IF(CS19="",""," / "&amp;CS19&amp;"%"),IF(AND(N(CB19)&gt;=99.95,CS19&lt;&gt;"",N(CS19)&lt;100),"Pend. "&amp;CS19&amp;"%",""))))</f>
        <v/>
      </c>
      <c r="AW19" s="40" t="str">
        <f aca="false">IF(OR(OR(NOT(AND(ISNUMBER(E19),ISNUMBER(F19))),$J$2=""),11&gt;MAX(1,Reprogramaciones!$U$15)),"",IF(Reprogramaciones!U$12&gt;=7,"",IF(OR(CD19-N(CC19)&gt;0.05,N(AA19)&gt;0),ROUNDDOWN(ROUND(CD19,6),0)&amp;"%"&amp;IF(CT19="",""," / "&amp;CT19&amp;"%"),IF(AND(N(CC19)&gt;=99.95,CT19&lt;&gt;"",N(CT19)&lt;100),"Pend. "&amp;CT19&amp;"%",""))))</f>
        <v/>
      </c>
      <c r="AX19" s="40" t="str">
        <f aca="false">IF(OR(OR(NOT(AND(ISNUMBER(E19),ISNUMBER(F19))),$J$2=""),12&gt;MAX(1,Reprogramaciones!$U$15)),"",IF(Reprogramaciones!V$12&gt;=7,"",IF(OR(CE19-N(CD19)&gt;0.05,N(AB19)&gt;0),ROUNDDOWN(ROUND(CE19,6),0)&amp;"%"&amp;IF(CU19="",""," / "&amp;CU19&amp;"%"),IF(AND(N(CD19)&gt;=99.95,CU19&lt;&gt;"",N(CU19)&lt;100),"Pend. "&amp;CU19&amp;"%",""))))</f>
        <v/>
      </c>
      <c r="AY19" s="40" t="str">
        <f aca="false">IF(OR(OR(NOT(AND(ISNUMBER(E19),ISNUMBER(F19))),$J$2=""),13&gt;MAX(1,Reprogramaciones!$U$15)),"",IF(Reprogramaciones!W$12&gt;=7,"",IF(OR(CF19-N(CE19)&gt;0.05,N(AC19)&gt;0),ROUNDDOWN(ROUND(CF19,6),0)&amp;"%"&amp;IF(CV19="",""," / "&amp;CV19&amp;"%"),IF(AND(N(CE19)&gt;=99.95,CV19&lt;&gt;"",N(CV19)&lt;100),"Pend. "&amp;CV19&amp;"%",""))))</f>
        <v/>
      </c>
      <c r="AZ19" s="40" t="str">
        <f aca="false">IF(OR(OR(NOT(AND(ISNUMBER(E19),ISNUMBER(F19))),$J$2=""),14&gt;MAX(1,Reprogramaciones!$U$15)),"",IF(Reprogramaciones!X$12&gt;=7,"",IF(OR(CG19-N(CF19)&gt;0.05,N(AD19)&gt;0),ROUNDDOWN(ROUND(CG19,6),0)&amp;"%"&amp;IF(CW19="",""," / "&amp;CW19&amp;"%"),IF(AND(N(CF19)&gt;=99.95,CW19&lt;&gt;"",N(CW19)&lt;100),"Pend. "&amp;CW19&amp;"%",""))))</f>
        <v/>
      </c>
      <c r="BA19" s="40" t="str">
        <f aca="false">IF(OR(OR(NOT(AND(ISNUMBER(E19),ISNUMBER(F19))),$J$2=""),15&gt;MAX(1,Reprogramaciones!$U$15)),"",IF(Reprogramaciones!Y$12&gt;=7,"",IF(OR(CH19-N(CG19)&gt;0.05,N(AE19)&gt;0),ROUNDDOWN(ROUND(CH19,6),0)&amp;"%"&amp;IF(CX19="",""," / "&amp;CX19&amp;"%"),IF(AND(N(CG19)&gt;=99.95,CX19&lt;&gt;"",N(CX19)&lt;100),"Pend. "&amp;CX19&amp;"%",""))))</f>
        <v/>
      </c>
      <c r="BB19" s="40" t="str">
        <f aca="false">IF(OR(OR(NOT(AND(ISNUMBER(E19),ISNUMBER(F19))),$J$2=""),16&gt;MAX(1,Reprogramaciones!$U$15)),"",IF(Reprogramaciones!Z$12&gt;=7,"",IF(OR(CI19-N(CH19)&gt;0.05,N(AF19)&gt;0),ROUNDDOWN(ROUND(CI19,6),0)&amp;"%"&amp;IF(CY19="",""," / "&amp;CY19&amp;"%"),IF(AND(N(CH19)&gt;=99.95,CY19&lt;&gt;"",N(CY19)&lt;100),"Pend. "&amp;CY19&amp;"%",""))))</f>
        <v/>
      </c>
      <c r="BC19" s="31" t="n">
        <f aca="false">IF(AND(ISNUMBER(E19),ISNUMBER(F19)),MAX(1,NETWORKDAYS.INTL(E19,F19,11)),0)</f>
        <v>4</v>
      </c>
      <c r="BD19" s="1" t="n">
        <f aca="false">IF(OR(NOT(AND(ISNUMBER(E19),ISNUMBER(F19))),$J$2=""),"",MIN(100,ROUND(SUM($G19:G19),1)))</f>
        <v>0</v>
      </c>
      <c r="BE19" s="1" t="n">
        <f aca="false">IF(OR(NOT(AND(ISNUMBER(E19),ISNUMBER(F19))),$J$2=""),"",MIN(100,ROUND(SUM($G19:H19),1)))</f>
        <v>25</v>
      </c>
      <c r="BF19" s="1" t="n">
        <f aca="false">IF(OR(NOT(AND(ISNUMBER(E19),ISNUMBER(F19))),$J$2=""),"",MIN(100,ROUND(SUM($G19:I19),1)))</f>
        <v>100</v>
      </c>
      <c r="BG19" s="1" t="n">
        <f aca="false">IF(OR(NOT(AND(ISNUMBER(E19),ISNUMBER(F19))),$J$2=""),"",MIN(100,ROUND(SUM($G19:J19),1)))</f>
        <v>100</v>
      </c>
      <c r="BH19" s="1" t="n">
        <f aca="false">IF(OR(NOT(AND(ISNUMBER(E19),ISNUMBER(F19))),$J$2=""),"",MIN(100,ROUND(SUM($G19:K19),1)))</f>
        <v>100</v>
      </c>
      <c r="BI19" s="1" t="n">
        <f aca="false">IF(OR(NOT(AND(ISNUMBER(E19),ISNUMBER(F19))),$J$2=""),"",MIN(100,ROUND(SUM($G19:L19),1)))</f>
        <v>100</v>
      </c>
      <c r="BJ19" s="1" t="n">
        <f aca="false">IF(OR(NOT(AND(ISNUMBER(E19),ISNUMBER(F19))),$J$2=""),"",MIN(100,ROUND(SUM($G19:M19),1)))</f>
        <v>100</v>
      </c>
      <c r="BK19" s="1" t="n">
        <f aca="false">IF(OR(NOT(AND(ISNUMBER(E19),ISNUMBER(F19))),$J$2=""),"",MIN(100,ROUND(SUM($G19:N19),1)))</f>
        <v>100</v>
      </c>
      <c r="BL19" s="1" t="n">
        <f aca="false">IF(OR(NOT(AND(ISNUMBER(E19),ISNUMBER(F19))),$J$2=""),"",MIN(100,ROUND(SUM($G19:O19),1)))</f>
        <v>100</v>
      </c>
      <c r="BM19" s="1" t="n">
        <f aca="false">IF(OR(NOT(AND(ISNUMBER(E19),ISNUMBER(F19))),$J$2=""),"",MIN(100,ROUND(SUM($G19:P19),1)))</f>
        <v>100</v>
      </c>
      <c r="BN19" s="1" t="n">
        <f aca="false">IF(OR(NOT(AND(ISNUMBER(E19),ISNUMBER(F19))),$J$2=""),"",MIN(100,ROUND(SUM($G19:P19),1)))</f>
        <v>100</v>
      </c>
      <c r="BO19" s="1" t="n">
        <f aca="false">IF(OR(NOT(AND(ISNUMBER(E19),ISNUMBER(F19))),$J$2=""),"",MIN(100,ROUND(SUM($G19:P19),1)))</f>
        <v>100</v>
      </c>
      <c r="BP19" s="1" t="n">
        <f aca="false">IF(OR(NOT(AND(ISNUMBER(E19),ISNUMBER(F19))),$J$2=""),"",MIN(100,ROUND(SUM($G19:P19),1)))</f>
        <v>100</v>
      </c>
      <c r="BQ19" s="1" t="n">
        <f aca="false">IF(OR(NOT(AND(ISNUMBER(E19),ISNUMBER(F19))),$J$2=""),"",MIN(100,ROUND(SUM($G19:P19),1)))</f>
        <v>100</v>
      </c>
      <c r="BR19" s="1" t="n">
        <f aca="false">IF(OR(NOT(AND(ISNUMBER(E19),ISNUMBER(F19))),$J$2=""),"",MIN(100,ROUND(SUM($G19:P19),1)))</f>
        <v>100</v>
      </c>
      <c r="BS19" s="1" t="n">
        <f aca="false">IF(OR(NOT(AND(ISNUMBER(E19),ISNUMBER(F19))),$J$2=""),"",MIN(100,ROUND(SUM($G19:P19),1)))</f>
        <v>100</v>
      </c>
      <c r="BT19" s="1" t="n">
        <f aca="false">IF(OR(NOT(AND(ISNUMBER(E19),ISNUMBER(F19))),$J$2=""),"",IF(Reprogramaciones!K$13&lt;Reprogramaciones!$T$15,0,IF(Reprogramaciones!K$14&gt;10,MIN(100,SUM($G19:$P19)),MIN(100,SUMPRODUCT((COLUMN($G19:$P19)-COLUMN($G19)+1&lt;Reprogramaciones!K$14)*$G19:$P19)+N(INDEX($G19:$P19,1,Reprogramaciones!K$14))*IF(Reprogramaciones!K$13&gt;=(Reprogramaciones!$T$15+7*(Reprogramaciones!K$14-1))+6,1,IF(MAX(0,NETWORKDAYS.INTL(MAX(E19,(Reprogramaciones!$T$15+7*(Reprogramaciones!K$14-1))),MIN(F19,(Reprogramaciones!$T$15+7*(Reprogramaciones!K$14-1))+6),11))=0,0,MAX(0,NETWORKDAYS.INTL(MAX(E19,(Reprogramaciones!$T$15+7*(Reprogramaciones!K$14-1))),MIN(F19,Reprogramaciones!K$13),11))/MAX(0,NETWORKDAYS.INTL(MAX(E19,(Reprogramaciones!$T$15+7*(Reprogramaciones!K$14-1))),MIN(F19,(Reprogramaciones!$T$15+7*(Reprogramaciones!K$14-1))+6),11))))))))</f>
        <v>0</v>
      </c>
      <c r="BU19" s="1" t="n">
        <f aca="false">IF(OR(NOT(AND(ISNUMBER(E19),ISNUMBER(F19))),$J$2=""),"",IF(Reprogramaciones!L$13&lt;Reprogramaciones!$T$15,0,IF(Reprogramaciones!L$14&gt;10,MIN(100,SUM($G19:$P19)),MIN(100,SUMPRODUCT((COLUMN($G19:$P19)-COLUMN($G19)+1&lt;Reprogramaciones!L$14)*$G19:$P19)+N(INDEX($G19:$P19,1,Reprogramaciones!L$14))*IF(Reprogramaciones!L$13&gt;=(Reprogramaciones!$T$15+7*(Reprogramaciones!L$14-1))+6,1,IF(MAX(0,NETWORKDAYS.INTL(MAX(E19,(Reprogramaciones!$T$15+7*(Reprogramaciones!L$14-1))),MIN(F19,(Reprogramaciones!$T$15+7*(Reprogramaciones!L$14-1))+6),11))=0,0,MAX(0,NETWORKDAYS.INTL(MAX(E19,(Reprogramaciones!$T$15+7*(Reprogramaciones!L$14-1))),MIN(F19,Reprogramaciones!L$13),11))/MAX(0,NETWORKDAYS.INTL(MAX(E19,(Reprogramaciones!$T$15+7*(Reprogramaciones!L$14-1))),MIN(F19,(Reprogramaciones!$T$15+7*(Reprogramaciones!L$14-1))+6),11))))))))</f>
        <v>25</v>
      </c>
      <c r="BV19" s="1" t="n">
        <f aca="false">IF(OR(NOT(AND(ISNUMBER(E19),ISNUMBER(F19))),$J$2=""),"",IF(Reprogramaciones!M$13&lt;Reprogramaciones!$T$15,0,IF(Reprogramaciones!M$14&gt;10,MIN(100,SUM($G19:$P19)),MIN(100,SUMPRODUCT((COLUMN($G19:$P19)-COLUMN($G19)+1&lt;Reprogramaciones!M$14)*$G19:$P19)+N(INDEX($G19:$P19,1,Reprogramaciones!M$14))*IF(Reprogramaciones!M$13&gt;=(Reprogramaciones!$T$15+7*(Reprogramaciones!M$14-1))+6,1,IF(MAX(0,NETWORKDAYS.INTL(MAX(E19,(Reprogramaciones!$T$15+7*(Reprogramaciones!M$14-1))),MIN(F19,(Reprogramaciones!$T$15+7*(Reprogramaciones!M$14-1))+6),11))=0,0,MAX(0,NETWORKDAYS.INTL(MAX(E19,(Reprogramaciones!$T$15+7*(Reprogramaciones!M$14-1))),MIN(F19,Reprogramaciones!M$13),11))/MAX(0,NETWORKDAYS.INTL(MAX(E19,(Reprogramaciones!$T$15+7*(Reprogramaciones!M$14-1))),MIN(F19,(Reprogramaciones!$T$15+7*(Reprogramaciones!M$14-1))+6),11))))))))</f>
        <v>100</v>
      </c>
      <c r="BW19" s="1" t="n">
        <f aca="false">IF(OR(NOT(AND(ISNUMBER(E19),ISNUMBER(F19))),$J$2=""),"",IF(Reprogramaciones!N$13&lt;Reprogramaciones!$T$15,0,IF(Reprogramaciones!N$14&gt;10,MIN(100,SUM($G19:$P19)),MIN(100,SUMPRODUCT((COLUMN($G19:$P19)-COLUMN($G19)+1&lt;Reprogramaciones!N$14)*$G19:$P19)+N(INDEX($G19:$P19,1,Reprogramaciones!N$14))*IF(Reprogramaciones!N$13&gt;=(Reprogramaciones!$T$15+7*(Reprogramaciones!N$14-1))+6,1,IF(MAX(0,NETWORKDAYS.INTL(MAX(E19,(Reprogramaciones!$T$15+7*(Reprogramaciones!N$14-1))),MIN(F19,(Reprogramaciones!$T$15+7*(Reprogramaciones!N$14-1))+6),11))=0,0,MAX(0,NETWORKDAYS.INTL(MAX(E19,(Reprogramaciones!$T$15+7*(Reprogramaciones!N$14-1))),MIN(F19,Reprogramaciones!N$13),11))/MAX(0,NETWORKDAYS.INTL(MAX(E19,(Reprogramaciones!$T$15+7*(Reprogramaciones!N$14-1))),MIN(F19,(Reprogramaciones!$T$15+7*(Reprogramaciones!N$14-1))+6),11))))))))</f>
        <v>100</v>
      </c>
      <c r="BX19" s="1" t="n">
        <f aca="false">IF(OR(NOT(AND(ISNUMBER(E19),ISNUMBER(F19))),$J$2=""),"",IF(Reprogramaciones!O$13&lt;Reprogramaciones!$T$15,0,IF(Reprogramaciones!O$14&gt;10,MIN(100,SUM($G19:$P19)),MIN(100,SUMPRODUCT((COLUMN($G19:$P19)-COLUMN($G19)+1&lt;Reprogramaciones!O$14)*$G19:$P19)+N(INDEX($G19:$P19,1,Reprogramaciones!O$14))*IF(Reprogramaciones!O$13&gt;=(Reprogramaciones!$T$15+7*(Reprogramaciones!O$14-1))+6,1,IF(MAX(0,NETWORKDAYS.INTL(MAX(E19,(Reprogramaciones!$T$15+7*(Reprogramaciones!O$14-1))),MIN(F19,(Reprogramaciones!$T$15+7*(Reprogramaciones!O$14-1))+6),11))=0,0,MAX(0,NETWORKDAYS.INTL(MAX(E19,(Reprogramaciones!$T$15+7*(Reprogramaciones!O$14-1))),MIN(F19,Reprogramaciones!O$13),11))/MAX(0,NETWORKDAYS.INTL(MAX(E19,(Reprogramaciones!$T$15+7*(Reprogramaciones!O$14-1))),MIN(F19,(Reprogramaciones!$T$15+7*(Reprogramaciones!O$14-1))+6),11))))))))</f>
        <v>100</v>
      </c>
      <c r="BY19" s="1" t="n">
        <f aca="false">IF(OR(NOT(AND(ISNUMBER(E19),ISNUMBER(F19))),$J$2=""),"",IF(Reprogramaciones!P$13&lt;Reprogramaciones!$T$15,0,IF(Reprogramaciones!P$14&gt;10,MIN(100,SUM($G19:$P19)),MIN(100,SUMPRODUCT((COLUMN($G19:$P19)-COLUMN($G19)+1&lt;Reprogramaciones!P$14)*$G19:$P19)+N(INDEX($G19:$P19,1,Reprogramaciones!P$14))*IF(Reprogramaciones!P$13&gt;=(Reprogramaciones!$T$15+7*(Reprogramaciones!P$14-1))+6,1,IF(MAX(0,NETWORKDAYS.INTL(MAX(E19,(Reprogramaciones!$T$15+7*(Reprogramaciones!P$14-1))),MIN(F19,(Reprogramaciones!$T$15+7*(Reprogramaciones!P$14-1))+6),11))=0,0,MAX(0,NETWORKDAYS.INTL(MAX(E19,(Reprogramaciones!$T$15+7*(Reprogramaciones!P$14-1))),MIN(F19,Reprogramaciones!P$13),11))/MAX(0,NETWORKDAYS.INTL(MAX(E19,(Reprogramaciones!$T$15+7*(Reprogramaciones!P$14-1))),MIN(F19,(Reprogramaciones!$T$15+7*(Reprogramaciones!P$14-1))+6),11))))))))</f>
        <v>100</v>
      </c>
      <c r="BZ19" s="1" t="n">
        <f aca="false">IF(OR(NOT(AND(ISNUMBER(E19),ISNUMBER(F19))),$J$2=""),"",IF(Reprogramaciones!Q$13&lt;Reprogramaciones!$T$15,0,IF(Reprogramaciones!Q$14&gt;10,MIN(100,SUM($G19:$P19)),MIN(100,SUMPRODUCT((COLUMN($G19:$P19)-COLUMN($G19)+1&lt;Reprogramaciones!Q$14)*$G19:$P19)+N(INDEX($G19:$P19,1,Reprogramaciones!Q$14))*IF(Reprogramaciones!Q$13&gt;=(Reprogramaciones!$T$15+7*(Reprogramaciones!Q$14-1))+6,1,IF(MAX(0,NETWORKDAYS.INTL(MAX(E19,(Reprogramaciones!$T$15+7*(Reprogramaciones!Q$14-1))),MIN(F19,(Reprogramaciones!$T$15+7*(Reprogramaciones!Q$14-1))+6),11))=0,0,MAX(0,NETWORKDAYS.INTL(MAX(E19,(Reprogramaciones!$T$15+7*(Reprogramaciones!Q$14-1))),MIN(F19,Reprogramaciones!Q$13),11))/MAX(0,NETWORKDAYS.INTL(MAX(E19,(Reprogramaciones!$T$15+7*(Reprogramaciones!Q$14-1))),MIN(F19,(Reprogramaciones!$T$15+7*(Reprogramaciones!Q$14-1))+6),11))))))))</f>
        <v>100</v>
      </c>
      <c r="CA19" s="1" t="n">
        <f aca="false">IF(OR(NOT(AND(ISNUMBER(E19),ISNUMBER(F19))),$J$2=""),"",IF(Reprogramaciones!R$13&lt;Reprogramaciones!$T$15,0,IF(Reprogramaciones!R$14&gt;10,MIN(100,SUM($G19:$P19)),MIN(100,SUMPRODUCT((COLUMN($G19:$P19)-COLUMN($G19)+1&lt;Reprogramaciones!R$14)*$G19:$P19)+N(INDEX($G19:$P19,1,Reprogramaciones!R$14))*IF(Reprogramaciones!R$13&gt;=(Reprogramaciones!$T$15+7*(Reprogramaciones!R$14-1))+6,1,IF(MAX(0,NETWORKDAYS.INTL(MAX(E19,(Reprogramaciones!$T$15+7*(Reprogramaciones!R$14-1))),MIN(F19,(Reprogramaciones!$T$15+7*(Reprogramaciones!R$14-1))+6),11))=0,0,MAX(0,NETWORKDAYS.INTL(MAX(E19,(Reprogramaciones!$T$15+7*(Reprogramaciones!R$14-1))),MIN(F19,Reprogramaciones!R$13),11))/MAX(0,NETWORKDAYS.INTL(MAX(E19,(Reprogramaciones!$T$15+7*(Reprogramaciones!R$14-1))),MIN(F19,(Reprogramaciones!$T$15+7*(Reprogramaciones!R$14-1))+6),11))))))))</f>
        <v>100</v>
      </c>
      <c r="CB19" s="1" t="n">
        <f aca="false">IF(OR(NOT(AND(ISNUMBER(E19),ISNUMBER(F19))),$J$2=""),"",IF(Reprogramaciones!S$13&lt;Reprogramaciones!$T$15,0,IF(Reprogramaciones!S$14&gt;10,MIN(100,SUM($G19:$P19)),MIN(100,SUMPRODUCT((COLUMN($G19:$P19)-COLUMN($G19)+1&lt;Reprogramaciones!S$14)*$G19:$P19)+N(INDEX($G19:$P19,1,Reprogramaciones!S$14))*IF(Reprogramaciones!S$13&gt;=(Reprogramaciones!$T$15+7*(Reprogramaciones!S$14-1))+6,1,IF(MAX(0,NETWORKDAYS.INTL(MAX(E19,(Reprogramaciones!$T$15+7*(Reprogramaciones!S$14-1))),MIN(F19,(Reprogramaciones!$T$15+7*(Reprogramaciones!S$14-1))+6),11))=0,0,MAX(0,NETWORKDAYS.INTL(MAX(E19,(Reprogramaciones!$T$15+7*(Reprogramaciones!S$14-1))),MIN(F19,Reprogramaciones!S$13),11))/MAX(0,NETWORKDAYS.INTL(MAX(E19,(Reprogramaciones!$T$15+7*(Reprogramaciones!S$14-1))),MIN(F19,(Reprogramaciones!$T$15+7*(Reprogramaciones!S$14-1))+6),11))))))))</f>
        <v>100</v>
      </c>
      <c r="CC19" s="1" t="n">
        <f aca="false">IF(OR(NOT(AND(ISNUMBER(E19),ISNUMBER(F19))),$J$2=""),"",IF(Reprogramaciones!T$13&lt;Reprogramaciones!$T$15,0,IF(Reprogramaciones!T$14&gt;10,MIN(100,SUM($G19:$P19)),MIN(100,SUMPRODUCT((COLUMN($G19:$P19)-COLUMN($G19)+1&lt;Reprogramaciones!T$14)*$G19:$P19)+N(INDEX($G19:$P19,1,Reprogramaciones!T$14))*IF(Reprogramaciones!T$13&gt;=(Reprogramaciones!$T$15+7*(Reprogramaciones!T$14-1))+6,1,IF(MAX(0,NETWORKDAYS.INTL(MAX(E19,(Reprogramaciones!$T$15+7*(Reprogramaciones!T$14-1))),MIN(F19,(Reprogramaciones!$T$15+7*(Reprogramaciones!T$14-1))+6),11))=0,0,MAX(0,NETWORKDAYS.INTL(MAX(E19,(Reprogramaciones!$T$15+7*(Reprogramaciones!T$14-1))),MIN(F19,Reprogramaciones!T$13),11))/MAX(0,NETWORKDAYS.INTL(MAX(E19,(Reprogramaciones!$T$15+7*(Reprogramaciones!T$14-1))),MIN(F19,(Reprogramaciones!$T$15+7*(Reprogramaciones!T$14-1))+6),11))))))))</f>
        <v>100</v>
      </c>
      <c r="CD19" s="1" t="n">
        <f aca="false">IF(OR(NOT(AND(ISNUMBER(E19),ISNUMBER(F19))),$J$2=""),"",IF(Reprogramaciones!U$13&lt;Reprogramaciones!$T$15,0,IF(Reprogramaciones!U$14&gt;10,MIN(100,SUM($G19:$P19)),MIN(100,SUMPRODUCT((COLUMN($G19:$P19)-COLUMN($G19)+1&lt;Reprogramaciones!U$14)*$G19:$P19)+N(INDEX($G19:$P19,1,Reprogramaciones!U$14))*IF(Reprogramaciones!U$13&gt;=(Reprogramaciones!$T$15+7*(Reprogramaciones!U$14-1))+6,1,IF(MAX(0,NETWORKDAYS.INTL(MAX(E19,(Reprogramaciones!$T$15+7*(Reprogramaciones!U$14-1))),MIN(F19,(Reprogramaciones!$T$15+7*(Reprogramaciones!U$14-1))+6),11))=0,0,MAX(0,NETWORKDAYS.INTL(MAX(E19,(Reprogramaciones!$T$15+7*(Reprogramaciones!U$14-1))),MIN(F19,Reprogramaciones!U$13),11))/MAX(0,NETWORKDAYS.INTL(MAX(E19,(Reprogramaciones!$T$15+7*(Reprogramaciones!U$14-1))),MIN(F19,(Reprogramaciones!$T$15+7*(Reprogramaciones!U$14-1))+6),11))))))))</f>
        <v>100</v>
      </c>
      <c r="CE19" s="1" t="n">
        <f aca="false">IF(OR(NOT(AND(ISNUMBER(E19),ISNUMBER(F19))),$J$2=""),"",IF(Reprogramaciones!V$13&lt;Reprogramaciones!$T$15,0,IF(Reprogramaciones!V$14&gt;10,MIN(100,SUM($G19:$P19)),MIN(100,SUMPRODUCT((COLUMN($G19:$P19)-COLUMN($G19)+1&lt;Reprogramaciones!V$14)*$G19:$P19)+N(INDEX($G19:$P19,1,Reprogramaciones!V$14))*IF(Reprogramaciones!V$13&gt;=(Reprogramaciones!$T$15+7*(Reprogramaciones!V$14-1))+6,1,IF(MAX(0,NETWORKDAYS.INTL(MAX(E19,(Reprogramaciones!$T$15+7*(Reprogramaciones!V$14-1))),MIN(F19,(Reprogramaciones!$T$15+7*(Reprogramaciones!V$14-1))+6),11))=0,0,MAX(0,NETWORKDAYS.INTL(MAX(E19,(Reprogramaciones!$T$15+7*(Reprogramaciones!V$14-1))),MIN(F19,Reprogramaciones!V$13),11))/MAX(0,NETWORKDAYS.INTL(MAX(E19,(Reprogramaciones!$T$15+7*(Reprogramaciones!V$14-1))),MIN(F19,(Reprogramaciones!$T$15+7*(Reprogramaciones!V$14-1))+6),11))))))))</f>
        <v>100</v>
      </c>
      <c r="CF19" s="1" t="n">
        <f aca="false">IF(OR(NOT(AND(ISNUMBER(E19),ISNUMBER(F19))),$J$2=""),"",IF(Reprogramaciones!W$13&lt;Reprogramaciones!$T$15,0,IF(Reprogramaciones!W$14&gt;10,MIN(100,SUM($G19:$P19)),MIN(100,SUMPRODUCT((COLUMN($G19:$P19)-COLUMN($G19)+1&lt;Reprogramaciones!W$14)*$G19:$P19)+N(INDEX($G19:$P19,1,Reprogramaciones!W$14))*IF(Reprogramaciones!W$13&gt;=(Reprogramaciones!$T$15+7*(Reprogramaciones!W$14-1))+6,1,IF(MAX(0,NETWORKDAYS.INTL(MAX(E19,(Reprogramaciones!$T$15+7*(Reprogramaciones!W$14-1))),MIN(F19,(Reprogramaciones!$T$15+7*(Reprogramaciones!W$14-1))+6),11))=0,0,MAX(0,NETWORKDAYS.INTL(MAX(E19,(Reprogramaciones!$T$15+7*(Reprogramaciones!W$14-1))),MIN(F19,Reprogramaciones!W$13),11))/MAX(0,NETWORKDAYS.INTL(MAX(E19,(Reprogramaciones!$T$15+7*(Reprogramaciones!W$14-1))),MIN(F19,(Reprogramaciones!$T$15+7*(Reprogramaciones!W$14-1))+6),11))))))))</f>
        <v>100</v>
      </c>
      <c r="CG19" s="1" t="n">
        <f aca="false">IF(OR(NOT(AND(ISNUMBER(E19),ISNUMBER(F19))),$J$2=""),"",IF(Reprogramaciones!X$13&lt;Reprogramaciones!$T$15,0,IF(Reprogramaciones!X$14&gt;10,MIN(100,SUM($G19:$P19)),MIN(100,SUMPRODUCT((COLUMN($G19:$P19)-COLUMN($G19)+1&lt;Reprogramaciones!X$14)*$G19:$P19)+N(INDEX($G19:$P19,1,Reprogramaciones!X$14))*IF(Reprogramaciones!X$13&gt;=(Reprogramaciones!$T$15+7*(Reprogramaciones!X$14-1))+6,1,IF(MAX(0,NETWORKDAYS.INTL(MAX(E19,(Reprogramaciones!$T$15+7*(Reprogramaciones!X$14-1))),MIN(F19,(Reprogramaciones!$T$15+7*(Reprogramaciones!X$14-1))+6),11))=0,0,MAX(0,NETWORKDAYS.INTL(MAX(E19,(Reprogramaciones!$T$15+7*(Reprogramaciones!X$14-1))),MIN(F19,Reprogramaciones!X$13),11))/MAX(0,NETWORKDAYS.INTL(MAX(E19,(Reprogramaciones!$T$15+7*(Reprogramaciones!X$14-1))),MIN(F19,(Reprogramaciones!$T$15+7*(Reprogramaciones!X$14-1))+6),11))))))))</f>
        <v>100</v>
      </c>
      <c r="CH19" s="1" t="n">
        <f aca="false">IF(OR(NOT(AND(ISNUMBER(E19),ISNUMBER(F19))),$J$2=""),"",IF(Reprogramaciones!Y$13&lt;Reprogramaciones!$T$15,0,IF(Reprogramaciones!Y$14&gt;10,MIN(100,SUM($G19:$P19)),MIN(100,SUMPRODUCT((COLUMN($G19:$P19)-COLUMN($G19)+1&lt;Reprogramaciones!Y$14)*$G19:$P19)+N(INDEX($G19:$P19,1,Reprogramaciones!Y$14))*IF(Reprogramaciones!Y$13&gt;=(Reprogramaciones!$T$15+7*(Reprogramaciones!Y$14-1))+6,1,IF(MAX(0,NETWORKDAYS.INTL(MAX(E19,(Reprogramaciones!$T$15+7*(Reprogramaciones!Y$14-1))),MIN(F19,(Reprogramaciones!$T$15+7*(Reprogramaciones!Y$14-1))+6),11))=0,0,MAX(0,NETWORKDAYS.INTL(MAX(E19,(Reprogramaciones!$T$15+7*(Reprogramaciones!Y$14-1))),MIN(F19,Reprogramaciones!Y$13),11))/MAX(0,NETWORKDAYS.INTL(MAX(E19,(Reprogramaciones!$T$15+7*(Reprogramaciones!Y$14-1))),MIN(F19,(Reprogramaciones!$T$15+7*(Reprogramaciones!Y$14-1))+6),11))))))))</f>
        <v>100</v>
      </c>
      <c r="CI19" s="1" t="n">
        <f aca="false">IF(OR(NOT(AND(ISNUMBER(E19),ISNUMBER(F19))),$J$2=""),"",IF(Reprogramaciones!Z$13&lt;Reprogramaciones!$T$15,0,IF(Reprogramaciones!Z$14&gt;10,MIN(100,SUM($G19:$P19)),MIN(100,SUMPRODUCT((COLUMN($G19:$P19)-COLUMN($G19)+1&lt;Reprogramaciones!Z$14)*$G19:$P19)+N(INDEX($G19:$P19,1,Reprogramaciones!Z$14))*IF(Reprogramaciones!Z$13&gt;=(Reprogramaciones!$T$15+7*(Reprogramaciones!Z$14-1))+6,1,IF(MAX(0,NETWORKDAYS.INTL(MAX(E19,(Reprogramaciones!$T$15+7*(Reprogramaciones!Z$14-1))),MIN(F19,(Reprogramaciones!$T$15+7*(Reprogramaciones!Z$14-1))+6),11))=0,0,MAX(0,NETWORKDAYS.INTL(MAX(E19,(Reprogramaciones!$T$15+7*(Reprogramaciones!Z$14-1))),MIN(F19,Reprogramaciones!Z$13),11))/MAX(0,NETWORKDAYS.INTL(MAX(E19,(Reprogramaciones!$T$15+7*(Reprogramaciones!Z$14-1))),MIN(F19,(Reprogramaciones!$T$15+7*(Reprogramaciones!Z$14-1))+6),11))))))))</f>
        <v>100</v>
      </c>
      <c r="CJ19" s="1" t="n">
        <f aca="false">IF(OR(OR(NOT(AND(ISNUMBER(E19),ISNUMBER(F19))),$J$2=""),1&gt;Reprogramaciones!$K$16),"",IF(ROUND(SUM($Q19:Q19),1)&gt;=99.5,100,MIN(100,ROUND(SUM($Q19:Q19),1))))</f>
        <v>0</v>
      </c>
      <c r="CK19" s="1" t="n">
        <f aca="false">IF(OR(OR(NOT(AND(ISNUMBER(E19),ISNUMBER(F19))),$J$2=""),2&gt;Reprogramaciones!$K$16),"",IF(ROUND(SUM($Q19:R19),1)&gt;=99.5,100,MIN(100,ROUND(SUM($Q19:R19),1))))</f>
        <v>25</v>
      </c>
      <c r="CL19" s="1" t="n">
        <f aca="false">IF(OR(OR(NOT(AND(ISNUMBER(E19),ISNUMBER(F19))),$J$2=""),3&gt;Reprogramaciones!$K$16),"",IF(ROUND(SUM($Q19:S19),1)&gt;=99.5,100,MIN(100,ROUND(SUM($Q19:S19),1))))</f>
        <v>100</v>
      </c>
      <c r="CM19" s="1" t="n">
        <f aca="false">IF(OR(OR(NOT(AND(ISNUMBER(E19),ISNUMBER(F19))),$J$2=""),4&gt;Reprogramaciones!$K$16),"",IF(ROUND(SUM($Q19:T19),1)&gt;=99.5,100,MIN(100,ROUND(SUM($Q19:T19),1))))</f>
        <v>100</v>
      </c>
      <c r="CN19" s="1" t="n">
        <f aca="false">IF(OR(OR(NOT(AND(ISNUMBER(E19),ISNUMBER(F19))),$J$2=""),5&gt;Reprogramaciones!$K$16),"",IF(ROUND(SUM($Q19:U19),1)&gt;=99.5,100,MIN(100,ROUND(SUM($Q19:U19),1))))</f>
        <v>100</v>
      </c>
      <c r="CO19" s="1" t="str">
        <f aca="false">IF(OR(OR(NOT(AND(ISNUMBER(E19),ISNUMBER(F19))),$J$2=""),6&gt;Reprogramaciones!$K$16),"",IF(ROUND(SUM($Q19:V19),1)&gt;=99.5,100,MIN(100,ROUND(SUM($Q19:V19),1))))</f>
        <v/>
      </c>
      <c r="CP19" s="1" t="str">
        <f aca="false">IF(OR(OR(NOT(AND(ISNUMBER(E19),ISNUMBER(F19))),$J$2=""),7&gt;Reprogramaciones!$K$16),"",IF(ROUND(SUM($Q19:W19),1)&gt;=99.5,100,MIN(100,ROUND(SUM($Q19:W19),1))))</f>
        <v/>
      </c>
      <c r="CQ19" s="1" t="str">
        <f aca="false">IF(OR(OR(NOT(AND(ISNUMBER(E19),ISNUMBER(F19))),$J$2=""),8&gt;Reprogramaciones!$K$16),"",IF(ROUND(SUM($Q19:X19),1)&gt;=99.5,100,MIN(100,ROUND(SUM($Q19:X19),1))))</f>
        <v/>
      </c>
      <c r="CR19" s="1" t="str">
        <f aca="false">IF(OR(OR(NOT(AND(ISNUMBER(E19),ISNUMBER(F19))),$J$2=""),9&gt;Reprogramaciones!$K$16),"",IF(ROUND(SUM($Q19:Y19),1)&gt;=99.5,100,MIN(100,ROUND(SUM($Q19:Y19),1))))</f>
        <v/>
      </c>
      <c r="CS19" s="1" t="str">
        <f aca="false">IF(OR(OR(NOT(AND(ISNUMBER(E19),ISNUMBER(F19))),$J$2=""),10&gt;Reprogramaciones!$K$16),"",IF(ROUND(SUM($Q19:Z19),1)&gt;=99.5,100,MIN(100,ROUND(SUM($Q19:Z19),1))))</f>
        <v/>
      </c>
      <c r="CT19" s="1" t="str">
        <f aca="false">IF(OR(OR(NOT(AND(ISNUMBER(E19),ISNUMBER(F19))),$J$2=""),11&gt;Reprogramaciones!$K$16),"",IF(ROUND(SUM($Q19:AA19),1)&gt;=99.5,100,MIN(100,ROUND(SUM($Q19:AA19),1))))</f>
        <v/>
      </c>
      <c r="CU19" s="1" t="str">
        <f aca="false">IF(OR(OR(NOT(AND(ISNUMBER(E19),ISNUMBER(F19))),$J$2=""),12&gt;Reprogramaciones!$K$16),"",IF(ROUND(SUM($Q19:AB19),1)&gt;=99.5,100,MIN(100,ROUND(SUM($Q19:AB19),1))))</f>
        <v/>
      </c>
      <c r="CV19" s="1" t="str">
        <f aca="false">IF(OR(OR(NOT(AND(ISNUMBER(E19),ISNUMBER(F19))),$J$2=""),13&gt;Reprogramaciones!$K$16),"",IF(ROUND(SUM($Q19:AC19),1)&gt;=99.5,100,MIN(100,ROUND(SUM($Q19:AC19),1))))</f>
        <v/>
      </c>
      <c r="CW19" s="1" t="str">
        <f aca="false">IF(OR(OR(NOT(AND(ISNUMBER(E19),ISNUMBER(F19))),$J$2=""),14&gt;Reprogramaciones!$K$16),"",IF(ROUND(SUM($Q19:AD19),1)&gt;=99.5,100,MIN(100,ROUND(SUM($Q19:AD19),1))))</f>
        <v/>
      </c>
      <c r="CX19" s="1" t="str">
        <f aca="false">IF(OR(OR(NOT(AND(ISNUMBER(E19),ISNUMBER(F19))),$J$2=""),15&gt;Reprogramaciones!$K$16),"",IF(ROUND(SUM($Q19:AE19),1)&gt;=99.5,100,MIN(100,ROUND(SUM($Q19:AE19),1))))</f>
        <v/>
      </c>
      <c r="CY19" s="1" t="str">
        <f aca="false">IF(OR(OR(NOT(AND(ISNUMBER(E19),ISNUMBER(F19))),$J$2=""),16&gt;Reprogramaciones!$K$16),"",IF(ROUND(SUM($Q19:AF19),1)&gt;=99.5,100,MIN(100,ROUND(SUM($Q19:AF19),1))))</f>
        <v/>
      </c>
      <c r="CZ19" s="1" t="str">
        <f aca="false">IF(D19&lt;&gt;"",D19,IF(B19&lt;&gt;"","Contractual",CZ18))</f>
        <v>Contractual</v>
      </c>
      <c r="DA19" s="1" t="n">
        <f aca="false">IF(OR(NOT(AND(ISNUMBER(E19),ISNUMBER(F19))),$J$2=""),"",IF(Reprogramaciones!$Q$15&lt;Reprogramaciones!$T$15,0,IF(Reprogramaciones!$S$15&gt;10,MIN(100,SUM($G19:$P19)),MIN(100,SUMPRODUCT((COLUMN($G19:$P19)-COLUMN($G19)+1&lt;Reprogramaciones!$S$15)*$G19:$P19)+N(INDEX($G19:$P19,1,Reprogramaciones!$S$15))*IF(Reprogramaciones!$Q$15&gt;=(Reprogramaciones!$T$15+7*(Reprogramaciones!$S$15-1))+6,1,IF(MAX(0,NETWORKDAYS.INTL(MAX(E19,(Reprogramaciones!$T$15+7*(Reprogramaciones!$S$15-1))),MIN(F19,(Reprogramaciones!$T$15+7*(Reprogramaciones!$S$15-1))+6),11))=0,0,MAX(0,NETWORKDAYS.INTL(MAX(E19,(Reprogramaciones!$T$15+7*(Reprogramaciones!$S$15-1))),MIN(F19,Reprogramaciones!$Q$15),11))/MAX(0,NETWORKDAYS.INTL(MAX(E19,(Reprogramaciones!$T$15+7*(Reprogramaciones!$S$15-1))),MIN(F19,(Reprogramaciones!$T$15+7*(Reprogramaciones!$S$15-1))+6),11))))))))</f>
        <v>100</v>
      </c>
    </row>
    <row r="20" customFormat="false" ht="15" hidden="false" customHeight="false" outlineLevel="0" collapsed="false">
      <c r="A20" s="32" t="s">
        <v>181</v>
      </c>
      <c r="B20" s="33"/>
      <c r="C20" s="33" t="s">
        <v>182</v>
      </c>
      <c r="D20" s="34"/>
      <c r="E20" s="35" t="n">
        <v>46301</v>
      </c>
      <c r="F20" s="35" t="n">
        <v>46305</v>
      </c>
      <c r="G20" s="36" t="n">
        <f aca="false">IF(OR(NOT(AND(ISNUMBER(E20),ISNUMBER(F20))),$J$2=""),"",IF(Reprogramaciones!K$9&lt;E20,0,IF(NETWORKDAYS.INTL(E20,F20,11)=0,IF(Reprogramaciones!K$9&gt;=F20,100,0),ROUND(NETWORKDAYS.INTL(E20,MIN(F20,Reprogramaciones!K$9),11)/NETWORKDAYS.INTL(E20,F20,11)*100,1)))-0)</f>
        <v>0</v>
      </c>
      <c r="H20" s="36" t="n">
        <f aca="false">IF(OR(NOT(AND(ISNUMBER(E20),ISNUMBER(F20))),$J$2=""),"",IF(Reprogramaciones!L$9&lt;E20,0,IF(NETWORKDAYS.INTL(E20,F20,11)=0,IF(Reprogramaciones!L$9&gt;=F20,100,0),ROUND(NETWORKDAYS.INTL(E20,MIN(F20,Reprogramaciones!L$9),11)/NETWORKDAYS.INTL(E20,F20,11)*100,1)))-IF(Reprogramaciones!K$9&lt;E20,0,IF(NETWORKDAYS.INTL(E20,F20,11)=0,IF(Reprogramaciones!K$9&gt;=F20,100,0),ROUND(NETWORKDAYS.INTL(E20,MIN(F20,Reprogramaciones!K$9),11)/NETWORKDAYS.INTL(E20,F20,11)*100,1))))</f>
        <v>0</v>
      </c>
      <c r="I20" s="36" t="n">
        <f aca="false">IF(OR(NOT(AND(ISNUMBER(E20),ISNUMBER(F20))),$J$2=""),"",IF(Reprogramaciones!M$9&lt;E20,0,IF(NETWORKDAYS.INTL(E20,F20,11)=0,IF(Reprogramaciones!M$9&gt;=F20,100,0),ROUND(NETWORKDAYS.INTL(E20,MIN(F20,Reprogramaciones!M$9),11)/NETWORKDAYS.INTL(E20,F20,11)*100,1)))-IF(Reprogramaciones!L$9&lt;E20,0,IF(NETWORKDAYS.INTL(E20,F20,11)=0,IF(Reprogramaciones!L$9&gt;=F20,100,0),ROUND(NETWORKDAYS.INTL(E20,MIN(F20,Reprogramaciones!L$9),11)/NETWORKDAYS.INTL(E20,F20,11)*100,1))))</f>
        <v>100</v>
      </c>
      <c r="J20" s="36" t="n">
        <f aca="false">IF(OR(NOT(AND(ISNUMBER(E20),ISNUMBER(F20))),$J$2=""),"",IF(Reprogramaciones!N$9&lt;E20,0,IF(NETWORKDAYS.INTL(E20,F20,11)=0,IF(Reprogramaciones!N$9&gt;=F20,100,0),ROUND(NETWORKDAYS.INTL(E20,MIN(F20,Reprogramaciones!N$9),11)/NETWORKDAYS.INTL(E20,F20,11)*100,1)))-IF(Reprogramaciones!M$9&lt;E20,0,IF(NETWORKDAYS.INTL(E20,F20,11)=0,IF(Reprogramaciones!M$9&gt;=F20,100,0),ROUND(NETWORKDAYS.INTL(E20,MIN(F20,Reprogramaciones!M$9),11)/NETWORKDAYS.INTL(E20,F20,11)*100,1))))</f>
        <v>0</v>
      </c>
      <c r="K20" s="36" t="n">
        <f aca="false">IF(OR(NOT(AND(ISNUMBER(E20),ISNUMBER(F20))),$J$2=""),"",IF(Reprogramaciones!O$9&lt;E20,0,IF(NETWORKDAYS.INTL(E20,F20,11)=0,IF(Reprogramaciones!O$9&gt;=F20,100,0),ROUND(NETWORKDAYS.INTL(E20,MIN(F20,Reprogramaciones!O$9),11)/NETWORKDAYS.INTL(E20,F20,11)*100,1)))-IF(Reprogramaciones!N$9&lt;E20,0,IF(NETWORKDAYS.INTL(E20,F20,11)=0,IF(Reprogramaciones!N$9&gt;=F20,100,0),ROUND(NETWORKDAYS.INTL(E20,MIN(F20,Reprogramaciones!N$9),11)/NETWORKDAYS.INTL(E20,F20,11)*100,1))))</f>
        <v>0</v>
      </c>
      <c r="L20" s="36" t="n">
        <f aca="false">IF(OR(NOT(AND(ISNUMBER(E20),ISNUMBER(F20))),$J$2=""),"",IF(Reprogramaciones!P$9&lt;E20,0,IF(NETWORKDAYS.INTL(E20,F20,11)=0,IF(Reprogramaciones!P$9&gt;=F20,100,0),ROUND(NETWORKDAYS.INTL(E20,MIN(F20,Reprogramaciones!P$9),11)/NETWORKDAYS.INTL(E20,F20,11)*100,1)))-IF(Reprogramaciones!O$9&lt;E20,0,IF(NETWORKDAYS.INTL(E20,F20,11)=0,IF(Reprogramaciones!O$9&gt;=F20,100,0),ROUND(NETWORKDAYS.INTL(E20,MIN(F20,Reprogramaciones!O$9),11)/NETWORKDAYS.INTL(E20,F20,11)*100,1))))</f>
        <v>0</v>
      </c>
      <c r="M20" s="36" t="n">
        <f aca="false">IF(OR(NOT(AND(ISNUMBER(E20),ISNUMBER(F20))),$J$2=""),"",IF(Reprogramaciones!Q$9&lt;E20,0,IF(NETWORKDAYS.INTL(E20,F20,11)=0,IF(Reprogramaciones!Q$9&gt;=F20,100,0),ROUND(NETWORKDAYS.INTL(E20,MIN(F20,Reprogramaciones!Q$9),11)/NETWORKDAYS.INTL(E20,F20,11)*100,1)))-IF(Reprogramaciones!P$9&lt;E20,0,IF(NETWORKDAYS.INTL(E20,F20,11)=0,IF(Reprogramaciones!P$9&gt;=F20,100,0),ROUND(NETWORKDAYS.INTL(E20,MIN(F20,Reprogramaciones!P$9),11)/NETWORKDAYS.INTL(E20,F20,11)*100,1))))</f>
        <v>0</v>
      </c>
      <c r="N20" s="36" t="n">
        <f aca="false">IF(OR(NOT(AND(ISNUMBER(E20),ISNUMBER(F20))),$J$2=""),"",IF(Reprogramaciones!R$9&lt;E20,0,IF(NETWORKDAYS.INTL(E20,F20,11)=0,IF(Reprogramaciones!R$9&gt;=F20,100,0),ROUND(NETWORKDAYS.INTL(E20,MIN(F20,Reprogramaciones!R$9),11)/NETWORKDAYS.INTL(E20,F20,11)*100,1)))-IF(Reprogramaciones!Q$9&lt;E20,0,IF(NETWORKDAYS.INTL(E20,F20,11)=0,IF(Reprogramaciones!Q$9&gt;=F20,100,0),ROUND(NETWORKDAYS.INTL(E20,MIN(F20,Reprogramaciones!Q$9),11)/NETWORKDAYS.INTL(E20,F20,11)*100,1))))</f>
        <v>0</v>
      </c>
      <c r="O20" s="36" t="n">
        <f aca="false">IF(OR(NOT(AND(ISNUMBER(E20),ISNUMBER(F20))),$J$2=""),"",IF(Reprogramaciones!S$9&lt;E20,0,IF(NETWORKDAYS.INTL(E20,F20,11)=0,IF(Reprogramaciones!S$9&gt;=F20,100,0),ROUND(NETWORKDAYS.INTL(E20,MIN(F20,Reprogramaciones!S$9),11)/NETWORKDAYS.INTL(E20,F20,11)*100,1)))-IF(Reprogramaciones!R$9&lt;E20,0,IF(NETWORKDAYS.INTL(E20,F20,11)=0,IF(Reprogramaciones!R$9&gt;=F20,100,0),ROUND(NETWORKDAYS.INTL(E20,MIN(F20,Reprogramaciones!R$9),11)/NETWORKDAYS.INTL(E20,F20,11)*100,1))))</f>
        <v>0</v>
      </c>
      <c r="P20" s="36" t="n">
        <f aca="false">IF(OR(NOT(AND(ISNUMBER(E20),ISNUMBER(F20))),$J$2=""),"",IF(Reprogramaciones!T$9&lt;E20,0,IF(NETWORKDAYS.INTL(E20,F20,11)=0,IF(Reprogramaciones!T$9&gt;=F20,100,0),ROUND(NETWORKDAYS.INTL(E20,MIN(F20,Reprogramaciones!T$9),11)/NETWORKDAYS.INTL(E20,F20,11)*100,1)))-IF(Reprogramaciones!S$9&lt;E20,0,IF(NETWORKDAYS.INTL(E20,F20,11)=0,IF(Reprogramaciones!S$9&gt;=F20,100,0),ROUND(NETWORKDAYS.INTL(E20,MIN(F20,Reprogramaciones!S$9),11)/NETWORKDAYS.INTL(E20,F20,11)*100,1))))</f>
        <v>0</v>
      </c>
      <c r="Q20" s="37"/>
      <c r="R20" s="37"/>
      <c r="S20" s="37" t="n">
        <v>100</v>
      </c>
      <c r="T20" s="37"/>
      <c r="U20" s="37"/>
      <c r="V20" s="37"/>
      <c r="W20" s="37"/>
      <c r="X20" s="37"/>
      <c r="Y20" s="37"/>
      <c r="Z20" s="37"/>
      <c r="AA20" s="37"/>
      <c r="AB20" s="37"/>
      <c r="AC20" s="37"/>
      <c r="AD20" s="37"/>
      <c r="AE20" s="37"/>
      <c r="AF20" s="37"/>
      <c r="AG20" s="38" t="n">
        <f aca="false">IF(AND(ISNUMBER(E20),ISNUMBER(F20)),NETWORKDAYS.INTL(E20,F20,11),"")</f>
        <v>5</v>
      </c>
      <c r="AH20" s="38" t="n">
        <f aca="false">IF(OR(NOT(AND(ISNUMBER(E20),ISNUMBER(F20))),$J$2=""),"",IF(Reprogramaciones!$P$15&lt;Reprogramaciones!$T$15,0,IF(Reprogramaciones!$R$15&gt;10,MIN(100,SUM($G20:$P20)),MIN(100,SUMPRODUCT((COLUMN($G20:$P20)-COLUMN($G20)+1&lt;Reprogramaciones!$R$15)*$G20:$P20)+N(INDEX($G20:$P20,1,Reprogramaciones!$R$15))*IF(Reprogramaciones!$P$15&gt;=(Reprogramaciones!$T$15+7*(Reprogramaciones!$R$15-1))+6,1,IF(MAX(0,NETWORKDAYS.INTL(MAX(E20,(Reprogramaciones!$T$15+7*(Reprogramaciones!$R$15-1))),MIN(F20,(Reprogramaciones!$T$15+7*(Reprogramaciones!$R$15-1))+6),11))=0,0,MAX(0,NETWORKDAYS.INTL(MAX(E20,(Reprogramaciones!$T$15+7*(Reprogramaciones!$R$15-1))),MIN(F20,Reprogramaciones!$P$15),11))/MAX(0,NETWORKDAYS.INTL(MAX(E20,(Reprogramaciones!$T$15+7*(Reprogramaciones!$R$15-1))),MIN(F20,(Reprogramaciones!$T$15+7*(Reprogramaciones!$R$15-1))+6),11))))))))</f>
        <v>100</v>
      </c>
      <c r="AI20" s="38" t="n">
        <f aca="false">IF(COUNT($Q20:$AF20)=0,"",IF(ROUND(SUM($Q20:$AF20),1)&gt;=99.5,100,MIN(100,ROUND(SUM($Q20:$AF20),1))))</f>
        <v>100</v>
      </c>
      <c r="AJ20" s="38" t="n">
        <f aca="false">IF(OR(AH20="",AI20=""),"",AI20-AH20)</f>
        <v>0</v>
      </c>
      <c r="AK20" s="39" t="str">
        <f aca="true">IF(AH20="","",IF(OR(Ficha!$C$10="Suspendida",Ficha!$C$10="Cancelada"),Ficha!$C$10,IF(AND(AI20&lt;&gt;"",N(AI20)&gt;=100),"Completada",IF(AND(E20&gt;TODAY(),N(AI20)=0),"Por iniciar",IF(N(AI20)+0.5&lt;AH20,"Retrasada",IF(N(AI20)+0.5&lt;DA20,IF(Reprogramaciones!$K$15&gt;0,"Al día · Sem "&amp;Reprogramaciones!$K$15&amp;" en curso","Al día · en curso"),"A tiempo"))))))</f>
        <v>Completada</v>
      </c>
      <c r="AL20" s="39" t="str">
        <f aca="true">IF(AND(A20="",AND(B20="",C20="",E20="",F20="",COUNT(Q20:AF20)=0)),"",IF(AND(B20="",C20="",E20="",F20="",COUNT(Q20:AF20)=0),"Falta la partida o subpartida",IF(AND(A20&lt;&gt;"",COUNTIF($A$6:$A$305,A20)&gt;1),"Ítem repetido",IF(AND(C20="",E20="",F20="",COUNT(Q20:AF20)=0),"Título de partida",IF(OR(E20="",F20=""),"Faltan fechas",IF(OR(ISTEXT(E20),ISTEXT(F20)),"Fecha escrita como texto: usa dd/mm/aaaa",IF(F20&lt;E20,"Fin antes del inicio",IF(IF($J$2="",FALSE(),OR(E20&lt;$J$2,F20&gt;Reprogramaciones!$T$15+69)),"Fuera de las 10 semanas",IF(ABS(SUM(G20:P20)-100)&gt;0.5,"La meta no suma 100%",IF(ROUND(SUM(Q20:AF20),1)&gt;100.5,"El avance pasa de 100%",IF(MIN(Q20:AF20)&lt;0,"Avance negativo",IF(COUNTA(Q20:AF20)&gt;COUNT(Q20:AF20),"Avance escrito como texto",IF(SUMPRODUCT((Q20:AF20&gt;0)*(Q20:AF20&lt;1))&gt;0,"Avance menor a 1: escribe 50, no 50%",IF(SUMPRODUCT(ISNUMBER(Q20:AF20)*(Reprogramaciones!$K$8:$Z$8&gt;TODAY()))&gt;0,"Avance en semana que aún no llega",IF(AND(N(Reprogramaciones!$E$21)&gt;0,F20&gt;Reprogramaciones!$E$21),"Pasa el fin de la obra: registra una reprogramación",IF(AND(N(Reprogramaciones!$E$21)&gt;0,SUMPRODUCT(ISNUMBER(Q20:AF20)*(Reprogramaciones!$K$8:$Z$8&gt;Reprogramaciones!$E$21))&gt;0),"Avance después del fin de la obra: registra una reprogramación por atraso","OK"))))))))))))))))</f>
        <v>OK</v>
      </c>
      <c r="AM20" s="40" t="str">
        <f aca="false">IF(OR(OR(NOT(AND(ISNUMBER(E20),ISNUMBER(F20))),$J$2=""),1&gt;MAX(1,Reprogramaciones!$U$15)),"",IF(Reprogramaciones!K$12&gt;=7,"",IF(OR(BT20-N(0)&gt;0.05,N(Q20)&gt;0),ROUNDDOWN(ROUND(BT20,6),0)&amp;"%"&amp;IF(CJ20="",""," / "&amp;CJ20&amp;"%"),IF(AND(N(0)&gt;=99.95,CJ20&lt;&gt;"",N(CJ20)&lt;100),"Pend. "&amp;CJ20&amp;"%",""))))</f>
        <v/>
      </c>
      <c r="AN20" s="40" t="str">
        <f aca="false">IF(OR(OR(NOT(AND(ISNUMBER(E20),ISNUMBER(F20))),$J$2=""),2&gt;MAX(1,Reprogramaciones!$U$15)),"",IF(Reprogramaciones!L$12&gt;=7,"",IF(OR(BU20-N(BT20)&gt;0.05,N(R20)&gt;0),ROUNDDOWN(ROUND(BU20,6),0)&amp;"%"&amp;IF(CK20="",""," / "&amp;CK20&amp;"%"),IF(AND(N(BT20)&gt;=99.95,CK20&lt;&gt;"",N(CK20)&lt;100),"Pend. "&amp;CK20&amp;"%",""))))</f>
        <v/>
      </c>
      <c r="AO20" s="40" t="str">
        <f aca="false">IF(OR(OR(NOT(AND(ISNUMBER(E20),ISNUMBER(F20))),$J$2=""),3&gt;MAX(1,Reprogramaciones!$U$15)),"",IF(Reprogramaciones!M$12&gt;=7,"",IF(OR(BV20-N(BU20)&gt;0.05,N(S20)&gt;0),ROUNDDOWN(ROUND(BV20,6),0)&amp;"%"&amp;IF(CL20="",""," / "&amp;CL20&amp;"%"),IF(AND(N(BU20)&gt;=99.95,CL20&lt;&gt;"",N(CL20)&lt;100),"Pend. "&amp;CL20&amp;"%",""))))</f>
        <v>100% / 100%</v>
      </c>
      <c r="AP20" s="40" t="str">
        <f aca="false">IF(OR(OR(NOT(AND(ISNUMBER(E20),ISNUMBER(F20))),$J$2=""),4&gt;MAX(1,Reprogramaciones!$U$15)),"",IF(Reprogramaciones!N$12&gt;=7,"",IF(OR(BW20-N(BV20)&gt;0.05,N(T20)&gt;0),ROUNDDOWN(ROUND(BW20,6),0)&amp;"%"&amp;IF(CM20="",""," / "&amp;CM20&amp;"%"),IF(AND(N(BV20)&gt;=99.95,CM20&lt;&gt;"",N(CM20)&lt;100),"Pend. "&amp;CM20&amp;"%",""))))</f>
        <v/>
      </c>
      <c r="AQ20" s="40" t="str">
        <f aca="false">IF(OR(OR(NOT(AND(ISNUMBER(E20),ISNUMBER(F20))),$J$2=""),5&gt;MAX(1,Reprogramaciones!$U$15)),"",IF(Reprogramaciones!O$12&gt;=7,"",IF(OR(BX20-N(BW20)&gt;0.05,N(U20)&gt;0),ROUNDDOWN(ROUND(BX20,6),0)&amp;"%"&amp;IF(CN20="",""," / "&amp;CN20&amp;"%"),IF(AND(N(BW20)&gt;=99.95,CN20&lt;&gt;"",N(CN20)&lt;100),"Pend. "&amp;CN20&amp;"%",""))))</f>
        <v/>
      </c>
      <c r="AR20" s="40" t="str">
        <f aca="false">IF(OR(OR(NOT(AND(ISNUMBER(E20),ISNUMBER(F20))),$J$2=""),6&gt;MAX(1,Reprogramaciones!$U$15)),"",IF(Reprogramaciones!P$12&gt;=7,"",IF(OR(BY20-N(BX20)&gt;0.05,N(V20)&gt;0),ROUNDDOWN(ROUND(BY20,6),0)&amp;"%"&amp;IF(CO20="",""," / "&amp;CO20&amp;"%"),IF(AND(N(BX20)&gt;=99.95,CO20&lt;&gt;"",N(CO20)&lt;100),"Pend. "&amp;CO20&amp;"%",""))))</f>
        <v/>
      </c>
      <c r="AS20" s="40" t="str">
        <f aca="false">IF(OR(OR(NOT(AND(ISNUMBER(E20),ISNUMBER(F20))),$J$2=""),7&gt;MAX(1,Reprogramaciones!$U$15)),"",IF(Reprogramaciones!Q$12&gt;=7,"",IF(OR(BZ20-N(BY20)&gt;0.05,N(W20)&gt;0),ROUNDDOWN(ROUND(BZ20,6),0)&amp;"%"&amp;IF(CP20="",""," / "&amp;CP20&amp;"%"),IF(AND(N(BY20)&gt;=99.95,CP20&lt;&gt;"",N(CP20)&lt;100),"Pend. "&amp;CP20&amp;"%",""))))</f>
        <v/>
      </c>
      <c r="AT20" s="40" t="str">
        <f aca="false">IF(OR(OR(NOT(AND(ISNUMBER(E20),ISNUMBER(F20))),$J$2=""),8&gt;MAX(1,Reprogramaciones!$U$15)),"",IF(Reprogramaciones!R$12&gt;=7,"",IF(OR(CA20-N(BZ20)&gt;0.05,N(X20)&gt;0),ROUNDDOWN(ROUND(CA20,6),0)&amp;"%"&amp;IF(CQ20="",""," / "&amp;CQ20&amp;"%"),IF(AND(N(BZ20)&gt;=99.95,CQ20&lt;&gt;"",N(CQ20)&lt;100),"Pend. "&amp;CQ20&amp;"%",""))))</f>
        <v/>
      </c>
      <c r="AU20" s="40" t="str">
        <f aca="false">IF(OR(OR(NOT(AND(ISNUMBER(E20),ISNUMBER(F20))),$J$2=""),9&gt;MAX(1,Reprogramaciones!$U$15)),"",IF(Reprogramaciones!S$12&gt;=7,"",IF(OR(CB20-N(CA20)&gt;0.05,N(Y20)&gt;0),ROUNDDOWN(ROUND(CB20,6),0)&amp;"%"&amp;IF(CR20="",""," / "&amp;CR20&amp;"%"),IF(AND(N(CA20)&gt;=99.95,CR20&lt;&gt;"",N(CR20)&lt;100),"Pend. "&amp;CR20&amp;"%",""))))</f>
        <v/>
      </c>
      <c r="AV20" s="40" t="str">
        <f aca="false">IF(OR(OR(NOT(AND(ISNUMBER(E20),ISNUMBER(F20))),$J$2=""),10&gt;MAX(1,Reprogramaciones!$U$15)),"",IF(Reprogramaciones!T$12&gt;=7,"",IF(OR(CC20-N(CB20)&gt;0.05,N(Z20)&gt;0),ROUNDDOWN(ROUND(CC20,6),0)&amp;"%"&amp;IF(CS20="",""," / "&amp;CS20&amp;"%"),IF(AND(N(CB20)&gt;=99.95,CS20&lt;&gt;"",N(CS20)&lt;100),"Pend. "&amp;CS20&amp;"%",""))))</f>
        <v/>
      </c>
      <c r="AW20" s="40" t="str">
        <f aca="false">IF(OR(OR(NOT(AND(ISNUMBER(E20),ISNUMBER(F20))),$J$2=""),11&gt;MAX(1,Reprogramaciones!$U$15)),"",IF(Reprogramaciones!U$12&gt;=7,"",IF(OR(CD20-N(CC20)&gt;0.05,N(AA20)&gt;0),ROUNDDOWN(ROUND(CD20,6),0)&amp;"%"&amp;IF(CT20="",""," / "&amp;CT20&amp;"%"),IF(AND(N(CC20)&gt;=99.95,CT20&lt;&gt;"",N(CT20)&lt;100),"Pend. "&amp;CT20&amp;"%",""))))</f>
        <v/>
      </c>
      <c r="AX20" s="40" t="str">
        <f aca="false">IF(OR(OR(NOT(AND(ISNUMBER(E20),ISNUMBER(F20))),$J$2=""),12&gt;MAX(1,Reprogramaciones!$U$15)),"",IF(Reprogramaciones!V$12&gt;=7,"",IF(OR(CE20-N(CD20)&gt;0.05,N(AB20)&gt;0),ROUNDDOWN(ROUND(CE20,6),0)&amp;"%"&amp;IF(CU20="",""," / "&amp;CU20&amp;"%"),IF(AND(N(CD20)&gt;=99.95,CU20&lt;&gt;"",N(CU20)&lt;100),"Pend. "&amp;CU20&amp;"%",""))))</f>
        <v/>
      </c>
      <c r="AY20" s="40" t="str">
        <f aca="false">IF(OR(OR(NOT(AND(ISNUMBER(E20),ISNUMBER(F20))),$J$2=""),13&gt;MAX(1,Reprogramaciones!$U$15)),"",IF(Reprogramaciones!W$12&gt;=7,"",IF(OR(CF20-N(CE20)&gt;0.05,N(AC20)&gt;0),ROUNDDOWN(ROUND(CF20,6),0)&amp;"%"&amp;IF(CV20="",""," / "&amp;CV20&amp;"%"),IF(AND(N(CE20)&gt;=99.95,CV20&lt;&gt;"",N(CV20)&lt;100),"Pend. "&amp;CV20&amp;"%",""))))</f>
        <v/>
      </c>
      <c r="AZ20" s="40" t="str">
        <f aca="false">IF(OR(OR(NOT(AND(ISNUMBER(E20),ISNUMBER(F20))),$J$2=""),14&gt;MAX(1,Reprogramaciones!$U$15)),"",IF(Reprogramaciones!X$12&gt;=7,"",IF(OR(CG20-N(CF20)&gt;0.05,N(AD20)&gt;0),ROUNDDOWN(ROUND(CG20,6),0)&amp;"%"&amp;IF(CW20="",""," / "&amp;CW20&amp;"%"),IF(AND(N(CF20)&gt;=99.95,CW20&lt;&gt;"",N(CW20)&lt;100),"Pend. "&amp;CW20&amp;"%",""))))</f>
        <v/>
      </c>
      <c r="BA20" s="40" t="str">
        <f aca="false">IF(OR(OR(NOT(AND(ISNUMBER(E20),ISNUMBER(F20))),$J$2=""),15&gt;MAX(1,Reprogramaciones!$U$15)),"",IF(Reprogramaciones!Y$12&gt;=7,"",IF(OR(CH20-N(CG20)&gt;0.05,N(AE20)&gt;0),ROUNDDOWN(ROUND(CH20,6),0)&amp;"%"&amp;IF(CX20="",""," / "&amp;CX20&amp;"%"),IF(AND(N(CG20)&gt;=99.95,CX20&lt;&gt;"",N(CX20)&lt;100),"Pend. "&amp;CX20&amp;"%",""))))</f>
        <v/>
      </c>
      <c r="BB20" s="40" t="str">
        <f aca="false">IF(OR(OR(NOT(AND(ISNUMBER(E20),ISNUMBER(F20))),$J$2=""),16&gt;MAX(1,Reprogramaciones!$U$15)),"",IF(Reprogramaciones!Z$12&gt;=7,"",IF(OR(CI20-N(CH20)&gt;0.05,N(AF20)&gt;0),ROUNDDOWN(ROUND(CI20,6),0)&amp;"%"&amp;IF(CY20="",""," / "&amp;CY20&amp;"%"),IF(AND(N(CH20)&gt;=99.95,CY20&lt;&gt;"",N(CY20)&lt;100),"Pend. "&amp;CY20&amp;"%",""))))</f>
        <v/>
      </c>
      <c r="BC20" s="31" t="n">
        <f aca="false">IF(AND(ISNUMBER(E20),ISNUMBER(F20)),MAX(1,NETWORKDAYS.INTL(E20,F20,11)),0)</f>
        <v>5</v>
      </c>
      <c r="BD20" s="1" t="n">
        <f aca="false">IF(OR(NOT(AND(ISNUMBER(E20),ISNUMBER(F20))),$J$2=""),"",MIN(100,ROUND(SUM($G20:G20),1)))</f>
        <v>0</v>
      </c>
      <c r="BE20" s="1" t="n">
        <f aca="false">IF(OR(NOT(AND(ISNUMBER(E20),ISNUMBER(F20))),$J$2=""),"",MIN(100,ROUND(SUM($G20:H20),1)))</f>
        <v>0</v>
      </c>
      <c r="BF20" s="1" t="n">
        <f aca="false">IF(OR(NOT(AND(ISNUMBER(E20),ISNUMBER(F20))),$J$2=""),"",MIN(100,ROUND(SUM($G20:I20),1)))</f>
        <v>100</v>
      </c>
      <c r="BG20" s="1" t="n">
        <f aca="false">IF(OR(NOT(AND(ISNUMBER(E20),ISNUMBER(F20))),$J$2=""),"",MIN(100,ROUND(SUM($G20:J20),1)))</f>
        <v>100</v>
      </c>
      <c r="BH20" s="1" t="n">
        <f aca="false">IF(OR(NOT(AND(ISNUMBER(E20),ISNUMBER(F20))),$J$2=""),"",MIN(100,ROUND(SUM($G20:K20),1)))</f>
        <v>100</v>
      </c>
      <c r="BI20" s="1" t="n">
        <f aca="false">IF(OR(NOT(AND(ISNUMBER(E20),ISNUMBER(F20))),$J$2=""),"",MIN(100,ROUND(SUM($G20:L20),1)))</f>
        <v>100</v>
      </c>
      <c r="BJ20" s="1" t="n">
        <f aca="false">IF(OR(NOT(AND(ISNUMBER(E20),ISNUMBER(F20))),$J$2=""),"",MIN(100,ROUND(SUM($G20:M20),1)))</f>
        <v>100</v>
      </c>
      <c r="BK20" s="1" t="n">
        <f aca="false">IF(OR(NOT(AND(ISNUMBER(E20),ISNUMBER(F20))),$J$2=""),"",MIN(100,ROUND(SUM($G20:N20),1)))</f>
        <v>100</v>
      </c>
      <c r="BL20" s="1" t="n">
        <f aca="false">IF(OR(NOT(AND(ISNUMBER(E20),ISNUMBER(F20))),$J$2=""),"",MIN(100,ROUND(SUM($G20:O20),1)))</f>
        <v>100</v>
      </c>
      <c r="BM20" s="1" t="n">
        <f aca="false">IF(OR(NOT(AND(ISNUMBER(E20),ISNUMBER(F20))),$J$2=""),"",MIN(100,ROUND(SUM($G20:P20),1)))</f>
        <v>100</v>
      </c>
      <c r="BN20" s="1" t="n">
        <f aca="false">IF(OR(NOT(AND(ISNUMBER(E20),ISNUMBER(F20))),$J$2=""),"",MIN(100,ROUND(SUM($G20:P20),1)))</f>
        <v>100</v>
      </c>
      <c r="BO20" s="1" t="n">
        <f aca="false">IF(OR(NOT(AND(ISNUMBER(E20),ISNUMBER(F20))),$J$2=""),"",MIN(100,ROUND(SUM($G20:P20),1)))</f>
        <v>100</v>
      </c>
      <c r="BP20" s="1" t="n">
        <f aca="false">IF(OR(NOT(AND(ISNUMBER(E20),ISNUMBER(F20))),$J$2=""),"",MIN(100,ROUND(SUM($G20:P20),1)))</f>
        <v>100</v>
      </c>
      <c r="BQ20" s="1" t="n">
        <f aca="false">IF(OR(NOT(AND(ISNUMBER(E20),ISNUMBER(F20))),$J$2=""),"",MIN(100,ROUND(SUM($G20:P20),1)))</f>
        <v>100</v>
      </c>
      <c r="BR20" s="1" t="n">
        <f aca="false">IF(OR(NOT(AND(ISNUMBER(E20),ISNUMBER(F20))),$J$2=""),"",MIN(100,ROUND(SUM($G20:P20),1)))</f>
        <v>100</v>
      </c>
      <c r="BS20" s="1" t="n">
        <f aca="false">IF(OR(NOT(AND(ISNUMBER(E20),ISNUMBER(F20))),$J$2=""),"",MIN(100,ROUND(SUM($G20:P20),1)))</f>
        <v>100</v>
      </c>
      <c r="BT20" s="1" t="n">
        <f aca="false">IF(OR(NOT(AND(ISNUMBER(E20),ISNUMBER(F20))),$J$2=""),"",IF(Reprogramaciones!K$13&lt;Reprogramaciones!$T$15,0,IF(Reprogramaciones!K$14&gt;10,MIN(100,SUM($G20:$P20)),MIN(100,SUMPRODUCT((COLUMN($G20:$P20)-COLUMN($G20)+1&lt;Reprogramaciones!K$14)*$G20:$P20)+N(INDEX($G20:$P20,1,Reprogramaciones!K$14))*IF(Reprogramaciones!K$13&gt;=(Reprogramaciones!$T$15+7*(Reprogramaciones!K$14-1))+6,1,IF(MAX(0,NETWORKDAYS.INTL(MAX(E20,(Reprogramaciones!$T$15+7*(Reprogramaciones!K$14-1))),MIN(F20,(Reprogramaciones!$T$15+7*(Reprogramaciones!K$14-1))+6),11))=0,0,MAX(0,NETWORKDAYS.INTL(MAX(E20,(Reprogramaciones!$T$15+7*(Reprogramaciones!K$14-1))),MIN(F20,Reprogramaciones!K$13),11))/MAX(0,NETWORKDAYS.INTL(MAX(E20,(Reprogramaciones!$T$15+7*(Reprogramaciones!K$14-1))),MIN(F20,(Reprogramaciones!$T$15+7*(Reprogramaciones!K$14-1))+6),11))))))))</f>
        <v>0</v>
      </c>
      <c r="BU20" s="1" t="n">
        <f aca="false">IF(OR(NOT(AND(ISNUMBER(E20),ISNUMBER(F20))),$J$2=""),"",IF(Reprogramaciones!L$13&lt;Reprogramaciones!$T$15,0,IF(Reprogramaciones!L$14&gt;10,MIN(100,SUM($G20:$P20)),MIN(100,SUMPRODUCT((COLUMN($G20:$P20)-COLUMN($G20)+1&lt;Reprogramaciones!L$14)*$G20:$P20)+N(INDEX($G20:$P20,1,Reprogramaciones!L$14))*IF(Reprogramaciones!L$13&gt;=(Reprogramaciones!$T$15+7*(Reprogramaciones!L$14-1))+6,1,IF(MAX(0,NETWORKDAYS.INTL(MAX(E20,(Reprogramaciones!$T$15+7*(Reprogramaciones!L$14-1))),MIN(F20,(Reprogramaciones!$T$15+7*(Reprogramaciones!L$14-1))+6),11))=0,0,MAX(0,NETWORKDAYS.INTL(MAX(E20,(Reprogramaciones!$T$15+7*(Reprogramaciones!L$14-1))),MIN(F20,Reprogramaciones!L$13),11))/MAX(0,NETWORKDAYS.INTL(MAX(E20,(Reprogramaciones!$T$15+7*(Reprogramaciones!L$14-1))),MIN(F20,(Reprogramaciones!$T$15+7*(Reprogramaciones!L$14-1))+6),11))))))))</f>
        <v>0</v>
      </c>
      <c r="BV20" s="1" t="n">
        <f aca="false">IF(OR(NOT(AND(ISNUMBER(E20),ISNUMBER(F20))),$J$2=""),"",IF(Reprogramaciones!M$13&lt;Reprogramaciones!$T$15,0,IF(Reprogramaciones!M$14&gt;10,MIN(100,SUM($G20:$P20)),MIN(100,SUMPRODUCT((COLUMN($G20:$P20)-COLUMN($G20)+1&lt;Reprogramaciones!M$14)*$G20:$P20)+N(INDEX($G20:$P20,1,Reprogramaciones!M$14))*IF(Reprogramaciones!M$13&gt;=(Reprogramaciones!$T$15+7*(Reprogramaciones!M$14-1))+6,1,IF(MAX(0,NETWORKDAYS.INTL(MAX(E20,(Reprogramaciones!$T$15+7*(Reprogramaciones!M$14-1))),MIN(F20,(Reprogramaciones!$T$15+7*(Reprogramaciones!M$14-1))+6),11))=0,0,MAX(0,NETWORKDAYS.INTL(MAX(E20,(Reprogramaciones!$T$15+7*(Reprogramaciones!M$14-1))),MIN(F20,Reprogramaciones!M$13),11))/MAX(0,NETWORKDAYS.INTL(MAX(E20,(Reprogramaciones!$T$15+7*(Reprogramaciones!M$14-1))),MIN(F20,(Reprogramaciones!$T$15+7*(Reprogramaciones!M$14-1))+6),11))))))))</f>
        <v>100</v>
      </c>
      <c r="BW20" s="1" t="n">
        <f aca="false">IF(OR(NOT(AND(ISNUMBER(E20),ISNUMBER(F20))),$J$2=""),"",IF(Reprogramaciones!N$13&lt;Reprogramaciones!$T$15,0,IF(Reprogramaciones!N$14&gt;10,MIN(100,SUM($G20:$P20)),MIN(100,SUMPRODUCT((COLUMN($G20:$P20)-COLUMN($G20)+1&lt;Reprogramaciones!N$14)*$G20:$P20)+N(INDEX($G20:$P20,1,Reprogramaciones!N$14))*IF(Reprogramaciones!N$13&gt;=(Reprogramaciones!$T$15+7*(Reprogramaciones!N$14-1))+6,1,IF(MAX(0,NETWORKDAYS.INTL(MAX(E20,(Reprogramaciones!$T$15+7*(Reprogramaciones!N$14-1))),MIN(F20,(Reprogramaciones!$T$15+7*(Reprogramaciones!N$14-1))+6),11))=0,0,MAX(0,NETWORKDAYS.INTL(MAX(E20,(Reprogramaciones!$T$15+7*(Reprogramaciones!N$14-1))),MIN(F20,Reprogramaciones!N$13),11))/MAX(0,NETWORKDAYS.INTL(MAX(E20,(Reprogramaciones!$T$15+7*(Reprogramaciones!N$14-1))),MIN(F20,(Reprogramaciones!$T$15+7*(Reprogramaciones!N$14-1))+6),11))))))))</f>
        <v>100</v>
      </c>
      <c r="BX20" s="1" t="n">
        <f aca="false">IF(OR(NOT(AND(ISNUMBER(E20),ISNUMBER(F20))),$J$2=""),"",IF(Reprogramaciones!O$13&lt;Reprogramaciones!$T$15,0,IF(Reprogramaciones!O$14&gt;10,MIN(100,SUM($G20:$P20)),MIN(100,SUMPRODUCT((COLUMN($G20:$P20)-COLUMN($G20)+1&lt;Reprogramaciones!O$14)*$G20:$P20)+N(INDEX($G20:$P20,1,Reprogramaciones!O$14))*IF(Reprogramaciones!O$13&gt;=(Reprogramaciones!$T$15+7*(Reprogramaciones!O$14-1))+6,1,IF(MAX(0,NETWORKDAYS.INTL(MAX(E20,(Reprogramaciones!$T$15+7*(Reprogramaciones!O$14-1))),MIN(F20,(Reprogramaciones!$T$15+7*(Reprogramaciones!O$14-1))+6),11))=0,0,MAX(0,NETWORKDAYS.INTL(MAX(E20,(Reprogramaciones!$T$15+7*(Reprogramaciones!O$14-1))),MIN(F20,Reprogramaciones!O$13),11))/MAX(0,NETWORKDAYS.INTL(MAX(E20,(Reprogramaciones!$T$15+7*(Reprogramaciones!O$14-1))),MIN(F20,(Reprogramaciones!$T$15+7*(Reprogramaciones!O$14-1))+6),11))))))))</f>
        <v>100</v>
      </c>
      <c r="BY20" s="1" t="n">
        <f aca="false">IF(OR(NOT(AND(ISNUMBER(E20),ISNUMBER(F20))),$J$2=""),"",IF(Reprogramaciones!P$13&lt;Reprogramaciones!$T$15,0,IF(Reprogramaciones!P$14&gt;10,MIN(100,SUM($G20:$P20)),MIN(100,SUMPRODUCT((COLUMN($G20:$P20)-COLUMN($G20)+1&lt;Reprogramaciones!P$14)*$G20:$P20)+N(INDEX($G20:$P20,1,Reprogramaciones!P$14))*IF(Reprogramaciones!P$13&gt;=(Reprogramaciones!$T$15+7*(Reprogramaciones!P$14-1))+6,1,IF(MAX(0,NETWORKDAYS.INTL(MAX(E20,(Reprogramaciones!$T$15+7*(Reprogramaciones!P$14-1))),MIN(F20,(Reprogramaciones!$T$15+7*(Reprogramaciones!P$14-1))+6),11))=0,0,MAX(0,NETWORKDAYS.INTL(MAX(E20,(Reprogramaciones!$T$15+7*(Reprogramaciones!P$14-1))),MIN(F20,Reprogramaciones!P$13),11))/MAX(0,NETWORKDAYS.INTL(MAX(E20,(Reprogramaciones!$T$15+7*(Reprogramaciones!P$14-1))),MIN(F20,(Reprogramaciones!$T$15+7*(Reprogramaciones!P$14-1))+6),11))))))))</f>
        <v>100</v>
      </c>
      <c r="BZ20" s="1" t="n">
        <f aca="false">IF(OR(NOT(AND(ISNUMBER(E20),ISNUMBER(F20))),$J$2=""),"",IF(Reprogramaciones!Q$13&lt;Reprogramaciones!$T$15,0,IF(Reprogramaciones!Q$14&gt;10,MIN(100,SUM($G20:$P20)),MIN(100,SUMPRODUCT((COLUMN($G20:$P20)-COLUMN($G20)+1&lt;Reprogramaciones!Q$14)*$G20:$P20)+N(INDEX($G20:$P20,1,Reprogramaciones!Q$14))*IF(Reprogramaciones!Q$13&gt;=(Reprogramaciones!$T$15+7*(Reprogramaciones!Q$14-1))+6,1,IF(MAX(0,NETWORKDAYS.INTL(MAX(E20,(Reprogramaciones!$T$15+7*(Reprogramaciones!Q$14-1))),MIN(F20,(Reprogramaciones!$T$15+7*(Reprogramaciones!Q$14-1))+6),11))=0,0,MAX(0,NETWORKDAYS.INTL(MAX(E20,(Reprogramaciones!$T$15+7*(Reprogramaciones!Q$14-1))),MIN(F20,Reprogramaciones!Q$13),11))/MAX(0,NETWORKDAYS.INTL(MAX(E20,(Reprogramaciones!$T$15+7*(Reprogramaciones!Q$14-1))),MIN(F20,(Reprogramaciones!$T$15+7*(Reprogramaciones!Q$14-1))+6),11))))))))</f>
        <v>100</v>
      </c>
      <c r="CA20" s="1" t="n">
        <f aca="false">IF(OR(NOT(AND(ISNUMBER(E20),ISNUMBER(F20))),$J$2=""),"",IF(Reprogramaciones!R$13&lt;Reprogramaciones!$T$15,0,IF(Reprogramaciones!R$14&gt;10,MIN(100,SUM($G20:$P20)),MIN(100,SUMPRODUCT((COLUMN($G20:$P20)-COLUMN($G20)+1&lt;Reprogramaciones!R$14)*$G20:$P20)+N(INDEX($G20:$P20,1,Reprogramaciones!R$14))*IF(Reprogramaciones!R$13&gt;=(Reprogramaciones!$T$15+7*(Reprogramaciones!R$14-1))+6,1,IF(MAX(0,NETWORKDAYS.INTL(MAX(E20,(Reprogramaciones!$T$15+7*(Reprogramaciones!R$14-1))),MIN(F20,(Reprogramaciones!$T$15+7*(Reprogramaciones!R$14-1))+6),11))=0,0,MAX(0,NETWORKDAYS.INTL(MAX(E20,(Reprogramaciones!$T$15+7*(Reprogramaciones!R$14-1))),MIN(F20,Reprogramaciones!R$13),11))/MAX(0,NETWORKDAYS.INTL(MAX(E20,(Reprogramaciones!$T$15+7*(Reprogramaciones!R$14-1))),MIN(F20,(Reprogramaciones!$T$15+7*(Reprogramaciones!R$14-1))+6),11))))))))</f>
        <v>100</v>
      </c>
      <c r="CB20" s="1" t="n">
        <f aca="false">IF(OR(NOT(AND(ISNUMBER(E20),ISNUMBER(F20))),$J$2=""),"",IF(Reprogramaciones!S$13&lt;Reprogramaciones!$T$15,0,IF(Reprogramaciones!S$14&gt;10,MIN(100,SUM($G20:$P20)),MIN(100,SUMPRODUCT((COLUMN($G20:$P20)-COLUMN($G20)+1&lt;Reprogramaciones!S$14)*$G20:$P20)+N(INDEX($G20:$P20,1,Reprogramaciones!S$14))*IF(Reprogramaciones!S$13&gt;=(Reprogramaciones!$T$15+7*(Reprogramaciones!S$14-1))+6,1,IF(MAX(0,NETWORKDAYS.INTL(MAX(E20,(Reprogramaciones!$T$15+7*(Reprogramaciones!S$14-1))),MIN(F20,(Reprogramaciones!$T$15+7*(Reprogramaciones!S$14-1))+6),11))=0,0,MAX(0,NETWORKDAYS.INTL(MAX(E20,(Reprogramaciones!$T$15+7*(Reprogramaciones!S$14-1))),MIN(F20,Reprogramaciones!S$13),11))/MAX(0,NETWORKDAYS.INTL(MAX(E20,(Reprogramaciones!$T$15+7*(Reprogramaciones!S$14-1))),MIN(F20,(Reprogramaciones!$T$15+7*(Reprogramaciones!S$14-1))+6),11))))))))</f>
        <v>100</v>
      </c>
      <c r="CC20" s="1" t="n">
        <f aca="false">IF(OR(NOT(AND(ISNUMBER(E20),ISNUMBER(F20))),$J$2=""),"",IF(Reprogramaciones!T$13&lt;Reprogramaciones!$T$15,0,IF(Reprogramaciones!T$14&gt;10,MIN(100,SUM($G20:$P20)),MIN(100,SUMPRODUCT((COLUMN($G20:$P20)-COLUMN($G20)+1&lt;Reprogramaciones!T$14)*$G20:$P20)+N(INDEX($G20:$P20,1,Reprogramaciones!T$14))*IF(Reprogramaciones!T$13&gt;=(Reprogramaciones!$T$15+7*(Reprogramaciones!T$14-1))+6,1,IF(MAX(0,NETWORKDAYS.INTL(MAX(E20,(Reprogramaciones!$T$15+7*(Reprogramaciones!T$14-1))),MIN(F20,(Reprogramaciones!$T$15+7*(Reprogramaciones!T$14-1))+6),11))=0,0,MAX(0,NETWORKDAYS.INTL(MAX(E20,(Reprogramaciones!$T$15+7*(Reprogramaciones!T$14-1))),MIN(F20,Reprogramaciones!T$13),11))/MAX(0,NETWORKDAYS.INTL(MAX(E20,(Reprogramaciones!$T$15+7*(Reprogramaciones!T$14-1))),MIN(F20,(Reprogramaciones!$T$15+7*(Reprogramaciones!T$14-1))+6),11))))))))</f>
        <v>100</v>
      </c>
      <c r="CD20" s="1" t="n">
        <f aca="false">IF(OR(NOT(AND(ISNUMBER(E20),ISNUMBER(F20))),$J$2=""),"",IF(Reprogramaciones!U$13&lt;Reprogramaciones!$T$15,0,IF(Reprogramaciones!U$14&gt;10,MIN(100,SUM($G20:$P20)),MIN(100,SUMPRODUCT((COLUMN($G20:$P20)-COLUMN($G20)+1&lt;Reprogramaciones!U$14)*$G20:$P20)+N(INDEX($G20:$P20,1,Reprogramaciones!U$14))*IF(Reprogramaciones!U$13&gt;=(Reprogramaciones!$T$15+7*(Reprogramaciones!U$14-1))+6,1,IF(MAX(0,NETWORKDAYS.INTL(MAX(E20,(Reprogramaciones!$T$15+7*(Reprogramaciones!U$14-1))),MIN(F20,(Reprogramaciones!$T$15+7*(Reprogramaciones!U$14-1))+6),11))=0,0,MAX(0,NETWORKDAYS.INTL(MAX(E20,(Reprogramaciones!$T$15+7*(Reprogramaciones!U$14-1))),MIN(F20,Reprogramaciones!U$13),11))/MAX(0,NETWORKDAYS.INTL(MAX(E20,(Reprogramaciones!$T$15+7*(Reprogramaciones!U$14-1))),MIN(F20,(Reprogramaciones!$T$15+7*(Reprogramaciones!U$14-1))+6),11))))))))</f>
        <v>100</v>
      </c>
      <c r="CE20" s="1" t="n">
        <f aca="false">IF(OR(NOT(AND(ISNUMBER(E20),ISNUMBER(F20))),$J$2=""),"",IF(Reprogramaciones!V$13&lt;Reprogramaciones!$T$15,0,IF(Reprogramaciones!V$14&gt;10,MIN(100,SUM($G20:$P20)),MIN(100,SUMPRODUCT((COLUMN($G20:$P20)-COLUMN($G20)+1&lt;Reprogramaciones!V$14)*$G20:$P20)+N(INDEX($G20:$P20,1,Reprogramaciones!V$14))*IF(Reprogramaciones!V$13&gt;=(Reprogramaciones!$T$15+7*(Reprogramaciones!V$14-1))+6,1,IF(MAX(0,NETWORKDAYS.INTL(MAX(E20,(Reprogramaciones!$T$15+7*(Reprogramaciones!V$14-1))),MIN(F20,(Reprogramaciones!$T$15+7*(Reprogramaciones!V$14-1))+6),11))=0,0,MAX(0,NETWORKDAYS.INTL(MAX(E20,(Reprogramaciones!$T$15+7*(Reprogramaciones!V$14-1))),MIN(F20,Reprogramaciones!V$13),11))/MAX(0,NETWORKDAYS.INTL(MAX(E20,(Reprogramaciones!$T$15+7*(Reprogramaciones!V$14-1))),MIN(F20,(Reprogramaciones!$T$15+7*(Reprogramaciones!V$14-1))+6),11))))))))</f>
        <v>100</v>
      </c>
      <c r="CF20" s="1" t="n">
        <f aca="false">IF(OR(NOT(AND(ISNUMBER(E20),ISNUMBER(F20))),$J$2=""),"",IF(Reprogramaciones!W$13&lt;Reprogramaciones!$T$15,0,IF(Reprogramaciones!W$14&gt;10,MIN(100,SUM($G20:$P20)),MIN(100,SUMPRODUCT((COLUMN($G20:$P20)-COLUMN($G20)+1&lt;Reprogramaciones!W$14)*$G20:$P20)+N(INDEX($G20:$P20,1,Reprogramaciones!W$14))*IF(Reprogramaciones!W$13&gt;=(Reprogramaciones!$T$15+7*(Reprogramaciones!W$14-1))+6,1,IF(MAX(0,NETWORKDAYS.INTL(MAX(E20,(Reprogramaciones!$T$15+7*(Reprogramaciones!W$14-1))),MIN(F20,(Reprogramaciones!$T$15+7*(Reprogramaciones!W$14-1))+6),11))=0,0,MAX(0,NETWORKDAYS.INTL(MAX(E20,(Reprogramaciones!$T$15+7*(Reprogramaciones!W$14-1))),MIN(F20,Reprogramaciones!W$13),11))/MAX(0,NETWORKDAYS.INTL(MAX(E20,(Reprogramaciones!$T$15+7*(Reprogramaciones!W$14-1))),MIN(F20,(Reprogramaciones!$T$15+7*(Reprogramaciones!W$14-1))+6),11))))))))</f>
        <v>100</v>
      </c>
      <c r="CG20" s="1" t="n">
        <f aca="false">IF(OR(NOT(AND(ISNUMBER(E20),ISNUMBER(F20))),$J$2=""),"",IF(Reprogramaciones!X$13&lt;Reprogramaciones!$T$15,0,IF(Reprogramaciones!X$14&gt;10,MIN(100,SUM($G20:$P20)),MIN(100,SUMPRODUCT((COLUMN($G20:$P20)-COLUMN($G20)+1&lt;Reprogramaciones!X$14)*$G20:$P20)+N(INDEX($G20:$P20,1,Reprogramaciones!X$14))*IF(Reprogramaciones!X$13&gt;=(Reprogramaciones!$T$15+7*(Reprogramaciones!X$14-1))+6,1,IF(MAX(0,NETWORKDAYS.INTL(MAX(E20,(Reprogramaciones!$T$15+7*(Reprogramaciones!X$14-1))),MIN(F20,(Reprogramaciones!$T$15+7*(Reprogramaciones!X$14-1))+6),11))=0,0,MAX(0,NETWORKDAYS.INTL(MAX(E20,(Reprogramaciones!$T$15+7*(Reprogramaciones!X$14-1))),MIN(F20,Reprogramaciones!X$13),11))/MAX(0,NETWORKDAYS.INTL(MAX(E20,(Reprogramaciones!$T$15+7*(Reprogramaciones!X$14-1))),MIN(F20,(Reprogramaciones!$T$15+7*(Reprogramaciones!X$14-1))+6),11))))))))</f>
        <v>100</v>
      </c>
      <c r="CH20" s="1" t="n">
        <f aca="false">IF(OR(NOT(AND(ISNUMBER(E20),ISNUMBER(F20))),$J$2=""),"",IF(Reprogramaciones!Y$13&lt;Reprogramaciones!$T$15,0,IF(Reprogramaciones!Y$14&gt;10,MIN(100,SUM($G20:$P20)),MIN(100,SUMPRODUCT((COLUMN($G20:$P20)-COLUMN($G20)+1&lt;Reprogramaciones!Y$14)*$G20:$P20)+N(INDEX($G20:$P20,1,Reprogramaciones!Y$14))*IF(Reprogramaciones!Y$13&gt;=(Reprogramaciones!$T$15+7*(Reprogramaciones!Y$14-1))+6,1,IF(MAX(0,NETWORKDAYS.INTL(MAX(E20,(Reprogramaciones!$T$15+7*(Reprogramaciones!Y$14-1))),MIN(F20,(Reprogramaciones!$T$15+7*(Reprogramaciones!Y$14-1))+6),11))=0,0,MAX(0,NETWORKDAYS.INTL(MAX(E20,(Reprogramaciones!$T$15+7*(Reprogramaciones!Y$14-1))),MIN(F20,Reprogramaciones!Y$13),11))/MAX(0,NETWORKDAYS.INTL(MAX(E20,(Reprogramaciones!$T$15+7*(Reprogramaciones!Y$14-1))),MIN(F20,(Reprogramaciones!$T$15+7*(Reprogramaciones!Y$14-1))+6),11))))))))</f>
        <v>100</v>
      </c>
      <c r="CI20" s="1" t="n">
        <f aca="false">IF(OR(NOT(AND(ISNUMBER(E20),ISNUMBER(F20))),$J$2=""),"",IF(Reprogramaciones!Z$13&lt;Reprogramaciones!$T$15,0,IF(Reprogramaciones!Z$14&gt;10,MIN(100,SUM($G20:$P20)),MIN(100,SUMPRODUCT((COLUMN($G20:$P20)-COLUMN($G20)+1&lt;Reprogramaciones!Z$14)*$G20:$P20)+N(INDEX($G20:$P20,1,Reprogramaciones!Z$14))*IF(Reprogramaciones!Z$13&gt;=(Reprogramaciones!$T$15+7*(Reprogramaciones!Z$14-1))+6,1,IF(MAX(0,NETWORKDAYS.INTL(MAX(E20,(Reprogramaciones!$T$15+7*(Reprogramaciones!Z$14-1))),MIN(F20,(Reprogramaciones!$T$15+7*(Reprogramaciones!Z$14-1))+6),11))=0,0,MAX(0,NETWORKDAYS.INTL(MAX(E20,(Reprogramaciones!$T$15+7*(Reprogramaciones!Z$14-1))),MIN(F20,Reprogramaciones!Z$13),11))/MAX(0,NETWORKDAYS.INTL(MAX(E20,(Reprogramaciones!$T$15+7*(Reprogramaciones!Z$14-1))),MIN(F20,(Reprogramaciones!$T$15+7*(Reprogramaciones!Z$14-1))+6),11))))))))</f>
        <v>100</v>
      </c>
      <c r="CJ20" s="1" t="n">
        <f aca="false">IF(OR(OR(NOT(AND(ISNUMBER(E20),ISNUMBER(F20))),$J$2=""),1&gt;Reprogramaciones!$K$16),"",IF(ROUND(SUM($Q20:Q20),1)&gt;=99.5,100,MIN(100,ROUND(SUM($Q20:Q20),1))))</f>
        <v>0</v>
      </c>
      <c r="CK20" s="1" t="n">
        <f aca="false">IF(OR(OR(NOT(AND(ISNUMBER(E20),ISNUMBER(F20))),$J$2=""),2&gt;Reprogramaciones!$K$16),"",IF(ROUND(SUM($Q20:R20),1)&gt;=99.5,100,MIN(100,ROUND(SUM($Q20:R20),1))))</f>
        <v>0</v>
      </c>
      <c r="CL20" s="1" t="n">
        <f aca="false">IF(OR(OR(NOT(AND(ISNUMBER(E20),ISNUMBER(F20))),$J$2=""),3&gt;Reprogramaciones!$K$16),"",IF(ROUND(SUM($Q20:S20),1)&gt;=99.5,100,MIN(100,ROUND(SUM($Q20:S20),1))))</f>
        <v>100</v>
      </c>
      <c r="CM20" s="1" t="n">
        <f aca="false">IF(OR(OR(NOT(AND(ISNUMBER(E20),ISNUMBER(F20))),$J$2=""),4&gt;Reprogramaciones!$K$16),"",IF(ROUND(SUM($Q20:T20),1)&gt;=99.5,100,MIN(100,ROUND(SUM($Q20:T20),1))))</f>
        <v>100</v>
      </c>
      <c r="CN20" s="1" t="n">
        <f aca="false">IF(OR(OR(NOT(AND(ISNUMBER(E20),ISNUMBER(F20))),$J$2=""),5&gt;Reprogramaciones!$K$16),"",IF(ROUND(SUM($Q20:U20),1)&gt;=99.5,100,MIN(100,ROUND(SUM($Q20:U20),1))))</f>
        <v>100</v>
      </c>
      <c r="CO20" s="1" t="str">
        <f aca="false">IF(OR(OR(NOT(AND(ISNUMBER(E20),ISNUMBER(F20))),$J$2=""),6&gt;Reprogramaciones!$K$16),"",IF(ROUND(SUM($Q20:V20),1)&gt;=99.5,100,MIN(100,ROUND(SUM($Q20:V20),1))))</f>
        <v/>
      </c>
      <c r="CP20" s="1" t="str">
        <f aca="false">IF(OR(OR(NOT(AND(ISNUMBER(E20),ISNUMBER(F20))),$J$2=""),7&gt;Reprogramaciones!$K$16),"",IF(ROUND(SUM($Q20:W20),1)&gt;=99.5,100,MIN(100,ROUND(SUM($Q20:W20),1))))</f>
        <v/>
      </c>
      <c r="CQ20" s="1" t="str">
        <f aca="false">IF(OR(OR(NOT(AND(ISNUMBER(E20),ISNUMBER(F20))),$J$2=""),8&gt;Reprogramaciones!$K$16),"",IF(ROUND(SUM($Q20:X20),1)&gt;=99.5,100,MIN(100,ROUND(SUM($Q20:X20),1))))</f>
        <v/>
      </c>
      <c r="CR20" s="1" t="str">
        <f aca="false">IF(OR(OR(NOT(AND(ISNUMBER(E20),ISNUMBER(F20))),$J$2=""),9&gt;Reprogramaciones!$K$16),"",IF(ROUND(SUM($Q20:Y20),1)&gt;=99.5,100,MIN(100,ROUND(SUM($Q20:Y20),1))))</f>
        <v/>
      </c>
      <c r="CS20" s="1" t="str">
        <f aca="false">IF(OR(OR(NOT(AND(ISNUMBER(E20),ISNUMBER(F20))),$J$2=""),10&gt;Reprogramaciones!$K$16),"",IF(ROUND(SUM($Q20:Z20),1)&gt;=99.5,100,MIN(100,ROUND(SUM($Q20:Z20),1))))</f>
        <v/>
      </c>
      <c r="CT20" s="1" t="str">
        <f aca="false">IF(OR(OR(NOT(AND(ISNUMBER(E20),ISNUMBER(F20))),$J$2=""),11&gt;Reprogramaciones!$K$16),"",IF(ROUND(SUM($Q20:AA20),1)&gt;=99.5,100,MIN(100,ROUND(SUM($Q20:AA20),1))))</f>
        <v/>
      </c>
      <c r="CU20" s="1" t="str">
        <f aca="false">IF(OR(OR(NOT(AND(ISNUMBER(E20),ISNUMBER(F20))),$J$2=""),12&gt;Reprogramaciones!$K$16),"",IF(ROUND(SUM($Q20:AB20),1)&gt;=99.5,100,MIN(100,ROUND(SUM($Q20:AB20),1))))</f>
        <v/>
      </c>
      <c r="CV20" s="1" t="str">
        <f aca="false">IF(OR(OR(NOT(AND(ISNUMBER(E20),ISNUMBER(F20))),$J$2=""),13&gt;Reprogramaciones!$K$16),"",IF(ROUND(SUM($Q20:AC20),1)&gt;=99.5,100,MIN(100,ROUND(SUM($Q20:AC20),1))))</f>
        <v/>
      </c>
      <c r="CW20" s="1" t="str">
        <f aca="false">IF(OR(OR(NOT(AND(ISNUMBER(E20),ISNUMBER(F20))),$J$2=""),14&gt;Reprogramaciones!$K$16),"",IF(ROUND(SUM($Q20:AD20),1)&gt;=99.5,100,MIN(100,ROUND(SUM($Q20:AD20),1))))</f>
        <v/>
      </c>
      <c r="CX20" s="1" t="str">
        <f aca="false">IF(OR(OR(NOT(AND(ISNUMBER(E20),ISNUMBER(F20))),$J$2=""),15&gt;Reprogramaciones!$K$16),"",IF(ROUND(SUM($Q20:AE20),1)&gt;=99.5,100,MIN(100,ROUND(SUM($Q20:AE20),1))))</f>
        <v/>
      </c>
      <c r="CY20" s="1" t="str">
        <f aca="false">IF(OR(OR(NOT(AND(ISNUMBER(E20),ISNUMBER(F20))),$J$2=""),16&gt;Reprogramaciones!$K$16),"",IF(ROUND(SUM($Q20:AF20),1)&gt;=99.5,100,MIN(100,ROUND(SUM($Q20:AF20),1))))</f>
        <v/>
      </c>
      <c r="CZ20" s="1" t="str">
        <f aca="false">IF(D20&lt;&gt;"",D20,IF(B20&lt;&gt;"","Contractual",CZ19))</f>
        <v>Contractual</v>
      </c>
      <c r="DA20" s="1" t="n">
        <f aca="false">IF(OR(NOT(AND(ISNUMBER(E20),ISNUMBER(F20))),$J$2=""),"",IF(Reprogramaciones!$Q$15&lt;Reprogramaciones!$T$15,0,IF(Reprogramaciones!$S$15&gt;10,MIN(100,SUM($G20:$P20)),MIN(100,SUMPRODUCT((COLUMN($G20:$P20)-COLUMN($G20)+1&lt;Reprogramaciones!$S$15)*$G20:$P20)+N(INDEX($G20:$P20,1,Reprogramaciones!$S$15))*IF(Reprogramaciones!$Q$15&gt;=(Reprogramaciones!$T$15+7*(Reprogramaciones!$S$15-1))+6,1,IF(MAX(0,NETWORKDAYS.INTL(MAX(E20,(Reprogramaciones!$T$15+7*(Reprogramaciones!$S$15-1))),MIN(F20,(Reprogramaciones!$T$15+7*(Reprogramaciones!$S$15-1))+6),11))=0,0,MAX(0,NETWORKDAYS.INTL(MAX(E20,(Reprogramaciones!$T$15+7*(Reprogramaciones!$S$15-1))),MIN(F20,Reprogramaciones!$Q$15),11))/MAX(0,NETWORKDAYS.INTL(MAX(E20,(Reprogramaciones!$T$15+7*(Reprogramaciones!$S$15-1))),MIN(F20,(Reprogramaciones!$T$15+7*(Reprogramaciones!$S$15-1))+6),11))))))))</f>
        <v>100</v>
      </c>
    </row>
    <row r="21" customFormat="false" ht="15" hidden="false" customHeight="false" outlineLevel="0" collapsed="false">
      <c r="A21" s="32" t="s">
        <v>183</v>
      </c>
      <c r="B21" s="33"/>
      <c r="C21" s="33" t="s">
        <v>184</v>
      </c>
      <c r="D21" s="34"/>
      <c r="E21" s="35" t="n">
        <v>46303</v>
      </c>
      <c r="F21" s="35" t="n">
        <v>46308</v>
      </c>
      <c r="G21" s="36" t="n">
        <f aca="false">IF(OR(NOT(AND(ISNUMBER(E21),ISNUMBER(F21))),$J$2=""),"",IF(Reprogramaciones!K$9&lt;E21,0,IF(NETWORKDAYS.INTL(E21,F21,11)=0,IF(Reprogramaciones!K$9&gt;=F21,100,0),ROUND(NETWORKDAYS.INTL(E21,MIN(F21,Reprogramaciones!K$9),11)/NETWORKDAYS.INTL(E21,F21,11)*100,1)))-0)</f>
        <v>0</v>
      </c>
      <c r="H21" s="36" t="n">
        <f aca="false">IF(OR(NOT(AND(ISNUMBER(E21),ISNUMBER(F21))),$J$2=""),"",IF(Reprogramaciones!L$9&lt;E21,0,IF(NETWORKDAYS.INTL(E21,F21,11)=0,IF(Reprogramaciones!L$9&gt;=F21,100,0),ROUND(NETWORKDAYS.INTL(E21,MIN(F21,Reprogramaciones!L$9),11)/NETWORKDAYS.INTL(E21,F21,11)*100,1)))-IF(Reprogramaciones!K$9&lt;E21,0,IF(NETWORKDAYS.INTL(E21,F21,11)=0,IF(Reprogramaciones!K$9&gt;=F21,100,0),ROUND(NETWORKDAYS.INTL(E21,MIN(F21,Reprogramaciones!K$9),11)/NETWORKDAYS.INTL(E21,F21,11)*100,1))))</f>
        <v>0</v>
      </c>
      <c r="I21" s="36" t="n">
        <f aca="false">IF(OR(NOT(AND(ISNUMBER(E21),ISNUMBER(F21))),$J$2=""),"",IF(Reprogramaciones!M$9&lt;E21,0,IF(NETWORKDAYS.INTL(E21,F21,11)=0,IF(Reprogramaciones!M$9&gt;=F21,100,0),ROUND(NETWORKDAYS.INTL(E21,MIN(F21,Reprogramaciones!M$9),11)/NETWORKDAYS.INTL(E21,F21,11)*100,1)))-IF(Reprogramaciones!L$9&lt;E21,0,IF(NETWORKDAYS.INTL(E21,F21,11)=0,IF(Reprogramaciones!L$9&gt;=F21,100,0),ROUND(NETWORKDAYS.INTL(E21,MIN(F21,Reprogramaciones!L$9),11)/NETWORKDAYS.INTL(E21,F21,11)*100,1))))</f>
        <v>60</v>
      </c>
      <c r="J21" s="36" t="n">
        <f aca="false">IF(OR(NOT(AND(ISNUMBER(E21),ISNUMBER(F21))),$J$2=""),"",IF(Reprogramaciones!N$9&lt;E21,0,IF(NETWORKDAYS.INTL(E21,F21,11)=0,IF(Reprogramaciones!N$9&gt;=F21,100,0),ROUND(NETWORKDAYS.INTL(E21,MIN(F21,Reprogramaciones!N$9),11)/NETWORKDAYS.INTL(E21,F21,11)*100,1)))-IF(Reprogramaciones!M$9&lt;E21,0,IF(NETWORKDAYS.INTL(E21,F21,11)=0,IF(Reprogramaciones!M$9&gt;=F21,100,0),ROUND(NETWORKDAYS.INTL(E21,MIN(F21,Reprogramaciones!M$9),11)/NETWORKDAYS.INTL(E21,F21,11)*100,1))))</f>
        <v>40</v>
      </c>
      <c r="K21" s="36" t="n">
        <f aca="false">IF(OR(NOT(AND(ISNUMBER(E21),ISNUMBER(F21))),$J$2=""),"",IF(Reprogramaciones!O$9&lt;E21,0,IF(NETWORKDAYS.INTL(E21,F21,11)=0,IF(Reprogramaciones!O$9&gt;=F21,100,0),ROUND(NETWORKDAYS.INTL(E21,MIN(F21,Reprogramaciones!O$9),11)/NETWORKDAYS.INTL(E21,F21,11)*100,1)))-IF(Reprogramaciones!N$9&lt;E21,0,IF(NETWORKDAYS.INTL(E21,F21,11)=0,IF(Reprogramaciones!N$9&gt;=F21,100,0),ROUND(NETWORKDAYS.INTL(E21,MIN(F21,Reprogramaciones!N$9),11)/NETWORKDAYS.INTL(E21,F21,11)*100,1))))</f>
        <v>0</v>
      </c>
      <c r="L21" s="36" t="n">
        <f aca="false">IF(OR(NOT(AND(ISNUMBER(E21),ISNUMBER(F21))),$J$2=""),"",IF(Reprogramaciones!P$9&lt;E21,0,IF(NETWORKDAYS.INTL(E21,F21,11)=0,IF(Reprogramaciones!P$9&gt;=F21,100,0),ROUND(NETWORKDAYS.INTL(E21,MIN(F21,Reprogramaciones!P$9),11)/NETWORKDAYS.INTL(E21,F21,11)*100,1)))-IF(Reprogramaciones!O$9&lt;E21,0,IF(NETWORKDAYS.INTL(E21,F21,11)=0,IF(Reprogramaciones!O$9&gt;=F21,100,0),ROUND(NETWORKDAYS.INTL(E21,MIN(F21,Reprogramaciones!O$9),11)/NETWORKDAYS.INTL(E21,F21,11)*100,1))))</f>
        <v>0</v>
      </c>
      <c r="M21" s="36" t="n">
        <f aca="false">IF(OR(NOT(AND(ISNUMBER(E21),ISNUMBER(F21))),$J$2=""),"",IF(Reprogramaciones!Q$9&lt;E21,0,IF(NETWORKDAYS.INTL(E21,F21,11)=0,IF(Reprogramaciones!Q$9&gt;=F21,100,0),ROUND(NETWORKDAYS.INTL(E21,MIN(F21,Reprogramaciones!Q$9),11)/NETWORKDAYS.INTL(E21,F21,11)*100,1)))-IF(Reprogramaciones!P$9&lt;E21,0,IF(NETWORKDAYS.INTL(E21,F21,11)=0,IF(Reprogramaciones!P$9&gt;=F21,100,0),ROUND(NETWORKDAYS.INTL(E21,MIN(F21,Reprogramaciones!P$9),11)/NETWORKDAYS.INTL(E21,F21,11)*100,1))))</f>
        <v>0</v>
      </c>
      <c r="N21" s="36" t="n">
        <f aca="false">IF(OR(NOT(AND(ISNUMBER(E21),ISNUMBER(F21))),$J$2=""),"",IF(Reprogramaciones!R$9&lt;E21,0,IF(NETWORKDAYS.INTL(E21,F21,11)=0,IF(Reprogramaciones!R$9&gt;=F21,100,0),ROUND(NETWORKDAYS.INTL(E21,MIN(F21,Reprogramaciones!R$9),11)/NETWORKDAYS.INTL(E21,F21,11)*100,1)))-IF(Reprogramaciones!Q$9&lt;E21,0,IF(NETWORKDAYS.INTL(E21,F21,11)=0,IF(Reprogramaciones!Q$9&gt;=F21,100,0),ROUND(NETWORKDAYS.INTL(E21,MIN(F21,Reprogramaciones!Q$9),11)/NETWORKDAYS.INTL(E21,F21,11)*100,1))))</f>
        <v>0</v>
      </c>
      <c r="O21" s="36" t="n">
        <f aca="false">IF(OR(NOT(AND(ISNUMBER(E21),ISNUMBER(F21))),$J$2=""),"",IF(Reprogramaciones!S$9&lt;E21,0,IF(NETWORKDAYS.INTL(E21,F21,11)=0,IF(Reprogramaciones!S$9&gt;=F21,100,0),ROUND(NETWORKDAYS.INTL(E21,MIN(F21,Reprogramaciones!S$9),11)/NETWORKDAYS.INTL(E21,F21,11)*100,1)))-IF(Reprogramaciones!R$9&lt;E21,0,IF(NETWORKDAYS.INTL(E21,F21,11)=0,IF(Reprogramaciones!R$9&gt;=F21,100,0),ROUND(NETWORKDAYS.INTL(E21,MIN(F21,Reprogramaciones!R$9),11)/NETWORKDAYS.INTL(E21,F21,11)*100,1))))</f>
        <v>0</v>
      </c>
      <c r="P21" s="36" t="n">
        <f aca="false">IF(OR(NOT(AND(ISNUMBER(E21),ISNUMBER(F21))),$J$2=""),"",IF(Reprogramaciones!T$9&lt;E21,0,IF(NETWORKDAYS.INTL(E21,F21,11)=0,IF(Reprogramaciones!T$9&gt;=F21,100,0),ROUND(NETWORKDAYS.INTL(E21,MIN(F21,Reprogramaciones!T$9),11)/NETWORKDAYS.INTL(E21,F21,11)*100,1)))-IF(Reprogramaciones!S$9&lt;E21,0,IF(NETWORKDAYS.INTL(E21,F21,11)=0,IF(Reprogramaciones!S$9&gt;=F21,100,0),ROUND(NETWORKDAYS.INTL(E21,MIN(F21,Reprogramaciones!S$9),11)/NETWORKDAYS.INTL(E21,F21,11)*100,1))))</f>
        <v>0</v>
      </c>
      <c r="Q21" s="37"/>
      <c r="R21" s="37"/>
      <c r="S21" s="37" t="n">
        <v>60</v>
      </c>
      <c r="T21" s="37" t="n">
        <v>40</v>
      </c>
      <c r="U21" s="37"/>
      <c r="V21" s="37"/>
      <c r="W21" s="37"/>
      <c r="X21" s="37"/>
      <c r="Y21" s="37"/>
      <c r="Z21" s="37"/>
      <c r="AA21" s="37"/>
      <c r="AB21" s="37"/>
      <c r="AC21" s="37"/>
      <c r="AD21" s="37"/>
      <c r="AE21" s="37"/>
      <c r="AF21" s="37"/>
      <c r="AG21" s="38" t="n">
        <f aca="false">IF(AND(ISNUMBER(E21),ISNUMBER(F21)),NETWORKDAYS.INTL(E21,F21,11),"")</f>
        <v>5</v>
      </c>
      <c r="AH21" s="38" t="n">
        <f aca="false">IF(OR(NOT(AND(ISNUMBER(E21),ISNUMBER(F21))),$J$2=""),"",IF(Reprogramaciones!$P$15&lt;Reprogramaciones!$T$15,0,IF(Reprogramaciones!$R$15&gt;10,MIN(100,SUM($G21:$P21)),MIN(100,SUMPRODUCT((COLUMN($G21:$P21)-COLUMN($G21)+1&lt;Reprogramaciones!$R$15)*$G21:$P21)+N(INDEX($G21:$P21,1,Reprogramaciones!$R$15))*IF(Reprogramaciones!$P$15&gt;=(Reprogramaciones!$T$15+7*(Reprogramaciones!$R$15-1))+6,1,IF(MAX(0,NETWORKDAYS.INTL(MAX(E21,(Reprogramaciones!$T$15+7*(Reprogramaciones!$R$15-1))),MIN(F21,(Reprogramaciones!$T$15+7*(Reprogramaciones!$R$15-1))+6),11))=0,0,MAX(0,NETWORKDAYS.INTL(MAX(E21,(Reprogramaciones!$T$15+7*(Reprogramaciones!$R$15-1))),MIN(F21,Reprogramaciones!$P$15),11))/MAX(0,NETWORKDAYS.INTL(MAX(E21,(Reprogramaciones!$T$15+7*(Reprogramaciones!$R$15-1))),MIN(F21,(Reprogramaciones!$T$15+7*(Reprogramaciones!$R$15-1))+6),11))))))))</f>
        <v>100</v>
      </c>
      <c r="AI21" s="38" t="n">
        <f aca="false">IF(COUNT($Q21:$AF21)=0,"",IF(ROUND(SUM($Q21:$AF21),1)&gt;=99.5,100,MIN(100,ROUND(SUM($Q21:$AF21),1))))</f>
        <v>100</v>
      </c>
      <c r="AJ21" s="38" t="n">
        <f aca="false">IF(OR(AH21="",AI21=""),"",AI21-AH21)</f>
        <v>0</v>
      </c>
      <c r="AK21" s="39" t="str">
        <f aca="true">IF(AH21="","",IF(OR(Ficha!$C$10="Suspendida",Ficha!$C$10="Cancelada"),Ficha!$C$10,IF(AND(AI21&lt;&gt;"",N(AI21)&gt;=100),"Completada",IF(AND(E21&gt;TODAY(),N(AI21)=0),"Por iniciar",IF(N(AI21)+0.5&lt;AH21,"Retrasada",IF(N(AI21)+0.5&lt;DA21,IF(Reprogramaciones!$K$15&gt;0,"Al día · Sem "&amp;Reprogramaciones!$K$15&amp;" en curso","Al día · en curso"),"A tiempo"))))))</f>
        <v>Completada</v>
      </c>
      <c r="AL21" s="39" t="str">
        <f aca="true">IF(AND(A21="",AND(B21="",C21="",E21="",F21="",COUNT(Q21:AF21)=0)),"",IF(AND(B21="",C21="",E21="",F21="",COUNT(Q21:AF21)=0),"Falta la partida o subpartida",IF(AND(A21&lt;&gt;"",COUNTIF($A$6:$A$305,A21)&gt;1),"Ítem repetido",IF(AND(C21="",E21="",F21="",COUNT(Q21:AF21)=0),"Título de partida",IF(OR(E21="",F21=""),"Faltan fechas",IF(OR(ISTEXT(E21),ISTEXT(F21)),"Fecha escrita como texto: usa dd/mm/aaaa",IF(F21&lt;E21,"Fin antes del inicio",IF(IF($J$2="",FALSE(),OR(E21&lt;$J$2,F21&gt;Reprogramaciones!$T$15+69)),"Fuera de las 10 semanas",IF(ABS(SUM(G21:P21)-100)&gt;0.5,"La meta no suma 100%",IF(ROUND(SUM(Q21:AF21),1)&gt;100.5,"El avance pasa de 100%",IF(MIN(Q21:AF21)&lt;0,"Avance negativo",IF(COUNTA(Q21:AF21)&gt;COUNT(Q21:AF21),"Avance escrito como texto",IF(SUMPRODUCT((Q21:AF21&gt;0)*(Q21:AF21&lt;1))&gt;0,"Avance menor a 1: escribe 50, no 50%",IF(SUMPRODUCT(ISNUMBER(Q21:AF21)*(Reprogramaciones!$K$8:$Z$8&gt;TODAY()))&gt;0,"Avance en semana que aún no llega",IF(AND(N(Reprogramaciones!$E$21)&gt;0,F21&gt;Reprogramaciones!$E$21),"Pasa el fin de la obra: registra una reprogramación",IF(AND(N(Reprogramaciones!$E$21)&gt;0,SUMPRODUCT(ISNUMBER(Q21:AF21)*(Reprogramaciones!$K$8:$Z$8&gt;Reprogramaciones!$E$21))&gt;0),"Avance después del fin de la obra: registra una reprogramación por atraso","OK"))))))))))))))))</f>
        <v>OK</v>
      </c>
      <c r="AM21" s="40" t="str">
        <f aca="false">IF(OR(OR(NOT(AND(ISNUMBER(E21),ISNUMBER(F21))),$J$2=""),1&gt;MAX(1,Reprogramaciones!$U$15)),"",IF(Reprogramaciones!K$12&gt;=7,"",IF(OR(BT21-N(0)&gt;0.05,N(Q21)&gt;0),ROUNDDOWN(ROUND(BT21,6),0)&amp;"%"&amp;IF(CJ21="",""," / "&amp;CJ21&amp;"%"),IF(AND(N(0)&gt;=99.95,CJ21&lt;&gt;"",N(CJ21)&lt;100),"Pend. "&amp;CJ21&amp;"%",""))))</f>
        <v/>
      </c>
      <c r="AN21" s="40" t="str">
        <f aca="false">IF(OR(OR(NOT(AND(ISNUMBER(E21),ISNUMBER(F21))),$J$2=""),2&gt;MAX(1,Reprogramaciones!$U$15)),"",IF(Reprogramaciones!L$12&gt;=7,"",IF(OR(BU21-N(BT21)&gt;0.05,N(R21)&gt;0),ROUNDDOWN(ROUND(BU21,6),0)&amp;"%"&amp;IF(CK21="",""," / "&amp;CK21&amp;"%"),IF(AND(N(BT21)&gt;=99.95,CK21&lt;&gt;"",N(CK21)&lt;100),"Pend. "&amp;CK21&amp;"%",""))))</f>
        <v/>
      </c>
      <c r="AO21" s="40" t="str">
        <f aca="false">IF(OR(OR(NOT(AND(ISNUMBER(E21),ISNUMBER(F21))),$J$2=""),3&gt;MAX(1,Reprogramaciones!$U$15)),"",IF(Reprogramaciones!M$12&gt;=7,"",IF(OR(BV21-N(BU21)&gt;0.05,N(S21)&gt;0),ROUNDDOWN(ROUND(BV21,6),0)&amp;"%"&amp;IF(CL21="",""," / "&amp;CL21&amp;"%"),IF(AND(N(BU21)&gt;=99.95,CL21&lt;&gt;"",N(CL21)&lt;100),"Pend. "&amp;CL21&amp;"%",""))))</f>
        <v>60% / 60%</v>
      </c>
      <c r="AP21" s="40" t="str">
        <f aca="false">IF(OR(OR(NOT(AND(ISNUMBER(E21),ISNUMBER(F21))),$J$2=""),4&gt;MAX(1,Reprogramaciones!$U$15)),"",IF(Reprogramaciones!N$12&gt;=7,"",IF(OR(BW21-N(BV21)&gt;0.05,N(T21)&gt;0),ROUNDDOWN(ROUND(BW21,6),0)&amp;"%"&amp;IF(CM21="",""," / "&amp;CM21&amp;"%"),IF(AND(N(BV21)&gt;=99.95,CM21&lt;&gt;"",N(CM21)&lt;100),"Pend. "&amp;CM21&amp;"%",""))))</f>
        <v>100% / 100%</v>
      </c>
      <c r="AQ21" s="40" t="str">
        <f aca="false">IF(OR(OR(NOT(AND(ISNUMBER(E21),ISNUMBER(F21))),$J$2=""),5&gt;MAX(1,Reprogramaciones!$U$15)),"",IF(Reprogramaciones!O$12&gt;=7,"",IF(OR(BX21-N(BW21)&gt;0.05,N(U21)&gt;0),ROUNDDOWN(ROUND(BX21,6),0)&amp;"%"&amp;IF(CN21="",""," / "&amp;CN21&amp;"%"),IF(AND(N(BW21)&gt;=99.95,CN21&lt;&gt;"",N(CN21)&lt;100),"Pend. "&amp;CN21&amp;"%",""))))</f>
        <v/>
      </c>
      <c r="AR21" s="40" t="str">
        <f aca="false">IF(OR(OR(NOT(AND(ISNUMBER(E21),ISNUMBER(F21))),$J$2=""),6&gt;MAX(1,Reprogramaciones!$U$15)),"",IF(Reprogramaciones!P$12&gt;=7,"",IF(OR(BY21-N(BX21)&gt;0.05,N(V21)&gt;0),ROUNDDOWN(ROUND(BY21,6),0)&amp;"%"&amp;IF(CO21="",""," / "&amp;CO21&amp;"%"),IF(AND(N(BX21)&gt;=99.95,CO21&lt;&gt;"",N(CO21)&lt;100),"Pend. "&amp;CO21&amp;"%",""))))</f>
        <v/>
      </c>
      <c r="AS21" s="40" t="str">
        <f aca="false">IF(OR(OR(NOT(AND(ISNUMBER(E21),ISNUMBER(F21))),$J$2=""),7&gt;MAX(1,Reprogramaciones!$U$15)),"",IF(Reprogramaciones!Q$12&gt;=7,"",IF(OR(BZ21-N(BY21)&gt;0.05,N(W21)&gt;0),ROUNDDOWN(ROUND(BZ21,6),0)&amp;"%"&amp;IF(CP21="",""," / "&amp;CP21&amp;"%"),IF(AND(N(BY21)&gt;=99.95,CP21&lt;&gt;"",N(CP21)&lt;100),"Pend. "&amp;CP21&amp;"%",""))))</f>
        <v/>
      </c>
      <c r="AT21" s="40" t="str">
        <f aca="false">IF(OR(OR(NOT(AND(ISNUMBER(E21),ISNUMBER(F21))),$J$2=""),8&gt;MAX(1,Reprogramaciones!$U$15)),"",IF(Reprogramaciones!R$12&gt;=7,"",IF(OR(CA21-N(BZ21)&gt;0.05,N(X21)&gt;0),ROUNDDOWN(ROUND(CA21,6),0)&amp;"%"&amp;IF(CQ21="",""," / "&amp;CQ21&amp;"%"),IF(AND(N(BZ21)&gt;=99.95,CQ21&lt;&gt;"",N(CQ21)&lt;100),"Pend. "&amp;CQ21&amp;"%",""))))</f>
        <v/>
      </c>
      <c r="AU21" s="40" t="str">
        <f aca="false">IF(OR(OR(NOT(AND(ISNUMBER(E21),ISNUMBER(F21))),$J$2=""),9&gt;MAX(1,Reprogramaciones!$U$15)),"",IF(Reprogramaciones!S$12&gt;=7,"",IF(OR(CB21-N(CA21)&gt;0.05,N(Y21)&gt;0),ROUNDDOWN(ROUND(CB21,6),0)&amp;"%"&amp;IF(CR21="",""," / "&amp;CR21&amp;"%"),IF(AND(N(CA21)&gt;=99.95,CR21&lt;&gt;"",N(CR21)&lt;100),"Pend. "&amp;CR21&amp;"%",""))))</f>
        <v/>
      </c>
      <c r="AV21" s="40" t="str">
        <f aca="false">IF(OR(OR(NOT(AND(ISNUMBER(E21),ISNUMBER(F21))),$J$2=""),10&gt;MAX(1,Reprogramaciones!$U$15)),"",IF(Reprogramaciones!T$12&gt;=7,"",IF(OR(CC21-N(CB21)&gt;0.05,N(Z21)&gt;0),ROUNDDOWN(ROUND(CC21,6),0)&amp;"%"&amp;IF(CS21="",""," / "&amp;CS21&amp;"%"),IF(AND(N(CB21)&gt;=99.95,CS21&lt;&gt;"",N(CS21)&lt;100),"Pend. "&amp;CS21&amp;"%",""))))</f>
        <v/>
      </c>
      <c r="AW21" s="40" t="str">
        <f aca="false">IF(OR(OR(NOT(AND(ISNUMBER(E21),ISNUMBER(F21))),$J$2=""),11&gt;MAX(1,Reprogramaciones!$U$15)),"",IF(Reprogramaciones!U$12&gt;=7,"",IF(OR(CD21-N(CC21)&gt;0.05,N(AA21)&gt;0),ROUNDDOWN(ROUND(CD21,6),0)&amp;"%"&amp;IF(CT21="",""," / "&amp;CT21&amp;"%"),IF(AND(N(CC21)&gt;=99.95,CT21&lt;&gt;"",N(CT21)&lt;100),"Pend. "&amp;CT21&amp;"%",""))))</f>
        <v/>
      </c>
      <c r="AX21" s="40" t="str">
        <f aca="false">IF(OR(OR(NOT(AND(ISNUMBER(E21),ISNUMBER(F21))),$J$2=""),12&gt;MAX(1,Reprogramaciones!$U$15)),"",IF(Reprogramaciones!V$12&gt;=7,"",IF(OR(CE21-N(CD21)&gt;0.05,N(AB21)&gt;0),ROUNDDOWN(ROUND(CE21,6),0)&amp;"%"&amp;IF(CU21="",""," / "&amp;CU21&amp;"%"),IF(AND(N(CD21)&gt;=99.95,CU21&lt;&gt;"",N(CU21)&lt;100),"Pend. "&amp;CU21&amp;"%",""))))</f>
        <v/>
      </c>
      <c r="AY21" s="40" t="str">
        <f aca="false">IF(OR(OR(NOT(AND(ISNUMBER(E21),ISNUMBER(F21))),$J$2=""),13&gt;MAX(1,Reprogramaciones!$U$15)),"",IF(Reprogramaciones!W$12&gt;=7,"",IF(OR(CF21-N(CE21)&gt;0.05,N(AC21)&gt;0),ROUNDDOWN(ROUND(CF21,6),0)&amp;"%"&amp;IF(CV21="",""," / "&amp;CV21&amp;"%"),IF(AND(N(CE21)&gt;=99.95,CV21&lt;&gt;"",N(CV21)&lt;100),"Pend. "&amp;CV21&amp;"%",""))))</f>
        <v/>
      </c>
      <c r="AZ21" s="40" t="str">
        <f aca="false">IF(OR(OR(NOT(AND(ISNUMBER(E21),ISNUMBER(F21))),$J$2=""),14&gt;MAX(1,Reprogramaciones!$U$15)),"",IF(Reprogramaciones!X$12&gt;=7,"",IF(OR(CG21-N(CF21)&gt;0.05,N(AD21)&gt;0),ROUNDDOWN(ROUND(CG21,6),0)&amp;"%"&amp;IF(CW21="",""," / "&amp;CW21&amp;"%"),IF(AND(N(CF21)&gt;=99.95,CW21&lt;&gt;"",N(CW21)&lt;100),"Pend. "&amp;CW21&amp;"%",""))))</f>
        <v/>
      </c>
      <c r="BA21" s="40" t="str">
        <f aca="false">IF(OR(OR(NOT(AND(ISNUMBER(E21),ISNUMBER(F21))),$J$2=""),15&gt;MAX(1,Reprogramaciones!$U$15)),"",IF(Reprogramaciones!Y$12&gt;=7,"",IF(OR(CH21-N(CG21)&gt;0.05,N(AE21)&gt;0),ROUNDDOWN(ROUND(CH21,6),0)&amp;"%"&amp;IF(CX21="",""," / "&amp;CX21&amp;"%"),IF(AND(N(CG21)&gt;=99.95,CX21&lt;&gt;"",N(CX21)&lt;100),"Pend. "&amp;CX21&amp;"%",""))))</f>
        <v/>
      </c>
      <c r="BB21" s="40" t="str">
        <f aca="false">IF(OR(OR(NOT(AND(ISNUMBER(E21),ISNUMBER(F21))),$J$2=""),16&gt;MAX(1,Reprogramaciones!$U$15)),"",IF(Reprogramaciones!Z$12&gt;=7,"",IF(OR(CI21-N(CH21)&gt;0.05,N(AF21)&gt;0),ROUNDDOWN(ROUND(CI21,6),0)&amp;"%"&amp;IF(CY21="",""," / "&amp;CY21&amp;"%"),IF(AND(N(CH21)&gt;=99.95,CY21&lt;&gt;"",N(CY21)&lt;100),"Pend. "&amp;CY21&amp;"%",""))))</f>
        <v/>
      </c>
      <c r="BC21" s="31" t="n">
        <f aca="false">IF(AND(ISNUMBER(E21),ISNUMBER(F21)),MAX(1,NETWORKDAYS.INTL(E21,F21,11)),0)</f>
        <v>5</v>
      </c>
      <c r="BD21" s="1" t="n">
        <f aca="false">IF(OR(NOT(AND(ISNUMBER(E21),ISNUMBER(F21))),$J$2=""),"",MIN(100,ROUND(SUM($G21:G21),1)))</f>
        <v>0</v>
      </c>
      <c r="BE21" s="1" t="n">
        <f aca="false">IF(OR(NOT(AND(ISNUMBER(E21),ISNUMBER(F21))),$J$2=""),"",MIN(100,ROUND(SUM($G21:H21),1)))</f>
        <v>0</v>
      </c>
      <c r="BF21" s="1" t="n">
        <f aca="false">IF(OR(NOT(AND(ISNUMBER(E21),ISNUMBER(F21))),$J$2=""),"",MIN(100,ROUND(SUM($G21:I21),1)))</f>
        <v>60</v>
      </c>
      <c r="BG21" s="1" t="n">
        <f aca="false">IF(OR(NOT(AND(ISNUMBER(E21),ISNUMBER(F21))),$J$2=""),"",MIN(100,ROUND(SUM($G21:J21),1)))</f>
        <v>100</v>
      </c>
      <c r="BH21" s="1" t="n">
        <f aca="false">IF(OR(NOT(AND(ISNUMBER(E21),ISNUMBER(F21))),$J$2=""),"",MIN(100,ROUND(SUM($G21:K21),1)))</f>
        <v>100</v>
      </c>
      <c r="BI21" s="1" t="n">
        <f aca="false">IF(OR(NOT(AND(ISNUMBER(E21),ISNUMBER(F21))),$J$2=""),"",MIN(100,ROUND(SUM($G21:L21),1)))</f>
        <v>100</v>
      </c>
      <c r="BJ21" s="1" t="n">
        <f aca="false">IF(OR(NOT(AND(ISNUMBER(E21),ISNUMBER(F21))),$J$2=""),"",MIN(100,ROUND(SUM($G21:M21),1)))</f>
        <v>100</v>
      </c>
      <c r="BK21" s="1" t="n">
        <f aca="false">IF(OR(NOT(AND(ISNUMBER(E21),ISNUMBER(F21))),$J$2=""),"",MIN(100,ROUND(SUM($G21:N21),1)))</f>
        <v>100</v>
      </c>
      <c r="BL21" s="1" t="n">
        <f aca="false">IF(OR(NOT(AND(ISNUMBER(E21),ISNUMBER(F21))),$J$2=""),"",MIN(100,ROUND(SUM($G21:O21),1)))</f>
        <v>100</v>
      </c>
      <c r="BM21" s="1" t="n">
        <f aca="false">IF(OR(NOT(AND(ISNUMBER(E21),ISNUMBER(F21))),$J$2=""),"",MIN(100,ROUND(SUM($G21:P21),1)))</f>
        <v>100</v>
      </c>
      <c r="BN21" s="1" t="n">
        <f aca="false">IF(OR(NOT(AND(ISNUMBER(E21),ISNUMBER(F21))),$J$2=""),"",MIN(100,ROUND(SUM($G21:P21),1)))</f>
        <v>100</v>
      </c>
      <c r="BO21" s="1" t="n">
        <f aca="false">IF(OR(NOT(AND(ISNUMBER(E21),ISNUMBER(F21))),$J$2=""),"",MIN(100,ROUND(SUM($G21:P21),1)))</f>
        <v>100</v>
      </c>
      <c r="BP21" s="1" t="n">
        <f aca="false">IF(OR(NOT(AND(ISNUMBER(E21),ISNUMBER(F21))),$J$2=""),"",MIN(100,ROUND(SUM($G21:P21),1)))</f>
        <v>100</v>
      </c>
      <c r="BQ21" s="1" t="n">
        <f aca="false">IF(OR(NOT(AND(ISNUMBER(E21),ISNUMBER(F21))),$J$2=""),"",MIN(100,ROUND(SUM($G21:P21),1)))</f>
        <v>100</v>
      </c>
      <c r="BR21" s="1" t="n">
        <f aca="false">IF(OR(NOT(AND(ISNUMBER(E21),ISNUMBER(F21))),$J$2=""),"",MIN(100,ROUND(SUM($G21:P21),1)))</f>
        <v>100</v>
      </c>
      <c r="BS21" s="1" t="n">
        <f aca="false">IF(OR(NOT(AND(ISNUMBER(E21),ISNUMBER(F21))),$J$2=""),"",MIN(100,ROUND(SUM($G21:P21),1)))</f>
        <v>100</v>
      </c>
      <c r="BT21" s="1" t="n">
        <f aca="false">IF(OR(NOT(AND(ISNUMBER(E21),ISNUMBER(F21))),$J$2=""),"",IF(Reprogramaciones!K$13&lt;Reprogramaciones!$T$15,0,IF(Reprogramaciones!K$14&gt;10,MIN(100,SUM($G21:$P21)),MIN(100,SUMPRODUCT((COLUMN($G21:$P21)-COLUMN($G21)+1&lt;Reprogramaciones!K$14)*$G21:$P21)+N(INDEX($G21:$P21,1,Reprogramaciones!K$14))*IF(Reprogramaciones!K$13&gt;=(Reprogramaciones!$T$15+7*(Reprogramaciones!K$14-1))+6,1,IF(MAX(0,NETWORKDAYS.INTL(MAX(E21,(Reprogramaciones!$T$15+7*(Reprogramaciones!K$14-1))),MIN(F21,(Reprogramaciones!$T$15+7*(Reprogramaciones!K$14-1))+6),11))=0,0,MAX(0,NETWORKDAYS.INTL(MAX(E21,(Reprogramaciones!$T$15+7*(Reprogramaciones!K$14-1))),MIN(F21,Reprogramaciones!K$13),11))/MAX(0,NETWORKDAYS.INTL(MAX(E21,(Reprogramaciones!$T$15+7*(Reprogramaciones!K$14-1))),MIN(F21,(Reprogramaciones!$T$15+7*(Reprogramaciones!K$14-1))+6),11))))))))</f>
        <v>0</v>
      </c>
      <c r="BU21" s="1" t="n">
        <f aca="false">IF(OR(NOT(AND(ISNUMBER(E21),ISNUMBER(F21))),$J$2=""),"",IF(Reprogramaciones!L$13&lt;Reprogramaciones!$T$15,0,IF(Reprogramaciones!L$14&gt;10,MIN(100,SUM($G21:$P21)),MIN(100,SUMPRODUCT((COLUMN($G21:$P21)-COLUMN($G21)+1&lt;Reprogramaciones!L$14)*$G21:$P21)+N(INDEX($G21:$P21,1,Reprogramaciones!L$14))*IF(Reprogramaciones!L$13&gt;=(Reprogramaciones!$T$15+7*(Reprogramaciones!L$14-1))+6,1,IF(MAX(0,NETWORKDAYS.INTL(MAX(E21,(Reprogramaciones!$T$15+7*(Reprogramaciones!L$14-1))),MIN(F21,(Reprogramaciones!$T$15+7*(Reprogramaciones!L$14-1))+6),11))=0,0,MAX(0,NETWORKDAYS.INTL(MAX(E21,(Reprogramaciones!$T$15+7*(Reprogramaciones!L$14-1))),MIN(F21,Reprogramaciones!L$13),11))/MAX(0,NETWORKDAYS.INTL(MAX(E21,(Reprogramaciones!$T$15+7*(Reprogramaciones!L$14-1))),MIN(F21,(Reprogramaciones!$T$15+7*(Reprogramaciones!L$14-1))+6),11))))))))</f>
        <v>0</v>
      </c>
      <c r="BV21" s="1" t="n">
        <f aca="false">IF(OR(NOT(AND(ISNUMBER(E21),ISNUMBER(F21))),$J$2=""),"",IF(Reprogramaciones!M$13&lt;Reprogramaciones!$T$15,0,IF(Reprogramaciones!M$14&gt;10,MIN(100,SUM($G21:$P21)),MIN(100,SUMPRODUCT((COLUMN($G21:$P21)-COLUMN($G21)+1&lt;Reprogramaciones!M$14)*$G21:$P21)+N(INDEX($G21:$P21,1,Reprogramaciones!M$14))*IF(Reprogramaciones!M$13&gt;=(Reprogramaciones!$T$15+7*(Reprogramaciones!M$14-1))+6,1,IF(MAX(0,NETWORKDAYS.INTL(MAX(E21,(Reprogramaciones!$T$15+7*(Reprogramaciones!M$14-1))),MIN(F21,(Reprogramaciones!$T$15+7*(Reprogramaciones!M$14-1))+6),11))=0,0,MAX(0,NETWORKDAYS.INTL(MAX(E21,(Reprogramaciones!$T$15+7*(Reprogramaciones!M$14-1))),MIN(F21,Reprogramaciones!M$13),11))/MAX(0,NETWORKDAYS.INTL(MAX(E21,(Reprogramaciones!$T$15+7*(Reprogramaciones!M$14-1))),MIN(F21,(Reprogramaciones!$T$15+7*(Reprogramaciones!M$14-1))+6),11))))))))</f>
        <v>60</v>
      </c>
      <c r="BW21" s="1" t="n">
        <f aca="false">IF(OR(NOT(AND(ISNUMBER(E21),ISNUMBER(F21))),$J$2=""),"",IF(Reprogramaciones!N$13&lt;Reprogramaciones!$T$15,0,IF(Reprogramaciones!N$14&gt;10,MIN(100,SUM($G21:$P21)),MIN(100,SUMPRODUCT((COLUMN($G21:$P21)-COLUMN($G21)+1&lt;Reprogramaciones!N$14)*$G21:$P21)+N(INDEX($G21:$P21,1,Reprogramaciones!N$14))*IF(Reprogramaciones!N$13&gt;=(Reprogramaciones!$T$15+7*(Reprogramaciones!N$14-1))+6,1,IF(MAX(0,NETWORKDAYS.INTL(MAX(E21,(Reprogramaciones!$T$15+7*(Reprogramaciones!N$14-1))),MIN(F21,(Reprogramaciones!$T$15+7*(Reprogramaciones!N$14-1))+6),11))=0,0,MAX(0,NETWORKDAYS.INTL(MAX(E21,(Reprogramaciones!$T$15+7*(Reprogramaciones!N$14-1))),MIN(F21,Reprogramaciones!N$13),11))/MAX(0,NETWORKDAYS.INTL(MAX(E21,(Reprogramaciones!$T$15+7*(Reprogramaciones!N$14-1))),MIN(F21,(Reprogramaciones!$T$15+7*(Reprogramaciones!N$14-1))+6),11))))))))</f>
        <v>100</v>
      </c>
      <c r="BX21" s="1" t="n">
        <f aca="false">IF(OR(NOT(AND(ISNUMBER(E21),ISNUMBER(F21))),$J$2=""),"",IF(Reprogramaciones!O$13&lt;Reprogramaciones!$T$15,0,IF(Reprogramaciones!O$14&gt;10,MIN(100,SUM($G21:$P21)),MIN(100,SUMPRODUCT((COLUMN($G21:$P21)-COLUMN($G21)+1&lt;Reprogramaciones!O$14)*$G21:$P21)+N(INDEX($G21:$P21,1,Reprogramaciones!O$14))*IF(Reprogramaciones!O$13&gt;=(Reprogramaciones!$T$15+7*(Reprogramaciones!O$14-1))+6,1,IF(MAX(0,NETWORKDAYS.INTL(MAX(E21,(Reprogramaciones!$T$15+7*(Reprogramaciones!O$14-1))),MIN(F21,(Reprogramaciones!$T$15+7*(Reprogramaciones!O$14-1))+6),11))=0,0,MAX(0,NETWORKDAYS.INTL(MAX(E21,(Reprogramaciones!$T$15+7*(Reprogramaciones!O$14-1))),MIN(F21,Reprogramaciones!O$13),11))/MAX(0,NETWORKDAYS.INTL(MAX(E21,(Reprogramaciones!$T$15+7*(Reprogramaciones!O$14-1))),MIN(F21,(Reprogramaciones!$T$15+7*(Reprogramaciones!O$14-1))+6),11))))))))</f>
        <v>100</v>
      </c>
      <c r="BY21" s="1" t="n">
        <f aca="false">IF(OR(NOT(AND(ISNUMBER(E21),ISNUMBER(F21))),$J$2=""),"",IF(Reprogramaciones!P$13&lt;Reprogramaciones!$T$15,0,IF(Reprogramaciones!P$14&gt;10,MIN(100,SUM($G21:$P21)),MIN(100,SUMPRODUCT((COLUMN($G21:$P21)-COLUMN($G21)+1&lt;Reprogramaciones!P$14)*$G21:$P21)+N(INDEX($G21:$P21,1,Reprogramaciones!P$14))*IF(Reprogramaciones!P$13&gt;=(Reprogramaciones!$T$15+7*(Reprogramaciones!P$14-1))+6,1,IF(MAX(0,NETWORKDAYS.INTL(MAX(E21,(Reprogramaciones!$T$15+7*(Reprogramaciones!P$14-1))),MIN(F21,(Reprogramaciones!$T$15+7*(Reprogramaciones!P$14-1))+6),11))=0,0,MAX(0,NETWORKDAYS.INTL(MAX(E21,(Reprogramaciones!$T$15+7*(Reprogramaciones!P$14-1))),MIN(F21,Reprogramaciones!P$13),11))/MAX(0,NETWORKDAYS.INTL(MAX(E21,(Reprogramaciones!$T$15+7*(Reprogramaciones!P$14-1))),MIN(F21,(Reprogramaciones!$T$15+7*(Reprogramaciones!P$14-1))+6),11))))))))</f>
        <v>100</v>
      </c>
      <c r="BZ21" s="1" t="n">
        <f aca="false">IF(OR(NOT(AND(ISNUMBER(E21),ISNUMBER(F21))),$J$2=""),"",IF(Reprogramaciones!Q$13&lt;Reprogramaciones!$T$15,0,IF(Reprogramaciones!Q$14&gt;10,MIN(100,SUM($G21:$P21)),MIN(100,SUMPRODUCT((COLUMN($G21:$P21)-COLUMN($G21)+1&lt;Reprogramaciones!Q$14)*$G21:$P21)+N(INDEX($G21:$P21,1,Reprogramaciones!Q$14))*IF(Reprogramaciones!Q$13&gt;=(Reprogramaciones!$T$15+7*(Reprogramaciones!Q$14-1))+6,1,IF(MAX(0,NETWORKDAYS.INTL(MAX(E21,(Reprogramaciones!$T$15+7*(Reprogramaciones!Q$14-1))),MIN(F21,(Reprogramaciones!$T$15+7*(Reprogramaciones!Q$14-1))+6),11))=0,0,MAX(0,NETWORKDAYS.INTL(MAX(E21,(Reprogramaciones!$T$15+7*(Reprogramaciones!Q$14-1))),MIN(F21,Reprogramaciones!Q$13),11))/MAX(0,NETWORKDAYS.INTL(MAX(E21,(Reprogramaciones!$T$15+7*(Reprogramaciones!Q$14-1))),MIN(F21,(Reprogramaciones!$T$15+7*(Reprogramaciones!Q$14-1))+6),11))))))))</f>
        <v>100</v>
      </c>
      <c r="CA21" s="1" t="n">
        <f aca="false">IF(OR(NOT(AND(ISNUMBER(E21),ISNUMBER(F21))),$J$2=""),"",IF(Reprogramaciones!R$13&lt;Reprogramaciones!$T$15,0,IF(Reprogramaciones!R$14&gt;10,MIN(100,SUM($G21:$P21)),MIN(100,SUMPRODUCT((COLUMN($G21:$P21)-COLUMN($G21)+1&lt;Reprogramaciones!R$14)*$G21:$P21)+N(INDEX($G21:$P21,1,Reprogramaciones!R$14))*IF(Reprogramaciones!R$13&gt;=(Reprogramaciones!$T$15+7*(Reprogramaciones!R$14-1))+6,1,IF(MAX(0,NETWORKDAYS.INTL(MAX(E21,(Reprogramaciones!$T$15+7*(Reprogramaciones!R$14-1))),MIN(F21,(Reprogramaciones!$T$15+7*(Reprogramaciones!R$14-1))+6),11))=0,0,MAX(0,NETWORKDAYS.INTL(MAX(E21,(Reprogramaciones!$T$15+7*(Reprogramaciones!R$14-1))),MIN(F21,Reprogramaciones!R$13),11))/MAX(0,NETWORKDAYS.INTL(MAX(E21,(Reprogramaciones!$T$15+7*(Reprogramaciones!R$14-1))),MIN(F21,(Reprogramaciones!$T$15+7*(Reprogramaciones!R$14-1))+6),11))))))))</f>
        <v>100</v>
      </c>
      <c r="CB21" s="1" t="n">
        <f aca="false">IF(OR(NOT(AND(ISNUMBER(E21),ISNUMBER(F21))),$J$2=""),"",IF(Reprogramaciones!S$13&lt;Reprogramaciones!$T$15,0,IF(Reprogramaciones!S$14&gt;10,MIN(100,SUM($G21:$P21)),MIN(100,SUMPRODUCT((COLUMN($G21:$P21)-COLUMN($G21)+1&lt;Reprogramaciones!S$14)*$G21:$P21)+N(INDEX($G21:$P21,1,Reprogramaciones!S$14))*IF(Reprogramaciones!S$13&gt;=(Reprogramaciones!$T$15+7*(Reprogramaciones!S$14-1))+6,1,IF(MAX(0,NETWORKDAYS.INTL(MAX(E21,(Reprogramaciones!$T$15+7*(Reprogramaciones!S$14-1))),MIN(F21,(Reprogramaciones!$T$15+7*(Reprogramaciones!S$14-1))+6),11))=0,0,MAX(0,NETWORKDAYS.INTL(MAX(E21,(Reprogramaciones!$T$15+7*(Reprogramaciones!S$14-1))),MIN(F21,Reprogramaciones!S$13),11))/MAX(0,NETWORKDAYS.INTL(MAX(E21,(Reprogramaciones!$T$15+7*(Reprogramaciones!S$14-1))),MIN(F21,(Reprogramaciones!$T$15+7*(Reprogramaciones!S$14-1))+6),11))))))))</f>
        <v>100</v>
      </c>
      <c r="CC21" s="1" t="n">
        <f aca="false">IF(OR(NOT(AND(ISNUMBER(E21),ISNUMBER(F21))),$J$2=""),"",IF(Reprogramaciones!T$13&lt;Reprogramaciones!$T$15,0,IF(Reprogramaciones!T$14&gt;10,MIN(100,SUM($G21:$P21)),MIN(100,SUMPRODUCT((COLUMN($G21:$P21)-COLUMN($G21)+1&lt;Reprogramaciones!T$14)*$G21:$P21)+N(INDEX($G21:$P21,1,Reprogramaciones!T$14))*IF(Reprogramaciones!T$13&gt;=(Reprogramaciones!$T$15+7*(Reprogramaciones!T$14-1))+6,1,IF(MAX(0,NETWORKDAYS.INTL(MAX(E21,(Reprogramaciones!$T$15+7*(Reprogramaciones!T$14-1))),MIN(F21,(Reprogramaciones!$T$15+7*(Reprogramaciones!T$14-1))+6),11))=0,0,MAX(0,NETWORKDAYS.INTL(MAX(E21,(Reprogramaciones!$T$15+7*(Reprogramaciones!T$14-1))),MIN(F21,Reprogramaciones!T$13),11))/MAX(0,NETWORKDAYS.INTL(MAX(E21,(Reprogramaciones!$T$15+7*(Reprogramaciones!T$14-1))),MIN(F21,(Reprogramaciones!$T$15+7*(Reprogramaciones!T$14-1))+6),11))))))))</f>
        <v>100</v>
      </c>
      <c r="CD21" s="1" t="n">
        <f aca="false">IF(OR(NOT(AND(ISNUMBER(E21),ISNUMBER(F21))),$J$2=""),"",IF(Reprogramaciones!U$13&lt;Reprogramaciones!$T$15,0,IF(Reprogramaciones!U$14&gt;10,MIN(100,SUM($G21:$P21)),MIN(100,SUMPRODUCT((COLUMN($G21:$P21)-COLUMN($G21)+1&lt;Reprogramaciones!U$14)*$G21:$P21)+N(INDEX($G21:$P21,1,Reprogramaciones!U$14))*IF(Reprogramaciones!U$13&gt;=(Reprogramaciones!$T$15+7*(Reprogramaciones!U$14-1))+6,1,IF(MAX(0,NETWORKDAYS.INTL(MAX(E21,(Reprogramaciones!$T$15+7*(Reprogramaciones!U$14-1))),MIN(F21,(Reprogramaciones!$T$15+7*(Reprogramaciones!U$14-1))+6),11))=0,0,MAX(0,NETWORKDAYS.INTL(MAX(E21,(Reprogramaciones!$T$15+7*(Reprogramaciones!U$14-1))),MIN(F21,Reprogramaciones!U$13),11))/MAX(0,NETWORKDAYS.INTL(MAX(E21,(Reprogramaciones!$T$15+7*(Reprogramaciones!U$14-1))),MIN(F21,(Reprogramaciones!$T$15+7*(Reprogramaciones!U$14-1))+6),11))))))))</f>
        <v>100</v>
      </c>
      <c r="CE21" s="1" t="n">
        <f aca="false">IF(OR(NOT(AND(ISNUMBER(E21),ISNUMBER(F21))),$J$2=""),"",IF(Reprogramaciones!V$13&lt;Reprogramaciones!$T$15,0,IF(Reprogramaciones!V$14&gt;10,MIN(100,SUM($G21:$P21)),MIN(100,SUMPRODUCT((COLUMN($G21:$P21)-COLUMN($G21)+1&lt;Reprogramaciones!V$14)*$G21:$P21)+N(INDEX($G21:$P21,1,Reprogramaciones!V$14))*IF(Reprogramaciones!V$13&gt;=(Reprogramaciones!$T$15+7*(Reprogramaciones!V$14-1))+6,1,IF(MAX(0,NETWORKDAYS.INTL(MAX(E21,(Reprogramaciones!$T$15+7*(Reprogramaciones!V$14-1))),MIN(F21,(Reprogramaciones!$T$15+7*(Reprogramaciones!V$14-1))+6),11))=0,0,MAX(0,NETWORKDAYS.INTL(MAX(E21,(Reprogramaciones!$T$15+7*(Reprogramaciones!V$14-1))),MIN(F21,Reprogramaciones!V$13),11))/MAX(0,NETWORKDAYS.INTL(MAX(E21,(Reprogramaciones!$T$15+7*(Reprogramaciones!V$14-1))),MIN(F21,(Reprogramaciones!$T$15+7*(Reprogramaciones!V$14-1))+6),11))))))))</f>
        <v>100</v>
      </c>
      <c r="CF21" s="1" t="n">
        <f aca="false">IF(OR(NOT(AND(ISNUMBER(E21),ISNUMBER(F21))),$J$2=""),"",IF(Reprogramaciones!W$13&lt;Reprogramaciones!$T$15,0,IF(Reprogramaciones!W$14&gt;10,MIN(100,SUM($G21:$P21)),MIN(100,SUMPRODUCT((COLUMN($G21:$P21)-COLUMN($G21)+1&lt;Reprogramaciones!W$14)*$G21:$P21)+N(INDEX($G21:$P21,1,Reprogramaciones!W$14))*IF(Reprogramaciones!W$13&gt;=(Reprogramaciones!$T$15+7*(Reprogramaciones!W$14-1))+6,1,IF(MAX(0,NETWORKDAYS.INTL(MAX(E21,(Reprogramaciones!$T$15+7*(Reprogramaciones!W$14-1))),MIN(F21,(Reprogramaciones!$T$15+7*(Reprogramaciones!W$14-1))+6),11))=0,0,MAX(0,NETWORKDAYS.INTL(MAX(E21,(Reprogramaciones!$T$15+7*(Reprogramaciones!W$14-1))),MIN(F21,Reprogramaciones!W$13),11))/MAX(0,NETWORKDAYS.INTL(MAX(E21,(Reprogramaciones!$T$15+7*(Reprogramaciones!W$14-1))),MIN(F21,(Reprogramaciones!$T$15+7*(Reprogramaciones!W$14-1))+6),11))))))))</f>
        <v>100</v>
      </c>
      <c r="CG21" s="1" t="n">
        <f aca="false">IF(OR(NOT(AND(ISNUMBER(E21),ISNUMBER(F21))),$J$2=""),"",IF(Reprogramaciones!X$13&lt;Reprogramaciones!$T$15,0,IF(Reprogramaciones!X$14&gt;10,MIN(100,SUM($G21:$P21)),MIN(100,SUMPRODUCT((COLUMN($G21:$P21)-COLUMN($G21)+1&lt;Reprogramaciones!X$14)*$G21:$P21)+N(INDEX($G21:$P21,1,Reprogramaciones!X$14))*IF(Reprogramaciones!X$13&gt;=(Reprogramaciones!$T$15+7*(Reprogramaciones!X$14-1))+6,1,IF(MAX(0,NETWORKDAYS.INTL(MAX(E21,(Reprogramaciones!$T$15+7*(Reprogramaciones!X$14-1))),MIN(F21,(Reprogramaciones!$T$15+7*(Reprogramaciones!X$14-1))+6),11))=0,0,MAX(0,NETWORKDAYS.INTL(MAX(E21,(Reprogramaciones!$T$15+7*(Reprogramaciones!X$14-1))),MIN(F21,Reprogramaciones!X$13),11))/MAX(0,NETWORKDAYS.INTL(MAX(E21,(Reprogramaciones!$T$15+7*(Reprogramaciones!X$14-1))),MIN(F21,(Reprogramaciones!$T$15+7*(Reprogramaciones!X$14-1))+6),11))))))))</f>
        <v>100</v>
      </c>
      <c r="CH21" s="1" t="n">
        <f aca="false">IF(OR(NOT(AND(ISNUMBER(E21),ISNUMBER(F21))),$J$2=""),"",IF(Reprogramaciones!Y$13&lt;Reprogramaciones!$T$15,0,IF(Reprogramaciones!Y$14&gt;10,MIN(100,SUM($G21:$P21)),MIN(100,SUMPRODUCT((COLUMN($G21:$P21)-COLUMN($G21)+1&lt;Reprogramaciones!Y$14)*$G21:$P21)+N(INDEX($G21:$P21,1,Reprogramaciones!Y$14))*IF(Reprogramaciones!Y$13&gt;=(Reprogramaciones!$T$15+7*(Reprogramaciones!Y$14-1))+6,1,IF(MAX(0,NETWORKDAYS.INTL(MAX(E21,(Reprogramaciones!$T$15+7*(Reprogramaciones!Y$14-1))),MIN(F21,(Reprogramaciones!$T$15+7*(Reprogramaciones!Y$14-1))+6),11))=0,0,MAX(0,NETWORKDAYS.INTL(MAX(E21,(Reprogramaciones!$T$15+7*(Reprogramaciones!Y$14-1))),MIN(F21,Reprogramaciones!Y$13),11))/MAX(0,NETWORKDAYS.INTL(MAX(E21,(Reprogramaciones!$T$15+7*(Reprogramaciones!Y$14-1))),MIN(F21,(Reprogramaciones!$T$15+7*(Reprogramaciones!Y$14-1))+6),11))))))))</f>
        <v>100</v>
      </c>
      <c r="CI21" s="1" t="n">
        <f aca="false">IF(OR(NOT(AND(ISNUMBER(E21),ISNUMBER(F21))),$J$2=""),"",IF(Reprogramaciones!Z$13&lt;Reprogramaciones!$T$15,0,IF(Reprogramaciones!Z$14&gt;10,MIN(100,SUM($G21:$P21)),MIN(100,SUMPRODUCT((COLUMN($G21:$P21)-COLUMN($G21)+1&lt;Reprogramaciones!Z$14)*$G21:$P21)+N(INDEX($G21:$P21,1,Reprogramaciones!Z$14))*IF(Reprogramaciones!Z$13&gt;=(Reprogramaciones!$T$15+7*(Reprogramaciones!Z$14-1))+6,1,IF(MAX(0,NETWORKDAYS.INTL(MAX(E21,(Reprogramaciones!$T$15+7*(Reprogramaciones!Z$14-1))),MIN(F21,(Reprogramaciones!$T$15+7*(Reprogramaciones!Z$14-1))+6),11))=0,0,MAX(0,NETWORKDAYS.INTL(MAX(E21,(Reprogramaciones!$T$15+7*(Reprogramaciones!Z$14-1))),MIN(F21,Reprogramaciones!Z$13),11))/MAX(0,NETWORKDAYS.INTL(MAX(E21,(Reprogramaciones!$T$15+7*(Reprogramaciones!Z$14-1))),MIN(F21,(Reprogramaciones!$T$15+7*(Reprogramaciones!Z$14-1))+6),11))))))))</f>
        <v>100</v>
      </c>
      <c r="CJ21" s="1" t="n">
        <f aca="false">IF(OR(OR(NOT(AND(ISNUMBER(E21),ISNUMBER(F21))),$J$2=""),1&gt;Reprogramaciones!$K$16),"",IF(ROUND(SUM($Q21:Q21),1)&gt;=99.5,100,MIN(100,ROUND(SUM($Q21:Q21),1))))</f>
        <v>0</v>
      </c>
      <c r="CK21" s="1" t="n">
        <f aca="false">IF(OR(OR(NOT(AND(ISNUMBER(E21),ISNUMBER(F21))),$J$2=""),2&gt;Reprogramaciones!$K$16),"",IF(ROUND(SUM($Q21:R21),1)&gt;=99.5,100,MIN(100,ROUND(SUM($Q21:R21),1))))</f>
        <v>0</v>
      </c>
      <c r="CL21" s="1" t="n">
        <f aca="false">IF(OR(OR(NOT(AND(ISNUMBER(E21),ISNUMBER(F21))),$J$2=""),3&gt;Reprogramaciones!$K$16),"",IF(ROUND(SUM($Q21:S21),1)&gt;=99.5,100,MIN(100,ROUND(SUM($Q21:S21),1))))</f>
        <v>60</v>
      </c>
      <c r="CM21" s="1" t="n">
        <f aca="false">IF(OR(OR(NOT(AND(ISNUMBER(E21),ISNUMBER(F21))),$J$2=""),4&gt;Reprogramaciones!$K$16),"",IF(ROUND(SUM($Q21:T21),1)&gt;=99.5,100,MIN(100,ROUND(SUM($Q21:T21),1))))</f>
        <v>100</v>
      </c>
      <c r="CN21" s="1" t="n">
        <f aca="false">IF(OR(OR(NOT(AND(ISNUMBER(E21),ISNUMBER(F21))),$J$2=""),5&gt;Reprogramaciones!$K$16),"",IF(ROUND(SUM($Q21:U21),1)&gt;=99.5,100,MIN(100,ROUND(SUM($Q21:U21),1))))</f>
        <v>100</v>
      </c>
      <c r="CO21" s="1" t="str">
        <f aca="false">IF(OR(OR(NOT(AND(ISNUMBER(E21),ISNUMBER(F21))),$J$2=""),6&gt;Reprogramaciones!$K$16),"",IF(ROUND(SUM($Q21:V21),1)&gt;=99.5,100,MIN(100,ROUND(SUM($Q21:V21),1))))</f>
        <v/>
      </c>
      <c r="CP21" s="1" t="str">
        <f aca="false">IF(OR(OR(NOT(AND(ISNUMBER(E21),ISNUMBER(F21))),$J$2=""),7&gt;Reprogramaciones!$K$16),"",IF(ROUND(SUM($Q21:W21),1)&gt;=99.5,100,MIN(100,ROUND(SUM($Q21:W21),1))))</f>
        <v/>
      </c>
      <c r="CQ21" s="1" t="str">
        <f aca="false">IF(OR(OR(NOT(AND(ISNUMBER(E21),ISNUMBER(F21))),$J$2=""),8&gt;Reprogramaciones!$K$16),"",IF(ROUND(SUM($Q21:X21),1)&gt;=99.5,100,MIN(100,ROUND(SUM($Q21:X21),1))))</f>
        <v/>
      </c>
      <c r="CR21" s="1" t="str">
        <f aca="false">IF(OR(OR(NOT(AND(ISNUMBER(E21),ISNUMBER(F21))),$J$2=""),9&gt;Reprogramaciones!$K$16),"",IF(ROUND(SUM($Q21:Y21),1)&gt;=99.5,100,MIN(100,ROUND(SUM($Q21:Y21),1))))</f>
        <v/>
      </c>
      <c r="CS21" s="1" t="str">
        <f aca="false">IF(OR(OR(NOT(AND(ISNUMBER(E21),ISNUMBER(F21))),$J$2=""),10&gt;Reprogramaciones!$K$16),"",IF(ROUND(SUM($Q21:Z21),1)&gt;=99.5,100,MIN(100,ROUND(SUM($Q21:Z21),1))))</f>
        <v/>
      </c>
      <c r="CT21" s="1" t="str">
        <f aca="false">IF(OR(OR(NOT(AND(ISNUMBER(E21),ISNUMBER(F21))),$J$2=""),11&gt;Reprogramaciones!$K$16),"",IF(ROUND(SUM($Q21:AA21),1)&gt;=99.5,100,MIN(100,ROUND(SUM($Q21:AA21),1))))</f>
        <v/>
      </c>
      <c r="CU21" s="1" t="str">
        <f aca="false">IF(OR(OR(NOT(AND(ISNUMBER(E21),ISNUMBER(F21))),$J$2=""),12&gt;Reprogramaciones!$K$16),"",IF(ROUND(SUM($Q21:AB21),1)&gt;=99.5,100,MIN(100,ROUND(SUM($Q21:AB21),1))))</f>
        <v/>
      </c>
      <c r="CV21" s="1" t="str">
        <f aca="false">IF(OR(OR(NOT(AND(ISNUMBER(E21),ISNUMBER(F21))),$J$2=""),13&gt;Reprogramaciones!$K$16),"",IF(ROUND(SUM($Q21:AC21),1)&gt;=99.5,100,MIN(100,ROUND(SUM($Q21:AC21),1))))</f>
        <v/>
      </c>
      <c r="CW21" s="1" t="str">
        <f aca="false">IF(OR(OR(NOT(AND(ISNUMBER(E21),ISNUMBER(F21))),$J$2=""),14&gt;Reprogramaciones!$K$16),"",IF(ROUND(SUM($Q21:AD21),1)&gt;=99.5,100,MIN(100,ROUND(SUM($Q21:AD21),1))))</f>
        <v/>
      </c>
      <c r="CX21" s="1" t="str">
        <f aca="false">IF(OR(OR(NOT(AND(ISNUMBER(E21),ISNUMBER(F21))),$J$2=""),15&gt;Reprogramaciones!$K$16),"",IF(ROUND(SUM($Q21:AE21),1)&gt;=99.5,100,MIN(100,ROUND(SUM($Q21:AE21),1))))</f>
        <v/>
      </c>
      <c r="CY21" s="1" t="str">
        <f aca="false">IF(OR(OR(NOT(AND(ISNUMBER(E21),ISNUMBER(F21))),$J$2=""),16&gt;Reprogramaciones!$K$16),"",IF(ROUND(SUM($Q21:AF21),1)&gt;=99.5,100,MIN(100,ROUND(SUM($Q21:AF21),1))))</f>
        <v/>
      </c>
      <c r="CZ21" s="1" t="str">
        <f aca="false">IF(D21&lt;&gt;"",D21,IF(B21&lt;&gt;"","Contractual",CZ20))</f>
        <v>Contractual</v>
      </c>
      <c r="DA21" s="1" t="n">
        <f aca="false">IF(OR(NOT(AND(ISNUMBER(E21),ISNUMBER(F21))),$J$2=""),"",IF(Reprogramaciones!$Q$15&lt;Reprogramaciones!$T$15,0,IF(Reprogramaciones!$S$15&gt;10,MIN(100,SUM($G21:$P21)),MIN(100,SUMPRODUCT((COLUMN($G21:$P21)-COLUMN($G21)+1&lt;Reprogramaciones!$S$15)*$G21:$P21)+N(INDEX($G21:$P21,1,Reprogramaciones!$S$15))*IF(Reprogramaciones!$Q$15&gt;=(Reprogramaciones!$T$15+7*(Reprogramaciones!$S$15-1))+6,1,IF(MAX(0,NETWORKDAYS.INTL(MAX(E21,(Reprogramaciones!$T$15+7*(Reprogramaciones!$S$15-1))),MIN(F21,(Reprogramaciones!$T$15+7*(Reprogramaciones!$S$15-1))+6),11))=0,0,MAX(0,NETWORKDAYS.INTL(MAX(E21,(Reprogramaciones!$T$15+7*(Reprogramaciones!$S$15-1))),MIN(F21,Reprogramaciones!$Q$15),11))/MAX(0,NETWORKDAYS.INTL(MAX(E21,(Reprogramaciones!$T$15+7*(Reprogramaciones!$S$15-1))),MIN(F21,(Reprogramaciones!$T$15+7*(Reprogramaciones!$S$15-1))+6),11))))))))</f>
        <v>100</v>
      </c>
    </row>
    <row r="22" customFormat="false" ht="15" hidden="false" customHeight="false" outlineLevel="0" collapsed="false">
      <c r="A22" s="32" t="s">
        <v>185</v>
      </c>
      <c r="B22" s="33" t="s">
        <v>186</v>
      </c>
      <c r="C22" s="33"/>
      <c r="D22" s="34"/>
      <c r="E22" s="35"/>
      <c r="F22" s="35"/>
      <c r="G22" s="36" t="str">
        <f aca="false">IF(OR(NOT(AND(ISNUMBER(E22),ISNUMBER(F22))),$J$2=""),"",IF(Reprogramaciones!K$9&lt;E22,0,IF(NETWORKDAYS.INTL(E22,F22,11)=0,IF(Reprogramaciones!K$9&gt;=F22,100,0),ROUND(NETWORKDAYS.INTL(E22,MIN(F22,Reprogramaciones!K$9),11)/NETWORKDAYS.INTL(E22,F22,11)*100,1)))-0)</f>
        <v/>
      </c>
      <c r="H22" s="36" t="str">
        <f aca="false">IF(OR(NOT(AND(ISNUMBER(E22),ISNUMBER(F22))),$J$2=""),"",IF(Reprogramaciones!L$9&lt;E22,0,IF(NETWORKDAYS.INTL(E22,F22,11)=0,IF(Reprogramaciones!L$9&gt;=F22,100,0),ROUND(NETWORKDAYS.INTL(E22,MIN(F22,Reprogramaciones!L$9),11)/NETWORKDAYS.INTL(E22,F22,11)*100,1)))-IF(Reprogramaciones!K$9&lt;E22,0,IF(NETWORKDAYS.INTL(E22,F22,11)=0,IF(Reprogramaciones!K$9&gt;=F22,100,0),ROUND(NETWORKDAYS.INTL(E22,MIN(F22,Reprogramaciones!K$9),11)/NETWORKDAYS.INTL(E22,F22,11)*100,1))))</f>
        <v/>
      </c>
      <c r="I22" s="36" t="str">
        <f aca="false">IF(OR(NOT(AND(ISNUMBER(E22),ISNUMBER(F22))),$J$2=""),"",IF(Reprogramaciones!M$9&lt;E22,0,IF(NETWORKDAYS.INTL(E22,F22,11)=0,IF(Reprogramaciones!M$9&gt;=F22,100,0),ROUND(NETWORKDAYS.INTL(E22,MIN(F22,Reprogramaciones!M$9),11)/NETWORKDAYS.INTL(E22,F22,11)*100,1)))-IF(Reprogramaciones!L$9&lt;E22,0,IF(NETWORKDAYS.INTL(E22,F22,11)=0,IF(Reprogramaciones!L$9&gt;=F22,100,0),ROUND(NETWORKDAYS.INTL(E22,MIN(F22,Reprogramaciones!L$9),11)/NETWORKDAYS.INTL(E22,F22,11)*100,1))))</f>
        <v/>
      </c>
      <c r="J22" s="36" t="str">
        <f aca="false">IF(OR(NOT(AND(ISNUMBER(E22),ISNUMBER(F22))),$J$2=""),"",IF(Reprogramaciones!N$9&lt;E22,0,IF(NETWORKDAYS.INTL(E22,F22,11)=0,IF(Reprogramaciones!N$9&gt;=F22,100,0),ROUND(NETWORKDAYS.INTL(E22,MIN(F22,Reprogramaciones!N$9),11)/NETWORKDAYS.INTL(E22,F22,11)*100,1)))-IF(Reprogramaciones!M$9&lt;E22,0,IF(NETWORKDAYS.INTL(E22,F22,11)=0,IF(Reprogramaciones!M$9&gt;=F22,100,0),ROUND(NETWORKDAYS.INTL(E22,MIN(F22,Reprogramaciones!M$9),11)/NETWORKDAYS.INTL(E22,F22,11)*100,1))))</f>
        <v/>
      </c>
      <c r="K22" s="36" t="str">
        <f aca="false">IF(OR(NOT(AND(ISNUMBER(E22),ISNUMBER(F22))),$J$2=""),"",IF(Reprogramaciones!O$9&lt;E22,0,IF(NETWORKDAYS.INTL(E22,F22,11)=0,IF(Reprogramaciones!O$9&gt;=F22,100,0),ROUND(NETWORKDAYS.INTL(E22,MIN(F22,Reprogramaciones!O$9),11)/NETWORKDAYS.INTL(E22,F22,11)*100,1)))-IF(Reprogramaciones!N$9&lt;E22,0,IF(NETWORKDAYS.INTL(E22,F22,11)=0,IF(Reprogramaciones!N$9&gt;=F22,100,0),ROUND(NETWORKDAYS.INTL(E22,MIN(F22,Reprogramaciones!N$9),11)/NETWORKDAYS.INTL(E22,F22,11)*100,1))))</f>
        <v/>
      </c>
      <c r="L22" s="36" t="str">
        <f aca="false">IF(OR(NOT(AND(ISNUMBER(E22),ISNUMBER(F22))),$J$2=""),"",IF(Reprogramaciones!P$9&lt;E22,0,IF(NETWORKDAYS.INTL(E22,F22,11)=0,IF(Reprogramaciones!P$9&gt;=F22,100,0),ROUND(NETWORKDAYS.INTL(E22,MIN(F22,Reprogramaciones!P$9),11)/NETWORKDAYS.INTL(E22,F22,11)*100,1)))-IF(Reprogramaciones!O$9&lt;E22,0,IF(NETWORKDAYS.INTL(E22,F22,11)=0,IF(Reprogramaciones!O$9&gt;=F22,100,0),ROUND(NETWORKDAYS.INTL(E22,MIN(F22,Reprogramaciones!O$9),11)/NETWORKDAYS.INTL(E22,F22,11)*100,1))))</f>
        <v/>
      </c>
      <c r="M22" s="36" t="str">
        <f aca="false">IF(OR(NOT(AND(ISNUMBER(E22),ISNUMBER(F22))),$J$2=""),"",IF(Reprogramaciones!Q$9&lt;E22,0,IF(NETWORKDAYS.INTL(E22,F22,11)=0,IF(Reprogramaciones!Q$9&gt;=F22,100,0),ROUND(NETWORKDAYS.INTL(E22,MIN(F22,Reprogramaciones!Q$9),11)/NETWORKDAYS.INTL(E22,F22,11)*100,1)))-IF(Reprogramaciones!P$9&lt;E22,0,IF(NETWORKDAYS.INTL(E22,F22,11)=0,IF(Reprogramaciones!P$9&gt;=F22,100,0),ROUND(NETWORKDAYS.INTL(E22,MIN(F22,Reprogramaciones!P$9),11)/NETWORKDAYS.INTL(E22,F22,11)*100,1))))</f>
        <v/>
      </c>
      <c r="N22" s="36" t="str">
        <f aca="false">IF(OR(NOT(AND(ISNUMBER(E22),ISNUMBER(F22))),$J$2=""),"",IF(Reprogramaciones!R$9&lt;E22,0,IF(NETWORKDAYS.INTL(E22,F22,11)=0,IF(Reprogramaciones!R$9&gt;=F22,100,0),ROUND(NETWORKDAYS.INTL(E22,MIN(F22,Reprogramaciones!R$9),11)/NETWORKDAYS.INTL(E22,F22,11)*100,1)))-IF(Reprogramaciones!Q$9&lt;E22,0,IF(NETWORKDAYS.INTL(E22,F22,11)=0,IF(Reprogramaciones!Q$9&gt;=F22,100,0),ROUND(NETWORKDAYS.INTL(E22,MIN(F22,Reprogramaciones!Q$9),11)/NETWORKDAYS.INTL(E22,F22,11)*100,1))))</f>
        <v/>
      </c>
      <c r="O22" s="36" t="str">
        <f aca="false">IF(OR(NOT(AND(ISNUMBER(E22),ISNUMBER(F22))),$J$2=""),"",IF(Reprogramaciones!S$9&lt;E22,0,IF(NETWORKDAYS.INTL(E22,F22,11)=0,IF(Reprogramaciones!S$9&gt;=F22,100,0),ROUND(NETWORKDAYS.INTL(E22,MIN(F22,Reprogramaciones!S$9),11)/NETWORKDAYS.INTL(E22,F22,11)*100,1)))-IF(Reprogramaciones!R$9&lt;E22,0,IF(NETWORKDAYS.INTL(E22,F22,11)=0,IF(Reprogramaciones!R$9&gt;=F22,100,0),ROUND(NETWORKDAYS.INTL(E22,MIN(F22,Reprogramaciones!R$9),11)/NETWORKDAYS.INTL(E22,F22,11)*100,1))))</f>
        <v/>
      </c>
      <c r="P22" s="36" t="str">
        <f aca="false">IF(OR(NOT(AND(ISNUMBER(E22),ISNUMBER(F22))),$J$2=""),"",IF(Reprogramaciones!T$9&lt;E22,0,IF(NETWORKDAYS.INTL(E22,F22,11)=0,IF(Reprogramaciones!T$9&gt;=F22,100,0),ROUND(NETWORKDAYS.INTL(E22,MIN(F22,Reprogramaciones!T$9),11)/NETWORKDAYS.INTL(E22,F22,11)*100,1)))-IF(Reprogramaciones!S$9&lt;E22,0,IF(NETWORKDAYS.INTL(E22,F22,11)=0,IF(Reprogramaciones!S$9&gt;=F22,100,0),ROUND(NETWORKDAYS.INTL(E22,MIN(F22,Reprogramaciones!S$9),11)/NETWORKDAYS.INTL(E22,F22,11)*100,1))))</f>
        <v/>
      </c>
      <c r="Q22" s="37"/>
      <c r="R22" s="37"/>
      <c r="S22" s="37"/>
      <c r="T22" s="37"/>
      <c r="U22" s="37"/>
      <c r="V22" s="37"/>
      <c r="W22" s="37"/>
      <c r="X22" s="37"/>
      <c r="Y22" s="37"/>
      <c r="Z22" s="37"/>
      <c r="AA22" s="37"/>
      <c r="AB22" s="37"/>
      <c r="AC22" s="37"/>
      <c r="AD22" s="37"/>
      <c r="AE22" s="37"/>
      <c r="AF22" s="37"/>
      <c r="AG22" s="38" t="str">
        <f aca="false">IF(AND(ISNUMBER(E22),ISNUMBER(F22)),NETWORKDAYS.INTL(E22,F22,11),"")</f>
        <v/>
      </c>
      <c r="AH22" s="38" t="str">
        <f aca="false">IF(OR(NOT(AND(ISNUMBER(E22),ISNUMBER(F22))),$J$2=""),"",IF(Reprogramaciones!$P$15&lt;Reprogramaciones!$T$15,0,IF(Reprogramaciones!$R$15&gt;10,MIN(100,SUM($G22:$P22)),MIN(100,SUMPRODUCT((COLUMN($G22:$P22)-COLUMN($G22)+1&lt;Reprogramaciones!$R$15)*$G22:$P22)+N(INDEX($G22:$P22,1,Reprogramaciones!$R$15))*IF(Reprogramaciones!$P$15&gt;=(Reprogramaciones!$T$15+7*(Reprogramaciones!$R$15-1))+6,1,IF(MAX(0,NETWORKDAYS.INTL(MAX(E22,(Reprogramaciones!$T$15+7*(Reprogramaciones!$R$15-1))),MIN(F22,(Reprogramaciones!$T$15+7*(Reprogramaciones!$R$15-1))+6),11))=0,0,MAX(0,NETWORKDAYS.INTL(MAX(E22,(Reprogramaciones!$T$15+7*(Reprogramaciones!$R$15-1))),MIN(F22,Reprogramaciones!$P$15),11))/MAX(0,NETWORKDAYS.INTL(MAX(E22,(Reprogramaciones!$T$15+7*(Reprogramaciones!$R$15-1))),MIN(F22,(Reprogramaciones!$T$15+7*(Reprogramaciones!$R$15-1))+6),11))))))))</f>
        <v/>
      </c>
      <c r="AI22" s="38" t="str">
        <f aca="false">IF(COUNT($Q22:$AF22)=0,"",IF(ROUND(SUM($Q22:$AF22),1)&gt;=99.5,100,MIN(100,ROUND(SUM($Q22:$AF22),1))))</f>
        <v/>
      </c>
      <c r="AJ22" s="38" t="str">
        <f aca="false">IF(OR(AH22="",AI22=""),"",AI22-AH22)</f>
        <v/>
      </c>
      <c r="AK22" s="39" t="str">
        <f aca="true">IF(AH22="","",IF(OR(Ficha!$C$10="Suspendida",Ficha!$C$10="Cancelada"),Ficha!$C$10,IF(AND(AI22&lt;&gt;"",N(AI22)&gt;=100),"Completada",IF(AND(E22&gt;TODAY(),N(AI22)=0),"Por iniciar",IF(N(AI22)+0.5&lt;AH22,"Retrasada",IF(N(AI22)+0.5&lt;DA22,IF(Reprogramaciones!$K$15&gt;0,"Al día · Sem "&amp;Reprogramaciones!$K$15&amp;" en curso","Al día · en curso"),"A tiempo"))))))</f>
        <v/>
      </c>
      <c r="AL22" s="39" t="str">
        <f aca="true">IF(AND(A22="",AND(B22="",C22="",E22="",F22="",COUNT(Q22:AF22)=0)),"",IF(AND(B22="",C22="",E22="",F22="",COUNT(Q22:AF22)=0),"Falta la partida o subpartida",IF(AND(A22&lt;&gt;"",COUNTIF($A$6:$A$305,A22)&gt;1),"Ítem repetido",IF(AND(C22="",E22="",F22="",COUNT(Q22:AF22)=0),"Título de partida",IF(OR(E22="",F22=""),"Faltan fechas",IF(OR(ISTEXT(E22),ISTEXT(F22)),"Fecha escrita como texto: usa dd/mm/aaaa",IF(F22&lt;E22,"Fin antes del inicio",IF(IF($J$2="",FALSE(),OR(E22&lt;$J$2,F22&gt;Reprogramaciones!$T$15+69)),"Fuera de las 10 semanas",IF(ABS(SUM(G22:P22)-100)&gt;0.5,"La meta no suma 100%",IF(ROUND(SUM(Q22:AF22),1)&gt;100.5,"El avance pasa de 100%",IF(MIN(Q22:AF22)&lt;0,"Avance negativo",IF(COUNTA(Q22:AF22)&gt;COUNT(Q22:AF22),"Avance escrito como texto",IF(SUMPRODUCT((Q22:AF22&gt;0)*(Q22:AF22&lt;1))&gt;0,"Avance menor a 1: escribe 50, no 50%",IF(SUMPRODUCT(ISNUMBER(Q22:AF22)*(Reprogramaciones!$K$8:$Z$8&gt;TODAY()))&gt;0,"Avance en semana que aún no llega",IF(AND(N(Reprogramaciones!$E$21)&gt;0,F22&gt;Reprogramaciones!$E$21),"Pasa el fin de la obra: registra una reprogramación",IF(AND(N(Reprogramaciones!$E$21)&gt;0,SUMPRODUCT(ISNUMBER(Q22:AF22)*(Reprogramaciones!$K$8:$Z$8&gt;Reprogramaciones!$E$21))&gt;0),"Avance después del fin de la obra: registra una reprogramación por atraso","OK"))))))))))))))))</f>
        <v>Título de partida</v>
      </c>
      <c r="AM22" s="40" t="str">
        <f aca="false">IF(OR(OR(NOT(AND(ISNUMBER(E22),ISNUMBER(F22))),$J$2=""),1&gt;MAX(1,Reprogramaciones!$U$15)),"",IF(Reprogramaciones!K$12&gt;=7,"",IF(OR(BT22-N(0)&gt;0.05,N(Q22)&gt;0),ROUNDDOWN(ROUND(BT22,6),0)&amp;"%"&amp;IF(CJ22="",""," / "&amp;CJ22&amp;"%"),IF(AND(N(0)&gt;=99.95,CJ22&lt;&gt;"",N(CJ22)&lt;100),"Pend. "&amp;CJ22&amp;"%",""))))</f>
        <v/>
      </c>
      <c r="AN22" s="40" t="str">
        <f aca="false">IF(OR(OR(NOT(AND(ISNUMBER(E22),ISNUMBER(F22))),$J$2=""),2&gt;MAX(1,Reprogramaciones!$U$15)),"",IF(Reprogramaciones!L$12&gt;=7,"",IF(OR(BU22-N(BT22)&gt;0.05,N(R22)&gt;0),ROUNDDOWN(ROUND(BU22,6),0)&amp;"%"&amp;IF(CK22="",""," / "&amp;CK22&amp;"%"),IF(AND(N(BT22)&gt;=99.95,CK22&lt;&gt;"",N(CK22)&lt;100),"Pend. "&amp;CK22&amp;"%",""))))</f>
        <v/>
      </c>
      <c r="AO22" s="40" t="str">
        <f aca="false">IF(OR(OR(NOT(AND(ISNUMBER(E22),ISNUMBER(F22))),$J$2=""),3&gt;MAX(1,Reprogramaciones!$U$15)),"",IF(Reprogramaciones!M$12&gt;=7,"",IF(OR(BV22-N(BU22)&gt;0.05,N(S22)&gt;0),ROUNDDOWN(ROUND(BV22,6),0)&amp;"%"&amp;IF(CL22="",""," / "&amp;CL22&amp;"%"),IF(AND(N(BU22)&gt;=99.95,CL22&lt;&gt;"",N(CL22)&lt;100),"Pend. "&amp;CL22&amp;"%",""))))</f>
        <v/>
      </c>
      <c r="AP22" s="40" t="str">
        <f aca="false">IF(OR(OR(NOT(AND(ISNUMBER(E22),ISNUMBER(F22))),$J$2=""),4&gt;MAX(1,Reprogramaciones!$U$15)),"",IF(Reprogramaciones!N$12&gt;=7,"",IF(OR(BW22-N(BV22)&gt;0.05,N(T22)&gt;0),ROUNDDOWN(ROUND(BW22,6),0)&amp;"%"&amp;IF(CM22="",""," / "&amp;CM22&amp;"%"),IF(AND(N(BV22)&gt;=99.95,CM22&lt;&gt;"",N(CM22)&lt;100),"Pend. "&amp;CM22&amp;"%",""))))</f>
        <v/>
      </c>
      <c r="AQ22" s="40" t="str">
        <f aca="false">IF(OR(OR(NOT(AND(ISNUMBER(E22),ISNUMBER(F22))),$J$2=""),5&gt;MAX(1,Reprogramaciones!$U$15)),"",IF(Reprogramaciones!O$12&gt;=7,"",IF(OR(BX22-N(BW22)&gt;0.05,N(U22)&gt;0),ROUNDDOWN(ROUND(BX22,6),0)&amp;"%"&amp;IF(CN22="",""," / "&amp;CN22&amp;"%"),IF(AND(N(BW22)&gt;=99.95,CN22&lt;&gt;"",N(CN22)&lt;100),"Pend. "&amp;CN22&amp;"%",""))))</f>
        <v/>
      </c>
      <c r="AR22" s="40" t="str">
        <f aca="false">IF(OR(OR(NOT(AND(ISNUMBER(E22),ISNUMBER(F22))),$J$2=""),6&gt;MAX(1,Reprogramaciones!$U$15)),"",IF(Reprogramaciones!P$12&gt;=7,"",IF(OR(BY22-N(BX22)&gt;0.05,N(V22)&gt;0),ROUNDDOWN(ROUND(BY22,6),0)&amp;"%"&amp;IF(CO22="",""," / "&amp;CO22&amp;"%"),IF(AND(N(BX22)&gt;=99.95,CO22&lt;&gt;"",N(CO22)&lt;100),"Pend. "&amp;CO22&amp;"%",""))))</f>
        <v/>
      </c>
      <c r="AS22" s="40" t="str">
        <f aca="false">IF(OR(OR(NOT(AND(ISNUMBER(E22),ISNUMBER(F22))),$J$2=""),7&gt;MAX(1,Reprogramaciones!$U$15)),"",IF(Reprogramaciones!Q$12&gt;=7,"",IF(OR(BZ22-N(BY22)&gt;0.05,N(W22)&gt;0),ROUNDDOWN(ROUND(BZ22,6),0)&amp;"%"&amp;IF(CP22="",""," / "&amp;CP22&amp;"%"),IF(AND(N(BY22)&gt;=99.95,CP22&lt;&gt;"",N(CP22)&lt;100),"Pend. "&amp;CP22&amp;"%",""))))</f>
        <v/>
      </c>
      <c r="AT22" s="40" t="str">
        <f aca="false">IF(OR(OR(NOT(AND(ISNUMBER(E22),ISNUMBER(F22))),$J$2=""),8&gt;MAX(1,Reprogramaciones!$U$15)),"",IF(Reprogramaciones!R$12&gt;=7,"",IF(OR(CA22-N(BZ22)&gt;0.05,N(X22)&gt;0),ROUNDDOWN(ROUND(CA22,6),0)&amp;"%"&amp;IF(CQ22="",""," / "&amp;CQ22&amp;"%"),IF(AND(N(BZ22)&gt;=99.95,CQ22&lt;&gt;"",N(CQ22)&lt;100),"Pend. "&amp;CQ22&amp;"%",""))))</f>
        <v/>
      </c>
      <c r="AU22" s="40" t="str">
        <f aca="false">IF(OR(OR(NOT(AND(ISNUMBER(E22),ISNUMBER(F22))),$J$2=""),9&gt;MAX(1,Reprogramaciones!$U$15)),"",IF(Reprogramaciones!S$12&gt;=7,"",IF(OR(CB22-N(CA22)&gt;0.05,N(Y22)&gt;0),ROUNDDOWN(ROUND(CB22,6),0)&amp;"%"&amp;IF(CR22="",""," / "&amp;CR22&amp;"%"),IF(AND(N(CA22)&gt;=99.95,CR22&lt;&gt;"",N(CR22)&lt;100),"Pend. "&amp;CR22&amp;"%",""))))</f>
        <v/>
      </c>
      <c r="AV22" s="40" t="str">
        <f aca="false">IF(OR(OR(NOT(AND(ISNUMBER(E22),ISNUMBER(F22))),$J$2=""),10&gt;MAX(1,Reprogramaciones!$U$15)),"",IF(Reprogramaciones!T$12&gt;=7,"",IF(OR(CC22-N(CB22)&gt;0.05,N(Z22)&gt;0),ROUNDDOWN(ROUND(CC22,6),0)&amp;"%"&amp;IF(CS22="",""," / "&amp;CS22&amp;"%"),IF(AND(N(CB22)&gt;=99.95,CS22&lt;&gt;"",N(CS22)&lt;100),"Pend. "&amp;CS22&amp;"%",""))))</f>
        <v/>
      </c>
      <c r="AW22" s="40" t="str">
        <f aca="false">IF(OR(OR(NOT(AND(ISNUMBER(E22),ISNUMBER(F22))),$J$2=""),11&gt;MAX(1,Reprogramaciones!$U$15)),"",IF(Reprogramaciones!U$12&gt;=7,"",IF(OR(CD22-N(CC22)&gt;0.05,N(AA22)&gt;0),ROUNDDOWN(ROUND(CD22,6),0)&amp;"%"&amp;IF(CT22="",""," / "&amp;CT22&amp;"%"),IF(AND(N(CC22)&gt;=99.95,CT22&lt;&gt;"",N(CT22)&lt;100),"Pend. "&amp;CT22&amp;"%",""))))</f>
        <v/>
      </c>
      <c r="AX22" s="40" t="str">
        <f aca="false">IF(OR(OR(NOT(AND(ISNUMBER(E22),ISNUMBER(F22))),$J$2=""),12&gt;MAX(1,Reprogramaciones!$U$15)),"",IF(Reprogramaciones!V$12&gt;=7,"",IF(OR(CE22-N(CD22)&gt;0.05,N(AB22)&gt;0),ROUNDDOWN(ROUND(CE22,6),0)&amp;"%"&amp;IF(CU22="",""," / "&amp;CU22&amp;"%"),IF(AND(N(CD22)&gt;=99.95,CU22&lt;&gt;"",N(CU22)&lt;100),"Pend. "&amp;CU22&amp;"%",""))))</f>
        <v/>
      </c>
      <c r="AY22" s="40" t="str">
        <f aca="false">IF(OR(OR(NOT(AND(ISNUMBER(E22),ISNUMBER(F22))),$J$2=""),13&gt;MAX(1,Reprogramaciones!$U$15)),"",IF(Reprogramaciones!W$12&gt;=7,"",IF(OR(CF22-N(CE22)&gt;0.05,N(AC22)&gt;0),ROUNDDOWN(ROUND(CF22,6),0)&amp;"%"&amp;IF(CV22="",""," / "&amp;CV22&amp;"%"),IF(AND(N(CE22)&gt;=99.95,CV22&lt;&gt;"",N(CV22)&lt;100),"Pend. "&amp;CV22&amp;"%",""))))</f>
        <v/>
      </c>
      <c r="AZ22" s="40" t="str">
        <f aca="false">IF(OR(OR(NOT(AND(ISNUMBER(E22),ISNUMBER(F22))),$J$2=""),14&gt;MAX(1,Reprogramaciones!$U$15)),"",IF(Reprogramaciones!X$12&gt;=7,"",IF(OR(CG22-N(CF22)&gt;0.05,N(AD22)&gt;0),ROUNDDOWN(ROUND(CG22,6),0)&amp;"%"&amp;IF(CW22="",""," / "&amp;CW22&amp;"%"),IF(AND(N(CF22)&gt;=99.95,CW22&lt;&gt;"",N(CW22)&lt;100),"Pend. "&amp;CW22&amp;"%",""))))</f>
        <v/>
      </c>
      <c r="BA22" s="40" t="str">
        <f aca="false">IF(OR(OR(NOT(AND(ISNUMBER(E22),ISNUMBER(F22))),$J$2=""),15&gt;MAX(1,Reprogramaciones!$U$15)),"",IF(Reprogramaciones!Y$12&gt;=7,"",IF(OR(CH22-N(CG22)&gt;0.05,N(AE22)&gt;0),ROUNDDOWN(ROUND(CH22,6),0)&amp;"%"&amp;IF(CX22="",""," / "&amp;CX22&amp;"%"),IF(AND(N(CG22)&gt;=99.95,CX22&lt;&gt;"",N(CX22)&lt;100),"Pend. "&amp;CX22&amp;"%",""))))</f>
        <v/>
      </c>
      <c r="BB22" s="40" t="str">
        <f aca="false">IF(OR(OR(NOT(AND(ISNUMBER(E22),ISNUMBER(F22))),$J$2=""),16&gt;MAX(1,Reprogramaciones!$U$15)),"",IF(Reprogramaciones!Z$12&gt;=7,"",IF(OR(CI22-N(CH22)&gt;0.05,N(AF22)&gt;0),ROUNDDOWN(ROUND(CI22,6),0)&amp;"%"&amp;IF(CY22="",""," / "&amp;CY22&amp;"%"),IF(AND(N(CH22)&gt;=99.95,CY22&lt;&gt;"",N(CY22)&lt;100),"Pend. "&amp;CY22&amp;"%",""))))</f>
        <v/>
      </c>
      <c r="BC22" s="31" t="n">
        <f aca="false">IF(AND(ISNUMBER(E22),ISNUMBER(F22)),MAX(1,NETWORKDAYS.INTL(E22,F22,11)),0)</f>
        <v>0</v>
      </c>
      <c r="BD22" s="1" t="str">
        <f aca="false">IF(OR(NOT(AND(ISNUMBER(E22),ISNUMBER(F22))),$J$2=""),"",MIN(100,ROUND(SUM($G22:G22),1)))</f>
        <v/>
      </c>
      <c r="BE22" s="1" t="str">
        <f aca="false">IF(OR(NOT(AND(ISNUMBER(E22),ISNUMBER(F22))),$J$2=""),"",MIN(100,ROUND(SUM($G22:H22),1)))</f>
        <v/>
      </c>
      <c r="BF22" s="1" t="str">
        <f aca="false">IF(OR(NOT(AND(ISNUMBER(E22),ISNUMBER(F22))),$J$2=""),"",MIN(100,ROUND(SUM($G22:I22),1)))</f>
        <v/>
      </c>
      <c r="BG22" s="1" t="str">
        <f aca="false">IF(OR(NOT(AND(ISNUMBER(E22),ISNUMBER(F22))),$J$2=""),"",MIN(100,ROUND(SUM($G22:J22),1)))</f>
        <v/>
      </c>
      <c r="BH22" s="1" t="str">
        <f aca="false">IF(OR(NOT(AND(ISNUMBER(E22),ISNUMBER(F22))),$J$2=""),"",MIN(100,ROUND(SUM($G22:K22),1)))</f>
        <v/>
      </c>
      <c r="BI22" s="1" t="str">
        <f aca="false">IF(OR(NOT(AND(ISNUMBER(E22),ISNUMBER(F22))),$J$2=""),"",MIN(100,ROUND(SUM($G22:L22),1)))</f>
        <v/>
      </c>
      <c r="BJ22" s="1" t="str">
        <f aca="false">IF(OR(NOT(AND(ISNUMBER(E22),ISNUMBER(F22))),$J$2=""),"",MIN(100,ROUND(SUM($G22:M22),1)))</f>
        <v/>
      </c>
      <c r="BK22" s="1" t="str">
        <f aca="false">IF(OR(NOT(AND(ISNUMBER(E22),ISNUMBER(F22))),$J$2=""),"",MIN(100,ROUND(SUM($G22:N22),1)))</f>
        <v/>
      </c>
      <c r="BL22" s="1" t="str">
        <f aca="false">IF(OR(NOT(AND(ISNUMBER(E22),ISNUMBER(F22))),$J$2=""),"",MIN(100,ROUND(SUM($G22:O22),1)))</f>
        <v/>
      </c>
      <c r="BM22" s="1" t="str">
        <f aca="false">IF(OR(NOT(AND(ISNUMBER(E22),ISNUMBER(F22))),$J$2=""),"",MIN(100,ROUND(SUM($G22:P22),1)))</f>
        <v/>
      </c>
      <c r="BN22" s="1" t="str">
        <f aca="false">IF(OR(NOT(AND(ISNUMBER(E22),ISNUMBER(F22))),$J$2=""),"",MIN(100,ROUND(SUM($G22:P22),1)))</f>
        <v/>
      </c>
      <c r="BO22" s="1" t="str">
        <f aca="false">IF(OR(NOT(AND(ISNUMBER(E22),ISNUMBER(F22))),$J$2=""),"",MIN(100,ROUND(SUM($G22:P22),1)))</f>
        <v/>
      </c>
      <c r="BP22" s="1" t="str">
        <f aca="false">IF(OR(NOT(AND(ISNUMBER(E22),ISNUMBER(F22))),$J$2=""),"",MIN(100,ROUND(SUM($G22:P22),1)))</f>
        <v/>
      </c>
      <c r="BQ22" s="1" t="str">
        <f aca="false">IF(OR(NOT(AND(ISNUMBER(E22),ISNUMBER(F22))),$J$2=""),"",MIN(100,ROUND(SUM($G22:P22),1)))</f>
        <v/>
      </c>
      <c r="BR22" s="1" t="str">
        <f aca="false">IF(OR(NOT(AND(ISNUMBER(E22),ISNUMBER(F22))),$J$2=""),"",MIN(100,ROUND(SUM($G22:P22),1)))</f>
        <v/>
      </c>
      <c r="BS22" s="1" t="str">
        <f aca="false">IF(OR(NOT(AND(ISNUMBER(E22),ISNUMBER(F22))),$J$2=""),"",MIN(100,ROUND(SUM($G22:P22),1)))</f>
        <v/>
      </c>
      <c r="BT22" s="1" t="str">
        <f aca="false">IF(OR(NOT(AND(ISNUMBER(E22),ISNUMBER(F22))),$J$2=""),"",IF(Reprogramaciones!K$13&lt;Reprogramaciones!$T$15,0,IF(Reprogramaciones!K$14&gt;10,MIN(100,SUM($G22:$P22)),MIN(100,SUMPRODUCT((COLUMN($G22:$P22)-COLUMN($G22)+1&lt;Reprogramaciones!K$14)*$G22:$P22)+N(INDEX($G22:$P22,1,Reprogramaciones!K$14))*IF(Reprogramaciones!K$13&gt;=(Reprogramaciones!$T$15+7*(Reprogramaciones!K$14-1))+6,1,IF(MAX(0,NETWORKDAYS.INTL(MAX(E22,(Reprogramaciones!$T$15+7*(Reprogramaciones!K$14-1))),MIN(F22,(Reprogramaciones!$T$15+7*(Reprogramaciones!K$14-1))+6),11))=0,0,MAX(0,NETWORKDAYS.INTL(MAX(E22,(Reprogramaciones!$T$15+7*(Reprogramaciones!K$14-1))),MIN(F22,Reprogramaciones!K$13),11))/MAX(0,NETWORKDAYS.INTL(MAX(E22,(Reprogramaciones!$T$15+7*(Reprogramaciones!K$14-1))),MIN(F22,(Reprogramaciones!$T$15+7*(Reprogramaciones!K$14-1))+6),11))))))))</f>
        <v/>
      </c>
      <c r="BU22" s="1" t="str">
        <f aca="false">IF(OR(NOT(AND(ISNUMBER(E22),ISNUMBER(F22))),$J$2=""),"",IF(Reprogramaciones!L$13&lt;Reprogramaciones!$T$15,0,IF(Reprogramaciones!L$14&gt;10,MIN(100,SUM($G22:$P22)),MIN(100,SUMPRODUCT((COLUMN($G22:$P22)-COLUMN($G22)+1&lt;Reprogramaciones!L$14)*$G22:$P22)+N(INDEX($G22:$P22,1,Reprogramaciones!L$14))*IF(Reprogramaciones!L$13&gt;=(Reprogramaciones!$T$15+7*(Reprogramaciones!L$14-1))+6,1,IF(MAX(0,NETWORKDAYS.INTL(MAX(E22,(Reprogramaciones!$T$15+7*(Reprogramaciones!L$14-1))),MIN(F22,(Reprogramaciones!$T$15+7*(Reprogramaciones!L$14-1))+6),11))=0,0,MAX(0,NETWORKDAYS.INTL(MAX(E22,(Reprogramaciones!$T$15+7*(Reprogramaciones!L$14-1))),MIN(F22,Reprogramaciones!L$13),11))/MAX(0,NETWORKDAYS.INTL(MAX(E22,(Reprogramaciones!$T$15+7*(Reprogramaciones!L$14-1))),MIN(F22,(Reprogramaciones!$T$15+7*(Reprogramaciones!L$14-1))+6),11))))))))</f>
        <v/>
      </c>
      <c r="BV22" s="1" t="str">
        <f aca="false">IF(OR(NOT(AND(ISNUMBER(E22),ISNUMBER(F22))),$J$2=""),"",IF(Reprogramaciones!M$13&lt;Reprogramaciones!$T$15,0,IF(Reprogramaciones!M$14&gt;10,MIN(100,SUM($G22:$P22)),MIN(100,SUMPRODUCT((COLUMN($G22:$P22)-COLUMN($G22)+1&lt;Reprogramaciones!M$14)*$G22:$P22)+N(INDEX($G22:$P22,1,Reprogramaciones!M$14))*IF(Reprogramaciones!M$13&gt;=(Reprogramaciones!$T$15+7*(Reprogramaciones!M$14-1))+6,1,IF(MAX(0,NETWORKDAYS.INTL(MAX(E22,(Reprogramaciones!$T$15+7*(Reprogramaciones!M$14-1))),MIN(F22,(Reprogramaciones!$T$15+7*(Reprogramaciones!M$14-1))+6),11))=0,0,MAX(0,NETWORKDAYS.INTL(MAX(E22,(Reprogramaciones!$T$15+7*(Reprogramaciones!M$14-1))),MIN(F22,Reprogramaciones!M$13),11))/MAX(0,NETWORKDAYS.INTL(MAX(E22,(Reprogramaciones!$T$15+7*(Reprogramaciones!M$14-1))),MIN(F22,(Reprogramaciones!$T$15+7*(Reprogramaciones!M$14-1))+6),11))))))))</f>
        <v/>
      </c>
      <c r="BW22" s="1" t="str">
        <f aca="false">IF(OR(NOT(AND(ISNUMBER(E22),ISNUMBER(F22))),$J$2=""),"",IF(Reprogramaciones!N$13&lt;Reprogramaciones!$T$15,0,IF(Reprogramaciones!N$14&gt;10,MIN(100,SUM($G22:$P22)),MIN(100,SUMPRODUCT((COLUMN($G22:$P22)-COLUMN($G22)+1&lt;Reprogramaciones!N$14)*$G22:$P22)+N(INDEX($G22:$P22,1,Reprogramaciones!N$14))*IF(Reprogramaciones!N$13&gt;=(Reprogramaciones!$T$15+7*(Reprogramaciones!N$14-1))+6,1,IF(MAX(0,NETWORKDAYS.INTL(MAX(E22,(Reprogramaciones!$T$15+7*(Reprogramaciones!N$14-1))),MIN(F22,(Reprogramaciones!$T$15+7*(Reprogramaciones!N$14-1))+6),11))=0,0,MAX(0,NETWORKDAYS.INTL(MAX(E22,(Reprogramaciones!$T$15+7*(Reprogramaciones!N$14-1))),MIN(F22,Reprogramaciones!N$13),11))/MAX(0,NETWORKDAYS.INTL(MAX(E22,(Reprogramaciones!$T$15+7*(Reprogramaciones!N$14-1))),MIN(F22,(Reprogramaciones!$T$15+7*(Reprogramaciones!N$14-1))+6),11))))))))</f>
        <v/>
      </c>
      <c r="BX22" s="1" t="str">
        <f aca="false">IF(OR(NOT(AND(ISNUMBER(E22),ISNUMBER(F22))),$J$2=""),"",IF(Reprogramaciones!O$13&lt;Reprogramaciones!$T$15,0,IF(Reprogramaciones!O$14&gt;10,MIN(100,SUM($G22:$P22)),MIN(100,SUMPRODUCT((COLUMN($G22:$P22)-COLUMN($G22)+1&lt;Reprogramaciones!O$14)*$G22:$P22)+N(INDEX($G22:$P22,1,Reprogramaciones!O$14))*IF(Reprogramaciones!O$13&gt;=(Reprogramaciones!$T$15+7*(Reprogramaciones!O$14-1))+6,1,IF(MAX(0,NETWORKDAYS.INTL(MAX(E22,(Reprogramaciones!$T$15+7*(Reprogramaciones!O$14-1))),MIN(F22,(Reprogramaciones!$T$15+7*(Reprogramaciones!O$14-1))+6),11))=0,0,MAX(0,NETWORKDAYS.INTL(MAX(E22,(Reprogramaciones!$T$15+7*(Reprogramaciones!O$14-1))),MIN(F22,Reprogramaciones!O$13),11))/MAX(0,NETWORKDAYS.INTL(MAX(E22,(Reprogramaciones!$T$15+7*(Reprogramaciones!O$14-1))),MIN(F22,(Reprogramaciones!$T$15+7*(Reprogramaciones!O$14-1))+6),11))))))))</f>
        <v/>
      </c>
      <c r="BY22" s="1" t="str">
        <f aca="false">IF(OR(NOT(AND(ISNUMBER(E22),ISNUMBER(F22))),$J$2=""),"",IF(Reprogramaciones!P$13&lt;Reprogramaciones!$T$15,0,IF(Reprogramaciones!P$14&gt;10,MIN(100,SUM($G22:$P22)),MIN(100,SUMPRODUCT((COLUMN($G22:$P22)-COLUMN($G22)+1&lt;Reprogramaciones!P$14)*$G22:$P22)+N(INDEX($G22:$P22,1,Reprogramaciones!P$14))*IF(Reprogramaciones!P$13&gt;=(Reprogramaciones!$T$15+7*(Reprogramaciones!P$14-1))+6,1,IF(MAX(0,NETWORKDAYS.INTL(MAX(E22,(Reprogramaciones!$T$15+7*(Reprogramaciones!P$14-1))),MIN(F22,(Reprogramaciones!$T$15+7*(Reprogramaciones!P$14-1))+6),11))=0,0,MAX(0,NETWORKDAYS.INTL(MAX(E22,(Reprogramaciones!$T$15+7*(Reprogramaciones!P$14-1))),MIN(F22,Reprogramaciones!P$13),11))/MAX(0,NETWORKDAYS.INTL(MAX(E22,(Reprogramaciones!$T$15+7*(Reprogramaciones!P$14-1))),MIN(F22,(Reprogramaciones!$T$15+7*(Reprogramaciones!P$14-1))+6),11))))))))</f>
        <v/>
      </c>
      <c r="BZ22" s="1" t="str">
        <f aca="false">IF(OR(NOT(AND(ISNUMBER(E22),ISNUMBER(F22))),$J$2=""),"",IF(Reprogramaciones!Q$13&lt;Reprogramaciones!$T$15,0,IF(Reprogramaciones!Q$14&gt;10,MIN(100,SUM($G22:$P22)),MIN(100,SUMPRODUCT((COLUMN($G22:$P22)-COLUMN($G22)+1&lt;Reprogramaciones!Q$14)*$G22:$P22)+N(INDEX($G22:$P22,1,Reprogramaciones!Q$14))*IF(Reprogramaciones!Q$13&gt;=(Reprogramaciones!$T$15+7*(Reprogramaciones!Q$14-1))+6,1,IF(MAX(0,NETWORKDAYS.INTL(MAX(E22,(Reprogramaciones!$T$15+7*(Reprogramaciones!Q$14-1))),MIN(F22,(Reprogramaciones!$T$15+7*(Reprogramaciones!Q$14-1))+6),11))=0,0,MAX(0,NETWORKDAYS.INTL(MAX(E22,(Reprogramaciones!$T$15+7*(Reprogramaciones!Q$14-1))),MIN(F22,Reprogramaciones!Q$13),11))/MAX(0,NETWORKDAYS.INTL(MAX(E22,(Reprogramaciones!$T$15+7*(Reprogramaciones!Q$14-1))),MIN(F22,(Reprogramaciones!$T$15+7*(Reprogramaciones!Q$14-1))+6),11))))))))</f>
        <v/>
      </c>
      <c r="CA22" s="1" t="str">
        <f aca="false">IF(OR(NOT(AND(ISNUMBER(E22),ISNUMBER(F22))),$J$2=""),"",IF(Reprogramaciones!R$13&lt;Reprogramaciones!$T$15,0,IF(Reprogramaciones!R$14&gt;10,MIN(100,SUM($G22:$P22)),MIN(100,SUMPRODUCT((COLUMN($G22:$P22)-COLUMN($G22)+1&lt;Reprogramaciones!R$14)*$G22:$P22)+N(INDEX($G22:$P22,1,Reprogramaciones!R$14))*IF(Reprogramaciones!R$13&gt;=(Reprogramaciones!$T$15+7*(Reprogramaciones!R$14-1))+6,1,IF(MAX(0,NETWORKDAYS.INTL(MAX(E22,(Reprogramaciones!$T$15+7*(Reprogramaciones!R$14-1))),MIN(F22,(Reprogramaciones!$T$15+7*(Reprogramaciones!R$14-1))+6),11))=0,0,MAX(0,NETWORKDAYS.INTL(MAX(E22,(Reprogramaciones!$T$15+7*(Reprogramaciones!R$14-1))),MIN(F22,Reprogramaciones!R$13),11))/MAX(0,NETWORKDAYS.INTL(MAX(E22,(Reprogramaciones!$T$15+7*(Reprogramaciones!R$14-1))),MIN(F22,(Reprogramaciones!$T$15+7*(Reprogramaciones!R$14-1))+6),11))))))))</f>
        <v/>
      </c>
      <c r="CB22" s="1" t="str">
        <f aca="false">IF(OR(NOT(AND(ISNUMBER(E22),ISNUMBER(F22))),$J$2=""),"",IF(Reprogramaciones!S$13&lt;Reprogramaciones!$T$15,0,IF(Reprogramaciones!S$14&gt;10,MIN(100,SUM($G22:$P22)),MIN(100,SUMPRODUCT((COLUMN($G22:$P22)-COLUMN($G22)+1&lt;Reprogramaciones!S$14)*$G22:$P22)+N(INDEX($G22:$P22,1,Reprogramaciones!S$14))*IF(Reprogramaciones!S$13&gt;=(Reprogramaciones!$T$15+7*(Reprogramaciones!S$14-1))+6,1,IF(MAX(0,NETWORKDAYS.INTL(MAX(E22,(Reprogramaciones!$T$15+7*(Reprogramaciones!S$14-1))),MIN(F22,(Reprogramaciones!$T$15+7*(Reprogramaciones!S$14-1))+6),11))=0,0,MAX(0,NETWORKDAYS.INTL(MAX(E22,(Reprogramaciones!$T$15+7*(Reprogramaciones!S$14-1))),MIN(F22,Reprogramaciones!S$13),11))/MAX(0,NETWORKDAYS.INTL(MAX(E22,(Reprogramaciones!$T$15+7*(Reprogramaciones!S$14-1))),MIN(F22,(Reprogramaciones!$T$15+7*(Reprogramaciones!S$14-1))+6),11))))))))</f>
        <v/>
      </c>
      <c r="CC22" s="1" t="str">
        <f aca="false">IF(OR(NOT(AND(ISNUMBER(E22),ISNUMBER(F22))),$J$2=""),"",IF(Reprogramaciones!T$13&lt;Reprogramaciones!$T$15,0,IF(Reprogramaciones!T$14&gt;10,MIN(100,SUM($G22:$P22)),MIN(100,SUMPRODUCT((COLUMN($G22:$P22)-COLUMN($G22)+1&lt;Reprogramaciones!T$14)*$G22:$P22)+N(INDEX($G22:$P22,1,Reprogramaciones!T$14))*IF(Reprogramaciones!T$13&gt;=(Reprogramaciones!$T$15+7*(Reprogramaciones!T$14-1))+6,1,IF(MAX(0,NETWORKDAYS.INTL(MAX(E22,(Reprogramaciones!$T$15+7*(Reprogramaciones!T$14-1))),MIN(F22,(Reprogramaciones!$T$15+7*(Reprogramaciones!T$14-1))+6),11))=0,0,MAX(0,NETWORKDAYS.INTL(MAX(E22,(Reprogramaciones!$T$15+7*(Reprogramaciones!T$14-1))),MIN(F22,Reprogramaciones!T$13),11))/MAX(0,NETWORKDAYS.INTL(MAX(E22,(Reprogramaciones!$T$15+7*(Reprogramaciones!T$14-1))),MIN(F22,(Reprogramaciones!$T$15+7*(Reprogramaciones!T$14-1))+6),11))))))))</f>
        <v/>
      </c>
      <c r="CD22" s="1" t="str">
        <f aca="false">IF(OR(NOT(AND(ISNUMBER(E22),ISNUMBER(F22))),$J$2=""),"",IF(Reprogramaciones!U$13&lt;Reprogramaciones!$T$15,0,IF(Reprogramaciones!U$14&gt;10,MIN(100,SUM($G22:$P22)),MIN(100,SUMPRODUCT((COLUMN($G22:$P22)-COLUMN($G22)+1&lt;Reprogramaciones!U$14)*$G22:$P22)+N(INDEX($G22:$P22,1,Reprogramaciones!U$14))*IF(Reprogramaciones!U$13&gt;=(Reprogramaciones!$T$15+7*(Reprogramaciones!U$14-1))+6,1,IF(MAX(0,NETWORKDAYS.INTL(MAX(E22,(Reprogramaciones!$T$15+7*(Reprogramaciones!U$14-1))),MIN(F22,(Reprogramaciones!$T$15+7*(Reprogramaciones!U$14-1))+6),11))=0,0,MAX(0,NETWORKDAYS.INTL(MAX(E22,(Reprogramaciones!$T$15+7*(Reprogramaciones!U$14-1))),MIN(F22,Reprogramaciones!U$13),11))/MAX(0,NETWORKDAYS.INTL(MAX(E22,(Reprogramaciones!$T$15+7*(Reprogramaciones!U$14-1))),MIN(F22,(Reprogramaciones!$T$15+7*(Reprogramaciones!U$14-1))+6),11))))))))</f>
        <v/>
      </c>
      <c r="CE22" s="1" t="str">
        <f aca="false">IF(OR(NOT(AND(ISNUMBER(E22),ISNUMBER(F22))),$J$2=""),"",IF(Reprogramaciones!V$13&lt;Reprogramaciones!$T$15,0,IF(Reprogramaciones!V$14&gt;10,MIN(100,SUM($G22:$P22)),MIN(100,SUMPRODUCT((COLUMN($G22:$P22)-COLUMN($G22)+1&lt;Reprogramaciones!V$14)*$G22:$P22)+N(INDEX($G22:$P22,1,Reprogramaciones!V$14))*IF(Reprogramaciones!V$13&gt;=(Reprogramaciones!$T$15+7*(Reprogramaciones!V$14-1))+6,1,IF(MAX(0,NETWORKDAYS.INTL(MAX(E22,(Reprogramaciones!$T$15+7*(Reprogramaciones!V$14-1))),MIN(F22,(Reprogramaciones!$T$15+7*(Reprogramaciones!V$14-1))+6),11))=0,0,MAX(0,NETWORKDAYS.INTL(MAX(E22,(Reprogramaciones!$T$15+7*(Reprogramaciones!V$14-1))),MIN(F22,Reprogramaciones!V$13),11))/MAX(0,NETWORKDAYS.INTL(MAX(E22,(Reprogramaciones!$T$15+7*(Reprogramaciones!V$14-1))),MIN(F22,(Reprogramaciones!$T$15+7*(Reprogramaciones!V$14-1))+6),11))))))))</f>
        <v/>
      </c>
      <c r="CF22" s="1" t="str">
        <f aca="false">IF(OR(NOT(AND(ISNUMBER(E22),ISNUMBER(F22))),$J$2=""),"",IF(Reprogramaciones!W$13&lt;Reprogramaciones!$T$15,0,IF(Reprogramaciones!W$14&gt;10,MIN(100,SUM($G22:$P22)),MIN(100,SUMPRODUCT((COLUMN($G22:$P22)-COLUMN($G22)+1&lt;Reprogramaciones!W$14)*$G22:$P22)+N(INDEX($G22:$P22,1,Reprogramaciones!W$14))*IF(Reprogramaciones!W$13&gt;=(Reprogramaciones!$T$15+7*(Reprogramaciones!W$14-1))+6,1,IF(MAX(0,NETWORKDAYS.INTL(MAX(E22,(Reprogramaciones!$T$15+7*(Reprogramaciones!W$14-1))),MIN(F22,(Reprogramaciones!$T$15+7*(Reprogramaciones!W$14-1))+6),11))=0,0,MAX(0,NETWORKDAYS.INTL(MAX(E22,(Reprogramaciones!$T$15+7*(Reprogramaciones!W$14-1))),MIN(F22,Reprogramaciones!W$13),11))/MAX(0,NETWORKDAYS.INTL(MAX(E22,(Reprogramaciones!$T$15+7*(Reprogramaciones!W$14-1))),MIN(F22,(Reprogramaciones!$T$15+7*(Reprogramaciones!W$14-1))+6),11))))))))</f>
        <v/>
      </c>
      <c r="CG22" s="1" t="str">
        <f aca="false">IF(OR(NOT(AND(ISNUMBER(E22),ISNUMBER(F22))),$J$2=""),"",IF(Reprogramaciones!X$13&lt;Reprogramaciones!$T$15,0,IF(Reprogramaciones!X$14&gt;10,MIN(100,SUM($G22:$P22)),MIN(100,SUMPRODUCT((COLUMN($G22:$P22)-COLUMN($G22)+1&lt;Reprogramaciones!X$14)*$G22:$P22)+N(INDEX($G22:$P22,1,Reprogramaciones!X$14))*IF(Reprogramaciones!X$13&gt;=(Reprogramaciones!$T$15+7*(Reprogramaciones!X$14-1))+6,1,IF(MAX(0,NETWORKDAYS.INTL(MAX(E22,(Reprogramaciones!$T$15+7*(Reprogramaciones!X$14-1))),MIN(F22,(Reprogramaciones!$T$15+7*(Reprogramaciones!X$14-1))+6),11))=0,0,MAX(0,NETWORKDAYS.INTL(MAX(E22,(Reprogramaciones!$T$15+7*(Reprogramaciones!X$14-1))),MIN(F22,Reprogramaciones!X$13),11))/MAX(0,NETWORKDAYS.INTL(MAX(E22,(Reprogramaciones!$T$15+7*(Reprogramaciones!X$14-1))),MIN(F22,(Reprogramaciones!$T$15+7*(Reprogramaciones!X$14-1))+6),11))))))))</f>
        <v/>
      </c>
      <c r="CH22" s="1" t="str">
        <f aca="false">IF(OR(NOT(AND(ISNUMBER(E22),ISNUMBER(F22))),$J$2=""),"",IF(Reprogramaciones!Y$13&lt;Reprogramaciones!$T$15,0,IF(Reprogramaciones!Y$14&gt;10,MIN(100,SUM($G22:$P22)),MIN(100,SUMPRODUCT((COLUMN($G22:$P22)-COLUMN($G22)+1&lt;Reprogramaciones!Y$14)*$G22:$P22)+N(INDEX($G22:$P22,1,Reprogramaciones!Y$14))*IF(Reprogramaciones!Y$13&gt;=(Reprogramaciones!$T$15+7*(Reprogramaciones!Y$14-1))+6,1,IF(MAX(0,NETWORKDAYS.INTL(MAX(E22,(Reprogramaciones!$T$15+7*(Reprogramaciones!Y$14-1))),MIN(F22,(Reprogramaciones!$T$15+7*(Reprogramaciones!Y$14-1))+6),11))=0,0,MAX(0,NETWORKDAYS.INTL(MAX(E22,(Reprogramaciones!$T$15+7*(Reprogramaciones!Y$14-1))),MIN(F22,Reprogramaciones!Y$13),11))/MAX(0,NETWORKDAYS.INTL(MAX(E22,(Reprogramaciones!$T$15+7*(Reprogramaciones!Y$14-1))),MIN(F22,(Reprogramaciones!$T$15+7*(Reprogramaciones!Y$14-1))+6),11))))))))</f>
        <v/>
      </c>
      <c r="CI22" s="1" t="str">
        <f aca="false">IF(OR(NOT(AND(ISNUMBER(E22),ISNUMBER(F22))),$J$2=""),"",IF(Reprogramaciones!Z$13&lt;Reprogramaciones!$T$15,0,IF(Reprogramaciones!Z$14&gt;10,MIN(100,SUM($G22:$P22)),MIN(100,SUMPRODUCT((COLUMN($G22:$P22)-COLUMN($G22)+1&lt;Reprogramaciones!Z$14)*$G22:$P22)+N(INDEX($G22:$P22,1,Reprogramaciones!Z$14))*IF(Reprogramaciones!Z$13&gt;=(Reprogramaciones!$T$15+7*(Reprogramaciones!Z$14-1))+6,1,IF(MAX(0,NETWORKDAYS.INTL(MAX(E22,(Reprogramaciones!$T$15+7*(Reprogramaciones!Z$14-1))),MIN(F22,(Reprogramaciones!$T$15+7*(Reprogramaciones!Z$14-1))+6),11))=0,0,MAX(0,NETWORKDAYS.INTL(MAX(E22,(Reprogramaciones!$T$15+7*(Reprogramaciones!Z$14-1))),MIN(F22,Reprogramaciones!Z$13),11))/MAX(0,NETWORKDAYS.INTL(MAX(E22,(Reprogramaciones!$T$15+7*(Reprogramaciones!Z$14-1))),MIN(F22,(Reprogramaciones!$T$15+7*(Reprogramaciones!Z$14-1))+6),11))))))))</f>
        <v/>
      </c>
      <c r="CJ22" s="1" t="str">
        <f aca="false">IF(OR(OR(NOT(AND(ISNUMBER(E22),ISNUMBER(F22))),$J$2=""),1&gt;Reprogramaciones!$K$16),"",IF(ROUND(SUM($Q22:Q22),1)&gt;=99.5,100,MIN(100,ROUND(SUM($Q22:Q22),1))))</f>
        <v/>
      </c>
      <c r="CK22" s="1" t="str">
        <f aca="false">IF(OR(OR(NOT(AND(ISNUMBER(E22),ISNUMBER(F22))),$J$2=""),2&gt;Reprogramaciones!$K$16),"",IF(ROUND(SUM($Q22:R22),1)&gt;=99.5,100,MIN(100,ROUND(SUM($Q22:R22),1))))</f>
        <v/>
      </c>
      <c r="CL22" s="1" t="str">
        <f aca="false">IF(OR(OR(NOT(AND(ISNUMBER(E22),ISNUMBER(F22))),$J$2=""),3&gt;Reprogramaciones!$K$16),"",IF(ROUND(SUM($Q22:S22),1)&gt;=99.5,100,MIN(100,ROUND(SUM($Q22:S22),1))))</f>
        <v/>
      </c>
      <c r="CM22" s="1" t="str">
        <f aca="false">IF(OR(OR(NOT(AND(ISNUMBER(E22),ISNUMBER(F22))),$J$2=""),4&gt;Reprogramaciones!$K$16),"",IF(ROUND(SUM($Q22:T22),1)&gt;=99.5,100,MIN(100,ROUND(SUM($Q22:T22),1))))</f>
        <v/>
      </c>
      <c r="CN22" s="1" t="str">
        <f aca="false">IF(OR(OR(NOT(AND(ISNUMBER(E22),ISNUMBER(F22))),$J$2=""),5&gt;Reprogramaciones!$K$16),"",IF(ROUND(SUM($Q22:U22),1)&gt;=99.5,100,MIN(100,ROUND(SUM($Q22:U22),1))))</f>
        <v/>
      </c>
      <c r="CO22" s="1" t="str">
        <f aca="false">IF(OR(OR(NOT(AND(ISNUMBER(E22),ISNUMBER(F22))),$J$2=""),6&gt;Reprogramaciones!$K$16),"",IF(ROUND(SUM($Q22:V22),1)&gt;=99.5,100,MIN(100,ROUND(SUM($Q22:V22),1))))</f>
        <v/>
      </c>
      <c r="CP22" s="1" t="str">
        <f aca="false">IF(OR(OR(NOT(AND(ISNUMBER(E22),ISNUMBER(F22))),$J$2=""),7&gt;Reprogramaciones!$K$16),"",IF(ROUND(SUM($Q22:W22),1)&gt;=99.5,100,MIN(100,ROUND(SUM($Q22:W22),1))))</f>
        <v/>
      </c>
      <c r="CQ22" s="1" t="str">
        <f aca="false">IF(OR(OR(NOT(AND(ISNUMBER(E22),ISNUMBER(F22))),$J$2=""),8&gt;Reprogramaciones!$K$16),"",IF(ROUND(SUM($Q22:X22),1)&gt;=99.5,100,MIN(100,ROUND(SUM($Q22:X22),1))))</f>
        <v/>
      </c>
      <c r="CR22" s="1" t="str">
        <f aca="false">IF(OR(OR(NOT(AND(ISNUMBER(E22),ISNUMBER(F22))),$J$2=""),9&gt;Reprogramaciones!$K$16),"",IF(ROUND(SUM($Q22:Y22),1)&gt;=99.5,100,MIN(100,ROUND(SUM($Q22:Y22),1))))</f>
        <v/>
      </c>
      <c r="CS22" s="1" t="str">
        <f aca="false">IF(OR(OR(NOT(AND(ISNUMBER(E22),ISNUMBER(F22))),$J$2=""),10&gt;Reprogramaciones!$K$16),"",IF(ROUND(SUM($Q22:Z22),1)&gt;=99.5,100,MIN(100,ROUND(SUM($Q22:Z22),1))))</f>
        <v/>
      </c>
      <c r="CT22" s="1" t="str">
        <f aca="false">IF(OR(OR(NOT(AND(ISNUMBER(E22),ISNUMBER(F22))),$J$2=""),11&gt;Reprogramaciones!$K$16),"",IF(ROUND(SUM($Q22:AA22),1)&gt;=99.5,100,MIN(100,ROUND(SUM($Q22:AA22),1))))</f>
        <v/>
      </c>
      <c r="CU22" s="1" t="str">
        <f aca="false">IF(OR(OR(NOT(AND(ISNUMBER(E22),ISNUMBER(F22))),$J$2=""),12&gt;Reprogramaciones!$K$16),"",IF(ROUND(SUM($Q22:AB22),1)&gt;=99.5,100,MIN(100,ROUND(SUM($Q22:AB22),1))))</f>
        <v/>
      </c>
      <c r="CV22" s="1" t="str">
        <f aca="false">IF(OR(OR(NOT(AND(ISNUMBER(E22),ISNUMBER(F22))),$J$2=""),13&gt;Reprogramaciones!$K$16),"",IF(ROUND(SUM($Q22:AC22),1)&gt;=99.5,100,MIN(100,ROUND(SUM($Q22:AC22),1))))</f>
        <v/>
      </c>
      <c r="CW22" s="1" t="str">
        <f aca="false">IF(OR(OR(NOT(AND(ISNUMBER(E22),ISNUMBER(F22))),$J$2=""),14&gt;Reprogramaciones!$K$16),"",IF(ROUND(SUM($Q22:AD22),1)&gt;=99.5,100,MIN(100,ROUND(SUM($Q22:AD22),1))))</f>
        <v/>
      </c>
      <c r="CX22" s="1" t="str">
        <f aca="false">IF(OR(OR(NOT(AND(ISNUMBER(E22),ISNUMBER(F22))),$J$2=""),15&gt;Reprogramaciones!$K$16),"",IF(ROUND(SUM($Q22:AE22),1)&gt;=99.5,100,MIN(100,ROUND(SUM($Q22:AE22),1))))</f>
        <v/>
      </c>
      <c r="CY22" s="1" t="str">
        <f aca="false">IF(OR(OR(NOT(AND(ISNUMBER(E22),ISNUMBER(F22))),$J$2=""),16&gt;Reprogramaciones!$K$16),"",IF(ROUND(SUM($Q22:AF22),1)&gt;=99.5,100,MIN(100,ROUND(SUM($Q22:AF22),1))))</f>
        <v/>
      </c>
      <c r="CZ22" s="1" t="str">
        <f aca="false">IF(D22&lt;&gt;"",D22,IF(B22&lt;&gt;"","Contractual",CZ21))</f>
        <v>Contractual</v>
      </c>
      <c r="DA22" s="1" t="str">
        <f aca="false">IF(OR(NOT(AND(ISNUMBER(E22),ISNUMBER(F22))),$J$2=""),"",IF(Reprogramaciones!$Q$15&lt;Reprogramaciones!$T$15,0,IF(Reprogramaciones!$S$15&gt;10,MIN(100,SUM($G22:$P22)),MIN(100,SUMPRODUCT((COLUMN($G22:$P22)-COLUMN($G22)+1&lt;Reprogramaciones!$S$15)*$G22:$P22)+N(INDEX($G22:$P22,1,Reprogramaciones!$S$15))*IF(Reprogramaciones!$Q$15&gt;=(Reprogramaciones!$T$15+7*(Reprogramaciones!$S$15-1))+6,1,IF(MAX(0,NETWORKDAYS.INTL(MAX(E22,(Reprogramaciones!$T$15+7*(Reprogramaciones!$S$15-1))),MIN(F22,(Reprogramaciones!$T$15+7*(Reprogramaciones!$S$15-1))+6),11))=0,0,MAX(0,NETWORKDAYS.INTL(MAX(E22,(Reprogramaciones!$T$15+7*(Reprogramaciones!$S$15-1))),MIN(F22,Reprogramaciones!$Q$15),11))/MAX(0,NETWORKDAYS.INTL(MAX(E22,(Reprogramaciones!$T$15+7*(Reprogramaciones!$S$15-1))),MIN(F22,(Reprogramaciones!$T$15+7*(Reprogramaciones!$S$15-1))+6),11))))))))</f>
        <v/>
      </c>
    </row>
    <row r="23" customFormat="false" ht="15" hidden="false" customHeight="false" outlineLevel="0" collapsed="false">
      <c r="A23" s="32" t="s">
        <v>187</v>
      </c>
      <c r="B23" s="33"/>
      <c r="C23" s="33" t="s">
        <v>188</v>
      </c>
      <c r="D23" s="34"/>
      <c r="E23" s="35" t="n">
        <v>46296</v>
      </c>
      <c r="F23" s="35" t="n">
        <v>46303</v>
      </c>
      <c r="G23" s="36" t="n">
        <f aca="false">IF(OR(NOT(AND(ISNUMBER(E23),ISNUMBER(F23))),$J$2=""),"",IF(Reprogramaciones!K$9&lt;E23,0,IF(NETWORKDAYS.INTL(E23,F23,11)=0,IF(Reprogramaciones!K$9&gt;=F23,100,0),ROUND(NETWORKDAYS.INTL(E23,MIN(F23,Reprogramaciones!K$9),11)/NETWORKDAYS.INTL(E23,F23,11)*100,1)))-0)</f>
        <v>0</v>
      </c>
      <c r="H23" s="36" t="n">
        <f aca="false">IF(OR(NOT(AND(ISNUMBER(E23),ISNUMBER(F23))),$J$2=""),"",IF(Reprogramaciones!L$9&lt;E23,0,IF(NETWORKDAYS.INTL(E23,F23,11)=0,IF(Reprogramaciones!L$9&gt;=F23,100,0),ROUND(NETWORKDAYS.INTL(E23,MIN(F23,Reprogramaciones!L$9),11)/NETWORKDAYS.INTL(E23,F23,11)*100,1)))-IF(Reprogramaciones!K$9&lt;E23,0,IF(NETWORKDAYS.INTL(E23,F23,11)=0,IF(Reprogramaciones!K$9&gt;=F23,100,0),ROUND(NETWORKDAYS.INTL(E23,MIN(F23,Reprogramaciones!K$9),11)/NETWORKDAYS.INTL(E23,F23,11)*100,1))))</f>
        <v>42.9</v>
      </c>
      <c r="I23" s="36" t="n">
        <f aca="false">IF(OR(NOT(AND(ISNUMBER(E23),ISNUMBER(F23))),$J$2=""),"",IF(Reprogramaciones!M$9&lt;E23,0,IF(NETWORKDAYS.INTL(E23,F23,11)=0,IF(Reprogramaciones!M$9&gt;=F23,100,0),ROUND(NETWORKDAYS.INTL(E23,MIN(F23,Reprogramaciones!M$9),11)/NETWORKDAYS.INTL(E23,F23,11)*100,1)))-IF(Reprogramaciones!L$9&lt;E23,0,IF(NETWORKDAYS.INTL(E23,F23,11)=0,IF(Reprogramaciones!L$9&gt;=F23,100,0),ROUND(NETWORKDAYS.INTL(E23,MIN(F23,Reprogramaciones!L$9),11)/NETWORKDAYS.INTL(E23,F23,11)*100,1))))</f>
        <v>57.1</v>
      </c>
      <c r="J23" s="36" t="n">
        <f aca="false">IF(OR(NOT(AND(ISNUMBER(E23),ISNUMBER(F23))),$J$2=""),"",IF(Reprogramaciones!N$9&lt;E23,0,IF(NETWORKDAYS.INTL(E23,F23,11)=0,IF(Reprogramaciones!N$9&gt;=F23,100,0),ROUND(NETWORKDAYS.INTL(E23,MIN(F23,Reprogramaciones!N$9),11)/NETWORKDAYS.INTL(E23,F23,11)*100,1)))-IF(Reprogramaciones!M$9&lt;E23,0,IF(NETWORKDAYS.INTL(E23,F23,11)=0,IF(Reprogramaciones!M$9&gt;=F23,100,0),ROUND(NETWORKDAYS.INTL(E23,MIN(F23,Reprogramaciones!M$9),11)/NETWORKDAYS.INTL(E23,F23,11)*100,1))))</f>
        <v>0</v>
      </c>
      <c r="K23" s="36" t="n">
        <f aca="false">IF(OR(NOT(AND(ISNUMBER(E23),ISNUMBER(F23))),$J$2=""),"",IF(Reprogramaciones!O$9&lt;E23,0,IF(NETWORKDAYS.INTL(E23,F23,11)=0,IF(Reprogramaciones!O$9&gt;=F23,100,0),ROUND(NETWORKDAYS.INTL(E23,MIN(F23,Reprogramaciones!O$9),11)/NETWORKDAYS.INTL(E23,F23,11)*100,1)))-IF(Reprogramaciones!N$9&lt;E23,0,IF(NETWORKDAYS.INTL(E23,F23,11)=0,IF(Reprogramaciones!N$9&gt;=F23,100,0),ROUND(NETWORKDAYS.INTL(E23,MIN(F23,Reprogramaciones!N$9),11)/NETWORKDAYS.INTL(E23,F23,11)*100,1))))</f>
        <v>0</v>
      </c>
      <c r="L23" s="36" t="n">
        <f aca="false">IF(OR(NOT(AND(ISNUMBER(E23),ISNUMBER(F23))),$J$2=""),"",IF(Reprogramaciones!P$9&lt;E23,0,IF(NETWORKDAYS.INTL(E23,F23,11)=0,IF(Reprogramaciones!P$9&gt;=F23,100,0),ROUND(NETWORKDAYS.INTL(E23,MIN(F23,Reprogramaciones!P$9),11)/NETWORKDAYS.INTL(E23,F23,11)*100,1)))-IF(Reprogramaciones!O$9&lt;E23,0,IF(NETWORKDAYS.INTL(E23,F23,11)=0,IF(Reprogramaciones!O$9&gt;=F23,100,0),ROUND(NETWORKDAYS.INTL(E23,MIN(F23,Reprogramaciones!O$9),11)/NETWORKDAYS.INTL(E23,F23,11)*100,1))))</f>
        <v>0</v>
      </c>
      <c r="M23" s="36" t="n">
        <f aca="false">IF(OR(NOT(AND(ISNUMBER(E23),ISNUMBER(F23))),$J$2=""),"",IF(Reprogramaciones!Q$9&lt;E23,0,IF(NETWORKDAYS.INTL(E23,F23,11)=0,IF(Reprogramaciones!Q$9&gt;=F23,100,0),ROUND(NETWORKDAYS.INTL(E23,MIN(F23,Reprogramaciones!Q$9),11)/NETWORKDAYS.INTL(E23,F23,11)*100,1)))-IF(Reprogramaciones!P$9&lt;E23,0,IF(NETWORKDAYS.INTL(E23,F23,11)=0,IF(Reprogramaciones!P$9&gt;=F23,100,0),ROUND(NETWORKDAYS.INTL(E23,MIN(F23,Reprogramaciones!P$9),11)/NETWORKDAYS.INTL(E23,F23,11)*100,1))))</f>
        <v>0</v>
      </c>
      <c r="N23" s="36" t="n">
        <f aca="false">IF(OR(NOT(AND(ISNUMBER(E23),ISNUMBER(F23))),$J$2=""),"",IF(Reprogramaciones!R$9&lt;E23,0,IF(NETWORKDAYS.INTL(E23,F23,11)=0,IF(Reprogramaciones!R$9&gt;=F23,100,0),ROUND(NETWORKDAYS.INTL(E23,MIN(F23,Reprogramaciones!R$9),11)/NETWORKDAYS.INTL(E23,F23,11)*100,1)))-IF(Reprogramaciones!Q$9&lt;E23,0,IF(NETWORKDAYS.INTL(E23,F23,11)=0,IF(Reprogramaciones!Q$9&gt;=F23,100,0),ROUND(NETWORKDAYS.INTL(E23,MIN(F23,Reprogramaciones!Q$9),11)/NETWORKDAYS.INTL(E23,F23,11)*100,1))))</f>
        <v>0</v>
      </c>
      <c r="O23" s="36" t="n">
        <f aca="false">IF(OR(NOT(AND(ISNUMBER(E23),ISNUMBER(F23))),$J$2=""),"",IF(Reprogramaciones!S$9&lt;E23,0,IF(NETWORKDAYS.INTL(E23,F23,11)=0,IF(Reprogramaciones!S$9&gt;=F23,100,0),ROUND(NETWORKDAYS.INTL(E23,MIN(F23,Reprogramaciones!S$9),11)/NETWORKDAYS.INTL(E23,F23,11)*100,1)))-IF(Reprogramaciones!R$9&lt;E23,0,IF(NETWORKDAYS.INTL(E23,F23,11)=0,IF(Reprogramaciones!R$9&gt;=F23,100,0),ROUND(NETWORKDAYS.INTL(E23,MIN(F23,Reprogramaciones!R$9),11)/NETWORKDAYS.INTL(E23,F23,11)*100,1))))</f>
        <v>0</v>
      </c>
      <c r="P23" s="36" t="n">
        <f aca="false">IF(OR(NOT(AND(ISNUMBER(E23),ISNUMBER(F23))),$J$2=""),"",IF(Reprogramaciones!T$9&lt;E23,0,IF(NETWORKDAYS.INTL(E23,F23,11)=0,IF(Reprogramaciones!T$9&gt;=F23,100,0),ROUND(NETWORKDAYS.INTL(E23,MIN(F23,Reprogramaciones!T$9),11)/NETWORKDAYS.INTL(E23,F23,11)*100,1)))-IF(Reprogramaciones!S$9&lt;E23,0,IF(NETWORKDAYS.INTL(E23,F23,11)=0,IF(Reprogramaciones!S$9&gt;=F23,100,0),ROUND(NETWORKDAYS.INTL(E23,MIN(F23,Reprogramaciones!S$9),11)/NETWORKDAYS.INTL(E23,F23,11)*100,1))))</f>
        <v>0</v>
      </c>
      <c r="Q23" s="37"/>
      <c r="R23" s="37" t="n">
        <v>42.9</v>
      </c>
      <c r="S23" s="37" t="n">
        <v>57.1</v>
      </c>
      <c r="T23" s="37"/>
      <c r="U23" s="37"/>
      <c r="V23" s="37"/>
      <c r="W23" s="37"/>
      <c r="X23" s="37"/>
      <c r="Y23" s="37"/>
      <c r="Z23" s="37"/>
      <c r="AA23" s="37"/>
      <c r="AB23" s="37"/>
      <c r="AC23" s="37"/>
      <c r="AD23" s="37"/>
      <c r="AE23" s="37"/>
      <c r="AF23" s="37"/>
      <c r="AG23" s="38" t="n">
        <f aca="false">IF(AND(ISNUMBER(E23),ISNUMBER(F23)),NETWORKDAYS.INTL(E23,F23,11),"")</f>
        <v>7</v>
      </c>
      <c r="AH23" s="38" t="n">
        <f aca="false">IF(OR(NOT(AND(ISNUMBER(E23),ISNUMBER(F23))),$J$2=""),"",IF(Reprogramaciones!$P$15&lt;Reprogramaciones!$T$15,0,IF(Reprogramaciones!$R$15&gt;10,MIN(100,SUM($G23:$P23)),MIN(100,SUMPRODUCT((COLUMN($G23:$P23)-COLUMN($G23)+1&lt;Reprogramaciones!$R$15)*$G23:$P23)+N(INDEX($G23:$P23,1,Reprogramaciones!$R$15))*IF(Reprogramaciones!$P$15&gt;=(Reprogramaciones!$T$15+7*(Reprogramaciones!$R$15-1))+6,1,IF(MAX(0,NETWORKDAYS.INTL(MAX(E23,(Reprogramaciones!$T$15+7*(Reprogramaciones!$R$15-1))),MIN(F23,(Reprogramaciones!$T$15+7*(Reprogramaciones!$R$15-1))+6),11))=0,0,MAX(0,NETWORKDAYS.INTL(MAX(E23,(Reprogramaciones!$T$15+7*(Reprogramaciones!$R$15-1))),MIN(F23,Reprogramaciones!$P$15),11))/MAX(0,NETWORKDAYS.INTL(MAX(E23,(Reprogramaciones!$T$15+7*(Reprogramaciones!$R$15-1))),MIN(F23,(Reprogramaciones!$T$15+7*(Reprogramaciones!$R$15-1))+6),11))))))))</f>
        <v>100</v>
      </c>
      <c r="AI23" s="38" t="n">
        <f aca="false">IF(COUNT($Q23:$AF23)=0,"",IF(ROUND(SUM($Q23:$AF23),1)&gt;=99.5,100,MIN(100,ROUND(SUM($Q23:$AF23),1))))</f>
        <v>100</v>
      </c>
      <c r="AJ23" s="38" t="n">
        <f aca="false">IF(OR(AH23="",AI23=""),"",AI23-AH23)</f>
        <v>0</v>
      </c>
      <c r="AK23" s="39" t="str">
        <f aca="true">IF(AH23="","",IF(OR(Ficha!$C$10="Suspendida",Ficha!$C$10="Cancelada"),Ficha!$C$10,IF(AND(AI23&lt;&gt;"",N(AI23)&gt;=100),"Completada",IF(AND(E23&gt;TODAY(),N(AI23)=0),"Por iniciar",IF(N(AI23)+0.5&lt;AH23,"Retrasada",IF(N(AI23)+0.5&lt;DA23,IF(Reprogramaciones!$K$15&gt;0,"Al día · Sem "&amp;Reprogramaciones!$K$15&amp;" en curso","Al día · en curso"),"A tiempo"))))))</f>
        <v>Completada</v>
      </c>
      <c r="AL23" s="39" t="str">
        <f aca="true">IF(AND(A23="",AND(B23="",C23="",E23="",F23="",COUNT(Q23:AF23)=0)),"",IF(AND(B23="",C23="",E23="",F23="",COUNT(Q23:AF23)=0),"Falta la partida o subpartida",IF(AND(A23&lt;&gt;"",COUNTIF($A$6:$A$305,A23)&gt;1),"Ítem repetido",IF(AND(C23="",E23="",F23="",COUNT(Q23:AF23)=0),"Título de partida",IF(OR(E23="",F23=""),"Faltan fechas",IF(OR(ISTEXT(E23),ISTEXT(F23)),"Fecha escrita como texto: usa dd/mm/aaaa",IF(F23&lt;E23,"Fin antes del inicio",IF(IF($J$2="",FALSE(),OR(E23&lt;$J$2,F23&gt;Reprogramaciones!$T$15+69)),"Fuera de las 10 semanas",IF(ABS(SUM(G23:P23)-100)&gt;0.5,"La meta no suma 100%",IF(ROUND(SUM(Q23:AF23),1)&gt;100.5,"El avance pasa de 100%",IF(MIN(Q23:AF23)&lt;0,"Avance negativo",IF(COUNTA(Q23:AF23)&gt;COUNT(Q23:AF23),"Avance escrito como texto",IF(SUMPRODUCT((Q23:AF23&gt;0)*(Q23:AF23&lt;1))&gt;0,"Avance menor a 1: escribe 50, no 50%",IF(SUMPRODUCT(ISNUMBER(Q23:AF23)*(Reprogramaciones!$K$8:$Z$8&gt;TODAY()))&gt;0,"Avance en semana que aún no llega",IF(AND(N(Reprogramaciones!$E$21)&gt;0,F23&gt;Reprogramaciones!$E$21),"Pasa el fin de la obra: registra una reprogramación",IF(AND(N(Reprogramaciones!$E$21)&gt;0,SUMPRODUCT(ISNUMBER(Q23:AF23)*(Reprogramaciones!$K$8:$Z$8&gt;Reprogramaciones!$E$21))&gt;0),"Avance después del fin de la obra: registra una reprogramación por atraso","OK"))))))))))))))))</f>
        <v>OK</v>
      </c>
      <c r="AM23" s="40" t="str">
        <f aca="false">IF(OR(OR(NOT(AND(ISNUMBER(E23),ISNUMBER(F23))),$J$2=""),1&gt;MAX(1,Reprogramaciones!$U$15)),"",IF(Reprogramaciones!K$12&gt;=7,"",IF(OR(BT23-N(0)&gt;0.05,N(Q23)&gt;0),ROUNDDOWN(ROUND(BT23,6),0)&amp;"%"&amp;IF(CJ23="",""," / "&amp;CJ23&amp;"%"),IF(AND(N(0)&gt;=99.95,CJ23&lt;&gt;"",N(CJ23)&lt;100),"Pend. "&amp;CJ23&amp;"%",""))))</f>
        <v/>
      </c>
      <c r="AN23" s="40" t="str">
        <f aca="false">IF(OR(OR(NOT(AND(ISNUMBER(E23),ISNUMBER(F23))),$J$2=""),2&gt;MAX(1,Reprogramaciones!$U$15)),"",IF(Reprogramaciones!L$12&gt;=7,"",IF(OR(BU23-N(BT23)&gt;0.05,N(R23)&gt;0),ROUNDDOWN(ROUND(BU23,6),0)&amp;"%"&amp;IF(CK23="",""," / "&amp;CK23&amp;"%"),IF(AND(N(BT23)&gt;=99.95,CK23&lt;&gt;"",N(CK23)&lt;100),"Pend. "&amp;CK23&amp;"%",""))))</f>
        <v>42% / 42.9%</v>
      </c>
      <c r="AO23" s="40" t="str">
        <f aca="false">IF(OR(OR(NOT(AND(ISNUMBER(E23),ISNUMBER(F23))),$J$2=""),3&gt;MAX(1,Reprogramaciones!$U$15)),"",IF(Reprogramaciones!M$12&gt;=7,"",IF(OR(BV23-N(BU23)&gt;0.05,N(S23)&gt;0),ROUNDDOWN(ROUND(BV23,6),0)&amp;"%"&amp;IF(CL23="",""," / "&amp;CL23&amp;"%"),IF(AND(N(BU23)&gt;=99.95,CL23&lt;&gt;"",N(CL23)&lt;100),"Pend. "&amp;CL23&amp;"%",""))))</f>
        <v>100% / 100%</v>
      </c>
      <c r="AP23" s="40" t="str">
        <f aca="false">IF(OR(OR(NOT(AND(ISNUMBER(E23),ISNUMBER(F23))),$J$2=""),4&gt;MAX(1,Reprogramaciones!$U$15)),"",IF(Reprogramaciones!N$12&gt;=7,"",IF(OR(BW23-N(BV23)&gt;0.05,N(T23)&gt;0),ROUNDDOWN(ROUND(BW23,6),0)&amp;"%"&amp;IF(CM23="",""," / "&amp;CM23&amp;"%"),IF(AND(N(BV23)&gt;=99.95,CM23&lt;&gt;"",N(CM23)&lt;100),"Pend. "&amp;CM23&amp;"%",""))))</f>
        <v/>
      </c>
      <c r="AQ23" s="40" t="str">
        <f aca="false">IF(OR(OR(NOT(AND(ISNUMBER(E23),ISNUMBER(F23))),$J$2=""),5&gt;MAX(1,Reprogramaciones!$U$15)),"",IF(Reprogramaciones!O$12&gt;=7,"",IF(OR(BX23-N(BW23)&gt;0.05,N(U23)&gt;0),ROUNDDOWN(ROUND(BX23,6),0)&amp;"%"&amp;IF(CN23="",""," / "&amp;CN23&amp;"%"),IF(AND(N(BW23)&gt;=99.95,CN23&lt;&gt;"",N(CN23)&lt;100),"Pend. "&amp;CN23&amp;"%",""))))</f>
        <v/>
      </c>
      <c r="AR23" s="40" t="str">
        <f aca="false">IF(OR(OR(NOT(AND(ISNUMBER(E23),ISNUMBER(F23))),$J$2=""),6&gt;MAX(1,Reprogramaciones!$U$15)),"",IF(Reprogramaciones!P$12&gt;=7,"",IF(OR(BY23-N(BX23)&gt;0.05,N(V23)&gt;0),ROUNDDOWN(ROUND(BY23,6),0)&amp;"%"&amp;IF(CO23="",""," / "&amp;CO23&amp;"%"),IF(AND(N(BX23)&gt;=99.95,CO23&lt;&gt;"",N(CO23)&lt;100),"Pend. "&amp;CO23&amp;"%",""))))</f>
        <v/>
      </c>
      <c r="AS23" s="40" t="str">
        <f aca="false">IF(OR(OR(NOT(AND(ISNUMBER(E23),ISNUMBER(F23))),$J$2=""),7&gt;MAX(1,Reprogramaciones!$U$15)),"",IF(Reprogramaciones!Q$12&gt;=7,"",IF(OR(BZ23-N(BY23)&gt;0.05,N(W23)&gt;0),ROUNDDOWN(ROUND(BZ23,6),0)&amp;"%"&amp;IF(CP23="",""," / "&amp;CP23&amp;"%"),IF(AND(N(BY23)&gt;=99.95,CP23&lt;&gt;"",N(CP23)&lt;100),"Pend. "&amp;CP23&amp;"%",""))))</f>
        <v/>
      </c>
      <c r="AT23" s="40" t="str">
        <f aca="false">IF(OR(OR(NOT(AND(ISNUMBER(E23),ISNUMBER(F23))),$J$2=""),8&gt;MAX(1,Reprogramaciones!$U$15)),"",IF(Reprogramaciones!R$12&gt;=7,"",IF(OR(CA23-N(BZ23)&gt;0.05,N(X23)&gt;0),ROUNDDOWN(ROUND(CA23,6),0)&amp;"%"&amp;IF(CQ23="",""," / "&amp;CQ23&amp;"%"),IF(AND(N(BZ23)&gt;=99.95,CQ23&lt;&gt;"",N(CQ23)&lt;100),"Pend. "&amp;CQ23&amp;"%",""))))</f>
        <v/>
      </c>
      <c r="AU23" s="40" t="str">
        <f aca="false">IF(OR(OR(NOT(AND(ISNUMBER(E23),ISNUMBER(F23))),$J$2=""),9&gt;MAX(1,Reprogramaciones!$U$15)),"",IF(Reprogramaciones!S$12&gt;=7,"",IF(OR(CB23-N(CA23)&gt;0.05,N(Y23)&gt;0),ROUNDDOWN(ROUND(CB23,6),0)&amp;"%"&amp;IF(CR23="",""," / "&amp;CR23&amp;"%"),IF(AND(N(CA23)&gt;=99.95,CR23&lt;&gt;"",N(CR23)&lt;100),"Pend. "&amp;CR23&amp;"%",""))))</f>
        <v/>
      </c>
      <c r="AV23" s="40" t="str">
        <f aca="false">IF(OR(OR(NOT(AND(ISNUMBER(E23),ISNUMBER(F23))),$J$2=""),10&gt;MAX(1,Reprogramaciones!$U$15)),"",IF(Reprogramaciones!T$12&gt;=7,"",IF(OR(CC23-N(CB23)&gt;0.05,N(Z23)&gt;0),ROUNDDOWN(ROUND(CC23,6),0)&amp;"%"&amp;IF(CS23="",""," / "&amp;CS23&amp;"%"),IF(AND(N(CB23)&gt;=99.95,CS23&lt;&gt;"",N(CS23)&lt;100),"Pend. "&amp;CS23&amp;"%",""))))</f>
        <v/>
      </c>
      <c r="AW23" s="40" t="str">
        <f aca="false">IF(OR(OR(NOT(AND(ISNUMBER(E23),ISNUMBER(F23))),$J$2=""),11&gt;MAX(1,Reprogramaciones!$U$15)),"",IF(Reprogramaciones!U$12&gt;=7,"",IF(OR(CD23-N(CC23)&gt;0.05,N(AA23)&gt;0),ROUNDDOWN(ROUND(CD23,6),0)&amp;"%"&amp;IF(CT23="",""," / "&amp;CT23&amp;"%"),IF(AND(N(CC23)&gt;=99.95,CT23&lt;&gt;"",N(CT23)&lt;100),"Pend. "&amp;CT23&amp;"%",""))))</f>
        <v/>
      </c>
      <c r="AX23" s="40" t="str">
        <f aca="false">IF(OR(OR(NOT(AND(ISNUMBER(E23),ISNUMBER(F23))),$J$2=""),12&gt;MAX(1,Reprogramaciones!$U$15)),"",IF(Reprogramaciones!V$12&gt;=7,"",IF(OR(CE23-N(CD23)&gt;0.05,N(AB23)&gt;0),ROUNDDOWN(ROUND(CE23,6),0)&amp;"%"&amp;IF(CU23="",""," / "&amp;CU23&amp;"%"),IF(AND(N(CD23)&gt;=99.95,CU23&lt;&gt;"",N(CU23)&lt;100),"Pend. "&amp;CU23&amp;"%",""))))</f>
        <v/>
      </c>
      <c r="AY23" s="40" t="str">
        <f aca="false">IF(OR(OR(NOT(AND(ISNUMBER(E23),ISNUMBER(F23))),$J$2=""),13&gt;MAX(1,Reprogramaciones!$U$15)),"",IF(Reprogramaciones!W$12&gt;=7,"",IF(OR(CF23-N(CE23)&gt;0.05,N(AC23)&gt;0),ROUNDDOWN(ROUND(CF23,6),0)&amp;"%"&amp;IF(CV23="",""," / "&amp;CV23&amp;"%"),IF(AND(N(CE23)&gt;=99.95,CV23&lt;&gt;"",N(CV23)&lt;100),"Pend. "&amp;CV23&amp;"%",""))))</f>
        <v/>
      </c>
      <c r="AZ23" s="40" t="str">
        <f aca="false">IF(OR(OR(NOT(AND(ISNUMBER(E23),ISNUMBER(F23))),$J$2=""),14&gt;MAX(1,Reprogramaciones!$U$15)),"",IF(Reprogramaciones!X$12&gt;=7,"",IF(OR(CG23-N(CF23)&gt;0.05,N(AD23)&gt;0),ROUNDDOWN(ROUND(CG23,6),0)&amp;"%"&amp;IF(CW23="",""," / "&amp;CW23&amp;"%"),IF(AND(N(CF23)&gt;=99.95,CW23&lt;&gt;"",N(CW23)&lt;100),"Pend. "&amp;CW23&amp;"%",""))))</f>
        <v/>
      </c>
      <c r="BA23" s="40" t="str">
        <f aca="false">IF(OR(OR(NOT(AND(ISNUMBER(E23),ISNUMBER(F23))),$J$2=""),15&gt;MAX(1,Reprogramaciones!$U$15)),"",IF(Reprogramaciones!Y$12&gt;=7,"",IF(OR(CH23-N(CG23)&gt;0.05,N(AE23)&gt;0),ROUNDDOWN(ROUND(CH23,6),0)&amp;"%"&amp;IF(CX23="",""," / "&amp;CX23&amp;"%"),IF(AND(N(CG23)&gt;=99.95,CX23&lt;&gt;"",N(CX23)&lt;100),"Pend. "&amp;CX23&amp;"%",""))))</f>
        <v/>
      </c>
      <c r="BB23" s="40" t="str">
        <f aca="false">IF(OR(OR(NOT(AND(ISNUMBER(E23),ISNUMBER(F23))),$J$2=""),16&gt;MAX(1,Reprogramaciones!$U$15)),"",IF(Reprogramaciones!Z$12&gt;=7,"",IF(OR(CI23-N(CH23)&gt;0.05,N(AF23)&gt;0),ROUNDDOWN(ROUND(CI23,6),0)&amp;"%"&amp;IF(CY23="",""," / "&amp;CY23&amp;"%"),IF(AND(N(CH23)&gt;=99.95,CY23&lt;&gt;"",N(CY23)&lt;100),"Pend. "&amp;CY23&amp;"%",""))))</f>
        <v/>
      </c>
      <c r="BC23" s="31" t="n">
        <f aca="false">IF(AND(ISNUMBER(E23),ISNUMBER(F23)),MAX(1,NETWORKDAYS.INTL(E23,F23,11)),0)</f>
        <v>7</v>
      </c>
      <c r="BD23" s="1" t="n">
        <f aca="false">IF(OR(NOT(AND(ISNUMBER(E23),ISNUMBER(F23))),$J$2=""),"",MIN(100,ROUND(SUM($G23:G23),1)))</f>
        <v>0</v>
      </c>
      <c r="BE23" s="1" t="n">
        <f aca="false">IF(OR(NOT(AND(ISNUMBER(E23),ISNUMBER(F23))),$J$2=""),"",MIN(100,ROUND(SUM($G23:H23),1)))</f>
        <v>42.9</v>
      </c>
      <c r="BF23" s="1" t="n">
        <f aca="false">IF(OR(NOT(AND(ISNUMBER(E23),ISNUMBER(F23))),$J$2=""),"",MIN(100,ROUND(SUM($G23:I23),1)))</f>
        <v>100</v>
      </c>
      <c r="BG23" s="1" t="n">
        <f aca="false">IF(OR(NOT(AND(ISNUMBER(E23),ISNUMBER(F23))),$J$2=""),"",MIN(100,ROUND(SUM($G23:J23),1)))</f>
        <v>100</v>
      </c>
      <c r="BH23" s="1" t="n">
        <f aca="false">IF(OR(NOT(AND(ISNUMBER(E23),ISNUMBER(F23))),$J$2=""),"",MIN(100,ROUND(SUM($G23:K23),1)))</f>
        <v>100</v>
      </c>
      <c r="BI23" s="1" t="n">
        <f aca="false">IF(OR(NOT(AND(ISNUMBER(E23),ISNUMBER(F23))),$J$2=""),"",MIN(100,ROUND(SUM($G23:L23),1)))</f>
        <v>100</v>
      </c>
      <c r="BJ23" s="1" t="n">
        <f aca="false">IF(OR(NOT(AND(ISNUMBER(E23),ISNUMBER(F23))),$J$2=""),"",MIN(100,ROUND(SUM($G23:M23),1)))</f>
        <v>100</v>
      </c>
      <c r="BK23" s="1" t="n">
        <f aca="false">IF(OR(NOT(AND(ISNUMBER(E23),ISNUMBER(F23))),$J$2=""),"",MIN(100,ROUND(SUM($G23:N23),1)))</f>
        <v>100</v>
      </c>
      <c r="BL23" s="1" t="n">
        <f aca="false">IF(OR(NOT(AND(ISNUMBER(E23),ISNUMBER(F23))),$J$2=""),"",MIN(100,ROUND(SUM($G23:O23),1)))</f>
        <v>100</v>
      </c>
      <c r="BM23" s="1" t="n">
        <f aca="false">IF(OR(NOT(AND(ISNUMBER(E23),ISNUMBER(F23))),$J$2=""),"",MIN(100,ROUND(SUM($G23:P23),1)))</f>
        <v>100</v>
      </c>
      <c r="BN23" s="1" t="n">
        <f aca="false">IF(OR(NOT(AND(ISNUMBER(E23),ISNUMBER(F23))),$J$2=""),"",MIN(100,ROUND(SUM($G23:P23),1)))</f>
        <v>100</v>
      </c>
      <c r="BO23" s="1" t="n">
        <f aca="false">IF(OR(NOT(AND(ISNUMBER(E23),ISNUMBER(F23))),$J$2=""),"",MIN(100,ROUND(SUM($G23:P23),1)))</f>
        <v>100</v>
      </c>
      <c r="BP23" s="1" t="n">
        <f aca="false">IF(OR(NOT(AND(ISNUMBER(E23),ISNUMBER(F23))),$J$2=""),"",MIN(100,ROUND(SUM($G23:P23),1)))</f>
        <v>100</v>
      </c>
      <c r="BQ23" s="1" t="n">
        <f aca="false">IF(OR(NOT(AND(ISNUMBER(E23),ISNUMBER(F23))),$J$2=""),"",MIN(100,ROUND(SUM($G23:P23),1)))</f>
        <v>100</v>
      </c>
      <c r="BR23" s="1" t="n">
        <f aca="false">IF(OR(NOT(AND(ISNUMBER(E23),ISNUMBER(F23))),$J$2=""),"",MIN(100,ROUND(SUM($G23:P23),1)))</f>
        <v>100</v>
      </c>
      <c r="BS23" s="1" t="n">
        <f aca="false">IF(OR(NOT(AND(ISNUMBER(E23),ISNUMBER(F23))),$J$2=""),"",MIN(100,ROUND(SUM($G23:P23),1)))</f>
        <v>100</v>
      </c>
      <c r="BT23" s="1" t="n">
        <f aca="false">IF(OR(NOT(AND(ISNUMBER(E23),ISNUMBER(F23))),$J$2=""),"",IF(Reprogramaciones!K$13&lt;Reprogramaciones!$T$15,0,IF(Reprogramaciones!K$14&gt;10,MIN(100,SUM($G23:$P23)),MIN(100,SUMPRODUCT((COLUMN($G23:$P23)-COLUMN($G23)+1&lt;Reprogramaciones!K$14)*$G23:$P23)+N(INDEX($G23:$P23,1,Reprogramaciones!K$14))*IF(Reprogramaciones!K$13&gt;=(Reprogramaciones!$T$15+7*(Reprogramaciones!K$14-1))+6,1,IF(MAX(0,NETWORKDAYS.INTL(MAX(E23,(Reprogramaciones!$T$15+7*(Reprogramaciones!K$14-1))),MIN(F23,(Reprogramaciones!$T$15+7*(Reprogramaciones!K$14-1))+6),11))=0,0,MAX(0,NETWORKDAYS.INTL(MAX(E23,(Reprogramaciones!$T$15+7*(Reprogramaciones!K$14-1))),MIN(F23,Reprogramaciones!K$13),11))/MAX(0,NETWORKDAYS.INTL(MAX(E23,(Reprogramaciones!$T$15+7*(Reprogramaciones!K$14-1))),MIN(F23,(Reprogramaciones!$T$15+7*(Reprogramaciones!K$14-1))+6),11))))))))</f>
        <v>0</v>
      </c>
      <c r="BU23" s="1" t="n">
        <f aca="false">IF(OR(NOT(AND(ISNUMBER(E23),ISNUMBER(F23))),$J$2=""),"",IF(Reprogramaciones!L$13&lt;Reprogramaciones!$T$15,0,IF(Reprogramaciones!L$14&gt;10,MIN(100,SUM($G23:$P23)),MIN(100,SUMPRODUCT((COLUMN($G23:$P23)-COLUMN($G23)+1&lt;Reprogramaciones!L$14)*$G23:$P23)+N(INDEX($G23:$P23,1,Reprogramaciones!L$14))*IF(Reprogramaciones!L$13&gt;=(Reprogramaciones!$T$15+7*(Reprogramaciones!L$14-1))+6,1,IF(MAX(0,NETWORKDAYS.INTL(MAX(E23,(Reprogramaciones!$T$15+7*(Reprogramaciones!L$14-1))),MIN(F23,(Reprogramaciones!$T$15+7*(Reprogramaciones!L$14-1))+6),11))=0,0,MAX(0,NETWORKDAYS.INTL(MAX(E23,(Reprogramaciones!$T$15+7*(Reprogramaciones!L$14-1))),MIN(F23,Reprogramaciones!L$13),11))/MAX(0,NETWORKDAYS.INTL(MAX(E23,(Reprogramaciones!$T$15+7*(Reprogramaciones!L$14-1))),MIN(F23,(Reprogramaciones!$T$15+7*(Reprogramaciones!L$14-1))+6),11))))))))</f>
        <v>42.9</v>
      </c>
      <c r="BV23" s="1" t="n">
        <f aca="false">IF(OR(NOT(AND(ISNUMBER(E23),ISNUMBER(F23))),$J$2=""),"",IF(Reprogramaciones!M$13&lt;Reprogramaciones!$T$15,0,IF(Reprogramaciones!M$14&gt;10,MIN(100,SUM($G23:$P23)),MIN(100,SUMPRODUCT((COLUMN($G23:$P23)-COLUMN($G23)+1&lt;Reprogramaciones!M$14)*$G23:$P23)+N(INDEX($G23:$P23,1,Reprogramaciones!M$14))*IF(Reprogramaciones!M$13&gt;=(Reprogramaciones!$T$15+7*(Reprogramaciones!M$14-1))+6,1,IF(MAX(0,NETWORKDAYS.INTL(MAX(E23,(Reprogramaciones!$T$15+7*(Reprogramaciones!M$14-1))),MIN(F23,(Reprogramaciones!$T$15+7*(Reprogramaciones!M$14-1))+6),11))=0,0,MAX(0,NETWORKDAYS.INTL(MAX(E23,(Reprogramaciones!$T$15+7*(Reprogramaciones!M$14-1))),MIN(F23,Reprogramaciones!M$13),11))/MAX(0,NETWORKDAYS.INTL(MAX(E23,(Reprogramaciones!$T$15+7*(Reprogramaciones!M$14-1))),MIN(F23,(Reprogramaciones!$T$15+7*(Reprogramaciones!M$14-1))+6),11))))))))</f>
        <v>100</v>
      </c>
      <c r="BW23" s="1" t="n">
        <f aca="false">IF(OR(NOT(AND(ISNUMBER(E23),ISNUMBER(F23))),$J$2=""),"",IF(Reprogramaciones!N$13&lt;Reprogramaciones!$T$15,0,IF(Reprogramaciones!N$14&gt;10,MIN(100,SUM($G23:$P23)),MIN(100,SUMPRODUCT((COLUMN($G23:$P23)-COLUMN($G23)+1&lt;Reprogramaciones!N$14)*$G23:$P23)+N(INDEX($G23:$P23,1,Reprogramaciones!N$14))*IF(Reprogramaciones!N$13&gt;=(Reprogramaciones!$T$15+7*(Reprogramaciones!N$14-1))+6,1,IF(MAX(0,NETWORKDAYS.INTL(MAX(E23,(Reprogramaciones!$T$15+7*(Reprogramaciones!N$14-1))),MIN(F23,(Reprogramaciones!$T$15+7*(Reprogramaciones!N$14-1))+6),11))=0,0,MAX(0,NETWORKDAYS.INTL(MAX(E23,(Reprogramaciones!$T$15+7*(Reprogramaciones!N$14-1))),MIN(F23,Reprogramaciones!N$13),11))/MAX(0,NETWORKDAYS.INTL(MAX(E23,(Reprogramaciones!$T$15+7*(Reprogramaciones!N$14-1))),MIN(F23,(Reprogramaciones!$T$15+7*(Reprogramaciones!N$14-1))+6),11))))))))</f>
        <v>100</v>
      </c>
      <c r="BX23" s="1" t="n">
        <f aca="false">IF(OR(NOT(AND(ISNUMBER(E23),ISNUMBER(F23))),$J$2=""),"",IF(Reprogramaciones!O$13&lt;Reprogramaciones!$T$15,0,IF(Reprogramaciones!O$14&gt;10,MIN(100,SUM($G23:$P23)),MIN(100,SUMPRODUCT((COLUMN($G23:$P23)-COLUMN($G23)+1&lt;Reprogramaciones!O$14)*$G23:$P23)+N(INDEX($G23:$P23,1,Reprogramaciones!O$14))*IF(Reprogramaciones!O$13&gt;=(Reprogramaciones!$T$15+7*(Reprogramaciones!O$14-1))+6,1,IF(MAX(0,NETWORKDAYS.INTL(MAX(E23,(Reprogramaciones!$T$15+7*(Reprogramaciones!O$14-1))),MIN(F23,(Reprogramaciones!$T$15+7*(Reprogramaciones!O$14-1))+6),11))=0,0,MAX(0,NETWORKDAYS.INTL(MAX(E23,(Reprogramaciones!$T$15+7*(Reprogramaciones!O$14-1))),MIN(F23,Reprogramaciones!O$13),11))/MAX(0,NETWORKDAYS.INTL(MAX(E23,(Reprogramaciones!$T$15+7*(Reprogramaciones!O$14-1))),MIN(F23,(Reprogramaciones!$T$15+7*(Reprogramaciones!O$14-1))+6),11))))))))</f>
        <v>100</v>
      </c>
      <c r="BY23" s="1" t="n">
        <f aca="false">IF(OR(NOT(AND(ISNUMBER(E23),ISNUMBER(F23))),$J$2=""),"",IF(Reprogramaciones!P$13&lt;Reprogramaciones!$T$15,0,IF(Reprogramaciones!P$14&gt;10,MIN(100,SUM($G23:$P23)),MIN(100,SUMPRODUCT((COLUMN($G23:$P23)-COLUMN($G23)+1&lt;Reprogramaciones!P$14)*$G23:$P23)+N(INDEX($G23:$P23,1,Reprogramaciones!P$14))*IF(Reprogramaciones!P$13&gt;=(Reprogramaciones!$T$15+7*(Reprogramaciones!P$14-1))+6,1,IF(MAX(0,NETWORKDAYS.INTL(MAX(E23,(Reprogramaciones!$T$15+7*(Reprogramaciones!P$14-1))),MIN(F23,(Reprogramaciones!$T$15+7*(Reprogramaciones!P$14-1))+6),11))=0,0,MAX(0,NETWORKDAYS.INTL(MAX(E23,(Reprogramaciones!$T$15+7*(Reprogramaciones!P$14-1))),MIN(F23,Reprogramaciones!P$13),11))/MAX(0,NETWORKDAYS.INTL(MAX(E23,(Reprogramaciones!$T$15+7*(Reprogramaciones!P$14-1))),MIN(F23,(Reprogramaciones!$T$15+7*(Reprogramaciones!P$14-1))+6),11))))))))</f>
        <v>100</v>
      </c>
      <c r="BZ23" s="1" t="n">
        <f aca="false">IF(OR(NOT(AND(ISNUMBER(E23),ISNUMBER(F23))),$J$2=""),"",IF(Reprogramaciones!Q$13&lt;Reprogramaciones!$T$15,0,IF(Reprogramaciones!Q$14&gt;10,MIN(100,SUM($G23:$P23)),MIN(100,SUMPRODUCT((COLUMN($G23:$P23)-COLUMN($G23)+1&lt;Reprogramaciones!Q$14)*$G23:$P23)+N(INDEX($G23:$P23,1,Reprogramaciones!Q$14))*IF(Reprogramaciones!Q$13&gt;=(Reprogramaciones!$T$15+7*(Reprogramaciones!Q$14-1))+6,1,IF(MAX(0,NETWORKDAYS.INTL(MAX(E23,(Reprogramaciones!$T$15+7*(Reprogramaciones!Q$14-1))),MIN(F23,(Reprogramaciones!$T$15+7*(Reprogramaciones!Q$14-1))+6),11))=0,0,MAX(0,NETWORKDAYS.INTL(MAX(E23,(Reprogramaciones!$T$15+7*(Reprogramaciones!Q$14-1))),MIN(F23,Reprogramaciones!Q$13),11))/MAX(0,NETWORKDAYS.INTL(MAX(E23,(Reprogramaciones!$T$15+7*(Reprogramaciones!Q$14-1))),MIN(F23,(Reprogramaciones!$T$15+7*(Reprogramaciones!Q$14-1))+6),11))))))))</f>
        <v>100</v>
      </c>
      <c r="CA23" s="1" t="n">
        <f aca="false">IF(OR(NOT(AND(ISNUMBER(E23),ISNUMBER(F23))),$J$2=""),"",IF(Reprogramaciones!R$13&lt;Reprogramaciones!$T$15,0,IF(Reprogramaciones!R$14&gt;10,MIN(100,SUM($G23:$P23)),MIN(100,SUMPRODUCT((COLUMN($G23:$P23)-COLUMN($G23)+1&lt;Reprogramaciones!R$14)*$G23:$P23)+N(INDEX($G23:$P23,1,Reprogramaciones!R$14))*IF(Reprogramaciones!R$13&gt;=(Reprogramaciones!$T$15+7*(Reprogramaciones!R$14-1))+6,1,IF(MAX(0,NETWORKDAYS.INTL(MAX(E23,(Reprogramaciones!$T$15+7*(Reprogramaciones!R$14-1))),MIN(F23,(Reprogramaciones!$T$15+7*(Reprogramaciones!R$14-1))+6),11))=0,0,MAX(0,NETWORKDAYS.INTL(MAX(E23,(Reprogramaciones!$T$15+7*(Reprogramaciones!R$14-1))),MIN(F23,Reprogramaciones!R$13),11))/MAX(0,NETWORKDAYS.INTL(MAX(E23,(Reprogramaciones!$T$15+7*(Reprogramaciones!R$14-1))),MIN(F23,(Reprogramaciones!$T$15+7*(Reprogramaciones!R$14-1))+6),11))))))))</f>
        <v>100</v>
      </c>
      <c r="CB23" s="1" t="n">
        <f aca="false">IF(OR(NOT(AND(ISNUMBER(E23),ISNUMBER(F23))),$J$2=""),"",IF(Reprogramaciones!S$13&lt;Reprogramaciones!$T$15,0,IF(Reprogramaciones!S$14&gt;10,MIN(100,SUM($G23:$P23)),MIN(100,SUMPRODUCT((COLUMN($G23:$P23)-COLUMN($G23)+1&lt;Reprogramaciones!S$14)*$G23:$P23)+N(INDEX($G23:$P23,1,Reprogramaciones!S$14))*IF(Reprogramaciones!S$13&gt;=(Reprogramaciones!$T$15+7*(Reprogramaciones!S$14-1))+6,1,IF(MAX(0,NETWORKDAYS.INTL(MAX(E23,(Reprogramaciones!$T$15+7*(Reprogramaciones!S$14-1))),MIN(F23,(Reprogramaciones!$T$15+7*(Reprogramaciones!S$14-1))+6),11))=0,0,MAX(0,NETWORKDAYS.INTL(MAX(E23,(Reprogramaciones!$T$15+7*(Reprogramaciones!S$14-1))),MIN(F23,Reprogramaciones!S$13),11))/MAX(0,NETWORKDAYS.INTL(MAX(E23,(Reprogramaciones!$T$15+7*(Reprogramaciones!S$14-1))),MIN(F23,(Reprogramaciones!$T$15+7*(Reprogramaciones!S$14-1))+6),11))))))))</f>
        <v>100</v>
      </c>
      <c r="CC23" s="1" t="n">
        <f aca="false">IF(OR(NOT(AND(ISNUMBER(E23),ISNUMBER(F23))),$J$2=""),"",IF(Reprogramaciones!T$13&lt;Reprogramaciones!$T$15,0,IF(Reprogramaciones!T$14&gt;10,MIN(100,SUM($G23:$P23)),MIN(100,SUMPRODUCT((COLUMN($G23:$P23)-COLUMN($G23)+1&lt;Reprogramaciones!T$14)*$G23:$P23)+N(INDEX($G23:$P23,1,Reprogramaciones!T$14))*IF(Reprogramaciones!T$13&gt;=(Reprogramaciones!$T$15+7*(Reprogramaciones!T$14-1))+6,1,IF(MAX(0,NETWORKDAYS.INTL(MAX(E23,(Reprogramaciones!$T$15+7*(Reprogramaciones!T$14-1))),MIN(F23,(Reprogramaciones!$T$15+7*(Reprogramaciones!T$14-1))+6),11))=0,0,MAX(0,NETWORKDAYS.INTL(MAX(E23,(Reprogramaciones!$T$15+7*(Reprogramaciones!T$14-1))),MIN(F23,Reprogramaciones!T$13),11))/MAX(0,NETWORKDAYS.INTL(MAX(E23,(Reprogramaciones!$T$15+7*(Reprogramaciones!T$14-1))),MIN(F23,(Reprogramaciones!$T$15+7*(Reprogramaciones!T$14-1))+6),11))))))))</f>
        <v>100</v>
      </c>
      <c r="CD23" s="1" t="n">
        <f aca="false">IF(OR(NOT(AND(ISNUMBER(E23),ISNUMBER(F23))),$J$2=""),"",IF(Reprogramaciones!U$13&lt;Reprogramaciones!$T$15,0,IF(Reprogramaciones!U$14&gt;10,MIN(100,SUM($G23:$P23)),MIN(100,SUMPRODUCT((COLUMN($G23:$P23)-COLUMN($G23)+1&lt;Reprogramaciones!U$14)*$G23:$P23)+N(INDEX($G23:$P23,1,Reprogramaciones!U$14))*IF(Reprogramaciones!U$13&gt;=(Reprogramaciones!$T$15+7*(Reprogramaciones!U$14-1))+6,1,IF(MAX(0,NETWORKDAYS.INTL(MAX(E23,(Reprogramaciones!$T$15+7*(Reprogramaciones!U$14-1))),MIN(F23,(Reprogramaciones!$T$15+7*(Reprogramaciones!U$14-1))+6),11))=0,0,MAX(0,NETWORKDAYS.INTL(MAX(E23,(Reprogramaciones!$T$15+7*(Reprogramaciones!U$14-1))),MIN(F23,Reprogramaciones!U$13),11))/MAX(0,NETWORKDAYS.INTL(MAX(E23,(Reprogramaciones!$T$15+7*(Reprogramaciones!U$14-1))),MIN(F23,(Reprogramaciones!$T$15+7*(Reprogramaciones!U$14-1))+6),11))))))))</f>
        <v>100</v>
      </c>
      <c r="CE23" s="1" t="n">
        <f aca="false">IF(OR(NOT(AND(ISNUMBER(E23),ISNUMBER(F23))),$J$2=""),"",IF(Reprogramaciones!V$13&lt;Reprogramaciones!$T$15,0,IF(Reprogramaciones!V$14&gt;10,MIN(100,SUM($G23:$P23)),MIN(100,SUMPRODUCT((COLUMN($G23:$P23)-COLUMN($G23)+1&lt;Reprogramaciones!V$14)*$G23:$P23)+N(INDEX($G23:$P23,1,Reprogramaciones!V$14))*IF(Reprogramaciones!V$13&gt;=(Reprogramaciones!$T$15+7*(Reprogramaciones!V$14-1))+6,1,IF(MAX(0,NETWORKDAYS.INTL(MAX(E23,(Reprogramaciones!$T$15+7*(Reprogramaciones!V$14-1))),MIN(F23,(Reprogramaciones!$T$15+7*(Reprogramaciones!V$14-1))+6),11))=0,0,MAX(0,NETWORKDAYS.INTL(MAX(E23,(Reprogramaciones!$T$15+7*(Reprogramaciones!V$14-1))),MIN(F23,Reprogramaciones!V$13),11))/MAX(0,NETWORKDAYS.INTL(MAX(E23,(Reprogramaciones!$T$15+7*(Reprogramaciones!V$14-1))),MIN(F23,(Reprogramaciones!$T$15+7*(Reprogramaciones!V$14-1))+6),11))))))))</f>
        <v>100</v>
      </c>
      <c r="CF23" s="1" t="n">
        <f aca="false">IF(OR(NOT(AND(ISNUMBER(E23),ISNUMBER(F23))),$J$2=""),"",IF(Reprogramaciones!W$13&lt;Reprogramaciones!$T$15,0,IF(Reprogramaciones!W$14&gt;10,MIN(100,SUM($G23:$P23)),MIN(100,SUMPRODUCT((COLUMN($G23:$P23)-COLUMN($G23)+1&lt;Reprogramaciones!W$14)*$G23:$P23)+N(INDEX($G23:$P23,1,Reprogramaciones!W$14))*IF(Reprogramaciones!W$13&gt;=(Reprogramaciones!$T$15+7*(Reprogramaciones!W$14-1))+6,1,IF(MAX(0,NETWORKDAYS.INTL(MAX(E23,(Reprogramaciones!$T$15+7*(Reprogramaciones!W$14-1))),MIN(F23,(Reprogramaciones!$T$15+7*(Reprogramaciones!W$14-1))+6),11))=0,0,MAX(0,NETWORKDAYS.INTL(MAX(E23,(Reprogramaciones!$T$15+7*(Reprogramaciones!W$14-1))),MIN(F23,Reprogramaciones!W$13),11))/MAX(0,NETWORKDAYS.INTL(MAX(E23,(Reprogramaciones!$T$15+7*(Reprogramaciones!W$14-1))),MIN(F23,(Reprogramaciones!$T$15+7*(Reprogramaciones!W$14-1))+6),11))))))))</f>
        <v>100</v>
      </c>
      <c r="CG23" s="1" t="n">
        <f aca="false">IF(OR(NOT(AND(ISNUMBER(E23),ISNUMBER(F23))),$J$2=""),"",IF(Reprogramaciones!X$13&lt;Reprogramaciones!$T$15,0,IF(Reprogramaciones!X$14&gt;10,MIN(100,SUM($G23:$P23)),MIN(100,SUMPRODUCT((COLUMN($G23:$P23)-COLUMN($G23)+1&lt;Reprogramaciones!X$14)*$G23:$P23)+N(INDEX($G23:$P23,1,Reprogramaciones!X$14))*IF(Reprogramaciones!X$13&gt;=(Reprogramaciones!$T$15+7*(Reprogramaciones!X$14-1))+6,1,IF(MAX(0,NETWORKDAYS.INTL(MAX(E23,(Reprogramaciones!$T$15+7*(Reprogramaciones!X$14-1))),MIN(F23,(Reprogramaciones!$T$15+7*(Reprogramaciones!X$14-1))+6),11))=0,0,MAX(0,NETWORKDAYS.INTL(MAX(E23,(Reprogramaciones!$T$15+7*(Reprogramaciones!X$14-1))),MIN(F23,Reprogramaciones!X$13),11))/MAX(0,NETWORKDAYS.INTL(MAX(E23,(Reprogramaciones!$T$15+7*(Reprogramaciones!X$14-1))),MIN(F23,(Reprogramaciones!$T$15+7*(Reprogramaciones!X$14-1))+6),11))))))))</f>
        <v>100</v>
      </c>
      <c r="CH23" s="1" t="n">
        <f aca="false">IF(OR(NOT(AND(ISNUMBER(E23),ISNUMBER(F23))),$J$2=""),"",IF(Reprogramaciones!Y$13&lt;Reprogramaciones!$T$15,0,IF(Reprogramaciones!Y$14&gt;10,MIN(100,SUM($G23:$P23)),MIN(100,SUMPRODUCT((COLUMN($G23:$P23)-COLUMN($G23)+1&lt;Reprogramaciones!Y$14)*$G23:$P23)+N(INDEX($G23:$P23,1,Reprogramaciones!Y$14))*IF(Reprogramaciones!Y$13&gt;=(Reprogramaciones!$T$15+7*(Reprogramaciones!Y$14-1))+6,1,IF(MAX(0,NETWORKDAYS.INTL(MAX(E23,(Reprogramaciones!$T$15+7*(Reprogramaciones!Y$14-1))),MIN(F23,(Reprogramaciones!$T$15+7*(Reprogramaciones!Y$14-1))+6),11))=0,0,MAX(0,NETWORKDAYS.INTL(MAX(E23,(Reprogramaciones!$T$15+7*(Reprogramaciones!Y$14-1))),MIN(F23,Reprogramaciones!Y$13),11))/MAX(0,NETWORKDAYS.INTL(MAX(E23,(Reprogramaciones!$T$15+7*(Reprogramaciones!Y$14-1))),MIN(F23,(Reprogramaciones!$T$15+7*(Reprogramaciones!Y$14-1))+6),11))))))))</f>
        <v>100</v>
      </c>
      <c r="CI23" s="1" t="n">
        <f aca="false">IF(OR(NOT(AND(ISNUMBER(E23),ISNUMBER(F23))),$J$2=""),"",IF(Reprogramaciones!Z$13&lt;Reprogramaciones!$T$15,0,IF(Reprogramaciones!Z$14&gt;10,MIN(100,SUM($G23:$P23)),MIN(100,SUMPRODUCT((COLUMN($G23:$P23)-COLUMN($G23)+1&lt;Reprogramaciones!Z$14)*$G23:$P23)+N(INDEX($G23:$P23,1,Reprogramaciones!Z$14))*IF(Reprogramaciones!Z$13&gt;=(Reprogramaciones!$T$15+7*(Reprogramaciones!Z$14-1))+6,1,IF(MAX(0,NETWORKDAYS.INTL(MAX(E23,(Reprogramaciones!$T$15+7*(Reprogramaciones!Z$14-1))),MIN(F23,(Reprogramaciones!$T$15+7*(Reprogramaciones!Z$14-1))+6),11))=0,0,MAX(0,NETWORKDAYS.INTL(MAX(E23,(Reprogramaciones!$T$15+7*(Reprogramaciones!Z$14-1))),MIN(F23,Reprogramaciones!Z$13),11))/MAX(0,NETWORKDAYS.INTL(MAX(E23,(Reprogramaciones!$T$15+7*(Reprogramaciones!Z$14-1))),MIN(F23,(Reprogramaciones!$T$15+7*(Reprogramaciones!Z$14-1))+6),11))))))))</f>
        <v>100</v>
      </c>
      <c r="CJ23" s="1" t="n">
        <f aca="false">IF(OR(OR(NOT(AND(ISNUMBER(E23),ISNUMBER(F23))),$J$2=""),1&gt;Reprogramaciones!$K$16),"",IF(ROUND(SUM($Q23:Q23),1)&gt;=99.5,100,MIN(100,ROUND(SUM($Q23:Q23),1))))</f>
        <v>0</v>
      </c>
      <c r="CK23" s="1" t="n">
        <f aca="false">IF(OR(OR(NOT(AND(ISNUMBER(E23),ISNUMBER(F23))),$J$2=""),2&gt;Reprogramaciones!$K$16),"",IF(ROUND(SUM($Q23:R23),1)&gt;=99.5,100,MIN(100,ROUND(SUM($Q23:R23),1))))</f>
        <v>42.9</v>
      </c>
      <c r="CL23" s="1" t="n">
        <f aca="false">IF(OR(OR(NOT(AND(ISNUMBER(E23),ISNUMBER(F23))),$J$2=""),3&gt;Reprogramaciones!$K$16),"",IF(ROUND(SUM($Q23:S23),1)&gt;=99.5,100,MIN(100,ROUND(SUM($Q23:S23),1))))</f>
        <v>100</v>
      </c>
      <c r="CM23" s="1" t="n">
        <f aca="false">IF(OR(OR(NOT(AND(ISNUMBER(E23),ISNUMBER(F23))),$J$2=""),4&gt;Reprogramaciones!$K$16),"",IF(ROUND(SUM($Q23:T23),1)&gt;=99.5,100,MIN(100,ROUND(SUM($Q23:T23),1))))</f>
        <v>100</v>
      </c>
      <c r="CN23" s="1" t="n">
        <f aca="false">IF(OR(OR(NOT(AND(ISNUMBER(E23),ISNUMBER(F23))),$J$2=""),5&gt;Reprogramaciones!$K$16),"",IF(ROUND(SUM($Q23:U23),1)&gt;=99.5,100,MIN(100,ROUND(SUM($Q23:U23),1))))</f>
        <v>100</v>
      </c>
      <c r="CO23" s="1" t="str">
        <f aca="false">IF(OR(OR(NOT(AND(ISNUMBER(E23),ISNUMBER(F23))),$J$2=""),6&gt;Reprogramaciones!$K$16),"",IF(ROUND(SUM($Q23:V23),1)&gt;=99.5,100,MIN(100,ROUND(SUM($Q23:V23),1))))</f>
        <v/>
      </c>
      <c r="CP23" s="1" t="str">
        <f aca="false">IF(OR(OR(NOT(AND(ISNUMBER(E23),ISNUMBER(F23))),$J$2=""),7&gt;Reprogramaciones!$K$16),"",IF(ROUND(SUM($Q23:W23),1)&gt;=99.5,100,MIN(100,ROUND(SUM($Q23:W23),1))))</f>
        <v/>
      </c>
      <c r="CQ23" s="1" t="str">
        <f aca="false">IF(OR(OR(NOT(AND(ISNUMBER(E23),ISNUMBER(F23))),$J$2=""),8&gt;Reprogramaciones!$K$16),"",IF(ROUND(SUM($Q23:X23),1)&gt;=99.5,100,MIN(100,ROUND(SUM($Q23:X23),1))))</f>
        <v/>
      </c>
      <c r="CR23" s="1" t="str">
        <f aca="false">IF(OR(OR(NOT(AND(ISNUMBER(E23),ISNUMBER(F23))),$J$2=""),9&gt;Reprogramaciones!$K$16),"",IF(ROUND(SUM($Q23:Y23),1)&gt;=99.5,100,MIN(100,ROUND(SUM($Q23:Y23),1))))</f>
        <v/>
      </c>
      <c r="CS23" s="1" t="str">
        <f aca="false">IF(OR(OR(NOT(AND(ISNUMBER(E23),ISNUMBER(F23))),$J$2=""),10&gt;Reprogramaciones!$K$16),"",IF(ROUND(SUM($Q23:Z23),1)&gt;=99.5,100,MIN(100,ROUND(SUM($Q23:Z23),1))))</f>
        <v/>
      </c>
      <c r="CT23" s="1" t="str">
        <f aca="false">IF(OR(OR(NOT(AND(ISNUMBER(E23),ISNUMBER(F23))),$J$2=""),11&gt;Reprogramaciones!$K$16),"",IF(ROUND(SUM($Q23:AA23),1)&gt;=99.5,100,MIN(100,ROUND(SUM($Q23:AA23),1))))</f>
        <v/>
      </c>
      <c r="CU23" s="1" t="str">
        <f aca="false">IF(OR(OR(NOT(AND(ISNUMBER(E23),ISNUMBER(F23))),$J$2=""),12&gt;Reprogramaciones!$K$16),"",IF(ROUND(SUM($Q23:AB23),1)&gt;=99.5,100,MIN(100,ROUND(SUM($Q23:AB23),1))))</f>
        <v/>
      </c>
      <c r="CV23" s="1" t="str">
        <f aca="false">IF(OR(OR(NOT(AND(ISNUMBER(E23),ISNUMBER(F23))),$J$2=""),13&gt;Reprogramaciones!$K$16),"",IF(ROUND(SUM($Q23:AC23),1)&gt;=99.5,100,MIN(100,ROUND(SUM($Q23:AC23),1))))</f>
        <v/>
      </c>
      <c r="CW23" s="1" t="str">
        <f aca="false">IF(OR(OR(NOT(AND(ISNUMBER(E23),ISNUMBER(F23))),$J$2=""),14&gt;Reprogramaciones!$K$16),"",IF(ROUND(SUM($Q23:AD23),1)&gt;=99.5,100,MIN(100,ROUND(SUM($Q23:AD23),1))))</f>
        <v/>
      </c>
      <c r="CX23" s="1" t="str">
        <f aca="false">IF(OR(OR(NOT(AND(ISNUMBER(E23),ISNUMBER(F23))),$J$2=""),15&gt;Reprogramaciones!$K$16),"",IF(ROUND(SUM($Q23:AE23),1)&gt;=99.5,100,MIN(100,ROUND(SUM($Q23:AE23),1))))</f>
        <v/>
      </c>
      <c r="CY23" s="1" t="str">
        <f aca="false">IF(OR(OR(NOT(AND(ISNUMBER(E23),ISNUMBER(F23))),$J$2=""),16&gt;Reprogramaciones!$K$16),"",IF(ROUND(SUM($Q23:AF23),1)&gt;=99.5,100,MIN(100,ROUND(SUM($Q23:AF23),1))))</f>
        <v/>
      </c>
      <c r="CZ23" s="1" t="str">
        <f aca="false">IF(D23&lt;&gt;"",D23,IF(B23&lt;&gt;"","Contractual",CZ22))</f>
        <v>Contractual</v>
      </c>
      <c r="DA23" s="1" t="n">
        <f aca="false">IF(OR(NOT(AND(ISNUMBER(E23),ISNUMBER(F23))),$J$2=""),"",IF(Reprogramaciones!$Q$15&lt;Reprogramaciones!$T$15,0,IF(Reprogramaciones!$S$15&gt;10,MIN(100,SUM($G23:$P23)),MIN(100,SUMPRODUCT((COLUMN($G23:$P23)-COLUMN($G23)+1&lt;Reprogramaciones!$S$15)*$G23:$P23)+N(INDEX($G23:$P23,1,Reprogramaciones!$S$15))*IF(Reprogramaciones!$Q$15&gt;=(Reprogramaciones!$T$15+7*(Reprogramaciones!$S$15-1))+6,1,IF(MAX(0,NETWORKDAYS.INTL(MAX(E23,(Reprogramaciones!$T$15+7*(Reprogramaciones!$S$15-1))),MIN(F23,(Reprogramaciones!$T$15+7*(Reprogramaciones!$S$15-1))+6),11))=0,0,MAX(0,NETWORKDAYS.INTL(MAX(E23,(Reprogramaciones!$T$15+7*(Reprogramaciones!$S$15-1))),MIN(F23,Reprogramaciones!$Q$15),11))/MAX(0,NETWORKDAYS.INTL(MAX(E23,(Reprogramaciones!$T$15+7*(Reprogramaciones!$S$15-1))),MIN(F23,(Reprogramaciones!$T$15+7*(Reprogramaciones!$S$15-1))+6),11))))))))</f>
        <v>100</v>
      </c>
    </row>
    <row r="24" customFormat="false" ht="15" hidden="false" customHeight="false" outlineLevel="0" collapsed="false">
      <c r="A24" s="32" t="s">
        <v>189</v>
      </c>
      <c r="B24" s="33"/>
      <c r="C24" s="33" t="s">
        <v>190</v>
      </c>
      <c r="D24" s="34"/>
      <c r="E24" s="35" t="n">
        <v>46301</v>
      </c>
      <c r="F24" s="35" t="n">
        <v>46309</v>
      </c>
      <c r="G24" s="36" t="n">
        <f aca="false">IF(OR(NOT(AND(ISNUMBER(E24),ISNUMBER(F24))),$J$2=""),"",IF(Reprogramaciones!K$9&lt;E24,0,IF(NETWORKDAYS.INTL(E24,F24,11)=0,IF(Reprogramaciones!K$9&gt;=F24,100,0),ROUND(NETWORKDAYS.INTL(E24,MIN(F24,Reprogramaciones!K$9),11)/NETWORKDAYS.INTL(E24,F24,11)*100,1)))-0)</f>
        <v>0</v>
      </c>
      <c r="H24" s="36" t="n">
        <f aca="false">IF(OR(NOT(AND(ISNUMBER(E24),ISNUMBER(F24))),$J$2=""),"",IF(Reprogramaciones!L$9&lt;E24,0,IF(NETWORKDAYS.INTL(E24,F24,11)=0,IF(Reprogramaciones!L$9&gt;=F24,100,0),ROUND(NETWORKDAYS.INTL(E24,MIN(F24,Reprogramaciones!L$9),11)/NETWORKDAYS.INTL(E24,F24,11)*100,1)))-IF(Reprogramaciones!K$9&lt;E24,0,IF(NETWORKDAYS.INTL(E24,F24,11)=0,IF(Reprogramaciones!K$9&gt;=F24,100,0),ROUND(NETWORKDAYS.INTL(E24,MIN(F24,Reprogramaciones!K$9),11)/NETWORKDAYS.INTL(E24,F24,11)*100,1))))</f>
        <v>0</v>
      </c>
      <c r="I24" s="36" t="n">
        <f aca="false">IF(OR(NOT(AND(ISNUMBER(E24),ISNUMBER(F24))),$J$2=""),"",IF(Reprogramaciones!M$9&lt;E24,0,IF(NETWORKDAYS.INTL(E24,F24,11)=0,IF(Reprogramaciones!M$9&gt;=F24,100,0),ROUND(NETWORKDAYS.INTL(E24,MIN(F24,Reprogramaciones!M$9),11)/NETWORKDAYS.INTL(E24,F24,11)*100,1)))-IF(Reprogramaciones!L$9&lt;E24,0,IF(NETWORKDAYS.INTL(E24,F24,11)=0,IF(Reprogramaciones!L$9&gt;=F24,100,0),ROUND(NETWORKDAYS.INTL(E24,MIN(F24,Reprogramaciones!L$9),11)/NETWORKDAYS.INTL(E24,F24,11)*100,1))))</f>
        <v>62.5</v>
      </c>
      <c r="J24" s="36" t="n">
        <f aca="false">IF(OR(NOT(AND(ISNUMBER(E24),ISNUMBER(F24))),$J$2=""),"",IF(Reprogramaciones!N$9&lt;E24,0,IF(NETWORKDAYS.INTL(E24,F24,11)=0,IF(Reprogramaciones!N$9&gt;=F24,100,0),ROUND(NETWORKDAYS.INTL(E24,MIN(F24,Reprogramaciones!N$9),11)/NETWORKDAYS.INTL(E24,F24,11)*100,1)))-IF(Reprogramaciones!M$9&lt;E24,0,IF(NETWORKDAYS.INTL(E24,F24,11)=0,IF(Reprogramaciones!M$9&gt;=F24,100,0),ROUND(NETWORKDAYS.INTL(E24,MIN(F24,Reprogramaciones!M$9),11)/NETWORKDAYS.INTL(E24,F24,11)*100,1))))</f>
        <v>37.5</v>
      </c>
      <c r="K24" s="36" t="n">
        <f aca="false">IF(OR(NOT(AND(ISNUMBER(E24),ISNUMBER(F24))),$J$2=""),"",IF(Reprogramaciones!O$9&lt;E24,0,IF(NETWORKDAYS.INTL(E24,F24,11)=0,IF(Reprogramaciones!O$9&gt;=F24,100,0),ROUND(NETWORKDAYS.INTL(E24,MIN(F24,Reprogramaciones!O$9),11)/NETWORKDAYS.INTL(E24,F24,11)*100,1)))-IF(Reprogramaciones!N$9&lt;E24,0,IF(NETWORKDAYS.INTL(E24,F24,11)=0,IF(Reprogramaciones!N$9&gt;=F24,100,0),ROUND(NETWORKDAYS.INTL(E24,MIN(F24,Reprogramaciones!N$9),11)/NETWORKDAYS.INTL(E24,F24,11)*100,1))))</f>
        <v>0</v>
      </c>
      <c r="L24" s="36" t="n">
        <f aca="false">IF(OR(NOT(AND(ISNUMBER(E24),ISNUMBER(F24))),$J$2=""),"",IF(Reprogramaciones!P$9&lt;E24,0,IF(NETWORKDAYS.INTL(E24,F24,11)=0,IF(Reprogramaciones!P$9&gt;=F24,100,0),ROUND(NETWORKDAYS.INTL(E24,MIN(F24,Reprogramaciones!P$9),11)/NETWORKDAYS.INTL(E24,F24,11)*100,1)))-IF(Reprogramaciones!O$9&lt;E24,0,IF(NETWORKDAYS.INTL(E24,F24,11)=0,IF(Reprogramaciones!O$9&gt;=F24,100,0),ROUND(NETWORKDAYS.INTL(E24,MIN(F24,Reprogramaciones!O$9),11)/NETWORKDAYS.INTL(E24,F24,11)*100,1))))</f>
        <v>0</v>
      </c>
      <c r="M24" s="36" t="n">
        <f aca="false">IF(OR(NOT(AND(ISNUMBER(E24),ISNUMBER(F24))),$J$2=""),"",IF(Reprogramaciones!Q$9&lt;E24,0,IF(NETWORKDAYS.INTL(E24,F24,11)=0,IF(Reprogramaciones!Q$9&gt;=F24,100,0),ROUND(NETWORKDAYS.INTL(E24,MIN(F24,Reprogramaciones!Q$9),11)/NETWORKDAYS.INTL(E24,F24,11)*100,1)))-IF(Reprogramaciones!P$9&lt;E24,0,IF(NETWORKDAYS.INTL(E24,F24,11)=0,IF(Reprogramaciones!P$9&gt;=F24,100,0),ROUND(NETWORKDAYS.INTL(E24,MIN(F24,Reprogramaciones!P$9),11)/NETWORKDAYS.INTL(E24,F24,11)*100,1))))</f>
        <v>0</v>
      </c>
      <c r="N24" s="36" t="n">
        <f aca="false">IF(OR(NOT(AND(ISNUMBER(E24),ISNUMBER(F24))),$J$2=""),"",IF(Reprogramaciones!R$9&lt;E24,0,IF(NETWORKDAYS.INTL(E24,F24,11)=0,IF(Reprogramaciones!R$9&gt;=F24,100,0),ROUND(NETWORKDAYS.INTL(E24,MIN(F24,Reprogramaciones!R$9),11)/NETWORKDAYS.INTL(E24,F24,11)*100,1)))-IF(Reprogramaciones!Q$9&lt;E24,0,IF(NETWORKDAYS.INTL(E24,F24,11)=0,IF(Reprogramaciones!Q$9&gt;=F24,100,0),ROUND(NETWORKDAYS.INTL(E24,MIN(F24,Reprogramaciones!Q$9),11)/NETWORKDAYS.INTL(E24,F24,11)*100,1))))</f>
        <v>0</v>
      </c>
      <c r="O24" s="36" t="n">
        <f aca="false">IF(OR(NOT(AND(ISNUMBER(E24),ISNUMBER(F24))),$J$2=""),"",IF(Reprogramaciones!S$9&lt;E24,0,IF(NETWORKDAYS.INTL(E24,F24,11)=0,IF(Reprogramaciones!S$9&gt;=F24,100,0),ROUND(NETWORKDAYS.INTL(E24,MIN(F24,Reprogramaciones!S$9),11)/NETWORKDAYS.INTL(E24,F24,11)*100,1)))-IF(Reprogramaciones!R$9&lt;E24,0,IF(NETWORKDAYS.INTL(E24,F24,11)=0,IF(Reprogramaciones!R$9&gt;=F24,100,0),ROUND(NETWORKDAYS.INTL(E24,MIN(F24,Reprogramaciones!R$9),11)/NETWORKDAYS.INTL(E24,F24,11)*100,1))))</f>
        <v>0</v>
      </c>
      <c r="P24" s="36" t="n">
        <f aca="false">IF(OR(NOT(AND(ISNUMBER(E24),ISNUMBER(F24))),$J$2=""),"",IF(Reprogramaciones!T$9&lt;E24,0,IF(NETWORKDAYS.INTL(E24,F24,11)=0,IF(Reprogramaciones!T$9&gt;=F24,100,0),ROUND(NETWORKDAYS.INTL(E24,MIN(F24,Reprogramaciones!T$9),11)/NETWORKDAYS.INTL(E24,F24,11)*100,1)))-IF(Reprogramaciones!S$9&lt;E24,0,IF(NETWORKDAYS.INTL(E24,F24,11)=0,IF(Reprogramaciones!S$9&gt;=F24,100,0),ROUND(NETWORKDAYS.INTL(E24,MIN(F24,Reprogramaciones!S$9),11)/NETWORKDAYS.INTL(E24,F24,11)*100,1))))</f>
        <v>0</v>
      </c>
      <c r="Q24" s="37"/>
      <c r="R24" s="37"/>
      <c r="S24" s="37" t="n">
        <v>62.5</v>
      </c>
      <c r="T24" s="37" t="n">
        <v>37.5</v>
      </c>
      <c r="U24" s="37"/>
      <c r="V24" s="37"/>
      <c r="W24" s="37"/>
      <c r="X24" s="37"/>
      <c r="Y24" s="37"/>
      <c r="Z24" s="37"/>
      <c r="AA24" s="37"/>
      <c r="AB24" s="37"/>
      <c r="AC24" s="37"/>
      <c r="AD24" s="37"/>
      <c r="AE24" s="37"/>
      <c r="AF24" s="37"/>
      <c r="AG24" s="38" t="n">
        <f aca="false">IF(AND(ISNUMBER(E24),ISNUMBER(F24)),NETWORKDAYS.INTL(E24,F24,11),"")</f>
        <v>8</v>
      </c>
      <c r="AH24" s="38" t="n">
        <f aca="false">IF(OR(NOT(AND(ISNUMBER(E24),ISNUMBER(F24))),$J$2=""),"",IF(Reprogramaciones!$P$15&lt;Reprogramaciones!$T$15,0,IF(Reprogramaciones!$R$15&gt;10,MIN(100,SUM($G24:$P24)),MIN(100,SUMPRODUCT((COLUMN($G24:$P24)-COLUMN($G24)+1&lt;Reprogramaciones!$R$15)*$G24:$P24)+N(INDEX($G24:$P24,1,Reprogramaciones!$R$15))*IF(Reprogramaciones!$P$15&gt;=(Reprogramaciones!$T$15+7*(Reprogramaciones!$R$15-1))+6,1,IF(MAX(0,NETWORKDAYS.INTL(MAX(E24,(Reprogramaciones!$T$15+7*(Reprogramaciones!$R$15-1))),MIN(F24,(Reprogramaciones!$T$15+7*(Reprogramaciones!$R$15-1))+6),11))=0,0,MAX(0,NETWORKDAYS.INTL(MAX(E24,(Reprogramaciones!$T$15+7*(Reprogramaciones!$R$15-1))),MIN(F24,Reprogramaciones!$P$15),11))/MAX(0,NETWORKDAYS.INTL(MAX(E24,(Reprogramaciones!$T$15+7*(Reprogramaciones!$R$15-1))),MIN(F24,(Reprogramaciones!$T$15+7*(Reprogramaciones!$R$15-1))+6),11))))))))</f>
        <v>100</v>
      </c>
      <c r="AI24" s="38" t="n">
        <f aca="false">IF(COUNT($Q24:$AF24)=0,"",IF(ROUND(SUM($Q24:$AF24),1)&gt;=99.5,100,MIN(100,ROUND(SUM($Q24:$AF24),1))))</f>
        <v>100</v>
      </c>
      <c r="AJ24" s="38" t="n">
        <f aca="false">IF(OR(AH24="",AI24=""),"",AI24-AH24)</f>
        <v>0</v>
      </c>
      <c r="AK24" s="39" t="str">
        <f aca="true">IF(AH24="","",IF(OR(Ficha!$C$10="Suspendida",Ficha!$C$10="Cancelada"),Ficha!$C$10,IF(AND(AI24&lt;&gt;"",N(AI24)&gt;=100),"Completada",IF(AND(E24&gt;TODAY(),N(AI24)=0),"Por iniciar",IF(N(AI24)+0.5&lt;AH24,"Retrasada",IF(N(AI24)+0.5&lt;DA24,IF(Reprogramaciones!$K$15&gt;0,"Al día · Sem "&amp;Reprogramaciones!$K$15&amp;" en curso","Al día · en curso"),"A tiempo"))))))</f>
        <v>Completada</v>
      </c>
      <c r="AL24" s="39" t="str">
        <f aca="true">IF(AND(A24="",AND(B24="",C24="",E24="",F24="",COUNT(Q24:AF24)=0)),"",IF(AND(B24="",C24="",E24="",F24="",COUNT(Q24:AF24)=0),"Falta la partida o subpartida",IF(AND(A24&lt;&gt;"",COUNTIF($A$6:$A$305,A24)&gt;1),"Ítem repetido",IF(AND(C24="",E24="",F24="",COUNT(Q24:AF24)=0),"Título de partida",IF(OR(E24="",F24=""),"Faltan fechas",IF(OR(ISTEXT(E24),ISTEXT(F24)),"Fecha escrita como texto: usa dd/mm/aaaa",IF(F24&lt;E24,"Fin antes del inicio",IF(IF($J$2="",FALSE(),OR(E24&lt;$J$2,F24&gt;Reprogramaciones!$T$15+69)),"Fuera de las 10 semanas",IF(ABS(SUM(G24:P24)-100)&gt;0.5,"La meta no suma 100%",IF(ROUND(SUM(Q24:AF24),1)&gt;100.5,"El avance pasa de 100%",IF(MIN(Q24:AF24)&lt;0,"Avance negativo",IF(COUNTA(Q24:AF24)&gt;COUNT(Q24:AF24),"Avance escrito como texto",IF(SUMPRODUCT((Q24:AF24&gt;0)*(Q24:AF24&lt;1))&gt;0,"Avance menor a 1: escribe 50, no 50%",IF(SUMPRODUCT(ISNUMBER(Q24:AF24)*(Reprogramaciones!$K$8:$Z$8&gt;TODAY()))&gt;0,"Avance en semana que aún no llega",IF(AND(N(Reprogramaciones!$E$21)&gt;0,F24&gt;Reprogramaciones!$E$21),"Pasa el fin de la obra: registra una reprogramación",IF(AND(N(Reprogramaciones!$E$21)&gt;0,SUMPRODUCT(ISNUMBER(Q24:AF24)*(Reprogramaciones!$K$8:$Z$8&gt;Reprogramaciones!$E$21))&gt;0),"Avance después del fin de la obra: registra una reprogramación por atraso","OK"))))))))))))))))</f>
        <v>OK</v>
      </c>
      <c r="AM24" s="40" t="str">
        <f aca="false">IF(OR(OR(NOT(AND(ISNUMBER(E24),ISNUMBER(F24))),$J$2=""),1&gt;MAX(1,Reprogramaciones!$U$15)),"",IF(Reprogramaciones!K$12&gt;=7,"",IF(OR(BT24-N(0)&gt;0.05,N(Q24)&gt;0),ROUNDDOWN(ROUND(BT24,6),0)&amp;"%"&amp;IF(CJ24="",""," / "&amp;CJ24&amp;"%"),IF(AND(N(0)&gt;=99.95,CJ24&lt;&gt;"",N(CJ24)&lt;100),"Pend. "&amp;CJ24&amp;"%",""))))</f>
        <v/>
      </c>
      <c r="AN24" s="40" t="str">
        <f aca="false">IF(OR(OR(NOT(AND(ISNUMBER(E24),ISNUMBER(F24))),$J$2=""),2&gt;MAX(1,Reprogramaciones!$U$15)),"",IF(Reprogramaciones!L$12&gt;=7,"",IF(OR(BU24-N(BT24)&gt;0.05,N(R24)&gt;0),ROUNDDOWN(ROUND(BU24,6),0)&amp;"%"&amp;IF(CK24="",""," / "&amp;CK24&amp;"%"),IF(AND(N(BT24)&gt;=99.95,CK24&lt;&gt;"",N(CK24)&lt;100),"Pend. "&amp;CK24&amp;"%",""))))</f>
        <v/>
      </c>
      <c r="AO24" s="40" t="str">
        <f aca="false">IF(OR(OR(NOT(AND(ISNUMBER(E24),ISNUMBER(F24))),$J$2=""),3&gt;MAX(1,Reprogramaciones!$U$15)),"",IF(Reprogramaciones!M$12&gt;=7,"",IF(OR(BV24-N(BU24)&gt;0.05,N(S24)&gt;0),ROUNDDOWN(ROUND(BV24,6),0)&amp;"%"&amp;IF(CL24="",""," / "&amp;CL24&amp;"%"),IF(AND(N(BU24)&gt;=99.95,CL24&lt;&gt;"",N(CL24)&lt;100),"Pend. "&amp;CL24&amp;"%",""))))</f>
        <v>62% / 62.5%</v>
      </c>
      <c r="AP24" s="40" t="str">
        <f aca="false">IF(OR(OR(NOT(AND(ISNUMBER(E24),ISNUMBER(F24))),$J$2=""),4&gt;MAX(1,Reprogramaciones!$U$15)),"",IF(Reprogramaciones!N$12&gt;=7,"",IF(OR(BW24-N(BV24)&gt;0.05,N(T24)&gt;0),ROUNDDOWN(ROUND(BW24,6),0)&amp;"%"&amp;IF(CM24="",""," / "&amp;CM24&amp;"%"),IF(AND(N(BV24)&gt;=99.95,CM24&lt;&gt;"",N(CM24)&lt;100),"Pend. "&amp;CM24&amp;"%",""))))</f>
        <v>100% / 100%</v>
      </c>
      <c r="AQ24" s="40" t="str">
        <f aca="false">IF(OR(OR(NOT(AND(ISNUMBER(E24),ISNUMBER(F24))),$J$2=""),5&gt;MAX(1,Reprogramaciones!$U$15)),"",IF(Reprogramaciones!O$12&gt;=7,"",IF(OR(BX24-N(BW24)&gt;0.05,N(U24)&gt;0),ROUNDDOWN(ROUND(BX24,6),0)&amp;"%"&amp;IF(CN24="",""," / "&amp;CN24&amp;"%"),IF(AND(N(BW24)&gt;=99.95,CN24&lt;&gt;"",N(CN24)&lt;100),"Pend. "&amp;CN24&amp;"%",""))))</f>
        <v/>
      </c>
      <c r="AR24" s="40" t="str">
        <f aca="false">IF(OR(OR(NOT(AND(ISNUMBER(E24),ISNUMBER(F24))),$J$2=""),6&gt;MAX(1,Reprogramaciones!$U$15)),"",IF(Reprogramaciones!P$12&gt;=7,"",IF(OR(BY24-N(BX24)&gt;0.05,N(V24)&gt;0),ROUNDDOWN(ROUND(BY24,6),0)&amp;"%"&amp;IF(CO24="",""," / "&amp;CO24&amp;"%"),IF(AND(N(BX24)&gt;=99.95,CO24&lt;&gt;"",N(CO24)&lt;100),"Pend. "&amp;CO24&amp;"%",""))))</f>
        <v/>
      </c>
      <c r="AS24" s="40" t="str">
        <f aca="false">IF(OR(OR(NOT(AND(ISNUMBER(E24),ISNUMBER(F24))),$J$2=""),7&gt;MAX(1,Reprogramaciones!$U$15)),"",IF(Reprogramaciones!Q$12&gt;=7,"",IF(OR(BZ24-N(BY24)&gt;0.05,N(W24)&gt;0),ROUNDDOWN(ROUND(BZ24,6),0)&amp;"%"&amp;IF(CP24="",""," / "&amp;CP24&amp;"%"),IF(AND(N(BY24)&gt;=99.95,CP24&lt;&gt;"",N(CP24)&lt;100),"Pend. "&amp;CP24&amp;"%",""))))</f>
        <v/>
      </c>
      <c r="AT24" s="40" t="str">
        <f aca="false">IF(OR(OR(NOT(AND(ISNUMBER(E24),ISNUMBER(F24))),$J$2=""),8&gt;MAX(1,Reprogramaciones!$U$15)),"",IF(Reprogramaciones!R$12&gt;=7,"",IF(OR(CA24-N(BZ24)&gt;0.05,N(X24)&gt;0),ROUNDDOWN(ROUND(CA24,6),0)&amp;"%"&amp;IF(CQ24="",""," / "&amp;CQ24&amp;"%"),IF(AND(N(BZ24)&gt;=99.95,CQ24&lt;&gt;"",N(CQ24)&lt;100),"Pend. "&amp;CQ24&amp;"%",""))))</f>
        <v/>
      </c>
      <c r="AU24" s="40" t="str">
        <f aca="false">IF(OR(OR(NOT(AND(ISNUMBER(E24),ISNUMBER(F24))),$J$2=""),9&gt;MAX(1,Reprogramaciones!$U$15)),"",IF(Reprogramaciones!S$12&gt;=7,"",IF(OR(CB24-N(CA24)&gt;0.05,N(Y24)&gt;0),ROUNDDOWN(ROUND(CB24,6),0)&amp;"%"&amp;IF(CR24="",""," / "&amp;CR24&amp;"%"),IF(AND(N(CA24)&gt;=99.95,CR24&lt;&gt;"",N(CR24)&lt;100),"Pend. "&amp;CR24&amp;"%",""))))</f>
        <v/>
      </c>
      <c r="AV24" s="40" t="str">
        <f aca="false">IF(OR(OR(NOT(AND(ISNUMBER(E24),ISNUMBER(F24))),$J$2=""),10&gt;MAX(1,Reprogramaciones!$U$15)),"",IF(Reprogramaciones!T$12&gt;=7,"",IF(OR(CC24-N(CB24)&gt;0.05,N(Z24)&gt;0),ROUNDDOWN(ROUND(CC24,6),0)&amp;"%"&amp;IF(CS24="",""," / "&amp;CS24&amp;"%"),IF(AND(N(CB24)&gt;=99.95,CS24&lt;&gt;"",N(CS24)&lt;100),"Pend. "&amp;CS24&amp;"%",""))))</f>
        <v/>
      </c>
      <c r="AW24" s="40" t="str">
        <f aca="false">IF(OR(OR(NOT(AND(ISNUMBER(E24),ISNUMBER(F24))),$J$2=""),11&gt;MAX(1,Reprogramaciones!$U$15)),"",IF(Reprogramaciones!U$12&gt;=7,"",IF(OR(CD24-N(CC24)&gt;0.05,N(AA24)&gt;0),ROUNDDOWN(ROUND(CD24,6),0)&amp;"%"&amp;IF(CT24="",""," / "&amp;CT24&amp;"%"),IF(AND(N(CC24)&gt;=99.95,CT24&lt;&gt;"",N(CT24)&lt;100),"Pend. "&amp;CT24&amp;"%",""))))</f>
        <v/>
      </c>
      <c r="AX24" s="40" t="str">
        <f aca="false">IF(OR(OR(NOT(AND(ISNUMBER(E24),ISNUMBER(F24))),$J$2=""),12&gt;MAX(1,Reprogramaciones!$U$15)),"",IF(Reprogramaciones!V$12&gt;=7,"",IF(OR(CE24-N(CD24)&gt;0.05,N(AB24)&gt;0),ROUNDDOWN(ROUND(CE24,6),0)&amp;"%"&amp;IF(CU24="",""," / "&amp;CU24&amp;"%"),IF(AND(N(CD24)&gt;=99.95,CU24&lt;&gt;"",N(CU24)&lt;100),"Pend. "&amp;CU24&amp;"%",""))))</f>
        <v/>
      </c>
      <c r="AY24" s="40" t="str">
        <f aca="false">IF(OR(OR(NOT(AND(ISNUMBER(E24),ISNUMBER(F24))),$J$2=""),13&gt;MAX(1,Reprogramaciones!$U$15)),"",IF(Reprogramaciones!W$12&gt;=7,"",IF(OR(CF24-N(CE24)&gt;0.05,N(AC24)&gt;0),ROUNDDOWN(ROUND(CF24,6),0)&amp;"%"&amp;IF(CV24="",""," / "&amp;CV24&amp;"%"),IF(AND(N(CE24)&gt;=99.95,CV24&lt;&gt;"",N(CV24)&lt;100),"Pend. "&amp;CV24&amp;"%",""))))</f>
        <v/>
      </c>
      <c r="AZ24" s="40" t="str">
        <f aca="false">IF(OR(OR(NOT(AND(ISNUMBER(E24),ISNUMBER(F24))),$J$2=""),14&gt;MAX(1,Reprogramaciones!$U$15)),"",IF(Reprogramaciones!X$12&gt;=7,"",IF(OR(CG24-N(CF24)&gt;0.05,N(AD24)&gt;0),ROUNDDOWN(ROUND(CG24,6),0)&amp;"%"&amp;IF(CW24="",""," / "&amp;CW24&amp;"%"),IF(AND(N(CF24)&gt;=99.95,CW24&lt;&gt;"",N(CW24)&lt;100),"Pend. "&amp;CW24&amp;"%",""))))</f>
        <v/>
      </c>
      <c r="BA24" s="40" t="str">
        <f aca="false">IF(OR(OR(NOT(AND(ISNUMBER(E24),ISNUMBER(F24))),$J$2=""),15&gt;MAX(1,Reprogramaciones!$U$15)),"",IF(Reprogramaciones!Y$12&gt;=7,"",IF(OR(CH24-N(CG24)&gt;0.05,N(AE24)&gt;0),ROUNDDOWN(ROUND(CH24,6),0)&amp;"%"&amp;IF(CX24="",""," / "&amp;CX24&amp;"%"),IF(AND(N(CG24)&gt;=99.95,CX24&lt;&gt;"",N(CX24)&lt;100),"Pend. "&amp;CX24&amp;"%",""))))</f>
        <v/>
      </c>
      <c r="BB24" s="40" t="str">
        <f aca="false">IF(OR(OR(NOT(AND(ISNUMBER(E24),ISNUMBER(F24))),$J$2=""),16&gt;MAX(1,Reprogramaciones!$U$15)),"",IF(Reprogramaciones!Z$12&gt;=7,"",IF(OR(CI24-N(CH24)&gt;0.05,N(AF24)&gt;0),ROUNDDOWN(ROUND(CI24,6),0)&amp;"%"&amp;IF(CY24="",""," / "&amp;CY24&amp;"%"),IF(AND(N(CH24)&gt;=99.95,CY24&lt;&gt;"",N(CY24)&lt;100),"Pend. "&amp;CY24&amp;"%",""))))</f>
        <v/>
      </c>
      <c r="BC24" s="31" t="n">
        <f aca="false">IF(AND(ISNUMBER(E24),ISNUMBER(F24)),MAX(1,NETWORKDAYS.INTL(E24,F24,11)),0)</f>
        <v>8</v>
      </c>
      <c r="BD24" s="1" t="n">
        <f aca="false">IF(OR(NOT(AND(ISNUMBER(E24),ISNUMBER(F24))),$J$2=""),"",MIN(100,ROUND(SUM($G24:G24),1)))</f>
        <v>0</v>
      </c>
      <c r="BE24" s="1" t="n">
        <f aca="false">IF(OR(NOT(AND(ISNUMBER(E24),ISNUMBER(F24))),$J$2=""),"",MIN(100,ROUND(SUM($G24:H24),1)))</f>
        <v>0</v>
      </c>
      <c r="BF24" s="1" t="n">
        <f aca="false">IF(OR(NOT(AND(ISNUMBER(E24),ISNUMBER(F24))),$J$2=""),"",MIN(100,ROUND(SUM($G24:I24),1)))</f>
        <v>62.5</v>
      </c>
      <c r="BG24" s="1" t="n">
        <f aca="false">IF(OR(NOT(AND(ISNUMBER(E24),ISNUMBER(F24))),$J$2=""),"",MIN(100,ROUND(SUM($G24:J24),1)))</f>
        <v>100</v>
      </c>
      <c r="BH24" s="1" t="n">
        <f aca="false">IF(OR(NOT(AND(ISNUMBER(E24),ISNUMBER(F24))),$J$2=""),"",MIN(100,ROUND(SUM($G24:K24),1)))</f>
        <v>100</v>
      </c>
      <c r="BI24" s="1" t="n">
        <f aca="false">IF(OR(NOT(AND(ISNUMBER(E24),ISNUMBER(F24))),$J$2=""),"",MIN(100,ROUND(SUM($G24:L24),1)))</f>
        <v>100</v>
      </c>
      <c r="BJ24" s="1" t="n">
        <f aca="false">IF(OR(NOT(AND(ISNUMBER(E24),ISNUMBER(F24))),$J$2=""),"",MIN(100,ROUND(SUM($G24:M24),1)))</f>
        <v>100</v>
      </c>
      <c r="BK24" s="1" t="n">
        <f aca="false">IF(OR(NOT(AND(ISNUMBER(E24),ISNUMBER(F24))),$J$2=""),"",MIN(100,ROUND(SUM($G24:N24),1)))</f>
        <v>100</v>
      </c>
      <c r="BL24" s="1" t="n">
        <f aca="false">IF(OR(NOT(AND(ISNUMBER(E24),ISNUMBER(F24))),$J$2=""),"",MIN(100,ROUND(SUM($G24:O24),1)))</f>
        <v>100</v>
      </c>
      <c r="BM24" s="1" t="n">
        <f aca="false">IF(OR(NOT(AND(ISNUMBER(E24),ISNUMBER(F24))),$J$2=""),"",MIN(100,ROUND(SUM($G24:P24),1)))</f>
        <v>100</v>
      </c>
      <c r="BN24" s="1" t="n">
        <f aca="false">IF(OR(NOT(AND(ISNUMBER(E24),ISNUMBER(F24))),$J$2=""),"",MIN(100,ROUND(SUM($G24:P24),1)))</f>
        <v>100</v>
      </c>
      <c r="BO24" s="1" t="n">
        <f aca="false">IF(OR(NOT(AND(ISNUMBER(E24),ISNUMBER(F24))),$J$2=""),"",MIN(100,ROUND(SUM($G24:P24),1)))</f>
        <v>100</v>
      </c>
      <c r="BP24" s="1" t="n">
        <f aca="false">IF(OR(NOT(AND(ISNUMBER(E24),ISNUMBER(F24))),$J$2=""),"",MIN(100,ROUND(SUM($G24:P24),1)))</f>
        <v>100</v>
      </c>
      <c r="BQ24" s="1" t="n">
        <f aca="false">IF(OR(NOT(AND(ISNUMBER(E24),ISNUMBER(F24))),$J$2=""),"",MIN(100,ROUND(SUM($G24:P24),1)))</f>
        <v>100</v>
      </c>
      <c r="BR24" s="1" t="n">
        <f aca="false">IF(OR(NOT(AND(ISNUMBER(E24),ISNUMBER(F24))),$J$2=""),"",MIN(100,ROUND(SUM($G24:P24),1)))</f>
        <v>100</v>
      </c>
      <c r="BS24" s="1" t="n">
        <f aca="false">IF(OR(NOT(AND(ISNUMBER(E24),ISNUMBER(F24))),$J$2=""),"",MIN(100,ROUND(SUM($G24:P24),1)))</f>
        <v>100</v>
      </c>
      <c r="BT24" s="1" t="n">
        <f aca="false">IF(OR(NOT(AND(ISNUMBER(E24),ISNUMBER(F24))),$J$2=""),"",IF(Reprogramaciones!K$13&lt;Reprogramaciones!$T$15,0,IF(Reprogramaciones!K$14&gt;10,MIN(100,SUM($G24:$P24)),MIN(100,SUMPRODUCT((COLUMN($G24:$P24)-COLUMN($G24)+1&lt;Reprogramaciones!K$14)*$G24:$P24)+N(INDEX($G24:$P24,1,Reprogramaciones!K$14))*IF(Reprogramaciones!K$13&gt;=(Reprogramaciones!$T$15+7*(Reprogramaciones!K$14-1))+6,1,IF(MAX(0,NETWORKDAYS.INTL(MAX(E24,(Reprogramaciones!$T$15+7*(Reprogramaciones!K$14-1))),MIN(F24,(Reprogramaciones!$T$15+7*(Reprogramaciones!K$14-1))+6),11))=0,0,MAX(0,NETWORKDAYS.INTL(MAX(E24,(Reprogramaciones!$T$15+7*(Reprogramaciones!K$14-1))),MIN(F24,Reprogramaciones!K$13),11))/MAX(0,NETWORKDAYS.INTL(MAX(E24,(Reprogramaciones!$T$15+7*(Reprogramaciones!K$14-1))),MIN(F24,(Reprogramaciones!$T$15+7*(Reprogramaciones!K$14-1))+6),11))))))))</f>
        <v>0</v>
      </c>
      <c r="BU24" s="1" t="n">
        <f aca="false">IF(OR(NOT(AND(ISNUMBER(E24),ISNUMBER(F24))),$J$2=""),"",IF(Reprogramaciones!L$13&lt;Reprogramaciones!$T$15,0,IF(Reprogramaciones!L$14&gt;10,MIN(100,SUM($G24:$P24)),MIN(100,SUMPRODUCT((COLUMN($G24:$P24)-COLUMN($G24)+1&lt;Reprogramaciones!L$14)*$G24:$P24)+N(INDEX($G24:$P24,1,Reprogramaciones!L$14))*IF(Reprogramaciones!L$13&gt;=(Reprogramaciones!$T$15+7*(Reprogramaciones!L$14-1))+6,1,IF(MAX(0,NETWORKDAYS.INTL(MAX(E24,(Reprogramaciones!$T$15+7*(Reprogramaciones!L$14-1))),MIN(F24,(Reprogramaciones!$T$15+7*(Reprogramaciones!L$14-1))+6),11))=0,0,MAX(0,NETWORKDAYS.INTL(MAX(E24,(Reprogramaciones!$T$15+7*(Reprogramaciones!L$14-1))),MIN(F24,Reprogramaciones!L$13),11))/MAX(0,NETWORKDAYS.INTL(MAX(E24,(Reprogramaciones!$T$15+7*(Reprogramaciones!L$14-1))),MIN(F24,(Reprogramaciones!$T$15+7*(Reprogramaciones!L$14-1))+6),11))))))))</f>
        <v>0</v>
      </c>
      <c r="BV24" s="1" t="n">
        <f aca="false">IF(OR(NOT(AND(ISNUMBER(E24),ISNUMBER(F24))),$J$2=""),"",IF(Reprogramaciones!M$13&lt;Reprogramaciones!$T$15,0,IF(Reprogramaciones!M$14&gt;10,MIN(100,SUM($G24:$P24)),MIN(100,SUMPRODUCT((COLUMN($G24:$P24)-COLUMN($G24)+1&lt;Reprogramaciones!M$14)*$G24:$P24)+N(INDEX($G24:$P24,1,Reprogramaciones!M$14))*IF(Reprogramaciones!M$13&gt;=(Reprogramaciones!$T$15+7*(Reprogramaciones!M$14-1))+6,1,IF(MAX(0,NETWORKDAYS.INTL(MAX(E24,(Reprogramaciones!$T$15+7*(Reprogramaciones!M$14-1))),MIN(F24,(Reprogramaciones!$T$15+7*(Reprogramaciones!M$14-1))+6),11))=0,0,MAX(0,NETWORKDAYS.INTL(MAX(E24,(Reprogramaciones!$T$15+7*(Reprogramaciones!M$14-1))),MIN(F24,Reprogramaciones!M$13),11))/MAX(0,NETWORKDAYS.INTL(MAX(E24,(Reprogramaciones!$T$15+7*(Reprogramaciones!M$14-1))),MIN(F24,(Reprogramaciones!$T$15+7*(Reprogramaciones!M$14-1))+6),11))))))))</f>
        <v>62.5</v>
      </c>
      <c r="BW24" s="1" t="n">
        <f aca="false">IF(OR(NOT(AND(ISNUMBER(E24),ISNUMBER(F24))),$J$2=""),"",IF(Reprogramaciones!N$13&lt;Reprogramaciones!$T$15,0,IF(Reprogramaciones!N$14&gt;10,MIN(100,SUM($G24:$P24)),MIN(100,SUMPRODUCT((COLUMN($G24:$P24)-COLUMN($G24)+1&lt;Reprogramaciones!N$14)*$G24:$P24)+N(INDEX($G24:$P24,1,Reprogramaciones!N$14))*IF(Reprogramaciones!N$13&gt;=(Reprogramaciones!$T$15+7*(Reprogramaciones!N$14-1))+6,1,IF(MAX(0,NETWORKDAYS.INTL(MAX(E24,(Reprogramaciones!$T$15+7*(Reprogramaciones!N$14-1))),MIN(F24,(Reprogramaciones!$T$15+7*(Reprogramaciones!N$14-1))+6),11))=0,0,MAX(0,NETWORKDAYS.INTL(MAX(E24,(Reprogramaciones!$T$15+7*(Reprogramaciones!N$14-1))),MIN(F24,Reprogramaciones!N$13),11))/MAX(0,NETWORKDAYS.INTL(MAX(E24,(Reprogramaciones!$T$15+7*(Reprogramaciones!N$14-1))),MIN(F24,(Reprogramaciones!$T$15+7*(Reprogramaciones!N$14-1))+6),11))))))))</f>
        <v>100</v>
      </c>
      <c r="BX24" s="1" t="n">
        <f aca="false">IF(OR(NOT(AND(ISNUMBER(E24),ISNUMBER(F24))),$J$2=""),"",IF(Reprogramaciones!O$13&lt;Reprogramaciones!$T$15,0,IF(Reprogramaciones!O$14&gt;10,MIN(100,SUM($G24:$P24)),MIN(100,SUMPRODUCT((COLUMN($G24:$P24)-COLUMN($G24)+1&lt;Reprogramaciones!O$14)*$G24:$P24)+N(INDEX($G24:$P24,1,Reprogramaciones!O$14))*IF(Reprogramaciones!O$13&gt;=(Reprogramaciones!$T$15+7*(Reprogramaciones!O$14-1))+6,1,IF(MAX(0,NETWORKDAYS.INTL(MAX(E24,(Reprogramaciones!$T$15+7*(Reprogramaciones!O$14-1))),MIN(F24,(Reprogramaciones!$T$15+7*(Reprogramaciones!O$14-1))+6),11))=0,0,MAX(0,NETWORKDAYS.INTL(MAX(E24,(Reprogramaciones!$T$15+7*(Reprogramaciones!O$14-1))),MIN(F24,Reprogramaciones!O$13),11))/MAX(0,NETWORKDAYS.INTL(MAX(E24,(Reprogramaciones!$T$15+7*(Reprogramaciones!O$14-1))),MIN(F24,(Reprogramaciones!$T$15+7*(Reprogramaciones!O$14-1))+6),11))))))))</f>
        <v>100</v>
      </c>
      <c r="BY24" s="1" t="n">
        <f aca="false">IF(OR(NOT(AND(ISNUMBER(E24),ISNUMBER(F24))),$J$2=""),"",IF(Reprogramaciones!P$13&lt;Reprogramaciones!$T$15,0,IF(Reprogramaciones!P$14&gt;10,MIN(100,SUM($G24:$P24)),MIN(100,SUMPRODUCT((COLUMN($G24:$P24)-COLUMN($G24)+1&lt;Reprogramaciones!P$14)*$G24:$P24)+N(INDEX($G24:$P24,1,Reprogramaciones!P$14))*IF(Reprogramaciones!P$13&gt;=(Reprogramaciones!$T$15+7*(Reprogramaciones!P$14-1))+6,1,IF(MAX(0,NETWORKDAYS.INTL(MAX(E24,(Reprogramaciones!$T$15+7*(Reprogramaciones!P$14-1))),MIN(F24,(Reprogramaciones!$T$15+7*(Reprogramaciones!P$14-1))+6),11))=0,0,MAX(0,NETWORKDAYS.INTL(MAX(E24,(Reprogramaciones!$T$15+7*(Reprogramaciones!P$14-1))),MIN(F24,Reprogramaciones!P$13),11))/MAX(0,NETWORKDAYS.INTL(MAX(E24,(Reprogramaciones!$T$15+7*(Reprogramaciones!P$14-1))),MIN(F24,(Reprogramaciones!$T$15+7*(Reprogramaciones!P$14-1))+6),11))))))))</f>
        <v>100</v>
      </c>
      <c r="BZ24" s="1" t="n">
        <f aca="false">IF(OR(NOT(AND(ISNUMBER(E24),ISNUMBER(F24))),$J$2=""),"",IF(Reprogramaciones!Q$13&lt;Reprogramaciones!$T$15,0,IF(Reprogramaciones!Q$14&gt;10,MIN(100,SUM($G24:$P24)),MIN(100,SUMPRODUCT((COLUMN($G24:$P24)-COLUMN($G24)+1&lt;Reprogramaciones!Q$14)*$G24:$P24)+N(INDEX($G24:$P24,1,Reprogramaciones!Q$14))*IF(Reprogramaciones!Q$13&gt;=(Reprogramaciones!$T$15+7*(Reprogramaciones!Q$14-1))+6,1,IF(MAX(0,NETWORKDAYS.INTL(MAX(E24,(Reprogramaciones!$T$15+7*(Reprogramaciones!Q$14-1))),MIN(F24,(Reprogramaciones!$T$15+7*(Reprogramaciones!Q$14-1))+6),11))=0,0,MAX(0,NETWORKDAYS.INTL(MAX(E24,(Reprogramaciones!$T$15+7*(Reprogramaciones!Q$14-1))),MIN(F24,Reprogramaciones!Q$13),11))/MAX(0,NETWORKDAYS.INTL(MAX(E24,(Reprogramaciones!$T$15+7*(Reprogramaciones!Q$14-1))),MIN(F24,(Reprogramaciones!$T$15+7*(Reprogramaciones!Q$14-1))+6),11))))))))</f>
        <v>100</v>
      </c>
      <c r="CA24" s="1" t="n">
        <f aca="false">IF(OR(NOT(AND(ISNUMBER(E24),ISNUMBER(F24))),$J$2=""),"",IF(Reprogramaciones!R$13&lt;Reprogramaciones!$T$15,0,IF(Reprogramaciones!R$14&gt;10,MIN(100,SUM($G24:$P24)),MIN(100,SUMPRODUCT((COLUMN($G24:$P24)-COLUMN($G24)+1&lt;Reprogramaciones!R$14)*$G24:$P24)+N(INDEX($G24:$P24,1,Reprogramaciones!R$14))*IF(Reprogramaciones!R$13&gt;=(Reprogramaciones!$T$15+7*(Reprogramaciones!R$14-1))+6,1,IF(MAX(0,NETWORKDAYS.INTL(MAX(E24,(Reprogramaciones!$T$15+7*(Reprogramaciones!R$14-1))),MIN(F24,(Reprogramaciones!$T$15+7*(Reprogramaciones!R$14-1))+6),11))=0,0,MAX(0,NETWORKDAYS.INTL(MAX(E24,(Reprogramaciones!$T$15+7*(Reprogramaciones!R$14-1))),MIN(F24,Reprogramaciones!R$13),11))/MAX(0,NETWORKDAYS.INTL(MAX(E24,(Reprogramaciones!$T$15+7*(Reprogramaciones!R$14-1))),MIN(F24,(Reprogramaciones!$T$15+7*(Reprogramaciones!R$14-1))+6),11))))))))</f>
        <v>100</v>
      </c>
      <c r="CB24" s="1" t="n">
        <f aca="false">IF(OR(NOT(AND(ISNUMBER(E24),ISNUMBER(F24))),$J$2=""),"",IF(Reprogramaciones!S$13&lt;Reprogramaciones!$T$15,0,IF(Reprogramaciones!S$14&gt;10,MIN(100,SUM($G24:$P24)),MIN(100,SUMPRODUCT((COLUMN($G24:$P24)-COLUMN($G24)+1&lt;Reprogramaciones!S$14)*$G24:$P24)+N(INDEX($G24:$P24,1,Reprogramaciones!S$14))*IF(Reprogramaciones!S$13&gt;=(Reprogramaciones!$T$15+7*(Reprogramaciones!S$14-1))+6,1,IF(MAX(0,NETWORKDAYS.INTL(MAX(E24,(Reprogramaciones!$T$15+7*(Reprogramaciones!S$14-1))),MIN(F24,(Reprogramaciones!$T$15+7*(Reprogramaciones!S$14-1))+6),11))=0,0,MAX(0,NETWORKDAYS.INTL(MAX(E24,(Reprogramaciones!$T$15+7*(Reprogramaciones!S$14-1))),MIN(F24,Reprogramaciones!S$13),11))/MAX(0,NETWORKDAYS.INTL(MAX(E24,(Reprogramaciones!$T$15+7*(Reprogramaciones!S$14-1))),MIN(F24,(Reprogramaciones!$T$15+7*(Reprogramaciones!S$14-1))+6),11))))))))</f>
        <v>100</v>
      </c>
      <c r="CC24" s="1" t="n">
        <f aca="false">IF(OR(NOT(AND(ISNUMBER(E24),ISNUMBER(F24))),$J$2=""),"",IF(Reprogramaciones!T$13&lt;Reprogramaciones!$T$15,0,IF(Reprogramaciones!T$14&gt;10,MIN(100,SUM($G24:$P24)),MIN(100,SUMPRODUCT((COLUMN($G24:$P24)-COLUMN($G24)+1&lt;Reprogramaciones!T$14)*$G24:$P24)+N(INDEX($G24:$P24,1,Reprogramaciones!T$14))*IF(Reprogramaciones!T$13&gt;=(Reprogramaciones!$T$15+7*(Reprogramaciones!T$14-1))+6,1,IF(MAX(0,NETWORKDAYS.INTL(MAX(E24,(Reprogramaciones!$T$15+7*(Reprogramaciones!T$14-1))),MIN(F24,(Reprogramaciones!$T$15+7*(Reprogramaciones!T$14-1))+6),11))=0,0,MAX(0,NETWORKDAYS.INTL(MAX(E24,(Reprogramaciones!$T$15+7*(Reprogramaciones!T$14-1))),MIN(F24,Reprogramaciones!T$13),11))/MAX(0,NETWORKDAYS.INTL(MAX(E24,(Reprogramaciones!$T$15+7*(Reprogramaciones!T$14-1))),MIN(F24,(Reprogramaciones!$T$15+7*(Reprogramaciones!T$14-1))+6),11))))))))</f>
        <v>100</v>
      </c>
      <c r="CD24" s="1" t="n">
        <f aca="false">IF(OR(NOT(AND(ISNUMBER(E24),ISNUMBER(F24))),$J$2=""),"",IF(Reprogramaciones!U$13&lt;Reprogramaciones!$T$15,0,IF(Reprogramaciones!U$14&gt;10,MIN(100,SUM($G24:$P24)),MIN(100,SUMPRODUCT((COLUMN($G24:$P24)-COLUMN($G24)+1&lt;Reprogramaciones!U$14)*$G24:$P24)+N(INDEX($G24:$P24,1,Reprogramaciones!U$14))*IF(Reprogramaciones!U$13&gt;=(Reprogramaciones!$T$15+7*(Reprogramaciones!U$14-1))+6,1,IF(MAX(0,NETWORKDAYS.INTL(MAX(E24,(Reprogramaciones!$T$15+7*(Reprogramaciones!U$14-1))),MIN(F24,(Reprogramaciones!$T$15+7*(Reprogramaciones!U$14-1))+6),11))=0,0,MAX(0,NETWORKDAYS.INTL(MAX(E24,(Reprogramaciones!$T$15+7*(Reprogramaciones!U$14-1))),MIN(F24,Reprogramaciones!U$13),11))/MAX(0,NETWORKDAYS.INTL(MAX(E24,(Reprogramaciones!$T$15+7*(Reprogramaciones!U$14-1))),MIN(F24,(Reprogramaciones!$T$15+7*(Reprogramaciones!U$14-1))+6),11))))))))</f>
        <v>100</v>
      </c>
      <c r="CE24" s="1" t="n">
        <f aca="false">IF(OR(NOT(AND(ISNUMBER(E24),ISNUMBER(F24))),$J$2=""),"",IF(Reprogramaciones!V$13&lt;Reprogramaciones!$T$15,0,IF(Reprogramaciones!V$14&gt;10,MIN(100,SUM($G24:$P24)),MIN(100,SUMPRODUCT((COLUMN($G24:$P24)-COLUMN($G24)+1&lt;Reprogramaciones!V$14)*$G24:$P24)+N(INDEX($G24:$P24,1,Reprogramaciones!V$14))*IF(Reprogramaciones!V$13&gt;=(Reprogramaciones!$T$15+7*(Reprogramaciones!V$14-1))+6,1,IF(MAX(0,NETWORKDAYS.INTL(MAX(E24,(Reprogramaciones!$T$15+7*(Reprogramaciones!V$14-1))),MIN(F24,(Reprogramaciones!$T$15+7*(Reprogramaciones!V$14-1))+6),11))=0,0,MAX(0,NETWORKDAYS.INTL(MAX(E24,(Reprogramaciones!$T$15+7*(Reprogramaciones!V$14-1))),MIN(F24,Reprogramaciones!V$13),11))/MAX(0,NETWORKDAYS.INTL(MAX(E24,(Reprogramaciones!$T$15+7*(Reprogramaciones!V$14-1))),MIN(F24,(Reprogramaciones!$T$15+7*(Reprogramaciones!V$14-1))+6),11))))))))</f>
        <v>100</v>
      </c>
      <c r="CF24" s="1" t="n">
        <f aca="false">IF(OR(NOT(AND(ISNUMBER(E24),ISNUMBER(F24))),$J$2=""),"",IF(Reprogramaciones!W$13&lt;Reprogramaciones!$T$15,0,IF(Reprogramaciones!W$14&gt;10,MIN(100,SUM($G24:$P24)),MIN(100,SUMPRODUCT((COLUMN($G24:$P24)-COLUMN($G24)+1&lt;Reprogramaciones!W$14)*$G24:$P24)+N(INDEX($G24:$P24,1,Reprogramaciones!W$14))*IF(Reprogramaciones!W$13&gt;=(Reprogramaciones!$T$15+7*(Reprogramaciones!W$14-1))+6,1,IF(MAX(0,NETWORKDAYS.INTL(MAX(E24,(Reprogramaciones!$T$15+7*(Reprogramaciones!W$14-1))),MIN(F24,(Reprogramaciones!$T$15+7*(Reprogramaciones!W$14-1))+6),11))=0,0,MAX(0,NETWORKDAYS.INTL(MAX(E24,(Reprogramaciones!$T$15+7*(Reprogramaciones!W$14-1))),MIN(F24,Reprogramaciones!W$13),11))/MAX(0,NETWORKDAYS.INTL(MAX(E24,(Reprogramaciones!$T$15+7*(Reprogramaciones!W$14-1))),MIN(F24,(Reprogramaciones!$T$15+7*(Reprogramaciones!W$14-1))+6),11))))))))</f>
        <v>100</v>
      </c>
      <c r="CG24" s="1" t="n">
        <f aca="false">IF(OR(NOT(AND(ISNUMBER(E24),ISNUMBER(F24))),$J$2=""),"",IF(Reprogramaciones!X$13&lt;Reprogramaciones!$T$15,0,IF(Reprogramaciones!X$14&gt;10,MIN(100,SUM($G24:$P24)),MIN(100,SUMPRODUCT((COLUMN($G24:$P24)-COLUMN($G24)+1&lt;Reprogramaciones!X$14)*$G24:$P24)+N(INDEX($G24:$P24,1,Reprogramaciones!X$14))*IF(Reprogramaciones!X$13&gt;=(Reprogramaciones!$T$15+7*(Reprogramaciones!X$14-1))+6,1,IF(MAX(0,NETWORKDAYS.INTL(MAX(E24,(Reprogramaciones!$T$15+7*(Reprogramaciones!X$14-1))),MIN(F24,(Reprogramaciones!$T$15+7*(Reprogramaciones!X$14-1))+6),11))=0,0,MAX(0,NETWORKDAYS.INTL(MAX(E24,(Reprogramaciones!$T$15+7*(Reprogramaciones!X$14-1))),MIN(F24,Reprogramaciones!X$13),11))/MAX(0,NETWORKDAYS.INTL(MAX(E24,(Reprogramaciones!$T$15+7*(Reprogramaciones!X$14-1))),MIN(F24,(Reprogramaciones!$T$15+7*(Reprogramaciones!X$14-1))+6),11))))))))</f>
        <v>100</v>
      </c>
      <c r="CH24" s="1" t="n">
        <f aca="false">IF(OR(NOT(AND(ISNUMBER(E24),ISNUMBER(F24))),$J$2=""),"",IF(Reprogramaciones!Y$13&lt;Reprogramaciones!$T$15,0,IF(Reprogramaciones!Y$14&gt;10,MIN(100,SUM($G24:$P24)),MIN(100,SUMPRODUCT((COLUMN($G24:$P24)-COLUMN($G24)+1&lt;Reprogramaciones!Y$14)*$G24:$P24)+N(INDEX($G24:$P24,1,Reprogramaciones!Y$14))*IF(Reprogramaciones!Y$13&gt;=(Reprogramaciones!$T$15+7*(Reprogramaciones!Y$14-1))+6,1,IF(MAX(0,NETWORKDAYS.INTL(MAX(E24,(Reprogramaciones!$T$15+7*(Reprogramaciones!Y$14-1))),MIN(F24,(Reprogramaciones!$T$15+7*(Reprogramaciones!Y$14-1))+6),11))=0,0,MAX(0,NETWORKDAYS.INTL(MAX(E24,(Reprogramaciones!$T$15+7*(Reprogramaciones!Y$14-1))),MIN(F24,Reprogramaciones!Y$13),11))/MAX(0,NETWORKDAYS.INTL(MAX(E24,(Reprogramaciones!$T$15+7*(Reprogramaciones!Y$14-1))),MIN(F24,(Reprogramaciones!$T$15+7*(Reprogramaciones!Y$14-1))+6),11))))))))</f>
        <v>100</v>
      </c>
      <c r="CI24" s="1" t="n">
        <f aca="false">IF(OR(NOT(AND(ISNUMBER(E24),ISNUMBER(F24))),$J$2=""),"",IF(Reprogramaciones!Z$13&lt;Reprogramaciones!$T$15,0,IF(Reprogramaciones!Z$14&gt;10,MIN(100,SUM($G24:$P24)),MIN(100,SUMPRODUCT((COLUMN($G24:$P24)-COLUMN($G24)+1&lt;Reprogramaciones!Z$14)*$G24:$P24)+N(INDEX($G24:$P24,1,Reprogramaciones!Z$14))*IF(Reprogramaciones!Z$13&gt;=(Reprogramaciones!$T$15+7*(Reprogramaciones!Z$14-1))+6,1,IF(MAX(0,NETWORKDAYS.INTL(MAX(E24,(Reprogramaciones!$T$15+7*(Reprogramaciones!Z$14-1))),MIN(F24,(Reprogramaciones!$T$15+7*(Reprogramaciones!Z$14-1))+6),11))=0,0,MAX(0,NETWORKDAYS.INTL(MAX(E24,(Reprogramaciones!$T$15+7*(Reprogramaciones!Z$14-1))),MIN(F24,Reprogramaciones!Z$13),11))/MAX(0,NETWORKDAYS.INTL(MAX(E24,(Reprogramaciones!$T$15+7*(Reprogramaciones!Z$14-1))),MIN(F24,(Reprogramaciones!$T$15+7*(Reprogramaciones!Z$14-1))+6),11))))))))</f>
        <v>100</v>
      </c>
      <c r="CJ24" s="1" t="n">
        <f aca="false">IF(OR(OR(NOT(AND(ISNUMBER(E24),ISNUMBER(F24))),$J$2=""),1&gt;Reprogramaciones!$K$16),"",IF(ROUND(SUM($Q24:Q24),1)&gt;=99.5,100,MIN(100,ROUND(SUM($Q24:Q24),1))))</f>
        <v>0</v>
      </c>
      <c r="CK24" s="1" t="n">
        <f aca="false">IF(OR(OR(NOT(AND(ISNUMBER(E24),ISNUMBER(F24))),$J$2=""),2&gt;Reprogramaciones!$K$16),"",IF(ROUND(SUM($Q24:R24),1)&gt;=99.5,100,MIN(100,ROUND(SUM($Q24:R24),1))))</f>
        <v>0</v>
      </c>
      <c r="CL24" s="1" t="n">
        <f aca="false">IF(OR(OR(NOT(AND(ISNUMBER(E24),ISNUMBER(F24))),$J$2=""),3&gt;Reprogramaciones!$K$16),"",IF(ROUND(SUM($Q24:S24),1)&gt;=99.5,100,MIN(100,ROUND(SUM($Q24:S24),1))))</f>
        <v>62.5</v>
      </c>
      <c r="CM24" s="1" t="n">
        <f aca="false">IF(OR(OR(NOT(AND(ISNUMBER(E24),ISNUMBER(F24))),$J$2=""),4&gt;Reprogramaciones!$K$16),"",IF(ROUND(SUM($Q24:T24),1)&gt;=99.5,100,MIN(100,ROUND(SUM($Q24:T24),1))))</f>
        <v>100</v>
      </c>
      <c r="CN24" s="1" t="n">
        <f aca="false">IF(OR(OR(NOT(AND(ISNUMBER(E24),ISNUMBER(F24))),$J$2=""),5&gt;Reprogramaciones!$K$16),"",IF(ROUND(SUM($Q24:U24),1)&gt;=99.5,100,MIN(100,ROUND(SUM($Q24:U24),1))))</f>
        <v>100</v>
      </c>
      <c r="CO24" s="1" t="str">
        <f aca="false">IF(OR(OR(NOT(AND(ISNUMBER(E24),ISNUMBER(F24))),$J$2=""),6&gt;Reprogramaciones!$K$16),"",IF(ROUND(SUM($Q24:V24),1)&gt;=99.5,100,MIN(100,ROUND(SUM($Q24:V24),1))))</f>
        <v/>
      </c>
      <c r="CP24" s="1" t="str">
        <f aca="false">IF(OR(OR(NOT(AND(ISNUMBER(E24),ISNUMBER(F24))),$J$2=""),7&gt;Reprogramaciones!$K$16),"",IF(ROUND(SUM($Q24:W24),1)&gt;=99.5,100,MIN(100,ROUND(SUM($Q24:W24),1))))</f>
        <v/>
      </c>
      <c r="CQ24" s="1" t="str">
        <f aca="false">IF(OR(OR(NOT(AND(ISNUMBER(E24),ISNUMBER(F24))),$J$2=""),8&gt;Reprogramaciones!$K$16),"",IF(ROUND(SUM($Q24:X24),1)&gt;=99.5,100,MIN(100,ROUND(SUM($Q24:X24),1))))</f>
        <v/>
      </c>
      <c r="CR24" s="1" t="str">
        <f aca="false">IF(OR(OR(NOT(AND(ISNUMBER(E24),ISNUMBER(F24))),$J$2=""),9&gt;Reprogramaciones!$K$16),"",IF(ROUND(SUM($Q24:Y24),1)&gt;=99.5,100,MIN(100,ROUND(SUM($Q24:Y24),1))))</f>
        <v/>
      </c>
      <c r="CS24" s="1" t="str">
        <f aca="false">IF(OR(OR(NOT(AND(ISNUMBER(E24),ISNUMBER(F24))),$J$2=""),10&gt;Reprogramaciones!$K$16),"",IF(ROUND(SUM($Q24:Z24),1)&gt;=99.5,100,MIN(100,ROUND(SUM($Q24:Z24),1))))</f>
        <v/>
      </c>
      <c r="CT24" s="1" t="str">
        <f aca="false">IF(OR(OR(NOT(AND(ISNUMBER(E24),ISNUMBER(F24))),$J$2=""),11&gt;Reprogramaciones!$K$16),"",IF(ROUND(SUM($Q24:AA24),1)&gt;=99.5,100,MIN(100,ROUND(SUM($Q24:AA24),1))))</f>
        <v/>
      </c>
      <c r="CU24" s="1" t="str">
        <f aca="false">IF(OR(OR(NOT(AND(ISNUMBER(E24),ISNUMBER(F24))),$J$2=""),12&gt;Reprogramaciones!$K$16),"",IF(ROUND(SUM($Q24:AB24),1)&gt;=99.5,100,MIN(100,ROUND(SUM($Q24:AB24),1))))</f>
        <v/>
      </c>
      <c r="CV24" s="1" t="str">
        <f aca="false">IF(OR(OR(NOT(AND(ISNUMBER(E24),ISNUMBER(F24))),$J$2=""),13&gt;Reprogramaciones!$K$16),"",IF(ROUND(SUM($Q24:AC24),1)&gt;=99.5,100,MIN(100,ROUND(SUM($Q24:AC24),1))))</f>
        <v/>
      </c>
      <c r="CW24" s="1" t="str">
        <f aca="false">IF(OR(OR(NOT(AND(ISNUMBER(E24),ISNUMBER(F24))),$J$2=""),14&gt;Reprogramaciones!$K$16),"",IF(ROUND(SUM($Q24:AD24),1)&gt;=99.5,100,MIN(100,ROUND(SUM($Q24:AD24),1))))</f>
        <v/>
      </c>
      <c r="CX24" s="1" t="str">
        <f aca="false">IF(OR(OR(NOT(AND(ISNUMBER(E24),ISNUMBER(F24))),$J$2=""),15&gt;Reprogramaciones!$K$16),"",IF(ROUND(SUM($Q24:AE24),1)&gt;=99.5,100,MIN(100,ROUND(SUM($Q24:AE24),1))))</f>
        <v/>
      </c>
      <c r="CY24" s="1" t="str">
        <f aca="false">IF(OR(OR(NOT(AND(ISNUMBER(E24),ISNUMBER(F24))),$J$2=""),16&gt;Reprogramaciones!$K$16),"",IF(ROUND(SUM($Q24:AF24),1)&gt;=99.5,100,MIN(100,ROUND(SUM($Q24:AF24),1))))</f>
        <v/>
      </c>
      <c r="CZ24" s="1" t="str">
        <f aca="false">IF(D24&lt;&gt;"",D24,IF(B24&lt;&gt;"","Contractual",CZ23))</f>
        <v>Contractual</v>
      </c>
      <c r="DA24" s="1" t="n">
        <f aca="false">IF(OR(NOT(AND(ISNUMBER(E24),ISNUMBER(F24))),$J$2=""),"",IF(Reprogramaciones!$Q$15&lt;Reprogramaciones!$T$15,0,IF(Reprogramaciones!$S$15&gt;10,MIN(100,SUM($G24:$P24)),MIN(100,SUMPRODUCT((COLUMN($G24:$P24)-COLUMN($G24)+1&lt;Reprogramaciones!$S$15)*$G24:$P24)+N(INDEX($G24:$P24,1,Reprogramaciones!$S$15))*IF(Reprogramaciones!$Q$15&gt;=(Reprogramaciones!$T$15+7*(Reprogramaciones!$S$15-1))+6,1,IF(MAX(0,NETWORKDAYS.INTL(MAX(E24,(Reprogramaciones!$T$15+7*(Reprogramaciones!$S$15-1))),MIN(F24,(Reprogramaciones!$T$15+7*(Reprogramaciones!$S$15-1))+6),11))=0,0,MAX(0,NETWORKDAYS.INTL(MAX(E24,(Reprogramaciones!$T$15+7*(Reprogramaciones!$S$15-1))),MIN(F24,Reprogramaciones!$Q$15),11))/MAX(0,NETWORKDAYS.INTL(MAX(E24,(Reprogramaciones!$T$15+7*(Reprogramaciones!$S$15-1))),MIN(F24,(Reprogramaciones!$T$15+7*(Reprogramaciones!$S$15-1))+6),11))))))))</f>
        <v>100</v>
      </c>
    </row>
    <row r="25" customFormat="false" ht="15" hidden="false" customHeight="false" outlineLevel="0" collapsed="false">
      <c r="A25" s="32" t="s">
        <v>191</v>
      </c>
      <c r="B25" s="33"/>
      <c r="C25" s="33" t="s">
        <v>192</v>
      </c>
      <c r="D25" s="34"/>
      <c r="E25" s="35" t="n">
        <v>46305</v>
      </c>
      <c r="F25" s="35" t="n">
        <v>46314</v>
      </c>
      <c r="G25" s="36" t="n">
        <f aca="false">IF(OR(NOT(AND(ISNUMBER(E25),ISNUMBER(F25))),$J$2=""),"",IF(Reprogramaciones!K$9&lt;E25,0,IF(NETWORKDAYS.INTL(E25,F25,11)=0,IF(Reprogramaciones!K$9&gt;=F25,100,0),ROUND(NETWORKDAYS.INTL(E25,MIN(F25,Reprogramaciones!K$9),11)/NETWORKDAYS.INTL(E25,F25,11)*100,1)))-0)</f>
        <v>0</v>
      </c>
      <c r="H25" s="36" t="n">
        <f aca="false">IF(OR(NOT(AND(ISNUMBER(E25),ISNUMBER(F25))),$J$2=""),"",IF(Reprogramaciones!L$9&lt;E25,0,IF(NETWORKDAYS.INTL(E25,F25,11)=0,IF(Reprogramaciones!L$9&gt;=F25,100,0),ROUND(NETWORKDAYS.INTL(E25,MIN(F25,Reprogramaciones!L$9),11)/NETWORKDAYS.INTL(E25,F25,11)*100,1)))-IF(Reprogramaciones!K$9&lt;E25,0,IF(NETWORKDAYS.INTL(E25,F25,11)=0,IF(Reprogramaciones!K$9&gt;=F25,100,0),ROUND(NETWORKDAYS.INTL(E25,MIN(F25,Reprogramaciones!K$9),11)/NETWORKDAYS.INTL(E25,F25,11)*100,1))))</f>
        <v>0</v>
      </c>
      <c r="I25" s="36" t="n">
        <f aca="false">IF(OR(NOT(AND(ISNUMBER(E25),ISNUMBER(F25))),$J$2=""),"",IF(Reprogramaciones!M$9&lt;E25,0,IF(NETWORKDAYS.INTL(E25,F25,11)=0,IF(Reprogramaciones!M$9&gt;=F25,100,0),ROUND(NETWORKDAYS.INTL(E25,MIN(F25,Reprogramaciones!M$9),11)/NETWORKDAYS.INTL(E25,F25,11)*100,1)))-IF(Reprogramaciones!L$9&lt;E25,0,IF(NETWORKDAYS.INTL(E25,F25,11)=0,IF(Reprogramaciones!L$9&gt;=F25,100,0),ROUND(NETWORKDAYS.INTL(E25,MIN(F25,Reprogramaciones!L$9),11)/NETWORKDAYS.INTL(E25,F25,11)*100,1))))</f>
        <v>12.5</v>
      </c>
      <c r="J25" s="36" t="n">
        <f aca="false">IF(OR(NOT(AND(ISNUMBER(E25),ISNUMBER(F25))),$J$2=""),"",IF(Reprogramaciones!N$9&lt;E25,0,IF(NETWORKDAYS.INTL(E25,F25,11)=0,IF(Reprogramaciones!N$9&gt;=F25,100,0),ROUND(NETWORKDAYS.INTL(E25,MIN(F25,Reprogramaciones!N$9),11)/NETWORKDAYS.INTL(E25,F25,11)*100,1)))-IF(Reprogramaciones!M$9&lt;E25,0,IF(NETWORKDAYS.INTL(E25,F25,11)=0,IF(Reprogramaciones!M$9&gt;=F25,100,0),ROUND(NETWORKDAYS.INTL(E25,MIN(F25,Reprogramaciones!M$9),11)/NETWORKDAYS.INTL(E25,F25,11)*100,1))))</f>
        <v>75</v>
      </c>
      <c r="K25" s="36" t="n">
        <f aca="false">IF(OR(NOT(AND(ISNUMBER(E25),ISNUMBER(F25))),$J$2=""),"",IF(Reprogramaciones!O$9&lt;E25,0,IF(NETWORKDAYS.INTL(E25,F25,11)=0,IF(Reprogramaciones!O$9&gt;=F25,100,0),ROUND(NETWORKDAYS.INTL(E25,MIN(F25,Reprogramaciones!O$9),11)/NETWORKDAYS.INTL(E25,F25,11)*100,1)))-IF(Reprogramaciones!N$9&lt;E25,0,IF(NETWORKDAYS.INTL(E25,F25,11)=0,IF(Reprogramaciones!N$9&gt;=F25,100,0),ROUND(NETWORKDAYS.INTL(E25,MIN(F25,Reprogramaciones!N$9),11)/NETWORKDAYS.INTL(E25,F25,11)*100,1))))</f>
        <v>12.5</v>
      </c>
      <c r="L25" s="36" t="n">
        <f aca="false">IF(OR(NOT(AND(ISNUMBER(E25),ISNUMBER(F25))),$J$2=""),"",IF(Reprogramaciones!P$9&lt;E25,0,IF(NETWORKDAYS.INTL(E25,F25,11)=0,IF(Reprogramaciones!P$9&gt;=F25,100,0),ROUND(NETWORKDAYS.INTL(E25,MIN(F25,Reprogramaciones!P$9),11)/NETWORKDAYS.INTL(E25,F25,11)*100,1)))-IF(Reprogramaciones!O$9&lt;E25,0,IF(NETWORKDAYS.INTL(E25,F25,11)=0,IF(Reprogramaciones!O$9&gt;=F25,100,0),ROUND(NETWORKDAYS.INTL(E25,MIN(F25,Reprogramaciones!O$9),11)/NETWORKDAYS.INTL(E25,F25,11)*100,1))))</f>
        <v>0</v>
      </c>
      <c r="M25" s="36" t="n">
        <f aca="false">IF(OR(NOT(AND(ISNUMBER(E25),ISNUMBER(F25))),$J$2=""),"",IF(Reprogramaciones!Q$9&lt;E25,0,IF(NETWORKDAYS.INTL(E25,F25,11)=0,IF(Reprogramaciones!Q$9&gt;=F25,100,0),ROUND(NETWORKDAYS.INTL(E25,MIN(F25,Reprogramaciones!Q$9),11)/NETWORKDAYS.INTL(E25,F25,11)*100,1)))-IF(Reprogramaciones!P$9&lt;E25,0,IF(NETWORKDAYS.INTL(E25,F25,11)=0,IF(Reprogramaciones!P$9&gt;=F25,100,0),ROUND(NETWORKDAYS.INTL(E25,MIN(F25,Reprogramaciones!P$9),11)/NETWORKDAYS.INTL(E25,F25,11)*100,1))))</f>
        <v>0</v>
      </c>
      <c r="N25" s="36" t="n">
        <f aca="false">IF(OR(NOT(AND(ISNUMBER(E25),ISNUMBER(F25))),$J$2=""),"",IF(Reprogramaciones!R$9&lt;E25,0,IF(NETWORKDAYS.INTL(E25,F25,11)=0,IF(Reprogramaciones!R$9&gt;=F25,100,0),ROUND(NETWORKDAYS.INTL(E25,MIN(F25,Reprogramaciones!R$9),11)/NETWORKDAYS.INTL(E25,F25,11)*100,1)))-IF(Reprogramaciones!Q$9&lt;E25,0,IF(NETWORKDAYS.INTL(E25,F25,11)=0,IF(Reprogramaciones!Q$9&gt;=F25,100,0),ROUND(NETWORKDAYS.INTL(E25,MIN(F25,Reprogramaciones!Q$9),11)/NETWORKDAYS.INTL(E25,F25,11)*100,1))))</f>
        <v>0</v>
      </c>
      <c r="O25" s="36" t="n">
        <f aca="false">IF(OR(NOT(AND(ISNUMBER(E25),ISNUMBER(F25))),$J$2=""),"",IF(Reprogramaciones!S$9&lt;E25,0,IF(NETWORKDAYS.INTL(E25,F25,11)=0,IF(Reprogramaciones!S$9&gt;=F25,100,0),ROUND(NETWORKDAYS.INTL(E25,MIN(F25,Reprogramaciones!S$9),11)/NETWORKDAYS.INTL(E25,F25,11)*100,1)))-IF(Reprogramaciones!R$9&lt;E25,0,IF(NETWORKDAYS.INTL(E25,F25,11)=0,IF(Reprogramaciones!R$9&gt;=F25,100,0),ROUND(NETWORKDAYS.INTL(E25,MIN(F25,Reprogramaciones!R$9),11)/NETWORKDAYS.INTL(E25,F25,11)*100,1))))</f>
        <v>0</v>
      </c>
      <c r="P25" s="36" t="n">
        <f aca="false">IF(OR(NOT(AND(ISNUMBER(E25),ISNUMBER(F25))),$J$2=""),"",IF(Reprogramaciones!T$9&lt;E25,0,IF(NETWORKDAYS.INTL(E25,F25,11)=0,IF(Reprogramaciones!T$9&gt;=F25,100,0),ROUND(NETWORKDAYS.INTL(E25,MIN(F25,Reprogramaciones!T$9),11)/NETWORKDAYS.INTL(E25,F25,11)*100,1)))-IF(Reprogramaciones!S$9&lt;E25,0,IF(NETWORKDAYS.INTL(E25,F25,11)=0,IF(Reprogramaciones!S$9&gt;=F25,100,0),ROUND(NETWORKDAYS.INTL(E25,MIN(F25,Reprogramaciones!S$9),11)/NETWORKDAYS.INTL(E25,F25,11)*100,1))))</f>
        <v>0</v>
      </c>
      <c r="Q25" s="37"/>
      <c r="R25" s="37"/>
      <c r="S25" s="37" t="n">
        <v>12.5</v>
      </c>
      <c r="T25" s="37" t="n">
        <v>75</v>
      </c>
      <c r="U25" s="37"/>
      <c r="V25" s="37"/>
      <c r="W25" s="37"/>
      <c r="X25" s="37"/>
      <c r="Y25" s="37"/>
      <c r="Z25" s="37"/>
      <c r="AA25" s="37"/>
      <c r="AB25" s="37"/>
      <c r="AC25" s="37"/>
      <c r="AD25" s="37"/>
      <c r="AE25" s="37"/>
      <c r="AF25" s="37"/>
      <c r="AG25" s="38" t="n">
        <f aca="false">IF(AND(ISNUMBER(E25),ISNUMBER(F25)),NETWORKDAYS.INTL(E25,F25,11),"")</f>
        <v>8</v>
      </c>
      <c r="AH25" s="38" t="n">
        <f aca="false">IF(OR(NOT(AND(ISNUMBER(E25),ISNUMBER(F25))),$J$2=""),"",IF(Reprogramaciones!$P$15&lt;Reprogramaciones!$T$15,0,IF(Reprogramaciones!$R$15&gt;10,MIN(100,SUM($G25:$P25)),MIN(100,SUMPRODUCT((COLUMN($G25:$P25)-COLUMN($G25)+1&lt;Reprogramaciones!$R$15)*$G25:$P25)+N(INDEX($G25:$P25,1,Reprogramaciones!$R$15))*IF(Reprogramaciones!$P$15&gt;=(Reprogramaciones!$T$15+7*(Reprogramaciones!$R$15-1))+6,1,IF(MAX(0,NETWORKDAYS.INTL(MAX(E25,(Reprogramaciones!$T$15+7*(Reprogramaciones!$R$15-1))),MIN(F25,(Reprogramaciones!$T$15+7*(Reprogramaciones!$R$15-1))+6),11))=0,0,MAX(0,NETWORKDAYS.INTL(MAX(E25,(Reprogramaciones!$T$15+7*(Reprogramaciones!$R$15-1))),MIN(F25,Reprogramaciones!$P$15),11))/MAX(0,NETWORKDAYS.INTL(MAX(E25,(Reprogramaciones!$T$15+7*(Reprogramaciones!$R$15-1))),MIN(F25,(Reprogramaciones!$T$15+7*(Reprogramaciones!$R$15-1))+6),11))))))))</f>
        <v>87.5</v>
      </c>
      <c r="AI25" s="38" t="n">
        <f aca="false">IF(COUNT($Q25:$AF25)=0,"",IF(ROUND(SUM($Q25:$AF25),1)&gt;=99.5,100,MIN(100,ROUND(SUM($Q25:$AF25),1))))</f>
        <v>87.5</v>
      </c>
      <c r="AJ25" s="38" t="n">
        <f aca="false">IF(OR(AH25="",AI25=""),"",AI25-AH25)</f>
        <v>0</v>
      </c>
      <c r="AK25" s="39" t="str">
        <f aca="true">IF(AH25="","",IF(OR(Ficha!$C$10="Suspendida",Ficha!$C$10="Cancelada"),Ficha!$C$10,IF(AND(AI25&lt;&gt;"",N(AI25)&gt;=100),"Completada",IF(AND(E25&gt;TODAY(),N(AI25)=0),"Por iniciar",IF(N(AI25)+0.5&lt;AH25,"Retrasada",IF(N(AI25)+0.5&lt;DA25,IF(Reprogramaciones!$K$15&gt;0,"Al día · Sem "&amp;Reprogramaciones!$K$15&amp;" en curso","Al día · en curso"),"A tiempo"))))))</f>
        <v>Al día · Sem 5 en curso</v>
      </c>
      <c r="AL25" s="39" t="str">
        <f aca="true">IF(AND(A25="",AND(B25="",C25="",E25="",F25="",COUNT(Q25:AF25)=0)),"",IF(AND(B25="",C25="",E25="",F25="",COUNT(Q25:AF25)=0),"Falta la partida o subpartida",IF(AND(A25&lt;&gt;"",COUNTIF($A$6:$A$305,A25)&gt;1),"Ítem repetido",IF(AND(C25="",E25="",F25="",COUNT(Q25:AF25)=0),"Título de partida",IF(OR(E25="",F25=""),"Faltan fechas",IF(OR(ISTEXT(E25),ISTEXT(F25)),"Fecha escrita como texto: usa dd/mm/aaaa",IF(F25&lt;E25,"Fin antes del inicio",IF(IF($J$2="",FALSE(),OR(E25&lt;$J$2,F25&gt;Reprogramaciones!$T$15+69)),"Fuera de las 10 semanas",IF(ABS(SUM(G25:P25)-100)&gt;0.5,"La meta no suma 100%",IF(ROUND(SUM(Q25:AF25),1)&gt;100.5,"El avance pasa de 100%",IF(MIN(Q25:AF25)&lt;0,"Avance negativo",IF(COUNTA(Q25:AF25)&gt;COUNT(Q25:AF25),"Avance escrito como texto",IF(SUMPRODUCT((Q25:AF25&gt;0)*(Q25:AF25&lt;1))&gt;0,"Avance menor a 1: escribe 50, no 50%",IF(SUMPRODUCT(ISNUMBER(Q25:AF25)*(Reprogramaciones!$K$8:$Z$8&gt;TODAY()))&gt;0,"Avance en semana que aún no llega",IF(AND(N(Reprogramaciones!$E$21)&gt;0,F25&gt;Reprogramaciones!$E$21),"Pasa el fin de la obra: registra una reprogramación",IF(AND(N(Reprogramaciones!$E$21)&gt;0,SUMPRODUCT(ISNUMBER(Q25:AF25)*(Reprogramaciones!$K$8:$Z$8&gt;Reprogramaciones!$E$21))&gt;0),"Avance después del fin de la obra: registra una reprogramación por atraso","OK"))))))))))))))))</f>
        <v>OK</v>
      </c>
      <c r="AM25" s="40" t="str">
        <f aca="false">IF(OR(OR(NOT(AND(ISNUMBER(E25),ISNUMBER(F25))),$J$2=""),1&gt;MAX(1,Reprogramaciones!$U$15)),"",IF(Reprogramaciones!K$12&gt;=7,"",IF(OR(BT25-N(0)&gt;0.05,N(Q25)&gt;0),ROUNDDOWN(ROUND(BT25,6),0)&amp;"%"&amp;IF(CJ25="",""," / "&amp;CJ25&amp;"%"),IF(AND(N(0)&gt;=99.95,CJ25&lt;&gt;"",N(CJ25)&lt;100),"Pend. "&amp;CJ25&amp;"%",""))))</f>
        <v/>
      </c>
      <c r="AN25" s="40" t="str">
        <f aca="false">IF(OR(OR(NOT(AND(ISNUMBER(E25),ISNUMBER(F25))),$J$2=""),2&gt;MAX(1,Reprogramaciones!$U$15)),"",IF(Reprogramaciones!L$12&gt;=7,"",IF(OR(BU25-N(BT25)&gt;0.05,N(R25)&gt;0),ROUNDDOWN(ROUND(BU25,6),0)&amp;"%"&amp;IF(CK25="",""," / "&amp;CK25&amp;"%"),IF(AND(N(BT25)&gt;=99.95,CK25&lt;&gt;"",N(CK25)&lt;100),"Pend. "&amp;CK25&amp;"%",""))))</f>
        <v/>
      </c>
      <c r="AO25" s="40" t="str">
        <f aca="false">IF(OR(OR(NOT(AND(ISNUMBER(E25),ISNUMBER(F25))),$J$2=""),3&gt;MAX(1,Reprogramaciones!$U$15)),"",IF(Reprogramaciones!M$12&gt;=7,"",IF(OR(BV25-N(BU25)&gt;0.05,N(S25)&gt;0),ROUNDDOWN(ROUND(BV25,6),0)&amp;"%"&amp;IF(CL25="",""," / "&amp;CL25&amp;"%"),IF(AND(N(BU25)&gt;=99.95,CL25&lt;&gt;"",N(CL25)&lt;100),"Pend. "&amp;CL25&amp;"%",""))))</f>
        <v>12% / 12.5%</v>
      </c>
      <c r="AP25" s="40" t="str">
        <f aca="false">IF(OR(OR(NOT(AND(ISNUMBER(E25),ISNUMBER(F25))),$J$2=""),4&gt;MAX(1,Reprogramaciones!$U$15)),"",IF(Reprogramaciones!N$12&gt;=7,"",IF(OR(BW25-N(BV25)&gt;0.05,N(T25)&gt;0),ROUNDDOWN(ROUND(BW25,6),0)&amp;"%"&amp;IF(CM25="",""," / "&amp;CM25&amp;"%"),IF(AND(N(BV25)&gt;=99.95,CM25&lt;&gt;"",N(CM25)&lt;100),"Pend. "&amp;CM25&amp;"%",""))))</f>
        <v>87% / 87.5%</v>
      </c>
      <c r="AQ25" s="40" t="str">
        <f aca="false">IF(OR(OR(NOT(AND(ISNUMBER(E25),ISNUMBER(F25))),$J$2=""),5&gt;MAX(1,Reprogramaciones!$U$15)),"",IF(Reprogramaciones!O$12&gt;=7,"",IF(OR(BX25-N(BW25)&gt;0.05,N(U25)&gt;0),ROUNDDOWN(ROUND(BX25,6),0)&amp;"%"&amp;IF(CN25="",""," / "&amp;CN25&amp;"%"),IF(AND(N(BW25)&gt;=99.95,CN25&lt;&gt;"",N(CN25)&lt;100),"Pend. "&amp;CN25&amp;"%",""))))</f>
        <v>100% / 87.5%</v>
      </c>
      <c r="AR25" s="40" t="str">
        <f aca="false">IF(OR(OR(NOT(AND(ISNUMBER(E25),ISNUMBER(F25))),$J$2=""),6&gt;MAX(1,Reprogramaciones!$U$15)),"",IF(Reprogramaciones!P$12&gt;=7,"",IF(OR(BY25-N(BX25)&gt;0.05,N(V25)&gt;0),ROUNDDOWN(ROUND(BY25,6),0)&amp;"%"&amp;IF(CO25="",""," / "&amp;CO25&amp;"%"),IF(AND(N(BX25)&gt;=99.95,CO25&lt;&gt;"",N(CO25)&lt;100),"Pend. "&amp;CO25&amp;"%",""))))</f>
        <v/>
      </c>
      <c r="AS25" s="40" t="str">
        <f aca="false">IF(OR(OR(NOT(AND(ISNUMBER(E25),ISNUMBER(F25))),$J$2=""),7&gt;MAX(1,Reprogramaciones!$U$15)),"",IF(Reprogramaciones!Q$12&gt;=7,"",IF(OR(BZ25-N(BY25)&gt;0.05,N(W25)&gt;0),ROUNDDOWN(ROUND(BZ25,6),0)&amp;"%"&amp;IF(CP25="",""," / "&amp;CP25&amp;"%"),IF(AND(N(BY25)&gt;=99.95,CP25&lt;&gt;"",N(CP25)&lt;100),"Pend. "&amp;CP25&amp;"%",""))))</f>
        <v/>
      </c>
      <c r="AT25" s="40" t="str">
        <f aca="false">IF(OR(OR(NOT(AND(ISNUMBER(E25),ISNUMBER(F25))),$J$2=""),8&gt;MAX(1,Reprogramaciones!$U$15)),"",IF(Reprogramaciones!R$12&gt;=7,"",IF(OR(CA25-N(BZ25)&gt;0.05,N(X25)&gt;0),ROUNDDOWN(ROUND(CA25,6),0)&amp;"%"&amp;IF(CQ25="",""," / "&amp;CQ25&amp;"%"),IF(AND(N(BZ25)&gt;=99.95,CQ25&lt;&gt;"",N(CQ25)&lt;100),"Pend. "&amp;CQ25&amp;"%",""))))</f>
        <v/>
      </c>
      <c r="AU25" s="40" t="str">
        <f aca="false">IF(OR(OR(NOT(AND(ISNUMBER(E25),ISNUMBER(F25))),$J$2=""),9&gt;MAX(1,Reprogramaciones!$U$15)),"",IF(Reprogramaciones!S$12&gt;=7,"",IF(OR(CB25-N(CA25)&gt;0.05,N(Y25)&gt;0),ROUNDDOWN(ROUND(CB25,6),0)&amp;"%"&amp;IF(CR25="",""," / "&amp;CR25&amp;"%"),IF(AND(N(CA25)&gt;=99.95,CR25&lt;&gt;"",N(CR25)&lt;100),"Pend. "&amp;CR25&amp;"%",""))))</f>
        <v/>
      </c>
      <c r="AV25" s="40" t="str">
        <f aca="false">IF(OR(OR(NOT(AND(ISNUMBER(E25),ISNUMBER(F25))),$J$2=""),10&gt;MAX(1,Reprogramaciones!$U$15)),"",IF(Reprogramaciones!T$12&gt;=7,"",IF(OR(CC25-N(CB25)&gt;0.05,N(Z25)&gt;0),ROUNDDOWN(ROUND(CC25,6),0)&amp;"%"&amp;IF(CS25="",""," / "&amp;CS25&amp;"%"),IF(AND(N(CB25)&gt;=99.95,CS25&lt;&gt;"",N(CS25)&lt;100),"Pend. "&amp;CS25&amp;"%",""))))</f>
        <v/>
      </c>
      <c r="AW25" s="40" t="str">
        <f aca="false">IF(OR(OR(NOT(AND(ISNUMBER(E25),ISNUMBER(F25))),$J$2=""),11&gt;MAX(1,Reprogramaciones!$U$15)),"",IF(Reprogramaciones!U$12&gt;=7,"",IF(OR(CD25-N(CC25)&gt;0.05,N(AA25)&gt;0),ROUNDDOWN(ROUND(CD25,6),0)&amp;"%"&amp;IF(CT25="",""," / "&amp;CT25&amp;"%"),IF(AND(N(CC25)&gt;=99.95,CT25&lt;&gt;"",N(CT25)&lt;100),"Pend. "&amp;CT25&amp;"%",""))))</f>
        <v/>
      </c>
      <c r="AX25" s="40" t="str">
        <f aca="false">IF(OR(OR(NOT(AND(ISNUMBER(E25),ISNUMBER(F25))),$J$2=""),12&gt;MAX(1,Reprogramaciones!$U$15)),"",IF(Reprogramaciones!V$12&gt;=7,"",IF(OR(CE25-N(CD25)&gt;0.05,N(AB25)&gt;0),ROUNDDOWN(ROUND(CE25,6),0)&amp;"%"&amp;IF(CU25="",""," / "&amp;CU25&amp;"%"),IF(AND(N(CD25)&gt;=99.95,CU25&lt;&gt;"",N(CU25)&lt;100),"Pend. "&amp;CU25&amp;"%",""))))</f>
        <v/>
      </c>
      <c r="AY25" s="40" t="str">
        <f aca="false">IF(OR(OR(NOT(AND(ISNUMBER(E25),ISNUMBER(F25))),$J$2=""),13&gt;MAX(1,Reprogramaciones!$U$15)),"",IF(Reprogramaciones!W$12&gt;=7,"",IF(OR(CF25-N(CE25)&gt;0.05,N(AC25)&gt;0),ROUNDDOWN(ROUND(CF25,6),0)&amp;"%"&amp;IF(CV25="",""," / "&amp;CV25&amp;"%"),IF(AND(N(CE25)&gt;=99.95,CV25&lt;&gt;"",N(CV25)&lt;100),"Pend. "&amp;CV25&amp;"%",""))))</f>
        <v/>
      </c>
      <c r="AZ25" s="40" t="str">
        <f aca="false">IF(OR(OR(NOT(AND(ISNUMBER(E25),ISNUMBER(F25))),$J$2=""),14&gt;MAX(1,Reprogramaciones!$U$15)),"",IF(Reprogramaciones!X$12&gt;=7,"",IF(OR(CG25-N(CF25)&gt;0.05,N(AD25)&gt;0),ROUNDDOWN(ROUND(CG25,6),0)&amp;"%"&amp;IF(CW25="",""," / "&amp;CW25&amp;"%"),IF(AND(N(CF25)&gt;=99.95,CW25&lt;&gt;"",N(CW25)&lt;100),"Pend. "&amp;CW25&amp;"%",""))))</f>
        <v/>
      </c>
      <c r="BA25" s="40" t="str">
        <f aca="false">IF(OR(OR(NOT(AND(ISNUMBER(E25),ISNUMBER(F25))),$J$2=""),15&gt;MAX(1,Reprogramaciones!$U$15)),"",IF(Reprogramaciones!Y$12&gt;=7,"",IF(OR(CH25-N(CG25)&gt;0.05,N(AE25)&gt;0),ROUNDDOWN(ROUND(CH25,6),0)&amp;"%"&amp;IF(CX25="",""," / "&amp;CX25&amp;"%"),IF(AND(N(CG25)&gt;=99.95,CX25&lt;&gt;"",N(CX25)&lt;100),"Pend. "&amp;CX25&amp;"%",""))))</f>
        <v/>
      </c>
      <c r="BB25" s="40" t="str">
        <f aca="false">IF(OR(OR(NOT(AND(ISNUMBER(E25),ISNUMBER(F25))),$J$2=""),16&gt;MAX(1,Reprogramaciones!$U$15)),"",IF(Reprogramaciones!Z$12&gt;=7,"",IF(OR(CI25-N(CH25)&gt;0.05,N(AF25)&gt;0),ROUNDDOWN(ROUND(CI25,6),0)&amp;"%"&amp;IF(CY25="",""," / "&amp;CY25&amp;"%"),IF(AND(N(CH25)&gt;=99.95,CY25&lt;&gt;"",N(CY25)&lt;100),"Pend. "&amp;CY25&amp;"%",""))))</f>
        <v/>
      </c>
      <c r="BC25" s="31" t="n">
        <f aca="false">IF(AND(ISNUMBER(E25),ISNUMBER(F25)),MAX(1,NETWORKDAYS.INTL(E25,F25,11)),0)</f>
        <v>8</v>
      </c>
      <c r="BD25" s="1" t="n">
        <f aca="false">IF(OR(NOT(AND(ISNUMBER(E25),ISNUMBER(F25))),$J$2=""),"",MIN(100,ROUND(SUM($G25:G25),1)))</f>
        <v>0</v>
      </c>
      <c r="BE25" s="1" t="n">
        <f aca="false">IF(OR(NOT(AND(ISNUMBER(E25),ISNUMBER(F25))),$J$2=""),"",MIN(100,ROUND(SUM($G25:H25),1)))</f>
        <v>0</v>
      </c>
      <c r="BF25" s="1" t="n">
        <f aca="false">IF(OR(NOT(AND(ISNUMBER(E25),ISNUMBER(F25))),$J$2=""),"",MIN(100,ROUND(SUM($G25:I25),1)))</f>
        <v>12.5</v>
      </c>
      <c r="BG25" s="1" t="n">
        <f aca="false">IF(OR(NOT(AND(ISNUMBER(E25),ISNUMBER(F25))),$J$2=""),"",MIN(100,ROUND(SUM($G25:J25),1)))</f>
        <v>87.5</v>
      </c>
      <c r="BH25" s="1" t="n">
        <f aca="false">IF(OR(NOT(AND(ISNUMBER(E25),ISNUMBER(F25))),$J$2=""),"",MIN(100,ROUND(SUM($G25:K25),1)))</f>
        <v>100</v>
      </c>
      <c r="BI25" s="1" t="n">
        <f aca="false">IF(OR(NOT(AND(ISNUMBER(E25),ISNUMBER(F25))),$J$2=""),"",MIN(100,ROUND(SUM($G25:L25),1)))</f>
        <v>100</v>
      </c>
      <c r="BJ25" s="1" t="n">
        <f aca="false">IF(OR(NOT(AND(ISNUMBER(E25),ISNUMBER(F25))),$J$2=""),"",MIN(100,ROUND(SUM($G25:M25),1)))</f>
        <v>100</v>
      </c>
      <c r="BK25" s="1" t="n">
        <f aca="false">IF(OR(NOT(AND(ISNUMBER(E25),ISNUMBER(F25))),$J$2=""),"",MIN(100,ROUND(SUM($G25:N25),1)))</f>
        <v>100</v>
      </c>
      <c r="BL25" s="1" t="n">
        <f aca="false">IF(OR(NOT(AND(ISNUMBER(E25),ISNUMBER(F25))),$J$2=""),"",MIN(100,ROUND(SUM($G25:O25),1)))</f>
        <v>100</v>
      </c>
      <c r="BM25" s="1" t="n">
        <f aca="false">IF(OR(NOT(AND(ISNUMBER(E25),ISNUMBER(F25))),$J$2=""),"",MIN(100,ROUND(SUM($G25:P25),1)))</f>
        <v>100</v>
      </c>
      <c r="BN25" s="1" t="n">
        <f aca="false">IF(OR(NOT(AND(ISNUMBER(E25),ISNUMBER(F25))),$J$2=""),"",MIN(100,ROUND(SUM($G25:P25),1)))</f>
        <v>100</v>
      </c>
      <c r="BO25" s="1" t="n">
        <f aca="false">IF(OR(NOT(AND(ISNUMBER(E25),ISNUMBER(F25))),$J$2=""),"",MIN(100,ROUND(SUM($G25:P25),1)))</f>
        <v>100</v>
      </c>
      <c r="BP25" s="1" t="n">
        <f aca="false">IF(OR(NOT(AND(ISNUMBER(E25),ISNUMBER(F25))),$J$2=""),"",MIN(100,ROUND(SUM($G25:P25),1)))</f>
        <v>100</v>
      </c>
      <c r="BQ25" s="1" t="n">
        <f aca="false">IF(OR(NOT(AND(ISNUMBER(E25),ISNUMBER(F25))),$J$2=""),"",MIN(100,ROUND(SUM($G25:P25),1)))</f>
        <v>100</v>
      </c>
      <c r="BR25" s="1" t="n">
        <f aca="false">IF(OR(NOT(AND(ISNUMBER(E25),ISNUMBER(F25))),$J$2=""),"",MIN(100,ROUND(SUM($G25:P25),1)))</f>
        <v>100</v>
      </c>
      <c r="BS25" s="1" t="n">
        <f aca="false">IF(OR(NOT(AND(ISNUMBER(E25),ISNUMBER(F25))),$J$2=""),"",MIN(100,ROUND(SUM($G25:P25),1)))</f>
        <v>100</v>
      </c>
      <c r="BT25" s="1" t="n">
        <f aca="false">IF(OR(NOT(AND(ISNUMBER(E25),ISNUMBER(F25))),$J$2=""),"",IF(Reprogramaciones!K$13&lt;Reprogramaciones!$T$15,0,IF(Reprogramaciones!K$14&gt;10,MIN(100,SUM($G25:$P25)),MIN(100,SUMPRODUCT((COLUMN($G25:$P25)-COLUMN($G25)+1&lt;Reprogramaciones!K$14)*$G25:$P25)+N(INDEX($G25:$P25,1,Reprogramaciones!K$14))*IF(Reprogramaciones!K$13&gt;=(Reprogramaciones!$T$15+7*(Reprogramaciones!K$14-1))+6,1,IF(MAX(0,NETWORKDAYS.INTL(MAX(E25,(Reprogramaciones!$T$15+7*(Reprogramaciones!K$14-1))),MIN(F25,(Reprogramaciones!$T$15+7*(Reprogramaciones!K$14-1))+6),11))=0,0,MAX(0,NETWORKDAYS.INTL(MAX(E25,(Reprogramaciones!$T$15+7*(Reprogramaciones!K$14-1))),MIN(F25,Reprogramaciones!K$13),11))/MAX(0,NETWORKDAYS.INTL(MAX(E25,(Reprogramaciones!$T$15+7*(Reprogramaciones!K$14-1))),MIN(F25,(Reprogramaciones!$T$15+7*(Reprogramaciones!K$14-1))+6),11))))))))</f>
        <v>0</v>
      </c>
      <c r="BU25" s="1" t="n">
        <f aca="false">IF(OR(NOT(AND(ISNUMBER(E25),ISNUMBER(F25))),$J$2=""),"",IF(Reprogramaciones!L$13&lt;Reprogramaciones!$T$15,0,IF(Reprogramaciones!L$14&gt;10,MIN(100,SUM($G25:$P25)),MIN(100,SUMPRODUCT((COLUMN($G25:$P25)-COLUMN($G25)+1&lt;Reprogramaciones!L$14)*$G25:$P25)+N(INDEX($G25:$P25,1,Reprogramaciones!L$14))*IF(Reprogramaciones!L$13&gt;=(Reprogramaciones!$T$15+7*(Reprogramaciones!L$14-1))+6,1,IF(MAX(0,NETWORKDAYS.INTL(MAX(E25,(Reprogramaciones!$T$15+7*(Reprogramaciones!L$14-1))),MIN(F25,(Reprogramaciones!$T$15+7*(Reprogramaciones!L$14-1))+6),11))=0,0,MAX(0,NETWORKDAYS.INTL(MAX(E25,(Reprogramaciones!$T$15+7*(Reprogramaciones!L$14-1))),MIN(F25,Reprogramaciones!L$13),11))/MAX(0,NETWORKDAYS.INTL(MAX(E25,(Reprogramaciones!$T$15+7*(Reprogramaciones!L$14-1))),MIN(F25,(Reprogramaciones!$T$15+7*(Reprogramaciones!L$14-1))+6),11))))))))</f>
        <v>0</v>
      </c>
      <c r="BV25" s="1" t="n">
        <f aca="false">IF(OR(NOT(AND(ISNUMBER(E25),ISNUMBER(F25))),$J$2=""),"",IF(Reprogramaciones!M$13&lt;Reprogramaciones!$T$15,0,IF(Reprogramaciones!M$14&gt;10,MIN(100,SUM($G25:$P25)),MIN(100,SUMPRODUCT((COLUMN($G25:$P25)-COLUMN($G25)+1&lt;Reprogramaciones!M$14)*$G25:$P25)+N(INDEX($G25:$P25,1,Reprogramaciones!M$14))*IF(Reprogramaciones!M$13&gt;=(Reprogramaciones!$T$15+7*(Reprogramaciones!M$14-1))+6,1,IF(MAX(0,NETWORKDAYS.INTL(MAX(E25,(Reprogramaciones!$T$15+7*(Reprogramaciones!M$14-1))),MIN(F25,(Reprogramaciones!$T$15+7*(Reprogramaciones!M$14-1))+6),11))=0,0,MAX(0,NETWORKDAYS.INTL(MAX(E25,(Reprogramaciones!$T$15+7*(Reprogramaciones!M$14-1))),MIN(F25,Reprogramaciones!M$13),11))/MAX(0,NETWORKDAYS.INTL(MAX(E25,(Reprogramaciones!$T$15+7*(Reprogramaciones!M$14-1))),MIN(F25,(Reprogramaciones!$T$15+7*(Reprogramaciones!M$14-1))+6),11))))))))</f>
        <v>12.5</v>
      </c>
      <c r="BW25" s="1" t="n">
        <f aca="false">IF(OR(NOT(AND(ISNUMBER(E25),ISNUMBER(F25))),$J$2=""),"",IF(Reprogramaciones!N$13&lt;Reprogramaciones!$T$15,0,IF(Reprogramaciones!N$14&gt;10,MIN(100,SUM($G25:$P25)),MIN(100,SUMPRODUCT((COLUMN($G25:$P25)-COLUMN($G25)+1&lt;Reprogramaciones!N$14)*$G25:$P25)+N(INDEX($G25:$P25,1,Reprogramaciones!N$14))*IF(Reprogramaciones!N$13&gt;=(Reprogramaciones!$T$15+7*(Reprogramaciones!N$14-1))+6,1,IF(MAX(0,NETWORKDAYS.INTL(MAX(E25,(Reprogramaciones!$T$15+7*(Reprogramaciones!N$14-1))),MIN(F25,(Reprogramaciones!$T$15+7*(Reprogramaciones!N$14-1))+6),11))=0,0,MAX(0,NETWORKDAYS.INTL(MAX(E25,(Reprogramaciones!$T$15+7*(Reprogramaciones!N$14-1))),MIN(F25,Reprogramaciones!N$13),11))/MAX(0,NETWORKDAYS.INTL(MAX(E25,(Reprogramaciones!$T$15+7*(Reprogramaciones!N$14-1))),MIN(F25,(Reprogramaciones!$T$15+7*(Reprogramaciones!N$14-1))+6),11))))))))</f>
        <v>87.5</v>
      </c>
      <c r="BX25" s="1" t="n">
        <f aca="false">IF(OR(NOT(AND(ISNUMBER(E25),ISNUMBER(F25))),$J$2=""),"",IF(Reprogramaciones!O$13&lt;Reprogramaciones!$T$15,0,IF(Reprogramaciones!O$14&gt;10,MIN(100,SUM($G25:$P25)),MIN(100,SUMPRODUCT((COLUMN($G25:$P25)-COLUMN($G25)+1&lt;Reprogramaciones!O$14)*$G25:$P25)+N(INDEX($G25:$P25,1,Reprogramaciones!O$14))*IF(Reprogramaciones!O$13&gt;=(Reprogramaciones!$T$15+7*(Reprogramaciones!O$14-1))+6,1,IF(MAX(0,NETWORKDAYS.INTL(MAX(E25,(Reprogramaciones!$T$15+7*(Reprogramaciones!O$14-1))),MIN(F25,(Reprogramaciones!$T$15+7*(Reprogramaciones!O$14-1))+6),11))=0,0,MAX(0,NETWORKDAYS.INTL(MAX(E25,(Reprogramaciones!$T$15+7*(Reprogramaciones!O$14-1))),MIN(F25,Reprogramaciones!O$13),11))/MAX(0,NETWORKDAYS.INTL(MAX(E25,(Reprogramaciones!$T$15+7*(Reprogramaciones!O$14-1))),MIN(F25,(Reprogramaciones!$T$15+7*(Reprogramaciones!O$14-1))+6),11))))))))</f>
        <v>100</v>
      </c>
      <c r="BY25" s="1" t="n">
        <f aca="false">IF(OR(NOT(AND(ISNUMBER(E25),ISNUMBER(F25))),$J$2=""),"",IF(Reprogramaciones!P$13&lt;Reprogramaciones!$T$15,0,IF(Reprogramaciones!P$14&gt;10,MIN(100,SUM($G25:$P25)),MIN(100,SUMPRODUCT((COLUMN($G25:$P25)-COLUMN($G25)+1&lt;Reprogramaciones!P$14)*$G25:$P25)+N(INDEX($G25:$P25,1,Reprogramaciones!P$14))*IF(Reprogramaciones!P$13&gt;=(Reprogramaciones!$T$15+7*(Reprogramaciones!P$14-1))+6,1,IF(MAX(0,NETWORKDAYS.INTL(MAX(E25,(Reprogramaciones!$T$15+7*(Reprogramaciones!P$14-1))),MIN(F25,(Reprogramaciones!$T$15+7*(Reprogramaciones!P$14-1))+6),11))=0,0,MAX(0,NETWORKDAYS.INTL(MAX(E25,(Reprogramaciones!$T$15+7*(Reprogramaciones!P$14-1))),MIN(F25,Reprogramaciones!P$13),11))/MAX(0,NETWORKDAYS.INTL(MAX(E25,(Reprogramaciones!$T$15+7*(Reprogramaciones!P$14-1))),MIN(F25,(Reprogramaciones!$T$15+7*(Reprogramaciones!P$14-1))+6),11))))))))</f>
        <v>100</v>
      </c>
      <c r="BZ25" s="1" t="n">
        <f aca="false">IF(OR(NOT(AND(ISNUMBER(E25),ISNUMBER(F25))),$J$2=""),"",IF(Reprogramaciones!Q$13&lt;Reprogramaciones!$T$15,0,IF(Reprogramaciones!Q$14&gt;10,MIN(100,SUM($G25:$P25)),MIN(100,SUMPRODUCT((COLUMN($G25:$P25)-COLUMN($G25)+1&lt;Reprogramaciones!Q$14)*$G25:$P25)+N(INDEX($G25:$P25,1,Reprogramaciones!Q$14))*IF(Reprogramaciones!Q$13&gt;=(Reprogramaciones!$T$15+7*(Reprogramaciones!Q$14-1))+6,1,IF(MAX(0,NETWORKDAYS.INTL(MAX(E25,(Reprogramaciones!$T$15+7*(Reprogramaciones!Q$14-1))),MIN(F25,(Reprogramaciones!$T$15+7*(Reprogramaciones!Q$14-1))+6),11))=0,0,MAX(0,NETWORKDAYS.INTL(MAX(E25,(Reprogramaciones!$T$15+7*(Reprogramaciones!Q$14-1))),MIN(F25,Reprogramaciones!Q$13),11))/MAX(0,NETWORKDAYS.INTL(MAX(E25,(Reprogramaciones!$T$15+7*(Reprogramaciones!Q$14-1))),MIN(F25,(Reprogramaciones!$T$15+7*(Reprogramaciones!Q$14-1))+6),11))))))))</f>
        <v>100</v>
      </c>
      <c r="CA25" s="1" t="n">
        <f aca="false">IF(OR(NOT(AND(ISNUMBER(E25),ISNUMBER(F25))),$J$2=""),"",IF(Reprogramaciones!R$13&lt;Reprogramaciones!$T$15,0,IF(Reprogramaciones!R$14&gt;10,MIN(100,SUM($G25:$P25)),MIN(100,SUMPRODUCT((COLUMN($G25:$P25)-COLUMN($G25)+1&lt;Reprogramaciones!R$14)*$G25:$P25)+N(INDEX($G25:$P25,1,Reprogramaciones!R$14))*IF(Reprogramaciones!R$13&gt;=(Reprogramaciones!$T$15+7*(Reprogramaciones!R$14-1))+6,1,IF(MAX(0,NETWORKDAYS.INTL(MAX(E25,(Reprogramaciones!$T$15+7*(Reprogramaciones!R$14-1))),MIN(F25,(Reprogramaciones!$T$15+7*(Reprogramaciones!R$14-1))+6),11))=0,0,MAX(0,NETWORKDAYS.INTL(MAX(E25,(Reprogramaciones!$T$15+7*(Reprogramaciones!R$14-1))),MIN(F25,Reprogramaciones!R$13),11))/MAX(0,NETWORKDAYS.INTL(MAX(E25,(Reprogramaciones!$T$15+7*(Reprogramaciones!R$14-1))),MIN(F25,(Reprogramaciones!$T$15+7*(Reprogramaciones!R$14-1))+6),11))))))))</f>
        <v>100</v>
      </c>
      <c r="CB25" s="1" t="n">
        <f aca="false">IF(OR(NOT(AND(ISNUMBER(E25),ISNUMBER(F25))),$J$2=""),"",IF(Reprogramaciones!S$13&lt;Reprogramaciones!$T$15,0,IF(Reprogramaciones!S$14&gt;10,MIN(100,SUM($G25:$P25)),MIN(100,SUMPRODUCT((COLUMN($G25:$P25)-COLUMN($G25)+1&lt;Reprogramaciones!S$14)*$G25:$P25)+N(INDEX($G25:$P25,1,Reprogramaciones!S$14))*IF(Reprogramaciones!S$13&gt;=(Reprogramaciones!$T$15+7*(Reprogramaciones!S$14-1))+6,1,IF(MAX(0,NETWORKDAYS.INTL(MAX(E25,(Reprogramaciones!$T$15+7*(Reprogramaciones!S$14-1))),MIN(F25,(Reprogramaciones!$T$15+7*(Reprogramaciones!S$14-1))+6),11))=0,0,MAX(0,NETWORKDAYS.INTL(MAX(E25,(Reprogramaciones!$T$15+7*(Reprogramaciones!S$14-1))),MIN(F25,Reprogramaciones!S$13),11))/MAX(0,NETWORKDAYS.INTL(MAX(E25,(Reprogramaciones!$T$15+7*(Reprogramaciones!S$14-1))),MIN(F25,(Reprogramaciones!$T$15+7*(Reprogramaciones!S$14-1))+6),11))))))))</f>
        <v>100</v>
      </c>
      <c r="CC25" s="1" t="n">
        <f aca="false">IF(OR(NOT(AND(ISNUMBER(E25),ISNUMBER(F25))),$J$2=""),"",IF(Reprogramaciones!T$13&lt;Reprogramaciones!$T$15,0,IF(Reprogramaciones!T$14&gt;10,MIN(100,SUM($G25:$P25)),MIN(100,SUMPRODUCT((COLUMN($G25:$P25)-COLUMN($G25)+1&lt;Reprogramaciones!T$14)*$G25:$P25)+N(INDEX($G25:$P25,1,Reprogramaciones!T$14))*IF(Reprogramaciones!T$13&gt;=(Reprogramaciones!$T$15+7*(Reprogramaciones!T$14-1))+6,1,IF(MAX(0,NETWORKDAYS.INTL(MAX(E25,(Reprogramaciones!$T$15+7*(Reprogramaciones!T$14-1))),MIN(F25,(Reprogramaciones!$T$15+7*(Reprogramaciones!T$14-1))+6),11))=0,0,MAX(0,NETWORKDAYS.INTL(MAX(E25,(Reprogramaciones!$T$15+7*(Reprogramaciones!T$14-1))),MIN(F25,Reprogramaciones!T$13),11))/MAX(0,NETWORKDAYS.INTL(MAX(E25,(Reprogramaciones!$T$15+7*(Reprogramaciones!T$14-1))),MIN(F25,(Reprogramaciones!$T$15+7*(Reprogramaciones!T$14-1))+6),11))))))))</f>
        <v>100</v>
      </c>
      <c r="CD25" s="1" t="n">
        <f aca="false">IF(OR(NOT(AND(ISNUMBER(E25),ISNUMBER(F25))),$J$2=""),"",IF(Reprogramaciones!U$13&lt;Reprogramaciones!$T$15,0,IF(Reprogramaciones!U$14&gt;10,MIN(100,SUM($G25:$P25)),MIN(100,SUMPRODUCT((COLUMN($G25:$P25)-COLUMN($G25)+1&lt;Reprogramaciones!U$14)*$G25:$P25)+N(INDEX($G25:$P25,1,Reprogramaciones!U$14))*IF(Reprogramaciones!U$13&gt;=(Reprogramaciones!$T$15+7*(Reprogramaciones!U$14-1))+6,1,IF(MAX(0,NETWORKDAYS.INTL(MAX(E25,(Reprogramaciones!$T$15+7*(Reprogramaciones!U$14-1))),MIN(F25,(Reprogramaciones!$T$15+7*(Reprogramaciones!U$14-1))+6),11))=0,0,MAX(0,NETWORKDAYS.INTL(MAX(E25,(Reprogramaciones!$T$15+7*(Reprogramaciones!U$14-1))),MIN(F25,Reprogramaciones!U$13),11))/MAX(0,NETWORKDAYS.INTL(MAX(E25,(Reprogramaciones!$T$15+7*(Reprogramaciones!U$14-1))),MIN(F25,(Reprogramaciones!$T$15+7*(Reprogramaciones!U$14-1))+6),11))))))))</f>
        <v>100</v>
      </c>
      <c r="CE25" s="1" t="n">
        <f aca="false">IF(OR(NOT(AND(ISNUMBER(E25),ISNUMBER(F25))),$J$2=""),"",IF(Reprogramaciones!V$13&lt;Reprogramaciones!$T$15,0,IF(Reprogramaciones!V$14&gt;10,MIN(100,SUM($G25:$P25)),MIN(100,SUMPRODUCT((COLUMN($G25:$P25)-COLUMN($G25)+1&lt;Reprogramaciones!V$14)*$G25:$P25)+N(INDEX($G25:$P25,1,Reprogramaciones!V$14))*IF(Reprogramaciones!V$13&gt;=(Reprogramaciones!$T$15+7*(Reprogramaciones!V$14-1))+6,1,IF(MAX(0,NETWORKDAYS.INTL(MAX(E25,(Reprogramaciones!$T$15+7*(Reprogramaciones!V$14-1))),MIN(F25,(Reprogramaciones!$T$15+7*(Reprogramaciones!V$14-1))+6),11))=0,0,MAX(0,NETWORKDAYS.INTL(MAX(E25,(Reprogramaciones!$T$15+7*(Reprogramaciones!V$14-1))),MIN(F25,Reprogramaciones!V$13),11))/MAX(0,NETWORKDAYS.INTL(MAX(E25,(Reprogramaciones!$T$15+7*(Reprogramaciones!V$14-1))),MIN(F25,(Reprogramaciones!$T$15+7*(Reprogramaciones!V$14-1))+6),11))))))))</f>
        <v>100</v>
      </c>
      <c r="CF25" s="1" t="n">
        <f aca="false">IF(OR(NOT(AND(ISNUMBER(E25),ISNUMBER(F25))),$J$2=""),"",IF(Reprogramaciones!W$13&lt;Reprogramaciones!$T$15,0,IF(Reprogramaciones!W$14&gt;10,MIN(100,SUM($G25:$P25)),MIN(100,SUMPRODUCT((COLUMN($G25:$P25)-COLUMN($G25)+1&lt;Reprogramaciones!W$14)*$G25:$P25)+N(INDEX($G25:$P25,1,Reprogramaciones!W$14))*IF(Reprogramaciones!W$13&gt;=(Reprogramaciones!$T$15+7*(Reprogramaciones!W$14-1))+6,1,IF(MAX(0,NETWORKDAYS.INTL(MAX(E25,(Reprogramaciones!$T$15+7*(Reprogramaciones!W$14-1))),MIN(F25,(Reprogramaciones!$T$15+7*(Reprogramaciones!W$14-1))+6),11))=0,0,MAX(0,NETWORKDAYS.INTL(MAX(E25,(Reprogramaciones!$T$15+7*(Reprogramaciones!W$14-1))),MIN(F25,Reprogramaciones!W$13),11))/MAX(0,NETWORKDAYS.INTL(MAX(E25,(Reprogramaciones!$T$15+7*(Reprogramaciones!W$14-1))),MIN(F25,(Reprogramaciones!$T$15+7*(Reprogramaciones!W$14-1))+6),11))))))))</f>
        <v>100</v>
      </c>
      <c r="CG25" s="1" t="n">
        <f aca="false">IF(OR(NOT(AND(ISNUMBER(E25),ISNUMBER(F25))),$J$2=""),"",IF(Reprogramaciones!X$13&lt;Reprogramaciones!$T$15,0,IF(Reprogramaciones!X$14&gt;10,MIN(100,SUM($G25:$P25)),MIN(100,SUMPRODUCT((COLUMN($G25:$P25)-COLUMN($G25)+1&lt;Reprogramaciones!X$14)*$G25:$P25)+N(INDEX($G25:$P25,1,Reprogramaciones!X$14))*IF(Reprogramaciones!X$13&gt;=(Reprogramaciones!$T$15+7*(Reprogramaciones!X$14-1))+6,1,IF(MAX(0,NETWORKDAYS.INTL(MAX(E25,(Reprogramaciones!$T$15+7*(Reprogramaciones!X$14-1))),MIN(F25,(Reprogramaciones!$T$15+7*(Reprogramaciones!X$14-1))+6),11))=0,0,MAX(0,NETWORKDAYS.INTL(MAX(E25,(Reprogramaciones!$T$15+7*(Reprogramaciones!X$14-1))),MIN(F25,Reprogramaciones!X$13),11))/MAX(0,NETWORKDAYS.INTL(MAX(E25,(Reprogramaciones!$T$15+7*(Reprogramaciones!X$14-1))),MIN(F25,(Reprogramaciones!$T$15+7*(Reprogramaciones!X$14-1))+6),11))))))))</f>
        <v>100</v>
      </c>
      <c r="CH25" s="1" t="n">
        <f aca="false">IF(OR(NOT(AND(ISNUMBER(E25),ISNUMBER(F25))),$J$2=""),"",IF(Reprogramaciones!Y$13&lt;Reprogramaciones!$T$15,0,IF(Reprogramaciones!Y$14&gt;10,MIN(100,SUM($G25:$P25)),MIN(100,SUMPRODUCT((COLUMN($G25:$P25)-COLUMN($G25)+1&lt;Reprogramaciones!Y$14)*$G25:$P25)+N(INDEX($G25:$P25,1,Reprogramaciones!Y$14))*IF(Reprogramaciones!Y$13&gt;=(Reprogramaciones!$T$15+7*(Reprogramaciones!Y$14-1))+6,1,IF(MAX(0,NETWORKDAYS.INTL(MAX(E25,(Reprogramaciones!$T$15+7*(Reprogramaciones!Y$14-1))),MIN(F25,(Reprogramaciones!$T$15+7*(Reprogramaciones!Y$14-1))+6),11))=0,0,MAX(0,NETWORKDAYS.INTL(MAX(E25,(Reprogramaciones!$T$15+7*(Reprogramaciones!Y$14-1))),MIN(F25,Reprogramaciones!Y$13),11))/MAX(0,NETWORKDAYS.INTL(MAX(E25,(Reprogramaciones!$T$15+7*(Reprogramaciones!Y$14-1))),MIN(F25,(Reprogramaciones!$T$15+7*(Reprogramaciones!Y$14-1))+6),11))))))))</f>
        <v>100</v>
      </c>
      <c r="CI25" s="1" t="n">
        <f aca="false">IF(OR(NOT(AND(ISNUMBER(E25),ISNUMBER(F25))),$J$2=""),"",IF(Reprogramaciones!Z$13&lt;Reprogramaciones!$T$15,0,IF(Reprogramaciones!Z$14&gt;10,MIN(100,SUM($G25:$P25)),MIN(100,SUMPRODUCT((COLUMN($G25:$P25)-COLUMN($G25)+1&lt;Reprogramaciones!Z$14)*$G25:$P25)+N(INDEX($G25:$P25,1,Reprogramaciones!Z$14))*IF(Reprogramaciones!Z$13&gt;=(Reprogramaciones!$T$15+7*(Reprogramaciones!Z$14-1))+6,1,IF(MAX(0,NETWORKDAYS.INTL(MAX(E25,(Reprogramaciones!$T$15+7*(Reprogramaciones!Z$14-1))),MIN(F25,(Reprogramaciones!$T$15+7*(Reprogramaciones!Z$14-1))+6),11))=0,0,MAX(0,NETWORKDAYS.INTL(MAX(E25,(Reprogramaciones!$T$15+7*(Reprogramaciones!Z$14-1))),MIN(F25,Reprogramaciones!Z$13),11))/MAX(0,NETWORKDAYS.INTL(MAX(E25,(Reprogramaciones!$T$15+7*(Reprogramaciones!Z$14-1))),MIN(F25,(Reprogramaciones!$T$15+7*(Reprogramaciones!Z$14-1))+6),11))))))))</f>
        <v>100</v>
      </c>
      <c r="CJ25" s="1" t="n">
        <f aca="false">IF(OR(OR(NOT(AND(ISNUMBER(E25),ISNUMBER(F25))),$J$2=""),1&gt;Reprogramaciones!$K$16),"",IF(ROUND(SUM($Q25:Q25),1)&gt;=99.5,100,MIN(100,ROUND(SUM($Q25:Q25),1))))</f>
        <v>0</v>
      </c>
      <c r="CK25" s="1" t="n">
        <f aca="false">IF(OR(OR(NOT(AND(ISNUMBER(E25),ISNUMBER(F25))),$J$2=""),2&gt;Reprogramaciones!$K$16),"",IF(ROUND(SUM($Q25:R25),1)&gt;=99.5,100,MIN(100,ROUND(SUM($Q25:R25),1))))</f>
        <v>0</v>
      </c>
      <c r="CL25" s="1" t="n">
        <f aca="false">IF(OR(OR(NOT(AND(ISNUMBER(E25),ISNUMBER(F25))),$J$2=""),3&gt;Reprogramaciones!$K$16),"",IF(ROUND(SUM($Q25:S25),1)&gt;=99.5,100,MIN(100,ROUND(SUM($Q25:S25),1))))</f>
        <v>12.5</v>
      </c>
      <c r="CM25" s="1" t="n">
        <f aca="false">IF(OR(OR(NOT(AND(ISNUMBER(E25),ISNUMBER(F25))),$J$2=""),4&gt;Reprogramaciones!$K$16),"",IF(ROUND(SUM($Q25:T25),1)&gt;=99.5,100,MIN(100,ROUND(SUM($Q25:T25),1))))</f>
        <v>87.5</v>
      </c>
      <c r="CN25" s="1" t="n">
        <f aca="false">IF(OR(OR(NOT(AND(ISNUMBER(E25),ISNUMBER(F25))),$J$2=""),5&gt;Reprogramaciones!$K$16),"",IF(ROUND(SUM($Q25:U25),1)&gt;=99.5,100,MIN(100,ROUND(SUM($Q25:U25),1))))</f>
        <v>87.5</v>
      </c>
      <c r="CO25" s="1" t="str">
        <f aca="false">IF(OR(OR(NOT(AND(ISNUMBER(E25),ISNUMBER(F25))),$J$2=""),6&gt;Reprogramaciones!$K$16),"",IF(ROUND(SUM($Q25:V25),1)&gt;=99.5,100,MIN(100,ROUND(SUM($Q25:V25),1))))</f>
        <v/>
      </c>
      <c r="CP25" s="1" t="str">
        <f aca="false">IF(OR(OR(NOT(AND(ISNUMBER(E25),ISNUMBER(F25))),$J$2=""),7&gt;Reprogramaciones!$K$16),"",IF(ROUND(SUM($Q25:W25),1)&gt;=99.5,100,MIN(100,ROUND(SUM($Q25:W25),1))))</f>
        <v/>
      </c>
      <c r="CQ25" s="1" t="str">
        <f aca="false">IF(OR(OR(NOT(AND(ISNUMBER(E25),ISNUMBER(F25))),$J$2=""),8&gt;Reprogramaciones!$K$16),"",IF(ROUND(SUM($Q25:X25),1)&gt;=99.5,100,MIN(100,ROUND(SUM($Q25:X25),1))))</f>
        <v/>
      </c>
      <c r="CR25" s="1" t="str">
        <f aca="false">IF(OR(OR(NOT(AND(ISNUMBER(E25),ISNUMBER(F25))),$J$2=""),9&gt;Reprogramaciones!$K$16),"",IF(ROUND(SUM($Q25:Y25),1)&gt;=99.5,100,MIN(100,ROUND(SUM($Q25:Y25),1))))</f>
        <v/>
      </c>
      <c r="CS25" s="1" t="str">
        <f aca="false">IF(OR(OR(NOT(AND(ISNUMBER(E25),ISNUMBER(F25))),$J$2=""),10&gt;Reprogramaciones!$K$16),"",IF(ROUND(SUM($Q25:Z25),1)&gt;=99.5,100,MIN(100,ROUND(SUM($Q25:Z25),1))))</f>
        <v/>
      </c>
      <c r="CT25" s="1" t="str">
        <f aca="false">IF(OR(OR(NOT(AND(ISNUMBER(E25),ISNUMBER(F25))),$J$2=""),11&gt;Reprogramaciones!$K$16),"",IF(ROUND(SUM($Q25:AA25),1)&gt;=99.5,100,MIN(100,ROUND(SUM($Q25:AA25),1))))</f>
        <v/>
      </c>
      <c r="CU25" s="1" t="str">
        <f aca="false">IF(OR(OR(NOT(AND(ISNUMBER(E25),ISNUMBER(F25))),$J$2=""),12&gt;Reprogramaciones!$K$16),"",IF(ROUND(SUM($Q25:AB25),1)&gt;=99.5,100,MIN(100,ROUND(SUM($Q25:AB25),1))))</f>
        <v/>
      </c>
      <c r="CV25" s="1" t="str">
        <f aca="false">IF(OR(OR(NOT(AND(ISNUMBER(E25),ISNUMBER(F25))),$J$2=""),13&gt;Reprogramaciones!$K$16),"",IF(ROUND(SUM($Q25:AC25),1)&gt;=99.5,100,MIN(100,ROUND(SUM($Q25:AC25),1))))</f>
        <v/>
      </c>
      <c r="CW25" s="1" t="str">
        <f aca="false">IF(OR(OR(NOT(AND(ISNUMBER(E25),ISNUMBER(F25))),$J$2=""),14&gt;Reprogramaciones!$K$16),"",IF(ROUND(SUM($Q25:AD25),1)&gt;=99.5,100,MIN(100,ROUND(SUM($Q25:AD25),1))))</f>
        <v/>
      </c>
      <c r="CX25" s="1" t="str">
        <f aca="false">IF(OR(OR(NOT(AND(ISNUMBER(E25),ISNUMBER(F25))),$J$2=""),15&gt;Reprogramaciones!$K$16),"",IF(ROUND(SUM($Q25:AE25),1)&gt;=99.5,100,MIN(100,ROUND(SUM($Q25:AE25),1))))</f>
        <v/>
      </c>
      <c r="CY25" s="1" t="str">
        <f aca="false">IF(OR(OR(NOT(AND(ISNUMBER(E25),ISNUMBER(F25))),$J$2=""),16&gt;Reprogramaciones!$K$16),"",IF(ROUND(SUM($Q25:AF25),1)&gt;=99.5,100,MIN(100,ROUND(SUM($Q25:AF25),1))))</f>
        <v/>
      </c>
      <c r="CZ25" s="1" t="str">
        <f aca="false">IF(D25&lt;&gt;"",D25,IF(B25&lt;&gt;"","Contractual",CZ24))</f>
        <v>Contractual</v>
      </c>
      <c r="DA25" s="1" t="n">
        <f aca="false">IF(OR(NOT(AND(ISNUMBER(E25),ISNUMBER(F25))),$J$2=""),"",IF(Reprogramaciones!$Q$15&lt;Reprogramaciones!$T$15,0,IF(Reprogramaciones!$S$15&gt;10,MIN(100,SUM($G25:$P25)),MIN(100,SUMPRODUCT((COLUMN($G25:$P25)-COLUMN($G25)+1&lt;Reprogramaciones!$S$15)*$G25:$P25)+N(INDEX($G25:$P25,1,Reprogramaciones!$S$15))*IF(Reprogramaciones!$Q$15&gt;=(Reprogramaciones!$T$15+7*(Reprogramaciones!$S$15-1))+6,1,IF(MAX(0,NETWORKDAYS.INTL(MAX(E25,(Reprogramaciones!$T$15+7*(Reprogramaciones!$S$15-1))),MIN(F25,(Reprogramaciones!$T$15+7*(Reprogramaciones!$S$15-1))+6),11))=0,0,MAX(0,NETWORKDAYS.INTL(MAX(E25,(Reprogramaciones!$T$15+7*(Reprogramaciones!$S$15-1))),MIN(F25,Reprogramaciones!$Q$15),11))/MAX(0,NETWORKDAYS.INTL(MAX(E25,(Reprogramaciones!$T$15+7*(Reprogramaciones!$S$15-1))),MIN(F25,(Reprogramaciones!$T$15+7*(Reprogramaciones!$S$15-1))+6),11))))))))</f>
        <v>100</v>
      </c>
    </row>
    <row r="26" customFormat="false" ht="15" hidden="false" customHeight="false" outlineLevel="0" collapsed="false">
      <c r="A26" s="32" t="s">
        <v>193</v>
      </c>
      <c r="B26" s="33" t="s">
        <v>194</v>
      </c>
      <c r="C26" s="33"/>
      <c r="D26" s="34"/>
      <c r="E26" s="35"/>
      <c r="F26" s="35"/>
      <c r="G26" s="36" t="str">
        <f aca="false">IF(OR(NOT(AND(ISNUMBER(E26),ISNUMBER(F26))),$J$2=""),"",IF(Reprogramaciones!K$9&lt;E26,0,IF(NETWORKDAYS.INTL(E26,F26,11)=0,IF(Reprogramaciones!K$9&gt;=F26,100,0),ROUND(NETWORKDAYS.INTL(E26,MIN(F26,Reprogramaciones!K$9),11)/NETWORKDAYS.INTL(E26,F26,11)*100,1)))-0)</f>
        <v/>
      </c>
      <c r="H26" s="36" t="str">
        <f aca="false">IF(OR(NOT(AND(ISNUMBER(E26),ISNUMBER(F26))),$J$2=""),"",IF(Reprogramaciones!L$9&lt;E26,0,IF(NETWORKDAYS.INTL(E26,F26,11)=0,IF(Reprogramaciones!L$9&gt;=F26,100,0),ROUND(NETWORKDAYS.INTL(E26,MIN(F26,Reprogramaciones!L$9),11)/NETWORKDAYS.INTL(E26,F26,11)*100,1)))-IF(Reprogramaciones!K$9&lt;E26,0,IF(NETWORKDAYS.INTL(E26,F26,11)=0,IF(Reprogramaciones!K$9&gt;=F26,100,0),ROUND(NETWORKDAYS.INTL(E26,MIN(F26,Reprogramaciones!K$9),11)/NETWORKDAYS.INTL(E26,F26,11)*100,1))))</f>
        <v/>
      </c>
      <c r="I26" s="36" t="str">
        <f aca="false">IF(OR(NOT(AND(ISNUMBER(E26),ISNUMBER(F26))),$J$2=""),"",IF(Reprogramaciones!M$9&lt;E26,0,IF(NETWORKDAYS.INTL(E26,F26,11)=0,IF(Reprogramaciones!M$9&gt;=F26,100,0),ROUND(NETWORKDAYS.INTL(E26,MIN(F26,Reprogramaciones!M$9),11)/NETWORKDAYS.INTL(E26,F26,11)*100,1)))-IF(Reprogramaciones!L$9&lt;E26,0,IF(NETWORKDAYS.INTL(E26,F26,11)=0,IF(Reprogramaciones!L$9&gt;=F26,100,0),ROUND(NETWORKDAYS.INTL(E26,MIN(F26,Reprogramaciones!L$9),11)/NETWORKDAYS.INTL(E26,F26,11)*100,1))))</f>
        <v/>
      </c>
      <c r="J26" s="36" t="str">
        <f aca="false">IF(OR(NOT(AND(ISNUMBER(E26),ISNUMBER(F26))),$J$2=""),"",IF(Reprogramaciones!N$9&lt;E26,0,IF(NETWORKDAYS.INTL(E26,F26,11)=0,IF(Reprogramaciones!N$9&gt;=F26,100,0),ROUND(NETWORKDAYS.INTL(E26,MIN(F26,Reprogramaciones!N$9),11)/NETWORKDAYS.INTL(E26,F26,11)*100,1)))-IF(Reprogramaciones!M$9&lt;E26,0,IF(NETWORKDAYS.INTL(E26,F26,11)=0,IF(Reprogramaciones!M$9&gt;=F26,100,0),ROUND(NETWORKDAYS.INTL(E26,MIN(F26,Reprogramaciones!M$9),11)/NETWORKDAYS.INTL(E26,F26,11)*100,1))))</f>
        <v/>
      </c>
      <c r="K26" s="36" t="str">
        <f aca="false">IF(OR(NOT(AND(ISNUMBER(E26),ISNUMBER(F26))),$J$2=""),"",IF(Reprogramaciones!O$9&lt;E26,0,IF(NETWORKDAYS.INTL(E26,F26,11)=0,IF(Reprogramaciones!O$9&gt;=F26,100,0),ROUND(NETWORKDAYS.INTL(E26,MIN(F26,Reprogramaciones!O$9),11)/NETWORKDAYS.INTL(E26,F26,11)*100,1)))-IF(Reprogramaciones!N$9&lt;E26,0,IF(NETWORKDAYS.INTL(E26,F26,11)=0,IF(Reprogramaciones!N$9&gt;=F26,100,0),ROUND(NETWORKDAYS.INTL(E26,MIN(F26,Reprogramaciones!N$9),11)/NETWORKDAYS.INTL(E26,F26,11)*100,1))))</f>
        <v/>
      </c>
      <c r="L26" s="36" t="str">
        <f aca="false">IF(OR(NOT(AND(ISNUMBER(E26),ISNUMBER(F26))),$J$2=""),"",IF(Reprogramaciones!P$9&lt;E26,0,IF(NETWORKDAYS.INTL(E26,F26,11)=0,IF(Reprogramaciones!P$9&gt;=F26,100,0),ROUND(NETWORKDAYS.INTL(E26,MIN(F26,Reprogramaciones!P$9),11)/NETWORKDAYS.INTL(E26,F26,11)*100,1)))-IF(Reprogramaciones!O$9&lt;E26,0,IF(NETWORKDAYS.INTL(E26,F26,11)=0,IF(Reprogramaciones!O$9&gt;=F26,100,0),ROUND(NETWORKDAYS.INTL(E26,MIN(F26,Reprogramaciones!O$9),11)/NETWORKDAYS.INTL(E26,F26,11)*100,1))))</f>
        <v/>
      </c>
      <c r="M26" s="36" t="str">
        <f aca="false">IF(OR(NOT(AND(ISNUMBER(E26),ISNUMBER(F26))),$J$2=""),"",IF(Reprogramaciones!Q$9&lt;E26,0,IF(NETWORKDAYS.INTL(E26,F26,11)=0,IF(Reprogramaciones!Q$9&gt;=F26,100,0),ROUND(NETWORKDAYS.INTL(E26,MIN(F26,Reprogramaciones!Q$9),11)/NETWORKDAYS.INTL(E26,F26,11)*100,1)))-IF(Reprogramaciones!P$9&lt;E26,0,IF(NETWORKDAYS.INTL(E26,F26,11)=0,IF(Reprogramaciones!P$9&gt;=F26,100,0),ROUND(NETWORKDAYS.INTL(E26,MIN(F26,Reprogramaciones!P$9),11)/NETWORKDAYS.INTL(E26,F26,11)*100,1))))</f>
        <v/>
      </c>
      <c r="N26" s="36" t="str">
        <f aca="false">IF(OR(NOT(AND(ISNUMBER(E26),ISNUMBER(F26))),$J$2=""),"",IF(Reprogramaciones!R$9&lt;E26,0,IF(NETWORKDAYS.INTL(E26,F26,11)=0,IF(Reprogramaciones!R$9&gt;=F26,100,0),ROUND(NETWORKDAYS.INTL(E26,MIN(F26,Reprogramaciones!R$9),11)/NETWORKDAYS.INTL(E26,F26,11)*100,1)))-IF(Reprogramaciones!Q$9&lt;E26,0,IF(NETWORKDAYS.INTL(E26,F26,11)=0,IF(Reprogramaciones!Q$9&gt;=F26,100,0),ROUND(NETWORKDAYS.INTL(E26,MIN(F26,Reprogramaciones!Q$9),11)/NETWORKDAYS.INTL(E26,F26,11)*100,1))))</f>
        <v/>
      </c>
      <c r="O26" s="36" t="str">
        <f aca="false">IF(OR(NOT(AND(ISNUMBER(E26),ISNUMBER(F26))),$J$2=""),"",IF(Reprogramaciones!S$9&lt;E26,0,IF(NETWORKDAYS.INTL(E26,F26,11)=0,IF(Reprogramaciones!S$9&gt;=F26,100,0),ROUND(NETWORKDAYS.INTL(E26,MIN(F26,Reprogramaciones!S$9),11)/NETWORKDAYS.INTL(E26,F26,11)*100,1)))-IF(Reprogramaciones!R$9&lt;E26,0,IF(NETWORKDAYS.INTL(E26,F26,11)=0,IF(Reprogramaciones!R$9&gt;=F26,100,0),ROUND(NETWORKDAYS.INTL(E26,MIN(F26,Reprogramaciones!R$9),11)/NETWORKDAYS.INTL(E26,F26,11)*100,1))))</f>
        <v/>
      </c>
      <c r="P26" s="36" t="str">
        <f aca="false">IF(OR(NOT(AND(ISNUMBER(E26),ISNUMBER(F26))),$J$2=""),"",IF(Reprogramaciones!T$9&lt;E26,0,IF(NETWORKDAYS.INTL(E26,F26,11)=0,IF(Reprogramaciones!T$9&gt;=F26,100,0),ROUND(NETWORKDAYS.INTL(E26,MIN(F26,Reprogramaciones!T$9),11)/NETWORKDAYS.INTL(E26,F26,11)*100,1)))-IF(Reprogramaciones!S$9&lt;E26,0,IF(NETWORKDAYS.INTL(E26,F26,11)=0,IF(Reprogramaciones!S$9&gt;=F26,100,0),ROUND(NETWORKDAYS.INTL(E26,MIN(F26,Reprogramaciones!S$9),11)/NETWORKDAYS.INTL(E26,F26,11)*100,1))))</f>
        <v/>
      </c>
      <c r="Q26" s="37"/>
      <c r="R26" s="37"/>
      <c r="S26" s="37"/>
      <c r="T26" s="37"/>
      <c r="U26" s="37"/>
      <c r="V26" s="37"/>
      <c r="W26" s="37"/>
      <c r="X26" s="37"/>
      <c r="Y26" s="37"/>
      <c r="Z26" s="37"/>
      <c r="AA26" s="37"/>
      <c r="AB26" s="37"/>
      <c r="AC26" s="37"/>
      <c r="AD26" s="37"/>
      <c r="AE26" s="37"/>
      <c r="AF26" s="37"/>
      <c r="AG26" s="38" t="str">
        <f aca="false">IF(AND(ISNUMBER(E26),ISNUMBER(F26)),NETWORKDAYS.INTL(E26,F26,11),"")</f>
        <v/>
      </c>
      <c r="AH26" s="38" t="str">
        <f aca="false">IF(OR(NOT(AND(ISNUMBER(E26),ISNUMBER(F26))),$J$2=""),"",IF(Reprogramaciones!$P$15&lt;Reprogramaciones!$T$15,0,IF(Reprogramaciones!$R$15&gt;10,MIN(100,SUM($G26:$P26)),MIN(100,SUMPRODUCT((COLUMN($G26:$P26)-COLUMN($G26)+1&lt;Reprogramaciones!$R$15)*$G26:$P26)+N(INDEX($G26:$P26,1,Reprogramaciones!$R$15))*IF(Reprogramaciones!$P$15&gt;=(Reprogramaciones!$T$15+7*(Reprogramaciones!$R$15-1))+6,1,IF(MAX(0,NETWORKDAYS.INTL(MAX(E26,(Reprogramaciones!$T$15+7*(Reprogramaciones!$R$15-1))),MIN(F26,(Reprogramaciones!$T$15+7*(Reprogramaciones!$R$15-1))+6),11))=0,0,MAX(0,NETWORKDAYS.INTL(MAX(E26,(Reprogramaciones!$T$15+7*(Reprogramaciones!$R$15-1))),MIN(F26,Reprogramaciones!$P$15),11))/MAX(0,NETWORKDAYS.INTL(MAX(E26,(Reprogramaciones!$T$15+7*(Reprogramaciones!$R$15-1))),MIN(F26,(Reprogramaciones!$T$15+7*(Reprogramaciones!$R$15-1))+6),11))))))))</f>
        <v/>
      </c>
      <c r="AI26" s="38" t="str">
        <f aca="false">IF(COUNT($Q26:$AF26)=0,"",IF(ROUND(SUM($Q26:$AF26),1)&gt;=99.5,100,MIN(100,ROUND(SUM($Q26:$AF26),1))))</f>
        <v/>
      </c>
      <c r="AJ26" s="38" t="str">
        <f aca="false">IF(OR(AH26="",AI26=""),"",AI26-AH26)</f>
        <v/>
      </c>
      <c r="AK26" s="39" t="str">
        <f aca="true">IF(AH26="","",IF(OR(Ficha!$C$10="Suspendida",Ficha!$C$10="Cancelada"),Ficha!$C$10,IF(AND(AI26&lt;&gt;"",N(AI26)&gt;=100),"Completada",IF(AND(E26&gt;TODAY(),N(AI26)=0),"Por iniciar",IF(N(AI26)+0.5&lt;AH26,"Retrasada",IF(N(AI26)+0.5&lt;DA26,IF(Reprogramaciones!$K$15&gt;0,"Al día · Sem "&amp;Reprogramaciones!$K$15&amp;" en curso","Al día · en curso"),"A tiempo"))))))</f>
        <v/>
      </c>
      <c r="AL26" s="39" t="str">
        <f aca="true">IF(AND(A26="",AND(B26="",C26="",E26="",F26="",COUNT(Q26:AF26)=0)),"",IF(AND(B26="",C26="",E26="",F26="",COUNT(Q26:AF26)=0),"Falta la partida o subpartida",IF(AND(A26&lt;&gt;"",COUNTIF($A$6:$A$305,A26)&gt;1),"Ítem repetido",IF(AND(C26="",E26="",F26="",COUNT(Q26:AF26)=0),"Título de partida",IF(OR(E26="",F26=""),"Faltan fechas",IF(OR(ISTEXT(E26),ISTEXT(F26)),"Fecha escrita como texto: usa dd/mm/aaaa",IF(F26&lt;E26,"Fin antes del inicio",IF(IF($J$2="",FALSE(),OR(E26&lt;$J$2,F26&gt;Reprogramaciones!$T$15+69)),"Fuera de las 10 semanas",IF(ABS(SUM(G26:P26)-100)&gt;0.5,"La meta no suma 100%",IF(ROUND(SUM(Q26:AF26),1)&gt;100.5,"El avance pasa de 100%",IF(MIN(Q26:AF26)&lt;0,"Avance negativo",IF(COUNTA(Q26:AF26)&gt;COUNT(Q26:AF26),"Avance escrito como texto",IF(SUMPRODUCT((Q26:AF26&gt;0)*(Q26:AF26&lt;1))&gt;0,"Avance menor a 1: escribe 50, no 50%",IF(SUMPRODUCT(ISNUMBER(Q26:AF26)*(Reprogramaciones!$K$8:$Z$8&gt;TODAY()))&gt;0,"Avance en semana que aún no llega",IF(AND(N(Reprogramaciones!$E$21)&gt;0,F26&gt;Reprogramaciones!$E$21),"Pasa el fin de la obra: registra una reprogramación",IF(AND(N(Reprogramaciones!$E$21)&gt;0,SUMPRODUCT(ISNUMBER(Q26:AF26)*(Reprogramaciones!$K$8:$Z$8&gt;Reprogramaciones!$E$21))&gt;0),"Avance después del fin de la obra: registra una reprogramación por atraso","OK"))))))))))))))))</f>
        <v>Título de partida</v>
      </c>
      <c r="AM26" s="40" t="str">
        <f aca="false">IF(OR(OR(NOT(AND(ISNUMBER(E26),ISNUMBER(F26))),$J$2=""),1&gt;MAX(1,Reprogramaciones!$U$15)),"",IF(Reprogramaciones!K$12&gt;=7,"",IF(OR(BT26-N(0)&gt;0.05,N(Q26)&gt;0),ROUNDDOWN(ROUND(BT26,6),0)&amp;"%"&amp;IF(CJ26="",""," / "&amp;CJ26&amp;"%"),IF(AND(N(0)&gt;=99.95,CJ26&lt;&gt;"",N(CJ26)&lt;100),"Pend. "&amp;CJ26&amp;"%",""))))</f>
        <v/>
      </c>
      <c r="AN26" s="40" t="str">
        <f aca="false">IF(OR(OR(NOT(AND(ISNUMBER(E26),ISNUMBER(F26))),$J$2=""),2&gt;MAX(1,Reprogramaciones!$U$15)),"",IF(Reprogramaciones!L$12&gt;=7,"",IF(OR(BU26-N(BT26)&gt;0.05,N(R26)&gt;0),ROUNDDOWN(ROUND(BU26,6),0)&amp;"%"&amp;IF(CK26="",""," / "&amp;CK26&amp;"%"),IF(AND(N(BT26)&gt;=99.95,CK26&lt;&gt;"",N(CK26)&lt;100),"Pend. "&amp;CK26&amp;"%",""))))</f>
        <v/>
      </c>
      <c r="AO26" s="40" t="str">
        <f aca="false">IF(OR(OR(NOT(AND(ISNUMBER(E26),ISNUMBER(F26))),$J$2=""),3&gt;MAX(1,Reprogramaciones!$U$15)),"",IF(Reprogramaciones!M$12&gt;=7,"",IF(OR(BV26-N(BU26)&gt;0.05,N(S26)&gt;0),ROUNDDOWN(ROUND(BV26,6),0)&amp;"%"&amp;IF(CL26="",""," / "&amp;CL26&amp;"%"),IF(AND(N(BU26)&gt;=99.95,CL26&lt;&gt;"",N(CL26)&lt;100),"Pend. "&amp;CL26&amp;"%",""))))</f>
        <v/>
      </c>
      <c r="AP26" s="40" t="str">
        <f aca="false">IF(OR(OR(NOT(AND(ISNUMBER(E26),ISNUMBER(F26))),$J$2=""),4&gt;MAX(1,Reprogramaciones!$U$15)),"",IF(Reprogramaciones!N$12&gt;=7,"",IF(OR(BW26-N(BV26)&gt;0.05,N(T26)&gt;0),ROUNDDOWN(ROUND(BW26,6),0)&amp;"%"&amp;IF(CM26="",""," / "&amp;CM26&amp;"%"),IF(AND(N(BV26)&gt;=99.95,CM26&lt;&gt;"",N(CM26)&lt;100),"Pend. "&amp;CM26&amp;"%",""))))</f>
        <v/>
      </c>
      <c r="AQ26" s="40" t="str">
        <f aca="false">IF(OR(OR(NOT(AND(ISNUMBER(E26),ISNUMBER(F26))),$J$2=""),5&gt;MAX(1,Reprogramaciones!$U$15)),"",IF(Reprogramaciones!O$12&gt;=7,"",IF(OR(BX26-N(BW26)&gt;0.05,N(U26)&gt;0),ROUNDDOWN(ROUND(BX26,6),0)&amp;"%"&amp;IF(CN26="",""," / "&amp;CN26&amp;"%"),IF(AND(N(BW26)&gt;=99.95,CN26&lt;&gt;"",N(CN26)&lt;100),"Pend. "&amp;CN26&amp;"%",""))))</f>
        <v/>
      </c>
      <c r="AR26" s="40" t="str">
        <f aca="false">IF(OR(OR(NOT(AND(ISNUMBER(E26),ISNUMBER(F26))),$J$2=""),6&gt;MAX(1,Reprogramaciones!$U$15)),"",IF(Reprogramaciones!P$12&gt;=7,"",IF(OR(BY26-N(BX26)&gt;0.05,N(V26)&gt;0),ROUNDDOWN(ROUND(BY26,6),0)&amp;"%"&amp;IF(CO26="",""," / "&amp;CO26&amp;"%"),IF(AND(N(BX26)&gt;=99.95,CO26&lt;&gt;"",N(CO26)&lt;100),"Pend. "&amp;CO26&amp;"%",""))))</f>
        <v/>
      </c>
      <c r="AS26" s="40" t="str">
        <f aca="false">IF(OR(OR(NOT(AND(ISNUMBER(E26),ISNUMBER(F26))),$J$2=""),7&gt;MAX(1,Reprogramaciones!$U$15)),"",IF(Reprogramaciones!Q$12&gt;=7,"",IF(OR(BZ26-N(BY26)&gt;0.05,N(W26)&gt;0),ROUNDDOWN(ROUND(BZ26,6),0)&amp;"%"&amp;IF(CP26="",""," / "&amp;CP26&amp;"%"),IF(AND(N(BY26)&gt;=99.95,CP26&lt;&gt;"",N(CP26)&lt;100),"Pend. "&amp;CP26&amp;"%",""))))</f>
        <v/>
      </c>
      <c r="AT26" s="40" t="str">
        <f aca="false">IF(OR(OR(NOT(AND(ISNUMBER(E26),ISNUMBER(F26))),$J$2=""),8&gt;MAX(1,Reprogramaciones!$U$15)),"",IF(Reprogramaciones!R$12&gt;=7,"",IF(OR(CA26-N(BZ26)&gt;0.05,N(X26)&gt;0),ROUNDDOWN(ROUND(CA26,6),0)&amp;"%"&amp;IF(CQ26="",""," / "&amp;CQ26&amp;"%"),IF(AND(N(BZ26)&gt;=99.95,CQ26&lt;&gt;"",N(CQ26)&lt;100),"Pend. "&amp;CQ26&amp;"%",""))))</f>
        <v/>
      </c>
      <c r="AU26" s="40" t="str">
        <f aca="false">IF(OR(OR(NOT(AND(ISNUMBER(E26),ISNUMBER(F26))),$J$2=""),9&gt;MAX(1,Reprogramaciones!$U$15)),"",IF(Reprogramaciones!S$12&gt;=7,"",IF(OR(CB26-N(CA26)&gt;0.05,N(Y26)&gt;0),ROUNDDOWN(ROUND(CB26,6),0)&amp;"%"&amp;IF(CR26="",""," / "&amp;CR26&amp;"%"),IF(AND(N(CA26)&gt;=99.95,CR26&lt;&gt;"",N(CR26)&lt;100),"Pend. "&amp;CR26&amp;"%",""))))</f>
        <v/>
      </c>
      <c r="AV26" s="40" t="str">
        <f aca="false">IF(OR(OR(NOT(AND(ISNUMBER(E26),ISNUMBER(F26))),$J$2=""),10&gt;MAX(1,Reprogramaciones!$U$15)),"",IF(Reprogramaciones!T$12&gt;=7,"",IF(OR(CC26-N(CB26)&gt;0.05,N(Z26)&gt;0),ROUNDDOWN(ROUND(CC26,6),0)&amp;"%"&amp;IF(CS26="",""," / "&amp;CS26&amp;"%"),IF(AND(N(CB26)&gt;=99.95,CS26&lt;&gt;"",N(CS26)&lt;100),"Pend. "&amp;CS26&amp;"%",""))))</f>
        <v/>
      </c>
      <c r="AW26" s="40" t="str">
        <f aca="false">IF(OR(OR(NOT(AND(ISNUMBER(E26),ISNUMBER(F26))),$J$2=""),11&gt;MAX(1,Reprogramaciones!$U$15)),"",IF(Reprogramaciones!U$12&gt;=7,"",IF(OR(CD26-N(CC26)&gt;0.05,N(AA26)&gt;0),ROUNDDOWN(ROUND(CD26,6),0)&amp;"%"&amp;IF(CT26="",""," / "&amp;CT26&amp;"%"),IF(AND(N(CC26)&gt;=99.95,CT26&lt;&gt;"",N(CT26)&lt;100),"Pend. "&amp;CT26&amp;"%",""))))</f>
        <v/>
      </c>
      <c r="AX26" s="40" t="str">
        <f aca="false">IF(OR(OR(NOT(AND(ISNUMBER(E26),ISNUMBER(F26))),$J$2=""),12&gt;MAX(1,Reprogramaciones!$U$15)),"",IF(Reprogramaciones!V$12&gt;=7,"",IF(OR(CE26-N(CD26)&gt;0.05,N(AB26)&gt;0),ROUNDDOWN(ROUND(CE26,6),0)&amp;"%"&amp;IF(CU26="",""," / "&amp;CU26&amp;"%"),IF(AND(N(CD26)&gt;=99.95,CU26&lt;&gt;"",N(CU26)&lt;100),"Pend. "&amp;CU26&amp;"%",""))))</f>
        <v/>
      </c>
      <c r="AY26" s="40" t="str">
        <f aca="false">IF(OR(OR(NOT(AND(ISNUMBER(E26),ISNUMBER(F26))),$J$2=""),13&gt;MAX(1,Reprogramaciones!$U$15)),"",IF(Reprogramaciones!W$12&gt;=7,"",IF(OR(CF26-N(CE26)&gt;0.05,N(AC26)&gt;0),ROUNDDOWN(ROUND(CF26,6),0)&amp;"%"&amp;IF(CV26="",""," / "&amp;CV26&amp;"%"),IF(AND(N(CE26)&gt;=99.95,CV26&lt;&gt;"",N(CV26)&lt;100),"Pend. "&amp;CV26&amp;"%",""))))</f>
        <v/>
      </c>
      <c r="AZ26" s="40" t="str">
        <f aca="false">IF(OR(OR(NOT(AND(ISNUMBER(E26),ISNUMBER(F26))),$J$2=""),14&gt;MAX(1,Reprogramaciones!$U$15)),"",IF(Reprogramaciones!X$12&gt;=7,"",IF(OR(CG26-N(CF26)&gt;0.05,N(AD26)&gt;0),ROUNDDOWN(ROUND(CG26,6),0)&amp;"%"&amp;IF(CW26="",""," / "&amp;CW26&amp;"%"),IF(AND(N(CF26)&gt;=99.95,CW26&lt;&gt;"",N(CW26)&lt;100),"Pend. "&amp;CW26&amp;"%",""))))</f>
        <v/>
      </c>
      <c r="BA26" s="40" t="str">
        <f aca="false">IF(OR(OR(NOT(AND(ISNUMBER(E26),ISNUMBER(F26))),$J$2=""),15&gt;MAX(1,Reprogramaciones!$U$15)),"",IF(Reprogramaciones!Y$12&gt;=7,"",IF(OR(CH26-N(CG26)&gt;0.05,N(AE26)&gt;0),ROUNDDOWN(ROUND(CH26,6),0)&amp;"%"&amp;IF(CX26="",""," / "&amp;CX26&amp;"%"),IF(AND(N(CG26)&gt;=99.95,CX26&lt;&gt;"",N(CX26)&lt;100),"Pend. "&amp;CX26&amp;"%",""))))</f>
        <v/>
      </c>
      <c r="BB26" s="40" t="str">
        <f aca="false">IF(OR(OR(NOT(AND(ISNUMBER(E26),ISNUMBER(F26))),$J$2=""),16&gt;MAX(1,Reprogramaciones!$U$15)),"",IF(Reprogramaciones!Z$12&gt;=7,"",IF(OR(CI26-N(CH26)&gt;0.05,N(AF26)&gt;0),ROUNDDOWN(ROUND(CI26,6),0)&amp;"%"&amp;IF(CY26="",""," / "&amp;CY26&amp;"%"),IF(AND(N(CH26)&gt;=99.95,CY26&lt;&gt;"",N(CY26)&lt;100),"Pend. "&amp;CY26&amp;"%",""))))</f>
        <v/>
      </c>
      <c r="BC26" s="31" t="n">
        <f aca="false">IF(AND(ISNUMBER(E26),ISNUMBER(F26)),MAX(1,NETWORKDAYS.INTL(E26,F26,11)),0)</f>
        <v>0</v>
      </c>
      <c r="BD26" s="1" t="str">
        <f aca="false">IF(OR(NOT(AND(ISNUMBER(E26),ISNUMBER(F26))),$J$2=""),"",MIN(100,ROUND(SUM($G26:G26),1)))</f>
        <v/>
      </c>
      <c r="BE26" s="1" t="str">
        <f aca="false">IF(OR(NOT(AND(ISNUMBER(E26),ISNUMBER(F26))),$J$2=""),"",MIN(100,ROUND(SUM($G26:H26),1)))</f>
        <v/>
      </c>
      <c r="BF26" s="1" t="str">
        <f aca="false">IF(OR(NOT(AND(ISNUMBER(E26),ISNUMBER(F26))),$J$2=""),"",MIN(100,ROUND(SUM($G26:I26),1)))</f>
        <v/>
      </c>
      <c r="BG26" s="1" t="str">
        <f aca="false">IF(OR(NOT(AND(ISNUMBER(E26),ISNUMBER(F26))),$J$2=""),"",MIN(100,ROUND(SUM($G26:J26),1)))</f>
        <v/>
      </c>
      <c r="BH26" s="1" t="str">
        <f aca="false">IF(OR(NOT(AND(ISNUMBER(E26),ISNUMBER(F26))),$J$2=""),"",MIN(100,ROUND(SUM($G26:K26),1)))</f>
        <v/>
      </c>
      <c r="BI26" s="1" t="str">
        <f aca="false">IF(OR(NOT(AND(ISNUMBER(E26),ISNUMBER(F26))),$J$2=""),"",MIN(100,ROUND(SUM($G26:L26),1)))</f>
        <v/>
      </c>
      <c r="BJ26" s="1" t="str">
        <f aca="false">IF(OR(NOT(AND(ISNUMBER(E26),ISNUMBER(F26))),$J$2=""),"",MIN(100,ROUND(SUM($G26:M26),1)))</f>
        <v/>
      </c>
      <c r="BK26" s="1" t="str">
        <f aca="false">IF(OR(NOT(AND(ISNUMBER(E26),ISNUMBER(F26))),$J$2=""),"",MIN(100,ROUND(SUM($G26:N26),1)))</f>
        <v/>
      </c>
      <c r="BL26" s="1" t="str">
        <f aca="false">IF(OR(NOT(AND(ISNUMBER(E26),ISNUMBER(F26))),$J$2=""),"",MIN(100,ROUND(SUM($G26:O26),1)))</f>
        <v/>
      </c>
      <c r="BM26" s="1" t="str">
        <f aca="false">IF(OR(NOT(AND(ISNUMBER(E26),ISNUMBER(F26))),$J$2=""),"",MIN(100,ROUND(SUM($G26:P26),1)))</f>
        <v/>
      </c>
      <c r="BN26" s="1" t="str">
        <f aca="false">IF(OR(NOT(AND(ISNUMBER(E26),ISNUMBER(F26))),$J$2=""),"",MIN(100,ROUND(SUM($G26:P26),1)))</f>
        <v/>
      </c>
      <c r="BO26" s="1" t="str">
        <f aca="false">IF(OR(NOT(AND(ISNUMBER(E26),ISNUMBER(F26))),$J$2=""),"",MIN(100,ROUND(SUM($G26:P26),1)))</f>
        <v/>
      </c>
      <c r="BP26" s="1" t="str">
        <f aca="false">IF(OR(NOT(AND(ISNUMBER(E26),ISNUMBER(F26))),$J$2=""),"",MIN(100,ROUND(SUM($G26:P26),1)))</f>
        <v/>
      </c>
      <c r="BQ26" s="1" t="str">
        <f aca="false">IF(OR(NOT(AND(ISNUMBER(E26),ISNUMBER(F26))),$J$2=""),"",MIN(100,ROUND(SUM($G26:P26),1)))</f>
        <v/>
      </c>
      <c r="BR26" s="1" t="str">
        <f aca="false">IF(OR(NOT(AND(ISNUMBER(E26),ISNUMBER(F26))),$J$2=""),"",MIN(100,ROUND(SUM($G26:P26),1)))</f>
        <v/>
      </c>
      <c r="BS26" s="1" t="str">
        <f aca="false">IF(OR(NOT(AND(ISNUMBER(E26),ISNUMBER(F26))),$J$2=""),"",MIN(100,ROUND(SUM($G26:P26),1)))</f>
        <v/>
      </c>
      <c r="BT26" s="1" t="str">
        <f aca="false">IF(OR(NOT(AND(ISNUMBER(E26),ISNUMBER(F26))),$J$2=""),"",IF(Reprogramaciones!K$13&lt;Reprogramaciones!$T$15,0,IF(Reprogramaciones!K$14&gt;10,MIN(100,SUM($G26:$P26)),MIN(100,SUMPRODUCT((COLUMN($G26:$P26)-COLUMN($G26)+1&lt;Reprogramaciones!K$14)*$G26:$P26)+N(INDEX($G26:$P26,1,Reprogramaciones!K$14))*IF(Reprogramaciones!K$13&gt;=(Reprogramaciones!$T$15+7*(Reprogramaciones!K$14-1))+6,1,IF(MAX(0,NETWORKDAYS.INTL(MAX(E26,(Reprogramaciones!$T$15+7*(Reprogramaciones!K$14-1))),MIN(F26,(Reprogramaciones!$T$15+7*(Reprogramaciones!K$14-1))+6),11))=0,0,MAX(0,NETWORKDAYS.INTL(MAX(E26,(Reprogramaciones!$T$15+7*(Reprogramaciones!K$14-1))),MIN(F26,Reprogramaciones!K$13),11))/MAX(0,NETWORKDAYS.INTL(MAX(E26,(Reprogramaciones!$T$15+7*(Reprogramaciones!K$14-1))),MIN(F26,(Reprogramaciones!$T$15+7*(Reprogramaciones!K$14-1))+6),11))))))))</f>
        <v/>
      </c>
      <c r="BU26" s="1" t="str">
        <f aca="false">IF(OR(NOT(AND(ISNUMBER(E26),ISNUMBER(F26))),$J$2=""),"",IF(Reprogramaciones!L$13&lt;Reprogramaciones!$T$15,0,IF(Reprogramaciones!L$14&gt;10,MIN(100,SUM($G26:$P26)),MIN(100,SUMPRODUCT((COLUMN($G26:$P26)-COLUMN($G26)+1&lt;Reprogramaciones!L$14)*$G26:$P26)+N(INDEX($G26:$P26,1,Reprogramaciones!L$14))*IF(Reprogramaciones!L$13&gt;=(Reprogramaciones!$T$15+7*(Reprogramaciones!L$14-1))+6,1,IF(MAX(0,NETWORKDAYS.INTL(MAX(E26,(Reprogramaciones!$T$15+7*(Reprogramaciones!L$14-1))),MIN(F26,(Reprogramaciones!$T$15+7*(Reprogramaciones!L$14-1))+6),11))=0,0,MAX(0,NETWORKDAYS.INTL(MAX(E26,(Reprogramaciones!$T$15+7*(Reprogramaciones!L$14-1))),MIN(F26,Reprogramaciones!L$13),11))/MAX(0,NETWORKDAYS.INTL(MAX(E26,(Reprogramaciones!$T$15+7*(Reprogramaciones!L$14-1))),MIN(F26,(Reprogramaciones!$T$15+7*(Reprogramaciones!L$14-1))+6),11))))))))</f>
        <v/>
      </c>
      <c r="BV26" s="1" t="str">
        <f aca="false">IF(OR(NOT(AND(ISNUMBER(E26),ISNUMBER(F26))),$J$2=""),"",IF(Reprogramaciones!M$13&lt;Reprogramaciones!$T$15,0,IF(Reprogramaciones!M$14&gt;10,MIN(100,SUM($G26:$P26)),MIN(100,SUMPRODUCT((COLUMN($G26:$P26)-COLUMN($G26)+1&lt;Reprogramaciones!M$14)*$G26:$P26)+N(INDEX($G26:$P26,1,Reprogramaciones!M$14))*IF(Reprogramaciones!M$13&gt;=(Reprogramaciones!$T$15+7*(Reprogramaciones!M$14-1))+6,1,IF(MAX(0,NETWORKDAYS.INTL(MAX(E26,(Reprogramaciones!$T$15+7*(Reprogramaciones!M$14-1))),MIN(F26,(Reprogramaciones!$T$15+7*(Reprogramaciones!M$14-1))+6),11))=0,0,MAX(0,NETWORKDAYS.INTL(MAX(E26,(Reprogramaciones!$T$15+7*(Reprogramaciones!M$14-1))),MIN(F26,Reprogramaciones!M$13),11))/MAX(0,NETWORKDAYS.INTL(MAX(E26,(Reprogramaciones!$T$15+7*(Reprogramaciones!M$14-1))),MIN(F26,(Reprogramaciones!$T$15+7*(Reprogramaciones!M$14-1))+6),11))))))))</f>
        <v/>
      </c>
      <c r="BW26" s="1" t="str">
        <f aca="false">IF(OR(NOT(AND(ISNUMBER(E26),ISNUMBER(F26))),$J$2=""),"",IF(Reprogramaciones!N$13&lt;Reprogramaciones!$T$15,0,IF(Reprogramaciones!N$14&gt;10,MIN(100,SUM($G26:$P26)),MIN(100,SUMPRODUCT((COLUMN($G26:$P26)-COLUMN($G26)+1&lt;Reprogramaciones!N$14)*$G26:$P26)+N(INDEX($G26:$P26,1,Reprogramaciones!N$14))*IF(Reprogramaciones!N$13&gt;=(Reprogramaciones!$T$15+7*(Reprogramaciones!N$14-1))+6,1,IF(MAX(0,NETWORKDAYS.INTL(MAX(E26,(Reprogramaciones!$T$15+7*(Reprogramaciones!N$14-1))),MIN(F26,(Reprogramaciones!$T$15+7*(Reprogramaciones!N$14-1))+6),11))=0,0,MAX(0,NETWORKDAYS.INTL(MAX(E26,(Reprogramaciones!$T$15+7*(Reprogramaciones!N$14-1))),MIN(F26,Reprogramaciones!N$13),11))/MAX(0,NETWORKDAYS.INTL(MAX(E26,(Reprogramaciones!$T$15+7*(Reprogramaciones!N$14-1))),MIN(F26,(Reprogramaciones!$T$15+7*(Reprogramaciones!N$14-1))+6),11))))))))</f>
        <v/>
      </c>
      <c r="BX26" s="1" t="str">
        <f aca="false">IF(OR(NOT(AND(ISNUMBER(E26),ISNUMBER(F26))),$J$2=""),"",IF(Reprogramaciones!O$13&lt;Reprogramaciones!$T$15,0,IF(Reprogramaciones!O$14&gt;10,MIN(100,SUM($G26:$P26)),MIN(100,SUMPRODUCT((COLUMN($G26:$P26)-COLUMN($G26)+1&lt;Reprogramaciones!O$14)*$G26:$P26)+N(INDEX($G26:$P26,1,Reprogramaciones!O$14))*IF(Reprogramaciones!O$13&gt;=(Reprogramaciones!$T$15+7*(Reprogramaciones!O$14-1))+6,1,IF(MAX(0,NETWORKDAYS.INTL(MAX(E26,(Reprogramaciones!$T$15+7*(Reprogramaciones!O$14-1))),MIN(F26,(Reprogramaciones!$T$15+7*(Reprogramaciones!O$14-1))+6),11))=0,0,MAX(0,NETWORKDAYS.INTL(MAX(E26,(Reprogramaciones!$T$15+7*(Reprogramaciones!O$14-1))),MIN(F26,Reprogramaciones!O$13),11))/MAX(0,NETWORKDAYS.INTL(MAX(E26,(Reprogramaciones!$T$15+7*(Reprogramaciones!O$14-1))),MIN(F26,(Reprogramaciones!$T$15+7*(Reprogramaciones!O$14-1))+6),11))))))))</f>
        <v/>
      </c>
      <c r="BY26" s="1" t="str">
        <f aca="false">IF(OR(NOT(AND(ISNUMBER(E26),ISNUMBER(F26))),$J$2=""),"",IF(Reprogramaciones!P$13&lt;Reprogramaciones!$T$15,0,IF(Reprogramaciones!P$14&gt;10,MIN(100,SUM($G26:$P26)),MIN(100,SUMPRODUCT((COLUMN($G26:$P26)-COLUMN($G26)+1&lt;Reprogramaciones!P$14)*$G26:$P26)+N(INDEX($G26:$P26,1,Reprogramaciones!P$14))*IF(Reprogramaciones!P$13&gt;=(Reprogramaciones!$T$15+7*(Reprogramaciones!P$14-1))+6,1,IF(MAX(0,NETWORKDAYS.INTL(MAX(E26,(Reprogramaciones!$T$15+7*(Reprogramaciones!P$14-1))),MIN(F26,(Reprogramaciones!$T$15+7*(Reprogramaciones!P$14-1))+6),11))=0,0,MAX(0,NETWORKDAYS.INTL(MAX(E26,(Reprogramaciones!$T$15+7*(Reprogramaciones!P$14-1))),MIN(F26,Reprogramaciones!P$13),11))/MAX(0,NETWORKDAYS.INTL(MAX(E26,(Reprogramaciones!$T$15+7*(Reprogramaciones!P$14-1))),MIN(F26,(Reprogramaciones!$T$15+7*(Reprogramaciones!P$14-1))+6),11))))))))</f>
        <v/>
      </c>
      <c r="BZ26" s="1" t="str">
        <f aca="false">IF(OR(NOT(AND(ISNUMBER(E26),ISNUMBER(F26))),$J$2=""),"",IF(Reprogramaciones!Q$13&lt;Reprogramaciones!$T$15,0,IF(Reprogramaciones!Q$14&gt;10,MIN(100,SUM($G26:$P26)),MIN(100,SUMPRODUCT((COLUMN($G26:$P26)-COLUMN($G26)+1&lt;Reprogramaciones!Q$14)*$G26:$P26)+N(INDEX($G26:$P26,1,Reprogramaciones!Q$14))*IF(Reprogramaciones!Q$13&gt;=(Reprogramaciones!$T$15+7*(Reprogramaciones!Q$14-1))+6,1,IF(MAX(0,NETWORKDAYS.INTL(MAX(E26,(Reprogramaciones!$T$15+7*(Reprogramaciones!Q$14-1))),MIN(F26,(Reprogramaciones!$T$15+7*(Reprogramaciones!Q$14-1))+6),11))=0,0,MAX(0,NETWORKDAYS.INTL(MAX(E26,(Reprogramaciones!$T$15+7*(Reprogramaciones!Q$14-1))),MIN(F26,Reprogramaciones!Q$13),11))/MAX(0,NETWORKDAYS.INTL(MAX(E26,(Reprogramaciones!$T$15+7*(Reprogramaciones!Q$14-1))),MIN(F26,(Reprogramaciones!$T$15+7*(Reprogramaciones!Q$14-1))+6),11))))))))</f>
        <v/>
      </c>
      <c r="CA26" s="1" t="str">
        <f aca="false">IF(OR(NOT(AND(ISNUMBER(E26),ISNUMBER(F26))),$J$2=""),"",IF(Reprogramaciones!R$13&lt;Reprogramaciones!$T$15,0,IF(Reprogramaciones!R$14&gt;10,MIN(100,SUM($G26:$P26)),MIN(100,SUMPRODUCT((COLUMN($G26:$P26)-COLUMN($G26)+1&lt;Reprogramaciones!R$14)*$G26:$P26)+N(INDEX($G26:$P26,1,Reprogramaciones!R$14))*IF(Reprogramaciones!R$13&gt;=(Reprogramaciones!$T$15+7*(Reprogramaciones!R$14-1))+6,1,IF(MAX(0,NETWORKDAYS.INTL(MAX(E26,(Reprogramaciones!$T$15+7*(Reprogramaciones!R$14-1))),MIN(F26,(Reprogramaciones!$T$15+7*(Reprogramaciones!R$14-1))+6),11))=0,0,MAX(0,NETWORKDAYS.INTL(MAX(E26,(Reprogramaciones!$T$15+7*(Reprogramaciones!R$14-1))),MIN(F26,Reprogramaciones!R$13),11))/MAX(0,NETWORKDAYS.INTL(MAX(E26,(Reprogramaciones!$T$15+7*(Reprogramaciones!R$14-1))),MIN(F26,(Reprogramaciones!$T$15+7*(Reprogramaciones!R$14-1))+6),11))))))))</f>
        <v/>
      </c>
      <c r="CB26" s="1" t="str">
        <f aca="false">IF(OR(NOT(AND(ISNUMBER(E26),ISNUMBER(F26))),$J$2=""),"",IF(Reprogramaciones!S$13&lt;Reprogramaciones!$T$15,0,IF(Reprogramaciones!S$14&gt;10,MIN(100,SUM($G26:$P26)),MIN(100,SUMPRODUCT((COLUMN($G26:$P26)-COLUMN($G26)+1&lt;Reprogramaciones!S$14)*$G26:$P26)+N(INDEX($G26:$P26,1,Reprogramaciones!S$14))*IF(Reprogramaciones!S$13&gt;=(Reprogramaciones!$T$15+7*(Reprogramaciones!S$14-1))+6,1,IF(MAX(0,NETWORKDAYS.INTL(MAX(E26,(Reprogramaciones!$T$15+7*(Reprogramaciones!S$14-1))),MIN(F26,(Reprogramaciones!$T$15+7*(Reprogramaciones!S$14-1))+6),11))=0,0,MAX(0,NETWORKDAYS.INTL(MAX(E26,(Reprogramaciones!$T$15+7*(Reprogramaciones!S$14-1))),MIN(F26,Reprogramaciones!S$13),11))/MAX(0,NETWORKDAYS.INTL(MAX(E26,(Reprogramaciones!$T$15+7*(Reprogramaciones!S$14-1))),MIN(F26,(Reprogramaciones!$T$15+7*(Reprogramaciones!S$14-1))+6),11))))))))</f>
        <v/>
      </c>
      <c r="CC26" s="1" t="str">
        <f aca="false">IF(OR(NOT(AND(ISNUMBER(E26),ISNUMBER(F26))),$J$2=""),"",IF(Reprogramaciones!T$13&lt;Reprogramaciones!$T$15,0,IF(Reprogramaciones!T$14&gt;10,MIN(100,SUM($G26:$P26)),MIN(100,SUMPRODUCT((COLUMN($G26:$P26)-COLUMN($G26)+1&lt;Reprogramaciones!T$14)*$G26:$P26)+N(INDEX($G26:$P26,1,Reprogramaciones!T$14))*IF(Reprogramaciones!T$13&gt;=(Reprogramaciones!$T$15+7*(Reprogramaciones!T$14-1))+6,1,IF(MAX(0,NETWORKDAYS.INTL(MAX(E26,(Reprogramaciones!$T$15+7*(Reprogramaciones!T$14-1))),MIN(F26,(Reprogramaciones!$T$15+7*(Reprogramaciones!T$14-1))+6),11))=0,0,MAX(0,NETWORKDAYS.INTL(MAX(E26,(Reprogramaciones!$T$15+7*(Reprogramaciones!T$14-1))),MIN(F26,Reprogramaciones!T$13),11))/MAX(0,NETWORKDAYS.INTL(MAX(E26,(Reprogramaciones!$T$15+7*(Reprogramaciones!T$14-1))),MIN(F26,(Reprogramaciones!$T$15+7*(Reprogramaciones!T$14-1))+6),11))))))))</f>
        <v/>
      </c>
      <c r="CD26" s="1" t="str">
        <f aca="false">IF(OR(NOT(AND(ISNUMBER(E26),ISNUMBER(F26))),$J$2=""),"",IF(Reprogramaciones!U$13&lt;Reprogramaciones!$T$15,0,IF(Reprogramaciones!U$14&gt;10,MIN(100,SUM($G26:$P26)),MIN(100,SUMPRODUCT((COLUMN($G26:$P26)-COLUMN($G26)+1&lt;Reprogramaciones!U$14)*$G26:$P26)+N(INDEX($G26:$P26,1,Reprogramaciones!U$14))*IF(Reprogramaciones!U$13&gt;=(Reprogramaciones!$T$15+7*(Reprogramaciones!U$14-1))+6,1,IF(MAX(0,NETWORKDAYS.INTL(MAX(E26,(Reprogramaciones!$T$15+7*(Reprogramaciones!U$14-1))),MIN(F26,(Reprogramaciones!$T$15+7*(Reprogramaciones!U$14-1))+6),11))=0,0,MAX(0,NETWORKDAYS.INTL(MAX(E26,(Reprogramaciones!$T$15+7*(Reprogramaciones!U$14-1))),MIN(F26,Reprogramaciones!U$13),11))/MAX(0,NETWORKDAYS.INTL(MAX(E26,(Reprogramaciones!$T$15+7*(Reprogramaciones!U$14-1))),MIN(F26,(Reprogramaciones!$T$15+7*(Reprogramaciones!U$14-1))+6),11))))))))</f>
        <v/>
      </c>
      <c r="CE26" s="1" t="str">
        <f aca="false">IF(OR(NOT(AND(ISNUMBER(E26),ISNUMBER(F26))),$J$2=""),"",IF(Reprogramaciones!V$13&lt;Reprogramaciones!$T$15,0,IF(Reprogramaciones!V$14&gt;10,MIN(100,SUM($G26:$P26)),MIN(100,SUMPRODUCT((COLUMN($G26:$P26)-COLUMN($G26)+1&lt;Reprogramaciones!V$14)*$G26:$P26)+N(INDEX($G26:$P26,1,Reprogramaciones!V$14))*IF(Reprogramaciones!V$13&gt;=(Reprogramaciones!$T$15+7*(Reprogramaciones!V$14-1))+6,1,IF(MAX(0,NETWORKDAYS.INTL(MAX(E26,(Reprogramaciones!$T$15+7*(Reprogramaciones!V$14-1))),MIN(F26,(Reprogramaciones!$T$15+7*(Reprogramaciones!V$14-1))+6),11))=0,0,MAX(0,NETWORKDAYS.INTL(MAX(E26,(Reprogramaciones!$T$15+7*(Reprogramaciones!V$14-1))),MIN(F26,Reprogramaciones!V$13),11))/MAX(0,NETWORKDAYS.INTL(MAX(E26,(Reprogramaciones!$T$15+7*(Reprogramaciones!V$14-1))),MIN(F26,(Reprogramaciones!$T$15+7*(Reprogramaciones!V$14-1))+6),11))))))))</f>
        <v/>
      </c>
      <c r="CF26" s="1" t="str">
        <f aca="false">IF(OR(NOT(AND(ISNUMBER(E26),ISNUMBER(F26))),$J$2=""),"",IF(Reprogramaciones!W$13&lt;Reprogramaciones!$T$15,0,IF(Reprogramaciones!W$14&gt;10,MIN(100,SUM($G26:$P26)),MIN(100,SUMPRODUCT((COLUMN($G26:$P26)-COLUMN($G26)+1&lt;Reprogramaciones!W$14)*$G26:$P26)+N(INDEX($G26:$P26,1,Reprogramaciones!W$14))*IF(Reprogramaciones!W$13&gt;=(Reprogramaciones!$T$15+7*(Reprogramaciones!W$14-1))+6,1,IF(MAX(0,NETWORKDAYS.INTL(MAX(E26,(Reprogramaciones!$T$15+7*(Reprogramaciones!W$14-1))),MIN(F26,(Reprogramaciones!$T$15+7*(Reprogramaciones!W$14-1))+6),11))=0,0,MAX(0,NETWORKDAYS.INTL(MAX(E26,(Reprogramaciones!$T$15+7*(Reprogramaciones!W$14-1))),MIN(F26,Reprogramaciones!W$13),11))/MAX(0,NETWORKDAYS.INTL(MAX(E26,(Reprogramaciones!$T$15+7*(Reprogramaciones!W$14-1))),MIN(F26,(Reprogramaciones!$T$15+7*(Reprogramaciones!W$14-1))+6),11))))))))</f>
        <v/>
      </c>
      <c r="CG26" s="1" t="str">
        <f aca="false">IF(OR(NOT(AND(ISNUMBER(E26),ISNUMBER(F26))),$J$2=""),"",IF(Reprogramaciones!X$13&lt;Reprogramaciones!$T$15,0,IF(Reprogramaciones!X$14&gt;10,MIN(100,SUM($G26:$P26)),MIN(100,SUMPRODUCT((COLUMN($G26:$P26)-COLUMN($G26)+1&lt;Reprogramaciones!X$14)*$G26:$P26)+N(INDEX($G26:$P26,1,Reprogramaciones!X$14))*IF(Reprogramaciones!X$13&gt;=(Reprogramaciones!$T$15+7*(Reprogramaciones!X$14-1))+6,1,IF(MAX(0,NETWORKDAYS.INTL(MAX(E26,(Reprogramaciones!$T$15+7*(Reprogramaciones!X$14-1))),MIN(F26,(Reprogramaciones!$T$15+7*(Reprogramaciones!X$14-1))+6),11))=0,0,MAX(0,NETWORKDAYS.INTL(MAX(E26,(Reprogramaciones!$T$15+7*(Reprogramaciones!X$14-1))),MIN(F26,Reprogramaciones!X$13),11))/MAX(0,NETWORKDAYS.INTL(MAX(E26,(Reprogramaciones!$T$15+7*(Reprogramaciones!X$14-1))),MIN(F26,(Reprogramaciones!$T$15+7*(Reprogramaciones!X$14-1))+6),11))))))))</f>
        <v/>
      </c>
      <c r="CH26" s="1" t="str">
        <f aca="false">IF(OR(NOT(AND(ISNUMBER(E26),ISNUMBER(F26))),$J$2=""),"",IF(Reprogramaciones!Y$13&lt;Reprogramaciones!$T$15,0,IF(Reprogramaciones!Y$14&gt;10,MIN(100,SUM($G26:$P26)),MIN(100,SUMPRODUCT((COLUMN($G26:$P26)-COLUMN($G26)+1&lt;Reprogramaciones!Y$14)*$G26:$P26)+N(INDEX($G26:$P26,1,Reprogramaciones!Y$14))*IF(Reprogramaciones!Y$13&gt;=(Reprogramaciones!$T$15+7*(Reprogramaciones!Y$14-1))+6,1,IF(MAX(0,NETWORKDAYS.INTL(MAX(E26,(Reprogramaciones!$T$15+7*(Reprogramaciones!Y$14-1))),MIN(F26,(Reprogramaciones!$T$15+7*(Reprogramaciones!Y$14-1))+6),11))=0,0,MAX(0,NETWORKDAYS.INTL(MAX(E26,(Reprogramaciones!$T$15+7*(Reprogramaciones!Y$14-1))),MIN(F26,Reprogramaciones!Y$13),11))/MAX(0,NETWORKDAYS.INTL(MAX(E26,(Reprogramaciones!$T$15+7*(Reprogramaciones!Y$14-1))),MIN(F26,(Reprogramaciones!$T$15+7*(Reprogramaciones!Y$14-1))+6),11))))))))</f>
        <v/>
      </c>
      <c r="CI26" s="1" t="str">
        <f aca="false">IF(OR(NOT(AND(ISNUMBER(E26),ISNUMBER(F26))),$J$2=""),"",IF(Reprogramaciones!Z$13&lt;Reprogramaciones!$T$15,0,IF(Reprogramaciones!Z$14&gt;10,MIN(100,SUM($G26:$P26)),MIN(100,SUMPRODUCT((COLUMN($G26:$P26)-COLUMN($G26)+1&lt;Reprogramaciones!Z$14)*$G26:$P26)+N(INDEX($G26:$P26,1,Reprogramaciones!Z$14))*IF(Reprogramaciones!Z$13&gt;=(Reprogramaciones!$T$15+7*(Reprogramaciones!Z$14-1))+6,1,IF(MAX(0,NETWORKDAYS.INTL(MAX(E26,(Reprogramaciones!$T$15+7*(Reprogramaciones!Z$14-1))),MIN(F26,(Reprogramaciones!$T$15+7*(Reprogramaciones!Z$14-1))+6),11))=0,0,MAX(0,NETWORKDAYS.INTL(MAX(E26,(Reprogramaciones!$T$15+7*(Reprogramaciones!Z$14-1))),MIN(F26,Reprogramaciones!Z$13),11))/MAX(0,NETWORKDAYS.INTL(MAX(E26,(Reprogramaciones!$T$15+7*(Reprogramaciones!Z$14-1))),MIN(F26,(Reprogramaciones!$T$15+7*(Reprogramaciones!Z$14-1))+6),11))))))))</f>
        <v/>
      </c>
      <c r="CJ26" s="1" t="str">
        <f aca="false">IF(OR(OR(NOT(AND(ISNUMBER(E26),ISNUMBER(F26))),$J$2=""),1&gt;Reprogramaciones!$K$16),"",IF(ROUND(SUM($Q26:Q26),1)&gt;=99.5,100,MIN(100,ROUND(SUM($Q26:Q26),1))))</f>
        <v/>
      </c>
      <c r="CK26" s="1" t="str">
        <f aca="false">IF(OR(OR(NOT(AND(ISNUMBER(E26),ISNUMBER(F26))),$J$2=""),2&gt;Reprogramaciones!$K$16),"",IF(ROUND(SUM($Q26:R26),1)&gt;=99.5,100,MIN(100,ROUND(SUM($Q26:R26),1))))</f>
        <v/>
      </c>
      <c r="CL26" s="1" t="str">
        <f aca="false">IF(OR(OR(NOT(AND(ISNUMBER(E26),ISNUMBER(F26))),$J$2=""),3&gt;Reprogramaciones!$K$16),"",IF(ROUND(SUM($Q26:S26),1)&gt;=99.5,100,MIN(100,ROUND(SUM($Q26:S26),1))))</f>
        <v/>
      </c>
      <c r="CM26" s="1" t="str">
        <f aca="false">IF(OR(OR(NOT(AND(ISNUMBER(E26),ISNUMBER(F26))),$J$2=""),4&gt;Reprogramaciones!$K$16),"",IF(ROUND(SUM($Q26:T26),1)&gt;=99.5,100,MIN(100,ROUND(SUM($Q26:T26),1))))</f>
        <v/>
      </c>
      <c r="CN26" s="1" t="str">
        <f aca="false">IF(OR(OR(NOT(AND(ISNUMBER(E26),ISNUMBER(F26))),$J$2=""),5&gt;Reprogramaciones!$K$16),"",IF(ROUND(SUM($Q26:U26),1)&gt;=99.5,100,MIN(100,ROUND(SUM($Q26:U26),1))))</f>
        <v/>
      </c>
      <c r="CO26" s="1" t="str">
        <f aca="false">IF(OR(OR(NOT(AND(ISNUMBER(E26),ISNUMBER(F26))),$J$2=""),6&gt;Reprogramaciones!$K$16),"",IF(ROUND(SUM($Q26:V26),1)&gt;=99.5,100,MIN(100,ROUND(SUM($Q26:V26),1))))</f>
        <v/>
      </c>
      <c r="CP26" s="1" t="str">
        <f aca="false">IF(OR(OR(NOT(AND(ISNUMBER(E26),ISNUMBER(F26))),$J$2=""),7&gt;Reprogramaciones!$K$16),"",IF(ROUND(SUM($Q26:W26),1)&gt;=99.5,100,MIN(100,ROUND(SUM($Q26:W26),1))))</f>
        <v/>
      </c>
      <c r="CQ26" s="1" t="str">
        <f aca="false">IF(OR(OR(NOT(AND(ISNUMBER(E26),ISNUMBER(F26))),$J$2=""),8&gt;Reprogramaciones!$K$16),"",IF(ROUND(SUM($Q26:X26),1)&gt;=99.5,100,MIN(100,ROUND(SUM($Q26:X26),1))))</f>
        <v/>
      </c>
      <c r="CR26" s="1" t="str">
        <f aca="false">IF(OR(OR(NOT(AND(ISNUMBER(E26),ISNUMBER(F26))),$J$2=""),9&gt;Reprogramaciones!$K$16),"",IF(ROUND(SUM($Q26:Y26),1)&gt;=99.5,100,MIN(100,ROUND(SUM($Q26:Y26),1))))</f>
        <v/>
      </c>
      <c r="CS26" s="1" t="str">
        <f aca="false">IF(OR(OR(NOT(AND(ISNUMBER(E26),ISNUMBER(F26))),$J$2=""),10&gt;Reprogramaciones!$K$16),"",IF(ROUND(SUM($Q26:Z26),1)&gt;=99.5,100,MIN(100,ROUND(SUM($Q26:Z26),1))))</f>
        <v/>
      </c>
      <c r="CT26" s="1" t="str">
        <f aca="false">IF(OR(OR(NOT(AND(ISNUMBER(E26),ISNUMBER(F26))),$J$2=""),11&gt;Reprogramaciones!$K$16),"",IF(ROUND(SUM($Q26:AA26),1)&gt;=99.5,100,MIN(100,ROUND(SUM($Q26:AA26),1))))</f>
        <v/>
      </c>
      <c r="CU26" s="1" t="str">
        <f aca="false">IF(OR(OR(NOT(AND(ISNUMBER(E26),ISNUMBER(F26))),$J$2=""),12&gt;Reprogramaciones!$K$16),"",IF(ROUND(SUM($Q26:AB26),1)&gt;=99.5,100,MIN(100,ROUND(SUM($Q26:AB26),1))))</f>
        <v/>
      </c>
      <c r="CV26" s="1" t="str">
        <f aca="false">IF(OR(OR(NOT(AND(ISNUMBER(E26),ISNUMBER(F26))),$J$2=""),13&gt;Reprogramaciones!$K$16),"",IF(ROUND(SUM($Q26:AC26),1)&gt;=99.5,100,MIN(100,ROUND(SUM($Q26:AC26),1))))</f>
        <v/>
      </c>
      <c r="CW26" s="1" t="str">
        <f aca="false">IF(OR(OR(NOT(AND(ISNUMBER(E26),ISNUMBER(F26))),$J$2=""),14&gt;Reprogramaciones!$K$16),"",IF(ROUND(SUM($Q26:AD26),1)&gt;=99.5,100,MIN(100,ROUND(SUM($Q26:AD26),1))))</f>
        <v/>
      </c>
      <c r="CX26" s="1" t="str">
        <f aca="false">IF(OR(OR(NOT(AND(ISNUMBER(E26),ISNUMBER(F26))),$J$2=""),15&gt;Reprogramaciones!$K$16),"",IF(ROUND(SUM($Q26:AE26),1)&gt;=99.5,100,MIN(100,ROUND(SUM($Q26:AE26),1))))</f>
        <v/>
      </c>
      <c r="CY26" s="1" t="str">
        <f aca="false">IF(OR(OR(NOT(AND(ISNUMBER(E26),ISNUMBER(F26))),$J$2=""),16&gt;Reprogramaciones!$K$16),"",IF(ROUND(SUM($Q26:AF26),1)&gt;=99.5,100,MIN(100,ROUND(SUM($Q26:AF26),1))))</f>
        <v/>
      </c>
      <c r="CZ26" s="1" t="str">
        <f aca="false">IF(D26&lt;&gt;"",D26,IF(B26&lt;&gt;"","Contractual",CZ25))</f>
        <v>Contractual</v>
      </c>
      <c r="DA26" s="1" t="str">
        <f aca="false">IF(OR(NOT(AND(ISNUMBER(E26),ISNUMBER(F26))),$J$2=""),"",IF(Reprogramaciones!$Q$15&lt;Reprogramaciones!$T$15,0,IF(Reprogramaciones!$S$15&gt;10,MIN(100,SUM($G26:$P26)),MIN(100,SUMPRODUCT((COLUMN($G26:$P26)-COLUMN($G26)+1&lt;Reprogramaciones!$S$15)*$G26:$P26)+N(INDEX($G26:$P26,1,Reprogramaciones!$S$15))*IF(Reprogramaciones!$Q$15&gt;=(Reprogramaciones!$T$15+7*(Reprogramaciones!$S$15-1))+6,1,IF(MAX(0,NETWORKDAYS.INTL(MAX(E26,(Reprogramaciones!$T$15+7*(Reprogramaciones!$S$15-1))),MIN(F26,(Reprogramaciones!$T$15+7*(Reprogramaciones!$S$15-1))+6),11))=0,0,MAX(0,NETWORKDAYS.INTL(MAX(E26,(Reprogramaciones!$T$15+7*(Reprogramaciones!$S$15-1))),MIN(F26,Reprogramaciones!$Q$15),11))/MAX(0,NETWORKDAYS.INTL(MAX(E26,(Reprogramaciones!$T$15+7*(Reprogramaciones!$S$15-1))),MIN(F26,(Reprogramaciones!$T$15+7*(Reprogramaciones!$S$15-1))+6),11))))))))</f>
        <v/>
      </c>
    </row>
    <row r="27" customFormat="false" ht="15" hidden="false" customHeight="false" outlineLevel="0" collapsed="false">
      <c r="A27" s="32" t="s">
        <v>195</v>
      </c>
      <c r="B27" s="33"/>
      <c r="C27" s="33" t="s">
        <v>196</v>
      </c>
      <c r="D27" s="34"/>
      <c r="E27" s="35" t="n">
        <v>46296</v>
      </c>
      <c r="F27" s="35" t="n">
        <v>46301</v>
      </c>
      <c r="G27" s="36" t="n">
        <f aca="false">IF(OR(NOT(AND(ISNUMBER(E27),ISNUMBER(F27))),$J$2=""),"",IF(Reprogramaciones!K$9&lt;E27,0,IF(NETWORKDAYS.INTL(E27,F27,11)=0,IF(Reprogramaciones!K$9&gt;=F27,100,0),ROUND(NETWORKDAYS.INTL(E27,MIN(F27,Reprogramaciones!K$9),11)/NETWORKDAYS.INTL(E27,F27,11)*100,1)))-0)</f>
        <v>0</v>
      </c>
      <c r="H27" s="36" t="n">
        <f aca="false">IF(OR(NOT(AND(ISNUMBER(E27),ISNUMBER(F27))),$J$2=""),"",IF(Reprogramaciones!L$9&lt;E27,0,IF(NETWORKDAYS.INTL(E27,F27,11)=0,IF(Reprogramaciones!L$9&gt;=F27,100,0),ROUND(NETWORKDAYS.INTL(E27,MIN(F27,Reprogramaciones!L$9),11)/NETWORKDAYS.INTL(E27,F27,11)*100,1)))-IF(Reprogramaciones!K$9&lt;E27,0,IF(NETWORKDAYS.INTL(E27,F27,11)=0,IF(Reprogramaciones!K$9&gt;=F27,100,0),ROUND(NETWORKDAYS.INTL(E27,MIN(F27,Reprogramaciones!K$9),11)/NETWORKDAYS.INTL(E27,F27,11)*100,1))))</f>
        <v>60</v>
      </c>
      <c r="I27" s="36" t="n">
        <f aca="false">IF(OR(NOT(AND(ISNUMBER(E27),ISNUMBER(F27))),$J$2=""),"",IF(Reprogramaciones!M$9&lt;E27,0,IF(NETWORKDAYS.INTL(E27,F27,11)=0,IF(Reprogramaciones!M$9&gt;=F27,100,0),ROUND(NETWORKDAYS.INTL(E27,MIN(F27,Reprogramaciones!M$9),11)/NETWORKDAYS.INTL(E27,F27,11)*100,1)))-IF(Reprogramaciones!L$9&lt;E27,0,IF(NETWORKDAYS.INTL(E27,F27,11)=0,IF(Reprogramaciones!L$9&gt;=F27,100,0),ROUND(NETWORKDAYS.INTL(E27,MIN(F27,Reprogramaciones!L$9),11)/NETWORKDAYS.INTL(E27,F27,11)*100,1))))</f>
        <v>40</v>
      </c>
      <c r="J27" s="36" t="n">
        <f aca="false">IF(OR(NOT(AND(ISNUMBER(E27),ISNUMBER(F27))),$J$2=""),"",IF(Reprogramaciones!N$9&lt;E27,0,IF(NETWORKDAYS.INTL(E27,F27,11)=0,IF(Reprogramaciones!N$9&gt;=F27,100,0),ROUND(NETWORKDAYS.INTL(E27,MIN(F27,Reprogramaciones!N$9),11)/NETWORKDAYS.INTL(E27,F27,11)*100,1)))-IF(Reprogramaciones!M$9&lt;E27,0,IF(NETWORKDAYS.INTL(E27,F27,11)=0,IF(Reprogramaciones!M$9&gt;=F27,100,0),ROUND(NETWORKDAYS.INTL(E27,MIN(F27,Reprogramaciones!M$9),11)/NETWORKDAYS.INTL(E27,F27,11)*100,1))))</f>
        <v>0</v>
      </c>
      <c r="K27" s="36" t="n">
        <f aca="false">IF(OR(NOT(AND(ISNUMBER(E27),ISNUMBER(F27))),$J$2=""),"",IF(Reprogramaciones!O$9&lt;E27,0,IF(NETWORKDAYS.INTL(E27,F27,11)=0,IF(Reprogramaciones!O$9&gt;=F27,100,0),ROUND(NETWORKDAYS.INTL(E27,MIN(F27,Reprogramaciones!O$9),11)/NETWORKDAYS.INTL(E27,F27,11)*100,1)))-IF(Reprogramaciones!N$9&lt;E27,0,IF(NETWORKDAYS.INTL(E27,F27,11)=0,IF(Reprogramaciones!N$9&gt;=F27,100,0),ROUND(NETWORKDAYS.INTL(E27,MIN(F27,Reprogramaciones!N$9),11)/NETWORKDAYS.INTL(E27,F27,11)*100,1))))</f>
        <v>0</v>
      </c>
      <c r="L27" s="36" t="n">
        <f aca="false">IF(OR(NOT(AND(ISNUMBER(E27),ISNUMBER(F27))),$J$2=""),"",IF(Reprogramaciones!P$9&lt;E27,0,IF(NETWORKDAYS.INTL(E27,F27,11)=0,IF(Reprogramaciones!P$9&gt;=F27,100,0),ROUND(NETWORKDAYS.INTL(E27,MIN(F27,Reprogramaciones!P$9),11)/NETWORKDAYS.INTL(E27,F27,11)*100,1)))-IF(Reprogramaciones!O$9&lt;E27,0,IF(NETWORKDAYS.INTL(E27,F27,11)=0,IF(Reprogramaciones!O$9&gt;=F27,100,0),ROUND(NETWORKDAYS.INTL(E27,MIN(F27,Reprogramaciones!O$9),11)/NETWORKDAYS.INTL(E27,F27,11)*100,1))))</f>
        <v>0</v>
      </c>
      <c r="M27" s="36" t="n">
        <f aca="false">IF(OR(NOT(AND(ISNUMBER(E27),ISNUMBER(F27))),$J$2=""),"",IF(Reprogramaciones!Q$9&lt;E27,0,IF(NETWORKDAYS.INTL(E27,F27,11)=0,IF(Reprogramaciones!Q$9&gt;=F27,100,0),ROUND(NETWORKDAYS.INTL(E27,MIN(F27,Reprogramaciones!Q$9),11)/NETWORKDAYS.INTL(E27,F27,11)*100,1)))-IF(Reprogramaciones!P$9&lt;E27,0,IF(NETWORKDAYS.INTL(E27,F27,11)=0,IF(Reprogramaciones!P$9&gt;=F27,100,0),ROUND(NETWORKDAYS.INTL(E27,MIN(F27,Reprogramaciones!P$9),11)/NETWORKDAYS.INTL(E27,F27,11)*100,1))))</f>
        <v>0</v>
      </c>
      <c r="N27" s="36" t="n">
        <f aca="false">IF(OR(NOT(AND(ISNUMBER(E27),ISNUMBER(F27))),$J$2=""),"",IF(Reprogramaciones!R$9&lt;E27,0,IF(NETWORKDAYS.INTL(E27,F27,11)=0,IF(Reprogramaciones!R$9&gt;=F27,100,0),ROUND(NETWORKDAYS.INTL(E27,MIN(F27,Reprogramaciones!R$9),11)/NETWORKDAYS.INTL(E27,F27,11)*100,1)))-IF(Reprogramaciones!Q$9&lt;E27,0,IF(NETWORKDAYS.INTL(E27,F27,11)=0,IF(Reprogramaciones!Q$9&gt;=F27,100,0),ROUND(NETWORKDAYS.INTL(E27,MIN(F27,Reprogramaciones!Q$9),11)/NETWORKDAYS.INTL(E27,F27,11)*100,1))))</f>
        <v>0</v>
      </c>
      <c r="O27" s="36" t="n">
        <f aca="false">IF(OR(NOT(AND(ISNUMBER(E27),ISNUMBER(F27))),$J$2=""),"",IF(Reprogramaciones!S$9&lt;E27,0,IF(NETWORKDAYS.INTL(E27,F27,11)=0,IF(Reprogramaciones!S$9&gt;=F27,100,0),ROUND(NETWORKDAYS.INTL(E27,MIN(F27,Reprogramaciones!S$9),11)/NETWORKDAYS.INTL(E27,F27,11)*100,1)))-IF(Reprogramaciones!R$9&lt;E27,0,IF(NETWORKDAYS.INTL(E27,F27,11)=0,IF(Reprogramaciones!R$9&gt;=F27,100,0),ROUND(NETWORKDAYS.INTL(E27,MIN(F27,Reprogramaciones!R$9),11)/NETWORKDAYS.INTL(E27,F27,11)*100,1))))</f>
        <v>0</v>
      </c>
      <c r="P27" s="36" t="n">
        <f aca="false">IF(OR(NOT(AND(ISNUMBER(E27),ISNUMBER(F27))),$J$2=""),"",IF(Reprogramaciones!T$9&lt;E27,0,IF(NETWORKDAYS.INTL(E27,F27,11)=0,IF(Reprogramaciones!T$9&gt;=F27,100,0),ROUND(NETWORKDAYS.INTL(E27,MIN(F27,Reprogramaciones!T$9),11)/NETWORKDAYS.INTL(E27,F27,11)*100,1)))-IF(Reprogramaciones!S$9&lt;E27,0,IF(NETWORKDAYS.INTL(E27,F27,11)=0,IF(Reprogramaciones!S$9&gt;=F27,100,0),ROUND(NETWORKDAYS.INTL(E27,MIN(F27,Reprogramaciones!S$9),11)/NETWORKDAYS.INTL(E27,F27,11)*100,1))))</f>
        <v>0</v>
      </c>
      <c r="Q27" s="37"/>
      <c r="R27" s="37" t="n">
        <v>60</v>
      </c>
      <c r="S27" s="37" t="n">
        <v>40</v>
      </c>
      <c r="T27" s="37"/>
      <c r="U27" s="37"/>
      <c r="V27" s="37"/>
      <c r="W27" s="37"/>
      <c r="X27" s="37"/>
      <c r="Y27" s="37"/>
      <c r="Z27" s="37"/>
      <c r="AA27" s="37"/>
      <c r="AB27" s="37"/>
      <c r="AC27" s="37"/>
      <c r="AD27" s="37"/>
      <c r="AE27" s="37"/>
      <c r="AF27" s="37"/>
      <c r="AG27" s="38" t="n">
        <f aca="false">IF(AND(ISNUMBER(E27),ISNUMBER(F27)),NETWORKDAYS.INTL(E27,F27,11),"")</f>
        <v>5</v>
      </c>
      <c r="AH27" s="38" t="n">
        <f aca="false">IF(OR(NOT(AND(ISNUMBER(E27),ISNUMBER(F27))),$J$2=""),"",IF(Reprogramaciones!$P$15&lt;Reprogramaciones!$T$15,0,IF(Reprogramaciones!$R$15&gt;10,MIN(100,SUM($G27:$P27)),MIN(100,SUMPRODUCT((COLUMN($G27:$P27)-COLUMN($G27)+1&lt;Reprogramaciones!$R$15)*$G27:$P27)+N(INDEX($G27:$P27,1,Reprogramaciones!$R$15))*IF(Reprogramaciones!$P$15&gt;=(Reprogramaciones!$T$15+7*(Reprogramaciones!$R$15-1))+6,1,IF(MAX(0,NETWORKDAYS.INTL(MAX(E27,(Reprogramaciones!$T$15+7*(Reprogramaciones!$R$15-1))),MIN(F27,(Reprogramaciones!$T$15+7*(Reprogramaciones!$R$15-1))+6),11))=0,0,MAX(0,NETWORKDAYS.INTL(MAX(E27,(Reprogramaciones!$T$15+7*(Reprogramaciones!$R$15-1))),MIN(F27,Reprogramaciones!$P$15),11))/MAX(0,NETWORKDAYS.INTL(MAX(E27,(Reprogramaciones!$T$15+7*(Reprogramaciones!$R$15-1))),MIN(F27,(Reprogramaciones!$T$15+7*(Reprogramaciones!$R$15-1))+6),11))))))))</f>
        <v>100</v>
      </c>
      <c r="AI27" s="38" t="n">
        <f aca="false">IF(COUNT($Q27:$AF27)=0,"",IF(ROUND(SUM($Q27:$AF27),1)&gt;=99.5,100,MIN(100,ROUND(SUM($Q27:$AF27),1))))</f>
        <v>100</v>
      </c>
      <c r="AJ27" s="38" t="n">
        <f aca="false">IF(OR(AH27="",AI27=""),"",AI27-AH27)</f>
        <v>0</v>
      </c>
      <c r="AK27" s="39" t="str">
        <f aca="true">IF(AH27="","",IF(OR(Ficha!$C$10="Suspendida",Ficha!$C$10="Cancelada"),Ficha!$C$10,IF(AND(AI27&lt;&gt;"",N(AI27)&gt;=100),"Completada",IF(AND(E27&gt;TODAY(),N(AI27)=0),"Por iniciar",IF(N(AI27)+0.5&lt;AH27,"Retrasada",IF(N(AI27)+0.5&lt;DA27,IF(Reprogramaciones!$K$15&gt;0,"Al día · Sem "&amp;Reprogramaciones!$K$15&amp;" en curso","Al día · en curso"),"A tiempo"))))))</f>
        <v>Completada</v>
      </c>
      <c r="AL27" s="39" t="str">
        <f aca="true">IF(AND(A27="",AND(B27="",C27="",E27="",F27="",COUNT(Q27:AF27)=0)),"",IF(AND(B27="",C27="",E27="",F27="",COUNT(Q27:AF27)=0),"Falta la partida o subpartida",IF(AND(A27&lt;&gt;"",COUNTIF($A$6:$A$305,A27)&gt;1),"Ítem repetido",IF(AND(C27="",E27="",F27="",COUNT(Q27:AF27)=0),"Título de partida",IF(OR(E27="",F27=""),"Faltan fechas",IF(OR(ISTEXT(E27),ISTEXT(F27)),"Fecha escrita como texto: usa dd/mm/aaaa",IF(F27&lt;E27,"Fin antes del inicio",IF(IF($J$2="",FALSE(),OR(E27&lt;$J$2,F27&gt;Reprogramaciones!$T$15+69)),"Fuera de las 10 semanas",IF(ABS(SUM(G27:P27)-100)&gt;0.5,"La meta no suma 100%",IF(ROUND(SUM(Q27:AF27),1)&gt;100.5,"El avance pasa de 100%",IF(MIN(Q27:AF27)&lt;0,"Avance negativo",IF(COUNTA(Q27:AF27)&gt;COUNT(Q27:AF27),"Avance escrito como texto",IF(SUMPRODUCT((Q27:AF27&gt;0)*(Q27:AF27&lt;1))&gt;0,"Avance menor a 1: escribe 50, no 50%",IF(SUMPRODUCT(ISNUMBER(Q27:AF27)*(Reprogramaciones!$K$8:$Z$8&gt;TODAY()))&gt;0,"Avance en semana que aún no llega",IF(AND(N(Reprogramaciones!$E$21)&gt;0,F27&gt;Reprogramaciones!$E$21),"Pasa el fin de la obra: registra una reprogramación",IF(AND(N(Reprogramaciones!$E$21)&gt;0,SUMPRODUCT(ISNUMBER(Q27:AF27)*(Reprogramaciones!$K$8:$Z$8&gt;Reprogramaciones!$E$21))&gt;0),"Avance después del fin de la obra: registra una reprogramación por atraso","OK"))))))))))))))))</f>
        <v>OK</v>
      </c>
      <c r="AM27" s="40" t="str">
        <f aca="false">IF(OR(OR(NOT(AND(ISNUMBER(E27),ISNUMBER(F27))),$J$2=""),1&gt;MAX(1,Reprogramaciones!$U$15)),"",IF(Reprogramaciones!K$12&gt;=7,"",IF(OR(BT27-N(0)&gt;0.05,N(Q27)&gt;0),ROUNDDOWN(ROUND(BT27,6),0)&amp;"%"&amp;IF(CJ27="",""," / "&amp;CJ27&amp;"%"),IF(AND(N(0)&gt;=99.95,CJ27&lt;&gt;"",N(CJ27)&lt;100),"Pend. "&amp;CJ27&amp;"%",""))))</f>
        <v/>
      </c>
      <c r="AN27" s="40" t="str">
        <f aca="false">IF(OR(OR(NOT(AND(ISNUMBER(E27),ISNUMBER(F27))),$J$2=""),2&gt;MAX(1,Reprogramaciones!$U$15)),"",IF(Reprogramaciones!L$12&gt;=7,"",IF(OR(BU27-N(BT27)&gt;0.05,N(R27)&gt;0),ROUNDDOWN(ROUND(BU27,6),0)&amp;"%"&amp;IF(CK27="",""," / "&amp;CK27&amp;"%"),IF(AND(N(BT27)&gt;=99.95,CK27&lt;&gt;"",N(CK27)&lt;100),"Pend. "&amp;CK27&amp;"%",""))))</f>
        <v>60% / 60%</v>
      </c>
      <c r="AO27" s="40" t="str">
        <f aca="false">IF(OR(OR(NOT(AND(ISNUMBER(E27),ISNUMBER(F27))),$J$2=""),3&gt;MAX(1,Reprogramaciones!$U$15)),"",IF(Reprogramaciones!M$12&gt;=7,"",IF(OR(BV27-N(BU27)&gt;0.05,N(S27)&gt;0),ROUNDDOWN(ROUND(BV27,6),0)&amp;"%"&amp;IF(CL27="",""," / "&amp;CL27&amp;"%"),IF(AND(N(BU27)&gt;=99.95,CL27&lt;&gt;"",N(CL27)&lt;100),"Pend. "&amp;CL27&amp;"%",""))))</f>
        <v>100% / 100%</v>
      </c>
      <c r="AP27" s="40" t="str">
        <f aca="false">IF(OR(OR(NOT(AND(ISNUMBER(E27),ISNUMBER(F27))),$J$2=""),4&gt;MAX(1,Reprogramaciones!$U$15)),"",IF(Reprogramaciones!N$12&gt;=7,"",IF(OR(BW27-N(BV27)&gt;0.05,N(T27)&gt;0),ROUNDDOWN(ROUND(BW27,6),0)&amp;"%"&amp;IF(CM27="",""," / "&amp;CM27&amp;"%"),IF(AND(N(BV27)&gt;=99.95,CM27&lt;&gt;"",N(CM27)&lt;100),"Pend. "&amp;CM27&amp;"%",""))))</f>
        <v/>
      </c>
      <c r="AQ27" s="40" t="str">
        <f aca="false">IF(OR(OR(NOT(AND(ISNUMBER(E27),ISNUMBER(F27))),$J$2=""),5&gt;MAX(1,Reprogramaciones!$U$15)),"",IF(Reprogramaciones!O$12&gt;=7,"",IF(OR(BX27-N(BW27)&gt;0.05,N(U27)&gt;0),ROUNDDOWN(ROUND(BX27,6),0)&amp;"%"&amp;IF(CN27="",""," / "&amp;CN27&amp;"%"),IF(AND(N(BW27)&gt;=99.95,CN27&lt;&gt;"",N(CN27)&lt;100),"Pend. "&amp;CN27&amp;"%",""))))</f>
        <v/>
      </c>
      <c r="AR27" s="40" t="str">
        <f aca="false">IF(OR(OR(NOT(AND(ISNUMBER(E27),ISNUMBER(F27))),$J$2=""),6&gt;MAX(1,Reprogramaciones!$U$15)),"",IF(Reprogramaciones!P$12&gt;=7,"",IF(OR(BY27-N(BX27)&gt;0.05,N(V27)&gt;0),ROUNDDOWN(ROUND(BY27,6),0)&amp;"%"&amp;IF(CO27="",""," / "&amp;CO27&amp;"%"),IF(AND(N(BX27)&gt;=99.95,CO27&lt;&gt;"",N(CO27)&lt;100),"Pend. "&amp;CO27&amp;"%",""))))</f>
        <v/>
      </c>
      <c r="AS27" s="40" t="str">
        <f aca="false">IF(OR(OR(NOT(AND(ISNUMBER(E27),ISNUMBER(F27))),$J$2=""),7&gt;MAX(1,Reprogramaciones!$U$15)),"",IF(Reprogramaciones!Q$12&gt;=7,"",IF(OR(BZ27-N(BY27)&gt;0.05,N(W27)&gt;0),ROUNDDOWN(ROUND(BZ27,6),0)&amp;"%"&amp;IF(CP27="",""," / "&amp;CP27&amp;"%"),IF(AND(N(BY27)&gt;=99.95,CP27&lt;&gt;"",N(CP27)&lt;100),"Pend. "&amp;CP27&amp;"%",""))))</f>
        <v/>
      </c>
      <c r="AT27" s="40" t="str">
        <f aca="false">IF(OR(OR(NOT(AND(ISNUMBER(E27),ISNUMBER(F27))),$J$2=""),8&gt;MAX(1,Reprogramaciones!$U$15)),"",IF(Reprogramaciones!R$12&gt;=7,"",IF(OR(CA27-N(BZ27)&gt;0.05,N(X27)&gt;0),ROUNDDOWN(ROUND(CA27,6),0)&amp;"%"&amp;IF(CQ27="",""," / "&amp;CQ27&amp;"%"),IF(AND(N(BZ27)&gt;=99.95,CQ27&lt;&gt;"",N(CQ27)&lt;100),"Pend. "&amp;CQ27&amp;"%",""))))</f>
        <v/>
      </c>
      <c r="AU27" s="40" t="str">
        <f aca="false">IF(OR(OR(NOT(AND(ISNUMBER(E27),ISNUMBER(F27))),$J$2=""),9&gt;MAX(1,Reprogramaciones!$U$15)),"",IF(Reprogramaciones!S$12&gt;=7,"",IF(OR(CB27-N(CA27)&gt;0.05,N(Y27)&gt;0),ROUNDDOWN(ROUND(CB27,6),0)&amp;"%"&amp;IF(CR27="",""," / "&amp;CR27&amp;"%"),IF(AND(N(CA27)&gt;=99.95,CR27&lt;&gt;"",N(CR27)&lt;100),"Pend. "&amp;CR27&amp;"%",""))))</f>
        <v/>
      </c>
      <c r="AV27" s="40" t="str">
        <f aca="false">IF(OR(OR(NOT(AND(ISNUMBER(E27),ISNUMBER(F27))),$J$2=""),10&gt;MAX(1,Reprogramaciones!$U$15)),"",IF(Reprogramaciones!T$12&gt;=7,"",IF(OR(CC27-N(CB27)&gt;0.05,N(Z27)&gt;0),ROUNDDOWN(ROUND(CC27,6),0)&amp;"%"&amp;IF(CS27="",""," / "&amp;CS27&amp;"%"),IF(AND(N(CB27)&gt;=99.95,CS27&lt;&gt;"",N(CS27)&lt;100),"Pend. "&amp;CS27&amp;"%",""))))</f>
        <v/>
      </c>
      <c r="AW27" s="40" t="str">
        <f aca="false">IF(OR(OR(NOT(AND(ISNUMBER(E27),ISNUMBER(F27))),$J$2=""),11&gt;MAX(1,Reprogramaciones!$U$15)),"",IF(Reprogramaciones!U$12&gt;=7,"",IF(OR(CD27-N(CC27)&gt;0.05,N(AA27)&gt;0),ROUNDDOWN(ROUND(CD27,6),0)&amp;"%"&amp;IF(CT27="",""," / "&amp;CT27&amp;"%"),IF(AND(N(CC27)&gt;=99.95,CT27&lt;&gt;"",N(CT27)&lt;100),"Pend. "&amp;CT27&amp;"%",""))))</f>
        <v/>
      </c>
      <c r="AX27" s="40" t="str">
        <f aca="false">IF(OR(OR(NOT(AND(ISNUMBER(E27),ISNUMBER(F27))),$J$2=""),12&gt;MAX(1,Reprogramaciones!$U$15)),"",IF(Reprogramaciones!V$12&gt;=7,"",IF(OR(CE27-N(CD27)&gt;0.05,N(AB27)&gt;0),ROUNDDOWN(ROUND(CE27,6),0)&amp;"%"&amp;IF(CU27="",""," / "&amp;CU27&amp;"%"),IF(AND(N(CD27)&gt;=99.95,CU27&lt;&gt;"",N(CU27)&lt;100),"Pend. "&amp;CU27&amp;"%",""))))</f>
        <v/>
      </c>
      <c r="AY27" s="40" t="str">
        <f aca="false">IF(OR(OR(NOT(AND(ISNUMBER(E27),ISNUMBER(F27))),$J$2=""),13&gt;MAX(1,Reprogramaciones!$U$15)),"",IF(Reprogramaciones!W$12&gt;=7,"",IF(OR(CF27-N(CE27)&gt;0.05,N(AC27)&gt;0),ROUNDDOWN(ROUND(CF27,6),0)&amp;"%"&amp;IF(CV27="",""," / "&amp;CV27&amp;"%"),IF(AND(N(CE27)&gt;=99.95,CV27&lt;&gt;"",N(CV27)&lt;100),"Pend. "&amp;CV27&amp;"%",""))))</f>
        <v/>
      </c>
      <c r="AZ27" s="40" t="str">
        <f aca="false">IF(OR(OR(NOT(AND(ISNUMBER(E27),ISNUMBER(F27))),$J$2=""),14&gt;MAX(1,Reprogramaciones!$U$15)),"",IF(Reprogramaciones!X$12&gt;=7,"",IF(OR(CG27-N(CF27)&gt;0.05,N(AD27)&gt;0),ROUNDDOWN(ROUND(CG27,6),0)&amp;"%"&amp;IF(CW27="",""," / "&amp;CW27&amp;"%"),IF(AND(N(CF27)&gt;=99.95,CW27&lt;&gt;"",N(CW27)&lt;100),"Pend. "&amp;CW27&amp;"%",""))))</f>
        <v/>
      </c>
      <c r="BA27" s="40" t="str">
        <f aca="false">IF(OR(OR(NOT(AND(ISNUMBER(E27),ISNUMBER(F27))),$J$2=""),15&gt;MAX(1,Reprogramaciones!$U$15)),"",IF(Reprogramaciones!Y$12&gt;=7,"",IF(OR(CH27-N(CG27)&gt;0.05,N(AE27)&gt;0),ROUNDDOWN(ROUND(CH27,6),0)&amp;"%"&amp;IF(CX27="",""," / "&amp;CX27&amp;"%"),IF(AND(N(CG27)&gt;=99.95,CX27&lt;&gt;"",N(CX27)&lt;100),"Pend. "&amp;CX27&amp;"%",""))))</f>
        <v/>
      </c>
      <c r="BB27" s="40" t="str">
        <f aca="false">IF(OR(OR(NOT(AND(ISNUMBER(E27),ISNUMBER(F27))),$J$2=""),16&gt;MAX(1,Reprogramaciones!$U$15)),"",IF(Reprogramaciones!Z$12&gt;=7,"",IF(OR(CI27-N(CH27)&gt;0.05,N(AF27)&gt;0),ROUNDDOWN(ROUND(CI27,6),0)&amp;"%"&amp;IF(CY27="",""," / "&amp;CY27&amp;"%"),IF(AND(N(CH27)&gt;=99.95,CY27&lt;&gt;"",N(CY27)&lt;100),"Pend. "&amp;CY27&amp;"%",""))))</f>
        <v/>
      </c>
      <c r="BC27" s="31" t="n">
        <f aca="false">IF(AND(ISNUMBER(E27),ISNUMBER(F27)),MAX(1,NETWORKDAYS.INTL(E27,F27,11)),0)</f>
        <v>5</v>
      </c>
      <c r="BD27" s="1" t="n">
        <f aca="false">IF(OR(NOT(AND(ISNUMBER(E27),ISNUMBER(F27))),$J$2=""),"",MIN(100,ROUND(SUM($G27:G27),1)))</f>
        <v>0</v>
      </c>
      <c r="BE27" s="1" t="n">
        <f aca="false">IF(OR(NOT(AND(ISNUMBER(E27),ISNUMBER(F27))),$J$2=""),"",MIN(100,ROUND(SUM($G27:H27),1)))</f>
        <v>60</v>
      </c>
      <c r="BF27" s="1" t="n">
        <f aca="false">IF(OR(NOT(AND(ISNUMBER(E27),ISNUMBER(F27))),$J$2=""),"",MIN(100,ROUND(SUM($G27:I27),1)))</f>
        <v>100</v>
      </c>
      <c r="BG27" s="1" t="n">
        <f aca="false">IF(OR(NOT(AND(ISNUMBER(E27),ISNUMBER(F27))),$J$2=""),"",MIN(100,ROUND(SUM($G27:J27),1)))</f>
        <v>100</v>
      </c>
      <c r="BH27" s="1" t="n">
        <f aca="false">IF(OR(NOT(AND(ISNUMBER(E27),ISNUMBER(F27))),$J$2=""),"",MIN(100,ROUND(SUM($G27:K27),1)))</f>
        <v>100</v>
      </c>
      <c r="BI27" s="1" t="n">
        <f aca="false">IF(OR(NOT(AND(ISNUMBER(E27),ISNUMBER(F27))),$J$2=""),"",MIN(100,ROUND(SUM($G27:L27),1)))</f>
        <v>100</v>
      </c>
      <c r="BJ27" s="1" t="n">
        <f aca="false">IF(OR(NOT(AND(ISNUMBER(E27),ISNUMBER(F27))),$J$2=""),"",MIN(100,ROUND(SUM($G27:M27),1)))</f>
        <v>100</v>
      </c>
      <c r="BK27" s="1" t="n">
        <f aca="false">IF(OR(NOT(AND(ISNUMBER(E27),ISNUMBER(F27))),$J$2=""),"",MIN(100,ROUND(SUM($G27:N27),1)))</f>
        <v>100</v>
      </c>
      <c r="BL27" s="1" t="n">
        <f aca="false">IF(OR(NOT(AND(ISNUMBER(E27),ISNUMBER(F27))),$J$2=""),"",MIN(100,ROUND(SUM($G27:O27),1)))</f>
        <v>100</v>
      </c>
      <c r="BM27" s="1" t="n">
        <f aca="false">IF(OR(NOT(AND(ISNUMBER(E27),ISNUMBER(F27))),$J$2=""),"",MIN(100,ROUND(SUM($G27:P27),1)))</f>
        <v>100</v>
      </c>
      <c r="BN27" s="1" t="n">
        <f aca="false">IF(OR(NOT(AND(ISNUMBER(E27),ISNUMBER(F27))),$J$2=""),"",MIN(100,ROUND(SUM($G27:P27),1)))</f>
        <v>100</v>
      </c>
      <c r="BO27" s="1" t="n">
        <f aca="false">IF(OR(NOT(AND(ISNUMBER(E27),ISNUMBER(F27))),$J$2=""),"",MIN(100,ROUND(SUM($G27:P27),1)))</f>
        <v>100</v>
      </c>
      <c r="BP27" s="1" t="n">
        <f aca="false">IF(OR(NOT(AND(ISNUMBER(E27),ISNUMBER(F27))),$J$2=""),"",MIN(100,ROUND(SUM($G27:P27),1)))</f>
        <v>100</v>
      </c>
      <c r="BQ27" s="1" t="n">
        <f aca="false">IF(OR(NOT(AND(ISNUMBER(E27),ISNUMBER(F27))),$J$2=""),"",MIN(100,ROUND(SUM($G27:P27),1)))</f>
        <v>100</v>
      </c>
      <c r="BR27" s="1" t="n">
        <f aca="false">IF(OR(NOT(AND(ISNUMBER(E27),ISNUMBER(F27))),$J$2=""),"",MIN(100,ROUND(SUM($G27:P27),1)))</f>
        <v>100</v>
      </c>
      <c r="BS27" s="1" t="n">
        <f aca="false">IF(OR(NOT(AND(ISNUMBER(E27),ISNUMBER(F27))),$J$2=""),"",MIN(100,ROUND(SUM($G27:P27),1)))</f>
        <v>100</v>
      </c>
      <c r="BT27" s="1" t="n">
        <f aca="false">IF(OR(NOT(AND(ISNUMBER(E27),ISNUMBER(F27))),$J$2=""),"",IF(Reprogramaciones!K$13&lt;Reprogramaciones!$T$15,0,IF(Reprogramaciones!K$14&gt;10,MIN(100,SUM($G27:$P27)),MIN(100,SUMPRODUCT((COLUMN($G27:$P27)-COLUMN($G27)+1&lt;Reprogramaciones!K$14)*$G27:$P27)+N(INDEX($G27:$P27,1,Reprogramaciones!K$14))*IF(Reprogramaciones!K$13&gt;=(Reprogramaciones!$T$15+7*(Reprogramaciones!K$14-1))+6,1,IF(MAX(0,NETWORKDAYS.INTL(MAX(E27,(Reprogramaciones!$T$15+7*(Reprogramaciones!K$14-1))),MIN(F27,(Reprogramaciones!$T$15+7*(Reprogramaciones!K$14-1))+6),11))=0,0,MAX(0,NETWORKDAYS.INTL(MAX(E27,(Reprogramaciones!$T$15+7*(Reprogramaciones!K$14-1))),MIN(F27,Reprogramaciones!K$13),11))/MAX(0,NETWORKDAYS.INTL(MAX(E27,(Reprogramaciones!$T$15+7*(Reprogramaciones!K$14-1))),MIN(F27,(Reprogramaciones!$T$15+7*(Reprogramaciones!K$14-1))+6),11))))))))</f>
        <v>0</v>
      </c>
      <c r="BU27" s="1" t="n">
        <f aca="false">IF(OR(NOT(AND(ISNUMBER(E27),ISNUMBER(F27))),$J$2=""),"",IF(Reprogramaciones!L$13&lt;Reprogramaciones!$T$15,0,IF(Reprogramaciones!L$14&gt;10,MIN(100,SUM($G27:$P27)),MIN(100,SUMPRODUCT((COLUMN($G27:$P27)-COLUMN($G27)+1&lt;Reprogramaciones!L$14)*$G27:$P27)+N(INDEX($G27:$P27,1,Reprogramaciones!L$14))*IF(Reprogramaciones!L$13&gt;=(Reprogramaciones!$T$15+7*(Reprogramaciones!L$14-1))+6,1,IF(MAX(0,NETWORKDAYS.INTL(MAX(E27,(Reprogramaciones!$T$15+7*(Reprogramaciones!L$14-1))),MIN(F27,(Reprogramaciones!$T$15+7*(Reprogramaciones!L$14-1))+6),11))=0,0,MAX(0,NETWORKDAYS.INTL(MAX(E27,(Reprogramaciones!$T$15+7*(Reprogramaciones!L$14-1))),MIN(F27,Reprogramaciones!L$13),11))/MAX(0,NETWORKDAYS.INTL(MAX(E27,(Reprogramaciones!$T$15+7*(Reprogramaciones!L$14-1))),MIN(F27,(Reprogramaciones!$T$15+7*(Reprogramaciones!L$14-1))+6),11))))))))</f>
        <v>60</v>
      </c>
      <c r="BV27" s="1" t="n">
        <f aca="false">IF(OR(NOT(AND(ISNUMBER(E27),ISNUMBER(F27))),$J$2=""),"",IF(Reprogramaciones!M$13&lt;Reprogramaciones!$T$15,0,IF(Reprogramaciones!M$14&gt;10,MIN(100,SUM($G27:$P27)),MIN(100,SUMPRODUCT((COLUMN($G27:$P27)-COLUMN($G27)+1&lt;Reprogramaciones!M$14)*$G27:$P27)+N(INDEX($G27:$P27,1,Reprogramaciones!M$14))*IF(Reprogramaciones!M$13&gt;=(Reprogramaciones!$T$15+7*(Reprogramaciones!M$14-1))+6,1,IF(MAX(0,NETWORKDAYS.INTL(MAX(E27,(Reprogramaciones!$T$15+7*(Reprogramaciones!M$14-1))),MIN(F27,(Reprogramaciones!$T$15+7*(Reprogramaciones!M$14-1))+6),11))=0,0,MAX(0,NETWORKDAYS.INTL(MAX(E27,(Reprogramaciones!$T$15+7*(Reprogramaciones!M$14-1))),MIN(F27,Reprogramaciones!M$13),11))/MAX(0,NETWORKDAYS.INTL(MAX(E27,(Reprogramaciones!$T$15+7*(Reprogramaciones!M$14-1))),MIN(F27,(Reprogramaciones!$T$15+7*(Reprogramaciones!M$14-1))+6),11))))))))</f>
        <v>100</v>
      </c>
      <c r="BW27" s="1" t="n">
        <f aca="false">IF(OR(NOT(AND(ISNUMBER(E27),ISNUMBER(F27))),$J$2=""),"",IF(Reprogramaciones!N$13&lt;Reprogramaciones!$T$15,0,IF(Reprogramaciones!N$14&gt;10,MIN(100,SUM($G27:$P27)),MIN(100,SUMPRODUCT((COLUMN($G27:$P27)-COLUMN($G27)+1&lt;Reprogramaciones!N$14)*$G27:$P27)+N(INDEX($G27:$P27,1,Reprogramaciones!N$14))*IF(Reprogramaciones!N$13&gt;=(Reprogramaciones!$T$15+7*(Reprogramaciones!N$14-1))+6,1,IF(MAX(0,NETWORKDAYS.INTL(MAX(E27,(Reprogramaciones!$T$15+7*(Reprogramaciones!N$14-1))),MIN(F27,(Reprogramaciones!$T$15+7*(Reprogramaciones!N$14-1))+6),11))=0,0,MAX(0,NETWORKDAYS.INTL(MAX(E27,(Reprogramaciones!$T$15+7*(Reprogramaciones!N$14-1))),MIN(F27,Reprogramaciones!N$13),11))/MAX(0,NETWORKDAYS.INTL(MAX(E27,(Reprogramaciones!$T$15+7*(Reprogramaciones!N$14-1))),MIN(F27,(Reprogramaciones!$T$15+7*(Reprogramaciones!N$14-1))+6),11))))))))</f>
        <v>100</v>
      </c>
      <c r="BX27" s="1" t="n">
        <f aca="false">IF(OR(NOT(AND(ISNUMBER(E27),ISNUMBER(F27))),$J$2=""),"",IF(Reprogramaciones!O$13&lt;Reprogramaciones!$T$15,0,IF(Reprogramaciones!O$14&gt;10,MIN(100,SUM($G27:$P27)),MIN(100,SUMPRODUCT((COLUMN($G27:$P27)-COLUMN($G27)+1&lt;Reprogramaciones!O$14)*$G27:$P27)+N(INDEX($G27:$P27,1,Reprogramaciones!O$14))*IF(Reprogramaciones!O$13&gt;=(Reprogramaciones!$T$15+7*(Reprogramaciones!O$14-1))+6,1,IF(MAX(0,NETWORKDAYS.INTL(MAX(E27,(Reprogramaciones!$T$15+7*(Reprogramaciones!O$14-1))),MIN(F27,(Reprogramaciones!$T$15+7*(Reprogramaciones!O$14-1))+6),11))=0,0,MAX(0,NETWORKDAYS.INTL(MAX(E27,(Reprogramaciones!$T$15+7*(Reprogramaciones!O$14-1))),MIN(F27,Reprogramaciones!O$13),11))/MAX(0,NETWORKDAYS.INTL(MAX(E27,(Reprogramaciones!$T$15+7*(Reprogramaciones!O$14-1))),MIN(F27,(Reprogramaciones!$T$15+7*(Reprogramaciones!O$14-1))+6),11))))))))</f>
        <v>100</v>
      </c>
      <c r="BY27" s="1" t="n">
        <f aca="false">IF(OR(NOT(AND(ISNUMBER(E27),ISNUMBER(F27))),$J$2=""),"",IF(Reprogramaciones!P$13&lt;Reprogramaciones!$T$15,0,IF(Reprogramaciones!P$14&gt;10,MIN(100,SUM($G27:$P27)),MIN(100,SUMPRODUCT((COLUMN($G27:$P27)-COLUMN($G27)+1&lt;Reprogramaciones!P$14)*$G27:$P27)+N(INDEX($G27:$P27,1,Reprogramaciones!P$14))*IF(Reprogramaciones!P$13&gt;=(Reprogramaciones!$T$15+7*(Reprogramaciones!P$14-1))+6,1,IF(MAX(0,NETWORKDAYS.INTL(MAX(E27,(Reprogramaciones!$T$15+7*(Reprogramaciones!P$14-1))),MIN(F27,(Reprogramaciones!$T$15+7*(Reprogramaciones!P$14-1))+6),11))=0,0,MAX(0,NETWORKDAYS.INTL(MAX(E27,(Reprogramaciones!$T$15+7*(Reprogramaciones!P$14-1))),MIN(F27,Reprogramaciones!P$13),11))/MAX(0,NETWORKDAYS.INTL(MAX(E27,(Reprogramaciones!$T$15+7*(Reprogramaciones!P$14-1))),MIN(F27,(Reprogramaciones!$T$15+7*(Reprogramaciones!P$14-1))+6),11))))))))</f>
        <v>100</v>
      </c>
      <c r="BZ27" s="1" t="n">
        <f aca="false">IF(OR(NOT(AND(ISNUMBER(E27),ISNUMBER(F27))),$J$2=""),"",IF(Reprogramaciones!Q$13&lt;Reprogramaciones!$T$15,0,IF(Reprogramaciones!Q$14&gt;10,MIN(100,SUM($G27:$P27)),MIN(100,SUMPRODUCT((COLUMN($G27:$P27)-COLUMN($G27)+1&lt;Reprogramaciones!Q$14)*$G27:$P27)+N(INDEX($G27:$P27,1,Reprogramaciones!Q$14))*IF(Reprogramaciones!Q$13&gt;=(Reprogramaciones!$T$15+7*(Reprogramaciones!Q$14-1))+6,1,IF(MAX(0,NETWORKDAYS.INTL(MAX(E27,(Reprogramaciones!$T$15+7*(Reprogramaciones!Q$14-1))),MIN(F27,(Reprogramaciones!$T$15+7*(Reprogramaciones!Q$14-1))+6),11))=0,0,MAX(0,NETWORKDAYS.INTL(MAX(E27,(Reprogramaciones!$T$15+7*(Reprogramaciones!Q$14-1))),MIN(F27,Reprogramaciones!Q$13),11))/MAX(0,NETWORKDAYS.INTL(MAX(E27,(Reprogramaciones!$T$15+7*(Reprogramaciones!Q$14-1))),MIN(F27,(Reprogramaciones!$T$15+7*(Reprogramaciones!Q$14-1))+6),11))))))))</f>
        <v>100</v>
      </c>
      <c r="CA27" s="1" t="n">
        <f aca="false">IF(OR(NOT(AND(ISNUMBER(E27),ISNUMBER(F27))),$J$2=""),"",IF(Reprogramaciones!R$13&lt;Reprogramaciones!$T$15,0,IF(Reprogramaciones!R$14&gt;10,MIN(100,SUM($G27:$P27)),MIN(100,SUMPRODUCT((COLUMN($G27:$P27)-COLUMN($G27)+1&lt;Reprogramaciones!R$14)*$G27:$P27)+N(INDEX($G27:$P27,1,Reprogramaciones!R$14))*IF(Reprogramaciones!R$13&gt;=(Reprogramaciones!$T$15+7*(Reprogramaciones!R$14-1))+6,1,IF(MAX(0,NETWORKDAYS.INTL(MAX(E27,(Reprogramaciones!$T$15+7*(Reprogramaciones!R$14-1))),MIN(F27,(Reprogramaciones!$T$15+7*(Reprogramaciones!R$14-1))+6),11))=0,0,MAX(0,NETWORKDAYS.INTL(MAX(E27,(Reprogramaciones!$T$15+7*(Reprogramaciones!R$14-1))),MIN(F27,Reprogramaciones!R$13),11))/MAX(0,NETWORKDAYS.INTL(MAX(E27,(Reprogramaciones!$T$15+7*(Reprogramaciones!R$14-1))),MIN(F27,(Reprogramaciones!$T$15+7*(Reprogramaciones!R$14-1))+6),11))))))))</f>
        <v>100</v>
      </c>
      <c r="CB27" s="1" t="n">
        <f aca="false">IF(OR(NOT(AND(ISNUMBER(E27),ISNUMBER(F27))),$J$2=""),"",IF(Reprogramaciones!S$13&lt;Reprogramaciones!$T$15,0,IF(Reprogramaciones!S$14&gt;10,MIN(100,SUM($G27:$P27)),MIN(100,SUMPRODUCT((COLUMN($G27:$P27)-COLUMN($G27)+1&lt;Reprogramaciones!S$14)*$G27:$P27)+N(INDEX($G27:$P27,1,Reprogramaciones!S$14))*IF(Reprogramaciones!S$13&gt;=(Reprogramaciones!$T$15+7*(Reprogramaciones!S$14-1))+6,1,IF(MAX(0,NETWORKDAYS.INTL(MAX(E27,(Reprogramaciones!$T$15+7*(Reprogramaciones!S$14-1))),MIN(F27,(Reprogramaciones!$T$15+7*(Reprogramaciones!S$14-1))+6),11))=0,0,MAX(0,NETWORKDAYS.INTL(MAX(E27,(Reprogramaciones!$T$15+7*(Reprogramaciones!S$14-1))),MIN(F27,Reprogramaciones!S$13),11))/MAX(0,NETWORKDAYS.INTL(MAX(E27,(Reprogramaciones!$T$15+7*(Reprogramaciones!S$14-1))),MIN(F27,(Reprogramaciones!$T$15+7*(Reprogramaciones!S$14-1))+6),11))))))))</f>
        <v>100</v>
      </c>
      <c r="CC27" s="1" t="n">
        <f aca="false">IF(OR(NOT(AND(ISNUMBER(E27),ISNUMBER(F27))),$J$2=""),"",IF(Reprogramaciones!T$13&lt;Reprogramaciones!$T$15,0,IF(Reprogramaciones!T$14&gt;10,MIN(100,SUM($G27:$P27)),MIN(100,SUMPRODUCT((COLUMN($G27:$P27)-COLUMN($G27)+1&lt;Reprogramaciones!T$14)*$G27:$P27)+N(INDEX($G27:$P27,1,Reprogramaciones!T$14))*IF(Reprogramaciones!T$13&gt;=(Reprogramaciones!$T$15+7*(Reprogramaciones!T$14-1))+6,1,IF(MAX(0,NETWORKDAYS.INTL(MAX(E27,(Reprogramaciones!$T$15+7*(Reprogramaciones!T$14-1))),MIN(F27,(Reprogramaciones!$T$15+7*(Reprogramaciones!T$14-1))+6),11))=0,0,MAX(0,NETWORKDAYS.INTL(MAX(E27,(Reprogramaciones!$T$15+7*(Reprogramaciones!T$14-1))),MIN(F27,Reprogramaciones!T$13),11))/MAX(0,NETWORKDAYS.INTL(MAX(E27,(Reprogramaciones!$T$15+7*(Reprogramaciones!T$14-1))),MIN(F27,(Reprogramaciones!$T$15+7*(Reprogramaciones!T$14-1))+6),11))))))))</f>
        <v>100</v>
      </c>
      <c r="CD27" s="1" t="n">
        <f aca="false">IF(OR(NOT(AND(ISNUMBER(E27),ISNUMBER(F27))),$J$2=""),"",IF(Reprogramaciones!U$13&lt;Reprogramaciones!$T$15,0,IF(Reprogramaciones!U$14&gt;10,MIN(100,SUM($G27:$P27)),MIN(100,SUMPRODUCT((COLUMN($G27:$P27)-COLUMN($G27)+1&lt;Reprogramaciones!U$14)*$G27:$P27)+N(INDEX($G27:$P27,1,Reprogramaciones!U$14))*IF(Reprogramaciones!U$13&gt;=(Reprogramaciones!$T$15+7*(Reprogramaciones!U$14-1))+6,1,IF(MAX(0,NETWORKDAYS.INTL(MAX(E27,(Reprogramaciones!$T$15+7*(Reprogramaciones!U$14-1))),MIN(F27,(Reprogramaciones!$T$15+7*(Reprogramaciones!U$14-1))+6),11))=0,0,MAX(0,NETWORKDAYS.INTL(MAX(E27,(Reprogramaciones!$T$15+7*(Reprogramaciones!U$14-1))),MIN(F27,Reprogramaciones!U$13),11))/MAX(0,NETWORKDAYS.INTL(MAX(E27,(Reprogramaciones!$T$15+7*(Reprogramaciones!U$14-1))),MIN(F27,(Reprogramaciones!$T$15+7*(Reprogramaciones!U$14-1))+6),11))))))))</f>
        <v>100</v>
      </c>
      <c r="CE27" s="1" t="n">
        <f aca="false">IF(OR(NOT(AND(ISNUMBER(E27),ISNUMBER(F27))),$J$2=""),"",IF(Reprogramaciones!V$13&lt;Reprogramaciones!$T$15,0,IF(Reprogramaciones!V$14&gt;10,MIN(100,SUM($G27:$P27)),MIN(100,SUMPRODUCT((COLUMN($G27:$P27)-COLUMN($G27)+1&lt;Reprogramaciones!V$14)*$G27:$P27)+N(INDEX($G27:$P27,1,Reprogramaciones!V$14))*IF(Reprogramaciones!V$13&gt;=(Reprogramaciones!$T$15+7*(Reprogramaciones!V$14-1))+6,1,IF(MAX(0,NETWORKDAYS.INTL(MAX(E27,(Reprogramaciones!$T$15+7*(Reprogramaciones!V$14-1))),MIN(F27,(Reprogramaciones!$T$15+7*(Reprogramaciones!V$14-1))+6),11))=0,0,MAX(0,NETWORKDAYS.INTL(MAX(E27,(Reprogramaciones!$T$15+7*(Reprogramaciones!V$14-1))),MIN(F27,Reprogramaciones!V$13),11))/MAX(0,NETWORKDAYS.INTL(MAX(E27,(Reprogramaciones!$T$15+7*(Reprogramaciones!V$14-1))),MIN(F27,(Reprogramaciones!$T$15+7*(Reprogramaciones!V$14-1))+6),11))))))))</f>
        <v>100</v>
      </c>
      <c r="CF27" s="1" t="n">
        <f aca="false">IF(OR(NOT(AND(ISNUMBER(E27),ISNUMBER(F27))),$J$2=""),"",IF(Reprogramaciones!W$13&lt;Reprogramaciones!$T$15,0,IF(Reprogramaciones!W$14&gt;10,MIN(100,SUM($G27:$P27)),MIN(100,SUMPRODUCT((COLUMN($G27:$P27)-COLUMN($G27)+1&lt;Reprogramaciones!W$14)*$G27:$P27)+N(INDEX($G27:$P27,1,Reprogramaciones!W$14))*IF(Reprogramaciones!W$13&gt;=(Reprogramaciones!$T$15+7*(Reprogramaciones!W$14-1))+6,1,IF(MAX(0,NETWORKDAYS.INTL(MAX(E27,(Reprogramaciones!$T$15+7*(Reprogramaciones!W$14-1))),MIN(F27,(Reprogramaciones!$T$15+7*(Reprogramaciones!W$14-1))+6),11))=0,0,MAX(0,NETWORKDAYS.INTL(MAX(E27,(Reprogramaciones!$T$15+7*(Reprogramaciones!W$14-1))),MIN(F27,Reprogramaciones!W$13),11))/MAX(0,NETWORKDAYS.INTL(MAX(E27,(Reprogramaciones!$T$15+7*(Reprogramaciones!W$14-1))),MIN(F27,(Reprogramaciones!$T$15+7*(Reprogramaciones!W$14-1))+6),11))))))))</f>
        <v>100</v>
      </c>
      <c r="CG27" s="1" t="n">
        <f aca="false">IF(OR(NOT(AND(ISNUMBER(E27),ISNUMBER(F27))),$J$2=""),"",IF(Reprogramaciones!X$13&lt;Reprogramaciones!$T$15,0,IF(Reprogramaciones!X$14&gt;10,MIN(100,SUM($G27:$P27)),MIN(100,SUMPRODUCT((COLUMN($G27:$P27)-COLUMN($G27)+1&lt;Reprogramaciones!X$14)*$G27:$P27)+N(INDEX($G27:$P27,1,Reprogramaciones!X$14))*IF(Reprogramaciones!X$13&gt;=(Reprogramaciones!$T$15+7*(Reprogramaciones!X$14-1))+6,1,IF(MAX(0,NETWORKDAYS.INTL(MAX(E27,(Reprogramaciones!$T$15+7*(Reprogramaciones!X$14-1))),MIN(F27,(Reprogramaciones!$T$15+7*(Reprogramaciones!X$14-1))+6),11))=0,0,MAX(0,NETWORKDAYS.INTL(MAX(E27,(Reprogramaciones!$T$15+7*(Reprogramaciones!X$14-1))),MIN(F27,Reprogramaciones!X$13),11))/MAX(0,NETWORKDAYS.INTL(MAX(E27,(Reprogramaciones!$T$15+7*(Reprogramaciones!X$14-1))),MIN(F27,(Reprogramaciones!$T$15+7*(Reprogramaciones!X$14-1))+6),11))))))))</f>
        <v>100</v>
      </c>
      <c r="CH27" s="1" t="n">
        <f aca="false">IF(OR(NOT(AND(ISNUMBER(E27),ISNUMBER(F27))),$J$2=""),"",IF(Reprogramaciones!Y$13&lt;Reprogramaciones!$T$15,0,IF(Reprogramaciones!Y$14&gt;10,MIN(100,SUM($G27:$P27)),MIN(100,SUMPRODUCT((COLUMN($G27:$P27)-COLUMN($G27)+1&lt;Reprogramaciones!Y$14)*$G27:$P27)+N(INDEX($G27:$P27,1,Reprogramaciones!Y$14))*IF(Reprogramaciones!Y$13&gt;=(Reprogramaciones!$T$15+7*(Reprogramaciones!Y$14-1))+6,1,IF(MAX(0,NETWORKDAYS.INTL(MAX(E27,(Reprogramaciones!$T$15+7*(Reprogramaciones!Y$14-1))),MIN(F27,(Reprogramaciones!$T$15+7*(Reprogramaciones!Y$14-1))+6),11))=0,0,MAX(0,NETWORKDAYS.INTL(MAX(E27,(Reprogramaciones!$T$15+7*(Reprogramaciones!Y$14-1))),MIN(F27,Reprogramaciones!Y$13),11))/MAX(0,NETWORKDAYS.INTL(MAX(E27,(Reprogramaciones!$T$15+7*(Reprogramaciones!Y$14-1))),MIN(F27,(Reprogramaciones!$T$15+7*(Reprogramaciones!Y$14-1))+6),11))))))))</f>
        <v>100</v>
      </c>
      <c r="CI27" s="1" t="n">
        <f aca="false">IF(OR(NOT(AND(ISNUMBER(E27),ISNUMBER(F27))),$J$2=""),"",IF(Reprogramaciones!Z$13&lt;Reprogramaciones!$T$15,0,IF(Reprogramaciones!Z$14&gt;10,MIN(100,SUM($G27:$P27)),MIN(100,SUMPRODUCT((COLUMN($G27:$P27)-COLUMN($G27)+1&lt;Reprogramaciones!Z$14)*$G27:$P27)+N(INDEX($G27:$P27,1,Reprogramaciones!Z$14))*IF(Reprogramaciones!Z$13&gt;=(Reprogramaciones!$T$15+7*(Reprogramaciones!Z$14-1))+6,1,IF(MAX(0,NETWORKDAYS.INTL(MAX(E27,(Reprogramaciones!$T$15+7*(Reprogramaciones!Z$14-1))),MIN(F27,(Reprogramaciones!$T$15+7*(Reprogramaciones!Z$14-1))+6),11))=0,0,MAX(0,NETWORKDAYS.INTL(MAX(E27,(Reprogramaciones!$T$15+7*(Reprogramaciones!Z$14-1))),MIN(F27,Reprogramaciones!Z$13),11))/MAX(0,NETWORKDAYS.INTL(MAX(E27,(Reprogramaciones!$T$15+7*(Reprogramaciones!Z$14-1))),MIN(F27,(Reprogramaciones!$T$15+7*(Reprogramaciones!Z$14-1))+6),11))))))))</f>
        <v>100</v>
      </c>
      <c r="CJ27" s="1" t="n">
        <f aca="false">IF(OR(OR(NOT(AND(ISNUMBER(E27),ISNUMBER(F27))),$J$2=""),1&gt;Reprogramaciones!$K$16),"",IF(ROUND(SUM($Q27:Q27),1)&gt;=99.5,100,MIN(100,ROUND(SUM($Q27:Q27),1))))</f>
        <v>0</v>
      </c>
      <c r="CK27" s="1" t="n">
        <f aca="false">IF(OR(OR(NOT(AND(ISNUMBER(E27),ISNUMBER(F27))),$J$2=""),2&gt;Reprogramaciones!$K$16),"",IF(ROUND(SUM($Q27:R27),1)&gt;=99.5,100,MIN(100,ROUND(SUM($Q27:R27),1))))</f>
        <v>60</v>
      </c>
      <c r="CL27" s="1" t="n">
        <f aca="false">IF(OR(OR(NOT(AND(ISNUMBER(E27),ISNUMBER(F27))),$J$2=""),3&gt;Reprogramaciones!$K$16),"",IF(ROUND(SUM($Q27:S27),1)&gt;=99.5,100,MIN(100,ROUND(SUM($Q27:S27),1))))</f>
        <v>100</v>
      </c>
      <c r="CM27" s="1" t="n">
        <f aca="false">IF(OR(OR(NOT(AND(ISNUMBER(E27),ISNUMBER(F27))),$J$2=""),4&gt;Reprogramaciones!$K$16),"",IF(ROUND(SUM($Q27:T27),1)&gt;=99.5,100,MIN(100,ROUND(SUM($Q27:T27),1))))</f>
        <v>100</v>
      </c>
      <c r="CN27" s="1" t="n">
        <f aca="false">IF(OR(OR(NOT(AND(ISNUMBER(E27),ISNUMBER(F27))),$J$2=""),5&gt;Reprogramaciones!$K$16),"",IF(ROUND(SUM($Q27:U27),1)&gt;=99.5,100,MIN(100,ROUND(SUM($Q27:U27),1))))</f>
        <v>100</v>
      </c>
      <c r="CO27" s="1" t="str">
        <f aca="false">IF(OR(OR(NOT(AND(ISNUMBER(E27),ISNUMBER(F27))),$J$2=""),6&gt;Reprogramaciones!$K$16),"",IF(ROUND(SUM($Q27:V27),1)&gt;=99.5,100,MIN(100,ROUND(SUM($Q27:V27),1))))</f>
        <v/>
      </c>
      <c r="CP27" s="1" t="str">
        <f aca="false">IF(OR(OR(NOT(AND(ISNUMBER(E27),ISNUMBER(F27))),$J$2=""),7&gt;Reprogramaciones!$K$16),"",IF(ROUND(SUM($Q27:W27),1)&gt;=99.5,100,MIN(100,ROUND(SUM($Q27:W27),1))))</f>
        <v/>
      </c>
      <c r="CQ27" s="1" t="str">
        <f aca="false">IF(OR(OR(NOT(AND(ISNUMBER(E27),ISNUMBER(F27))),$J$2=""),8&gt;Reprogramaciones!$K$16),"",IF(ROUND(SUM($Q27:X27),1)&gt;=99.5,100,MIN(100,ROUND(SUM($Q27:X27),1))))</f>
        <v/>
      </c>
      <c r="CR27" s="1" t="str">
        <f aca="false">IF(OR(OR(NOT(AND(ISNUMBER(E27),ISNUMBER(F27))),$J$2=""),9&gt;Reprogramaciones!$K$16),"",IF(ROUND(SUM($Q27:Y27),1)&gt;=99.5,100,MIN(100,ROUND(SUM($Q27:Y27),1))))</f>
        <v/>
      </c>
      <c r="CS27" s="1" t="str">
        <f aca="false">IF(OR(OR(NOT(AND(ISNUMBER(E27),ISNUMBER(F27))),$J$2=""),10&gt;Reprogramaciones!$K$16),"",IF(ROUND(SUM($Q27:Z27),1)&gt;=99.5,100,MIN(100,ROUND(SUM($Q27:Z27),1))))</f>
        <v/>
      </c>
      <c r="CT27" s="1" t="str">
        <f aca="false">IF(OR(OR(NOT(AND(ISNUMBER(E27),ISNUMBER(F27))),$J$2=""),11&gt;Reprogramaciones!$K$16),"",IF(ROUND(SUM($Q27:AA27),1)&gt;=99.5,100,MIN(100,ROUND(SUM($Q27:AA27),1))))</f>
        <v/>
      </c>
      <c r="CU27" s="1" t="str">
        <f aca="false">IF(OR(OR(NOT(AND(ISNUMBER(E27),ISNUMBER(F27))),$J$2=""),12&gt;Reprogramaciones!$K$16),"",IF(ROUND(SUM($Q27:AB27),1)&gt;=99.5,100,MIN(100,ROUND(SUM($Q27:AB27),1))))</f>
        <v/>
      </c>
      <c r="CV27" s="1" t="str">
        <f aca="false">IF(OR(OR(NOT(AND(ISNUMBER(E27),ISNUMBER(F27))),$J$2=""),13&gt;Reprogramaciones!$K$16),"",IF(ROUND(SUM($Q27:AC27),1)&gt;=99.5,100,MIN(100,ROUND(SUM($Q27:AC27),1))))</f>
        <v/>
      </c>
      <c r="CW27" s="1" t="str">
        <f aca="false">IF(OR(OR(NOT(AND(ISNUMBER(E27),ISNUMBER(F27))),$J$2=""),14&gt;Reprogramaciones!$K$16),"",IF(ROUND(SUM($Q27:AD27),1)&gt;=99.5,100,MIN(100,ROUND(SUM($Q27:AD27),1))))</f>
        <v/>
      </c>
      <c r="CX27" s="1" t="str">
        <f aca="false">IF(OR(OR(NOT(AND(ISNUMBER(E27),ISNUMBER(F27))),$J$2=""),15&gt;Reprogramaciones!$K$16),"",IF(ROUND(SUM($Q27:AE27),1)&gt;=99.5,100,MIN(100,ROUND(SUM($Q27:AE27),1))))</f>
        <v/>
      </c>
      <c r="CY27" s="1" t="str">
        <f aca="false">IF(OR(OR(NOT(AND(ISNUMBER(E27),ISNUMBER(F27))),$J$2=""),16&gt;Reprogramaciones!$K$16),"",IF(ROUND(SUM($Q27:AF27),1)&gt;=99.5,100,MIN(100,ROUND(SUM($Q27:AF27),1))))</f>
        <v/>
      </c>
      <c r="CZ27" s="1" t="str">
        <f aca="false">IF(D27&lt;&gt;"",D27,IF(B27&lt;&gt;"","Contractual",CZ26))</f>
        <v>Contractual</v>
      </c>
      <c r="DA27" s="1" t="n">
        <f aca="false">IF(OR(NOT(AND(ISNUMBER(E27),ISNUMBER(F27))),$J$2=""),"",IF(Reprogramaciones!$Q$15&lt;Reprogramaciones!$T$15,0,IF(Reprogramaciones!$S$15&gt;10,MIN(100,SUM($G27:$P27)),MIN(100,SUMPRODUCT((COLUMN($G27:$P27)-COLUMN($G27)+1&lt;Reprogramaciones!$S$15)*$G27:$P27)+N(INDEX($G27:$P27,1,Reprogramaciones!$S$15))*IF(Reprogramaciones!$Q$15&gt;=(Reprogramaciones!$T$15+7*(Reprogramaciones!$S$15-1))+6,1,IF(MAX(0,NETWORKDAYS.INTL(MAX(E27,(Reprogramaciones!$T$15+7*(Reprogramaciones!$S$15-1))),MIN(F27,(Reprogramaciones!$T$15+7*(Reprogramaciones!$S$15-1))+6),11))=0,0,MAX(0,NETWORKDAYS.INTL(MAX(E27,(Reprogramaciones!$T$15+7*(Reprogramaciones!$S$15-1))),MIN(F27,Reprogramaciones!$Q$15),11))/MAX(0,NETWORKDAYS.INTL(MAX(E27,(Reprogramaciones!$T$15+7*(Reprogramaciones!$S$15-1))),MIN(F27,(Reprogramaciones!$T$15+7*(Reprogramaciones!$S$15-1))+6),11))))))))</f>
        <v>100</v>
      </c>
    </row>
    <row r="28" customFormat="false" ht="15" hidden="false" customHeight="false" outlineLevel="0" collapsed="false">
      <c r="A28" s="32" t="s">
        <v>197</v>
      </c>
      <c r="B28" s="33"/>
      <c r="C28" s="33" t="s">
        <v>198</v>
      </c>
      <c r="D28" s="34"/>
      <c r="E28" s="35" t="n">
        <v>46300</v>
      </c>
      <c r="F28" s="35" t="n">
        <v>46305</v>
      </c>
      <c r="G28" s="36" t="n">
        <f aca="false">IF(OR(NOT(AND(ISNUMBER(E28),ISNUMBER(F28))),$J$2=""),"",IF(Reprogramaciones!K$9&lt;E28,0,IF(NETWORKDAYS.INTL(E28,F28,11)=0,IF(Reprogramaciones!K$9&gt;=F28,100,0),ROUND(NETWORKDAYS.INTL(E28,MIN(F28,Reprogramaciones!K$9),11)/NETWORKDAYS.INTL(E28,F28,11)*100,1)))-0)</f>
        <v>0</v>
      </c>
      <c r="H28" s="36" t="n">
        <f aca="false">IF(OR(NOT(AND(ISNUMBER(E28),ISNUMBER(F28))),$J$2=""),"",IF(Reprogramaciones!L$9&lt;E28,0,IF(NETWORKDAYS.INTL(E28,F28,11)=0,IF(Reprogramaciones!L$9&gt;=F28,100,0),ROUND(NETWORKDAYS.INTL(E28,MIN(F28,Reprogramaciones!L$9),11)/NETWORKDAYS.INTL(E28,F28,11)*100,1)))-IF(Reprogramaciones!K$9&lt;E28,0,IF(NETWORKDAYS.INTL(E28,F28,11)=0,IF(Reprogramaciones!K$9&gt;=F28,100,0),ROUND(NETWORKDAYS.INTL(E28,MIN(F28,Reprogramaciones!K$9),11)/NETWORKDAYS.INTL(E28,F28,11)*100,1))))</f>
        <v>0</v>
      </c>
      <c r="I28" s="36" t="n">
        <f aca="false">IF(OR(NOT(AND(ISNUMBER(E28),ISNUMBER(F28))),$J$2=""),"",IF(Reprogramaciones!M$9&lt;E28,0,IF(NETWORKDAYS.INTL(E28,F28,11)=0,IF(Reprogramaciones!M$9&gt;=F28,100,0),ROUND(NETWORKDAYS.INTL(E28,MIN(F28,Reprogramaciones!M$9),11)/NETWORKDAYS.INTL(E28,F28,11)*100,1)))-IF(Reprogramaciones!L$9&lt;E28,0,IF(NETWORKDAYS.INTL(E28,F28,11)=0,IF(Reprogramaciones!L$9&gt;=F28,100,0),ROUND(NETWORKDAYS.INTL(E28,MIN(F28,Reprogramaciones!L$9),11)/NETWORKDAYS.INTL(E28,F28,11)*100,1))))</f>
        <v>100</v>
      </c>
      <c r="J28" s="36" t="n">
        <f aca="false">IF(OR(NOT(AND(ISNUMBER(E28),ISNUMBER(F28))),$J$2=""),"",IF(Reprogramaciones!N$9&lt;E28,0,IF(NETWORKDAYS.INTL(E28,F28,11)=0,IF(Reprogramaciones!N$9&gt;=F28,100,0),ROUND(NETWORKDAYS.INTL(E28,MIN(F28,Reprogramaciones!N$9),11)/NETWORKDAYS.INTL(E28,F28,11)*100,1)))-IF(Reprogramaciones!M$9&lt;E28,0,IF(NETWORKDAYS.INTL(E28,F28,11)=0,IF(Reprogramaciones!M$9&gt;=F28,100,0),ROUND(NETWORKDAYS.INTL(E28,MIN(F28,Reprogramaciones!M$9),11)/NETWORKDAYS.INTL(E28,F28,11)*100,1))))</f>
        <v>0</v>
      </c>
      <c r="K28" s="36" t="n">
        <f aca="false">IF(OR(NOT(AND(ISNUMBER(E28),ISNUMBER(F28))),$J$2=""),"",IF(Reprogramaciones!O$9&lt;E28,0,IF(NETWORKDAYS.INTL(E28,F28,11)=0,IF(Reprogramaciones!O$9&gt;=F28,100,0),ROUND(NETWORKDAYS.INTL(E28,MIN(F28,Reprogramaciones!O$9),11)/NETWORKDAYS.INTL(E28,F28,11)*100,1)))-IF(Reprogramaciones!N$9&lt;E28,0,IF(NETWORKDAYS.INTL(E28,F28,11)=0,IF(Reprogramaciones!N$9&gt;=F28,100,0),ROUND(NETWORKDAYS.INTL(E28,MIN(F28,Reprogramaciones!N$9),11)/NETWORKDAYS.INTL(E28,F28,11)*100,1))))</f>
        <v>0</v>
      </c>
      <c r="L28" s="36" t="n">
        <f aca="false">IF(OR(NOT(AND(ISNUMBER(E28),ISNUMBER(F28))),$J$2=""),"",IF(Reprogramaciones!P$9&lt;E28,0,IF(NETWORKDAYS.INTL(E28,F28,11)=0,IF(Reprogramaciones!P$9&gt;=F28,100,0),ROUND(NETWORKDAYS.INTL(E28,MIN(F28,Reprogramaciones!P$9),11)/NETWORKDAYS.INTL(E28,F28,11)*100,1)))-IF(Reprogramaciones!O$9&lt;E28,0,IF(NETWORKDAYS.INTL(E28,F28,11)=0,IF(Reprogramaciones!O$9&gt;=F28,100,0),ROUND(NETWORKDAYS.INTL(E28,MIN(F28,Reprogramaciones!O$9),11)/NETWORKDAYS.INTL(E28,F28,11)*100,1))))</f>
        <v>0</v>
      </c>
      <c r="M28" s="36" t="n">
        <f aca="false">IF(OR(NOT(AND(ISNUMBER(E28),ISNUMBER(F28))),$J$2=""),"",IF(Reprogramaciones!Q$9&lt;E28,0,IF(NETWORKDAYS.INTL(E28,F28,11)=0,IF(Reprogramaciones!Q$9&gt;=F28,100,0),ROUND(NETWORKDAYS.INTL(E28,MIN(F28,Reprogramaciones!Q$9),11)/NETWORKDAYS.INTL(E28,F28,11)*100,1)))-IF(Reprogramaciones!P$9&lt;E28,0,IF(NETWORKDAYS.INTL(E28,F28,11)=0,IF(Reprogramaciones!P$9&gt;=F28,100,0),ROUND(NETWORKDAYS.INTL(E28,MIN(F28,Reprogramaciones!P$9),11)/NETWORKDAYS.INTL(E28,F28,11)*100,1))))</f>
        <v>0</v>
      </c>
      <c r="N28" s="36" t="n">
        <f aca="false">IF(OR(NOT(AND(ISNUMBER(E28),ISNUMBER(F28))),$J$2=""),"",IF(Reprogramaciones!R$9&lt;E28,0,IF(NETWORKDAYS.INTL(E28,F28,11)=0,IF(Reprogramaciones!R$9&gt;=F28,100,0),ROUND(NETWORKDAYS.INTL(E28,MIN(F28,Reprogramaciones!R$9),11)/NETWORKDAYS.INTL(E28,F28,11)*100,1)))-IF(Reprogramaciones!Q$9&lt;E28,0,IF(NETWORKDAYS.INTL(E28,F28,11)=0,IF(Reprogramaciones!Q$9&gt;=F28,100,0),ROUND(NETWORKDAYS.INTL(E28,MIN(F28,Reprogramaciones!Q$9),11)/NETWORKDAYS.INTL(E28,F28,11)*100,1))))</f>
        <v>0</v>
      </c>
      <c r="O28" s="36" t="n">
        <f aca="false">IF(OR(NOT(AND(ISNUMBER(E28),ISNUMBER(F28))),$J$2=""),"",IF(Reprogramaciones!S$9&lt;E28,0,IF(NETWORKDAYS.INTL(E28,F28,11)=0,IF(Reprogramaciones!S$9&gt;=F28,100,0),ROUND(NETWORKDAYS.INTL(E28,MIN(F28,Reprogramaciones!S$9),11)/NETWORKDAYS.INTL(E28,F28,11)*100,1)))-IF(Reprogramaciones!R$9&lt;E28,0,IF(NETWORKDAYS.INTL(E28,F28,11)=0,IF(Reprogramaciones!R$9&gt;=F28,100,0),ROUND(NETWORKDAYS.INTL(E28,MIN(F28,Reprogramaciones!R$9),11)/NETWORKDAYS.INTL(E28,F28,11)*100,1))))</f>
        <v>0</v>
      </c>
      <c r="P28" s="36" t="n">
        <f aca="false">IF(OR(NOT(AND(ISNUMBER(E28),ISNUMBER(F28))),$J$2=""),"",IF(Reprogramaciones!T$9&lt;E28,0,IF(NETWORKDAYS.INTL(E28,F28,11)=0,IF(Reprogramaciones!T$9&gt;=F28,100,0),ROUND(NETWORKDAYS.INTL(E28,MIN(F28,Reprogramaciones!T$9),11)/NETWORKDAYS.INTL(E28,F28,11)*100,1)))-IF(Reprogramaciones!S$9&lt;E28,0,IF(NETWORKDAYS.INTL(E28,F28,11)=0,IF(Reprogramaciones!S$9&gt;=F28,100,0),ROUND(NETWORKDAYS.INTL(E28,MIN(F28,Reprogramaciones!S$9),11)/NETWORKDAYS.INTL(E28,F28,11)*100,1))))</f>
        <v>0</v>
      </c>
      <c r="Q28" s="37"/>
      <c r="R28" s="37"/>
      <c r="S28" s="37" t="n">
        <v>100</v>
      </c>
      <c r="T28" s="37"/>
      <c r="U28" s="37"/>
      <c r="V28" s="37"/>
      <c r="W28" s="37"/>
      <c r="X28" s="37"/>
      <c r="Y28" s="37"/>
      <c r="Z28" s="37"/>
      <c r="AA28" s="37"/>
      <c r="AB28" s="37"/>
      <c r="AC28" s="37"/>
      <c r="AD28" s="37"/>
      <c r="AE28" s="37"/>
      <c r="AF28" s="37"/>
      <c r="AG28" s="38" t="n">
        <f aca="false">IF(AND(ISNUMBER(E28),ISNUMBER(F28)),NETWORKDAYS.INTL(E28,F28,11),"")</f>
        <v>6</v>
      </c>
      <c r="AH28" s="38" t="n">
        <f aca="false">IF(OR(NOT(AND(ISNUMBER(E28),ISNUMBER(F28))),$J$2=""),"",IF(Reprogramaciones!$P$15&lt;Reprogramaciones!$T$15,0,IF(Reprogramaciones!$R$15&gt;10,MIN(100,SUM($G28:$P28)),MIN(100,SUMPRODUCT((COLUMN($G28:$P28)-COLUMN($G28)+1&lt;Reprogramaciones!$R$15)*$G28:$P28)+N(INDEX($G28:$P28,1,Reprogramaciones!$R$15))*IF(Reprogramaciones!$P$15&gt;=(Reprogramaciones!$T$15+7*(Reprogramaciones!$R$15-1))+6,1,IF(MAX(0,NETWORKDAYS.INTL(MAX(E28,(Reprogramaciones!$T$15+7*(Reprogramaciones!$R$15-1))),MIN(F28,(Reprogramaciones!$T$15+7*(Reprogramaciones!$R$15-1))+6),11))=0,0,MAX(0,NETWORKDAYS.INTL(MAX(E28,(Reprogramaciones!$T$15+7*(Reprogramaciones!$R$15-1))),MIN(F28,Reprogramaciones!$P$15),11))/MAX(0,NETWORKDAYS.INTL(MAX(E28,(Reprogramaciones!$T$15+7*(Reprogramaciones!$R$15-1))),MIN(F28,(Reprogramaciones!$T$15+7*(Reprogramaciones!$R$15-1))+6),11))))))))</f>
        <v>100</v>
      </c>
      <c r="AI28" s="38" t="n">
        <f aca="false">IF(COUNT($Q28:$AF28)=0,"",IF(ROUND(SUM($Q28:$AF28),1)&gt;=99.5,100,MIN(100,ROUND(SUM($Q28:$AF28),1))))</f>
        <v>100</v>
      </c>
      <c r="AJ28" s="38" t="n">
        <f aca="false">IF(OR(AH28="",AI28=""),"",AI28-AH28)</f>
        <v>0</v>
      </c>
      <c r="AK28" s="39" t="str">
        <f aca="true">IF(AH28="","",IF(OR(Ficha!$C$10="Suspendida",Ficha!$C$10="Cancelada"),Ficha!$C$10,IF(AND(AI28&lt;&gt;"",N(AI28)&gt;=100),"Completada",IF(AND(E28&gt;TODAY(),N(AI28)=0),"Por iniciar",IF(N(AI28)+0.5&lt;AH28,"Retrasada",IF(N(AI28)+0.5&lt;DA28,IF(Reprogramaciones!$K$15&gt;0,"Al día · Sem "&amp;Reprogramaciones!$K$15&amp;" en curso","Al día · en curso"),"A tiempo"))))))</f>
        <v>Completada</v>
      </c>
      <c r="AL28" s="39" t="str">
        <f aca="true">IF(AND(A28="",AND(B28="",C28="",E28="",F28="",COUNT(Q28:AF28)=0)),"",IF(AND(B28="",C28="",E28="",F28="",COUNT(Q28:AF28)=0),"Falta la partida o subpartida",IF(AND(A28&lt;&gt;"",COUNTIF($A$6:$A$305,A28)&gt;1),"Ítem repetido",IF(AND(C28="",E28="",F28="",COUNT(Q28:AF28)=0),"Título de partida",IF(OR(E28="",F28=""),"Faltan fechas",IF(OR(ISTEXT(E28),ISTEXT(F28)),"Fecha escrita como texto: usa dd/mm/aaaa",IF(F28&lt;E28,"Fin antes del inicio",IF(IF($J$2="",FALSE(),OR(E28&lt;$J$2,F28&gt;Reprogramaciones!$T$15+69)),"Fuera de las 10 semanas",IF(ABS(SUM(G28:P28)-100)&gt;0.5,"La meta no suma 100%",IF(ROUND(SUM(Q28:AF28),1)&gt;100.5,"El avance pasa de 100%",IF(MIN(Q28:AF28)&lt;0,"Avance negativo",IF(COUNTA(Q28:AF28)&gt;COUNT(Q28:AF28),"Avance escrito como texto",IF(SUMPRODUCT((Q28:AF28&gt;0)*(Q28:AF28&lt;1))&gt;0,"Avance menor a 1: escribe 50, no 50%",IF(SUMPRODUCT(ISNUMBER(Q28:AF28)*(Reprogramaciones!$K$8:$Z$8&gt;TODAY()))&gt;0,"Avance en semana que aún no llega",IF(AND(N(Reprogramaciones!$E$21)&gt;0,F28&gt;Reprogramaciones!$E$21),"Pasa el fin de la obra: registra una reprogramación",IF(AND(N(Reprogramaciones!$E$21)&gt;0,SUMPRODUCT(ISNUMBER(Q28:AF28)*(Reprogramaciones!$K$8:$Z$8&gt;Reprogramaciones!$E$21))&gt;0),"Avance después del fin de la obra: registra una reprogramación por atraso","OK"))))))))))))))))</f>
        <v>OK</v>
      </c>
      <c r="AM28" s="40" t="str">
        <f aca="false">IF(OR(OR(NOT(AND(ISNUMBER(E28),ISNUMBER(F28))),$J$2=""),1&gt;MAX(1,Reprogramaciones!$U$15)),"",IF(Reprogramaciones!K$12&gt;=7,"",IF(OR(BT28-N(0)&gt;0.05,N(Q28)&gt;0),ROUNDDOWN(ROUND(BT28,6),0)&amp;"%"&amp;IF(CJ28="",""," / "&amp;CJ28&amp;"%"),IF(AND(N(0)&gt;=99.95,CJ28&lt;&gt;"",N(CJ28)&lt;100),"Pend. "&amp;CJ28&amp;"%",""))))</f>
        <v/>
      </c>
      <c r="AN28" s="40" t="str">
        <f aca="false">IF(OR(OR(NOT(AND(ISNUMBER(E28),ISNUMBER(F28))),$J$2=""),2&gt;MAX(1,Reprogramaciones!$U$15)),"",IF(Reprogramaciones!L$12&gt;=7,"",IF(OR(BU28-N(BT28)&gt;0.05,N(R28)&gt;0),ROUNDDOWN(ROUND(BU28,6),0)&amp;"%"&amp;IF(CK28="",""," / "&amp;CK28&amp;"%"),IF(AND(N(BT28)&gt;=99.95,CK28&lt;&gt;"",N(CK28)&lt;100),"Pend. "&amp;CK28&amp;"%",""))))</f>
        <v/>
      </c>
      <c r="AO28" s="40" t="str">
        <f aca="false">IF(OR(OR(NOT(AND(ISNUMBER(E28),ISNUMBER(F28))),$J$2=""),3&gt;MAX(1,Reprogramaciones!$U$15)),"",IF(Reprogramaciones!M$12&gt;=7,"",IF(OR(BV28-N(BU28)&gt;0.05,N(S28)&gt;0),ROUNDDOWN(ROUND(BV28,6),0)&amp;"%"&amp;IF(CL28="",""," / "&amp;CL28&amp;"%"),IF(AND(N(BU28)&gt;=99.95,CL28&lt;&gt;"",N(CL28)&lt;100),"Pend. "&amp;CL28&amp;"%",""))))</f>
        <v>100% / 100%</v>
      </c>
      <c r="AP28" s="40" t="str">
        <f aca="false">IF(OR(OR(NOT(AND(ISNUMBER(E28),ISNUMBER(F28))),$J$2=""),4&gt;MAX(1,Reprogramaciones!$U$15)),"",IF(Reprogramaciones!N$12&gt;=7,"",IF(OR(BW28-N(BV28)&gt;0.05,N(T28)&gt;0),ROUNDDOWN(ROUND(BW28,6),0)&amp;"%"&amp;IF(CM28="",""," / "&amp;CM28&amp;"%"),IF(AND(N(BV28)&gt;=99.95,CM28&lt;&gt;"",N(CM28)&lt;100),"Pend. "&amp;CM28&amp;"%",""))))</f>
        <v/>
      </c>
      <c r="AQ28" s="40" t="str">
        <f aca="false">IF(OR(OR(NOT(AND(ISNUMBER(E28),ISNUMBER(F28))),$J$2=""),5&gt;MAX(1,Reprogramaciones!$U$15)),"",IF(Reprogramaciones!O$12&gt;=7,"",IF(OR(BX28-N(BW28)&gt;0.05,N(U28)&gt;0),ROUNDDOWN(ROUND(BX28,6),0)&amp;"%"&amp;IF(CN28="",""," / "&amp;CN28&amp;"%"),IF(AND(N(BW28)&gt;=99.95,CN28&lt;&gt;"",N(CN28)&lt;100),"Pend. "&amp;CN28&amp;"%",""))))</f>
        <v/>
      </c>
      <c r="AR28" s="40" t="str">
        <f aca="false">IF(OR(OR(NOT(AND(ISNUMBER(E28),ISNUMBER(F28))),$J$2=""),6&gt;MAX(1,Reprogramaciones!$U$15)),"",IF(Reprogramaciones!P$12&gt;=7,"",IF(OR(BY28-N(BX28)&gt;0.05,N(V28)&gt;0),ROUNDDOWN(ROUND(BY28,6),0)&amp;"%"&amp;IF(CO28="",""," / "&amp;CO28&amp;"%"),IF(AND(N(BX28)&gt;=99.95,CO28&lt;&gt;"",N(CO28)&lt;100),"Pend. "&amp;CO28&amp;"%",""))))</f>
        <v/>
      </c>
      <c r="AS28" s="40" t="str">
        <f aca="false">IF(OR(OR(NOT(AND(ISNUMBER(E28),ISNUMBER(F28))),$J$2=""),7&gt;MAX(1,Reprogramaciones!$U$15)),"",IF(Reprogramaciones!Q$12&gt;=7,"",IF(OR(BZ28-N(BY28)&gt;0.05,N(W28)&gt;0),ROUNDDOWN(ROUND(BZ28,6),0)&amp;"%"&amp;IF(CP28="",""," / "&amp;CP28&amp;"%"),IF(AND(N(BY28)&gt;=99.95,CP28&lt;&gt;"",N(CP28)&lt;100),"Pend. "&amp;CP28&amp;"%",""))))</f>
        <v/>
      </c>
      <c r="AT28" s="40" t="str">
        <f aca="false">IF(OR(OR(NOT(AND(ISNUMBER(E28),ISNUMBER(F28))),$J$2=""),8&gt;MAX(1,Reprogramaciones!$U$15)),"",IF(Reprogramaciones!R$12&gt;=7,"",IF(OR(CA28-N(BZ28)&gt;0.05,N(X28)&gt;0),ROUNDDOWN(ROUND(CA28,6),0)&amp;"%"&amp;IF(CQ28="",""," / "&amp;CQ28&amp;"%"),IF(AND(N(BZ28)&gt;=99.95,CQ28&lt;&gt;"",N(CQ28)&lt;100),"Pend. "&amp;CQ28&amp;"%",""))))</f>
        <v/>
      </c>
      <c r="AU28" s="40" t="str">
        <f aca="false">IF(OR(OR(NOT(AND(ISNUMBER(E28),ISNUMBER(F28))),$J$2=""),9&gt;MAX(1,Reprogramaciones!$U$15)),"",IF(Reprogramaciones!S$12&gt;=7,"",IF(OR(CB28-N(CA28)&gt;0.05,N(Y28)&gt;0),ROUNDDOWN(ROUND(CB28,6),0)&amp;"%"&amp;IF(CR28="",""," / "&amp;CR28&amp;"%"),IF(AND(N(CA28)&gt;=99.95,CR28&lt;&gt;"",N(CR28)&lt;100),"Pend. "&amp;CR28&amp;"%",""))))</f>
        <v/>
      </c>
      <c r="AV28" s="40" t="str">
        <f aca="false">IF(OR(OR(NOT(AND(ISNUMBER(E28),ISNUMBER(F28))),$J$2=""),10&gt;MAX(1,Reprogramaciones!$U$15)),"",IF(Reprogramaciones!T$12&gt;=7,"",IF(OR(CC28-N(CB28)&gt;0.05,N(Z28)&gt;0),ROUNDDOWN(ROUND(CC28,6),0)&amp;"%"&amp;IF(CS28="",""," / "&amp;CS28&amp;"%"),IF(AND(N(CB28)&gt;=99.95,CS28&lt;&gt;"",N(CS28)&lt;100),"Pend. "&amp;CS28&amp;"%",""))))</f>
        <v/>
      </c>
      <c r="AW28" s="40" t="str">
        <f aca="false">IF(OR(OR(NOT(AND(ISNUMBER(E28),ISNUMBER(F28))),$J$2=""),11&gt;MAX(1,Reprogramaciones!$U$15)),"",IF(Reprogramaciones!U$12&gt;=7,"",IF(OR(CD28-N(CC28)&gt;0.05,N(AA28)&gt;0),ROUNDDOWN(ROUND(CD28,6),0)&amp;"%"&amp;IF(CT28="",""," / "&amp;CT28&amp;"%"),IF(AND(N(CC28)&gt;=99.95,CT28&lt;&gt;"",N(CT28)&lt;100),"Pend. "&amp;CT28&amp;"%",""))))</f>
        <v/>
      </c>
      <c r="AX28" s="40" t="str">
        <f aca="false">IF(OR(OR(NOT(AND(ISNUMBER(E28),ISNUMBER(F28))),$J$2=""),12&gt;MAX(1,Reprogramaciones!$U$15)),"",IF(Reprogramaciones!V$12&gt;=7,"",IF(OR(CE28-N(CD28)&gt;0.05,N(AB28)&gt;0),ROUNDDOWN(ROUND(CE28,6),0)&amp;"%"&amp;IF(CU28="",""," / "&amp;CU28&amp;"%"),IF(AND(N(CD28)&gt;=99.95,CU28&lt;&gt;"",N(CU28)&lt;100),"Pend. "&amp;CU28&amp;"%",""))))</f>
        <v/>
      </c>
      <c r="AY28" s="40" t="str">
        <f aca="false">IF(OR(OR(NOT(AND(ISNUMBER(E28),ISNUMBER(F28))),$J$2=""),13&gt;MAX(1,Reprogramaciones!$U$15)),"",IF(Reprogramaciones!W$12&gt;=7,"",IF(OR(CF28-N(CE28)&gt;0.05,N(AC28)&gt;0),ROUNDDOWN(ROUND(CF28,6),0)&amp;"%"&amp;IF(CV28="",""," / "&amp;CV28&amp;"%"),IF(AND(N(CE28)&gt;=99.95,CV28&lt;&gt;"",N(CV28)&lt;100),"Pend. "&amp;CV28&amp;"%",""))))</f>
        <v/>
      </c>
      <c r="AZ28" s="40" t="str">
        <f aca="false">IF(OR(OR(NOT(AND(ISNUMBER(E28),ISNUMBER(F28))),$J$2=""),14&gt;MAX(1,Reprogramaciones!$U$15)),"",IF(Reprogramaciones!X$12&gt;=7,"",IF(OR(CG28-N(CF28)&gt;0.05,N(AD28)&gt;0),ROUNDDOWN(ROUND(CG28,6),0)&amp;"%"&amp;IF(CW28="",""," / "&amp;CW28&amp;"%"),IF(AND(N(CF28)&gt;=99.95,CW28&lt;&gt;"",N(CW28)&lt;100),"Pend. "&amp;CW28&amp;"%",""))))</f>
        <v/>
      </c>
      <c r="BA28" s="40" t="str">
        <f aca="false">IF(OR(OR(NOT(AND(ISNUMBER(E28),ISNUMBER(F28))),$J$2=""),15&gt;MAX(1,Reprogramaciones!$U$15)),"",IF(Reprogramaciones!Y$12&gt;=7,"",IF(OR(CH28-N(CG28)&gt;0.05,N(AE28)&gt;0),ROUNDDOWN(ROUND(CH28,6),0)&amp;"%"&amp;IF(CX28="",""," / "&amp;CX28&amp;"%"),IF(AND(N(CG28)&gt;=99.95,CX28&lt;&gt;"",N(CX28)&lt;100),"Pend. "&amp;CX28&amp;"%",""))))</f>
        <v/>
      </c>
      <c r="BB28" s="40" t="str">
        <f aca="false">IF(OR(OR(NOT(AND(ISNUMBER(E28),ISNUMBER(F28))),$J$2=""),16&gt;MAX(1,Reprogramaciones!$U$15)),"",IF(Reprogramaciones!Z$12&gt;=7,"",IF(OR(CI28-N(CH28)&gt;0.05,N(AF28)&gt;0),ROUNDDOWN(ROUND(CI28,6),0)&amp;"%"&amp;IF(CY28="",""," / "&amp;CY28&amp;"%"),IF(AND(N(CH28)&gt;=99.95,CY28&lt;&gt;"",N(CY28)&lt;100),"Pend. "&amp;CY28&amp;"%",""))))</f>
        <v/>
      </c>
      <c r="BC28" s="31" t="n">
        <f aca="false">IF(AND(ISNUMBER(E28),ISNUMBER(F28)),MAX(1,NETWORKDAYS.INTL(E28,F28,11)),0)</f>
        <v>6</v>
      </c>
      <c r="BD28" s="1" t="n">
        <f aca="false">IF(OR(NOT(AND(ISNUMBER(E28),ISNUMBER(F28))),$J$2=""),"",MIN(100,ROUND(SUM($G28:G28),1)))</f>
        <v>0</v>
      </c>
      <c r="BE28" s="1" t="n">
        <f aca="false">IF(OR(NOT(AND(ISNUMBER(E28),ISNUMBER(F28))),$J$2=""),"",MIN(100,ROUND(SUM($G28:H28),1)))</f>
        <v>0</v>
      </c>
      <c r="BF28" s="1" t="n">
        <f aca="false">IF(OR(NOT(AND(ISNUMBER(E28),ISNUMBER(F28))),$J$2=""),"",MIN(100,ROUND(SUM($G28:I28),1)))</f>
        <v>100</v>
      </c>
      <c r="BG28" s="1" t="n">
        <f aca="false">IF(OR(NOT(AND(ISNUMBER(E28),ISNUMBER(F28))),$J$2=""),"",MIN(100,ROUND(SUM($G28:J28),1)))</f>
        <v>100</v>
      </c>
      <c r="BH28" s="1" t="n">
        <f aca="false">IF(OR(NOT(AND(ISNUMBER(E28),ISNUMBER(F28))),$J$2=""),"",MIN(100,ROUND(SUM($G28:K28),1)))</f>
        <v>100</v>
      </c>
      <c r="BI28" s="1" t="n">
        <f aca="false">IF(OR(NOT(AND(ISNUMBER(E28),ISNUMBER(F28))),$J$2=""),"",MIN(100,ROUND(SUM($G28:L28),1)))</f>
        <v>100</v>
      </c>
      <c r="BJ28" s="1" t="n">
        <f aca="false">IF(OR(NOT(AND(ISNUMBER(E28),ISNUMBER(F28))),$J$2=""),"",MIN(100,ROUND(SUM($G28:M28),1)))</f>
        <v>100</v>
      </c>
      <c r="BK28" s="1" t="n">
        <f aca="false">IF(OR(NOT(AND(ISNUMBER(E28),ISNUMBER(F28))),$J$2=""),"",MIN(100,ROUND(SUM($G28:N28),1)))</f>
        <v>100</v>
      </c>
      <c r="BL28" s="1" t="n">
        <f aca="false">IF(OR(NOT(AND(ISNUMBER(E28),ISNUMBER(F28))),$J$2=""),"",MIN(100,ROUND(SUM($G28:O28),1)))</f>
        <v>100</v>
      </c>
      <c r="BM28" s="1" t="n">
        <f aca="false">IF(OR(NOT(AND(ISNUMBER(E28),ISNUMBER(F28))),$J$2=""),"",MIN(100,ROUND(SUM($G28:P28),1)))</f>
        <v>100</v>
      </c>
      <c r="BN28" s="1" t="n">
        <f aca="false">IF(OR(NOT(AND(ISNUMBER(E28),ISNUMBER(F28))),$J$2=""),"",MIN(100,ROUND(SUM($G28:P28),1)))</f>
        <v>100</v>
      </c>
      <c r="BO28" s="1" t="n">
        <f aca="false">IF(OR(NOT(AND(ISNUMBER(E28),ISNUMBER(F28))),$J$2=""),"",MIN(100,ROUND(SUM($G28:P28),1)))</f>
        <v>100</v>
      </c>
      <c r="BP28" s="1" t="n">
        <f aca="false">IF(OR(NOT(AND(ISNUMBER(E28),ISNUMBER(F28))),$J$2=""),"",MIN(100,ROUND(SUM($G28:P28),1)))</f>
        <v>100</v>
      </c>
      <c r="BQ28" s="1" t="n">
        <f aca="false">IF(OR(NOT(AND(ISNUMBER(E28),ISNUMBER(F28))),$J$2=""),"",MIN(100,ROUND(SUM($G28:P28),1)))</f>
        <v>100</v>
      </c>
      <c r="BR28" s="1" t="n">
        <f aca="false">IF(OR(NOT(AND(ISNUMBER(E28),ISNUMBER(F28))),$J$2=""),"",MIN(100,ROUND(SUM($G28:P28),1)))</f>
        <v>100</v>
      </c>
      <c r="BS28" s="1" t="n">
        <f aca="false">IF(OR(NOT(AND(ISNUMBER(E28),ISNUMBER(F28))),$J$2=""),"",MIN(100,ROUND(SUM($G28:P28),1)))</f>
        <v>100</v>
      </c>
      <c r="BT28" s="1" t="n">
        <f aca="false">IF(OR(NOT(AND(ISNUMBER(E28),ISNUMBER(F28))),$J$2=""),"",IF(Reprogramaciones!K$13&lt;Reprogramaciones!$T$15,0,IF(Reprogramaciones!K$14&gt;10,MIN(100,SUM($G28:$P28)),MIN(100,SUMPRODUCT((COLUMN($G28:$P28)-COLUMN($G28)+1&lt;Reprogramaciones!K$14)*$G28:$P28)+N(INDEX($G28:$P28,1,Reprogramaciones!K$14))*IF(Reprogramaciones!K$13&gt;=(Reprogramaciones!$T$15+7*(Reprogramaciones!K$14-1))+6,1,IF(MAX(0,NETWORKDAYS.INTL(MAX(E28,(Reprogramaciones!$T$15+7*(Reprogramaciones!K$14-1))),MIN(F28,(Reprogramaciones!$T$15+7*(Reprogramaciones!K$14-1))+6),11))=0,0,MAX(0,NETWORKDAYS.INTL(MAX(E28,(Reprogramaciones!$T$15+7*(Reprogramaciones!K$14-1))),MIN(F28,Reprogramaciones!K$13),11))/MAX(0,NETWORKDAYS.INTL(MAX(E28,(Reprogramaciones!$T$15+7*(Reprogramaciones!K$14-1))),MIN(F28,(Reprogramaciones!$T$15+7*(Reprogramaciones!K$14-1))+6),11))))))))</f>
        <v>0</v>
      </c>
      <c r="BU28" s="1" t="n">
        <f aca="false">IF(OR(NOT(AND(ISNUMBER(E28),ISNUMBER(F28))),$J$2=""),"",IF(Reprogramaciones!L$13&lt;Reprogramaciones!$T$15,0,IF(Reprogramaciones!L$14&gt;10,MIN(100,SUM($G28:$P28)),MIN(100,SUMPRODUCT((COLUMN($G28:$P28)-COLUMN($G28)+1&lt;Reprogramaciones!L$14)*$G28:$P28)+N(INDEX($G28:$P28,1,Reprogramaciones!L$14))*IF(Reprogramaciones!L$13&gt;=(Reprogramaciones!$T$15+7*(Reprogramaciones!L$14-1))+6,1,IF(MAX(0,NETWORKDAYS.INTL(MAX(E28,(Reprogramaciones!$T$15+7*(Reprogramaciones!L$14-1))),MIN(F28,(Reprogramaciones!$T$15+7*(Reprogramaciones!L$14-1))+6),11))=0,0,MAX(0,NETWORKDAYS.INTL(MAX(E28,(Reprogramaciones!$T$15+7*(Reprogramaciones!L$14-1))),MIN(F28,Reprogramaciones!L$13),11))/MAX(0,NETWORKDAYS.INTL(MAX(E28,(Reprogramaciones!$T$15+7*(Reprogramaciones!L$14-1))),MIN(F28,(Reprogramaciones!$T$15+7*(Reprogramaciones!L$14-1))+6),11))))))))</f>
        <v>0</v>
      </c>
      <c r="BV28" s="1" t="n">
        <f aca="false">IF(OR(NOT(AND(ISNUMBER(E28),ISNUMBER(F28))),$J$2=""),"",IF(Reprogramaciones!M$13&lt;Reprogramaciones!$T$15,0,IF(Reprogramaciones!M$14&gt;10,MIN(100,SUM($G28:$P28)),MIN(100,SUMPRODUCT((COLUMN($G28:$P28)-COLUMN($G28)+1&lt;Reprogramaciones!M$14)*$G28:$P28)+N(INDEX($G28:$P28,1,Reprogramaciones!M$14))*IF(Reprogramaciones!M$13&gt;=(Reprogramaciones!$T$15+7*(Reprogramaciones!M$14-1))+6,1,IF(MAX(0,NETWORKDAYS.INTL(MAX(E28,(Reprogramaciones!$T$15+7*(Reprogramaciones!M$14-1))),MIN(F28,(Reprogramaciones!$T$15+7*(Reprogramaciones!M$14-1))+6),11))=0,0,MAX(0,NETWORKDAYS.INTL(MAX(E28,(Reprogramaciones!$T$15+7*(Reprogramaciones!M$14-1))),MIN(F28,Reprogramaciones!M$13),11))/MAX(0,NETWORKDAYS.INTL(MAX(E28,(Reprogramaciones!$T$15+7*(Reprogramaciones!M$14-1))),MIN(F28,(Reprogramaciones!$T$15+7*(Reprogramaciones!M$14-1))+6),11))))))))</f>
        <v>100</v>
      </c>
      <c r="BW28" s="1" t="n">
        <f aca="false">IF(OR(NOT(AND(ISNUMBER(E28),ISNUMBER(F28))),$J$2=""),"",IF(Reprogramaciones!N$13&lt;Reprogramaciones!$T$15,0,IF(Reprogramaciones!N$14&gt;10,MIN(100,SUM($G28:$P28)),MIN(100,SUMPRODUCT((COLUMN($G28:$P28)-COLUMN($G28)+1&lt;Reprogramaciones!N$14)*$G28:$P28)+N(INDEX($G28:$P28,1,Reprogramaciones!N$14))*IF(Reprogramaciones!N$13&gt;=(Reprogramaciones!$T$15+7*(Reprogramaciones!N$14-1))+6,1,IF(MAX(0,NETWORKDAYS.INTL(MAX(E28,(Reprogramaciones!$T$15+7*(Reprogramaciones!N$14-1))),MIN(F28,(Reprogramaciones!$T$15+7*(Reprogramaciones!N$14-1))+6),11))=0,0,MAX(0,NETWORKDAYS.INTL(MAX(E28,(Reprogramaciones!$T$15+7*(Reprogramaciones!N$14-1))),MIN(F28,Reprogramaciones!N$13),11))/MAX(0,NETWORKDAYS.INTL(MAX(E28,(Reprogramaciones!$T$15+7*(Reprogramaciones!N$14-1))),MIN(F28,(Reprogramaciones!$T$15+7*(Reprogramaciones!N$14-1))+6),11))))))))</f>
        <v>100</v>
      </c>
      <c r="BX28" s="1" t="n">
        <f aca="false">IF(OR(NOT(AND(ISNUMBER(E28),ISNUMBER(F28))),$J$2=""),"",IF(Reprogramaciones!O$13&lt;Reprogramaciones!$T$15,0,IF(Reprogramaciones!O$14&gt;10,MIN(100,SUM($G28:$P28)),MIN(100,SUMPRODUCT((COLUMN($G28:$P28)-COLUMN($G28)+1&lt;Reprogramaciones!O$14)*$G28:$P28)+N(INDEX($G28:$P28,1,Reprogramaciones!O$14))*IF(Reprogramaciones!O$13&gt;=(Reprogramaciones!$T$15+7*(Reprogramaciones!O$14-1))+6,1,IF(MAX(0,NETWORKDAYS.INTL(MAX(E28,(Reprogramaciones!$T$15+7*(Reprogramaciones!O$14-1))),MIN(F28,(Reprogramaciones!$T$15+7*(Reprogramaciones!O$14-1))+6),11))=0,0,MAX(0,NETWORKDAYS.INTL(MAX(E28,(Reprogramaciones!$T$15+7*(Reprogramaciones!O$14-1))),MIN(F28,Reprogramaciones!O$13),11))/MAX(0,NETWORKDAYS.INTL(MAX(E28,(Reprogramaciones!$T$15+7*(Reprogramaciones!O$14-1))),MIN(F28,(Reprogramaciones!$T$15+7*(Reprogramaciones!O$14-1))+6),11))))))))</f>
        <v>100</v>
      </c>
      <c r="BY28" s="1" t="n">
        <f aca="false">IF(OR(NOT(AND(ISNUMBER(E28),ISNUMBER(F28))),$J$2=""),"",IF(Reprogramaciones!P$13&lt;Reprogramaciones!$T$15,0,IF(Reprogramaciones!P$14&gt;10,MIN(100,SUM($G28:$P28)),MIN(100,SUMPRODUCT((COLUMN($G28:$P28)-COLUMN($G28)+1&lt;Reprogramaciones!P$14)*$G28:$P28)+N(INDEX($G28:$P28,1,Reprogramaciones!P$14))*IF(Reprogramaciones!P$13&gt;=(Reprogramaciones!$T$15+7*(Reprogramaciones!P$14-1))+6,1,IF(MAX(0,NETWORKDAYS.INTL(MAX(E28,(Reprogramaciones!$T$15+7*(Reprogramaciones!P$14-1))),MIN(F28,(Reprogramaciones!$T$15+7*(Reprogramaciones!P$14-1))+6),11))=0,0,MAX(0,NETWORKDAYS.INTL(MAX(E28,(Reprogramaciones!$T$15+7*(Reprogramaciones!P$14-1))),MIN(F28,Reprogramaciones!P$13),11))/MAX(0,NETWORKDAYS.INTL(MAX(E28,(Reprogramaciones!$T$15+7*(Reprogramaciones!P$14-1))),MIN(F28,(Reprogramaciones!$T$15+7*(Reprogramaciones!P$14-1))+6),11))))))))</f>
        <v>100</v>
      </c>
      <c r="BZ28" s="1" t="n">
        <f aca="false">IF(OR(NOT(AND(ISNUMBER(E28),ISNUMBER(F28))),$J$2=""),"",IF(Reprogramaciones!Q$13&lt;Reprogramaciones!$T$15,0,IF(Reprogramaciones!Q$14&gt;10,MIN(100,SUM($G28:$P28)),MIN(100,SUMPRODUCT((COLUMN($G28:$P28)-COLUMN($G28)+1&lt;Reprogramaciones!Q$14)*$G28:$P28)+N(INDEX($G28:$P28,1,Reprogramaciones!Q$14))*IF(Reprogramaciones!Q$13&gt;=(Reprogramaciones!$T$15+7*(Reprogramaciones!Q$14-1))+6,1,IF(MAX(0,NETWORKDAYS.INTL(MAX(E28,(Reprogramaciones!$T$15+7*(Reprogramaciones!Q$14-1))),MIN(F28,(Reprogramaciones!$T$15+7*(Reprogramaciones!Q$14-1))+6),11))=0,0,MAX(0,NETWORKDAYS.INTL(MAX(E28,(Reprogramaciones!$T$15+7*(Reprogramaciones!Q$14-1))),MIN(F28,Reprogramaciones!Q$13),11))/MAX(0,NETWORKDAYS.INTL(MAX(E28,(Reprogramaciones!$T$15+7*(Reprogramaciones!Q$14-1))),MIN(F28,(Reprogramaciones!$T$15+7*(Reprogramaciones!Q$14-1))+6),11))))))))</f>
        <v>100</v>
      </c>
      <c r="CA28" s="1" t="n">
        <f aca="false">IF(OR(NOT(AND(ISNUMBER(E28),ISNUMBER(F28))),$J$2=""),"",IF(Reprogramaciones!R$13&lt;Reprogramaciones!$T$15,0,IF(Reprogramaciones!R$14&gt;10,MIN(100,SUM($G28:$P28)),MIN(100,SUMPRODUCT((COLUMN($G28:$P28)-COLUMN($G28)+1&lt;Reprogramaciones!R$14)*$G28:$P28)+N(INDEX($G28:$P28,1,Reprogramaciones!R$14))*IF(Reprogramaciones!R$13&gt;=(Reprogramaciones!$T$15+7*(Reprogramaciones!R$14-1))+6,1,IF(MAX(0,NETWORKDAYS.INTL(MAX(E28,(Reprogramaciones!$T$15+7*(Reprogramaciones!R$14-1))),MIN(F28,(Reprogramaciones!$T$15+7*(Reprogramaciones!R$14-1))+6),11))=0,0,MAX(0,NETWORKDAYS.INTL(MAX(E28,(Reprogramaciones!$T$15+7*(Reprogramaciones!R$14-1))),MIN(F28,Reprogramaciones!R$13),11))/MAX(0,NETWORKDAYS.INTL(MAX(E28,(Reprogramaciones!$T$15+7*(Reprogramaciones!R$14-1))),MIN(F28,(Reprogramaciones!$T$15+7*(Reprogramaciones!R$14-1))+6),11))))))))</f>
        <v>100</v>
      </c>
      <c r="CB28" s="1" t="n">
        <f aca="false">IF(OR(NOT(AND(ISNUMBER(E28),ISNUMBER(F28))),$J$2=""),"",IF(Reprogramaciones!S$13&lt;Reprogramaciones!$T$15,0,IF(Reprogramaciones!S$14&gt;10,MIN(100,SUM($G28:$P28)),MIN(100,SUMPRODUCT((COLUMN($G28:$P28)-COLUMN($G28)+1&lt;Reprogramaciones!S$14)*$G28:$P28)+N(INDEX($G28:$P28,1,Reprogramaciones!S$14))*IF(Reprogramaciones!S$13&gt;=(Reprogramaciones!$T$15+7*(Reprogramaciones!S$14-1))+6,1,IF(MAX(0,NETWORKDAYS.INTL(MAX(E28,(Reprogramaciones!$T$15+7*(Reprogramaciones!S$14-1))),MIN(F28,(Reprogramaciones!$T$15+7*(Reprogramaciones!S$14-1))+6),11))=0,0,MAX(0,NETWORKDAYS.INTL(MAX(E28,(Reprogramaciones!$T$15+7*(Reprogramaciones!S$14-1))),MIN(F28,Reprogramaciones!S$13),11))/MAX(0,NETWORKDAYS.INTL(MAX(E28,(Reprogramaciones!$T$15+7*(Reprogramaciones!S$14-1))),MIN(F28,(Reprogramaciones!$T$15+7*(Reprogramaciones!S$14-1))+6),11))))))))</f>
        <v>100</v>
      </c>
      <c r="CC28" s="1" t="n">
        <f aca="false">IF(OR(NOT(AND(ISNUMBER(E28),ISNUMBER(F28))),$J$2=""),"",IF(Reprogramaciones!T$13&lt;Reprogramaciones!$T$15,0,IF(Reprogramaciones!T$14&gt;10,MIN(100,SUM($G28:$P28)),MIN(100,SUMPRODUCT((COLUMN($G28:$P28)-COLUMN($G28)+1&lt;Reprogramaciones!T$14)*$G28:$P28)+N(INDEX($G28:$P28,1,Reprogramaciones!T$14))*IF(Reprogramaciones!T$13&gt;=(Reprogramaciones!$T$15+7*(Reprogramaciones!T$14-1))+6,1,IF(MAX(0,NETWORKDAYS.INTL(MAX(E28,(Reprogramaciones!$T$15+7*(Reprogramaciones!T$14-1))),MIN(F28,(Reprogramaciones!$T$15+7*(Reprogramaciones!T$14-1))+6),11))=0,0,MAX(0,NETWORKDAYS.INTL(MAX(E28,(Reprogramaciones!$T$15+7*(Reprogramaciones!T$14-1))),MIN(F28,Reprogramaciones!T$13),11))/MAX(0,NETWORKDAYS.INTL(MAX(E28,(Reprogramaciones!$T$15+7*(Reprogramaciones!T$14-1))),MIN(F28,(Reprogramaciones!$T$15+7*(Reprogramaciones!T$14-1))+6),11))))))))</f>
        <v>100</v>
      </c>
      <c r="CD28" s="1" t="n">
        <f aca="false">IF(OR(NOT(AND(ISNUMBER(E28),ISNUMBER(F28))),$J$2=""),"",IF(Reprogramaciones!U$13&lt;Reprogramaciones!$T$15,0,IF(Reprogramaciones!U$14&gt;10,MIN(100,SUM($G28:$P28)),MIN(100,SUMPRODUCT((COLUMN($G28:$P28)-COLUMN($G28)+1&lt;Reprogramaciones!U$14)*$G28:$P28)+N(INDEX($G28:$P28,1,Reprogramaciones!U$14))*IF(Reprogramaciones!U$13&gt;=(Reprogramaciones!$T$15+7*(Reprogramaciones!U$14-1))+6,1,IF(MAX(0,NETWORKDAYS.INTL(MAX(E28,(Reprogramaciones!$T$15+7*(Reprogramaciones!U$14-1))),MIN(F28,(Reprogramaciones!$T$15+7*(Reprogramaciones!U$14-1))+6),11))=0,0,MAX(0,NETWORKDAYS.INTL(MAX(E28,(Reprogramaciones!$T$15+7*(Reprogramaciones!U$14-1))),MIN(F28,Reprogramaciones!U$13),11))/MAX(0,NETWORKDAYS.INTL(MAX(E28,(Reprogramaciones!$T$15+7*(Reprogramaciones!U$14-1))),MIN(F28,(Reprogramaciones!$T$15+7*(Reprogramaciones!U$14-1))+6),11))))))))</f>
        <v>100</v>
      </c>
      <c r="CE28" s="1" t="n">
        <f aca="false">IF(OR(NOT(AND(ISNUMBER(E28),ISNUMBER(F28))),$J$2=""),"",IF(Reprogramaciones!V$13&lt;Reprogramaciones!$T$15,0,IF(Reprogramaciones!V$14&gt;10,MIN(100,SUM($G28:$P28)),MIN(100,SUMPRODUCT((COLUMN($G28:$P28)-COLUMN($G28)+1&lt;Reprogramaciones!V$14)*$G28:$P28)+N(INDEX($G28:$P28,1,Reprogramaciones!V$14))*IF(Reprogramaciones!V$13&gt;=(Reprogramaciones!$T$15+7*(Reprogramaciones!V$14-1))+6,1,IF(MAX(0,NETWORKDAYS.INTL(MAX(E28,(Reprogramaciones!$T$15+7*(Reprogramaciones!V$14-1))),MIN(F28,(Reprogramaciones!$T$15+7*(Reprogramaciones!V$14-1))+6),11))=0,0,MAX(0,NETWORKDAYS.INTL(MAX(E28,(Reprogramaciones!$T$15+7*(Reprogramaciones!V$14-1))),MIN(F28,Reprogramaciones!V$13),11))/MAX(0,NETWORKDAYS.INTL(MAX(E28,(Reprogramaciones!$T$15+7*(Reprogramaciones!V$14-1))),MIN(F28,(Reprogramaciones!$T$15+7*(Reprogramaciones!V$14-1))+6),11))))))))</f>
        <v>100</v>
      </c>
      <c r="CF28" s="1" t="n">
        <f aca="false">IF(OR(NOT(AND(ISNUMBER(E28),ISNUMBER(F28))),$J$2=""),"",IF(Reprogramaciones!W$13&lt;Reprogramaciones!$T$15,0,IF(Reprogramaciones!W$14&gt;10,MIN(100,SUM($G28:$P28)),MIN(100,SUMPRODUCT((COLUMN($G28:$P28)-COLUMN($G28)+1&lt;Reprogramaciones!W$14)*$G28:$P28)+N(INDEX($G28:$P28,1,Reprogramaciones!W$14))*IF(Reprogramaciones!W$13&gt;=(Reprogramaciones!$T$15+7*(Reprogramaciones!W$14-1))+6,1,IF(MAX(0,NETWORKDAYS.INTL(MAX(E28,(Reprogramaciones!$T$15+7*(Reprogramaciones!W$14-1))),MIN(F28,(Reprogramaciones!$T$15+7*(Reprogramaciones!W$14-1))+6),11))=0,0,MAX(0,NETWORKDAYS.INTL(MAX(E28,(Reprogramaciones!$T$15+7*(Reprogramaciones!W$14-1))),MIN(F28,Reprogramaciones!W$13),11))/MAX(0,NETWORKDAYS.INTL(MAX(E28,(Reprogramaciones!$T$15+7*(Reprogramaciones!W$14-1))),MIN(F28,(Reprogramaciones!$T$15+7*(Reprogramaciones!W$14-1))+6),11))))))))</f>
        <v>100</v>
      </c>
      <c r="CG28" s="1" t="n">
        <f aca="false">IF(OR(NOT(AND(ISNUMBER(E28),ISNUMBER(F28))),$J$2=""),"",IF(Reprogramaciones!X$13&lt;Reprogramaciones!$T$15,0,IF(Reprogramaciones!X$14&gt;10,MIN(100,SUM($G28:$P28)),MIN(100,SUMPRODUCT((COLUMN($G28:$P28)-COLUMN($G28)+1&lt;Reprogramaciones!X$14)*$G28:$P28)+N(INDEX($G28:$P28,1,Reprogramaciones!X$14))*IF(Reprogramaciones!X$13&gt;=(Reprogramaciones!$T$15+7*(Reprogramaciones!X$14-1))+6,1,IF(MAX(0,NETWORKDAYS.INTL(MAX(E28,(Reprogramaciones!$T$15+7*(Reprogramaciones!X$14-1))),MIN(F28,(Reprogramaciones!$T$15+7*(Reprogramaciones!X$14-1))+6),11))=0,0,MAX(0,NETWORKDAYS.INTL(MAX(E28,(Reprogramaciones!$T$15+7*(Reprogramaciones!X$14-1))),MIN(F28,Reprogramaciones!X$13),11))/MAX(0,NETWORKDAYS.INTL(MAX(E28,(Reprogramaciones!$T$15+7*(Reprogramaciones!X$14-1))),MIN(F28,(Reprogramaciones!$T$15+7*(Reprogramaciones!X$14-1))+6),11))))))))</f>
        <v>100</v>
      </c>
      <c r="CH28" s="1" t="n">
        <f aca="false">IF(OR(NOT(AND(ISNUMBER(E28),ISNUMBER(F28))),$J$2=""),"",IF(Reprogramaciones!Y$13&lt;Reprogramaciones!$T$15,0,IF(Reprogramaciones!Y$14&gt;10,MIN(100,SUM($G28:$P28)),MIN(100,SUMPRODUCT((COLUMN($G28:$P28)-COLUMN($G28)+1&lt;Reprogramaciones!Y$14)*$G28:$P28)+N(INDEX($G28:$P28,1,Reprogramaciones!Y$14))*IF(Reprogramaciones!Y$13&gt;=(Reprogramaciones!$T$15+7*(Reprogramaciones!Y$14-1))+6,1,IF(MAX(0,NETWORKDAYS.INTL(MAX(E28,(Reprogramaciones!$T$15+7*(Reprogramaciones!Y$14-1))),MIN(F28,(Reprogramaciones!$T$15+7*(Reprogramaciones!Y$14-1))+6),11))=0,0,MAX(0,NETWORKDAYS.INTL(MAX(E28,(Reprogramaciones!$T$15+7*(Reprogramaciones!Y$14-1))),MIN(F28,Reprogramaciones!Y$13),11))/MAX(0,NETWORKDAYS.INTL(MAX(E28,(Reprogramaciones!$T$15+7*(Reprogramaciones!Y$14-1))),MIN(F28,(Reprogramaciones!$T$15+7*(Reprogramaciones!Y$14-1))+6),11))))))))</f>
        <v>100</v>
      </c>
      <c r="CI28" s="1" t="n">
        <f aca="false">IF(OR(NOT(AND(ISNUMBER(E28),ISNUMBER(F28))),$J$2=""),"",IF(Reprogramaciones!Z$13&lt;Reprogramaciones!$T$15,0,IF(Reprogramaciones!Z$14&gt;10,MIN(100,SUM($G28:$P28)),MIN(100,SUMPRODUCT((COLUMN($G28:$P28)-COLUMN($G28)+1&lt;Reprogramaciones!Z$14)*$G28:$P28)+N(INDEX($G28:$P28,1,Reprogramaciones!Z$14))*IF(Reprogramaciones!Z$13&gt;=(Reprogramaciones!$T$15+7*(Reprogramaciones!Z$14-1))+6,1,IF(MAX(0,NETWORKDAYS.INTL(MAX(E28,(Reprogramaciones!$T$15+7*(Reprogramaciones!Z$14-1))),MIN(F28,(Reprogramaciones!$T$15+7*(Reprogramaciones!Z$14-1))+6),11))=0,0,MAX(0,NETWORKDAYS.INTL(MAX(E28,(Reprogramaciones!$T$15+7*(Reprogramaciones!Z$14-1))),MIN(F28,Reprogramaciones!Z$13),11))/MAX(0,NETWORKDAYS.INTL(MAX(E28,(Reprogramaciones!$T$15+7*(Reprogramaciones!Z$14-1))),MIN(F28,(Reprogramaciones!$T$15+7*(Reprogramaciones!Z$14-1))+6),11))))))))</f>
        <v>100</v>
      </c>
      <c r="CJ28" s="1" t="n">
        <f aca="false">IF(OR(OR(NOT(AND(ISNUMBER(E28),ISNUMBER(F28))),$J$2=""),1&gt;Reprogramaciones!$K$16),"",IF(ROUND(SUM($Q28:Q28),1)&gt;=99.5,100,MIN(100,ROUND(SUM($Q28:Q28),1))))</f>
        <v>0</v>
      </c>
      <c r="CK28" s="1" t="n">
        <f aca="false">IF(OR(OR(NOT(AND(ISNUMBER(E28),ISNUMBER(F28))),$J$2=""),2&gt;Reprogramaciones!$K$16),"",IF(ROUND(SUM($Q28:R28),1)&gt;=99.5,100,MIN(100,ROUND(SUM($Q28:R28),1))))</f>
        <v>0</v>
      </c>
      <c r="CL28" s="1" t="n">
        <f aca="false">IF(OR(OR(NOT(AND(ISNUMBER(E28),ISNUMBER(F28))),$J$2=""),3&gt;Reprogramaciones!$K$16),"",IF(ROUND(SUM($Q28:S28),1)&gt;=99.5,100,MIN(100,ROUND(SUM($Q28:S28),1))))</f>
        <v>100</v>
      </c>
      <c r="CM28" s="1" t="n">
        <f aca="false">IF(OR(OR(NOT(AND(ISNUMBER(E28),ISNUMBER(F28))),$J$2=""),4&gt;Reprogramaciones!$K$16),"",IF(ROUND(SUM($Q28:T28),1)&gt;=99.5,100,MIN(100,ROUND(SUM($Q28:T28),1))))</f>
        <v>100</v>
      </c>
      <c r="CN28" s="1" t="n">
        <f aca="false">IF(OR(OR(NOT(AND(ISNUMBER(E28),ISNUMBER(F28))),$J$2=""),5&gt;Reprogramaciones!$K$16),"",IF(ROUND(SUM($Q28:U28),1)&gt;=99.5,100,MIN(100,ROUND(SUM($Q28:U28),1))))</f>
        <v>100</v>
      </c>
      <c r="CO28" s="1" t="str">
        <f aca="false">IF(OR(OR(NOT(AND(ISNUMBER(E28),ISNUMBER(F28))),$J$2=""),6&gt;Reprogramaciones!$K$16),"",IF(ROUND(SUM($Q28:V28),1)&gt;=99.5,100,MIN(100,ROUND(SUM($Q28:V28),1))))</f>
        <v/>
      </c>
      <c r="CP28" s="1" t="str">
        <f aca="false">IF(OR(OR(NOT(AND(ISNUMBER(E28),ISNUMBER(F28))),$J$2=""),7&gt;Reprogramaciones!$K$16),"",IF(ROUND(SUM($Q28:W28),1)&gt;=99.5,100,MIN(100,ROUND(SUM($Q28:W28),1))))</f>
        <v/>
      </c>
      <c r="CQ28" s="1" t="str">
        <f aca="false">IF(OR(OR(NOT(AND(ISNUMBER(E28),ISNUMBER(F28))),$J$2=""),8&gt;Reprogramaciones!$K$16),"",IF(ROUND(SUM($Q28:X28),1)&gt;=99.5,100,MIN(100,ROUND(SUM($Q28:X28),1))))</f>
        <v/>
      </c>
      <c r="CR28" s="1" t="str">
        <f aca="false">IF(OR(OR(NOT(AND(ISNUMBER(E28),ISNUMBER(F28))),$J$2=""),9&gt;Reprogramaciones!$K$16),"",IF(ROUND(SUM($Q28:Y28),1)&gt;=99.5,100,MIN(100,ROUND(SUM($Q28:Y28),1))))</f>
        <v/>
      </c>
      <c r="CS28" s="1" t="str">
        <f aca="false">IF(OR(OR(NOT(AND(ISNUMBER(E28),ISNUMBER(F28))),$J$2=""),10&gt;Reprogramaciones!$K$16),"",IF(ROUND(SUM($Q28:Z28),1)&gt;=99.5,100,MIN(100,ROUND(SUM($Q28:Z28),1))))</f>
        <v/>
      </c>
      <c r="CT28" s="1" t="str">
        <f aca="false">IF(OR(OR(NOT(AND(ISNUMBER(E28),ISNUMBER(F28))),$J$2=""),11&gt;Reprogramaciones!$K$16),"",IF(ROUND(SUM($Q28:AA28),1)&gt;=99.5,100,MIN(100,ROUND(SUM($Q28:AA28),1))))</f>
        <v/>
      </c>
      <c r="CU28" s="1" t="str">
        <f aca="false">IF(OR(OR(NOT(AND(ISNUMBER(E28),ISNUMBER(F28))),$J$2=""),12&gt;Reprogramaciones!$K$16),"",IF(ROUND(SUM($Q28:AB28),1)&gt;=99.5,100,MIN(100,ROUND(SUM($Q28:AB28),1))))</f>
        <v/>
      </c>
      <c r="CV28" s="1" t="str">
        <f aca="false">IF(OR(OR(NOT(AND(ISNUMBER(E28),ISNUMBER(F28))),$J$2=""),13&gt;Reprogramaciones!$K$16),"",IF(ROUND(SUM($Q28:AC28),1)&gt;=99.5,100,MIN(100,ROUND(SUM($Q28:AC28),1))))</f>
        <v/>
      </c>
      <c r="CW28" s="1" t="str">
        <f aca="false">IF(OR(OR(NOT(AND(ISNUMBER(E28),ISNUMBER(F28))),$J$2=""),14&gt;Reprogramaciones!$K$16),"",IF(ROUND(SUM($Q28:AD28),1)&gt;=99.5,100,MIN(100,ROUND(SUM($Q28:AD28),1))))</f>
        <v/>
      </c>
      <c r="CX28" s="1" t="str">
        <f aca="false">IF(OR(OR(NOT(AND(ISNUMBER(E28),ISNUMBER(F28))),$J$2=""),15&gt;Reprogramaciones!$K$16),"",IF(ROUND(SUM($Q28:AE28),1)&gt;=99.5,100,MIN(100,ROUND(SUM($Q28:AE28),1))))</f>
        <v/>
      </c>
      <c r="CY28" s="1" t="str">
        <f aca="false">IF(OR(OR(NOT(AND(ISNUMBER(E28),ISNUMBER(F28))),$J$2=""),16&gt;Reprogramaciones!$K$16),"",IF(ROUND(SUM($Q28:AF28),1)&gt;=99.5,100,MIN(100,ROUND(SUM($Q28:AF28),1))))</f>
        <v/>
      </c>
      <c r="CZ28" s="1" t="str">
        <f aca="false">IF(D28&lt;&gt;"",D28,IF(B28&lt;&gt;"","Contractual",CZ27))</f>
        <v>Contractual</v>
      </c>
      <c r="DA28" s="1" t="n">
        <f aca="false">IF(OR(NOT(AND(ISNUMBER(E28),ISNUMBER(F28))),$J$2=""),"",IF(Reprogramaciones!$Q$15&lt;Reprogramaciones!$T$15,0,IF(Reprogramaciones!$S$15&gt;10,MIN(100,SUM($G28:$P28)),MIN(100,SUMPRODUCT((COLUMN($G28:$P28)-COLUMN($G28)+1&lt;Reprogramaciones!$S$15)*$G28:$P28)+N(INDEX($G28:$P28,1,Reprogramaciones!$S$15))*IF(Reprogramaciones!$Q$15&gt;=(Reprogramaciones!$T$15+7*(Reprogramaciones!$S$15-1))+6,1,IF(MAX(0,NETWORKDAYS.INTL(MAX(E28,(Reprogramaciones!$T$15+7*(Reprogramaciones!$S$15-1))),MIN(F28,(Reprogramaciones!$T$15+7*(Reprogramaciones!$S$15-1))+6),11))=0,0,MAX(0,NETWORKDAYS.INTL(MAX(E28,(Reprogramaciones!$T$15+7*(Reprogramaciones!$S$15-1))),MIN(F28,Reprogramaciones!$Q$15),11))/MAX(0,NETWORKDAYS.INTL(MAX(E28,(Reprogramaciones!$T$15+7*(Reprogramaciones!$S$15-1))),MIN(F28,(Reprogramaciones!$T$15+7*(Reprogramaciones!$S$15-1))+6),11))))))))</f>
        <v>100</v>
      </c>
    </row>
    <row r="29" customFormat="false" ht="15" hidden="false" customHeight="false" outlineLevel="0" collapsed="false">
      <c r="A29" s="32" t="s">
        <v>199</v>
      </c>
      <c r="B29" s="33"/>
      <c r="C29" s="33" t="s">
        <v>200</v>
      </c>
      <c r="D29" s="34"/>
      <c r="E29" s="35" t="n">
        <v>46303</v>
      </c>
      <c r="F29" s="35" t="n">
        <v>46308</v>
      </c>
      <c r="G29" s="36" t="n">
        <f aca="false">IF(OR(NOT(AND(ISNUMBER(E29),ISNUMBER(F29))),$J$2=""),"",IF(Reprogramaciones!K$9&lt;E29,0,IF(NETWORKDAYS.INTL(E29,F29,11)=0,IF(Reprogramaciones!K$9&gt;=F29,100,0),ROUND(NETWORKDAYS.INTL(E29,MIN(F29,Reprogramaciones!K$9),11)/NETWORKDAYS.INTL(E29,F29,11)*100,1)))-0)</f>
        <v>0</v>
      </c>
      <c r="H29" s="36" t="n">
        <f aca="false">IF(OR(NOT(AND(ISNUMBER(E29),ISNUMBER(F29))),$J$2=""),"",IF(Reprogramaciones!L$9&lt;E29,0,IF(NETWORKDAYS.INTL(E29,F29,11)=0,IF(Reprogramaciones!L$9&gt;=F29,100,0),ROUND(NETWORKDAYS.INTL(E29,MIN(F29,Reprogramaciones!L$9),11)/NETWORKDAYS.INTL(E29,F29,11)*100,1)))-IF(Reprogramaciones!K$9&lt;E29,0,IF(NETWORKDAYS.INTL(E29,F29,11)=0,IF(Reprogramaciones!K$9&gt;=F29,100,0),ROUND(NETWORKDAYS.INTL(E29,MIN(F29,Reprogramaciones!K$9),11)/NETWORKDAYS.INTL(E29,F29,11)*100,1))))</f>
        <v>0</v>
      </c>
      <c r="I29" s="36" t="n">
        <f aca="false">IF(OR(NOT(AND(ISNUMBER(E29),ISNUMBER(F29))),$J$2=""),"",IF(Reprogramaciones!M$9&lt;E29,0,IF(NETWORKDAYS.INTL(E29,F29,11)=0,IF(Reprogramaciones!M$9&gt;=F29,100,0),ROUND(NETWORKDAYS.INTL(E29,MIN(F29,Reprogramaciones!M$9),11)/NETWORKDAYS.INTL(E29,F29,11)*100,1)))-IF(Reprogramaciones!L$9&lt;E29,0,IF(NETWORKDAYS.INTL(E29,F29,11)=0,IF(Reprogramaciones!L$9&gt;=F29,100,0),ROUND(NETWORKDAYS.INTL(E29,MIN(F29,Reprogramaciones!L$9),11)/NETWORKDAYS.INTL(E29,F29,11)*100,1))))</f>
        <v>60</v>
      </c>
      <c r="J29" s="36" t="n">
        <f aca="false">IF(OR(NOT(AND(ISNUMBER(E29),ISNUMBER(F29))),$J$2=""),"",IF(Reprogramaciones!N$9&lt;E29,0,IF(NETWORKDAYS.INTL(E29,F29,11)=0,IF(Reprogramaciones!N$9&gt;=F29,100,0),ROUND(NETWORKDAYS.INTL(E29,MIN(F29,Reprogramaciones!N$9),11)/NETWORKDAYS.INTL(E29,F29,11)*100,1)))-IF(Reprogramaciones!M$9&lt;E29,0,IF(NETWORKDAYS.INTL(E29,F29,11)=0,IF(Reprogramaciones!M$9&gt;=F29,100,0),ROUND(NETWORKDAYS.INTL(E29,MIN(F29,Reprogramaciones!M$9),11)/NETWORKDAYS.INTL(E29,F29,11)*100,1))))</f>
        <v>40</v>
      </c>
      <c r="K29" s="36" t="n">
        <f aca="false">IF(OR(NOT(AND(ISNUMBER(E29),ISNUMBER(F29))),$J$2=""),"",IF(Reprogramaciones!O$9&lt;E29,0,IF(NETWORKDAYS.INTL(E29,F29,11)=0,IF(Reprogramaciones!O$9&gt;=F29,100,0),ROUND(NETWORKDAYS.INTL(E29,MIN(F29,Reprogramaciones!O$9),11)/NETWORKDAYS.INTL(E29,F29,11)*100,1)))-IF(Reprogramaciones!N$9&lt;E29,0,IF(NETWORKDAYS.INTL(E29,F29,11)=0,IF(Reprogramaciones!N$9&gt;=F29,100,0),ROUND(NETWORKDAYS.INTL(E29,MIN(F29,Reprogramaciones!N$9),11)/NETWORKDAYS.INTL(E29,F29,11)*100,1))))</f>
        <v>0</v>
      </c>
      <c r="L29" s="36" t="n">
        <f aca="false">IF(OR(NOT(AND(ISNUMBER(E29),ISNUMBER(F29))),$J$2=""),"",IF(Reprogramaciones!P$9&lt;E29,0,IF(NETWORKDAYS.INTL(E29,F29,11)=0,IF(Reprogramaciones!P$9&gt;=F29,100,0),ROUND(NETWORKDAYS.INTL(E29,MIN(F29,Reprogramaciones!P$9),11)/NETWORKDAYS.INTL(E29,F29,11)*100,1)))-IF(Reprogramaciones!O$9&lt;E29,0,IF(NETWORKDAYS.INTL(E29,F29,11)=0,IF(Reprogramaciones!O$9&gt;=F29,100,0),ROUND(NETWORKDAYS.INTL(E29,MIN(F29,Reprogramaciones!O$9),11)/NETWORKDAYS.INTL(E29,F29,11)*100,1))))</f>
        <v>0</v>
      </c>
      <c r="M29" s="36" t="n">
        <f aca="false">IF(OR(NOT(AND(ISNUMBER(E29),ISNUMBER(F29))),$J$2=""),"",IF(Reprogramaciones!Q$9&lt;E29,0,IF(NETWORKDAYS.INTL(E29,F29,11)=0,IF(Reprogramaciones!Q$9&gt;=F29,100,0),ROUND(NETWORKDAYS.INTL(E29,MIN(F29,Reprogramaciones!Q$9),11)/NETWORKDAYS.INTL(E29,F29,11)*100,1)))-IF(Reprogramaciones!P$9&lt;E29,0,IF(NETWORKDAYS.INTL(E29,F29,11)=0,IF(Reprogramaciones!P$9&gt;=F29,100,0),ROUND(NETWORKDAYS.INTL(E29,MIN(F29,Reprogramaciones!P$9),11)/NETWORKDAYS.INTL(E29,F29,11)*100,1))))</f>
        <v>0</v>
      </c>
      <c r="N29" s="36" t="n">
        <f aca="false">IF(OR(NOT(AND(ISNUMBER(E29),ISNUMBER(F29))),$J$2=""),"",IF(Reprogramaciones!R$9&lt;E29,0,IF(NETWORKDAYS.INTL(E29,F29,11)=0,IF(Reprogramaciones!R$9&gt;=F29,100,0),ROUND(NETWORKDAYS.INTL(E29,MIN(F29,Reprogramaciones!R$9),11)/NETWORKDAYS.INTL(E29,F29,11)*100,1)))-IF(Reprogramaciones!Q$9&lt;E29,0,IF(NETWORKDAYS.INTL(E29,F29,11)=0,IF(Reprogramaciones!Q$9&gt;=F29,100,0),ROUND(NETWORKDAYS.INTL(E29,MIN(F29,Reprogramaciones!Q$9),11)/NETWORKDAYS.INTL(E29,F29,11)*100,1))))</f>
        <v>0</v>
      </c>
      <c r="O29" s="36" t="n">
        <f aca="false">IF(OR(NOT(AND(ISNUMBER(E29),ISNUMBER(F29))),$J$2=""),"",IF(Reprogramaciones!S$9&lt;E29,0,IF(NETWORKDAYS.INTL(E29,F29,11)=0,IF(Reprogramaciones!S$9&gt;=F29,100,0),ROUND(NETWORKDAYS.INTL(E29,MIN(F29,Reprogramaciones!S$9),11)/NETWORKDAYS.INTL(E29,F29,11)*100,1)))-IF(Reprogramaciones!R$9&lt;E29,0,IF(NETWORKDAYS.INTL(E29,F29,11)=0,IF(Reprogramaciones!R$9&gt;=F29,100,0),ROUND(NETWORKDAYS.INTL(E29,MIN(F29,Reprogramaciones!R$9),11)/NETWORKDAYS.INTL(E29,F29,11)*100,1))))</f>
        <v>0</v>
      </c>
      <c r="P29" s="36" t="n">
        <f aca="false">IF(OR(NOT(AND(ISNUMBER(E29),ISNUMBER(F29))),$J$2=""),"",IF(Reprogramaciones!T$9&lt;E29,0,IF(NETWORKDAYS.INTL(E29,F29,11)=0,IF(Reprogramaciones!T$9&gt;=F29,100,0),ROUND(NETWORKDAYS.INTL(E29,MIN(F29,Reprogramaciones!T$9),11)/NETWORKDAYS.INTL(E29,F29,11)*100,1)))-IF(Reprogramaciones!S$9&lt;E29,0,IF(NETWORKDAYS.INTL(E29,F29,11)=0,IF(Reprogramaciones!S$9&gt;=F29,100,0),ROUND(NETWORKDAYS.INTL(E29,MIN(F29,Reprogramaciones!S$9),11)/NETWORKDAYS.INTL(E29,F29,11)*100,1))))</f>
        <v>0</v>
      </c>
      <c r="Q29" s="37"/>
      <c r="R29" s="37"/>
      <c r="S29" s="37" t="n">
        <v>60</v>
      </c>
      <c r="T29" s="37" t="n">
        <v>40</v>
      </c>
      <c r="U29" s="37"/>
      <c r="V29" s="37"/>
      <c r="W29" s="37"/>
      <c r="X29" s="37"/>
      <c r="Y29" s="37"/>
      <c r="Z29" s="37"/>
      <c r="AA29" s="37"/>
      <c r="AB29" s="37"/>
      <c r="AC29" s="37"/>
      <c r="AD29" s="37"/>
      <c r="AE29" s="37"/>
      <c r="AF29" s="37"/>
      <c r="AG29" s="38" t="n">
        <f aca="false">IF(AND(ISNUMBER(E29),ISNUMBER(F29)),NETWORKDAYS.INTL(E29,F29,11),"")</f>
        <v>5</v>
      </c>
      <c r="AH29" s="38" t="n">
        <f aca="false">IF(OR(NOT(AND(ISNUMBER(E29),ISNUMBER(F29))),$J$2=""),"",IF(Reprogramaciones!$P$15&lt;Reprogramaciones!$T$15,0,IF(Reprogramaciones!$R$15&gt;10,MIN(100,SUM($G29:$P29)),MIN(100,SUMPRODUCT((COLUMN($G29:$P29)-COLUMN($G29)+1&lt;Reprogramaciones!$R$15)*$G29:$P29)+N(INDEX($G29:$P29,1,Reprogramaciones!$R$15))*IF(Reprogramaciones!$P$15&gt;=(Reprogramaciones!$T$15+7*(Reprogramaciones!$R$15-1))+6,1,IF(MAX(0,NETWORKDAYS.INTL(MAX(E29,(Reprogramaciones!$T$15+7*(Reprogramaciones!$R$15-1))),MIN(F29,(Reprogramaciones!$T$15+7*(Reprogramaciones!$R$15-1))+6),11))=0,0,MAX(0,NETWORKDAYS.INTL(MAX(E29,(Reprogramaciones!$T$15+7*(Reprogramaciones!$R$15-1))),MIN(F29,Reprogramaciones!$P$15),11))/MAX(0,NETWORKDAYS.INTL(MAX(E29,(Reprogramaciones!$T$15+7*(Reprogramaciones!$R$15-1))),MIN(F29,(Reprogramaciones!$T$15+7*(Reprogramaciones!$R$15-1))+6),11))))))))</f>
        <v>100</v>
      </c>
      <c r="AI29" s="38" t="n">
        <f aca="false">IF(COUNT($Q29:$AF29)=0,"",IF(ROUND(SUM($Q29:$AF29),1)&gt;=99.5,100,MIN(100,ROUND(SUM($Q29:$AF29),1))))</f>
        <v>100</v>
      </c>
      <c r="AJ29" s="38" t="n">
        <f aca="false">IF(OR(AH29="",AI29=""),"",AI29-AH29)</f>
        <v>0</v>
      </c>
      <c r="AK29" s="39" t="str">
        <f aca="true">IF(AH29="","",IF(OR(Ficha!$C$10="Suspendida",Ficha!$C$10="Cancelada"),Ficha!$C$10,IF(AND(AI29&lt;&gt;"",N(AI29)&gt;=100),"Completada",IF(AND(E29&gt;TODAY(),N(AI29)=0),"Por iniciar",IF(N(AI29)+0.5&lt;AH29,"Retrasada",IF(N(AI29)+0.5&lt;DA29,IF(Reprogramaciones!$K$15&gt;0,"Al día · Sem "&amp;Reprogramaciones!$K$15&amp;" en curso","Al día · en curso"),"A tiempo"))))))</f>
        <v>Completada</v>
      </c>
      <c r="AL29" s="39" t="str">
        <f aca="true">IF(AND(A29="",AND(B29="",C29="",E29="",F29="",COUNT(Q29:AF29)=0)),"",IF(AND(B29="",C29="",E29="",F29="",COUNT(Q29:AF29)=0),"Falta la partida o subpartida",IF(AND(A29&lt;&gt;"",COUNTIF($A$6:$A$305,A29)&gt;1),"Ítem repetido",IF(AND(C29="",E29="",F29="",COUNT(Q29:AF29)=0),"Título de partida",IF(OR(E29="",F29=""),"Faltan fechas",IF(OR(ISTEXT(E29),ISTEXT(F29)),"Fecha escrita como texto: usa dd/mm/aaaa",IF(F29&lt;E29,"Fin antes del inicio",IF(IF($J$2="",FALSE(),OR(E29&lt;$J$2,F29&gt;Reprogramaciones!$T$15+69)),"Fuera de las 10 semanas",IF(ABS(SUM(G29:P29)-100)&gt;0.5,"La meta no suma 100%",IF(ROUND(SUM(Q29:AF29),1)&gt;100.5,"El avance pasa de 100%",IF(MIN(Q29:AF29)&lt;0,"Avance negativo",IF(COUNTA(Q29:AF29)&gt;COUNT(Q29:AF29),"Avance escrito como texto",IF(SUMPRODUCT((Q29:AF29&gt;0)*(Q29:AF29&lt;1))&gt;0,"Avance menor a 1: escribe 50, no 50%",IF(SUMPRODUCT(ISNUMBER(Q29:AF29)*(Reprogramaciones!$K$8:$Z$8&gt;TODAY()))&gt;0,"Avance en semana que aún no llega",IF(AND(N(Reprogramaciones!$E$21)&gt;0,F29&gt;Reprogramaciones!$E$21),"Pasa el fin de la obra: registra una reprogramación",IF(AND(N(Reprogramaciones!$E$21)&gt;0,SUMPRODUCT(ISNUMBER(Q29:AF29)*(Reprogramaciones!$K$8:$Z$8&gt;Reprogramaciones!$E$21))&gt;0),"Avance después del fin de la obra: registra una reprogramación por atraso","OK"))))))))))))))))</f>
        <v>OK</v>
      </c>
      <c r="AM29" s="40" t="str">
        <f aca="false">IF(OR(OR(NOT(AND(ISNUMBER(E29),ISNUMBER(F29))),$J$2=""),1&gt;MAX(1,Reprogramaciones!$U$15)),"",IF(Reprogramaciones!K$12&gt;=7,"",IF(OR(BT29-N(0)&gt;0.05,N(Q29)&gt;0),ROUNDDOWN(ROUND(BT29,6),0)&amp;"%"&amp;IF(CJ29="",""," / "&amp;CJ29&amp;"%"),IF(AND(N(0)&gt;=99.95,CJ29&lt;&gt;"",N(CJ29)&lt;100),"Pend. "&amp;CJ29&amp;"%",""))))</f>
        <v/>
      </c>
      <c r="AN29" s="40" t="str">
        <f aca="false">IF(OR(OR(NOT(AND(ISNUMBER(E29),ISNUMBER(F29))),$J$2=""),2&gt;MAX(1,Reprogramaciones!$U$15)),"",IF(Reprogramaciones!L$12&gt;=7,"",IF(OR(BU29-N(BT29)&gt;0.05,N(R29)&gt;0),ROUNDDOWN(ROUND(BU29,6),0)&amp;"%"&amp;IF(CK29="",""," / "&amp;CK29&amp;"%"),IF(AND(N(BT29)&gt;=99.95,CK29&lt;&gt;"",N(CK29)&lt;100),"Pend. "&amp;CK29&amp;"%",""))))</f>
        <v/>
      </c>
      <c r="AO29" s="40" t="str">
        <f aca="false">IF(OR(OR(NOT(AND(ISNUMBER(E29),ISNUMBER(F29))),$J$2=""),3&gt;MAX(1,Reprogramaciones!$U$15)),"",IF(Reprogramaciones!M$12&gt;=7,"",IF(OR(BV29-N(BU29)&gt;0.05,N(S29)&gt;0),ROUNDDOWN(ROUND(BV29,6),0)&amp;"%"&amp;IF(CL29="",""," / "&amp;CL29&amp;"%"),IF(AND(N(BU29)&gt;=99.95,CL29&lt;&gt;"",N(CL29)&lt;100),"Pend. "&amp;CL29&amp;"%",""))))</f>
        <v>60% / 60%</v>
      </c>
      <c r="AP29" s="40" t="str">
        <f aca="false">IF(OR(OR(NOT(AND(ISNUMBER(E29),ISNUMBER(F29))),$J$2=""),4&gt;MAX(1,Reprogramaciones!$U$15)),"",IF(Reprogramaciones!N$12&gt;=7,"",IF(OR(BW29-N(BV29)&gt;0.05,N(T29)&gt;0),ROUNDDOWN(ROUND(BW29,6),0)&amp;"%"&amp;IF(CM29="",""," / "&amp;CM29&amp;"%"),IF(AND(N(BV29)&gt;=99.95,CM29&lt;&gt;"",N(CM29)&lt;100),"Pend. "&amp;CM29&amp;"%",""))))</f>
        <v>100% / 100%</v>
      </c>
      <c r="AQ29" s="40" t="str">
        <f aca="false">IF(OR(OR(NOT(AND(ISNUMBER(E29),ISNUMBER(F29))),$J$2=""),5&gt;MAX(1,Reprogramaciones!$U$15)),"",IF(Reprogramaciones!O$12&gt;=7,"",IF(OR(BX29-N(BW29)&gt;0.05,N(U29)&gt;0),ROUNDDOWN(ROUND(BX29,6),0)&amp;"%"&amp;IF(CN29="",""," / "&amp;CN29&amp;"%"),IF(AND(N(BW29)&gt;=99.95,CN29&lt;&gt;"",N(CN29)&lt;100),"Pend. "&amp;CN29&amp;"%",""))))</f>
        <v/>
      </c>
      <c r="AR29" s="40" t="str">
        <f aca="false">IF(OR(OR(NOT(AND(ISNUMBER(E29),ISNUMBER(F29))),$J$2=""),6&gt;MAX(1,Reprogramaciones!$U$15)),"",IF(Reprogramaciones!P$12&gt;=7,"",IF(OR(BY29-N(BX29)&gt;0.05,N(V29)&gt;0),ROUNDDOWN(ROUND(BY29,6),0)&amp;"%"&amp;IF(CO29="",""," / "&amp;CO29&amp;"%"),IF(AND(N(BX29)&gt;=99.95,CO29&lt;&gt;"",N(CO29)&lt;100),"Pend. "&amp;CO29&amp;"%",""))))</f>
        <v/>
      </c>
      <c r="AS29" s="40" t="str">
        <f aca="false">IF(OR(OR(NOT(AND(ISNUMBER(E29),ISNUMBER(F29))),$J$2=""),7&gt;MAX(1,Reprogramaciones!$U$15)),"",IF(Reprogramaciones!Q$12&gt;=7,"",IF(OR(BZ29-N(BY29)&gt;0.05,N(W29)&gt;0),ROUNDDOWN(ROUND(BZ29,6),0)&amp;"%"&amp;IF(CP29="",""," / "&amp;CP29&amp;"%"),IF(AND(N(BY29)&gt;=99.95,CP29&lt;&gt;"",N(CP29)&lt;100),"Pend. "&amp;CP29&amp;"%",""))))</f>
        <v/>
      </c>
      <c r="AT29" s="40" t="str">
        <f aca="false">IF(OR(OR(NOT(AND(ISNUMBER(E29),ISNUMBER(F29))),$J$2=""),8&gt;MAX(1,Reprogramaciones!$U$15)),"",IF(Reprogramaciones!R$12&gt;=7,"",IF(OR(CA29-N(BZ29)&gt;0.05,N(X29)&gt;0),ROUNDDOWN(ROUND(CA29,6),0)&amp;"%"&amp;IF(CQ29="",""," / "&amp;CQ29&amp;"%"),IF(AND(N(BZ29)&gt;=99.95,CQ29&lt;&gt;"",N(CQ29)&lt;100),"Pend. "&amp;CQ29&amp;"%",""))))</f>
        <v/>
      </c>
      <c r="AU29" s="40" t="str">
        <f aca="false">IF(OR(OR(NOT(AND(ISNUMBER(E29),ISNUMBER(F29))),$J$2=""),9&gt;MAX(1,Reprogramaciones!$U$15)),"",IF(Reprogramaciones!S$12&gt;=7,"",IF(OR(CB29-N(CA29)&gt;0.05,N(Y29)&gt;0),ROUNDDOWN(ROUND(CB29,6),0)&amp;"%"&amp;IF(CR29="",""," / "&amp;CR29&amp;"%"),IF(AND(N(CA29)&gt;=99.95,CR29&lt;&gt;"",N(CR29)&lt;100),"Pend. "&amp;CR29&amp;"%",""))))</f>
        <v/>
      </c>
      <c r="AV29" s="40" t="str">
        <f aca="false">IF(OR(OR(NOT(AND(ISNUMBER(E29),ISNUMBER(F29))),$J$2=""),10&gt;MAX(1,Reprogramaciones!$U$15)),"",IF(Reprogramaciones!T$12&gt;=7,"",IF(OR(CC29-N(CB29)&gt;0.05,N(Z29)&gt;0),ROUNDDOWN(ROUND(CC29,6),0)&amp;"%"&amp;IF(CS29="",""," / "&amp;CS29&amp;"%"),IF(AND(N(CB29)&gt;=99.95,CS29&lt;&gt;"",N(CS29)&lt;100),"Pend. "&amp;CS29&amp;"%",""))))</f>
        <v/>
      </c>
      <c r="AW29" s="40" t="str">
        <f aca="false">IF(OR(OR(NOT(AND(ISNUMBER(E29),ISNUMBER(F29))),$J$2=""),11&gt;MAX(1,Reprogramaciones!$U$15)),"",IF(Reprogramaciones!U$12&gt;=7,"",IF(OR(CD29-N(CC29)&gt;0.05,N(AA29)&gt;0),ROUNDDOWN(ROUND(CD29,6),0)&amp;"%"&amp;IF(CT29="",""," / "&amp;CT29&amp;"%"),IF(AND(N(CC29)&gt;=99.95,CT29&lt;&gt;"",N(CT29)&lt;100),"Pend. "&amp;CT29&amp;"%",""))))</f>
        <v/>
      </c>
      <c r="AX29" s="40" t="str">
        <f aca="false">IF(OR(OR(NOT(AND(ISNUMBER(E29),ISNUMBER(F29))),$J$2=""),12&gt;MAX(1,Reprogramaciones!$U$15)),"",IF(Reprogramaciones!V$12&gt;=7,"",IF(OR(CE29-N(CD29)&gt;0.05,N(AB29)&gt;0),ROUNDDOWN(ROUND(CE29,6),0)&amp;"%"&amp;IF(CU29="",""," / "&amp;CU29&amp;"%"),IF(AND(N(CD29)&gt;=99.95,CU29&lt;&gt;"",N(CU29)&lt;100),"Pend. "&amp;CU29&amp;"%",""))))</f>
        <v/>
      </c>
      <c r="AY29" s="40" t="str">
        <f aca="false">IF(OR(OR(NOT(AND(ISNUMBER(E29),ISNUMBER(F29))),$J$2=""),13&gt;MAX(1,Reprogramaciones!$U$15)),"",IF(Reprogramaciones!W$12&gt;=7,"",IF(OR(CF29-N(CE29)&gt;0.05,N(AC29)&gt;0),ROUNDDOWN(ROUND(CF29,6),0)&amp;"%"&amp;IF(CV29="",""," / "&amp;CV29&amp;"%"),IF(AND(N(CE29)&gt;=99.95,CV29&lt;&gt;"",N(CV29)&lt;100),"Pend. "&amp;CV29&amp;"%",""))))</f>
        <v/>
      </c>
      <c r="AZ29" s="40" t="str">
        <f aca="false">IF(OR(OR(NOT(AND(ISNUMBER(E29),ISNUMBER(F29))),$J$2=""),14&gt;MAX(1,Reprogramaciones!$U$15)),"",IF(Reprogramaciones!X$12&gt;=7,"",IF(OR(CG29-N(CF29)&gt;0.05,N(AD29)&gt;0),ROUNDDOWN(ROUND(CG29,6),0)&amp;"%"&amp;IF(CW29="",""," / "&amp;CW29&amp;"%"),IF(AND(N(CF29)&gt;=99.95,CW29&lt;&gt;"",N(CW29)&lt;100),"Pend. "&amp;CW29&amp;"%",""))))</f>
        <v/>
      </c>
      <c r="BA29" s="40" t="str">
        <f aca="false">IF(OR(OR(NOT(AND(ISNUMBER(E29),ISNUMBER(F29))),$J$2=""),15&gt;MAX(1,Reprogramaciones!$U$15)),"",IF(Reprogramaciones!Y$12&gt;=7,"",IF(OR(CH29-N(CG29)&gt;0.05,N(AE29)&gt;0),ROUNDDOWN(ROUND(CH29,6),0)&amp;"%"&amp;IF(CX29="",""," / "&amp;CX29&amp;"%"),IF(AND(N(CG29)&gt;=99.95,CX29&lt;&gt;"",N(CX29)&lt;100),"Pend. "&amp;CX29&amp;"%",""))))</f>
        <v/>
      </c>
      <c r="BB29" s="40" t="str">
        <f aca="false">IF(OR(OR(NOT(AND(ISNUMBER(E29),ISNUMBER(F29))),$J$2=""),16&gt;MAX(1,Reprogramaciones!$U$15)),"",IF(Reprogramaciones!Z$12&gt;=7,"",IF(OR(CI29-N(CH29)&gt;0.05,N(AF29)&gt;0),ROUNDDOWN(ROUND(CI29,6),0)&amp;"%"&amp;IF(CY29="",""," / "&amp;CY29&amp;"%"),IF(AND(N(CH29)&gt;=99.95,CY29&lt;&gt;"",N(CY29)&lt;100),"Pend. "&amp;CY29&amp;"%",""))))</f>
        <v/>
      </c>
      <c r="BC29" s="31" t="n">
        <f aca="false">IF(AND(ISNUMBER(E29),ISNUMBER(F29)),MAX(1,NETWORKDAYS.INTL(E29,F29,11)),0)</f>
        <v>5</v>
      </c>
      <c r="BD29" s="1" t="n">
        <f aca="false">IF(OR(NOT(AND(ISNUMBER(E29),ISNUMBER(F29))),$J$2=""),"",MIN(100,ROUND(SUM($G29:G29),1)))</f>
        <v>0</v>
      </c>
      <c r="BE29" s="1" t="n">
        <f aca="false">IF(OR(NOT(AND(ISNUMBER(E29),ISNUMBER(F29))),$J$2=""),"",MIN(100,ROUND(SUM($G29:H29),1)))</f>
        <v>0</v>
      </c>
      <c r="BF29" s="1" t="n">
        <f aca="false">IF(OR(NOT(AND(ISNUMBER(E29),ISNUMBER(F29))),$J$2=""),"",MIN(100,ROUND(SUM($G29:I29),1)))</f>
        <v>60</v>
      </c>
      <c r="BG29" s="1" t="n">
        <f aca="false">IF(OR(NOT(AND(ISNUMBER(E29),ISNUMBER(F29))),$J$2=""),"",MIN(100,ROUND(SUM($G29:J29),1)))</f>
        <v>100</v>
      </c>
      <c r="BH29" s="1" t="n">
        <f aca="false">IF(OR(NOT(AND(ISNUMBER(E29),ISNUMBER(F29))),$J$2=""),"",MIN(100,ROUND(SUM($G29:K29),1)))</f>
        <v>100</v>
      </c>
      <c r="BI29" s="1" t="n">
        <f aca="false">IF(OR(NOT(AND(ISNUMBER(E29),ISNUMBER(F29))),$J$2=""),"",MIN(100,ROUND(SUM($G29:L29),1)))</f>
        <v>100</v>
      </c>
      <c r="BJ29" s="1" t="n">
        <f aca="false">IF(OR(NOT(AND(ISNUMBER(E29),ISNUMBER(F29))),$J$2=""),"",MIN(100,ROUND(SUM($G29:M29),1)))</f>
        <v>100</v>
      </c>
      <c r="BK29" s="1" t="n">
        <f aca="false">IF(OR(NOT(AND(ISNUMBER(E29),ISNUMBER(F29))),$J$2=""),"",MIN(100,ROUND(SUM($G29:N29),1)))</f>
        <v>100</v>
      </c>
      <c r="BL29" s="1" t="n">
        <f aca="false">IF(OR(NOT(AND(ISNUMBER(E29),ISNUMBER(F29))),$J$2=""),"",MIN(100,ROUND(SUM($G29:O29),1)))</f>
        <v>100</v>
      </c>
      <c r="BM29" s="1" t="n">
        <f aca="false">IF(OR(NOT(AND(ISNUMBER(E29),ISNUMBER(F29))),$J$2=""),"",MIN(100,ROUND(SUM($G29:P29),1)))</f>
        <v>100</v>
      </c>
      <c r="BN29" s="1" t="n">
        <f aca="false">IF(OR(NOT(AND(ISNUMBER(E29),ISNUMBER(F29))),$J$2=""),"",MIN(100,ROUND(SUM($G29:P29),1)))</f>
        <v>100</v>
      </c>
      <c r="BO29" s="1" t="n">
        <f aca="false">IF(OR(NOT(AND(ISNUMBER(E29),ISNUMBER(F29))),$J$2=""),"",MIN(100,ROUND(SUM($G29:P29),1)))</f>
        <v>100</v>
      </c>
      <c r="BP29" s="1" t="n">
        <f aca="false">IF(OR(NOT(AND(ISNUMBER(E29),ISNUMBER(F29))),$J$2=""),"",MIN(100,ROUND(SUM($G29:P29),1)))</f>
        <v>100</v>
      </c>
      <c r="BQ29" s="1" t="n">
        <f aca="false">IF(OR(NOT(AND(ISNUMBER(E29),ISNUMBER(F29))),$J$2=""),"",MIN(100,ROUND(SUM($G29:P29),1)))</f>
        <v>100</v>
      </c>
      <c r="BR29" s="1" t="n">
        <f aca="false">IF(OR(NOT(AND(ISNUMBER(E29),ISNUMBER(F29))),$J$2=""),"",MIN(100,ROUND(SUM($G29:P29),1)))</f>
        <v>100</v>
      </c>
      <c r="BS29" s="1" t="n">
        <f aca="false">IF(OR(NOT(AND(ISNUMBER(E29),ISNUMBER(F29))),$J$2=""),"",MIN(100,ROUND(SUM($G29:P29),1)))</f>
        <v>100</v>
      </c>
      <c r="BT29" s="1" t="n">
        <f aca="false">IF(OR(NOT(AND(ISNUMBER(E29),ISNUMBER(F29))),$J$2=""),"",IF(Reprogramaciones!K$13&lt;Reprogramaciones!$T$15,0,IF(Reprogramaciones!K$14&gt;10,MIN(100,SUM($G29:$P29)),MIN(100,SUMPRODUCT((COLUMN($G29:$P29)-COLUMN($G29)+1&lt;Reprogramaciones!K$14)*$G29:$P29)+N(INDEX($G29:$P29,1,Reprogramaciones!K$14))*IF(Reprogramaciones!K$13&gt;=(Reprogramaciones!$T$15+7*(Reprogramaciones!K$14-1))+6,1,IF(MAX(0,NETWORKDAYS.INTL(MAX(E29,(Reprogramaciones!$T$15+7*(Reprogramaciones!K$14-1))),MIN(F29,(Reprogramaciones!$T$15+7*(Reprogramaciones!K$14-1))+6),11))=0,0,MAX(0,NETWORKDAYS.INTL(MAX(E29,(Reprogramaciones!$T$15+7*(Reprogramaciones!K$14-1))),MIN(F29,Reprogramaciones!K$13),11))/MAX(0,NETWORKDAYS.INTL(MAX(E29,(Reprogramaciones!$T$15+7*(Reprogramaciones!K$14-1))),MIN(F29,(Reprogramaciones!$T$15+7*(Reprogramaciones!K$14-1))+6),11))))))))</f>
        <v>0</v>
      </c>
      <c r="BU29" s="1" t="n">
        <f aca="false">IF(OR(NOT(AND(ISNUMBER(E29),ISNUMBER(F29))),$J$2=""),"",IF(Reprogramaciones!L$13&lt;Reprogramaciones!$T$15,0,IF(Reprogramaciones!L$14&gt;10,MIN(100,SUM($G29:$P29)),MIN(100,SUMPRODUCT((COLUMN($G29:$P29)-COLUMN($G29)+1&lt;Reprogramaciones!L$14)*$G29:$P29)+N(INDEX($G29:$P29,1,Reprogramaciones!L$14))*IF(Reprogramaciones!L$13&gt;=(Reprogramaciones!$T$15+7*(Reprogramaciones!L$14-1))+6,1,IF(MAX(0,NETWORKDAYS.INTL(MAX(E29,(Reprogramaciones!$T$15+7*(Reprogramaciones!L$14-1))),MIN(F29,(Reprogramaciones!$T$15+7*(Reprogramaciones!L$14-1))+6),11))=0,0,MAX(0,NETWORKDAYS.INTL(MAX(E29,(Reprogramaciones!$T$15+7*(Reprogramaciones!L$14-1))),MIN(F29,Reprogramaciones!L$13),11))/MAX(0,NETWORKDAYS.INTL(MAX(E29,(Reprogramaciones!$T$15+7*(Reprogramaciones!L$14-1))),MIN(F29,(Reprogramaciones!$T$15+7*(Reprogramaciones!L$14-1))+6),11))))))))</f>
        <v>0</v>
      </c>
      <c r="BV29" s="1" t="n">
        <f aca="false">IF(OR(NOT(AND(ISNUMBER(E29),ISNUMBER(F29))),$J$2=""),"",IF(Reprogramaciones!M$13&lt;Reprogramaciones!$T$15,0,IF(Reprogramaciones!M$14&gt;10,MIN(100,SUM($G29:$P29)),MIN(100,SUMPRODUCT((COLUMN($G29:$P29)-COLUMN($G29)+1&lt;Reprogramaciones!M$14)*$G29:$P29)+N(INDEX($G29:$P29,1,Reprogramaciones!M$14))*IF(Reprogramaciones!M$13&gt;=(Reprogramaciones!$T$15+7*(Reprogramaciones!M$14-1))+6,1,IF(MAX(0,NETWORKDAYS.INTL(MAX(E29,(Reprogramaciones!$T$15+7*(Reprogramaciones!M$14-1))),MIN(F29,(Reprogramaciones!$T$15+7*(Reprogramaciones!M$14-1))+6),11))=0,0,MAX(0,NETWORKDAYS.INTL(MAX(E29,(Reprogramaciones!$T$15+7*(Reprogramaciones!M$14-1))),MIN(F29,Reprogramaciones!M$13),11))/MAX(0,NETWORKDAYS.INTL(MAX(E29,(Reprogramaciones!$T$15+7*(Reprogramaciones!M$14-1))),MIN(F29,(Reprogramaciones!$T$15+7*(Reprogramaciones!M$14-1))+6),11))))))))</f>
        <v>60</v>
      </c>
      <c r="BW29" s="1" t="n">
        <f aca="false">IF(OR(NOT(AND(ISNUMBER(E29),ISNUMBER(F29))),$J$2=""),"",IF(Reprogramaciones!N$13&lt;Reprogramaciones!$T$15,0,IF(Reprogramaciones!N$14&gt;10,MIN(100,SUM($G29:$P29)),MIN(100,SUMPRODUCT((COLUMN($G29:$P29)-COLUMN($G29)+1&lt;Reprogramaciones!N$14)*$G29:$P29)+N(INDEX($G29:$P29,1,Reprogramaciones!N$14))*IF(Reprogramaciones!N$13&gt;=(Reprogramaciones!$T$15+7*(Reprogramaciones!N$14-1))+6,1,IF(MAX(0,NETWORKDAYS.INTL(MAX(E29,(Reprogramaciones!$T$15+7*(Reprogramaciones!N$14-1))),MIN(F29,(Reprogramaciones!$T$15+7*(Reprogramaciones!N$14-1))+6),11))=0,0,MAX(0,NETWORKDAYS.INTL(MAX(E29,(Reprogramaciones!$T$15+7*(Reprogramaciones!N$14-1))),MIN(F29,Reprogramaciones!N$13),11))/MAX(0,NETWORKDAYS.INTL(MAX(E29,(Reprogramaciones!$T$15+7*(Reprogramaciones!N$14-1))),MIN(F29,(Reprogramaciones!$T$15+7*(Reprogramaciones!N$14-1))+6),11))))))))</f>
        <v>100</v>
      </c>
      <c r="BX29" s="1" t="n">
        <f aca="false">IF(OR(NOT(AND(ISNUMBER(E29),ISNUMBER(F29))),$J$2=""),"",IF(Reprogramaciones!O$13&lt;Reprogramaciones!$T$15,0,IF(Reprogramaciones!O$14&gt;10,MIN(100,SUM($G29:$P29)),MIN(100,SUMPRODUCT((COLUMN($G29:$P29)-COLUMN($G29)+1&lt;Reprogramaciones!O$14)*$G29:$P29)+N(INDEX($G29:$P29,1,Reprogramaciones!O$14))*IF(Reprogramaciones!O$13&gt;=(Reprogramaciones!$T$15+7*(Reprogramaciones!O$14-1))+6,1,IF(MAX(0,NETWORKDAYS.INTL(MAX(E29,(Reprogramaciones!$T$15+7*(Reprogramaciones!O$14-1))),MIN(F29,(Reprogramaciones!$T$15+7*(Reprogramaciones!O$14-1))+6),11))=0,0,MAX(0,NETWORKDAYS.INTL(MAX(E29,(Reprogramaciones!$T$15+7*(Reprogramaciones!O$14-1))),MIN(F29,Reprogramaciones!O$13),11))/MAX(0,NETWORKDAYS.INTL(MAX(E29,(Reprogramaciones!$T$15+7*(Reprogramaciones!O$14-1))),MIN(F29,(Reprogramaciones!$T$15+7*(Reprogramaciones!O$14-1))+6),11))))))))</f>
        <v>100</v>
      </c>
      <c r="BY29" s="1" t="n">
        <f aca="false">IF(OR(NOT(AND(ISNUMBER(E29),ISNUMBER(F29))),$J$2=""),"",IF(Reprogramaciones!P$13&lt;Reprogramaciones!$T$15,0,IF(Reprogramaciones!P$14&gt;10,MIN(100,SUM($G29:$P29)),MIN(100,SUMPRODUCT((COLUMN($G29:$P29)-COLUMN($G29)+1&lt;Reprogramaciones!P$14)*$G29:$P29)+N(INDEX($G29:$P29,1,Reprogramaciones!P$14))*IF(Reprogramaciones!P$13&gt;=(Reprogramaciones!$T$15+7*(Reprogramaciones!P$14-1))+6,1,IF(MAX(0,NETWORKDAYS.INTL(MAX(E29,(Reprogramaciones!$T$15+7*(Reprogramaciones!P$14-1))),MIN(F29,(Reprogramaciones!$T$15+7*(Reprogramaciones!P$14-1))+6),11))=0,0,MAX(0,NETWORKDAYS.INTL(MAX(E29,(Reprogramaciones!$T$15+7*(Reprogramaciones!P$14-1))),MIN(F29,Reprogramaciones!P$13),11))/MAX(0,NETWORKDAYS.INTL(MAX(E29,(Reprogramaciones!$T$15+7*(Reprogramaciones!P$14-1))),MIN(F29,(Reprogramaciones!$T$15+7*(Reprogramaciones!P$14-1))+6),11))))))))</f>
        <v>100</v>
      </c>
      <c r="BZ29" s="1" t="n">
        <f aca="false">IF(OR(NOT(AND(ISNUMBER(E29),ISNUMBER(F29))),$J$2=""),"",IF(Reprogramaciones!Q$13&lt;Reprogramaciones!$T$15,0,IF(Reprogramaciones!Q$14&gt;10,MIN(100,SUM($G29:$P29)),MIN(100,SUMPRODUCT((COLUMN($G29:$P29)-COLUMN($G29)+1&lt;Reprogramaciones!Q$14)*$G29:$P29)+N(INDEX($G29:$P29,1,Reprogramaciones!Q$14))*IF(Reprogramaciones!Q$13&gt;=(Reprogramaciones!$T$15+7*(Reprogramaciones!Q$14-1))+6,1,IF(MAX(0,NETWORKDAYS.INTL(MAX(E29,(Reprogramaciones!$T$15+7*(Reprogramaciones!Q$14-1))),MIN(F29,(Reprogramaciones!$T$15+7*(Reprogramaciones!Q$14-1))+6),11))=0,0,MAX(0,NETWORKDAYS.INTL(MAX(E29,(Reprogramaciones!$T$15+7*(Reprogramaciones!Q$14-1))),MIN(F29,Reprogramaciones!Q$13),11))/MAX(0,NETWORKDAYS.INTL(MAX(E29,(Reprogramaciones!$T$15+7*(Reprogramaciones!Q$14-1))),MIN(F29,(Reprogramaciones!$T$15+7*(Reprogramaciones!Q$14-1))+6),11))))))))</f>
        <v>100</v>
      </c>
      <c r="CA29" s="1" t="n">
        <f aca="false">IF(OR(NOT(AND(ISNUMBER(E29),ISNUMBER(F29))),$J$2=""),"",IF(Reprogramaciones!R$13&lt;Reprogramaciones!$T$15,0,IF(Reprogramaciones!R$14&gt;10,MIN(100,SUM($G29:$P29)),MIN(100,SUMPRODUCT((COLUMN($G29:$P29)-COLUMN($G29)+1&lt;Reprogramaciones!R$14)*$G29:$P29)+N(INDEX($G29:$P29,1,Reprogramaciones!R$14))*IF(Reprogramaciones!R$13&gt;=(Reprogramaciones!$T$15+7*(Reprogramaciones!R$14-1))+6,1,IF(MAX(0,NETWORKDAYS.INTL(MAX(E29,(Reprogramaciones!$T$15+7*(Reprogramaciones!R$14-1))),MIN(F29,(Reprogramaciones!$T$15+7*(Reprogramaciones!R$14-1))+6),11))=0,0,MAX(0,NETWORKDAYS.INTL(MAX(E29,(Reprogramaciones!$T$15+7*(Reprogramaciones!R$14-1))),MIN(F29,Reprogramaciones!R$13),11))/MAX(0,NETWORKDAYS.INTL(MAX(E29,(Reprogramaciones!$T$15+7*(Reprogramaciones!R$14-1))),MIN(F29,(Reprogramaciones!$T$15+7*(Reprogramaciones!R$14-1))+6),11))))))))</f>
        <v>100</v>
      </c>
      <c r="CB29" s="1" t="n">
        <f aca="false">IF(OR(NOT(AND(ISNUMBER(E29),ISNUMBER(F29))),$J$2=""),"",IF(Reprogramaciones!S$13&lt;Reprogramaciones!$T$15,0,IF(Reprogramaciones!S$14&gt;10,MIN(100,SUM($G29:$P29)),MIN(100,SUMPRODUCT((COLUMN($G29:$P29)-COLUMN($G29)+1&lt;Reprogramaciones!S$14)*$G29:$P29)+N(INDEX($G29:$P29,1,Reprogramaciones!S$14))*IF(Reprogramaciones!S$13&gt;=(Reprogramaciones!$T$15+7*(Reprogramaciones!S$14-1))+6,1,IF(MAX(0,NETWORKDAYS.INTL(MAX(E29,(Reprogramaciones!$T$15+7*(Reprogramaciones!S$14-1))),MIN(F29,(Reprogramaciones!$T$15+7*(Reprogramaciones!S$14-1))+6),11))=0,0,MAX(0,NETWORKDAYS.INTL(MAX(E29,(Reprogramaciones!$T$15+7*(Reprogramaciones!S$14-1))),MIN(F29,Reprogramaciones!S$13),11))/MAX(0,NETWORKDAYS.INTL(MAX(E29,(Reprogramaciones!$T$15+7*(Reprogramaciones!S$14-1))),MIN(F29,(Reprogramaciones!$T$15+7*(Reprogramaciones!S$14-1))+6),11))))))))</f>
        <v>100</v>
      </c>
      <c r="CC29" s="1" t="n">
        <f aca="false">IF(OR(NOT(AND(ISNUMBER(E29),ISNUMBER(F29))),$J$2=""),"",IF(Reprogramaciones!T$13&lt;Reprogramaciones!$T$15,0,IF(Reprogramaciones!T$14&gt;10,MIN(100,SUM($G29:$P29)),MIN(100,SUMPRODUCT((COLUMN($G29:$P29)-COLUMN($G29)+1&lt;Reprogramaciones!T$14)*$G29:$P29)+N(INDEX($G29:$P29,1,Reprogramaciones!T$14))*IF(Reprogramaciones!T$13&gt;=(Reprogramaciones!$T$15+7*(Reprogramaciones!T$14-1))+6,1,IF(MAX(0,NETWORKDAYS.INTL(MAX(E29,(Reprogramaciones!$T$15+7*(Reprogramaciones!T$14-1))),MIN(F29,(Reprogramaciones!$T$15+7*(Reprogramaciones!T$14-1))+6),11))=0,0,MAX(0,NETWORKDAYS.INTL(MAX(E29,(Reprogramaciones!$T$15+7*(Reprogramaciones!T$14-1))),MIN(F29,Reprogramaciones!T$13),11))/MAX(0,NETWORKDAYS.INTL(MAX(E29,(Reprogramaciones!$T$15+7*(Reprogramaciones!T$14-1))),MIN(F29,(Reprogramaciones!$T$15+7*(Reprogramaciones!T$14-1))+6),11))))))))</f>
        <v>100</v>
      </c>
      <c r="CD29" s="1" t="n">
        <f aca="false">IF(OR(NOT(AND(ISNUMBER(E29),ISNUMBER(F29))),$J$2=""),"",IF(Reprogramaciones!U$13&lt;Reprogramaciones!$T$15,0,IF(Reprogramaciones!U$14&gt;10,MIN(100,SUM($G29:$P29)),MIN(100,SUMPRODUCT((COLUMN($G29:$P29)-COLUMN($G29)+1&lt;Reprogramaciones!U$14)*$G29:$P29)+N(INDEX($G29:$P29,1,Reprogramaciones!U$14))*IF(Reprogramaciones!U$13&gt;=(Reprogramaciones!$T$15+7*(Reprogramaciones!U$14-1))+6,1,IF(MAX(0,NETWORKDAYS.INTL(MAX(E29,(Reprogramaciones!$T$15+7*(Reprogramaciones!U$14-1))),MIN(F29,(Reprogramaciones!$T$15+7*(Reprogramaciones!U$14-1))+6),11))=0,0,MAX(0,NETWORKDAYS.INTL(MAX(E29,(Reprogramaciones!$T$15+7*(Reprogramaciones!U$14-1))),MIN(F29,Reprogramaciones!U$13),11))/MAX(0,NETWORKDAYS.INTL(MAX(E29,(Reprogramaciones!$T$15+7*(Reprogramaciones!U$14-1))),MIN(F29,(Reprogramaciones!$T$15+7*(Reprogramaciones!U$14-1))+6),11))))))))</f>
        <v>100</v>
      </c>
      <c r="CE29" s="1" t="n">
        <f aca="false">IF(OR(NOT(AND(ISNUMBER(E29),ISNUMBER(F29))),$J$2=""),"",IF(Reprogramaciones!V$13&lt;Reprogramaciones!$T$15,0,IF(Reprogramaciones!V$14&gt;10,MIN(100,SUM($G29:$P29)),MIN(100,SUMPRODUCT((COLUMN($G29:$P29)-COLUMN($G29)+1&lt;Reprogramaciones!V$14)*$G29:$P29)+N(INDEX($G29:$P29,1,Reprogramaciones!V$14))*IF(Reprogramaciones!V$13&gt;=(Reprogramaciones!$T$15+7*(Reprogramaciones!V$14-1))+6,1,IF(MAX(0,NETWORKDAYS.INTL(MAX(E29,(Reprogramaciones!$T$15+7*(Reprogramaciones!V$14-1))),MIN(F29,(Reprogramaciones!$T$15+7*(Reprogramaciones!V$14-1))+6),11))=0,0,MAX(0,NETWORKDAYS.INTL(MAX(E29,(Reprogramaciones!$T$15+7*(Reprogramaciones!V$14-1))),MIN(F29,Reprogramaciones!V$13),11))/MAX(0,NETWORKDAYS.INTL(MAX(E29,(Reprogramaciones!$T$15+7*(Reprogramaciones!V$14-1))),MIN(F29,(Reprogramaciones!$T$15+7*(Reprogramaciones!V$14-1))+6),11))))))))</f>
        <v>100</v>
      </c>
      <c r="CF29" s="1" t="n">
        <f aca="false">IF(OR(NOT(AND(ISNUMBER(E29),ISNUMBER(F29))),$J$2=""),"",IF(Reprogramaciones!W$13&lt;Reprogramaciones!$T$15,0,IF(Reprogramaciones!W$14&gt;10,MIN(100,SUM($G29:$P29)),MIN(100,SUMPRODUCT((COLUMN($G29:$P29)-COLUMN($G29)+1&lt;Reprogramaciones!W$14)*$G29:$P29)+N(INDEX($G29:$P29,1,Reprogramaciones!W$14))*IF(Reprogramaciones!W$13&gt;=(Reprogramaciones!$T$15+7*(Reprogramaciones!W$14-1))+6,1,IF(MAX(0,NETWORKDAYS.INTL(MAX(E29,(Reprogramaciones!$T$15+7*(Reprogramaciones!W$14-1))),MIN(F29,(Reprogramaciones!$T$15+7*(Reprogramaciones!W$14-1))+6),11))=0,0,MAX(0,NETWORKDAYS.INTL(MAX(E29,(Reprogramaciones!$T$15+7*(Reprogramaciones!W$14-1))),MIN(F29,Reprogramaciones!W$13),11))/MAX(0,NETWORKDAYS.INTL(MAX(E29,(Reprogramaciones!$T$15+7*(Reprogramaciones!W$14-1))),MIN(F29,(Reprogramaciones!$T$15+7*(Reprogramaciones!W$14-1))+6),11))))))))</f>
        <v>100</v>
      </c>
      <c r="CG29" s="1" t="n">
        <f aca="false">IF(OR(NOT(AND(ISNUMBER(E29),ISNUMBER(F29))),$J$2=""),"",IF(Reprogramaciones!X$13&lt;Reprogramaciones!$T$15,0,IF(Reprogramaciones!X$14&gt;10,MIN(100,SUM($G29:$P29)),MIN(100,SUMPRODUCT((COLUMN($G29:$P29)-COLUMN($G29)+1&lt;Reprogramaciones!X$14)*$G29:$P29)+N(INDEX($G29:$P29,1,Reprogramaciones!X$14))*IF(Reprogramaciones!X$13&gt;=(Reprogramaciones!$T$15+7*(Reprogramaciones!X$14-1))+6,1,IF(MAX(0,NETWORKDAYS.INTL(MAX(E29,(Reprogramaciones!$T$15+7*(Reprogramaciones!X$14-1))),MIN(F29,(Reprogramaciones!$T$15+7*(Reprogramaciones!X$14-1))+6),11))=0,0,MAX(0,NETWORKDAYS.INTL(MAX(E29,(Reprogramaciones!$T$15+7*(Reprogramaciones!X$14-1))),MIN(F29,Reprogramaciones!X$13),11))/MAX(0,NETWORKDAYS.INTL(MAX(E29,(Reprogramaciones!$T$15+7*(Reprogramaciones!X$14-1))),MIN(F29,(Reprogramaciones!$T$15+7*(Reprogramaciones!X$14-1))+6),11))))))))</f>
        <v>100</v>
      </c>
      <c r="CH29" s="1" t="n">
        <f aca="false">IF(OR(NOT(AND(ISNUMBER(E29),ISNUMBER(F29))),$J$2=""),"",IF(Reprogramaciones!Y$13&lt;Reprogramaciones!$T$15,0,IF(Reprogramaciones!Y$14&gt;10,MIN(100,SUM($G29:$P29)),MIN(100,SUMPRODUCT((COLUMN($G29:$P29)-COLUMN($G29)+1&lt;Reprogramaciones!Y$14)*$G29:$P29)+N(INDEX($G29:$P29,1,Reprogramaciones!Y$14))*IF(Reprogramaciones!Y$13&gt;=(Reprogramaciones!$T$15+7*(Reprogramaciones!Y$14-1))+6,1,IF(MAX(0,NETWORKDAYS.INTL(MAX(E29,(Reprogramaciones!$T$15+7*(Reprogramaciones!Y$14-1))),MIN(F29,(Reprogramaciones!$T$15+7*(Reprogramaciones!Y$14-1))+6),11))=0,0,MAX(0,NETWORKDAYS.INTL(MAX(E29,(Reprogramaciones!$T$15+7*(Reprogramaciones!Y$14-1))),MIN(F29,Reprogramaciones!Y$13),11))/MAX(0,NETWORKDAYS.INTL(MAX(E29,(Reprogramaciones!$T$15+7*(Reprogramaciones!Y$14-1))),MIN(F29,(Reprogramaciones!$T$15+7*(Reprogramaciones!Y$14-1))+6),11))))))))</f>
        <v>100</v>
      </c>
      <c r="CI29" s="1" t="n">
        <f aca="false">IF(OR(NOT(AND(ISNUMBER(E29),ISNUMBER(F29))),$J$2=""),"",IF(Reprogramaciones!Z$13&lt;Reprogramaciones!$T$15,0,IF(Reprogramaciones!Z$14&gt;10,MIN(100,SUM($G29:$P29)),MIN(100,SUMPRODUCT((COLUMN($G29:$P29)-COLUMN($G29)+1&lt;Reprogramaciones!Z$14)*$G29:$P29)+N(INDEX($G29:$P29,1,Reprogramaciones!Z$14))*IF(Reprogramaciones!Z$13&gt;=(Reprogramaciones!$T$15+7*(Reprogramaciones!Z$14-1))+6,1,IF(MAX(0,NETWORKDAYS.INTL(MAX(E29,(Reprogramaciones!$T$15+7*(Reprogramaciones!Z$14-1))),MIN(F29,(Reprogramaciones!$T$15+7*(Reprogramaciones!Z$14-1))+6),11))=0,0,MAX(0,NETWORKDAYS.INTL(MAX(E29,(Reprogramaciones!$T$15+7*(Reprogramaciones!Z$14-1))),MIN(F29,Reprogramaciones!Z$13),11))/MAX(0,NETWORKDAYS.INTL(MAX(E29,(Reprogramaciones!$T$15+7*(Reprogramaciones!Z$14-1))),MIN(F29,(Reprogramaciones!$T$15+7*(Reprogramaciones!Z$14-1))+6),11))))))))</f>
        <v>100</v>
      </c>
      <c r="CJ29" s="1" t="n">
        <f aca="false">IF(OR(OR(NOT(AND(ISNUMBER(E29),ISNUMBER(F29))),$J$2=""),1&gt;Reprogramaciones!$K$16),"",IF(ROUND(SUM($Q29:Q29),1)&gt;=99.5,100,MIN(100,ROUND(SUM($Q29:Q29),1))))</f>
        <v>0</v>
      </c>
      <c r="CK29" s="1" t="n">
        <f aca="false">IF(OR(OR(NOT(AND(ISNUMBER(E29),ISNUMBER(F29))),$J$2=""),2&gt;Reprogramaciones!$K$16),"",IF(ROUND(SUM($Q29:R29),1)&gt;=99.5,100,MIN(100,ROUND(SUM($Q29:R29),1))))</f>
        <v>0</v>
      </c>
      <c r="CL29" s="1" t="n">
        <f aca="false">IF(OR(OR(NOT(AND(ISNUMBER(E29),ISNUMBER(F29))),$J$2=""),3&gt;Reprogramaciones!$K$16),"",IF(ROUND(SUM($Q29:S29),1)&gt;=99.5,100,MIN(100,ROUND(SUM($Q29:S29),1))))</f>
        <v>60</v>
      </c>
      <c r="CM29" s="1" t="n">
        <f aca="false">IF(OR(OR(NOT(AND(ISNUMBER(E29),ISNUMBER(F29))),$J$2=""),4&gt;Reprogramaciones!$K$16),"",IF(ROUND(SUM($Q29:T29),1)&gt;=99.5,100,MIN(100,ROUND(SUM($Q29:T29),1))))</f>
        <v>100</v>
      </c>
      <c r="CN29" s="1" t="n">
        <f aca="false">IF(OR(OR(NOT(AND(ISNUMBER(E29),ISNUMBER(F29))),$J$2=""),5&gt;Reprogramaciones!$K$16),"",IF(ROUND(SUM($Q29:U29),1)&gt;=99.5,100,MIN(100,ROUND(SUM($Q29:U29),1))))</f>
        <v>100</v>
      </c>
      <c r="CO29" s="1" t="str">
        <f aca="false">IF(OR(OR(NOT(AND(ISNUMBER(E29),ISNUMBER(F29))),$J$2=""),6&gt;Reprogramaciones!$K$16),"",IF(ROUND(SUM($Q29:V29),1)&gt;=99.5,100,MIN(100,ROUND(SUM($Q29:V29),1))))</f>
        <v/>
      </c>
      <c r="CP29" s="1" t="str">
        <f aca="false">IF(OR(OR(NOT(AND(ISNUMBER(E29),ISNUMBER(F29))),$J$2=""),7&gt;Reprogramaciones!$K$16),"",IF(ROUND(SUM($Q29:W29),1)&gt;=99.5,100,MIN(100,ROUND(SUM($Q29:W29),1))))</f>
        <v/>
      </c>
      <c r="CQ29" s="1" t="str">
        <f aca="false">IF(OR(OR(NOT(AND(ISNUMBER(E29),ISNUMBER(F29))),$J$2=""),8&gt;Reprogramaciones!$K$16),"",IF(ROUND(SUM($Q29:X29),1)&gt;=99.5,100,MIN(100,ROUND(SUM($Q29:X29),1))))</f>
        <v/>
      </c>
      <c r="CR29" s="1" t="str">
        <f aca="false">IF(OR(OR(NOT(AND(ISNUMBER(E29),ISNUMBER(F29))),$J$2=""),9&gt;Reprogramaciones!$K$16),"",IF(ROUND(SUM($Q29:Y29),1)&gt;=99.5,100,MIN(100,ROUND(SUM($Q29:Y29),1))))</f>
        <v/>
      </c>
      <c r="CS29" s="1" t="str">
        <f aca="false">IF(OR(OR(NOT(AND(ISNUMBER(E29),ISNUMBER(F29))),$J$2=""),10&gt;Reprogramaciones!$K$16),"",IF(ROUND(SUM($Q29:Z29),1)&gt;=99.5,100,MIN(100,ROUND(SUM($Q29:Z29),1))))</f>
        <v/>
      </c>
      <c r="CT29" s="1" t="str">
        <f aca="false">IF(OR(OR(NOT(AND(ISNUMBER(E29),ISNUMBER(F29))),$J$2=""),11&gt;Reprogramaciones!$K$16),"",IF(ROUND(SUM($Q29:AA29),1)&gt;=99.5,100,MIN(100,ROUND(SUM($Q29:AA29),1))))</f>
        <v/>
      </c>
      <c r="CU29" s="1" t="str">
        <f aca="false">IF(OR(OR(NOT(AND(ISNUMBER(E29),ISNUMBER(F29))),$J$2=""),12&gt;Reprogramaciones!$K$16),"",IF(ROUND(SUM($Q29:AB29),1)&gt;=99.5,100,MIN(100,ROUND(SUM($Q29:AB29),1))))</f>
        <v/>
      </c>
      <c r="CV29" s="1" t="str">
        <f aca="false">IF(OR(OR(NOT(AND(ISNUMBER(E29),ISNUMBER(F29))),$J$2=""),13&gt;Reprogramaciones!$K$16),"",IF(ROUND(SUM($Q29:AC29),1)&gt;=99.5,100,MIN(100,ROUND(SUM($Q29:AC29),1))))</f>
        <v/>
      </c>
      <c r="CW29" s="1" t="str">
        <f aca="false">IF(OR(OR(NOT(AND(ISNUMBER(E29),ISNUMBER(F29))),$J$2=""),14&gt;Reprogramaciones!$K$16),"",IF(ROUND(SUM($Q29:AD29),1)&gt;=99.5,100,MIN(100,ROUND(SUM($Q29:AD29),1))))</f>
        <v/>
      </c>
      <c r="CX29" s="1" t="str">
        <f aca="false">IF(OR(OR(NOT(AND(ISNUMBER(E29),ISNUMBER(F29))),$J$2=""),15&gt;Reprogramaciones!$K$16),"",IF(ROUND(SUM($Q29:AE29),1)&gt;=99.5,100,MIN(100,ROUND(SUM($Q29:AE29),1))))</f>
        <v/>
      </c>
      <c r="CY29" s="1" t="str">
        <f aca="false">IF(OR(OR(NOT(AND(ISNUMBER(E29),ISNUMBER(F29))),$J$2=""),16&gt;Reprogramaciones!$K$16),"",IF(ROUND(SUM($Q29:AF29),1)&gt;=99.5,100,MIN(100,ROUND(SUM($Q29:AF29),1))))</f>
        <v/>
      </c>
      <c r="CZ29" s="1" t="str">
        <f aca="false">IF(D29&lt;&gt;"",D29,IF(B29&lt;&gt;"","Contractual",CZ28))</f>
        <v>Contractual</v>
      </c>
      <c r="DA29" s="1" t="n">
        <f aca="false">IF(OR(NOT(AND(ISNUMBER(E29),ISNUMBER(F29))),$J$2=""),"",IF(Reprogramaciones!$Q$15&lt;Reprogramaciones!$T$15,0,IF(Reprogramaciones!$S$15&gt;10,MIN(100,SUM($G29:$P29)),MIN(100,SUMPRODUCT((COLUMN($G29:$P29)-COLUMN($G29)+1&lt;Reprogramaciones!$S$15)*$G29:$P29)+N(INDEX($G29:$P29,1,Reprogramaciones!$S$15))*IF(Reprogramaciones!$Q$15&gt;=(Reprogramaciones!$T$15+7*(Reprogramaciones!$S$15-1))+6,1,IF(MAX(0,NETWORKDAYS.INTL(MAX(E29,(Reprogramaciones!$T$15+7*(Reprogramaciones!$S$15-1))),MIN(F29,(Reprogramaciones!$T$15+7*(Reprogramaciones!$S$15-1))+6),11))=0,0,MAX(0,NETWORKDAYS.INTL(MAX(E29,(Reprogramaciones!$T$15+7*(Reprogramaciones!$S$15-1))),MIN(F29,Reprogramaciones!$Q$15),11))/MAX(0,NETWORKDAYS.INTL(MAX(E29,(Reprogramaciones!$T$15+7*(Reprogramaciones!$S$15-1))),MIN(F29,(Reprogramaciones!$T$15+7*(Reprogramaciones!$S$15-1))+6),11))))))))</f>
        <v>100</v>
      </c>
    </row>
    <row r="30" customFormat="false" ht="15" hidden="false" customHeight="false" outlineLevel="0" collapsed="false">
      <c r="A30" s="32" t="s">
        <v>201</v>
      </c>
      <c r="B30" s="33" t="s">
        <v>202</v>
      </c>
      <c r="C30" s="33"/>
      <c r="D30" s="34"/>
      <c r="E30" s="35"/>
      <c r="F30" s="35"/>
      <c r="G30" s="36" t="str">
        <f aca="false">IF(OR(NOT(AND(ISNUMBER(E30),ISNUMBER(F30))),$J$2=""),"",IF(Reprogramaciones!K$9&lt;E30,0,IF(NETWORKDAYS.INTL(E30,F30,11)=0,IF(Reprogramaciones!K$9&gt;=F30,100,0),ROUND(NETWORKDAYS.INTL(E30,MIN(F30,Reprogramaciones!K$9),11)/NETWORKDAYS.INTL(E30,F30,11)*100,1)))-0)</f>
        <v/>
      </c>
      <c r="H30" s="36" t="str">
        <f aca="false">IF(OR(NOT(AND(ISNUMBER(E30),ISNUMBER(F30))),$J$2=""),"",IF(Reprogramaciones!L$9&lt;E30,0,IF(NETWORKDAYS.INTL(E30,F30,11)=0,IF(Reprogramaciones!L$9&gt;=F30,100,0),ROUND(NETWORKDAYS.INTL(E30,MIN(F30,Reprogramaciones!L$9),11)/NETWORKDAYS.INTL(E30,F30,11)*100,1)))-IF(Reprogramaciones!K$9&lt;E30,0,IF(NETWORKDAYS.INTL(E30,F30,11)=0,IF(Reprogramaciones!K$9&gt;=F30,100,0),ROUND(NETWORKDAYS.INTL(E30,MIN(F30,Reprogramaciones!K$9),11)/NETWORKDAYS.INTL(E30,F30,11)*100,1))))</f>
        <v/>
      </c>
      <c r="I30" s="36" t="str">
        <f aca="false">IF(OR(NOT(AND(ISNUMBER(E30),ISNUMBER(F30))),$J$2=""),"",IF(Reprogramaciones!M$9&lt;E30,0,IF(NETWORKDAYS.INTL(E30,F30,11)=0,IF(Reprogramaciones!M$9&gt;=F30,100,0),ROUND(NETWORKDAYS.INTL(E30,MIN(F30,Reprogramaciones!M$9),11)/NETWORKDAYS.INTL(E30,F30,11)*100,1)))-IF(Reprogramaciones!L$9&lt;E30,0,IF(NETWORKDAYS.INTL(E30,F30,11)=0,IF(Reprogramaciones!L$9&gt;=F30,100,0),ROUND(NETWORKDAYS.INTL(E30,MIN(F30,Reprogramaciones!L$9),11)/NETWORKDAYS.INTL(E30,F30,11)*100,1))))</f>
        <v/>
      </c>
      <c r="J30" s="36" t="str">
        <f aca="false">IF(OR(NOT(AND(ISNUMBER(E30),ISNUMBER(F30))),$J$2=""),"",IF(Reprogramaciones!N$9&lt;E30,0,IF(NETWORKDAYS.INTL(E30,F30,11)=0,IF(Reprogramaciones!N$9&gt;=F30,100,0),ROUND(NETWORKDAYS.INTL(E30,MIN(F30,Reprogramaciones!N$9),11)/NETWORKDAYS.INTL(E30,F30,11)*100,1)))-IF(Reprogramaciones!M$9&lt;E30,0,IF(NETWORKDAYS.INTL(E30,F30,11)=0,IF(Reprogramaciones!M$9&gt;=F30,100,0),ROUND(NETWORKDAYS.INTL(E30,MIN(F30,Reprogramaciones!M$9),11)/NETWORKDAYS.INTL(E30,F30,11)*100,1))))</f>
        <v/>
      </c>
      <c r="K30" s="36" t="str">
        <f aca="false">IF(OR(NOT(AND(ISNUMBER(E30),ISNUMBER(F30))),$J$2=""),"",IF(Reprogramaciones!O$9&lt;E30,0,IF(NETWORKDAYS.INTL(E30,F30,11)=0,IF(Reprogramaciones!O$9&gt;=F30,100,0),ROUND(NETWORKDAYS.INTL(E30,MIN(F30,Reprogramaciones!O$9),11)/NETWORKDAYS.INTL(E30,F30,11)*100,1)))-IF(Reprogramaciones!N$9&lt;E30,0,IF(NETWORKDAYS.INTL(E30,F30,11)=0,IF(Reprogramaciones!N$9&gt;=F30,100,0),ROUND(NETWORKDAYS.INTL(E30,MIN(F30,Reprogramaciones!N$9),11)/NETWORKDAYS.INTL(E30,F30,11)*100,1))))</f>
        <v/>
      </c>
      <c r="L30" s="36" t="str">
        <f aca="false">IF(OR(NOT(AND(ISNUMBER(E30),ISNUMBER(F30))),$J$2=""),"",IF(Reprogramaciones!P$9&lt;E30,0,IF(NETWORKDAYS.INTL(E30,F30,11)=0,IF(Reprogramaciones!P$9&gt;=F30,100,0),ROUND(NETWORKDAYS.INTL(E30,MIN(F30,Reprogramaciones!P$9),11)/NETWORKDAYS.INTL(E30,F30,11)*100,1)))-IF(Reprogramaciones!O$9&lt;E30,0,IF(NETWORKDAYS.INTL(E30,F30,11)=0,IF(Reprogramaciones!O$9&gt;=F30,100,0),ROUND(NETWORKDAYS.INTL(E30,MIN(F30,Reprogramaciones!O$9),11)/NETWORKDAYS.INTL(E30,F30,11)*100,1))))</f>
        <v/>
      </c>
      <c r="M30" s="36" t="str">
        <f aca="false">IF(OR(NOT(AND(ISNUMBER(E30),ISNUMBER(F30))),$J$2=""),"",IF(Reprogramaciones!Q$9&lt;E30,0,IF(NETWORKDAYS.INTL(E30,F30,11)=0,IF(Reprogramaciones!Q$9&gt;=F30,100,0),ROUND(NETWORKDAYS.INTL(E30,MIN(F30,Reprogramaciones!Q$9),11)/NETWORKDAYS.INTL(E30,F30,11)*100,1)))-IF(Reprogramaciones!P$9&lt;E30,0,IF(NETWORKDAYS.INTL(E30,F30,11)=0,IF(Reprogramaciones!P$9&gt;=F30,100,0),ROUND(NETWORKDAYS.INTL(E30,MIN(F30,Reprogramaciones!P$9),11)/NETWORKDAYS.INTL(E30,F30,11)*100,1))))</f>
        <v/>
      </c>
      <c r="N30" s="36" t="str">
        <f aca="false">IF(OR(NOT(AND(ISNUMBER(E30),ISNUMBER(F30))),$J$2=""),"",IF(Reprogramaciones!R$9&lt;E30,0,IF(NETWORKDAYS.INTL(E30,F30,11)=0,IF(Reprogramaciones!R$9&gt;=F30,100,0),ROUND(NETWORKDAYS.INTL(E30,MIN(F30,Reprogramaciones!R$9),11)/NETWORKDAYS.INTL(E30,F30,11)*100,1)))-IF(Reprogramaciones!Q$9&lt;E30,0,IF(NETWORKDAYS.INTL(E30,F30,11)=0,IF(Reprogramaciones!Q$9&gt;=F30,100,0),ROUND(NETWORKDAYS.INTL(E30,MIN(F30,Reprogramaciones!Q$9),11)/NETWORKDAYS.INTL(E30,F30,11)*100,1))))</f>
        <v/>
      </c>
      <c r="O30" s="36" t="str">
        <f aca="false">IF(OR(NOT(AND(ISNUMBER(E30),ISNUMBER(F30))),$J$2=""),"",IF(Reprogramaciones!S$9&lt;E30,0,IF(NETWORKDAYS.INTL(E30,F30,11)=0,IF(Reprogramaciones!S$9&gt;=F30,100,0),ROUND(NETWORKDAYS.INTL(E30,MIN(F30,Reprogramaciones!S$9),11)/NETWORKDAYS.INTL(E30,F30,11)*100,1)))-IF(Reprogramaciones!R$9&lt;E30,0,IF(NETWORKDAYS.INTL(E30,F30,11)=0,IF(Reprogramaciones!R$9&gt;=F30,100,0),ROUND(NETWORKDAYS.INTL(E30,MIN(F30,Reprogramaciones!R$9),11)/NETWORKDAYS.INTL(E30,F30,11)*100,1))))</f>
        <v/>
      </c>
      <c r="P30" s="36" t="str">
        <f aca="false">IF(OR(NOT(AND(ISNUMBER(E30),ISNUMBER(F30))),$J$2=""),"",IF(Reprogramaciones!T$9&lt;E30,0,IF(NETWORKDAYS.INTL(E30,F30,11)=0,IF(Reprogramaciones!T$9&gt;=F30,100,0),ROUND(NETWORKDAYS.INTL(E30,MIN(F30,Reprogramaciones!T$9),11)/NETWORKDAYS.INTL(E30,F30,11)*100,1)))-IF(Reprogramaciones!S$9&lt;E30,0,IF(NETWORKDAYS.INTL(E30,F30,11)=0,IF(Reprogramaciones!S$9&gt;=F30,100,0),ROUND(NETWORKDAYS.INTL(E30,MIN(F30,Reprogramaciones!S$9),11)/NETWORKDAYS.INTL(E30,F30,11)*100,1))))</f>
        <v/>
      </c>
      <c r="Q30" s="37"/>
      <c r="R30" s="37"/>
      <c r="S30" s="37"/>
      <c r="T30" s="37"/>
      <c r="U30" s="37"/>
      <c r="V30" s="37"/>
      <c r="W30" s="37"/>
      <c r="X30" s="37"/>
      <c r="Y30" s="37"/>
      <c r="Z30" s="37"/>
      <c r="AA30" s="37"/>
      <c r="AB30" s="37"/>
      <c r="AC30" s="37"/>
      <c r="AD30" s="37"/>
      <c r="AE30" s="37"/>
      <c r="AF30" s="37"/>
      <c r="AG30" s="38" t="str">
        <f aca="false">IF(AND(ISNUMBER(E30),ISNUMBER(F30)),NETWORKDAYS.INTL(E30,F30,11),"")</f>
        <v/>
      </c>
      <c r="AH30" s="38" t="str">
        <f aca="false">IF(OR(NOT(AND(ISNUMBER(E30),ISNUMBER(F30))),$J$2=""),"",IF(Reprogramaciones!$P$15&lt;Reprogramaciones!$T$15,0,IF(Reprogramaciones!$R$15&gt;10,MIN(100,SUM($G30:$P30)),MIN(100,SUMPRODUCT((COLUMN($G30:$P30)-COLUMN($G30)+1&lt;Reprogramaciones!$R$15)*$G30:$P30)+N(INDEX($G30:$P30,1,Reprogramaciones!$R$15))*IF(Reprogramaciones!$P$15&gt;=(Reprogramaciones!$T$15+7*(Reprogramaciones!$R$15-1))+6,1,IF(MAX(0,NETWORKDAYS.INTL(MAX(E30,(Reprogramaciones!$T$15+7*(Reprogramaciones!$R$15-1))),MIN(F30,(Reprogramaciones!$T$15+7*(Reprogramaciones!$R$15-1))+6),11))=0,0,MAX(0,NETWORKDAYS.INTL(MAX(E30,(Reprogramaciones!$T$15+7*(Reprogramaciones!$R$15-1))),MIN(F30,Reprogramaciones!$P$15),11))/MAX(0,NETWORKDAYS.INTL(MAX(E30,(Reprogramaciones!$T$15+7*(Reprogramaciones!$R$15-1))),MIN(F30,(Reprogramaciones!$T$15+7*(Reprogramaciones!$R$15-1))+6),11))))))))</f>
        <v/>
      </c>
      <c r="AI30" s="38" t="str">
        <f aca="false">IF(COUNT($Q30:$AF30)=0,"",IF(ROUND(SUM($Q30:$AF30),1)&gt;=99.5,100,MIN(100,ROUND(SUM($Q30:$AF30),1))))</f>
        <v/>
      </c>
      <c r="AJ30" s="38" t="str">
        <f aca="false">IF(OR(AH30="",AI30=""),"",AI30-AH30)</f>
        <v/>
      </c>
      <c r="AK30" s="39" t="str">
        <f aca="true">IF(AH30="","",IF(OR(Ficha!$C$10="Suspendida",Ficha!$C$10="Cancelada"),Ficha!$C$10,IF(AND(AI30&lt;&gt;"",N(AI30)&gt;=100),"Completada",IF(AND(E30&gt;TODAY(),N(AI30)=0),"Por iniciar",IF(N(AI30)+0.5&lt;AH30,"Retrasada",IF(N(AI30)+0.5&lt;DA30,IF(Reprogramaciones!$K$15&gt;0,"Al día · Sem "&amp;Reprogramaciones!$K$15&amp;" en curso","Al día · en curso"),"A tiempo"))))))</f>
        <v/>
      </c>
      <c r="AL30" s="39" t="str">
        <f aca="true">IF(AND(A30="",AND(B30="",C30="",E30="",F30="",COUNT(Q30:AF30)=0)),"",IF(AND(B30="",C30="",E30="",F30="",COUNT(Q30:AF30)=0),"Falta la partida o subpartida",IF(AND(A30&lt;&gt;"",COUNTIF($A$6:$A$305,A30)&gt;1),"Ítem repetido",IF(AND(C30="",E30="",F30="",COUNT(Q30:AF30)=0),"Título de partida",IF(OR(E30="",F30=""),"Faltan fechas",IF(OR(ISTEXT(E30),ISTEXT(F30)),"Fecha escrita como texto: usa dd/mm/aaaa",IF(F30&lt;E30,"Fin antes del inicio",IF(IF($J$2="",FALSE(),OR(E30&lt;$J$2,F30&gt;Reprogramaciones!$T$15+69)),"Fuera de las 10 semanas",IF(ABS(SUM(G30:P30)-100)&gt;0.5,"La meta no suma 100%",IF(ROUND(SUM(Q30:AF30),1)&gt;100.5,"El avance pasa de 100%",IF(MIN(Q30:AF30)&lt;0,"Avance negativo",IF(COUNTA(Q30:AF30)&gt;COUNT(Q30:AF30),"Avance escrito como texto",IF(SUMPRODUCT((Q30:AF30&gt;0)*(Q30:AF30&lt;1))&gt;0,"Avance menor a 1: escribe 50, no 50%",IF(SUMPRODUCT(ISNUMBER(Q30:AF30)*(Reprogramaciones!$K$8:$Z$8&gt;TODAY()))&gt;0,"Avance en semana que aún no llega",IF(AND(N(Reprogramaciones!$E$21)&gt;0,F30&gt;Reprogramaciones!$E$21),"Pasa el fin de la obra: registra una reprogramación",IF(AND(N(Reprogramaciones!$E$21)&gt;0,SUMPRODUCT(ISNUMBER(Q30:AF30)*(Reprogramaciones!$K$8:$Z$8&gt;Reprogramaciones!$E$21))&gt;0),"Avance después del fin de la obra: registra una reprogramación por atraso","OK"))))))))))))))))</f>
        <v>Título de partida</v>
      </c>
      <c r="AM30" s="40" t="str">
        <f aca="false">IF(OR(OR(NOT(AND(ISNUMBER(E30),ISNUMBER(F30))),$J$2=""),1&gt;MAX(1,Reprogramaciones!$U$15)),"",IF(Reprogramaciones!K$12&gt;=7,"",IF(OR(BT30-N(0)&gt;0.05,N(Q30)&gt;0),ROUNDDOWN(ROUND(BT30,6),0)&amp;"%"&amp;IF(CJ30="",""," / "&amp;CJ30&amp;"%"),IF(AND(N(0)&gt;=99.95,CJ30&lt;&gt;"",N(CJ30)&lt;100),"Pend. "&amp;CJ30&amp;"%",""))))</f>
        <v/>
      </c>
      <c r="AN30" s="40" t="str">
        <f aca="false">IF(OR(OR(NOT(AND(ISNUMBER(E30),ISNUMBER(F30))),$J$2=""),2&gt;MAX(1,Reprogramaciones!$U$15)),"",IF(Reprogramaciones!L$12&gt;=7,"",IF(OR(BU30-N(BT30)&gt;0.05,N(R30)&gt;0),ROUNDDOWN(ROUND(BU30,6),0)&amp;"%"&amp;IF(CK30="",""," / "&amp;CK30&amp;"%"),IF(AND(N(BT30)&gt;=99.95,CK30&lt;&gt;"",N(CK30)&lt;100),"Pend. "&amp;CK30&amp;"%",""))))</f>
        <v/>
      </c>
      <c r="AO30" s="40" t="str">
        <f aca="false">IF(OR(OR(NOT(AND(ISNUMBER(E30),ISNUMBER(F30))),$J$2=""),3&gt;MAX(1,Reprogramaciones!$U$15)),"",IF(Reprogramaciones!M$12&gt;=7,"",IF(OR(BV30-N(BU30)&gt;0.05,N(S30)&gt;0),ROUNDDOWN(ROUND(BV30,6),0)&amp;"%"&amp;IF(CL30="",""," / "&amp;CL30&amp;"%"),IF(AND(N(BU30)&gt;=99.95,CL30&lt;&gt;"",N(CL30)&lt;100),"Pend. "&amp;CL30&amp;"%",""))))</f>
        <v/>
      </c>
      <c r="AP30" s="40" t="str">
        <f aca="false">IF(OR(OR(NOT(AND(ISNUMBER(E30),ISNUMBER(F30))),$J$2=""),4&gt;MAX(1,Reprogramaciones!$U$15)),"",IF(Reprogramaciones!N$12&gt;=7,"",IF(OR(BW30-N(BV30)&gt;0.05,N(T30)&gt;0),ROUNDDOWN(ROUND(BW30,6),0)&amp;"%"&amp;IF(CM30="",""," / "&amp;CM30&amp;"%"),IF(AND(N(BV30)&gt;=99.95,CM30&lt;&gt;"",N(CM30)&lt;100),"Pend. "&amp;CM30&amp;"%",""))))</f>
        <v/>
      </c>
      <c r="AQ30" s="40" t="str">
        <f aca="false">IF(OR(OR(NOT(AND(ISNUMBER(E30),ISNUMBER(F30))),$J$2=""),5&gt;MAX(1,Reprogramaciones!$U$15)),"",IF(Reprogramaciones!O$12&gt;=7,"",IF(OR(BX30-N(BW30)&gt;0.05,N(U30)&gt;0),ROUNDDOWN(ROUND(BX30,6),0)&amp;"%"&amp;IF(CN30="",""," / "&amp;CN30&amp;"%"),IF(AND(N(BW30)&gt;=99.95,CN30&lt;&gt;"",N(CN30)&lt;100),"Pend. "&amp;CN30&amp;"%",""))))</f>
        <v/>
      </c>
      <c r="AR30" s="40" t="str">
        <f aca="false">IF(OR(OR(NOT(AND(ISNUMBER(E30),ISNUMBER(F30))),$J$2=""),6&gt;MAX(1,Reprogramaciones!$U$15)),"",IF(Reprogramaciones!P$12&gt;=7,"",IF(OR(BY30-N(BX30)&gt;0.05,N(V30)&gt;0),ROUNDDOWN(ROUND(BY30,6),0)&amp;"%"&amp;IF(CO30="",""," / "&amp;CO30&amp;"%"),IF(AND(N(BX30)&gt;=99.95,CO30&lt;&gt;"",N(CO30)&lt;100),"Pend. "&amp;CO30&amp;"%",""))))</f>
        <v/>
      </c>
      <c r="AS30" s="40" t="str">
        <f aca="false">IF(OR(OR(NOT(AND(ISNUMBER(E30),ISNUMBER(F30))),$J$2=""),7&gt;MAX(1,Reprogramaciones!$U$15)),"",IF(Reprogramaciones!Q$12&gt;=7,"",IF(OR(BZ30-N(BY30)&gt;0.05,N(W30)&gt;0),ROUNDDOWN(ROUND(BZ30,6),0)&amp;"%"&amp;IF(CP30="",""," / "&amp;CP30&amp;"%"),IF(AND(N(BY30)&gt;=99.95,CP30&lt;&gt;"",N(CP30)&lt;100),"Pend. "&amp;CP30&amp;"%",""))))</f>
        <v/>
      </c>
      <c r="AT30" s="40" t="str">
        <f aca="false">IF(OR(OR(NOT(AND(ISNUMBER(E30),ISNUMBER(F30))),$J$2=""),8&gt;MAX(1,Reprogramaciones!$U$15)),"",IF(Reprogramaciones!R$12&gt;=7,"",IF(OR(CA30-N(BZ30)&gt;0.05,N(X30)&gt;0),ROUNDDOWN(ROUND(CA30,6),0)&amp;"%"&amp;IF(CQ30="",""," / "&amp;CQ30&amp;"%"),IF(AND(N(BZ30)&gt;=99.95,CQ30&lt;&gt;"",N(CQ30)&lt;100),"Pend. "&amp;CQ30&amp;"%",""))))</f>
        <v/>
      </c>
      <c r="AU30" s="40" t="str">
        <f aca="false">IF(OR(OR(NOT(AND(ISNUMBER(E30),ISNUMBER(F30))),$J$2=""),9&gt;MAX(1,Reprogramaciones!$U$15)),"",IF(Reprogramaciones!S$12&gt;=7,"",IF(OR(CB30-N(CA30)&gt;0.05,N(Y30)&gt;0),ROUNDDOWN(ROUND(CB30,6),0)&amp;"%"&amp;IF(CR30="",""," / "&amp;CR30&amp;"%"),IF(AND(N(CA30)&gt;=99.95,CR30&lt;&gt;"",N(CR30)&lt;100),"Pend. "&amp;CR30&amp;"%",""))))</f>
        <v/>
      </c>
      <c r="AV30" s="40" t="str">
        <f aca="false">IF(OR(OR(NOT(AND(ISNUMBER(E30),ISNUMBER(F30))),$J$2=""),10&gt;MAX(1,Reprogramaciones!$U$15)),"",IF(Reprogramaciones!T$12&gt;=7,"",IF(OR(CC30-N(CB30)&gt;0.05,N(Z30)&gt;0),ROUNDDOWN(ROUND(CC30,6),0)&amp;"%"&amp;IF(CS30="",""," / "&amp;CS30&amp;"%"),IF(AND(N(CB30)&gt;=99.95,CS30&lt;&gt;"",N(CS30)&lt;100),"Pend. "&amp;CS30&amp;"%",""))))</f>
        <v/>
      </c>
      <c r="AW30" s="40" t="str">
        <f aca="false">IF(OR(OR(NOT(AND(ISNUMBER(E30),ISNUMBER(F30))),$J$2=""),11&gt;MAX(1,Reprogramaciones!$U$15)),"",IF(Reprogramaciones!U$12&gt;=7,"",IF(OR(CD30-N(CC30)&gt;0.05,N(AA30)&gt;0),ROUNDDOWN(ROUND(CD30,6),0)&amp;"%"&amp;IF(CT30="",""," / "&amp;CT30&amp;"%"),IF(AND(N(CC30)&gt;=99.95,CT30&lt;&gt;"",N(CT30)&lt;100),"Pend. "&amp;CT30&amp;"%",""))))</f>
        <v/>
      </c>
      <c r="AX30" s="40" t="str">
        <f aca="false">IF(OR(OR(NOT(AND(ISNUMBER(E30),ISNUMBER(F30))),$J$2=""),12&gt;MAX(1,Reprogramaciones!$U$15)),"",IF(Reprogramaciones!V$12&gt;=7,"",IF(OR(CE30-N(CD30)&gt;0.05,N(AB30)&gt;0),ROUNDDOWN(ROUND(CE30,6),0)&amp;"%"&amp;IF(CU30="",""," / "&amp;CU30&amp;"%"),IF(AND(N(CD30)&gt;=99.95,CU30&lt;&gt;"",N(CU30)&lt;100),"Pend. "&amp;CU30&amp;"%",""))))</f>
        <v/>
      </c>
      <c r="AY30" s="40" t="str">
        <f aca="false">IF(OR(OR(NOT(AND(ISNUMBER(E30),ISNUMBER(F30))),$J$2=""),13&gt;MAX(1,Reprogramaciones!$U$15)),"",IF(Reprogramaciones!W$12&gt;=7,"",IF(OR(CF30-N(CE30)&gt;0.05,N(AC30)&gt;0),ROUNDDOWN(ROUND(CF30,6),0)&amp;"%"&amp;IF(CV30="",""," / "&amp;CV30&amp;"%"),IF(AND(N(CE30)&gt;=99.95,CV30&lt;&gt;"",N(CV30)&lt;100),"Pend. "&amp;CV30&amp;"%",""))))</f>
        <v/>
      </c>
      <c r="AZ30" s="40" t="str">
        <f aca="false">IF(OR(OR(NOT(AND(ISNUMBER(E30),ISNUMBER(F30))),$J$2=""),14&gt;MAX(1,Reprogramaciones!$U$15)),"",IF(Reprogramaciones!X$12&gt;=7,"",IF(OR(CG30-N(CF30)&gt;0.05,N(AD30)&gt;0),ROUNDDOWN(ROUND(CG30,6),0)&amp;"%"&amp;IF(CW30="",""," / "&amp;CW30&amp;"%"),IF(AND(N(CF30)&gt;=99.95,CW30&lt;&gt;"",N(CW30)&lt;100),"Pend. "&amp;CW30&amp;"%",""))))</f>
        <v/>
      </c>
      <c r="BA30" s="40" t="str">
        <f aca="false">IF(OR(OR(NOT(AND(ISNUMBER(E30),ISNUMBER(F30))),$J$2=""),15&gt;MAX(1,Reprogramaciones!$U$15)),"",IF(Reprogramaciones!Y$12&gt;=7,"",IF(OR(CH30-N(CG30)&gt;0.05,N(AE30)&gt;0),ROUNDDOWN(ROUND(CH30,6),0)&amp;"%"&amp;IF(CX30="",""," / "&amp;CX30&amp;"%"),IF(AND(N(CG30)&gt;=99.95,CX30&lt;&gt;"",N(CX30)&lt;100),"Pend. "&amp;CX30&amp;"%",""))))</f>
        <v/>
      </c>
      <c r="BB30" s="40" t="str">
        <f aca="false">IF(OR(OR(NOT(AND(ISNUMBER(E30),ISNUMBER(F30))),$J$2=""),16&gt;MAX(1,Reprogramaciones!$U$15)),"",IF(Reprogramaciones!Z$12&gt;=7,"",IF(OR(CI30-N(CH30)&gt;0.05,N(AF30)&gt;0),ROUNDDOWN(ROUND(CI30,6),0)&amp;"%"&amp;IF(CY30="",""," / "&amp;CY30&amp;"%"),IF(AND(N(CH30)&gt;=99.95,CY30&lt;&gt;"",N(CY30)&lt;100),"Pend. "&amp;CY30&amp;"%",""))))</f>
        <v/>
      </c>
      <c r="BC30" s="31" t="n">
        <f aca="false">IF(AND(ISNUMBER(E30),ISNUMBER(F30)),MAX(1,NETWORKDAYS.INTL(E30,F30,11)),0)</f>
        <v>0</v>
      </c>
      <c r="BD30" s="1" t="str">
        <f aca="false">IF(OR(NOT(AND(ISNUMBER(E30),ISNUMBER(F30))),$J$2=""),"",MIN(100,ROUND(SUM($G30:G30),1)))</f>
        <v/>
      </c>
      <c r="BE30" s="1" t="str">
        <f aca="false">IF(OR(NOT(AND(ISNUMBER(E30),ISNUMBER(F30))),$J$2=""),"",MIN(100,ROUND(SUM($G30:H30),1)))</f>
        <v/>
      </c>
      <c r="BF30" s="1" t="str">
        <f aca="false">IF(OR(NOT(AND(ISNUMBER(E30),ISNUMBER(F30))),$J$2=""),"",MIN(100,ROUND(SUM($G30:I30),1)))</f>
        <v/>
      </c>
      <c r="BG30" s="1" t="str">
        <f aca="false">IF(OR(NOT(AND(ISNUMBER(E30),ISNUMBER(F30))),$J$2=""),"",MIN(100,ROUND(SUM($G30:J30),1)))</f>
        <v/>
      </c>
      <c r="BH30" s="1" t="str">
        <f aca="false">IF(OR(NOT(AND(ISNUMBER(E30),ISNUMBER(F30))),$J$2=""),"",MIN(100,ROUND(SUM($G30:K30),1)))</f>
        <v/>
      </c>
      <c r="BI30" s="1" t="str">
        <f aca="false">IF(OR(NOT(AND(ISNUMBER(E30),ISNUMBER(F30))),$J$2=""),"",MIN(100,ROUND(SUM($G30:L30),1)))</f>
        <v/>
      </c>
      <c r="BJ30" s="1" t="str">
        <f aca="false">IF(OR(NOT(AND(ISNUMBER(E30),ISNUMBER(F30))),$J$2=""),"",MIN(100,ROUND(SUM($G30:M30),1)))</f>
        <v/>
      </c>
      <c r="BK30" s="1" t="str">
        <f aca="false">IF(OR(NOT(AND(ISNUMBER(E30),ISNUMBER(F30))),$J$2=""),"",MIN(100,ROUND(SUM($G30:N30),1)))</f>
        <v/>
      </c>
      <c r="BL30" s="1" t="str">
        <f aca="false">IF(OR(NOT(AND(ISNUMBER(E30),ISNUMBER(F30))),$J$2=""),"",MIN(100,ROUND(SUM($G30:O30),1)))</f>
        <v/>
      </c>
      <c r="BM30" s="1" t="str">
        <f aca="false">IF(OR(NOT(AND(ISNUMBER(E30),ISNUMBER(F30))),$J$2=""),"",MIN(100,ROUND(SUM($G30:P30),1)))</f>
        <v/>
      </c>
      <c r="BN30" s="1" t="str">
        <f aca="false">IF(OR(NOT(AND(ISNUMBER(E30),ISNUMBER(F30))),$J$2=""),"",MIN(100,ROUND(SUM($G30:P30),1)))</f>
        <v/>
      </c>
      <c r="BO30" s="1" t="str">
        <f aca="false">IF(OR(NOT(AND(ISNUMBER(E30),ISNUMBER(F30))),$J$2=""),"",MIN(100,ROUND(SUM($G30:P30),1)))</f>
        <v/>
      </c>
      <c r="BP30" s="1" t="str">
        <f aca="false">IF(OR(NOT(AND(ISNUMBER(E30),ISNUMBER(F30))),$J$2=""),"",MIN(100,ROUND(SUM($G30:P30),1)))</f>
        <v/>
      </c>
      <c r="BQ30" s="1" t="str">
        <f aca="false">IF(OR(NOT(AND(ISNUMBER(E30),ISNUMBER(F30))),$J$2=""),"",MIN(100,ROUND(SUM($G30:P30),1)))</f>
        <v/>
      </c>
      <c r="BR30" s="1" t="str">
        <f aca="false">IF(OR(NOT(AND(ISNUMBER(E30),ISNUMBER(F30))),$J$2=""),"",MIN(100,ROUND(SUM($G30:P30),1)))</f>
        <v/>
      </c>
      <c r="BS30" s="1" t="str">
        <f aca="false">IF(OR(NOT(AND(ISNUMBER(E30),ISNUMBER(F30))),$J$2=""),"",MIN(100,ROUND(SUM($G30:P30),1)))</f>
        <v/>
      </c>
      <c r="BT30" s="1" t="str">
        <f aca="false">IF(OR(NOT(AND(ISNUMBER(E30),ISNUMBER(F30))),$J$2=""),"",IF(Reprogramaciones!K$13&lt;Reprogramaciones!$T$15,0,IF(Reprogramaciones!K$14&gt;10,MIN(100,SUM($G30:$P30)),MIN(100,SUMPRODUCT((COLUMN($G30:$P30)-COLUMN($G30)+1&lt;Reprogramaciones!K$14)*$G30:$P30)+N(INDEX($G30:$P30,1,Reprogramaciones!K$14))*IF(Reprogramaciones!K$13&gt;=(Reprogramaciones!$T$15+7*(Reprogramaciones!K$14-1))+6,1,IF(MAX(0,NETWORKDAYS.INTL(MAX(E30,(Reprogramaciones!$T$15+7*(Reprogramaciones!K$14-1))),MIN(F30,(Reprogramaciones!$T$15+7*(Reprogramaciones!K$14-1))+6),11))=0,0,MAX(0,NETWORKDAYS.INTL(MAX(E30,(Reprogramaciones!$T$15+7*(Reprogramaciones!K$14-1))),MIN(F30,Reprogramaciones!K$13),11))/MAX(0,NETWORKDAYS.INTL(MAX(E30,(Reprogramaciones!$T$15+7*(Reprogramaciones!K$14-1))),MIN(F30,(Reprogramaciones!$T$15+7*(Reprogramaciones!K$14-1))+6),11))))))))</f>
        <v/>
      </c>
      <c r="BU30" s="1" t="str">
        <f aca="false">IF(OR(NOT(AND(ISNUMBER(E30),ISNUMBER(F30))),$J$2=""),"",IF(Reprogramaciones!L$13&lt;Reprogramaciones!$T$15,0,IF(Reprogramaciones!L$14&gt;10,MIN(100,SUM($G30:$P30)),MIN(100,SUMPRODUCT((COLUMN($G30:$P30)-COLUMN($G30)+1&lt;Reprogramaciones!L$14)*$G30:$P30)+N(INDEX($G30:$P30,1,Reprogramaciones!L$14))*IF(Reprogramaciones!L$13&gt;=(Reprogramaciones!$T$15+7*(Reprogramaciones!L$14-1))+6,1,IF(MAX(0,NETWORKDAYS.INTL(MAX(E30,(Reprogramaciones!$T$15+7*(Reprogramaciones!L$14-1))),MIN(F30,(Reprogramaciones!$T$15+7*(Reprogramaciones!L$14-1))+6),11))=0,0,MAX(0,NETWORKDAYS.INTL(MAX(E30,(Reprogramaciones!$T$15+7*(Reprogramaciones!L$14-1))),MIN(F30,Reprogramaciones!L$13),11))/MAX(0,NETWORKDAYS.INTL(MAX(E30,(Reprogramaciones!$T$15+7*(Reprogramaciones!L$14-1))),MIN(F30,(Reprogramaciones!$T$15+7*(Reprogramaciones!L$14-1))+6),11))))))))</f>
        <v/>
      </c>
      <c r="BV30" s="1" t="str">
        <f aca="false">IF(OR(NOT(AND(ISNUMBER(E30),ISNUMBER(F30))),$J$2=""),"",IF(Reprogramaciones!M$13&lt;Reprogramaciones!$T$15,0,IF(Reprogramaciones!M$14&gt;10,MIN(100,SUM($G30:$P30)),MIN(100,SUMPRODUCT((COLUMN($G30:$P30)-COLUMN($G30)+1&lt;Reprogramaciones!M$14)*$G30:$P30)+N(INDEX($G30:$P30,1,Reprogramaciones!M$14))*IF(Reprogramaciones!M$13&gt;=(Reprogramaciones!$T$15+7*(Reprogramaciones!M$14-1))+6,1,IF(MAX(0,NETWORKDAYS.INTL(MAX(E30,(Reprogramaciones!$T$15+7*(Reprogramaciones!M$14-1))),MIN(F30,(Reprogramaciones!$T$15+7*(Reprogramaciones!M$14-1))+6),11))=0,0,MAX(0,NETWORKDAYS.INTL(MAX(E30,(Reprogramaciones!$T$15+7*(Reprogramaciones!M$14-1))),MIN(F30,Reprogramaciones!M$13),11))/MAX(0,NETWORKDAYS.INTL(MAX(E30,(Reprogramaciones!$T$15+7*(Reprogramaciones!M$14-1))),MIN(F30,(Reprogramaciones!$T$15+7*(Reprogramaciones!M$14-1))+6),11))))))))</f>
        <v/>
      </c>
      <c r="BW30" s="1" t="str">
        <f aca="false">IF(OR(NOT(AND(ISNUMBER(E30),ISNUMBER(F30))),$J$2=""),"",IF(Reprogramaciones!N$13&lt;Reprogramaciones!$T$15,0,IF(Reprogramaciones!N$14&gt;10,MIN(100,SUM($G30:$P30)),MIN(100,SUMPRODUCT((COLUMN($G30:$P30)-COLUMN($G30)+1&lt;Reprogramaciones!N$14)*$G30:$P30)+N(INDEX($G30:$P30,1,Reprogramaciones!N$14))*IF(Reprogramaciones!N$13&gt;=(Reprogramaciones!$T$15+7*(Reprogramaciones!N$14-1))+6,1,IF(MAX(0,NETWORKDAYS.INTL(MAX(E30,(Reprogramaciones!$T$15+7*(Reprogramaciones!N$14-1))),MIN(F30,(Reprogramaciones!$T$15+7*(Reprogramaciones!N$14-1))+6),11))=0,0,MAX(0,NETWORKDAYS.INTL(MAX(E30,(Reprogramaciones!$T$15+7*(Reprogramaciones!N$14-1))),MIN(F30,Reprogramaciones!N$13),11))/MAX(0,NETWORKDAYS.INTL(MAX(E30,(Reprogramaciones!$T$15+7*(Reprogramaciones!N$14-1))),MIN(F30,(Reprogramaciones!$T$15+7*(Reprogramaciones!N$14-1))+6),11))))))))</f>
        <v/>
      </c>
      <c r="BX30" s="1" t="str">
        <f aca="false">IF(OR(NOT(AND(ISNUMBER(E30),ISNUMBER(F30))),$J$2=""),"",IF(Reprogramaciones!O$13&lt;Reprogramaciones!$T$15,0,IF(Reprogramaciones!O$14&gt;10,MIN(100,SUM($G30:$P30)),MIN(100,SUMPRODUCT((COLUMN($G30:$P30)-COLUMN($G30)+1&lt;Reprogramaciones!O$14)*$G30:$P30)+N(INDEX($G30:$P30,1,Reprogramaciones!O$14))*IF(Reprogramaciones!O$13&gt;=(Reprogramaciones!$T$15+7*(Reprogramaciones!O$14-1))+6,1,IF(MAX(0,NETWORKDAYS.INTL(MAX(E30,(Reprogramaciones!$T$15+7*(Reprogramaciones!O$14-1))),MIN(F30,(Reprogramaciones!$T$15+7*(Reprogramaciones!O$14-1))+6),11))=0,0,MAX(0,NETWORKDAYS.INTL(MAX(E30,(Reprogramaciones!$T$15+7*(Reprogramaciones!O$14-1))),MIN(F30,Reprogramaciones!O$13),11))/MAX(0,NETWORKDAYS.INTL(MAX(E30,(Reprogramaciones!$T$15+7*(Reprogramaciones!O$14-1))),MIN(F30,(Reprogramaciones!$T$15+7*(Reprogramaciones!O$14-1))+6),11))))))))</f>
        <v/>
      </c>
      <c r="BY30" s="1" t="str">
        <f aca="false">IF(OR(NOT(AND(ISNUMBER(E30),ISNUMBER(F30))),$J$2=""),"",IF(Reprogramaciones!P$13&lt;Reprogramaciones!$T$15,0,IF(Reprogramaciones!P$14&gt;10,MIN(100,SUM($G30:$P30)),MIN(100,SUMPRODUCT((COLUMN($G30:$P30)-COLUMN($G30)+1&lt;Reprogramaciones!P$14)*$G30:$P30)+N(INDEX($G30:$P30,1,Reprogramaciones!P$14))*IF(Reprogramaciones!P$13&gt;=(Reprogramaciones!$T$15+7*(Reprogramaciones!P$14-1))+6,1,IF(MAX(0,NETWORKDAYS.INTL(MAX(E30,(Reprogramaciones!$T$15+7*(Reprogramaciones!P$14-1))),MIN(F30,(Reprogramaciones!$T$15+7*(Reprogramaciones!P$14-1))+6),11))=0,0,MAX(0,NETWORKDAYS.INTL(MAX(E30,(Reprogramaciones!$T$15+7*(Reprogramaciones!P$14-1))),MIN(F30,Reprogramaciones!P$13),11))/MAX(0,NETWORKDAYS.INTL(MAX(E30,(Reprogramaciones!$T$15+7*(Reprogramaciones!P$14-1))),MIN(F30,(Reprogramaciones!$T$15+7*(Reprogramaciones!P$14-1))+6),11))))))))</f>
        <v/>
      </c>
      <c r="BZ30" s="1" t="str">
        <f aca="false">IF(OR(NOT(AND(ISNUMBER(E30),ISNUMBER(F30))),$J$2=""),"",IF(Reprogramaciones!Q$13&lt;Reprogramaciones!$T$15,0,IF(Reprogramaciones!Q$14&gt;10,MIN(100,SUM($G30:$P30)),MIN(100,SUMPRODUCT((COLUMN($G30:$P30)-COLUMN($G30)+1&lt;Reprogramaciones!Q$14)*$G30:$P30)+N(INDEX($G30:$P30,1,Reprogramaciones!Q$14))*IF(Reprogramaciones!Q$13&gt;=(Reprogramaciones!$T$15+7*(Reprogramaciones!Q$14-1))+6,1,IF(MAX(0,NETWORKDAYS.INTL(MAX(E30,(Reprogramaciones!$T$15+7*(Reprogramaciones!Q$14-1))),MIN(F30,(Reprogramaciones!$T$15+7*(Reprogramaciones!Q$14-1))+6),11))=0,0,MAX(0,NETWORKDAYS.INTL(MAX(E30,(Reprogramaciones!$T$15+7*(Reprogramaciones!Q$14-1))),MIN(F30,Reprogramaciones!Q$13),11))/MAX(0,NETWORKDAYS.INTL(MAX(E30,(Reprogramaciones!$T$15+7*(Reprogramaciones!Q$14-1))),MIN(F30,(Reprogramaciones!$T$15+7*(Reprogramaciones!Q$14-1))+6),11))))))))</f>
        <v/>
      </c>
      <c r="CA30" s="1" t="str">
        <f aca="false">IF(OR(NOT(AND(ISNUMBER(E30),ISNUMBER(F30))),$J$2=""),"",IF(Reprogramaciones!R$13&lt;Reprogramaciones!$T$15,0,IF(Reprogramaciones!R$14&gt;10,MIN(100,SUM($G30:$P30)),MIN(100,SUMPRODUCT((COLUMN($G30:$P30)-COLUMN($G30)+1&lt;Reprogramaciones!R$14)*$G30:$P30)+N(INDEX($G30:$P30,1,Reprogramaciones!R$14))*IF(Reprogramaciones!R$13&gt;=(Reprogramaciones!$T$15+7*(Reprogramaciones!R$14-1))+6,1,IF(MAX(0,NETWORKDAYS.INTL(MAX(E30,(Reprogramaciones!$T$15+7*(Reprogramaciones!R$14-1))),MIN(F30,(Reprogramaciones!$T$15+7*(Reprogramaciones!R$14-1))+6),11))=0,0,MAX(0,NETWORKDAYS.INTL(MAX(E30,(Reprogramaciones!$T$15+7*(Reprogramaciones!R$14-1))),MIN(F30,Reprogramaciones!R$13),11))/MAX(0,NETWORKDAYS.INTL(MAX(E30,(Reprogramaciones!$T$15+7*(Reprogramaciones!R$14-1))),MIN(F30,(Reprogramaciones!$T$15+7*(Reprogramaciones!R$14-1))+6),11))))))))</f>
        <v/>
      </c>
      <c r="CB30" s="1" t="str">
        <f aca="false">IF(OR(NOT(AND(ISNUMBER(E30),ISNUMBER(F30))),$J$2=""),"",IF(Reprogramaciones!S$13&lt;Reprogramaciones!$T$15,0,IF(Reprogramaciones!S$14&gt;10,MIN(100,SUM($G30:$P30)),MIN(100,SUMPRODUCT((COLUMN($G30:$P30)-COLUMN($G30)+1&lt;Reprogramaciones!S$14)*$G30:$P30)+N(INDEX($G30:$P30,1,Reprogramaciones!S$14))*IF(Reprogramaciones!S$13&gt;=(Reprogramaciones!$T$15+7*(Reprogramaciones!S$14-1))+6,1,IF(MAX(0,NETWORKDAYS.INTL(MAX(E30,(Reprogramaciones!$T$15+7*(Reprogramaciones!S$14-1))),MIN(F30,(Reprogramaciones!$T$15+7*(Reprogramaciones!S$14-1))+6),11))=0,0,MAX(0,NETWORKDAYS.INTL(MAX(E30,(Reprogramaciones!$T$15+7*(Reprogramaciones!S$14-1))),MIN(F30,Reprogramaciones!S$13),11))/MAX(0,NETWORKDAYS.INTL(MAX(E30,(Reprogramaciones!$T$15+7*(Reprogramaciones!S$14-1))),MIN(F30,(Reprogramaciones!$T$15+7*(Reprogramaciones!S$14-1))+6),11))))))))</f>
        <v/>
      </c>
      <c r="CC30" s="1" t="str">
        <f aca="false">IF(OR(NOT(AND(ISNUMBER(E30),ISNUMBER(F30))),$J$2=""),"",IF(Reprogramaciones!T$13&lt;Reprogramaciones!$T$15,0,IF(Reprogramaciones!T$14&gt;10,MIN(100,SUM($G30:$P30)),MIN(100,SUMPRODUCT((COLUMN($G30:$P30)-COLUMN($G30)+1&lt;Reprogramaciones!T$14)*$G30:$P30)+N(INDEX($G30:$P30,1,Reprogramaciones!T$14))*IF(Reprogramaciones!T$13&gt;=(Reprogramaciones!$T$15+7*(Reprogramaciones!T$14-1))+6,1,IF(MAX(0,NETWORKDAYS.INTL(MAX(E30,(Reprogramaciones!$T$15+7*(Reprogramaciones!T$14-1))),MIN(F30,(Reprogramaciones!$T$15+7*(Reprogramaciones!T$14-1))+6),11))=0,0,MAX(0,NETWORKDAYS.INTL(MAX(E30,(Reprogramaciones!$T$15+7*(Reprogramaciones!T$14-1))),MIN(F30,Reprogramaciones!T$13),11))/MAX(0,NETWORKDAYS.INTL(MAX(E30,(Reprogramaciones!$T$15+7*(Reprogramaciones!T$14-1))),MIN(F30,(Reprogramaciones!$T$15+7*(Reprogramaciones!T$14-1))+6),11))))))))</f>
        <v/>
      </c>
      <c r="CD30" s="1" t="str">
        <f aca="false">IF(OR(NOT(AND(ISNUMBER(E30),ISNUMBER(F30))),$J$2=""),"",IF(Reprogramaciones!U$13&lt;Reprogramaciones!$T$15,0,IF(Reprogramaciones!U$14&gt;10,MIN(100,SUM($G30:$P30)),MIN(100,SUMPRODUCT((COLUMN($G30:$P30)-COLUMN($G30)+1&lt;Reprogramaciones!U$14)*$G30:$P30)+N(INDEX($G30:$P30,1,Reprogramaciones!U$14))*IF(Reprogramaciones!U$13&gt;=(Reprogramaciones!$T$15+7*(Reprogramaciones!U$14-1))+6,1,IF(MAX(0,NETWORKDAYS.INTL(MAX(E30,(Reprogramaciones!$T$15+7*(Reprogramaciones!U$14-1))),MIN(F30,(Reprogramaciones!$T$15+7*(Reprogramaciones!U$14-1))+6),11))=0,0,MAX(0,NETWORKDAYS.INTL(MAX(E30,(Reprogramaciones!$T$15+7*(Reprogramaciones!U$14-1))),MIN(F30,Reprogramaciones!U$13),11))/MAX(0,NETWORKDAYS.INTL(MAX(E30,(Reprogramaciones!$T$15+7*(Reprogramaciones!U$14-1))),MIN(F30,(Reprogramaciones!$T$15+7*(Reprogramaciones!U$14-1))+6),11))))))))</f>
        <v/>
      </c>
      <c r="CE30" s="1" t="str">
        <f aca="false">IF(OR(NOT(AND(ISNUMBER(E30),ISNUMBER(F30))),$J$2=""),"",IF(Reprogramaciones!V$13&lt;Reprogramaciones!$T$15,0,IF(Reprogramaciones!V$14&gt;10,MIN(100,SUM($G30:$P30)),MIN(100,SUMPRODUCT((COLUMN($G30:$P30)-COLUMN($G30)+1&lt;Reprogramaciones!V$14)*$G30:$P30)+N(INDEX($G30:$P30,1,Reprogramaciones!V$14))*IF(Reprogramaciones!V$13&gt;=(Reprogramaciones!$T$15+7*(Reprogramaciones!V$14-1))+6,1,IF(MAX(0,NETWORKDAYS.INTL(MAX(E30,(Reprogramaciones!$T$15+7*(Reprogramaciones!V$14-1))),MIN(F30,(Reprogramaciones!$T$15+7*(Reprogramaciones!V$14-1))+6),11))=0,0,MAX(0,NETWORKDAYS.INTL(MAX(E30,(Reprogramaciones!$T$15+7*(Reprogramaciones!V$14-1))),MIN(F30,Reprogramaciones!V$13),11))/MAX(0,NETWORKDAYS.INTL(MAX(E30,(Reprogramaciones!$T$15+7*(Reprogramaciones!V$14-1))),MIN(F30,(Reprogramaciones!$T$15+7*(Reprogramaciones!V$14-1))+6),11))))))))</f>
        <v/>
      </c>
      <c r="CF30" s="1" t="str">
        <f aca="false">IF(OR(NOT(AND(ISNUMBER(E30),ISNUMBER(F30))),$J$2=""),"",IF(Reprogramaciones!W$13&lt;Reprogramaciones!$T$15,0,IF(Reprogramaciones!W$14&gt;10,MIN(100,SUM($G30:$P30)),MIN(100,SUMPRODUCT((COLUMN($G30:$P30)-COLUMN($G30)+1&lt;Reprogramaciones!W$14)*$G30:$P30)+N(INDEX($G30:$P30,1,Reprogramaciones!W$14))*IF(Reprogramaciones!W$13&gt;=(Reprogramaciones!$T$15+7*(Reprogramaciones!W$14-1))+6,1,IF(MAX(0,NETWORKDAYS.INTL(MAX(E30,(Reprogramaciones!$T$15+7*(Reprogramaciones!W$14-1))),MIN(F30,(Reprogramaciones!$T$15+7*(Reprogramaciones!W$14-1))+6),11))=0,0,MAX(0,NETWORKDAYS.INTL(MAX(E30,(Reprogramaciones!$T$15+7*(Reprogramaciones!W$14-1))),MIN(F30,Reprogramaciones!W$13),11))/MAX(0,NETWORKDAYS.INTL(MAX(E30,(Reprogramaciones!$T$15+7*(Reprogramaciones!W$14-1))),MIN(F30,(Reprogramaciones!$T$15+7*(Reprogramaciones!W$14-1))+6),11))))))))</f>
        <v/>
      </c>
      <c r="CG30" s="1" t="str">
        <f aca="false">IF(OR(NOT(AND(ISNUMBER(E30),ISNUMBER(F30))),$J$2=""),"",IF(Reprogramaciones!X$13&lt;Reprogramaciones!$T$15,0,IF(Reprogramaciones!X$14&gt;10,MIN(100,SUM($G30:$P30)),MIN(100,SUMPRODUCT((COLUMN($G30:$P30)-COLUMN($G30)+1&lt;Reprogramaciones!X$14)*$G30:$P30)+N(INDEX($G30:$P30,1,Reprogramaciones!X$14))*IF(Reprogramaciones!X$13&gt;=(Reprogramaciones!$T$15+7*(Reprogramaciones!X$14-1))+6,1,IF(MAX(0,NETWORKDAYS.INTL(MAX(E30,(Reprogramaciones!$T$15+7*(Reprogramaciones!X$14-1))),MIN(F30,(Reprogramaciones!$T$15+7*(Reprogramaciones!X$14-1))+6),11))=0,0,MAX(0,NETWORKDAYS.INTL(MAX(E30,(Reprogramaciones!$T$15+7*(Reprogramaciones!X$14-1))),MIN(F30,Reprogramaciones!X$13),11))/MAX(0,NETWORKDAYS.INTL(MAX(E30,(Reprogramaciones!$T$15+7*(Reprogramaciones!X$14-1))),MIN(F30,(Reprogramaciones!$T$15+7*(Reprogramaciones!X$14-1))+6),11))))))))</f>
        <v/>
      </c>
      <c r="CH30" s="1" t="str">
        <f aca="false">IF(OR(NOT(AND(ISNUMBER(E30),ISNUMBER(F30))),$J$2=""),"",IF(Reprogramaciones!Y$13&lt;Reprogramaciones!$T$15,0,IF(Reprogramaciones!Y$14&gt;10,MIN(100,SUM($G30:$P30)),MIN(100,SUMPRODUCT((COLUMN($G30:$P30)-COLUMN($G30)+1&lt;Reprogramaciones!Y$14)*$G30:$P30)+N(INDEX($G30:$P30,1,Reprogramaciones!Y$14))*IF(Reprogramaciones!Y$13&gt;=(Reprogramaciones!$T$15+7*(Reprogramaciones!Y$14-1))+6,1,IF(MAX(0,NETWORKDAYS.INTL(MAX(E30,(Reprogramaciones!$T$15+7*(Reprogramaciones!Y$14-1))),MIN(F30,(Reprogramaciones!$T$15+7*(Reprogramaciones!Y$14-1))+6),11))=0,0,MAX(0,NETWORKDAYS.INTL(MAX(E30,(Reprogramaciones!$T$15+7*(Reprogramaciones!Y$14-1))),MIN(F30,Reprogramaciones!Y$13),11))/MAX(0,NETWORKDAYS.INTL(MAX(E30,(Reprogramaciones!$T$15+7*(Reprogramaciones!Y$14-1))),MIN(F30,(Reprogramaciones!$T$15+7*(Reprogramaciones!Y$14-1))+6),11))))))))</f>
        <v/>
      </c>
      <c r="CI30" s="1" t="str">
        <f aca="false">IF(OR(NOT(AND(ISNUMBER(E30),ISNUMBER(F30))),$J$2=""),"",IF(Reprogramaciones!Z$13&lt;Reprogramaciones!$T$15,0,IF(Reprogramaciones!Z$14&gt;10,MIN(100,SUM($G30:$P30)),MIN(100,SUMPRODUCT((COLUMN($G30:$P30)-COLUMN($G30)+1&lt;Reprogramaciones!Z$14)*$G30:$P30)+N(INDEX($G30:$P30,1,Reprogramaciones!Z$14))*IF(Reprogramaciones!Z$13&gt;=(Reprogramaciones!$T$15+7*(Reprogramaciones!Z$14-1))+6,1,IF(MAX(0,NETWORKDAYS.INTL(MAX(E30,(Reprogramaciones!$T$15+7*(Reprogramaciones!Z$14-1))),MIN(F30,(Reprogramaciones!$T$15+7*(Reprogramaciones!Z$14-1))+6),11))=0,0,MAX(0,NETWORKDAYS.INTL(MAX(E30,(Reprogramaciones!$T$15+7*(Reprogramaciones!Z$14-1))),MIN(F30,Reprogramaciones!Z$13),11))/MAX(0,NETWORKDAYS.INTL(MAX(E30,(Reprogramaciones!$T$15+7*(Reprogramaciones!Z$14-1))),MIN(F30,(Reprogramaciones!$T$15+7*(Reprogramaciones!Z$14-1))+6),11))))))))</f>
        <v/>
      </c>
      <c r="CJ30" s="1" t="str">
        <f aca="false">IF(OR(OR(NOT(AND(ISNUMBER(E30),ISNUMBER(F30))),$J$2=""),1&gt;Reprogramaciones!$K$16),"",IF(ROUND(SUM($Q30:Q30),1)&gt;=99.5,100,MIN(100,ROUND(SUM($Q30:Q30),1))))</f>
        <v/>
      </c>
      <c r="CK30" s="1" t="str">
        <f aca="false">IF(OR(OR(NOT(AND(ISNUMBER(E30),ISNUMBER(F30))),$J$2=""),2&gt;Reprogramaciones!$K$16),"",IF(ROUND(SUM($Q30:R30),1)&gt;=99.5,100,MIN(100,ROUND(SUM($Q30:R30),1))))</f>
        <v/>
      </c>
      <c r="CL30" s="1" t="str">
        <f aca="false">IF(OR(OR(NOT(AND(ISNUMBER(E30),ISNUMBER(F30))),$J$2=""),3&gt;Reprogramaciones!$K$16),"",IF(ROUND(SUM($Q30:S30),1)&gt;=99.5,100,MIN(100,ROUND(SUM($Q30:S30),1))))</f>
        <v/>
      </c>
      <c r="CM30" s="1" t="str">
        <f aca="false">IF(OR(OR(NOT(AND(ISNUMBER(E30),ISNUMBER(F30))),$J$2=""),4&gt;Reprogramaciones!$K$16),"",IF(ROUND(SUM($Q30:T30),1)&gt;=99.5,100,MIN(100,ROUND(SUM($Q30:T30),1))))</f>
        <v/>
      </c>
      <c r="CN30" s="1" t="str">
        <f aca="false">IF(OR(OR(NOT(AND(ISNUMBER(E30),ISNUMBER(F30))),$J$2=""),5&gt;Reprogramaciones!$K$16),"",IF(ROUND(SUM($Q30:U30),1)&gt;=99.5,100,MIN(100,ROUND(SUM($Q30:U30),1))))</f>
        <v/>
      </c>
      <c r="CO30" s="1" t="str">
        <f aca="false">IF(OR(OR(NOT(AND(ISNUMBER(E30),ISNUMBER(F30))),$J$2=""),6&gt;Reprogramaciones!$K$16),"",IF(ROUND(SUM($Q30:V30),1)&gt;=99.5,100,MIN(100,ROUND(SUM($Q30:V30),1))))</f>
        <v/>
      </c>
      <c r="CP30" s="1" t="str">
        <f aca="false">IF(OR(OR(NOT(AND(ISNUMBER(E30),ISNUMBER(F30))),$J$2=""),7&gt;Reprogramaciones!$K$16),"",IF(ROUND(SUM($Q30:W30),1)&gt;=99.5,100,MIN(100,ROUND(SUM($Q30:W30),1))))</f>
        <v/>
      </c>
      <c r="CQ30" s="1" t="str">
        <f aca="false">IF(OR(OR(NOT(AND(ISNUMBER(E30),ISNUMBER(F30))),$J$2=""),8&gt;Reprogramaciones!$K$16),"",IF(ROUND(SUM($Q30:X30),1)&gt;=99.5,100,MIN(100,ROUND(SUM($Q30:X30),1))))</f>
        <v/>
      </c>
      <c r="CR30" s="1" t="str">
        <f aca="false">IF(OR(OR(NOT(AND(ISNUMBER(E30),ISNUMBER(F30))),$J$2=""),9&gt;Reprogramaciones!$K$16),"",IF(ROUND(SUM($Q30:Y30),1)&gt;=99.5,100,MIN(100,ROUND(SUM($Q30:Y30),1))))</f>
        <v/>
      </c>
      <c r="CS30" s="1" t="str">
        <f aca="false">IF(OR(OR(NOT(AND(ISNUMBER(E30),ISNUMBER(F30))),$J$2=""),10&gt;Reprogramaciones!$K$16),"",IF(ROUND(SUM($Q30:Z30),1)&gt;=99.5,100,MIN(100,ROUND(SUM($Q30:Z30),1))))</f>
        <v/>
      </c>
      <c r="CT30" s="1" t="str">
        <f aca="false">IF(OR(OR(NOT(AND(ISNUMBER(E30),ISNUMBER(F30))),$J$2=""),11&gt;Reprogramaciones!$K$16),"",IF(ROUND(SUM($Q30:AA30),1)&gt;=99.5,100,MIN(100,ROUND(SUM($Q30:AA30),1))))</f>
        <v/>
      </c>
      <c r="CU30" s="1" t="str">
        <f aca="false">IF(OR(OR(NOT(AND(ISNUMBER(E30),ISNUMBER(F30))),$J$2=""),12&gt;Reprogramaciones!$K$16),"",IF(ROUND(SUM($Q30:AB30),1)&gt;=99.5,100,MIN(100,ROUND(SUM($Q30:AB30),1))))</f>
        <v/>
      </c>
      <c r="CV30" s="1" t="str">
        <f aca="false">IF(OR(OR(NOT(AND(ISNUMBER(E30),ISNUMBER(F30))),$J$2=""),13&gt;Reprogramaciones!$K$16),"",IF(ROUND(SUM($Q30:AC30),1)&gt;=99.5,100,MIN(100,ROUND(SUM($Q30:AC30),1))))</f>
        <v/>
      </c>
      <c r="CW30" s="1" t="str">
        <f aca="false">IF(OR(OR(NOT(AND(ISNUMBER(E30),ISNUMBER(F30))),$J$2=""),14&gt;Reprogramaciones!$K$16),"",IF(ROUND(SUM($Q30:AD30),1)&gt;=99.5,100,MIN(100,ROUND(SUM($Q30:AD30),1))))</f>
        <v/>
      </c>
      <c r="CX30" s="1" t="str">
        <f aca="false">IF(OR(OR(NOT(AND(ISNUMBER(E30),ISNUMBER(F30))),$J$2=""),15&gt;Reprogramaciones!$K$16),"",IF(ROUND(SUM($Q30:AE30),1)&gt;=99.5,100,MIN(100,ROUND(SUM($Q30:AE30),1))))</f>
        <v/>
      </c>
      <c r="CY30" s="1" t="str">
        <f aca="false">IF(OR(OR(NOT(AND(ISNUMBER(E30),ISNUMBER(F30))),$J$2=""),16&gt;Reprogramaciones!$K$16),"",IF(ROUND(SUM($Q30:AF30),1)&gt;=99.5,100,MIN(100,ROUND(SUM($Q30:AF30),1))))</f>
        <v/>
      </c>
      <c r="CZ30" s="1" t="str">
        <f aca="false">IF(D30&lt;&gt;"",D30,IF(B30&lt;&gt;"","Contractual",CZ29))</f>
        <v>Contractual</v>
      </c>
      <c r="DA30" s="1" t="str">
        <f aca="false">IF(OR(NOT(AND(ISNUMBER(E30),ISNUMBER(F30))),$J$2=""),"",IF(Reprogramaciones!$Q$15&lt;Reprogramaciones!$T$15,0,IF(Reprogramaciones!$S$15&gt;10,MIN(100,SUM($G30:$P30)),MIN(100,SUMPRODUCT((COLUMN($G30:$P30)-COLUMN($G30)+1&lt;Reprogramaciones!$S$15)*$G30:$P30)+N(INDEX($G30:$P30,1,Reprogramaciones!$S$15))*IF(Reprogramaciones!$Q$15&gt;=(Reprogramaciones!$T$15+7*(Reprogramaciones!$S$15-1))+6,1,IF(MAX(0,NETWORKDAYS.INTL(MAX(E30,(Reprogramaciones!$T$15+7*(Reprogramaciones!$S$15-1))),MIN(F30,(Reprogramaciones!$T$15+7*(Reprogramaciones!$S$15-1))+6),11))=0,0,MAX(0,NETWORKDAYS.INTL(MAX(E30,(Reprogramaciones!$T$15+7*(Reprogramaciones!$S$15-1))),MIN(F30,Reprogramaciones!$Q$15),11))/MAX(0,NETWORKDAYS.INTL(MAX(E30,(Reprogramaciones!$T$15+7*(Reprogramaciones!$S$15-1))),MIN(F30,(Reprogramaciones!$T$15+7*(Reprogramaciones!$S$15-1))+6),11))))))))</f>
        <v/>
      </c>
    </row>
    <row r="31" customFormat="false" ht="15" hidden="false" customHeight="false" outlineLevel="0" collapsed="false">
      <c r="A31" s="32" t="s">
        <v>203</v>
      </c>
      <c r="B31" s="33"/>
      <c r="C31" s="33" t="s">
        <v>204</v>
      </c>
      <c r="D31" s="34"/>
      <c r="E31" s="35" t="n">
        <v>46303</v>
      </c>
      <c r="F31" s="35" t="n">
        <v>46308</v>
      </c>
      <c r="G31" s="36" t="n">
        <f aca="false">IF(OR(NOT(AND(ISNUMBER(E31),ISNUMBER(F31))),$J$2=""),"",IF(Reprogramaciones!K$9&lt;E31,0,IF(NETWORKDAYS.INTL(E31,F31,11)=0,IF(Reprogramaciones!K$9&gt;=F31,100,0),ROUND(NETWORKDAYS.INTL(E31,MIN(F31,Reprogramaciones!K$9),11)/NETWORKDAYS.INTL(E31,F31,11)*100,1)))-0)</f>
        <v>0</v>
      </c>
      <c r="H31" s="36" t="n">
        <f aca="false">IF(OR(NOT(AND(ISNUMBER(E31),ISNUMBER(F31))),$J$2=""),"",IF(Reprogramaciones!L$9&lt;E31,0,IF(NETWORKDAYS.INTL(E31,F31,11)=0,IF(Reprogramaciones!L$9&gt;=F31,100,0),ROUND(NETWORKDAYS.INTL(E31,MIN(F31,Reprogramaciones!L$9),11)/NETWORKDAYS.INTL(E31,F31,11)*100,1)))-IF(Reprogramaciones!K$9&lt;E31,0,IF(NETWORKDAYS.INTL(E31,F31,11)=0,IF(Reprogramaciones!K$9&gt;=F31,100,0),ROUND(NETWORKDAYS.INTL(E31,MIN(F31,Reprogramaciones!K$9),11)/NETWORKDAYS.INTL(E31,F31,11)*100,1))))</f>
        <v>0</v>
      </c>
      <c r="I31" s="36" t="n">
        <f aca="false">IF(OR(NOT(AND(ISNUMBER(E31),ISNUMBER(F31))),$J$2=""),"",IF(Reprogramaciones!M$9&lt;E31,0,IF(NETWORKDAYS.INTL(E31,F31,11)=0,IF(Reprogramaciones!M$9&gt;=F31,100,0),ROUND(NETWORKDAYS.INTL(E31,MIN(F31,Reprogramaciones!M$9),11)/NETWORKDAYS.INTL(E31,F31,11)*100,1)))-IF(Reprogramaciones!L$9&lt;E31,0,IF(NETWORKDAYS.INTL(E31,F31,11)=0,IF(Reprogramaciones!L$9&gt;=F31,100,0),ROUND(NETWORKDAYS.INTL(E31,MIN(F31,Reprogramaciones!L$9),11)/NETWORKDAYS.INTL(E31,F31,11)*100,1))))</f>
        <v>60</v>
      </c>
      <c r="J31" s="36" t="n">
        <f aca="false">IF(OR(NOT(AND(ISNUMBER(E31),ISNUMBER(F31))),$J$2=""),"",IF(Reprogramaciones!N$9&lt;E31,0,IF(NETWORKDAYS.INTL(E31,F31,11)=0,IF(Reprogramaciones!N$9&gt;=F31,100,0),ROUND(NETWORKDAYS.INTL(E31,MIN(F31,Reprogramaciones!N$9),11)/NETWORKDAYS.INTL(E31,F31,11)*100,1)))-IF(Reprogramaciones!M$9&lt;E31,0,IF(NETWORKDAYS.INTL(E31,F31,11)=0,IF(Reprogramaciones!M$9&gt;=F31,100,0),ROUND(NETWORKDAYS.INTL(E31,MIN(F31,Reprogramaciones!M$9),11)/NETWORKDAYS.INTL(E31,F31,11)*100,1))))</f>
        <v>40</v>
      </c>
      <c r="K31" s="36" t="n">
        <f aca="false">IF(OR(NOT(AND(ISNUMBER(E31),ISNUMBER(F31))),$J$2=""),"",IF(Reprogramaciones!O$9&lt;E31,0,IF(NETWORKDAYS.INTL(E31,F31,11)=0,IF(Reprogramaciones!O$9&gt;=F31,100,0),ROUND(NETWORKDAYS.INTL(E31,MIN(F31,Reprogramaciones!O$9),11)/NETWORKDAYS.INTL(E31,F31,11)*100,1)))-IF(Reprogramaciones!N$9&lt;E31,0,IF(NETWORKDAYS.INTL(E31,F31,11)=0,IF(Reprogramaciones!N$9&gt;=F31,100,0),ROUND(NETWORKDAYS.INTL(E31,MIN(F31,Reprogramaciones!N$9),11)/NETWORKDAYS.INTL(E31,F31,11)*100,1))))</f>
        <v>0</v>
      </c>
      <c r="L31" s="36" t="n">
        <f aca="false">IF(OR(NOT(AND(ISNUMBER(E31),ISNUMBER(F31))),$J$2=""),"",IF(Reprogramaciones!P$9&lt;E31,0,IF(NETWORKDAYS.INTL(E31,F31,11)=0,IF(Reprogramaciones!P$9&gt;=F31,100,0),ROUND(NETWORKDAYS.INTL(E31,MIN(F31,Reprogramaciones!P$9),11)/NETWORKDAYS.INTL(E31,F31,11)*100,1)))-IF(Reprogramaciones!O$9&lt;E31,0,IF(NETWORKDAYS.INTL(E31,F31,11)=0,IF(Reprogramaciones!O$9&gt;=F31,100,0),ROUND(NETWORKDAYS.INTL(E31,MIN(F31,Reprogramaciones!O$9),11)/NETWORKDAYS.INTL(E31,F31,11)*100,1))))</f>
        <v>0</v>
      </c>
      <c r="M31" s="36" t="n">
        <f aca="false">IF(OR(NOT(AND(ISNUMBER(E31),ISNUMBER(F31))),$J$2=""),"",IF(Reprogramaciones!Q$9&lt;E31,0,IF(NETWORKDAYS.INTL(E31,F31,11)=0,IF(Reprogramaciones!Q$9&gt;=F31,100,0),ROUND(NETWORKDAYS.INTL(E31,MIN(F31,Reprogramaciones!Q$9),11)/NETWORKDAYS.INTL(E31,F31,11)*100,1)))-IF(Reprogramaciones!P$9&lt;E31,0,IF(NETWORKDAYS.INTL(E31,F31,11)=0,IF(Reprogramaciones!P$9&gt;=F31,100,0),ROUND(NETWORKDAYS.INTL(E31,MIN(F31,Reprogramaciones!P$9),11)/NETWORKDAYS.INTL(E31,F31,11)*100,1))))</f>
        <v>0</v>
      </c>
      <c r="N31" s="36" t="n">
        <f aca="false">IF(OR(NOT(AND(ISNUMBER(E31),ISNUMBER(F31))),$J$2=""),"",IF(Reprogramaciones!R$9&lt;E31,0,IF(NETWORKDAYS.INTL(E31,F31,11)=0,IF(Reprogramaciones!R$9&gt;=F31,100,0),ROUND(NETWORKDAYS.INTL(E31,MIN(F31,Reprogramaciones!R$9),11)/NETWORKDAYS.INTL(E31,F31,11)*100,1)))-IF(Reprogramaciones!Q$9&lt;E31,0,IF(NETWORKDAYS.INTL(E31,F31,11)=0,IF(Reprogramaciones!Q$9&gt;=F31,100,0),ROUND(NETWORKDAYS.INTL(E31,MIN(F31,Reprogramaciones!Q$9),11)/NETWORKDAYS.INTL(E31,F31,11)*100,1))))</f>
        <v>0</v>
      </c>
      <c r="O31" s="36" t="n">
        <f aca="false">IF(OR(NOT(AND(ISNUMBER(E31),ISNUMBER(F31))),$J$2=""),"",IF(Reprogramaciones!S$9&lt;E31,0,IF(NETWORKDAYS.INTL(E31,F31,11)=0,IF(Reprogramaciones!S$9&gt;=F31,100,0),ROUND(NETWORKDAYS.INTL(E31,MIN(F31,Reprogramaciones!S$9),11)/NETWORKDAYS.INTL(E31,F31,11)*100,1)))-IF(Reprogramaciones!R$9&lt;E31,0,IF(NETWORKDAYS.INTL(E31,F31,11)=0,IF(Reprogramaciones!R$9&gt;=F31,100,0),ROUND(NETWORKDAYS.INTL(E31,MIN(F31,Reprogramaciones!R$9),11)/NETWORKDAYS.INTL(E31,F31,11)*100,1))))</f>
        <v>0</v>
      </c>
      <c r="P31" s="36" t="n">
        <f aca="false">IF(OR(NOT(AND(ISNUMBER(E31),ISNUMBER(F31))),$J$2=""),"",IF(Reprogramaciones!T$9&lt;E31,0,IF(NETWORKDAYS.INTL(E31,F31,11)=0,IF(Reprogramaciones!T$9&gt;=F31,100,0),ROUND(NETWORKDAYS.INTL(E31,MIN(F31,Reprogramaciones!T$9),11)/NETWORKDAYS.INTL(E31,F31,11)*100,1)))-IF(Reprogramaciones!S$9&lt;E31,0,IF(NETWORKDAYS.INTL(E31,F31,11)=0,IF(Reprogramaciones!S$9&gt;=F31,100,0),ROUND(NETWORKDAYS.INTL(E31,MIN(F31,Reprogramaciones!S$9),11)/NETWORKDAYS.INTL(E31,F31,11)*100,1))))</f>
        <v>0</v>
      </c>
      <c r="Q31" s="37"/>
      <c r="R31" s="37"/>
      <c r="S31" s="37" t="n">
        <v>60</v>
      </c>
      <c r="T31" s="37" t="n">
        <v>40</v>
      </c>
      <c r="U31" s="37"/>
      <c r="V31" s="37"/>
      <c r="W31" s="37"/>
      <c r="X31" s="37"/>
      <c r="Y31" s="37"/>
      <c r="Z31" s="37"/>
      <c r="AA31" s="37"/>
      <c r="AB31" s="37"/>
      <c r="AC31" s="37"/>
      <c r="AD31" s="37"/>
      <c r="AE31" s="37"/>
      <c r="AF31" s="37"/>
      <c r="AG31" s="38" t="n">
        <f aca="false">IF(AND(ISNUMBER(E31),ISNUMBER(F31)),NETWORKDAYS.INTL(E31,F31,11),"")</f>
        <v>5</v>
      </c>
      <c r="AH31" s="38" t="n">
        <f aca="false">IF(OR(NOT(AND(ISNUMBER(E31),ISNUMBER(F31))),$J$2=""),"",IF(Reprogramaciones!$P$15&lt;Reprogramaciones!$T$15,0,IF(Reprogramaciones!$R$15&gt;10,MIN(100,SUM($G31:$P31)),MIN(100,SUMPRODUCT((COLUMN($G31:$P31)-COLUMN($G31)+1&lt;Reprogramaciones!$R$15)*$G31:$P31)+N(INDEX($G31:$P31,1,Reprogramaciones!$R$15))*IF(Reprogramaciones!$P$15&gt;=(Reprogramaciones!$T$15+7*(Reprogramaciones!$R$15-1))+6,1,IF(MAX(0,NETWORKDAYS.INTL(MAX(E31,(Reprogramaciones!$T$15+7*(Reprogramaciones!$R$15-1))),MIN(F31,(Reprogramaciones!$T$15+7*(Reprogramaciones!$R$15-1))+6),11))=0,0,MAX(0,NETWORKDAYS.INTL(MAX(E31,(Reprogramaciones!$T$15+7*(Reprogramaciones!$R$15-1))),MIN(F31,Reprogramaciones!$P$15),11))/MAX(0,NETWORKDAYS.INTL(MAX(E31,(Reprogramaciones!$T$15+7*(Reprogramaciones!$R$15-1))),MIN(F31,(Reprogramaciones!$T$15+7*(Reprogramaciones!$R$15-1))+6),11))))))))</f>
        <v>100</v>
      </c>
      <c r="AI31" s="38" t="n">
        <f aca="false">IF(COUNT($Q31:$AF31)=0,"",IF(ROUND(SUM($Q31:$AF31),1)&gt;=99.5,100,MIN(100,ROUND(SUM($Q31:$AF31),1))))</f>
        <v>100</v>
      </c>
      <c r="AJ31" s="38" t="n">
        <f aca="false">IF(OR(AH31="",AI31=""),"",AI31-AH31)</f>
        <v>0</v>
      </c>
      <c r="AK31" s="39" t="str">
        <f aca="true">IF(AH31="","",IF(OR(Ficha!$C$10="Suspendida",Ficha!$C$10="Cancelada"),Ficha!$C$10,IF(AND(AI31&lt;&gt;"",N(AI31)&gt;=100),"Completada",IF(AND(E31&gt;TODAY(),N(AI31)=0),"Por iniciar",IF(N(AI31)+0.5&lt;AH31,"Retrasada",IF(N(AI31)+0.5&lt;DA31,IF(Reprogramaciones!$K$15&gt;0,"Al día · Sem "&amp;Reprogramaciones!$K$15&amp;" en curso","Al día · en curso"),"A tiempo"))))))</f>
        <v>Completada</v>
      </c>
      <c r="AL31" s="39" t="str">
        <f aca="true">IF(AND(A31="",AND(B31="",C31="",E31="",F31="",COUNT(Q31:AF31)=0)),"",IF(AND(B31="",C31="",E31="",F31="",COUNT(Q31:AF31)=0),"Falta la partida o subpartida",IF(AND(A31&lt;&gt;"",COUNTIF($A$6:$A$305,A31)&gt;1),"Ítem repetido",IF(AND(C31="",E31="",F31="",COUNT(Q31:AF31)=0),"Título de partida",IF(OR(E31="",F31=""),"Faltan fechas",IF(OR(ISTEXT(E31),ISTEXT(F31)),"Fecha escrita como texto: usa dd/mm/aaaa",IF(F31&lt;E31,"Fin antes del inicio",IF(IF($J$2="",FALSE(),OR(E31&lt;$J$2,F31&gt;Reprogramaciones!$T$15+69)),"Fuera de las 10 semanas",IF(ABS(SUM(G31:P31)-100)&gt;0.5,"La meta no suma 100%",IF(ROUND(SUM(Q31:AF31),1)&gt;100.5,"El avance pasa de 100%",IF(MIN(Q31:AF31)&lt;0,"Avance negativo",IF(COUNTA(Q31:AF31)&gt;COUNT(Q31:AF31),"Avance escrito como texto",IF(SUMPRODUCT((Q31:AF31&gt;0)*(Q31:AF31&lt;1))&gt;0,"Avance menor a 1: escribe 50, no 50%",IF(SUMPRODUCT(ISNUMBER(Q31:AF31)*(Reprogramaciones!$K$8:$Z$8&gt;TODAY()))&gt;0,"Avance en semana que aún no llega",IF(AND(N(Reprogramaciones!$E$21)&gt;0,F31&gt;Reprogramaciones!$E$21),"Pasa el fin de la obra: registra una reprogramación",IF(AND(N(Reprogramaciones!$E$21)&gt;0,SUMPRODUCT(ISNUMBER(Q31:AF31)*(Reprogramaciones!$K$8:$Z$8&gt;Reprogramaciones!$E$21))&gt;0),"Avance después del fin de la obra: registra una reprogramación por atraso","OK"))))))))))))))))</f>
        <v>OK</v>
      </c>
      <c r="AM31" s="40" t="str">
        <f aca="false">IF(OR(OR(NOT(AND(ISNUMBER(E31),ISNUMBER(F31))),$J$2=""),1&gt;MAX(1,Reprogramaciones!$U$15)),"",IF(Reprogramaciones!K$12&gt;=7,"",IF(OR(BT31-N(0)&gt;0.05,N(Q31)&gt;0),ROUNDDOWN(ROUND(BT31,6),0)&amp;"%"&amp;IF(CJ31="",""," / "&amp;CJ31&amp;"%"),IF(AND(N(0)&gt;=99.95,CJ31&lt;&gt;"",N(CJ31)&lt;100),"Pend. "&amp;CJ31&amp;"%",""))))</f>
        <v/>
      </c>
      <c r="AN31" s="40" t="str">
        <f aca="false">IF(OR(OR(NOT(AND(ISNUMBER(E31),ISNUMBER(F31))),$J$2=""),2&gt;MAX(1,Reprogramaciones!$U$15)),"",IF(Reprogramaciones!L$12&gt;=7,"",IF(OR(BU31-N(BT31)&gt;0.05,N(R31)&gt;0),ROUNDDOWN(ROUND(BU31,6),0)&amp;"%"&amp;IF(CK31="",""," / "&amp;CK31&amp;"%"),IF(AND(N(BT31)&gt;=99.95,CK31&lt;&gt;"",N(CK31)&lt;100),"Pend. "&amp;CK31&amp;"%",""))))</f>
        <v/>
      </c>
      <c r="AO31" s="40" t="str">
        <f aca="false">IF(OR(OR(NOT(AND(ISNUMBER(E31),ISNUMBER(F31))),$J$2=""),3&gt;MAX(1,Reprogramaciones!$U$15)),"",IF(Reprogramaciones!M$12&gt;=7,"",IF(OR(BV31-N(BU31)&gt;0.05,N(S31)&gt;0),ROUNDDOWN(ROUND(BV31,6),0)&amp;"%"&amp;IF(CL31="",""," / "&amp;CL31&amp;"%"),IF(AND(N(BU31)&gt;=99.95,CL31&lt;&gt;"",N(CL31)&lt;100),"Pend. "&amp;CL31&amp;"%",""))))</f>
        <v>60% / 60%</v>
      </c>
      <c r="AP31" s="40" t="str">
        <f aca="false">IF(OR(OR(NOT(AND(ISNUMBER(E31),ISNUMBER(F31))),$J$2=""),4&gt;MAX(1,Reprogramaciones!$U$15)),"",IF(Reprogramaciones!N$12&gt;=7,"",IF(OR(BW31-N(BV31)&gt;0.05,N(T31)&gt;0),ROUNDDOWN(ROUND(BW31,6),0)&amp;"%"&amp;IF(CM31="",""," / "&amp;CM31&amp;"%"),IF(AND(N(BV31)&gt;=99.95,CM31&lt;&gt;"",N(CM31)&lt;100),"Pend. "&amp;CM31&amp;"%",""))))</f>
        <v>100% / 100%</v>
      </c>
      <c r="AQ31" s="40" t="str">
        <f aca="false">IF(OR(OR(NOT(AND(ISNUMBER(E31),ISNUMBER(F31))),$J$2=""),5&gt;MAX(1,Reprogramaciones!$U$15)),"",IF(Reprogramaciones!O$12&gt;=7,"",IF(OR(BX31-N(BW31)&gt;0.05,N(U31)&gt;0),ROUNDDOWN(ROUND(BX31,6),0)&amp;"%"&amp;IF(CN31="",""," / "&amp;CN31&amp;"%"),IF(AND(N(BW31)&gt;=99.95,CN31&lt;&gt;"",N(CN31)&lt;100),"Pend. "&amp;CN31&amp;"%",""))))</f>
        <v/>
      </c>
      <c r="AR31" s="40" t="str">
        <f aca="false">IF(OR(OR(NOT(AND(ISNUMBER(E31),ISNUMBER(F31))),$J$2=""),6&gt;MAX(1,Reprogramaciones!$U$15)),"",IF(Reprogramaciones!P$12&gt;=7,"",IF(OR(BY31-N(BX31)&gt;0.05,N(V31)&gt;0),ROUNDDOWN(ROUND(BY31,6),0)&amp;"%"&amp;IF(CO31="",""," / "&amp;CO31&amp;"%"),IF(AND(N(BX31)&gt;=99.95,CO31&lt;&gt;"",N(CO31)&lt;100),"Pend. "&amp;CO31&amp;"%",""))))</f>
        <v/>
      </c>
      <c r="AS31" s="40" t="str">
        <f aca="false">IF(OR(OR(NOT(AND(ISNUMBER(E31),ISNUMBER(F31))),$J$2=""),7&gt;MAX(1,Reprogramaciones!$U$15)),"",IF(Reprogramaciones!Q$12&gt;=7,"",IF(OR(BZ31-N(BY31)&gt;0.05,N(W31)&gt;0),ROUNDDOWN(ROUND(BZ31,6),0)&amp;"%"&amp;IF(CP31="",""," / "&amp;CP31&amp;"%"),IF(AND(N(BY31)&gt;=99.95,CP31&lt;&gt;"",N(CP31)&lt;100),"Pend. "&amp;CP31&amp;"%",""))))</f>
        <v/>
      </c>
      <c r="AT31" s="40" t="str">
        <f aca="false">IF(OR(OR(NOT(AND(ISNUMBER(E31),ISNUMBER(F31))),$J$2=""),8&gt;MAX(1,Reprogramaciones!$U$15)),"",IF(Reprogramaciones!R$12&gt;=7,"",IF(OR(CA31-N(BZ31)&gt;0.05,N(X31)&gt;0),ROUNDDOWN(ROUND(CA31,6),0)&amp;"%"&amp;IF(CQ31="",""," / "&amp;CQ31&amp;"%"),IF(AND(N(BZ31)&gt;=99.95,CQ31&lt;&gt;"",N(CQ31)&lt;100),"Pend. "&amp;CQ31&amp;"%",""))))</f>
        <v/>
      </c>
      <c r="AU31" s="40" t="str">
        <f aca="false">IF(OR(OR(NOT(AND(ISNUMBER(E31),ISNUMBER(F31))),$J$2=""),9&gt;MAX(1,Reprogramaciones!$U$15)),"",IF(Reprogramaciones!S$12&gt;=7,"",IF(OR(CB31-N(CA31)&gt;0.05,N(Y31)&gt;0),ROUNDDOWN(ROUND(CB31,6),0)&amp;"%"&amp;IF(CR31="",""," / "&amp;CR31&amp;"%"),IF(AND(N(CA31)&gt;=99.95,CR31&lt;&gt;"",N(CR31)&lt;100),"Pend. "&amp;CR31&amp;"%",""))))</f>
        <v/>
      </c>
      <c r="AV31" s="40" t="str">
        <f aca="false">IF(OR(OR(NOT(AND(ISNUMBER(E31),ISNUMBER(F31))),$J$2=""),10&gt;MAX(1,Reprogramaciones!$U$15)),"",IF(Reprogramaciones!T$12&gt;=7,"",IF(OR(CC31-N(CB31)&gt;0.05,N(Z31)&gt;0),ROUNDDOWN(ROUND(CC31,6),0)&amp;"%"&amp;IF(CS31="",""," / "&amp;CS31&amp;"%"),IF(AND(N(CB31)&gt;=99.95,CS31&lt;&gt;"",N(CS31)&lt;100),"Pend. "&amp;CS31&amp;"%",""))))</f>
        <v/>
      </c>
      <c r="AW31" s="40" t="str">
        <f aca="false">IF(OR(OR(NOT(AND(ISNUMBER(E31),ISNUMBER(F31))),$J$2=""),11&gt;MAX(1,Reprogramaciones!$U$15)),"",IF(Reprogramaciones!U$12&gt;=7,"",IF(OR(CD31-N(CC31)&gt;0.05,N(AA31)&gt;0),ROUNDDOWN(ROUND(CD31,6),0)&amp;"%"&amp;IF(CT31="",""," / "&amp;CT31&amp;"%"),IF(AND(N(CC31)&gt;=99.95,CT31&lt;&gt;"",N(CT31)&lt;100),"Pend. "&amp;CT31&amp;"%",""))))</f>
        <v/>
      </c>
      <c r="AX31" s="40" t="str">
        <f aca="false">IF(OR(OR(NOT(AND(ISNUMBER(E31),ISNUMBER(F31))),$J$2=""),12&gt;MAX(1,Reprogramaciones!$U$15)),"",IF(Reprogramaciones!V$12&gt;=7,"",IF(OR(CE31-N(CD31)&gt;0.05,N(AB31)&gt;0),ROUNDDOWN(ROUND(CE31,6),0)&amp;"%"&amp;IF(CU31="",""," / "&amp;CU31&amp;"%"),IF(AND(N(CD31)&gt;=99.95,CU31&lt;&gt;"",N(CU31)&lt;100),"Pend. "&amp;CU31&amp;"%",""))))</f>
        <v/>
      </c>
      <c r="AY31" s="40" t="str">
        <f aca="false">IF(OR(OR(NOT(AND(ISNUMBER(E31),ISNUMBER(F31))),$J$2=""),13&gt;MAX(1,Reprogramaciones!$U$15)),"",IF(Reprogramaciones!W$12&gt;=7,"",IF(OR(CF31-N(CE31)&gt;0.05,N(AC31)&gt;0),ROUNDDOWN(ROUND(CF31,6),0)&amp;"%"&amp;IF(CV31="",""," / "&amp;CV31&amp;"%"),IF(AND(N(CE31)&gt;=99.95,CV31&lt;&gt;"",N(CV31)&lt;100),"Pend. "&amp;CV31&amp;"%",""))))</f>
        <v/>
      </c>
      <c r="AZ31" s="40" t="str">
        <f aca="false">IF(OR(OR(NOT(AND(ISNUMBER(E31),ISNUMBER(F31))),$J$2=""),14&gt;MAX(1,Reprogramaciones!$U$15)),"",IF(Reprogramaciones!X$12&gt;=7,"",IF(OR(CG31-N(CF31)&gt;0.05,N(AD31)&gt;0),ROUNDDOWN(ROUND(CG31,6),0)&amp;"%"&amp;IF(CW31="",""," / "&amp;CW31&amp;"%"),IF(AND(N(CF31)&gt;=99.95,CW31&lt;&gt;"",N(CW31)&lt;100),"Pend. "&amp;CW31&amp;"%",""))))</f>
        <v/>
      </c>
      <c r="BA31" s="40" t="str">
        <f aca="false">IF(OR(OR(NOT(AND(ISNUMBER(E31),ISNUMBER(F31))),$J$2=""),15&gt;MAX(1,Reprogramaciones!$U$15)),"",IF(Reprogramaciones!Y$12&gt;=7,"",IF(OR(CH31-N(CG31)&gt;0.05,N(AE31)&gt;0),ROUNDDOWN(ROUND(CH31,6),0)&amp;"%"&amp;IF(CX31="",""," / "&amp;CX31&amp;"%"),IF(AND(N(CG31)&gt;=99.95,CX31&lt;&gt;"",N(CX31)&lt;100),"Pend. "&amp;CX31&amp;"%",""))))</f>
        <v/>
      </c>
      <c r="BB31" s="40" t="str">
        <f aca="false">IF(OR(OR(NOT(AND(ISNUMBER(E31),ISNUMBER(F31))),$J$2=""),16&gt;MAX(1,Reprogramaciones!$U$15)),"",IF(Reprogramaciones!Z$12&gt;=7,"",IF(OR(CI31-N(CH31)&gt;0.05,N(AF31)&gt;0),ROUNDDOWN(ROUND(CI31,6),0)&amp;"%"&amp;IF(CY31="",""," / "&amp;CY31&amp;"%"),IF(AND(N(CH31)&gt;=99.95,CY31&lt;&gt;"",N(CY31)&lt;100),"Pend. "&amp;CY31&amp;"%",""))))</f>
        <v/>
      </c>
      <c r="BC31" s="31" t="n">
        <f aca="false">IF(AND(ISNUMBER(E31),ISNUMBER(F31)),MAX(1,NETWORKDAYS.INTL(E31,F31,11)),0)</f>
        <v>5</v>
      </c>
      <c r="BD31" s="1" t="n">
        <f aca="false">IF(OR(NOT(AND(ISNUMBER(E31),ISNUMBER(F31))),$J$2=""),"",MIN(100,ROUND(SUM($G31:G31),1)))</f>
        <v>0</v>
      </c>
      <c r="BE31" s="1" t="n">
        <f aca="false">IF(OR(NOT(AND(ISNUMBER(E31),ISNUMBER(F31))),$J$2=""),"",MIN(100,ROUND(SUM($G31:H31),1)))</f>
        <v>0</v>
      </c>
      <c r="BF31" s="1" t="n">
        <f aca="false">IF(OR(NOT(AND(ISNUMBER(E31),ISNUMBER(F31))),$J$2=""),"",MIN(100,ROUND(SUM($G31:I31),1)))</f>
        <v>60</v>
      </c>
      <c r="BG31" s="1" t="n">
        <f aca="false">IF(OR(NOT(AND(ISNUMBER(E31),ISNUMBER(F31))),$J$2=""),"",MIN(100,ROUND(SUM($G31:J31),1)))</f>
        <v>100</v>
      </c>
      <c r="BH31" s="1" t="n">
        <f aca="false">IF(OR(NOT(AND(ISNUMBER(E31),ISNUMBER(F31))),$J$2=""),"",MIN(100,ROUND(SUM($G31:K31),1)))</f>
        <v>100</v>
      </c>
      <c r="BI31" s="1" t="n">
        <f aca="false">IF(OR(NOT(AND(ISNUMBER(E31),ISNUMBER(F31))),$J$2=""),"",MIN(100,ROUND(SUM($G31:L31),1)))</f>
        <v>100</v>
      </c>
      <c r="BJ31" s="1" t="n">
        <f aca="false">IF(OR(NOT(AND(ISNUMBER(E31),ISNUMBER(F31))),$J$2=""),"",MIN(100,ROUND(SUM($G31:M31),1)))</f>
        <v>100</v>
      </c>
      <c r="BK31" s="1" t="n">
        <f aca="false">IF(OR(NOT(AND(ISNUMBER(E31),ISNUMBER(F31))),$J$2=""),"",MIN(100,ROUND(SUM($G31:N31),1)))</f>
        <v>100</v>
      </c>
      <c r="BL31" s="1" t="n">
        <f aca="false">IF(OR(NOT(AND(ISNUMBER(E31),ISNUMBER(F31))),$J$2=""),"",MIN(100,ROUND(SUM($G31:O31),1)))</f>
        <v>100</v>
      </c>
      <c r="BM31" s="1" t="n">
        <f aca="false">IF(OR(NOT(AND(ISNUMBER(E31),ISNUMBER(F31))),$J$2=""),"",MIN(100,ROUND(SUM($G31:P31),1)))</f>
        <v>100</v>
      </c>
      <c r="BN31" s="1" t="n">
        <f aca="false">IF(OR(NOT(AND(ISNUMBER(E31),ISNUMBER(F31))),$J$2=""),"",MIN(100,ROUND(SUM($G31:P31),1)))</f>
        <v>100</v>
      </c>
      <c r="BO31" s="1" t="n">
        <f aca="false">IF(OR(NOT(AND(ISNUMBER(E31),ISNUMBER(F31))),$J$2=""),"",MIN(100,ROUND(SUM($G31:P31),1)))</f>
        <v>100</v>
      </c>
      <c r="BP31" s="1" t="n">
        <f aca="false">IF(OR(NOT(AND(ISNUMBER(E31),ISNUMBER(F31))),$J$2=""),"",MIN(100,ROUND(SUM($G31:P31),1)))</f>
        <v>100</v>
      </c>
      <c r="BQ31" s="1" t="n">
        <f aca="false">IF(OR(NOT(AND(ISNUMBER(E31),ISNUMBER(F31))),$J$2=""),"",MIN(100,ROUND(SUM($G31:P31),1)))</f>
        <v>100</v>
      </c>
      <c r="BR31" s="1" t="n">
        <f aca="false">IF(OR(NOT(AND(ISNUMBER(E31),ISNUMBER(F31))),$J$2=""),"",MIN(100,ROUND(SUM($G31:P31),1)))</f>
        <v>100</v>
      </c>
      <c r="BS31" s="1" t="n">
        <f aca="false">IF(OR(NOT(AND(ISNUMBER(E31),ISNUMBER(F31))),$J$2=""),"",MIN(100,ROUND(SUM($G31:P31),1)))</f>
        <v>100</v>
      </c>
      <c r="BT31" s="1" t="n">
        <f aca="false">IF(OR(NOT(AND(ISNUMBER(E31),ISNUMBER(F31))),$J$2=""),"",IF(Reprogramaciones!K$13&lt;Reprogramaciones!$T$15,0,IF(Reprogramaciones!K$14&gt;10,MIN(100,SUM($G31:$P31)),MIN(100,SUMPRODUCT((COLUMN($G31:$P31)-COLUMN($G31)+1&lt;Reprogramaciones!K$14)*$G31:$P31)+N(INDEX($G31:$P31,1,Reprogramaciones!K$14))*IF(Reprogramaciones!K$13&gt;=(Reprogramaciones!$T$15+7*(Reprogramaciones!K$14-1))+6,1,IF(MAX(0,NETWORKDAYS.INTL(MAX(E31,(Reprogramaciones!$T$15+7*(Reprogramaciones!K$14-1))),MIN(F31,(Reprogramaciones!$T$15+7*(Reprogramaciones!K$14-1))+6),11))=0,0,MAX(0,NETWORKDAYS.INTL(MAX(E31,(Reprogramaciones!$T$15+7*(Reprogramaciones!K$14-1))),MIN(F31,Reprogramaciones!K$13),11))/MAX(0,NETWORKDAYS.INTL(MAX(E31,(Reprogramaciones!$T$15+7*(Reprogramaciones!K$14-1))),MIN(F31,(Reprogramaciones!$T$15+7*(Reprogramaciones!K$14-1))+6),11))))))))</f>
        <v>0</v>
      </c>
      <c r="BU31" s="1" t="n">
        <f aca="false">IF(OR(NOT(AND(ISNUMBER(E31),ISNUMBER(F31))),$J$2=""),"",IF(Reprogramaciones!L$13&lt;Reprogramaciones!$T$15,0,IF(Reprogramaciones!L$14&gt;10,MIN(100,SUM($G31:$P31)),MIN(100,SUMPRODUCT((COLUMN($G31:$P31)-COLUMN($G31)+1&lt;Reprogramaciones!L$14)*$G31:$P31)+N(INDEX($G31:$P31,1,Reprogramaciones!L$14))*IF(Reprogramaciones!L$13&gt;=(Reprogramaciones!$T$15+7*(Reprogramaciones!L$14-1))+6,1,IF(MAX(0,NETWORKDAYS.INTL(MAX(E31,(Reprogramaciones!$T$15+7*(Reprogramaciones!L$14-1))),MIN(F31,(Reprogramaciones!$T$15+7*(Reprogramaciones!L$14-1))+6),11))=0,0,MAX(0,NETWORKDAYS.INTL(MAX(E31,(Reprogramaciones!$T$15+7*(Reprogramaciones!L$14-1))),MIN(F31,Reprogramaciones!L$13),11))/MAX(0,NETWORKDAYS.INTL(MAX(E31,(Reprogramaciones!$T$15+7*(Reprogramaciones!L$14-1))),MIN(F31,(Reprogramaciones!$T$15+7*(Reprogramaciones!L$14-1))+6),11))))))))</f>
        <v>0</v>
      </c>
      <c r="BV31" s="1" t="n">
        <f aca="false">IF(OR(NOT(AND(ISNUMBER(E31),ISNUMBER(F31))),$J$2=""),"",IF(Reprogramaciones!M$13&lt;Reprogramaciones!$T$15,0,IF(Reprogramaciones!M$14&gt;10,MIN(100,SUM($G31:$P31)),MIN(100,SUMPRODUCT((COLUMN($G31:$P31)-COLUMN($G31)+1&lt;Reprogramaciones!M$14)*$G31:$P31)+N(INDEX($G31:$P31,1,Reprogramaciones!M$14))*IF(Reprogramaciones!M$13&gt;=(Reprogramaciones!$T$15+7*(Reprogramaciones!M$14-1))+6,1,IF(MAX(0,NETWORKDAYS.INTL(MAX(E31,(Reprogramaciones!$T$15+7*(Reprogramaciones!M$14-1))),MIN(F31,(Reprogramaciones!$T$15+7*(Reprogramaciones!M$14-1))+6),11))=0,0,MAX(0,NETWORKDAYS.INTL(MAX(E31,(Reprogramaciones!$T$15+7*(Reprogramaciones!M$14-1))),MIN(F31,Reprogramaciones!M$13),11))/MAX(0,NETWORKDAYS.INTL(MAX(E31,(Reprogramaciones!$T$15+7*(Reprogramaciones!M$14-1))),MIN(F31,(Reprogramaciones!$T$15+7*(Reprogramaciones!M$14-1))+6),11))))))))</f>
        <v>60</v>
      </c>
      <c r="BW31" s="1" t="n">
        <f aca="false">IF(OR(NOT(AND(ISNUMBER(E31),ISNUMBER(F31))),$J$2=""),"",IF(Reprogramaciones!N$13&lt;Reprogramaciones!$T$15,0,IF(Reprogramaciones!N$14&gt;10,MIN(100,SUM($G31:$P31)),MIN(100,SUMPRODUCT((COLUMN($G31:$P31)-COLUMN($G31)+1&lt;Reprogramaciones!N$14)*$G31:$P31)+N(INDEX($G31:$P31,1,Reprogramaciones!N$14))*IF(Reprogramaciones!N$13&gt;=(Reprogramaciones!$T$15+7*(Reprogramaciones!N$14-1))+6,1,IF(MAX(0,NETWORKDAYS.INTL(MAX(E31,(Reprogramaciones!$T$15+7*(Reprogramaciones!N$14-1))),MIN(F31,(Reprogramaciones!$T$15+7*(Reprogramaciones!N$14-1))+6),11))=0,0,MAX(0,NETWORKDAYS.INTL(MAX(E31,(Reprogramaciones!$T$15+7*(Reprogramaciones!N$14-1))),MIN(F31,Reprogramaciones!N$13),11))/MAX(0,NETWORKDAYS.INTL(MAX(E31,(Reprogramaciones!$T$15+7*(Reprogramaciones!N$14-1))),MIN(F31,(Reprogramaciones!$T$15+7*(Reprogramaciones!N$14-1))+6),11))))))))</f>
        <v>100</v>
      </c>
      <c r="BX31" s="1" t="n">
        <f aca="false">IF(OR(NOT(AND(ISNUMBER(E31),ISNUMBER(F31))),$J$2=""),"",IF(Reprogramaciones!O$13&lt;Reprogramaciones!$T$15,0,IF(Reprogramaciones!O$14&gt;10,MIN(100,SUM($G31:$P31)),MIN(100,SUMPRODUCT((COLUMN($G31:$P31)-COLUMN($G31)+1&lt;Reprogramaciones!O$14)*$G31:$P31)+N(INDEX($G31:$P31,1,Reprogramaciones!O$14))*IF(Reprogramaciones!O$13&gt;=(Reprogramaciones!$T$15+7*(Reprogramaciones!O$14-1))+6,1,IF(MAX(0,NETWORKDAYS.INTL(MAX(E31,(Reprogramaciones!$T$15+7*(Reprogramaciones!O$14-1))),MIN(F31,(Reprogramaciones!$T$15+7*(Reprogramaciones!O$14-1))+6),11))=0,0,MAX(0,NETWORKDAYS.INTL(MAX(E31,(Reprogramaciones!$T$15+7*(Reprogramaciones!O$14-1))),MIN(F31,Reprogramaciones!O$13),11))/MAX(0,NETWORKDAYS.INTL(MAX(E31,(Reprogramaciones!$T$15+7*(Reprogramaciones!O$14-1))),MIN(F31,(Reprogramaciones!$T$15+7*(Reprogramaciones!O$14-1))+6),11))))))))</f>
        <v>100</v>
      </c>
      <c r="BY31" s="1" t="n">
        <f aca="false">IF(OR(NOT(AND(ISNUMBER(E31),ISNUMBER(F31))),$J$2=""),"",IF(Reprogramaciones!P$13&lt;Reprogramaciones!$T$15,0,IF(Reprogramaciones!P$14&gt;10,MIN(100,SUM($G31:$P31)),MIN(100,SUMPRODUCT((COLUMN($G31:$P31)-COLUMN($G31)+1&lt;Reprogramaciones!P$14)*$G31:$P31)+N(INDEX($G31:$P31,1,Reprogramaciones!P$14))*IF(Reprogramaciones!P$13&gt;=(Reprogramaciones!$T$15+7*(Reprogramaciones!P$14-1))+6,1,IF(MAX(0,NETWORKDAYS.INTL(MAX(E31,(Reprogramaciones!$T$15+7*(Reprogramaciones!P$14-1))),MIN(F31,(Reprogramaciones!$T$15+7*(Reprogramaciones!P$14-1))+6),11))=0,0,MAX(0,NETWORKDAYS.INTL(MAX(E31,(Reprogramaciones!$T$15+7*(Reprogramaciones!P$14-1))),MIN(F31,Reprogramaciones!P$13),11))/MAX(0,NETWORKDAYS.INTL(MAX(E31,(Reprogramaciones!$T$15+7*(Reprogramaciones!P$14-1))),MIN(F31,(Reprogramaciones!$T$15+7*(Reprogramaciones!P$14-1))+6),11))))))))</f>
        <v>100</v>
      </c>
      <c r="BZ31" s="1" t="n">
        <f aca="false">IF(OR(NOT(AND(ISNUMBER(E31),ISNUMBER(F31))),$J$2=""),"",IF(Reprogramaciones!Q$13&lt;Reprogramaciones!$T$15,0,IF(Reprogramaciones!Q$14&gt;10,MIN(100,SUM($G31:$P31)),MIN(100,SUMPRODUCT((COLUMN($G31:$P31)-COLUMN($G31)+1&lt;Reprogramaciones!Q$14)*$G31:$P31)+N(INDEX($G31:$P31,1,Reprogramaciones!Q$14))*IF(Reprogramaciones!Q$13&gt;=(Reprogramaciones!$T$15+7*(Reprogramaciones!Q$14-1))+6,1,IF(MAX(0,NETWORKDAYS.INTL(MAX(E31,(Reprogramaciones!$T$15+7*(Reprogramaciones!Q$14-1))),MIN(F31,(Reprogramaciones!$T$15+7*(Reprogramaciones!Q$14-1))+6),11))=0,0,MAX(0,NETWORKDAYS.INTL(MAX(E31,(Reprogramaciones!$T$15+7*(Reprogramaciones!Q$14-1))),MIN(F31,Reprogramaciones!Q$13),11))/MAX(0,NETWORKDAYS.INTL(MAX(E31,(Reprogramaciones!$T$15+7*(Reprogramaciones!Q$14-1))),MIN(F31,(Reprogramaciones!$T$15+7*(Reprogramaciones!Q$14-1))+6),11))))))))</f>
        <v>100</v>
      </c>
      <c r="CA31" s="1" t="n">
        <f aca="false">IF(OR(NOT(AND(ISNUMBER(E31),ISNUMBER(F31))),$J$2=""),"",IF(Reprogramaciones!R$13&lt;Reprogramaciones!$T$15,0,IF(Reprogramaciones!R$14&gt;10,MIN(100,SUM($G31:$P31)),MIN(100,SUMPRODUCT((COLUMN($G31:$P31)-COLUMN($G31)+1&lt;Reprogramaciones!R$14)*$G31:$P31)+N(INDEX($G31:$P31,1,Reprogramaciones!R$14))*IF(Reprogramaciones!R$13&gt;=(Reprogramaciones!$T$15+7*(Reprogramaciones!R$14-1))+6,1,IF(MAX(0,NETWORKDAYS.INTL(MAX(E31,(Reprogramaciones!$T$15+7*(Reprogramaciones!R$14-1))),MIN(F31,(Reprogramaciones!$T$15+7*(Reprogramaciones!R$14-1))+6),11))=0,0,MAX(0,NETWORKDAYS.INTL(MAX(E31,(Reprogramaciones!$T$15+7*(Reprogramaciones!R$14-1))),MIN(F31,Reprogramaciones!R$13),11))/MAX(0,NETWORKDAYS.INTL(MAX(E31,(Reprogramaciones!$T$15+7*(Reprogramaciones!R$14-1))),MIN(F31,(Reprogramaciones!$T$15+7*(Reprogramaciones!R$14-1))+6),11))))))))</f>
        <v>100</v>
      </c>
      <c r="CB31" s="1" t="n">
        <f aca="false">IF(OR(NOT(AND(ISNUMBER(E31),ISNUMBER(F31))),$J$2=""),"",IF(Reprogramaciones!S$13&lt;Reprogramaciones!$T$15,0,IF(Reprogramaciones!S$14&gt;10,MIN(100,SUM($G31:$P31)),MIN(100,SUMPRODUCT((COLUMN($G31:$P31)-COLUMN($G31)+1&lt;Reprogramaciones!S$14)*$G31:$P31)+N(INDEX($G31:$P31,1,Reprogramaciones!S$14))*IF(Reprogramaciones!S$13&gt;=(Reprogramaciones!$T$15+7*(Reprogramaciones!S$14-1))+6,1,IF(MAX(0,NETWORKDAYS.INTL(MAX(E31,(Reprogramaciones!$T$15+7*(Reprogramaciones!S$14-1))),MIN(F31,(Reprogramaciones!$T$15+7*(Reprogramaciones!S$14-1))+6),11))=0,0,MAX(0,NETWORKDAYS.INTL(MAX(E31,(Reprogramaciones!$T$15+7*(Reprogramaciones!S$14-1))),MIN(F31,Reprogramaciones!S$13),11))/MAX(0,NETWORKDAYS.INTL(MAX(E31,(Reprogramaciones!$T$15+7*(Reprogramaciones!S$14-1))),MIN(F31,(Reprogramaciones!$T$15+7*(Reprogramaciones!S$14-1))+6),11))))))))</f>
        <v>100</v>
      </c>
      <c r="CC31" s="1" t="n">
        <f aca="false">IF(OR(NOT(AND(ISNUMBER(E31),ISNUMBER(F31))),$J$2=""),"",IF(Reprogramaciones!T$13&lt;Reprogramaciones!$T$15,0,IF(Reprogramaciones!T$14&gt;10,MIN(100,SUM($G31:$P31)),MIN(100,SUMPRODUCT((COLUMN($G31:$P31)-COLUMN($G31)+1&lt;Reprogramaciones!T$14)*$G31:$P31)+N(INDEX($G31:$P31,1,Reprogramaciones!T$14))*IF(Reprogramaciones!T$13&gt;=(Reprogramaciones!$T$15+7*(Reprogramaciones!T$14-1))+6,1,IF(MAX(0,NETWORKDAYS.INTL(MAX(E31,(Reprogramaciones!$T$15+7*(Reprogramaciones!T$14-1))),MIN(F31,(Reprogramaciones!$T$15+7*(Reprogramaciones!T$14-1))+6),11))=0,0,MAX(0,NETWORKDAYS.INTL(MAX(E31,(Reprogramaciones!$T$15+7*(Reprogramaciones!T$14-1))),MIN(F31,Reprogramaciones!T$13),11))/MAX(0,NETWORKDAYS.INTL(MAX(E31,(Reprogramaciones!$T$15+7*(Reprogramaciones!T$14-1))),MIN(F31,(Reprogramaciones!$T$15+7*(Reprogramaciones!T$14-1))+6),11))))))))</f>
        <v>100</v>
      </c>
      <c r="CD31" s="1" t="n">
        <f aca="false">IF(OR(NOT(AND(ISNUMBER(E31),ISNUMBER(F31))),$J$2=""),"",IF(Reprogramaciones!U$13&lt;Reprogramaciones!$T$15,0,IF(Reprogramaciones!U$14&gt;10,MIN(100,SUM($G31:$P31)),MIN(100,SUMPRODUCT((COLUMN($G31:$P31)-COLUMN($G31)+1&lt;Reprogramaciones!U$14)*$G31:$P31)+N(INDEX($G31:$P31,1,Reprogramaciones!U$14))*IF(Reprogramaciones!U$13&gt;=(Reprogramaciones!$T$15+7*(Reprogramaciones!U$14-1))+6,1,IF(MAX(0,NETWORKDAYS.INTL(MAX(E31,(Reprogramaciones!$T$15+7*(Reprogramaciones!U$14-1))),MIN(F31,(Reprogramaciones!$T$15+7*(Reprogramaciones!U$14-1))+6),11))=0,0,MAX(0,NETWORKDAYS.INTL(MAX(E31,(Reprogramaciones!$T$15+7*(Reprogramaciones!U$14-1))),MIN(F31,Reprogramaciones!U$13),11))/MAX(0,NETWORKDAYS.INTL(MAX(E31,(Reprogramaciones!$T$15+7*(Reprogramaciones!U$14-1))),MIN(F31,(Reprogramaciones!$T$15+7*(Reprogramaciones!U$14-1))+6),11))))))))</f>
        <v>100</v>
      </c>
      <c r="CE31" s="1" t="n">
        <f aca="false">IF(OR(NOT(AND(ISNUMBER(E31),ISNUMBER(F31))),$J$2=""),"",IF(Reprogramaciones!V$13&lt;Reprogramaciones!$T$15,0,IF(Reprogramaciones!V$14&gt;10,MIN(100,SUM($G31:$P31)),MIN(100,SUMPRODUCT((COLUMN($G31:$P31)-COLUMN($G31)+1&lt;Reprogramaciones!V$14)*$G31:$P31)+N(INDEX($G31:$P31,1,Reprogramaciones!V$14))*IF(Reprogramaciones!V$13&gt;=(Reprogramaciones!$T$15+7*(Reprogramaciones!V$14-1))+6,1,IF(MAX(0,NETWORKDAYS.INTL(MAX(E31,(Reprogramaciones!$T$15+7*(Reprogramaciones!V$14-1))),MIN(F31,(Reprogramaciones!$T$15+7*(Reprogramaciones!V$14-1))+6),11))=0,0,MAX(0,NETWORKDAYS.INTL(MAX(E31,(Reprogramaciones!$T$15+7*(Reprogramaciones!V$14-1))),MIN(F31,Reprogramaciones!V$13),11))/MAX(0,NETWORKDAYS.INTL(MAX(E31,(Reprogramaciones!$T$15+7*(Reprogramaciones!V$14-1))),MIN(F31,(Reprogramaciones!$T$15+7*(Reprogramaciones!V$14-1))+6),11))))))))</f>
        <v>100</v>
      </c>
      <c r="CF31" s="1" t="n">
        <f aca="false">IF(OR(NOT(AND(ISNUMBER(E31),ISNUMBER(F31))),$J$2=""),"",IF(Reprogramaciones!W$13&lt;Reprogramaciones!$T$15,0,IF(Reprogramaciones!W$14&gt;10,MIN(100,SUM($G31:$P31)),MIN(100,SUMPRODUCT((COLUMN($G31:$P31)-COLUMN($G31)+1&lt;Reprogramaciones!W$14)*$G31:$P31)+N(INDEX($G31:$P31,1,Reprogramaciones!W$14))*IF(Reprogramaciones!W$13&gt;=(Reprogramaciones!$T$15+7*(Reprogramaciones!W$14-1))+6,1,IF(MAX(0,NETWORKDAYS.INTL(MAX(E31,(Reprogramaciones!$T$15+7*(Reprogramaciones!W$14-1))),MIN(F31,(Reprogramaciones!$T$15+7*(Reprogramaciones!W$14-1))+6),11))=0,0,MAX(0,NETWORKDAYS.INTL(MAX(E31,(Reprogramaciones!$T$15+7*(Reprogramaciones!W$14-1))),MIN(F31,Reprogramaciones!W$13),11))/MAX(0,NETWORKDAYS.INTL(MAX(E31,(Reprogramaciones!$T$15+7*(Reprogramaciones!W$14-1))),MIN(F31,(Reprogramaciones!$T$15+7*(Reprogramaciones!W$14-1))+6),11))))))))</f>
        <v>100</v>
      </c>
      <c r="CG31" s="1" t="n">
        <f aca="false">IF(OR(NOT(AND(ISNUMBER(E31),ISNUMBER(F31))),$J$2=""),"",IF(Reprogramaciones!X$13&lt;Reprogramaciones!$T$15,0,IF(Reprogramaciones!X$14&gt;10,MIN(100,SUM($G31:$P31)),MIN(100,SUMPRODUCT((COLUMN($G31:$P31)-COLUMN($G31)+1&lt;Reprogramaciones!X$14)*$G31:$P31)+N(INDEX($G31:$P31,1,Reprogramaciones!X$14))*IF(Reprogramaciones!X$13&gt;=(Reprogramaciones!$T$15+7*(Reprogramaciones!X$14-1))+6,1,IF(MAX(0,NETWORKDAYS.INTL(MAX(E31,(Reprogramaciones!$T$15+7*(Reprogramaciones!X$14-1))),MIN(F31,(Reprogramaciones!$T$15+7*(Reprogramaciones!X$14-1))+6),11))=0,0,MAX(0,NETWORKDAYS.INTL(MAX(E31,(Reprogramaciones!$T$15+7*(Reprogramaciones!X$14-1))),MIN(F31,Reprogramaciones!X$13),11))/MAX(0,NETWORKDAYS.INTL(MAX(E31,(Reprogramaciones!$T$15+7*(Reprogramaciones!X$14-1))),MIN(F31,(Reprogramaciones!$T$15+7*(Reprogramaciones!X$14-1))+6),11))))))))</f>
        <v>100</v>
      </c>
      <c r="CH31" s="1" t="n">
        <f aca="false">IF(OR(NOT(AND(ISNUMBER(E31),ISNUMBER(F31))),$J$2=""),"",IF(Reprogramaciones!Y$13&lt;Reprogramaciones!$T$15,0,IF(Reprogramaciones!Y$14&gt;10,MIN(100,SUM($G31:$P31)),MIN(100,SUMPRODUCT((COLUMN($G31:$P31)-COLUMN($G31)+1&lt;Reprogramaciones!Y$14)*$G31:$P31)+N(INDEX($G31:$P31,1,Reprogramaciones!Y$14))*IF(Reprogramaciones!Y$13&gt;=(Reprogramaciones!$T$15+7*(Reprogramaciones!Y$14-1))+6,1,IF(MAX(0,NETWORKDAYS.INTL(MAX(E31,(Reprogramaciones!$T$15+7*(Reprogramaciones!Y$14-1))),MIN(F31,(Reprogramaciones!$T$15+7*(Reprogramaciones!Y$14-1))+6),11))=0,0,MAX(0,NETWORKDAYS.INTL(MAX(E31,(Reprogramaciones!$T$15+7*(Reprogramaciones!Y$14-1))),MIN(F31,Reprogramaciones!Y$13),11))/MAX(0,NETWORKDAYS.INTL(MAX(E31,(Reprogramaciones!$T$15+7*(Reprogramaciones!Y$14-1))),MIN(F31,(Reprogramaciones!$T$15+7*(Reprogramaciones!Y$14-1))+6),11))))))))</f>
        <v>100</v>
      </c>
      <c r="CI31" s="1" t="n">
        <f aca="false">IF(OR(NOT(AND(ISNUMBER(E31),ISNUMBER(F31))),$J$2=""),"",IF(Reprogramaciones!Z$13&lt;Reprogramaciones!$T$15,0,IF(Reprogramaciones!Z$14&gt;10,MIN(100,SUM($G31:$P31)),MIN(100,SUMPRODUCT((COLUMN($G31:$P31)-COLUMN($G31)+1&lt;Reprogramaciones!Z$14)*$G31:$P31)+N(INDEX($G31:$P31,1,Reprogramaciones!Z$14))*IF(Reprogramaciones!Z$13&gt;=(Reprogramaciones!$T$15+7*(Reprogramaciones!Z$14-1))+6,1,IF(MAX(0,NETWORKDAYS.INTL(MAX(E31,(Reprogramaciones!$T$15+7*(Reprogramaciones!Z$14-1))),MIN(F31,(Reprogramaciones!$T$15+7*(Reprogramaciones!Z$14-1))+6),11))=0,0,MAX(0,NETWORKDAYS.INTL(MAX(E31,(Reprogramaciones!$T$15+7*(Reprogramaciones!Z$14-1))),MIN(F31,Reprogramaciones!Z$13),11))/MAX(0,NETWORKDAYS.INTL(MAX(E31,(Reprogramaciones!$T$15+7*(Reprogramaciones!Z$14-1))),MIN(F31,(Reprogramaciones!$T$15+7*(Reprogramaciones!Z$14-1))+6),11))))))))</f>
        <v>100</v>
      </c>
      <c r="CJ31" s="1" t="n">
        <f aca="false">IF(OR(OR(NOT(AND(ISNUMBER(E31),ISNUMBER(F31))),$J$2=""),1&gt;Reprogramaciones!$K$16),"",IF(ROUND(SUM($Q31:Q31),1)&gt;=99.5,100,MIN(100,ROUND(SUM($Q31:Q31),1))))</f>
        <v>0</v>
      </c>
      <c r="CK31" s="1" t="n">
        <f aca="false">IF(OR(OR(NOT(AND(ISNUMBER(E31),ISNUMBER(F31))),$J$2=""),2&gt;Reprogramaciones!$K$16),"",IF(ROUND(SUM($Q31:R31),1)&gt;=99.5,100,MIN(100,ROUND(SUM($Q31:R31),1))))</f>
        <v>0</v>
      </c>
      <c r="CL31" s="1" t="n">
        <f aca="false">IF(OR(OR(NOT(AND(ISNUMBER(E31),ISNUMBER(F31))),$J$2=""),3&gt;Reprogramaciones!$K$16),"",IF(ROUND(SUM($Q31:S31),1)&gt;=99.5,100,MIN(100,ROUND(SUM($Q31:S31),1))))</f>
        <v>60</v>
      </c>
      <c r="CM31" s="1" t="n">
        <f aca="false">IF(OR(OR(NOT(AND(ISNUMBER(E31),ISNUMBER(F31))),$J$2=""),4&gt;Reprogramaciones!$K$16),"",IF(ROUND(SUM($Q31:T31),1)&gt;=99.5,100,MIN(100,ROUND(SUM($Q31:T31),1))))</f>
        <v>100</v>
      </c>
      <c r="CN31" s="1" t="n">
        <f aca="false">IF(OR(OR(NOT(AND(ISNUMBER(E31),ISNUMBER(F31))),$J$2=""),5&gt;Reprogramaciones!$K$16),"",IF(ROUND(SUM($Q31:U31),1)&gt;=99.5,100,MIN(100,ROUND(SUM($Q31:U31),1))))</f>
        <v>100</v>
      </c>
      <c r="CO31" s="1" t="str">
        <f aca="false">IF(OR(OR(NOT(AND(ISNUMBER(E31),ISNUMBER(F31))),$J$2=""),6&gt;Reprogramaciones!$K$16),"",IF(ROUND(SUM($Q31:V31),1)&gt;=99.5,100,MIN(100,ROUND(SUM($Q31:V31),1))))</f>
        <v/>
      </c>
      <c r="CP31" s="1" t="str">
        <f aca="false">IF(OR(OR(NOT(AND(ISNUMBER(E31),ISNUMBER(F31))),$J$2=""),7&gt;Reprogramaciones!$K$16),"",IF(ROUND(SUM($Q31:W31),1)&gt;=99.5,100,MIN(100,ROUND(SUM($Q31:W31),1))))</f>
        <v/>
      </c>
      <c r="CQ31" s="1" t="str">
        <f aca="false">IF(OR(OR(NOT(AND(ISNUMBER(E31),ISNUMBER(F31))),$J$2=""),8&gt;Reprogramaciones!$K$16),"",IF(ROUND(SUM($Q31:X31),1)&gt;=99.5,100,MIN(100,ROUND(SUM($Q31:X31),1))))</f>
        <v/>
      </c>
      <c r="CR31" s="1" t="str">
        <f aca="false">IF(OR(OR(NOT(AND(ISNUMBER(E31),ISNUMBER(F31))),$J$2=""),9&gt;Reprogramaciones!$K$16),"",IF(ROUND(SUM($Q31:Y31),1)&gt;=99.5,100,MIN(100,ROUND(SUM($Q31:Y31),1))))</f>
        <v/>
      </c>
      <c r="CS31" s="1" t="str">
        <f aca="false">IF(OR(OR(NOT(AND(ISNUMBER(E31),ISNUMBER(F31))),$J$2=""),10&gt;Reprogramaciones!$K$16),"",IF(ROUND(SUM($Q31:Z31),1)&gt;=99.5,100,MIN(100,ROUND(SUM($Q31:Z31),1))))</f>
        <v/>
      </c>
      <c r="CT31" s="1" t="str">
        <f aca="false">IF(OR(OR(NOT(AND(ISNUMBER(E31),ISNUMBER(F31))),$J$2=""),11&gt;Reprogramaciones!$K$16),"",IF(ROUND(SUM($Q31:AA31),1)&gt;=99.5,100,MIN(100,ROUND(SUM($Q31:AA31),1))))</f>
        <v/>
      </c>
      <c r="CU31" s="1" t="str">
        <f aca="false">IF(OR(OR(NOT(AND(ISNUMBER(E31),ISNUMBER(F31))),$J$2=""),12&gt;Reprogramaciones!$K$16),"",IF(ROUND(SUM($Q31:AB31),1)&gt;=99.5,100,MIN(100,ROUND(SUM($Q31:AB31),1))))</f>
        <v/>
      </c>
      <c r="CV31" s="1" t="str">
        <f aca="false">IF(OR(OR(NOT(AND(ISNUMBER(E31),ISNUMBER(F31))),$J$2=""),13&gt;Reprogramaciones!$K$16),"",IF(ROUND(SUM($Q31:AC31),1)&gt;=99.5,100,MIN(100,ROUND(SUM($Q31:AC31),1))))</f>
        <v/>
      </c>
      <c r="CW31" s="1" t="str">
        <f aca="false">IF(OR(OR(NOT(AND(ISNUMBER(E31),ISNUMBER(F31))),$J$2=""),14&gt;Reprogramaciones!$K$16),"",IF(ROUND(SUM($Q31:AD31),1)&gt;=99.5,100,MIN(100,ROUND(SUM($Q31:AD31),1))))</f>
        <v/>
      </c>
      <c r="CX31" s="1" t="str">
        <f aca="false">IF(OR(OR(NOT(AND(ISNUMBER(E31),ISNUMBER(F31))),$J$2=""),15&gt;Reprogramaciones!$K$16),"",IF(ROUND(SUM($Q31:AE31),1)&gt;=99.5,100,MIN(100,ROUND(SUM($Q31:AE31),1))))</f>
        <v/>
      </c>
      <c r="CY31" s="1" t="str">
        <f aca="false">IF(OR(OR(NOT(AND(ISNUMBER(E31),ISNUMBER(F31))),$J$2=""),16&gt;Reprogramaciones!$K$16),"",IF(ROUND(SUM($Q31:AF31),1)&gt;=99.5,100,MIN(100,ROUND(SUM($Q31:AF31),1))))</f>
        <v/>
      </c>
      <c r="CZ31" s="1" t="str">
        <f aca="false">IF(D31&lt;&gt;"",D31,IF(B31&lt;&gt;"","Contractual",CZ30))</f>
        <v>Contractual</v>
      </c>
      <c r="DA31" s="1" t="n">
        <f aca="false">IF(OR(NOT(AND(ISNUMBER(E31),ISNUMBER(F31))),$J$2=""),"",IF(Reprogramaciones!$Q$15&lt;Reprogramaciones!$T$15,0,IF(Reprogramaciones!$S$15&gt;10,MIN(100,SUM($G31:$P31)),MIN(100,SUMPRODUCT((COLUMN($G31:$P31)-COLUMN($G31)+1&lt;Reprogramaciones!$S$15)*$G31:$P31)+N(INDEX($G31:$P31,1,Reprogramaciones!$S$15))*IF(Reprogramaciones!$Q$15&gt;=(Reprogramaciones!$T$15+7*(Reprogramaciones!$S$15-1))+6,1,IF(MAX(0,NETWORKDAYS.INTL(MAX(E31,(Reprogramaciones!$T$15+7*(Reprogramaciones!$S$15-1))),MIN(F31,(Reprogramaciones!$T$15+7*(Reprogramaciones!$S$15-1))+6),11))=0,0,MAX(0,NETWORKDAYS.INTL(MAX(E31,(Reprogramaciones!$T$15+7*(Reprogramaciones!$S$15-1))),MIN(F31,Reprogramaciones!$Q$15),11))/MAX(0,NETWORKDAYS.INTL(MAX(E31,(Reprogramaciones!$T$15+7*(Reprogramaciones!$S$15-1))),MIN(F31,(Reprogramaciones!$T$15+7*(Reprogramaciones!$S$15-1))+6),11))))))))</f>
        <v>100</v>
      </c>
    </row>
    <row r="32" customFormat="false" ht="15" hidden="false" customHeight="false" outlineLevel="0" collapsed="false">
      <c r="A32" s="32" t="s">
        <v>205</v>
      </c>
      <c r="B32" s="33"/>
      <c r="C32" s="33" t="s">
        <v>206</v>
      </c>
      <c r="D32" s="34"/>
      <c r="E32" s="35" t="n">
        <v>46307</v>
      </c>
      <c r="F32" s="35" t="n">
        <v>46311</v>
      </c>
      <c r="G32" s="36" t="n">
        <f aca="false">IF(OR(NOT(AND(ISNUMBER(E32),ISNUMBER(F32))),$J$2=""),"",IF(Reprogramaciones!K$9&lt;E32,0,IF(NETWORKDAYS.INTL(E32,F32,11)=0,IF(Reprogramaciones!K$9&gt;=F32,100,0),ROUND(NETWORKDAYS.INTL(E32,MIN(F32,Reprogramaciones!K$9),11)/NETWORKDAYS.INTL(E32,F32,11)*100,1)))-0)</f>
        <v>0</v>
      </c>
      <c r="H32" s="36" t="n">
        <f aca="false">IF(OR(NOT(AND(ISNUMBER(E32),ISNUMBER(F32))),$J$2=""),"",IF(Reprogramaciones!L$9&lt;E32,0,IF(NETWORKDAYS.INTL(E32,F32,11)=0,IF(Reprogramaciones!L$9&gt;=F32,100,0),ROUND(NETWORKDAYS.INTL(E32,MIN(F32,Reprogramaciones!L$9),11)/NETWORKDAYS.INTL(E32,F32,11)*100,1)))-IF(Reprogramaciones!K$9&lt;E32,0,IF(NETWORKDAYS.INTL(E32,F32,11)=0,IF(Reprogramaciones!K$9&gt;=F32,100,0),ROUND(NETWORKDAYS.INTL(E32,MIN(F32,Reprogramaciones!K$9),11)/NETWORKDAYS.INTL(E32,F32,11)*100,1))))</f>
        <v>0</v>
      </c>
      <c r="I32" s="36" t="n">
        <f aca="false">IF(OR(NOT(AND(ISNUMBER(E32),ISNUMBER(F32))),$J$2=""),"",IF(Reprogramaciones!M$9&lt;E32,0,IF(NETWORKDAYS.INTL(E32,F32,11)=0,IF(Reprogramaciones!M$9&gt;=F32,100,0),ROUND(NETWORKDAYS.INTL(E32,MIN(F32,Reprogramaciones!M$9),11)/NETWORKDAYS.INTL(E32,F32,11)*100,1)))-IF(Reprogramaciones!L$9&lt;E32,0,IF(NETWORKDAYS.INTL(E32,F32,11)=0,IF(Reprogramaciones!L$9&gt;=F32,100,0),ROUND(NETWORKDAYS.INTL(E32,MIN(F32,Reprogramaciones!L$9),11)/NETWORKDAYS.INTL(E32,F32,11)*100,1))))</f>
        <v>0</v>
      </c>
      <c r="J32" s="36" t="n">
        <f aca="false">IF(OR(NOT(AND(ISNUMBER(E32),ISNUMBER(F32))),$J$2=""),"",IF(Reprogramaciones!N$9&lt;E32,0,IF(NETWORKDAYS.INTL(E32,F32,11)=0,IF(Reprogramaciones!N$9&gt;=F32,100,0),ROUND(NETWORKDAYS.INTL(E32,MIN(F32,Reprogramaciones!N$9),11)/NETWORKDAYS.INTL(E32,F32,11)*100,1)))-IF(Reprogramaciones!M$9&lt;E32,0,IF(NETWORKDAYS.INTL(E32,F32,11)=0,IF(Reprogramaciones!M$9&gt;=F32,100,0),ROUND(NETWORKDAYS.INTL(E32,MIN(F32,Reprogramaciones!M$9),11)/NETWORKDAYS.INTL(E32,F32,11)*100,1))))</f>
        <v>100</v>
      </c>
      <c r="K32" s="36" t="n">
        <f aca="false">IF(OR(NOT(AND(ISNUMBER(E32),ISNUMBER(F32))),$J$2=""),"",IF(Reprogramaciones!O$9&lt;E32,0,IF(NETWORKDAYS.INTL(E32,F32,11)=0,IF(Reprogramaciones!O$9&gt;=F32,100,0),ROUND(NETWORKDAYS.INTL(E32,MIN(F32,Reprogramaciones!O$9),11)/NETWORKDAYS.INTL(E32,F32,11)*100,1)))-IF(Reprogramaciones!N$9&lt;E32,0,IF(NETWORKDAYS.INTL(E32,F32,11)=0,IF(Reprogramaciones!N$9&gt;=F32,100,0),ROUND(NETWORKDAYS.INTL(E32,MIN(F32,Reprogramaciones!N$9),11)/NETWORKDAYS.INTL(E32,F32,11)*100,1))))</f>
        <v>0</v>
      </c>
      <c r="L32" s="36" t="n">
        <f aca="false">IF(OR(NOT(AND(ISNUMBER(E32),ISNUMBER(F32))),$J$2=""),"",IF(Reprogramaciones!P$9&lt;E32,0,IF(NETWORKDAYS.INTL(E32,F32,11)=0,IF(Reprogramaciones!P$9&gt;=F32,100,0),ROUND(NETWORKDAYS.INTL(E32,MIN(F32,Reprogramaciones!P$9),11)/NETWORKDAYS.INTL(E32,F32,11)*100,1)))-IF(Reprogramaciones!O$9&lt;E32,0,IF(NETWORKDAYS.INTL(E32,F32,11)=0,IF(Reprogramaciones!O$9&gt;=F32,100,0),ROUND(NETWORKDAYS.INTL(E32,MIN(F32,Reprogramaciones!O$9),11)/NETWORKDAYS.INTL(E32,F32,11)*100,1))))</f>
        <v>0</v>
      </c>
      <c r="M32" s="36" t="n">
        <f aca="false">IF(OR(NOT(AND(ISNUMBER(E32),ISNUMBER(F32))),$J$2=""),"",IF(Reprogramaciones!Q$9&lt;E32,0,IF(NETWORKDAYS.INTL(E32,F32,11)=0,IF(Reprogramaciones!Q$9&gt;=F32,100,0),ROUND(NETWORKDAYS.INTL(E32,MIN(F32,Reprogramaciones!Q$9),11)/NETWORKDAYS.INTL(E32,F32,11)*100,1)))-IF(Reprogramaciones!P$9&lt;E32,0,IF(NETWORKDAYS.INTL(E32,F32,11)=0,IF(Reprogramaciones!P$9&gt;=F32,100,0),ROUND(NETWORKDAYS.INTL(E32,MIN(F32,Reprogramaciones!P$9),11)/NETWORKDAYS.INTL(E32,F32,11)*100,1))))</f>
        <v>0</v>
      </c>
      <c r="N32" s="36" t="n">
        <f aca="false">IF(OR(NOT(AND(ISNUMBER(E32),ISNUMBER(F32))),$J$2=""),"",IF(Reprogramaciones!R$9&lt;E32,0,IF(NETWORKDAYS.INTL(E32,F32,11)=0,IF(Reprogramaciones!R$9&gt;=F32,100,0),ROUND(NETWORKDAYS.INTL(E32,MIN(F32,Reprogramaciones!R$9),11)/NETWORKDAYS.INTL(E32,F32,11)*100,1)))-IF(Reprogramaciones!Q$9&lt;E32,0,IF(NETWORKDAYS.INTL(E32,F32,11)=0,IF(Reprogramaciones!Q$9&gt;=F32,100,0),ROUND(NETWORKDAYS.INTL(E32,MIN(F32,Reprogramaciones!Q$9),11)/NETWORKDAYS.INTL(E32,F32,11)*100,1))))</f>
        <v>0</v>
      </c>
      <c r="O32" s="36" t="n">
        <f aca="false">IF(OR(NOT(AND(ISNUMBER(E32),ISNUMBER(F32))),$J$2=""),"",IF(Reprogramaciones!S$9&lt;E32,0,IF(NETWORKDAYS.INTL(E32,F32,11)=0,IF(Reprogramaciones!S$9&gt;=F32,100,0),ROUND(NETWORKDAYS.INTL(E32,MIN(F32,Reprogramaciones!S$9),11)/NETWORKDAYS.INTL(E32,F32,11)*100,1)))-IF(Reprogramaciones!R$9&lt;E32,0,IF(NETWORKDAYS.INTL(E32,F32,11)=0,IF(Reprogramaciones!R$9&gt;=F32,100,0),ROUND(NETWORKDAYS.INTL(E32,MIN(F32,Reprogramaciones!R$9),11)/NETWORKDAYS.INTL(E32,F32,11)*100,1))))</f>
        <v>0</v>
      </c>
      <c r="P32" s="36" t="n">
        <f aca="false">IF(OR(NOT(AND(ISNUMBER(E32),ISNUMBER(F32))),$J$2=""),"",IF(Reprogramaciones!T$9&lt;E32,0,IF(NETWORKDAYS.INTL(E32,F32,11)=0,IF(Reprogramaciones!T$9&gt;=F32,100,0),ROUND(NETWORKDAYS.INTL(E32,MIN(F32,Reprogramaciones!T$9),11)/NETWORKDAYS.INTL(E32,F32,11)*100,1)))-IF(Reprogramaciones!S$9&lt;E32,0,IF(NETWORKDAYS.INTL(E32,F32,11)=0,IF(Reprogramaciones!S$9&gt;=F32,100,0),ROUND(NETWORKDAYS.INTL(E32,MIN(F32,Reprogramaciones!S$9),11)/NETWORKDAYS.INTL(E32,F32,11)*100,1))))</f>
        <v>0</v>
      </c>
      <c r="Q32" s="37"/>
      <c r="R32" s="37"/>
      <c r="S32" s="37"/>
      <c r="T32" s="37" t="n">
        <v>100</v>
      </c>
      <c r="U32" s="37"/>
      <c r="V32" s="37"/>
      <c r="W32" s="37"/>
      <c r="X32" s="37"/>
      <c r="Y32" s="37"/>
      <c r="Z32" s="37"/>
      <c r="AA32" s="37"/>
      <c r="AB32" s="37"/>
      <c r="AC32" s="37"/>
      <c r="AD32" s="37"/>
      <c r="AE32" s="37"/>
      <c r="AF32" s="37"/>
      <c r="AG32" s="38" t="n">
        <f aca="false">IF(AND(ISNUMBER(E32),ISNUMBER(F32)),NETWORKDAYS.INTL(E32,F32,11),"")</f>
        <v>5</v>
      </c>
      <c r="AH32" s="38" t="n">
        <f aca="false">IF(OR(NOT(AND(ISNUMBER(E32),ISNUMBER(F32))),$J$2=""),"",IF(Reprogramaciones!$P$15&lt;Reprogramaciones!$T$15,0,IF(Reprogramaciones!$R$15&gt;10,MIN(100,SUM($G32:$P32)),MIN(100,SUMPRODUCT((COLUMN($G32:$P32)-COLUMN($G32)+1&lt;Reprogramaciones!$R$15)*$G32:$P32)+N(INDEX($G32:$P32,1,Reprogramaciones!$R$15))*IF(Reprogramaciones!$P$15&gt;=(Reprogramaciones!$T$15+7*(Reprogramaciones!$R$15-1))+6,1,IF(MAX(0,NETWORKDAYS.INTL(MAX(E32,(Reprogramaciones!$T$15+7*(Reprogramaciones!$R$15-1))),MIN(F32,(Reprogramaciones!$T$15+7*(Reprogramaciones!$R$15-1))+6),11))=0,0,MAX(0,NETWORKDAYS.INTL(MAX(E32,(Reprogramaciones!$T$15+7*(Reprogramaciones!$R$15-1))),MIN(F32,Reprogramaciones!$P$15),11))/MAX(0,NETWORKDAYS.INTL(MAX(E32,(Reprogramaciones!$T$15+7*(Reprogramaciones!$R$15-1))),MIN(F32,(Reprogramaciones!$T$15+7*(Reprogramaciones!$R$15-1))+6),11))))))))</f>
        <v>100</v>
      </c>
      <c r="AI32" s="38" t="n">
        <f aca="false">IF(COUNT($Q32:$AF32)=0,"",IF(ROUND(SUM($Q32:$AF32),1)&gt;=99.5,100,MIN(100,ROUND(SUM($Q32:$AF32),1))))</f>
        <v>100</v>
      </c>
      <c r="AJ32" s="38" t="n">
        <f aca="false">IF(OR(AH32="",AI32=""),"",AI32-AH32)</f>
        <v>0</v>
      </c>
      <c r="AK32" s="39" t="str">
        <f aca="true">IF(AH32="","",IF(OR(Ficha!$C$10="Suspendida",Ficha!$C$10="Cancelada"),Ficha!$C$10,IF(AND(AI32&lt;&gt;"",N(AI32)&gt;=100),"Completada",IF(AND(E32&gt;TODAY(),N(AI32)=0),"Por iniciar",IF(N(AI32)+0.5&lt;AH32,"Retrasada",IF(N(AI32)+0.5&lt;DA32,IF(Reprogramaciones!$K$15&gt;0,"Al día · Sem "&amp;Reprogramaciones!$K$15&amp;" en curso","Al día · en curso"),"A tiempo"))))))</f>
        <v>Completada</v>
      </c>
      <c r="AL32" s="39" t="str">
        <f aca="true">IF(AND(A32="",AND(B32="",C32="",E32="",F32="",COUNT(Q32:AF32)=0)),"",IF(AND(B32="",C32="",E32="",F32="",COUNT(Q32:AF32)=0),"Falta la partida o subpartida",IF(AND(A32&lt;&gt;"",COUNTIF($A$6:$A$305,A32)&gt;1),"Ítem repetido",IF(AND(C32="",E32="",F32="",COUNT(Q32:AF32)=0),"Título de partida",IF(OR(E32="",F32=""),"Faltan fechas",IF(OR(ISTEXT(E32),ISTEXT(F32)),"Fecha escrita como texto: usa dd/mm/aaaa",IF(F32&lt;E32,"Fin antes del inicio",IF(IF($J$2="",FALSE(),OR(E32&lt;$J$2,F32&gt;Reprogramaciones!$T$15+69)),"Fuera de las 10 semanas",IF(ABS(SUM(G32:P32)-100)&gt;0.5,"La meta no suma 100%",IF(ROUND(SUM(Q32:AF32),1)&gt;100.5,"El avance pasa de 100%",IF(MIN(Q32:AF32)&lt;0,"Avance negativo",IF(COUNTA(Q32:AF32)&gt;COUNT(Q32:AF32),"Avance escrito como texto",IF(SUMPRODUCT((Q32:AF32&gt;0)*(Q32:AF32&lt;1))&gt;0,"Avance menor a 1: escribe 50, no 50%",IF(SUMPRODUCT(ISNUMBER(Q32:AF32)*(Reprogramaciones!$K$8:$Z$8&gt;TODAY()))&gt;0,"Avance en semana que aún no llega",IF(AND(N(Reprogramaciones!$E$21)&gt;0,F32&gt;Reprogramaciones!$E$21),"Pasa el fin de la obra: registra una reprogramación",IF(AND(N(Reprogramaciones!$E$21)&gt;0,SUMPRODUCT(ISNUMBER(Q32:AF32)*(Reprogramaciones!$K$8:$Z$8&gt;Reprogramaciones!$E$21))&gt;0),"Avance después del fin de la obra: registra una reprogramación por atraso","OK"))))))))))))))))</f>
        <v>OK</v>
      </c>
      <c r="AM32" s="40" t="str">
        <f aca="false">IF(OR(OR(NOT(AND(ISNUMBER(E32),ISNUMBER(F32))),$J$2=""),1&gt;MAX(1,Reprogramaciones!$U$15)),"",IF(Reprogramaciones!K$12&gt;=7,"",IF(OR(BT32-N(0)&gt;0.05,N(Q32)&gt;0),ROUNDDOWN(ROUND(BT32,6),0)&amp;"%"&amp;IF(CJ32="",""," / "&amp;CJ32&amp;"%"),IF(AND(N(0)&gt;=99.95,CJ32&lt;&gt;"",N(CJ32)&lt;100),"Pend. "&amp;CJ32&amp;"%",""))))</f>
        <v/>
      </c>
      <c r="AN32" s="40" t="str">
        <f aca="false">IF(OR(OR(NOT(AND(ISNUMBER(E32),ISNUMBER(F32))),$J$2=""),2&gt;MAX(1,Reprogramaciones!$U$15)),"",IF(Reprogramaciones!L$12&gt;=7,"",IF(OR(BU32-N(BT32)&gt;0.05,N(R32)&gt;0),ROUNDDOWN(ROUND(BU32,6),0)&amp;"%"&amp;IF(CK32="",""," / "&amp;CK32&amp;"%"),IF(AND(N(BT32)&gt;=99.95,CK32&lt;&gt;"",N(CK32)&lt;100),"Pend. "&amp;CK32&amp;"%",""))))</f>
        <v/>
      </c>
      <c r="AO32" s="40" t="str">
        <f aca="false">IF(OR(OR(NOT(AND(ISNUMBER(E32),ISNUMBER(F32))),$J$2=""),3&gt;MAX(1,Reprogramaciones!$U$15)),"",IF(Reprogramaciones!M$12&gt;=7,"",IF(OR(BV32-N(BU32)&gt;0.05,N(S32)&gt;0),ROUNDDOWN(ROUND(BV32,6),0)&amp;"%"&amp;IF(CL32="",""," / "&amp;CL32&amp;"%"),IF(AND(N(BU32)&gt;=99.95,CL32&lt;&gt;"",N(CL32)&lt;100),"Pend. "&amp;CL32&amp;"%",""))))</f>
        <v/>
      </c>
      <c r="AP32" s="40" t="str">
        <f aca="false">IF(OR(OR(NOT(AND(ISNUMBER(E32),ISNUMBER(F32))),$J$2=""),4&gt;MAX(1,Reprogramaciones!$U$15)),"",IF(Reprogramaciones!N$12&gt;=7,"",IF(OR(BW32-N(BV32)&gt;0.05,N(T32)&gt;0),ROUNDDOWN(ROUND(BW32,6),0)&amp;"%"&amp;IF(CM32="",""," / "&amp;CM32&amp;"%"),IF(AND(N(BV32)&gt;=99.95,CM32&lt;&gt;"",N(CM32)&lt;100),"Pend. "&amp;CM32&amp;"%",""))))</f>
        <v>100% / 100%</v>
      </c>
      <c r="AQ32" s="40" t="str">
        <f aca="false">IF(OR(OR(NOT(AND(ISNUMBER(E32),ISNUMBER(F32))),$J$2=""),5&gt;MAX(1,Reprogramaciones!$U$15)),"",IF(Reprogramaciones!O$12&gt;=7,"",IF(OR(BX32-N(BW32)&gt;0.05,N(U32)&gt;0),ROUNDDOWN(ROUND(BX32,6),0)&amp;"%"&amp;IF(CN32="",""," / "&amp;CN32&amp;"%"),IF(AND(N(BW32)&gt;=99.95,CN32&lt;&gt;"",N(CN32)&lt;100),"Pend. "&amp;CN32&amp;"%",""))))</f>
        <v/>
      </c>
      <c r="AR32" s="40" t="str">
        <f aca="false">IF(OR(OR(NOT(AND(ISNUMBER(E32),ISNUMBER(F32))),$J$2=""),6&gt;MAX(1,Reprogramaciones!$U$15)),"",IF(Reprogramaciones!P$12&gt;=7,"",IF(OR(BY32-N(BX32)&gt;0.05,N(V32)&gt;0),ROUNDDOWN(ROUND(BY32,6),0)&amp;"%"&amp;IF(CO32="",""," / "&amp;CO32&amp;"%"),IF(AND(N(BX32)&gt;=99.95,CO32&lt;&gt;"",N(CO32)&lt;100),"Pend. "&amp;CO32&amp;"%",""))))</f>
        <v/>
      </c>
      <c r="AS32" s="40" t="str">
        <f aca="false">IF(OR(OR(NOT(AND(ISNUMBER(E32),ISNUMBER(F32))),$J$2=""),7&gt;MAX(1,Reprogramaciones!$U$15)),"",IF(Reprogramaciones!Q$12&gt;=7,"",IF(OR(BZ32-N(BY32)&gt;0.05,N(W32)&gt;0),ROUNDDOWN(ROUND(BZ32,6),0)&amp;"%"&amp;IF(CP32="",""," / "&amp;CP32&amp;"%"),IF(AND(N(BY32)&gt;=99.95,CP32&lt;&gt;"",N(CP32)&lt;100),"Pend. "&amp;CP32&amp;"%",""))))</f>
        <v/>
      </c>
      <c r="AT32" s="40" t="str">
        <f aca="false">IF(OR(OR(NOT(AND(ISNUMBER(E32),ISNUMBER(F32))),$J$2=""),8&gt;MAX(1,Reprogramaciones!$U$15)),"",IF(Reprogramaciones!R$12&gt;=7,"",IF(OR(CA32-N(BZ32)&gt;0.05,N(X32)&gt;0),ROUNDDOWN(ROUND(CA32,6),0)&amp;"%"&amp;IF(CQ32="",""," / "&amp;CQ32&amp;"%"),IF(AND(N(BZ32)&gt;=99.95,CQ32&lt;&gt;"",N(CQ32)&lt;100),"Pend. "&amp;CQ32&amp;"%",""))))</f>
        <v/>
      </c>
      <c r="AU32" s="40" t="str">
        <f aca="false">IF(OR(OR(NOT(AND(ISNUMBER(E32),ISNUMBER(F32))),$J$2=""),9&gt;MAX(1,Reprogramaciones!$U$15)),"",IF(Reprogramaciones!S$12&gt;=7,"",IF(OR(CB32-N(CA32)&gt;0.05,N(Y32)&gt;0),ROUNDDOWN(ROUND(CB32,6),0)&amp;"%"&amp;IF(CR32="",""," / "&amp;CR32&amp;"%"),IF(AND(N(CA32)&gt;=99.95,CR32&lt;&gt;"",N(CR32)&lt;100),"Pend. "&amp;CR32&amp;"%",""))))</f>
        <v/>
      </c>
      <c r="AV32" s="40" t="str">
        <f aca="false">IF(OR(OR(NOT(AND(ISNUMBER(E32),ISNUMBER(F32))),$J$2=""),10&gt;MAX(1,Reprogramaciones!$U$15)),"",IF(Reprogramaciones!T$12&gt;=7,"",IF(OR(CC32-N(CB32)&gt;0.05,N(Z32)&gt;0),ROUNDDOWN(ROUND(CC32,6),0)&amp;"%"&amp;IF(CS32="",""," / "&amp;CS32&amp;"%"),IF(AND(N(CB32)&gt;=99.95,CS32&lt;&gt;"",N(CS32)&lt;100),"Pend. "&amp;CS32&amp;"%",""))))</f>
        <v/>
      </c>
      <c r="AW32" s="40" t="str">
        <f aca="false">IF(OR(OR(NOT(AND(ISNUMBER(E32),ISNUMBER(F32))),$J$2=""),11&gt;MAX(1,Reprogramaciones!$U$15)),"",IF(Reprogramaciones!U$12&gt;=7,"",IF(OR(CD32-N(CC32)&gt;0.05,N(AA32)&gt;0),ROUNDDOWN(ROUND(CD32,6),0)&amp;"%"&amp;IF(CT32="",""," / "&amp;CT32&amp;"%"),IF(AND(N(CC32)&gt;=99.95,CT32&lt;&gt;"",N(CT32)&lt;100),"Pend. "&amp;CT32&amp;"%",""))))</f>
        <v/>
      </c>
      <c r="AX32" s="40" t="str">
        <f aca="false">IF(OR(OR(NOT(AND(ISNUMBER(E32),ISNUMBER(F32))),$J$2=""),12&gt;MAX(1,Reprogramaciones!$U$15)),"",IF(Reprogramaciones!V$12&gt;=7,"",IF(OR(CE32-N(CD32)&gt;0.05,N(AB32)&gt;0),ROUNDDOWN(ROUND(CE32,6),0)&amp;"%"&amp;IF(CU32="",""," / "&amp;CU32&amp;"%"),IF(AND(N(CD32)&gt;=99.95,CU32&lt;&gt;"",N(CU32)&lt;100),"Pend. "&amp;CU32&amp;"%",""))))</f>
        <v/>
      </c>
      <c r="AY32" s="40" t="str">
        <f aca="false">IF(OR(OR(NOT(AND(ISNUMBER(E32),ISNUMBER(F32))),$J$2=""),13&gt;MAX(1,Reprogramaciones!$U$15)),"",IF(Reprogramaciones!W$12&gt;=7,"",IF(OR(CF32-N(CE32)&gt;0.05,N(AC32)&gt;0),ROUNDDOWN(ROUND(CF32,6),0)&amp;"%"&amp;IF(CV32="",""," / "&amp;CV32&amp;"%"),IF(AND(N(CE32)&gt;=99.95,CV32&lt;&gt;"",N(CV32)&lt;100),"Pend. "&amp;CV32&amp;"%",""))))</f>
        <v/>
      </c>
      <c r="AZ32" s="40" t="str">
        <f aca="false">IF(OR(OR(NOT(AND(ISNUMBER(E32),ISNUMBER(F32))),$J$2=""),14&gt;MAX(1,Reprogramaciones!$U$15)),"",IF(Reprogramaciones!X$12&gt;=7,"",IF(OR(CG32-N(CF32)&gt;0.05,N(AD32)&gt;0),ROUNDDOWN(ROUND(CG32,6),0)&amp;"%"&amp;IF(CW32="",""," / "&amp;CW32&amp;"%"),IF(AND(N(CF32)&gt;=99.95,CW32&lt;&gt;"",N(CW32)&lt;100),"Pend. "&amp;CW32&amp;"%",""))))</f>
        <v/>
      </c>
      <c r="BA32" s="40" t="str">
        <f aca="false">IF(OR(OR(NOT(AND(ISNUMBER(E32),ISNUMBER(F32))),$J$2=""),15&gt;MAX(1,Reprogramaciones!$U$15)),"",IF(Reprogramaciones!Y$12&gt;=7,"",IF(OR(CH32-N(CG32)&gt;0.05,N(AE32)&gt;0),ROUNDDOWN(ROUND(CH32,6),0)&amp;"%"&amp;IF(CX32="",""," / "&amp;CX32&amp;"%"),IF(AND(N(CG32)&gt;=99.95,CX32&lt;&gt;"",N(CX32)&lt;100),"Pend. "&amp;CX32&amp;"%",""))))</f>
        <v/>
      </c>
      <c r="BB32" s="40" t="str">
        <f aca="false">IF(OR(OR(NOT(AND(ISNUMBER(E32),ISNUMBER(F32))),$J$2=""),16&gt;MAX(1,Reprogramaciones!$U$15)),"",IF(Reprogramaciones!Z$12&gt;=7,"",IF(OR(CI32-N(CH32)&gt;0.05,N(AF32)&gt;0),ROUNDDOWN(ROUND(CI32,6),0)&amp;"%"&amp;IF(CY32="",""," / "&amp;CY32&amp;"%"),IF(AND(N(CH32)&gt;=99.95,CY32&lt;&gt;"",N(CY32)&lt;100),"Pend. "&amp;CY32&amp;"%",""))))</f>
        <v/>
      </c>
      <c r="BC32" s="31" t="n">
        <f aca="false">IF(AND(ISNUMBER(E32),ISNUMBER(F32)),MAX(1,NETWORKDAYS.INTL(E32,F32,11)),0)</f>
        <v>5</v>
      </c>
      <c r="BD32" s="1" t="n">
        <f aca="false">IF(OR(NOT(AND(ISNUMBER(E32),ISNUMBER(F32))),$J$2=""),"",MIN(100,ROUND(SUM($G32:G32),1)))</f>
        <v>0</v>
      </c>
      <c r="BE32" s="1" t="n">
        <f aca="false">IF(OR(NOT(AND(ISNUMBER(E32),ISNUMBER(F32))),$J$2=""),"",MIN(100,ROUND(SUM($G32:H32),1)))</f>
        <v>0</v>
      </c>
      <c r="BF32" s="1" t="n">
        <f aca="false">IF(OR(NOT(AND(ISNUMBER(E32),ISNUMBER(F32))),$J$2=""),"",MIN(100,ROUND(SUM($G32:I32),1)))</f>
        <v>0</v>
      </c>
      <c r="BG32" s="1" t="n">
        <f aca="false">IF(OR(NOT(AND(ISNUMBER(E32),ISNUMBER(F32))),$J$2=""),"",MIN(100,ROUND(SUM($G32:J32),1)))</f>
        <v>100</v>
      </c>
      <c r="BH32" s="1" t="n">
        <f aca="false">IF(OR(NOT(AND(ISNUMBER(E32),ISNUMBER(F32))),$J$2=""),"",MIN(100,ROUND(SUM($G32:K32),1)))</f>
        <v>100</v>
      </c>
      <c r="BI32" s="1" t="n">
        <f aca="false">IF(OR(NOT(AND(ISNUMBER(E32),ISNUMBER(F32))),$J$2=""),"",MIN(100,ROUND(SUM($G32:L32),1)))</f>
        <v>100</v>
      </c>
      <c r="BJ32" s="1" t="n">
        <f aca="false">IF(OR(NOT(AND(ISNUMBER(E32),ISNUMBER(F32))),$J$2=""),"",MIN(100,ROUND(SUM($G32:M32),1)))</f>
        <v>100</v>
      </c>
      <c r="BK32" s="1" t="n">
        <f aca="false">IF(OR(NOT(AND(ISNUMBER(E32),ISNUMBER(F32))),$J$2=""),"",MIN(100,ROUND(SUM($G32:N32),1)))</f>
        <v>100</v>
      </c>
      <c r="BL32" s="1" t="n">
        <f aca="false">IF(OR(NOT(AND(ISNUMBER(E32),ISNUMBER(F32))),$J$2=""),"",MIN(100,ROUND(SUM($G32:O32),1)))</f>
        <v>100</v>
      </c>
      <c r="BM32" s="1" t="n">
        <f aca="false">IF(OR(NOT(AND(ISNUMBER(E32),ISNUMBER(F32))),$J$2=""),"",MIN(100,ROUND(SUM($G32:P32),1)))</f>
        <v>100</v>
      </c>
      <c r="BN32" s="1" t="n">
        <f aca="false">IF(OR(NOT(AND(ISNUMBER(E32),ISNUMBER(F32))),$J$2=""),"",MIN(100,ROUND(SUM($G32:P32),1)))</f>
        <v>100</v>
      </c>
      <c r="BO32" s="1" t="n">
        <f aca="false">IF(OR(NOT(AND(ISNUMBER(E32),ISNUMBER(F32))),$J$2=""),"",MIN(100,ROUND(SUM($G32:P32),1)))</f>
        <v>100</v>
      </c>
      <c r="BP32" s="1" t="n">
        <f aca="false">IF(OR(NOT(AND(ISNUMBER(E32),ISNUMBER(F32))),$J$2=""),"",MIN(100,ROUND(SUM($G32:P32),1)))</f>
        <v>100</v>
      </c>
      <c r="BQ32" s="1" t="n">
        <f aca="false">IF(OR(NOT(AND(ISNUMBER(E32),ISNUMBER(F32))),$J$2=""),"",MIN(100,ROUND(SUM($G32:P32),1)))</f>
        <v>100</v>
      </c>
      <c r="BR32" s="1" t="n">
        <f aca="false">IF(OR(NOT(AND(ISNUMBER(E32),ISNUMBER(F32))),$J$2=""),"",MIN(100,ROUND(SUM($G32:P32),1)))</f>
        <v>100</v>
      </c>
      <c r="BS32" s="1" t="n">
        <f aca="false">IF(OR(NOT(AND(ISNUMBER(E32),ISNUMBER(F32))),$J$2=""),"",MIN(100,ROUND(SUM($G32:P32),1)))</f>
        <v>100</v>
      </c>
      <c r="BT32" s="1" t="n">
        <f aca="false">IF(OR(NOT(AND(ISNUMBER(E32),ISNUMBER(F32))),$J$2=""),"",IF(Reprogramaciones!K$13&lt;Reprogramaciones!$T$15,0,IF(Reprogramaciones!K$14&gt;10,MIN(100,SUM($G32:$P32)),MIN(100,SUMPRODUCT((COLUMN($G32:$P32)-COLUMN($G32)+1&lt;Reprogramaciones!K$14)*$G32:$P32)+N(INDEX($G32:$P32,1,Reprogramaciones!K$14))*IF(Reprogramaciones!K$13&gt;=(Reprogramaciones!$T$15+7*(Reprogramaciones!K$14-1))+6,1,IF(MAX(0,NETWORKDAYS.INTL(MAX(E32,(Reprogramaciones!$T$15+7*(Reprogramaciones!K$14-1))),MIN(F32,(Reprogramaciones!$T$15+7*(Reprogramaciones!K$14-1))+6),11))=0,0,MAX(0,NETWORKDAYS.INTL(MAX(E32,(Reprogramaciones!$T$15+7*(Reprogramaciones!K$14-1))),MIN(F32,Reprogramaciones!K$13),11))/MAX(0,NETWORKDAYS.INTL(MAX(E32,(Reprogramaciones!$T$15+7*(Reprogramaciones!K$14-1))),MIN(F32,(Reprogramaciones!$T$15+7*(Reprogramaciones!K$14-1))+6),11))))))))</f>
        <v>0</v>
      </c>
      <c r="BU32" s="1" t="n">
        <f aca="false">IF(OR(NOT(AND(ISNUMBER(E32),ISNUMBER(F32))),$J$2=""),"",IF(Reprogramaciones!L$13&lt;Reprogramaciones!$T$15,0,IF(Reprogramaciones!L$14&gt;10,MIN(100,SUM($G32:$P32)),MIN(100,SUMPRODUCT((COLUMN($G32:$P32)-COLUMN($G32)+1&lt;Reprogramaciones!L$14)*$G32:$P32)+N(INDEX($G32:$P32,1,Reprogramaciones!L$14))*IF(Reprogramaciones!L$13&gt;=(Reprogramaciones!$T$15+7*(Reprogramaciones!L$14-1))+6,1,IF(MAX(0,NETWORKDAYS.INTL(MAX(E32,(Reprogramaciones!$T$15+7*(Reprogramaciones!L$14-1))),MIN(F32,(Reprogramaciones!$T$15+7*(Reprogramaciones!L$14-1))+6),11))=0,0,MAX(0,NETWORKDAYS.INTL(MAX(E32,(Reprogramaciones!$T$15+7*(Reprogramaciones!L$14-1))),MIN(F32,Reprogramaciones!L$13),11))/MAX(0,NETWORKDAYS.INTL(MAX(E32,(Reprogramaciones!$T$15+7*(Reprogramaciones!L$14-1))),MIN(F32,(Reprogramaciones!$T$15+7*(Reprogramaciones!L$14-1))+6),11))))))))</f>
        <v>0</v>
      </c>
      <c r="BV32" s="1" t="n">
        <f aca="false">IF(OR(NOT(AND(ISNUMBER(E32),ISNUMBER(F32))),$J$2=""),"",IF(Reprogramaciones!M$13&lt;Reprogramaciones!$T$15,0,IF(Reprogramaciones!M$14&gt;10,MIN(100,SUM($G32:$P32)),MIN(100,SUMPRODUCT((COLUMN($G32:$P32)-COLUMN($G32)+1&lt;Reprogramaciones!M$14)*$G32:$P32)+N(INDEX($G32:$P32,1,Reprogramaciones!M$14))*IF(Reprogramaciones!M$13&gt;=(Reprogramaciones!$T$15+7*(Reprogramaciones!M$14-1))+6,1,IF(MAX(0,NETWORKDAYS.INTL(MAX(E32,(Reprogramaciones!$T$15+7*(Reprogramaciones!M$14-1))),MIN(F32,(Reprogramaciones!$T$15+7*(Reprogramaciones!M$14-1))+6),11))=0,0,MAX(0,NETWORKDAYS.INTL(MAX(E32,(Reprogramaciones!$T$15+7*(Reprogramaciones!M$14-1))),MIN(F32,Reprogramaciones!M$13),11))/MAX(0,NETWORKDAYS.INTL(MAX(E32,(Reprogramaciones!$T$15+7*(Reprogramaciones!M$14-1))),MIN(F32,(Reprogramaciones!$T$15+7*(Reprogramaciones!M$14-1))+6),11))))))))</f>
        <v>0</v>
      </c>
      <c r="BW32" s="1" t="n">
        <f aca="false">IF(OR(NOT(AND(ISNUMBER(E32),ISNUMBER(F32))),$J$2=""),"",IF(Reprogramaciones!N$13&lt;Reprogramaciones!$T$15,0,IF(Reprogramaciones!N$14&gt;10,MIN(100,SUM($G32:$P32)),MIN(100,SUMPRODUCT((COLUMN($G32:$P32)-COLUMN($G32)+1&lt;Reprogramaciones!N$14)*$G32:$P32)+N(INDEX($G32:$P32,1,Reprogramaciones!N$14))*IF(Reprogramaciones!N$13&gt;=(Reprogramaciones!$T$15+7*(Reprogramaciones!N$14-1))+6,1,IF(MAX(0,NETWORKDAYS.INTL(MAX(E32,(Reprogramaciones!$T$15+7*(Reprogramaciones!N$14-1))),MIN(F32,(Reprogramaciones!$T$15+7*(Reprogramaciones!N$14-1))+6),11))=0,0,MAX(0,NETWORKDAYS.INTL(MAX(E32,(Reprogramaciones!$T$15+7*(Reprogramaciones!N$14-1))),MIN(F32,Reprogramaciones!N$13),11))/MAX(0,NETWORKDAYS.INTL(MAX(E32,(Reprogramaciones!$T$15+7*(Reprogramaciones!N$14-1))),MIN(F32,(Reprogramaciones!$T$15+7*(Reprogramaciones!N$14-1))+6),11))))))))</f>
        <v>100</v>
      </c>
      <c r="BX32" s="1" t="n">
        <f aca="false">IF(OR(NOT(AND(ISNUMBER(E32),ISNUMBER(F32))),$J$2=""),"",IF(Reprogramaciones!O$13&lt;Reprogramaciones!$T$15,0,IF(Reprogramaciones!O$14&gt;10,MIN(100,SUM($G32:$P32)),MIN(100,SUMPRODUCT((COLUMN($G32:$P32)-COLUMN($G32)+1&lt;Reprogramaciones!O$14)*$G32:$P32)+N(INDEX($G32:$P32,1,Reprogramaciones!O$14))*IF(Reprogramaciones!O$13&gt;=(Reprogramaciones!$T$15+7*(Reprogramaciones!O$14-1))+6,1,IF(MAX(0,NETWORKDAYS.INTL(MAX(E32,(Reprogramaciones!$T$15+7*(Reprogramaciones!O$14-1))),MIN(F32,(Reprogramaciones!$T$15+7*(Reprogramaciones!O$14-1))+6),11))=0,0,MAX(0,NETWORKDAYS.INTL(MAX(E32,(Reprogramaciones!$T$15+7*(Reprogramaciones!O$14-1))),MIN(F32,Reprogramaciones!O$13),11))/MAX(0,NETWORKDAYS.INTL(MAX(E32,(Reprogramaciones!$T$15+7*(Reprogramaciones!O$14-1))),MIN(F32,(Reprogramaciones!$T$15+7*(Reprogramaciones!O$14-1))+6),11))))))))</f>
        <v>100</v>
      </c>
      <c r="BY32" s="1" t="n">
        <f aca="false">IF(OR(NOT(AND(ISNUMBER(E32),ISNUMBER(F32))),$J$2=""),"",IF(Reprogramaciones!P$13&lt;Reprogramaciones!$T$15,0,IF(Reprogramaciones!P$14&gt;10,MIN(100,SUM($G32:$P32)),MIN(100,SUMPRODUCT((COLUMN($G32:$P32)-COLUMN($G32)+1&lt;Reprogramaciones!P$14)*$G32:$P32)+N(INDEX($G32:$P32,1,Reprogramaciones!P$14))*IF(Reprogramaciones!P$13&gt;=(Reprogramaciones!$T$15+7*(Reprogramaciones!P$14-1))+6,1,IF(MAX(0,NETWORKDAYS.INTL(MAX(E32,(Reprogramaciones!$T$15+7*(Reprogramaciones!P$14-1))),MIN(F32,(Reprogramaciones!$T$15+7*(Reprogramaciones!P$14-1))+6),11))=0,0,MAX(0,NETWORKDAYS.INTL(MAX(E32,(Reprogramaciones!$T$15+7*(Reprogramaciones!P$14-1))),MIN(F32,Reprogramaciones!P$13),11))/MAX(0,NETWORKDAYS.INTL(MAX(E32,(Reprogramaciones!$T$15+7*(Reprogramaciones!P$14-1))),MIN(F32,(Reprogramaciones!$T$15+7*(Reprogramaciones!P$14-1))+6),11))))))))</f>
        <v>100</v>
      </c>
      <c r="BZ32" s="1" t="n">
        <f aca="false">IF(OR(NOT(AND(ISNUMBER(E32),ISNUMBER(F32))),$J$2=""),"",IF(Reprogramaciones!Q$13&lt;Reprogramaciones!$T$15,0,IF(Reprogramaciones!Q$14&gt;10,MIN(100,SUM($G32:$P32)),MIN(100,SUMPRODUCT((COLUMN($G32:$P32)-COLUMN($G32)+1&lt;Reprogramaciones!Q$14)*$G32:$P32)+N(INDEX($G32:$P32,1,Reprogramaciones!Q$14))*IF(Reprogramaciones!Q$13&gt;=(Reprogramaciones!$T$15+7*(Reprogramaciones!Q$14-1))+6,1,IF(MAX(0,NETWORKDAYS.INTL(MAX(E32,(Reprogramaciones!$T$15+7*(Reprogramaciones!Q$14-1))),MIN(F32,(Reprogramaciones!$T$15+7*(Reprogramaciones!Q$14-1))+6),11))=0,0,MAX(0,NETWORKDAYS.INTL(MAX(E32,(Reprogramaciones!$T$15+7*(Reprogramaciones!Q$14-1))),MIN(F32,Reprogramaciones!Q$13),11))/MAX(0,NETWORKDAYS.INTL(MAX(E32,(Reprogramaciones!$T$15+7*(Reprogramaciones!Q$14-1))),MIN(F32,(Reprogramaciones!$T$15+7*(Reprogramaciones!Q$14-1))+6),11))))))))</f>
        <v>100</v>
      </c>
      <c r="CA32" s="1" t="n">
        <f aca="false">IF(OR(NOT(AND(ISNUMBER(E32),ISNUMBER(F32))),$J$2=""),"",IF(Reprogramaciones!R$13&lt;Reprogramaciones!$T$15,0,IF(Reprogramaciones!R$14&gt;10,MIN(100,SUM($G32:$P32)),MIN(100,SUMPRODUCT((COLUMN($G32:$P32)-COLUMN($G32)+1&lt;Reprogramaciones!R$14)*$G32:$P32)+N(INDEX($G32:$P32,1,Reprogramaciones!R$14))*IF(Reprogramaciones!R$13&gt;=(Reprogramaciones!$T$15+7*(Reprogramaciones!R$14-1))+6,1,IF(MAX(0,NETWORKDAYS.INTL(MAX(E32,(Reprogramaciones!$T$15+7*(Reprogramaciones!R$14-1))),MIN(F32,(Reprogramaciones!$T$15+7*(Reprogramaciones!R$14-1))+6),11))=0,0,MAX(0,NETWORKDAYS.INTL(MAX(E32,(Reprogramaciones!$T$15+7*(Reprogramaciones!R$14-1))),MIN(F32,Reprogramaciones!R$13),11))/MAX(0,NETWORKDAYS.INTL(MAX(E32,(Reprogramaciones!$T$15+7*(Reprogramaciones!R$14-1))),MIN(F32,(Reprogramaciones!$T$15+7*(Reprogramaciones!R$14-1))+6),11))))))))</f>
        <v>100</v>
      </c>
      <c r="CB32" s="1" t="n">
        <f aca="false">IF(OR(NOT(AND(ISNUMBER(E32),ISNUMBER(F32))),$J$2=""),"",IF(Reprogramaciones!S$13&lt;Reprogramaciones!$T$15,0,IF(Reprogramaciones!S$14&gt;10,MIN(100,SUM($G32:$P32)),MIN(100,SUMPRODUCT((COLUMN($G32:$P32)-COLUMN($G32)+1&lt;Reprogramaciones!S$14)*$G32:$P32)+N(INDEX($G32:$P32,1,Reprogramaciones!S$14))*IF(Reprogramaciones!S$13&gt;=(Reprogramaciones!$T$15+7*(Reprogramaciones!S$14-1))+6,1,IF(MAX(0,NETWORKDAYS.INTL(MAX(E32,(Reprogramaciones!$T$15+7*(Reprogramaciones!S$14-1))),MIN(F32,(Reprogramaciones!$T$15+7*(Reprogramaciones!S$14-1))+6),11))=0,0,MAX(0,NETWORKDAYS.INTL(MAX(E32,(Reprogramaciones!$T$15+7*(Reprogramaciones!S$14-1))),MIN(F32,Reprogramaciones!S$13),11))/MAX(0,NETWORKDAYS.INTL(MAX(E32,(Reprogramaciones!$T$15+7*(Reprogramaciones!S$14-1))),MIN(F32,(Reprogramaciones!$T$15+7*(Reprogramaciones!S$14-1))+6),11))))))))</f>
        <v>100</v>
      </c>
      <c r="CC32" s="1" t="n">
        <f aca="false">IF(OR(NOT(AND(ISNUMBER(E32),ISNUMBER(F32))),$J$2=""),"",IF(Reprogramaciones!T$13&lt;Reprogramaciones!$T$15,0,IF(Reprogramaciones!T$14&gt;10,MIN(100,SUM($G32:$P32)),MIN(100,SUMPRODUCT((COLUMN($G32:$P32)-COLUMN($G32)+1&lt;Reprogramaciones!T$14)*$G32:$P32)+N(INDEX($G32:$P32,1,Reprogramaciones!T$14))*IF(Reprogramaciones!T$13&gt;=(Reprogramaciones!$T$15+7*(Reprogramaciones!T$14-1))+6,1,IF(MAX(0,NETWORKDAYS.INTL(MAX(E32,(Reprogramaciones!$T$15+7*(Reprogramaciones!T$14-1))),MIN(F32,(Reprogramaciones!$T$15+7*(Reprogramaciones!T$14-1))+6),11))=0,0,MAX(0,NETWORKDAYS.INTL(MAX(E32,(Reprogramaciones!$T$15+7*(Reprogramaciones!T$14-1))),MIN(F32,Reprogramaciones!T$13),11))/MAX(0,NETWORKDAYS.INTL(MAX(E32,(Reprogramaciones!$T$15+7*(Reprogramaciones!T$14-1))),MIN(F32,(Reprogramaciones!$T$15+7*(Reprogramaciones!T$14-1))+6),11))))))))</f>
        <v>100</v>
      </c>
      <c r="CD32" s="1" t="n">
        <f aca="false">IF(OR(NOT(AND(ISNUMBER(E32),ISNUMBER(F32))),$J$2=""),"",IF(Reprogramaciones!U$13&lt;Reprogramaciones!$T$15,0,IF(Reprogramaciones!U$14&gt;10,MIN(100,SUM($G32:$P32)),MIN(100,SUMPRODUCT((COLUMN($G32:$P32)-COLUMN($G32)+1&lt;Reprogramaciones!U$14)*$G32:$P32)+N(INDEX($G32:$P32,1,Reprogramaciones!U$14))*IF(Reprogramaciones!U$13&gt;=(Reprogramaciones!$T$15+7*(Reprogramaciones!U$14-1))+6,1,IF(MAX(0,NETWORKDAYS.INTL(MAX(E32,(Reprogramaciones!$T$15+7*(Reprogramaciones!U$14-1))),MIN(F32,(Reprogramaciones!$T$15+7*(Reprogramaciones!U$14-1))+6),11))=0,0,MAX(0,NETWORKDAYS.INTL(MAX(E32,(Reprogramaciones!$T$15+7*(Reprogramaciones!U$14-1))),MIN(F32,Reprogramaciones!U$13),11))/MAX(0,NETWORKDAYS.INTL(MAX(E32,(Reprogramaciones!$T$15+7*(Reprogramaciones!U$14-1))),MIN(F32,(Reprogramaciones!$T$15+7*(Reprogramaciones!U$14-1))+6),11))))))))</f>
        <v>100</v>
      </c>
      <c r="CE32" s="1" t="n">
        <f aca="false">IF(OR(NOT(AND(ISNUMBER(E32),ISNUMBER(F32))),$J$2=""),"",IF(Reprogramaciones!V$13&lt;Reprogramaciones!$T$15,0,IF(Reprogramaciones!V$14&gt;10,MIN(100,SUM($G32:$P32)),MIN(100,SUMPRODUCT((COLUMN($G32:$P32)-COLUMN($G32)+1&lt;Reprogramaciones!V$14)*$G32:$P32)+N(INDEX($G32:$P32,1,Reprogramaciones!V$14))*IF(Reprogramaciones!V$13&gt;=(Reprogramaciones!$T$15+7*(Reprogramaciones!V$14-1))+6,1,IF(MAX(0,NETWORKDAYS.INTL(MAX(E32,(Reprogramaciones!$T$15+7*(Reprogramaciones!V$14-1))),MIN(F32,(Reprogramaciones!$T$15+7*(Reprogramaciones!V$14-1))+6),11))=0,0,MAX(0,NETWORKDAYS.INTL(MAX(E32,(Reprogramaciones!$T$15+7*(Reprogramaciones!V$14-1))),MIN(F32,Reprogramaciones!V$13),11))/MAX(0,NETWORKDAYS.INTL(MAX(E32,(Reprogramaciones!$T$15+7*(Reprogramaciones!V$14-1))),MIN(F32,(Reprogramaciones!$T$15+7*(Reprogramaciones!V$14-1))+6),11))))))))</f>
        <v>100</v>
      </c>
      <c r="CF32" s="1" t="n">
        <f aca="false">IF(OR(NOT(AND(ISNUMBER(E32),ISNUMBER(F32))),$J$2=""),"",IF(Reprogramaciones!W$13&lt;Reprogramaciones!$T$15,0,IF(Reprogramaciones!W$14&gt;10,MIN(100,SUM($G32:$P32)),MIN(100,SUMPRODUCT((COLUMN($G32:$P32)-COLUMN($G32)+1&lt;Reprogramaciones!W$14)*$G32:$P32)+N(INDEX($G32:$P32,1,Reprogramaciones!W$14))*IF(Reprogramaciones!W$13&gt;=(Reprogramaciones!$T$15+7*(Reprogramaciones!W$14-1))+6,1,IF(MAX(0,NETWORKDAYS.INTL(MAX(E32,(Reprogramaciones!$T$15+7*(Reprogramaciones!W$14-1))),MIN(F32,(Reprogramaciones!$T$15+7*(Reprogramaciones!W$14-1))+6),11))=0,0,MAX(0,NETWORKDAYS.INTL(MAX(E32,(Reprogramaciones!$T$15+7*(Reprogramaciones!W$14-1))),MIN(F32,Reprogramaciones!W$13),11))/MAX(0,NETWORKDAYS.INTL(MAX(E32,(Reprogramaciones!$T$15+7*(Reprogramaciones!W$14-1))),MIN(F32,(Reprogramaciones!$T$15+7*(Reprogramaciones!W$14-1))+6),11))))))))</f>
        <v>100</v>
      </c>
      <c r="CG32" s="1" t="n">
        <f aca="false">IF(OR(NOT(AND(ISNUMBER(E32),ISNUMBER(F32))),$J$2=""),"",IF(Reprogramaciones!X$13&lt;Reprogramaciones!$T$15,0,IF(Reprogramaciones!X$14&gt;10,MIN(100,SUM($G32:$P32)),MIN(100,SUMPRODUCT((COLUMN($G32:$P32)-COLUMN($G32)+1&lt;Reprogramaciones!X$14)*$G32:$P32)+N(INDEX($G32:$P32,1,Reprogramaciones!X$14))*IF(Reprogramaciones!X$13&gt;=(Reprogramaciones!$T$15+7*(Reprogramaciones!X$14-1))+6,1,IF(MAX(0,NETWORKDAYS.INTL(MAX(E32,(Reprogramaciones!$T$15+7*(Reprogramaciones!X$14-1))),MIN(F32,(Reprogramaciones!$T$15+7*(Reprogramaciones!X$14-1))+6),11))=0,0,MAX(0,NETWORKDAYS.INTL(MAX(E32,(Reprogramaciones!$T$15+7*(Reprogramaciones!X$14-1))),MIN(F32,Reprogramaciones!X$13),11))/MAX(0,NETWORKDAYS.INTL(MAX(E32,(Reprogramaciones!$T$15+7*(Reprogramaciones!X$14-1))),MIN(F32,(Reprogramaciones!$T$15+7*(Reprogramaciones!X$14-1))+6),11))))))))</f>
        <v>100</v>
      </c>
      <c r="CH32" s="1" t="n">
        <f aca="false">IF(OR(NOT(AND(ISNUMBER(E32),ISNUMBER(F32))),$J$2=""),"",IF(Reprogramaciones!Y$13&lt;Reprogramaciones!$T$15,0,IF(Reprogramaciones!Y$14&gt;10,MIN(100,SUM($G32:$P32)),MIN(100,SUMPRODUCT((COLUMN($G32:$P32)-COLUMN($G32)+1&lt;Reprogramaciones!Y$14)*$G32:$P32)+N(INDEX($G32:$P32,1,Reprogramaciones!Y$14))*IF(Reprogramaciones!Y$13&gt;=(Reprogramaciones!$T$15+7*(Reprogramaciones!Y$14-1))+6,1,IF(MAX(0,NETWORKDAYS.INTL(MAX(E32,(Reprogramaciones!$T$15+7*(Reprogramaciones!Y$14-1))),MIN(F32,(Reprogramaciones!$T$15+7*(Reprogramaciones!Y$14-1))+6),11))=0,0,MAX(0,NETWORKDAYS.INTL(MAX(E32,(Reprogramaciones!$T$15+7*(Reprogramaciones!Y$14-1))),MIN(F32,Reprogramaciones!Y$13),11))/MAX(0,NETWORKDAYS.INTL(MAX(E32,(Reprogramaciones!$T$15+7*(Reprogramaciones!Y$14-1))),MIN(F32,(Reprogramaciones!$T$15+7*(Reprogramaciones!Y$14-1))+6),11))))))))</f>
        <v>100</v>
      </c>
      <c r="CI32" s="1" t="n">
        <f aca="false">IF(OR(NOT(AND(ISNUMBER(E32),ISNUMBER(F32))),$J$2=""),"",IF(Reprogramaciones!Z$13&lt;Reprogramaciones!$T$15,0,IF(Reprogramaciones!Z$14&gt;10,MIN(100,SUM($G32:$P32)),MIN(100,SUMPRODUCT((COLUMN($G32:$P32)-COLUMN($G32)+1&lt;Reprogramaciones!Z$14)*$G32:$P32)+N(INDEX($G32:$P32,1,Reprogramaciones!Z$14))*IF(Reprogramaciones!Z$13&gt;=(Reprogramaciones!$T$15+7*(Reprogramaciones!Z$14-1))+6,1,IF(MAX(0,NETWORKDAYS.INTL(MAX(E32,(Reprogramaciones!$T$15+7*(Reprogramaciones!Z$14-1))),MIN(F32,(Reprogramaciones!$T$15+7*(Reprogramaciones!Z$14-1))+6),11))=0,0,MAX(0,NETWORKDAYS.INTL(MAX(E32,(Reprogramaciones!$T$15+7*(Reprogramaciones!Z$14-1))),MIN(F32,Reprogramaciones!Z$13),11))/MAX(0,NETWORKDAYS.INTL(MAX(E32,(Reprogramaciones!$T$15+7*(Reprogramaciones!Z$14-1))),MIN(F32,(Reprogramaciones!$T$15+7*(Reprogramaciones!Z$14-1))+6),11))))))))</f>
        <v>100</v>
      </c>
      <c r="CJ32" s="1" t="n">
        <f aca="false">IF(OR(OR(NOT(AND(ISNUMBER(E32),ISNUMBER(F32))),$J$2=""),1&gt;Reprogramaciones!$K$16),"",IF(ROUND(SUM($Q32:Q32),1)&gt;=99.5,100,MIN(100,ROUND(SUM($Q32:Q32),1))))</f>
        <v>0</v>
      </c>
      <c r="CK32" s="1" t="n">
        <f aca="false">IF(OR(OR(NOT(AND(ISNUMBER(E32),ISNUMBER(F32))),$J$2=""),2&gt;Reprogramaciones!$K$16),"",IF(ROUND(SUM($Q32:R32),1)&gt;=99.5,100,MIN(100,ROUND(SUM($Q32:R32),1))))</f>
        <v>0</v>
      </c>
      <c r="CL32" s="1" t="n">
        <f aca="false">IF(OR(OR(NOT(AND(ISNUMBER(E32),ISNUMBER(F32))),$J$2=""),3&gt;Reprogramaciones!$K$16),"",IF(ROUND(SUM($Q32:S32),1)&gt;=99.5,100,MIN(100,ROUND(SUM($Q32:S32),1))))</f>
        <v>0</v>
      </c>
      <c r="CM32" s="1" t="n">
        <f aca="false">IF(OR(OR(NOT(AND(ISNUMBER(E32),ISNUMBER(F32))),$J$2=""),4&gt;Reprogramaciones!$K$16),"",IF(ROUND(SUM($Q32:T32),1)&gt;=99.5,100,MIN(100,ROUND(SUM($Q32:T32),1))))</f>
        <v>100</v>
      </c>
      <c r="CN32" s="1" t="n">
        <f aca="false">IF(OR(OR(NOT(AND(ISNUMBER(E32),ISNUMBER(F32))),$J$2=""),5&gt;Reprogramaciones!$K$16),"",IF(ROUND(SUM($Q32:U32),1)&gt;=99.5,100,MIN(100,ROUND(SUM($Q32:U32),1))))</f>
        <v>100</v>
      </c>
      <c r="CO32" s="1" t="str">
        <f aca="false">IF(OR(OR(NOT(AND(ISNUMBER(E32),ISNUMBER(F32))),$J$2=""),6&gt;Reprogramaciones!$K$16),"",IF(ROUND(SUM($Q32:V32),1)&gt;=99.5,100,MIN(100,ROUND(SUM($Q32:V32),1))))</f>
        <v/>
      </c>
      <c r="CP32" s="1" t="str">
        <f aca="false">IF(OR(OR(NOT(AND(ISNUMBER(E32),ISNUMBER(F32))),$J$2=""),7&gt;Reprogramaciones!$K$16),"",IF(ROUND(SUM($Q32:W32),1)&gt;=99.5,100,MIN(100,ROUND(SUM($Q32:W32),1))))</f>
        <v/>
      </c>
      <c r="CQ32" s="1" t="str">
        <f aca="false">IF(OR(OR(NOT(AND(ISNUMBER(E32),ISNUMBER(F32))),$J$2=""),8&gt;Reprogramaciones!$K$16),"",IF(ROUND(SUM($Q32:X32),1)&gt;=99.5,100,MIN(100,ROUND(SUM($Q32:X32),1))))</f>
        <v/>
      </c>
      <c r="CR32" s="1" t="str">
        <f aca="false">IF(OR(OR(NOT(AND(ISNUMBER(E32),ISNUMBER(F32))),$J$2=""),9&gt;Reprogramaciones!$K$16),"",IF(ROUND(SUM($Q32:Y32),1)&gt;=99.5,100,MIN(100,ROUND(SUM($Q32:Y32),1))))</f>
        <v/>
      </c>
      <c r="CS32" s="1" t="str">
        <f aca="false">IF(OR(OR(NOT(AND(ISNUMBER(E32),ISNUMBER(F32))),$J$2=""),10&gt;Reprogramaciones!$K$16),"",IF(ROUND(SUM($Q32:Z32),1)&gt;=99.5,100,MIN(100,ROUND(SUM($Q32:Z32),1))))</f>
        <v/>
      </c>
      <c r="CT32" s="1" t="str">
        <f aca="false">IF(OR(OR(NOT(AND(ISNUMBER(E32),ISNUMBER(F32))),$J$2=""),11&gt;Reprogramaciones!$K$16),"",IF(ROUND(SUM($Q32:AA32),1)&gt;=99.5,100,MIN(100,ROUND(SUM($Q32:AA32),1))))</f>
        <v/>
      </c>
      <c r="CU32" s="1" t="str">
        <f aca="false">IF(OR(OR(NOT(AND(ISNUMBER(E32),ISNUMBER(F32))),$J$2=""),12&gt;Reprogramaciones!$K$16),"",IF(ROUND(SUM($Q32:AB32),1)&gt;=99.5,100,MIN(100,ROUND(SUM($Q32:AB32),1))))</f>
        <v/>
      </c>
      <c r="CV32" s="1" t="str">
        <f aca="false">IF(OR(OR(NOT(AND(ISNUMBER(E32),ISNUMBER(F32))),$J$2=""),13&gt;Reprogramaciones!$K$16),"",IF(ROUND(SUM($Q32:AC32),1)&gt;=99.5,100,MIN(100,ROUND(SUM($Q32:AC32),1))))</f>
        <v/>
      </c>
      <c r="CW32" s="1" t="str">
        <f aca="false">IF(OR(OR(NOT(AND(ISNUMBER(E32),ISNUMBER(F32))),$J$2=""),14&gt;Reprogramaciones!$K$16),"",IF(ROUND(SUM($Q32:AD32),1)&gt;=99.5,100,MIN(100,ROUND(SUM($Q32:AD32),1))))</f>
        <v/>
      </c>
      <c r="CX32" s="1" t="str">
        <f aca="false">IF(OR(OR(NOT(AND(ISNUMBER(E32),ISNUMBER(F32))),$J$2=""),15&gt;Reprogramaciones!$K$16),"",IF(ROUND(SUM($Q32:AE32),1)&gt;=99.5,100,MIN(100,ROUND(SUM($Q32:AE32),1))))</f>
        <v/>
      </c>
      <c r="CY32" s="1" t="str">
        <f aca="false">IF(OR(OR(NOT(AND(ISNUMBER(E32),ISNUMBER(F32))),$J$2=""),16&gt;Reprogramaciones!$K$16),"",IF(ROUND(SUM($Q32:AF32),1)&gt;=99.5,100,MIN(100,ROUND(SUM($Q32:AF32),1))))</f>
        <v/>
      </c>
      <c r="CZ32" s="1" t="str">
        <f aca="false">IF(D32&lt;&gt;"",D32,IF(B32&lt;&gt;"","Contractual",CZ31))</f>
        <v>Contractual</v>
      </c>
      <c r="DA32" s="1" t="n">
        <f aca="false">IF(OR(NOT(AND(ISNUMBER(E32),ISNUMBER(F32))),$J$2=""),"",IF(Reprogramaciones!$Q$15&lt;Reprogramaciones!$T$15,0,IF(Reprogramaciones!$S$15&gt;10,MIN(100,SUM($G32:$P32)),MIN(100,SUMPRODUCT((COLUMN($G32:$P32)-COLUMN($G32)+1&lt;Reprogramaciones!$S$15)*$G32:$P32)+N(INDEX($G32:$P32,1,Reprogramaciones!$S$15))*IF(Reprogramaciones!$Q$15&gt;=(Reprogramaciones!$T$15+7*(Reprogramaciones!$S$15-1))+6,1,IF(MAX(0,NETWORKDAYS.INTL(MAX(E32,(Reprogramaciones!$T$15+7*(Reprogramaciones!$S$15-1))),MIN(F32,(Reprogramaciones!$T$15+7*(Reprogramaciones!$S$15-1))+6),11))=0,0,MAX(0,NETWORKDAYS.INTL(MAX(E32,(Reprogramaciones!$T$15+7*(Reprogramaciones!$S$15-1))),MIN(F32,Reprogramaciones!$Q$15),11))/MAX(0,NETWORKDAYS.INTL(MAX(E32,(Reprogramaciones!$T$15+7*(Reprogramaciones!$S$15-1))),MIN(F32,(Reprogramaciones!$T$15+7*(Reprogramaciones!$S$15-1))+6),11))))))))</f>
        <v>100</v>
      </c>
    </row>
    <row r="33" customFormat="false" ht="15" hidden="false" customHeight="false" outlineLevel="0" collapsed="false">
      <c r="A33" s="32" t="s">
        <v>207</v>
      </c>
      <c r="B33" s="33"/>
      <c r="C33" s="33" t="s">
        <v>208</v>
      </c>
      <c r="D33" s="34"/>
      <c r="E33" s="35" t="n">
        <v>46309</v>
      </c>
      <c r="F33" s="35" t="n">
        <v>46314</v>
      </c>
      <c r="G33" s="36" t="n">
        <f aca="false">IF(OR(NOT(AND(ISNUMBER(E33),ISNUMBER(F33))),$J$2=""),"",IF(Reprogramaciones!K$9&lt;E33,0,IF(NETWORKDAYS.INTL(E33,F33,11)=0,IF(Reprogramaciones!K$9&gt;=F33,100,0),ROUND(NETWORKDAYS.INTL(E33,MIN(F33,Reprogramaciones!K$9),11)/NETWORKDAYS.INTL(E33,F33,11)*100,1)))-0)</f>
        <v>0</v>
      </c>
      <c r="H33" s="36" t="n">
        <f aca="false">IF(OR(NOT(AND(ISNUMBER(E33),ISNUMBER(F33))),$J$2=""),"",IF(Reprogramaciones!L$9&lt;E33,0,IF(NETWORKDAYS.INTL(E33,F33,11)=0,IF(Reprogramaciones!L$9&gt;=F33,100,0),ROUND(NETWORKDAYS.INTL(E33,MIN(F33,Reprogramaciones!L$9),11)/NETWORKDAYS.INTL(E33,F33,11)*100,1)))-IF(Reprogramaciones!K$9&lt;E33,0,IF(NETWORKDAYS.INTL(E33,F33,11)=0,IF(Reprogramaciones!K$9&gt;=F33,100,0),ROUND(NETWORKDAYS.INTL(E33,MIN(F33,Reprogramaciones!K$9),11)/NETWORKDAYS.INTL(E33,F33,11)*100,1))))</f>
        <v>0</v>
      </c>
      <c r="I33" s="36" t="n">
        <f aca="false">IF(OR(NOT(AND(ISNUMBER(E33),ISNUMBER(F33))),$J$2=""),"",IF(Reprogramaciones!M$9&lt;E33,0,IF(NETWORKDAYS.INTL(E33,F33,11)=0,IF(Reprogramaciones!M$9&gt;=F33,100,0),ROUND(NETWORKDAYS.INTL(E33,MIN(F33,Reprogramaciones!M$9),11)/NETWORKDAYS.INTL(E33,F33,11)*100,1)))-IF(Reprogramaciones!L$9&lt;E33,0,IF(NETWORKDAYS.INTL(E33,F33,11)=0,IF(Reprogramaciones!L$9&gt;=F33,100,0),ROUND(NETWORKDAYS.INTL(E33,MIN(F33,Reprogramaciones!L$9),11)/NETWORKDAYS.INTL(E33,F33,11)*100,1))))</f>
        <v>0</v>
      </c>
      <c r="J33" s="36" t="n">
        <f aca="false">IF(OR(NOT(AND(ISNUMBER(E33),ISNUMBER(F33))),$J$2=""),"",IF(Reprogramaciones!N$9&lt;E33,0,IF(NETWORKDAYS.INTL(E33,F33,11)=0,IF(Reprogramaciones!N$9&gt;=F33,100,0),ROUND(NETWORKDAYS.INTL(E33,MIN(F33,Reprogramaciones!N$9),11)/NETWORKDAYS.INTL(E33,F33,11)*100,1)))-IF(Reprogramaciones!M$9&lt;E33,0,IF(NETWORKDAYS.INTL(E33,F33,11)=0,IF(Reprogramaciones!M$9&gt;=F33,100,0),ROUND(NETWORKDAYS.INTL(E33,MIN(F33,Reprogramaciones!M$9),11)/NETWORKDAYS.INTL(E33,F33,11)*100,1))))</f>
        <v>80</v>
      </c>
      <c r="K33" s="36" t="n">
        <f aca="false">IF(OR(NOT(AND(ISNUMBER(E33),ISNUMBER(F33))),$J$2=""),"",IF(Reprogramaciones!O$9&lt;E33,0,IF(NETWORKDAYS.INTL(E33,F33,11)=0,IF(Reprogramaciones!O$9&gt;=F33,100,0),ROUND(NETWORKDAYS.INTL(E33,MIN(F33,Reprogramaciones!O$9),11)/NETWORKDAYS.INTL(E33,F33,11)*100,1)))-IF(Reprogramaciones!N$9&lt;E33,0,IF(NETWORKDAYS.INTL(E33,F33,11)=0,IF(Reprogramaciones!N$9&gt;=F33,100,0),ROUND(NETWORKDAYS.INTL(E33,MIN(F33,Reprogramaciones!N$9),11)/NETWORKDAYS.INTL(E33,F33,11)*100,1))))</f>
        <v>20</v>
      </c>
      <c r="L33" s="36" t="n">
        <f aca="false">IF(OR(NOT(AND(ISNUMBER(E33),ISNUMBER(F33))),$J$2=""),"",IF(Reprogramaciones!P$9&lt;E33,0,IF(NETWORKDAYS.INTL(E33,F33,11)=0,IF(Reprogramaciones!P$9&gt;=F33,100,0),ROUND(NETWORKDAYS.INTL(E33,MIN(F33,Reprogramaciones!P$9),11)/NETWORKDAYS.INTL(E33,F33,11)*100,1)))-IF(Reprogramaciones!O$9&lt;E33,0,IF(NETWORKDAYS.INTL(E33,F33,11)=0,IF(Reprogramaciones!O$9&gt;=F33,100,0),ROUND(NETWORKDAYS.INTL(E33,MIN(F33,Reprogramaciones!O$9),11)/NETWORKDAYS.INTL(E33,F33,11)*100,1))))</f>
        <v>0</v>
      </c>
      <c r="M33" s="36" t="n">
        <f aca="false">IF(OR(NOT(AND(ISNUMBER(E33),ISNUMBER(F33))),$J$2=""),"",IF(Reprogramaciones!Q$9&lt;E33,0,IF(NETWORKDAYS.INTL(E33,F33,11)=0,IF(Reprogramaciones!Q$9&gt;=F33,100,0),ROUND(NETWORKDAYS.INTL(E33,MIN(F33,Reprogramaciones!Q$9),11)/NETWORKDAYS.INTL(E33,F33,11)*100,1)))-IF(Reprogramaciones!P$9&lt;E33,0,IF(NETWORKDAYS.INTL(E33,F33,11)=0,IF(Reprogramaciones!P$9&gt;=F33,100,0),ROUND(NETWORKDAYS.INTL(E33,MIN(F33,Reprogramaciones!P$9),11)/NETWORKDAYS.INTL(E33,F33,11)*100,1))))</f>
        <v>0</v>
      </c>
      <c r="N33" s="36" t="n">
        <f aca="false">IF(OR(NOT(AND(ISNUMBER(E33),ISNUMBER(F33))),$J$2=""),"",IF(Reprogramaciones!R$9&lt;E33,0,IF(NETWORKDAYS.INTL(E33,F33,11)=0,IF(Reprogramaciones!R$9&gt;=F33,100,0),ROUND(NETWORKDAYS.INTL(E33,MIN(F33,Reprogramaciones!R$9),11)/NETWORKDAYS.INTL(E33,F33,11)*100,1)))-IF(Reprogramaciones!Q$9&lt;E33,0,IF(NETWORKDAYS.INTL(E33,F33,11)=0,IF(Reprogramaciones!Q$9&gt;=F33,100,0),ROUND(NETWORKDAYS.INTL(E33,MIN(F33,Reprogramaciones!Q$9),11)/NETWORKDAYS.INTL(E33,F33,11)*100,1))))</f>
        <v>0</v>
      </c>
      <c r="O33" s="36" t="n">
        <f aca="false">IF(OR(NOT(AND(ISNUMBER(E33),ISNUMBER(F33))),$J$2=""),"",IF(Reprogramaciones!S$9&lt;E33,0,IF(NETWORKDAYS.INTL(E33,F33,11)=0,IF(Reprogramaciones!S$9&gt;=F33,100,0),ROUND(NETWORKDAYS.INTL(E33,MIN(F33,Reprogramaciones!S$9),11)/NETWORKDAYS.INTL(E33,F33,11)*100,1)))-IF(Reprogramaciones!R$9&lt;E33,0,IF(NETWORKDAYS.INTL(E33,F33,11)=0,IF(Reprogramaciones!R$9&gt;=F33,100,0),ROUND(NETWORKDAYS.INTL(E33,MIN(F33,Reprogramaciones!R$9),11)/NETWORKDAYS.INTL(E33,F33,11)*100,1))))</f>
        <v>0</v>
      </c>
      <c r="P33" s="36" t="n">
        <f aca="false">IF(OR(NOT(AND(ISNUMBER(E33),ISNUMBER(F33))),$J$2=""),"",IF(Reprogramaciones!T$9&lt;E33,0,IF(NETWORKDAYS.INTL(E33,F33,11)=0,IF(Reprogramaciones!T$9&gt;=F33,100,0),ROUND(NETWORKDAYS.INTL(E33,MIN(F33,Reprogramaciones!T$9),11)/NETWORKDAYS.INTL(E33,F33,11)*100,1)))-IF(Reprogramaciones!S$9&lt;E33,0,IF(NETWORKDAYS.INTL(E33,F33,11)=0,IF(Reprogramaciones!S$9&gt;=F33,100,0),ROUND(NETWORKDAYS.INTL(E33,MIN(F33,Reprogramaciones!S$9),11)/NETWORKDAYS.INTL(E33,F33,11)*100,1))))</f>
        <v>0</v>
      </c>
      <c r="Q33" s="37"/>
      <c r="R33" s="37"/>
      <c r="S33" s="37"/>
      <c r="T33" s="37" t="n">
        <v>80</v>
      </c>
      <c r="U33" s="37"/>
      <c r="V33" s="37"/>
      <c r="W33" s="37"/>
      <c r="X33" s="37"/>
      <c r="Y33" s="37"/>
      <c r="Z33" s="37"/>
      <c r="AA33" s="37"/>
      <c r="AB33" s="37"/>
      <c r="AC33" s="37"/>
      <c r="AD33" s="37"/>
      <c r="AE33" s="37"/>
      <c r="AF33" s="37"/>
      <c r="AG33" s="38" t="n">
        <f aca="false">IF(AND(ISNUMBER(E33),ISNUMBER(F33)),NETWORKDAYS.INTL(E33,F33,11),"")</f>
        <v>5</v>
      </c>
      <c r="AH33" s="38" t="n">
        <f aca="false">IF(OR(NOT(AND(ISNUMBER(E33),ISNUMBER(F33))),$J$2=""),"",IF(Reprogramaciones!$P$15&lt;Reprogramaciones!$T$15,0,IF(Reprogramaciones!$R$15&gt;10,MIN(100,SUM($G33:$P33)),MIN(100,SUMPRODUCT((COLUMN($G33:$P33)-COLUMN($G33)+1&lt;Reprogramaciones!$R$15)*$G33:$P33)+N(INDEX($G33:$P33,1,Reprogramaciones!$R$15))*IF(Reprogramaciones!$P$15&gt;=(Reprogramaciones!$T$15+7*(Reprogramaciones!$R$15-1))+6,1,IF(MAX(0,NETWORKDAYS.INTL(MAX(E33,(Reprogramaciones!$T$15+7*(Reprogramaciones!$R$15-1))),MIN(F33,(Reprogramaciones!$T$15+7*(Reprogramaciones!$R$15-1))+6),11))=0,0,MAX(0,NETWORKDAYS.INTL(MAX(E33,(Reprogramaciones!$T$15+7*(Reprogramaciones!$R$15-1))),MIN(F33,Reprogramaciones!$P$15),11))/MAX(0,NETWORKDAYS.INTL(MAX(E33,(Reprogramaciones!$T$15+7*(Reprogramaciones!$R$15-1))),MIN(F33,(Reprogramaciones!$T$15+7*(Reprogramaciones!$R$15-1))+6),11))))))))</f>
        <v>80</v>
      </c>
      <c r="AI33" s="38" t="n">
        <f aca="false">IF(COUNT($Q33:$AF33)=0,"",IF(ROUND(SUM($Q33:$AF33),1)&gt;=99.5,100,MIN(100,ROUND(SUM($Q33:$AF33),1))))</f>
        <v>80</v>
      </c>
      <c r="AJ33" s="38" t="n">
        <f aca="false">IF(OR(AH33="",AI33=""),"",AI33-AH33)</f>
        <v>0</v>
      </c>
      <c r="AK33" s="39" t="str">
        <f aca="true">IF(AH33="","",IF(OR(Ficha!$C$10="Suspendida",Ficha!$C$10="Cancelada"),Ficha!$C$10,IF(AND(AI33&lt;&gt;"",N(AI33)&gt;=100),"Completada",IF(AND(E33&gt;TODAY(),N(AI33)=0),"Por iniciar",IF(N(AI33)+0.5&lt;AH33,"Retrasada",IF(N(AI33)+0.5&lt;DA33,IF(Reprogramaciones!$K$15&gt;0,"Al día · Sem "&amp;Reprogramaciones!$K$15&amp;" en curso","Al día · en curso"),"A tiempo"))))))</f>
        <v>Al día · Sem 5 en curso</v>
      </c>
      <c r="AL33" s="39" t="str">
        <f aca="true">IF(AND(A33="",AND(B33="",C33="",E33="",F33="",COUNT(Q33:AF33)=0)),"",IF(AND(B33="",C33="",E33="",F33="",COUNT(Q33:AF33)=0),"Falta la partida o subpartida",IF(AND(A33&lt;&gt;"",COUNTIF($A$6:$A$305,A33)&gt;1),"Ítem repetido",IF(AND(C33="",E33="",F33="",COUNT(Q33:AF33)=0),"Título de partida",IF(OR(E33="",F33=""),"Faltan fechas",IF(OR(ISTEXT(E33),ISTEXT(F33)),"Fecha escrita como texto: usa dd/mm/aaaa",IF(F33&lt;E33,"Fin antes del inicio",IF(IF($J$2="",FALSE(),OR(E33&lt;$J$2,F33&gt;Reprogramaciones!$T$15+69)),"Fuera de las 10 semanas",IF(ABS(SUM(G33:P33)-100)&gt;0.5,"La meta no suma 100%",IF(ROUND(SUM(Q33:AF33),1)&gt;100.5,"El avance pasa de 100%",IF(MIN(Q33:AF33)&lt;0,"Avance negativo",IF(COUNTA(Q33:AF33)&gt;COUNT(Q33:AF33),"Avance escrito como texto",IF(SUMPRODUCT((Q33:AF33&gt;0)*(Q33:AF33&lt;1))&gt;0,"Avance menor a 1: escribe 50, no 50%",IF(SUMPRODUCT(ISNUMBER(Q33:AF33)*(Reprogramaciones!$K$8:$Z$8&gt;TODAY()))&gt;0,"Avance en semana que aún no llega",IF(AND(N(Reprogramaciones!$E$21)&gt;0,F33&gt;Reprogramaciones!$E$21),"Pasa el fin de la obra: registra una reprogramación",IF(AND(N(Reprogramaciones!$E$21)&gt;0,SUMPRODUCT(ISNUMBER(Q33:AF33)*(Reprogramaciones!$K$8:$Z$8&gt;Reprogramaciones!$E$21))&gt;0),"Avance después del fin de la obra: registra una reprogramación por atraso","OK"))))))))))))))))</f>
        <v>OK</v>
      </c>
      <c r="AM33" s="40" t="str">
        <f aca="false">IF(OR(OR(NOT(AND(ISNUMBER(E33),ISNUMBER(F33))),$J$2=""),1&gt;MAX(1,Reprogramaciones!$U$15)),"",IF(Reprogramaciones!K$12&gt;=7,"",IF(OR(BT33-N(0)&gt;0.05,N(Q33)&gt;0),ROUNDDOWN(ROUND(BT33,6),0)&amp;"%"&amp;IF(CJ33="",""," / "&amp;CJ33&amp;"%"),IF(AND(N(0)&gt;=99.95,CJ33&lt;&gt;"",N(CJ33)&lt;100),"Pend. "&amp;CJ33&amp;"%",""))))</f>
        <v/>
      </c>
      <c r="AN33" s="40" t="str">
        <f aca="false">IF(OR(OR(NOT(AND(ISNUMBER(E33),ISNUMBER(F33))),$J$2=""),2&gt;MAX(1,Reprogramaciones!$U$15)),"",IF(Reprogramaciones!L$12&gt;=7,"",IF(OR(BU33-N(BT33)&gt;0.05,N(R33)&gt;0),ROUNDDOWN(ROUND(BU33,6),0)&amp;"%"&amp;IF(CK33="",""," / "&amp;CK33&amp;"%"),IF(AND(N(BT33)&gt;=99.95,CK33&lt;&gt;"",N(CK33)&lt;100),"Pend. "&amp;CK33&amp;"%",""))))</f>
        <v/>
      </c>
      <c r="AO33" s="40" t="str">
        <f aca="false">IF(OR(OR(NOT(AND(ISNUMBER(E33),ISNUMBER(F33))),$J$2=""),3&gt;MAX(1,Reprogramaciones!$U$15)),"",IF(Reprogramaciones!M$12&gt;=7,"",IF(OR(BV33-N(BU33)&gt;0.05,N(S33)&gt;0),ROUNDDOWN(ROUND(BV33,6),0)&amp;"%"&amp;IF(CL33="",""," / "&amp;CL33&amp;"%"),IF(AND(N(BU33)&gt;=99.95,CL33&lt;&gt;"",N(CL33)&lt;100),"Pend. "&amp;CL33&amp;"%",""))))</f>
        <v/>
      </c>
      <c r="AP33" s="40" t="str">
        <f aca="false">IF(OR(OR(NOT(AND(ISNUMBER(E33),ISNUMBER(F33))),$J$2=""),4&gt;MAX(1,Reprogramaciones!$U$15)),"",IF(Reprogramaciones!N$12&gt;=7,"",IF(OR(BW33-N(BV33)&gt;0.05,N(T33)&gt;0),ROUNDDOWN(ROUND(BW33,6),0)&amp;"%"&amp;IF(CM33="",""," / "&amp;CM33&amp;"%"),IF(AND(N(BV33)&gt;=99.95,CM33&lt;&gt;"",N(CM33)&lt;100),"Pend. "&amp;CM33&amp;"%",""))))</f>
        <v>80% / 80%</v>
      </c>
      <c r="AQ33" s="40" t="str">
        <f aca="false">IF(OR(OR(NOT(AND(ISNUMBER(E33),ISNUMBER(F33))),$J$2=""),5&gt;MAX(1,Reprogramaciones!$U$15)),"",IF(Reprogramaciones!O$12&gt;=7,"",IF(OR(BX33-N(BW33)&gt;0.05,N(U33)&gt;0),ROUNDDOWN(ROUND(BX33,6),0)&amp;"%"&amp;IF(CN33="",""," / "&amp;CN33&amp;"%"),IF(AND(N(BW33)&gt;=99.95,CN33&lt;&gt;"",N(CN33)&lt;100),"Pend. "&amp;CN33&amp;"%",""))))</f>
        <v>100% / 80%</v>
      </c>
      <c r="AR33" s="40" t="str">
        <f aca="false">IF(OR(OR(NOT(AND(ISNUMBER(E33),ISNUMBER(F33))),$J$2=""),6&gt;MAX(1,Reprogramaciones!$U$15)),"",IF(Reprogramaciones!P$12&gt;=7,"",IF(OR(BY33-N(BX33)&gt;0.05,N(V33)&gt;0),ROUNDDOWN(ROUND(BY33,6),0)&amp;"%"&amp;IF(CO33="",""," / "&amp;CO33&amp;"%"),IF(AND(N(BX33)&gt;=99.95,CO33&lt;&gt;"",N(CO33)&lt;100),"Pend. "&amp;CO33&amp;"%",""))))</f>
        <v/>
      </c>
      <c r="AS33" s="40" t="str">
        <f aca="false">IF(OR(OR(NOT(AND(ISNUMBER(E33),ISNUMBER(F33))),$J$2=""),7&gt;MAX(1,Reprogramaciones!$U$15)),"",IF(Reprogramaciones!Q$12&gt;=7,"",IF(OR(BZ33-N(BY33)&gt;0.05,N(W33)&gt;0),ROUNDDOWN(ROUND(BZ33,6),0)&amp;"%"&amp;IF(CP33="",""," / "&amp;CP33&amp;"%"),IF(AND(N(BY33)&gt;=99.95,CP33&lt;&gt;"",N(CP33)&lt;100),"Pend. "&amp;CP33&amp;"%",""))))</f>
        <v/>
      </c>
      <c r="AT33" s="40" t="str">
        <f aca="false">IF(OR(OR(NOT(AND(ISNUMBER(E33),ISNUMBER(F33))),$J$2=""),8&gt;MAX(1,Reprogramaciones!$U$15)),"",IF(Reprogramaciones!R$12&gt;=7,"",IF(OR(CA33-N(BZ33)&gt;0.05,N(X33)&gt;0),ROUNDDOWN(ROUND(CA33,6),0)&amp;"%"&amp;IF(CQ33="",""," / "&amp;CQ33&amp;"%"),IF(AND(N(BZ33)&gt;=99.95,CQ33&lt;&gt;"",N(CQ33)&lt;100),"Pend. "&amp;CQ33&amp;"%",""))))</f>
        <v/>
      </c>
      <c r="AU33" s="40" t="str">
        <f aca="false">IF(OR(OR(NOT(AND(ISNUMBER(E33),ISNUMBER(F33))),$J$2=""),9&gt;MAX(1,Reprogramaciones!$U$15)),"",IF(Reprogramaciones!S$12&gt;=7,"",IF(OR(CB33-N(CA33)&gt;0.05,N(Y33)&gt;0),ROUNDDOWN(ROUND(CB33,6),0)&amp;"%"&amp;IF(CR33="",""," / "&amp;CR33&amp;"%"),IF(AND(N(CA33)&gt;=99.95,CR33&lt;&gt;"",N(CR33)&lt;100),"Pend. "&amp;CR33&amp;"%",""))))</f>
        <v/>
      </c>
      <c r="AV33" s="40" t="str">
        <f aca="false">IF(OR(OR(NOT(AND(ISNUMBER(E33),ISNUMBER(F33))),$J$2=""),10&gt;MAX(1,Reprogramaciones!$U$15)),"",IF(Reprogramaciones!T$12&gt;=7,"",IF(OR(CC33-N(CB33)&gt;0.05,N(Z33)&gt;0),ROUNDDOWN(ROUND(CC33,6),0)&amp;"%"&amp;IF(CS33="",""," / "&amp;CS33&amp;"%"),IF(AND(N(CB33)&gt;=99.95,CS33&lt;&gt;"",N(CS33)&lt;100),"Pend. "&amp;CS33&amp;"%",""))))</f>
        <v/>
      </c>
      <c r="AW33" s="40" t="str">
        <f aca="false">IF(OR(OR(NOT(AND(ISNUMBER(E33),ISNUMBER(F33))),$J$2=""),11&gt;MAX(1,Reprogramaciones!$U$15)),"",IF(Reprogramaciones!U$12&gt;=7,"",IF(OR(CD33-N(CC33)&gt;0.05,N(AA33)&gt;0),ROUNDDOWN(ROUND(CD33,6),0)&amp;"%"&amp;IF(CT33="",""," / "&amp;CT33&amp;"%"),IF(AND(N(CC33)&gt;=99.95,CT33&lt;&gt;"",N(CT33)&lt;100),"Pend. "&amp;CT33&amp;"%",""))))</f>
        <v/>
      </c>
      <c r="AX33" s="40" t="str">
        <f aca="false">IF(OR(OR(NOT(AND(ISNUMBER(E33),ISNUMBER(F33))),$J$2=""),12&gt;MAX(1,Reprogramaciones!$U$15)),"",IF(Reprogramaciones!V$12&gt;=7,"",IF(OR(CE33-N(CD33)&gt;0.05,N(AB33)&gt;0),ROUNDDOWN(ROUND(CE33,6),0)&amp;"%"&amp;IF(CU33="",""," / "&amp;CU33&amp;"%"),IF(AND(N(CD33)&gt;=99.95,CU33&lt;&gt;"",N(CU33)&lt;100),"Pend. "&amp;CU33&amp;"%",""))))</f>
        <v/>
      </c>
      <c r="AY33" s="40" t="str">
        <f aca="false">IF(OR(OR(NOT(AND(ISNUMBER(E33),ISNUMBER(F33))),$J$2=""),13&gt;MAX(1,Reprogramaciones!$U$15)),"",IF(Reprogramaciones!W$12&gt;=7,"",IF(OR(CF33-N(CE33)&gt;0.05,N(AC33)&gt;0),ROUNDDOWN(ROUND(CF33,6),0)&amp;"%"&amp;IF(CV33="",""," / "&amp;CV33&amp;"%"),IF(AND(N(CE33)&gt;=99.95,CV33&lt;&gt;"",N(CV33)&lt;100),"Pend. "&amp;CV33&amp;"%",""))))</f>
        <v/>
      </c>
      <c r="AZ33" s="40" t="str">
        <f aca="false">IF(OR(OR(NOT(AND(ISNUMBER(E33),ISNUMBER(F33))),$J$2=""),14&gt;MAX(1,Reprogramaciones!$U$15)),"",IF(Reprogramaciones!X$12&gt;=7,"",IF(OR(CG33-N(CF33)&gt;0.05,N(AD33)&gt;0),ROUNDDOWN(ROUND(CG33,6),0)&amp;"%"&amp;IF(CW33="",""," / "&amp;CW33&amp;"%"),IF(AND(N(CF33)&gt;=99.95,CW33&lt;&gt;"",N(CW33)&lt;100),"Pend. "&amp;CW33&amp;"%",""))))</f>
        <v/>
      </c>
      <c r="BA33" s="40" t="str">
        <f aca="false">IF(OR(OR(NOT(AND(ISNUMBER(E33),ISNUMBER(F33))),$J$2=""),15&gt;MAX(1,Reprogramaciones!$U$15)),"",IF(Reprogramaciones!Y$12&gt;=7,"",IF(OR(CH33-N(CG33)&gt;0.05,N(AE33)&gt;0),ROUNDDOWN(ROUND(CH33,6),0)&amp;"%"&amp;IF(CX33="",""," / "&amp;CX33&amp;"%"),IF(AND(N(CG33)&gt;=99.95,CX33&lt;&gt;"",N(CX33)&lt;100),"Pend. "&amp;CX33&amp;"%",""))))</f>
        <v/>
      </c>
      <c r="BB33" s="40" t="str">
        <f aca="false">IF(OR(OR(NOT(AND(ISNUMBER(E33),ISNUMBER(F33))),$J$2=""),16&gt;MAX(1,Reprogramaciones!$U$15)),"",IF(Reprogramaciones!Z$12&gt;=7,"",IF(OR(CI33-N(CH33)&gt;0.05,N(AF33)&gt;0),ROUNDDOWN(ROUND(CI33,6),0)&amp;"%"&amp;IF(CY33="",""," / "&amp;CY33&amp;"%"),IF(AND(N(CH33)&gt;=99.95,CY33&lt;&gt;"",N(CY33)&lt;100),"Pend. "&amp;CY33&amp;"%",""))))</f>
        <v/>
      </c>
      <c r="BC33" s="31" t="n">
        <f aca="false">IF(AND(ISNUMBER(E33),ISNUMBER(F33)),MAX(1,NETWORKDAYS.INTL(E33,F33,11)),0)</f>
        <v>5</v>
      </c>
      <c r="BD33" s="1" t="n">
        <f aca="false">IF(OR(NOT(AND(ISNUMBER(E33),ISNUMBER(F33))),$J$2=""),"",MIN(100,ROUND(SUM($G33:G33),1)))</f>
        <v>0</v>
      </c>
      <c r="BE33" s="1" t="n">
        <f aca="false">IF(OR(NOT(AND(ISNUMBER(E33),ISNUMBER(F33))),$J$2=""),"",MIN(100,ROUND(SUM($G33:H33),1)))</f>
        <v>0</v>
      </c>
      <c r="BF33" s="1" t="n">
        <f aca="false">IF(OR(NOT(AND(ISNUMBER(E33),ISNUMBER(F33))),$J$2=""),"",MIN(100,ROUND(SUM($G33:I33),1)))</f>
        <v>0</v>
      </c>
      <c r="BG33" s="1" t="n">
        <f aca="false">IF(OR(NOT(AND(ISNUMBER(E33),ISNUMBER(F33))),$J$2=""),"",MIN(100,ROUND(SUM($G33:J33),1)))</f>
        <v>80</v>
      </c>
      <c r="BH33" s="1" t="n">
        <f aca="false">IF(OR(NOT(AND(ISNUMBER(E33),ISNUMBER(F33))),$J$2=""),"",MIN(100,ROUND(SUM($G33:K33),1)))</f>
        <v>100</v>
      </c>
      <c r="BI33" s="1" t="n">
        <f aca="false">IF(OR(NOT(AND(ISNUMBER(E33),ISNUMBER(F33))),$J$2=""),"",MIN(100,ROUND(SUM($G33:L33),1)))</f>
        <v>100</v>
      </c>
      <c r="BJ33" s="1" t="n">
        <f aca="false">IF(OR(NOT(AND(ISNUMBER(E33),ISNUMBER(F33))),$J$2=""),"",MIN(100,ROUND(SUM($G33:M33),1)))</f>
        <v>100</v>
      </c>
      <c r="BK33" s="1" t="n">
        <f aca="false">IF(OR(NOT(AND(ISNUMBER(E33),ISNUMBER(F33))),$J$2=""),"",MIN(100,ROUND(SUM($G33:N33),1)))</f>
        <v>100</v>
      </c>
      <c r="BL33" s="1" t="n">
        <f aca="false">IF(OR(NOT(AND(ISNUMBER(E33),ISNUMBER(F33))),$J$2=""),"",MIN(100,ROUND(SUM($G33:O33),1)))</f>
        <v>100</v>
      </c>
      <c r="BM33" s="1" t="n">
        <f aca="false">IF(OR(NOT(AND(ISNUMBER(E33),ISNUMBER(F33))),$J$2=""),"",MIN(100,ROUND(SUM($G33:P33),1)))</f>
        <v>100</v>
      </c>
      <c r="BN33" s="1" t="n">
        <f aca="false">IF(OR(NOT(AND(ISNUMBER(E33),ISNUMBER(F33))),$J$2=""),"",MIN(100,ROUND(SUM($G33:P33),1)))</f>
        <v>100</v>
      </c>
      <c r="BO33" s="1" t="n">
        <f aca="false">IF(OR(NOT(AND(ISNUMBER(E33),ISNUMBER(F33))),$J$2=""),"",MIN(100,ROUND(SUM($G33:P33),1)))</f>
        <v>100</v>
      </c>
      <c r="BP33" s="1" t="n">
        <f aca="false">IF(OR(NOT(AND(ISNUMBER(E33),ISNUMBER(F33))),$J$2=""),"",MIN(100,ROUND(SUM($G33:P33),1)))</f>
        <v>100</v>
      </c>
      <c r="BQ33" s="1" t="n">
        <f aca="false">IF(OR(NOT(AND(ISNUMBER(E33),ISNUMBER(F33))),$J$2=""),"",MIN(100,ROUND(SUM($G33:P33),1)))</f>
        <v>100</v>
      </c>
      <c r="BR33" s="1" t="n">
        <f aca="false">IF(OR(NOT(AND(ISNUMBER(E33),ISNUMBER(F33))),$J$2=""),"",MIN(100,ROUND(SUM($G33:P33),1)))</f>
        <v>100</v>
      </c>
      <c r="BS33" s="1" t="n">
        <f aca="false">IF(OR(NOT(AND(ISNUMBER(E33),ISNUMBER(F33))),$J$2=""),"",MIN(100,ROUND(SUM($G33:P33),1)))</f>
        <v>100</v>
      </c>
      <c r="BT33" s="1" t="n">
        <f aca="false">IF(OR(NOT(AND(ISNUMBER(E33),ISNUMBER(F33))),$J$2=""),"",IF(Reprogramaciones!K$13&lt;Reprogramaciones!$T$15,0,IF(Reprogramaciones!K$14&gt;10,MIN(100,SUM($G33:$P33)),MIN(100,SUMPRODUCT((COLUMN($G33:$P33)-COLUMN($G33)+1&lt;Reprogramaciones!K$14)*$G33:$P33)+N(INDEX($G33:$P33,1,Reprogramaciones!K$14))*IF(Reprogramaciones!K$13&gt;=(Reprogramaciones!$T$15+7*(Reprogramaciones!K$14-1))+6,1,IF(MAX(0,NETWORKDAYS.INTL(MAX(E33,(Reprogramaciones!$T$15+7*(Reprogramaciones!K$14-1))),MIN(F33,(Reprogramaciones!$T$15+7*(Reprogramaciones!K$14-1))+6),11))=0,0,MAX(0,NETWORKDAYS.INTL(MAX(E33,(Reprogramaciones!$T$15+7*(Reprogramaciones!K$14-1))),MIN(F33,Reprogramaciones!K$13),11))/MAX(0,NETWORKDAYS.INTL(MAX(E33,(Reprogramaciones!$T$15+7*(Reprogramaciones!K$14-1))),MIN(F33,(Reprogramaciones!$T$15+7*(Reprogramaciones!K$14-1))+6),11))))))))</f>
        <v>0</v>
      </c>
      <c r="BU33" s="1" t="n">
        <f aca="false">IF(OR(NOT(AND(ISNUMBER(E33),ISNUMBER(F33))),$J$2=""),"",IF(Reprogramaciones!L$13&lt;Reprogramaciones!$T$15,0,IF(Reprogramaciones!L$14&gt;10,MIN(100,SUM($G33:$P33)),MIN(100,SUMPRODUCT((COLUMN($G33:$P33)-COLUMN($G33)+1&lt;Reprogramaciones!L$14)*$G33:$P33)+N(INDEX($G33:$P33,1,Reprogramaciones!L$14))*IF(Reprogramaciones!L$13&gt;=(Reprogramaciones!$T$15+7*(Reprogramaciones!L$14-1))+6,1,IF(MAX(0,NETWORKDAYS.INTL(MAX(E33,(Reprogramaciones!$T$15+7*(Reprogramaciones!L$14-1))),MIN(F33,(Reprogramaciones!$T$15+7*(Reprogramaciones!L$14-1))+6),11))=0,0,MAX(0,NETWORKDAYS.INTL(MAX(E33,(Reprogramaciones!$T$15+7*(Reprogramaciones!L$14-1))),MIN(F33,Reprogramaciones!L$13),11))/MAX(0,NETWORKDAYS.INTL(MAX(E33,(Reprogramaciones!$T$15+7*(Reprogramaciones!L$14-1))),MIN(F33,(Reprogramaciones!$T$15+7*(Reprogramaciones!L$14-1))+6),11))))))))</f>
        <v>0</v>
      </c>
      <c r="BV33" s="1" t="n">
        <f aca="false">IF(OR(NOT(AND(ISNUMBER(E33),ISNUMBER(F33))),$J$2=""),"",IF(Reprogramaciones!M$13&lt;Reprogramaciones!$T$15,0,IF(Reprogramaciones!M$14&gt;10,MIN(100,SUM($G33:$P33)),MIN(100,SUMPRODUCT((COLUMN($G33:$P33)-COLUMN($G33)+1&lt;Reprogramaciones!M$14)*$G33:$P33)+N(INDEX($G33:$P33,1,Reprogramaciones!M$14))*IF(Reprogramaciones!M$13&gt;=(Reprogramaciones!$T$15+7*(Reprogramaciones!M$14-1))+6,1,IF(MAX(0,NETWORKDAYS.INTL(MAX(E33,(Reprogramaciones!$T$15+7*(Reprogramaciones!M$14-1))),MIN(F33,(Reprogramaciones!$T$15+7*(Reprogramaciones!M$14-1))+6),11))=0,0,MAX(0,NETWORKDAYS.INTL(MAX(E33,(Reprogramaciones!$T$15+7*(Reprogramaciones!M$14-1))),MIN(F33,Reprogramaciones!M$13),11))/MAX(0,NETWORKDAYS.INTL(MAX(E33,(Reprogramaciones!$T$15+7*(Reprogramaciones!M$14-1))),MIN(F33,(Reprogramaciones!$T$15+7*(Reprogramaciones!M$14-1))+6),11))))))))</f>
        <v>0</v>
      </c>
      <c r="BW33" s="1" t="n">
        <f aca="false">IF(OR(NOT(AND(ISNUMBER(E33),ISNUMBER(F33))),$J$2=""),"",IF(Reprogramaciones!N$13&lt;Reprogramaciones!$T$15,0,IF(Reprogramaciones!N$14&gt;10,MIN(100,SUM($G33:$P33)),MIN(100,SUMPRODUCT((COLUMN($G33:$P33)-COLUMN($G33)+1&lt;Reprogramaciones!N$14)*$G33:$P33)+N(INDEX($G33:$P33,1,Reprogramaciones!N$14))*IF(Reprogramaciones!N$13&gt;=(Reprogramaciones!$T$15+7*(Reprogramaciones!N$14-1))+6,1,IF(MAX(0,NETWORKDAYS.INTL(MAX(E33,(Reprogramaciones!$T$15+7*(Reprogramaciones!N$14-1))),MIN(F33,(Reprogramaciones!$T$15+7*(Reprogramaciones!N$14-1))+6),11))=0,0,MAX(0,NETWORKDAYS.INTL(MAX(E33,(Reprogramaciones!$T$15+7*(Reprogramaciones!N$14-1))),MIN(F33,Reprogramaciones!N$13),11))/MAX(0,NETWORKDAYS.INTL(MAX(E33,(Reprogramaciones!$T$15+7*(Reprogramaciones!N$14-1))),MIN(F33,(Reprogramaciones!$T$15+7*(Reprogramaciones!N$14-1))+6),11))))))))</f>
        <v>80</v>
      </c>
      <c r="BX33" s="1" t="n">
        <f aca="false">IF(OR(NOT(AND(ISNUMBER(E33),ISNUMBER(F33))),$J$2=""),"",IF(Reprogramaciones!O$13&lt;Reprogramaciones!$T$15,0,IF(Reprogramaciones!O$14&gt;10,MIN(100,SUM($G33:$P33)),MIN(100,SUMPRODUCT((COLUMN($G33:$P33)-COLUMN($G33)+1&lt;Reprogramaciones!O$14)*$G33:$P33)+N(INDEX($G33:$P33,1,Reprogramaciones!O$14))*IF(Reprogramaciones!O$13&gt;=(Reprogramaciones!$T$15+7*(Reprogramaciones!O$14-1))+6,1,IF(MAX(0,NETWORKDAYS.INTL(MAX(E33,(Reprogramaciones!$T$15+7*(Reprogramaciones!O$14-1))),MIN(F33,(Reprogramaciones!$T$15+7*(Reprogramaciones!O$14-1))+6),11))=0,0,MAX(0,NETWORKDAYS.INTL(MAX(E33,(Reprogramaciones!$T$15+7*(Reprogramaciones!O$14-1))),MIN(F33,Reprogramaciones!O$13),11))/MAX(0,NETWORKDAYS.INTL(MAX(E33,(Reprogramaciones!$T$15+7*(Reprogramaciones!O$14-1))),MIN(F33,(Reprogramaciones!$T$15+7*(Reprogramaciones!O$14-1))+6),11))))))))</f>
        <v>100</v>
      </c>
      <c r="BY33" s="1" t="n">
        <f aca="false">IF(OR(NOT(AND(ISNUMBER(E33),ISNUMBER(F33))),$J$2=""),"",IF(Reprogramaciones!P$13&lt;Reprogramaciones!$T$15,0,IF(Reprogramaciones!P$14&gt;10,MIN(100,SUM($G33:$P33)),MIN(100,SUMPRODUCT((COLUMN($G33:$P33)-COLUMN($G33)+1&lt;Reprogramaciones!P$14)*$G33:$P33)+N(INDEX($G33:$P33,1,Reprogramaciones!P$14))*IF(Reprogramaciones!P$13&gt;=(Reprogramaciones!$T$15+7*(Reprogramaciones!P$14-1))+6,1,IF(MAX(0,NETWORKDAYS.INTL(MAX(E33,(Reprogramaciones!$T$15+7*(Reprogramaciones!P$14-1))),MIN(F33,(Reprogramaciones!$T$15+7*(Reprogramaciones!P$14-1))+6),11))=0,0,MAX(0,NETWORKDAYS.INTL(MAX(E33,(Reprogramaciones!$T$15+7*(Reprogramaciones!P$14-1))),MIN(F33,Reprogramaciones!P$13),11))/MAX(0,NETWORKDAYS.INTL(MAX(E33,(Reprogramaciones!$T$15+7*(Reprogramaciones!P$14-1))),MIN(F33,(Reprogramaciones!$T$15+7*(Reprogramaciones!P$14-1))+6),11))))))))</f>
        <v>100</v>
      </c>
      <c r="BZ33" s="1" t="n">
        <f aca="false">IF(OR(NOT(AND(ISNUMBER(E33),ISNUMBER(F33))),$J$2=""),"",IF(Reprogramaciones!Q$13&lt;Reprogramaciones!$T$15,0,IF(Reprogramaciones!Q$14&gt;10,MIN(100,SUM($G33:$P33)),MIN(100,SUMPRODUCT((COLUMN($G33:$P33)-COLUMN($G33)+1&lt;Reprogramaciones!Q$14)*$G33:$P33)+N(INDEX($G33:$P33,1,Reprogramaciones!Q$14))*IF(Reprogramaciones!Q$13&gt;=(Reprogramaciones!$T$15+7*(Reprogramaciones!Q$14-1))+6,1,IF(MAX(0,NETWORKDAYS.INTL(MAX(E33,(Reprogramaciones!$T$15+7*(Reprogramaciones!Q$14-1))),MIN(F33,(Reprogramaciones!$T$15+7*(Reprogramaciones!Q$14-1))+6),11))=0,0,MAX(0,NETWORKDAYS.INTL(MAX(E33,(Reprogramaciones!$T$15+7*(Reprogramaciones!Q$14-1))),MIN(F33,Reprogramaciones!Q$13),11))/MAX(0,NETWORKDAYS.INTL(MAX(E33,(Reprogramaciones!$T$15+7*(Reprogramaciones!Q$14-1))),MIN(F33,(Reprogramaciones!$T$15+7*(Reprogramaciones!Q$14-1))+6),11))))))))</f>
        <v>100</v>
      </c>
      <c r="CA33" s="1" t="n">
        <f aca="false">IF(OR(NOT(AND(ISNUMBER(E33),ISNUMBER(F33))),$J$2=""),"",IF(Reprogramaciones!R$13&lt;Reprogramaciones!$T$15,0,IF(Reprogramaciones!R$14&gt;10,MIN(100,SUM($G33:$P33)),MIN(100,SUMPRODUCT((COLUMN($G33:$P33)-COLUMN($G33)+1&lt;Reprogramaciones!R$14)*$G33:$P33)+N(INDEX($G33:$P33,1,Reprogramaciones!R$14))*IF(Reprogramaciones!R$13&gt;=(Reprogramaciones!$T$15+7*(Reprogramaciones!R$14-1))+6,1,IF(MAX(0,NETWORKDAYS.INTL(MAX(E33,(Reprogramaciones!$T$15+7*(Reprogramaciones!R$14-1))),MIN(F33,(Reprogramaciones!$T$15+7*(Reprogramaciones!R$14-1))+6),11))=0,0,MAX(0,NETWORKDAYS.INTL(MAX(E33,(Reprogramaciones!$T$15+7*(Reprogramaciones!R$14-1))),MIN(F33,Reprogramaciones!R$13),11))/MAX(0,NETWORKDAYS.INTL(MAX(E33,(Reprogramaciones!$T$15+7*(Reprogramaciones!R$14-1))),MIN(F33,(Reprogramaciones!$T$15+7*(Reprogramaciones!R$14-1))+6),11))))))))</f>
        <v>100</v>
      </c>
      <c r="CB33" s="1" t="n">
        <f aca="false">IF(OR(NOT(AND(ISNUMBER(E33),ISNUMBER(F33))),$J$2=""),"",IF(Reprogramaciones!S$13&lt;Reprogramaciones!$T$15,0,IF(Reprogramaciones!S$14&gt;10,MIN(100,SUM($G33:$P33)),MIN(100,SUMPRODUCT((COLUMN($G33:$P33)-COLUMN($G33)+1&lt;Reprogramaciones!S$14)*$G33:$P33)+N(INDEX($G33:$P33,1,Reprogramaciones!S$14))*IF(Reprogramaciones!S$13&gt;=(Reprogramaciones!$T$15+7*(Reprogramaciones!S$14-1))+6,1,IF(MAX(0,NETWORKDAYS.INTL(MAX(E33,(Reprogramaciones!$T$15+7*(Reprogramaciones!S$14-1))),MIN(F33,(Reprogramaciones!$T$15+7*(Reprogramaciones!S$14-1))+6),11))=0,0,MAX(0,NETWORKDAYS.INTL(MAX(E33,(Reprogramaciones!$T$15+7*(Reprogramaciones!S$14-1))),MIN(F33,Reprogramaciones!S$13),11))/MAX(0,NETWORKDAYS.INTL(MAX(E33,(Reprogramaciones!$T$15+7*(Reprogramaciones!S$14-1))),MIN(F33,(Reprogramaciones!$T$15+7*(Reprogramaciones!S$14-1))+6),11))))))))</f>
        <v>100</v>
      </c>
      <c r="CC33" s="1" t="n">
        <f aca="false">IF(OR(NOT(AND(ISNUMBER(E33),ISNUMBER(F33))),$J$2=""),"",IF(Reprogramaciones!T$13&lt;Reprogramaciones!$T$15,0,IF(Reprogramaciones!T$14&gt;10,MIN(100,SUM($G33:$P33)),MIN(100,SUMPRODUCT((COLUMN($G33:$P33)-COLUMN($G33)+1&lt;Reprogramaciones!T$14)*$G33:$P33)+N(INDEX($G33:$P33,1,Reprogramaciones!T$14))*IF(Reprogramaciones!T$13&gt;=(Reprogramaciones!$T$15+7*(Reprogramaciones!T$14-1))+6,1,IF(MAX(0,NETWORKDAYS.INTL(MAX(E33,(Reprogramaciones!$T$15+7*(Reprogramaciones!T$14-1))),MIN(F33,(Reprogramaciones!$T$15+7*(Reprogramaciones!T$14-1))+6),11))=0,0,MAX(0,NETWORKDAYS.INTL(MAX(E33,(Reprogramaciones!$T$15+7*(Reprogramaciones!T$14-1))),MIN(F33,Reprogramaciones!T$13),11))/MAX(0,NETWORKDAYS.INTL(MAX(E33,(Reprogramaciones!$T$15+7*(Reprogramaciones!T$14-1))),MIN(F33,(Reprogramaciones!$T$15+7*(Reprogramaciones!T$14-1))+6),11))))))))</f>
        <v>100</v>
      </c>
      <c r="CD33" s="1" t="n">
        <f aca="false">IF(OR(NOT(AND(ISNUMBER(E33),ISNUMBER(F33))),$J$2=""),"",IF(Reprogramaciones!U$13&lt;Reprogramaciones!$T$15,0,IF(Reprogramaciones!U$14&gt;10,MIN(100,SUM($G33:$P33)),MIN(100,SUMPRODUCT((COLUMN($G33:$P33)-COLUMN($G33)+1&lt;Reprogramaciones!U$14)*$G33:$P33)+N(INDEX($G33:$P33,1,Reprogramaciones!U$14))*IF(Reprogramaciones!U$13&gt;=(Reprogramaciones!$T$15+7*(Reprogramaciones!U$14-1))+6,1,IF(MAX(0,NETWORKDAYS.INTL(MAX(E33,(Reprogramaciones!$T$15+7*(Reprogramaciones!U$14-1))),MIN(F33,(Reprogramaciones!$T$15+7*(Reprogramaciones!U$14-1))+6),11))=0,0,MAX(0,NETWORKDAYS.INTL(MAX(E33,(Reprogramaciones!$T$15+7*(Reprogramaciones!U$14-1))),MIN(F33,Reprogramaciones!U$13),11))/MAX(0,NETWORKDAYS.INTL(MAX(E33,(Reprogramaciones!$T$15+7*(Reprogramaciones!U$14-1))),MIN(F33,(Reprogramaciones!$T$15+7*(Reprogramaciones!U$14-1))+6),11))))))))</f>
        <v>100</v>
      </c>
      <c r="CE33" s="1" t="n">
        <f aca="false">IF(OR(NOT(AND(ISNUMBER(E33),ISNUMBER(F33))),$J$2=""),"",IF(Reprogramaciones!V$13&lt;Reprogramaciones!$T$15,0,IF(Reprogramaciones!V$14&gt;10,MIN(100,SUM($G33:$P33)),MIN(100,SUMPRODUCT((COLUMN($G33:$P33)-COLUMN($G33)+1&lt;Reprogramaciones!V$14)*$G33:$P33)+N(INDEX($G33:$P33,1,Reprogramaciones!V$14))*IF(Reprogramaciones!V$13&gt;=(Reprogramaciones!$T$15+7*(Reprogramaciones!V$14-1))+6,1,IF(MAX(0,NETWORKDAYS.INTL(MAX(E33,(Reprogramaciones!$T$15+7*(Reprogramaciones!V$14-1))),MIN(F33,(Reprogramaciones!$T$15+7*(Reprogramaciones!V$14-1))+6),11))=0,0,MAX(0,NETWORKDAYS.INTL(MAX(E33,(Reprogramaciones!$T$15+7*(Reprogramaciones!V$14-1))),MIN(F33,Reprogramaciones!V$13),11))/MAX(0,NETWORKDAYS.INTL(MAX(E33,(Reprogramaciones!$T$15+7*(Reprogramaciones!V$14-1))),MIN(F33,(Reprogramaciones!$T$15+7*(Reprogramaciones!V$14-1))+6),11))))))))</f>
        <v>100</v>
      </c>
      <c r="CF33" s="1" t="n">
        <f aca="false">IF(OR(NOT(AND(ISNUMBER(E33),ISNUMBER(F33))),$J$2=""),"",IF(Reprogramaciones!W$13&lt;Reprogramaciones!$T$15,0,IF(Reprogramaciones!W$14&gt;10,MIN(100,SUM($G33:$P33)),MIN(100,SUMPRODUCT((COLUMN($G33:$P33)-COLUMN($G33)+1&lt;Reprogramaciones!W$14)*$G33:$P33)+N(INDEX($G33:$P33,1,Reprogramaciones!W$14))*IF(Reprogramaciones!W$13&gt;=(Reprogramaciones!$T$15+7*(Reprogramaciones!W$14-1))+6,1,IF(MAX(0,NETWORKDAYS.INTL(MAX(E33,(Reprogramaciones!$T$15+7*(Reprogramaciones!W$14-1))),MIN(F33,(Reprogramaciones!$T$15+7*(Reprogramaciones!W$14-1))+6),11))=0,0,MAX(0,NETWORKDAYS.INTL(MAX(E33,(Reprogramaciones!$T$15+7*(Reprogramaciones!W$14-1))),MIN(F33,Reprogramaciones!W$13),11))/MAX(0,NETWORKDAYS.INTL(MAX(E33,(Reprogramaciones!$T$15+7*(Reprogramaciones!W$14-1))),MIN(F33,(Reprogramaciones!$T$15+7*(Reprogramaciones!W$14-1))+6),11))))))))</f>
        <v>100</v>
      </c>
      <c r="CG33" s="1" t="n">
        <f aca="false">IF(OR(NOT(AND(ISNUMBER(E33),ISNUMBER(F33))),$J$2=""),"",IF(Reprogramaciones!X$13&lt;Reprogramaciones!$T$15,0,IF(Reprogramaciones!X$14&gt;10,MIN(100,SUM($G33:$P33)),MIN(100,SUMPRODUCT((COLUMN($G33:$P33)-COLUMN($G33)+1&lt;Reprogramaciones!X$14)*$G33:$P33)+N(INDEX($G33:$P33,1,Reprogramaciones!X$14))*IF(Reprogramaciones!X$13&gt;=(Reprogramaciones!$T$15+7*(Reprogramaciones!X$14-1))+6,1,IF(MAX(0,NETWORKDAYS.INTL(MAX(E33,(Reprogramaciones!$T$15+7*(Reprogramaciones!X$14-1))),MIN(F33,(Reprogramaciones!$T$15+7*(Reprogramaciones!X$14-1))+6),11))=0,0,MAX(0,NETWORKDAYS.INTL(MAX(E33,(Reprogramaciones!$T$15+7*(Reprogramaciones!X$14-1))),MIN(F33,Reprogramaciones!X$13),11))/MAX(0,NETWORKDAYS.INTL(MAX(E33,(Reprogramaciones!$T$15+7*(Reprogramaciones!X$14-1))),MIN(F33,(Reprogramaciones!$T$15+7*(Reprogramaciones!X$14-1))+6),11))))))))</f>
        <v>100</v>
      </c>
      <c r="CH33" s="1" t="n">
        <f aca="false">IF(OR(NOT(AND(ISNUMBER(E33),ISNUMBER(F33))),$J$2=""),"",IF(Reprogramaciones!Y$13&lt;Reprogramaciones!$T$15,0,IF(Reprogramaciones!Y$14&gt;10,MIN(100,SUM($G33:$P33)),MIN(100,SUMPRODUCT((COLUMN($G33:$P33)-COLUMN($G33)+1&lt;Reprogramaciones!Y$14)*$G33:$P33)+N(INDEX($G33:$P33,1,Reprogramaciones!Y$14))*IF(Reprogramaciones!Y$13&gt;=(Reprogramaciones!$T$15+7*(Reprogramaciones!Y$14-1))+6,1,IF(MAX(0,NETWORKDAYS.INTL(MAX(E33,(Reprogramaciones!$T$15+7*(Reprogramaciones!Y$14-1))),MIN(F33,(Reprogramaciones!$T$15+7*(Reprogramaciones!Y$14-1))+6),11))=0,0,MAX(0,NETWORKDAYS.INTL(MAX(E33,(Reprogramaciones!$T$15+7*(Reprogramaciones!Y$14-1))),MIN(F33,Reprogramaciones!Y$13),11))/MAX(0,NETWORKDAYS.INTL(MAX(E33,(Reprogramaciones!$T$15+7*(Reprogramaciones!Y$14-1))),MIN(F33,(Reprogramaciones!$T$15+7*(Reprogramaciones!Y$14-1))+6),11))))))))</f>
        <v>100</v>
      </c>
      <c r="CI33" s="1" t="n">
        <f aca="false">IF(OR(NOT(AND(ISNUMBER(E33),ISNUMBER(F33))),$J$2=""),"",IF(Reprogramaciones!Z$13&lt;Reprogramaciones!$T$15,0,IF(Reprogramaciones!Z$14&gt;10,MIN(100,SUM($G33:$P33)),MIN(100,SUMPRODUCT((COLUMN($G33:$P33)-COLUMN($G33)+1&lt;Reprogramaciones!Z$14)*$G33:$P33)+N(INDEX($G33:$P33,1,Reprogramaciones!Z$14))*IF(Reprogramaciones!Z$13&gt;=(Reprogramaciones!$T$15+7*(Reprogramaciones!Z$14-1))+6,1,IF(MAX(0,NETWORKDAYS.INTL(MAX(E33,(Reprogramaciones!$T$15+7*(Reprogramaciones!Z$14-1))),MIN(F33,(Reprogramaciones!$T$15+7*(Reprogramaciones!Z$14-1))+6),11))=0,0,MAX(0,NETWORKDAYS.INTL(MAX(E33,(Reprogramaciones!$T$15+7*(Reprogramaciones!Z$14-1))),MIN(F33,Reprogramaciones!Z$13),11))/MAX(0,NETWORKDAYS.INTL(MAX(E33,(Reprogramaciones!$T$15+7*(Reprogramaciones!Z$14-1))),MIN(F33,(Reprogramaciones!$T$15+7*(Reprogramaciones!Z$14-1))+6),11))))))))</f>
        <v>100</v>
      </c>
      <c r="CJ33" s="1" t="n">
        <f aca="false">IF(OR(OR(NOT(AND(ISNUMBER(E33),ISNUMBER(F33))),$J$2=""),1&gt;Reprogramaciones!$K$16),"",IF(ROUND(SUM($Q33:Q33),1)&gt;=99.5,100,MIN(100,ROUND(SUM($Q33:Q33),1))))</f>
        <v>0</v>
      </c>
      <c r="CK33" s="1" t="n">
        <f aca="false">IF(OR(OR(NOT(AND(ISNUMBER(E33),ISNUMBER(F33))),$J$2=""),2&gt;Reprogramaciones!$K$16),"",IF(ROUND(SUM($Q33:R33),1)&gt;=99.5,100,MIN(100,ROUND(SUM($Q33:R33),1))))</f>
        <v>0</v>
      </c>
      <c r="CL33" s="1" t="n">
        <f aca="false">IF(OR(OR(NOT(AND(ISNUMBER(E33),ISNUMBER(F33))),$J$2=""),3&gt;Reprogramaciones!$K$16),"",IF(ROUND(SUM($Q33:S33),1)&gt;=99.5,100,MIN(100,ROUND(SUM($Q33:S33),1))))</f>
        <v>0</v>
      </c>
      <c r="CM33" s="1" t="n">
        <f aca="false">IF(OR(OR(NOT(AND(ISNUMBER(E33),ISNUMBER(F33))),$J$2=""),4&gt;Reprogramaciones!$K$16),"",IF(ROUND(SUM($Q33:T33),1)&gt;=99.5,100,MIN(100,ROUND(SUM($Q33:T33),1))))</f>
        <v>80</v>
      </c>
      <c r="CN33" s="1" t="n">
        <f aca="false">IF(OR(OR(NOT(AND(ISNUMBER(E33),ISNUMBER(F33))),$J$2=""),5&gt;Reprogramaciones!$K$16),"",IF(ROUND(SUM($Q33:U33),1)&gt;=99.5,100,MIN(100,ROUND(SUM($Q33:U33),1))))</f>
        <v>80</v>
      </c>
      <c r="CO33" s="1" t="str">
        <f aca="false">IF(OR(OR(NOT(AND(ISNUMBER(E33),ISNUMBER(F33))),$J$2=""),6&gt;Reprogramaciones!$K$16),"",IF(ROUND(SUM($Q33:V33),1)&gt;=99.5,100,MIN(100,ROUND(SUM($Q33:V33),1))))</f>
        <v/>
      </c>
      <c r="CP33" s="1" t="str">
        <f aca="false">IF(OR(OR(NOT(AND(ISNUMBER(E33),ISNUMBER(F33))),$J$2=""),7&gt;Reprogramaciones!$K$16),"",IF(ROUND(SUM($Q33:W33),1)&gt;=99.5,100,MIN(100,ROUND(SUM($Q33:W33),1))))</f>
        <v/>
      </c>
      <c r="CQ33" s="1" t="str">
        <f aca="false">IF(OR(OR(NOT(AND(ISNUMBER(E33),ISNUMBER(F33))),$J$2=""),8&gt;Reprogramaciones!$K$16),"",IF(ROUND(SUM($Q33:X33),1)&gt;=99.5,100,MIN(100,ROUND(SUM($Q33:X33),1))))</f>
        <v/>
      </c>
      <c r="CR33" s="1" t="str">
        <f aca="false">IF(OR(OR(NOT(AND(ISNUMBER(E33),ISNUMBER(F33))),$J$2=""),9&gt;Reprogramaciones!$K$16),"",IF(ROUND(SUM($Q33:Y33),1)&gt;=99.5,100,MIN(100,ROUND(SUM($Q33:Y33),1))))</f>
        <v/>
      </c>
      <c r="CS33" s="1" t="str">
        <f aca="false">IF(OR(OR(NOT(AND(ISNUMBER(E33),ISNUMBER(F33))),$J$2=""),10&gt;Reprogramaciones!$K$16),"",IF(ROUND(SUM($Q33:Z33),1)&gt;=99.5,100,MIN(100,ROUND(SUM($Q33:Z33),1))))</f>
        <v/>
      </c>
      <c r="CT33" s="1" t="str">
        <f aca="false">IF(OR(OR(NOT(AND(ISNUMBER(E33),ISNUMBER(F33))),$J$2=""),11&gt;Reprogramaciones!$K$16),"",IF(ROUND(SUM($Q33:AA33),1)&gt;=99.5,100,MIN(100,ROUND(SUM($Q33:AA33),1))))</f>
        <v/>
      </c>
      <c r="CU33" s="1" t="str">
        <f aca="false">IF(OR(OR(NOT(AND(ISNUMBER(E33),ISNUMBER(F33))),$J$2=""),12&gt;Reprogramaciones!$K$16),"",IF(ROUND(SUM($Q33:AB33),1)&gt;=99.5,100,MIN(100,ROUND(SUM($Q33:AB33),1))))</f>
        <v/>
      </c>
      <c r="CV33" s="1" t="str">
        <f aca="false">IF(OR(OR(NOT(AND(ISNUMBER(E33),ISNUMBER(F33))),$J$2=""),13&gt;Reprogramaciones!$K$16),"",IF(ROUND(SUM($Q33:AC33),1)&gt;=99.5,100,MIN(100,ROUND(SUM($Q33:AC33),1))))</f>
        <v/>
      </c>
      <c r="CW33" s="1" t="str">
        <f aca="false">IF(OR(OR(NOT(AND(ISNUMBER(E33),ISNUMBER(F33))),$J$2=""),14&gt;Reprogramaciones!$K$16),"",IF(ROUND(SUM($Q33:AD33),1)&gt;=99.5,100,MIN(100,ROUND(SUM($Q33:AD33),1))))</f>
        <v/>
      </c>
      <c r="CX33" s="1" t="str">
        <f aca="false">IF(OR(OR(NOT(AND(ISNUMBER(E33),ISNUMBER(F33))),$J$2=""),15&gt;Reprogramaciones!$K$16),"",IF(ROUND(SUM($Q33:AE33),1)&gt;=99.5,100,MIN(100,ROUND(SUM($Q33:AE33),1))))</f>
        <v/>
      </c>
      <c r="CY33" s="1" t="str">
        <f aca="false">IF(OR(OR(NOT(AND(ISNUMBER(E33),ISNUMBER(F33))),$J$2=""),16&gt;Reprogramaciones!$K$16),"",IF(ROUND(SUM($Q33:AF33),1)&gt;=99.5,100,MIN(100,ROUND(SUM($Q33:AF33),1))))</f>
        <v/>
      </c>
      <c r="CZ33" s="1" t="str">
        <f aca="false">IF(D33&lt;&gt;"",D33,IF(B33&lt;&gt;"","Contractual",CZ32))</f>
        <v>Contractual</v>
      </c>
      <c r="DA33" s="1" t="n">
        <f aca="false">IF(OR(NOT(AND(ISNUMBER(E33),ISNUMBER(F33))),$J$2=""),"",IF(Reprogramaciones!$Q$15&lt;Reprogramaciones!$T$15,0,IF(Reprogramaciones!$S$15&gt;10,MIN(100,SUM($G33:$P33)),MIN(100,SUMPRODUCT((COLUMN($G33:$P33)-COLUMN($G33)+1&lt;Reprogramaciones!$S$15)*$G33:$P33)+N(INDEX($G33:$P33,1,Reprogramaciones!$S$15))*IF(Reprogramaciones!$Q$15&gt;=(Reprogramaciones!$T$15+7*(Reprogramaciones!$S$15-1))+6,1,IF(MAX(0,NETWORKDAYS.INTL(MAX(E33,(Reprogramaciones!$T$15+7*(Reprogramaciones!$S$15-1))),MIN(F33,(Reprogramaciones!$T$15+7*(Reprogramaciones!$S$15-1))+6),11))=0,0,MAX(0,NETWORKDAYS.INTL(MAX(E33,(Reprogramaciones!$T$15+7*(Reprogramaciones!$S$15-1))),MIN(F33,Reprogramaciones!$Q$15),11))/MAX(0,NETWORKDAYS.INTL(MAX(E33,(Reprogramaciones!$T$15+7*(Reprogramaciones!$S$15-1))),MIN(F33,(Reprogramaciones!$T$15+7*(Reprogramaciones!$S$15-1))+6),11))))))))</f>
        <v>100</v>
      </c>
    </row>
    <row r="34" customFormat="false" ht="15" hidden="false" customHeight="false" outlineLevel="0" collapsed="false">
      <c r="A34" s="32" t="s">
        <v>209</v>
      </c>
      <c r="B34" s="33" t="s">
        <v>210</v>
      </c>
      <c r="C34" s="33"/>
      <c r="D34" s="34"/>
      <c r="E34" s="35"/>
      <c r="F34" s="35"/>
      <c r="G34" s="36" t="str">
        <f aca="false">IF(OR(NOT(AND(ISNUMBER(E34),ISNUMBER(F34))),$J$2=""),"",IF(Reprogramaciones!K$9&lt;E34,0,IF(NETWORKDAYS.INTL(E34,F34,11)=0,IF(Reprogramaciones!K$9&gt;=F34,100,0),ROUND(NETWORKDAYS.INTL(E34,MIN(F34,Reprogramaciones!K$9),11)/NETWORKDAYS.INTL(E34,F34,11)*100,1)))-0)</f>
        <v/>
      </c>
      <c r="H34" s="36" t="str">
        <f aca="false">IF(OR(NOT(AND(ISNUMBER(E34),ISNUMBER(F34))),$J$2=""),"",IF(Reprogramaciones!L$9&lt;E34,0,IF(NETWORKDAYS.INTL(E34,F34,11)=0,IF(Reprogramaciones!L$9&gt;=F34,100,0),ROUND(NETWORKDAYS.INTL(E34,MIN(F34,Reprogramaciones!L$9),11)/NETWORKDAYS.INTL(E34,F34,11)*100,1)))-IF(Reprogramaciones!K$9&lt;E34,0,IF(NETWORKDAYS.INTL(E34,F34,11)=0,IF(Reprogramaciones!K$9&gt;=F34,100,0),ROUND(NETWORKDAYS.INTL(E34,MIN(F34,Reprogramaciones!K$9),11)/NETWORKDAYS.INTL(E34,F34,11)*100,1))))</f>
        <v/>
      </c>
      <c r="I34" s="36" t="str">
        <f aca="false">IF(OR(NOT(AND(ISNUMBER(E34),ISNUMBER(F34))),$J$2=""),"",IF(Reprogramaciones!M$9&lt;E34,0,IF(NETWORKDAYS.INTL(E34,F34,11)=0,IF(Reprogramaciones!M$9&gt;=F34,100,0),ROUND(NETWORKDAYS.INTL(E34,MIN(F34,Reprogramaciones!M$9),11)/NETWORKDAYS.INTL(E34,F34,11)*100,1)))-IF(Reprogramaciones!L$9&lt;E34,0,IF(NETWORKDAYS.INTL(E34,F34,11)=0,IF(Reprogramaciones!L$9&gt;=F34,100,0),ROUND(NETWORKDAYS.INTL(E34,MIN(F34,Reprogramaciones!L$9),11)/NETWORKDAYS.INTL(E34,F34,11)*100,1))))</f>
        <v/>
      </c>
      <c r="J34" s="36" t="str">
        <f aca="false">IF(OR(NOT(AND(ISNUMBER(E34),ISNUMBER(F34))),$J$2=""),"",IF(Reprogramaciones!N$9&lt;E34,0,IF(NETWORKDAYS.INTL(E34,F34,11)=0,IF(Reprogramaciones!N$9&gt;=F34,100,0),ROUND(NETWORKDAYS.INTL(E34,MIN(F34,Reprogramaciones!N$9),11)/NETWORKDAYS.INTL(E34,F34,11)*100,1)))-IF(Reprogramaciones!M$9&lt;E34,0,IF(NETWORKDAYS.INTL(E34,F34,11)=0,IF(Reprogramaciones!M$9&gt;=F34,100,0),ROUND(NETWORKDAYS.INTL(E34,MIN(F34,Reprogramaciones!M$9),11)/NETWORKDAYS.INTL(E34,F34,11)*100,1))))</f>
        <v/>
      </c>
      <c r="K34" s="36" t="str">
        <f aca="false">IF(OR(NOT(AND(ISNUMBER(E34),ISNUMBER(F34))),$J$2=""),"",IF(Reprogramaciones!O$9&lt;E34,0,IF(NETWORKDAYS.INTL(E34,F34,11)=0,IF(Reprogramaciones!O$9&gt;=F34,100,0),ROUND(NETWORKDAYS.INTL(E34,MIN(F34,Reprogramaciones!O$9),11)/NETWORKDAYS.INTL(E34,F34,11)*100,1)))-IF(Reprogramaciones!N$9&lt;E34,0,IF(NETWORKDAYS.INTL(E34,F34,11)=0,IF(Reprogramaciones!N$9&gt;=F34,100,0),ROUND(NETWORKDAYS.INTL(E34,MIN(F34,Reprogramaciones!N$9),11)/NETWORKDAYS.INTL(E34,F34,11)*100,1))))</f>
        <v/>
      </c>
      <c r="L34" s="36" t="str">
        <f aca="false">IF(OR(NOT(AND(ISNUMBER(E34),ISNUMBER(F34))),$J$2=""),"",IF(Reprogramaciones!P$9&lt;E34,0,IF(NETWORKDAYS.INTL(E34,F34,11)=0,IF(Reprogramaciones!P$9&gt;=F34,100,0),ROUND(NETWORKDAYS.INTL(E34,MIN(F34,Reprogramaciones!P$9),11)/NETWORKDAYS.INTL(E34,F34,11)*100,1)))-IF(Reprogramaciones!O$9&lt;E34,0,IF(NETWORKDAYS.INTL(E34,F34,11)=0,IF(Reprogramaciones!O$9&gt;=F34,100,0),ROUND(NETWORKDAYS.INTL(E34,MIN(F34,Reprogramaciones!O$9),11)/NETWORKDAYS.INTL(E34,F34,11)*100,1))))</f>
        <v/>
      </c>
      <c r="M34" s="36" t="str">
        <f aca="false">IF(OR(NOT(AND(ISNUMBER(E34),ISNUMBER(F34))),$J$2=""),"",IF(Reprogramaciones!Q$9&lt;E34,0,IF(NETWORKDAYS.INTL(E34,F34,11)=0,IF(Reprogramaciones!Q$9&gt;=F34,100,0),ROUND(NETWORKDAYS.INTL(E34,MIN(F34,Reprogramaciones!Q$9),11)/NETWORKDAYS.INTL(E34,F34,11)*100,1)))-IF(Reprogramaciones!P$9&lt;E34,0,IF(NETWORKDAYS.INTL(E34,F34,11)=0,IF(Reprogramaciones!P$9&gt;=F34,100,0),ROUND(NETWORKDAYS.INTL(E34,MIN(F34,Reprogramaciones!P$9),11)/NETWORKDAYS.INTL(E34,F34,11)*100,1))))</f>
        <v/>
      </c>
      <c r="N34" s="36" t="str">
        <f aca="false">IF(OR(NOT(AND(ISNUMBER(E34),ISNUMBER(F34))),$J$2=""),"",IF(Reprogramaciones!R$9&lt;E34,0,IF(NETWORKDAYS.INTL(E34,F34,11)=0,IF(Reprogramaciones!R$9&gt;=F34,100,0),ROUND(NETWORKDAYS.INTL(E34,MIN(F34,Reprogramaciones!R$9),11)/NETWORKDAYS.INTL(E34,F34,11)*100,1)))-IF(Reprogramaciones!Q$9&lt;E34,0,IF(NETWORKDAYS.INTL(E34,F34,11)=0,IF(Reprogramaciones!Q$9&gt;=F34,100,0),ROUND(NETWORKDAYS.INTL(E34,MIN(F34,Reprogramaciones!Q$9),11)/NETWORKDAYS.INTL(E34,F34,11)*100,1))))</f>
        <v/>
      </c>
      <c r="O34" s="36" t="str">
        <f aca="false">IF(OR(NOT(AND(ISNUMBER(E34),ISNUMBER(F34))),$J$2=""),"",IF(Reprogramaciones!S$9&lt;E34,0,IF(NETWORKDAYS.INTL(E34,F34,11)=0,IF(Reprogramaciones!S$9&gt;=F34,100,0),ROUND(NETWORKDAYS.INTL(E34,MIN(F34,Reprogramaciones!S$9),11)/NETWORKDAYS.INTL(E34,F34,11)*100,1)))-IF(Reprogramaciones!R$9&lt;E34,0,IF(NETWORKDAYS.INTL(E34,F34,11)=0,IF(Reprogramaciones!R$9&gt;=F34,100,0),ROUND(NETWORKDAYS.INTL(E34,MIN(F34,Reprogramaciones!R$9),11)/NETWORKDAYS.INTL(E34,F34,11)*100,1))))</f>
        <v/>
      </c>
      <c r="P34" s="36" t="str">
        <f aca="false">IF(OR(NOT(AND(ISNUMBER(E34),ISNUMBER(F34))),$J$2=""),"",IF(Reprogramaciones!T$9&lt;E34,0,IF(NETWORKDAYS.INTL(E34,F34,11)=0,IF(Reprogramaciones!T$9&gt;=F34,100,0),ROUND(NETWORKDAYS.INTL(E34,MIN(F34,Reprogramaciones!T$9),11)/NETWORKDAYS.INTL(E34,F34,11)*100,1)))-IF(Reprogramaciones!S$9&lt;E34,0,IF(NETWORKDAYS.INTL(E34,F34,11)=0,IF(Reprogramaciones!S$9&gt;=F34,100,0),ROUND(NETWORKDAYS.INTL(E34,MIN(F34,Reprogramaciones!S$9),11)/NETWORKDAYS.INTL(E34,F34,11)*100,1))))</f>
        <v/>
      </c>
      <c r="Q34" s="37"/>
      <c r="R34" s="37"/>
      <c r="S34" s="37"/>
      <c r="T34" s="37"/>
      <c r="U34" s="37"/>
      <c r="V34" s="37"/>
      <c r="W34" s="37"/>
      <c r="X34" s="37"/>
      <c r="Y34" s="37"/>
      <c r="Z34" s="37"/>
      <c r="AA34" s="37"/>
      <c r="AB34" s="37"/>
      <c r="AC34" s="37"/>
      <c r="AD34" s="37"/>
      <c r="AE34" s="37"/>
      <c r="AF34" s="37"/>
      <c r="AG34" s="38" t="str">
        <f aca="false">IF(AND(ISNUMBER(E34),ISNUMBER(F34)),NETWORKDAYS.INTL(E34,F34,11),"")</f>
        <v/>
      </c>
      <c r="AH34" s="38" t="str">
        <f aca="false">IF(OR(NOT(AND(ISNUMBER(E34),ISNUMBER(F34))),$J$2=""),"",IF(Reprogramaciones!$P$15&lt;Reprogramaciones!$T$15,0,IF(Reprogramaciones!$R$15&gt;10,MIN(100,SUM($G34:$P34)),MIN(100,SUMPRODUCT((COLUMN($G34:$P34)-COLUMN($G34)+1&lt;Reprogramaciones!$R$15)*$G34:$P34)+N(INDEX($G34:$P34,1,Reprogramaciones!$R$15))*IF(Reprogramaciones!$P$15&gt;=(Reprogramaciones!$T$15+7*(Reprogramaciones!$R$15-1))+6,1,IF(MAX(0,NETWORKDAYS.INTL(MAX(E34,(Reprogramaciones!$T$15+7*(Reprogramaciones!$R$15-1))),MIN(F34,(Reprogramaciones!$T$15+7*(Reprogramaciones!$R$15-1))+6),11))=0,0,MAX(0,NETWORKDAYS.INTL(MAX(E34,(Reprogramaciones!$T$15+7*(Reprogramaciones!$R$15-1))),MIN(F34,Reprogramaciones!$P$15),11))/MAX(0,NETWORKDAYS.INTL(MAX(E34,(Reprogramaciones!$T$15+7*(Reprogramaciones!$R$15-1))),MIN(F34,(Reprogramaciones!$T$15+7*(Reprogramaciones!$R$15-1))+6),11))))))))</f>
        <v/>
      </c>
      <c r="AI34" s="38" t="str">
        <f aca="false">IF(COUNT($Q34:$AF34)=0,"",IF(ROUND(SUM($Q34:$AF34),1)&gt;=99.5,100,MIN(100,ROUND(SUM($Q34:$AF34),1))))</f>
        <v/>
      </c>
      <c r="AJ34" s="38" t="str">
        <f aca="false">IF(OR(AH34="",AI34=""),"",AI34-AH34)</f>
        <v/>
      </c>
      <c r="AK34" s="39" t="str">
        <f aca="true">IF(AH34="","",IF(OR(Ficha!$C$10="Suspendida",Ficha!$C$10="Cancelada"),Ficha!$C$10,IF(AND(AI34&lt;&gt;"",N(AI34)&gt;=100),"Completada",IF(AND(E34&gt;TODAY(),N(AI34)=0),"Por iniciar",IF(N(AI34)+0.5&lt;AH34,"Retrasada",IF(N(AI34)+0.5&lt;DA34,IF(Reprogramaciones!$K$15&gt;0,"Al día · Sem "&amp;Reprogramaciones!$K$15&amp;" en curso","Al día · en curso"),"A tiempo"))))))</f>
        <v/>
      </c>
      <c r="AL34" s="39" t="str">
        <f aca="true">IF(AND(A34="",AND(B34="",C34="",E34="",F34="",COUNT(Q34:AF34)=0)),"",IF(AND(B34="",C34="",E34="",F34="",COUNT(Q34:AF34)=0),"Falta la partida o subpartida",IF(AND(A34&lt;&gt;"",COUNTIF($A$6:$A$305,A34)&gt;1),"Ítem repetido",IF(AND(C34="",E34="",F34="",COUNT(Q34:AF34)=0),"Título de partida",IF(OR(E34="",F34=""),"Faltan fechas",IF(OR(ISTEXT(E34),ISTEXT(F34)),"Fecha escrita como texto: usa dd/mm/aaaa",IF(F34&lt;E34,"Fin antes del inicio",IF(IF($J$2="",FALSE(),OR(E34&lt;$J$2,F34&gt;Reprogramaciones!$T$15+69)),"Fuera de las 10 semanas",IF(ABS(SUM(G34:P34)-100)&gt;0.5,"La meta no suma 100%",IF(ROUND(SUM(Q34:AF34),1)&gt;100.5,"El avance pasa de 100%",IF(MIN(Q34:AF34)&lt;0,"Avance negativo",IF(COUNTA(Q34:AF34)&gt;COUNT(Q34:AF34),"Avance escrito como texto",IF(SUMPRODUCT((Q34:AF34&gt;0)*(Q34:AF34&lt;1))&gt;0,"Avance menor a 1: escribe 50, no 50%",IF(SUMPRODUCT(ISNUMBER(Q34:AF34)*(Reprogramaciones!$K$8:$Z$8&gt;TODAY()))&gt;0,"Avance en semana que aún no llega",IF(AND(N(Reprogramaciones!$E$21)&gt;0,F34&gt;Reprogramaciones!$E$21),"Pasa el fin de la obra: registra una reprogramación",IF(AND(N(Reprogramaciones!$E$21)&gt;0,SUMPRODUCT(ISNUMBER(Q34:AF34)*(Reprogramaciones!$K$8:$Z$8&gt;Reprogramaciones!$E$21))&gt;0),"Avance después del fin de la obra: registra una reprogramación por atraso","OK"))))))))))))))))</f>
        <v>Título de partida</v>
      </c>
      <c r="AM34" s="40" t="str">
        <f aca="false">IF(OR(OR(NOT(AND(ISNUMBER(E34),ISNUMBER(F34))),$J$2=""),1&gt;MAX(1,Reprogramaciones!$U$15)),"",IF(Reprogramaciones!K$12&gt;=7,"",IF(OR(BT34-N(0)&gt;0.05,N(Q34)&gt;0),ROUNDDOWN(ROUND(BT34,6),0)&amp;"%"&amp;IF(CJ34="",""," / "&amp;CJ34&amp;"%"),IF(AND(N(0)&gt;=99.95,CJ34&lt;&gt;"",N(CJ34)&lt;100),"Pend. "&amp;CJ34&amp;"%",""))))</f>
        <v/>
      </c>
      <c r="AN34" s="40" t="str">
        <f aca="false">IF(OR(OR(NOT(AND(ISNUMBER(E34),ISNUMBER(F34))),$J$2=""),2&gt;MAX(1,Reprogramaciones!$U$15)),"",IF(Reprogramaciones!L$12&gt;=7,"",IF(OR(BU34-N(BT34)&gt;0.05,N(R34)&gt;0),ROUNDDOWN(ROUND(BU34,6),0)&amp;"%"&amp;IF(CK34="",""," / "&amp;CK34&amp;"%"),IF(AND(N(BT34)&gt;=99.95,CK34&lt;&gt;"",N(CK34)&lt;100),"Pend. "&amp;CK34&amp;"%",""))))</f>
        <v/>
      </c>
      <c r="AO34" s="40" t="str">
        <f aca="false">IF(OR(OR(NOT(AND(ISNUMBER(E34),ISNUMBER(F34))),$J$2=""),3&gt;MAX(1,Reprogramaciones!$U$15)),"",IF(Reprogramaciones!M$12&gt;=7,"",IF(OR(BV34-N(BU34)&gt;0.05,N(S34)&gt;0),ROUNDDOWN(ROUND(BV34,6),0)&amp;"%"&amp;IF(CL34="",""," / "&amp;CL34&amp;"%"),IF(AND(N(BU34)&gt;=99.95,CL34&lt;&gt;"",N(CL34)&lt;100),"Pend. "&amp;CL34&amp;"%",""))))</f>
        <v/>
      </c>
      <c r="AP34" s="40" t="str">
        <f aca="false">IF(OR(OR(NOT(AND(ISNUMBER(E34),ISNUMBER(F34))),$J$2=""),4&gt;MAX(1,Reprogramaciones!$U$15)),"",IF(Reprogramaciones!N$12&gt;=7,"",IF(OR(BW34-N(BV34)&gt;0.05,N(T34)&gt;0),ROUNDDOWN(ROUND(BW34,6),0)&amp;"%"&amp;IF(CM34="",""," / "&amp;CM34&amp;"%"),IF(AND(N(BV34)&gt;=99.95,CM34&lt;&gt;"",N(CM34)&lt;100),"Pend. "&amp;CM34&amp;"%",""))))</f>
        <v/>
      </c>
      <c r="AQ34" s="40" t="str">
        <f aca="false">IF(OR(OR(NOT(AND(ISNUMBER(E34),ISNUMBER(F34))),$J$2=""),5&gt;MAX(1,Reprogramaciones!$U$15)),"",IF(Reprogramaciones!O$12&gt;=7,"",IF(OR(BX34-N(BW34)&gt;0.05,N(U34)&gt;0),ROUNDDOWN(ROUND(BX34,6),0)&amp;"%"&amp;IF(CN34="",""," / "&amp;CN34&amp;"%"),IF(AND(N(BW34)&gt;=99.95,CN34&lt;&gt;"",N(CN34)&lt;100),"Pend. "&amp;CN34&amp;"%",""))))</f>
        <v/>
      </c>
      <c r="AR34" s="40" t="str">
        <f aca="false">IF(OR(OR(NOT(AND(ISNUMBER(E34),ISNUMBER(F34))),$J$2=""),6&gt;MAX(1,Reprogramaciones!$U$15)),"",IF(Reprogramaciones!P$12&gt;=7,"",IF(OR(BY34-N(BX34)&gt;0.05,N(V34)&gt;0),ROUNDDOWN(ROUND(BY34,6),0)&amp;"%"&amp;IF(CO34="",""," / "&amp;CO34&amp;"%"),IF(AND(N(BX34)&gt;=99.95,CO34&lt;&gt;"",N(CO34)&lt;100),"Pend. "&amp;CO34&amp;"%",""))))</f>
        <v/>
      </c>
      <c r="AS34" s="40" t="str">
        <f aca="false">IF(OR(OR(NOT(AND(ISNUMBER(E34),ISNUMBER(F34))),$J$2=""),7&gt;MAX(1,Reprogramaciones!$U$15)),"",IF(Reprogramaciones!Q$12&gt;=7,"",IF(OR(BZ34-N(BY34)&gt;0.05,N(W34)&gt;0),ROUNDDOWN(ROUND(BZ34,6),0)&amp;"%"&amp;IF(CP34="",""," / "&amp;CP34&amp;"%"),IF(AND(N(BY34)&gt;=99.95,CP34&lt;&gt;"",N(CP34)&lt;100),"Pend. "&amp;CP34&amp;"%",""))))</f>
        <v/>
      </c>
      <c r="AT34" s="40" t="str">
        <f aca="false">IF(OR(OR(NOT(AND(ISNUMBER(E34),ISNUMBER(F34))),$J$2=""),8&gt;MAX(1,Reprogramaciones!$U$15)),"",IF(Reprogramaciones!R$12&gt;=7,"",IF(OR(CA34-N(BZ34)&gt;0.05,N(X34)&gt;0),ROUNDDOWN(ROUND(CA34,6),0)&amp;"%"&amp;IF(CQ34="",""," / "&amp;CQ34&amp;"%"),IF(AND(N(BZ34)&gt;=99.95,CQ34&lt;&gt;"",N(CQ34)&lt;100),"Pend. "&amp;CQ34&amp;"%",""))))</f>
        <v/>
      </c>
      <c r="AU34" s="40" t="str">
        <f aca="false">IF(OR(OR(NOT(AND(ISNUMBER(E34),ISNUMBER(F34))),$J$2=""),9&gt;MAX(1,Reprogramaciones!$U$15)),"",IF(Reprogramaciones!S$12&gt;=7,"",IF(OR(CB34-N(CA34)&gt;0.05,N(Y34)&gt;0),ROUNDDOWN(ROUND(CB34,6),0)&amp;"%"&amp;IF(CR34="",""," / "&amp;CR34&amp;"%"),IF(AND(N(CA34)&gt;=99.95,CR34&lt;&gt;"",N(CR34)&lt;100),"Pend. "&amp;CR34&amp;"%",""))))</f>
        <v/>
      </c>
      <c r="AV34" s="40" t="str">
        <f aca="false">IF(OR(OR(NOT(AND(ISNUMBER(E34),ISNUMBER(F34))),$J$2=""),10&gt;MAX(1,Reprogramaciones!$U$15)),"",IF(Reprogramaciones!T$12&gt;=7,"",IF(OR(CC34-N(CB34)&gt;0.05,N(Z34)&gt;0),ROUNDDOWN(ROUND(CC34,6),0)&amp;"%"&amp;IF(CS34="",""," / "&amp;CS34&amp;"%"),IF(AND(N(CB34)&gt;=99.95,CS34&lt;&gt;"",N(CS34)&lt;100),"Pend. "&amp;CS34&amp;"%",""))))</f>
        <v/>
      </c>
      <c r="AW34" s="40" t="str">
        <f aca="false">IF(OR(OR(NOT(AND(ISNUMBER(E34),ISNUMBER(F34))),$J$2=""),11&gt;MAX(1,Reprogramaciones!$U$15)),"",IF(Reprogramaciones!U$12&gt;=7,"",IF(OR(CD34-N(CC34)&gt;0.05,N(AA34)&gt;0),ROUNDDOWN(ROUND(CD34,6),0)&amp;"%"&amp;IF(CT34="",""," / "&amp;CT34&amp;"%"),IF(AND(N(CC34)&gt;=99.95,CT34&lt;&gt;"",N(CT34)&lt;100),"Pend. "&amp;CT34&amp;"%",""))))</f>
        <v/>
      </c>
      <c r="AX34" s="40" t="str">
        <f aca="false">IF(OR(OR(NOT(AND(ISNUMBER(E34),ISNUMBER(F34))),$J$2=""),12&gt;MAX(1,Reprogramaciones!$U$15)),"",IF(Reprogramaciones!V$12&gt;=7,"",IF(OR(CE34-N(CD34)&gt;0.05,N(AB34)&gt;0),ROUNDDOWN(ROUND(CE34,6),0)&amp;"%"&amp;IF(CU34="",""," / "&amp;CU34&amp;"%"),IF(AND(N(CD34)&gt;=99.95,CU34&lt;&gt;"",N(CU34)&lt;100),"Pend. "&amp;CU34&amp;"%",""))))</f>
        <v/>
      </c>
      <c r="AY34" s="40" t="str">
        <f aca="false">IF(OR(OR(NOT(AND(ISNUMBER(E34),ISNUMBER(F34))),$J$2=""),13&gt;MAX(1,Reprogramaciones!$U$15)),"",IF(Reprogramaciones!W$12&gt;=7,"",IF(OR(CF34-N(CE34)&gt;0.05,N(AC34)&gt;0),ROUNDDOWN(ROUND(CF34,6),0)&amp;"%"&amp;IF(CV34="",""," / "&amp;CV34&amp;"%"),IF(AND(N(CE34)&gt;=99.95,CV34&lt;&gt;"",N(CV34)&lt;100),"Pend. "&amp;CV34&amp;"%",""))))</f>
        <v/>
      </c>
      <c r="AZ34" s="40" t="str">
        <f aca="false">IF(OR(OR(NOT(AND(ISNUMBER(E34),ISNUMBER(F34))),$J$2=""),14&gt;MAX(1,Reprogramaciones!$U$15)),"",IF(Reprogramaciones!X$12&gt;=7,"",IF(OR(CG34-N(CF34)&gt;0.05,N(AD34)&gt;0),ROUNDDOWN(ROUND(CG34,6),0)&amp;"%"&amp;IF(CW34="",""," / "&amp;CW34&amp;"%"),IF(AND(N(CF34)&gt;=99.95,CW34&lt;&gt;"",N(CW34)&lt;100),"Pend. "&amp;CW34&amp;"%",""))))</f>
        <v/>
      </c>
      <c r="BA34" s="40" t="str">
        <f aca="false">IF(OR(OR(NOT(AND(ISNUMBER(E34),ISNUMBER(F34))),$J$2=""),15&gt;MAX(1,Reprogramaciones!$U$15)),"",IF(Reprogramaciones!Y$12&gt;=7,"",IF(OR(CH34-N(CG34)&gt;0.05,N(AE34)&gt;0),ROUNDDOWN(ROUND(CH34,6),0)&amp;"%"&amp;IF(CX34="",""," / "&amp;CX34&amp;"%"),IF(AND(N(CG34)&gt;=99.95,CX34&lt;&gt;"",N(CX34)&lt;100),"Pend. "&amp;CX34&amp;"%",""))))</f>
        <v/>
      </c>
      <c r="BB34" s="40" t="str">
        <f aca="false">IF(OR(OR(NOT(AND(ISNUMBER(E34),ISNUMBER(F34))),$J$2=""),16&gt;MAX(1,Reprogramaciones!$U$15)),"",IF(Reprogramaciones!Z$12&gt;=7,"",IF(OR(CI34-N(CH34)&gt;0.05,N(AF34)&gt;0),ROUNDDOWN(ROUND(CI34,6),0)&amp;"%"&amp;IF(CY34="",""," / "&amp;CY34&amp;"%"),IF(AND(N(CH34)&gt;=99.95,CY34&lt;&gt;"",N(CY34)&lt;100),"Pend. "&amp;CY34&amp;"%",""))))</f>
        <v/>
      </c>
      <c r="BC34" s="31" t="n">
        <f aca="false">IF(AND(ISNUMBER(E34),ISNUMBER(F34)),MAX(1,NETWORKDAYS.INTL(E34,F34,11)),0)</f>
        <v>0</v>
      </c>
      <c r="BD34" s="1" t="str">
        <f aca="false">IF(OR(NOT(AND(ISNUMBER(E34),ISNUMBER(F34))),$J$2=""),"",MIN(100,ROUND(SUM($G34:G34),1)))</f>
        <v/>
      </c>
      <c r="BE34" s="1" t="str">
        <f aca="false">IF(OR(NOT(AND(ISNUMBER(E34),ISNUMBER(F34))),$J$2=""),"",MIN(100,ROUND(SUM($G34:H34),1)))</f>
        <v/>
      </c>
      <c r="BF34" s="1" t="str">
        <f aca="false">IF(OR(NOT(AND(ISNUMBER(E34),ISNUMBER(F34))),$J$2=""),"",MIN(100,ROUND(SUM($G34:I34),1)))</f>
        <v/>
      </c>
      <c r="BG34" s="1" t="str">
        <f aca="false">IF(OR(NOT(AND(ISNUMBER(E34),ISNUMBER(F34))),$J$2=""),"",MIN(100,ROUND(SUM($G34:J34),1)))</f>
        <v/>
      </c>
      <c r="BH34" s="1" t="str">
        <f aca="false">IF(OR(NOT(AND(ISNUMBER(E34),ISNUMBER(F34))),$J$2=""),"",MIN(100,ROUND(SUM($G34:K34),1)))</f>
        <v/>
      </c>
      <c r="BI34" s="1" t="str">
        <f aca="false">IF(OR(NOT(AND(ISNUMBER(E34),ISNUMBER(F34))),$J$2=""),"",MIN(100,ROUND(SUM($G34:L34),1)))</f>
        <v/>
      </c>
      <c r="BJ34" s="1" t="str">
        <f aca="false">IF(OR(NOT(AND(ISNUMBER(E34),ISNUMBER(F34))),$J$2=""),"",MIN(100,ROUND(SUM($G34:M34),1)))</f>
        <v/>
      </c>
      <c r="BK34" s="1" t="str">
        <f aca="false">IF(OR(NOT(AND(ISNUMBER(E34),ISNUMBER(F34))),$J$2=""),"",MIN(100,ROUND(SUM($G34:N34),1)))</f>
        <v/>
      </c>
      <c r="BL34" s="1" t="str">
        <f aca="false">IF(OR(NOT(AND(ISNUMBER(E34),ISNUMBER(F34))),$J$2=""),"",MIN(100,ROUND(SUM($G34:O34),1)))</f>
        <v/>
      </c>
      <c r="BM34" s="1" t="str">
        <f aca="false">IF(OR(NOT(AND(ISNUMBER(E34),ISNUMBER(F34))),$J$2=""),"",MIN(100,ROUND(SUM($G34:P34),1)))</f>
        <v/>
      </c>
      <c r="BN34" s="1" t="str">
        <f aca="false">IF(OR(NOT(AND(ISNUMBER(E34),ISNUMBER(F34))),$J$2=""),"",MIN(100,ROUND(SUM($G34:P34),1)))</f>
        <v/>
      </c>
      <c r="BO34" s="1" t="str">
        <f aca="false">IF(OR(NOT(AND(ISNUMBER(E34),ISNUMBER(F34))),$J$2=""),"",MIN(100,ROUND(SUM($G34:P34),1)))</f>
        <v/>
      </c>
      <c r="BP34" s="1" t="str">
        <f aca="false">IF(OR(NOT(AND(ISNUMBER(E34),ISNUMBER(F34))),$J$2=""),"",MIN(100,ROUND(SUM($G34:P34),1)))</f>
        <v/>
      </c>
      <c r="BQ34" s="1" t="str">
        <f aca="false">IF(OR(NOT(AND(ISNUMBER(E34),ISNUMBER(F34))),$J$2=""),"",MIN(100,ROUND(SUM($G34:P34),1)))</f>
        <v/>
      </c>
      <c r="BR34" s="1" t="str">
        <f aca="false">IF(OR(NOT(AND(ISNUMBER(E34),ISNUMBER(F34))),$J$2=""),"",MIN(100,ROUND(SUM($G34:P34),1)))</f>
        <v/>
      </c>
      <c r="BS34" s="1" t="str">
        <f aca="false">IF(OR(NOT(AND(ISNUMBER(E34),ISNUMBER(F34))),$J$2=""),"",MIN(100,ROUND(SUM($G34:P34),1)))</f>
        <v/>
      </c>
      <c r="BT34" s="1" t="str">
        <f aca="false">IF(OR(NOT(AND(ISNUMBER(E34),ISNUMBER(F34))),$J$2=""),"",IF(Reprogramaciones!K$13&lt;Reprogramaciones!$T$15,0,IF(Reprogramaciones!K$14&gt;10,MIN(100,SUM($G34:$P34)),MIN(100,SUMPRODUCT((COLUMN($G34:$P34)-COLUMN($G34)+1&lt;Reprogramaciones!K$14)*$G34:$P34)+N(INDEX($G34:$P34,1,Reprogramaciones!K$14))*IF(Reprogramaciones!K$13&gt;=(Reprogramaciones!$T$15+7*(Reprogramaciones!K$14-1))+6,1,IF(MAX(0,NETWORKDAYS.INTL(MAX(E34,(Reprogramaciones!$T$15+7*(Reprogramaciones!K$14-1))),MIN(F34,(Reprogramaciones!$T$15+7*(Reprogramaciones!K$14-1))+6),11))=0,0,MAX(0,NETWORKDAYS.INTL(MAX(E34,(Reprogramaciones!$T$15+7*(Reprogramaciones!K$14-1))),MIN(F34,Reprogramaciones!K$13),11))/MAX(0,NETWORKDAYS.INTL(MAX(E34,(Reprogramaciones!$T$15+7*(Reprogramaciones!K$14-1))),MIN(F34,(Reprogramaciones!$T$15+7*(Reprogramaciones!K$14-1))+6),11))))))))</f>
        <v/>
      </c>
      <c r="BU34" s="1" t="str">
        <f aca="false">IF(OR(NOT(AND(ISNUMBER(E34),ISNUMBER(F34))),$J$2=""),"",IF(Reprogramaciones!L$13&lt;Reprogramaciones!$T$15,0,IF(Reprogramaciones!L$14&gt;10,MIN(100,SUM($G34:$P34)),MIN(100,SUMPRODUCT((COLUMN($G34:$P34)-COLUMN($G34)+1&lt;Reprogramaciones!L$14)*$G34:$P34)+N(INDEX($G34:$P34,1,Reprogramaciones!L$14))*IF(Reprogramaciones!L$13&gt;=(Reprogramaciones!$T$15+7*(Reprogramaciones!L$14-1))+6,1,IF(MAX(0,NETWORKDAYS.INTL(MAX(E34,(Reprogramaciones!$T$15+7*(Reprogramaciones!L$14-1))),MIN(F34,(Reprogramaciones!$T$15+7*(Reprogramaciones!L$14-1))+6),11))=0,0,MAX(0,NETWORKDAYS.INTL(MAX(E34,(Reprogramaciones!$T$15+7*(Reprogramaciones!L$14-1))),MIN(F34,Reprogramaciones!L$13),11))/MAX(0,NETWORKDAYS.INTL(MAX(E34,(Reprogramaciones!$T$15+7*(Reprogramaciones!L$14-1))),MIN(F34,(Reprogramaciones!$T$15+7*(Reprogramaciones!L$14-1))+6),11))))))))</f>
        <v/>
      </c>
      <c r="BV34" s="1" t="str">
        <f aca="false">IF(OR(NOT(AND(ISNUMBER(E34),ISNUMBER(F34))),$J$2=""),"",IF(Reprogramaciones!M$13&lt;Reprogramaciones!$T$15,0,IF(Reprogramaciones!M$14&gt;10,MIN(100,SUM($G34:$P34)),MIN(100,SUMPRODUCT((COLUMN($G34:$P34)-COLUMN($G34)+1&lt;Reprogramaciones!M$14)*$G34:$P34)+N(INDEX($G34:$P34,1,Reprogramaciones!M$14))*IF(Reprogramaciones!M$13&gt;=(Reprogramaciones!$T$15+7*(Reprogramaciones!M$14-1))+6,1,IF(MAX(0,NETWORKDAYS.INTL(MAX(E34,(Reprogramaciones!$T$15+7*(Reprogramaciones!M$14-1))),MIN(F34,(Reprogramaciones!$T$15+7*(Reprogramaciones!M$14-1))+6),11))=0,0,MAX(0,NETWORKDAYS.INTL(MAX(E34,(Reprogramaciones!$T$15+7*(Reprogramaciones!M$14-1))),MIN(F34,Reprogramaciones!M$13),11))/MAX(0,NETWORKDAYS.INTL(MAX(E34,(Reprogramaciones!$T$15+7*(Reprogramaciones!M$14-1))),MIN(F34,(Reprogramaciones!$T$15+7*(Reprogramaciones!M$14-1))+6),11))))))))</f>
        <v/>
      </c>
      <c r="BW34" s="1" t="str">
        <f aca="false">IF(OR(NOT(AND(ISNUMBER(E34),ISNUMBER(F34))),$J$2=""),"",IF(Reprogramaciones!N$13&lt;Reprogramaciones!$T$15,0,IF(Reprogramaciones!N$14&gt;10,MIN(100,SUM($G34:$P34)),MIN(100,SUMPRODUCT((COLUMN($G34:$P34)-COLUMN($G34)+1&lt;Reprogramaciones!N$14)*$G34:$P34)+N(INDEX($G34:$P34,1,Reprogramaciones!N$14))*IF(Reprogramaciones!N$13&gt;=(Reprogramaciones!$T$15+7*(Reprogramaciones!N$14-1))+6,1,IF(MAX(0,NETWORKDAYS.INTL(MAX(E34,(Reprogramaciones!$T$15+7*(Reprogramaciones!N$14-1))),MIN(F34,(Reprogramaciones!$T$15+7*(Reprogramaciones!N$14-1))+6),11))=0,0,MAX(0,NETWORKDAYS.INTL(MAX(E34,(Reprogramaciones!$T$15+7*(Reprogramaciones!N$14-1))),MIN(F34,Reprogramaciones!N$13),11))/MAX(0,NETWORKDAYS.INTL(MAX(E34,(Reprogramaciones!$T$15+7*(Reprogramaciones!N$14-1))),MIN(F34,(Reprogramaciones!$T$15+7*(Reprogramaciones!N$14-1))+6),11))))))))</f>
        <v/>
      </c>
      <c r="BX34" s="1" t="str">
        <f aca="false">IF(OR(NOT(AND(ISNUMBER(E34),ISNUMBER(F34))),$J$2=""),"",IF(Reprogramaciones!O$13&lt;Reprogramaciones!$T$15,0,IF(Reprogramaciones!O$14&gt;10,MIN(100,SUM($G34:$P34)),MIN(100,SUMPRODUCT((COLUMN($G34:$P34)-COLUMN($G34)+1&lt;Reprogramaciones!O$14)*$G34:$P34)+N(INDEX($G34:$P34,1,Reprogramaciones!O$14))*IF(Reprogramaciones!O$13&gt;=(Reprogramaciones!$T$15+7*(Reprogramaciones!O$14-1))+6,1,IF(MAX(0,NETWORKDAYS.INTL(MAX(E34,(Reprogramaciones!$T$15+7*(Reprogramaciones!O$14-1))),MIN(F34,(Reprogramaciones!$T$15+7*(Reprogramaciones!O$14-1))+6),11))=0,0,MAX(0,NETWORKDAYS.INTL(MAX(E34,(Reprogramaciones!$T$15+7*(Reprogramaciones!O$14-1))),MIN(F34,Reprogramaciones!O$13),11))/MAX(0,NETWORKDAYS.INTL(MAX(E34,(Reprogramaciones!$T$15+7*(Reprogramaciones!O$14-1))),MIN(F34,(Reprogramaciones!$T$15+7*(Reprogramaciones!O$14-1))+6),11))))))))</f>
        <v/>
      </c>
      <c r="BY34" s="1" t="str">
        <f aca="false">IF(OR(NOT(AND(ISNUMBER(E34),ISNUMBER(F34))),$J$2=""),"",IF(Reprogramaciones!P$13&lt;Reprogramaciones!$T$15,0,IF(Reprogramaciones!P$14&gt;10,MIN(100,SUM($G34:$P34)),MIN(100,SUMPRODUCT((COLUMN($G34:$P34)-COLUMN($G34)+1&lt;Reprogramaciones!P$14)*$G34:$P34)+N(INDEX($G34:$P34,1,Reprogramaciones!P$14))*IF(Reprogramaciones!P$13&gt;=(Reprogramaciones!$T$15+7*(Reprogramaciones!P$14-1))+6,1,IF(MAX(0,NETWORKDAYS.INTL(MAX(E34,(Reprogramaciones!$T$15+7*(Reprogramaciones!P$14-1))),MIN(F34,(Reprogramaciones!$T$15+7*(Reprogramaciones!P$14-1))+6),11))=0,0,MAX(0,NETWORKDAYS.INTL(MAX(E34,(Reprogramaciones!$T$15+7*(Reprogramaciones!P$14-1))),MIN(F34,Reprogramaciones!P$13),11))/MAX(0,NETWORKDAYS.INTL(MAX(E34,(Reprogramaciones!$T$15+7*(Reprogramaciones!P$14-1))),MIN(F34,(Reprogramaciones!$T$15+7*(Reprogramaciones!P$14-1))+6),11))))))))</f>
        <v/>
      </c>
      <c r="BZ34" s="1" t="str">
        <f aca="false">IF(OR(NOT(AND(ISNUMBER(E34),ISNUMBER(F34))),$J$2=""),"",IF(Reprogramaciones!Q$13&lt;Reprogramaciones!$T$15,0,IF(Reprogramaciones!Q$14&gt;10,MIN(100,SUM($G34:$P34)),MIN(100,SUMPRODUCT((COLUMN($G34:$P34)-COLUMN($G34)+1&lt;Reprogramaciones!Q$14)*$G34:$P34)+N(INDEX($G34:$P34,1,Reprogramaciones!Q$14))*IF(Reprogramaciones!Q$13&gt;=(Reprogramaciones!$T$15+7*(Reprogramaciones!Q$14-1))+6,1,IF(MAX(0,NETWORKDAYS.INTL(MAX(E34,(Reprogramaciones!$T$15+7*(Reprogramaciones!Q$14-1))),MIN(F34,(Reprogramaciones!$T$15+7*(Reprogramaciones!Q$14-1))+6),11))=0,0,MAX(0,NETWORKDAYS.INTL(MAX(E34,(Reprogramaciones!$T$15+7*(Reprogramaciones!Q$14-1))),MIN(F34,Reprogramaciones!Q$13),11))/MAX(0,NETWORKDAYS.INTL(MAX(E34,(Reprogramaciones!$T$15+7*(Reprogramaciones!Q$14-1))),MIN(F34,(Reprogramaciones!$T$15+7*(Reprogramaciones!Q$14-1))+6),11))))))))</f>
        <v/>
      </c>
      <c r="CA34" s="1" t="str">
        <f aca="false">IF(OR(NOT(AND(ISNUMBER(E34),ISNUMBER(F34))),$J$2=""),"",IF(Reprogramaciones!R$13&lt;Reprogramaciones!$T$15,0,IF(Reprogramaciones!R$14&gt;10,MIN(100,SUM($G34:$P34)),MIN(100,SUMPRODUCT((COLUMN($G34:$P34)-COLUMN($G34)+1&lt;Reprogramaciones!R$14)*$G34:$P34)+N(INDEX($G34:$P34,1,Reprogramaciones!R$14))*IF(Reprogramaciones!R$13&gt;=(Reprogramaciones!$T$15+7*(Reprogramaciones!R$14-1))+6,1,IF(MAX(0,NETWORKDAYS.INTL(MAX(E34,(Reprogramaciones!$T$15+7*(Reprogramaciones!R$14-1))),MIN(F34,(Reprogramaciones!$T$15+7*(Reprogramaciones!R$14-1))+6),11))=0,0,MAX(0,NETWORKDAYS.INTL(MAX(E34,(Reprogramaciones!$T$15+7*(Reprogramaciones!R$14-1))),MIN(F34,Reprogramaciones!R$13),11))/MAX(0,NETWORKDAYS.INTL(MAX(E34,(Reprogramaciones!$T$15+7*(Reprogramaciones!R$14-1))),MIN(F34,(Reprogramaciones!$T$15+7*(Reprogramaciones!R$14-1))+6),11))))))))</f>
        <v/>
      </c>
      <c r="CB34" s="1" t="str">
        <f aca="false">IF(OR(NOT(AND(ISNUMBER(E34),ISNUMBER(F34))),$J$2=""),"",IF(Reprogramaciones!S$13&lt;Reprogramaciones!$T$15,0,IF(Reprogramaciones!S$14&gt;10,MIN(100,SUM($G34:$P34)),MIN(100,SUMPRODUCT((COLUMN($G34:$P34)-COLUMN($G34)+1&lt;Reprogramaciones!S$14)*$G34:$P34)+N(INDEX($G34:$P34,1,Reprogramaciones!S$14))*IF(Reprogramaciones!S$13&gt;=(Reprogramaciones!$T$15+7*(Reprogramaciones!S$14-1))+6,1,IF(MAX(0,NETWORKDAYS.INTL(MAX(E34,(Reprogramaciones!$T$15+7*(Reprogramaciones!S$14-1))),MIN(F34,(Reprogramaciones!$T$15+7*(Reprogramaciones!S$14-1))+6),11))=0,0,MAX(0,NETWORKDAYS.INTL(MAX(E34,(Reprogramaciones!$T$15+7*(Reprogramaciones!S$14-1))),MIN(F34,Reprogramaciones!S$13),11))/MAX(0,NETWORKDAYS.INTL(MAX(E34,(Reprogramaciones!$T$15+7*(Reprogramaciones!S$14-1))),MIN(F34,(Reprogramaciones!$T$15+7*(Reprogramaciones!S$14-1))+6),11))))))))</f>
        <v/>
      </c>
      <c r="CC34" s="1" t="str">
        <f aca="false">IF(OR(NOT(AND(ISNUMBER(E34),ISNUMBER(F34))),$J$2=""),"",IF(Reprogramaciones!T$13&lt;Reprogramaciones!$T$15,0,IF(Reprogramaciones!T$14&gt;10,MIN(100,SUM($G34:$P34)),MIN(100,SUMPRODUCT((COLUMN($G34:$P34)-COLUMN($G34)+1&lt;Reprogramaciones!T$14)*$G34:$P34)+N(INDEX($G34:$P34,1,Reprogramaciones!T$14))*IF(Reprogramaciones!T$13&gt;=(Reprogramaciones!$T$15+7*(Reprogramaciones!T$14-1))+6,1,IF(MAX(0,NETWORKDAYS.INTL(MAX(E34,(Reprogramaciones!$T$15+7*(Reprogramaciones!T$14-1))),MIN(F34,(Reprogramaciones!$T$15+7*(Reprogramaciones!T$14-1))+6),11))=0,0,MAX(0,NETWORKDAYS.INTL(MAX(E34,(Reprogramaciones!$T$15+7*(Reprogramaciones!T$14-1))),MIN(F34,Reprogramaciones!T$13),11))/MAX(0,NETWORKDAYS.INTL(MAX(E34,(Reprogramaciones!$T$15+7*(Reprogramaciones!T$14-1))),MIN(F34,(Reprogramaciones!$T$15+7*(Reprogramaciones!T$14-1))+6),11))))))))</f>
        <v/>
      </c>
      <c r="CD34" s="1" t="str">
        <f aca="false">IF(OR(NOT(AND(ISNUMBER(E34),ISNUMBER(F34))),$J$2=""),"",IF(Reprogramaciones!U$13&lt;Reprogramaciones!$T$15,0,IF(Reprogramaciones!U$14&gt;10,MIN(100,SUM($G34:$P34)),MIN(100,SUMPRODUCT((COLUMN($G34:$P34)-COLUMN($G34)+1&lt;Reprogramaciones!U$14)*$G34:$P34)+N(INDEX($G34:$P34,1,Reprogramaciones!U$14))*IF(Reprogramaciones!U$13&gt;=(Reprogramaciones!$T$15+7*(Reprogramaciones!U$14-1))+6,1,IF(MAX(0,NETWORKDAYS.INTL(MAX(E34,(Reprogramaciones!$T$15+7*(Reprogramaciones!U$14-1))),MIN(F34,(Reprogramaciones!$T$15+7*(Reprogramaciones!U$14-1))+6),11))=0,0,MAX(0,NETWORKDAYS.INTL(MAX(E34,(Reprogramaciones!$T$15+7*(Reprogramaciones!U$14-1))),MIN(F34,Reprogramaciones!U$13),11))/MAX(0,NETWORKDAYS.INTL(MAX(E34,(Reprogramaciones!$T$15+7*(Reprogramaciones!U$14-1))),MIN(F34,(Reprogramaciones!$T$15+7*(Reprogramaciones!U$14-1))+6),11))))))))</f>
        <v/>
      </c>
      <c r="CE34" s="1" t="str">
        <f aca="false">IF(OR(NOT(AND(ISNUMBER(E34),ISNUMBER(F34))),$J$2=""),"",IF(Reprogramaciones!V$13&lt;Reprogramaciones!$T$15,0,IF(Reprogramaciones!V$14&gt;10,MIN(100,SUM($G34:$P34)),MIN(100,SUMPRODUCT((COLUMN($G34:$P34)-COLUMN($G34)+1&lt;Reprogramaciones!V$14)*$G34:$P34)+N(INDEX($G34:$P34,1,Reprogramaciones!V$14))*IF(Reprogramaciones!V$13&gt;=(Reprogramaciones!$T$15+7*(Reprogramaciones!V$14-1))+6,1,IF(MAX(0,NETWORKDAYS.INTL(MAX(E34,(Reprogramaciones!$T$15+7*(Reprogramaciones!V$14-1))),MIN(F34,(Reprogramaciones!$T$15+7*(Reprogramaciones!V$14-1))+6),11))=0,0,MAX(0,NETWORKDAYS.INTL(MAX(E34,(Reprogramaciones!$T$15+7*(Reprogramaciones!V$14-1))),MIN(F34,Reprogramaciones!V$13),11))/MAX(0,NETWORKDAYS.INTL(MAX(E34,(Reprogramaciones!$T$15+7*(Reprogramaciones!V$14-1))),MIN(F34,(Reprogramaciones!$T$15+7*(Reprogramaciones!V$14-1))+6),11))))))))</f>
        <v/>
      </c>
      <c r="CF34" s="1" t="str">
        <f aca="false">IF(OR(NOT(AND(ISNUMBER(E34),ISNUMBER(F34))),$J$2=""),"",IF(Reprogramaciones!W$13&lt;Reprogramaciones!$T$15,0,IF(Reprogramaciones!W$14&gt;10,MIN(100,SUM($G34:$P34)),MIN(100,SUMPRODUCT((COLUMN($G34:$P34)-COLUMN($G34)+1&lt;Reprogramaciones!W$14)*$G34:$P34)+N(INDEX($G34:$P34,1,Reprogramaciones!W$14))*IF(Reprogramaciones!W$13&gt;=(Reprogramaciones!$T$15+7*(Reprogramaciones!W$14-1))+6,1,IF(MAX(0,NETWORKDAYS.INTL(MAX(E34,(Reprogramaciones!$T$15+7*(Reprogramaciones!W$14-1))),MIN(F34,(Reprogramaciones!$T$15+7*(Reprogramaciones!W$14-1))+6),11))=0,0,MAX(0,NETWORKDAYS.INTL(MAX(E34,(Reprogramaciones!$T$15+7*(Reprogramaciones!W$14-1))),MIN(F34,Reprogramaciones!W$13),11))/MAX(0,NETWORKDAYS.INTL(MAX(E34,(Reprogramaciones!$T$15+7*(Reprogramaciones!W$14-1))),MIN(F34,(Reprogramaciones!$T$15+7*(Reprogramaciones!W$14-1))+6),11))))))))</f>
        <v/>
      </c>
      <c r="CG34" s="1" t="str">
        <f aca="false">IF(OR(NOT(AND(ISNUMBER(E34),ISNUMBER(F34))),$J$2=""),"",IF(Reprogramaciones!X$13&lt;Reprogramaciones!$T$15,0,IF(Reprogramaciones!X$14&gt;10,MIN(100,SUM($G34:$P34)),MIN(100,SUMPRODUCT((COLUMN($G34:$P34)-COLUMN($G34)+1&lt;Reprogramaciones!X$14)*$G34:$P34)+N(INDEX($G34:$P34,1,Reprogramaciones!X$14))*IF(Reprogramaciones!X$13&gt;=(Reprogramaciones!$T$15+7*(Reprogramaciones!X$14-1))+6,1,IF(MAX(0,NETWORKDAYS.INTL(MAX(E34,(Reprogramaciones!$T$15+7*(Reprogramaciones!X$14-1))),MIN(F34,(Reprogramaciones!$T$15+7*(Reprogramaciones!X$14-1))+6),11))=0,0,MAX(0,NETWORKDAYS.INTL(MAX(E34,(Reprogramaciones!$T$15+7*(Reprogramaciones!X$14-1))),MIN(F34,Reprogramaciones!X$13),11))/MAX(0,NETWORKDAYS.INTL(MAX(E34,(Reprogramaciones!$T$15+7*(Reprogramaciones!X$14-1))),MIN(F34,(Reprogramaciones!$T$15+7*(Reprogramaciones!X$14-1))+6),11))))))))</f>
        <v/>
      </c>
      <c r="CH34" s="1" t="str">
        <f aca="false">IF(OR(NOT(AND(ISNUMBER(E34),ISNUMBER(F34))),$J$2=""),"",IF(Reprogramaciones!Y$13&lt;Reprogramaciones!$T$15,0,IF(Reprogramaciones!Y$14&gt;10,MIN(100,SUM($G34:$P34)),MIN(100,SUMPRODUCT((COLUMN($G34:$P34)-COLUMN($G34)+1&lt;Reprogramaciones!Y$14)*$G34:$P34)+N(INDEX($G34:$P34,1,Reprogramaciones!Y$14))*IF(Reprogramaciones!Y$13&gt;=(Reprogramaciones!$T$15+7*(Reprogramaciones!Y$14-1))+6,1,IF(MAX(0,NETWORKDAYS.INTL(MAX(E34,(Reprogramaciones!$T$15+7*(Reprogramaciones!Y$14-1))),MIN(F34,(Reprogramaciones!$T$15+7*(Reprogramaciones!Y$14-1))+6),11))=0,0,MAX(0,NETWORKDAYS.INTL(MAX(E34,(Reprogramaciones!$T$15+7*(Reprogramaciones!Y$14-1))),MIN(F34,Reprogramaciones!Y$13),11))/MAX(0,NETWORKDAYS.INTL(MAX(E34,(Reprogramaciones!$T$15+7*(Reprogramaciones!Y$14-1))),MIN(F34,(Reprogramaciones!$T$15+7*(Reprogramaciones!Y$14-1))+6),11))))))))</f>
        <v/>
      </c>
      <c r="CI34" s="1" t="str">
        <f aca="false">IF(OR(NOT(AND(ISNUMBER(E34),ISNUMBER(F34))),$J$2=""),"",IF(Reprogramaciones!Z$13&lt;Reprogramaciones!$T$15,0,IF(Reprogramaciones!Z$14&gt;10,MIN(100,SUM($G34:$P34)),MIN(100,SUMPRODUCT((COLUMN($G34:$P34)-COLUMN($G34)+1&lt;Reprogramaciones!Z$14)*$G34:$P34)+N(INDEX($G34:$P34,1,Reprogramaciones!Z$14))*IF(Reprogramaciones!Z$13&gt;=(Reprogramaciones!$T$15+7*(Reprogramaciones!Z$14-1))+6,1,IF(MAX(0,NETWORKDAYS.INTL(MAX(E34,(Reprogramaciones!$T$15+7*(Reprogramaciones!Z$14-1))),MIN(F34,(Reprogramaciones!$T$15+7*(Reprogramaciones!Z$14-1))+6),11))=0,0,MAX(0,NETWORKDAYS.INTL(MAX(E34,(Reprogramaciones!$T$15+7*(Reprogramaciones!Z$14-1))),MIN(F34,Reprogramaciones!Z$13),11))/MAX(0,NETWORKDAYS.INTL(MAX(E34,(Reprogramaciones!$T$15+7*(Reprogramaciones!Z$14-1))),MIN(F34,(Reprogramaciones!$T$15+7*(Reprogramaciones!Z$14-1))+6),11))))))))</f>
        <v/>
      </c>
      <c r="CJ34" s="1" t="str">
        <f aca="false">IF(OR(OR(NOT(AND(ISNUMBER(E34),ISNUMBER(F34))),$J$2=""),1&gt;Reprogramaciones!$K$16),"",IF(ROUND(SUM($Q34:Q34),1)&gt;=99.5,100,MIN(100,ROUND(SUM($Q34:Q34),1))))</f>
        <v/>
      </c>
      <c r="CK34" s="1" t="str">
        <f aca="false">IF(OR(OR(NOT(AND(ISNUMBER(E34),ISNUMBER(F34))),$J$2=""),2&gt;Reprogramaciones!$K$16),"",IF(ROUND(SUM($Q34:R34),1)&gt;=99.5,100,MIN(100,ROUND(SUM($Q34:R34),1))))</f>
        <v/>
      </c>
      <c r="CL34" s="1" t="str">
        <f aca="false">IF(OR(OR(NOT(AND(ISNUMBER(E34),ISNUMBER(F34))),$J$2=""),3&gt;Reprogramaciones!$K$16),"",IF(ROUND(SUM($Q34:S34),1)&gt;=99.5,100,MIN(100,ROUND(SUM($Q34:S34),1))))</f>
        <v/>
      </c>
      <c r="CM34" s="1" t="str">
        <f aca="false">IF(OR(OR(NOT(AND(ISNUMBER(E34),ISNUMBER(F34))),$J$2=""),4&gt;Reprogramaciones!$K$16),"",IF(ROUND(SUM($Q34:T34),1)&gt;=99.5,100,MIN(100,ROUND(SUM($Q34:T34),1))))</f>
        <v/>
      </c>
      <c r="CN34" s="1" t="str">
        <f aca="false">IF(OR(OR(NOT(AND(ISNUMBER(E34),ISNUMBER(F34))),$J$2=""),5&gt;Reprogramaciones!$K$16),"",IF(ROUND(SUM($Q34:U34),1)&gt;=99.5,100,MIN(100,ROUND(SUM($Q34:U34),1))))</f>
        <v/>
      </c>
      <c r="CO34" s="1" t="str">
        <f aca="false">IF(OR(OR(NOT(AND(ISNUMBER(E34),ISNUMBER(F34))),$J$2=""),6&gt;Reprogramaciones!$K$16),"",IF(ROUND(SUM($Q34:V34),1)&gt;=99.5,100,MIN(100,ROUND(SUM($Q34:V34),1))))</f>
        <v/>
      </c>
      <c r="CP34" s="1" t="str">
        <f aca="false">IF(OR(OR(NOT(AND(ISNUMBER(E34),ISNUMBER(F34))),$J$2=""),7&gt;Reprogramaciones!$K$16),"",IF(ROUND(SUM($Q34:W34),1)&gt;=99.5,100,MIN(100,ROUND(SUM($Q34:W34),1))))</f>
        <v/>
      </c>
      <c r="CQ34" s="1" t="str">
        <f aca="false">IF(OR(OR(NOT(AND(ISNUMBER(E34),ISNUMBER(F34))),$J$2=""),8&gt;Reprogramaciones!$K$16),"",IF(ROUND(SUM($Q34:X34),1)&gt;=99.5,100,MIN(100,ROUND(SUM($Q34:X34),1))))</f>
        <v/>
      </c>
      <c r="CR34" s="1" t="str">
        <f aca="false">IF(OR(OR(NOT(AND(ISNUMBER(E34),ISNUMBER(F34))),$J$2=""),9&gt;Reprogramaciones!$K$16),"",IF(ROUND(SUM($Q34:Y34),1)&gt;=99.5,100,MIN(100,ROUND(SUM($Q34:Y34),1))))</f>
        <v/>
      </c>
      <c r="CS34" s="1" t="str">
        <f aca="false">IF(OR(OR(NOT(AND(ISNUMBER(E34),ISNUMBER(F34))),$J$2=""),10&gt;Reprogramaciones!$K$16),"",IF(ROUND(SUM($Q34:Z34),1)&gt;=99.5,100,MIN(100,ROUND(SUM($Q34:Z34),1))))</f>
        <v/>
      </c>
      <c r="CT34" s="1" t="str">
        <f aca="false">IF(OR(OR(NOT(AND(ISNUMBER(E34),ISNUMBER(F34))),$J$2=""),11&gt;Reprogramaciones!$K$16),"",IF(ROUND(SUM($Q34:AA34),1)&gt;=99.5,100,MIN(100,ROUND(SUM($Q34:AA34),1))))</f>
        <v/>
      </c>
      <c r="CU34" s="1" t="str">
        <f aca="false">IF(OR(OR(NOT(AND(ISNUMBER(E34),ISNUMBER(F34))),$J$2=""),12&gt;Reprogramaciones!$K$16),"",IF(ROUND(SUM($Q34:AB34),1)&gt;=99.5,100,MIN(100,ROUND(SUM($Q34:AB34),1))))</f>
        <v/>
      </c>
      <c r="CV34" s="1" t="str">
        <f aca="false">IF(OR(OR(NOT(AND(ISNUMBER(E34),ISNUMBER(F34))),$J$2=""),13&gt;Reprogramaciones!$K$16),"",IF(ROUND(SUM($Q34:AC34),1)&gt;=99.5,100,MIN(100,ROUND(SUM($Q34:AC34),1))))</f>
        <v/>
      </c>
      <c r="CW34" s="1" t="str">
        <f aca="false">IF(OR(OR(NOT(AND(ISNUMBER(E34),ISNUMBER(F34))),$J$2=""),14&gt;Reprogramaciones!$K$16),"",IF(ROUND(SUM($Q34:AD34),1)&gt;=99.5,100,MIN(100,ROUND(SUM($Q34:AD34),1))))</f>
        <v/>
      </c>
      <c r="CX34" s="1" t="str">
        <f aca="false">IF(OR(OR(NOT(AND(ISNUMBER(E34),ISNUMBER(F34))),$J$2=""),15&gt;Reprogramaciones!$K$16),"",IF(ROUND(SUM($Q34:AE34),1)&gt;=99.5,100,MIN(100,ROUND(SUM($Q34:AE34),1))))</f>
        <v/>
      </c>
      <c r="CY34" s="1" t="str">
        <f aca="false">IF(OR(OR(NOT(AND(ISNUMBER(E34),ISNUMBER(F34))),$J$2=""),16&gt;Reprogramaciones!$K$16),"",IF(ROUND(SUM($Q34:AF34),1)&gt;=99.5,100,MIN(100,ROUND(SUM($Q34:AF34),1))))</f>
        <v/>
      </c>
      <c r="CZ34" s="1" t="str">
        <f aca="false">IF(D34&lt;&gt;"",D34,IF(B34&lt;&gt;"","Contractual",CZ33))</f>
        <v>Contractual</v>
      </c>
      <c r="DA34" s="1" t="str">
        <f aca="false">IF(OR(NOT(AND(ISNUMBER(E34),ISNUMBER(F34))),$J$2=""),"",IF(Reprogramaciones!$Q$15&lt;Reprogramaciones!$T$15,0,IF(Reprogramaciones!$S$15&gt;10,MIN(100,SUM($G34:$P34)),MIN(100,SUMPRODUCT((COLUMN($G34:$P34)-COLUMN($G34)+1&lt;Reprogramaciones!$S$15)*$G34:$P34)+N(INDEX($G34:$P34,1,Reprogramaciones!$S$15))*IF(Reprogramaciones!$Q$15&gt;=(Reprogramaciones!$T$15+7*(Reprogramaciones!$S$15-1))+6,1,IF(MAX(0,NETWORKDAYS.INTL(MAX(E34,(Reprogramaciones!$T$15+7*(Reprogramaciones!$S$15-1))),MIN(F34,(Reprogramaciones!$T$15+7*(Reprogramaciones!$S$15-1))+6),11))=0,0,MAX(0,NETWORKDAYS.INTL(MAX(E34,(Reprogramaciones!$T$15+7*(Reprogramaciones!$S$15-1))),MIN(F34,Reprogramaciones!$Q$15),11))/MAX(0,NETWORKDAYS.INTL(MAX(E34,(Reprogramaciones!$T$15+7*(Reprogramaciones!$S$15-1))),MIN(F34,(Reprogramaciones!$T$15+7*(Reprogramaciones!$S$15-1))+6),11))))))))</f>
        <v/>
      </c>
    </row>
    <row r="35" customFormat="false" ht="15" hidden="false" customHeight="false" outlineLevel="0" collapsed="false">
      <c r="A35" s="32" t="s">
        <v>211</v>
      </c>
      <c r="B35" s="33"/>
      <c r="C35" s="33" t="s">
        <v>212</v>
      </c>
      <c r="D35" s="34"/>
      <c r="E35" s="35" t="n">
        <v>46307</v>
      </c>
      <c r="F35" s="35" t="n">
        <v>46311</v>
      </c>
      <c r="G35" s="36" t="n">
        <f aca="false">IF(OR(NOT(AND(ISNUMBER(E35),ISNUMBER(F35))),$J$2=""),"",IF(Reprogramaciones!K$9&lt;E35,0,IF(NETWORKDAYS.INTL(E35,F35,11)=0,IF(Reprogramaciones!K$9&gt;=F35,100,0),ROUND(NETWORKDAYS.INTL(E35,MIN(F35,Reprogramaciones!K$9),11)/NETWORKDAYS.INTL(E35,F35,11)*100,1)))-0)</f>
        <v>0</v>
      </c>
      <c r="H35" s="36" t="n">
        <f aca="false">IF(OR(NOT(AND(ISNUMBER(E35),ISNUMBER(F35))),$J$2=""),"",IF(Reprogramaciones!L$9&lt;E35,0,IF(NETWORKDAYS.INTL(E35,F35,11)=0,IF(Reprogramaciones!L$9&gt;=F35,100,0),ROUND(NETWORKDAYS.INTL(E35,MIN(F35,Reprogramaciones!L$9),11)/NETWORKDAYS.INTL(E35,F35,11)*100,1)))-IF(Reprogramaciones!K$9&lt;E35,0,IF(NETWORKDAYS.INTL(E35,F35,11)=0,IF(Reprogramaciones!K$9&gt;=F35,100,0),ROUND(NETWORKDAYS.INTL(E35,MIN(F35,Reprogramaciones!K$9),11)/NETWORKDAYS.INTL(E35,F35,11)*100,1))))</f>
        <v>0</v>
      </c>
      <c r="I35" s="36" t="n">
        <f aca="false">IF(OR(NOT(AND(ISNUMBER(E35),ISNUMBER(F35))),$J$2=""),"",IF(Reprogramaciones!M$9&lt;E35,0,IF(NETWORKDAYS.INTL(E35,F35,11)=0,IF(Reprogramaciones!M$9&gt;=F35,100,0),ROUND(NETWORKDAYS.INTL(E35,MIN(F35,Reprogramaciones!M$9),11)/NETWORKDAYS.INTL(E35,F35,11)*100,1)))-IF(Reprogramaciones!L$9&lt;E35,0,IF(NETWORKDAYS.INTL(E35,F35,11)=0,IF(Reprogramaciones!L$9&gt;=F35,100,0),ROUND(NETWORKDAYS.INTL(E35,MIN(F35,Reprogramaciones!L$9),11)/NETWORKDAYS.INTL(E35,F35,11)*100,1))))</f>
        <v>0</v>
      </c>
      <c r="J35" s="36" t="n">
        <f aca="false">IF(OR(NOT(AND(ISNUMBER(E35),ISNUMBER(F35))),$J$2=""),"",IF(Reprogramaciones!N$9&lt;E35,0,IF(NETWORKDAYS.INTL(E35,F35,11)=0,IF(Reprogramaciones!N$9&gt;=F35,100,0),ROUND(NETWORKDAYS.INTL(E35,MIN(F35,Reprogramaciones!N$9),11)/NETWORKDAYS.INTL(E35,F35,11)*100,1)))-IF(Reprogramaciones!M$9&lt;E35,0,IF(NETWORKDAYS.INTL(E35,F35,11)=0,IF(Reprogramaciones!M$9&gt;=F35,100,0),ROUND(NETWORKDAYS.INTL(E35,MIN(F35,Reprogramaciones!M$9),11)/NETWORKDAYS.INTL(E35,F35,11)*100,1))))</f>
        <v>100</v>
      </c>
      <c r="K35" s="36" t="n">
        <f aca="false">IF(OR(NOT(AND(ISNUMBER(E35),ISNUMBER(F35))),$J$2=""),"",IF(Reprogramaciones!O$9&lt;E35,0,IF(NETWORKDAYS.INTL(E35,F35,11)=0,IF(Reprogramaciones!O$9&gt;=F35,100,0),ROUND(NETWORKDAYS.INTL(E35,MIN(F35,Reprogramaciones!O$9),11)/NETWORKDAYS.INTL(E35,F35,11)*100,1)))-IF(Reprogramaciones!N$9&lt;E35,0,IF(NETWORKDAYS.INTL(E35,F35,11)=0,IF(Reprogramaciones!N$9&gt;=F35,100,0),ROUND(NETWORKDAYS.INTL(E35,MIN(F35,Reprogramaciones!N$9),11)/NETWORKDAYS.INTL(E35,F35,11)*100,1))))</f>
        <v>0</v>
      </c>
      <c r="L35" s="36" t="n">
        <f aca="false">IF(OR(NOT(AND(ISNUMBER(E35),ISNUMBER(F35))),$J$2=""),"",IF(Reprogramaciones!P$9&lt;E35,0,IF(NETWORKDAYS.INTL(E35,F35,11)=0,IF(Reprogramaciones!P$9&gt;=F35,100,0),ROUND(NETWORKDAYS.INTL(E35,MIN(F35,Reprogramaciones!P$9),11)/NETWORKDAYS.INTL(E35,F35,11)*100,1)))-IF(Reprogramaciones!O$9&lt;E35,0,IF(NETWORKDAYS.INTL(E35,F35,11)=0,IF(Reprogramaciones!O$9&gt;=F35,100,0),ROUND(NETWORKDAYS.INTL(E35,MIN(F35,Reprogramaciones!O$9),11)/NETWORKDAYS.INTL(E35,F35,11)*100,1))))</f>
        <v>0</v>
      </c>
      <c r="M35" s="36" t="n">
        <f aca="false">IF(OR(NOT(AND(ISNUMBER(E35),ISNUMBER(F35))),$J$2=""),"",IF(Reprogramaciones!Q$9&lt;E35,0,IF(NETWORKDAYS.INTL(E35,F35,11)=0,IF(Reprogramaciones!Q$9&gt;=F35,100,0),ROUND(NETWORKDAYS.INTL(E35,MIN(F35,Reprogramaciones!Q$9),11)/NETWORKDAYS.INTL(E35,F35,11)*100,1)))-IF(Reprogramaciones!P$9&lt;E35,0,IF(NETWORKDAYS.INTL(E35,F35,11)=0,IF(Reprogramaciones!P$9&gt;=F35,100,0),ROUND(NETWORKDAYS.INTL(E35,MIN(F35,Reprogramaciones!P$9),11)/NETWORKDAYS.INTL(E35,F35,11)*100,1))))</f>
        <v>0</v>
      </c>
      <c r="N35" s="36" t="n">
        <f aca="false">IF(OR(NOT(AND(ISNUMBER(E35),ISNUMBER(F35))),$J$2=""),"",IF(Reprogramaciones!R$9&lt;E35,0,IF(NETWORKDAYS.INTL(E35,F35,11)=0,IF(Reprogramaciones!R$9&gt;=F35,100,0),ROUND(NETWORKDAYS.INTL(E35,MIN(F35,Reprogramaciones!R$9),11)/NETWORKDAYS.INTL(E35,F35,11)*100,1)))-IF(Reprogramaciones!Q$9&lt;E35,0,IF(NETWORKDAYS.INTL(E35,F35,11)=0,IF(Reprogramaciones!Q$9&gt;=F35,100,0),ROUND(NETWORKDAYS.INTL(E35,MIN(F35,Reprogramaciones!Q$9),11)/NETWORKDAYS.INTL(E35,F35,11)*100,1))))</f>
        <v>0</v>
      </c>
      <c r="O35" s="36" t="n">
        <f aca="false">IF(OR(NOT(AND(ISNUMBER(E35),ISNUMBER(F35))),$J$2=""),"",IF(Reprogramaciones!S$9&lt;E35,0,IF(NETWORKDAYS.INTL(E35,F35,11)=0,IF(Reprogramaciones!S$9&gt;=F35,100,0),ROUND(NETWORKDAYS.INTL(E35,MIN(F35,Reprogramaciones!S$9),11)/NETWORKDAYS.INTL(E35,F35,11)*100,1)))-IF(Reprogramaciones!R$9&lt;E35,0,IF(NETWORKDAYS.INTL(E35,F35,11)=0,IF(Reprogramaciones!R$9&gt;=F35,100,0),ROUND(NETWORKDAYS.INTL(E35,MIN(F35,Reprogramaciones!R$9),11)/NETWORKDAYS.INTL(E35,F35,11)*100,1))))</f>
        <v>0</v>
      </c>
      <c r="P35" s="36" t="n">
        <f aca="false">IF(OR(NOT(AND(ISNUMBER(E35),ISNUMBER(F35))),$J$2=""),"",IF(Reprogramaciones!T$9&lt;E35,0,IF(NETWORKDAYS.INTL(E35,F35,11)=0,IF(Reprogramaciones!T$9&gt;=F35,100,0),ROUND(NETWORKDAYS.INTL(E35,MIN(F35,Reprogramaciones!T$9),11)/NETWORKDAYS.INTL(E35,F35,11)*100,1)))-IF(Reprogramaciones!S$9&lt;E35,0,IF(NETWORKDAYS.INTL(E35,F35,11)=0,IF(Reprogramaciones!S$9&gt;=F35,100,0),ROUND(NETWORKDAYS.INTL(E35,MIN(F35,Reprogramaciones!S$9),11)/NETWORKDAYS.INTL(E35,F35,11)*100,1))))</f>
        <v>0</v>
      </c>
      <c r="Q35" s="37"/>
      <c r="R35" s="37"/>
      <c r="S35" s="37"/>
      <c r="T35" s="37" t="n">
        <v>100</v>
      </c>
      <c r="U35" s="37"/>
      <c r="V35" s="37"/>
      <c r="W35" s="37"/>
      <c r="X35" s="37"/>
      <c r="Y35" s="37"/>
      <c r="Z35" s="37"/>
      <c r="AA35" s="37"/>
      <c r="AB35" s="37"/>
      <c r="AC35" s="37"/>
      <c r="AD35" s="37"/>
      <c r="AE35" s="37"/>
      <c r="AF35" s="37"/>
      <c r="AG35" s="38" t="n">
        <f aca="false">IF(AND(ISNUMBER(E35),ISNUMBER(F35)),NETWORKDAYS.INTL(E35,F35,11),"")</f>
        <v>5</v>
      </c>
      <c r="AH35" s="38" t="n">
        <f aca="false">IF(OR(NOT(AND(ISNUMBER(E35),ISNUMBER(F35))),$J$2=""),"",IF(Reprogramaciones!$P$15&lt;Reprogramaciones!$T$15,0,IF(Reprogramaciones!$R$15&gt;10,MIN(100,SUM($G35:$P35)),MIN(100,SUMPRODUCT((COLUMN($G35:$P35)-COLUMN($G35)+1&lt;Reprogramaciones!$R$15)*$G35:$P35)+N(INDEX($G35:$P35,1,Reprogramaciones!$R$15))*IF(Reprogramaciones!$P$15&gt;=(Reprogramaciones!$T$15+7*(Reprogramaciones!$R$15-1))+6,1,IF(MAX(0,NETWORKDAYS.INTL(MAX(E35,(Reprogramaciones!$T$15+7*(Reprogramaciones!$R$15-1))),MIN(F35,(Reprogramaciones!$T$15+7*(Reprogramaciones!$R$15-1))+6),11))=0,0,MAX(0,NETWORKDAYS.INTL(MAX(E35,(Reprogramaciones!$T$15+7*(Reprogramaciones!$R$15-1))),MIN(F35,Reprogramaciones!$P$15),11))/MAX(0,NETWORKDAYS.INTL(MAX(E35,(Reprogramaciones!$T$15+7*(Reprogramaciones!$R$15-1))),MIN(F35,(Reprogramaciones!$T$15+7*(Reprogramaciones!$R$15-1))+6),11))))))))</f>
        <v>100</v>
      </c>
      <c r="AI35" s="38" t="n">
        <f aca="false">IF(COUNT($Q35:$AF35)=0,"",IF(ROUND(SUM($Q35:$AF35),1)&gt;=99.5,100,MIN(100,ROUND(SUM($Q35:$AF35),1))))</f>
        <v>100</v>
      </c>
      <c r="AJ35" s="38" t="n">
        <f aca="false">IF(OR(AH35="",AI35=""),"",AI35-AH35)</f>
        <v>0</v>
      </c>
      <c r="AK35" s="39" t="str">
        <f aca="true">IF(AH35="","",IF(OR(Ficha!$C$10="Suspendida",Ficha!$C$10="Cancelada"),Ficha!$C$10,IF(AND(AI35&lt;&gt;"",N(AI35)&gt;=100),"Completada",IF(AND(E35&gt;TODAY(),N(AI35)=0),"Por iniciar",IF(N(AI35)+0.5&lt;AH35,"Retrasada",IF(N(AI35)+0.5&lt;DA35,IF(Reprogramaciones!$K$15&gt;0,"Al día · Sem "&amp;Reprogramaciones!$K$15&amp;" en curso","Al día · en curso"),"A tiempo"))))))</f>
        <v>Completada</v>
      </c>
      <c r="AL35" s="39" t="str">
        <f aca="true">IF(AND(A35="",AND(B35="",C35="",E35="",F35="",COUNT(Q35:AF35)=0)),"",IF(AND(B35="",C35="",E35="",F35="",COUNT(Q35:AF35)=0),"Falta la partida o subpartida",IF(AND(A35&lt;&gt;"",COUNTIF($A$6:$A$305,A35)&gt;1),"Ítem repetido",IF(AND(C35="",E35="",F35="",COUNT(Q35:AF35)=0),"Título de partida",IF(OR(E35="",F35=""),"Faltan fechas",IF(OR(ISTEXT(E35),ISTEXT(F35)),"Fecha escrita como texto: usa dd/mm/aaaa",IF(F35&lt;E35,"Fin antes del inicio",IF(IF($J$2="",FALSE(),OR(E35&lt;$J$2,F35&gt;Reprogramaciones!$T$15+69)),"Fuera de las 10 semanas",IF(ABS(SUM(G35:P35)-100)&gt;0.5,"La meta no suma 100%",IF(ROUND(SUM(Q35:AF35),1)&gt;100.5,"El avance pasa de 100%",IF(MIN(Q35:AF35)&lt;0,"Avance negativo",IF(COUNTA(Q35:AF35)&gt;COUNT(Q35:AF35),"Avance escrito como texto",IF(SUMPRODUCT((Q35:AF35&gt;0)*(Q35:AF35&lt;1))&gt;0,"Avance menor a 1: escribe 50, no 50%",IF(SUMPRODUCT(ISNUMBER(Q35:AF35)*(Reprogramaciones!$K$8:$Z$8&gt;TODAY()))&gt;0,"Avance en semana que aún no llega",IF(AND(N(Reprogramaciones!$E$21)&gt;0,F35&gt;Reprogramaciones!$E$21),"Pasa el fin de la obra: registra una reprogramación",IF(AND(N(Reprogramaciones!$E$21)&gt;0,SUMPRODUCT(ISNUMBER(Q35:AF35)*(Reprogramaciones!$K$8:$Z$8&gt;Reprogramaciones!$E$21))&gt;0),"Avance después del fin de la obra: registra una reprogramación por atraso","OK"))))))))))))))))</f>
        <v>OK</v>
      </c>
      <c r="AM35" s="40" t="str">
        <f aca="false">IF(OR(OR(NOT(AND(ISNUMBER(E35),ISNUMBER(F35))),$J$2=""),1&gt;MAX(1,Reprogramaciones!$U$15)),"",IF(Reprogramaciones!K$12&gt;=7,"",IF(OR(BT35-N(0)&gt;0.05,N(Q35)&gt;0),ROUNDDOWN(ROUND(BT35,6),0)&amp;"%"&amp;IF(CJ35="",""," / "&amp;CJ35&amp;"%"),IF(AND(N(0)&gt;=99.95,CJ35&lt;&gt;"",N(CJ35)&lt;100),"Pend. "&amp;CJ35&amp;"%",""))))</f>
        <v/>
      </c>
      <c r="AN35" s="40" t="str">
        <f aca="false">IF(OR(OR(NOT(AND(ISNUMBER(E35),ISNUMBER(F35))),$J$2=""),2&gt;MAX(1,Reprogramaciones!$U$15)),"",IF(Reprogramaciones!L$12&gt;=7,"",IF(OR(BU35-N(BT35)&gt;0.05,N(R35)&gt;0),ROUNDDOWN(ROUND(BU35,6),0)&amp;"%"&amp;IF(CK35="",""," / "&amp;CK35&amp;"%"),IF(AND(N(BT35)&gt;=99.95,CK35&lt;&gt;"",N(CK35)&lt;100),"Pend. "&amp;CK35&amp;"%",""))))</f>
        <v/>
      </c>
      <c r="AO35" s="40" t="str">
        <f aca="false">IF(OR(OR(NOT(AND(ISNUMBER(E35),ISNUMBER(F35))),$J$2=""),3&gt;MAX(1,Reprogramaciones!$U$15)),"",IF(Reprogramaciones!M$12&gt;=7,"",IF(OR(BV35-N(BU35)&gt;0.05,N(S35)&gt;0),ROUNDDOWN(ROUND(BV35,6),0)&amp;"%"&amp;IF(CL35="",""," / "&amp;CL35&amp;"%"),IF(AND(N(BU35)&gt;=99.95,CL35&lt;&gt;"",N(CL35)&lt;100),"Pend. "&amp;CL35&amp;"%",""))))</f>
        <v/>
      </c>
      <c r="AP35" s="40" t="str">
        <f aca="false">IF(OR(OR(NOT(AND(ISNUMBER(E35),ISNUMBER(F35))),$J$2=""),4&gt;MAX(1,Reprogramaciones!$U$15)),"",IF(Reprogramaciones!N$12&gt;=7,"",IF(OR(BW35-N(BV35)&gt;0.05,N(T35)&gt;0),ROUNDDOWN(ROUND(BW35,6),0)&amp;"%"&amp;IF(CM35="",""," / "&amp;CM35&amp;"%"),IF(AND(N(BV35)&gt;=99.95,CM35&lt;&gt;"",N(CM35)&lt;100),"Pend. "&amp;CM35&amp;"%",""))))</f>
        <v>100% / 100%</v>
      </c>
      <c r="AQ35" s="40" t="str">
        <f aca="false">IF(OR(OR(NOT(AND(ISNUMBER(E35),ISNUMBER(F35))),$J$2=""),5&gt;MAX(1,Reprogramaciones!$U$15)),"",IF(Reprogramaciones!O$12&gt;=7,"",IF(OR(BX35-N(BW35)&gt;0.05,N(U35)&gt;0),ROUNDDOWN(ROUND(BX35,6),0)&amp;"%"&amp;IF(CN35="",""," / "&amp;CN35&amp;"%"),IF(AND(N(BW35)&gt;=99.95,CN35&lt;&gt;"",N(CN35)&lt;100),"Pend. "&amp;CN35&amp;"%",""))))</f>
        <v/>
      </c>
      <c r="AR35" s="40" t="str">
        <f aca="false">IF(OR(OR(NOT(AND(ISNUMBER(E35),ISNUMBER(F35))),$J$2=""),6&gt;MAX(1,Reprogramaciones!$U$15)),"",IF(Reprogramaciones!P$12&gt;=7,"",IF(OR(BY35-N(BX35)&gt;0.05,N(V35)&gt;0),ROUNDDOWN(ROUND(BY35,6),0)&amp;"%"&amp;IF(CO35="",""," / "&amp;CO35&amp;"%"),IF(AND(N(BX35)&gt;=99.95,CO35&lt;&gt;"",N(CO35)&lt;100),"Pend. "&amp;CO35&amp;"%",""))))</f>
        <v/>
      </c>
      <c r="AS35" s="40" t="str">
        <f aca="false">IF(OR(OR(NOT(AND(ISNUMBER(E35),ISNUMBER(F35))),$J$2=""),7&gt;MAX(1,Reprogramaciones!$U$15)),"",IF(Reprogramaciones!Q$12&gt;=7,"",IF(OR(BZ35-N(BY35)&gt;0.05,N(W35)&gt;0),ROUNDDOWN(ROUND(BZ35,6),0)&amp;"%"&amp;IF(CP35="",""," / "&amp;CP35&amp;"%"),IF(AND(N(BY35)&gt;=99.95,CP35&lt;&gt;"",N(CP35)&lt;100),"Pend. "&amp;CP35&amp;"%",""))))</f>
        <v/>
      </c>
      <c r="AT35" s="40" t="str">
        <f aca="false">IF(OR(OR(NOT(AND(ISNUMBER(E35),ISNUMBER(F35))),$J$2=""),8&gt;MAX(1,Reprogramaciones!$U$15)),"",IF(Reprogramaciones!R$12&gt;=7,"",IF(OR(CA35-N(BZ35)&gt;0.05,N(X35)&gt;0),ROUNDDOWN(ROUND(CA35,6),0)&amp;"%"&amp;IF(CQ35="",""," / "&amp;CQ35&amp;"%"),IF(AND(N(BZ35)&gt;=99.95,CQ35&lt;&gt;"",N(CQ35)&lt;100),"Pend. "&amp;CQ35&amp;"%",""))))</f>
        <v/>
      </c>
      <c r="AU35" s="40" t="str">
        <f aca="false">IF(OR(OR(NOT(AND(ISNUMBER(E35),ISNUMBER(F35))),$J$2=""),9&gt;MAX(1,Reprogramaciones!$U$15)),"",IF(Reprogramaciones!S$12&gt;=7,"",IF(OR(CB35-N(CA35)&gt;0.05,N(Y35)&gt;0),ROUNDDOWN(ROUND(CB35,6),0)&amp;"%"&amp;IF(CR35="",""," / "&amp;CR35&amp;"%"),IF(AND(N(CA35)&gt;=99.95,CR35&lt;&gt;"",N(CR35)&lt;100),"Pend. "&amp;CR35&amp;"%",""))))</f>
        <v/>
      </c>
      <c r="AV35" s="40" t="str">
        <f aca="false">IF(OR(OR(NOT(AND(ISNUMBER(E35),ISNUMBER(F35))),$J$2=""),10&gt;MAX(1,Reprogramaciones!$U$15)),"",IF(Reprogramaciones!T$12&gt;=7,"",IF(OR(CC35-N(CB35)&gt;0.05,N(Z35)&gt;0),ROUNDDOWN(ROUND(CC35,6),0)&amp;"%"&amp;IF(CS35="",""," / "&amp;CS35&amp;"%"),IF(AND(N(CB35)&gt;=99.95,CS35&lt;&gt;"",N(CS35)&lt;100),"Pend. "&amp;CS35&amp;"%",""))))</f>
        <v/>
      </c>
      <c r="AW35" s="40" t="str">
        <f aca="false">IF(OR(OR(NOT(AND(ISNUMBER(E35),ISNUMBER(F35))),$J$2=""),11&gt;MAX(1,Reprogramaciones!$U$15)),"",IF(Reprogramaciones!U$12&gt;=7,"",IF(OR(CD35-N(CC35)&gt;0.05,N(AA35)&gt;0),ROUNDDOWN(ROUND(CD35,6),0)&amp;"%"&amp;IF(CT35="",""," / "&amp;CT35&amp;"%"),IF(AND(N(CC35)&gt;=99.95,CT35&lt;&gt;"",N(CT35)&lt;100),"Pend. "&amp;CT35&amp;"%",""))))</f>
        <v/>
      </c>
      <c r="AX35" s="40" t="str">
        <f aca="false">IF(OR(OR(NOT(AND(ISNUMBER(E35),ISNUMBER(F35))),$J$2=""),12&gt;MAX(1,Reprogramaciones!$U$15)),"",IF(Reprogramaciones!V$12&gt;=7,"",IF(OR(CE35-N(CD35)&gt;0.05,N(AB35)&gt;0),ROUNDDOWN(ROUND(CE35,6),0)&amp;"%"&amp;IF(CU35="",""," / "&amp;CU35&amp;"%"),IF(AND(N(CD35)&gt;=99.95,CU35&lt;&gt;"",N(CU35)&lt;100),"Pend. "&amp;CU35&amp;"%",""))))</f>
        <v/>
      </c>
      <c r="AY35" s="40" t="str">
        <f aca="false">IF(OR(OR(NOT(AND(ISNUMBER(E35),ISNUMBER(F35))),$J$2=""),13&gt;MAX(1,Reprogramaciones!$U$15)),"",IF(Reprogramaciones!W$12&gt;=7,"",IF(OR(CF35-N(CE35)&gt;0.05,N(AC35)&gt;0),ROUNDDOWN(ROUND(CF35,6),0)&amp;"%"&amp;IF(CV35="",""," / "&amp;CV35&amp;"%"),IF(AND(N(CE35)&gt;=99.95,CV35&lt;&gt;"",N(CV35)&lt;100),"Pend. "&amp;CV35&amp;"%",""))))</f>
        <v/>
      </c>
      <c r="AZ35" s="40" t="str">
        <f aca="false">IF(OR(OR(NOT(AND(ISNUMBER(E35),ISNUMBER(F35))),$J$2=""),14&gt;MAX(1,Reprogramaciones!$U$15)),"",IF(Reprogramaciones!X$12&gt;=7,"",IF(OR(CG35-N(CF35)&gt;0.05,N(AD35)&gt;0),ROUNDDOWN(ROUND(CG35,6),0)&amp;"%"&amp;IF(CW35="",""," / "&amp;CW35&amp;"%"),IF(AND(N(CF35)&gt;=99.95,CW35&lt;&gt;"",N(CW35)&lt;100),"Pend. "&amp;CW35&amp;"%",""))))</f>
        <v/>
      </c>
      <c r="BA35" s="40" t="str">
        <f aca="false">IF(OR(OR(NOT(AND(ISNUMBER(E35),ISNUMBER(F35))),$J$2=""),15&gt;MAX(1,Reprogramaciones!$U$15)),"",IF(Reprogramaciones!Y$12&gt;=7,"",IF(OR(CH35-N(CG35)&gt;0.05,N(AE35)&gt;0),ROUNDDOWN(ROUND(CH35,6),0)&amp;"%"&amp;IF(CX35="",""," / "&amp;CX35&amp;"%"),IF(AND(N(CG35)&gt;=99.95,CX35&lt;&gt;"",N(CX35)&lt;100),"Pend. "&amp;CX35&amp;"%",""))))</f>
        <v/>
      </c>
      <c r="BB35" s="40" t="str">
        <f aca="false">IF(OR(OR(NOT(AND(ISNUMBER(E35),ISNUMBER(F35))),$J$2=""),16&gt;MAX(1,Reprogramaciones!$U$15)),"",IF(Reprogramaciones!Z$12&gt;=7,"",IF(OR(CI35-N(CH35)&gt;0.05,N(AF35)&gt;0),ROUNDDOWN(ROUND(CI35,6),0)&amp;"%"&amp;IF(CY35="",""," / "&amp;CY35&amp;"%"),IF(AND(N(CH35)&gt;=99.95,CY35&lt;&gt;"",N(CY35)&lt;100),"Pend. "&amp;CY35&amp;"%",""))))</f>
        <v/>
      </c>
      <c r="BC35" s="31" t="n">
        <f aca="false">IF(AND(ISNUMBER(E35),ISNUMBER(F35)),MAX(1,NETWORKDAYS.INTL(E35,F35,11)),0)</f>
        <v>5</v>
      </c>
      <c r="BD35" s="1" t="n">
        <f aca="false">IF(OR(NOT(AND(ISNUMBER(E35),ISNUMBER(F35))),$J$2=""),"",MIN(100,ROUND(SUM($G35:G35),1)))</f>
        <v>0</v>
      </c>
      <c r="BE35" s="1" t="n">
        <f aca="false">IF(OR(NOT(AND(ISNUMBER(E35),ISNUMBER(F35))),$J$2=""),"",MIN(100,ROUND(SUM($G35:H35),1)))</f>
        <v>0</v>
      </c>
      <c r="BF35" s="1" t="n">
        <f aca="false">IF(OR(NOT(AND(ISNUMBER(E35),ISNUMBER(F35))),$J$2=""),"",MIN(100,ROUND(SUM($G35:I35),1)))</f>
        <v>0</v>
      </c>
      <c r="BG35" s="1" t="n">
        <f aca="false">IF(OR(NOT(AND(ISNUMBER(E35),ISNUMBER(F35))),$J$2=""),"",MIN(100,ROUND(SUM($G35:J35),1)))</f>
        <v>100</v>
      </c>
      <c r="BH35" s="1" t="n">
        <f aca="false">IF(OR(NOT(AND(ISNUMBER(E35),ISNUMBER(F35))),$J$2=""),"",MIN(100,ROUND(SUM($G35:K35),1)))</f>
        <v>100</v>
      </c>
      <c r="BI35" s="1" t="n">
        <f aca="false">IF(OR(NOT(AND(ISNUMBER(E35),ISNUMBER(F35))),$J$2=""),"",MIN(100,ROUND(SUM($G35:L35),1)))</f>
        <v>100</v>
      </c>
      <c r="BJ35" s="1" t="n">
        <f aca="false">IF(OR(NOT(AND(ISNUMBER(E35),ISNUMBER(F35))),$J$2=""),"",MIN(100,ROUND(SUM($G35:M35),1)))</f>
        <v>100</v>
      </c>
      <c r="BK35" s="1" t="n">
        <f aca="false">IF(OR(NOT(AND(ISNUMBER(E35),ISNUMBER(F35))),$J$2=""),"",MIN(100,ROUND(SUM($G35:N35),1)))</f>
        <v>100</v>
      </c>
      <c r="BL35" s="1" t="n">
        <f aca="false">IF(OR(NOT(AND(ISNUMBER(E35),ISNUMBER(F35))),$J$2=""),"",MIN(100,ROUND(SUM($G35:O35),1)))</f>
        <v>100</v>
      </c>
      <c r="BM35" s="1" t="n">
        <f aca="false">IF(OR(NOT(AND(ISNUMBER(E35),ISNUMBER(F35))),$J$2=""),"",MIN(100,ROUND(SUM($G35:P35),1)))</f>
        <v>100</v>
      </c>
      <c r="BN35" s="1" t="n">
        <f aca="false">IF(OR(NOT(AND(ISNUMBER(E35),ISNUMBER(F35))),$J$2=""),"",MIN(100,ROUND(SUM($G35:P35),1)))</f>
        <v>100</v>
      </c>
      <c r="BO35" s="1" t="n">
        <f aca="false">IF(OR(NOT(AND(ISNUMBER(E35),ISNUMBER(F35))),$J$2=""),"",MIN(100,ROUND(SUM($G35:P35),1)))</f>
        <v>100</v>
      </c>
      <c r="BP35" s="1" t="n">
        <f aca="false">IF(OR(NOT(AND(ISNUMBER(E35),ISNUMBER(F35))),$J$2=""),"",MIN(100,ROUND(SUM($G35:P35),1)))</f>
        <v>100</v>
      </c>
      <c r="BQ35" s="1" t="n">
        <f aca="false">IF(OR(NOT(AND(ISNUMBER(E35),ISNUMBER(F35))),$J$2=""),"",MIN(100,ROUND(SUM($G35:P35),1)))</f>
        <v>100</v>
      </c>
      <c r="BR35" s="1" t="n">
        <f aca="false">IF(OR(NOT(AND(ISNUMBER(E35),ISNUMBER(F35))),$J$2=""),"",MIN(100,ROUND(SUM($G35:P35),1)))</f>
        <v>100</v>
      </c>
      <c r="BS35" s="1" t="n">
        <f aca="false">IF(OR(NOT(AND(ISNUMBER(E35),ISNUMBER(F35))),$J$2=""),"",MIN(100,ROUND(SUM($G35:P35),1)))</f>
        <v>100</v>
      </c>
      <c r="BT35" s="1" t="n">
        <f aca="false">IF(OR(NOT(AND(ISNUMBER(E35),ISNUMBER(F35))),$J$2=""),"",IF(Reprogramaciones!K$13&lt;Reprogramaciones!$T$15,0,IF(Reprogramaciones!K$14&gt;10,MIN(100,SUM($G35:$P35)),MIN(100,SUMPRODUCT((COLUMN($G35:$P35)-COLUMN($G35)+1&lt;Reprogramaciones!K$14)*$G35:$P35)+N(INDEX($G35:$P35,1,Reprogramaciones!K$14))*IF(Reprogramaciones!K$13&gt;=(Reprogramaciones!$T$15+7*(Reprogramaciones!K$14-1))+6,1,IF(MAX(0,NETWORKDAYS.INTL(MAX(E35,(Reprogramaciones!$T$15+7*(Reprogramaciones!K$14-1))),MIN(F35,(Reprogramaciones!$T$15+7*(Reprogramaciones!K$14-1))+6),11))=0,0,MAX(0,NETWORKDAYS.INTL(MAX(E35,(Reprogramaciones!$T$15+7*(Reprogramaciones!K$14-1))),MIN(F35,Reprogramaciones!K$13),11))/MAX(0,NETWORKDAYS.INTL(MAX(E35,(Reprogramaciones!$T$15+7*(Reprogramaciones!K$14-1))),MIN(F35,(Reprogramaciones!$T$15+7*(Reprogramaciones!K$14-1))+6),11))))))))</f>
        <v>0</v>
      </c>
      <c r="BU35" s="1" t="n">
        <f aca="false">IF(OR(NOT(AND(ISNUMBER(E35),ISNUMBER(F35))),$J$2=""),"",IF(Reprogramaciones!L$13&lt;Reprogramaciones!$T$15,0,IF(Reprogramaciones!L$14&gt;10,MIN(100,SUM($G35:$P35)),MIN(100,SUMPRODUCT((COLUMN($G35:$P35)-COLUMN($G35)+1&lt;Reprogramaciones!L$14)*$G35:$P35)+N(INDEX($G35:$P35,1,Reprogramaciones!L$14))*IF(Reprogramaciones!L$13&gt;=(Reprogramaciones!$T$15+7*(Reprogramaciones!L$14-1))+6,1,IF(MAX(0,NETWORKDAYS.INTL(MAX(E35,(Reprogramaciones!$T$15+7*(Reprogramaciones!L$14-1))),MIN(F35,(Reprogramaciones!$T$15+7*(Reprogramaciones!L$14-1))+6),11))=0,0,MAX(0,NETWORKDAYS.INTL(MAX(E35,(Reprogramaciones!$T$15+7*(Reprogramaciones!L$14-1))),MIN(F35,Reprogramaciones!L$13),11))/MAX(0,NETWORKDAYS.INTL(MAX(E35,(Reprogramaciones!$T$15+7*(Reprogramaciones!L$14-1))),MIN(F35,(Reprogramaciones!$T$15+7*(Reprogramaciones!L$14-1))+6),11))))))))</f>
        <v>0</v>
      </c>
      <c r="BV35" s="1" t="n">
        <f aca="false">IF(OR(NOT(AND(ISNUMBER(E35),ISNUMBER(F35))),$J$2=""),"",IF(Reprogramaciones!M$13&lt;Reprogramaciones!$T$15,0,IF(Reprogramaciones!M$14&gt;10,MIN(100,SUM($G35:$P35)),MIN(100,SUMPRODUCT((COLUMN($G35:$P35)-COLUMN($G35)+1&lt;Reprogramaciones!M$14)*$G35:$P35)+N(INDEX($G35:$P35,1,Reprogramaciones!M$14))*IF(Reprogramaciones!M$13&gt;=(Reprogramaciones!$T$15+7*(Reprogramaciones!M$14-1))+6,1,IF(MAX(0,NETWORKDAYS.INTL(MAX(E35,(Reprogramaciones!$T$15+7*(Reprogramaciones!M$14-1))),MIN(F35,(Reprogramaciones!$T$15+7*(Reprogramaciones!M$14-1))+6),11))=0,0,MAX(0,NETWORKDAYS.INTL(MAX(E35,(Reprogramaciones!$T$15+7*(Reprogramaciones!M$14-1))),MIN(F35,Reprogramaciones!M$13),11))/MAX(0,NETWORKDAYS.INTL(MAX(E35,(Reprogramaciones!$T$15+7*(Reprogramaciones!M$14-1))),MIN(F35,(Reprogramaciones!$T$15+7*(Reprogramaciones!M$14-1))+6),11))))))))</f>
        <v>0</v>
      </c>
      <c r="BW35" s="1" t="n">
        <f aca="false">IF(OR(NOT(AND(ISNUMBER(E35),ISNUMBER(F35))),$J$2=""),"",IF(Reprogramaciones!N$13&lt;Reprogramaciones!$T$15,0,IF(Reprogramaciones!N$14&gt;10,MIN(100,SUM($G35:$P35)),MIN(100,SUMPRODUCT((COLUMN($G35:$P35)-COLUMN($G35)+1&lt;Reprogramaciones!N$14)*$G35:$P35)+N(INDEX($G35:$P35,1,Reprogramaciones!N$14))*IF(Reprogramaciones!N$13&gt;=(Reprogramaciones!$T$15+7*(Reprogramaciones!N$14-1))+6,1,IF(MAX(0,NETWORKDAYS.INTL(MAX(E35,(Reprogramaciones!$T$15+7*(Reprogramaciones!N$14-1))),MIN(F35,(Reprogramaciones!$T$15+7*(Reprogramaciones!N$14-1))+6),11))=0,0,MAX(0,NETWORKDAYS.INTL(MAX(E35,(Reprogramaciones!$T$15+7*(Reprogramaciones!N$14-1))),MIN(F35,Reprogramaciones!N$13),11))/MAX(0,NETWORKDAYS.INTL(MAX(E35,(Reprogramaciones!$T$15+7*(Reprogramaciones!N$14-1))),MIN(F35,(Reprogramaciones!$T$15+7*(Reprogramaciones!N$14-1))+6),11))))))))</f>
        <v>100</v>
      </c>
      <c r="BX35" s="1" t="n">
        <f aca="false">IF(OR(NOT(AND(ISNUMBER(E35),ISNUMBER(F35))),$J$2=""),"",IF(Reprogramaciones!O$13&lt;Reprogramaciones!$T$15,0,IF(Reprogramaciones!O$14&gt;10,MIN(100,SUM($G35:$P35)),MIN(100,SUMPRODUCT((COLUMN($G35:$P35)-COLUMN($G35)+1&lt;Reprogramaciones!O$14)*$G35:$P35)+N(INDEX($G35:$P35,1,Reprogramaciones!O$14))*IF(Reprogramaciones!O$13&gt;=(Reprogramaciones!$T$15+7*(Reprogramaciones!O$14-1))+6,1,IF(MAX(0,NETWORKDAYS.INTL(MAX(E35,(Reprogramaciones!$T$15+7*(Reprogramaciones!O$14-1))),MIN(F35,(Reprogramaciones!$T$15+7*(Reprogramaciones!O$14-1))+6),11))=0,0,MAX(0,NETWORKDAYS.INTL(MAX(E35,(Reprogramaciones!$T$15+7*(Reprogramaciones!O$14-1))),MIN(F35,Reprogramaciones!O$13),11))/MAX(0,NETWORKDAYS.INTL(MAX(E35,(Reprogramaciones!$T$15+7*(Reprogramaciones!O$14-1))),MIN(F35,(Reprogramaciones!$T$15+7*(Reprogramaciones!O$14-1))+6),11))))))))</f>
        <v>100</v>
      </c>
      <c r="BY35" s="1" t="n">
        <f aca="false">IF(OR(NOT(AND(ISNUMBER(E35),ISNUMBER(F35))),$J$2=""),"",IF(Reprogramaciones!P$13&lt;Reprogramaciones!$T$15,0,IF(Reprogramaciones!P$14&gt;10,MIN(100,SUM($G35:$P35)),MIN(100,SUMPRODUCT((COLUMN($G35:$P35)-COLUMN($G35)+1&lt;Reprogramaciones!P$14)*$G35:$P35)+N(INDEX($G35:$P35,1,Reprogramaciones!P$14))*IF(Reprogramaciones!P$13&gt;=(Reprogramaciones!$T$15+7*(Reprogramaciones!P$14-1))+6,1,IF(MAX(0,NETWORKDAYS.INTL(MAX(E35,(Reprogramaciones!$T$15+7*(Reprogramaciones!P$14-1))),MIN(F35,(Reprogramaciones!$T$15+7*(Reprogramaciones!P$14-1))+6),11))=0,0,MAX(0,NETWORKDAYS.INTL(MAX(E35,(Reprogramaciones!$T$15+7*(Reprogramaciones!P$14-1))),MIN(F35,Reprogramaciones!P$13),11))/MAX(0,NETWORKDAYS.INTL(MAX(E35,(Reprogramaciones!$T$15+7*(Reprogramaciones!P$14-1))),MIN(F35,(Reprogramaciones!$T$15+7*(Reprogramaciones!P$14-1))+6),11))))))))</f>
        <v>100</v>
      </c>
      <c r="BZ35" s="1" t="n">
        <f aca="false">IF(OR(NOT(AND(ISNUMBER(E35),ISNUMBER(F35))),$J$2=""),"",IF(Reprogramaciones!Q$13&lt;Reprogramaciones!$T$15,0,IF(Reprogramaciones!Q$14&gt;10,MIN(100,SUM($G35:$P35)),MIN(100,SUMPRODUCT((COLUMN($G35:$P35)-COLUMN($G35)+1&lt;Reprogramaciones!Q$14)*$G35:$P35)+N(INDEX($G35:$P35,1,Reprogramaciones!Q$14))*IF(Reprogramaciones!Q$13&gt;=(Reprogramaciones!$T$15+7*(Reprogramaciones!Q$14-1))+6,1,IF(MAX(0,NETWORKDAYS.INTL(MAX(E35,(Reprogramaciones!$T$15+7*(Reprogramaciones!Q$14-1))),MIN(F35,(Reprogramaciones!$T$15+7*(Reprogramaciones!Q$14-1))+6),11))=0,0,MAX(0,NETWORKDAYS.INTL(MAX(E35,(Reprogramaciones!$T$15+7*(Reprogramaciones!Q$14-1))),MIN(F35,Reprogramaciones!Q$13),11))/MAX(0,NETWORKDAYS.INTL(MAX(E35,(Reprogramaciones!$T$15+7*(Reprogramaciones!Q$14-1))),MIN(F35,(Reprogramaciones!$T$15+7*(Reprogramaciones!Q$14-1))+6),11))))))))</f>
        <v>100</v>
      </c>
      <c r="CA35" s="1" t="n">
        <f aca="false">IF(OR(NOT(AND(ISNUMBER(E35),ISNUMBER(F35))),$J$2=""),"",IF(Reprogramaciones!R$13&lt;Reprogramaciones!$T$15,0,IF(Reprogramaciones!R$14&gt;10,MIN(100,SUM($G35:$P35)),MIN(100,SUMPRODUCT((COLUMN($G35:$P35)-COLUMN($G35)+1&lt;Reprogramaciones!R$14)*$G35:$P35)+N(INDEX($G35:$P35,1,Reprogramaciones!R$14))*IF(Reprogramaciones!R$13&gt;=(Reprogramaciones!$T$15+7*(Reprogramaciones!R$14-1))+6,1,IF(MAX(0,NETWORKDAYS.INTL(MAX(E35,(Reprogramaciones!$T$15+7*(Reprogramaciones!R$14-1))),MIN(F35,(Reprogramaciones!$T$15+7*(Reprogramaciones!R$14-1))+6),11))=0,0,MAX(0,NETWORKDAYS.INTL(MAX(E35,(Reprogramaciones!$T$15+7*(Reprogramaciones!R$14-1))),MIN(F35,Reprogramaciones!R$13),11))/MAX(0,NETWORKDAYS.INTL(MAX(E35,(Reprogramaciones!$T$15+7*(Reprogramaciones!R$14-1))),MIN(F35,(Reprogramaciones!$T$15+7*(Reprogramaciones!R$14-1))+6),11))))))))</f>
        <v>100</v>
      </c>
      <c r="CB35" s="1" t="n">
        <f aca="false">IF(OR(NOT(AND(ISNUMBER(E35),ISNUMBER(F35))),$J$2=""),"",IF(Reprogramaciones!S$13&lt;Reprogramaciones!$T$15,0,IF(Reprogramaciones!S$14&gt;10,MIN(100,SUM($G35:$P35)),MIN(100,SUMPRODUCT((COLUMN($G35:$P35)-COLUMN($G35)+1&lt;Reprogramaciones!S$14)*$G35:$P35)+N(INDEX($G35:$P35,1,Reprogramaciones!S$14))*IF(Reprogramaciones!S$13&gt;=(Reprogramaciones!$T$15+7*(Reprogramaciones!S$14-1))+6,1,IF(MAX(0,NETWORKDAYS.INTL(MAX(E35,(Reprogramaciones!$T$15+7*(Reprogramaciones!S$14-1))),MIN(F35,(Reprogramaciones!$T$15+7*(Reprogramaciones!S$14-1))+6),11))=0,0,MAX(0,NETWORKDAYS.INTL(MAX(E35,(Reprogramaciones!$T$15+7*(Reprogramaciones!S$14-1))),MIN(F35,Reprogramaciones!S$13),11))/MAX(0,NETWORKDAYS.INTL(MAX(E35,(Reprogramaciones!$T$15+7*(Reprogramaciones!S$14-1))),MIN(F35,(Reprogramaciones!$T$15+7*(Reprogramaciones!S$14-1))+6),11))))))))</f>
        <v>100</v>
      </c>
      <c r="CC35" s="1" t="n">
        <f aca="false">IF(OR(NOT(AND(ISNUMBER(E35),ISNUMBER(F35))),$J$2=""),"",IF(Reprogramaciones!T$13&lt;Reprogramaciones!$T$15,0,IF(Reprogramaciones!T$14&gt;10,MIN(100,SUM($G35:$P35)),MIN(100,SUMPRODUCT((COLUMN($G35:$P35)-COLUMN($G35)+1&lt;Reprogramaciones!T$14)*$G35:$P35)+N(INDEX($G35:$P35,1,Reprogramaciones!T$14))*IF(Reprogramaciones!T$13&gt;=(Reprogramaciones!$T$15+7*(Reprogramaciones!T$14-1))+6,1,IF(MAX(0,NETWORKDAYS.INTL(MAX(E35,(Reprogramaciones!$T$15+7*(Reprogramaciones!T$14-1))),MIN(F35,(Reprogramaciones!$T$15+7*(Reprogramaciones!T$14-1))+6),11))=0,0,MAX(0,NETWORKDAYS.INTL(MAX(E35,(Reprogramaciones!$T$15+7*(Reprogramaciones!T$14-1))),MIN(F35,Reprogramaciones!T$13),11))/MAX(0,NETWORKDAYS.INTL(MAX(E35,(Reprogramaciones!$T$15+7*(Reprogramaciones!T$14-1))),MIN(F35,(Reprogramaciones!$T$15+7*(Reprogramaciones!T$14-1))+6),11))))))))</f>
        <v>100</v>
      </c>
      <c r="CD35" s="1" t="n">
        <f aca="false">IF(OR(NOT(AND(ISNUMBER(E35),ISNUMBER(F35))),$J$2=""),"",IF(Reprogramaciones!U$13&lt;Reprogramaciones!$T$15,0,IF(Reprogramaciones!U$14&gt;10,MIN(100,SUM($G35:$P35)),MIN(100,SUMPRODUCT((COLUMN($G35:$P35)-COLUMN($G35)+1&lt;Reprogramaciones!U$14)*$G35:$P35)+N(INDEX($G35:$P35,1,Reprogramaciones!U$14))*IF(Reprogramaciones!U$13&gt;=(Reprogramaciones!$T$15+7*(Reprogramaciones!U$14-1))+6,1,IF(MAX(0,NETWORKDAYS.INTL(MAX(E35,(Reprogramaciones!$T$15+7*(Reprogramaciones!U$14-1))),MIN(F35,(Reprogramaciones!$T$15+7*(Reprogramaciones!U$14-1))+6),11))=0,0,MAX(0,NETWORKDAYS.INTL(MAX(E35,(Reprogramaciones!$T$15+7*(Reprogramaciones!U$14-1))),MIN(F35,Reprogramaciones!U$13),11))/MAX(0,NETWORKDAYS.INTL(MAX(E35,(Reprogramaciones!$T$15+7*(Reprogramaciones!U$14-1))),MIN(F35,(Reprogramaciones!$T$15+7*(Reprogramaciones!U$14-1))+6),11))))))))</f>
        <v>100</v>
      </c>
      <c r="CE35" s="1" t="n">
        <f aca="false">IF(OR(NOT(AND(ISNUMBER(E35),ISNUMBER(F35))),$J$2=""),"",IF(Reprogramaciones!V$13&lt;Reprogramaciones!$T$15,0,IF(Reprogramaciones!V$14&gt;10,MIN(100,SUM($G35:$P35)),MIN(100,SUMPRODUCT((COLUMN($G35:$P35)-COLUMN($G35)+1&lt;Reprogramaciones!V$14)*$G35:$P35)+N(INDEX($G35:$P35,1,Reprogramaciones!V$14))*IF(Reprogramaciones!V$13&gt;=(Reprogramaciones!$T$15+7*(Reprogramaciones!V$14-1))+6,1,IF(MAX(0,NETWORKDAYS.INTL(MAX(E35,(Reprogramaciones!$T$15+7*(Reprogramaciones!V$14-1))),MIN(F35,(Reprogramaciones!$T$15+7*(Reprogramaciones!V$14-1))+6),11))=0,0,MAX(0,NETWORKDAYS.INTL(MAX(E35,(Reprogramaciones!$T$15+7*(Reprogramaciones!V$14-1))),MIN(F35,Reprogramaciones!V$13),11))/MAX(0,NETWORKDAYS.INTL(MAX(E35,(Reprogramaciones!$T$15+7*(Reprogramaciones!V$14-1))),MIN(F35,(Reprogramaciones!$T$15+7*(Reprogramaciones!V$14-1))+6),11))))))))</f>
        <v>100</v>
      </c>
      <c r="CF35" s="1" t="n">
        <f aca="false">IF(OR(NOT(AND(ISNUMBER(E35),ISNUMBER(F35))),$J$2=""),"",IF(Reprogramaciones!W$13&lt;Reprogramaciones!$T$15,0,IF(Reprogramaciones!W$14&gt;10,MIN(100,SUM($G35:$P35)),MIN(100,SUMPRODUCT((COLUMN($G35:$P35)-COLUMN($G35)+1&lt;Reprogramaciones!W$14)*$G35:$P35)+N(INDEX($G35:$P35,1,Reprogramaciones!W$14))*IF(Reprogramaciones!W$13&gt;=(Reprogramaciones!$T$15+7*(Reprogramaciones!W$14-1))+6,1,IF(MAX(0,NETWORKDAYS.INTL(MAX(E35,(Reprogramaciones!$T$15+7*(Reprogramaciones!W$14-1))),MIN(F35,(Reprogramaciones!$T$15+7*(Reprogramaciones!W$14-1))+6),11))=0,0,MAX(0,NETWORKDAYS.INTL(MAX(E35,(Reprogramaciones!$T$15+7*(Reprogramaciones!W$14-1))),MIN(F35,Reprogramaciones!W$13),11))/MAX(0,NETWORKDAYS.INTL(MAX(E35,(Reprogramaciones!$T$15+7*(Reprogramaciones!W$14-1))),MIN(F35,(Reprogramaciones!$T$15+7*(Reprogramaciones!W$14-1))+6),11))))))))</f>
        <v>100</v>
      </c>
      <c r="CG35" s="1" t="n">
        <f aca="false">IF(OR(NOT(AND(ISNUMBER(E35),ISNUMBER(F35))),$J$2=""),"",IF(Reprogramaciones!X$13&lt;Reprogramaciones!$T$15,0,IF(Reprogramaciones!X$14&gt;10,MIN(100,SUM($G35:$P35)),MIN(100,SUMPRODUCT((COLUMN($G35:$P35)-COLUMN($G35)+1&lt;Reprogramaciones!X$14)*$G35:$P35)+N(INDEX($G35:$P35,1,Reprogramaciones!X$14))*IF(Reprogramaciones!X$13&gt;=(Reprogramaciones!$T$15+7*(Reprogramaciones!X$14-1))+6,1,IF(MAX(0,NETWORKDAYS.INTL(MAX(E35,(Reprogramaciones!$T$15+7*(Reprogramaciones!X$14-1))),MIN(F35,(Reprogramaciones!$T$15+7*(Reprogramaciones!X$14-1))+6),11))=0,0,MAX(0,NETWORKDAYS.INTL(MAX(E35,(Reprogramaciones!$T$15+7*(Reprogramaciones!X$14-1))),MIN(F35,Reprogramaciones!X$13),11))/MAX(0,NETWORKDAYS.INTL(MAX(E35,(Reprogramaciones!$T$15+7*(Reprogramaciones!X$14-1))),MIN(F35,(Reprogramaciones!$T$15+7*(Reprogramaciones!X$14-1))+6),11))))))))</f>
        <v>100</v>
      </c>
      <c r="CH35" s="1" t="n">
        <f aca="false">IF(OR(NOT(AND(ISNUMBER(E35),ISNUMBER(F35))),$J$2=""),"",IF(Reprogramaciones!Y$13&lt;Reprogramaciones!$T$15,0,IF(Reprogramaciones!Y$14&gt;10,MIN(100,SUM($G35:$P35)),MIN(100,SUMPRODUCT((COLUMN($G35:$P35)-COLUMN($G35)+1&lt;Reprogramaciones!Y$14)*$G35:$P35)+N(INDEX($G35:$P35,1,Reprogramaciones!Y$14))*IF(Reprogramaciones!Y$13&gt;=(Reprogramaciones!$T$15+7*(Reprogramaciones!Y$14-1))+6,1,IF(MAX(0,NETWORKDAYS.INTL(MAX(E35,(Reprogramaciones!$T$15+7*(Reprogramaciones!Y$14-1))),MIN(F35,(Reprogramaciones!$T$15+7*(Reprogramaciones!Y$14-1))+6),11))=0,0,MAX(0,NETWORKDAYS.INTL(MAX(E35,(Reprogramaciones!$T$15+7*(Reprogramaciones!Y$14-1))),MIN(F35,Reprogramaciones!Y$13),11))/MAX(0,NETWORKDAYS.INTL(MAX(E35,(Reprogramaciones!$T$15+7*(Reprogramaciones!Y$14-1))),MIN(F35,(Reprogramaciones!$T$15+7*(Reprogramaciones!Y$14-1))+6),11))))))))</f>
        <v>100</v>
      </c>
      <c r="CI35" s="1" t="n">
        <f aca="false">IF(OR(NOT(AND(ISNUMBER(E35),ISNUMBER(F35))),$J$2=""),"",IF(Reprogramaciones!Z$13&lt;Reprogramaciones!$T$15,0,IF(Reprogramaciones!Z$14&gt;10,MIN(100,SUM($G35:$P35)),MIN(100,SUMPRODUCT((COLUMN($G35:$P35)-COLUMN($G35)+1&lt;Reprogramaciones!Z$14)*$G35:$P35)+N(INDEX($G35:$P35,1,Reprogramaciones!Z$14))*IF(Reprogramaciones!Z$13&gt;=(Reprogramaciones!$T$15+7*(Reprogramaciones!Z$14-1))+6,1,IF(MAX(0,NETWORKDAYS.INTL(MAX(E35,(Reprogramaciones!$T$15+7*(Reprogramaciones!Z$14-1))),MIN(F35,(Reprogramaciones!$T$15+7*(Reprogramaciones!Z$14-1))+6),11))=0,0,MAX(0,NETWORKDAYS.INTL(MAX(E35,(Reprogramaciones!$T$15+7*(Reprogramaciones!Z$14-1))),MIN(F35,Reprogramaciones!Z$13),11))/MAX(0,NETWORKDAYS.INTL(MAX(E35,(Reprogramaciones!$T$15+7*(Reprogramaciones!Z$14-1))),MIN(F35,(Reprogramaciones!$T$15+7*(Reprogramaciones!Z$14-1))+6),11))))))))</f>
        <v>100</v>
      </c>
      <c r="CJ35" s="1" t="n">
        <f aca="false">IF(OR(OR(NOT(AND(ISNUMBER(E35),ISNUMBER(F35))),$J$2=""),1&gt;Reprogramaciones!$K$16),"",IF(ROUND(SUM($Q35:Q35),1)&gt;=99.5,100,MIN(100,ROUND(SUM($Q35:Q35),1))))</f>
        <v>0</v>
      </c>
      <c r="CK35" s="1" t="n">
        <f aca="false">IF(OR(OR(NOT(AND(ISNUMBER(E35),ISNUMBER(F35))),$J$2=""),2&gt;Reprogramaciones!$K$16),"",IF(ROUND(SUM($Q35:R35),1)&gt;=99.5,100,MIN(100,ROUND(SUM($Q35:R35),1))))</f>
        <v>0</v>
      </c>
      <c r="CL35" s="1" t="n">
        <f aca="false">IF(OR(OR(NOT(AND(ISNUMBER(E35),ISNUMBER(F35))),$J$2=""),3&gt;Reprogramaciones!$K$16),"",IF(ROUND(SUM($Q35:S35),1)&gt;=99.5,100,MIN(100,ROUND(SUM($Q35:S35),1))))</f>
        <v>0</v>
      </c>
      <c r="CM35" s="1" t="n">
        <f aca="false">IF(OR(OR(NOT(AND(ISNUMBER(E35),ISNUMBER(F35))),$J$2=""),4&gt;Reprogramaciones!$K$16),"",IF(ROUND(SUM($Q35:T35),1)&gt;=99.5,100,MIN(100,ROUND(SUM($Q35:T35),1))))</f>
        <v>100</v>
      </c>
      <c r="CN35" s="1" t="n">
        <f aca="false">IF(OR(OR(NOT(AND(ISNUMBER(E35),ISNUMBER(F35))),$J$2=""),5&gt;Reprogramaciones!$K$16),"",IF(ROUND(SUM($Q35:U35),1)&gt;=99.5,100,MIN(100,ROUND(SUM($Q35:U35),1))))</f>
        <v>100</v>
      </c>
      <c r="CO35" s="1" t="str">
        <f aca="false">IF(OR(OR(NOT(AND(ISNUMBER(E35),ISNUMBER(F35))),$J$2=""),6&gt;Reprogramaciones!$K$16),"",IF(ROUND(SUM($Q35:V35),1)&gt;=99.5,100,MIN(100,ROUND(SUM($Q35:V35),1))))</f>
        <v/>
      </c>
      <c r="CP35" s="1" t="str">
        <f aca="false">IF(OR(OR(NOT(AND(ISNUMBER(E35),ISNUMBER(F35))),$J$2=""),7&gt;Reprogramaciones!$K$16),"",IF(ROUND(SUM($Q35:W35),1)&gt;=99.5,100,MIN(100,ROUND(SUM($Q35:W35),1))))</f>
        <v/>
      </c>
      <c r="CQ35" s="1" t="str">
        <f aca="false">IF(OR(OR(NOT(AND(ISNUMBER(E35),ISNUMBER(F35))),$J$2=""),8&gt;Reprogramaciones!$K$16),"",IF(ROUND(SUM($Q35:X35),1)&gt;=99.5,100,MIN(100,ROUND(SUM($Q35:X35),1))))</f>
        <v/>
      </c>
      <c r="CR35" s="1" t="str">
        <f aca="false">IF(OR(OR(NOT(AND(ISNUMBER(E35),ISNUMBER(F35))),$J$2=""),9&gt;Reprogramaciones!$K$16),"",IF(ROUND(SUM($Q35:Y35),1)&gt;=99.5,100,MIN(100,ROUND(SUM($Q35:Y35),1))))</f>
        <v/>
      </c>
      <c r="CS35" s="1" t="str">
        <f aca="false">IF(OR(OR(NOT(AND(ISNUMBER(E35),ISNUMBER(F35))),$J$2=""),10&gt;Reprogramaciones!$K$16),"",IF(ROUND(SUM($Q35:Z35),1)&gt;=99.5,100,MIN(100,ROUND(SUM($Q35:Z35),1))))</f>
        <v/>
      </c>
      <c r="CT35" s="1" t="str">
        <f aca="false">IF(OR(OR(NOT(AND(ISNUMBER(E35),ISNUMBER(F35))),$J$2=""),11&gt;Reprogramaciones!$K$16),"",IF(ROUND(SUM($Q35:AA35),1)&gt;=99.5,100,MIN(100,ROUND(SUM($Q35:AA35),1))))</f>
        <v/>
      </c>
      <c r="CU35" s="1" t="str">
        <f aca="false">IF(OR(OR(NOT(AND(ISNUMBER(E35),ISNUMBER(F35))),$J$2=""),12&gt;Reprogramaciones!$K$16),"",IF(ROUND(SUM($Q35:AB35),1)&gt;=99.5,100,MIN(100,ROUND(SUM($Q35:AB35),1))))</f>
        <v/>
      </c>
      <c r="CV35" s="1" t="str">
        <f aca="false">IF(OR(OR(NOT(AND(ISNUMBER(E35),ISNUMBER(F35))),$J$2=""),13&gt;Reprogramaciones!$K$16),"",IF(ROUND(SUM($Q35:AC35),1)&gt;=99.5,100,MIN(100,ROUND(SUM($Q35:AC35),1))))</f>
        <v/>
      </c>
      <c r="CW35" s="1" t="str">
        <f aca="false">IF(OR(OR(NOT(AND(ISNUMBER(E35),ISNUMBER(F35))),$J$2=""),14&gt;Reprogramaciones!$K$16),"",IF(ROUND(SUM($Q35:AD35),1)&gt;=99.5,100,MIN(100,ROUND(SUM($Q35:AD35),1))))</f>
        <v/>
      </c>
      <c r="CX35" s="1" t="str">
        <f aca="false">IF(OR(OR(NOT(AND(ISNUMBER(E35),ISNUMBER(F35))),$J$2=""),15&gt;Reprogramaciones!$K$16),"",IF(ROUND(SUM($Q35:AE35),1)&gt;=99.5,100,MIN(100,ROUND(SUM($Q35:AE35),1))))</f>
        <v/>
      </c>
      <c r="CY35" s="1" t="str">
        <f aca="false">IF(OR(OR(NOT(AND(ISNUMBER(E35),ISNUMBER(F35))),$J$2=""),16&gt;Reprogramaciones!$K$16),"",IF(ROUND(SUM($Q35:AF35),1)&gt;=99.5,100,MIN(100,ROUND(SUM($Q35:AF35),1))))</f>
        <v/>
      </c>
      <c r="CZ35" s="1" t="str">
        <f aca="false">IF(D35&lt;&gt;"",D35,IF(B35&lt;&gt;"","Contractual",CZ34))</f>
        <v>Contractual</v>
      </c>
      <c r="DA35" s="1" t="n">
        <f aca="false">IF(OR(NOT(AND(ISNUMBER(E35),ISNUMBER(F35))),$J$2=""),"",IF(Reprogramaciones!$Q$15&lt;Reprogramaciones!$T$15,0,IF(Reprogramaciones!$S$15&gt;10,MIN(100,SUM($G35:$P35)),MIN(100,SUMPRODUCT((COLUMN($G35:$P35)-COLUMN($G35)+1&lt;Reprogramaciones!$S$15)*$G35:$P35)+N(INDEX($G35:$P35,1,Reprogramaciones!$S$15))*IF(Reprogramaciones!$Q$15&gt;=(Reprogramaciones!$T$15+7*(Reprogramaciones!$S$15-1))+6,1,IF(MAX(0,NETWORKDAYS.INTL(MAX(E35,(Reprogramaciones!$T$15+7*(Reprogramaciones!$S$15-1))),MIN(F35,(Reprogramaciones!$T$15+7*(Reprogramaciones!$S$15-1))+6),11))=0,0,MAX(0,NETWORKDAYS.INTL(MAX(E35,(Reprogramaciones!$T$15+7*(Reprogramaciones!$S$15-1))),MIN(F35,Reprogramaciones!$Q$15),11))/MAX(0,NETWORKDAYS.INTL(MAX(E35,(Reprogramaciones!$T$15+7*(Reprogramaciones!$S$15-1))),MIN(F35,(Reprogramaciones!$T$15+7*(Reprogramaciones!$S$15-1))+6),11))))))))</f>
        <v>100</v>
      </c>
    </row>
    <row r="36" customFormat="false" ht="15" hidden="false" customHeight="false" outlineLevel="0" collapsed="false">
      <c r="A36" s="32" t="s">
        <v>213</v>
      </c>
      <c r="B36" s="33"/>
      <c r="C36" s="33" t="s">
        <v>214</v>
      </c>
      <c r="D36" s="34"/>
      <c r="E36" s="35" t="n">
        <v>46310</v>
      </c>
      <c r="F36" s="35" t="n">
        <v>46315</v>
      </c>
      <c r="G36" s="36" t="n">
        <f aca="false">IF(OR(NOT(AND(ISNUMBER(E36),ISNUMBER(F36))),$J$2=""),"",IF(Reprogramaciones!K$9&lt;E36,0,IF(NETWORKDAYS.INTL(E36,F36,11)=0,IF(Reprogramaciones!K$9&gt;=F36,100,0),ROUND(NETWORKDAYS.INTL(E36,MIN(F36,Reprogramaciones!K$9),11)/NETWORKDAYS.INTL(E36,F36,11)*100,1)))-0)</f>
        <v>0</v>
      </c>
      <c r="H36" s="36" t="n">
        <f aca="false">IF(OR(NOT(AND(ISNUMBER(E36),ISNUMBER(F36))),$J$2=""),"",IF(Reprogramaciones!L$9&lt;E36,0,IF(NETWORKDAYS.INTL(E36,F36,11)=0,IF(Reprogramaciones!L$9&gt;=F36,100,0),ROUND(NETWORKDAYS.INTL(E36,MIN(F36,Reprogramaciones!L$9),11)/NETWORKDAYS.INTL(E36,F36,11)*100,1)))-IF(Reprogramaciones!K$9&lt;E36,0,IF(NETWORKDAYS.INTL(E36,F36,11)=0,IF(Reprogramaciones!K$9&gt;=F36,100,0),ROUND(NETWORKDAYS.INTL(E36,MIN(F36,Reprogramaciones!K$9),11)/NETWORKDAYS.INTL(E36,F36,11)*100,1))))</f>
        <v>0</v>
      </c>
      <c r="I36" s="36" t="n">
        <f aca="false">IF(OR(NOT(AND(ISNUMBER(E36),ISNUMBER(F36))),$J$2=""),"",IF(Reprogramaciones!M$9&lt;E36,0,IF(NETWORKDAYS.INTL(E36,F36,11)=0,IF(Reprogramaciones!M$9&gt;=F36,100,0),ROUND(NETWORKDAYS.INTL(E36,MIN(F36,Reprogramaciones!M$9),11)/NETWORKDAYS.INTL(E36,F36,11)*100,1)))-IF(Reprogramaciones!L$9&lt;E36,0,IF(NETWORKDAYS.INTL(E36,F36,11)=0,IF(Reprogramaciones!L$9&gt;=F36,100,0),ROUND(NETWORKDAYS.INTL(E36,MIN(F36,Reprogramaciones!L$9),11)/NETWORKDAYS.INTL(E36,F36,11)*100,1))))</f>
        <v>0</v>
      </c>
      <c r="J36" s="36" t="n">
        <f aca="false">IF(OR(NOT(AND(ISNUMBER(E36),ISNUMBER(F36))),$J$2=""),"",IF(Reprogramaciones!N$9&lt;E36,0,IF(NETWORKDAYS.INTL(E36,F36,11)=0,IF(Reprogramaciones!N$9&gt;=F36,100,0),ROUND(NETWORKDAYS.INTL(E36,MIN(F36,Reprogramaciones!N$9),11)/NETWORKDAYS.INTL(E36,F36,11)*100,1)))-IF(Reprogramaciones!M$9&lt;E36,0,IF(NETWORKDAYS.INTL(E36,F36,11)=0,IF(Reprogramaciones!M$9&gt;=F36,100,0),ROUND(NETWORKDAYS.INTL(E36,MIN(F36,Reprogramaciones!M$9),11)/NETWORKDAYS.INTL(E36,F36,11)*100,1))))</f>
        <v>60</v>
      </c>
      <c r="K36" s="36" t="n">
        <f aca="false">IF(OR(NOT(AND(ISNUMBER(E36),ISNUMBER(F36))),$J$2=""),"",IF(Reprogramaciones!O$9&lt;E36,0,IF(NETWORKDAYS.INTL(E36,F36,11)=0,IF(Reprogramaciones!O$9&gt;=F36,100,0),ROUND(NETWORKDAYS.INTL(E36,MIN(F36,Reprogramaciones!O$9),11)/NETWORKDAYS.INTL(E36,F36,11)*100,1)))-IF(Reprogramaciones!N$9&lt;E36,0,IF(NETWORKDAYS.INTL(E36,F36,11)=0,IF(Reprogramaciones!N$9&gt;=F36,100,0),ROUND(NETWORKDAYS.INTL(E36,MIN(F36,Reprogramaciones!N$9),11)/NETWORKDAYS.INTL(E36,F36,11)*100,1))))</f>
        <v>40</v>
      </c>
      <c r="L36" s="36" t="n">
        <f aca="false">IF(OR(NOT(AND(ISNUMBER(E36),ISNUMBER(F36))),$J$2=""),"",IF(Reprogramaciones!P$9&lt;E36,0,IF(NETWORKDAYS.INTL(E36,F36,11)=0,IF(Reprogramaciones!P$9&gt;=F36,100,0),ROUND(NETWORKDAYS.INTL(E36,MIN(F36,Reprogramaciones!P$9),11)/NETWORKDAYS.INTL(E36,F36,11)*100,1)))-IF(Reprogramaciones!O$9&lt;E36,0,IF(NETWORKDAYS.INTL(E36,F36,11)=0,IF(Reprogramaciones!O$9&gt;=F36,100,0),ROUND(NETWORKDAYS.INTL(E36,MIN(F36,Reprogramaciones!O$9),11)/NETWORKDAYS.INTL(E36,F36,11)*100,1))))</f>
        <v>0</v>
      </c>
      <c r="M36" s="36" t="n">
        <f aca="false">IF(OR(NOT(AND(ISNUMBER(E36),ISNUMBER(F36))),$J$2=""),"",IF(Reprogramaciones!Q$9&lt;E36,0,IF(NETWORKDAYS.INTL(E36,F36,11)=0,IF(Reprogramaciones!Q$9&gt;=F36,100,0),ROUND(NETWORKDAYS.INTL(E36,MIN(F36,Reprogramaciones!Q$9),11)/NETWORKDAYS.INTL(E36,F36,11)*100,1)))-IF(Reprogramaciones!P$9&lt;E36,0,IF(NETWORKDAYS.INTL(E36,F36,11)=0,IF(Reprogramaciones!P$9&gt;=F36,100,0),ROUND(NETWORKDAYS.INTL(E36,MIN(F36,Reprogramaciones!P$9),11)/NETWORKDAYS.INTL(E36,F36,11)*100,1))))</f>
        <v>0</v>
      </c>
      <c r="N36" s="36" t="n">
        <f aca="false">IF(OR(NOT(AND(ISNUMBER(E36),ISNUMBER(F36))),$J$2=""),"",IF(Reprogramaciones!R$9&lt;E36,0,IF(NETWORKDAYS.INTL(E36,F36,11)=0,IF(Reprogramaciones!R$9&gt;=F36,100,0),ROUND(NETWORKDAYS.INTL(E36,MIN(F36,Reprogramaciones!R$9),11)/NETWORKDAYS.INTL(E36,F36,11)*100,1)))-IF(Reprogramaciones!Q$9&lt;E36,0,IF(NETWORKDAYS.INTL(E36,F36,11)=0,IF(Reprogramaciones!Q$9&gt;=F36,100,0),ROUND(NETWORKDAYS.INTL(E36,MIN(F36,Reprogramaciones!Q$9),11)/NETWORKDAYS.INTL(E36,F36,11)*100,1))))</f>
        <v>0</v>
      </c>
      <c r="O36" s="36" t="n">
        <f aca="false">IF(OR(NOT(AND(ISNUMBER(E36),ISNUMBER(F36))),$J$2=""),"",IF(Reprogramaciones!S$9&lt;E36,0,IF(NETWORKDAYS.INTL(E36,F36,11)=0,IF(Reprogramaciones!S$9&gt;=F36,100,0),ROUND(NETWORKDAYS.INTL(E36,MIN(F36,Reprogramaciones!S$9),11)/NETWORKDAYS.INTL(E36,F36,11)*100,1)))-IF(Reprogramaciones!R$9&lt;E36,0,IF(NETWORKDAYS.INTL(E36,F36,11)=0,IF(Reprogramaciones!R$9&gt;=F36,100,0),ROUND(NETWORKDAYS.INTL(E36,MIN(F36,Reprogramaciones!R$9),11)/NETWORKDAYS.INTL(E36,F36,11)*100,1))))</f>
        <v>0</v>
      </c>
      <c r="P36" s="36" t="n">
        <f aca="false">IF(OR(NOT(AND(ISNUMBER(E36),ISNUMBER(F36))),$J$2=""),"",IF(Reprogramaciones!T$9&lt;E36,0,IF(NETWORKDAYS.INTL(E36,F36,11)=0,IF(Reprogramaciones!T$9&gt;=F36,100,0),ROUND(NETWORKDAYS.INTL(E36,MIN(F36,Reprogramaciones!T$9),11)/NETWORKDAYS.INTL(E36,F36,11)*100,1)))-IF(Reprogramaciones!S$9&lt;E36,0,IF(NETWORKDAYS.INTL(E36,F36,11)=0,IF(Reprogramaciones!S$9&gt;=F36,100,0),ROUND(NETWORKDAYS.INTL(E36,MIN(F36,Reprogramaciones!S$9),11)/NETWORKDAYS.INTL(E36,F36,11)*100,1))))</f>
        <v>0</v>
      </c>
      <c r="Q36" s="37"/>
      <c r="R36" s="37"/>
      <c r="S36" s="37"/>
      <c r="T36" s="37" t="n">
        <v>60</v>
      </c>
      <c r="U36" s="37"/>
      <c r="V36" s="37"/>
      <c r="W36" s="37"/>
      <c r="X36" s="37"/>
      <c r="Y36" s="37"/>
      <c r="Z36" s="37"/>
      <c r="AA36" s="37"/>
      <c r="AB36" s="37"/>
      <c r="AC36" s="37"/>
      <c r="AD36" s="37"/>
      <c r="AE36" s="37"/>
      <c r="AF36" s="37"/>
      <c r="AG36" s="38" t="n">
        <f aca="false">IF(AND(ISNUMBER(E36),ISNUMBER(F36)),NETWORKDAYS.INTL(E36,F36,11),"")</f>
        <v>5</v>
      </c>
      <c r="AH36" s="38" t="n">
        <f aca="false">IF(OR(NOT(AND(ISNUMBER(E36),ISNUMBER(F36))),$J$2=""),"",IF(Reprogramaciones!$P$15&lt;Reprogramaciones!$T$15,0,IF(Reprogramaciones!$R$15&gt;10,MIN(100,SUM($G36:$P36)),MIN(100,SUMPRODUCT((COLUMN($G36:$P36)-COLUMN($G36)+1&lt;Reprogramaciones!$R$15)*$G36:$P36)+N(INDEX($G36:$P36,1,Reprogramaciones!$R$15))*IF(Reprogramaciones!$P$15&gt;=(Reprogramaciones!$T$15+7*(Reprogramaciones!$R$15-1))+6,1,IF(MAX(0,NETWORKDAYS.INTL(MAX(E36,(Reprogramaciones!$T$15+7*(Reprogramaciones!$R$15-1))),MIN(F36,(Reprogramaciones!$T$15+7*(Reprogramaciones!$R$15-1))+6),11))=0,0,MAX(0,NETWORKDAYS.INTL(MAX(E36,(Reprogramaciones!$T$15+7*(Reprogramaciones!$R$15-1))),MIN(F36,Reprogramaciones!$P$15),11))/MAX(0,NETWORKDAYS.INTL(MAX(E36,(Reprogramaciones!$T$15+7*(Reprogramaciones!$R$15-1))),MIN(F36,(Reprogramaciones!$T$15+7*(Reprogramaciones!$R$15-1))+6),11))))))))</f>
        <v>60</v>
      </c>
      <c r="AI36" s="38" t="n">
        <f aca="false">IF(COUNT($Q36:$AF36)=0,"",IF(ROUND(SUM($Q36:$AF36),1)&gt;=99.5,100,MIN(100,ROUND(SUM($Q36:$AF36),1))))</f>
        <v>60</v>
      </c>
      <c r="AJ36" s="38" t="n">
        <f aca="false">IF(OR(AH36="",AI36=""),"",AI36-AH36)</f>
        <v>0</v>
      </c>
      <c r="AK36" s="39" t="str">
        <f aca="true">IF(AH36="","",IF(OR(Ficha!$C$10="Suspendida",Ficha!$C$10="Cancelada"),Ficha!$C$10,IF(AND(AI36&lt;&gt;"",N(AI36)&gt;=100),"Completada",IF(AND(E36&gt;TODAY(),N(AI36)=0),"Por iniciar",IF(N(AI36)+0.5&lt;AH36,"Retrasada",IF(N(AI36)+0.5&lt;DA36,IF(Reprogramaciones!$K$15&gt;0,"Al día · Sem "&amp;Reprogramaciones!$K$15&amp;" en curso","Al día · en curso"),"A tiempo"))))))</f>
        <v>Al día · Sem 5 en curso</v>
      </c>
      <c r="AL36" s="39" t="str">
        <f aca="true">IF(AND(A36="",AND(B36="",C36="",E36="",F36="",COUNT(Q36:AF36)=0)),"",IF(AND(B36="",C36="",E36="",F36="",COUNT(Q36:AF36)=0),"Falta la partida o subpartida",IF(AND(A36&lt;&gt;"",COUNTIF($A$6:$A$305,A36)&gt;1),"Ítem repetido",IF(AND(C36="",E36="",F36="",COUNT(Q36:AF36)=0),"Título de partida",IF(OR(E36="",F36=""),"Faltan fechas",IF(OR(ISTEXT(E36),ISTEXT(F36)),"Fecha escrita como texto: usa dd/mm/aaaa",IF(F36&lt;E36,"Fin antes del inicio",IF(IF($J$2="",FALSE(),OR(E36&lt;$J$2,F36&gt;Reprogramaciones!$T$15+69)),"Fuera de las 10 semanas",IF(ABS(SUM(G36:P36)-100)&gt;0.5,"La meta no suma 100%",IF(ROUND(SUM(Q36:AF36),1)&gt;100.5,"El avance pasa de 100%",IF(MIN(Q36:AF36)&lt;0,"Avance negativo",IF(COUNTA(Q36:AF36)&gt;COUNT(Q36:AF36),"Avance escrito como texto",IF(SUMPRODUCT((Q36:AF36&gt;0)*(Q36:AF36&lt;1))&gt;0,"Avance menor a 1: escribe 50, no 50%",IF(SUMPRODUCT(ISNUMBER(Q36:AF36)*(Reprogramaciones!$K$8:$Z$8&gt;TODAY()))&gt;0,"Avance en semana que aún no llega",IF(AND(N(Reprogramaciones!$E$21)&gt;0,F36&gt;Reprogramaciones!$E$21),"Pasa el fin de la obra: registra una reprogramación",IF(AND(N(Reprogramaciones!$E$21)&gt;0,SUMPRODUCT(ISNUMBER(Q36:AF36)*(Reprogramaciones!$K$8:$Z$8&gt;Reprogramaciones!$E$21))&gt;0),"Avance después del fin de la obra: registra una reprogramación por atraso","OK"))))))))))))))))</f>
        <v>OK</v>
      </c>
      <c r="AM36" s="40" t="str">
        <f aca="false">IF(OR(OR(NOT(AND(ISNUMBER(E36),ISNUMBER(F36))),$J$2=""),1&gt;MAX(1,Reprogramaciones!$U$15)),"",IF(Reprogramaciones!K$12&gt;=7,"",IF(OR(BT36-N(0)&gt;0.05,N(Q36)&gt;0),ROUNDDOWN(ROUND(BT36,6),0)&amp;"%"&amp;IF(CJ36="",""," / "&amp;CJ36&amp;"%"),IF(AND(N(0)&gt;=99.95,CJ36&lt;&gt;"",N(CJ36)&lt;100),"Pend. "&amp;CJ36&amp;"%",""))))</f>
        <v/>
      </c>
      <c r="AN36" s="40" t="str">
        <f aca="false">IF(OR(OR(NOT(AND(ISNUMBER(E36),ISNUMBER(F36))),$J$2=""),2&gt;MAX(1,Reprogramaciones!$U$15)),"",IF(Reprogramaciones!L$12&gt;=7,"",IF(OR(BU36-N(BT36)&gt;0.05,N(R36)&gt;0),ROUNDDOWN(ROUND(BU36,6),0)&amp;"%"&amp;IF(CK36="",""," / "&amp;CK36&amp;"%"),IF(AND(N(BT36)&gt;=99.95,CK36&lt;&gt;"",N(CK36)&lt;100),"Pend. "&amp;CK36&amp;"%",""))))</f>
        <v/>
      </c>
      <c r="AO36" s="40" t="str">
        <f aca="false">IF(OR(OR(NOT(AND(ISNUMBER(E36),ISNUMBER(F36))),$J$2=""),3&gt;MAX(1,Reprogramaciones!$U$15)),"",IF(Reprogramaciones!M$12&gt;=7,"",IF(OR(BV36-N(BU36)&gt;0.05,N(S36)&gt;0),ROUNDDOWN(ROUND(BV36,6),0)&amp;"%"&amp;IF(CL36="",""," / "&amp;CL36&amp;"%"),IF(AND(N(BU36)&gt;=99.95,CL36&lt;&gt;"",N(CL36)&lt;100),"Pend. "&amp;CL36&amp;"%",""))))</f>
        <v/>
      </c>
      <c r="AP36" s="40" t="str">
        <f aca="false">IF(OR(OR(NOT(AND(ISNUMBER(E36),ISNUMBER(F36))),$J$2=""),4&gt;MAX(1,Reprogramaciones!$U$15)),"",IF(Reprogramaciones!N$12&gt;=7,"",IF(OR(BW36-N(BV36)&gt;0.05,N(T36)&gt;0),ROUNDDOWN(ROUND(BW36,6),0)&amp;"%"&amp;IF(CM36="",""," / "&amp;CM36&amp;"%"),IF(AND(N(BV36)&gt;=99.95,CM36&lt;&gt;"",N(CM36)&lt;100),"Pend. "&amp;CM36&amp;"%",""))))</f>
        <v>60% / 60%</v>
      </c>
      <c r="AQ36" s="40" t="str">
        <f aca="false">IF(OR(OR(NOT(AND(ISNUMBER(E36),ISNUMBER(F36))),$J$2=""),5&gt;MAX(1,Reprogramaciones!$U$15)),"",IF(Reprogramaciones!O$12&gt;=7,"",IF(OR(BX36-N(BW36)&gt;0.05,N(U36)&gt;0),ROUNDDOWN(ROUND(BX36,6),0)&amp;"%"&amp;IF(CN36="",""," / "&amp;CN36&amp;"%"),IF(AND(N(BW36)&gt;=99.95,CN36&lt;&gt;"",N(CN36)&lt;100),"Pend. "&amp;CN36&amp;"%",""))))</f>
        <v>100% / 60%</v>
      </c>
      <c r="AR36" s="40" t="str">
        <f aca="false">IF(OR(OR(NOT(AND(ISNUMBER(E36),ISNUMBER(F36))),$J$2=""),6&gt;MAX(1,Reprogramaciones!$U$15)),"",IF(Reprogramaciones!P$12&gt;=7,"",IF(OR(BY36-N(BX36)&gt;0.05,N(V36)&gt;0),ROUNDDOWN(ROUND(BY36,6),0)&amp;"%"&amp;IF(CO36="",""," / "&amp;CO36&amp;"%"),IF(AND(N(BX36)&gt;=99.95,CO36&lt;&gt;"",N(CO36)&lt;100),"Pend. "&amp;CO36&amp;"%",""))))</f>
        <v/>
      </c>
      <c r="AS36" s="40" t="str">
        <f aca="false">IF(OR(OR(NOT(AND(ISNUMBER(E36),ISNUMBER(F36))),$J$2=""),7&gt;MAX(1,Reprogramaciones!$U$15)),"",IF(Reprogramaciones!Q$12&gt;=7,"",IF(OR(BZ36-N(BY36)&gt;0.05,N(W36)&gt;0),ROUNDDOWN(ROUND(BZ36,6),0)&amp;"%"&amp;IF(CP36="",""," / "&amp;CP36&amp;"%"),IF(AND(N(BY36)&gt;=99.95,CP36&lt;&gt;"",N(CP36)&lt;100),"Pend. "&amp;CP36&amp;"%",""))))</f>
        <v/>
      </c>
      <c r="AT36" s="40" t="str">
        <f aca="false">IF(OR(OR(NOT(AND(ISNUMBER(E36),ISNUMBER(F36))),$J$2=""),8&gt;MAX(1,Reprogramaciones!$U$15)),"",IF(Reprogramaciones!R$12&gt;=7,"",IF(OR(CA36-N(BZ36)&gt;0.05,N(X36)&gt;0),ROUNDDOWN(ROUND(CA36,6),0)&amp;"%"&amp;IF(CQ36="",""," / "&amp;CQ36&amp;"%"),IF(AND(N(BZ36)&gt;=99.95,CQ36&lt;&gt;"",N(CQ36)&lt;100),"Pend. "&amp;CQ36&amp;"%",""))))</f>
        <v/>
      </c>
      <c r="AU36" s="40" t="str">
        <f aca="false">IF(OR(OR(NOT(AND(ISNUMBER(E36),ISNUMBER(F36))),$J$2=""),9&gt;MAX(1,Reprogramaciones!$U$15)),"",IF(Reprogramaciones!S$12&gt;=7,"",IF(OR(CB36-N(CA36)&gt;0.05,N(Y36)&gt;0),ROUNDDOWN(ROUND(CB36,6),0)&amp;"%"&amp;IF(CR36="",""," / "&amp;CR36&amp;"%"),IF(AND(N(CA36)&gt;=99.95,CR36&lt;&gt;"",N(CR36)&lt;100),"Pend. "&amp;CR36&amp;"%",""))))</f>
        <v/>
      </c>
      <c r="AV36" s="40" t="str">
        <f aca="false">IF(OR(OR(NOT(AND(ISNUMBER(E36),ISNUMBER(F36))),$J$2=""),10&gt;MAX(1,Reprogramaciones!$U$15)),"",IF(Reprogramaciones!T$12&gt;=7,"",IF(OR(CC36-N(CB36)&gt;0.05,N(Z36)&gt;0),ROUNDDOWN(ROUND(CC36,6),0)&amp;"%"&amp;IF(CS36="",""," / "&amp;CS36&amp;"%"),IF(AND(N(CB36)&gt;=99.95,CS36&lt;&gt;"",N(CS36)&lt;100),"Pend. "&amp;CS36&amp;"%",""))))</f>
        <v/>
      </c>
      <c r="AW36" s="40" t="str">
        <f aca="false">IF(OR(OR(NOT(AND(ISNUMBER(E36),ISNUMBER(F36))),$J$2=""),11&gt;MAX(1,Reprogramaciones!$U$15)),"",IF(Reprogramaciones!U$12&gt;=7,"",IF(OR(CD36-N(CC36)&gt;0.05,N(AA36)&gt;0),ROUNDDOWN(ROUND(CD36,6),0)&amp;"%"&amp;IF(CT36="",""," / "&amp;CT36&amp;"%"),IF(AND(N(CC36)&gt;=99.95,CT36&lt;&gt;"",N(CT36)&lt;100),"Pend. "&amp;CT36&amp;"%",""))))</f>
        <v/>
      </c>
      <c r="AX36" s="40" t="str">
        <f aca="false">IF(OR(OR(NOT(AND(ISNUMBER(E36),ISNUMBER(F36))),$J$2=""),12&gt;MAX(1,Reprogramaciones!$U$15)),"",IF(Reprogramaciones!V$12&gt;=7,"",IF(OR(CE36-N(CD36)&gt;0.05,N(AB36)&gt;0),ROUNDDOWN(ROUND(CE36,6),0)&amp;"%"&amp;IF(CU36="",""," / "&amp;CU36&amp;"%"),IF(AND(N(CD36)&gt;=99.95,CU36&lt;&gt;"",N(CU36)&lt;100),"Pend. "&amp;CU36&amp;"%",""))))</f>
        <v/>
      </c>
      <c r="AY36" s="40" t="str">
        <f aca="false">IF(OR(OR(NOT(AND(ISNUMBER(E36),ISNUMBER(F36))),$J$2=""),13&gt;MAX(1,Reprogramaciones!$U$15)),"",IF(Reprogramaciones!W$12&gt;=7,"",IF(OR(CF36-N(CE36)&gt;0.05,N(AC36)&gt;0),ROUNDDOWN(ROUND(CF36,6),0)&amp;"%"&amp;IF(CV36="",""," / "&amp;CV36&amp;"%"),IF(AND(N(CE36)&gt;=99.95,CV36&lt;&gt;"",N(CV36)&lt;100),"Pend. "&amp;CV36&amp;"%",""))))</f>
        <v/>
      </c>
      <c r="AZ36" s="40" t="str">
        <f aca="false">IF(OR(OR(NOT(AND(ISNUMBER(E36),ISNUMBER(F36))),$J$2=""),14&gt;MAX(1,Reprogramaciones!$U$15)),"",IF(Reprogramaciones!X$12&gt;=7,"",IF(OR(CG36-N(CF36)&gt;0.05,N(AD36)&gt;0),ROUNDDOWN(ROUND(CG36,6),0)&amp;"%"&amp;IF(CW36="",""," / "&amp;CW36&amp;"%"),IF(AND(N(CF36)&gt;=99.95,CW36&lt;&gt;"",N(CW36)&lt;100),"Pend. "&amp;CW36&amp;"%",""))))</f>
        <v/>
      </c>
      <c r="BA36" s="40" t="str">
        <f aca="false">IF(OR(OR(NOT(AND(ISNUMBER(E36),ISNUMBER(F36))),$J$2=""),15&gt;MAX(1,Reprogramaciones!$U$15)),"",IF(Reprogramaciones!Y$12&gt;=7,"",IF(OR(CH36-N(CG36)&gt;0.05,N(AE36)&gt;0),ROUNDDOWN(ROUND(CH36,6),0)&amp;"%"&amp;IF(CX36="",""," / "&amp;CX36&amp;"%"),IF(AND(N(CG36)&gt;=99.95,CX36&lt;&gt;"",N(CX36)&lt;100),"Pend. "&amp;CX36&amp;"%",""))))</f>
        <v/>
      </c>
      <c r="BB36" s="40" t="str">
        <f aca="false">IF(OR(OR(NOT(AND(ISNUMBER(E36),ISNUMBER(F36))),$J$2=""),16&gt;MAX(1,Reprogramaciones!$U$15)),"",IF(Reprogramaciones!Z$12&gt;=7,"",IF(OR(CI36-N(CH36)&gt;0.05,N(AF36)&gt;0),ROUNDDOWN(ROUND(CI36,6),0)&amp;"%"&amp;IF(CY36="",""," / "&amp;CY36&amp;"%"),IF(AND(N(CH36)&gt;=99.95,CY36&lt;&gt;"",N(CY36)&lt;100),"Pend. "&amp;CY36&amp;"%",""))))</f>
        <v/>
      </c>
      <c r="BC36" s="31" t="n">
        <f aca="false">IF(AND(ISNUMBER(E36),ISNUMBER(F36)),MAX(1,NETWORKDAYS.INTL(E36,F36,11)),0)</f>
        <v>5</v>
      </c>
      <c r="BD36" s="1" t="n">
        <f aca="false">IF(OR(NOT(AND(ISNUMBER(E36),ISNUMBER(F36))),$J$2=""),"",MIN(100,ROUND(SUM($G36:G36),1)))</f>
        <v>0</v>
      </c>
      <c r="BE36" s="1" t="n">
        <f aca="false">IF(OR(NOT(AND(ISNUMBER(E36),ISNUMBER(F36))),$J$2=""),"",MIN(100,ROUND(SUM($G36:H36),1)))</f>
        <v>0</v>
      </c>
      <c r="BF36" s="1" t="n">
        <f aca="false">IF(OR(NOT(AND(ISNUMBER(E36),ISNUMBER(F36))),$J$2=""),"",MIN(100,ROUND(SUM($G36:I36),1)))</f>
        <v>0</v>
      </c>
      <c r="BG36" s="1" t="n">
        <f aca="false">IF(OR(NOT(AND(ISNUMBER(E36),ISNUMBER(F36))),$J$2=""),"",MIN(100,ROUND(SUM($G36:J36),1)))</f>
        <v>60</v>
      </c>
      <c r="BH36" s="1" t="n">
        <f aca="false">IF(OR(NOT(AND(ISNUMBER(E36),ISNUMBER(F36))),$J$2=""),"",MIN(100,ROUND(SUM($G36:K36),1)))</f>
        <v>100</v>
      </c>
      <c r="BI36" s="1" t="n">
        <f aca="false">IF(OR(NOT(AND(ISNUMBER(E36),ISNUMBER(F36))),$J$2=""),"",MIN(100,ROUND(SUM($G36:L36),1)))</f>
        <v>100</v>
      </c>
      <c r="BJ36" s="1" t="n">
        <f aca="false">IF(OR(NOT(AND(ISNUMBER(E36),ISNUMBER(F36))),$J$2=""),"",MIN(100,ROUND(SUM($G36:M36),1)))</f>
        <v>100</v>
      </c>
      <c r="BK36" s="1" t="n">
        <f aca="false">IF(OR(NOT(AND(ISNUMBER(E36),ISNUMBER(F36))),$J$2=""),"",MIN(100,ROUND(SUM($G36:N36),1)))</f>
        <v>100</v>
      </c>
      <c r="BL36" s="1" t="n">
        <f aca="false">IF(OR(NOT(AND(ISNUMBER(E36),ISNUMBER(F36))),$J$2=""),"",MIN(100,ROUND(SUM($G36:O36),1)))</f>
        <v>100</v>
      </c>
      <c r="BM36" s="1" t="n">
        <f aca="false">IF(OR(NOT(AND(ISNUMBER(E36),ISNUMBER(F36))),$J$2=""),"",MIN(100,ROUND(SUM($G36:P36),1)))</f>
        <v>100</v>
      </c>
      <c r="BN36" s="1" t="n">
        <f aca="false">IF(OR(NOT(AND(ISNUMBER(E36),ISNUMBER(F36))),$J$2=""),"",MIN(100,ROUND(SUM($G36:P36),1)))</f>
        <v>100</v>
      </c>
      <c r="BO36" s="1" t="n">
        <f aca="false">IF(OR(NOT(AND(ISNUMBER(E36),ISNUMBER(F36))),$J$2=""),"",MIN(100,ROUND(SUM($G36:P36),1)))</f>
        <v>100</v>
      </c>
      <c r="BP36" s="1" t="n">
        <f aca="false">IF(OR(NOT(AND(ISNUMBER(E36),ISNUMBER(F36))),$J$2=""),"",MIN(100,ROUND(SUM($G36:P36),1)))</f>
        <v>100</v>
      </c>
      <c r="BQ36" s="1" t="n">
        <f aca="false">IF(OR(NOT(AND(ISNUMBER(E36),ISNUMBER(F36))),$J$2=""),"",MIN(100,ROUND(SUM($G36:P36),1)))</f>
        <v>100</v>
      </c>
      <c r="BR36" s="1" t="n">
        <f aca="false">IF(OR(NOT(AND(ISNUMBER(E36),ISNUMBER(F36))),$J$2=""),"",MIN(100,ROUND(SUM($G36:P36),1)))</f>
        <v>100</v>
      </c>
      <c r="BS36" s="1" t="n">
        <f aca="false">IF(OR(NOT(AND(ISNUMBER(E36),ISNUMBER(F36))),$J$2=""),"",MIN(100,ROUND(SUM($G36:P36),1)))</f>
        <v>100</v>
      </c>
      <c r="BT36" s="1" t="n">
        <f aca="false">IF(OR(NOT(AND(ISNUMBER(E36),ISNUMBER(F36))),$J$2=""),"",IF(Reprogramaciones!K$13&lt;Reprogramaciones!$T$15,0,IF(Reprogramaciones!K$14&gt;10,MIN(100,SUM($G36:$P36)),MIN(100,SUMPRODUCT((COLUMN($G36:$P36)-COLUMN($G36)+1&lt;Reprogramaciones!K$14)*$G36:$P36)+N(INDEX($G36:$P36,1,Reprogramaciones!K$14))*IF(Reprogramaciones!K$13&gt;=(Reprogramaciones!$T$15+7*(Reprogramaciones!K$14-1))+6,1,IF(MAX(0,NETWORKDAYS.INTL(MAX(E36,(Reprogramaciones!$T$15+7*(Reprogramaciones!K$14-1))),MIN(F36,(Reprogramaciones!$T$15+7*(Reprogramaciones!K$14-1))+6),11))=0,0,MAX(0,NETWORKDAYS.INTL(MAX(E36,(Reprogramaciones!$T$15+7*(Reprogramaciones!K$14-1))),MIN(F36,Reprogramaciones!K$13),11))/MAX(0,NETWORKDAYS.INTL(MAX(E36,(Reprogramaciones!$T$15+7*(Reprogramaciones!K$14-1))),MIN(F36,(Reprogramaciones!$T$15+7*(Reprogramaciones!K$14-1))+6),11))))))))</f>
        <v>0</v>
      </c>
      <c r="BU36" s="1" t="n">
        <f aca="false">IF(OR(NOT(AND(ISNUMBER(E36),ISNUMBER(F36))),$J$2=""),"",IF(Reprogramaciones!L$13&lt;Reprogramaciones!$T$15,0,IF(Reprogramaciones!L$14&gt;10,MIN(100,SUM($G36:$P36)),MIN(100,SUMPRODUCT((COLUMN($G36:$P36)-COLUMN($G36)+1&lt;Reprogramaciones!L$14)*$G36:$P36)+N(INDEX($G36:$P36,1,Reprogramaciones!L$14))*IF(Reprogramaciones!L$13&gt;=(Reprogramaciones!$T$15+7*(Reprogramaciones!L$14-1))+6,1,IF(MAX(0,NETWORKDAYS.INTL(MAX(E36,(Reprogramaciones!$T$15+7*(Reprogramaciones!L$14-1))),MIN(F36,(Reprogramaciones!$T$15+7*(Reprogramaciones!L$14-1))+6),11))=0,0,MAX(0,NETWORKDAYS.INTL(MAX(E36,(Reprogramaciones!$T$15+7*(Reprogramaciones!L$14-1))),MIN(F36,Reprogramaciones!L$13),11))/MAX(0,NETWORKDAYS.INTL(MAX(E36,(Reprogramaciones!$T$15+7*(Reprogramaciones!L$14-1))),MIN(F36,(Reprogramaciones!$T$15+7*(Reprogramaciones!L$14-1))+6),11))))))))</f>
        <v>0</v>
      </c>
      <c r="BV36" s="1" t="n">
        <f aca="false">IF(OR(NOT(AND(ISNUMBER(E36),ISNUMBER(F36))),$J$2=""),"",IF(Reprogramaciones!M$13&lt;Reprogramaciones!$T$15,0,IF(Reprogramaciones!M$14&gt;10,MIN(100,SUM($G36:$P36)),MIN(100,SUMPRODUCT((COLUMN($G36:$P36)-COLUMN($G36)+1&lt;Reprogramaciones!M$14)*$G36:$P36)+N(INDEX($G36:$P36,1,Reprogramaciones!M$14))*IF(Reprogramaciones!M$13&gt;=(Reprogramaciones!$T$15+7*(Reprogramaciones!M$14-1))+6,1,IF(MAX(0,NETWORKDAYS.INTL(MAX(E36,(Reprogramaciones!$T$15+7*(Reprogramaciones!M$14-1))),MIN(F36,(Reprogramaciones!$T$15+7*(Reprogramaciones!M$14-1))+6),11))=0,0,MAX(0,NETWORKDAYS.INTL(MAX(E36,(Reprogramaciones!$T$15+7*(Reprogramaciones!M$14-1))),MIN(F36,Reprogramaciones!M$13),11))/MAX(0,NETWORKDAYS.INTL(MAX(E36,(Reprogramaciones!$T$15+7*(Reprogramaciones!M$14-1))),MIN(F36,(Reprogramaciones!$T$15+7*(Reprogramaciones!M$14-1))+6),11))))))))</f>
        <v>0</v>
      </c>
      <c r="BW36" s="1" t="n">
        <f aca="false">IF(OR(NOT(AND(ISNUMBER(E36),ISNUMBER(F36))),$J$2=""),"",IF(Reprogramaciones!N$13&lt;Reprogramaciones!$T$15,0,IF(Reprogramaciones!N$14&gt;10,MIN(100,SUM($G36:$P36)),MIN(100,SUMPRODUCT((COLUMN($G36:$P36)-COLUMN($G36)+1&lt;Reprogramaciones!N$14)*$G36:$P36)+N(INDEX($G36:$P36,1,Reprogramaciones!N$14))*IF(Reprogramaciones!N$13&gt;=(Reprogramaciones!$T$15+7*(Reprogramaciones!N$14-1))+6,1,IF(MAX(0,NETWORKDAYS.INTL(MAX(E36,(Reprogramaciones!$T$15+7*(Reprogramaciones!N$14-1))),MIN(F36,(Reprogramaciones!$T$15+7*(Reprogramaciones!N$14-1))+6),11))=0,0,MAX(0,NETWORKDAYS.INTL(MAX(E36,(Reprogramaciones!$T$15+7*(Reprogramaciones!N$14-1))),MIN(F36,Reprogramaciones!N$13),11))/MAX(0,NETWORKDAYS.INTL(MAX(E36,(Reprogramaciones!$T$15+7*(Reprogramaciones!N$14-1))),MIN(F36,(Reprogramaciones!$T$15+7*(Reprogramaciones!N$14-1))+6),11))))))))</f>
        <v>60</v>
      </c>
      <c r="BX36" s="1" t="n">
        <f aca="false">IF(OR(NOT(AND(ISNUMBER(E36),ISNUMBER(F36))),$J$2=""),"",IF(Reprogramaciones!O$13&lt;Reprogramaciones!$T$15,0,IF(Reprogramaciones!O$14&gt;10,MIN(100,SUM($G36:$P36)),MIN(100,SUMPRODUCT((COLUMN($G36:$P36)-COLUMN($G36)+1&lt;Reprogramaciones!O$14)*$G36:$P36)+N(INDEX($G36:$P36,1,Reprogramaciones!O$14))*IF(Reprogramaciones!O$13&gt;=(Reprogramaciones!$T$15+7*(Reprogramaciones!O$14-1))+6,1,IF(MAX(0,NETWORKDAYS.INTL(MAX(E36,(Reprogramaciones!$T$15+7*(Reprogramaciones!O$14-1))),MIN(F36,(Reprogramaciones!$T$15+7*(Reprogramaciones!O$14-1))+6),11))=0,0,MAX(0,NETWORKDAYS.INTL(MAX(E36,(Reprogramaciones!$T$15+7*(Reprogramaciones!O$14-1))),MIN(F36,Reprogramaciones!O$13),11))/MAX(0,NETWORKDAYS.INTL(MAX(E36,(Reprogramaciones!$T$15+7*(Reprogramaciones!O$14-1))),MIN(F36,(Reprogramaciones!$T$15+7*(Reprogramaciones!O$14-1))+6),11))))))))</f>
        <v>100</v>
      </c>
      <c r="BY36" s="1" t="n">
        <f aca="false">IF(OR(NOT(AND(ISNUMBER(E36),ISNUMBER(F36))),$J$2=""),"",IF(Reprogramaciones!P$13&lt;Reprogramaciones!$T$15,0,IF(Reprogramaciones!P$14&gt;10,MIN(100,SUM($G36:$P36)),MIN(100,SUMPRODUCT((COLUMN($G36:$P36)-COLUMN($G36)+1&lt;Reprogramaciones!P$14)*$G36:$P36)+N(INDEX($G36:$P36,1,Reprogramaciones!P$14))*IF(Reprogramaciones!P$13&gt;=(Reprogramaciones!$T$15+7*(Reprogramaciones!P$14-1))+6,1,IF(MAX(0,NETWORKDAYS.INTL(MAX(E36,(Reprogramaciones!$T$15+7*(Reprogramaciones!P$14-1))),MIN(F36,(Reprogramaciones!$T$15+7*(Reprogramaciones!P$14-1))+6),11))=0,0,MAX(0,NETWORKDAYS.INTL(MAX(E36,(Reprogramaciones!$T$15+7*(Reprogramaciones!P$14-1))),MIN(F36,Reprogramaciones!P$13),11))/MAX(0,NETWORKDAYS.INTL(MAX(E36,(Reprogramaciones!$T$15+7*(Reprogramaciones!P$14-1))),MIN(F36,(Reprogramaciones!$T$15+7*(Reprogramaciones!P$14-1))+6),11))))))))</f>
        <v>100</v>
      </c>
      <c r="BZ36" s="1" t="n">
        <f aca="false">IF(OR(NOT(AND(ISNUMBER(E36),ISNUMBER(F36))),$J$2=""),"",IF(Reprogramaciones!Q$13&lt;Reprogramaciones!$T$15,0,IF(Reprogramaciones!Q$14&gt;10,MIN(100,SUM($G36:$P36)),MIN(100,SUMPRODUCT((COLUMN($G36:$P36)-COLUMN($G36)+1&lt;Reprogramaciones!Q$14)*$G36:$P36)+N(INDEX($G36:$P36,1,Reprogramaciones!Q$14))*IF(Reprogramaciones!Q$13&gt;=(Reprogramaciones!$T$15+7*(Reprogramaciones!Q$14-1))+6,1,IF(MAX(0,NETWORKDAYS.INTL(MAX(E36,(Reprogramaciones!$T$15+7*(Reprogramaciones!Q$14-1))),MIN(F36,(Reprogramaciones!$T$15+7*(Reprogramaciones!Q$14-1))+6),11))=0,0,MAX(0,NETWORKDAYS.INTL(MAX(E36,(Reprogramaciones!$T$15+7*(Reprogramaciones!Q$14-1))),MIN(F36,Reprogramaciones!Q$13),11))/MAX(0,NETWORKDAYS.INTL(MAX(E36,(Reprogramaciones!$T$15+7*(Reprogramaciones!Q$14-1))),MIN(F36,(Reprogramaciones!$T$15+7*(Reprogramaciones!Q$14-1))+6),11))))))))</f>
        <v>100</v>
      </c>
      <c r="CA36" s="1" t="n">
        <f aca="false">IF(OR(NOT(AND(ISNUMBER(E36),ISNUMBER(F36))),$J$2=""),"",IF(Reprogramaciones!R$13&lt;Reprogramaciones!$T$15,0,IF(Reprogramaciones!R$14&gt;10,MIN(100,SUM($G36:$P36)),MIN(100,SUMPRODUCT((COLUMN($G36:$P36)-COLUMN($G36)+1&lt;Reprogramaciones!R$14)*$G36:$P36)+N(INDEX($G36:$P36,1,Reprogramaciones!R$14))*IF(Reprogramaciones!R$13&gt;=(Reprogramaciones!$T$15+7*(Reprogramaciones!R$14-1))+6,1,IF(MAX(0,NETWORKDAYS.INTL(MAX(E36,(Reprogramaciones!$T$15+7*(Reprogramaciones!R$14-1))),MIN(F36,(Reprogramaciones!$T$15+7*(Reprogramaciones!R$14-1))+6),11))=0,0,MAX(0,NETWORKDAYS.INTL(MAX(E36,(Reprogramaciones!$T$15+7*(Reprogramaciones!R$14-1))),MIN(F36,Reprogramaciones!R$13),11))/MAX(0,NETWORKDAYS.INTL(MAX(E36,(Reprogramaciones!$T$15+7*(Reprogramaciones!R$14-1))),MIN(F36,(Reprogramaciones!$T$15+7*(Reprogramaciones!R$14-1))+6),11))))))))</f>
        <v>100</v>
      </c>
      <c r="CB36" s="1" t="n">
        <f aca="false">IF(OR(NOT(AND(ISNUMBER(E36),ISNUMBER(F36))),$J$2=""),"",IF(Reprogramaciones!S$13&lt;Reprogramaciones!$T$15,0,IF(Reprogramaciones!S$14&gt;10,MIN(100,SUM($G36:$P36)),MIN(100,SUMPRODUCT((COLUMN($G36:$P36)-COLUMN($G36)+1&lt;Reprogramaciones!S$14)*$G36:$P36)+N(INDEX($G36:$P36,1,Reprogramaciones!S$14))*IF(Reprogramaciones!S$13&gt;=(Reprogramaciones!$T$15+7*(Reprogramaciones!S$14-1))+6,1,IF(MAX(0,NETWORKDAYS.INTL(MAX(E36,(Reprogramaciones!$T$15+7*(Reprogramaciones!S$14-1))),MIN(F36,(Reprogramaciones!$T$15+7*(Reprogramaciones!S$14-1))+6),11))=0,0,MAX(0,NETWORKDAYS.INTL(MAX(E36,(Reprogramaciones!$T$15+7*(Reprogramaciones!S$14-1))),MIN(F36,Reprogramaciones!S$13),11))/MAX(0,NETWORKDAYS.INTL(MAX(E36,(Reprogramaciones!$T$15+7*(Reprogramaciones!S$14-1))),MIN(F36,(Reprogramaciones!$T$15+7*(Reprogramaciones!S$14-1))+6),11))))))))</f>
        <v>100</v>
      </c>
      <c r="CC36" s="1" t="n">
        <f aca="false">IF(OR(NOT(AND(ISNUMBER(E36),ISNUMBER(F36))),$J$2=""),"",IF(Reprogramaciones!T$13&lt;Reprogramaciones!$T$15,0,IF(Reprogramaciones!T$14&gt;10,MIN(100,SUM($G36:$P36)),MIN(100,SUMPRODUCT((COLUMN($G36:$P36)-COLUMN($G36)+1&lt;Reprogramaciones!T$14)*$G36:$P36)+N(INDEX($G36:$P36,1,Reprogramaciones!T$14))*IF(Reprogramaciones!T$13&gt;=(Reprogramaciones!$T$15+7*(Reprogramaciones!T$14-1))+6,1,IF(MAX(0,NETWORKDAYS.INTL(MAX(E36,(Reprogramaciones!$T$15+7*(Reprogramaciones!T$14-1))),MIN(F36,(Reprogramaciones!$T$15+7*(Reprogramaciones!T$14-1))+6),11))=0,0,MAX(0,NETWORKDAYS.INTL(MAX(E36,(Reprogramaciones!$T$15+7*(Reprogramaciones!T$14-1))),MIN(F36,Reprogramaciones!T$13),11))/MAX(0,NETWORKDAYS.INTL(MAX(E36,(Reprogramaciones!$T$15+7*(Reprogramaciones!T$14-1))),MIN(F36,(Reprogramaciones!$T$15+7*(Reprogramaciones!T$14-1))+6),11))))))))</f>
        <v>100</v>
      </c>
      <c r="CD36" s="1" t="n">
        <f aca="false">IF(OR(NOT(AND(ISNUMBER(E36),ISNUMBER(F36))),$J$2=""),"",IF(Reprogramaciones!U$13&lt;Reprogramaciones!$T$15,0,IF(Reprogramaciones!U$14&gt;10,MIN(100,SUM($G36:$P36)),MIN(100,SUMPRODUCT((COLUMN($G36:$P36)-COLUMN($G36)+1&lt;Reprogramaciones!U$14)*$G36:$P36)+N(INDEX($G36:$P36,1,Reprogramaciones!U$14))*IF(Reprogramaciones!U$13&gt;=(Reprogramaciones!$T$15+7*(Reprogramaciones!U$14-1))+6,1,IF(MAX(0,NETWORKDAYS.INTL(MAX(E36,(Reprogramaciones!$T$15+7*(Reprogramaciones!U$14-1))),MIN(F36,(Reprogramaciones!$T$15+7*(Reprogramaciones!U$14-1))+6),11))=0,0,MAX(0,NETWORKDAYS.INTL(MAX(E36,(Reprogramaciones!$T$15+7*(Reprogramaciones!U$14-1))),MIN(F36,Reprogramaciones!U$13),11))/MAX(0,NETWORKDAYS.INTL(MAX(E36,(Reprogramaciones!$T$15+7*(Reprogramaciones!U$14-1))),MIN(F36,(Reprogramaciones!$T$15+7*(Reprogramaciones!U$14-1))+6),11))))))))</f>
        <v>100</v>
      </c>
      <c r="CE36" s="1" t="n">
        <f aca="false">IF(OR(NOT(AND(ISNUMBER(E36),ISNUMBER(F36))),$J$2=""),"",IF(Reprogramaciones!V$13&lt;Reprogramaciones!$T$15,0,IF(Reprogramaciones!V$14&gt;10,MIN(100,SUM($G36:$P36)),MIN(100,SUMPRODUCT((COLUMN($G36:$P36)-COLUMN($G36)+1&lt;Reprogramaciones!V$14)*$G36:$P36)+N(INDEX($G36:$P36,1,Reprogramaciones!V$14))*IF(Reprogramaciones!V$13&gt;=(Reprogramaciones!$T$15+7*(Reprogramaciones!V$14-1))+6,1,IF(MAX(0,NETWORKDAYS.INTL(MAX(E36,(Reprogramaciones!$T$15+7*(Reprogramaciones!V$14-1))),MIN(F36,(Reprogramaciones!$T$15+7*(Reprogramaciones!V$14-1))+6),11))=0,0,MAX(0,NETWORKDAYS.INTL(MAX(E36,(Reprogramaciones!$T$15+7*(Reprogramaciones!V$14-1))),MIN(F36,Reprogramaciones!V$13),11))/MAX(0,NETWORKDAYS.INTL(MAX(E36,(Reprogramaciones!$T$15+7*(Reprogramaciones!V$14-1))),MIN(F36,(Reprogramaciones!$T$15+7*(Reprogramaciones!V$14-1))+6),11))))))))</f>
        <v>100</v>
      </c>
      <c r="CF36" s="1" t="n">
        <f aca="false">IF(OR(NOT(AND(ISNUMBER(E36),ISNUMBER(F36))),$J$2=""),"",IF(Reprogramaciones!W$13&lt;Reprogramaciones!$T$15,0,IF(Reprogramaciones!W$14&gt;10,MIN(100,SUM($G36:$P36)),MIN(100,SUMPRODUCT((COLUMN($G36:$P36)-COLUMN($G36)+1&lt;Reprogramaciones!W$14)*$G36:$P36)+N(INDEX($G36:$P36,1,Reprogramaciones!W$14))*IF(Reprogramaciones!W$13&gt;=(Reprogramaciones!$T$15+7*(Reprogramaciones!W$14-1))+6,1,IF(MAX(0,NETWORKDAYS.INTL(MAX(E36,(Reprogramaciones!$T$15+7*(Reprogramaciones!W$14-1))),MIN(F36,(Reprogramaciones!$T$15+7*(Reprogramaciones!W$14-1))+6),11))=0,0,MAX(0,NETWORKDAYS.INTL(MAX(E36,(Reprogramaciones!$T$15+7*(Reprogramaciones!W$14-1))),MIN(F36,Reprogramaciones!W$13),11))/MAX(0,NETWORKDAYS.INTL(MAX(E36,(Reprogramaciones!$T$15+7*(Reprogramaciones!W$14-1))),MIN(F36,(Reprogramaciones!$T$15+7*(Reprogramaciones!W$14-1))+6),11))))))))</f>
        <v>100</v>
      </c>
      <c r="CG36" s="1" t="n">
        <f aca="false">IF(OR(NOT(AND(ISNUMBER(E36),ISNUMBER(F36))),$J$2=""),"",IF(Reprogramaciones!X$13&lt;Reprogramaciones!$T$15,0,IF(Reprogramaciones!X$14&gt;10,MIN(100,SUM($G36:$P36)),MIN(100,SUMPRODUCT((COLUMN($G36:$P36)-COLUMN($G36)+1&lt;Reprogramaciones!X$14)*$G36:$P36)+N(INDEX($G36:$P36,1,Reprogramaciones!X$14))*IF(Reprogramaciones!X$13&gt;=(Reprogramaciones!$T$15+7*(Reprogramaciones!X$14-1))+6,1,IF(MAX(0,NETWORKDAYS.INTL(MAX(E36,(Reprogramaciones!$T$15+7*(Reprogramaciones!X$14-1))),MIN(F36,(Reprogramaciones!$T$15+7*(Reprogramaciones!X$14-1))+6),11))=0,0,MAX(0,NETWORKDAYS.INTL(MAX(E36,(Reprogramaciones!$T$15+7*(Reprogramaciones!X$14-1))),MIN(F36,Reprogramaciones!X$13),11))/MAX(0,NETWORKDAYS.INTL(MAX(E36,(Reprogramaciones!$T$15+7*(Reprogramaciones!X$14-1))),MIN(F36,(Reprogramaciones!$T$15+7*(Reprogramaciones!X$14-1))+6),11))))))))</f>
        <v>100</v>
      </c>
      <c r="CH36" s="1" t="n">
        <f aca="false">IF(OR(NOT(AND(ISNUMBER(E36),ISNUMBER(F36))),$J$2=""),"",IF(Reprogramaciones!Y$13&lt;Reprogramaciones!$T$15,0,IF(Reprogramaciones!Y$14&gt;10,MIN(100,SUM($G36:$P36)),MIN(100,SUMPRODUCT((COLUMN($G36:$P36)-COLUMN($G36)+1&lt;Reprogramaciones!Y$14)*$G36:$P36)+N(INDEX($G36:$P36,1,Reprogramaciones!Y$14))*IF(Reprogramaciones!Y$13&gt;=(Reprogramaciones!$T$15+7*(Reprogramaciones!Y$14-1))+6,1,IF(MAX(0,NETWORKDAYS.INTL(MAX(E36,(Reprogramaciones!$T$15+7*(Reprogramaciones!Y$14-1))),MIN(F36,(Reprogramaciones!$T$15+7*(Reprogramaciones!Y$14-1))+6),11))=0,0,MAX(0,NETWORKDAYS.INTL(MAX(E36,(Reprogramaciones!$T$15+7*(Reprogramaciones!Y$14-1))),MIN(F36,Reprogramaciones!Y$13),11))/MAX(0,NETWORKDAYS.INTL(MAX(E36,(Reprogramaciones!$T$15+7*(Reprogramaciones!Y$14-1))),MIN(F36,(Reprogramaciones!$T$15+7*(Reprogramaciones!Y$14-1))+6),11))))))))</f>
        <v>100</v>
      </c>
      <c r="CI36" s="1" t="n">
        <f aca="false">IF(OR(NOT(AND(ISNUMBER(E36),ISNUMBER(F36))),$J$2=""),"",IF(Reprogramaciones!Z$13&lt;Reprogramaciones!$T$15,0,IF(Reprogramaciones!Z$14&gt;10,MIN(100,SUM($G36:$P36)),MIN(100,SUMPRODUCT((COLUMN($G36:$P36)-COLUMN($G36)+1&lt;Reprogramaciones!Z$14)*$G36:$P36)+N(INDEX($G36:$P36,1,Reprogramaciones!Z$14))*IF(Reprogramaciones!Z$13&gt;=(Reprogramaciones!$T$15+7*(Reprogramaciones!Z$14-1))+6,1,IF(MAX(0,NETWORKDAYS.INTL(MAX(E36,(Reprogramaciones!$T$15+7*(Reprogramaciones!Z$14-1))),MIN(F36,(Reprogramaciones!$T$15+7*(Reprogramaciones!Z$14-1))+6),11))=0,0,MAX(0,NETWORKDAYS.INTL(MAX(E36,(Reprogramaciones!$T$15+7*(Reprogramaciones!Z$14-1))),MIN(F36,Reprogramaciones!Z$13),11))/MAX(0,NETWORKDAYS.INTL(MAX(E36,(Reprogramaciones!$T$15+7*(Reprogramaciones!Z$14-1))),MIN(F36,(Reprogramaciones!$T$15+7*(Reprogramaciones!Z$14-1))+6),11))))))))</f>
        <v>100</v>
      </c>
      <c r="CJ36" s="1" t="n">
        <f aca="false">IF(OR(OR(NOT(AND(ISNUMBER(E36),ISNUMBER(F36))),$J$2=""),1&gt;Reprogramaciones!$K$16),"",IF(ROUND(SUM($Q36:Q36),1)&gt;=99.5,100,MIN(100,ROUND(SUM($Q36:Q36),1))))</f>
        <v>0</v>
      </c>
      <c r="CK36" s="1" t="n">
        <f aca="false">IF(OR(OR(NOT(AND(ISNUMBER(E36),ISNUMBER(F36))),$J$2=""),2&gt;Reprogramaciones!$K$16),"",IF(ROUND(SUM($Q36:R36),1)&gt;=99.5,100,MIN(100,ROUND(SUM($Q36:R36),1))))</f>
        <v>0</v>
      </c>
      <c r="CL36" s="1" t="n">
        <f aca="false">IF(OR(OR(NOT(AND(ISNUMBER(E36),ISNUMBER(F36))),$J$2=""),3&gt;Reprogramaciones!$K$16),"",IF(ROUND(SUM($Q36:S36),1)&gt;=99.5,100,MIN(100,ROUND(SUM($Q36:S36),1))))</f>
        <v>0</v>
      </c>
      <c r="CM36" s="1" t="n">
        <f aca="false">IF(OR(OR(NOT(AND(ISNUMBER(E36),ISNUMBER(F36))),$J$2=""),4&gt;Reprogramaciones!$K$16),"",IF(ROUND(SUM($Q36:T36),1)&gt;=99.5,100,MIN(100,ROUND(SUM($Q36:T36),1))))</f>
        <v>60</v>
      </c>
      <c r="CN36" s="1" t="n">
        <f aca="false">IF(OR(OR(NOT(AND(ISNUMBER(E36),ISNUMBER(F36))),$J$2=""),5&gt;Reprogramaciones!$K$16),"",IF(ROUND(SUM($Q36:U36),1)&gt;=99.5,100,MIN(100,ROUND(SUM($Q36:U36),1))))</f>
        <v>60</v>
      </c>
      <c r="CO36" s="1" t="str">
        <f aca="false">IF(OR(OR(NOT(AND(ISNUMBER(E36),ISNUMBER(F36))),$J$2=""),6&gt;Reprogramaciones!$K$16),"",IF(ROUND(SUM($Q36:V36),1)&gt;=99.5,100,MIN(100,ROUND(SUM($Q36:V36),1))))</f>
        <v/>
      </c>
      <c r="CP36" s="1" t="str">
        <f aca="false">IF(OR(OR(NOT(AND(ISNUMBER(E36),ISNUMBER(F36))),$J$2=""),7&gt;Reprogramaciones!$K$16),"",IF(ROUND(SUM($Q36:W36),1)&gt;=99.5,100,MIN(100,ROUND(SUM($Q36:W36),1))))</f>
        <v/>
      </c>
      <c r="CQ36" s="1" t="str">
        <f aca="false">IF(OR(OR(NOT(AND(ISNUMBER(E36),ISNUMBER(F36))),$J$2=""),8&gt;Reprogramaciones!$K$16),"",IF(ROUND(SUM($Q36:X36),1)&gt;=99.5,100,MIN(100,ROUND(SUM($Q36:X36),1))))</f>
        <v/>
      </c>
      <c r="CR36" s="1" t="str">
        <f aca="false">IF(OR(OR(NOT(AND(ISNUMBER(E36),ISNUMBER(F36))),$J$2=""),9&gt;Reprogramaciones!$K$16),"",IF(ROUND(SUM($Q36:Y36),1)&gt;=99.5,100,MIN(100,ROUND(SUM($Q36:Y36),1))))</f>
        <v/>
      </c>
      <c r="CS36" s="1" t="str">
        <f aca="false">IF(OR(OR(NOT(AND(ISNUMBER(E36),ISNUMBER(F36))),$J$2=""),10&gt;Reprogramaciones!$K$16),"",IF(ROUND(SUM($Q36:Z36),1)&gt;=99.5,100,MIN(100,ROUND(SUM($Q36:Z36),1))))</f>
        <v/>
      </c>
      <c r="CT36" s="1" t="str">
        <f aca="false">IF(OR(OR(NOT(AND(ISNUMBER(E36),ISNUMBER(F36))),$J$2=""),11&gt;Reprogramaciones!$K$16),"",IF(ROUND(SUM($Q36:AA36),1)&gt;=99.5,100,MIN(100,ROUND(SUM($Q36:AA36),1))))</f>
        <v/>
      </c>
      <c r="CU36" s="1" t="str">
        <f aca="false">IF(OR(OR(NOT(AND(ISNUMBER(E36),ISNUMBER(F36))),$J$2=""),12&gt;Reprogramaciones!$K$16),"",IF(ROUND(SUM($Q36:AB36),1)&gt;=99.5,100,MIN(100,ROUND(SUM($Q36:AB36),1))))</f>
        <v/>
      </c>
      <c r="CV36" s="1" t="str">
        <f aca="false">IF(OR(OR(NOT(AND(ISNUMBER(E36),ISNUMBER(F36))),$J$2=""),13&gt;Reprogramaciones!$K$16),"",IF(ROUND(SUM($Q36:AC36),1)&gt;=99.5,100,MIN(100,ROUND(SUM($Q36:AC36),1))))</f>
        <v/>
      </c>
      <c r="CW36" s="1" t="str">
        <f aca="false">IF(OR(OR(NOT(AND(ISNUMBER(E36),ISNUMBER(F36))),$J$2=""),14&gt;Reprogramaciones!$K$16),"",IF(ROUND(SUM($Q36:AD36),1)&gt;=99.5,100,MIN(100,ROUND(SUM($Q36:AD36),1))))</f>
        <v/>
      </c>
      <c r="CX36" s="1" t="str">
        <f aca="false">IF(OR(OR(NOT(AND(ISNUMBER(E36),ISNUMBER(F36))),$J$2=""),15&gt;Reprogramaciones!$K$16),"",IF(ROUND(SUM($Q36:AE36),1)&gt;=99.5,100,MIN(100,ROUND(SUM($Q36:AE36),1))))</f>
        <v/>
      </c>
      <c r="CY36" s="1" t="str">
        <f aca="false">IF(OR(OR(NOT(AND(ISNUMBER(E36),ISNUMBER(F36))),$J$2=""),16&gt;Reprogramaciones!$K$16),"",IF(ROUND(SUM($Q36:AF36),1)&gt;=99.5,100,MIN(100,ROUND(SUM($Q36:AF36),1))))</f>
        <v/>
      </c>
      <c r="CZ36" s="1" t="str">
        <f aca="false">IF(D36&lt;&gt;"",D36,IF(B36&lt;&gt;"","Contractual",CZ35))</f>
        <v>Contractual</v>
      </c>
      <c r="DA36" s="1" t="n">
        <f aca="false">IF(OR(NOT(AND(ISNUMBER(E36),ISNUMBER(F36))),$J$2=""),"",IF(Reprogramaciones!$Q$15&lt;Reprogramaciones!$T$15,0,IF(Reprogramaciones!$S$15&gt;10,MIN(100,SUM($G36:$P36)),MIN(100,SUMPRODUCT((COLUMN($G36:$P36)-COLUMN($G36)+1&lt;Reprogramaciones!$S$15)*$G36:$P36)+N(INDEX($G36:$P36,1,Reprogramaciones!$S$15))*IF(Reprogramaciones!$Q$15&gt;=(Reprogramaciones!$T$15+7*(Reprogramaciones!$S$15-1))+6,1,IF(MAX(0,NETWORKDAYS.INTL(MAX(E36,(Reprogramaciones!$T$15+7*(Reprogramaciones!$S$15-1))),MIN(F36,(Reprogramaciones!$T$15+7*(Reprogramaciones!$S$15-1))+6),11))=0,0,MAX(0,NETWORKDAYS.INTL(MAX(E36,(Reprogramaciones!$T$15+7*(Reprogramaciones!$S$15-1))),MIN(F36,Reprogramaciones!$Q$15),11))/MAX(0,NETWORKDAYS.INTL(MAX(E36,(Reprogramaciones!$T$15+7*(Reprogramaciones!$S$15-1))),MIN(F36,(Reprogramaciones!$T$15+7*(Reprogramaciones!$S$15-1))+6),11))))))))</f>
        <v>100</v>
      </c>
    </row>
    <row r="37" customFormat="false" ht="15" hidden="false" customHeight="false" outlineLevel="0" collapsed="false">
      <c r="A37" s="32" t="s">
        <v>215</v>
      </c>
      <c r="B37" s="33"/>
      <c r="C37" s="33" t="s">
        <v>216</v>
      </c>
      <c r="D37" s="34"/>
      <c r="E37" s="35" t="n">
        <v>46314</v>
      </c>
      <c r="F37" s="35" t="n">
        <v>46318</v>
      </c>
      <c r="G37" s="36" t="n">
        <f aca="false">IF(OR(NOT(AND(ISNUMBER(E37),ISNUMBER(F37))),$J$2=""),"",IF(Reprogramaciones!K$9&lt;E37,0,IF(NETWORKDAYS.INTL(E37,F37,11)=0,IF(Reprogramaciones!K$9&gt;=F37,100,0),ROUND(NETWORKDAYS.INTL(E37,MIN(F37,Reprogramaciones!K$9),11)/NETWORKDAYS.INTL(E37,F37,11)*100,1)))-0)</f>
        <v>0</v>
      </c>
      <c r="H37" s="36" t="n">
        <f aca="false">IF(OR(NOT(AND(ISNUMBER(E37),ISNUMBER(F37))),$J$2=""),"",IF(Reprogramaciones!L$9&lt;E37,0,IF(NETWORKDAYS.INTL(E37,F37,11)=0,IF(Reprogramaciones!L$9&gt;=F37,100,0),ROUND(NETWORKDAYS.INTL(E37,MIN(F37,Reprogramaciones!L$9),11)/NETWORKDAYS.INTL(E37,F37,11)*100,1)))-IF(Reprogramaciones!K$9&lt;E37,0,IF(NETWORKDAYS.INTL(E37,F37,11)=0,IF(Reprogramaciones!K$9&gt;=F37,100,0),ROUND(NETWORKDAYS.INTL(E37,MIN(F37,Reprogramaciones!K$9),11)/NETWORKDAYS.INTL(E37,F37,11)*100,1))))</f>
        <v>0</v>
      </c>
      <c r="I37" s="36" t="n">
        <f aca="false">IF(OR(NOT(AND(ISNUMBER(E37),ISNUMBER(F37))),$J$2=""),"",IF(Reprogramaciones!M$9&lt;E37,0,IF(NETWORKDAYS.INTL(E37,F37,11)=0,IF(Reprogramaciones!M$9&gt;=F37,100,0),ROUND(NETWORKDAYS.INTL(E37,MIN(F37,Reprogramaciones!M$9),11)/NETWORKDAYS.INTL(E37,F37,11)*100,1)))-IF(Reprogramaciones!L$9&lt;E37,0,IF(NETWORKDAYS.INTL(E37,F37,11)=0,IF(Reprogramaciones!L$9&gt;=F37,100,0),ROUND(NETWORKDAYS.INTL(E37,MIN(F37,Reprogramaciones!L$9),11)/NETWORKDAYS.INTL(E37,F37,11)*100,1))))</f>
        <v>0</v>
      </c>
      <c r="J37" s="36" t="n">
        <f aca="false">IF(OR(NOT(AND(ISNUMBER(E37),ISNUMBER(F37))),$J$2=""),"",IF(Reprogramaciones!N$9&lt;E37,0,IF(NETWORKDAYS.INTL(E37,F37,11)=0,IF(Reprogramaciones!N$9&gt;=F37,100,0),ROUND(NETWORKDAYS.INTL(E37,MIN(F37,Reprogramaciones!N$9),11)/NETWORKDAYS.INTL(E37,F37,11)*100,1)))-IF(Reprogramaciones!M$9&lt;E37,0,IF(NETWORKDAYS.INTL(E37,F37,11)=0,IF(Reprogramaciones!M$9&gt;=F37,100,0),ROUND(NETWORKDAYS.INTL(E37,MIN(F37,Reprogramaciones!M$9),11)/NETWORKDAYS.INTL(E37,F37,11)*100,1))))</f>
        <v>0</v>
      </c>
      <c r="K37" s="36" t="n">
        <f aca="false">IF(OR(NOT(AND(ISNUMBER(E37),ISNUMBER(F37))),$J$2=""),"",IF(Reprogramaciones!O$9&lt;E37,0,IF(NETWORKDAYS.INTL(E37,F37,11)=0,IF(Reprogramaciones!O$9&gt;=F37,100,0),ROUND(NETWORKDAYS.INTL(E37,MIN(F37,Reprogramaciones!O$9),11)/NETWORKDAYS.INTL(E37,F37,11)*100,1)))-IF(Reprogramaciones!N$9&lt;E37,0,IF(NETWORKDAYS.INTL(E37,F37,11)=0,IF(Reprogramaciones!N$9&gt;=F37,100,0),ROUND(NETWORKDAYS.INTL(E37,MIN(F37,Reprogramaciones!N$9),11)/NETWORKDAYS.INTL(E37,F37,11)*100,1))))</f>
        <v>100</v>
      </c>
      <c r="L37" s="36" t="n">
        <f aca="false">IF(OR(NOT(AND(ISNUMBER(E37),ISNUMBER(F37))),$J$2=""),"",IF(Reprogramaciones!P$9&lt;E37,0,IF(NETWORKDAYS.INTL(E37,F37,11)=0,IF(Reprogramaciones!P$9&gt;=F37,100,0),ROUND(NETWORKDAYS.INTL(E37,MIN(F37,Reprogramaciones!P$9),11)/NETWORKDAYS.INTL(E37,F37,11)*100,1)))-IF(Reprogramaciones!O$9&lt;E37,0,IF(NETWORKDAYS.INTL(E37,F37,11)=0,IF(Reprogramaciones!O$9&gt;=F37,100,0),ROUND(NETWORKDAYS.INTL(E37,MIN(F37,Reprogramaciones!O$9),11)/NETWORKDAYS.INTL(E37,F37,11)*100,1))))</f>
        <v>0</v>
      </c>
      <c r="M37" s="36" t="n">
        <f aca="false">IF(OR(NOT(AND(ISNUMBER(E37),ISNUMBER(F37))),$J$2=""),"",IF(Reprogramaciones!Q$9&lt;E37,0,IF(NETWORKDAYS.INTL(E37,F37,11)=0,IF(Reprogramaciones!Q$9&gt;=F37,100,0),ROUND(NETWORKDAYS.INTL(E37,MIN(F37,Reprogramaciones!Q$9),11)/NETWORKDAYS.INTL(E37,F37,11)*100,1)))-IF(Reprogramaciones!P$9&lt;E37,0,IF(NETWORKDAYS.INTL(E37,F37,11)=0,IF(Reprogramaciones!P$9&gt;=F37,100,0),ROUND(NETWORKDAYS.INTL(E37,MIN(F37,Reprogramaciones!P$9),11)/NETWORKDAYS.INTL(E37,F37,11)*100,1))))</f>
        <v>0</v>
      </c>
      <c r="N37" s="36" t="n">
        <f aca="false">IF(OR(NOT(AND(ISNUMBER(E37),ISNUMBER(F37))),$J$2=""),"",IF(Reprogramaciones!R$9&lt;E37,0,IF(NETWORKDAYS.INTL(E37,F37,11)=0,IF(Reprogramaciones!R$9&gt;=F37,100,0),ROUND(NETWORKDAYS.INTL(E37,MIN(F37,Reprogramaciones!R$9),11)/NETWORKDAYS.INTL(E37,F37,11)*100,1)))-IF(Reprogramaciones!Q$9&lt;E37,0,IF(NETWORKDAYS.INTL(E37,F37,11)=0,IF(Reprogramaciones!Q$9&gt;=F37,100,0),ROUND(NETWORKDAYS.INTL(E37,MIN(F37,Reprogramaciones!Q$9),11)/NETWORKDAYS.INTL(E37,F37,11)*100,1))))</f>
        <v>0</v>
      </c>
      <c r="O37" s="36" t="n">
        <f aca="false">IF(OR(NOT(AND(ISNUMBER(E37),ISNUMBER(F37))),$J$2=""),"",IF(Reprogramaciones!S$9&lt;E37,0,IF(NETWORKDAYS.INTL(E37,F37,11)=0,IF(Reprogramaciones!S$9&gt;=F37,100,0),ROUND(NETWORKDAYS.INTL(E37,MIN(F37,Reprogramaciones!S$9),11)/NETWORKDAYS.INTL(E37,F37,11)*100,1)))-IF(Reprogramaciones!R$9&lt;E37,0,IF(NETWORKDAYS.INTL(E37,F37,11)=0,IF(Reprogramaciones!R$9&gt;=F37,100,0),ROUND(NETWORKDAYS.INTL(E37,MIN(F37,Reprogramaciones!R$9),11)/NETWORKDAYS.INTL(E37,F37,11)*100,1))))</f>
        <v>0</v>
      </c>
      <c r="P37" s="36" t="n">
        <f aca="false">IF(OR(NOT(AND(ISNUMBER(E37),ISNUMBER(F37))),$J$2=""),"",IF(Reprogramaciones!T$9&lt;E37,0,IF(NETWORKDAYS.INTL(E37,F37,11)=0,IF(Reprogramaciones!T$9&gt;=F37,100,0),ROUND(NETWORKDAYS.INTL(E37,MIN(F37,Reprogramaciones!T$9),11)/NETWORKDAYS.INTL(E37,F37,11)*100,1)))-IF(Reprogramaciones!S$9&lt;E37,0,IF(NETWORKDAYS.INTL(E37,F37,11)=0,IF(Reprogramaciones!S$9&gt;=F37,100,0),ROUND(NETWORKDAYS.INTL(E37,MIN(F37,Reprogramaciones!S$9),11)/NETWORKDAYS.INTL(E37,F37,11)*100,1))))</f>
        <v>0</v>
      </c>
      <c r="Q37" s="37"/>
      <c r="R37" s="37"/>
      <c r="S37" s="37"/>
      <c r="T37" s="37"/>
      <c r="U37" s="37"/>
      <c r="V37" s="37"/>
      <c r="W37" s="37"/>
      <c r="X37" s="37"/>
      <c r="Y37" s="37"/>
      <c r="Z37" s="37"/>
      <c r="AA37" s="37"/>
      <c r="AB37" s="37"/>
      <c r="AC37" s="37"/>
      <c r="AD37" s="37"/>
      <c r="AE37" s="37"/>
      <c r="AF37" s="37"/>
      <c r="AG37" s="38" t="n">
        <f aca="false">IF(AND(ISNUMBER(E37),ISNUMBER(F37)),NETWORKDAYS.INTL(E37,F37,11),"")</f>
        <v>5</v>
      </c>
      <c r="AH37" s="38" t="n">
        <f aca="false">IF(OR(NOT(AND(ISNUMBER(E37),ISNUMBER(F37))),$J$2=""),"",IF(Reprogramaciones!$P$15&lt;Reprogramaciones!$T$15,0,IF(Reprogramaciones!$R$15&gt;10,MIN(100,SUM($G37:$P37)),MIN(100,SUMPRODUCT((COLUMN($G37:$P37)-COLUMN($G37)+1&lt;Reprogramaciones!$R$15)*$G37:$P37)+N(INDEX($G37:$P37,1,Reprogramaciones!$R$15))*IF(Reprogramaciones!$P$15&gt;=(Reprogramaciones!$T$15+7*(Reprogramaciones!$R$15-1))+6,1,IF(MAX(0,NETWORKDAYS.INTL(MAX(E37,(Reprogramaciones!$T$15+7*(Reprogramaciones!$R$15-1))),MIN(F37,(Reprogramaciones!$T$15+7*(Reprogramaciones!$R$15-1))+6),11))=0,0,MAX(0,NETWORKDAYS.INTL(MAX(E37,(Reprogramaciones!$T$15+7*(Reprogramaciones!$R$15-1))),MIN(F37,Reprogramaciones!$P$15),11))/MAX(0,NETWORKDAYS.INTL(MAX(E37,(Reprogramaciones!$T$15+7*(Reprogramaciones!$R$15-1))),MIN(F37,(Reprogramaciones!$T$15+7*(Reprogramaciones!$R$15-1))+6),11))))))))</f>
        <v>0</v>
      </c>
      <c r="AI37" s="38" t="str">
        <f aca="false">IF(COUNT($Q37:$AF37)=0,"",IF(ROUND(SUM($Q37:$AF37),1)&gt;=99.5,100,MIN(100,ROUND(SUM($Q37:$AF37),1))))</f>
        <v/>
      </c>
      <c r="AJ37" s="38" t="str">
        <f aca="false">IF(OR(AH37="",AI37=""),"",AI37-AH37)</f>
        <v/>
      </c>
      <c r="AK37" s="39" t="str">
        <f aca="true">IF(AH37="","",IF(OR(Ficha!$C$10="Suspendida",Ficha!$C$10="Cancelada"),Ficha!$C$10,IF(AND(AI37&lt;&gt;"",N(AI37)&gt;=100),"Completada",IF(AND(E37&gt;TODAY(),N(AI37)=0),"Por iniciar",IF(N(AI37)+0.5&lt;AH37,"Retrasada",IF(N(AI37)+0.5&lt;DA37,IF(Reprogramaciones!$K$15&gt;0,"Al día · Sem "&amp;Reprogramaciones!$K$15&amp;" en curso","Al día · en curso"),"A tiempo"))))))</f>
        <v>Al día · Sem 5 en curso</v>
      </c>
      <c r="AL37" s="39" t="str">
        <f aca="true">IF(AND(A37="",AND(B37="",C37="",E37="",F37="",COUNT(Q37:AF37)=0)),"",IF(AND(B37="",C37="",E37="",F37="",COUNT(Q37:AF37)=0),"Falta la partida o subpartida",IF(AND(A37&lt;&gt;"",COUNTIF($A$6:$A$305,A37)&gt;1),"Ítem repetido",IF(AND(C37="",E37="",F37="",COUNT(Q37:AF37)=0),"Título de partida",IF(OR(E37="",F37=""),"Faltan fechas",IF(OR(ISTEXT(E37),ISTEXT(F37)),"Fecha escrita como texto: usa dd/mm/aaaa",IF(F37&lt;E37,"Fin antes del inicio",IF(IF($J$2="",FALSE(),OR(E37&lt;$J$2,F37&gt;Reprogramaciones!$T$15+69)),"Fuera de las 10 semanas",IF(ABS(SUM(G37:P37)-100)&gt;0.5,"La meta no suma 100%",IF(ROUND(SUM(Q37:AF37),1)&gt;100.5,"El avance pasa de 100%",IF(MIN(Q37:AF37)&lt;0,"Avance negativo",IF(COUNTA(Q37:AF37)&gt;COUNT(Q37:AF37),"Avance escrito como texto",IF(SUMPRODUCT((Q37:AF37&gt;0)*(Q37:AF37&lt;1))&gt;0,"Avance menor a 1: escribe 50, no 50%",IF(SUMPRODUCT(ISNUMBER(Q37:AF37)*(Reprogramaciones!$K$8:$Z$8&gt;TODAY()))&gt;0,"Avance en semana que aún no llega",IF(AND(N(Reprogramaciones!$E$21)&gt;0,F37&gt;Reprogramaciones!$E$21),"Pasa el fin de la obra: registra una reprogramación",IF(AND(N(Reprogramaciones!$E$21)&gt;0,SUMPRODUCT(ISNUMBER(Q37:AF37)*(Reprogramaciones!$K$8:$Z$8&gt;Reprogramaciones!$E$21))&gt;0),"Avance después del fin de la obra: registra una reprogramación por atraso","OK"))))))))))))))))</f>
        <v>OK</v>
      </c>
      <c r="AM37" s="40" t="str">
        <f aca="false">IF(OR(OR(NOT(AND(ISNUMBER(E37),ISNUMBER(F37))),$J$2=""),1&gt;MAX(1,Reprogramaciones!$U$15)),"",IF(Reprogramaciones!K$12&gt;=7,"",IF(OR(BT37-N(0)&gt;0.05,N(Q37)&gt;0),ROUNDDOWN(ROUND(BT37,6),0)&amp;"%"&amp;IF(CJ37="",""," / "&amp;CJ37&amp;"%"),IF(AND(N(0)&gt;=99.95,CJ37&lt;&gt;"",N(CJ37)&lt;100),"Pend. "&amp;CJ37&amp;"%",""))))</f>
        <v/>
      </c>
      <c r="AN37" s="40" t="str">
        <f aca="false">IF(OR(OR(NOT(AND(ISNUMBER(E37),ISNUMBER(F37))),$J$2=""),2&gt;MAX(1,Reprogramaciones!$U$15)),"",IF(Reprogramaciones!L$12&gt;=7,"",IF(OR(BU37-N(BT37)&gt;0.05,N(R37)&gt;0),ROUNDDOWN(ROUND(BU37,6),0)&amp;"%"&amp;IF(CK37="",""," / "&amp;CK37&amp;"%"),IF(AND(N(BT37)&gt;=99.95,CK37&lt;&gt;"",N(CK37)&lt;100),"Pend. "&amp;CK37&amp;"%",""))))</f>
        <v/>
      </c>
      <c r="AO37" s="40" t="str">
        <f aca="false">IF(OR(OR(NOT(AND(ISNUMBER(E37),ISNUMBER(F37))),$J$2=""),3&gt;MAX(1,Reprogramaciones!$U$15)),"",IF(Reprogramaciones!M$12&gt;=7,"",IF(OR(BV37-N(BU37)&gt;0.05,N(S37)&gt;0),ROUNDDOWN(ROUND(BV37,6),0)&amp;"%"&amp;IF(CL37="",""," / "&amp;CL37&amp;"%"),IF(AND(N(BU37)&gt;=99.95,CL37&lt;&gt;"",N(CL37)&lt;100),"Pend. "&amp;CL37&amp;"%",""))))</f>
        <v/>
      </c>
      <c r="AP37" s="40" t="str">
        <f aca="false">IF(OR(OR(NOT(AND(ISNUMBER(E37),ISNUMBER(F37))),$J$2=""),4&gt;MAX(1,Reprogramaciones!$U$15)),"",IF(Reprogramaciones!N$12&gt;=7,"",IF(OR(BW37-N(BV37)&gt;0.05,N(T37)&gt;0),ROUNDDOWN(ROUND(BW37,6),0)&amp;"%"&amp;IF(CM37="",""," / "&amp;CM37&amp;"%"),IF(AND(N(BV37)&gt;=99.95,CM37&lt;&gt;"",N(CM37)&lt;100),"Pend. "&amp;CM37&amp;"%",""))))</f>
        <v/>
      </c>
      <c r="AQ37" s="40" t="str">
        <f aca="false">IF(OR(OR(NOT(AND(ISNUMBER(E37),ISNUMBER(F37))),$J$2=""),5&gt;MAX(1,Reprogramaciones!$U$15)),"",IF(Reprogramaciones!O$12&gt;=7,"",IF(OR(BX37-N(BW37)&gt;0.05,N(U37)&gt;0),ROUNDDOWN(ROUND(BX37,6),0)&amp;"%"&amp;IF(CN37="",""," / "&amp;CN37&amp;"%"),IF(AND(N(BW37)&gt;=99.95,CN37&lt;&gt;"",N(CN37)&lt;100),"Pend. "&amp;CN37&amp;"%",""))))</f>
        <v>100% / 0%</v>
      </c>
      <c r="AR37" s="40" t="str">
        <f aca="false">IF(OR(OR(NOT(AND(ISNUMBER(E37),ISNUMBER(F37))),$J$2=""),6&gt;MAX(1,Reprogramaciones!$U$15)),"",IF(Reprogramaciones!P$12&gt;=7,"",IF(OR(BY37-N(BX37)&gt;0.05,N(V37)&gt;0),ROUNDDOWN(ROUND(BY37,6),0)&amp;"%"&amp;IF(CO37="",""," / "&amp;CO37&amp;"%"),IF(AND(N(BX37)&gt;=99.95,CO37&lt;&gt;"",N(CO37)&lt;100),"Pend. "&amp;CO37&amp;"%",""))))</f>
        <v/>
      </c>
      <c r="AS37" s="40" t="str">
        <f aca="false">IF(OR(OR(NOT(AND(ISNUMBER(E37),ISNUMBER(F37))),$J$2=""),7&gt;MAX(1,Reprogramaciones!$U$15)),"",IF(Reprogramaciones!Q$12&gt;=7,"",IF(OR(BZ37-N(BY37)&gt;0.05,N(W37)&gt;0),ROUNDDOWN(ROUND(BZ37,6),0)&amp;"%"&amp;IF(CP37="",""," / "&amp;CP37&amp;"%"),IF(AND(N(BY37)&gt;=99.95,CP37&lt;&gt;"",N(CP37)&lt;100),"Pend. "&amp;CP37&amp;"%",""))))</f>
        <v/>
      </c>
      <c r="AT37" s="40" t="str">
        <f aca="false">IF(OR(OR(NOT(AND(ISNUMBER(E37),ISNUMBER(F37))),$J$2=""),8&gt;MAX(1,Reprogramaciones!$U$15)),"",IF(Reprogramaciones!R$12&gt;=7,"",IF(OR(CA37-N(BZ37)&gt;0.05,N(X37)&gt;0),ROUNDDOWN(ROUND(CA37,6),0)&amp;"%"&amp;IF(CQ37="",""," / "&amp;CQ37&amp;"%"),IF(AND(N(BZ37)&gt;=99.95,CQ37&lt;&gt;"",N(CQ37)&lt;100),"Pend. "&amp;CQ37&amp;"%",""))))</f>
        <v/>
      </c>
      <c r="AU37" s="40" t="str">
        <f aca="false">IF(OR(OR(NOT(AND(ISNUMBER(E37),ISNUMBER(F37))),$J$2=""),9&gt;MAX(1,Reprogramaciones!$U$15)),"",IF(Reprogramaciones!S$12&gt;=7,"",IF(OR(CB37-N(CA37)&gt;0.05,N(Y37)&gt;0),ROUNDDOWN(ROUND(CB37,6),0)&amp;"%"&amp;IF(CR37="",""," / "&amp;CR37&amp;"%"),IF(AND(N(CA37)&gt;=99.95,CR37&lt;&gt;"",N(CR37)&lt;100),"Pend. "&amp;CR37&amp;"%",""))))</f>
        <v/>
      </c>
      <c r="AV37" s="40" t="str">
        <f aca="false">IF(OR(OR(NOT(AND(ISNUMBER(E37),ISNUMBER(F37))),$J$2=""),10&gt;MAX(1,Reprogramaciones!$U$15)),"",IF(Reprogramaciones!T$12&gt;=7,"",IF(OR(CC37-N(CB37)&gt;0.05,N(Z37)&gt;0),ROUNDDOWN(ROUND(CC37,6),0)&amp;"%"&amp;IF(CS37="",""," / "&amp;CS37&amp;"%"),IF(AND(N(CB37)&gt;=99.95,CS37&lt;&gt;"",N(CS37)&lt;100),"Pend. "&amp;CS37&amp;"%",""))))</f>
        <v/>
      </c>
      <c r="AW37" s="40" t="str">
        <f aca="false">IF(OR(OR(NOT(AND(ISNUMBER(E37),ISNUMBER(F37))),$J$2=""),11&gt;MAX(1,Reprogramaciones!$U$15)),"",IF(Reprogramaciones!U$12&gt;=7,"",IF(OR(CD37-N(CC37)&gt;0.05,N(AA37)&gt;0),ROUNDDOWN(ROUND(CD37,6),0)&amp;"%"&amp;IF(CT37="",""," / "&amp;CT37&amp;"%"),IF(AND(N(CC37)&gt;=99.95,CT37&lt;&gt;"",N(CT37)&lt;100),"Pend. "&amp;CT37&amp;"%",""))))</f>
        <v/>
      </c>
      <c r="AX37" s="40" t="str">
        <f aca="false">IF(OR(OR(NOT(AND(ISNUMBER(E37),ISNUMBER(F37))),$J$2=""),12&gt;MAX(1,Reprogramaciones!$U$15)),"",IF(Reprogramaciones!V$12&gt;=7,"",IF(OR(CE37-N(CD37)&gt;0.05,N(AB37)&gt;0),ROUNDDOWN(ROUND(CE37,6),0)&amp;"%"&amp;IF(CU37="",""," / "&amp;CU37&amp;"%"),IF(AND(N(CD37)&gt;=99.95,CU37&lt;&gt;"",N(CU37)&lt;100),"Pend. "&amp;CU37&amp;"%",""))))</f>
        <v/>
      </c>
      <c r="AY37" s="40" t="str">
        <f aca="false">IF(OR(OR(NOT(AND(ISNUMBER(E37),ISNUMBER(F37))),$J$2=""),13&gt;MAX(1,Reprogramaciones!$U$15)),"",IF(Reprogramaciones!W$12&gt;=7,"",IF(OR(CF37-N(CE37)&gt;0.05,N(AC37)&gt;0),ROUNDDOWN(ROUND(CF37,6),0)&amp;"%"&amp;IF(CV37="",""," / "&amp;CV37&amp;"%"),IF(AND(N(CE37)&gt;=99.95,CV37&lt;&gt;"",N(CV37)&lt;100),"Pend. "&amp;CV37&amp;"%",""))))</f>
        <v/>
      </c>
      <c r="AZ37" s="40" t="str">
        <f aca="false">IF(OR(OR(NOT(AND(ISNUMBER(E37),ISNUMBER(F37))),$J$2=""),14&gt;MAX(1,Reprogramaciones!$U$15)),"",IF(Reprogramaciones!X$12&gt;=7,"",IF(OR(CG37-N(CF37)&gt;0.05,N(AD37)&gt;0),ROUNDDOWN(ROUND(CG37,6),0)&amp;"%"&amp;IF(CW37="",""," / "&amp;CW37&amp;"%"),IF(AND(N(CF37)&gt;=99.95,CW37&lt;&gt;"",N(CW37)&lt;100),"Pend. "&amp;CW37&amp;"%",""))))</f>
        <v/>
      </c>
      <c r="BA37" s="40" t="str">
        <f aca="false">IF(OR(OR(NOT(AND(ISNUMBER(E37),ISNUMBER(F37))),$J$2=""),15&gt;MAX(1,Reprogramaciones!$U$15)),"",IF(Reprogramaciones!Y$12&gt;=7,"",IF(OR(CH37-N(CG37)&gt;0.05,N(AE37)&gt;0),ROUNDDOWN(ROUND(CH37,6),0)&amp;"%"&amp;IF(CX37="",""," / "&amp;CX37&amp;"%"),IF(AND(N(CG37)&gt;=99.95,CX37&lt;&gt;"",N(CX37)&lt;100),"Pend. "&amp;CX37&amp;"%",""))))</f>
        <v/>
      </c>
      <c r="BB37" s="40" t="str">
        <f aca="false">IF(OR(OR(NOT(AND(ISNUMBER(E37),ISNUMBER(F37))),$J$2=""),16&gt;MAX(1,Reprogramaciones!$U$15)),"",IF(Reprogramaciones!Z$12&gt;=7,"",IF(OR(CI37-N(CH37)&gt;0.05,N(AF37)&gt;0),ROUNDDOWN(ROUND(CI37,6),0)&amp;"%"&amp;IF(CY37="",""," / "&amp;CY37&amp;"%"),IF(AND(N(CH37)&gt;=99.95,CY37&lt;&gt;"",N(CY37)&lt;100),"Pend. "&amp;CY37&amp;"%",""))))</f>
        <v/>
      </c>
      <c r="BC37" s="31" t="n">
        <f aca="false">IF(AND(ISNUMBER(E37),ISNUMBER(F37)),MAX(1,NETWORKDAYS.INTL(E37,F37,11)),0)</f>
        <v>5</v>
      </c>
      <c r="BD37" s="1" t="n">
        <f aca="false">IF(OR(NOT(AND(ISNUMBER(E37),ISNUMBER(F37))),$J$2=""),"",MIN(100,ROUND(SUM($G37:G37),1)))</f>
        <v>0</v>
      </c>
      <c r="BE37" s="1" t="n">
        <f aca="false">IF(OR(NOT(AND(ISNUMBER(E37),ISNUMBER(F37))),$J$2=""),"",MIN(100,ROUND(SUM($G37:H37),1)))</f>
        <v>0</v>
      </c>
      <c r="BF37" s="1" t="n">
        <f aca="false">IF(OR(NOT(AND(ISNUMBER(E37),ISNUMBER(F37))),$J$2=""),"",MIN(100,ROUND(SUM($G37:I37),1)))</f>
        <v>0</v>
      </c>
      <c r="BG37" s="1" t="n">
        <f aca="false">IF(OR(NOT(AND(ISNUMBER(E37),ISNUMBER(F37))),$J$2=""),"",MIN(100,ROUND(SUM($G37:J37),1)))</f>
        <v>0</v>
      </c>
      <c r="BH37" s="1" t="n">
        <f aca="false">IF(OR(NOT(AND(ISNUMBER(E37),ISNUMBER(F37))),$J$2=""),"",MIN(100,ROUND(SUM($G37:K37),1)))</f>
        <v>100</v>
      </c>
      <c r="BI37" s="1" t="n">
        <f aca="false">IF(OR(NOT(AND(ISNUMBER(E37),ISNUMBER(F37))),$J$2=""),"",MIN(100,ROUND(SUM($G37:L37),1)))</f>
        <v>100</v>
      </c>
      <c r="BJ37" s="1" t="n">
        <f aca="false">IF(OR(NOT(AND(ISNUMBER(E37),ISNUMBER(F37))),$J$2=""),"",MIN(100,ROUND(SUM($G37:M37),1)))</f>
        <v>100</v>
      </c>
      <c r="BK37" s="1" t="n">
        <f aca="false">IF(OR(NOT(AND(ISNUMBER(E37),ISNUMBER(F37))),$J$2=""),"",MIN(100,ROUND(SUM($G37:N37),1)))</f>
        <v>100</v>
      </c>
      <c r="BL37" s="1" t="n">
        <f aca="false">IF(OR(NOT(AND(ISNUMBER(E37),ISNUMBER(F37))),$J$2=""),"",MIN(100,ROUND(SUM($G37:O37),1)))</f>
        <v>100</v>
      </c>
      <c r="BM37" s="1" t="n">
        <f aca="false">IF(OR(NOT(AND(ISNUMBER(E37),ISNUMBER(F37))),$J$2=""),"",MIN(100,ROUND(SUM($G37:P37),1)))</f>
        <v>100</v>
      </c>
      <c r="BN37" s="1" t="n">
        <f aca="false">IF(OR(NOT(AND(ISNUMBER(E37),ISNUMBER(F37))),$J$2=""),"",MIN(100,ROUND(SUM($G37:P37),1)))</f>
        <v>100</v>
      </c>
      <c r="BO37" s="1" t="n">
        <f aca="false">IF(OR(NOT(AND(ISNUMBER(E37),ISNUMBER(F37))),$J$2=""),"",MIN(100,ROUND(SUM($G37:P37),1)))</f>
        <v>100</v>
      </c>
      <c r="BP37" s="1" t="n">
        <f aca="false">IF(OR(NOT(AND(ISNUMBER(E37),ISNUMBER(F37))),$J$2=""),"",MIN(100,ROUND(SUM($G37:P37),1)))</f>
        <v>100</v>
      </c>
      <c r="BQ37" s="1" t="n">
        <f aca="false">IF(OR(NOT(AND(ISNUMBER(E37),ISNUMBER(F37))),$J$2=""),"",MIN(100,ROUND(SUM($G37:P37),1)))</f>
        <v>100</v>
      </c>
      <c r="BR37" s="1" t="n">
        <f aca="false">IF(OR(NOT(AND(ISNUMBER(E37),ISNUMBER(F37))),$J$2=""),"",MIN(100,ROUND(SUM($G37:P37),1)))</f>
        <v>100</v>
      </c>
      <c r="BS37" s="1" t="n">
        <f aca="false">IF(OR(NOT(AND(ISNUMBER(E37),ISNUMBER(F37))),$J$2=""),"",MIN(100,ROUND(SUM($G37:P37),1)))</f>
        <v>100</v>
      </c>
      <c r="BT37" s="1" t="n">
        <f aca="false">IF(OR(NOT(AND(ISNUMBER(E37),ISNUMBER(F37))),$J$2=""),"",IF(Reprogramaciones!K$13&lt;Reprogramaciones!$T$15,0,IF(Reprogramaciones!K$14&gt;10,MIN(100,SUM($G37:$P37)),MIN(100,SUMPRODUCT((COLUMN($G37:$P37)-COLUMN($G37)+1&lt;Reprogramaciones!K$14)*$G37:$P37)+N(INDEX($G37:$P37,1,Reprogramaciones!K$14))*IF(Reprogramaciones!K$13&gt;=(Reprogramaciones!$T$15+7*(Reprogramaciones!K$14-1))+6,1,IF(MAX(0,NETWORKDAYS.INTL(MAX(E37,(Reprogramaciones!$T$15+7*(Reprogramaciones!K$14-1))),MIN(F37,(Reprogramaciones!$T$15+7*(Reprogramaciones!K$14-1))+6),11))=0,0,MAX(0,NETWORKDAYS.INTL(MAX(E37,(Reprogramaciones!$T$15+7*(Reprogramaciones!K$14-1))),MIN(F37,Reprogramaciones!K$13),11))/MAX(0,NETWORKDAYS.INTL(MAX(E37,(Reprogramaciones!$T$15+7*(Reprogramaciones!K$14-1))),MIN(F37,(Reprogramaciones!$T$15+7*(Reprogramaciones!K$14-1))+6),11))))))))</f>
        <v>0</v>
      </c>
      <c r="BU37" s="1" t="n">
        <f aca="false">IF(OR(NOT(AND(ISNUMBER(E37),ISNUMBER(F37))),$J$2=""),"",IF(Reprogramaciones!L$13&lt;Reprogramaciones!$T$15,0,IF(Reprogramaciones!L$14&gt;10,MIN(100,SUM($G37:$P37)),MIN(100,SUMPRODUCT((COLUMN($G37:$P37)-COLUMN($G37)+1&lt;Reprogramaciones!L$14)*$G37:$P37)+N(INDEX($G37:$P37,1,Reprogramaciones!L$14))*IF(Reprogramaciones!L$13&gt;=(Reprogramaciones!$T$15+7*(Reprogramaciones!L$14-1))+6,1,IF(MAX(0,NETWORKDAYS.INTL(MAX(E37,(Reprogramaciones!$T$15+7*(Reprogramaciones!L$14-1))),MIN(F37,(Reprogramaciones!$T$15+7*(Reprogramaciones!L$14-1))+6),11))=0,0,MAX(0,NETWORKDAYS.INTL(MAX(E37,(Reprogramaciones!$T$15+7*(Reprogramaciones!L$14-1))),MIN(F37,Reprogramaciones!L$13),11))/MAX(0,NETWORKDAYS.INTL(MAX(E37,(Reprogramaciones!$T$15+7*(Reprogramaciones!L$14-1))),MIN(F37,(Reprogramaciones!$T$15+7*(Reprogramaciones!L$14-1))+6),11))))))))</f>
        <v>0</v>
      </c>
      <c r="BV37" s="1" t="n">
        <f aca="false">IF(OR(NOT(AND(ISNUMBER(E37),ISNUMBER(F37))),$J$2=""),"",IF(Reprogramaciones!M$13&lt;Reprogramaciones!$T$15,0,IF(Reprogramaciones!M$14&gt;10,MIN(100,SUM($G37:$P37)),MIN(100,SUMPRODUCT((COLUMN($G37:$P37)-COLUMN($G37)+1&lt;Reprogramaciones!M$14)*$G37:$P37)+N(INDEX($G37:$P37,1,Reprogramaciones!M$14))*IF(Reprogramaciones!M$13&gt;=(Reprogramaciones!$T$15+7*(Reprogramaciones!M$14-1))+6,1,IF(MAX(0,NETWORKDAYS.INTL(MAX(E37,(Reprogramaciones!$T$15+7*(Reprogramaciones!M$14-1))),MIN(F37,(Reprogramaciones!$T$15+7*(Reprogramaciones!M$14-1))+6),11))=0,0,MAX(0,NETWORKDAYS.INTL(MAX(E37,(Reprogramaciones!$T$15+7*(Reprogramaciones!M$14-1))),MIN(F37,Reprogramaciones!M$13),11))/MAX(0,NETWORKDAYS.INTL(MAX(E37,(Reprogramaciones!$T$15+7*(Reprogramaciones!M$14-1))),MIN(F37,(Reprogramaciones!$T$15+7*(Reprogramaciones!M$14-1))+6),11))))))))</f>
        <v>0</v>
      </c>
      <c r="BW37" s="1" t="n">
        <f aca="false">IF(OR(NOT(AND(ISNUMBER(E37),ISNUMBER(F37))),$J$2=""),"",IF(Reprogramaciones!N$13&lt;Reprogramaciones!$T$15,0,IF(Reprogramaciones!N$14&gt;10,MIN(100,SUM($G37:$P37)),MIN(100,SUMPRODUCT((COLUMN($G37:$P37)-COLUMN($G37)+1&lt;Reprogramaciones!N$14)*$G37:$P37)+N(INDEX($G37:$P37,1,Reprogramaciones!N$14))*IF(Reprogramaciones!N$13&gt;=(Reprogramaciones!$T$15+7*(Reprogramaciones!N$14-1))+6,1,IF(MAX(0,NETWORKDAYS.INTL(MAX(E37,(Reprogramaciones!$T$15+7*(Reprogramaciones!N$14-1))),MIN(F37,(Reprogramaciones!$T$15+7*(Reprogramaciones!N$14-1))+6),11))=0,0,MAX(0,NETWORKDAYS.INTL(MAX(E37,(Reprogramaciones!$T$15+7*(Reprogramaciones!N$14-1))),MIN(F37,Reprogramaciones!N$13),11))/MAX(0,NETWORKDAYS.INTL(MAX(E37,(Reprogramaciones!$T$15+7*(Reprogramaciones!N$14-1))),MIN(F37,(Reprogramaciones!$T$15+7*(Reprogramaciones!N$14-1))+6),11))))))))</f>
        <v>0</v>
      </c>
      <c r="BX37" s="1" t="n">
        <f aca="false">IF(OR(NOT(AND(ISNUMBER(E37),ISNUMBER(F37))),$J$2=""),"",IF(Reprogramaciones!O$13&lt;Reprogramaciones!$T$15,0,IF(Reprogramaciones!O$14&gt;10,MIN(100,SUM($G37:$P37)),MIN(100,SUMPRODUCT((COLUMN($G37:$P37)-COLUMN($G37)+1&lt;Reprogramaciones!O$14)*$G37:$P37)+N(INDEX($G37:$P37,1,Reprogramaciones!O$14))*IF(Reprogramaciones!O$13&gt;=(Reprogramaciones!$T$15+7*(Reprogramaciones!O$14-1))+6,1,IF(MAX(0,NETWORKDAYS.INTL(MAX(E37,(Reprogramaciones!$T$15+7*(Reprogramaciones!O$14-1))),MIN(F37,(Reprogramaciones!$T$15+7*(Reprogramaciones!O$14-1))+6),11))=0,0,MAX(0,NETWORKDAYS.INTL(MAX(E37,(Reprogramaciones!$T$15+7*(Reprogramaciones!O$14-1))),MIN(F37,Reprogramaciones!O$13),11))/MAX(0,NETWORKDAYS.INTL(MAX(E37,(Reprogramaciones!$T$15+7*(Reprogramaciones!O$14-1))),MIN(F37,(Reprogramaciones!$T$15+7*(Reprogramaciones!O$14-1))+6),11))))))))</f>
        <v>100</v>
      </c>
      <c r="BY37" s="1" t="n">
        <f aca="false">IF(OR(NOT(AND(ISNUMBER(E37),ISNUMBER(F37))),$J$2=""),"",IF(Reprogramaciones!P$13&lt;Reprogramaciones!$T$15,0,IF(Reprogramaciones!P$14&gt;10,MIN(100,SUM($G37:$P37)),MIN(100,SUMPRODUCT((COLUMN($G37:$P37)-COLUMN($G37)+1&lt;Reprogramaciones!P$14)*$G37:$P37)+N(INDEX($G37:$P37,1,Reprogramaciones!P$14))*IF(Reprogramaciones!P$13&gt;=(Reprogramaciones!$T$15+7*(Reprogramaciones!P$14-1))+6,1,IF(MAX(0,NETWORKDAYS.INTL(MAX(E37,(Reprogramaciones!$T$15+7*(Reprogramaciones!P$14-1))),MIN(F37,(Reprogramaciones!$T$15+7*(Reprogramaciones!P$14-1))+6),11))=0,0,MAX(0,NETWORKDAYS.INTL(MAX(E37,(Reprogramaciones!$T$15+7*(Reprogramaciones!P$14-1))),MIN(F37,Reprogramaciones!P$13),11))/MAX(0,NETWORKDAYS.INTL(MAX(E37,(Reprogramaciones!$T$15+7*(Reprogramaciones!P$14-1))),MIN(F37,(Reprogramaciones!$T$15+7*(Reprogramaciones!P$14-1))+6),11))))))))</f>
        <v>100</v>
      </c>
      <c r="BZ37" s="1" t="n">
        <f aca="false">IF(OR(NOT(AND(ISNUMBER(E37),ISNUMBER(F37))),$J$2=""),"",IF(Reprogramaciones!Q$13&lt;Reprogramaciones!$T$15,0,IF(Reprogramaciones!Q$14&gt;10,MIN(100,SUM($G37:$P37)),MIN(100,SUMPRODUCT((COLUMN($G37:$P37)-COLUMN($G37)+1&lt;Reprogramaciones!Q$14)*$G37:$P37)+N(INDEX($G37:$P37,1,Reprogramaciones!Q$14))*IF(Reprogramaciones!Q$13&gt;=(Reprogramaciones!$T$15+7*(Reprogramaciones!Q$14-1))+6,1,IF(MAX(0,NETWORKDAYS.INTL(MAX(E37,(Reprogramaciones!$T$15+7*(Reprogramaciones!Q$14-1))),MIN(F37,(Reprogramaciones!$T$15+7*(Reprogramaciones!Q$14-1))+6),11))=0,0,MAX(0,NETWORKDAYS.INTL(MAX(E37,(Reprogramaciones!$T$15+7*(Reprogramaciones!Q$14-1))),MIN(F37,Reprogramaciones!Q$13),11))/MAX(0,NETWORKDAYS.INTL(MAX(E37,(Reprogramaciones!$T$15+7*(Reprogramaciones!Q$14-1))),MIN(F37,(Reprogramaciones!$T$15+7*(Reprogramaciones!Q$14-1))+6),11))))))))</f>
        <v>100</v>
      </c>
      <c r="CA37" s="1" t="n">
        <f aca="false">IF(OR(NOT(AND(ISNUMBER(E37),ISNUMBER(F37))),$J$2=""),"",IF(Reprogramaciones!R$13&lt;Reprogramaciones!$T$15,0,IF(Reprogramaciones!R$14&gt;10,MIN(100,SUM($G37:$P37)),MIN(100,SUMPRODUCT((COLUMN($G37:$P37)-COLUMN($G37)+1&lt;Reprogramaciones!R$14)*$G37:$P37)+N(INDEX($G37:$P37,1,Reprogramaciones!R$14))*IF(Reprogramaciones!R$13&gt;=(Reprogramaciones!$T$15+7*(Reprogramaciones!R$14-1))+6,1,IF(MAX(0,NETWORKDAYS.INTL(MAX(E37,(Reprogramaciones!$T$15+7*(Reprogramaciones!R$14-1))),MIN(F37,(Reprogramaciones!$T$15+7*(Reprogramaciones!R$14-1))+6),11))=0,0,MAX(0,NETWORKDAYS.INTL(MAX(E37,(Reprogramaciones!$T$15+7*(Reprogramaciones!R$14-1))),MIN(F37,Reprogramaciones!R$13),11))/MAX(0,NETWORKDAYS.INTL(MAX(E37,(Reprogramaciones!$T$15+7*(Reprogramaciones!R$14-1))),MIN(F37,(Reprogramaciones!$T$15+7*(Reprogramaciones!R$14-1))+6),11))))))))</f>
        <v>100</v>
      </c>
      <c r="CB37" s="1" t="n">
        <f aca="false">IF(OR(NOT(AND(ISNUMBER(E37),ISNUMBER(F37))),$J$2=""),"",IF(Reprogramaciones!S$13&lt;Reprogramaciones!$T$15,0,IF(Reprogramaciones!S$14&gt;10,MIN(100,SUM($G37:$P37)),MIN(100,SUMPRODUCT((COLUMN($G37:$P37)-COLUMN($G37)+1&lt;Reprogramaciones!S$14)*$G37:$P37)+N(INDEX($G37:$P37,1,Reprogramaciones!S$14))*IF(Reprogramaciones!S$13&gt;=(Reprogramaciones!$T$15+7*(Reprogramaciones!S$14-1))+6,1,IF(MAX(0,NETWORKDAYS.INTL(MAX(E37,(Reprogramaciones!$T$15+7*(Reprogramaciones!S$14-1))),MIN(F37,(Reprogramaciones!$T$15+7*(Reprogramaciones!S$14-1))+6),11))=0,0,MAX(0,NETWORKDAYS.INTL(MAX(E37,(Reprogramaciones!$T$15+7*(Reprogramaciones!S$14-1))),MIN(F37,Reprogramaciones!S$13),11))/MAX(0,NETWORKDAYS.INTL(MAX(E37,(Reprogramaciones!$T$15+7*(Reprogramaciones!S$14-1))),MIN(F37,(Reprogramaciones!$T$15+7*(Reprogramaciones!S$14-1))+6),11))))))))</f>
        <v>100</v>
      </c>
      <c r="CC37" s="1" t="n">
        <f aca="false">IF(OR(NOT(AND(ISNUMBER(E37),ISNUMBER(F37))),$J$2=""),"",IF(Reprogramaciones!T$13&lt;Reprogramaciones!$T$15,0,IF(Reprogramaciones!T$14&gt;10,MIN(100,SUM($G37:$P37)),MIN(100,SUMPRODUCT((COLUMN($G37:$P37)-COLUMN($G37)+1&lt;Reprogramaciones!T$14)*$G37:$P37)+N(INDEX($G37:$P37,1,Reprogramaciones!T$14))*IF(Reprogramaciones!T$13&gt;=(Reprogramaciones!$T$15+7*(Reprogramaciones!T$14-1))+6,1,IF(MAX(0,NETWORKDAYS.INTL(MAX(E37,(Reprogramaciones!$T$15+7*(Reprogramaciones!T$14-1))),MIN(F37,(Reprogramaciones!$T$15+7*(Reprogramaciones!T$14-1))+6),11))=0,0,MAX(0,NETWORKDAYS.INTL(MAX(E37,(Reprogramaciones!$T$15+7*(Reprogramaciones!T$14-1))),MIN(F37,Reprogramaciones!T$13),11))/MAX(0,NETWORKDAYS.INTL(MAX(E37,(Reprogramaciones!$T$15+7*(Reprogramaciones!T$14-1))),MIN(F37,(Reprogramaciones!$T$15+7*(Reprogramaciones!T$14-1))+6),11))))))))</f>
        <v>100</v>
      </c>
      <c r="CD37" s="1" t="n">
        <f aca="false">IF(OR(NOT(AND(ISNUMBER(E37),ISNUMBER(F37))),$J$2=""),"",IF(Reprogramaciones!U$13&lt;Reprogramaciones!$T$15,0,IF(Reprogramaciones!U$14&gt;10,MIN(100,SUM($G37:$P37)),MIN(100,SUMPRODUCT((COLUMN($G37:$P37)-COLUMN($G37)+1&lt;Reprogramaciones!U$14)*$G37:$P37)+N(INDEX($G37:$P37,1,Reprogramaciones!U$14))*IF(Reprogramaciones!U$13&gt;=(Reprogramaciones!$T$15+7*(Reprogramaciones!U$14-1))+6,1,IF(MAX(0,NETWORKDAYS.INTL(MAX(E37,(Reprogramaciones!$T$15+7*(Reprogramaciones!U$14-1))),MIN(F37,(Reprogramaciones!$T$15+7*(Reprogramaciones!U$14-1))+6),11))=0,0,MAX(0,NETWORKDAYS.INTL(MAX(E37,(Reprogramaciones!$T$15+7*(Reprogramaciones!U$14-1))),MIN(F37,Reprogramaciones!U$13),11))/MAX(0,NETWORKDAYS.INTL(MAX(E37,(Reprogramaciones!$T$15+7*(Reprogramaciones!U$14-1))),MIN(F37,(Reprogramaciones!$T$15+7*(Reprogramaciones!U$14-1))+6),11))))))))</f>
        <v>100</v>
      </c>
      <c r="CE37" s="1" t="n">
        <f aca="false">IF(OR(NOT(AND(ISNUMBER(E37),ISNUMBER(F37))),$J$2=""),"",IF(Reprogramaciones!V$13&lt;Reprogramaciones!$T$15,0,IF(Reprogramaciones!V$14&gt;10,MIN(100,SUM($G37:$P37)),MIN(100,SUMPRODUCT((COLUMN($G37:$P37)-COLUMN($G37)+1&lt;Reprogramaciones!V$14)*$G37:$P37)+N(INDEX($G37:$P37,1,Reprogramaciones!V$14))*IF(Reprogramaciones!V$13&gt;=(Reprogramaciones!$T$15+7*(Reprogramaciones!V$14-1))+6,1,IF(MAX(0,NETWORKDAYS.INTL(MAX(E37,(Reprogramaciones!$T$15+7*(Reprogramaciones!V$14-1))),MIN(F37,(Reprogramaciones!$T$15+7*(Reprogramaciones!V$14-1))+6),11))=0,0,MAX(0,NETWORKDAYS.INTL(MAX(E37,(Reprogramaciones!$T$15+7*(Reprogramaciones!V$14-1))),MIN(F37,Reprogramaciones!V$13),11))/MAX(0,NETWORKDAYS.INTL(MAX(E37,(Reprogramaciones!$T$15+7*(Reprogramaciones!V$14-1))),MIN(F37,(Reprogramaciones!$T$15+7*(Reprogramaciones!V$14-1))+6),11))))))))</f>
        <v>100</v>
      </c>
      <c r="CF37" s="1" t="n">
        <f aca="false">IF(OR(NOT(AND(ISNUMBER(E37),ISNUMBER(F37))),$J$2=""),"",IF(Reprogramaciones!W$13&lt;Reprogramaciones!$T$15,0,IF(Reprogramaciones!W$14&gt;10,MIN(100,SUM($G37:$P37)),MIN(100,SUMPRODUCT((COLUMN($G37:$P37)-COLUMN($G37)+1&lt;Reprogramaciones!W$14)*$G37:$P37)+N(INDEX($G37:$P37,1,Reprogramaciones!W$14))*IF(Reprogramaciones!W$13&gt;=(Reprogramaciones!$T$15+7*(Reprogramaciones!W$14-1))+6,1,IF(MAX(0,NETWORKDAYS.INTL(MAX(E37,(Reprogramaciones!$T$15+7*(Reprogramaciones!W$14-1))),MIN(F37,(Reprogramaciones!$T$15+7*(Reprogramaciones!W$14-1))+6),11))=0,0,MAX(0,NETWORKDAYS.INTL(MAX(E37,(Reprogramaciones!$T$15+7*(Reprogramaciones!W$14-1))),MIN(F37,Reprogramaciones!W$13),11))/MAX(0,NETWORKDAYS.INTL(MAX(E37,(Reprogramaciones!$T$15+7*(Reprogramaciones!W$14-1))),MIN(F37,(Reprogramaciones!$T$15+7*(Reprogramaciones!W$14-1))+6),11))))))))</f>
        <v>100</v>
      </c>
      <c r="CG37" s="1" t="n">
        <f aca="false">IF(OR(NOT(AND(ISNUMBER(E37),ISNUMBER(F37))),$J$2=""),"",IF(Reprogramaciones!X$13&lt;Reprogramaciones!$T$15,0,IF(Reprogramaciones!X$14&gt;10,MIN(100,SUM($G37:$P37)),MIN(100,SUMPRODUCT((COLUMN($G37:$P37)-COLUMN($G37)+1&lt;Reprogramaciones!X$14)*$G37:$P37)+N(INDEX($G37:$P37,1,Reprogramaciones!X$14))*IF(Reprogramaciones!X$13&gt;=(Reprogramaciones!$T$15+7*(Reprogramaciones!X$14-1))+6,1,IF(MAX(0,NETWORKDAYS.INTL(MAX(E37,(Reprogramaciones!$T$15+7*(Reprogramaciones!X$14-1))),MIN(F37,(Reprogramaciones!$T$15+7*(Reprogramaciones!X$14-1))+6),11))=0,0,MAX(0,NETWORKDAYS.INTL(MAX(E37,(Reprogramaciones!$T$15+7*(Reprogramaciones!X$14-1))),MIN(F37,Reprogramaciones!X$13),11))/MAX(0,NETWORKDAYS.INTL(MAX(E37,(Reprogramaciones!$T$15+7*(Reprogramaciones!X$14-1))),MIN(F37,(Reprogramaciones!$T$15+7*(Reprogramaciones!X$14-1))+6),11))))))))</f>
        <v>100</v>
      </c>
      <c r="CH37" s="1" t="n">
        <f aca="false">IF(OR(NOT(AND(ISNUMBER(E37),ISNUMBER(F37))),$J$2=""),"",IF(Reprogramaciones!Y$13&lt;Reprogramaciones!$T$15,0,IF(Reprogramaciones!Y$14&gt;10,MIN(100,SUM($G37:$P37)),MIN(100,SUMPRODUCT((COLUMN($G37:$P37)-COLUMN($G37)+1&lt;Reprogramaciones!Y$14)*$G37:$P37)+N(INDEX($G37:$P37,1,Reprogramaciones!Y$14))*IF(Reprogramaciones!Y$13&gt;=(Reprogramaciones!$T$15+7*(Reprogramaciones!Y$14-1))+6,1,IF(MAX(0,NETWORKDAYS.INTL(MAX(E37,(Reprogramaciones!$T$15+7*(Reprogramaciones!Y$14-1))),MIN(F37,(Reprogramaciones!$T$15+7*(Reprogramaciones!Y$14-1))+6),11))=0,0,MAX(0,NETWORKDAYS.INTL(MAX(E37,(Reprogramaciones!$T$15+7*(Reprogramaciones!Y$14-1))),MIN(F37,Reprogramaciones!Y$13),11))/MAX(0,NETWORKDAYS.INTL(MAX(E37,(Reprogramaciones!$T$15+7*(Reprogramaciones!Y$14-1))),MIN(F37,(Reprogramaciones!$T$15+7*(Reprogramaciones!Y$14-1))+6),11))))))))</f>
        <v>100</v>
      </c>
      <c r="CI37" s="1" t="n">
        <f aca="false">IF(OR(NOT(AND(ISNUMBER(E37),ISNUMBER(F37))),$J$2=""),"",IF(Reprogramaciones!Z$13&lt;Reprogramaciones!$T$15,0,IF(Reprogramaciones!Z$14&gt;10,MIN(100,SUM($G37:$P37)),MIN(100,SUMPRODUCT((COLUMN($G37:$P37)-COLUMN($G37)+1&lt;Reprogramaciones!Z$14)*$G37:$P37)+N(INDEX($G37:$P37,1,Reprogramaciones!Z$14))*IF(Reprogramaciones!Z$13&gt;=(Reprogramaciones!$T$15+7*(Reprogramaciones!Z$14-1))+6,1,IF(MAX(0,NETWORKDAYS.INTL(MAX(E37,(Reprogramaciones!$T$15+7*(Reprogramaciones!Z$14-1))),MIN(F37,(Reprogramaciones!$T$15+7*(Reprogramaciones!Z$14-1))+6),11))=0,0,MAX(0,NETWORKDAYS.INTL(MAX(E37,(Reprogramaciones!$T$15+7*(Reprogramaciones!Z$14-1))),MIN(F37,Reprogramaciones!Z$13),11))/MAX(0,NETWORKDAYS.INTL(MAX(E37,(Reprogramaciones!$T$15+7*(Reprogramaciones!Z$14-1))),MIN(F37,(Reprogramaciones!$T$15+7*(Reprogramaciones!Z$14-1))+6),11))))))))</f>
        <v>100</v>
      </c>
      <c r="CJ37" s="1" t="n">
        <f aca="false">IF(OR(OR(NOT(AND(ISNUMBER(E37),ISNUMBER(F37))),$J$2=""),1&gt;Reprogramaciones!$K$16),"",IF(ROUND(SUM($Q37:Q37),1)&gt;=99.5,100,MIN(100,ROUND(SUM($Q37:Q37),1))))</f>
        <v>0</v>
      </c>
      <c r="CK37" s="1" t="n">
        <f aca="false">IF(OR(OR(NOT(AND(ISNUMBER(E37),ISNUMBER(F37))),$J$2=""),2&gt;Reprogramaciones!$K$16),"",IF(ROUND(SUM($Q37:R37),1)&gt;=99.5,100,MIN(100,ROUND(SUM($Q37:R37),1))))</f>
        <v>0</v>
      </c>
      <c r="CL37" s="1" t="n">
        <f aca="false">IF(OR(OR(NOT(AND(ISNUMBER(E37),ISNUMBER(F37))),$J$2=""),3&gt;Reprogramaciones!$K$16),"",IF(ROUND(SUM($Q37:S37),1)&gt;=99.5,100,MIN(100,ROUND(SUM($Q37:S37),1))))</f>
        <v>0</v>
      </c>
      <c r="CM37" s="1" t="n">
        <f aca="false">IF(OR(OR(NOT(AND(ISNUMBER(E37),ISNUMBER(F37))),$J$2=""),4&gt;Reprogramaciones!$K$16),"",IF(ROUND(SUM($Q37:T37),1)&gt;=99.5,100,MIN(100,ROUND(SUM($Q37:T37),1))))</f>
        <v>0</v>
      </c>
      <c r="CN37" s="1" t="n">
        <f aca="false">IF(OR(OR(NOT(AND(ISNUMBER(E37),ISNUMBER(F37))),$J$2=""),5&gt;Reprogramaciones!$K$16),"",IF(ROUND(SUM($Q37:U37),1)&gt;=99.5,100,MIN(100,ROUND(SUM($Q37:U37),1))))</f>
        <v>0</v>
      </c>
      <c r="CO37" s="1" t="str">
        <f aca="false">IF(OR(OR(NOT(AND(ISNUMBER(E37),ISNUMBER(F37))),$J$2=""),6&gt;Reprogramaciones!$K$16),"",IF(ROUND(SUM($Q37:V37),1)&gt;=99.5,100,MIN(100,ROUND(SUM($Q37:V37),1))))</f>
        <v/>
      </c>
      <c r="CP37" s="1" t="str">
        <f aca="false">IF(OR(OR(NOT(AND(ISNUMBER(E37),ISNUMBER(F37))),$J$2=""),7&gt;Reprogramaciones!$K$16),"",IF(ROUND(SUM($Q37:W37),1)&gt;=99.5,100,MIN(100,ROUND(SUM($Q37:W37),1))))</f>
        <v/>
      </c>
      <c r="CQ37" s="1" t="str">
        <f aca="false">IF(OR(OR(NOT(AND(ISNUMBER(E37),ISNUMBER(F37))),$J$2=""),8&gt;Reprogramaciones!$K$16),"",IF(ROUND(SUM($Q37:X37),1)&gt;=99.5,100,MIN(100,ROUND(SUM($Q37:X37),1))))</f>
        <v/>
      </c>
      <c r="CR37" s="1" t="str">
        <f aca="false">IF(OR(OR(NOT(AND(ISNUMBER(E37),ISNUMBER(F37))),$J$2=""),9&gt;Reprogramaciones!$K$16),"",IF(ROUND(SUM($Q37:Y37),1)&gt;=99.5,100,MIN(100,ROUND(SUM($Q37:Y37),1))))</f>
        <v/>
      </c>
      <c r="CS37" s="1" t="str">
        <f aca="false">IF(OR(OR(NOT(AND(ISNUMBER(E37),ISNUMBER(F37))),$J$2=""),10&gt;Reprogramaciones!$K$16),"",IF(ROUND(SUM($Q37:Z37),1)&gt;=99.5,100,MIN(100,ROUND(SUM($Q37:Z37),1))))</f>
        <v/>
      </c>
      <c r="CT37" s="1" t="str">
        <f aca="false">IF(OR(OR(NOT(AND(ISNUMBER(E37),ISNUMBER(F37))),$J$2=""),11&gt;Reprogramaciones!$K$16),"",IF(ROUND(SUM($Q37:AA37),1)&gt;=99.5,100,MIN(100,ROUND(SUM($Q37:AA37),1))))</f>
        <v/>
      </c>
      <c r="CU37" s="1" t="str">
        <f aca="false">IF(OR(OR(NOT(AND(ISNUMBER(E37),ISNUMBER(F37))),$J$2=""),12&gt;Reprogramaciones!$K$16),"",IF(ROUND(SUM($Q37:AB37),1)&gt;=99.5,100,MIN(100,ROUND(SUM($Q37:AB37),1))))</f>
        <v/>
      </c>
      <c r="CV37" s="1" t="str">
        <f aca="false">IF(OR(OR(NOT(AND(ISNUMBER(E37),ISNUMBER(F37))),$J$2=""),13&gt;Reprogramaciones!$K$16),"",IF(ROUND(SUM($Q37:AC37),1)&gt;=99.5,100,MIN(100,ROUND(SUM($Q37:AC37),1))))</f>
        <v/>
      </c>
      <c r="CW37" s="1" t="str">
        <f aca="false">IF(OR(OR(NOT(AND(ISNUMBER(E37),ISNUMBER(F37))),$J$2=""),14&gt;Reprogramaciones!$K$16),"",IF(ROUND(SUM($Q37:AD37),1)&gt;=99.5,100,MIN(100,ROUND(SUM($Q37:AD37),1))))</f>
        <v/>
      </c>
      <c r="CX37" s="1" t="str">
        <f aca="false">IF(OR(OR(NOT(AND(ISNUMBER(E37),ISNUMBER(F37))),$J$2=""),15&gt;Reprogramaciones!$K$16),"",IF(ROUND(SUM($Q37:AE37),1)&gt;=99.5,100,MIN(100,ROUND(SUM($Q37:AE37),1))))</f>
        <v/>
      </c>
      <c r="CY37" s="1" t="str">
        <f aca="false">IF(OR(OR(NOT(AND(ISNUMBER(E37),ISNUMBER(F37))),$J$2=""),16&gt;Reprogramaciones!$K$16),"",IF(ROUND(SUM($Q37:AF37),1)&gt;=99.5,100,MIN(100,ROUND(SUM($Q37:AF37),1))))</f>
        <v/>
      </c>
      <c r="CZ37" s="1" t="str">
        <f aca="false">IF(D37&lt;&gt;"",D37,IF(B37&lt;&gt;"","Contractual",CZ36))</f>
        <v>Contractual</v>
      </c>
      <c r="DA37" s="1" t="n">
        <f aca="false">IF(OR(NOT(AND(ISNUMBER(E37),ISNUMBER(F37))),$J$2=""),"",IF(Reprogramaciones!$Q$15&lt;Reprogramaciones!$T$15,0,IF(Reprogramaciones!$S$15&gt;10,MIN(100,SUM($G37:$P37)),MIN(100,SUMPRODUCT((COLUMN($G37:$P37)-COLUMN($G37)+1&lt;Reprogramaciones!$S$15)*$G37:$P37)+N(INDEX($G37:$P37,1,Reprogramaciones!$S$15))*IF(Reprogramaciones!$Q$15&gt;=(Reprogramaciones!$T$15+7*(Reprogramaciones!$S$15-1))+6,1,IF(MAX(0,NETWORKDAYS.INTL(MAX(E37,(Reprogramaciones!$T$15+7*(Reprogramaciones!$S$15-1))),MIN(F37,(Reprogramaciones!$T$15+7*(Reprogramaciones!$S$15-1))+6),11))=0,0,MAX(0,NETWORKDAYS.INTL(MAX(E37,(Reprogramaciones!$T$15+7*(Reprogramaciones!$S$15-1))),MIN(F37,Reprogramaciones!$Q$15),11))/MAX(0,NETWORKDAYS.INTL(MAX(E37,(Reprogramaciones!$T$15+7*(Reprogramaciones!$S$15-1))),MIN(F37,(Reprogramaciones!$T$15+7*(Reprogramaciones!$S$15-1))+6),11))))))))</f>
        <v>100</v>
      </c>
    </row>
    <row r="38" customFormat="false" ht="15" hidden="false" customHeight="false" outlineLevel="0" collapsed="false">
      <c r="A38" s="32" t="s">
        <v>217</v>
      </c>
      <c r="B38" s="33" t="s">
        <v>218</v>
      </c>
      <c r="C38" s="33"/>
      <c r="D38" s="34"/>
      <c r="E38" s="35"/>
      <c r="F38" s="35"/>
      <c r="G38" s="36" t="str">
        <f aca="false">IF(OR(NOT(AND(ISNUMBER(E38),ISNUMBER(F38))),$J$2=""),"",IF(Reprogramaciones!K$9&lt;E38,0,IF(NETWORKDAYS.INTL(E38,F38,11)=0,IF(Reprogramaciones!K$9&gt;=F38,100,0),ROUND(NETWORKDAYS.INTL(E38,MIN(F38,Reprogramaciones!K$9),11)/NETWORKDAYS.INTL(E38,F38,11)*100,1)))-0)</f>
        <v/>
      </c>
      <c r="H38" s="36" t="str">
        <f aca="false">IF(OR(NOT(AND(ISNUMBER(E38),ISNUMBER(F38))),$J$2=""),"",IF(Reprogramaciones!L$9&lt;E38,0,IF(NETWORKDAYS.INTL(E38,F38,11)=0,IF(Reprogramaciones!L$9&gt;=F38,100,0),ROUND(NETWORKDAYS.INTL(E38,MIN(F38,Reprogramaciones!L$9),11)/NETWORKDAYS.INTL(E38,F38,11)*100,1)))-IF(Reprogramaciones!K$9&lt;E38,0,IF(NETWORKDAYS.INTL(E38,F38,11)=0,IF(Reprogramaciones!K$9&gt;=F38,100,0),ROUND(NETWORKDAYS.INTL(E38,MIN(F38,Reprogramaciones!K$9),11)/NETWORKDAYS.INTL(E38,F38,11)*100,1))))</f>
        <v/>
      </c>
      <c r="I38" s="36" t="str">
        <f aca="false">IF(OR(NOT(AND(ISNUMBER(E38),ISNUMBER(F38))),$J$2=""),"",IF(Reprogramaciones!M$9&lt;E38,0,IF(NETWORKDAYS.INTL(E38,F38,11)=0,IF(Reprogramaciones!M$9&gt;=F38,100,0),ROUND(NETWORKDAYS.INTL(E38,MIN(F38,Reprogramaciones!M$9),11)/NETWORKDAYS.INTL(E38,F38,11)*100,1)))-IF(Reprogramaciones!L$9&lt;E38,0,IF(NETWORKDAYS.INTL(E38,F38,11)=0,IF(Reprogramaciones!L$9&gt;=F38,100,0),ROUND(NETWORKDAYS.INTL(E38,MIN(F38,Reprogramaciones!L$9),11)/NETWORKDAYS.INTL(E38,F38,11)*100,1))))</f>
        <v/>
      </c>
      <c r="J38" s="36" t="str">
        <f aca="false">IF(OR(NOT(AND(ISNUMBER(E38),ISNUMBER(F38))),$J$2=""),"",IF(Reprogramaciones!N$9&lt;E38,0,IF(NETWORKDAYS.INTL(E38,F38,11)=0,IF(Reprogramaciones!N$9&gt;=F38,100,0),ROUND(NETWORKDAYS.INTL(E38,MIN(F38,Reprogramaciones!N$9),11)/NETWORKDAYS.INTL(E38,F38,11)*100,1)))-IF(Reprogramaciones!M$9&lt;E38,0,IF(NETWORKDAYS.INTL(E38,F38,11)=0,IF(Reprogramaciones!M$9&gt;=F38,100,0),ROUND(NETWORKDAYS.INTL(E38,MIN(F38,Reprogramaciones!M$9),11)/NETWORKDAYS.INTL(E38,F38,11)*100,1))))</f>
        <v/>
      </c>
      <c r="K38" s="36" t="str">
        <f aca="false">IF(OR(NOT(AND(ISNUMBER(E38),ISNUMBER(F38))),$J$2=""),"",IF(Reprogramaciones!O$9&lt;E38,0,IF(NETWORKDAYS.INTL(E38,F38,11)=0,IF(Reprogramaciones!O$9&gt;=F38,100,0),ROUND(NETWORKDAYS.INTL(E38,MIN(F38,Reprogramaciones!O$9),11)/NETWORKDAYS.INTL(E38,F38,11)*100,1)))-IF(Reprogramaciones!N$9&lt;E38,0,IF(NETWORKDAYS.INTL(E38,F38,11)=0,IF(Reprogramaciones!N$9&gt;=F38,100,0),ROUND(NETWORKDAYS.INTL(E38,MIN(F38,Reprogramaciones!N$9),11)/NETWORKDAYS.INTL(E38,F38,11)*100,1))))</f>
        <v/>
      </c>
      <c r="L38" s="36" t="str">
        <f aca="false">IF(OR(NOT(AND(ISNUMBER(E38),ISNUMBER(F38))),$J$2=""),"",IF(Reprogramaciones!P$9&lt;E38,0,IF(NETWORKDAYS.INTL(E38,F38,11)=0,IF(Reprogramaciones!P$9&gt;=F38,100,0),ROUND(NETWORKDAYS.INTL(E38,MIN(F38,Reprogramaciones!P$9),11)/NETWORKDAYS.INTL(E38,F38,11)*100,1)))-IF(Reprogramaciones!O$9&lt;E38,0,IF(NETWORKDAYS.INTL(E38,F38,11)=0,IF(Reprogramaciones!O$9&gt;=F38,100,0),ROUND(NETWORKDAYS.INTL(E38,MIN(F38,Reprogramaciones!O$9),11)/NETWORKDAYS.INTL(E38,F38,11)*100,1))))</f>
        <v/>
      </c>
      <c r="M38" s="36" t="str">
        <f aca="false">IF(OR(NOT(AND(ISNUMBER(E38),ISNUMBER(F38))),$J$2=""),"",IF(Reprogramaciones!Q$9&lt;E38,0,IF(NETWORKDAYS.INTL(E38,F38,11)=0,IF(Reprogramaciones!Q$9&gt;=F38,100,0),ROUND(NETWORKDAYS.INTL(E38,MIN(F38,Reprogramaciones!Q$9),11)/NETWORKDAYS.INTL(E38,F38,11)*100,1)))-IF(Reprogramaciones!P$9&lt;E38,0,IF(NETWORKDAYS.INTL(E38,F38,11)=0,IF(Reprogramaciones!P$9&gt;=F38,100,0),ROUND(NETWORKDAYS.INTL(E38,MIN(F38,Reprogramaciones!P$9),11)/NETWORKDAYS.INTL(E38,F38,11)*100,1))))</f>
        <v/>
      </c>
      <c r="N38" s="36" t="str">
        <f aca="false">IF(OR(NOT(AND(ISNUMBER(E38),ISNUMBER(F38))),$J$2=""),"",IF(Reprogramaciones!R$9&lt;E38,0,IF(NETWORKDAYS.INTL(E38,F38,11)=0,IF(Reprogramaciones!R$9&gt;=F38,100,0),ROUND(NETWORKDAYS.INTL(E38,MIN(F38,Reprogramaciones!R$9),11)/NETWORKDAYS.INTL(E38,F38,11)*100,1)))-IF(Reprogramaciones!Q$9&lt;E38,0,IF(NETWORKDAYS.INTL(E38,F38,11)=0,IF(Reprogramaciones!Q$9&gt;=F38,100,0),ROUND(NETWORKDAYS.INTL(E38,MIN(F38,Reprogramaciones!Q$9),11)/NETWORKDAYS.INTL(E38,F38,11)*100,1))))</f>
        <v/>
      </c>
      <c r="O38" s="36" t="str">
        <f aca="false">IF(OR(NOT(AND(ISNUMBER(E38),ISNUMBER(F38))),$J$2=""),"",IF(Reprogramaciones!S$9&lt;E38,0,IF(NETWORKDAYS.INTL(E38,F38,11)=0,IF(Reprogramaciones!S$9&gt;=F38,100,0),ROUND(NETWORKDAYS.INTL(E38,MIN(F38,Reprogramaciones!S$9),11)/NETWORKDAYS.INTL(E38,F38,11)*100,1)))-IF(Reprogramaciones!R$9&lt;E38,0,IF(NETWORKDAYS.INTL(E38,F38,11)=0,IF(Reprogramaciones!R$9&gt;=F38,100,0),ROUND(NETWORKDAYS.INTL(E38,MIN(F38,Reprogramaciones!R$9),11)/NETWORKDAYS.INTL(E38,F38,11)*100,1))))</f>
        <v/>
      </c>
      <c r="P38" s="36" t="str">
        <f aca="false">IF(OR(NOT(AND(ISNUMBER(E38),ISNUMBER(F38))),$J$2=""),"",IF(Reprogramaciones!T$9&lt;E38,0,IF(NETWORKDAYS.INTL(E38,F38,11)=0,IF(Reprogramaciones!T$9&gt;=F38,100,0),ROUND(NETWORKDAYS.INTL(E38,MIN(F38,Reprogramaciones!T$9),11)/NETWORKDAYS.INTL(E38,F38,11)*100,1)))-IF(Reprogramaciones!S$9&lt;E38,0,IF(NETWORKDAYS.INTL(E38,F38,11)=0,IF(Reprogramaciones!S$9&gt;=F38,100,0),ROUND(NETWORKDAYS.INTL(E38,MIN(F38,Reprogramaciones!S$9),11)/NETWORKDAYS.INTL(E38,F38,11)*100,1))))</f>
        <v/>
      </c>
      <c r="Q38" s="37"/>
      <c r="R38" s="37"/>
      <c r="S38" s="37"/>
      <c r="T38" s="37"/>
      <c r="U38" s="37"/>
      <c r="V38" s="37"/>
      <c r="W38" s="37"/>
      <c r="X38" s="37"/>
      <c r="Y38" s="37"/>
      <c r="Z38" s="37"/>
      <c r="AA38" s="37"/>
      <c r="AB38" s="37"/>
      <c r="AC38" s="37"/>
      <c r="AD38" s="37"/>
      <c r="AE38" s="37"/>
      <c r="AF38" s="37"/>
      <c r="AG38" s="38" t="str">
        <f aca="false">IF(AND(ISNUMBER(E38),ISNUMBER(F38)),NETWORKDAYS.INTL(E38,F38,11),"")</f>
        <v/>
      </c>
      <c r="AH38" s="38" t="str">
        <f aca="false">IF(OR(NOT(AND(ISNUMBER(E38),ISNUMBER(F38))),$J$2=""),"",IF(Reprogramaciones!$P$15&lt;Reprogramaciones!$T$15,0,IF(Reprogramaciones!$R$15&gt;10,MIN(100,SUM($G38:$P38)),MIN(100,SUMPRODUCT((COLUMN($G38:$P38)-COLUMN($G38)+1&lt;Reprogramaciones!$R$15)*$G38:$P38)+N(INDEX($G38:$P38,1,Reprogramaciones!$R$15))*IF(Reprogramaciones!$P$15&gt;=(Reprogramaciones!$T$15+7*(Reprogramaciones!$R$15-1))+6,1,IF(MAX(0,NETWORKDAYS.INTL(MAX(E38,(Reprogramaciones!$T$15+7*(Reprogramaciones!$R$15-1))),MIN(F38,(Reprogramaciones!$T$15+7*(Reprogramaciones!$R$15-1))+6),11))=0,0,MAX(0,NETWORKDAYS.INTL(MAX(E38,(Reprogramaciones!$T$15+7*(Reprogramaciones!$R$15-1))),MIN(F38,Reprogramaciones!$P$15),11))/MAX(0,NETWORKDAYS.INTL(MAX(E38,(Reprogramaciones!$T$15+7*(Reprogramaciones!$R$15-1))),MIN(F38,(Reprogramaciones!$T$15+7*(Reprogramaciones!$R$15-1))+6),11))))))))</f>
        <v/>
      </c>
      <c r="AI38" s="38" t="str">
        <f aca="false">IF(COUNT($Q38:$AF38)=0,"",IF(ROUND(SUM($Q38:$AF38),1)&gt;=99.5,100,MIN(100,ROUND(SUM($Q38:$AF38),1))))</f>
        <v/>
      </c>
      <c r="AJ38" s="38" t="str">
        <f aca="false">IF(OR(AH38="",AI38=""),"",AI38-AH38)</f>
        <v/>
      </c>
      <c r="AK38" s="39" t="str">
        <f aca="true">IF(AH38="","",IF(OR(Ficha!$C$10="Suspendida",Ficha!$C$10="Cancelada"),Ficha!$C$10,IF(AND(AI38&lt;&gt;"",N(AI38)&gt;=100),"Completada",IF(AND(E38&gt;TODAY(),N(AI38)=0),"Por iniciar",IF(N(AI38)+0.5&lt;AH38,"Retrasada",IF(N(AI38)+0.5&lt;DA38,IF(Reprogramaciones!$K$15&gt;0,"Al día · Sem "&amp;Reprogramaciones!$K$15&amp;" en curso","Al día · en curso"),"A tiempo"))))))</f>
        <v/>
      </c>
      <c r="AL38" s="39" t="str">
        <f aca="true">IF(AND(A38="",AND(B38="",C38="",E38="",F38="",COUNT(Q38:AF38)=0)),"",IF(AND(B38="",C38="",E38="",F38="",COUNT(Q38:AF38)=0),"Falta la partida o subpartida",IF(AND(A38&lt;&gt;"",COUNTIF($A$6:$A$305,A38)&gt;1),"Ítem repetido",IF(AND(C38="",E38="",F38="",COUNT(Q38:AF38)=0),"Título de partida",IF(OR(E38="",F38=""),"Faltan fechas",IF(OR(ISTEXT(E38),ISTEXT(F38)),"Fecha escrita como texto: usa dd/mm/aaaa",IF(F38&lt;E38,"Fin antes del inicio",IF(IF($J$2="",FALSE(),OR(E38&lt;$J$2,F38&gt;Reprogramaciones!$T$15+69)),"Fuera de las 10 semanas",IF(ABS(SUM(G38:P38)-100)&gt;0.5,"La meta no suma 100%",IF(ROUND(SUM(Q38:AF38),1)&gt;100.5,"El avance pasa de 100%",IF(MIN(Q38:AF38)&lt;0,"Avance negativo",IF(COUNTA(Q38:AF38)&gt;COUNT(Q38:AF38),"Avance escrito como texto",IF(SUMPRODUCT((Q38:AF38&gt;0)*(Q38:AF38&lt;1))&gt;0,"Avance menor a 1: escribe 50, no 50%",IF(SUMPRODUCT(ISNUMBER(Q38:AF38)*(Reprogramaciones!$K$8:$Z$8&gt;TODAY()))&gt;0,"Avance en semana que aún no llega",IF(AND(N(Reprogramaciones!$E$21)&gt;0,F38&gt;Reprogramaciones!$E$21),"Pasa el fin de la obra: registra una reprogramación",IF(AND(N(Reprogramaciones!$E$21)&gt;0,SUMPRODUCT(ISNUMBER(Q38:AF38)*(Reprogramaciones!$K$8:$Z$8&gt;Reprogramaciones!$E$21))&gt;0),"Avance después del fin de la obra: registra una reprogramación por atraso","OK"))))))))))))))))</f>
        <v>Título de partida</v>
      </c>
      <c r="AM38" s="40" t="str">
        <f aca="false">IF(OR(OR(NOT(AND(ISNUMBER(E38),ISNUMBER(F38))),$J$2=""),1&gt;MAX(1,Reprogramaciones!$U$15)),"",IF(Reprogramaciones!K$12&gt;=7,"",IF(OR(BT38-N(0)&gt;0.05,N(Q38)&gt;0),ROUNDDOWN(ROUND(BT38,6),0)&amp;"%"&amp;IF(CJ38="",""," / "&amp;CJ38&amp;"%"),IF(AND(N(0)&gt;=99.95,CJ38&lt;&gt;"",N(CJ38)&lt;100),"Pend. "&amp;CJ38&amp;"%",""))))</f>
        <v/>
      </c>
      <c r="AN38" s="40" t="str">
        <f aca="false">IF(OR(OR(NOT(AND(ISNUMBER(E38),ISNUMBER(F38))),$J$2=""),2&gt;MAX(1,Reprogramaciones!$U$15)),"",IF(Reprogramaciones!L$12&gt;=7,"",IF(OR(BU38-N(BT38)&gt;0.05,N(R38)&gt;0),ROUNDDOWN(ROUND(BU38,6),0)&amp;"%"&amp;IF(CK38="",""," / "&amp;CK38&amp;"%"),IF(AND(N(BT38)&gt;=99.95,CK38&lt;&gt;"",N(CK38)&lt;100),"Pend. "&amp;CK38&amp;"%",""))))</f>
        <v/>
      </c>
      <c r="AO38" s="40" t="str">
        <f aca="false">IF(OR(OR(NOT(AND(ISNUMBER(E38),ISNUMBER(F38))),$J$2=""),3&gt;MAX(1,Reprogramaciones!$U$15)),"",IF(Reprogramaciones!M$12&gt;=7,"",IF(OR(BV38-N(BU38)&gt;0.05,N(S38)&gt;0),ROUNDDOWN(ROUND(BV38,6),0)&amp;"%"&amp;IF(CL38="",""," / "&amp;CL38&amp;"%"),IF(AND(N(BU38)&gt;=99.95,CL38&lt;&gt;"",N(CL38)&lt;100),"Pend. "&amp;CL38&amp;"%",""))))</f>
        <v/>
      </c>
      <c r="AP38" s="40" t="str">
        <f aca="false">IF(OR(OR(NOT(AND(ISNUMBER(E38),ISNUMBER(F38))),$J$2=""),4&gt;MAX(1,Reprogramaciones!$U$15)),"",IF(Reprogramaciones!N$12&gt;=7,"",IF(OR(BW38-N(BV38)&gt;0.05,N(T38)&gt;0),ROUNDDOWN(ROUND(BW38,6),0)&amp;"%"&amp;IF(CM38="",""," / "&amp;CM38&amp;"%"),IF(AND(N(BV38)&gt;=99.95,CM38&lt;&gt;"",N(CM38)&lt;100),"Pend. "&amp;CM38&amp;"%",""))))</f>
        <v/>
      </c>
      <c r="AQ38" s="40" t="str">
        <f aca="false">IF(OR(OR(NOT(AND(ISNUMBER(E38),ISNUMBER(F38))),$J$2=""),5&gt;MAX(1,Reprogramaciones!$U$15)),"",IF(Reprogramaciones!O$12&gt;=7,"",IF(OR(BX38-N(BW38)&gt;0.05,N(U38)&gt;0),ROUNDDOWN(ROUND(BX38,6),0)&amp;"%"&amp;IF(CN38="",""," / "&amp;CN38&amp;"%"),IF(AND(N(BW38)&gt;=99.95,CN38&lt;&gt;"",N(CN38)&lt;100),"Pend. "&amp;CN38&amp;"%",""))))</f>
        <v/>
      </c>
      <c r="AR38" s="40" t="str">
        <f aca="false">IF(OR(OR(NOT(AND(ISNUMBER(E38),ISNUMBER(F38))),$J$2=""),6&gt;MAX(1,Reprogramaciones!$U$15)),"",IF(Reprogramaciones!P$12&gt;=7,"",IF(OR(BY38-N(BX38)&gt;0.05,N(V38)&gt;0),ROUNDDOWN(ROUND(BY38,6),0)&amp;"%"&amp;IF(CO38="",""," / "&amp;CO38&amp;"%"),IF(AND(N(BX38)&gt;=99.95,CO38&lt;&gt;"",N(CO38)&lt;100),"Pend. "&amp;CO38&amp;"%",""))))</f>
        <v/>
      </c>
      <c r="AS38" s="40" t="str">
        <f aca="false">IF(OR(OR(NOT(AND(ISNUMBER(E38),ISNUMBER(F38))),$J$2=""),7&gt;MAX(1,Reprogramaciones!$U$15)),"",IF(Reprogramaciones!Q$12&gt;=7,"",IF(OR(BZ38-N(BY38)&gt;0.05,N(W38)&gt;0),ROUNDDOWN(ROUND(BZ38,6),0)&amp;"%"&amp;IF(CP38="",""," / "&amp;CP38&amp;"%"),IF(AND(N(BY38)&gt;=99.95,CP38&lt;&gt;"",N(CP38)&lt;100),"Pend. "&amp;CP38&amp;"%",""))))</f>
        <v/>
      </c>
      <c r="AT38" s="40" t="str">
        <f aca="false">IF(OR(OR(NOT(AND(ISNUMBER(E38),ISNUMBER(F38))),$J$2=""),8&gt;MAX(1,Reprogramaciones!$U$15)),"",IF(Reprogramaciones!R$12&gt;=7,"",IF(OR(CA38-N(BZ38)&gt;0.05,N(X38)&gt;0),ROUNDDOWN(ROUND(CA38,6),0)&amp;"%"&amp;IF(CQ38="",""," / "&amp;CQ38&amp;"%"),IF(AND(N(BZ38)&gt;=99.95,CQ38&lt;&gt;"",N(CQ38)&lt;100),"Pend. "&amp;CQ38&amp;"%",""))))</f>
        <v/>
      </c>
      <c r="AU38" s="40" t="str">
        <f aca="false">IF(OR(OR(NOT(AND(ISNUMBER(E38),ISNUMBER(F38))),$J$2=""),9&gt;MAX(1,Reprogramaciones!$U$15)),"",IF(Reprogramaciones!S$12&gt;=7,"",IF(OR(CB38-N(CA38)&gt;0.05,N(Y38)&gt;0),ROUNDDOWN(ROUND(CB38,6),0)&amp;"%"&amp;IF(CR38="",""," / "&amp;CR38&amp;"%"),IF(AND(N(CA38)&gt;=99.95,CR38&lt;&gt;"",N(CR38)&lt;100),"Pend. "&amp;CR38&amp;"%",""))))</f>
        <v/>
      </c>
      <c r="AV38" s="40" t="str">
        <f aca="false">IF(OR(OR(NOT(AND(ISNUMBER(E38),ISNUMBER(F38))),$J$2=""),10&gt;MAX(1,Reprogramaciones!$U$15)),"",IF(Reprogramaciones!T$12&gt;=7,"",IF(OR(CC38-N(CB38)&gt;0.05,N(Z38)&gt;0),ROUNDDOWN(ROUND(CC38,6),0)&amp;"%"&amp;IF(CS38="",""," / "&amp;CS38&amp;"%"),IF(AND(N(CB38)&gt;=99.95,CS38&lt;&gt;"",N(CS38)&lt;100),"Pend. "&amp;CS38&amp;"%",""))))</f>
        <v/>
      </c>
      <c r="AW38" s="40" t="str">
        <f aca="false">IF(OR(OR(NOT(AND(ISNUMBER(E38),ISNUMBER(F38))),$J$2=""),11&gt;MAX(1,Reprogramaciones!$U$15)),"",IF(Reprogramaciones!U$12&gt;=7,"",IF(OR(CD38-N(CC38)&gt;0.05,N(AA38)&gt;0),ROUNDDOWN(ROUND(CD38,6),0)&amp;"%"&amp;IF(CT38="",""," / "&amp;CT38&amp;"%"),IF(AND(N(CC38)&gt;=99.95,CT38&lt;&gt;"",N(CT38)&lt;100),"Pend. "&amp;CT38&amp;"%",""))))</f>
        <v/>
      </c>
      <c r="AX38" s="40" t="str">
        <f aca="false">IF(OR(OR(NOT(AND(ISNUMBER(E38),ISNUMBER(F38))),$J$2=""),12&gt;MAX(1,Reprogramaciones!$U$15)),"",IF(Reprogramaciones!V$12&gt;=7,"",IF(OR(CE38-N(CD38)&gt;0.05,N(AB38)&gt;0),ROUNDDOWN(ROUND(CE38,6),0)&amp;"%"&amp;IF(CU38="",""," / "&amp;CU38&amp;"%"),IF(AND(N(CD38)&gt;=99.95,CU38&lt;&gt;"",N(CU38)&lt;100),"Pend. "&amp;CU38&amp;"%",""))))</f>
        <v/>
      </c>
      <c r="AY38" s="40" t="str">
        <f aca="false">IF(OR(OR(NOT(AND(ISNUMBER(E38),ISNUMBER(F38))),$J$2=""),13&gt;MAX(1,Reprogramaciones!$U$15)),"",IF(Reprogramaciones!W$12&gt;=7,"",IF(OR(CF38-N(CE38)&gt;0.05,N(AC38)&gt;0),ROUNDDOWN(ROUND(CF38,6),0)&amp;"%"&amp;IF(CV38="",""," / "&amp;CV38&amp;"%"),IF(AND(N(CE38)&gt;=99.95,CV38&lt;&gt;"",N(CV38)&lt;100),"Pend. "&amp;CV38&amp;"%",""))))</f>
        <v/>
      </c>
      <c r="AZ38" s="40" t="str">
        <f aca="false">IF(OR(OR(NOT(AND(ISNUMBER(E38),ISNUMBER(F38))),$J$2=""),14&gt;MAX(1,Reprogramaciones!$U$15)),"",IF(Reprogramaciones!X$12&gt;=7,"",IF(OR(CG38-N(CF38)&gt;0.05,N(AD38)&gt;0),ROUNDDOWN(ROUND(CG38,6),0)&amp;"%"&amp;IF(CW38="",""," / "&amp;CW38&amp;"%"),IF(AND(N(CF38)&gt;=99.95,CW38&lt;&gt;"",N(CW38)&lt;100),"Pend. "&amp;CW38&amp;"%",""))))</f>
        <v/>
      </c>
      <c r="BA38" s="40" t="str">
        <f aca="false">IF(OR(OR(NOT(AND(ISNUMBER(E38),ISNUMBER(F38))),$J$2=""),15&gt;MAX(1,Reprogramaciones!$U$15)),"",IF(Reprogramaciones!Y$12&gt;=7,"",IF(OR(CH38-N(CG38)&gt;0.05,N(AE38)&gt;0),ROUNDDOWN(ROUND(CH38,6),0)&amp;"%"&amp;IF(CX38="",""," / "&amp;CX38&amp;"%"),IF(AND(N(CG38)&gt;=99.95,CX38&lt;&gt;"",N(CX38)&lt;100),"Pend. "&amp;CX38&amp;"%",""))))</f>
        <v/>
      </c>
      <c r="BB38" s="40" t="str">
        <f aca="false">IF(OR(OR(NOT(AND(ISNUMBER(E38),ISNUMBER(F38))),$J$2=""),16&gt;MAX(1,Reprogramaciones!$U$15)),"",IF(Reprogramaciones!Z$12&gt;=7,"",IF(OR(CI38-N(CH38)&gt;0.05,N(AF38)&gt;0),ROUNDDOWN(ROUND(CI38,6),0)&amp;"%"&amp;IF(CY38="",""," / "&amp;CY38&amp;"%"),IF(AND(N(CH38)&gt;=99.95,CY38&lt;&gt;"",N(CY38)&lt;100),"Pend. "&amp;CY38&amp;"%",""))))</f>
        <v/>
      </c>
      <c r="BC38" s="31" t="n">
        <f aca="false">IF(AND(ISNUMBER(E38),ISNUMBER(F38)),MAX(1,NETWORKDAYS.INTL(E38,F38,11)),0)</f>
        <v>0</v>
      </c>
      <c r="BD38" s="1" t="str">
        <f aca="false">IF(OR(NOT(AND(ISNUMBER(E38),ISNUMBER(F38))),$J$2=""),"",MIN(100,ROUND(SUM($G38:G38),1)))</f>
        <v/>
      </c>
      <c r="BE38" s="1" t="str">
        <f aca="false">IF(OR(NOT(AND(ISNUMBER(E38),ISNUMBER(F38))),$J$2=""),"",MIN(100,ROUND(SUM($G38:H38),1)))</f>
        <v/>
      </c>
      <c r="BF38" s="1" t="str">
        <f aca="false">IF(OR(NOT(AND(ISNUMBER(E38),ISNUMBER(F38))),$J$2=""),"",MIN(100,ROUND(SUM($G38:I38),1)))</f>
        <v/>
      </c>
      <c r="BG38" s="1" t="str">
        <f aca="false">IF(OR(NOT(AND(ISNUMBER(E38),ISNUMBER(F38))),$J$2=""),"",MIN(100,ROUND(SUM($G38:J38),1)))</f>
        <v/>
      </c>
      <c r="BH38" s="1" t="str">
        <f aca="false">IF(OR(NOT(AND(ISNUMBER(E38),ISNUMBER(F38))),$J$2=""),"",MIN(100,ROUND(SUM($G38:K38),1)))</f>
        <v/>
      </c>
      <c r="BI38" s="1" t="str">
        <f aca="false">IF(OR(NOT(AND(ISNUMBER(E38),ISNUMBER(F38))),$J$2=""),"",MIN(100,ROUND(SUM($G38:L38),1)))</f>
        <v/>
      </c>
      <c r="BJ38" s="1" t="str">
        <f aca="false">IF(OR(NOT(AND(ISNUMBER(E38),ISNUMBER(F38))),$J$2=""),"",MIN(100,ROUND(SUM($G38:M38),1)))</f>
        <v/>
      </c>
      <c r="BK38" s="1" t="str">
        <f aca="false">IF(OR(NOT(AND(ISNUMBER(E38),ISNUMBER(F38))),$J$2=""),"",MIN(100,ROUND(SUM($G38:N38),1)))</f>
        <v/>
      </c>
      <c r="BL38" s="1" t="str">
        <f aca="false">IF(OR(NOT(AND(ISNUMBER(E38),ISNUMBER(F38))),$J$2=""),"",MIN(100,ROUND(SUM($G38:O38),1)))</f>
        <v/>
      </c>
      <c r="BM38" s="1" t="str">
        <f aca="false">IF(OR(NOT(AND(ISNUMBER(E38),ISNUMBER(F38))),$J$2=""),"",MIN(100,ROUND(SUM($G38:P38),1)))</f>
        <v/>
      </c>
      <c r="BN38" s="1" t="str">
        <f aca="false">IF(OR(NOT(AND(ISNUMBER(E38),ISNUMBER(F38))),$J$2=""),"",MIN(100,ROUND(SUM($G38:P38),1)))</f>
        <v/>
      </c>
      <c r="BO38" s="1" t="str">
        <f aca="false">IF(OR(NOT(AND(ISNUMBER(E38),ISNUMBER(F38))),$J$2=""),"",MIN(100,ROUND(SUM($G38:P38),1)))</f>
        <v/>
      </c>
      <c r="BP38" s="1" t="str">
        <f aca="false">IF(OR(NOT(AND(ISNUMBER(E38),ISNUMBER(F38))),$J$2=""),"",MIN(100,ROUND(SUM($G38:P38),1)))</f>
        <v/>
      </c>
      <c r="BQ38" s="1" t="str">
        <f aca="false">IF(OR(NOT(AND(ISNUMBER(E38),ISNUMBER(F38))),$J$2=""),"",MIN(100,ROUND(SUM($G38:P38),1)))</f>
        <v/>
      </c>
      <c r="BR38" s="1" t="str">
        <f aca="false">IF(OR(NOT(AND(ISNUMBER(E38),ISNUMBER(F38))),$J$2=""),"",MIN(100,ROUND(SUM($G38:P38),1)))</f>
        <v/>
      </c>
      <c r="BS38" s="1" t="str">
        <f aca="false">IF(OR(NOT(AND(ISNUMBER(E38),ISNUMBER(F38))),$J$2=""),"",MIN(100,ROUND(SUM($G38:P38),1)))</f>
        <v/>
      </c>
      <c r="BT38" s="1" t="str">
        <f aca="false">IF(OR(NOT(AND(ISNUMBER(E38),ISNUMBER(F38))),$J$2=""),"",IF(Reprogramaciones!K$13&lt;Reprogramaciones!$T$15,0,IF(Reprogramaciones!K$14&gt;10,MIN(100,SUM($G38:$P38)),MIN(100,SUMPRODUCT((COLUMN($G38:$P38)-COLUMN($G38)+1&lt;Reprogramaciones!K$14)*$G38:$P38)+N(INDEX($G38:$P38,1,Reprogramaciones!K$14))*IF(Reprogramaciones!K$13&gt;=(Reprogramaciones!$T$15+7*(Reprogramaciones!K$14-1))+6,1,IF(MAX(0,NETWORKDAYS.INTL(MAX(E38,(Reprogramaciones!$T$15+7*(Reprogramaciones!K$14-1))),MIN(F38,(Reprogramaciones!$T$15+7*(Reprogramaciones!K$14-1))+6),11))=0,0,MAX(0,NETWORKDAYS.INTL(MAX(E38,(Reprogramaciones!$T$15+7*(Reprogramaciones!K$14-1))),MIN(F38,Reprogramaciones!K$13),11))/MAX(0,NETWORKDAYS.INTL(MAX(E38,(Reprogramaciones!$T$15+7*(Reprogramaciones!K$14-1))),MIN(F38,(Reprogramaciones!$T$15+7*(Reprogramaciones!K$14-1))+6),11))))))))</f>
        <v/>
      </c>
      <c r="BU38" s="1" t="str">
        <f aca="false">IF(OR(NOT(AND(ISNUMBER(E38),ISNUMBER(F38))),$J$2=""),"",IF(Reprogramaciones!L$13&lt;Reprogramaciones!$T$15,0,IF(Reprogramaciones!L$14&gt;10,MIN(100,SUM($G38:$P38)),MIN(100,SUMPRODUCT((COLUMN($G38:$P38)-COLUMN($G38)+1&lt;Reprogramaciones!L$14)*$G38:$P38)+N(INDEX($G38:$P38,1,Reprogramaciones!L$14))*IF(Reprogramaciones!L$13&gt;=(Reprogramaciones!$T$15+7*(Reprogramaciones!L$14-1))+6,1,IF(MAX(0,NETWORKDAYS.INTL(MAX(E38,(Reprogramaciones!$T$15+7*(Reprogramaciones!L$14-1))),MIN(F38,(Reprogramaciones!$T$15+7*(Reprogramaciones!L$14-1))+6),11))=0,0,MAX(0,NETWORKDAYS.INTL(MAX(E38,(Reprogramaciones!$T$15+7*(Reprogramaciones!L$14-1))),MIN(F38,Reprogramaciones!L$13),11))/MAX(0,NETWORKDAYS.INTL(MAX(E38,(Reprogramaciones!$T$15+7*(Reprogramaciones!L$14-1))),MIN(F38,(Reprogramaciones!$T$15+7*(Reprogramaciones!L$14-1))+6),11))))))))</f>
        <v/>
      </c>
      <c r="BV38" s="1" t="str">
        <f aca="false">IF(OR(NOT(AND(ISNUMBER(E38),ISNUMBER(F38))),$J$2=""),"",IF(Reprogramaciones!M$13&lt;Reprogramaciones!$T$15,0,IF(Reprogramaciones!M$14&gt;10,MIN(100,SUM($G38:$P38)),MIN(100,SUMPRODUCT((COLUMN($G38:$P38)-COLUMN($G38)+1&lt;Reprogramaciones!M$14)*$G38:$P38)+N(INDEX($G38:$P38,1,Reprogramaciones!M$14))*IF(Reprogramaciones!M$13&gt;=(Reprogramaciones!$T$15+7*(Reprogramaciones!M$14-1))+6,1,IF(MAX(0,NETWORKDAYS.INTL(MAX(E38,(Reprogramaciones!$T$15+7*(Reprogramaciones!M$14-1))),MIN(F38,(Reprogramaciones!$T$15+7*(Reprogramaciones!M$14-1))+6),11))=0,0,MAX(0,NETWORKDAYS.INTL(MAX(E38,(Reprogramaciones!$T$15+7*(Reprogramaciones!M$14-1))),MIN(F38,Reprogramaciones!M$13),11))/MAX(0,NETWORKDAYS.INTL(MAX(E38,(Reprogramaciones!$T$15+7*(Reprogramaciones!M$14-1))),MIN(F38,(Reprogramaciones!$T$15+7*(Reprogramaciones!M$14-1))+6),11))))))))</f>
        <v/>
      </c>
      <c r="BW38" s="1" t="str">
        <f aca="false">IF(OR(NOT(AND(ISNUMBER(E38),ISNUMBER(F38))),$J$2=""),"",IF(Reprogramaciones!N$13&lt;Reprogramaciones!$T$15,0,IF(Reprogramaciones!N$14&gt;10,MIN(100,SUM($G38:$P38)),MIN(100,SUMPRODUCT((COLUMN($G38:$P38)-COLUMN($G38)+1&lt;Reprogramaciones!N$14)*$G38:$P38)+N(INDEX($G38:$P38,1,Reprogramaciones!N$14))*IF(Reprogramaciones!N$13&gt;=(Reprogramaciones!$T$15+7*(Reprogramaciones!N$14-1))+6,1,IF(MAX(0,NETWORKDAYS.INTL(MAX(E38,(Reprogramaciones!$T$15+7*(Reprogramaciones!N$14-1))),MIN(F38,(Reprogramaciones!$T$15+7*(Reprogramaciones!N$14-1))+6),11))=0,0,MAX(0,NETWORKDAYS.INTL(MAX(E38,(Reprogramaciones!$T$15+7*(Reprogramaciones!N$14-1))),MIN(F38,Reprogramaciones!N$13),11))/MAX(0,NETWORKDAYS.INTL(MAX(E38,(Reprogramaciones!$T$15+7*(Reprogramaciones!N$14-1))),MIN(F38,(Reprogramaciones!$T$15+7*(Reprogramaciones!N$14-1))+6),11))))))))</f>
        <v/>
      </c>
      <c r="BX38" s="1" t="str">
        <f aca="false">IF(OR(NOT(AND(ISNUMBER(E38),ISNUMBER(F38))),$J$2=""),"",IF(Reprogramaciones!O$13&lt;Reprogramaciones!$T$15,0,IF(Reprogramaciones!O$14&gt;10,MIN(100,SUM($G38:$P38)),MIN(100,SUMPRODUCT((COLUMN($G38:$P38)-COLUMN($G38)+1&lt;Reprogramaciones!O$14)*$G38:$P38)+N(INDEX($G38:$P38,1,Reprogramaciones!O$14))*IF(Reprogramaciones!O$13&gt;=(Reprogramaciones!$T$15+7*(Reprogramaciones!O$14-1))+6,1,IF(MAX(0,NETWORKDAYS.INTL(MAX(E38,(Reprogramaciones!$T$15+7*(Reprogramaciones!O$14-1))),MIN(F38,(Reprogramaciones!$T$15+7*(Reprogramaciones!O$14-1))+6),11))=0,0,MAX(0,NETWORKDAYS.INTL(MAX(E38,(Reprogramaciones!$T$15+7*(Reprogramaciones!O$14-1))),MIN(F38,Reprogramaciones!O$13),11))/MAX(0,NETWORKDAYS.INTL(MAX(E38,(Reprogramaciones!$T$15+7*(Reprogramaciones!O$14-1))),MIN(F38,(Reprogramaciones!$T$15+7*(Reprogramaciones!O$14-1))+6),11))))))))</f>
        <v/>
      </c>
      <c r="BY38" s="1" t="str">
        <f aca="false">IF(OR(NOT(AND(ISNUMBER(E38),ISNUMBER(F38))),$J$2=""),"",IF(Reprogramaciones!P$13&lt;Reprogramaciones!$T$15,0,IF(Reprogramaciones!P$14&gt;10,MIN(100,SUM($G38:$P38)),MIN(100,SUMPRODUCT((COLUMN($G38:$P38)-COLUMN($G38)+1&lt;Reprogramaciones!P$14)*$G38:$P38)+N(INDEX($G38:$P38,1,Reprogramaciones!P$14))*IF(Reprogramaciones!P$13&gt;=(Reprogramaciones!$T$15+7*(Reprogramaciones!P$14-1))+6,1,IF(MAX(0,NETWORKDAYS.INTL(MAX(E38,(Reprogramaciones!$T$15+7*(Reprogramaciones!P$14-1))),MIN(F38,(Reprogramaciones!$T$15+7*(Reprogramaciones!P$14-1))+6),11))=0,0,MAX(0,NETWORKDAYS.INTL(MAX(E38,(Reprogramaciones!$T$15+7*(Reprogramaciones!P$14-1))),MIN(F38,Reprogramaciones!P$13),11))/MAX(0,NETWORKDAYS.INTL(MAX(E38,(Reprogramaciones!$T$15+7*(Reprogramaciones!P$14-1))),MIN(F38,(Reprogramaciones!$T$15+7*(Reprogramaciones!P$14-1))+6),11))))))))</f>
        <v/>
      </c>
      <c r="BZ38" s="1" t="str">
        <f aca="false">IF(OR(NOT(AND(ISNUMBER(E38),ISNUMBER(F38))),$J$2=""),"",IF(Reprogramaciones!Q$13&lt;Reprogramaciones!$T$15,0,IF(Reprogramaciones!Q$14&gt;10,MIN(100,SUM($G38:$P38)),MIN(100,SUMPRODUCT((COLUMN($G38:$P38)-COLUMN($G38)+1&lt;Reprogramaciones!Q$14)*$G38:$P38)+N(INDEX($G38:$P38,1,Reprogramaciones!Q$14))*IF(Reprogramaciones!Q$13&gt;=(Reprogramaciones!$T$15+7*(Reprogramaciones!Q$14-1))+6,1,IF(MAX(0,NETWORKDAYS.INTL(MAX(E38,(Reprogramaciones!$T$15+7*(Reprogramaciones!Q$14-1))),MIN(F38,(Reprogramaciones!$T$15+7*(Reprogramaciones!Q$14-1))+6),11))=0,0,MAX(0,NETWORKDAYS.INTL(MAX(E38,(Reprogramaciones!$T$15+7*(Reprogramaciones!Q$14-1))),MIN(F38,Reprogramaciones!Q$13),11))/MAX(0,NETWORKDAYS.INTL(MAX(E38,(Reprogramaciones!$T$15+7*(Reprogramaciones!Q$14-1))),MIN(F38,(Reprogramaciones!$T$15+7*(Reprogramaciones!Q$14-1))+6),11))))))))</f>
        <v/>
      </c>
      <c r="CA38" s="1" t="str">
        <f aca="false">IF(OR(NOT(AND(ISNUMBER(E38),ISNUMBER(F38))),$J$2=""),"",IF(Reprogramaciones!R$13&lt;Reprogramaciones!$T$15,0,IF(Reprogramaciones!R$14&gt;10,MIN(100,SUM($G38:$P38)),MIN(100,SUMPRODUCT((COLUMN($G38:$P38)-COLUMN($G38)+1&lt;Reprogramaciones!R$14)*$G38:$P38)+N(INDEX($G38:$P38,1,Reprogramaciones!R$14))*IF(Reprogramaciones!R$13&gt;=(Reprogramaciones!$T$15+7*(Reprogramaciones!R$14-1))+6,1,IF(MAX(0,NETWORKDAYS.INTL(MAX(E38,(Reprogramaciones!$T$15+7*(Reprogramaciones!R$14-1))),MIN(F38,(Reprogramaciones!$T$15+7*(Reprogramaciones!R$14-1))+6),11))=0,0,MAX(0,NETWORKDAYS.INTL(MAX(E38,(Reprogramaciones!$T$15+7*(Reprogramaciones!R$14-1))),MIN(F38,Reprogramaciones!R$13),11))/MAX(0,NETWORKDAYS.INTL(MAX(E38,(Reprogramaciones!$T$15+7*(Reprogramaciones!R$14-1))),MIN(F38,(Reprogramaciones!$T$15+7*(Reprogramaciones!R$14-1))+6),11))))))))</f>
        <v/>
      </c>
      <c r="CB38" s="1" t="str">
        <f aca="false">IF(OR(NOT(AND(ISNUMBER(E38),ISNUMBER(F38))),$J$2=""),"",IF(Reprogramaciones!S$13&lt;Reprogramaciones!$T$15,0,IF(Reprogramaciones!S$14&gt;10,MIN(100,SUM($G38:$P38)),MIN(100,SUMPRODUCT((COLUMN($G38:$P38)-COLUMN($G38)+1&lt;Reprogramaciones!S$14)*$G38:$P38)+N(INDEX($G38:$P38,1,Reprogramaciones!S$14))*IF(Reprogramaciones!S$13&gt;=(Reprogramaciones!$T$15+7*(Reprogramaciones!S$14-1))+6,1,IF(MAX(0,NETWORKDAYS.INTL(MAX(E38,(Reprogramaciones!$T$15+7*(Reprogramaciones!S$14-1))),MIN(F38,(Reprogramaciones!$T$15+7*(Reprogramaciones!S$14-1))+6),11))=0,0,MAX(0,NETWORKDAYS.INTL(MAX(E38,(Reprogramaciones!$T$15+7*(Reprogramaciones!S$14-1))),MIN(F38,Reprogramaciones!S$13),11))/MAX(0,NETWORKDAYS.INTL(MAX(E38,(Reprogramaciones!$T$15+7*(Reprogramaciones!S$14-1))),MIN(F38,(Reprogramaciones!$T$15+7*(Reprogramaciones!S$14-1))+6),11))))))))</f>
        <v/>
      </c>
      <c r="CC38" s="1" t="str">
        <f aca="false">IF(OR(NOT(AND(ISNUMBER(E38),ISNUMBER(F38))),$J$2=""),"",IF(Reprogramaciones!T$13&lt;Reprogramaciones!$T$15,0,IF(Reprogramaciones!T$14&gt;10,MIN(100,SUM($G38:$P38)),MIN(100,SUMPRODUCT((COLUMN($G38:$P38)-COLUMN($G38)+1&lt;Reprogramaciones!T$14)*$G38:$P38)+N(INDEX($G38:$P38,1,Reprogramaciones!T$14))*IF(Reprogramaciones!T$13&gt;=(Reprogramaciones!$T$15+7*(Reprogramaciones!T$14-1))+6,1,IF(MAX(0,NETWORKDAYS.INTL(MAX(E38,(Reprogramaciones!$T$15+7*(Reprogramaciones!T$14-1))),MIN(F38,(Reprogramaciones!$T$15+7*(Reprogramaciones!T$14-1))+6),11))=0,0,MAX(0,NETWORKDAYS.INTL(MAX(E38,(Reprogramaciones!$T$15+7*(Reprogramaciones!T$14-1))),MIN(F38,Reprogramaciones!T$13),11))/MAX(0,NETWORKDAYS.INTL(MAX(E38,(Reprogramaciones!$T$15+7*(Reprogramaciones!T$14-1))),MIN(F38,(Reprogramaciones!$T$15+7*(Reprogramaciones!T$14-1))+6),11))))))))</f>
        <v/>
      </c>
      <c r="CD38" s="1" t="str">
        <f aca="false">IF(OR(NOT(AND(ISNUMBER(E38),ISNUMBER(F38))),$J$2=""),"",IF(Reprogramaciones!U$13&lt;Reprogramaciones!$T$15,0,IF(Reprogramaciones!U$14&gt;10,MIN(100,SUM($G38:$P38)),MIN(100,SUMPRODUCT((COLUMN($G38:$P38)-COLUMN($G38)+1&lt;Reprogramaciones!U$14)*$G38:$P38)+N(INDEX($G38:$P38,1,Reprogramaciones!U$14))*IF(Reprogramaciones!U$13&gt;=(Reprogramaciones!$T$15+7*(Reprogramaciones!U$14-1))+6,1,IF(MAX(0,NETWORKDAYS.INTL(MAX(E38,(Reprogramaciones!$T$15+7*(Reprogramaciones!U$14-1))),MIN(F38,(Reprogramaciones!$T$15+7*(Reprogramaciones!U$14-1))+6),11))=0,0,MAX(0,NETWORKDAYS.INTL(MAX(E38,(Reprogramaciones!$T$15+7*(Reprogramaciones!U$14-1))),MIN(F38,Reprogramaciones!U$13),11))/MAX(0,NETWORKDAYS.INTL(MAX(E38,(Reprogramaciones!$T$15+7*(Reprogramaciones!U$14-1))),MIN(F38,(Reprogramaciones!$T$15+7*(Reprogramaciones!U$14-1))+6),11))))))))</f>
        <v/>
      </c>
      <c r="CE38" s="1" t="str">
        <f aca="false">IF(OR(NOT(AND(ISNUMBER(E38),ISNUMBER(F38))),$J$2=""),"",IF(Reprogramaciones!V$13&lt;Reprogramaciones!$T$15,0,IF(Reprogramaciones!V$14&gt;10,MIN(100,SUM($G38:$P38)),MIN(100,SUMPRODUCT((COLUMN($G38:$P38)-COLUMN($G38)+1&lt;Reprogramaciones!V$14)*$G38:$P38)+N(INDEX($G38:$P38,1,Reprogramaciones!V$14))*IF(Reprogramaciones!V$13&gt;=(Reprogramaciones!$T$15+7*(Reprogramaciones!V$14-1))+6,1,IF(MAX(0,NETWORKDAYS.INTL(MAX(E38,(Reprogramaciones!$T$15+7*(Reprogramaciones!V$14-1))),MIN(F38,(Reprogramaciones!$T$15+7*(Reprogramaciones!V$14-1))+6),11))=0,0,MAX(0,NETWORKDAYS.INTL(MAX(E38,(Reprogramaciones!$T$15+7*(Reprogramaciones!V$14-1))),MIN(F38,Reprogramaciones!V$13),11))/MAX(0,NETWORKDAYS.INTL(MAX(E38,(Reprogramaciones!$T$15+7*(Reprogramaciones!V$14-1))),MIN(F38,(Reprogramaciones!$T$15+7*(Reprogramaciones!V$14-1))+6),11))))))))</f>
        <v/>
      </c>
      <c r="CF38" s="1" t="str">
        <f aca="false">IF(OR(NOT(AND(ISNUMBER(E38),ISNUMBER(F38))),$J$2=""),"",IF(Reprogramaciones!W$13&lt;Reprogramaciones!$T$15,0,IF(Reprogramaciones!W$14&gt;10,MIN(100,SUM($G38:$P38)),MIN(100,SUMPRODUCT((COLUMN($G38:$P38)-COLUMN($G38)+1&lt;Reprogramaciones!W$14)*$G38:$P38)+N(INDEX($G38:$P38,1,Reprogramaciones!W$14))*IF(Reprogramaciones!W$13&gt;=(Reprogramaciones!$T$15+7*(Reprogramaciones!W$14-1))+6,1,IF(MAX(0,NETWORKDAYS.INTL(MAX(E38,(Reprogramaciones!$T$15+7*(Reprogramaciones!W$14-1))),MIN(F38,(Reprogramaciones!$T$15+7*(Reprogramaciones!W$14-1))+6),11))=0,0,MAX(0,NETWORKDAYS.INTL(MAX(E38,(Reprogramaciones!$T$15+7*(Reprogramaciones!W$14-1))),MIN(F38,Reprogramaciones!W$13),11))/MAX(0,NETWORKDAYS.INTL(MAX(E38,(Reprogramaciones!$T$15+7*(Reprogramaciones!W$14-1))),MIN(F38,(Reprogramaciones!$T$15+7*(Reprogramaciones!W$14-1))+6),11))))))))</f>
        <v/>
      </c>
      <c r="CG38" s="1" t="str">
        <f aca="false">IF(OR(NOT(AND(ISNUMBER(E38),ISNUMBER(F38))),$J$2=""),"",IF(Reprogramaciones!X$13&lt;Reprogramaciones!$T$15,0,IF(Reprogramaciones!X$14&gt;10,MIN(100,SUM($G38:$P38)),MIN(100,SUMPRODUCT((COLUMN($G38:$P38)-COLUMN($G38)+1&lt;Reprogramaciones!X$14)*$G38:$P38)+N(INDEX($G38:$P38,1,Reprogramaciones!X$14))*IF(Reprogramaciones!X$13&gt;=(Reprogramaciones!$T$15+7*(Reprogramaciones!X$14-1))+6,1,IF(MAX(0,NETWORKDAYS.INTL(MAX(E38,(Reprogramaciones!$T$15+7*(Reprogramaciones!X$14-1))),MIN(F38,(Reprogramaciones!$T$15+7*(Reprogramaciones!X$14-1))+6),11))=0,0,MAX(0,NETWORKDAYS.INTL(MAX(E38,(Reprogramaciones!$T$15+7*(Reprogramaciones!X$14-1))),MIN(F38,Reprogramaciones!X$13),11))/MAX(0,NETWORKDAYS.INTL(MAX(E38,(Reprogramaciones!$T$15+7*(Reprogramaciones!X$14-1))),MIN(F38,(Reprogramaciones!$T$15+7*(Reprogramaciones!X$14-1))+6),11))))))))</f>
        <v/>
      </c>
      <c r="CH38" s="1" t="str">
        <f aca="false">IF(OR(NOT(AND(ISNUMBER(E38),ISNUMBER(F38))),$J$2=""),"",IF(Reprogramaciones!Y$13&lt;Reprogramaciones!$T$15,0,IF(Reprogramaciones!Y$14&gt;10,MIN(100,SUM($G38:$P38)),MIN(100,SUMPRODUCT((COLUMN($G38:$P38)-COLUMN($G38)+1&lt;Reprogramaciones!Y$14)*$G38:$P38)+N(INDEX($G38:$P38,1,Reprogramaciones!Y$14))*IF(Reprogramaciones!Y$13&gt;=(Reprogramaciones!$T$15+7*(Reprogramaciones!Y$14-1))+6,1,IF(MAX(0,NETWORKDAYS.INTL(MAX(E38,(Reprogramaciones!$T$15+7*(Reprogramaciones!Y$14-1))),MIN(F38,(Reprogramaciones!$T$15+7*(Reprogramaciones!Y$14-1))+6),11))=0,0,MAX(0,NETWORKDAYS.INTL(MAX(E38,(Reprogramaciones!$T$15+7*(Reprogramaciones!Y$14-1))),MIN(F38,Reprogramaciones!Y$13),11))/MAX(0,NETWORKDAYS.INTL(MAX(E38,(Reprogramaciones!$T$15+7*(Reprogramaciones!Y$14-1))),MIN(F38,(Reprogramaciones!$T$15+7*(Reprogramaciones!Y$14-1))+6),11))))))))</f>
        <v/>
      </c>
      <c r="CI38" s="1" t="str">
        <f aca="false">IF(OR(NOT(AND(ISNUMBER(E38),ISNUMBER(F38))),$J$2=""),"",IF(Reprogramaciones!Z$13&lt;Reprogramaciones!$T$15,0,IF(Reprogramaciones!Z$14&gt;10,MIN(100,SUM($G38:$P38)),MIN(100,SUMPRODUCT((COLUMN($G38:$P38)-COLUMN($G38)+1&lt;Reprogramaciones!Z$14)*$G38:$P38)+N(INDEX($G38:$P38,1,Reprogramaciones!Z$14))*IF(Reprogramaciones!Z$13&gt;=(Reprogramaciones!$T$15+7*(Reprogramaciones!Z$14-1))+6,1,IF(MAX(0,NETWORKDAYS.INTL(MAX(E38,(Reprogramaciones!$T$15+7*(Reprogramaciones!Z$14-1))),MIN(F38,(Reprogramaciones!$T$15+7*(Reprogramaciones!Z$14-1))+6),11))=0,0,MAX(0,NETWORKDAYS.INTL(MAX(E38,(Reprogramaciones!$T$15+7*(Reprogramaciones!Z$14-1))),MIN(F38,Reprogramaciones!Z$13),11))/MAX(0,NETWORKDAYS.INTL(MAX(E38,(Reprogramaciones!$T$15+7*(Reprogramaciones!Z$14-1))),MIN(F38,(Reprogramaciones!$T$15+7*(Reprogramaciones!Z$14-1))+6),11))))))))</f>
        <v/>
      </c>
      <c r="CJ38" s="1" t="str">
        <f aca="false">IF(OR(OR(NOT(AND(ISNUMBER(E38),ISNUMBER(F38))),$J$2=""),1&gt;Reprogramaciones!$K$16),"",IF(ROUND(SUM($Q38:Q38),1)&gt;=99.5,100,MIN(100,ROUND(SUM($Q38:Q38),1))))</f>
        <v/>
      </c>
      <c r="CK38" s="1" t="str">
        <f aca="false">IF(OR(OR(NOT(AND(ISNUMBER(E38),ISNUMBER(F38))),$J$2=""),2&gt;Reprogramaciones!$K$16),"",IF(ROUND(SUM($Q38:R38),1)&gt;=99.5,100,MIN(100,ROUND(SUM($Q38:R38),1))))</f>
        <v/>
      </c>
      <c r="CL38" s="1" t="str">
        <f aca="false">IF(OR(OR(NOT(AND(ISNUMBER(E38),ISNUMBER(F38))),$J$2=""),3&gt;Reprogramaciones!$K$16),"",IF(ROUND(SUM($Q38:S38),1)&gt;=99.5,100,MIN(100,ROUND(SUM($Q38:S38),1))))</f>
        <v/>
      </c>
      <c r="CM38" s="1" t="str">
        <f aca="false">IF(OR(OR(NOT(AND(ISNUMBER(E38),ISNUMBER(F38))),$J$2=""),4&gt;Reprogramaciones!$K$16),"",IF(ROUND(SUM($Q38:T38),1)&gt;=99.5,100,MIN(100,ROUND(SUM($Q38:T38),1))))</f>
        <v/>
      </c>
      <c r="CN38" s="1" t="str">
        <f aca="false">IF(OR(OR(NOT(AND(ISNUMBER(E38),ISNUMBER(F38))),$J$2=""),5&gt;Reprogramaciones!$K$16),"",IF(ROUND(SUM($Q38:U38),1)&gt;=99.5,100,MIN(100,ROUND(SUM($Q38:U38),1))))</f>
        <v/>
      </c>
      <c r="CO38" s="1" t="str">
        <f aca="false">IF(OR(OR(NOT(AND(ISNUMBER(E38),ISNUMBER(F38))),$J$2=""),6&gt;Reprogramaciones!$K$16),"",IF(ROUND(SUM($Q38:V38),1)&gt;=99.5,100,MIN(100,ROUND(SUM($Q38:V38),1))))</f>
        <v/>
      </c>
      <c r="CP38" s="1" t="str">
        <f aca="false">IF(OR(OR(NOT(AND(ISNUMBER(E38),ISNUMBER(F38))),$J$2=""),7&gt;Reprogramaciones!$K$16),"",IF(ROUND(SUM($Q38:W38),1)&gt;=99.5,100,MIN(100,ROUND(SUM($Q38:W38),1))))</f>
        <v/>
      </c>
      <c r="CQ38" s="1" t="str">
        <f aca="false">IF(OR(OR(NOT(AND(ISNUMBER(E38),ISNUMBER(F38))),$J$2=""),8&gt;Reprogramaciones!$K$16),"",IF(ROUND(SUM($Q38:X38),1)&gt;=99.5,100,MIN(100,ROUND(SUM($Q38:X38),1))))</f>
        <v/>
      </c>
      <c r="CR38" s="1" t="str">
        <f aca="false">IF(OR(OR(NOT(AND(ISNUMBER(E38),ISNUMBER(F38))),$J$2=""),9&gt;Reprogramaciones!$K$16),"",IF(ROUND(SUM($Q38:Y38),1)&gt;=99.5,100,MIN(100,ROUND(SUM($Q38:Y38),1))))</f>
        <v/>
      </c>
      <c r="CS38" s="1" t="str">
        <f aca="false">IF(OR(OR(NOT(AND(ISNUMBER(E38),ISNUMBER(F38))),$J$2=""),10&gt;Reprogramaciones!$K$16),"",IF(ROUND(SUM($Q38:Z38),1)&gt;=99.5,100,MIN(100,ROUND(SUM($Q38:Z38),1))))</f>
        <v/>
      </c>
      <c r="CT38" s="1" t="str">
        <f aca="false">IF(OR(OR(NOT(AND(ISNUMBER(E38),ISNUMBER(F38))),$J$2=""),11&gt;Reprogramaciones!$K$16),"",IF(ROUND(SUM($Q38:AA38),1)&gt;=99.5,100,MIN(100,ROUND(SUM($Q38:AA38),1))))</f>
        <v/>
      </c>
      <c r="CU38" s="1" t="str">
        <f aca="false">IF(OR(OR(NOT(AND(ISNUMBER(E38),ISNUMBER(F38))),$J$2=""),12&gt;Reprogramaciones!$K$16),"",IF(ROUND(SUM($Q38:AB38),1)&gt;=99.5,100,MIN(100,ROUND(SUM($Q38:AB38),1))))</f>
        <v/>
      </c>
      <c r="CV38" s="1" t="str">
        <f aca="false">IF(OR(OR(NOT(AND(ISNUMBER(E38),ISNUMBER(F38))),$J$2=""),13&gt;Reprogramaciones!$K$16),"",IF(ROUND(SUM($Q38:AC38),1)&gt;=99.5,100,MIN(100,ROUND(SUM($Q38:AC38),1))))</f>
        <v/>
      </c>
      <c r="CW38" s="1" t="str">
        <f aca="false">IF(OR(OR(NOT(AND(ISNUMBER(E38),ISNUMBER(F38))),$J$2=""),14&gt;Reprogramaciones!$K$16),"",IF(ROUND(SUM($Q38:AD38),1)&gt;=99.5,100,MIN(100,ROUND(SUM($Q38:AD38),1))))</f>
        <v/>
      </c>
      <c r="CX38" s="1" t="str">
        <f aca="false">IF(OR(OR(NOT(AND(ISNUMBER(E38),ISNUMBER(F38))),$J$2=""),15&gt;Reprogramaciones!$K$16),"",IF(ROUND(SUM($Q38:AE38),1)&gt;=99.5,100,MIN(100,ROUND(SUM($Q38:AE38),1))))</f>
        <v/>
      </c>
      <c r="CY38" s="1" t="str">
        <f aca="false">IF(OR(OR(NOT(AND(ISNUMBER(E38),ISNUMBER(F38))),$J$2=""),16&gt;Reprogramaciones!$K$16),"",IF(ROUND(SUM($Q38:AF38),1)&gt;=99.5,100,MIN(100,ROUND(SUM($Q38:AF38),1))))</f>
        <v/>
      </c>
      <c r="CZ38" s="1" t="str">
        <f aca="false">IF(D38&lt;&gt;"",D38,IF(B38&lt;&gt;"","Contractual",CZ37))</f>
        <v>Contractual</v>
      </c>
      <c r="DA38" s="1" t="str">
        <f aca="false">IF(OR(NOT(AND(ISNUMBER(E38),ISNUMBER(F38))),$J$2=""),"",IF(Reprogramaciones!$Q$15&lt;Reprogramaciones!$T$15,0,IF(Reprogramaciones!$S$15&gt;10,MIN(100,SUM($G38:$P38)),MIN(100,SUMPRODUCT((COLUMN($G38:$P38)-COLUMN($G38)+1&lt;Reprogramaciones!$S$15)*$G38:$P38)+N(INDEX($G38:$P38,1,Reprogramaciones!$S$15))*IF(Reprogramaciones!$Q$15&gt;=(Reprogramaciones!$T$15+7*(Reprogramaciones!$S$15-1))+6,1,IF(MAX(0,NETWORKDAYS.INTL(MAX(E38,(Reprogramaciones!$T$15+7*(Reprogramaciones!$S$15-1))),MIN(F38,(Reprogramaciones!$T$15+7*(Reprogramaciones!$S$15-1))+6),11))=0,0,MAX(0,NETWORKDAYS.INTL(MAX(E38,(Reprogramaciones!$T$15+7*(Reprogramaciones!$S$15-1))),MIN(F38,Reprogramaciones!$Q$15),11))/MAX(0,NETWORKDAYS.INTL(MAX(E38,(Reprogramaciones!$T$15+7*(Reprogramaciones!$S$15-1))),MIN(F38,(Reprogramaciones!$T$15+7*(Reprogramaciones!$S$15-1))+6),11))))))))</f>
        <v/>
      </c>
    </row>
    <row r="39" customFormat="false" ht="15" hidden="false" customHeight="false" outlineLevel="0" collapsed="false">
      <c r="A39" s="32" t="s">
        <v>219</v>
      </c>
      <c r="B39" s="33"/>
      <c r="C39" s="33" t="s">
        <v>220</v>
      </c>
      <c r="D39" s="34"/>
      <c r="E39" s="35" t="n">
        <v>46309</v>
      </c>
      <c r="F39" s="35" t="n">
        <v>46312</v>
      </c>
      <c r="G39" s="36" t="n">
        <f aca="false">IF(OR(NOT(AND(ISNUMBER(E39),ISNUMBER(F39))),$J$2=""),"",IF(Reprogramaciones!K$9&lt;E39,0,IF(NETWORKDAYS.INTL(E39,F39,11)=0,IF(Reprogramaciones!K$9&gt;=F39,100,0),ROUND(NETWORKDAYS.INTL(E39,MIN(F39,Reprogramaciones!K$9),11)/NETWORKDAYS.INTL(E39,F39,11)*100,1)))-0)</f>
        <v>0</v>
      </c>
      <c r="H39" s="36" t="n">
        <f aca="false">IF(OR(NOT(AND(ISNUMBER(E39),ISNUMBER(F39))),$J$2=""),"",IF(Reprogramaciones!L$9&lt;E39,0,IF(NETWORKDAYS.INTL(E39,F39,11)=0,IF(Reprogramaciones!L$9&gt;=F39,100,0),ROUND(NETWORKDAYS.INTL(E39,MIN(F39,Reprogramaciones!L$9),11)/NETWORKDAYS.INTL(E39,F39,11)*100,1)))-IF(Reprogramaciones!K$9&lt;E39,0,IF(NETWORKDAYS.INTL(E39,F39,11)=0,IF(Reprogramaciones!K$9&gt;=F39,100,0),ROUND(NETWORKDAYS.INTL(E39,MIN(F39,Reprogramaciones!K$9),11)/NETWORKDAYS.INTL(E39,F39,11)*100,1))))</f>
        <v>0</v>
      </c>
      <c r="I39" s="36" t="n">
        <f aca="false">IF(OR(NOT(AND(ISNUMBER(E39),ISNUMBER(F39))),$J$2=""),"",IF(Reprogramaciones!M$9&lt;E39,0,IF(NETWORKDAYS.INTL(E39,F39,11)=0,IF(Reprogramaciones!M$9&gt;=F39,100,0),ROUND(NETWORKDAYS.INTL(E39,MIN(F39,Reprogramaciones!M$9),11)/NETWORKDAYS.INTL(E39,F39,11)*100,1)))-IF(Reprogramaciones!L$9&lt;E39,0,IF(NETWORKDAYS.INTL(E39,F39,11)=0,IF(Reprogramaciones!L$9&gt;=F39,100,0),ROUND(NETWORKDAYS.INTL(E39,MIN(F39,Reprogramaciones!L$9),11)/NETWORKDAYS.INTL(E39,F39,11)*100,1))))</f>
        <v>0</v>
      </c>
      <c r="J39" s="36" t="n">
        <f aca="false">IF(OR(NOT(AND(ISNUMBER(E39),ISNUMBER(F39))),$J$2=""),"",IF(Reprogramaciones!N$9&lt;E39,0,IF(NETWORKDAYS.INTL(E39,F39,11)=0,IF(Reprogramaciones!N$9&gt;=F39,100,0),ROUND(NETWORKDAYS.INTL(E39,MIN(F39,Reprogramaciones!N$9),11)/NETWORKDAYS.INTL(E39,F39,11)*100,1)))-IF(Reprogramaciones!M$9&lt;E39,0,IF(NETWORKDAYS.INTL(E39,F39,11)=0,IF(Reprogramaciones!M$9&gt;=F39,100,0),ROUND(NETWORKDAYS.INTL(E39,MIN(F39,Reprogramaciones!M$9),11)/NETWORKDAYS.INTL(E39,F39,11)*100,1))))</f>
        <v>100</v>
      </c>
      <c r="K39" s="36" t="n">
        <f aca="false">IF(OR(NOT(AND(ISNUMBER(E39),ISNUMBER(F39))),$J$2=""),"",IF(Reprogramaciones!O$9&lt;E39,0,IF(NETWORKDAYS.INTL(E39,F39,11)=0,IF(Reprogramaciones!O$9&gt;=F39,100,0),ROUND(NETWORKDAYS.INTL(E39,MIN(F39,Reprogramaciones!O$9),11)/NETWORKDAYS.INTL(E39,F39,11)*100,1)))-IF(Reprogramaciones!N$9&lt;E39,0,IF(NETWORKDAYS.INTL(E39,F39,11)=0,IF(Reprogramaciones!N$9&gt;=F39,100,0),ROUND(NETWORKDAYS.INTL(E39,MIN(F39,Reprogramaciones!N$9),11)/NETWORKDAYS.INTL(E39,F39,11)*100,1))))</f>
        <v>0</v>
      </c>
      <c r="L39" s="36" t="n">
        <f aca="false">IF(OR(NOT(AND(ISNUMBER(E39),ISNUMBER(F39))),$J$2=""),"",IF(Reprogramaciones!P$9&lt;E39,0,IF(NETWORKDAYS.INTL(E39,F39,11)=0,IF(Reprogramaciones!P$9&gt;=F39,100,0),ROUND(NETWORKDAYS.INTL(E39,MIN(F39,Reprogramaciones!P$9),11)/NETWORKDAYS.INTL(E39,F39,11)*100,1)))-IF(Reprogramaciones!O$9&lt;E39,0,IF(NETWORKDAYS.INTL(E39,F39,11)=0,IF(Reprogramaciones!O$9&gt;=F39,100,0),ROUND(NETWORKDAYS.INTL(E39,MIN(F39,Reprogramaciones!O$9),11)/NETWORKDAYS.INTL(E39,F39,11)*100,1))))</f>
        <v>0</v>
      </c>
      <c r="M39" s="36" t="n">
        <f aca="false">IF(OR(NOT(AND(ISNUMBER(E39),ISNUMBER(F39))),$J$2=""),"",IF(Reprogramaciones!Q$9&lt;E39,0,IF(NETWORKDAYS.INTL(E39,F39,11)=0,IF(Reprogramaciones!Q$9&gt;=F39,100,0),ROUND(NETWORKDAYS.INTL(E39,MIN(F39,Reprogramaciones!Q$9),11)/NETWORKDAYS.INTL(E39,F39,11)*100,1)))-IF(Reprogramaciones!P$9&lt;E39,0,IF(NETWORKDAYS.INTL(E39,F39,11)=0,IF(Reprogramaciones!P$9&gt;=F39,100,0),ROUND(NETWORKDAYS.INTL(E39,MIN(F39,Reprogramaciones!P$9),11)/NETWORKDAYS.INTL(E39,F39,11)*100,1))))</f>
        <v>0</v>
      </c>
      <c r="N39" s="36" t="n">
        <f aca="false">IF(OR(NOT(AND(ISNUMBER(E39),ISNUMBER(F39))),$J$2=""),"",IF(Reprogramaciones!R$9&lt;E39,0,IF(NETWORKDAYS.INTL(E39,F39,11)=0,IF(Reprogramaciones!R$9&gt;=F39,100,0),ROUND(NETWORKDAYS.INTL(E39,MIN(F39,Reprogramaciones!R$9),11)/NETWORKDAYS.INTL(E39,F39,11)*100,1)))-IF(Reprogramaciones!Q$9&lt;E39,0,IF(NETWORKDAYS.INTL(E39,F39,11)=0,IF(Reprogramaciones!Q$9&gt;=F39,100,0),ROUND(NETWORKDAYS.INTL(E39,MIN(F39,Reprogramaciones!Q$9),11)/NETWORKDAYS.INTL(E39,F39,11)*100,1))))</f>
        <v>0</v>
      </c>
      <c r="O39" s="36" t="n">
        <f aca="false">IF(OR(NOT(AND(ISNUMBER(E39),ISNUMBER(F39))),$J$2=""),"",IF(Reprogramaciones!S$9&lt;E39,0,IF(NETWORKDAYS.INTL(E39,F39,11)=0,IF(Reprogramaciones!S$9&gt;=F39,100,0),ROUND(NETWORKDAYS.INTL(E39,MIN(F39,Reprogramaciones!S$9),11)/NETWORKDAYS.INTL(E39,F39,11)*100,1)))-IF(Reprogramaciones!R$9&lt;E39,0,IF(NETWORKDAYS.INTL(E39,F39,11)=0,IF(Reprogramaciones!R$9&gt;=F39,100,0),ROUND(NETWORKDAYS.INTL(E39,MIN(F39,Reprogramaciones!R$9),11)/NETWORKDAYS.INTL(E39,F39,11)*100,1))))</f>
        <v>0</v>
      </c>
      <c r="P39" s="36" t="n">
        <f aca="false">IF(OR(NOT(AND(ISNUMBER(E39),ISNUMBER(F39))),$J$2=""),"",IF(Reprogramaciones!T$9&lt;E39,0,IF(NETWORKDAYS.INTL(E39,F39,11)=0,IF(Reprogramaciones!T$9&gt;=F39,100,0),ROUND(NETWORKDAYS.INTL(E39,MIN(F39,Reprogramaciones!T$9),11)/NETWORKDAYS.INTL(E39,F39,11)*100,1)))-IF(Reprogramaciones!S$9&lt;E39,0,IF(NETWORKDAYS.INTL(E39,F39,11)=0,IF(Reprogramaciones!S$9&gt;=F39,100,0),ROUND(NETWORKDAYS.INTL(E39,MIN(F39,Reprogramaciones!S$9),11)/NETWORKDAYS.INTL(E39,F39,11)*100,1))))</f>
        <v>0</v>
      </c>
      <c r="Q39" s="37"/>
      <c r="R39" s="37"/>
      <c r="S39" s="37"/>
      <c r="T39" s="37" t="n">
        <v>100</v>
      </c>
      <c r="U39" s="37"/>
      <c r="V39" s="37"/>
      <c r="W39" s="37"/>
      <c r="X39" s="37"/>
      <c r="Y39" s="37"/>
      <c r="Z39" s="37"/>
      <c r="AA39" s="37"/>
      <c r="AB39" s="37"/>
      <c r="AC39" s="37"/>
      <c r="AD39" s="37"/>
      <c r="AE39" s="37"/>
      <c r="AF39" s="37"/>
      <c r="AG39" s="38" t="n">
        <f aca="false">IF(AND(ISNUMBER(E39),ISNUMBER(F39)),NETWORKDAYS.INTL(E39,F39,11),"")</f>
        <v>4</v>
      </c>
      <c r="AH39" s="38" t="n">
        <f aca="false">IF(OR(NOT(AND(ISNUMBER(E39),ISNUMBER(F39))),$J$2=""),"",IF(Reprogramaciones!$P$15&lt;Reprogramaciones!$T$15,0,IF(Reprogramaciones!$R$15&gt;10,MIN(100,SUM($G39:$P39)),MIN(100,SUMPRODUCT((COLUMN($G39:$P39)-COLUMN($G39)+1&lt;Reprogramaciones!$R$15)*$G39:$P39)+N(INDEX($G39:$P39,1,Reprogramaciones!$R$15))*IF(Reprogramaciones!$P$15&gt;=(Reprogramaciones!$T$15+7*(Reprogramaciones!$R$15-1))+6,1,IF(MAX(0,NETWORKDAYS.INTL(MAX(E39,(Reprogramaciones!$T$15+7*(Reprogramaciones!$R$15-1))),MIN(F39,(Reprogramaciones!$T$15+7*(Reprogramaciones!$R$15-1))+6),11))=0,0,MAX(0,NETWORKDAYS.INTL(MAX(E39,(Reprogramaciones!$T$15+7*(Reprogramaciones!$R$15-1))),MIN(F39,Reprogramaciones!$P$15),11))/MAX(0,NETWORKDAYS.INTL(MAX(E39,(Reprogramaciones!$T$15+7*(Reprogramaciones!$R$15-1))),MIN(F39,(Reprogramaciones!$T$15+7*(Reprogramaciones!$R$15-1))+6),11))))))))</f>
        <v>100</v>
      </c>
      <c r="AI39" s="38" t="n">
        <f aca="false">IF(COUNT($Q39:$AF39)=0,"",IF(ROUND(SUM($Q39:$AF39),1)&gt;=99.5,100,MIN(100,ROUND(SUM($Q39:$AF39),1))))</f>
        <v>100</v>
      </c>
      <c r="AJ39" s="38" t="n">
        <f aca="false">IF(OR(AH39="",AI39=""),"",AI39-AH39)</f>
        <v>0</v>
      </c>
      <c r="AK39" s="39" t="str">
        <f aca="true">IF(AH39="","",IF(OR(Ficha!$C$10="Suspendida",Ficha!$C$10="Cancelada"),Ficha!$C$10,IF(AND(AI39&lt;&gt;"",N(AI39)&gt;=100),"Completada",IF(AND(E39&gt;TODAY(),N(AI39)=0),"Por iniciar",IF(N(AI39)+0.5&lt;AH39,"Retrasada",IF(N(AI39)+0.5&lt;DA39,IF(Reprogramaciones!$K$15&gt;0,"Al día · Sem "&amp;Reprogramaciones!$K$15&amp;" en curso","Al día · en curso"),"A tiempo"))))))</f>
        <v>Completada</v>
      </c>
      <c r="AL39" s="39" t="str">
        <f aca="true">IF(AND(A39="",AND(B39="",C39="",E39="",F39="",COUNT(Q39:AF39)=0)),"",IF(AND(B39="",C39="",E39="",F39="",COUNT(Q39:AF39)=0),"Falta la partida o subpartida",IF(AND(A39&lt;&gt;"",COUNTIF($A$6:$A$305,A39)&gt;1),"Ítem repetido",IF(AND(C39="",E39="",F39="",COUNT(Q39:AF39)=0),"Título de partida",IF(OR(E39="",F39=""),"Faltan fechas",IF(OR(ISTEXT(E39),ISTEXT(F39)),"Fecha escrita como texto: usa dd/mm/aaaa",IF(F39&lt;E39,"Fin antes del inicio",IF(IF($J$2="",FALSE(),OR(E39&lt;$J$2,F39&gt;Reprogramaciones!$T$15+69)),"Fuera de las 10 semanas",IF(ABS(SUM(G39:P39)-100)&gt;0.5,"La meta no suma 100%",IF(ROUND(SUM(Q39:AF39),1)&gt;100.5,"El avance pasa de 100%",IF(MIN(Q39:AF39)&lt;0,"Avance negativo",IF(COUNTA(Q39:AF39)&gt;COUNT(Q39:AF39),"Avance escrito como texto",IF(SUMPRODUCT((Q39:AF39&gt;0)*(Q39:AF39&lt;1))&gt;0,"Avance menor a 1: escribe 50, no 50%",IF(SUMPRODUCT(ISNUMBER(Q39:AF39)*(Reprogramaciones!$K$8:$Z$8&gt;TODAY()))&gt;0,"Avance en semana que aún no llega",IF(AND(N(Reprogramaciones!$E$21)&gt;0,F39&gt;Reprogramaciones!$E$21),"Pasa el fin de la obra: registra una reprogramación",IF(AND(N(Reprogramaciones!$E$21)&gt;0,SUMPRODUCT(ISNUMBER(Q39:AF39)*(Reprogramaciones!$K$8:$Z$8&gt;Reprogramaciones!$E$21))&gt;0),"Avance después del fin de la obra: registra una reprogramación por atraso","OK"))))))))))))))))</f>
        <v>OK</v>
      </c>
      <c r="AM39" s="40" t="str">
        <f aca="false">IF(OR(OR(NOT(AND(ISNUMBER(E39),ISNUMBER(F39))),$J$2=""),1&gt;MAX(1,Reprogramaciones!$U$15)),"",IF(Reprogramaciones!K$12&gt;=7,"",IF(OR(BT39-N(0)&gt;0.05,N(Q39)&gt;0),ROUNDDOWN(ROUND(BT39,6),0)&amp;"%"&amp;IF(CJ39="",""," / "&amp;CJ39&amp;"%"),IF(AND(N(0)&gt;=99.95,CJ39&lt;&gt;"",N(CJ39)&lt;100),"Pend. "&amp;CJ39&amp;"%",""))))</f>
        <v/>
      </c>
      <c r="AN39" s="40" t="str">
        <f aca="false">IF(OR(OR(NOT(AND(ISNUMBER(E39),ISNUMBER(F39))),$J$2=""),2&gt;MAX(1,Reprogramaciones!$U$15)),"",IF(Reprogramaciones!L$12&gt;=7,"",IF(OR(BU39-N(BT39)&gt;0.05,N(R39)&gt;0),ROUNDDOWN(ROUND(BU39,6),0)&amp;"%"&amp;IF(CK39="",""," / "&amp;CK39&amp;"%"),IF(AND(N(BT39)&gt;=99.95,CK39&lt;&gt;"",N(CK39)&lt;100),"Pend. "&amp;CK39&amp;"%",""))))</f>
        <v/>
      </c>
      <c r="AO39" s="40" t="str">
        <f aca="false">IF(OR(OR(NOT(AND(ISNUMBER(E39),ISNUMBER(F39))),$J$2=""),3&gt;MAX(1,Reprogramaciones!$U$15)),"",IF(Reprogramaciones!M$12&gt;=7,"",IF(OR(BV39-N(BU39)&gt;0.05,N(S39)&gt;0),ROUNDDOWN(ROUND(BV39,6),0)&amp;"%"&amp;IF(CL39="",""," / "&amp;CL39&amp;"%"),IF(AND(N(BU39)&gt;=99.95,CL39&lt;&gt;"",N(CL39)&lt;100),"Pend. "&amp;CL39&amp;"%",""))))</f>
        <v/>
      </c>
      <c r="AP39" s="40" t="str">
        <f aca="false">IF(OR(OR(NOT(AND(ISNUMBER(E39),ISNUMBER(F39))),$J$2=""),4&gt;MAX(1,Reprogramaciones!$U$15)),"",IF(Reprogramaciones!N$12&gt;=7,"",IF(OR(BW39-N(BV39)&gt;0.05,N(T39)&gt;0),ROUNDDOWN(ROUND(BW39,6),0)&amp;"%"&amp;IF(CM39="",""," / "&amp;CM39&amp;"%"),IF(AND(N(BV39)&gt;=99.95,CM39&lt;&gt;"",N(CM39)&lt;100),"Pend. "&amp;CM39&amp;"%",""))))</f>
        <v>100% / 100%</v>
      </c>
      <c r="AQ39" s="40" t="str">
        <f aca="false">IF(OR(OR(NOT(AND(ISNUMBER(E39),ISNUMBER(F39))),$J$2=""),5&gt;MAX(1,Reprogramaciones!$U$15)),"",IF(Reprogramaciones!O$12&gt;=7,"",IF(OR(BX39-N(BW39)&gt;0.05,N(U39)&gt;0),ROUNDDOWN(ROUND(BX39,6),0)&amp;"%"&amp;IF(CN39="",""," / "&amp;CN39&amp;"%"),IF(AND(N(BW39)&gt;=99.95,CN39&lt;&gt;"",N(CN39)&lt;100),"Pend. "&amp;CN39&amp;"%",""))))</f>
        <v/>
      </c>
      <c r="AR39" s="40" t="str">
        <f aca="false">IF(OR(OR(NOT(AND(ISNUMBER(E39),ISNUMBER(F39))),$J$2=""),6&gt;MAX(1,Reprogramaciones!$U$15)),"",IF(Reprogramaciones!P$12&gt;=7,"",IF(OR(BY39-N(BX39)&gt;0.05,N(V39)&gt;0),ROUNDDOWN(ROUND(BY39,6),0)&amp;"%"&amp;IF(CO39="",""," / "&amp;CO39&amp;"%"),IF(AND(N(BX39)&gt;=99.95,CO39&lt;&gt;"",N(CO39)&lt;100),"Pend. "&amp;CO39&amp;"%",""))))</f>
        <v/>
      </c>
      <c r="AS39" s="40" t="str">
        <f aca="false">IF(OR(OR(NOT(AND(ISNUMBER(E39),ISNUMBER(F39))),$J$2=""),7&gt;MAX(1,Reprogramaciones!$U$15)),"",IF(Reprogramaciones!Q$12&gt;=7,"",IF(OR(BZ39-N(BY39)&gt;0.05,N(W39)&gt;0),ROUNDDOWN(ROUND(BZ39,6),0)&amp;"%"&amp;IF(CP39="",""," / "&amp;CP39&amp;"%"),IF(AND(N(BY39)&gt;=99.95,CP39&lt;&gt;"",N(CP39)&lt;100),"Pend. "&amp;CP39&amp;"%",""))))</f>
        <v/>
      </c>
      <c r="AT39" s="40" t="str">
        <f aca="false">IF(OR(OR(NOT(AND(ISNUMBER(E39),ISNUMBER(F39))),$J$2=""),8&gt;MAX(1,Reprogramaciones!$U$15)),"",IF(Reprogramaciones!R$12&gt;=7,"",IF(OR(CA39-N(BZ39)&gt;0.05,N(X39)&gt;0),ROUNDDOWN(ROUND(CA39,6),0)&amp;"%"&amp;IF(CQ39="",""," / "&amp;CQ39&amp;"%"),IF(AND(N(BZ39)&gt;=99.95,CQ39&lt;&gt;"",N(CQ39)&lt;100),"Pend. "&amp;CQ39&amp;"%",""))))</f>
        <v/>
      </c>
      <c r="AU39" s="40" t="str">
        <f aca="false">IF(OR(OR(NOT(AND(ISNUMBER(E39),ISNUMBER(F39))),$J$2=""),9&gt;MAX(1,Reprogramaciones!$U$15)),"",IF(Reprogramaciones!S$12&gt;=7,"",IF(OR(CB39-N(CA39)&gt;0.05,N(Y39)&gt;0),ROUNDDOWN(ROUND(CB39,6),0)&amp;"%"&amp;IF(CR39="",""," / "&amp;CR39&amp;"%"),IF(AND(N(CA39)&gt;=99.95,CR39&lt;&gt;"",N(CR39)&lt;100),"Pend. "&amp;CR39&amp;"%",""))))</f>
        <v/>
      </c>
      <c r="AV39" s="40" t="str">
        <f aca="false">IF(OR(OR(NOT(AND(ISNUMBER(E39),ISNUMBER(F39))),$J$2=""),10&gt;MAX(1,Reprogramaciones!$U$15)),"",IF(Reprogramaciones!T$12&gt;=7,"",IF(OR(CC39-N(CB39)&gt;0.05,N(Z39)&gt;0),ROUNDDOWN(ROUND(CC39,6),0)&amp;"%"&amp;IF(CS39="",""," / "&amp;CS39&amp;"%"),IF(AND(N(CB39)&gt;=99.95,CS39&lt;&gt;"",N(CS39)&lt;100),"Pend. "&amp;CS39&amp;"%",""))))</f>
        <v/>
      </c>
      <c r="AW39" s="40" t="str">
        <f aca="false">IF(OR(OR(NOT(AND(ISNUMBER(E39),ISNUMBER(F39))),$J$2=""),11&gt;MAX(1,Reprogramaciones!$U$15)),"",IF(Reprogramaciones!U$12&gt;=7,"",IF(OR(CD39-N(CC39)&gt;0.05,N(AA39)&gt;0),ROUNDDOWN(ROUND(CD39,6),0)&amp;"%"&amp;IF(CT39="",""," / "&amp;CT39&amp;"%"),IF(AND(N(CC39)&gt;=99.95,CT39&lt;&gt;"",N(CT39)&lt;100),"Pend. "&amp;CT39&amp;"%",""))))</f>
        <v/>
      </c>
      <c r="AX39" s="40" t="str">
        <f aca="false">IF(OR(OR(NOT(AND(ISNUMBER(E39),ISNUMBER(F39))),$J$2=""),12&gt;MAX(1,Reprogramaciones!$U$15)),"",IF(Reprogramaciones!V$12&gt;=7,"",IF(OR(CE39-N(CD39)&gt;0.05,N(AB39)&gt;0),ROUNDDOWN(ROUND(CE39,6),0)&amp;"%"&amp;IF(CU39="",""," / "&amp;CU39&amp;"%"),IF(AND(N(CD39)&gt;=99.95,CU39&lt;&gt;"",N(CU39)&lt;100),"Pend. "&amp;CU39&amp;"%",""))))</f>
        <v/>
      </c>
      <c r="AY39" s="40" t="str">
        <f aca="false">IF(OR(OR(NOT(AND(ISNUMBER(E39),ISNUMBER(F39))),$J$2=""),13&gt;MAX(1,Reprogramaciones!$U$15)),"",IF(Reprogramaciones!W$12&gt;=7,"",IF(OR(CF39-N(CE39)&gt;0.05,N(AC39)&gt;0),ROUNDDOWN(ROUND(CF39,6),0)&amp;"%"&amp;IF(CV39="",""," / "&amp;CV39&amp;"%"),IF(AND(N(CE39)&gt;=99.95,CV39&lt;&gt;"",N(CV39)&lt;100),"Pend. "&amp;CV39&amp;"%",""))))</f>
        <v/>
      </c>
      <c r="AZ39" s="40" t="str">
        <f aca="false">IF(OR(OR(NOT(AND(ISNUMBER(E39),ISNUMBER(F39))),$J$2=""),14&gt;MAX(1,Reprogramaciones!$U$15)),"",IF(Reprogramaciones!X$12&gt;=7,"",IF(OR(CG39-N(CF39)&gt;0.05,N(AD39)&gt;0),ROUNDDOWN(ROUND(CG39,6),0)&amp;"%"&amp;IF(CW39="",""," / "&amp;CW39&amp;"%"),IF(AND(N(CF39)&gt;=99.95,CW39&lt;&gt;"",N(CW39)&lt;100),"Pend. "&amp;CW39&amp;"%",""))))</f>
        <v/>
      </c>
      <c r="BA39" s="40" t="str">
        <f aca="false">IF(OR(OR(NOT(AND(ISNUMBER(E39),ISNUMBER(F39))),$J$2=""),15&gt;MAX(1,Reprogramaciones!$U$15)),"",IF(Reprogramaciones!Y$12&gt;=7,"",IF(OR(CH39-N(CG39)&gt;0.05,N(AE39)&gt;0),ROUNDDOWN(ROUND(CH39,6),0)&amp;"%"&amp;IF(CX39="",""," / "&amp;CX39&amp;"%"),IF(AND(N(CG39)&gt;=99.95,CX39&lt;&gt;"",N(CX39)&lt;100),"Pend. "&amp;CX39&amp;"%",""))))</f>
        <v/>
      </c>
      <c r="BB39" s="40" t="str">
        <f aca="false">IF(OR(OR(NOT(AND(ISNUMBER(E39),ISNUMBER(F39))),$J$2=""),16&gt;MAX(1,Reprogramaciones!$U$15)),"",IF(Reprogramaciones!Z$12&gt;=7,"",IF(OR(CI39-N(CH39)&gt;0.05,N(AF39)&gt;0),ROUNDDOWN(ROUND(CI39,6),0)&amp;"%"&amp;IF(CY39="",""," / "&amp;CY39&amp;"%"),IF(AND(N(CH39)&gt;=99.95,CY39&lt;&gt;"",N(CY39)&lt;100),"Pend. "&amp;CY39&amp;"%",""))))</f>
        <v/>
      </c>
      <c r="BC39" s="31" t="n">
        <f aca="false">IF(AND(ISNUMBER(E39),ISNUMBER(F39)),MAX(1,NETWORKDAYS.INTL(E39,F39,11)),0)</f>
        <v>4</v>
      </c>
      <c r="BD39" s="1" t="n">
        <f aca="false">IF(OR(NOT(AND(ISNUMBER(E39),ISNUMBER(F39))),$J$2=""),"",MIN(100,ROUND(SUM($G39:G39),1)))</f>
        <v>0</v>
      </c>
      <c r="BE39" s="1" t="n">
        <f aca="false">IF(OR(NOT(AND(ISNUMBER(E39),ISNUMBER(F39))),$J$2=""),"",MIN(100,ROUND(SUM($G39:H39),1)))</f>
        <v>0</v>
      </c>
      <c r="BF39" s="1" t="n">
        <f aca="false">IF(OR(NOT(AND(ISNUMBER(E39),ISNUMBER(F39))),$J$2=""),"",MIN(100,ROUND(SUM($G39:I39),1)))</f>
        <v>0</v>
      </c>
      <c r="BG39" s="1" t="n">
        <f aca="false">IF(OR(NOT(AND(ISNUMBER(E39),ISNUMBER(F39))),$J$2=""),"",MIN(100,ROUND(SUM($G39:J39),1)))</f>
        <v>100</v>
      </c>
      <c r="BH39" s="1" t="n">
        <f aca="false">IF(OR(NOT(AND(ISNUMBER(E39),ISNUMBER(F39))),$J$2=""),"",MIN(100,ROUND(SUM($G39:K39),1)))</f>
        <v>100</v>
      </c>
      <c r="BI39" s="1" t="n">
        <f aca="false">IF(OR(NOT(AND(ISNUMBER(E39),ISNUMBER(F39))),$J$2=""),"",MIN(100,ROUND(SUM($G39:L39),1)))</f>
        <v>100</v>
      </c>
      <c r="BJ39" s="1" t="n">
        <f aca="false">IF(OR(NOT(AND(ISNUMBER(E39),ISNUMBER(F39))),$J$2=""),"",MIN(100,ROUND(SUM($G39:M39),1)))</f>
        <v>100</v>
      </c>
      <c r="BK39" s="1" t="n">
        <f aca="false">IF(OR(NOT(AND(ISNUMBER(E39),ISNUMBER(F39))),$J$2=""),"",MIN(100,ROUND(SUM($G39:N39),1)))</f>
        <v>100</v>
      </c>
      <c r="BL39" s="1" t="n">
        <f aca="false">IF(OR(NOT(AND(ISNUMBER(E39),ISNUMBER(F39))),$J$2=""),"",MIN(100,ROUND(SUM($G39:O39),1)))</f>
        <v>100</v>
      </c>
      <c r="BM39" s="1" t="n">
        <f aca="false">IF(OR(NOT(AND(ISNUMBER(E39),ISNUMBER(F39))),$J$2=""),"",MIN(100,ROUND(SUM($G39:P39),1)))</f>
        <v>100</v>
      </c>
      <c r="BN39" s="1" t="n">
        <f aca="false">IF(OR(NOT(AND(ISNUMBER(E39),ISNUMBER(F39))),$J$2=""),"",MIN(100,ROUND(SUM($G39:P39),1)))</f>
        <v>100</v>
      </c>
      <c r="BO39" s="1" t="n">
        <f aca="false">IF(OR(NOT(AND(ISNUMBER(E39),ISNUMBER(F39))),$J$2=""),"",MIN(100,ROUND(SUM($G39:P39),1)))</f>
        <v>100</v>
      </c>
      <c r="BP39" s="1" t="n">
        <f aca="false">IF(OR(NOT(AND(ISNUMBER(E39),ISNUMBER(F39))),$J$2=""),"",MIN(100,ROUND(SUM($G39:P39),1)))</f>
        <v>100</v>
      </c>
      <c r="BQ39" s="1" t="n">
        <f aca="false">IF(OR(NOT(AND(ISNUMBER(E39),ISNUMBER(F39))),$J$2=""),"",MIN(100,ROUND(SUM($G39:P39),1)))</f>
        <v>100</v>
      </c>
      <c r="BR39" s="1" t="n">
        <f aca="false">IF(OR(NOT(AND(ISNUMBER(E39),ISNUMBER(F39))),$J$2=""),"",MIN(100,ROUND(SUM($G39:P39),1)))</f>
        <v>100</v>
      </c>
      <c r="BS39" s="1" t="n">
        <f aca="false">IF(OR(NOT(AND(ISNUMBER(E39),ISNUMBER(F39))),$J$2=""),"",MIN(100,ROUND(SUM($G39:P39),1)))</f>
        <v>100</v>
      </c>
      <c r="BT39" s="1" t="n">
        <f aca="false">IF(OR(NOT(AND(ISNUMBER(E39),ISNUMBER(F39))),$J$2=""),"",IF(Reprogramaciones!K$13&lt;Reprogramaciones!$T$15,0,IF(Reprogramaciones!K$14&gt;10,MIN(100,SUM($G39:$P39)),MIN(100,SUMPRODUCT((COLUMN($G39:$P39)-COLUMN($G39)+1&lt;Reprogramaciones!K$14)*$G39:$P39)+N(INDEX($G39:$P39,1,Reprogramaciones!K$14))*IF(Reprogramaciones!K$13&gt;=(Reprogramaciones!$T$15+7*(Reprogramaciones!K$14-1))+6,1,IF(MAX(0,NETWORKDAYS.INTL(MAX(E39,(Reprogramaciones!$T$15+7*(Reprogramaciones!K$14-1))),MIN(F39,(Reprogramaciones!$T$15+7*(Reprogramaciones!K$14-1))+6),11))=0,0,MAX(0,NETWORKDAYS.INTL(MAX(E39,(Reprogramaciones!$T$15+7*(Reprogramaciones!K$14-1))),MIN(F39,Reprogramaciones!K$13),11))/MAX(0,NETWORKDAYS.INTL(MAX(E39,(Reprogramaciones!$T$15+7*(Reprogramaciones!K$14-1))),MIN(F39,(Reprogramaciones!$T$15+7*(Reprogramaciones!K$14-1))+6),11))))))))</f>
        <v>0</v>
      </c>
      <c r="BU39" s="1" t="n">
        <f aca="false">IF(OR(NOT(AND(ISNUMBER(E39),ISNUMBER(F39))),$J$2=""),"",IF(Reprogramaciones!L$13&lt;Reprogramaciones!$T$15,0,IF(Reprogramaciones!L$14&gt;10,MIN(100,SUM($G39:$P39)),MIN(100,SUMPRODUCT((COLUMN($G39:$P39)-COLUMN($G39)+1&lt;Reprogramaciones!L$14)*$G39:$P39)+N(INDEX($G39:$P39,1,Reprogramaciones!L$14))*IF(Reprogramaciones!L$13&gt;=(Reprogramaciones!$T$15+7*(Reprogramaciones!L$14-1))+6,1,IF(MAX(0,NETWORKDAYS.INTL(MAX(E39,(Reprogramaciones!$T$15+7*(Reprogramaciones!L$14-1))),MIN(F39,(Reprogramaciones!$T$15+7*(Reprogramaciones!L$14-1))+6),11))=0,0,MAX(0,NETWORKDAYS.INTL(MAX(E39,(Reprogramaciones!$T$15+7*(Reprogramaciones!L$14-1))),MIN(F39,Reprogramaciones!L$13),11))/MAX(0,NETWORKDAYS.INTL(MAX(E39,(Reprogramaciones!$T$15+7*(Reprogramaciones!L$14-1))),MIN(F39,(Reprogramaciones!$T$15+7*(Reprogramaciones!L$14-1))+6),11))))))))</f>
        <v>0</v>
      </c>
      <c r="BV39" s="1" t="n">
        <f aca="false">IF(OR(NOT(AND(ISNUMBER(E39),ISNUMBER(F39))),$J$2=""),"",IF(Reprogramaciones!M$13&lt;Reprogramaciones!$T$15,0,IF(Reprogramaciones!M$14&gt;10,MIN(100,SUM($G39:$P39)),MIN(100,SUMPRODUCT((COLUMN($G39:$P39)-COLUMN($G39)+1&lt;Reprogramaciones!M$14)*$G39:$P39)+N(INDEX($G39:$P39,1,Reprogramaciones!M$14))*IF(Reprogramaciones!M$13&gt;=(Reprogramaciones!$T$15+7*(Reprogramaciones!M$14-1))+6,1,IF(MAX(0,NETWORKDAYS.INTL(MAX(E39,(Reprogramaciones!$T$15+7*(Reprogramaciones!M$14-1))),MIN(F39,(Reprogramaciones!$T$15+7*(Reprogramaciones!M$14-1))+6),11))=0,0,MAX(0,NETWORKDAYS.INTL(MAX(E39,(Reprogramaciones!$T$15+7*(Reprogramaciones!M$14-1))),MIN(F39,Reprogramaciones!M$13),11))/MAX(0,NETWORKDAYS.INTL(MAX(E39,(Reprogramaciones!$T$15+7*(Reprogramaciones!M$14-1))),MIN(F39,(Reprogramaciones!$T$15+7*(Reprogramaciones!M$14-1))+6),11))))))))</f>
        <v>0</v>
      </c>
      <c r="BW39" s="1" t="n">
        <f aca="false">IF(OR(NOT(AND(ISNUMBER(E39),ISNUMBER(F39))),$J$2=""),"",IF(Reprogramaciones!N$13&lt;Reprogramaciones!$T$15,0,IF(Reprogramaciones!N$14&gt;10,MIN(100,SUM($G39:$P39)),MIN(100,SUMPRODUCT((COLUMN($G39:$P39)-COLUMN($G39)+1&lt;Reprogramaciones!N$14)*$G39:$P39)+N(INDEX($G39:$P39,1,Reprogramaciones!N$14))*IF(Reprogramaciones!N$13&gt;=(Reprogramaciones!$T$15+7*(Reprogramaciones!N$14-1))+6,1,IF(MAX(0,NETWORKDAYS.INTL(MAX(E39,(Reprogramaciones!$T$15+7*(Reprogramaciones!N$14-1))),MIN(F39,(Reprogramaciones!$T$15+7*(Reprogramaciones!N$14-1))+6),11))=0,0,MAX(0,NETWORKDAYS.INTL(MAX(E39,(Reprogramaciones!$T$15+7*(Reprogramaciones!N$14-1))),MIN(F39,Reprogramaciones!N$13),11))/MAX(0,NETWORKDAYS.INTL(MAX(E39,(Reprogramaciones!$T$15+7*(Reprogramaciones!N$14-1))),MIN(F39,(Reprogramaciones!$T$15+7*(Reprogramaciones!N$14-1))+6),11))))))))</f>
        <v>100</v>
      </c>
      <c r="BX39" s="1" t="n">
        <f aca="false">IF(OR(NOT(AND(ISNUMBER(E39),ISNUMBER(F39))),$J$2=""),"",IF(Reprogramaciones!O$13&lt;Reprogramaciones!$T$15,0,IF(Reprogramaciones!O$14&gt;10,MIN(100,SUM($G39:$P39)),MIN(100,SUMPRODUCT((COLUMN($G39:$P39)-COLUMN($G39)+1&lt;Reprogramaciones!O$14)*$G39:$P39)+N(INDEX($G39:$P39,1,Reprogramaciones!O$14))*IF(Reprogramaciones!O$13&gt;=(Reprogramaciones!$T$15+7*(Reprogramaciones!O$14-1))+6,1,IF(MAX(0,NETWORKDAYS.INTL(MAX(E39,(Reprogramaciones!$T$15+7*(Reprogramaciones!O$14-1))),MIN(F39,(Reprogramaciones!$T$15+7*(Reprogramaciones!O$14-1))+6),11))=0,0,MAX(0,NETWORKDAYS.INTL(MAX(E39,(Reprogramaciones!$T$15+7*(Reprogramaciones!O$14-1))),MIN(F39,Reprogramaciones!O$13),11))/MAX(0,NETWORKDAYS.INTL(MAX(E39,(Reprogramaciones!$T$15+7*(Reprogramaciones!O$14-1))),MIN(F39,(Reprogramaciones!$T$15+7*(Reprogramaciones!O$14-1))+6),11))))))))</f>
        <v>100</v>
      </c>
      <c r="BY39" s="1" t="n">
        <f aca="false">IF(OR(NOT(AND(ISNUMBER(E39),ISNUMBER(F39))),$J$2=""),"",IF(Reprogramaciones!P$13&lt;Reprogramaciones!$T$15,0,IF(Reprogramaciones!P$14&gt;10,MIN(100,SUM($G39:$P39)),MIN(100,SUMPRODUCT((COLUMN($G39:$P39)-COLUMN($G39)+1&lt;Reprogramaciones!P$14)*$G39:$P39)+N(INDEX($G39:$P39,1,Reprogramaciones!P$14))*IF(Reprogramaciones!P$13&gt;=(Reprogramaciones!$T$15+7*(Reprogramaciones!P$14-1))+6,1,IF(MAX(0,NETWORKDAYS.INTL(MAX(E39,(Reprogramaciones!$T$15+7*(Reprogramaciones!P$14-1))),MIN(F39,(Reprogramaciones!$T$15+7*(Reprogramaciones!P$14-1))+6),11))=0,0,MAX(0,NETWORKDAYS.INTL(MAX(E39,(Reprogramaciones!$T$15+7*(Reprogramaciones!P$14-1))),MIN(F39,Reprogramaciones!P$13),11))/MAX(0,NETWORKDAYS.INTL(MAX(E39,(Reprogramaciones!$T$15+7*(Reprogramaciones!P$14-1))),MIN(F39,(Reprogramaciones!$T$15+7*(Reprogramaciones!P$14-1))+6),11))))))))</f>
        <v>100</v>
      </c>
      <c r="BZ39" s="1" t="n">
        <f aca="false">IF(OR(NOT(AND(ISNUMBER(E39),ISNUMBER(F39))),$J$2=""),"",IF(Reprogramaciones!Q$13&lt;Reprogramaciones!$T$15,0,IF(Reprogramaciones!Q$14&gt;10,MIN(100,SUM($G39:$P39)),MIN(100,SUMPRODUCT((COLUMN($G39:$P39)-COLUMN($G39)+1&lt;Reprogramaciones!Q$14)*$G39:$P39)+N(INDEX($G39:$P39,1,Reprogramaciones!Q$14))*IF(Reprogramaciones!Q$13&gt;=(Reprogramaciones!$T$15+7*(Reprogramaciones!Q$14-1))+6,1,IF(MAX(0,NETWORKDAYS.INTL(MAX(E39,(Reprogramaciones!$T$15+7*(Reprogramaciones!Q$14-1))),MIN(F39,(Reprogramaciones!$T$15+7*(Reprogramaciones!Q$14-1))+6),11))=0,0,MAX(0,NETWORKDAYS.INTL(MAX(E39,(Reprogramaciones!$T$15+7*(Reprogramaciones!Q$14-1))),MIN(F39,Reprogramaciones!Q$13),11))/MAX(0,NETWORKDAYS.INTL(MAX(E39,(Reprogramaciones!$T$15+7*(Reprogramaciones!Q$14-1))),MIN(F39,(Reprogramaciones!$T$15+7*(Reprogramaciones!Q$14-1))+6),11))))))))</f>
        <v>100</v>
      </c>
      <c r="CA39" s="1" t="n">
        <f aca="false">IF(OR(NOT(AND(ISNUMBER(E39),ISNUMBER(F39))),$J$2=""),"",IF(Reprogramaciones!R$13&lt;Reprogramaciones!$T$15,0,IF(Reprogramaciones!R$14&gt;10,MIN(100,SUM($G39:$P39)),MIN(100,SUMPRODUCT((COLUMN($G39:$P39)-COLUMN($G39)+1&lt;Reprogramaciones!R$14)*$G39:$P39)+N(INDEX($G39:$P39,1,Reprogramaciones!R$14))*IF(Reprogramaciones!R$13&gt;=(Reprogramaciones!$T$15+7*(Reprogramaciones!R$14-1))+6,1,IF(MAX(0,NETWORKDAYS.INTL(MAX(E39,(Reprogramaciones!$T$15+7*(Reprogramaciones!R$14-1))),MIN(F39,(Reprogramaciones!$T$15+7*(Reprogramaciones!R$14-1))+6),11))=0,0,MAX(0,NETWORKDAYS.INTL(MAX(E39,(Reprogramaciones!$T$15+7*(Reprogramaciones!R$14-1))),MIN(F39,Reprogramaciones!R$13),11))/MAX(0,NETWORKDAYS.INTL(MAX(E39,(Reprogramaciones!$T$15+7*(Reprogramaciones!R$14-1))),MIN(F39,(Reprogramaciones!$T$15+7*(Reprogramaciones!R$14-1))+6),11))))))))</f>
        <v>100</v>
      </c>
      <c r="CB39" s="1" t="n">
        <f aca="false">IF(OR(NOT(AND(ISNUMBER(E39),ISNUMBER(F39))),$J$2=""),"",IF(Reprogramaciones!S$13&lt;Reprogramaciones!$T$15,0,IF(Reprogramaciones!S$14&gt;10,MIN(100,SUM($G39:$P39)),MIN(100,SUMPRODUCT((COLUMN($G39:$P39)-COLUMN($G39)+1&lt;Reprogramaciones!S$14)*$G39:$P39)+N(INDEX($G39:$P39,1,Reprogramaciones!S$14))*IF(Reprogramaciones!S$13&gt;=(Reprogramaciones!$T$15+7*(Reprogramaciones!S$14-1))+6,1,IF(MAX(0,NETWORKDAYS.INTL(MAX(E39,(Reprogramaciones!$T$15+7*(Reprogramaciones!S$14-1))),MIN(F39,(Reprogramaciones!$T$15+7*(Reprogramaciones!S$14-1))+6),11))=0,0,MAX(0,NETWORKDAYS.INTL(MAX(E39,(Reprogramaciones!$T$15+7*(Reprogramaciones!S$14-1))),MIN(F39,Reprogramaciones!S$13),11))/MAX(0,NETWORKDAYS.INTL(MAX(E39,(Reprogramaciones!$T$15+7*(Reprogramaciones!S$14-1))),MIN(F39,(Reprogramaciones!$T$15+7*(Reprogramaciones!S$14-1))+6),11))))))))</f>
        <v>100</v>
      </c>
      <c r="CC39" s="1" t="n">
        <f aca="false">IF(OR(NOT(AND(ISNUMBER(E39),ISNUMBER(F39))),$J$2=""),"",IF(Reprogramaciones!T$13&lt;Reprogramaciones!$T$15,0,IF(Reprogramaciones!T$14&gt;10,MIN(100,SUM($G39:$P39)),MIN(100,SUMPRODUCT((COLUMN($G39:$P39)-COLUMN($G39)+1&lt;Reprogramaciones!T$14)*$G39:$P39)+N(INDEX($G39:$P39,1,Reprogramaciones!T$14))*IF(Reprogramaciones!T$13&gt;=(Reprogramaciones!$T$15+7*(Reprogramaciones!T$14-1))+6,1,IF(MAX(0,NETWORKDAYS.INTL(MAX(E39,(Reprogramaciones!$T$15+7*(Reprogramaciones!T$14-1))),MIN(F39,(Reprogramaciones!$T$15+7*(Reprogramaciones!T$14-1))+6),11))=0,0,MAX(0,NETWORKDAYS.INTL(MAX(E39,(Reprogramaciones!$T$15+7*(Reprogramaciones!T$14-1))),MIN(F39,Reprogramaciones!T$13),11))/MAX(0,NETWORKDAYS.INTL(MAX(E39,(Reprogramaciones!$T$15+7*(Reprogramaciones!T$14-1))),MIN(F39,(Reprogramaciones!$T$15+7*(Reprogramaciones!T$14-1))+6),11))))))))</f>
        <v>100</v>
      </c>
      <c r="CD39" s="1" t="n">
        <f aca="false">IF(OR(NOT(AND(ISNUMBER(E39),ISNUMBER(F39))),$J$2=""),"",IF(Reprogramaciones!U$13&lt;Reprogramaciones!$T$15,0,IF(Reprogramaciones!U$14&gt;10,MIN(100,SUM($G39:$P39)),MIN(100,SUMPRODUCT((COLUMN($G39:$P39)-COLUMN($G39)+1&lt;Reprogramaciones!U$14)*$G39:$P39)+N(INDEX($G39:$P39,1,Reprogramaciones!U$14))*IF(Reprogramaciones!U$13&gt;=(Reprogramaciones!$T$15+7*(Reprogramaciones!U$14-1))+6,1,IF(MAX(0,NETWORKDAYS.INTL(MAX(E39,(Reprogramaciones!$T$15+7*(Reprogramaciones!U$14-1))),MIN(F39,(Reprogramaciones!$T$15+7*(Reprogramaciones!U$14-1))+6),11))=0,0,MAX(0,NETWORKDAYS.INTL(MAX(E39,(Reprogramaciones!$T$15+7*(Reprogramaciones!U$14-1))),MIN(F39,Reprogramaciones!U$13),11))/MAX(0,NETWORKDAYS.INTL(MAX(E39,(Reprogramaciones!$T$15+7*(Reprogramaciones!U$14-1))),MIN(F39,(Reprogramaciones!$T$15+7*(Reprogramaciones!U$14-1))+6),11))))))))</f>
        <v>100</v>
      </c>
      <c r="CE39" s="1" t="n">
        <f aca="false">IF(OR(NOT(AND(ISNUMBER(E39),ISNUMBER(F39))),$J$2=""),"",IF(Reprogramaciones!V$13&lt;Reprogramaciones!$T$15,0,IF(Reprogramaciones!V$14&gt;10,MIN(100,SUM($G39:$P39)),MIN(100,SUMPRODUCT((COLUMN($G39:$P39)-COLUMN($G39)+1&lt;Reprogramaciones!V$14)*$G39:$P39)+N(INDEX($G39:$P39,1,Reprogramaciones!V$14))*IF(Reprogramaciones!V$13&gt;=(Reprogramaciones!$T$15+7*(Reprogramaciones!V$14-1))+6,1,IF(MAX(0,NETWORKDAYS.INTL(MAX(E39,(Reprogramaciones!$T$15+7*(Reprogramaciones!V$14-1))),MIN(F39,(Reprogramaciones!$T$15+7*(Reprogramaciones!V$14-1))+6),11))=0,0,MAX(0,NETWORKDAYS.INTL(MAX(E39,(Reprogramaciones!$T$15+7*(Reprogramaciones!V$14-1))),MIN(F39,Reprogramaciones!V$13),11))/MAX(0,NETWORKDAYS.INTL(MAX(E39,(Reprogramaciones!$T$15+7*(Reprogramaciones!V$14-1))),MIN(F39,(Reprogramaciones!$T$15+7*(Reprogramaciones!V$14-1))+6),11))))))))</f>
        <v>100</v>
      </c>
      <c r="CF39" s="1" t="n">
        <f aca="false">IF(OR(NOT(AND(ISNUMBER(E39),ISNUMBER(F39))),$J$2=""),"",IF(Reprogramaciones!W$13&lt;Reprogramaciones!$T$15,0,IF(Reprogramaciones!W$14&gt;10,MIN(100,SUM($G39:$P39)),MIN(100,SUMPRODUCT((COLUMN($G39:$P39)-COLUMN($G39)+1&lt;Reprogramaciones!W$14)*$G39:$P39)+N(INDEX($G39:$P39,1,Reprogramaciones!W$14))*IF(Reprogramaciones!W$13&gt;=(Reprogramaciones!$T$15+7*(Reprogramaciones!W$14-1))+6,1,IF(MAX(0,NETWORKDAYS.INTL(MAX(E39,(Reprogramaciones!$T$15+7*(Reprogramaciones!W$14-1))),MIN(F39,(Reprogramaciones!$T$15+7*(Reprogramaciones!W$14-1))+6),11))=0,0,MAX(0,NETWORKDAYS.INTL(MAX(E39,(Reprogramaciones!$T$15+7*(Reprogramaciones!W$14-1))),MIN(F39,Reprogramaciones!W$13),11))/MAX(0,NETWORKDAYS.INTL(MAX(E39,(Reprogramaciones!$T$15+7*(Reprogramaciones!W$14-1))),MIN(F39,(Reprogramaciones!$T$15+7*(Reprogramaciones!W$14-1))+6),11))))))))</f>
        <v>100</v>
      </c>
      <c r="CG39" s="1" t="n">
        <f aca="false">IF(OR(NOT(AND(ISNUMBER(E39),ISNUMBER(F39))),$J$2=""),"",IF(Reprogramaciones!X$13&lt;Reprogramaciones!$T$15,0,IF(Reprogramaciones!X$14&gt;10,MIN(100,SUM($G39:$P39)),MIN(100,SUMPRODUCT((COLUMN($G39:$P39)-COLUMN($G39)+1&lt;Reprogramaciones!X$14)*$G39:$P39)+N(INDEX($G39:$P39,1,Reprogramaciones!X$14))*IF(Reprogramaciones!X$13&gt;=(Reprogramaciones!$T$15+7*(Reprogramaciones!X$14-1))+6,1,IF(MAX(0,NETWORKDAYS.INTL(MAX(E39,(Reprogramaciones!$T$15+7*(Reprogramaciones!X$14-1))),MIN(F39,(Reprogramaciones!$T$15+7*(Reprogramaciones!X$14-1))+6),11))=0,0,MAX(0,NETWORKDAYS.INTL(MAX(E39,(Reprogramaciones!$T$15+7*(Reprogramaciones!X$14-1))),MIN(F39,Reprogramaciones!X$13),11))/MAX(0,NETWORKDAYS.INTL(MAX(E39,(Reprogramaciones!$T$15+7*(Reprogramaciones!X$14-1))),MIN(F39,(Reprogramaciones!$T$15+7*(Reprogramaciones!X$14-1))+6),11))))))))</f>
        <v>100</v>
      </c>
      <c r="CH39" s="1" t="n">
        <f aca="false">IF(OR(NOT(AND(ISNUMBER(E39),ISNUMBER(F39))),$J$2=""),"",IF(Reprogramaciones!Y$13&lt;Reprogramaciones!$T$15,0,IF(Reprogramaciones!Y$14&gt;10,MIN(100,SUM($G39:$P39)),MIN(100,SUMPRODUCT((COLUMN($G39:$P39)-COLUMN($G39)+1&lt;Reprogramaciones!Y$14)*$G39:$P39)+N(INDEX($G39:$P39,1,Reprogramaciones!Y$14))*IF(Reprogramaciones!Y$13&gt;=(Reprogramaciones!$T$15+7*(Reprogramaciones!Y$14-1))+6,1,IF(MAX(0,NETWORKDAYS.INTL(MAX(E39,(Reprogramaciones!$T$15+7*(Reprogramaciones!Y$14-1))),MIN(F39,(Reprogramaciones!$T$15+7*(Reprogramaciones!Y$14-1))+6),11))=0,0,MAX(0,NETWORKDAYS.INTL(MAX(E39,(Reprogramaciones!$T$15+7*(Reprogramaciones!Y$14-1))),MIN(F39,Reprogramaciones!Y$13),11))/MAX(0,NETWORKDAYS.INTL(MAX(E39,(Reprogramaciones!$T$15+7*(Reprogramaciones!Y$14-1))),MIN(F39,(Reprogramaciones!$T$15+7*(Reprogramaciones!Y$14-1))+6),11))))))))</f>
        <v>100</v>
      </c>
      <c r="CI39" s="1" t="n">
        <f aca="false">IF(OR(NOT(AND(ISNUMBER(E39),ISNUMBER(F39))),$J$2=""),"",IF(Reprogramaciones!Z$13&lt;Reprogramaciones!$T$15,0,IF(Reprogramaciones!Z$14&gt;10,MIN(100,SUM($G39:$P39)),MIN(100,SUMPRODUCT((COLUMN($G39:$P39)-COLUMN($G39)+1&lt;Reprogramaciones!Z$14)*$G39:$P39)+N(INDEX($G39:$P39,1,Reprogramaciones!Z$14))*IF(Reprogramaciones!Z$13&gt;=(Reprogramaciones!$T$15+7*(Reprogramaciones!Z$14-1))+6,1,IF(MAX(0,NETWORKDAYS.INTL(MAX(E39,(Reprogramaciones!$T$15+7*(Reprogramaciones!Z$14-1))),MIN(F39,(Reprogramaciones!$T$15+7*(Reprogramaciones!Z$14-1))+6),11))=0,0,MAX(0,NETWORKDAYS.INTL(MAX(E39,(Reprogramaciones!$T$15+7*(Reprogramaciones!Z$14-1))),MIN(F39,Reprogramaciones!Z$13),11))/MAX(0,NETWORKDAYS.INTL(MAX(E39,(Reprogramaciones!$T$15+7*(Reprogramaciones!Z$14-1))),MIN(F39,(Reprogramaciones!$T$15+7*(Reprogramaciones!Z$14-1))+6),11))))))))</f>
        <v>100</v>
      </c>
      <c r="CJ39" s="1" t="n">
        <f aca="false">IF(OR(OR(NOT(AND(ISNUMBER(E39),ISNUMBER(F39))),$J$2=""),1&gt;Reprogramaciones!$K$16),"",IF(ROUND(SUM($Q39:Q39),1)&gt;=99.5,100,MIN(100,ROUND(SUM($Q39:Q39),1))))</f>
        <v>0</v>
      </c>
      <c r="CK39" s="1" t="n">
        <f aca="false">IF(OR(OR(NOT(AND(ISNUMBER(E39),ISNUMBER(F39))),$J$2=""),2&gt;Reprogramaciones!$K$16),"",IF(ROUND(SUM($Q39:R39),1)&gt;=99.5,100,MIN(100,ROUND(SUM($Q39:R39),1))))</f>
        <v>0</v>
      </c>
      <c r="CL39" s="1" t="n">
        <f aca="false">IF(OR(OR(NOT(AND(ISNUMBER(E39),ISNUMBER(F39))),$J$2=""),3&gt;Reprogramaciones!$K$16),"",IF(ROUND(SUM($Q39:S39),1)&gt;=99.5,100,MIN(100,ROUND(SUM($Q39:S39),1))))</f>
        <v>0</v>
      </c>
      <c r="CM39" s="1" t="n">
        <f aca="false">IF(OR(OR(NOT(AND(ISNUMBER(E39),ISNUMBER(F39))),$J$2=""),4&gt;Reprogramaciones!$K$16),"",IF(ROUND(SUM($Q39:T39),1)&gt;=99.5,100,MIN(100,ROUND(SUM($Q39:T39),1))))</f>
        <v>100</v>
      </c>
      <c r="CN39" s="1" t="n">
        <f aca="false">IF(OR(OR(NOT(AND(ISNUMBER(E39),ISNUMBER(F39))),$J$2=""),5&gt;Reprogramaciones!$K$16),"",IF(ROUND(SUM($Q39:U39),1)&gt;=99.5,100,MIN(100,ROUND(SUM($Q39:U39),1))))</f>
        <v>100</v>
      </c>
      <c r="CO39" s="1" t="str">
        <f aca="false">IF(OR(OR(NOT(AND(ISNUMBER(E39),ISNUMBER(F39))),$J$2=""),6&gt;Reprogramaciones!$K$16),"",IF(ROUND(SUM($Q39:V39),1)&gt;=99.5,100,MIN(100,ROUND(SUM($Q39:V39),1))))</f>
        <v/>
      </c>
      <c r="CP39" s="1" t="str">
        <f aca="false">IF(OR(OR(NOT(AND(ISNUMBER(E39),ISNUMBER(F39))),$J$2=""),7&gt;Reprogramaciones!$K$16),"",IF(ROUND(SUM($Q39:W39),1)&gt;=99.5,100,MIN(100,ROUND(SUM($Q39:W39),1))))</f>
        <v/>
      </c>
      <c r="CQ39" s="1" t="str">
        <f aca="false">IF(OR(OR(NOT(AND(ISNUMBER(E39),ISNUMBER(F39))),$J$2=""),8&gt;Reprogramaciones!$K$16),"",IF(ROUND(SUM($Q39:X39),1)&gt;=99.5,100,MIN(100,ROUND(SUM($Q39:X39),1))))</f>
        <v/>
      </c>
      <c r="CR39" s="1" t="str">
        <f aca="false">IF(OR(OR(NOT(AND(ISNUMBER(E39),ISNUMBER(F39))),$J$2=""),9&gt;Reprogramaciones!$K$16),"",IF(ROUND(SUM($Q39:Y39),1)&gt;=99.5,100,MIN(100,ROUND(SUM($Q39:Y39),1))))</f>
        <v/>
      </c>
      <c r="CS39" s="1" t="str">
        <f aca="false">IF(OR(OR(NOT(AND(ISNUMBER(E39),ISNUMBER(F39))),$J$2=""),10&gt;Reprogramaciones!$K$16),"",IF(ROUND(SUM($Q39:Z39),1)&gt;=99.5,100,MIN(100,ROUND(SUM($Q39:Z39),1))))</f>
        <v/>
      </c>
      <c r="CT39" s="1" t="str">
        <f aca="false">IF(OR(OR(NOT(AND(ISNUMBER(E39),ISNUMBER(F39))),$J$2=""),11&gt;Reprogramaciones!$K$16),"",IF(ROUND(SUM($Q39:AA39),1)&gt;=99.5,100,MIN(100,ROUND(SUM($Q39:AA39),1))))</f>
        <v/>
      </c>
      <c r="CU39" s="1" t="str">
        <f aca="false">IF(OR(OR(NOT(AND(ISNUMBER(E39),ISNUMBER(F39))),$J$2=""),12&gt;Reprogramaciones!$K$16),"",IF(ROUND(SUM($Q39:AB39),1)&gt;=99.5,100,MIN(100,ROUND(SUM($Q39:AB39),1))))</f>
        <v/>
      </c>
      <c r="CV39" s="1" t="str">
        <f aca="false">IF(OR(OR(NOT(AND(ISNUMBER(E39),ISNUMBER(F39))),$J$2=""),13&gt;Reprogramaciones!$K$16),"",IF(ROUND(SUM($Q39:AC39),1)&gt;=99.5,100,MIN(100,ROUND(SUM($Q39:AC39),1))))</f>
        <v/>
      </c>
      <c r="CW39" s="1" t="str">
        <f aca="false">IF(OR(OR(NOT(AND(ISNUMBER(E39),ISNUMBER(F39))),$J$2=""),14&gt;Reprogramaciones!$K$16),"",IF(ROUND(SUM($Q39:AD39),1)&gt;=99.5,100,MIN(100,ROUND(SUM($Q39:AD39),1))))</f>
        <v/>
      </c>
      <c r="CX39" s="1" t="str">
        <f aca="false">IF(OR(OR(NOT(AND(ISNUMBER(E39),ISNUMBER(F39))),$J$2=""),15&gt;Reprogramaciones!$K$16),"",IF(ROUND(SUM($Q39:AE39),1)&gt;=99.5,100,MIN(100,ROUND(SUM($Q39:AE39),1))))</f>
        <v/>
      </c>
      <c r="CY39" s="1" t="str">
        <f aca="false">IF(OR(OR(NOT(AND(ISNUMBER(E39),ISNUMBER(F39))),$J$2=""),16&gt;Reprogramaciones!$K$16),"",IF(ROUND(SUM($Q39:AF39),1)&gt;=99.5,100,MIN(100,ROUND(SUM($Q39:AF39),1))))</f>
        <v/>
      </c>
      <c r="CZ39" s="1" t="str">
        <f aca="false">IF(D39&lt;&gt;"",D39,IF(B39&lt;&gt;"","Contractual",CZ38))</f>
        <v>Contractual</v>
      </c>
      <c r="DA39" s="1" t="n">
        <f aca="false">IF(OR(NOT(AND(ISNUMBER(E39),ISNUMBER(F39))),$J$2=""),"",IF(Reprogramaciones!$Q$15&lt;Reprogramaciones!$T$15,0,IF(Reprogramaciones!$S$15&gt;10,MIN(100,SUM($G39:$P39)),MIN(100,SUMPRODUCT((COLUMN($G39:$P39)-COLUMN($G39)+1&lt;Reprogramaciones!$S$15)*$G39:$P39)+N(INDEX($G39:$P39,1,Reprogramaciones!$S$15))*IF(Reprogramaciones!$Q$15&gt;=(Reprogramaciones!$T$15+7*(Reprogramaciones!$S$15-1))+6,1,IF(MAX(0,NETWORKDAYS.INTL(MAX(E39,(Reprogramaciones!$T$15+7*(Reprogramaciones!$S$15-1))),MIN(F39,(Reprogramaciones!$T$15+7*(Reprogramaciones!$S$15-1))+6),11))=0,0,MAX(0,NETWORKDAYS.INTL(MAX(E39,(Reprogramaciones!$T$15+7*(Reprogramaciones!$S$15-1))),MIN(F39,Reprogramaciones!$Q$15),11))/MAX(0,NETWORKDAYS.INTL(MAX(E39,(Reprogramaciones!$T$15+7*(Reprogramaciones!$S$15-1))),MIN(F39,(Reprogramaciones!$T$15+7*(Reprogramaciones!$S$15-1))+6),11))))))))</f>
        <v>100</v>
      </c>
    </row>
    <row r="40" customFormat="false" ht="15" hidden="false" customHeight="false" outlineLevel="0" collapsed="false">
      <c r="A40" s="32" t="s">
        <v>221</v>
      </c>
      <c r="B40" s="33"/>
      <c r="C40" s="33" t="s">
        <v>222</v>
      </c>
      <c r="D40" s="34"/>
      <c r="E40" s="35" t="n">
        <v>46311</v>
      </c>
      <c r="F40" s="35" t="n">
        <v>46315</v>
      </c>
      <c r="G40" s="36" t="n">
        <f aca="false">IF(OR(NOT(AND(ISNUMBER(E40),ISNUMBER(F40))),$J$2=""),"",IF(Reprogramaciones!K$9&lt;E40,0,IF(NETWORKDAYS.INTL(E40,F40,11)=0,IF(Reprogramaciones!K$9&gt;=F40,100,0),ROUND(NETWORKDAYS.INTL(E40,MIN(F40,Reprogramaciones!K$9),11)/NETWORKDAYS.INTL(E40,F40,11)*100,1)))-0)</f>
        <v>0</v>
      </c>
      <c r="H40" s="36" t="n">
        <f aca="false">IF(OR(NOT(AND(ISNUMBER(E40),ISNUMBER(F40))),$J$2=""),"",IF(Reprogramaciones!L$9&lt;E40,0,IF(NETWORKDAYS.INTL(E40,F40,11)=0,IF(Reprogramaciones!L$9&gt;=F40,100,0),ROUND(NETWORKDAYS.INTL(E40,MIN(F40,Reprogramaciones!L$9),11)/NETWORKDAYS.INTL(E40,F40,11)*100,1)))-IF(Reprogramaciones!K$9&lt;E40,0,IF(NETWORKDAYS.INTL(E40,F40,11)=0,IF(Reprogramaciones!K$9&gt;=F40,100,0),ROUND(NETWORKDAYS.INTL(E40,MIN(F40,Reprogramaciones!K$9),11)/NETWORKDAYS.INTL(E40,F40,11)*100,1))))</f>
        <v>0</v>
      </c>
      <c r="I40" s="36" t="n">
        <f aca="false">IF(OR(NOT(AND(ISNUMBER(E40),ISNUMBER(F40))),$J$2=""),"",IF(Reprogramaciones!M$9&lt;E40,0,IF(NETWORKDAYS.INTL(E40,F40,11)=0,IF(Reprogramaciones!M$9&gt;=F40,100,0),ROUND(NETWORKDAYS.INTL(E40,MIN(F40,Reprogramaciones!M$9),11)/NETWORKDAYS.INTL(E40,F40,11)*100,1)))-IF(Reprogramaciones!L$9&lt;E40,0,IF(NETWORKDAYS.INTL(E40,F40,11)=0,IF(Reprogramaciones!L$9&gt;=F40,100,0),ROUND(NETWORKDAYS.INTL(E40,MIN(F40,Reprogramaciones!L$9),11)/NETWORKDAYS.INTL(E40,F40,11)*100,1))))</f>
        <v>0</v>
      </c>
      <c r="J40" s="36" t="n">
        <f aca="false">IF(OR(NOT(AND(ISNUMBER(E40),ISNUMBER(F40))),$J$2=""),"",IF(Reprogramaciones!N$9&lt;E40,0,IF(NETWORKDAYS.INTL(E40,F40,11)=0,IF(Reprogramaciones!N$9&gt;=F40,100,0),ROUND(NETWORKDAYS.INTL(E40,MIN(F40,Reprogramaciones!N$9),11)/NETWORKDAYS.INTL(E40,F40,11)*100,1)))-IF(Reprogramaciones!M$9&lt;E40,0,IF(NETWORKDAYS.INTL(E40,F40,11)=0,IF(Reprogramaciones!M$9&gt;=F40,100,0),ROUND(NETWORKDAYS.INTL(E40,MIN(F40,Reprogramaciones!M$9),11)/NETWORKDAYS.INTL(E40,F40,11)*100,1))))</f>
        <v>50</v>
      </c>
      <c r="K40" s="36" t="n">
        <f aca="false">IF(OR(NOT(AND(ISNUMBER(E40),ISNUMBER(F40))),$J$2=""),"",IF(Reprogramaciones!O$9&lt;E40,0,IF(NETWORKDAYS.INTL(E40,F40,11)=0,IF(Reprogramaciones!O$9&gt;=F40,100,0),ROUND(NETWORKDAYS.INTL(E40,MIN(F40,Reprogramaciones!O$9),11)/NETWORKDAYS.INTL(E40,F40,11)*100,1)))-IF(Reprogramaciones!N$9&lt;E40,0,IF(NETWORKDAYS.INTL(E40,F40,11)=0,IF(Reprogramaciones!N$9&gt;=F40,100,0),ROUND(NETWORKDAYS.INTL(E40,MIN(F40,Reprogramaciones!N$9),11)/NETWORKDAYS.INTL(E40,F40,11)*100,1))))</f>
        <v>50</v>
      </c>
      <c r="L40" s="36" t="n">
        <f aca="false">IF(OR(NOT(AND(ISNUMBER(E40),ISNUMBER(F40))),$J$2=""),"",IF(Reprogramaciones!P$9&lt;E40,0,IF(NETWORKDAYS.INTL(E40,F40,11)=0,IF(Reprogramaciones!P$9&gt;=F40,100,0),ROUND(NETWORKDAYS.INTL(E40,MIN(F40,Reprogramaciones!P$9),11)/NETWORKDAYS.INTL(E40,F40,11)*100,1)))-IF(Reprogramaciones!O$9&lt;E40,0,IF(NETWORKDAYS.INTL(E40,F40,11)=0,IF(Reprogramaciones!O$9&gt;=F40,100,0),ROUND(NETWORKDAYS.INTL(E40,MIN(F40,Reprogramaciones!O$9),11)/NETWORKDAYS.INTL(E40,F40,11)*100,1))))</f>
        <v>0</v>
      </c>
      <c r="M40" s="36" t="n">
        <f aca="false">IF(OR(NOT(AND(ISNUMBER(E40),ISNUMBER(F40))),$J$2=""),"",IF(Reprogramaciones!Q$9&lt;E40,0,IF(NETWORKDAYS.INTL(E40,F40,11)=0,IF(Reprogramaciones!Q$9&gt;=F40,100,0),ROUND(NETWORKDAYS.INTL(E40,MIN(F40,Reprogramaciones!Q$9),11)/NETWORKDAYS.INTL(E40,F40,11)*100,1)))-IF(Reprogramaciones!P$9&lt;E40,0,IF(NETWORKDAYS.INTL(E40,F40,11)=0,IF(Reprogramaciones!P$9&gt;=F40,100,0),ROUND(NETWORKDAYS.INTL(E40,MIN(F40,Reprogramaciones!P$9),11)/NETWORKDAYS.INTL(E40,F40,11)*100,1))))</f>
        <v>0</v>
      </c>
      <c r="N40" s="36" t="n">
        <f aca="false">IF(OR(NOT(AND(ISNUMBER(E40),ISNUMBER(F40))),$J$2=""),"",IF(Reprogramaciones!R$9&lt;E40,0,IF(NETWORKDAYS.INTL(E40,F40,11)=0,IF(Reprogramaciones!R$9&gt;=F40,100,0),ROUND(NETWORKDAYS.INTL(E40,MIN(F40,Reprogramaciones!R$9),11)/NETWORKDAYS.INTL(E40,F40,11)*100,1)))-IF(Reprogramaciones!Q$9&lt;E40,0,IF(NETWORKDAYS.INTL(E40,F40,11)=0,IF(Reprogramaciones!Q$9&gt;=F40,100,0),ROUND(NETWORKDAYS.INTL(E40,MIN(F40,Reprogramaciones!Q$9),11)/NETWORKDAYS.INTL(E40,F40,11)*100,1))))</f>
        <v>0</v>
      </c>
      <c r="O40" s="36" t="n">
        <f aca="false">IF(OR(NOT(AND(ISNUMBER(E40),ISNUMBER(F40))),$J$2=""),"",IF(Reprogramaciones!S$9&lt;E40,0,IF(NETWORKDAYS.INTL(E40,F40,11)=0,IF(Reprogramaciones!S$9&gt;=F40,100,0),ROUND(NETWORKDAYS.INTL(E40,MIN(F40,Reprogramaciones!S$9),11)/NETWORKDAYS.INTL(E40,F40,11)*100,1)))-IF(Reprogramaciones!R$9&lt;E40,0,IF(NETWORKDAYS.INTL(E40,F40,11)=0,IF(Reprogramaciones!R$9&gt;=F40,100,0),ROUND(NETWORKDAYS.INTL(E40,MIN(F40,Reprogramaciones!R$9),11)/NETWORKDAYS.INTL(E40,F40,11)*100,1))))</f>
        <v>0</v>
      </c>
      <c r="P40" s="36" t="n">
        <f aca="false">IF(OR(NOT(AND(ISNUMBER(E40),ISNUMBER(F40))),$J$2=""),"",IF(Reprogramaciones!T$9&lt;E40,0,IF(NETWORKDAYS.INTL(E40,F40,11)=0,IF(Reprogramaciones!T$9&gt;=F40,100,0),ROUND(NETWORKDAYS.INTL(E40,MIN(F40,Reprogramaciones!T$9),11)/NETWORKDAYS.INTL(E40,F40,11)*100,1)))-IF(Reprogramaciones!S$9&lt;E40,0,IF(NETWORKDAYS.INTL(E40,F40,11)=0,IF(Reprogramaciones!S$9&gt;=F40,100,0),ROUND(NETWORKDAYS.INTL(E40,MIN(F40,Reprogramaciones!S$9),11)/NETWORKDAYS.INTL(E40,F40,11)*100,1))))</f>
        <v>0</v>
      </c>
      <c r="Q40" s="37"/>
      <c r="R40" s="37"/>
      <c r="S40" s="37"/>
      <c r="T40" s="37" t="n">
        <v>50</v>
      </c>
      <c r="U40" s="37"/>
      <c r="V40" s="37"/>
      <c r="W40" s="37"/>
      <c r="X40" s="37"/>
      <c r="Y40" s="37"/>
      <c r="Z40" s="37"/>
      <c r="AA40" s="37"/>
      <c r="AB40" s="37"/>
      <c r="AC40" s="37"/>
      <c r="AD40" s="37"/>
      <c r="AE40" s="37"/>
      <c r="AF40" s="37"/>
      <c r="AG40" s="38" t="n">
        <f aca="false">IF(AND(ISNUMBER(E40),ISNUMBER(F40)),NETWORKDAYS.INTL(E40,F40,11),"")</f>
        <v>4</v>
      </c>
      <c r="AH40" s="38" t="n">
        <f aca="false">IF(OR(NOT(AND(ISNUMBER(E40),ISNUMBER(F40))),$J$2=""),"",IF(Reprogramaciones!$P$15&lt;Reprogramaciones!$T$15,0,IF(Reprogramaciones!$R$15&gt;10,MIN(100,SUM($G40:$P40)),MIN(100,SUMPRODUCT((COLUMN($G40:$P40)-COLUMN($G40)+1&lt;Reprogramaciones!$R$15)*$G40:$P40)+N(INDEX($G40:$P40,1,Reprogramaciones!$R$15))*IF(Reprogramaciones!$P$15&gt;=(Reprogramaciones!$T$15+7*(Reprogramaciones!$R$15-1))+6,1,IF(MAX(0,NETWORKDAYS.INTL(MAX(E40,(Reprogramaciones!$T$15+7*(Reprogramaciones!$R$15-1))),MIN(F40,(Reprogramaciones!$T$15+7*(Reprogramaciones!$R$15-1))+6),11))=0,0,MAX(0,NETWORKDAYS.INTL(MAX(E40,(Reprogramaciones!$T$15+7*(Reprogramaciones!$R$15-1))),MIN(F40,Reprogramaciones!$P$15),11))/MAX(0,NETWORKDAYS.INTL(MAX(E40,(Reprogramaciones!$T$15+7*(Reprogramaciones!$R$15-1))),MIN(F40,(Reprogramaciones!$T$15+7*(Reprogramaciones!$R$15-1))+6),11))))))))</f>
        <v>50</v>
      </c>
      <c r="AI40" s="38" t="n">
        <f aca="false">IF(COUNT($Q40:$AF40)=0,"",IF(ROUND(SUM($Q40:$AF40),1)&gt;=99.5,100,MIN(100,ROUND(SUM($Q40:$AF40),1))))</f>
        <v>50</v>
      </c>
      <c r="AJ40" s="38" t="n">
        <f aca="false">IF(OR(AH40="",AI40=""),"",AI40-AH40)</f>
        <v>0</v>
      </c>
      <c r="AK40" s="39" t="str">
        <f aca="true">IF(AH40="","",IF(OR(Ficha!$C$10="Suspendida",Ficha!$C$10="Cancelada"),Ficha!$C$10,IF(AND(AI40&lt;&gt;"",N(AI40)&gt;=100),"Completada",IF(AND(E40&gt;TODAY(),N(AI40)=0),"Por iniciar",IF(N(AI40)+0.5&lt;AH40,"Retrasada",IF(N(AI40)+0.5&lt;DA40,IF(Reprogramaciones!$K$15&gt;0,"Al día · Sem "&amp;Reprogramaciones!$K$15&amp;" en curso","Al día · en curso"),"A tiempo"))))))</f>
        <v>Al día · Sem 5 en curso</v>
      </c>
      <c r="AL40" s="39" t="str">
        <f aca="true">IF(AND(A40="",AND(B40="",C40="",E40="",F40="",COUNT(Q40:AF40)=0)),"",IF(AND(B40="",C40="",E40="",F40="",COUNT(Q40:AF40)=0),"Falta la partida o subpartida",IF(AND(A40&lt;&gt;"",COUNTIF($A$6:$A$305,A40)&gt;1),"Ítem repetido",IF(AND(C40="",E40="",F40="",COUNT(Q40:AF40)=0),"Título de partida",IF(OR(E40="",F40=""),"Faltan fechas",IF(OR(ISTEXT(E40),ISTEXT(F40)),"Fecha escrita como texto: usa dd/mm/aaaa",IF(F40&lt;E40,"Fin antes del inicio",IF(IF($J$2="",FALSE(),OR(E40&lt;$J$2,F40&gt;Reprogramaciones!$T$15+69)),"Fuera de las 10 semanas",IF(ABS(SUM(G40:P40)-100)&gt;0.5,"La meta no suma 100%",IF(ROUND(SUM(Q40:AF40),1)&gt;100.5,"El avance pasa de 100%",IF(MIN(Q40:AF40)&lt;0,"Avance negativo",IF(COUNTA(Q40:AF40)&gt;COUNT(Q40:AF40),"Avance escrito como texto",IF(SUMPRODUCT((Q40:AF40&gt;0)*(Q40:AF40&lt;1))&gt;0,"Avance menor a 1: escribe 50, no 50%",IF(SUMPRODUCT(ISNUMBER(Q40:AF40)*(Reprogramaciones!$K$8:$Z$8&gt;TODAY()))&gt;0,"Avance en semana que aún no llega",IF(AND(N(Reprogramaciones!$E$21)&gt;0,F40&gt;Reprogramaciones!$E$21),"Pasa el fin de la obra: registra una reprogramación",IF(AND(N(Reprogramaciones!$E$21)&gt;0,SUMPRODUCT(ISNUMBER(Q40:AF40)*(Reprogramaciones!$K$8:$Z$8&gt;Reprogramaciones!$E$21))&gt;0),"Avance después del fin de la obra: registra una reprogramación por atraso","OK"))))))))))))))))</f>
        <v>OK</v>
      </c>
      <c r="AM40" s="40" t="str">
        <f aca="false">IF(OR(OR(NOT(AND(ISNUMBER(E40),ISNUMBER(F40))),$J$2=""),1&gt;MAX(1,Reprogramaciones!$U$15)),"",IF(Reprogramaciones!K$12&gt;=7,"",IF(OR(BT40-N(0)&gt;0.05,N(Q40)&gt;0),ROUNDDOWN(ROUND(BT40,6),0)&amp;"%"&amp;IF(CJ40="",""," / "&amp;CJ40&amp;"%"),IF(AND(N(0)&gt;=99.95,CJ40&lt;&gt;"",N(CJ40)&lt;100),"Pend. "&amp;CJ40&amp;"%",""))))</f>
        <v/>
      </c>
      <c r="AN40" s="40" t="str">
        <f aca="false">IF(OR(OR(NOT(AND(ISNUMBER(E40),ISNUMBER(F40))),$J$2=""),2&gt;MAX(1,Reprogramaciones!$U$15)),"",IF(Reprogramaciones!L$12&gt;=7,"",IF(OR(BU40-N(BT40)&gt;0.05,N(R40)&gt;0),ROUNDDOWN(ROUND(BU40,6),0)&amp;"%"&amp;IF(CK40="",""," / "&amp;CK40&amp;"%"),IF(AND(N(BT40)&gt;=99.95,CK40&lt;&gt;"",N(CK40)&lt;100),"Pend. "&amp;CK40&amp;"%",""))))</f>
        <v/>
      </c>
      <c r="AO40" s="40" t="str">
        <f aca="false">IF(OR(OR(NOT(AND(ISNUMBER(E40),ISNUMBER(F40))),$J$2=""),3&gt;MAX(1,Reprogramaciones!$U$15)),"",IF(Reprogramaciones!M$12&gt;=7,"",IF(OR(BV40-N(BU40)&gt;0.05,N(S40)&gt;0),ROUNDDOWN(ROUND(BV40,6),0)&amp;"%"&amp;IF(CL40="",""," / "&amp;CL40&amp;"%"),IF(AND(N(BU40)&gt;=99.95,CL40&lt;&gt;"",N(CL40)&lt;100),"Pend. "&amp;CL40&amp;"%",""))))</f>
        <v/>
      </c>
      <c r="AP40" s="40" t="str">
        <f aca="false">IF(OR(OR(NOT(AND(ISNUMBER(E40),ISNUMBER(F40))),$J$2=""),4&gt;MAX(1,Reprogramaciones!$U$15)),"",IF(Reprogramaciones!N$12&gt;=7,"",IF(OR(BW40-N(BV40)&gt;0.05,N(T40)&gt;0),ROUNDDOWN(ROUND(BW40,6),0)&amp;"%"&amp;IF(CM40="",""," / "&amp;CM40&amp;"%"),IF(AND(N(BV40)&gt;=99.95,CM40&lt;&gt;"",N(CM40)&lt;100),"Pend. "&amp;CM40&amp;"%",""))))</f>
        <v>50% / 50%</v>
      </c>
      <c r="AQ40" s="40" t="str">
        <f aca="false">IF(OR(OR(NOT(AND(ISNUMBER(E40),ISNUMBER(F40))),$J$2=""),5&gt;MAX(1,Reprogramaciones!$U$15)),"",IF(Reprogramaciones!O$12&gt;=7,"",IF(OR(BX40-N(BW40)&gt;0.05,N(U40)&gt;0),ROUNDDOWN(ROUND(BX40,6),0)&amp;"%"&amp;IF(CN40="",""," / "&amp;CN40&amp;"%"),IF(AND(N(BW40)&gt;=99.95,CN40&lt;&gt;"",N(CN40)&lt;100),"Pend. "&amp;CN40&amp;"%",""))))</f>
        <v>100% / 50%</v>
      </c>
      <c r="AR40" s="40" t="str">
        <f aca="false">IF(OR(OR(NOT(AND(ISNUMBER(E40),ISNUMBER(F40))),$J$2=""),6&gt;MAX(1,Reprogramaciones!$U$15)),"",IF(Reprogramaciones!P$12&gt;=7,"",IF(OR(BY40-N(BX40)&gt;0.05,N(V40)&gt;0),ROUNDDOWN(ROUND(BY40,6),0)&amp;"%"&amp;IF(CO40="",""," / "&amp;CO40&amp;"%"),IF(AND(N(BX40)&gt;=99.95,CO40&lt;&gt;"",N(CO40)&lt;100),"Pend. "&amp;CO40&amp;"%",""))))</f>
        <v/>
      </c>
      <c r="AS40" s="40" t="str">
        <f aca="false">IF(OR(OR(NOT(AND(ISNUMBER(E40),ISNUMBER(F40))),$J$2=""),7&gt;MAX(1,Reprogramaciones!$U$15)),"",IF(Reprogramaciones!Q$12&gt;=7,"",IF(OR(BZ40-N(BY40)&gt;0.05,N(W40)&gt;0),ROUNDDOWN(ROUND(BZ40,6),0)&amp;"%"&amp;IF(CP40="",""," / "&amp;CP40&amp;"%"),IF(AND(N(BY40)&gt;=99.95,CP40&lt;&gt;"",N(CP40)&lt;100),"Pend. "&amp;CP40&amp;"%",""))))</f>
        <v/>
      </c>
      <c r="AT40" s="40" t="str">
        <f aca="false">IF(OR(OR(NOT(AND(ISNUMBER(E40),ISNUMBER(F40))),$J$2=""),8&gt;MAX(1,Reprogramaciones!$U$15)),"",IF(Reprogramaciones!R$12&gt;=7,"",IF(OR(CA40-N(BZ40)&gt;0.05,N(X40)&gt;0),ROUNDDOWN(ROUND(CA40,6),0)&amp;"%"&amp;IF(CQ40="",""," / "&amp;CQ40&amp;"%"),IF(AND(N(BZ40)&gt;=99.95,CQ40&lt;&gt;"",N(CQ40)&lt;100),"Pend. "&amp;CQ40&amp;"%",""))))</f>
        <v/>
      </c>
      <c r="AU40" s="40" t="str">
        <f aca="false">IF(OR(OR(NOT(AND(ISNUMBER(E40),ISNUMBER(F40))),$J$2=""),9&gt;MAX(1,Reprogramaciones!$U$15)),"",IF(Reprogramaciones!S$12&gt;=7,"",IF(OR(CB40-N(CA40)&gt;0.05,N(Y40)&gt;0),ROUNDDOWN(ROUND(CB40,6),0)&amp;"%"&amp;IF(CR40="",""," / "&amp;CR40&amp;"%"),IF(AND(N(CA40)&gt;=99.95,CR40&lt;&gt;"",N(CR40)&lt;100),"Pend. "&amp;CR40&amp;"%",""))))</f>
        <v/>
      </c>
      <c r="AV40" s="40" t="str">
        <f aca="false">IF(OR(OR(NOT(AND(ISNUMBER(E40),ISNUMBER(F40))),$J$2=""),10&gt;MAX(1,Reprogramaciones!$U$15)),"",IF(Reprogramaciones!T$12&gt;=7,"",IF(OR(CC40-N(CB40)&gt;0.05,N(Z40)&gt;0),ROUNDDOWN(ROUND(CC40,6),0)&amp;"%"&amp;IF(CS40="",""," / "&amp;CS40&amp;"%"),IF(AND(N(CB40)&gt;=99.95,CS40&lt;&gt;"",N(CS40)&lt;100),"Pend. "&amp;CS40&amp;"%",""))))</f>
        <v/>
      </c>
      <c r="AW40" s="40" t="str">
        <f aca="false">IF(OR(OR(NOT(AND(ISNUMBER(E40),ISNUMBER(F40))),$J$2=""),11&gt;MAX(1,Reprogramaciones!$U$15)),"",IF(Reprogramaciones!U$12&gt;=7,"",IF(OR(CD40-N(CC40)&gt;0.05,N(AA40)&gt;0),ROUNDDOWN(ROUND(CD40,6),0)&amp;"%"&amp;IF(CT40="",""," / "&amp;CT40&amp;"%"),IF(AND(N(CC40)&gt;=99.95,CT40&lt;&gt;"",N(CT40)&lt;100),"Pend. "&amp;CT40&amp;"%",""))))</f>
        <v/>
      </c>
      <c r="AX40" s="40" t="str">
        <f aca="false">IF(OR(OR(NOT(AND(ISNUMBER(E40),ISNUMBER(F40))),$J$2=""),12&gt;MAX(1,Reprogramaciones!$U$15)),"",IF(Reprogramaciones!V$12&gt;=7,"",IF(OR(CE40-N(CD40)&gt;0.05,N(AB40)&gt;0),ROUNDDOWN(ROUND(CE40,6),0)&amp;"%"&amp;IF(CU40="",""," / "&amp;CU40&amp;"%"),IF(AND(N(CD40)&gt;=99.95,CU40&lt;&gt;"",N(CU40)&lt;100),"Pend. "&amp;CU40&amp;"%",""))))</f>
        <v/>
      </c>
      <c r="AY40" s="40" t="str">
        <f aca="false">IF(OR(OR(NOT(AND(ISNUMBER(E40),ISNUMBER(F40))),$J$2=""),13&gt;MAX(1,Reprogramaciones!$U$15)),"",IF(Reprogramaciones!W$12&gt;=7,"",IF(OR(CF40-N(CE40)&gt;0.05,N(AC40)&gt;0),ROUNDDOWN(ROUND(CF40,6),0)&amp;"%"&amp;IF(CV40="",""," / "&amp;CV40&amp;"%"),IF(AND(N(CE40)&gt;=99.95,CV40&lt;&gt;"",N(CV40)&lt;100),"Pend. "&amp;CV40&amp;"%",""))))</f>
        <v/>
      </c>
      <c r="AZ40" s="40" t="str">
        <f aca="false">IF(OR(OR(NOT(AND(ISNUMBER(E40),ISNUMBER(F40))),$J$2=""),14&gt;MAX(1,Reprogramaciones!$U$15)),"",IF(Reprogramaciones!X$12&gt;=7,"",IF(OR(CG40-N(CF40)&gt;0.05,N(AD40)&gt;0),ROUNDDOWN(ROUND(CG40,6),0)&amp;"%"&amp;IF(CW40="",""," / "&amp;CW40&amp;"%"),IF(AND(N(CF40)&gt;=99.95,CW40&lt;&gt;"",N(CW40)&lt;100),"Pend. "&amp;CW40&amp;"%",""))))</f>
        <v/>
      </c>
      <c r="BA40" s="40" t="str">
        <f aca="false">IF(OR(OR(NOT(AND(ISNUMBER(E40),ISNUMBER(F40))),$J$2=""),15&gt;MAX(1,Reprogramaciones!$U$15)),"",IF(Reprogramaciones!Y$12&gt;=7,"",IF(OR(CH40-N(CG40)&gt;0.05,N(AE40)&gt;0),ROUNDDOWN(ROUND(CH40,6),0)&amp;"%"&amp;IF(CX40="",""," / "&amp;CX40&amp;"%"),IF(AND(N(CG40)&gt;=99.95,CX40&lt;&gt;"",N(CX40)&lt;100),"Pend. "&amp;CX40&amp;"%",""))))</f>
        <v/>
      </c>
      <c r="BB40" s="40" t="str">
        <f aca="false">IF(OR(OR(NOT(AND(ISNUMBER(E40),ISNUMBER(F40))),$J$2=""),16&gt;MAX(1,Reprogramaciones!$U$15)),"",IF(Reprogramaciones!Z$12&gt;=7,"",IF(OR(CI40-N(CH40)&gt;0.05,N(AF40)&gt;0),ROUNDDOWN(ROUND(CI40,6),0)&amp;"%"&amp;IF(CY40="",""," / "&amp;CY40&amp;"%"),IF(AND(N(CH40)&gt;=99.95,CY40&lt;&gt;"",N(CY40)&lt;100),"Pend. "&amp;CY40&amp;"%",""))))</f>
        <v/>
      </c>
      <c r="BC40" s="31" t="n">
        <f aca="false">IF(AND(ISNUMBER(E40),ISNUMBER(F40)),MAX(1,NETWORKDAYS.INTL(E40,F40,11)),0)</f>
        <v>4</v>
      </c>
      <c r="BD40" s="1" t="n">
        <f aca="false">IF(OR(NOT(AND(ISNUMBER(E40),ISNUMBER(F40))),$J$2=""),"",MIN(100,ROUND(SUM($G40:G40),1)))</f>
        <v>0</v>
      </c>
      <c r="BE40" s="1" t="n">
        <f aca="false">IF(OR(NOT(AND(ISNUMBER(E40),ISNUMBER(F40))),$J$2=""),"",MIN(100,ROUND(SUM($G40:H40),1)))</f>
        <v>0</v>
      </c>
      <c r="BF40" s="1" t="n">
        <f aca="false">IF(OR(NOT(AND(ISNUMBER(E40),ISNUMBER(F40))),$J$2=""),"",MIN(100,ROUND(SUM($G40:I40),1)))</f>
        <v>0</v>
      </c>
      <c r="BG40" s="1" t="n">
        <f aca="false">IF(OR(NOT(AND(ISNUMBER(E40),ISNUMBER(F40))),$J$2=""),"",MIN(100,ROUND(SUM($G40:J40),1)))</f>
        <v>50</v>
      </c>
      <c r="BH40" s="1" t="n">
        <f aca="false">IF(OR(NOT(AND(ISNUMBER(E40),ISNUMBER(F40))),$J$2=""),"",MIN(100,ROUND(SUM($G40:K40),1)))</f>
        <v>100</v>
      </c>
      <c r="BI40" s="1" t="n">
        <f aca="false">IF(OR(NOT(AND(ISNUMBER(E40),ISNUMBER(F40))),$J$2=""),"",MIN(100,ROUND(SUM($G40:L40),1)))</f>
        <v>100</v>
      </c>
      <c r="BJ40" s="1" t="n">
        <f aca="false">IF(OR(NOT(AND(ISNUMBER(E40),ISNUMBER(F40))),$J$2=""),"",MIN(100,ROUND(SUM($G40:M40),1)))</f>
        <v>100</v>
      </c>
      <c r="BK40" s="1" t="n">
        <f aca="false">IF(OR(NOT(AND(ISNUMBER(E40),ISNUMBER(F40))),$J$2=""),"",MIN(100,ROUND(SUM($G40:N40),1)))</f>
        <v>100</v>
      </c>
      <c r="BL40" s="1" t="n">
        <f aca="false">IF(OR(NOT(AND(ISNUMBER(E40),ISNUMBER(F40))),$J$2=""),"",MIN(100,ROUND(SUM($G40:O40),1)))</f>
        <v>100</v>
      </c>
      <c r="BM40" s="1" t="n">
        <f aca="false">IF(OR(NOT(AND(ISNUMBER(E40),ISNUMBER(F40))),$J$2=""),"",MIN(100,ROUND(SUM($G40:P40),1)))</f>
        <v>100</v>
      </c>
      <c r="BN40" s="1" t="n">
        <f aca="false">IF(OR(NOT(AND(ISNUMBER(E40),ISNUMBER(F40))),$J$2=""),"",MIN(100,ROUND(SUM($G40:P40),1)))</f>
        <v>100</v>
      </c>
      <c r="BO40" s="1" t="n">
        <f aca="false">IF(OR(NOT(AND(ISNUMBER(E40),ISNUMBER(F40))),$J$2=""),"",MIN(100,ROUND(SUM($G40:P40),1)))</f>
        <v>100</v>
      </c>
      <c r="BP40" s="1" t="n">
        <f aca="false">IF(OR(NOT(AND(ISNUMBER(E40),ISNUMBER(F40))),$J$2=""),"",MIN(100,ROUND(SUM($G40:P40),1)))</f>
        <v>100</v>
      </c>
      <c r="BQ40" s="1" t="n">
        <f aca="false">IF(OR(NOT(AND(ISNUMBER(E40),ISNUMBER(F40))),$J$2=""),"",MIN(100,ROUND(SUM($G40:P40),1)))</f>
        <v>100</v>
      </c>
      <c r="BR40" s="1" t="n">
        <f aca="false">IF(OR(NOT(AND(ISNUMBER(E40),ISNUMBER(F40))),$J$2=""),"",MIN(100,ROUND(SUM($G40:P40),1)))</f>
        <v>100</v>
      </c>
      <c r="BS40" s="1" t="n">
        <f aca="false">IF(OR(NOT(AND(ISNUMBER(E40),ISNUMBER(F40))),$J$2=""),"",MIN(100,ROUND(SUM($G40:P40),1)))</f>
        <v>100</v>
      </c>
      <c r="BT40" s="1" t="n">
        <f aca="false">IF(OR(NOT(AND(ISNUMBER(E40),ISNUMBER(F40))),$J$2=""),"",IF(Reprogramaciones!K$13&lt;Reprogramaciones!$T$15,0,IF(Reprogramaciones!K$14&gt;10,MIN(100,SUM($G40:$P40)),MIN(100,SUMPRODUCT((COLUMN($G40:$P40)-COLUMN($G40)+1&lt;Reprogramaciones!K$14)*$G40:$P40)+N(INDEX($G40:$P40,1,Reprogramaciones!K$14))*IF(Reprogramaciones!K$13&gt;=(Reprogramaciones!$T$15+7*(Reprogramaciones!K$14-1))+6,1,IF(MAX(0,NETWORKDAYS.INTL(MAX(E40,(Reprogramaciones!$T$15+7*(Reprogramaciones!K$14-1))),MIN(F40,(Reprogramaciones!$T$15+7*(Reprogramaciones!K$14-1))+6),11))=0,0,MAX(0,NETWORKDAYS.INTL(MAX(E40,(Reprogramaciones!$T$15+7*(Reprogramaciones!K$14-1))),MIN(F40,Reprogramaciones!K$13),11))/MAX(0,NETWORKDAYS.INTL(MAX(E40,(Reprogramaciones!$T$15+7*(Reprogramaciones!K$14-1))),MIN(F40,(Reprogramaciones!$T$15+7*(Reprogramaciones!K$14-1))+6),11))))))))</f>
        <v>0</v>
      </c>
      <c r="BU40" s="1" t="n">
        <f aca="false">IF(OR(NOT(AND(ISNUMBER(E40),ISNUMBER(F40))),$J$2=""),"",IF(Reprogramaciones!L$13&lt;Reprogramaciones!$T$15,0,IF(Reprogramaciones!L$14&gt;10,MIN(100,SUM($G40:$P40)),MIN(100,SUMPRODUCT((COLUMN($G40:$P40)-COLUMN($G40)+1&lt;Reprogramaciones!L$14)*$G40:$P40)+N(INDEX($G40:$P40,1,Reprogramaciones!L$14))*IF(Reprogramaciones!L$13&gt;=(Reprogramaciones!$T$15+7*(Reprogramaciones!L$14-1))+6,1,IF(MAX(0,NETWORKDAYS.INTL(MAX(E40,(Reprogramaciones!$T$15+7*(Reprogramaciones!L$14-1))),MIN(F40,(Reprogramaciones!$T$15+7*(Reprogramaciones!L$14-1))+6),11))=0,0,MAX(0,NETWORKDAYS.INTL(MAX(E40,(Reprogramaciones!$T$15+7*(Reprogramaciones!L$14-1))),MIN(F40,Reprogramaciones!L$13),11))/MAX(0,NETWORKDAYS.INTL(MAX(E40,(Reprogramaciones!$T$15+7*(Reprogramaciones!L$14-1))),MIN(F40,(Reprogramaciones!$T$15+7*(Reprogramaciones!L$14-1))+6),11))))))))</f>
        <v>0</v>
      </c>
      <c r="BV40" s="1" t="n">
        <f aca="false">IF(OR(NOT(AND(ISNUMBER(E40),ISNUMBER(F40))),$J$2=""),"",IF(Reprogramaciones!M$13&lt;Reprogramaciones!$T$15,0,IF(Reprogramaciones!M$14&gt;10,MIN(100,SUM($G40:$P40)),MIN(100,SUMPRODUCT((COLUMN($G40:$P40)-COLUMN($G40)+1&lt;Reprogramaciones!M$14)*$G40:$P40)+N(INDEX($G40:$P40,1,Reprogramaciones!M$14))*IF(Reprogramaciones!M$13&gt;=(Reprogramaciones!$T$15+7*(Reprogramaciones!M$14-1))+6,1,IF(MAX(0,NETWORKDAYS.INTL(MAX(E40,(Reprogramaciones!$T$15+7*(Reprogramaciones!M$14-1))),MIN(F40,(Reprogramaciones!$T$15+7*(Reprogramaciones!M$14-1))+6),11))=0,0,MAX(0,NETWORKDAYS.INTL(MAX(E40,(Reprogramaciones!$T$15+7*(Reprogramaciones!M$14-1))),MIN(F40,Reprogramaciones!M$13),11))/MAX(0,NETWORKDAYS.INTL(MAX(E40,(Reprogramaciones!$T$15+7*(Reprogramaciones!M$14-1))),MIN(F40,(Reprogramaciones!$T$15+7*(Reprogramaciones!M$14-1))+6),11))))))))</f>
        <v>0</v>
      </c>
      <c r="BW40" s="1" t="n">
        <f aca="false">IF(OR(NOT(AND(ISNUMBER(E40),ISNUMBER(F40))),$J$2=""),"",IF(Reprogramaciones!N$13&lt;Reprogramaciones!$T$15,0,IF(Reprogramaciones!N$14&gt;10,MIN(100,SUM($G40:$P40)),MIN(100,SUMPRODUCT((COLUMN($G40:$P40)-COLUMN($G40)+1&lt;Reprogramaciones!N$14)*$G40:$P40)+N(INDEX($G40:$P40,1,Reprogramaciones!N$14))*IF(Reprogramaciones!N$13&gt;=(Reprogramaciones!$T$15+7*(Reprogramaciones!N$14-1))+6,1,IF(MAX(0,NETWORKDAYS.INTL(MAX(E40,(Reprogramaciones!$T$15+7*(Reprogramaciones!N$14-1))),MIN(F40,(Reprogramaciones!$T$15+7*(Reprogramaciones!N$14-1))+6),11))=0,0,MAX(0,NETWORKDAYS.INTL(MAX(E40,(Reprogramaciones!$T$15+7*(Reprogramaciones!N$14-1))),MIN(F40,Reprogramaciones!N$13),11))/MAX(0,NETWORKDAYS.INTL(MAX(E40,(Reprogramaciones!$T$15+7*(Reprogramaciones!N$14-1))),MIN(F40,(Reprogramaciones!$T$15+7*(Reprogramaciones!N$14-1))+6),11))))))))</f>
        <v>50</v>
      </c>
      <c r="BX40" s="1" t="n">
        <f aca="false">IF(OR(NOT(AND(ISNUMBER(E40),ISNUMBER(F40))),$J$2=""),"",IF(Reprogramaciones!O$13&lt;Reprogramaciones!$T$15,0,IF(Reprogramaciones!O$14&gt;10,MIN(100,SUM($G40:$P40)),MIN(100,SUMPRODUCT((COLUMN($G40:$P40)-COLUMN($G40)+1&lt;Reprogramaciones!O$14)*$G40:$P40)+N(INDEX($G40:$P40,1,Reprogramaciones!O$14))*IF(Reprogramaciones!O$13&gt;=(Reprogramaciones!$T$15+7*(Reprogramaciones!O$14-1))+6,1,IF(MAX(0,NETWORKDAYS.INTL(MAX(E40,(Reprogramaciones!$T$15+7*(Reprogramaciones!O$14-1))),MIN(F40,(Reprogramaciones!$T$15+7*(Reprogramaciones!O$14-1))+6),11))=0,0,MAX(0,NETWORKDAYS.INTL(MAX(E40,(Reprogramaciones!$T$15+7*(Reprogramaciones!O$14-1))),MIN(F40,Reprogramaciones!O$13),11))/MAX(0,NETWORKDAYS.INTL(MAX(E40,(Reprogramaciones!$T$15+7*(Reprogramaciones!O$14-1))),MIN(F40,(Reprogramaciones!$T$15+7*(Reprogramaciones!O$14-1))+6),11))))))))</f>
        <v>100</v>
      </c>
      <c r="BY40" s="1" t="n">
        <f aca="false">IF(OR(NOT(AND(ISNUMBER(E40),ISNUMBER(F40))),$J$2=""),"",IF(Reprogramaciones!P$13&lt;Reprogramaciones!$T$15,0,IF(Reprogramaciones!P$14&gt;10,MIN(100,SUM($G40:$P40)),MIN(100,SUMPRODUCT((COLUMN($G40:$P40)-COLUMN($G40)+1&lt;Reprogramaciones!P$14)*$G40:$P40)+N(INDEX($G40:$P40,1,Reprogramaciones!P$14))*IF(Reprogramaciones!P$13&gt;=(Reprogramaciones!$T$15+7*(Reprogramaciones!P$14-1))+6,1,IF(MAX(0,NETWORKDAYS.INTL(MAX(E40,(Reprogramaciones!$T$15+7*(Reprogramaciones!P$14-1))),MIN(F40,(Reprogramaciones!$T$15+7*(Reprogramaciones!P$14-1))+6),11))=0,0,MAX(0,NETWORKDAYS.INTL(MAX(E40,(Reprogramaciones!$T$15+7*(Reprogramaciones!P$14-1))),MIN(F40,Reprogramaciones!P$13),11))/MAX(0,NETWORKDAYS.INTL(MAX(E40,(Reprogramaciones!$T$15+7*(Reprogramaciones!P$14-1))),MIN(F40,(Reprogramaciones!$T$15+7*(Reprogramaciones!P$14-1))+6),11))))))))</f>
        <v>100</v>
      </c>
      <c r="BZ40" s="1" t="n">
        <f aca="false">IF(OR(NOT(AND(ISNUMBER(E40),ISNUMBER(F40))),$J$2=""),"",IF(Reprogramaciones!Q$13&lt;Reprogramaciones!$T$15,0,IF(Reprogramaciones!Q$14&gt;10,MIN(100,SUM($G40:$P40)),MIN(100,SUMPRODUCT((COLUMN($G40:$P40)-COLUMN($G40)+1&lt;Reprogramaciones!Q$14)*$G40:$P40)+N(INDEX($G40:$P40,1,Reprogramaciones!Q$14))*IF(Reprogramaciones!Q$13&gt;=(Reprogramaciones!$T$15+7*(Reprogramaciones!Q$14-1))+6,1,IF(MAX(0,NETWORKDAYS.INTL(MAX(E40,(Reprogramaciones!$T$15+7*(Reprogramaciones!Q$14-1))),MIN(F40,(Reprogramaciones!$T$15+7*(Reprogramaciones!Q$14-1))+6),11))=0,0,MAX(0,NETWORKDAYS.INTL(MAX(E40,(Reprogramaciones!$T$15+7*(Reprogramaciones!Q$14-1))),MIN(F40,Reprogramaciones!Q$13),11))/MAX(0,NETWORKDAYS.INTL(MAX(E40,(Reprogramaciones!$T$15+7*(Reprogramaciones!Q$14-1))),MIN(F40,(Reprogramaciones!$T$15+7*(Reprogramaciones!Q$14-1))+6),11))))))))</f>
        <v>100</v>
      </c>
      <c r="CA40" s="1" t="n">
        <f aca="false">IF(OR(NOT(AND(ISNUMBER(E40),ISNUMBER(F40))),$J$2=""),"",IF(Reprogramaciones!R$13&lt;Reprogramaciones!$T$15,0,IF(Reprogramaciones!R$14&gt;10,MIN(100,SUM($G40:$P40)),MIN(100,SUMPRODUCT((COLUMN($G40:$P40)-COLUMN($G40)+1&lt;Reprogramaciones!R$14)*$G40:$P40)+N(INDEX($G40:$P40,1,Reprogramaciones!R$14))*IF(Reprogramaciones!R$13&gt;=(Reprogramaciones!$T$15+7*(Reprogramaciones!R$14-1))+6,1,IF(MAX(0,NETWORKDAYS.INTL(MAX(E40,(Reprogramaciones!$T$15+7*(Reprogramaciones!R$14-1))),MIN(F40,(Reprogramaciones!$T$15+7*(Reprogramaciones!R$14-1))+6),11))=0,0,MAX(0,NETWORKDAYS.INTL(MAX(E40,(Reprogramaciones!$T$15+7*(Reprogramaciones!R$14-1))),MIN(F40,Reprogramaciones!R$13),11))/MAX(0,NETWORKDAYS.INTL(MAX(E40,(Reprogramaciones!$T$15+7*(Reprogramaciones!R$14-1))),MIN(F40,(Reprogramaciones!$T$15+7*(Reprogramaciones!R$14-1))+6),11))))))))</f>
        <v>100</v>
      </c>
      <c r="CB40" s="1" t="n">
        <f aca="false">IF(OR(NOT(AND(ISNUMBER(E40),ISNUMBER(F40))),$J$2=""),"",IF(Reprogramaciones!S$13&lt;Reprogramaciones!$T$15,0,IF(Reprogramaciones!S$14&gt;10,MIN(100,SUM($G40:$P40)),MIN(100,SUMPRODUCT((COLUMN($G40:$P40)-COLUMN($G40)+1&lt;Reprogramaciones!S$14)*$G40:$P40)+N(INDEX($G40:$P40,1,Reprogramaciones!S$14))*IF(Reprogramaciones!S$13&gt;=(Reprogramaciones!$T$15+7*(Reprogramaciones!S$14-1))+6,1,IF(MAX(0,NETWORKDAYS.INTL(MAX(E40,(Reprogramaciones!$T$15+7*(Reprogramaciones!S$14-1))),MIN(F40,(Reprogramaciones!$T$15+7*(Reprogramaciones!S$14-1))+6),11))=0,0,MAX(0,NETWORKDAYS.INTL(MAX(E40,(Reprogramaciones!$T$15+7*(Reprogramaciones!S$14-1))),MIN(F40,Reprogramaciones!S$13),11))/MAX(0,NETWORKDAYS.INTL(MAX(E40,(Reprogramaciones!$T$15+7*(Reprogramaciones!S$14-1))),MIN(F40,(Reprogramaciones!$T$15+7*(Reprogramaciones!S$14-1))+6),11))))))))</f>
        <v>100</v>
      </c>
      <c r="CC40" s="1" t="n">
        <f aca="false">IF(OR(NOT(AND(ISNUMBER(E40),ISNUMBER(F40))),$J$2=""),"",IF(Reprogramaciones!T$13&lt;Reprogramaciones!$T$15,0,IF(Reprogramaciones!T$14&gt;10,MIN(100,SUM($G40:$P40)),MIN(100,SUMPRODUCT((COLUMN($G40:$P40)-COLUMN($G40)+1&lt;Reprogramaciones!T$14)*$G40:$P40)+N(INDEX($G40:$P40,1,Reprogramaciones!T$14))*IF(Reprogramaciones!T$13&gt;=(Reprogramaciones!$T$15+7*(Reprogramaciones!T$14-1))+6,1,IF(MAX(0,NETWORKDAYS.INTL(MAX(E40,(Reprogramaciones!$T$15+7*(Reprogramaciones!T$14-1))),MIN(F40,(Reprogramaciones!$T$15+7*(Reprogramaciones!T$14-1))+6),11))=0,0,MAX(0,NETWORKDAYS.INTL(MAX(E40,(Reprogramaciones!$T$15+7*(Reprogramaciones!T$14-1))),MIN(F40,Reprogramaciones!T$13),11))/MAX(0,NETWORKDAYS.INTL(MAX(E40,(Reprogramaciones!$T$15+7*(Reprogramaciones!T$14-1))),MIN(F40,(Reprogramaciones!$T$15+7*(Reprogramaciones!T$14-1))+6),11))))))))</f>
        <v>100</v>
      </c>
      <c r="CD40" s="1" t="n">
        <f aca="false">IF(OR(NOT(AND(ISNUMBER(E40),ISNUMBER(F40))),$J$2=""),"",IF(Reprogramaciones!U$13&lt;Reprogramaciones!$T$15,0,IF(Reprogramaciones!U$14&gt;10,MIN(100,SUM($G40:$P40)),MIN(100,SUMPRODUCT((COLUMN($G40:$P40)-COLUMN($G40)+1&lt;Reprogramaciones!U$14)*$G40:$P40)+N(INDEX($G40:$P40,1,Reprogramaciones!U$14))*IF(Reprogramaciones!U$13&gt;=(Reprogramaciones!$T$15+7*(Reprogramaciones!U$14-1))+6,1,IF(MAX(0,NETWORKDAYS.INTL(MAX(E40,(Reprogramaciones!$T$15+7*(Reprogramaciones!U$14-1))),MIN(F40,(Reprogramaciones!$T$15+7*(Reprogramaciones!U$14-1))+6),11))=0,0,MAX(0,NETWORKDAYS.INTL(MAX(E40,(Reprogramaciones!$T$15+7*(Reprogramaciones!U$14-1))),MIN(F40,Reprogramaciones!U$13),11))/MAX(0,NETWORKDAYS.INTL(MAX(E40,(Reprogramaciones!$T$15+7*(Reprogramaciones!U$14-1))),MIN(F40,(Reprogramaciones!$T$15+7*(Reprogramaciones!U$14-1))+6),11))))))))</f>
        <v>100</v>
      </c>
      <c r="CE40" s="1" t="n">
        <f aca="false">IF(OR(NOT(AND(ISNUMBER(E40),ISNUMBER(F40))),$J$2=""),"",IF(Reprogramaciones!V$13&lt;Reprogramaciones!$T$15,0,IF(Reprogramaciones!V$14&gt;10,MIN(100,SUM($G40:$P40)),MIN(100,SUMPRODUCT((COLUMN($G40:$P40)-COLUMN($G40)+1&lt;Reprogramaciones!V$14)*$G40:$P40)+N(INDEX($G40:$P40,1,Reprogramaciones!V$14))*IF(Reprogramaciones!V$13&gt;=(Reprogramaciones!$T$15+7*(Reprogramaciones!V$14-1))+6,1,IF(MAX(0,NETWORKDAYS.INTL(MAX(E40,(Reprogramaciones!$T$15+7*(Reprogramaciones!V$14-1))),MIN(F40,(Reprogramaciones!$T$15+7*(Reprogramaciones!V$14-1))+6),11))=0,0,MAX(0,NETWORKDAYS.INTL(MAX(E40,(Reprogramaciones!$T$15+7*(Reprogramaciones!V$14-1))),MIN(F40,Reprogramaciones!V$13),11))/MAX(0,NETWORKDAYS.INTL(MAX(E40,(Reprogramaciones!$T$15+7*(Reprogramaciones!V$14-1))),MIN(F40,(Reprogramaciones!$T$15+7*(Reprogramaciones!V$14-1))+6),11))))))))</f>
        <v>100</v>
      </c>
      <c r="CF40" s="1" t="n">
        <f aca="false">IF(OR(NOT(AND(ISNUMBER(E40),ISNUMBER(F40))),$J$2=""),"",IF(Reprogramaciones!W$13&lt;Reprogramaciones!$T$15,0,IF(Reprogramaciones!W$14&gt;10,MIN(100,SUM($G40:$P40)),MIN(100,SUMPRODUCT((COLUMN($G40:$P40)-COLUMN($G40)+1&lt;Reprogramaciones!W$14)*$G40:$P40)+N(INDEX($G40:$P40,1,Reprogramaciones!W$14))*IF(Reprogramaciones!W$13&gt;=(Reprogramaciones!$T$15+7*(Reprogramaciones!W$14-1))+6,1,IF(MAX(0,NETWORKDAYS.INTL(MAX(E40,(Reprogramaciones!$T$15+7*(Reprogramaciones!W$14-1))),MIN(F40,(Reprogramaciones!$T$15+7*(Reprogramaciones!W$14-1))+6),11))=0,0,MAX(0,NETWORKDAYS.INTL(MAX(E40,(Reprogramaciones!$T$15+7*(Reprogramaciones!W$14-1))),MIN(F40,Reprogramaciones!W$13),11))/MAX(0,NETWORKDAYS.INTL(MAX(E40,(Reprogramaciones!$T$15+7*(Reprogramaciones!W$14-1))),MIN(F40,(Reprogramaciones!$T$15+7*(Reprogramaciones!W$14-1))+6),11))))))))</f>
        <v>100</v>
      </c>
      <c r="CG40" s="1" t="n">
        <f aca="false">IF(OR(NOT(AND(ISNUMBER(E40),ISNUMBER(F40))),$J$2=""),"",IF(Reprogramaciones!X$13&lt;Reprogramaciones!$T$15,0,IF(Reprogramaciones!X$14&gt;10,MIN(100,SUM($G40:$P40)),MIN(100,SUMPRODUCT((COLUMN($G40:$P40)-COLUMN($G40)+1&lt;Reprogramaciones!X$14)*$G40:$P40)+N(INDEX($G40:$P40,1,Reprogramaciones!X$14))*IF(Reprogramaciones!X$13&gt;=(Reprogramaciones!$T$15+7*(Reprogramaciones!X$14-1))+6,1,IF(MAX(0,NETWORKDAYS.INTL(MAX(E40,(Reprogramaciones!$T$15+7*(Reprogramaciones!X$14-1))),MIN(F40,(Reprogramaciones!$T$15+7*(Reprogramaciones!X$14-1))+6),11))=0,0,MAX(0,NETWORKDAYS.INTL(MAX(E40,(Reprogramaciones!$T$15+7*(Reprogramaciones!X$14-1))),MIN(F40,Reprogramaciones!X$13),11))/MAX(0,NETWORKDAYS.INTL(MAX(E40,(Reprogramaciones!$T$15+7*(Reprogramaciones!X$14-1))),MIN(F40,(Reprogramaciones!$T$15+7*(Reprogramaciones!X$14-1))+6),11))))))))</f>
        <v>100</v>
      </c>
      <c r="CH40" s="1" t="n">
        <f aca="false">IF(OR(NOT(AND(ISNUMBER(E40),ISNUMBER(F40))),$J$2=""),"",IF(Reprogramaciones!Y$13&lt;Reprogramaciones!$T$15,0,IF(Reprogramaciones!Y$14&gt;10,MIN(100,SUM($G40:$P40)),MIN(100,SUMPRODUCT((COLUMN($G40:$P40)-COLUMN($G40)+1&lt;Reprogramaciones!Y$14)*$G40:$P40)+N(INDEX($G40:$P40,1,Reprogramaciones!Y$14))*IF(Reprogramaciones!Y$13&gt;=(Reprogramaciones!$T$15+7*(Reprogramaciones!Y$14-1))+6,1,IF(MAX(0,NETWORKDAYS.INTL(MAX(E40,(Reprogramaciones!$T$15+7*(Reprogramaciones!Y$14-1))),MIN(F40,(Reprogramaciones!$T$15+7*(Reprogramaciones!Y$14-1))+6),11))=0,0,MAX(0,NETWORKDAYS.INTL(MAX(E40,(Reprogramaciones!$T$15+7*(Reprogramaciones!Y$14-1))),MIN(F40,Reprogramaciones!Y$13),11))/MAX(0,NETWORKDAYS.INTL(MAX(E40,(Reprogramaciones!$T$15+7*(Reprogramaciones!Y$14-1))),MIN(F40,(Reprogramaciones!$T$15+7*(Reprogramaciones!Y$14-1))+6),11))))))))</f>
        <v>100</v>
      </c>
      <c r="CI40" s="1" t="n">
        <f aca="false">IF(OR(NOT(AND(ISNUMBER(E40),ISNUMBER(F40))),$J$2=""),"",IF(Reprogramaciones!Z$13&lt;Reprogramaciones!$T$15,0,IF(Reprogramaciones!Z$14&gt;10,MIN(100,SUM($G40:$P40)),MIN(100,SUMPRODUCT((COLUMN($G40:$P40)-COLUMN($G40)+1&lt;Reprogramaciones!Z$14)*$G40:$P40)+N(INDEX($G40:$P40,1,Reprogramaciones!Z$14))*IF(Reprogramaciones!Z$13&gt;=(Reprogramaciones!$T$15+7*(Reprogramaciones!Z$14-1))+6,1,IF(MAX(0,NETWORKDAYS.INTL(MAX(E40,(Reprogramaciones!$T$15+7*(Reprogramaciones!Z$14-1))),MIN(F40,(Reprogramaciones!$T$15+7*(Reprogramaciones!Z$14-1))+6),11))=0,0,MAX(0,NETWORKDAYS.INTL(MAX(E40,(Reprogramaciones!$T$15+7*(Reprogramaciones!Z$14-1))),MIN(F40,Reprogramaciones!Z$13),11))/MAX(0,NETWORKDAYS.INTL(MAX(E40,(Reprogramaciones!$T$15+7*(Reprogramaciones!Z$14-1))),MIN(F40,(Reprogramaciones!$T$15+7*(Reprogramaciones!Z$14-1))+6),11))))))))</f>
        <v>100</v>
      </c>
      <c r="CJ40" s="1" t="n">
        <f aca="false">IF(OR(OR(NOT(AND(ISNUMBER(E40),ISNUMBER(F40))),$J$2=""),1&gt;Reprogramaciones!$K$16),"",IF(ROUND(SUM($Q40:Q40),1)&gt;=99.5,100,MIN(100,ROUND(SUM($Q40:Q40),1))))</f>
        <v>0</v>
      </c>
      <c r="CK40" s="1" t="n">
        <f aca="false">IF(OR(OR(NOT(AND(ISNUMBER(E40),ISNUMBER(F40))),$J$2=""),2&gt;Reprogramaciones!$K$16),"",IF(ROUND(SUM($Q40:R40),1)&gt;=99.5,100,MIN(100,ROUND(SUM($Q40:R40),1))))</f>
        <v>0</v>
      </c>
      <c r="CL40" s="1" t="n">
        <f aca="false">IF(OR(OR(NOT(AND(ISNUMBER(E40),ISNUMBER(F40))),$J$2=""),3&gt;Reprogramaciones!$K$16),"",IF(ROUND(SUM($Q40:S40),1)&gt;=99.5,100,MIN(100,ROUND(SUM($Q40:S40),1))))</f>
        <v>0</v>
      </c>
      <c r="CM40" s="1" t="n">
        <f aca="false">IF(OR(OR(NOT(AND(ISNUMBER(E40),ISNUMBER(F40))),$J$2=""),4&gt;Reprogramaciones!$K$16),"",IF(ROUND(SUM($Q40:T40),1)&gt;=99.5,100,MIN(100,ROUND(SUM($Q40:T40),1))))</f>
        <v>50</v>
      </c>
      <c r="CN40" s="1" t="n">
        <f aca="false">IF(OR(OR(NOT(AND(ISNUMBER(E40),ISNUMBER(F40))),$J$2=""),5&gt;Reprogramaciones!$K$16),"",IF(ROUND(SUM($Q40:U40),1)&gt;=99.5,100,MIN(100,ROUND(SUM($Q40:U40),1))))</f>
        <v>50</v>
      </c>
      <c r="CO40" s="1" t="str">
        <f aca="false">IF(OR(OR(NOT(AND(ISNUMBER(E40),ISNUMBER(F40))),$J$2=""),6&gt;Reprogramaciones!$K$16),"",IF(ROUND(SUM($Q40:V40),1)&gt;=99.5,100,MIN(100,ROUND(SUM($Q40:V40),1))))</f>
        <v/>
      </c>
      <c r="CP40" s="1" t="str">
        <f aca="false">IF(OR(OR(NOT(AND(ISNUMBER(E40),ISNUMBER(F40))),$J$2=""),7&gt;Reprogramaciones!$K$16),"",IF(ROUND(SUM($Q40:W40),1)&gt;=99.5,100,MIN(100,ROUND(SUM($Q40:W40),1))))</f>
        <v/>
      </c>
      <c r="CQ40" s="1" t="str">
        <f aca="false">IF(OR(OR(NOT(AND(ISNUMBER(E40),ISNUMBER(F40))),$J$2=""),8&gt;Reprogramaciones!$K$16),"",IF(ROUND(SUM($Q40:X40),1)&gt;=99.5,100,MIN(100,ROUND(SUM($Q40:X40),1))))</f>
        <v/>
      </c>
      <c r="CR40" s="1" t="str">
        <f aca="false">IF(OR(OR(NOT(AND(ISNUMBER(E40),ISNUMBER(F40))),$J$2=""),9&gt;Reprogramaciones!$K$16),"",IF(ROUND(SUM($Q40:Y40),1)&gt;=99.5,100,MIN(100,ROUND(SUM($Q40:Y40),1))))</f>
        <v/>
      </c>
      <c r="CS40" s="1" t="str">
        <f aca="false">IF(OR(OR(NOT(AND(ISNUMBER(E40),ISNUMBER(F40))),$J$2=""),10&gt;Reprogramaciones!$K$16),"",IF(ROUND(SUM($Q40:Z40),1)&gt;=99.5,100,MIN(100,ROUND(SUM($Q40:Z40),1))))</f>
        <v/>
      </c>
      <c r="CT40" s="1" t="str">
        <f aca="false">IF(OR(OR(NOT(AND(ISNUMBER(E40),ISNUMBER(F40))),$J$2=""),11&gt;Reprogramaciones!$K$16),"",IF(ROUND(SUM($Q40:AA40),1)&gt;=99.5,100,MIN(100,ROUND(SUM($Q40:AA40),1))))</f>
        <v/>
      </c>
      <c r="CU40" s="1" t="str">
        <f aca="false">IF(OR(OR(NOT(AND(ISNUMBER(E40),ISNUMBER(F40))),$J$2=""),12&gt;Reprogramaciones!$K$16),"",IF(ROUND(SUM($Q40:AB40),1)&gt;=99.5,100,MIN(100,ROUND(SUM($Q40:AB40),1))))</f>
        <v/>
      </c>
      <c r="CV40" s="1" t="str">
        <f aca="false">IF(OR(OR(NOT(AND(ISNUMBER(E40),ISNUMBER(F40))),$J$2=""),13&gt;Reprogramaciones!$K$16),"",IF(ROUND(SUM($Q40:AC40),1)&gt;=99.5,100,MIN(100,ROUND(SUM($Q40:AC40),1))))</f>
        <v/>
      </c>
      <c r="CW40" s="1" t="str">
        <f aca="false">IF(OR(OR(NOT(AND(ISNUMBER(E40),ISNUMBER(F40))),$J$2=""),14&gt;Reprogramaciones!$K$16),"",IF(ROUND(SUM($Q40:AD40),1)&gt;=99.5,100,MIN(100,ROUND(SUM($Q40:AD40),1))))</f>
        <v/>
      </c>
      <c r="CX40" s="1" t="str">
        <f aca="false">IF(OR(OR(NOT(AND(ISNUMBER(E40),ISNUMBER(F40))),$J$2=""),15&gt;Reprogramaciones!$K$16),"",IF(ROUND(SUM($Q40:AE40),1)&gt;=99.5,100,MIN(100,ROUND(SUM($Q40:AE40),1))))</f>
        <v/>
      </c>
      <c r="CY40" s="1" t="str">
        <f aca="false">IF(OR(OR(NOT(AND(ISNUMBER(E40),ISNUMBER(F40))),$J$2=""),16&gt;Reprogramaciones!$K$16),"",IF(ROUND(SUM($Q40:AF40),1)&gt;=99.5,100,MIN(100,ROUND(SUM($Q40:AF40),1))))</f>
        <v/>
      </c>
      <c r="CZ40" s="1" t="str">
        <f aca="false">IF(D40&lt;&gt;"",D40,IF(B40&lt;&gt;"","Contractual",CZ39))</f>
        <v>Contractual</v>
      </c>
      <c r="DA40" s="1" t="n">
        <f aca="false">IF(OR(NOT(AND(ISNUMBER(E40),ISNUMBER(F40))),$J$2=""),"",IF(Reprogramaciones!$Q$15&lt;Reprogramaciones!$T$15,0,IF(Reprogramaciones!$S$15&gt;10,MIN(100,SUM($G40:$P40)),MIN(100,SUMPRODUCT((COLUMN($G40:$P40)-COLUMN($G40)+1&lt;Reprogramaciones!$S$15)*$G40:$P40)+N(INDEX($G40:$P40,1,Reprogramaciones!$S$15))*IF(Reprogramaciones!$Q$15&gt;=(Reprogramaciones!$T$15+7*(Reprogramaciones!$S$15-1))+6,1,IF(MAX(0,NETWORKDAYS.INTL(MAX(E40,(Reprogramaciones!$T$15+7*(Reprogramaciones!$S$15-1))),MIN(F40,(Reprogramaciones!$T$15+7*(Reprogramaciones!$S$15-1))+6),11))=0,0,MAX(0,NETWORKDAYS.INTL(MAX(E40,(Reprogramaciones!$T$15+7*(Reprogramaciones!$S$15-1))),MIN(F40,Reprogramaciones!$Q$15),11))/MAX(0,NETWORKDAYS.INTL(MAX(E40,(Reprogramaciones!$T$15+7*(Reprogramaciones!$S$15-1))),MIN(F40,(Reprogramaciones!$T$15+7*(Reprogramaciones!$S$15-1))+6),11))))))))</f>
        <v>100</v>
      </c>
    </row>
    <row r="41" customFormat="false" ht="15" hidden="false" customHeight="false" outlineLevel="0" collapsed="false">
      <c r="A41" s="32" t="s">
        <v>223</v>
      </c>
      <c r="B41" s="33"/>
      <c r="C41" s="33" t="s">
        <v>224</v>
      </c>
      <c r="D41" s="34"/>
      <c r="E41" s="35" t="n">
        <v>46314</v>
      </c>
      <c r="F41" s="35" t="n">
        <v>46318</v>
      </c>
      <c r="G41" s="36" t="n">
        <f aca="false">IF(OR(NOT(AND(ISNUMBER(E41),ISNUMBER(F41))),$J$2=""),"",IF(Reprogramaciones!K$9&lt;E41,0,IF(NETWORKDAYS.INTL(E41,F41,11)=0,IF(Reprogramaciones!K$9&gt;=F41,100,0),ROUND(NETWORKDAYS.INTL(E41,MIN(F41,Reprogramaciones!K$9),11)/NETWORKDAYS.INTL(E41,F41,11)*100,1)))-0)</f>
        <v>0</v>
      </c>
      <c r="H41" s="36" t="n">
        <f aca="false">IF(OR(NOT(AND(ISNUMBER(E41),ISNUMBER(F41))),$J$2=""),"",IF(Reprogramaciones!L$9&lt;E41,0,IF(NETWORKDAYS.INTL(E41,F41,11)=0,IF(Reprogramaciones!L$9&gt;=F41,100,0),ROUND(NETWORKDAYS.INTL(E41,MIN(F41,Reprogramaciones!L$9),11)/NETWORKDAYS.INTL(E41,F41,11)*100,1)))-IF(Reprogramaciones!K$9&lt;E41,0,IF(NETWORKDAYS.INTL(E41,F41,11)=0,IF(Reprogramaciones!K$9&gt;=F41,100,0),ROUND(NETWORKDAYS.INTL(E41,MIN(F41,Reprogramaciones!K$9),11)/NETWORKDAYS.INTL(E41,F41,11)*100,1))))</f>
        <v>0</v>
      </c>
      <c r="I41" s="36" t="n">
        <f aca="false">IF(OR(NOT(AND(ISNUMBER(E41),ISNUMBER(F41))),$J$2=""),"",IF(Reprogramaciones!M$9&lt;E41,0,IF(NETWORKDAYS.INTL(E41,F41,11)=0,IF(Reprogramaciones!M$9&gt;=F41,100,0),ROUND(NETWORKDAYS.INTL(E41,MIN(F41,Reprogramaciones!M$9),11)/NETWORKDAYS.INTL(E41,F41,11)*100,1)))-IF(Reprogramaciones!L$9&lt;E41,0,IF(NETWORKDAYS.INTL(E41,F41,11)=0,IF(Reprogramaciones!L$9&gt;=F41,100,0),ROUND(NETWORKDAYS.INTL(E41,MIN(F41,Reprogramaciones!L$9),11)/NETWORKDAYS.INTL(E41,F41,11)*100,1))))</f>
        <v>0</v>
      </c>
      <c r="J41" s="36" t="n">
        <f aca="false">IF(OR(NOT(AND(ISNUMBER(E41),ISNUMBER(F41))),$J$2=""),"",IF(Reprogramaciones!N$9&lt;E41,0,IF(NETWORKDAYS.INTL(E41,F41,11)=0,IF(Reprogramaciones!N$9&gt;=F41,100,0),ROUND(NETWORKDAYS.INTL(E41,MIN(F41,Reprogramaciones!N$9),11)/NETWORKDAYS.INTL(E41,F41,11)*100,1)))-IF(Reprogramaciones!M$9&lt;E41,0,IF(NETWORKDAYS.INTL(E41,F41,11)=0,IF(Reprogramaciones!M$9&gt;=F41,100,0),ROUND(NETWORKDAYS.INTL(E41,MIN(F41,Reprogramaciones!M$9),11)/NETWORKDAYS.INTL(E41,F41,11)*100,1))))</f>
        <v>0</v>
      </c>
      <c r="K41" s="36" t="n">
        <f aca="false">IF(OR(NOT(AND(ISNUMBER(E41),ISNUMBER(F41))),$J$2=""),"",IF(Reprogramaciones!O$9&lt;E41,0,IF(NETWORKDAYS.INTL(E41,F41,11)=0,IF(Reprogramaciones!O$9&gt;=F41,100,0),ROUND(NETWORKDAYS.INTL(E41,MIN(F41,Reprogramaciones!O$9),11)/NETWORKDAYS.INTL(E41,F41,11)*100,1)))-IF(Reprogramaciones!N$9&lt;E41,0,IF(NETWORKDAYS.INTL(E41,F41,11)=0,IF(Reprogramaciones!N$9&gt;=F41,100,0),ROUND(NETWORKDAYS.INTL(E41,MIN(F41,Reprogramaciones!N$9),11)/NETWORKDAYS.INTL(E41,F41,11)*100,1))))</f>
        <v>100</v>
      </c>
      <c r="L41" s="36" t="n">
        <f aca="false">IF(OR(NOT(AND(ISNUMBER(E41),ISNUMBER(F41))),$J$2=""),"",IF(Reprogramaciones!P$9&lt;E41,0,IF(NETWORKDAYS.INTL(E41,F41,11)=0,IF(Reprogramaciones!P$9&gt;=F41,100,0),ROUND(NETWORKDAYS.INTL(E41,MIN(F41,Reprogramaciones!P$9),11)/NETWORKDAYS.INTL(E41,F41,11)*100,1)))-IF(Reprogramaciones!O$9&lt;E41,0,IF(NETWORKDAYS.INTL(E41,F41,11)=0,IF(Reprogramaciones!O$9&gt;=F41,100,0),ROUND(NETWORKDAYS.INTL(E41,MIN(F41,Reprogramaciones!O$9),11)/NETWORKDAYS.INTL(E41,F41,11)*100,1))))</f>
        <v>0</v>
      </c>
      <c r="M41" s="36" t="n">
        <f aca="false">IF(OR(NOT(AND(ISNUMBER(E41),ISNUMBER(F41))),$J$2=""),"",IF(Reprogramaciones!Q$9&lt;E41,0,IF(NETWORKDAYS.INTL(E41,F41,11)=0,IF(Reprogramaciones!Q$9&gt;=F41,100,0),ROUND(NETWORKDAYS.INTL(E41,MIN(F41,Reprogramaciones!Q$9),11)/NETWORKDAYS.INTL(E41,F41,11)*100,1)))-IF(Reprogramaciones!P$9&lt;E41,0,IF(NETWORKDAYS.INTL(E41,F41,11)=0,IF(Reprogramaciones!P$9&gt;=F41,100,0),ROUND(NETWORKDAYS.INTL(E41,MIN(F41,Reprogramaciones!P$9),11)/NETWORKDAYS.INTL(E41,F41,11)*100,1))))</f>
        <v>0</v>
      </c>
      <c r="N41" s="36" t="n">
        <f aca="false">IF(OR(NOT(AND(ISNUMBER(E41),ISNUMBER(F41))),$J$2=""),"",IF(Reprogramaciones!R$9&lt;E41,0,IF(NETWORKDAYS.INTL(E41,F41,11)=0,IF(Reprogramaciones!R$9&gt;=F41,100,0),ROUND(NETWORKDAYS.INTL(E41,MIN(F41,Reprogramaciones!R$9),11)/NETWORKDAYS.INTL(E41,F41,11)*100,1)))-IF(Reprogramaciones!Q$9&lt;E41,0,IF(NETWORKDAYS.INTL(E41,F41,11)=0,IF(Reprogramaciones!Q$9&gt;=F41,100,0),ROUND(NETWORKDAYS.INTL(E41,MIN(F41,Reprogramaciones!Q$9),11)/NETWORKDAYS.INTL(E41,F41,11)*100,1))))</f>
        <v>0</v>
      </c>
      <c r="O41" s="36" t="n">
        <f aca="false">IF(OR(NOT(AND(ISNUMBER(E41),ISNUMBER(F41))),$J$2=""),"",IF(Reprogramaciones!S$9&lt;E41,0,IF(NETWORKDAYS.INTL(E41,F41,11)=0,IF(Reprogramaciones!S$9&gt;=F41,100,0),ROUND(NETWORKDAYS.INTL(E41,MIN(F41,Reprogramaciones!S$9),11)/NETWORKDAYS.INTL(E41,F41,11)*100,1)))-IF(Reprogramaciones!R$9&lt;E41,0,IF(NETWORKDAYS.INTL(E41,F41,11)=0,IF(Reprogramaciones!R$9&gt;=F41,100,0),ROUND(NETWORKDAYS.INTL(E41,MIN(F41,Reprogramaciones!R$9),11)/NETWORKDAYS.INTL(E41,F41,11)*100,1))))</f>
        <v>0</v>
      </c>
      <c r="P41" s="36" t="n">
        <f aca="false">IF(OR(NOT(AND(ISNUMBER(E41),ISNUMBER(F41))),$J$2=""),"",IF(Reprogramaciones!T$9&lt;E41,0,IF(NETWORKDAYS.INTL(E41,F41,11)=0,IF(Reprogramaciones!T$9&gt;=F41,100,0),ROUND(NETWORKDAYS.INTL(E41,MIN(F41,Reprogramaciones!T$9),11)/NETWORKDAYS.INTL(E41,F41,11)*100,1)))-IF(Reprogramaciones!S$9&lt;E41,0,IF(NETWORKDAYS.INTL(E41,F41,11)=0,IF(Reprogramaciones!S$9&gt;=F41,100,0),ROUND(NETWORKDAYS.INTL(E41,MIN(F41,Reprogramaciones!S$9),11)/NETWORKDAYS.INTL(E41,F41,11)*100,1))))</f>
        <v>0</v>
      </c>
      <c r="Q41" s="37"/>
      <c r="R41" s="37"/>
      <c r="S41" s="37"/>
      <c r="T41" s="37"/>
      <c r="U41" s="37"/>
      <c r="V41" s="37"/>
      <c r="W41" s="37"/>
      <c r="X41" s="37"/>
      <c r="Y41" s="37"/>
      <c r="Z41" s="37"/>
      <c r="AA41" s="37"/>
      <c r="AB41" s="37"/>
      <c r="AC41" s="37"/>
      <c r="AD41" s="37"/>
      <c r="AE41" s="37"/>
      <c r="AF41" s="37"/>
      <c r="AG41" s="38" t="n">
        <f aca="false">IF(AND(ISNUMBER(E41),ISNUMBER(F41)),NETWORKDAYS.INTL(E41,F41,11),"")</f>
        <v>5</v>
      </c>
      <c r="AH41" s="38" t="n">
        <f aca="false">IF(OR(NOT(AND(ISNUMBER(E41),ISNUMBER(F41))),$J$2=""),"",IF(Reprogramaciones!$P$15&lt;Reprogramaciones!$T$15,0,IF(Reprogramaciones!$R$15&gt;10,MIN(100,SUM($G41:$P41)),MIN(100,SUMPRODUCT((COLUMN($G41:$P41)-COLUMN($G41)+1&lt;Reprogramaciones!$R$15)*$G41:$P41)+N(INDEX($G41:$P41,1,Reprogramaciones!$R$15))*IF(Reprogramaciones!$P$15&gt;=(Reprogramaciones!$T$15+7*(Reprogramaciones!$R$15-1))+6,1,IF(MAX(0,NETWORKDAYS.INTL(MAX(E41,(Reprogramaciones!$T$15+7*(Reprogramaciones!$R$15-1))),MIN(F41,(Reprogramaciones!$T$15+7*(Reprogramaciones!$R$15-1))+6),11))=0,0,MAX(0,NETWORKDAYS.INTL(MAX(E41,(Reprogramaciones!$T$15+7*(Reprogramaciones!$R$15-1))),MIN(F41,Reprogramaciones!$P$15),11))/MAX(0,NETWORKDAYS.INTL(MAX(E41,(Reprogramaciones!$T$15+7*(Reprogramaciones!$R$15-1))),MIN(F41,(Reprogramaciones!$T$15+7*(Reprogramaciones!$R$15-1))+6),11))))))))</f>
        <v>0</v>
      </c>
      <c r="AI41" s="38" t="str">
        <f aca="false">IF(COUNT($Q41:$AF41)=0,"",IF(ROUND(SUM($Q41:$AF41),1)&gt;=99.5,100,MIN(100,ROUND(SUM($Q41:$AF41),1))))</f>
        <v/>
      </c>
      <c r="AJ41" s="38" t="str">
        <f aca="false">IF(OR(AH41="",AI41=""),"",AI41-AH41)</f>
        <v/>
      </c>
      <c r="AK41" s="39" t="str">
        <f aca="true">IF(AH41="","",IF(OR(Ficha!$C$10="Suspendida",Ficha!$C$10="Cancelada"),Ficha!$C$10,IF(AND(AI41&lt;&gt;"",N(AI41)&gt;=100),"Completada",IF(AND(E41&gt;TODAY(),N(AI41)=0),"Por iniciar",IF(N(AI41)+0.5&lt;AH41,"Retrasada",IF(N(AI41)+0.5&lt;DA41,IF(Reprogramaciones!$K$15&gt;0,"Al día · Sem "&amp;Reprogramaciones!$K$15&amp;" en curso","Al día · en curso"),"A tiempo"))))))</f>
        <v>Al día · Sem 5 en curso</v>
      </c>
      <c r="AL41" s="39" t="str">
        <f aca="true">IF(AND(A41="",AND(B41="",C41="",E41="",F41="",COUNT(Q41:AF41)=0)),"",IF(AND(B41="",C41="",E41="",F41="",COUNT(Q41:AF41)=0),"Falta la partida o subpartida",IF(AND(A41&lt;&gt;"",COUNTIF($A$6:$A$305,A41)&gt;1),"Ítem repetido",IF(AND(C41="",E41="",F41="",COUNT(Q41:AF41)=0),"Título de partida",IF(OR(E41="",F41=""),"Faltan fechas",IF(OR(ISTEXT(E41),ISTEXT(F41)),"Fecha escrita como texto: usa dd/mm/aaaa",IF(F41&lt;E41,"Fin antes del inicio",IF(IF($J$2="",FALSE(),OR(E41&lt;$J$2,F41&gt;Reprogramaciones!$T$15+69)),"Fuera de las 10 semanas",IF(ABS(SUM(G41:P41)-100)&gt;0.5,"La meta no suma 100%",IF(ROUND(SUM(Q41:AF41),1)&gt;100.5,"El avance pasa de 100%",IF(MIN(Q41:AF41)&lt;0,"Avance negativo",IF(COUNTA(Q41:AF41)&gt;COUNT(Q41:AF41),"Avance escrito como texto",IF(SUMPRODUCT((Q41:AF41&gt;0)*(Q41:AF41&lt;1))&gt;0,"Avance menor a 1: escribe 50, no 50%",IF(SUMPRODUCT(ISNUMBER(Q41:AF41)*(Reprogramaciones!$K$8:$Z$8&gt;TODAY()))&gt;0,"Avance en semana que aún no llega",IF(AND(N(Reprogramaciones!$E$21)&gt;0,F41&gt;Reprogramaciones!$E$21),"Pasa el fin de la obra: registra una reprogramación",IF(AND(N(Reprogramaciones!$E$21)&gt;0,SUMPRODUCT(ISNUMBER(Q41:AF41)*(Reprogramaciones!$K$8:$Z$8&gt;Reprogramaciones!$E$21))&gt;0),"Avance después del fin de la obra: registra una reprogramación por atraso","OK"))))))))))))))))</f>
        <v>OK</v>
      </c>
      <c r="AM41" s="40" t="str">
        <f aca="false">IF(OR(OR(NOT(AND(ISNUMBER(E41),ISNUMBER(F41))),$J$2=""),1&gt;MAX(1,Reprogramaciones!$U$15)),"",IF(Reprogramaciones!K$12&gt;=7,"",IF(OR(BT41-N(0)&gt;0.05,N(Q41)&gt;0),ROUNDDOWN(ROUND(BT41,6),0)&amp;"%"&amp;IF(CJ41="",""," / "&amp;CJ41&amp;"%"),IF(AND(N(0)&gt;=99.95,CJ41&lt;&gt;"",N(CJ41)&lt;100),"Pend. "&amp;CJ41&amp;"%",""))))</f>
        <v/>
      </c>
      <c r="AN41" s="40" t="str">
        <f aca="false">IF(OR(OR(NOT(AND(ISNUMBER(E41),ISNUMBER(F41))),$J$2=""),2&gt;MAX(1,Reprogramaciones!$U$15)),"",IF(Reprogramaciones!L$12&gt;=7,"",IF(OR(BU41-N(BT41)&gt;0.05,N(R41)&gt;0),ROUNDDOWN(ROUND(BU41,6),0)&amp;"%"&amp;IF(CK41="",""," / "&amp;CK41&amp;"%"),IF(AND(N(BT41)&gt;=99.95,CK41&lt;&gt;"",N(CK41)&lt;100),"Pend. "&amp;CK41&amp;"%",""))))</f>
        <v/>
      </c>
      <c r="AO41" s="40" t="str">
        <f aca="false">IF(OR(OR(NOT(AND(ISNUMBER(E41),ISNUMBER(F41))),$J$2=""),3&gt;MAX(1,Reprogramaciones!$U$15)),"",IF(Reprogramaciones!M$12&gt;=7,"",IF(OR(BV41-N(BU41)&gt;0.05,N(S41)&gt;0),ROUNDDOWN(ROUND(BV41,6),0)&amp;"%"&amp;IF(CL41="",""," / "&amp;CL41&amp;"%"),IF(AND(N(BU41)&gt;=99.95,CL41&lt;&gt;"",N(CL41)&lt;100),"Pend. "&amp;CL41&amp;"%",""))))</f>
        <v/>
      </c>
      <c r="AP41" s="40" t="str">
        <f aca="false">IF(OR(OR(NOT(AND(ISNUMBER(E41),ISNUMBER(F41))),$J$2=""),4&gt;MAX(1,Reprogramaciones!$U$15)),"",IF(Reprogramaciones!N$12&gt;=7,"",IF(OR(BW41-N(BV41)&gt;0.05,N(T41)&gt;0),ROUNDDOWN(ROUND(BW41,6),0)&amp;"%"&amp;IF(CM41="",""," / "&amp;CM41&amp;"%"),IF(AND(N(BV41)&gt;=99.95,CM41&lt;&gt;"",N(CM41)&lt;100),"Pend. "&amp;CM41&amp;"%",""))))</f>
        <v/>
      </c>
      <c r="AQ41" s="40" t="str">
        <f aca="false">IF(OR(OR(NOT(AND(ISNUMBER(E41),ISNUMBER(F41))),$J$2=""),5&gt;MAX(1,Reprogramaciones!$U$15)),"",IF(Reprogramaciones!O$12&gt;=7,"",IF(OR(BX41-N(BW41)&gt;0.05,N(U41)&gt;0),ROUNDDOWN(ROUND(BX41,6),0)&amp;"%"&amp;IF(CN41="",""," / "&amp;CN41&amp;"%"),IF(AND(N(BW41)&gt;=99.95,CN41&lt;&gt;"",N(CN41)&lt;100),"Pend. "&amp;CN41&amp;"%",""))))</f>
        <v>100% / 0%</v>
      </c>
      <c r="AR41" s="40" t="str">
        <f aca="false">IF(OR(OR(NOT(AND(ISNUMBER(E41),ISNUMBER(F41))),$J$2=""),6&gt;MAX(1,Reprogramaciones!$U$15)),"",IF(Reprogramaciones!P$12&gt;=7,"",IF(OR(BY41-N(BX41)&gt;0.05,N(V41)&gt;0),ROUNDDOWN(ROUND(BY41,6),0)&amp;"%"&amp;IF(CO41="",""," / "&amp;CO41&amp;"%"),IF(AND(N(BX41)&gt;=99.95,CO41&lt;&gt;"",N(CO41)&lt;100),"Pend. "&amp;CO41&amp;"%",""))))</f>
        <v/>
      </c>
      <c r="AS41" s="40" t="str">
        <f aca="false">IF(OR(OR(NOT(AND(ISNUMBER(E41),ISNUMBER(F41))),$J$2=""),7&gt;MAX(1,Reprogramaciones!$U$15)),"",IF(Reprogramaciones!Q$12&gt;=7,"",IF(OR(BZ41-N(BY41)&gt;0.05,N(W41)&gt;0),ROUNDDOWN(ROUND(BZ41,6),0)&amp;"%"&amp;IF(CP41="",""," / "&amp;CP41&amp;"%"),IF(AND(N(BY41)&gt;=99.95,CP41&lt;&gt;"",N(CP41)&lt;100),"Pend. "&amp;CP41&amp;"%",""))))</f>
        <v/>
      </c>
      <c r="AT41" s="40" t="str">
        <f aca="false">IF(OR(OR(NOT(AND(ISNUMBER(E41),ISNUMBER(F41))),$J$2=""),8&gt;MAX(1,Reprogramaciones!$U$15)),"",IF(Reprogramaciones!R$12&gt;=7,"",IF(OR(CA41-N(BZ41)&gt;0.05,N(X41)&gt;0),ROUNDDOWN(ROUND(CA41,6),0)&amp;"%"&amp;IF(CQ41="",""," / "&amp;CQ41&amp;"%"),IF(AND(N(BZ41)&gt;=99.95,CQ41&lt;&gt;"",N(CQ41)&lt;100),"Pend. "&amp;CQ41&amp;"%",""))))</f>
        <v/>
      </c>
      <c r="AU41" s="40" t="str">
        <f aca="false">IF(OR(OR(NOT(AND(ISNUMBER(E41),ISNUMBER(F41))),$J$2=""),9&gt;MAX(1,Reprogramaciones!$U$15)),"",IF(Reprogramaciones!S$12&gt;=7,"",IF(OR(CB41-N(CA41)&gt;0.05,N(Y41)&gt;0),ROUNDDOWN(ROUND(CB41,6),0)&amp;"%"&amp;IF(CR41="",""," / "&amp;CR41&amp;"%"),IF(AND(N(CA41)&gt;=99.95,CR41&lt;&gt;"",N(CR41)&lt;100),"Pend. "&amp;CR41&amp;"%",""))))</f>
        <v/>
      </c>
      <c r="AV41" s="40" t="str">
        <f aca="false">IF(OR(OR(NOT(AND(ISNUMBER(E41),ISNUMBER(F41))),$J$2=""),10&gt;MAX(1,Reprogramaciones!$U$15)),"",IF(Reprogramaciones!T$12&gt;=7,"",IF(OR(CC41-N(CB41)&gt;0.05,N(Z41)&gt;0),ROUNDDOWN(ROUND(CC41,6),0)&amp;"%"&amp;IF(CS41="",""," / "&amp;CS41&amp;"%"),IF(AND(N(CB41)&gt;=99.95,CS41&lt;&gt;"",N(CS41)&lt;100),"Pend. "&amp;CS41&amp;"%",""))))</f>
        <v/>
      </c>
      <c r="AW41" s="40" t="str">
        <f aca="false">IF(OR(OR(NOT(AND(ISNUMBER(E41),ISNUMBER(F41))),$J$2=""),11&gt;MAX(1,Reprogramaciones!$U$15)),"",IF(Reprogramaciones!U$12&gt;=7,"",IF(OR(CD41-N(CC41)&gt;0.05,N(AA41)&gt;0),ROUNDDOWN(ROUND(CD41,6),0)&amp;"%"&amp;IF(CT41="",""," / "&amp;CT41&amp;"%"),IF(AND(N(CC41)&gt;=99.95,CT41&lt;&gt;"",N(CT41)&lt;100),"Pend. "&amp;CT41&amp;"%",""))))</f>
        <v/>
      </c>
      <c r="AX41" s="40" t="str">
        <f aca="false">IF(OR(OR(NOT(AND(ISNUMBER(E41),ISNUMBER(F41))),$J$2=""),12&gt;MAX(1,Reprogramaciones!$U$15)),"",IF(Reprogramaciones!V$12&gt;=7,"",IF(OR(CE41-N(CD41)&gt;0.05,N(AB41)&gt;0),ROUNDDOWN(ROUND(CE41,6),0)&amp;"%"&amp;IF(CU41="",""," / "&amp;CU41&amp;"%"),IF(AND(N(CD41)&gt;=99.95,CU41&lt;&gt;"",N(CU41)&lt;100),"Pend. "&amp;CU41&amp;"%",""))))</f>
        <v/>
      </c>
      <c r="AY41" s="40" t="str">
        <f aca="false">IF(OR(OR(NOT(AND(ISNUMBER(E41),ISNUMBER(F41))),$J$2=""),13&gt;MAX(1,Reprogramaciones!$U$15)),"",IF(Reprogramaciones!W$12&gt;=7,"",IF(OR(CF41-N(CE41)&gt;0.05,N(AC41)&gt;0),ROUNDDOWN(ROUND(CF41,6),0)&amp;"%"&amp;IF(CV41="",""," / "&amp;CV41&amp;"%"),IF(AND(N(CE41)&gt;=99.95,CV41&lt;&gt;"",N(CV41)&lt;100),"Pend. "&amp;CV41&amp;"%",""))))</f>
        <v/>
      </c>
      <c r="AZ41" s="40" t="str">
        <f aca="false">IF(OR(OR(NOT(AND(ISNUMBER(E41),ISNUMBER(F41))),$J$2=""),14&gt;MAX(1,Reprogramaciones!$U$15)),"",IF(Reprogramaciones!X$12&gt;=7,"",IF(OR(CG41-N(CF41)&gt;0.05,N(AD41)&gt;0),ROUNDDOWN(ROUND(CG41,6),0)&amp;"%"&amp;IF(CW41="",""," / "&amp;CW41&amp;"%"),IF(AND(N(CF41)&gt;=99.95,CW41&lt;&gt;"",N(CW41)&lt;100),"Pend. "&amp;CW41&amp;"%",""))))</f>
        <v/>
      </c>
      <c r="BA41" s="40" t="str">
        <f aca="false">IF(OR(OR(NOT(AND(ISNUMBER(E41),ISNUMBER(F41))),$J$2=""),15&gt;MAX(1,Reprogramaciones!$U$15)),"",IF(Reprogramaciones!Y$12&gt;=7,"",IF(OR(CH41-N(CG41)&gt;0.05,N(AE41)&gt;0),ROUNDDOWN(ROUND(CH41,6),0)&amp;"%"&amp;IF(CX41="",""," / "&amp;CX41&amp;"%"),IF(AND(N(CG41)&gt;=99.95,CX41&lt;&gt;"",N(CX41)&lt;100),"Pend. "&amp;CX41&amp;"%",""))))</f>
        <v/>
      </c>
      <c r="BB41" s="40" t="str">
        <f aca="false">IF(OR(OR(NOT(AND(ISNUMBER(E41),ISNUMBER(F41))),$J$2=""),16&gt;MAX(1,Reprogramaciones!$U$15)),"",IF(Reprogramaciones!Z$12&gt;=7,"",IF(OR(CI41-N(CH41)&gt;0.05,N(AF41)&gt;0),ROUNDDOWN(ROUND(CI41,6),0)&amp;"%"&amp;IF(CY41="",""," / "&amp;CY41&amp;"%"),IF(AND(N(CH41)&gt;=99.95,CY41&lt;&gt;"",N(CY41)&lt;100),"Pend. "&amp;CY41&amp;"%",""))))</f>
        <v/>
      </c>
      <c r="BC41" s="31" t="n">
        <f aca="false">IF(AND(ISNUMBER(E41),ISNUMBER(F41)),MAX(1,NETWORKDAYS.INTL(E41,F41,11)),0)</f>
        <v>5</v>
      </c>
      <c r="BD41" s="1" t="n">
        <f aca="false">IF(OR(NOT(AND(ISNUMBER(E41),ISNUMBER(F41))),$J$2=""),"",MIN(100,ROUND(SUM($G41:G41),1)))</f>
        <v>0</v>
      </c>
      <c r="BE41" s="1" t="n">
        <f aca="false">IF(OR(NOT(AND(ISNUMBER(E41),ISNUMBER(F41))),$J$2=""),"",MIN(100,ROUND(SUM($G41:H41),1)))</f>
        <v>0</v>
      </c>
      <c r="BF41" s="1" t="n">
        <f aca="false">IF(OR(NOT(AND(ISNUMBER(E41),ISNUMBER(F41))),$J$2=""),"",MIN(100,ROUND(SUM($G41:I41),1)))</f>
        <v>0</v>
      </c>
      <c r="BG41" s="1" t="n">
        <f aca="false">IF(OR(NOT(AND(ISNUMBER(E41),ISNUMBER(F41))),$J$2=""),"",MIN(100,ROUND(SUM($G41:J41),1)))</f>
        <v>0</v>
      </c>
      <c r="BH41" s="1" t="n">
        <f aca="false">IF(OR(NOT(AND(ISNUMBER(E41),ISNUMBER(F41))),$J$2=""),"",MIN(100,ROUND(SUM($G41:K41),1)))</f>
        <v>100</v>
      </c>
      <c r="BI41" s="1" t="n">
        <f aca="false">IF(OR(NOT(AND(ISNUMBER(E41),ISNUMBER(F41))),$J$2=""),"",MIN(100,ROUND(SUM($G41:L41),1)))</f>
        <v>100</v>
      </c>
      <c r="BJ41" s="1" t="n">
        <f aca="false">IF(OR(NOT(AND(ISNUMBER(E41),ISNUMBER(F41))),$J$2=""),"",MIN(100,ROUND(SUM($G41:M41),1)))</f>
        <v>100</v>
      </c>
      <c r="BK41" s="1" t="n">
        <f aca="false">IF(OR(NOT(AND(ISNUMBER(E41),ISNUMBER(F41))),$J$2=""),"",MIN(100,ROUND(SUM($G41:N41),1)))</f>
        <v>100</v>
      </c>
      <c r="BL41" s="1" t="n">
        <f aca="false">IF(OR(NOT(AND(ISNUMBER(E41),ISNUMBER(F41))),$J$2=""),"",MIN(100,ROUND(SUM($G41:O41),1)))</f>
        <v>100</v>
      </c>
      <c r="BM41" s="1" t="n">
        <f aca="false">IF(OR(NOT(AND(ISNUMBER(E41),ISNUMBER(F41))),$J$2=""),"",MIN(100,ROUND(SUM($G41:P41),1)))</f>
        <v>100</v>
      </c>
      <c r="BN41" s="1" t="n">
        <f aca="false">IF(OR(NOT(AND(ISNUMBER(E41),ISNUMBER(F41))),$J$2=""),"",MIN(100,ROUND(SUM($G41:P41),1)))</f>
        <v>100</v>
      </c>
      <c r="BO41" s="1" t="n">
        <f aca="false">IF(OR(NOT(AND(ISNUMBER(E41),ISNUMBER(F41))),$J$2=""),"",MIN(100,ROUND(SUM($G41:P41),1)))</f>
        <v>100</v>
      </c>
      <c r="BP41" s="1" t="n">
        <f aca="false">IF(OR(NOT(AND(ISNUMBER(E41),ISNUMBER(F41))),$J$2=""),"",MIN(100,ROUND(SUM($G41:P41),1)))</f>
        <v>100</v>
      </c>
      <c r="BQ41" s="1" t="n">
        <f aca="false">IF(OR(NOT(AND(ISNUMBER(E41),ISNUMBER(F41))),$J$2=""),"",MIN(100,ROUND(SUM($G41:P41),1)))</f>
        <v>100</v>
      </c>
      <c r="BR41" s="1" t="n">
        <f aca="false">IF(OR(NOT(AND(ISNUMBER(E41),ISNUMBER(F41))),$J$2=""),"",MIN(100,ROUND(SUM($G41:P41),1)))</f>
        <v>100</v>
      </c>
      <c r="BS41" s="1" t="n">
        <f aca="false">IF(OR(NOT(AND(ISNUMBER(E41),ISNUMBER(F41))),$J$2=""),"",MIN(100,ROUND(SUM($G41:P41),1)))</f>
        <v>100</v>
      </c>
      <c r="BT41" s="1" t="n">
        <f aca="false">IF(OR(NOT(AND(ISNUMBER(E41),ISNUMBER(F41))),$J$2=""),"",IF(Reprogramaciones!K$13&lt;Reprogramaciones!$T$15,0,IF(Reprogramaciones!K$14&gt;10,MIN(100,SUM($G41:$P41)),MIN(100,SUMPRODUCT((COLUMN($G41:$P41)-COLUMN($G41)+1&lt;Reprogramaciones!K$14)*$G41:$P41)+N(INDEX($G41:$P41,1,Reprogramaciones!K$14))*IF(Reprogramaciones!K$13&gt;=(Reprogramaciones!$T$15+7*(Reprogramaciones!K$14-1))+6,1,IF(MAX(0,NETWORKDAYS.INTL(MAX(E41,(Reprogramaciones!$T$15+7*(Reprogramaciones!K$14-1))),MIN(F41,(Reprogramaciones!$T$15+7*(Reprogramaciones!K$14-1))+6),11))=0,0,MAX(0,NETWORKDAYS.INTL(MAX(E41,(Reprogramaciones!$T$15+7*(Reprogramaciones!K$14-1))),MIN(F41,Reprogramaciones!K$13),11))/MAX(0,NETWORKDAYS.INTL(MAX(E41,(Reprogramaciones!$T$15+7*(Reprogramaciones!K$14-1))),MIN(F41,(Reprogramaciones!$T$15+7*(Reprogramaciones!K$14-1))+6),11))))))))</f>
        <v>0</v>
      </c>
      <c r="BU41" s="1" t="n">
        <f aca="false">IF(OR(NOT(AND(ISNUMBER(E41),ISNUMBER(F41))),$J$2=""),"",IF(Reprogramaciones!L$13&lt;Reprogramaciones!$T$15,0,IF(Reprogramaciones!L$14&gt;10,MIN(100,SUM($G41:$P41)),MIN(100,SUMPRODUCT((COLUMN($G41:$P41)-COLUMN($G41)+1&lt;Reprogramaciones!L$14)*$G41:$P41)+N(INDEX($G41:$P41,1,Reprogramaciones!L$14))*IF(Reprogramaciones!L$13&gt;=(Reprogramaciones!$T$15+7*(Reprogramaciones!L$14-1))+6,1,IF(MAX(0,NETWORKDAYS.INTL(MAX(E41,(Reprogramaciones!$T$15+7*(Reprogramaciones!L$14-1))),MIN(F41,(Reprogramaciones!$T$15+7*(Reprogramaciones!L$14-1))+6),11))=0,0,MAX(0,NETWORKDAYS.INTL(MAX(E41,(Reprogramaciones!$T$15+7*(Reprogramaciones!L$14-1))),MIN(F41,Reprogramaciones!L$13),11))/MAX(0,NETWORKDAYS.INTL(MAX(E41,(Reprogramaciones!$T$15+7*(Reprogramaciones!L$14-1))),MIN(F41,(Reprogramaciones!$T$15+7*(Reprogramaciones!L$14-1))+6),11))))))))</f>
        <v>0</v>
      </c>
      <c r="BV41" s="1" t="n">
        <f aca="false">IF(OR(NOT(AND(ISNUMBER(E41),ISNUMBER(F41))),$J$2=""),"",IF(Reprogramaciones!M$13&lt;Reprogramaciones!$T$15,0,IF(Reprogramaciones!M$14&gt;10,MIN(100,SUM($G41:$P41)),MIN(100,SUMPRODUCT((COLUMN($G41:$P41)-COLUMN($G41)+1&lt;Reprogramaciones!M$14)*$G41:$P41)+N(INDEX($G41:$P41,1,Reprogramaciones!M$14))*IF(Reprogramaciones!M$13&gt;=(Reprogramaciones!$T$15+7*(Reprogramaciones!M$14-1))+6,1,IF(MAX(0,NETWORKDAYS.INTL(MAX(E41,(Reprogramaciones!$T$15+7*(Reprogramaciones!M$14-1))),MIN(F41,(Reprogramaciones!$T$15+7*(Reprogramaciones!M$14-1))+6),11))=0,0,MAX(0,NETWORKDAYS.INTL(MAX(E41,(Reprogramaciones!$T$15+7*(Reprogramaciones!M$14-1))),MIN(F41,Reprogramaciones!M$13),11))/MAX(0,NETWORKDAYS.INTL(MAX(E41,(Reprogramaciones!$T$15+7*(Reprogramaciones!M$14-1))),MIN(F41,(Reprogramaciones!$T$15+7*(Reprogramaciones!M$14-1))+6),11))))))))</f>
        <v>0</v>
      </c>
      <c r="BW41" s="1" t="n">
        <f aca="false">IF(OR(NOT(AND(ISNUMBER(E41),ISNUMBER(F41))),$J$2=""),"",IF(Reprogramaciones!N$13&lt;Reprogramaciones!$T$15,0,IF(Reprogramaciones!N$14&gt;10,MIN(100,SUM($G41:$P41)),MIN(100,SUMPRODUCT((COLUMN($G41:$P41)-COLUMN($G41)+1&lt;Reprogramaciones!N$14)*$G41:$P41)+N(INDEX($G41:$P41,1,Reprogramaciones!N$14))*IF(Reprogramaciones!N$13&gt;=(Reprogramaciones!$T$15+7*(Reprogramaciones!N$14-1))+6,1,IF(MAX(0,NETWORKDAYS.INTL(MAX(E41,(Reprogramaciones!$T$15+7*(Reprogramaciones!N$14-1))),MIN(F41,(Reprogramaciones!$T$15+7*(Reprogramaciones!N$14-1))+6),11))=0,0,MAX(0,NETWORKDAYS.INTL(MAX(E41,(Reprogramaciones!$T$15+7*(Reprogramaciones!N$14-1))),MIN(F41,Reprogramaciones!N$13),11))/MAX(0,NETWORKDAYS.INTL(MAX(E41,(Reprogramaciones!$T$15+7*(Reprogramaciones!N$14-1))),MIN(F41,(Reprogramaciones!$T$15+7*(Reprogramaciones!N$14-1))+6),11))))))))</f>
        <v>0</v>
      </c>
      <c r="BX41" s="1" t="n">
        <f aca="false">IF(OR(NOT(AND(ISNUMBER(E41),ISNUMBER(F41))),$J$2=""),"",IF(Reprogramaciones!O$13&lt;Reprogramaciones!$T$15,0,IF(Reprogramaciones!O$14&gt;10,MIN(100,SUM($G41:$P41)),MIN(100,SUMPRODUCT((COLUMN($G41:$P41)-COLUMN($G41)+1&lt;Reprogramaciones!O$14)*$G41:$P41)+N(INDEX($G41:$P41,1,Reprogramaciones!O$14))*IF(Reprogramaciones!O$13&gt;=(Reprogramaciones!$T$15+7*(Reprogramaciones!O$14-1))+6,1,IF(MAX(0,NETWORKDAYS.INTL(MAX(E41,(Reprogramaciones!$T$15+7*(Reprogramaciones!O$14-1))),MIN(F41,(Reprogramaciones!$T$15+7*(Reprogramaciones!O$14-1))+6),11))=0,0,MAX(0,NETWORKDAYS.INTL(MAX(E41,(Reprogramaciones!$T$15+7*(Reprogramaciones!O$14-1))),MIN(F41,Reprogramaciones!O$13),11))/MAX(0,NETWORKDAYS.INTL(MAX(E41,(Reprogramaciones!$T$15+7*(Reprogramaciones!O$14-1))),MIN(F41,(Reprogramaciones!$T$15+7*(Reprogramaciones!O$14-1))+6),11))))))))</f>
        <v>100</v>
      </c>
      <c r="BY41" s="1" t="n">
        <f aca="false">IF(OR(NOT(AND(ISNUMBER(E41),ISNUMBER(F41))),$J$2=""),"",IF(Reprogramaciones!P$13&lt;Reprogramaciones!$T$15,0,IF(Reprogramaciones!P$14&gt;10,MIN(100,SUM($G41:$P41)),MIN(100,SUMPRODUCT((COLUMN($G41:$P41)-COLUMN($G41)+1&lt;Reprogramaciones!P$14)*$G41:$P41)+N(INDEX($G41:$P41,1,Reprogramaciones!P$14))*IF(Reprogramaciones!P$13&gt;=(Reprogramaciones!$T$15+7*(Reprogramaciones!P$14-1))+6,1,IF(MAX(0,NETWORKDAYS.INTL(MAX(E41,(Reprogramaciones!$T$15+7*(Reprogramaciones!P$14-1))),MIN(F41,(Reprogramaciones!$T$15+7*(Reprogramaciones!P$14-1))+6),11))=0,0,MAX(0,NETWORKDAYS.INTL(MAX(E41,(Reprogramaciones!$T$15+7*(Reprogramaciones!P$14-1))),MIN(F41,Reprogramaciones!P$13),11))/MAX(0,NETWORKDAYS.INTL(MAX(E41,(Reprogramaciones!$T$15+7*(Reprogramaciones!P$14-1))),MIN(F41,(Reprogramaciones!$T$15+7*(Reprogramaciones!P$14-1))+6),11))))))))</f>
        <v>100</v>
      </c>
      <c r="BZ41" s="1" t="n">
        <f aca="false">IF(OR(NOT(AND(ISNUMBER(E41),ISNUMBER(F41))),$J$2=""),"",IF(Reprogramaciones!Q$13&lt;Reprogramaciones!$T$15,0,IF(Reprogramaciones!Q$14&gt;10,MIN(100,SUM($G41:$P41)),MIN(100,SUMPRODUCT((COLUMN($G41:$P41)-COLUMN($G41)+1&lt;Reprogramaciones!Q$14)*$G41:$P41)+N(INDEX($G41:$P41,1,Reprogramaciones!Q$14))*IF(Reprogramaciones!Q$13&gt;=(Reprogramaciones!$T$15+7*(Reprogramaciones!Q$14-1))+6,1,IF(MAX(0,NETWORKDAYS.INTL(MAX(E41,(Reprogramaciones!$T$15+7*(Reprogramaciones!Q$14-1))),MIN(F41,(Reprogramaciones!$T$15+7*(Reprogramaciones!Q$14-1))+6),11))=0,0,MAX(0,NETWORKDAYS.INTL(MAX(E41,(Reprogramaciones!$T$15+7*(Reprogramaciones!Q$14-1))),MIN(F41,Reprogramaciones!Q$13),11))/MAX(0,NETWORKDAYS.INTL(MAX(E41,(Reprogramaciones!$T$15+7*(Reprogramaciones!Q$14-1))),MIN(F41,(Reprogramaciones!$T$15+7*(Reprogramaciones!Q$14-1))+6),11))))))))</f>
        <v>100</v>
      </c>
      <c r="CA41" s="1" t="n">
        <f aca="false">IF(OR(NOT(AND(ISNUMBER(E41),ISNUMBER(F41))),$J$2=""),"",IF(Reprogramaciones!R$13&lt;Reprogramaciones!$T$15,0,IF(Reprogramaciones!R$14&gt;10,MIN(100,SUM($G41:$P41)),MIN(100,SUMPRODUCT((COLUMN($G41:$P41)-COLUMN($G41)+1&lt;Reprogramaciones!R$14)*$G41:$P41)+N(INDEX($G41:$P41,1,Reprogramaciones!R$14))*IF(Reprogramaciones!R$13&gt;=(Reprogramaciones!$T$15+7*(Reprogramaciones!R$14-1))+6,1,IF(MAX(0,NETWORKDAYS.INTL(MAX(E41,(Reprogramaciones!$T$15+7*(Reprogramaciones!R$14-1))),MIN(F41,(Reprogramaciones!$T$15+7*(Reprogramaciones!R$14-1))+6),11))=0,0,MAX(0,NETWORKDAYS.INTL(MAX(E41,(Reprogramaciones!$T$15+7*(Reprogramaciones!R$14-1))),MIN(F41,Reprogramaciones!R$13),11))/MAX(0,NETWORKDAYS.INTL(MAX(E41,(Reprogramaciones!$T$15+7*(Reprogramaciones!R$14-1))),MIN(F41,(Reprogramaciones!$T$15+7*(Reprogramaciones!R$14-1))+6),11))))))))</f>
        <v>100</v>
      </c>
      <c r="CB41" s="1" t="n">
        <f aca="false">IF(OR(NOT(AND(ISNUMBER(E41),ISNUMBER(F41))),$J$2=""),"",IF(Reprogramaciones!S$13&lt;Reprogramaciones!$T$15,0,IF(Reprogramaciones!S$14&gt;10,MIN(100,SUM($G41:$P41)),MIN(100,SUMPRODUCT((COLUMN($G41:$P41)-COLUMN($G41)+1&lt;Reprogramaciones!S$14)*$G41:$P41)+N(INDEX($G41:$P41,1,Reprogramaciones!S$14))*IF(Reprogramaciones!S$13&gt;=(Reprogramaciones!$T$15+7*(Reprogramaciones!S$14-1))+6,1,IF(MAX(0,NETWORKDAYS.INTL(MAX(E41,(Reprogramaciones!$T$15+7*(Reprogramaciones!S$14-1))),MIN(F41,(Reprogramaciones!$T$15+7*(Reprogramaciones!S$14-1))+6),11))=0,0,MAX(0,NETWORKDAYS.INTL(MAX(E41,(Reprogramaciones!$T$15+7*(Reprogramaciones!S$14-1))),MIN(F41,Reprogramaciones!S$13),11))/MAX(0,NETWORKDAYS.INTL(MAX(E41,(Reprogramaciones!$T$15+7*(Reprogramaciones!S$14-1))),MIN(F41,(Reprogramaciones!$T$15+7*(Reprogramaciones!S$14-1))+6),11))))))))</f>
        <v>100</v>
      </c>
      <c r="CC41" s="1" t="n">
        <f aca="false">IF(OR(NOT(AND(ISNUMBER(E41),ISNUMBER(F41))),$J$2=""),"",IF(Reprogramaciones!T$13&lt;Reprogramaciones!$T$15,0,IF(Reprogramaciones!T$14&gt;10,MIN(100,SUM($G41:$P41)),MIN(100,SUMPRODUCT((COLUMN($G41:$P41)-COLUMN($G41)+1&lt;Reprogramaciones!T$14)*$G41:$P41)+N(INDEX($G41:$P41,1,Reprogramaciones!T$14))*IF(Reprogramaciones!T$13&gt;=(Reprogramaciones!$T$15+7*(Reprogramaciones!T$14-1))+6,1,IF(MAX(0,NETWORKDAYS.INTL(MAX(E41,(Reprogramaciones!$T$15+7*(Reprogramaciones!T$14-1))),MIN(F41,(Reprogramaciones!$T$15+7*(Reprogramaciones!T$14-1))+6),11))=0,0,MAX(0,NETWORKDAYS.INTL(MAX(E41,(Reprogramaciones!$T$15+7*(Reprogramaciones!T$14-1))),MIN(F41,Reprogramaciones!T$13),11))/MAX(0,NETWORKDAYS.INTL(MAX(E41,(Reprogramaciones!$T$15+7*(Reprogramaciones!T$14-1))),MIN(F41,(Reprogramaciones!$T$15+7*(Reprogramaciones!T$14-1))+6),11))))))))</f>
        <v>100</v>
      </c>
      <c r="CD41" s="1" t="n">
        <f aca="false">IF(OR(NOT(AND(ISNUMBER(E41),ISNUMBER(F41))),$J$2=""),"",IF(Reprogramaciones!U$13&lt;Reprogramaciones!$T$15,0,IF(Reprogramaciones!U$14&gt;10,MIN(100,SUM($G41:$P41)),MIN(100,SUMPRODUCT((COLUMN($G41:$P41)-COLUMN($G41)+1&lt;Reprogramaciones!U$14)*$G41:$P41)+N(INDEX($G41:$P41,1,Reprogramaciones!U$14))*IF(Reprogramaciones!U$13&gt;=(Reprogramaciones!$T$15+7*(Reprogramaciones!U$14-1))+6,1,IF(MAX(0,NETWORKDAYS.INTL(MAX(E41,(Reprogramaciones!$T$15+7*(Reprogramaciones!U$14-1))),MIN(F41,(Reprogramaciones!$T$15+7*(Reprogramaciones!U$14-1))+6),11))=0,0,MAX(0,NETWORKDAYS.INTL(MAX(E41,(Reprogramaciones!$T$15+7*(Reprogramaciones!U$14-1))),MIN(F41,Reprogramaciones!U$13),11))/MAX(0,NETWORKDAYS.INTL(MAX(E41,(Reprogramaciones!$T$15+7*(Reprogramaciones!U$14-1))),MIN(F41,(Reprogramaciones!$T$15+7*(Reprogramaciones!U$14-1))+6),11))))))))</f>
        <v>100</v>
      </c>
      <c r="CE41" s="1" t="n">
        <f aca="false">IF(OR(NOT(AND(ISNUMBER(E41),ISNUMBER(F41))),$J$2=""),"",IF(Reprogramaciones!V$13&lt;Reprogramaciones!$T$15,0,IF(Reprogramaciones!V$14&gt;10,MIN(100,SUM($G41:$P41)),MIN(100,SUMPRODUCT((COLUMN($G41:$P41)-COLUMN($G41)+1&lt;Reprogramaciones!V$14)*$G41:$P41)+N(INDEX($G41:$P41,1,Reprogramaciones!V$14))*IF(Reprogramaciones!V$13&gt;=(Reprogramaciones!$T$15+7*(Reprogramaciones!V$14-1))+6,1,IF(MAX(0,NETWORKDAYS.INTL(MAX(E41,(Reprogramaciones!$T$15+7*(Reprogramaciones!V$14-1))),MIN(F41,(Reprogramaciones!$T$15+7*(Reprogramaciones!V$14-1))+6),11))=0,0,MAX(0,NETWORKDAYS.INTL(MAX(E41,(Reprogramaciones!$T$15+7*(Reprogramaciones!V$14-1))),MIN(F41,Reprogramaciones!V$13),11))/MAX(0,NETWORKDAYS.INTL(MAX(E41,(Reprogramaciones!$T$15+7*(Reprogramaciones!V$14-1))),MIN(F41,(Reprogramaciones!$T$15+7*(Reprogramaciones!V$14-1))+6),11))))))))</f>
        <v>100</v>
      </c>
      <c r="CF41" s="1" t="n">
        <f aca="false">IF(OR(NOT(AND(ISNUMBER(E41),ISNUMBER(F41))),$J$2=""),"",IF(Reprogramaciones!W$13&lt;Reprogramaciones!$T$15,0,IF(Reprogramaciones!W$14&gt;10,MIN(100,SUM($G41:$P41)),MIN(100,SUMPRODUCT((COLUMN($G41:$P41)-COLUMN($G41)+1&lt;Reprogramaciones!W$14)*$G41:$P41)+N(INDEX($G41:$P41,1,Reprogramaciones!W$14))*IF(Reprogramaciones!W$13&gt;=(Reprogramaciones!$T$15+7*(Reprogramaciones!W$14-1))+6,1,IF(MAX(0,NETWORKDAYS.INTL(MAX(E41,(Reprogramaciones!$T$15+7*(Reprogramaciones!W$14-1))),MIN(F41,(Reprogramaciones!$T$15+7*(Reprogramaciones!W$14-1))+6),11))=0,0,MAX(0,NETWORKDAYS.INTL(MAX(E41,(Reprogramaciones!$T$15+7*(Reprogramaciones!W$14-1))),MIN(F41,Reprogramaciones!W$13),11))/MAX(0,NETWORKDAYS.INTL(MAX(E41,(Reprogramaciones!$T$15+7*(Reprogramaciones!W$14-1))),MIN(F41,(Reprogramaciones!$T$15+7*(Reprogramaciones!W$14-1))+6),11))))))))</f>
        <v>100</v>
      </c>
      <c r="CG41" s="1" t="n">
        <f aca="false">IF(OR(NOT(AND(ISNUMBER(E41),ISNUMBER(F41))),$J$2=""),"",IF(Reprogramaciones!X$13&lt;Reprogramaciones!$T$15,0,IF(Reprogramaciones!X$14&gt;10,MIN(100,SUM($G41:$P41)),MIN(100,SUMPRODUCT((COLUMN($G41:$P41)-COLUMN($G41)+1&lt;Reprogramaciones!X$14)*$G41:$P41)+N(INDEX($G41:$P41,1,Reprogramaciones!X$14))*IF(Reprogramaciones!X$13&gt;=(Reprogramaciones!$T$15+7*(Reprogramaciones!X$14-1))+6,1,IF(MAX(0,NETWORKDAYS.INTL(MAX(E41,(Reprogramaciones!$T$15+7*(Reprogramaciones!X$14-1))),MIN(F41,(Reprogramaciones!$T$15+7*(Reprogramaciones!X$14-1))+6),11))=0,0,MAX(0,NETWORKDAYS.INTL(MAX(E41,(Reprogramaciones!$T$15+7*(Reprogramaciones!X$14-1))),MIN(F41,Reprogramaciones!X$13),11))/MAX(0,NETWORKDAYS.INTL(MAX(E41,(Reprogramaciones!$T$15+7*(Reprogramaciones!X$14-1))),MIN(F41,(Reprogramaciones!$T$15+7*(Reprogramaciones!X$14-1))+6),11))))))))</f>
        <v>100</v>
      </c>
      <c r="CH41" s="1" t="n">
        <f aca="false">IF(OR(NOT(AND(ISNUMBER(E41),ISNUMBER(F41))),$J$2=""),"",IF(Reprogramaciones!Y$13&lt;Reprogramaciones!$T$15,0,IF(Reprogramaciones!Y$14&gt;10,MIN(100,SUM($G41:$P41)),MIN(100,SUMPRODUCT((COLUMN($G41:$P41)-COLUMN($G41)+1&lt;Reprogramaciones!Y$14)*$G41:$P41)+N(INDEX($G41:$P41,1,Reprogramaciones!Y$14))*IF(Reprogramaciones!Y$13&gt;=(Reprogramaciones!$T$15+7*(Reprogramaciones!Y$14-1))+6,1,IF(MAX(0,NETWORKDAYS.INTL(MAX(E41,(Reprogramaciones!$T$15+7*(Reprogramaciones!Y$14-1))),MIN(F41,(Reprogramaciones!$T$15+7*(Reprogramaciones!Y$14-1))+6),11))=0,0,MAX(0,NETWORKDAYS.INTL(MAX(E41,(Reprogramaciones!$T$15+7*(Reprogramaciones!Y$14-1))),MIN(F41,Reprogramaciones!Y$13),11))/MAX(0,NETWORKDAYS.INTL(MAX(E41,(Reprogramaciones!$T$15+7*(Reprogramaciones!Y$14-1))),MIN(F41,(Reprogramaciones!$T$15+7*(Reprogramaciones!Y$14-1))+6),11))))))))</f>
        <v>100</v>
      </c>
      <c r="CI41" s="1" t="n">
        <f aca="false">IF(OR(NOT(AND(ISNUMBER(E41),ISNUMBER(F41))),$J$2=""),"",IF(Reprogramaciones!Z$13&lt;Reprogramaciones!$T$15,0,IF(Reprogramaciones!Z$14&gt;10,MIN(100,SUM($G41:$P41)),MIN(100,SUMPRODUCT((COLUMN($G41:$P41)-COLUMN($G41)+1&lt;Reprogramaciones!Z$14)*$G41:$P41)+N(INDEX($G41:$P41,1,Reprogramaciones!Z$14))*IF(Reprogramaciones!Z$13&gt;=(Reprogramaciones!$T$15+7*(Reprogramaciones!Z$14-1))+6,1,IF(MAX(0,NETWORKDAYS.INTL(MAX(E41,(Reprogramaciones!$T$15+7*(Reprogramaciones!Z$14-1))),MIN(F41,(Reprogramaciones!$T$15+7*(Reprogramaciones!Z$14-1))+6),11))=0,0,MAX(0,NETWORKDAYS.INTL(MAX(E41,(Reprogramaciones!$T$15+7*(Reprogramaciones!Z$14-1))),MIN(F41,Reprogramaciones!Z$13),11))/MAX(0,NETWORKDAYS.INTL(MAX(E41,(Reprogramaciones!$T$15+7*(Reprogramaciones!Z$14-1))),MIN(F41,(Reprogramaciones!$T$15+7*(Reprogramaciones!Z$14-1))+6),11))))))))</f>
        <v>100</v>
      </c>
      <c r="CJ41" s="1" t="n">
        <f aca="false">IF(OR(OR(NOT(AND(ISNUMBER(E41),ISNUMBER(F41))),$J$2=""),1&gt;Reprogramaciones!$K$16),"",IF(ROUND(SUM($Q41:Q41),1)&gt;=99.5,100,MIN(100,ROUND(SUM($Q41:Q41),1))))</f>
        <v>0</v>
      </c>
      <c r="CK41" s="1" t="n">
        <f aca="false">IF(OR(OR(NOT(AND(ISNUMBER(E41),ISNUMBER(F41))),$J$2=""),2&gt;Reprogramaciones!$K$16),"",IF(ROUND(SUM($Q41:R41),1)&gt;=99.5,100,MIN(100,ROUND(SUM($Q41:R41),1))))</f>
        <v>0</v>
      </c>
      <c r="CL41" s="1" t="n">
        <f aca="false">IF(OR(OR(NOT(AND(ISNUMBER(E41),ISNUMBER(F41))),$J$2=""),3&gt;Reprogramaciones!$K$16),"",IF(ROUND(SUM($Q41:S41),1)&gt;=99.5,100,MIN(100,ROUND(SUM($Q41:S41),1))))</f>
        <v>0</v>
      </c>
      <c r="CM41" s="1" t="n">
        <f aca="false">IF(OR(OR(NOT(AND(ISNUMBER(E41),ISNUMBER(F41))),$J$2=""),4&gt;Reprogramaciones!$K$16),"",IF(ROUND(SUM($Q41:T41),1)&gt;=99.5,100,MIN(100,ROUND(SUM($Q41:T41),1))))</f>
        <v>0</v>
      </c>
      <c r="CN41" s="1" t="n">
        <f aca="false">IF(OR(OR(NOT(AND(ISNUMBER(E41),ISNUMBER(F41))),$J$2=""),5&gt;Reprogramaciones!$K$16),"",IF(ROUND(SUM($Q41:U41),1)&gt;=99.5,100,MIN(100,ROUND(SUM($Q41:U41),1))))</f>
        <v>0</v>
      </c>
      <c r="CO41" s="1" t="str">
        <f aca="false">IF(OR(OR(NOT(AND(ISNUMBER(E41),ISNUMBER(F41))),$J$2=""),6&gt;Reprogramaciones!$K$16),"",IF(ROUND(SUM($Q41:V41),1)&gt;=99.5,100,MIN(100,ROUND(SUM($Q41:V41),1))))</f>
        <v/>
      </c>
      <c r="CP41" s="1" t="str">
        <f aca="false">IF(OR(OR(NOT(AND(ISNUMBER(E41),ISNUMBER(F41))),$J$2=""),7&gt;Reprogramaciones!$K$16),"",IF(ROUND(SUM($Q41:W41),1)&gt;=99.5,100,MIN(100,ROUND(SUM($Q41:W41),1))))</f>
        <v/>
      </c>
      <c r="CQ41" s="1" t="str">
        <f aca="false">IF(OR(OR(NOT(AND(ISNUMBER(E41),ISNUMBER(F41))),$J$2=""),8&gt;Reprogramaciones!$K$16),"",IF(ROUND(SUM($Q41:X41),1)&gt;=99.5,100,MIN(100,ROUND(SUM($Q41:X41),1))))</f>
        <v/>
      </c>
      <c r="CR41" s="1" t="str">
        <f aca="false">IF(OR(OR(NOT(AND(ISNUMBER(E41),ISNUMBER(F41))),$J$2=""),9&gt;Reprogramaciones!$K$16),"",IF(ROUND(SUM($Q41:Y41),1)&gt;=99.5,100,MIN(100,ROUND(SUM($Q41:Y41),1))))</f>
        <v/>
      </c>
      <c r="CS41" s="1" t="str">
        <f aca="false">IF(OR(OR(NOT(AND(ISNUMBER(E41),ISNUMBER(F41))),$J$2=""),10&gt;Reprogramaciones!$K$16),"",IF(ROUND(SUM($Q41:Z41),1)&gt;=99.5,100,MIN(100,ROUND(SUM($Q41:Z41),1))))</f>
        <v/>
      </c>
      <c r="CT41" s="1" t="str">
        <f aca="false">IF(OR(OR(NOT(AND(ISNUMBER(E41),ISNUMBER(F41))),$J$2=""),11&gt;Reprogramaciones!$K$16),"",IF(ROUND(SUM($Q41:AA41),1)&gt;=99.5,100,MIN(100,ROUND(SUM($Q41:AA41),1))))</f>
        <v/>
      </c>
      <c r="CU41" s="1" t="str">
        <f aca="false">IF(OR(OR(NOT(AND(ISNUMBER(E41),ISNUMBER(F41))),$J$2=""),12&gt;Reprogramaciones!$K$16),"",IF(ROUND(SUM($Q41:AB41),1)&gt;=99.5,100,MIN(100,ROUND(SUM($Q41:AB41),1))))</f>
        <v/>
      </c>
      <c r="CV41" s="1" t="str">
        <f aca="false">IF(OR(OR(NOT(AND(ISNUMBER(E41),ISNUMBER(F41))),$J$2=""),13&gt;Reprogramaciones!$K$16),"",IF(ROUND(SUM($Q41:AC41),1)&gt;=99.5,100,MIN(100,ROUND(SUM($Q41:AC41),1))))</f>
        <v/>
      </c>
      <c r="CW41" s="1" t="str">
        <f aca="false">IF(OR(OR(NOT(AND(ISNUMBER(E41),ISNUMBER(F41))),$J$2=""),14&gt;Reprogramaciones!$K$16),"",IF(ROUND(SUM($Q41:AD41),1)&gt;=99.5,100,MIN(100,ROUND(SUM($Q41:AD41),1))))</f>
        <v/>
      </c>
      <c r="CX41" s="1" t="str">
        <f aca="false">IF(OR(OR(NOT(AND(ISNUMBER(E41),ISNUMBER(F41))),$J$2=""),15&gt;Reprogramaciones!$K$16),"",IF(ROUND(SUM($Q41:AE41),1)&gt;=99.5,100,MIN(100,ROUND(SUM($Q41:AE41),1))))</f>
        <v/>
      </c>
      <c r="CY41" s="1" t="str">
        <f aca="false">IF(OR(OR(NOT(AND(ISNUMBER(E41),ISNUMBER(F41))),$J$2=""),16&gt;Reprogramaciones!$K$16),"",IF(ROUND(SUM($Q41:AF41),1)&gt;=99.5,100,MIN(100,ROUND(SUM($Q41:AF41),1))))</f>
        <v/>
      </c>
      <c r="CZ41" s="1" t="str">
        <f aca="false">IF(D41&lt;&gt;"",D41,IF(B41&lt;&gt;"","Contractual",CZ40))</f>
        <v>Contractual</v>
      </c>
      <c r="DA41" s="1" t="n">
        <f aca="false">IF(OR(NOT(AND(ISNUMBER(E41),ISNUMBER(F41))),$J$2=""),"",IF(Reprogramaciones!$Q$15&lt;Reprogramaciones!$T$15,0,IF(Reprogramaciones!$S$15&gt;10,MIN(100,SUM($G41:$P41)),MIN(100,SUMPRODUCT((COLUMN($G41:$P41)-COLUMN($G41)+1&lt;Reprogramaciones!$S$15)*$G41:$P41)+N(INDEX($G41:$P41,1,Reprogramaciones!$S$15))*IF(Reprogramaciones!$Q$15&gt;=(Reprogramaciones!$T$15+7*(Reprogramaciones!$S$15-1))+6,1,IF(MAX(0,NETWORKDAYS.INTL(MAX(E41,(Reprogramaciones!$T$15+7*(Reprogramaciones!$S$15-1))),MIN(F41,(Reprogramaciones!$T$15+7*(Reprogramaciones!$S$15-1))+6),11))=0,0,MAX(0,NETWORKDAYS.INTL(MAX(E41,(Reprogramaciones!$T$15+7*(Reprogramaciones!$S$15-1))),MIN(F41,Reprogramaciones!$Q$15),11))/MAX(0,NETWORKDAYS.INTL(MAX(E41,(Reprogramaciones!$T$15+7*(Reprogramaciones!$S$15-1))),MIN(F41,(Reprogramaciones!$T$15+7*(Reprogramaciones!$S$15-1))+6),11))))))))</f>
        <v>100</v>
      </c>
    </row>
    <row r="42" customFormat="false" ht="15" hidden="false" customHeight="false" outlineLevel="0" collapsed="false">
      <c r="A42" s="32" t="s">
        <v>225</v>
      </c>
      <c r="B42" s="33" t="s">
        <v>226</v>
      </c>
      <c r="C42" s="33"/>
      <c r="D42" s="34"/>
      <c r="E42" s="35"/>
      <c r="F42" s="35"/>
      <c r="G42" s="36" t="str">
        <f aca="false">IF(OR(NOT(AND(ISNUMBER(E42),ISNUMBER(F42))),$J$2=""),"",IF(Reprogramaciones!K$9&lt;E42,0,IF(NETWORKDAYS.INTL(E42,F42,11)=0,IF(Reprogramaciones!K$9&gt;=F42,100,0),ROUND(NETWORKDAYS.INTL(E42,MIN(F42,Reprogramaciones!K$9),11)/NETWORKDAYS.INTL(E42,F42,11)*100,1)))-0)</f>
        <v/>
      </c>
      <c r="H42" s="36" t="str">
        <f aca="false">IF(OR(NOT(AND(ISNUMBER(E42),ISNUMBER(F42))),$J$2=""),"",IF(Reprogramaciones!L$9&lt;E42,0,IF(NETWORKDAYS.INTL(E42,F42,11)=0,IF(Reprogramaciones!L$9&gt;=F42,100,0),ROUND(NETWORKDAYS.INTL(E42,MIN(F42,Reprogramaciones!L$9),11)/NETWORKDAYS.INTL(E42,F42,11)*100,1)))-IF(Reprogramaciones!K$9&lt;E42,0,IF(NETWORKDAYS.INTL(E42,F42,11)=0,IF(Reprogramaciones!K$9&gt;=F42,100,0),ROUND(NETWORKDAYS.INTL(E42,MIN(F42,Reprogramaciones!K$9),11)/NETWORKDAYS.INTL(E42,F42,11)*100,1))))</f>
        <v/>
      </c>
      <c r="I42" s="36" t="str">
        <f aca="false">IF(OR(NOT(AND(ISNUMBER(E42),ISNUMBER(F42))),$J$2=""),"",IF(Reprogramaciones!M$9&lt;E42,0,IF(NETWORKDAYS.INTL(E42,F42,11)=0,IF(Reprogramaciones!M$9&gt;=F42,100,0),ROUND(NETWORKDAYS.INTL(E42,MIN(F42,Reprogramaciones!M$9),11)/NETWORKDAYS.INTL(E42,F42,11)*100,1)))-IF(Reprogramaciones!L$9&lt;E42,0,IF(NETWORKDAYS.INTL(E42,F42,11)=0,IF(Reprogramaciones!L$9&gt;=F42,100,0),ROUND(NETWORKDAYS.INTL(E42,MIN(F42,Reprogramaciones!L$9),11)/NETWORKDAYS.INTL(E42,F42,11)*100,1))))</f>
        <v/>
      </c>
      <c r="J42" s="36" t="str">
        <f aca="false">IF(OR(NOT(AND(ISNUMBER(E42),ISNUMBER(F42))),$J$2=""),"",IF(Reprogramaciones!N$9&lt;E42,0,IF(NETWORKDAYS.INTL(E42,F42,11)=0,IF(Reprogramaciones!N$9&gt;=F42,100,0),ROUND(NETWORKDAYS.INTL(E42,MIN(F42,Reprogramaciones!N$9),11)/NETWORKDAYS.INTL(E42,F42,11)*100,1)))-IF(Reprogramaciones!M$9&lt;E42,0,IF(NETWORKDAYS.INTL(E42,F42,11)=0,IF(Reprogramaciones!M$9&gt;=F42,100,0),ROUND(NETWORKDAYS.INTL(E42,MIN(F42,Reprogramaciones!M$9),11)/NETWORKDAYS.INTL(E42,F42,11)*100,1))))</f>
        <v/>
      </c>
      <c r="K42" s="36" t="str">
        <f aca="false">IF(OR(NOT(AND(ISNUMBER(E42),ISNUMBER(F42))),$J$2=""),"",IF(Reprogramaciones!O$9&lt;E42,0,IF(NETWORKDAYS.INTL(E42,F42,11)=0,IF(Reprogramaciones!O$9&gt;=F42,100,0),ROUND(NETWORKDAYS.INTL(E42,MIN(F42,Reprogramaciones!O$9),11)/NETWORKDAYS.INTL(E42,F42,11)*100,1)))-IF(Reprogramaciones!N$9&lt;E42,0,IF(NETWORKDAYS.INTL(E42,F42,11)=0,IF(Reprogramaciones!N$9&gt;=F42,100,0),ROUND(NETWORKDAYS.INTL(E42,MIN(F42,Reprogramaciones!N$9),11)/NETWORKDAYS.INTL(E42,F42,11)*100,1))))</f>
        <v/>
      </c>
      <c r="L42" s="36" t="str">
        <f aca="false">IF(OR(NOT(AND(ISNUMBER(E42),ISNUMBER(F42))),$J$2=""),"",IF(Reprogramaciones!P$9&lt;E42,0,IF(NETWORKDAYS.INTL(E42,F42,11)=0,IF(Reprogramaciones!P$9&gt;=F42,100,0),ROUND(NETWORKDAYS.INTL(E42,MIN(F42,Reprogramaciones!P$9),11)/NETWORKDAYS.INTL(E42,F42,11)*100,1)))-IF(Reprogramaciones!O$9&lt;E42,0,IF(NETWORKDAYS.INTL(E42,F42,11)=0,IF(Reprogramaciones!O$9&gt;=F42,100,0),ROUND(NETWORKDAYS.INTL(E42,MIN(F42,Reprogramaciones!O$9),11)/NETWORKDAYS.INTL(E42,F42,11)*100,1))))</f>
        <v/>
      </c>
      <c r="M42" s="36" t="str">
        <f aca="false">IF(OR(NOT(AND(ISNUMBER(E42),ISNUMBER(F42))),$J$2=""),"",IF(Reprogramaciones!Q$9&lt;E42,0,IF(NETWORKDAYS.INTL(E42,F42,11)=0,IF(Reprogramaciones!Q$9&gt;=F42,100,0),ROUND(NETWORKDAYS.INTL(E42,MIN(F42,Reprogramaciones!Q$9),11)/NETWORKDAYS.INTL(E42,F42,11)*100,1)))-IF(Reprogramaciones!P$9&lt;E42,0,IF(NETWORKDAYS.INTL(E42,F42,11)=0,IF(Reprogramaciones!P$9&gt;=F42,100,0),ROUND(NETWORKDAYS.INTL(E42,MIN(F42,Reprogramaciones!P$9),11)/NETWORKDAYS.INTL(E42,F42,11)*100,1))))</f>
        <v/>
      </c>
      <c r="N42" s="36" t="str">
        <f aca="false">IF(OR(NOT(AND(ISNUMBER(E42),ISNUMBER(F42))),$J$2=""),"",IF(Reprogramaciones!R$9&lt;E42,0,IF(NETWORKDAYS.INTL(E42,F42,11)=0,IF(Reprogramaciones!R$9&gt;=F42,100,0),ROUND(NETWORKDAYS.INTL(E42,MIN(F42,Reprogramaciones!R$9),11)/NETWORKDAYS.INTL(E42,F42,11)*100,1)))-IF(Reprogramaciones!Q$9&lt;E42,0,IF(NETWORKDAYS.INTL(E42,F42,11)=0,IF(Reprogramaciones!Q$9&gt;=F42,100,0),ROUND(NETWORKDAYS.INTL(E42,MIN(F42,Reprogramaciones!Q$9),11)/NETWORKDAYS.INTL(E42,F42,11)*100,1))))</f>
        <v/>
      </c>
      <c r="O42" s="36" t="str">
        <f aca="false">IF(OR(NOT(AND(ISNUMBER(E42),ISNUMBER(F42))),$J$2=""),"",IF(Reprogramaciones!S$9&lt;E42,0,IF(NETWORKDAYS.INTL(E42,F42,11)=0,IF(Reprogramaciones!S$9&gt;=F42,100,0),ROUND(NETWORKDAYS.INTL(E42,MIN(F42,Reprogramaciones!S$9),11)/NETWORKDAYS.INTL(E42,F42,11)*100,1)))-IF(Reprogramaciones!R$9&lt;E42,0,IF(NETWORKDAYS.INTL(E42,F42,11)=0,IF(Reprogramaciones!R$9&gt;=F42,100,0),ROUND(NETWORKDAYS.INTL(E42,MIN(F42,Reprogramaciones!R$9),11)/NETWORKDAYS.INTL(E42,F42,11)*100,1))))</f>
        <v/>
      </c>
      <c r="P42" s="36" t="str">
        <f aca="false">IF(OR(NOT(AND(ISNUMBER(E42),ISNUMBER(F42))),$J$2=""),"",IF(Reprogramaciones!T$9&lt;E42,0,IF(NETWORKDAYS.INTL(E42,F42,11)=0,IF(Reprogramaciones!T$9&gt;=F42,100,0),ROUND(NETWORKDAYS.INTL(E42,MIN(F42,Reprogramaciones!T$9),11)/NETWORKDAYS.INTL(E42,F42,11)*100,1)))-IF(Reprogramaciones!S$9&lt;E42,0,IF(NETWORKDAYS.INTL(E42,F42,11)=0,IF(Reprogramaciones!S$9&gt;=F42,100,0),ROUND(NETWORKDAYS.INTL(E42,MIN(F42,Reprogramaciones!S$9),11)/NETWORKDAYS.INTL(E42,F42,11)*100,1))))</f>
        <v/>
      </c>
      <c r="Q42" s="37"/>
      <c r="R42" s="37"/>
      <c r="S42" s="37"/>
      <c r="T42" s="37"/>
      <c r="U42" s="37"/>
      <c r="V42" s="37"/>
      <c r="W42" s="37"/>
      <c r="X42" s="37"/>
      <c r="Y42" s="37"/>
      <c r="Z42" s="37"/>
      <c r="AA42" s="37"/>
      <c r="AB42" s="37"/>
      <c r="AC42" s="37"/>
      <c r="AD42" s="37"/>
      <c r="AE42" s="37"/>
      <c r="AF42" s="37"/>
      <c r="AG42" s="38" t="str">
        <f aca="false">IF(AND(ISNUMBER(E42),ISNUMBER(F42)),NETWORKDAYS.INTL(E42,F42,11),"")</f>
        <v/>
      </c>
      <c r="AH42" s="38" t="str">
        <f aca="false">IF(OR(NOT(AND(ISNUMBER(E42),ISNUMBER(F42))),$J$2=""),"",IF(Reprogramaciones!$P$15&lt;Reprogramaciones!$T$15,0,IF(Reprogramaciones!$R$15&gt;10,MIN(100,SUM($G42:$P42)),MIN(100,SUMPRODUCT((COLUMN($G42:$P42)-COLUMN($G42)+1&lt;Reprogramaciones!$R$15)*$G42:$P42)+N(INDEX($G42:$P42,1,Reprogramaciones!$R$15))*IF(Reprogramaciones!$P$15&gt;=(Reprogramaciones!$T$15+7*(Reprogramaciones!$R$15-1))+6,1,IF(MAX(0,NETWORKDAYS.INTL(MAX(E42,(Reprogramaciones!$T$15+7*(Reprogramaciones!$R$15-1))),MIN(F42,(Reprogramaciones!$T$15+7*(Reprogramaciones!$R$15-1))+6),11))=0,0,MAX(0,NETWORKDAYS.INTL(MAX(E42,(Reprogramaciones!$T$15+7*(Reprogramaciones!$R$15-1))),MIN(F42,Reprogramaciones!$P$15),11))/MAX(0,NETWORKDAYS.INTL(MAX(E42,(Reprogramaciones!$T$15+7*(Reprogramaciones!$R$15-1))),MIN(F42,(Reprogramaciones!$T$15+7*(Reprogramaciones!$R$15-1))+6),11))))))))</f>
        <v/>
      </c>
      <c r="AI42" s="38" t="str">
        <f aca="false">IF(COUNT($Q42:$AF42)=0,"",IF(ROUND(SUM($Q42:$AF42),1)&gt;=99.5,100,MIN(100,ROUND(SUM($Q42:$AF42),1))))</f>
        <v/>
      </c>
      <c r="AJ42" s="38" t="str">
        <f aca="false">IF(OR(AH42="",AI42=""),"",AI42-AH42)</f>
        <v/>
      </c>
      <c r="AK42" s="39" t="str">
        <f aca="true">IF(AH42="","",IF(OR(Ficha!$C$10="Suspendida",Ficha!$C$10="Cancelada"),Ficha!$C$10,IF(AND(AI42&lt;&gt;"",N(AI42)&gt;=100),"Completada",IF(AND(E42&gt;TODAY(),N(AI42)=0),"Por iniciar",IF(N(AI42)+0.5&lt;AH42,"Retrasada",IF(N(AI42)+0.5&lt;DA42,IF(Reprogramaciones!$K$15&gt;0,"Al día · Sem "&amp;Reprogramaciones!$K$15&amp;" en curso","Al día · en curso"),"A tiempo"))))))</f>
        <v/>
      </c>
      <c r="AL42" s="39" t="str">
        <f aca="true">IF(AND(A42="",AND(B42="",C42="",E42="",F42="",COUNT(Q42:AF42)=0)),"",IF(AND(B42="",C42="",E42="",F42="",COUNT(Q42:AF42)=0),"Falta la partida o subpartida",IF(AND(A42&lt;&gt;"",COUNTIF($A$6:$A$305,A42)&gt;1),"Ítem repetido",IF(AND(C42="",E42="",F42="",COUNT(Q42:AF42)=0),"Título de partida",IF(OR(E42="",F42=""),"Faltan fechas",IF(OR(ISTEXT(E42),ISTEXT(F42)),"Fecha escrita como texto: usa dd/mm/aaaa",IF(F42&lt;E42,"Fin antes del inicio",IF(IF($J$2="",FALSE(),OR(E42&lt;$J$2,F42&gt;Reprogramaciones!$T$15+69)),"Fuera de las 10 semanas",IF(ABS(SUM(G42:P42)-100)&gt;0.5,"La meta no suma 100%",IF(ROUND(SUM(Q42:AF42),1)&gt;100.5,"El avance pasa de 100%",IF(MIN(Q42:AF42)&lt;0,"Avance negativo",IF(COUNTA(Q42:AF42)&gt;COUNT(Q42:AF42),"Avance escrito como texto",IF(SUMPRODUCT((Q42:AF42&gt;0)*(Q42:AF42&lt;1))&gt;0,"Avance menor a 1: escribe 50, no 50%",IF(SUMPRODUCT(ISNUMBER(Q42:AF42)*(Reprogramaciones!$K$8:$Z$8&gt;TODAY()))&gt;0,"Avance en semana que aún no llega",IF(AND(N(Reprogramaciones!$E$21)&gt;0,F42&gt;Reprogramaciones!$E$21),"Pasa el fin de la obra: registra una reprogramación",IF(AND(N(Reprogramaciones!$E$21)&gt;0,SUMPRODUCT(ISNUMBER(Q42:AF42)*(Reprogramaciones!$K$8:$Z$8&gt;Reprogramaciones!$E$21))&gt;0),"Avance después del fin de la obra: registra una reprogramación por atraso","OK"))))))))))))))))</f>
        <v>Título de partida</v>
      </c>
      <c r="AM42" s="40" t="str">
        <f aca="false">IF(OR(OR(NOT(AND(ISNUMBER(E42),ISNUMBER(F42))),$J$2=""),1&gt;MAX(1,Reprogramaciones!$U$15)),"",IF(Reprogramaciones!K$12&gt;=7,"",IF(OR(BT42-N(0)&gt;0.05,N(Q42)&gt;0),ROUNDDOWN(ROUND(BT42,6),0)&amp;"%"&amp;IF(CJ42="",""," / "&amp;CJ42&amp;"%"),IF(AND(N(0)&gt;=99.95,CJ42&lt;&gt;"",N(CJ42)&lt;100),"Pend. "&amp;CJ42&amp;"%",""))))</f>
        <v/>
      </c>
      <c r="AN42" s="40" t="str">
        <f aca="false">IF(OR(OR(NOT(AND(ISNUMBER(E42),ISNUMBER(F42))),$J$2=""),2&gt;MAX(1,Reprogramaciones!$U$15)),"",IF(Reprogramaciones!L$12&gt;=7,"",IF(OR(BU42-N(BT42)&gt;0.05,N(R42)&gt;0),ROUNDDOWN(ROUND(BU42,6),0)&amp;"%"&amp;IF(CK42="",""," / "&amp;CK42&amp;"%"),IF(AND(N(BT42)&gt;=99.95,CK42&lt;&gt;"",N(CK42)&lt;100),"Pend. "&amp;CK42&amp;"%",""))))</f>
        <v/>
      </c>
      <c r="AO42" s="40" t="str">
        <f aca="false">IF(OR(OR(NOT(AND(ISNUMBER(E42),ISNUMBER(F42))),$J$2=""),3&gt;MAX(1,Reprogramaciones!$U$15)),"",IF(Reprogramaciones!M$12&gt;=7,"",IF(OR(BV42-N(BU42)&gt;0.05,N(S42)&gt;0),ROUNDDOWN(ROUND(BV42,6),0)&amp;"%"&amp;IF(CL42="",""," / "&amp;CL42&amp;"%"),IF(AND(N(BU42)&gt;=99.95,CL42&lt;&gt;"",N(CL42)&lt;100),"Pend. "&amp;CL42&amp;"%",""))))</f>
        <v/>
      </c>
      <c r="AP42" s="40" t="str">
        <f aca="false">IF(OR(OR(NOT(AND(ISNUMBER(E42),ISNUMBER(F42))),$J$2=""),4&gt;MAX(1,Reprogramaciones!$U$15)),"",IF(Reprogramaciones!N$12&gt;=7,"",IF(OR(BW42-N(BV42)&gt;0.05,N(T42)&gt;0),ROUNDDOWN(ROUND(BW42,6),0)&amp;"%"&amp;IF(CM42="",""," / "&amp;CM42&amp;"%"),IF(AND(N(BV42)&gt;=99.95,CM42&lt;&gt;"",N(CM42)&lt;100),"Pend. "&amp;CM42&amp;"%",""))))</f>
        <v/>
      </c>
      <c r="AQ42" s="40" t="str">
        <f aca="false">IF(OR(OR(NOT(AND(ISNUMBER(E42),ISNUMBER(F42))),$J$2=""),5&gt;MAX(1,Reprogramaciones!$U$15)),"",IF(Reprogramaciones!O$12&gt;=7,"",IF(OR(BX42-N(BW42)&gt;0.05,N(U42)&gt;0),ROUNDDOWN(ROUND(BX42,6),0)&amp;"%"&amp;IF(CN42="",""," / "&amp;CN42&amp;"%"),IF(AND(N(BW42)&gt;=99.95,CN42&lt;&gt;"",N(CN42)&lt;100),"Pend. "&amp;CN42&amp;"%",""))))</f>
        <v/>
      </c>
      <c r="AR42" s="40" t="str">
        <f aca="false">IF(OR(OR(NOT(AND(ISNUMBER(E42),ISNUMBER(F42))),$J$2=""),6&gt;MAX(1,Reprogramaciones!$U$15)),"",IF(Reprogramaciones!P$12&gt;=7,"",IF(OR(BY42-N(BX42)&gt;0.05,N(V42)&gt;0),ROUNDDOWN(ROUND(BY42,6),0)&amp;"%"&amp;IF(CO42="",""," / "&amp;CO42&amp;"%"),IF(AND(N(BX42)&gt;=99.95,CO42&lt;&gt;"",N(CO42)&lt;100),"Pend. "&amp;CO42&amp;"%",""))))</f>
        <v/>
      </c>
      <c r="AS42" s="40" t="str">
        <f aca="false">IF(OR(OR(NOT(AND(ISNUMBER(E42),ISNUMBER(F42))),$J$2=""),7&gt;MAX(1,Reprogramaciones!$U$15)),"",IF(Reprogramaciones!Q$12&gt;=7,"",IF(OR(BZ42-N(BY42)&gt;0.05,N(W42)&gt;0),ROUNDDOWN(ROUND(BZ42,6),0)&amp;"%"&amp;IF(CP42="",""," / "&amp;CP42&amp;"%"),IF(AND(N(BY42)&gt;=99.95,CP42&lt;&gt;"",N(CP42)&lt;100),"Pend. "&amp;CP42&amp;"%",""))))</f>
        <v/>
      </c>
      <c r="AT42" s="40" t="str">
        <f aca="false">IF(OR(OR(NOT(AND(ISNUMBER(E42),ISNUMBER(F42))),$J$2=""),8&gt;MAX(1,Reprogramaciones!$U$15)),"",IF(Reprogramaciones!R$12&gt;=7,"",IF(OR(CA42-N(BZ42)&gt;0.05,N(X42)&gt;0),ROUNDDOWN(ROUND(CA42,6),0)&amp;"%"&amp;IF(CQ42="",""," / "&amp;CQ42&amp;"%"),IF(AND(N(BZ42)&gt;=99.95,CQ42&lt;&gt;"",N(CQ42)&lt;100),"Pend. "&amp;CQ42&amp;"%",""))))</f>
        <v/>
      </c>
      <c r="AU42" s="40" t="str">
        <f aca="false">IF(OR(OR(NOT(AND(ISNUMBER(E42),ISNUMBER(F42))),$J$2=""),9&gt;MAX(1,Reprogramaciones!$U$15)),"",IF(Reprogramaciones!S$12&gt;=7,"",IF(OR(CB42-N(CA42)&gt;0.05,N(Y42)&gt;0),ROUNDDOWN(ROUND(CB42,6),0)&amp;"%"&amp;IF(CR42="",""," / "&amp;CR42&amp;"%"),IF(AND(N(CA42)&gt;=99.95,CR42&lt;&gt;"",N(CR42)&lt;100),"Pend. "&amp;CR42&amp;"%",""))))</f>
        <v/>
      </c>
      <c r="AV42" s="40" t="str">
        <f aca="false">IF(OR(OR(NOT(AND(ISNUMBER(E42),ISNUMBER(F42))),$J$2=""),10&gt;MAX(1,Reprogramaciones!$U$15)),"",IF(Reprogramaciones!T$12&gt;=7,"",IF(OR(CC42-N(CB42)&gt;0.05,N(Z42)&gt;0),ROUNDDOWN(ROUND(CC42,6),0)&amp;"%"&amp;IF(CS42="",""," / "&amp;CS42&amp;"%"),IF(AND(N(CB42)&gt;=99.95,CS42&lt;&gt;"",N(CS42)&lt;100),"Pend. "&amp;CS42&amp;"%",""))))</f>
        <v/>
      </c>
      <c r="AW42" s="40" t="str">
        <f aca="false">IF(OR(OR(NOT(AND(ISNUMBER(E42),ISNUMBER(F42))),$J$2=""),11&gt;MAX(1,Reprogramaciones!$U$15)),"",IF(Reprogramaciones!U$12&gt;=7,"",IF(OR(CD42-N(CC42)&gt;0.05,N(AA42)&gt;0),ROUNDDOWN(ROUND(CD42,6),0)&amp;"%"&amp;IF(CT42="",""," / "&amp;CT42&amp;"%"),IF(AND(N(CC42)&gt;=99.95,CT42&lt;&gt;"",N(CT42)&lt;100),"Pend. "&amp;CT42&amp;"%",""))))</f>
        <v/>
      </c>
      <c r="AX42" s="40" t="str">
        <f aca="false">IF(OR(OR(NOT(AND(ISNUMBER(E42),ISNUMBER(F42))),$J$2=""),12&gt;MAX(1,Reprogramaciones!$U$15)),"",IF(Reprogramaciones!V$12&gt;=7,"",IF(OR(CE42-N(CD42)&gt;0.05,N(AB42)&gt;0),ROUNDDOWN(ROUND(CE42,6),0)&amp;"%"&amp;IF(CU42="",""," / "&amp;CU42&amp;"%"),IF(AND(N(CD42)&gt;=99.95,CU42&lt;&gt;"",N(CU42)&lt;100),"Pend. "&amp;CU42&amp;"%",""))))</f>
        <v/>
      </c>
      <c r="AY42" s="40" t="str">
        <f aca="false">IF(OR(OR(NOT(AND(ISNUMBER(E42),ISNUMBER(F42))),$J$2=""),13&gt;MAX(1,Reprogramaciones!$U$15)),"",IF(Reprogramaciones!W$12&gt;=7,"",IF(OR(CF42-N(CE42)&gt;0.05,N(AC42)&gt;0),ROUNDDOWN(ROUND(CF42,6),0)&amp;"%"&amp;IF(CV42="",""," / "&amp;CV42&amp;"%"),IF(AND(N(CE42)&gt;=99.95,CV42&lt;&gt;"",N(CV42)&lt;100),"Pend. "&amp;CV42&amp;"%",""))))</f>
        <v/>
      </c>
      <c r="AZ42" s="40" t="str">
        <f aca="false">IF(OR(OR(NOT(AND(ISNUMBER(E42),ISNUMBER(F42))),$J$2=""),14&gt;MAX(1,Reprogramaciones!$U$15)),"",IF(Reprogramaciones!X$12&gt;=7,"",IF(OR(CG42-N(CF42)&gt;0.05,N(AD42)&gt;0),ROUNDDOWN(ROUND(CG42,6),0)&amp;"%"&amp;IF(CW42="",""," / "&amp;CW42&amp;"%"),IF(AND(N(CF42)&gt;=99.95,CW42&lt;&gt;"",N(CW42)&lt;100),"Pend. "&amp;CW42&amp;"%",""))))</f>
        <v/>
      </c>
      <c r="BA42" s="40" t="str">
        <f aca="false">IF(OR(OR(NOT(AND(ISNUMBER(E42),ISNUMBER(F42))),$J$2=""),15&gt;MAX(1,Reprogramaciones!$U$15)),"",IF(Reprogramaciones!Y$12&gt;=7,"",IF(OR(CH42-N(CG42)&gt;0.05,N(AE42)&gt;0),ROUNDDOWN(ROUND(CH42,6),0)&amp;"%"&amp;IF(CX42="",""," / "&amp;CX42&amp;"%"),IF(AND(N(CG42)&gt;=99.95,CX42&lt;&gt;"",N(CX42)&lt;100),"Pend. "&amp;CX42&amp;"%",""))))</f>
        <v/>
      </c>
      <c r="BB42" s="40" t="str">
        <f aca="false">IF(OR(OR(NOT(AND(ISNUMBER(E42),ISNUMBER(F42))),$J$2=""),16&gt;MAX(1,Reprogramaciones!$U$15)),"",IF(Reprogramaciones!Z$12&gt;=7,"",IF(OR(CI42-N(CH42)&gt;0.05,N(AF42)&gt;0),ROUNDDOWN(ROUND(CI42,6),0)&amp;"%"&amp;IF(CY42="",""," / "&amp;CY42&amp;"%"),IF(AND(N(CH42)&gt;=99.95,CY42&lt;&gt;"",N(CY42)&lt;100),"Pend. "&amp;CY42&amp;"%",""))))</f>
        <v/>
      </c>
      <c r="BC42" s="31" t="n">
        <f aca="false">IF(AND(ISNUMBER(E42),ISNUMBER(F42)),MAX(1,NETWORKDAYS.INTL(E42,F42,11)),0)</f>
        <v>0</v>
      </c>
      <c r="BD42" s="1" t="str">
        <f aca="false">IF(OR(NOT(AND(ISNUMBER(E42),ISNUMBER(F42))),$J$2=""),"",MIN(100,ROUND(SUM($G42:G42),1)))</f>
        <v/>
      </c>
      <c r="BE42" s="1" t="str">
        <f aca="false">IF(OR(NOT(AND(ISNUMBER(E42),ISNUMBER(F42))),$J$2=""),"",MIN(100,ROUND(SUM($G42:H42),1)))</f>
        <v/>
      </c>
      <c r="BF42" s="1" t="str">
        <f aca="false">IF(OR(NOT(AND(ISNUMBER(E42),ISNUMBER(F42))),$J$2=""),"",MIN(100,ROUND(SUM($G42:I42),1)))</f>
        <v/>
      </c>
      <c r="BG42" s="1" t="str">
        <f aca="false">IF(OR(NOT(AND(ISNUMBER(E42),ISNUMBER(F42))),$J$2=""),"",MIN(100,ROUND(SUM($G42:J42),1)))</f>
        <v/>
      </c>
      <c r="BH42" s="1" t="str">
        <f aca="false">IF(OR(NOT(AND(ISNUMBER(E42),ISNUMBER(F42))),$J$2=""),"",MIN(100,ROUND(SUM($G42:K42),1)))</f>
        <v/>
      </c>
      <c r="BI42" s="1" t="str">
        <f aca="false">IF(OR(NOT(AND(ISNUMBER(E42),ISNUMBER(F42))),$J$2=""),"",MIN(100,ROUND(SUM($G42:L42),1)))</f>
        <v/>
      </c>
      <c r="BJ42" s="1" t="str">
        <f aca="false">IF(OR(NOT(AND(ISNUMBER(E42),ISNUMBER(F42))),$J$2=""),"",MIN(100,ROUND(SUM($G42:M42),1)))</f>
        <v/>
      </c>
      <c r="BK42" s="1" t="str">
        <f aca="false">IF(OR(NOT(AND(ISNUMBER(E42),ISNUMBER(F42))),$J$2=""),"",MIN(100,ROUND(SUM($G42:N42),1)))</f>
        <v/>
      </c>
      <c r="BL42" s="1" t="str">
        <f aca="false">IF(OR(NOT(AND(ISNUMBER(E42),ISNUMBER(F42))),$J$2=""),"",MIN(100,ROUND(SUM($G42:O42),1)))</f>
        <v/>
      </c>
      <c r="BM42" s="1" t="str">
        <f aca="false">IF(OR(NOT(AND(ISNUMBER(E42),ISNUMBER(F42))),$J$2=""),"",MIN(100,ROUND(SUM($G42:P42),1)))</f>
        <v/>
      </c>
      <c r="BN42" s="1" t="str">
        <f aca="false">IF(OR(NOT(AND(ISNUMBER(E42),ISNUMBER(F42))),$J$2=""),"",MIN(100,ROUND(SUM($G42:P42),1)))</f>
        <v/>
      </c>
      <c r="BO42" s="1" t="str">
        <f aca="false">IF(OR(NOT(AND(ISNUMBER(E42),ISNUMBER(F42))),$J$2=""),"",MIN(100,ROUND(SUM($G42:P42),1)))</f>
        <v/>
      </c>
      <c r="BP42" s="1" t="str">
        <f aca="false">IF(OR(NOT(AND(ISNUMBER(E42),ISNUMBER(F42))),$J$2=""),"",MIN(100,ROUND(SUM($G42:P42),1)))</f>
        <v/>
      </c>
      <c r="BQ42" s="1" t="str">
        <f aca="false">IF(OR(NOT(AND(ISNUMBER(E42),ISNUMBER(F42))),$J$2=""),"",MIN(100,ROUND(SUM($G42:P42),1)))</f>
        <v/>
      </c>
      <c r="BR42" s="1" t="str">
        <f aca="false">IF(OR(NOT(AND(ISNUMBER(E42),ISNUMBER(F42))),$J$2=""),"",MIN(100,ROUND(SUM($G42:P42),1)))</f>
        <v/>
      </c>
      <c r="BS42" s="1" t="str">
        <f aca="false">IF(OR(NOT(AND(ISNUMBER(E42),ISNUMBER(F42))),$J$2=""),"",MIN(100,ROUND(SUM($G42:P42),1)))</f>
        <v/>
      </c>
      <c r="BT42" s="1" t="str">
        <f aca="false">IF(OR(NOT(AND(ISNUMBER(E42),ISNUMBER(F42))),$J$2=""),"",IF(Reprogramaciones!K$13&lt;Reprogramaciones!$T$15,0,IF(Reprogramaciones!K$14&gt;10,MIN(100,SUM($G42:$P42)),MIN(100,SUMPRODUCT((COLUMN($G42:$P42)-COLUMN($G42)+1&lt;Reprogramaciones!K$14)*$G42:$P42)+N(INDEX($G42:$P42,1,Reprogramaciones!K$14))*IF(Reprogramaciones!K$13&gt;=(Reprogramaciones!$T$15+7*(Reprogramaciones!K$14-1))+6,1,IF(MAX(0,NETWORKDAYS.INTL(MAX(E42,(Reprogramaciones!$T$15+7*(Reprogramaciones!K$14-1))),MIN(F42,(Reprogramaciones!$T$15+7*(Reprogramaciones!K$14-1))+6),11))=0,0,MAX(0,NETWORKDAYS.INTL(MAX(E42,(Reprogramaciones!$T$15+7*(Reprogramaciones!K$14-1))),MIN(F42,Reprogramaciones!K$13),11))/MAX(0,NETWORKDAYS.INTL(MAX(E42,(Reprogramaciones!$T$15+7*(Reprogramaciones!K$14-1))),MIN(F42,(Reprogramaciones!$T$15+7*(Reprogramaciones!K$14-1))+6),11))))))))</f>
        <v/>
      </c>
      <c r="BU42" s="1" t="str">
        <f aca="false">IF(OR(NOT(AND(ISNUMBER(E42),ISNUMBER(F42))),$J$2=""),"",IF(Reprogramaciones!L$13&lt;Reprogramaciones!$T$15,0,IF(Reprogramaciones!L$14&gt;10,MIN(100,SUM($G42:$P42)),MIN(100,SUMPRODUCT((COLUMN($G42:$P42)-COLUMN($G42)+1&lt;Reprogramaciones!L$14)*$G42:$P42)+N(INDEX($G42:$P42,1,Reprogramaciones!L$14))*IF(Reprogramaciones!L$13&gt;=(Reprogramaciones!$T$15+7*(Reprogramaciones!L$14-1))+6,1,IF(MAX(0,NETWORKDAYS.INTL(MAX(E42,(Reprogramaciones!$T$15+7*(Reprogramaciones!L$14-1))),MIN(F42,(Reprogramaciones!$T$15+7*(Reprogramaciones!L$14-1))+6),11))=0,0,MAX(0,NETWORKDAYS.INTL(MAX(E42,(Reprogramaciones!$T$15+7*(Reprogramaciones!L$14-1))),MIN(F42,Reprogramaciones!L$13),11))/MAX(0,NETWORKDAYS.INTL(MAX(E42,(Reprogramaciones!$T$15+7*(Reprogramaciones!L$14-1))),MIN(F42,(Reprogramaciones!$T$15+7*(Reprogramaciones!L$14-1))+6),11))))))))</f>
        <v/>
      </c>
      <c r="BV42" s="1" t="str">
        <f aca="false">IF(OR(NOT(AND(ISNUMBER(E42),ISNUMBER(F42))),$J$2=""),"",IF(Reprogramaciones!M$13&lt;Reprogramaciones!$T$15,0,IF(Reprogramaciones!M$14&gt;10,MIN(100,SUM($G42:$P42)),MIN(100,SUMPRODUCT((COLUMN($G42:$P42)-COLUMN($G42)+1&lt;Reprogramaciones!M$14)*$G42:$P42)+N(INDEX($G42:$P42,1,Reprogramaciones!M$14))*IF(Reprogramaciones!M$13&gt;=(Reprogramaciones!$T$15+7*(Reprogramaciones!M$14-1))+6,1,IF(MAX(0,NETWORKDAYS.INTL(MAX(E42,(Reprogramaciones!$T$15+7*(Reprogramaciones!M$14-1))),MIN(F42,(Reprogramaciones!$T$15+7*(Reprogramaciones!M$14-1))+6),11))=0,0,MAX(0,NETWORKDAYS.INTL(MAX(E42,(Reprogramaciones!$T$15+7*(Reprogramaciones!M$14-1))),MIN(F42,Reprogramaciones!M$13),11))/MAX(0,NETWORKDAYS.INTL(MAX(E42,(Reprogramaciones!$T$15+7*(Reprogramaciones!M$14-1))),MIN(F42,(Reprogramaciones!$T$15+7*(Reprogramaciones!M$14-1))+6),11))))))))</f>
        <v/>
      </c>
      <c r="BW42" s="1" t="str">
        <f aca="false">IF(OR(NOT(AND(ISNUMBER(E42),ISNUMBER(F42))),$J$2=""),"",IF(Reprogramaciones!N$13&lt;Reprogramaciones!$T$15,0,IF(Reprogramaciones!N$14&gt;10,MIN(100,SUM($G42:$P42)),MIN(100,SUMPRODUCT((COLUMN($G42:$P42)-COLUMN($G42)+1&lt;Reprogramaciones!N$14)*$G42:$P42)+N(INDEX($G42:$P42,1,Reprogramaciones!N$14))*IF(Reprogramaciones!N$13&gt;=(Reprogramaciones!$T$15+7*(Reprogramaciones!N$14-1))+6,1,IF(MAX(0,NETWORKDAYS.INTL(MAX(E42,(Reprogramaciones!$T$15+7*(Reprogramaciones!N$14-1))),MIN(F42,(Reprogramaciones!$T$15+7*(Reprogramaciones!N$14-1))+6),11))=0,0,MAX(0,NETWORKDAYS.INTL(MAX(E42,(Reprogramaciones!$T$15+7*(Reprogramaciones!N$14-1))),MIN(F42,Reprogramaciones!N$13),11))/MAX(0,NETWORKDAYS.INTL(MAX(E42,(Reprogramaciones!$T$15+7*(Reprogramaciones!N$14-1))),MIN(F42,(Reprogramaciones!$T$15+7*(Reprogramaciones!N$14-1))+6),11))))))))</f>
        <v/>
      </c>
      <c r="BX42" s="1" t="str">
        <f aca="false">IF(OR(NOT(AND(ISNUMBER(E42),ISNUMBER(F42))),$J$2=""),"",IF(Reprogramaciones!O$13&lt;Reprogramaciones!$T$15,0,IF(Reprogramaciones!O$14&gt;10,MIN(100,SUM($G42:$P42)),MIN(100,SUMPRODUCT((COLUMN($G42:$P42)-COLUMN($G42)+1&lt;Reprogramaciones!O$14)*$G42:$P42)+N(INDEX($G42:$P42,1,Reprogramaciones!O$14))*IF(Reprogramaciones!O$13&gt;=(Reprogramaciones!$T$15+7*(Reprogramaciones!O$14-1))+6,1,IF(MAX(0,NETWORKDAYS.INTL(MAX(E42,(Reprogramaciones!$T$15+7*(Reprogramaciones!O$14-1))),MIN(F42,(Reprogramaciones!$T$15+7*(Reprogramaciones!O$14-1))+6),11))=0,0,MAX(0,NETWORKDAYS.INTL(MAX(E42,(Reprogramaciones!$T$15+7*(Reprogramaciones!O$14-1))),MIN(F42,Reprogramaciones!O$13),11))/MAX(0,NETWORKDAYS.INTL(MAX(E42,(Reprogramaciones!$T$15+7*(Reprogramaciones!O$14-1))),MIN(F42,(Reprogramaciones!$T$15+7*(Reprogramaciones!O$14-1))+6),11))))))))</f>
        <v/>
      </c>
      <c r="BY42" s="1" t="str">
        <f aca="false">IF(OR(NOT(AND(ISNUMBER(E42),ISNUMBER(F42))),$J$2=""),"",IF(Reprogramaciones!P$13&lt;Reprogramaciones!$T$15,0,IF(Reprogramaciones!P$14&gt;10,MIN(100,SUM($G42:$P42)),MIN(100,SUMPRODUCT((COLUMN($G42:$P42)-COLUMN($G42)+1&lt;Reprogramaciones!P$14)*$G42:$P42)+N(INDEX($G42:$P42,1,Reprogramaciones!P$14))*IF(Reprogramaciones!P$13&gt;=(Reprogramaciones!$T$15+7*(Reprogramaciones!P$14-1))+6,1,IF(MAX(0,NETWORKDAYS.INTL(MAX(E42,(Reprogramaciones!$T$15+7*(Reprogramaciones!P$14-1))),MIN(F42,(Reprogramaciones!$T$15+7*(Reprogramaciones!P$14-1))+6),11))=0,0,MAX(0,NETWORKDAYS.INTL(MAX(E42,(Reprogramaciones!$T$15+7*(Reprogramaciones!P$14-1))),MIN(F42,Reprogramaciones!P$13),11))/MAX(0,NETWORKDAYS.INTL(MAX(E42,(Reprogramaciones!$T$15+7*(Reprogramaciones!P$14-1))),MIN(F42,(Reprogramaciones!$T$15+7*(Reprogramaciones!P$14-1))+6),11))))))))</f>
        <v/>
      </c>
      <c r="BZ42" s="1" t="str">
        <f aca="false">IF(OR(NOT(AND(ISNUMBER(E42),ISNUMBER(F42))),$J$2=""),"",IF(Reprogramaciones!Q$13&lt;Reprogramaciones!$T$15,0,IF(Reprogramaciones!Q$14&gt;10,MIN(100,SUM($G42:$P42)),MIN(100,SUMPRODUCT((COLUMN($G42:$P42)-COLUMN($G42)+1&lt;Reprogramaciones!Q$14)*$G42:$P42)+N(INDEX($G42:$P42,1,Reprogramaciones!Q$14))*IF(Reprogramaciones!Q$13&gt;=(Reprogramaciones!$T$15+7*(Reprogramaciones!Q$14-1))+6,1,IF(MAX(0,NETWORKDAYS.INTL(MAX(E42,(Reprogramaciones!$T$15+7*(Reprogramaciones!Q$14-1))),MIN(F42,(Reprogramaciones!$T$15+7*(Reprogramaciones!Q$14-1))+6),11))=0,0,MAX(0,NETWORKDAYS.INTL(MAX(E42,(Reprogramaciones!$T$15+7*(Reprogramaciones!Q$14-1))),MIN(F42,Reprogramaciones!Q$13),11))/MAX(0,NETWORKDAYS.INTL(MAX(E42,(Reprogramaciones!$T$15+7*(Reprogramaciones!Q$14-1))),MIN(F42,(Reprogramaciones!$T$15+7*(Reprogramaciones!Q$14-1))+6),11))))))))</f>
        <v/>
      </c>
      <c r="CA42" s="1" t="str">
        <f aca="false">IF(OR(NOT(AND(ISNUMBER(E42),ISNUMBER(F42))),$J$2=""),"",IF(Reprogramaciones!R$13&lt;Reprogramaciones!$T$15,0,IF(Reprogramaciones!R$14&gt;10,MIN(100,SUM($G42:$P42)),MIN(100,SUMPRODUCT((COLUMN($G42:$P42)-COLUMN($G42)+1&lt;Reprogramaciones!R$14)*$G42:$P42)+N(INDEX($G42:$P42,1,Reprogramaciones!R$14))*IF(Reprogramaciones!R$13&gt;=(Reprogramaciones!$T$15+7*(Reprogramaciones!R$14-1))+6,1,IF(MAX(0,NETWORKDAYS.INTL(MAX(E42,(Reprogramaciones!$T$15+7*(Reprogramaciones!R$14-1))),MIN(F42,(Reprogramaciones!$T$15+7*(Reprogramaciones!R$14-1))+6),11))=0,0,MAX(0,NETWORKDAYS.INTL(MAX(E42,(Reprogramaciones!$T$15+7*(Reprogramaciones!R$14-1))),MIN(F42,Reprogramaciones!R$13),11))/MAX(0,NETWORKDAYS.INTL(MAX(E42,(Reprogramaciones!$T$15+7*(Reprogramaciones!R$14-1))),MIN(F42,(Reprogramaciones!$T$15+7*(Reprogramaciones!R$14-1))+6),11))))))))</f>
        <v/>
      </c>
      <c r="CB42" s="1" t="str">
        <f aca="false">IF(OR(NOT(AND(ISNUMBER(E42),ISNUMBER(F42))),$J$2=""),"",IF(Reprogramaciones!S$13&lt;Reprogramaciones!$T$15,0,IF(Reprogramaciones!S$14&gt;10,MIN(100,SUM($G42:$P42)),MIN(100,SUMPRODUCT((COLUMN($G42:$P42)-COLUMN($G42)+1&lt;Reprogramaciones!S$14)*$G42:$P42)+N(INDEX($G42:$P42,1,Reprogramaciones!S$14))*IF(Reprogramaciones!S$13&gt;=(Reprogramaciones!$T$15+7*(Reprogramaciones!S$14-1))+6,1,IF(MAX(0,NETWORKDAYS.INTL(MAX(E42,(Reprogramaciones!$T$15+7*(Reprogramaciones!S$14-1))),MIN(F42,(Reprogramaciones!$T$15+7*(Reprogramaciones!S$14-1))+6),11))=0,0,MAX(0,NETWORKDAYS.INTL(MAX(E42,(Reprogramaciones!$T$15+7*(Reprogramaciones!S$14-1))),MIN(F42,Reprogramaciones!S$13),11))/MAX(0,NETWORKDAYS.INTL(MAX(E42,(Reprogramaciones!$T$15+7*(Reprogramaciones!S$14-1))),MIN(F42,(Reprogramaciones!$T$15+7*(Reprogramaciones!S$14-1))+6),11))))))))</f>
        <v/>
      </c>
      <c r="CC42" s="1" t="str">
        <f aca="false">IF(OR(NOT(AND(ISNUMBER(E42),ISNUMBER(F42))),$J$2=""),"",IF(Reprogramaciones!T$13&lt;Reprogramaciones!$T$15,0,IF(Reprogramaciones!T$14&gt;10,MIN(100,SUM($G42:$P42)),MIN(100,SUMPRODUCT((COLUMN($G42:$P42)-COLUMN($G42)+1&lt;Reprogramaciones!T$14)*$G42:$P42)+N(INDEX($G42:$P42,1,Reprogramaciones!T$14))*IF(Reprogramaciones!T$13&gt;=(Reprogramaciones!$T$15+7*(Reprogramaciones!T$14-1))+6,1,IF(MAX(0,NETWORKDAYS.INTL(MAX(E42,(Reprogramaciones!$T$15+7*(Reprogramaciones!T$14-1))),MIN(F42,(Reprogramaciones!$T$15+7*(Reprogramaciones!T$14-1))+6),11))=0,0,MAX(0,NETWORKDAYS.INTL(MAX(E42,(Reprogramaciones!$T$15+7*(Reprogramaciones!T$14-1))),MIN(F42,Reprogramaciones!T$13),11))/MAX(0,NETWORKDAYS.INTL(MAX(E42,(Reprogramaciones!$T$15+7*(Reprogramaciones!T$14-1))),MIN(F42,(Reprogramaciones!$T$15+7*(Reprogramaciones!T$14-1))+6),11))))))))</f>
        <v/>
      </c>
      <c r="CD42" s="1" t="str">
        <f aca="false">IF(OR(NOT(AND(ISNUMBER(E42),ISNUMBER(F42))),$J$2=""),"",IF(Reprogramaciones!U$13&lt;Reprogramaciones!$T$15,0,IF(Reprogramaciones!U$14&gt;10,MIN(100,SUM($G42:$P42)),MIN(100,SUMPRODUCT((COLUMN($G42:$P42)-COLUMN($G42)+1&lt;Reprogramaciones!U$14)*$G42:$P42)+N(INDEX($G42:$P42,1,Reprogramaciones!U$14))*IF(Reprogramaciones!U$13&gt;=(Reprogramaciones!$T$15+7*(Reprogramaciones!U$14-1))+6,1,IF(MAX(0,NETWORKDAYS.INTL(MAX(E42,(Reprogramaciones!$T$15+7*(Reprogramaciones!U$14-1))),MIN(F42,(Reprogramaciones!$T$15+7*(Reprogramaciones!U$14-1))+6),11))=0,0,MAX(0,NETWORKDAYS.INTL(MAX(E42,(Reprogramaciones!$T$15+7*(Reprogramaciones!U$14-1))),MIN(F42,Reprogramaciones!U$13),11))/MAX(0,NETWORKDAYS.INTL(MAX(E42,(Reprogramaciones!$T$15+7*(Reprogramaciones!U$14-1))),MIN(F42,(Reprogramaciones!$T$15+7*(Reprogramaciones!U$14-1))+6),11))))))))</f>
        <v/>
      </c>
      <c r="CE42" s="1" t="str">
        <f aca="false">IF(OR(NOT(AND(ISNUMBER(E42),ISNUMBER(F42))),$J$2=""),"",IF(Reprogramaciones!V$13&lt;Reprogramaciones!$T$15,0,IF(Reprogramaciones!V$14&gt;10,MIN(100,SUM($G42:$P42)),MIN(100,SUMPRODUCT((COLUMN($G42:$P42)-COLUMN($G42)+1&lt;Reprogramaciones!V$14)*$G42:$P42)+N(INDEX($G42:$P42,1,Reprogramaciones!V$14))*IF(Reprogramaciones!V$13&gt;=(Reprogramaciones!$T$15+7*(Reprogramaciones!V$14-1))+6,1,IF(MAX(0,NETWORKDAYS.INTL(MAX(E42,(Reprogramaciones!$T$15+7*(Reprogramaciones!V$14-1))),MIN(F42,(Reprogramaciones!$T$15+7*(Reprogramaciones!V$14-1))+6),11))=0,0,MAX(0,NETWORKDAYS.INTL(MAX(E42,(Reprogramaciones!$T$15+7*(Reprogramaciones!V$14-1))),MIN(F42,Reprogramaciones!V$13),11))/MAX(0,NETWORKDAYS.INTL(MAX(E42,(Reprogramaciones!$T$15+7*(Reprogramaciones!V$14-1))),MIN(F42,(Reprogramaciones!$T$15+7*(Reprogramaciones!V$14-1))+6),11))))))))</f>
        <v/>
      </c>
      <c r="CF42" s="1" t="str">
        <f aca="false">IF(OR(NOT(AND(ISNUMBER(E42),ISNUMBER(F42))),$J$2=""),"",IF(Reprogramaciones!W$13&lt;Reprogramaciones!$T$15,0,IF(Reprogramaciones!W$14&gt;10,MIN(100,SUM($G42:$P42)),MIN(100,SUMPRODUCT((COLUMN($G42:$P42)-COLUMN($G42)+1&lt;Reprogramaciones!W$14)*$G42:$P42)+N(INDEX($G42:$P42,1,Reprogramaciones!W$14))*IF(Reprogramaciones!W$13&gt;=(Reprogramaciones!$T$15+7*(Reprogramaciones!W$14-1))+6,1,IF(MAX(0,NETWORKDAYS.INTL(MAX(E42,(Reprogramaciones!$T$15+7*(Reprogramaciones!W$14-1))),MIN(F42,(Reprogramaciones!$T$15+7*(Reprogramaciones!W$14-1))+6),11))=0,0,MAX(0,NETWORKDAYS.INTL(MAX(E42,(Reprogramaciones!$T$15+7*(Reprogramaciones!W$14-1))),MIN(F42,Reprogramaciones!W$13),11))/MAX(0,NETWORKDAYS.INTL(MAX(E42,(Reprogramaciones!$T$15+7*(Reprogramaciones!W$14-1))),MIN(F42,(Reprogramaciones!$T$15+7*(Reprogramaciones!W$14-1))+6),11))))))))</f>
        <v/>
      </c>
      <c r="CG42" s="1" t="str">
        <f aca="false">IF(OR(NOT(AND(ISNUMBER(E42),ISNUMBER(F42))),$J$2=""),"",IF(Reprogramaciones!X$13&lt;Reprogramaciones!$T$15,0,IF(Reprogramaciones!X$14&gt;10,MIN(100,SUM($G42:$P42)),MIN(100,SUMPRODUCT((COLUMN($G42:$P42)-COLUMN($G42)+1&lt;Reprogramaciones!X$14)*$G42:$P42)+N(INDEX($G42:$P42,1,Reprogramaciones!X$14))*IF(Reprogramaciones!X$13&gt;=(Reprogramaciones!$T$15+7*(Reprogramaciones!X$14-1))+6,1,IF(MAX(0,NETWORKDAYS.INTL(MAX(E42,(Reprogramaciones!$T$15+7*(Reprogramaciones!X$14-1))),MIN(F42,(Reprogramaciones!$T$15+7*(Reprogramaciones!X$14-1))+6),11))=0,0,MAX(0,NETWORKDAYS.INTL(MAX(E42,(Reprogramaciones!$T$15+7*(Reprogramaciones!X$14-1))),MIN(F42,Reprogramaciones!X$13),11))/MAX(0,NETWORKDAYS.INTL(MAX(E42,(Reprogramaciones!$T$15+7*(Reprogramaciones!X$14-1))),MIN(F42,(Reprogramaciones!$T$15+7*(Reprogramaciones!X$14-1))+6),11))))))))</f>
        <v/>
      </c>
      <c r="CH42" s="1" t="str">
        <f aca="false">IF(OR(NOT(AND(ISNUMBER(E42),ISNUMBER(F42))),$J$2=""),"",IF(Reprogramaciones!Y$13&lt;Reprogramaciones!$T$15,0,IF(Reprogramaciones!Y$14&gt;10,MIN(100,SUM($G42:$P42)),MIN(100,SUMPRODUCT((COLUMN($G42:$P42)-COLUMN($G42)+1&lt;Reprogramaciones!Y$14)*$G42:$P42)+N(INDEX($G42:$P42,1,Reprogramaciones!Y$14))*IF(Reprogramaciones!Y$13&gt;=(Reprogramaciones!$T$15+7*(Reprogramaciones!Y$14-1))+6,1,IF(MAX(0,NETWORKDAYS.INTL(MAX(E42,(Reprogramaciones!$T$15+7*(Reprogramaciones!Y$14-1))),MIN(F42,(Reprogramaciones!$T$15+7*(Reprogramaciones!Y$14-1))+6),11))=0,0,MAX(0,NETWORKDAYS.INTL(MAX(E42,(Reprogramaciones!$T$15+7*(Reprogramaciones!Y$14-1))),MIN(F42,Reprogramaciones!Y$13),11))/MAX(0,NETWORKDAYS.INTL(MAX(E42,(Reprogramaciones!$T$15+7*(Reprogramaciones!Y$14-1))),MIN(F42,(Reprogramaciones!$T$15+7*(Reprogramaciones!Y$14-1))+6),11))))))))</f>
        <v/>
      </c>
      <c r="CI42" s="1" t="str">
        <f aca="false">IF(OR(NOT(AND(ISNUMBER(E42),ISNUMBER(F42))),$J$2=""),"",IF(Reprogramaciones!Z$13&lt;Reprogramaciones!$T$15,0,IF(Reprogramaciones!Z$14&gt;10,MIN(100,SUM($G42:$P42)),MIN(100,SUMPRODUCT((COLUMN($G42:$P42)-COLUMN($G42)+1&lt;Reprogramaciones!Z$14)*$G42:$P42)+N(INDEX($G42:$P42,1,Reprogramaciones!Z$14))*IF(Reprogramaciones!Z$13&gt;=(Reprogramaciones!$T$15+7*(Reprogramaciones!Z$14-1))+6,1,IF(MAX(0,NETWORKDAYS.INTL(MAX(E42,(Reprogramaciones!$T$15+7*(Reprogramaciones!Z$14-1))),MIN(F42,(Reprogramaciones!$T$15+7*(Reprogramaciones!Z$14-1))+6),11))=0,0,MAX(0,NETWORKDAYS.INTL(MAX(E42,(Reprogramaciones!$T$15+7*(Reprogramaciones!Z$14-1))),MIN(F42,Reprogramaciones!Z$13),11))/MAX(0,NETWORKDAYS.INTL(MAX(E42,(Reprogramaciones!$T$15+7*(Reprogramaciones!Z$14-1))),MIN(F42,(Reprogramaciones!$T$15+7*(Reprogramaciones!Z$14-1))+6),11))))))))</f>
        <v/>
      </c>
      <c r="CJ42" s="1" t="str">
        <f aca="false">IF(OR(OR(NOT(AND(ISNUMBER(E42),ISNUMBER(F42))),$J$2=""),1&gt;Reprogramaciones!$K$16),"",IF(ROUND(SUM($Q42:Q42),1)&gt;=99.5,100,MIN(100,ROUND(SUM($Q42:Q42),1))))</f>
        <v/>
      </c>
      <c r="CK42" s="1" t="str">
        <f aca="false">IF(OR(OR(NOT(AND(ISNUMBER(E42),ISNUMBER(F42))),$J$2=""),2&gt;Reprogramaciones!$K$16),"",IF(ROUND(SUM($Q42:R42),1)&gt;=99.5,100,MIN(100,ROUND(SUM($Q42:R42),1))))</f>
        <v/>
      </c>
      <c r="CL42" s="1" t="str">
        <f aca="false">IF(OR(OR(NOT(AND(ISNUMBER(E42),ISNUMBER(F42))),$J$2=""),3&gt;Reprogramaciones!$K$16),"",IF(ROUND(SUM($Q42:S42),1)&gt;=99.5,100,MIN(100,ROUND(SUM($Q42:S42),1))))</f>
        <v/>
      </c>
      <c r="CM42" s="1" t="str">
        <f aca="false">IF(OR(OR(NOT(AND(ISNUMBER(E42),ISNUMBER(F42))),$J$2=""),4&gt;Reprogramaciones!$K$16),"",IF(ROUND(SUM($Q42:T42),1)&gt;=99.5,100,MIN(100,ROUND(SUM($Q42:T42),1))))</f>
        <v/>
      </c>
      <c r="CN42" s="1" t="str">
        <f aca="false">IF(OR(OR(NOT(AND(ISNUMBER(E42),ISNUMBER(F42))),$J$2=""),5&gt;Reprogramaciones!$K$16),"",IF(ROUND(SUM($Q42:U42),1)&gt;=99.5,100,MIN(100,ROUND(SUM($Q42:U42),1))))</f>
        <v/>
      </c>
      <c r="CO42" s="1" t="str">
        <f aca="false">IF(OR(OR(NOT(AND(ISNUMBER(E42),ISNUMBER(F42))),$J$2=""),6&gt;Reprogramaciones!$K$16),"",IF(ROUND(SUM($Q42:V42),1)&gt;=99.5,100,MIN(100,ROUND(SUM($Q42:V42),1))))</f>
        <v/>
      </c>
      <c r="CP42" s="1" t="str">
        <f aca="false">IF(OR(OR(NOT(AND(ISNUMBER(E42),ISNUMBER(F42))),$J$2=""),7&gt;Reprogramaciones!$K$16),"",IF(ROUND(SUM($Q42:W42),1)&gt;=99.5,100,MIN(100,ROUND(SUM($Q42:W42),1))))</f>
        <v/>
      </c>
      <c r="CQ42" s="1" t="str">
        <f aca="false">IF(OR(OR(NOT(AND(ISNUMBER(E42),ISNUMBER(F42))),$J$2=""),8&gt;Reprogramaciones!$K$16),"",IF(ROUND(SUM($Q42:X42),1)&gt;=99.5,100,MIN(100,ROUND(SUM($Q42:X42),1))))</f>
        <v/>
      </c>
      <c r="CR42" s="1" t="str">
        <f aca="false">IF(OR(OR(NOT(AND(ISNUMBER(E42),ISNUMBER(F42))),$J$2=""),9&gt;Reprogramaciones!$K$16),"",IF(ROUND(SUM($Q42:Y42),1)&gt;=99.5,100,MIN(100,ROUND(SUM($Q42:Y42),1))))</f>
        <v/>
      </c>
      <c r="CS42" s="1" t="str">
        <f aca="false">IF(OR(OR(NOT(AND(ISNUMBER(E42),ISNUMBER(F42))),$J$2=""),10&gt;Reprogramaciones!$K$16),"",IF(ROUND(SUM($Q42:Z42),1)&gt;=99.5,100,MIN(100,ROUND(SUM($Q42:Z42),1))))</f>
        <v/>
      </c>
      <c r="CT42" s="1" t="str">
        <f aca="false">IF(OR(OR(NOT(AND(ISNUMBER(E42),ISNUMBER(F42))),$J$2=""),11&gt;Reprogramaciones!$K$16),"",IF(ROUND(SUM($Q42:AA42),1)&gt;=99.5,100,MIN(100,ROUND(SUM($Q42:AA42),1))))</f>
        <v/>
      </c>
      <c r="CU42" s="1" t="str">
        <f aca="false">IF(OR(OR(NOT(AND(ISNUMBER(E42),ISNUMBER(F42))),$J$2=""),12&gt;Reprogramaciones!$K$16),"",IF(ROUND(SUM($Q42:AB42),1)&gt;=99.5,100,MIN(100,ROUND(SUM($Q42:AB42),1))))</f>
        <v/>
      </c>
      <c r="CV42" s="1" t="str">
        <f aca="false">IF(OR(OR(NOT(AND(ISNUMBER(E42),ISNUMBER(F42))),$J$2=""),13&gt;Reprogramaciones!$K$16),"",IF(ROUND(SUM($Q42:AC42),1)&gt;=99.5,100,MIN(100,ROUND(SUM($Q42:AC42),1))))</f>
        <v/>
      </c>
      <c r="CW42" s="1" t="str">
        <f aca="false">IF(OR(OR(NOT(AND(ISNUMBER(E42),ISNUMBER(F42))),$J$2=""),14&gt;Reprogramaciones!$K$16),"",IF(ROUND(SUM($Q42:AD42),1)&gt;=99.5,100,MIN(100,ROUND(SUM($Q42:AD42),1))))</f>
        <v/>
      </c>
      <c r="CX42" s="1" t="str">
        <f aca="false">IF(OR(OR(NOT(AND(ISNUMBER(E42),ISNUMBER(F42))),$J$2=""),15&gt;Reprogramaciones!$K$16),"",IF(ROUND(SUM($Q42:AE42),1)&gt;=99.5,100,MIN(100,ROUND(SUM($Q42:AE42),1))))</f>
        <v/>
      </c>
      <c r="CY42" s="1" t="str">
        <f aca="false">IF(OR(OR(NOT(AND(ISNUMBER(E42),ISNUMBER(F42))),$J$2=""),16&gt;Reprogramaciones!$K$16),"",IF(ROUND(SUM($Q42:AF42),1)&gt;=99.5,100,MIN(100,ROUND(SUM($Q42:AF42),1))))</f>
        <v/>
      </c>
      <c r="CZ42" s="1" t="str">
        <f aca="false">IF(D42&lt;&gt;"",D42,IF(B42&lt;&gt;"","Contractual",CZ41))</f>
        <v>Contractual</v>
      </c>
      <c r="DA42" s="1" t="str">
        <f aca="false">IF(OR(NOT(AND(ISNUMBER(E42),ISNUMBER(F42))),$J$2=""),"",IF(Reprogramaciones!$Q$15&lt;Reprogramaciones!$T$15,0,IF(Reprogramaciones!$S$15&gt;10,MIN(100,SUM($G42:$P42)),MIN(100,SUMPRODUCT((COLUMN($G42:$P42)-COLUMN($G42)+1&lt;Reprogramaciones!$S$15)*$G42:$P42)+N(INDEX($G42:$P42,1,Reprogramaciones!$S$15))*IF(Reprogramaciones!$Q$15&gt;=(Reprogramaciones!$T$15+7*(Reprogramaciones!$S$15-1))+6,1,IF(MAX(0,NETWORKDAYS.INTL(MAX(E42,(Reprogramaciones!$T$15+7*(Reprogramaciones!$S$15-1))),MIN(F42,(Reprogramaciones!$T$15+7*(Reprogramaciones!$S$15-1))+6),11))=0,0,MAX(0,NETWORKDAYS.INTL(MAX(E42,(Reprogramaciones!$T$15+7*(Reprogramaciones!$S$15-1))),MIN(F42,Reprogramaciones!$Q$15),11))/MAX(0,NETWORKDAYS.INTL(MAX(E42,(Reprogramaciones!$T$15+7*(Reprogramaciones!$S$15-1))),MIN(F42,(Reprogramaciones!$T$15+7*(Reprogramaciones!$S$15-1))+6),11))))))))</f>
        <v/>
      </c>
    </row>
    <row r="43" customFormat="false" ht="15" hidden="false" customHeight="false" outlineLevel="0" collapsed="false">
      <c r="A43" s="32" t="s">
        <v>227</v>
      </c>
      <c r="B43" s="33"/>
      <c r="C43" s="33" t="s">
        <v>228</v>
      </c>
      <c r="D43" s="34"/>
      <c r="E43" s="35" t="n">
        <v>46314</v>
      </c>
      <c r="F43" s="35" t="n">
        <v>46317</v>
      </c>
      <c r="G43" s="36" t="n">
        <f aca="false">IF(OR(NOT(AND(ISNUMBER(E43),ISNUMBER(F43))),$J$2=""),"",IF(Reprogramaciones!K$9&lt;E43,0,IF(NETWORKDAYS.INTL(E43,F43,11)=0,IF(Reprogramaciones!K$9&gt;=F43,100,0),ROUND(NETWORKDAYS.INTL(E43,MIN(F43,Reprogramaciones!K$9),11)/NETWORKDAYS.INTL(E43,F43,11)*100,1)))-0)</f>
        <v>0</v>
      </c>
      <c r="H43" s="36" t="n">
        <f aca="false">IF(OR(NOT(AND(ISNUMBER(E43),ISNUMBER(F43))),$J$2=""),"",IF(Reprogramaciones!L$9&lt;E43,0,IF(NETWORKDAYS.INTL(E43,F43,11)=0,IF(Reprogramaciones!L$9&gt;=F43,100,0),ROUND(NETWORKDAYS.INTL(E43,MIN(F43,Reprogramaciones!L$9),11)/NETWORKDAYS.INTL(E43,F43,11)*100,1)))-IF(Reprogramaciones!K$9&lt;E43,0,IF(NETWORKDAYS.INTL(E43,F43,11)=0,IF(Reprogramaciones!K$9&gt;=F43,100,0),ROUND(NETWORKDAYS.INTL(E43,MIN(F43,Reprogramaciones!K$9),11)/NETWORKDAYS.INTL(E43,F43,11)*100,1))))</f>
        <v>0</v>
      </c>
      <c r="I43" s="36" t="n">
        <f aca="false">IF(OR(NOT(AND(ISNUMBER(E43),ISNUMBER(F43))),$J$2=""),"",IF(Reprogramaciones!M$9&lt;E43,0,IF(NETWORKDAYS.INTL(E43,F43,11)=0,IF(Reprogramaciones!M$9&gt;=F43,100,0),ROUND(NETWORKDAYS.INTL(E43,MIN(F43,Reprogramaciones!M$9),11)/NETWORKDAYS.INTL(E43,F43,11)*100,1)))-IF(Reprogramaciones!L$9&lt;E43,0,IF(NETWORKDAYS.INTL(E43,F43,11)=0,IF(Reprogramaciones!L$9&gt;=F43,100,0),ROUND(NETWORKDAYS.INTL(E43,MIN(F43,Reprogramaciones!L$9),11)/NETWORKDAYS.INTL(E43,F43,11)*100,1))))</f>
        <v>0</v>
      </c>
      <c r="J43" s="36" t="n">
        <f aca="false">IF(OR(NOT(AND(ISNUMBER(E43),ISNUMBER(F43))),$J$2=""),"",IF(Reprogramaciones!N$9&lt;E43,0,IF(NETWORKDAYS.INTL(E43,F43,11)=0,IF(Reprogramaciones!N$9&gt;=F43,100,0),ROUND(NETWORKDAYS.INTL(E43,MIN(F43,Reprogramaciones!N$9),11)/NETWORKDAYS.INTL(E43,F43,11)*100,1)))-IF(Reprogramaciones!M$9&lt;E43,0,IF(NETWORKDAYS.INTL(E43,F43,11)=0,IF(Reprogramaciones!M$9&gt;=F43,100,0),ROUND(NETWORKDAYS.INTL(E43,MIN(F43,Reprogramaciones!M$9),11)/NETWORKDAYS.INTL(E43,F43,11)*100,1))))</f>
        <v>0</v>
      </c>
      <c r="K43" s="36" t="n">
        <f aca="false">IF(OR(NOT(AND(ISNUMBER(E43),ISNUMBER(F43))),$J$2=""),"",IF(Reprogramaciones!O$9&lt;E43,0,IF(NETWORKDAYS.INTL(E43,F43,11)=0,IF(Reprogramaciones!O$9&gt;=F43,100,0),ROUND(NETWORKDAYS.INTL(E43,MIN(F43,Reprogramaciones!O$9),11)/NETWORKDAYS.INTL(E43,F43,11)*100,1)))-IF(Reprogramaciones!N$9&lt;E43,0,IF(NETWORKDAYS.INTL(E43,F43,11)=0,IF(Reprogramaciones!N$9&gt;=F43,100,0),ROUND(NETWORKDAYS.INTL(E43,MIN(F43,Reprogramaciones!N$9),11)/NETWORKDAYS.INTL(E43,F43,11)*100,1))))</f>
        <v>100</v>
      </c>
      <c r="L43" s="36" t="n">
        <f aca="false">IF(OR(NOT(AND(ISNUMBER(E43),ISNUMBER(F43))),$J$2=""),"",IF(Reprogramaciones!P$9&lt;E43,0,IF(NETWORKDAYS.INTL(E43,F43,11)=0,IF(Reprogramaciones!P$9&gt;=F43,100,0),ROUND(NETWORKDAYS.INTL(E43,MIN(F43,Reprogramaciones!P$9),11)/NETWORKDAYS.INTL(E43,F43,11)*100,1)))-IF(Reprogramaciones!O$9&lt;E43,0,IF(NETWORKDAYS.INTL(E43,F43,11)=0,IF(Reprogramaciones!O$9&gt;=F43,100,0),ROUND(NETWORKDAYS.INTL(E43,MIN(F43,Reprogramaciones!O$9),11)/NETWORKDAYS.INTL(E43,F43,11)*100,1))))</f>
        <v>0</v>
      </c>
      <c r="M43" s="36" t="n">
        <f aca="false">IF(OR(NOT(AND(ISNUMBER(E43),ISNUMBER(F43))),$J$2=""),"",IF(Reprogramaciones!Q$9&lt;E43,0,IF(NETWORKDAYS.INTL(E43,F43,11)=0,IF(Reprogramaciones!Q$9&gt;=F43,100,0),ROUND(NETWORKDAYS.INTL(E43,MIN(F43,Reprogramaciones!Q$9),11)/NETWORKDAYS.INTL(E43,F43,11)*100,1)))-IF(Reprogramaciones!P$9&lt;E43,0,IF(NETWORKDAYS.INTL(E43,F43,11)=0,IF(Reprogramaciones!P$9&gt;=F43,100,0),ROUND(NETWORKDAYS.INTL(E43,MIN(F43,Reprogramaciones!P$9),11)/NETWORKDAYS.INTL(E43,F43,11)*100,1))))</f>
        <v>0</v>
      </c>
      <c r="N43" s="36" t="n">
        <f aca="false">IF(OR(NOT(AND(ISNUMBER(E43),ISNUMBER(F43))),$J$2=""),"",IF(Reprogramaciones!R$9&lt;E43,0,IF(NETWORKDAYS.INTL(E43,F43,11)=0,IF(Reprogramaciones!R$9&gt;=F43,100,0),ROUND(NETWORKDAYS.INTL(E43,MIN(F43,Reprogramaciones!R$9),11)/NETWORKDAYS.INTL(E43,F43,11)*100,1)))-IF(Reprogramaciones!Q$9&lt;E43,0,IF(NETWORKDAYS.INTL(E43,F43,11)=0,IF(Reprogramaciones!Q$9&gt;=F43,100,0),ROUND(NETWORKDAYS.INTL(E43,MIN(F43,Reprogramaciones!Q$9),11)/NETWORKDAYS.INTL(E43,F43,11)*100,1))))</f>
        <v>0</v>
      </c>
      <c r="O43" s="36" t="n">
        <f aca="false">IF(OR(NOT(AND(ISNUMBER(E43),ISNUMBER(F43))),$J$2=""),"",IF(Reprogramaciones!S$9&lt;E43,0,IF(NETWORKDAYS.INTL(E43,F43,11)=0,IF(Reprogramaciones!S$9&gt;=F43,100,0),ROUND(NETWORKDAYS.INTL(E43,MIN(F43,Reprogramaciones!S$9),11)/NETWORKDAYS.INTL(E43,F43,11)*100,1)))-IF(Reprogramaciones!R$9&lt;E43,0,IF(NETWORKDAYS.INTL(E43,F43,11)=0,IF(Reprogramaciones!R$9&gt;=F43,100,0),ROUND(NETWORKDAYS.INTL(E43,MIN(F43,Reprogramaciones!R$9),11)/NETWORKDAYS.INTL(E43,F43,11)*100,1))))</f>
        <v>0</v>
      </c>
      <c r="P43" s="36" t="n">
        <f aca="false">IF(OR(NOT(AND(ISNUMBER(E43),ISNUMBER(F43))),$J$2=""),"",IF(Reprogramaciones!T$9&lt;E43,0,IF(NETWORKDAYS.INTL(E43,F43,11)=0,IF(Reprogramaciones!T$9&gt;=F43,100,0),ROUND(NETWORKDAYS.INTL(E43,MIN(F43,Reprogramaciones!T$9),11)/NETWORKDAYS.INTL(E43,F43,11)*100,1)))-IF(Reprogramaciones!S$9&lt;E43,0,IF(NETWORKDAYS.INTL(E43,F43,11)=0,IF(Reprogramaciones!S$9&gt;=F43,100,0),ROUND(NETWORKDAYS.INTL(E43,MIN(F43,Reprogramaciones!S$9),11)/NETWORKDAYS.INTL(E43,F43,11)*100,1))))</f>
        <v>0</v>
      </c>
      <c r="Q43" s="37"/>
      <c r="R43" s="37"/>
      <c r="S43" s="37"/>
      <c r="T43" s="37"/>
      <c r="U43" s="37"/>
      <c r="V43" s="37"/>
      <c r="W43" s="37"/>
      <c r="X43" s="37"/>
      <c r="Y43" s="37"/>
      <c r="Z43" s="37"/>
      <c r="AA43" s="37"/>
      <c r="AB43" s="37"/>
      <c r="AC43" s="37"/>
      <c r="AD43" s="37"/>
      <c r="AE43" s="37"/>
      <c r="AF43" s="37"/>
      <c r="AG43" s="38" t="n">
        <f aca="false">IF(AND(ISNUMBER(E43),ISNUMBER(F43)),NETWORKDAYS.INTL(E43,F43,11),"")</f>
        <v>4</v>
      </c>
      <c r="AH43" s="38" t="n">
        <f aca="false">IF(OR(NOT(AND(ISNUMBER(E43),ISNUMBER(F43))),$J$2=""),"",IF(Reprogramaciones!$P$15&lt;Reprogramaciones!$T$15,0,IF(Reprogramaciones!$R$15&gt;10,MIN(100,SUM($G43:$P43)),MIN(100,SUMPRODUCT((COLUMN($G43:$P43)-COLUMN($G43)+1&lt;Reprogramaciones!$R$15)*$G43:$P43)+N(INDEX($G43:$P43,1,Reprogramaciones!$R$15))*IF(Reprogramaciones!$P$15&gt;=(Reprogramaciones!$T$15+7*(Reprogramaciones!$R$15-1))+6,1,IF(MAX(0,NETWORKDAYS.INTL(MAX(E43,(Reprogramaciones!$T$15+7*(Reprogramaciones!$R$15-1))),MIN(F43,(Reprogramaciones!$T$15+7*(Reprogramaciones!$R$15-1))+6),11))=0,0,MAX(0,NETWORKDAYS.INTL(MAX(E43,(Reprogramaciones!$T$15+7*(Reprogramaciones!$R$15-1))),MIN(F43,Reprogramaciones!$P$15),11))/MAX(0,NETWORKDAYS.INTL(MAX(E43,(Reprogramaciones!$T$15+7*(Reprogramaciones!$R$15-1))),MIN(F43,(Reprogramaciones!$T$15+7*(Reprogramaciones!$R$15-1))+6),11))))))))</f>
        <v>0</v>
      </c>
      <c r="AI43" s="38" t="str">
        <f aca="false">IF(COUNT($Q43:$AF43)=0,"",IF(ROUND(SUM($Q43:$AF43),1)&gt;=99.5,100,MIN(100,ROUND(SUM($Q43:$AF43),1))))</f>
        <v/>
      </c>
      <c r="AJ43" s="38" t="str">
        <f aca="false">IF(OR(AH43="",AI43=""),"",AI43-AH43)</f>
        <v/>
      </c>
      <c r="AK43" s="39" t="str">
        <f aca="true">IF(AH43="","",IF(OR(Ficha!$C$10="Suspendida",Ficha!$C$10="Cancelada"),Ficha!$C$10,IF(AND(AI43&lt;&gt;"",N(AI43)&gt;=100),"Completada",IF(AND(E43&gt;TODAY(),N(AI43)=0),"Por iniciar",IF(N(AI43)+0.5&lt;AH43,"Retrasada",IF(N(AI43)+0.5&lt;DA43,IF(Reprogramaciones!$K$15&gt;0,"Al día · Sem "&amp;Reprogramaciones!$K$15&amp;" en curso","Al día · en curso"),"A tiempo"))))))</f>
        <v>Al día · Sem 5 en curso</v>
      </c>
      <c r="AL43" s="39" t="str">
        <f aca="true">IF(AND(A43="",AND(B43="",C43="",E43="",F43="",COUNT(Q43:AF43)=0)),"",IF(AND(B43="",C43="",E43="",F43="",COUNT(Q43:AF43)=0),"Falta la partida o subpartida",IF(AND(A43&lt;&gt;"",COUNTIF($A$6:$A$305,A43)&gt;1),"Ítem repetido",IF(AND(C43="",E43="",F43="",COUNT(Q43:AF43)=0),"Título de partida",IF(OR(E43="",F43=""),"Faltan fechas",IF(OR(ISTEXT(E43),ISTEXT(F43)),"Fecha escrita como texto: usa dd/mm/aaaa",IF(F43&lt;E43,"Fin antes del inicio",IF(IF($J$2="",FALSE(),OR(E43&lt;$J$2,F43&gt;Reprogramaciones!$T$15+69)),"Fuera de las 10 semanas",IF(ABS(SUM(G43:P43)-100)&gt;0.5,"La meta no suma 100%",IF(ROUND(SUM(Q43:AF43),1)&gt;100.5,"El avance pasa de 100%",IF(MIN(Q43:AF43)&lt;0,"Avance negativo",IF(COUNTA(Q43:AF43)&gt;COUNT(Q43:AF43),"Avance escrito como texto",IF(SUMPRODUCT((Q43:AF43&gt;0)*(Q43:AF43&lt;1))&gt;0,"Avance menor a 1: escribe 50, no 50%",IF(SUMPRODUCT(ISNUMBER(Q43:AF43)*(Reprogramaciones!$K$8:$Z$8&gt;TODAY()))&gt;0,"Avance en semana que aún no llega",IF(AND(N(Reprogramaciones!$E$21)&gt;0,F43&gt;Reprogramaciones!$E$21),"Pasa el fin de la obra: registra una reprogramación",IF(AND(N(Reprogramaciones!$E$21)&gt;0,SUMPRODUCT(ISNUMBER(Q43:AF43)*(Reprogramaciones!$K$8:$Z$8&gt;Reprogramaciones!$E$21))&gt;0),"Avance después del fin de la obra: registra una reprogramación por atraso","OK"))))))))))))))))</f>
        <v>OK</v>
      </c>
      <c r="AM43" s="40" t="str">
        <f aca="false">IF(OR(OR(NOT(AND(ISNUMBER(E43),ISNUMBER(F43))),$J$2=""),1&gt;MAX(1,Reprogramaciones!$U$15)),"",IF(Reprogramaciones!K$12&gt;=7,"",IF(OR(BT43-N(0)&gt;0.05,N(Q43)&gt;0),ROUNDDOWN(ROUND(BT43,6),0)&amp;"%"&amp;IF(CJ43="",""," / "&amp;CJ43&amp;"%"),IF(AND(N(0)&gt;=99.95,CJ43&lt;&gt;"",N(CJ43)&lt;100),"Pend. "&amp;CJ43&amp;"%",""))))</f>
        <v/>
      </c>
      <c r="AN43" s="40" t="str">
        <f aca="false">IF(OR(OR(NOT(AND(ISNUMBER(E43),ISNUMBER(F43))),$J$2=""),2&gt;MAX(1,Reprogramaciones!$U$15)),"",IF(Reprogramaciones!L$12&gt;=7,"",IF(OR(BU43-N(BT43)&gt;0.05,N(R43)&gt;0),ROUNDDOWN(ROUND(BU43,6),0)&amp;"%"&amp;IF(CK43="",""," / "&amp;CK43&amp;"%"),IF(AND(N(BT43)&gt;=99.95,CK43&lt;&gt;"",N(CK43)&lt;100),"Pend. "&amp;CK43&amp;"%",""))))</f>
        <v/>
      </c>
      <c r="AO43" s="40" t="str">
        <f aca="false">IF(OR(OR(NOT(AND(ISNUMBER(E43),ISNUMBER(F43))),$J$2=""),3&gt;MAX(1,Reprogramaciones!$U$15)),"",IF(Reprogramaciones!M$12&gt;=7,"",IF(OR(BV43-N(BU43)&gt;0.05,N(S43)&gt;0),ROUNDDOWN(ROUND(BV43,6),0)&amp;"%"&amp;IF(CL43="",""," / "&amp;CL43&amp;"%"),IF(AND(N(BU43)&gt;=99.95,CL43&lt;&gt;"",N(CL43)&lt;100),"Pend. "&amp;CL43&amp;"%",""))))</f>
        <v/>
      </c>
      <c r="AP43" s="40" t="str">
        <f aca="false">IF(OR(OR(NOT(AND(ISNUMBER(E43),ISNUMBER(F43))),$J$2=""),4&gt;MAX(1,Reprogramaciones!$U$15)),"",IF(Reprogramaciones!N$12&gt;=7,"",IF(OR(BW43-N(BV43)&gt;0.05,N(T43)&gt;0),ROUNDDOWN(ROUND(BW43,6),0)&amp;"%"&amp;IF(CM43="",""," / "&amp;CM43&amp;"%"),IF(AND(N(BV43)&gt;=99.95,CM43&lt;&gt;"",N(CM43)&lt;100),"Pend. "&amp;CM43&amp;"%",""))))</f>
        <v/>
      </c>
      <c r="AQ43" s="40" t="str">
        <f aca="false">IF(OR(OR(NOT(AND(ISNUMBER(E43),ISNUMBER(F43))),$J$2=""),5&gt;MAX(1,Reprogramaciones!$U$15)),"",IF(Reprogramaciones!O$12&gt;=7,"",IF(OR(BX43-N(BW43)&gt;0.05,N(U43)&gt;0),ROUNDDOWN(ROUND(BX43,6),0)&amp;"%"&amp;IF(CN43="",""," / "&amp;CN43&amp;"%"),IF(AND(N(BW43)&gt;=99.95,CN43&lt;&gt;"",N(CN43)&lt;100),"Pend. "&amp;CN43&amp;"%",""))))</f>
        <v>100% / 0%</v>
      </c>
      <c r="AR43" s="40" t="str">
        <f aca="false">IF(OR(OR(NOT(AND(ISNUMBER(E43),ISNUMBER(F43))),$J$2=""),6&gt;MAX(1,Reprogramaciones!$U$15)),"",IF(Reprogramaciones!P$12&gt;=7,"",IF(OR(BY43-N(BX43)&gt;0.05,N(V43)&gt;0),ROUNDDOWN(ROUND(BY43,6),0)&amp;"%"&amp;IF(CO43="",""," / "&amp;CO43&amp;"%"),IF(AND(N(BX43)&gt;=99.95,CO43&lt;&gt;"",N(CO43)&lt;100),"Pend. "&amp;CO43&amp;"%",""))))</f>
        <v/>
      </c>
      <c r="AS43" s="40" t="str">
        <f aca="false">IF(OR(OR(NOT(AND(ISNUMBER(E43),ISNUMBER(F43))),$J$2=""),7&gt;MAX(1,Reprogramaciones!$U$15)),"",IF(Reprogramaciones!Q$12&gt;=7,"",IF(OR(BZ43-N(BY43)&gt;0.05,N(W43)&gt;0),ROUNDDOWN(ROUND(BZ43,6),0)&amp;"%"&amp;IF(CP43="",""," / "&amp;CP43&amp;"%"),IF(AND(N(BY43)&gt;=99.95,CP43&lt;&gt;"",N(CP43)&lt;100),"Pend. "&amp;CP43&amp;"%",""))))</f>
        <v/>
      </c>
      <c r="AT43" s="40" t="str">
        <f aca="false">IF(OR(OR(NOT(AND(ISNUMBER(E43),ISNUMBER(F43))),$J$2=""),8&gt;MAX(1,Reprogramaciones!$U$15)),"",IF(Reprogramaciones!R$12&gt;=7,"",IF(OR(CA43-N(BZ43)&gt;0.05,N(X43)&gt;0),ROUNDDOWN(ROUND(CA43,6),0)&amp;"%"&amp;IF(CQ43="",""," / "&amp;CQ43&amp;"%"),IF(AND(N(BZ43)&gt;=99.95,CQ43&lt;&gt;"",N(CQ43)&lt;100),"Pend. "&amp;CQ43&amp;"%",""))))</f>
        <v/>
      </c>
      <c r="AU43" s="40" t="str">
        <f aca="false">IF(OR(OR(NOT(AND(ISNUMBER(E43),ISNUMBER(F43))),$J$2=""),9&gt;MAX(1,Reprogramaciones!$U$15)),"",IF(Reprogramaciones!S$12&gt;=7,"",IF(OR(CB43-N(CA43)&gt;0.05,N(Y43)&gt;0),ROUNDDOWN(ROUND(CB43,6),0)&amp;"%"&amp;IF(CR43="",""," / "&amp;CR43&amp;"%"),IF(AND(N(CA43)&gt;=99.95,CR43&lt;&gt;"",N(CR43)&lt;100),"Pend. "&amp;CR43&amp;"%",""))))</f>
        <v/>
      </c>
      <c r="AV43" s="40" t="str">
        <f aca="false">IF(OR(OR(NOT(AND(ISNUMBER(E43),ISNUMBER(F43))),$J$2=""),10&gt;MAX(1,Reprogramaciones!$U$15)),"",IF(Reprogramaciones!T$12&gt;=7,"",IF(OR(CC43-N(CB43)&gt;0.05,N(Z43)&gt;0),ROUNDDOWN(ROUND(CC43,6),0)&amp;"%"&amp;IF(CS43="",""," / "&amp;CS43&amp;"%"),IF(AND(N(CB43)&gt;=99.95,CS43&lt;&gt;"",N(CS43)&lt;100),"Pend. "&amp;CS43&amp;"%",""))))</f>
        <v/>
      </c>
      <c r="AW43" s="40" t="str">
        <f aca="false">IF(OR(OR(NOT(AND(ISNUMBER(E43),ISNUMBER(F43))),$J$2=""),11&gt;MAX(1,Reprogramaciones!$U$15)),"",IF(Reprogramaciones!U$12&gt;=7,"",IF(OR(CD43-N(CC43)&gt;0.05,N(AA43)&gt;0),ROUNDDOWN(ROUND(CD43,6),0)&amp;"%"&amp;IF(CT43="",""," / "&amp;CT43&amp;"%"),IF(AND(N(CC43)&gt;=99.95,CT43&lt;&gt;"",N(CT43)&lt;100),"Pend. "&amp;CT43&amp;"%",""))))</f>
        <v/>
      </c>
      <c r="AX43" s="40" t="str">
        <f aca="false">IF(OR(OR(NOT(AND(ISNUMBER(E43),ISNUMBER(F43))),$J$2=""),12&gt;MAX(1,Reprogramaciones!$U$15)),"",IF(Reprogramaciones!V$12&gt;=7,"",IF(OR(CE43-N(CD43)&gt;0.05,N(AB43)&gt;0),ROUNDDOWN(ROUND(CE43,6),0)&amp;"%"&amp;IF(CU43="",""," / "&amp;CU43&amp;"%"),IF(AND(N(CD43)&gt;=99.95,CU43&lt;&gt;"",N(CU43)&lt;100),"Pend. "&amp;CU43&amp;"%",""))))</f>
        <v/>
      </c>
      <c r="AY43" s="40" t="str">
        <f aca="false">IF(OR(OR(NOT(AND(ISNUMBER(E43),ISNUMBER(F43))),$J$2=""),13&gt;MAX(1,Reprogramaciones!$U$15)),"",IF(Reprogramaciones!W$12&gt;=7,"",IF(OR(CF43-N(CE43)&gt;0.05,N(AC43)&gt;0),ROUNDDOWN(ROUND(CF43,6),0)&amp;"%"&amp;IF(CV43="",""," / "&amp;CV43&amp;"%"),IF(AND(N(CE43)&gt;=99.95,CV43&lt;&gt;"",N(CV43)&lt;100),"Pend. "&amp;CV43&amp;"%",""))))</f>
        <v/>
      </c>
      <c r="AZ43" s="40" t="str">
        <f aca="false">IF(OR(OR(NOT(AND(ISNUMBER(E43),ISNUMBER(F43))),$J$2=""),14&gt;MAX(1,Reprogramaciones!$U$15)),"",IF(Reprogramaciones!X$12&gt;=7,"",IF(OR(CG43-N(CF43)&gt;0.05,N(AD43)&gt;0),ROUNDDOWN(ROUND(CG43,6),0)&amp;"%"&amp;IF(CW43="",""," / "&amp;CW43&amp;"%"),IF(AND(N(CF43)&gt;=99.95,CW43&lt;&gt;"",N(CW43)&lt;100),"Pend. "&amp;CW43&amp;"%",""))))</f>
        <v/>
      </c>
      <c r="BA43" s="40" t="str">
        <f aca="false">IF(OR(OR(NOT(AND(ISNUMBER(E43),ISNUMBER(F43))),$J$2=""),15&gt;MAX(1,Reprogramaciones!$U$15)),"",IF(Reprogramaciones!Y$12&gt;=7,"",IF(OR(CH43-N(CG43)&gt;0.05,N(AE43)&gt;0),ROUNDDOWN(ROUND(CH43,6),0)&amp;"%"&amp;IF(CX43="",""," / "&amp;CX43&amp;"%"),IF(AND(N(CG43)&gt;=99.95,CX43&lt;&gt;"",N(CX43)&lt;100),"Pend. "&amp;CX43&amp;"%",""))))</f>
        <v/>
      </c>
      <c r="BB43" s="40" t="str">
        <f aca="false">IF(OR(OR(NOT(AND(ISNUMBER(E43),ISNUMBER(F43))),$J$2=""),16&gt;MAX(1,Reprogramaciones!$U$15)),"",IF(Reprogramaciones!Z$12&gt;=7,"",IF(OR(CI43-N(CH43)&gt;0.05,N(AF43)&gt;0),ROUNDDOWN(ROUND(CI43,6),0)&amp;"%"&amp;IF(CY43="",""," / "&amp;CY43&amp;"%"),IF(AND(N(CH43)&gt;=99.95,CY43&lt;&gt;"",N(CY43)&lt;100),"Pend. "&amp;CY43&amp;"%",""))))</f>
        <v/>
      </c>
      <c r="BC43" s="31" t="n">
        <f aca="false">IF(AND(ISNUMBER(E43),ISNUMBER(F43)),MAX(1,NETWORKDAYS.INTL(E43,F43,11)),0)</f>
        <v>4</v>
      </c>
      <c r="BD43" s="1" t="n">
        <f aca="false">IF(OR(NOT(AND(ISNUMBER(E43),ISNUMBER(F43))),$J$2=""),"",MIN(100,ROUND(SUM($G43:G43),1)))</f>
        <v>0</v>
      </c>
      <c r="BE43" s="1" t="n">
        <f aca="false">IF(OR(NOT(AND(ISNUMBER(E43),ISNUMBER(F43))),$J$2=""),"",MIN(100,ROUND(SUM($G43:H43),1)))</f>
        <v>0</v>
      </c>
      <c r="BF43" s="1" t="n">
        <f aca="false">IF(OR(NOT(AND(ISNUMBER(E43),ISNUMBER(F43))),$J$2=""),"",MIN(100,ROUND(SUM($G43:I43),1)))</f>
        <v>0</v>
      </c>
      <c r="BG43" s="1" t="n">
        <f aca="false">IF(OR(NOT(AND(ISNUMBER(E43),ISNUMBER(F43))),$J$2=""),"",MIN(100,ROUND(SUM($G43:J43),1)))</f>
        <v>0</v>
      </c>
      <c r="BH43" s="1" t="n">
        <f aca="false">IF(OR(NOT(AND(ISNUMBER(E43),ISNUMBER(F43))),$J$2=""),"",MIN(100,ROUND(SUM($G43:K43),1)))</f>
        <v>100</v>
      </c>
      <c r="BI43" s="1" t="n">
        <f aca="false">IF(OR(NOT(AND(ISNUMBER(E43),ISNUMBER(F43))),$J$2=""),"",MIN(100,ROUND(SUM($G43:L43),1)))</f>
        <v>100</v>
      </c>
      <c r="BJ43" s="1" t="n">
        <f aca="false">IF(OR(NOT(AND(ISNUMBER(E43),ISNUMBER(F43))),$J$2=""),"",MIN(100,ROUND(SUM($G43:M43),1)))</f>
        <v>100</v>
      </c>
      <c r="BK43" s="1" t="n">
        <f aca="false">IF(OR(NOT(AND(ISNUMBER(E43),ISNUMBER(F43))),$J$2=""),"",MIN(100,ROUND(SUM($G43:N43),1)))</f>
        <v>100</v>
      </c>
      <c r="BL43" s="1" t="n">
        <f aca="false">IF(OR(NOT(AND(ISNUMBER(E43),ISNUMBER(F43))),$J$2=""),"",MIN(100,ROUND(SUM($G43:O43),1)))</f>
        <v>100</v>
      </c>
      <c r="BM43" s="1" t="n">
        <f aca="false">IF(OR(NOT(AND(ISNUMBER(E43),ISNUMBER(F43))),$J$2=""),"",MIN(100,ROUND(SUM($G43:P43),1)))</f>
        <v>100</v>
      </c>
      <c r="BN43" s="1" t="n">
        <f aca="false">IF(OR(NOT(AND(ISNUMBER(E43),ISNUMBER(F43))),$J$2=""),"",MIN(100,ROUND(SUM($G43:P43),1)))</f>
        <v>100</v>
      </c>
      <c r="BO43" s="1" t="n">
        <f aca="false">IF(OR(NOT(AND(ISNUMBER(E43),ISNUMBER(F43))),$J$2=""),"",MIN(100,ROUND(SUM($G43:P43),1)))</f>
        <v>100</v>
      </c>
      <c r="BP43" s="1" t="n">
        <f aca="false">IF(OR(NOT(AND(ISNUMBER(E43),ISNUMBER(F43))),$J$2=""),"",MIN(100,ROUND(SUM($G43:P43),1)))</f>
        <v>100</v>
      </c>
      <c r="BQ43" s="1" t="n">
        <f aca="false">IF(OR(NOT(AND(ISNUMBER(E43),ISNUMBER(F43))),$J$2=""),"",MIN(100,ROUND(SUM($G43:P43),1)))</f>
        <v>100</v>
      </c>
      <c r="BR43" s="1" t="n">
        <f aca="false">IF(OR(NOT(AND(ISNUMBER(E43),ISNUMBER(F43))),$J$2=""),"",MIN(100,ROUND(SUM($G43:P43),1)))</f>
        <v>100</v>
      </c>
      <c r="BS43" s="1" t="n">
        <f aca="false">IF(OR(NOT(AND(ISNUMBER(E43),ISNUMBER(F43))),$J$2=""),"",MIN(100,ROUND(SUM($G43:P43),1)))</f>
        <v>100</v>
      </c>
      <c r="BT43" s="1" t="n">
        <f aca="false">IF(OR(NOT(AND(ISNUMBER(E43),ISNUMBER(F43))),$J$2=""),"",IF(Reprogramaciones!K$13&lt;Reprogramaciones!$T$15,0,IF(Reprogramaciones!K$14&gt;10,MIN(100,SUM($G43:$P43)),MIN(100,SUMPRODUCT((COLUMN($G43:$P43)-COLUMN($G43)+1&lt;Reprogramaciones!K$14)*$G43:$P43)+N(INDEX($G43:$P43,1,Reprogramaciones!K$14))*IF(Reprogramaciones!K$13&gt;=(Reprogramaciones!$T$15+7*(Reprogramaciones!K$14-1))+6,1,IF(MAX(0,NETWORKDAYS.INTL(MAX(E43,(Reprogramaciones!$T$15+7*(Reprogramaciones!K$14-1))),MIN(F43,(Reprogramaciones!$T$15+7*(Reprogramaciones!K$14-1))+6),11))=0,0,MAX(0,NETWORKDAYS.INTL(MAX(E43,(Reprogramaciones!$T$15+7*(Reprogramaciones!K$14-1))),MIN(F43,Reprogramaciones!K$13),11))/MAX(0,NETWORKDAYS.INTL(MAX(E43,(Reprogramaciones!$T$15+7*(Reprogramaciones!K$14-1))),MIN(F43,(Reprogramaciones!$T$15+7*(Reprogramaciones!K$14-1))+6),11))))))))</f>
        <v>0</v>
      </c>
      <c r="BU43" s="1" t="n">
        <f aca="false">IF(OR(NOT(AND(ISNUMBER(E43),ISNUMBER(F43))),$J$2=""),"",IF(Reprogramaciones!L$13&lt;Reprogramaciones!$T$15,0,IF(Reprogramaciones!L$14&gt;10,MIN(100,SUM($G43:$P43)),MIN(100,SUMPRODUCT((COLUMN($G43:$P43)-COLUMN($G43)+1&lt;Reprogramaciones!L$14)*$G43:$P43)+N(INDEX($G43:$P43,1,Reprogramaciones!L$14))*IF(Reprogramaciones!L$13&gt;=(Reprogramaciones!$T$15+7*(Reprogramaciones!L$14-1))+6,1,IF(MAX(0,NETWORKDAYS.INTL(MAX(E43,(Reprogramaciones!$T$15+7*(Reprogramaciones!L$14-1))),MIN(F43,(Reprogramaciones!$T$15+7*(Reprogramaciones!L$14-1))+6),11))=0,0,MAX(0,NETWORKDAYS.INTL(MAX(E43,(Reprogramaciones!$T$15+7*(Reprogramaciones!L$14-1))),MIN(F43,Reprogramaciones!L$13),11))/MAX(0,NETWORKDAYS.INTL(MAX(E43,(Reprogramaciones!$T$15+7*(Reprogramaciones!L$14-1))),MIN(F43,(Reprogramaciones!$T$15+7*(Reprogramaciones!L$14-1))+6),11))))))))</f>
        <v>0</v>
      </c>
      <c r="BV43" s="1" t="n">
        <f aca="false">IF(OR(NOT(AND(ISNUMBER(E43),ISNUMBER(F43))),$J$2=""),"",IF(Reprogramaciones!M$13&lt;Reprogramaciones!$T$15,0,IF(Reprogramaciones!M$14&gt;10,MIN(100,SUM($G43:$P43)),MIN(100,SUMPRODUCT((COLUMN($G43:$P43)-COLUMN($G43)+1&lt;Reprogramaciones!M$14)*$G43:$P43)+N(INDEX($G43:$P43,1,Reprogramaciones!M$14))*IF(Reprogramaciones!M$13&gt;=(Reprogramaciones!$T$15+7*(Reprogramaciones!M$14-1))+6,1,IF(MAX(0,NETWORKDAYS.INTL(MAX(E43,(Reprogramaciones!$T$15+7*(Reprogramaciones!M$14-1))),MIN(F43,(Reprogramaciones!$T$15+7*(Reprogramaciones!M$14-1))+6),11))=0,0,MAX(0,NETWORKDAYS.INTL(MAX(E43,(Reprogramaciones!$T$15+7*(Reprogramaciones!M$14-1))),MIN(F43,Reprogramaciones!M$13),11))/MAX(0,NETWORKDAYS.INTL(MAX(E43,(Reprogramaciones!$T$15+7*(Reprogramaciones!M$14-1))),MIN(F43,(Reprogramaciones!$T$15+7*(Reprogramaciones!M$14-1))+6),11))))))))</f>
        <v>0</v>
      </c>
      <c r="BW43" s="1" t="n">
        <f aca="false">IF(OR(NOT(AND(ISNUMBER(E43),ISNUMBER(F43))),$J$2=""),"",IF(Reprogramaciones!N$13&lt;Reprogramaciones!$T$15,0,IF(Reprogramaciones!N$14&gt;10,MIN(100,SUM($G43:$P43)),MIN(100,SUMPRODUCT((COLUMN($G43:$P43)-COLUMN($G43)+1&lt;Reprogramaciones!N$14)*$G43:$P43)+N(INDEX($G43:$P43,1,Reprogramaciones!N$14))*IF(Reprogramaciones!N$13&gt;=(Reprogramaciones!$T$15+7*(Reprogramaciones!N$14-1))+6,1,IF(MAX(0,NETWORKDAYS.INTL(MAX(E43,(Reprogramaciones!$T$15+7*(Reprogramaciones!N$14-1))),MIN(F43,(Reprogramaciones!$T$15+7*(Reprogramaciones!N$14-1))+6),11))=0,0,MAX(0,NETWORKDAYS.INTL(MAX(E43,(Reprogramaciones!$T$15+7*(Reprogramaciones!N$14-1))),MIN(F43,Reprogramaciones!N$13),11))/MAX(0,NETWORKDAYS.INTL(MAX(E43,(Reprogramaciones!$T$15+7*(Reprogramaciones!N$14-1))),MIN(F43,(Reprogramaciones!$T$15+7*(Reprogramaciones!N$14-1))+6),11))))))))</f>
        <v>0</v>
      </c>
      <c r="BX43" s="1" t="n">
        <f aca="false">IF(OR(NOT(AND(ISNUMBER(E43),ISNUMBER(F43))),$J$2=""),"",IF(Reprogramaciones!O$13&lt;Reprogramaciones!$T$15,0,IF(Reprogramaciones!O$14&gt;10,MIN(100,SUM($G43:$P43)),MIN(100,SUMPRODUCT((COLUMN($G43:$P43)-COLUMN($G43)+1&lt;Reprogramaciones!O$14)*$G43:$P43)+N(INDEX($G43:$P43,1,Reprogramaciones!O$14))*IF(Reprogramaciones!O$13&gt;=(Reprogramaciones!$T$15+7*(Reprogramaciones!O$14-1))+6,1,IF(MAX(0,NETWORKDAYS.INTL(MAX(E43,(Reprogramaciones!$T$15+7*(Reprogramaciones!O$14-1))),MIN(F43,(Reprogramaciones!$T$15+7*(Reprogramaciones!O$14-1))+6),11))=0,0,MAX(0,NETWORKDAYS.INTL(MAX(E43,(Reprogramaciones!$T$15+7*(Reprogramaciones!O$14-1))),MIN(F43,Reprogramaciones!O$13),11))/MAX(0,NETWORKDAYS.INTL(MAX(E43,(Reprogramaciones!$T$15+7*(Reprogramaciones!O$14-1))),MIN(F43,(Reprogramaciones!$T$15+7*(Reprogramaciones!O$14-1))+6),11))))))))</f>
        <v>100</v>
      </c>
      <c r="BY43" s="1" t="n">
        <f aca="false">IF(OR(NOT(AND(ISNUMBER(E43),ISNUMBER(F43))),$J$2=""),"",IF(Reprogramaciones!P$13&lt;Reprogramaciones!$T$15,0,IF(Reprogramaciones!P$14&gt;10,MIN(100,SUM($G43:$P43)),MIN(100,SUMPRODUCT((COLUMN($G43:$P43)-COLUMN($G43)+1&lt;Reprogramaciones!P$14)*$G43:$P43)+N(INDEX($G43:$P43,1,Reprogramaciones!P$14))*IF(Reprogramaciones!P$13&gt;=(Reprogramaciones!$T$15+7*(Reprogramaciones!P$14-1))+6,1,IF(MAX(0,NETWORKDAYS.INTL(MAX(E43,(Reprogramaciones!$T$15+7*(Reprogramaciones!P$14-1))),MIN(F43,(Reprogramaciones!$T$15+7*(Reprogramaciones!P$14-1))+6),11))=0,0,MAX(0,NETWORKDAYS.INTL(MAX(E43,(Reprogramaciones!$T$15+7*(Reprogramaciones!P$14-1))),MIN(F43,Reprogramaciones!P$13),11))/MAX(0,NETWORKDAYS.INTL(MAX(E43,(Reprogramaciones!$T$15+7*(Reprogramaciones!P$14-1))),MIN(F43,(Reprogramaciones!$T$15+7*(Reprogramaciones!P$14-1))+6),11))))))))</f>
        <v>100</v>
      </c>
      <c r="BZ43" s="1" t="n">
        <f aca="false">IF(OR(NOT(AND(ISNUMBER(E43),ISNUMBER(F43))),$J$2=""),"",IF(Reprogramaciones!Q$13&lt;Reprogramaciones!$T$15,0,IF(Reprogramaciones!Q$14&gt;10,MIN(100,SUM($G43:$P43)),MIN(100,SUMPRODUCT((COLUMN($G43:$P43)-COLUMN($G43)+1&lt;Reprogramaciones!Q$14)*$G43:$P43)+N(INDEX($G43:$P43,1,Reprogramaciones!Q$14))*IF(Reprogramaciones!Q$13&gt;=(Reprogramaciones!$T$15+7*(Reprogramaciones!Q$14-1))+6,1,IF(MAX(0,NETWORKDAYS.INTL(MAX(E43,(Reprogramaciones!$T$15+7*(Reprogramaciones!Q$14-1))),MIN(F43,(Reprogramaciones!$T$15+7*(Reprogramaciones!Q$14-1))+6),11))=0,0,MAX(0,NETWORKDAYS.INTL(MAX(E43,(Reprogramaciones!$T$15+7*(Reprogramaciones!Q$14-1))),MIN(F43,Reprogramaciones!Q$13),11))/MAX(0,NETWORKDAYS.INTL(MAX(E43,(Reprogramaciones!$T$15+7*(Reprogramaciones!Q$14-1))),MIN(F43,(Reprogramaciones!$T$15+7*(Reprogramaciones!Q$14-1))+6),11))))))))</f>
        <v>100</v>
      </c>
      <c r="CA43" s="1" t="n">
        <f aca="false">IF(OR(NOT(AND(ISNUMBER(E43),ISNUMBER(F43))),$J$2=""),"",IF(Reprogramaciones!R$13&lt;Reprogramaciones!$T$15,0,IF(Reprogramaciones!R$14&gt;10,MIN(100,SUM($G43:$P43)),MIN(100,SUMPRODUCT((COLUMN($G43:$P43)-COLUMN($G43)+1&lt;Reprogramaciones!R$14)*$G43:$P43)+N(INDEX($G43:$P43,1,Reprogramaciones!R$14))*IF(Reprogramaciones!R$13&gt;=(Reprogramaciones!$T$15+7*(Reprogramaciones!R$14-1))+6,1,IF(MAX(0,NETWORKDAYS.INTL(MAX(E43,(Reprogramaciones!$T$15+7*(Reprogramaciones!R$14-1))),MIN(F43,(Reprogramaciones!$T$15+7*(Reprogramaciones!R$14-1))+6),11))=0,0,MAX(0,NETWORKDAYS.INTL(MAX(E43,(Reprogramaciones!$T$15+7*(Reprogramaciones!R$14-1))),MIN(F43,Reprogramaciones!R$13),11))/MAX(0,NETWORKDAYS.INTL(MAX(E43,(Reprogramaciones!$T$15+7*(Reprogramaciones!R$14-1))),MIN(F43,(Reprogramaciones!$T$15+7*(Reprogramaciones!R$14-1))+6),11))))))))</f>
        <v>100</v>
      </c>
      <c r="CB43" s="1" t="n">
        <f aca="false">IF(OR(NOT(AND(ISNUMBER(E43),ISNUMBER(F43))),$J$2=""),"",IF(Reprogramaciones!S$13&lt;Reprogramaciones!$T$15,0,IF(Reprogramaciones!S$14&gt;10,MIN(100,SUM($G43:$P43)),MIN(100,SUMPRODUCT((COLUMN($G43:$P43)-COLUMN($G43)+1&lt;Reprogramaciones!S$14)*$G43:$P43)+N(INDEX($G43:$P43,1,Reprogramaciones!S$14))*IF(Reprogramaciones!S$13&gt;=(Reprogramaciones!$T$15+7*(Reprogramaciones!S$14-1))+6,1,IF(MAX(0,NETWORKDAYS.INTL(MAX(E43,(Reprogramaciones!$T$15+7*(Reprogramaciones!S$14-1))),MIN(F43,(Reprogramaciones!$T$15+7*(Reprogramaciones!S$14-1))+6),11))=0,0,MAX(0,NETWORKDAYS.INTL(MAX(E43,(Reprogramaciones!$T$15+7*(Reprogramaciones!S$14-1))),MIN(F43,Reprogramaciones!S$13),11))/MAX(0,NETWORKDAYS.INTL(MAX(E43,(Reprogramaciones!$T$15+7*(Reprogramaciones!S$14-1))),MIN(F43,(Reprogramaciones!$T$15+7*(Reprogramaciones!S$14-1))+6),11))))))))</f>
        <v>100</v>
      </c>
      <c r="CC43" s="1" t="n">
        <f aca="false">IF(OR(NOT(AND(ISNUMBER(E43),ISNUMBER(F43))),$J$2=""),"",IF(Reprogramaciones!T$13&lt;Reprogramaciones!$T$15,0,IF(Reprogramaciones!T$14&gt;10,MIN(100,SUM($G43:$P43)),MIN(100,SUMPRODUCT((COLUMN($G43:$P43)-COLUMN($G43)+1&lt;Reprogramaciones!T$14)*$G43:$P43)+N(INDEX($G43:$P43,1,Reprogramaciones!T$14))*IF(Reprogramaciones!T$13&gt;=(Reprogramaciones!$T$15+7*(Reprogramaciones!T$14-1))+6,1,IF(MAX(0,NETWORKDAYS.INTL(MAX(E43,(Reprogramaciones!$T$15+7*(Reprogramaciones!T$14-1))),MIN(F43,(Reprogramaciones!$T$15+7*(Reprogramaciones!T$14-1))+6),11))=0,0,MAX(0,NETWORKDAYS.INTL(MAX(E43,(Reprogramaciones!$T$15+7*(Reprogramaciones!T$14-1))),MIN(F43,Reprogramaciones!T$13),11))/MAX(0,NETWORKDAYS.INTL(MAX(E43,(Reprogramaciones!$T$15+7*(Reprogramaciones!T$14-1))),MIN(F43,(Reprogramaciones!$T$15+7*(Reprogramaciones!T$14-1))+6),11))))))))</f>
        <v>100</v>
      </c>
      <c r="CD43" s="1" t="n">
        <f aca="false">IF(OR(NOT(AND(ISNUMBER(E43),ISNUMBER(F43))),$J$2=""),"",IF(Reprogramaciones!U$13&lt;Reprogramaciones!$T$15,0,IF(Reprogramaciones!U$14&gt;10,MIN(100,SUM($G43:$P43)),MIN(100,SUMPRODUCT((COLUMN($G43:$P43)-COLUMN($G43)+1&lt;Reprogramaciones!U$14)*$G43:$P43)+N(INDEX($G43:$P43,1,Reprogramaciones!U$14))*IF(Reprogramaciones!U$13&gt;=(Reprogramaciones!$T$15+7*(Reprogramaciones!U$14-1))+6,1,IF(MAX(0,NETWORKDAYS.INTL(MAX(E43,(Reprogramaciones!$T$15+7*(Reprogramaciones!U$14-1))),MIN(F43,(Reprogramaciones!$T$15+7*(Reprogramaciones!U$14-1))+6),11))=0,0,MAX(0,NETWORKDAYS.INTL(MAX(E43,(Reprogramaciones!$T$15+7*(Reprogramaciones!U$14-1))),MIN(F43,Reprogramaciones!U$13),11))/MAX(0,NETWORKDAYS.INTL(MAX(E43,(Reprogramaciones!$T$15+7*(Reprogramaciones!U$14-1))),MIN(F43,(Reprogramaciones!$T$15+7*(Reprogramaciones!U$14-1))+6),11))))))))</f>
        <v>100</v>
      </c>
      <c r="CE43" s="1" t="n">
        <f aca="false">IF(OR(NOT(AND(ISNUMBER(E43),ISNUMBER(F43))),$J$2=""),"",IF(Reprogramaciones!V$13&lt;Reprogramaciones!$T$15,0,IF(Reprogramaciones!V$14&gt;10,MIN(100,SUM($G43:$P43)),MIN(100,SUMPRODUCT((COLUMN($G43:$P43)-COLUMN($G43)+1&lt;Reprogramaciones!V$14)*$G43:$P43)+N(INDEX($G43:$P43,1,Reprogramaciones!V$14))*IF(Reprogramaciones!V$13&gt;=(Reprogramaciones!$T$15+7*(Reprogramaciones!V$14-1))+6,1,IF(MAX(0,NETWORKDAYS.INTL(MAX(E43,(Reprogramaciones!$T$15+7*(Reprogramaciones!V$14-1))),MIN(F43,(Reprogramaciones!$T$15+7*(Reprogramaciones!V$14-1))+6),11))=0,0,MAX(0,NETWORKDAYS.INTL(MAX(E43,(Reprogramaciones!$T$15+7*(Reprogramaciones!V$14-1))),MIN(F43,Reprogramaciones!V$13),11))/MAX(0,NETWORKDAYS.INTL(MAX(E43,(Reprogramaciones!$T$15+7*(Reprogramaciones!V$14-1))),MIN(F43,(Reprogramaciones!$T$15+7*(Reprogramaciones!V$14-1))+6),11))))))))</f>
        <v>100</v>
      </c>
      <c r="CF43" s="1" t="n">
        <f aca="false">IF(OR(NOT(AND(ISNUMBER(E43),ISNUMBER(F43))),$J$2=""),"",IF(Reprogramaciones!W$13&lt;Reprogramaciones!$T$15,0,IF(Reprogramaciones!W$14&gt;10,MIN(100,SUM($G43:$P43)),MIN(100,SUMPRODUCT((COLUMN($G43:$P43)-COLUMN($G43)+1&lt;Reprogramaciones!W$14)*$G43:$P43)+N(INDEX($G43:$P43,1,Reprogramaciones!W$14))*IF(Reprogramaciones!W$13&gt;=(Reprogramaciones!$T$15+7*(Reprogramaciones!W$14-1))+6,1,IF(MAX(0,NETWORKDAYS.INTL(MAX(E43,(Reprogramaciones!$T$15+7*(Reprogramaciones!W$14-1))),MIN(F43,(Reprogramaciones!$T$15+7*(Reprogramaciones!W$14-1))+6),11))=0,0,MAX(0,NETWORKDAYS.INTL(MAX(E43,(Reprogramaciones!$T$15+7*(Reprogramaciones!W$14-1))),MIN(F43,Reprogramaciones!W$13),11))/MAX(0,NETWORKDAYS.INTL(MAX(E43,(Reprogramaciones!$T$15+7*(Reprogramaciones!W$14-1))),MIN(F43,(Reprogramaciones!$T$15+7*(Reprogramaciones!W$14-1))+6),11))))))))</f>
        <v>100</v>
      </c>
      <c r="CG43" s="1" t="n">
        <f aca="false">IF(OR(NOT(AND(ISNUMBER(E43),ISNUMBER(F43))),$J$2=""),"",IF(Reprogramaciones!X$13&lt;Reprogramaciones!$T$15,0,IF(Reprogramaciones!X$14&gt;10,MIN(100,SUM($G43:$P43)),MIN(100,SUMPRODUCT((COLUMN($G43:$P43)-COLUMN($G43)+1&lt;Reprogramaciones!X$14)*$G43:$P43)+N(INDEX($G43:$P43,1,Reprogramaciones!X$14))*IF(Reprogramaciones!X$13&gt;=(Reprogramaciones!$T$15+7*(Reprogramaciones!X$14-1))+6,1,IF(MAX(0,NETWORKDAYS.INTL(MAX(E43,(Reprogramaciones!$T$15+7*(Reprogramaciones!X$14-1))),MIN(F43,(Reprogramaciones!$T$15+7*(Reprogramaciones!X$14-1))+6),11))=0,0,MAX(0,NETWORKDAYS.INTL(MAX(E43,(Reprogramaciones!$T$15+7*(Reprogramaciones!X$14-1))),MIN(F43,Reprogramaciones!X$13),11))/MAX(0,NETWORKDAYS.INTL(MAX(E43,(Reprogramaciones!$T$15+7*(Reprogramaciones!X$14-1))),MIN(F43,(Reprogramaciones!$T$15+7*(Reprogramaciones!X$14-1))+6),11))))))))</f>
        <v>100</v>
      </c>
      <c r="CH43" s="1" t="n">
        <f aca="false">IF(OR(NOT(AND(ISNUMBER(E43),ISNUMBER(F43))),$J$2=""),"",IF(Reprogramaciones!Y$13&lt;Reprogramaciones!$T$15,0,IF(Reprogramaciones!Y$14&gt;10,MIN(100,SUM($G43:$P43)),MIN(100,SUMPRODUCT((COLUMN($G43:$P43)-COLUMN($G43)+1&lt;Reprogramaciones!Y$14)*$G43:$P43)+N(INDEX($G43:$P43,1,Reprogramaciones!Y$14))*IF(Reprogramaciones!Y$13&gt;=(Reprogramaciones!$T$15+7*(Reprogramaciones!Y$14-1))+6,1,IF(MAX(0,NETWORKDAYS.INTL(MAX(E43,(Reprogramaciones!$T$15+7*(Reprogramaciones!Y$14-1))),MIN(F43,(Reprogramaciones!$T$15+7*(Reprogramaciones!Y$14-1))+6),11))=0,0,MAX(0,NETWORKDAYS.INTL(MAX(E43,(Reprogramaciones!$T$15+7*(Reprogramaciones!Y$14-1))),MIN(F43,Reprogramaciones!Y$13),11))/MAX(0,NETWORKDAYS.INTL(MAX(E43,(Reprogramaciones!$T$15+7*(Reprogramaciones!Y$14-1))),MIN(F43,(Reprogramaciones!$T$15+7*(Reprogramaciones!Y$14-1))+6),11))))))))</f>
        <v>100</v>
      </c>
      <c r="CI43" s="1" t="n">
        <f aca="false">IF(OR(NOT(AND(ISNUMBER(E43),ISNUMBER(F43))),$J$2=""),"",IF(Reprogramaciones!Z$13&lt;Reprogramaciones!$T$15,0,IF(Reprogramaciones!Z$14&gt;10,MIN(100,SUM($G43:$P43)),MIN(100,SUMPRODUCT((COLUMN($G43:$P43)-COLUMN($G43)+1&lt;Reprogramaciones!Z$14)*$G43:$P43)+N(INDEX($G43:$P43,1,Reprogramaciones!Z$14))*IF(Reprogramaciones!Z$13&gt;=(Reprogramaciones!$T$15+7*(Reprogramaciones!Z$14-1))+6,1,IF(MAX(0,NETWORKDAYS.INTL(MAX(E43,(Reprogramaciones!$T$15+7*(Reprogramaciones!Z$14-1))),MIN(F43,(Reprogramaciones!$T$15+7*(Reprogramaciones!Z$14-1))+6),11))=0,0,MAX(0,NETWORKDAYS.INTL(MAX(E43,(Reprogramaciones!$T$15+7*(Reprogramaciones!Z$14-1))),MIN(F43,Reprogramaciones!Z$13),11))/MAX(0,NETWORKDAYS.INTL(MAX(E43,(Reprogramaciones!$T$15+7*(Reprogramaciones!Z$14-1))),MIN(F43,(Reprogramaciones!$T$15+7*(Reprogramaciones!Z$14-1))+6),11))))))))</f>
        <v>100</v>
      </c>
      <c r="CJ43" s="1" t="n">
        <f aca="false">IF(OR(OR(NOT(AND(ISNUMBER(E43),ISNUMBER(F43))),$J$2=""),1&gt;Reprogramaciones!$K$16),"",IF(ROUND(SUM($Q43:Q43),1)&gt;=99.5,100,MIN(100,ROUND(SUM($Q43:Q43),1))))</f>
        <v>0</v>
      </c>
      <c r="CK43" s="1" t="n">
        <f aca="false">IF(OR(OR(NOT(AND(ISNUMBER(E43),ISNUMBER(F43))),$J$2=""),2&gt;Reprogramaciones!$K$16),"",IF(ROUND(SUM($Q43:R43),1)&gt;=99.5,100,MIN(100,ROUND(SUM($Q43:R43),1))))</f>
        <v>0</v>
      </c>
      <c r="CL43" s="1" t="n">
        <f aca="false">IF(OR(OR(NOT(AND(ISNUMBER(E43),ISNUMBER(F43))),$J$2=""),3&gt;Reprogramaciones!$K$16),"",IF(ROUND(SUM($Q43:S43),1)&gt;=99.5,100,MIN(100,ROUND(SUM($Q43:S43),1))))</f>
        <v>0</v>
      </c>
      <c r="CM43" s="1" t="n">
        <f aca="false">IF(OR(OR(NOT(AND(ISNUMBER(E43),ISNUMBER(F43))),$J$2=""),4&gt;Reprogramaciones!$K$16),"",IF(ROUND(SUM($Q43:T43),1)&gt;=99.5,100,MIN(100,ROUND(SUM($Q43:T43),1))))</f>
        <v>0</v>
      </c>
      <c r="CN43" s="1" t="n">
        <f aca="false">IF(OR(OR(NOT(AND(ISNUMBER(E43),ISNUMBER(F43))),$J$2=""),5&gt;Reprogramaciones!$K$16),"",IF(ROUND(SUM($Q43:U43),1)&gt;=99.5,100,MIN(100,ROUND(SUM($Q43:U43),1))))</f>
        <v>0</v>
      </c>
      <c r="CO43" s="1" t="str">
        <f aca="false">IF(OR(OR(NOT(AND(ISNUMBER(E43),ISNUMBER(F43))),$J$2=""),6&gt;Reprogramaciones!$K$16),"",IF(ROUND(SUM($Q43:V43),1)&gt;=99.5,100,MIN(100,ROUND(SUM($Q43:V43),1))))</f>
        <v/>
      </c>
      <c r="CP43" s="1" t="str">
        <f aca="false">IF(OR(OR(NOT(AND(ISNUMBER(E43),ISNUMBER(F43))),$J$2=""),7&gt;Reprogramaciones!$K$16),"",IF(ROUND(SUM($Q43:W43),1)&gt;=99.5,100,MIN(100,ROUND(SUM($Q43:W43),1))))</f>
        <v/>
      </c>
      <c r="CQ43" s="1" t="str">
        <f aca="false">IF(OR(OR(NOT(AND(ISNUMBER(E43),ISNUMBER(F43))),$J$2=""),8&gt;Reprogramaciones!$K$16),"",IF(ROUND(SUM($Q43:X43),1)&gt;=99.5,100,MIN(100,ROUND(SUM($Q43:X43),1))))</f>
        <v/>
      </c>
      <c r="CR43" s="1" t="str">
        <f aca="false">IF(OR(OR(NOT(AND(ISNUMBER(E43),ISNUMBER(F43))),$J$2=""),9&gt;Reprogramaciones!$K$16),"",IF(ROUND(SUM($Q43:Y43),1)&gt;=99.5,100,MIN(100,ROUND(SUM($Q43:Y43),1))))</f>
        <v/>
      </c>
      <c r="CS43" s="1" t="str">
        <f aca="false">IF(OR(OR(NOT(AND(ISNUMBER(E43),ISNUMBER(F43))),$J$2=""),10&gt;Reprogramaciones!$K$16),"",IF(ROUND(SUM($Q43:Z43),1)&gt;=99.5,100,MIN(100,ROUND(SUM($Q43:Z43),1))))</f>
        <v/>
      </c>
      <c r="CT43" s="1" t="str">
        <f aca="false">IF(OR(OR(NOT(AND(ISNUMBER(E43),ISNUMBER(F43))),$J$2=""),11&gt;Reprogramaciones!$K$16),"",IF(ROUND(SUM($Q43:AA43),1)&gt;=99.5,100,MIN(100,ROUND(SUM($Q43:AA43),1))))</f>
        <v/>
      </c>
      <c r="CU43" s="1" t="str">
        <f aca="false">IF(OR(OR(NOT(AND(ISNUMBER(E43),ISNUMBER(F43))),$J$2=""),12&gt;Reprogramaciones!$K$16),"",IF(ROUND(SUM($Q43:AB43),1)&gt;=99.5,100,MIN(100,ROUND(SUM($Q43:AB43),1))))</f>
        <v/>
      </c>
      <c r="CV43" s="1" t="str">
        <f aca="false">IF(OR(OR(NOT(AND(ISNUMBER(E43),ISNUMBER(F43))),$J$2=""),13&gt;Reprogramaciones!$K$16),"",IF(ROUND(SUM($Q43:AC43),1)&gt;=99.5,100,MIN(100,ROUND(SUM($Q43:AC43),1))))</f>
        <v/>
      </c>
      <c r="CW43" s="1" t="str">
        <f aca="false">IF(OR(OR(NOT(AND(ISNUMBER(E43),ISNUMBER(F43))),$J$2=""),14&gt;Reprogramaciones!$K$16),"",IF(ROUND(SUM($Q43:AD43),1)&gt;=99.5,100,MIN(100,ROUND(SUM($Q43:AD43),1))))</f>
        <v/>
      </c>
      <c r="CX43" s="1" t="str">
        <f aca="false">IF(OR(OR(NOT(AND(ISNUMBER(E43),ISNUMBER(F43))),$J$2=""),15&gt;Reprogramaciones!$K$16),"",IF(ROUND(SUM($Q43:AE43),1)&gt;=99.5,100,MIN(100,ROUND(SUM($Q43:AE43),1))))</f>
        <v/>
      </c>
      <c r="CY43" s="1" t="str">
        <f aca="false">IF(OR(OR(NOT(AND(ISNUMBER(E43),ISNUMBER(F43))),$J$2=""),16&gt;Reprogramaciones!$K$16),"",IF(ROUND(SUM($Q43:AF43),1)&gt;=99.5,100,MIN(100,ROUND(SUM($Q43:AF43),1))))</f>
        <v/>
      </c>
      <c r="CZ43" s="1" t="str">
        <f aca="false">IF(D43&lt;&gt;"",D43,IF(B43&lt;&gt;"","Contractual",CZ42))</f>
        <v>Contractual</v>
      </c>
      <c r="DA43" s="1" t="n">
        <f aca="false">IF(OR(NOT(AND(ISNUMBER(E43),ISNUMBER(F43))),$J$2=""),"",IF(Reprogramaciones!$Q$15&lt;Reprogramaciones!$T$15,0,IF(Reprogramaciones!$S$15&gt;10,MIN(100,SUM($G43:$P43)),MIN(100,SUMPRODUCT((COLUMN($G43:$P43)-COLUMN($G43)+1&lt;Reprogramaciones!$S$15)*$G43:$P43)+N(INDEX($G43:$P43,1,Reprogramaciones!$S$15))*IF(Reprogramaciones!$Q$15&gt;=(Reprogramaciones!$T$15+7*(Reprogramaciones!$S$15-1))+6,1,IF(MAX(0,NETWORKDAYS.INTL(MAX(E43,(Reprogramaciones!$T$15+7*(Reprogramaciones!$S$15-1))),MIN(F43,(Reprogramaciones!$T$15+7*(Reprogramaciones!$S$15-1))+6),11))=0,0,MAX(0,NETWORKDAYS.INTL(MAX(E43,(Reprogramaciones!$T$15+7*(Reprogramaciones!$S$15-1))),MIN(F43,Reprogramaciones!$Q$15),11))/MAX(0,NETWORKDAYS.INTL(MAX(E43,(Reprogramaciones!$T$15+7*(Reprogramaciones!$S$15-1))),MIN(F43,(Reprogramaciones!$T$15+7*(Reprogramaciones!$S$15-1))+6),11))))))))</f>
        <v>100</v>
      </c>
    </row>
    <row r="44" customFormat="false" ht="15" hidden="false" customHeight="false" outlineLevel="0" collapsed="false">
      <c r="A44" s="32" t="s">
        <v>229</v>
      </c>
      <c r="B44" s="33"/>
      <c r="C44" s="33" t="s">
        <v>230</v>
      </c>
      <c r="D44" s="34"/>
      <c r="E44" s="35" t="n">
        <v>46316</v>
      </c>
      <c r="F44" s="35" t="n">
        <v>46318</v>
      </c>
      <c r="G44" s="36" t="n">
        <f aca="false">IF(OR(NOT(AND(ISNUMBER(E44),ISNUMBER(F44))),$J$2=""),"",IF(Reprogramaciones!K$9&lt;E44,0,IF(NETWORKDAYS.INTL(E44,F44,11)=0,IF(Reprogramaciones!K$9&gt;=F44,100,0),ROUND(NETWORKDAYS.INTL(E44,MIN(F44,Reprogramaciones!K$9),11)/NETWORKDAYS.INTL(E44,F44,11)*100,1)))-0)</f>
        <v>0</v>
      </c>
      <c r="H44" s="36" t="n">
        <f aca="false">IF(OR(NOT(AND(ISNUMBER(E44),ISNUMBER(F44))),$J$2=""),"",IF(Reprogramaciones!L$9&lt;E44,0,IF(NETWORKDAYS.INTL(E44,F44,11)=0,IF(Reprogramaciones!L$9&gt;=F44,100,0),ROUND(NETWORKDAYS.INTL(E44,MIN(F44,Reprogramaciones!L$9),11)/NETWORKDAYS.INTL(E44,F44,11)*100,1)))-IF(Reprogramaciones!K$9&lt;E44,0,IF(NETWORKDAYS.INTL(E44,F44,11)=0,IF(Reprogramaciones!K$9&gt;=F44,100,0),ROUND(NETWORKDAYS.INTL(E44,MIN(F44,Reprogramaciones!K$9),11)/NETWORKDAYS.INTL(E44,F44,11)*100,1))))</f>
        <v>0</v>
      </c>
      <c r="I44" s="36" t="n">
        <f aca="false">IF(OR(NOT(AND(ISNUMBER(E44),ISNUMBER(F44))),$J$2=""),"",IF(Reprogramaciones!M$9&lt;E44,0,IF(NETWORKDAYS.INTL(E44,F44,11)=0,IF(Reprogramaciones!M$9&gt;=F44,100,0),ROUND(NETWORKDAYS.INTL(E44,MIN(F44,Reprogramaciones!M$9),11)/NETWORKDAYS.INTL(E44,F44,11)*100,1)))-IF(Reprogramaciones!L$9&lt;E44,0,IF(NETWORKDAYS.INTL(E44,F44,11)=0,IF(Reprogramaciones!L$9&gt;=F44,100,0),ROUND(NETWORKDAYS.INTL(E44,MIN(F44,Reprogramaciones!L$9),11)/NETWORKDAYS.INTL(E44,F44,11)*100,1))))</f>
        <v>0</v>
      </c>
      <c r="J44" s="36" t="n">
        <f aca="false">IF(OR(NOT(AND(ISNUMBER(E44),ISNUMBER(F44))),$J$2=""),"",IF(Reprogramaciones!N$9&lt;E44,0,IF(NETWORKDAYS.INTL(E44,F44,11)=0,IF(Reprogramaciones!N$9&gt;=F44,100,0),ROUND(NETWORKDAYS.INTL(E44,MIN(F44,Reprogramaciones!N$9),11)/NETWORKDAYS.INTL(E44,F44,11)*100,1)))-IF(Reprogramaciones!M$9&lt;E44,0,IF(NETWORKDAYS.INTL(E44,F44,11)=0,IF(Reprogramaciones!M$9&gt;=F44,100,0),ROUND(NETWORKDAYS.INTL(E44,MIN(F44,Reprogramaciones!M$9),11)/NETWORKDAYS.INTL(E44,F44,11)*100,1))))</f>
        <v>0</v>
      </c>
      <c r="K44" s="36" t="n">
        <f aca="false">IF(OR(NOT(AND(ISNUMBER(E44),ISNUMBER(F44))),$J$2=""),"",IF(Reprogramaciones!O$9&lt;E44,0,IF(NETWORKDAYS.INTL(E44,F44,11)=0,IF(Reprogramaciones!O$9&gt;=F44,100,0),ROUND(NETWORKDAYS.INTL(E44,MIN(F44,Reprogramaciones!O$9),11)/NETWORKDAYS.INTL(E44,F44,11)*100,1)))-IF(Reprogramaciones!N$9&lt;E44,0,IF(NETWORKDAYS.INTL(E44,F44,11)=0,IF(Reprogramaciones!N$9&gt;=F44,100,0),ROUND(NETWORKDAYS.INTL(E44,MIN(F44,Reprogramaciones!N$9),11)/NETWORKDAYS.INTL(E44,F44,11)*100,1))))</f>
        <v>100</v>
      </c>
      <c r="L44" s="36" t="n">
        <f aca="false">IF(OR(NOT(AND(ISNUMBER(E44),ISNUMBER(F44))),$J$2=""),"",IF(Reprogramaciones!P$9&lt;E44,0,IF(NETWORKDAYS.INTL(E44,F44,11)=0,IF(Reprogramaciones!P$9&gt;=F44,100,0),ROUND(NETWORKDAYS.INTL(E44,MIN(F44,Reprogramaciones!P$9),11)/NETWORKDAYS.INTL(E44,F44,11)*100,1)))-IF(Reprogramaciones!O$9&lt;E44,0,IF(NETWORKDAYS.INTL(E44,F44,11)=0,IF(Reprogramaciones!O$9&gt;=F44,100,0),ROUND(NETWORKDAYS.INTL(E44,MIN(F44,Reprogramaciones!O$9),11)/NETWORKDAYS.INTL(E44,F44,11)*100,1))))</f>
        <v>0</v>
      </c>
      <c r="M44" s="36" t="n">
        <f aca="false">IF(OR(NOT(AND(ISNUMBER(E44),ISNUMBER(F44))),$J$2=""),"",IF(Reprogramaciones!Q$9&lt;E44,0,IF(NETWORKDAYS.INTL(E44,F44,11)=0,IF(Reprogramaciones!Q$9&gt;=F44,100,0),ROUND(NETWORKDAYS.INTL(E44,MIN(F44,Reprogramaciones!Q$9),11)/NETWORKDAYS.INTL(E44,F44,11)*100,1)))-IF(Reprogramaciones!P$9&lt;E44,0,IF(NETWORKDAYS.INTL(E44,F44,11)=0,IF(Reprogramaciones!P$9&gt;=F44,100,0),ROUND(NETWORKDAYS.INTL(E44,MIN(F44,Reprogramaciones!P$9),11)/NETWORKDAYS.INTL(E44,F44,11)*100,1))))</f>
        <v>0</v>
      </c>
      <c r="N44" s="36" t="n">
        <f aca="false">IF(OR(NOT(AND(ISNUMBER(E44),ISNUMBER(F44))),$J$2=""),"",IF(Reprogramaciones!R$9&lt;E44,0,IF(NETWORKDAYS.INTL(E44,F44,11)=0,IF(Reprogramaciones!R$9&gt;=F44,100,0),ROUND(NETWORKDAYS.INTL(E44,MIN(F44,Reprogramaciones!R$9),11)/NETWORKDAYS.INTL(E44,F44,11)*100,1)))-IF(Reprogramaciones!Q$9&lt;E44,0,IF(NETWORKDAYS.INTL(E44,F44,11)=0,IF(Reprogramaciones!Q$9&gt;=F44,100,0),ROUND(NETWORKDAYS.INTL(E44,MIN(F44,Reprogramaciones!Q$9),11)/NETWORKDAYS.INTL(E44,F44,11)*100,1))))</f>
        <v>0</v>
      </c>
      <c r="O44" s="36" t="n">
        <f aca="false">IF(OR(NOT(AND(ISNUMBER(E44),ISNUMBER(F44))),$J$2=""),"",IF(Reprogramaciones!S$9&lt;E44,0,IF(NETWORKDAYS.INTL(E44,F44,11)=0,IF(Reprogramaciones!S$9&gt;=F44,100,0),ROUND(NETWORKDAYS.INTL(E44,MIN(F44,Reprogramaciones!S$9),11)/NETWORKDAYS.INTL(E44,F44,11)*100,1)))-IF(Reprogramaciones!R$9&lt;E44,0,IF(NETWORKDAYS.INTL(E44,F44,11)=0,IF(Reprogramaciones!R$9&gt;=F44,100,0),ROUND(NETWORKDAYS.INTL(E44,MIN(F44,Reprogramaciones!R$9),11)/NETWORKDAYS.INTL(E44,F44,11)*100,1))))</f>
        <v>0</v>
      </c>
      <c r="P44" s="36" t="n">
        <f aca="false">IF(OR(NOT(AND(ISNUMBER(E44),ISNUMBER(F44))),$J$2=""),"",IF(Reprogramaciones!T$9&lt;E44,0,IF(NETWORKDAYS.INTL(E44,F44,11)=0,IF(Reprogramaciones!T$9&gt;=F44,100,0),ROUND(NETWORKDAYS.INTL(E44,MIN(F44,Reprogramaciones!T$9),11)/NETWORKDAYS.INTL(E44,F44,11)*100,1)))-IF(Reprogramaciones!S$9&lt;E44,0,IF(NETWORKDAYS.INTL(E44,F44,11)=0,IF(Reprogramaciones!S$9&gt;=F44,100,0),ROUND(NETWORKDAYS.INTL(E44,MIN(F44,Reprogramaciones!S$9),11)/NETWORKDAYS.INTL(E44,F44,11)*100,1))))</f>
        <v>0</v>
      </c>
      <c r="Q44" s="37"/>
      <c r="R44" s="37"/>
      <c r="S44" s="37"/>
      <c r="T44" s="37"/>
      <c r="U44" s="37"/>
      <c r="V44" s="37"/>
      <c r="W44" s="37"/>
      <c r="X44" s="37"/>
      <c r="Y44" s="37"/>
      <c r="Z44" s="37"/>
      <c r="AA44" s="37"/>
      <c r="AB44" s="37"/>
      <c r="AC44" s="37"/>
      <c r="AD44" s="37"/>
      <c r="AE44" s="37"/>
      <c r="AF44" s="37"/>
      <c r="AG44" s="38" t="n">
        <f aca="false">IF(AND(ISNUMBER(E44),ISNUMBER(F44)),NETWORKDAYS.INTL(E44,F44,11),"")</f>
        <v>3</v>
      </c>
      <c r="AH44" s="38" t="n">
        <f aca="false">IF(OR(NOT(AND(ISNUMBER(E44),ISNUMBER(F44))),$J$2=""),"",IF(Reprogramaciones!$P$15&lt;Reprogramaciones!$T$15,0,IF(Reprogramaciones!$R$15&gt;10,MIN(100,SUM($G44:$P44)),MIN(100,SUMPRODUCT((COLUMN($G44:$P44)-COLUMN($G44)+1&lt;Reprogramaciones!$R$15)*$G44:$P44)+N(INDEX($G44:$P44,1,Reprogramaciones!$R$15))*IF(Reprogramaciones!$P$15&gt;=(Reprogramaciones!$T$15+7*(Reprogramaciones!$R$15-1))+6,1,IF(MAX(0,NETWORKDAYS.INTL(MAX(E44,(Reprogramaciones!$T$15+7*(Reprogramaciones!$R$15-1))),MIN(F44,(Reprogramaciones!$T$15+7*(Reprogramaciones!$R$15-1))+6),11))=0,0,MAX(0,NETWORKDAYS.INTL(MAX(E44,(Reprogramaciones!$T$15+7*(Reprogramaciones!$R$15-1))),MIN(F44,Reprogramaciones!$P$15),11))/MAX(0,NETWORKDAYS.INTL(MAX(E44,(Reprogramaciones!$T$15+7*(Reprogramaciones!$R$15-1))),MIN(F44,(Reprogramaciones!$T$15+7*(Reprogramaciones!$R$15-1))+6),11))))))))</f>
        <v>0</v>
      </c>
      <c r="AI44" s="38" t="str">
        <f aca="false">IF(COUNT($Q44:$AF44)=0,"",IF(ROUND(SUM($Q44:$AF44),1)&gt;=99.5,100,MIN(100,ROUND(SUM($Q44:$AF44),1))))</f>
        <v/>
      </c>
      <c r="AJ44" s="38" t="str">
        <f aca="false">IF(OR(AH44="",AI44=""),"",AI44-AH44)</f>
        <v/>
      </c>
      <c r="AK44" s="39" t="str">
        <f aca="true">IF(AH44="","",IF(OR(Ficha!$C$10="Suspendida",Ficha!$C$10="Cancelada"),Ficha!$C$10,IF(AND(AI44&lt;&gt;"",N(AI44)&gt;=100),"Completada",IF(AND(E44&gt;TODAY(),N(AI44)=0),"Por iniciar",IF(N(AI44)+0.5&lt;AH44,"Retrasada",IF(N(AI44)+0.5&lt;DA44,IF(Reprogramaciones!$K$15&gt;0,"Al día · Sem "&amp;Reprogramaciones!$K$15&amp;" en curso","Al día · en curso"),"A tiempo"))))))</f>
        <v>Por iniciar</v>
      </c>
      <c r="AL44" s="39" t="str">
        <f aca="true">IF(AND(A44="",AND(B44="",C44="",E44="",F44="",COUNT(Q44:AF44)=0)),"",IF(AND(B44="",C44="",E44="",F44="",COUNT(Q44:AF44)=0),"Falta la partida o subpartida",IF(AND(A44&lt;&gt;"",COUNTIF($A$6:$A$305,A44)&gt;1),"Ítem repetido",IF(AND(C44="",E44="",F44="",COUNT(Q44:AF44)=0),"Título de partida",IF(OR(E44="",F44=""),"Faltan fechas",IF(OR(ISTEXT(E44),ISTEXT(F44)),"Fecha escrita como texto: usa dd/mm/aaaa",IF(F44&lt;E44,"Fin antes del inicio",IF(IF($J$2="",FALSE(),OR(E44&lt;$J$2,F44&gt;Reprogramaciones!$T$15+69)),"Fuera de las 10 semanas",IF(ABS(SUM(G44:P44)-100)&gt;0.5,"La meta no suma 100%",IF(ROUND(SUM(Q44:AF44),1)&gt;100.5,"El avance pasa de 100%",IF(MIN(Q44:AF44)&lt;0,"Avance negativo",IF(COUNTA(Q44:AF44)&gt;COUNT(Q44:AF44),"Avance escrito como texto",IF(SUMPRODUCT((Q44:AF44&gt;0)*(Q44:AF44&lt;1))&gt;0,"Avance menor a 1: escribe 50, no 50%",IF(SUMPRODUCT(ISNUMBER(Q44:AF44)*(Reprogramaciones!$K$8:$Z$8&gt;TODAY()))&gt;0,"Avance en semana que aún no llega",IF(AND(N(Reprogramaciones!$E$21)&gt;0,F44&gt;Reprogramaciones!$E$21),"Pasa el fin de la obra: registra una reprogramación",IF(AND(N(Reprogramaciones!$E$21)&gt;0,SUMPRODUCT(ISNUMBER(Q44:AF44)*(Reprogramaciones!$K$8:$Z$8&gt;Reprogramaciones!$E$21))&gt;0),"Avance después del fin de la obra: registra una reprogramación por atraso","OK"))))))))))))))))</f>
        <v>OK</v>
      </c>
      <c r="AM44" s="40" t="str">
        <f aca="false">IF(OR(OR(NOT(AND(ISNUMBER(E44),ISNUMBER(F44))),$J$2=""),1&gt;MAX(1,Reprogramaciones!$U$15)),"",IF(Reprogramaciones!K$12&gt;=7,"",IF(OR(BT44-N(0)&gt;0.05,N(Q44)&gt;0),ROUNDDOWN(ROUND(BT44,6),0)&amp;"%"&amp;IF(CJ44="",""," / "&amp;CJ44&amp;"%"),IF(AND(N(0)&gt;=99.95,CJ44&lt;&gt;"",N(CJ44)&lt;100),"Pend. "&amp;CJ44&amp;"%",""))))</f>
        <v/>
      </c>
      <c r="AN44" s="40" t="str">
        <f aca="false">IF(OR(OR(NOT(AND(ISNUMBER(E44),ISNUMBER(F44))),$J$2=""),2&gt;MAX(1,Reprogramaciones!$U$15)),"",IF(Reprogramaciones!L$12&gt;=7,"",IF(OR(BU44-N(BT44)&gt;0.05,N(R44)&gt;0),ROUNDDOWN(ROUND(BU44,6),0)&amp;"%"&amp;IF(CK44="",""," / "&amp;CK44&amp;"%"),IF(AND(N(BT44)&gt;=99.95,CK44&lt;&gt;"",N(CK44)&lt;100),"Pend. "&amp;CK44&amp;"%",""))))</f>
        <v/>
      </c>
      <c r="AO44" s="40" t="str">
        <f aca="false">IF(OR(OR(NOT(AND(ISNUMBER(E44),ISNUMBER(F44))),$J$2=""),3&gt;MAX(1,Reprogramaciones!$U$15)),"",IF(Reprogramaciones!M$12&gt;=7,"",IF(OR(BV44-N(BU44)&gt;0.05,N(S44)&gt;0),ROUNDDOWN(ROUND(BV44,6),0)&amp;"%"&amp;IF(CL44="",""," / "&amp;CL44&amp;"%"),IF(AND(N(BU44)&gt;=99.95,CL44&lt;&gt;"",N(CL44)&lt;100),"Pend. "&amp;CL44&amp;"%",""))))</f>
        <v/>
      </c>
      <c r="AP44" s="40" t="str">
        <f aca="false">IF(OR(OR(NOT(AND(ISNUMBER(E44),ISNUMBER(F44))),$J$2=""),4&gt;MAX(1,Reprogramaciones!$U$15)),"",IF(Reprogramaciones!N$12&gt;=7,"",IF(OR(BW44-N(BV44)&gt;0.05,N(T44)&gt;0),ROUNDDOWN(ROUND(BW44,6),0)&amp;"%"&amp;IF(CM44="",""," / "&amp;CM44&amp;"%"),IF(AND(N(BV44)&gt;=99.95,CM44&lt;&gt;"",N(CM44)&lt;100),"Pend. "&amp;CM44&amp;"%",""))))</f>
        <v/>
      </c>
      <c r="AQ44" s="40" t="str">
        <f aca="false">IF(OR(OR(NOT(AND(ISNUMBER(E44),ISNUMBER(F44))),$J$2=""),5&gt;MAX(1,Reprogramaciones!$U$15)),"",IF(Reprogramaciones!O$12&gt;=7,"",IF(OR(BX44-N(BW44)&gt;0.05,N(U44)&gt;0),ROUNDDOWN(ROUND(BX44,6),0)&amp;"%"&amp;IF(CN44="",""," / "&amp;CN44&amp;"%"),IF(AND(N(BW44)&gt;=99.95,CN44&lt;&gt;"",N(CN44)&lt;100),"Pend. "&amp;CN44&amp;"%",""))))</f>
        <v>100% / 0%</v>
      </c>
      <c r="AR44" s="40" t="str">
        <f aca="false">IF(OR(OR(NOT(AND(ISNUMBER(E44),ISNUMBER(F44))),$J$2=""),6&gt;MAX(1,Reprogramaciones!$U$15)),"",IF(Reprogramaciones!P$12&gt;=7,"",IF(OR(BY44-N(BX44)&gt;0.05,N(V44)&gt;0),ROUNDDOWN(ROUND(BY44,6),0)&amp;"%"&amp;IF(CO44="",""," / "&amp;CO44&amp;"%"),IF(AND(N(BX44)&gt;=99.95,CO44&lt;&gt;"",N(CO44)&lt;100),"Pend. "&amp;CO44&amp;"%",""))))</f>
        <v/>
      </c>
      <c r="AS44" s="40" t="str">
        <f aca="false">IF(OR(OR(NOT(AND(ISNUMBER(E44),ISNUMBER(F44))),$J$2=""),7&gt;MAX(1,Reprogramaciones!$U$15)),"",IF(Reprogramaciones!Q$12&gt;=7,"",IF(OR(BZ44-N(BY44)&gt;0.05,N(W44)&gt;0),ROUNDDOWN(ROUND(BZ44,6),0)&amp;"%"&amp;IF(CP44="",""," / "&amp;CP44&amp;"%"),IF(AND(N(BY44)&gt;=99.95,CP44&lt;&gt;"",N(CP44)&lt;100),"Pend. "&amp;CP44&amp;"%",""))))</f>
        <v/>
      </c>
      <c r="AT44" s="40" t="str">
        <f aca="false">IF(OR(OR(NOT(AND(ISNUMBER(E44),ISNUMBER(F44))),$J$2=""),8&gt;MAX(1,Reprogramaciones!$U$15)),"",IF(Reprogramaciones!R$12&gt;=7,"",IF(OR(CA44-N(BZ44)&gt;0.05,N(X44)&gt;0),ROUNDDOWN(ROUND(CA44,6),0)&amp;"%"&amp;IF(CQ44="",""," / "&amp;CQ44&amp;"%"),IF(AND(N(BZ44)&gt;=99.95,CQ44&lt;&gt;"",N(CQ44)&lt;100),"Pend. "&amp;CQ44&amp;"%",""))))</f>
        <v/>
      </c>
      <c r="AU44" s="40" t="str">
        <f aca="false">IF(OR(OR(NOT(AND(ISNUMBER(E44),ISNUMBER(F44))),$J$2=""),9&gt;MAX(1,Reprogramaciones!$U$15)),"",IF(Reprogramaciones!S$12&gt;=7,"",IF(OR(CB44-N(CA44)&gt;0.05,N(Y44)&gt;0),ROUNDDOWN(ROUND(CB44,6),0)&amp;"%"&amp;IF(CR44="",""," / "&amp;CR44&amp;"%"),IF(AND(N(CA44)&gt;=99.95,CR44&lt;&gt;"",N(CR44)&lt;100),"Pend. "&amp;CR44&amp;"%",""))))</f>
        <v/>
      </c>
      <c r="AV44" s="40" t="str">
        <f aca="false">IF(OR(OR(NOT(AND(ISNUMBER(E44),ISNUMBER(F44))),$J$2=""),10&gt;MAX(1,Reprogramaciones!$U$15)),"",IF(Reprogramaciones!T$12&gt;=7,"",IF(OR(CC44-N(CB44)&gt;0.05,N(Z44)&gt;0),ROUNDDOWN(ROUND(CC44,6),0)&amp;"%"&amp;IF(CS44="",""," / "&amp;CS44&amp;"%"),IF(AND(N(CB44)&gt;=99.95,CS44&lt;&gt;"",N(CS44)&lt;100),"Pend. "&amp;CS44&amp;"%",""))))</f>
        <v/>
      </c>
      <c r="AW44" s="40" t="str">
        <f aca="false">IF(OR(OR(NOT(AND(ISNUMBER(E44),ISNUMBER(F44))),$J$2=""),11&gt;MAX(1,Reprogramaciones!$U$15)),"",IF(Reprogramaciones!U$12&gt;=7,"",IF(OR(CD44-N(CC44)&gt;0.05,N(AA44)&gt;0),ROUNDDOWN(ROUND(CD44,6),0)&amp;"%"&amp;IF(CT44="",""," / "&amp;CT44&amp;"%"),IF(AND(N(CC44)&gt;=99.95,CT44&lt;&gt;"",N(CT44)&lt;100),"Pend. "&amp;CT44&amp;"%",""))))</f>
        <v/>
      </c>
      <c r="AX44" s="40" t="str">
        <f aca="false">IF(OR(OR(NOT(AND(ISNUMBER(E44),ISNUMBER(F44))),$J$2=""),12&gt;MAX(1,Reprogramaciones!$U$15)),"",IF(Reprogramaciones!V$12&gt;=7,"",IF(OR(CE44-N(CD44)&gt;0.05,N(AB44)&gt;0),ROUNDDOWN(ROUND(CE44,6),0)&amp;"%"&amp;IF(CU44="",""," / "&amp;CU44&amp;"%"),IF(AND(N(CD44)&gt;=99.95,CU44&lt;&gt;"",N(CU44)&lt;100),"Pend. "&amp;CU44&amp;"%",""))))</f>
        <v/>
      </c>
      <c r="AY44" s="40" t="str">
        <f aca="false">IF(OR(OR(NOT(AND(ISNUMBER(E44),ISNUMBER(F44))),$J$2=""),13&gt;MAX(1,Reprogramaciones!$U$15)),"",IF(Reprogramaciones!W$12&gt;=7,"",IF(OR(CF44-N(CE44)&gt;0.05,N(AC44)&gt;0),ROUNDDOWN(ROUND(CF44,6),0)&amp;"%"&amp;IF(CV44="",""," / "&amp;CV44&amp;"%"),IF(AND(N(CE44)&gt;=99.95,CV44&lt;&gt;"",N(CV44)&lt;100),"Pend. "&amp;CV44&amp;"%",""))))</f>
        <v/>
      </c>
      <c r="AZ44" s="40" t="str">
        <f aca="false">IF(OR(OR(NOT(AND(ISNUMBER(E44),ISNUMBER(F44))),$J$2=""),14&gt;MAX(1,Reprogramaciones!$U$15)),"",IF(Reprogramaciones!X$12&gt;=7,"",IF(OR(CG44-N(CF44)&gt;0.05,N(AD44)&gt;0),ROUNDDOWN(ROUND(CG44,6),0)&amp;"%"&amp;IF(CW44="",""," / "&amp;CW44&amp;"%"),IF(AND(N(CF44)&gt;=99.95,CW44&lt;&gt;"",N(CW44)&lt;100),"Pend. "&amp;CW44&amp;"%",""))))</f>
        <v/>
      </c>
      <c r="BA44" s="40" t="str">
        <f aca="false">IF(OR(OR(NOT(AND(ISNUMBER(E44),ISNUMBER(F44))),$J$2=""),15&gt;MAX(1,Reprogramaciones!$U$15)),"",IF(Reprogramaciones!Y$12&gt;=7,"",IF(OR(CH44-N(CG44)&gt;0.05,N(AE44)&gt;0),ROUNDDOWN(ROUND(CH44,6),0)&amp;"%"&amp;IF(CX44="",""," / "&amp;CX44&amp;"%"),IF(AND(N(CG44)&gt;=99.95,CX44&lt;&gt;"",N(CX44)&lt;100),"Pend. "&amp;CX44&amp;"%",""))))</f>
        <v/>
      </c>
      <c r="BB44" s="40" t="str">
        <f aca="false">IF(OR(OR(NOT(AND(ISNUMBER(E44),ISNUMBER(F44))),$J$2=""),16&gt;MAX(1,Reprogramaciones!$U$15)),"",IF(Reprogramaciones!Z$12&gt;=7,"",IF(OR(CI44-N(CH44)&gt;0.05,N(AF44)&gt;0),ROUNDDOWN(ROUND(CI44,6),0)&amp;"%"&amp;IF(CY44="",""," / "&amp;CY44&amp;"%"),IF(AND(N(CH44)&gt;=99.95,CY44&lt;&gt;"",N(CY44)&lt;100),"Pend. "&amp;CY44&amp;"%",""))))</f>
        <v/>
      </c>
      <c r="BC44" s="31" t="n">
        <f aca="false">IF(AND(ISNUMBER(E44),ISNUMBER(F44)),MAX(1,NETWORKDAYS.INTL(E44,F44,11)),0)</f>
        <v>3</v>
      </c>
      <c r="BD44" s="1" t="n">
        <f aca="false">IF(OR(NOT(AND(ISNUMBER(E44),ISNUMBER(F44))),$J$2=""),"",MIN(100,ROUND(SUM($G44:G44),1)))</f>
        <v>0</v>
      </c>
      <c r="BE44" s="1" t="n">
        <f aca="false">IF(OR(NOT(AND(ISNUMBER(E44),ISNUMBER(F44))),$J$2=""),"",MIN(100,ROUND(SUM($G44:H44),1)))</f>
        <v>0</v>
      </c>
      <c r="BF44" s="1" t="n">
        <f aca="false">IF(OR(NOT(AND(ISNUMBER(E44),ISNUMBER(F44))),$J$2=""),"",MIN(100,ROUND(SUM($G44:I44),1)))</f>
        <v>0</v>
      </c>
      <c r="BG44" s="1" t="n">
        <f aca="false">IF(OR(NOT(AND(ISNUMBER(E44),ISNUMBER(F44))),$J$2=""),"",MIN(100,ROUND(SUM($G44:J44),1)))</f>
        <v>0</v>
      </c>
      <c r="BH44" s="1" t="n">
        <f aca="false">IF(OR(NOT(AND(ISNUMBER(E44),ISNUMBER(F44))),$J$2=""),"",MIN(100,ROUND(SUM($G44:K44),1)))</f>
        <v>100</v>
      </c>
      <c r="BI44" s="1" t="n">
        <f aca="false">IF(OR(NOT(AND(ISNUMBER(E44),ISNUMBER(F44))),$J$2=""),"",MIN(100,ROUND(SUM($G44:L44),1)))</f>
        <v>100</v>
      </c>
      <c r="BJ44" s="1" t="n">
        <f aca="false">IF(OR(NOT(AND(ISNUMBER(E44),ISNUMBER(F44))),$J$2=""),"",MIN(100,ROUND(SUM($G44:M44),1)))</f>
        <v>100</v>
      </c>
      <c r="BK44" s="1" t="n">
        <f aca="false">IF(OR(NOT(AND(ISNUMBER(E44),ISNUMBER(F44))),$J$2=""),"",MIN(100,ROUND(SUM($G44:N44),1)))</f>
        <v>100</v>
      </c>
      <c r="BL44" s="1" t="n">
        <f aca="false">IF(OR(NOT(AND(ISNUMBER(E44),ISNUMBER(F44))),$J$2=""),"",MIN(100,ROUND(SUM($G44:O44),1)))</f>
        <v>100</v>
      </c>
      <c r="BM44" s="1" t="n">
        <f aca="false">IF(OR(NOT(AND(ISNUMBER(E44),ISNUMBER(F44))),$J$2=""),"",MIN(100,ROUND(SUM($G44:P44),1)))</f>
        <v>100</v>
      </c>
      <c r="BN44" s="1" t="n">
        <f aca="false">IF(OR(NOT(AND(ISNUMBER(E44),ISNUMBER(F44))),$J$2=""),"",MIN(100,ROUND(SUM($G44:P44),1)))</f>
        <v>100</v>
      </c>
      <c r="BO44" s="1" t="n">
        <f aca="false">IF(OR(NOT(AND(ISNUMBER(E44),ISNUMBER(F44))),$J$2=""),"",MIN(100,ROUND(SUM($G44:P44),1)))</f>
        <v>100</v>
      </c>
      <c r="BP44" s="1" t="n">
        <f aca="false">IF(OR(NOT(AND(ISNUMBER(E44),ISNUMBER(F44))),$J$2=""),"",MIN(100,ROUND(SUM($G44:P44),1)))</f>
        <v>100</v>
      </c>
      <c r="BQ44" s="1" t="n">
        <f aca="false">IF(OR(NOT(AND(ISNUMBER(E44),ISNUMBER(F44))),$J$2=""),"",MIN(100,ROUND(SUM($G44:P44),1)))</f>
        <v>100</v>
      </c>
      <c r="BR44" s="1" t="n">
        <f aca="false">IF(OR(NOT(AND(ISNUMBER(E44),ISNUMBER(F44))),$J$2=""),"",MIN(100,ROUND(SUM($G44:P44),1)))</f>
        <v>100</v>
      </c>
      <c r="BS44" s="1" t="n">
        <f aca="false">IF(OR(NOT(AND(ISNUMBER(E44),ISNUMBER(F44))),$J$2=""),"",MIN(100,ROUND(SUM($G44:P44),1)))</f>
        <v>100</v>
      </c>
      <c r="BT44" s="1" t="n">
        <f aca="false">IF(OR(NOT(AND(ISNUMBER(E44),ISNUMBER(F44))),$J$2=""),"",IF(Reprogramaciones!K$13&lt;Reprogramaciones!$T$15,0,IF(Reprogramaciones!K$14&gt;10,MIN(100,SUM($G44:$P44)),MIN(100,SUMPRODUCT((COLUMN($G44:$P44)-COLUMN($G44)+1&lt;Reprogramaciones!K$14)*$G44:$P44)+N(INDEX($G44:$P44,1,Reprogramaciones!K$14))*IF(Reprogramaciones!K$13&gt;=(Reprogramaciones!$T$15+7*(Reprogramaciones!K$14-1))+6,1,IF(MAX(0,NETWORKDAYS.INTL(MAX(E44,(Reprogramaciones!$T$15+7*(Reprogramaciones!K$14-1))),MIN(F44,(Reprogramaciones!$T$15+7*(Reprogramaciones!K$14-1))+6),11))=0,0,MAX(0,NETWORKDAYS.INTL(MAX(E44,(Reprogramaciones!$T$15+7*(Reprogramaciones!K$14-1))),MIN(F44,Reprogramaciones!K$13),11))/MAX(0,NETWORKDAYS.INTL(MAX(E44,(Reprogramaciones!$T$15+7*(Reprogramaciones!K$14-1))),MIN(F44,(Reprogramaciones!$T$15+7*(Reprogramaciones!K$14-1))+6),11))))))))</f>
        <v>0</v>
      </c>
      <c r="BU44" s="1" t="n">
        <f aca="false">IF(OR(NOT(AND(ISNUMBER(E44),ISNUMBER(F44))),$J$2=""),"",IF(Reprogramaciones!L$13&lt;Reprogramaciones!$T$15,0,IF(Reprogramaciones!L$14&gt;10,MIN(100,SUM($G44:$P44)),MIN(100,SUMPRODUCT((COLUMN($G44:$P44)-COLUMN($G44)+1&lt;Reprogramaciones!L$14)*$G44:$P44)+N(INDEX($G44:$P44,1,Reprogramaciones!L$14))*IF(Reprogramaciones!L$13&gt;=(Reprogramaciones!$T$15+7*(Reprogramaciones!L$14-1))+6,1,IF(MAX(0,NETWORKDAYS.INTL(MAX(E44,(Reprogramaciones!$T$15+7*(Reprogramaciones!L$14-1))),MIN(F44,(Reprogramaciones!$T$15+7*(Reprogramaciones!L$14-1))+6),11))=0,0,MAX(0,NETWORKDAYS.INTL(MAX(E44,(Reprogramaciones!$T$15+7*(Reprogramaciones!L$14-1))),MIN(F44,Reprogramaciones!L$13),11))/MAX(0,NETWORKDAYS.INTL(MAX(E44,(Reprogramaciones!$T$15+7*(Reprogramaciones!L$14-1))),MIN(F44,(Reprogramaciones!$T$15+7*(Reprogramaciones!L$14-1))+6),11))))))))</f>
        <v>0</v>
      </c>
      <c r="BV44" s="1" t="n">
        <f aca="false">IF(OR(NOT(AND(ISNUMBER(E44),ISNUMBER(F44))),$J$2=""),"",IF(Reprogramaciones!M$13&lt;Reprogramaciones!$T$15,0,IF(Reprogramaciones!M$14&gt;10,MIN(100,SUM($G44:$P44)),MIN(100,SUMPRODUCT((COLUMN($G44:$P44)-COLUMN($G44)+1&lt;Reprogramaciones!M$14)*$G44:$P44)+N(INDEX($G44:$P44,1,Reprogramaciones!M$14))*IF(Reprogramaciones!M$13&gt;=(Reprogramaciones!$T$15+7*(Reprogramaciones!M$14-1))+6,1,IF(MAX(0,NETWORKDAYS.INTL(MAX(E44,(Reprogramaciones!$T$15+7*(Reprogramaciones!M$14-1))),MIN(F44,(Reprogramaciones!$T$15+7*(Reprogramaciones!M$14-1))+6),11))=0,0,MAX(0,NETWORKDAYS.INTL(MAX(E44,(Reprogramaciones!$T$15+7*(Reprogramaciones!M$14-1))),MIN(F44,Reprogramaciones!M$13),11))/MAX(0,NETWORKDAYS.INTL(MAX(E44,(Reprogramaciones!$T$15+7*(Reprogramaciones!M$14-1))),MIN(F44,(Reprogramaciones!$T$15+7*(Reprogramaciones!M$14-1))+6),11))))))))</f>
        <v>0</v>
      </c>
      <c r="BW44" s="1" t="n">
        <f aca="false">IF(OR(NOT(AND(ISNUMBER(E44),ISNUMBER(F44))),$J$2=""),"",IF(Reprogramaciones!N$13&lt;Reprogramaciones!$T$15,0,IF(Reprogramaciones!N$14&gt;10,MIN(100,SUM($G44:$P44)),MIN(100,SUMPRODUCT((COLUMN($G44:$P44)-COLUMN($G44)+1&lt;Reprogramaciones!N$14)*$G44:$P44)+N(INDEX($G44:$P44,1,Reprogramaciones!N$14))*IF(Reprogramaciones!N$13&gt;=(Reprogramaciones!$T$15+7*(Reprogramaciones!N$14-1))+6,1,IF(MAX(0,NETWORKDAYS.INTL(MAX(E44,(Reprogramaciones!$T$15+7*(Reprogramaciones!N$14-1))),MIN(F44,(Reprogramaciones!$T$15+7*(Reprogramaciones!N$14-1))+6),11))=0,0,MAX(0,NETWORKDAYS.INTL(MAX(E44,(Reprogramaciones!$T$15+7*(Reprogramaciones!N$14-1))),MIN(F44,Reprogramaciones!N$13),11))/MAX(0,NETWORKDAYS.INTL(MAX(E44,(Reprogramaciones!$T$15+7*(Reprogramaciones!N$14-1))),MIN(F44,(Reprogramaciones!$T$15+7*(Reprogramaciones!N$14-1))+6),11))))))))</f>
        <v>0</v>
      </c>
      <c r="BX44" s="1" t="n">
        <f aca="false">IF(OR(NOT(AND(ISNUMBER(E44),ISNUMBER(F44))),$J$2=""),"",IF(Reprogramaciones!O$13&lt;Reprogramaciones!$T$15,0,IF(Reprogramaciones!O$14&gt;10,MIN(100,SUM($G44:$P44)),MIN(100,SUMPRODUCT((COLUMN($G44:$P44)-COLUMN($G44)+1&lt;Reprogramaciones!O$14)*$G44:$P44)+N(INDEX($G44:$P44,1,Reprogramaciones!O$14))*IF(Reprogramaciones!O$13&gt;=(Reprogramaciones!$T$15+7*(Reprogramaciones!O$14-1))+6,1,IF(MAX(0,NETWORKDAYS.INTL(MAX(E44,(Reprogramaciones!$T$15+7*(Reprogramaciones!O$14-1))),MIN(F44,(Reprogramaciones!$T$15+7*(Reprogramaciones!O$14-1))+6),11))=0,0,MAX(0,NETWORKDAYS.INTL(MAX(E44,(Reprogramaciones!$T$15+7*(Reprogramaciones!O$14-1))),MIN(F44,Reprogramaciones!O$13),11))/MAX(0,NETWORKDAYS.INTL(MAX(E44,(Reprogramaciones!$T$15+7*(Reprogramaciones!O$14-1))),MIN(F44,(Reprogramaciones!$T$15+7*(Reprogramaciones!O$14-1))+6),11))))))))</f>
        <v>100</v>
      </c>
      <c r="BY44" s="1" t="n">
        <f aca="false">IF(OR(NOT(AND(ISNUMBER(E44),ISNUMBER(F44))),$J$2=""),"",IF(Reprogramaciones!P$13&lt;Reprogramaciones!$T$15,0,IF(Reprogramaciones!P$14&gt;10,MIN(100,SUM($G44:$P44)),MIN(100,SUMPRODUCT((COLUMN($G44:$P44)-COLUMN($G44)+1&lt;Reprogramaciones!P$14)*$G44:$P44)+N(INDEX($G44:$P44,1,Reprogramaciones!P$14))*IF(Reprogramaciones!P$13&gt;=(Reprogramaciones!$T$15+7*(Reprogramaciones!P$14-1))+6,1,IF(MAX(0,NETWORKDAYS.INTL(MAX(E44,(Reprogramaciones!$T$15+7*(Reprogramaciones!P$14-1))),MIN(F44,(Reprogramaciones!$T$15+7*(Reprogramaciones!P$14-1))+6),11))=0,0,MAX(0,NETWORKDAYS.INTL(MAX(E44,(Reprogramaciones!$T$15+7*(Reprogramaciones!P$14-1))),MIN(F44,Reprogramaciones!P$13),11))/MAX(0,NETWORKDAYS.INTL(MAX(E44,(Reprogramaciones!$T$15+7*(Reprogramaciones!P$14-1))),MIN(F44,(Reprogramaciones!$T$15+7*(Reprogramaciones!P$14-1))+6),11))))))))</f>
        <v>100</v>
      </c>
      <c r="BZ44" s="1" t="n">
        <f aca="false">IF(OR(NOT(AND(ISNUMBER(E44),ISNUMBER(F44))),$J$2=""),"",IF(Reprogramaciones!Q$13&lt;Reprogramaciones!$T$15,0,IF(Reprogramaciones!Q$14&gt;10,MIN(100,SUM($G44:$P44)),MIN(100,SUMPRODUCT((COLUMN($G44:$P44)-COLUMN($G44)+1&lt;Reprogramaciones!Q$14)*$G44:$P44)+N(INDEX($G44:$P44,1,Reprogramaciones!Q$14))*IF(Reprogramaciones!Q$13&gt;=(Reprogramaciones!$T$15+7*(Reprogramaciones!Q$14-1))+6,1,IF(MAX(0,NETWORKDAYS.INTL(MAX(E44,(Reprogramaciones!$T$15+7*(Reprogramaciones!Q$14-1))),MIN(F44,(Reprogramaciones!$T$15+7*(Reprogramaciones!Q$14-1))+6),11))=0,0,MAX(0,NETWORKDAYS.INTL(MAX(E44,(Reprogramaciones!$T$15+7*(Reprogramaciones!Q$14-1))),MIN(F44,Reprogramaciones!Q$13),11))/MAX(0,NETWORKDAYS.INTL(MAX(E44,(Reprogramaciones!$T$15+7*(Reprogramaciones!Q$14-1))),MIN(F44,(Reprogramaciones!$T$15+7*(Reprogramaciones!Q$14-1))+6),11))))))))</f>
        <v>100</v>
      </c>
      <c r="CA44" s="1" t="n">
        <f aca="false">IF(OR(NOT(AND(ISNUMBER(E44),ISNUMBER(F44))),$J$2=""),"",IF(Reprogramaciones!R$13&lt;Reprogramaciones!$T$15,0,IF(Reprogramaciones!R$14&gt;10,MIN(100,SUM($G44:$P44)),MIN(100,SUMPRODUCT((COLUMN($G44:$P44)-COLUMN($G44)+1&lt;Reprogramaciones!R$14)*$G44:$P44)+N(INDEX($G44:$P44,1,Reprogramaciones!R$14))*IF(Reprogramaciones!R$13&gt;=(Reprogramaciones!$T$15+7*(Reprogramaciones!R$14-1))+6,1,IF(MAX(0,NETWORKDAYS.INTL(MAX(E44,(Reprogramaciones!$T$15+7*(Reprogramaciones!R$14-1))),MIN(F44,(Reprogramaciones!$T$15+7*(Reprogramaciones!R$14-1))+6),11))=0,0,MAX(0,NETWORKDAYS.INTL(MAX(E44,(Reprogramaciones!$T$15+7*(Reprogramaciones!R$14-1))),MIN(F44,Reprogramaciones!R$13),11))/MAX(0,NETWORKDAYS.INTL(MAX(E44,(Reprogramaciones!$T$15+7*(Reprogramaciones!R$14-1))),MIN(F44,(Reprogramaciones!$T$15+7*(Reprogramaciones!R$14-1))+6),11))))))))</f>
        <v>100</v>
      </c>
      <c r="CB44" s="1" t="n">
        <f aca="false">IF(OR(NOT(AND(ISNUMBER(E44),ISNUMBER(F44))),$J$2=""),"",IF(Reprogramaciones!S$13&lt;Reprogramaciones!$T$15,0,IF(Reprogramaciones!S$14&gt;10,MIN(100,SUM($G44:$P44)),MIN(100,SUMPRODUCT((COLUMN($G44:$P44)-COLUMN($G44)+1&lt;Reprogramaciones!S$14)*$G44:$P44)+N(INDEX($G44:$P44,1,Reprogramaciones!S$14))*IF(Reprogramaciones!S$13&gt;=(Reprogramaciones!$T$15+7*(Reprogramaciones!S$14-1))+6,1,IF(MAX(0,NETWORKDAYS.INTL(MAX(E44,(Reprogramaciones!$T$15+7*(Reprogramaciones!S$14-1))),MIN(F44,(Reprogramaciones!$T$15+7*(Reprogramaciones!S$14-1))+6),11))=0,0,MAX(0,NETWORKDAYS.INTL(MAX(E44,(Reprogramaciones!$T$15+7*(Reprogramaciones!S$14-1))),MIN(F44,Reprogramaciones!S$13),11))/MAX(0,NETWORKDAYS.INTL(MAX(E44,(Reprogramaciones!$T$15+7*(Reprogramaciones!S$14-1))),MIN(F44,(Reprogramaciones!$T$15+7*(Reprogramaciones!S$14-1))+6),11))))))))</f>
        <v>100</v>
      </c>
      <c r="CC44" s="1" t="n">
        <f aca="false">IF(OR(NOT(AND(ISNUMBER(E44),ISNUMBER(F44))),$J$2=""),"",IF(Reprogramaciones!T$13&lt;Reprogramaciones!$T$15,0,IF(Reprogramaciones!T$14&gt;10,MIN(100,SUM($G44:$P44)),MIN(100,SUMPRODUCT((COLUMN($G44:$P44)-COLUMN($G44)+1&lt;Reprogramaciones!T$14)*$G44:$P44)+N(INDEX($G44:$P44,1,Reprogramaciones!T$14))*IF(Reprogramaciones!T$13&gt;=(Reprogramaciones!$T$15+7*(Reprogramaciones!T$14-1))+6,1,IF(MAX(0,NETWORKDAYS.INTL(MAX(E44,(Reprogramaciones!$T$15+7*(Reprogramaciones!T$14-1))),MIN(F44,(Reprogramaciones!$T$15+7*(Reprogramaciones!T$14-1))+6),11))=0,0,MAX(0,NETWORKDAYS.INTL(MAX(E44,(Reprogramaciones!$T$15+7*(Reprogramaciones!T$14-1))),MIN(F44,Reprogramaciones!T$13),11))/MAX(0,NETWORKDAYS.INTL(MAX(E44,(Reprogramaciones!$T$15+7*(Reprogramaciones!T$14-1))),MIN(F44,(Reprogramaciones!$T$15+7*(Reprogramaciones!T$14-1))+6),11))))))))</f>
        <v>100</v>
      </c>
      <c r="CD44" s="1" t="n">
        <f aca="false">IF(OR(NOT(AND(ISNUMBER(E44),ISNUMBER(F44))),$J$2=""),"",IF(Reprogramaciones!U$13&lt;Reprogramaciones!$T$15,0,IF(Reprogramaciones!U$14&gt;10,MIN(100,SUM($G44:$P44)),MIN(100,SUMPRODUCT((COLUMN($G44:$P44)-COLUMN($G44)+1&lt;Reprogramaciones!U$14)*$G44:$P44)+N(INDEX($G44:$P44,1,Reprogramaciones!U$14))*IF(Reprogramaciones!U$13&gt;=(Reprogramaciones!$T$15+7*(Reprogramaciones!U$14-1))+6,1,IF(MAX(0,NETWORKDAYS.INTL(MAX(E44,(Reprogramaciones!$T$15+7*(Reprogramaciones!U$14-1))),MIN(F44,(Reprogramaciones!$T$15+7*(Reprogramaciones!U$14-1))+6),11))=0,0,MAX(0,NETWORKDAYS.INTL(MAX(E44,(Reprogramaciones!$T$15+7*(Reprogramaciones!U$14-1))),MIN(F44,Reprogramaciones!U$13),11))/MAX(0,NETWORKDAYS.INTL(MAX(E44,(Reprogramaciones!$T$15+7*(Reprogramaciones!U$14-1))),MIN(F44,(Reprogramaciones!$T$15+7*(Reprogramaciones!U$14-1))+6),11))))))))</f>
        <v>100</v>
      </c>
      <c r="CE44" s="1" t="n">
        <f aca="false">IF(OR(NOT(AND(ISNUMBER(E44),ISNUMBER(F44))),$J$2=""),"",IF(Reprogramaciones!V$13&lt;Reprogramaciones!$T$15,0,IF(Reprogramaciones!V$14&gt;10,MIN(100,SUM($G44:$P44)),MIN(100,SUMPRODUCT((COLUMN($G44:$P44)-COLUMN($G44)+1&lt;Reprogramaciones!V$14)*$G44:$P44)+N(INDEX($G44:$P44,1,Reprogramaciones!V$14))*IF(Reprogramaciones!V$13&gt;=(Reprogramaciones!$T$15+7*(Reprogramaciones!V$14-1))+6,1,IF(MAX(0,NETWORKDAYS.INTL(MAX(E44,(Reprogramaciones!$T$15+7*(Reprogramaciones!V$14-1))),MIN(F44,(Reprogramaciones!$T$15+7*(Reprogramaciones!V$14-1))+6),11))=0,0,MAX(0,NETWORKDAYS.INTL(MAX(E44,(Reprogramaciones!$T$15+7*(Reprogramaciones!V$14-1))),MIN(F44,Reprogramaciones!V$13),11))/MAX(0,NETWORKDAYS.INTL(MAX(E44,(Reprogramaciones!$T$15+7*(Reprogramaciones!V$14-1))),MIN(F44,(Reprogramaciones!$T$15+7*(Reprogramaciones!V$14-1))+6),11))))))))</f>
        <v>100</v>
      </c>
      <c r="CF44" s="1" t="n">
        <f aca="false">IF(OR(NOT(AND(ISNUMBER(E44),ISNUMBER(F44))),$J$2=""),"",IF(Reprogramaciones!W$13&lt;Reprogramaciones!$T$15,0,IF(Reprogramaciones!W$14&gt;10,MIN(100,SUM($G44:$P44)),MIN(100,SUMPRODUCT((COLUMN($G44:$P44)-COLUMN($G44)+1&lt;Reprogramaciones!W$14)*$G44:$P44)+N(INDEX($G44:$P44,1,Reprogramaciones!W$14))*IF(Reprogramaciones!W$13&gt;=(Reprogramaciones!$T$15+7*(Reprogramaciones!W$14-1))+6,1,IF(MAX(0,NETWORKDAYS.INTL(MAX(E44,(Reprogramaciones!$T$15+7*(Reprogramaciones!W$14-1))),MIN(F44,(Reprogramaciones!$T$15+7*(Reprogramaciones!W$14-1))+6),11))=0,0,MAX(0,NETWORKDAYS.INTL(MAX(E44,(Reprogramaciones!$T$15+7*(Reprogramaciones!W$14-1))),MIN(F44,Reprogramaciones!W$13),11))/MAX(0,NETWORKDAYS.INTL(MAX(E44,(Reprogramaciones!$T$15+7*(Reprogramaciones!W$14-1))),MIN(F44,(Reprogramaciones!$T$15+7*(Reprogramaciones!W$14-1))+6),11))))))))</f>
        <v>100</v>
      </c>
      <c r="CG44" s="1" t="n">
        <f aca="false">IF(OR(NOT(AND(ISNUMBER(E44),ISNUMBER(F44))),$J$2=""),"",IF(Reprogramaciones!X$13&lt;Reprogramaciones!$T$15,0,IF(Reprogramaciones!X$14&gt;10,MIN(100,SUM($G44:$P44)),MIN(100,SUMPRODUCT((COLUMN($G44:$P44)-COLUMN($G44)+1&lt;Reprogramaciones!X$14)*$G44:$P44)+N(INDEX($G44:$P44,1,Reprogramaciones!X$14))*IF(Reprogramaciones!X$13&gt;=(Reprogramaciones!$T$15+7*(Reprogramaciones!X$14-1))+6,1,IF(MAX(0,NETWORKDAYS.INTL(MAX(E44,(Reprogramaciones!$T$15+7*(Reprogramaciones!X$14-1))),MIN(F44,(Reprogramaciones!$T$15+7*(Reprogramaciones!X$14-1))+6),11))=0,0,MAX(0,NETWORKDAYS.INTL(MAX(E44,(Reprogramaciones!$T$15+7*(Reprogramaciones!X$14-1))),MIN(F44,Reprogramaciones!X$13),11))/MAX(0,NETWORKDAYS.INTL(MAX(E44,(Reprogramaciones!$T$15+7*(Reprogramaciones!X$14-1))),MIN(F44,(Reprogramaciones!$T$15+7*(Reprogramaciones!X$14-1))+6),11))))))))</f>
        <v>100</v>
      </c>
      <c r="CH44" s="1" t="n">
        <f aca="false">IF(OR(NOT(AND(ISNUMBER(E44),ISNUMBER(F44))),$J$2=""),"",IF(Reprogramaciones!Y$13&lt;Reprogramaciones!$T$15,0,IF(Reprogramaciones!Y$14&gt;10,MIN(100,SUM($G44:$P44)),MIN(100,SUMPRODUCT((COLUMN($G44:$P44)-COLUMN($G44)+1&lt;Reprogramaciones!Y$14)*$G44:$P44)+N(INDEX($G44:$P44,1,Reprogramaciones!Y$14))*IF(Reprogramaciones!Y$13&gt;=(Reprogramaciones!$T$15+7*(Reprogramaciones!Y$14-1))+6,1,IF(MAX(0,NETWORKDAYS.INTL(MAX(E44,(Reprogramaciones!$T$15+7*(Reprogramaciones!Y$14-1))),MIN(F44,(Reprogramaciones!$T$15+7*(Reprogramaciones!Y$14-1))+6),11))=0,0,MAX(0,NETWORKDAYS.INTL(MAX(E44,(Reprogramaciones!$T$15+7*(Reprogramaciones!Y$14-1))),MIN(F44,Reprogramaciones!Y$13),11))/MAX(0,NETWORKDAYS.INTL(MAX(E44,(Reprogramaciones!$T$15+7*(Reprogramaciones!Y$14-1))),MIN(F44,(Reprogramaciones!$T$15+7*(Reprogramaciones!Y$14-1))+6),11))))))))</f>
        <v>100</v>
      </c>
      <c r="CI44" s="1" t="n">
        <f aca="false">IF(OR(NOT(AND(ISNUMBER(E44),ISNUMBER(F44))),$J$2=""),"",IF(Reprogramaciones!Z$13&lt;Reprogramaciones!$T$15,0,IF(Reprogramaciones!Z$14&gt;10,MIN(100,SUM($G44:$P44)),MIN(100,SUMPRODUCT((COLUMN($G44:$P44)-COLUMN($G44)+1&lt;Reprogramaciones!Z$14)*$G44:$P44)+N(INDEX($G44:$P44,1,Reprogramaciones!Z$14))*IF(Reprogramaciones!Z$13&gt;=(Reprogramaciones!$T$15+7*(Reprogramaciones!Z$14-1))+6,1,IF(MAX(0,NETWORKDAYS.INTL(MAX(E44,(Reprogramaciones!$T$15+7*(Reprogramaciones!Z$14-1))),MIN(F44,(Reprogramaciones!$T$15+7*(Reprogramaciones!Z$14-1))+6),11))=0,0,MAX(0,NETWORKDAYS.INTL(MAX(E44,(Reprogramaciones!$T$15+7*(Reprogramaciones!Z$14-1))),MIN(F44,Reprogramaciones!Z$13),11))/MAX(0,NETWORKDAYS.INTL(MAX(E44,(Reprogramaciones!$T$15+7*(Reprogramaciones!Z$14-1))),MIN(F44,(Reprogramaciones!$T$15+7*(Reprogramaciones!Z$14-1))+6),11))))))))</f>
        <v>100</v>
      </c>
      <c r="CJ44" s="1" t="n">
        <f aca="false">IF(OR(OR(NOT(AND(ISNUMBER(E44),ISNUMBER(F44))),$J$2=""),1&gt;Reprogramaciones!$K$16),"",IF(ROUND(SUM($Q44:Q44),1)&gt;=99.5,100,MIN(100,ROUND(SUM($Q44:Q44),1))))</f>
        <v>0</v>
      </c>
      <c r="CK44" s="1" t="n">
        <f aca="false">IF(OR(OR(NOT(AND(ISNUMBER(E44),ISNUMBER(F44))),$J$2=""),2&gt;Reprogramaciones!$K$16),"",IF(ROUND(SUM($Q44:R44),1)&gt;=99.5,100,MIN(100,ROUND(SUM($Q44:R44),1))))</f>
        <v>0</v>
      </c>
      <c r="CL44" s="1" t="n">
        <f aca="false">IF(OR(OR(NOT(AND(ISNUMBER(E44),ISNUMBER(F44))),$J$2=""),3&gt;Reprogramaciones!$K$16),"",IF(ROUND(SUM($Q44:S44),1)&gt;=99.5,100,MIN(100,ROUND(SUM($Q44:S44),1))))</f>
        <v>0</v>
      </c>
      <c r="CM44" s="1" t="n">
        <f aca="false">IF(OR(OR(NOT(AND(ISNUMBER(E44),ISNUMBER(F44))),$J$2=""),4&gt;Reprogramaciones!$K$16),"",IF(ROUND(SUM($Q44:T44),1)&gt;=99.5,100,MIN(100,ROUND(SUM($Q44:T44),1))))</f>
        <v>0</v>
      </c>
      <c r="CN44" s="1" t="n">
        <f aca="false">IF(OR(OR(NOT(AND(ISNUMBER(E44),ISNUMBER(F44))),$J$2=""),5&gt;Reprogramaciones!$K$16),"",IF(ROUND(SUM($Q44:U44),1)&gt;=99.5,100,MIN(100,ROUND(SUM($Q44:U44),1))))</f>
        <v>0</v>
      </c>
      <c r="CO44" s="1" t="str">
        <f aca="false">IF(OR(OR(NOT(AND(ISNUMBER(E44),ISNUMBER(F44))),$J$2=""),6&gt;Reprogramaciones!$K$16),"",IF(ROUND(SUM($Q44:V44),1)&gt;=99.5,100,MIN(100,ROUND(SUM($Q44:V44),1))))</f>
        <v/>
      </c>
      <c r="CP44" s="1" t="str">
        <f aca="false">IF(OR(OR(NOT(AND(ISNUMBER(E44),ISNUMBER(F44))),$J$2=""),7&gt;Reprogramaciones!$K$16),"",IF(ROUND(SUM($Q44:W44),1)&gt;=99.5,100,MIN(100,ROUND(SUM($Q44:W44),1))))</f>
        <v/>
      </c>
      <c r="CQ44" s="1" t="str">
        <f aca="false">IF(OR(OR(NOT(AND(ISNUMBER(E44),ISNUMBER(F44))),$J$2=""),8&gt;Reprogramaciones!$K$16),"",IF(ROUND(SUM($Q44:X44),1)&gt;=99.5,100,MIN(100,ROUND(SUM($Q44:X44),1))))</f>
        <v/>
      </c>
      <c r="CR44" s="1" t="str">
        <f aca="false">IF(OR(OR(NOT(AND(ISNUMBER(E44),ISNUMBER(F44))),$J$2=""),9&gt;Reprogramaciones!$K$16),"",IF(ROUND(SUM($Q44:Y44),1)&gt;=99.5,100,MIN(100,ROUND(SUM($Q44:Y44),1))))</f>
        <v/>
      </c>
      <c r="CS44" s="1" t="str">
        <f aca="false">IF(OR(OR(NOT(AND(ISNUMBER(E44),ISNUMBER(F44))),$J$2=""),10&gt;Reprogramaciones!$K$16),"",IF(ROUND(SUM($Q44:Z44),1)&gt;=99.5,100,MIN(100,ROUND(SUM($Q44:Z44),1))))</f>
        <v/>
      </c>
      <c r="CT44" s="1" t="str">
        <f aca="false">IF(OR(OR(NOT(AND(ISNUMBER(E44),ISNUMBER(F44))),$J$2=""),11&gt;Reprogramaciones!$K$16),"",IF(ROUND(SUM($Q44:AA44),1)&gt;=99.5,100,MIN(100,ROUND(SUM($Q44:AA44),1))))</f>
        <v/>
      </c>
      <c r="CU44" s="1" t="str">
        <f aca="false">IF(OR(OR(NOT(AND(ISNUMBER(E44),ISNUMBER(F44))),$J$2=""),12&gt;Reprogramaciones!$K$16),"",IF(ROUND(SUM($Q44:AB44),1)&gt;=99.5,100,MIN(100,ROUND(SUM($Q44:AB44),1))))</f>
        <v/>
      </c>
      <c r="CV44" s="1" t="str">
        <f aca="false">IF(OR(OR(NOT(AND(ISNUMBER(E44),ISNUMBER(F44))),$J$2=""),13&gt;Reprogramaciones!$K$16),"",IF(ROUND(SUM($Q44:AC44),1)&gt;=99.5,100,MIN(100,ROUND(SUM($Q44:AC44),1))))</f>
        <v/>
      </c>
      <c r="CW44" s="1" t="str">
        <f aca="false">IF(OR(OR(NOT(AND(ISNUMBER(E44),ISNUMBER(F44))),$J$2=""),14&gt;Reprogramaciones!$K$16),"",IF(ROUND(SUM($Q44:AD44),1)&gt;=99.5,100,MIN(100,ROUND(SUM($Q44:AD44),1))))</f>
        <v/>
      </c>
      <c r="CX44" s="1" t="str">
        <f aca="false">IF(OR(OR(NOT(AND(ISNUMBER(E44),ISNUMBER(F44))),$J$2=""),15&gt;Reprogramaciones!$K$16),"",IF(ROUND(SUM($Q44:AE44),1)&gt;=99.5,100,MIN(100,ROUND(SUM($Q44:AE44),1))))</f>
        <v/>
      </c>
      <c r="CY44" s="1" t="str">
        <f aca="false">IF(OR(OR(NOT(AND(ISNUMBER(E44),ISNUMBER(F44))),$J$2=""),16&gt;Reprogramaciones!$K$16),"",IF(ROUND(SUM($Q44:AF44),1)&gt;=99.5,100,MIN(100,ROUND(SUM($Q44:AF44),1))))</f>
        <v/>
      </c>
      <c r="CZ44" s="1" t="str">
        <f aca="false">IF(D44&lt;&gt;"",D44,IF(B44&lt;&gt;"","Contractual",CZ43))</f>
        <v>Contractual</v>
      </c>
      <c r="DA44" s="1" t="n">
        <f aca="false">IF(OR(NOT(AND(ISNUMBER(E44),ISNUMBER(F44))),$J$2=""),"",IF(Reprogramaciones!$Q$15&lt;Reprogramaciones!$T$15,0,IF(Reprogramaciones!$S$15&gt;10,MIN(100,SUM($G44:$P44)),MIN(100,SUMPRODUCT((COLUMN($G44:$P44)-COLUMN($G44)+1&lt;Reprogramaciones!$S$15)*$G44:$P44)+N(INDEX($G44:$P44,1,Reprogramaciones!$S$15))*IF(Reprogramaciones!$Q$15&gt;=(Reprogramaciones!$T$15+7*(Reprogramaciones!$S$15-1))+6,1,IF(MAX(0,NETWORKDAYS.INTL(MAX(E44,(Reprogramaciones!$T$15+7*(Reprogramaciones!$S$15-1))),MIN(F44,(Reprogramaciones!$T$15+7*(Reprogramaciones!$S$15-1))+6),11))=0,0,MAX(0,NETWORKDAYS.INTL(MAX(E44,(Reprogramaciones!$T$15+7*(Reprogramaciones!$S$15-1))),MIN(F44,Reprogramaciones!$Q$15),11))/MAX(0,NETWORKDAYS.INTL(MAX(E44,(Reprogramaciones!$T$15+7*(Reprogramaciones!$S$15-1))),MIN(F44,(Reprogramaciones!$T$15+7*(Reprogramaciones!$S$15-1))+6),11))))))))</f>
        <v>100</v>
      </c>
    </row>
    <row r="45" customFormat="false" ht="15" hidden="false" customHeight="false" outlineLevel="0" collapsed="false">
      <c r="A45" s="32" t="s">
        <v>231</v>
      </c>
      <c r="B45" s="33"/>
      <c r="C45" s="33" t="s">
        <v>232</v>
      </c>
      <c r="D45" s="34"/>
      <c r="E45" s="35" t="n">
        <v>46318</v>
      </c>
      <c r="F45" s="35" t="n">
        <v>46319</v>
      </c>
      <c r="G45" s="36" t="n">
        <f aca="false">IF(OR(NOT(AND(ISNUMBER(E45),ISNUMBER(F45))),$J$2=""),"",IF(Reprogramaciones!K$9&lt;E45,0,IF(NETWORKDAYS.INTL(E45,F45,11)=0,IF(Reprogramaciones!K$9&gt;=F45,100,0),ROUND(NETWORKDAYS.INTL(E45,MIN(F45,Reprogramaciones!K$9),11)/NETWORKDAYS.INTL(E45,F45,11)*100,1)))-0)</f>
        <v>0</v>
      </c>
      <c r="H45" s="36" t="n">
        <f aca="false">IF(OR(NOT(AND(ISNUMBER(E45),ISNUMBER(F45))),$J$2=""),"",IF(Reprogramaciones!L$9&lt;E45,0,IF(NETWORKDAYS.INTL(E45,F45,11)=0,IF(Reprogramaciones!L$9&gt;=F45,100,0),ROUND(NETWORKDAYS.INTL(E45,MIN(F45,Reprogramaciones!L$9),11)/NETWORKDAYS.INTL(E45,F45,11)*100,1)))-IF(Reprogramaciones!K$9&lt;E45,0,IF(NETWORKDAYS.INTL(E45,F45,11)=0,IF(Reprogramaciones!K$9&gt;=F45,100,0),ROUND(NETWORKDAYS.INTL(E45,MIN(F45,Reprogramaciones!K$9),11)/NETWORKDAYS.INTL(E45,F45,11)*100,1))))</f>
        <v>0</v>
      </c>
      <c r="I45" s="36" t="n">
        <f aca="false">IF(OR(NOT(AND(ISNUMBER(E45),ISNUMBER(F45))),$J$2=""),"",IF(Reprogramaciones!M$9&lt;E45,0,IF(NETWORKDAYS.INTL(E45,F45,11)=0,IF(Reprogramaciones!M$9&gt;=F45,100,0),ROUND(NETWORKDAYS.INTL(E45,MIN(F45,Reprogramaciones!M$9),11)/NETWORKDAYS.INTL(E45,F45,11)*100,1)))-IF(Reprogramaciones!L$9&lt;E45,0,IF(NETWORKDAYS.INTL(E45,F45,11)=0,IF(Reprogramaciones!L$9&gt;=F45,100,0),ROUND(NETWORKDAYS.INTL(E45,MIN(F45,Reprogramaciones!L$9),11)/NETWORKDAYS.INTL(E45,F45,11)*100,1))))</f>
        <v>0</v>
      </c>
      <c r="J45" s="36" t="n">
        <f aca="false">IF(OR(NOT(AND(ISNUMBER(E45),ISNUMBER(F45))),$J$2=""),"",IF(Reprogramaciones!N$9&lt;E45,0,IF(NETWORKDAYS.INTL(E45,F45,11)=0,IF(Reprogramaciones!N$9&gt;=F45,100,0),ROUND(NETWORKDAYS.INTL(E45,MIN(F45,Reprogramaciones!N$9),11)/NETWORKDAYS.INTL(E45,F45,11)*100,1)))-IF(Reprogramaciones!M$9&lt;E45,0,IF(NETWORKDAYS.INTL(E45,F45,11)=0,IF(Reprogramaciones!M$9&gt;=F45,100,0),ROUND(NETWORKDAYS.INTL(E45,MIN(F45,Reprogramaciones!M$9),11)/NETWORKDAYS.INTL(E45,F45,11)*100,1))))</f>
        <v>0</v>
      </c>
      <c r="K45" s="36" t="n">
        <f aca="false">IF(OR(NOT(AND(ISNUMBER(E45),ISNUMBER(F45))),$J$2=""),"",IF(Reprogramaciones!O$9&lt;E45,0,IF(NETWORKDAYS.INTL(E45,F45,11)=0,IF(Reprogramaciones!O$9&gt;=F45,100,0),ROUND(NETWORKDAYS.INTL(E45,MIN(F45,Reprogramaciones!O$9),11)/NETWORKDAYS.INTL(E45,F45,11)*100,1)))-IF(Reprogramaciones!N$9&lt;E45,0,IF(NETWORKDAYS.INTL(E45,F45,11)=0,IF(Reprogramaciones!N$9&gt;=F45,100,0),ROUND(NETWORKDAYS.INTL(E45,MIN(F45,Reprogramaciones!N$9),11)/NETWORKDAYS.INTL(E45,F45,11)*100,1))))</f>
        <v>100</v>
      </c>
      <c r="L45" s="36" t="n">
        <f aca="false">IF(OR(NOT(AND(ISNUMBER(E45),ISNUMBER(F45))),$J$2=""),"",IF(Reprogramaciones!P$9&lt;E45,0,IF(NETWORKDAYS.INTL(E45,F45,11)=0,IF(Reprogramaciones!P$9&gt;=F45,100,0),ROUND(NETWORKDAYS.INTL(E45,MIN(F45,Reprogramaciones!P$9),11)/NETWORKDAYS.INTL(E45,F45,11)*100,1)))-IF(Reprogramaciones!O$9&lt;E45,0,IF(NETWORKDAYS.INTL(E45,F45,11)=0,IF(Reprogramaciones!O$9&gt;=F45,100,0),ROUND(NETWORKDAYS.INTL(E45,MIN(F45,Reprogramaciones!O$9),11)/NETWORKDAYS.INTL(E45,F45,11)*100,1))))</f>
        <v>0</v>
      </c>
      <c r="M45" s="36" t="n">
        <f aca="false">IF(OR(NOT(AND(ISNUMBER(E45),ISNUMBER(F45))),$J$2=""),"",IF(Reprogramaciones!Q$9&lt;E45,0,IF(NETWORKDAYS.INTL(E45,F45,11)=0,IF(Reprogramaciones!Q$9&gt;=F45,100,0),ROUND(NETWORKDAYS.INTL(E45,MIN(F45,Reprogramaciones!Q$9),11)/NETWORKDAYS.INTL(E45,F45,11)*100,1)))-IF(Reprogramaciones!P$9&lt;E45,0,IF(NETWORKDAYS.INTL(E45,F45,11)=0,IF(Reprogramaciones!P$9&gt;=F45,100,0),ROUND(NETWORKDAYS.INTL(E45,MIN(F45,Reprogramaciones!P$9),11)/NETWORKDAYS.INTL(E45,F45,11)*100,1))))</f>
        <v>0</v>
      </c>
      <c r="N45" s="36" t="n">
        <f aca="false">IF(OR(NOT(AND(ISNUMBER(E45),ISNUMBER(F45))),$J$2=""),"",IF(Reprogramaciones!R$9&lt;E45,0,IF(NETWORKDAYS.INTL(E45,F45,11)=0,IF(Reprogramaciones!R$9&gt;=F45,100,0),ROUND(NETWORKDAYS.INTL(E45,MIN(F45,Reprogramaciones!R$9),11)/NETWORKDAYS.INTL(E45,F45,11)*100,1)))-IF(Reprogramaciones!Q$9&lt;E45,0,IF(NETWORKDAYS.INTL(E45,F45,11)=0,IF(Reprogramaciones!Q$9&gt;=F45,100,0),ROUND(NETWORKDAYS.INTL(E45,MIN(F45,Reprogramaciones!Q$9),11)/NETWORKDAYS.INTL(E45,F45,11)*100,1))))</f>
        <v>0</v>
      </c>
      <c r="O45" s="36" t="n">
        <f aca="false">IF(OR(NOT(AND(ISNUMBER(E45),ISNUMBER(F45))),$J$2=""),"",IF(Reprogramaciones!S$9&lt;E45,0,IF(NETWORKDAYS.INTL(E45,F45,11)=0,IF(Reprogramaciones!S$9&gt;=F45,100,0),ROUND(NETWORKDAYS.INTL(E45,MIN(F45,Reprogramaciones!S$9),11)/NETWORKDAYS.INTL(E45,F45,11)*100,1)))-IF(Reprogramaciones!R$9&lt;E45,0,IF(NETWORKDAYS.INTL(E45,F45,11)=0,IF(Reprogramaciones!R$9&gt;=F45,100,0),ROUND(NETWORKDAYS.INTL(E45,MIN(F45,Reprogramaciones!R$9),11)/NETWORKDAYS.INTL(E45,F45,11)*100,1))))</f>
        <v>0</v>
      </c>
      <c r="P45" s="36" t="n">
        <f aca="false">IF(OR(NOT(AND(ISNUMBER(E45),ISNUMBER(F45))),$J$2=""),"",IF(Reprogramaciones!T$9&lt;E45,0,IF(NETWORKDAYS.INTL(E45,F45,11)=0,IF(Reprogramaciones!T$9&gt;=F45,100,0),ROUND(NETWORKDAYS.INTL(E45,MIN(F45,Reprogramaciones!T$9),11)/NETWORKDAYS.INTL(E45,F45,11)*100,1)))-IF(Reprogramaciones!S$9&lt;E45,0,IF(NETWORKDAYS.INTL(E45,F45,11)=0,IF(Reprogramaciones!S$9&gt;=F45,100,0),ROUND(NETWORKDAYS.INTL(E45,MIN(F45,Reprogramaciones!S$9),11)/NETWORKDAYS.INTL(E45,F45,11)*100,1))))</f>
        <v>0</v>
      </c>
      <c r="Q45" s="37"/>
      <c r="R45" s="37"/>
      <c r="S45" s="37"/>
      <c r="T45" s="37"/>
      <c r="U45" s="37"/>
      <c r="V45" s="37"/>
      <c r="W45" s="37"/>
      <c r="X45" s="37"/>
      <c r="Y45" s="37"/>
      <c r="Z45" s="37"/>
      <c r="AA45" s="37"/>
      <c r="AB45" s="37"/>
      <c r="AC45" s="37"/>
      <c r="AD45" s="37"/>
      <c r="AE45" s="37"/>
      <c r="AF45" s="37"/>
      <c r="AG45" s="38" t="n">
        <f aca="false">IF(AND(ISNUMBER(E45),ISNUMBER(F45)),NETWORKDAYS.INTL(E45,F45,11),"")</f>
        <v>2</v>
      </c>
      <c r="AH45" s="38" t="n">
        <f aca="false">IF(OR(NOT(AND(ISNUMBER(E45),ISNUMBER(F45))),$J$2=""),"",IF(Reprogramaciones!$P$15&lt;Reprogramaciones!$T$15,0,IF(Reprogramaciones!$R$15&gt;10,MIN(100,SUM($G45:$P45)),MIN(100,SUMPRODUCT((COLUMN($G45:$P45)-COLUMN($G45)+1&lt;Reprogramaciones!$R$15)*$G45:$P45)+N(INDEX($G45:$P45,1,Reprogramaciones!$R$15))*IF(Reprogramaciones!$P$15&gt;=(Reprogramaciones!$T$15+7*(Reprogramaciones!$R$15-1))+6,1,IF(MAX(0,NETWORKDAYS.INTL(MAX(E45,(Reprogramaciones!$T$15+7*(Reprogramaciones!$R$15-1))),MIN(F45,(Reprogramaciones!$T$15+7*(Reprogramaciones!$R$15-1))+6),11))=0,0,MAX(0,NETWORKDAYS.INTL(MAX(E45,(Reprogramaciones!$T$15+7*(Reprogramaciones!$R$15-1))),MIN(F45,Reprogramaciones!$P$15),11))/MAX(0,NETWORKDAYS.INTL(MAX(E45,(Reprogramaciones!$T$15+7*(Reprogramaciones!$R$15-1))),MIN(F45,(Reprogramaciones!$T$15+7*(Reprogramaciones!$R$15-1))+6),11))))))))</f>
        <v>0</v>
      </c>
      <c r="AI45" s="38" t="str">
        <f aca="false">IF(COUNT($Q45:$AF45)=0,"",IF(ROUND(SUM($Q45:$AF45),1)&gt;=99.5,100,MIN(100,ROUND(SUM($Q45:$AF45),1))))</f>
        <v/>
      </c>
      <c r="AJ45" s="38" t="str">
        <f aca="false">IF(OR(AH45="",AI45=""),"",AI45-AH45)</f>
        <v/>
      </c>
      <c r="AK45" s="39" t="str">
        <f aca="true">IF(AH45="","",IF(OR(Ficha!$C$10="Suspendida",Ficha!$C$10="Cancelada"),Ficha!$C$10,IF(AND(AI45&lt;&gt;"",N(AI45)&gt;=100),"Completada",IF(AND(E45&gt;TODAY(),N(AI45)=0),"Por iniciar",IF(N(AI45)+0.5&lt;AH45,"Retrasada",IF(N(AI45)+0.5&lt;DA45,IF(Reprogramaciones!$K$15&gt;0,"Al día · Sem "&amp;Reprogramaciones!$K$15&amp;" en curso","Al día · en curso"),"A tiempo"))))))</f>
        <v>Por iniciar</v>
      </c>
      <c r="AL45" s="39" t="str">
        <f aca="true">IF(AND(A45="",AND(B45="",C45="",E45="",F45="",COUNT(Q45:AF45)=0)),"",IF(AND(B45="",C45="",E45="",F45="",COUNT(Q45:AF45)=0),"Falta la partida o subpartida",IF(AND(A45&lt;&gt;"",COUNTIF($A$6:$A$305,A45)&gt;1),"Ítem repetido",IF(AND(C45="",E45="",F45="",COUNT(Q45:AF45)=0),"Título de partida",IF(OR(E45="",F45=""),"Faltan fechas",IF(OR(ISTEXT(E45),ISTEXT(F45)),"Fecha escrita como texto: usa dd/mm/aaaa",IF(F45&lt;E45,"Fin antes del inicio",IF(IF($J$2="",FALSE(),OR(E45&lt;$J$2,F45&gt;Reprogramaciones!$T$15+69)),"Fuera de las 10 semanas",IF(ABS(SUM(G45:P45)-100)&gt;0.5,"La meta no suma 100%",IF(ROUND(SUM(Q45:AF45),1)&gt;100.5,"El avance pasa de 100%",IF(MIN(Q45:AF45)&lt;0,"Avance negativo",IF(COUNTA(Q45:AF45)&gt;COUNT(Q45:AF45),"Avance escrito como texto",IF(SUMPRODUCT((Q45:AF45&gt;0)*(Q45:AF45&lt;1))&gt;0,"Avance menor a 1: escribe 50, no 50%",IF(SUMPRODUCT(ISNUMBER(Q45:AF45)*(Reprogramaciones!$K$8:$Z$8&gt;TODAY()))&gt;0,"Avance en semana que aún no llega",IF(AND(N(Reprogramaciones!$E$21)&gt;0,F45&gt;Reprogramaciones!$E$21),"Pasa el fin de la obra: registra una reprogramación",IF(AND(N(Reprogramaciones!$E$21)&gt;0,SUMPRODUCT(ISNUMBER(Q45:AF45)*(Reprogramaciones!$K$8:$Z$8&gt;Reprogramaciones!$E$21))&gt;0),"Avance después del fin de la obra: registra una reprogramación por atraso","OK"))))))))))))))))</f>
        <v>OK</v>
      </c>
      <c r="AM45" s="40" t="str">
        <f aca="false">IF(OR(OR(NOT(AND(ISNUMBER(E45),ISNUMBER(F45))),$J$2=""),1&gt;MAX(1,Reprogramaciones!$U$15)),"",IF(Reprogramaciones!K$12&gt;=7,"",IF(OR(BT45-N(0)&gt;0.05,N(Q45)&gt;0),ROUNDDOWN(ROUND(BT45,6),0)&amp;"%"&amp;IF(CJ45="",""," / "&amp;CJ45&amp;"%"),IF(AND(N(0)&gt;=99.95,CJ45&lt;&gt;"",N(CJ45)&lt;100),"Pend. "&amp;CJ45&amp;"%",""))))</f>
        <v/>
      </c>
      <c r="AN45" s="40" t="str">
        <f aca="false">IF(OR(OR(NOT(AND(ISNUMBER(E45),ISNUMBER(F45))),$J$2=""),2&gt;MAX(1,Reprogramaciones!$U$15)),"",IF(Reprogramaciones!L$12&gt;=7,"",IF(OR(BU45-N(BT45)&gt;0.05,N(R45)&gt;0),ROUNDDOWN(ROUND(BU45,6),0)&amp;"%"&amp;IF(CK45="",""," / "&amp;CK45&amp;"%"),IF(AND(N(BT45)&gt;=99.95,CK45&lt;&gt;"",N(CK45)&lt;100),"Pend. "&amp;CK45&amp;"%",""))))</f>
        <v/>
      </c>
      <c r="AO45" s="40" t="str">
        <f aca="false">IF(OR(OR(NOT(AND(ISNUMBER(E45),ISNUMBER(F45))),$J$2=""),3&gt;MAX(1,Reprogramaciones!$U$15)),"",IF(Reprogramaciones!M$12&gt;=7,"",IF(OR(BV45-N(BU45)&gt;0.05,N(S45)&gt;0),ROUNDDOWN(ROUND(BV45,6),0)&amp;"%"&amp;IF(CL45="",""," / "&amp;CL45&amp;"%"),IF(AND(N(BU45)&gt;=99.95,CL45&lt;&gt;"",N(CL45)&lt;100),"Pend. "&amp;CL45&amp;"%",""))))</f>
        <v/>
      </c>
      <c r="AP45" s="40" t="str">
        <f aca="false">IF(OR(OR(NOT(AND(ISNUMBER(E45),ISNUMBER(F45))),$J$2=""),4&gt;MAX(1,Reprogramaciones!$U$15)),"",IF(Reprogramaciones!N$12&gt;=7,"",IF(OR(BW45-N(BV45)&gt;0.05,N(T45)&gt;0),ROUNDDOWN(ROUND(BW45,6),0)&amp;"%"&amp;IF(CM45="",""," / "&amp;CM45&amp;"%"),IF(AND(N(BV45)&gt;=99.95,CM45&lt;&gt;"",N(CM45)&lt;100),"Pend. "&amp;CM45&amp;"%",""))))</f>
        <v/>
      </c>
      <c r="AQ45" s="40" t="str">
        <f aca="false">IF(OR(OR(NOT(AND(ISNUMBER(E45),ISNUMBER(F45))),$J$2=""),5&gt;MAX(1,Reprogramaciones!$U$15)),"",IF(Reprogramaciones!O$12&gt;=7,"",IF(OR(BX45-N(BW45)&gt;0.05,N(U45)&gt;0),ROUNDDOWN(ROUND(BX45,6),0)&amp;"%"&amp;IF(CN45="",""," / "&amp;CN45&amp;"%"),IF(AND(N(BW45)&gt;=99.95,CN45&lt;&gt;"",N(CN45)&lt;100),"Pend. "&amp;CN45&amp;"%",""))))</f>
        <v>100% / 0%</v>
      </c>
      <c r="AR45" s="40" t="str">
        <f aca="false">IF(OR(OR(NOT(AND(ISNUMBER(E45),ISNUMBER(F45))),$J$2=""),6&gt;MAX(1,Reprogramaciones!$U$15)),"",IF(Reprogramaciones!P$12&gt;=7,"",IF(OR(BY45-N(BX45)&gt;0.05,N(V45)&gt;0),ROUNDDOWN(ROUND(BY45,6),0)&amp;"%"&amp;IF(CO45="",""," / "&amp;CO45&amp;"%"),IF(AND(N(BX45)&gt;=99.95,CO45&lt;&gt;"",N(CO45)&lt;100),"Pend. "&amp;CO45&amp;"%",""))))</f>
        <v/>
      </c>
      <c r="AS45" s="40" t="str">
        <f aca="false">IF(OR(OR(NOT(AND(ISNUMBER(E45),ISNUMBER(F45))),$J$2=""),7&gt;MAX(1,Reprogramaciones!$U$15)),"",IF(Reprogramaciones!Q$12&gt;=7,"",IF(OR(BZ45-N(BY45)&gt;0.05,N(W45)&gt;0),ROUNDDOWN(ROUND(BZ45,6),0)&amp;"%"&amp;IF(CP45="",""," / "&amp;CP45&amp;"%"),IF(AND(N(BY45)&gt;=99.95,CP45&lt;&gt;"",N(CP45)&lt;100),"Pend. "&amp;CP45&amp;"%",""))))</f>
        <v/>
      </c>
      <c r="AT45" s="40" t="str">
        <f aca="false">IF(OR(OR(NOT(AND(ISNUMBER(E45),ISNUMBER(F45))),$J$2=""),8&gt;MAX(1,Reprogramaciones!$U$15)),"",IF(Reprogramaciones!R$12&gt;=7,"",IF(OR(CA45-N(BZ45)&gt;0.05,N(X45)&gt;0),ROUNDDOWN(ROUND(CA45,6),0)&amp;"%"&amp;IF(CQ45="",""," / "&amp;CQ45&amp;"%"),IF(AND(N(BZ45)&gt;=99.95,CQ45&lt;&gt;"",N(CQ45)&lt;100),"Pend. "&amp;CQ45&amp;"%",""))))</f>
        <v/>
      </c>
      <c r="AU45" s="40" t="str">
        <f aca="false">IF(OR(OR(NOT(AND(ISNUMBER(E45),ISNUMBER(F45))),$J$2=""),9&gt;MAX(1,Reprogramaciones!$U$15)),"",IF(Reprogramaciones!S$12&gt;=7,"",IF(OR(CB45-N(CA45)&gt;0.05,N(Y45)&gt;0),ROUNDDOWN(ROUND(CB45,6),0)&amp;"%"&amp;IF(CR45="",""," / "&amp;CR45&amp;"%"),IF(AND(N(CA45)&gt;=99.95,CR45&lt;&gt;"",N(CR45)&lt;100),"Pend. "&amp;CR45&amp;"%",""))))</f>
        <v/>
      </c>
      <c r="AV45" s="40" t="str">
        <f aca="false">IF(OR(OR(NOT(AND(ISNUMBER(E45),ISNUMBER(F45))),$J$2=""),10&gt;MAX(1,Reprogramaciones!$U$15)),"",IF(Reprogramaciones!T$12&gt;=7,"",IF(OR(CC45-N(CB45)&gt;0.05,N(Z45)&gt;0),ROUNDDOWN(ROUND(CC45,6),0)&amp;"%"&amp;IF(CS45="",""," / "&amp;CS45&amp;"%"),IF(AND(N(CB45)&gt;=99.95,CS45&lt;&gt;"",N(CS45)&lt;100),"Pend. "&amp;CS45&amp;"%",""))))</f>
        <v/>
      </c>
      <c r="AW45" s="40" t="str">
        <f aca="false">IF(OR(OR(NOT(AND(ISNUMBER(E45),ISNUMBER(F45))),$J$2=""),11&gt;MAX(1,Reprogramaciones!$U$15)),"",IF(Reprogramaciones!U$12&gt;=7,"",IF(OR(CD45-N(CC45)&gt;0.05,N(AA45)&gt;0),ROUNDDOWN(ROUND(CD45,6),0)&amp;"%"&amp;IF(CT45="",""," / "&amp;CT45&amp;"%"),IF(AND(N(CC45)&gt;=99.95,CT45&lt;&gt;"",N(CT45)&lt;100),"Pend. "&amp;CT45&amp;"%",""))))</f>
        <v/>
      </c>
      <c r="AX45" s="40" t="str">
        <f aca="false">IF(OR(OR(NOT(AND(ISNUMBER(E45),ISNUMBER(F45))),$J$2=""),12&gt;MAX(1,Reprogramaciones!$U$15)),"",IF(Reprogramaciones!V$12&gt;=7,"",IF(OR(CE45-N(CD45)&gt;0.05,N(AB45)&gt;0),ROUNDDOWN(ROUND(CE45,6),0)&amp;"%"&amp;IF(CU45="",""," / "&amp;CU45&amp;"%"),IF(AND(N(CD45)&gt;=99.95,CU45&lt;&gt;"",N(CU45)&lt;100),"Pend. "&amp;CU45&amp;"%",""))))</f>
        <v/>
      </c>
      <c r="AY45" s="40" t="str">
        <f aca="false">IF(OR(OR(NOT(AND(ISNUMBER(E45),ISNUMBER(F45))),$J$2=""),13&gt;MAX(1,Reprogramaciones!$U$15)),"",IF(Reprogramaciones!W$12&gt;=7,"",IF(OR(CF45-N(CE45)&gt;0.05,N(AC45)&gt;0),ROUNDDOWN(ROUND(CF45,6),0)&amp;"%"&amp;IF(CV45="",""," / "&amp;CV45&amp;"%"),IF(AND(N(CE45)&gt;=99.95,CV45&lt;&gt;"",N(CV45)&lt;100),"Pend. "&amp;CV45&amp;"%",""))))</f>
        <v/>
      </c>
      <c r="AZ45" s="40" t="str">
        <f aca="false">IF(OR(OR(NOT(AND(ISNUMBER(E45),ISNUMBER(F45))),$J$2=""),14&gt;MAX(1,Reprogramaciones!$U$15)),"",IF(Reprogramaciones!X$12&gt;=7,"",IF(OR(CG45-N(CF45)&gt;0.05,N(AD45)&gt;0),ROUNDDOWN(ROUND(CG45,6),0)&amp;"%"&amp;IF(CW45="",""," / "&amp;CW45&amp;"%"),IF(AND(N(CF45)&gt;=99.95,CW45&lt;&gt;"",N(CW45)&lt;100),"Pend. "&amp;CW45&amp;"%",""))))</f>
        <v/>
      </c>
      <c r="BA45" s="40" t="str">
        <f aca="false">IF(OR(OR(NOT(AND(ISNUMBER(E45),ISNUMBER(F45))),$J$2=""),15&gt;MAX(1,Reprogramaciones!$U$15)),"",IF(Reprogramaciones!Y$12&gt;=7,"",IF(OR(CH45-N(CG45)&gt;0.05,N(AE45)&gt;0),ROUNDDOWN(ROUND(CH45,6),0)&amp;"%"&amp;IF(CX45="",""," / "&amp;CX45&amp;"%"),IF(AND(N(CG45)&gt;=99.95,CX45&lt;&gt;"",N(CX45)&lt;100),"Pend. "&amp;CX45&amp;"%",""))))</f>
        <v/>
      </c>
      <c r="BB45" s="40" t="str">
        <f aca="false">IF(OR(OR(NOT(AND(ISNUMBER(E45),ISNUMBER(F45))),$J$2=""),16&gt;MAX(1,Reprogramaciones!$U$15)),"",IF(Reprogramaciones!Z$12&gt;=7,"",IF(OR(CI45-N(CH45)&gt;0.05,N(AF45)&gt;0),ROUNDDOWN(ROUND(CI45,6),0)&amp;"%"&amp;IF(CY45="",""," / "&amp;CY45&amp;"%"),IF(AND(N(CH45)&gt;=99.95,CY45&lt;&gt;"",N(CY45)&lt;100),"Pend. "&amp;CY45&amp;"%",""))))</f>
        <v/>
      </c>
      <c r="BC45" s="31" t="n">
        <f aca="false">IF(AND(ISNUMBER(E45),ISNUMBER(F45)),MAX(1,NETWORKDAYS.INTL(E45,F45,11)),0)</f>
        <v>2</v>
      </c>
      <c r="BD45" s="1" t="n">
        <f aca="false">IF(OR(NOT(AND(ISNUMBER(E45),ISNUMBER(F45))),$J$2=""),"",MIN(100,ROUND(SUM($G45:G45),1)))</f>
        <v>0</v>
      </c>
      <c r="BE45" s="1" t="n">
        <f aca="false">IF(OR(NOT(AND(ISNUMBER(E45),ISNUMBER(F45))),$J$2=""),"",MIN(100,ROUND(SUM($G45:H45),1)))</f>
        <v>0</v>
      </c>
      <c r="BF45" s="1" t="n">
        <f aca="false">IF(OR(NOT(AND(ISNUMBER(E45),ISNUMBER(F45))),$J$2=""),"",MIN(100,ROUND(SUM($G45:I45),1)))</f>
        <v>0</v>
      </c>
      <c r="BG45" s="1" t="n">
        <f aca="false">IF(OR(NOT(AND(ISNUMBER(E45),ISNUMBER(F45))),$J$2=""),"",MIN(100,ROUND(SUM($G45:J45),1)))</f>
        <v>0</v>
      </c>
      <c r="BH45" s="1" t="n">
        <f aca="false">IF(OR(NOT(AND(ISNUMBER(E45),ISNUMBER(F45))),$J$2=""),"",MIN(100,ROUND(SUM($G45:K45),1)))</f>
        <v>100</v>
      </c>
      <c r="BI45" s="1" t="n">
        <f aca="false">IF(OR(NOT(AND(ISNUMBER(E45),ISNUMBER(F45))),$J$2=""),"",MIN(100,ROUND(SUM($G45:L45),1)))</f>
        <v>100</v>
      </c>
      <c r="BJ45" s="1" t="n">
        <f aca="false">IF(OR(NOT(AND(ISNUMBER(E45),ISNUMBER(F45))),$J$2=""),"",MIN(100,ROUND(SUM($G45:M45),1)))</f>
        <v>100</v>
      </c>
      <c r="BK45" s="1" t="n">
        <f aca="false">IF(OR(NOT(AND(ISNUMBER(E45),ISNUMBER(F45))),$J$2=""),"",MIN(100,ROUND(SUM($G45:N45),1)))</f>
        <v>100</v>
      </c>
      <c r="BL45" s="1" t="n">
        <f aca="false">IF(OR(NOT(AND(ISNUMBER(E45),ISNUMBER(F45))),$J$2=""),"",MIN(100,ROUND(SUM($G45:O45),1)))</f>
        <v>100</v>
      </c>
      <c r="BM45" s="1" t="n">
        <f aca="false">IF(OR(NOT(AND(ISNUMBER(E45),ISNUMBER(F45))),$J$2=""),"",MIN(100,ROUND(SUM($G45:P45),1)))</f>
        <v>100</v>
      </c>
      <c r="BN45" s="1" t="n">
        <f aca="false">IF(OR(NOT(AND(ISNUMBER(E45),ISNUMBER(F45))),$J$2=""),"",MIN(100,ROUND(SUM($G45:P45),1)))</f>
        <v>100</v>
      </c>
      <c r="BO45" s="1" t="n">
        <f aca="false">IF(OR(NOT(AND(ISNUMBER(E45),ISNUMBER(F45))),$J$2=""),"",MIN(100,ROUND(SUM($G45:P45),1)))</f>
        <v>100</v>
      </c>
      <c r="BP45" s="1" t="n">
        <f aca="false">IF(OR(NOT(AND(ISNUMBER(E45),ISNUMBER(F45))),$J$2=""),"",MIN(100,ROUND(SUM($G45:P45),1)))</f>
        <v>100</v>
      </c>
      <c r="BQ45" s="1" t="n">
        <f aca="false">IF(OR(NOT(AND(ISNUMBER(E45),ISNUMBER(F45))),$J$2=""),"",MIN(100,ROUND(SUM($G45:P45),1)))</f>
        <v>100</v>
      </c>
      <c r="BR45" s="1" t="n">
        <f aca="false">IF(OR(NOT(AND(ISNUMBER(E45),ISNUMBER(F45))),$J$2=""),"",MIN(100,ROUND(SUM($G45:P45),1)))</f>
        <v>100</v>
      </c>
      <c r="BS45" s="1" t="n">
        <f aca="false">IF(OR(NOT(AND(ISNUMBER(E45),ISNUMBER(F45))),$J$2=""),"",MIN(100,ROUND(SUM($G45:P45),1)))</f>
        <v>100</v>
      </c>
      <c r="BT45" s="1" t="n">
        <f aca="false">IF(OR(NOT(AND(ISNUMBER(E45),ISNUMBER(F45))),$J$2=""),"",IF(Reprogramaciones!K$13&lt;Reprogramaciones!$T$15,0,IF(Reprogramaciones!K$14&gt;10,MIN(100,SUM($G45:$P45)),MIN(100,SUMPRODUCT((COLUMN($G45:$P45)-COLUMN($G45)+1&lt;Reprogramaciones!K$14)*$G45:$P45)+N(INDEX($G45:$P45,1,Reprogramaciones!K$14))*IF(Reprogramaciones!K$13&gt;=(Reprogramaciones!$T$15+7*(Reprogramaciones!K$14-1))+6,1,IF(MAX(0,NETWORKDAYS.INTL(MAX(E45,(Reprogramaciones!$T$15+7*(Reprogramaciones!K$14-1))),MIN(F45,(Reprogramaciones!$T$15+7*(Reprogramaciones!K$14-1))+6),11))=0,0,MAX(0,NETWORKDAYS.INTL(MAX(E45,(Reprogramaciones!$T$15+7*(Reprogramaciones!K$14-1))),MIN(F45,Reprogramaciones!K$13),11))/MAX(0,NETWORKDAYS.INTL(MAX(E45,(Reprogramaciones!$T$15+7*(Reprogramaciones!K$14-1))),MIN(F45,(Reprogramaciones!$T$15+7*(Reprogramaciones!K$14-1))+6),11))))))))</f>
        <v>0</v>
      </c>
      <c r="BU45" s="1" t="n">
        <f aca="false">IF(OR(NOT(AND(ISNUMBER(E45),ISNUMBER(F45))),$J$2=""),"",IF(Reprogramaciones!L$13&lt;Reprogramaciones!$T$15,0,IF(Reprogramaciones!L$14&gt;10,MIN(100,SUM($G45:$P45)),MIN(100,SUMPRODUCT((COLUMN($G45:$P45)-COLUMN($G45)+1&lt;Reprogramaciones!L$14)*$G45:$P45)+N(INDEX($G45:$P45,1,Reprogramaciones!L$14))*IF(Reprogramaciones!L$13&gt;=(Reprogramaciones!$T$15+7*(Reprogramaciones!L$14-1))+6,1,IF(MAX(0,NETWORKDAYS.INTL(MAX(E45,(Reprogramaciones!$T$15+7*(Reprogramaciones!L$14-1))),MIN(F45,(Reprogramaciones!$T$15+7*(Reprogramaciones!L$14-1))+6),11))=0,0,MAX(0,NETWORKDAYS.INTL(MAX(E45,(Reprogramaciones!$T$15+7*(Reprogramaciones!L$14-1))),MIN(F45,Reprogramaciones!L$13),11))/MAX(0,NETWORKDAYS.INTL(MAX(E45,(Reprogramaciones!$T$15+7*(Reprogramaciones!L$14-1))),MIN(F45,(Reprogramaciones!$T$15+7*(Reprogramaciones!L$14-1))+6),11))))))))</f>
        <v>0</v>
      </c>
      <c r="BV45" s="1" t="n">
        <f aca="false">IF(OR(NOT(AND(ISNUMBER(E45),ISNUMBER(F45))),$J$2=""),"",IF(Reprogramaciones!M$13&lt;Reprogramaciones!$T$15,0,IF(Reprogramaciones!M$14&gt;10,MIN(100,SUM($G45:$P45)),MIN(100,SUMPRODUCT((COLUMN($G45:$P45)-COLUMN($G45)+1&lt;Reprogramaciones!M$14)*$G45:$P45)+N(INDEX($G45:$P45,1,Reprogramaciones!M$14))*IF(Reprogramaciones!M$13&gt;=(Reprogramaciones!$T$15+7*(Reprogramaciones!M$14-1))+6,1,IF(MAX(0,NETWORKDAYS.INTL(MAX(E45,(Reprogramaciones!$T$15+7*(Reprogramaciones!M$14-1))),MIN(F45,(Reprogramaciones!$T$15+7*(Reprogramaciones!M$14-1))+6),11))=0,0,MAX(0,NETWORKDAYS.INTL(MAX(E45,(Reprogramaciones!$T$15+7*(Reprogramaciones!M$14-1))),MIN(F45,Reprogramaciones!M$13),11))/MAX(0,NETWORKDAYS.INTL(MAX(E45,(Reprogramaciones!$T$15+7*(Reprogramaciones!M$14-1))),MIN(F45,(Reprogramaciones!$T$15+7*(Reprogramaciones!M$14-1))+6),11))))))))</f>
        <v>0</v>
      </c>
      <c r="BW45" s="1" t="n">
        <f aca="false">IF(OR(NOT(AND(ISNUMBER(E45),ISNUMBER(F45))),$J$2=""),"",IF(Reprogramaciones!N$13&lt;Reprogramaciones!$T$15,0,IF(Reprogramaciones!N$14&gt;10,MIN(100,SUM($G45:$P45)),MIN(100,SUMPRODUCT((COLUMN($G45:$P45)-COLUMN($G45)+1&lt;Reprogramaciones!N$14)*$G45:$P45)+N(INDEX($G45:$P45,1,Reprogramaciones!N$14))*IF(Reprogramaciones!N$13&gt;=(Reprogramaciones!$T$15+7*(Reprogramaciones!N$14-1))+6,1,IF(MAX(0,NETWORKDAYS.INTL(MAX(E45,(Reprogramaciones!$T$15+7*(Reprogramaciones!N$14-1))),MIN(F45,(Reprogramaciones!$T$15+7*(Reprogramaciones!N$14-1))+6),11))=0,0,MAX(0,NETWORKDAYS.INTL(MAX(E45,(Reprogramaciones!$T$15+7*(Reprogramaciones!N$14-1))),MIN(F45,Reprogramaciones!N$13),11))/MAX(0,NETWORKDAYS.INTL(MAX(E45,(Reprogramaciones!$T$15+7*(Reprogramaciones!N$14-1))),MIN(F45,(Reprogramaciones!$T$15+7*(Reprogramaciones!N$14-1))+6),11))))))))</f>
        <v>0</v>
      </c>
      <c r="BX45" s="1" t="n">
        <f aca="false">IF(OR(NOT(AND(ISNUMBER(E45),ISNUMBER(F45))),$J$2=""),"",IF(Reprogramaciones!O$13&lt;Reprogramaciones!$T$15,0,IF(Reprogramaciones!O$14&gt;10,MIN(100,SUM($G45:$P45)),MIN(100,SUMPRODUCT((COLUMN($G45:$P45)-COLUMN($G45)+1&lt;Reprogramaciones!O$14)*$G45:$P45)+N(INDEX($G45:$P45,1,Reprogramaciones!O$14))*IF(Reprogramaciones!O$13&gt;=(Reprogramaciones!$T$15+7*(Reprogramaciones!O$14-1))+6,1,IF(MAX(0,NETWORKDAYS.INTL(MAX(E45,(Reprogramaciones!$T$15+7*(Reprogramaciones!O$14-1))),MIN(F45,(Reprogramaciones!$T$15+7*(Reprogramaciones!O$14-1))+6),11))=0,0,MAX(0,NETWORKDAYS.INTL(MAX(E45,(Reprogramaciones!$T$15+7*(Reprogramaciones!O$14-1))),MIN(F45,Reprogramaciones!O$13),11))/MAX(0,NETWORKDAYS.INTL(MAX(E45,(Reprogramaciones!$T$15+7*(Reprogramaciones!O$14-1))),MIN(F45,(Reprogramaciones!$T$15+7*(Reprogramaciones!O$14-1))+6),11))))))))</f>
        <v>100</v>
      </c>
      <c r="BY45" s="1" t="n">
        <f aca="false">IF(OR(NOT(AND(ISNUMBER(E45),ISNUMBER(F45))),$J$2=""),"",IF(Reprogramaciones!P$13&lt;Reprogramaciones!$T$15,0,IF(Reprogramaciones!P$14&gt;10,MIN(100,SUM($G45:$P45)),MIN(100,SUMPRODUCT((COLUMN($G45:$P45)-COLUMN($G45)+1&lt;Reprogramaciones!P$14)*$G45:$P45)+N(INDEX($G45:$P45,1,Reprogramaciones!P$14))*IF(Reprogramaciones!P$13&gt;=(Reprogramaciones!$T$15+7*(Reprogramaciones!P$14-1))+6,1,IF(MAX(0,NETWORKDAYS.INTL(MAX(E45,(Reprogramaciones!$T$15+7*(Reprogramaciones!P$14-1))),MIN(F45,(Reprogramaciones!$T$15+7*(Reprogramaciones!P$14-1))+6),11))=0,0,MAX(0,NETWORKDAYS.INTL(MAX(E45,(Reprogramaciones!$T$15+7*(Reprogramaciones!P$14-1))),MIN(F45,Reprogramaciones!P$13),11))/MAX(0,NETWORKDAYS.INTL(MAX(E45,(Reprogramaciones!$T$15+7*(Reprogramaciones!P$14-1))),MIN(F45,(Reprogramaciones!$T$15+7*(Reprogramaciones!P$14-1))+6),11))))))))</f>
        <v>100</v>
      </c>
      <c r="BZ45" s="1" t="n">
        <f aca="false">IF(OR(NOT(AND(ISNUMBER(E45),ISNUMBER(F45))),$J$2=""),"",IF(Reprogramaciones!Q$13&lt;Reprogramaciones!$T$15,0,IF(Reprogramaciones!Q$14&gt;10,MIN(100,SUM($G45:$P45)),MIN(100,SUMPRODUCT((COLUMN($G45:$P45)-COLUMN($G45)+1&lt;Reprogramaciones!Q$14)*$G45:$P45)+N(INDEX($G45:$P45,1,Reprogramaciones!Q$14))*IF(Reprogramaciones!Q$13&gt;=(Reprogramaciones!$T$15+7*(Reprogramaciones!Q$14-1))+6,1,IF(MAX(0,NETWORKDAYS.INTL(MAX(E45,(Reprogramaciones!$T$15+7*(Reprogramaciones!Q$14-1))),MIN(F45,(Reprogramaciones!$T$15+7*(Reprogramaciones!Q$14-1))+6),11))=0,0,MAX(0,NETWORKDAYS.INTL(MAX(E45,(Reprogramaciones!$T$15+7*(Reprogramaciones!Q$14-1))),MIN(F45,Reprogramaciones!Q$13),11))/MAX(0,NETWORKDAYS.INTL(MAX(E45,(Reprogramaciones!$T$15+7*(Reprogramaciones!Q$14-1))),MIN(F45,(Reprogramaciones!$T$15+7*(Reprogramaciones!Q$14-1))+6),11))))))))</f>
        <v>100</v>
      </c>
      <c r="CA45" s="1" t="n">
        <f aca="false">IF(OR(NOT(AND(ISNUMBER(E45),ISNUMBER(F45))),$J$2=""),"",IF(Reprogramaciones!R$13&lt;Reprogramaciones!$T$15,0,IF(Reprogramaciones!R$14&gt;10,MIN(100,SUM($G45:$P45)),MIN(100,SUMPRODUCT((COLUMN($G45:$P45)-COLUMN($G45)+1&lt;Reprogramaciones!R$14)*$G45:$P45)+N(INDEX($G45:$P45,1,Reprogramaciones!R$14))*IF(Reprogramaciones!R$13&gt;=(Reprogramaciones!$T$15+7*(Reprogramaciones!R$14-1))+6,1,IF(MAX(0,NETWORKDAYS.INTL(MAX(E45,(Reprogramaciones!$T$15+7*(Reprogramaciones!R$14-1))),MIN(F45,(Reprogramaciones!$T$15+7*(Reprogramaciones!R$14-1))+6),11))=0,0,MAX(0,NETWORKDAYS.INTL(MAX(E45,(Reprogramaciones!$T$15+7*(Reprogramaciones!R$14-1))),MIN(F45,Reprogramaciones!R$13),11))/MAX(0,NETWORKDAYS.INTL(MAX(E45,(Reprogramaciones!$T$15+7*(Reprogramaciones!R$14-1))),MIN(F45,(Reprogramaciones!$T$15+7*(Reprogramaciones!R$14-1))+6),11))))))))</f>
        <v>100</v>
      </c>
      <c r="CB45" s="1" t="n">
        <f aca="false">IF(OR(NOT(AND(ISNUMBER(E45),ISNUMBER(F45))),$J$2=""),"",IF(Reprogramaciones!S$13&lt;Reprogramaciones!$T$15,0,IF(Reprogramaciones!S$14&gt;10,MIN(100,SUM($G45:$P45)),MIN(100,SUMPRODUCT((COLUMN($G45:$P45)-COLUMN($G45)+1&lt;Reprogramaciones!S$14)*$G45:$P45)+N(INDEX($G45:$P45,1,Reprogramaciones!S$14))*IF(Reprogramaciones!S$13&gt;=(Reprogramaciones!$T$15+7*(Reprogramaciones!S$14-1))+6,1,IF(MAX(0,NETWORKDAYS.INTL(MAX(E45,(Reprogramaciones!$T$15+7*(Reprogramaciones!S$14-1))),MIN(F45,(Reprogramaciones!$T$15+7*(Reprogramaciones!S$14-1))+6),11))=0,0,MAX(0,NETWORKDAYS.INTL(MAX(E45,(Reprogramaciones!$T$15+7*(Reprogramaciones!S$14-1))),MIN(F45,Reprogramaciones!S$13),11))/MAX(0,NETWORKDAYS.INTL(MAX(E45,(Reprogramaciones!$T$15+7*(Reprogramaciones!S$14-1))),MIN(F45,(Reprogramaciones!$T$15+7*(Reprogramaciones!S$14-1))+6),11))))))))</f>
        <v>100</v>
      </c>
      <c r="CC45" s="1" t="n">
        <f aca="false">IF(OR(NOT(AND(ISNUMBER(E45),ISNUMBER(F45))),$J$2=""),"",IF(Reprogramaciones!T$13&lt;Reprogramaciones!$T$15,0,IF(Reprogramaciones!T$14&gt;10,MIN(100,SUM($G45:$P45)),MIN(100,SUMPRODUCT((COLUMN($G45:$P45)-COLUMN($G45)+1&lt;Reprogramaciones!T$14)*$G45:$P45)+N(INDEX($G45:$P45,1,Reprogramaciones!T$14))*IF(Reprogramaciones!T$13&gt;=(Reprogramaciones!$T$15+7*(Reprogramaciones!T$14-1))+6,1,IF(MAX(0,NETWORKDAYS.INTL(MAX(E45,(Reprogramaciones!$T$15+7*(Reprogramaciones!T$14-1))),MIN(F45,(Reprogramaciones!$T$15+7*(Reprogramaciones!T$14-1))+6),11))=0,0,MAX(0,NETWORKDAYS.INTL(MAX(E45,(Reprogramaciones!$T$15+7*(Reprogramaciones!T$14-1))),MIN(F45,Reprogramaciones!T$13),11))/MAX(0,NETWORKDAYS.INTL(MAX(E45,(Reprogramaciones!$T$15+7*(Reprogramaciones!T$14-1))),MIN(F45,(Reprogramaciones!$T$15+7*(Reprogramaciones!T$14-1))+6),11))))))))</f>
        <v>100</v>
      </c>
      <c r="CD45" s="1" t="n">
        <f aca="false">IF(OR(NOT(AND(ISNUMBER(E45),ISNUMBER(F45))),$J$2=""),"",IF(Reprogramaciones!U$13&lt;Reprogramaciones!$T$15,0,IF(Reprogramaciones!U$14&gt;10,MIN(100,SUM($G45:$P45)),MIN(100,SUMPRODUCT((COLUMN($G45:$P45)-COLUMN($G45)+1&lt;Reprogramaciones!U$14)*$G45:$P45)+N(INDEX($G45:$P45,1,Reprogramaciones!U$14))*IF(Reprogramaciones!U$13&gt;=(Reprogramaciones!$T$15+7*(Reprogramaciones!U$14-1))+6,1,IF(MAX(0,NETWORKDAYS.INTL(MAX(E45,(Reprogramaciones!$T$15+7*(Reprogramaciones!U$14-1))),MIN(F45,(Reprogramaciones!$T$15+7*(Reprogramaciones!U$14-1))+6),11))=0,0,MAX(0,NETWORKDAYS.INTL(MAX(E45,(Reprogramaciones!$T$15+7*(Reprogramaciones!U$14-1))),MIN(F45,Reprogramaciones!U$13),11))/MAX(0,NETWORKDAYS.INTL(MAX(E45,(Reprogramaciones!$T$15+7*(Reprogramaciones!U$14-1))),MIN(F45,(Reprogramaciones!$T$15+7*(Reprogramaciones!U$14-1))+6),11))))))))</f>
        <v>100</v>
      </c>
      <c r="CE45" s="1" t="n">
        <f aca="false">IF(OR(NOT(AND(ISNUMBER(E45),ISNUMBER(F45))),$J$2=""),"",IF(Reprogramaciones!V$13&lt;Reprogramaciones!$T$15,0,IF(Reprogramaciones!V$14&gt;10,MIN(100,SUM($G45:$P45)),MIN(100,SUMPRODUCT((COLUMN($G45:$P45)-COLUMN($G45)+1&lt;Reprogramaciones!V$14)*$G45:$P45)+N(INDEX($G45:$P45,1,Reprogramaciones!V$14))*IF(Reprogramaciones!V$13&gt;=(Reprogramaciones!$T$15+7*(Reprogramaciones!V$14-1))+6,1,IF(MAX(0,NETWORKDAYS.INTL(MAX(E45,(Reprogramaciones!$T$15+7*(Reprogramaciones!V$14-1))),MIN(F45,(Reprogramaciones!$T$15+7*(Reprogramaciones!V$14-1))+6),11))=0,0,MAX(0,NETWORKDAYS.INTL(MAX(E45,(Reprogramaciones!$T$15+7*(Reprogramaciones!V$14-1))),MIN(F45,Reprogramaciones!V$13),11))/MAX(0,NETWORKDAYS.INTL(MAX(E45,(Reprogramaciones!$T$15+7*(Reprogramaciones!V$14-1))),MIN(F45,(Reprogramaciones!$T$15+7*(Reprogramaciones!V$14-1))+6),11))))))))</f>
        <v>100</v>
      </c>
      <c r="CF45" s="1" t="n">
        <f aca="false">IF(OR(NOT(AND(ISNUMBER(E45),ISNUMBER(F45))),$J$2=""),"",IF(Reprogramaciones!W$13&lt;Reprogramaciones!$T$15,0,IF(Reprogramaciones!W$14&gt;10,MIN(100,SUM($G45:$P45)),MIN(100,SUMPRODUCT((COLUMN($G45:$P45)-COLUMN($G45)+1&lt;Reprogramaciones!W$14)*$G45:$P45)+N(INDEX($G45:$P45,1,Reprogramaciones!W$14))*IF(Reprogramaciones!W$13&gt;=(Reprogramaciones!$T$15+7*(Reprogramaciones!W$14-1))+6,1,IF(MAX(0,NETWORKDAYS.INTL(MAX(E45,(Reprogramaciones!$T$15+7*(Reprogramaciones!W$14-1))),MIN(F45,(Reprogramaciones!$T$15+7*(Reprogramaciones!W$14-1))+6),11))=0,0,MAX(0,NETWORKDAYS.INTL(MAX(E45,(Reprogramaciones!$T$15+7*(Reprogramaciones!W$14-1))),MIN(F45,Reprogramaciones!W$13),11))/MAX(0,NETWORKDAYS.INTL(MAX(E45,(Reprogramaciones!$T$15+7*(Reprogramaciones!W$14-1))),MIN(F45,(Reprogramaciones!$T$15+7*(Reprogramaciones!W$14-1))+6),11))))))))</f>
        <v>100</v>
      </c>
      <c r="CG45" s="1" t="n">
        <f aca="false">IF(OR(NOT(AND(ISNUMBER(E45),ISNUMBER(F45))),$J$2=""),"",IF(Reprogramaciones!X$13&lt;Reprogramaciones!$T$15,0,IF(Reprogramaciones!X$14&gt;10,MIN(100,SUM($G45:$P45)),MIN(100,SUMPRODUCT((COLUMN($G45:$P45)-COLUMN($G45)+1&lt;Reprogramaciones!X$14)*$G45:$P45)+N(INDEX($G45:$P45,1,Reprogramaciones!X$14))*IF(Reprogramaciones!X$13&gt;=(Reprogramaciones!$T$15+7*(Reprogramaciones!X$14-1))+6,1,IF(MAX(0,NETWORKDAYS.INTL(MAX(E45,(Reprogramaciones!$T$15+7*(Reprogramaciones!X$14-1))),MIN(F45,(Reprogramaciones!$T$15+7*(Reprogramaciones!X$14-1))+6),11))=0,0,MAX(0,NETWORKDAYS.INTL(MAX(E45,(Reprogramaciones!$T$15+7*(Reprogramaciones!X$14-1))),MIN(F45,Reprogramaciones!X$13),11))/MAX(0,NETWORKDAYS.INTL(MAX(E45,(Reprogramaciones!$T$15+7*(Reprogramaciones!X$14-1))),MIN(F45,(Reprogramaciones!$T$15+7*(Reprogramaciones!X$14-1))+6),11))))))))</f>
        <v>100</v>
      </c>
      <c r="CH45" s="1" t="n">
        <f aca="false">IF(OR(NOT(AND(ISNUMBER(E45),ISNUMBER(F45))),$J$2=""),"",IF(Reprogramaciones!Y$13&lt;Reprogramaciones!$T$15,0,IF(Reprogramaciones!Y$14&gt;10,MIN(100,SUM($G45:$P45)),MIN(100,SUMPRODUCT((COLUMN($G45:$P45)-COLUMN($G45)+1&lt;Reprogramaciones!Y$14)*$G45:$P45)+N(INDEX($G45:$P45,1,Reprogramaciones!Y$14))*IF(Reprogramaciones!Y$13&gt;=(Reprogramaciones!$T$15+7*(Reprogramaciones!Y$14-1))+6,1,IF(MAX(0,NETWORKDAYS.INTL(MAX(E45,(Reprogramaciones!$T$15+7*(Reprogramaciones!Y$14-1))),MIN(F45,(Reprogramaciones!$T$15+7*(Reprogramaciones!Y$14-1))+6),11))=0,0,MAX(0,NETWORKDAYS.INTL(MAX(E45,(Reprogramaciones!$T$15+7*(Reprogramaciones!Y$14-1))),MIN(F45,Reprogramaciones!Y$13),11))/MAX(0,NETWORKDAYS.INTL(MAX(E45,(Reprogramaciones!$T$15+7*(Reprogramaciones!Y$14-1))),MIN(F45,(Reprogramaciones!$T$15+7*(Reprogramaciones!Y$14-1))+6),11))))))))</f>
        <v>100</v>
      </c>
      <c r="CI45" s="1" t="n">
        <f aca="false">IF(OR(NOT(AND(ISNUMBER(E45),ISNUMBER(F45))),$J$2=""),"",IF(Reprogramaciones!Z$13&lt;Reprogramaciones!$T$15,0,IF(Reprogramaciones!Z$14&gt;10,MIN(100,SUM($G45:$P45)),MIN(100,SUMPRODUCT((COLUMN($G45:$P45)-COLUMN($G45)+1&lt;Reprogramaciones!Z$14)*$G45:$P45)+N(INDEX($G45:$P45,1,Reprogramaciones!Z$14))*IF(Reprogramaciones!Z$13&gt;=(Reprogramaciones!$T$15+7*(Reprogramaciones!Z$14-1))+6,1,IF(MAX(0,NETWORKDAYS.INTL(MAX(E45,(Reprogramaciones!$T$15+7*(Reprogramaciones!Z$14-1))),MIN(F45,(Reprogramaciones!$T$15+7*(Reprogramaciones!Z$14-1))+6),11))=0,0,MAX(0,NETWORKDAYS.INTL(MAX(E45,(Reprogramaciones!$T$15+7*(Reprogramaciones!Z$14-1))),MIN(F45,Reprogramaciones!Z$13),11))/MAX(0,NETWORKDAYS.INTL(MAX(E45,(Reprogramaciones!$T$15+7*(Reprogramaciones!Z$14-1))),MIN(F45,(Reprogramaciones!$T$15+7*(Reprogramaciones!Z$14-1))+6),11))))))))</f>
        <v>100</v>
      </c>
      <c r="CJ45" s="1" t="n">
        <f aca="false">IF(OR(OR(NOT(AND(ISNUMBER(E45),ISNUMBER(F45))),$J$2=""),1&gt;Reprogramaciones!$K$16),"",IF(ROUND(SUM($Q45:Q45),1)&gt;=99.5,100,MIN(100,ROUND(SUM($Q45:Q45),1))))</f>
        <v>0</v>
      </c>
      <c r="CK45" s="1" t="n">
        <f aca="false">IF(OR(OR(NOT(AND(ISNUMBER(E45),ISNUMBER(F45))),$J$2=""),2&gt;Reprogramaciones!$K$16),"",IF(ROUND(SUM($Q45:R45),1)&gt;=99.5,100,MIN(100,ROUND(SUM($Q45:R45),1))))</f>
        <v>0</v>
      </c>
      <c r="CL45" s="1" t="n">
        <f aca="false">IF(OR(OR(NOT(AND(ISNUMBER(E45),ISNUMBER(F45))),$J$2=""),3&gt;Reprogramaciones!$K$16),"",IF(ROUND(SUM($Q45:S45),1)&gt;=99.5,100,MIN(100,ROUND(SUM($Q45:S45),1))))</f>
        <v>0</v>
      </c>
      <c r="CM45" s="1" t="n">
        <f aca="false">IF(OR(OR(NOT(AND(ISNUMBER(E45),ISNUMBER(F45))),$J$2=""),4&gt;Reprogramaciones!$K$16),"",IF(ROUND(SUM($Q45:T45),1)&gt;=99.5,100,MIN(100,ROUND(SUM($Q45:T45),1))))</f>
        <v>0</v>
      </c>
      <c r="CN45" s="1" t="n">
        <f aca="false">IF(OR(OR(NOT(AND(ISNUMBER(E45),ISNUMBER(F45))),$J$2=""),5&gt;Reprogramaciones!$K$16),"",IF(ROUND(SUM($Q45:U45),1)&gt;=99.5,100,MIN(100,ROUND(SUM($Q45:U45),1))))</f>
        <v>0</v>
      </c>
      <c r="CO45" s="1" t="str">
        <f aca="false">IF(OR(OR(NOT(AND(ISNUMBER(E45),ISNUMBER(F45))),$J$2=""),6&gt;Reprogramaciones!$K$16),"",IF(ROUND(SUM($Q45:V45),1)&gt;=99.5,100,MIN(100,ROUND(SUM($Q45:V45),1))))</f>
        <v/>
      </c>
      <c r="CP45" s="1" t="str">
        <f aca="false">IF(OR(OR(NOT(AND(ISNUMBER(E45),ISNUMBER(F45))),$J$2=""),7&gt;Reprogramaciones!$K$16),"",IF(ROUND(SUM($Q45:W45),1)&gt;=99.5,100,MIN(100,ROUND(SUM($Q45:W45),1))))</f>
        <v/>
      </c>
      <c r="CQ45" s="1" t="str">
        <f aca="false">IF(OR(OR(NOT(AND(ISNUMBER(E45),ISNUMBER(F45))),$J$2=""),8&gt;Reprogramaciones!$K$16),"",IF(ROUND(SUM($Q45:X45),1)&gt;=99.5,100,MIN(100,ROUND(SUM($Q45:X45),1))))</f>
        <v/>
      </c>
      <c r="CR45" s="1" t="str">
        <f aca="false">IF(OR(OR(NOT(AND(ISNUMBER(E45),ISNUMBER(F45))),$J$2=""),9&gt;Reprogramaciones!$K$16),"",IF(ROUND(SUM($Q45:Y45),1)&gt;=99.5,100,MIN(100,ROUND(SUM($Q45:Y45),1))))</f>
        <v/>
      </c>
      <c r="CS45" s="1" t="str">
        <f aca="false">IF(OR(OR(NOT(AND(ISNUMBER(E45),ISNUMBER(F45))),$J$2=""),10&gt;Reprogramaciones!$K$16),"",IF(ROUND(SUM($Q45:Z45),1)&gt;=99.5,100,MIN(100,ROUND(SUM($Q45:Z45),1))))</f>
        <v/>
      </c>
      <c r="CT45" s="1" t="str">
        <f aca="false">IF(OR(OR(NOT(AND(ISNUMBER(E45),ISNUMBER(F45))),$J$2=""),11&gt;Reprogramaciones!$K$16),"",IF(ROUND(SUM($Q45:AA45),1)&gt;=99.5,100,MIN(100,ROUND(SUM($Q45:AA45),1))))</f>
        <v/>
      </c>
      <c r="CU45" s="1" t="str">
        <f aca="false">IF(OR(OR(NOT(AND(ISNUMBER(E45),ISNUMBER(F45))),$J$2=""),12&gt;Reprogramaciones!$K$16),"",IF(ROUND(SUM($Q45:AB45),1)&gt;=99.5,100,MIN(100,ROUND(SUM($Q45:AB45),1))))</f>
        <v/>
      </c>
      <c r="CV45" s="1" t="str">
        <f aca="false">IF(OR(OR(NOT(AND(ISNUMBER(E45),ISNUMBER(F45))),$J$2=""),13&gt;Reprogramaciones!$K$16),"",IF(ROUND(SUM($Q45:AC45),1)&gt;=99.5,100,MIN(100,ROUND(SUM($Q45:AC45),1))))</f>
        <v/>
      </c>
      <c r="CW45" s="1" t="str">
        <f aca="false">IF(OR(OR(NOT(AND(ISNUMBER(E45),ISNUMBER(F45))),$J$2=""),14&gt;Reprogramaciones!$K$16),"",IF(ROUND(SUM($Q45:AD45),1)&gt;=99.5,100,MIN(100,ROUND(SUM($Q45:AD45),1))))</f>
        <v/>
      </c>
      <c r="CX45" s="1" t="str">
        <f aca="false">IF(OR(OR(NOT(AND(ISNUMBER(E45),ISNUMBER(F45))),$J$2=""),15&gt;Reprogramaciones!$K$16),"",IF(ROUND(SUM($Q45:AE45),1)&gt;=99.5,100,MIN(100,ROUND(SUM($Q45:AE45),1))))</f>
        <v/>
      </c>
      <c r="CY45" s="1" t="str">
        <f aca="false">IF(OR(OR(NOT(AND(ISNUMBER(E45),ISNUMBER(F45))),$J$2=""),16&gt;Reprogramaciones!$K$16),"",IF(ROUND(SUM($Q45:AF45),1)&gt;=99.5,100,MIN(100,ROUND(SUM($Q45:AF45),1))))</f>
        <v/>
      </c>
      <c r="CZ45" s="1" t="str">
        <f aca="false">IF(D45&lt;&gt;"",D45,IF(B45&lt;&gt;"","Contractual",CZ44))</f>
        <v>Contractual</v>
      </c>
      <c r="DA45" s="1" t="n">
        <f aca="false">IF(OR(NOT(AND(ISNUMBER(E45),ISNUMBER(F45))),$J$2=""),"",IF(Reprogramaciones!$Q$15&lt;Reprogramaciones!$T$15,0,IF(Reprogramaciones!$S$15&gt;10,MIN(100,SUM($G45:$P45)),MIN(100,SUMPRODUCT((COLUMN($G45:$P45)-COLUMN($G45)+1&lt;Reprogramaciones!$S$15)*$G45:$P45)+N(INDEX($G45:$P45,1,Reprogramaciones!$S$15))*IF(Reprogramaciones!$Q$15&gt;=(Reprogramaciones!$T$15+7*(Reprogramaciones!$S$15-1))+6,1,IF(MAX(0,NETWORKDAYS.INTL(MAX(E45,(Reprogramaciones!$T$15+7*(Reprogramaciones!$S$15-1))),MIN(F45,(Reprogramaciones!$T$15+7*(Reprogramaciones!$S$15-1))+6),11))=0,0,MAX(0,NETWORKDAYS.INTL(MAX(E45,(Reprogramaciones!$T$15+7*(Reprogramaciones!$S$15-1))),MIN(F45,Reprogramaciones!$Q$15),11))/MAX(0,NETWORKDAYS.INTL(MAX(E45,(Reprogramaciones!$T$15+7*(Reprogramaciones!$S$15-1))),MIN(F45,(Reprogramaciones!$T$15+7*(Reprogramaciones!$S$15-1))+6),11))))))))</f>
        <v>100</v>
      </c>
    </row>
    <row r="46" customFormat="false" ht="15" hidden="false" customHeight="false" outlineLevel="0" collapsed="false">
      <c r="A46" s="32" t="s">
        <v>233</v>
      </c>
      <c r="B46" s="33" t="s">
        <v>234</v>
      </c>
      <c r="C46" s="33"/>
      <c r="D46" s="34"/>
      <c r="E46" s="35"/>
      <c r="F46" s="35"/>
      <c r="G46" s="36" t="str">
        <f aca="false">IF(OR(NOT(AND(ISNUMBER(E46),ISNUMBER(F46))),$J$2=""),"",IF(Reprogramaciones!K$9&lt;E46,0,IF(NETWORKDAYS.INTL(E46,F46,11)=0,IF(Reprogramaciones!K$9&gt;=F46,100,0),ROUND(NETWORKDAYS.INTL(E46,MIN(F46,Reprogramaciones!K$9),11)/NETWORKDAYS.INTL(E46,F46,11)*100,1)))-0)</f>
        <v/>
      </c>
      <c r="H46" s="36" t="str">
        <f aca="false">IF(OR(NOT(AND(ISNUMBER(E46),ISNUMBER(F46))),$J$2=""),"",IF(Reprogramaciones!L$9&lt;E46,0,IF(NETWORKDAYS.INTL(E46,F46,11)=0,IF(Reprogramaciones!L$9&gt;=F46,100,0),ROUND(NETWORKDAYS.INTL(E46,MIN(F46,Reprogramaciones!L$9),11)/NETWORKDAYS.INTL(E46,F46,11)*100,1)))-IF(Reprogramaciones!K$9&lt;E46,0,IF(NETWORKDAYS.INTL(E46,F46,11)=0,IF(Reprogramaciones!K$9&gt;=F46,100,0),ROUND(NETWORKDAYS.INTL(E46,MIN(F46,Reprogramaciones!K$9),11)/NETWORKDAYS.INTL(E46,F46,11)*100,1))))</f>
        <v/>
      </c>
      <c r="I46" s="36" t="str">
        <f aca="false">IF(OR(NOT(AND(ISNUMBER(E46),ISNUMBER(F46))),$J$2=""),"",IF(Reprogramaciones!M$9&lt;E46,0,IF(NETWORKDAYS.INTL(E46,F46,11)=0,IF(Reprogramaciones!M$9&gt;=F46,100,0),ROUND(NETWORKDAYS.INTL(E46,MIN(F46,Reprogramaciones!M$9),11)/NETWORKDAYS.INTL(E46,F46,11)*100,1)))-IF(Reprogramaciones!L$9&lt;E46,0,IF(NETWORKDAYS.INTL(E46,F46,11)=0,IF(Reprogramaciones!L$9&gt;=F46,100,0),ROUND(NETWORKDAYS.INTL(E46,MIN(F46,Reprogramaciones!L$9),11)/NETWORKDAYS.INTL(E46,F46,11)*100,1))))</f>
        <v/>
      </c>
      <c r="J46" s="36" t="str">
        <f aca="false">IF(OR(NOT(AND(ISNUMBER(E46),ISNUMBER(F46))),$J$2=""),"",IF(Reprogramaciones!N$9&lt;E46,0,IF(NETWORKDAYS.INTL(E46,F46,11)=0,IF(Reprogramaciones!N$9&gt;=F46,100,0),ROUND(NETWORKDAYS.INTL(E46,MIN(F46,Reprogramaciones!N$9),11)/NETWORKDAYS.INTL(E46,F46,11)*100,1)))-IF(Reprogramaciones!M$9&lt;E46,0,IF(NETWORKDAYS.INTL(E46,F46,11)=0,IF(Reprogramaciones!M$9&gt;=F46,100,0),ROUND(NETWORKDAYS.INTL(E46,MIN(F46,Reprogramaciones!M$9),11)/NETWORKDAYS.INTL(E46,F46,11)*100,1))))</f>
        <v/>
      </c>
      <c r="K46" s="36" t="str">
        <f aca="false">IF(OR(NOT(AND(ISNUMBER(E46),ISNUMBER(F46))),$J$2=""),"",IF(Reprogramaciones!O$9&lt;E46,0,IF(NETWORKDAYS.INTL(E46,F46,11)=0,IF(Reprogramaciones!O$9&gt;=F46,100,0),ROUND(NETWORKDAYS.INTL(E46,MIN(F46,Reprogramaciones!O$9),11)/NETWORKDAYS.INTL(E46,F46,11)*100,1)))-IF(Reprogramaciones!N$9&lt;E46,0,IF(NETWORKDAYS.INTL(E46,F46,11)=0,IF(Reprogramaciones!N$9&gt;=F46,100,0),ROUND(NETWORKDAYS.INTL(E46,MIN(F46,Reprogramaciones!N$9),11)/NETWORKDAYS.INTL(E46,F46,11)*100,1))))</f>
        <v/>
      </c>
      <c r="L46" s="36" t="str">
        <f aca="false">IF(OR(NOT(AND(ISNUMBER(E46),ISNUMBER(F46))),$J$2=""),"",IF(Reprogramaciones!P$9&lt;E46,0,IF(NETWORKDAYS.INTL(E46,F46,11)=0,IF(Reprogramaciones!P$9&gt;=F46,100,0),ROUND(NETWORKDAYS.INTL(E46,MIN(F46,Reprogramaciones!P$9),11)/NETWORKDAYS.INTL(E46,F46,11)*100,1)))-IF(Reprogramaciones!O$9&lt;E46,0,IF(NETWORKDAYS.INTL(E46,F46,11)=0,IF(Reprogramaciones!O$9&gt;=F46,100,0),ROUND(NETWORKDAYS.INTL(E46,MIN(F46,Reprogramaciones!O$9),11)/NETWORKDAYS.INTL(E46,F46,11)*100,1))))</f>
        <v/>
      </c>
      <c r="M46" s="36" t="str">
        <f aca="false">IF(OR(NOT(AND(ISNUMBER(E46),ISNUMBER(F46))),$J$2=""),"",IF(Reprogramaciones!Q$9&lt;E46,0,IF(NETWORKDAYS.INTL(E46,F46,11)=0,IF(Reprogramaciones!Q$9&gt;=F46,100,0),ROUND(NETWORKDAYS.INTL(E46,MIN(F46,Reprogramaciones!Q$9),11)/NETWORKDAYS.INTL(E46,F46,11)*100,1)))-IF(Reprogramaciones!P$9&lt;E46,0,IF(NETWORKDAYS.INTL(E46,F46,11)=0,IF(Reprogramaciones!P$9&gt;=F46,100,0),ROUND(NETWORKDAYS.INTL(E46,MIN(F46,Reprogramaciones!P$9),11)/NETWORKDAYS.INTL(E46,F46,11)*100,1))))</f>
        <v/>
      </c>
      <c r="N46" s="36" t="str">
        <f aca="false">IF(OR(NOT(AND(ISNUMBER(E46),ISNUMBER(F46))),$J$2=""),"",IF(Reprogramaciones!R$9&lt;E46,0,IF(NETWORKDAYS.INTL(E46,F46,11)=0,IF(Reprogramaciones!R$9&gt;=F46,100,0),ROUND(NETWORKDAYS.INTL(E46,MIN(F46,Reprogramaciones!R$9),11)/NETWORKDAYS.INTL(E46,F46,11)*100,1)))-IF(Reprogramaciones!Q$9&lt;E46,0,IF(NETWORKDAYS.INTL(E46,F46,11)=0,IF(Reprogramaciones!Q$9&gt;=F46,100,0),ROUND(NETWORKDAYS.INTL(E46,MIN(F46,Reprogramaciones!Q$9),11)/NETWORKDAYS.INTL(E46,F46,11)*100,1))))</f>
        <v/>
      </c>
      <c r="O46" s="36" t="str">
        <f aca="false">IF(OR(NOT(AND(ISNUMBER(E46),ISNUMBER(F46))),$J$2=""),"",IF(Reprogramaciones!S$9&lt;E46,0,IF(NETWORKDAYS.INTL(E46,F46,11)=0,IF(Reprogramaciones!S$9&gt;=F46,100,0),ROUND(NETWORKDAYS.INTL(E46,MIN(F46,Reprogramaciones!S$9),11)/NETWORKDAYS.INTL(E46,F46,11)*100,1)))-IF(Reprogramaciones!R$9&lt;E46,0,IF(NETWORKDAYS.INTL(E46,F46,11)=0,IF(Reprogramaciones!R$9&gt;=F46,100,0),ROUND(NETWORKDAYS.INTL(E46,MIN(F46,Reprogramaciones!R$9),11)/NETWORKDAYS.INTL(E46,F46,11)*100,1))))</f>
        <v/>
      </c>
      <c r="P46" s="36" t="str">
        <f aca="false">IF(OR(NOT(AND(ISNUMBER(E46),ISNUMBER(F46))),$J$2=""),"",IF(Reprogramaciones!T$9&lt;E46,0,IF(NETWORKDAYS.INTL(E46,F46,11)=0,IF(Reprogramaciones!T$9&gt;=F46,100,0),ROUND(NETWORKDAYS.INTL(E46,MIN(F46,Reprogramaciones!T$9),11)/NETWORKDAYS.INTL(E46,F46,11)*100,1)))-IF(Reprogramaciones!S$9&lt;E46,0,IF(NETWORKDAYS.INTL(E46,F46,11)=0,IF(Reprogramaciones!S$9&gt;=F46,100,0),ROUND(NETWORKDAYS.INTL(E46,MIN(F46,Reprogramaciones!S$9),11)/NETWORKDAYS.INTL(E46,F46,11)*100,1))))</f>
        <v/>
      </c>
      <c r="Q46" s="37"/>
      <c r="R46" s="37"/>
      <c r="S46" s="37"/>
      <c r="T46" s="37"/>
      <c r="U46" s="37"/>
      <c r="V46" s="37"/>
      <c r="W46" s="37"/>
      <c r="X46" s="37"/>
      <c r="Y46" s="37"/>
      <c r="Z46" s="37"/>
      <c r="AA46" s="37"/>
      <c r="AB46" s="37"/>
      <c r="AC46" s="37"/>
      <c r="AD46" s="37"/>
      <c r="AE46" s="37"/>
      <c r="AF46" s="37"/>
      <c r="AG46" s="38" t="str">
        <f aca="false">IF(AND(ISNUMBER(E46),ISNUMBER(F46)),NETWORKDAYS.INTL(E46,F46,11),"")</f>
        <v/>
      </c>
      <c r="AH46" s="38" t="str">
        <f aca="false">IF(OR(NOT(AND(ISNUMBER(E46),ISNUMBER(F46))),$J$2=""),"",IF(Reprogramaciones!$P$15&lt;Reprogramaciones!$T$15,0,IF(Reprogramaciones!$R$15&gt;10,MIN(100,SUM($G46:$P46)),MIN(100,SUMPRODUCT((COLUMN($G46:$P46)-COLUMN($G46)+1&lt;Reprogramaciones!$R$15)*$G46:$P46)+N(INDEX($G46:$P46,1,Reprogramaciones!$R$15))*IF(Reprogramaciones!$P$15&gt;=(Reprogramaciones!$T$15+7*(Reprogramaciones!$R$15-1))+6,1,IF(MAX(0,NETWORKDAYS.INTL(MAX(E46,(Reprogramaciones!$T$15+7*(Reprogramaciones!$R$15-1))),MIN(F46,(Reprogramaciones!$T$15+7*(Reprogramaciones!$R$15-1))+6),11))=0,0,MAX(0,NETWORKDAYS.INTL(MAX(E46,(Reprogramaciones!$T$15+7*(Reprogramaciones!$R$15-1))),MIN(F46,Reprogramaciones!$P$15),11))/MAX(0,NETWORKDAYS.INTL(MAX(E46,(Reprogramaciones!$T$15+7*(Reprogramaciones!$R$15-1))),MIN(F46,(Reprogramaciones!$T$15+7*(Reprogramaciones!$R$15-1))+6),11))))))))</f>
        <v/>
      </c>
      <c r="AI46" s="38" t="str">
        <f aca="false">IF(COUNT($Q46:$AF46)=0,"",IF(ROUND(SUM($Q46:$AF46),1)&gt;=99.5,100,MIN(100,ROUND(SUM($Q46:$AF46),1))))</f>
        <v/>
      </c>
      <c r="AJ46" s="38" t="str">
        <f aca="false">IF(OR(AH46="",AI46=""),"",AI46-AH46)</f>
        <v/>
      </c>
      <c r="AK46" s="39" t="str">
        <f aca="true">IF(AH46="","",IF(OR(Ficha!$C$10="Suspendida",Ficha!$C$10="Cancelada"),Ficha!$C$10,IF(AND(AI46&lt;&gt;"",N(AI46)&gt;=100),"Completada",IF(AND(E46&gt;TODAY(),N(AI46)=0),"Por iniciar",IF(N(AI46)+0.5&lt;AH46,"Retrasada",IF(N(AI46)+0.5&lt;DA46,IF(Reprogramaciones!$K$15&gt;0,"Al día · Sem "&amp;Reprogramaciones!$K$15&amp;" en curso","Al día · en curso"),"A tiempo"))))))</f>
        <v/>
      </c>
      <c r="AL46" s="39" t="str">
        <f aca="true">IF(AND(A46="",AND(B46="",C46="",E46="",F46="",COUNT(Q46:AF46)=0)),"",IF(AND(B46="",C46="",E46="",F46="",COUNT(Q46:AF46)=0),"Falta la partida o subpartida",IF(AND(A46&lt;&gt;"",COUNTIF($A$6:$A$305,A46)&gt;1),"Ítem repetido",IF(AND(C46="",E46="",F46="",COUNT(Q46:AF46)=0),"Título de partida",IF(OR(E46="",F46=""),"Faltan fechas",IF(OR(ISTEXT(E46),ISTEXT(F46)),"Fecha escrita como texto: usa dd/mm/aaaa",IF(F46&lt;E46,"Fin antes del inicio",IF(IF($J$2="",FALSE(),OR(E46&lt;$J$2,F46&gt;Reprogramaciones!$T$15+69)),"Fuera de las 10 semanas",IF(ABS(SUM(G46:P46)-100)&gt;0.5,"La meta no suma 100%",IF(ROUND(SUM(Q46:AF46),1)&gt;100.5,"El avance pasa de 100%",IF(MIN(Q46:AF46)&lt;0,"Avance negativo",IF(COUNTA(Q46:AF46)&gt;COUNT(Q46:AF46),"Avance escrito como texto",IF(SUMPRODUCT((Q46:AF46&gt;0)*(Q46:AF46&lt;1))&gt;0,"Avance menor a 1: escribe 50, no 50%",IF(SUMPRODUCT(ISNUMBER(Q46:AF46)*(Reprogramaciones!$K$8:$Z$8&gt;TODAY()))&gt;0,"Avance en semana que aún no llega",IF(AND(N(Reprogramaciones!$E$21)&gt;0,F46&gt;Reprogramaciones!$E$21),"Pasa el fin de la obra: registra una reprogramación",IF(AND(N(Reprogramaciones!$E$21)&gt;0,SUMPRODUCT(ISNUMBER(Q46:AF46)*(Reprogramaciones!$K$8:$Z$8&gt;Reprogramaciones!$E$21))&gt;0),"Avance después del fin de la obra: registra una reprogramación por atraso","OK"))))))))))))))))</f>
        <v>Título de partida</v>
      </c>
      <c r="AM46" s="40" t="str">
        <f aca="false">IF(OR(OR(NOT(AND(ISNUMBER(E46),ISNUMBER(F46))),$J$2=""),1&gt;MAX(1,Reprogramaciones!$U$15)),"",IF(Reprogramaciones!K$12&gt;=7,"",IF(OR(BT46-N(0)&gt;0.05,N(Q46)&gt;0),ROUNDDOWN(ROUND(BT46,6),0)&amp;"%"&amp;IF(CJ46="",""," / "&amp;CJ46&amp;"%"),IF(AND(N(0)&gt;=99.95,CJ46&lt;&gt;"",N(CJ46)&lt;100),"Pend. "&amp;CJ46&amp;"%",""))))</f>
        <v/>
      </c>
      <c r="AN46" s="40" t="str">
        <f aca="false">IF(OR(OR(NOT(AND(ISNUMBER(E46),ISNUMBER(F46))),$J$2=""),2&gt;MAX(1,Reprogramaciones!$U$15)),"",IF(Reprogramaciones!L$12&gt;=7,"",IF(OR(BU46-N(BT46)&gt;0.05,N(R46)&gt;0),ROUNDDOWN(ROUND(BU46,6),0)&amp;"%"&amp;IF(CK46="",""," / "&amp;CK46&amp;"%"),IF(AND(N(BT46)&gt;=99.95,CK46&lt;&gt;"",N(CK46)&lt;100),"Pend. "&amp;CK46&amp;"%",""))))</f>
        <v/>
      </c>
      <c r="AO46" s="40" t="str">
        <f aca="false">IF(OR(OR(NOT(AND(ISNUMBER(E46),ISNUMBER(F46))),$J$2=""),3&gt;MAX(1,Reprogramaciones!$U$15)),"",IF(Reprogramaciones!M$12&gt;=7,"",IF(OR(BV46-N(BU46)&gt;0.05,N(S46)&gt;0),ROUNDDOWN(ROUND(BV46,6),0)&amp;"%"&amp;IF(CL46="",""," / "&amp;CL46&amp;"%"),IF(AND(N(BU46)&gt;=99.95,CL46&lt;&gt;"",N(CL46)&lt;100),"Pend. "&amp;CL46&amp;"%",""))))</f>
        <v/>
      </c>
      <c r="AP46" s="40" t="str">
        <f aca="false">IF(OR(OR(NOT(AND(ISNUMBER(E46),ISNUMBER(F46))),$J$2=""),4&gt;MAX(1,Reprogramaciones!$U$15)),"",IF(Reprogramaciones!N$12&gt;=7,"",IF(OR(BW46-N(BV46)&gt;0.05,N(T46)&gt;0),ROUNDDOWN(ROUND(BW46,6),0)&amp;"%"&amp;IF(CM46="",""," / "&amp;CM46&amp;"%"),IF(AND(N(BV46)&gt;=99.95,CM46&lt;&gt;"",N(CM46)&lt;100),"Pend. "&amp;CM46&amp;"%",""))))</f>
        <v/>
      </c>
      <c r="AQ46" s="40" t="str">
        <f aca="false">IF(OR(OR(NOT(AND(ISNUMBER(E46),ISNUMBER(F46))),$J$2=""),5&gt;MAX(1,Reprogramaciones!$U$15)),"",IF(Reprogramaciones!O$12&gt;=7,"",IF(OR(BX46-N(BW46)&gt;0.05,N(U46)&gt;0),ROUNDDOWN(ROUND(BX46,6),0)&amp;"%"&amp;IF(CN46="",""," / "&amp;CN46&amp;"%"),IF(AND(N(BW46)&gt;=99.95,CN46&lt;&gt;"",N(CN46)&lt;100),"Pend. "&amp;CN46&amp;"%",""))))</f>
        <v/>
      </c>
      <c r="AR46" s="40" t="str">
        <f aca="false">IF(OR(OR(NOT(AND(ISNUMBER(E46),ISNUMBER(F46))),$J$2=""),6&gt;MAX(1,Reprogramaciones!$U$15)),"",IF(Reprogramaciones!P$12&gt;=7,"",IF(OR(BY46-N(BX46)&gt;0.05,N(V46)&gt;0),ROUNDDOWN(ROUND(BY46,6),0)&amp;"%"&amp;IF(CO46="",""," / "&amp;CO46&amp;"%"),IF(AND(N(BX46)&gt;=99.95,CO46&lt;&gt;"",N(CO46)&lt;100),"Pend. "&amp;CO46&amp;"%",""))))</f>
        <v/>
      </c>
      <c r="AS46" s="40" t="str">
        <f aca="false">IF(OR(OR(NOT(AND(ISNUMBER(E46),ISNUMBER(F46))),$J$2=""),7&gt;MAX(1,Reprogramaciones!$U$15)),"",IF(Reprogramaciones!Q$12&gt;=7,"",IF(OR(BZ46-N(BY46)&gt;0.05,N(W46)&gt;0),ROUNDDOWN(ROUND(BZ46,6),0)&amp;"%"&amp;IF(CP46="",""," / "&amp;CP46&amp;"%"),IF(AND(N(BY46)&gt;=99.95,CP46&lt;&gt;"",N(CP46)&lt;100),"Pend. "&amp;CP46&amp;"%",""))))</f>
        <v/>
      </c>
      <c r="AT46" s="40" t="str">
        <f aca="false">IF(OR(OR(NOT(AND(ISNUMBER(E46),ISNUMBER(F46))),$J$2=""),8&gt;MAX(1,Reprogramaciones!$U$15)),"",IF(Reprogramaciones!R$12&gt;=7,"",IF(OR(CA46-N(BZ46)&gt;0.05,N(X46)&gt;0),ROUNDDOWN(ROUND(CA46,6),0)&amp;"%"&amp;IF(CQ46="",""," / "&amp;CQ46&amp;"%"),IF(AND(N(BZ46)&gt;=99.95,CQ46&lt;&gt;"",N(CQ46)&lt;100),"Pend. "&amp;CQ46&amp;"%",""))))</f>
        <v/>
      </c>
      <c r="AU46" s="40" t="str">
        <f aca="false">IF(OR(OR(NOT(AND(ISNUMBER(E46),ISNUMBER(F46))),$J$2=""),9&gt;MAX(1,Reprogramaciones!$U$15)),"",IF(Reprogramaciones!S$12&gt;=7,"",IF(OR(CB46-N(CA46)&gt;0.05,N(Y46)&gt;0),ROUNDDOWN(ROUND(CB46,6),0)&amp;"%"&amp;IF(CR46="",""," / "&amp;CR46&amp;"%"),IF(AND(N(CA46)&gt;=99.95,CR46&lt;&gt;"",N(CR46)&lt;100),"Pend. "&amp;CR46&amp;"%",""))))</f>
        <v/>
      </c>
      <c r="AV46" s="40" t="str">
        <f aca="false">IF(OR(OR(NOT(AND(ISNUMBER(E46),ISNUMBER(F46))),$J$2=""),10&gt;MAX(1,Reprogramaciones!$U$15)),"",IF(Reprogramaciones!T$12&gt;=7,"",IF(OR(CC46-N(CB46)&gt;0.05,N(Z46)&gt;0),ROUNDDOWN(ROUND(CC46,6),0)&amp;"%"&amp;IF(CS46="",""," / "&amp;CS46&amp;"%"),IF(AND(N(CB46)&gt;=99.95,CS46&lt;&gt;"",N(CS46)&lt;100),"Pend. "&amp;CS46&amp;"%",""))))</f>
        <v/>
      </c>
      <c r="AW46" s="40" t="str">
        <f aca="false">IF(OR(OR(NOT(AND(ISNUMBER(E46),ISNUMBER(F46))),$J$2=""),11&gt;MAX(1,Reprogramaciones!$U$15)),"",IF(Reprogramaciones!U$12&gt;=7,"",IF(OR(CD46-N(CC46)&gt;0.05,N(AA46)&gt;0),ROUNDDOWN(ROUND(CD46,6),0)&amp;"%"&amp;IF(CT46="",""," / "&amp;CT46&amp;"%"),IF(AND(N(CC46)&gt;=99.95,CT46&lt;&gt;"",N(CT46)&lt;100),"Pend. "&amp;CT46&amp;"%",""))))</f>
        <v/>
      </c>
      <c r="AX46" s="40" t="str">
        <f aca="false">IF(OR(OR(NOT(AND(ISNUMBER(E46),ISNUMBER(F46))),$J$2=""),12&gt;MAX(1,Reprogramaciones!$U$15)),"",IF(Reprogramaciones!V$12&gt;=7,"",IF(OR(CE46-N(CD46)&gt;0.05,N(AB46)&gt;0),ROUNDDOWN(ROUND(CE46,6),0)&amp;"%"&amp;IF(CU46="",""," / "&amp;CU46&amp;"%"),IF(AND(N(CD46)&gt;=99.95,CU46&lt;&gt;"",N(CU46)&lt;100),"Pend. "&amp;CU46&amp;"%",""))))</f>
        <v/>
      </c>
      <c r="AY46" s="40" t="str">
        <f aca="false">IF(OR(OR(NOT(AND(ISNUMBER(E46),ISNUMBER(F46))),$J$2=""),13&gt;MAX(1,Reprogramaciones!$U$15)),"",IF(Reprogramaciones!W$12&gt;=7,"",IF(OR(CF46-N(CE46)&gt;0.05,N(AC46)&gt;0),ROUNDDOWN(ROUND(CF46,6),0)&amp;"%"&amp;IF(CV46="",""," / "&amp;CV46&amp;"%"),IF(AND(N(CE46)&gt;=99.95,CV46&lt;&gt;"",N(CV46)&lt;100),"Pend. "&amp;CV46&amp;"%",""))))</f>
        <v/>
      </c>
      <c r="AZ46" s="40" t="str">
        <f aca="false">IF(OR(OR(NOT(AND(ISNUMBER(E46),ISNUMBER(F46))),$J$2=""),14&gt;MAX(1,Reprogramaciones!$U$15)),"",IF(Reprogramaciones!X$12&gt;=7,"",IF(OR(CG46-N(CF46)&gt;0.05,N(AD46)&gt;0),ROUNDDOWN(ROUND(CG46,6),0)&amp;"%"&amp;IF(CW46="",""," / "&amp;CW46&amp;"%"),IF(AND(N(CF46)&gt;=99.95,CW46&lt;&gt;"",N(CW46)&lt;100),"Pend. "&amp;CW46&amp;"%",""))))</f>
        <v/>
      </c>
      <c r="BA46" s="40" t="str">
        <f aca="false">IF(OR(OR(NOT(AND(ISNUMBER(E46),ISNUMBER(F46))),$J$2=""),15&gt;MAX(1,Reprogramaciones!$U$15)),"",IF(Reprogramaciones!Y$12&gt;=7,"",IF(OR(CH46-N(CG46)&gt;0.05,N(AE46)&gt;0),ROUNDDOWN(ROUND(CH46,6),0)&amp;"%"&amp;IF(CX46="",""," / "&amp;CX46&amp;"%"),IF(AND(N(CG46)&gt;=99.95,CX46&lt;&gt;"",N(CX46)&lt;100),"Pend. "&amp;CX46&amp;"%",""))))</f>
        <v/>
      </c>
      <c r="BB46" s="40" t="str">
        <f aca="false">IF(OR(OR(NOT(AND(ISNUMBER(E46),ISNUMBER(F46))),$J$2=""),16&gt;MAX(1,Reprogramaciones!$U$15)),"",IF(Reprogramaciones!Z$12&gt;=7,"",IF(OR(CI46-N(CH46)&gt;0.05,N(AF46)&gt;0),ROUNDDOWN(ROUND(CI46,6),0)&amp;"%"&amp;IF(CY46="",""," / "&amp;CY46&amp;"%"),IF(AND(N(CH46)&gt;=99.95,CY46&lt;&gt;"",N(CY46)&lt;100),"Pend. "&amp;CY46&amp;"%",""))))</f>
        <v/>
      </c>
      <c r="BC46" s="31" t="n">
        <f aca="false">IF(AND(ISNUMBER(E46),ISNUMBER(F46)),MAX(1,NETWORKDAYS.INTL(E46,F46,11)),0)</f>
        <v>0</v>
      </c>
      <c r="BD46" s="1" t="str">
        <f aca="false">IF(OR(NOT(AND(ISNUMBER(E46),ISNUMBER(F46))),$J$2=""),"",MIN(100,ROUND(SUM($G46:G46),1)))</f>
        <v/>
      </c>
      <c r="BE46" s="1" t="str">
        <f aca="false">IF(OR(NOT(AND(ISNUMBER(E46),ISNUMBER(F46))),$J$2=""),"",MIN(100,ROUND(SUM($G46:H46),1)))</f>
        <v/>
      </c>
      <c r="BF46" s="1" t="str">
        <f aca="false">IF(OR(NOT(AND(ISNUMBER(E46),ISNUMBER(F46))),$J$2=""),"",MIN(100,ROUND(SUM($G46:I46),1)))</f>
        <v/>
      </c>
      <c r="BG46" s="1" t="str">
        <f aca="false">IF(OR(NOT(AND(ISNUMBER(E46),ISNUMBER(F46))),$J$2=""),"",MIN(100,ROUND(SUM($G46:J46),1)))</f>
        <v/>
      </c>
      <c r="BH46" s="1" t="str">
        <f aca="false">IF(OR(NOT(AND(ISNUMBER(E46),ISNUMBER(F46))),$J$2=""),"",MIN(100,ROUND(SUM($G46:K46),1)))</f>
        <v/>
      </c>
      <c r="BI46" s="1" t="str">
        <f aca="false">IF(OR(NOT(AND(ISNUMBER(E46),ISNUMBER(F46))),$J$2=""),"",MIN(100,ROUND(SUM($G46:L46),1)))</f>
        <v/>
      </c>
      <c r="BJ46" s="1" t="str">
        <f aca="false">IF(OR(NOT(AND(ISNUMBER(E46),ISNUMBER(F46))),$J$2=""),"",MIN(100,ROUND(SUM($G46:M46),1)))</f>
        <v/>
      </c>
      <c r="BK46" s="1" t="str">
        <f aca="false">IF(OR(NOT(AND(ISNUMBER(E46),ISNUMBER(F46))),$J$2=""),"",MIN(100,ROUND(SUM($G46:N46),1)))</f>
        <v/>
      </c>
      <c r="BL46" s="1" t="str">
        <f aca="false">IF(OR(NOT(AND(ISNUMBER(E46),ISNUMBER(F46))),$J$2=""),"",MIN(100,ROUND(SUM($G46:O46),1)))</f>
        <v/>
      </c>
      <c r="BM46" s="1" t="str">
        <f aca="false">IF(OR(NOT(AND(ISNUMBER(E46),ISNUMBER(F46))),$J$2=""),"",MIN(100,ROUND(SUM($G46:P46),1)))</f>
        <v/>
      </c>
      <c r="BN46" s="1" t="str">
        <f aca="false">IF(OR(NOT(AND(ISNUMBER(E46),ISNUMBER(F46))),$J$2=""),"",MIN(100,ROUND(SUM($G46:P46),1)))</f>
        <v/>
      </c>
      <c r="BO46" s="1" t="str">
        <f aca="false">IF(OR(NOT(AND(ISNUMBER(E46),ISNUMBER(F46))),$J$2=""),"",MIN(100,ROUND(SUM($G46:P46),1)))</f>
        <v/>
      </c>
      <c r="BP46" s="1" t="str">
        <f aca="false">IF(OR(NOT(AND(ISNUMBER(E46),ISNUMBER(F46))),$J$2=""),"",MIN(100,ROUND(SUM($G46:P46),1)))</f>
        <v/>
      </c>
      <c r="BQ46" s="1" t="str">
        <f aca="false">IF(OR(NOT(AND(ISNUMBER(E46),ISNUMBER(F46))),$J$2=""),"",MIN(100,ROUND(SUM($G46:P46),1)))</f>
        <v/>
      </c>
      <c r="BR46" s="1" t="str">
        <f aca="false">IF(OR(NOT(AND(ISNUMBER(E46),ISNUMBER(F46))),$J$2=""),"",MIN(100,ROUND(SUM($G46:P46),1)))</f>
        <v/>
      </c>
      <c r="BS46" s="1" t="str">
        <f aca="false">IF(OR(NOT(AND(ISNUMBER(E46),ISNUMBER(F46))),$J$2=""),"",MIN(100,ROUND(SUM($G46:P46),1)))</f>
        <v/>
      </c>
      <c r="BT46" s="1" t="str">
        <f aca="false">IF(OR(NOT(AND(ISNUMBER(E46),ISNUMBER(F46))),$J$2=""),"",IF(Reprogramaciones!K$13&lt;Reprogramaciones!$T$15,0,IF(Reprogramaciones!K$14&gt;10,MIN(100,SUM($G46:$P46)),MIN(100,SUMPRODUCT((COLUMN($G46:$P46)-COLUMN($G46)+1&lt;Reprogramaciones!K$14)*$G46:$P46)+N(INDEX($G46:$P46,1,Reprogramaciones!K$14))*IF(Reprogramaciones!K$13&gt;=(Reprogramaciones!$T$15+7*(Reprogramaciones!K$14-1))+6,1,IF(MAX(0,NETWORKDAYS.INTL(MAX(E46,(Reprogramaciones!$T$15+7*(Reprogramaciones!K$14-1))),MIN(F46,(Reprogramaciones!$T$15+7*(Reprogramaciones!K$14-1))+6),11))=0,0,MAX(0,NETWORKDAYS.INTL(MAX(E46,(Reprogramaciones!$T$15+7*(Reprogramaciones!K$14-1))),MIN(F46,Reprogramaciones!K$13),11))/MAX(0,NETWORKDAYS.INTL(MAX(E46,(Reprogramaciones!$T$15+7*(Reprogramaciones!K$14-1))),MIN(F46,(Reprogramaciones!$T$15+7*(Reprogramaciones!K$14-1))+6),11))))))))</f>
        <v/>
      </c>
      <c r="BU46" s="1" t="str">
        <f aca="false">IF(OR(NOT(AND(ISNUMBER(E46),ISNUMBER(F46))),$J$2=""),"",IF(Reprogramaciones!L$13&lt;Reprogramaciones!$T$15,0,IF(Reprogramaciones!L$14&gt;10,MIN(100,SUM($G46:$P46)),MIN(100,SUMPRODUCT((COLUMN($G46:$P46)-COLUMN($G46)+1&lt;Reprogramaciones!L$14)*$G46:$P46)+N(INDEX($G46:$P46,1,Reprogramaciones!L$14))*IF(Reprogramaciones!L$13&gt;=(Reprogramaciones!$T$15+7*(Reprogramaciones!L$14-1))+6,1,IF(MAX(0,NETWORKDAYS.INTL(MAX(E46,(Reprogramaciones!$T$15+7*(Reprogramaciones!L$14-1))),MIN(F46,(Reprogramaciones!$T$15+7*(Reprogramaciones!L$14-1))+6),11))=0,0,MAX(0,NETWORKDAYS.INTL(MAX(E46,(Reprogramaciones!$T$15+7*(Reprogramaciones!L$14-1))),MIN(F46,Reprogramaciones!L$13),11))/MAX(0,NETWORKDAYS.INTL(MAX(E46,(Reprogramaciones!$T$15+7*(Reprogramaciones!L$14-1))),MIN(F46,(Reprogramaciones!$T$15+7*(Reprogramaciones!L$14-1))+6),11))))))))</f>
        <v/>
      </c>
      <c r="BV46" s="1" t="str">
        <f aca="false">IF(OR(NOT(AND(ISNUMBER(E46),ISNUMBER(F46))),$J$2=""),"",IF(Reprogramaciones!M$13&lt;Reprogramaciones!$T$15,0,IF(Reprogramaciones!M$14&gt;10,MIN(100,SUM($G46:$P46)),MIN(100,SUMPRODUCT((COLUMN($G46:$P46)-COLUMN($G46)+1&lt;Reprogramaciones!M$14)*$G46:$P46)+N(INDEX($G46:$P46,1,Reprogramaciones!M$14))*IF(Reprogramaciones!M$13&gt;=(Reprogramaciones!$T$15+7*(Reprogramaciones!M$14-1))+6,1,IF(MAX(0,NETWORKDAYS.INTL(MAX(E46,(Reprogramaciones!$T$15+7*(Reprogramaciones!M$14-1))),MIN(F46,(Reprogramaciones!$T$15+7*(Reprogramaciones!M$14-1))+6),11))=0,0,MAX(0,NETWORKDAYS.INTL(MAX(E46,(Reprogramaciones!$T$15+7*(Reprogramaciones!M$14-1))),MIN(F46,Reprogramaciones!M$13),11))/MAX(0,NETWORKDAYS.INTL(MAX(E46,(Reprogramaciones!$T$15+7*(Reprogramaciones!M$14-1))),MIN(F46,(Reprogramaciones!$T$15+7*(Reprogramaciones!M$14-1))+6),11))))))))</f>
        <v/>
      </c>
      <c r="BW46" s="1" t="str">
        <f aca="false">IF(OR(NOT(AND(ISNUMBER(E46),ISNUMBER(F46))),$J$2=""),"",IF(Reprogramaciones!N$13&lt;Reprogramaciones!$T$15,0,IF(Reprogramaciones!N$14&gt;10,MIN(100,SUM($G46:$P46)),MIN(100,SUMPRODUCT((COLUMN($G46:$P46)-COLUMN($G46)+1&lt;Reprogramaciones!N$14)*$G46:$P46)+N(INDEX($G46:$P46,1,Reprogramaciones!N$14))*IF(Reprogramaciones!N$13&gt;=(Reprogramaciones!$T$15+7*(Reprogramaciones!N$14-1))+6,1,IF(MAX(0,NETWORKDAYS.INTL(MAX(E46,(Reprogramaciones!$T$15+7*(Reprogramaciones!N$14-1))),MIN(F46,(Reprogramaciones!$T$15+7*(Reprogramaciones!N$14-1))+6),11))=0,0,MAX(0,NETWORKDAYS.INTL(MAX(E46,(Reprogramaciones!$T$15+7*(Reprogramaciones!N$14-1))),MIN(F46,Reprogramaciones!N$13),11))/MAX(0,NETWORKDAYS.INTL(MAX(E46,(Reprogramaciones!$T$15+7*(Reprogramaciones!N$14-1))),MIN(F46,(Reprogramaciones!$T$15+7*(Reprogramaciones!N$14-1))+6),11))))))))</f>
        <v/>
      </c>
      <c r="BX46" s="1" t="str">
        <f aca="false">IF(OR(NOT(AND(ISNUMBER(E46),ISNUMBER(F46))),$J$2=""),"",IF(Reprogramaciones!O$13&lt;Reprogramaciones!$T$15,0,IF(Reprogramaciones!O$14&gt;10,MIN(100,SUM($G46:$P46)),MIN(100,SUMPRODUCT((COLUMN($G46:$P46)-COLUMN($G46)+1&lt;Reprogramaciones!O$14)*$G46:$P46)+N(INDEX($G46:$P46,1,Reprogramaciones!O$14))*IF(Reprogramaciones!O$13&gt;=(Reprogramaciones!$T$15+7*(Reprogramaciones!O$14-1))+6,1,IF(MAX(0,NETWORKDAYS.INTL(MAX(E46,(Reprogramaciones!$T$15+7*(Reprogramaciones!O$14-1))),MIN(F46,(Reprogramaciones!$T$15+7*(Reprogramaciones!O$14-1))+6),11))=0,0,MAX(0,NETWORKDAYS.INTL(MAX(E46,(Reprogramaciones!$T$15+7*(Reprogramaciones!O$14-1))),MIN(F46,Reprogramaciones!O$13),11))/MAX(0,NETWORKDAYS.INTL(MAX(E46,(Reprogramaciones!$T$15+7*(Reprogramaciones!O$14-1))),MIN(F46,(Reprogramaciones!$T$15+7*(Reprogramaciones!O$14-1))+6),11))))))))</f>
        <v/>
      </c>
      <c r="BY46" s="1" t="str">
        <f aca="false">IF(OR(NOT(AND(ISNUMBER(E46),ISNUMBER(F46))),$J$2=""),"",IF(Reprogramaciones!P$13&lt;Reprogramaciones!$T$15,0,IF(Reprogramaciones!P$14&gt;10,MIN(100,SUM($G46:$P46)),MIN(100,SUMPRODUCT((COLUMN($G46:$P46)-COLUMN($G46)+1&lt;Reprogramaciones!P$14)*$G46:$P46)+N(INDEX($G46:$P46,1,Reprogramaciones!P$14))*IF(Reprogramaciones!P$13&gt;=(Reprogramaciones!$T$15+7*(Reprogramaciones!P$14-1))+6,1,IF(MAX(0,NETWORKDAYS.INTL(MAX(E46,(Reprogramaciones!$T$15+7*(Reprogramaciones!P$14-1))),MIN(F46,(Reprogramaciones!$T$15+7*(Reprogramaciones!P$14-1))+6),11))=0,0,MAX(0,NETWORKDAYS.INTL(MAX(E46,(Reprogramaciones!$T$15+7*(Reprogramaciones!P$14-1))),MIN(F46,Reprogramaciones!P$13),11))/MAX(0,NETWORKDAYS.INTL(MAX(E46,(Reprogramaciones!$T$15+7*(Reprogramaciones!P$14-1))),MIN(F46,(Reprogramaciones!$T$15+7*(Reprogramaciones!P$14-1))+6),11))))))))</f>
        <v/>
      </c>
      <c r="BZ46" s="1" t="str">
        <f aca="false">IF(OR(NOT(AND(ISNUMBER(E46),ISNUMBER(F46))),$J$2=""),"",IF(Reprogramaciones!Q$13&lt;Reprogramaciones!$T$15,0,IF(Reprogramaciones!Q$14&gt;10,MIN(100,SUM($G46:$P46)),MIN(100,SUMPRODUCT((COLUMN($G46:$P46)-COLUMN($G46)+1&lt;Reprogramaciones!Q$14)*$G46:$P46)+N(INDEX($G46:$P46,1,Reprogramaciones!Q$14))*IF(Reprogramaciones!Q$13&gt;=(Reprogramaciones!$T$15+7*(Reprogramaciones!Q$14-1))+6,1,IF(MAX(0,NETWORKDAYS.INTL(MAX(E46,(Reprogramaciones!$T$15+7*(Reprogramaciones!Q$14-1))),MIN(F46,(Reprogramaciones!$T$15+7*(Reprogramaciones!Q$14-1))+6),11))=0,0,MAX(0,NETWORKDAYS.INTL(MAX(E46,(Reprogramaciones!$T$15+7*(Reprogramaciones!Q$14-1))),MIN(F46,Reprogramaciones!Q$13),11))/MAX(0,NETWORKDAYS.INTL(MAX(E46,(Reprogramaciones!$T$15+7*(Reprogramaciones!Q$14-1))),MIN(F46,(Reprogramaciones!$T$15+7*(Reprogramaciones!Q$14-1))+6),11))))))))</f>
        <v/>
      </c>
      <c r="CA46" s="1" t="str">
        <f aca="false">IF(OR(NOT(AND(ISNUMBER(E46),ISNUMBER(F46))),$J$2=""),"",IF(Reprogramaciones!R$13&lt;Reprogramaciones!$T$15,0,IF(Reprogramaciones!R$14&gt;10,MIN(100,SUM($G46:$P46)),MIN(100,SUMPRODUCT((COLUMN($G46:$P46)-COLUMN($G46)+1&lt;Reprogramaciones!R$14)*$G46:$P46)+N(INDEX($G46:$P46,1,Reprogramaciones!R$14))*IF(Reprogramaciones!R$13&gt;=(Reprogramaciones!$T$15+7*(Reprogramaciones!R$14-1))+6,1,IF(MAX(0,NETWORKDAYS.INTL(MAX(E46,(Reprogramaciones!$T$15+7*(Reprogramaciones!R$14-1))),MIN(F46,(Reprogramaciones!$T$15+7*(Reprogramaciones!R$14-1))+6),11))=0,0,MAX(0,NETWORKDAYS.INTL(MAX(E46,(Reprogramaciones!$T$15+7*(Reprogramaciones!R$14-1))),MIN(F46,Reprogramaciones!R$13),11))/MAX(0,NETWORKDAYS.INTL(MAX(E46,(Reprogramaciones!$T$15+7*(Reprogramaciones!R$14-1))),MIN(F46,(Reprogramaciones!$T$15+7*(Reprogramaciones!R$14-1))+6),11))))))))</f>
        <v/>
      </c>
      <c r="CB46" s="1" t="str">
        <f aca="false">IF(OR(NOT(AND(ISNUMBER(E46),ISNUMBER(F46))),$J$2=""),"",IF(Reprogramaciones!S$13&lt;Reprogramaciones!$T$15,0,IF(Reprogramaciones!S$14&gt;10,MIN(100,SUM($G46:$P46)),MIN(100,SUMPRODUCT((COLUMN($G46:$P46)-COLUMN($G46)+1&lt;Reprogramaciones!S$14)*$G46:$P46)+N(INDEX($G46:$P46,1,Reprogramaciones!S$14))*IF(Reprogramaciones!S$13&gt;=(Reprogramaciones!$T$15+7*(Reprogramaciones!S$14-1))+6,1,IF(MAX(0,NETWORKDAYS.INTL(MAX(E46,(Reprogramaciones!$T$15+7*(Reprogramaciones!S$14-1))),MIN(F46,(Reprogramaciones!$T$15+7*(Reprogramaciones!S$14-1))+6),11))=0,0,MAX(0,NETWORKDAYS.INTL(MAX(E46,(Reprogramaciones!$T$15+7*(Reprogramaciones!S$14-1))),MIN(F46,Reprogramaciones!S$13),11))/MAX(0,NETWORKDAYS.INTL(MAX(E46,(Reprogramaciones!$T$15+7*(Reprogramaciones!S$14-1))),MIN(F46,(Reprogramaciones!$T$15+7*(Reprogramaciones!S$14-1))+6),11))))))))</f>
        <v/>
      </c>
      <c r="CC46" s="1" t="str">
        <f aca="false">IF(OR(NOT(AND(ISNUMBER(E46),ISNUMBER(F46))),$J$2=""),"",IF(Reprogramaciones!T$13&lt;Reprogramaciones!$T$15,0,IF(Reprogramaciones!T$14&gt;10,MIN(100,SUM($G46:$P46)),MIN(100,SUMPRODUCT((COLUMN($G46:$P46)-COLUMN($G46)+1&lt;Reprogramaciones!T$14)*$G46:$P46)+N(INDEX($G46:$P46,1,Reprogramaciones!T$14))*IF(Reprogramaciones!T$13&gt;=(Reprogramaciones!$T$15+7*(Reprogramaciones!T$14-1))+6,1,IF(MAX(0,NETWORKDAYS.INTL(MAX(E46,(Reprogramaciones!$T$15+7*(Reprogramaciones!T$14-1))),MIN(F46,(Reprogramaciones!$T$15+7*(Reprogramaciones!T$14-1))+6),11))=0,0,MAX(0,NETWORKDAYS.INTL(MAX(E46,(Reprogramaciones!$T$15+7*(Reprogramaciones!T$14-1))),MIN(F46,Reprogramaciones!T$13),11))/MAX(0,NETWORKDAYS.INTL(MAX(E46,(Reprogramaciones!$T$15+7*(Reprogramaciones!T$14-1))),MIN(F46,(Reprogramaciones!$T$15+7*(Reprogramaciones!T$14-1))+6),11))))))))</f>
        <v/>
      </c>
      <c r="CD46" s="1" t="str">
        <f aca="false">IF(OR(NOT(AND(ISNUMBER(E46),ISNUMBER(F46))),$J$2=""),"",IF(Reprogramaciones!U$13&lt;Reprogramaciones!$T$15,0,IF(Reprogramaciones!U$14&gt;10,MIN(100,SUM($G46:$P46)),MIN(100,SUMPRODUCT((COLUMN($G46:$P46)-COLUMN($G46)+1&lt;Reprogramaciones!U$14)*$G46:$P46)+N(INDEX($G46:$P46,1,Reprogramaciones!U$14))*IF(Reprogramaciones!U$13&gt;=(Reprogramaciones!$T$15+7*(Reprogramaciones!U$14-1))+6,1,IF(MAX(0,NETWORKDAYS.INTL(MAX(E46,(Reprogramaciones!$T$15+7*(Reprogramaciones!U$14-1))),MIN(F46,(Reprogramaciones!$T$15+7*(Reprogramaciones!U$14-1))+6),11))=0,0,MAX(0,NETWORKDAYS.INTL(MAX(E46,(Reprogramaciones!$T$15+7*(Reprogramaciones!U$14-1))),MIN(F46,Reprogramaciones!U$13),11))/MAX(0,NETWORKDAYS.INTL(MAX(E46,(Reprogramaciones!$T$15+7*(Reprogramaciones!U$14-1))),MIN(F46,(Reprogramaciones!$T$15+7*(Reprogramaciones!U$14-1))+6),11))))))))</f>
        <v/>
      </c>
      <c r="CE46" s="1" t="str">
        <f aca="false">IF(OR(NOT(AND(ISNUMBER(E46),ISNUMBER(F46))),$J$2=""),"",IF(Reprogramaciones!V$13&lt;Reprogramaciones!$T$15,0,IF(Reprogramaciones!V$14&gt;10,MIN(100,SUM($G46:$P46)),MIN(100,SUMPRODUCT((COLUMN($G46:$P46)-COLUMN($G46)+1&lt;Reprogramaciones!V$14)*$G46:$P46)+N(INDEX($G46:$P46,1,Reprogramaciones!V$14))*IF(Reprogramaciones!V$13&gt;=(Reprogramaciones!$T$15+7*(Reprogramaciones!V$14-1))+6,1,IF(MAX(0,NETWORKDAYS.INTL(MAX(E46,(Reprogramaciones!$T$15+7*(Reprogramaciones!V$14-1))),MIN(F46,(Reprogramaciones!$T$15+7*(Reprogramaciones!V$14-1))+6),11))=0,0,MAX(0,NETWORKDAYS.INTL(MAX(E46,(Reprogramaciones!$T$15+7*(Reprogramaciones!V$14-1))),MIN(F46,Reprogramaciones!V$13),11))/MAX(0,NETWORKDAYS.INTL(MAX(E46,(Reprogramaciones!$T$15+7*(Reprogramaciones!V$14-1))),MIN(F46,(Reprogramaciones!$T$15+7*(Reprogramaciones!V$14-1))+6),11))))))))</f>
        <v/>
      </c>
      <c r="CF46" s="1" t="str">
        <f aca="false">IF(OR(NOT(AND(ISNUMBER(E46),ISNUMBER(F46))),$J$2=""),"",IF(Reprogramaciones!W$13&lt;Reprogramaciones!$T$15,0,IF(Reprogramaciones!W$14&gt;10,MIN(100,SUM($G46:$P46)),MIN(100,SUMPRODUCT((COLUMN($G46:$P46)-COLUMN($G46)+1&lt;Reprogramaciones!W$14)*$G46:$P46)+N(INDEX($G46:$P46,1,Reprogramaciones!W$14))*IF(Reprogramaciones!W$13&gt;=(Reprogramaciones!$T$15+7*(Reprogramaciones!W$14-1))+6,1,IF(MAX(0,NETWORKDAYS.INTL(MAX(E46,(Reprogramaciones!$T$15+7*(Reprogramaciones!W$14-1))),MIN(F46,(Reprogramaciones!$T$15+7*(Reprogramaciones!W$14-1))+6),11))=0,0,MAX(0,NETWORKDAYS.INTL(MAX(E46,(Reprogramaciones!$T$15+7*(Reprogramaciones!W$14-1))),MIN(F46,Reprogramaciones!W$13),11))/MAX(0,NETWORKDAYS.INTL(MAX(E46,(Reprogramaciones!$T$15+7*(Reprogramaciones!W$14-1))),MIN(F46,(Reprogramaciones!$T$15+7*(Reprogramaciones!W$14-1))+6),11))))))))</f>
        <v/>
      </c>
      <c r="CG46" s="1" t="str">
        <f aca="false">IF(OR(NOT(AND(ISNUMBER(E46),ISNUMBER(F46))),$J$2=""),"",IF(Reprogramaciones!X$13&lt;Reprogramaciones!$T$15,0,IF(Reprogramaciones!X$14&gt;10,MIN(100,SUM($G46:$P46)),MIN(100,SUMPRODUCT((COLUMN($G46:$P46)-COLUMN($G46)+1&lt;Reprogramaciones!X$14)*$G46:$P46)+N(INDEX($G46:$P46,1,Reprogramaciones!X$14))*IF(Reprogramaciones!X$13&gt;=(Reprogramaciones!$T$15+7*(Reprogramaciones!X$14-1))+6,1,IF(MAX(0,NETWORKDAYS.INTL(MAX(E46,(Reprogramaciones!$T$15+7*(Reprogramaciones!X$14-1))),MIN(F46,(Reprogramaciones!$T$15+7*(Reprogramaciones!X$14-1))+6),11))=0,0,MAX(0,NETWORKDAYS.INTL(MAX(E46,(Reprogramaciones!$T$15+7*(Reprogramaciones!X$14-1))),MIN(F46,Reprogramaciones!X$13),11))/MAX(0,NETWORKDAYS.INTL(MAX(E46,(Reprogramaciones!$T$15+7*(Reprogramaciones!X$14-1))),MIN(F46,(Reprogramaciones!$T$15+7*(Reprogramaciones!X$14-1))+6),11))))))))</f>
        <v/>
      </c>
      <c r="CH46" s="1" t="str">
        <f aca="false">IF(OR(NOT(AND(ISNUMBER(E46),ISNUMBER(F46))),$J$2=""),"",IF(Reprogramaciones!Y$13&lt;Reprogramaciones!$T$15,0,IF(Reprogramaciones!Y$14&gt;10,MIN(100,SUM($G46:$P46)),MIN(100,SUMPRODUCT((COLUMN($G46:$P46)-COLUMN($G46)+1&lt;Reprogramaciones!Y$14)*$G46:$P46)+N(INDEX($G46:$P46,1,Reprogramaciones!Y$14))*IF(Reprogramaciones!Y$13&gt;=(Reprogramaciones!$T$15+7*(Reprogramaciones!Y$14-1))+6,1,IF(MAX(0,NETWORKDAYS.INTL(MAX(E46,(Reprogramaciones!$T$15+7*(Reprogramaciones!Y$14-1))),MIN(F46,(Reprogramaciones!$T$15+7*(Reprogramaciones!Y$14-1))+6),11))=0,0,MAX(0,NETWORKDAYS.INTL(MAX(E46,(Reprogramaciones!$T$15+7*(Reprogramaciones!Y$14-1))),MIN(F46,Reprogramaciones!Y$13),11))/MAX(0,NETWORKDAYS.INTL(MAX(E46,(Reprogramaciones!$T$15+7*(Reprogramaciones!Y$14-1))),MIN(F46,(Reprogramaciones!$T$15+7*(Reprogramaciones!Y$14-1))+6),11))))))))</f>
        <v/>
      </c>
      <c r="CI46" s="1" t="str">
        <f aca="false">IF(OR(NOT(AND(ISNUMBER(E46),ISNUMBER(F46))),$J$2=""),"",IF(Reprogramaciones!Z$13&lt;Reprogramaciones!$T$15,0,IF(Reprogramaciones!Z$14&gt;10,MIN(100,SUM($G46:$P46)),MIN(100,SUMPRODUCT((COLUMN($G46:$P46)-COLUMN($G46)+1&lt;Reprogramaciones!Z$14)*$G46:$P46)+N(INDEX($G46:$P46,1,Reprogramaciones!Z$14))*IF(Reprogramaciones!Z$13&gt;=(Reprogramaciones!$T$15+7*(Reprogramaciones!Z$14-1))+6,1,IF(MAX(0,NETWORKDAYS.INTL(MAX(E46,(Reprogramaciones!$T$15+7*(Reprogramaciones!Z$14-1))),MIN(F46,(Reprogramaciones!$T$15+7*(Reprogramaciones!Z$14-1))+6),11))=0,0,MAX(0,NETWORKDAYS.INTL(MAX(E46,(Reprogramaciones!$T$15+7*(Reprogramaciones!Z$14-1))),MIN(F46,Reprogramaciones!Z$13),11))/MAX(0,NETWORKDAYS.INTL(MAX(E46,(Reprogramaciones!$T$15+7*(Reprogramaciones!Z$14-1))),MIN(F46,(Reprogramaciones!$T$15+7*(Reprogramaciones!Z$14-1))+6),11))))))))</f>
        <v/>
      </c>
      <c r="CJ46" s="1" t="str">
        <f aca="false">IF(OR(OR(NOT(AND(ISNUMBER(E46),ISNUMBER(F46))),$J$2=""),1&gt;Reprogramaciones!$K$16),"",IF(ROUND(SUM($Q46:Q46),1)&gt;=99.5,100,MIN(100,ROUND(SUM($Q46:Q46),1))))</f>
        <v/>
      </c>
      <c r="CK46" s="1" t="str">
        <f aca="false">IF(OR(OR(NOT(AND(ISNUMBER(E46),ISNUMBER(F46))),$J$2=""),2&gt;Reprogramaciones!$K$16),"",IF(ROUND(SUM($Q46:R46),1)&gt;=99.5,100,MIN(100,ROUND(SUM($Q46:R46),1))))</f>
        <v/>
      </c>
      <c r="CL46" s="1" t="str">
        <f aca="false">IF(OR(OR(NOT(AND(ISNUMBER(E46),ISNUMBER(F46))),$J$2=""),3&gt;Reprogramaciones!$K$16),"",IF(ROUND(SUM($Q46:S46),1)&gt;=99.5,100,MIN(100,ROUND(SUM($Q46:S46),1))))</f>
        <v/>
      </c>
      <c r="CM46" s="1" t="str">
        <f aca="false">IF(OR(OR(NOT(AND(ISNUMBER(E46),ISNUMBER(F46))),$J$2=""),4&gt;Reprogramaciones!$K$16),"",IF(ROUND(SUM($Q46:T46),1)&gt;=99.5,100,MIN(100,ROUND(SUM($Q46:T46),1))))</f>
        <v/>
      </c>
      <c r="CN46" s="1" t="str">
        <f aca="false">IF(OR(OR(NOT(AND(ISNUMBER(E46),ISNUMBER(F46))),$J$2=""),5&gt;Reprogramaciones!$K$16),"",IF(ROUND(SUM($Q46:U46),1)&gt;=99.5,100,MIN(100,ROUND(SUM($Q46:U46),1))))</f>
        <v/>
      </c>
      <c r="CO46" s="1" t="str">
        <f aca="false">IF(OR(OR(NOT(AND(ISNUMBER(E46),ISNUMBER(F46))),$J$2=""),6&gt;Reprogramaciones!$K$16),"",IF(ROUND(SUM($Q46:V46),1)&gt;=99.5,100,MIN(100,ROUND(SUM($Q46:V46),1))))</f>
        <v/>
      </c>
      <c r="CP46" s="1" t="str">
        <f aca="false">IF(OR(OR(NOT(AND(ISNUMBER(E46),ISNUMBER(F46))),$J$2=""),7&gt;Reprogramaciones!$K$16),"",IF(ROUND(SUM($Q46:W46),1)&gt;=99.5,100,MIN(100,ROUND(SUM($Q46:W46),1))))</f>
        <v/>
      </c>
      <c r="CQ46" s="1" t="str">
        <f aca="false">IF(OR(OR(NOT(AND(ISNUMBER(E46),ISNUMBER(F46))),$J$2=""),8&gt;Reprogramaciones!$K$16),"",IF(ROUND(SUM($Q46:X46),1)&gt;=99.5,100,MIN(100,ROUND(SUM($Q46:X46),1))))</f>
        <v/>
      </c>
      <c r="CR46" s="1" t="str">
        <f aca="false">IF(OR(OR(NOT(AND(ISNUMBER(E46),ISNUMBER(F46))),$J$2=""),9&gt;Reprogramaciones!$K$16),"",IF(ROUND(SUM($Q46:Y46),1)&gt;=99.5,100,MIN(100,ROUND(SUM($Q46:Y46),1))))</f>
        <v/>
      </c>
      <c r="CS46" s="1" t="str">
        <f aca="false">IF(OR(OR(NOT(AND(ISNUMBER(E46),ISNUMBER(F46))),$J$2=""),10&gt;Reprogramaciones!$K$16),"",IF(ROUND(SUM($Q46:Z46),1)&gt;=99.5,100,MIN(100,ROUND(SUM($Q46:Z46),1))))</f>
        <v/>
      </c>
      <c r="CT46" s="1" t="str">
        <f aca="false">IF(OR(OR(NOT(AND(ISNUMBER(E46),ISNUMBER(F46))),$J$2=""),11&gt;Reprogramaciones!$K$16),"",IF(ROUND(SUM($Q46:AA46),1)&gt;=99.5,100,MIN(100,ROUND(SUM($Q46:AA46),1))))</f>
        <v/>
      </c>
      <c r="CU46" s="1" t="str">
        <f aca="false">IF(OR(OR(NOT(AND(ISNUMBER(E46),ISNUMBER(F46))),$J$2=""),12&gt;Reprogramaciones!$K$16),"",IF(ROUND(SUM($Q46:AB46),1)&gt;=99.5,100,MIN(100,ROUND(SUM($Q46:AB46),1))))</f>
        <v/>
      </c>
      <c r="CV46" s="1" t="str">
        <f aca="false">IF(OR(OR(NOT(AND(ISNUMBER(E46),ISNUMBER(F46))),$J$2=""),13&gt;Reprogramaciones!$K$16),"",IF(ROUND(SUM($Q46:AC46),1)&gt;=99.5,100,MIN(100,ROUND(SUM($Q46:AC46),1))))</f>
        <v/>
      </c>
      <c r="CW46" s="1" t="str">
        <f aca="false">IF(OR(OR(NOT(AND(ISNUMBER(E46),ISNUMBER(F46))),$J$2=""),14&gt;Reprogramaciones!$K$16),"",IF(ROUND(SUM($Q46:AD46),1)&gt;=99.5,100,MIN(100,ROUND(SUM($Q46:AD46),1))))</f>
        <v/>
      </c>
      <c r="CX46" s="1" t="str">
        <f aca="false">IF(OR(OR(NOT(AND(ISNUMBER(E46),ISNUMBER(F46))),$J$2=""),15&gt;Reprogramaciones!$K$16),"",IF(ROUND(SUM($Q46:AE46),1)&gt;=99.5,100,MIN(100,ROUND(SUM($Q46:AE46),1))))</f>
        <v/>
      </c>
      <c r="CY46" s="1" t="str">
        <f aca="false">IF(OR(OR(NOT(AND(ISNUMBER(E46),ISNUMBER(F46))),$J$2=""),16&gt;Reprogramaciones!$K$16),"",IF(ROUND(SUM($Q46:AF46),1)&gt;=99.5,100,MIN(100,ROUND(SUM($Q46:AF46),1))))</f>
        <v/>
      </c>
      <c r="CZ46" s="1" t="str">
        <f aca="false">IF(D46&lt;&gt;"",D46,IF(B46&lt;&gt;"","Contractual",CZ45))</f>
        <v>Contractual</v>
      </c>
      <c r="DA46" s="1" t="str">
        <f aca="false">IF(OR(NOT(AND(ISNUMBER(E46),ISNUMBER(F46))),$J$2=""),"",IF(Reprogramaciones!$Q$15&lt;Reprogramaciones!$T$15,0,IF(Reprogramaciones!$S$15&gt;10,MIN(100,SUM($G46:$P46)),MIN(100,SUMPRODUCT((COLUMN($G46:$P46)-COLUMN($G46)+1&lt;Reprogramaciones!$S$15)*$G46:$P46)+N(INDEX($G46:$P46,1,Reprogramaciones!$S$15))*IF(Reprogramaciones!$Q$15&gt;=(Reprogramaciones!$T$15+7*(Reprogramaciones!$S$15-1))+6,1,IF(MAX(0,NETWORKDAYS.INTL(MAX(E46,(Reprogramaciones!$T$15+7*(Reprogramaciones!$S$15-1))),MIN(F46,(Reprogramaciones!$T$15+7*(Reprogramaciones!$S$15-1))+6),11))=0,0,MAX(0,NETWORKDAYS.INTL(MAX(E46,(Reprogramaciones!$T$15+7*(Reprogramaciones!$S$15-1))),MIN(F46,Reprogramaciones!$Q$15),11))/MAX(0,NETWORKDAYS.INTL(MAX(E46,(Reprogramaciones!$T$15+7*(Reprogramaciones!$S$15-1))),MIN(F46,(Reprogramaciones!$T$15+7*(Reprogramaciones!$S$15-1))+6),11))))))))</f>
        <v/>
      </c>
    </row>
    <row r="47" customFormat="false" ht="15" hidden="false" customHeight="false" outlineLevel="0" collapsed="false">
      <c r="A47" s="32" t="s">
        <v>235</v>
      </c>
      <c r="B47" s="33"/>
      <c r="C47" s="33" t="s">
        <v>236</v>
      </c>
      <c r="D47" s="34"/>
      <c r="E47" s="35" t="n">
        <v>46319</v>
      </c>
      <c r="F47" s="35" t="n">
        <v>46319</v>
      </c>
      <c r="G47" s="36" t="n">
        <f aca="false">IF(OR(NOT(AND(ISNUMBER(E47),ISNUMBER(F47))),$J$2=""),"",IF(Reprogramaciones!K$9&lt;E47,0,IF(NETWORKDAYS.INTL(E47,F47,11)=0,IF(Reprogramaciones!K$9&gt;=F47,100,0),ROUND(NETWORKDAYS.INTL(E47,MIN(F47,Reprogramaciones!K$9),11)/NETWORKDAYS.INTL(E47,F47,11)*100,1)))-0)</f>
        <v>0</v>
      </c>
      <c r="H47" s="36" t="n">
        <f aca="false">IF(OR(NOT(AND(ISNUMBER(E47),ISNUMBER(F47))),$J$2=""),"",IF(Reprogramaciones!L$9&lt;E47,0,IF(NETWORKDAYS.INTL(E47,F47,11)=0,IF(Reprogramaciones!L$9&gt;=F47,100,0),ROUND(NETWORKDAYS.INTL(E47,MIN(F47,Reprogramaciones!L$9),11)/NETWORKDAYS.INTL(E47,F47,11)*100,1)))-IF(Reprogramaciones!K$9&lt;E47,0,IF(NETWORKDAYS.INTL(E47,F47,11)=0,IF(Reprogramaciones!K$9&gt;=F47,100,0),ROUND(NETWORKDAYS.INTL(E47,MIN(F47,Reprogramaciones!K$9),11)/NETWORKDAYS.INTL(E47,F47,11)*100,1))))</f>
        <v>0</v>
      </c>
      <c r="I47" s="36" t="n">
        <f aca="false">IF(OR(NOT(AND(ISNUMBER(E47),ISNUMBER(F47))),$J$2=""),"",IF(Reprogramaciones!M$9&lt;E47,0,IF(NETWORKDAYS.INTL(E47,F47,11)=0,IF(Reprogramaciones!M$9&gt;=F47,100,0),ROUND(NETWORKDAYS.INTL(E47,MIN(F47,Reprogramaciones!M$9),11)/NETWORKDAYS.INTL(E47,F47,11)*100,1)))-IF(Reprogramaciones!L$9&lt;E47,0,IF(NETWORKDAYS.INTL(E47,F47,11)=0,IF(Reprogramaciones!L$9&gt;=F47,100,0),ROUND(NETWORKDAYS.INTL(E47,MIN(F47,Reprogramaciones!L$9),11)/NETWORKDAYS.INTL(E47,F47,11)*100,1))))</f>
        <v>0</v>
      </c>
      <c r="J47" s="36" t="n">
        <f aca="false">IF(OR(NOT(AND(ISNUMBER(E47),ISNUMBER(F47))),$J$2=""),"",IF(Reprogramaciones!N$9&lt;E47,0,IF(NETWORKDAYS.INTL(E47,F47,11)=0,IF(Reprogramaciones!N$9&gt;=F47,100,0),ROUND(NETWORKDAYS.INTL(E47,MIN(F47,Reprogramaciones!N$9),11)/NETWORKDAYS.INTL(E47,F47,11)*100,1)))-IF(Reprogramaciones!M$9&lt;E47,0,IF(NETWORKDAYS.INTL(E47,F47,11)=0,IF(Reprogramaciones!M$9&gt;=F47,100,0),ROUND(NETWORKDAYS.INTL(E47,MIN(F47,Reprogramaciones!M$9),11)/NETWORKDAYS.INTL(E47,F47,11)*100,1))))</f>
        <v>0</v>
      </c>
      <c r="K47" s="36" t="n">
        <f aca="false">IF(OR(NOT(AND(ISNUMBER(E47),ISNUMBER(F47))),$J$2=""),"",IF(Reprogramaciones!O$9&lt;E47,0,IF(NETWORKDAYS.INTL(E47,F47,11)=0,IF(Reprogramaciones!O$9&gt;=F47,100,0),ROUND(NETWORKDAYS.INTL(E47,MIN(F47,Reprogramaciones!O$9),11)/NETWORKDAYS.INTL(E47,F47,11)*100,1)))-IF(Reprogramaciones!N$9&lt;E47,0,IF(NETWORKDAYS.INTL(E47,F47,11)=0,IF(Reprogramaciones!N$9&gt;=F47,100,0),ROUND(NETWORKDAYS.INTL(E47,MIN(F47,Reprogramaciones!N$9),11)/NETWORKDAYS.INTL(E47,F47,11)*100,1))))</f>
        <v>100</v>
      </c>
      <c r="L47" s="36" t="n">
        <f aca="false">IF(OR(NOT(AND(ISNUMBER(E47),ISNUMBER(F47))),$J$2=""),"",IF(Reprogramaciones!P$9&lt;E47,0,IF(NETWORKDAYS.INTL(E47,F47,11)=0,IF(Reprogramaciones!P$9&gt;=F47,100,0),ROUND(NETWORKDAYS.INTL(E47,MIN(F47,Reprogramaciones!P$9),11)/NETWORKDAYS.INTL(E47,F47,11)*100,1)))-IF(Reprogramaciones!O$9&lt;E47,0,IF(NETWORKDAYS.INTL(E47,F47,11)=0,IF(Reprogramaciones!O$9&gt;=F47,100,0),ROUND(NETWORKDAYS.INTL(E47,MIN(F47,Reprogramaciones!O$9),11)/NETWORKDAYS.INTL(E47,F47,11)*100,1))))</f>
        <v>0</v>
      </c>
      <c r="M47" s="36" t="n">
        <f aca="false">IF(OR(NOT(AND(ISNUMBER(E47),ISNUMBER(F47))),$J$2=""),"",IF(Reprogramaciones!Q$9&lt;E47,0,IF(NETWORKDAYS.INTL(E47,F47,11)=0,IF(Reprogramaciones!Q$9&gt;=F47,100,0),ROUND(NETWORKDAYS.INTL(E47,MIN(F47,Reprogramaciones!Q$9),11)/NETWORKDAYS.INTL(E47,F47,11)*100,1)))-IF(Reprogramaciones!P$9&lt;E47,0,IF(NETWORKDAYS.INTL(E47,F47,11)=0,IF(Reprogramaciones!P$9&gt;=F47,100,0),ROUND(NETWORKDAYS.INTL(E47,MIN(F47,Reprogramaciones!P$9),11)/NETWORKDAYS.INTL(E47,F47,11)*100,1))))</f>
        <v>0</v>
      </c>
      <c r="N47" s="36" t="n">
        <f aca="false">IF(OR(NOT(AND(ISNUMBER(E47),ISNUMBER(F47))),$J$2=""),"",IF(Reprogramaciones!R$9&lt;E47,0,IF(NETWORKDAYS.INTL(E47,F47,11)=0,IF(Reprogramaciones!R$9&gt;=F47,100,0),ROUND(NETWORKDAYS.INTL(E47,MIN(F47,Reprogramaciones!R$9),11)/NETWORKDAYS.INTL(E47,F47,11)*100,1)))-IF(Reprogramaciones!Q$9&lt;E47,0,IF(NETWORKDAYS.INTL(E47,F47,11)=0,IF(Reprogramaciones!Q$9&gt;=F47,100,0),ROUND(NETWORKDAYS.INTL(E47,MIN(F47,Reprogramaciones!Q$9),11)/NETWORKDAYS.INTL(E47,F47,11)*100,1))))</f>
        <v>0</v>
      </c>
      <c r="O47" s="36" t="n">
        <f aca="false">IF(OR(NOT(AND(ISNUMBER(E47),ISNUMBER(F47))),$J$2=""),"",IF(Reprogramaciones!S$9&lt;E47,0,IF(NETWORKDAYS.INTL(E47,F47,11)=0,IF(Reprogramaciones!S$9&gt;=F47,100,0),ROUND(NETWORKDAYS.INTL(E47,MIN(F47,Reprogramaciones!S$9),11)/NETWORKDAYS.INTL(E47,F47,11)*100,1)))-IF(Reprogramaciones!R$9&lt;E47,0,IF(NETWORKDAYS.INTL(E47,F47,11)=0,IF(Reprogramaciones!R$9&gt;=F47,100,0),ROUND(NETWORKDAYS.INTL(E47,MIN(F47,Reprogramaciones!R$9),11)/NETWORKDAYS.INTL(E47,F47,11)*100,1))))</f>
        <v>0</v>
      </c>
      <c r="P47" s="36" t="n">
        <f aca="false">IF(OR(NOT(AND(ISNUMBER(E47),ISNUMBER(F47))),$J$2=""),"",IF(Reprogramaciones!T$9&lt;E47,0,IF(NETWORKDAYS.INTL(E47,F47,11)=0,IF(Reprogramaciones!T$9&gt;=F47,100,0),ROUND(NETWORKDAYS.INTL(E47,MIN(F47,Reprogramaciones!T$9),11)/NETWORKDAYS.INTL(E47,F47,11)*100,1)))-IF(Reprogramaciones!S$9&lt;E47,0,IF(NETWORKDAYS.INTL(E47,F47,11)=0,IF(Reprogramaciones!S$9&gt;=F47,100,0),ROUND(NETWORKDAYS.INTL(E47,MIN(F47,Reprogramaciones!S$9),11)/NETWORKDAYS.INTL(E47,F47,11)*100,1))))</f>
        <v>0</v>
      </c>
      <c r="Q47" s="37"/>
      <c r="R47" s="37"/>
      <c r="S47" s="37"/>
      <c r="T47" s="37"/>
      <c r="U47" s="37"/>
      <c r="V47" s="37"/>
      <c r="W47" s="37"/>
      <c r="X47" s="37"/>
      <c r="Y47" s="37"/>
      <c r="Z47" s="37"/>
      <c r="AA47" s="37"/>
      <c r="AB47" s="37"/>
      <c r="AC47" s="37"/>
      <c r="AD47" s="37"/>
      <c r="AE47" s="37"/>
      <c r="AF47" s="37"/>
      <c r="AG47" s="38" t="n">
        <f aca="false">IF(AND(ISNUMBER(E47),ISNUMBER(F47)),NETWORKDAYS.INTL(E47,F47,11),"")</f>
        <v>1</v>
      </c>
      <c r="AH47" s="38" t="n">
        <f aca="false">IF(OR(NOT(AND(ISNUMBER(E47),ISNUMBER(F47))),$J$2=""),"",IF(Reprogramaciones!$P$15&lt;Reprogramaciones!$T$15,0,IF(Reprogramaciones!$R$15&gt;10,MIN(100,SUM($G47:$P47)),MIN(100,SUMPRODUCT((COLUMN($G47:$P47)-COLUMN($G47)+1&lt;Reprogramaciones!$R$15)*$G47:$P47)+N(INDEX($G47:$P47,1,Reprogramaciones!$R$15))*IF(Reprogramaciones!$P$15&gt;=(Reprogramaciones!$T$15+7*(Reprogramaciones!$R$15-1))+6,1,IF(MAX(0,NETWORKDAYS.INTL(MAX(E47,(Reprogramaciones!$T$15+7*(Reprogramaciones!$R$15-1))),MIN(F47,(Reprogramaciones!$T$15+7*(Reprogramaciones!$R$15-1))+6),11))=0,0,MAX(0,NETWORKDAYS.INTL(MAX(E47,(Reprogramaciones!$T$15+7*(Reprogramaciones!$R$15-1))),MIN(F47,Reprogramaciones!$P$15),11))/MAX(0,NETWORKDAYS.INTL(MAX(E47,(Reprogramaciones!$T$15+7*(Reprogramaciones!$R$15-1))),MIN(F47,(Reprogramaciones!$T$15+7*(Reprogramaciones!$R$15-1))+6),11))))))))</f>
        <v>0</v>
      </c>
      <c r="AI47" s="38" t="str">
        <f aca="false">IF(COUNT($Q47:$AF47)=0,"",IF(ROUND(SUM($Q47:$AF47),1)&gt;=99.5,100,MIN(100,ROUND(SUM($Q47:$AF47),1))))</f>
        <v/>
      </c>
      <c r="AJ47" s="38" t="str">
        <f aca="false">IF(OR(AH47="",AI47=""),"",AI47-AH47)</f>
        <v/>
      </c>
      <c r="AK47" s="39" t="str">
        <f aca="true">IF(AH47="","",IF(OR(Ficha!$C$10="Suspendida",Ficha!$C$10="Cancelada"),Ficha!$C$10,IF(AND(AI47&lt;&gt;"",N(AI47)&gt;=100),"Completada",IF(AND(E47&gt;TODAY(),N(AI47)=0),"Por iniciar",IF(N(AI47)+0.5&lt;AH47,"Retrasada",IF(N(AI47)+0.5&lt;DA47,IF(Reprogramaciones!$K$15&gt;0,"Al día · Sem "&amp;Reprogramaciones!$K$15&amp;" en curso","Al día · en curso"),"A tiempo"))))))</f>
        <v>Por iniciar</v>
      </c>
      <c r="AL47" s="39" t="str">
        <f aca="true">IF(AND(A47="",AND(B47="",C47="",E47="",F47="",COUNT(Q47:AF47)=0)),"",IF(AND(B47="",C47="",E47="",F47="",COUNT(Q47:AF47)=0),"Falta la partida o subpartida",IF(AND(A47&lt;&gt;"",COUNTIF($A$6:$A$305,A47)&gt;1),"Ítem repetido",IF(AND(C47="",E47="",F47="",COUNT(Q47:AF47)=0),"Título de partida",IF(OR(E47="",F47=""),"Faltan fechas",IF(OR(ISTEXT(E47),ISTEXT(F47)),"Fecha escrita como texto: usa dd/mm/aaaa",IF(F47&lt;E47,"Fin antes del inicio",IF(IF($J$2="",FALSE(),OR(E47&lt;$J$2,F47&gt;Reprogramaciones!$T$15+69)),"Fuera de las 10 semanas",IF(ABS(SUM(G47:P47)-100)&gt;0.5,"La meta no suma 100%",IF(ROUND(SUM(Q47:AF47),1)&gt;100.5,"El avance pasa de 100%",IF(MIN(Q47:AF47)&lt;0,"Avance negativo",IF(COUNTA(Q47:AF47)&gt;COUNT(Q47:AF47),"Avance escrito como texto",IF(SUMPRODUCT((Q47:AF47&gt;0)*(Q47:AF47&lt;1))&gt;0,"Avance menor a 1: escribe 50, no 50%",IF(SUMPRODUCT(ISNUMBER(Q47:AF47)*(Reprogramaciones!$K$8:$Z$8&gt;TODAY()))&gt;0,"Avance en semana que aún no llega",IF(AND(N(Reprogramaciones!$E$21)&gt;0,F47&gt;Reprogramaciones!$E$21),"Pasa el fin de la obra: registra una reprogramación",IF(AND(N(Reprogramaciones!$E$21)&gt;0,SUMPRODUCT(ISNUMBER(Q47:AF47)*(Reprogramaciones!$K$8:$Z$8&gt;Reprogramaciones!$E$21))&gt;0),"Avance después del fin de la obra: registra una reprogramación por atraso","OK"))))))))))))))))</f>
        <v>OK</v>
      </c>
      <c r="AM47" s="40" t="str">
        <f aca="false">IF(OR(OR(NOT(AND(ISNUMBER(E47),ISNUMBER(F47))),$J$2=""),1&gt;MAX(1,Reprogramaciones!$U$15)),"",IF(Reprogramaciones!K$12&gt;=7,"",IF(OR(BT47-N(0)&gt;0.05,N(Q47)&gt;0),ROUNDDOWN(ROUND(BT47,6),0)&amp;"%"&amp;IF(CJ47="",""," / "&amp;CJ47&amp;"%"),IF(AND(N(0)&gt;=99.95,CJ47&lt;&gt;"",N(CJ47)&lt;100),"Pend. "&amp;CJ47&amp;"%",""))))</f>
        <v/>
      </c>
      <c r="AN47" s="40" t="str">
        <f aca="false">IF(OR(OR(NOT(AND(ISNUMBER(E47),ISNUMBER(F47))),$J$2=""),2&gt;MAX(1,Reprogramaciones!$U$15)),"",IF(Reprogramaciones!L$12&gt;=7,"",IF(OR(BU47-N(BT47)&gt;0.05,N(R47)&gt;0),ROUNDDOWN(ROUND(BU47,6),0)&amp;"%"&amp;IF(CK47="",""," / "&amp;CK47&amp;"%"),IF(AND(N(BT47)&gt;=99.95,CK47&lt;&gt;"",N(CK47)&lt;100),"Pend. "&amp;CK47&amp;"%",""))))</f>
        <v/>
      </c>
      <c r="AO47" s="40" t="str">
        <f aca="false">IF(OR(OR(NOT(AND(ISNUMBER(E47),ISNUMBER(F47))),$J$2=""),3&gt;MAX(1,Reprogramaciones!$U$15)),"",IF(Reprogramaciones!M$12&gt;=7,"",IF(OR(BV47-N(BU47)&gt;0.05,N(S47)&gt;0),ROUNDDOWN(ROUND(BV47,6),0)&amp;"%"&amp;IF(CL47="",""," / "&amp;CL47&amp;"%"),IF(AND(N(BU47)&gt;=99.95,CL47&lt;&gt;"",N(CL47)&lt;100),"Pend. "&amp;CL47&amp;"%",""))))</f>
        <v/>
      </c>
      <c r="AP47" s="40" t="str">
        <f aca="false">IF(OR(OR(NOT(AND(ISNUMBER(E47),ISNUMBER(F47))),$J$2=""),4&gt;MAX(1,Reprogramaciones!$U$15)),"",IF(Reprogramaciones!N$12&gt;=7,"",IF(OR(BW47-N(BV47)&gt;0.05,N(T47)&gt;0),ROUNDDOWN(ROUND(BW47,6),0)&amp;"%"&amp;IF(CM47="",""," / "&amp;CM47&amp;"%"),IF(AND(N(BV47)&gt;=99.95,CM47&lt;&gt;"",N(CM47)&lt;100),"Pend. "&amp;CM47&amp;"%",""))))</f>
        <v/>
      </c>
      <c r="AQ47" s="40" t="str">
        <f aca="false">IF(OR(OR(NOT(AND(ISNUMBER(E47),ISNUMBER(F47))),$J$2=""),5&gt;MAX(1,Reprogramaciones!$U$15)),"",IF(Reprogramaciones!O$12&gt;=7,"",IF(OR(BX47-N(BW47)&gt;0.05,N(U47)&gt;0),ROUNDDOWN(ROUND(BX47,6),0)&amp;"%"&amp;IF(CN47="",""," / "&amp;CN47&amp;"%"),IF(AND(N(BW47)&gt;=99.95,CN47&lt;&gt;"",N(CN47)&lt;100),"Pend. "&amp;CN47&amp;"%",""))))</f>
        <v>100% / 0%</v>
      </c>
      <c r="AR47" s="40" t="str">
        <f aca="false">IF(OR(OR(NOT(AND(ISNUMBER(E47),ISNUMBER(F47))),$J$2=""),6&gt;MAX(1,Reprogramaciones!$U$15)),"",IF(Reprogramaciones!P$12&gt;=7,"",IF(OR(BY47-N(BX47)&gt;0.05,N(V47)&gt;0),ROUNDDOWN(ROUND(BY47,6),0)&amp;"%"&amp;IF(CO47="",""," / "&amp;CO47&amp;"%"),IF(AND(N(BX47)&gt;=99.95,CO47&lt;&gt;"",N(CO47)&lt;100),"Pend. "&amp;CO47&amp;"%",""))))</f>
        <v/>
      </c>
      <c r="AS47" s="40" t="str">
        <f aca="false">IF(OR(OR(NOT(AND(ISNUMBER(E47),ISNUMBER(F47))),$J$2=""),7&gt;MAX(1,Reprogramaciones!$U$15)),"",IF(Reprogramaciones!Q$12&gt;=7,"",IF(OR(BZ47-N(BY47)&gt;0.05,N(W47)&gt;0),ROUNDDOWN(ROUND(BZ47,6),0)&amp;"%"&amp;IF(CP47="",""," / "&amp;CP47&amp;"%"),IF(AND(N(BY47)&gt;=99.95,CP47&lt;&gt;"",N(CP47)&lt;100),"Pend. "&amp;CP47&amp;"%",""))))</f>
        <v/>
      </c>
      <c r="AT47" s="40" t="str">
        <f aca="false">IF(OR(OR(NOT(AND(ISNUMBER(E47),ISNUMBER(F47))),$J$2=""),8&gt;MAX(1,Reprogramaciones!$U$15)),"",IF(Reprogramaciones!R$12&gt;=7,"",IF(OR(CA47-N(BZ47)&gt;0.05,N(X47)&gt;0),ROUNDDOWN(ROUND(CA47,6),0)&amp;"%"&amp;IF(CQ47="",""," / "&amp;CQ47&amp;"%"),IF(AND(N(BZ47)&gt;=99.95,CQ47&lt;&gt;"",N(CQ47)&lt;100),"Pend. "&amp;CQ47&amp;"%",""))))</f>
        <v/>
      </c>
      <c r="AU47" s="40" t="str">
        <f aca="false">IF(OR(OR(NOT(AND(ISNUMBER(E47),ISNUMBER(F47))),$J$2=""),9&gt;MAX(1,Reprogramaciones!$U$15)),"",IF(Reprogramaciones!S$12&gt;=7,"",IF(OR(CB47-N(CA47)&gt;0.05,N(Y47)&gt;0),ROUNDDOWN(ROUND(CB47,6),0)&amp;"%"&amp;IF(CR47="",""," / "&amp;CR47&amp;"%"),IF(AND(N(CA47)&gt;=99.95,CR47&lt;&gt;"",N(CR47)&lt;100),"Pend. "&amp;CR47&amp;"%",""))))</f>
        <v/>
      </c>
      <c r="AV47" s="40" t="str">
        <f aca="false">IF(OR(OR(NOT(AND(ISNUMBER(E47),ISNUMBER(F47))),$J$2=""),10&gt;MAX(1,Reprogramaciones!$U$15)),"",IF(Reprogramaciones!T$12&gt;=7,"",IF(OR(CC47-N(CB47)&gt;0.05,N(Z47)&gt;0),ROUNDDOWN(ROUND(CC47,6),0)&amp;"%"&amp;IF(CS47="",""," / "&amp;CS47&amp;"%"),IF(AND(N(CB47)&gt;=99.95,CS47&lt;&gt;"",N(CS47)&lt;100),"Pend. "&amp;CS47&amp;"%",""))))</f>
        <v/>
      </c>
      <c r="AW47" s="40" t="str">
        <f aca="false">IF(OR(OR(NOT(AND(ISNUMBER(E47),ISNUMBER(F47))),$J$2=""),11&gt;MAX(1,Reprogramaciones!$U$15)),"",IF(Reprogramaciones!U$12&gt;=7,"",IF(OR(CD47-N(CC47)&gt;0.05,N(AA47)&gt;0),ROUNDDOWN(ROUND(CD47,6),0)&amp;"%"&amp;IF(CT47="",""," / "&amp;CT47&amp;"%"),IF(AND(N(CC47)&gt;=99.95,CT47&lt;&gt;"",N(CT47)&lt;100),"Pend. "&amp;CT47&amp;"%",""))))</f>
        <v/>
      </c>
      <c r="AX47" s="40" t="str">
        <f aca="false">IF(OR(OR(NOT(AND(ISNUMBER(E47),ISNUMBER(F47))),$J$2=""),12&gt;MAX(1,Reprogramaciones!$U$15)),"",IF(Reprogramaciones!V$12&gt;=7,"",IF(OR(CE47-N(CD47)&gt;0.05,N(AB47)&gt;0),ROUNDDOWN(ROUND(CE47,6),0)&amp;"%"&amp;IF(CU47="",""," / "&amp;CU47&amp;"%"),IF(AND(N(CD47)&gt;=99.95,CU47&lt;&gt;"",N(CU47)&lt;100),"Pend. "&amp;CU47&amp;"%",""))))</f>
        <v/>
      </c>
      <c r="AY47" s="40" t="str">
        <f aca="false">IF(OR(OR(NOT(AND(ISNUMBER(E47),ISNUMBER(F47))),$J$2=""),13&gt;MAX(1,Reprogramaciones!$U$15)),"",IF(Reprogramaciones!W$12&gt;=7,"",IF(OR(CF47-N(CE47)&gt;0.05,N(AC47)&gt;0),ROUNDDOWN(ROUND(CF47,6),0)&amp;"%"&amp;IF(CV47="",""," / "&amp;CV47&amp;"%"),IF(AND(N(CE47)&gt;=99.95,CV47&lt;&gt;"",N(CV47)&lt;100),"Pend. "&amp;CV47&amp;"%",""))))</f>
        <v/>
      </c>
      <c r="AZ47" s="40" t="str">
        <f aca="false">IF(OR(OR(NOT(AND(ISNUMBER(E47),ISNUMBER(F47))),$J$2=""),14&gt;MAX(1,Reprogramaciones!$U$15)),"",IF(Reprogramaciones!X$12&gt;=7,"",IF(OR(CG47-N(CF47)&gt;0.05,N(AD47)&gt;0),ROUNDDOWN(ROUND(CG47,6),0)&amp;"%"&amp;IF(CW47="",""," / "&amp;CW47&amp;"%"),IF(AND(N(CF47)&gt;=99.95,CW47&lt;&gt;"",N(CW47)&lt;100),"Pend. "&amp;CW47&amp;"%",""))))</f>
        <v/>
      </c>
      <c r="BA47" s="40" t="str">
        <f aca="false">IF(OR(OR(NOT(AND(ISNUMBER(E47),ISNUMBER(F47))),$J$2=""),15&gt;MAX(1,Reprogramaciones!$U$15)),"",IF(Reprogramaciones!Y$12&gt;=7,"",IF(OR(CH47-N(CG47)&gt;0.05,N(AE47)&gt;0),ROUNDDOWN(ROUND(CH47,6),0)&amp;"%"&amp;IF(CX47="",""," / "&amp;CX47&amp;"%"),IF(AND(N(CG47)&gt;=99.95,CX47&lt;&gt;"",N(CX47)&lt;100),"Pend. "&amp;CX47&amp;"%",""))))</f>
        <v/>
      </c>
      <c r="BB47" s="40" t="str">
        <f aca="false">IF(OR(OR(NOT(AND(ISNUMBER(E47),ISNUMBER(F47))),$J$2=""),16&gt;MAX(1,Reprogramaciones!$U$15)),"",IF(Reprogramaciones!Z$12&gt;=7,"",IF(OR(CI47-N(CH47)&gt;0.05,N(AF47)&gt;0),ROUNDDOWN(ROUND(CI47,6),0)&amp;"%"&amp;IF(CY47="",""," / "&amp;CY47&amp;"%"),IF(AND(N(CH47)&gt;=99.95,CY47&lt;&gt;"",N(CY47)&lt;100),"Pend. "&amp;CY47&amp;"%",""))))</f>
        <v/>
      </c>
      <c r="BC47" s="31" t="n">
        <f aca="false">IF(AND(ISNUMBER(E47),ISNUMBER(F47)),MAX(1,NETWORKDAYS.INTL(E47,F47,11)),0)</f>
        <v>1</v>
      </c>
      <c r="BD47" s="1" t="n">
        <f aca="false">IF(OR(NOT(AND(ISNUMBER(E47),ISNUMBER(F47))),$J$2=""),"",MIN(100,ROUND(SUM($G47:G47),1)))</f>
        <v>0</v>
      </c>
      <c r="BE47" s="1" t="n">
        <f aca="false">IF(OR(NOT(AND(ISNUMBER(E47),ISNUMBER(F47))),$J$2=""),"",MIN(100,ROUND(SUM($G47:H47),1)))</f>
        <v>0</v>
      </c>
      <c r="BF47" s="1" t="n">
        <f aca="false">IF(OR(NOT(AND(ISNUMBER(E47),ISNUMBER(F47))),$J$2=""),"",MIN(100,ROUND(SUM($G47:I47),1)))</f>
        <v>0</v>
      </c>
      <c r="BG47" s="1" t="n">
        <f aca="false">IF(OR(NOT(AND(ISNUMBER(E47),ISNUMBER(F47))),$J$2=""),"",MIN(100,ROUND(SUM($G47:J47),1)))</f>
        <v>0</v>
      </c>
      <c r="BH47" s="1" t="n">
        <f aca="false">IF(OR(NOT(AND(ISNUMBER(E47),ISNUMBER(F47))),$J$2=""),"",MIN(100,ROUND(SUM($G47:K47),1)))</f>
        <v>100</v>
      </c>
      <c r="BI47" s="1" t="n">
        <f aca="false">IF(OR(NOT(AND(ISNUMBER(E47),ISNUMBER(F47))),$J$2=""),"",MIN(100,ROUND(SUM($G47:L47),1)))</f>
        <v>100</v>
      </c>
      <c r="BJ47" s="1" t="n">
        <f aca="false">IF(OR(NOT(AND(ISNUMBER(E47),ISNUMBER(F47))),$J$2=""),"",MIN(100,ROUND(SUM($G47:M47),1)))</f>
        <v>100</v>
      </c>
      <c r="BK47" s="1" t="n">
        <f aca="false">IF(OR(NOT(AND(ISNUMBER(E47),ISNUMBER(F47))),$J$2=""),"",MIN(100,ROUND(SUM($G47:N47),1)))</f>
        <v>100</v>
      </c>
      <c r="BL47" s="1" t="n">
        <f aca="false">IF(OR(NOT(AND(ISNUMBER(E47),ISNUMBER(F47))),$J$2=""),"",MIN(100,ROUND(SUM($G47:O47),1)))</f>
        <v>100</v>
      </c>
      <c r="BM47" s="1" t="n">
        <f aca="false">IF(OR(NOT(AND(ISNUMBER(E47),ISNUMBER(F47))),$J$2=""),"",MIN(100,ROUND(SUM($G47:P47),1)))</f>
        <v>100</v>
      </c>
      <c r="BN47" s="1" t="n">
        <f aca="false">IF(OR(NOT(AND(ISNUMBER(E47),ISNUMBER(F47))),$J$2=""),"",MIN(100,ROUND(SUM($G47:P47),1)))</f>
        <v>100</v>
      </c>
      <c r="BO47" s="1" t="n">
        <f aca="false">IF(OR(NOT(AND(ISNUMBER(E47),ISNUMBER(F47))),$J$2=""),"",MIN(100,ROUND(SUM($G47:P47),1)))</f>
        <v>100</v>
      </c>
      <c r="BP47" s="1" t="n">
        <f aca="false">IF(OR(NOT(AND(ISNUMBER(E47),ISNUMBER(F47))),$J$2=""),"",MIN(100,ROUND(SUM($G47:P47),1)))</f>
        <v>100</v>
      </c>
      <c r="BQ47" s="1" t="n">
        <f aca="false">IF(OR(NOT(AND(ISNUMBER(E47),ISNUMBER(F47))),$J$2=""),"",MIN(100,ROUND(SUM($G47:P47),1)))</f>
        <v>100</v>
      </c>
      <c r="BR47" s="1" t="n">
        <f aca="false">IF(OR(NOT(AND(ISNUMBER(E47),ISNUMBER(F47))),$J$2=""),"",MIN(100,ROUND(SUM($G47:P47),1)))</f>
        <v>100</v>
      </c>
      <c r="BS47" s="1" t="n">
        <f aca="false">IF(OR(NOT(AND(ISNUMBER(E47),ISNUMBER(F47))),$J$2=""),"",MIN(100,ROUND(SUM($G47:P47),1)))</f>
        <v>100</v>
      </c>
      <c r="BT47" s="1" t="n">
        <f aca="false">IF(OR(NOT(AND(ISNUMBER(E47),ISNUMBER(F47))),$J$2=""),"",IF(Reprogramaciones!K$13&lt;Reprogramaciones!$T$15,0,IF(Reprogramaciones!K$14&gt;10,MIN(100,SUM($G47:$P47)),MIN(100,SUMPRODUCT((COLUMN($G47:$P47)-COLUMN($G47)+1&lt;Reprogramaciones!K$14)*$G47:$P47)+N(INDEX($G47:$P47,1,Reprogramaciones!K$14))*IF(Reprogramaciones!K$13&gt;=(Reprogramaciones!$T$15+7*(Reprogramaciones!K$14-1))+6,1,IF(MAX(0,NETWORKDAYS.INTL(MAX(E47,(Reprogramaciones!$T$15+7*(Reprogramaciones!K$14-1))),MIN(F47,(Reprogramaciones!$T$15+7*(Reprogramaciones!K$14-1))+6),11))=0,0,MAX(0,NETWORKDAYS.INTL(MAX(E47,(Reprogramaciones!$T$15+7*(Reprogramaciones!K$14-1))),MIN(F47,Reprogramaciones!K$13),11))/MAX(0,NETWORKDAYS.INTL(MAX(E47,(Reprogramaciones!$T$15+7*(Reprogramaciones!K$14-1))),MIN(F47,(Reprogramaciones!$T$15+7*(Reprogramaciones!K$14-1))+6),11))))))))</f>
        <v>0</v>
      </c>
      <c r="BU47" s="1" t="n">
        <f aca="false">IF(OR(NOT(AND(ISNUMBER(E47),ISNUMBER(F47))),$J$2=""),"",IF(Reprogramaciones!L$13&lt;Reprogramaciones!$T$15,0,IF(Reprogramaciones!L$14&gt;10,MIN(100,SUM($G47:$P47)),MIN(100,SUMPRODUCT((COLUMN($G47:$P47)-COLUMN($G47)+1&lt;Reprogramaciones!L$14)*$G47:$P47)+N(INDEX($G47:$P47,1,Reprogramaciones!L$14))*IF(Reprogramaciones!L$13&gt;=(Reprogramaciones!$T$15+7*(Reprogramaciones!L$14-1))+6,1,IF(MAX(0,NETWORKDAYS.INTL(MAX(E47,(Reprogramaciones!$T$15+7*(Reprogramaciones!L$14-1))),MIN(F47,(Reprogramaciones!$T$15+7*(Reprogramaciones!L$14-1))+6),11))=0,0,MAX(0,NETWORKDAYS.INTL(MAX(E47,(Reprogramaciones!$T$15+7*(Reprogramaciones!L$14-1))),MIN(F47,Reprogramaciones!L$13),11))/MAX(0,NETWORKDAYS.INTL(MAX(E47,(Reprogramaciones!$T$15+7*(Reprogramaciones!L$14-1))),MIN(F47,(Reprogramaciones!$T$15+7*(Reprogramaciones!L$14-1))+6),11))))))))</f>
        <v>0</v>
      </c>
      <c r="BV47" s="1" t="n">
        <f aca="false">IF(OR(NOT(AND(ISNUMBER(E47),ISNUMBER(F47))),$J$2=""),"",IF(Reprogramaciones!M$13&lt;Reprogramaciones!$T$15,0,IF(Reprogramaciones!M$14&gt;10,MIN(100,SUM($G47:$P47)),MIN(100,SUMPRODUCT((COLUMN($G47:$P47)-COLUMN($G47)+1&lt;Reprogramaciones!M$14)*$G47:$P47)+N(INDEX($G47:$P47,1,Reprogramaciones!M$14))*IF(Reprogramaciones!M$13&gt;=(Reprogramaciones!$T$15+7*(Reprogramaciones!M$14-1))+6,1,IF(MAX(0,NETWORKDAYS.INTL(MAX(E47,(Reprogramaciones!$T$15+7*(Reprogramaciones!M$14-1))),MIN(F47,(Reprogramaciones!$T$15+7*(Reprogramaciones!M$14-1))+6),11))=0,0,MAX(0,NETWORKDAYS.INTL(MAX(E47,(Reprogramaciones!$T$15+7*(Reprogramaciones!M$14-1))),MIN(F47,Reprogramaciones!M$13),11))/MAX(0,NETWORKDAYS.INTL(MAX(E47,(Reprogramaciones!$T$15+7*(Reprogramaciones!M$14-1))),MIN(F47,(Reprogramaciones!$T$15+7*(Reprogramaciones!M$14-1))+6),11))))))))</f>
        <v>0</v>
      </c>
      <c r="BW47" s="1" t="n">
        <f aca="false">IF(OR(NOT(AND(ISNUMBER(E47),ISNUMBER(F47))),$J$2=""),"",IF(Reprogramaciones!N$13&lt;Reprogramaciones!$T$15,0,IF(Reprogramaciones!N$14&gt;10,MIN(100,SUM($G47:$P47)),MIN(100,SUMPRODUCT((COLUMN($G47:$P47)-COLUMN($G47)+1&lt;Reprogramaciones!N$14)*$G47:$P47)+N(INDEX($G47:$P47,1,Reprogramaciones!N$14))*IF(Reprogramaciones!N$13&gt;=(Reprogramaciones!$T$15+7*(Reprogramaciones!N$14-1))+6,1,IF(MAX(0,NETWORKDAYS.INTL(MAX(E47,(Reprogramaciones!$T$15+7*(Reprogramaciones!N$14-1))),MIN(F47,(Reprogramaciones!$T$15+7*(Reprogramaciones!N$14-1))+6),11))=0,0,MAX(0,NETWORKDAYS.INTL(MAX(E47,(Reprogramaciones!$T$15+7*(Reprogramaciones!N$14-1))),MIN(F47,Reprogramaciones!N$13),11))/MAX(0,NETWORKDAYS.INTL(MAX(E47,(Reprogramaciones!$T$15+7*(Reprogramaciones!N$14-1))),MIN(F47,(Reprogramaciones!$T$15+7*(Reprogramaciones!N$14-1))+6),11))))))))</f>
        <v>0</v>
      </c>
      <c r="BX47" s="1" t="n">
        <f aca="false">IF(OR(NOT(AND(ISNUMBER(E47),ISNUMBER(F47))),$J$2=""),"",IF(Reprogramaciones!O$13&lt;Reprogramaciones!$T$15,0,IF(Reprogramaciones!O$14&gt;10,MIN(100,SUM($G47:$P47)),MIN(100,SUMPRODUCT((COLUMN($G47:$P47)-COLUMN($G47)+1&lt;Reprogramaciones!O$14)*$G47:$P47)+N(INDEX($G47:$P47,1,Reprogramaciones!O$14))*IF(Reprogramaciones!O$13&gt;=(Reprogramaciones!$T$15+7*(Reprogramaciones!O$14-1))+6,1,IF(MAX(0,NETWORKDAYS.INTL(MAX(E47,(Reprogramaciones!$T$15+7*(Reprogramaciones!O$14-1))),MIN(F47,(Reprogramaciones!$T$15+7*(Reprogramaciones!O$14-1))+6),11))=0,0,MAX(0,NETWORKDAYS.INTL(MAX(E47,(Reprogramaciones!$T$15+7*(Reprogramaciones!O$14-1))),MIN(F47,Reprogramaciones!O$13),11))/MAX(0,NETWORKDAYS.INTL(MAX(E47,(Reprogramaciones!$T$15+7*(Reprogramaciones!O$14-1))),MIN(F47,(Reprogramaciones!$T$15+7*(Reprogramaciones!O$14-1))+6),11))))))))</f>
        <v>100</v>
      </c>
      <c r="BY47" s="1" t="n">
        <f aca="false">IF(OR(NOT(AND(ISNUMBER(E47),ISNUMBER(F47))),$J$2=""),"",IF(Reprogramaciones!P$13&lt;Reprogramaciones!$T$15,0,IF(Reprogramaciones!P$14&gt;10,MIN(100,SUM($G47:$P47)),MIN(100,SUMPRODUCT((COLUMN($G47:$P47)-COLUMN($G47)+1&lt;Reprogramaciones!P$14)*$G47:$P47)+N(INDEX($G47:$P47,1,Reprogramaciones!P$14))*IF(Reprogramaciones!P$13&gt;=(Reprogramaciones!$T$15+7*(Reprogramaciones!P$14-1))+6,1,IF(MAX(0,NETWORKDAYS.INTL(MAX(E47,(Reprogramaciones!$T$15+7*(Reprogramaciones!P$14-1))),MIN(F47,(Reprogramaciones!$T$15+7*(Reprogramaciones!P$14-1))+6),11))=0,0,MAX(0,NETWORKDAYS.INTL(MAX(E47,(Reprogramaciones!$T$15+7*(Reprogramaciones!P$14-1))),MIN(F47,Reprogramaciones!P$13),11))/MAX(0,NETWORKDAYS.INTL(MAX(E47,(Reprogramaciones!$T$15+7*(Reprogramaciones!P$14-1))),MIN(F47,(Reprogramaciones!$T$15+7*(Reprogramaciones!P$14-1))+6),11))))))))</f>
        <v>100</v>
      </c>
      <c r="BZ47" s="1" t="n">
        <f aca="false">IF(OR(NOT(AND(ISNUMBER(E47),ISNUMBER(F47))),$J$2=""),"",IF(Reprogramaciones!Q$13&lt;Reprogramaciones!$T$15,0,IF(Reprogramaciones!Q$14&gt;10,MIN(100,SUM($G47:$P47)),MIN(100,SUMPRODUCT((COLUMN($G47:$P47)-COLUMN($G47)+1&lt;Reprogramaciones!Q$14)*$G47:$P47)+N(INDEX($G47:$P47,1,Reprogramaciones!Q$14))*IF(Reprogramaciones!Q$13&gt;=(Reprogramaciones!$T$15+7*(Reprogramaciones!Q$14-1))+6,1,IF(MAX(0,NETWORKDAYS.INTL(MAX(E47,(Reprogramaciones!$T$15+7*(Reprogramaciones!Q$14-1))),MIN(F47,(Reprogramaciones!$T$15+7*(Reprogramaciones!Q$14-1))+6),11))=0,0,MAX(0,NETWORKDAYS.INTL(MAX(E47,(Reprogramaciones!$T$15+7*(Reprogramaciones!Q$14-1))),MIN(F47,Reprogramaciones!Q$13),11))/MAX(0,NETWORKDAYS.INTL(MAX(E47,(Reprogramaciones!$T$15+7*(Reprogramaciones!Q$14-1))),MIN(F47,(Reprogramaciones!$T$15+7*(Reprogramaciones!Q$14-1))+6),11))))))))</f>
        <v>100</v>
      </c>
      <c r="CA47" s="1" t="n">
        <f aca="false">IF(OR(NOT(AND(ISNUMBER(E47),ISNUMBER(F47))),$J$2=""),"",IF(Reprogramaciones!R$13&lt;Reprogramaciones!$T$15,0,IF(Reprogramaciones!R$14&gt;10,MIN(100,SUM($G47:$P47)),MIN(100,SUMPRODUCT((COLUMN($G47:$P47)-COLUMN($G47)+1&lt;Reprogramaciones!R$14)*$G47:$P47)+N(INDEX($G47:$P47,1,Reprogramaciones!R$14))*IF(Reprogramaciones!R$13&gt;=(Reprogramaciones!$T$15+7*(Reprogramaciones!R$14-1))+6,1,IF(MAX(0,NETWORKDAYS.INTL(MAX(E47,(Reprogramaciones!$T$15+7*(Reprogramaciones!R$14-1))),MIN(F47,(Reprogramaciones!$T$15+7*(Reprogramaciones!R$14-1))+6),11))=0,0,MAX(0,NETWORKDAYS.INTL(MAX(E47,(Reprogramaciones!$T$15+7*(Reprogramaciones!R$14-1))),MIN(F47,Reprogramaciones!R$13),11))/MAX(0,NETWORKDAYS.INTL(MAX(E47,(Reprogramaciones!$T$15+7*(Reprogramaciones!R$14-1))),MIN(F47,(Reprogramaciones!$T$15+7*(Reprogramaciones!R$14-1))+6),11))))))))</f>
        <v>100</v>
      </c>
      <c r="CB47" s="1" t="n">
        <f aca="false">IF(OR(NOT(AND(ISNUMBER(E47),ISNUMBER(F47))),$J$2=""),"",IF(Reprogramaciones!S$13&lt;Reprogramaciones!$T$15,0,IF(Reprogramaciones!S$14&gt;10,MIN(100,SUM($G47:$P47)),MIN(100,SUMPRODUCT((COLUMN($G47:$P47)-COLUMN($G47)+1&lt;Reprogramaciones!S$14)*$G47:$P47)+N(INDEX($G47:$P47,1,Reprogramaciones!S$14))*IF(Reprogramaciones!S$13&gt;=(Reprogramaciones!$T$15+7*(Reprogramaciones!S$14-1))+6,1,IF(MAX(0,NETWORKDAYS.INTL(MAX(E47,(Reprogramaciones!$T$15+7*(Reprogramaciones!S$14-1))),MIN(F47,(Reprogramaciones!$T$15+7*(Reprogramaciones!S$14-1))+6),11))=0,0,MAX(0,NETWORKDAYS.INTL(MAX(E47,(Reprogramaciones!$T$15+7*(Reprogramaciones!S$14-1))),MIN(F47,Reprogramaciones!S$13),11))/MAX(0,NETWORKDAYS.INTL(MAX(E47,(Reprogramaciones!$T$15+7*(Reprogramaciones!S$14-1))),MIN(F47,(Reprogramaciones!$T$15+7*(Reprogramaciones!S$14-1))+6),11))))))))</f>
        <v>100</v>
      </c>
      <c r="CC47" s="1" t="n">
        <f aca="false">IF(OR(NOT(AND(ISNUMBER(E47),ISNUMBER(F47))),$J$2=""),"",IF(Reprogramaciones!T$13&lt;Reprogramaciones!$T$15,0,IF(Reprogramaciones!T$14&gt;10,MIN(100,SUM($G47:$P47)),MIN(100,SUMPRODUCT((COLUMN($G47:$P47)-COLUMN($G47)+1&lt;Reprogramaciones!T$14)*$G47:$P47)+N(INDEX($G47:$P47,1,Reprogramaciones!T$14))*IF(Reprogramaciones!T$13&gt;=(Reprogramaciones!$T$15+7*(Reprogramaciones!T$14-1))+6,1,IF(MAX(0,NETWORKDAYS.INTL(MAX(E47,(Reprogramaciones!$T$15+7*(Reprogramaciones!T$14-1))),MIN(F47,(Reprogramaciones!$T$15+7*(Reprogramaciones!T$14-1))+6),11))=0,0,MAX(0,NETWORKDAYS.INTL(MAX(E47,(Reprogramaciones!$T$15+7*(Reprogramaciones!T$14-1))),MIN(F47,Reprogramaciones!T$13),11))/MAX(0,NETWORKDAYS.INTL(MAX(E47,(Reprogramaciones!$T$15+7*(Reprogramaciones!T$14-1))),MIN(F47,(Reprogramaciones!$T$15+7*(Reprogramaciones!T$14-1))+6),11))))))))</f>
        <v>100</v>
      </c>
      <c r="CD47" s="1" t="n">
        <f aca="false">IF(OR(NOT(AND(ISNUMBER(E47),ISNUMBER(F47))),$J$2=""),"",IF(Reprogramaciones!U$13&lt;Reprogramaciones!$T$15,0,IF(Reprogramaciones!U$14&gt;10,MIN(100,SUM($G47:$P47)),MIN(100,SUMPRODUCT((COLUMN($G47:$P47)-COLUMN($G47)+1&lt;Reprogramaciones!U$14)*$G47:$P47)+N(INDEX($G47:$P47,1,Reprogramaciones!U$14))*IF(Reprogramaciones!U$13&gt;=(Reprogramaciones!$T$15+7*(Reprogramaciones!U$14-1))+6,1,IF(MAX(0,NETWORKDAYS.INTL(MAX(E47,(Reprogramaciones!$T$15+7*(Reprogramaciones!U$14-1))),MIN(F47,(Reprogramaciones!$T$15+7*(Reprogramaciones!U$14-1))+6),11))=0,0,MAX(0,NETWORKDAYS.INTL(MAX(E47,(Reprogramaciones!$T$15+7*(Reprogramaciones!U$14-1))),MIN(F47,Reprogramaciones!U$13),11))/MAX(0,NETWORKDAYS.INTL(MAX(E47,(Reprogramaciones!$T$15+7*(Reprogramaciones!U$14-1))),MIN(F47,(Reprogramaciones!$T$15+7*(Reprogramaciones!U$14-1))+6),11))))))))</f>
        <v>100</v>
      </c>
      <c r="CE47" s="1" t="n">
        <f aca="false">IF(OR(NOT(AND(ISNUMBER(E47),ISNUMBER(F47))),$J$2=""),"",IF(Reprogramaciones!V$13&lt;Reprogramaciones!$T$15,0,IF(Reprogramaciones!V$14&gt;10,MIN(100,SUM($G47:$P47)),MIN(100,SUMPRODUCT((COLUMN($G47:$P47)-COLUMN($G47)+1&lt;Reprogramaciones!V$14)*$G47:$P47)+N(INDEX($G47:$P47,1,Reprogramaciones!V$14))*IF(Reprogramaciones!V$13&gt;=(Reprogramaciones!$T$15+7*(Reprogramaciones!V$14-1))+6,1,IF(MAX(0,NETWORKDAYS.INTL(MAX(E47,(Reprogramaciones!$T$15+7*(Reprogramaciones!V$14-1))),MIN(F47,(Reprogramaciones!$T$15+7*(Reprogramaciones!V$14-1))+6),11))=0,0,MAX(0,NETWORKDAYS.INTL(MAX(E47,(Reprogramaciones!$T$15+7*(Reprogramaciones!V$14-1))),MIN(F47,Reprogramaciones!V$13),11))/MAX(0,NETWORKDAYS.INTL(MAX(E47,(Reprogramaciones!$T$15+7*(Reprogramaciones!V$14-1))),MIN(F47,(Reprogramaciones!$T$15+7*(Reprogramaciones!V$14-1))+6),11))))))))</f>
        <v>100</v>
      </c>
      <c r="CF47" s="1" t="n">
        <f aca="false">IF(OR(NOT(AND(ISNUMBER(E47),ISNUMBER(F47))),$J$2=""),"",IF(Reprogramaciones!W$13&lt;Reprogramaciones!$T$15,0,IF(Reprogramaciones!W$14&gt;10,MIN(100,SUM($G47:$P47)),MIN(100,SUMPRODUCT((COLUMN($G47:$P47)-COLUMN($G47)+1&lt;Reprogramaciones!W$14)*$G47:$P47)+N(INDEX($G47:$P47,1,Reprogramaciones!W$14))*IF(Reprogramaciones!W$13&gt;=(Reprogramaciones!$T$15+7*(Reprogramaciones!W$14-1))+6,1,IF(MAX(0,NETWORKDAYS.INTL(MAX(E47,(Reprogramaciones!$T$15+7*(Reprogramaciones!W$14-1))),MIN(F47,(Reprogramaciones!$T$15+7*(Reprogramaciones!W$14-1))+6),11))=0,0,MAX(0,NETWORKDAYS.INTL(MAX(E47,(Reprogramaciones!$T$15+7*(Reprogramaciones!W$14-1))),MIN(F47,Reprogramaciones!W$13),11))/MAX(0,NETWORKDAYS.INTL(MAX(E47,(Reprogramaciones!$T$15+7*(Reprogramaciones!W$14-1))),MIN(F47,(Reprogramaciones!$T$15+7*(Reprogramaciones!W$14-1))+6),11))))))))</f>
        <v>100</v>
      </c>
      <c r="CG47" s="1" t="n">
        <f aca="false">IF(OR(NOT(AND(ISNUMBER(E47),ISNUMBER(F47))),$J$2=""),"",IF(Reprogramaciones!X$13&lt;Reprogramaciones!$T$15,0,IF(Reprogramaciones!X$14&gt;10,MIN(100,SUM($G47:$P47)),MIN(100,SUMPRODUCT((COLUMN($G47:$P47)-COLUMN($G47)+1&lt;Reprogramaciones!X$14)*$G47:$P47)+N(INDEX($G47:$P47,1,Reprogramaciones!X$14))*IF(Reprogramaciones!X$13&gt;=(Reprogramaciones!$T$15+7*(Reprogramaciones!X$14-1))+6,1,IF(MAX(0,NETWORKDAYS.INTL(MAX(E47,(Reprogramaciones!$T$15+7*(Reprogramaciones!X$14-1))),MIN(F47,(Reprogramaciones!$T$15+7*(Reprogramaciones!X$14-1))+6),11))=0,0,MAX(0,NETWORKDAYS.INTL(MAX(E47,(Reprogramaciones!$T$15+7*(Reprogramaciones!X$14-1))),MIN(F47,Reprogramaciones!X$13),11))/MAX(0,NETWORKDAYS.INTL(MAX(E47,(Reprogramaciones!$T$15+7*(Reprogramaciones!X$14-1))),MIN(F47,(Reprogramaciones!$T$15+7*(Reprogramaciones!X$14-1))+6),11))))))))</f>
        <v>100</v>
      </c>
      <c r="CH47" s="1" t="n">
        <f aca="false">IF(OR(NOT(AND(ISNUMBER(E47),ISNUMBER(F47))),$J$2=""),"",IF(Reprogramaciones!Y$13&lt;Reprogramaciones!$T$15,0,IF(Reprogramaciones!Y$14&gt;10,MIN(100,SUM($G47:$P47)),MIN(100,SUMPRODUCT((COLUMN($G47:$P47)-COLUMN($G47)+1&lt;Reprogramaciones!Y$14)*$G47:$P47)+N(INDEX($G47:$P47,1,Reprogramaciones!Y$14))*IF(Reprogramaciones!Y$13&gt;=(Reprogramaciones!$T$15+7*(Reprogramaciones!Y$14-1))+6,1,IF(MAX(0,NETWORKDAYS.INTL(MAX(E47,(Reprogramaciones!$T$15+7*(Reprogramaciones!Y$14-1))),MIN(F47,(Reprogramaciones!$T$15+7*(Reprogramaciones!Y$14-1))+6),11))=0,0,MAX(0,NETWORKDAYS.INTL(MAX(E47,(Reprogramaciones!$T$15+7*(Reprogramaciones!Y$14-1))),MIN(F47,Reprogramaciones!Y$13),11))/MAX(0,NETWORKDAYS.INTL(MAX(E47,(Reprogramaciones!$T$15+7*(Reprogramaciones!Y$14-1))),MIN(F47,(Reprogramaciones!$T$15+7*(Reprogramaciones!Y$14-1))+6),11))))))))</f>
        <v>100</v>
      </c>
      <c r="CI47" s="1" t="n">
        <f aca="false">IF(OR(NOT(AND(ISNUMBER(E47),ISNUMBER(F47))),$J$2=""),"",IF(Reprogramaciones!Z$13&lt;Reprogramaciones!$T$15,0,IF(Reprogramaciones!Z$14&gt;10,MIN(100,SUM($G47:$P47)),MIN(100,SUMPRODUCT((COLUMN($G47:$P47)-COLUMN($G47)+1&lt;Reprogramaciones!Z$14)*$G47:$P47)+N(INDEX($G47:$P47,1,Reprogramaciones!Z$14))*IF(Reprogramaciones!Z$13&gt;=(Reprogramaciones!$T$15+7*(Reprogramaciones!Z$14-1))+6,1,IF(MAX(0,NETWORKDAYS.INTL(MAX(E47,(Reprogramaciones!$T$15+7*(Reprogramaciones!Z$14-1))),MIN(F47,(Reprogramaciones!$T$15+7*(Reprogramaciones!Z$14-1))+6),11))=0,0,MAX(0,NETWORKDAYS.INTL(MAX(E47,(Reprogramaciones!$T$15+7*(Reprogramaciones!Z$14-1))),MIN(F47,Reprogramaciones!Z$13),11))/MAX(0,NETWORKDAYS.INTL(MAX(E47,(Reprogramaciones!$T$15+7*(Reprogramaciones!Z$14-1))),MIN(F47,(Reprogramaciones!$T$15+7*(Reprogramaciones!Z$14-1))+6),11))))))))</f>
        <v>100</v>
      </c>
      <c r="CJ47" s="1" t="n">
        <f aca="false">IF(OR(OR(NOT(AND(ISNUMBER(E47),ISNUMBER(F47))),$J$2=""),1&gt;Reprogramaciones!$K$16),"",IF(ROUND(SUM($Q47:Q47),1)&gt;=99.5,100,MIN(100,ROUND(SUM($Q47:Q47),1))))</f>
        <v>0</v>
      </c>
      <c r="CK47" s="1" t="n">
        <f aca="false">IF(OR(OR(NOT(AND(ISNUMBER(E47),ISNUMBER(F47))),$J$2=""),2&gt;Reprogramaciones!$K$16),"",IF(ROUND(SUM($Q47:R47),1)&gt;=99.5,100,MIN(100,ROUND(SUM($Q47:R47),1))))</f>
        <v>0</v>
      </c>
      <c r="CL47" s="1" t="n">
        <f aca="false">IF(OR(OR(NOT(AND(ISNUMBER(E47),ISNUMBER(F47))),$J$2=""),3&gt;Reprogramaciones!$K$16),"",IF(ROUND(SUM($Q47:S47),1)&gt;=99.5,100,MIN(100,ROUND(SUM($Q47:S47),1))))</f>
        <v>0</v>
      </c>
      <c r="CM47" s="1" t="n">
        <f aca="false">IF(OR(OR(NOT(AND(ISNUMBER(E47),ISNUMBER(F47))),$J$2=""),4&gt;Reprogramaciones!$K$16),"",IF(ROUND(SUM($Q47:T47),1)&gt;=99.5,100,MIN(100,ROUND(SUM($Q47:T47),1))))</f>
        <v>0</v>
      </c>
      <c r="CN47" s="1" t="n">
        <f aca="false">IF(OR(OR(NOT(AND(ISNUMBER(E47),ISNUMBER(F47))),$J$2=""),5&gt;Reprogramaciones!$K$16),"",IF(ROUND(SUM($Q47:U47),1)&gt;=99.5,100,MIN(100,ROUND(SUM($Q47:U47),1))))</f>
        <v>0</v>
      </c>
      <c r="CO47" s="1" t="str">
        <f aca="false">IF(OR(OR(NOT(AND(ISNUMBER(E47),ISNUMBER(F47))),$J$2=""),6&gt;Reprogramaciones!$K$16),"",IF(ROUND(SUM($Q47:V47),1)&gt;=99.5,100,MIN(100,ROUND(SUM($Q47:V47),1))))</f>
        <v/>
      </c>
      <c r="CP47" s="1" t="str">
        <f aca="false">IF(OR(OR(NOT(AND(ISNUMBER(E47),ISNUMBER(F47))),$J$2=""),7&gt;Reprogramaciones!$K$16),"",IF(ROUND(SUM($Q47:W47),1)&gt;=99.5,100,MIN(100,ROUND(SUM($Q47:W47),1))))</f>
        <v/>
      </c>
      <c r="CQ47" s="1" t="str">
        <f aca="false">IF(OR(OR(NOT(AND(ISNUMBER(E47),ISNUMBER(F47))),$J$2=""),8&gt;Reprogramaciones!$K$16),"",IF(ROUND(SUM($Q47:X47),1)&gt;=99.5,100,MIN(100,ROUND(SUM($Q47:X47),1))))</f>
        <v/>
      </c>
      <c r="CR47" s="1" t="str">
        <f aca="false">IF(OR(OR(NOT(AND(ISNUMBER(E47),ISNUMBER(F47))),$J$2=""),9&gt;Reprogramaciones!$K$16),"",IF(ROUND(SUM($Q47:Y47),1)&gt;=99.5,100,MIN(100,ROUND(SUM($Q47:Y47),1))))</f>
        <v/>
      </c>
      <c r="CS47" s="1" t="str">
        <f aca="false">IF(OR(OR(NOT(AND(ISNUMBER(E47),ISNUMBER(F47))),$J$2=""),10&gt;Reprogramaciones!$K$16),"",IF(ROUND(SUM($Q47:Z47),1)&gt;=99.5,100,MIN(100,ROUND(SUM($Q47:Z47),1))))</f>
        <v/>
      </c>
      <c r="CT47" s="1" t="str">
        <f aca="false">IF(OR(OR(NOT(AND(ISNUMBER(E47),ISNUMBER(F47))),$J$2=""),11&gt;Reprogramaciones!$K$16),"",IF(ROUND(SUM($Q47:AA47),1)&gt;=99.5,100,MIN(100,ROUND(SUM($Q47:AA47),1))))</f>
        <v/>
      </c>
      <c r="CU47" s="1" t="str">
        <f aca="false">IF(OR(OR(NOT(AND(ISNUMBER(E47),ISNUMBER(F47))),$J$2=""),12&gt;Reprogramaciones!$K$16),"",IF(ROUND(SUM($Q47:AB47),1)&gt;=99.5,100,MIN(100,ROUND(SUM($Q47:AB47),1))))</f>
        <v/>
      </c>
      <c r="CV47" s="1" t="str">
        <f aca="false">IF(OR(OR(NOT(AND(ISNUMBER(E47),ISNUMBER(F47))),$J$2=""),13&gt;Reprogramaciones!$K$16),"",IF(ROUND(SUM($Q47:AC47),1)&gt;=99.5,100,MIN(100,ROUND(SUM($Q47:AC47),1))))</f>
        <v/>
      </c>
      <c r="CW47" s="1" t="str">
        <f aca="false">IF(OR(OR(NOT(AND(ISNUMBER(E47),ISNUMBER(F47))),$J$2=""),14&gt;Reprogramaciones!$K$16),"",IF(ROUND(SUM($Q47:AD47),1)&gt;=99.5,100,MIN(100,ROUND(SUM($Q47:AD47),1))))</f>
        <v/>
      </c>
      <c r="CX47" s="1" t="str">
        <f aca="false">IF(OR(OR(NOT(AND(ISNUMBER(E47),ISNUMBER(F47))),$J$2=""),15&gt;Reprogramaciones!$K$16),"",IF(ROUND(SUM($Q47:AE47),1)&gt;=99.5,100,MIN(100,ROUND(SUM($Q47:AE47),1))))</f>
        <v/>
      </c>
      <c r="CY47" s="1" t="str">
        <f aca="false">IF(OR(OR(NOT(AND(ISNUMBER(E47),ISNUMBER(F47))),$J$2=""),16&gt;Reprogramaciones!$K$16),"",IF(ROUND(SUM($Q47:AF47),1)&gt;=99.5,100,MIN(100,ROUND(SUM($Q47:AF47),1))))</f>
        <v/>
      </c>
      <c r="CZ47" s="1" t="str">
        <f aca="false">IF(D47&lt;&gt;"",D47,IF(B47&lt;&gt;"","Contractual",CZ46))</f>
        <v>Contractual</v>
      </c>
      <c r="DA47" s="1" t="n">
        <f aca="false">IF(OR(NOT(AND(ISNUMBER(E47),ISNUMBER(F47))),$J$2=""),"",IF(Reprogramaciones!$Q$15&lt;Reprogramaciones!$T$15,0,IF(Reprogramaciones!$S$15&gt;10,MIN(100,SUM($G47:$P47)),MIN(100,SUMPRODUCT((COLUMN($G47:$P47)-COLUMN($G47)+1&lt;Reprogramaciones!$S$15)*$G47:$P47)+N(INDEX($G47:$P47,1,Reprogramaciones!$S$15))*IF(Reprogramaciones!$Q$15&gt;=(Reprogramaciones!$T$15+7*(Reprogramaciones!$S$15-1))+6,1,IF(MAX(0,NETWORKDAYS.INTL(MAX(E47,(Reprogramaciones!$T$15+7*(Reprogramaciones!$S$15-1))),MIN(F47,(Reprogramaciones!$T$15+7*(Reprogramaciones!$S$15-1))+6),11))=0,0,MAX(0,NETWORKDAYS.INTL(MAX(E47,(Reprogramaciones!$T$15+7*(Reprogramaciones!$S$15-1))),MIN(F47,Reprogramaciones!$Q$15),11))/MAX(0,NETWORKDAYS.INTL(MAX(E47,(Reprogramaciones!$T$15+7*(Reprogramaciones!$S$15-1))),MIN(F47,(Reprogramaciones!$T$15+7*(Reprogramaciones!$S$15-1))+6),11))))))))</f>
        <v>100</v>
      </c>
    </row>
    <row r="48" customFormat="false" ht="15" hidden="false" customHeight="false" outlineLevel="0" collapsed="false">
      <c r="A48" s="32" t="s">
        <v>237</v>
      </c>
      <c r="B48" s="33"/>
      <c r="C48" s="33" t="s">
        <v>238</v>
      </c>
      <c r="D48" s="34"/>
      <c r="E48" s="35" t="n">
        <v>46321</v>
      </c>
      <c r="F48" s="35" t="n">
        <v>46321</v>
      </c>
      <c r="G48" s="36" t="n">
        <f aca="false">IF(OR(NOT(AND(ISNUMBER(E48),ISNUMBER(F48))),$J$2=""),"",IF(Reprogramaciones!K$9&lt;E48,0,IF(NETWORKDAYS.INTL(E48,F48,11)=0,IF(Reprogramaciones!K$9&gt;=F48,100,0),ROUND(NETWORKDAYS.INTL(E48,MIN(F48,Reprogramaciones!K$9),11)/NETWORKDAYS.INTL(E48,F48,11)*100,1)))-0)</f>
        <v>0</v>
      </c>
      <c r="H48" s="36" t="n">
        <f aca="false">IF(OR(NOT(AND(ISNUMBER(E48),ISNUMBER(F48))),$J$2=""),"",IF(Reprogramaciones!L$9&lt;E48,0,IF(NETWORKDAYS.INTL(E48,F48,11)=0,IF(Reprogramaciones!L$9&gt;=F48,100,0),ROUND(NETWORKDAYS.INTL(E48,MIN(F48,Reprogramaciones!L$9),11)/NETWORKDAYS.INTL(E48,F48,11)*100,1)))-IF(Reprogramaciones!K$9&lt;E48,0,IF(NETWORKDAYS.INTL(E48,F48,11)=0,IF(Reprogramaciones!K$9&gt;=F48,100,0),ROUND(NETWORKDAYS.INTL(E48,MIN(F48,Reprogramaciones!K$9),11)/NETWORKDAYS.INTL(E48,F48,11)*100,1))))</f>
        <v>0</v>
      </c>
      <c r="I48" s="36" t="n">
        <f aca="false">IF(OR(NOT(AND(ISNUMBER(E48),ISNUMBER(F48))),$J$2=""),"",IF(Reprogramaciones!M$9&lt;E48,0,IF(NETWORKDAYS.INTL(E48,F48,11)=0,IF(Reprogramaciones!M$9&gt;=F48,100,0),ROUND(NETWORKDAYS.INTL(E48,MIN(F48,Reprogramaciones!M$9),11)/NETWORKDAYS.INTL(E48,F48,11)*100,1)))-IF(Reprogramaciones!L$9&lt;E48,0,IF(NETWORKDAYS.INTL(E48,F48,11)=0,IF(Reprogramaciones!L$9&gt;=F48,100,0),ROUND(NETWORKDAYS.INTL(E48,MIN(F48,Reprogramaciones!L$9),11)/NETWORKDAYS.INTL(E48,F48,11)*100,1))))</f>
        <v>0</v>
      </c>
      <c r="J48" s="36" t="n">
        <f aca="false">IF(OR(NOT(AND(ISNUMBER(E48),ISNUMBER(F48))),$J$2=""),"",IF(Reprogramaciones!N$9&lt;E48,0,IF(NETWORKDAYS.INTL(E48,F48,11)=0,IF(Reprogramaciones!N$9&gt;=F48,100,0),ROUND(NETWORKDAYS.INTL(E48,MIN(F48,Reprogramaciones!N$9),11)/NETWORKDAYS.INTL(E48,F48,11)*100,1)))-IF(Reprogramaciones!M$9&lt;E48,0,IF(NETWORKDAYS.INTL(E48,F48,11)=0,IF(Reprogramaciones!M$9&gt;=F48,100,0),ROUND(NETWORKDAYS.INTL(E48,MIN(F48,Reprogramaciones!M$9),11)/NETWORKDAYS.INTL(E48,F48,11)*100,1))))</f>
        <v>0</v>
      </c>
      <c r="K48" s="36" t="n">
        <f aca="false">IF(OR(NOT(AND(ISNUMBER(E48),ISNUMBER(F48))),$J$2=""),"",IF(Reprogramaciones!O$9&lt;E48,0,IF(NETWORKDAYS.INTL(E48,F48,11)=0,IF(Reprogramaciones!O$9&gt;=F48,100,0),ROUND(NETWORKDAYS.INTL(E48,MIN(F48,Reprogramaciones!O$9),11)/NETWORKDAYS.INTL(E48,F48,11)*100,1)))-IF(Reprogramaciones!N$9&lt;E48,0,IF(NETWORKDAYS.INTL(E48,F48,11)=0,IF(Reprogramaciones!N$9&gt;=F48,100,0),ROUND(NETWORKDAYS.INTL(E48,MIN(F48,Reprogramaciones!N$9),11)/NETWORKDAYS.INTL(E48,F48,11)*100,1))))</f>
        <v>0</v>
      </c>
      <c r="L48" s="36" t="n">
        <f aca="false">IF(OR(NOT(AND(ISNUMBER(E48),ISNUMBER(F48))),$J$2=""),"",IF(Reprogramaciones!P$9&lt;E48,0,IF(NETWORKDAYS.INTL(E48,F48,11)=0,IF(Reprogramaciones!P$9&gt;=F48,100,0),ROUND(NETWORKDAYS.INTL(E48,MIN(F48,Reprogramaciones!P$9),11)/NETWORKDAYS.INTL(E48,F48,11)*100,1)))-IF(Reprogramaciones!O$9&lt;E48,0,IF(NETWORKDAYS.INTL(E48,F48,11)=0,IF(Reprogramaciones!O$9&gt;=F48,100,0),ROUND(NETWORKDAYS.INTL(E48,MIN(F48,Reprogramaciones!O$9),11)/NETWORKDAYS.INTL(E48,F48,11)*100,1))))</f>
        <v>100</v>
      </c>
      <c r="M48" s="36" t="n">
        <f aca="false">IF(OR(NOT(AND(ISNUMBER(E48),ISNUMBER(F48))),$J$2=""),"",IF(Reprogramaciones!Q$9&lt;E48,0,IF(NETWORKDAYS.INTL(E48,F48,11)=0,IF(Reprogramaciones!Q$9&gt;=F48,100,0),ROUND(NETWORKDAYS.INTL(E48,MIN(F48,Reprogramaciones!Q$9),11)/NETWORKDAYS.INTL(E48,F48,11)*100,1)))-IF(Reprogramaciones!P$9&lt;E48,0,IF(NETWORKDAYS.INTL(E48,F48,11)=0,IF(Reprogramaciones!P$9&gt;=F48,100,0),ROUND(NETWORKDAYS.INTL(E48,MIN(F48,Reprogramaciones!P$9),11)/NETWORKDAYS.INTL(E48,F48,11)*100,1))))</f>
        <v>0</v>
      </c>
      <c r="N48" s="36" t="n">
        <f aca="false">IF(OR(NOT(AND(ISNUMBER(E48),ISNUMBER(F48))),$J$2=""),"",IF(Reprogramaciones!R$9&lt;E48,0,IF(NETWORKDAYS.INTL(E48,F48,11)=0,IF(Reprogramaciones!R$9&gt;=F48,100,0),ROUND(NETWORKDAYS.INTL(E48,MIN(F48,Reprogramaciones!R$9),11)/NETWORKDAYS.INTL(E48,F48,11)*100,1)))-IF(Reprogramaciones!Q$9&lt;E48,0,IF(NETWORKDAYS.INTL(E48,F48,11)=0,IF(Reprogramaciones!Q$9&gt;=F48,100,0),ROUND(NETWORKDAYS.INTL(E48,MIN(F48,Reprogramaciones!Q$9),11)/NETWORKDAYS.INTL(E48,F48,11)*100,1))))</f>
        <v>0</v>
      </c>
      <c r="O48" s="36" t="n">
        <f aca="false">IF(OR(NOT(AND(ISNUMBER(E48),ISNUMBER(F48))),$J$2=""),"",IF(Reprogramaciones!S$9&lt;E48,0,IF(NETWORKDAYS.INTL(E48,F48,11)=0,IF(Reprogramaciones!S$9&gt;=F48,100,0),ROUND(NETWORKDAYS.INTL(E48,MIN(F48,Reprogramaciones!S$9),11)/NETWORKDAYS.INTL(E48,F48,11)*100,1)))-IF(Reprogramaciones!R$9&lt;E48,0,IF(NETWORKDAYS.INTL(E48,F48,11)=0,IF(Reprogramaciones!R$9&gt;=F48,100,0),ROUND(NETWORKDAYS.INTL(E48,MIN(F48,Reprogramaciones!R$9),11)/NETWORKDAYS.INTL(E48,F48,11)*100,1))))</f>
        <v>0</v>
      </c>
      <c r="P48" s="36" t="n">
        <f aca="false">IF(OR(NOT(AND(ISNUMBER(E48),ISNUMBER(F48))),$J$2=""),"",IF(Reprogramaciones!T$9&lt;E48,0,IF(NETWORKDAYS.INTL(E48,F48,11)=0,IF(Reprogramaciones!T$9&gt;=F48,100,0),ROUND(NETWORKDAYS.INTL(E48,MIN(F48,Reprogramaciones!T$9),11)/NETWORKDAYS.INTL(E48,F48,11)*100,1)))-IF(Reprogramaciones!S$9&lt;E48,0,IF(NETWORKDAYS.INTL(E48,F48,11)=0,IF(Reprogramaciones!S$9&gt;=F48,100,0),ROUND(NETWORKDAYS.INTL(E48,MIN(F48,Reprogramaciones!S$9),11)/NETWORKDAYS.INTL(E48,F48,11)*100,1))))</f>
        <v>0</v>
      </c>
      <c r="Q48" s="37"/>
      <c r="R48" s="37"/>
      <c r="S48" s="37"/>
      <c r="T48" s="37"/>
      <c r="U48" s="37"/>
      <c r="V48" s="37"/>
      <c r="W48" s="37"/>
      <c r="X48" s="37"/>
      <c r="Y48" s="37"/>
      <c r="Z48" s="37"/>
      <c r="AA48" s="37"/>
      <c r="AB48" s="37"/>
      <c r="AC48" s="37"/>
      <c r="AD48" s="37"/>
      <c r="AE48" s="37"/>
      <c r="AF48" s="37"/>
      <c r="AG48" s="38" t="n">
        <f aca="false">IF(AND(ISNUMBER(E48),ISNUMBER(F48)),NETWORKDAYS.INTL(E48,F48,11),"")</f>
        <v>1</v>
      </c>
      <c r="AH48" s="38" t="n">
        <f aca="false">IF(OR(NOT(AND(ISNUMBER(E48),ISNUMBER(F48))),$J$2=""),"",IF(Reprogramaciones!$P$15&lt;Reprogramaciones!$T$15,0,IF(Reprogramaciones!$R$15&gt;10,MIN(100,SUM($G48:$P48)),MIN(100,SUMPRODUCT((COLUMN($G48:$P48)-COLUMN($G48)+1&lt;Reprogramaciones!$R$15)*$G48:$P48)+N(INDEX($G48:$P48,1,Reprogramaciones!$R$15))*IF(Reprogramaciones!$P$15&gt;=(Reprogramaciones!$T$15+7*(Reprogramaciones!$R$15-1))+6,1,IF(MAX(0,NETWORKDAYS.INTL(MAX(E48,(Reprogramaciones!$T$15+7*(Reprogramaciones!$R$15-1))),MIN(F48,(Reprogramaciones!$T$15+7*(Reprogramaciones!$R$15-1))+6),11))=0,0,MAX(0,NETWORKDAYS.INTL(MAX(E48,(Reprogramaciones!$T$15+7*(Reprogramaciones!$R$15-1))),MIN(F48,Reprogramaciones!$P$15),11))/MAX(0,NETWORKDAYS.INTL(MAX(E48,(Reprogramaciones!$T$15+7*(Reprogramaciones!$R$15-1))),MIN(F48,(Reprogramaciones!$T$15+7*(Reprogramaciones!$R$15-1))+6),11))))))))</f>
        <v>0</v>
      </c>
      <c r="AI48" s="38" t="str">
        <f aca="false">IF(COUNT($Q48:$AF48)=0,"",IF(ROUND(SUM($Q48:$AF48),1)&gt;=99.5,100,MIN(100,ROUND(SUM($Q48:$AF48),1))))</f>
        <v/>
      </c>
      <c r="AJ48" s="38" t="str">
        <f aca="false">IF(OR(AH48="",AI48=""),"",AI48-AH48)</f>
        <v/>
      </c>
      <c r="AK48" s="39" t="str">
        <f aca="true">IF(AH48="","",IF(OR(Ficha!$C$10="Suspendida",Ficha!$C$10="Cancelada"),Ficha!$C$10,IF(AND(AI48&lt;&gt;"",N(AI48)&gt;=100),"Completada",IF(AND(E48&gt;TODAY(),N(AI48)=0),"Por iniciar",IF(N(AI48)+0.5&lt;AH48,"Retrasada",IF(N(AI48)+0.5&lt;DA48,IF(Reprogramaciones!$K$15&gt;0,"Al día · Sem "&amp;Reprogramaciones!$K$15&amp;" en curso","Al día · en curso"),"A tiempo"))))))</f>
        <v>Por iniciar</v>
      </c>
      <c r="AL48" s="39" t="str">
        <f aca="true">IF(AND(A48="",AND(B48="",C48="",E48="",F48="",COUNT(Q48:AF48)=0)),"",IF(AND(B48="",C48="",E48="",F48="",COUNT(Q48:AF48)=0),"Falta la partida o subpartida",IF(AND(A48&lt;&gt;"",COUNTIF($A$6:$A$305,A48)&gt;1),"Ítem repetido",IF(AND(C48="",E48="",F48="",COUNT(Q48:AF48)=0),"Título de partida",IF(OR(E48="",F48=""),"Faltan fechas",IF(OR(ISTEXT(E48),ISTEXT(F48)),"Fecha escrita como texto: usa dd/mm/aaaa",IF(F48&lt;E48,"Fin antes del inicio",IF(IF($J$2="",FALSE(),OR(E48&lt;$J$2,F48&gt;Reprogramaciones!$T$15+69)),"Fuera de las 10 semanas",IF(ABS(SUM(G48:P48)-100)&gt;0.5,"La meta no suma 100%",IF(ROUND(SUM(Q48:AF48),1)&gt;100.5,"El avance pasa de 100%",IF(MIN(Q48:AF48)&lt;0,"Avance negativo",IF(COUNTA(Q48:AF48)&gt;COUNT(Q48:AF48),"Avance escrito como texto",IF(SUMPRODUCT((Q48:AF48&gt;0)*(Q48:AF48&lt;1))&gt;0,"Avance menor a 1: escribe 50, no 50%",IF(SUMPRODUCT(ISNUMBER(Q48:AF48)*(Reprogramaciones!$K$8:$Z$8&gt;TODAY()))&gt;0,"Avance en semana que aún no llega",IF(AND(N(Reprogramaciones!$E$21)&gt;0,F48&gt;Reprogramaciones!$E$21),"Pasa el fin de la obra: registra una reprogramación",IF(AND(N(Reprogramaciones!$E$21)&gt;0,SUMPRODUCT(ISNUMBER(Q48:AF48)*(Reprogramaciones!$K$8:$Z$8&gt;Reprogramaciones!$E$21))&gt;0),"Avance después del fin de la obra: registra una reprogramación por atraso","OK"))))))))))))))))</f>
        <v>OK</v>
      </c>
      <c r="AM48" s="40" t="str">
        <f aca="false">IF(OR(OR(NOT(AND(ISNUMBER(E48),ISNUMBER(F48))),$J$2=""),1&gt;MAX(1,Reprogramaciones!$U$15)),"",IF(Reprogramaciones!K$12&gt;=7,"",IF(OR(BT48-N(0)&gt;0.05,N(Q48)&gt;0),ROUNDDOWN(ROUND(BT48,6),0)&amp;"%"&amp;IF(CJ48="",""," / "&amp;CJ48&amp;"%"),IF(AND(N(0)&gt;=99.95,CJ48&lt;&gt;"",N(CJ48)&lt;100),"Pend. "&amp;CJ48&amp;"%",""))))</f>
        <v/>
      </c>
      <c r="AN48" s="40" t="str">
        <f aca="false">IF(OR(OR(NOT(AND(ISNUMBER(E48),ISNUMBER(F48))),$J$2=""),2&gt;MAX(1,Reprogramaciones!$U$15)),"",IF(Reprogramaciones!L$12&gt;=7,"",IF(OR(BU48-N(BT48)&gt;0.05,N(R48)&gt;0),ROUNDDOWN(ROUND(BU48,6),0)&amp;"%"&amp;IF(CK48="",""," / "&amp;CK48&amp;"%"),IF(AND(N(BT48)&gt;=99.95,CK48&lt;&gt;"",N(CK48)&lt;100),"Pend. "&amp;CK48&amp;"%",""))))</f>
        <v/>
      </c>
      <c r="AO48" s="40" t="str">
        <f aca="false">IF(OR(OR(NOT(AND(ISNUMBER(E48),ISNUMBER(F48))),$J$2=""),3&gt;MAX(1,Reprogramaciones!$U$15)),"",IF(Reprogramaciones!M$12&gt;=7,"",IF(OR(BV48-N(BU48)&gt;0.05,N(S48)&gt;0),ROUNDDOWN(ROUND(BV48,6),0)&amp;"%"&amp;IF(CL48="",""," / "&amp;CL48&amp;"%"),IF(AND(N(BU48)&gt;=99.95,CL48&lt;&gt;"",N(CL48)&lt;100),"Pend. "&amp;CL48&amp;"%",""))))</f>
        <v/>
      </c>
      <c r="AP48" s="40" t="str">
        <f aca="false">IF(OR(OR(NOT(AND(ISNUMBER(E48),ISNUMBER(F48))),$J$2=""),4&gt;MAX(1,Reprogramaciones!$U$15)),"",IF(Reprogramaciones!N$12&gt;=7,"",IF(OR(BW48-N(BV48)&gt;0.05,N(T48)&gt;0),ROUNDDOWN(ROUND(BW48,6),0)&amp;"%"&amp;IF(CM48="",""," / "&amp;CM48&amp;"%"),IF(AND(N(BV48)&gt;=99.95,CM48&lt;&gt;"",N(CM48)&lt;100),"Pend. "&amp;CM48&amp;"%",""))))</f>
        <v/>
      </c>
      <c r="AQ48" s="40" t="str">
        <f aca="false">IF(OR(OR(NOT(AND(ISNUMBER(E48),ISNUMBER(F48))),$J$2=""),5&gt;MAX(1,Reprogramaciones!$U$15)),"",IF(Reprogramaciones!O$12&gt;=7,"",IF(OR(BX48-N(BW48)&gt;0.05,N(U48)&gt;0),ROUNDDOWN(ROUND(BX48,6),0)&amp;"%"&amp;IF(CN48="",""," / "&amp;CN48&amp;"%"),IF(AND(N(BW48)&gt;=99.95,CN48&lt;&gt;"",N(CN48)&lt;100),"Pend. "&amp;CN48&amp;"%",""))))</f>
        <v/>
      </c>
      <c r="AR48" s="40" t="str">
        <f aca="false">IF(OR(OR(NOT(AND(ISNUMBER(E48),ISNUMBER(F48))),$J$2=""),6&gt;MAX(1,Reprogramaciones!$U$15)),"",IF(Reprogramaciones!P$12&gt;=7,"",IF(OR(BY48-N(BX48)&gt;0.05,N(V48)&gt;0),ROUNDDOWN(ROUND(BY48,6),0)&amp;"%"&amp;IF(CO48="",""," / "&amp;CO48&amp;"%"),IF(AND(N(BX48)&gt;=99.95,CO48&lt;&gt;"",N(CO48)&lt;100),"Pend. "&amp;CO48&amp;"%",""))))</f>
        <v>100%</v>
      </c>
      <c r="AS48" s="40" t="str">
        <f aca="false">IF(OR(OR(NOT(AND(ISNUMBER(E48),ISNUMBER(F48))),$J$2=""),7&gt;MAX(1,Reprogramaciones!$U$15)),"",IF(Reprogramaciones!Q$12&gt;=7,"",IF(OR(BZ48-N(BY48)&gt;0.05,N(W48)&gt;0),ROUNDDOWN(ROUND(BZ48,6),0)&amp;"%"&amp;IF(CP48="",""," / "&amp;CP48&amp;"%"),IF(AND(N(BY48)&gt;=99.95,CP48&lt;&gt;"",N(CP48)&lt;100),"Pend. "&amp;CP48&amp;"%",""))))</f>
        <v/>
      </c>
      <c r="AT48" s="40" t="str">
        <f aca="false">IF(OR(OR(NOT(AND(ISNUMBER(E48),ISNUMBER(F48))),$J$2=""),8&gt;MAX(1,Reprogramaciones!$U$15)),"",IF(Reprogramaciones!R$12&gt;=7,"",IF(OR(CA48-N(BZ48)&gt;0.05,N(X48)&gt;0),ROUNDDOWN(ROUND(CA48,6),0)&amp;"%"&amp;IF(CQ48="",""," / "&amp;CQ48&amp;"%"),IF(AND(N(BZ48)&gt;=99.95,CQ48&lt;&gt;"",N(CQ48)&lt;100),"Pend. "&amp;CQ48&amp;"%",""))))</f>
        <v/>
      </c>
      <c r="AU48" s="40" t="str">
        <f aca="false">IF(OR(OR(NOT(AND(ISNUMBER(E48),ISNUMBER(F48))),$J$2=""),9&gt;MAX(1,Reprogramaciones!$U$15)),"",IF(Reprogramaciones!S$12&gt;=7,"",IF(OR(CB48-N(CA48)&gt;0.05,N(Y48)&gt;0),ROUNDDOWN(ROUND(CB48,6),0)&amp;"%"&amp;IF(CR48="",""," / "&amp;CR48&amp;"%"),IF(AND(N(CA48)&gt;=99.95,CR48&lt;&gt;"",N(CR48)&lt;100),"Pend. "&amp;CR48&amp;"%",""))))</f>
        <v/>
      </c>
      <c r="AV48" s="40" t="str">
        <f aca="false">IF(OR(OR(NOT(AND(ISNUMBER(E48),ISNUMBER(F48))),$J$2=""),10&gt;MAX(1,Reprogramaciones!$U$15)),"",IF(Reprogramaciones!T$12&gt;=7,"",IF(OR(CC48-N(CB48)&gt;0.05,N(Z48)&gt;0),ROUNDDOWN(ROUND(CC48,6),0)&amp;"%"&amp;IF(CS48="",""," / "&amp;CS48&amp;"%"),IF(AND(N(CB48)&gt;=99.95,CS48&lt;&gt;"",N(CS48)&lt;100),"Pend. "&amp;CS48&amp;"%",""))))</f>
        <v/>
      </c>
      <c r="AW48" s="40" t="str">
        <f aca="false">IF(OR(OR(NOT(AND(ISNUMBER(E48),ISNUMBER(F48))),$J$2=""),11&gt;MAX(1,Reprogramaciones!$U$15)),"",IF(Reprogramaciones!U$12&gt;=7,"",IF(OR(CD48-N(CC48)&gt;0.05,N(AA48)&gt;0),ROUNDDOWN(ROUND(CD48,6),0)&amp;"%"&amp;IF(CT48="",""," / "&amp;CT48&amp;"%"),IF(AND(N(CC48)&gt;=99.95,CT48&lt;&gt;"",N(CT48)&lt;100),"Pend. "&amp;CT48&amp;"%",""))))</f>
        <v/>
      </c>
      <c r="AX48" s="40" t="str">
        <f aca="false">IF(OR(OR(NOT(AND(ISNUMBER(E48),ISNUMBER(F48))),$J$2=""),12&gt;MAX(1,Reprogramaciones!$U$15)),"",IF(Reprogramaciones!V$12&gt;=7,"",IF(OR(CE48-N(CD48)&gt;0.05,N(AB48)&gt;0),ROUNDDOWN(ROUND(CE48,6),0)&amp;"%"&amp;IF(CU48="",""," / "&amp;CU48&amp;"%"),IF(AND(N(CD48)&gt;=99.95,CU48&lt;&gt;"",N(CU48)&lt;100),"Pend. "&amp;CU48&amp;"%",""))))</f>
        <v/>
      </c>
      <c r="AY48" s="40" t="str">
        <f aca="false">IF(OR(OR(NOT(AND(ISNUMBER(E48),ISNUMBER(F48))),$J$2=""),13&gt;MAX(1,Reprogramaciones!$U$15)),"",IF(Reprogramaciones!W$12&gt;=7,"",IF(OR(CF48-N(CE48)&gt;0.05,N(AC48)&gt;0),ROUNDDOWN(ROUND(CF48,6),0)&amp;"%"&amp;IF(CV48="",""," / "&amp;CV48&amp;"%"),IF(AND(N(CE48)&gt;=99.95,CV48&lt;&gt;"",N(CV48)&lt;100),"Pend. "&amp;CV48&amp;"%",""))))</f>
        <v/>
      </c>
      <c r="AZ48" s="40" t="str">
        <f aca="false">IF(OR(OR(NOT(AND(ISNUMBER(E48),ISNUMBER(F48))),$J$2=""),14&gt;MAX(1,Reprogramaciones!$U$15)),"",IF(Reprogramaciones!X$12&gt;=7,"",IF(OR(CG48-N(CF48)&gt;0.05,N(AD48)&gt;0),ROUNDDOWN(ROUND(CG48,6),0)&amp;"%"&amp;IF(CW48="",""," / "&amp;CW48&amp;"%"),IF(AND(N(CF48)&gt;=99.95,CW48&lt;&gt;"",N(CW48)&lt;100),"Pend. "&amp;CW48&amp;"%",""))))</f>
        <v/>
      </c>
      <c r="BA48" s="40" t="str">
        <f aca="false">IF(OR(OR(NOT(AND(ISNUMBER(E48),ISNUMBER(F48))),$J$2=""),15&gt;MAX(1,Reprogramaciones!$U$15)),"",IF(Reprogramaciones!Y$12&gt;=7,"",IF(OR(CH48-N(CG48)&gt;0.05,N(AE48)&gt;0),ROUNDDOWN(ROUND(CH48,6),0)&amp;"%"&amp;IF(CX48="",""," / "&amp;CX48&amp;"%"),IF(AND(N(CG48)&gt;=99.95,CX48&lt;&gt;"",N(CX48)&lt;100),"Pend. "&amp;CX48&amp;"%",""))))</f>
        <v/>
      </c>
      <c r="BB48" s="40" t="str">
        <f aca="false">IF(OR(OR(NOT(AND(ISNUMBER(E48),ISNUMBER(F48))),$J$2=""),16&gt;MAX(1,Reprogramaciones!$U$15)),"",IF(Reprogramaciones!Z$12&gt;=7,"",IF(OR(CI48-N(CH48)&gt;0.05,N(AF48)&gt;0),ROUNDDOWN(ROUND(CI48,6),0)&amp;"%"&amp;IF(CY48="",""," / "&amp;CY48&amp;"%"),IF(AND(N(CH48)&gt;=99.95,CY48&lt;&gt;"",N(CY48)&lt;100),"Pend. "&amp;CY48&amp;"%",""))))</f>
        <v/>
      </c>
      <c r="BC48" s="31" t="n">
        <f aca="false">IF(AND(ISNUMBER(E48),ISNUMBER(F48)),MAX(1,NETWORKDAYS.INTL(E48,F48,11)),0)</f>
        <v>1</v>
      </c>
      <c r="BD48" s="1" t="n">
        <f aca="false">IF(OR(NOT(AND(ISNUMBER(E48),ISNUMBER(F48))),$J$2=""),"",MIN(100,ROUND(SUM($G48:G48),1)))</f>
        <v>0</v>
      </c>
      <c r="BE48" s="1" t="n">
        <f aca="false">IF(OR(NOT(AND(ISNUMBER(E48),ISNUMBER(F48))),$J$2=""),"",MIN(100,ROUND(SUM($G48:H48),1)))</f>
        <v>0</v>
      </c>
      <c r="BF48" s="1" t="n">
        <f aca="false">IF(OR(NOT(AND(ISNUMBER(E48),ISNUMBER(F48))),$J$2=""),"",MIN(100,ROUND(SUM($G48:I48),1)))</f>
        <v>0</v>
      </c>
      <c r="BG48" s="1" t="n">
        <f aca="false">IF(OR(NOT(AND(ISNUMBER(E48),ISNUMBER(F48))),$J$2=""),"",MIN(100,ROUND(SUM($G48:J48),1)))</f>
        <v>0</v>
      </c>
      <c r="BH48" s="1" t="n">
        <f aca="false">IF(OR(NOT(AND(ISNUMBER(E48),ISNUMBER(F48))),$J$2=""),"",MIN(100,ROUND(SUM($G48:K48),1)))</f>
        <v>0</v>
      </c>
      <c r="BI48" s="1" t="n">
        <f aca="false">IF(OR(NOT(AND(ISNUMBER(E48),ISNUMBER(F48))),$J$2=""),"",MIN(100,ROUND(SUM($G48:L48),1)))</f>
        <v>100</v>
      </c>
      <c r="BJ48" s="1" t="n">
        <f aca="false">IF(OR(NOT(AND(ISNUMBER(E48),ISNUMBER(F48))),$J$2=""),"",MIN(100,ROUND(SUM($G48:M48),1)))</f>
        <v>100</v>
      </c>
      <c r="BK48" s="1" t="n">
        <f aca="false">IF(OR(NOT(AND(ISNUMBER(E48),ISNUMBER(F48))),$J$2=""),"",MIN(100,ROUND(SUM($G48:N48),1)))</f>
        <v>100</v>
      </c>
      <c r="BL48" s="1" t="n">
        <f aca="false">IF(OR(NOT(AND(ISNUMBER(E48),ISNUMBER(F48))),$J$2=""),"",MIN(100,ROUND(SUM($G48:O48),1)))</f>
        <v>100</v>
      </c>
      <c r="BM48" s="1" t="n">
        <f aca="false">IF(OR(NOT(AND(ISNUMBER(E48),ISNUMBER(F48))),$J$2=""),"",MIN(100,ROUND(SUM($G48:P48),1)))</f>
        <v>100</v>
      </c>
      <c r="BN48" s="1" t="n">
        <f aca="false">IF(OR(NOT(AND(ISNUMBER(E48),ISNUMBER(F48))),$J$2=""),"",MIN(100,ROUND(SUM($G48:P48),1)))</f>
        <v>100</v>
      </c>
      <c r="BO48" s="1" t="n">
        <f aca="false">IF(OR(NOT(AND(ISNUMBER(E48),ISNUMBER(F48))),$J$2=""),"",MIN(100,ROUND(SUM($G48:P48),1)))</f>
        <v>100</v>
      </c>
      <c r="BP48" s="1" t="n">
        <f aca="false">IF(OR(NOT(AND(ISNUMBER(E48),ISNUMBER(F48))),$J$2=""),"",MIN(100,ROUND(SUM($G48:P48),1)))</f>
        <v>100</v>
      </c>
      <c r="BQ48" s="1" t="n">
        <f aca="false">IF(OR(NOT(AND(ISNUMBER(E48),ISNUMBER(F48))),$J$2=""),"",MIN(100,ROUND(SUM($G48:P48),1)))</f>
        <v>100</v>
      </c>
      <c r="BR48" s="1" t="n">
        <f aca="false">IF(OR(NOT(AND(ISNUMBER(E48),ISNUMBER(F48))),$J$2=""),"",MIN(100,ROUND(SUM($G48:P48),1)))</f>
        <v>100</v>
      </c>
      <c r="BS48" s="1" t="n">
        <f aca="false">IF(OR(NOT(AND(ISNUMBER(E48),ISNUMBER(F48))),$J$2=""),"",MIN(100,ROUND(SUM($G48:P48),1)))</f>
        <v>100</v>
      </c>
      <c r="BT48" s="1" t="n">
        <f aca="false">IF(OR(NOT(AND(ISNUMBER(E48),ISNUMBER(F48))),$J$2=""),"",IF(Reprogramaciones!K$13&lt;Reprogramaciones!$T$15,0,IF(Reprogramaciones!K$14&gt;10,MIN(100,SUM($G48:$P48)),MIN(100,SUMPRODUCT((COLUMN($G48:$P48)-COLUMN($G48)+1&lt;Reprogramaciones!K$14)*$G48:$P48)+N(INDEX($G48:$P48,1,Reprogramaciones!K$14))*IF(Reprogramaciones!K$13&gt;=(Reprogramaciones!$T$15+7*(Reprogramaciones!K$14-1))+6,1,IF(MAX(0,NETWORKDAYS.INTL(MAX(E48,(Reprogramaciones!$T$15+7*(Reprogramaciones!K$14-1))),MIN(F48,(Reprogramaciones!$T$15+7*(Reprogramaciones!K$14-1))+6),11))=0,0,MAX(0,NETWORKDAYS.INTL(MAX(E48,(Reprogramaciones!$T$15+7*(Reprogramaciones!K$14-1))),MIN(F48,Reprogramaciones!K$13),11))/MAX(0,NETWORKDAYS.INTL(MAX(E48,(Reprogramaciones!$T$15+7*(Reprogramaciones!K$14-1))),MIN(F48,(Reprogramaciones!$T$15+7*(Reprogramaciones!K$14-1))+6),11))))))))</f>
        <v>0</v>
      </c>
      <c r="BU48" s="1" t="n">
        <f aca="false">IF(OR(NOT(AND(ISNUMBER(E48),ISNUMBER(F48))),$J$2=""),"",IF(Reprogramaciones!L$13&lt;Reprogramaciones!$T$15,0,IF(Reprogramaciones!L$14&gt;10,MIN(100,SUM($G48:$P48)),MIN(100,SUMPRODUCT((COLUMN($G48:$P48)-COLUMN($G48)+1&lt;Reprogramaciones!L$14)*$G48:$P48)+N(INDEX($G48:$P48,1,Reprogramaciones!L$14))*IF(Reprogramaciones!L$13&gt;=(Reprogramaciones!$T$15+7*(Reprogramaciones!L$14-1))+6,1,IF(MAX(0,NETWORKDAYS.INTL(MAX(E48,(Reprogramaciones!$T$15+7*(Reprogramaciones!L$14-1))),MIN(F48,(Reprogramaciones!$T$15+7*(Reprogramaciones!L$14-1))+6),11))=0,0,MAX(0,NETWORKDAYS.INTL(MAX(E48,(Reprogramaciones!$T$15+7*(Reprogramaciones!L$14-1))),MIN(F48,Reprogramaciones!L$13),11))/MAX(0,NETWORKDAYS.INTL(MAX(E48,(Reprogramaciones!$T$15+7*(Reprogramaciones!L$14-1))),MIN(F48,(Reprogramaciones!$T$15+7*(Reprogramaciones!L$14-1))+6),11))))))))</f>
        <v>0</v>
      </c>
      <c r="BV48" s="1" t="n">
        <f aca="false">IF(OR(NOT(AND(ISNUMBER(E48),ISNUMBER(F48))),$J$2=""),"",IF(Reprogramaciones!M$13&lt;Reprogramaciones!$T$15,0,IF(Reprogramaciones!M$14&gt;10,MIN(100,SUM($G48:$P48)),MIN(100,SUMPRODUCT((COLUMN($G48:$P48)-COLUMN($G48)+1&lt;Reprogramaciones!M$14)*$G48:$P48)+N(INDEX($G48:$P48,1,Reprogramaciones!M$14))*IF(Reprogramaciones!M$13&gt;=(Reprogramaciones!$T$15+7*(Reprogramaciones!M$14-1))+6,1,IF(MAX(0,NETWORKDAYS.INTL(MAX(E48,(Reprogramaciones!$T$15+7*(Reprogramaciones!M$14-1))),MIN(F48,(Reprogramaciones!$T$15+7*(Reprogramaciones!M$14-1))+6),11))=0,0,MAX(0,NETWORKDAYS.INTL(MAX(E48,(Reprogramaciones!$T$15+7*(Reprogramaciones!M$14-1))),MIN(F48,Reprogramaciones!M$13),11))/MAX(0,NETWORKDAYS.INTL(MAX(E48,(Reprogramaciones!$T$15+7*(Reprogramaciones!M$14-1))),MIN(F48,(Reprogramaciones!$T$15+7*(Reprogramaciones!M$14-1))+6),11))))))))</f>
        <v>0</v>
      </c>
      <c r="BW48" s="1" t="n">
        <f aca="false">IF(OR(NOT(AND(ISNUMBER(E48),ISNUMBER(F48))),$J$2=""),"",IF(Reprogramaciones!N$13&lt;Reprogramaciones!$T$15,0,IF(Reprogramaciones!N$14&gt;10,MIN(100,SUM($G48:$P48)),MIN(100,SUMPRODUCT((COLUMN($G48:$P48)-COLUMN($G48)+1&lt;Reprogramaciones!N$14)*$G48:$P48)+N(INDEX($G48:$P48,1,Reprogramaciones!N$14))*IF(Reprogramaciones!N$13&gt;=(Reprogramaciones!$T$15+7*(Reprogramaciones!N$14-1))+6,1,IF(MAX(0,NETWORKDAYS.INTL(MAX(E48,(Reprogramaciones!$T$15+7*(Reprogramaciones!N$14-1))),MIN(F48,(Reprogramaciones!$T$15+7*(Reprogramaciones!N$14-1))+6),11))=0,0,MAX(0,NETWORKDAYS.INTL(MAX(E48,(Reprogramaciones!$T$15+7*(Reprogramaciones!N$14-1))),MIN(F48,Reprogramaciones!N$13),11))/MAX(0,NETWORKDAYS.INTL(MAX(E48,(Reprogramaciones!$T$15+7*(Reprogramaciones!N$14-1))),MIN(F48,(Reprogramaciones!$T$15+7*(Reprogramaciones!N$14-1))+6),11))))))))</f>
        <v>0</v>
      </c>
      <c r="BX48" s="1" t="n">
        <f aca="false">IF(OR(NOT(AND(ISNUMBER(E48),ISNUMBER(F48))),$J$2=""),"",IF(Reprogramaciones!O$13&lt;Reprogramaciones!$T$15,0,IF(Reprogramaciones!O$14&gt;10,MIN(100,SUM($G48:$P48)),MIN(100,SUMPRODUCT((COLUMN($G48:$P48)-COLUMN($G48)+1&lt;Reprogramaciones!O$14)*$G48:$P48)+N(INDEX($G48:$P48,1,Reprogramaciones!O$14))*IF(Reprogramaciones!O$13&gt;=(Reprogramaciones!$T$15+7*(Reprogramaciones!O$14-1))+6,1,IF(MAX(0,NETWORKDAYS.INTL(MAX(E48,(Reprogramaciones!$T$15+7*(Reprogramaciones!O$14-1))),MIN(F48,(Reprogramaciones!$T$15+7*(Reprogramaciones!O$14-1))+6),11))=0,0,MAX(0,NETWORKDAYS.INTL(MAX(E48,(Reprogramaciones!$T$15+7*(Reprogramaciones!O$14-1))),MIN(F48,Reprogramaciones!O$13),11))/MAX(0,NETWORKDAYS.INTL(MAX(E48,(Reprogramaciones!$T$15+7*(Reprogramaciones!O$14-1))),MIN(F48,(Reprogramaciones!$T$15+7*(Reprogramaciones!O$14-1))+6),11))))))))</f>
        <v>0</v>
      </c>
      <c r="BY48" s="1" t="n">
        <f aca="false">IF(OR(NOT(AND(ISNUMBER(E48),ISNUMBER(F48))),$J$2=""),"",IF(Reprogramaciones!P$13&lt;Reprogramaciones!$T$15,0,IF(Reprogramaciones!P$14&gt;10,MIN(100,SUM($G48:$P48)),MIN(100,SUMPRODUCT((COLUMN($G48:$P48)-COLUMN($G48)+1&lt;Reprogramaciones!P$14)*$G48:$P48)+N(INDEX($G48:$P48,1,Reprogramaciones!P$14))*IF(Reprogramaciones!P$13&gt;=(Reprogramaciones!$T$15+7*(Reprogramaciones!P$14-1))+6,1,IF(MAX(0,NETWORKDAYS.INTL(MAX(E48,(Reprogramaciones!$T$15+7*(Reprogramaciones!P$14-1))),MIN(F48,(Reprogramaciones!$T$15+7*(Reprogramaciones!P$14-1))+6),11))=0,0,MAX(0,NETWORKDAYS.INTL(MAX(E48,(Reprogramaciones!$T$15+7*(Reprogramaciones!P$14-1))),MIN(F48,Reprogramaciones!P$13),11))/MAX(0,NETWORKDAYS.INTL(MAX(E48,(Reprogramaciones!$T$15+7*(Reprogramaciones!P$14-1))),MIN(F48,(Reprogramaciones!$T$15+7*(Reprogramaciones!P$14-1))+6),11))))))))</f>
        <v>100</v>
      </c>
      <c r="BZ48" s="1" t="n">
        <f aca="false">IF(OR(NOT(AND(ISNUMBER(E48),ISNUMBER(F48))),$J$2=""),"",IF(Reprogramaciones!Q$13&lt;Reprogramaciones!$T$15,0,IF(Reprogramaciones!Q$14&gt;10,MIN(100,SUM($G48:$P48)),MIN(100,SUMPRODUCT((COLUMN($G48:$P48)-COLUMN($G48)+1&lt;Reprogramaciones!Q$14)*$G48:$P48)+N(INDEX($G48:$P48,1,Reprogramaciones!Q$14))*IF(Reprogramaciones!Q$13&gt;=(Reprogramaciones!$T$15+7*(Reprogramaciones!Q$14-1))+6,1,IF(MAX(0,NETWORKDAYS.INTL(MAX(E48,(Reprogramaciones!$T$15+7*(Reprogramaciones!Q$14-1))),MIN(F48,(Reprogramaciones!$T$15+7*(Reprogramaciones!Q$14-1))+6),11))=0,0,MAX(0,NETWORKDAYS.INTL(MAX(E48,(Reprogramaciones!$T$15+7*(Reprogramaciones!Q$14-1))),MIN(F48,Reprogramaciones!Q$13),11))/MAX(0,NETWORKDAYS.INTL(MAX(E48,(Reprogramaciones!$T$15+7*(Reprogramaciones!Q$14-1))),MIN(F48,(Reprogramaciones!$T$15+7*(Reprogramaciones!Q$14-1))+6),11))))))))</f>
        <v>100</v>
      </c>
      <c r="CA48" s="1" t="n">
        <f aca="false">IF(OR(NOT(AND(ISNUMBER(E48),ISNUMBER(F48))),$J$2=""),"",IF(Reprogramaciones!R$13&lt;Reprogramaciones!$T$15,0,IF(Reprogramaciones!R$14&gt;10,MIN(100,SUM($G48:$P48)),MIN(100,SUMPRODUCT((COLUMN($G48:$P48)-COLUMN($G48)+1&lt;Reprogramaciones!R$14)*$G48:$P48)+N(INDEX($G48:$P48,1,Reprogramaciones!R$14))*IF(Reprogramaciones!R$13&gt;=(Reprogramaciones!$T$15+7*(Reprogramaciones!R$14-1))+6,1,IF(MAX(0,NETWORKDAYS.INTL(MAX(E48,(Reprogramaciones!$T$15+7*(Reprogramaciones!R$14-1))),MIN(F48,(Reprogramaciones!$T$15+7*(Reprogramaciones!R$14-1))+6),11))=0,0,MAX(0,NETWORKDAYS.INTL(MAX(E48,(Reprogramaciones!$T$15+7*(Reprogramaciones!R$14-1))),MIN(F48,Reprogramaciones!R$13),11))/MAX(0,NETWORKDAYS.INTL(MAX(E48,(Reprogramaciones!$T$15+7*(Reprogramaciones!R$14-1))),MIN(F48,(Reprogramaciones!$T$15+7*(Reprogramaciones!R$14-1))+6),11))))))))</f>
        <v>100</v>
      </c>
      <c r="CB48" s="1" t="n">
        <f aca="false">IF(OR(NOT(AND(ISNUMBER(E48),ISNUMBER(F48))),$J$2=""),"",IF(Reprogramaciones!S$13&lt;Reprogramaciones!$T$15,0,IF(Reprogramaciones!S$14&gt;10,MIN(100,SUM($G48:$P48)),MIN(100,SUMPRODUCT((COLUMN($G48:$P48)-COLUMN($G48)+1&lt;Reprogramaciones!S$14)*$G48:$P48)+N(INDEX($G48:$P48,1,Reprogramaciones!S$14))*IF(Reprogramaciones!S$13&gt;=(Reprogramaciones!$T$15+7*(Reprogramaciones!S$14-1))+6,1,IF(MAX(0,NETWORKDAYS.INTL(MAX(E48,(Reprogramaciones!$T$15+7*(Reprogramaciones!S$14-1))),MIN(F48,(Reprogramaciones!$T$15+7*(Reprogramaciones!S$14-1))+6),11))=0,0,MAX(0,NETWORKDAYS.INTL(MAX(E48,(Reprogramaciones!$T$15+7*(Reprogramaciones!S$14-1))),MIN(F48,Reprogramaciones!S$13),11))/MAX(0,NETWORKDAYS.INTL(MAX(E48,(Reprogramaciones!$T$15+7*(Reprogramaciones!S$14-1))),MIN(F48,(Reprogramaciones!$T$15+7*(Reprogramaciones!S$14-1))+6),11))))))))</f>
        <v>100</v>
      </c>
      <c r="CC48" s="1" t="n">
        <f aca="false">IF(OR(NOT(AND(ISNUMBER(E48),ISNUMBER(F48))),$J$2=""),"",IF(Reprogramaciones!T$13&lt;Reprogramaciones!$T$15,0,IF(Reprogramaciones!T$14&gt;10,MIN(100,SUM($G48:$P48)),MIN(100,SUMPRODUCT((COLUMN($G48:$P48)-COLUMN($G48)+1&lt;Reprogramaciones!T$14)*$G48:$P48)+N(INDEX($G48:$P48,1,Reprogramaciones!T$14))*IF(Reprogramaciones!T$13&gt;=(Reprogramaciones!$T$15+7*(Reprogramaciones!T$14-1))+6,1,IF(MAX(0,NETWORKDAYS.INTL(MAX(E48,(Reprogramaciones!$T$15+7*(Reprogramaciones!T$14-1))),MIN(F48,(Reprogramaciones!$T$15+7*(Reprogramaciones!T$14-1))+6),11))=0,0,MAX(0,NETWORKDAYS.INTL(MAX(E48,(Reprogramaciones!$T$15+7*(Reprogramaciones!T$14-1))),MIN(F48,Reprogramaciones!T$13),11))/MAX(0,NETWORKDAYS.INTL(MAX(E48,(Reprogramaciones!$T$15+7*(Reprogramaciones!T$14-1))),MIN(F48,(Reprogramaciones!$T$15+7*(Reprogramaciones!T$14-1))+6),11))))))))</f>
        <v>100</v>
      </c>
      <c r="CD48" s="1" t="n">
        <f aca="false">IF(OR(NOT(AND(ISNUMBER(E48),ISNUMBER(F48))),$J$2=""),"",IF(Reprogramaciones!U$13&lt;Reprogramaciones!$T$15,0,IF(Reprogramaciones!U$14&gt;10,MIN(100,SUM($G48:$P48)),MIN(100,SUMPRODUCT((COLUMN($G48:$P48)-COLUMN($G48)+1&lt;Reprogramaciones!U$14)*$G48:$P48)+N(INDEX($G48:$P48,1,Reprogramaciones!U$14))*IF(Reprogramaciones!U$13&gt;=(Reprogramaciones!$T$15+7*(Reprogramaciones!U$14-1))+6,1,IF(MAX(0,NETWORKDAYS.INTL(MAX(E48,(Reprogramaciones!$T$15+7*(Reprogramaciones!U$14-1))),MIN(F48,(Reprogramaciones!$T$15+7*(Reprogramaciones!U$14-1))+6),11))=0,0,MAX(0,NETWORKDAYS.INTL(MAX(E48,(Reprogramaciones!$T$15+7*(Reprogramaciones!U$14-1))),MIN(F48,Reprogramaciones!U$13),11))/MAX(0,NETWORKDAYS.INTL(MAX(E48,(Reprogramaciones!$T$15+7*(Reprogramaciones!U$14-1))),MIN(F48,(Reprogramaciones!$T$15+7*(Reprogramaciones!U$14-1))+6),11))))))))</f>
        <v>100</v>
      </c>
      <c r="CE48" s="1" t="n">
        <f aca="false">IF(OR(NOT(AND(ISNUMBER(E48),ISNUMBER(F48))),$J$2=""),"",IF(Reprogramaciones!V$13&lt;Reprogramaciones!$T$15,0,IF(Reprogramaciones!V$14&gt;10,MIN(100,SUM($G48:$P48)),MIN(100,SUMPRODUCT((COLUMN($G48:$P48)-COLUMN($G48)+1&lt;Reprogramaciones!V$14)*$G48:$P48)+N(INDEX($G48:$P48,1,Reprogramaciones!V$14))*IF(Reprogramaciones!V$13&gt;=(Reprogramaciones!$T$15+7*(Reprogramaciones!V$14-1))+6,1,IF(MAX(0,NETWORKDAYS.INTL(MAX(E48,(Reprogramaciones!$T$15+7*(Reprogramaciones!V$14-1))),MIN(F48,(Reprogramaciones!$T$15+7*(Reprogramaciones!V$14-1))+6),11))=0,0,MAX(0,NETWORKDAYS.INTL(MAX(E48,(Reprogramaciones!$T$15+7*(Reprogramaciones!V$14-1))),MIN(F48,Reprogramaciones!V$13),11))/MAX(0,NETWORKDAYS.INTL(MAX(E48,(Reprogramaciones!$T$15+7*(Reprogramaciones!V$14-1))),MIN(F48,(Reprogramaciones!$T$15+7*(Reprogramaciones!V$14-1))+6),11))))))))</f>
        <v>100</v>
      </c>
      <c r="CF48" s="1" t="n">
        <f aca="false">IF(OR(NOT(AND(ISNUMBER(E48),ISNUMBER(F48))),$J$2=""),"",IF(Reprogramaciones!W$13&lt;Reprogramaciones!$T$15,0,IF(Reprogramaciones!W$14&gt;10,MIN(100,SUM($G48:$P48)),MIN(100,SUMPRODUCT((COLUMN($G48:$P48)-COLUMN($G48)+1&lt;Reprogramaciones!W$14)*$G48:$P48)+N(INDEX($G48:$P48,1,Reprogramaciones!W$14))*IF(Reprogramaciones!W$13&gt;=(Reprogramaciones!$T$15+7*(Reprogramaciones!W$14-1))+6,1,IF(MAX(0,NETWORKDAYS.INTL(MAX(E48,(Reprogramaciones!$T$15+7*(Reprogramaciones!W$14-1))),MIN(F48,(Reprogramaciones!$T$15+7*(Reprogramaciones!W$14-1))+6),11))=0,0,MAX(0,NETWORKDAYS.INTL(MAX(E48,(Reprogramaciones!$T$15+7*(Reprogramaciones!W$14-1))),MIN(F48,Reprogramaciones!W$13),11))/MAX(0,NETWORKDAYS.INTL(MAX(E48,(Reprogramaciones!$T$15+7*(Reprogramaciones!W$14-1))),MIN(F48,(Reprogramaciones!$T$15+7*(Reprogramaciones!W$14-1))+6),11))))))))</f>
        <v>100</v>
      </c>
      <c r="CG48" s="1" t="n">
        <f aca="false">IF(OR(NOT(AND(ISNUMBER(E48),ISNUMBER(F48))),$J$2=""),"",IF(Reprogramaciones!X$13&lt;Reprogramaciones!$T$15,0,IF(Reprogramaciones!X$14&gt;10,MIN(100,SUM($G48:$P48)),MIN(100,SUMPRODUCT((COLUMN($G48:$P48)-COLUMN($G48)+1&lt;Reprogramaciones!X$14)*$G48:$P48)+N(INDEX($G48:$P48,1,Reprogramaciones!X$14))*IF(Reprogramaciones!X$13&gt;=(Reprogramaciones!$T$15+7*(Reprogramaciones!X$14-1))+6,1,IF(MAX(0,NETWORKDAYS.INTL(MAX(E48,(Reprogramaciones!$T$15+7*(Reprogramaciones!X$14-1))),MIN(F48,(Reprogramaciones!$T$15+7*(Reprogramaciones!X$14-1))+6),11))=0,0,MAX(0,NETWORKDAYS.INTL(MAX(E48,(Reprogramaciones!$T$15+7*(Reprogramaciones!X$14-1))),MIN(F48,Reprogramaciones!X$13),11))/MAX(0,NETWORKDAYS.INTL(MAX(E48,(Reprogramaciones!$T$15+7*(Reprogramaciones!X$14-1))),MIN(F48,(Reprogramaciones!$T$15+7*(Reprogramaciones!X$14-1))+6),11))))))))</f>
        <v>100</v>
      </c>
      <c r="CH48" s="1" t="n">
        <f aca="false">IF(OR(NOT(AND(ISNUMBER(E48),ISNUMBER(F48))),$J$2=""),"",IF(Reprogramaciones!Y$13&lt;Reprogramaciones!$T$15,0,IF(Reprogramaciones!Y$14&gt;10,MIN(100,SUM($G48:$P48)),MIN(100,SUMPRODUCT((COLUMN($G48:$P48)-COLUMN($G48)+1&lt;Reprogramaciones!Y$14)*$G48:$P48)+N(INDEX($G48:$P48,1,Reprogramaciones!Y$14))*IF(Reprogramaciones!Y$13&gt;=(Reprogramaciones!$T$15+7*(Reprogramaciones!Y$14-1))+6,1,IF(MAX(0,NETWORKDAYS.INTL(MAX(E48,(Reprogramaciones!$T$15+7*(Reprogramaciones!Y$14-1))),MIN(F48,(Reprogramaciones!$T$15+7*(Reprogramaciones!Y$14-1))+6),11))=0,0,MAX(0,NETWORKDAYS.INTL(MAX(E48,(Reprogramaciones!$T$15+7*(Reprogramaciones!Y$14-1))),MIN(F48,Reprogramaciones!Y$13),11))/MAX(0,NETWORKDAYS.INTL(MAX(E48,(Reprogramaciones!$T$15+7*(Reprogramaciones!Y$14-1))),MIN(F48,(Reprogramaciones!$T$15+7*(Reprogramaciones!Y$14-1))+6),11))))))))</f>
        <v>100</v>
      </c>
      <c r="CI48" s="1" t="n">
        <f aca="false">IF(OR(NOT(AND(ISNUMBER(E48),ISNUMBER(F48))),$J$2=""),"",IF(Reprogramaciones!Z$13&lt;Reprogramaciones!$T$15,0,IF(Reprogramaciones!Z$14&gt;10,MIN(100,SUM($G48:$P48)),MIN(100,SUMPRODUCT((COLUMN($G48:$P48)-COLUMN($G48)+1&lt;Reprogramaciones!Z$14)*$G48:$P48)+N(INDEX($G48:$P48,1,Reprogramaciones!Z$14))*IF(Reprogramaciones!Z$13&gt;=(Reprogramaciones!$T$15+7*(Reprogramaciones!Z$14-1))+6,1,IF(MAX(0,NETWORKDAYS.INTL(MAX(E48,(Reprogramaciones!$T$15+7*(Reprogramaciones!Z$14-1))),MIN(F48,(Reprogramaciones!$T$15+7*(Reprogramaciones!Z$14-1))+6),11))=0,0,MAX(0,NETWORKDAYS.INTL(MAX(E48,(Reprogramaciones!$T$15+7*(Reprogramaciones!Z$14-1))),MIN(F48,Reprogramaciones!Z$13),11))/MAX(0,NETWORKDAYS.INTL(MAX(E48,(Reprogramaciones!$T$15+7*(Reprogramaciones!Z$14-1))),MIN(F48,(Reprogramaciones!$T$15+7*(Reprogramaciones!Z$14-1))+6),11))))))))</f>
        <v>100</v>
      </c>
      <c r="CJ48" s="1" t="n">
        <f aca="false">IF(OR(OR(NOT(AND(ISNUMBER(E48),ISNUMBER(F48))),$J$2=""),1&gt;Reprogramaciones!$K$16),"",IF(ROUND(SUM($Q48:Q48),1)&gt;=99.5,100,MIN(100,ROUND(SUM($Q48:Q48),1))))</f>
        <v>0</v>
      </c>
      <c r="CK48" s="1" t="n">
        <f aca="false">IF(OR(OR(NOT(AND(ISNUMBER(E48),ISNUMBER(F48))),$J$2=""),2&gt;Reprogramaciones!$K$16),"",IF(ROUND(SUM($Q48:R48),1)&gt;=99.5,100,MIN(100,ROUND(SUM($Q48:R48),1))))</f>
        <v>0</v>
      </c>
      <c r="CL48" s="1" t="n">
        <f aca="false">IF(OR(OR(NOT(AND(ISNUMBER(E48),ISNUMBER(F48))),$J$2=""),3&gt;Reprogramaciones!$K$16),"",IF(ROUND(SUM($Q48:S48),1)&gt;=99.5,100,MIN(100,ROUND(SUM($Q48:S48),1))))</f>
        <v>0</v>
      </c>
      <c r="CM48" s="1" t="n">
        <f aca="false">IF(OR(OR(NOT(AND(ISNUMBER(E48),ISNUMBER(F48))),$J$2=""),4&gt;Reprogramaciones!$K$16),"",IF(ROUND(SUM($Q48:T48),1)&gt;=99.5,100,MIN(100,ROUND(SUM($Q48:T48),1))))</f>
        <v>0</v>
      </c>
      <c r="CN48" s="1" t="n">
        <f aca="false">IF(OR(OR(NOT(AND(ISNUMBER(E48),ISNUMBER(F48))),$J$2=""),5&gt;Reprogramaciones!$K$16),"",IF(ROUND(SUM($Q48:U48),1)&gt;=99.5,100,MIN(100,ROUND(SUM($Q48:U48),1))))</f>
        <v>0</v>
      </c>
      <c r="CO48" s="1" t="str">
        <f aca="false">IF(OR(OR(NOT(AND(ISNUMBER(E48),ISNUMBER(F48))),$J$2=""),6&gt;Reprogramaciones!$K$16),"",IF(ROUND(SUM($Q48:V48),1)&gt;=99.5,100,MIN(100,ROUND(SUM($Q48:V48),1))))</f>
        <v/>
      </c>
      <c r="CP48" s="1" t="str">
        <f aca="false">IF(OR(OR(NOT(AND(ISNUMBER(E48),ISNUMBER(F48))),$J$2=""),7&gt;Reprogramaciones!$K$16),"",IF(ROUND(SUM($Q48:W48),1)&gt;=99.5,100,MIN(100,ROUND(SUM($Q48:W48),1))))</f>
        <v/>
      </c>
      <c r="CQ48" s="1" t="str">
        <f aca="false">IF(OR(OR(NOT(AND(ISNUMBER(E48),ISNUMBER(F48))),$J$2=""),8&gt;Reprogramaciones!$K$16),"",IF(ROUND(SUM($Q48:X48),1)&gt;=99.5,100,MIN(100,ROUND(SUM($Q48:X48),1))))</f>
        <v/>
      </c>
      <c r="CR48" s="1" t="str">
        <f aca="false">IF(OR(OR(NOT(AND(ISNUMBER(E48),ISNUMBER(F48))),$J$2=""),9&gt;Reprogramaciones!$K$16),"",IF(ROUND(SUM($Q48:Y48),1)&gt;=99.5,100,MIN(100,ROUND(SUM($Q48:Y48),1))))</f>
        <v/>
      </c>
      <c r="CS48" s="1" t="str">
        <f aca="false">IF(OR(OR(NOT(AND(ISNUMBER(E48),ISNUMBER(F48))),$J$2=""),10&gt;Reprogramaciones!$K$16),"",IF(ROUND(SUM($Q48:Z48),1)&gt;=99.5,100,MIN(100,ROUND(SUM($Q48:Z48),1))))</f>
        <v/>
      </c>
      <c r="CT48" s="1" t="str">
        <f aca="false">IF(OR(OR(NOT(AND(ISNUMBER(E48),ISNUMBER(F48))),$J$2=""),11&gt;Reprogramaciones!$K$16),"",IF(ROUND(SUM($Q48:AA48),1)&gt;=99.5,100,MIN(100,ROUND(SUM($Q48:AA48),1))))</f>
        <v/>
      </c>
      <c r="CU48" s="1" t="str">
        <f aca="false">IF(OR(OR(NOT(AND(ISNUMBER(E48),ISNUMBER(F48))),$J$2=""),12&gt;Reprogramaciones!$K$16),"",IF(ROUND(SUM($Q48:AB48),1)&gt;=99.5,100,MIN(100,ROUND(SUM($Q48:AB48),1))))</f>
        <v/>
      </c>
      <c r="CV48" s="1" t="str">
        <f aca="false">IF(OR(OR(NOT(AND(ISNUMBER(E48),ISNUMBER(F48))),$J$2=""),13&gt;Reprogramaciones!$K$16),"",IF(ROUND(SUM($Q48:AC48),1)&gt;=99.5,100,MIN(100,ROUND(SUM($Q48:AC48),1))))</f>
        <v/>
      </c>
      <c r="CW48" s="1" t="str">
        <f aca="false">IF(OR(OR(NOT(AND(ISNUMBER(E48),ISNUMBER(F48))),$J$2=""),14&gt;Reprogramaciones!$K$16),"",IF(ROUND(SUM($Q48:AD48),1)&gt;=99.5,100,MIN(100,ROUND(SUM($Q48:AD48),1))))</f>
        <v/>
      </c>
      <c r="CX48" s="1" t="str">
        <f aca="false">IF(OR(OR(NOT(AND(ISNUMBER(E48),ISNUMBER(F48))),$J$2=""),15&gt;Reprogramaciones!$K$16),"",IF(ROUND(SUM($Q48:AE48),1)&gt;=99.5,100,MIN(100,ROUND(SUM($Q48:AE48),1))))</f>
        <v/>
      </c>
      <c r="CY48" s="1" t="str">
        <f aca="false">IF(OR(OR(NOT(AND(ISNUMBER(E48),ISNUMBER(F48))),$J$2=""),16&gt;Reprogramaciones!$K$16),"",IF(ROUND(SUM($Q48:AF48),1)&gt;=99.5,100,MIN(100,ROUND(SUM($Q48:AF48),1))))</f>
        <v/>
      </c>
      <c r="CZ48" s="1" t="str">
        <f aca="false">IF(D48&lt;&gt;"",D48,IF(B48&lt;&gt;"","Contractual",CZ47))</f>
        <v>Contractual</v>
      </c>
      <c r="DA48" s="1" t="n">
        <f aca="false">IF(OR(NOT(AND(ISNUMBER(E48),ISNUMBER(F48))),$J$2=""),"",IF(Reprogramaciones!$Q$15&lt;Reprogramaciones!$T$15,0,IF(Reprogramaciones!$S$15&gt;10,MIN(100,SUM($G48:$P48)),MIN(100,SUMPRODUCT((COLUMN($G48:$P48)-COLUMN($G48)+1&lt;Reprogramaciones!$S$15)*$G48:$P48)+N(INDEX($G48:$P48,1,Reprogramaciones!$S$15))*IF(Reprogramaciones!$Q$15&gt;=(Reprogramaciones!$T$15+7*(Reprogramaciones!$S$15-1))+6,1,IF(MAX(0,NETWORKDAYS.INTL(MAX(E48,(Reprogramaciones!$T$15+7*(Reprogramaciones!$S$15-1))),MIN(F48,(Reprogramaciones!$T$15+7*(Reprogramaciones!$S$15-1))+6),11))=0,0,MAX(0,NETWORKDAYS.INTL(MAX(E48,(Reprogramaciones!$T$15+7*(Reprogramaciones!$S$15-1))),MIN(F48,Reprogramaciones!$Q$15),11))/MAX(0,NETWORKDAYS.INTL(MAX(E48,(Reprogramaciones!$T$15+7*(Reprogramaciones!$S$15-1))),MIN(F48,(Reprogramaciones!$T$15+7*(Reprogramaciones!$S$15-1))+6),11))))))))</f>
        <v>0</v>
      </c>
    </row>
    <row r="49" customFormat="false" ht="15" hidden="false" customHeight="false" outlineLevel="0" collapsed="false">
      <c r="A49" s="32" t="s">
        <v>239</v>
      </c>
      <c r="B49" s="33"/>
      <c r="C49" s="33" t="s">
        <v>240</v>
      </c>
      <c r="D49" s="34"/>
      <c r="E49" s="35" t="n">
        <v>46321</v>
      </c>
      <c r="F49" s="35" t="n">
        <v>46321</v>
      </c>
      <c r="G49" s="36" t="n">
        <f aca="false">IF(OR(NOT(AND(ISNUMBER(E49),ISNUMBER(F49))),$J$2=""),"",IF(Reprogramaciones!K$9&lt;E49,0,IF(NETWORKDAYS.INTL(E49,F49,11)=0,IF(Reprogramaciones!K$9&gt;=F49,100,0),ROUND(NETWORKDAYS.INTL(E49,MIN(F49,Reprogramaciones!K$9),11)/NETWORKDAYS.INTL(E49,F49,11)*100,1)))-0)</f>
        <v>0</v>
      </c>
      <c r="H49" s="36" t="n">
        <f aca="false">IF(OR(NOT(AND(ISNUMBER(E49),ISNUMBER(F49))),$J$2=""),"",IF(Reprogramaciones!L$9&lt;E49,0,IF(NETWORKDAYS.INTL(E49,F49,11)=0,IF(Reprogramaciones!L$9&gt;=F49,100,0),ROUND(NETWORKDAYS.INTL(E49,MIN(F49,Reprogramaciones!L$9),11)/NETWORKDAYS.INTL(E49,F49,11)*100,1)))-IF(Reprogramaciones!K$9&lt;E49,0,IF(NETWORKDAYS.INTL(E49,F49,11)=0,IF(Reprogramaciones!K$9&gt;=F49,100,0),ROUND(NETWORKDAYS.INTL(E49,MIN(F49,Reprogramaciones!K$9),11)/NETWORKDAYS.INTL(E49,F49,11)*100,1))))</f>
        <v>0</v>
      </c>
      <c r="I49" s="36" t="n">
        <f aca="false">IF(OR(NOT(AND(ISNUMBER(E49),ISNUMBER(F49))),$J$2=""),"",IF(Reprogramaciones!M$9&lt;E49,0,IF(NETWORKDAYS.INTL(E49,F49,11)=0,IF(Reprogramaciones!M$9&gt;=F49,100,0),ROUND(NETWORKDAYS.INTL(E49,MIN(F49,Reprogramaciones!M$9),11)/NETWORKDAYS.INTL(E49,F49,11)*100,1)))-IF(Reprogramaciones!L$9&lt;E49,0,IF(NETWORKDAYS.INTL(E49,F49,11)=0,IF(Reprogramaciones!L$9&gt;=F49,100,0),ROUND(NETWORKDAYS.INTL(E49,MIN(F49,Reprogramaciones!L$9),11)/NETWORKDAYS.INTL(E49,F49,11)*100,1))))</f>
        <v>0</v>
      </c>
      <c r="J49" s="36" t="n">
        <f aca="false">IF(OR(NOT(AND(ISNUMBER(E49),ISNUMBER(F49))),$J$2=""),"",IF(Reprogramaciones!N$9&lt;E49,0,IF(NETWORKDAYS.INTL(E49,F49,11)=0,IF(Reprogramaciones!N$9&gt;=F49,100,0),ROUND(NETWORKDAYS.INTL(E49,MIN(F49,Reprogramaciones!N$9),11)/NETWORKDAYS.INTL(E49,F49,11)*100,1)))-IF(Reprogramaciones!M$9&lt;E49,0,IF(NETWORKDAYS.INTL(E49,F49,11)=0,IF(Reprogramaciones!M$9&gt;=F49,100,0),ROUND(NETWORKDAYS.INTL(E49,MIN(F49,Reprogramaciones!M$9),11)/NETWORKDAYS.INTL(E49,F49,11)*100,1))))</f>
        <v>0</v>
      </c>
      <c r="K49" s="36" t="n">
        <f aca="false">IF(OR(NOT(AND(ISNUMBER(E49),ISNUMBER(F49))),$J$2=""),"",IF(Reprogramaciones!O$9&lt;E49,0,IF(NETWORKDAYS.INTL(E49,F49,11)=0,IF(Reprogramaciones!O$9&gt;=F49,100,0),ROUND(NETWORKDAYS.INTL(E49,MIN(F49,Reprogramaciones!O$9),11)/NETWORKDAYS.INTL(E49,F49,11)*100,1)))-IF(Reprogramaciones!N$9&lt;E49,0,IF(NETWORKDAYS.INTL(E49,F49,11)=0,IF(Reprogramaciones!N$9&gt;=F49,100,0),ROUND(NETWORKDAYS.INTL(E49,MIN(F49,Reprogramaciones!N$9),11)/NETWORKDAYS.INTL(E49,F49,11)*100,1))))</f>
        <v>0</v>
      </c>
      <c r="L49" s="36" t="n">
        <f aca="false">IF(OR(NOT(AND(ISNUMBER(E49),ISNUMBER(F49))),$J$2=""),"",IF(Reprogramaciones!P$9&lt;E49,0,IF(NETWORKDAYS.INTL(E49,F49,11)=0,IF(Reprogramaciones!P$9&gt;=F49,100,0),ROUND(NETWORKDAYS.INTL(E49,MIN(F49,Reprogramaciones!P$9),11)/NETWORKDAYS.INTL(E49,F49,11)*100,1)))-IF(Reprogramaciones!O$9&lt;E49,0,IF(NETWORKDAYS.INTL(E49,F49,11)=0,IF(Reprogramaciones!O$9&gt;=F49,100,0),ROUND(NETWORKDAYS.INTL(E49,MIN(F49,Reprogramaciones!O$9),11)/NETWORKDAYS.INTL(E49,F49,11)*100,1))))</f>
        <v>100</v>
      </c>
      <c r="M49" s="36" t="n">
        <f aca="false">IF(OR(NOT(AND(ISNUMBER(E49),ISNUMBER(F49))),$J$2=""),"",IF(Reprogramaciones!Q$9&lt;E49,0,IF(NETWORKDAYS.INTL(E49,F49,11)=0,IF(Reprogramaciones!Q$9&gt;=F49,100,0),ROUND(NETWORKDAYS.INTL(E49,MIN(F49,Reprogramaciones!Q$9),11)/NETWORKDAYS.INTL(E49,F49,11)*100,1)))-IF(Reprogramaciones!P$9&lt;E49,0,IF(NETWORKDAYS.INTL(E49,F49,11)=0,IF(Reprogramaciones!P$9&gt;=F49,100,0),ROUND(NETWORKDAYS.INTL(E49,MIN(F49,Reprogramaciones!P$9),11)/NETWORKDAYS.INTL(E49,F49,11)*100,1))))</f>
        <v>0</v>
      </c>
      <c r="N49" s="36" t="n">
        <f aca="false">IF(OR(NOT(AND(ISNUMBER(E49),ISNUMBER(F49))),$J$2=""),"",IF(Reprogramaciones!R$9&lt;E49,0,IF(NETWORKDAYS.INTL(E49,F49,11)=0,IF(Reprogramaciones!R$9&gt;=F49,100,0),ROUND(NETWORKDAYS.INTL(E49,MIN(F49,Reprogramaciones!R$9),11)/NETWORKDAYS.INTL(E49,F49,11)*100,1)))-IF(Reprogramaciones!Q$9&lt;E49,0,IF(NETWORKDAYS.INTL(E49,F49,11)=0,IF(Reprogramaciones!Q$9&gt;=F49,100,0),ROUND(NETWORKDAYS.INTL(E49,MIN(F49,Reprogramaciones!Q$9),11)/NETWORKDAYS.INTL(E49,F49,11)*100,1))))</f>
        <v>0</v>
      </c>
      <c r="O49" s="36" t="n">
        <f aca="false">IF(OR(NOT(AND(ISNUMBER(E49),ISNUMBER(F49))),$J$2=""),"",IF(Reprogramaciones!S$9&lt;E49,0,IF(NETWORKDAYS.INTL(E49,F49,11)=0,IF(Reprogramaciones!S$9&gt;=F49,100,0),ROUND(NETWORKDAYS.INTL(E49,MIN(F49,Reprogramaciones!S$9),11)/NETWORKDAYS.INTL(E49,F49,11)*100,1)))-IF(Reprogramaciones!R$9&lt;E49,0,IF(NETWORKDAYS.INTL(E49,F49,11)=0,IF(Reprogramaciones!R$9&gt;=F49,100,0),ROUND(NETWORKDAYS.INTL(E49,MIN(F49,Reprogramaciones!R$9),11)/NETWORKDAYS.INTL(E49,F49,11)*100,1))))</f>
        <v>0</v>
      </c>
      <c r="P49" s="36" t="n">
        <f aca="false">IF(OR(NOT(AND(ISNUMBER(E49),ISNUMBER(F49))),$J$2=""),"",IF(Reprogramaciones!T$9&lt;E49,0,IF(NETWORKDAYS.INTL(E49,F49,11)=0,IF(Reprogramaciones!T$9&gt;=F49,100,0),ROUND(NETWORKDAYS.INTL(E49,MIN(F49,Reprogramaciones!T$9),11)/NETWORKDAYS.INTL(E49,F49,11)*100,1)))-IF(Reprogramaciones!S$9&lt;E49,0,IF(NETWORKDAYS.INTL(E49,F49,11)=0,IF(Reprogramaciones!S$9&gt;=F49,100,0),ROUND(NETWORKDAYS.INTL(E49,MIN(F49,Reprogramaciones!S$9),11)/NETWORKDAYS.INTL(E49,F49,11)*100,1))))</f>
        <v>0</v>
      </c>
      <c r="Q49" s="37"/>
      <c r="R49" s="37"/>
      <c r="S49" s="37"/>
      <c r="T49" s="37"/>
      <c r="U49" s="37"/>
      <c r="V49" s="37"/>
      <c r="W49" s="37"/>
      <c r="X49" s="37"/>
      <c r="Y49" s="37"/>
      <c r="Z49" s="37"/>
      <c r="AA49" s="37"/>
      <c r="AB49" s="37"/>
      <c r="AC49" s="37"/>
      <c r="AD49" s="37"/>
      <c r="AE49" s="37"/>
      <c r="AF49" s="37"/>
      <c r="AG49" s="38" t="n">
        <f aca="false">IF(AND(ISNUMBER(E49),ISNUMBER(F49)),NETWORKDAYS.INTL(E49,F49,11),"")</f>
        <v>1</v>
      </c>
      <c r="AH49" s="38" t="n">
        <f aca="false">IF(OR(NOT(AND(ISNUMBER(E49),ISNUMBER(F49))),$J$2=""),"",IF(Reprogramaciones!$P$15&lt;Reprogramaciones!$T$15,0,IF(Reprogramaciones!$R$15&gt;10,MIN(100,SUM($G49:$P49)),MIN(100,SUMPRODUCT((COLUMN($G49:$P49)-COLUMN($G49)+1&lt;Reprogramaciones!$R$15)*$G49:$P49)+N(INDEX($G49:$P49,1,Reprogramaciones!$R$15))*IF(Reprogramaciones!$P$15&gt;=(Reprogramaciones!$T$15+7*(Reprogramaciones!$R$15-1))+6,1,IF(MAX(0,NETWORKDAYS.INTL(MAX(E49,(Reprogramaciones!$T$15+7*(Reprogramaciones!$R$15-1))),MIN(F49,(Reprogramaciones!$T$15+7*(Reprogramaciones!$R$15-1))+6),11))=0,0,MAX(0,NETWORKDAYS.INTL(MAX(E49,(Reprogramaciones!$T$15+7*(Reprogramaciones!$R$15-1))),MIN(F49,Reprogramaciones!$P$15),11))/MAX(0,NETWORKDAYS.INTL(MAX(E49,(Reprogramaciones!$T$15+7*(Reprogramaciones!$R$15-1))),MIN(F49,(Reprogramaciones!$T$15+7*(Reprogramaciones!$R$15-1))+6),11))))))))</f>
        <v>0</v>
      </c>
      <c r="AI49" s="38" t="str">
        <f aca="false">IF(COUNT($Q49:$AF49)=0,"",IF(ROUND(SUM($Q49:$AF49),1)&gt;=99.5,100,MIN(100,ROUND(SUM($Q49:$AF49),1))))</f>
        <v/>
      </c>
      <c r="AJ49" s="38" t="str">
        <f aca="false">IF(OR(AH49="",AI49=""),"",AI49-AH49)</f>
        <v/>
      </c>
      <c r="AK49" s="39" t="str">
        <f aca="true">IF(AH49="","",IF(OR(Ficha!$C$10="Suspendida",Ficha!$C$10="Cancelada"),Ficha!$C$10,IF(AND(AI49&lt;&gt;"",N(AI49)&gt;=100),"Completada",IF(AND(E49&gt;TODAY(),N(AI49)=0),"Por iniciar",IF(N(AI49)+0.5&lt;AH49,"Retrasada",IF(N(AI49)+0.5&lt;DA49,IF(Reprogramaciones!$K$15&gt;0,"Al día · Sem "&amp;Reprogramaciones!$K$15&amp;" en curso","Al día · en curso"),"A tiempo"))))))</f>
        <v>Por iniciar</v>
      </c>
      <c r="AL49" s="39" t="str">
        <f aca="true">IF(AND(A49="",AND(B49="",C49="",E49="",F49="",COUNT(Q49:AF49)=0)),"",IF(AND(B49="",C49="",E49="",F49="",COUNT(Q49:AF49)=0),"Falta la partida o subpartida",IF(AND(A49&lt;&gt;"",COUNTIF($A$6:$A$305,A49)&gt;1),"Ítem repetido",IF(AND(C49="",E49="",F49="",COUNT(Q49:AF49)=0),"Título de partida",IF(OR(E49="",F49=""),"Faltan fechas",IF(OR(ISTEXT(E49),ISTEXT(F49)),"Fecha escrita como texto: usa dd/mm/aaaa",IF(F49&lt;E49,"Fin antes del inicio",IF(IF($J$2="",FALSE(),OR(E49&lt;$J$2,F49&gt;Reprogramaciones!$T$15+69)),"Fuera de las 10 semanas",IF(ABS(SUM(G49:P49)-100)&gt;0.5,"La meta no suma 100%",IF(ROUND(SUM(Q49:AF49),1)&gt;100.5,"El avance pasa de 100%",IF(MIN(Q49:AF49)&lt;0,"Avance negativo",IF(COUNTA(Q49:AF49)&gt;COUNT(Q49:AF49),"Avance escrito como texto",IF(SUMPRODUCT((Q49:AF49&gt;0)*(Q49:AF49&lt;1))&gt;0,"Avance menor a 1: escribe 50, no 50%",IF(SUMPRODUCT(ISNUMBER(Q49:AF49)*(Reprogramaciones!$K$8:$Z$8&gt;TODAY()))&gt;0,"Avance en semana que aún no llega",IF(AND(N(Reprogramaciones!$E$21)&gt;0,F49&gt;Reprogramaciones!$E$21),"Pasa el fin de la obra: registra una reprogramación",IF(AND(N(Reprogramaciones!$E$21)&gt;0,SUMPRODUCT(ISNUMBER(Q49:AF49)*(Reprogramaciones!$K$8:$Z$8&gt;Reprogramaciones!$E$21))&gt;0),"Avance después del fin de la obra: registra una reprogramación por atraso","OK"))))))))))))))))</f>
        <v>OK</v>
      </c>
      <c r="AM49" s="40" t="str">
        <f aca="false">IF(OR(OR(NOT(AND(ISNUMBER(E49),ISNUMBER(F49))),$J$2=""),1&gt;MAX(1,Reprogramaciones!$U$15)),"",IF(Reprogramaciones!K$12&gt;=7,"",IF(OR(BT49-N(0)&gt;0.05,N(Q49)&gt;0),ROUNDDOWN(ROUND(BT49,6),0)&amp;"%"&amp;IF(CJ49="",""," / "&amp;CJ49&amp;"%"),IF(AND(N(0)&gt;=99.95,CJ49&lt;&gt;"",N(CJ49)&lt;100),"Pend. "&amp;CJ49&amp;"%",""))))</f>
        <v/>
      </c>
      <c r="AN49" s="40" t="str">
        <f aca="false">IF(OR(OR(NOT(AND(ISNUMBER(E49),ISNUMBER(F49))),$J$2=""),2&gt;MAX(1,Reprogramaciones!$U$15)),"",IF(Reprogramaciones!L$12&gt;=7,"",IF(OR(BU49-N(BT49)&gt;0.05,N(R49)&gt;0),ROUNDDOWN(ROUND(BU49,6),0)&amp;"%"&amp;IF(CK49="",""," / "&amp;CK49&amp;"%"),IF(AND(N(BT49)&gt;=99.95,CK49&lt;&gt;"",N(CK49)&lt;100),"Pend. "&amp;CK49&amp;"%",""))))</f>
        <v/>
      </c>
      <c r="AO49" s="40" t="str">
        <f aca="false">IF(OR(OR(NOT(AND(ISNUMBER(E49),ISNUMBER(F49))),$J$2=""),3&gt;MAX(1,Reprogramaciones!$U$15)),"",IF(Reprogramaciones!M$12&gt;=7,"",IF(OR(BV49-N(BU49)&gt;0.05,N(S49)&gt;0),ROUNDDOWN(ROUND(BV49,6),0)&amp;"%"&amp;IF(CL49="",""," / "&amp;CL49&amp;"%"),IF(AND(N(BU49)&gt;=99.95,CL49&lt;&gt;"",N(CL49)&lt;100),"Pend. "&amp;CL49&amp;"%",""))))</f>
        <v/>
      </c>
      <c r="AP49" s="40" t="str">
        <f aca="false">IF(OR(OR(NOT(AND(ISNUMBER(E49),ISNUMBER(F49))),$J$2=""),4&gt;MAX(1,Reprogramaciones!$U$15)),"",IF(Reprogramaciones!N$12&gt;=7,"",IF(OR(BW49-N(BV49)&gt;0.05,N(T49)&gt;0),ROUNDDOWN(ROUND(BW49,6),0)&amp;"%"&amp;IF(CM49="",""," / "&amp;CM49&amp;"%"),IF(AND(N(BV49)&gt;=99.95,CM49&lt;&gt;"",N(CM49)&lt;100),"Pend. "&amp;CM49&amp;"%",""))))</f>
        <v/>
      </c>
      <c r="AQ49" s="40" t="str">
        <f aca="false">IF(OR(OR(NOT(AND(ISNUMBER(E49),ISNUMBER(F49))),$J$2=""),5&gt;MAX(1,Reprogramaciones!$U$15)),"",IF(Reprogramaciones!O$12&gt;=7,"",IF(OR(BX49-N(BW49)&gt;0.05,N(U49)&gt;0),ROUNDDOWN(ROUND(BX49,6),0)&amp;"%"&amp;IF(CN49="",""," / "&amp;CN49&amp;"%"),IF(AND(N(BW49)&gt;=99.95,CN49&lt;&gt;"",N(CN49)&lt;100),"Pend. "&amp;CN49&amp;"%",""))))</f>
        <v/>
      </c>
      <c r="AR49" s="40" t="str">
        <f aca="false">IF(OR(OR(NOT(AND(ISNUMBER(E49),ISNUMBER(F49))),$J$2=""),6&gt;MAX(1,Reprogramaciones!$U$15)),"",IF(Reprogramaciones!P$12&gt;=7,"",IF(OR(BY49-N(BX49)&gt;0.05,N(V49)&gt;0),ROUNDDOWN(ROUND(BY49,6),0)&amp;"%"&amp;IF(CO49="",""," / "&amp;CO49&amp;"%"),IF(AND(N(BX49)&gt;=99.95,CO49&lt;&gt;"",N(CO49)&lt;100),"Pend. "&amp;CO49&amp;"%",""))))</f>
        <v>100%</v>
      </c>
      <c r="AS49" s="40" t="str">
        <f aca="false">IF(OR(OR(NOT(AND(ISNUMBER(E49),ISNUMBER(F49))),$J$2=""),7&gt;MAX(1,Reprogramaciones!$U$15)),"",IF(Reprogramaciones!Q$12&gt;=7,"",IF(OR(BZ49-N(BY49)&gt;0.05,N(W49)&gt;0),ROUNDDOWN(ROUND(BZ49,6),0)&amp;"%"&amp;IF(CP49="",""," / "&amp;CP49&amp;"%"),IF(AND(N(BY49)&gt;=99.95,CP49&lt;&gt;"",N(CP49)&lt;100),"Pend. "&amp;CP49&amp;"%",""))))</f>
        <v/>
      </c>
      <c r="AT49" s="40" t="str">
        <f aca="false">IF(OR(OR(NOT(AND(ISNUMBER(E49),ISNUMBER(F49))),$J$2=""),8&gt;MAX(1,Reprogramaciones!$U$15)),"",IF(Reprogramaciones!R$12&gt;=7,"",IF(OR(CA49-N(BZ49)&gt;0.05,N(X49)&gt;0),ROUNDDOWN(ROUND(CA49,6),0)&amp;"%"&amp;IF(CQ49="",""," / "&amp;CQ49&amp;"%"),IF(AND(N(BZ49)&gt;=99.95,CQ49&lt;&gt;"",N(CQ49)&lt;100),"Pend. "&amp;CQ49&amp;"%",""))))</f>
        <v/>
      </c>
      <c r="AU49" s="40" t="str">
        <f aca="false">IF(OR(OR(NOT(AND(ISNUMBER(E49),ISNUMBER(F49))),$J$2=""),9&gt;MAX(1,Reprogramaciones!$U$15)),"",IF(Reprogramaciones!S$12&gt;=7,"",IF(OR(CB49-N(CA49)&gt;0.05,N(Y49)&gt;0),ROUNDDOWN(ROUND(CB49,6),0)&amp;"%"&amp;IF(CR49="",""," / "&amp;CR49&amp;"%"),IF(AND(N(CA49)&gt;=99.95,CR49&lt;&gt;"",N(CR49)&lt;100),"Pend. "&amp;CR49&amp;"%",""))))</f>
        <v/>
      </c>
      <c r="AV49" s="40" t="str">
        <f aca="false">IF(OR(OR(NOT(AND(ISNUMBER(E49),ISNUMBER(F49))),$J$2=""),10&gt;MAX(1,Reprogramaciones!$U$15)),"",IF(Reprogramaciones!T$12&gt;=7,"",IF(OR(CC49-N(CB49)&gt;0.05,N(Z49)&gt;0),ROUNDDOWN(ROUND(CC49,6),0)&amp;"%"&amp;IF(CS49="",""," / "&amp;CS49&amp;"%"),IF(AND(N(CB49)&gt;=99.95,CS49&lt;&gt;"",N(CS49)&lt;100),"Pend. "&amp;CS49&amp;"%",""))))</f>
        <v/>
      </c>
      <c r="AW49" s="40" t="str">
        <f aca="false">IF(OR(OR(NOT(AND(ISNUMBER(E49),ISNUMBER(F49))),$J$2=""),11&gt;MAX(1,Reprogramaciones!$U$15)),"",IF(Reprogramaciones!U$12&gt;=7,"",IF(OR(CD49-N(CC49)&gt;0.05,N(AA49)&gt;0),ROUNDDOWN(ROUND(CD49,6),0)&amp;"%"&amp;IF(CT49="",""," / "&amp;CT49&amp;"%"),IF(AND(N(CC49)&gt;=99.95,CT49&lt;&gt;"",N(CT49)&lt;100),"Pend. "&amp;CT49&amp;"%",""))))</f>
        <v/>
      </c>
      <c r="AX49" s="40" t="str">
        <f aca="false">IF(OR(OR(NOT(AND(ISNUMBER(E49),ISNUMBER(F49))),$J$2=""),12&gt;MAX(1,Reprogramaciones!$U$15)),"",IF(Reprogramaciones!V$12&gt;=7,"",IF(OR(CE49-N(CD49)&gt;0.05,N(AB49)&gt;0),ROUNDDOWN(ROUND(CE49,6),0)&amp;"%"&amp;IF(CU49="",""," / "&amp;CU49&amp;"%"),IF(AND(N(CD49)&gt;=99.95,CU49&lt;&gt;"",N(CU49)&lt;100),"Pend. "&amp;CU49&amp;"%",""))))</f>
        <v/>
      </c>
      <c r="AY49" s="40" t="str">
        <f aca="false">IF(OR(OR(NOT(AND(ISNUMBER(E49),ISNUMBER(F49))),$J$2=""),13&gt;MAX(1,Reprogramaciones!$U$15)),"",IF(Reprogramaciones!W$12&gt;=7,"",IF(OR(CF49-N(CE49)&gt;0.05,N(AC49)&gt;0),ROUNDDOWN(ROUND(CF49,6),0)&amp;"%"&amp;IF(CV49="",""," / "&amp;CV49&amp;"%"),IF(AND(N(CE49)&gt;=99.95,CV49&lt;&gt;"",N(CV49)&lt;100),"Pend. "&amp;CV49&amp;"%",""))))</f>
        <v/>
      </c>
      <c r="AZ49" s="40" t="str">
        <f aca="false">IF(OR(OR(NOT(AND(ISNUMBER(E49),ISNUMBER(F49))),$J$2=""),14&gt;MAX(1,Reprogramaciones!$U$15)),"",IF(Reprogramaciones!X$12&gt;=7,"",IF(OR(CG49-N(CF49)&gt;0.05,N(AD49)&gt;0),ROUNDDOWN(ROUND(CG49,6),0)&amp;"%"&amp;IF(CW49="",""," / "&amp;CW49&amp;"%"),IF(AND(N(CF49)&gt;=99.95,CW49&lt;&gt;"",N(CW49)&lt;100),"Pend. "&amp;CW49&amp;"%",""))))</f>
        <v/>
      </c>
      <c r="BA49" s="40" t="str">
        <f aca="false">IF(OR(OR(NOT(AND(ISNUMBER(E49),ISNUMBER(F49))),$J$2=""),15&gt;MAX(1,Reprogramaciones!$U$15)),"",IF(Reprogramaciones!Y$12&gt;=7,"",IF(OR(CH49-N(CG49)&gt;0.05,N(AE49)&gt;0),ROUNDDOWN(ROUND(CH49,6),0)&amp;"%"&amp;IF(CX49="",""," / "&amp;CX49&amp;"%"),IF(AND(N(CG49)&gt;=99.95,CX49&lt;&gt;"",N(CX49)&lt;100),"Pend. "&amp;CX49&amp;"%",""))))</f>
        <v/>
      </c>
      <c r="BB49" s="40" t="str">
        <f aca="false">IF(OR(OR(NOT(AND(ISNUMBER(E49),ISNUMBER(F49))),$J$2=""),16&gt;MAX(1,Reprogramaciones!$U$15)),"",IF(Reprogramaciones!Z$12&gt;=7,"",IF(OR(CI49-N(CH49)&gt;0.05,N(AF49)&gt;0),ROUNDDOWN(ROUND(CI49,6),0)&amp;"%"&amp;IF(CY49="",""," / "&amp;CY49&amp;"%"),IF(AND(N(CH49)&gt;=99.95,CY49&lt;&gt;"",N(CY49)&lt;100),"Pend. "&amp;CY49&amp;"%",""))))</f>
        <v/>
      </c>
      <c r="BC49" s="31" t="n">
        <f aca="false">IF(AND(ISNUMBER(E49),ISNUMBER(F49)),MAX(1,NETWORKDAYS.INTL(E49,F49,11)),0)</f>
        <v>1</v>
      </c>
      <c r="BD49" s="1" t="n">
        <f aca="false">IF(OR(NOT(AND(ISNUMBER(E49),ISNUMBER(F49))),$J$2=""),"",MIN(100,ROUND(SUM($G49:G49),1)))</f>
        <v>0</v>
      </c>
      <c r="BE49" s="1" t="n">
        <f aca="false">IF(OR(NOT(AND(ISNUMBER(E49),ISNUMBER(F49))),$J$2=""),"",MIN(100,ROUND(SUM($G49:H49),1)))</f>
        <v>0</v>
      </c>
      <c r="BF49" s="1" t="n">
        <f aca="false">IF(OR(NOT(AND(ISNUMBER(E49),ISNUMBER(F49))),$J$2=""),"",MIN(100,ROUND(SUM($G49:I49),1)))</f>
        <v>0</v>
      </c>
      <c r="BG49" s="1" t="n">
        <f aca="false">IF(OR(NOT(AND(ISNUMBER(E49),ISNUMBER(F49))),$J$2=""),"",MIN(100,ROUND(SUM($G49:J49),1)))</f>
        <v>0</v>
      </c>
      <c r="BH49" s="1" t="n">
        <f aca="false">IF(OR(NOT(AND(ISNUMBER(E49),ISNUMBER(F49))),$J$2=""),"",MIN(100,ROUND(SUM($G49:K49),1)))</f>
        <v>0</v>
      </c>
      <c r="BI49" s="1" t="n">
        <f aca="false">IF(OR(NOT(AND(ISNUMBER(E49),ISNUMBER(F49))),$J$2=""),"",MIN(100,ROUND(SUM($G49:L49),1)))</f>
        <v>100</v>
      </c>
      <c r="BJ49" s="1" t="n">
        <f aca="false">IF(OR(NOT(AND(ISNUMBER(E49),ISNUMBER(F49))),$J$2=""),"",MIN(100,ROUND(SUM($G49:M49),1)))</f>
        <v>100</v>
      </c>
      <c r="BK49" s="1" t="n">
        <f aca="false">IF(OR(NOT(AND(ISNUMBER(E49),ISNUMBER(F49))),$J$2=""),"",MIN(100,ROUND(SUM($G49:N49),1)))</f>
        <v>100</v>
      </c>
      <c r="BL49" s="1" t="n">
        <f aca="false">IF(OR(NOT(AND(ISNUMBER(E49),ISNUMBER(F49))),$J$2=""),"",MIN(100,ROUND(SUM($G49:O49),1)))</f>
        <v>100</v>
      </c>
      <c r="BM49" s="1" t="n">
        <f aca="false">IF(OR(NOT(AND(ISNUMBER(E49),ISNUMBER(F49))),$J$2=""),"",MIN(100,ROUND(SUM($G49:P49),1)))</f>
        <v>100</v>
      </c>
      <c r="BN49" s="1" t="n">
        <f aca="false">IF(OR(NOT(AND(ISNUMBER(E49),ISNUMBER(F49))),$J$2=""),"",MIN(100,ROUND(SUM($G49:P49),1)))</f>
        <v>100</v>
      </c>
      <c r="BO49" s="1" t="n">
        <f aca="false">IF(OR(NOT(AND(ISNUMBER(E49),ISNUMBER(F49))),$J$2=""),"",MIN(100,ROUND(SUM($G49:P49),1)))</f>
        <v>100</v>
      </c>
      <c r="BP49" s="1" t="n">
        <f aca="false">IF(OR(NOT(AND(ISNUMBER(E49),ISNUMBER(F49))),$J$2=""),"",MIN(100,ROUND(SUM($G49:P49),1)))</f>
        <v>100</v>
      </c>
      <c r="BQ49" s="1" t="n">
        <f aca="false">IF(OR(NOT(AND(ISNUMBER(E49),ISNUMBER(F49))),$J$2=""),"",MIN(100,ROUND(SUM($G49:P49),1)))</f>
        <v>100</v>
      </c>
      <c r="BR49" s="1" t="n">
        <f aca="false">IF(OR(NOT(AND(ISNUMBER(E49),ISNUMBER(F49))),$J$2=""),"",MIN(100,ROUND(SUM($G49:P49),1)))</f>
        <v>100</v>
      </c>
      <c r="BS49" s="1" t="n">
        <f aca="false">IF(OR(NOT(AND(ISNUMBER(E49),ISNUMBER(F49))),$J$2=""),"",MIN(100,ROUND(SUM($G49:P49),1)))</f>
        <v>100</v>
      </c>
      <c r="BT49" s="1" t="n">
        <f aca="false">IF(OR(NOT(AND(ISNUMBER(E49),ISNUMBER(F49))),$J$2=""),"",IF(Reprogramaciones!K$13&lt;Reprogramaciones!$T$15,0,IF(Reprogramaciones!K$14&gt;10,MIN(100,SUM($G49:$P49)),MIN(100,SUMPRODUCT((COLUMN($G49:$P49)-COLUMN($G49)+1&lt;Reprogramaciones!K$14)*$G49:$P49)+N(INDEX($G49:$P49,1,Reprogramaciones!K$14))*IF(Reprogramaciones!K$13&gt;=(Reprogramaciones!$T$15+7*(Reprogramaciones!K$14-1))+6,1,IF(MAX(0,NETWORKDAYS.INTL(MAX(E49,(Reprogramaciones!$T$15+7*(Reprogramaciones!K$14-1))),MIN(F49,(Reprogramaciones!$T$15+7*(Reprogramaciones!K$14-1))+6),11))=0,0,MAX(0,NETWORKDAYS.INTL(MAX(E49,(Reprogramaciones!$T$15+7*(Reprogramaciones!K$14-1))),MIN(F49,Reprogramaciones!K$13),11))/MAX(0,NETWORKDAYS.INTL(MAX(E49,(Reprogramaciones!$T$15+7*(Reprogramaciones!K$14-1))),MIN(F49,(Reprogramaciones!$T$15+7*(Reprogramaciones!K$14-1))+6),11))))))))</f>
        <v>0</v>
      </c>
      <c r="BU49" s="1" t="n">
        <f aca="false">IF(OR(NOT(AND(ISNUMBER(E49),ISNUMBER(F49))),$J$2=""),"",IF(Reprogramaciones!L$13&lt;Reprogramaciones!$T$15,0,IF(Reprogramaciones!L$14&gt;10,MIN(100,SUM($G49:$P49)),MIN(100,SUMPRODUCT((COLUMN($G49:$P49)-COLUMN($G49)+1&lt;Reprogramaciones!L$14)*$G49:$P49)+N(INDEX($G49:$P49,1,Reprogramaciones!L$14))*IF(Reprogramaciones!L$13&gt;=(Reprogramaciones!$T$15+7*(Reprogramaciones!L$14-1))+6,1,IF(MAX(0,NETWORKDAYS.INTL(MAX(E49,(Reprogramaciones!$T$15+7*(Reprogramaciones!L$14-1))),MIN(F49,(Reprogramaciones!$T$15+7*(Reprogramaciones!L$14-1))+6),11))=0,0,MAX(0,NETWORKDAYS.INTL(MAX(E49,(Reprogramaciones!$T$15+7*(Reprogramaciones!L$14-1))),MIN(F49,Reprogramaciones!L$13),11))/MAX(0,NETWORKDAYS.INTL(MAX(E49,(Reprogramaciones!$T$15+7*(Reprogramaciones!L$14-1))),MIN(F49,(Reprogramaciones!$T$15+7*(Reprogramaciones!L$14-1))+6),11))))))))</f>
        <v>0</v>
      </c>
      <c r="BV49" s="1" t="n">
        <f aca="false">IF(OR(NOT(AND(ISNUMBER(E49),ISNUMBER(F49))),$J$2=""),"",IF(Reprogramaciones!M$13&lt;Reprogramaciones!$T$15,0,IF(Reprogramaciones!M$14&gt;10,MIN(100,SUM($G49:$P49)),MIN(100,SUMPRODUCT((COLUMN($G49:$P49)-COLUMN($G49)+1&lt;Reprogramaciones!M$14)*$G49:$P49)+N(INDEX($G49:$P49,1,Reprogramaciones!M$14))*IF(Reprogramaciones!M$13&gt;=(Reprogramaciones!$T$15+7*(Reprogramaciones!M$14-1))+6,1,IF(MAX(0,NETWORKDAYS.INTL(MAX(E49,(Reprogramaciones!$T$15+7*(Reprogramaciones!M$14-1))),MIN(F49,(Reprogramaciones!$T$15+7*(Reprogramaciones!M$14-1))+6),11))=0,0,MAX(0,NETWORKDAYS.INTL(MAX(E49,(Reprogramaciones!$T$15+7*(Reprogramaciones!M$14-1))),MIN(F49,Reprogramaciones!M$13),11))/MAX(0,NETWORKDAYS.INTL(MAX(E49,(Reprogramaciones!$T$15+7*(Reprogramaciones!M$14-1))),MIN(F49,(Reprogramaciones!$T$15+7*(Reprogramaciones!M$14-1))+6),11))))))))</f>
        <v>0</v>
      </c>
      <c r="BW49" s="1" t="n">
        <f aca="false">IF(OR(NOT(AND(ISNUMBER(E49),ISNUMBER(F49))),$J$2=""),"",IF(Reprogramaciones!N$13&lt;Reprogramaciones!$T$15,0,IF(Reprogramaciones!N$14&gt;10,MIN(100,SUM($G49:$P49)),MIN(100,SUMPRODUCT((COLUMN($G49:$P49)-COLUMN($G49)+1&lt;Reprogramaciones!N$14)*$G49:$P49)+N(INDEX($G49:$P49,1,Reprogramaciones!N$14))*IF(Reprogramaciones!N$13&gt;=(Reprogramaciones!$T$15+7*(Reprogramaciones!N$14-1))+6,1,IF(MAX(0,NETWORKDAYS.INTL(MAX(E49,(Reprogramaciones!$T$15+7*(Reprogramaciones!N$14-1))),MIN(F49,(Reprogramaciones!$T$15+7*(Reprogramaciones!N$14-1))+6),11))=0,0,MAX(0,NETWORKDAYS.INTL(MAX(E49,(Reprogramaciones!$T$15+7*(Reprogramaciones!N$14-1))),MIN(F49,Reprogramaciones!N$13),11))/MAX(0,NETWORKDAYS.INTL(MAX(E49,(Reprogramaciones!$T$15+7*(Reprogramaciones!N$14-1))),MIN(F49,(Reprogramaciones!$T$15+7*(Reprogramaciones!N$14-1))+6),11))))))))</f>
        <v>0</v>
      </c>
      <c r="BX49" s="1" t="n">
        <f aca="false">IF(OR(NOT(AND(ISNUMBER(E49),ISNUMBER(F49))),$J$2=""),"",IF(Reprogramaciones!O$13&lt;Reprogramaciones!$T$15,0,IF(Reprogramaciones!O$14&gt;10,MIN(100,SUM($G49:$P49)),MIN(100,SUMPRODUCT((COLUMN($G49:$P49)-COLUMN($G49)+1&lt;Reprogramaciones!O$14)*$G49:$P49)+N(INDEX($G49:$P49,1,Reprogramaciones!O$14))*IF(Reprogramaciones!O$13&gt;=(Reprogramaciones!$T$15+7*(Reprogramaciones!O$14-1))+6,1,IF(MAX(0,NETWORKDAYS.INTL(MAX(E49,(Reprogramaciones!$T$15+7*(Reprogramaciones!O$14-1))),MIN(F49,(Reprogramaciones!$T$15+7*(Reprogramaciones!O$14-1))+6),11))=0,0,MAX(0,NETWORKDAYS.INTL(MAX(E49,(Reprogramaciones!$T$15+7*(Reprogramaciones!O$14-1))),MIN(F49,Reprogramaciones!O$13),11))/MAX(0,NETWORKDAYS.INTL(MAX(E49,(Reprogramaciones!$T$15+7*(Reprogramaciones!O$14-1))),MIN(F49,(Reprogramaciones!$T$15+7*(Reprogramaciones!O$14-1))+6),11))))))))</f>
        <v>0</v>
      </c>
      <c r="BY49" s="1" t="n">
        <f aca="false">IF(OR(NOT(AND(ISNUMBER(E49),ISNUMBER(F49))),$J$2=""),"",IF(Reprogramaciones!P$13&lt;Reprogramaciones!$T$15,0,IF(Reprogramaciones!P$14&gt;10,MIN(100,SUM($G49:$P49)),MIN(100,SUMPRODUCT((COLUMN($G49:$P49)-COLUMN($G49)+1&lt;Reprogramaciones!P$14)*$G49:$P49)+N(INDEX($G49:$P49,1,Reprogramaciones!P$14))*IF(Reprogramaciones!P$13&gt;=(Reprogramaciones!$T$15+7*(Reprogramaciones!P$14-1))+6,1,IF(MAX(0,NETWORKDAYS.INTL(MAX(E49,(Reprogramaciones!$T$15+7*(Reprogramaciones!P$14-1))),MIN(F49,(Reprogramaciones!$T$15+7*(Reprogramaciones!P$14-1))+6),11))=0,0,MAX(0,NETWORKDAYS.INTL(MAX(E49,(Reprogramaciones!$T$15+7*(Reprogramaciones!P$14-1))),MIN(F49,Reprogramaciones!P$13),11))/MAX(0,NETWORKDAYS.INTL(MAX(E49,(Reprogramaciones!$T$15+7*(Reprogramaciones!P$14-1))),MIN(F49,(Reprogramaciones!$T$15+7*(Reprogramaciones!P$14-1))+6),11))))))))</f>
        <v>100</v>
      </c>
      <c r="BZ49" s="1" t="n">
        <f aca="false">IF(OR(NOT(AND(ISNUMBER(E49),ISNUMBER(F49))),$J$2=""),"",IF(Reprogramaciones!Q$13&lt;Reprogramaciones!$T$15,0,IF(Reprogramaciones!Q$14&gt;10,MIN(100,SUM($G49:$P49)),MIN(100,SUMPRODUCT((COLUMN($G49:$P49)-COLUMN($G49)+1&lt;Reprogramaciones!Q$14)*$G49:$P49)+N(INDEX($G49:$P49,1,Reprogramaciones!Q$14))*IF(Reprogramaciones!Q$13&gt;=(Reprogramaciones!$T$15+7*(Reprogramaciones!Q$14-1))+6,1,IF(MAX(0,NETWORKDAYS.INTL(MAX(E49,(Reprogramaciones!$T$15+7*(Reprogramaciones!Q$14-1))),MIN(F49,(Reprogramaciones!$T$15+7*(Reprogramaciones!Q$14-1))+6),11))=0,0,MAX(0,NETWORKDAYS.INTL(MAX(E49,(Reprogramaciones!$T$15+7*(Reprogramaciones!Q$14-1))),MIN(F49,Reprogramaciones!Q$13),11))/MAX(0,NETWORKDAYS.INTL(MAX(E49,(Reprogramaciones!$T$15+7*(Reprogramaciones!Q$14-1))),MIN(F49,(Reprogramaciones!$T$15+7*(Reprogramaciones!Q$14-1))+6),11))))))))</f>
        <v>100</v>
      </c>
      <c r="CA49" s="1" t="n">
        <f aca="false">IF(OR(NOT(AND(ISNUMBER(E49),ISNUMBER(F49))),$J$2=""),"",IF(Reprogramaciones!R$13&lt;Reprogramaciones!$T$15,0,IF(Reprogramaciones!R$14&gt;10,MIN(100,SUM($G49:$P49)),MIN(100,SUMPRODUCT((COLUMN($G49:$P49)-COLUMN($G49)+1&lt;Reprogramaciones!R$14)*$G49:$P49)+N(INDEX($G49:$P49,1,Reprogramaciones!R$14))*IF(Reprogramaciones!R$13&gt;=(Reprogramaciones!$T$15+7*(Reprogramaciones!R$14-1))+6,1,IF(MAX(0,NETWORKDAYS.INTL(MAX(E49,(Reprogramaciones!$T$15+7*(Reprogramaciones!R$14-1))),MIN(F49,(Reprogramaciones!$T$15+7*(Reprogramaciones!R$14-1))+6),11))=0,0,MAX(0,NETWORKDAYS.INTL(MAX(E49,(Reprogramaciones!$T$15+7*(Reprogramaciones!R$14-1))),MIN(F49,Reprogramaciones!R$13),11))/MAX(0,NETWORKDAYS.INTL(MAX(E49,(Reprogramaciones!$T$15+7*(Reprogramaciones!R$14-1))),MIN(F49,(Reprogramaciones!$T$15+7*(Reprogramaciones!R$14-1))+6),11))))))))</f>
        <v>100</v>
      </c>
      <c r="CB49" s="1" t="n">
        <f aca="false">IF(OR(NOT(AND(ISNUMBER(E49),ISNUMBER(F49))),$J$2=""),"",IF(Reprogramaciones!S$13&lt;Reprogramaciones!$T$15,0,IF(Reprogramaciones!S$14&gt;10,MIN(100,SUM($G49:$P49)),MIN(100,SUMPRODUCT((COLUMN($G49:$P49)-COLUMN($G49)+1&lt;Reprogramaciones!S$14)*$G49:$P49)+N(INDEX($G49:$P49,1,Reprogramaciones!S$14))*IF(Reprogramaciones!S$13&gt;=(Reprogramaciones!$T$15+7*(Reprogramaciones!S$14-1))+6,1,IF(MAX(0,NETWORKDAYS.INTL(MAX(E49,(Reprogramaciones!$T$15+7*(Reprogramaciones!S$14-1))),MIN(F49,(Reprogramaciones!$T$15+7*(Reprogramaciones!S$14-1))+6),11))=0,0,MAX(0,NETWORKDAYS.INTL(MAX(E49,(Reprogramaciones!$T$15+7*(Reprogramaciones!S$14-1))),MIN(F49,Reprogramaciones!S$13),11))/MAX(0,NETWORKDAYS.INTL(MAX(E49,(Reprogramaciones!$T$15+7*(Reprogramaciones!S$14-1))),MIN(F49,(Reprogramaciones!$T$15+7*(Reprogramaciones!S$14-1))+6),11))))))))</f>
        <v>100</v>
      </c>
      <c r="CC49" s="1" t="n">
        <f aca="false">IF(OR(NOT(AND(ISNUMBER(E49),ISNUMBER(F49))),$J$2=""),"",IF(Reprogramaciones!T$13&lt;Reprogramaciones!$T$15,0,IF(Reprogramaciones!T$14&gt;10,MIN(100,SUM($G49:$P49)),MIN(100,SUMPRODUCT((COLUMN($G49:$P49)-COLUMN($G49)+1&lt;Reprogramaciones!T$14)*$G49:$P49)+N(INDEX($G49:$P49,1,Reprogramaciones!T$14))*IF(Reprogramaciones!T$13&gt;=(Reprogramaciones!$T$15+7*(Reprogramaciones!T$14-1))+6,1,IF(MAX(0,NETWORKDAYS.INTL(MAX(E49,(Reprogramaciones!$T$15+7*(Reprogramaciones!T$14-1))),MIN(F49,(Reprogramaciones!$T$15+7*(Reprogramaciones!T$14-1))+6),11))=0,0,MAX(0,NETWORKDAYS.INTL(MAX(E49,(Reprogramaciones!$T$15+7*(Reprogramaciones!T$14-1))),MIN(F49,Reprogramaciones!T$13),11))/MAX(0,NETWORKDAYS.INTL(MAX(E49,(Reprogramaciones!$T$15+7*(Reprogramaciones!T$14-1))),MIN(F49,(Reprogramaciones!$T$15+7*(Reprogramaciones!T$14-1))+6),11))))))))</f>
        <v>100</v>
      </c>
      <c r="CD49" s="1" t="n">
        <f aca="false">IF(OR(NOT(AND(ISNUMBER(E49),ISNUMBER(F49))),$J$2=""),"",IF(Reprogramaciones!U$13&lt;Reprogramaciones!$T$15,0,IF(Reprogramaciones!U$14&gt;10,MIN(100,SUM($G49:$P49)),MIN(100,SUMPRODUCT((COLUMN($G49:$P49)-COLUMN($G49)+1&lt;Reprogramaciones!U$14)*$G49:$P49)+N(INDEX($G49:$P49,1,Reprogramaciones!U$14))*IF(Reprogramaciones!U$13&gt;=(Reprogramaciones!$T$15+7*(Reprogramaciones!U$14-1))+6,1,IF(MAX(0,NETWORKDAYS.INTL(MAX(E49,(Reprogramaciones!$T$15+7*(Reprogramaciones!U$14-1))),MIN(F49,(Reprogramaciones!$T$15+7*(Reprogramaciones!U$14-1))+6),11))=0,0,MAX(0,NETWORKDAYS.INTL(MAX(E49,(Reprogramaciones!$T$15+7*(Reprogramaciones!U$14-1))),MIN(F49,Reprogramaciones!U$13),11))/MAX(0,NETWORKDAYS.INTL(MAX(E49,(Reprogramaciones!$T$15+7*(Reprogramaciones!U$14-1))),MIN(F49,(Reprogramaciones!$T$15+7*(Reprogramaciones!U$14-1))+6),11))))))))</f>
        <v>100</v>
      </c>
      <c r="CE49" s="1" t="n">
        <f aca="false">IF(OR(NOT(AND(ISNUMBER(E49),ISNUMBER(F49))),$J$2=""),"",IF(Reprogramaciones!V$13&lt;Reprogramaciones!$T$15,0,IF(Reprogramaciones!V$14&gt;10,MIN(100,SUM($G49:$P49)),MIN(100,SUMPRODUCT((COLUMN($G49:$P49)-COLUMN($G49)+1&lt;Reprogramaciones!V$14)*$G49:$P49)+N(INDEX($G49:$P49,1,Reprogramaciones!V$14))*IF(Reprogramaciones!V$13&gt;=(Reprogramaciones!$T$15+7*(Reprogramaciones!V$14-1))+6,1,IF(MAX(0,NETWORKDAYS.INTL(MAX(E49,(Reprogramaciones!$T$15+7*(Reprogramaciones!V$14-1))),MIN(F49,(Reprogramaciones!$T$15+7*(Reprogramaciones!V$14-1))+6),11))=0,0,MAX(0,NETWORKDAYS.INTL(MAX(E49,(Reprogramaciones!$T$15+7*(Reprogramaciones!V$14-1))),MIN(F49,Reprogramaciones!V$13),11))/MAX(0,NETWORKDAYS.INTL(MAX(E49,(Reprogramaciones!$T$15+7*(Reprogramaciones!V$14-1))),MIN(F49,(Reprogramaciones!$T$15+7*(Reprogramaciones!V$14-1))+6),11))))))))</f>
        <v>100</v>
      </c>
      <c r="CF49" s="1" t="n">
        <f aca="false">IF(OR(NOT(AND(ISNUMBER(E49),ISNUMBER(F49))),$J$2=""),"",IF(Reprogramaciones!W$13&lt;Reprogramaciones!$T$15,0,IF(Reprogramaciones!W$14&gt;10,MIN(100,SUM($G49:$P49)),MIN(100,SUMPRODUCT((COLUMN($G49:$P49)-COLUMN($G49)+1&lt;Reprogramaciones!W$14)*$G49:$P49)+N(INDEX($G49:$P49,1,Reprogramaciones!W$14))*IF(Reprogramaciones!W$13&gt;=(Reprogramaciones!$T$15+7*(Reprogramaciones!W$14-1))+6,1,IF(MAX(0,NETWORKDAYS.INTL(MAX(E49,(Reprogramaciones!$T$15+7*(Reprogramaciones!W$14-1))),MIN(F49,(Reprogramaciones!$T$15+7*(Reprogramaciones!W$14-1))+6),11))=0,0,MAX(0,NETWORKDAYS.INTL(MAX(E49,(Reprogramaciones!$T$15+7*(Reprogramaciones!W$14-1))),MIN(F49,Reprogramaciones!W$13),11))/MAX(0,NETWORKDAYS.INTL(MAX(E49,(Reprogramaciones!$T$15+7*(Reprogramaciones!W$14-1))),MIN(F49,(Reprogramaciones!$T$15+7*(Reprogramaciones!W$14-1))+6),11))))))))</f>
        <v>100</v>
      </c>
      <c r="CG49" s="1" t="n">
        <f aca="false">IF(OR(NOT(AND(ISNUMBER(E49),ISNUMBER(F49))),$J$2=""),"",IF(Reprogramaciones!X$13&lt;Reprogramaciones!$T$15,0,IF(Reprogramaciones!X$14&gt;10,MIN(100,SUM($G49:$P49)),MIN(100,SUMPRODUCT((COLUMN($G49:$P49)-COLUMN($G49)+1&lt;Reprogramaciones!X$14)*$G49:$P49)+N(INDEX($G49:$P49,1,Reprogramaciones!X$14))*IF(Reprogramaciones!X$13&gt;=(Reprogramaciones!$T$15+7*(Reprogramaciones!X$14-1))+6,1,IF(MAX(0,NETWORKDAYS.INTL(MAX(E49,(Reprogramaciones!$T$15+7*(Reprogramaciones!X$14-1))),MIN(F49,(Reprogramaciones!$T$15+7*(Reprogramaciones!X$14-1))+6),11))=0,0,MAX(0,NETWORKDAYS.INTL(MAX(E49,(Reprogramaciones!$T$15+7*(Reprogramaciones!X$14-1))),MIN(F49,Reprogramaciones!X$13),11))/MAX(0,NETWORKDAYS.INTL(MAX(E49,(Reprogramaciones!$T$15+7*(Reprogramaciones!X$14-1))),MIN(F49,(Reprogramaciones!$T$15+7*(Reprogramaciones!X$14-1))+6),11))))))))</f>
        <v>100</v>
      </c>
      <c r="CH49" s="1" t="n">
        <f aca="false">IF(OR(NOT(AND(ISNUMBER(E49),ISNUMBER(F49))),$J$2=""),"",IF(Reprogramaciones!Y$13&lt;Reprogramaciones!$T$15,0,IF(Reprogramaciones!Y$14&gt;10,MIN(100,SUM($G49:$P49)),MIN(100,SUMPRODUCT((COLUMN($G49:$P49)-COLUMN($G49)+1&lt;Reprogramaciones!Y$14)*$G49:$P49)+N(INDEX($G49:$P49,1,Reprogramaciones!Y$14))*IF(Reprogramaciones!Y$13&gt;=(Reprogramaciones!$T$15+7*(Reprogramaciones!Y$14-1))+6,1,IF(MAX(0,NETWORKDAYS.INTL(MAX(E49,(Reprogramaciones!$T$15+7*(Reprogramaciones!Y$14-1))),MIN(F49,(Reprogramaciones!$T$15+7*(Reprogramaciones!Y$14-1))+6),11))=0,0,MAX(0,NETWORKDAYS.INTL(MAX(E49,(Reprogramaciones!$T$15+7*(Reprogramaciones!Y$14-1))),MIN(F49,Reprogramaciones!Y$13),11))/MAX(0,NETWORKDAYS.INTL(MAX(E49,(Reprogramaciones!$T$15+7*(Reprogramaciones!Y$14-1))),MIN(F49,(Reprogramaciones!$T$15+7*(Reprogramaciones!Y$14-1))+6),11))))))))</f>
        <v>100</v>
      </c>
      <c r="CI49" s="1" t="n">
        <f aca="false">IF(OR(NOT(AND(ISNUMBER(E49),ISNUMBER(F49))),$J$2=""),"",IF(Reprogramaciones!Z$13&lt;Reprogramaciones!$T$15,0,IF(Reprogramaciones!Z$14&gt;10,MIN(100,SUM($G49:$P49)),MIN(100,SUMPRODUCT((COLUMN($G49:$P49)-COLUMN($G49)+1&lt;Reprogramaciones!Z$14)*$G49:$P49)+N(INDEX($G49:$P49,1,Reprogramaciones!Z$14))*IF(Reprogramaciones!Z$13&gt;=(Reprogramaciones!$T$15+7*(Reprogramaciones!Z$14-1))+6,1,IF(MAX(0,NETWORKDAYS.INTL(MAX(E49,(Reprogramaciones!$T$15+7*(Reprogramaciones!Z$14-1))),MIN(F49,(Reprogramaciones!$T$15+7*(Reprogramaciones!Z$14-1))+6),11))=0,0,MAX(0,NETWORKDAYS.INTL(MAX(E49,(Reprogramaciones!$T$15+7*(Reprogramaciones!Z$14-1))),MIN(F49,Reprogramaciones!Z$13),11))/MAX(0,NETWORKDAYS.INTL(MAX(E49,(Reprogramaciones!$T$15+7*(Reprogramaciones!Z$14-1))),MIN(F49,(Reprogramaciones!$T$15+7*(Reprogramaciones!Z$14-1))+6),11))))))))</f>
        <v>100</v>
      </c>
      <c r="CJ49" s="1" t="n">
        <f aca="false">IF(OR(OR(NOT(AND(ISNUMBER(E49),ISNUMBER(F49))),$J$2=""),1&gt;Reprogramaciones!$K$16),"",IF(ROUND(SUM($Q49:Q49),1)&gt;=99.5,100,MIN(100,ROUND(SUM($Q49:Q49),1))))</f>
        <v>0</v>
      </c>
      <c r="CK49" s="1" t="n">
        <f aca="false">IF(OR(OR(NOT(AND(ISNUMBER(E49),ISNUMBER(F49))),$J$2=""),2&gt;Reprogramaciones!$K$16),"",IF(ROUND(SUM($Q49:R49),1)&gt;=99.5,100,MIN(100,ROUND(SUM($Q49:R49),1))))</f>
        <v>0</v>
      </c>
      <c r="CL49" s="1" t="n">
        <f aca="false">IF(OR(OR(NOT(AND(ISNUMBER(E49),ISNUMBER(F49))),$J$2=""),3&gt;Reprogramaciones!$K$16),"",IF(ROUND(SUM($Q49:S49),1)&gt;=99.5,100,MIN(100,ROUND(SUM($Q49:S49),1))))</f>
        <v>0</v>
      </c>
      <c r="CM49" s="1" t="n">
        <f aca="false">IF(OR(OR(NOT(AND(ISNUMBER(E49),ISNUMBER(F49))),$J$2=""),4&gt;Reprogramaciones!$K$16),"",IF(ROUND(SUM($Q49:T49),1)&gt;=99.5,100,MIN(100,ROUND(SUM($Q49:T49),1))))</f>
        <v>0</v>
      </c>
      <c r="CN49" s="1" t="n">
        <f aca="false">IF(OR(OR(NOT(AND(ISNUMBER(E49),ISNUMBER(F49))),$J$2=""),5&gt;Reprogramaciones!$K$16),"",IF(ROUND(SUM($Q49:U49),1)&gt;=99.5,100,MIN(100,ROUND(SUM($Q49:U49),1))))</f>
        <v>0</v>
      </c>
      <c r="CO49" s="1" t="str">
        <f aca="false">IF(OR(OR(NOT(AND(ISNUMBER(E49),ISNUMBER(F49))),$J$2=""),6&gt;Reprogramaciones!$K$16),"",IF(ROUND(SUM($Q49:V49),1)&gt;=99.5,100,MIN(100,ROUND(SUM($Q49:V49),1))))</f>
        <v/>
      </c>
      <c r="CP49" s="1" t="str">
        <f aca="false">IF(OR(OR(NOT(AND(ISNUMBER(E49),ISNUMBER(F49))),$J$2=""),7&gt;Reprogramaciones!$K$16),"",IF(ROUND(SUM($Q49:W49),1)&gt;=99.5,100,MIN(100,ROUND(SUM($Q49:W49),1))))</f>
        <v/>
      </c>
      <c r="CQ49" s="1" t="str">
        <f aca="false">IF(OR(OR(NOT(AND(ISNUMBER(E49),ISNUMBER(F49))),$J$2=""),8&gt;Reprogramaciones!$K$16),"",IF(ROUND(SUM($Q49:X49),1)&gt;=99.5,100,MIN(100,ROUND(SUM($Q49:X49),1))))</f>
        <v/>
      </c>
      <c r="CR49" s="1" t="str">
        <f aca="false">IF(OR(OR(NOT(AND(ISNUMBER(E49),ISNUMBER(F49))),$J$2=""),9&gt;Reprogramaciones!$K$16),"",IF(ROUND(SUM($Q49:Y49),1)&gt;=99.5,100,MIN(100,ROUND(SUM($Q49:Y49),1))))</f>
        <v/>
      </c>
      <c r="CS49" s="1" t="str">
        <f aca="false">IF(OR(OR(NOT(AND(ISNUMBER(E49),ISNUMBER(F49))),$J$2=""),10&gt;Reprogramaciones!$K$16),"",IF(ROUND(SUM($Q49:Z49),1)&gt;=99.5,100,MIN(100,ROUND(SUM($Q49:Z49),1))))</f>
        <v/>
      </c>
      <c r="CT49" s="1" t="str">
        <f aca="false">IF(OR(OR(NOT(AND(ISNUMBER(E49),ISNUMBER(F49))),$J$2=""),11&gt;Reprogramaciones!$K$16),"",IF(ROUND(SUM($Q49:AA49),1)&gt;=99.5,100,MIN(100,ROUND(SUM($Q49:AA49),1))))</f>
        <v/>
      </c>
      <c r="CU49" s="1" t="str">
        <f aca="false">IF(OR(OR(NOT(AND(ISNUMBER(E49),ISNUMBER(F49))),$J$2=""),12&gt;Reprogramaciones!$K$16),"",IF(ROUND(SUM($Q49:AB49),1)&gt;=99.5,100,MIN(100,ROUND(SUM($Q49:AB49),1))))</f>
        <v/>
      </c>
      <c r="CV49" s="1" t="str">
        <f aca="false">IF(OR(OR(NOT(AND(ISNUMBER(E49),ISNUMBER(F49))),$J$2=""),13&gt;Reprogramaciones!$K$16),"",IF(ROUND(SUM($Q49:AC49),1)&gt;=99.5,100,MIN(100,ROUND(SUM($Q49:AC49),1))))</f>
        <v/>
      </c>
      <c r="CW49" s="1" t="str">
        <f aca="false">IF(OR(OR(NOT(AND(ISNUMBER(E49),ISNUMBER(F49))),$J$2=""),14&gt;Reprogramaciones!$K$16),"",IF(ROUND(SUM($Q49:AD49),1)&gt;=99.5,100,MIN(100,ROUND(SUM($Q49:AD49),1))))</f>
        <v/>
      </c>
      <c r="CX49" s="1" t="str">
        <f aca="false">IF(OR(OR(NOT(AND(ISNUMBER(E49),ISNUMBER(F49))),$J$2=""),15&gt;Reprogramaciones!$K$16),"",IF(ROUND(SUM($Q49:AE49),1)&gt;=99.5,100,MIN(100,ROUND(SUM($Q49:AE49),1))))</f>
        <v/>
      </c>
      <c r="CY49" s="1" t="str">
        <f aca="false">IF(OR(OR(NOT(AND(ISNUMBER(E49),ISNUMBER(F49))),$J$2=""),16&gt;Reprogramaciones!$K$16),"",IF(ROUND(SUM($Q49:AF49),1)&gt;=99.5,100,MIN(100,ROUND(SUM($Q49:AF49),1))))</f>
        <v/>
      </c>
      <c r="CZ49" s="1" t="str">
        <f aca="false">IF(D49&lt;&gt;"",D49,IF(B49&lt;&gt;"","Contractual",CZ48))</f>
        <v>Contractual</v>
      </c>
      <c r="DA49" s="1" t="n">
        <f aca="false">IF(OR(NOT(AND(ISNUMBER(E49),ISNUMBER(F49))),$J$2=""),"",IF(Reprogramaciones!$Q$15&lt;Reprogramaciones!$T$15,0,IF(Reprogramaciones!$S$15&gt;10,MIN(100,SUM($G49:$P49)),MIN(100,SUMPRODUCT((COLUMN($G49:$P49)-COLUMN($G49)+1&lt;Reprogramaciones!$S$15)*$G49:$P49)+N(INDEX($G49:$P49,1,Reprogramaciones!$S$15))*IF(Reprogramaciones!$Q$15&gt;=(Reprogramaciones!$T$15+7*(Reprogramaciones!$S$15-1))+6,1,IF(MAX(0,NETWORKDAYS.INTL(MAX(E49,(Reprogramaciones!$T$15+7*(Reprogramaciones!$S$15-1))),MIN(F49,(Reprogramaciones!$T$15+7*(Reprogramaciones!$S$15-1))+6),11))=0,0,MAX(0,NETWORKDAYS.INTL(MAX(E49,(Reprogramaciones!$T$15+7*(Reprogramaciones!$S$15-1))),MIN(F49,Reprogramaciones!$Q$15),11))/MAX(0,NETWORKDAYS.INTL(MAX(E49,(Reprogramaciones!$T$15+7*(Reprogramaciones!$S$15-1))),MIN(F49,(Reprogramaciones!$T$15+7*(Reprogramaciones!$S$15-1))+6),11))))))))</f>
        <v>0</v>
      </c>
    </row>
    <row r="50" customFormat="false" ht="15" hidden="false" customHeight="false" outlineLevel="0" collapsed="false">
      <c r="A50" s="32"/>
      <c r="B50" s="33"/>
      <c r="C50" s="33"/>
      <c r="D50" s="34"/>
      <c r="E50" s="35"/>
      <c r="F50" s="35"/>
      <c r="G50" s="36" t="str">
        <f aca="false">IF(OR(NOT(AND(ISNUMBER(E50),ISNUMBER(F50))),$J$2=""),"",IF(Reprogramaciones!K$9&lt;E50,0,IF(NETWORKDAYS.INTL(E50,F50,11)=0,IF(Reprogramaciones!K$9&gt;=F50,100,0),ROUND(NETWORKDAYS.INTL(E50,MIN(F50,Reprogramaciones!K$9),11)/NETWORKDAYS.INTL(E50,F50,11)*100,1)))-0)</f>
        <v/>
      </c>
      <c r="H50" s="36" t="str">
        <f aca="false">IF(OR(NOT(AND(ISNUMBER(E50),ISNUMBER(F50))),$J$2=""),"",IF(Reprogramaciones!L$9&lt;E50,0,IF(NETWORKDAYS.INTL(E50,F50,11)=0,IF(Reprogramaciones!L$9&gt;=F50,100,0),ROUND(NETWORKDAYS.INTL(E50,MIN(F50,Reprogramaciones!L$9),11)/NETWORKDAYS.INTL(E50,F50,11)*100,1)))-IF(Reprogramaciones!K$9&lt;E50,0,IF(NETWORKDAYS.INTL(E50,F50,11)=0,IF(Reprogramaciones!K$9&gt;=F50,100,0),ROUND(NETWORKDAYS.INTL(E50,MIN(F50,Reprogramaciones!K$9),11)/NETWORKDAYS.INTL(E50,F50,11)*100,1))))</f>
        <v/>
      </c>
      <c r="I50" s="36" t="str">
        <f aca="false">IF(OR(NOT(AND(ISNUMBER(E50),ISNUMBER(F50))),$J$2=""),"",IF(Reprogramaciones!M$9&lt;E50,0,IF(NETWORKDAYS.INTL(E50,F50,11)=0,IF(Reprogramaciones!M$9&gt;=F50,100,0),ROUND(NETWORKDAYS.INTL(E50,MIN(F50,Reprogramaciones!M$9),11)/NETWORKDAYS.INTL(E50,F50,11)*100,1)))-IF(Reprogramaciones!L$9&lt;E50,0,IF(NETWORKDAYS.INTL(E50,F50,11)=0,IF(Reprogramaciones!L$9&gt;=F50,100,0),ROUND(NETWORKDAYS.INTL(E50,MIN(F50,Reprogramaciones!L$9),11)/NETWORKDAYS.INTL(E50,F50,11)*100,1))))</f>
        <v/>
      </c>
      <c r="J50" s="36" t="str">
        <f aca="false">IF(OR(NOT(AND(ISNUMBER(E50),ISNUMBER(F50))),$J$2=""),"",IF(Reprogramaciones!N$9&lt;E50,0,IF(NETWORKDAYS.INTL(E50,F50,11)=0,IF(Reprogramaciones!N$9&gt;=F50,100,0),ROUND(NETWORKDAYS.INTL(E50,MIN(F50,Reprogramaciones!N$9),11)/NETWORKDAYS.INTL(E50,F50,11)*100,1)))-IF(Reprogramaciones!M$9&lt;E50,0,IF(NETWORKDAYS.INTL(E50,F50,11)=0,IF(Reprogramaciones!M$9&gt;=F50,100,0),ROUND(NETWORKDAYS.INTL(E50,MIN(F50,Reprogramaciones!M$9),11)/NETWORKDAYS.INTL(E50,F50,11)*100,1))))</f>
        <v/>
      </c>
      <c r="K50" s="36" t="str">
        <f aca="false">IF(OR(NOT(AND(ISNUMBER(E50),ISNUMBER(F50))),$J$2=""),"",IF(Reprogramaciones!O$9&lt;E50,0,IF(NETWORKDAYS.INTL(E50,F50,11)=0,IF(Reprogramaciones!O$9&gt;=F50,100,0),ROUND(NETWORKDAYS.INTL(E50,MIN(F50,Reprogramaciones!O$9),11)/NETWORKDAYS.INTL(E50,F50,11)*100,1)))-IF(Reprogramaciones!N$9&lt;E50,0,IF(NETWORKDAYS.INTL(E50,F50,11)=0,IF(Reprogramaciones!N$9&gt;=F50,100,0),ROUND(NETWORKDAYS.INTL(E50,MIN(F50,Reprogramaciones!N$9),11)/NETWORKDAYS.INTL(E50,F50,11)*100,1))))</f>
        <v/>
      </c>
      <c r="L50" s="36" t="str">
        <f aca="false">IF(OR(NOT(AND(ISNUMBER(E50),ISNUMBER(F50))),$J$2=""),"",IF(Reprogramaciones!P$9&lt;E50,0,IF(NETWORKDAYS.INTL(E50,F50,11)=0,IF(Reprogramaciones!P$9&gt;=F50,100,0),ROUND(NETWORKDAYS.INTL(E50,MIN(F50,Reprogramaciones!P$9),11)/NETWORKDAYS.INTL(E50,F50,11)*100,1)))-IF(Reprogramaciones!O$9&lt;E50,0,IF(NETWORKDAYS.INTL(E50,F50,11)=0,IF(Reprogramaciones!O$9&gt;=F50,100,0),ROUND(NETWORKDAYS.INTL(E50,MIN(F50,Reprogramaciones!O$9),11)/NETWORKDAYS.INTL(E50,F50,11)*100,1))))</f>
        <v/>
      </c>
      <c r="M50" s="36" t="str">
        <f aca="false">IF(OR(NOT(AND(ISNUMBER(E50),ISNUMBER(F50))),$J$2=""),"",IF(Reprogramaciones!Q$9&lt;E50,0,IF(NETWORKDAYS.INTL(E50,F50,11)=0,IF(Reprogramaciones!Q$9&gt;=F50,100,0),ROUND(NETWORKDAYS.INTL(E50,MIN(F50,Reprogramaciones!Q$9),11)/NETWORKDAYS.INTL(E50,F50,11)*100,1)))-IF(Reprogramaciones!P$9&lt;E50,0,IF(NETWORKDAYS.INTL(E50,F50,11)=0,IF(Reprogramaciones!P$9&gt;=F50,100,0),ROUND(NETWORKDAYS.INTL(E50,MIN(F50,Reprogramaciones!P$9),11)/NETWORKDAYS.INTL(E50,F50,11)*100,1))))</f>
        <v/>
      </c>
      <c r="N50" s="36" t="str">
        <f aca="false">IF(OR(NOT(AND(ISNUMBER(E50),ISNUMBER(F50))),$J$2=""),"",IF(Reprogramaciones!R$9&lt;E50,0,IF(NETWORKDAYS.INTL(E50,F50,11)=0,IF(Reprogramaciones!R$9&gt;=F50,100,0),ROUND(NETWORKDAYS.INTL(E50,MIN(F50,Reprogramaciones!R$9),11)/NETWORKDAYS.INTL(E50,F50,11)*100,1)))-IF(Reprogramaciones!Q$9&lt;E50,0,IF(NETWORKDAYS.INTL(E50,F50,11)=0,IF(Reprogramaciones!Q$9&gt;=F50,100,0),ROUND(NETWORKDAYS.INTL(E50,MIN(F50,Reprogramaciones!Q$9),11)/NETWORKDAYS.INTL(E50,F50,11)*100,1))))</f>
        <v/>
      </c>
      <c r="O50" s="36" t="str">
        <f aca="false">IF(OR(NOT(AND(ISNUMBER(E50),ISNUMBER(F50))),$J$2=""),"",IF(Reprogramaciones!S$9&lt;E50,0,IF(NETWORKDAYS.INTL(E50,F50,11)=0,IF(Reprogramaciones!S$9&gt;=F50,100,0),ROUND(NETWORKDAYS.INTL(E50,MIN(F50,Reprogramaciones!S$9),11)/NETWORKDAYS.INTL(E50,F50,11)*100,1)))-IF(Reprogramaciones!R$9&lt;E50,0,IF(NETWORKDAYS.INTL(E50,F50,11)=0,IF(Reprogramaciones!R$9&gt;=F50,100,0),ROUND(NETWORKDAYS.INTL(E50,MIN(F50,Reprogramaciones!R$9),11)/NETWORKDAYS.INTL(E50,F50,11)*100,1))))</f>
        <v/>
      </c>
      <c r="P50" s="36" t="str">
        <f aca="false">IF(OR(NOT(AND(ISNUMBER(E50),ISNUMBER(F50))),$J$2=""),"",IF(Reprogramaciones!T$9&lt;E50,0,IF(NETWORKDAYS.INTL(E50,F50,11)=0,IF(Reprogramaciones!T$9&gt;=F50,100,0),ROUND(NETWORKDAYS.INTL(E50,MIN(F50,Reprogramaciones!T$9),11)/NETWORKDAYS.INTL(E50,F50,11)*100,1)))-IF(Reprogramaciones!S$9&lt;E50,0,IF(NETWORKDAYS.INTL(E50,F50,11)=0,IF(Reprogramaciones!S$9&gt;=F50,100,0),ROUND(NETWORKDAYS.INTL(E50,MIN(F50,Reprogramaciones!S$9),11)/NETWORKDAYS.INTL(E50,F50,11)*100,1))))</f>
        <v/>
      </c>
      <c r="Q50" s="37"/>
      <c r="R50" s="37"/>
      <c r="S50" s="37"/>
      <c r="T50" s="37"/>
      <c r="U50" s="37"/>
      <c r="V50" s="37"/>
      <c r="W50" s="37"/>
      <c r="X50" s="37"/>
      <c r="Y50" s="37"/>
      <c r="Z50" s="37"/>
      <c r="AA50" s="37"/>
      <c r="AB50" s="37"/>
      <c r="AC50" s="37"/>
      <c r="AD50" s="37"/>
      <c r="AE50" s="37"/>
      <c r="AF50" s="37"/>
      <c r="AG50" s="38" t="str">
        <f aca="false">IF(AND(ISNUMBER(E50),ISNUMBER(F50)),NETWORKDAYS.INTL(E50,F50,11),"")</f>
        <v/>
      </c>
      <c r="AH50" s="38" t="str">
        <f aca="false">IF(OR(NOT(AND(ISNUMBER(E50),ISNUMBER(F50))),$J$2=""),"",IF(Reprogramaciones!$P$15&lt;Reprogramaciones!$T$15,0,IF(Reprogramaciones!$R$15&gt;10,MIN(100,SUM($G50:$P50)),MIN(100,SUMPRODUCT((COLUMN($G50:$P50)-COLUMN($G50)+1&lt;Reprogramaciones!$R$15)*$G50:$P50)+N(INDEX($G50:$P50,1,Reprogramaciones!$R$15))*IF(Reprogramaciones!$P$15&gt;=(Reprogramaciones!$T$15+7*(Reprogramaciones!$R$15-1))+6,1,IF(MAX(0,NETWORKDAYS.INTL(MAX(E50,(Reprogramaciones!$T$15+7*(Reprogramaciones!$R$15-1))),MIN(F50,(Reprogramaciones!$T$15+7*(Reprogramaciones!$R$15-1))+6),11))=0,0,MAX(0,NETWORKDAYS.INTL(MAX(E50,(Reprogramaciones!$T$15+7*(Reprogramaciones!$R$15-1))),MIN(F50,Reprogramaciones!$P$15),11))/MAX(0,NETWORKDAYS.INTL(MAX(E50,(Reprogramaciones!$T$15+7*(Reprogramaciones!$R$15-1))),MIN(F50,(Reprogramaciones!$T$15+7*(Reprogramaciones!$R$15-1))+6),11))))))))</f>
        <v/>
      </c>
      <c r="AI50" s="38" t="str">
        <f aca="false">IF(COUNT($Q50:$AF50)=0,"",IF(ROUND(SUM($Q50:$AF50),1)&gt;=99.5,100,MIN(100,ROUND(SUM($Q50:$AF50),1))))</f>
        <v/>
      </c>
      <c r="AJ50" s="38" t="str">
        <f aca="false">IF(OR(AH50="",AI50=""),"",AI50-AH50)</f>
        <v/>
      </c>
      <c r="AK50" s="39" t="str">
        <f aca="true">IF(AH50="","",IF(OR(Ficha!$C$10="Suspendida",Ficha!$C$10="Cancelada"),Ficha!$C$10,IF(AND(AI50&lt;&gt;"",N(AI50)&gt;=100),"Completada",IF(AND(E50&gt;TODAY(),N(AI50)=0),"Por iniciar",IF(N(AI50)+0.5&lt;AH50,"Retrasada",IF(N(AI50)+0.5&lt;DA50,IF(Reprogramaciones!$K$15&gt;0,"Al día · Sem "&amp;Reprogramaciones!$K$15&amp;" en curso","Al día · en curso"),"A tiempo"))))))</f>
        <v/>
      </c>
      <c r="AL50" s="39" t="str">
        <f aca="true">IF(AND(A50="",AND(B50="",C50="",E50="",F50="",COUNT(Q50:AF50)=0)),"",IF(AND(B50="",C50="",E50="",F50="",COUNT(Q50:AF50)=0),"Falta la partida o subpartida",IF(AND(A50&lt;&gt;"",COUNTIF($A$6:$A$305,A50)&gt;1),"Ítem repetido",IF(AND(C50="",E50="",F50="",COUNT(Q50:AF50)=0),"Título de partida",IF(OR(E50="",F50=""),"Faltan fechas",IF(OR(ISTEXT(E50),ISTEXT(F50)),"Fecha escrita como texto: usa dd/mm/aaaa",IF(F50&lt;E50,"Fin antes del inicio",IF(IF($J$2="",FALSE(),OR(E50&lt;$J$2,F50&gt;Reprogramaciones!$T$15+69)),"Fuera de las 10 semanas",IF(ABS(SUM(G50:P50)-100)&gt;0.5,"La meta no suma 100%",IF(ROUND(SUM(Q50:AF50),1)&gt;100.5,"El avance pasa de 100%",IF(MIN(Q50:AF50)&lt;0,"Avance negativo",IF(COUNTA(Q50:AF50)&gt;COUNT(Q50:AF50),"Avance escrito como texto",IF(SUMPRODUCT((Q50:AF50&gt;0)*(Q50:AF50&lt;1))&gt;0,"Avance menor a 1: escribe 50, no 50%",IF(SUMPRODUCT(ISNUMBER(Q50:AF50)*(Reprogramaciones!$K$8:$Z$8&gt;TODAY()))&gt;0,"Avance en semana que aún no llega",IF(AND(N(Reprogramaciones!$E$21)&gt;0,F50&gt;Reprogramaciones!$E$21),"Pasa el fin de la obra: registra una reprogramación",IF(AND(N(Reprogramaciones!$E$21)&gt;0,SUMPRODUCT(ISNUMBER(Q50:AF50)*(Reprogramaciones!$K$8:$Z$8&gt;Reprogramaciones!$E$21))&gt;0),"Avance después del fin de la obra: registra una reprogramación por atraso","OK"))))))))))))))))</f>
        <v/>
      </c>
      <c r="AM50" s="40" t="str">
        <f aca="false">IF(OR(OR(NOT(AND(ISNUMBER(E50),ISNUMBER(F50))),$J$2=""),1&gt;MAX(1,Reprogramaciones!$U$15)),"",IF(Reprogramaciones!K$12&gt;=7,"",IF(OR(BT50-N(0)&gt;0.05,N(Q50)&gt;0),ROUNDDOWN(ROUND(BT50,6),0)&amp;"%"&amp;IF(CJ50="",""," / "&amp;CJ50&amp;"%"),IF(AND(N(0)&gt;=99.95,CJ50&lt;&gt;"",N(CJ50)&lt;100),"Pend. "&amp;CJ50&amp;"%",""))))</f>
        <v/>
      </c>
      <c r="AN50" s="40" t="str">
        <f aca="false">IF(OR(OR(NOT(AND(ISNUMBER(E50),ISNUMBER(F50))),$J$2=""),2&gt;MAX(1,Reprogramaciones!$U$15)),"",IF(Reprogramaciones!L$12&gt;=7,"",IF(OR(BU50-N(BT50)&gt;0.05,N(R50)&gt;0),ROUNDDOWN(ROUND(BU50,6),0)&amp;"%"&amp;IF(CK50="",""," / "&amp;CK50&amp;"%"),IF(AND(N(BT50)&gt;=99.95,CK50&lt;&gt;"",N(CK50)&lt;100),"Pend. "&amp;CK50&amp;"%",""))))</f>
        <v/>
      </c>
      <c r="AO50" s="40" t="str">
        <f aca="false">IF(OR(OR(NOT(AND(ISNUMBER(E50),ISNUMBER(F50))),$J$2=""),3&gt;MAX(1,Reprogramaciones!$U$15)),"",IF(Reprogramaciones!M$12&gt;=7,"",IF(OR(BV50-N(BU50)&gt;0.05,N(S50)&gt;0),ROUNDDOWN(ROUND(BV50,6),0)&amp;"%"&amp;IF(CL50="",""," / "&amp;CL50&amp;"%"),IF(AND(N(BU50)&gt;=99.95,CL50&lt;&gt;"",N(CL50)&lt;100),"Pend. "&amp;CL50&amp;"%",""))))</f>
        <v/>
      </c>
      <c r="AP50" s="40" t="str">
        <f aca="false">IF(OR(OR(NOT(AND(ISNUMBER(E50),ISNUMBER(F50))),$J$2=""),4&gt;MAX(1,Reprogramaciones!$U$15)),"",IF(Reprogramaciones!N$12&gt;=7,"",IF(OR(BW50-N(BV50)&gt;0.05,N(T50)&gt;0),ROUNDDOWN(ROUND(BW50,6),0)&amp;"%"&amp;IF(CM50="",""," / "&amp;CM50&amp;"%"),IF(AND(N(BV50)&gt;=99.95,CM50&lt;&gt;"",N(CM50)&lt;100),"Pend. "&amp;CM50&amp;"%",""))))</f>
        <v/>
      </c>
      <c r="AQ50" s="40" t="str">
        <f aca="false">IF(OR(OR(NOT(AND(ISNUMBER(E50),ISNUMBER(F50))),$J$2=""),5&gt;MAX(1,Reprogramaciones!$U$15)),"",IF(Reprogramaciones!O$12&gt;=7,"",IF(OR(BX50-N(BW50)&gt;0.05,N(U50)&gt;0),ROUNDDOWN(ROUND(BX50,6),0)&amp;"%"&amp;IF(CN50="",""," / "&amp;CN50&amp;"%"),IF(AND(N(BW50)&gt;=99.95,CN50&lt;&gt;"",N(CN50)&lt;100),"Pend. "&amp;CN50&amp;"%",""))))</f>
        <v/>
      </c>
      <c r="AR50" s="40" t="str">
        <f aca="false">IF(OR(OR(NOT(AND(ISNUMBER(E50),ISNUMBER(F50))),$J$2=""),6&gt;MAX(1,Reprogramaciones!$U$15)),"",IF(Reprogramaciones!P$12&gt;=7,"",IF(OR(BY50-N(BX50)&gt;0.05,N(V50)&gt;0),ROUNDDOWN(ROUND(BY50,6),0)&amp;"%"&amp;IF(CO50="",""," / "&amp;CO50&amp;"%"),IF(AND(N(BX50)&gt;=99.95,CO50&lt;&gt;"",N(CO50)&lt;100),"Pend. "&amp;CO50&amp;"%",""))))</f>
        <v/>
      </c>
      <c r="AS50" s="40" t="str">
        <f aca="false">IF(OR(OR(NOT(AND(ISNUMBER(E50),ISNUMBER(F50))),$J$2=""),7&gt;MAX(1,Reprogramaciones!$U$15)),"",IF(Reprogramaciones!Q$12&gt;=7,"",IF(OR(BZ50-N(BY50)&gt;0.05,N(W50)&gt;0),ROUNDDOWN(ROUND(BZ50,6),0)&amp;"%"&amp;IF(CP50="",""," / "&amp;CP50&amp;"%"),IF(AND(N(BY50)&gt;=99.95,CP50&lt;&gt;"",N(CP50)&lt;100),"Pend. "&amp;CP50&amp;"%",""))))</f>
        <v/>
      </c>
      <c r="AT50" s="40" t="str">
        <f aca="false">IF(OR(OR(NOT(AND(ISNUMBER(E50),ISNUMBER(F50))),$J$2=""),8&gt;MAX(1,Reprogramaciones!$U$15)),"",IF(Reprogramaciones!R$12&gt;=7,"",IF(OR(CA50-N(BZ50)&gt;0.05,N(X50)&gt;0),ROUNDDOWN(ROUND(CA50,6),0)&amp;"%"&amp;IF(CQ50="",""," / "&amp;CQ50&amp;"%"),IF(AND(N(BZ50)&gt;=99.95,CQ50&lt;&gt;"",N(CQ50)&lt;100),"Pend. "&amp;CQ50&amp;"%",""))))</f>
        <v/>
      </c>
      <c r="AU50" s="40" t="str">
        <f aca="false">IF(OR(OR(NOT(AND(ISNUMBER(E50),ISNUMBER(F50))),$J$2=""),9&gt;MAX(1,Reprogramaciones!$U$15)),"",IF(Reprogramaciones!S$12&gt;=7,"",IF(OR(CB50-N(CA50)&gt;0.05,N(Y50)&gt;0),ROUNDDOWN(ROUND(CB50,6),0)&amp;"%"&amp;IF(CR50="",""," / "&amp;CR50&amp;"%"),IF(AND(N(CA50)&gt;=99.95,CR50&lt;&gt;"",N(CR50)&lt;100),"Pend. "&amp;CR50&amp;"%",""))))</f>
        <v/>
      </c>
      <c r="AV50" s="40" t="str">
        <f aca="false">IF(OR(OR(NOT(AND(ISNUMBER(E50),ISNUMBER(F50))),$J$2=""),10&gt;MAX(1,Reprogramaciones!$U$15)),"",IF(Reprogramaciones!T$12&gt;=7,"",IF(OR(CC50-N(CB50)&gt;0.05,N(Z50)&gt;0),ROUNDDOWN(ROUND(CC50,6),0)&amp;"%"&amp;IF(CS50="",""," / "&amp;CS50&amp;"%"),IF(AND(N(CB50)&gt;=99.95,CS50&lt;&gt;"",N(CS50)&lt;100),"Pend. "&amp;CS50&amp;"%",""))))</f>
        <v/>
      </c>
      <c r="AW50" s="40" t="str">
        <f aca="false">IF(OR(OR(NOT(AND(ISNUMBER(E50),ISNUMBER(F50))),$J$2=""),11&gt;MAX(1,Reprogramaciones!$U$15)),"",IF(Reprogramaciones!U$12&gt;=7,"",IF(OR(CD50-N(CC50)&gt;0.05,N(AA50)&gt;0),ROUNDDOWN(ROUND(CD50,6),0)&amp;"%"&amp;IF(CT50="",""," / "&amp;CT50&amp;"%"),IF(AND(N(CC50)&gt;=99.95,CT50&lt;&gt;"",N(CT50)&lt;100),"Pend. "&amp;CT50&amp;"%",""))))</f>
        <v/>
      </c>
      <c r="AX50" s="40" t="str">
        <f aca="false">IF(OR(OR(NOT(AND(ISNUMBER(E50),ISNUMBER(F50))),$J$2=""),12&gt;MAX(1,Reprogramaciones!$U$15)),"",IF(Reprogramaciones!V$12&gt;=7,"",IF(OR(CE50-N(CD50)&gt;0.05,N(AB50)&gt;0),ROUNDDOWN(ROUND(CE50,6),0)&amp;"%"&amp;IF(CU50="",""," / "&amp;CU50&amp;"%"),IF(AND(N(CD50)&gt;=99.95,CU50&lt;&gt;"",N(CU50)&lt;100),"Pend. "&amp;CU50&amp;"%",""))))</f>
        <v/>
      </c>
      <c r="AY50" s="40" t="str">
        <f aca="false">IF(OR(OR(NOT(AND(ISNUMBER(E50),ISNUMBER(F50))),$J$2=""),13&gt;MAX(1,Reprogramaciones!$U$15)),"",IF(Reprogramaciones!W$12&gt;=7,"",IF(OR(CF50-N(CE50)&gt;0.05,N(AC50)&gt;0),ROUNDDOWN(ROUND(CF50,6),0)&amp;"%"&amp;IF(CV50="",""," / "&amp;CV50&amp;"%"),IF(AND(N(CE50)&gt;=99.95,CV50&lt;&gt;"",N(CV50)&lt;100),"Pend. "&amp;CV50&amp;"%",""))))</f>
        <v/>
      </c>
      <c r="AZ50" s="40" t="str">
        <f aca="false">IF(OR(OR(NOT(AND(ISNUMBER(E50),ISNUMBER(F50))),$J$2=""),14&gt;MAX(1,Reprogramaciones!$U$15)),"",IF(Reprogramaciones!X$12&gt;=7,"",IF(OR(CG50-N(CF50)&gt;0.05,N(AD50)&gt;0),ROUNDDOWN(ROUND(CG50,6),0)&amp;"%"&amp;IF(CW50="",""," / "&amp;CW50&amp;"%"),IF(AND(N(CF50)&gt;=99.95,CW50&lt;&gt;"",N(CW50)&lt;100),"Pend. "&amp;CW50&amp;"%",""))))</f>
        <v/>
      </c>
      <c r="BA50" s="40" t="str">
        <f aca="false">IF(OR(OR(NOT(AND(ISNUMBER(E50),ISNUMBER(F50))),$J$2=""),15&gt;MAX(1,Reprogramaciones!$U$15)),"",IF(Reprogramaciones!Y$12&gt;=7,"",IF(OR(CH50-N(CG50)&gt;0.05,N(AE50)&gt;0),ROUNDDOWN(ROUND(CH50,6),0)&amp;"%"&amp;IF(CX50="",""," / "&amp;CX50&amp;"%"),IF(AND(N(CG50)&gt;=99.95,CX50&lt;&gt;"",N(CX50)&lt;100),"Pend. "&amp;CX50&amp;"%",""))))</f>
        <v/>
      </c>
      <c r="BB50" s="40" t="str">
        <f aca="false">IF(OR(OR(NOT(AND(ISNUMBER(E50),ISNUMBER(F50))),$J$2=""),16&gt;MAX(1,Reprogramaciones!$U$15)),"",IF(Reprogramaciones!Z$12&gt;=7,"",IF(OR(CI50-N(CH50)&gt;0.05,N(AF50)&gt;0),ROUNDDOWN(ROUND(CI50,6),0)&amp;"%"&amp;IF(CY50="",""," / "&amp;CY50&amp;"%"),IF(AND(N(CH50)&gt;=99.95,CY50&lt;&gt;"",N(CY50)&lt;100),"Pend. "&amp;CY50&amp;"%",""))))</f>
        <v/>
      </c>
      <c r="BC50" s="31" t="n">
        <f aca="false">IF(AND(ISNUMBER(E50),ISNUMBER(F50)),MAX(1,NETWORKDAYS.INTL(E50,F50,11)),0)</f>
        <v>0</v>
      </c>
      <c r="BD50" s="1" t="str">
        <f aca="false">IF(OR(NOT(AND(ISNUMBER(E50),ISNUMBER(F50))),$J$2=""),"",MIN(100,ROUND(SUM($G50:G50),1)))</f>
        <v/>
      </c>
      <c r="BE50" s="1" t="str">
        <f aca="false">IF(OR(NOT(AND(ISNUMBER(E50),ISNUMBER(F50))),$J$2=""),"",MIN(100,ROUND(SUM($G50:H50),1)))</f>
        <v/>
      </c>
      <c r="BF50" s="1" t="str">
        <f aca="false">IF(OR(NOT(AND(ISNUMBER(E50),ISNUMBER(F50))),$J$2=""),"",MIN(100,ROUND(SUM($G50:I50),1)))</f>
        <v/>
      </c>
      <c r="BG50" s="1" t="str">
        <f aca="false">IF(OR(NOT(AND(ISNUMBER(E50),ISNUMBER(F50))),$J$2=""),"",MIN(100,ROUND(SUM($G50:J50),1)))</f>
        <v/>
      </c>
      <c r="BH50" s="1" t="str">
        <f aca="false">IF(OR(NOT(AND(ISNUMBER(E50),ISNUMBER(F50))),$J$2=""),"",MIN(100,ROUND(SUM($G50:K50),1)))</f>
        <v/>
      </c>
      <c r="BI50" s="1" t="str">
        <f aca="false">IF(OR(NOT(AND(ISNUMBER(E50),ISNUMBER(F50))),$J$2=""),"",MIN(100,ROUND(SUM($G50:L50),1)))</f>
        <v/>
      </c>
      <c r="BJ50" s="1" t="str">
        <f aca="false">IF(OR(NOT(AND(ISNUMBER(E50),ISNUMBER(F50))),$J$2=""),"",MIN(100,ROUND(SUM($G50:M50),1)))</f>
        <v/>
      </c>
      <c r="BK50" s="1" t="str">
        <f aca="false">IF(OR(NOT(AND(ISNUMBER(E50),ISNUMBER(F50))),$J$2=""),"",MIN(100,ROUND(SUM($G50:N50),1)))</f>
        <v/>
      </c>
      <c r="BL50" s="1" t="str">
        <f aca="false">IF(OR(NOT(AND(ISNUMBER(E50),ISNUMBER(F50))),$J$2=""),"",MIN(100,ROUND(SUM($G50:O50),1)))</f>
        <v/>
      </c>
      <c r="BM50" s="1" t="str">
        <f aca="false">IF(OR(NOT(AND(ISNUMBER(E50),ISNUMBER(F50))),$J$2=""),"",MIN(100,ROUND(SUM($G50:P50),1)))</f>
        <v/>
      </c>
      <c r="BN50" s="1" t="str">
        <f aca="false">IF(OR(NOT(AND(ISNUMBER(E50),ISNUMBER(F50))),$J$2=""),"",MIN(100,ROUND(SUM($G50:P50),1)))</f>
        <v/>
      </c>
      <c r="BO50" s="1" t="str">
        <f aca="false">IF(OR(NOT(AND(ISNUMBER(E50),ISNUMBER(F50))),$J$2=""),"",MIN(100,ROUND(SUM($G50:P50),1)))</f>
        <v/>
      </c>
      <c r="BP50" s="1" t="str">
        <f aca="false">IF(OR(NOT(AND(ISNUMBER(E50),ISNUMBER(F50))),$J$2=""),"",MIN(100,ROUND(SUM($G50:P50),1)))</f>
        <v/>
      </c>
      <c r="BQ50" s="1" t="str">
        <f aca="false">IF(OR(NOT(AND(ISNUMBER(E50),ISNUMBER(F50))),$J$2=""),"",MIN(100,ROUND(SUM($G50:P50),1)))</f>
        <v/>
      </c>
      <c r="BR50" s="1" t="str">
        <f aca="false">IF(OR(NOT(AND(ISNUMBER(E50),ISNUMBER(F50))),$J$2=""),"",MIN(100,ROUND(SUM($G50:P50),1)))</f>
        <v/>
      </c>
      <c r="BS50" s="1" t="str">
        <f aca="false">IF(OR(NOT(AND(ISNUMBER(E50),ISNUMBER(F50))),$J$2=""),"",MIN(100,ROUND(SUM($G50:P50),1)))</f>
        <v/>
      </c>
      <c r="BT50" s="1" t="str">
        <f aca="false">IF(OR(NOT(AND(ISNUMBER(E50),ISNUMBER(F50))),$J$2=""),"",IF(Reprogramaciones!K$13&lt;Reprogramaciones!$T$15,0,IF(Reprogramaciones!K$14&gt;10,MIN(100,SUM($G50:$P50)),MIN(100,SUMPRODUCT((COLUMN($G50:$P50)-COLUMN($G50)+1&lt;Reprogramaciones!K$14)*$G50:$P50)+N(INDEX($G50:$P50,1,Reprogramaciones!K$14))*IF(Reprogramaciones!K$13&gt;=(Reprogramaciones!$T$15+7*(Reprogramaciones!K$14-1))+6,1,IF(MAX(0,NETWORKDAYS.INTL(MAX(E50,(Reprogramaciones!$T$15+7*(Reprogramaciones!K$14-1))),MIN(F50,(Reprogramaciones!$T$15+7*(Reprogramaciones!K$14-1))+6),11))=0,0,MAX(0,NETWORKDAYS.INTL(MAX(E50,(Reprogramaciones!$T$15+7*(Reprogramaciones!K$14-1))),MIN(F50,Reprogramaciones!K$13),11))/MAX(0,NETWORKDAYS.INTL(MAX(E50,(Reprogramaciones!$T$15+7*(Reprogramaciones!K$14-1))),MIN(F50,(Reprogramaciones!$T$15+7*(Reprogramaciones!K$14-1))+6),11))))))))</f>
        <v/>
      </c>
      <c r="BU50" s="1" t="str">
        <f aca="false">IF(OR(NOT(AND(ISNUMBER(E50),ISNUMBER(F50))),$J$2=""),"",IF(Reprogramaciones!L$13&lt;Reprogramaciones!$T$15,0,IF(Reprogramaciones!L$14&gt;10,MIN(100,SUM($G50:$P50)),MIN(100,SUMPRODUCT((COLUMN($G50:$P50)-COLUMN($G50)+1&lt;Reprogramaciones!L$14)*$G50:$P50)+N(INDEX($G50:$P50,1,Reprogramaciones!L$14))*IF(Reprogramaciones!L$13&gt;=(Reprogramaciones!$T$15+7*(Reprogramaciones!L$14-1))+6,1,IF(MAX(0,NETWORKDAYS.INTL(MAX(E50,(Reprogramaciones!$T$15+7*(Reprogramaciones!L$14-1))),MIN(F50,(Reprogramaciones!$T$15+7*(Reprogramaciones!L$14-1))+6),11))=0,0,MAX(0,NETWORKDAYS.INTL(MAX(E50,(Reprogramaciones!$T$15+7*(Reprogramaciones!L$14-1))),MIN(F50,Reprogramaciones!L$13),11))/MAX(0,NETWORKDAYS.INTL(MAX(E50,(Reprogramaciones!$T$15+7*(Reprogramaciones!L$14-1))),MIN(F50,(Reprogramaciones!$T$15+7*(Reprogramaciones!L$14-1))+6),11))))))))</f>
        <v/>
      </c>
      <c r="BV50" s="1" t="str">
        <f aca="false">IF(OR(NOT(AND(ISNUMBER(E50),ISNUMBER(F50))),$J$2=""),"",IF(Reprogramaciones!M$13&lt;Reprogramaciones!$T$15,0,IF(Reprogramaciones!M$14&gt;10,MIN(100,SUM($G50:$P50)),MIN(100,SUMPRODUCT((COLUMN($G50:$P50)-COLUMN($G50)+1&lt;Reprogramaciones!M$14)*$G50:$P50)+N(INDEX($G50:$P50,1,Reprogramaciones!M$14))*IF(Reprogramaciones!M$13&gt;=(Reprogramaciones!$T$15+7*(Reprogramaciones!M$14-1))+6,1,IF(MAX(0,NETWORKDAYS.INTL(MAX(E50,(Reprogramaciones!$T$15+7*(Reprogramaciones!M$14-1))),MIN(F50,(Reprogramaciones!$T$15+7*(Reprogramaciones!M$14-1))+6),11))=0,0,MAX(0,NETWORKDAYS.INTL(MAX(E50,(Reprogramaciones!$T$15+7*(Reprogramaciones!M$14-1))),MIN(F50,Reprogramaciones!M$13),11))/MAX(0,NETWORKDAYS.INTL(MAX(E50,(Reprogramaciones!$T$15+7*(Reprogramaciones!M$14-1))),MIN(F50,(Reprogramaciones!$T$15+7*(Reprogramaciones!M$14-1))+6),11))))))))</f>
        <v/>
      </c>
      <c r="BW50" s="1" t="str">
        <f aca="false">IF(OR(NOT(AND(ISNUMBER(E50),ISNUMBER(F50))),$J$2=""),"",IF(Reprogramaciones!N$13&lt;Reprogramaciones!$T$15,0,IF(Reprogramaciones!N$14&gt;10,MIN(100,SUM($G50:$P50)),MIN(100,SUMPRODUCT((COLUMN($G50:$P50)-COLUMN($G50)+1&lt;Reprogramaciones!N$14)*$G50:$P50)+N(INDEX($G50:$P50,1,Reprogramaciones!N$14))*IF(Reprogramaciones!N$13&gt;=(Reprogramaciones!$T$15+7*(Reprogramaciones!N$14-1))+6,1,IF(MAX(0,NETWORKDAYS.INTL(MAX(E50,(Reprogramaciones!$T$15+7*(Reprogramaciones!N$14-1))),MIN(F50,(Reprogramaciones!$T$15+7*(Reprogramaciones!N$14-1))+6),11))=0,0,MAX(0,NETWORKDAYS.INTL(MAX(E50,(Reprogramaciones!$T$15+7*(Reprogramaciones!N$14-1))),MIN(F50,Reprogramaciones!N$13),11))/MAX(0,NETWORKDAYS.INTL(MAX(E50,(Reprogramaciones!$T$15+7*(Reprogramaciones!N$14-1))),MIN(F50,(Reprogramaciones!$T$15+7*(Reprogramaciones!N$14-1))+6),11))))))))</f>
        <v/>
      </c>
      <c r="BX50" s="1" t="str">
        <f aca="false">IF(OR(NOT(AND(ISNUMBER(E50),ISNUMBER(F50))),$J$2=""),"",IF(Reprogramaciones!O$13&lt;Reprogramaciones!$T$15,0,IF(Reprogramaciones!O$14&gt;10,MIN(100,SUM($G50:$P50)),MIN(100,SUMPRODUCT((COLUMN($G50:$P50)-COLUMN($G50)+1&lt;Reprogramaciones!O$14)*$G50:$P50)+N(INDEX($G50:$P50,1,Reprogramaciones!O$14))*IF(Reprogramaciones!O$13&gt;=(Reprogramaciones!$T$15+7*(Reprogramaciones!O$14-1))+6,1,IF(MAX(0,NETWORKDAYS.INTL(MAX(E50,(Reprogramaciones!$T$15+7*(Reprogramaciones!O$14-1))),MIN(F50,(Reprogramaciones!$T$15+7*(Reprogramaciones!O$14-1))+6),11))=0,0,MAX(0,NETWORKDAYS.INTL(MAX(E50,(Reprogramaciones!$T$15+7*(Reprogramaciones!O$14-1))),MIN(F50,Reprogramaciones!O$13),11))/MAX(0,NETWORKDAYS.INTL(MAX(E50,(Reprogramaciones!$T$15+7*(Reprogramaciones!O$14-1))),MIN(F50,(Reprogramaciones!$T$15+7*(Reprogramaciones!O$14-1))+6),11))))))))</f>
        <v/>
      </c>
      <c r="BY50" s="1" t="str">
        <f aca="false">IF(OR(NOT(AND(ISNUMBER(E50),ISNUMBER(F50))),$J$2=""),"",IF(Reprogramaciones!P$13&lt;Reprogramaciones!$T$15,0,IF(Reprogramaciones!P$14&gt;10,MIN(100,SUM($G50:$P50)),MIN(100,SUMPRODUCT((COLUMN($G50:$P50)-COLUMN($G50)+1&lt;Reprogramaciones!P$14)*$G50:$P50)+N(INDEX($G50:$P50,1,Reprogramaciones!P$14))*IF(Reprogramaciones!P$13&gt;=(Reprogramaciones!$T$15+7*(Reprogramaciones!P$14-1))+6,1,IF(MAX(0,NETWORKDAYS.INTL(MAX(E50,(Reprogramaciones!$T$15+7*(Reprogramaciones!P$14-1))),MIN(F50,(Reprogramaciones!$T$15+7*(Reprogramaciones!P$14-1))+6),11))=0,0,MAX(0,NETWORKDAYS.INTL(MAX(E50,(Reprogramaciones!$T$15+7*(Reprogramaciones!P$14-1))),MIN(F50,Reprogramaciones!P$13),11))/MAX(0,NETWORKDAYS.INTL(MAX(E50,(Reprogramaciones!$T$15+7*(Reprogramaciones!P$14-1))),MIN(F50,(Reprogramaciones!$T$15+7*(Reprogramaciones!P$14-1))+6),11))))))))</f>
        <v/>
      </c>
      <c r="BZ50" s="1" t="str">
        <f aca="false">IF(OR(NOT(AND(ISNUMBER(E50),ISNUMBER(F50))),$J$2=""),"",IF(Reprogramaciones!Q$13&lt;Reprogramaciones!$T$15,0,IF(Reprogramaciones!Q$14&gt;10,MIN(100,SUM($G50:$P50)),MIN(100,SUMPRODUCT((COLUMN($G50:$P50)-COLUMN($G50)+1&lt;Reprogramaciones!Q$14)*$G50:$P50)+N(INDEX($G50:$P50,1,Reprogramaciones!Q$14))*IF(Reprogramaciones!Q$13&gt;=(Reprogramaciones!$T$15+7*(Reprogramaciones!Q$14-1))+6,1,IF(MAX(0,NETWORKDAYS.INTL(MAX(E50,(Reprogramaciones!$T$15+7*(Reprogramaciones!Q$14-1))),MIN(F50,(Reprogramaciones!$T$15+7*(Reprogramaciones!Q$14-1))+6),11))=0,0,MAX(0,NETWORKDAYS.INTL(MAX(E50,(Reprogramaciones!$T$15+7*(Reprogramaciones!Q$14-1))),MIN(F50,Reprogramaciones!Q$13),11))/MAX(0,NETWORKDAYS.INTL(MAX(E50,(Reprogramaciones!$T$15+7*(Reprogramaciones!Q$14-1))),MIN(F50,(Reprogramaciones!$T$15+7*(Reprogramaciones!Q$14-1))+6),11))))))))</f>
        <v/>
      </c>
      <c r="CA50" s="1" t="str">
        <f aca="false">IF(OR(NOT(AND(ISNUMBER(E50),ISNUMBER(F50))),$J$2=""),"",IF(Reprogramaciones!R$13&lt;Reprogramaciones!$T$15,0,IF(Reprogramaciones!R$14&gt;10,MIN(100,SUM($G50:$P50)),MIN(100,SUMPRODUCT((COLUMN($G50:$P50)-COLUMN($G50)+1&lt;Reprogramaciones!R$14)*$G50:$P50)+N(INDEX($G50:$P50,1,Reprogramaciones!R$14))*IF(Reprogramaciones!R$13&gt;=(Reprogramaciones!$T$15+7*(Reprogramaciones!R$14-1))+6,1,IF(MAX(0,NETWORKDAYS.INTL(MAX(E50,(Reprogramaciones!$T$15+7*(Reprogramaciones!R$14-1))),MIN(F50,(Reprogramaciones!$T$15+7*(Reprogramaciones!R$14-1))+6),11))=0,0,MAX(0,NETWORKDAYS.INTL(MAX(E50,(Reprogramaciones!$T$15+7*(Reprogramaciones!R$14-1))),MIN(F50,Reprogramaciones!R$13),11))/MAX(0,NETWORKDAYS.INTL(MAX(E50,(Reprogramaciones!$T$15+7*(Reprogramaciones!R$14-1))),MIN(F50,(Reprogramaciones!$T$15+7*(Reprogramaciones!R$14-1))+6),11))))))))</f>
        <v/>
      </c>
      <c r="CB50" s="1" t="str">
        <f aca="false">IF(OR(NOT(AND(ISNUMBER(E50),ISNUMBER(F50))),$J$2=""),"",IF(Reprogramaciones!S$13&lt;Reprogramaciones!$T$15,0,IF(Reprogramaciones!S$14&gt;10,MIN(100,SUM($G50:$P50)),MIN(100,SUMPRODUCT((COLUMN($G50:$P50)-COLUMN($G50)+1&lt;Reprogramaciones!S$14)*$G50:$P50)+N(INDEX($G50:$P50,1,Reprogramaciones!S$14))*IF(Reprogramaciones!S$13&gt;=(Reprogramaciones!$T$15+7*(Reprogramaciones!S$14-1))+6,1,IF(MAX(0,NETWORKDAYS.INTL(MAX(E50,(Reprogramaciones!$T$15+7*(Reprogramaciones!S$14-1))),MIN(F50,(Reprogramaciones!$T$15+7*(Reprogramaciones!S$14-1))+6),11))=0,0,MAX(0,NETWORKDAYS.INTL(MAX(E50,(Reprogramaciones!$T$15+7*(Reprogramaciones!S$14-1))),MIN(F50,Reprogramaciones!S$13),11))/MAX(0,NETWORKDAYS.INTL(MAX(E50,(Reprogramaciones!$T$15+7*(Reprogramaciones!S$14-1))),MIN(F50,(Reprogramaciones!$T$15+7*(Reprogramaciones!S$14-1))+6),11))))))))</f>
        <v/>
      </c>
      <c r="CC50" s="1" t="str">
        <f aca="false">IF(OR(NOT(AND(ISNUMBER(E50),ISNUMBER(F50))),$J$2=""),"",IF(Reprogramaciones!T$13&lt;Reprogramaciones!$T$15,0,IF(Reprogramaciones!T$14&gt;10,MIN(100,SUM($G50:$P50)),MIN(100,SUMPRODUCT((COLUMN($G50:$P50)-COLUMN($G50)+1&lt;Reprogramaciones!T$14)*$G50:$P50)+N(INDEX($G50:$P50,1,Reprogramaciones!T$14))*IF(Reprogramaciones!T$13&gt;=(Reprogramaciones!$T$15+7*(Reprogramaciones!T$14-1))+6,1,IF(MAX(0,NETWORKDAYS.INTL(MAX(E50,(Reprogramaciones!$T$15+7*(Reprogramaciones!T$14-1))),MIN(F50,(Reprogramaciones!$T$15+7*(Reprogramaciones!T$14-1))+6),11))=0,0,MAX(0,NETWORKDAYS.INTL(MAX(E50,(Reprogramaciones!$T$15+7*(Reprogramaciones!T$14-1))),MIN(F50,Reprogramaciones!T$13),11))/MAX(0,NETWORKDAYS.INTL(MAX(E50,(Reprogramaciones!$T$15+7*(Reprogramaciones!T$14-1))),MIN(F50,(Reprogramaciones!$T$15+7*(Reprogramaciones!T$14-1))+6),11))))))))</f>
        <v/>
      </c>
      <c r="CD50" s="1" t="str">
        <f aca="false">IF(OR(NOT(AND(ISNUMBER(E50),ISNUMBER(F50))),$J$2=""),"",IF(Reprogramaciones!U$13&lt;Reprogramaciones!$T$15,0,IF(Reprogramaciones!U$14&gt;10,MIN(100,SUM($G50:$P50)),MIN(100,SUMPRODUCT((COLUMN($G50:$P50)-COLUMN($G50)+1&lt;Reprogramaciones!U$14)*$G50:$P50)+N(INDEX($G50:$P50,1,Reprogramaciones!U$14))*IF(Reprogramaciones!U$13&gt;=(Reprogramaciones!$T$15+7*(Reprogramaciones!U$14-1))+6,1,IF(MAX(0,NETWORKDAYS.INTL(MAX(E50,(Reprogramaciones!$T$15+7*(Reprogramaciones!U$14-1))),MIN(F50,(Reprogramaciones!$T$15+7*(Reprogramaciones!U$14-1))+6),11))=0,0,MAX(0,NETWORKDAYS.INTL(MAX(E50,(Reprogramaciones!$T$15+7*(Reprogramaciones!U$14-1))),MIN(F50,Reprogramaciones!U$13),11))/MAX(0,NETWORKDAYS.INTL(MAX(E50,(Reprogramaciones!$T$15+7*(Reprogramaciones!U$14-1))),MIN(F50,(Reprogramaciones!$T$15+7*(Reprogramaciones!U$14-1))+6),11))))))))</f>
        <v/>
      </c>
      <c r="CE50" s="1" t="str">
        <f aca="false">IF(OR(NOT(AND(ISNUMBER(E50),ISNUMBER(F50))),$J$2=""),"",IF(Reprogramaciones!V$13&lt;Reprogramaciones!$T$15,0,IF(Reprogramaciones!V$14&gt;10,MIN(100,SUM($G50:$P50)),MIN(100,SUMPRODUCT((COLUMN($G50:$P50)-COLUMN($G50)+1&lt;Reprogramaciones!V$14)*$G50:$P50)+N(INDEX($G50:$P50,1,Reprogramaciones!V$14))*IF(Reprogramaciones!V$13&gt;=(Reprogramaciones!$T$15+7*(Reprogramaciones!V$14-1))+6,1,IF(MAX(0,NETWORKDAYS.INTL(MAX(E50,(Reprogramaciones!$T$15+7*(Reprogramaciones!V$14-1))),MIN(F50,(Reprogramaciones!$T$15+7*(Reprogramaciones!V$14-1))+6),11))=0,0,MAX(0,NETWORKDAYS.INTL(MAX(E50,(Reprogramaciones!$T$15+7*(Reprogramaciones!V$14-1))),MIN(F50,Reprogramaciones!V$13),11))/MAX(0,NETWORKDAYS.INTL(MAX(E50,(Reprogramaciones!$T$15+7*(Reprogramaciones!V$14-1))),MIN(F50,(Reprogramaciones!$T$15+7*(Reprogramaciones!V$14-1))+6),11))))))))</f>
        <v/>
      </c>
      <c r="CF50" s="1" t="str">
        <f aca="false">IF(OR(NOT(AND(ISNUMBER(E50),ISNUMBER(F50))),$J$2=""),"",IF(Reprogramaciones!W$13&lt;Reprogramaciones!$T$15,0,IF(Reprogramaciones!W$14&gt;10,MIN(100,SUM($G50:$P50)),MIN(100,SUMPRODUCT((COLUMN($G50:$P50)-COLUMN($G50)+1&lt;Reprogramaciones!W$14)*$G50:$P50)+N(INDEX($G50:$P50,1,Reprogramaciones!W$14))*IF(Reprogramaciones!W$13&gt;=(Reprogramaciones!$T$15+7*(Reprogramaciones!W$14-1))+6,1,IF(MAX(0,NETWORKDAYS.INTL(MAX(E50,(Reprogramaciones!$T$15+7*(Reprogramaciones!W$14-1))),MIN(F50,(Reprogramaciones!$T$15+7*(Reprogramaciones!W$14-1))+6),11))=0,0,MAX(0,NETWORKDAYS.INTL(MAX(E50,(Reprogramaciones!$T$15+7*(Reprogramaciones!W$14-1))),MIN(F50,Reprogramaciones!W$13),11))/MAX(0,NETWORKDAYS.INTL(MAX(E50,(Reprogramaciones!$T$15+7*(Reprogramaciones!W$14-1))),MIN(F50,(Reprogramaciones!$T$15+7*(Reprogramaciones!W$14-1))+6),11))))))))</f>
        <v/>
      </c>
      <c r="CG50" s="1" t="str">
        <f aca="false">IF(OR(NOT(AND(ISNUMBER(E50),ISNUMBER(F50))),$J$2=""),"",IF(Reprogramaciones!X$13&lt;Reprogramaciones!$T$15,0,IF(Reprogramaciones!X$14&gt;10,MIN(100,SUM($G50:$P50)),MIN(100,SUMPRODUCT((COLUMN($G50:$P50)-COLUMN($G50)+1&lt;Reprogramaciones!X$14)*$G50:$P50)+N(INDEX($G50:$P50,1,Reprogramaciones!X$14))*IF(Reprogramaciones!X$13&gt;=(Reprogramaciones!$T$15+7*(Reprogramaciones!X$14-1))+6,1,IF(MAX(0,NETWORKDAYS.INTL(MAX(E50,(Reprogramaciones!$T$15+7*(Reprogramaciones!X$14-1))),MIN(F50,(Reprogramaciones!$T$15+7*(Reprogramaciones!X$14-1))+6),11))=0,0,MAX(0,NETWORKDAYS.INTL(MAX(E50,(Reprogramaciones!$T$15+7*(Reprogramaciones!X$14-1))),MIN(F50,Reprogramaciones!X$13),11))/MAX(0,NETWORKDAYS.INTL(MAX(E50,(Reprogramaciones!$T$15+7*(Reprogramaciones!X$14-1))),MIN(F50,(Reprogramaciones!$T$15+7*(Reprogramaciones!X$14-1))+6),11))))))))</f>
        <v/>
      </c>
      <c r="CH50" s="1" t="str">
        <f aca="false">IF(OR(NOT(AND(ISNUMBER(E50),ISNUMBER(F50))),$J$2=""),"",IF(Reprogramaciones!Y$13&lt;Reprogramaciones!$T$15,0,IF(Reprogramaciones!Y$14&gt;10,MIN(100,SUM($G50:$P50)),MIN(100,SUMPRODUCT((COLUMN($G50:$P50)-COLUMN($G50)+1&lt;Reprogramaciones!Y$14)*$G50:$P50)+N(INDEX($G50:$P50,1,Reprogramaciones!Y$14))*IF(Reprogramaciones!Y$13&gt;=(Reprogramaciones!$T$15+7*(Reprogramaciones!Y$14-1))+6,1,IF(MAX(0,NETWORKDAYS.INTL(MAX(E50,(Reprogramaciones!$T$15+7*(Reprogramaciones!Y$14-1))),MIN(F50,(Reprogramaciones!$T$15+7*(Reprogramaciones!Y$14-1))+6),11))=0,0,MAX(0,NETWORKDAYS.INTL(MAX(E50,(Reprogramaciones!$T$15+7*(Reprogramaciones!Y$14-1))),MIN(F50,Reprogramaciones!Y$13),11))/MAX(0,NETWORKDAYS.INTL(MAX(E50,(Reprogramaciones!$T$15+7*(Reprogramaciones!Y$14-1))),MIN(F50,(Reprogramaciones!$T$15+7*(Reprogramaciones!Y$14-1))+6),11))))))))</f>
        <v/>
      </c>
      <c r="CI50" s="1" t="str">
        <f aca="false">IF(OR(NOT(AND(ISNUMBER(E50),ISNUMBER(F50))),$J$2=""),"",IF(Reprogramaciones!Z$13&lt;Reprogramaciones!$T$15,0,IF(Reprogramaciones!Z$14&gt;10,MIN(100,SUM($G50:$P50)),MIN(100,SUMPRODUCT((COLUMN($G50:$P50)-COLUMN($G50)+1&lt;Reprogramaciones!Z$14)*$G50:$P50)+N(INDEX($G50:$P50,1,Reprogramaciones!Z$14))*IF(Reprogramaciones!Z$13&gt;=(Reprogramaciones!$T$15+7*(Reprogramaciones!Z$14-1))+6,1,IF(MAX(0,NETWORKDAYS.INTL(MAX(E50,(Reprogramaciones!$T$15+7*(Reprogramaciones!Z$14-1))),MIN(F50,(Reprogramaciones!$T$15+7*(Reprogramaciones!Z$14-1))+6),11))=0,0,MAX(0,NETWORKDAYS.INTL(MAX(E50,(Reprogramaciones!$T$15+7*(Reprogramaciones!Z$14-1))),MIN(F50,Reprogramaciones!Z$13),11))/MAX(0,NETWORKDAYS.INTL(MAX(E50,(Reprogramaciones!$T$15+7*(Reprogramaciones!Z$14-1))),MIN(F50,(Reprogramaciones!$T$15+7*(Reprogramaciones!Z$14-1))+6),11))))))))</f>
        <v/>
      </c>
      <c r="CJ50" s="1" t="str">
        <f aca="false">IF(OR(OR(NOT(AND(ISNUMBER(E50),ISNUMBER(F50))),$J$2=""),1&gt;Reprogramaciones!$K$16),"",IF(ROUND(SUM($Q50:Q50),1)&gt;=99.5,100,MIN(100,ROUND(SUM($Q50:Q50),1))))</f>
        <v/>
      </c>
      <c r="CK50" s="1" t="str">
        <f aca="false">IF(OR(OR(NOT(AND(ISNUMBER(E50),ISNUMBER(F50))),$J$2=""),2&gt;Reprogramaciones!$K$16),"",IF(ROUND(SUM($Q50:R50),1)&gt;=99.5,100,MIN(100,ROUND(SUM($Q50:R50),1))))</f>
        <v/>
      </c>
      <c r="CL50" s="1" t="str">
        <f aca="false">IF(OR(OR(NOT(AND(ISNUMBER(E50),ISNUMBER(F50))),$J$2=""),3&gt;Reprogramaciones!$K$16),"",IF(ROUND(SUM($Q50:S50),1)&gt;=99.5,100,MIN(100,ROUND(SUM($Q50:S50),1))))</f>
        <v/>
      </c>
      <c r="CM50" s="1" t="str">
        <f aca="false">IF(OR(OR(NOT(AND(ISNUMBER(E50),ISNUMBER(F50))),$J$2=""),4&gt;Reprogramaciones!$K$16),"",IF(ROUND(SUM($Q50:T50),1)&gt;=99.5,100,MIN(100,ROUND(SUM($Q50:T50),1))))</f>
        <v/>
      </c>
      <c r="CN50" s="1" t="str">
        <f aca="false">IF(OR(OR(NOT(AND(ISNUMBER(E50),ISNUMBER(F50))),$J$2=""),5&gt;Reprogramaciones!$K$16),"",IF(ROUND(SUM($Q50:U50),1)&gt;=99.5,100,MIN(100,ROUND(SUM($Q50:U50),1))))</f>
        <v/>
      </c>
      <c r="CO50" s="1" t="str">
        <f aca="false">IF(OR(OR(NOT(AND(ISNUMBER(E50),ISNUMBER(F50))),$J$2=""),6&gt;Reprogramaciones!$K$16),"",IF(ROUND(SUM($Q50:V50),1)&gt;=99.5,100,MIN(100,ROUND(SUM($Q50:V50),1))))</f>
        <v/>
      </c>
      <c r="CP50" s="1" t="str">
        <f aca="false">IF(OR(OR(NOT(AND(ISNUMBER(E50),ISNUMBER(F50))),$J$2=""),7&gt;Reprogramaciones!$K$16),"",IF(ROUND(SUM($Q50:W50),1)&gt;=99.5,100,MIN(100,ROUND(SUM($Q50:W50),1))))</f>
        <v/>
      </c>
      <c r="CQ50" s="1" t="str">
        <f aca="false">IF(OR(OR(NOT(AND(ISNUMBER(E50),ISNUMBER(F50))),$J$2=""),8&gt;Reprogramaciones!$K$16),"",IF(ROUND(SUM($Q50:X50),1)&gt;=99.5,100,MIN(100,ROUND(SUM($Q50:X50),1))))</f>
        <v/>
      </c>
      <c r="CR50" s="1" t="str">
        <f aca="false">IF(OR(OR(NOT(AND(ISNUMBER(E50),ISNUMBER(F50))),$J$2=""),9&gt;Reprogramaciones!$K$16),"",IF(ROUND(SUM($Q50:Y50),1)&gt;=99.5,100,MIN(100,ROUND(SUM($Q50:Y50),1))))</f>
        <v/>
      </c>
      <c r="CS50" s="1" t="str">
        <f aca="false">IF(OR(OR(NOT(AND(ISNUMBER(E50),ISNUMBER(F50))),$J$2=""),10&gt;Reprogramaciones!$K$16),"",IF(ROUND(SUM($Q50:Z50),1)&gt;=99.5,100,MIN(100,ROUND(SUM($Q50:Z50),1))))</f>
        <v/>
      </c>
      <c r="CT50" s="1" t="str">
        <f aca="false">IF(OR(OR(NOT(AND(ISNUMBER(E50),ISNUMBER(F50))),$J$2=""),11&gt;Reprogramaciones!$K$16),"",IF(ROUND(SUM($Q50:AA50),1)&gt;=99.5,100,MIN(100,ROUND(SUM($Q50:AA50),1))))</f>
        <v/>
      </c>
      <c r="CU50" s="1" t="str">
        <f aca="false">IF(OR(OR(NOT(AND(ISNUMBER(E50),ISNUMBER(F50))),$J$2=""),12&gt;Reprogramaciones!$K$16),"",IF(ROUND(SUM($Q50:AB50),1)&gt;=99.5,100,MIN(100,ROUND(SUM($Q50:AB50),1))))</f>
        <v/>
      </c>
      <c r="CV50" s="1" t="str">
        <f aca="false">IF(OR(OR(NOT(AND(ISNUMBER(E50),ISNUMBER(F50))),$J$2=""),13&gt;Reprogramaciones!$K$16),"",IF(ROUND(SUM($Q50:AC50),1)&gt;=99.5,100,MIN(100,ROUND(SUM($Q50:AC50),1))))</f>
        <v/>
      </c>
      <c r="CW50" s="1" t="str">
        <f aca="false">IF(OR(OR(NOT(AND(ISNUMBER(E50),ISNUMBER(F50))),$J$2=""),14&gt;Reprogramaciones!$K$16),"",IF(ROUND(SUM($Q50:AD50),1)&gt;=99.5,100,MIN(100,ROUND(SUM($Q50:AD50),1))))</f>
        <v/>
      </c>
      <c r="CX50" s="1" t="str">
        <f aca="false">IF(OR(OR(NOT(AND(ISNUMBER(E50),ISNUMBER(F50))),$J$2=""),15&gt;Reprogramaciones!$K$16),"",IF(ROUND(SUM($Q50:AE50),1)&gt;=99.5,100,MIN(100,ROUND(SUM($Q50:AE50),1))))</f>
        <v/>
      </c>
      <c r="CY50" s="1" t="str">
        <f aca="false">IF(OR(OR(NOT(AND(ISNUMBER(E50),ISNUMBER(F50))),$J$2=""),16&gt;Reprogramaciones!$K$16),"",IF(ROUND(SUM($Q50:AF50),1)&gt;=99.5,100,MIN(100,ROUND(SUM($Q50:AF50),1))))</f>
        <v/>
      </c>
      <c r="CZ50" s="1" t="str">
        <f aca="false">IF(D50&lt;&gt;"",D50,IF(B50&lt;&gt;"","Contractual",CZ49))</f>
        <v>Contractual</v>
      </c>
      <c r="DA50" s="1" t="str">
        <f aca="false">IF(OR(NOT(AND(ISNUMBER(E50),ISNUMBER(F50))),$J$2=""),"",IF(Reprogramaciones!$Q$15&lt;Reprogramaciones!$T$15,0,IF(Reprogramaciones!$S$15&gt;10,MIN(100,SUM($G50:$P50)),MIN(100,SUMPRODUCT((COLUMN($G50:$P50)-COLUMN($G50)+1&lt;Reprogramaciones!$S$15)*$G50:$P50)+N(INDEX($G50:$P50,1,Reprogramaciones!$S$15))*IF(Reprogramaciones!$Q$15&gt;=(Reprogramaciones!$T$15+7*(Reprogramaciones!$S$15-1))+6,1,IF(MAX(0,NETWORKDAYS.INTL(MAX(E50,(Reprogramaciones!$T$15+7*(Reprogramaciones!$S$15-1))),MIN(F50,(Reprogramaciones!$T$15+7*(Reprogramaciones!$S$15-1))+6),11))=0,0,MAX(0,NETWORKDAYS.INTL(MAX(E50,(Reprogramaciones!$T$15+7*(Reprogramaciones!$S$15-1))),MIN(F50,Reprogramaciones!$Q$15),11))/MAX(0,NETWORKDAYS.INTL(MAX(E50,(Reprogramaciones!$T$15+7*(Reprogramaciones!$S$15-1))),MIN(F50,(Reprogramaciones!$T$15+7*(Reprogramaciones!$S$15-1))+6),11))))))))</f>
        <v/>
      </c>
    </row>
    <row r="51" customFormat="false" ht="15" hidden="false" customHeight="false" outlineLevel="0" collapsed="false">
      <c r="A51" s="32"/>
      <c r="B51" s="33"/>
      <c r="C51" s="33"/>
      <c r="D51" s="34"/>
      <c r="E51" s="35"/>
      <c r="F51" s="35"/>
      <c r="G51" s="36" t="str">
        <f aca="false">IF(OR(NOT(AND(ISNUMBER(E51),ISNUMBER(F51))),$J$2=""),"",IF(Reprogramaciones!K$9&lt;E51,0,IF(NETWORKDAYS.INTL(E51,F51,11)=0,IF(Reprogramaciones!K$9&gt;=F51,100,0),ROUND(NETWORKDAYS.INTL(E51,MIN(F51,Reprogramaciones!K$9),11)/NETWORKDAYS.INTL(E51,F51,11)*100,1)))-0)</f>
        <v/>
      </c>
      <c r="H51" s="36" t="str">
        <f aca="false">IF(OR(NOT(AND(ISNUMBER(E51),ISNUMBER(F51))),$J$2=""),"",IF(Reprogramaciones!L$9&lt;E51,0,IF(NETWORKDAYS.INTL(E51,F51,11)=0,IF(Reprogramaciones!L$9&gt;=F51,100,0),ROUND(NETWORKDAYS.INTL(E51,MIN(F51,Reprogramaciones!L$9),11)/NETWORKDAYS.INTL(E51,F51,11)*100,1)))-IF(Reprogramaciones!K$9&lt;E51,0,IF(NETWORKDAYS.INTL(E51,F51,11)=0,IF(Reprogramaciones!K$9&gt;=F51,100,0),ROUND(NETWORKDAYS.INTL(E51,MIN(F51,Reprogramaciones!K$9),11)/NETWORKDAYS.INTL(E51,F51,11)*100,1))))</f>
        <v/>
      </c>
      <c r="I51" s="36" t="str">
        <f aca="false">IF(OR(NOT(AND(ISNUMBER(E51),ISNUMBER(F51))),$J$2=""),"",IF(Reprogramaciones!M$9&lt;E51,0,IF(NETWORKDAYS.INTL(E51,F51,11)=0,IF(Reprogramaciones!M$9&gt;=F51,100,0),ROUND(NETWORKDAYS.INTL(E51,MIN(F51,Reprogramaciones!M$9),11)/NETWORKDAYS.INTL(E51,F51,11)*100,1)))-IF(Reprogramaciones!L$9&lt;E51,0,IF(NETWORKDAYS.INTL(E51,F51,11)=0,IF(Reprogramaciones!L$9&gt;=F51,100,0),ROUND(NETWORKDAYS.INTL(E51,MIN(F51,Reprogramaciones!L$9),11)/NETWORKDAYS.INTL(E51,F51,11)*100,1))))</f>
        <v/>
      </c>
      <c r="J51" s="36" t="str">
        <f aca="false">IF(OR(NOT(AND(ISNUMBER(E51),ISNUMBER(F51))),$J$2=""),"",IF(Reprogramaciones!N$9&lt;E51,0,IF(NETWORKDAYS.INTL(E51,F51,11)=0,IF(Reprogramaciones!N$9&gt;=F51,100,0),ROUND(NETWORKDAYS.INTL(E51,MIN(F51,Reprogramaciones!N$9),11)/NETWORKDAYS.INTL(E51,F51,11)*100,1)))-IF(Reprogramaciones!M$9&lt;E51,0,IF(NETWORKDAYS.INTL(E51,F51,11)=0,IF(Reprogramaciones!M$9&gt;=F51,100,0),ROUND(NETWORKDAYS.INTL(E51,MIN(F51,Reprogramaciones!M$9),11)/NETWORKDAYS.INTL(E51,F51,11)*100,1))))</f>
        <v/>
      </c>
      <c r="K51" s="36" t="str">
        <f aca="false">IF(OR(NOT(AND(ISNUMBER(E51),ISNUMBER(F51))),$J$2=""),"",IF(Reprogramaciones!O$9&lt;E51,0,IF(NETWORKDAYS.INTL(E51,F51,11)=0,IF(Reprogramaciones!O$9&gt;=F51,100,0),ROUND(NETWORKDAYS.INTL(E51,MIN(F51,Reprogramaciones!O$9),11)/NETWORKDAYS.INTL(E51,F51,11)*100,1)))-IF(Reprogramaciones!N$9&lt;E51,0,IF(NETWORKDAYS.INTL(E51,F51,11)=0,IF(Reprogramaciones!N$9&gt;=F51,100,0),ROUND(NETWORKDAYS.INTL(E51,MIN(F51,Reprogramaciones!N$9),11)/NETWORKDAYS.INTL(E51,F51,11)*100,1))))</f>
        <v/>
      </c>
      <c r="L51" s="36" t="str">
        <f aca="false">IF(OR(NOT(AND(ISNUMBER(E51),ISNUMBER(F51))),$J$2=""),"",IF(Reprogramaciones!P$9&lt;E51,0,IF(NETWORKDAYS.INTL(E51,F51,11)=0,IF(Reprogramaciones!P$9&gt;=F51,100,0),ROUND(NETWORKDAYS.INTL(E51,MIN(F51,Reprogramaciones!P$9),11)/NETWORKDAYS.INTL(E51,F51,11)*100,1)))-IF(Reprogramaciones!O$9&lt;E51,0,IF(NETWORKDAYS.INTL(E51,F51,11)=0,IF(Reprogramaciones!O$9&gt;=F51,100,0),ROUND(NETWORKDAYS.INTL(E51,MIN(F51,Reprogramaciones!O$9),11)/NETWORKDAYS.INTL(E51,F51,11)*100,1))))</f>
        <v/>
      </c>
      <c r="M51" s="36" t="str">
        <f aca="false">IF(OR(NOT(AND(ISNUMBER(E51),ISNUMBER(F51))),$J$2=""),"",IF(Reprogramaciones!Q$9&lt;E51,0,IF(NETWORKDAYS.INTL(E51,F51,11)=0,IF(Reprogramaciones!Q$9&gt;=F51,100,0),ROUND(NETWORKDAYS.INTL(E51,MIN(F51,Reprogramaciones!Q$9),11)/NETWORKDAYS.INTL(E51,F51,11)*100,1)))-IF(Reprogramaciones!P$9&lt;E51,0,IF(NETWORKDAYS.INTL(E51,F51,11)=0,IF(Reprogramaciones!P$9&gt;=F51,100,0),ROUND(NETWORKDAYS.INTL(E51,MIN(F51,Reprogramaciones!P$9),11)/NETWORKDAYS.INTL(E51,F51,11)*100,1))))</f>
        <v/>
      </c>
      <c r="N51" s="36" t="str">
        <f aca="false">IF(OR(NOT(AND(ISNUMBER(E51),ISNUMBER(F51))),$J$2=""),"",IF(Reprogramaciones!R$9&lt;E51,0,IF(NETWORKDAYS.INTL(E51,F51,11)=0,IF(Reprogramaciones!R$9&gt;=F51,100,0),ROUND(NETWORKDAYS.INTL(E51,MIN(F51,Reprogramaciones!R$9),11)/NETWORKDAYS.INTL(E51,F51,11)*100,1)))-IF(Reprogramaciones!Q$9&lt;E51,0,IF(NETWORKDAYS.INTL(E51,F51,11)=0,IF(Reprogramaciones!Q$9&gt;=F51,100,0),ROUND(NETWORKDAYS.INTL(E51,MIN(F51,Reprogramaciones!Q$9),11)/NETWORKDAYS.INTL(E51,F51,11)*100,1))))</f>
        <v/>
      </c>
      <c r="O51" s="36" t="str">
        <f aca="false">IF(OR(NOT(AND(ISNUMBER(E51),ISNUMBER(F51))),$J$2=""),"",IF(Reprogramaciones!S$9&lt;E51,0,IF(NETWORKDAYS.INTL(E51,F51,11)=0,IF(Reprogramaciones!S$9&gt;=F51,100,0),ROUND(NETWORKDAYS.INTL(E51,MIN(F51,Reprogramaciones!S$9),11)/NETWORKDAYS.INTL(E51,F51,11)*100,1)))-IF(Reprogramaciones!R$9&lt;E51,0,IF(NETWORKDAYS.INTL(E51,F51,11)=0,IF(Reprogramaciones!R$9&gt;=F51,100,0),ROUND(NETWORKDAYS.INTL(E51,MIN(F51,Reprogramaciones!R$9),11)/NETWORKDAYS.INTL(E51,F51,11)*100,1))))</f>
        <v/>
      </c>
      <c r="P51" s="36" t="str">
        <f aca="false">IF(OR(NOT(AND(ISNUMBER(E51),ISNUMBER(F51))),$J$2=""),"",IF(Reprogramaciones!T$9&lt;E51,0,IF(NETWORKDAYS.INTL(E51,F51,11)=0,IF(Reprogramaciones!T$9&gt;=F51,100,0),ROUND(NETWORKDAYS.INTL(E51,MIN(F51,Reprogramaciones!T$9),11)/NETWORKDAYS.INTL(E51,F51,11)*100,1)))-IF(Reprogramaciones!S$9&lt;E51,0,IF(NETWORKDAYS.INTL(E51,F51,11)=0,IF(Reprogramaciones!S$9&gt;=F51,100,0),ROUND(NETWORKDAYS.INTL(E51,MIN(F51,Reprogramaciones!S$9),11)/NETWORKDAYS.INTL(E51,F51,11)*100,1))))</f>
        <v/>
      </c>
      <c r="Q51" s="37"/>
      <c r="R51" s="37"/>
      <c r="S51" s="37"/>
      <c r="T51" s="37"/>
      <c r="U51" s="37"/>
      <c r="V51" s="37"/>
      <c r="W51" s="37"/>
      <c r="X51" s="37"/>
      <c r="Y51" s="37"/>
      <c r="Z51" s="37"/>
      <c r="AA51" s="37"/>
      <c r="AB51" s="37"/>
      <c r="AC51" s="37"/>
      <c r="AD51" s="37"/>
      <c r="AE51" s="37"/>
      <c r="AF51" s="37"/>
      <c r="AG51" s="38" t="str">
        <f aca="false">IF(AND(ISNUMBER(E51),ISNUMBER(F51)),NETWORKDAYS.INTL(E51,F51,11),"")</f>
        <v/>
      </c>
      <c r="AH51" s="38" t="str">
        <f aca="false">IF(OR(NOT(AND(ISNUMBER(E51),ISNUMBER(F51))),$J$2=""),"",IF(Reprogramaciones!$P$15&lt;Reprogramaciones!$T$15,0,IF(Reprogramaciones!$R$15&gt;10,MIN(100,SUM($G51:$P51)),MIN(100,SUMPRODUCT((COLUMN($G51:$P51)-COLUMN($G51)+1&lt;Reprogramaciones!$R$15)*$G51:$P51)+N(INDEX($G51:$P51,1,Reprogramaciones!$R$15))*IF(Reprogramaciones!$P$15&gt;=(Reprogramaciones!$T$15+7*(Reprogramaciones!$R$15-1))+6,1,IF(MAX(0,NETWORKDAYS.INTL(MAX(E51,(Reprogramaciones!$T$15+7*(Reprogramaciones!$R$15-1))),MIN(F51,(Reprogramaciones!$T$15+7*(Reprogramaciones!$R$15-1))+6),11))=0,0,MAX(0,NETWORKDAYS.INTL(MAX(E51,(Reprogramaciones!$T$15+7*(Reprogramaciones!$R$15-1))),MIN(F51,Reprogramaciones!$P$15),11))/MAX(0,NETWORKDAYS.INTL(MAX(E51,(Reprogramaciones!$T$15+7*(Reprogramaciones!$R$15-1))),MIN(F51,(Reprogramaciones!$T$15+7*(Reprogramaciones!$R$15-1))+6),11))))))))</f>
        <v/>
      </c>
      <c r="AI51" s="38" t="str">
        <f aca="false">IF(COUNT($Q51:$AF51)=0,"",IF(ROUND(SUM($Q51:$AF51),1)&gt;=99.5,100,MIN(100,ROUND(SUM($Q51:$AF51),1))))</f>
        <v/>
      </c>
      <c r="AJ51" s="38" t="str">
        <f aca="false">IF(OR(AH51="",AI51=""),"",AI51-AH51)</f>
        <v/>
      </c>
      <c r="AK51" s="39" t="str">
        <f aca="true">IF(AH51="","",IF(OR(Ficha!$C$10="Suspendida",Ficha!$C$10="Cancelada"),Ficha!$C$10,IF(AND(AI51&lt;&gt;"",N(AI51)&gt;=100),"Completada",IF(AND(E51&gt;TODAY(),N(AI51)=0),"Por iniciar",IF(N(AI51)+0.5&lt;AH51,"Retrasada",IF(N(AI51)+0.5&lt;DA51,IF(Reprogramaciones!$K$15&gt;0,"Al día · Sem "&amp;Reprogramaciones!$K$15&amp;" en curso","Al día · en curso"),"A tiempo"))))))</f>
        <v/>
      </c>
      <c r="AL51" s="39" t="str">
        <f aca="true">IF(AND(A51="",AND(B51="",C51="",E51="",F51="",COUNT(Q51:AF51)=0)),"",IF(AND(B51="",C51="",E51="",F51="",COUNT(Q51:AF51)=0),"Falta la partida o subpartida",IF(AND(A51&lt;&gt;"",COUNTIF($A$6:$A$305,A51)&gt;1),"Ítem repetido",IF(AND(C51="",E51="",F51="",COUNT(Q51:AF51)=0),"Título de partida",IF(OR(E51="",F51=""),"Faltan fechas",IF(OR(ISTEXT(E51),ISTEXT(F51)),"Fecha escrita como texto: usa dd/mm/aaaa",IF(F51&lt;E51,"Fin antes del inicio",IF(IF($J$2="",FALSE(),OR(E51&lt;$J$2,F51&gt;Reprogramaciones!$T$15+69)),"Fuera de las 10 semanas",IF(ABS(SUM(G51:P51)-100)&gt;0.5,"La meta no suma 100%",IF(ROUND(SUM(Q51:AF51),1)&gt;100.5,"El avance pasa de 100%",IF(MIN(Q51:AF51)&lt;0,"Avance negativo",IF(COUNTA(Q51:AF51)&gt;COUNT(Q51:AF51),"Avance escrito como texto",IF(SUMPRODUCT((Q51:AF51&gt;0)*(Q51:AF51&lt;1))&gt;0,"Avance menor a 1: escribe 50, no 50%",IF(SUMPRODUCT(ISNUMBER(Q51:AF51)*(Reprogramaciones!$K$8:$Z$8&gt;TODAY()))&gt;0,"Avance en semana que aún no llega",IF(AND(N(Reprogramaciones!$E$21)&gt;0,F51&gt;Reprogramaciones!$E$21),"Pasa el fin de la obra: registra una reprogramación",IF(AND(N(Reprogramaciones!$E$21)&gt;0,SUMPRODUCT(ISNUMBER(Q51:AF51)*(Reprogramaciones!$K$8:$Z$8&gt;Reprogramaciones!$E$21))&gt;0),"Avance después del fin de la obra: registra una reprogramación por atraso","OK"))))))))))))))))</f>
        <v/>
      </c>
      <c r="AM51" s="40" t="str">
        <f aca="false">IF(OR(OR(NOT(AND(ISNUMBER(E51),ISNUMBER(F51))),$J$2=""),1&gt;MAX(1,Reprogramaciones!$U$15)),"",IF(Reprogramaciones!K$12&gt;=7,"",IF(OR(BT51-N(0)&gt;0.05,N(Q51)&gt;0),ROUNDDOWN(ROUND(BT51,6),0)&amp;"%"&amp;IF(CJ51="",""," / "&amp;CJ51&amp;"%"),IF(AND(N(0)&gt;=99.95,CJ51&lt;&gt;"",N(CJ51)&lt;100),"Pend. "&amp;CJ51&amp;"%",""))))</f>
        <v/>
      </c>
      <c r="AN51" s="40" t="str">
        <f aca="false">IF(OR(OR(NOT(AND(ISNUMBER(E51),ISNUMBER(F51))),$J$2=""),2&gt;MAX(1,Reprogramaciones!$U$15)),"",IF(Reprogramaciones!L$12&gt;=7,"",IF(OR(BU51-N(BT51)&gt;0.05,N(R51)&gt;0),ROUNDDOWN(ROUND(BU51,6),0)&amp;"%"&amp;IF(CK51="",""," / "&amp;CK51&amp;"%"),IF(AND(N(BT51)&gt;=99.95,CK51&lt;&gt;"",N(CK51)&lt;100),"Pend. "&amp;CK51&amp;"%",""))))</f>
        <v/>
      </c>
      <c r="AO51" s="40" t="str">
        <f aca="false">IF(OR(OR(NOT(AND(ISNUMBER(E51),ISNUMBER(F51))),$J$2=""),3&gt;MAX(1,Reprogramaciones!$U$15)),"",IF(Reprogramaciones!M$12&gt;=7,"",IF(OR(BV51-N(BU51)&gt;0.05,N(S51)&gt;0),ROUNDDOWN(ROUND(BV51,6),0)&amp;"%"&amp;IF(CL51="",""," / "&amp;CL51&amp;"%"),IF(AND(N(BU51)&gt;=99.95,CL51&lt;&gt;"",N(CL51)&lt;100),"Pend. "&amp;CL51&amp;"%",""))))</f>
        <v/>
      </c>
      <c r="AP51" s="40" t="str">
        <f aca="false">IF(OR(OR(NOT(AND(ISNUMBER(E51),ISNUMBER(F51))),$J$2=""),4&gt;MAX(1,Reprogramaciones!$U$15)),"",IF(Reprogramaciones!N$12&gt;=7,"",IF(OR(BW51-N(BV51)&gt;0.05,N(T51)&gt;0),ROUNDDOWN(ROUND(BW51,6),0)&amp;"%"&amp;IF(CM51="",""," / "&amp;CM51&amp;"%"),IF(AND(N(BV51)&gt;=99.95,CM51&lt;&gt;"",N(CM51)&lt;100),"Pend. "&amp;CM51&amp;"%",""))))</f>
        <v/>
      </c>
      <c r="AQ51" s="40" t="str">
        <f aca="false">IF(OR(OR(NOT(AND(ISNUMBER(E51),ISNUMBER(F51))),$J$2=""),5&gt;MAX(1,Reprogramaciones!$U$15)),"",IF(Reprogramaciones!O$12&gt;=7,"",IF(OR(BX51-N(BW51)&gt;0.05,N(U51)&gt;0),ROUNDDOWN(ROUND(BX51,6),0)&amp;"%"&amp;IF(CN51="",""," / "&amp;CN51&amp;"%"),IF(AND(N(BW51)&gt;=99.95,CN51&lt;&gt;"",N(CN51)&lt;100),"Pend. "&amp;CN51&amp;"%",""))))</f>
        <v/>
      </c>
      <c r="AR51" s="40" t="str">
        <f aca="false">IF(OR(OR(NOT(AND(ISNUMBER(E51),ISNUMBER(F51))),$J$2=""),6&gt;MAX(1,Reprogramaciones!$U$15)),"",IF(Reprogramaciones!P$12&gt;=7,"",IF(OR(BY51-N(BX51)&gt;0.05,N(V51)&gt;0),ROUNDDOWN(ROUND(BY51,6),0)&amp;"%"&amp;IF(CO51="",""," / "&amp;CO51&amp;"%"),IF(AND(N(BX51)&gt;=99.95,CO51&lt;&gt;"",N(CO51)&lt;100),"Pend. "&amp;CO51&amp;"%",""))))</f>
        <v/>
      </c>
      <c r="AS51" s="40" t="str">
        <f aca="false">IF(OR(OR(NOT(AND(ISNUMBER(E51),ISNUMBER(F51))),$J$2=""),7&gt;MAX(1,Reprogramaciones!$U$15)),"",IF(Reprogramaciones!Q$12&gt;=7,"",IF(OR(BZ51-N(BY51)&gt;0.05,N(W51)&gt;0),ROUNDDOWN(ROUND(BZ51,6),0)&amp;"%"&amp;IF(CP51="",""," / "&amp;CP51&amp;"%"),IF(AND(N(BY51)&gt;=99.95,CP51&lt;&gt;"",N(CP51)&lt;100),"Pend. "&amp;CP51&amp;"%",""))))</f>
        <v/>
      </c>
      <c r="AT51" s="40" t="str">
        <f aca="false">IF(OR(OR(NOT(AND(ISNUMBER(E51),ISNUMBER(F51))),$J$2=""),8&gt;MAX(1,Reprogramaciones!$U$15)),"",IF(Reprogramaciones!R$12&gt;=7,"",IF(OR(CA51-N(BZ51)&gt;0.05,N(X51)&gt;0),ROUNDDOWN(ROUND(CA51,6),0)&amp;"%"&amp;IF(CQ51="",""," / "&amp;CQ51&amp;"%"),IF(AND(N(BZ51)&gt;=99.95,CQ51&lt;&gt;"",N(CQ51)&lt;100),"Pend. "&amp;CQ51&amp;"%",""))))</f>
        <v/>
      </c>
      <c r="AU51" s="40" t="str">
        <f aca="false">IF(OR(OR(NOT(AND(ISNUMBER(E51),ISNUMBER(F51))),$J$2=""),9&gt;MAX(1,Reprogramaciones!$U$15)),"",IF(Reprogramaciones!S$12&gt;=7,"",IF(OR(CB51-N(CA51)&gt;0.05,N(Y51)&gt;0),ROUNDDOWN(ROUND(CB51,6),0)&amp;"%"&amp;IF(CR51="",""," / "&amp;CR51&amp;"%"),IF(AND(N(CA51)&gt;=99.95,CR51&lt;&gt;"",N(CR51)&lt;100),"Pend. "&amp;CR51&amp;"%",""))))</f>
        <v/>
      </c>
      <c r="AV51" s="40" t="str">
        <f aca="false">IF(OR(OR(NOT(AND(ISNUMBER(E51),ISNUMBER(F51))),$J$2=""),10&gt;MAX(1,Reprogramaciones!$U$15)),"",IF(Reprogramaciones!T$12&gt;=7,"",IF(OR(CC51-N(CB51)&gt;0.05,N(Z51)&gt;0),ROUNDDOWN(ROUND(CC51,6),0)&amp;"%"&amp;IF(CS51="",""," / "&amp;CS51&amp;"%"),IF(AND(N(CB51)&gt;=99.95,CS51&lt;&gt;"",N(CS51)&lt;100),"Pend. "&amp;CS51&amp;"%",""))))</f>
        <v/>
      </c>
      <c r="AW51" s="40" t="str">
        <f aca="false">IF(OR(OR(NOT(AND(ISNUMBER(E51),ISNUMBER(F51))),$J$2=""),11&gt;MAX(1,Reprogramaciones!$U$15)),"",IF(Reprogramaciones!U$12&gt;=7,"",IF(OR(CD51-N(CC51)&gt;0.05,N(AA51)&gt;0),ROUNDDOWN(ROUND(CD51,6),0)&amp;"%"&amp;IF(CT51="",""," / "&amp;CT51&amp;"%"),IF(AND(N(CC51)&gt;=99.95,CT51&lt;&gt;"",N(CT51)&lt;100),"Pend. "&amp;CT51&amp;"%",""))))</f>
        <v/>
      </c>
      <c r="AX51" s="40" t="str">
        <f aca="false">IF(OR(OR(NOT(AND(ISNUMBER(E51),ISNUMBER(F51))),$J$2=""),12&gt;MAX(1,Reprogramaciones!$U$15)),"",IF(Reprogramaciones!V$12&gt;=7,"",IF(OR(CE51-N(CD51)&gt;0.05,N(AB51)&gt;0),ROUNDDOWN(ROUND(CE51,6),0)&amp;"%"&amp;IF(CU51="",""," / "&amp;CU51&amp;"%"),IF(AND(N(CD51)&gt;=99.95,CU51&lt;&gt;"",N(CU51)&lt;100),"Pend. "&amp;CU51&amp;"%",""))))</f>
        <v/>
      </c>
      <c r="AY51" s="40" t="str">
        <f aca="false">IF(OR(OR(NOT(AND(ISNUMBER(E51),ISNUMBER(F51))),$J$2=""),13&gt;MAX(1,Reprogramaciones!$U$15)),"",IF(Reprogramaciones!W$12&gt;=7,"",IF(OR(CF51-N(CE51)&gt;0.05,N(AC51)&gt;0),ROUNDDOWN(ROUND(CF51,6),0)&amp;"%"&amp;IF(CV51="",""," / "&amp;CV51&amp;"%"),IF(AND(N(CE51)&gt;=99.95,CV51&lt;&gt;"",N(CV51)&lt;100),"Pend. "&amp;CV51&amp;"%",""))))</f>
        <v/>
      </c>
      <c r="AZ51" s="40" t="str">
        <f aca="false">IF(OR(OR(NOT(AND(ISNUMBER(E51),ISNUMBER(F51))),$J$2=""),14&gt;MAX(1,Reprogramaciones!$U$15)),"",IF(Reprogramaciones!X$12&gt;=7,"",IF(OR(CG51-N(CF51)&gt;0.05,N(AD51)&gt;0),ROUNDDOWN(ROUND(CG51,6),0)&amp;"%"&amp;IF(CW51="",""," / "&amp;CW51&amp;"%"),IF(AND(N(CF51)&gt;=99.95,CW51&lt;&gt;"",N(CW51)&lt;100),"Pend. "&amp;CW51&amp;"%",""))))</f>
        <v/>
      </c>
      <c r="BA51" s="40" t="str">
        <f aca="false">IF(OR(OR(NOT(AND(ISNUMBER(E51),ISNUMBER(F51))),$J$2=""),15&gt;MAX(1,Reprogramaciones!$U$15)),"",IF(Reprogramaciones!Y$12&gt;=7,"",IF(OR(CH51-N(CG51)&gt;0.05,N(AE51)&gt;0),ROUNDDOWN(ROUND(CH51,6),0)&amp;"%"&amp;IF(CX51="",""," / "&amp;CX51&amp;"%"),IF(AND(N(CG51)&gt;=99.95,CX51&lt;&gt;"",N(CX51)&lt;100),"Pend. "&amp;CX51&amp;"%",""))))</f>
        <v/>
      </c>
      <c r="BB51" s="40" t="str">
        <f aca="false">IF(OR(OR(NOT(AND(ISNUMBER(E51),ISNUMBER(F51))),$J$2=""),16&gt;MAX(1,Reprogramaciones!$U$15)),"",IF(Reprogramaciones!Z$12&gt;=7,"",IF(OR(CI51-N(CH51)&gt;0.05,N(AF51)&gt;0),ROUNDDOWN(ROUND(CI51,6),0)&amp;"%"&amp;IF(CY51="",""," / "&amp;CY51&amp;"%"),IF(AND(N(CH51)&gt;=99.95,CY51&lt;&gt;"",N(CY51)&lt;100),"Pend. "&amp;CY51&amp;"%",""))))</f>
        <v/>
      </c>
      <c r="BC51" s="31" t="n">
        <f aca="false">IF(AND(ISNUMBER(E51),ISNUMBER(F51)),MAX(1,NETWORKDAYS.INTL(E51,F51,11)),0)</f>
        <v>0</v>
      </c>
      <c r="BD51" s="1" t="str">
        <f aca="false">IF(OR(NOT(AND(ISNUMBER(E51),ISNUMBER(F51))),$J$2=""),"",MIN(100,ROUND(SUM($G51:G51),1)))</f>
        <v/>
      </c>
      <c r="BE51" s="1" t="str">
        <f aca="false">IF(OR(NOT(AND(ISNUMBER(E51),ISNUMBER(F51))),$J$2=""),"",MIN(100,ROUND(SUM($G51:H51),1)))</f>
        <v/>
      </c>
      <c r="BF51" s="1" t="str">
        <f aca="false">IF(OR(NOT(AND(ISNUMBER(E51),ISNUMBER(F51))),$J$2=""),"",MIN(100,ROUND(SUM($G51:I51),1)))</f>
        <v/>
      </c>
      <c r="BG51" s="1" t="str">
        <f aca="false">IF(OR(NOT(AND(ISNUMBER(E51),ISNUMBER(F51))),$J$2=""),"",MIN(100,ROUND(SUM($G51:J51),1)))</f>
        <v/>
      </c>
      <c r="BH51" s="1" t="str">
        <f aca="false">IF(OR(NOT(AND(ISNUMBER(E51),ISNUMBER(F51))),$J$2=""),"",MIN(100,ROUND(SUM($G51:K51),1)))</f>
        <v/>
      </c>
      <c r="BI51" s="1" t="str">
        <f aca="false">IF(OR(NOT(AND(ISNUMBER(E51),ISNUMBER(F51))),$J$2=""),"",MIN(100,ROUND(SUM($G51:L51),1)))</f>
        <v/>
      </c>
      <c r="BJ51" s="1" t="str">
        <f aca="false">IF(OR(NOT(AND(ISNUMBER(E51),ISNUMBER(F51))),$J$2=""),"",MIN(100,ROUND(SUM($G51:M51),1)))</f>
        <v/>
      </c>
      <c r="BK51" s="1" t="str">
        <f aca="false">IF(OR(NOT(AND(ISNUMBER(E51),ISNUMBER(F51))),$J$2=""),"",MIN(100,ROUND(SUM($G51:N51),1)))</f>
        <v/>
      </c>
      <c r="BL51" s="1" t="str">
        <f aca="false">IF(OR(NOT(AND(ISNUMBER(E51),ISNUMBER(F51))),$J$2=""),"",MIN(100,ROUND(SUM($G51:O51),1)))</f>
        <v/>
      </c>
      <c r="BM51" s="1" t="str">
        <f aca="false">IF(OR(NOT(AND(ISNUMBER(E51),ISNUMBER(F51))),$J$2=""),"",MIN(100,ROUND(SUM($G51:P51),1)))</f>
        <v/>
      </c>
      <c r="BN51" s="1" t="str">
        <f aca="false">IF(OR(NOT(AND(ISNUMBER(E51),ISNUMBER(F51))),$J$2=""),"",MIN(100,ROUND(SUM($G51:P51),1)))</f>
        <v/>
      </c>
      <c r="BO51" s="1" t="str">
        <f aca="false">IF(OR(NOT(AND(ISNUMBER(E51),ISNUMBER(F51))),$J$2=""),"",MIN(100,ROUND(SUM($G51:P51),1)))</f>
        <v/>
      </c>
      <c r="BP51" s="1" t="str">
        <f aca="false">IF(OR(NOT(AND(ISNUMBER(E51),ISNUMBER(F51))),$J$2=""),"",MIN(100,ROUND(SUM($G51:P51),1)))</f>
        <v/>
      </c>
      <c r="BQ51" s="1" t="str">
        <f aca="false">IF(OR(NOT(AND(ISNUMBER(E51),ISNUMBER(F51))),$J$2=""),"",MIN(100,ROUND(SUM($G51:P51),1)))</f>
        <v/>
      </c>
      <c r="BR51" s="1" t="str">
        <f aca="false">IF(OR(NOT(AND(ISNUMBER(E51),ISNUMBER(F51))),$J$2=""),"",MIN(100,ROUND(SUM($G51:P51),1)))</f>
        <v/>
      </c>
      <c r="BS51" s="1" t="str">
        <f aca="false">IF(OR(NOT(AND(ISNUMBER(E51),ISNUMBER(F51))),$J$2=""),"",MIN(100,ROUND(SUM($G51:P51),1)))</f>
        <v/>
      </c>
      <c r="BT51" s="1" t="str">
        <f aca="false">IF(OR(NOT(AND(ISNUMBER(E51),ISNUMBER(F51))),$J$2=""),"",IF(Reprogramaciones!K$13&lt;Reprogramaciones!$T$15,0,IF(Reprogramaciones!K$14&gt;10,MIN(100,SUM($G51:$P51)),MIN(100,SUMPRODUCT((COLUMN($G51:$P51)-COLUMN($G51)+1&lt;Reprogramaciones!K$14)*$G51:$P51)+N(INDEX($G51:$P51,1,Reprogramaciones!K$14))*IF(Reprogramaciones!K$13&gt;=(Reprogramaciones!$T$15+7*(Reprogramaciones!K$14-1))+6,1,IF(MAX(0,NETWORKDAYS.INTL(MAX(E51,(Reprogramaciones!$T$15+7*(Reprogramaciones!K$14-1))),MIN(F51,(Reprogramaciones!$T$15+7*(Reprogramaciones!K$14-1))+6),11))=0,0,MAX(0,NETWORKDAYS.INTL(MAX(E51,(Reprogramaciones!$T$15+7*(Reprogramaciones!K$14-1))),MIN(F51,Reprogramaciones!K$13),11))/MAX(0,NETWORKDAYS.INTL(MAX(E51,(Reprogramaciones!$T$15+7*(Reprogramaciones!K$14-1))),MIN(F51,(Reprogramaciones!$T$15+7*(Reprogramaciones!K$14-1))+6),11))))))))</f>
        <v/>
      </c>
      <c r="BU51" s="1" t="str">
        <f aca="false">IF(OR(NOT(AND(ISNUMBER(E51),ISNUMBER(F51))),$J$2=""),"",IF(Reprogramaciones!L$13&lt;Reprogramaciones!$T$15,0,IF(Reprogramaciones!L$14&gt;10,MIN(100,SUM($G51:$P51)),MIN(100,SUMPRODUCT((COLUMN($G51:$P51)-COLUMN($G51)+1&lt;Reprogramaciones!L$14)*$G51:$P51)+N(INDEX($G51:$P51,1,Reprogramaciones!L$14))*IF(Reprogramaciones!L$13&gt;=(Reprogramaciones!$T$15+7*(Reprogramaciones!L$14-1))+6,1,IF(MAX(0,NETWORKDAYS.INTL(MAX(E51,(Reprogramaciones!$T$15+7*(Reprogramaciones!L$14-1))),MIN(F51,(Reprogramaciones!$T$15+7*(Reprogramaciones!L$14-1))+6),11))=0,0,MAX(0,NETWORKDAYS.INTL(MAX(E51,(Reprogramaciones!$T$15+7*(Reprogramaciones!L$14-1))),MIN(F51,Reprogramaciones!L$13),11))/MAX(0,NETWORKDAYS.INTL(MAX(E51,(Reprogramaciones!$T$15+7*(Reprogramaciones!L$14-1))),MIN(F51,(Reprogramaciones!$T$15+7*(Reprogramaciones!L$14-1))+6),11))))))))</f>
        <v/>
      </c>
      <c r="BV51" s="1" t="str">
        <f aca="false">IF(OR(NOT(AND(ISNUMBER(E51),ISNUMBER(F51))),$J$2=""),"",IF(Reprogramaciones!M$13&lt;Reprogramaciones!$T$15,0,IF(Reprogramaciones!M$14&gt;10,MIN(100,SUM($G51:$P51)),MIN(100,SUMPRODUCT((COLUMN($G51:$P51)-COLUMN($G51)+1&lt;Reprogramaciones!M$14)*$G51:$P51)+N(INDEX($G51:$P51,1,Reprogramaciones!M$14))*IF(Reprogramaciones!M$13&gt;=(Reprogramaciones!$T$15+7*(Reprogramaciones!M$14-1))+6,1,IF(MAX(0,NETWORKDAYS.INTL(MAX(E51,(Reprogramaciones!$T$15+7*(Reprogramaciones!M$14-1))),MIN(F51,(Reprogramaciones!$T$15+7*(Reprogramaciones!M$14-1))+6),11))=0,0,MAX(0,NETWORKDAYS.INTL(MAX(E51,(Reprogramaciones!$T$15+7*(Reprogramaciones!M$14-1))),MIN(F51,Reprogramaciones!M$13),11))/MAX(0,NETWORKDAYS.INTL(MAX(E51,(Reprogramaciones!$T$15+7*(Reprogramaciones!M$14-1))),MIN(F51,(Reprogramaciones!$T$15+7*(Reprogramaciones!M$14-1))+6),11))))))))</f>
        <v/>
      </c>
      <c r="BW51" s="1" t="str">
        <f aca="false">IF(OR(NOT(AND(ISNUMBER(E51),ISNUMBER(F51))),$J$2=""),"",IF(Reprogramaciones!N$13&lt;Reprogramaciones!$T$15,0,IF(Reprogramaciones!N$14&gt;10,MIN(100,SUM($G51:$P51)),MIN(100,SUMPRODUCT((COLUMN($G51:$P51)-COLUMN($G51)+1&lt;Reprogramaciones!N$14)*$G51:$P51)+N(INDEX($G51:$P51,1,Reprogramaciones!N$14))*IF(Reprogramaciones!N$13&gt;=(Reprogramaciones!$T$15+7*(Reprogramaciones!N$14-1))+6,1,IF(MAX(0,NETWORKDAYS.INTL(MAX(E51,(Reprogramaciones!$T$15+7*(Reprogramaciones!N$14-1))),MIN(F51,(Reprogramaciones!$T$15+7*(Reprogramaciones!N$14-1))+6),11))=0,0,MAX(0,NETWORKDAYS.INTL(MAX(E51,(Reprogramaciones!$T$15+7*(Reprogramaciones!N$14-1))),MIN(F51,Reprogramaciones!N$13),11))/MAX(0,NETWORKDAYS.INTL(MAX(E51,(Reprogramaciones!$T$15+7*(Reprogramaciones!N$14-1))),MIN(F51,(Reprogramaciones!$T$15+7*(Reprogramaciones!N$14-1))+6),11))))))))</f>
        <v/>
      </c>
      <c r="BX51" s="1" t="str">
        <f aca="false">IF(OR(NOT(AND(ISNUMBER(E51),ISNUMBER(F51))),$J$2=""),"",IF(Reprogramaciones!O$13&lt;Reprogramaciones!$T$15,0,IF(Reprogramaciones!O$14&gt;10,MIN(100,SUM($G51:$P51)),MIN(100,SUMPRODUCT((COLUMN($G51:$P51)-COLUMN($G51)+1&lt;Reprogramaciones!O$14)*$G51:$P51)+N(INDEX($G51:$P51,1,Reprogramaciones!O$14))*IF(Reprogramaciones!O$13&gt;=(Reprogramaciones!$T$15+7*(Reprogramaciones!O$14-1))+6,1,IF(MAX(0,NETWORKDAYS.INTL(MAX(E51,(Reprogramaciones!$T$15+7*(Reprogramaciones!O$14-1))),MIN(F51,(Reprogramaciones!$T$15+7*(Reprogramaciones!O$14-1))+6),11))=0,0,MAX(0,NETWORKDAYS.INTL(MAX(E51,(Reprogramaciones!$T$15+7*(Reprogramaciones!O$14-1))),MIN(F51,Reprogramaciones!O$13),11))/MAX(0,NETWORKDAYS.INTL(MAX(E51,(Reprogramaciones!$T$15+7*(Reprogramaciones!O$14-1))),MIN(F51,(Reprogramaciones!$T$15+7*(Reprogramaciones!O$14-1))+6),11))))))))</f>
        <v/>
      </c>
      <c r="BY51" s="1" t="str">
        <f aca="false">IF(OR(NOT(AND(ISNUMBER(E51),ISNUMBER(F51))),$J$2=""),"",IF(Reprogramaciones!P$13&lt;Reprogramaciones!$T$15,0,IF(Reprogramaciones!P$14&gt;10,MIN(100,SUM($G51:$P51)),MIN(100,SUMPRODUCT((COLUMN($G51:$P51)-COLUMN($G51)+1&lt;Reprogramaciones!P$14)*$G51:$P51)+N(INDEX($G51:$P51,1,Reprogramaciones!P$14))*IF(Reprogramaciones!P$13&gt;=(Reprogramaciones!$T$15+7*(Reprogramaciones!P$14-1))+6,1,IF(MAX(0,NETWORKDAYS.INTL(MAX(E51,(Reprogramaciones!$T$15+7*(Reprogramaciones!P$14-1))),MIN(F51,(Reprogramaciones!$T$15+7*(Reprogramaciones!P$14-1))+6),11))=0,0,MAX(0,NETWORKDAYS.INTL(MAX(E51,(Reprogramaciones!$T$15+7*(Reprogramaciones!P$14-1))),MIN(F51,Reprogramaciones!P$13),11))/MAX(0,NETWORKDAYS.INTL(MAX(E51,(Reprogramaciones!$T$15+7*(Reprogramaciones!P$14-1))),MIN(F51,(Reprogramaciones!$T$15+7*(Reprogramaciones!P$14-1))+6),11))))))))</f>
        <v/>
      </c>
      <c r="BZ51" s="1" t="str">
        <f aca="false">IF(OR(NOT(AND(ISNUMBER(E51),ISNUMBER(F51))),$J$2=""),"",IF(Reprogramaciones!Q$13&lt;Reprogramaciones!$T$15,0,IF(Reprogramaciones!Q$14&gt;10,MIN(100,SUM($G51:$P51)),MIN(100,SUMPRODUCT((COLUMN($G51:$P51)-COLUMN($G51)+1&lt;Reprogramaciones!Q$14)*$G51:$P51)+N(INDEX($G51:$P51,1,Reprogramaciones!Q$14))*IF(Reprogramaciones!Q$13&gt;=(Reprogramaciones!$T$15+7*(Reprogramaciones!Q$14-1))+6,1,IF(MAX(0,NETWORKDAYS.INTL(MAX(E51,(Reprogramaciones!$T$15+7*(Reprogramaciones!Q$14-1))),MIN(F51,(Reprogramaciones!$T$15+7*(Reprogramaciones!Q$14-1))+6),11))=0,0,MAX(0,NETWORKDAYS.INTL(MAX(E51,(Reprogramaciones!$T$15+7*(Reprogramaciones!Q$14-1))),MIN(F51,Reprogramaciones!Q$13),11))/MAX(0,NETWORKDAYS.INTL(MAX(E51,(Reprogramaciones!$T$15+7*(Reprogramaciones!Q$14-1))),MIN(F51,(Reprogramaciones!$T$15+7*(Reprogramaciones!Q$14-1))+6),11))))))))</f>
        <v/>
      </c>
      <c r="CA51" s="1" t="str">
        <f aca="false">IF(OR(NOT(AND(ISNUMBER(E51),ISNUMBER(F51))),$J$2=""),"",IF(Reprogramaciones!R$13&lt;Reprogramaciones!$T$15,0,IF(Reprogramaciones!R$14&gt;10,MIN(100,SUM($G51:$P51)),MIN(100,SUMPRODUCT((COLUMN($G51:$P51)-COLUMN($G51)+1&lt;Reprogramaciones!R$14)*$G51:$P51)+N(INDEX($G51:$P51,1,Reprogramaciones!R$14))*IF(Reprogramaciones!R$13&gt;=(Reprogramaciones!$T$15+7*(Reprogramaciones!R$14-1))+6,1,IF(MAX(0,NETWORKDAYS.INTL(MAX(E51,(Reprogramaciones!$T$15+7*(Reprogramaciones!R$14-1))),MIN(F51,(Reprogramaciones!$T$15+7*(Reprogramaciones!R$14-1))+6),11))=0,0,MAX(0,NETWORKDAYS.INTL(MAX(E51,(Reprogramaciones!$T$15+7*(Reprogramaciones!R$14-1))),MIN(F51,Reprogramaciones!R$13),11))/MAX(0,NETWORKDAYS.INTL(MAX(E51,(Reprogramaciones!$T$15+7*(Reprogramaciones!R$14-1))),MIN(F51,(Reprogramaciones!$T$15+7*(Reprogramaciones!R$14-1))+6),11))))))))</f>
        <v/>
      </c>
      <c r="CB51" s="1" t="str">
        <f aca="false">IF(OR(NOT(AND(ISNUMBER(E51),ISNUMBER(F51))),$J$2=""),"",IF(Reprogramaciones!S$13&lt;Reprogramaciones!$T$15,0,IF(Reprogramaciones!S$14&gt;10,MIN(100,SUM($G51:$P51)),MIN(100,SUMPRODUCT((COLUMN($G51:$P51)-COLUMN($G51)+1&lt;Reprogramaciones!S$14)*$G51:$P51)+N(INDEX($G51:$P51,1,Reprogramaciones!S$14))*IF(Reprogramaciones!S$13&gt;=(Reprogramaciones!$T$15+7*(Reprogramaciones!S$14-1))+6,1,IF(MAX(0,NETWORKDAYS.INTL(MAX(E51,(Reprogramaciones!$T$15+7*(Reprogramaciones!S$14-1))),MIN(F51,(Reprogramaciones!$T$15+7*(Reprogramaciones!S$14-1))+6),11))=0,0,MAX(0,NETWORKDAYS.INTL(MAX(E51,(Reprogramaciones!$T$15+7*(Reprogramaciones!S$14-1))),MIN(F51,Reprogramaciones!S$13),11))/MAX(0,NETWORKDAYS.INTL(MAX(E51,(Reprogramaciones!$T$15+7*(Reprogramaciones!S$14-1))),MIN(F51,(Reprogramaciones!$T$15+7*(Reprogramaciones!S$14-1))+6),11))))))))</f>
        <v/>
      </c>
      <c r="CC51" s="1" t="str">
        <f aca="false">IF(OR(NOT(AND(ISNUMBER(E51),ISNUMBER(F51))),$J$2=""),"",IF(Reprogramaciones!T$13&lt;Reprogramaciones!$T$15,0,IF(Reprogramaciones!T$14&gt;10,MIN(100,SUM($G51:$P51)),MIN(100,SUMPRODUCT((COLUMN($G51:$P51)-COLUMN($G51)+1&lt;Reprogramaciones!T$14)*$G51:$P51)+N(INDEX($G51:$P51,1,Reprogramaciones!T$14))*IF(Reprogramaciones!T$13&gt;=(Reprogramaciones!$T$15+7*(Reprogramaciones!T$14-1))+6,1,IF(MAX(0,NETWORKDAYS.INTL(MAX(E51,(Reprogramaciones!$T$15+7*(Reprogramaciones!T$14-1))),MIN(F51,(Reprogramaciones!$T$15+7*(Reprogramaciones!T$14-1))+6),11))=0,0,MAX(0,NETWORKDAYS.INTL(MAX(E51,(Reprogramaciones!$T$15+7*(Reprogramaciones!T$14-1))),MIN(F51,Reprogramaciones!T$13),11))/MAX(0,NETWORKDAYS.INTL(MAX(E51,(Reprogramaciones!$T$15+7*(Reprogramaciones!T$14-1))),MIN(F51,(Reprogramaciones!$T$15+7*(Reprogramaciones!T$14-1))+6),11))))))))</f>
        <v/>
      </c>
      <c r="CD51" s="1" t="str">
        <f aca="false">IF(OR(NOT(AND(ISNUMBER(E51),ISNUMBER(F51))),$J$2=""),"",IF(Reprogramaciones!U$13&lt;Reprogramaciones!$T$15,0,IF(Reprogramaciones!U$14&gt;10,MIN(100,SUM($G51:$P51)),MIN(100,SUMPRODUCT((COLUMN($G51:$P51)-COLUMN($G51)+1&lt;Reprogramaciones!U$14)*$G51:$P51)+N(INDEX($G51:$P51,1,Reprogramaciones!U$14))*IF(Reprogramaciones!U$13&gt;=(Reprogramaciones!$T$15+7*(Reprogramaciones!U$14-1))+6,1,IF(MAX(0,NETWORKDAYS.INTL(MAX(E51,(Reprogramaciones!$T$15+7*(Reprogramaciones!U$14-1))),MIN(F51,(Reprogramaciones!$T$15+7*(Reprogramaciones!U$14-1))+6),11))=0,0,MAX(0,NETWORKDAYS.INTL(MAX(E51,(Reprogramaciones!$T$15+7*(Reprogramaciones!U$14-1))),MIN(F51,Reprogramaciones!U$13),11))/MAX(0,NETWORKDAYS.INTL(MAX(E51,(Reprogramaciones!$T$15+7*(Reprogramaciones!U$14-1))),MIN(F51,(Reprogramaciones!$T$15+7*(Reprogramaciones!U$14-1))+6),11))))))))</f>
        <v/>
      </c>
      <c r="CE51" s="1" t="str">
        <f aca="false">IF(OR(NOT(AND(ISNUMBER(E51),ISNUMBER(F51))),$J$2=""),"",IF(Reprogramaciones!V$13&lt;Reprogramaciones!$T$15,0,IF(Reprogramaciones!V$14&gt;10,MIN(100,SUM($G51:$P51)),MIN(100,SUMPRODUCT((COLUMN($G51:$P51)-COLUMN($G51)+1&lt;Reprogramaciones!V$14)*$G51:$P51)+N(INDEX($G51:$P51,1,Reprogramaciones!V$14))*IF(Reprogramaciones!V$13&gt;=(Reprogramaciones!$T$15+7*(Reprogramaciones!V$14-1))+6,1,IF(MAX(0,NETWORKDAYS.INTL(MAX(E51,(Reprogramaciones!$T$15+7*(Reprogramaciones!V$14-1))),MIN(F51,(Reprogramaciones!$T$15+7*(Reprogramaciones!V$14-1))+6),11))=0,0,MAX(0,NETWORKDAYS.INTL(MAX(E51,(Reprogramaciones!$T$15+7*(Reprogramaciones!V$14-1))),MIN(F51,Reprogramaciones!V$13),11))/MAX(0,NETWORKDAYS.INTL(MAX(E51,(Reprogramaciones!$T$15+7*(Reprogramaciones!V$14-1))),MIN(F51,(Reprogramaciones!$T$15+7*(Reprogramaciones!V$14-1))+6),11))))))))</f>
        <v/>
      </c>
      <c r="CF51" s="1" t="str">
        <f aca="false">IF(OR(NOT(AND(ISNUMBER(E51),ISNUMBER(F51))),$J$2=""),"",IF(Reprogramaciones!W$13&lt;Reprogramaciones!$T$15,0,IF(Reprogramaciones!W$14&gt;10,MIN(100,SUM($G51:$P51)),MIN(100,SUMPRODUCT((COLUMN($G51:$P51)-COLUMN($G51)+1&lt;Reprogramaciones!W$14)*$G51:$P51)+N(INDEX($G51:$P51,1,Reprogramaciones!W$14))*IF(Reprogramaciones!W$13&gt;=(Reprogramaciones!$T$15+7*(Reprogramaciones!W$14-1))+6,1,IF(MAX(0,NETWORKDAYS.INTL(MAX(E51,(Reprogramaciones!$T$15+7*(Reprogramaciones!W$14-1))),MIN(F51,(Reprogramaciones!$T$15+7*(Reprogramaciones!W$14-1))+6),11))=0,0,MAX(0,NETWORKDAYS.INTL(MAX(E51,(Reprogramaciones!$T$15+7*(Reprogramaciones!W$14-1))),MIN(F51,Reprogramaciones!W$13),11))/MAX(0,NETWORKDAYS.INTL(MAX(E51,(Reprogramaciones!$T$15+7*(Reprogramaciones!W$14-1))),MIN(F51,(Reprogramaciones!$T$15+7*(Reprogramaciones!W$14-1))+6),11))))))))</f>
        <v/>
      </c>
      <c r="CG51" s="1" t="str">
        <f aca="false">IF(OR(NOT(AND(ISNUMBER(E51),ISNUMBER(F51))),$J$2=""),"",IF(Reprogramaciones!X$13&lt;Reprogramaciones!$T$15,0,IF(Reprogramaciones!X$14&gt;10,MIN(100,SUM($G51:$P51)),MIN(100,SUMPRODUCT((COLUMN($G51:$P51)-COLUMN($G51)+1&lt;Reprogramaciones!X$14)*$G51:$P51)+N(INDEX($G51:$P51,1,Reprogramaciones!X$14))*IF(Reprogramaciones!X$13&gt;=(Reprogramaciones!$T$15+7*(Reprogramaciones!X$14-1))+6,1,IF(MAX(0,NETWORKDAYS.INTL(MAX(E51,(Reprogramaciones!$T$15+7*(Reprogramaciones!X$14-1))),MIN(F51,(Reprogramaciones!$T$15+7*(Reprogramaciones!X$14-1))+6),11))=0,0,MAX(0,NETWORKDAYS.INTL(MAX(E51,(Reprogramaciones!$T$15+7*(Reprogramaciones!X$14-1))),MIN(F51,Reprogramaciones!X$13),11))/MAX(0,NETWORKDAYS.INTL(MAX(E51,(Reprogramaciones!$T$15+7*(Reprogramaciones!X$14-1))),MIN(F51,(Reprogramaciones!$T$15+7*(Reprogramaciones!X$14-1))+6),11))))))))</f>
        <v/>
      </c>
      <c r="CH51" s="1" t="str">
        <f aca="false">IF(OR(NOT(AND(ISNUMBER(E51),ISNUMBER(F51))),$J$2=""),"",IF(Reprogramaciones!Y$13&lt;Reprogramaciones!$T$15,0,IF(Reprogramaciones!Y$14&gt;10,MIN(100,SUM($G51:$P51)),MIN(100,SUMPRODUCT((COLUMN($G51:$P51)-COLUMN($G51)+1&lt;Reprogramaciones!Y$14)*$G51:$P51)+N(INDEX($G51:$P51,1,Reprogramaciones!Y$14))*IF(Reprogramaciones!Y$13&gt;=(Reprogramaciones!$T$15+7*(Reprogramaciones!Y$14-1))+6,1,IF(MAX(0,NETWORKDAYS.INTL(MAX(E51,(Reprogramaciones!$T$15+7*(Reprogramaciones!Y$14-1))),MIN(F51,(Reprogramaciones!$T$15+7*(Reprogramaciones!Y$14-1))+6),11))=0,0,MAX(0,NETWORKDAYS.INTL(MAX(E51,(Reprogramaciones!$T$15+7*(Reprogramaciones!Y$14-1))),MIN(F51,Reprogramaciones!Y$13),11))/MAX(0,NETWORKDAYS.INTL(MAX(E51,(Reprogramaciones!$T$15+7*(Reprogramaciones!Y$14-1))),MIN(F51,(Reprogramaciones!$T$15+7*(Reprogramaciones!Y$14-1))+6),11))))))))</f>
        <v/>
      </c>
      <c r="CI51" s="1" t="str">
        <f aca="false">IF(OR(NOT(AND(ISNUMBER(E51),ISNUMBER(F51))),$J$2=""),"",IF(Reprogramaciones!Z$13&lt;Reprogramaciones!$T$15,0,IF(Reprogramaciones!Z$14&gt;10,MIN(100,SUM($G51:$P51)),MIN(100,SUMPRODUCT((COLUMN($G51:$P51)-COLUMN($G51)+1&lt;Reprogramaciones!Z$14)*$G51:$P51)+N(INDEX($G51:$P51,1,Reprogramaciones!Z$14))*IF(Reprogramaciones!Z$13&gt;=(Reprogramaciones!$T$15+7*(Reprogramaciones!Z$14-1))+6,1,IF(MAX(0,NETWORKDAYS.INTL(MAX(E51,(Reprogramaciones!$T$15+7*(Reprogramaciones!Z$14-1))),MIN(F51,(Reprogramaciones!$T$15+7*(Reprogramaciones!Z$14-1))+6),11))=0,0,MAX(0,NETWORKDAYS.INTL(MAX(E51,(Reprogramaciones!$T$15+7*(Reprogramaciones!Z$14-1))),MIN(F51,Reprogramaciones!Z$13),11))/MAX(0,NETWORKDAYS.INTL(MAX(E51,(Reprogramaciones!$T$15+7*(Reprogramaciones!Z$14-1))),MIN(F51,(Reprogramaciones!$T$15+7*(Reprogramaciones!Z$14-1))+6),11))))))))</f>
        <v/>
      </c>
      <c r="CJ51" s="1" t="str">
        <f aca="false">IF(OR(OR(NOT(AND(ISNUMBER(E51),ISNUMBER(F51))),$J$2=""),1&gt;Reprogramaciones!$K$16),"",IF(ROUND(SUM($Q51:Q51),1)&gt;=99.5,100,MIN(100,ROUND(SUM($Q51:Q51),1))))</f>
        <v/>
      </c>
      <c r="CK51" s="1" t="str">
        <f aca="false">IF(OR(OR(NOT(AND(ISNUMBER(E51),ISNUMBER(F51))),$J$2=""),2&gt;Reprogramaciones!$K$16),"",IF(ROUND(SUM($Q51:R51),1)&gt;=99.5,100,MIN(100,ROUND(SUM($Q51:R51),1))))</f>
        <v/>
      </c>
      <c r="CL51" s="1" t="str">
        <f aca="false">IF(OR(OR(NOT(AND(ISNUMBER(E51),ISNUMBER(F51))),$J$2=""),3&gt;Reprogramaciones!$K$16),"",IF(ROUND(SUM($Q51:S51),1)&gt;=99.5,100,MIN(100,ROUND(SUM($Q51:S51),1))))</f>
        <v/>
      </c>
      <c r="CM51" s="1" t="str">
        <f aca="false">IF(OR(OR(NOT(AND(ISNUMBER(E51),ISNUMBER(F51))),$J$2=""),4&gt;Reprogramaciones!$K$16),"",IF(ROUND(SUM($Q51:T51),1)&gt;=99.5,100,MIN(100,ROUND(SUM($Q51:T51),1))))</f>
        <v/>
      </c>
      <c r="CN51" s="1" t="str">
        <f aca="false">IF(OR(OR(NOT(AND(ISNUMBER(E51),ISNUMBER(F51))),$J$2=""),5&gt;Reprogramaciones!$K$16),"",IF(ROUND(SUM($Q51:U51),1)&gt;=99.5,100,MIN(100,ROUND(SUM($Q51:U51),1))))</f>
        <v/>
      </c>
      <c r="CO51" s="1" t="str">
        <f aca="false">IF(OR(OR(NOT(AND(ISNUMBER(E51),ISNUMBER(F51))),$J$2=""),6&gt;Reprogramaciones!$K$16),"",IF(ROUND(SUM($Q51:V51),1)&gt;=99.5,100,MIN(100,ROUND(SUM($Q51:V51),1))))</f>
        <v/>
      </c>
      <c r="CP51" s="1" t="str">
        <f aca="false">IF(OR(OR(NOT(AND(ISNUMBER(E51),ISNUMBER(F51))),$J$2=""),7&gt;Reprogramaciones!$K$16),"",IF(ROUND(SUM($Q51:W51),1)&gt;=99.5,100,MIN(100,ROUND(SUM($Q51:W51),1))))</f>
        <v/>
      </c>
      <c r="CQ51" s="1" t="str">
        <f aca="false">IF(OR(OR(NOT(AND(ISNUMBER(E51),ISNUMBER(F51))),$J$2=""),8&gt;Reprogramaciones!$K$16),"",IF(ROUND(SUM($Q51:X51),1)&gt;=99.5,100,MIN(100,ROUND(SUM($Q51:X51),1))))</f>
        <v/>
      </c>
      <c r="CR51" s="1" t="str">
        <f aca="false">IF(OR(OR(NOT(AND(ISNUMBER(E51),ISNUMBER(F51))),$J$2=""),9&gt;Reprogramaciones!$K$16),"",IF(ROUND(SUM($Q51:Y51),1)&gt;=99.5,100,MIN(100,ROUND(SUM($Q51:Y51),1))))</f>
        <v/>
      </c>
      <c r="CS51" s="1" t="str">
        <f aca="false">IF(OR(OR(NOT(AND(ISNUMBER(E51),ISNUMBER(F51))),$J$2=""),10&gt;Reprogramaciones!$K$16),"",IF(ROUND(SUM($Q51:Z51),1)&gt;=99.5,100,MIN(100,ROUND(SUM($Q51:Z51),1))))</f>
        <v/>
      </c>
      <c r="CT51" s="1" t="str">
        <f aca="false">IF(OR(OR(NOT(AND(ISNUMBER(E51),ISNUMBER(F51))),$J$2=""),11&gt;Reprogramaciones!$K$16),"",IF(ROUND(SUM($Q51:AA51),1)&gt;=99.5,100,MIN(100,ROUND(SUM($Q51:AA51),1))))</f>
        <v/>
      </c>
      <c r="CU51" s="1" t="str">
        <f aca="false">IF(OR(OR(NOT(AND(ISNUMBER(E51),ISNUMBER(F51))),$J$2=""),12&gt;Reprogramaciones!$K$16),"",IF(ROUND(SUM($Q51:AB51),1)&gt;=99.5,100,MIN(100,ROUND(SUM($Q51:AB51),1))))</f>
        <v/>
      </c>
      <c r="CV51" s="1" t="str">
        <f aca="false">IF(OR(OR(NOT(AND(ISNUMBER(E51),ISNUMBER(F51))),$J$2=""),13&gt;Reprogramaciones!$K$16),"",IF(ROUND(SUM($Q51:AC51),1)&gt;=99.5,100,MIN(100,ROUND(SUM($Q51:AC51),1))))</f>
        <v/>
      </c>
      <c r="CW51" s="1" t="str">
        <f aca="false">IF(OR(OR(NOT(AND(ISNUMBER(E51),ISNUMBER(F51))),$J$2=""),14&gt;Reprogramaciones!$K$16),"",IF(ROUND(SUM($Q51:AD51),1)&gt;=99.5,100,MIN(100,ROUND(SUM($Q51:AD51),1))))</f>
        <v/>
      </c>
      <c r="CX51" s="1" t="str">
        <f aca="false">IF(OR(OR(NOT(AND(ISNUMBER(E51),ISNUMBER(F51))),$J$2=""),15&gt;Reprogramaciones!$K$16),"",IF(ROUND(SUM($Q51:AE51),1)&gt;=99.5,100,MIN(100,ROUND(SUM($Q51:AE51),1))))</f>
        <v/>
      </c>
      <c r="CY51" s="1" t="str">
        <f aca="false">IF(OR(OR(NOT(AND(ISNUMBER(E51),ISNUMBER(F51))),$J$2=""),16&gt;Reprogramaciones!$K$16),"",IF(ROUND(SUM($Q51:AF51),1)&gt;=99.5,100,MIN(100,ROUND(SUM($Q51:AF51),1))))</f>
        <v/>
      </c>
      <c r="CZ51" s="1" t="str">
        <f aca="false">IF(D51&lt;&gt;"",D51,IF(B51&lt;&gt;"","Contractual",CZ50))</f>
        <v>Contractual</v>
      </c>
      <c r="DA51" s="1" t="str">
        <f aca="false">IF(OR(NOT(AND(ISNUMBER(E51),ISNUMBER(F51))),$J$2=""),"",IF(Reprogramaciones!$Q$15&lt;Reprogramaciones!$T$15,0,IF(Reprogramaciones!$S$15&gt;10,MIN(100,SUM($G51:$P51)),MIN(100,SUMPRODUCT((COLUMN($G51:$P51)-COLUMN($G51)+1&lt;Reprogramaciones!$S$15)*$G51:$P51)+N(INDEX($G51:$P51,1,Reprogramaciones!$S$15))*IF(Reprogramaciones!$Q$15&gt;=(Reprogramaciones!$T$15+7*(Reprogramaciones!$S$15-1))+6,1,IF(MAX(0,NETWORKDAYS.INTL(MAX(E51,(Reprogramaciones!$T$15+7*(Reprogramaciones!$S$15-1))),MIN(F51,(Reprogramaciones!$T$15+7*(Reprogramaciones!$S$15-1))+6),11))=0,0,MAX(0,NETWORKDAYS.INTL(MAX(E51,(Reprogramaciones!$T$15+7*(Reprogramaciones!$S$15-1))),MIN(F51,Reprogramaciones!$Q$15),11))/MAX(0,NETWORKDAYS.INTL(MAX(E51,(Reprogramaciones!$T$15+7*(Reprogramaciones!$S$15-1))),MIN(F51,(Reprogramaciones!$T$15+7*(Reprogramaciones!$S$15-1))+6),11))))))))</f>
        <v/>
      </c>
    </row>
    <row r="52" customFormat="false" ht="15" hidden="false" customHeight="false" outlineLevel="0" collapsed="false">
      <c r="A52" s="32"/>
      <c r="B52" s="33"/>
      <c r="C52" s="33"/>
      <c r="D52" s="34"/>
      <c r="E52" s="35"/>
      <c r="F52" s="35"/>
      <c r="G52" s="36" t="str">
        <f aca="false">IF(OR(NOT(AND(ISNUMBER(E52),ISNUMBER(F52))),$J$2=""),"",IF(Reprogramaciones!K$9&lt;E52,0,IF(NETWORKDAYS.INTL(E52,F52,11)=0,IF(Reprogramaciones!K$9&gt;=F52,100,0),ROUND(NETWORKDAYS.INTL(E52,MIN(F52,Reprogramaciones!K$9),11)/NETWORKDAYS.INTL(E52,F52,11)*100,1)))-0)</f>
        <v/>
      </c>
      <c r="H52" s="36" t="str">
        <f aca="false">IF(OR(NOT(AND(ISNUMBER(E52),ISNUMBER(F52))),$J$2=""),"",IF(Reprogramaciones!L$9&lt;E52,0,IF(NETWORKDAYS.INTL(E52,F52,11)=0,IF(Reprogramaciones!L$9&gt;=F52,100,0),ROUND(NETWORKDAYS.INTL(E52,MIN(F52,Reprogramaciones!L$9),11)/NETWORKDAYS.INTL(E52,F52,11)*100,1)))-IF(Reprogramaciones!K$9&lt;E52,0,IF(NETWORKDAYS.INTL(E52,F52,11)=0,IF(Reprogramaciones!K$9&gt;=F52,100,0),ROUND(NETWORKDAYS.INTL(E52,MIN(F52,Reprogramaciones!K$9),11)/NETWORKDAYS.INTL(E52,F52,11)*100,1))))</f>
        <v/>
      </c>
      <c r="I52" s="36" t="str">
        <f aca="false">IF(OR(NOT(AND(ISNUMBER(E52),ISNUMBER(F52))),$J$2=""),"",IF(Reprogramaciones!M$9&lt;E52,0,IF(NETWORKDAYS.INTL(E52,F52,11)=0,IF(Reprogramaciones!M$9&gt;=F52,100,0),ROUND(NETWORKDAYS.INTL(E52,MIN(F52,Reprogramaciones!M$9),11)/NETWORKDAYS.INTL(E52,F52,11)*100,1)))-IF(Reprogramaciones!L$9&lt;E52,0,IF(NETWORKDAYS.INTL(E52,F52,11)=0,IF(Reprogramaciones!L$9&gt;=F52,100,0),ROUND(NETWORKDAYS.INTL(E52,MIN(F52,Reprogramaciones!L$9),11)/NETWORKDAYS.INTL(E52,F52,11)*100,1))))</f>
        <v/>
      </c>
      <c r="J52" s="36" t="str">
        <f aca="false">IF(OR(NOT(AND(ISNUMBER(E52),ISNUMBER(F52))),$J$2=""),"",IF(Reprogramaciones!N$9&lt;E52,0,IF(NETWORKDAYS.INTL(E52,F52,11)=0,IF(Reprogramaciones!N$9&gt;=F52,100,0),ROUND(NETWORKDAYS.INTL(E52,MIN(F52,Reprogramaciones!N$9),11)/NETWORKDAYS.INTL(E52,F52,11)*100,1)))-IF(Reprogramaciones!M$9&lt;E52,0,IF(NETWORKDAYS.INTL(E52,F52,11)=0,IF(Reprogramaciones!M$9&gt;=F52,100,0),ROUND(NETWORKDAYS.INTL(E52,MIN(F52,Reprogramaciones!M$9),11)/NETWORKDAYS.INTL(E52,F52,11)*100,1))))</f>
        <v/>
      </c>
      <c r="K52" s="36" t="str">
        <f aca="false">IF(OR(NOT(AND(ISNUMBER(E52),ISNUMBER(F52))),$J$2=""),"",IF(Reprogramaciones!O$9&lt;E52,0,IF(NETWORKDAYS.INTL(E52,F52,11)=0,IF(Reprogramaciones!O$9&gt;=F52,100,0),ROUND(NETWORKDAYS.INTL(E52,MIN(F52,Reprogramaciones!O$9),11)/NETWORKDAYS.INTL(E52,F52,11)*100,1)))-IF(Reprogramaciones!N$9&lt;E52,0,IF(NETWORKDAYS.INTL(E52,F52,11)=0,IF(Reprogramaciones!N$9&gt;=F52,100,0),ROUND(NETWORKDAYS.INTL(E52,MIN(F52,Reprogramaciones!N$9),11)/NETWORKDAYS.INTL(E52,F52,11)*100,1))))</f>
        <v/>
      </c>
      <c r="L52" s="36" t="str">
        <f aca="false">IF(OR(NOT(AND(ISNUMBER(E52),ISNUMBER(F52))),$J$2=""),"",IF(Reprogramaciones!P$9&lt;E52,0,IF(NETWORKDAYS.INTL(E52,F52,11)=0,IF(Reprogramaciones!P$9&gt;=F52,100,0),ROUND(NETWORKDAYS.INTL(E52,MIN(F52,Reprogramaciones!P$9),11)/NETWORKDAYS.INTL(E52,F52,11)*100,1)))-IF(Reprogramaciones!O$9&lt;E52,0,IF(NETWORKDAYS.INTL(E52,F52,11)=0,IF(Reprogramaciones!O$9&gt;=F52,100,0),ROUND(NETWORKDAYS.INTL(E52,MIN(F52,Reprogramaciones!O$9),11)/NETWORKDAYS.INTL(E52,F52,11)*100,1))))</f>
        <v/>
      </c>
      <c r="M52" s="36" t="str">
        <f aca="false">IF(OR(NOT(AND(ISNUMBER(E52),ISNUMBER(F52))),$J$2=""),"",IF(Reprogramaciones!Q$9&lt;E52,0,IF(NETWORKDAYS.INTL(E52,F52,11)=0,IF(Reprogramaciones!Q$9&gt;=F52,100,0),ROUND(NETWORKDAYS.INTL(E52,MIN(F52,Reprogramaciones!Q$9),11)/NETWORKDAYS.INTL(E52,F52,11)*100,1)))-IF(Reprogramaciones!P$9&lt;E52,0,IF(NETWORKDAYS.INTL(E52,F52,11)=0,IF(Reprogramaciones!P$9&gt;=F52,100,0),ROUND(NETWORKDAYS.INTL(E52,MIN(F52,Reprogramaciones!P$9),11)/NETWORKDAYS.INTL(E52,F52,11)*100,1))))</f>
        <v/>
      </c>
      <c r="N52" s="36" t="str">
        <f aca="false">IF(OR(NOT(AND(ISNUMBER(E52),ISNUMBER(F52))),$J$2=""),"",IF(Reprogramaciones!R$9&lt;E52,0,IF(NETWORKDAYS.INTL(E52,F52,11)=0,IF(Reprogramaciones!R$9&gt;=F52,100,0),ROUND(NETWORKDAYS.INTL(E52,MIN(F52,Reprogramaciones!R$9),11)/NETWORKDAYS.INTL(E52,F52,11)*100,1)))-IF(Reprogramaciones!Q$9&lt;E52,0,IF(NETWORKDAYS.INTL(E52,F52,11)=0,IF(Reprogramaciones!Q$9&gt;=F52,100,0),ROUND(NETWORKDAYS.INTL(E52,MIN(F52,Reprogramaciones!Q$9),11)/NETWORKDAYS.INTL(E52,F52,11)*100,1))))</f>
        <v/>
      </c>
      <c r="O52" s="36" t="str">
        <f aca="false">IF(OR(NOT(AND(ISNUMBER(E52),ISNUMBER(F52))),$J$2=""),"",IF(Reprogramaciones!S$9&lt;E52,0,IF(NETWORKDAYS.INTL(E52,F52,11)=0,IF(Reprogramaciones!S$9&gt;=F52,100,0),ROUND(NETWORKDAYS.INTL(E52,MIN(F52,Reprogramaciones!S$9),11)/NETWORKDAYS.INTL(E52,F52,11)*100,1)))-IF(Reprogramaciones!R$9&lt;E52,0,IF(NETWORKDAYS.INTL(E52,F52,11)=0,IF(Reprogramaciones!R$9&gt;=F52,100,0),ROUND(NETWORKDAYS.INTL(E52,MIN(F52,Reprogramaciones!R$9),11)/NETWORKDAYS.INTL(E52,F52,11)*100,1))))</f>
        <v/>
      </c>
      <c r="P52" s="36" t="str">
        <f aca="false">IF(OR(NOT(AND(ISNUMBER(E52),ISNUMBER(F52))),$J$2=""),"",IF(Reprogramaciones!T$9&lt;E52,0,IF(NETWORKDAYS.INTL(E52,F52,11)=0,IF(Reprogramaciones!T$9&gt;=F52,100,0),ROUND(NETWORKDAYS.INTL(E52,MIN(F52,Reprogramaciones!T$9),11)/NETWORKDAYS.INTL(E52,F52,11)*100,1)))-IF(Reprogramaciones!S$9&lt;E52,0,IF(NETWORKDAYS.INTL(E52,F52,11)=0,IF(Reprogramaciones!S$9&gt;=F52,100,0),ROUND(NETWORKDAYS.INTL(E52,MIN(F52,Reprogramaciones!S$9),11)/NETWORKDAYS.INTL(E52,F52,11)*100,1))))</f>
        <v/>
      </c>
      <c r="Q52" s="37"/>
      <c r="R52" s="37"/>
      <c r="S52" s="37"/>
      <c r="T52" s="37"/>
      <c r="U52" s="37"/>
      <c r="V52" s="37"/>
      <c r="W52" s="37"/>
      <c r="X52" s="37"/>
      <c r="Y52" s="37"/>
      <c r="Z52" s="37"/>
      <c r="AA52" s="37"/>
      <c r="AB52" s="37"/>
      <c r="AC52" s="37"/>
      <c r="AD52" s="37"/>
      <c r="AE52" s="37"/>
      <c r="AF52" s="37"/>
      <c r="AG52" s="38" t="str">
        <f aca="false">IF(AND(ISNUMBER(E52),ISNUMBER(F52)),NETWORKDAYS.INTL(E52,F52,11),"")</f>
        <v/>
      </c>
      <c r="AH52" s="38" t="str">
        <f aca="false">IF(OR(NOT(AND(ISNUMBER(E52),ISNUMBER(F52))),$J$2=""),"",IF(Reprogramaciones!$P$15&lt;Reprogramaciones!$T$15,0,IF(Reprogramaciones!$R$15&gt;10,MIN(100,SUM($G52:$P52)),MIN(100,SUMPRODUCT((COLUMN($G52:$P52)-COLUMN($G52)+1&lt;Reprogramaciones!$R$15)*$G52:$P52)+N(INDEX($G52:$P52,1,Reprogramaciones!$R$15))*IF(Reprogramaciones!$P$15&gt;=(Reprogramaciones!$T$15+7*(Reprogramaciones!$R$15-1))+6,1,IF(MAX(0,NETWORKDAYS.INTL(MAX(E52,(Reprogramaciones!$T$15+7*(Reprogramaciones!$R$15-1))),MIN(F52,(Reprogramaciones!$T$15+7*(Reprogramaciones!$R$15-1))+6),11))=0,0,MAX(0,NETWORKDAYS.INTL(MAX(E52,(Reprogramaciones!$T$15+7*(Reprogramaciones!$R$15-1))),MIN(F52,Reprogramaciones!$P$15),11))/MAX(0,NETWORKDAYS.INTL(MAX(E52,(Reprogramaciones!$T$15+7*(Reprogramaciones!$R$15-1))),MIN(F52,(Reprogramaciones!$T$15+7*(Reprogramaciones!$R$15-1))+6),11))))))))</f>
        <v/>
      </c>
      <c r="AI52" s="38" t="str">
        <f aca="false">IF(COUNT($Q52:$AF52)=0,"",IF(ROUND(SUM($Q52:$AF52),1)&gt;=99.5,100,MIN(100,ROUND(SUM($Q52:$AF52),1))))</f>
        <v/>
      </c>
      <c r="AJ52" s="38" t="str">
        <f aca="false">IF(OR(AH52="",AI52=""),"",AI52-AH52)</f>
        <v/>
      </c>
      <c r="AK52" s="39" t="str">
        <f aca="true">IF(AH52="","",IF(OR(Ficha!$C$10="Suspendida",Ficha!$C$10="Cancelada"),Ficha!$C$10,IF(AND(AI52&lt;&gt;"",N(AI52)&gt;=100),"Completada",IF(AND(E52&gt;TODAY(),N(AI52)=0),"Por iniciar",IF(N(AI52)+0.5&lt;AH52,"Retrasada",IF(N(AI52)+0.5&lt;DA52,IF(Reprogramaciones!$K$15&gt;0,"Al día · Sem "&amp;Reprogramaciones!$K$15&amp;" en curso","Al día · en curso"),"A tiempo"))))))</f>
        <v/>
      </c>
      <c r="AL52" s="39" t="str">
        <f aca="true">IF(AND(A52="",AND(B52="",C52="",E52="",F52="",COUNT(Q52:AF52)=0)),"",IF(AND(B52="",C52="",E52="",F52="",COUNT(Q52:AF52)=0),"Falta la partida o subpartida",IF(AND(A52&lt;&gt;"",COUNTIF($A$6:$A$305,A52)&gt;1),"Ítem repetido",IF(AND(C52="",E52="",F52="",COUNT(Q52:AF52)=0),"Título de partida",IF(OR(E52="",F52=""),"Faltan fechas",IF(OR(ISTEXT(E52),ISTEXT(F52)),"Fecha escrita como texto: usa dd/mm/aaaa",IF(F52&lt;E52,"Fin antes del inicio",IF(IF($J$2="",FALSE(),OR(E52&lt;$J$2,F52&gt;Reprogramaciones!$T$15+69)),"Fuera de las 10 semanas",IF(ABS(SUM(G52:P52)-100)&gt;0.5,"La meta no suma 100%",IF(ROUND(SUM(Q52:AF52),1)&gt;100.5,"El avance pasa de 100%",IF(MIN(Q52:AF52)&lt;0,"Avance negativo",IF(COUNTA(Q52:AF52)&gt;COUNT(Q52:AF52),"Avance escrito como texto",IF(SUMPRODUCT((Q52:AF52&gt;0)*(Q52:AF52&lt;1))&gt;0,"Avance menor a 1: escribe 50, no 50%",IF(SUMPRODUCT(ISNUMBER(Q52:AF52)*(Reprogramaciones!$K$8:$Z$8&gt;TODAY()))&gt;0,"Avance en semana que aún no llega",IF(AND(N(Reprogramaciones!$E$21)&gt;0,F52&gt;Reprogramaciones!$E$21),"Pasa el fin de la obra: registra una reprogramación",IF(AND(N(Reprogramaciones!$E$21)&gt;0,SUMPRODUCT(ISNUMBER(Q52:AF52)*(Reprogramaciones!$K$8:$Z$8&gt;Reprogramaciones!$E$21))&gt;0),"Avance después del fin de la obra: registra una reprogramación por atraso","OK"))))))))))))))))</f>
        <v/>
      </c>
      <c r="AM52" s="40" t="str">
        <f aca="false">IF(OR(OR(NOT(AND(ISNUMBER(E52),ISNUMBER(F52))),$J$2=""),1&gt;MAX(1,Reprogramaciones!$U$15)),"",IF(Reprogramaciones!K$12&gt;=7,"",IF(OR(BT52-N(0)&gt;0.05,N(Q52)&gt;0),ROUNDDOWN(ROUND(BT52,6),0)&amp;"%"&amp;IF(CJ52="",""," / "&amp;CJ52&amp;"%"),IF(AND(N(0)&gt;=99.95,CJ52&lt;&gt;"",N(CJ52)&lt;100),"Pend. "&amp;CJ52&amp;"%",""))))</f>
        <v/>
      </c>
      <c r="AN52" s="40" t="str">
        <f aca="false">IF(OR(OR(NOT(AND(ISNUMBER(E52),ISNUMBER(F52))),$J$2=""),2&gt;MAX(1,Reprogramaciones!$U$15)),"",IF(Reprogramaciones!L$12&gt;=7,"",IF(OR(BU52-N(BT52)&gt;0.05,N(R52)&gt;0),ROUNDDOWN(ROUND(BU52,6),0)&amp;"%"&amp;IF(CK52="",""," / "&amp;CK52&amp;"%"),IF(AND(N(BT52)&gt;=99.95,CK52&lt;&gt;"",N(CK52)&lt;100),"Pend. "&amp;CK52&amp;"%",""))))</f>
        <v/>
      </c>
      <c r="AO52" s="40" t="str">
        <f aca="false">IF(OR(OR(NOT(AND(ISNUMBER(E52),ISNUMBER(F52))),$J$2=""),3&gt;MAX(1,Reprogramaciones!$U$15)),"",IF(Reprogramaciones!M$12&gt;=7,"",IF(OR(BV52-N(BU52)&gt;0.05,N(S52)&gt;0),ROUNDDOWN(ROUND(BV52,6),0)&amp;"%"&amp;IF(CL52="",""," / "&amp;CL52&amp;"%"),IF(AND(N(BU52)&gt;=99.95,CL52&lt;&gt;"",N(CL52)&lt;100),"Pend. "&amp;CL52&amp;"%",""))))</f>
        <v/>
      </c>
      <c r="AP52" s="40" t="str">
        <f aca="false">IF(OR(OR(NOT(AND(ISNUMBER(E52),ISNUMBER(F52))),$J$2=""),4&gt;MAX(1,Reprogramaciones!$U$15)),"",IF(Reprogramaciones!N$12&gt;=7,"",IF(OR(BW52-N(BV52)&gt;0.05,N(T52)&gt;0),ROUNDDOWN(ROUND(BW52,6),0)&amp;"%"&amp;IF(CM52="",""," / "&amp;CM52&amp;"%"),IF(AND(N(BV52)&gt;=99.95,CM52&lt;&gt;"",N(CM52)&lt;100),"Pend. "&amp;CM52&amp;"%",""))))</f>
        <v/>
      </c>
      <c r="AQ52" s="40" t="str">
        <f aca="false">IF(OR(OR(NOT(AND(ISNUMBER(E52),ISNUMBER(F52))),$J$2=""),5&gt;MAX(1,Reprogramaciones!$U$15)),"",IF(Reprogramaciones!O$12&gt;=7,"",IF(OR(BX52-N(BW52)&gt;0.05,N(U52)&gt;0),ROUNDDOWN(ROUND(BX52,6),0)&amp;"%"&amp;IF(CN52="",""," / "&amp;CN52&amp;"%"),IF(AND(N(BW52)&gt;=99.95,CN52&lt;&gt;"",N(CN52)&lt;100),"Pend. "&amp;CN52&amp;"%",""))))</f>
        <v/>
      </c>
      <c r="AR52" s="40" t="str">
        <f aca="false">IF(OR(OR(NOT(AND(ISNUMBER(E52),ISNUMBER(F52))),$J$2=""),6&gt;MAX(1,Reprogramaciones!$U$15)),"",IF(Reprogramaciones!P$12&gt;=7,"",IF(OR(BY52-N(BX52)&gt;0.05,N(V52)&gt;0),ROUNDDOWN(ROUND(BY52,6),0)&amp;"%"&amp;IF(CO52="",""," / "&amp;CO52&amp;"%"),IF(AND(N(BX52)&gt;=99.95,CO52&lt;&gt;"",N(CO52)&lt;100),"Pend. "&amp;CO52&amp;"%",""))))</f>
        <v/>
      </c>
      <c r="AS52" s="40" t="str">
        <f aca="false">IF(OR(OR(NOT(AND(ISNUMBER(E52),ISNUMBER(F52))),$J$2=""),7&gt;MAX(1,Reprogramaciones!$U$15)),"",IF(Reprogramaciones!Q$12&gt;=7,"",IF(OR(BZ52-N(BY52)&gt;0.05,N(W52)&gt;0),ROUNDDOWN(ROUND(BZ52,6),0)&amp;"%"&amp;IF(CP52="",""," / "&amp;CP52&amp;"%"),IF(AND(N(BY52)&gt;=99.95,CP52&lt;&gt;"",N(CP52)&lt;100),"Pend. "&amp;CP52&amp;"%",""))))</f>
        <v/>
      </c>
      <c r="AT52" s="40" t="str">
        <f aca="false">IF(OR(OR(NOT(AND(ISNUMBER(E52),ISNUMBER(F52))),$J$2=""),8&gt;MAX(1,Reprogramaciones!$U$15)),"",IF(Reprogramaciones!R$12&gt;=7,"",IF(OR(CA52-N(BZ52)&gt;0.05,N(X52)&gt;0),ROUNDDOWN(ROUND(CA52,6),0)&amp;"%"&amp;IF(CQ52="",""," / "&amp;CQ52&amp;"%"),IF(AND(N(BZ52)&gt;=99.95,CQ52&lt;&gt;"",N(CQ52)&lt;100),"Pend. "&amp;CQ52&amp;"%",""))))</f>
        <v/>
      </c>
      <c r="AU52" s="40" t="str">
        <f aca="false">IF(OR(OR(NOT(AND(ISNUMBER(E52),ISNUMBER(F52))),$J$2=""),9&gt;MAX(1,Reprogramaciones!$U$15)),"",IF(Reprogramaciones!S$12&gt;=7,"",IF(OR(CB52-N(CA52)&gt;0.05,N(Y52)&gt;0),ROUNDDOWN(ROUND(CB52,6),0)&amp;"%"&amp;IF(CR52="",""," / "&amp;CR52&amp;"%"),IF(AND(N(CA52)&gt;=99.95,CR52&lt;&gt;"",N(CR52)&lt;100),"Pend. "&amp;CR52&amp;"%",""))))</f>
        <v/>
      </c>
      <c r="AV52" s="40" t="str">
        <f aca="false">IF(OR(OR(NOT(AND(ISNUMBER(E52),ISNUMBER(F52))),$J$2=""),10&gt;MAX(1,Reprogramaciones!$U$15)),"",IF(Reprogramaciones!T$12&gt;=7,"",IF(OR(CC52-N(CB52)&gt;0.05,N(Z52)&gt;0),ROUNDDOWN(ROUND(CC52,6),0)&amp;"%"&amp;IF(CS52="",""," / "&amp;CS52&amp;"%"),IF(AND(N(CB52)&gt;=99.95,CS52&lt;&gt;"",N(CS52)&lt;100),"Pend. "&amp;CS52&amp;"%",""))))</f>
        <v/>
      </c>
      <c r="AW52" s="40" t="str">
        <f aca="false">IF(OR(OR(NOT(AND(ISNUMBER(E52),ISNUMBER(F52))),$J$2=""),11&gt;MAX(1,Reprogramaciones!$U$15)),"",IF(Reprogramaciones!U$12&gt;=7,"",IF(OR(CD52-N(CC52)&gt;0.05,N(AA52)&gt;0),ROUNDDOWN(ROUND(CD52,6),0)&amp;"%"&amp;IF(CT52="",""," / "&amp;CT52&amp;"%"),IF(AND(N(CC52)&gt;=99.95,CT52&lt;&gt;"",N(CT52)&lt;100),"Pend. "&amp;CT52&amp;"%",""))))</f>
        <v/>
      </c>
      <c r="AX52" s="40" t="str">
        <f aca="false">IF(OR(OR(NOT(AND(ISNUMBER(E52),ISNUMBER(F52))),$J$2=""),12&gt;MAX(1,Reprogramaciones!$U$15)),"",IF(Reprogramaciones!V$12&gt;=7,"",IF(OR(CE52-N(CD52)&gt;0.05,N(AB52)&gt;0),ROUNDDOWN(ROUND(CE52,6),0)&amp;"%"&amp;IF(CU52="",""," / "&amp;CU52&amp;"%"),IF(AND(N(CD52)&gt;=99.95,CU52&lt;&gt;"",N(CU52)&lt;100),"Pend. "&amp;CU52&amp;"%",""))))</f>
        <v/>
      </c>
      <c r="AY52" s="40" t="str">
        <f aca="false">IF(OR(OR(NOT(AND(ISNUMBER(E52),ISNUMBER(F52))),$J$2=""),13&gt;MAX(1,Reprogramaciones!$U$15)),"",IF(Reprogramaciones!W$12&gt;=7,"",IF(OR(CF52-N(CE52)&gt;0.05,N(AC52)&gt;0),ROUNDDOWN(ROUND(CF52,6),0)&amp;"%"&amp;IF(CV52="",""," / "&amp;CV52&amp;"%"),IF(AND(N(CE52)&gt;=99.95,CV52&lt;&gt;"",N(CV52)&lt;100),"Pend. "&amp;CV52&amp;"%",""))))</f>
        <v/>
      </c>
      <c r="AZ52" s="40" t="str">
        <f aca="false">IF(OR(OR(NOT(AND(ISNUMBER(E52),ISNUMBER(F52))),$J$2=""),14&gt;MAX(1,Reprogramaciones!$U$15)),"",IF(Reprogramaciones!X$12&gt;=7,"",IF(OR(CG52-N(CF52)&gt;0.05,N(AD52)&gt;0),ROUNDDOWN(ROUND(CG52,6),0)&amp;"%"&amp;IF(CW52="",""," / "&amp;CW52&amp;"%"),IF(AND(N(CF52)&gt;=99.95,CW52&lt;&gt;"",N(CW52)&lt;100),"Pend. "&amp;CW52&amp;"%",""))))</f>
        <v/>
      </c>
      <c r="BA52" s="40" t="str">
        <f aca="false">IF(OR(OR(NOT(AND(ISNUMBER(E52),ISNUMBER(F52))),$J$2=""),15&gt;MAX(1,Reprogramaciones!$U$15)),"",IF(Reprogramaciones!Y$12&gt;=7,"",IF(OR(CH52-N(CG52)&gt;0.05,N(AE52)&gt;0),ROUNDDOWN(ROUND(CH52,6),0)&amp;"%"&amp;IF(CX52="",""," / "&amp;CX52&amp;"%"),IF(AND(N(CG52)&gt;=99.95,CX52&lt;&gt;"",N(CX52)&lt;100),"Pend. "&amp;CX52&amp;"%",""))))</f>
        <v/>
      </c>
      <c r="BB52" s="40" t="str">
        <f aca="false">IF(OR(OR(NOT(AND(ISNUMBER(E52),ISNUMBER(F52))),$J$2=""),16&gt;MAX(1,Reprogramaciones!$U$15)),"",IF(Reprogramaciones!Z$12&gt;=7,"",IF(OR(CI52-N(CH52)&gt;0.05,N(AF52)&gt;0),ROUNDDOWN(ROUND(CI52,6),0)&amp;"%"&amp;IF(CY52="",""," / "&amp;CY52&amp;"%"),IF(AND(N(CH52)&gt;=99.95,CY52&lt;&gt;"",N(CY52)&lt;100),"Pend. "&amp;CY52&amp;"%",""))))</f>
        <v/>
      </c>
      <c r="BC52" s="31" t="n">
        <f aca="false">IF(AND(ISNUMBER(E52),ISNUMBER(F52)),MAX(1,NETWORKDAYS.INTL(E52,F52,11)),0)</f>
        <v>0</v>
      </c>
      <c r="BD52" s="1" t="str">
        <f aca="false">IF(OR(NOT(AND(ISNUMBER(E52),ISNUMBER(F52))),$J$2=""),"",MIN(100,ROUND(SUM($G52:G52),1)))</f>
        <v/>
      </c>
      <c r="BE52" s="1" t="str">
        <f aca="false">IF(OR(NOT(AND(ISNUMBER(E52),ISNUMBER(F52))),$J$2=""),"",MIN(100,ROUND(SUM($G52:H52),1)))</f>
        <v/>
      </c>
      <c r="BF52" s="1" t="str">
        <f aca="false">IF(OR(NOT(AND(ISNUMBER(E52),ISNUMBER(F52))),$J$2=""),"",MIN(100,ROUND(SUM($G52:I52),1)))</f>
        <v/>
      </c>
      <c r="BG52" s="1" t="str">
        <f aca="false">IF(OR(NOT(AND(ISNUMBER(E52),ISNUMBER(F52))),$J$2=""),"",MIN(100,ROUND(SUM($G52:J52),1)))</f>
        <v/>
      </c>
      <c r="BH52" s="1" t="str">
        <f aca="false">IF(OR(NOT(AND(ISNUMBER(E52),ISNUMBER(F52))),$J$2=""),"",MIN(100,ROUND(SUM($G52:K52),1)))</f>
        <v/>
      </c>
      <c r="BI52" s="1" t="str">
        <f aca="false">IF(OR(NOT(AND(ISNUMBER(E52),ISNUMBER(F52))),$J$2=""),"",MIN(100,ROUND(SUM($G52:L52),1)))</f>
        <v/>
      </c>
      <c r="BJ52" s="1" t="str">
        <f aca="false">IF(OR(NOT(AND(ISNUMBER(E52),ISNUMBER(F52))),$J$2=""),"",MIN(100,ROUND(SUM($G52:M52),1)))</f>
        <v/>
      </c>
      <c r="BK52" s="1" t="str">
        <f aca="false">IF(OR(NOT(AND(ISNUMBER(E52),ISNUMBER(F52))),$J$2=""),"",MIN(100,ROUND(SUM($G52:N52),1)))</f>
        <v/>
      </c>
      <c r="BL52" s="1" t="str">
        <f aca="false">IF(OR(NOT(AND(ISNUMBER(E52),ISNUMBER(F52))),$J$2=""),"",MIN(100,ROUND(SUM($G52:O52),1)))</f>
        <v/>
      </c>
      <c r="BM52" s="1" t="str">
        <f aca="false">IF(OR(NOT(AND(ISNUMBER(E52),ISNUMBER(F52))),$J$2=""),"",MIN(100,ROUND(SUM($G52:P52),1)))</f>
        <v/>
      </c>
      <c r="BN52" s="1" t="str">
        <f aca="false">IF(OR(NOT(AND(ISNUMBER(E52),ISNUMBER(F52))),$J$2=""),"",MIN(100,ROUND(SUM($G52:P52),1)))</f>
        <v/>
      </c>
      <c r="BO52" s="1" t="str">
        <f aca="false">IF(OR(NOT(AND(ISNUMBER(E52),ISNUMBER(F52))),$J$2=""),"",MIN(100,ROUND(SUM($G52:P52),1)))</f>
        <v/>
      </c>
      <c r="BP52" s="1" t="str">
        <f aca="false">IF(OR(NOT(AND(ISNUMBER(E52),ISNUMBER(F52))),$J$2=""),"",MIN(100,ROUND(SUM($G52:P52),1)))</f>
        <v/>
      </c>
      <c r="BQ52" s="1" t="str">
        <f aca="false">IF(OR(NOT(AND(ISNUMBER(E52),ISNUMBER(F52))),$J$2=""),"",MIN(100,ROUND(SUM($G52:P52),1)))</f>
        <v/>
      </c>
      <c r="BR52" s="1" t="str">
        <f aca="false">IF(OR(NOT(AND(ISNUMBER(E52),ISNUMBER(F52))),$J$2=""),"",MIN(100,ROUND(SUM($G52:P52),1)))</f>
        <v/>
      </c>
      <c r="BS52" s="1" t="str">
        <f aca="false">IF(OR(NOT(AND(ISNUMBER(E52),ISNUMBER(F52))),$J$2=""),"",MIN(100,ROUND(SUM($G52:P52),1)))</f>
        <v/>
      </c>
      <c r="BT52" s="1" t="str">
        <f aca="false">IF(OR(NOT(AND(ISNUMBER(E52),ISNUMBER(F52))),$J$2=""),"",IF(Reprogramaciones!K$13&lt;Reprogramaciones!$T$15,0,IF(Reprogramaciones!K$14&gt;10,MIN(100,SUM($G52:$P52)),MIN(100,SUMPRODUCT((COLUMN($G52:$P52)-COLUMN($G52)+1&lt;Reprogramaciones!K$14)*$G52:$P52)+N(INDEX($G52:$P52,1,Reprogramaciones!K$14))*IF(Reprogramaciones!K$13&gt;=(Reprogramaciones!$T$15+7*(Reprogramaciones!K$14-1))+6,1,IF(MAX(0,NETWORKDAYS.INTL(MAX(E52,(Reprogramaciones!$T$15+7*(Reprogramaciones!K$14-1))),MIN(F52,(Reprogramaciones!$T$15+7*(Reprogramaciones!K$14-1))+6),11))=0,0,MAX(0,NETWORKDAYS.INTL(MAX(E52,(Reprogramaciones!$T$15+7*(Reprogramaciones!K$14-1))),MIN(F52,Reprogramaciones!K$13),11))/MAX(0,NETWORKDAYS.INTL(MAX(E52,(Reprogramaciones!$T$15+7*(Reprogramaciones!K$14-1))),MIN(F52,(Reprogramaciones!$T$15+7*(Reprogramaciones!K$14-1))+6),11))))))))</f>
        <v/>
      </c>
      <c r="BU52" s="1" t="str">
        <f aca="false">IF(OR(NOT(AND(ISNUMBER(E52),ISNUMBER(F52))),$J$2=""),"",IF(Reprogramaciones!L$13&lt;Reprogramaciones!$T$15,0,IF(Reprogramaciones!L$14&gt;10,MIN(100,SUM($G52:$P52)),MIN(100,SUMPRODUCT((COLUMN($G52:$P52)-COLUMN($G52)+1&lt;Reprogramaciones!L$14)*$G52:$P52)+N(INDEX($G52:$P52,1,Reprogramaciones!L$14))*IF(Reprogramaciones!L$13&gt;=(Reprogramaciones!$T$15+7*(Reprogramaciones!L$14-1))+6,1,IF(MAX(0,NETWORKDAYS.INTL(MAX(E52,(Reprogramaciones!$T$15+7*(Reprogramaciones!L$14-1))),MIN(F52,(Reprogramaciones!$T$15+7*(Reprogramaciones!L$14-1))+6),11))=0,0,MAX(0,NETWORKDAYS.INTL(MAX(E52,(Reprogramaciones!$T$15+7*(Reprogramaciones!L$14-1))),MIN(F52,Reprogramaciones!L$13),11))/MAX(0,NETWORKDAYS.INTL(MAX(E52,(Reprogramaciones!$T$15+7*(Reprogramaciones!L$14-1))),MIN(F52,(Reprogramaciones!$T$15+7*(Reprogramaciones!L$14-1))+6),11))))))))</f>
        <v/>
      </c>
      <c r="BV52" s="1" t="str">
        <f aca="false">IF(OR(NOT(AND(ISNUMBER(E52),ISNUMBER(F52))),$J$2=""),"",IF(Reprogramaciones!M$13&lt;Reprogramaciones!$T$15,0,IF(Reprogramaciones!M$14&gt;10,MIN(100,SUM($G52:$P52)),MIN(100,SUMPRODUCT((COLUMN($G52:$P52)-COLUMN($G52)+1&lt;Reprogramaciones!M$14)*$G52:$P52)+N(INDEX($G52:$P52,1,Reprogramaciones!M$14))*IF(Reprogramaciones!M$13&gt;=(Reprogramaciones!$T$15+7*(Reprogramaciones!M$14-1))+6,1,IF(MAX(0,NETWORKDAYS.INTL(MAX(E52,(Reprogramaciones!$T$15+7*(Reprogramaciones!M$14-1))),MIN(F52,(Reprogramaciones!$T$15+7*(Reprogramaciones!M$14-1))+6),11))=0,0,MAX(0,NETWORKDAYS.INTL(MAX(E52,(Reprogramaciones!$T$15+7*(Reprogramaciones!M$14-1))),MIN(F52,Reprogramaciones!M$13),11))/MAX(0,NETWORKDAYS.INTL(MAX(E52,(Reprogramaciones!$T$15+7*(Reprogramaciones!M$14-1))),MIN(F52,(Reprogramaciones!$T$15+7*(Reprogramaciones!M$14-1))+6),11))))))))</f>
        <v/>
      </c>
      <c r="BW52" s="1" t="str">
        <f aca="false">IF(OR(NOT(AND(ISNUMBER(E52),ISNUMBER(F52))),$J$2=""),"",IF(Reprogramaciones!N$13&lt;Reprogramaciones!$T$15,0,IF(Reprogramaciones!N$14&gt;10,MIN(100,SUM($G52:$P52)),MIN(100,SUMPRODUCT((COLUMN($G52:$P52)-COLUMN($G52)+1&lt;Reprogramaciones!N$14)*$G52:$P52)+N(INDEX($G52:$P52,1,Reprogramaciones!N$14))*IF(Reprogramaciones!N$13&gt;=(Reprogramaciones!$T$15+7*(Reprogramaciones!N$14-1))+6,1,IF(MAX(0,NETWORKDAYS.INTL(MAX(E52,(Reprogramaciones!$T$15+7*(Reprogramaciones!N$14-1))),MIN(F52,(Reprogramaciones!$T$15+7*(Reprogramaciones!N$14-1))+6),11))=0,0,MAX(0,NETWORKDAYS.INTL(MAX(E52,(Reprogramaciones!$T$15+7*(Reprogramaciones!N$14-1))),MIN(F52,Reprogramaciones!N$13),11))/MAX(0,NETWORKDAYS.INTL(MAX(E52,(Reprogramaciones!$T$15+7*(Reprogramaciones!N$14-1))),MIN(F52,(Reprogramaciones!$T$15+7*(Reprogramaciones!N$14-1))+6),11))))))))</f>
        <v/>
      </c>
      <c r="BX52" s="1" t="str">
        <f aca="false">IF(OR(NOT(AND(ISNUMBER(E52),ISNUMBER(F52))),$J$2=""),"",IF(Reprogramaciones!O$13&lt;Reprogramaciones!$T$15,0,IF(Reprogramaciones!O$14&gt;10,MIN(100,SUM($G52:$P52)),MIN(100,SUMPRODUCT((COLUMN($G52:$P52)-COLUMN($G52)+1&lt;Reprogramaciones!O$14)*$G52:$P52)+N(INDEX($G52:$P52,1,Reprogramaciones!O$14))*IF(Reprogramaciones!O$13&gt;=(Reprogramaciones!$T$15+7*(Reprogramaciones!O$14-1))+6,1,IF(MAX(0,NETWORKDAYS.INTL(MAX(E52,(Reprogramaciones!$T$15+7*(Reprogramaciones!O$14-1))),MIN(F52,(Reprogramaciones!$T$15+7*(Reprogramaciones!O$14-1))+6),11))=0,0,MAX(0,NETWORKDAYS.INTL(MAX(E52,(Reprogramaciones!$T$15+7*(Reprogramaciones!O$14-1))),MIN(F52,Reprogramaciones!O$13),11))/MAX(0,NETWORKDAYS.INTL(MAX(E52,(Reprogramaciones!$T$15+7*(Reprogramaciones!O$14-1))),MIN(F52,(Reprogramaciones!$T$15+7*(Reprogramaciones!O$14-1))+6),11))))))))</f>
        <v/>
      </c>
      <c r="BY52" s="1" t="str">
        <f aca="false">IF(OR(NOT(AND(ISNUMBER(E52),ISNUMBER(F52))),$J$2=""),"",IF(Reprogramaciones!P$13&lt;Reprogramaciones!$T$15,0,IF(Reprogramaciones!P$14&gt;10,MIN(100,SUM($G52:$P52)),MIN(100,SUMPRODUCT((COLUMN($G52:$P52)-COLUMN($G52)+1&lt;Reprogramaciones!P$14)*$G52:$P52)+N(INDEX($G52:$P52,1,Reprogramaciones!P$14))*IF(Reprogramaciones!P$13&gt;=(Reprogramaciones!$T$15+7*(Reprogramaciones!P$14-1))+6,1,IF(MAX(0,NETWORKDAYS.INTL(MAX(E52,(Reprogramaciones!$T$15+7*(Reprogramaciones!P$14-1))),MIN(F52,(Reprogramaciones!$T$15+7*(Reprogramaciones!P$14-1))+6),11))=0,0,MAX(0,NETWORKDAYS.INTL(MAX(E52,(Reprogramaciones!$T$15+7*(Reprogramaciones!P$14-1))),MIN(F52,Reprogramaciones!P$13),11))/MAX(0,NETWORKDAYS.INTL(MAX(E52,(Reprogramaciones!$T$15+7*(Reprogramaciones!P$14-1))),MIN(F52,(Reprogramaciones!$T$15+7*(Reprogramaciones!P$14-1))+6),11))))))))</f>
        <v/>
      </c>
      <c r="BZ52" s="1" t="str">
        <f aca="false">IF(OR(NOT(AND(ISNUMBER(E52),ISNUMBER(F52))),$J$2=""),"",IF(Reprogramaciones!Q$13&lt;Reprogramaciones!$T$15,0,IF(Reprogramaciones!Q$14&gt;10,MIN(100,SUM($G52:$P52)),MIN(100,SUMPRODUCT((COLUMN($G52:$P52)-COLUMN($G52)+1&lt;Reprogramaciones!Q$14)*$G52:$P52)+N(INDEX($G52:$P52,1,Reprogramaciones!Q$14))*IF(Reprogramaciones!Q$13&gt;=(Reprogramaciones!$T$15+7*(Reprogramaciones!Q$14-1))+6,1,IF(MAX(0,NETWORKDAYS.INTL(MAX(E52,(Reprogramaciones!$T$15+7*(Reprogramaciones!Q$14-1))),MIN(F52,(Reprogramaciones!$T$15+7*(Reprogramaciones!Q$14-1))+6),11))=0,0,MAX(0,NETWORKDAYS.INTL(MAX(E52,(Reprogramaciones!$T$15+7*(Reprogramaciones!Q$14-1))),MIN(F52,Reprogramaciones!Q$13),11))/MAX(0,NETWORKDAYS.INTL(MAX(E52,(Reprogramaciones!$T$15+7*(Reprogramaciones!Q$14-1))),MIN(F52,(Reprogramaciones!$T$15+7*(Reprogramaciones!Q$14-1))+6),11))))))))</f>
        <v/>
      </c>
      <c r="CA52" s="1" t="str">
        <f aca="false">IF(OR(NOT(AND(ISNUMBER(E52),ISNUMBER(F52))),$J$2=""),"",IF(Reprogramaciones!R$13&lt;Reprogramaciones!$T$15,0,IF(Reprogramaciones!R$14&gt;10,MIN(100,SUM($G52:$P52)),MIN(100,SUMPRODUCT((COLUMN($G52:$P52)-COLUMN($G52)+1&lt;Reprogramaciones!R$14)*$G52:$P52)+N(INDEX($G52:$P52,1,Reprogramaciones!R$14))*IF(Reprogramaciones!R$13&gt;=(Reprogramaciones!$T$15+7*(Reprogramaciones!R$14-1))+6,1,IF(MAX(0,NETWORKDAYS.INTL(MAX(E52,(Reprogramaciones!$T$15+7*(Reprogramaciones!R$14-1))),MIN(F52,(Reprogramaciones!$T$15+7*(Reprogramaciones!R$14-1))+6),11))=0,0,MAX(0,NETWORKDAYS.INTL(MAX(E52,(Reprogramaciones!$T$15+7*(Reprogramaciones!R$14-1))),MIN(F52,Reprogramaciones!R$13),11))/MAX(0,NETWORKDAYS.INTL(MAX(E52,(Reprogramaciones!$T$15+7*(Reprogramaciones!R$14-1))),MIN(F52,(Reprogramaciones!$T$15+7*(Reprogramaciones!R$14-1))+6),11))))))))</f>
        <v/>
      </c>
      <c r="CB52" s="1" t="str">
        <f aca="false">IF(OR(NOT(AND(ISNUMBER(E52),ISNUMBER(F52))),$J$2=""),"",IF(Reprogramaciones!S$13&lt;Reprogramaciones!$T$15,0,IF(Reprogramaciones!S$14&gt;10,MIN(100,SUM($G52:$P52)),MIN(100,SUMPRODUCT((COLUMN($G52:$P52)-COLUMN($G52)+1&lt;Reprogramaciones!S$14)*$G52:$P52)+N(INDEX($G52:$P52,1,Reprogramaciones!S$14))*IF(Reprogramaciones!S$13&gt;=(Reprogramaciones!$T$15+7*(Reprogramaciones!S$14-1))+6,1,IF(MAX(0,NETWORKDAYS.INTL(MAX(E52,(Reprogramaciones!$T$15+7*(Reprogramaciones!S$14-1))),MIN(F52,(Reprogramaciones!$T$15+7*(Reprogramaciones!S$14-1))+6),11))=0,0,MAX(0,NETWORKDAYS.INTL(MAX(E52,(Reprogramaciones!$T$15+7*(Reprogramaciones!S$14-1))),MIN(F52,Reprogramaciones!S$13),11))/MAX(0,NETWORKDAYS.INTL(MAX(E52,(Reprogramaciones!$T$15+7*(Reprogramaciones!S$14-1))),MIN(F52,(Reprogramaciones!$T$15+7*(Reprogramaciones!S$14-1))+6),11))))))))</f>
        <v/>
      </c>
      <c r="CC52" s="1" t="str">
        <f aca="false">IF(OR(NOT(AND(ISNUMBER(E52),ISNUMBER(F52))),$J$2=""),"",IF(Reprogramaciones!T$13&lt;Reprogramaciones!$T$15,0,IF(Reprogramaciones!T$14&gt;10,MIN(100,SUM($G52:$P52)),MIN(100,SUMPRODUCT((COLUMN($G52:$P52)-COLUMN($G52)+1&lt;Reprogramaciones!T$14)*$G52:$P52)+N(INDEX($G52:$P52,1,Reprogramaciones!T$14))*IF(Reprogramaciones!T$13&gt;=(Reprogramaciones!$T$15+7*(Reprogramaciones!T$14-1))+6,1,IF(MAX(0,NETWORKDAYS.INTL(MAX(E52,(Reprogramaciones!$T$15+7*(Reprogramaciones!T$14-1))),MIN(F52,(Reprogramaciones!$T$15+7*(Reprogramaciones!T$14-1))+6),11))=0,0,MAX(0,NETWORKDAYS.INTL(MAX(E52,(Reprogramaciones!$T$15+7*(Reprogramaciones!T$14-1))),MIN(F52,Reprogramaciones!T$13),11))/MAX(0,NETWORKDAYS.INTL(MAX(E52,(Reprogramaciones!$T$15+7*(Reprogramaciones!T$14-1))),MIN(F52,(Reprogramaciones!$T$15+7*(Reprogramaciones!T$14-1))+6),11))))))))</f>
        <v/>
      </c>
      <c r="CD52" s="1" t="str">
        <f aca="false">IF(OR(NOT(AND(ISNUMBER(E52),ISNUMBER(F52))),$J$2=""),"",IF(Reprogramaciones!U$13&lt;Reprogramaciones!$T$15,0,IF(Reprogramaciones!U$14&gt;10,MIN(100,SUM($G52:$P52)),MIN(100,SUMPRODUCT((COLUMN($G52:$P52)-COLUMN($G52)+1&lt;Reprogramaciones!U$14)*$G52:$P52)+N(INDEX($G52:$P52,1,Reprogramaciones!U$14))*IF(Reprogramaciones!U$13&gt;=(Reprogramaciones!$T$15+7*(Reprogramaciones!U$14-1))+6,1,IF(MAX(0,NETWORKDAYS.INTL(MAX(E52,(Reprogramaciones!$T$15+7*(Reprogramaciones!U$14-1))),MIN(F52,(Reprogramaciones!$T$15+7*(Reprogramaciones!U$14-1))+6),11))=0,0,MAX(0,NETWORKDAYS.INTL(MAX(E52,(Reprogramaciones!$T$15+7*(Reprogramaciones!U$14-1))),MIN(F52,Reprogramaciones!U$13),11))/MAX(0,NETWORKDAYS.INTL(MAX(E52,(Reprogramaciones!$T$15+7*(Reprogramaciones!U$14-1))),MIN(F52,(Reprogramaciones!$T$15+7*(Reprogramaciones!U$14-1))+6),11))))))))</f>
        <v/>
      </c>
      <c r="CE52" s="1" t="str">
        <f aca="false">IF(OR(NOT(AND(ISNUMBER(E52),ISNUMBER(F52))),$J$2=""),"",IF(Reprogramaciones!V$13&lt;Reprogramaciones!$T$15,0,IF(Reprogramaciones!V$14&gt;10,MIN(100,SUM($G52:$P52)),MIN(100,SUMPRODUCT((COLUMN($G52:$P52)-COLUMN($G52)+1&lt;Reprogramaciones!V$14)*$G52:$P52)+N(INDEX($G52:$P52,1,Reprogramaciones!V$14))*IF(Reprogramaciones!V$13&gt;=(Reprogramaciones!$T$15+7*(Reprogramaciones!V$14-1))+6,1,IF(MAX(0,NETWORKDAYS.INTL(MAX(E52,(Reprogramaciones!$T$15+7*(Reprogramaciones!V$14-1))),MIN(F52,(Reprogramaciones!$T$15+7*(Reprogramaciones!V$14-1))+6),11))=0,0,MAX(0,NETWORKDAYS.INTL(MAX(E52,(Reprogramaciones!$T$15+7*(Reprogramaciones!V$14-1))),MIN(F52,Reprogramaciones!V$13),11))/MAX(0,NETWORKDAYS.INTL(MAX(E52,(Reprogramaciones!$T$15+7*(Reprogramaciones!V$14-1))),MIN(F52,(Reprogramaciones!$T$15+7*(Reprogramaciones!V$14-1))+6),11))))))))</f>
        <v/>
      </c>
      <c r="CF52" s="1" t="str">
        <f aca="false">IF(OR(NOT(AND(ISNUMBER(E52),ISNUMBER(F52))),$J$2=""),"",IF(Reprogramaciones!W$13&lt;Reprogramaciones!$T$15,0,IF(Reprogramaciones!W$14&gt;10,MIN(100,SUM($G52:$P52)),MIN(100,SUMPRODUCT((COLUMN($G52:$P52)-COLUMN($G52)+1&lt;Reprogramaciones!W$14)*$G52:$P52)+N(INDEX($G52:$P52,1,Reprogramaciones!W$14))*IF(Reprogramaciones!W$13&gt;=(Reprogramaciones!$T$15+7*(Reprogramaciones!W$14-1))+6,1,IF(MAX(0,NETWORKDAYS.INTL(MAX(E52,(Reprogramaciones!$T$15+7*(Reprogramaciones!W$14-1))),MIN(F52,(Reprogramaciones!$T$15+7*(Reprogramaciones!W$14-1))+6),11))=0,0,MAX(0,NETWORKDAYS.INTL(MAX(E52,(Reprogramaciones!$T$15+7*(Reprogramaciones!W$14-1))),MIN(F52,Reprogramaciones!W$13),11))/MAX(0,NETWORKDAYS.INTL(MAX(E52,(Reprogramaciones!$T$15+7*(Reprogramaciones!W$14-1))),MIN(F52,(Reprogramaciones!$T$15+7*(Reprogramaciones!W$14-1))+6),11))))))))</f>
        <v/>
      </c>
      <c r="CG52" s="1" t="str">
        <f aca="false">IF(OR(NOT(AND(ISNUMBER(E52),ISNUMBER(F52))),$J$2=""),"",IF(Reprogramaciones!X$13&lt;Reprogramaciones!$T$15,0,IF(Reprogramaciones!X$14&gt;10,MIN(100,SUM($G52:$P52)),MIN(100,SUMPRODUCT((COLUMN($G52:$P52)-COLUMN($G52)+1&lt;Reprogramaciones!X$14)*$G52:$P52)+N(INDEX($G52:$P52,1,Reprogramaciones!X$14))*IF(Reprogramaciones!X$13&gt;=(Reprogramaciones!$T$15+7*(Reprogramaciones!X$14-1))+6,1,IF(MAX(0,NETWORKDAYS.INTL(MAX(E52,(Reprogramaciones!$T$15+7*(Reprogramaciones!X$14-1))),MIN(F52,(Reprogramaciones!$T$15+7*(Reprogramaciones!X$14-1))+6),11))=0,0,MAX(0,NETWORKDAYS.INTL(MAX(E52,(Reprogramaciones!$T$15+7*(Reprogramaciones!X$14-1))),MIN(F52,Reprogramaciones!X$13),11))/MAX(0,NETWORKDAYS.INTL(MAX(E52,(Reprogramaciones!$T$15+7*(Reprogramaciones!X$14-1))),MIN(F52,(Reprogramaciones!$T$15+7*(Reprogramaciones!X$14-1))+6),11))))))))</f>
        <v/>
      </c>
      <c r="CH52" s="1" t="str">
        <f aca="false">IF(OR(NOT(AND(ISNUMBER(E52),ISNUMBER(F52))),$J$2=""),"",IF(Reprogramaciones!Y$13&lt;Reprogramaciones!$T$15,0,IF(Reprogramaciones!Y$14&gt;10,MIN(100,SUM($G52:$P52)),MIN(100,SUMPRODUCT((COLUMN($G52:$P52)-COLUMN($G52)+1&lt;Reprogramaciones!Y$14)*$G52:$P52)+N(INDEX($G52:$P52,1,Reprogramaciones!Y$14))*IF(Reprogramaciones!Y$13&gt;=(Reprogramaciones!$T$15+7*(Reprogramaciones!Y$14-1))+6,1,IF(MAX(0,NETWORKDAYS.INTL(MAX(E52,(Reprogramaciones!$T$15+7*(Reprogramaciones!Y$14-1))),MIN(F52,(Reprogramaciones!$T$15+7*(Reprogramaciones!Y$14-1))+6),11))=0,0,MAX(0,NETWORKDAYS.INTL(MAX(E52,(Reprogramaciones!$T$15+7*(Reprogramaciones!Y$14-1))),MIN(F52,Reprogramaciones!Y$13),11))/MAX(0,NETWORKDAYS.INTL(MAX(E52,(Reprogramaciones!$T$15+7*(Reprogramaciones!Y$14-1))),MIN(F52,(Reprogramaciones!$T$15+7*(Reprogramaciones!Y$14-1))+6),11))))))))</f>
        <v/>
      </c>
      <c r="CI52" s="1" t="str">
        <f aca="false">IF(OR(NOT(AND(ISNUMBER(E52),ISNUMBER(F52))),$J$2=""),"",IF(Reprogramaciones!Z$13&lt;Reprogramaciones!$T$15,0,IF(Reprogramaciones!Z$14&gt;10,MIN(100,SUM($G52:$P52)),MIN(100,SUMPRODUCT((COLUMN($G52:$P52)-COLUMN($G52)+1&lt;Reprogramaciones!Z$14)*$G52:$P52)+N(INDEX($G52:$P52,1,Reprogramaciones!Z$14))*IF(Reprogramaciones!Z$13&gt;=(Reprogramaciones!$T$15+7*(Reprogramaciones!Z$14-1))+6,1,IF(MAX(0,NETWORKDAYS.INTL(MAX(E52,(Reprogramaciones!$T$15+7*(Reprogramaciones!Z$14-1))),MIN(F52,(Reprogramaciones!$T$15+7*(Reprogramaciones!Z$14-1))+6),11))=0,0,MAX(0,NETWORKDAYS.INTL(MAX(E52,(Reprogramaciones!$T$15+7*(Reprogramaciones!Z$14-1))),MIN(F52,Reprogramaciones!Z$13),11))/MAX(0,NETWORKDAYS.INTL(MAX(E52,(Reprogramaciones!$T$15+7*(Reprogramaciones!Z$14-1))),MIN(F52,(Reprogramaciones!$T$15+7*(Reprogramaciones!Z$14-1))+6),11))))))))</f>
        <v/>
      </c>
      <c r="CJ52" s="1" t="str">
        <f aca="false">IF(OR(OR(NOT(AND(ISNUMBER(E52),ISNUMBER(F52))),$J$2=""),1&gt;Reprogramaciones!$K$16),"",IF(ROUND(SUM($Q52:Q52),1)&gt;=99.5,100,MIN(100,ROUND(SUM($Q52:Q52),1))))</f>
        <v/>
      </c>
      <c r="CK52" s="1" t="str">
        <f aca="false">IF(OR(OR(NOT(AND(ISNUMBER(E52),ISNUMBER(F52))),$J$2=""),2&gt;Reprogramaciones!$K$16),"",IF(ROUND(SUM($Q52:R52),1)&gt;=99.5,100,MIN(100,ROUND(SUM($Q52:R52),1))))</f>
        <v/>
      </c>
      <c r="CL52" s="1" t="str">
        <f aca="false">IF(OR(OR(NOT(AND(ISNUMBER(E52),ISNUMBER(F52))),$J$2=""),3&gt;Reprogramaciones!$K$16),"",IF(ROUND(SUM($Q52:S52),1)&gt;=99.5,100,MIN(100,ROUND(SUM($Q52:S52),1))))</f>
        <v/>
      </c>
      <c r="CM52" s="1" t="str">
        <f aca="false">IF(OR(OR(NOT(AND(ISNUMBER(E52),ISNUMBER(F52))),$J$2=""),4&gt;Reprogramaciones!$K$16),"",IF(ROUND(SUM($Q52:T52),1)&gt;=99.5,100,MIN(100,ROUND(SUM($Q52:T52),1))))</f>
        <v/>
      </c>
      <c r="CN52" s="1" t="str">
        <f aca="false">IF(OR(OR(NOT(AND(ISNUMBER(E52),ISNUMBER(F52))),$J$2=""),5&gt;Reprogramaciones!$K$16),"",IF(ROUND(SUM($Q52:U52),1)&gt;=99.5,100,MIN(100,ROUND(SUM($Q52:U52),1))))</f>
        <v/>
      </c>
      <c r="CO52" s="1" t="str">
        <f aca="false">IF(OR(OR(NOT(AND(ISNUMBER(E52),ISNUMBER(F52))),$J$2=""),6&gt;Reprogramaciones!$K$16),"",IF(ROUND(SUM($Q52:V52),1)&gt;=99.5,100,MIN(100,ROUND(SUM($Q52:V52),1))))</f>
        <v/>
      </c>
      <c r="CP52" s="1" t="str">
        <f aca="false">IF(OR(OR(NOT(AND(ISNUMBER(E52),ISNUMBER(F52))),$J$2=""),7&gt;Reprogramaciones!$K$16),"",IF(ROUND(SUM($Q52:W52),1)&gt;=99.5,100,MIN(100,ROUND(SUM($Q52:W52),1))))</f>
        <v/>
      </c>
      <c r="CQ52" s="1" t="str">
        <f aca="false">IF(OR(OR(NOT(AND(ISNUMBER(E52),ISNUMBER(F52))),$J$2=""),8&gt;Reprogramaciones!$K$16),"",IF(ROUND(SUM($Q52:X52),1)&gt;=99.5,100,MIN(100,ROUND(SUM($Q52:X52),1))))</f>
        <v/>
      </c>
      <c r="CR52" s="1" t="str">
        <f aca="false">IF(OR(OR(NOT(AND(ISNUMBER(E52),ISNUMBER(F52))),$J$2=""),9&gt;Reprogramaciones!$K$16),"",IF(ROUND(SUM($Q52:Y52),1)&gt;=99.5,100,MIN(100,ROUND(SUM($Q52:Y52),1))))</f>
        <v/>
      </c>
      <c r="CS52" s="1" t="str">
        <f aca="false">IF(OR(OR(NOT(AND(ISNUMBER(E52),ISNUMBER(F52))),$J$2=""),10&gt;Reprogramaciones!$K$16),"",IF(ROUND(SUM($Q52:Z52),1)&gt;=99.5,100,MIN(100,ROUND(SUM($Q52:Z52),1))))</f>
        <v/>
      </c>
      <c r="CT52" s="1" t="str">
        <f aca="false">IF(OR(OR(NOT(AND(ISNUMBER(E52),ISNUMBER(F52))),$J$2=""),11&gt;Reprogramaciones!$K$16),"",IF(ROUND(SUM($Q52:AA52),1)&gt;=99.5,100,MIN(100,ROUND(SUM($Q52:AA52),1))))</f>
        <v/>
      </c>
      <c r="CU52" s="1" t="str">
        <f aca="false">IF(OR(OR(NOT(AND(ISNUMBER(E52),ISNUMBER(F52))),$J$2=""),12&gt;Reprogramaciones!$K$16),"",IF(ROUND(SUM($Q52:AB52),1)&gt;=99.5,100,MIN(100,ROUND(SUM($Q52:AB52),1))))</f>
        <v/>
      </c>
      <c r="CV52" s="1" t="str">
        <f aca="false">IF(OR(OR(NOT(AND(ISNUMBER(E52),ISNUMBER(F52))),$J$2=""),13&gt;Reprogramaciones!$K$16),"",IF(ROUND(SUM($Q52:AC52),1)&gt;=99.5,100,MIN(100,ROUND(SUM($Q52:AC52),1))))</f>
        <v/>
      </c>
      <c r="CW52" s="1" t="str">
        <f aca="false">IF(OR(OR(NOT(AND(ISNUMBER(E52),ISNUMBER(F52))),$J$2=""),14&gt;Reprogramaciones!$K$16),"",IF(ROUND(SUM($Q52:AD52),1)&gt;=99.5,100,MIN(100,ROUND(SUM($Q52:AD52),1))))</f>
        <v/>
      </c>
      <c r="CX52" s="1" t="str">
        <f aca="false">IF(OR(OR(NOT(AND(ISNUMBER(E52),ISNUMBER(F52))),$J$2=""),15&gt;Reprogramaciones!$K$16),"",IF(ROUND(SUM($Q52:AE52),1)&gt;=99.5,100,MIN(100,ROUND(SUM($Q52:AE52),1))))</f>
        <v/>
      </c>
      <c r="CY52" s="1" t="str">
        <f aca="false">IF(OR(OR(NOT(AND(ISNUMBER(E52),ISNUMBER(F52))),$J$2=""),16&gt;Reprogramaciones!$K$16),"",IF(ROUND(SUM($Q52:AF52),1)&gt;=99.5,100,MIN(100,ROUND(SUM($Q52:AF52),1))))</f>
        <v/>
      </c>
      <c r="CZ52" s="1" t="str">
        <f aca="false">IF(D52&lt;&gt;"",D52,IF(B52&lt;&gt;"","Contractual",CZ51))</f>
        <v>Contractual</v>
      </c>
      <c r="DA52" s="1" t="str">
        <f aca="false">IF(OR(NOT(AND(ISNUMBER(E52),ISNUMBER(F52))),$J$2=""),"",IF(Reprogramaciones!$Q$15&lt;Reprogramaciones!$T$15,0,IF(Reprogramaciones!$S$15&gt;10,MIN(100,SUM($G52:$P52)),MIN(100,SUMPRODUCT((COLUMN($G52:$P52)-COLUMN($G52)+1&lt;Reprogramaciones!$S$15)*$G52:$P52)+N(INDEX($G52:$P52,1,Reprogramaciones!$S$15))*IF(Reprogramaciones!$Q$15&gt;=(Reprogramaciones!$T$15+7*(Reprogramaciones!$S$15-1))+6,1,IF(MAX(0,NETWORKDAYS.INTL(MAX(E52,(Reprogramaciones!$T$15+7*(Reprogramaciones!$S$15-1))),MIN(F52,(Reprogramaciones!$T$15+7*(Reprogramaciones!$S$15-1))+6),11))=0,0,MAX(0,NETWORKDAYS.INTL(MAX(E52,(Reprogramaciones!$T$15+7*(Reprogramaciones!$S$15-1))),MIN(F52,Reprogramaciones!$Q$15),11))/MAX(0,NETWORKDAYS.INTL(MAX(E52,(Reprogramaciones!$T$15+7*(Reprogramaciones!$S$15-1))),MIN(F52,(Reprogramaciones!$T$15+7*(Reprogramaciones!$S$15-1))+6),11))))))))</f>
        <v/>
      </c>
    </row>
    <row r="53" customFormat="false" ht="15" hidden="false" customHeight="false" outlineLevel="0" collapsed="false">
      <c r="A53" s="32"/>
      <c r="B53" s="33"/>
      <c r="C53" s="33"/>
      <c r="D53" s="34"/>
      <c r="E53" s="35"/>
      <c r="F53" s="35"/>
      <c r="G53" s="36" t="str">
        <f aca="false">IF(OR(NOT(AND(ISNUMBER(E53),ISNUMBER(F53))),$J$2=""),"",IF(Reprogramaciones!K$9&lt;E53,0,IF(NETWORKDAYS.INTL(E53,F53,11)=0,IF(Reprogramaciones!K$9&gt;=F53,100,0),ROUND(NETWORKDAYS.INTL(E53,MIN(F53,Reprogramaciones!K$9),11)/NETWORKDAYS.INTL(E53,F53,11)*100,1)))-0)</f>
        <v/>
      </c>
      <c r="H53" s="36" t="str">
        <f aca="false">IF(OR(NOT(AND(ISNUMBER(E53),ISNUMBER(F53))),$J$2=""),"",IF(Reprogramaciones!L$9&lt;E53,0,IF(NETWORKDAYS.INTL(E53,F53,11)=0,IF(Reprogramaciones!L$9&gt;=F53,100,0),ROUND(NETWORKDAYS.INTL(E53,MIN(F53,Reprogramaciones!L$9),11)/NETWORKDAYS.INTL(E53,F53,11)*100,1)))-IF(Reprogramaciones!K$9&lt;E53,0,IF(NETWORKDAYS.INTL(E53,F53,11)=0,IF(Reprogramaciones!K$9&gt;=F53,100,0),ROUND(NETWORKDAYS.INTL(E53,MIN(F53,Reprogramaciones!K$9),11)/NETWORKDAYS.INTL(E53,F53,11)*100,1))))</f>
        <v/>
      </c>
      <c r="I53" s="36" t="str">
        <f aca="false">IF(OR(NOT(AND(ISNUMBER(E53),ISNUMBER(F53))),$J$2=""),"",IF(Reprogramaciones!M$9&lt;E53,0,IF(NETWORKDAYS.INTL(E53,F53,11)=0,IF(Reprogramaciones!M$9&gt;=F53,100,0),ROUND(NETWORKDAYS.INTL(E53,MIN(F53,Reprogramaciones!M$9),11)/NETWORKDAYS.INTL(E53,F53,11)*100,1)))-IF(Reprogramaciones!L$9&lt;E53,0,IF(NETWORKDAYS.INTL(E53,F53,11)=0,IF(Reprogramaciones!L$9&gt;=F53,100,0),ROUND(NETWORKDAYS.INTL(E53,MIN(F53,Reprogramaciones!L$9),11)/NETWORKDAYS.INTL(E53,F53,11)*100,1))))</f>
        <v/>
      </c>
      <c r="J53" s="36" t="str">
        <f aca="false">IF(OR(NOT(AND(ISNUMBER(E53),ISNUMBER(F53))),$J$2=""),"",IF(Reprogramaciones!N$9&lt;E53,0,IF(NETWORKDAYS.INTL(E53,F53,11)=0,IF(Reprogramaciones!N$9&gt;=F53,100,0),ROUND(NETWORKDAYS.INTL(E53,MIN(F53,Reprogramaciones!N$9),11)/NETWORKDAYS.INTL(E53,F53,11)*100,1)))-IF(Reprogramaciones!M$9&lt;E53,0,IF(NETWORKDAYS.INTL(E53,F53,11)=0,IF(Reprogramaciones!M$9&gt;=F53,100,0),ROUND(NETWORKDAYS.INTL(E53,MIN(F53,Reprogramaciones!M$9),11)/NETWORKDAYS.INTL(E53,F53,11)*100,1))))</f>
        <v/>
      </c>
      <c r="K53" s="36" t="str">
        <f aca="false">IF(OR(NOT(AND(ISNUMBER(E53),ISNUMBER(F53))),$J$2=""),"",IF(Reprogramaciones!O$9&lt;E53,0,IF(NETWORKDAYS.INTL(E53,F53,11)=0,IF(Reprogramaciones!O$9&gt;=F53,100,0),ROUND(NETWORKDAYS.INTL(E53,MIN(F53,Reprogramaciones!O$9),11)/NETWORKDAYS.INTL(E53,F53,11)*100,1)))-IF(Reprogramaciones!N$9&lt;E53,0,IF(NETWORKDAYS.INTL(E53,F53,11)=0,IF(Reprogramaciones!N$9&gt;=F53,100,0),ROUND(NETWORKDAYS.INTL(E53,MIN(F53,Reprogramaciones!N$9),11)/NETWORKDAYS.INTL(E53,F53,11)*100,1))))</f>
        <v/>
      </c>
      <c r="L53" s="36" t="str">
        <f aca="false">IF(OR(NOT(AND(ISNUMBER(E53),ISNUMBER(F53))),$J$2=""),"",IF(Reprogramaciones!P$9&lt;E53,0,IF(NETWORKDAYS.INTL(E53,F53,11)=0,IF(Reprogramaciones!P$9&gt;=F53,100,0),ROUND(NETWORKDAYS.INTL(E53,MIN(F53,Reprogramaciones!P$9),11)/NETWORKDAYS.INTL(E53,F53,11)*100,1)))-IF(Reprogramaciones!O$9&lt;E53,0,IF(NETWORKDAYS.INTL(E53,F53,11)=0,IF(Reprogramaciones!O$9&gt;=F53,100,0),ROUND(NETWORKDAYS.INTL(E53,MIN(F53,Reprogramaciones!O$9),11)/NETWORKDAYS.INTL(E53,F53,11)*100,1))))</f>
        <v/>
      </c>
      <c r="M53" s="36" t="str">
        <f aca="false">IF(OR(NOT(AND(ISNUMBER(E53),ISNUMBER(F53))),$J$2=""),"",IF(Reprogramaciones!Q$9&lt;E53,0,IF(NETWORKDAYS.INTL(E53,F53,11)=0,IF(Reprogramaciones!Q$9&gt;=F53,100,0),ROUND(NETWORKDAYS.INTL(E53,MIN(F53,Reprogramaciones!Q$9),11)/NETWORKDAYS.INTL(E53,F53,11)*100,1)))-IF(Reprogramaciones!P$9&lt;E53,0,IF(NETWORKDAYS.INTL(E53,F53,11)=0,IF(Reprogramaciones!P$9&gt;=F53,100,0),ROUND(NETWORKDAYS.INTL(E53,MIN(F53,Reprogramaciones!P$9),11)/NETWORKDAYS.INTL(E53,F53,11)*100,1))))</f>
        <v/>
      </c>
      <c r="N53" s="36" t="str">
        <f aca="false">IF(OR(NOT(AND(ISNUMBER(E53),ISNUMBER(F53))),$J$2=""),"",IF(Reprogramaciones!R$9&lt;E53,0,IF(NETWORKDAYS.INTL(E53,F53,11)=0,IF(Reprogramaciones!R$9&gt;=F53,100,0),ROUND(NETWORKDAYS.INTL(E53,MIN(F53,Reprogramaciones!R$9),11)/NETWORKDAYS.INTL(E53,F53,11)*100,1)))-IF(Reprogramaciones!Q$9&lt;E53,0,IF(NETWORKDAYS.INTL(E53,F53,11)=0,IF(Reprogramaciones!Q$9&gt;=F53,100,0),ROUND(NETWORKDAYS.INTL(E53,MIN(F53,Reprogramaciones!Q$9),11)/NETWORKDAYS.INTL(E53,F53,11)*100,1))))</f>
        <v/>
      </c>
      <c r="O53" s="36" t="str">
        <f aca="false">IF(OR(NOT(AND(ISNUMBER(E53),ISNUMBER(F53))),$J$2=""),"",IF(Reprogramaciones!S$9&lt;E53,0,IF(NETWORKDAYS.INTL(E53,F53,11)=0,IF(Reprogramaciones!S$9&gt;=F53,100,0),ROUND(NETWORKDAYS.INTL(E53,MIN(F53,Reprogramaciones!S$9),11)/NETWORKDAYS.INTL(E53,F53,11)*100,1)))-IF(Reprogramaciones!R$9&lt;E53,0,IF(NETWORKDAYS.INTL(E53,F53,11)=0,IF(Reprogramaciones!R$9&gt;=F53,100,0),ROUND(NETWORKDAYS.INTL(E53,MIN(F53,Reprogramaciones!R$9),11)/NETWORKDAYS.INTL(E53,F53,11)*100,1))))</f>
        <v/>
      </c>
      <c r="P53" s="36" t="str">
        <f aca="false">IF(OR(NOT(AND(ISNUMBER(E53),ISNUMBER(F53))),$J$2=""),"",IF(Reprogramaciones!T$9&lt;E53,0,IF(NETWORKDAYS.INTL(E53,F53,11)=0,IF(Reprogramaciones!T$9&gt;=F53,100,0),ROUND(NETWORKDAYS.INTL(E53,MIN(F53,Reprogramaciones!T$9),11)/NETWORKDAYS.INTL(E53,F53,11)*100,1)))-IF(Reprogramaciones!S$9&lt;E53,0,IF(NETWORKDAYS.INTL(E53,F53,11)=0,IF(Reprogramaciones!S$9&gt;=F53,100,0),ROUND(NETWORKDAYS.INTL(E53,MIN(F53,Reprogramaciones!S$9),11)/NETWORKDAYS.INTL(E53,F53,11)*100,1))))</f>
        <v/>
      </c>
      <c r="Q53" s="37"/>
      <c r="R53" s="37"/>
      <c r="S53" s="37"/>
      <c r="T53" s="37"/>
      <c r="U53" s="37"/>
      <c r="V53" s="37"/>
      <c r="W53" s="37"/>
      <c r="X53" s="37"/>
      <c r="Y53" s="37"/>
      <c r="Z53" s="37"/>
      <c r="AA53" s="37"/>
      <c r="AB53" s="37"/>
      <c r="AC53" s="37"/>
      <c r="AD53" s="37"/>
      <c r="AE53" s="37"/>
      <c r="AF53" s="37"/>
      <c r="AG53" s="38" t="str">
        <f aca="false">IF(AND(ISNUMBER(E53),ISNUMBER(F53)),NETWORKDAYS.INTL(E53,F53,11),"")</f>
        <v/>
      </c>
      <c r="AH53" s="38" t="str">
        <f aca="false">IF(OR(NOT(AND(ISNUMBER(E53),ISNUMBER(F53))),$J$2=""),"",IF(Reprogramaciones!$P$15&lt;Reprogramaciones!$T$15,0,IF(Reprogramaciones!$R$15&gt;10,MIN(100,SUM($G53:$P53)),MIN(100,SUMPRODUCT((COLUMN($G53:$P53)-COLUMN($G53)+1&lt;Reprogramaciones!$R$15)*$G53:$P53)+N(INDEX($G53:$P53,1,Reprogramaciones!$R$15))*IF(Reprogramaciones!$P$15&gt;=(Reprogramaciones!$T$15+7*(Reprogramaciones!$R$15-1))+6,1,IF(MAX(0,NETWORKDAYS.INTL(MAX(E53,(Reprogramaciones!$T$15+7*(Reprogramaciones!$R$15-1))),MIN(F53,(Reprogramaciones!$T$15+7*(Reprogramaciones!$R$15-1))+6),11))=0,0,MAX(0,NETWORKDAYS.INTL(MAX(E53,(Reprogramaciones!$T$15+7*(Reprogramaciones!$R$15-1))),MIN(F53,Reprogramaciones!$P$15),11))/MAX(0,NETWORKDAYS.INTL(MAX(E53,(Reprogramaciones!$T$15+7*(Reprogramaciones!$R$15-1))),MIN(F53,(Reprogramaciones!$T$15+7*(Reprogramaciones!$R$15-1))+6),11))))))))</f>
        <v/>
      </c>
      <c r="AI53" s="38" t="str">
        <f aca="false">IF(COUNT($Q53:$AF53)=0,"",IF(ROUND(SUM($Q53:$AF53),1)&gt;=99.5,100,MIN(100,ROUND(SUM($Q53:$AF53),1))))</f>
        <v/>
      </c>
      <c r="AJ53" s="38" t="str">
        <f aca="false">IF(OR(AH53="",AI53=""),"",AI53-AH53)</f>
        <v/>
      </c>
      <c r="AK53" s="39" t="str">
        <f aca="true">IF(AH53="","",IF(OR(Ficha!$C$10="Suspendida",Ficha!$C$10="Cancelada"),Ficha!$C$10,IF(AND(AI53&lt;&gt;"",N(AI53)&gt;=100),"Completada",IF(AND(E53&gt;TODAY(),N(AI53)=0),"Por iniciar",IF(N(AI53)+0.5&lt;AH53,"Retrasada",IF(N(AI53)+0.5&lt;DA53,IF(Reprogramaciones!$K$15&gt;0,"Al día · Sem "&amp;Reprogramaciones!$K$15&amp;" en curso","Al día · en curso"),"A tiempo"))))))</f>
        <v/>
      </c>
      <c r="AL53" s="39" t="str">
        <f aca="true">IF(AND(A53="",AND(B53="",C53="",E53="",F53="",COUNT(Q53:AF53)=0)),"",IF(AND(B53="",C53="",E53="",F53="",COUNT(Q53:AF53)=0),"Falta la partida o subpartida",IF(AND(A53&lt;&gt;"",COUNTIF($A$6:$A$305,A53)&gt;1),"Ítem repetido",IF(AND(C53="",E53="",F53="",COUNT(Q53:AF53)=0),"Título de partida",IF(OR(E53="",F53=""),"Faltan fechas",IF(OR(ISTEXT(E53),ISTEXT(F53)),"Fecha escrita como texto: usa dd/mm/aaaa",IF(F53&lt;E53,"Fin antes del inicio",IF(IF($J$2="",FALSE(),OR(E53&lt;$J$2,F53&gt;Reprogramaciones!$T$15+69)),"Fuera de las 10 semanas",IF(ABS(SUM(G53:P53)-100)&gt;0.5,"La meta no suma 100%",IF(ROUND(SUM(Q53:AF53),1)&gt;100.5,"El avance pasa de 100%",IF(MIN(Q53:AF53)&lt;0,"Avance negativo",IF(COUNTA(Q53:AF53)&gt;COUNT(Q53:AF53),"Avance escrito como texto",IF(SUMPRODUCT((Q53:AF53&gt;0)*(Q53:AF53&lt;1))&gt;0,"Avance menor a 1: escribe 50, no 50%",IF(SUMPRODUCT(ISNUMBER(Q53:AF53)*(Reprogramaciones!$K$8:$Z$8&gt;TODAY()))&gt;0,"Avance en semana que aún no llega",IF(AND(N(Reprogramaciones!$E$21)&gt;0,F53&gt;Reprogramaciones!$E$21),"Pasa el fin de la obra: registra una reprogramación",IF(AND(N(Reprogramaciones!$E$21)&gt;0,SUMPRODUCT(ISNUMBER(Q53:AF53)*(Reprogramaciones!$K$8:$Z$8&gt;Reprogramaciones!$E$21))&gt;0),"Avance después del fin de la obra: registra una reprogramación por atraso","OK"))))))))))))))))</f>
        <v/>
      </c>
      <c r="AM53" s="40" t="str">
        <f aca="false">IF(OR(OR(NOT(AND(ISNUMBER(E53),ISNUMBER(F53))),$J$2=""),1&gt;MAX(1,Reprogramaciones!$U$15)),"",IF(Reprogramaciones!K$12&gt;=7,"",IF(OR(BT53-N(0)&gt;0.05,N(Q53)&gt;0),ROUNDDOWN(ROUND(BT53,6),0)&amp;"%"&amp;IF(CJ53="",""," / "&amp;CJ53&amp;"%"),IF(AND(N(0)&gt;=99.95,CJ53&lt;&gt;"",N(CJ53)&lt;100),"Pend. "&amp;CJ53&amp;"%",""))))</f>
        <v/>
      </c>
      <c r="AN53" s="40" t="str">
        <f aca="false">IF(OR(OR(NOT(AND(ISNUMBER(E53),ISNUMBER(F53))),$J$2=""),2&gt;MAX(1,Reprogramaciones!$U$15)),"",IF(Reprogramaciones!L$12&gt;=7,"",IF(OR(BU53-N(BT53)&gt;0.05,N(R53)&gt;0),ROUNDDOWN(ROUND(BU53,6),0)&amp;"%"&amp;IF(CK53="",""," / "&amp;CK53&amp;"%"),IF(AND(N(BT53)&gt;=99.95,CK53&lt;&gt;"",N(CK53)&lt;100),"Pend. "&amp;CK53&amp;"%",""))))</f>
        <v/>
      </c>
      <c r="AO53" s="40" t="str">
        <f aca="false">IF(OR(OR(NOT(AND(ISNUMBER(E53),ISNUMBER(F53))),$J$2=""),3&gt;MAX(1,Reprogramaciones!$U$15)),"",IF(Reprogramaciones!M$12&gt;=7,"",IF(OR(BV53-N(BU53)&gt;0.05,N(S53)&gt;0),ROUNDDOWN(ROUND(BV53,6),0)&amp;"%"&amp;IF(CL53="",""," / "&amp;CL53&amp;"%"),IF(AND(N(BU53)&gt;=99.95,CL53&lt;&gt;"",N(CL53)&lt;100),"Pend. "&amp;CL53&amp;"%",""))))</f>
        <v/>
      </c>
      <c r="AP53" s="40" t="str">
        <f aca="false">IF(OR(OR(NOT(AND(ISNUMBER(E53),ISNUMBER(F53))),$J$2=""),4&gt;MAX(1,Reprogramaciones!$U$15)),"",IF(Reprogramaciones!N$12&gt;=7,"",IF(OR(BW53-N(BV53)&gt;0.05,N(T53)&gt;0),ROUNDDOWN(ROUND(BW53,6),0)&amp;"%"&amp;IF(CM53="",""," / "&amp;CM53&amp;"%"),IF(AND(N(BV53)&gt;=99.95,CM53&lt;&gt;"",N(CM53)&lt;100),"Pend. "&amp;CM53&amp;"%",""))))</f>
        <v/>
      </c>
      <c r="AQ53" s="40" t="str">
        <f aca="false">IF(OR(OR(NOT(AND(ISNUMBER(E53),ISNUMBER(F53))),$J$2=""),5&gt;MAX(1,Reprogramaciones!$U$15)),"",IF(Reprogramaciones!O$12&gt;=7,"",IF(OR(BX53-N(BW53)&gt;0.05,N(U53)&gt;0),ROUNDDOWN(ROUND(BX53,6),0)&amp;"%"&amp;IF(CN53="",""," / "&amp;CN53&amp;"%"),IF(AND(N(BW53)&gt;=99.95,CN53&lt;&gt;"",N(CN53)&lt;100),"Pend. "&amp;CN53&amp;"%",""))))</f>
        <v/>
      </c>
      <c r="AR53" s="40" t="str">
        <f aca="false">IF(OR(OR(NOT(AND(ISNUMBER(E53),ISNUMBER(F53))),$J$2=""),6&gt;MAX(1,Reprogramaciones!$U$15)),"",IF(Reprogramaciones!P$12&gt;=7,"",IF(OR(BY53-N(BX53)&gt;0.05,N(V53)&gt;0),ROUNDDOWN(ROUND(BY53,6),0)&amp;"%"&amp;IF(CO53="",""," / "&amp;CO53&amp;"%"),IF(AND(N(BX53)&gt;=99.95,CO53&lt;&gt;"",N(CO53)&lt;100),"Pend. "&amp;CO53&amp;"%",""))))</f>
        <v/>
      </c>
      <c r="AS53" s="40" t="str">
        <f aca="false">IF(OR(OR(NOT(AND(ISNUMBER(E53),ISNUMBER(F53))),$J$2=""),7&gt;MAX(1,Reprogramaciones!$U$15)),"",IF(Reprogramaciones!Q$12&gt;=7,"",IF(OR(BZ53-N(BY53)&gt;0.05,N(W53)&gt;0),ROUNDDOWN(ROUND(BZ53,6),0)&amp;"%"&amp;IF(CP53="",""," / "&amp;CP53&amp;"%"),IF(AND(N(BY53)&gt;=99.95,CP53&lt;&gt;"",N(CP53)&lt;100),"Pend. "&amp;CP53&amp;"%",""))))</f>
        <v/>
      </c>
      <c r="AT53" s="40" t="str">
        <f aca="false">IF(OR(OR(NOT(AND(ISNUMBER(E53),ISNUMBER(F53))),$J$2=""),8&gt;MAX(1,Reprogramaciones!$U$15)),"",IF(Reprogramaciones!R$12&gt;=7,"",IF(OR(CA53-N(BZ53)&gt;0.05,N(X53)&gt;0),ROUNDDOWN(ROUND(CA53,6),0)&amp;"%"&amp;IF(CQ53="",""," / "&amp;CQ53&amp;"%"),IF(AND(N(BZ53)&gt;=99.95,CQ53&lt;&gt;"",N(CQ53)&lt;100),"Pend. "&amp;CQ53&amp;"%",""))))</f>
        <v/>
      </c>
      <c r="AU53" s="40" t="str">
        <f aca="false">IF(OR(OR(NOT(AND(ISNUMBER(E53),ISNUMBER(F53))),$J$2=""),9&gt;MAX(1,Reprogramaciones!$U$15)),"",IF(Reprogramaciones!S$12&gt;=7,"",IF(OR(CB53-N(CA53)&gt;0.05,N(Y53)&gt;0),ROUNDDOWN(ROUND(CB53,6),0)&amp;"%"&amp;IF(CR53="",""," / "&amp;CR53&amp;"%"),IF(AND(N(CA53)&gt;=99.95,CR53&lt;&gt;"",N(CR53)&lt;100),"Pend. "&amp;CR53&amp;"%",""))))</f>
        <v/>
      </c>
      <c r="AV53" s="40" t="str">
        <f aca="false">IF(OR(OR(NOT(AND(ISNUMBER(E53),ISNUMBER(F53))),$J$2=""),10&gt;MAX(1,Reprogramaciones!$U$15)),"",IF(Reprogramaciones!T$12&gt;=7,"",IF(OR(CC53-N(CB53)&gt;0.05,N(Z53)&gt;0),ROUNDDOWN(ROUND(CC53,6),0)&amp;"%"&amp;IF(CS53="",""," / "&amp;CS53&amp;"%"),IF(AND(N(CB53)&gt;=99.95,CS53&lt;&gt;"",N(CS53)&lt;100),"Pend. "&amp;CS53&amp;"%",""))))</f>
        <v/>
      </c>
      <c r="AW53" s="40" t="str">
        <f aca="false">IF(OR(OR(NOT(AND(ISNUMBER(E53),ISNUMBER(F53))),$J$2=""),11&gt;MAX(1,Reprogramaciones!$U$15)),"",IF(Reprogramaciones!U$12&gt;=7,"",IF(OR(CD53-N(CC53)&gt;0.05,N(AA53)&gt;0),ROUNDDOWN(ROUND(CD53,6),0)&amp;"%"&amp;IF(CT53="",""," / "&amp;CT53&amp;"%"),IF(AND(N(CC53)&gt;=99.95,CT53&lt;&gt;"",N(CT53)&lt;100),"Pend. "&amp;CT53&amp;"%",""))))</f>
        <v/>
      </c>
      <c r="AX53" s="40" t="str">
        <f aca="false">IF(OR(OR(NOT(AND(ISNUMBER(E53),ISNUMBER(F53))),$J$2=""),12&gt;MAX(1,Reprogramaciones!$U$15)),"",IF(Reprogramaciones!V$12&gt;=7,"",IF(OR(CE53-N(CD53)&gt;0.05,N(AB53)&gt;0),ROUNDDOWN(ROUND(CE53,6),0)&amp;"%"&amp;IF(CU53="",""," / "&amp;CU53&amp;"%"),IF(AND(N(CD53)&gt;=99.95,CU53&lt;&gt;"",N(CU53)&lt;100),"Pend. "&amp;CU53&amp;"%",""))))</f>
        <v/>
      </c>
      <c r="AY53" s="40" t="str">
        <f aca="false">IF(OR(OR(NOT(AND(ISNUMBER(E53),ISNUMBER(F53))),$J$2=""),13&gt;MAX(1,Reprogramaciones!$U$15)),"",IF(Reprogramaciones!W$12&gt;=7,"",IF(OR(CF53-N(CE53)&gt;0.05,N(AC53)&gt;0),ROUNDDOWN(ROUND(CF53,6),0)&amp;"%"&amp;IF(CV53="",""," / "&amp;CV53&amp;"%"),IF(AND(N(CE53)&gt;=99.95,CV53&lt;&gt;"",N(CV53)&lt;100),"Pend. "&amp;CV53&amp;"%",""))))</f>
        <v/>
      </c>
      <c r="AZ53" s="40" t="str">
        <f aca="false">IF(OR(OR(NOT(AND(ISNUMBER(E53),ISNUMBER(F53))),$J$2=""),14&gt;MAX(1,Reprogramaciones!$U$15)),"",IF(Reprogramaciones!X$12&gt;=7,"",IF(OR(CG53-N(CF53)&gt;0.05,N(AD53)&gt;0),ROUNDDOWN(ROUND(CG53,6),0)&amp;"%"&amp;IF(CW53="",""," / "&amp;CW53&amp;"%"),IF(AND(N(CF53)&gt;=99.95,CW53&lt;&gt;"",N(CW53)&lt;100),"Pend. "&amp;CW53&amp;"%",""))))</f>
        <v/>
      </c>
      <c r="BA53" s="40" t="str">
        <f aca="false">IF(OR(OR(NOT(AND(ISNUMBER(E53),ISNUMBER(F53))),$J$2=""),15&gt;MAX(1,Reprogramaciones!$U$15)),"",IF(Reprogramaciones!Y$12&gt;=7,"",IF(OR(CH53-N(CG53)&gt;0.05,N(AE53)&gt;0),ROUNDDOWN(ROUND(CH53,6),0)&amp;"%"&amp;IF(CX53="",""," / "&amp;CX53&amp;"%"),IF(AND(N(CG53)&gt;=99.95,CX53&lt;&gt;"",N(CX53)&lt;100),"Pend. "&amp;CX53&amp;"%",""))))</f>
        <v/>
      </c>
      <c r="BB53" s="40" t="str">
        <f aca="false">IF(OR(OR(NOT(AND(ISNUMBER(E53),ISNUMBER(F53))),$J$2=""),16&gt;MAX(1,Reprogramaciones!$U$15)),"",IF(Reprogramaciones!Z$12&gt;=7,"",IF(OR(CI53-N(CH53)&gt;0.05,N(AF53)&gt;0),ROUNDDOWN(ROUND(CI53,6),0)&amp;"%"&amp;IF(CY53="",""," / "&amp;CY53&amp;"%"),IF(AND(N(CH53)&gt;=99.95,CY53&lt;&gt;"",N(CY53)&lt;100),"Pend. "&amp;CY53&amp;"%",""))))</f>
        <v/>
      </c>
      <c r="BC53" s="31" t="n">
        <f aca="false">IF(AND(ISNUMBER(E53),ISNUMBER(F53)),MAX(1,NETWORKDAYS.INTL(E53,F53,11)),0)</f>
        <v>0</v>
      </c>
      <c r="BD53" s="1" t="str">
        <f aca="false">IF(OR(NOT(AND(ISNUMBER(E53),ISNUMBER(F53))),$J$2=""),"",MIN(100,ROUND(SUM($G53:G53),1)))</f>
        <v/>
      </c>
      <c r="BE53" s="1" t="str">
        <f aca="false">IF(OR(NOT(AND(ISNUMBER(E53),ISNUMBER(F53))),$J$2=""),"",MIN(100,ROUND(SUM($G53:H53),1)))</f>
        <v/>
      </c>
      <c r="BF53" s="1" t="str">
        <f aca="false">IF(OR(NOT(AND(ISNUMBER(E53),ISNUMBER(F53))),$J$2=""),"",MIN(100,ROUND(SUM($G53:I53),1)))</f>
        <v/>
      </c>
      <c r="BG53" s="1" t="str">
        <f aca="false">IF(OR(NOT(AND(ISNUMBER(E53),ISNUMBER(F53))),$J$2=""),"",MIN(100,ROUND(SUM($G53:J53),1)))</f>
        <v/>
      </c>
      <c r="BH53" s="1" t="str">
        <f aca="false">IF(OR(NOT(AND(ISNUMBER(E53),ISNUMBER(F53))),$J$2=""),"",MIN(100,ROUND(SUM($G53:K53),1)))</f>
        <v/>
      </c>
      <c r="BI53" s="1" t="str">
        <f aca="false">IF(OR(NOT(AND(ISNUMBER(E53),ISNUMBER(F53))),$J$2=""),"",MIN(100,ROUND(SUM($G53:L53),1)))</f>
        <v/>
      </c>
      <c r="BJ53" s="1" t="str">
        <f aca="false">IF(OR(NOT(AND(ISNUMBER(E53),ISNUMBER(F53))),$J$2=""),"",MIN(100,ROUND(SUM($G53:M53),1)))</f>
        <v/>
      </c>
      <c r="BK53" s="1" t="str">
        <f aca="false">IF(OR(NOT(AND(ISNUMBER(E53),ISNUMBER(F53))),$J$2=""),"",MIN(100,ROUND(SUM($G53:N53),1)))</f>
        <v/>
      </c>
      <c r="BL53" s="1" t="str">
        <f aca="false">IF(OR(NOT(AND(ISNUMBER(E53),ISNUMBER(F53))),$J$2=""),"",MIN(100,ROUND(SUM($G53:O53),1)))</f>
        <v/>
      </c>
      <c r="BM53" s="1" t="str">
        <f aca="false">IF(OR(NOT(AND(ISNUMBER(E53),ISNUMBER(F53))),$J$2=""),"",MIN(100,ROUND(SUM($G53:P53),1)))</f>
        <v/>
      </c>
      <c r="BN53" s="1" t="str">
        <f aca="false">IF(OR(NOT(AND(ISNUMBER(E53),ISNUMBER(F53))),$J$2=""),"",MIN(100,ROUND(SUM($G53:P53),1)))</f>
        <v/>
      </c>
      <c r="BO53" s="1" t="str">
        <f aca="false">IF(OR(NOT(AND(ISNUMBER(E53),ISNUMBER(F53))),$J$2=""),"",MIN(100,ROUND(SUM($G53:P53),1)))</f>
        <v/>
      </c>
      <c r="BP53" s="1" t="str">
        <f aca="false">IF(OR(NOT(AND(ISNUMBER(E53),ISNUMBER(F53))),$J$2=""),"",MIN(100,ROUND(SUM($G53:P53),1)))</f>
        <v/>
      </c>
      <c r="BQ53" s="1" t="str">
        <f aca="false">IF(OR(NOT(AND(ISNUMBER(E53),ISNUMBER(F53))),$J$2=""),"",MIN(100,ROUND(SUM($G53:P53),1)))</f>
        <v/>
      </c>
      <c r="BR53" s="1" t="str">
        <f aca="false">IF(OR(NOT(AND(ISNUMBER(E53),ISNUMBER(F53))),$J$2=""),"",MIN(100,ROUND(SUM($G53:P53),1)))</f>
        <v/>
      </c>
      <c r="BS53" s="1" t="str">
        <f aca="false">IF(OR(NOT(AND(ISNUMBER(E53),ISNUMBER(F53))),$J$2=""),"",MIN(100,ROUND(SUM($G53:P53),1)))</f>
        <v/>
      </c>
      <c r="BT53" s="1" t="str">
        <f aca="false">IF(OR(NOT(AND(ISNUMBER(E53),ISNUMBER(F53))),$J$2=""),"",IF(Reprogramaciones!K$13&lt;Reprogramaciones!$T$15,0,IF(Reprogramaciones!K$14&gt;10,MIN(100,SUM($G53:$P53)),MIN(100,SUMPRODUCT((COLUMN($G53:$P53)-COLUMN($G53)+1&lt;Reprogramaciones!K$14)*$G53:$P53)+N(INDEX($G53:$P53,1,Reprogramaciones!K$14))*IF(Reprogramaciones!K$13&gt;=(Reprogramaciones!$T$15+7*(Reprogramaciones!K$14-1))+6,1,IF(MAX(0,NETWORKDAYS.INTL(MAX(E53,(Reprogramaciones!$T$15+7*(Reprogramaciones!K$14-1))),MIN(F53,(Reprogramaciones!$T$15+7*(Reprogramaciones!K$14-1))+6),11))=0,0,MAX(0,NETWORKDAYS.INTL(MAX(E53,(Reprogramaciones!$T$15+7*(Reprogramaciones!K$14-1))),MIN(F53,Reprogramaciones!K$13),11))/MAX(0,NETWORKDAYS.INTL(MAX(E53,(Reprogramaciones!$T$15+7*(Reprogramaciones!K$14-1))),MIN(F53,(Reprogramaciones!$T$15+7*(Reprogramaciones!K$14-1))+6),11))))))))</f>
        <v/>
      </c>
      <c r="BU53" s="1" t="str">
        <f aca="false">IF(OR(NOT(AND(ISNUMBER(E53),ISNUMBER(F53))),$J$2=""),"",IF(Reprogramaciones!L$13&lt;Reprogramaciones!$T$15,0,IF(Reprogramaciones!L$14&gt;10,MIN(100,SUM($G53:$P53)),MIN(100,SUMPRODUCT((COLUMN($G53:$P53)-COLUMN($G53)+1&lt;Reprogramaciones!L$14)*$G53:$P53)+N(INDEX($G53:$P53,1,Reprogramaciones!L$14))*IF(Reprogramaciones!L$13&gt;=(Reprogramaciones!$T$15+7*(Reprogramaciones!L$14-1))+6,1,IF(MAX(0,NETWORKDAYS.INTL(MAX(E53,(Reprogramaciones!$T$15+7*(Reprogramaciones!L$14-1))),MIN(F53,(Reprogramaciones!$T$15+7*(Reprogramaciones!L$14-1))+6),11))=0,0,MAX(0,NETWORKDAYS.INTL(MAX(E53,(Reprogramaciones!$T$15+7*(Reprogramaciones!L$14-1))),MIN(F53,Reprogramaciones!L$13),11))/MAX(0,NETWORKDAYS.INTL(MAX(E53,(Reprogramaciones!$T$15+7*(Reprogramaciones!L$14-1))),MIN(F53,(Reprogramaciones!$T$15+7*(Reprogramaciones!L$14-1))+6),11))))))))</f>
        <v/>
      </c>
      <c r="BV53" s="1" t="str">
        <f aca="false">IF(OR(NOT(AND(ISNUMBER(E53),ISNUMBER(F53))),$J$2=""),"",IF(Reprogramaciones!M$13&lt;Reprogramaciones!$T$15,0,IF(Reprogramaciones!M$14&gt;10,MIN(100,SUM($G53:$P53)),MIN(100,SUMPRODUCT((COLUMN($G53:$P53)-COLUMN($G53)+1&lt;Reprogramaciones!M$14)*$G53:$P53)+N(INDEX($G53:$P53,1,Reprogramaciones!M$14))*IF(Reprogramaciones!M$13&gt;=(Reprogramaciones!$T$15+7*(Reprogramaciones!M$14-1))+6,1,IF(MAX(0,NETWORKDAYS.INTL(MAX(E53,(Reprogramaciones!$T$15+7*(Reprogramaciones!M$14-1))),MIN(F53,(Reprogramaciones!$T$15+7*(Reprogramaciones!M$14-1))+6),11))=0,0,MAX(0,NETWORKDAYS.INTL(MAX(E53,(Reprogramaciones!$T$15+7*(Reprogramaciones!M$14-1))),MIN(F53,Reprogramaciones!M$13),11))/MAX(0,NETWORKDAYS.INTL(MAX(E53,(Reprogramaciones!$T$15+7*(Reprogramaciones!M$14-1))),MIN(F53,(Reprogramaciones!$T$15+7*(Reprogramaciones!M$14-1))+6),11))))))))</f>
        <v/>
      </c>
      <c r="BW53" s="1" t="str">
        <f aca="false">IF(OR(NOT(AND(ISNUMBER(E53),ISNUMBER(F53))),$J$2=""),"",IF(Reprogramaciones!N$13&lt;Reprogramaciones!$T$15,0,IF(Reprogramaciones!N$14&gt;10,MIN(100,SUM($G53:$P53)),MIN(100,SUMPRODUCT((COLUMN($G53:$P53)-COLUMN($G53)+1&lt;Reprogramaciones!N$14)*$G53:$P53)+N(INDEX($G53:$P53,1,Reprogramaciones!N$14))*IF(Reprogramaciones!N$13&gt;=(Reprogramaciones!$T$15+7*(Reprogramaciones!N$14-1))+6,1,IF(MAX(0,NETWORKDAYS.INTL(MAX(E53,(Reprogramaciones!$T$15+7*(Reprogramaciones!N$14-1))),MIN(F53,(Reprogramaciones!$T$15+7*(Reprogramaciones!N$14-1))+6),11))=0,0,MAX(0,NETWORKDAYS.INTL(MAX(E53,(Reprogramaciones!$T$15+7*(Reprogramaciones!N$14-1))),MIN(F53,Reprogramaciones!N$13),11))/MAX(0,NETWORKDAYS.INTL(MAX(E53,(Reprogramaciones!$T$15+7*(Reprogramaciones!N$14-1))),MIN(F53,(Reprogramaciones!$T$15+7*(Reprogramaciones!N$14-1))+6),11))))))))</f>
        <v/>
      </c>
      <c r="BX53" s="1" t="str">
        <f aca="false">IF(OR(NOT(AND(ISNUMBER(E53),ISNUMBER(F53))),$J$2=""),"",IF(Reprogramaciones!O$13&lt;Reprogramaciones!$T$15,0,IF(Reprogramaciones!O$14&gt;10,MIN(100,SUM($G53:$P53)),MIN(100,SUMPRODUCT((COLUMN($G53:$P53)-COLUMN($G53)+1&lt;Reprogramaciones!O$14)*$G53:$P53)+N(INDEX($G53:$P53,1,Reprogramaciones!O$14))*IF(Reprogramaciones!O$13&gt;=(Reprogramaciones!$T$15+7*(Reprogramaciones!O$14-1))+6,1,IF(MAX(0,NETWORKDAYS.INTL(MAX(E53,(Reprogramaciones!$T$15+7*(Reprogramaciones!O$14-1))),MIN(F53,(Reprogramaciones!$T$15+7*(Reprogramaciones!O$14-1))+6),11))=0,0,MAX(0,NETWORKDAYS.INTL(MAX(E53,(Reprogramaciones!$T$15+7*(Reprogramaciones!O$14-1))),MIN(F53,Reprogramaciones!O$13),11))/MAX(0,NETWORKDAYS.INTL(MAX(E53,(Reprogramaciones!$T$15+7*(Reprogramaciones!O$14-1))),MIN(F53,(Reprogramaciones!$T$15+7*(Reprogramaciones!O$14-1))+6),11))))))))</f>
        <v/>
      </c>
      <c r="BY53" s="1" t="str">
        <f aca="false">IF(OR(NOT(AND(ISNUMBER(E53),ISNUMBER(F53))),$J$2=""),"",IF(Reprogramaciones!P$13&lt;Reprogramaciones!$T$15,0,IF(Reprogramaciones!P$14&gt;10,MIN(100,SUM($G53:$P53)),MIN(100,SUMPRODUCT((COLUMN($G53:$P53)-COLUMN($G53)+1&lt;Reprogramaciones!P$14)*$G53:$P53)+N(INDEX($G53:$P53,1,Reprogramaciones!P$14))*IF(Reprogramaciones!P$13&gt;=(Reprogramaciones!$T$15+7*(Reprogramaciones!P$14-1))+6,1,IF(MAX(0,NETWORKDAYS.INTL(MAX(E53,(Reprogramaciones!$T$15+7*(Reprogramaciones!P$14-1))),MIN(F53,(Reprogramaciones!$T$15+7*(Reprogramaciones!P$14-1))+6),11))=0,0,MAX(0,NETWORKDAYS.INTL(MAX(E53,(Reprogramaciones!$T$15+7*(Reprogramaciones!P$14-1))),MIN(F53,Reprogramaciones!P$13),11))/MAX(0,NETWORKDAYS.INTL(MAX(E53,(Reprogramaciones!$T$15+7*(Reprogramaciones!P$14-1))),MIN(F53,(Reprogramaciones!$T$15+7*(Reprogramaciones!P$14-1))+6),11))))))))</f>
        <v/>
      </c>
      <c r="BZ53" s="1" t="str">
        <f aca="false">IF(OR(NOT(AND(ISNUMBER(E53),ISNUMBER(F53))),$J$2=""),"",IF(Reprogramaciones!Q$13&lt;Reprogramaciones!$T$15,0,IF(Reprogramaciones!Q$14&gt;10,MIN(100,SUM($G53:$P53)),MIN(100,SUMPRODUCT((COLUMN($G53:$P53)-COLUMN($G53)+1&lt;Reprogramaciones!Q$14)*$G53:$P53)+N(INDEX($G53:$P53,1,Reprogramaciones!Q$14))*IF(Reprogramaciones!Q$13&gt;=(Reprogramaciones!$T$15+7*(Reprogramaciones!Q$14-1))+6,1,IF(MAX(0,NETWORKDAYS.INTL(MAX(E53,(Reprogramaciones!$T$15+7*(Reprogramaciones!Q$14-1))),MIN(F53,(Reprogramaciones!$T$15+7*(Reprogramaciones!Q$14-1))+6),11))=0,0,MAX(0,NETWORKDAYS.INTL(MAX(E53,(Reprogramaciones!$T$15+7*(Reprogramaciones!Q$14-1))),MIN(F53,Reprogramaciones!Q$13),11))/MAX(0,NETWORKDAYS.INTL(MAX(E53,(Reprogramaciones!$T$15+7*(Reprogramaciones!Q$14-1))),MIN(F53,(Reprogramaciones!$T$15+7*(Reprogramaciones!Q$14-1))+6),11))))))))</f>
        <v/>
      </c>
      <c r="CA53" s="1" t="str">
        <f aca="false">IF(OR(NOT(AND(ISNUMBER(E53),ISNUMBER(F53))),$J$2=""),"",IF(Reprogramaciones!R$13&lt;Reprogramaciones!$T$15,0,IF(Reprogramaciones!R$14&gt;10,MIN(100,SUM($G53:$P53)),MIN(100,SUMPRODUCT((COLUMN($G53:$P53)-COLUMN($G53)+1&lt;Reprogramaciones!R$14)*$G53:$P53)+N(INDEX($G53:$P53,1,Reprogramaciones!R$14))*IF(Reprogramaciones!R$13&gt;=(Reprogramaciones!$T$15+7*(Reprogramaciones!R$14-1))+6,1,IF(MAX(0,NETWORKDAYS.INTL(MAX(E53,(Reprogramaciones!$T$15+7*(Reprogramaciones!R$14-1))),MIN(F53,(Reprogramaciones!$T$15+7*(Reprogramaciones!R$14-1))+6),11))=0,0,MAX(0,NETWORKDAYS.INTL(MAX(E53,(Reprogramaciones!$T$15+7*(Reprogramaciones!R$14-1))),MIN(F53,Reprogramaciones!R$13),11))/MAX(0,NETWORKDAYS.INTL(MAX(E53,(Reprogramaciones!$T$15+7*(Reprogramaciones!R$14-1))),MIN(F53,(Reprogramaciones!$T$15+7*(Reprogramaciones!R$14-1))+6),11))))))))</f>
        <v/>
      </c>
      <c r="CB53" s="1" t="str">
        <f aca="false">IF(OR(NOT(AND(ISNUMBER(E53),ISNUMBER(F53))),$J$2=""),"",IF(Reprogramaciones!S$13&lt;Reprogramaciones!$T$15,0,IF(Reprogramaciones!S$14&gt;10,MIN(100,SUM($G53:$P53)),MIN(100,SUMPRODUCT((COLUMN($G53:$P53)-COLUMN($G53)+1&lt;Reprogramaciones!S$14)*$G53:$P53)+N(INDEX($G53:$P53,1,Reprogramaciones!S$14))*IF(Reprogramaciones!S$13&gt;=(Reprogramaciones!$T$15+7*(Reprogramaciones!S$14-1))+6,1,IF(MAX(0,NETWORKDAYS.INTL(MAX(E53,(Reprogramaciones!$T$15+7*(Reprogramaciones!S$14-1))),MIN(F53,(Reprogramaciones!$T$15+7*(Reprogramaciones!S$14-1))+6),11))=0,0,MAX(0,NETWORKDAYS.INTL(MAX(E53,(Reprogramaciones!$T$15+7*(Reprogramaciones!S$14-1))),MIN(F53,Reprogramaciones!S$13),11))/MAX(0,NETWORKDAYS.INTL(MAX(E53,(Reprogramaciones!$T$15+7*(Reprogramaciones!S$14-1))),MIN(F53,(Reprogramaciones!$T$15+7*(Reprogramaciones!S$14-1))+6),11))))))))</f>
        <v/>
      </c>
      <c r="CC53" s="1" t="str">
        <f aca="false">IF(OR(NOT(AND(ISNUMBER(E53),ISNUMBER(F53))),$J$2=""),"",IF(Reprogramaciones!T$13&lt;Reprogramaciones!$T$15,0,IF(Reprogramaciones!T$14&gt;10,MIN(100,SUM($G53:$P53)),MIN(100,SUMPRODUCT((COLUMN($G53:$P53)-COLUMN($G53)+1&lt;Reprogramaciones!T$14)*$G53:$P53)+N(INDEX($G53:$P53,1,Reprogramaciones!T$14))*IF(Reprogramaciones!T$13&gt;=(Reprogramaciones!$T$15+7*(Reprogramaciones!T$14-1))+6,1,IF(MAX(0,NETWORKDAYS.INTL(MAX(E53,(Reprogramaciones!$T$15+7*(Reprogramaciones!T$14-1))),MIN(F53,(Reprogramaciones!$T$15+7*(Reprogramaciones!T$14-1))+6),11))=0,0,MAX(0,NETWORKDAYS.INTL(MAX(E53,(Reprogramaciones!$T$15+7*(Reprogramaciones!T$14-1))),MIN(F53,Reprogramaciones!T$13),11))/MAX(0,NETWORKDAYS.INTL(MAX(E53,(Reprogramaciones!$T$15+7*(Reprogramaciones!T$14-1))),MIN(F53,(Reprogramaciones!$T$15+7*(Reprogramaciones!T$14-1))+6),11))))))))</f>
        <v/>
      </c>
      <c r="CD53" s="1" t="str">
        <f aca="false">IF(OR(NOT(AND(ISNUMBER(E53),ISNUMBER(F53))),$J$2=""),"",IF(Reprogramaciones!U$13&lt;Reprogramaciones!$T$15,0,IF(Reprogramaciones!U$14&gt;10,MIN(100,SUM($G53:$P53)),MIN(100,SUMPRODUCT((COLUMN($G53:$P53)-COLUMN($G53)+1&lt;Reprogramaciones!U$14)*$G53:$P53)+N(INDEX($G53:$P53,1,Reprogramaciones!U$14))*IF(Reprogramaciones!U$13&gt;=(Reprogramaciones!$T$15+7*(Reprogramaciones!U$14-1))+6,1,IF(MAX(0,NETWORKDAYS.INTL(MAX(E53,(Reprogramaciones!$T$15+7*(Reprogramaciones!U$14-1))),MIN(F53,(Reprogramaciones!$T$15+7*(Reprogramaciones!U$14-1))+6),11))=0,0,MAX(0,NETWORKDAYS.INTL(MAX(E53,(Reprogramaciones!$T$15+7*(Reprogramaciones!U$14-1))),MIN(F53,Reprogramaciones!U$13),11))/MAX(0,NETWORKDAYS.INTL(MAX(E53,(Reprogramaciones!$T$15+7*(Reprogramaciones!U$14-1))),MIN(F53,(Reprogramaciones!$T$15+7*(Reprogramaciones!U$14-1))+6),11))))))))</f>
        <v/>
      </c>
      <c r="CE53" s="1" t="str">
        <f aca="false">IF(OR(NOT(AND(ISNUMBER(E53),ISNUMBER(F53))),$J$2=""),"",IF(Reprogramaciones!V$13&lt;Reprogramaciones!$T$15,0,IF(Reprogramaciones!V$14&gt;10,MIN(100,SUM($G53:$P53)),MIN(100,SUMPRODUCT((COLUMN($G53:$P53)-COLUMN($G53)+1&lt;Reprogramaciones!V$14)*$G53:$P53)+N(INDEX($G53:$P53,1,Reprogramaciones!V$14))*IF(Reprogramaciones!V$13&gt;=(Reprogramaciones!$T$15+7*(Reprogramaciones!V$14-1))+6,1,IF(MAX(0,NETWORKDAYS.INTL(MAX(E53,(Reprogramaciones!$T$15+7*(Reprogramaciones!V$14-1))),MIN(F53,(Reprogramaciones!$T$15+7*(Reprogramaciones!V$14-1))+6),11))=0,0,MAX(0,NETWORKDAYS.INTL(MAX(E53,(Reprogramaciones!$T$15+7*(Reprogramaciones!V$14-1))),MIN(F53,Reprogramaciones!V$13),11))/MAX(0,NETWORKDAYS.INTL(MAX(E53,(Reprogramaciones!$T$15+7*(Reprogramaciones!V$14-1))),MIN(F53,(Reprogramaciones!$T$15+7*(Reprogramaciones!V$14-1))+6),11))))))))</f>
        <v/>
      </c>
      <c r="CF53" s="1" t="str">
        <f aca="false">IF(OR(NOT(AND(ISNUMBER(E53),ISNUMBER(F53))),$J$2=""),"",IF(Reprogramaciones!W$13&lt;Reprogramaciones!$T$15,0,IF(Reprogramaciones!W$14&gt;10,MIN(100,SUM($G53:$P53)),MIN(100,SUMPRODUCT((COLUMN($G53:$P53)-COLUMN($G53)+1&lt;Reprogramaciones!W$14)*$G53:$P53)+N(INDEX($G53:$P53,1,Reprogramaciones!W$14))*IF(Reprogramaciones!W$13&gt;=(Reprogramaciones!$T$15+7*(Reprogramaciones!W$14-1))+6,1,IF(MAX(0,NETWORKDAYS.INTL(MAX(E53,(Reprogramaciones!$T$15+7*(Reprogramaciones!W$14-1))),MIN(F53,(Reprogramaciones!$T$15+7*(Reprogramaciones!W$14-1))+6),11))=0,0,MAX(0,NETWORKDAYS.INTL(MAX(E53,(Reprogramaciones!$T$15+7*(Reprogramaciones!W$14-1))),MIN(F53,Reprogramaciones!W$13),11))/MAX(0,NETWORKDAYS.INTL(MAX(E53,(Reprogramaciones!$T$15+7*(Reprogramaciones!W$14-1))),MIN(F53,(Reprogramaciones!$T$15+7*(Reprogramaciones!W$14-1))+6),11))))))))</f>
        <v/>
      </c>
      <c r="CG53" s="1" t="str">
        <f aca="false">IF(OR(NOT(AND(ISNUMBER(E53),ISNUMBER(F53))),$J$2=""),"",IF(Reprogramaciones!X$13&lt;Reprogramaciones!$T$15,0,IF(Reprogramaciones!X$14&gt;10,MIN(100,SUM($G53:$P53)),MIN(100,SUMPRODUCT((COLUMN($G53:$P53)-COLUMN($G53)+1&lt;Reprogramaciones!X$14)*$G53:$P53)+N(INDEX($G53:$P53,1,Reprogramaciones!X$14))*IF(Reprogramaciones!X$13&gt;=(Reprogramaciones!$T$15+7*(Reprogramaciones!X$14-1))+6,1,IF(MAX(0,NETWORKDAYS.INTL(MAX(E53,(Reprogramaciones!$T$15+7*(Reprogramaciones!X$14-1))),MIN(F53,(Reprogramaciones!$T$15+7*(Reprogramaciones!X$14-1))+6),11))=0,0,MAX(0,NETWORKDAYS.INTL(MAX(E53,(Reprogramaciones!$T$15+7*(Reprogramaciones!X$14-1))),MIN(F53,Reprogramaciones!X$13),11))/MAX(0,NETWORKDAYS.INTL(MAX(E53,(Reprogramaciones!$T$15+7*(Reprogramaciones!X$14-1))),MIN(F53,(Reprogramaciones!$T$15+7*(Reprogramaciones!X$14-1))+6),11))))))))</f>
        <v/>
      </c>
      <c r="CH53" s="1" t="str">
        <f aca="false">IF(OR(NOT(AND(ISNUMBER(E53),ISNUMBER(F53))),$J$2=""),"",IF(Reprogramaciones!Y$13&lt;Reprogramaciones!$T$15,0,IF(Reprogramaciones!Y$14&gt;10,MIN(100,SUM($G53:$P53)),MIN(100,SUMPRODUCT((COLUMN($G53:$P53)-COLUMN($G53)+1&lt;Reprogramaciones!Y$14)*$G53:$P53)+N(INDEX($G53:$P53,1,Reprogramaciones!Y$14))*IF(Reprogramaciones!Y$13&gt;=(Reprogramaciones!$T$15+7*(Reprogramaciones!Y$14-1))+6,1,IF(MAX(0,NETWORKDAYS.INTL(MAX(E53,(Reprogramaciones!$T$15+7*(Reprogramaciones!Y$14-1))),MIN(F53,(Reprogramaciones!$T$15+7*(Reprogramaciones!Y$14-1))+6),11))=0,0,MAX(0,NETWORKDAYS.INTL(MAX(E53,(Reprogramaciones!$T$15+7*(Reprogramaciones!Y$14-1))),MIN(F53,Reprogramaciones!Y$13),11))/MAX(0,NETWORKDAYS.INTL(MAX(E53,(Reprogramaciones!$T$15+7*(Reprogramaciones!Y$14-1))),MIN(F53,(Reprogramaciones!$T$15+7*(Reprogramaciones!Y$14-1))+6),11))))))))</f>
        <v/>
      </c>
      <c r="CI53" s="1" t="str">
        <f aca="false">IF(OR(NOT(AND(ISNUMBER(E53),ISNUMBER(F53))),$J$2=""),"",IF(Reprogramaciones!Z$13&lt;Reprogramaciones!$T$15,0,IF(Reprogramaciones!Z$14&gt;10,MIN(100,SUM($G53:$P53)),MIN(100,SUMPRODUCT((COLUMN($G53:$P53)-COLUMN($G53)+1&lt;Reprogramaciones!Z$14)*$G53:$P53)+N(INDEX($G53:$P53,1,Reprogramaciones!Z$14))*IF(Reprogramaciones!Z$13&gt;=(Reprogramaciones!$T$15+7*(Reprogramaciones!Z$14-1))+6,1,IF(MAX(0,NETWORKDAYS.INTL(MAX(E53,(Reprogramaciones!$T$15+7*(Reprogramaciones!Z$14-1))),MIN(F53,(Reprogramaciones!$T$15+7*(Reprogramaciones!Z$14-1))+6),11))=0,0,MAX(0,NETWORKDAYS.INTL(MAX(E53,(Reprogramaciones!$T$15+7*(Reprogramaciones!Z$14-1))),MIN(F53,Reprogramaciones!Z$13),11))/MAX(0,NETWORKDAYS.INTL(MAX(E53,(Reprogramaciones!$T$15+7*(Reprogramaciones!Z$14-1))),MIN(F53,(Reprogramaciones!$T$15+7*(Reprogramaciones!Z$14-1))+6),11))))))))</f>
        <v/>
      </c>
      <c r="CJ53" s="1" t="str">
        <f aca="false">IF(OR(OR(NOT(AND(ISNUMBER(E53),ISNUMBER(F53))),$J$2=""),1&gt;Reprogramaciones!$K$16),"",IF(ROUND(SUM($Q53:Q53),1)&gt;=99.5,100,MIN(100,ROUND(SUM($Q53:Q53),1))))</f>
        <v/>
      </c>
      <c r="CK53" s="1" t="str">
        <f aca="false">IF(OR(OR(NOT(AND(ISNUMBER(E53),ISNUMBER(F53))),$J$2=""),2&gt;Reprogramaciones!$K$16),"",IF(ROUND(SUM($Q53:R53),1)&gt;=99.5,100,MIN(100,ROUND(SUM($Q53:R53),1))))</f>
        <v/>
      </c>
      <c r="CL53" s="1" t="str">
        <f aca="false">IF(OR(OR(NOT(AND(ISNUMBER(E53),ISNUMBER(F53))),$J$2=""),3&gt;Reprogramaciones!$K$16),"",IF(ROUND(SUM($Q53:S53),1)&gt;=99.5,100,MIN(100,ROUND(SUM($Q53:S53),1))))</f>
        <v/>
      </c>
      <c r="CM53" s="1" t="str">
        <f aca="false">IF(OR(OR(NOT(AND(ISNUMBER(E53),ISNUMBER(F53))),$J$2=""),4&gt;Reprogramaciones!$K$16),"",IF(ROUND(SUM($Q53:T53),1)&gt;=99.5,100,MIN(100,ROUND(SUM($Q53:T53),1))))</f>
        <v/>
      </c>
      <c r="CN53" s="1" t="str">
        <f aca="false">IF(OR(OR(NOT(AND(ISNUMBER(E53),ISNUMBER(F53))),$J$2=""),5&gt;Reprogramaciones!$K$16),"",IF(ROUND(SUM($Q53:U53),1)&gt;=99.5,100,MIN(100,ROUND(SUM($Q53:U53),1))))</f>
        <v/>
      </c>
      <c r="CO53" s="1" t="str">
        <f aca="false">IF(OR(OR(NOT(AND(ISNUMBER(E53),ISNUMBER(F53))),$J$2=""),6&gt;Reprogramaciones!$K$16),"",IF(ROUND(SUM($Q53:V53),1)&gt;=99.5,100,MIN(100,ROUND(SUM($Q53:V53),1))))</f>
        <v/>
      </c>
      <c r="CP53" s="1" t="str">
        <f aca="false">IF(OR(OR(NOT(AND(ISNUMBER(E53),ISNUMBER(F53))),$J$2=""),7&gt;Reprogramaciones!$K$16),"",IF(ROUND(SUM($Q53:W53),1)&gt;=99.5,100,MIN(100,ROUND(SUM($Q53:W53),1))))</f>
        <v/>
      </c>
      <c r="CQ53" s="1" t="str">
        <f aca="false">IF(OR(OR(NOT(AND(ISNUMBER(E53),ISNUMBER(F53))),$J$2=""),8&gt;Reprogramaciones!$K$16),"",IF(ROUND(SUM($Q53:X53),1)&gt;=99.5,100,MIN(100,ROUND(SUM($Q53:X53),1))))</f>
        <v/>
      </c>
      <c r="CR53" s="1" t="str">
        <f aca="false">IF(OR(OR(NOT(AND(ISNUMBER(E53),ISNUMBER(F53))),$J$2=""),9&gt;Reprogramaciones!$K$16),"",IF(ROUND(SUM($Q53:Y53),1)&gt;=99.5,100,MIN(100,ROUND(SUM($Q53:Y53),1))))</f>
        <v/>
      </c>
      <c r="CS53" s="1" t="str">
        <f aca="false">IF(OR(OR(NOT(AND(ISNUMBER(E53),ISNUMBER(F53))),$J$2=""),10&gt;Reprogramaciones!$K$16),"",IF(ROUND(SUM($Q53:Z53),1)&gt;=99.5,100,MIN(100,ROUND(SUM($Q53:Z53),1))))</f>
        <v/>
      </c>
      <c r="CT53" s="1" t="str">
        <f aca="false">IF(OR(OR(NOT(AND(ISNUMBER(E53),ISNUMBER(F53))),$J$2=""),11&gt;Reprogramaciones!$K$16),"",IF(ROUND(SUM($Q53:AA53),1)&gt;=99.5,100,MIN(100,ROUND(SUM($Q53:AA53),1))))</f>
        <v/>
      </c>
      <c r="CU53" s="1" t="str">
        <f aca="false">IF(OR(OR(NOT(AND(ISNUMBER(E53),ISNUMBER(F53))),$J$2=""),12&gt;Reprogramaciones!$K$16),"",IF(ROUND(SUM($Q53:AB53),1)&gt;=99.5,100,MIN(100,ROUND(SUM($Q53:AB53),1))))</f>
        <v/>
      </c>
      <c r="CV53" s="1" t="str">
        <f aca="false">IF(OR(OR(NOT(AND(ISNUMBER(E53),ISNUMBER(F53))),$J$2=""),13&gt;Reprogramaciones!$K$16),"",IF(ROUND(SUM($Q53:AC53),1)&gt;=99.5,100,MIN(100,ROUND(SUM($Q53:AC53),1))))</f>
        <v/>
      </c>
      <c r="CW53" s="1" t="str">
        <f aca="false">IF(OR(OR(NOT(AND(ISNUMBER(E53),ISNUMBER(F53))),$J$2=""),14&gt;Reprogramaciones!$K$16),"",IF(ROUND(SUM($Q53:AD53),1)&gt;=99.5,100,MIN(100,ROUND(SUM($Q53:AD53),1))))</f>
        <v/>
      </c>
      <c r="CX53" s="1" t="str">
        <f aca="false">IF(OR(OR(NOT(AND(ISNUMBER(E53),ISNUMBER(F53))),$J$2=""),15&gt;Reprogramaciones!$K$16),"",IF(ROUND(SUM($Q53:AE53),1)&gt;=99.5,100,MIN(100,ROUND(SUM($Q53:AE53),1))))</f>
        <v/>
      </c>
      <c r="CY53" s="1" t="str">
        <f aca="false">IF(OR(OR(NOT(AND(ISNUMBER(E53),ISNUMBER(F53))),$J$2=""),16&gt;Reprogramaciones!$K$16),"",IF(ROUND(SUM($Q53:AF53),1)&gt;=99.5,100,MIN(100,ROUND(SUM($Q53:AF53),1))))</f>
        <v/>
      </c>
      <c r="CZ53" s="1" t="str">
        <f aca="false">IF(D53&lt;&gt;"",D53,IF(B53&lt;&gt;"","Contractual",CZ52))</f>
        <v>Contractual</v>
      </c>
      <c r="DA53" s="1" t="str">
        <f aca="false">IF(OR(NOT(AND(ISNUMBER(E53),ISNUMBER(F53))),$J$2=""),"",IF(Reprogramaciones!$Q$15&lt;Reprogramaciones!$T$15,0,IF(Reprogramaciones!$S$15&gt;10,MIN(100,SUM($G53:$P53)),MIN(100,SUMPRODUCT((COLUMN($G53:$P53)-COLUMN($G53)+1&lt;Reprogramaciones!$S$15)*$G53:$P53)+N(INDEX($G53:$P53,1,Reprogramaciones!$S$15))*IF(Reprogramaciones!$Q$15&gt;=(Reprogramaciones!$T$15+7*(Reprogramaciones!$S$15-1))+6,1,IF(MAX(0,NETWORKDAYS.INTL(MAX(E53,(Reprogramaciones!$T$15+7*(Reprogramaciones!$S$15-1))),MIN(F53,(Reprogramaciones!$T$15+7*(Reprogramaciones!$S$15-1))+6),11))=0,0,MAX(0,NETWORKDAYS.INTL(MAX(E53,(Reprogramaciones!$T$15+7*(Reprogramaciones!$S$15-1))),MIN(F53,Reprogramaciones!$Q$15),11))/MAX(0,NETWORKDAYS.INTL(MAX(E53,(Reprogramaciones!$T$15+7*(Reprogramaciones!$S$15-1))),MIN(F53,(Reprogramaciones!$T$15+7*(Reprogramaciones!$S$15-1))+6),11))))))))</f>
        <v/>
      </c>
    </row>
    <row r="54" customFormat="false" ht="15" hidden="false" customHeight="false" outlineLevel="0" collapsed="false">
      <c r="A54" s="32"/>
      <c r="B54" s="33"/>
      <c r="C54" s="33"/>
      <c r="D54" s="34"/>
      <c r="E54" s="35"/>
      <c r="F54" s="35"/>
      <c r="G54" s="36" t="str">
        <f aca="false">IF(OR(NOT(AND(ISNUMBER(E54),ISNUMBER(F54))),$J$2=""),"",IF(Reprogramaciones!K$9&lt;E54,0,IF(NETWORKDAYS.INTL(E54,F54,11)=0,IF(Reprogramaciones!K$9&gt;=F54,100,0),ROUND(NETWORKDAYS.INTL(E54,MIN(F54,Reprogramaciones!K$9),11)/NETWORKDAYS.INTL(E54,F54,11)*100,1)))-0)</f>
        <v/>
      </c>
      <c r="H54" s="36" t="str">
        <f aca="false">IF(OR(NOT(AND(ISNUMBER(E54),ISNUMBER(F54))),$J$2=""),"",IF(Reprogramaciones!L$9&lt;E54,0,IF(NETWORKDAYS.INTL(E54,F54,11)=0,IF(Reprogramaciones!L$9&gt;=F54,100,0),ROUND(NETWORKDAYS.INTL(E54,MIN(F54,Reprogramaciones!L$9),11)/NETWORKDAYS.INTL(E54,F54,11)*100,1)))-IF(Reprogramaciones!K$9&lt;E54,0,IF(NETWORKDAYS.INTL(E54,F54,11)=0,IF(Reprogramaciones!K$9&gt;=F54,100,0),ROUND(NETWORKDAYS.INTL(E54,MIN(F54,Reprogramaciones!K$9),11)/NETWORKDAYS.INTL(E54,F54,11)*100,1))))</f>
        <v/>
      </c>
      <c r="I54" s="36" t="str">
        <f aca="false">IF(OR(NOT(AND(ISNUMBER(E54),ISNUMBER(F54))),$J$2=""),"",IF(Reprogramaciones!M$9&lt;E54,0,IF(NETWORKDAYS.INTL(E54,F54,11)=0,IF(Reprogramaciones!M$9&gt;=F54,100,0),ROUND(NETWORKDAYS.INTL(E54,MIN(F54,Reprogramaciones!M$9),11)/NETWORKDAYS.INTL(E54,F54,11)*100,1)))-IF(Reprogramaciones!L$9&lt;E54,0,IF(NETWORKDAYS.INTL(E54,F54,11)=0,IF(Reprogramaciones!L$9&gt;=F54,100,0),ROUND(NETWORKDAYS.INTL(E54,MIN(F54,Reprogramaciones!L$9),11)/NETWORKDAYS.INTL(E54,F54,11)*100,1))))</f>
        <v/>
      </c>
      <c r="J54" s="36" t="str">
        <f aca="false">IF(OR(NOT(AND(ISNUMBER(E54),ISNUMBER(F54))),$J$2=""),"",IF(Reprogramaciones!N$9&lt;E54,0,IF(NETWORKDAYS.INTL(E54,F54,11)=0,IF(Reprogramaciones!N$9&gt;=F54,100,0),ROUND(NETWORKDAYS.INTL(E54,MIN(F54,Reprogramaciones!N$9),11)/NETWORKDAYS.INTL(E54,F54,11)*100,1)))-IF(Reprogramaciones!M$9&lt;E54,0,IF(NETWORKDAYS.INTL(E54,F54,11)=0,IF(Reprogramaciones!M$9&gt;=F54,100,0),ROUND(NETWORKDAYS.INTL(E54,MIN(F54,Reprogramaciones!M$9),11)/NETWORKDAYS.INTL(E54,F54,11)*100,1))))</f>
        <v/>
      </c>
      <c r="K54" s="36" t="str">
        <f aca="false">IF(OR(NOT(AND(ISNUMBER(E54),ISNUMBER(F54))),$J$2=""),"",IF(Reprogramaciones!O$9&lt;E54,0,IF(NETWORKDAYS.INTL(E54,F54,11)=0,IF(Reprogramaciones!O$9&gt;=F54,100,0),ROUND(NETWORKDAYS.INTL(E54,MIN(F54,Reprogramaciones!O$9),11)/NETWORKDAYS.INTL(E54,F54,11)*100,1)))-IF(Reprogramaciones!N$9&lt;E54,0,IF(NETWORKDAYS.INTL(E54,F54,11)=0,IF(Reprogramaciones!N$9&gt;=F54,100,0),ROUND(NETWORKDAYS.INTL(E54,MIN(F54,Reprogramaciones!N$9),11)/NETWORKDAYS.INTL(E54,F54,11)*100,1))))</f>
        <v/>
      </c>
      <c r="L54" s="36" t="str">
        <f aca="false">IF(OR(NOT(AND(ISNUMBER(E54),ISNUMBER(F54))),$J$2=""),"",IF(Reprogramaciones!P$9&lt;E54,0,IF(NETWORKDAYS.INTL(E54,F54,11)=0,IF(Reprogramaciones!P$9&gt;=F54,100,0),ROUND(NETWORKDAYS.INTL(E54,MIN(F54,Reprogramaciones!P$9),11)/NETWORKDAYS.INTL(E54,F54,11)*100,1)))-IF(Reprogramaciones!O$9&lt;E54,0,IF(NETWORKDAYS.INTL(E54,F54,11)=0,IF(Reprogramaciones!O$9&gt;=F54,100,0),ROUND(NETWORKDAYS.INTL(E54,MIN(F54,Reprogramaciones!O$9),11)/NETWORKDAYS.INTL(E54,F54,11)*100,1))))</f>
        <v/>
      </c>
      <c r="M54" s="36" t="str">
        <f aca="false">IF(OR(NOT(AND(ISNUMBER(E54),ISNUMBER(F54))),$J$2=""),"",IF(Reprogramaciones!Q$9&lt;E54,0,IF(NETWORKDAYS.INTL(E54,F54,11)=0,IF(Reprogramaciones!Q$9&gt;=F54,100,0),ROUND(NETWORKDAYS.INTL(E54,MIN(F54,Reprogramaciones!Q$9),11)/NETWORKDAYS.INTL(E54,F54,11)*100,1)))-IF(Reprogramaciones!P$9&lt;E54,0,IF(NETWORKDAYS.INTL(E54,F54,11)=0,IF(Reprogramaciones!P$9&gt;=F54,100,0),ROUND(NETWORKDAYS.INTL(E54,MIN(F54,Reprogramaciones!P$9),11)/NETWORKDAYS.INTL(E54,F54,11)*100,1))))</f>
        <v/>
      </c>
      <c r="N54" s="36" t="str">
        <f aca="false">IF(OR(NOT(AND(ISNUMBER(E54),ISNUMBER(F54))),$J$2=""),"",IF(Reprogramaciones!R$9&lt;E54,0,IF(NETWORKDAYS.INTL(E54,F54,11)=0,IF(Reprogramaciones!R$9&gt;=F54,100,0),ROUND(NETWORKDAYS.INTL(E54,MIN(F54,Reprogramaciones!R$9),11)/NETWORKDAYS.INTL(E54,F54,11)*100,1)))-IF(Reprogramaciones!Q$9&lt;E54,0,IF(NETWORKDAYS.INTL(E54,F54,11)=0,IF(Reprogramaciones!Q$9&gt;=F54,100,0),ROUND(NETWORKDAYS.INTL(E54,MIN(F54,Reprogramaciones!Q$9),11)/NETWORKDAYS.INTL(E54,F54,11)*100,1))))</f>
        <v/>
      </c>
      <c r="O54" s="36" t="str">
        <f aca="false">IF(OR(NOT(AND(ISNUMBER(E54),ISNUMBER(F54))),$J$2=""),"",IF(Reprogramaciones!S$9&lt;E54,0,IF(NETWORKDAYS.INTL(E54,F54,11)=0,IF(Reprogramaciones!S$9&gt;=F54,100,0),ROUND(NETWORKDAYS.INTL(E54,MIN(F54,Reprogramaciones!S$9),11)/NETWORKDAYS.INTL(E54,F54,11)*100,1)))-IF(Reprogramaciones!R$9&lt;E54,0,IF(NETWORKDAYS.INTL(E54,F54,11)=0,IF(Reprogramaciones!R$9&gt;=F54,100,0),ROUND(NETWORKDAYS.INTL(E54,MIN(F54,Reprogramaciones!R$9),11)/NETWORKDAYS.INTL(E54,F54,11)*100,1))))</f>
        <v/>
      </c>
      <c r="P54" s="36" t="str">
        <f aca="false">IF(OR(NOT(AND(ISNUMBER(E54),ISNUMBER(F54))),$J$2=""),"",IF(Reprogramaciones!T$9&lt;E54,0,IF(NETWORKDAYS.INTL(E54,F54,11)=0,IF(Reprogramaciones!T$9&gt;=F54,100,0),ROUND(NETWORKDAYS.INTL(E54,MIN(F54,Reprogramaciones!T$9),11)/NETWORKDAYS.INTL(E54,F54,11)*100,1)))-IF(Reprogramaciones!S$9&lt;E54,0,IF(NETWORKDAYS.INTL(E54,F54,11)=0,IF(Reprogramaciones!S$9&gt;=F54,100,0),ROUND(NETWORKDAYS.INTL(E54,MIN(F54,Reprogramaciones!S$9),11)/NETWORKDAYS.INTL(E54,F54,11)*100,1))))</f>
        <v/>
      </c>
      <c r="Q54" s="37"/>
      <c r="R54" s="37"/>
      <c r="S54" s="37"/>
      <c r="T54" s="37"/>
      <c r="U54" s="37"/>
      <c r="V54" s="37"/>
      <c r="W54" s="37"/>
      <c r="X54" s="37"/>
      <c r="Y54" s="37"/>
      <c r="Z54" s="37"/>
      <c r="AA54" s="37"/>
      <c r="AB54" s="37"/>
      <c r="AC54" s="37"/>
      <c r="AD54" s="37"/>
      <c r="AE54" s="37"/>
      <c r="AF54" s="37"/>
      <c r="AG54" s="38" t="str">
        <f aca="false">IF(AND(ISNUMBER(E54),ISNUMBER(F54)),NETWORKDAYS.INTL(E54,F54,11),"")</f>
        <v/>
      </c>
      <c r="AH54" s="38" t="str">
        <f aca="false">IF(OR(NOT(AND(ISNUMBER(E54),ISNUMBER(F54))),$J$2=""),"",IF(Reprogramaciones!$P$15&lt;Reprogramaciones!$T$15,0,IF(Reprogramaciones!$R$15&gt;10,MIN(100,SUM($G54:$P54)),MIN(100,SUMPRODUCT((COLUMN($G54:$P54)-COLUMN($G54)+1&lt;Reprogramaciones!$R$15)*$G54:$P54)+N(INDEX($G54:$P54,1,Reprogramaciones!$R$15))*IF(Reprogramaciones!$P$15&gt;=(Reprogramaciones!$T$15+7*(Reprogramaciones!$R$15-1))+6,1,IF(MAX(0,NETWORKDAYS.INTL(MAX(E54,(Reprogramaciones!$T$15+7*(Reprogramaciones!$R$15-1))),MIN(F54,(Reprogramaciones!$T$15+7*(Reprogramaciones!$R$15-1))+6),11))=0,0,MAX(0,NETWORKDAYS.INTL(MAX(E54,(Reprogramaciones!$T$15+7*(Reprogramaciones!$R$15-1))),MIN(F54,Reprogramaciones!$P$15),11))/MAX(0,NETWORKDAYS.INTL(MAX(E54,(Reprogramaciones!$T$15+7*(Reprogramaciones!$R$15-1))),MIN(F54,(Reprogramaciones!$T$15+7*(Reprogramaciones!$R$15-1))+6),11))))))))</f>
        <v/>
      </c>
      <c r="AI54" s="38" t="str">
        <f aca="false">IF(COUNT($Q54:$AF54)=0,"",IF(ROUND(SUM($Q54:$AF54),1)&gt;=99.5,100,MIN(100,ROUND(SUM($Q54:$AF54),1))))</f>
        <v/>
      </c>
      <c r="AJ54" s="38" t="str">
        <f aca="false">IF(OR(AH54="",AI54=""),"",AI54-AH54)</f>
        <v/>
      </c>
      <c r="AK54" s="39" t="str">
        <f aca="true">IF(AH54="","",IF(OR(Ficha!$C$10="Suspendida",Ficha!$C$10="Cancelada"),Ficha!$C$10,IF(AND(AI54&lt;&gt;"",N(AI54)&gt;=100),"Completada",IF(AND(E54&gt;TODAY(),N(AI54)=0),"Por iniciar",IF(N(AI54)+0.5&lt;AH54,"Retrasada",IF(N(AI54)+0.5&lt;DA54,IF(Reprogramaciones!$K$15&gt;0,"Al día · Sem "&amp;Reprogramaciones!$K$15&amp;" en curso","Al día · en curso"),"A tiempo"))))))</f>
        <v/>
      </c>
      <c r="AL54" s="39" t="str">
        <f aca="true">IF(AND(A54="",AND(B54="",C54="",E54="",F54="",COUNT(Q54:AF54)=0)),"",IF(AND(B54="",C54="",E54="",F54="",COUNT(Q54:AF54)=0),"Falta la partida o subpartida",IF(AND(A54&lt;&gt;"",COUNTIF($A$6:$A$305,A54)&gt;1),"Ítem repetido",IF(AND(C54="",E54="",F54="",COUNT(Q54:AF54)=0),"Título de partida",IF(OR(E54="",F54=""),"Faltan fechas",IF(OR(ISTEXT(E54),ISTEXT(F54)),"Fecha escrita como texto: usa dd/mm/aaaa",IF(F54&lt;E54,"Fin antes del inicio",IF(IF($J$2="",FALSE(),OR(E54&lt;$J$2,F54&gt;Reprogramaciones!$T$15+69)),"Fuera de las 10 semanas",IF(ABS(SUM(G54:P54)-100)&gt;0.5,"La meta no suma 100%",IF(ROUND(SUM(Q54:AF54),1)&gt;100.5,"El avance pasa de 100%",IF(MIN(Q54:AF54)&lt;0,"Avance negativo",IF(COUNTA(Q54:AF54)&gt;COUNT(Q54:AF54),"Avance escrito como texto",IF(SUMPRODUCT((Q54:AF54&gt;0)*(Q54:AF54&lt;1))&gt;0,"Avance menor a 1: escribe 50, no 50%",IF(SUMPRODUCT(ISNUMBER(Q54:AF54)*(Reprogramaciones!$K$8:$Z$8&gt;TODAY()))&gt;0,"Avance en semana que aún no llega",IF(AND(N(Reprogramaciones!$E$21)&gt;0,F54&gt;Reprogramaciones!$E$21),"Pasa el fin de la obra: registra una reprogramación",IF(AND(N(Reprogramaciones!$E$21)&gt;0,SUMPRODUCT(ISNUMBER(Q54:AF54)*(Reprogramaciones!$K$8:$Z$8&gt;Reprogramaciones!$E$21))&gt;0),"Avance después del fin de la obra: registra una reprogramación por atraso","OK"))))))))))))))))</f>
        <v/>
      </c>
      <c r="AM54" s="40" t="str">
        <f aca="false">IF(OR(OR(NOT(AND(ISNUMBER(E54),ISNUMBER(F54))),$J$2=""),1&gt;MAX(1,Reprogramaciones!$U$15)),"",IF(Reprogramaciones!K$12&gt;=7,"",IF(OR(BT54-N(0)&gt;0.05,N(Q54)&gt;0),ROUNDDOWN(ROUND(BT54,6),0)&amp;"%"&amp;IF(CJ54="",""," / "&amp;CJ54&amp;"%"),IF(AND(N(0)&gt;=99.95,CJ54&lt;&gt;"",N(CJ54)&lt;100),"Pend. "&amp;CJ54&amp;"%",""))))</f>
        <v/>
      </c>
      <c r="AN54" s="40" t="str">
        <f aca="false">IF(OR(OR(NOT(AND(ISNUMBER(E54),ISNUMBER(F54))),$J$2=""),2&gt;MAX(1,Reprogramaciones!$U$15)),"",IF(Reprogramaciones!L$12&gt;=7,"",IF(OR(BU54-N(BT54)&gt;0.05,N(R54)&gt;0),ROUNDDOWN(ROUND(BU54,6),0)&amp;"%"&amp;IF(CK54="",""," / "&amp;CK54&amp;"%"),IF(AND(N(BT54)&gt;=99.95,CK54&lt;&gt;"",N(CK54)&lt;100),"Pend. "&amp;CK54&amp;"%",""))))</f>
        <v/>
      </c>
      <c r="AO54" s="40" t="str">
        <f aca="false">IF(OR(OR(NOT(AND(ISNUMBER(E54),ISNUMBER(F54))),$J$2=""),3&gt;MAX(1,Reprogramaciones!$U$15)),"",IF(Reprogramaciones!M$12&gt;=7,"",IF(OR(BV54-N(BU54)&gt;0.05,N(S54)&gt;0),ROUNDDOWN(ROUND(BV54,6),0)&amp;"%"&amp;IF(CL54="",""," / "&amp;CL54&amp;"%"),IF(AND(N(BU54)&gt;=99.95,CL54&lt;&gt;"",N(CL54)&lt;100),"Pend. "&amp;CL54&amp;"%",""))))</f>
        <v/>
      </c>
      <c r="AP54" s="40" t="str">
        <f aca="false">IF(OR(OR(NOT(AND(ISNUMBER(E54),ISNUMBER(F54))),$J$2=""),4&gt;MAX(1,Reprogramaciones!$U$15)),"",IF(Reprogramaciones!N$12&gt;=7,"",IF(OR(BW54-N(BV54)&gt;0.05,N(T54)&gt;0),ROUNDDOWN(ROUND(BW54,6),0)&amp;"%"&amp;IF(CM54="",""," / "&amp;CM54&amp;"%"),IF(AND(N(BV54)&gt;=99.95,CM54&lt;&gt;"",N(CM54)&lt;100),"Pend. "&amp;CM54&amp;"%",""))))</f>
        <v/>
      </c>
      <c r="AQ54" s="40" t="str">
        <f aca="false">IF(OR(OR(NOT(AND(ISNUMBER(E54),ISNUMBER(F54))),$J$2=""),5&gt;MAX(1,Reprogramaciones!$U$15)),"",IF(Reprogramaciones!O$12&gt;=7,"",IF(OR(BX54-N(BW54)&gt;0.05,N(U54)&gt;0),ROUNDDOWN(ROUND(BX54,6),0)&amp;"%"&amp;IF(CN54="",""," / "&amp;CN54&amp;"%"),IF(AND(N(BW54)&gt;=99.95,CN54&lt;&gt;"",N(CN54)&lt;100),"Pend. "&amp;CN54&amp;"%",""))))</f>
        <v/>
      </c>
      <c r="AR54" s="40" t="str">
        <f aca="false">IF(OR(OR(NOT(AND(ISNUMBER(E54),ISNUMBER(F54))),$J$2=""),6&gt;MAX(1,Reprogramaciones!$U$15)),"",IF(Reprogramaciones!P$12&gt;=7,"",IF(OR(BY54-N(BX54)&gt;0.05,N(V54)&gt;0),ROUNDDOWN(ROUND(BY54,6),0)&amp;"%"&amp;IF(CO54="",""," / "&amp;CO54&amp;"%"),IF(AND(N(BX54)&gt;=99.95,CO54&lt;&gt;"",N(CO54)&lt;100),"Pend. "&amp;CO54&amp;"%",""))))</f>
        <v/>
      </c>
      <c r="AS54" s="40" t="str">
        <f aca="false">IF(OR(OR(NOT(AND(ISNUMBER(E54),ISNUMBER(F54))),$J$2=""),7&gt;MAX(1,Reprogramaciones!$U$15)),"",IF(Reprogramaciones!Q$12&gt;=7,"",IF(OR(BZ54-N(BY54)&gt;0.05,N(W54)&gt;0),ROUNDDOWN(ROUND(BZ54,6),0)&amp;"%"&amp;IF(CP54="",""," / "&amp;CP54&amp;"%"),IF(AND(N(BY54)&gt;=99.95,CP54&lt;&gt;"",N(CP54)&lt;100),"Pend. "&amp;CP54&amp;"%",""))))</f>
        <v/>
      </c>
      <c r="AT54" s="40" t="str">
        <f aca="false">IF(OR(OR(NOT(AND(ISNUMBER(E54),ISNUMBER(F54))),$J$2=""),8&gt;MAX(1,Reprogramaciones!$U$15)),"",IF(Reprogramaciones!R$12&gt;=7,"",IF(OR(CA54-N(BZ54)&gt;0.05,N(X54)&gt;0),ROUNDDOWN(ROUND(CA54,6),0)&amp;"%"&amp;IF(CQ54="",""," / "&amp;CQ54&amp;"%"),IF(AND(N(BZ54)&gt;=99.95,CQ54&lt;&gt;"",N(CQ54)&lt;100),"Pend. "&amp;CQ54&amp;"%",""))))</f>
        <v/>
      </c>
      <c r="AU54" s="40" t="str">
        <f aca="false">IF(OR(OR(NOT(AND(ISNUMBER(E54),ISNUMBER(F54))),$J$2=""),9&gt;MAX(1,Reprogramaciones!$U$15)),"",IF(Reprogramaciones!S$12&gt;=7,"",IF(OR(CB54-N(CA54)&gt;0.05,N(Y54)&gt;0),ROUNDDOWN(ROUND(CB54,6),0)&amp;"%"&amp;IF(CR54="",""," / "&amp;CR54&amp;"%"),IF(AND(N(CA54)&gt;=99.95,CR54&lt;&gt;"",N(CR54)&lt;100),"Pend. "&amp;CR54&amp;"%",""))))</f>
        <v/>
      </c>
      <c r="AV54" s="40" t="str">
        <f aca="false">IF(OR(OR(NOT(AND(ISNUMBER(E54),ISNUMBER(F54))),$J$2=""),10&gt;MAX(1,Reprogramaciones!$U$15)),"",IF(Reprogramaciones!T$12&gt;=7,"",IF(OR(CC54-N(CB54)&gt;0.05,N(Z54)&gt;0),ROUNDDOWN(ROUND(CC54,6),0)&amp;"%"&amp;IF(CS54="",""," / "&amp;CS54&amp;"%"),IF(AND(N(CB54)&gt;=99.95,CS54&lt;&gt;"",N(CS54)&lt;100),"Pend. "&amp;CS54&amp;"%",""))))</f>
        <v/>
      </c>
      <c r="AW54" s="40" t="str">
        <f aca="false">IF(OR(OR(NOT(AND(ISNUMBER(E54),ISNUMBER(F54))),$J$2=""),11&gt;MAX(1,Reprogramaciones!$U$15)),"",IF(Reprogramaciones!U$12&gt;=7,"",IF(OR(CD54-N(CC54)&gt;0.05,N(AA54)&gt;0),ROUNDDOWN(ROUND(CD54,6),0)&amp;"%"&amp;IF(CT54="",""," / "&amp;CT54&amp;"%"),IF(AND(N(CC54)&gt;=99.95,CT54&lt;&gt;"",N(CT54)&lt;100),"Pend. "&amp;CT54&amp;"%",""))))</f>
        <v/>
      </c>
      <c r="AX54" s="40" t="str">
        <f aca="false">IF(OR(OR(NOT(AND(ISNUMBER(E54),ISNUMBER(F54))),$J$2=""),12&gt;MAX(1,Reprogramaciones!$U$15)),"",IF(Reprogramaciones!V$12&gt;=7,"",IF(OR(CE54-N(CD54)&gt;0.05,N(AB54)&gt;0),ROUNDDOWN(ROUND(CE54,6),0)&amp;"%"&amp;IF(CU54="",""," / "&amp;CU54&amp;"%"),IF(AND(N(CD54)&gt;=99.95,CU54&lt;&gt;"",N(CU54)&lt;100),"Pend. "&amp;CU54&amp;"%",""))))</f>
        <v/>
      </c>
      <c r="AY54" s="40" t="str">
        <f aca="false">IF(OR(OR(NOT(AND(ISNUMBER(E54),ISNUMBER(F54))),$J$2=""),13&gt;MAX(1,Reprogramaciones!$U$15)),"",IF(Reprogramaciones!W$12&gt;=7,"",IF(OR(CF54-N(CE54)&gt;0.05,N(AC54)&gt;0),ROUNDDOWN(ROUND(CF54,6),0)&amp;"%"&amp;IF(CV54="",""," / "&amp;CV54&amp;"%"),IF(AND(N(CE54)&gt;=99.95,CV54&lt;&gt;"",N(CV54)&lt;100),"Pend. "&amp;CV54&amp;"%",""))))</f>
        <v/>
      </c>
      <c r="AZ54" s="40" t="str">
        <f aca="false">IF(OR(OR(NOT(AND(ISNUMBER(E54),ISNUMBER(F54))),$J$2=""),14&gt;MAX(1,Reprogramaciones!$U$15)),"",IF(Reprogramaciones!X$12&gt;=7,"",IF(OR(CG54-N(CF54)&gt;0.05,N(AD54)&gt;0),ROUNDDOWN(ROUND(CG54,6),0)&amp;"%"&amp;IF(CW54="",""," / "&amp;CW54&amp;"%"),IF(AND(N(CF54)&gt;=99.95,CW54&lt;&gt;"",N(CW54)&lt;100),"Pend. "&amp;CW54&amp;"%",""))))</f>
        <v/>
      </c>
      <c r="BA54" s="40" t="str">
        <f aca="false">IF(OR(OR(NOT(AND(ISNUMBER(E54),ISNUMBER(F54))),$J$2=""),15&gt;MAX(1,Reprogramaciones!$U$15)),"",IF(Reprogramaciones!Y$12&gt;=7,"",IF(OR(CH54-N(CG54)&gt;0.05,N(AE54)&gt;0),ROUNDDOWN(ROUND(CH54,6),0)&amp;"%"&amp;IF(CX54="",""," / "&amp;CX54&amp;"%"),IF(AND(N(CG54)&gt;=99.95,CX54&lt;&gt;"",N(CX54)&lt;100),"Pend. "&amp;CX54&amp;"%",""))))</f>
        <v/>
      </c>
      <c r="BB54" s="40" t="str">
        <f aca="false">IF(OR(OR(NOT(AND(ISNUMBER(E54),ISNUMBER(F54))),$J$2=""),16&gt;MAX(1,Reprogramaciones!$U$15)),"",IF(Reprogramaciones!Z$12&gt;=7,"",IF(OR(CI54-N(CH54)&gt;0.05,N(AF54)&gt;0),ROUNDDOWN(ROUND(CI54,6),0)&amp;"%"&amp;IF(CY54="",""," / "&amp;CY54&amp;"%"),IF(AND(N(CH54)&gt;=99.95,CY54&lt;&gt;"",N(CY54)&lt;100),"Pend. "&amp;CY54&amp;"%",""))))</f>
        <v/>
      </c>
      <c r="BC54" s="31" t="n">
        <f aca="false">IF(AND(ISNUMBER(E54),ISNUMBER(F54)),MAX(1,NETWORKDAYS.INTL(E54,F54,11)),0)</f>
        <v>0</v>
      </c>
      <c r="BD54" s="1" t="str">
        <f aca="false">IF(OR(NOT(AND(ISNUMBER(E54),ISNUMBER(F54))),$J$2=""),"",MIN(100,ROUND(SUM($G54:G54),1)))</f>
        <v/>
      </c>
      <c r="BE54" s="1" t="str">
        <f aca="false">IF(OR(NOT(AND(ISNUMBER(E54),ISNUMBER(F54))),$J$2=""),"",MIN(100,ROUND(SUM($G54:H54),1)))</f>
        <v/>
      </c>
      <c r="BF54" s="1" t="str">
        <f aca="false">IF(OR(NOT(AND(ISNUMBER(E54),ISNUMBER(F54))),$J$2=""),"",MIN(100,ROUND(SUM($G54:I54),1)))</f>
        <v/>
      </c>
      <c r="BG54" s="1" t="str">
        <f aca="false">IF(OR(NOT(AND(ISNUMBER(E54),ISNUMBER(F54))),$J$2=""),"",MIN(100,ROUND(SUM($G54:J54),1)))</f>
        <v/>
      </c>
      <c r="BH54" s="1" t="str">
        <f aca="false">IF(OR(NOT(AND(ISNUMBER(E54),ISNUMBER(F54))),$J$2=""),"",MIN(100,ROUND(SUM($G54:K54),1)))</f>
        <v/>
      </c>
      <c r="BI54" s="1" t="str">
        <f aca="false">IF(OR(NOT(AND(ISNUMBER(E54),ISNUMBER(F54))),$J$2=""),"",MIN(100,ROUND(SUM($G54:L54),1)))</f>
        <v/>
      </c>
      <c r="BJ54" s="1" t="str">
        <f aca="false">IF(OR(NOT(AND(ISNUMBER(E54),ISNUMBER(F54))),$J$2=""),"",MIN(100,ROUND(SUM($G54:M54),1)))</f>
        <v/>
      </c>
      <c r="BK54" s="1" t="str">
        <f aca="false">IF(OR(NOT(AND(ISNUMBER(E54),ISNUMBER(F54))),$J$2=""),"",MIN(100,ROUND(SUM($G54:N54),1)))</f>
        <v/>
      </c>
      <c r="BL54" s="1" t="str">
        <f aca="false">IF(OR(NOT(AND(ISNUMBER(E54),ISNUMBER(F54))),$J$2=""),"",MIN(100,ROUND(SUM($G54:O54),1)))</f>
        <v/>
      </c>
      <c r="BM54" s="1" t="str">
        <f aca="false">IF(OR(NOT(AND(ISNUMBER(E54),ISNUMBER(F54))),$J$2=""),"",MIN(100,ROUND(SUM($G54:P54),1)))</f>
        <v/>
      </c>
      <c r="BN54" s="1" t="str">
        <f aca="false">IF(OR(NOT(AND(ISNUMBER(E54),ISNUMBER(F54))),$J$2=""),"",MIN(100,ROUND(SUM($G54:P54),1)))</f>
        <v/>
      </c>
      <c r="BO54" s="1" t="str">
        <f aca="false">IF(OR(NOT(AND(ISNUMBER(E54),ISNUMBER(F54))),$J$2=""),"",MIN(100,ROUND(SUM($G54:P54),1)))</f>
        <v/>
      </c>
      <c r="BP54" s="1" t="str">
        <f aca="false">IF(OR(NOT(AND(ISNUMBER(E54),ISNUMBER(F54))),$J$2=""),"",MIN(100,ROUND(SUM($G54:P54),1)))</f>
        <v/>
      </c>
      <c r="BQ54" s="1" t="str">
        <f aca="false">IF(OR(NOT(AND(ISNUMBER(E54),ISNUMBER(F54))),$J$2=""),"",MIN(100,ROUND(SUM($G54:P54),1)))</f>
        <v/>
      </c>
      <c r="BR54" s="1" t="str">
        <f aca="false">IF(OR(NOT(AND(ISNUMBER(E54),ISNUMBER(F54))),$J$2=""),"",MIN(100,ROUND(SUM($G54:P54),1)))</f>
        <v/>
      </c>
      <c r="BS54" s="1" t="str">
        <f aca="false">IF(OR(NOT(AND(ISNUMBER(E54),ISNUMBER(F54))),$J$2=""),"",MIN(100,ROUND(SUM($G54:P54),1)))</f>
        <v/>
      </c>
      <c r="BT54" s="1" t="str">
        <f aca="false">IF(OR(NOT(AND(ISNUMBER(E54),ISNUMBER(F54))),$J$2=""),"",IF(Reprogramaciones!K$13&lt;Reprogramaciones!$T$15,0,IF(Reprogramaciones!K$14&gt;10,MIN(100,SUM($G54:$P54)),MIN(100,SUMPRODUCT((COLUMN($G54:$P54)-COLUMN($G54)+1&lt;Reprogramaciones!K$14)*$G54:$P54)+N(INDEX($G54:$P54,1,Reprogramaciones!K$14))*IF(Reprogramaciones!K$13&gt;=(Reprogramaciones!$T$15+7*(Reprogramaciones!K$14-1))+6,1,IF(MAX(0,NETWORKDAYS.INTL(MAX(E54,(Reprogramaciones!$T$15+7*(Reprogramaciones!K$14-1))),MIN(F54,(Reprogramaciones!$T$15+7*(Reprogramaciones!K$14-1))+6),11))=0,0,MAX(0,NETWORKDAYS.INTL(MAX(E54,(Reprogramaciones!$T$15+7*(Reprogramaciones!K$14-1))),MIN(F54,Reprogramaciones!K$13),11))/MAX(0,NETWORKDAYS.INTL(MAX(E54,(Reprogramaciones!$T$15+7*(Reprogramaciones!K$14-1))),MIN(F54,(Reprogramaciones!$T$15+7*(Reprogramaciones!K$14-1))+6),11))))))))</f>
        <v/>
      </c>
      <c r="BU54" s="1" t="str">
        <f aca="false">IF(OR(NOT(AND(ISNUMBER(E54),ISNUMBER(F54))),$J$2=""),"",IF(Reprogramaciones!L$13&lt;Reprogramaciones!$T$15,0,IF(Reprogramaciones!L$14&gt;10,MIN(100,SUM($G54:$P54)),MIN(100,SUMPRODUCT((COLUMN($G54:$P54)-COLUMN($G54)+1&lt;Reprogramaciones!L$14)*$G54:$P54)+N(INDEX($G54:$P54,1,Reprogramaciones!L$14))*IF(Reprogramaciones!L$13&gt;=(Reprogramaciones!$T$15+7*(Reprogramaciones!L$14-1))+6,1,IF(MAX(0,NETWORKDAYS.INTL(MAX(E54,(Reprogramaciones!$T$15+7*(Reprogramaciones!L$14-1))),MIN(F54,(Reprogramaciones!$T$15+7*(Reprogramaciones!L$14-1))+6),11))=0,0,MAX(0,NETWORKDAYS.INTL(MAX(E54,(Reprogramaciones!$T$15+7*(Reprogramaciones!L$14-1))),MIN(F54,Reprogramaciones!L$13),11))/MAX(0,NETWORKDAYS.INTL(MAX(E54,(Reprogramaciones!$T$15+7*(Reprogramaciones!L$14-1))),MIN(F54,(Reprogramaciones!$T$15+7*(Reprogramaciones!L$14-1))+6),11))))))))</f>
        <v/>
      </c>
      <c r="BV54" s="1" t="str">
        <f aca="false">IF(OR(NOT(AND(ISNUMBER(E54),ISNUMBER(F54))),$J$2=""),"",IF(Reprogramaciones!M$13&lt;Reprogramaciones!$T$15,0,IF(Reprogramaciones!M$14&gt;10,MIN(100,SUM($G54:$P54)),MIN(100,SUMPRODUCT((COLUMN($G54:$P54)-COLUMN($G54)+1&lt;Reprogramaciones!M$14)*$G54:$P54)+N(INDEX($G54:$P54,1,Reprogramaciones!M$14))*IF(Reprogramaciones!M$13&gt;=(Reprogramaciones!$T$15+7*(Reprogramaciones!M$14-1))+6,1,IF(MAX(0,NETWORKDAYS.INTL(MAX(E54,(Reprogramaciones!$T$15+7*(Reprogramaciones!M$14-1))),MIN(F54,(Reprogramaciones!$T$15+7*(Reprogramaciones!M$14-1))+6),11))=0,0,MAX(0,NETWORKDAYS.INTL(MAX(E54,(Reprogramaciones!$T$15+7*(Reprogramaciones!M$14-1))),MIN(F54,Reprogramaciones!M$13),11))/MAX(0,NETWORKDAYS.INTL(MAX(E54,(Reprogramaciones!$T$15+7*(Reprogramaciones!M$14-1))),MIN(F54,(Reprogramaciones!$T$15+7*(Reprogramaciones!M$14-1))+6),11))))))))</f>
        <v/>
      </c>
      <c r="BW54" s="1" t="str">
        <f aca="false">IF(OR(NOT(AND(ISNUMBER(E54),ISNUMBER(F54))),$J$2=""),"",IF(Reprogramaciones!N$13&lt;Reprogramaciones!$T$15,0,IF(Reprogramaciones!N$14&gt;10,MIN(100,SUM($G54:$P54)),MIN(100,SUMPRODUCT((COLUMN($G54:$P54)-COLUMN($G54)+1&lt;Reprogramaciones!N$14)*$G54:$P54)+N(INDEX($G54:$P54,1,Reprogramaciones!N$14))*IF(Reprogramaciones!N$13&gt;=(Reprogramaciones!$T$15+7*(Reprogramaciones!N$14-1))+6,1,IF(MAX(0,NETWORKDAYS.INTL(MAX(E54,(Reprogramaciones!$T$15+7*(Reprogramaciones!N$14-1))),MIN(F54,(Reprogramaciones!$T$15+7*(Reprogramaciones!N$14-1))+6),11))=0,0,MAX(0,NETWORKDAYS.INTL(MAX(E54,(Reprogramaciones!$T$15+7*(Reprogramaciones!N$14-1))),MIN(F54,Reprogramaciones!N$13),11))/MAX(0,NETWORKDAYS.INTL(MAX(E54,(Reprogramaciones!$T$15+7*(Reprogramaciones!N$14-1))),MIN(F54,(Reprogramaciones!$T$15+7*(Reprogramaciones!N$14-1))+6),11))))))))</f>
        <v/>
      </c>
      <c r="BX54" s="1" t="str">
        <f aca="false">IF(OR(NOT(AND(ISNUMBER(E54),ISNUMBER(F54))),$J$2=""),"",IF(Reprogramaciones!O$13&lt;Reprogramaciones!$T$15,0,IF(Reprogramaciones!O$14&gt;10,MIN(100,SUM($G54:$P54)),MIN(100,SUMPRODUCT((COLUMN($G54:$P54)-COLUMN($G54)+1&lt;Reprogramaciones!O$14)*$G54:$P54)+N(INDEX($G54:$P54,1,Reprogramaciones!O$14))*IF(Reprogramaciones!O$13&gt;=(Reprogramaciones!$T$15+7*(Reprogramaciones!O$14-1))+6,1,IF(MAX(0,NETWORKDAYS.INTL(MAX(E54,(Reprogramaciones!$T$15+7*(Reprogramaciones!O$14-1))),MIN(F54,(Reprogramaciones!$T$15+7*(Reprogramaciones!O$14-1))+6),11))=0,0,MAX(0,NETWORKDAYS.INTL(MAX(E54,(Reprogramaciones!$T$15+7*(Reprogramaciones!O$14-1))),MIN(F54,Reprogramaciones!O$13),11))/MAX(0,NETWORKDAYS.INTL(MAX(E54,(Reprogramaciones!$T$15+7*(Reprogramaciones!O$14-1))),MIN(F54,(Reprogramaciones!$T$15+7*(Reprogramaciones!O$14-1))+6),11))))))))</f>
        <v/>
      </c>
      <c r="BY54" s="1" t="str">
        <f aca="false">IF(OR(NOT(AND(ISNUMBER(E54),ISNUMBER(F54))),$J$2=""),"",IF(Reprogramaciones!P$13&lt;Reprogramaciones!$T$15,0,IF(Reprogramaciones!P$14&gt;10,MIN(100,SUM($G54:$P54)),MIN(100,SUMPRODUCT((COLUMN($G54:$P54)-COLUMN($G54)+1&lt;Reprogramaciones!P$14)*$G54:$P54)+N(INDEX($G54:$P54,1,Reprogramaciones!P$14))*IF(Reprogramaciones!P$13&gt;=(Reprogramaciones!$T$15+7*(Reprogramaciones!P$14-1))+6,1,IF(MAX(0,NETWORKDAYS.INTL(MAX(E54,(Reprogramaciones!$T$15+7*(Reprogramaciones!P$14-1))),MIN(F54,(Reprogramaciones!$T$15+7*(Reprogramaciones!P$14-1))+6),11))=0,0,MAX(0,NETWORKDAYS.INTL(MAX(E54,(Reprogramaciones!$T$15+7*(Reprogramaciones!P$14-1))),MIN(F54,Reprogramaciones!P$13),11))/MAX(0,NETWORKDAYS.INTL(MAX(E54,(Reprogramaciones!$T$15+7*(Reprogramaciones!P$14-1))),MIN(F54,(Reprogramaciones!$T$15+7*(Reprogramaciones!P$14-1))+6),11))))))))</f>
        <v/>
      </c>
      <c r="BZ54" s="1" t="str">
        <f aca="false">IF(OR(NOT(AND(ISNUMBER(E54),ISNUMBER(F54))),$J$2=""),"",IF(Reprogramaciones!Q$13&lt;Reprogramaciones!$T$15,0,IF(Reprogramaciones!Q$14&gt;10,MIN(100,SUM($G54:$P54)),MIN(100,SUMPRODUCT((COLUMN($G54:$P54)-COLUMN($G54)+1&lt;Reprogramaciones!Q$14)*$G54:$P54)+N(INDEX($G54:$P54,1,Reprogramaciones!Q$14))*IF(Reprogramaciones!Q$13&gt;=(Reprogramaciones!$T$15+7*(Reprogramaciones!Q$14-1))+6,1,IF(MAX(0,NETWORKDAYS.INTL(MAX(E54,(Reprogramaciones!$T$15+7*(Reprogramaciones!Q$14-1))),MIN(F54,(Reprogramaciones!$T$15+7*(Reprogramaciones!Q$14-1))+6),11))=0,0,MAX(0,NETWORKDAYS.INTL(MAX(E54,(Reprogramaciones!$T$15+7*(Reprogramaciones!Q$14-1))),MIN(F54,Reprogramaciones!Q$13),11))/MAX(0,NETWORKDAYS.INTL(MAX(E54,(Reprogramaciones!$T$15+7*(Reprogramaciones!Q$14-1))),MIN(F54,(Reprogramaciones!$T$15+7*(Reprogramaciones!Q$14-1))+6),11))))))))</f>
        <v/>
      </c>
      <c r="CA54" s="1" t="str">
        <f aca="false">IF(OR(NOT(AND(ISNUMBER(E54),ISNUMBER(F54))),$J$2=""),"",IF(Reprogramaciones!R$13&lt;Reprogramaciones!$T$15,0,IF(Reprogramaciones!R$14&gt;10,MIN(100,SUM($G54:$P54)),MIN(100,SUMPRODUCT((COLUMN($G54:$P54)-COLUMN($G54)+1&lt;Reprogramaciones!R$14)*$G54:$P54)+N(INDEX($G54:$P54,1,Reprogramaciones!R$14))*IF(Reprogramaciones!R$13&gt;=(Reprogramaciones!$T$15+7*(Reprogramaciones!R$14-1))+6,1,IF(MAX(0,NETWORKDAYS.INTL(MAX(E54,(Reprogramaciones!$T$15+7*(Reprogramaciones!R$14-1))),MIN(F54,(Reprogramaciones!$T$15+7*(Reprogramaciones!R$14-1))+6),11))=0,0,MAX(0,NETWORKDAYS.INTL(MAX(E54,(Reprogramaciones!$T$15+7*(Reprogramaciones!R$14-1))),MIN(F54,Reprogramaciones!R$13),11))/MAX(0,NETWORKDAYS.INTL(MAX(E54,(Reprogramaciones!$T$15+7*(Reprogramaciones!R$14-1))),MIN(F54,(Reprogramaciones!$T$15+7*(Reprogramaciones!R$14-1))+6),11))))))))</f>
        <v/>
      </c>
      <c r="CB54" s="1" t="str">
        <f aca="false">IF(OR(NOT(AND(ISNUMBER(E54),ISNUMBER(F54))),$J$2=""),"",IF(Reprogramaciones!S$13&lt;Reprogramaciones!$T$15,0,IF(Reprogramaciones!S$14&gt;10,MIN(100,SUM($G54:$P54)),MIN(100,SUMPRODUCT((COLUMN($G54:$P54)-COLUMN($G54)+1&lt;Reprogramaciones!S$14)*$G54:$P54)+N(INDEX($G54:$P54,1,Reprogramaciones!S$14))*IF(Reprogramaciones!S$13&gt;=(Reprogramaciones!$T$15+7*(Reprogramaciones!S$14-1))+6,1,IF(MAX(0,NETWORKDAYS.INTL(MAX(E54,(Reprogramaciones!$T$15+7*(Reprogramaciones!S$14-1))),MIN(F54,(Reprogramaciones!$T$15+7*(Reprogramaciones!S$14-1))+6),11))=0,0,MAX(0,NETWORKDAYS.INTL(MAX(E54,(Reprogramaciones!$T$15+7*(Reprogramaciones!S$14-1))),MIN(F54,Reprogramaciones!S$13),11))/MAX(0,NETWORKDAYS.INTL(MAX(E54,(Reprogramaciones!$T$15+7*(Reprogramaciones!S$14-1))),MIN(F54,(Reprogramaciones!$T$15+7*(Reprogramaciones!S$14-1))+6),11))))))))</f>
        <v/>
      </c>
      <c r="CC54" s="1" t="str">
        <f aca="false">IF(OR(NOT(AND(ISNUMBER(E54),ISNUMBER(F54))),$J$2=""),"",IF(Reprogramaciones!T$13&lt;Reprogramaciones!$T$15,0,IF(Reprogramaciones!T$14&gt;10,MIN(100,SUM($G54:$P54)),MIN(100,SUMPRODUCT((COLUMN($G54:$P54)-COLUMN($G54)+1&lt;Reprogramaciones!T$14)*$G54:$P54)+N(INDEX($G54:$P54,1,Reprogramaciones!T$14))*IF(Reprogramaciones!T$13&gt;=(Reprogramaciones!$T$15+7*(Reprogramaciones!T$14-1))+6,1,IF(MAX(0,NETWORKDAYS.INTL(MAX(E54,(Reprogramaciones!$T$15+7*(Reprogramaciones!T$14-1))),MIN(F54,(Reprogramaciones!$T$15+7*(Reprogramaciones!T$14-1))+6),11))=0,0,MAX(0,NETWORKDAYS.INTL(MAX(E54,(Reprogramaciones!$T$15+7*(Reprogramaciones!T$14-1))),MIN(F54,Reprogramaciones!T$13),11))/MAX(0,NETWORKDAYS.INTL(MAX(E54,(Reprogramaciones!$T$15+7*(Reprogramaciones!T$14-1))),MIN(F54,(Reprogramaciones!$T$15+7*(Reprogramaciones!T$14-1))+6),11))))))))</f>
        <v/>
      </c>
      <c r="CD54" s="1" t="str">
        <f aca="false">IF(OR(NOT(AND(ISNUMBER(E54),ISNUMBER(F54))),$J$2=""),"",IF(Reprogramaciones!U$13&lt;Reprogramaciones!$T$15,0,IF(Reprogramaciones!U$14&gt;10,MIN(100,SUM($G54:$P54)),MIN(100,SUMPRODUCT((COLUMN($G54:$P54)-COLUMN($G54)+1&lt;Reprogramaciones!U$14)*$G54:$P54)+N(INDEX($G54:$P54,1,Reprogramaciones!U$14))*IF(Reprogramaciones!U$13&gt;=(Reprogramaciones!$T$15+7*(Reprogramaciones!U$14-1))+6,1,IF(MAX(0,NETWORKDAYS.INTL(MAX(E54,(Reprogramaciones!$T$15+7*(Reprogramaciones!U$14-1))),MIN(F54,(Reprogramaciones!$T$15+7*(Reprogramaciones!U$14-1))+6),11))=0,0,MAX(0,NETWORKDAYS.INTL(MAX(E54,(Reprogramaciones!$T$15+7*(Reprogramaciones!U$14-1))),MIN(F54,Reprogramaciones!U$13),11))/MAX(0,NETWORKDAYS.INTL(MAX(E54,(Reprogramaciones!$T$15+7*(Reprogramaciones!U$14-1))),MIN(F54,(Reprogramaciones!$T$15+7*(Reprogramaciones!U$14-1))+6),11))))))))</f>
        <v/>
      </c>
      <c r="CE54" s="1" t="str">
        <f aca="false">IF(OR(NOT(AND(ISNUMBER(E54),ISNUMBER(F54))),$J$2=""),"",IF(Reprogramaciones!V$13&lt;Reprogramaciones!$T$15,0,IF(Reprogramaciones!V$14&gt;10,MIN(100,SUM($G54:$P54)),MIN(100,SUMPRODUCT((COLUMN($G54:$P54)-COLUMN($G54)+1&lt;Reprogramaciones!V$14)*$G54:$P54)+N(INDEX($G54:$P54,1,Reprogramaciones!V$14))*IF(Reprogramaciones!V$13&gt;=(Reprogramaciones!$T$15+7*(Reprogramaciones!V$14-1))+6,1,IF(MAX(0,NETWORKDAYS.INTL(MAX(E54,(Reprogramaciones!$T$15+7*(Reprogramaciones!V$14-1))),MIN(F54,(Reprogramaciones!$T$15+7*(Reprogramaciones!V$14-1))+6),11))=0,0,MAX(0,NETWORKDAYS.INTL(MAX(E54,(Reprogramaciones!$T$15+7*(Reprogramaciones!V$14-1))),MIN(F54,Reprogramaciones!V$13),11))/MAX(0,NETWORKDAYS.INTL(MAX(E54,(Reprogramaciones!$T$15+7*(Reprogramaciones!V$14-1))),MIN(F54,(Reprogramaciones!$T$15+7*(Reprogramaciones!V$14-1))+6),11))))))))</f>
        <v/>
      </c>
      <c r="CF54" s="1" t="str">
        <f aca="false">IF(OR(NOT(AND(ISNUMBER(E54),ISNUMBER(F54))),$J$2=""),"",IF(Reprogramaciones!W$13&lt;Reprogramaciones!$T$15,0,IF(Reprogramaciones!W$14&gt;10,MIN(100,SUM($G54:$P54)),MIN(100,SUMPRODUCT((COLUMN($G54:$P54)-COLUMN($G54)+1&lt;Reprogramaciones!W$14)*$G54:$P54)+N(INDEX($G54:$P54,1,Reprogramaciones!W$14))*IF(Reprogramaciones!W$13&gt;=(Reprogramaciones!$T$15+7*(Reprogramaciones!W$14-1))+6,1,IF(MAX(0,NETWORKDAYS.INTL(MAX(E54,(Reprogramaciones!$T$15+7*(Reprogramaciones!W$14-1))),MIN(F54,(Reprogramaciones!$T$15+7*(Reprogramaciones!W$14-1))+6),11))=0,0,MAX(0,NETWORKDAYS.INTL(MAX(E54,(Reprogramaciones!$T$15+7*(Reprogramaciones!W$14-1))),MIN(F54,Reprogramaciones!W$13),11))/MAX(0,NETWORKDAYS.INTL(MAX(E54,(Reprogramaciones!$T$15+7*(Reprogramaciones!W$14-1))),MIN(F54,(Reprogramaciones!$T$15+7*(Reprogramaciones!W$14-1))+6),11))))))))</f>
        <v/>
      </c>
      <c r="CG54" s="1" t="str">
        <f aca="false">IF(OR(NOT(AND(ISNUMBER(E54),ISNUMBER(F54))),$J$2=""),"",IF(Reprogramaciones!X$13&lt;Reprogramaciones!$T$15,0,IF(Reprogramaciones!X$14&gt;10,MIN(100,SUM($G54:$P54)),MIN(100,SUMPRODUCT((COLUMN($G54:$P54)-COLUMN($G54)+1&lt;Reprogramaciones!X$14)*$G54:$P54)+N(INDEX($G54:$P54,1,Reprogramaciones!X$14))*IF(Reprogramaciones!X$13&gt;=(Reprogramaciones!$T$15+7*(Reprogramaciones!X$14-1))+6,1,IF(MAX(0,NETWORKDAYS.INTL(MAX(E54,(Reprogramaciones!$T$15+7*(Reprogramaciones!X$14-1))),MIN(F54,(Reprogramaciones!$T$15+7*(Reprogramaciones!X$14-1))+6),11))=0,0,MAX(0,NETWORKDAYS.INTL(MAX(E54,(Reprogramaciones!$T$15+7*(Reprogramaciones!X$14-1))),MIN(F54,Reprogramaciones!X$13),11))/MAX(0,NETWORKDAYS.INTL(MAX(E54,(Reprogramaciones!$T$15+7*(Reprogramaciones!X$14-1))),MIN(F54,(Reprogramaciones!$T$15+7*(Reprogramaciones!X$14-1))+6),11))))))))</f>
        <v/>
      </c>
      <c r="CH54" s="1" t="str">
        <f aca="false">IF(OR(NOT(AND(ISNUMBER(E54),ISNUMBER(F54))),$J$2=""),"",IF(Reprogramaciones!Y$13&lt;Reprogramaciones!$T$15,0,IF(Reprogramaciones!Y$14&gt;10,MIN(100,SUM($G54:$P54)),MIN(100,SUMPRODUCT((COLUMN($G54:$P54)-COLUMN($G54)+1&lt;Reprogramaciones!Y$14)*$G54:$P54)+N(INDEX($G54:$P54,1,Reprogramaciones!Y$14))*IF(Reprogramaciones!Y$13&gt;=(Reprogramaciones!$T$15+7*(Reprogramaciones!Y$14-1))+6,1,IF(MAX(0,NETWORKDAYS.INTL(MAX(E54,(Reprogramaciones!$T$15+7*(Reprogramaciones!Y$14-1))),MIN(F54,(Reprogramaciones!$T$15+7*(Reprogramaciones!Y$14-1))+6),11))=0,0,MAX(0,NETWORKDAYS.INTL(MAX(E54,(Reprogramaciones!$T$15+7*(Reprogramaciones!Y$14-1))),MIN(F54,Reprogramaciones!Y$13),11))/MAX(0,NETWORKDAYS.INTL(MAX(E54,(Reprogramaciones!$T$15+7*(Reprogramaciones!Y$14-1))),MIN(F54,(Reprogramaciones!$T$15+7*(Reprogramaciones!Y$14-1))+6),11))))))))</f>
        <v/>
      </c>
      <c r="CI54" s="1" t="str">
        <f aca="false">IF(OR(NOT(AND(ISNUMBER(E54),ISNUMBER(F54))),$J$2=""),"",IF(Reprogramaciones!Z$13&lt;Reprogramaciones!$T$15,0,IF(Reprogramaciones!Z$14&gt;10,MIN(100,SUM($G54:$P54)),MIN(100,SUMPRODUCT((COLUMN($G54:$P54)-COLUMN($G54)+1&lt;Reprogramaciones!Z$14)*$G54:$P54)+N(INDEX($G54:$P54,1,Reprogramaciones!Z$14))*IF(Reprogramaciones!Z$13&gt;=(Reprogramaciones!$T$15+7*(Reprogramaciones!Z$14-1))+6,1,IF(MAX(0,NETWORKDAYS.INTL(MAX(E54,(Reprogramaciones!$T$15+7*(Reprogramaciones!Z$14-1))),MIN(F54,(Reprogramaciones!$T$15+7*(Reprogramaciones!Z$14-1))+6),11))=0,0,MAX(0,NETWORKDAYS.INTL(MAX(E54,(Reprogramaciones!$T$15+7*(Reprogramaciones!Z$14-1))),MIN(F54,Reprogramaciones!Z$13),11))/MAX(0,NETWORKDAYS.INTL(MAX(E54,(Reprogramaciones!$T$15+7*(Reprogramaciones!Z$14-1))),MIN(F54,(Reprogramaciones!$T$15+7*(Reprogramaciones!Z$14-1))+6),11))))))))</f>
        <v/>
      </c>
      <c r="CJ54" s="1" t="str">
        <f aca="false">IF(OR(OR(NOT(AND(ISNUMBER(E54),ISNUMBER(F54))),$J$2=""),1&gt;Reprogramaciones!$K$16),"",IF(ROUND(SUM($Q54:Q54),1)&gt;=99.5,100,MIN(100,ROUND(SUM($Q54:Q54),1))))</f>
        <v/>
      </c>
      <c r="CK54" s="1" t="str">
        <f aca="false">IF(OR(OR(NOT(AND(ISNUMBER(E54),ISNUMBER(F54))),$J$2=""),2&gt;Reprogramaciones!$K$16),"",IF(ROUND(SUM($Q54:R54),1)&gt;=99.5,100,MIN(100,ROUND(SUM($Q54:R54),1))))</f>
        <v/>
      </c>
      <c r="CL54" s="1" t="str">
        <f aca="false">IF(OR(OR(NOT(AND(ISNUMBER(E54),ISNUMBER(F54))),$J$2=""),3&gt;Reprogramaciones!$K$16),"",IF(ROUND(SUM($Q54:S54),1)&gt;=99.5,100,MIN(100,ROUND(SUM($Q54:S54),1))))</f>
        <v/>
      </c>
      <c r="CM54" s="1" t="str">
        <f aca="false">IF(OR(OR(NOT(AND(ISNUMBER(E54),ISNUMBER(F54))),$J$2=""),4&gt;Reprogramaciones!$K$16),"",IF(ROUND(SUM($Q54:T54),1)&gt;=99.5,100,MIN(100,ROUND(SUM($Q54:T54),1))))</f>
        <v/>
      </c>
      <c r="CN54" s="1" t="str">
        <f aca="false">IF(OR(OR(NOT(AND(ISNUMBER(E54),ISNUMBER(F54))),$J$2=""),5&gt;Reprogramaciones!$K$16),"",IF(ROUND(SUM($Q54:U54),1)&gt;=99.5,100,MIN(100,ROUND(SUM($Q54:U54),1))))</f>
        <v/>
      </c>
      <c r="CO54" s="1" t="str">
        <f aca="false">IF(OR(OR(NOT(AND(ISNUMBER(E54),ISNUMBER(F54))),$J$2=""),6&gt;Reprogramaciones!$K$16),"",IF(ROUND(SUM($Q54:V54),1)&gt;=99.5,100,MIN(100,ROUND(SUM($Q54:V54),1))))</f>
        <v/>
      </c>
      <c r="CP54" s="1" t="str">
        <f aca="false">IF(OR(OR(NOT(AND(ISNUMBER(E54),ISNUMBER(F54))),$J$2=""),7&gt;Reprogramaciones!$K$16),"",IF(ROUND(SUM($Q54:W54),1)&gt;=99.5,100,MIN(100,ROUND(SUM($Q54:W54),1))))</f>
        <v/>
      </c>
      <c r="CQ54" s="1" t="str">
        <f aca="false">IF(OR(OR(NOT(AND(ISNUMBER(E54),ISNUMBER(F54))),$J$2=""),8&gt;Reprogramaciones!$K$16),"",IF(ROUND(SUM($Q54:X54),1)&gt;=99.5,100,MIN(100,ROUND(SUM($Q54:X54),1))))</f>
        <v/>
      </c>
      <c r="CR54" s="1" t="str">
        <f aca="false">IF(OR(OR(NOT(AND(ISNUMBER(E54),ISNUMBER(F54))),$J$2=""),9&gt;Reprogramaciones!$K$16),"",IF(ROUND(SUM($Q54:Y54),1)&gt;=99.5,100,MIN(100,ROUND(SUM($Q54:Y54),1))))</f>
        <v/>
      </c>
      <c r="CS54" s="1" t="str">
        <f aca="false">IF(OR(OR(NOT(AND(ISNUMBER(E54),ISNUMBER(F54))),$J$2=""),10&gt;Reprogramaciones!$K$16),"",IF(ROUND(SUM($Q54:Z54),1)&gt;=99.5,100,MIN(100,ROUND(SUM($Q54:Z54),1))))</f>
        <v/>
      </c>
      <c r="CT54" s="1" t="str">
        <f aca="false">IF(OR(OR(NOT(AND(ISNUMBER(E54),ISNUMBER(F54))),$J$2=""),11&gt;Reprogramaciones!$K$16),"",IF(ROUND(SUM($Q54:AA54),1)&gt;=99.5,100,MIN(100,ROUND(SUM($Q54:AA54),1))))</f>
        <v/>
      </c>
      <c r="CU54" s="1" t="str">
        <f aca="false">IF(OR(OR(NOT(AND(ISNUMBER(E54),ISNUMBER(F54))),$J$2=""),12&gt;Reprogramaciones!$K$16),"",IF(ROUND(SUM($Q54:AB54),1)&gt;=99.5,100,MIN(100,ROUND(SUM($Q54:AB54),1))))</f>
        <v/>
      </c>
      <c r="CV54" s="1" t="str">
        <f aca="false">IF(OR(OR(NOT(AND(ISNUMBER(E54),ISNUMBER(F54))),$J$2=""),13&gt;Reprogramaciones!$K$16),"",IF(ROUND(SUM($Q54:AC54),1)&gt;=99.5,100,MIN(100,ROUND(SUM($Q54:AC54),1))))</f>
        <v/>
      </c>
      <c r="CW54" s="1" t="str">
        <f aca="false">IF(OR(OR(NOT(AND(ISNUMBER(E54),ISNUMBER(F54))),$J$2=""),14&gt;Reprogramaciones!$K$16),"",IF(ROUND(SUM($Q54:AD54),1)&gt;=99.5,100,MIN(100,ROUND(SUM($Q54:AD54),1))))</f>
        <v/>
      </c>
      <c r="CX54" s="1" t="str">
        <f aca="false">IF(OR(OR(NOT(AND(ISNUMBER(E54),ISNUMBER(F54))),$J$2=""),15&gt;Reprogramaciones!$K$16),"",IF(ROUND(SUM($Q54:AE54),1)&gt;=99.5,100,MIN(100,ROUND(SUM($Q54:AE54),1))))</f>
        <v/>
      </c>
      <c r="CY54" s="1" t="str">
        <f aca="false">IF(OR(OR(NOT(AND(ISNUMBER(E54),ISNUMBER(F54))),$J$2=""),16&gt;Reprogramaciones!$K$16),"",IF(ROUND(SUM($Q54:AF54),1)&gt;=99.5,100,MIN(100,ROUND(SUM($Q54:AF54),1))))</f>
        <v/>
      </c>
      <c r="CZ54" s="1" t="str">
        <f aca="false">IF(D54&lt;&gt;"",D54,IF(B54&lt;&gt;"","Contractual",CZ53))</f>
        <v>Contractual</v>
      </c>
      <c r="DA54" s="1" t="str">
        <f aca="false">IF(OR(NOT(AND(ISNUMBER(E54),ISNUMBER(F54))),$J$2=""),"",IF(Reprogramaciones!$Q$15&lt;Reprogramaciones!$T$15,0,IF(Reprogramaciones!$S$15&gt;10,MIN(100,SUM($G54:$P54)),MIN(100,SUMPRODUCT((COLUMN($G54:$P54)-COLUMN($G54)+1&lt;Reprogramaciones!$S$15)*$G54:$P54)+N(INDEX($G54:$P54,1,Reprogramaciones!$S$15))*IF(Reprogramaciones!$Q$15&gt;=(Reprogramaciones!$T$15+7*(Reprogramaciones!$S$15-1))+6,1,IF(MAX(0,NETWORKDAYS.INTL(MAX(E54,(Reprogramaciones!$T$15+7*(Reprogramaciones!$S$15-1))),MIN(F54,(Reprogramaciones!$T$15+7*(Reprogramaciones!$S$15-1))+6),11))=0,0,MAX(0,NETWORKDAYS.INTL(MAX(E54,(Reprogramaciones!$T$15+7*(Reprogramaciones!$S$15-1))),MIN(F54,Reprogramaciones!$Q$15),11))/MAX(0,NETWORKDAYS.INTL(MAX(E54,(Reprogramaciones!$T$15+7*(Reprogramaciones!$S$15-1))),MIN(F54,(Reprogramaciones!$T$15+7*(Reprogramaciones!$S$15-1))+6),11))))))))</f>
        <v/>
      </c>
    </row>
    <row r="55" customFormat="false" ht="15" hidden="false" customHeight="false" outlineLevel="0" collapsed="false">
      <c r="A55" s="32"/>
      <c r="B55" s="33"/>
      <c r="C55" s="33"/>
      <c r="D55" s="34"/>
      <c r="E55" s="35"/>
      <c r="F55" s="35"/>
      <c r="G55" s="36" t="str">
        <f aca="false">IF(OR(NOT(AND(ISNUMBER(E55),ISNUMBER(F55))),$J$2=""),"",IF(Reprogramaciones!K$9&lt;E55,0,IF(NETWORKDAYS.INTL(E55,F55,11)=0,IF(Reprogramaciones!K$9&gt;=F55,100,0),ROUND(NETWORKDAYS.INTL(E55,MIN(F55,Reprogramaciones!K$9),11)/NETWORKDAYS.INTL(E55,F55,11)*100,1)))-0)</f>
        <v/>
      </c>
      <c r="H55" s="36" t="str">
        <f aca="false">IF(OR(NOT(AND(ISNUMBER(E55),ISNUMBER(F55))),$J$2=""),"",IF(Reprogramaciones!L$9&lt;E55,0,IF(NETWORKDAYS.INTL(E55,F55,11)=0,IF(Reprogramaciones!L$9&gt;=F55,100,0),ROUND(NETWORKDAYS.INTL(E55,MIN(F55,Reprogramaciones!L$9),11)/NETWORKDAYS.INTL(E55,F55,11)*100,1)))-IF(Reprogramaciones!K$9&lt;E55,0,IF(NETWORKDAYS.INTL(E55,F55,11)=0,IF(Reprogramaciones!K$9&gt;=F55,100,0),ROUND(NETWORKDAYS.INTL(E55,MIN(F55,Reprogramaciones!K$9),11)/NETWORKDAYS.INTL(E55,F55,11)*100,1))))</f>
        <v/>
      </c>
      <c r="I55" s="36" t="str">
        <f aca="false">IF(OR(NOT(AND(ISNUMBER(E55),ISNUMBER(F55))),$J$2=""),"",IF(Reprogramaciones!M$9&lt;E55,0,IF(NETWORKDAYS.INTL(E55,F55,11)=0,IF(Reprogramaciones!M$9&gt;=F55,100,0),ROUND(NETWORKDAYS.INTL(E55,MIN(F55,Reprogramaciones!M$9),11)/NETWORKDAYS.INTL(E55,F55,11)*100,1)))-IF(Reprogramaciones!L$9&lt;E55,0,IF(NETWORKDAYS.INTL(E55,F55,11)=0,IF(Reprogramaciones!L$9&gt;=F55,100,0),ROUND(NETWORKDAYS.INTL(E55,MIN(F55,Reprogramaciones!L$9),11)/NETWORKDAYS.INTL(E55,F55,11)*100,1))))</f>
        <v/>
      </c>
      <c r="J55" s="36" t="str">
        <f aca="false">IF(OR(NOT(AND(ISNUMBER(E55),ISNUMBER(F55))),$J$2=""),"",IF(Reprogramaciones!N$9&lt;E55,0,IF(NETWORKDAYS.INTL(E55,F55,11)=0,IF(Reprogramaciones!N$9&gt;=F55,100,0),ROUND(NETWORKDAYS.INTL(E55,MIN(F55,Reprogramaciones!N$9),11)/NETWORKDAYS.INTL(E55,F55,11)*100,1)))-IF(Reprogramaciones!M$9&lt;E55,0,IF(NETWORKDAYS.INTL(E55,F55,11)=0,IF(Reprogramaciones!M$9&gt;=F55,100,0),ROUND(NETWORKDAYS.INTL(E55,MIN(F55,Reprogramaciones!M$9),11)/NETWORKDAYS.INTL(E55,F55,11)*100,1))))</f>
        <v/>
      </c>
      <c r="K55" s="36" t="str">
        <f aca="false">IF(OR(NOT(AND(ISNUMBER(E55),ISNUMBER(F55))),$J$2=""),"",IF(Reprogramaciones!O$9&lt;E55,0,IF(NETWORKDAYS.INTL(E55,F55,11)=0,IF(Reprogramaciones!O$9&gt;=F55,100,0),ROUND(NETWORKDAYS.INTL(E55,MIN(F55,Reprogramaciones!O$9),11)/NETWORKDAYS.INTL(E55,F55,11)*100,1)))-IF(Reprogramaciones!N$9&lt;E55,0,IF(NETWORKDAYS.INTL(E55,F55,11)=0,IF(Reprogramaciones!N$9&gt;=F55,100,0),ROUND(NETWORKDAYS.INTL(E55,MIN(F55,Reprogramaciones!N$9),11)/NETWORKDAYS.INTL(E55,F55,11)*100,1))))</f>
        <v/>
      </c>
      <c r="L55" s="36" t="str">
        <f aca="false">IF(OR(NOT(AND(ISNUMBER(E55),ISNUMBER(F55))),$J$2=""),"",IF(Reprogramaciones!P$9&lt;E55,0,IF(NETWORKDAYS.INTL(E55,F55,11)=0,IF(Reprogramaciones!P$9&gt;=F55,100,0),ROUND(NETWORKDAYS.INTL(E55,MIN(F55,Reprogramaciones!P$9),11)/NETWORKDAYS.INTL(E55,F55,11)*100,1)))-IF(Reprogramaciones!O$9&lt;E55,0,IF(NETWORKDAYS.INTL(E55,F55,11)=0,IF(Reprogramaciones!O$9&gt;=F55,100,0),ROUND(NETWORKDAYS.INTL(E55,MIN(F55,Reprogramaciones!O$9),11)/NETWORKDAYS.INTL(E55,F55,11)*100,1))))</f>
        <v/>
      </c>
      <c r="M55" s="36" t="str">
        <f aca="false">IF(OR(NOT(AND(ISNUMBER(E55),ISNUMBER(F55))),$J$2=""),"",IF(Reprogramaciones!Q$9&lt;E55,0,IF(NETWORKDAYS.INTL(E55,F55,11)=0,IF(Reprogramaciones!Q$9&gt;=F55,100,0),ROUND(NETWORKDAYS.INTL(E55,MIN(F55,Reprogramaciones!Q$9),11)/NETWORKDAYS.INTL(E55,F55,11)*100,1)))-IF(Reprogramaciones!P$9&lt;E55,0,IF(NETWORKDAYS.INTL(E55,F55,11)=0,IF(Reprogramaciones!P$9&gt;=F55,100,0),ROUND(NETWORKDAYS.INTL(E55,MIN(F55,Reprogramaciones!P$9),11)/NETWORKDAYS.INTL(E55,F55,11)*100,1))))</f>
        <v/>
      </c>
      <c r="N55" s="36" t="str">
        <f aca="false">IF(OR(NOT(AND(ISNUMBER(E55),ISNUMBER(F55))),$J$2=""),"",IF(Reprogramaciones!R$9&lt;E55,0,IF(NETWORKDAYS.INTL(E55,F55,11)=0,IF(Reprogramaciones!R$9&gt;=F55,100,0),ROUND(NETWORKDAYS.INTL(E55,MIN(F55,Reprogramaciones!R$9),11)/NETWORKDAYS.INTL(E55,F55,11)*100,1)))-IF(Reprogramaciones!Q$9&lt;E55,0,IF(NETWORKDAYS.INTL(E55,F55,11)=0,IF(Reprogramaciones!Q$9&gt;=F55,100,0),ROUND(NETWORKDAYS.INTL(E55,MIN(F55,Reprogramaciones!Q$9),11)/NETWORKDAYS.INTL(E55,F55,11)*100,1))))</f>
        <v/>
      </c>
      <c r="O55" s="36" t="str">
        <f aca="false">IF(OR(NOT(AND(ISNUMBER(E55),ISNUMBER(F55))),$J$2=""),"",IF(Reprogramaciones!S$9&lt;E55,0,IF(NETWORKDAYS.INTL(E55,F55,11)=0,IF(Reprogramaciones!S$9&gt;=F55,100,0),ROUND(NETWORKDAYS.INTL(E55,MIN(F55,Reprogramaciones!S$9),11)/NETWORKDAYS.INTL(E55,F55,11)*100,1)))-IF(Reprogramaciones!R$9&lt;E55,0,IF(NETWORKDAYS.INTL(E55,F55,11)=0,IF(Reprogramaciones!R$9&gt;=F55,100,0),ROUND(NETWORKDAYS.INTL(E55,MIN(F55,Reprogramaciones!R$9),11)/NETWORKDAYS.INTL(E55,F55,11)*100,1))))</f>
        <v/>
      </c>
      <c r="P55" s="36" t="str">
        <f aca="false">IF(OR(NOT(AND(ISNUMBER(E55),ISNUMBER(F55))),$J$2=""),"",IF(Reprogramaciones!T$9&lt;E55,0,IF(NETWORKDAYS.INTL(E55,F55,11)=0,IF(Reprogramaciones!T$9&gt;=F55,100,0),ROUND(NETWORKDAYS.INTL(E55,MIN(F55,Reprogramaciones!T$9),11)/NETWORKDAYS.INTL(E55,F55,11)*100,1)))-IF(Reprogramaciones!S$9&lt;E55,0,IF(NETWORKDAYS.INTL(E55,F55,11)=0,IF(Reprogramaciones!S$9&gt;=F55,100,0),ROUND(NETWORKDAYS.INTL(E55,MIN(F55,Reprogramaciones!S$9),11)/NETWORKDAYS.INTL(E55,F55,11)*100,1))))</f>
        <v/>
      </c>
      <c r="Q55" s="37"/>
      <c r="R55" s="37"/>
      <c r="S55" s="37"/>
      <c r="T55" s="37"/>
      <c r="U55" s="37"/>
      <c r="V55" s="37"/>
      <c r="W55" s="37"/>
      <c r="X55" s="37"/>
      <c r="Y55" s="37"/>
      <c r="Z55" s="37"/>
      <c r="AA55" s="37"/>
      <c r="AB55" s="37"/>
      <c r="AC55" s="37"/>
      <c r="AD55" s="37"/>
      <c r="AE55" s="37"/>
      <c r="AF55" s="37"/>
      <c r="AG55" s="38" t="str">
        <f aca="false">IF(AND(ISNUMBER(E55),ISNUMBER(F55)),NETWORKDAYS.INTL(E55,F55,11),"")</f>
        <v/>
      </c>
      <c r="AH55" s="38" t="str">
        <f aca="false">IF(OR(NOT(AND(ISNUMBER(E55),ISNUMBER(F55))),$J$2=""),"",IF(Reprogramaciones!$P$15&lt;Reprogramaciones!$T$15,0,IF(Reprogramaciones!$R$15&gt;10,MIN(100,SUM($G55:$P55)),MIN(100,SUMPRODUCT((COLUMN($G55:$P55)-COLUMN($G55)+1&lt;Reprogramaciones!$R$15)*$G55:$P55)+N(INDEX($G55:$P55,1,Reprogramaciones!$R$15))*IF(Reprogramaciones!$P$15&gt;=(Reprogramaciones!$T$15+7*(Reprogramaciones!$R$15-1))+6,1,IF(MAX(0,NETWORKDAYS.INTL(MAX(E55,(Reprogramaciones!$T$15+7*(Reprogramaciones!$R$15-1))),MIN(F55,(Reprogramaciones!$T$15+7*(Reprogramaciones!$R$15-1))+6),11))=0,0,MAX(0,NETWORKDAYS.INTL(MAX(E55,(Reprogramaciones!$T$15+7*(Reprogramaciones!$R$15-1))),MIN(F55,Reprogramaciones!$P$15),11))/MAX(0,NETWORKDAYS.INTL(MAX(E55,(Reprogramaciones!$T$15+7*(Reprogramaciones!$R$15-1))),MIN(F55,(Reprogramaciones!$T$15+7*(Reprogramaciones!$R$15-1))+6),11))))))))</f>
        <v/>
      </c>
      <c r="AI55" s="38" t="str">
        <f aca="false">IF(COUNT($Q55:$AF55)=0,"",IF(ROUND(SUM($Q55:$AF55),1)&gt;=99.5,100,MIN(100,ROUND(SUM($Q55:$AF55),1))))</f>
        <v/>
      </c>
      <c r="AJ55" s="38" t="str">
        <f aca="false">IF(OR(AH55="",AI55=""),"",AI55-AH55)</f>
        <v/>
      </c>
      <c r="AK55" s="39" t="str">
        <f aca="true">IF(AH55="","",IF(OR(Ficha!$C$10="Suspendida",Ficha!$C$10="Cancelada"),Ficha!$C$10,IF(AND(AI55&lt;&gt;"",N(AI55)&gt;=100),"Completada",IF(AND(E55&gt;TODAY(),N(AI55)=0),"Por iniciar",IF(N(AI55)+0.5&lt;AH55,"Retrasada",IF(N(AI55)+0.5&lt;DA55,IF(Reprogramaciones!$K$15&gt;0,"Al día · Sem "&amp;Reprogramaciones!$K$15&amp;" en curso","Al día · en curso"),"A tiempo"))))))</f>
        <v/>
      </c>
      <c r="AL55" s="39" t="str">
        <f aca="true">IF(AND(A55="",AND(B55="",C55="",E55="",F55="",COUNT(Q55:AF55)=0)),"",IF(AND(B55="",C55="",E55="",F55="",COUNT(Q55:AF55)=0),"Falta la partida o subpartida",IF(AND(A55&lt;&gt;"",COUNTIF($A$6:$A$305,A55)&gt;1),"Ítem repetido",IF(AND(C55="",E55="",F55="",COUNT(Q55:AF55)=0),"Título de partida",IF(OR(E55="",F55=""),"Faltan fechas",IF(OR(ISTEXT(E55),ISTEXT(F55)),"Fecha escrita como texto: usa dd/mm/aaaa",IF(F55&lt;E55,"Fin antes del inicio",IF(IF($J$2="",FALSE(),OR(E55&lt;$J$2,F55&gt;Reprogramaciones!$T$15+69)),"Fuera de las 10 semanas",IF(ABS(SUM(G55:P55)-100)&gt;0.5,"La meta no suma 100%",IF(ROUND(SUM(Q55:AF55),1)&gt;100.5,"El avance pasa de 100%",IF(MIN(Q55:AF55)&lt;0,"Avance negativo",IF(COUNTA(Q55:AF55)&gt;COUNT(Q55:AF55),"Avance escrito como texto",IF(SUMPRODUCT((Q55:AF55&gt;0)*(Q55:AF55&lt;1))&gt;0,"Avance menor a 1: escribe 50, no 50%",IF(SUMPRODUCT(ISNUMBER(Q55:AF55)*(Reprogramaciones!$K$8:$Z$8&gt;TODAY()))&gt;0,"Avance en semana que aún no llega",IF(AND(N(Reprogramaciones!$E$21)&gt;0,F55&gt;Reprogramaciones!$E$21),"Pasa el fin de la obra: registra una reprogramación",IF(AND(N(Reprogramaciones!$E$21)&gt;0,SUMPRODUCT(ISNUMBER(Q55:AF55)*(Reprogramaciones!$K$8:$Z$8&gt;Reprogramaciones!$E$21))&gt;0),"Avance después del fin de la obra: registra una reprogramación por atraso","OK"))))))))))))))))</f>
        <v/>
      </c>
      <c r="AM55" s="40" t="str">
        <f aca="false">IF(OR(OR(NOT(AND(ISNUMBER(E55),ISNUMBER(F55))),$J$2=""),1&gt;MAX(1,Reprogramaciones!$U$15)),"",IF(Reprogramaciones!K$12&gt;=7,"",IF(OR(BT55-N(0)&gt;0.05,N(Q55)&gt;0),ROUNDDOWN(ROUND(BT55,6),0)&amp;"%"&amp;IF(CJ55="",""," / "&amp;CJ55&amp;"%"),IF(AND(N(0)&gt;=99.95,CJ55&lt;&gt;"",N(CJ55)&lt;100),"Pend. "&amp;CJ55&amp;"%",""))))</f>
        <v/>
      </c>
      <c r="AN55" s="40" t="str">
        <f aca="false">IF(OR(OR(NOT(AND(ISNUMBER(E55),ISNUMBER(F55))),$J$2=""),2&gt;MAX(1,Reprogramaciones!$U$15)),"",IF(Reprogramaciones!L$12&gt;=7,"",IF(OR(BU55-N(BT55)&gt;0.05,N(R55)&gt;0),ROUNDDOWN(ROUND(BU55,6),0)&amp;"%"&amp;IF(CK55="",""," / "&amp;CK55&amp;"%"),IF(AND(N(BT55)&gt;=99.95,CK55&lt;&gt;"",N(CK55)&lt;100),"Pend. "&amp;CK55&amp;"%",""))))</f>
        <v/>
      </c>
      <c r="AO55" s="40" t="str">
        <f aca="false">IF(OR(OR(NOT(AND(ISNUMBER(E55),ISNUMBER(F55))),$J$2=""),3&gt;MAX(1,Reprogramaciones!$U$15)),"",IF(Reprogramaciones!M$12&gt;=7,"",IF(OR(BV55-N(BU55)&gt;0.05,N(S55)&gt;0),ROUNDDOWN(ROUND(BV55,6),0)&amp;"%"&amp;IF(CL55="",""," / "&amp;CL55&amp;"%"),IF(AND(N(BU55)&gt;=99.95,CL55&lt;&gt;"",N(CL55)&lt;100),"Pend. "&amp;CL55&amp;"%",""))))</f>
        <v/>
      </c>
      <c r="AP55" s="40" t="str">
        <f aca="false">IF(OR(OR(NOT(AND(ISNUMBER(E55),ISNUMBER(F55))),$J$2=""),4&gt;MAX(1,Reprogramaciones!$U$15)),"",IF(Reprogramaciones!N$12&gt;=7,"",IF(OR(BW55-N(BV55)&gt;0.05,N(T55)&gt;0),ROUNDDOWN(ROUND(BW55,6),0)&amp;"%"&amp;IF(CM55="",""," / "&amp;CM55&amp;"%"),IF(AND(N(BV55)&gt;=99.95,CM55&lt;&gt;"",N(CM55)&lt;100),"Pend. "&amp;CM55&amp;"%",""))))</f>
        <v/>
      </c>
      <c r="AQ55" s="40" t="str">
        <f aca="false">IF(OR(OR(NOT(AND(ISNUMBER(E55),ISNUMBER(F55))),$J$2=""),5&gt;MAX(1,Reprogramaciones!$U$15)),"",IF(Reprogramaciones!O$12&gt;=7,"",IF(OR(BX55-N(BW55)&gt;0.05,N(U55)&gt;0),ROUNDDOWN(ROUND(BX55,6),0)&amp;"%"&amp;IF(CN55="",""," / "&amp;CN55&amp;"%"),IF(AND(N(BW55)&gt;=99.95,CN55&lt;&gt;"",N(CN55)&lt;100),"Pend. "&amp;CN55&amp;"%",""))))</f>
        <v/>
      </c>
      <c r="AR55" s="40" t="str">
        <f aca="false">IF(OR(OR(NOT(AND(ISNUMBER(E55),ISNUMBER(F55))),$J$2=""),6&gt;MAX(1,Reprogramaciones!$U$15)),"",IF(Reprogramaciones!P$12&gt;=7,"",IF(OR(BY55-N(BX55)&gt;0.05,N(V55)&gt;0),ROUNDDOWN(ROUND(BY55,6),0)&amp;"%"&amp;IF(CO55="",""," / "&amp;CO55&amp;"%"),IF(AND(N(BX55)&gt;=99.95,CO55&lt;&gt;"",N(CO55)&lt;100),"Pend. "&amp;CO55&amp;"%",""))))</f>
        <v/>
      </c>
      <c r="AS55" s="40" t="str">
        <f aca="false">IF(OR(OR(NOT(AND(ISNUMBER(E55),ISNUMBER(F55))),$J$2=""),7&gt;MAX(1,Reprogramaciones!$U$15)),"",IF(Reprogramaciones!Q$12&gt;=7,"",IF(OR(BZ55-N(BY55)&gt;0.05,N(W55)&gt;0),ROUNDDOWN(ROUND(BZ55,6),0)&amp;"%"&amp;IF(CP55="",""," / "&amp;CP55&amp;"%"),IF(AND(N(BY55)&gt;=99.95,CP55&lt;&gt;"",N(CP55)&lt;100),"Pend. "&amp;CP55&amp;"%",""))))</f>
        <v/>
      </c>
      <c r="AT55" s="40" t="str">
        <f aca="false">IF(OR(OR(NOT(AND(ISNUMBER(E55),ISNUMBER(F55))),$J$2=""),8&gt;MAX(1,Reprogramaciones!$U$15)),"",IF(Reprogramaciones!R$12&gt;=7,"",IF(OR(CA55-N(BZ55)&gt;0.05,N(X55)&gt;0),ROUNDDOWN(ROUND(CA55,6),0)&amp;"%"&amp;IF(CQ55="",""," / "&amp;CQ55&amp;"%"),IF(AND(N(BZ55)&gt;=99.95,CQ55&lt;&gt;"",N(CQ55)&lt;100),"Pend. "&amp;CQ55&amp;"%",""))))</f>
        <v/>
      </c>
      <c r="AU55" s="40" t="str">
        <f aca="false">IF(OR(OR(NOT(AND(ISNUMBER(E55),ISNUMBER(F55))),$J$2=""),9&gt;MAX(1,Reprogramaciones!$U$15)),"",IF(Reprogramaciones!S$12&gt;=7,"",IF(OR(CB55-N(CA55)&gt;0.05,N(Y55)&gt;0),ROUNDDOWN(ROUND(CB55,6),0)&amp;"%"&amp;IF(CR55="",""," / "&amp;CR55&amp;"%"),IF(AND(N(CA55)&gt;=99.95,CR55&lt;&gt;"",N(CR55)&lt;100),"Pend. "&amp;CR55&amp;"%",""))))</f>
        <v/>
      </c>
      <c r="AV55" s="40" t="str">
        <f aca="false">IF(OR(OR(NOT(AND(ISNUMBER(E55),ISNUMBER(F55))),$J$2=""),10&gt;MAX(1,Reprogramaciones!$U$15)),"",IF(Reprogramaciones!T$12&gt;=7,"",IF(OR(CC55-N(CB55)&gt;0.05,N(Z55)&gt;0),ROUNDDOWN(ROUND(CC55,6),0)&amp;"%"&amp;IF(CS55="",""," / "&amp;CS55&amp;"%"),IF(AND(N(CB55)&gt;=99.95,CS55&lt;&gt;"",N(CS55)&lt;100),"Pend. "&amp;CS55&amp;"%",""))))</f>
        <v/>
      </c>
      <c r="AW55" s="40" t="str">
        <f aca="false">IF(OR(OR(NOT(AND(ISNUMBER(E55),ISNUMBER(F55))),$J$2=""),11&gt;MAX(1,Reprogramaciones!$U$15)),"",IF(Reprogramaciones!U$12&gt;=7,"",IF(OR(CD55-N(CC55)&gt;0.05,N(AA55)&gt;0),ROUNDDOWN(ROUND(CD55,6),0)&amp;"%"&amp;IF(CT55="",""," / "&amp;CT55&amp;"%"),IF(AND(N(CC55)&gt;=99.95,CT55&lt;&gt;"",N(CT55)&lt;100),"Pend. "&amp;CT55&amp;"%",""))))</f>
        <v/>
      </c>
      <c r="AX55" s="40" t="str">
        <f aca="false">IF(OR(OR(NOT(AND(ISNUMBER(E55),ISNUMBER(F55))),$J$2=""),12&gt;MAX(1,Reprogramaciones!$U$15)),"",IF(Reprogramaciones!V$12&gt;=7,"",IF(OR(CE55-N(CD55)&gt;0.05,N(AB55)&gt;0),ROUNDDOWN(ROUND(CE55,6),0)&amp;"%"&amp;IF(CU55="",""," / "&amp;CU55&amp;"%"),IF(AND(N(CD55)&gt;=99.95,CU55&lt;&gt;"",N(CU55)&lt;100),"Pend. "&amp;CU55&amp;"%",""))))</f>
        <v/>
      </c>
      <c r="AY55" s="40" t="str">
        <f aca="false">IF(OR(OR(NOT(AND(ISNUMBER(E55),ISNUMBER(F55))),$J$2=""),13&gt;MAX(1,Reprogramaciones!$U$15)),"",IF(Reprogramaciones!W$12&gt;=7,"",IF(OR(CF55-N(CE55)&gt;0.05,N(AC55)&gt;0),ROUNDDOWN(ROUND(CF55,6),0)&amp;"%"&amp;IF(CV55="",""," / "&amp;CV55&amp;"%"),IF(AND(N(CE55)&gt;=99.95,CV55&lt;&gt;"",N(CV55)&lt;100),"Pend. "&amp;CV55&amp;"%",""))))</f>
        <v/>
      </c>
      <c r="AZ55" s="40" t="str">
        <f aca="false">IF(OR(OR(NOT(AND(ISNUMBER(E55),ISNUMBER(F55))),$J$2=""),14&gt;MAX(1,Reprogramaciones!$U$15)),"",IF(Reprogramaciones!X$12&gt;=7,"",IF(OR(CG55-N(CF55)&gt;0.05,N(AD55)&gt;0),ROUNDDOWN(ROUND(CG55,6),0)&amp;"%"&amp;IF(CW55="",""," / "&amp;CW55&amp;"%"),IF(AND(N(CF55)&gt;=99.95,CW55&lt;&gt;"",N(CW55)&lt;100),"Pend. "&amp;CW55&amp;"%",""))))</f>
        <v/>
      </c>
      <c r="BA55" s="40" t="str">
        <f aca="false">IF(OR(OR(NOT(AND(ISNUMBER(E55),ISNUMBER(F55))),$J$2=""),15&gt;MAX(1,Reprogramaciones!$U$15)),"",IF(Reprogramaciones!Y$12&gt;=7,"",IF(OR(CH55-N(CG55)&gt;0.05,N(AE55)&gt;0),ROUNDDOWN(ROUND(CH55,6),0)&amp;"%"&amp;IF(CX55="",""," / "&amp;CX55&amp;"%"),IF(AND(N(CG55)&gt;=99.95,CX55&lt;&gt;"",N(CX55)&lt;100),"Pend. "&amp;CX55&amp;"%",""))))</f>
        <v/>
      </c>
      <c r="BB55" s="40" t="str">
        <f aca="false">IF(OR(OR(NOT(AND(ISNUMBER(E55),ISNUMBER(F55))),$J$2=""),16&gt;MAX(1,Reprogramaciones!$U$15)),"",IF(Reprogramaciones!Z$12&gt;=7,"",IF(OR(CI55-N(CH55)&gt;0.05,N(AF55)&gt;0),ROUNDDOWN(ROUND(CI55,6),0)&amp;"%"&amp;IF(CY55="",""," / "&amp;CY55&amp;"%"),IF(AND(N(CH55)&gt;=99.95,CY55&lt;&gt;"",N(CY55)&lt;100),"Pend. "&amp;CY55&amp;"%",""))))</f>
        <v/>
      </c>
      <c r="BC55" s="31" t="n">
        <f aca="false">IF(AND(ISNUMBER(E55),ISNUMBER(F55)),MAX(1,NETWORKDAYS.INTL(E55,F55,11)),0)</f>
        <v>0</v>
      </c>
      <c r="BD55" s="1" t="str">
        <f aca="false">IF(OR(NOT(AND(ISNUMBER(E55),ISNUMBER(F55))),$J$2=""),"",MIN(100,ROUND(SUM($G55:G55),1)))</f>
        <v/>
      </c>
      <c r="BE55" s="1" t="str">
        <f aca="false">IF(OR(NOT(AND(ISNUMBER(E55),ISNUMBER(F55))),$J$2=""),"",MIN(100,ROUND(SUM($G55:H55),1)))</f>
        <v/>
      </c>
      <c r="BF55" s="1" t="str">
        <f aca="false">IF(OR(NOT(AND(ISNUMBER(E55),ISNUMBER(F55))),$J$2=""),"",MIN(100,ROUND(SUM($G55:I55),1)))</f>
        <v/>
      </c>
      <c r="BG55" s="1" t="str">
        <f aca="false">IF(OR(NOT(AND(ISNUMBER(E55),ISNUMBER(F55))),$J$2=""),"",MIN(100,ROUND(SUM($G55:J55),1)))</f>
        <v/>
      </c>
      <c r="BH55" s="1" t="str">
        <f aca="false">IF(OR(NOT(AND(ISNUMBER(E55),ISNUMBER(F55))),$J$2=""),"",MIN(100,ROUND(SUM($G55:K55),1)))</f>
        <v/>
      </c>
      <c r="BI55" s="1" t="str">
        <f aca="false">IF(OR(NOT(AND(ISNUMBER(E55),ISNUMBER(F55))),$J$2=""),"",MIN(100,ROUND(SUM($G55:L55),1)))</f>
        <v/>
      </c>
      <c r="BJ55" s="1" t="str">
        <f aca="false">IF(OR(NOT(AND(ISNUMBER(E55),ISNUMBER(F55))),$J$2=""),"",MIN(100,ROUND(SUM($G55:M55),1)))</f>
        <v/>
      </c>
      <c r="BK55" s="1" t="str">
        <f aca="false">IF(OR(NOT(AND(ISNUMBER(E55),ISNUMBER(F55))),$J$2=""),"",MIN(100,ROUND(SUM($G55:N55),1)))</f>
        <v/>
      </c>
      <c r="BL55" s="1" t="str">
        <f aca="false">IF(OR(NOT(AND(ISNUMBER(E55),ISNUMBER(F55))),$J$2=""),"",MIN(100,ROUND(SUM($G55:O55),1)))</f>
        <v/>
      </c>
      <c r="BM55" s="1" t="str">
        <f aca="false">IF(OR(NOT(AND(ISNUMBER(E55),ISNUMBER(F55))),$J$2=""),"",MIN(100,ROUND(SUM($G55:P55),1)))</f>
        <v/>
      </c>
      <c r="BN55" s="1" t="str">
        <f aca="false">IF(OR(NOT(AND(ISNUMBER(E55),ISNUMBER(F55))),$J$2=""),"",MIN(100,ROUND(SUM($G55:P55),1)))</f>
        <v/>
      </c>
      <c r="BO55" s="1" t="str">
        <f aca="false">IF(OR(NOT(AND(ISNUMBER(E55),ISNUMBER(F55))),$J$2=""),"",MIN(100,ROUND(SUM($G55:P55),1)))</f>
        <v/>
      </c>
      <c r="BP55" s="1" t="str">
        <f aca="false">IF(OR(NOT(AND(ISNUMBER(E55),ISNUMBER(F55))),$J$2=""),"",MIN(100,ROUND(SUM($G55:P55),1)))</f>
        <v/>
      </c>
      <c r="BQ55" s="1" t="str">
        <f aca="false">IF(OR(NOT(AND(ISNUMBER(E55),ISNUMBER(F55))),$J$2=""),"",MIN(100,ROUND(SUM($G55:P55),1)))</f>
        <v/>
      </c>
      <c r="BR55" s="1" t="str">
        <f aca="false">IF(OR(NOT(AND(ISNUMBER(E55),ISNUMBER(F55))),$J$2=""),"",MIN(100,ROUND(SUM($G55:P55),1)))</f>
        <v/>
      </c>
      <c r="BS55" s="1" t="str">
        <f aca="false">IF(OR(NOT(AND(ISNUMBER(E55),ISNUMBER(F55))),$J$2=""),"",MIN(100,ROUND(SUM($G55:P55),1)))</f>
        <v/>
      </c>
      <c r="BT55" s="1" t="str">
        <f aca="false">IF(OR(NOT(AND(ISNUMBER(E55),ISNUMBER(F55))),$J$2=""),"",IF(Reprogramaciones!K$13&lt;Reprogramaciones!$T$15,0,IF(Reprogramaciones!K$14&gt;10,MIN(100,SUM($G55:$P55)),MIN(100,SUMPRODUCT((COLUMN($G55:$P55)-COLUMN($G55)+1&lt;Reprogramaciones!K$14)*$G55:$P55)+N(INDEX($G55:$P55,1,Reprogramaciones!K$14))*IF(Reprogramaciones!K$13&gt;=(Reprogramaciones!$T$15+7*(Reprogramaciones!K$14-1))+6,1,IF(MAX(0,NETWORKDAYS.INTL(MAX(E55,(Reprogramaciones!$T$15+7*(Reprogramaciones!K$14-1))),MIN(F55,(Reprogramaciones!$T$15+7*(Reprogramaciones!K$14-1))+6),11))=0,0,MAX(0,NETWORKDAYS.INTL(MAX(E55,(Reprogramaciones!$T$15+7*(Reprogramaciones!K$14-1))),MIN(F55,Reprogramaciones!K$13),11))/MAX(0,NETWORKDAYS.INTL(MAX(E55,(Reprogramaciones!$T$15+7*(Reprogramaciones!K$14-1))),MIN(F55,(Reprogramaciones!$T$15+7*(Reprogramaciones!K$14-1))+6),11))))))))</f>
        <v/>
      </c>
      <c r="BU55" s="1" t="str">
        <f aca="false">IF(OR(NOT(AND(ISNUMBER(E55),ISNUMBER(F55))),$J$2=""),"",IF(Reprogramaciones!L$13&lt;Reprogramaciones!$T$15,0,IF(Reprogramaciones!L$14&gt;10,MIN(100,SUM($G55:$P55)),MIN(100,SUMPRODUCT((COLUMN($G55:$P55)-COLUMN($G55)+1&lt;Reprogramaciones!L$14)*$G55:$P55)+N(INDEX($G55:$P55,1,Reprogramaciones!L$14))*IF(Reprogramaciones!L$13&gt;=(Reprogramaciones!$T$15+7*(Reprogramaciones!L$14-1))+6,1,IF(MAX(0,NETWORKDAYS.INTL(MAX(E55,(Reprogramaciones!$T$15+7*(Reprogramaciones!L$14-1))),MIN(F55,(Reprogramaciones!$T$15+7*(Reprogramaciones!L$14-1))+6),11))=0,0,MAX(0,NETWORKDAYS.INTL(MAX(E55,(Reprogramaciones!$T$15+7*(Reprogramaciones!L$14-1))),MIN(F55,Reprogramaciones!L$13),11))/MAX(0,NETWORKDAYS.INTL(MAX(E55,(Reprogramaciones!$T$15+7*(Reprogramaciones!L$14-1))),MIN(F55,(Reprogramaciones!$T$15+7*(Reprogramaciones!L$14-1))+6),11))))))))</f>
        <v/>
      </c>
      <c r="BV55" s="1" t="str">
        <f aca="false">IF(OR(NOT(AND(ISNUMBER(E55),ISNUMBER(F55))),$J$2=""),"",IF(Reprogramaciones!M$13&lt;Reprogramaciones!$T$15,0,IF(Reprogramaciones!M$14&gt;10,MIN(100,SUM($G55:$P55)),MIN(100,SUMPRODUCT((COLUMN($G55:$P55)-COLUMN($G55)+1&lt;Reprogramaciones!M$14)*$G55:$P55)+N(INDEX($G55:$P55,1,Reprogramaciones!M$14))*IF(Reprogramaciones!M$13&gt;=(Reprogramaciones!$T$15+7*(Reprogramaciones!M$14-1))+6,1,IF(MAX(0,NETWORKDAYS.INTL(MAX(E55,(Reprogramaciones!$T$15+7*(Reprogramaciones!M$14-1))),MIN(F55,(Reprogramaciones!$T$15+7*(Reprogramaciones!M$14-1))+6),11))=0,0,MAX(0,NETWORKDAYS.INTL(MAX(E55,(Reprogramaciones!$T$15+7*(Reprogramaciones!M$14-1))),MIN(F55,Reprogramaciones!M$13),11))/MAX(0,NETWORKDAYS.INTL(MAX(E55,(Reprogramaciones!$T$15+7*(Reprogramaciones!M$14-1))),MIN(F55,(Reprogramaciones!$T$15+7*(Reprogramaciones!M$14-1))+6),11))))))))</f>
        <v/>
      </c>
      <c r="BW55" s="1" t="str">
        <f aca="false">IF(OR(NOT(AND(ISNUMBER(E55),ISNUMBER(F55))),$J$2=""),"",IF(Reprogramaciones!N$13&lt;Reprogramaciones!$T$15,0,IF(Reprogramaciones!N$14&gt;10,MIN(100,SUM($G55:$P55)),MIN(100,SUMPRODUCT((COLUMN($G55:$P55)-COLUMN($G55)+1&lt;Reprogramaciones!N$14)*$G55:$P55)+N(INDEX($G55:$P55,1,Reprogramaciones!N$14))*IF(Reprogramaciones!N$13&gt;=(Reprogramaciones!$T$15+7*(Reprogramaciones!N$14-1))+6,1,IF(MAX(0,NETWORKDAYS.INTL(MAX(E55,(Reprogramaciones!$T$15+7*(Reprogramaciones!N$14-1))),MIN(F55,(Reprogramaciones!$T$15+7*(Reprogramaciones!N$14-1))+6),11))=0,0,MAX(0,NETWORKDAYS.INTL(MAX(E55,(Reprogramaciones!$T$15+7*(Reprogramaciones!N$14-1))),MIN(F55,Reprogramaciones!N$13),11))/MAX(0,NETWORKDAYS.INTL(MAX(E55,(Reprogramaciones!$T$15+7*(Reprogramaciones!N$14-1))),MIN(F55,(Reprogramaciones!$T$15+7*(Reprogramaciones!N$14-1))+6),11))))))))</f>
        <v/>
      </c>
      <c r="BX55" s="1" t="str">
        <f aca="false">IF(OR(NOT(AND(ISNUMBER(E55),ISNUMBER(F55))),$J$2=""),"",IF(Reprogramaciones!O$13&lt;Reprogramaciones!$T$15,0,IF(Reprogramaciones!O$14&gt;10,MIN(100,SUM($G55:$P55)),MIN(100,SUMPRODUCT((COLUMN($G55:$P55)-COLUMN($G55)+1&lt;Reprogramaciones!O$14)*$G55:$P55)+N(INDEX($G55:$P55,1,Reprogramaciones!O$14))*IF(Reprogramaciones!O$13&gt;=(Reprogramaciones!$T$15+7*(Reprogramaciones!O$14-1))+6,1,IF(MAX(0,NETWORKDAYS.INTL(MAX(E55,(Reprogramaciones!$T$15+7*(Reprogramaciones!O$14-1))),MIN(F55,(Reprogramaciones!$T$15+7*(Reprogramaciones!O$14-1))+6),11))=0,0,MAX(0,NETWORKDAYS.INTL(MAX(E55,(Reprogramaciones!$T$15+7*(Reprogramaciones!O$14-1))),MIN(F55,Reprogramaciones!O$13),11))/MAX(0,NETWORKDAYS.INTL(MAX(E55,(Reprogramaciones!$T$15+7*(Reprogramaciones!O$14-1))),MIN(F55,(Reprogramaciones!$T$15+7*(Reprogramaciones!O$14-1))+6),11))))))))</f>
        <v/>
      </c>
      <c r="BY55" s="1" t="str">
        <f aca="false">IF(OR(NOT(AND(ISNUMBER(E55),ISNUMBER(F55))),$J$2=""),"",IF(Reprogramaciones!P$13&lt;Reprogramaciones!$T$15,0,IF(Reprogramaciones!P$14&gt;10,MIN(100,SUM($G55:$P55)),MIN(100,SUMPRODUCT((COLUMN($G55:$P55)-COLUMN($G55)+1&lt;Reprogramaciones!P$14)*$G55:$P55)+N(INDEX($G55:$P55,1,Reprogramaciones!P$14))*IF(Reprogramaciones!P$13&gt;=(Reprogramaciones!$T$15+7*(Reprogramaciones!P$14-1))+6,1,IF(MAX(0,NETWORKDAYS.INTL(MAX(E55,(Reprogramaciones!$T$15+7*(Reprogramaciones!P$14-1))),MIN(F55,(Reprogramaciones!$T$15+7*(Reprogramaciones!P$14-1))+6),11))=0,0,MAX(0,NETWORKDAYS.INTL(MAX(E55,(Reprogramaciones!$T$15+7*(Reprogramaciones!P$14-1))),MIN(F55,Reprogramaciones!P$13),11))/MAX(0,NETWORKDAYS.INTL(MAX(E55,(Reprogramaciones!$T$15+7*(Reprogramaciones!P$14-1))),MIN(F55,(Reprogramaciones!$T$15+7*(Reprogramaciones!P$14-1))+6),11))))))))</f>
        <v/>
      </c>
      <c r="BZ55" s="1" t="str">
        <f aca="false">IF(OR(NOT(AND(ISNUMBER(E55),ISNUMBER(F55))),$J$2=""),"",IF(Reprogramaciones!Q$13&lt;Reprogramaciones!$T$15,0,IF(Reprogramaciones!Q$14&gt;10,MIN(100,SUM($G55:$P55)),MIN(100,SUMPRODUCT((COLUMN($G55:$P55)-COLUMN($G55)+1&lt;Reprogramaciones!Q$14)*$G55:$P55)+N(INDEX($G55:$P55,1,Reprogramaciones!Q$14))*IF(Reprogramaciones!Q$13&gt;=(Reprogramaciones!$T$15+7*(Reprogramaciones!Q$14-1))+6,1,IF(MAX(0,NETWORKDAYS.INTL(MAX(E55,(Reprogramaciones!$T$15+7*(Reprogramaciones!Q$14-1))),MIN(F55,(Reprogramaciones!$T$15+7*(Reprogramaciones!Q$14-1))+6),11))=0,0,MAX(0,NETWORKDAYS.INTL(MAX(E55,(Reprogramaciones!$T$15+7*(Reprogramaciones!Q$14-1))),MIN(F55,Reprogramaciones!Q$13),11))/MAX(0,NETWORKDAYS.INTL(MAX(E55,(Reprogramaciones!$T$15+7*(Reprogramaciones!Q$14-1))),MIN(F55,(Reprogramaciones!$T$15+7*(Reprogramaciones!Q$14-1))+6),11))))))))</f>
        <v/>
      </c>
      <c r="CA55" s="1" t="str">
        <f aca="false">IF(OR(NOT(AND(ISNUMBER(E55),ISNUMBER(F55))),$J$2=""),"",IF(Reprogramaciones!R$13&lt;Reprogramaciones!$T$15,0,IF(Reprogramaciones!R$14&gt;10,MIN(100,SUM($G55:$P55)),MIN(100,SUMPRODUCT((COLUMN($G55:$P55)-COLUMN($G55)+1&lt;Reprogramaciones!R$14)*$G55:$P55)+N(INDEX($G55:$P55,1,Reprogramaciones!R$14))*IF(Reprogramaciones!R$13&gt;=(Reprogramaciones!$T$15+7*(Reprogramaciones!R$14-1))+6,1,IF(MAX(0,NETWORKDAYS.INTL(MAX(E55,(Reprogramaciones!$T$15+7*(Reprogramaciones!R$14-1))),MIN(F55,(Reprogramaciones!$T$15+7*(Reprogramaciones!R$14-1))+6),11))=0,0,MAX(0,NETWORKDAYS.INTL(MAX(E55,(Reprogramaciones!$T$15+7*(Reprogramaciones!R$14-1))),MIN(F55,Reprogramaciones!R$13),11))/MAX(0,NETWORKDAYS.INTL(MAX(E55,(Reprogramaciones!$T$15+7*(Reprogramaciones!R$14-1))),MIN(F55,(Reprogramaciones!$T$15+7*(Reprogramaciones!R$14-1))+6),11))))))))</f>
        <v/>
      </c>
      <c r="CB55" s="1" t="str">
        <f aca="false">IF(OR(NOT(AND(ISNUMBER(E55),ISNUMBER(F55))),$J$2=""),"",IF(Reprogramaciones!S$13&lt;Reprogramaciones!$T$15,0,IF(Reprogramaciones!S$14&gt;10,MIN(100,SUM($G55:$P55)),MIN(100,SUMPRODUCT((COLUMN($G55:$P55)-COLUMN($G55)+1&lt;Reprogramaciones!S$14)*$G55:$P55)+N(INDEX($G55:$P55,1,Reprogramaciones!S$14))*IF(Reprogramaciones!S$13&gt;=(Reprogramaciones!$T$15+7*(Reprogramaciones!S$14-1))+6,1,IF(MAX(0,NETWORKDAYS.INTL(MAX(E55,(Reprogramaciones!$T$15+7*(Reprogramaciones!S$14-1))),MIN(F55,(Reprogramaciones!$T$15+7*(Reprogramaciones!S$14-1))+6),11))=0,0,MAX(0,NETWORKDAYS.INTL(MAX(E55,(Reprogramaciones!$T$15+7*(Reprogramaciones!S$14-1))),MIN(F55,Reprogramaciones!S$13),11))/MAX(0,NETWORKDAYS.INTL(MAX(E55,(Reprogramaciones!$T$15+7*(Reprogramaciones!S$14-1))),MIN(F55,(Reprogramaciones!$T$15+7*(Reprogramaciones!S$14-1))+6),11))))))))</f>
        <v/>
      </c>
      <c r="CC55" s="1" t="str">
        <f aca="false">IF(OR(NOT(AND(ISNUMBER(E55),ISNUMBER(F55))),$J$2=""),"",IF(Reprogramaciones!T$13&lt;Reprogramaciones!$T$15,0,IF(Reprogramaciones!T$14&gt;10,MIN(100,SUM($G55:$P55)),MIN(100,SUMPRODUCT((COLUMN($G55:$P55)-COLUMN($G55)+1&lt;Reprogramaciones!T$14)*$G55:$P55)+N(INDEX($G55:$P55,1,Reprogramaciones!T$14))*IF(Reprogramaciones!T$13&gt;=(Reprogramaciones!$T$15+7*(Reprogramaciones!T$14-1))+6,1,IF(MAX(0,NETWORKDAYS.INTL(MAX(E55,(Reprogramaciones!$T$15+7*(Reprogramaciones!T$14-1))),MIN(F55,(Reprogramaciones!$T$15+7*(Reprogramaciones!T$14-1))+6),11))=0,0,MAX(0,NETWORKDAYS.INTL(MAX(E55,(Reprogramaciones!$T$15+7*(Reprogramaciones!T$14-1))),MIN(F55,Reprogramaciones!T$13),11))/MAX(0,NETWORKDAYS.INTL(MAX(E55,(Reprogramaciones!$T$15+7*(Reprogramaciones!T$14-1))),MIN(F55,(Reprogramaciones!$T$15+7*(Reprogramaciones!T$14-1))+6),11))))))))</f>
        <v/>
      </c>
      <c r="CD55" s="1" t="str">
        <f aca="false">IF(OR(NOT(AND(ISNUMBER(E55),ISNUMBER(F55))),$J$2=""),"",IF(Reprogramaciones!U$13&lt;Reprogramaciones!$T$15,0,IF(Reprogramaciones!U$14&gt;10,MIN(100,SUM($G55:$P55)),MIN(100,SUMPRODUCT((COLUMN($G55:$P55)-COLUMN($G55)+1&lt;Reprogramaciones!U$14)*$G55:$P55)+N(INDEX($G55:$P55,1,Reprogramaciones!U$14))*IF(Reprogramaciones!U$13&gt;=(Reprogramaciones!$T$15+7*(Reprogramaciones!U$14-1))+6,1,IF(MAX(0,NETWORKDAYS.INTL(MAX(E55,(Reprogramaciones!$T$15+7*(Reprogramaciones!U$14-1))),MIN(F55,(Reprogramaciones!$T$15+7*(Reprogramaciones!U$14-1))+6),11))=0,0,MAX(0,NETWORKDAYS.INTL(MAX(E55,(Reprogramaciones!$T$15+7*(Reprogramaciones!U$14-1))),MIN(F55,Reprogramaciones!U$13),11))/MAX(0,NETWORKDAYS.INTL(MAX(E55,(Reprogramaciones!$T$15+7*(Reprogramaciones!U$14-1))),MIN(F55,(Reprogramaciones!$T$15+7*(Reprogramaciones!U$14-1))+6),11))))))))</f>
        <v/>
      </c>
      <c r="CE55" s="1" t="str">
        <f aca="false">IF(OR(NOT(AND(ISNUMBER(E55),ISNUMBER(F55))),$J$2=""),"",IF(Reprogramaciones!V$13&lt;Reprogramaciones!$T$15,0,IF(Reprogramaciones!V$14&gt;10,MIN(100,SUM($G55:$P55)),MIN(100,SUMPRODUCT((COLUMN($G55:$P55)-COLUMN($G55)+1&lt;Reprogramaciones!V$14)*$G55:$P55)+N(INDEX($G55:$P55,1,Reprogramaciones!V$14))*IF(Reprogramaciones!V$13&gt;=(Reprogramaciones!$T$15+7*(Reprogramaciones!V$14-1))+6,1,IF(MAX(0,NETWORKDAYS.INTL(MAX(E55,(Reprogramaciones!$T$15+7*(Reprogramaciones!V$14-1))),MIN(F55,(Reprogramaciones!$T$15+7*(Reprogramaciones!V$14-1))+6),11))=0,0,MAX(0,NETWORKDAYS.INTL(MAX(E55,(Reprogramaciones!$T$15+7*(Reprogramaciones!V$14-1))),MIN(F55,Reprogramaciones!V$13),11))/MAX(0,NETWORKDAYS.INTL(MAX(E55,(Reprogramaciones!$T$15+7*(Reprogramaciones!V$14-1))),MIN(F55,(Reprogramaciones!$T$15+7*(Reprogramaciones!V$14-1))+6),11))))))))</f>
        <v/>
      </c>
      <c r="CF55" s="1" t="str">
        <f aca="false">IF(OR(NOT(AND(ISNUMBER(E55),ISNUMBER(F55))),$J$2=""),"",IF(Reprogramaciones!W$13&lt;Reprogramaciones!$T$15,0,IF(Reprogramaciones!W$14&gt;10,MIN(100,SUM($G55:$P55)),MIN(100,SUMPRODUCT((COLUMN($G55:$P55)-COLUMN($G55)+1&lt;Reprogramaciones!W$14)*$G55:$P55)+N(INDEX($G55:$P55,1,Reprogramaciones!W$14))*IF(Reprogramaciones!W$13&gt;=(Reprogramaciones!$T$15+7*(Reprogramaciones!W$14-1))+6,1,IF(MAX(0,NETWORKDAYS.INTL(MAX(E55,(Reprogramaciones!$T$15+7*(Reprogramaciones!W$14-1))),MIN(F55,(Reprogramaciones!$T$15+7*(Reprogramaciones!W$14-1))+6),11))=0,0,MAX(0,NETWORKDAYS.INTL(MAX(E55,(Reprogramaciones!$T$15+7*(Reprogramaciones!W$14-1))),MIN(F55,Reprogramaciones!W$13),11))/MAX(0,NETWORKDAYS.INTL(MAX(E55,(Reprogramaciones!$T$15+7*(Reprogramaciones!W$14-1))),MIN(F55,(Reprogramaciones!$T$15+7*(Reprogramaciones!W$14-1))+6),11))))))))</f>
        <v/>
      </c>
      <c r="CG55" s="1" t="str">
        <f aca="false">IF(OR(NOT(AND(ISNUMBER(E55),ISNUMBER(F55))),$J$2=""),"",IF(Reprogramaciones!X$13&lt;Reprogramaciones!$T$15,0,IF(Reprogramaciones!X$14&gt;10,MIN(100,SUM($G55:$P55)),MIN(100,SUMPRODUCT((COLUMN($G55:$P55)-COLUMN($G55)+1&lt;Reprogramaciones!X$14)*$G55:$P55)+N(INDEX($G55:$P55,1,Reprogramaciones!X$14))*IF(Reprogramaciones!X$13&gt;=(Reprogramaciones!$T$15+7*(Reprogramaciones!X$14-1))+6,1,IF(MAX(0,NETWORKDAYS.INTL(MAX(E55,(Reprogramaciones!$T$15+7*(Reprogramaciones!X$14-1))),MIN(F55,(Reprogramaciones!$T$15+7*(Reprogramaciones!X$14-1))+6),11))=0,0,MAX(0,NETWORKDAYS.INTL(MAX(E55,(Reprogramaciones!$T$15+7*(Reprogramaciones!X$14-1))),MIN(F55,Reprogramaciones!X$13),11))/MAX(0,NETWORKDAYS.INTL(MAX(E55,(Reprogramaciones!$T$15+7*(Reprogramaciones!X$14-1))),MIN(F55,(Reprogramaciones!$T$15+7*(Reprogramaciones!X$14-1))+6),11))))))))</f>
        <v/>
      </c>
      <c r="CH55" s="1" t="str">
        <f aca="false">IF(OR(NOT(AND(ISNUMBER(E55),ISNUMBER(F55))),$J$2=""),"",IF(Reprogramaciones!Y$13&lt;Reprogramaciones!$T$15,0,IF(Reprogramaciones!Y$14&gt;10,MIN(100,SUM($G55:$P55)),MIN(100,SUMPRODUCT((COLUMN($G55:$P55)-COLUMN($G55)+1&lt;Reprogramaciones!Y$14)*$G55:$P55)+N(INDEX($G55:$P55,1,Reprogramaciones!Y$14))*IF(Reprogramaciones!Y$13&gt;=(Reprogramaciones!$T$15+7*(Reprogramaciones!Y$14-1))+6,1,IF(MAX(0,NETWORKDAYS.INTL(MAX(E55,(Reprogramaciones!$T$15+7*(Reprogramaciones!Y$14-1))),MIN(F55,(Reprogramaciones!$T$15+7*(Reprogramaciones!Y$14-1))+6),11))=0,0,MAX(0,NETWORKDAYS.INTL(MAX(E55,(Reprogramaciones!$T$15+7*(Reprogramaciones!Y$14-1))),MIN(F55,Reprogramaciones!Y$13),11))/MAX(0,NETWORKDAYS.INTL(MAX(E55,(Reprogramaciones!$T$15+7*(Reprogramaciones!Y$14-1))),MIN(F55,(Reprogramaciones!$T$15+7*(Reprogramaciones!Y$14-1))+6),11))))))))</f>
        <v/>
      </c>
      <c r="CI55" s="1" t="str">
        <f aca="false">IF(OR(NOT(AND(ISNUMBER(E55),ISNUMBER(F55))),$J$2=""),"",IF(Reprogramaciones!Z$13&lt;Reprogramaciones!$T$15,0,IF(Reprogramaciones!Z$14&gt;10,MIN(100,SUM($G55:$P55)),MIN(100,SUMPRODUCT((COLUMN($G55:$P55)-COLUMN($G55)+1&lt;Reprogramaciones!Z$14)*$G55:$P55)+N(INDEX($G55:$P55,1,Reprogramaciones!Z$14))*IF(Reprogramaciones!Z$13&gt;=(Reprogramaciones!$T$15+7*(Reprogramaciones!Z$14-1))+6,1,IF(MAX(0,NETWORKDAYS.INTL(MAX(E55,(Reprogramaciones!$T$15+7*(Reprogramaciones!Z$14-1))),MIN(F55,(Reprogramaciones!$T$15+7*(Reprogramaciones!Z$14-1))+6),11))=0,0,MAX(0,NETWORKDAYS.INTL(MAX(E55,(Reprogramaciones!$T$15+7*(Reprogramaciones!Z$14-1))),MIN(F55,Reprogramaciones!Z$13),11))/MAX(0,NETWORKDAYS.INTL(MAX(E55,(Reprogramaciones!$T$15+7*(Reprogramaciones!Z$14-1))),MIN(F55,(Reprogramaciones!$T$15+7*(Reprogramaciones!Z$14-1))+6),11))))))))</f>
        <v/>
      </c>
      <c r="CJ55" s="1" t="str">
        <f aca="false">IF(OR(OR(NOT(AND(ISNUMBER(E55),ISNUMBER(F55))),$J$2=""),1&gt;Reprogramaciones!$K$16),"",IF(ROUND(SUM($Q55:Q55),1)&gt;=99.5,100,MIN(100,ROUND(SUM($Q55:Q55),1))))</f>
        <v/>
      </c>
      <c r="CK55" s="1" t="str">
        <f aca="false">IF(OR(OR(NOT(AND(ISNUMBER(E55),ISNUMBER(F55))),$J$2=""),2&gt;Reprogramaciones!$K$16),"",IF(ROUND(SUM($Q55:R55),1)&gt;=99.5,100,MIN(100,ROUND(SUM($Q55:R55),1))))</f>
        <v/>
      </c>
      <c r="CL55" s="1" t="str">
        <f aca="false">IF(OR(OR(NOT(AND(ISNUMBER(E55),ISNUMBER(F55))),$J$2=""),3&gt;Reprogramaciones!$K$16),"",IF(ROUND(SUM($Q55:S55),1)&gt;=99.5,100,MIN(100,ROUND(SUM($Q55:S55),1))))</f>
        <v/>
      </c>
      <c r="CM55" s="1" t="str">
        <f aca="false">IF(OR(OR(NOT(AND(ISNUMBER(E55),ISNUMBER(F55))),$J$2=""),4&gt;Reprogramaciones!$K$16),"",IF(ROUND(SUM($Q55:T55),1)&gt;=99.5,100,MIN(100,ROUND(SUM($Q55:T55),1))))</f>
        <v/>
      </c>
      <c r="CN55" s="1" t="str">
        <f aca="false">IF(OR(OR(NOT(AND(ISNUMBER(E55),ISNUMBER(F55))),$J$2=""),5&gt;Reprogramaciones!$K$16),"",IF(ROUND(SUM($Q55:U55),1)&gt;=99.5,100,MIN(100,ROUND(SUM($Q55:U55),1))))</f>
        <v/>
      </c>
      <c r="CO55" s="1" t="str">
        <f aca="false">IF(OR(OR(NOT(AND(ISNUMBER(E55),ISNUMBER(F55))),$J$2=""),6&gt;Reprogramaciones!$K$16),"",IF(ROUND(SUM($Q55:V55),1)&gt;=99.5,100,MIN(100,ROUND(SUM($Q55:V55),1))))</f>
        <v/>
      </c>
      <c r="CP55" s="1" t="str">
        <f aca="false">IF(OR(OR(NOT(AND(ISNUMBER(E55),ISNUMBER(F55))),$J$2=""),7&gt;Reprogramaciones!$K$16),"",IF(ROUND(SUM($Q55:W55),1)&gt;=99.5,100,MIN(100,ROUND(SUM($Q55:W55),1))))</f>
        <v/>
      </c>
      <c r="CQ55" s="1" t="str">
        <f aca="false">IF(OR(OR(NOT(AND(ISNUMBER(E55),ISNUMBER(F55))),$J$2=""),8&gt;Reprogramaciones!$K$16),"",IF(ROUND(SUM($Q55:X55),1)&gt;=99.5,100,MIN(100,ROUND(SUM($Q55:X55),1))))</f>
        <v/>
      </c>
      <c r="CR55" s="1" t="str">
        <f aca="false">IF(OR(OR(NOT(AND(ISNUMBER(E55),ISNUMBER(F55))),$J$2=""),9&gt;Reprogramaciones!$K$16),"",IF(ROUND(SUM($Q55:Y55),1)&gt;=99.5,100,MIN(100,ROUND(SUM($Q55:Y55),1))))</f>
        <v/>
      </c>
      <c r="CS55" s="1" t="str">
        <f aca="false">IF(OR(OR(NOT(AND(ISNUMBER(E55),ISNUMBER(F55))),$J$2=""),10&gt;Reprogramaciones!$K$16),"",IF(ROUND(SUM($Q55:Z55),1)&gt;=99.5,100,MIN(100,ROUND(SUM($Q55:Z55),1))))</f>
        <v/>
      </c>
      <c r="CT55" s="1" t="str">
        <f aca="false">IF(OR(OR(NOT(AND(ISNUMBER(E55),ISNUMBER(F55))),$J$2=""),11&gt;Reprogramaciones!$K$16),"",IF(ROUND(SUM($Q55:AA55),1)&gt;=99.5,100,MIN(100,ROUND(SUM($Q55:AA55),1))))</f>
        <v/>
      </c>
      <c r="CU55" s="1" t="str">
        <f aca="false">IF(OR(OR(NOT(AND(ISNUMBER(E55),ISNUMBER(F55))),$J$2=""),12&gt;Reprogramaciones!$K$16),"",IF(ROUND(SUM($Q55:AB55),1)&gt;=99.5,100,MIN(100,ROUND(SUM($Q55:AB55),1))))</f>
        <v/>
      </c>
      <c r="CV55" s="1" t="str">
        <f aca="false">IF(OR(OR(NOT(AND(ISNUMBER(E55),ISNUMBER(F55))),$J$2=""),13&gt;Reprogramaciones!$K$16),"",IF(ROUND(SUM($Q55:AC55),1)&gt;=99.5,100,MIN(100,ROUND(SUM($Q55:AC55),1))))</f>
        <v/>
      </c>
      <c r="CW55" s="1" t="str">
        <f aca="false">IF(OR(OR(NOT(AND(ISNUMBER(E55),ISNUMBER(F55))),$J$2=""),14&gt;Reprogramaciones!$K$16),"",IF(ROUND(SUM($Q55:AD55),1)&gt;=99.5,100,MIN(100,ROUND(SUM($Q55:AD55),1))))</f>
        <v/>
      </c>
      <c r="CX55" s="1" t="str">
        <f aca="false">IF(OR(OR(NOT(AND(ISNUMBER(E55),ISNUMBER(F55))),$J$2=""),15&gt;Reprogramaciones!$K$16),"",IF(ROUND(SUM($Q55:AE55),1)&gt;=99.5,100,MIN(100,ROUND(SUM($Q55:AE55),1))))</f>
        <v/>
      </c>
      <c r="CY55" s="1" t="str">
        <f aca="false">IF(OR(OR(NOT(AND(ISNUMBER(E55),ISNUMBER(F55))),$J$2=""),16&gt;Reprogramaciones!$K$16),"",IF(ROUND(SUM($Q55:AF55),1)&gt;=99.5,100,MIN(100,ROUND(SUM($Q55:AF55),1))))</f>
        <v/>
      </c>
      <c r="CZ55" s="1" t="str">
        <f aca="false">IF(D55&lt;&gt;"",D55,IF(B55&lt;&gt;"","Contractual",CZ54))</f>
        <v>Contractual</v>
      </c>
      <c r="DA55" s="1" t="str">
        <f aca="false">IF(OR(NOT(AND(ISNUMBER(E55),ISNUMBER(F55))),$J$2=""),"",IF(Reprogramaciones!$Q$15&lt;Reprogramaciones!$T$15,0,IF(Reprogramaciones!$S$15&gt;10,MIN(100,SUM($G55:$P55)),MIN(100,SUMPRODUCT((COLUMN($G55:$P55)-COLUMN($G55)+1&lt;Reprogramaciones!$S$15)*$G55:$P55)+N(INDEX($G55:$P55,1,Reprogramaciones!$S$15))*IF(Reprogramaciones!$Q$15&gt;=(Reprogramaciones!$T$15+7*(Reprogramaciones!$S$15-1))+6,1,IF(MAX(0,NETWORKDAYS.INTL(MAX(E55,(Reprogramaciones!$T$15+7*(Reprogramaciones!$S$15-1))),MIN(F55,(Reprogramaciones!$T$15+7*(Reprogramaciones!$S$15-1))+6),11))=0,0,MAX(0,NETWORKDAYS.INTL(MAX(E55,(Reprogramaciones!$T$15+7*(Reprogramaciones!$S$15-1))),MIN(F55,Reprogramaciones!$Q$15),11))/MAX(0,NETWORKDAYS.INTL(MAX(E55,(Reprogramaciones!$T$15+7*(Reprogramaciones!$S$15-1))),MIN(F55,(Reprogramaciones!$T$15+7*(Reprogramaciones!$S$15-1))+6),11))))))))</f>
        <v/>
      </c>
    </row>
    <row r="56" customFormat="false" ht="15" hidden="false" customHeight="false" outlineLevel="0" collapsed="false">
      <c r="A56" s="32"/>
      <c r="B56" s="33"/>
      <c r="C56" s="33"/>
      <c r="D56" s="34"/>
      <c r="E56" s="35"/>
      <c r="F56" s="35"/>
      <c r="G56" s="36" t="str">
        <f aca="false">IF(OR(NOT(AND(ISNUMBER(E56),ISNUMBER(F56))),$J$2=""),"",IF(Reprogramaciones!K$9&lt;E56,0,IF(NETWORKDAYS.INTL(E56,F56,11)=0,IF(Reprogramaciones!K$9&gt;=F56,100,0),ROUND(NETWORKDAYS.INTL(E56,MIN(F56,Reprogramaciones!K$9),11)/NETWORKDAYS.INTL(E56,F56,11)*100,1)))-0)</f>
        <v/>
      </c>
      <c r="H56" s="36" t="str">
        <f aca="false">IF(OR(NOT(AND(ISNUMBER(E56),ISNUMBER(F56))),$J$2=""),"",IF(Reprogramaciones!L$9&lt;E56,0,IF(NETWORKDAYS.INTL(E56,F56,11)=0,IF(Reprogramaciones!L$9&gt;=F56,100,0),ROUND(NETWORKDAYS.INTL(E56,MIN(F56,Reprogramaciones!L$9),11)/NETWORKDAYS.INTL(E56,F56,11)*100,1)))-IF(Reprogramaciones!K$9&lt;E56,0,IF(NETWORKDAYS.INTL(E56,F56,11)=0,IF(Reprogramaciones!K$9&gt;=F56,100,0),ROUND(NETWORKDAYS.INTL(E56,MIN(F56,Reprogramaciones!K$9),11)/NETWORKDAYS.INTL(E56,F56,11)*100,1))))</f>
        <v/>
      </c>
      <c r="I56" s="36" t="str">
        <f aca="false">IF(OR(NOT(AND(ISNUMBER(E56),ISNUMBER(F56))),$J$2=""),"",IF(Reprogramaciones!M$9&lt;E56,0,IF(NETWORKDAYS.INTL(E56,F56,11)=0,IF(Reprogramaciones!M$9&gt;=F56,100,0),ROUND(NETWORKDAYS.INTL(E56,MIN(F56,Reprogramaciones!M$9),11)/NETWORKDAYS.INTL(E56,F56,11)*100,1)))-IF(Reprogramaciones!L$9&lt;E56,0,IF(NETWORKDAYS.INTL(E56,F56,11)=0,IF(Reprogramaciones!L$9&gt;=F56,100,0),ROUND(NETWORKDAYS.INTL(E56,MIN(F56,Reprogramaciones!L$9),11)/NETWORKDAYS.INTL(E56,F56,11)*100,1))))</f>
        <v/>
      </c>
      <c r="J56" s="36" t="str">
        <f aca="false">IF(OR(NOT(AND(ISNUMBER(E56),ISNUMBER(F56))),$J$2=""),"",IF(Reprogramaciones!N$9&lt;E56,0,IF(NETWORKDAYS.INTL(E56,F56,11)=0,IF(Reprogramaciones!N$9&gt;=F56,100,0),ROUND(NETWORKDAYS.INTL(E56,MIN(F56,Reprogramaciones!N$9),11)/NETWORKDAYS.INTL(E56,F56,11)*100,1)))-IF(Reprogramaciones!M$9&lt;E56,0,IF(NETWORKDAYS.INTL(E56,F56,11)=0,IF(Reprogramaciones!M$9&gt;=F56,100,0),ROUND(NETWORKDAYS.INTL(E56,MIN(F56,Reprogramaciones!M$9),11)/NETWORKDAYS.INTL(E56,F56,11)*100,1))))</f>
        <v/>
      </c>
      <c r="K56" s="36" t="str">
        <f aca="false">IF(OR(NOT(AND(ISNUMBER(E56),ISNUMBER(F56))),$J$2=""),"",IF(Reprogramaciones!O$9&lt;E56,0,IF(NETWORKDAYS.INTL(E56,F56,11)=0,IF(Reprogramaciones!O$9&gt;=F56,100,0),ROUND(NETWORKDAYS.INTL(E56,MIN(F56,Reprogramaciones!O$9),11)/NETWORKDAYS.INTL(E56,F56,11)*100,1)))-IF(Reprogramaciones!N$9&lt;E56,0,IF(NETWORKDAYS.INTL(E56,F56,11)=0,IF(Reprogramaciones!N$9&gt;=F56,100,0),ROUND(NETWORKDAYS.INTL(E56,MIN(F56,Reprogramaciones!N$9),11)/NETWORKDAYS.INTL(E56,F56,11)*100,1))))</f>
        <v/>
      </c>
      <c r="L56" s="36" t="str">
        <f aca="false">IF(OR(NOT(AND(ISNUMBER(E56),ISNUMBER(F56))),$J$2=""),"",IF(Reprogramaciones!P$9&lt;E56,0,IF(NETWORKDAYS.INTL(E56,F56,11)=0,IF(Reprogramaciones!P$9&gt;=F56,100,0),ROUND(NETWORKDAYS.INTL(E56,MIN(F56,Reprogramaciones!P$9),11)/NETWORKDAYS.INTL(E56,F56,11)*100,1)))-IF(Reprogramaciones!O$9&lt;E56,0,IF(NETWORKDAYS.INTL(E56,F56,11)=0,IF(Reprogramaciones!O$9&gt;=F56,100,0),ROUND(NETWORKDAYS.INTL(E56,MIN(F56,Reprogramaciones!O$9),11)/NETWORKDAYS.INTL(E56,F56,11)*100,1))))</f>
        <v/>
      </c>
      <c r="M56" s="36" t="str">
        <f aca="false">IF(OR(NOT(AND(ISNUMBER(E56),ISNUMBER(F56))),$J$2=""),"",IF(Reprogramaciones!Q$9&lt;E56,0,IF(NETWORKDAYS.INTL(E56,F56,11)=0,IF(Reprogramaciones!Q$9&gt;=F56,100,0),ROUND(NETWORKDAYS.INTL(E56,MIN(F56,Reprogramaciones!Q$9),11)/NETWORKDAYS.INTL(E56,F56,11)*100,1)))-IF(Reprogramaciones!P$9&lt;E56,0,IF(NETWORKDAYS.INTL(E56,F56,11)=0,IF(Reprogramaciones!P$9&gt;=F56,100,0),ROUND(NETWORKDAYS.INTL(E56,MIN(F56,Reprogramaciones!P$9),11)/NETWORKDAYS.INTL(E56,F56,11)*100,1))))</f>
        <v/>
      </c>
      <c r="N56" s="36" t="str">
        <f aca="false">IF(OR(NOT(AND(ISNUMBER(E56),ISNUMBER(F56))),$J$2=""),"",IF(Reprogramaciones!R$9&lt;E56,0,IF(NETWORKDAYS.INTL(E56,F56,11)=0,IF(Reprogramaciones!R$9&gt;=F56,100,0),ROUND(NETWORKDAYS.INTL(E56,MIN(F56,Reprogramaciones!R$9),11)/NETWORKDAYS.INTL(E56,F56,11)*100,1)))-IF(Reprogramaciones!Q$9&lt;E56,0,IF(NETWORKDAYS.INTL(E56,F56,11)=0,IF(Reprogramaciones!Q$9&gt;=F56,100,0),ROUND(NETWORKDAYS.INTL(E56,MIN(F56,Reprogramaciones!Q$9),11)/NETWORKDAYS.INTL(E56,F56,11)*100,1))))</f>
        <v/>
      </c>
      <c r="O56" s="36" t="str">
        <f aca="false">IF(OR(NOT(AND(ISNUMBER(E56),ISNUMBER(F56))),$J$2=""),"",IF(Reprogramaciones!S$9&lt;E56,0,IF(NETWORKDAYS.INTL(E56,F56,11)=0,IF(Reprogramaciones!S$9&gt;=F56,100,0),ROUND(NETWORKDAYS.INTL(E56,MIN(F56,Reprogramaciones!S$9),11)/NETWORKDAYS.INTL(E56,F56,11)*100,1)))-IF(Reprogramaciones!R$9&lt;E56,0,IF(NETWORKDAYS.INTL(E56,F56,11)=0,IF(Reprogramaciones!R$9&gt;=F56,100,0),ROUND(NETWORKDAYS.INTL(E56,MIN(F56,Reprogramaciones!R$9),11)/NETWORKDAYS.INTL(E56,F56,11)*100,1))))</f>
        <v/>
      </c>
      <c r="P56" s="36" t="str">
        <f aca="false">IF(OR(NOT(AND(ISNUMBER(E56),ISNUMBER(F56))),$J$2=""),"",IF(Reprogramaciones!T$9&lt;E56,0,IF(NETWORKDAYS.INTL(E56,F56,11)=0,IF(Reprogramaciones!T$9&gt;=F56,100,0),ROUND(NETWORKDAYS.INTL(E56,MIN(F56,Reprogramaciones!T$9),11)/NETWORKDAYS.INTL(E56,F56,11)*100,1)))-IF(Reprogramaciones!S$9&lt;E56,0,IF(NETWORKDAYS.INTL(E56,F56,11)=0,IF(Reprogramaciones!S$9&gt;=F56,100,0),ROUND(NETWORKDAYS.INTL(E56,MIN(F56,Reprogramaciones!S$9),11)/NETWORKDAYS.INTL(E56,F56,11)*100,1))))</f>
        <v/>
      </c>
      <c r="Q56" s="37"/>
      <c r="R56" s="37"/>
      <c r="S56" s="37"/>
      <c r="T56" s="37"/>
      <c r="U56" s="37"/>
      <c r="V56" s="37"/>
      <c r="W56" s="37"/>
      <c r="X56" s="37"/>
      <c r="Y56" s="37"/>
      <c r="Z56" s="37"/>
      <c r="AA56" s="37"/>
      <c r="AB56" s="37"/>
      <c r="AC56" s="37"/>
      <c r="AD56" s="37"/>
      <c r="AE56" s="37"/>
      <c r="AF56" s="37"/>
      <c r="AG56" s="38" t="str">
        <f aca="false">IF(AND(ISNUMBER(E56),ISNUMBER(F56)),NETWORKDAYS.INTL(E56,F56,11),"")</f>
        <v/>
      </c>
      <c r="AH56" s="38" t="str">
        <f aca="false">IF(OR(NOT(AND(ISNUMBER(E56),ISNUMBER(F56))),$J$2=""),"",IF(Reprogramaciones!$P$15&lt;Reprogramaciones!$T$15,0,IF(Reprogramaciones!$R$15&gt;10,MIN(100,SUM($G56:$P56)),MIN(100,SUMPRODUCT((COLUMN($G56:$P56)-COLUMN($G56)+1&lt;Reprogramaciones!$R$15)*$G56:$P56)+N(INDEX($G56:$P56,1,Reprogramaciones!$R$15))*IF(Reprogramaciones!$P$15&gt;=(Reprogramaciones!$T$15+7*(Reprogramaciones!$R$15-1))+6,1,IF(MAX(0,NETWORKDAYS.INTL(MAX(E56,(Reprogramaciones!$T$15+7*(Reprogramaciones!$R$15-1))),MIN(F56,(Reprogramaciones!$T$15+7*(Reprogramaciones!$R$15-1))+6),11))=0,0,MAX(0,NETWORKDAYS.INTL(MAX(E56,(Reprogramaciones!$T$15+7*(Reprogramaciones!$R$15-1))),MIN(F56,Reprogramaciones!$P$15),11))/MAX(0,NETWORKDAYS.INTL(MAX(E56,(Reprogramaciones!$T$15+7*(Reprogramaciones!$R$15-1))),MIN(F56,(Reprogramaciones!$T$15+7*(Reprogramaciones!$R$15-1))+6),11))))))))</f>
        <v/>
      </c>
      <c r="AI56" s="38" t="str">
        <f aca="false">IF(COUNT($Q56:$AF56)=0,"",IF(ROUND(SUM($Q56:$AF56),1)&gt;=99.5,100,MIN(100,ROUND(SUM($Q56:$AF56),1))))</f>
        <v/>
      </c>
      <c r="AJ56" s="38" t="str">
        <f aca="false">IF(OR(AH56="",AI56=""),"",AI56-AH56)</f>
        <v/>
      </c>
      <c r="AK56" s="39" t="str">
        <f aca="true">IF(AH56="","",IF(OR(Ficha!$C$10="Suspendida",Ficha!$C$10="Cancelada"),Ficha!$C$10,IF(AND(AI56&lt;&gt;"",N(AI56)&gt;=100),"Completada",IF(AND(E56&gt;TODAY(),N(AI56)=0),"Por iniciar",IF(N(AI56)+0.5&lt;AH56,"Retrasada",IF(N(AI56)+0.5&lt;DA56,IF(Reprogramaciones!$K$15&gt;0,"Al día · Sem "&amp;Reprogramaciones!$K$15&amp;" en curso","Al día · en curso"),"A tiempo"))))))</f>
        <v/>
      </c>
      <c r="AL56" s="39" t="str">
        <f aca="true">IF(AND(A56="",AND(B56="",C56="",E56="",F56="",COUNT(Q56:AF56)=0)),"",IF(AND(B56="",C56="",E56="",F56="",COUNT(Q56:AF56)=0),"Falta la partida o subpartida",IF(AND(A56&lt;&gt;"",COUNTIF($A$6:$A$305,A56)&gt;1),"Ítem repetido",IF(AND(C56="",E56="",F56="",COUNT(Q56:AF56)=0),"Título de partida",IF(OR(E56="",F56=""),"Faltan fechas",IF(OR(ISTEXT(E56),ISTEXT(F56)),"Fecha escrita como texto: usa dd/mm/aaaa",IF(F56&lt;E56,"Fin antes del inicio",IF(IF($J$2="",FALSE(),OR(E56&lt;$J$2,F56&gt;Reprogramaciones!$T$15+69)),"Fuera de las 10 semanas",IF(ABS(SUM(G56:P56)-100)&gt;0.5,"La meta no suma 100%",IF(ROUND(SUM(Q56:AF56),1)&gt;100.5,"El avance pasa de 100%",IF(MIN(Q56:AF56)&lt;0,"Avance negativo",IF(COUNTA(Q56:AF56)&gt;COUNT(Q56:AF56),"Avance escrito como texto",IF(SUMPRODUCT((Q56:AF56&gt;0)*(Q56:AF56&lt;1))&gt;0,"Avance menor a 1: escribe 50, no 50%",IF(SUMPRODUCT(ISNUMBER(Q56:AF56)*(Reprogramaciones!$K$8:$Z$8&gt;TODAY()))&gt;0,"Avance en semana que aún no llega",IF(AND(N(Reprogramaciones!$E$21)&gt;0,F56&gt;Reprogramaciones!$E$21),"Pasa el fin de la obra: registra una reprogramación",IF(AND(N(Reprogramaciones!$E$21)&gt;0,SUMPRODUCT(ISNUMBER(Q56:AF56)*(Reprogramaciones!$K$8:$Z$8&gt;Reprogramaciones!$E$21))&gt;0),"Avance después del fin de la obra: registra una reprogramación por atraso","OK"))))))))))))))))</f>
        <v/>
      </c>
      <c r="AM56" s="40" t="str">
        <f aca="false">IF(OR(OR(NOT(AND(ISNUMBER(E56),ISNUMBER(F56))),$J$2=""),1&gt;MAX(1,Reprogramaciones!$U$15)),"",IF(Reprogramaciones!K$12&gt;=7,"",IF(OR(BT56-N(0)&gt;0.05,N(Q56)&gt;0),ROUNDDOWN(ROUND(BT56,6),0)&amp;"%"&amp;IF(CJ56="",""," / "&amp;CJ56&amp;"%"),IF(AND(N(0)&gt;=99.95,CJ56&lt;&gt;"",N(CJ56)&lt;100),"Pend. "&amp;CJ56&amp;"%",""))))</f>
        <v/>
      </c>
      <c r="AN56" s="40" t="str">
        <f aca="false">IF(OR(OR(NOT(AND(ISNUMBER(E56),ISNUMBER(F56))),$J$2=""),2&gt;MAX(1,Reprogramaciones!$U$15)),"",IF(Reprogramaciones!L$12&gt;=7,"",IF(OR(BU56-N(BT56)&gt;0.05,N(R56)&gt;0),ROUNDDOWN(ROUND(BU56,6),0)&amp;"%"&amp;IF(CK56="",""," / "&amp;CK56&amp;"%"),IF(AND(N(BT56)&gt;=99.95,CK56&lt;&gt;"",N(CK56)&lt;100),"Pend. "&amp;CK56&amp;"%",""))))</f>
        <v/>
      </c>
      <c r="AO56" s="40" t="str">
        <f aca="false">IF(OR(OR(NOT(AND(ISNUMBER(E56),ISNUMBER(F56))),$J$2=""),3&gt;MAX(1,Reprogramaciones!$U$15)),"",IF(Reprogramaciones!M$12&gt;=7,"",IF(OR(BV56-N(BU56)&gt;0.05,N(S56)&gt;0),ROUNDDOWN(ROUND(BV56,6),0)&amp;"%"&amp;IF(CL56="",""," / "&amp;CL56&amp;"%"),IF(AND(N(BU56)&gt;=99.95,CL56&lt;&gt;"",N(CL56)&lt;100),"Pend. "&amp;CL56&amp;"%",""))))</f>
        <v/>
      </c>
      <c r="AP56" s="40" t="str">
        <f aca="false">IF(OR(OR(NOT(AND(ISNUMBER(E56),ISNUMBER(F56))),$J$2=""),4&gt;MAX(1,Reprogramaciones!$U$15)),"",IF(Reprogramaciones!N$12&gt;=7,"",IF(OR(BW56-N(BV56)&gt;0.05,N(T56)&gt;0),ROUNDDOWN(ROUND(BW56,6),0)&amp;"%"&amp;IF(CM56="",""," / "&amp;CM56&amp;"%"),IF(AND(N(BV56)&gt;=99.95,CM56&lt;&gt;"",N(CM56)&lt;100),"Pend. "&amp;CM56&amp;"%",""))))</f>
        <v/>
      </c>
      <c r="AQ56" s="40" t="str">
        <f aca="false">IF(OR(OR(NOT(AND(ISNUMBER(E56),ISNUMBER(F56))),$J$2=""),5&gt;MAX(1,Reprogramaciones!$U$15)),"",IF(Reprogramaciones!O$12&gt;=7,"",IF(OR(BX56-N(BW56)&gt;0.05,N(U56)&gt;0),ROUNDDOWN(ROUND(BX56,6),0)&amp;"%"&amp;IF(CN56="",""," / "&amp;CN56&amp;"%"),IF(AND(N(BW56)&gt;=99.95,CN56&lt;&gt;"",N(CN56)&lt;100),"Pend. "&amp;CN56&amp;"%",""))))</f>
        <v/>
      </c>
      <c r="AR56" s="40" t="str">
        <f aca="false">IF(OR(OR(NOT(AND(ISNUMBER(E56),ISNUMBER(F56))),$J$2=""),6&gt;MAX(1,Reprogramaciones!$U$15)),"",IF(Reprogramaciones!P$12&gt;=7,"",IF(OR(BY56-N(BX56)&gt;0.05,N(V56)&gt;0),ROUNDDOWN(ROUND(BY56,6),0)&amp;"%"&amp;IF(CO56="",""," / "&amp;CO56&amp;"%"),IF(AND(N(BX56)&gt;=99.95,CO56&lt;&gt;"",N(CO56)&lt;100),"Pend. "&amp;CO56&amp;"%",""))))</f>
        <v/>
      </c>
      <c r="AS56" s="40" t="str">
        <f aca="false">IF(OR(OR(NOT(AND(ISNUMBER(E56),ISNUMBER(F56))),$J$2=""),7&gt;MAX(1,Reprogramaciones!$U$15)),"",IF(Reprogramaciones!Q$12&gt;=7,"",IF(OR(BZ56-N(BY56)&gt;0.05,N(W56)&gt;0),ROUNDDOWN(ROUND(BZ56,6),0)&amp;"%"&amp;IF(CP56="",""," / "&amp;CP56&amp;"%"),IF(AND(N(BY56)&gt;=99.95,CP56&lt;&gt;"",N(CP56)&lt;100),"Pend. "&amp;CP56&amp;"%",""))))</f>
        <v/>
      </c>
      <c r="AT56" s="40" t="str">
        <f aca="false">IF(OR(OR(NOT(AND(ISNUMBER(E56),ISNUMBER(F56))),$J$2=""),8&gt;MAX(1,Reprogramaciones!$U$15)),"",IF(Reprogramaciones!R$12&gt;=7,"",IF(OR(CA56-N(BZ56)&gt;0.05,N(X56)&gt;0),ROUNDDOWN(ROUND(CA56,6),0)&amp;"%"&amp;IF(CQ56="",""," / "&amp;CQ56&amp;"%"),IF(AND(N(BZ56)&gt;=99.95,CQ56&lt;&gt;"",N(CQ56)&lt;100),"Pend. "&amp;CQ56&amp;"%",""))))</f>
        <v/>
      </c>
      <c r="AU56" s="40" t="str">
        <f aca="false">IF(OR(OR(NOT(AND(ISNUMBER(E56),ISNUMBER(F56))),$J$2=""),9&gt;MAX(1,Reprogramaciones!$U$15)),"",IF(Reprogramaciones!S$12&gt;=7,"",IF(OR(CB56-N(CA56)&gt;0.05,N(Y56)&gt;0),ROUNDDOWN(ROUND(CB56,6),0)&amp;"%"&amp;IF(CR56="",""," / "&amp;CR56&amp;"%"),IF(AND(N(CA56)&gt;=99.95,CR56&lt;&gt;"",N(CR56)&lt;100),"Pend. "&amp;CR56&amp;"%",""))))</f>
        <v/>
      </c>
      <c r="AV56" s="40" t="str">
        <f aca="false">IF(OR(OR(NOT(AND(ISNUMBER(E56),ISNUMBER(F56))),$J$2=""),10&gt;MAX(1,Reprogramaciones!$U$15)),"",IF(Reprogramaciones!T$12&gt;=7,"",IF(OR(CC56-N(CB56)&gt;0.05,N(Z56)&gt;0),ROUNDDOWN(ROUND(CC56,6),0)&amp;"%"&amp;IF(CS56="",""," / "&amp;CS56&amp;"%"),IF(AND(N(CB56)&gt;=99.95,CS56&lt;&gt;"",N(CS56)&lt;100),"Pend. "&amp;CS56&amp;"%",""))))</f>
        <v/>
      </c>
      <c r="AW56" s="40" t="str">
        <f aca="false">IF(OR(OR(NOT(AND(ISNUMBER(E56),ISNUMBER(F56))),$J$2=""),11&gt;MAX(1,Reprogramaciones!$U$15)),"",IF(Reprogramaciones!U$12&gt;=7,"",IF(OR(CD56-N(CC56)&gt;0.05,N(AA56)&gt;0),ROUNDDOWN(ROUND(CD56,6),0)&amp;"%"&amp;IF(CT56="",""," / "&amp;CT56&amp;"%"),IF(AND(N(CC56)&gt;=99.95,CT56&lt;&gt;"",N(CT56)&lt;100),"Pend. "&amp;CT56&amp;"%",""))))</f>
        <v/>
      </c>
      <c r="AX56" s="40" t="str">
        <f aca="false">IF(OR(OR(NOT(AND(ISNUMBER(E56),ISNUMBER(F56))),$J$2=""),12&gt;MAX(1,Reprogramaciones!$U$15)),"",IF(Reprogramaciones!V$12&gt;=7,"",IF(OR(CE56-N(CD56)&gt;0.05,N(AB56)&gt;0),ROUNDDOWN(ROUND(CE56,6),0)&amp;"%"&amp;IF(CU56="",""," / "&amp;CU56&amp;"%"),IF(AND(N(CD56)&gt;=99.95,CU56&lt;&gt;"",N(CU56)&lt;100),"Pend. "&amp;CU56&amp;"%",""))))</f>
        <v/>
      </c>
      <c r="AY56" s="40" t="str">
        <f aca="false">IF(OR(OR(NOT(AND(ISNUMBER(E56),ISNUMBER(F56))),$J$2=""),13&gt;MAX(1,Reprogramaciones!$U$15)),"",IF(Reprogramaciones!W$12&gt;=7,"",IF(OR(CF56-N(CE56)&gt;0.05,N(AC56)&gt;0),ROUNDDOWN(ROUND(CF56,6),0)&amp;"%"&amp;IF(CV56="",""," / "&amp;CV56&amp;"%"),IF(AND(N(CE56)&gt;=99.95,CV56&lt;&gt;"",N(CV56)&lt;100),"Pend. "&amp;CV56&amp;"%",""))))</f>
        <v/>
      </c>
      <c r="AZ56" s="40" t="str">
        <f aca="false">IF(OR(OR(NOT(AND(ISNUMBER(E56),ISNUMBER(F56))),$J$2=""),14&gt;MAX(1,Reprogramaciones!$U$15)),"",IF(Reprogramaciones!X$12&gt;=7,"",IF(OR(CG56-N(CF56)&gt;0.05,N(AD56)&gt;0),ROUNDDOWN(ROUND(CG56,6),0)&amp;"%"&amp;IF(CW56="",""," / "&amp;CW56&amp;"%"),IF(AND(N(CF56)&gt;=99.95,CW56&lt;&gt;"",N(CW56)&lt;100),"Pend. "&amp;CW56&amp;"%",""))))</f>
        <v/>
      </c>
      <c r="BA56" s="40" t="str">
        <f aca="false">IF(OR(OR(NOT(AND(ISNUMBER(E56),ISNUMBER(F56))),$J$2=""),15&gt;MAX(1,Reprogramaciones!$U$15)),"",IF(Reprogramaciones!Y$12&gt;=7,"",IF(OR(CH56-N(CG56)&gt;0.05,N(AE56)&gt;0),ROUNDDOWN(ROUND(CH56,6),0)&amp;"%"&amp;IF(CX56="",""," / "&amp;CX56&amp;"%"),IF(AND(N(CG56)&gt;=99.95,CX56&lt;&gt;"",N(CX56)&lt;100),"Pend. "&amp;CX56&amp;"%",""))))</f>
        <v/>
      </c>
      <c r="BB56" s="40" t="str">
        <f aca="false">IF(OR(OR(NOT(AND(ISNUMBER(E56),ISNUMBER(F56))),$J$2=""),16&gt;MAX(1,Reprogramaciones!$U$15)),"",IF(Reprogramaciones!Z$12&gt;=7,"",IF(OR(CI56-N(CH56)&gt;0.05,N(AF56)&gt;0),ROUNDDOWN(ROUND(CI56,6),0)&amp;"%"&amp;IF(CY56="",""," / "&amp;CY56&amp;"%"),IF(AND(N(CH56)&gt;=99.95,CY56&lt;&gt;"",N(CY56)&lt;100),"Pend. "&amp;CY56&amp;"%",""))))</f>
        <v/>
      </c>
      <c r="BC56" s="31" t="n">
        <f aca="false">IF(AND(ISNUMBER(E56),ISNUMBER(F56)),MAX(1,NETWORKDAYS.INTL(E56,F56,11)),0)</f>
        <v>0</v>
      </c>
      <c r="BD56" s="1" t="str">
        <f aca="false">IF(OR(NOT(AND(ISNUMBER(E56),ISNUMBER(F56))),$J$2=""),"",MIN(100,ROUND(SUM($G56:G56),1)))</f>
        <v/>
      </c>
      <c r="BE56" s="1" t="str">
        <f aca="false">IF(OR(NOT(AND(ISNUMBER(E56),ISNUMBER(F56))),$J$2=""),"",MIN(100,ROUND(SUM($G56:H56),1)))</f>
        <v/>
      </c>
      <c r="BF56" s="1" t="str">
        <f aca="false">IF(OR(NOT(AND(ISNUMBER(E56),ISNUMBER(F56))),$J$2=""),"",MIN(100,ROUND(SUM($G56:I56),1)))</f>
        <v/>
      </c>
      <c r="BG56" s="1" t="str">
        <f aca="false">IF(OR(NOT(AND(ISNUMBER(E56),ISNUMBER(F56))),$J$2=""),"",MIN(100,ROUND(SUM($G56:J56),1)))</f>
        <v/>
      </c>
      <c r="BH56" s="1" t="str">
        <f aca="false">IF(OR(NOT(AND(ISNUMBER(E56),ISNUMBER(F56))),$J$2=""),"",MIN(100,ROUND(SUM($G56:K56),1)))</f>
        <v/>
      </c>
      <c r="BI56" s="1" t="str">
        <f aca="false">IF(OR(NOT(AND(ISNUMBER(E56),ISNUMBER(F56))),$J$2=""),"",MIN(100,ROUND(SUM($G56:L56),1)))</f>
        <v/>
      </c>
      <c r="BJ56" s="1" t="str">
        <f aca="false">IF(OR(NOT(AND(ISNUMBER(E56),ISNUMBER(F56))),$J$2=""),"",MIN(100,ROUND(SUM($G56:M56),1)))</f>
        <v/>
      </c>
      <c r="BK56" s="1" t="str">
        <f aca="false">IF(OR(NOT(AND(ISNUMBER(E56),ISNUMBER(F56))),$J$2=""),"",MIN(100,ROUND(SUM($G56:N56),1)))</f>
        <v/>
      </c>
      <c r="BL56" s="1" t="str">
        <f aca="false">IF(OR(NOT(AND(ISNUMBER(E56),ISNUMBER(F56))),$J$2=""),"",MIN(100,ROUND(SUM($G56:O56),1)))</f>
        <v/>
      </c>
      <c r="BM56" s="1" t="str">
        <f aca="false">IF(OR(NOT(AND(ISNUMBER(E56),ISNUMBER(F56))),$J$2=""),"",MIN(100,ROUND(SUM($G56:P56),1)))</f>
        <v/>
      </c>
      <c r="BN56" s="1" t="str">
        <f aca="false">IF(OR(NOT(AND(ISNUMBER(E56),ISNUMBER(F56))),$J$2=""),"",MIN(100,ROUND(SUM($G56:P56),1)))</f>
        <v/>
      </c>
      <c r="BO56" s="1" t="str">
        <f aca="false">IF(OR(NOT(AND(ISNUMBER(E56),ISNUMBER(F56))),$J$2=""),"",MIN(100,ROUND(SUM($G56:P56),1)))</f>
        <v/>
      </c>
      <c r="BP56" s="1" t="str">
        <f aca="false">IF(OR(NOT(AND(ISNUMBER(E56),ISNUMBER(F56))),$J$2=""),"",MIN(100,ROUND(SUM($G56:P56),1)))</f>
        <v/>
      </c>
      <c r="BQ56" s="1" t="str">
        <f aca="false">IF(OR(NOT(AND(ISNUMBER(E56),ISNUMBER(F56))),$J$2=""),"",MIN(100,ROUND(SUM($G56:P56),1)))</f>
        <v/>
      </c>
      <c r="BR56" s="1" t="str">
        <f aca="false">IF(OR(NOT(AND(ISNUMBER(E56),ISNUMBER(F56))),$J$2=""),"",MIN(100,ROUND(SUM($G56:P56),1)))</f>
        <v/>
      </c>
      <c r="BS56" s="1" t="str">
        <f aca="false">IF(OR(NOT(AND(ISNUMBER(E56),ISNUMBER(F56))),$J$2=""),"",MIN(100,ROUND(SUM($G56:P56),1)))</f>
        <v/>
      </c>
      <c r="BT56" s="1" t="str">
        <f aca="false">IF(OR(NOT(AND(ISNUMBER(E56),ISNUMBER(F56))),$J$2=""),"",IF(Reprogramaciones!K$13&lt;Reprogramaciones!$T$15,0,IF(Reprogramaciones!K$14&gt;10,MIN(100,SUM($G56:$P56)),MIN(100,SUMPRODUCT((COLUMN($G56:$P56)-COLUMN($G56)+1&lt;Reprogramaciones!K$14)*$G56:$P56)+N(INDEX($G56:$P56,1,Reprogramaciones!K$14))*IF(Reprogramaciones!K$13&gt;=(Reprogramaciones!$T$15+7*(Reprogramaciones!K$14-1))+6,1,IF(MAX(0,NETWORKDAYS.INTL(MAX(E56,(Reprogramaciones!$T$15+7*(Reprogramaciones!K$14-1))),MIN(F56,(Reprogramaciones!$T$15+7*(Reprogramaciones!K$14-1))+6),11))=0,0,MAX(0,NETWORKDAYS.INTL(MAX(E56,(Reprogramaciones!$T$15+7*(Reprogramaciones!K$14-1))),MIN(F56,Reprogramaciones!K$13),11))/MAX(0,NETWORKDAYS.INTL(MAX(E56,(Reprogramaciones!$T$15+7*(Reprogramaciones!K$14-1))),MIN(F56,(Reprogramaciones!$T$15+7*(Reprogramaciones!K$14-1))+6),11))))))))</f>
        <v/>
      </c>
      <c r="BU56" s="1" t="str">
        <f aca="false">IF(OR(NOT(AND(ISNUMBER(E56),ISNUMBER(F56))),$J$2=""),"",IF(Reprogramaciones!L$13&lt;Reprogramaciones!$T$15,0,IF(Reprogramaciones!L$14&gt;10,MIN(100,SUM($G56:$P56)),MIN(100,SUMPRODUCT((COLUMN($G56:$P56)-COLUMN($G56)+1&lt;Reprogramaciones!L$14)*$G56:$P56)+N(INDEX($G56:$P56,1,Reprogramaciones!L$14))*IF(Reprogramaciones!L$13&gt;=(Reprogramaciones!$T$15+7*(Reprogramaciones!L$14-1))+6,1,IF(MAX(0,NETWORKDAYS.INTL(MAX(E56,(Reprogramaciones!$T$15+7*(Reprogramaciones!L$14-1))),MIN(F56,(Reprogramaciones!$T$15+7*(Reprogramaciones!L$14-1))+6),11))=0,0,MAX(0,NETWORKDAYS.INTL(MAX(E56,(Reprogramaciones!$T$15+7*(Reprogramaciones!L$14-1))),MIN(F56,Reprogramaciones!L$13),11))/MAX(0,NETWORKDAYS.INTL(MAX(E56,(Reprogramaciones!$T$15+7*(Reprogramaciones!L$14-1))),MIN(F56,(Reprogramaciones!$T$15+7*(Reprogramaciones!L$14-1))+6),11))))))))</f>
        <v/>
      </c>
      <c r="BV56" s="1" t="str">
        <f aca="false">IF(OR(NOT(AND(ISNUMBER(E56),ISNUMBER(F56))),$J$2=""),"",IF(Reprogramaciones!M$13&lt;Reprogramaciones!$T$15,0,IF(Reprogramaciones!M$14&gt;10,MIN(100,SUM($G56:$P56)),MIN(100,SUMPRODUCT((COLUMN($G56:$P56)-COLUMN($G56)+1&lt;Reprogramaciones!M$14)*$G56:$P56)+N(INDEX($G56:$P56,1,Reprogramaciones!M$14))*IF(Reprogramaciones!M$13&gt;=(Reprogramaciones!$T$15+7*(Reprogramaciones!M$14-1))+6,1,IF(MAX(0,NETWORKDAYS.INTL(MAX(E56,(Reprogramaciones!$T$15+7*(Reprogramaciones!M$14-1))),MIN(F56,(Reprogramaciones!$T$15+7*(Reprogramaciones!M$14-1))+6),11))=0,0,MAX(0,NETWORKDAYS.INTL(MAX(E56,(Reprogramaciones!$T$15+7*(Reprogramaciones!M$14-1))),MIN(F56,Reprogramaciones!M$13),11))/MAX(0,NETWORKDAYS.INTL(MAX(E56,(Reprogramaciones!$T$15+7*(Reprogramaciones!M$14-1))),MIN(F56,(Reprogramaciones!$T$15+7*(Reprogramaciones!M$14-1))+6),11))))))))</f>
        <v/>
      </c>
      <c r="BW56" s="1" t="str">
        <f aca="false">IF(OR(NOT(AND(ISNUMBER(E56),ISNUMBER(F56))),$J$2=""),"",IF(Reprogramaciones!N$13&lt;Reprogramaciones!$T$15,0,IF(Reprogramaciones!N$14&gt;10,MIN(100,SUM($G56:$P56)),MIN(100,SUMPRODUCT((COLUMN($G56:$P56)-COLUMN($G56)+1&lt;Reprogramaciones!N$14)*$G56:$P56)+N(INDEX($G56:$P56,1,Reprogramaciones!N$14))*IF(Reprogramaciones!N$13&gt;=(Reprogramaciones!$T$15+7*(Reprogramaciones!N$14-1))+6,1,IF(MAX(0,NETWORKDAYS.INTL(MAX(E56,(Reprogramaciones!$T$15+7*(Reprogramaciones!N$14-1))),MIN(F56,(Reprogramaciones!$T$15+7*(Reprogramaciones!N$14-1))+6),11))=0,0,MAX(0,NETWORKDAYS.INTL(MAX(E56,(Reprogramaciones!$T$15+7*(Reprogramaciones!N$14-1))),MIN(F56,Reprogramaciones!N$13),11))/MAX(0,NETWORKDAYS.INTL(MAX(E56,(Reprogramaciones!$T$15+7*(Reprogramaciones!N$14-1))),MIN(F56,(Reprogramaciones!$T$15+7*(Reprogramaciones!N$14-1))+6),11))))))))</f>
        <v/>
      </c>
      <c r="BX56" s="1" t="str">
        <f aca="false">IF(OR(NOT(AND(ISNUMBER(E56),ISNUMBER(F56))),$J$2=""),"",IF(Reprogramaciones!O$13&lt;Reprogramaciones!$T$15,0,IF(Reprogramaciones!O$14&gt;10,MIN(100,SUM($G56:$P56)),MIN(100,SUMPRODUCT((COLUMN($G56:$P56)-COLUMN($G56)+1&lt;Reprogramaciones!O$14)*$G56:$P56)+N(INDEX($G56:$P56,1,Reprogramaciones!O$14))*IF(Reprogramaciones!O$13&gt;=(Reprogramaciones!$T$15+7*(Reprogramaciones!O$14-1))+6,1,IF(MAX(0,NETWORKDAYS.INTL(MAX(E56,(Reprogramaciones!$T$15+7*(Reprogramaciones!O$14-1))),MIN(F56,(Reprogramaciones!$T$15+7*(Reprogramaciones!O$14-1))+6),11))=0,0,MAX(0,NETWORKDAYS.INTL(MAX(E56,(Reprogramaciones!$T$15+7*(Reprogramaciones!O$14-1))),MIN(F56,Reprogramaciones!O$13),11))/MAX(0,NETWORKDAYS.INTL(MAX(E56,(Reprogramaciones!$T$15+7*(Reprogramaciones!O$14-1))),MIN(F56,(Reprogramaciones!$T$15+7*(Reprogramaciones!O$14-1))+6),11))))))))</f>
        <v/>
      </c>
      <c r="BY56" s="1" t="str">
        <f aca="false">IF(OR(NOT(AND(ISNUMBER(E56),ISNUMBER(F56))),$J$2=""),"",IF(Reprogramaciones!P$13&lt;Reprogramaciones!$T$15,0,IF(Reprogramaciones!P$14&gt;10,MIN(100,SUM($G56:$P56)),MIN(100,SUMPRODUCT((COLUMN($G56:$P56)-COLUMN($G56)+1&lt;Reprogramaciones!P$14)*$G56:$P56)+N(INDEX($G56:$P56,1,Reprogramaciones!P$14))*IF(Reprogramaciones!P$13&gt;=(Reprogramaciones!$T$15+7*(Reprogramaciones!P$14-1))+6,1,IF(MAX(0,NETWORKDAYS.INTL(MAX(E56,(Reprogramaciones!$T$15+7*(Reprogramaciones!P$14-1))),MIN(F56,(Reprogramaciones!$T$15+7*(Reprogramaciones!P$14-1))+6),11))=0,0,MAX(0,NETWORKDAYS.INTL(MAX(E56,(Reprogramaciones!$T$15+7*(Reprogramaciones!P$14-1))),MIN(F56,Reprogramaciones!P$13),11))/MAX(0,NETWORKDAYS.INTL(MAX(E56,(Reprogramaciones!$T$15+7*(Reprogramaciones!P$14-1))),MIN(F56,(Reprogramaciones!$T$15+7*(Reprogramaciones!P$14-1))+6),11))))))))</f>
        <v/>
      </c>
      <c r="BZ56" s="1" t="str">
        <f aca="false">IF(OR(NOT(AND(ISNUMBER(E56),ISNUMBER(F56))),$J$2=""),"",IF(Reprogramaciones!Q$13&lt;Reprogramaciones!$T$15,0,IF(Reprogramaciones!Q$14&gt;10,MIN(100,SUM($G56:$P56)),MIN(100,SUMPRODUCT((COLUMN($G56:$P56)-COLUMN($G56)+1&lt;Reprogramaciones!Q$14)*$G56:$P56)+N(INDEX($G56:$P56,1,Reprogramaciones!Q$14))*IF(Reprogramaciones!Q$13&gt;=(Reprogramaciones!$T$15+7*(Reprogramaciones!Q$14-1))+6,1,IF(MAX(0,NETWORKDAYS.INTL(MAX(E56,(Reprogramaciones!$T$15+7*(Reprogramaciones!Q$14-1))),MIN(F56,(Reprogramaciones!$T$15+7*(Reprogramaciones!Q$14-1))+6),11))=0,0,MAX(0,NETWORKDAYS.INTL(MAX(E56,(Reprogramaciones!$T$15+7*(Reprogramaciones!Q$14-1))),MIN(F56,Reprogramaciones!Q$13),11))/MAX(0,NETWORKDAYS.INTL(MAX(E56,(Reprogramaciones!$T$15+7*(Reprogramaciones!Q$14-1))),MIN(F56,(Reprogramaciones!$T$15+7*(Reprogramaciones!Q$14-1))+6),11))))))))</f>
        <v/>
      </c>
      <c r="CA56" s="1" t="str">
        <f aca="false">IF(OR(NOT(AND(ISNUMBER(E56),ISNUMBER(F56))),$J$2=""),"",IF(Reprogramaciones!R$13&lt;Reprogramaciones!$T$15,0,IF(Reprogramaciones!R$14&gt;10,MIN(100,SUM($G56:$P56)),MIN(100,SUMPRODUCT((COLUMN($G56:$P56)-COLUMN($G56)+1&lt;Reprogramaciones!R$14)*$G56:$P56)+N(INDEX($G56:$P56,1,Reprogramaciones!R$14))*IF(Reprogramaciones!R$13&gt;=(Reprogramaciones!$T$15+7*(Reprogramaciones!R$14-1))+6,1,IF(MAX(0,NETWORKDAYS.INTL(MAX(E56,(Reprogramaciones!$T$15+7*(Reprogramaciones!R$14-1))),MIN(F56,(Reprogramaciones!$T$15+7*(Reprogramaciones!R$14-1))+6),11))=0,0,MAX(0,NETWORKDAYS.INTL(MAX(E56,(Reprogramaciones!$T$15+7*(Reprogramaciones!R$14-1))),MIN(F56,Reprogramaciones!R$13),11))/MAX(0,NETWORKDAYS.INTL(MAX(E56,(Reprogramaciones!$T$15+7*(Reprogramaciones!R$14-1))),MIN(F56,(Reprogramaciones!$T$15+7*(Reprogramaciones!R$14-1))+6),11))))))))</f>
        <v/>
      </c>
      <c r="CB56" s="1" t="str">
        <f aca="false">IF(OR(NOT(AND(ISNUMBER(E56),ISNUMBER(F56))),$J$2=""),"",IF(Reprogramaciones!S$13&lt;Reprogramaciones!$T$15,0,IF(Reprogramaciones!S$14&gt;10,MIN(100,SUM($G56:$P56)),MIN(100,SUMPRODUCT((COLUMN($G56:$P56)-COLUMN($G56)+1&lt;Reprogramaciones!S$14)*$G56:$P56)+N(INDEX($G56:$P56,1,Reprogramaciones!S$14))*IF(Reprogramaciones!S$13&gt;=(Reprogramaciones!$T$15+7*(Reprogramaciones!S$14-1))+6,1,IF(MAX(0,NETWORKDAYS.INTL(MAX(E56,(Reprogramaciones!$T$15+7*(Reprogramaciones!S$14-1))),MIN(F56,(Reprogramaciones!$T$15+7*(Reprogramaciones!S$14-1))+6),11))=0,0,MAX(0,NETWORKDAYS.INTL(MAX(E56,(Reprogramaciones!$T$15+7*(Reprogramaciones!S$14-1))),MIN(F56,Reprogramaciones!S$13),11))/MAX(0,NETWORKDAYS.INTL(MAX(E56,(Reprogramaciones!$T$15+7*(Reprogramaciones!S$14-1))),MIN(F56,(Reprogramaciones!$T$15+7*(Reprogramaciones!S$14-1))+6),11))))))))</f>
        <v/>
      </c>
      <c r="CC56" s="1" t="str">
        <f aca="false">IF(OR(NOT(AND(ISNUMBER(E56),ISNUMBER(F56))),$J$2=""),"",IF(Reprogramaciones!T$13&lt;Reprogramaciones!$T$15,0,IF(Reprogramaciones!T$14&gt;10,MIN(100,SUM($G56:$P56)),MIN(100,SUMPRODUCT((COLUMN($G56:$P56)-COLUMN($G56)+1&lt;Reprogramaciones!T$14)*$G56:$P56)+N(INDEX($G56:$P56,1,Reprogramaciones!T$14))*IF(Reprogramaciones!T$13&gt;=(Reprogramaciones!$T$15+7*(Reprogramaciones!T$14-1))+6,1,IF(MAX(0,NETWORKDAYS.INTL(MAX(E56,(Reprogramaciones!$T$15+7*(Reprogramaciones!T$14-1))),MIN(F56,(Reprogramaciones!$T$15+7*(Reprogramaciones!T$14-1))+6),11))=0,0,MAX(0,NETWORKDAYS.INTL(MAX(E56,(Reprogramaciones!$T$15+7*(Reprogramaciones!T$14-1))),MIN(F56,Reprogramaciones!T$13),11))/MAX(0,NETWORKDAYS.INTL(MAX(E56,(Reprogramaciones!$T$15+7*(Reprogramaciones!T$14-1))),MIN(F56,(Reprogramaciones!$T$15+7*(Reprogramaciones!T$14-1))+6),11))))))))</f>
        <v/>
      </c>
      <c r="CD56" s="1" t="str">
        <f aca="false">IF(OR(NOT(AND(ISNUMBER(E56),ISNUMBER(F56))),$J$2=""),"",IF(Reprogramaciones!U$13&lt;Reprogramaciones!$T$15,0,IF(Reprogramaciones!U$14&gt;10,MIN(100,SUM($G56:$P56)),MIN(100,SUMPRODUCT((COLUMN($G56:$P56)-COLUMN($G56)+1&lt;Reprogramaciones!U$14)*$G56:$P56)+N(INDEX($G56:$P56,1,Reprogramaciones!U$14))*IF(Reprogramaciones!U$13&gt;=(Reprogramaciones!$T$15+7*(Reprogramaciones!U$14-1))+6,1,IF(MAX(0,NETWORKDAYS.INTL(MAX(E56,(Reprogramaciones!$T$15+7*(Reprogramaciones!U$14-1))),MIN(F56,(Reprogramaciones!$T$15+7*(Reprogramaciones!U$14-1))+6),11))=0,0,MAX(0,NETWORKDAYS.INTL(MAX(E56,(Reprogramaciones!$T$15+7*(Reprogramaciones!U$14-1))),MIN(F56,Reprogramaciones!U$13),11))/MAX(0,NETWORKDAYS.INTL(MAX(E56,(Reprogramaciones!$T$15+7*(Reprogramaciones!U$14-1))),MIN(F56,(Reprogramaciones!$T$15+7*(Reprogramaciones!U$14-1))+6),11))))))))</f>
        <v/>
      </c>
      <c r="CE56" s="1" t="str">
        <f aca="false">IF(OR(NOT(AND(ISNUMBER(E56),ISNUMBER(F56))),$J$2=""),"",IF(Reprogramaciones!V$13&lt;Reprogramaciones!$T$15,0,IF(Reprogramaciones!V$14&gt;10,MIN(100,SUM($G56:$P56)),MIN(100,SUMPRODUCT((COLUMN($G56:$P56)-COLUMN($G56)+1&lt;Reprogramaciones!V$14)*$G56:$P56)+N(INDEX($G56:$P56,1,Reprogramaciones!V$14))*IF(Reprogramaciones!V$13&gt;=(Reprogramaciones!$T$15+7*(Reprogramaciones!V$14-1))+6,1,IF(MAX(0,NETWORKDAYS.INTL(MAX(E56,(Reprogramaciones!$T$15+7*(Reprogramaciones!V$14-1))),MIN(F56,(Reprogramaciones!$T$15+7*(Reprogramaciones!V$14-1))+6),11))=0,0,MAX(0,NETWORKDAYS.INTL(MAX(E56,(Reprogramaciones!$T$15+7*(Reprogramaciones!V$14-1))),MIN(F56,Reprogramaciones!V$13),11))/MAX(0,NETWORKDAYS.INTL(MAX(E56,(Reprogramaciones!$T$15+7*(Reprogramaciones!V$14-1))),MIN(F56,(Reprogramaciones!$T$15+7*(Reprogramaciones!V$14-1))+6),11))))))))</f>
        <v/>
      </c>
      <c r="CF56" s="1" t="str">
        <f aca="false">IF(OR(NOT(AND(ISNUMBER(E56),ISNUMBER(F56))),$J$2=""),"",IF(Reprogramaciones!W$13&lt;Reprogramaciones!$T$15,0,IF(Reprogramaciones!W$14&gt;10,MIN(100,SUM($G56:$P56)),MIN(100,SUMPRODUCT((COLUMN($G56:$P56)-COLUMN($G56)+1&lt;Reprogramaciones!W$14)*$G56:$P56)+N(INDEX($G56:$P56,1,Reprogramaciones!W$14))*IF(Reprogramaciones!W$13&gt;=(Reprogramaciones!$T$15+7*(Reprogramaciones!W$14-1))+6,1,IF(MAX(0,NETWORKDAYS.INTL(MAX(E56,(Reprogramaciones!$T$15+7*(Reprogramaciones!W$14-1))),MIN(F56,(Reprogramaciones!$T$15+7*(Reprogramaciones!W$14-1))+6),11))=0,0,MAX(0,NETWORKDAYS.INTL(MAX(E56,(Reprogramaciones!$T$15+7*(Reprogramaciones!W$14-1))),MIN(F56,Reprogramaciones!W$13),11))/MAX(0,NETWORKDAYS.INTL(MAX(E56,(Reprogramaciones!$T$15+7*(Reprogramaciones!W$14-1))),MIN(F56,(Reprogramaciones!$T$15+7*(Reprogramaciones!W$14-1))+6),11))))))))</f>
        <v/>
      </c>
      <c r="CG56" s="1" t="str">
        <f aca="false">IF(OR(NOT(AND(ISNUMBER(E56),ISNUMBER(F56))),$J$2=""),"",IF(Reprogramaciones!X$13&lt;Reprogramaciones!$T$15,0,IF(Reprogramaciones!X$14&gt;10,MIN(100,SUM($G56:$P56)),MIN(100,SUMPRODUCT((COLUMN($G56:$P56)-COLUMN($G56)+1&lt;Reprogramaciones!X$14)*$G56:$P56)+N(INDEX($G56:$P56,1,Reprogramaciones!X$14))*IF(Reprogramaciones!X$13&gt;=(Reprogramaciones!$T$15+7*(Reprogramaciones!X$14-1))+6,1,IF(MAX(0,NETWORKDAYS.INTL(MAX(E56,(Reprogramaciones!$T$15+7*(Reprogramaciones!X$14-1))),MIN(F56,(Reprogramaciones!$T$15+7*(Reprogramaciones!X$14-1))+6),11))=0,0,MAX(0,NETWORKDAYS.INTL(MAX(E56,(Reprogramaciones!$T$15+7*(Reprogramaciones!X$14-1))),MIN(F56,Reprogramaciones!X$13),11))/MAX(0,NETWORKDAYS.INTL(MAX(E56,(Reprogramaciones!$T$15+7*(Reprogramaciones!X$14-1))),MIN(F56,(Reprogramaciones!$T$15+7*(Reprogramaciones!X$14-1))+6),11))))))))</f>
        <v/>
      </c>
      <c r="CH56" s="1" t="str">
        <f aca="false">IF(OR(NOT(AND(ISNUMBER(E56),ISNUMBER(F56))),$J$2=""),"",IF(Reprogramaciones!Y$13&lt;Reprogramaciones!$T$15,0,IF(Reprogramaciones!Y$14&gt;10,MIN(100,SUM($G56:$P56)),MIN(100,SUMPRODUCT((COLUMN($G56:$P56)-COLUMN($G56)+1&lt;Reprogramaciones!Y$14)*$G56:$P56)+N(INDEX($G56:$P56,1,Reprogramaciones!Y$14))*IF(Reprogramaciones!Y$13&gt;=(Reprogramaciones!$T$15+7*(Reprogramaciones!Y$14-1))+6,1,IF(MAX(0,NETWORKDAYS.INTL(MAX(E56,(Reprogramaciones!$T$15+7*(Reprogramaciones!Y$14-1))),MIN(F56,(Reprogramaciones!$T$15+7*(Reprogramaciones!Y$14-1))+6),11))=0,0,MAX(0,NETWORKDAYS.INTL(MAX(E56,(Reprogramaciones!$T$15+7*(Reprogramaciones!Y$14-1))),MIN(F56,Reprogramaciones!Y$13),11))/MAX(0,NETWORKDAYS.INTL(MAX(E56,(Reprogramaciones!$T$15+7*(Reprogramaciones!Y$14-1))),MIN(F56,(Reprogramaciones!$T$15+7*(Reprogramaciones!Y$14-1))+6),11))))))))</f>
        <v/>
      </c>
      <c r="CI56" s="1" t="str">
        <f aca="false">IF(OR(NOT(AND(ISNUMBER(E56),ISNUMBER(F56))),$J$2=""),"",IF(Reprogramaciones!Z$13&lt;Reprogramaciones!$T$15,0,IF(Reprogramaciones!Z$14&gt;10,MIN(100,SUM($G56:$P56)),MIN(100,SUMPRODUCT((COLUMN($G56:$P56)-COLUMN($G56)+1&lt;Reprogramaciones!Z$14)*$G56:$P56)+N(INDEX($G56:$P56,1,Reprogramaciones!Z$14))*IF(Reprogramaciones!Z$13&gt;=(Reprogramaciones!$T$15+7*(Reprogramaciones!Z$14-1))+6,1,IF(MAX(0,NETWORKDAYS.INTL(MAX(E56,(Reprogramaciones!$T$15+7*(Reprogramaciones!Z$14-1))),MIN(F56,(Reprogramaciones!$T$15+7*(Reprogramaciones!Z$14-1))+6),11))=0,0,MAX(0,NETWORKDAYS.INTL(MAX(E56,(Reprogramaciones!$T$15+7*(Reprogramaciones!Z$14-1))),MIN(F56,Reprogramaciones!Z$13),11))/MAX(0,NETWORKDAYS.INTL(MAX(E56,(Reprogramaciones!$T$15+7*(Reprogramaciones!Z$14-1))),MIN(F56,(Reprogramaciones!$T$15+7*(Reprogramaciones!Z$14-1))+6),11))))))))</f>
        <v/>
      </c>
      <c r="CJ56" s="1" t="str">
        <f aca="false">IF(OR(OR(NOT(AND(ISNUMBER(E56),ISNUMBER(F56))),$J$2=""),1&gt;Reprogramaciones!$K$16),"",IF(ROUND(SUM($Q56:Q56),1)&gt;=99.5,100,MIN(100,ROUND(SUM($Q56:Q56),1))))</f>
        <v/>
      </c>
      <c r="CK56" s="1" t="str">
        <f aca="false">IF(OR(OR(NOT(AND(ISNUMBER(E56),ISNUMBER(F56))),$J$2=""),2&gt;Reprogramaciones!$K$16),"",IF(ROUND(SUM($Q56:R56),1)&gt;=99.5,100,MIN(100,ROUND(SUM($Q56:R56),1))))</f>
        <v/>
      </c>
      <c r="CL56" s="1" t="str">
        <f aca="false">IF(OR(OR(NOT(AND(ISNUMBER(E56),ISNUMBER(F56))),$J$2=""),3&gt;Reprogramaciones!$K$16),"",IF(ROUND(SUM($Q56:S56),1)&gt;=99.5,100,MIN(100,ROUND(SUM($Q56:S56),1))))</f>
        <v/>
      </c>
      <c r="CM56" s="1" t="str">
        <f aca="false">IF(OR(OR(NOT(AND(ISNUMBER(E56),ISNUMBER(F56))),$J$2=""),4&gt;Reprogramaciones!$K$16),"",IF(ROUND(SUM($Q56:T56),1)&gt;=99.5,100,MIN(100,ROUND(SUM($Q56:T56),1))))</f>
        <v/>
      </c>
      <c r="CN56" s="1" t="str">
        <f aca="false">IF(OR(OR(NOT(AND(ISNUMBER(E56),ISNUMBER(F56))),$J$2=""),5&gt;Reprogramaciones!$K$16),"",IF(ROUND(SUM($Q56:U56),1)&gt;=99.5,100,MIN(100,ROUND(SUM($Q56:U56),1))))</f>
        <v/>
      </c>
      <c r="CO56" s="1" t="str">
        <f aca="false">IF(OR(OR(NOT(AND(ISNUMBER(E56),ISNUMBER(F56))),$J$2=""),6&gt;Reprogramaciones!$K$16),"",IF(ROUND(SUM($Q56:V56),1)&gt;=99.5,100,MIN(100,ROUND(SUM($Q56:V56),1))))</f>
        <v/>
      </c>
      <c r="CP56" s="1" t="str">
        <f aca="false">IF(OR(OR(NOT(AND(ISNUMBER(E56),ISNUMBER(F56))),$J$2=""),7&gt;Reprogramaciones!$K$16),"",IF(ROUND(SUM($Q56:W56),1)&gt;=99.5,100,MIN(100,ROUND(SUM($Q56:W56),1))))</f>
        <v/>
      </c>
      <c r="CQ56" s="1" t="str">
        <f aca="false">IF(OR(OR(NOT(AND(ISNUMBER(E56),ISNUMBER(F56))),$J$2=""),8&gt;Reprogramaciones!$K$16),"",IF(ROUND(SUM($Q56:X56),1)&gt;=99.5,100,MIN(100,ROUND(SUM($Q56:X56),1))))</f>
        <v/>
      </c>
      <c r="CR56" s="1" t="str">
        <f aca="false">IF(OR(OR(NOT(AND(ISNUMBER(E56),ISNUMBER(F56))),$J$2=""),9&gt;Reprogramaciones!$K$16),"",IF(ROUND(SUM($Q56:Y56),1)&gt;=99.5,100,MIN(100,ROUND(SUM($Q56:Y56),1))))</f>
        <v/>
      </c>
      <c r="CS56" s="1" t="str">
        <f aca="false">IF(OR(OR(NOT(AND(ISNUMBER(E56),ISNUMBER(F56))),$J$2=""),10&gt;Reprogramaciones!$K$16),"",IF(ROUND(SUM($Q56:Z56),1)&gt;=99.5,100,MIN(100,ROUND(SUM($Q56:Z56),1))))</f>
        <v/>
      </c>
      <c r="CT56" s="1" t="str">
        <f aca="false">IF(OR(OR(NOT(AND(ISNUMBER(E56),ISNUMBER(F56))),$J$2=""),11&gt;Reprogramaciones!$K$16),"",IF(ROUND(SUM($Q56:AA56),1)&gt;=99.5,100,MIN(100,ROUND(SUM($Q56:AA56),1))))</f>
        <v/>
      </c>
      <c r="CU56" s="1" t="str">
        <f aca="false">IF(OR(OR(NOT(AND(ISNUMBER(E56),ISNUMBER(F56))),$J$2=""),12&gt;Reprogramaciones!$K$16),"",IF(ROUND(SUM($Q56:AB56),1)&gt;=99.5,100,MIN(100,ROUND(SUM($Q56:AB56),1))))</f>
        <v/>
      </c>
      <c r="CV56" s="1" t="str">
        <f aca="false">IF(OR(OR(NOT(AND(ISNUMBER(E56),ISNUMBER(F56))),$J$2=""),13&gt;Reprogramaciones!$K$16),"",IF(ROUND(SUM($Q56:AC56),1)&gt;=99.5,100,MIN(100,ROUND(SUM($Q56:AC56),1))))</f>
        <v/>
      </c>
      <c r="CW56" s="1" t="str">
        <f aca="false">IF(OR(OR(NOT(AND(ISNUMBER(E56),ISNUMBER(F56))),$J$2=""),14&gt;Reprogramaciones!$K$16),"",IF(ROUND(SUM($Q56:AD56),1)&gt;=99.5,100,MIN(100,ROUND(SUM($Q56:AD56),1))))</f>
        <v/>
      </c>
      <c r="CX56" s="1" t="str">
        <f aca="false">IF(OR(OR(NOT(AND(ISNUMBER(E56),ISNUMBER(F56))),$J$2=""),15&gt;Reprogramaciones!$K$16),"",IF(ROUND(SUM($Q56:AE56),1)&gt;=99.5,100,MIN(100,ROUND(SUM($Q56:AE56),1))))</f>
        <v/>
      </c>
      <c r="CY56" s="1" t="str">
        <f aca="false">IF(OR(OR(NOT(AND(ISNUMBER(E56),ISNUMBER(F56))),$J$2=""),16&gt;Reprogramaciones!$K$16),"",IF(ROUND(SUM($Q56:AF56),1)&gt;=99.5,100,MIN(100,ROUND(SUM($Q56:AF56),1))))</f>
        <v/>
      </c>
      <c r="CZ56" s="1" t="str">
        <f aca="false">IF(D56&lt;&gt;"",D56,IF(B56&lt;&gt;"","Contractual",CZ55))</f>
        <v>Contractual</v>
      </c>
      <c r="DA56" s="1" t="str">
        <f aca="false">IF(OR(NOT(AND(ISNUMBER(E56),ISNUMBER(F56))),$J$2=""),"",IF(Reprogramaciones!$Q$15&lt;Reprogramaciones!$T$15,0,IF(Reprogramaciones!$S$15&gt;10,MIN(100,SUM($G56:$P56)),MIN(100,SUMPRODUCT((COLUMN($G56:$P56)-COLUMN($G56)+1&lt;Reprogramaciones!$S$15)*$G56:$P56)+N(INDEX($G56:$P56,1,Reprogramaciones!$S$15))*IF(Reprogramaciones!$Q$15&gt;=(Reprogramaciones!$T$15+7*(Reprogramaciones!$S$15-1))+6,1,IF(MAX(0,NETWORKDAYS.INTL(MAX(E56,(Reprogramaciones!$T$15+7*(Reprogramaciones!$S$15-1))),MIN(F56,(Reprogramaciones!$T$15+7*(Reprogramaciones!$S$15-1))+6),11))=0,0,MAX(0,NETWORKDAYS.INTL(MAX(E56,(Reprogramaciones!$T$15+7*(Reprogramaciones!$S$15-1))),MIN(F56,Reprogramaciones!$Q$15),11))/MAX(0,NETWORKDAYS.INTL(MAX(E56,(Reprogramaciones!$T$15+7*(Reprogramaciones!$S$15-1))),MIN(F56,(Reprogramaciones!$T$15+7*(Reprogramaciones!$S$15-1))+6),11))))))))</f>
        <v/>
      </c>
    </row>
    <row r="57" customFormat="false" ht="15" hidden="false" customHeight="false" outlineLevel="0" collapsed="false">
      <c r="A57" s="32"/>
      <c r="B57" s="33"/>
      <c r="C57" s="33"/>
      <c r="D57" s="34"/>
      <c r="E57" s="35"/>
      <c r="F57" s="35"/>
      <c r="G57" s="36" t="str">
        <f aca="false">IF(OR(NOT(AND(ISNUMBER(E57),ISNUMBER(F57))),$J$2=""),"",IF(Reprogramaciones!K$9&lt;E57,0,IF(NETWORKDAYS.INTL(E57,F57,11)=0,IF(Reprogramaciones!K$9&gt;=F57,100,0),ROUND(NETWORKDAYS.INTL(E57,MIN(F57,Reprogramaciones!K$9),11)/NETWORKDAYS.INTL(E57,F57,11)*100,1)))-0)</f>
        <v/>
      </c>
      <c r="H57" s="36" t="str">
        <f aca="false">IF(OR(NOT(AND(ISNUMBER(E57),ISNUMBER(F57))),$J$2=""),"",IF(Reprogramaciones!L$9&lt;E57,0,IF(NETWORKDAYS.INTL(E57,F57,11)=0,IF(Reprogramaciones!L$9&gt;=F57,100,0),ROUND(NETWORKDAYS.INTL(E57,MIN(F57,Reprogramaciones!L$9),11)/NETWORKDAYS.INTL(E57,F57,11)*100,1)))-IF(Reprogramaciones!K$9&lt;E57,0,IF(NETWORKDAYS.INTL(E57,F57,11)=0,IF(Reprogramaciones!K$9&gt;=F57,100,0),ROUND(NETWORKDAYS.INTL(E57,MIN(F57,Reprogramaciones!K$9),11)/NETWORKDAYS.INTL(E57,F57,11)*100,1))))</f>
        <v/>
      </c>
      <c r="I57" s="36" t="str">
        <f aca="false">IF(OR(NOT(AND(ISNUMBER(E57),ISNUMBER(F57))),$J$2=""),"",IF(Reprogramaciones!M$9&lt;E57,0,IF(NETWORKDAYS.INTL(E57,F57,11)=0,IF(Reprogramaciones!M$9&gt;=F57,100,0),ROUND(NETWORKDAYS.INTL(E57,MIN(F57,Reprogramaciones!M$9),11)/NETWORKDAYS.INTL(E57,F57,11)*100,1)))-IF(Reprogramaciones!L$9&lt;E57,0,IF(NETWORKDAYS.INTL(E57,F57,11)=0,IF(Reprogramaciones!L$9&gt;=F57,100,0),ROUND(NETWORKDAYS.INTL(E57,MIN(F57,Reprogramaciones!L$9),11)/NETWORKDAYS.INTL(E57,F57,11)*100,1))))</f>
        <v/>
      </c>
      <c r="J57" s="36" t="str">
        <f aca="false">IF(OR(NOT(AND(ISNUMBER(E57),ISNUMBER(F57))),$J$2=""),"",IF(Reprogramaciones!N$9&lt;E57,0,IF(NETWORKDAYS.INTL(E57,F57,11)=0,IF(Reprogramaciones!N$9&gt;=F57,100,0),ROUND(NETWORKDAYS.INTL(E57,MIN(F57,Reprogramaciones!N$9),11)/NETWORKDAYS.INTL(E57,F57,11)*100,1)))-IF(Reprogramaciones!M$9&lt;E57,0,IF(NETWORKDAYS.INTL(E57,F57,11)=0,IF(Reprogramaciones!M$9&gt;=F57,100,0),ROUND(NETWORKDAYS.INTL(E57,MIN(F57,Reprogramaciones!M$9),11)/NETWORKDAYS.INTL(E57,F57,11)*100,1))))</f>
        <v/>
      </c>
      <c r="K57" s="36" t="str">
        <f aca="false">IF(OR(NOT(AND(ISNUMBER(E57),ISNUMBER(F57))),$J$2=""),"",IF(Reprogramaciones!O$9&lt;E57,0,IF(NETWORKDAYS.INTL(E57,F57,11)=0,IF(Reprogramaciones!O$9&gt;=F57,100,0),ROUND(NETWORKDAYS.INTL(E57,MIN(F57,Reprogramaciones!O$9),11)/NETWORKDAYS.INTL(E57,F57,11)*100,1)))-IF(Reprogramaciones!N$9&lt;E57,0,IF(NETWORKDAYS.INTL(E57,F57,11)=0,IF(Reprogramaciones!N$9&gt;=F57,100,0),ROUND(NETWORKDAYS.INTL(E57,MIN(F57,Reprogramaciones!N$9),11)/NETWORKDAYS.INTL(E57,F57,11)*100,1))))</f>
        <v/>
      </c>
      <c r="L57" s="36" t="str">
        <f aca="false">IF(OR(NOT(AND(ISNUMBER(E57),ISNUMBER(F57))),$J$2=""),"",IF(Reprogramaciones!P$9&lt;E57,0,IF(NETWORKDAYS.INTL(E57,F57,11)=0,IF(Reprogramaciones!P$9&gt;=F57,100,0),ROUND(NETWORKDAYS.INTL(E57,MIN(F57,Reprogramaciones!P$9),11)/NETWORKDAYS.INTL(E57,F57,11)*100,1)))-IF(Reprogramaciones!O$9&lt;E57,0,IF(NETWORKDAYS.INTL(E57,F57,11)=0,IF(Reprogramaciones!O$9&gt;=F57,100,0),ROUND(NETWORKDAYS.INTL(E57,MIN(F57,Reprogramaciones!O$9),11)/NETWORKDAYS.INTL(E57,F57,11)*100,1))))</f>
        <v/>
      </c>
      <c r="M57" s="36" t="str">
        <f aca="false">IF(OR(NOT(AND(ISNUMBER(E57),ISNUMBER(F57))),$J$2=""),"",IF(Reprogramaciones!Q$9&lt;E57,0,IF(NETWORKDAYS.INTL(E57,F57,11)=0,IF(Reprogramaciones!Q$9&gt;=F57,100,0),ROUND(NETWORKDAYS.INTL(E57,MIN(F57,Reprogramaciones!Q$9),11)/NETWORKDAYS.INTL(E57,F57,11)*100,1)))-IF(Reprogramaciones!P$9&lt;E57,0,IF(NETWORKDAYS.INTL(E57,F57,11)=0,IF(Reprogramaciones!P$9&gt;=F57,100,0),ROUND(NETWORKDAYS.INTL(E57,MIN(F57,Reprogramaciones!P$9),11)/NETWORKDAYS.INTL(E57,F57,11)*100,1))))</f>
        <v/>
      </c>
      <c r="N57" s="36" t="str">
        <f aca="false">IF(OR(NOT(AND(ISNUMBER(E57),ISNUMBER(F57))),$J$2=""),"",IF(Reprogramaciones!R$9&lt;E57,0,IF(NETWORKDAYS.INTL(E57,F57,11)=0,IF(Reprogramaciones!R$9&gt;=F57,100,0),ROUND(NETWORKDAYS.INTL(E57,MIN(F57,Reprogramaciones!R$9),11)/NETWORKDAYS.INTL(E57,F57,11)*100,1)))-IF(Reprogramaciones!Q$9&lt;E57,0,IF(NETWORKDAYS.INTL(E57,F57,11)=0,IF(Reprogramaciones!Q$9&gt;=F57,100,0),ROUND(NETWORKDAYS.INTL(E57,MIN(F57,Reprogramaciones!Q$9),11)/NETWORKDAYS.INTL(E57,F57,11)*100,1))))</f>
        <v/>
      </c>
      <c r="O57" s="36" t="str">
        <f aca="false">IF(OR(NOT(AND(ISNUMBER(E57),ISNUMBER(F57))),$J$2=""),"",IF(Reprogramaciones!S$9&lt;E57,0,IF(NETWORKDAYS.INTL(E57,F57,11)=0,IF(Reprogramaciones!S$9&gt;=F57,100,0),ROUND(NETWORKDAYS.INTL(E57,MIN(F57,Reprogramaciones!S$9),11)/NETWORKDAYS.INTL(E57,F57,11)*100,1)))-IF(Reprogramaciones!R$9&lt;E57,0,IF(NETWORKDAYS.INTL(E57,F57,11)=0,IF(Reprogramaciones!R$9&gt;=F57,100,0),ROUND(NETWORKDAYS.INTL(E57,MIN(F57,Reprogramaciones!R$9),11)/NETWORKDAYS.INTL(E57,F57,11)*100,1))))</f>
        <v/>
      </c>
      <c r="P57" s="36" t="str">
        <f aca="false">IF(OR(NOT(AND(ISNUMBER(E57),ISNUMBER(F57))),$J$2=""),"",IF(Reprogramaciones!T$9&lt;E57,0,IF(NETWORKDAYS.INTL(E57,F57,11)=0,IF(Reprogramaciones!T$9&gt;=F57,100,0),ROUND(NETWORKDAYS.INTL(E57,MIN(F57,Reprogramaciones!T$9),11)/NETWORKDAYS.INTL(E57,F57,11)*100,1)))-IF(Reprogramaciones!S$9&lt;E57,0,IF(NETWORKDAYS.INTL(E57,F57,11)=0,IF(Reprogramaciones!S$9&gt;=F57,100,0),ROUND(NETWORKDAYS.INTL(E57,MIN(F57,Reprogramaciones!S$9),11)/NETWORKDAYS.INTL(E57,F57,11)*100,1))))</f>
        <v/>
      </c>
      <c r="Q57" s="37"/>
      <c r="R57" s="37"/>
      <c r="S57" s="37"/>
      <c r="T57" s="37"/>
      <c r="U57" s="37"/>
      <c r="V57" s="37"/>
      <c r="W57" s="37"/>
      <c r="X57" s="37"/>
      <c r="Y57" s="37"/>
      <c r="Z57" s="37"/>
      <c r="AA57" s="37"/>
      <c r="AB57" s="37"/>
      <c r="AC57" s="37"/>
      <c r="AD57" s="37"/>
      <c r="AE57" s="37"/>
      <c r="AF57" s="37"/>
      <c r="AG57" s="38" t="str">
        <f aca="false">IF(AND(ISNUMBER(E57),ISNUMBER(F57)),NETWORKDAYS.INTL(E57,F57,11),"")</f>
        <v/>
      </c>
      <c r="AH57" s="38" t="str">
        <f aca="false">IF(OR(NOT(AND(ISNUMBER(E57),ISNUMBER(F57))),$J$2=""),"",IF(Reprogramaciones!$P$15&lt;Reprogramaciones!$T$15,0,IF(Reprogramaciones!$R$15&gt;10,MIN(100,SUM($G57:$P57)),MIN(100,SUMPRODUCT((COLUMN($G57:$P57)-COLUMN($G57)+1&lt;Reprogramaciones!$R$15)*$G57:$P57)+N(INDEX($G57:$P57,1,Reprogramaciones!$R$15))*IF(Reprogramaciones!$P$15&gt;=(Reprogramaciones!$T$15+7*(Reprogramaciones!$R$15-1))+6,1,IF(MAX(0,NETWORKDAYS.INTL(MAX(E57,(Reprogramaciones!$T$15+7*(Reprogramaciones!$R$15-1))),MIN(F57,(Reprogramaciones!$T$15+7*(Reprogramaciones!$R$15-1))+6),11))=0,0,MAX(0,NETWORKDAYS.INTL(MAX(E57,(Reprogramaciones!$T$15+7*(Reprogramaciones!$R$15-1))),MIN(F57,Reprogramaciones!$P$15),11))/MAX(0,NETWORKDAYS.INTL(MAX(E57,(Reprogramaciones!$T$15+7*(Reprogramaciones!$R$15-1))),MIN(F57,(Reprogramaciones!$T$15+7*(Reprogramaciones!$R$15-1))+6),11))))))))</f>
        <v/>
      </c>
      <c r="AI57" s="38" t="str">
        <f aca="false">IF(COUNT($Q57:$AF57)=0,"",IF(ROUND(SUM($Q57:$AF57),1)&gt;=99.5,100,MIN(100,ROUND(SUM($Q57:$AF57),1))))</f>
        <v/>
      </c>
      <c r="AJ57" s="38" t="str">
        <f aca="false">IF(OR(AH57="",AI57=""),"",AI57-AH57)</f>
        <v/>
      </c>
      <c r="AK57" s="39" t="str">
        <f aca="true">IF(AH57="","",IF(OR(Ficha!$C$10="Suspendida",Ficha!$C$10="Cancelada"),Ficha!$C$10,IF(AND(AI57&lt;&gt;"",N(AI57)&gt;=100),"Completada",IF(AND(E57&gt;TODAY(),N(AI57)=0),"Por iniciar",IF(N(AI57)+0.5&lt;AH57,"Retrasada",IF(N(AI57)+0.5&lt;DA57,IF(Reprogramaciones!$K$15&gt;0,"Al día · Sem "&amp;Reprogramaciones!$K$15&amp;" en curso","Al día · en curso"),"A tiempo"))))))</f>
        <v/>
      </c>
      <c r="AL57" s="39" t="str">
        <f aca="true">IF(AND(A57="",AND(B57="",C57="",E57="",F57="",COUNT(Q57:AF57)=0)),"",IF(AND(B57="",C57="",E57="",F57="",COUNT(Q57:AF57)=0),"Falta la partida o subpartida",IF(AND(A57&lt;&gt;"",COUNTIF($A$6:$A$305,A57)&gt;1),"Ítem repetido",IF(AND(C57="",E57="",F57="",COUNT(Q57:AF57)=0),"Título de partida",IF(OR(E57="",F57=""),"Faltan fechas",IF(OR(ISTEXT(E57),ISTEXT(F57)),"Fecha escrita como texto: usa dd/mm/aaaa",IF(F57&lt;E57,"Fin antes del inicio",IF(IF($J$2="",FALSE(),OR(E57&lt;$J$2,F57&gt;Reprogramaciones!$T$15+69)),"Fuera de las 10 semanas",IF(ABS(SUM(G57:P57)-100)&gt;0.5,"La meta no suma 100%",IF(ROUND(SUM(Q57:AF57),1)&gt;100.5,"El avance pasa de 100%",IF(MIN(Q57:AF57)&lt;0,"Avance negativo",IF(COUNTA(Q57:AF57)&gt;COUNT(Q57:AF57),"Avance escrito como texto",IF(SUMPRODUCT((Q57:AF57&gt;0)*(Q57:AF57&lt;1))&gt;0,"Avance menor a 1: escribe 50, no 50%",IF(SUMPRODUCT(ISNUMBER(Q57:AF57)*(Reprogramaciones!$K$8:$Z$8&gt;TODAY()))&gt;0,"Avance en semana que aún no llega",IF(AND(N(Reprogramaciones!$E$21)&gt;0,F57&gt;Reprogramaciones!$E$21),"Pasa el fin de la obra: registra una reprogramación",IF(AND(N(Reprogramaciones!$E$21)&gt;0,SUMPRODUCT(ISNUMBER(Q57:AF57)*(Reprogramaciones!$K$8:$Z$8&gt;Reprogramaciones!$E$21))&gt;0),"Avance después del fin de la obra: registra una reprogramación por atraso","OK"))))))))))))))))</f>
        <v/>
      </c>
      <c r="AM57" s="40" t="str">
        <f aca="false">IF(OR(OR(NOT(AND(ISNUMBER(E57),ISNUMBER(F57))),$J$2=""),1&gt;MAX(1,Reprogramaciones!$U$15)),"",IF(Reprogramaciones!K$12&gt;=7,"",IF(OR(BT57-N(0)&gt;0.05,N(Q57)&gt;0),ROUNDDOWN(ROUND(BT57,6),0)&amp;"%"&amp;IF(CJ57="",""," / "&amp;CJ57&amp;"%"),IF(AND(N(0)&gt;=99.95,CJ57&lt;&gt;"",N(CJ57)&lt;100),"Pend. "&amp;CJ57&amp;"%",""))))</f>
        <v/>
      </c>
      <c r="AN57" s="40" t="str">
        <f aca="false">IF(OR(OR(NOT(AND(ISNUMBER(E57),ISNUMBER(F57))),$J$2=""),2&gt;MAX(1,Reprogramaciones!$U$15)),"",IF(Reprogramaciones!L$12&gt;=7,"",IF(OR(BU57-N(BT57)&gt;0.05,N(R57)&gt;0),ROUNDDOWN(ROUND(BU57,6),0)&amp;"%"&amp;IF(CK57="",""," / "&amp;CK57&amp;"%"),IF(AND(N(BT57)&gt;=99.95,CK57&lt;&gt;"",N(CK57)&lt;100),"Pend. "&amp;CK57&amp;"%",""))))</f>
        <v/>
      </c>
      <c r="AO57" s="40" t="str">
        <f aca="false">IF(OR(OR(NOT(AND(ISNUMBER(E57),ISNUMBER(F57))),$J$2=""),3&gt;MAX(1,Reprogramaciones!$U$15)),"",IF(Reprogramaciones!M$12&gt;=7,"",IF(OR(BV57-N(BU57)&gt;0.05,N(S57)&gt;0),ROUNDDOWN(ROUND(BV57,6),0)&amp;"%"&amp;IF(CL57="",""," / "&amp;CL57&amp;"%"),IF(AND(N(BU57)&gt;=99.95,CL57&lt;&gt;"",N(CL57)&lt;100),"Pend. "&amp;CL57&amp;"%",""))))</f>
        <v/>
      </c>
      <c r="AP57" s="40" t="str">
        <f aca="false">IF(OR(OR(NOT(AND(ISNUMBER(E57),ISNUMBER(F57))),$J$2=""),4&gt;MAX(1,Reprogramaciones!$U$15)),"",IF(Reprogramaciones!N$12&gt;=7,"",IF(OR(BW57-N(BV57)&gt;0.05,N(T57)&gt;0),ROUNDDOWN(ROUND(BW57,6),0)&amp;"%"&amp;IF(CM57="",""," / "&amp;CM57&amp;"%"),IF(AND(N(BV57)&gt;=99.95,CM57&lt;&gt;"",N(CM57)&lt;100),"Pend. "&amp;CM57&amp;"%",""))))</f>
        <v/>
      </c>
      <c r="AQ57" s="40" t="str">
        <f aca="false">IF(OR(OR(NOT(AND(ISNUMBER(E57),ISNUMBER(F57))),$J$2=""),5&gt;MAX(1,Reprogramaciones!$U$15)),"",IF(Reprogramaciones!O$12&gt;=7,"",IF(OR(BX57-N(BW57)&gt;0.05,N(U57)&gt;0),ROUNDDOWN(ROUND(BX57,6),0)&amp;"%"&amp;IF(CN57="",""," / "&amp;CN57&amp;"%"),IF(AND(N(BW57)&gt;=99.95,CN57&lt;&gt;"",N(CN57)&lt;100),"Pend. "&amp;CN57&amp;"%",""))))</f>
        <v/>
      </c>
      <c r="AR57" s="40" t="str">
        <f aca="false">IF(OR(OR(NOT(AND(ISNUMBER(E57),ISNUMBER(F57))),$J$2=""),6&gt;MAX(1,Reprogramaciones!$U$15)),"",IF(Reprogramaciones!P$12&gt;=7,"",IF(OR(BY57-N(BX57)&gt;0.05,N(V57)&gt;0),ROUNDDOWN(ROUND(BY57,6),0)&amp;"%"&amp;IF(CO57="",""," / "&amp;CO57&amp;"%"),IF(AND(N(BX57)&gt;=99.95,CO57&lt;&gt;"",N(CO57)&lt;100),"Pend. "&amp;CO57&amp;"%",""))))</f>
        <v/>
      </c>
      <c r="AS57" s="40" t="str">
        <f aca="false">IF(OR(OR(NOT(AND(ISNUMBER(E57),ISNUMBER(F57))),$J$2=""),7&gt;MAX(1,Reprogramaciones!$U$15)),"",IF(Reprogramaciones!Q$12&gt;=7,"",IF(OR(BZ57-N(BY57)&gt;0.05,N(W57)&gt;0),ROUNDDOWN(ROUND(BZ57,6),0)&amp;"%"&amp;IF(CP57="",""," / "&amp;CP57&amp;"%"),IF(AND(N(BY57)&gt;=99.95,CP57&lt;&gt;"",N(CP57)&lt;100),"Pend. "&amp;CP57&amp;"%",""))))</f>
        <v/>
      </c>
      <c r="AT57" s="40" t="str">
        <f aca="false">IF(OR(OR(NOT(AND(ISNUMBER(E57),ISNUMBER(F57))),$J$2=""),8&gt;MAX(1,Reprogramaciones!$U$15)),"",IF(Reprogramaciones!R$12&gt;=7,"",IF(OR(CA57-N(BZ57)&gt;0.05,N(X57)&gt;0),ROUNDDOWN(ROUND(CA57,6),0)&amp;"%"&amp;IF(CQ57="",""," / "&amp;CQ57&amp;"%"),IF(AND(N(BZ57)&gt;=99.95,CQ57&lt;&gt;"",N(CQ57)&lt;100),"Pend. "&amp;CQ57&amp;"%",""))))</f>
        <v/>
      </c>
      <c r="AU57" s="40" t="str">
        <f aca="false">IF(OR(OR(NOT(AND(ISNUMBER(E57),ISNUMBER(F57))),$J$2=""),9&gt;MAX(1,Reprogramaciones!$U$15)),"",IF(Reprogramaciones!S$12&gt;=7,"",IF(OR(CB57-N(CA57)&gt;0.05,N(Y57)&gt;0),ROUNDDOWN(ROUND(CB57,6),0)&amp;"%"&amp;IF(CR57="",""," / "&amp;CR57&amp;"%"),IF(AND(N(CA57)&gt;=99.95,CR57&lt;&gt;"",N(CR57)&lt;100),"Pend. "&amp;CR57&amp;"%",""))))</f>
        <v/>
      </c>
      <c r="AV57" s="40" t="str">
        <f aca="false">IF(OR(OR(NOT(AND(ISNUMBER(E57),ISNUMBER(F57))),$J$2=""),10&gt;MAX(1,Reprogramaciones!$U$15)),"",IF(Reprogramaciones!T$12&gt;=7,"",IF(OR(CC57-N(CB57)&gt;0.05,N(Z57)&gt;0),ROUNDDOWN(ROUND(CC57,6),0)&amp;"%"&amp;IF(CS57="",""," / "&amp;CS57&amp;"%"),IF(AND(N(CB57)&gt;=99.95,CS57&lt;&gt;"",N(CS57)&lt;100),"Pend. "&amp;CS57&amp;"%",""))))</f>
        <v/>
      </c>
      <c r="AW57" s="40" t="str">
        <f aca="false">IF(OR(OR(NOT(AND(ISNUMBER(E57),ISNUMBER(F57))),$J$2=""),11&gt;MAX(1,Reprogramaciones!$U$15)),"",IF(Reprogramaciones!U$12&gt;=7,"",IF(OR(CD57-N(CC57)&gt;0.05,N(AA57)&gt;0),ROUNDDOWN(ROUND(CD57,6),0)&amp;"%"&amp;IF(CT57="",""," / "&amp;CT57&amp;"%"),IF(AND(N(CC57)&gt;=99.95,CT57&lt;&gt;"",N(CT57)&lt;100),"Pend. "&amp;CT57&amp;"%",""))))</f>
        <v/>
      </c>
      <c r="AX57" s="40" t="str">
        <f aca="false">IF(OR(OR(NOT(AND(ISNUMBER(E57),ISNUMBER(F57))),$J$2=""),12&gt;MAX(1,Reprogramaciones!$U$15)),"",IF(Reprogramaciones!V$12&gt;=7,"",IF(OR(CE57-N(CD57)&gt;0.05,N(AB57)&gt;0),ROUNDDOWN(ROUND(CE57,6),0)&amp;"%"&amp;IF(CU57="",""," / "&amp;CU57&amp;"%"),IF(AND(N(CD57)&gt;=99.95,CU57&lt;&gt;"",N(CU57)&lt;100),"Pend. "&amp;CU57&amp;"%",""))))</f>
        <v/>
      </c>
      <c r="AY57" s="40" t="str">
        <f aca="false">IF(OR(OR(NOT(AND(ISNUMBER(E57),ISNUMBER(F57))),$J$2=""),13&gt;MAX(1,Reprogramaciones!$U$15)),"",IF(Reprogramaciones!W$12&gt;=7,"",IF(OR(CF57-N(CE57)&gt;0.05,N(AC57)&gt;0),ROUNDDOWN(ROUND(CF57,6),0)&amp;"%"&amp;IF(CV57="",""," / "&amp;CV57&amp;"%"),IF(AND(N(CE57)&gt;=99.95,CV57&lt;&gt;"",N(CV57)&lt;100),"Pend. "&amp;CV57&amp;"%",""))))</f>
        <v/>
      </c>
      <c r="AZ57" s="40" t="str">
        <f aca="false">IF(OR(OR(NOT(AND(ISNUMBER(E57),ISNUMBER(F57))),$J$2=""),14&gt;MAX(1,Reprogramaciones!$U$15)),"",IF(Reprogramaciones!X$12&gt;=7,"",IF(OR(CG57-N(CF57)&gt;0.05,N(AD57)&gt;0),ROUNDDOWN(ROUND(CG57,6),0)&amp;"%"&amp;IF(CW57="",""," / "&amp;CW57&amp;"%"),IF(AND(N(CF57)&gt;=99.95,CW57&lt;&gt;"",N(CW57)&lt;100),"Pend. "&amp;CW57&amp;"%",""))))</f>
        <v/>
      </c>
      <c r="BA57" s="40" t="str">
        <f aca="false">IF(OR(OR(NOT(AND(ISNUMBER(E57),ISNUMBER(F57))),$J$2=""),15&gt;MAX(1,Reprogramaciones!$U$15)),"",IF(Reprogramaciones!Y$12&gt;=7,"",IF(OR(CH57-N(CG57)&gt;0.05,N(AE57)&gt;0),ROUNDDOWN(ROUND(CH57,6),0)&amp;"%"&amp;IF(CX57="",""," / "&amp;CX57&amp;"%"),IF(AND(N(CG57)&gt;=99.95,CX57&lt;&gt;"",N(CX57)&lt;100),"Pend. "&amp;CX57&amp;"%",""))))</f>
        <v/>
      </c>
      <c r="BB57" s="40" t="str">
        <f aca="false">IF(OR(OR(NOT(AND(ISNUMBER(E57),ISNUMBER(F57))),$J$2=""),16&gt;MAX(1,Reprogramaciones!$U$15)),"",IF(Reprogramaciones!Z$12&gt;=7,"",IF(OR(CI57-N(CH57)&gt;0.05,N(AF57)&gt;0),ROUNDDOWN(ROUND(CI57,6),0)&amp;"%"&amp;IF(CY57="",""," / "&amp;CY57&amp;"%"),IF(AND(N(CH57)&gt;=99.95,CY57&lt;&gt;"",N(CY57)&lt;100),"Pend. "&amp;CY57&amp;"%",""))))</f>
        <v/>
      </c>
      <c r="BC57" s="31" t="n">
        <f aca="false">IF(AND(ISNUMBER(E57),ISNUMBER(F57)),MAX(1,NETWORKDAYS.INTL(E57,F57,11)),0)</f>
        <v>0</v>
      </c>
      <c r="BD57" s="1" t="str">
        <f aca="false">IF(OR(NOT(AND(ISNUMBER(E57),ISNUMBER(F57))),$J$2=""),"",MIN(100,ROUND(SUM($G57:G57),1)))</f>
        <v/>
      </c>
      <c r="BE57" s="1" t="str">
        <f aca="false">IF(OR(NOT(AND(ISNUMBER(E57),ISNUMBER(F57))),$J$2=""),"",MIN(100,ROUND(SUM($G57:H57),1)))</f>
        <v/>
      </c>
      <c r="BF57" s="1" t="str">
        <f aca="false">IF(OR(NOT(AND(ISNUMBER(E57),ISNUMBER(F57))),$J$2=""),"",MIN(100,ROUND(SUM($G57:I57),1)))</f>
        <v/>
      </c>
      <c r="BG57" s="1" t="str">
        <f aca="false">IF(OR(NOT(AND(ISNUMBER(E57),ISNUMBER(F57))),$J$2=""),"",MIN(100,ROUND(SUM($G57:J57),1)))</f>
        <v/>
      </c>
      <c r="BH57" s="1" t="str">
        <f aca="false">IF(OR(NOT(AND(ISNUMBER(E57),ISNUMBER(F57))),$J$2=""),"",MIN(100,ROUND(SUM($G57:K57),1)))</f>
        <v/>
      </c>
      <c r="BI57" s="1" t="str">
        <f aca="false">IF(OR(NOT(AND(ISNUMBER(E57),ISNUMBER(F57))),$J$2=""),"",MIN(100,ROUND(SUM($G57:L57),1)))</f>
        <v/>
      </c>
      <c r="BJ57" s="1" t="str">
        <f aca="false">IF(OR(NOT(AND(ISNUMBER(E57),ISNUMBER(F57))),$J$2=""),"",MIN(100,ROUND(SUM($G57:M57),1)))</f>
        <v/>
      </c>
      <c r="BK57" s="1" t="str">
        <f aca="false">IF(OR(NOT(AND(ISNUMBER(E57),ISNUMBER(F57))),$J$2=""),"",MIN(100,ROUND(SUM($G57:N57),1)))</f>
        <v/>
      </c>
      <c r="BL57" s="1" t="str">
        <f aca="false">IF(OR(NOT(AND(ISNUMBER(E57),ISNUMBER(F57))),$J$2=""),"",MIN(100,ROUND(SUM($G57:O57),1)))</f>
        <v/>
      </c>
      <c r="BM57" s="1" t="str">
        <f aca="false">IF(OR(NOT(AND(ISNUMBER(E57),ISNUMBER(F57))),$J$2=""),"",MIN(100,ROUND(SUM($G57:P57),1)))</f>
        <v/>
      </c>
      <c r="BN57" s="1" t="str">
        <f aca="false">IF(OR(NOT(AND(ISNUMBER(E57),ISNUMBER(F57))),$J$2=""),"",MIN(100,ROUND(SUM($G57:P57),1)))</f>
        <v/>
      </c>
      <c r="BO57" s="1" t="str">
        <f aca="false">IF(OR(NOT(AND(ISNUMBER(E57),ISNUMBER(F57))),$J$2=""),"",MIN(100,ROUND(SUM($G57:P57),1)))</f>
        <v/>
      </c>
      <c r="BP57" s="1" t="str">
        <f aca="false">IF(OR(NOT(AND(ISNUMBER(E57),ISNUMBER(F57))),$J$2=""),"",MIN(100,ROUND(SUM($G57:P57),1)))</f>
        <v/>
      </c>
      <c r="BQ57" s="1" t="str">
        <f aca="false">IF(OR(NOT(AND(ISNUMBER(E57),ISNUMBER(F57))),$J$2=""),"",MIN(100,ROUND(SUM($G57:P57),1)))</f>
        <v/>
      </c>
      <c r="BR57" s="1" t="str">
        <f aca="false">IF(OR(NOT(AND(ISNUMBER(E57),ISNUMBER(F57))),$J$2=""),"",MIN(100,ROUND(SUM($G57:P57),1)))</f>
        <v/>
      </c>
      <c r="BS57" s="1" t="str">
        <f aca="false">IF(OR(NOT(AND(ISNUMBER(E57),ISNUMBER(F57))),$J$2=""),"",MIN(100,ROUND(SUM($G57:P57),1)))</f>
        <v/>
      </c>
      <c r="BT57" s="1" t="str">
        <f aca="false">IF(OR(NOT(AND(ISNUMBER(E57),ISNUMBER(F57))),$J$2=""),"",IF(Reprogramaciones!K$13&lt;Reprogramaciones!$T$15,0,IF(Reprogramaciones!K$14&gt;10,MIN(100,SUM($G57:$P57)),MIN(100,SUMPRODUCT((COLUMN($G57:$P57)-COLUMN($G57)+1&lt;Reprogramaciones!K$14)*$G57:$P57)+N(INDEX($G57:$P57,1,Reprogramaciones!K$14))*IF(Reprogramaciones!K$13&gt;=(Reprogramaciones!$T$15+7*(Reprogramaciones!K$14-1))+6,1,IF(MAX(0,NETWORKDAYS.INTL(MAX(E57,(Reprogramaciones!$T$15+7*(Reprogramaciones!K$14-1))),MIN(F57,(Reprogramaciones!$T$15+7*(Reprogramaciones!K$14-1))+6),11))=0,0,MAX(0,NETWORKDAYS.INTL(MAX(E57,(Reprogramaciones!$T$15+7*(Reprogramaciones!K$14-1))),MIN(F57,Reprogramaciones!K$13),11))/MAX(0,NETWORKDAYS.INTL(MAX(E57,(Reprogramaciones!$T$15+7*(Reprogramaciones!K$14-1))),MIN(F57,(Reprogramaciones!$T$15+7*(Reprogramaciones!K$14-1))+6),11))))))))</f>
        <v/>
      </c>
      <c r="BU57" s="1" t="str">
        <f aca="false">IF(OR(NOT(AND(ISNUMBER(E57),ISNUMBER(F57))),$J$2=""),"",IF(Reprogramaciones!L$13&lt;Reprogramaciones!$T$15,0,IF(Reprogramaciones!L$14&gt;10,MIN(100,SUM($G57:$P57)),MIN(100,SUMPRODUCT((COLUMN($G57:$P57)-COLUMN($G57)+1&lt;Reprogramaciones!L$14)*$G57:$P57)+N(INDEX($G57:$P57,1,Reprogramaciones!L$14))*IF(Reprogramaciones!L$13&gt;=(Reprogramaciones!$T$15+7*(Reprogramaciones!L$14-1))+6,1,IF(MAX(0,NETWORKDAYS.INTL(MAX(E57,(Reprogramaciones!$T$15+7*(Reprogramaciones!L$14-1))),MIN(F57,(Reprogramaciones!$T$15+7*(Reprogramaciones!L$14-1))+6),11))=0,0,MAX(0,NETWORKDAYS.INTL(MAX(E57,(Reprogramaciones!$T$15+7*(Reprogramaciones!L$14-1))),MIN(F57,Reprogramaciones!L$13),11))/MAX(0,NETWORKDAYS.INTL(MAX(E57,(Reprogramaciones!$T$15+7*(Reprogramaciones!L$14-1))),MIN(F57,(Reprogramaciones!$T$15+7*(Reprogramaciones!L$14-1))+6),11))))))))</f>
        <v/>
      </c>
      <c r="BV57" s="1" t="str">
        <f aca="false">IF(OR(NOT(AND(ISNUMBER(E57),ISNUMBER(F57))),$J$2=""),"",IF(Reprogramaciones!M$13&lt;Reprogramaciones!$T$15,0,IF(Reprogramaciones!M$14&gt;10,MIN(100,SUM($G57:$P57)),MIN(100,SUMPRODUCT((COLUMN($G57:$P57)-COLUMN($G57)+1&lt;Reprogramaciones!M$14)*$G57:$P57)+N(INDEX($G57:$P57,1,Reprogramaciones!M$14))*IF(Reprogramaciones!M$13&gt;=(Reprogramaciones!$T$15+7*(Reprogramaciones!M$14-1))+6,1,IF(MAX(0,NETWORKDAYS.INTL(MAX(E57,(Reprogramaciones!$T$15+7*(Reprogramaciones!M$14-1))),MIN(F57,(Reprogramaciones!$T$15+7*(Reprogramaciones!M$14-1))+6),11))=0,0,MAX(0,NETWORKDAYS.INTL(MAX(E57,(Reprogramaciones!$T$15+7*(Reprogramaciones!M$14-1))),MIN(F57,Reprogramaciones!M$13),11))/MAX(0,NETWORKDAYS.INTL(MAX(E57,(Reprogramaciones!$T$15+7*(Reprogramaciones!M$14-1))),MIN(F57,(Reprogramaciones!$T$15+7*(Reprogramaciones!M$14-1))+6),11))))))))</f>
        <v/>
      </c>
      <c r="BW57" s="1" t="str">
        <f aca="false">IF(OR(NOT(AND(ISNUMBER(E57),ISNUMBER(F57))),$J$2=""),"",IF(Reprogramaciones!N$13&lt;Reprogramaciones!$T$15,0,IF(Reprogramaciones!N$14&gt;10,MIN(100,SUM($G57:$P57)),MIN(100,SUMPRODUCT((COLUMN($G57:$P57)-COLUMN($G57)+1&lt;Reprogramaciones!N$14)*$G57:$P57)+N(INDEX($G57:$P57,1,Reprogramaciones!N$14))*IF(Reprogramaciones!N$13&gt;=(Reprogramaciones!$T$15+7*(Reprogramaciones!N$14-1))+6,1,IF(MAX(0,NETWORKDAYS.INTL(MAX(E57,(Reprogramaciones!$T$15+7*(Reprogramaciones!N$14-1))),MIN(F57,(Reprogramaciones!$T$15+7*(Reprogramaciones!N$14-1))+6),11))=0,0,MAX(0,NETWORKDAYS.INTL(MAX(E57,(Reprogramaciones!$T$15+7*(Reprogramaciones!N$14-1))),MIN(F57,Reprogramaciones!N$13),11))/MAX(0,NETWORKDAYS.INTL(MAX(E57,(Reprogramaciones!$T$15+7*(Reprogramaciones!N$14-1))),MIN(F57,(Reprogramaciones!$T$15+7*(Reprogramaciones!N$14-1))+6),11))))))))</f>
        <v/>
      </c>
      <c r="BX57" s="1" t="str">
        <f aca="false">IF(OR(NOT(AND(ISNUMBER(E57),ISNUMBER(F57))),$J$2=""),"",IF(Reprogramaciones!O$13&lt;Reprogramaciones!$T$15,0,IF(Reprogramaciones!O$14&gt;10,MIN(100,SUM($G57:$P57)),MIN(100,SUMPRODUCT((COLUMN($G57:$P57)-COLUMN($G57)+1&lt;Reprogramaciones!O$14)*$G57:$P57)+N(INDEX($G57:$P57,1,Reprogramaciones!O$14))*IF(Reprogramaciones!O$13&gt;=(Reprogramaciones!$T$15+7*(Reprogramaciones!O$14-1))+6,1,IF(MAX(0,NETWORKDAYS.INTL(MAX(E57,(Reprogramaciones!$T$15+7*(Reprogramaciones!O$14-1))),MIN(F57,(Reprogramaciones!$T$15+7*(Reprogramaciones!O$14-1))+6),11))=0,0,MAX(0,NETWORKDAYS.INTL(MAX(E57,(Reprogramaciones!$T$15+7*(Reprogramaciones!O$14-1))),MIN(F57,Reprogramaciones!O$13),11))/MAX(0,NETWORKDAYS.INTL(MAX(E57,(Reprogramaciones!$T$15+7*(Reprogramaciones!O$14-1))),MIN(F57,(Reprogramaciones!$T$15+7*(Reprogramaciones!O$14-1))+6),11))))))))</f>
        <v/>
      </c>
      <c r="BY57" s="1" t="str">
        <f aca="false">IF(OR(NOT(AND(ISNUMBER(E57),ISNUMBER(F57))),$J$2=""),"",IF(Reprogramaciones!P$13&lt;Reprogramaciones!$T$15,0,IF(Reprogramaciones!P$14&gt;10,MIN(100,SUM($G57:$P57)),MIN(100,SUMPRODUCT((COLUMN($G57:$P57)-COLUMN($G57)+1&lt;Reprogramaciones!P$14)*$G57:$P57)+N(INDEX($G57:$P57,1,Reprogramaciones!P$14))*IF(Reprogramaciones!P$13&gt;=(Reprogramaciones!$T$15+7*(Reprogramaciones!P$14-1))+6,1,IF(MAX(0,NETWORKDAYS.INTL(MAX(E57,(Reprogramaciones!$T$15+7*(Reprogramaciones!P$14-1))),MIN(F57,(Reprogramaciones!$T$15+7*(Reprogramaciones!P$14-1))+6),11))=0,0,MAX(0,NETWORKDAYS.INTL(MAX(E57,(Reprogramaciones!$T$15+7*(Reprogramaciones!P$14-1))),MIN(F57,Reprogramaciones!P$13),11))/MAX(0,NETWORKDAYS.INTL(MAX(E57,(Reprogramaciones!$T$15+7*(Reprogramaciones!P$14-1))),MIN(F57,(Reprogramaciones!$T$15+7*(Reprogramaciones!P$14-1))+6),11))))))))</f>
        <v/>
      </c>
      <c r="BZ57" s="1" t="str">
        <f aca="false">IF(OR(NOT(AND(ISNUMBER(E57),ISNUMBER(F57))),$J$2=""),"",IF(Reprogramaciones!Q$13&lt;Reprogramaciones!$T$15,0,IF(Reprogramaciones!Q$14&gt;10,MIN(100,SUM($G57:$P57)),MIN(100,SUMPRODUCT((COLUMN($G57:$P57)-COLUMN($G57)+1&lt;Reprogramaciones!Q$14)*$G57:$P57)+N(INDEX($G57:$P57,1,Reprogramaciones!Q$14))*IF(Reprogramaciones!Q$13&gt;=(Reprogramaciones!$T$15+7*(Reprogramaciones!Q$14-1))+6,1,IF(MAX(0,NETWORKDAYS.INTL(MAX(E57,(Reprogramaciones!$T$15+7*(Reprogramaciones!Q$14-1))),MIN(F57,(Reprogramaciones!$T$15+7*(Reprogramaciones!Q$14-1))+6),11))=0,0,MAX(0,NETWORKDAYS.INTL(MAX(E57,(Reprogramaciones!$T$15+7*(Reprogramaciones!Q$14-1))),MIN(F57,Reprogramaciones!Q$13),11))/MAX(0,NETWORKDAYS.INTL(MAX(E57,(Reprogramaciones!$T$15+7*(Reprogramaciones!Q$14-1))),MIN(F57,(Reprogramaciones!$T$15+7*(Reprogramaciones!Q$14-1))+6),11))))))))</f>
        <v/>
      </c>
      <c r="CA57" s="1" t="str">
        <f aca="false">IF(OR(NOT(AND(ISNUMBER(E57),ISNUMBER(F57))),$J$2=""),"",IF(Reprogramaciones!R$13&lt;Reprogramaciones!$T$15,0,IF(Reprogramaciones!R$14&gt;10,MIN(100,SUM($G57:$P57)),MIN(100,SUMPRODUCT((COLUMN($G57:$P57)-COLUMN($G57)+1&lt;Reprogramaciones!R$14)*$G57:$P57)+N(INDEX($G57:$P57,1,Reprogramaciones!R$14))*IF(Reprogramaciones!R$13&gt;=(Reprogramaciones!$T$15+7*(Reprogramaciones!R$14-1))+6,1,IF(MAX(0,NETWORKDAYS.INTL(MAX(E57,(Reprogramaciones!$T$15+7*(Reprogramaciones!R$14-1))),MIN(F57,(Reprogramaciones!$T$15+7*(Reprogramaciones!R$14-1))+6),11))=0,0,MAX(0,NETWORKDAYS.INTL(MAX(E57,(Reprogramaciones!$T$15+7*(Reprogramaciones!R$14-1))),MIN(F57,Reprogramaciones!R$13),11))/MAX(0,NETWORKDAYS.INTL(MAX(E57,(Reprogramaciones!$T$15+7*(Reprogramaciones!R$14-1))),MIN(F57,(Reprogramaciones!$T$15+7*(Reprogramaciones!R$14-1))+6),11))))))))</f>
        <v/>
      </c>
      <c r="CB57" s="1" t="str">
        <f aca="false">IF(OR(NOT(AND(ISNUMBER(E57),ISNUMBER(F57))),$J$2=""),"",IF(Reprogramaciones!S$13&lt;Reprogramaciones!$T$15,0,IF(Reprogramaciones!S$14&gt;10,MIN(100,SUM($G57:$P57)),MIN(100,SUMPRODUCT((COLUMN($G57:$P57)-COLUMN($G57)+1&lt;Reprogramaciones!S$14)*$G57:$P57)+N(INDEX($G57:$P57,1,Reprogramaciones!S$14))*IF(Reprogramaciones!S$13&gt;=(Reprogramaciones!$T$15+7*(Reprogramaciones!S$14-1))+6,1,IF(MAX(0,NETWORKDAYS.INTL(MAX(E57,(Reprogramaciones!$T$15+7*(Reprogramaciones!S$14-1))),MIN(F57,(Reprogramaciones!$T$15+7*(Reprogramaciones!S$14-1))+6),11))=0,0,MAX(0,NETWORKDAYS.INTL(MAX(E57,(Reprogramaciones!$T$15+7*(Reprogramaciones!S$14-1))),MIN(F57,Reprogramaciones!S$13),11))/MAX(0,NETWORKDAYS.INTL(MAX(E57,(Reprogramaciones!$T$15+7*(Reprogramaciones!S$14-1))),MIN(F57,(Reprogramaciones!$T$15+7*(Reprogramaciones!S$14-1))+6),11))))))))</f>
        <v/>
      </c>
      <c r="CC57" s="1" t="str">
        <f aca="false">IF(OR(NOT(AND(ISNUMBER(E57),ISNUMBER(F57))),$J$2=""),"",IF(Reprogramaciones!T$13&lt;Reprogramaciones!$T$15,0,IF(Reprogramaciones!T$14&gt;10,MIN(100,SUM($G57:$P57)),MIN(100,SUMPRODUCT((COLUMN($G57:$P57)-COLUMN($G57)+1&lt;Reprogramaciones!T$14)*$G57:$P57)+N(INDEX($G57:$P57,1,Reprogramaciones!T$14))*IF(Reprogramaciones!T$13&gt;=(Reprogramaciones!$T$15+7*(Reprogramaciones!T$14-1))+6,1,IF(MAX(0,NETWORKDAYS.INTL(MAX(E57,(Reprogramaciones!$T$15+7*(Reprogramaciones!T$14-1))),MIN(F57,(Reprogramaciones!$T$15+7*(Reprogramaciones!T$14-1))+6),11))=0,0,MAX(0,NETWORKDAYS.INTL(MAX(E57,(Reprogramaciones!$T$15+7*(Reprogramaciones!T$14-1))),MIN(F57,Reprogramaciones!T$13),11))/MAX(0,NETWORKDAYS.INTL(MAX(E57,(Reprogramaciones!$T$15+7*(Reprogramaciones!T$14-1))),MIN(F57,(Reprogramaciones!$T$15+7*(Reprogramaciones!T$14-1))+6),11))))))))</f>
        <v/>
      </c>
      <c r="CD57" s="1" t="str">
        <f aca="false">IF(OR(NOT(AND(ISNUMBER(E57),ISNUMBER(F57))),$J$2=""),"",IF(Reprogramaciones!U$13&lt;Reprogramaciones!$T$15,0,IF(Reprogramaciones!U$14&gt;10,MIN(100,SUM($G57:$P57)),MIN(100,SUMPRODUCT((COLUMN($G57:$P57)-COLUMN($G57)+1&lt;Reprogramaciones!U$14)*$G57:$P57)+N(INDEX($G57:$P57,1,Reprogramaciones!U$14))*IF(Reprogramaciones!U$13&gt;=(Reprogramaciones!$T$15+7*(Reprogramaciones!U$14-1))+6,1,IF(MAX(0,NETWORKDAYS.INTL(MAX(E57,(Reprogramaciones!$T$15+7*(Reprogramaciones!U$14-1))),MIN(F57,(Reprogramaciones!$T$15+7*(Reprogramaciones!U$14-1))+6),11))=0,0,MAX(0,NETWORKDAYS.INTL(MAX(E57,(Reprogramaciones!$T$15+7*(Reprogramaciones!U$14-1))),MIN(F57,Reprogramaciones!U$13),11))/MAX(0,NETWORKDAYS.INTL(MAX(E57,(Reprogramaciones!$T$15+7*(Reprogramaciones!U$14-1))),MIN(F57,(Reprogramaciones!$T$15+7*(Reprogramaciones!U$14-1))+6),11))))))))</f>
        <v/>
      </c>
      <c r="CE57" s="1" t="str">
        <f aca="false">IF(OR(NOT(AND(ISNUMBER(E57),ISNUMBER(F57))),$J$2=""),"",IF(Reprogramaciones!V$13&lt;Reprogramaciones!$T$15,0,IF(Reprogramaciones!V$14&gt;10,MIN(100,SUM($G57:$P57)),MIN(100,SUMPRODUCT((COLUMN($G57:$P57)-COLUMN($G57)+1&lt;Reprogramaciones!V$14)*$G57:$P57)+N(INDEX($G57:$P57,1,Reprogramaciones!V$14))*IF(Reprogramaciones!V$13&gt;=(Reprogramaciones!$T$15+7*(Reprogramaciones!V$14-1))+6,1,IF(MAX(0,NETWORKDAYS.INTL(MAX(E57,(Reprogramaciones!$T$15+7*(Reprogramaciones!V$14-1))),MIN(F57,(Reprogramaciones!$T$15+7*(Reprogramaciones!V$14-1))+6),11))=0,0,MAX(0,NETWORKDAYS.INTL(MAX(E57,(Reprogramaciones!$T$15+7*(Reprogramaciones!V$14-1))),MIN(F57,Reprogramaciones!V$13),11))/MAX(0,NETWORKDAYS.INTL(MAX(E57,(Reprogramaciones!$T$15+7*(Reprogramaciones!V$14-1))),MIN(F57,(Reprogramaciones!$T$15+7*(Reprogramaciones!V$14-1))+6),11))))))))</f>
        <v/>
      </c>
      <c r="CF57" s="1" t="str">
        <f aca="false">IF(OR(NOT(AND(ISNUMBER(E57),ISNUMBER(F57))),$J$2=""),"",IF(Reprogramaciones!W$13&lt;Reprogramaciones!$T$15,0,IF(Reprogramaciones!W$14&gt;10,MIN(100,SUM($G57:$P57)),MIN(100,SUMPRODUCT((COLUMN($G57:$P57)-COLUMN($G57)+1&lt;Reprogramaciones!W$14)*$G57:$P57)+N(INDEX($G57:$P57,1,Reprogramaciones!W$14))*IF(Reprogramaciones!W$13&gt;=(Reprogramaciones!$T$15+7*(Reprogramaciones!W$14-1))+6,1,IF(MAX(0,NETWORKDAYS.INTL(MAX(E57,(Reprogramaciones!$T$15+7*(Reprogramaciones!W$14-1))),MIN(F57,(Reprogramaciones!$T$15+7*(Reprogramaciones!W$14-1))+6),11))=0,0,MAX(0,NETWORKDAYS.INTL(MAX(E57,(Reprogramaciones!$T$15+7*(Reprogramaciones!W$14-1))),MIN(F57,Reprogramaciones!W$13),11))/MAX(0,NETWORKDAYS.INTL(MAX(E57,(Reprogramaciones!$T$15+7*(Reprogramaciones!W$14-1))),MIN(F57,(Reprogramaciones!$T$15+7*(Reprogramaciones!W$14-1))+6),11))))))))</f>
        <v/>
      </c>
      <c r="CG57" s="1" t="str">
        <f aca="false">IF(OR(NOT(AND(ISNUMBER(E57),ISNUMBER(F57))),$J$2=""),"",IF(Reprogramaciones!X$13&lt;Reprogramaciones!$T$15,0,IF(Reprogramaciones!X$14&gt;10,MIN(100,SUM($G57:$P57)),MIN(100,SUMPRODUCT((COLUMN($G57:$P57)-COLUMN($G57)+1&lt;Reprogramaciones!X$14)*$G57:$P57)+N(INDEX($G57:$P57,1,Reprogramaciones!X$14))*IF(Reprogramaciones!X$13&gt;=(Reprogramaciones!$T$15+7*(Reprogramaciones!X$14-1))+6,1,IF(MAX(0,NETWORKDAYS.INTL(MAX(E57,(Reprogramaciones!$T$15+7*(Reprogramaciones!X$14-1))),MIN(F57,(Reprogramaciones!$T$15+7*(Reprogramaciones!X$14-1))+6),11))=0,0,MAX(0,NETWORKDAYS.INTL(MAX(E57,(Reprogramaciones!$T$15+7*(Reprogramaciones!X$14-1))),MIN(F57,Reprogramaciones!X$13),11))/MAX(0,NETWORKDAYS.INTL(MAX(E57,(Reprogramaciones!$T$15+7*(Reprogramaciones!X$14-1))),MIN(F57,(Reprogramaciones!$T$15+7*(Reprogramaciones!X$14-1))+6),11))))))))</f>
        <v/>
      </c>
      <c r="CH57" s="1" t="str">
        <f aca="false">IF(OR(NOT(AND(ISNUMBER(E57),ISNUMBER(F57))),$J$2=""),"",IF(Reprogramaciones!Y$13&lt;Reprogramaciones!$T$15,0,IF(Reprogramaciones!Y$14&gt;10,MIN(100,SUM($G57:$P57)),MIN(100,SUMPRODUCT((COLUMN($G57:$P57)-COLUMN($G57)+1&lt;Reprogramaciones!Y$14)*$G57:$P57)+N(INDEX($G57:$P57,1,Reprogramaciones!Y$14))*IF(Reprogramaciones!Y$13&gt;=(Reprogramaciones!$T$15+7*(Reprogramaciones!Y$14-1))+6,1,IF(MAX(0,NETWORKDAYS.INTL(MAX(E57,(Reprogramaciones!$T$15+7*(Reprogramaciones!Y$14-1))),MIN(F57,(Reprogramaciones!$T$15+7*(Reprogramaciones!Y$14-1))+6),11))=0,0,MAX(0,NETWORKDAYS.INTL(MAX(E57,(Reprogramaciones!$T$15+7*(Reprogramaciones!Y$14-1))),MIN(F57,Reprogramaciones!Y$13),11))/MAX(0,NETWORKDAYS.INTL(MAX(E57,(Reprogramaciones!$T$15+7*(Reprogramaciones!Y$14-1))),MIN(F57,(Reprogramaciones!$T$15+7*(Reprogramaciones!Y$14-1))+6),11))))))))</f>
        <v/>
      </c>
      <c r="CI57" s="1" t="str">
        <f aca="false">IF(OR(NOT(AND(ISNUMBER(E57),ISNUMBER(F57))),$J$2=""),"",IF(Reprogramaciones!Z$13&lt;Reprogramaciones!$T$15,0,IF(Reprogramaciones!Z$14&gt;10,MIN(100,SUM($G57:$P57)),MIN(100,SUMPRODUCT((COLUMN($G57:$P57)-COLUMN($G57)+1&lt;Reprogramaciones!Z$14)*$G57:$P57)+N(INDEX($G57:$P57,1,Reprogramaciones!Z$14))*IF(Reprogramaciones!Z$13&gt;=(Reprogramaciones!$T$15+7*(Reprogramaciones!Z$14-1))+6,1,IF(MAX(0,NETWORKDAYS.INTL(MAX(E57,(Reprogramaciones!$T$15+7*(Reprogramaciones!Z$14-1))),MIN(F57,(Reprogramaciones!$T$15+7*(Reprogramaciones!Z$14-1))+6),11))=0,0,MAX(0,NETWORKDAYS.INTL(MAX(E57,(Reprogramaciones!$T$15+7*(Reprogramaciones!Z$14-1))),MIN(F57,Reprogramaciones!Z$13),11))/MAX(0,NETWORKDAYS.INTL(MAX(E57,(Reprogramaciones!$T$15+7*(Reprogramaciones!Z$14-1))),MIN(F57,(Reprogramaciones!$T$15+7*(Reprogramaciones!Z$14-1))+6),11))))))))</f>
        <v/>
      </c>
      <c r="CJ57" s="1" t="str">
        <f aca="false">IF(OR(OR(NOT(AND(ISNUMBER(E57),ISNUMBER(F57))),$J$2=""),1&gt;Reprogramaciones!$K$16),"",IF(ROUND(SUM($Q57:Q57),1)&gt;=99.5,100,MIN(100,ROUND(SUM($Q57:Q57),1))))</f>
        <v/>
      </c>
      <c r="CK57" s="1" t="str">
        <f aca="false">IF(OR(OR(NOT(AND(ISNUMBER(E57),ISNUMBER(F57))),$J$2=""),2&gt;Reprogramaciones!$K$16),"",IF(ROUND(SUM($Q57:R57),1)&gt;=99.5,100,MIN(100,ROUND(SUM($Q57:R57),1))))</f>
        <v/>
      </c>
      <c r="CL57" s="1" t="str">
        <f aca="false">IF(OR(OR(NOT(AND(ISNUMBER(E57),ISNUMBER(F57))),$J$2=""),3&gt;Reprogramaciones!$K$16),"",IF(ROUND(SUM($Q57:S57),1)&gt;=99.5,100,MIN(100,ROUND(SUM($Q57:S57),1))))</f>
        <v/>
      </c>
      <c r="CM57" s="1" t="str">
        <f aca="false">IF(OR(OR(NOT(AND(ISNUMBER(E57),ISNUMBER(F57))),$J$2=""),4&gt;Reprogramaciones!$K$16),"",IF(ROUND(SUM($Q57:T57),1)&gt;=99.5,100,MIN(100,ROUND(SUM($Q57:T57),1))))</f>
        <v/>
      </c>
      <c r="CN57" s="1" t="str">
        <f aca="false">IF(OR(OR(NOT(AND(ISNUMBER(E57),ISNUMBER(F57))),$J$2=""),5&gt;Reprogramaciones!$K$16),"",IF(ROUND(SUM($Q57:U57),1)&gt;=99.5,100,MIN(100,ROUND(SUM($Q57:U57),1))))</f>
        <v/>
      </c>
      <c r="CO57" s="1" t="str">
        <f aca="false">IF(OR(OR(NOT(AND(ISNUMBER(E57),ISNUMBER(F57))),$J$2=""),6&gt;Reprogramaciones!$K$16),"",IF(ROUND(SUM($Q57:V57),1)&gt;=99.5,100,MIN(100,ROUND(SUM($Q57:V57),1))))</f>
        <v/>
      </c>
      <c r="CP57" s="1" t="str">
        <f aca="false">IF(OR(OR(NOT(AND(ISNUMBER(E57),ISNUMBER(F57))),$J$2=""),7&gt;Reprogramaciones!$K$16),"",IF(ROUND(SUM($Q57:W57),1)&gt;=99.5,100,MIN(100,ROUND(SUM($Q57:W57),1))))</f>
        <v/>
      </c>
      <c r="CQ57" s="1" t="str">
        <f aca="false">IF(OR(OR(NOT(AND(ISNUMBER(E57),ISNUMBER(F57))),$J$2=""),8&gt;Reprogramaciones!$K$16),"",IF(ROUND(SUM($Q57:X57),1)&gt;=99.5,100,MIN(100,ROUND(SUM($Q57:X57),1))))</f>
        <v/>
      </c>
      <c r="CR57" s="1" t="str">
        <f aca="false">IF(OR(OR(NOT(AND(ISNUMBER(E57),ISNUMBER(F57))),$J$2=""),9&gt;Reprogramaciones!$K$16),"",IF(ROUND(SUM($Q57:Y57),1)&gt;=99.5,100,MIN(100,ROUND(SUM($Q57:Y57),1))))</f>
        <v/>
      </c>
      <c r="CS57" s="1" t="str">
        <f aca="false">IF(OR(OR(NOT(AND(ISNUMBER(E57),ISNUMBER(F57))),$J$2=""),10&gt;Reprogramaciones!$K$16),"",IF(ROUND(SUM($Q57:Z57),1)&gt;=99.5,100,MIN(100,ROUND(SUM($Q57:Z57),1))))</f>
        <v/>
      </c>
      <c r="CT57" s="1" t="str">
        <f aca="false">IF(OR(OR(NOT(AND(ISNUMBER(E57),ISNUMBER(F57))),$J$2=""),11&gt;Reprogramaciones!$K$16),"",IF(ROUND(SUM($Q57:AA57),1)&gt;=99.5,100,MIN(100,ROUND(SUM($Q57:AA57),1))))</f>
        <v/>
      </c>
      <c r="CU57" s="1" t="str">
        <f aca="false">IF(OR(OR(NOT(AND(ISNUMBER(E57),ISNUMBER(F57))),$J$2=""),12&gt;Reprogramaciones!$K$16),"",IF(ROUND(SUM($Q57:AB57),1)&gt;=99.5,100,MIN(100,ROUND(SUM($Q57:AB57),1))))</f>
        <v/>
      </c>
      <c r="CV57" s="1" t="str">
        <f aca="false">IF(OR(OR(NOT(AND(ISNUMBER(E57),ISNUMBER(F57))),$J$2=""),13&gt;Reprogramaciones!$K$16),"",IF(ROUND(SUM($Q57:AC57),1)&gt;=99.5,100,MIN(100,ROUND(SUM($Q57:AC57),1))))</f>
        <v/>
      </c>
      <c r="CW57" s="1" t="str">
        <f aca="false">IF(OR(OR(NOT(AND(ISNUMBER(E57),ISNUMBER(F57))),$J$2=""),14&gt;Reprogramaciones!$K$16),"",IF(ROUND(SUM($Q57:AD57),1)&gt;=99.5,100,MIN(100,ROUND(SUM($Q57:AD57),1))))</f>
        <v/>
      </c>
      <c r="CX57" s="1" t="str">
        <f aca="false">IF(OR(OR(NOT(AND(ISNUMBER(E57),ISNUMBER(F57))),$J$2=""),15&gt;Reprogramaciones!$K$16),"",IF(ROUND(SUM($Q57:AE57),1)&gt;=99.5,100,MIN(100,ROUND(SUM($Q57:AE57),1))))</f>
        <v/>
      </c>
      <c r="CY57" s="1" t="str">
        <f aca="false">IF(OR(OR(NOT(AND(ISNUMBER(E57),ISNUMBER(F57))),$J$2=""),16&gt;Reprogramaciones!$K$16),"",IF(ROUND(SUM($Q57:AF57),1)&gt;=99.5,100,MIN(100,ROUND(SUM($Q57:AF57),1))))</f>
        <v/>
      </c>
      <c r="CZ57" s="1" t="str">
        <f aca="false">IF(D57&lt;&gt;"",D57,IF(B57&lt;&gt;"","Contractual",CZ56))</f>
        <v>Contractual</v>
      </c>
      <c r="DA57" s="1" t="str">
        <f aca="false">IF(OR(NOT(AND(ISNUMBER(E57),ISNUMBER(F57))),$J$2=""),"",IF(Reprogramaciones!$Q$15&lt;Reprogramaciones!$T$15,0,IF(Reprogramaciones!$S$15&gt;10,MIN(100,SUM($G57:$P57)),MIN(100,SUMPRODUCT((COLUMN($G57:$P57)-COLUMN($G57)+1&lt;Reprogramaciones!$S$15)*$G57:$P57)+N(INDEX($G57:$P57,1,Reprogramaciones!$S$15))*IF(Reprogramaciones!$Q$15&gt;=(Reprogramaciones!$T$15+7*(Reprogramaciones!$S$15-1))+6,1,IF(MAX(0,NETWORKDAYS.INTL(MAX(E57,(Reprogramaciones!$T$15+7*(Reprogramaciones!$S$15-1))),MIN(F57,(Reprogramaciones!$T$15+7*(Reprogramaciones!$S$15-1))+6),11))=0,0,MAX(0,NETWORKDAYS.INTL(MAX(E57,(Reprogramaciones!$T$15+7*(Reprogramaciones!$S$15-1))),MIN(F57,Reprogramaciones!$Q$15),11))/MAX(0,NETWORKDAYS.INTL(MAX(E57,(Reprogramaciones!$T$15+7*(Reprogramaciones!$S$15-1))),MIN(F57,(Reprogramaciones!$T$15+7*(Reprogramaciones!$S$15-1))+6),11))))))))</f>
        <v/>
      </c>
    </row>
    <row r="58" customFormat="false" ht="15" hidden="false" customHeight="false" outlineLevel="0" collapsed="false">
      <c r="A58" s="32"/>
      <c r="B58" s="33"/>
      <c r="C58" s="33"/>
      <c r="D58" s="34"/>
      <c r="E58" s="35"/>
      <c r="F58" s="35"/>
      <c r="G58" s="36" t="str">
        <f aca="false">IF(OR(NOT(AND(ISNUMBER(E58),ISNUMBER(F58))),$J$2=""),"",IF(Reprogramaciones!K$9&lt;E58,0,IF(NETWORKDAYS.INTL(E58,F58,11)=0,IF(Reprogramaciones!K$9&gt;=F58,100,0),ROUND(NETWORKDAYS.INTL(E58,MIN(F58,Reprogramaciones!K$9),11)/NETWORKDAYS.INTL(E58,F58,11)*100,1)))-0)</f>
        <v/>
      </c>
      <c r="H58" s="36" t="str">
        <f aca="false">IF(OR(NOT(AND(ISNUMBER(E58),ISNUMBER(F58))),$J$2=""),"",IF(Reprogramaciones!L$9&lt;E58,0,IF(NETWORKDAYS.INTL(E58,F58,11)=0,IF(Reprogramaciones!L$9&gt;=F58,100,0),ROUND(NETWORKDAYS.INTL(E58,MIN(F58,Reprogramaciones!L$9),11)/NETWORKDAYS.INTL(E58,F58,11)*100,1)))-IF(Reprogramaciones!K$9&lt;E58,0,IF(NETWORKDAYS.INTL(E58,F58,11)=0,IF(Reprogramaciones!K$9&gt;=F58,100,0),ROUND(NETWORKDAYS.INTL(E58,MIN(F58,Reprogramaciones!K$9),11)/NETWORKDAYS.INTL(E58,F58,11)*100,1))))</f>
        <v/>
      </c>
      <c r="I58" s="36" t="str">
        <f aca="false">IF(OR(NOT(AND(ISNUMBER(E58),ISNUMBER(F58))),$J$2=""),"",IF(Reprogramaciones!M$9&lt;E58,0,IF(NETWORKDAYS.INTL(E58,F58,11)=0,IF(Reprogramaciones!M$9&gt;=F58,100,0),ROUND(NETWORKDAYS.INTL(E58,MIN(F58,Reprogramaciones!M$9),11)/NETWORKDAYS.INTL(E58,F58,11)*100,1)))-IF(Reprogramaciones!L$9&lt;E58,0,IF(NETWORKDAYS.INTL(E58,F58,11)=0,IF(Reprogramaciones!L$9&gt;=F58,100,0),ROUND(NETWORKDAYS.INTL(E58,MIN(F58,Reprogramaciones!L$9),11)/NETWORKDAYS.INTL(E58,F58,11)*100,1))))</f>
        <v/>
      </c>
      <c r="J58" s="36" t="str">
        <f aca="false">IF(OR(NOT(AND(ISNUMBER(E58),ISNUMBER(F58))),$J$2=""),"",IF(Reprogramaciones!N$9&lt;E58,0,IF(NETWORKDAYS.INTL(E58,F58,11)=0,IF(Reprogramaciones!N$9&gt;=F58,100,0),ROUND(NETWORKDAYS.INTL(E58,MIN(F58,Reprogramaciones!N$9),11)/NETWORKDAYS.INTL(E58,F58,11)*100,1)))-IF(Reprogramaciones!M$9&lt;E58,0,IF(NETWORKDAYS.INTL(E58,F58,11)=0,IF(Reprogramaciones!M$9&gt;=F58,100,0),ROUND(NETWORKDAYS.INTL(E58,MIN(F58,Reprogramaciones!M$9),11)/NETWORKDAYS.INTL(E58,F58,11)*100,1))))</f>
        <v/>
      </c>
      <c r="K58" s="36" t="str">
        <f aca="false">IF(OR(NOT(AND(ISNUMBER(E58),ISNUMBER(F58))),$J$2=""),"",IF(Reprogramaciones!O$9&lt;E58,0,IF(NETWORKDAYS.INTL(E58,F58,11)=0,IF(Reprogramaciones!O$9&gt;=F58,100,0),ROUND(NETWORKDAYS.INTL(E58,MIN(F58,Reprogramaciones!O$9),11)/NETWORKDAYS.INTL(E58,F58,11)*100,1)))-IF(Reprogramaciones!N$9&lt;E58,0,IF(NETWORKDAYS.INTL(E58,F58,11)=0,IF(Reprogramaciones!N$9&gt;=F58,100,0),ROUND(NETWORKDAYS.INTL(E58,MIN(F58,Reprogramaciones!N$9),11)/NETWORKDAYS.INTL(E58,F58,11)*100,1))))</f>
        <v/>
      </c>
      <c r="L58" s="36" t="str">
        <f aca="false">IF(OR(NOT(AND(ISNUMBER(E58),ISNUMBER(F58))),$J$2=""),"",IF(Reprogramaciones!P$9&lt;E58,0,IF(NETWORKDAYS.INTL(E58,F58,11)=0,IF(Reprogramaciones!P$9&gt;=F58,100,0),ROUND(NETWORKDAYS.INTL(E58,MIN(F58,Reprogramaciones!P$9),11)/NETWORKDAYS.INTL(E58,F58,11)*100,1)))-IF(Reprogramaciones!O$9&lt;E58,0,IF(NETWORKDAYS.INTL(E58,F58,11)=0,IF(Reprogramaciones!O$9&gt;=F58,100,0),ROUND(NETWORKDAYS.INTL(E58,MIN(F58,Reprogramaciones!O$9),11)/NETWORKDAYS.INTL(E58,F58,11)*100,1))))</f>
        <v/>
      </c>
      <c r="M58" s="36" t="str">
        <f aca="false">IF(OR(NOT(AND(ISNUMBER(E58),ISNUMBER(F58))),$J$2=""),"",IF(Reprogramaciones!Q$9&lt;E58,0,IF(NETWORKDAYS.INTL(E58,F58,11)=0,IF(Reprogramaciones!Q$9&gt;=F58,100,0),ROUND(NETWORKDAYS.INTL(E58,MIN(F58,Reprogramaciones!Q$9),11)/NETWORKDAYS.INTL(E58,F58,11)*100,1)))-IF(Reprogramaciones!P$9&lt;E58,0,IF(NETWORKDAYS.INTL(E58,F58,11)=0,IF(Reprogramaciones!P$9&gt;=F58,100,0),ROUND(NETWORKDAYS.INTL(E58,MIN(F58,Reprogramaciones!P$9),11)/NETWORKDAYS.INTL(E58,F58,11)*100,1))))</f>
        <v/>
      </c>
      <c r="N58" s="36" t="str">
        <f aca="false">IF(OR(NOT(AND(ISNUMBER(E58),ISNUMBER(F58))),$J$2=""),"",IF(Reprogramaciones!R$9&lt;E58,0,IF(NETWORKDAYS.INTL(E58,F58,11)=0,IF(Reprogramaciones!R$9&gt;=F58,100,0),ROUND(NETWORKDAYS.INTL(E58,MIN(F58,Reprogramaciones!R$9),11)/NETWORKDAYS.INTL(E58,F58,11)*100,1)))-IF(Reprogramaciones!Q$9&lt;E58,0,IF(NETWORKDAYS.INTL(E58,F58,11)=0,IF(Reprogramaciones!Q$9&gt;=F58,100,0),ROUND(NETWORKDAYS.INTL(E58,MIN(F58,Reprogramaciones!Q$9),11)/NETWORKDAYS.INTL(E58,F58,11)*100,1))))</f>
        <v/>
      </c>
      <c r="O58" s="36" t="str">
        <f aca="false">IF(OR(NOT(AND(ISNUMBER(E58),ISNUMBER(F58))),$J$2=""),"",IF(Reprogramaciones!S$9&lt;E58,0,IF(NETWORKDAYS.INTL(E58,F58,11)=0,IF(Reprogramaciones!S$9&gt;=F58,100,0),ROUND(NETWORKDAYS.INTL(E58,MIN(F58,Reprogramaciones!S$9),11)/NETWORKDAYS.INTL(E58,F58,11)*100,1)))-IF(Reprogramaciones!R$9&lt;E58,0,IF(NETWORKDAYS.INTL(E58,F58,11)=0,IF(Reprogramaciones!R$9&gt;=F58,100,0),ROUND(NETWORKDAYS.INTL(E58,MIN(F58,Reprogramaciones!R$9),11)/NETWORKDAYS.INTL(E58,F58,11)*100,1))))</f>
        <v/>
      </c>
      <c r="P58" s="36" t="str">
        <f aca="false">IF(OR(NOT(AND(ISNUMBER(E58),ISNUMBER(F58))),$J$2=""),"",IF(Reprogramaciones!T$9&lt;E58,0,IF(NETWORKDAYS.INTL(E58,F58,11)=0,IF(Reprogramaciones!T$9&gt;=F58,100,0),ROUND(NETWORKDAYS.INTL(E58,MIN(F58,Reprogramaciones!T$9),11)/NETWORKDAYS.INTL(E58,F58,11)*100,1)))-IF(Reprogramaciones!S$9&lt;E58,0,IF(NETWORKDAYS.INTL(E58,F58,11)=0,IF(Reprogramaciones!S$9&gt;=F58,100,0),ROUND(NETWORKDAYS.INTL(E58,MIN(F58,Reprogramaciones!S$9),11)/NETWORKDAYS.INTL(E58,F58,11)*100,1))))</f>
        <v/>
      </c>
      <c r="Q58" s="37"/>
      <c r="R58" s="37"/>
      <c r="S58" s="37"/>
      <c r="T58" s="37"/>
      <c r="U58" s="37"/>
      <c r="V58" s="37"/>
      <c r="W58" s="37"/>
      <c r="X58" s="37"/>
      <c r="Y58" s="37"/>
      <c r="Z58" s="37"/>
      <c r="AA58" s="37"/>
      <c r="AB58" s="37"/>
      <c r="AC58" s="37"/>
      <c r="AD58" s="37"/>
      <c r="AE58" s="37"/>
      <c r="AF58" s="37"/>
      <c r="AG58" s="38" t="str">
        <f aca="false">IF(AND(ISNUMBER(E58),ISNUMBER(F58)),NETWORKDAYS.INTL(E58,F58,11),"")</f>
        <v/>
      </c>
      <c r="AH58" s="38" t="str">
        <f aca="false">IF(OR(NOT(AND(ISNUMBER(E58),ISNUMBER(F58))),$J$2=""),"",IF(Reprogramaciones!$P$15&lt;Reprogramaciones!$T$15,0,IF(Reprogramaciones!$R$15&gt;10,MIN(100,SUM($G58:$P58)),MIN(100,SUMPRODUCT((COLUMN($G58:$P58)-COLUMN($G58)+1&lt;Reprogramaciones!$R$15)*$G58:$P58)+N(INDEX($G58:$P58,1,Reprogramaciones!$R$15))*IF(Reprogramaciones!$P$15&gt;=(Reprogramaciones!$T$15+7*(Reprogramaciones!$R$15-1))+6,1,IF(MAX(0,NETWORKDAYS.INTL(MAX(E58,(Reprogramaciones!$T$15+7*(Reprogramaciones!$R$15-1))),MIN(F58,(Reprogramaciones!$T$15+7*(Reprogramaciones!$R$15-1))+6),11))=0,0,MAX(0,NETWORKDAYS.INTL(MAX(E58,(Reprogramaciones!$T$15+7*(Reprogramaciones!$R$15-1))),MIN(F58,Reprogramaciones!$P$15),11))/MAX(0,NETWORKDAYS.INTL(MAX(E58,(Reprogramaciones!$T$15+7*(Reprogramaciones!$R$15-1))),MIN(F58,(Reprogramaciones!$T$15+7*(Reprogramaciones!$R$15-1))+6),11))))))))</f>
        <v/>
      </c>
      <c r="AI58" s="38" t="str">
        <f aca="false">IF(COUNT($Q58:$AF58)=0,"",IF(ROUND(SUM($Q58:$AF58),1)&gt;=99.5,100,MIN(100,ROUND(SUM($Q58:$AF58),1))))</f>
        <v/>
      </c>
      <c r="AJ58" s="38" t="str">
        <f aca="false">IF(OR(AH58="",AI58=""),"",AI58-AH58)</f>
        <v/>
      </c>
      <c r="AK58" s="39" t="str">
        <f aca="true">IF(AH58="","",IF(OR(Ficha!$C$10="Suspendida",Ficha!$C$10="Cancelada"),Ficha!$C$10,IF(AND(AI58&lt;&gt;"",N(AI58)&gt;=100),"Completada",IF(AND(E58&gt;TODAY(),N(AI58)=0),"Por iniciar",IF(N(AI58)+0.5&lt;AH58,"Retrasada",IF(N(AI58)+0.5&lt;DA58,IF(Reprogramaciones!$K$15&gt;0,"Al día · Sem "&amp;Reprogramaciones!$K$15&amp;" en curso","Al día · en curso"),"A tiempo"))))))</f>
        <v/>
      </c>
      <c r="AL58" s="39" t="str">
        <f aca="true">IF(AND(A58="",AND(B58="",C58="",E58="",F58="",COUNT(Q58:AF58)=0)),"",IF(AND(B58="",C58="",E58="",F58="",COUNT(Q58:AF58)=0),"Falta la partida o subpartida",IF(AND(A58&lt;&gt;"",COUNTIF($A$6:$A$305,A58)&gt;1),"Ítem repetido",IF(AND(C58="",E58="",F58="",COUNT(Q58:AF58)=0),"Título de partida",IF(OR(E58="",F58=""),"Faltan fechas",IF(OR(ISTEXT(E58),ISTEXT(F58)),"Fecha escrita como texto: usa dd/mm/aaaa",IF(F58&lt;E58,"Fin antes del inicio",IF(IF($J$2="",FALSE(),OR(E58&lt;$J$2,F58&gt;Reprogramaciones!$T$15+69)),"Fuera de las 10 semanas",IF(ABS(SUM(G58:P58)-100)&gt;0.5,"La meta no suma 100%",IF(ROUND(SUM(Q58:AF58),1)&gt;100.5,"El avance pasa de 100%",IF(MIN(Q58:AF58)&lt;0,"Avance negativo",IF(COUNTA(Q58:AF58)&gt;COUNT(Q58:AF58),"Avance escrito como texto",IF(SUMPRODUCT((Q58:AF58&gt;0)*(Q58:AF58&lt;1))&gt;0,"Avance menor a 1: escribe 50, no 50%",IF(SUMPRODUCT(ISNUMBER(Q58:AF58)*(Reprogramaciones!$K$8:$Z$8&gt;TODAY()))&gt;0,"Avance en semana que aún no llega",IF(AND(N(Reprogramaciones!$E$21)&gt;0,F58&gt;Reprogramaciones!$E$21),"Pasa el fin de la obra: registra una reprogramación",IF(AND(N(Reprogramaciones!$E$21)&gt;0,SUMPRODUCT(ISNUMBER(Q58:AF58)*(Reprogramaciones!$K$8:$Z$8&gt;Reprogramaciones!$E$21))&gt;0),"Avance después del fin de la obra: registra una reprogramación por atraso","OK"))))))))))))))))</f>
        <v/>
      </c>
      <c r="AM58" s="40" t="str">
        <f aca="false">IF(OR(OR(NOT(AND(ISNUMBER(E58),ISNUMBER(F58))),$J$2=""),1&gt;MAX(1,Reprogramaciones!$U$15)),"",IF(Reprogramaciones!K$12&gt;=7,"",IF(OR(BT58-N(0)&gt;0.05,N(Q58)&gt;0),ROUNDDOWN(ROUND(BT58,6),0)&amp;"%"&amp;IF(CJ58="",""," / "&amp;CJ58&amp;"%"),IF(AND(N(0)&gt;=99.95,CJ58&lt;&gt;"",N(CJ58)&lt;100),"Pend. "&amp;CJ58&amp;"%",""))))</f>
        <v/>
      </c>
      <c r="AN58" s="40" t="str">
        <f aca="false">IF(OR(OR(NOT(AND(ISNUMBER(E58),ISNUMBER(F58))),$J$2=""),2&gt;MAX(1,Reprogramaciones!$U$15)),"",IF(Reprogramaciones!L$12&gt;=7,"",IF(OR(BU58-N(BT58)&gt;0.05,N(R58)&gt;0),ROUNDDOWN(ROUND(BU58,6),0)&amp;"%"&amp;IF(CK58="",""," / "&amp;CK58&amp;"%"),IF(AND(N(BT58)&gt;=99.95,CK58&lt;&gt;"",N(CK58)&lt;100),"Pend. "&amp;CK58&amp;"%",""))))</f>
        <v/>
      </c>
      <c r="AO58" s="40" t="str">
        <f aca="false">IF(OR(OR(NOT(AND(ISNUMBER(E58),ISNUMBER(F58))),$J$2=""),3&gt;MAX(1,Reprogramaciones!$U$15)),"",IF(Reprogramaciones!M$12&gt;=7,"",IF(OR(BV58-N(BU58)&gt;0.05,N(S58)&gt;0),ROUNDDOWN(ROUND(BV58,6),0)&amp;"%"&amp;IF(CL58="",""," / "&amp;CL58&amp;"%"),IF(AND(N(BU58)&gt;=99.95,CL58&lt;&gt;"",N(CL58)&lt;100),"Pend. "&amp;CL58&amp;"%",""))))</f>
        <v/>
      </c>
      <c r="AP58" s="40" t="str">
        <f aca="false">IF(OR(OR(NOT(AND(ISNUMBER(E58),ISNUMBER(F58))),$J$2=""),4&gt;MAX(1,Reprogramaciones!$U$15)),"",IF(Reprogramaciones!N$12&gt;=7,"",IF(OR(BW58-N(BV58)&gt;0.05,N(T58)&gt;0),ROUNDDOWN(ROUND(BW58,6),0)&amp;"%"&amp;IF(CM58="",""," / "&amp;CM58&amp;"%"),IF(AND(N(BV58)&gt;=99.95,CM58&lt;&gt;"",N(CM58)&lt;100),"Pend. "&amp;CM58&amp;"%",""))))</f>
        <v/>
      </c>
      <c r="AQ58" s="40" t="str">
        <f aca="false">IF(OR(OR(NOT(AND(ISNUMBER(E58),ISNUMBER(F58))),$J$2=""),5&gt;MAX(1,Reprogramaciones!$U$15)),"",IF(Reprogramaciones!O$12&gt;=7,"",IF(OR(BX58-N(BW58)&gt;0.05,N(U58)&gt;0),ROUNDDOWN(ROUND(BX58,6),0)&amp;"%"&amp;IF(CN58="",""," / "&amp;CN58&amp;"%"),IF(AND(N(BW58)&gt;=99.95,CN58&lt;&gt;"",N(CN58)&lt;100),"Pend. "&amp;CN58&amp;"%",""))))</f>
        <v/>
      </c>
      <c r="AR58" s="40" t="str">
        <f aca="false">IF(OR(OR(NOT(AND(ISNUMBER(E58),ISNUMBER(F58))),$J$2=""),6&gt;MAX(1,Reprogramaciones!$U$15)),"",IF(Reprogramaciones!P$12&gt;=7,"",IF(OR(BY58-N(BX58)&gt;0.05,N(V58)&gt;0),ROUNDDOWN(ROUND(BY58,6),0)&amp;"%"&amp;IF(CO58="",""," / "&amp;CO58&amp;"%"),IF(AND(N(BX58)&gt;=99.95,CO58&lt;&gt;"",N(CO58)&lt;100),"Pend. "&amp;CO58&amp;"%",""))))</f>
        <v/>
      </c>
      <c r="AS58" s="40" t="str">
        <f aca="false">IF(OR(OR(NOT(AND(ISNUMBER(E58),ISNUMBER(F58))),$J$2=""),7&gt;MAX(1,Reprogramaciones!$U$15)),"",IF(Reprogramaciones!Q$12&gt;=7,"",IF(OR(BZ58-N(BY58)&gt;0.05,N(W58)&gt;0),ROUNDDOWN(ROUND(BZ58,6),0)&amp;"%"&amp;IF(CP58="",""," / "&amp;CP58&amp;"%"),IF(AND(N(BY58)&gt;=99.95,CP58&lt;&gt;"",N(CP58)&lt;100),"Pend. "&amp;CP58&amp;"%",""))))</f>
        <v/>
      </c>
      <c r="AT58" s="40" t="str">
        <f aca="false">IF(OR(OR(NOT(AND(ISNUMBER(E58),ISNUMBER(F58))),$J$2=""),8&gt;MAX(1,Reprogramaciones!$U$15)),"",IF(Reprogramaciones!R$12&gt;=7,"",IF(OR(CA58-N(BZ58)&gt;0.05,N(X58)&gt;0),ROUNDDOWN(ROUND(CA58,6),0)&amp;"%"&amp;IF(CQ58="",""," / "&amp;CQ58&amp;"%"),IF(AND(N(BZ58)&gt;=99.95,CQ58&lt;&gt;"",N(CQ58)&lt;100),"Pend. "&amp;CQ58&amp;"%",""))))</f>
        <v/>
      </c>
      <c r="AU58" s="40" t="str">
        <f aca="false">IF(OR(OR(NOT(AND(ISNUMBER(E58),ISNUMBER(F58))),$J$2=""),9&gt;MAX(1,Reprogramaciones!$U$15)),"",IF(Reprogramaciones!S$12&gt;=7,"",IF(OR(CB58-N(CA58)&gt;0.05,N(Y58)&gt;0),ROUNDDOWN(ROUND(CB58,6),0)&amp;"%"&amp;IF(CR58="",""," / "&amp;CR58&amp;"%"),IF(AND(N(CA58)&gt;=99.95,CR58&lt;&gt;"",N(CR58)&lt;100),"Pend. "&amp;CR58&amp;"%",""))))</f>
        <v/>
      </c>
      <c r="AV58" s="40" t="str">
        <f aca="false">IF(OR(OR(NOT(AND(ISNUMBER(E58),ISNUMBER(F58))),$J$2=""),10&gt;MAX(1,Reprogramaciones!$U$15)),"",IF(Reprogramaciones!T$12&gt;=7,"",IF(OR(CC58-N(CB58)&gt;0.05,N(Z58)&gt;0),ROUNDDOWN(ROUND(CC58,6),0)&amp;"%"&amp;IF(CS58="",""," / "&amp;CS58&amp;"%"),IF(AND(N(CB58)&gt;=99.95,CS58&lt;&gt;"",N(CS58)&lt;100),"Pend. "&amp;CS58&amp;"%",""))))</f>
        <v/>
      </c>
      <c r="AW58" s="40" t="str">
        <f aca="false">IF(OR(OR(NOT(AND(ISNUMBER(E58),ISNUMBER(F58))),$J$2=""),11&gt;MAX(1,Reprogramaciones!$U$15)),"",IF(Reprogramaciones!U$12&gt;=7,"",IF(OR(CD58-N(CC58)&gt;0.05,N(AA58)&gt;0),ROUNDDOWN(ROUND(CD58,6),0)&amp;"%"&amp;IF(CT58="",""," / "&amp;CT58&amp;"%"),IF(AND(N(CC58)&gt;=99.95,CT58&lt;&gt;"",N(CT58)&lt;100),"Pend. "&amp;CT58&amp;"%",""))))</f>
        <v/>
      </c>
      <c r="AX58" s="40" t="str">
        <f aca="false">IF(OR(OR(NOT(AND(ISNUMBER(E58),ISNUMBER(F58))),$J$2=""),12&gt;MAX(1,Reprogramaciones!$U$15)),"",IF(Reprogramaciones!V$12&gt;=7,"",IF(OR(CE58-N(CD58)&gt;0.05,N(AB58)&gt;0),ROUNDDOWN(ROUND(CE58,6),0)&amp;"%"&amp;IF(CU58="",""," / "&amp;CU58&amp;"%"),IF(AND(N(CD58)&gt;=99.95,CU58&lt;&gt;"",N(CU58)&lt;100),"Pend. "&amp;CU58&amp;"%",""))))</f>
        <v/>
      </c>
      <c r="AY58" s="40" t="str">
        <f aca="false">IF(OR(OR(NOT(AND(ISNUMBER(E58),ISNUMBER(F58))),$J$2=""),13&gt;MAX(1,Reprogramaciones!$U$15)),"",IF(Reprogramaciones!W$12&gt;=7,"",IF(OR(CF58-N(CE58)&gt;0.05,N(AC58)&gt;0),ROUNDDOWN(ROUND(CF58,6),0)&amp;"%"&amp;IF(CV58="",""," / "&amp;CV58&amp;"%"),IF(AND(N(CE58)&gt;=99.95,CV58&lt;&gt;"",N(CV58)&lt;100),"Pend. "&amp;CV58&amp;"%",""))))</f>
        <v/>
      </c>
      <c r="AZ58" s="40" t="str">
        <f aca="false">IF(OR(OR(NOT(AND(ISNUMBER(E58),ISNUMBER(F58))),$J$2=""),14&gt;MAX(1,Reprogramaciones!$U$15)),"",IF(Reprogramaciones!X$12&gt;=7,"",IF(OR(CG58-N(CF58)&gt;0.05,N(AD58)&gt;0),ROUNDDOWN(ROUND(CG58,6),0)&amp;"%"&amp;IF(CW58="",""," / "&amp;CW58&amp;"%"),IF(AND(N(CF58)&gt;=99.95,CW58&lt;&gt;"",N(CW58)&lt;100),"Pend. "&amp;CW58&amp;"%",""))))</f>
        <v/>
      </c>
      <c r="BA58" s="40" t="str">
        <f aca="false">IF(OR(OR(NOT(AND(ISNUMBER(E58),ISNUMBER(F58))),$J$2=""),15&gt;MAX(1,Reprogramaciones!$U$15)),"",IF(Reprogramaciones!Y$12&gt;=7,"",IF(OR(CH58-N(CG58)&gt;0.05,N(AE58)&gt;0),ROUNDDOWN(ROUND(CH58,6),0)&amp;"%"&amp;IF(CX58="",""," / "&amp;CX58&amp;"%"),IF(AND(N(CG58)&gt;=99.95,CX58&lt;&gt;"",N(CX58)&lt;100),"Pend. "&amp;CX58&amp;"%",""))))</f>
        <v/>
      </c>
      <c r="BB58" s="40" t="str">
        <f aca="false">IF(OR(OR(NOT(AND(ISNUMBER(E58),ISNUMBER(F58))),$J$2=""),16&gt;MAX(1,Reprogramaciones!$U$15)),"",IF(Reprogramaciones!Z$12&gt;=7,"",IF(OR(CI58-N(CH58)&gt;0.05,N(AF58)&gt;0),ROUNDDOWN(ROUND(CI58,6),0)&amp;"%"&amp;IF(CY58="",""," / "&amp;CY58&amp;"%"),IF(AND(N(CH58)&gt;=99.95,CY58&lt;&gt;"",N(CY58)&lt;100),"Pend. "&amp;CY58&amp;"%",""))))</f>
        <v/>
      </c>
      <c r="BC58" s="31" t="n">
        <f aca="false">IF(AND(ISNUMBER(E58),ISNUMBER(F58)),MAX(1,NETWORKDAYS.INTL(E58,F58,11)),0)</f>
        <v>0</v>
      </c>
      <c r="BD58" s="1" t="str">
        <f aca="false">IF(OR(NOT(AND(ISNUMBER(E58),ISNUMBER(F58))),$J$2=""),"",MIN(100,ROUND(SUM($G58:G58),1)))</f>
        <v/>
      </c>
      <c r="BE58" s="1" t="str">
        <f aca="false">IF(OR(NOT(AND(ISNUMBER(E58),ISNUMBER(F58))),$J$2=""),"",MIN(100,ROUND(SUM($G58:H58),1)))</f>
        <v/>
      </c>
      <c r="BF58" s="1" t="str">
        <f aca="false">IF(OR(NOT(AND(ISNUMBER(E58),ISNUMBER(F58))),$J$2=""),"",MIN(100,ROUND(SUM($G58:I58),1)))</f>
        <v/>
      </c>
      <c r="BG58" s="1" t="str">
        <f aca="false">IF(OR(NOT(AND(ISNUMBER(E58),ISNUMBER(F58))),$J$2=""),"",MIN(100,ROUND(SUM($G58:J58),1)))</f>
        <v/>
      </c>
      <c r="BH58" s="1" t="str">
        <f aca="false">IF(OR(NOT(AND(ISNUMBER(E58),ISNUMBER(F58))),$J$2=""),"",MIN(100,ROUND(SUM($G58:K58),1)))</f>
        <v/>
      </c>
      <c r="BI58" s="1" t="str">
        <f aca="false">IF(OR(NOT(AND(ISNUMBER(E58),ISNUMBER(F58))),$J$2=""),"",MIN(100,ROUND(SUM($G58:L58),1)))</f>
        <v/>
      </c>
      <c r="BJ58" s="1" t="str">
        <f aca="false">IF(OR(NOT(AND(ISNUMBER(E58),ISNUMBER(F58))),$J$2=""),"",MIN(100,ROUND(SUM($G58:M58),1)))</f>
        <v/>
      </c>
      <c r="BK58" s="1" t="str">
        <f aca="false">IF(OR(NOT(AND(ISNUMBER(E58),ISNUMBER(F58))),$J$2=""),"",MIN(100,ROUND(SUM($G58:N58),1)))</f>
        <v/>
      </c>
      <c r="BL58" s="1" t="str">
        <f aca="false">IF(OR(NOT(AND(ISNUMBER(E58),ISNUMBER(F58))),$J$2=""),"",MIN(100,ROUND(SUM($G58:O58),1)))</f>
        <v/>
      </c>
      <c r="BM58" s="1" t="str">
        <f aca="false">IF(OR(NOT(AND(ISNUMBER(E58),ISNUMBER(F58))),$J$2=""),"",MIN(100,ROUND(SUM($G58:P58),1)))</f>
        <v/>
      </c>
      <c r="BN58" s="1" t="str">
        <f aca="false">IF(OR(NOT(AND(ISNUMBER(E58),ISNUMBER(F58))),$J$2=""),"",MIN(100,ROUND(SUM($G58:P58),1)))</f>
        <v/>
      </c>
      <c r="BO58" s="1" t="str">
        <f aca="false">IF(OR(NOT(AND(ISNUMBER(E58),ISNUMBER(F58))),$J$2=""),"",MIN(100,ROUND(SUM($G58:P58),1)))</f>
        <v/>
      </c>
      <c r="BP58" s="1" t="str">
        <f aca="false">IF(OR(NOT(AND(ISNUMBER(E58),ISNUMBER(F58))),$J$2=""),"",MIN(100,ROUND(SUM($G58:P58),1)))</f>
        <v/>
      </c>
      <c r="BQ58" s="1" t="str">
        <f aca="false">IF(OR(NOT(AND(ISNUMBER(E58),ISNUMBER(F58))),$J$2=""),"",MIN(100,ROUND(SUM($G58:P58),1)))</f>
        <v/>
      </c>
      <c r="BR58" s="1" t="str">
        <f aca="false">IF(OR(NOT(AND(ISNUMBER(E58),ISNUMBER(F58))),$J$2=""),"",MIN(100,ROUND(SUM($G58:P58),1)))</f>
        <v/>
      </c>
      <c r="BS58" s="1" t="str">
        <f aca="false">IF(OR(NOT(AND(ISNUMBER(E58),ISNUMBER(F58))),$J$2=""),"",MIN(100,ROUND(SUM($G58:P58),1)))</f>
        <v/>
      </c>
      <c r="BT58" s="1" t="str">
        <f aca="false">IF(OR(NOT(AND(ISNUMBER(E58),ISNUMBER(F58))),$J$2=""),"",IF(Reprogramaciones!K$13&lt;Reprogramaciones!$T$15,0,IF(Reprogramaciones!K$14&gt;10,MIN(100,SUM($G58:$P58)),MIN(100,SUMPRODUCT((COLUMN($G58:$P58)-COLUMN($G58)+1&lt;Reprogramaciones!K$14)*$G58:$P58)+N(INDEX($G58:$P58,1,Reprogramaciones!K$14))*IF(Reprogramaciones!K$13&gt;=(Reprogramaciones!$T$15+7*(Reprogramaciones!K$14-1))+6,1,IF(MAX(0,NETWORKDAYS.INTL(MAX(E58,(Reprogramaciones!$T$15+7*(Reprogramaciones!K$14-1))),MIN(F58,(Reprogramaciones!$T$15+7*(Reprogramaciones!K$14-1))+6),11))=0,0,MAX(0,NETWORKDAYS.INTL(MAX(E58,(Reprogramaciones!$T$15+7*(Reprogramaciones!K$14-1))),MIN(F58,Reprogramaciones!K$13),11))/MAX(0,NETWORKDAYS.INTL(MAX(E58,(Reprogramaciones!$T$15+7*(Reprogramaciones!K$14-1))),MIN(F58,(Reprogramaciones!$T$15+7*(Reprogramaciones!K$14-1))+6),11))))))))</f>
        <v/>
      </c>
      <c r="BU58" s="1" t="str">
        <f aca="false">IF(OR(NOT(AND(ISNUMBER(E58),ISNUMBER(F58))),$J$2=""),"",IF(Reprogramaciones!L$13&lt;Reprogramaciones!$T$15,0,IF(Reprogramaciones!L$14&gt;10,MIN(100,SUM($G58:$P58)),MIN(100,SUMPRODUCT((COLUMN($G58:$P58)-COLUMN($G58)+1&lt;Reprogramaciones!L$14)*$G58:$P58)+N(INDEX($G58:$P58,1,Reprogramaciones!L$14))*IF(Reprogramaciones!L$13&gt;=(Reprogramaciones!$T$15+7*(Reprogramaciones!L$14-1))+6,1,IF(MAX(0,NETWORKDAYS.INTL(MAX(E58,(Reprogramaciones!$T$15+7*(Reprogramaciones!L$14-1))),MIN(F58,(Reprogramaciones!$T$15+7*(Reprogramaciones!L$14-1))+6),11))=0,0,MAX(0,NETWORKDAYS.INTL(MAX(E58,(Reprogramaciones!$T$15+7*(Reprogramaciones!L$14-1))),MIN(F58,Reprogramaciones!L$13),11))/MAX(0,NETWORKDAYS.INTL(MAX(E58,(Reprogramaciones!$T$15+7*(Reprogramaciones!L$14-1))),MIN(F58,(Reprogramaciones!$T$15+7*(Reprogramaciones!L$14-1))+6),11))))))))</f>
        <v/>
      </c>
      <c r="BV58" s="1" t="str">
        <f aca="false">IF(OR(NOT(AND(ISNUMBER(E58),ISNUMBER(F58))),$J$2=""),"",IF(Reprogramaciones!M$13&lt;Reprogramaciones!$T$15,0,IF(Reprogramaciones!M$14&gt;10,MIN(100,SUM($G58:$P58)),MIN(100,SUMPRODUCT((COLUMN($G58:$P58)-COLUMN($G58)+1&lt;Reprogramaciones!M$14)*$G58:$P58)+N(INDEX($G58:$P58,1,Reprogramaciones!M$14))*IF(Reprogramaciones!M$13&gt;=(Reprogramaciones!$T$15+7*(Reprogramaciones!M$14-1))+6,1,IF(MAX(0,NETWORKDAYS.INTL(MAX(E58,(Reprogramaciones!$T$15+7*(Reprogramaciones!M$14-1))),MIN(F58,(Reprogramaciones!$T$15+7*(Reprogramaciones!M$14-1))+6),11))=0,0,MAX(0,NETWORKDAYS.INTL(MAX(E58,(Reprogramaciones!$T$15+7*(Reprogramaciones!M$14-1))),MIN(F58,Reprogramaciones!M$13),11))/MAX(0,NETWORKDAYS.INTL(MAX(E58,(Reprogramaciones!$T$15+7*(Reprogramaciones!M$14-1))),MIN(F58,(Reprogramaciones!$T$15+7*(Reprogramaciones!M$14-1))+6),11))))))))</f>
        <v/>
      </c>
      <c r="BW58" s="1" t="str">
        <f aca="false">IF(OR(NOT(AND(ISNUMBER(E58),ISNUMBER(F58))),$J$2=""),"",IF(Reprogramaciones!N$13&lt;Reprogramaciones!$T$15,0,IF(Reprogramaciones!N$14&gt;10,MIN(100,SUM($G58:$P58)),MIN(100,SUMPRODUCT((COLUMN($G58:$P58)-COLUMN($G58)+1&lt;Reprogramaciones!N$14)*$G58:$P58)+N(INDEX($G58:$P58,1,Reprogramaciones!N$14))*IF(Reprogramaciones!N$13&gt;=(Reprogramaciones!$T$15+7*(Reprogramaciones!N$14-1))+6,1,IF(MAX(0,NETWORKDAYS.INTL(MAX(E58,(Reprogramaciones!$T$15+7*(Reprogramaciones!N$14-1))),MIN(F58,(Reprogramaciones!$T$15+7*(Reprogramaciones!N$14-1))+6),11))=0,0,MAX(0,NETWORKDAYS.INTL(MAX(E58,(Reprogramaciones!$T$15+7*(Reprogramaciones!N$14-1))),MIN(F58,Reprogramaciones!N$13),11))/MAX(0,NETWORKDAYS.INTL(MAX(E58,(Reprogramaciones!$T$15+7*(Reprogramaciones!N$14-1))),MIN(F58,(Reprogramaciones!$T$15+7*(Reprogramaciones!N$14-1))+6),11))))))))</f>
        <v/>
      </c>
      <c r="BX58" s="1" t="str">
        <f aca="false">IF(OR(NOT(AND(ISNUMBER(E58),ISNUMBER(F58))),$J$2=""),"",IF(Reprogramaciones!O$13&lt;Reprogramaciones!$T$15,0,IF(Reprogramaciones!O$14&gt;10,MIN(100,SUM($G58:$P58)),MIN(100,SUMPRODUCT((COLUMN($G58:$P58)-COLUMN($G58)+1&lt;Reprogramaciones!O$14)*$G58:$P58)+N(INDEX($G58:$P58,1,Reprogramaciones!O$14))*IF(Reprogramaciones!O$13&gt;=(Reprogramaciones!$T$15+7*(Reprogramaciones!O$14-1))+6,1,IF(MAX(0,NETWORKDAYS.INTL(MAX(E58,(Reprogramaciones!$T$15+7*(Reprogramaciones!O$14-1))),MIN(F58,(Reprogramaciones!$T$15+7*(Reprogramaciones!O$14-1))+6),11))=0,0,MAX(0,NETWORKDAYS.INTL(MAX(E58,(Reprogramaciones!$T$15+7*(Reprogramaciones!O$14-1))),MIN(F58,Reprogramaciones!O$13),11))/MAX(0,NETWORKDAYS.INTL(MAX(E58,(Reprogramaciones!$T$15+7*(Reprogramaciones!O$14-1))),MIN(F58,(Reprogramaciones!$T$15+7*(Reprogramaciones!O$14-1))+6),11))))))))</f>
        <v/>
      </c>
      <c r="BY58" s="1" t="str">
        <f aca="false">IF(OR(NOT(AND(ISNUMBER(E58),ISNUMBER(F58))),$J$2=""),"",IF(Reprogramaciones!P$13&lt;Reprogramaciones!$T$15,0,IF(Reprogramaciones!P$14&gt;10,MIN(100,SUM($G58:$P58)),MIN(100,SUMPRODUCT((COLUMN($G58:$P58)-COLUMN($G58)+1&lt;Reprogramaciones!P$14)*$G58:$P58)+N(INDEX($G58:$P58,1,Reprogramaciones!P$14))*IF(Reprogramaciones!P$13&gt;=(Reprogramaciones!$T$15+7*(Reprogramaciones!P$14-1))+6,1,IF(MAX(0,NETWORKDAYS.INTL(MAX(E58,(Reprogramaciones!$T$15+7*(Reprogramaciones!P$14-1))),MIN(F58,(Reprogramaciones!$T$15+7*(Reprogramaciones!P$14-1))+6),11))=0,0,MAX(0,NETWORKDAYS.INTL(MAX(E58,(Reprogramaciones!$T$15+7*(Reprogramaciones!P$14-1))),MIN(F58,Reprogramaciones!P$13),11))/MAX(0,NETWORKDAYS.INTL(MAX(E58,(Reprogramaciones!$T$15+7*(Reprogramaciones!P$14-1))),MIN(F58,(Reprogramaciones!$T$15+7*(Reprogramaciones!P$14-1))+6),11))))))))</f>
        <v/>
      </c>
      <c r="BZ58" s="1" t="str">
        <f aca="false">IF(OR(NOT(AND(ISNUMBER(E58),ISNUMBER(F58))),$J$2=""),"",IF(Reprogramaciones!Q$13&lt;Reprogramaciones!$T$15,0,IF(Reprogramaciones!Q$14&gt;10,MIN(100,SUM($G58:$P58)),MIN(100,SUMPRODUCT((COLUMN($G58:$P58)-COLUMN($G58)+1&lt;Reprogramaciones!Q$14)*$G58:$P58)+N(INDEX($G58:$P58,1,Reprogramaciones!Q$14))*IF(Reprogramaciones!Q$13&gt;=(Reprogramaciones!$T$15+7*(Reprogramaciones!Q$14-1))+6,1,IF(MAX(0,NETWORKDAYS.INTL(MAX(E58,(Reprogramaciones!$T$15+7*(Reprogramaciones!Q$14-1))),MIN(F58,(Reprogramaciones!$T$15+7*(Reprogramaciones!Q$14-1))+6),11))=0,0,MAX(0,NETWORKDAYS.INTL(MAX(E58,(Reprogramaciones!$T$15+7*(Reprogramaciones!Q$14-1))),MIN(F58,Reprogramaciones!Q$13),11))/MAX(0,NETWORKDAYS.INTL(MAX(E58,(Reprogramaciones!$T$15+7*(Reprogramaciones!Q$14-1))),MIN(F58,(Reprogramaciones!$T$15+7*(Reprogramaciones!Q$14-1))+6),11))))))))</f>
        <v/>
      </c>
      <c r="CA58" s="1" t="str">
        <f aca="false">IF(OR(NOT(AND(ISNUMBER(E58),ISNUMBER(F58))),$J$2=""),"",IF(Reprogramaciones!R$13&lt;Reprogramaciones!$T$15,0,IF(Reprogramaciones!R$14&gt;10,MIN(100,SUM($G58:$P58)),MIN(100,SUMPRODUCT((COLUMN($G58:$P58)-COLUMN($G58)+1&lt;Reprogramaciones!R$14)*$G58:$P58)+N(INDEX($G58:$P58,1,Reprogramaciones!R$14))*IF(Reprogramaciones!R$13&gt;=(Reprogramaciones!$T$15+7*(Reprogramaciones!R$14-1))+6,1,IF(MAX(0,NETWORKDAYS.INTL(MAX(E58,(Reprogramaciones!$T$15+7*(Reprogramaciones!R$14-1))),MIN(F58,(Reprogramaciones!$T$15+7*(Reprogramaciones!R$14-1))+6),11))=0,0,MAX(0,NETWORKDAYS.INTL(MAX(E58,(Reprogramaciones!$T$15+7*(Reprogramaciones!R$14-1))),MIN(F58,Reprogramaciones!R$13),11))/MAX(0,NETWORKDAYS.INTL(MAX(E58,(Reprogramaciones!$T$15+7*(Reprogramaciones!R$14-1))),MIN(F58,(Reprogramaciones!$T$15+7*(Reprogramaciones!R$14-1))+6),11))))))))</f>
        <v/>
      </c>
      <c r="CB58" s="1" t="str">
        <f aca="false">IF(OR(NOT(AND(ISNUMBER(E58),ISNUMBER(F58))),$J$2=""),"",IF(Reprogramaciones!S$13&lt;Reprogramaciones!$T$15,0,IF(Reprogramaciones!S$14&gt;10,MIN(100,SUM($G58:$P58)),MIN(100,SUMPRODUCT((COLUMN($G58:$P58)-COLUMN($G58)+1&lt;Reprogramaciones!S$14)*$G58:$P58)+N(INDEX($G58:$P58,1,Reprogramaciones!S$14))*IF(Reprogramaciones!S$13&gt;=(Reprogramaciones!$T$15+7*(Reprogramaciones!S$14-1))+6,1,IF(MAX(0,NETWORKDAYS.INTL(MAX(E58,(Reprogramaciones!$T$15+7*(Reprogramaciones!S$14-1))),MIN(F58,(Reprogramaciones!$T$15+7*(Reprogramaciones!S$14-1))+6),11))=0,0,MAX(0,NETWORKDAYS.INTL(MAX(E58,(Reprogramaciones!$T$15+7*(Reprogramaciones!S$14-1))),MIN(F58,Reprogramaciones!S$13),11))/MAX(0,NETWORKDAYS.INTL(MAX(E58,(Reprogramaciones!$T$15+7*(Reprogramaciones!S$14-1))),MIN(F58,(Reprogramaciones!$T$15+7*(Reprogramaciones!S$14-1))+6),11))))))))</f>
        <v/>
      </c>
      <c r="CC58" s="1" t="str">
        <f aca="false">IF(OR(NOT(AND(ISNUMBER(E58),ISNUMBER(F58))),$J$2=""),"",IF(Reprogramaciones!T$13&lt;Reprogramaciones!$T$15,0,IF(Reprogramaciones!T$14&gt;10,MIN(100,SUM($G58:$P58)),MIN(100,SUMPRODUCT((COLUMN($G58:$P58)-COLUMN($G58)+1&lt;Reprogramaciones!T$14)*$G58:$P58)+N(INDEX($G58:$P58,1,Reprogramaciones!T$14))*IF(Reprogramaciones!T$13&gt;=(Reprogramaciones!$T$15+7*(Reprogramaciones!T$14-1))+6,1,IF(MAX(0,NETWORKDAYS.INTL(MAX(E58,(Reprogramaciones!$T$15+7*(Reprogramaciones!T$14-1))),MIN(F58,(Reprogramaciones!$T$15+7*(Reprogramaciones!T$14-1))+6),11))=0,0,MAX(0,NETWORKDAYS.INTL(MAX(E58,(Reprogramaciones!$T$15+7*(Reprogramaciones!T$14-1))),MIN(F58,Reprogramaciones!T$13),11))/MAX(0,NETWORKDAYS.INTL(MAX(E58,(Reprogramaciones!$T$15+7*(Reprogramaciones!T$14-1))),MIN(F58,(Reprogramaciones!$T$15+7*(Reprogramaciones!T$14-1))+6),11))))))))</f>
        <v/>
      </c>
      <c r="CD58" s="1" t="str">
        <f aca="false">IF(OR(NOT(AND(ISNUMBER(E58),ISNUMBER(F58))),$J$2=""),"",IF(Reprogramaciones!U$13&lt;Reprogramaciones!$T$15,0,IF(Reprogramaciones!U$14&gt;10,MIN(100,SUM($G58:$P58)),MIN(100,SUMPRODUCT((COLUMN($G58:$P58)-COLUMN($G58)+1&lt;Reprogramaciones!U$14)*$G58:$P58)+N(INDEX($G58:$P58,1,Reprogramaciones!U$14))*IF(Reprogramaciones!U$13&gt;=(Reprogramaciones!$T$15+7*(Reprogramaciones!U$14-1))+6,1,IF(MAX(0,NETWORKDAYS.INTL(MAX(E58,(Reprogramaciones!$T$15+7*(Reprogramaciones!U$14-1))),MIN(F58,(Reprogramaciones!$T$15+7*(Reprogramaciones!U$14-1))+6),11))=0,0,MAX(0,NETWORKDAYS.INTL(MAX(E58,(Reprogramaciones!$T$15+7*(Reprogramaciones!U$14-1))),MIN(F58,Reprogramaciones!U$13),11))/MAX(0,NETWORKDAYS.INTL(MAX(E58,(Reprogramaciones!$T$15+7*(Reprogramaciones!U$14-1))),MIN(F58,(Reprogramaciones!$T$15+7*(Reprogramaciones!U$14-1))+6),11))))))))</f>
        <v/>
      </c>
      <c r="CE58" s="1" t="str">
        <f aca="false">IF(OR(NOT(AND(ISNUMBER(E58),ISNUMBER(F58))),$J$2=""),"",IF(Reprogramaciones!V$13&lt;Reprogramaciones!$T$15,0,IF(Reprogramaciones!V$14&gt;10,MIN(100,SUM($G58:$P58)),MIN(100,SUMPRODUCT((COLUMN($G58:$P58)-COLUMN($G58)+1&lt;Reprogramaciones!V$14)*$G58:$P58)+N(INDEX($G58:$P58,1,Reprogramaciones!V$14))*IF(Reprogramaciones!V$13&gt;=(Reprogramaciones!$T$15+7*(Reprogramaciones!V$14-1))+6,1,IF(MAX(0,NETWORKDAYS.INTL(MAX(E58,(Reprogramaciones!$T$15+7*(Reprogramaciones!V$14-1))),MIN(F58,(Reprogramaciones!$T$15+7*(Reprogramaciones!V$14-1))+6),11))=0,0,MAX(0,NETWORKDAYS.INTL(MAX(E58,(Reprogramaciones!$T$15+7*(Reprogramaciones!V$14-1))),MIN(F58,Reprogramaciones!V$13),11))/MAX(0,NETWORKDAYS.INTL(MAX(E58,(Reprogramaciones!$T$15+7*(Reprogramaciones!V$14-1))),MIN(F58,(Reprogramaciones!$T$15+7*(Reprogramaciones!V$14-1))+6),11))))))))</f>
        <v/>
      </c>
      <c r="CF58" s="1" t="str">
        <f aca="false">IF(OR(NOT(AND(ISNUMBER(E58),ISNUMBER(F58))),$J$2=""),"",IF(Reprogramaciones!W$13&lt;Reprogramaciones!$T$15,0,IF(Reprogramaciones!W$14&gt;10,MIN(100,SUM($G58:$P58)),MIN(100,SUMPRODUCT((COLUMN($G58:$P58)-COLUMN($G58)+1&lt;Reprogramaciones!W$14)*$G58:$P58)+N(INDEX($G58:$P58,1,Reprogramaciones!W$14))*IF(Reprogramaciones!W$13&gt;=(Reprogramaciones!$T$15+7*(Reprogramaciones!W$14-1))+6,1,IF(MAX(0,NETWORKDAYS.INTL(MAX(E58,(Reprogramaciones!$T$15+7*(Reprogramaciones!W$14-1))),MIN(F58,(Reprogramaciones!$T$15+7*(Reprogramaciones!W$14-1))+6),11))=0,0,MAX(0,NETWORKDAYS.INTL(MAX(E58,(Reprogramaciones!$T$15+7*(Reprogramaciones!W$14-1))),MIN(F58,Reprogramaciones!W$13),11))/MAX(0,NETWORKDAYS.INTL(MAX(E58,(Reprogramaciones!$T$15+7*(Reprogramaciones!W$14-1))),MIN(F58,(Reprogramaciones!$T$15+7*(Reprogramaciones!W$14-1))+6),11))))))))</f>
        <v/>
      </c>
      <c r="CG58" s="1" t="str">
        <f aca="false">IF(OR(NOT(AND(ISNUMBER(E58),ISNUMBER(F58))),$J$2=""),"",IF(Reprogramaciones!X$13&lt;Reprogramaciones!$T$15,0,IF(Reprogramaciones!X$14&gt;10,MIN(100,SUM($G58:$P58)),MIN(100,SUMPRODUCT((COLUMN($G58:$P58)-COLUMN($G58)+1&lt;Reprogramaciones!X$14)*$G58:$P58)+N(INDEX($G58:$P58,1,Reprogramaciones!X$14))*IF(Reprogramaciones!X$13&gt;=(Reprogramaciones!$T$15+7*(Reprogramaciones!X$14-1))+6,1,IF(MAX(0,NETWORKDAYS.INTL(MAX(E58,(Reprogramaciones!$T$15+7*(Reprogramaciones!X$14-1))),MIN(F58,(Reprogramaciones!$T$15+7*(Reprogramaciones!X$14-1))+6),11))=0,0,MAX(0,NETWORKDAYS.INTL(MAX(E58,(Reprogramaciones!$T$15+7*(Reprogramaciones!X$14-1))),MIN(F58,Reprogramaciones!X$13),11))/MAX(0,NETWORKDAYS.INTL(MAX(E58,(Reprogramaciones!$T$15+7*(Reprogramaciones!X$14-1))),MIN(F58,(Reprogramaciones!$T$15+7*(Reprogramaciones!X$14-1))+6),11))))))))</f>
        <v/>
      </c>
      <c r="CH58" s="1" t="str">
        <f aca="false">IF(OR(NOT(AND(ISNUMBER(E58),ISNUMBER(F58))),$J$2=""),"",IF(Reprogramaciones!Y$13&lt;Reprogramaciones!$T$15,0,IF(Reprogramaciones!Y$14&gt;10,MIN(100,SUM($G58:$P58)),MIN(100,SUMPRODUCT((COLUMN($G58:$P58)-COLUMN($G58)+1&lt;Reprogramaciones!Y$14)*$G58:$P58)+N(INDEX($G58:$P58,1,Reprogramaciones!Y$14))*IF(Reprogramaciones!Y$13&gt;=(Reprogramaciones!$T$15+7*(Reprogramaciones!Y$14-1))+6,1,IF(MAX(0,NETWORKDAYS.INTL(MAX(E58,(Reprogramaciones!$T$15+7*(Reprogramaciones!Y$14-1))),MIN(F58,(Reprogramaciones!$T$15+7*(Reprogramaciones!Y$14-1))+6),11))=0,0,MAX(0,NETWORKDAYS.INTL(MAX(E58,(Reprogramaciones!$T$15+7*(Reprogramaciones!Y$14-1))),MIN(F58,Reprogramaciones!Y$13),11))/MAX(0,NETWORKDAYS.INTL(MAX(E58,(Reprogramaciones!$T$15+7*(Reprogramaciones!Y$14-1))),MIN(F58,(Reprogramaciones!$T$15+7*(Reprogramaciones!Y$14-1))+6),11))))))))</f>
        <v/>
      </c>
      <c r="CI58" s="1" t="str">
        <f aca="false">IF(OR(NOT(AND(ISNUMBER(E58),ISNUMBER(F58))),$J$2=""),"",IF(Reprogramaciones!Z$13&lt;Reprogramaciones!$T$15,0,IF(Reprogramaciones!Z$14&gt;10,MIN(100,SUM($G58:$P58)),MIN(100,SUMPRODUCT((COLUMN($G58:$P58)-COLUMN($G58)+1&lt;Reprogramaciones!Z$14)*$G58:$P58)+N(INDEX($G58:$P58,1,Reprogramaciones!Z$14))*IF(Reprogramaciones!Z$13&gt;=(Reprogramaciones!$T$15+7*(Reprogramaciones!Z$14-1))+6,1,IF(MAX(0,NETWORKDAYS.INTL(MAX(E58,(Reprogramaciones!$T$15+7*(Reprogramaciones!Z$14-1))),MIN(F58,(Reprogramaciones!$T$15+7*(Reprogramaciones!Z$14-1))+6),11))=0,0,MAX(0,NETWORKDAYS.INTL(MAX(E58,(Reprogramaciones!$T$15+7*(Reprogramaciones!Z$14-1))),MIN(F58,Reprogramaciones!Z$13),11))/MAX(0,NETWORKDAYS.INTL(MAX(E58,(Reprogramaciones!$T$15+7*(Reprogramaciones!Z$14-1))),MIN(F58,(Reprogramaciones!$T$15+7*(Reprogramaciones!Z$14-1))+6),11))))))))</f>
        <v/>
      </c>
      <c r="CJ58" s="1" t="str">
        <f aca="false">IF(OR(OR(NOT(AND(ISNUMBER(E58),ISNUMBER(F58))),$J$2=""),1&gt;Reprogramaciones!$K$16),"",IF(ROUND(SUM($Q58:Q58),1)&gt;=99.5,100,MIN(100,ROUND(SUM($Q58:Q58),1))))</f>
        <v/>
      </c>
      <c r="CK58" s="1" t="str">
        <f aca="false">IF(OR(OR(NOT(AND(ISNUMBER(E58),ISNUMBER(F58))),$J$2=""),2&gt;Reprogramaciones!$K$16),"",IF(ROUND(SUM($Q58:R58),1)&gt;=99.5,100,MIN(100,ROUND(SUM($Q58:R58),1))))</f>
        <v/>
      </c>
      <c r="CL58" s="1" t="str">
        <f aca="false">IF(OR(OR(NOT(AND(ISNUMBER(E58),ISNUMBER(F58))),$J$2=""),3&gt;Reprogramaciones!$K$16),"",IF(ROUND(SUM($Q58:S58),1)&gt;=99.5,100,MIN(100,ROUND(SUM($Q58:S58),1))))</f>
        <v/>
      </c>
      <c r="CM58" s="1" t="str">
        <f aca="false">IF(OR(OR(NOT(AND(ISNUMBER(E58),ISNUMBER(F58))),$J$2=""),4&gt;Reprogramaciones!$K$16),"",IF(ROUND(SUM($Q58:T58),1)&gt;=99.5,100,MIN(100,ROUND(SUM($Q58:T58),1))))</f>
        <v/>
      </c>
      <c r="CN58" s="1" t="str">
        <f aca="false">IF(OR(OR(NOT(AND(ISNUMBER(E58),ISNUMBER(F58))),$J$2=""),5&gt;Reprogramaciones!$K$16),"",IF(ROUND(SUM($Q58:U58),1)&gt;=99.5,100,MIN(100,ROUND(SUM($Q58:U58),1))))</f>
        <v/>
      </c>
      <c r="CO58" s="1" t="str">
        <f aca="false">IF(OR(OR(NOT(AND(ISNUMBER(E58),ISNUMBER(F58))),$J$2=""),6&gt;Reprogramaciones!$K$16),"",IF(ROUND(SUM($Q58:V58),1)&gt;=99.5,100,MIN(100,ROUND(SUM($Q58:V58),1))))</f>
        <v/>
      </c>
      <c r="CP58" s="1" t="str">
        <f aca="false">IF(OR(OR(NOT(AND(ISNUMBER(E58),ISNUMBER(F58))),$J$2=""),7&gt;Reprogramaciones!$K$16),"",IF(ROUND(SUM($Q58:W58),1)&gt;=99.5,100,MIN(100,ROUND(SUM($Q58:W58),1))))</f>
        <v/>
      </c>
      <c r="CQ58" s="1" t="str">
        <f aca="false">IF(OR(OR(NOT(AND(ISNUMBER(E58),ISNUMBER(F58))),$J$2=""),8&gt;Reprogramaciones!$K$16),"",IF(ROUND(SUM($Q58:X58),1)&gt;=99.5,100,MIN(100,ROUND(SUM($Q58:X58),1))))</f>
        <v/>
      </c>
      <c r="CR58" s="1" t="str">
        <f aca="false">IF(OR(OR(NOT(AND(ISNUMBER(E58),ISNUMBER(F58))),$J$2=""),9&gt;Reprogramaciones!$K$16),"",IF(ROUND(SUM($Q58:Y58),1)&gt;=99.5,100,MIN(100,ROUND(SUM($Q58:Y58),1))))</f>
        <v/>
      </c>
      <c r="CS58" s="1" t="str">
        <f aca="false">IF(OR(OR(NOT(AND(ISNUMBER(E58),ISNUMBER(F58))),$J$2=""),10&gt;Reprogramaciones!$K$16),"",IF(ROUND(SUM($Q58:Z58),1)&gt;=99.5,100,MIN(100,ROUND(SUM($Q58:Z58),1))))</f>
        <v/>
      </c>
      <c r="CT58" s="1" t="str">
        <f aca="false">IF(OR(OR(NOT(AND(ISNUMBER(E58),ISNUMBER(F58))),$J$2=""),11&gt;Reprogramaciones!$K$16),"",IF(ROUND(SUM($Q58:AA58),1)&gt;=99.5,100,MIN(100,ROUND(SUM($Q58:AA58),1))))</f>
        <v/>
      </c>
      <c r="CU58" s="1" t="str">
        <f aca="false">IF(OR(OR(NOT(AND(ISNUMBER(E58),ISNUMBER(F58))),$J$2=""),12&gt;Reprogramaciones!$K$16),"",IF(ROUND(SUM($Q58:AB58),1)&gt;=99.5,100,MIN(100,ROUND(SUM($Q58:AB58),1))))</f>
        <v/>
      </c>
      <c r="CV58" s="1" t="str">
        <f aca="false">IF(OR(OR(NOT(AND(ISNUMBER(E58),ISNUMBER(F58))),$J$2=""),13&gt;Reprogramaciones!$K$16),"",IF(ROUND(SUM($Q58:AC58),1)&gt;=99.5,100,MIN(100,ROUND(SUM($Q58:AC58),1))))</f>
        <v/>
      </c>
      <c r="CW58" s="1" t="str">
        <f aca="false">IF(OR(OR(NOT(AND(ISNUMBER(E58),ISNUMBER(F58))),$J$2=""),14&gt;Reprogramaciones!$K$16),"",IF(ROUND(SUM($Q58:AD58),1)&gt;=99.5,100,MIN(100,ROUND(SUM($Q58:AD58),1))))</f>
        <v/>
      </c>
      <c r="CX58" s="1" t="str">
        <f aca="false">IF(OR(OR(NOT(AND(ISNUMBER(E58),ISNUMBER(F58))),$J$2=""),15&gt;Reprogramaciones!$K$16),"",IF(ROUND(SUM($Q58:AE58),1)&gt;=99.5,100,MIN(100,ROUND(SUM($Q58:AE58),1))))</f>
        <v/>
      </c>
      <c r="CY58" s="1" t="str">
        <f aca="false">IF(OR(OR(NOT(AND(ISNUMBER(E58),ISNUMBER(F58))),$J$2=""),16&gt;Reprogramaciones!$K$16),"",IF(ROUND(SUM($Q58:AF58),1)&gt;=99.5,100,MIN(100,ROUND(SUM($Q58:AF58),1))))</f>
        <v/>
      </c>
      <c r="CZ58" s="1" t="str">
        <f aca="false">IF(D58&lt;&gt;"",D58,IF(B58&lt;&gt;"","Contractual",CZ57))</f>
        <v>Contractual</v>
      </c>
      <c r="DA58" s="1" t="str">
        <f aca="false">IF(OR(NOT(AND(ISNUMBER(E58),ISNUMBER(F58))),$J$2=""),"",IF(Reprogramaciones!$Q$15&lt;Reprogramaciones!$T$15,0,IF(Reprogramaciones!$S$15&gt;10,MIN(100,SUM($G58:$P58)),MIN(100,SUMPRODUCT((COLUMN($G58:$P58)-COLUMN($G58)+1&lt;Reprogramaciones!$S$15)*$G58:$P58)+N(INDEX($G58:$P58,1,Reprogramaciones!$S$15))*IF(Reprogramaciones!$Q$15&gt;=(Reprogramaciones!$T$15+7*(Reprogramaciones!$S$15-1))+6,1,IF(MAX(0,NETWORKDAYS.INTL(MAX(E58,(Reprogramaciones!$T$15+7*(Reprogramaciones!$S$15-1))),MIN(F58,(Reprogramaciones!$T$15+7*(Reprogramaciones!$S$15-1))+6),11))=0,0,MAX(0,NETWORKDAYS.INTL(MAX(E58,(Reprogramaciones!$T$15+7*(Reprogramaciones!$S$15-1))),MIN(F58,Reprogramaciones!$Q$15),11))/MAX(0,NETWORKDAYS.INTL(MAX(E58,(Reprogramaciones!$T$15+7*(Reprogramaciones!$S$15-1))),MIN(F58,(Reprogramaciones!$T$15+7*(Reprogramaciones!$S$15-1))+6),11))))))))</f>
        <v/>
      </c>
    </row>
    <row r="59" customFormat="false" ht="15" hidden="false" customHeight="false" outlineLevel="0" collapsed="false">
      <c r="A59" s="32"/>
      <c r="B59" s="33"/>
      <c r="C59" s="33"/>
      <c r="D59" s="34"/>
      <c r="E59" s="35"/>
      <c r="F59" s="35"/>
      <c r="G59" s="36" t="str">
        <f aca="false">IF(OR(NOT(AND(ISNUMBER(E59),ISNUMBER(F59))),$J$2=""),"",IF(Reprogramaciones!K$9&lt;E59,0,IF(NETWORKDAYS.INTL(E59,F59,11)=0,IF(Reprogramaciones!K$9&gt;=F59,100,0),ROUND(NETWORKDAYS.INTL(E59,MIN(F59,Reprogramaciones!K$9),11)/NETWORKDAYS.INTL(E59,F59,11)*100,1)))-0)</f>
        <v/>
      </c>
      <c r="H59" s="36" t="str">
        <f aca="false">IF(OR(NOT(AND(ISNUMBER(E59),ISNUMBER(F59))),$J$2=""),"",IF(Reprogramaciones!L$9&lt;E59,0,IF(NETWORKDAYS.INTL(E59,F59,11)=0,IF(Reprogramaciones!L$9&gt;=F59,100,0),ROUND(NETWORKDAYS.INTL(E59,MIN(F59,Reprogramaciones!L$9),11)/NETWORKDAYS.INTL(E59,F59,11)*100,1)))-IF(Reprogramaciones!K$9&lt;E59,0,IF(NETWORKDAYS.INTL(E59,F59,11)=0,IF(Reprogramaciones!K$9&gt;=F59,100,0),ROUND(NETWORKDAYS.INTL(E59,MIN(F59,Reprogramaciones!K$9),11)/NETWORKDAYS.INTL(E59,F59,11)*100,1))))</f>
        <v/>
      </c>
      <c r="I59" s="36" t="str">
        <f aca="false">IF(OR(NOT(AND(ISNUMBER(E59),ISNUMBER(F59))),$J$2=""),"",IF(Reprogramaciones!M$9&lt;E59,0,IF(NETWORKDAYS.INTL(E59,F59,11)=0,IF(Reprogramaciones!M$9&gt;=F59,100,0),ROUND(NETWORKDAYS.INTL(E59,MIN(F59,Reprogramaciones!M$9),11)/NETWORKDAYS.INTL(E59,F59,11)*100,1)))-IF(Reprogramaciones!L$9&lt;E59,0,IF(NETWORKDAYS.INTL(E59,F59,11)=0,IF(Reprogramaciones!L$9&gt;=F59,100,0),ROUND(NETWORKDAYS.INTL(E59,MIN(F59,Reprogramaciones!L$9),11)/NETWORKDAYS.INTL(E59,F59,11)*100,1))))</f>
        <v/>
      </c>
      <c r="J59" s="36" t="str">
        <f aca="false">IF(OR(NOT(AND(ISNUMBER(E59),ISNUMBER(F59))),$J$2=""),"",IF(Reprogramaciones!N$9&lt;E59,0,IF(NETWORKDAYS.INTL(E59,F59,11)=0,IF(Reprogramaciones!N$9&gt;=F59,100,0),ROUND(NETWORKDAYS.INTL(E59,MIN(F59,Reprogramaciones!N$9),11)/NETWORKDAYS.INTL(E59,F59,11)*100,1)))-IF(Reprogramaciones!M$9&lt;E59,0,IF(NETWORKDAYS.INTL(E59,F59,11)=0,IF(Reprogramaciones!M$9&gt;=F59,100,0),ROUND(NETWORKDAYS.INTL(E59,MIN(F59,Reprogramaciones!M$9),11)/NETWORKDAYS.INTL(E59,F59,11)*100,1))))</f>
        <v/>
      </c>
      <c r="K59" s="36" t="str">
        <f aca="false">IF(OR(NOT(AND(ISNUMBER(E59),ISNUMBER(F59))),$J$2=""),"",IF(Reprogramaciones!O$9&lt;E59,0,IF(NETWORKDAYS.INTL(E59,F59,11)=0,IF(Reprogramaciones!O$9&gt;=F59,100,0),ROUND(NETWORKDAYS.INTL(E59,MIN(F59,Reprogramaciones!O$9),11)/NETWORKDAYS.INTL(E59,F59,11)*100,1)))-IF(Reprogramaciones!N$9&lt;E59,0,IF(NETWORKDAYS.INTL(E59,F59,11)=0,IF(Reprogramaciones!N$9&gt;=F59,100,0),ROUND(NETWORKDAYS.INTL(E59,MIN(F59,Reprogramaciones!N$9),11)/NETWORKDAYS.INTL(E59,F59,11)*100,1))))</f>
        <v/>
      </c>
      <c r="L59" s="36" t="str">
        <f aca="false">IF(OR(NOT(AND(ISNUMBER(E59),ISNUMBER(F59))),$J$2=""),"",IF(Reprogramaciones!P$9&lt;E59,0,IF(NETWORKDAYS.INTL(E59,F59,11)=0,IF(Reprogramaciones!P$9&gt;=F59,100,0),ROUND(NETWORKDAYS.INTL(E59,MIN(F59,Reprogramaciones!P$9),11)/NETWORKDAYS.INTL(E59,F59,11)*100,1)))-IF(Reprogramaciones!O$9&lt;E59,0,IF(NETWORKDAYS.INTL(E59,F59,11)=0,IF(Reprogramaciones!O$9&gt;=F59,100,0),ROUND(NETWORKDAYS.INTL(E59,MIN(F59,Reprogramaciones!O$9),11)/NETWORKDAYS.INTL(E59,F59,11)*100,1))))</f>
        <v/>
      </c>
      <c r="M59" s="36" t="str">
        <f aca="false">IF(OR(NOT(AND(ISNUMBER(E59),ISNUMBER(F59))),$J$2=""),"",IF(Reprogramaciones!Q$9&lt;E59,0,IF(NETWORKDAYS.INTL(E59,F59,11)=0,IF(Reprogramaciones!Q$9&gt;=F59,100,0),ROUND(NETWORKDAYS.INTL(E59,MIN(F59,Reprogramaciones!Q$9),11)/NETWORKDAYS.INTL(E59,F59,11)*100,1)))-IF(Reprogramaciones!P$9&lt;E59,0,IF(NETWORKDAYS.INTL(E59,F59,11)=0,IF(Reprogramaciones!P$9&gt;=F59,100,0),ROUND(NETWORKDAYS.INTL(E59,MIN(F59,Reprogramaciones!P$9),11)/NETWORKDAYS.INTL(E59,F59,11)*100,1))))</f>
        <v/>
      </c>
      <c r="N59" s="36" t="str">
        <f aca="false">IF(OR(NOT(AND(ISNUMBER(E59),ISNUMBER(F59))),$J$2=""),"",IF(Reprogramaciones!R$9&lt;E59,0,IF(NETWORKDAYS.INTL(E59,F59,11)=0,IF(Reprogramaciones!R$9&gt;=F59,100,0),ROUND(NETWORKDAYS.INTL(E59,MIN(F59,Reprogramaciones!R$9),11)/NETWORKDAYS.INTL(E59,F59,11)*100,1)))-IF(Reprogramaciones!Q$9&lt;E59,0,IF(NETWORKDAYS.INTL(E59,F59,11)=0,IF(Reprogramaciones!Q$9&gt;=F59,100,0),ROUND(NETWORKDAYS.INTL(E59,MIN(F59,Reprogramaciones!Q$9),11)/NETWORKDAYS.INTL(E59,F59,11)*100,1))))</f>
        <v/>
      </c>
      <c r="O59" s="36" t="str">
        <f aca="false">IF(OR(NOT(AND(ISNUMBER(E59),ISNUMBER(F59))),$J$2=""),"",IF(Reprogramaciones!S$9&lt;E59,0,IF(NETWORKDAYS.INTL(E59,F59,11)=0,IF(Reprogramaciones!S$9&gt;=F59,100,0),ROUND(NETWORKDAYS.INTL(E59,MIN(F59,Reprogramaciones!S$9),11)/NETWORKDAYS.INTL(E59,F59,11)*100,1)))-IF(Reprogramaciones!R$9&lt;E59,0,IF(NETWORKDAYS.INTL(E59,F59,11)=0,IF(Reprogramaciones!R$9&gt;=F59,100,0),ROUND(NETWORKDAYS.INTL(E59,MIN(F59,Reprogramaciones!R$9),11)/NETWORKDAYS.INTL(E59,F59,11)*100,1))))</f>
        <v/>
      </c>
      <c r="P59" s="36" t="str">
        <f aca="false">IF(OR(NOT(AND(ISNUMBER(E59),ISNUMBER(F59))),$J$2=""),"",IF(Reprogramaciones!T$9&lt;E59,0,IF(NETWORKDAYS.INTL(E59,F59,11)=0,IF(Reprogramaciones!T$9&gt;=F59,100,0),ROUND(NETWORKDAYS.INTL(E59,MIN(F59,Reprogramaciones!T$9),11)/NETWORKDAYS.INTL(E59,F59,11)*100,1)))-IF(Reprogramaciones!S$9&lt;E59,0,IF(NETWORKDAYS.INTL(E59,F59,11)=0,IF(Reprogramaciones!S$9&gt;=F59,100,0),ROUND(NETWORKDAYS.INTL(E59,MIN(F59,Reprogramaciones!S$9),11)/NETWORKDAYS.INTL(E59,F59,11)*100,1))))</f>
        <v/>
      </c>
      <c r="Q59" s="37"/>
      <c r="R59" s="37"/>
      <c r="S59" s="37"/>
      <c r="T59" s="37"/>
      <c r="U59" s="37"/>
      <c r="V59" s="37"/>
      <c r="W59" s="37"/>
      <c r="X59" s="37"/>
      <c r="Y59" s="37"/>
      <c r="Z59" s="37"/>
      <c r="AA59" s="37"/>
      <c r="AB59" s="37"/>
      <c r="AC59" s="37"/>
      <c r="AD59" s="37"/>
      <c r="AE59" s="37"/>
      <c r="AF59" s="37"/>
      <c r="AG59" s="38" t="str">
        <f aca="false">IF(AND(ISNUMBER(E59),ISNUMBER(F59)),NETWORKDAYS.INTL(E59,F59,11),"")</f>
        <v/>
      </c>
      <c r="AH59" s="38" t="str">
        <f aca="false">IF(OR(NOT(AND(ISNUMBER(E59),ISNUMBER(F59))),$J$2=""),"",IF(Reprogramaciones!$P$15&lt;Reprogramaciones!$T$15,0,IF(Reprogramaciones!$R$15&gt;10,MIN(100,SUM($G59:$P59)),MIN(100,SUMPRODUCT((COLUMN($G59:$P59)-COLUMN($G59)+1&lt;Reprogramaciones!$R$15)*$G59:$P59)+N(INDEX($G59:$P59,1,Reprogramaciones!$R$15))*IF(Reprogramaciones!$P$15&gt;=(Reprogramaciones!$T$15+7*(Reprogramaciones!$R$15-1))+6,1,IF(MAX(0,NETWORKDAYS.INTL(MAX(E59,(Reprogramaciones!$T$15+7*(Reprogramaciones!$R$15-1))),MIN(F59,(Reprogramaciones!$T$15+7*(Reprogramaciones!$R$15-1))+6),11))=0,0,MAX(0,NETWORKDAYS.INTL(MAX(E59,(Reprogramaciones!$T$15+7*(Reprogramaciones!$R$15-1))),MIN(F59,Reprogramaciones!$P$15),11))/MAX(0,NETWORKDAYS.INTL(MAX(E59,(Reprogramaciones!$T$15+7*(Reprogramaciones!$R$15-1))),MIN(F59,(Reprogramaciones!$T$15+7*(Reprogramaciones!$R$15-1))+6),11))))))))</f>
        <v/>
      </c>
      <c r="AI59" s="38" t="str">
        <f aca="false">IF(COUNT($Q59:$AF59)=0,"",IF(ROUND(SUM($Q59:$AF59),1)&gt;=99.5,100,MIN(100,ROUND(SUM($Q59:$AF59),1))))</f>
        <v/>
      </c>
      <c r="AJ59" s="38" t="str">
        <f aca="false">IF(OR(AH59="",AI59=""),"",AI59-AH59)</f>
        <v/>
      </c>
      <c r="AK59" s="39" t="str">
        <f aca="true">IF(AH59="","",IF(OR(Ficha!$C$10="Suspendida",Ficha!$C$10="Cancelada"),Ficha!$C$10,IF(AND(AI59&lt;&gt;"",N(AI59)&gt;=100),"Completada",IF(AND(E59&gt;TODAY(),N(AI59)=0),"Por iniciar",IF(N(AI59)+0.5&lt;AH59,"Retrasada",IF(N(AI59)+0.5&lt;DA59,IF(Reprogramaciones!$K$15&gt;0,"Al día · Sem "&amp;Reprogramaciones!$K$15&amp;" en curso","Al día · en curso"),"A tiempo"))))))</f>
        <v/>
      </c>
      <c r="AL59" s="39" t="str">
        <f aca="true">IF(AND(A59="",AND(B59="",C59="",E59="",F59="",COUNT(Q59:AF59)=0)),"",IF(AND(B59="",C59="",E59="",F59="",COUNT(Q59:AF59)=0),"Falta la partida o subpartida",IF(AND(A59&lt;&gt;"",COUNTIF($A$6:$A$305,A59)&gt;1),"Ítem repetido",IF(AND(C59="",E59="",F59="",COUNT(Q59:AF59)=0),"Título de partida",IF(OR(E59="",F59=""),"Faltan fechas",IF(OR(ISTEXT(E59),ISTEXT(F59)),"Fecha escrita como texto: usa dd/mm/aaaa",IF(F59&lt;E59,"Fin antes del inicio",IF(IF($J$2="",FALSE(),OR(E59&lt;$J$2,F59&gt;Reprogramaciones!$T$15+69)),"Fuera de las 10 semanas",IF(ABS(SUM(G59:P59)-100)&gt;0.5,"La meta no suma 100%",IF(ROUND(SUM(Q59:AF59),1)&gt;100.5,"El avance pasa de 100%",IF(MIN(Q59:AF59)&lt;0,"Avance negativo",IF(COUNTA(Q59:AF59)&gt;COUNT(Q59:AF59),"Avance escrito como texto",IF(SUMPRODUCT((Q59:AF59&gt;0)*(Q59:AF59&lt;1))&gt;0,"Avance menor a 1: escribe 50, no 50%",IF(SUMPRODUCT(ISNUMBER(Q59:AF59)*(Reprogramaciones!$K$8:$Z$8&gt;TODAY()))&gt;0,"Avance en semana que aún no llega",IF(AND(N(Reprogramaciones!$E$21)&gt;0,F59&gt;Reprogramaciones!$E$21),"Pasa el fin de la obra: registra una reprogramación",IF(AND(N(Reprogramaciones!$E$21)&gt;0,SUMPRODUCT(ISNUMBER(Q59:AF59)*(Reprogramaciones!$K$8:$Z$8&gt;Reprogramaciones!$E$21))&gt;0),"Avance después del fin de la obra: registra una reprogramación por atraso","OK"))))))))))))))))</f>
        <v/>
      </c>
      <c r="AM59" s="40" t="str">
        <f aca="false">IF(OR(OR(NOT(AND(ISNUMBER(E59),ISNUMBER(F59))),$J$2=""),1&gt;MAX(1,Reprogramaciones!$U$15)),"",IF(Reprogramaciones!K$12&gt;=7,"",IF(OR(BT59-N(0)&gt;0.05,N(Q59)&gt;0),ROUNDDOWN(ROUND(BT59,6),0)&amp;"%"&amp;IF(CJ59="",""," / "&amp;CJ59&amp;"%"),IF(AND(N(0)&gt;=99.95,CJ59&lt;&gt;"",N(CJ59)&lt;100),"Pend. "&amp;CJ59&amp;"%",""))))</f>
        <v/>
      </c>
      <c r="AN59" s="40" t="str">
        <f aca="false">IF(OR(OR(NOT(AND(ISNUMBER(E59),ISNUMBER(F59))),$J$2=""),2&gt;MAX(1,Reprogramaciones!$U$15)),"",IF(Reprogramaciones!L$12&gt;=7,"",IF(OR(BU59-N(BT59)&gt;0.05,N(R59)&gt;0),ROUNDDOWN(ROUND(BU59,6),0)&amp;"%"&amp;IF(CK59="",""," / "&amp;CK59&amp;"%"),IF(AND(N(BT59)&gt;=99.95,CK59&lt;&gt;"",N(CK59)&lt;100),"Pend. "&amp;CK59&amp;"%",""))))</f>
        <v/>
      </c>
      <c r="AO59" s="40" t="str">
        <f aca="false">IF(OR(OR(NOT(AND(ISNUMBER(E59),ISNUMBER(F59))),$J$2=""),3&gt;MAX(1,Reprogramaciones!$U$15)),"",IF(Reprogramaciones!M$12&gt;=7,"",IF(OR(BV59-N(BU59)&gt;0.05,N(S59)&gt;0),ROUNDDOWN(ROUND(BV59,6),0)&amp;"%"&amp;IF(CL59="",""," / "&amp;CL59&amp;"%"),IF(AND(N(BU59)&gt;=99.95,CL59&lt;&gt;"",N(CL59)&lt;100),"Pend. "&amp;CL59&amp;"%",""))))</f>
        <v/>
      </c>
      <c r="AP59" s="40" t="str">
        <f aca="false">IF(OR(OR(NOT(AND(ISNUMBER(E59),ISNUMBER(F59))),$J$2=""),4&gt;MAX(1,Reprogramaciones!$U$15)),"",IF(Reprogramaciones!N$12&gt;=7,"",IF(OR(BW59-N(BV59)&gt;0.05,N(T59)&gt;0),ROUNDDOWN(ROUND(BW59,6),0)&amp;"%"&amp;IF(CM59="",""," / "&amp;CM59&amp;"%"),IF(AND(N(BV59)&gt;=99.95,CM59&lt;&gt;"",N(CM59)&lt;100),"Pend. "&amp;CM59&amp;"%",""))))</f>
        <v/>
      </c>
      <c r="AQ59" s="40" t="str">
        <f aca="false">IF(OR(OR(NOT(AND(ISNUMBER(E59),ISNUMBER(F59))),$J$2=""),5&gt;MAX(1,Reprogramaciones!$U$15)),"",IF(Reprogramaciones!O$12&gt;=7,"",IF(OR(BX59-N(BW59)&gt;0.05,N(U59)&gt;0),ROUNDDOWN(ROUND(BX59,6),0)&amp;"%"&amp;IF(CN59="",""," / "&amp;CN59&amp;"%"),IF(AND(N(BW59)&gt;=99.95,CN59&lt;&gt;"",N(CN59)&lt;100),"Pend. "&amp;CN59&amp;"%",""))))</f>
        <v/>
      </c>
      <c r="AR59" s="40" t="str">
        <f aca="false">IF(OR(OR(NOT(AND(ISNUMBER(E59),ISNUMBER(F59))),$J$2=""),6&gt;MAX(1,Reprogramaciones!$U$15)),"",IF(Reprogramaciones!P$12&gt;=7,"",IF(OR(BY59-N(BX59)&gt;0.05,N(V59)&gt;0),ROUNDDOWN(ROUND(BY59,6),0)&amp;"%"&amp;IF(CO59="",""," / "&amp;CO59&amp;"%"),IF(AND(N(BX59)&gt;=99.95,CO59&lt;&gt;"",N(CO59)&lt;100),"Pend. "&amp;CO59&amp;"%",""))))</f>
        <v/>
      </c>
      <c r="AS59" s="40" t="str">
        <f aca="false">IF(OR(OR(NOT(AND(ISNUMBER(E59),ISNUMBER(F59))),$J$2=""),7&gt;MAX(1,Reprogramaciones!$U$15)),"",IF(Reprogramaciones!Q$12&gt;=7,"",IF(OR(BZ59-N(BY59)&gt;0.05,N(W59)&gt;0),ROUNDDOWN(ROUND(BZ59,6),0)&amp;"%"&amp;IF(CP59="",""," / "&amp;CP59&amp;"%"),IF(AND(N(BY59)&gt;=99.95,CP59&lt;&gt;"",N(CP59)&lt;100),"Pend. "&amp;CP59&amp;"%",""))))</f>
        <v/>
      </c>
      <c r="AT59" s="40" t="str">
        <f aca="false">IF(OR(OR(NOT(AND(ISNUMBER(E59),ISNUMBER(F59))),$J$2=""),8&gt;MAX(1,Reprogramaciones!$U$15)),"",IF(Reprogramaciones!R$12&gt;=7,"",IF(OR(CA59-N(BZ59)&gt;0.05,N(X59)&gt;0),ROUNDDOWN(ROUND(CA59,6),0)&amp;"%"&amp;IF(CQ59="",""," / "&amp;CQ59&amp;"%"),IF(AND(N(BZ59)&gt;=99.95,CQ59&lt;&gt;"",N(CQ59)&lt;100),"Pend. "&amp;CQ59&amp;"%",""))))</f>
        <v/>
      </c>
      <c r="AU59" s="40" t="str">
        <f aca="false">IF(OR(OR(NOT(AND(ISNUMBER(E59),ISNUMBER(F59))),$J$2=""),9&gt;MAX(1,Reprogramaciones!$U$15)),"",IF(Reprogramaciones!S$12&gt;=7,"",IF(OR(CB59-N(CA59)&gt;0.05,N(Y59)&gt;0),ROUNDDOWN(ROUND(CB59,6),0)&amp;"%"&amp;IF(CR59="",""," / "&amp;CR59&amp;"%"),IF(AND(N(CA59)&gt;=99.95,CR59&lt;&gt;"",N(CR59)&lt;100),"Pend. "&amp;CR59&amp;"%",""))))</f>
        <v/>
      </c>
      <c r="AV59" s="40" t="str">
        <f aca="false">IF(OR(OR(NOT(AND(ISNUMBER(E59),ISNUMBER(F59))),$J$2=""),10&gt;MAX(1,Reprogramaciones!$U$15)),"",IF(Reprogramaciones!T$12&gt;=7,"",IF(OR(CC59-N(CB59)&gt;0.05,N(Z59)&gt;0),ROUNDDOWN(ROUND(CC59,6),0)&amp;"%"&amp;IF(CS59="",""," / "&amp;CS59&amp;"%"),IF(AND(N(CB59)&gt;=99.95,CS59&lt;&gt;"",N(CS59)&lt;100),"Pend. "&amp;CS59&amp;"%",""))))</f>
        <v/>
      </c>
      <c r="AW59" s="40" t="str">
        <f aca="false">IF(OR(OR(NOT(AND(ISNUMBER(E59),ISNUMBER(F59))),$J$2=""),11&gt;MAX(1,Reprogramaciones!$U$15)),"",IF(Reprogramaciones!U$12&gt;=7,"",IF(OR(CD59-N(CC59)&gt;0.05,N(AA59)&gt;0),ROUNDDOWN(ROUND(CD59,6),0)&amp;"%"&amp;IF(CT59="",""," / "&amp;CT59&amp;"%"),IF(AND(N(CC59)&gt;=99.95,CT59&lt;&gt;"",N(CT59)&lt;100),"Pend. "&amp;CT59&amp;"%",""))))</f>
        <v/>
      </c>
      <c r="AX59" s="40" t="str">
        <f aca="false">IF(OR(OR(NOT(AND(ISNUMBER(E59),ISNUMBER(F59))),$J$2=""),12&gt;MAX(1,Reprogramaciones!$U$15)),"",IF(Reprogramaciones!V$12&gt;=7,"",IF(OR(CE59-N(CD59)&gt;0.05,N(AB59)&gt;0),ROUNDDOWN(ROUND(CE59,6),0)&amp;"%"&amp;IF(CU59="",""," / "&amp;CU59&amp;"%"),IF(AND(N(CD59)&gt;=99.95,CU59&lt;&gt;"",N(CU59)&lt;100),"Pend. "&amp;CU59&amp;"%",""))))</f>
        <v/>
      </c>
      <c r="AY59" s="40" t="str">
        <f aca="false">IF(OR(OR(NOT(AND(ISNUMBER(E59),ISNUMBER(F59))),$J$2=""),13&gt;MAX(1,Reprogramaciones!$U$15)),"",IF(Reprogramaciones!W$12&gt;=7,"",IF(OR(CF59-N(CE59)&gt;0.05,N(AC59)&gt;0),ROUNDDOWN(ROUND(CF59,6),0)&amp;"%"&amp;IF(CV59="",""," / "&amp;CV59&amp;"%"),IF(AND(N(CE59)&gt;=99.95,CV59&lt;&gt;"",N(CV59)&lt;100),"Pend. "&amp;CV59&amp;"%",""))))</f>
        <v/>
      </c>
      <c r="AZ59" s="40" t="str">
        <f aca="false">IF(OR(OR(NOT(AND(ISNUMBER(E59),ISNUMBER(F59))),$J$2=""),14&gt;MAX(1,Reprogramaciones!$U$15)),"",IF(Reprogramaciones!X$12&gt;=7,"",IF(OR(CG59-N(CF59)&gt;0.05,N(AD59)&gt;0),ROUNDDOWN(ROUND(CG59,6),0)&amp;"%"&amp;IF(CW59="",""," / "&amp;CW59&amp;"%"),IF(AND(N(CF59)&gt;=99.95,CW59&lt;&gt;"",N(CW59)&lt;100),"Pend. "&amp;CW59&amp;"%",""))))</f>
        <v/>
      </c>
      <c r="BA59" s="40" t="str">
        <f aca="false">IF(OR(OR(NOT(AND(ISNUMBER(E59),ISNUMBER(F59))),$J$2=""),15&gt;MAX(1,Reprogramaciones!$U$15)),"",IF(Reprogramaciones!Y$12&gt;=7,"",IF(OR(CH59-N(CG59)&gt;0.05,N(AE59)&gt;0),ROUNDDOWN(ROUND(CH59,6),0)&amp;"%"&amp;IF(CX59="",""," / "&amp;CX59&amp;"%"),IF(AND(N(CG59)&gt;=99.95,CX59&lt;&gt;"",N(CX59)&lt;100),"Pend. "&amp;CX59&amp;"%",""))))</f>
        <v/>
      </c>
      <c r="BB59" s="40" t="str">
        <f aca="false">IF(OR(OR(NOT(AND(ISNUMBER(E59),ISNUMBER(F59))),$J$2=""),16&gt;MAX(1,Reprogramaciones!$U$15)),"",IF(Reprogramaciones!Z$12&gt;=7,"",IF(OR(CI59-N(CH59)&gt;0.05,N(AF59)&gt;0),ROUNDDOWN(ROUND(CI59,6),0)&amp;"%"&amp;IF(CY59="",""," / "&amp;CY59&amp;"%"),IF(AND(N(CH59)&gt;=99.95,CY59&lt;&gt;"",N(CY59)&lt;100),"Pend. "&amp;CY59&amp;"%",""))))</f>
        <v/>
      </c>
      <c r="BC59" s="31" t="n">
        <f aca="false">IF(AND(ISNUMBER(E59),ISNUMBER(F59)),MAX(1,NETWORKDAYS.INTL(E59,F59,11)),0)</f>
        <v>0</v>
      </c>
      <c r="BD59" s="1" t="str">
        <f aca="false">IF(OR(NOT(AND(ISNUMBER(E59),ISNUMBER(F59))),$J$2=""),"",MIN(100,ROUND(SUM($G59:G59),1)))</f>
        <v/>
      </c>
      <c r="BE59" s="1" t="str">
        <f aca="false">IF(OR(NOT(AND(ISNUMBER(E59),ISNUMBER(F59))),$J$2=""),"",MIN(100,ROUND(SUM($G59:H59),1)))</f>
        <v/>
      </c>
      <c r="BF59" s="1" t="str">
        <f aca="false">IF(OR(NOT(AND(ISNUMBER(E59),ISNUMBER(F59))),$J$2=""),"",MIN(100,ROUND(SUM($G59:I59),1)))</f>
        <v/>
      </c>
      <c r="BG59" s="1" t="str">
        <f aca="false">IF(OR(NOT(AND(ISNUMBER(E59),ISNUMBER(F59))),$J$2=""),"",MIN(100,ROUND(SUM($G59:J59),1)))</f>
        <v/>
      </c>
      <c r="BH59" s="1" t="str">
        <f aca="false">IF(OR(NOT(AND(ISNUMBER(E59),ISNUMBER(F59))),$J$2=""),"",MIN(100,ROUND(SUM($G59:K59),1)))</f>
        <v/>
      </c>
      <c r="BI59" s="1" t="str">
        <f aca="false">IF(OR(NOT(AND(ISNUMBER(E59),ISNUMBER(F59))),$J$2=""),"",MIN(100,ROUND(SUM($G59:L59),1)))</f>
        <v/>
      </c>
      <c r="BJ59" s="1" t="str">
        <f aca="false">IF(OR(NOT(AND(ISNUMBER(E59),ISNUMBER(F59))),$J$2=""),"",MIN(100,ROUND(SUM($G59:M59),1)))</f>
        <v/>
      </c>
      <c r="BK59" s="1" t="str">
        <f aca="false">IF(OR(NOT(AND(ISNUMBER(E59),ISNUMBER(F59))),$J$2=""),"",MIN(100,ROUND(SUM($G59:N59),1)))</f>
        <v/>
      </c>
      <c r="BL59" s="1" t="str">
        <f aca="false">IF(OR(NOT(AND(ISNUMBER(E59),ISNUMBER(F59))),$J$2=""),"",MIN(100,ROUND(SUM($G59:O59),1)))</f>
        <v/>
      </c>
      <c r="BM59" s="1" t="str">
        <f aca="false">IF(OR(NOT(AND(ISNUMBER(E59),ISNUMBER(F59))),$J$2=""),"",MIN(100,ROUND(SUM($G59:P59),1)))</f>
        <v/>
      </c>
      <c r="BN59" s="1" t="str">
        <f aca="false">IF(OR(NOT(AND(ISNUMBER(E59),ISNUMBER(F59))),$J$2=""),"",MIN(100,ROUND(SUM($G59:P59),1)))</f>
        <v/>
      </c>
      <c r="BO59" s="1" t="str">
        <f aca="false">IF(OR(NOT(AND(ISNUMBER(E59),ISNUMBER(F59))),$J$2=""),"",MIN(100,ROUND(SUM($G59:P59),1)))</f>
        <v/>
      </c>
      <c r="BP59" s="1" t="str">
        <f aca="false">IF(OR(NOT(AND(ISNUMBER(E59),ISNUMBER(F59))),$J$2=""),"",MIN(100,ROUND(SUM($G59:P59),1)))</f>
        <v/>
      </c>
      <c r="BQ59" s="1" t="str">
        <f aca="false">IF(OR(NOT(AND(ISNUMBER(E59),ISNUMBER(F59))),$J$2=""),"",MIN(100,ROUND(SUM($G59:P59),1)))</f>
        <v/>
      </c>
      <c r="BR59" s="1" t="str">
        <f aca="false">IF(OR(NOT(AND(ISNUMBER(E59),ISNUMBER(F59))),$J$2=""),"",MIN(100,ROUND(SUM($G59:P59),1)))</f>
        <v/>
      </c>
      <c r="BS59" s="1" t="str">
        <f aca="false">IF(OR(NOT(AND(ISNUMBER(E59),ISNUMBER(F59))),$J$2=""),"",MIN(100,ROUND(SUM($G59:P59),1)))</f>
        <v/>
      </c>
      <c r="BT59" s="1" t="str">
        <f aca="false">IF(OR(NOT(AND(ISNUMBER(E59),ISNUMBER(F59))),$J$2=""),"",IF(Reprogramaciones!K$13&lt;Reprogramaciones!$T$15,0,IF(Reprogramaciones!K$14&gt;10,MIN(100,SUM($G59:$P59)),MIN(100,SUMPRODUCT((COLUMN($G59:$P59)-COLUMN($G59)+1&lt;Reprogramaciones!K$14)*$G59:$P59)+N(INDEX($G59:$P59,1,Reprogramaciones!K$14))*IF(Reprogramaciones!K$13&gt;=(Reprogramaciones!$T$15+7*(Reprogramaciones!K$14-1))+6,1,IF(MAX(0,NETWORKDAYS.INTL(MAX(E59,(Reprogramaciones!$T$15+7*(Reprogramaciones!K$14-1))),MIN(F59,(Reprogramaciones!$T$15+7*(Reprogramaciones!K$14-1))+6),11))=0,0,MAX(0,NETWORKDAYS.INTL(MAX(E59,(Reprogramaciones!$T$15+7*(Reprogramaciones!K$14-1))),MIN(F59,Reprogramaciones!K$13),11))/MAX(0,NETWORKDAYS.INTL(MAX(E59,(Reprogramaciones!$T$15+7*(Reprogramaciones!K$14-1))),MIN(F59,(Reprogramaciones!$T$15+7*(Reprogramaciones!K$14-1))+6),11))))))))</f>
        <v/>
      </c>
      <c r="BU59" s="1" t="str">
        <f aca="false">IF(OR(NOT(AND(ISNUMBER(E59),ISNUMBER(F59))),$J$2=""),"",IF(Reprogramaciones!L$13&lt;Reprogramaciones!$T$15,0,IF(Reprogramaciones!L$14&gt;10,MIN(100,SUM($G59:$P59)),MIN(100,SUMPRODUCT((COLUMN($G59:$P59)-COLUMN($G59)+1&lt;Reprogramaciones!L$14)*$G59:$P59)+N(INDEX($G59:$P59,1,Reprogramaciones!L$14))*IF(Reprogramaciones!L$13&gt;=(Reprogramaciones!$T$15+7*(Reprogramaciones!L$14-1))+6,1,IF(MAX(0,NETWORKDAYS.INTL(MAX(E59,(Reprogramaciones!$T$15+7*(Reprogramaciones!L$14-1))),MIN(F59,(Reprogramaciones!$T$15+7*(Reprogramaciones!L$14-1))+6),11))=0,0,MAX(0,NETWORKDAYS.INTL(MAX(E59,(Reprogramaciones!$T$15+7*(Reprogramaciones!L$14-1))),MIN(F59,Reprogramaciones!L$13),11))/MAX(0,NETWORKDAYS.INTL(MAX(E59,(Reprogramaciones!$T$15+7*(Reprogramaciones!L$14-1))),MIN(F59,(Reprogramaciones!$T$15+7*(Reprogramaciones!L$14-1))+6),11))))))))</f>
        <v/>
      </c>
      <c r="BV59" s="1" t="str">
        <f aca="false">IF(OR(NOT(AND(ISNUMBER(E59),ISNUMBER(F59))),$J$2=""),"",IF(Reprogramaciones!M$13&lt;Reprogramaciones!$T$15,0,IF(Reprogramaciones!M$14&gt;10,MIN(100,SUM($G59:$P59)),MIN(100,SUMPRODUCT((COLUMN($G59:$P59)-COLUMN($G59)+1&lt;Reprogramaciones!M$14)*$G59:$P59)+N(INDEX($G59:$P59,1,Reprogramaciones!M$14))*IF(Reprogramaciones!M$13&gt;=(Reprogramaciones!$T$15+7*(Reprogramaciones!M$14-1))+6,1,IF(MAX(0,NETWORKDAYS.INTL(MAX(E59,(Reprogramaciones!$T$15+7*(Reprogramaciones!M$14-1))),MIN(F59,(Reprogramaciones!$T$15+7*(Reprogramaciones!M$14-1))+6),11))=0,0,MAX(0,NETWORKDAYS.INTL(MAX(E59,(Reprogramaciones!$T$15+7*(Reprogramaciones!M$14-1))),MIN(F59,Reprogramaciones!M$13),11))/MAX(0,NETWORKDAYS.INTL(MAX(E59,(Reprogramaciones!$T$15+7*(Reprogramaciones!M$14-1))),MIN(F59,(Reprogramaciones!$T$15+7*(Reprogramaciones!M$14-1))+6),11))))))))</f>
        <v/>
      </c>
      <c r="BW59" s="1" t="str">
        <f aca="false">IF(OR(NOT(AND(ISNUMBER(E59),ISNUMBER(F59))),$J$2=""),"",IF(Reprogramaciones!N$13&lt;Reprogramaciones!$T$15,0,IF(Reprogramaciones!N$14&gt;10,MIN(100,SUM($G59:$P59)),MIN(100,SUMPRODUCT((COLUMN($G59:$P59)-COLUMN($G59)+1&lt;Reprogramaciones!N$14)*$G59:$P59)+N(INDEX($G59:$P59,1,Reprogramaciones!N$14))*IF(Reprogramaciones!N$13&gt;=(Reprogramaciones!$T$15+7*(Reprogramaciones!N$14-1))+6,1,IF(MAX(0,NETWORKDAYS.INTL(MAX(E59,(Reprogramaciones!$T$15+7*(Reprogramaciones!N$14-1))),MIN(F59,(Reprogramaciones!$T$15+7*(Reprogramaciones!N$14-1))+6),11))=0,0,MAX(0,NETWORKDAYS.INTL(MAX(E59,(Reprogramaciones!$T$15+7*(Reprogramaciones!N$14-1))),MIN(F59,Reprogramaciones!N$13),11))/MAX(0,NETWORKDAYS.INTL(MAX(E59,(Reprogramaciones!$T$15+7*(Reprogramaciones!N$14-1))),MIN(F59,(Reprogramaciones!$T$15+7*(Reprogramaciones!N$14-1))+6),11))))))))</f>
        <v/>
      </c>
      <c r="BX59" s="1" t="str">
        <f aca="false">IF(OR(NOT(AND(ISNUMBER(E59),ISNUMBER(F59))),$J$2=""),"",IF(Reprogramaciones!O$13&lt;Reprogramaciones!$T$15,0,IF(Reprogramaciones!O$14&gt;10,MIN(100,SUM($G59:$P59)),MIN(100,SUMPRODUCT((COLUMN($G59:$P59)-COLUMN($G59)+1&lt;Reprogramaciones!O$14)*$G59:$P59)+N(INDEX($G59:$P59,1,Reprogramaciones!O$14))*IF(Reprogramaciones!O$13&gt;=(Reprogramaciones!$T$15+7*(Reprogramaciones!O$14-1))+6,1,IF(MAX(0,NETWORKDAYS.INTL(MAX(E59,(Reprogramaciones!$T$15+7*(Reprogramaciones!O$14-1))),MIN(F59,(Reprogramaciones!$T$15+7*(Reprogramaciones!O$14-1))+6),11))=0,0,MAX(0,NETWORKDAYS.INTL(MAX(E59,(Reprogramaciones!$T$15+7*(Reprogramaciones!O$14-1))),MIN(F59,Reprogramaciones!O$13),11))/MAX(0,NETWORKDAYS.INTL(MAX(E59,(Reprogramaciones!$T$15+7*(Reprogramaciones!O$14-1))),MIN(F59,(Reprogramaciones!$T$15+7*(Reprogramaciones!O$14-1))+6),11))))))))</f>
        <v/>
      </c>
      <c r="BY59" s="1" t="str">
        <f aca="false">IF(OR(NOT(AND(ISNUMBER(E59),ISNUMBER(F59))),$J$2=""),"",IF(Reprogramaciones!P$13&lt;Reprogramaciones!$T$15,0,IF(Reprogramaciones!P$14&gt;10,MIN(100,SUM($G59:$P59)),MIN(100,SUMPRODUCT((COLUMN($G59:$P59)-COLUMN($G59)+1&lt;Reprogramaciones!P$14)*$G59:$P59)+N(INDEX($G59:$P59,1,Reprogramaciones!P$14))*IF(Reprogramaciones!P$13&gt;=(Reprogramaciones!$T$15+7*(Reprogramaciones!P$14-1))+6,1,IF(MAX(0,NETWORKDAYS.INTL(MAX(E59,(Reprogramaciones!$T$15+7*(Reprogramaciones!P$14-1))),MIN(F59,(Reprogramaciones!$T$15+7*(Reprogramaciones!P$14-1))+6),11))=0,0,MAX(0,NETWORKDAYS.INTL(MAX(E59,(Reprogramaciones!$T$15+7*(Reprogramaciones!P$14-1))),MIN(F59,Reprogramaciones!P$13),11))/MAX(0,NETWORKDAYS.INTL(MAX(E59,(Reprogramaciones!$T$15+7*(Reprogramaciones!P$14-1))),MIN(F59,(Reprogramaciones!$T$15+7*(Reprogramaciones!P$14-1))+6),11))))))))</f>
        <v/>
      </c>
      <c r="BZ59" s="1" t="str">
        <f aca="false">IF(OR(NOT(AND(ISNUMBER(E59),ISNUMBER(F59))),$J$2=""),"",IF(Reprogramaciones!Q$13&lt;Reprogramaciones!$T$15,0,IF(Reprogramaciones!Q$14&gt;10,MIN(100,SUM($G59:$P59)),MIN(100,SUMPRODUCT((COLUMN($G59:$P59)-COLUMN($G59)+1&lt;Reprogramaciones!Q$14)*$G59:$P59)+N(INDEX($G59:$P59,1,Reprogramaciones!Q$14))*IF(Reprogramaciones!Q$13&gt;=(Reprogramaciones!$T$15+7*(Reprogramaciones!Q$14-1))+6,1,IF(MAX(0,NETWORKDAYS.INTL(MAX(E59,(Reprogramaciones!$T$15+7*(Reprogramaciones!Q$14-1))),MIN(F59,(Reprogramaciones!$T$15+7*(Reprogramaciones!Q$14-1))+6),11))=0,0,MAX(0,NETWORKDAYS.INTL(MAX(E59,(Reprogramaciones!$T$15+7*(Reprogramaciones!Q$14-1))),MIN(F59,Reprogramaciones!Q$13),11))/MAX(0,NETWORKDAYS.INTL(MAX(E59,(Reprogramaciones!$T$15+7*(Reprogramaciones!Q$14-1))),MIN(F59,(Reprogramaciones!$T$15+7*(Reprogramaciones!Q$14-1))+6),11))))))))</f>
        <v/>
      </c>
      <c r="CA59" s="1" t="str">
        <f aca="false">IF(OR(NOT(AND(ISNUMBER(E59),ISNUMBER(F59))),$J$2=""),"",IF(Reprogramaciones!R$13&lt;Reprogramaciones!$T$15,0,IF(Reprogramaciones!R$14&gt;10,MIN(100,SUM($G59:$P59)),MIN(100,SUMPRODUCT((COLUMN($G59:$P59)-COLUMN($G59)+1&lt;Reprogramaciones!R$14)*$G59:$P59)+N(INDEX($G59:$P59,1,Reprogramaciones!R$14))*IF(Reprogramaciones!R$13&gt;=(Reprogramaciones!$T$15+7*(Reprogramaciones!R$14-1))+6,1,IF(MAX(0,NETWORKDAYS.INTL(MAX(E59,(Reprogramaciones!$T$15+7*(Reprogramaciones!R$14-1))),MIN(F59,(Reprogramaciones!$T$15+7*(Reprogramaciones!R$14-1))+6),11))=0,0,MAX(0,NETWORKDAYS.INTL(MAX(E59,(Reprogramaciones!$T$15+7*(Reprogramaciones!R$14-1))),MIN(F59,Reprogramaciones!R$13),11))/MAX(0,NETWORKDAYS.INTL(MAX(E59,(Reprogramaciones!$T$15+7*(Reprogramaciones!R$14-1))),MIN(F59,(Reprogramaciones!$T$15+7*(Reprogramaciones!R$14-1))+6),11))))))))</f>
        <v/>
      </c>
      <c r="CB59" s="1" t="str">
        <f aca="false">IF(OR(NOT(AND(ISNUMBER(E59),ISNUMBER(F59))),$J$2=""),"",IF(Reprogramaciones!S$13&lt;Reprogramaciones!$T$15,0,IF(Reprogramaciones!S$14&gt;10,MIN(100,SUM($G59:$P59)),MIN(100,SUMPRODUCT((COLUMN($G59:$P59)-COLUMN($G59)+1&lt;Reprogramaciones!S$14)*$G59:$P59)+N(INDEX($G59:$P59,1,Reprogramaciones!S$14))*IF(Reprogramaciones!S$13&gt;=(Reprogramaciones!$T$15+7*(Reprogramaciones!S$14-1))+6,1,IF(MAX(0,NETWORKDAYS.INTL(MAX(E59,(Reprogramaciones!$T$15+7*(Reprogramaciones!S$14-1))),MIN(F59,(Reprogramaciones!$T$15+7*(Reprogramaciones!S$14-1))+6),11))=0,0,MAX(0,NETWORKDAYS.INTL(MAX(E59,(Reprogramaciones!$T$15+7*(Reprogramaciones!S$14-1))),MIN(F59,Reprogramaciones!S$13),11))/MAX(0,NETWORKDAYS.INTL(MAX(E59,(Reprogramaciones!$T$15+7*(Reprogramaciones!S$14-1))),MIN(F59,(Reprogramaciones!$T$15+7*(Reprogramaciones!S$14-1))+6),11))))))))</f>
        <v/>
      </c>
      <c r="CC59" s="1" t="str">
        <f aca="false">IF(OR(NOT(AND(ISNUMBER(E59),ISNUMBER(F59))),$J$2=""),"",IF(Reprogramaciones!T$13&lt;Reprogramaciones!$T$15,0,IF(Reprogramaciones!T$14&gt;10,MIN(100,SUM($G59:$P59)),MIN(100,SUMPRODUCT((COLUMN($G59:$P59)-COLUMN($G59)+1&lt;Reprogramaciones!T$14)*$G59:$P59)+N(INDEX($G59:$P59,1,Reprogramaciones!T$14))*IF(Reprogramaciones!T$13&gt;=(Reprogramaciones!$T$15+7*(Reprogramaciones!T$14-1))+6,1,IF(MAX(0,NETWORKDAYS.INTL(MAX(E59,(Reprogramaciones!$T$15+7*(Reprogramaciones!T$14-1))),MIN(F59,(Reprogramaciones!$T$15+7*(Reprogramaciones!T$14-1))+6),11))=0,0,MAX(0,NETWORKDAYS.INTL(MAX(E59,(Reprogramaciones!$T$15+7*(Reprogramaciones!T$14-1))),MIN(F59,Reprogramaciones!T$13),11))/MAX(0,NETWORKDAYS.INTL(MAX(E59,(Reprogramaciones!$T$15+7*(Reprogramaciones!T$14-1))),MIN(F59,(Reprogramaciones!$T$15+7*(Reprogramaciones!T$14-1))+6),11))))))))</f>
        <v/>
      </c>
      <c r="CD59" s="1" t="str">
        <f aca="false">IF(OR(NOT(AND(ISNUMBER(E59),ISNUMBER(F59))),$J$2=""),"",IF(Reprogramaciones!U$13&lt;Reprogramaciones!$T$15,0,IF(Reprogramaciones!U$14&gt;10,MIN(100,SUM($G59:$P59)),MIN(100,SUMPRODUCT((COLUMN($G59:$P59)-COLUMN($G59)+1&lt;Reprogramaciones!U$14)*$G59:$P59)+N(INDEX($G59:$P59,1,Reprogramaciones!U$14))*IF(Reprogramaciones!U$13&gt;=(Reprogramaciones!$T$15+7*(Reprogramaciones!U$14-1))+6,1,IF(MAX(0,NETWORKDAYS.INTL(MAX(E59,(Reprogramaciones!$T$15+7*(Reprogramaciones!U$14-1))),MIN(F59,(Reprogramaciones!$T$15+7*(Reprogramaciones!U$14-1))+6),11))=0,0,MAX(0,NETWORKDAYS.INTL(MAX(E59,(Reprogramaciones!$T$15+7*(Reprogramaciones!U$14-1))),MIN(F59,Reprogramaciones!U$13),11))/MAX(0,NETWORKDAYS.INTL(MAX(E59,(Reprogramaciones!$T$15+7*(Reprogramaciones!U$14-1))),MIN(F59,(Reprogramaciones!$T$15+7*(Reprogramaciones!U$14-1))+6),11))))))))</f>
        <v/>
      </c>
      <c r="CE59" s="1" t="str">
        <f aca="false">IF(OR(NOT(AND(ISNUMBER(E59),ISNUMBER(F59))),$J$2=""),"",IF(Reprogramaciones!V$13&lt;Reprogramaciones!$T$15,0,IF(Reprogramaciones!V$14&gt;10,MIN(100,SUM($G59:$P59)),MIN(100,SUMPRODUCT((COLUMN($G59:$P59)-COLUMN($G59)+1&lt;Reprogramaciones!V$14)*$G59:$P59)+N(INDEX($G59:$P59,1,Reprogramaciones!V$14))*IF(Reprogramaciones!V$13&gt;=(Reprogramaciones!$T$15+7*(Reprogramaciones!V$14-1))+6,1,IF(MAX(0,NETWORKDAYS.INTL(MAX(E59,(Reprogramaciones!$T$15+7*(Reprogramaciones!V$14-1))),MIN(F59,(Reprogramaciones!$T$15+7*(Reprogramaciones!V$14-1))+6),11))=0,0,MAX(0,NETWORKDAYS.INTL(MAX(E59,(Reprogramaciones!$T$15+7*(Reprogramaciones!V$14-1))),MIN(F59,Reprogramaciones!V$13),11))/MAX(0,NETWORKDAYS.INTL(MAX(E59,(Reprogramaciones!$T$15+7*(Reprogramaciones!V$14-1))),MIN(F59,(Reprogramaciones!$T$15+7*(Reprogramaciones!V$14-1))+6),11))))))))</f>
        <v/>
      </c>
      <c r="CF59" s="1" t="str">
        <f aca="false">IF(OR(NOT(AND(ISNUMBER(E59),ISNUMBER(F59))),$J$2=""),"",IF(Reprogramaciones!W$13&lt;Reprogramaciones!$T$15,0,IF(Reprogramaciones!W$14&gt;10,MIN(100,SUM($G59:$P59)),MIN(100,SUMPRODUCT((COLUMN($G59:$P59)-COLUMN($G59)+1&lt;Reprogramaciones!W$14)*$G59:$P59)+N(INDEX($G59:$P59,1,Reprogramaciones!W$14))*IF(Reprogramaciones!W$13&gt;=(Reprogramaciones!$T$15+7*(Reprogramaciones!W$14-1))+6,1,IF(MAX(0,NETWORKDAYS.INTL(MAX(E59,(Reprogramaciones!$T$15+7*(Reprogramaciones!W$14-1))),MIN(F59,(Reprogramaciones!$T$15+7*(Reprogramaciones!W$14-1))+6),11))=0,0,MAX(0,NETWORKDAYS.INTL(MAX(E59,(Reprogramaciones!$T$15+7*(Reprogramaciones!W$14-1))),MIN(F59,Reprogramaciones!W$13),11))/MAX(0,NETWORKDAYS.INTL(MAX(E59,(Reprogramaciones!$T$15+7*(Reprogramaciones!W$14-1))),MIN(F59,(Reprogramaciones!$T$15+7*(Reprogramaciones!W$14-1))+6),11))))))))</f>
        <v/>
      </c>
      <c r="CG59" s="1" t="str">
        <f aca="false">IF(OR(NOT(AND(ISNUMBER(E59),ISNUMBER(F59))),$J$2=""),"",IF(Reprogramaciones!X$13&lt;Reprogramaciones!$T$15,0,IF(Reprogramaciones!X$14&gt;10,MIN(100,SUM($G59:$P59)),MIN(100,SUMPRODUCT((COLUMN($G59:$P59)-COLUMN($G59)+1&lt;Reprogramaciones!X$14)*$G59:$P59)+N(INDEX($G59:$P59,1,Reprogramaciones!X$14))*IF(Reprogramaciones!X$13&gt;=(Reprogramaciones!$T$15+7*(Reprogramaciones!X$14-1))+6,1,IF(MAX(0,NETWORKDAYS.INTL(MAX(E59,(Reprogramaciones!$T$15+7*(Reprogramaciones!X$14-1))),MIN(F59,(Reprogramaciones!$T$15+7*(Reprogramaciones!X$14-1))+6),11))=0,0,MAX(0,NETWORKDAYS.INTL(MAX(E59,(Reprogramaciones!$T$15+7*(Reprogramaciones!X$14-1))),MIN(F59,Reprogramaciones!X$13),11))/MAX(0,NETWORKDAYS.INTL(MAX(E59,(Reprogramaciones!$T$15+7*(Reprogramaciones!X$14-1))),MIN(F59,(Reprogramaciones!$T$15+7*(Reprogramaciones!X$14-1))+6),11))))))))</f>
        <v/>
      </c>
      <c r="CH59" s="1" t="str">
        <f aca="false">IF(OR(NOT(AND(ISNUMBER(E59),ISNUMBER(F59))),$J$2=""),"",IF(Reprogramaciones!Y$13&lt;Reprogramaciones!$T$15,0,IF(Reprogramaciones!Y$14&gt;10,MIN(100,SUM($G59:$P59)),MIN(100,SUMPRODUCT((COLUMN($G59:$P59)-COLUMN($G59)+1&lt;Reprogramaciones!Y$14)*$G59:$P59)+N(INDEX($G59:$P59,1,Reprogramaciones!Y$14))*IF(Reprogramaciones!Y$13&gt;=(Reprogramaciones!$T$15+7*(Reprogramaciones!Y$14-1))+6,1,IF(MAX(0,NETWORKDAYS.INTL(MAX(E59,(Reprogramaciones!$T$15+7*(Reprogramaciones!Y$14-1))),MIN(F59,(Reprogramaciones!$T$15+7*(Reprogramaciones!Y$14-1))+6),11))=0,0,MAX(0,NETWORKDAYS.INTL(MAX(E59,(Reprogramaciones!$T$15+7*(Reprogramaciones!Y$14-1))),MIN(F59,Reprogramaciones!Y$13),11))/MAX(0,NETWORKDAYS.INTL(MAX(E59,(Reprogramaciones!$T$15+7*(Reprogramaciones!Y$14-1))),MIN(F59,(Reprogramaciones!$T$15+7*(Reprogramaciones!Y$14-1))+6),11))))))))</f>
        <v/>
      </c>
      <c r="CI59" s="1" t="str">
        <f aca="false">IF(OR(NOT(AND(ISNUMBER(E59),ISNUMBER(F59))),$J$2=""),"",IF(Reprogramaciones!Z$13&lt;Reprogramaciones!$T$15,0,IF(Reprogramaciones!Z$14&gt;10,MIN(100,SUM($G59:$P59)),MIN(100,SUMPRODUCT((COLUMN($G59:$P59)-COLUMN($G59)+1&lt;Reprogramaciones!Z$14)*$G59:$P59)+N(INDEX($G59:$P59,1,Reprogramaciones!Z$14))*IF(Reprogramaciones!Z$13&gt;=(Reprogramaciones!$T$15+7*(Reprogramaciones!Z$14-1))+6,1,IF(MAX(0,NETWORKDAYS.INTL(MAX(E59,(Reprogramaciones!$T$15+7*(Reprogramaciones!Z$14-1))),MIN(F59,(Reprogramaciones!$T$15+7*(Reprogramaciones!Z$14-1))+6),11))=0,0,MAX(0,NETWORKDAYS.INTL(MAX(E59,(Reprogramaciones!$T$15+7*(Reprogramaciones!Z$14-1))),MIN(F59,Reprogramaciones!Z$13),11))/MAX(0,NETWORKDAYS.INTL(MAX(E59,(Reprogramaciones!$T$15+7*(Reprogramaciones!Z$14-1))),MIN(F59,(Reprogramaciones!$T$15+7*(Reprogramaciones!Z$14-1))+6),11))))))))</f>
        <v/>
      </c>
      <c r="CJ59" s="1" t="str">
        <f aca="false">IF(OR(OR(NOT(AND(ISNUMBER(E59),ISNUMBER(F59))),$J$2=""),1&gt;Reprogramaciones!$K$16),"",IF(ROUND(SUM($Q59:Q59),1)&gt;=99.5,100,MIN(100,ROUND(SUM($Q59:Q59),1))))</f>
        <v/>
      </c>
      <c r="CK59" s="1" t="str">
        <f aca="false">IF(OR(OR(NOT(AND(ISNUMBER(E59),ISNUMBER(F59))),$J$2=""),2&gt;Reprogramaciones!$K$16),"",IF(ROUND(SUM($Q59:R59),1)&gt;=99.5,100,MIN(100,ROUND(SUM($Q59:R59),1))))</f>
        <v/>
      </c>
      <c r="CL59" s="1" t="str">
        <f aca="false">IF(OR(OR(NOT(AND(ISNUMBER(E59),ISNUMBER(F59))),$J$2=""),3&gt;Reprogramaciones!$K$16),"",IF(ROUND(SUM($Q59:S59),1)&gt;=99.5,100,MIN(100,ROUND(SUM($Q59:S59),1))))</f>
        <v/>
      </c>
      <c r="CM59" s="1" t="str">
        <f aca="false">IF(OR(OR(NOT(AND(ISNUMBER(E59),ISNUMBER(F59))),$J$2=""),4&gt;Reprogramaciones!$K$16),"",IF(ROUND(SUM($Q59:T59),1)&gt;=99.5,100,MIN(100,ROUND(SUM($Q59:T59),1))))</f>
        <v/>
      </c>
      <c r="CN59" s="1" t="str">
        <f aca="false">IF(OR(OR(NOT(AND(ISNUMBER(E59),ISNUMBER(F59))),$J$2=""),5&gt;Reprogramaciones!$K$16),"",IF(ROUND(SUM($Q59:U59),1)&gt;=99.5,100,MIN(100,ROUND(SUM($Q59:U59),1))))</f>
        <v/>
      </c>
      <c r="CO59" s="1" t="str">
        <f aca="false">IF(OR(OR(NOT(AND(ISNUMBER(E59),ISNUMBER(F59))),$J$2=""),6&gt;Reprogramaciones!$K$16),"",IF(ROUND(SUM($Q59:V59),1)&gt;=99.5,100,MIN(100,ROUND(SUM($Q59:V59),1))))</f>
        <v/>
      </c>
      <c r="CP59" s="1" t="str">
        <f aca="false">IF(OR(OR(NOT(AND(ISNUMBER(E59),ISNUMBER(F59))),$J$2=""),7&gt;Reprogramaciones!$K$16),"",IF(ROUND(SUM($Q59:W59),1)&gt;=99.5,100,MIN(100,ROUND(SUM($Q59:W59),1))))</f>
        <v/>
      </c>
      <c r="CQ59" s="1" t="str">
        <f aca="false">IF(OR(OR(NOT(AND(ISNUMBER(E59),ISNUMBER(F59))),$J$2=""),8&gt;Reprogramaciones!$K$16),"",IF(ROUND(SUM($Q59:X59),1)&gt;=99.5,100,MIN(100,ROUND(SUM($Q59:X59),1))))</f>
        <v/>
      </c>
      <c r="CR59" s="1" t="str">
        <f aca="false">IF(OR(OR(NOT(AND(ISNUMBER(E59),ISNUMBER(F59))),$J$2=""),9&gt;Reprogramaciones!$K$16),"",IF(ROUND(SUM($Q59:Y59),1)&gt;=99.5,100,MIN(100,ROUND(SUM($Q59:Y59),1))))</f>
        <v/>
      </c>
      <c r="CS59" s="1" t="str">
        <f aca="false">IF(OR(OR(NOT(AND(ISNUMBER(E59),ISNUMBER(F59))),$J$2=""),10&gt;Reprogramaciones!$K$16),"",IF(ROUND(SUM($Q59:Z59),1)&gt;=99.5,100,MIN(100,ROUND(SUM($Q59:Z59),1))))</f>
        <v/>
      </c>
      <c r="CT59" s="1" t="str">
        <f aca="false">IF(OR(OR(NOT(AND(ISNUMBER(E59),ISNUMBER(F59))),$J$2=""),11&gt;Reprogramaciones!$K$16),"",IF(ROUND(SUM($Q59:AA59),1)&gt;=99.5,100,MIN(100,ROUND(SUM($Q59:AA59),1))))</f>
        <v/>
      </c>
      <c r="CU59" s="1" t="str">
        <f aca="false">IF(OR(OR(NOT(AND(ISNUMBER(E59),ISNUMBER(F59))),$J$2=""),12&gt;Reprogramaciones!$K$16),"",IF(ROUND(SUM($Q59:AB59),1)&gt;=99.5,100,MIN(100,ROUND(SUM($Q59:AB59),1))))</f>
        <v/>
      </c>
      <c r="CV59" s="1" t="str">
        <f aca="false">IF(OR(OR(NOT(AND(ISNUMBER(E59),ISNUMBER(F59))),$J$2=""),13&gt;Reprogramaciones!$K$16),"",IF(ROUND(SUM($Q59:AC59),1)&gt;=99.5,100,MIN(100,ROUND(SUM($Q59:AC59),1))))</f>
        <v/>
      </c>
      <c r="CW59" s="1" t="str">
        <f aca="false">IF(OR(OR(NOT(AND(ISNUMBER(E59),ISNUMBER(F59))),$J$2=""),14&gt;Reprogramaciones!$K$16),"",IF(ROUND(SUM($Q59:AD59),1)&gt;=99.5,100,MIN(100,ROUND(SUM($Q59:AD59),1))))</f>
        <v/>
      </c>
      <c r="CX59" s="1" t="str">
        <f aca="false">IF(OR(OR(NOT(AND(ISNUMBER(E59),ISNUMBER(F59))),$J$2=""),15&gt;Reprogramaciones!$K$16),"",IF(ROUND(SUM($Q59:AE59),1)&gt;=99.5,100,MIN(100,ROUND(SUM($Q59:AE59),1))))</f>
        <v/>
      </c>
      <c r="CY59" s="1" t="str">
        <f aca="false">IF(OR(OR(NOT(AND(ISNUMBER(E59),ISNUMBER(F59))),$J$2=""),16&gt;Reprogramaciones!$K$16),"",IF(ROUND(SUM($Q59:AF59),1)&gt;=99.5,100,MIN(100,ROUND(SUM($Q59:AF59),1))))</f>
        <v/>
      </c>
      <c r="CZ59" s="1" t="str">
        <f aca="false">IF(D59&lt;&gt;"",D59,IF(B59&lt;&gt;"","Contractual",CZ58))</f>
        <v>Contractual</v>
      </c>
      <c r="DA59" s="1" t="str">
        <f aca="false">IF(OR(NOT(AND(ISNUMBER(E59),ISNUMBER(F59))),$J$2=""),"",IF(Reprogramaciones!$Q$15&lt;Reprogramaciones!$T$15,0,IF(Reprogramaciones!$S$15&gt;10,MIN(100,SUM($G59:$P59)),MIN(100,SUMPRODUCT((COLUMN($G59:$P59)-COLUMN($G59)+1&lt;Reprogramaciones!$S$15)*$G59:$P59)+N(INDEX($G59:$P59,1,Reprogramaciones!$S$15))*IF(Reprogramaciones!$Q$15&gt;=(Reprogramaciones!$T$15+7*(Reprogramaciones!$S$15-1))+6,1,IF(MAX(0,NETWORKDAYS.INTL(MAX(E59,(Reprogramaciones!$T$15+7*(Reprogramaciones!$S$15-1))),MIN(F59,(Reprogramaciones!$T$15+7*(Reprogramaciones!$S$15-1))+6),11))=0,0,MAX(0,NETWORKDAYS.INTL(MAX(E59,(Reprogramaciones!$T$15+7*(Reprogramaciones!$S$15-1))),MIN(F59,Reprogramaciones!$Q$15),11))/MAX(0,NETWORKDAYS.INTL(MAX(E59,(Reprogramaciones!$T$15+7*(Reprogramaciones!$S$15-1))),MIN(F59,(Reprogramaciones!$T$15+7*(Reprogramaciones!$S$15-1))+6),11))))))))</f>
        <v/>
      </c>
    </row>
    <row r="60" customFormat="false" ht="15" hidden="false" customHeight="false" outlineLevel="0" collapsed="false">
      <c r="A60" s="32"/>
      <c r="B60" s="33"/>
      <c r="C60" s="33"/>
      <c r="D60" s="34"/>
      <c r="E60" s="35"/>
      <c r="F60" s="35"/>
      <c r="G60" s="36" t="str">
        <f aca="false">IF(OR(NOT(AND(ISNUMBER(E60),ISNUMBER(F60))),$J$2=""),"",IF(Reprogramaciones!K$9&lt;E60,0,IF(NETWORKDAYS.INTL(E60,F60,11)=0,IF(Reprogramaciones!K$9&gt;=F60,100,0),ROUND(NETWORKDAYS.INTL(E60,MIN(F60,Reprogramaciones!K$9),11)/NETWORKDAYS.INTL(E60,F60,11)*100,1)))-0)</f>
        <v/>
      </c>
      <c r="H60" s="36" t="str">
        <f aca="false">IF(OR(NOT(AND(ISNUMBER(E60),ISNUMBER(F60))),$J$2=""),"",IF(Reprogramaciones!L$9&lt;E60,0,IF(NETWORKDAYS.INTL(E60,F60,11)=0,IF(Reprogramaciones!L$9&gt;=F60,100,0),ROUND(NETWORKDAYS.INTL(E60,MIN(F60,Reprogramaciones!L$9),11)/NETWORKDAYS.INTL(E60,F60,11)*100,1)))-IF(Reprogramaciones!K$9&lt;E60,0,IF(NETWORKDAYS.INTL(E60,F60,11)=0,IF(Reprogramaciones!K$9&gt;=F60,100,0),ROUND(NETWORKDAYS.INTL(E60,MIN(F60,Reprogramaciones!K$9),11)/NETWORKDAYS.INTL(E60,F60,11)*100,1))))</f>
        <v/>
      </c>
      <c r="I60" s="36" t="str">
        <f aca="false">IF(OR(NOT(AND(ISNUMBER(E60),ISNUMBER(F60))),$J$2=""),"",IF(Reprogramaciones!M$9&lt;E60,0,IF(NETWORKDAYS.INTL(E60,F60,11)=0,IF(Reprogramaciones!M$9&gt;=F60,100,0),ROUND(NETWORKDAYS.INTL(E60,MIN(F60,Reprogramaciones!M$9),11)/NETWORKDAYS.INTL(E60,F60,11)*100,1)))-IF(Reprogramaciones!L$9&lt;E60,0,IF(NETWORKDAYS.INTL(E60,F60,11)=0,IF(Reprogramaciones!L$9&gt;=F60,100,0),ROUND(NETWORKDAYS.INTL(E60,MIN(F60,Reprogramaciones!L$9),11)/NETWORKDAYS.INTL(E60,F60,11)*100,1))))</f>
        <v/>
      </c>
      <c r="J60" s="36" t="str">
        <f aca="false">IF(OR(NOT(AND(ISNUMBER(E60),ISNUMBER(F60))),$J$2=""),"",IF(Reprogramaciones!N$9&lt;E60,0,IF(NETWORKDAYS.INTL(E60,F60,11)=0,IF(Reprogramaciones!N$9&gt;=F60,100,0),ROUND(NETWORKDAYS.INTL(E60,MIN(F60,Reprogramaciones!N$9),11)/NETWORKDAYS.INTL(E60,F60,11)*100,1)))-IF(Reprogramaciones!M$9&lt;E60,0,IF(NETWORKDAYS.INTL(E60,F60,11)=0,IF(Reprogramaciones!M$9&gt;=F60,100,0),ROUND(NETWORKDAYS.INTL(E60,MIN(F60,Reprogramaciones!M$9),11)/NETWORKDAYS.INTL(E60,F60,11)*100,1))))</f>
        <v/>
      </c>
      <c r="K60" s="36" t="str">
        <f aca="false">IF(OR(NOT(AND(ISNUMBER(E60),ISNUMBER(F60))),$J$2=""),"",IF(Reprogramaciones!O$9&lt;E60,0,IF(NETWORKDAYS.INTL(E60,F60,11)=0,IF(Reprogramaciones!O$9&gt;=F60,100,0),ROUND(NETWORKDAYS.INTL(E60,MIN(F60,Reprogramaciones!O$9),11)/NETWORKDAYS.INTL(E60,F60,11)*100,1)))-IF(Reprogramaciones!N$9&lt;E60,0,IF(NETWORKDAYS.INTL(E60,F60,11)=0,IF(Reprogramaciones!N$9&gt;=F60,100,0),ROUND(NETWORKDAYS.INTL(E60,MIN(F60,Reprogramaciones!N$9),11)/NETWORKDAYS.INTL(E60,F60,11)*100,1))))</f>
        <v/>
      </c>
      <c r="L60" s="36" t="str">
        <f aca="false">IF(OR(NOT(AND(ISNUMBER(E60),ISNUMBER(F60))),$J$2=""),"",IF(Reprogramaciones!P$9&lt;E60,0,IF(NETWORKDAYS.INTL(E60,F60,11)=0,IF(Reprogramaciones!P$9&gt;=F60,100,0),ROUND(NETWORKDAYS.INTL(E60,MIN(F60,Reprogramaciones!P$9),11)/NETWORKDAYS.INTL(E60,F60,11)*100,1)))-IF(Reprogramaciones!O$9&lt;E60,0,IF(NETWORKDAYS.INTL(E60,F60,11)=0,IF(Reprogramaciones!O$9&gt;=F60,100,0),ROUND(NETWORKDAYS.INTL(E60,MIN(F60,Reprogramaciones!O$9),11)/NETWORKDAYS.INTL(E60,F60,11)*100,1))))</f>
        <v/>
      </c>
      <c r="M60" s="36" t="str">
        <f aca="false">IF(OR(NOT(AND(ISNUMBER(E60),ISNUMBER(F60))),$J$2=""),"",IF(Reprogramaciones!Q$9&lt;E60,0,IF(NETWORKDAYS.INTL(E60,F60,11)=0,IF(Reprogramaciones!Q$9&gt;=F60,100,0),ROUND(NETWORKDAYS.INTL(E60,MIN(F60,Reprogramaciones!Q$9),11)/NETWORKDAYS.INTL(E60,F60,11)*100,1)))-IF(Reprogramaciones!P$9&lt;E60,0,IF(NETWORKDAYS.INTL(E60,F60,11)=0,IF(Reprogramaciones!P$9&gt;=F60,100,0),ROUND(NETWORKDAYS.INTL(E60,MIN(F60,Reprogramaciones!P$9),11)/NETWORKDAYS.INTL(E60,F60,11)*100,1))))</f>
        <v/>
      </c>
      <c r="N60" s="36" t="str">
        <f aca="false">IF(OR(NOT(AND(ISNUMBER(E60),ISNUMBER(F60))),$J$2=""),"",IF(Reprogramaciones!R$9&lt;E60,0,IF(NETWORKDAYS.INTL(E60,F60,11)=0,IF(Reprogramaciones!R$9&gt;=F60,100,0),ROUND(NETWORKDAYS.INTL(E60,MIN(F60,Reprogramaciones!R$9),11)/NETWORKDAYS.INTL(E60,F60,11)*100,1)))-IF(Reprogramaciones!Q$9&lt;E60,0,IF(NETWORKDAYS.INTL(E60,F60,11)=0,IF(Reprogramaciones!Q$9&gt;=F60,100,0),ROUND(NETWORKDAYS.INTL(E60,MIN(F60,Reprogramaciones!Q$9),11)/NETWORKDAYS.INTL(E60,F60,11)*100,1))))</f>
        <v/>
      </c>
      <c r="O60" s="36" t="str">
        <f aca="false">IF(OR(NOT(AND(ISNUMBER(E60),ISNUMBER(F60))),$J$2=""),"",IF(Reprogramaciones!S$9&lt;E60,0,IF(NETWORKDAYS.INTL(E60,F60,11)=0,IF(Reprogramaciones!S$9&gt;=F60,100,0),ROUND(NETWORKDAYS.INTL(E60,MIN(F60,Reprogramaciones!S$9),11)/NETWORKDAYS.INTL(E60,F60,11)*100,1)))-IF(Reprogramaciones!R$9&lt;E60,0,IF(NETWORKDAYS.INTL(E60,F60,11)=0,IF(Reprogramaciones!R$9&gt;=F60,100,0),ROUND(NETWORKDAYS.INTL(E60,MIN(F60,Reprogramaciones!R$9),11)/NETWORKDAYS.INTL(E60,F60,11)*100,1))))</f>
        <v/>
      </c>
      <c r="P60" s="36" t="str">
        <f aca="false">IF(OR(NOT(AND(ISNUMBER(E60),ISNUMBER(F60))),$J$2=""),"",IF(Reprogramaciones!T$9&lt;E60,0,IF(NETWORKDAYS.INTL(E60,F60,11)=0,IF(Reprogramaciones!T$9&gt;=F60,100,0),ROUND(NETWORKDAYS.INTL(E60,MIN(F60,Reprogramaciones!T$9),11)/NETWORKDAYS.INTL(E60,F60,11)*100,1)))-IF(Reprogramaciones!S$9&lt;E60,0,IF(NETWORKDAYS.INTL(E60,F60,11)=0,IF(Reprogramaciones!S$9&gt;=F60,100,0),ROUND(NETWORKDAYS.INTL(E60,MIN(F60,Reprogramaciones!S$9),11)/NETWORKDAYS.INTL(E60,F60,11)*100,1))))</f>
        <v/>
      </c>
      <c r="Q60" s="37"/>
      <c r="R60" s="37"/>
      <c r="S60" s="37"/>
      <c r="T60" s="37"/>
      <c r="U60" s="37"/>
      <c r="V60" s="37"/>
      <c r="W60" s="37"/>
      <c r="X60" s="37"/>
      <c r="Y60" s="37"/>
      <c r="Z60" s="37"/>
      <c r="AA60" s="37"/>
      <c r="AB60" s="37"/>
      <c r="AC60" s="37"/>
      <c r="AD60" s="37"/>
      <c r="AE60" s="37"/>
      <c r="AF60" s="37"/>
      <c r="AG60" s="38" t="str">
        <f aca="false">IF(AND(ISNUMBER(E60),ISNUMBER(F60)),NETWORKDAYS.INTL(E60,F60,11),"")</f>
        <v/>
      </c>
      <c r="AH60" s="38" t="str">
        <f aca="false">IF(OR(NOT(AND(ISNUMBER(E60),ISNUMBER(F60))),$J$2=""),"",IF(Reprogramaciones!$P$15&lt;Reprogramaciones!$T$15,0,IF(Reprogramaciones!$R$15&gt;10,MIN(100,SUM($G60:$P60)),MIN(100,SUMPRODUCT((COLUMN($G60:$P60)-COLUMN($G60)+1&lt;Reprogramaciones!$R$15)*$G60:$P60)+N(INDEX($G60:$P60,1,Reprogramaciones!$R$15))*IF(Reprogramaciones!$P$15&gt;=(Reprogramaciones!$T$15+7*(Reprogramaciones!$R$15-1))+6,1,IF(MAX(0,NETWORKDAYS.INTL(MAX(E60,(Reprogramaciones!$T$15+7*(Reprogramaciones!$R$15-1))),MIN(F60,(Reprogramaciones!$T$15+7*(Reprogramaciones!$R$15-1))+6),11))=0,0,MAX(0,NETWORKDAYS.INTL(MAX(E60,(Reprogramaciones!$T$15+7*(Reprogramaciones!$R$15-1))),MIN(F60,Reprogramaciones!$P$15),11))/MAX(0,NETWORKDAYS.INTL(MAX(E60,(Reprogramaciones!$T$15+7*(Reprogramaciones!$R$15-1))),MIN(F60,(Reprogramaciones!$T$15+7*(Reprogramaciones!$R$15-1))+6),11))))))))</f>
        <v/>
      </c>
      <c r="AI60" s="38" t="str">
        <f aca="false">IF(COUNT($Q60:$AF60)=0,"",IF(ROUND(SUM($Q60:$AF60),1)&gt;=99.5,100,MIN(100,ROUND(SUM($Q60:$AF60),1))))</f>
        <v/>
      </c>
      <c r="AJ60" s="38" t="str">
        <f aca="false">IF(OR(AH60="",AI60=""),"",AI60-AH60)</f>
        <v/>
      </c>
      <c r="AK60" s="39" t="str">
        <f aca="true">IF(AH60="","",IF(OR(Ficha!$C$10="Suspendida",Ficha!$C$10="Cancelada"),Ficha!$C$10,IF(AND(AI60&lt;&gt;"",N(AI60)&gt;=100),"Completada",IF(AND(E60&gt;TODAY(),N(AI60)=0),"Por iniciar",IF(N(AI60)+0.5&lt;AH60,"Retrasada",IF(N(AI60)+0.5&lt;DA60,IF(Reprogramaciones!$K$15&gt;0,"Al día · Sem "&amp;Reprogramaciones!$K$15&amp;" en curso","Al día · en curso"),"A tiempo"))))))</f>
        <v/>
      </c>
      <c r="AL60" s="39" t="str">
        <f aca="true">IF(AND(A60="",AND(B60="",C60="",E60="",F60="",COUNT(Q60:AF60)=0)),"",IF(AND(B60="",C60="",E60="",F60="",COUNT(Q60:AF60)=0),"Falta la partida o subpartida",IF(AND(A60&lt;&gt;"",COUNTIF($A$6:$A$305,A60)&gt;1),"Ítem repetido",IF(AND(C60="",E60="",F60="",COUNT(Q60:AF60)=0),"Título de partida",IF(OR(E60="",F60=""),"Faltan fechas",IF(OR(ISTEXT(E60),ISTEXT(F60)),"Fecha escrita como texto: usa dd/mm/aaaa",IF(F60&lt;E60,"Fin antes del inicio",IF(IF($J$2="",FALSE(),OR(E60&lt;$J$2,F60&gt;Reprogramaciones!$T$15+69)),"Fuera de las 10 semanas",IF(ABS(SUM(G60:P60)-100)&gt;0.5,"La meta no suma 100%",IF(ROUND(SUM(Q60:AF60),1)&gt;100.5,"El avance pasa de 100%",IF(MIN(Q60:AF60)&lt;0,"Avance negativo",IF(COUNTA(Q60:AF60)&gt;COUNT(Q60:AF60),"Avance escrito como texto",IF(SUMPRODUCT((Q60:AF60&gt;0)*(Q60:AF60&lt;1))&gt;0,"Avance menor a 1: escribe 50, no 50%",IF(SUMPRODUCT(ISNUMBER(Q60:AF60)*(Reprogramaciones!$K$8:$Z$8&gt;TODAY()))&gt;0,"Avance en semana que aún no llega",IF(AND(N(Reprogramaciones!$E$21)&gt;0,F60&gt;Reprogramaciones!$E$21),"Pasa el fin de la obra: registra una reprogramación",IF(AND(N(Reprogramaciones!$E$21)&gt;0,SUMPRODUCT(ISNUMBER(Q60:AF60)*(Reprogramaciones!$K$8:$Z$8&gt;Reprogramaciones!$E$21))&gt;0),"Avance después del fin de la obra: registra una reprogramación por atraso","OK"))))))))))))))))</f>
        <v/>
      </c>
      <c r="AM60" s="40" t="str">
        <f aca="false">IF(OR(OR(NOT(AND(ISNUMBER(E60),ISNUMBER(F60))),$J$2=""),1&gt;MAX(1,Reprogramaciones!$U$15)),"",IF(Reprogramaciones!K$12&gt;=7,"",IF(OR(BT60-N(0)&gt;0.05,N(Q60)&gt;0),ROUNDDOWN(ROUND(BT60,6),0)&amp;"%"&amp;IF(CJ60="",""," / "&amp;CJ60&amp;"%"),IF(AND(N(0)&gt;=99.95,CJ60&lt;&gt;"",N(CJ60)&lt;100),"Pend. "&amp;CJ60&amp;"%",""))))</f>
        <v/>
      </c>
      <c r="AN60" s="40" t="str">
        <f aca="false">IF(OR(OR(NOT(AND(ISNUMBER(E60),ISNUMBER(F60))),$J$2=""),2&gt;MAX(1,Reprogramaciones!$U$15)),"",IF(Reprogramaciones!L$12&gt;=7,"",IF(OR(BU60-N(BT60)&gt;0.05,N(R60)&gt;0),ROUNDDOWN(ROUND(BU60,6),0)&amp;"%"&amp;IF(CK60="",""," / "&amp;CK60&amp;"%"),IF(AND(N(BT60)&gt;=99.95,CK60&lt;&gt;"",N(CK60)&lt;100),"Pend. "&amp;CK60&amp;"%",""))))</f>
        <v/>
      </c>
      <c r="AO60" s="40" t="str">
        <f aca="false">IF(OR(OR(NOT(AND(ISNUMBER(E60),ISNUMBER(F60))),$J$2=""),3&gt;MAX(1,Reprogramaciones!$U$15)),"",IF(Reprogramaciones!M$12&gt;=7,"",IF(OR(BV60-N(BU60)&gt;0.05,N(S60)&gt;0),ROUNDDOWN(ROUND(BV60,6),0)&amp;"%"&amp;IF(CL60="",""," / "&amp;CL60&amp;"%"),IF(AND(N(BU60)&gt;=99.95,CL60&lt;&gt;"",N(CL60)&lt;100),"Pend. "&amp;CL60&amp;"%",""))))</f>
        <v/>
      </c>
      <c r="AP60" s="40" t="str">
        <f aca="false">IF(OR(OR(NOT(AND(ISNUMBER(E60),ISNUMBER(F60))),$J$2=""),4&gt;MAX(1,Reprogramaciones!$U$15)),"",IF(Reprogramaciones!N$12&gt;=7,"",IF(OR(BW60-N(BV60)&gt;0.05,N(T60)&gt;0),ROUNDDOWN(ROUND(BW60,6),0)&amp;"%"&amp;IF(CM60="",""," / "&amp;CM60&amp;"%"),IF(AND(N(BV60)&gt;=99.95,CM60&lt;&gt;"",N(CM60)&lt;100),"Pend. "&amp;CM60&amp;"%",""))))</f>
        <v/>
      </c>
      <c r="AQ60" s="40" t="str">
        <f aca="false">IF(OR(OR(NOT(AND(ISNUMBER(E60),ISNUMBER(F60))),$J$2=""),5&gt;MAX(1,Reprogramaciones!$U$15)),"",IF(Reprogramaciones!O$12&gt;=7,"",IF(OR(BX60-N(BW60)&gt;0.05,N(U60)&gt;0),ROUNDDOWN(ROUND(BX60,6),0)&amp;"%"&amp;IF(CN60="",""," / "&amp;CN60&amp;"%"),IF(AND(N(BW60)&gt;=99.95,CN60&lt;&gt;"",N(CN60)&lt;100),"Pend. "&amp;CN60&amp;"%",""))))</f>
        <v/>
      </c>
      <c r="AR60" s="40" t="str">
        <f aca="false">IF(OR(OR(NOT(AND(ISNUMBER(E60),ISNUMBER(F60))),$J$2=""),6&gt;MAX(1,Reprogramaciones!$U$15)),"",IF(Reprogramaciones!P$12&gt;=7,"",IF(OR(BY60-N(BX60)&gt;0.05,N(V60)&gt;0),ROUNDDOWN(ROUND(BY60,6),0)&amp;"%"&amp;IF(CO60="",""," / "&amp;CO60&amp;"%"),IF(AND(N(BX60)&gt;=99.95,CO60&lt;&gt;"",N(CO60)&lt;100),"Pend. "&amp;CO60&amp;"%",""))))</f>
        <v/>
      </c>
      <c r="AS60" s="40" t="str">
        <f aca="false">IF(OR(OR(NOT(AND(ISNUMBER(E60),ISNUMBER(F60))),$J$2=""),7&gt;MAX(1,Reprogramaciones!$U$15)),"",IF(Reprogramaciones!Q$12&gt;=7,"",IF(OR(BZ60-N(BY60)&gt;0.05,N(W60)&gt;0),ROUNDDOWN(ROUND(BZ60,6),0)&amp;"%"&amp;IF(CP60="",""," / "&amp;CP60&amp;"%"),IF(AND(N(BY60)&gt;=99.95,CP60&lt;&gt;"",N(CP60)&lt;100),"Pend. "&amp;CP60&amp;"%",""))))</f>
        <v/>
      </c>
      <c r="AT60" s="40" t="str">
        <f aca="false">IF(OR(OR(NOT(AND(ISNUMBER(E60),ISNUMBER(F60))),$J$2=""),8&gt;MAX(1,Reprogramaciones!$U$15)),"",IF(Reprogramaciones!R$12&gt;=7,"",IF(OR(CA60-N(BZ60)&gt;0.05,N(X60)&gt;0),ROUNDDOWN(ROUND(CA60,6),0)&amp;"%"&amp;IF(CQ60="",""," / "&amp;CQ60&amp;"%"),IF(AND(N(BZ60)&gt;=99.95,CQ60&lt;&gt;"",N(CQ60)&lt;100),"Pend. "&amp;CQ60&amp;"%",""))))</f>
        <v/>
      </c>
      <c r="AU60" s="40" t="str">
        <f aca="false">IF(OR(OR(NOT(AND(ISNUMBER(E60),ISNUMBER(F60))),$J$2=""),9&gt;MAX(1,Reprogramaciones!$U$15)),"",IF(Reprogramaciones!S$12&gt;=7,"",IF(OR(CB60-N(CA60)&gt;0.05,N(Y60)&gt;0),ROUNDDOWN(ROUND(CB60,6),0)&amp;"%"&amp;IF(CR60="",""," / "&amp;CR60&amp;"%"),IF(AND(N(CA60)&gt;=99.95,CR60&lt;&gt;"",N(CR60)&lt;100),"Pend. "&amp;CR60&amp;"%",""))))</f>
        <v/>
      </c>
      <c r="AV60" s="40" t="str">
        <f aca="false">IF(OR(OR(NOT(AND(ISNUMBER(E60),ISNUMBER(F60))),$J$2=""),10&gt;MAX(1,Reprogramaciones!$U$15)),"",IF(Reprogramaciones!T$12&gt;=7,"",IF(OR(CC60-N(CB60)&gt;0.05,N(Z60)&gt;0),ROUNDDOWN(ROUND(CC60,6),0)&amp;"%"&amp;IF(CS60="",""," / "&amp;CS60&amp;"%"),IF(AND(N(CB60)&gt;=99.95,CS60&lt;&gt;"",N(CS60)&lt;100),"Pend. "&amp;CS60&amp;"%",""))))</f>
        <v/>
      </c>
      <c r="AW60" s="40" t="str">
        <f aca="false">IF(OR(OR(NOT(AND(ISNUMBER(E60),ISNUMBER(F60))),$J$2=""),11&gt;MAX(1,Reprogramaciones!$U$15)),"",IF(Reprogramaciones!U$12&gt;=7,"",IF(OR(CD60-N(CC60)&gt;0.05,N(AA60)&gt;0),ROUNDDOWN(ROUND(CD60,6),0)&amp;"%"&amp;IF(CT60="",""," / "&amp;CT60&amp;"%"),IF(AND(N(CC60)&gt;=99.95,CT60&lt;&gt;"",N(CT60)&lt;100),"Pend. "&amp;CT60&amp;"%",""))))</f>
        <v/>
      </c>
      <c r="AX60" s="40" t="str">
        <f aca="false">IF(OR(OR(NOT(AND(ISNUMBER(E60),ISNUMBER(F60))),$J$2=""),12&gt;MAX(1,Reprogramaciones!$U$15)),"",IF(Reprogramaciones!V$12&gt;=7,"",IF(OR(CE60-N(CD60)&gt;0.05,N(AB60)&gt;0),ROUNDDOWN(ROUND(CE60,6),0)&amp;"%"&amp;IF(CU60="",""," / "&amp;CU60&amp;"%"),IF(AND(N(CD60)&gt;=99.95,CU60&lt;&gt;"",N(CU60)&lt;100),"Pend. "&amp;CU60&amp;"%",""))))</f>
        <v/>
      </c>
      <c r="AY60" s="40" t="str">
        <f aca="false">IF(OR(OR(NOT(AND(ISNUMBER(E60),ISNUMBER(F60))),$J$2=""),13&gt;MAX(1,Reprogramaciones!$U$15)),"",IF(Reprogramaciones!W$12&gt;=7,"",IF(OR(CF60-N(CE60)&gt;0.05,N(AC60)&gt;0),ROUNDDOWN(ROUND(CF60,6),0)&amp;"%"&amp;IF(CV60="",""," / "&amp;CV60&amp;"%"),IF(AND(N(CE60)&gt;=99.95,CV60&lt;&gt;"",N(CV60)&lt;100),"Pend. "&amp;CV60&amp;"%",""))))</f>
        <v/>
      </c>
      <c r="AZ60" s="40" t="str">
        <f aca="false">IF(OR(OR(NOT(AND(ISNUMBER(E60),ISNUMBER(F60))),$J$2=""),14&gt;MAX(1,Reprogramaciones!$U$15)),"",IF(Reprogramaciones!X$12&gt;=7,"",IF(OR(CG60-N(CF60)&gt;0.05,N(AD60)&gt;0),ROUNDDOWN(ROUND(CG60,6),0)&amp;"%"&amp;IF(CW60="",""," / "&amp;CW60&amp;"%"),IF(AND(N(CF60)&gt;=99.95,CW60&lt;&gt;"",N(CW60)&lt;100),"Pend. "&amp;CW60&amp;"%",""))))</f>
        <v/>
      </c>
      <c r="BA60" s="40" t="str">
        <f aca="false">IF(OR(OR(NOT(AND(ISNUMBER(E60),ISNUMBER(F60))),$J$2=""),15&gt;MAX(1,Reprogramaciones!$U$15)),"",IF(Reprogramaciones!Y$12&gt;=7,"",IF(OR(CH60-N(CG60)&gt;0.05,N(AE60)&gt;0),ROUNDDOWN(ROUND(CH60,6),0)&amp;"%"&amp;IF(CX60="",""," / "&amp;CX60&amp;"%"),IF(AND(N(CG60)&gt;=99.95,CX60&lt;&gt;"",N(CX60)&lt;100),"Pend. "&amp;CX60&amp;"%",""))))</f>
        <v/>
      </c>
      <c r="BB60" s="40" t="str">
        <f aca="false">IF(OR(OR(NOT(AND(ISNUMBER(E60),ISNUMBER(F60))),$J$2=""),16&gt;MAX(1,Reprogramaciones!$U$15)),"",IF(Reprogramaciones!Z$12&gt;=7,"",IF(OR(CI60-N(CH60)&gt;0.05,N(AF60)&gt;0),ROUNDDOWN(ROUND(CI60,6),0)&amp;"%"&amp;IF(CY60="",""," / "&amp;CY60&amp;"%"),IF(AND(N(CH60)&gt;=99.95,CY60&lt;&gt;"",N(CY60)&lt;100),"Pend. "&amp;CY60&amp;"%",""))))</f>
        <v/>
      </c>
      <c r="BC60" s="31" t="n">
        <f aca="false">IF(AND(ISNUMBER(E60),ISNUMBER(F60)),MAX(1,NETWORKDAYS.INTL(E60,F60,11)),0)</f>
        <v>0</v>
      </c>
      <c r="BD60" s="1" t="str">
        <f aca="false">IF(OR(NOT(AND(ISNUMBER(E60),ISNUMBER(F60))),$J$2=""),"",MIN(100,ROUND(SUM($G60:G60),1)))</f>
        <v/>
      </c>
      <c r="BE60" s="1" t="str">
        <f aca="false">IF(OR(NOT(AND(ISNUMBER(E60),ISNUMBER(F60))),$J$2=""),"",MIN(100,ROUND(SUM($G60:H60),1)))</f>
        <v/>
      </c>
      <c r="BF60" s="1" t="str">
        <f aca="false">IF(OR(NOT(AND(ISNUMBER(E60),ISNUMBER(F60))),$J$2=""),"",MIN(100,ROUND(SUM($G60:I60),1)))</f>
        <v/>
      </c>
      <c r="BG60" s="1" t="str">
        <f aca="false">IF(OR(NOT(AND(ISNUMBER(E60),ISNUMBER(F60))),$J$2=""),"",MIN(100,ROUND(SUM($G60:J60),1)))</f>
        <v/>
      </c>
      <c r="BH60" s="1" t="str">
        <f aca="false">IF(OR(NOT(AND(ISNUMBER(E60),ISNUMBER(F60))),$J$2=""),"",MIN(100,ROUND(SUM($G60:K60),1)))</f>
        <v/>
      </c>
      <c r="BI60" s="1" t="str">
        <f aca="false">IF(OR(NOT(AND(ISNUMBER(E60),ISNUMBER(F60))),$J$2=""),"",MIN(100,ROUND(SUM($G60:L60),1)))</f>
        <v/>
      </c>
      <c r="BJ60" s="1" t="str">
        <f aca="false">IF(OR(NOT(AND(ISNUMBER(E60),ISNUMBER(F60))),$J$2=""),"",MIN(100,ROUND(SUM($G60:M60),1)))</f>
        <v/>
      </c>
      <c r="BK60" s="1" t="str">
        <f aca="false">IF(OR(NOT(AND(ISNUMBER(E60),ISNUMBER(F60))),$J$2=""),"",MIN(100,ROUND(SUM($G60:N60),1)))</f>
        <v/>
      </c>
      <c r="BL60" s="1" t="str">
        <f aca="false">IF(OR(NOT(AND(ISNUMBER(E60),ISNUMBER(F60))),$J$2=""),"",MIN(100,ROUND(SUM($G60:O60),1)))</f>
        <v/>
      </c>
      <c r="BM60" s="1" t="str">
        <f aca="false">IF(OR(NOT(AND(ISNUMBER(E60),ISNUMBER(F60))),$J$2=""),"",MIN(100,ROUND(SUM($G60:P60),1)))</f>
        <v/>
      </c>
      <c r="BN60" s="1" t="str">
        <f aca="false">IF(OR(NOT(AND(ISNUMBER(E60),ISNUMBER(F60))),$J$2=""),"",MIN(100,ROUND(SUM($G60:P60),1)))</f>
        <v/>
      </c>
      <c r="BO60" s="1" t="str">
        <f aca="false">IF(OR(NOT(AND(ISNUMBER(E60),ISNUMBER(F60))),$J$2=""),"",MIN(100,ROUND(SUM($G60:P60),1)))</f>
        <v/>
      </c>
      <c r="BP60" s="1" t="str">
        <f aca="false">IF(OR(NOT(AND(ISNUMBER(E60),ISNUMBER(F60))),$J$2=""),"",MIN(100,ROUND(SUM($G60:P60),1)))</f>
        <v/>
      </c>
      <c r="BQ60" s="1" t="str">
        <f aca="false">IF(OR(NOT(AND(ISNUMBER(E60),ISNUMBER(F60))),$J$2=""),"",MIN(100,ROUND(SUM($G60:P60),1)))</f>
        <v/>
      </c>
      <c r="BR60" s="1" t="str">
        <f aca="false">IF(OR(NOT(AND(ISNUMBER(E60),ISNUMBER(F60))),$J$2=""),"",MIN(100,ROUND(SUM($G60:P60),1)))</f>
        <v/>
      </c>
      <c r="BS60" s="1" t="str">
        <f aca="false">IF(OR(NOT(AND(ISNUMBER(E60),ISNUMBER(F60))),$J$2=""),"",MIN(100,ROUND(SUM($G60:P60),1)))</f>
        <v/>
      </c>
      <c r="BT60" s="1" t="str">
        <f aca="false">IF(OR(NOT(AND(ISNUMBER(E60),ISNUMBER(F60))),$J$2=""),"",IF(Reprogramaciones!K$13&lt;Reprogramaciones!$T$15,0,IF(Reprogramaciones!K$14&gt;10,MIN(100,SUM($G60:$P60)),MIN(100,SUMPRODUCT((COLUMN($G60:$P60)-COLUMN($G60)+1&lt;Reprogramaciones!K$14)*$G60:$P60)+N(INDEX($G60:$P60,1,Reprogramaciones!K$14))*IF(Reprogramaciones!K$13&gt;=(Reprogramaciones!$T$15+7*(Reprogramaciones!K$14-1))+6,1,IF(MAX(0,NETWORKDAYS.INTL(MAX(E60,(Reprogramaciones!$T$15+7*(Reprogramaciones!K$14-1))),MIN(F60,(Reprogramaciones!$T$15+7*(Reprogramaciones!K$14-1))+6),11))=0,0,MAX(0,NETWORKDAYS.INTL(MAX(E60,(Reprogramaciones!$T$15+7*(Reprogramaciones!K$14-1))),MIN(F60,Reprogramaciones!K$13),11))/MAX(0,NETWORKDAYS.INTL(MAX(E60,(Reprogramaciones!$T$15+7*(Reprogramaciones!K$14-1))),MIN(F60,(Reprogramaciones!$T$15+7*(Reprogramaciones!K$14-1))+6),11))))))))</f>
        <v/>
      </c>
      <c r="BU60" s="1" t="str">
        <f aca="false">IF(OR(NOT(AND(ISNUMBER(E60),ISNUMBER(F60))),$J$2=""),"",IF(Reprogramaciones!L$13&lt;Reprogramaciones!$T$15,0,IF(Reprogramaciones!L$14&gt;10,MIN(100,SUM($G60:$P60)),MIN(100,SUMPRODUCT((COLUMN($G60:$P60)-COLUMN($G60)+1&lt;Reprogramaciones!L$14)*$G60:$P60)+N(INDEX($G60:$P60,1,Reprogramaciones!L$14))*IF(Reprogramaciones!L$13&gt;=(Reprogramaciones!$T$15+7*(Reprogramaciones!L$14-1))+6,1,IF(MAX(0,NETWORKDAYS.INTL(MAX(E60,(Reprogramaciones!$T$15+7*(Reprogramaciones!L$14-1))),MIN(F60,(Reprogramaciones!$T$15+7*(Reprogramaciones!L$14-1))+6),11))=0,0,MAX(0,NETWORKDAYS.INTL(MAX(E60,(Reprogramaciones!$T$15+7*(Reprogramaciones!L$14-1))),MIN(F60,Reprogramaciones!L$13),11))/MAX(0,NETWORKDAYS.INTL(MAX(E60,(Reprogramaciones!$T$15+7*(Reprogramaciones!L$14-1))),MIN(F60,(Reprogramaciones!$T$15+7*(Reprogramaciones!L$14-1))+6),11))))))))</f>
        <v/>
      </c>
      <c r="BV60" s="1" t="str">
        <f aca="false">IF(OR(NOT(AND(ISNUMBER(E60),ISNUMBER(F60))),$J$2=""),"",IF(Reprogramaciones!M$13&lt;Reprogramaciones!$T$15,0,IF(Reprogramaciones!M$14&gt;10,MIN(100,SUM($G60:$P60)),MIN(100,SUMPRODUCT((COLUMN($G60:$P60)-COLUMN($G60)+1&lt;Reprogramaciones!M$14)*$G60:$P60)+N(INDEX($G60:$P60,1,Reprogramaciones!M$14))*IF(Reprogramaciones!M$13&gt;=(Reprogramaciones!$T$15+7*(Reprogramaciones!M$14-1))+6,1,IF(MAX(0,NETWORKDAYS.INTL(MAX(E60,(Reprogramaciones!$T$15+7*(Reprogramaciones!M$14-1))),MIN(F60,(Reprogramaciones!$T$15+7*(Reprogramaciones!M$14-1))+6),11))=0,0,MAX(0,NETWORKDAYS.INTL(MAX(E60,(Reprogramaciones!$T$15+7*(Reprogramaciones!M$14-1))),MIN(F60,Reprogramaciones!M$13),11))/MAX(0,NETWORKDAYS.INTL(MAX(E60,(Reprogramaciones!$T$15+7*(Reprogramaciones!M$14-1))),MIN(F60,(Reprogramaciones!$T$15+7*(Reprogramaciones!M$14-1))+6),11))))))))</f>
        <v/>
      </c>
      <c r="BW60" s="1" t="str">
        <f aca="false">IF(OR(NOT(AND(ISNUMBER(E60),ISNUMBER(F60))),$J$2=""),"",IF(Reprogramaciones!N$13&lt;Reprogramaciones!$T$15,0,IF(Reprogramaciones!N$14&gt;10,MIN(100,SUM($G60:$P60)),MIN(100,SUMPRODUCT((COLUMN($G60:$P60)-COLUMN($G60)+1&lt;Reprogramaciones!N$14)*$G60:$P60)+N(INDEX($G60:$P60,1,Reprogramaciones!N$14))*IF(Reprogramaciones!N$13&gt;=(Reprogramaciones!$T$15+7*(Reprogramaciones!N$14-1))+6,1,IF(MAX(0,NETWORKDAYS.INTL(MAX(E60,(Reprogramaciones!$T$15+7*(Reprogramaciones!N$14-1))),MIN(F60,(Reprogramaciones!$T$15+7*(Reprogramaciones!N$14-1))+6),11))=0,0,MAX(0,NETWORKDAYS.INTL(MAX(E60,(Reprogramaciones!$T$15+7*(Reprogramaciones!N$14-1))),MIN(F60,Reprogramaciones!N$13),11))/MAX(0,NETWORKDAYS.INTL(MAX(E60,(Reprogramaciones!$T$15+7*(Reprogramaciones!N$14-1))),MIN(F60,(Reprogramaciones!$T$15+7*(Reprogramaciones!N$14-1))+6),11))))))))</f>
        <v/>
      </c>
      <c r="BX60" s="1" t="str">
        <f aca="false">IF(OR(NOT(AND(ISNUMBER(E60),ISNUMBER(F60))),$J$2=""),"",IF(Reprogramaciones!O$13&lt;Reprogramaciones!$T$15,0,IF(Reprogramaciones!O$14&gt;10,MIN(100,SUM($G60:$P60)),MIN(100,SUMPRODUCT((COLUMN($G60:$P60)-COLUMN($G60)+1&lt;Reprogramaciones!O$14)*$G60:$P60)+N(INDEX($G60:$P60,1,Reprogramaciones!O$14))*IF(Reprogramaciones!O$13&gt;=(Reprogramaciones!$T$15+7*(Reprogramaciones!O$14-1))+6,1,IF(MAX(0,NETWORKDAYS.INTL(MAX(E60,(Reprogramaciones!$T$15+7*(Reprogramaciones!O$14-1))),MIN(F60,(Reprogramaciones!$T$15+7*(Reprogramaciones!O$14-1))+6),11))=0,0,MAX(0,NETWORKDAYS.INTL(MAX(E60,(Reprogramaciones!$T$15+7*(Reprogramaciones!O$14-1))),MIN(F60,Reprogramaciones!O$13),11))/MAX(0,NETWORKDAYS.INTL(MAX(E60,(Reprogramaciones!$T$15+7*(Reprogramaciones!O$14-1))),MIN(F60,(Reprogramaciones!$T$15+7*(Reprogramaciones!O$14-1))+6),11))))))))</f>
        <v/>
      </c>
      <c r="BY60" s="1" t="str">
        <f aca="false">IF(OR(NOT(AND(ISNUMBER(E60),ISNUMBER(F60))),$J$2=""),"",IF(Reprogramaciones!P$13&lt;Reprogramaciones!$T$15,0,IF(Reprogramaciones!P$14&gt;10,MIN(100,SUM($G60:$P60)),MIN(100,SUMPRODUCT((COLUMN($G60:$P60)-COLUMN($G60)+1&lt;Reprogramaciones!P$14)*$G60:$P60)+N(INDEX($G60:$P60,1,Reprogramaciones!P$14))*IF(Reprogramaciones!P$13&gt;=(Reprogramaciones!$T$15+7*(Reprogramaciones!P$14-1))+6,1,IF(MAX(0,NETWORKDAYS.INTL(MAX(E60,(Reprogramaciones!$T$15+7*(Reprogramaciones!P$14-1))),MIN(F60,(Reprogramaciones!$T$15+7*(Reprogramaciones!P$14-1))+6),11))=0,0,MAX(0,NETWORKDAYS.INTL(MAX(E60,(Reprogramaciones!$T$15+7*(Reprogramaciones!P$14-1))),MIN(F60,Reprogramaciones!P$13),11))/MAX(0,NETWORKDAYS.INTL(MAX(E60,(Reprogramaciones!$T$15+7*(Reprogramaciones!P$14-1))),MIN(F60,(Reprogramaciones!$T$15+7*(Reprogramaciones!P$14-1))+6),11))))))))</f>
        <v/>
      </c>
      <c r="BZ60" s="1" t="str">
        <f aca="false">IF(OR(NOT(AND(ISNUMBER(E60),ISNUMBER(F60))),$J$2=""),"",IF(Reprogramaciones!Q$13&lt;Reprogramaciones!$T$15,0,IF(Reprogramaciones!Q$14&gt;10,MIN(100,SUM($G60:$P60)),MIN(100,SUMPRODUCT((COLUMN($G60:$P60)-COLUMN($G60)+1&lt;Reprogramaciones!Q$14)*$G60:$P60)+N(INDEX($G60:$P60,1,Reprogramaciones!Q$14))*IF(Reprogramaciones!Q$13&gt;=(Reprogramaciones!$T$15+7*(Reprogramaciones!Q$14-1))+6,1,IF(MAX(0,NETWORKDAYS.INTL(MAX(E60,(Reprogramaciones!$T$15+7*(Reprogramaciones!Q$14-1))),MIN(F60,(Reprogramaciones!$T$15+7*(Reprogramaciones!Q$14-1))+6),11))=0,0,MAX(0,NETWORKDAYS.INTL(MAX(E60,(Reprogramaciones!$T$15+7*(Reprogramaciones!Q$14-1))),MIN(F60,Reprogramaciones!Q$13),11))/MAX(0,NETWORKDAYS.INTL(MAX(E60,(Reprogramaciones!$T$15+7*(Reprogramaciones!Q$14-1))),MIN(F60,(Reprogramaciones!$T$15+7*(Reprogramaciones!Q$14-1))+6),11))))))))</f>
        <v/>
      </c>
      <c r="CA60" s="1" t="str">
        <f aca="false">IF(OR(NOT(AND(ISNUMBER(E60),ISNUMBER(F60))),$J$2=""),"",IF(Reprogramaciones!R$13&lt;Reprogramaciones!$T$15,0,IF(Reprogramaciones!R$14&gt;10,MIN(100,SUM($G60:$P60)),MIN(100,SUMPRODUCT((COLUMN($G60:$P60)-COLUMN($G60)+1&lt;Reprogramaciones!R$14)*$G60:$P60)+N(INDEX($G60:$P60,1,Reprogramaciones!R$14))*IF(Reprogramaciones!R$13&gt;=(Reprogramaciones!$T$15+7*(Reprogramaciones!R$14-1))+6,1,IF(MAX(0,NETWORKDAYS.INTL(MAX(E60,(Reprogramaciones!$T$15+7*(Reprogramaciones!R$14-1))),MIN(F60,(Reprogramaciones!$T$15+7*(Reprogramaciones!R$14-1))+6),11))=0,0,MAX(0,NETWORKDAYS.INTL(MAX(E60,(Reprogramaciones!$T$15+7*(Reprogramaciones!R$14-1))),MIN(F60,Reprogramaciones!R$13),11))/MAX(0,NETWORKDAYS.INTL(MAX(E60,(Reprogramaciones!$T$15+7*(Reprogramaciones!R$14-1))),MIN(F60,(Reprogramaciones!$T$15+7*(Reprogramaciones!R$14-1))+6),11))))))))</f>
        <v/>
      </c>
      <c r="CB60" s="1" t="str">
        <f aca="false">IF(OR(NOT(AND(ISNUMBER(E60),ISNUMBER(F60))),$J$2=""),"",IF(Reprogramaciones!S$13&lt;Reprogramaciones!$T$15,0,IF(Reprogramaciones!S$14&gt;10,MIN(100,SUM($G60:$P60)),MIN(100,SUMPRODUCT((COLUMN($G60:$P60)-COLUMN($G60)+1&lt;Reprogramaciones!S$14)*$G60:$P60)+N(INDEX($G60:$P60,1,Reprogramaciones!S$14))*IF(Reprogramaciones!S$13&gt;=(Reprogramaciones!$T$15+7*(Reprogramaciones!S$14-1))+6,1,IF(MAX(0,NETWORKDAYS.INTL(MAX(E60,(Reprogramaciones!$T$15+7*(Reprogramaciones!S$14-1))),MIN(F60,(Reprogramaciones!$T$15+7*(Reprogramaciones!S$14-1))+6),11))=0,0,MAX(0,NETWORKDAYS.INTL(MAX(E60,(Reprogramaciones!$T$15+7*(Reprogramaciones!S$14-1))),MIN(F60,Reprogramaciones!S$13),11))/MAX(0,NETWORKDAYS.INTL(MAX(E60,(Reprogramaciones!$T$15+7*(Reprogramaciones!S$14-1))),MIN(F60,(Reprogramaciones!$T$15+7*(Reprogramaciones!S$14-1))+6),11))))))))</f>
        <v/>
      </c>
      <c r="CC60" s="1" t="str">
        <f aca="false">IF(OR(NOT(AND(ISNUMBER(E60),ISNUMBER(F60))),$J$2=""),"",IF(Reprogramaciones!T$13&lt;Reprogramaciones!$T$15,0,IF(Reprogramaciones!T$14&gt;10,MIN(100,SUM($G60:$P60)),MIN(100,SUMPRODUCT((COLUMN($G60:$P60)-COLUMN($G60)+1&lt;Reprogramaciones!T$14)*$G60:$P60)+N(INDEX($G60:$P60,1,Reprogramaciones!T$14))*IF(Reprogramaciones!T$13&gt;=(Reprogramaciones!$T$15+7*(Reprogramaciones!T$14-1))+6,1,IF(MAX(0,NETWORKDAYS.INTL(MAX(E60,(Reprogramaciones!$T$15+7*(Reprogramaciones!T$14-1))),MIN(F60,(Reprogramaciones!$T$15+7*(Reprogramaciones!T$14-1))+6),11))=0,0,MAX(0,NETWORKDAYS.INTL(MAX(E60,(Reprogramaciones!$T$15+7*(Reprogramaciones!T$14-1))),MIN(F60,Reprogramaciones!T$13),11))/MAX(0,NETWORKDAYS.INTL(MAX(E60,(Reprogramaciones!$T$15+7*(Reprogramaciones!T$14-1))),MIN(F60,(Reprogramaciones!$T$15+7*(Reprogramaciones!T$14-1))+6),11))))))))</f>
        <v/>
      </c>
      <c r="CD60" s="1" t="str">
        <f aca="false">IF(OR(NOT(AND(ISNUMBER(E60),ISNUMBER(F60))),$J$2=""),"",IF(Reprogramaciones!U$13&lt;Reprogramaciones!$T$15,0,IF(Reprogramaciones!U$14&gt;10,MIN(100,SUM($G60:$P60)),MIN(100,SUMPRODUCT((COLUMN($G60:$P60)-COLUMN($G60)+1&lt;Reprogramaciones!U$14)*$G60:$P60)+N(INDEX($G60:$P60,1,Reprogramaciones!U$14))*IF(Reprogramaciones!U$13&gt;=(Reprogramaciones!$T$15+7*(Reprogramaciones!U$14-1))+6,1,IF(MAX(0,NETWORKDAYS.INTL(MAX(E60,(Reprogramaciones!$T$15+7*(Reprogramaciones!U$14-1))),MIN(F60,(Reprogramaciones!$T$15+7*(Reprogramaciones!U$14-1))+6),11))=0,0,MAX(0,NETWORKDAYS.INTL(MAX(E60,(Reprogramaciones!$T$15+7*(Reprogramaciones!U$14-1))),MIN(F60,Reprogramaciones!U$13),11))/MAX(0,NETWORKDAYS.INTL(MAX(E60,(Reprogramaciones!$T$15+7*(Reprogramaciones!U$14-1))),MIN(F60,(Reprogramaciones!$T$15+7*(Reprogramaciones!U$14-1))+6),11))))))))</f>
        <v/>
      </c>
      <c r="CE60" s="1" t="str">
        <f aca="false">IF(OR(NOT(AND(ISNUMBER(E60),ISNUMBER(F60))),$J$2=""),"",IF(Reprogramaciones!V$13&lt;Reprogramaciones!$T$15,0,IF(Reprogramaciones!V$14&gt;10,MIN(100,SUM($G60:$P60)),MIN(100,SUMPRODUCT((COLUMN($G60:$P60)-COLUMN($G60)+1&lt;Reprogramaciones!V$14)*$G60:$P60)+N(INDEX($G60:$P60,1,Reprogramaciones!V$14))*IF(Reprogramaciones!V$13&gt;=(Reprogramaciones!$T$15+7*(Reprogramaciones!V$14-1))+6,1,IF(MAX(0,NETWORKDAYS.INTL(MAX(E60,(Reprogramaciones!$T$15+7*(Reprogramaciones!V$14-1))),MIN(F60,(Reprogramaciones!$T$15+7*(Reprogramaciones!V$14-1))+6),11))=0,0,MAX(0,NETWORKDAYS.INTL(MAX(E60,(Reprogramaciones!$T$15+7*(Reprogramaciones!V$14-1))),MIN(F60,Reprogramaciones!V$13),11))/MAX(0,NETWORKDAYS.INTL(MAX(E60,(Reprogramaciones!$T$15+7*(Reprogramaciones!V$14-1))),MIN(F60,(Reprogramaciones!$T$15+7*(Reprogramaciones!V$14-1))+6),11))))))))</f>
        <v/>
      </c>
      <c r="CF60" s="1" t="str">
        <f aca="false">IF(OR(NOT(AND(ISNUMBER(E60),ISNUMBER(F60))),$J$2=""),"",IF(Reprogramaciones!W$13&lt;Reprogramaciones!$T$15,0,IF(Reprogramaciones!W$14&gt;10,MIN(100,SUM($G60:$P60)),MIN(100,SUMPRODUCT((COLUMN($G60:$P60)-COLUMN($G60)+1&lt;Reprogramaciones!W$14)*$G60:$P60)+N(INDEX($G60:$P60,1,Reprogramaciones!W$14))*IF(Reprogramaciones!W$13&gt;=(Reprogramaciones!$T$15+7*(Reprogramaciones!W$14-1))+6,1,IF(MAX(0,NETWORKDAYS.INTL(MAX(E60,(Reprogramaciones!$T$15+7*(Reprogramaciones!W$14-1))),MIN(F60,(Reprogramaciones!$T$15+7*(Reprogramaciones!W$14-1))+6),11))=0,0,MAX(0,NETWORKDAYS.INTL(MAX(E60,(Reprogramaciones!$T$15+7*(Reprogramaciones!W$14-1))),MIN(F60,Reprogramaciones!W$13),11))/MAX(0,NETWORKDAYS.INTL(MAX(E60,(Reprogramaciones!$T$15+7*(Reprogramaciones!W$14-1))),MIN(F60,(Reprogramaciones!$T$15+7*(Reprogramaciones!W$14-1))+6),11))))))))</f>
        <v/>
      </c>
      <c r="CG60" s="1" t="str">
        <f aca="false">IF(OR(NOT(AND(ISNUMBER(E60),ISNUMBER(F60))),$J$2=""),"",IF(Reprogramaciones!X$13&lt;Reprogramaciones!$T$15,0,IF(Reprogramaciones!X$14&gt;10,MIN(100,SUM($G60:$P60)),MIN(100,SUMPRODUCT((COLUMN($G60:$P60)-COLUMN($G60)+1&lt;Reprogramaciones!X$14)*$G60:$P60)+N(INDEX($G60:$P60,1,Reprogramaciones!X$14))*IF(Reprogramaciones!X$13&gt;=(Reprogramaciones!$T$15+7*(Reprogramaciones!X$14-1))+6,1,IF(MAX(0,NETWORKDAYS.INTL(MAX(E60,(Reprogramaciones!$T$15+7*(Reprogramaciones!X$14-1))),MIN(F60,(Reprogramaciones!$T$15+7*(Reprogramaciones!X$14-1))+6),11))=0,0,MAX(0,NETWORKDAYS.INTL(MAX(E60,(Reprogramaciones!$T$15+7*(Reprogramaciones!X$14-1))),MIN(F60,Reprogramaciones!X$13),11))/MAX(0,NETWORKDAYS.INTL(MAX(E60,(Reprogramaciones!$T$15+7*(Reprogramaciones!X$14-1))),MIN(F60,(Reprogramaciones!$T$15+7*(Reprogramaciones!X$14-1))+6),11))))))))</f>
        <v/>
      </c>
      <c r="CH60" s="1" t="str">
        <f aca="false">IF(OR(NOT(AND(ISNUMBER(E60),ISNUMBER(F60))),$J$2=""),"",IF(Reprogramaciones!Y$13&lt;Reprogramaciones!$T$15,0,IF(Reprogramaciones!Y$14&gt;10,MIN(100,SUM($G60:$P60)),MIN(100,SUMPRODUCT((COLUMN($G60:$P60)-COLUMN($G60)+1&lt;Reprogramaciones!Y$14)*$G60:$P60)+N(INDEX($G60:$P60,1,Reprogramaciones!Y$14))*IF(Reprogramaciones!Y$13&gt;=(Reprogramaciones!$T$15+7*(Reprogramaciones!Y$14-1))+6,1,IF(MAX(0,NETWORKDAYS.INTL(MAX(E60,(Reprogramaciones!$T$15+7*(Reprogramaciones!Y$14-1))),MIN(F60,(Reprogramaciones!$T$15+7*(Reprogramaciones!Y$14-1))+6),11))=0,0,MAX(0,NETWORKDAYS.INTL(MAX(E60,(Reprogramaciones!$T$15+7*(Reprogramaciones!Y$14-1))),MIN(F60,Reprogramaciones!Y$13),11))/MAX(0,NETWORKDAYS.INTL(MAX(E60,(Reprogramaciones!$T$15+7*(Reprogramaciones!Y$14-1))),MIN(F60,(Reprogramaciones!$T$15+7*(Reprogramaciones!Y$14-1))+6),11))))))))</f>
        <v/>
      </c>
      <c r="CI60" s="1" t="str">
        <f aca="false">IF(OR(NOT(AND(ISNUMBER(E60),ISNUMBER(F60))),$J$2=""),"",IF(Reprogramaciones!Z$13&lt;Reprogramaciones!$T$15,0,IF(Reprogramaciones!Z$14&gt;10,MIN(100,SUM($G60:$P60)),MIN(100,SUMPRODUCT((COLUMN($G60:$P60)-COLUMN($G60)+1&lt;Reprogramaciones!Z$14)*$G60:$P60)+N(INDEX($G60:$P60,1,Reprogramaciones!Z$14))*IF(Reprogramaciones!Z$13&gt;=(Reprogramaciones!$T$15+7*(Reprogramaciones!Z$14-1))+6,1,IF(MAX(0,NETWORKDAYS.INTL(MAX(E60,(Reprogramaciones!$T$15+7*(Reprogramaciones!Z$14-1))),MIN(F60,(Reprogramaciones!$T$15+7*(Reprogramaciones!Z$14-1))+6),11))=0,0,MAX(0,NETWORKDAYS.INTL(MAX(E60,(Reprogramaciones!$T$15+7*(Reprogramaciones!Z$14-1))),MIN(F60,Reprogramaciones!Z$13),11))/MAX(0,NETWORKDAYS.INTL(MAX(E60,(Reprogramaciones!$T$15+7*(Reprogramaciones!Z$14-1))),MIN(F60,(Reprogramaciones!$T$15+7*(Reprogramaciones!Z$14-1))+6),11))))))))</f>
        <v/>
      </c>
      <c r="CJ60" s="1" t="str">
        <f aca="false">IF(OR(OR(NOT(AND(ISNUMBER(E60),ISNUMBER(F60))),$J$2=""),1&gt;Reprogramaciones!$K$16),"",IF(ROUND(SUM($Q60:Q60),1)&gt;=99.5,100,MIN(100,ROUND(SUM($Q60:Q60),1))))</f>
        <v/>
      </c>
      <c r="CK60" s="1" t="str">
        <f aca="false">IF(OR(OR(NOT(AND(ISNUMBER(E60),ISNUMBER(F60))),$J$2=""),2&gt;Reprogramaciones!$K$16),"",IF(ROUND(SUM($Q60:R60),1)&gt;=99.5,100,MIN(100,ROUND(SUM($Q60:R60),1))))</f>
        <v/>
      </c>
      <c r="CL60" s="1" t="str">
        <f aca="false">IF(OR(OR(NOT(AND(ISNUMBER(E60),ISNUMBER(F60))),$J$2=""),3&gt;Reprogramaciones!$K$16),"",IF(ROUND(SUM($Q60:S60),1)&gt;=99.5,100,MIN(100,ROUND(SUM($Q60:S60),1))))</f>
        <v/>
      </c>
      <c r="CM60" s="1" t="str">
        <f aca="false">IF(OR(OR(NOT(AND(ISNUMBER(E60),ISNUMBER(F60))),$J$2=""),4&gt;Reprogramaciones!$K$16),"",IF(ROUND(SUM($Q60:T60),1)&gt;=99.5,100,MIN(100,ROUND(SUM($Q60:T60),1))))</f>
        <v/>
      </c>
      <c r="CN60" s="1" t="str">
        <f aca="false">IF(OR(OR(NOT(AND(ISNUMBER(E60),ISNUMBER(F60))),$J$2=""),5&gt;Reprogramaciones!$K$16),"",IF(ROUND(SUM($Q60:U60),1)&gt;=99.5,100,MIN(100,ROUND(SUM($Q60:U60),1))))</f>
        <v/>
      </c>
      <c r="CO60" s="1" t="str">
        <f aca="false">IF(OR(OR(NOT(AND(ISNUMBER(E60),ISNUMBER(F60))),$J$2=""),6&gt;Reprogramaciones!$K$16),"",IF(ROUND(SUM($Q60:V60),1)&gt;=99.5,100,MIN(100,ROUND(SUM($Q60:V60),1))))</f>
        <v/>
      </c>
      <c r="CP60" s="1" t="str">
        <f aca="false">IF(OR(OR(NOT(AND(ISNUMBER(E60),ISNUMBER(F60))),$J$2=""),7&gt;Reprogramaciones!$K$16),"",IF(ROUND(SUM($Q60:W60),1)&gt;=99.5,100,MIN(100,ROUND(SUM($Q60:W60),1))))</f>
        <v/>
      </c>
      <c r="CQ60" s="1" t="str">
        <f aca="false">IF(OR(OR(NOT(AND(ISNUMBER(E60),ISNUMBER(F60))),$J$2=""),8&gt;Reprogramaciones!$K$16),"",IF(ROUND(SUM($Q60:X60),1)&gt;=99.5,100,MIN(100,ROUND(SUM($Q60:X60),1))))</f>
        <v/>
      </c>
      <c r="CR60" s="1" t="str">
        <f aca="false">IF(OR(OR(NOT(AND(ISNUMBER(E60),ISNUMBER(F60))),$J$2=""),9&gt;Reprogramaciones!$K$16),"",IF(ROUND(SUM($Q60:Y60),1)&gt;=99.5,100,MIN(100,ROUND(SUM($Q60:Y60),1))))</f>
        <v/>
      </c>
      <c r="CS60" s="1" t="str">
        <f aca="false">IF(OR(OR(NOT(AND(ISNUMBER(E60),ISNUMBER(F60))),$J$2=""),10&gt;Reprogramaciones!$K$16),"",IF(ROUND(SUM($Q60:Z60),1)&gt;=99.5,100,MIN(100,ROUND(SUM($Q60:Z60),1))))</f>
        <v/>
      </c>
      <c r="CT60" s="1" t="str">
        <f aca="false">IF(OR(OR(NOT(AND(ISNUMBER(E60),ISNUMBER(F60))),$J$2=""),11&gt;Reprogramaciones!$K$16),"",IF(ROUND(SUM($Q60:AA60),1)&gt;=99.5,100,MIN(100,ROUND(SUM($Q60:AA60),1))))</f>
        <v/>
      </c>
      <c r="CU60" s="1" t="str">
        <f aca="false">IF(OR(OR(NOT(AND(ISNUMBER(E60),ISNUMBER(F60))),$J$2=""),12&gt;Reprogramaciones!$K$16),"",IF(ROUND(SUM($Q60:AB60),1)&gt;=99.5,100,MIN(100,ROUND(SUM($Q60:AB60),1))))</f>
        <v/>
      </c>
      <c r="CV60" s="1" t="str">
        <f aca="false">IF(OR(OR(NOT(AND(ISNUMBER(E60),ISNUMBER(F60))),$J$2=""),13&gt;Reprogramaciones!$K$16),"",IF(ROUND(SUM($Q60:AC60),1)&gt;=99.5,100,MIN(100,ROUND(SUM($Q60:AC60),1))))</f>
        <v/>
      </c>
      <c r="CW60" s="1" t="str">
        <f aca="false">IF(OR(OR(NOT(AND(ISNUMBER(E60),ISNUMBER(F60))),$J$2=""),14&gt;Reprogramaciones!$K$16),"",IF(ROUND(SUM($Q60:AD60),1)&gt;=99.5,100,MIN(100,ROUND(SUM($Q60:AD60),1))))</f>
        <v/>
      </c>
      <c r="CX60" s="1" t="str">
        <f aca="false">IF(OR(OR(NOT(AND(ISNUMBER(E60),ISNUMBER(F60))),$J$2=""),15&gt;Reprogramaciones!$K$16),"",IF(ROUND(SUM($Q60:AE60),1)&gt;=99.5,100,MIN(100,ROUND(SUM($Q60:AE60),1))))</f>
        <v/>
      </c>
      <c r="CY60" s="1" t="str">
        <f aca="false">IF(OR(OR(NOT(AND(ISNUMBER(E60),ISNUMBER(F60))),$J$2=""),16&gt;Reprogramaciones!$K$16),"",IF(ROUND(SUM($Q60:AF60),1)&gt;=99.5,100,MIN(100,ROUND(SUM($Q60:AF60),1))))</f>
        <v/>
      </c>
      <c r="CZ60" s="1" t="str">
        <f aca="false">IF(D60&lt;&gt;"",D60,IF(B60&lt;&gt;"","Contractual",CZ59))</f>
        <v>Contractual</v>
      </c>
      <c r="DA60" s="1" t="str">
        <f aca="false">IF(OR(NOT(AND(ISNUMBER(E60),ISNUMBER(F60))),$J$2=""),"",IF(Reprogramaciones!$Q$15&lt;Reprogramaciones!$T$15,0,IF(Reprogramaciones!$S$15&gt;10,MIN(100,SUM($G60:$P60)),MIN(100,SUMPRODUCT((COLUMN($G60:$P60)-COLUMN($G60)+1&lt;Reprogramaciones!$S$15)*$G60:$P60)+N(INDEX($G60:$P60,1,Reprogramaciones!$S$15))*IF(Reprogramaciones!$Q$15&gt;=(Reprogramaciones!$T$15+7*(Reprogramaciones!$S$15-1))+6,1,IF(MAX(0,NETWORKDAYS.INTL(MAX(E60,(Reprogramaciones!$T$15+7*(Reprogramaciones!$S$15-1))),MIN(F60,(Reprogramaciones!$T$15+7*(Reprogramaciones!$S$15-1))+6),11))=0,0,MAX(0,NETWORKDAYS.INTL(MAX(E60,(Reprogramaciones!$T$15+7*(Reprogramaciones!$S$15-1))),MIN(F60,Reprogramaciones!$Q$15),11))/MAX(0,NETWORKDAYS.INTL(MAX(E60,(Reprogramaciones!$T$15+7*(Reprogramaciones!$S$15-1))),MIN(F60,(Reprogramaciones!$T$15+7*(Reprogramaciones!$S$15-1))+6),11))))))))</f>
        <v/>
      </c>
    </row>
    <row r="61" customFormat="false" ht="15" hidden="false" customHeight="false" outlineLevel="0" collapsed="false">
      <c r="A61" s="32"/>
      <c r="B61" s="33"/>
      <c r="C61" s="33"/>
      <c r="D61" s="34"/>
      <c r="E61" s="35"/>
      <c r="F61" s="35"/>
      <c r="G61" s="36" t="str">
        <f aca="false">IF(OR(NOT(AND(ISNUMBER(E61),ISNUMBER(F61))),$J$2=""),"",IF(Reprogramaciones!K$9&lt;E61,0,IF(NETWORKDAYS.INTL(E61,F61,11)=0,IF(Reprogramaciones!K$9&gt;=F61,100,0),ROUND(NETWORKDAYS.INTL(E61,MIN(F61,Reprogramaciones!K$9),11)/NETWORKDAYS.INTL(E61,F61,11)*100,1)))-0)</f>
        <v/>
      </c>
      <c r="H61" s="36" t="str">
        <f aca="false">IF(OR(NOT(AND(ISNUMBER(E61),ISNUMBER(F61))),$J$2=""),"",IF(Reprogramaciones!L$9&lt;E61,0,IF(NETWORKDAYS.INTL(E61,F61,11)=0,IF(Reprogramaciones!L$9&gt;=F61,100,0),ROUND(NETWORKDAYS.INTL(E61,MIN(F61,Reprogramaciones!L$9),11)/NETWORKDAYS.INTL(E61,F61,11)*100,1)))-IF(Reprogramaciones!K$9&lt;E61,0,IF(NETWORKDAYS.INTL(E61,F61,11)=0,IF(Reprogramaciones!K$9&gt;=F61,100,0),ROUND(NETWORKDAYS.INTL(E61,MIN(F61,Reprogramaciones!K$9),11)/NETWORKDAYS.INTL(E61,F61,11)*100,1))))</f>
        <v/>
      </c>
      <c r="I61" s="36" t="str">
        <f aca="false">IF(OR(NOT(AND(ISNUMBER(E61),ISNUMBER(F61))),$J$2=""),"",IF(Reprogramaciones!M$9&lt;E61,0,IF(NETWORKDAYS.INTL(E61,F61,11)=0,IF(Reprogramaciones!M$9&gt;=F61,100,0),ROUND(NETWORKDAYS.INTL(E61,MIN(F61,Reprogramaciones!M$9),11)/NETWORKDAYS.INTL(E61,F61,11)*100,1)))-IF(Reprogramaciones!L$9&lt;E61,0,IF(NETWORKDAYS.INTL(E61,F61,11)=0,IF(Reprogramaciones!L$9&gt;=F61,100,0),ROUND(NETWORKDAYS.INTL(E61,MIN(F61,Reprogramaciones!L$9),11)/NETWORKDAYS.INTL(E61,F61,11)*100,1))))</f>
        <v/>
      </c>
      <c r="J61" s="36" t="str">
        <f aca="false">IF(OR(NOT(AND(ISNUMBER(E61),ISNUMBER(F61))),$J$2=""),"",IF(Reprogramaciones!N$9&lt;E61,0,IF(NETWORKDAYS.INTL(E61,F61,11)=0,IF(Reprogramaciones!N$9&gt;=F61,100,0),ROUND(NETWORKDAYS.INTL(E61,MIN(F61,Reprogramaciones!N$9),11)/NETWORKDAYS.INTL(E61,F61,11)*100,1)))-IF(Reprogramaciones!M$9&lt;E61,0,IF(NETWORKDAYS.INTL(E61,F61,11)=0,IF(Reprogramaciones!M$9&gt;=F61,100,0),ROUND(NETWORKDAYS.INTL(E61,MIN(F61,Reprogramaciones!M$9),11)/NETWORKDAYS.INTL(E61,F61,11)*100,1))))</f>
        <v/>
      </c>
      <c r="K61" s="36" t="str">
        <f aca="false">IF(OR(NOT(AND(ISNUMBER(E61),ISNUMBER(F61))),$J$2=""),"",IF(Reprogramaciones!O$9&lt;E61,0,IF(NETWORKDAYS.INTL(E61,F61,11)=0,IF(Reprogramaciones!O$9&gt;=F61,100,0),ROUND(NETWORKDAYS.INTL(E61,MIN(F61,Reprogramaciones!O$9),11)/NETWORKDAYS.INTL(E61,F61,11)*100,1)))-IF(Reprogramaciones!N$9&lt;E61,0,IF(NETWORKDAYS.INTL(E61,F61,11)=0,IF(Reprogramaciones!N$9&gt;=F61,100,0),ROUND(NETWORKDAYS.INTL(E61,MIN(F61,Reprogramaciones!N$9),11)/NETWORKDAYS.INTL(E61,F61,11)*100,1))))</f>
        <v/>
      </c>
      <c r="L61" s="36" t="str">
        <f aca="false">IF(OR(NOT(AND(ISNUMBER(E61),ISNUMBER(F61))),$J$2=""),"",IF(Reprogramaciones!P$9&lt;E61,0,IF(NETWORKDAYS.INTL(E61,F61,11)=0,IF(Reprogramaciones!P$9&gt;=F61,100,0),ROUND(NETWORKDAYS.INTL(E61,MIN(F61,Reprogramaciones!P$9),11)/NETWORKDAYS.INTL(E61,F61,11)*100,1)))-IF(Reprogramaciones!O$9&lt;E61,0,IF(NETWORKDAYS.INTL(E61,F61,11)=0,IF(Reprogramaciones!O$9&gt;=F61,100,0),ROUND(NETWORKDAYS.INTL(E61,MIN(F61,Reprogramaciones!O$9),11)/NETWORKDAYS.INTL(E61,F61,11)*100,1))))</f>
        <v/>
      </c>
      <c r="M61" s="36" t="str">
        <f aca="false">IF(OR(NOT(AND(ISNUMBER(E61),ISNUMBER(F61))),$J$2=""),"",IF(Reprogramaciones!Q$9&lt;E61,0,IF(NETWORKDAYS.INTL(E61,F61,11)=0,IF(Reprogramaciones!Q$9&gt;=F61,100,0),ROUND(NETWORKDAYS.INTL(E61,MIN(F61,Reprogramaciones!Q$9),11)/NETWORKDAYS.INTL(E61,F61,11)*100,1)))-IF(Reprogramaciones!P$9&lt;E61,0,IF(NETWORKDAYS.INTL(E61,F61,11)=0,IF(Reprogramaciones!P$9&gt;=F61,100,0),ROUND(NETWORKDAYS.INTL(E61,MIN(F61,Reprogramaciones!P$9),11)/NETWORKDAYS.INTL(E61,F61,11)*100,1))))</f>
        <v/>
      </c>
      <c r="N61" s="36" t="str">
        <f aca="false">IF(OR(NOT(AND(ISNUMBER(E61),ISNUMBER(F61))),$J$2=""),"",IF(Reprogramaciones!R$9&lt;E61,0,IF(NETWORKDAYS.INTL(E61,F61,11)=0,IF(Reprogramaciones!R$9&gt;=F61,100,0),ROUND(NETWORKDAYS.INTL(E61,MIN(F61,Reprogramaciones!R$9),11)/NETWORKDAYS.INTL(E61,F61,11)*100,1)))-IF(Reprogramaciones!Q$9&lt;E61,0,IF(NETWORKDAYS.INTL(E61,F61,11)=0,IF(Reprogramaciones!Q$9&gt;=F61,100,0),ROUND(NETWORKDAYS.INTL(E61,MIN(F61,Reprogramaciones!Q$9),11)/NETWORKDAYS.INTL(E61,F61,11)*100,1))))</f>
        <v/>
      </c>
      <c r="O61" s="36" t="str">
        <f aca="false">IF(OR(NOT(AND(ISNUMBER(E61),ISNUMBER(F61))),$J$2=""),"",IF(Reprogramaciones!S$9&lt;E61,0,IF(NETWORKDAYS.INTL(E61,F61,11)=0,IF(Reprogramaciones!S$9&gt;=F61,100,0),ROUND(NETWORKDAYS.INTL(E61,MIN(F61,Reprogramaciones!S$9),11)/NETWORKDAYS.INTL(E61,F61,11)*100,1)))-IF(Reprogramaciones!R$9&lt;E61,0,IF(NETWORKDAYS.INTL(E61,F61,11)=0,IF(Reprogramaciones!R$9&gt;=F61,100,0),ROUND(NETWORKDAYS.INTL(E61,MIN(F61,Reprogramaciones!R$9),11)/NETWORKDAYS.INTL(E61,F61,11)*100,1))))</f>
        <v/>
      </c>
      <c r="P61" s="36" t="str">
        <f aca="false">IF(OR(NOT(AND(ISNUMBER(E61),ISNUMBER(F61))),$J$2=""),"",IF(Reprogramaciones!T$9&lt;E61,0,IF(NETWORKDAYS.INTL(E61,F61,11)=0,IF(Reprogramaciones!T$9&gt;=F61,100,0),ROUND(NETWORKDAYS.INTL(E61,MIN(F61,Reprogramaciones!T$9),11)/NETWORKDAYS.INTL(E61,F61,11)*100,1)))-IF(Reprogramaciones!S$9&lt;E61,0,IF(NETWORKDAYS.INTL(E61,F61,11)=0,IF(Reprogramaciones!S$9&gt;=F61,100,0),ROUND(NETWORKDAYS.INTL(E61,MIN(F61,Reprogramaciones!S$9),11)/NETWORKDAYS.INTL(E61,F61,11)*100,1))))</f>
        <v/>
      </c>
      <c r="Q61" s="37"/>
      <c r="R61" s="37"/>
      <c r="S61" s="37"/>
      <c r="T61" s="37"/>
      <c r="U61" s="37"/>
      <c r="V61" s="37"/>
      <c r="W61" s="37"/>
      <c r="X61" s="37"/>
      <c r="Y61" s="37"/>
      <c r="Z61" s="37"/>
      <c r="AA61" s="37"/>
      <c r="AB61" s="37"/>
      <c r="AC61" s="37"/>
      <c r="AD61" s="37"/>
      <c r="AE61" s="37"/>
      <c r="AF61" s="37"/>
      <c r="AG61" s="38" t="str">
        <f aca="false">IF(AND(ISNUMBER(E61),ISNUMBER(F61)),NETWORKDAYS.INTL(E61,F61,11),"")</f>
        <v/>
      </c>
      <c r="AH61" s="38" t="str">
        <f aca="false">IF(OR(NOT(AND(ISNUMBER(E61),ISNUMBER(F61))),$J$2=""),"",IF(Reprogramaciones!$P$15&lt;Reprogramaciones!$T$15,0,IF(Reprogramaciones!$R$15&gt;10,MIN(100,SUM($G61:$P61)),MIN(100,SUMPRODUCT((COLUMN($G61:$P61)-COLUMN($G61)+1&lt;Reprogramaciones!$R$15)*$G61:$P61)+N(INDEX($G61:$P61,1,Reprogramaciones!$R$15))*IF(Reprogramaciones!$P$15&gt;=(Reprogramaciones!$T$15+7*(Reprogramaciones!$R$15-1))+6,1,IF(MAX(0,NETWORKDAYS.INTL(MAX(E61,(Reprogramaciones!$T$15+7*(Reprogramaciones!$R$15-1))),MIN(F61,(Reprogramaciones!$T$15+7*(Reprogramaciones!$R$15-1))+6),11))=0,0,MAX(0,NETWORKDAYS.INTL(MAX(E61,(Reprogramaciones!$T$15+7*(Reprogramaciones!$R$15-1))),MIN(F61,Reprogramaciones!$P$15),11))/MAX(0,NETWORKDAYS.INTL(MAX(E61,(Reprogramaciones!$T$15+7*(Reprogramaciones!$R$15-1))),MIN(F61,(Reprogramaciones!$T$15+7*(Reprogramaciones!$R$15-1))+6),11))))))))</f>
        <v/>
      </c>
      <c r="AI61" s="38" t="str">
        <f aca="false">IF(COUNT($Q61:$AF61)=0,"",IF(ROUND(SUM($Q61:$AF61),1)&gt;=99.5,100,MIN(100,ROUND(SUM($Q61:$AF61),1))))</f>
        <v/>
      </c>
      <c r="AJ61" s="38" t="str">
        <f aca="false">IF(OR(AH61="",AI61=""),"",AI61-AH61)</f>
        <v/>
      </c>
      <c r="AK61" s="39" t="str">
        <f aca="true">IF(AH61="","",IF(OR(Ficha!$C$10="Suspendida",Ficha!$C$10="Cancelada"),Ficha!$C$10,IF(AND(AI61&lt;&gt;"",N(AI61)&gt;=100),"Completada",IF(AND(E61&gt;TODAY(),N(AI61)=0),"Por iniciar",IF(N(AI61)+0.5&lt;AH61,"Retrasada",IF(N(AI61)+0.5&lt;DA61,IF(Reprogramaciones!$K$15&gt;0,"Al día · Sem "&amp;Reprogramaciones!$K$15&amp;" en curso","Al día · en curso"),"A tiempo"))))))</f>
        <v/>
      </c>
      <c r="AL61" s="39" t="str">
        <f aca="true">IF(AND(A61="",AND(B61="",C61="",E61="",F61="",COUNT(Q61:AF61)=0)),"",IF(AND(B61="",C61="",E61="",F61="",COUNT(Q61:AF61)=0),"Falta la partida o subpartida",IF(AND(A61&lt;&gt;"",COUNTIF($A$6:$A$305,A61)&gt;1),"Ítem repetido",IF(AND(C61="",E61="",F61="",COUNT(Q61:AF61)=0),"Título de partida",IF(OR(E61="",F61=""),"Faltan fechas",IF(OR(ISTEXT(E61),ISTEXT(F61)),"Fecha escrita como texto: usa dd/mm/aaaa",IF(F61&lt;E61,"Fin antes del inicio",IF(IF($J$2="",FALSE(),OR(E61&lt;$J$2,F61&gt;Reprogramaciones!$T$15+69)),"Fuera de las 10 semanas",IF(ABS(SUM(G61:P61)-100)&gt;0.5,"La meta no suma 100%",IF(ROUND(SUM(Q61:AF61),1)&gt;100.5,"El avance pasa de 100%",IF(MIN(Q61:AF61)&lt;0,"Avance negativo",IF(COUNTA(Q61:AF61)&gt;COUNT(Q61:AF61),"Avance escrito como texto",IF(SUMPRODUCT((Q61:AF61&gt;0)*(Q61:AF61&lt;1))&gt;0,"Avance menor a 1: escribe 50, no 50%",IF(SUMPRODUCT(ISNUMBER(Q61:AF61)*(Reprogramaciones!$K$8:$Z$8&gt;TODAY()))&gt;0,"Avance en semana que aún no llega",IF(AND(N(Reprogramaciones!$E$21)&gt;0,F61&gt;Reprogramaciones!$E$21),"Pasa el fin de la obra: registra una reprogramación",IF(AND(N(Reprogramaciones!$E$21)&gt;0,SUMPRODUCT(ISNUMBER(Q61:AF61)*(Reprogramaciones!$K$8:$Z$8&gt;Reprogramaciones!$E$21))&gt;0),"Avance después del fin de la obra: registra una reprogramación por atraso","OK"))))))))))))))))</f>
        <v/>
      </c>
      <c r="AM61" s="40" t="str">
        <f aca="false">IF(OR(OR(NOT(AND(ISNUMBER(E61),ISNUMBER(F61))),$J$2=""),1&gt;MAX(1,Reprogramaciones!$U$15)),"",IF(Reprogramaciones!K$12&gt;=7,"",IF(OR(BT61-N(0)&gt;0.05,N(Q61)&gt;0),ROUNDDOWN(ROUND(BT61,6),0)&amp;"%"&amp;IF(CJ61="",""," / "&amp;CJ61&amp;"%"),IF(AND(N(0)&gt;=99.95,CJ61&lt;&gt;"",N(CJ61)&lt;100),"Pend. "&amp;CJ61&amp;"%",""))))</f>
        <v/>
      </c>
      <c r="AN61" s="40" t="str">
        <f aca="false">IF(OR(OR(NOT(AND(ISNUMBER(E61),ISNUMBER(F61))),$J$2=""),2&gt;MAX(1,Reprogramaciones!$U$15)),"",IF(Reprogramaciones!L$12&gt;=7,"",IF(OR(BU61-N(BT61)&gt;0.05,N(R61)&gt;0),ROUNDDOWN(ROUND(BU61,6),0)&amp;"%"&amp;IF(CK61="",""," / "&amp;CK61&amp;"%"),IF(AND(N(BT61)&gt;=99.95,CK61&lt;&gt;"",N(CK61)&lt;100),"Pend. "&amp;CK61&amp;"%",""))))</f>
        <v/>
      </c>
      <c r="AO61" s="40" t="str">
        <f aca="false">IF(OR(OR(NOT(AND(ISNUMBER(E61),ISNUMBER(F61))),$J$2=""),3&gt;MAX(1,Reprogramaciones!$U$15)),"",IF(Reprogramaciones!M$12&gt;=7,"",IF(OR(BV61-N(BU61)&gt;0.05,N(S61)&gt;0),ROUNDDOWN(ROUND(BV61,6),0)&amp;"%"&amp;IF(CL61="",""," / "&amp;CL61&amp;"%"),IF(AND(N(BU61)&gt;=99.95,CL61&lt;&gt;"",N(CL61)&lt;100),"Pend. "&amp;CL61&amp;"%",""))))</f>
        <v/>
      </c>
      <c r="AP61" s="40" t="str">
        <f aca="false">IF(OR(OR(NOT(AND(ISNUMBER(E61),ISNUMBER(F61))),$J$2=""),4&gt;MAX(1,Reprogramaciones!$U$15)),"",IF(Reprogramaciones!N$12&gt;=7,"",IF(OR(BW61-N(BV61)&gt;0.05,N(T61)&gt;0),ROUNDDOWN(ROUND(BW61,6),0)&amp;"%"&amp;IF(CM61="",""," / "&amp;CM61&amp;"%"),IF(AND(N(BV61)&gt;=99.95,CM61&lt;&gt;"",N(CM61)&lt;100),"Pend. "&amp;CM61&amp;"%",""))))</f>
        <v/>
      </c>
      <c r="AQ61" s="40" t="str">
        <f aca="false">IF(OR(OR(NOT(AND(ISNUMBER(E61),ISNUMBER(F61))),$J$2=""),5&gt;MAX(1,Reprogramaciones!$U$15)),"",IF(Reprogramaciones!O$12&gt;=7,"",IF(OR(BX61-N(BW61)&gt;0.05,N(U61)&gt;0),ROUNDDOWN(ROUND(BX61,6),0)&amp;"%"&amp;IF(CN61="",""," / "&amp;CN61&amp;"%"),IF(AND(N(BW61)&gt;=99.95,CN61&lt;&gt;"",N(CN61)&lt;100),"Pend. "&amp;CN61&amp;"%",""))))</f>
        <v/>
      </c>
      <c r="AR61" s="40" t="str">
        <f aca="false">IF(OR(OR(NOT(AND(ISNUMBER(E61),ISNUMBER(F61))),$J$2=""),6&gt;MAX(1,Reprogramaciones!$U$15)),"",IF(Reprogramaciones!P$12&gt;=7,"",IF(OR(BY61-N(BX61)&gt;0.05,N(V61)&gt;0),ROUNDDOWN(ROUND(BY61,6),0)&amp;"%"&amp;IF(CO61="",""," / "&amp;CO61&amp;"%"),IF(AND(N(BX61)&gt;=99.95,CO61&lt;&gt;"",N(CO61)&lt;100),"Pend. "&amp;CO61&amp;"%",""))))</f>
        <v/>
      </c>
      <c r="AS61" s="40" t="str">
        <f aca="false">IF(OR(OR(NOT(AND(ISNUMBER(E61),ISNUMBER(F61))),$J$2=""),7&gt;MAX(1,Reprogramaciones!$U$15)),"",IF(Reprogramaciones!Q$12&gt;=7,"",IF(OR(BZ61-N(BY61)&gt;0.05,N(W61)&gt;0),ROUNDDOWN(ROUND(BZ61,6),0)&amp;"%"&amp;IF(CP61="",""," / "&amp;CP61&amp;"%"),IF(AND(N(BY61)&gt;=99.95,CP61&lt;&gt;"",N(CP61)&lt;100),"Pend. "&amp;CP61&amp;"%",""))))</f>
        <v/>
      </c>
      <c r="AT61" s="40" t="str">
        <f aca="false">IF(OR(OR(NOT(AND(ISNUMBER(E61),ISNUMBER(F61))),$J$2=""),8&gt;MAX(1,Reprogramaciones!$U$15)),"",IF(Reprogramaciones!R$12&gt;=7,"",IF(OR(CA61-N(BZ61)&gt;0.05,N(X61)&gt;0),ROUNDDOWN(ROUND(CA61,6),0)&amp;"%"&amp;IF(CQ61="",""," / "&amp;CQ61&amp;"%"),IF(AND(N(BZ61)&gt;=99.95,CQ61&lt;&gt;"",N(CQ61)&lt;100),"Pend. "&amp;CQ61&amp;"%",""))))</f>
        <v/>
      </c>
      <c r="AU61" s="40" t="str">
        <f aca="false">IF(OR(OR(NOT(AND(ISNUMBER(E61),ISNUMBER(F61))),$J$2=""),9&gt;MAX(1,Reprogramaciones!$U$15)),"",IF(Reprogramaciones!S$12&gt;=7,"",IF(OR(CB61-N(CA61)&gt;0.05,N(Y61)&gt;0),ROUNDDOWN(ROUND(CB61,6),0)&amp;"%"&amp;IF(CR61="",""," / "&amp;CR61&amp;"%"),IF(AND(N(CA61)&gt;=99.95,CR61&lt;&gt;"",N(CR61)&lt;100),"Pend. "&amp;CR61&amp;"%",""))))</f>
        <v/>
      </c>
      <c r="AV61" s="40" t="str">
        <f aca="false">IF(OR(OR(NOT(AND(ISNUMBER(E61),ISNUMBER(F61))),$J$2=""),10&gt;MAX(1,Reprogramaciones!$U$15)),"",IF(Reprogramaciones!T$12&gt;=7,"",IF(OR(CC61-N(CB61)&gt;0.05,N(Z61)&gt;0),ROUNDDOWN(ROUND(CC61,6),0)&amp;"%"&amp;IF(CS61="",""," / "&amp;CS61&amp;"%"),IF(AND(N(CB61)&gt;=99.95,CS61&lt;&gt;"",N(CS61)&lt;100),"Pend. "&amp;CS61&amp;"%",""))))</f>
        <v/>
      </c>
      <c r="AW61" s="40" t="str">
        <f aca="false">IF(OR(OR(NOT(AND(ISNUMBER(E61),ISNUMBER(F61))),$J$2=""),11&gt;MAX(1,Reprogramaciones!$U$15)),"",IF(Reprogramaciones!U$12&gt;=7,"",IF(OR(CD61-N(CC61)&gt;0.05,N(AA61)&gt;0),ROUNDDOWN(ROUND(CD61,6),0)&amp;"%"&amp;IF(CT61="",""," / "&amp;CT61&amp;"%"),IF(AND(N(CC61)&gt;=99.95,CT61&lt;&gt;"",N(CT61)&lt;100),"Pend. "&amp;CT61&amp;"%",""))))</f>
        <v/>
      </c>
      <c r="AX61" s="40" t="str">
        <f aca="false">IF(OR(OR(NOT(AND(ISNUMBER(E61),ISNUMBER(F61))),$J$2=""),12&gt;MAX(1,Reprogramaciones!$U$15)),"",IF(Reprogramaciones!V$12&gt;=7,"",IF(OR(CE61-N(CD61)&gt;0.05,N(AB61)&gt;0),ROUNDDOWN(ROUND(CE61,6),0)&amp;"%"&amp;IF(CU61="",""," / "&amp;CU61&amp;"%"),IF(AND(N(CD61)&gt;=99.95,CU61&lt;&gt;"",N(CU61)&lt;100),"Pend. "&amp;CU61&amp;"%",""))))</f>
        <v/>
      </c>
      <c r="AY61" s="40" t="str">
        <f aca="false">IF(OR(OR(NOT(AND(ISNUMBER(E61),ISNUMBER(F61))),$J$2=""),13&gt;MAX(1,Reprogramaciones!$U$15)),"",IF(Reprogramaciones!W$12&gt;=7,"",IF(OR(CF61-N(CE61)&gt;0.05,N(AC61)&gt;0),ROUNDDOWN(ROUND(CF61,6),0)&amp;"%"&amp;IF(CV61="",""," / "&amp;CV61&amp;"%"),IF(AND(N(CE61)&gt;=99.95,CV61&lt;&gt;"",N(CV61)&lt;100),"Pend. "&amp;CV61&amp;"%",""))))</f>
        <v/>
      </c>
      <c r="AZ61" s="40" t="str">
        <f aca="false">IF(OR(OR(NOT(AND(ISNUMBER(E61),ISNUMBER(F61))),$J$2=""),14&gt;MAX(1,Reprogramaciones!$U$15)),"",IF(Reprogramaciones!X$12&gt;=7,"",IF(OR(CG61-N(CF61)&gt;0.05,N(AD61)&gt;0),ROUNDDOWN(ROUND(CG61,6),0)&amp;"%"&amp;IF(CW61="",""," / "&amp;CW61&amp;"%"),IF(AND(N(CF61)&gt;=99.95,CW61&lt;&gt;"",N(CW61)&lt;100),"Pend. "&amp;CW61&amp;"%",""))))</f>
        <v/>
      </c>
      <c r="BA61" s="40" t="str">
        <f aca="false">IF(OR(OR(NOT(AND(ISNUMBER(E61),ISNUMBER(F61))),$J$2=""),15&gt;MAX(1,Reprogramaciones!$U$15)),"",IF(Reprogramaciones!Y$12&gt;=7,"",IF(OR(CH61-N(CG61)&gt;0.05,N(AE61)&gt;0),ROUNDDOWN(ROUND(CH61,6),0)&amp;"%"&amp;IF(CX61="",""," / "&amp;CX61&amp;"%"),IF(AND(N(CG61)&gt;=99.95,CX61&lt;&gt;"",N(CX61)&lt;100),"Pend. "&amp;CX61&amp;"%",""))))</f>
        <v/>
      </c>
      <c r="BB61" s="40" t="str">
        <f aca="false">IF(OR(OR(NOT(AND(ISNUMBER(E61),ISNUMBER(F61))),$J$2=""),16&gt;MAX(1,Reprogramaciones!$U$15)),"",IF(Reprogramaciones!Z$12&gt;=7,"",IF(OR(CI61-N(CH61)&gt;0.05,N(AF61)&gt;0),ROUNDDOWN(ROUND(CI61,6),0)&amp;"%"&amp;IF(CY61="",""," / "&amp;CY61&amp;"%"),IF(AND(N(CH61)&gt;=99.95,CY61&lt;&gt;"",N(CY61)&lt;100),"Pend. "&amp;CY61&amp;"%",""))))</f>
        <v/>
      </c>
      <c r="BC61" s="31" t="n">
        <f aca="false">IF(AND(ISNUMBER(E61),ISNUMBER(F61)),MAX(1,NETWORKDAYS.INTL(E61,F61,11)),0)</f>
        <v>0</v>
      </c>
      <c r="BD61" s="1" t="str">
        <f aca="false">IF(OR(NOT(AND(ISNUMBER(E61),ISNUMBER(F61))),$J$2=""),"",MIN(100,ROUND(SUM($G61:G61),1)))</f>
        <v/>
      </c>
      <c r="BE61" s="1" t="str">
        <f aca="false">IF(OR(NOT(AND(ISNUMBER(E61),ISNUMBER(F61))),$J$2=""),"",MIN(100,ROUND(SUM($G61:H61),1)))</f>
        <v/>
      </c>
      <c r="BF61" s="1" t="str">
        <f aca="false">IF(OR(NOT(AND(ISNUMBER(E61),ISNUMBER(F61))),$J$2=""),"",MIN(100,ROUND(SUM($G61:I61),1)))</f>
        <v/>
      </c>
      <c r="BG61" s="1" t="str">
        <f aca="false">IF(OR(NOT(AND(ISNUMBER(E61),ISNUMBER(F61))),$J$2=""),"",MIN(100,ROUND(SUM($G61:J61),1)))</f>
        <v/>
      </c>
      <c r="BH61" s="1" t="str">
        <f aca="false">IF(OR(NOT(AND(ISNUMBER(E61),ISNUMBER(F61))),$J$2=""),"",MIN(100,ROUND(SUM($G61:K61),1)))</f>
        <v/>
      </c>
      <c r="BI61" s="1" t="str">
        <f aca="false">IF(OR(NOT(AND(ISNUMBER(E61),ISNUMBER(F61))),$J$2=""),"",MIN(100,ROUND(SUM($G61:L61),1)))</f>
        <v/>
      </c>
      <c r="BJ61" s="1" t="str">
        <f aca="false">IF(OR(NOT(AND(ISNUMBER(E61),ISNUMBER(F61))),$J$2=""),"",MIN(100,ROUND(SUM($G61:M61),1)))</f>
        <v/>
      </c>
      <c r="BK61" s="1" t="str">
        <f aca="false">IF(OR(NOT(AND(ISNUMBER(E61),ISNUMBER(F61))),$J$2=""),"",MIN(100,ROUND(SUM($G61:N61),1)))</f>
        <v/>
      </c>
      <c r="BL61" s="1" t="str">
        <f aca="false">IF(OR(NOT(AND(ISNUMBER(E61),ISNUMBER(F61))),$J$2=""),"",MIN(100,ROUND(SUM($G61:O61),1)))</f>
        <v/>
      </c>
      <c r="BM61" s="1" t="str">
        <f aca="false">IF(OR(NOT(AND(ISNUMBER(E61),ISNUMBER(F61))),$J$2=""),"",MIN(100,ROUND(SUM($G61:P61),1)))</f>
        <v/>
      </c>
      <c r="BN61" s="1" t="str">
        <f aca="false">IF(OR(NOT(AND(ISNUMBER(E61),ISNUMBER(F61))),$J$2=""),"",MIN(100,ROUND(SUM($G61:P61),1)))</f>
        <v/>
      </c>
      <c r="BO61" s="1" t="str">
        <f aca="false">IF(OR(NOT(AND(ISNUMBER(E61),ISNUMBER(F61))),$J$2=""),"",MIN(100,ROUND(SUM($G61:P61),1)))</f>
        <v/>
      </c>
      <c r="BP61" s="1" t="str">
        <f aca="false">IF(OR(NOT(AND(ISNUMBER(E61),ISNUMBER(F61))),$J$2=""),"",MIN(100,ROUND(SUM($G61:P61),1)))</f>
        <v/>
      </c>
      <c r="BQ61" s="1" t="str">
        <f aca="false">IF(OR(NOT(AND(ISNUMBER(E61),ISNUMBER(F61))),$J$2=""),"",MIN(100,ROUND(SUM($G61:P61),1)))</f>
        <v/>
      </c>
      <c r="BR61" s="1" t="str">
        <f aca="false">IF(OR(NOT(AND(ISNUMBER(E61),ISNUMBER(F61))),$J$2=""),"",MIN(100,ROUND(SUM($G61:P61),1)))</f>
        <v/>
      </c>
      <c r="BS61" s="1" t="str">
        <f aca="false">IF(OR(NOT(AND(ISNUMBER(E61),ISNUMBER(F61))),$J$2=""),"",MIN(100,ROUND(SUM($G61:P61),1)))</f>
        <v/>
      </c>
      <c r="BT61" s="1" t="str">
        <f aca="false">IF(OR(NOT(AND(ISNUMBER(E61),ISNUMBER(F61))),$J$2=""),"",IF(Reprogramaciones!K$13&lt;Reprogramaciones!$T$15,0,IF(Reprogramaciones!K$14&gt;10,MIN(100,SUM($G61:$P61)),MIN(100,SUMPRODUCT((COLUMN($G61:$P61)-COLUMN($G61)+1&lt;Reprogramaciones!K$14)*$G61:$P61)+N(INDEX($G61:$P61,1,Reprogramaciones!K$14))*IF(Reprogramaciones!K$13&gt;=(Reprogramaciones!$T$15+7*(Reprogramaciones!K$14-1))+6,1,IF(MAX(0,NETWORKDAYS.INTL(MAX(E61,(Reprogramaciones!$T$15+7*(Reprogramaciones!K$14-1))),MIN(F61,(Reprogramaciones!$T$15+7*(Reprogramaciones!K$14-1))+6),11))=0,0,MAX(0,NETWORKDAYS.INTL(MAX(E61,(Reprogramaciones!$T$15+7*(Reprogramaciones!K$14-1))),MIN(F61,Reprogramaciones!K$13),11))/MAX(0,NETWORKDAYS.INTL(MAX(E61,(Reprogramaciones!$T$15+7*(Reprogramaciones!K$14-1))),MIN(F61,(Reprogramaciones!$T$15+7*(Reprogramaciones!K$14-1))+6),11))))))))</f>
        <v/>
      </c>
      <c r="BU61" s="1" t="str">
        <f aca="false">IF(OR(NOT(AND(ISNUMBER(E61),ISNUMBER(F61))),$J$2=""),"",IF(Reprogramaciones!L$13&lt;Reprogramaciones!$T$15,0,IF(Reprogramaciones!L$14&gt;10,MIN(100,SUM($G61:$P61)),MIN(100,SUMPRODUCT((COLUMN($G61:$P61)-COLUMN($G61)+1&lt;Reprogramaciones!L$14)*$G61:$P61)+N(INDEX($G61:$P61,1,Reprogramaciones!L$14))*IF(Reprogramaciones!L$13&gt;=(Reprogramaciones!$T$15+7*(Reprogramaciones!L$14-1))+6,1,IF(MAX(0,NETWORKDAYS.INTL(MAX(E61,(Reprogramaciones!$T$15+7*(Reprogramaciones!L$14-1))),MIN(F61,(Reprogramaciones!$T$15+7*(Reprogramaciones!L$14-1))+6),11))=0,0,MAX(0,NETWORKDAYS.INTL(MAX(E61,(Reprogramaciones!$T$15+7*(Reprogramaciones!L$14-1))),MIN(F61,Reprogramaciones!L$13),11))/MAX(0,NETWORKDAYS.INTL(MAX(E61,(Reprogramaciones!$T$15+7*(Reprogramaciones!L$14-1))),MIN(F61,(Reprogramaciones!$T$15+7*(Reprogramaciones!L$14-1))+6),11))))))))</f>
        <v/>
      </c>
      <c r="BV61" s="1" t="str">
        <f aca="false">IF(OR(NOT(AND(ISNUMBER(E61),ISNUMBER(F61))),$J$2=""),"",IF(Reprogramaciones!M$13&lt;Reprogramaciones!$T$15,0,IF(Reprogramaciones!M$14&gt;10,MIN(100,SUM($G61:$P61)),MIN(100,SUMPRODUCT((COLUMN($G61:$P61)-COLUMN($G61)+1&lt;Reprogramaciones!M$14)*$G61:$P61)+N(INDEX($G61:$P61,1,Reprogramaciones!M$14))*IF(Reprogramaciones!M$13&gt;=(Reprogramaciones!$T$15+7*(Reprogramaciones!M$14-1))+6,1,IF(MAX(0,NETWORKDAYS.INTL(MAX(E61,(Reprogramaciones!$T$15+7*(Reprogramaciones!M$14-1))),MIN(F61,(Reprogramaciones!$T$15+7*(Reprogramaciones!M$14-1))+6),11))=0,0,MAX(0,NETWORKDAYS.INTL(MAX(E61,(Reprogramaciones!$T$15+7*(Reprogramaciones!M$14-1))),MIN(F61,Reprogramaciones!M$13),11))/MAX(0,NETWORKDAYS.INTL(MAX(E61,(Reprogramaciones!$T$15+7*(Reprogramaciones!M$14-1))),MIN(F61,(Reprogramaciones!$T$15+7*(Reprogramaciones!M$14-1))+6),11))))))))</f>
        <v/>
      </c>
      <c r="BW61" s="1" t="str">
        <f aca="false">IF(OR(NOT(AND(ISNUMBER(E61),ISNUMBER(F61))),$J$2=""),"",IF(Reprogramaciones!N$13&lt;Reprogramaciones!$T$15,0,IF(Reprogramaciones!N$14&gt;10,MIN(100,SUM($G61:$P61)),MIN(100,SUMPRODUCT((COLUMN($G61:$P61)-COLUMN($G61)+1&lt;Reprogramaciones!N$14)*$G61:$P61)+N(INDEX($G61:$P61,1,Reprogramaciones!N$14))*IF(Reprogramaciones!N$13&gt;=(Reprogramaciones!$T$15+7*(Reprogramaciones!N$14-1))+6,1,IF(MAX(0,NETWORKDAYS.INTL(MAX(E61,(Reprogramaciones!$T$15+7*(Reprogramaciones!N$14-1))),MIN(F61,(Reprogramaciones!$T$15+7*(Reprogramaciones!N$14-1))+6),11))=0,0,MAX(0,NETWORKDAYS.INTL(MAX(E61,(Reprogramaciones!$T$15+7*(Reprogramaciones!N$14-1))),MIN(F61,Reprogramaciones!N$13),11))/MAX(0,NETWORKDAYS.INTL(MAX(E61,(Reprogramaciones!$T$15+7*(Reprogramaciones!N$14-1))),MIN(F61,(Reprogramaciones!$T$15+7*(Reprogramaciones!N$14-1))+6),11))))))))</f>
        <v/>
      </c>
      <c r="BX61" s="1" t="str">
        <f aca="false">IF(OR(NOT(AND(ISNUMBER(E61),ISNUMBER(F61))),$J$2=""),"",IF(Reprogramaciones!O$13&lt;Reprogramaciones!$T$15,0,IF(Reprogramaciones!O$14&gt;10,MIN(100,SUM($G61:$P61)),MIN(100,SUMPRODUCT((COLUMN($G61:$P61)-COLUMN($G61)+1&lt;Reprogramaciones!O$14)*$G61:$P61)+N(INDEX($G61:$P61,1,Reprogramaciones!O$14))*IF(Reprogramaciones!O$13&gt;=(Reprogramaciones!$T$15+7*(Reprogramaciones!O$14-1))+6,1,IF(MAX(0,NETWORKDAYS.INTL(MAX(E61,(Reprogramaciones!$T$15+7*(Reprogramaciones!O$14-1))),MIN(F61,(Reprogramaciones!$T$15+7*(Reprogramaciones!O$14-1))+6),11))=0,0,MAX(0,NETWORKDAYS.INTL(MAX(E61,(Reprogramaciones!$T$15+7*(Reprogramaciones!O$14-1))),MIN(F61,Reprogramaciones!O$13),11))/MAX(0,NETWORKDAYS.INTL(MAX(E61,(Reprogramaciones!$T$15+7*(Reprogramaciones!O$14-1))),MIN(F61,(Reprogramaciones!$T$15+7*(Reprogramaciones!O$14-1))+6),11))))))))</f>
        <v/>
      </c>
      <c r="BY61" s="1" t="str">
        <f aca="false">IF(OR(NOT(AND(ISNUMBER(E61),ISNUMBER(F61))),$J$2=""),"",IF(Reprogramaciones!P$13&lt;Reprogramaciones!$T$15,0,IF(Reprogramaciones!P$14&gt;10,MIN(100,SUM($G61:$P61)),MIN(100,SUMPRODUCT((COLUMN($G61:$P61)-COLUMN($G61)+1&lt;Reprogramaciones!P$14)*$G61:$P61)+N(INDEX($G61:$P61,1,Reprogramaciones!P$14))*IF(Reprogramaciones!P$13&gt;=(Reprogramaciones!$T$15+7*(Reprogramaciones!P$14-1))+6,1,IF(MAX(0,NETWORKDAYS.INTL(MAX(E61,(Reprogramaciones!$T$15+7*(Reprogramaciones!P$14-1))),MIN(F61,(Reprogramaciones!$T$15+7*(Reprogramaciones!P$14-1))+6),11))=0,0,MAX(0,NETWORKDAYS.INTL(MAX(E61,(Reprogramaciones!$T$15+7*(Reprogramaciones!P$14-1))),MIN(F61,Reprogramaciones!P$13),11))/MAX(0,NETWORKDAYS.INTL(MAX(E61,(Reprogramaciones!$T$15+7*(Reprogramaciones!P$14-1))),MIN(F61,(Reprogramaciones!$T$15+7*(Reprogramaciones!P$14-1))+6),11))))))))</f>
        <v/>
      </c>
      <c r="BZ61" s="1" t="str">
        <f aca="false">IF(OR(NOT(AND(ISNUMBER(E61),ISNUMBER(F61))),$J$2=""),"",IF(Reprogramaciones!Q$13&lt;Reprogramaciones!$T$15,0,IF(Reprogramaciones!Q$14&gt;10,MIN(100,SUM($G61:$P61)),MIN(100,SUMPRODUCT((COLUMN($G61:$P61)-COLUMN($G61)+1&lt;Reprogramaciones!Q$14)*$G61:$P61)+N(INDEX($G61:$P61,1,Reprogramaciones!Q$14))*IF(Reprogramaciones!Q$13&gt;=(Reprogramaciones!$T$15+7*(Reprogramaciones!Q$14-1))+6,1,IF(MAX(0,NETWORKDAYS.INTL(MAX(E61,(Reprogramaciones!$T$15+7*(Reprogramaciones!Q$14-1))),MIN(F61,(Reprogramaciones!$T$15+7*(Reprogramaciones!Q$14-1))+6),11))=0,0,MAX(0,NETWORKDAYS.INTL(MAX(E61,(Reprogramaciones!$T$15+7*(Reprogramaciones!Q$14-1))),MIN(F61,Reprogramaciones!Q$13),11))/MAX(0,NETWORKDAYS.INTL(MAX(E61,(Reprogramaciones!$T$15+7*(Reprogramaciones!Q$14-1))),MIN(F61,(Reprogramaciones!$T$15+7*(Reprogramaciones!Q$14-1))+6),11))))))))</f>
        <v/>
      </c>
      <c r="CA61" s="1" t="str">
        <f aca="false">IF(OR(NOT(AND(ISNUMBER(E61),ISNUMBER(F61))),$J$2=""),"",IF(Reprogramaciones!R$13&lt;Reprogramaciones!$T$15,0,IF(Reprogramaciones!R$14&gt;10,MIN(100,SUM($G61:$P61)),MIN(100,SUMPRODUCT((COLUMN($G61:$P61)-COLUMN($G61)+1&lt;Reprogramaciones!R$14)*$G61:$P61)+N(INDEX($G61:$P61,1,Reprogramaciones!R$14))*IF(Reprogramaciones!R$13&gt;=(Reprogramaciones!$T$15+7*(Reprogramaciones!R$14-1))+6,1,IF(MAX(0,NETWORKDAYS.INTL(MAX(E61,(Reprogramaciones!$T$15+7*(Reprogramaciones!R$14-1))),MIN(F61,(Reprogramaciones!$T$15+7*(Reprogramaciones!R$14-1))+6),11))=0,0,MAX(0,NETWORKDAYS.INTL(MAX(E61,(Reprogramaciones!$T$15+7*(Reprogramaciones!R$14-1))),MIN(F61,Reprogramaciones!R$13),11))/MAX(0,NETWORKDAYS.INTL(MAX(E61,(Reprogramaciones!$T$15+7*(Reprogramaciones!R$14-1))),MIN(F61,(Reprogramaciones!$T$15+7*(Reprogramaciones!R$14-1))+6),11))))))))</f>
        <v/>
      </c>
      <c r="CB61" s="1" t="str">
        <f aca="false">IF(OR(NOT(AND(ISNUMBER(E61),ISNUMBER(F61))),$J$2=""),"",IF(Reprogramaciones!S$13&lt;Reprogramaciones!$T$15,0,IF(Reprogramaciones!S$14&gt;10,MIN(100,SUM($G61:$P61)),MIN(100,SUMPRODUCT((COLUMN($G61:$P61)-COLUMN($G61)+1&lt;Reprogramaciones!S$14)*$G61:$P61)+N(INDEX($G61:$P61,1,Reprogramaciones!S$14))*IF(Reprogramaciones!S$13&gt;=(Reprogramaciones!$T$15+7*(Reprogramaciones!S$14-1))+6,1,IF(MAX(0,NETWORKDAYS.INTL(MAX(E61,(Reprogramaciones!$T$15+7*(Reprogramaciones!S$14-1))),MIN(F61,(Reprogramaciones!$T$15+7*(Reprogramaciones!S$14-1))+6),11))=0,0,MAX(0,NETWORKDAYS.INTL(MAX(E61,(Reprogramaciones!$T$15+7*(Reprogramaciones!S$14-1))),MIN(F61,Reprogramaciones!S$13),11))/MAX(0,NETWORKDAYS.INTL(MAX(E61,(Reprogramaciones!$T$15+7*(Reprogramaciones!S$14-1))),MIN(F61,(Reprogramaciones!$T$15+7*(Reprogramaciones!S$14-1))+6),11))))))))</f>
        <v/>
      </c>
      <c r="CC61" s="1" t="str">
        <f aca="false">IF(OR(NOT(AND(ISNUMBER(E61),ISNUMBER(F61))),$J$2=""),"",IF(Reprogramaciones!T$13&lt;Reprogramaciones!$T$15,0,IF(Reprogramaciones!T$14&gt;10,MIN(100,SUM($G61:$P61)),MIN(100,SUMPRODUCT((COLUMN($G61:$P61)-COLUMN($G61)+1&lt;Reprogramaciones!T$14)*$G61:$P61)+N(INDEX($G61:$P61,1,Reprogramaciones!T$14))*IF(Reprogramaciones!T$13&gt;=(Reprogramaciones!$T$15+7*(Reprogramaciones!T$14-1))+6,1,IF(MAX(0,NETWORKDAYS.INTL(MAX(E61,(Reprogramaciones!$T$15+7*(Reprogramaciones!T$14-1))),MIN(F61,(Reprogramaciones!$T$15+7*(Reprogramaciones!T$14-1))+6),11))=0,0,MAX(0,NETWORKDAYS.INTL(MAX(E61,(Reprogramaciones!$T$15+7*(Reprogramaciones!T$14-1))),MIN(F61,Reprogramaciones!T$13),11))/MAX(0,NETWORKDAYS.INTL(MAX(E61,(Reprogramaciones!$T$15+7*(Reprogramaciones!T$14-1))),MIN(F61,(Reprogramaciones!$T$15+7*(Reprogramaciones!T$14-1))+6),11))))))))</f>
        <v/>
      </c>
      <c r="CD61" s="1" t="str">
        <f aca="false">IF(OR(NOT(AND(ISNUMBER(E61),ISNUMBER(F61))),$J$2=""),"",IF(Reprogramaciones!U$13&lt;Reprogramaciones!$T$15,0,IF(Reprogramaciones!U$14&gt;10,MIN(100,SUM($G61:$P61)),MIN(100,SUMPRODUCT((COLUMN($G61:$P61)-COLUMN($G61)+1&lt;Reprogramaciones!U$14)*$G61:$P61)+N(INDEX($G61:$P61,1,Reprogramaciones!U$14))*IF(Reprogramaciones!U$13&gt;=(Reprogramaciones!$T$15+7*(Reprogramaciones!U$14-1))+6,1,IF(MAX(0,NETWORKDAYS.INTL(MAX(E61,(Reprogramaciones!$T$15+7*(Reprogramaciones!U$14-1))),MIN(F61,(Reprogramaciones!$T$15+7*(Reprogramaciones!U$14-1))+6),11))=0,0,MAX(0,NETWORKDAYS.INTL(MAX(E61,(Reprogramaciones!$T$15+7*(Reprogramaciones!U$14-1))),MIN(F61,Reprogramaciones!U$13),11))/MAX(0,NETWORKDAYS.INTL(MAX(E61,(Reprogramaciones!$T$15+7*(Reprogramaciones!U$14-1))),MIN(F61,(Reprogramaciones!$T$15+7*(Reprogramaciones!U$14-1))+6),11))))))))</f>
        <v/>
      </c>
      <c r="CE61" s="1" t="str">
        <f aca="false">IF(OR(NOT(AND(ISNUMBER(E61),ISNUMBER(F61))),$J$2=""),"",IF(Reprogramaciones!V$13&lt;Reprogramaciones!$T$15,0,IF(Reprogramaciones!V$14&gt;10,MIN(100,SUM($G61:$P61)),MIN(100,SUMPRODUCT((COLUMN($G61:$P61)-COLUMN($G61)+1&lt;Reprogramaciones!V$14)*$G61:$P61)+N(INDEX($G61:$P61,1,Reprogramaciones!V$14))*IF(Reprogramaciones!V$13&gt;=(Reprogramaciones!$T$15+7*(Reprogramaciones!V$14-1))+6,1,IF(MAX(0,NETWORKDAYS.INTL(MAX(E61,(Reprogramaciones!$T$15+7*(Reprogramaciones!V$14-1))),MIN(F61,(Reprogramaciones!$T$15+7*(Reprogramaciones!V$14-1))+6),11))=0,0,MAX(0,NETWORKDAYS.INTL(MAX(E61,(Reprogramaciones!$T$15+7*(Reprogramaciones!V$14-1))),MIN(F61,Reprogramaciones!V$13),11))/MAX(0,NETWORKDAYS.INTL(MAX(E61,(Reprogramaciones!$T$15+7*(Reprogramaciones!V$14-1))),MIN(F61,(Reprogramaciones!$T$15+7*(Reprogramaciones!V$14-1))+6),11))))))))</f>
        <v/>
      </c>
      <c r="CF61" s="1" t="str">
        <f aca="false">IF(OR(NOT(AND(ISNUMBER(E61),ISNUMBER(F61))),$J$2=""),"",IF(Reprogramaciones!W$13&lt;Reprogramaciones!$T$15,0,IF(Reprogramaciones!W$14&gt;10,MIN(100,SUM($G61:$P61)),MIN(100,SUMPRODUCT((COLUMN($G61:$P61)-COLUMN($G61)+1&lt;Reprogramaciones!W$14)*$G61:$P61)+N(INDEX($G61:$P61,1,Reprogramaciones!W$14))*IF(Reprogramaciones!W$13&gt;=(Reprogramaciones!$T$15+7*(Reprogramaciones!W$14-1))+6,1,IF(MAX(0,NETWORKDAYS.INTL(MAX(E61,(Reprogramaciones!$T$15+7*(Reprogramaciones!W$14-1))),MIN(F61,(Reprogramaciones!$T$15+7*(Reprogramaciones!W$14-1))+6),11))=0,0,MAX(0,NETWORKDAYS.INTL(MAX(E61,(Reprogramaciones!$T$15+7*(Reprogramaciones!W$14-1))),MIN(F61,Reprogramaciones!W$13),11))/MAX(0,NETWORKDAYS.INTL(MAX(E61,(Reprogramaciones!$T$15+7*(Reprogramaciones!W$14-1))),MIN(F61,(Reprogramaciones!$T$15+7*(Reprogramaciones!W$14-1))+6),11))))))))</f>
        <v/>
      </c>
      <c r="CG61" s="1" t="str">
        <f aca="false">IF(OR(NOT(AND(ISNUMBER(E61),ISNUMBER(F61))),$J$2=""),"",IF(Reprogramaciones!X$13&lt;Reprogramaciones!$T$15,0,IF(Reprogramaciones!X$14&gt;10,MIN(100,SUM($G61:$P61)),MIN(100,SUMPRODUCT((COLUMN($G61:$P61)-COLUMN($G61)+1&lt;Reprogramaciones!X$14)*$G61:$P61)+N(INDEX($G61:$P61,1,Reprogramaciones!X$14))*IF(Reprogramaciones!X$13&gt;=(Reprogramaciones!$T$15+7*(Reprogramaciones!X$14-1))+6,1,IF(MAX(0,NETWORKDAYS.INTL(MAX(E61,(Reprogramaciones!$T$15+7*(Reprogramaciones!X$14-1))),MIN(F61,(Reprogramaciones!$T$15+7*(Reprogramaciones!X$14-1))+6),11))=0,0,MAX(0,NETWORKDAYS.INTL(MAX(E61,(Reprogramaciones!$T$15+7*(Reprogramaciones!X$14-1))),MIN(F61,Reprogramaciones!X$13),11))/MAX(0,NETWORKDAYS.INTL(MAX(E61,(Reprogramaciones!$T$15+7*(Reprogramaciones!X$14-1))),MIN(F61,(Reprogramaciones!$T$15+7*(Reprogramaciones!X$14-1))+6),11))))))))</f>
        <v/>
      </c>
      <c r="CH61" s="1" t="str">
        <f aca="false">IF(OR(NOT(AND(ISNUMBER(E61),ISNUMBER(F61))),$J$2=""),"",IF(Reprogramaciones!Y$13&lt;Reprogramaciones!$T$15,0,IF(Reprogramaciones!Y$14&gt;10,MIN(100,SUM($G61:$P61)),MIN(100,SUMPRODUCT((COLUMN($G61:$P61)-COLUMN($G61)+1&lt;Reprogramaciones!Y$14)*$G61:$P61)+N(INDEX($G61:$P61,1,Reprogramaciones!Y$14))*IF(Reprogramaciones!Y$13&gt;=(Reprogramaciones!$T$15+7*(Reprogramaciones!Y$14-1))+6,1,IF(MAX(0,NETWORKDAYS.INTL(MAX(E61,(Reprogramaciones!$T$15+7*(Reprogramaciones!Y$14-1))),MIN(F61,(Reprogramaciones!$T$15+7*(Reprogramaciones!Y$14-1))+6),11))=0,0,MAX(0,NETWORKDAYS.INTL(MAX(E61,(Reprogramaciones!$T$15+7*(Reprogramaciones!Y$14-1))),MIN(F61,Reprogramaciones!Y$13),11))/MAX(0,NETWORKDAYS.INTL(MAX(E61,(Reprogramaciones!$T$15+7*(Reprogramaciones!Y$14-1))),MIN(F61,(Reprogramaciones!$T$15+7*(Reprogramaciones!Y$14-1))+6),11))))))))</f>
        <v/>
      </c>
      <c r="CI61" s="1" t="str">
        <f aca="false">IF(OR(NOT(AND(ISNUMBER(E61),ISNUMBER(F61))),$J$2=""),"",IF(Reprogramaciones!Z$13&lt;Reprogramaciones!$T$15,0,IF(Reprogramaciones!Z$14&gt;10,MIN(100,SUM($G61:$P61)),MIN(100,SUMPRODUCT((COLUMN($G61:$P61)-COLUMN($G61)+1&lt;Reprogramaciones!Z$14)*$G61:$P61)+N(INDEX($G61:$P61,1,Reprogramaciones!Z$14))*IF(Reprogramaciones!Z$13&gt;=(Reprogramaciones!$T$15+7*(Reprogramaciones!Z$14-1))+6,1,IF(MAX(0,NETWORKDAYS.INTL(MAX(E61,(Reprogramaciones!$T$15+7*(Reprogramaciones!Z$14-1))),MIN(F61,(Reprogramaciones!$T$15+7*(Reprogramaciones!Z$14-1))+6),11))=0,0,MAX(0,NETWORKDAYS.INTL(MAX(E61,(Reprogramaciones!$T$15+7*(Reprogramaciones!Z$14-1))),MIN(F61,Reprogramaciones!Z$13),11))/MAX(0,NETWORKDAYS.INTL(MAX(E61,(Reprogramaciones!$T$15+7*(Reprogramaciones!Z$14-1))),MIN(F61,(Reprogramaciones!$T$15+7*(Reprogramaciones!Z$14-1))+6),11))))))))</f>
        <v/>
      </c>
      <c r="CJ61" s="1" t="str">
        <f aca="false">IF(OR(OR(NOT(AND(ISNUMBER(E61),ISNUMBER(F61))),$J$2=""),1&gt;Reprogramaciones!$K$16),"",IF(ROUND(SUM($Q61:Q61),1)&gt;=99.5,100,MIN(100,ROUND(SUM($Q61:Q61),1))))</f>
        <v/>
      </c>
      <c r="CK61" s="1" t="str">
        <f aca="false">IF(OR(OR(NOT(AND(ISNUMBER(E61),ISNUMBER(F61))),$J$2=""),2&gt;Reprogramaciones!$K$16),"",IF(ROUND(SUM($Q61:R61),1)&gt;=99.5,100,MIN(100,ROUND(SUM($Q61:R61),1))))</f>
        <v/>
      </c>
      <c r="CL61" s="1" t="str">
        <f aca="false">IF(OR(OR(NOT(AND(ISNUMBER(E61),ISNUMBER(F61))),$J$2=""),3&gt;Reprogramaciones!$K$16),"",IF(ROUND(SUM($Q61:S61),1)&gt;=99.5,100,MIN(100,ROUND(SUM($Q61:S61),1))))</f>
        <v/>
      </c>
      <c r="CM61" s="1" t="str">
        <f aca="false">IF(OR(OR(NOT(AND(ISNUMBER(E61),ISNUMBER(F61))),$J$2=""),4&gt;Reprogramaciones!$K$16),"",IF(ROUND(SUM($Q61:T61),1)&gt;=99.5,100,MIN(100,ROUND(SUM($Q61:T61),1))))</f>
        <v/>
      </c>
      <c r="CN61" s="1" t="str">
        <f aca="false">IF(OR(OR(NOT(AND(ISNUMBER(E61),ISNUMBER(F61))),$J$2=""),5&gt;Reprogramaciones!$K$16),"",IF(ROUND(SUM($Q61:U61),1)&gt;=99.5,100,MIN(100,ROUND(SUM($Q61:U61),1))))</f>
        <v/>
      </c>
      <c r="CO61" s="1" t="str">
        <f aca="false">IF(OR(OR(NOT(AND(ISNUMBER(E61),ISNUMBER(F61))),$J$2=""),6&gt;Reprogramaciones!$K$16),"",IF(ROUND(SUM($Q61:V61),1)&gt;=99.5,100,MIN(100,ROUND(SUM($Q61:V61),1))))</f>
        <v/>
      </c>
      <c r="CP61" s="1" t="str">
        <f aca="false">IF(OR(OR(NOT(AND(ISNUMBER(E61),ISNUMBER(F61))),$J$2=""),7&gt;Reprogramaciones!$K$16),"",IF(ROUND(SUM($Q61:W61),1)&gt;=99.5,100,MIN(100,ROUND(SUM($Q61:W61),1))))</f>
        <v/>
      </c>
      <c r="CQ61" s="1" t="str">
        <f aca="false">IF(OR(OR(NOT(AND(ISNUMBER(E61),ISNUMBER(F61))),$J$2=""),8&gt;Reprogramaciones!$K$16),"",IF(ROUND(SUM($Q61:X61),1)&gt;=99.5,100,MIN(100,ROUND(SUM($Q61:X61),1))))</f>
        <v/>
      </c>
      <c r="CR61" s="1" t="str">
        <f aca="false">IF(OR(OR(NOT(AND(ISNUMBER(E61),ISNUMBER(F61))),$J$2=""),9&gt;Reprogramaciones!$K$16),"",IF(ROUND(SUM($Q61:Y61),1)&gt;=99.5,100,MIN(100,ROUND(SUM($Q61:Y61),1))))</f>
        <v/>
      </c>
      <c r="CS61" s="1" t="str">
        <f aca="false">IF(OR(OR(NOT(AND(ISNUMBER(E61),ISNUMBER(F61))),$J$2=""),10&gt;Reprogramaciones!$K$16),"",IF(ROUND(SUM($Q61:Z61),1)&gt;=99.5,100,MIN(100,ROUND(SUM($Q61:Z61),1))))</f>
        <v/>
      </c>
      <c r="CT61" s="1" t="str">
        <f aca="false">IF(OR(OR(NOT(AND(ISNUMBER(E61),ISNUMBER(F61))),$J$2=""),11&gt;Reprogramaciones!$K$16),"",IF(ROUND(SUM($Q61:AA61),1)&gt;=99.5,100,MIN(100,ROUND(SUM($Q61:AA61),1))))</f>
        <v/>
      </c>
      <c r="CU61" s="1" t="str">
        <f aca="false">IF(OR(OR(NOT(AND(ISNUMBER(E61),ISNUMBER(F61))),$J$2=""),12&gt;Reprogramaciones!$K$16),"",IF(ROUND(SUM($Q61:AB61),1)&gt;=99.5,100,MIN(100,ROUND(SUM($Q61:AB61),1))))</f>
        <v/>
      </c>
      <c r="CV61" s="1" t="str">
        <f aca="false">IF(OR(OR(NOT(AND(ISNUMBER(E61),ISNUMBER(F61))),$J$2=""),13&gt;Reprogramaciones!$K$16),"",IF(ROUND(SUM($Q61:AC61),1)&gt;=99.5,100,MIN(100,ROUND(SUM($Q61:AC61),1))))</f>
        <v/>
      </c>
      <c r="CW61" s="1" t="str">
        <f aca="false">IF(OR(OR(NOT(AND(ISNUMBER(E61),ISNUMBER(F61))),$J$2=""),14&gt;Reprogramaciones!$K$16),"",IF(ROUND(SUM($Q61:AD61),1)&gt;=99.5,100,MIN(100,ROUND(SUM($Q61:AD61),1))))</f>
        <v/>
      </c>
      <c r="CX61" s="1" t="str">
        <f aca="false">IF(OR(OR(NOT(AND(ISNUMBER(E61),ISNUMBER(F61))),$J$2=""),15&gt;Reprogramaciones!$K$16),"",IF(ROUND(SUM($Q61:AE61),1)&gt;=99.5,100,MIN(100,ROUND(SUM($Q61:AE61),1))))</f>
        <v/>
      </c>
      <c r="CY61" s="1" t="str">
        <f aca="false">IF(OR(OR(NOT(AND(ISNUMBER(E61),ISNUMBER(F61))),$J$2=""),16&gt;Reprogramaciones!$K$16),"",IF(ROUND(SUM($Q61:AF61),1)&gt;=99.5,100,MIN(100,ROUND(SUM($Q61:AF61),1))))</f>
        <v/>
      </c>
      <c r="CZ61" s="1" t="str">
        <f aca="false">IF(D61&lt;&gt;"",D61,IF(B61&lt;&gt;"","Contractual",CZ60))</f>
        <v>Contractual</v>
      </c>
      <c r="DA61" s="1" t="str">
        <f aca="false">IF(OR(NOT(AND(ISNUMBER(E61),ISNUMBER(F61))),$J$2=""),"",IF(Reprogramaciones!$Q$15&lt;Reprogramaciones!$T$15,0,IF(Reprogramaciones!$S$15&gt;10,MIN(100,SUM($G61:$P61)),MIN(100,SUMPRODUCT((COLUMN($G61:$P61)-COLUMN($G61)+1&lt;Reprogramaciones!$S$15)*$G61:$P61)+N(INDEX($G61:$P61,1,Reprogramaciones!$S$15))*IF(Reprogramaciones!$Q$15&gt;=(Reprogramaciones!$T$15+7*(Reprogramaciones!$S$15-1))+6,1,IF(MAX(0,NETWORKDAYS.INTL(MAX(E61,(Reprogramaciones!$T$15+7*(Reprogramaciones!$S$15-1))),MIN(F61,(Reprogramaciones!$T$15+7*(Reprogramaciones!$S$15-1))+6),11))=0,0,MAX(0,NETWORKDAYS.INTL(MAX(E61,(Reprogramaciones!$T$15+7*(Reprogramaciones!$S$15-1))),MIN(F61,Reprogramaciones!$Q$15),11))/MAX(0,NETWORKDAYS.INTL(MAX(E61,(Reprogramaciones!$T$15+7*(Reprogramaciones!$S$15-1))),MIN(F61,(Reprogramaciones!$T$15+7*(Reprogramaciones!$S$15-1))+6),11))))))))</f>
        <v/>
      </c>
    </row>
    <row r="62" customFormat="false" ht="15" hidden="false" customHeight="false" outlineLevel="0" collapsed="false">
      <c r="A62" s="32"/>
      <c r="B62" s="33"/>
      <c r="C62" s="33"/>
      <c r="D62" s="34"/>
      <c r="E62" s="35"/>
      <c r="F62" s="35"/>
      <c r="G62" s="36" t="str">
        <f aca="false">IF(OR(NOT(AND(ISNUMBER(E62),ISNUMBER(F62))),$J$2=""),"",IF(Reprogramaciones!K$9&lt;E62,0,IF(NETWORKDAYS.INTL(E62,F62,11)=0,IF(Reprogramaciones!K$9&gt;=F62,100,0),ROUND(NETWORKDAYS.INTL(E62,MIN(F62,Reprogramaciones!K$9),11)/NETWORKDAYS.INTL(E62,F62,11)*100,1)))-0)</f>
        <v/>
      </c>
      <c r="H62" s="36" t="str">
        <f aca="false">IF(OR(NOT(AND(ISNUMBER(E62),ISNUMBER(F62))),$J$2=""),"",IF(Reprogramaciones!L$9&lt;E62,0,IF(NETWORKDAYS.INTL(E62,F62,11)=0,IF(Reprogramaciones!L$9&gt;=F62,100,0),ROUND(NETWORKDAYS.INTL(E62,MIN(F62,Reprogramaciones!L$9),11)/NETWORKDAYS.INTL(E62,F62,11)*100,1)))-IF(Reprogramaciones!K$9&lt;E62,0,IF(NETWORKDAYS.INTL(E62,F62,11)=0,IF(Reprogramaciones!K$9&gt;=F62,100,0),ROUND(NETWORKDAYS.INTL(E62,MIN(F62,Reprogramaciones!K$9),11)/NETWORKDAYS.INTL(E62,F62,11)*100,1))))</f>
        <v/>
      </c>
      <c r="I62" s="36" t="str">
        <f aca="false">IF(OR(NOT(AND(ISNUMBER(E62),ISNUMBER(F62))),$J$2=""),"",IF(Reprogramaciones!M$9&lt;E62,0,IF(NETWORKDAYS.INTL(E62,F62,11)=0,IF(Reprogramaciones!M$9&gt;=F62,100,0),ROUND(NETWORKDAYS.INTL(E62,MIN(F62,Reprogramaciones!M$9),11)/NETWORKDAYS.INTL(E62,F62,11)*100,1)))-IF(Reprogramaciones!L$9&lt;E62,0,IF(NETWORKDAYS.INTL(E62,F62,11)=0,IF(Reprogramaciones!L$9&gt;=F62,100,0),ROUND(NETWORKDAYS.INTL(E62,MIN(F62,Reprogramaciones!L$9),11)/NETWORKDAYS.INTL(E62,F62,11)*100,1))))</f>
        <v/>
      </c>
      <c r="J62" s="36" t="str">
        <f aca="false">IF(OR(NOT(AND(ISNUMBER(E62),ISNUMBER(F62))),$J$2=""),"",IF(Reprogramaciones!N$9&lt;E62,0,IF(NETWORKDAYS.INTL(E62,F62,11)=0,IF(Reprogramaciones!N$9&gt;=F62,100,0),ROUND(NETWORKDAYS.INTL(E62,MIN(F62,Reprogramaciones!N$9),11)/NETWORKDAYS.INTL(E62,F62,11)*100,1)))-IF(Reprogramaciones!M$9&lt;E62,0,IF(NETWORKDAYS.INTL(E62,F62,11)=0,IF(Reprogramaciones!M$9&gt;=F62,100,0),ROUND(NETWORKDAYS.INTL(E62,MIN(F62,Reprogramaciones!M$9),11)/NETWORKDAYS.INTL(E62,F62,11)*100,1))))</f>
        <v/>
      </c>
      <c r="K62" s="36" t="str">
        <f aca="false">IF(OR(NOT(AND(ISNUMBER(E62),ISNUMBER(F62))),$J$2=""),"",IF(Reprogramaciones!O$9&lt;E62,0,IF(NETWORKDAYS.INTL(E62,F62,11)=0,IF(Reprogramaciones!O$9&gt;=F62,100,0),ROUND(NETWORKDAYS.INTL(E62,MIN(F62,Reprogramaciones!O$9),11)/NETWORKDAYS.INTL(E62,F62,11)*100,1)))-IF(Reprogramaciones!N$9&lt;E62,0,IF(NETWORKDAYS.INTL(E62,F62,11)=0,IF(Reprogramaciones!N$9&gt;=F62,100,0),ROUND(NETWORKDAYS.INTL(E62,MIN(F62,Reprogramaciones!N$9),11)/NETWORKDAYS.INTL(E62,F62,11)*100,1))))</f>
        <v/>
      </c>
      <c r="L62" s="36" t="str">
        <f aca="false">IF(OR(NOT(AND(ISNUMBER(E62),ISNUMBER(F62))),$J$2=""),"",IF(Reprogramaciones!P$9&lt;E62,0,IF(NETWORKDAYS.INTL(E62,F62,11)=0,IF(Reprogramaciones!P$9&gt;=F62,100,0),ROUND(NETWORKDAYS.INTL(E62,MIN(F62,Reprogramaciones!P$9),11)/NETWORKDAYS.INTL(E62,F62,11)*100,1)))-IF(Reprogramaciones!O$9&lt;E62,0,IF(NETWORKDAYS.INTL(E62,F62,11)=0,IF(Reprogramaciones!O$9&gt;=F62,100,0),ROUND(NETWORKDAYS.INTL(E62,MIN(F62,Reprogramaciones!O$9),11)/NETWORKDAYS.INTL(E62,F62,11)*100,1))))</f>
        <v/>
      </c>
      <c r="M62" s="36" t="str">
        <f aca="false">IF(OR(NOT(AND(ISNUMBER(E62),ISNUMBER(F62))),$J$2=""),"",IF(Reprogramaciones!Q$9&lt;E62,0,IF(NETWORKDAYS.INTL(E62,F62,11)=0,IF(Reprogramaciones!Q$9&gt;=F62,100,0),ROUND(NETWORKDAYS.INTL(E62,MIN(F62,Reprogramaciones!Q$9),11)/NETWORKDAYS.INTL(E62,F62,11)*100,1)))-IF(Reprogramaciones!P$9&lt;E62,0,IF(NETWORKDAYS.INTL(E62,F62,11)=0,IF(Reprogramaciones!P$9&gt;=F62,100,0),ROUND(NETWORKDAYS.INTL(E62,MIN(F62,Reprogramaciones!P$9),11)/NETWORKDAYS.INTL(E62,F62,11)*100,1))))</f>
        <v/>
      </c>
      <c r="N62" s="36" t="str">
        <f aca="false">IF(OR(NOT(AND(ISNUMBER(E62),ISNUMBER(F62))),$J$2=""),"",IF(Reprogramaciones!R$9&lt;E62,0,IF(NETWORKDAYS.INTL(E62,F62,11)=0,IF(Reprogramaciones!R$9&gt;=F62,100,0),ROUND(NETWORKDAYS.INTL(E62,MIN(F62,Reprogramaciones!R$9),11)/NETWORKDAYS.INTL(E62,F62,11)*100,1)))-IF(Reprogramaciones!Q$9&lt;E62,0,IF(NETWORKDAYS.INTL(E62,F62,11)=0,IF(Reprogramaciones!Q$9&gt;=F62,100,0),ROUND(NETWORKDAYS.INTL(E62,MIN(F62,Reprogramaciones!Q$9),11)/NETWORKDAYS.INTL(E62,F62,11)*100,1))))</f>
        <v/>
      </c>
      <c r="O62" s="36" t="str">
        <f aca="false">IF(OR(NOT(AND(ISNUMBER(E62),ISNUMBER(F62))),$J$2=""),"",IF(Reprogramaciones!S$9&lt;E62,0,IF(NETWORKDAYS.INTL(E62,F62,11)=0,IF(Reprogramaciones!S$9&gt;=F62,100,0),ROUND(NETWORKDAYS.INTL(E62,MIN(F62,Reprogramaciones!S$9),11)/NETWORKDAYS.INTL(E62,F62,11)*100,1)))-IF(Reprogramaciones!R$9&lt;E62,0,IF(NETWORKDAYS.INTL(E62,F62,11)=0,IF(Reprogramaciones!R$9&gt;=F62,100,0),ROUND(NETWORKDAYS.INTL(E62,MIN(F62,Reprogramaciones!R$9),11)/NETWORKDAYS.INTL(E62,F62,11)*100,1))))</f>
        <v/>
      </c>
      <c r="P62" s="36" t="str">
        <f aca="false">IF(OR(NOT(AND(ISNUMBER(E62),ISNUMBER(F62))),$J$2=""),"",IF(Reprogramaciones!T$9&lt;E62,0,IF(NETWORKDAYS.INTL(E62,F62,11)=0,IF(Reprogramaciones!T$9&gt;=F62,100,0),ROUND(NETWORKDAYS.INTL(E62,MIN(F62,Reprogramaciones!T$9),11)/NETWORKDAYS.INTL(E62,F62,11)*100,1)))-IF(Reprogramaciones!S$9&lt;E62,0,IF(NETWORKDAYS.INTL(E62,F62,11)=0,IF(Reprogramaciones!S$9&gt;=F62,100,0),ROUND(NETWORKDAYS.INTL(E62,MIN(F62,Reprogramaciones!S$9),11)/NETWORKDAYS.INTL(E62,F62,11)*100,1))))</f>
        <v/>
      </c>
      <c r="Q62" s="37"/>
      <c r="R62" s="37"/>
      <c r="S62" s="37"/>
      <c r="T62" s="37"/>
      <c r="U62" s="37"/>
      <c r="V62" s="37"/>
      <c r="W62" s="37"/>
      <c r="X62" s="37"/>
      <c r="Y62" s="37"/>
      <c r="Z62" s="37"/>
      <c r="AA62" s="37"/>
      <c r="AB62" s="37"/>
      <c r="AC62" s="37"/>
      <c r="AD62" s="37"/>
      <c r="AE62" s="37"/>
      <c r="AF62" s="37"/>
      <c r="AG62" s="38" t="str">
        <f aca="false">IF(AND(ISNUMBER(E62),ISNUMBER(F62)),NETWORKDAYS.INTL(E62,F62,11),"")</f>
        <v/>
      </c>
      <c r="AH62" s="38" t="str">
        <f aca="false">IF(OR(NOT(AND(ISNUMBER(E62),ISNUMBER(F62))),$J$2=""),"",IF(Reprogramaciones!$P$15&lt;Reprogramaciones!$T$15,0,IF(Reprogramaciones!$R$15&gt;10,MIN(100,SUM($G62:$P62)),MIN(100,SUMPRODUCT((COLUMN($G62:$P62)-COLUMN($G62)+1&lt;Reprogramaciones!$R$15)*$G62:$P62)+N(INDEX($G62:$P62,1,Reprogramaciones!$R$15))*IF(Reprogramaciones!$P$15&gt;=(Reprogramaciones!$T$15+7*(Reprogramaciones!$R$15-1))+6,1,IF(MAX(0,NETWORKDAYS.INTL(MAX(E62,(Reprogramaciones!$T$15+7*(Reprogramaciones!$R$15-1))),MIN(F62,(Reprogramaciones!$T$15+7*(Reprogramaciones!$R$15-1))+6),11))=0,0,MAX(0,NETWORKDAYS.INTL(MAX(E62,(Reprogramaciones!$T$15+7*(Reprogramaciones!$R$15-1))),MIN(F62,Reprogramaciones!$P$15),11))/MAX(0,NETWORKDAYS.INTL(MAX(E62,(Reprogramaciones!$T$15+7*(Reprogramaciones!$R$15-1))),MIN(F62,(Reprogramaciones!$T$15+7*(Reprogramaciones!$R$15-1))+6),11))))))))</f>
        <v/>
      </c>
      <c r="AI62" s="38" t="str">
        <f aca="false">IF(COUNT($Q62:$AF62)=0,"",IF(ROUND(SUM($Q62:$AF62),1)&gt;=99.5,100,MIN(100,ROUND(SUM($Q62:$AF62),1))))</f>
        <v/>
      </c>
      <c r="AJ62" s="38" t="str">
        <f aca="false">IF(OR(AH62="",AI62=""),"",AI62-AH62)</f>
        <v/>
      </c>
      <c r="AK62" s="39" t="str">
        <f aca="true">IF(AH62="","",IF(OR(Ficha!$C$10="Suspendida",Ficha!$C$10="Cancelada"),Ficha!$C$10,IF(AND(AI62&lt;&gt;"",N(AI62)&gt;=100),"Completada",IF(AND(E62&gt;TODAY(),N(AI62)=0),"Por iniciar",IF(N(AI62)+0.5&lt;AH62,"Retrasada",IF(N(AI62)+0.5&lt;DA62,IF(Reprogramaciones!$K$15&gt;0,"Al día · Sem "&amp;Reprogramaciones!$K$15&amp;" en curso","Al día · en curso"),"A tiempo"))))))</f>
        <v/>
      </c>
      <c r="AL62" s="39" t="str">
        <f aca="true">IF(AND(A62="",AND(B62="",C62="",E62="",F62="",COUNT(Q62:AF62)=0)),"",IF(AND(B62="",C62="",E62="",F62="",COUNT(Q62:AF62)=0),"Falta la partida o subpartida",IF(AND(A62&lt;&gt;"",COUNTIF($A$6:$A$305,A62)&gt;1),"Ítem repetido",IF(AND(C62="",E62="",F62="",COUNT(Q62:AF62)=0),"Título de partida",IF(OR(E62="",F62=""),"Faltan fechas",IF(OR(ISTEXT(E62),ISTEXT(F62)),"Fecha escrita como texto: usa dd/mm/aaaa",IF(F62&lt;E62,"Fin antes del inicio",IF(IF($J$2="",FALSE(),OR(E62&lt;$J$2,F62&gt;Reprogramaciones!$T$15+69)),"Fuera de las 10 semanas",IF(ABS(SUM(G62:P62)-100)&gt;0.5,"La meta no suma 100%",IF(ROUND(SUM(Q62:AF62),1)&gt;100.5,"El avance pasa de 100%",IF(MIN(Q62:AF62)&lt;0,"Avance negativo",IF(COUNTA(Q62:AF62)&gt;COUNT(Q62:AF62),"Avance escrito como texto",IF(SUMPRODUCT((Q62:AF62&gt;0)*(Q62:AF62&lt;1))&gt;0,"Avance menor a 1: escribe 50, no 50%",IF(SUMPRODUCT(ISNUMBER(Q62:AF62)*(Reprogramaciones!$K$8:$Z$8&gt;TODAY()))&gt;0,"Avance en semana que aún no llega",IF(AND(N(Reprogramaciones!$E$21)&gt;0,F62&gt;Reprogramaciones!$E$21),"Pasa el fin de la obra: registra una reprogramación",IF(AND(N(Reprogramaciones!$E$21)&gt;0,SUMPRODUCT(ISNUMBER(Q62:AF62)*(Reprogramaciones!$K$8:$Z$8&gt;Reprogramaciones!$E$21))&gt;0),"Avance después del fin de la obra: registra una reprogramación por atraso","OK"))))))))))))))))</f>
        <v/>
      </c>
      <c r="AM62" s="40" t="str">
        <f aca="false">IF(OR(OR(NOT(AND(ISNUMBER(E62),ISNUMBER(F62))),$J$2=""),1&gt;MAX(1,Reprogramaciones!$U$15)),"",IF(Reprogramaciones!K$12&gt;=7,"",IF(OR(BT62-N(0)&gt;0.05,N(Q62)&gt;0),ROUNDDOWN(ROUND(BT62,6),0)&amp;"%"&amp;IF(CJ62="",""," / "&amp;CJ62&amp;"%"),IF(AND(N(0)&gt;=99.95,CJ62&lt;&gt;"",N(CJ62)&lt;100),"Pend. "&amp;CJ62&amp;"%",""))))</f>
        <v/>
      </c>
      <c r="AN62" s="40" t="str">
        <f aca="false">IF(OR(OR(NOT(AND(ISNUMBER(E62),ISNUMBER(F62))),$J$2=""),2&gt;MAX(1,Reprogramaciones!$U$15)),"",IF(Reprogramaciones!L$12&gt;=7,"",IF(OR(BU62-N(BT62)&gt;0.05,N(R62)&gt;0),ROUNDDOWN(ROUND(BU62,6),0)&amp;"%"&amp;IF(CK62="",""," / "&amp;CK62&amp;"%"),IF(AND(N(BT62)&gt;=99.95,CK62&lt;&gt;"",N(CK62)&lt;100),"Pend. "&amp;CK62&amp;"%",""))))</f>
        <v/>
      </c>
      <c r="AO62" s="40" t="str">
        <f aca="false">IF(OR(OR(NOT(AND(ISNUMBER(E62),ISNUMBER(F62))),$J$2=""),3&gt;MAX(1,Reprogramaciones!$U$15)),"",IF(Reprogramaciones!M$12&gt;=7,"",IF(OR(BV62-N(BU62)&gt;0.05,N(S62)&gt;0),ROUNDDOWN(ROUND(BV62,6),0)&amp;"%"&amp;IF(CL62="",""," / "&amp;CL62&amp;"%"),IF(AND(N(BU62)&gt;=99.95,CL62&lt;&gt;"",N(CL62)&lt;100),"Pend. "&amp;CL62&amp;"%",""))))</f>
        <v/>
      </c>
      <c r="AP62" s="40" t="str">
        <f aca="false">IF(OR(OR(NOT(AND(ISNUMBER(E62),ISNUMBER(F62))),$J$2=""),4&gt;MAX(1,Reprogramaciones!$U$15)),"",IF(Reprogramaciones!N$12&gt;=7,"",IF(OR(BW62-N(BV62)&gt;0.05,N(T62)&gt;0),ROUNDDOWN(ROUND(BW62,6),0)&amp;"%"&amp;IF(CM62="",""," / "&amp;CM62&amp;"%"),IF(AND(N(BV62)&gt;=99.95,CM62&lt;&gt;"",N(CM62)&lt;100),"Pend. "&amp;CM62&amp;"%",""))))</f>
        <v/>
      </c>
      <c r="AQ62" s="40" t="str">
        <f aca="false">IF(OR(OR(NOT(AND(ISNUMBER(E62),ISNUMBER(F62))),$J$2=""),5&gt;MAX(1,Reprogramaciones!$U$15)),"",IF(Reprogramaciones!O$12&gt;=7,"",IF(OR(BX62-N(BW62)&gt;0.05,N(U62)&gt;0),ROUNDDOWN(ROUND(BX62,6),0)&amp;"%"&amp;IF(CN62="",""," / "&amp;CN62&amp;"%"),IF(AND(N(BW62)&gt;=99.95,CN62&lt;&gt;"",N(CN62)&lt;100),"Pend. "&amp;CN62&amp;"%",""))))</f>
        <v/>
      </c>
      <c r="AR62" s="40" t="str">
        <f aca="false">IF(OR(OR(NOT(AND(ISNUMBER(E62),ISNUMBER(F62))),$J$2=""),6&gt;MAX(1,Reprogramaciones!$U$15)),"",IF(Reprogramaciones!P$12&gt;=7,"",IF(OR(BY62-N(BX62)&gt;0.05,N(V62)&gt;0),ROUNDDOWN(ROUND(BY62,6),0)&amp;"%"&amp;IF(CO62="",""," / "&amp;CO62&amp;"%"),IF(AND(N(BX62)&gt;=99.95,CO62&lt;&gt;"",N(CO62)&lt;100),"Pend. "&amp;CO62&amp;"%",""))))</f>
        <v/>
      </c>
      <c r="AS62" s="40" t="str">
        <f aca="false">IF(OR(OR(NOT(AND(ISNUMBER(E62),ISNUMBER(F62))),$J$2=""),7&gt;MAX(1,Reprogramaciones!$U$15)),"",IF(Reprogramaciones!Q$12&gt;=7,"",IF(OR(BZ62-N(BY62)&gt;0.05,N(W62)&gt;0),ROUNDDOWN(ROUND(BZ62,6),0)&amp;"%"&amp;IF(CP62="",""," / "&amp;CP62&amp;"%"),IF(AND(N(BY62)&gt;=99.95,CP62&lt;&gt;"",N(CP62)&lt;100),"Pend. "&amp;CP62&amp;"%",""))))</f>
        <v/>
      </c>
      <c r="AT62" s="40" t="str">
        <f aca="false">IF(OR(OR(NOT(AND(ISNUMBER(E62),ISNUMBER(F62))),$J$2=""),8&gt;MAX(1,Reprogramaciones!$U$15)),"",IF(Reprogramaciones!R$12&gt;=7,"",IF(OR(CA62-N(BZ62)&gt;0.05,N(X62)&gt;0),ROUNDDOWN(ROUND(CA62,6),0)&amp;"%"&amp;IF(CQ62="",""," / "&amp;CQ62&amp;"%"),IF(AND(N(BZ62)&gt;=99.95,CQ62&lt;&gt;"",N(CQ62)&lt;100),"Pend. "&amp;CQ62&amp;"%",""))))</f>
        <v/>
      </c>
      <c r="AU62" s="40" t="str">
        <f aca="false">IF(OR(OR(NOT(AND(ISNUMBER(E62),ISNUMBER(F62))),$J$2=""),9&gt;MAX(1,Reprogramaciones!$U$15)),"",IF(Reprogramaciones!S$12&gt;=7,"",IF(OR(CB62-N(CA62)&gt;0.05,N(Y62)&gt;0),ROUNDDOWN(ROUND(CB62,6),0)&amp;"%"&amp;IF(CR62="",""," / "&amp;CR62&amp;"%"),IF(AND(N(CA62)&gt;=99.95,CR62&lt;&gt;"",N(CR62)&lt;100),"Pend. "&amp;CR62&amp;"%",""))))</f>
        <v/>
      </c>
      <c r="AV62" s="40" t="str">
        <f aca="false">IF(OR(OR(NOT(AND(ISNUMBER(E62),ISNUMBER(F62))),$J$2=""),10&gt;MAX(1,Reprogramaciones!$U$15)),"",IF(Reprogramaciones!T$12&gt;=7,"",IF(OR(CC62-N(CB62)&gt;0.05,N(Z62)&gt;0),ROUNDDOWN(ROUND(CC62,6),0)&amp;"%"&amp;IF(CS62="",""," / "&amp;CS62&amp;"%"),IF(AND(N(CB62)&gt;=99.95,CS62&lt;&gt;"",N(CS62)&lt;100),"Pend. "&amp;CS62&amp;"%",""))))</f>
        <v/>
      </c>
      <c r="AW62" s="40" t="str">
        <f aca="false">IF(OR(OR(NOT(AND(ISNUMBER(E62),ISNUMBER(F62))),$J$2=""),11&gt;MAX(1,Reprogramaciones!$U$15)),"",IF(Reprogramaciones!U$12&gt;=7,"",IF(OR(CD62-N(CC62)&gt;0.05,N(AA62)&gt;0),ROUNDDOWN(ROUND(CD62,6),0)&amp;"%"&amp;IF(CT62="",""," / "&amp;CT62&amp;"%"),IF(AND(N(CC62)&gt;=99.95,CT62&lt;&gt;"",N(CT62)&lt;100),"Pend. "&amp;CT62&amp;"%",""))))</f>
        <v/>
      </c>
      <c r="AX62" s="40" t="str">
        <f aca="false">IF(OR(OR(NOT(AND(ISNUMBER(E62),ISNUMBER(F62))),$J$2=""),12&gt;MAX(1,Reprogramaciones!$U$15)),"",IF(Reprogramaciones!V$12&gt;=7,"",IF(OR(CE62-N(CD62)&gt;0.05,N(AB62)&gt;0),ROUNDDOWN(ROUND(CE62,6),0)&amp;"%"&amp;IF(CU62="",""," / "&amp;CU62&amp;"%"),IF(AND(N(CD62)&gt;=99.95,CU62&lt;&gt;"",N(CU62)&lt;100),"Pend. "&amp;CU62&amp;"%",""))))</f>
        <v/>
      </c>
      <c r="AY62" s="40" t="str">
        <f aca="false">IF(OR(OR(NOT(AND(ISNUMBER(E62),ISNUMBER(F62))),$J$2=""),13&gt;MAX(1,Reprogramaciones!$U$15)),"",IF(Reprogramaciones!W$12&gt;=7,"",IF(OR(CF62-N(CE62)&gt;0.05,N(AC62)&gt;0),ROUNDDOWN(ROUND(CF62,6),0)&amp;"%"&amp;IF(CV62="",""," / "&amp;CV62&amp;"%"),IF(AND(N(CE62)&gt;=99.95,CV62&lt;&gt;"",N(CV62)&lt;100),"Pend. "&amp;CV62&amp;"%",""))))</f>
        <v/>
      </c>
      <c r="AZ62" s="40" t="str">
        <f aca="false">IF(OR(OR(NOT(AND(ISNUMBER(E62),ISNUMBER(F62))),$J$2=""),14&gt;MAX(1,Reprogramaciones!$U$15)),"",IF(Reprogramaciones!X$12&gt;=7,"",IF(OR(CG62-N(CF62)&gt;0.05,N(AD62)&gt;0),ROUNDDOWN(ROUND(CG62,6),0)&amp;"%"&amp;IF(CW62="",""," / "&amp;CW62&amp;"%"),IF(AND(N(CF62)&gt;=99.95,CW62&lt;&gt;"",N(CW62)&lt;100),"Pend. "&amp;CW62&amp;"%",""))))</f>
        <v/>
      </c>
      <c r="BA62" s="40" t="str">
        <f aca="false">IF(OR(OR(NOT(AND(ISNUMBER(E62),ISNUMBER(F62))),$J$2=""),15&gt;MAX(1,Reprogramaciones!$U$15)),"",IF(Reprogramaciones!Y$12&gt;=7,"",IF(OR(CH62-N(CG62)&gt;0.05,N(AE62)&gt;0),ROUNDDOWN(ROUND(CH62,6),0)&amp;"%"&amp;IF(CX62="",""," / "&amp;CX62&amp;"%"),IF(AND(N(CG62)&gt;=99.95,CX62&lt;&gt;"",N(CX62)&lt;100),"Pend. "&amp;CX62&amp;"%",""))))</f>
        <v/>
      </c>
      <c r="BB62" s="40" t="str">
        <f aca="false">IF(OR(OR(NOT(AND(ISNUMBER(E62),ISNUMBER(F62))),$J$2=""),16&gt;MAX(1,Reprogramaciones!$U$15)),"",IF(Reprogramaciones!Z$12&gt;=7,"",IF(OR(CI62-N(CH62)&gt;0.05,N(AF62)&gt;0),ROUNDDOWN(ROUND(CI62,6),0)&amp;"%"&amp;IF(CY62="",""," / "&amp;CY62&amp;"%"),IF(AND(N(CH62)&gt;=99.95,CY62&lt;&gt;"",N(CY62)&lt;100),"Pend. "&amp;CY62&amp;"%",""))))</f>
        <v/>
      </c>
      <c r="BC62" s="31" t="n">
        <f aca="false">IF(AND(ISNUMBER(E62),ISNUMBER(F62)),MAX(1,NETWORKDAYS.INTL(E62,F62,11)),0)</f>
        <v>0</v>
      </c>
      <c r="BD62" s="1" t="str">
        <f aca="false">IF(OR(NOT(AND(ISNUMBER(E62),ISNUMBER(F62))),$J$2=""),"",MIN(100,ROUND(SUM($G62:G62),1)))</f>
        <v/>
      </c>
      <c r="BE62" s="1" t="str">
        <f aca="false">IF(OR(NOT(AND(ISNUMBER(E62),ISNUMBER(F62))),$J$2=""),"",MIN(100,ROUND(SUM($G62:H62),1)))</f>
        <v/>
      </c>
      <c r="BF62" s="1" t="str">
        <f aca="false">IF(OR(NOT(AND(ISNUMBER(E62),ISNUMBER(F62))),$J$2=""),"",MIN(100,ROUND(SUM($G62:I62),1)))</f>
        <v/>
      </c>
      <c r="BG62" s="1" t="str">
        <f aca="false">IF(OR(NOT(AND(ISNUMBER(E62),ISNUMBER(F62))),$J$2=""),"",MIN(100,ROUND(SUM($G62:J62),1)))</f>
        <v/>
      </c>
      <c r="BH62" s="1" t="str">
        <f aca="false">IF(OR(NOT(AND(ISNUMBER(E62),ISNUMBER(F62))),$J$2=""),"",MIN(100,ROUND(SUM($G62:K62),1)))</f>
        <v/>
      </c>
      <c r="BI62" s="1" t="str">
        <f aca="false">IF(OR(NOT(AND(ISNUMBER(E62),ISNUMBER(F62))),$J$2=""),"",MIN(100,ROUND(SUM($G62:L62),1)))</f>
        <v/>
      </c>
      <c r="BJ62" s="1" t="str">
        <f aca="false">IF(OR(NOT(AND(ISNUMBER(E62),ISNUMBER(F62))),$J$2=""),"",MIN(100,ROUND(SUM($G62:M62),1)))</f>
        <v/>
      </c>
      <c r="BK62" s="1" t="str">
        <f aca="false">IF(OR(NOT(AND(ISNUMBER(E62),ISNUMBER(F62))),$J$2=""),"",MIN(100,ROUND(SUM($G62:N62),1)))</f>
        <v/>
      </c>
      <c r="BL62" s="1" t="str">
        <f aca="false">IF(OR(NOT(AND(ISNUMBER(E62),ISNUMBER(F62))),$J$2=""),"",MIN(100,ROUND(SUM($G62:O62),1)))</f>
        <v/>
      </c>
      <c r="BM62" s="1" t="str">
        <f aca="false">IF(OR(NOT(AND(ISNUMBER(E62),ISNUMBER(F62))),$J$2=""),"",MIN(100,ROUND(SUM($G62:P62),1)))</f>
        <v/>
      </c>
      <c r="BN62" s="1" t="str">
        <f aca="false">IF(OR(NOT(AND(ISNUMBER(E62),ISNUMBER(F62))),$J$2=""),"",MIN(100,ROUND(SUM($G62:P62),1)))</f>
        <v/>
      </c>
      <c r="BO62" s="1" t="str">
        <f aca="false">IF(OR(NOT(AND(ISNUMBER(E62),ISNUMBER(F62))),$J$2=""),"",MIN(100,ROUND(SUM($G62:P62),1)))</f>
        <v/>
      </c>
      <c r="BP62" s="1" t="str">
        <f aca="false">IF(OR(NOT(AND(ISNUMBER(E62),ISNUMBER(F62))),$J$2=""),"",MIN(100,ROUND(SUM($G62:P62),1)))</f>
        <v/>
      </c>
      <c r="BQ62" s="1" t="str">
        <f aca="false">IF(OR(NOT(AND(ISNUMBER(E62),ISNUMBER(F62))),$J$2=""),"",MIN(100,ROUND(SUM($G62:P62),1)))</f>
        <v/>
      </c>
      <c r="BR62" s="1" t="str">
        <f aca="false">IF(OR(NOT(AND(ISNUMBER(E62),ISNUMBER(F62))),$J$2=""),"",MIN(100,ROUND(SUM($G62:P62),1)))</f>
        <v/>
      </c>
      <c r="BS62" s="1" t="str">
        <f aca="false">IF(OR(NOT(AND(ISNUMBER(E62),ISNUMBER(F62))),$J$2=""),"",MIN(100,ROUND(SUM($G62:P62),1)))</f>
        <v/>
      </c>
      <c r="BT62" s="1" t="str">
        <f aca="false">IF(OR(NOT(AND(ISNUMBER(E62),ISNUMBER(F62))),$J$2=""),"",IF(Reprogramaciones!K$13&lt;Reprogramaciones!$T$15,0,IF(Reprogramaciones!K$14&gt;10,MIN(100,SUM($G62:$P62)),MIN(100,SUMPRODUCT((COLUMN($G62:$P62)-COLUMN($G62)+1&lt;Reprogramaciones!K$14)*$G62:$P62)+N(INDEX($G62:$P62,1,Reprogramaciones!K$14))*IF(Reprogramaciones!K$13&gt;=(Reprogramaciones!$T$15+7*(Reprogramaciones!K$14-1))+6,1,IF(MAX(0,NETWORKDAYS.INTL(MAX(E62,(Reprogramaciones!$T$15+7*(Reprogramaciones!K$14-1))),MIN(F62,(Reprogramaciones!$T$15+7*(Reprogramaciones!K$14-1))+6),11))=0,0,MAX(0,NETWORKDAYS.INTL(MAX(E62,(Reprogramaciones!$T$15+7*(Reprogramaciones!K$14-1))),MIN(F62,Reprogramaciones!K$13),11))/MAX(0,NETWORKDAYS.INTL(MAX(E62,(Reprogramaciones!$T$15+7*(Reprogramaciones!K$14-1))),MIN(F62,(Reprogramaciones!$T$15+7*(Reprogramaciones!K$14-1))+6),11))))))))</f>
        <v/>
      </c>
      <c r="BU62" s="1" t="str">
        <f aca="false">IF(OR(NOT(AND(ISNUMBER(E62),ISNUMBER(F62))),$J$2=""),"",IF(Reprogramaciones!L$13&lt;Reprogramaciones!$T$15,0,IF(Reprogramaciones!L$14&gt;10,MIN(100,SUM($G62:$P62)),MIN(100,SUMPRODUCT((COLUMN($G62:$P62)-COLUMN($G62)+1&lt;Reprogramaciones!L$14)*$G62:$P62)+N(INDEX($G62:$P62,1,Reprogramaciones!L$14))*IF(Reprogramaciones!L$13&gt;=(Reprogramaciones!$T$15+7*(Reprogramaciones!L$14-1))+6,1,IF(MAX(0,NETWORKDAYS.INTL(MAX(E62,(Reprogramaciones!$T$15+7*(Reprogramaciones!L$14-1))),MIN(F62,(Reprogramaciones!$T$15+7*(Reprogramaciones!L$14-1))+6),11))=0,0,MAX(0,NETWORKDAYS.INTL(MAX(E62,(Reprogramaciones!$T$15+7*(Reprogramaciones!L$14-1))),MIN(F62,Reprogramaciones!L$13),11))/MAX(0,NETWORKDAYS.INTL(MAX(E62,(Reprogramaciones!$T$15+7*(Reprogramaciones!L$14-1))),MIN(F62,(Reprogramaciones!$T$15+7*(Reprogramaciones!L$14-1))+6),11))))))))</f>
        <v/>
      </c>
      <c r="BV62" s="1" t="str">
        <f aca="false">IF(OR(NOT(AND(ISNUMBER(E62),ISNUMBER(F62))),$J$2=""),"",IF(Reprogramaciones!M$13&lt;Reprogramaciones!$T$15,0,IF(Reprogramaciones!M$14&gt;10,MIN(100,SUM($G62:$P62)),MIN(100,SUMPRODUCT((COLUMN($G62:$P62)-COLUMN($G62)+1&lt;Reprogramaciones!M$14)*$G62:$P62)+N(INDEX($G62:$P62,1,Reprogramaciones!M$14))*IF(Reprogramaciones!M$13&gt;=(Reprogramaciones!$T$15+7*(Reprogramaciones!M$14-1))+6,1,IF(MAX(0,NETWORKDAYS.INTL(MAX(E62,(Reprogramaciones!$T$15+7*(Reprogramaciones!M$14-1))),MIN(F62,(Reprogramaciones!$T$15+7*(Reprogramaciones!M$14-1))+6),11))=0,0,MAX(0,NETWORKDAYS.INTL(MAX(E62,(Reprogramaciones!$T$15+7*(Reprogramaciones!M$14-1))),MIN(F62,Reprogramaciones!M$13),11))/MAX(0,NETWORKDAYS.INTL(MAX(E62,(Reprogramaciones!$T$15+7*(Reprogramaciones!M$14-1))),MIN(F62,(Reprogramaciones!$T$15+7*(Reprogramaciones!M$14-1))+6),11))))))))</f>
        <v/>
      </c>
      <c r="BW62" s="1" t="str">
        <f aca="false">IF(OR(NOT(AND(ISNUMBER(E62),ISNUMBER(F62))),$J$2=""),"",IF(Reprogramaciones!N$13&lt;Reprogramaciones!$T$15,0,IF(Reprogramaciones!N$14&gt;10,MIN(100,SUM($G62:$P62)),MIN(100,SUMPRODUCT((COLUMN($G62:$P62)-COLUMN($G62)+1&lt;Reprogramaciones!N$14)*$G62:$P62)+N(INDEX($G62:$P62,1,Reprogramaciones!N$14))*IF(Reprogramaciones!N$13&gt;=(Reprogramaciones!$T$15+7*(Reprogramaciones!N$14-1))+6,1,IF(MAX(0,NETWORKDAYS.INTL(MAX(E62,(Reprogramaciones!$T$15+7*(Reprogramaciones!N$14-1))),MIN(F62,(Reprogramaciones!$T$15+7*(Reprogramaciones!N$14-1))+6),11))=0,0,MAX(0,NETWORKDAYS.INTL(MAX(E62,(Reprogramaciones!$T$15+7*(Reprogramaciones!N$14-1))),MIN(F62,Reprogramaciones!N$13),11))/MAX(0,NETWORKDAYS.INTL(MAX(E62,(Reprogramaciones!$T$15+7*(Reprogramaciones!N$14-1))),MIN(F62,(Reprogramaciones!$T$15+7*(Reprogramaciones!N$14-1))+6),11))))))))</f>
        <v/>
      </c>
      <c r="BX62" s="1" t="str">
        <f aca="false">IF(OR(NOT(AND(ISNUMBER(E62),ISNUMBER(F62))),$J$2=""),"",IF(Reprogramaciones!O$13&lt;Reprogramaciones!$T$15,0,IF(Reprogramaciones!O$14&gt;10,MIN(100,SUM($G62:$P62)),MIN(100,SUMPRODUCT((COLUMN($G62:$P62)-COLUMN($G62)+1&lt;Reprogramaciones!O$14)*$G62:$P62)+N(INDEX($G62:$P62,1,Reprogramaciones!O$14))*IF(Reprogramaciones!O$13&gt;=(Reprogramaciones!$T$15+7*(Reprogramaciones!O$14-1))+6,1,IF(MAX(0,NETWORKDAYS.INTL(MAX(E62,(Reprogramaciones!$T$15+7*(Reprogramaciones!O$14-1))),MIN(F62,(Reprogramaciones!$T$15+7*(Reprogramaciones!O$14-1))+6),11))=0,0,MAX(0,NETWORKDAYS.INTL(MAX(E62,(Reprogramaciones!$T$15+7*(Reprogramaciones!O$14-1))),MIN(F62,Reprogramaciones!O$13),11))/MAX(0,NETWORKDAYS.INTL(MAX(E62,(Reprogramaciones!$T$15+7*(Reprogramaciones!O$14-1))),MIN(F62,(Reprogramaciones!$T$15+7*(Reprogramaciones!O$14-1))+6),11))))))))</f>
        <v/>
      </c>
      <c r="BY62" s="1" t="str">
        <f aca="false">IF(OR(NOT(AND(ISNUMBER(E62),ISNUMBER(F62))),$J$2=""),"",IF(Reprogramaciones!P$13&lt;Reprogramaciones!$T$15,0,IF(Reprogramaciones!P$14&gt;10,MIN(100,SUM($G62:$P62)),MIN(100,SUMPRODUCT((COLUMN($G62:$P62)-COLUMN($G62)+1&lt;Reprogramaciones!P$14)*$G62:$P62)+N(INDEX($G62:$P62,1,Reprogramaciones!P$14))*IF(Reprogramaciones!P$13&gt;=(Reprogramaciones!$T$15+7*(Reprogramaciones!P$14-1))+6,1,IF(MAX(0,NETWORKDAYS.INTL(MAX(E62,(Reprogramaciones!$T$15+7*(Reprogramaciones!P$14-1))),MIN(F62,(Reprogramaciones!$T$15+7*(Reprogramaciones!P$14-1))+6),11))=0,0,MAX(0,NETWORKDAYS.INTL(MAX(E62,(Reprogramaciones!$T$15+7*(Reprogramaciones!P$14-1))),MIN(F62,Reprogramaciones!P$13),11))/MAX(0,NETWORKDAYS.INTL(MAX(E62,(Reprogramaciones!$T$15+7*(Reprogramaciones!P$14-1))),MIN(F62,(Reprogramaciones!$T$15+7*(Reprogramaciones!P$14-1))+6),11))))))))</f>
        <v/>
      </c>
      <c r="BZ62" s="1" t="str">
        <f aca="false">IF(OR(NOT(AND(ISNUMBER(E62),ISNUMBER(F62))),$J$2=""),"",IF(Reprogramaciones!Q$13&lt;Reprogramaciones!$T$15,0,IF(Reprogramaciones!Q$14&gt;10,MIN(100,SUM($G62:$P62)),MIN(100,SUMPRODUCT((COLUMN($G62:$P62)-COLUMN($G62)+1&lt;Reprogramaciones!Q$14)*$G62:$P62)+N(INDEX($G62:$P62,1,Reprogramaciones!Q$14))*IF(Reprogramaciones!Q$13&gt;=(Reprogramaciones!$T$15+7*(Reprogramaciones!Q$14-1))+6,1,IF(MAX(0,NETWORKDAYS.INTL(MAX(E62,(Reprogramaciones!$T$15+7*(Reprogramaciones!Q$14-1))),MIN(F62,(Reprogramaciones!$T$15+7*(Reprogramaciones!Q$14-1))+6),11))=0,0,MAX(0,NETWORKDAYS.INTL(MAX(E62,(Reprogramaciones!$T$15+7*(Reprogramaciones!Q$14-1))),MIN(F62,Reprogramaciones!Q$13),11))/MAX(0,NETWORKDAYS.INTL(MAX(E62,(Reprogramaciones!$T$15+7*(Reprogramaciones!Q$14-1))),MIN(F62,(Reprogramaciones!$T$15+7*(Reprogramaciones!Q$14-1))+6),11))))))))</f>
        <v/>
      </c>
      <c r="CA62" s="1" t="str">
        <f aca="false">IF(OR(NOT(AND(ISNUMBER(E62),ISNUMBER(F62))),$J$2=""),"",IF(Reprogramaciones!R$13&lt;Reprogramaciones!$T$15,0,IF(Reprogramaciones!R$14&gt;10,MIN(100,SUM($G62:$P62)),MIN(100,SUMPRODUCT((COLUMN($G62:$P62)-COLUMN($G62)+1&lt;Reprogramaciones!R$14)*$G62:$P62)+N(INDEX($G62:$P62,1,Reprogramaciones!R$14))*IF(Reprogramaciones!R$13&gt;=(Reprogramaciones!$T$15+7*(Reprogramaciones!R$14-1))+6,1,IF(MAX(0,NETWORKDAYS.INTL(MAX(E62,(Reprogramaciones!$T$15+7*(Reprogramaciones!R$14-1))),MIN(F62,(Reprogramaciones!$T$15+7*(Reprogramaciones!R$14-1))+6),11))=0,0,MAX(0,NETWORKDAYS.INTL(MAX(E62,(Reprogramaciones!$T$15+7*(Reprogramaciones!R$14-1))),MIN(F62,Reprogramaciones!R$13),11))/MAX(0,NETWORKDAYS.INTL(MAX(E62,(Reprogramaciones!$T$15+7*(Reprogramaciones!R$14-1))),MIN(F62,(Reprogramaciones!$T$15+7*(Reprogramaciones!R$14-1))+6),11))))))))</f>
        <v/>
      </c>
      <c r="CB62" s="1" t="str">
        <f aca="false">IF(OR(NOT(AND(ISNUMBER(E62),ISNUMBER(F62))),$J$2=""),"",IF(Reprogramaciones!S$13&lt;Reprogramaciones!$T$15,0,IF(Reprogramaciones!S$14&gt;10,MIN(100,SUM($G62:$P62)),MIN(100,SUMPRODUCT((COLUMN($G62:$P62)-COLUMN($G62)+1&lt;Reprogramaciones!S$14)*$G62:$P62)+N(INDEX($G62:$P62,1,Reprogramaciones!S$14))*IF(Reprogramaciones!S$13&gt;=(Reprogramaciones!$T$15+7*(Reprogramaciones!S$14-1))+6,1,IF(MAX(0,NETWORKDAYS.INTL(MAX(E62,(Reprogramaciones!$T$15+7*(Reprogramaciones!S$14-1))),MIN(F62,(Reprogramaciones!$T$15+7*(Reprogramaciones!S$14-1))+6),11))=0,0,MAX(0,NETWORKDAYS.INTL(MAX(E62,(Reprogramaciones!$T$15+7*(Reprogramaciones!S$14-1))),MIN(F62,Reprogramaciones!S$13),11))/MAX(0,NETWORKDAYS.INTL(MAX(E62,(Reprogramaciones!$T$15+7*(Reprogramaciones!S$14-1))),MIN(F62,(Reprogramaciones!$T$15+7*(Reprogramaciones!S$14-1))+6),11))))))))</f>
        <v/>
      </c>
      <c r="CC62" s="1" t="str">
        <f aca="false">IF(OR(NOT(AND(ISNUMBER(E62),ISNUMBER(F62))),$J$2=""),"",IF(Reprogramaciones!T$13&lt;Reprogramaciones!$T$15,0,IF(Reprogramaciones!T$14&gt;10,MIN(100,SUM($G62:$P62)),MIN(100,SUMPRODUCT((COLUMN($G62:$P62)-COLUMN($G62)+1&lt;Reprogramaciones!T$14)*$G62:$P62)+N(INDEX($G62:$P62,1,Reprogramaciones!T$14))*IF(Reprogramaciones!T$13&gt;=(Reprogramaciones!$T$15+7*(Reprogramaciones!T$14-1))+6,1,IF(MAX(0,NETWORKDAYS.INTL(MAX(E62,(Reprogramaciones!$T$15+7*(Reprogramaciones!T$14-1))),MIN(F62,(Reprogramaciones!$T$15+7*(Reprogramaciones!T$14-1))+6),11))=0,0,MAX(0,NETWORKDAYS.INTL(MAX(E62,(Reprogramaciones!$T$15+7*(Reprogramaciones!T$14-1))),MIN(F62,Reprogramaciones!T$13),11))/MAX(0,NETWORKDAYS.INTL(MAX(E62,(Reprogramaciones!$T$15+7*(Reprogramaciones!T$14-1))),MIN(F62,(Reprogramaciones!$T$15+7*(Reprogramaciones!T$14-1))+6),11))))))))</f>
        <v/>
      </c>
      <c r="CD62" s="1" t="str">
        <f aca="false">IF(OR(NOT(AND(ISNUMBER(E62),ISNUMBER(F62))),$J$2=""),"",IF(Reprogramaciones!U$13&lt;Reprogramaciones!$T$15,0,IF(Reprogramaciones!U$14&gt;10,MIN(100,SUM($G62:$P62)),MIN(100,SUMPRODUCT((COLUMN($G62:$P62)-COLUMN($G62)+1&lt;Reprogramaciones!U$14)*$G62:$P62)+N(INDEX($G62:$P62,1,Reprogramaciones!U$14))*IF(Reprogramaciones!U$13&gt;=(Reprogramaciones!$T$15+7*(Reprogramaciones!U$14-1))+6,1,IF(MAX(0,NETWORKDAYS.INTL(MAX(E62,(Reprogramaciones!$T$15+7*(Reprogramaciones!U$14-1))),MIN(F62,(Reprogramaciones!$T$15+7*(Reprogramaciones!U$14-1))+6),11))=0,0,MAX(0,NETWORKDAYS.INTL(MAX(E62,(Reprogramaciones!$T$15+7*(Reprogramaciones!U$14-1))),MIN(F62,Reprogramaciones!U$13),11))/MAX(0,NETWORKDAYS.INTL(MAX(E62,(Reprogramaciones!$T$15+7*(Reprogramaciones!U$14-1))),MIN(F62,(Reprogramaciones!$T$15+7*(Reprogramaciones!U$14-1))+6),11))))))))</f>
        <v/>
      </c>
      <c r="CE62" s="1" t="str">
        <f aca="false">IF(OR(NOT(AND(ISNUMBER(E62),ISNUMBER(F62))),$J$2=""),"",IF(Reprogramaciones!V$13&lt;Reprogramaciones!$T$15,0,IF(Reprogramaciones!V$14&gt;10,MIN(100,SUM($G62:$P62)),MIN(100,SUMPRODUCT((COLUMN($G62:$P62)-COLUMN($G62)+1&lt;Reprogramaciones!V$14)*$G62:$P62)+N(INDEX($G62:$P62,1,Reprogramaciones!V$14))*IF(Reprogramaciones!V$13&gt;=(Reprogramaciones!$T$15+7*(Reprogramaciones!V$14-1))+6,1,IF(MAX(0,NETWORKDAYS.INTL(MAX(E62,(Reprogramaciones!$T$15+7*(Reprogramaciones!V$14-1))),MIN(F62,(Reprogramaciones!$T$15+7*(Reprogramaciones!V$14-1))+6),11))=0,0,MAX(0,NETWORKDAYS.INTL(MAX(E62,(Reprogramaciones!$T$15+7*(Reprogramaciones!V$14-1))),MIN(F62,Reprogramaciones!V$13),11))/MAX(0,NETWORKDAYS.INTL(MAX(E62,(Reprogramaciones!$T$15+7*(Reprogramaciones!V$14-1))),MIN(F62,(Reprogramaciones!$T$15+7*(Reprogramaciones!V$14-1))+6),11))))))))</f>
        <v/>
      </c>
      <c r="CF62" s="1" t="str">
        <f aca="false">IF(OR(NOT(AND(ISNUMBER(E62),ISNUMBER(F62))),$J$2=""),"",IF(Reprogramaciones!W$13&lt;Reprogramaciones!$T$15,0,IF(Reprogramaciones!W$14&gt;10,MIN(100,SUM($G62:$P62)),MIN(100,SUMPRODUCT((COLUMN($G62:$P62)-COLUMN($G62)+1&lt;Reprogramaciones!W$14)*$G62:$P62)+N(INDEX($G62:$P62,1,Reprogramaciones!W$14))*IF(Reprogramaciones!W$13&gt;=(Reprogramaciones!$T$15+7*(Reprogramaciones!W$14-1))+6,1,IF(MAX(0,NETWORKDAYS.INTL(MAX(E62,(Reprogramaciones!$T$15+7*(Reprogramaciones!W$14-1))),MIN(F62,(Reprogramaciones!$T$15+7*(Reprogramaciones!W$14-1))+6),11))=0,0,MAX(0,NETWORKDAYS.INTL(MAX(E62,(Reprogramaciones!$T$15+7*(Reprogramaciones!W$14-1))),MIN(F62,Reprogramaciones!W$13),11))/MAX(0,NETWORKDAYS.INTL(MAX(E62,(Reprogramaciones!$T$15+7*(Reprogramaciones!W$14-1))),MIN(F62,(Reprogramaciones!$T$15+7*(Reprogramaciones!W$14-1))+6),11))))))))</f>
        <v/>
      </c>
      <c r="CG62" s="1" t="str">
        <f aca="false">IF(OR(NOT(AND(ISNUMBER(E62),ISNUMBER(F62))),$J$2=""),"",IF(Reprogramaciones!X$13&lt;Reprogramaciones!$T$15,0,IF(Reprogramaciones!X$14&gt;10,MIN(100,SUM($G62:$P62)),MIN(100,SUMPRODUCT((COLUMN($G62:$P62)-COLUMN($G62)+1&lt;Reprogramaciones!X$14)*$G62:$P62)+N(INDEX($G62:$P62,1,Reprogramaciones!X$14))*IF(Reprogramaciones!X$13&gt;=(Reprogramaciones!$T$15+7*(Reprogramaciones!X$14-1))+6,1,IF(MAX(0,NETWORKDAYS.INTL(MAX(E62,(Reprogramaciones!$T$15+7*(Reprogramaciones!X$14-1))),MIN(F62,(Reprogramaciones!$T$15+7*(Reprogramaciones!X$14-1))+6),11))=0,0,MAX(0,NETWORKDAYS.INTL(MAX(E62,(Reprogramaciones!$T$15+7*(Reprogramaciones!X$14-1))),MIN(F62,Reprogramaciones!X$13),11))/MAX(0,NETWORKDAYS.INTL(MAX(E62,(Reprogramaciones!$T$15+7*(Reprogramaciones!X$14-1))),MIN(F62,(Reprogramaciones!$T$15+7*(Reprogramaciones!X$14-1))+6),11))))))))</f>
        <v/>
      </c>
      <c r="CH62" s="1" t="str">
        <f aca="false">IF(OR(NOT(AND(ISNUMBER(E62),ISNUMBER(F62))),$J$2=""),"",IF(Reprogramaciones!Y$13&lt;Reprogramaciones!$T$15,0,IF(Reprogramaciones!Y$14&gt;10,MIN(100,SUM($G62:$P62)),MIN(100,SUMPRODUCT((COLUMN($G62:$P62)-COLUMN($G62)+1&lt;Reprogramaciones!Y$14)*$G62:$P62)+N(INDEX($G62:$P62,1,Reprogramaciones!Y$14))*IF(Reprogramaciones!Y$13&gt;=(Reprogramaciones!$T$15+7*(Reprogramaciones!Y$14-1))+6,1,IF(MAX(0,NETWORKDAYS.INTL(MAX(E62,(Reprogramaciones!$T$15+7*(Reprogramaciones!Y$14-1))),MIN(F62,(Reprogramaciones!$T$15+7*(Reprogramaciones!Y$14-1))+6),11))=0,0,MAX(0,NETWORKDAYS.INTL(MAX(E62,(Reprogramaciones!$T$15+7*(Reprogramaciones!Y$14-1))),MIN(F62,Reprogramaciones!Y$13),11))/MAX(0,NETWORKDAYS.INTL(MAX(E62,(Reprogramaciones!$T$15+7*(Reprogramaciones!Y$14-1))),MIN(F62,(Reprogramaciones!$T$15+7*(Reprogramaciones!Y$14-1))+6),11))))))))</f>
        <v/>
      </c>
      <c r="CI62" s="1" t="str">
        <f aca="false">IF(OR(NOT(AND(ISNUMBER(E62),ISNUMBER(F62))),$J$2=""),"",IF(Reprogramaciones!Z$13&lt;Reprogramaciones!$T$15,0,IF(Reprogramaciones!Z$14&gt;10,MIN(100,SUM($G62:$P62)),MIN(100,SUMPRODUCT((COLUMN($G62:$P62)-COLUMN($G62)+1&lt;Reprogramaciones!Z$14)*$G62:$P62)+N(INDEX($G62:$P62,1,Reprogramaciones!Z$14))*IF(Reprogramaciones!Z$13&gt;=(Reprogramaciones!$T$15+7*(Reprogramaciones!Z$14-1))+6,1,IF(MAX(0,NETWORKDAYS.INTL(MAX(E62,(Reprogramaciones!$T$15+7*(Reprogramaciones!Z$14-1))),MIN(F62,(Reprogramaciones!$T$15+7*(Reprogramaciones!Z$14-1))+6),11))=0,0,MAX(0,NETWORKDAYS.INTL(MAX(E62,(Reprogramaciones!$T$15+7*(Reprogramaciones!Z$14-1))),MIN(F62,Reprogramaciones!Z$13),11))/MAX(0,NETWORKDAYS.INTL(MAX(E62,(Reprogramaciones!$T$15+7*(Reprogramaciones!Z$14-1))),MIN(F62,(Reprogramaciones!$T$15+7*(Reprogramaciones!Z$14-1))+6),11))))))))</f>
        <v/>
      </c>
      <c r="CJ62" s="1" t="str">
        <f aca="false">IF(OR(OR(NOT(AND(ISNUMBER(E62),ISNUMBER(F62))),$J$2=""),1&gt;Reprogramaciones!$K$16),"",IF(ROUND(SUM($Q62:Q62),1)&gt;=99.5,100,MIN(100,ROUND(SUM($Q62:Q62),1))))</f>
        <v/>
      </c>
      <c r="CK62" s="1" t="str">
        <f aca="false">IF(OR(OR(NOT(AND(ISNUMBER(E62),ISNUMBER(F62))),$J$2=""),2&gt;Reprogramaciones!$K$16),"",IF(ROUND(SUM($Q62:R62),1)&gt;=99.5,100,MIN(100,ROUND(SUM($Q62:R62),1))))</f>
        <v/>
      </c>
      <c r="CL62" s="1" t="str">
        <f aca="false">IF(OR(OR(NOT(AND(ISNUMBER(E62),ISNUMBER(F62))),$J$2=""),3&gt;Reprogramaciones!$K$16),"",IF(ROUND(SUM($Q62:S62),1)&gt;=99.5,100,MIN(100,ROUND(SUM($Q62:S62),1))))</f>
        <v/>
      </c>
      <c r="CM62" s="1" t="str">
        <f aca="false">IF(OR(OR(NOT(AND(ISNUMBER(E62),ISNUMBER(F62))),$J$2=""),4&gt;Reprogramaciones!$K$16),"",IF(ROUND(SUM($Q62:T62),1)&gt;=99.5,100,MIN(100,ROUND(SUM($Q62:T62),1))))</f>
        <v/>
      </c>
      <c r="CN62" s="1" t="str">
        <f aca="false">IF(OR(OR(NOT(AND(ISNUMBER(E62),ISNUMBER(F62))),$J$2=""),5&gt;Reprogramaciones!$K$16),"",IF(ROUND(SUM($Q62:U62),1)&gt;=99.5,100,MIN(100,ROUND(SUM($Q62:U62),1))))</f>
        <v/>
      </c>
      <c r="CO62" s="1" t="str">
        <f aca="false">IF(OR(OR(NOT(AND(ISNUMBER(E62),ISNUMBER(F62))),$J$2=""),6&gt;Reprogramaciones!$K$16),"",IF(ROUND(SUM($Q62:V62),1)&gt;=99.5,100,MIN(100,ROUND(SUM($Q62:V62),1))))</f>
        <v/>
      </c>
      <c r="CP62" s="1" t="str">
        <f aca="false">IF(OR(OR(NOT(AND(ISNUMBER(E62),ISNUMBER(F62))),$J$2=""),7&gt;Reprogramaciones!$K$16),"",IF(ROUND(SUM($Q62:W62),1)&gt;=99.5,100,MIN(100,ROUND(SUM($Q62:W62),1))))</f>
        <v/>
      </c>
      <c r="CQ62" s="1" t="str">
        <f aca="false">IF(OR(OR(NOT(AND(ISNUMBER(E62),ISNUMBER(F62))),$J$2=""),8&gt;Reprogramaciones!$K$16),"",IF(ROUND(SUM($Q62:X62),1)&gt;=99.5,100,MIN(100,ROUND(SUM($Q62:X62),1))))</f>
        <v/>
      </c>
      <c r="CR62" s="1" t="str">
        <f aca="false">IF(OR(OR(NOT(AND(ISNUMBER(E62),ISNUMBER(F62))),$J$2=""),9&gt;Reprogramaciones!$K$16),"",IF(ROUND(SUM($Q62:Y62),1)&gt;=99.5,100,MIN(100,ROUND(SUM($Q62:Y62),1))))</f>
        <v/>
      </c>
      <c r="CS62" s="1" t="str">
        <f aca="false">IF(OR(OR(NOT(AND(ISNUMBER(E62),ISNUMBER(F62))),$J$2=""),10&gt;Reprogramaciones!$K$16),"",IF(ROUND(SUM($Q62:Z62),1)&gt;=99.5,100,MIN(100,ROUND(SUM($Q62:Z62),1))))</f>
        <v/>
      </c>
      <c r="CT62" s="1" t="str">
        <f aca="false">IF(OR(OR(NOT(AND(ISNUMBER(E62),ISNUMBER(F62))),$J$2=""),11&gt;Reprogramaciones!$K$16),"",IF(ROUND(SUM($Q62:AA62),1)&gt;=99.5,100,MIN(100,ROUND(SUM($Q62:AA62),1))))</f>
        <v/>
      </c>
      <c r="CU62" s="1" t="str">
        <f aca="false">IF(OR(OR(NOT(AND(ISNUMBER(E62),ISNUMBER(F62))),$J$2=""),12&gt;Reprogramaciones!$K$16),"",IF(ROUND(SUM($Q62:AB62),1)&gt;=99.5,100,MIN(100,ROUND(SUM($Q62:AB62),1))))</f>
        <v/>
      </c>
      <c r="CV62" s="1" t="str">
        <f aca="false">IF(OR(OR(NOT(AND(ISNUMBER(E62),ISNUMBER(F62))),$J$2=""),13&gt;Reprogramaciones!$K$16),"",IF(ROUND(SUM($Q62:AC62),1)&gt;=99.5,100,MIN(100,ROUND(SUM($Q62:AC62),1))))</f>
        <v/>
      </c>
      <c r="CW62" s="1" t="str">
        <f aca="false">IF(OR(OR(NOT(AND(ISNUMBER(E62),ISNUMBER(F62))),$J$2=""),14&gt;Reprogramaciones!$K$16),"",IF(ROUND(SUM($Q62:AD62),1)&gt;=99.5,100,MIN(100,ROUND(SUM($Q62:AD62),1))))</f>
        <v/>
      </c>
      <c r="CX62" s="1" t="str">
        <f aca="false">IF(OR(OR(NOT(AND(ISNUMBER(E62),ISNUMBER(F62))),$J$2=""),15&gt;Reprogramaciones!$K$16),"",IF(ROUND(SUM($Q62:AE62),1)&gt;=99.5,100,MIN(100,ROUND(SUM($Q62:AE62),1))))</f>
        <v/>
      </c>
      <c r="CY62" s="1" t="str">
        <f aca="false">IF(OR(OR(NOT(AND(ISNUMBER(E62),ISNUMBER(F62))),$J$2=""),16&gt;Reprogramaciones!$K$16),"",IF(ROUND(SUM($Q62:AF62),1)&gt;=99.5,100,MIN(100,ROUND(SUM($Q62:AF62),1))))</f>
        <v/>
      </c>
      <c r="CZ62" s="1" t="str">
        <f aca="false">IF(D62&lt;&gt;"",D62,IF(B62&lt;&gt;"","Contractual",CZ61))</f>
        <v>Contractual</v>
      </c>
      <c r="DA62" s="1" t="str">
        <f aca="false">IF(OR(NOT(AND(ISNUMBER(E62),ISNUMBER(F62))),$J$2=""),"",IF(Reprogramaciones!$Q$15&lt;Reprogramaciones!$T$15,0,IF(Reprogramaciones!$S$15&gt;10,MIN(100,SUM($G62:$P62)),MIN(100,SUMPRODUCT((COLUMN($G62:$P62)-COLUMN($G62)+1&lt;Reprogramaciones!$S$15)*$G62:$P62)+N(INDEX($G62:$P62,1,Reprogramaciones!$S$15))*IF(Reprogramaciones!$Q$15&gt;=(Reprogramaciones!$T$15+7*(Reprogramaciones!$S$15-1))+6,1,IF(MAX(0,NETWORKDAYS.INTL(MAX(E62,(Reprogramaciones!$T$15+7*(Reprogramaciones!$S$15-1))),MIN(F62,(Reprogramaciones!$T$15+7*(Reprogramaciones!$S$15-1))+6),11))=0,0,MAX(0,NETWORKDAYS.INTL(MAX(E62,(Reprogramaciones!$T$15+7*(Reprogramaciones!$S$15-1))),MIN(F62,Reprogramaciones!$Q$15),11))/MAX(0,NETWORKDAYS.INTL(MAX(E62,(Reprogramaciones!$T$15+7*(Reprogramaciones!$S$15-1))),MIN(F62,(Reprogramaciones!$T$15+7*(Reprogramaciones!$S$15-1))+6),11))))))))</f>
        <v/>
      </c>
    </row>
    <row r="63" customFormat="false" ht="15" hidden="false" customHeight="false" outlineLevel="0" collapsed="false">
      <c r="A63" s="32"/>
      <c r="B63" s="33"/>
      <c r="C63" s="33"/>
      <c r="D63" s="34"/>
      <c r="E63" s="35"/>
      <c r="F63" s="35"/>
      <c r="G63" s="36" t="str">
        <f aca="false">IF(OR(NOT(AND(ISNUMBER(E63),ISNUMBER(F63))),$J$2=""),"",IF(Reprogramaciones!K$9&lt;E63,0,IF(NETWORKDAYS.INTL(E63,F63,11)=0,IF(Reprogramaciones!K$9&gt;=F63,100,0),ROUND(NETWORKDAYS.INTL(E63,MIN(F63,Reprogramaciones!K$9),11)/NETWORKDAYS.INTL(E63,F63,11)*100,1)))-0)</f>
        <v/>
      </c>
      <c r="H63" s="36" t="str">
        <f aca="false">IF(OR(NOT(AND(ISNUMBER(E63),ISNUMBER(F63))),$J$2=""),"",IF(Reprogramaciones!L$9&lt;E63,0,IF(NETWORKDAYS.INTL(E63,F63,11)=0,IF(Reprogramaciones!L$9&gt;=F63,100,0),ROUND(NETWORKDAYS.INTL(E63,MIN(F63,Reprogramaciones!L$9),11)/NETWORKDAYS.INTL(E63,F63,11)*100,1)))-IF(Reprogramaciones!K$9&lt;E63,0,IF(NETWORKDAYS.INTL(E63,F63,11)=0,IF(Reprogramaciones!K$9&gt;=F63,100,0),ROUND(NETWORKDAYS.INTL(E63,MIN(F63,Reprogramaciones!K$9),11)/NETWORKDAYS.INTL(E63,F63,11)*100,1))))</f>
        <v/>
      </c>
      <c r="I63" s="36" t="str">
        <f aca="false">IF(OR(NOT(AND(ISNUMBER(E63),ISNUMBER(F63))),$J$2=""),"",IF(Reprogramaciones!M$9&lt;E63,0,IF(NETWORKDAYS.INTL(E63,F63,11)=0,IF(Reprogramaciones!M$9&gt;=F63,100,0),ROUND(NETWORKDAYS.INTL(E63,MIN(F63,Reprogramaciones!M$9),11)/NETWORKDAYS.INTL(E63,F63,11)*100,1)))-IF(Reprogramaciones!L$9&lt;E63,0,IF(NETWORKDAYS.INTL(E63,F63,11)=0,IF(Reprogramaciones!L$9&gt;=F63,100,0),ROUND(NETWORKDAYS.INTL(E63,MIN(F63,Reprogramaciones!L$9),11)/NETWORKDAYS.INTL(E63,F63,11)*100,1))))</f>
        <v/>
      </c>
      <c r="J63" s="36" t="str">
        <f aca="false">IF(OR(NOT(AND(ISNUMBER(E63),ISNUMBER(F63))),$J$2=""),"",IF(Reprogramaciones!N$9&lt;E63,0,IF(NETWORKDAYS.INTL(E63,F63,11)=0,IF(Reprogramaciones!N$9&gt;=F63,100,0),ROUND(NETWORKDAYS.INTL(E63,MIN(F63,Reprogramaciones!N$9),11)/NETWORKDAYS.INTL(E63,F63,11)*100,1)))-IF(Reprogramaciones!M$9&lt;E63,0,IF(NETWORKDAYS.INTL(E63,F63,11)=0,IF(Reprogramaciones!M$9&gt;=F63,100,0),ROUND(NETWORKDAYS.INTL(E63,MIN(F63,Reprogramaciones!M$9),11)/NETWORKDAYS.INTL(E63,F63,11)*100,1))))</f>
        <v/>
      </c>
      <c r="K63" s="36" t="str">
        <f aca="false">IF(OR(NOT(AND(ISNUMBER(E63),ISNUMBER(F63))),$J$2=""),"",IF(Reprogramaciones!O$9&lt;E63,0,IF(NETWORKDAYS.INTL(E63,F63,11)=0,IF(Reprogramaciones!O$9&gt;=F63,100,0),ROUND(NETWORKDAYS.INTL(E63,MIN(F63,Reprogramaciones!O$9),11)/NETWORKDAYS.INTL(E63,F63,11)*100,1)))-IF(Reprogramaciones!N$9&lt;E63,0,IF(NETWORKDAYS.INTL(E63,F63,11)=0,IF(Reprogramaciones!N$9&gt;=F63,100,0),ROUND(NETWORKDAYS.INTL(E63,MIN(F63,Reprogramaciones!N$9),11)/NETWORKDAYS.INTL(E63,F63,11)*100,1))))</f>
        <v/>
      </c>
      <c r="L63" s="36" t="str">
        <f aca="false">IF(OR(NOT(AND(ISNUMBER(E63),ISNUMBER(F63))),$J$2=""),"",IF(Reprogramaciones!P$9&lt;E63,0,IF(NETWORKDAYS.INTL(E63,F63,11)=0,IF(Reprogramaciones!P$9&gt;=F63,100,0),ROUND(NETWORKDAYS.INTL(E63,MIN(F63,Reprogramaciones!P$9),11)/NETWORKDAYS.INTL(E63,F63,11)*100,1)))-IF(Reprogramaciones!O$9&lt;E63,0,IF(NETWORKDAYS.INTL(E63,F63,11)=0,IF(Reprogramaciones!O$9&gt;=F63,100,0),ROUND(NETWORKDAYS.INTL(E63,MIN(F63,Reprogramaciones!O$9),11)/NETWORKDAYS.INTL(E63,F63,11)*100,1))))</f>
        <v/>
      </c>
      <c r="M63" s="36" t="str">
        <f aca="false">IF(OR(NOT(AND(ISNUMBER(E63),ISNUMBER(F63))),$J$2=""),"",IF(Reprogramaciones!Q$9&lt;E63,0,IF(NETWORKDAYS.INTL(E63,F63,11)=0,IF(Reprogramaciones!Q$9&gt;=F63,100,0),ROUND(NETWORKDAYS.INTL(E63,MIN(F63,Reprogramaciones!Q$9),11)/NETWORKDAYS.INTL(E63,F63,11)*100,1)))-IF(Reprogramaciones!P$9&lt;E63,0,IF(NETWORKDAYS.INTL(E63,F63,11)=0,IF(Reprogramaciones!P$9&gt;=F63,100,0),ROUND(NETWORKDAYS.INTL(E63,MIN(F63,Reprogramaciones!P$9),11)/NETWORKDAYS.INTL(E63,F63,11)*100,1))))</f>
        <v/>
      </c>
      <c r="N63" s="36" t="str">
        <f aca="false">IF(OR(NOT(AND(ISNUMBER(E63),ISNUMBER(F63))),$J$2=""),"",IF(Reprogramaciones!R$9&lt;E63,0,IF(NETWORKDAYS.INTL(E63,F63,11)=0,IF(Reprogramaciones!R$9&gt;=F63,100,0),ROUND(NETWORKDAYS.INTL(E63,MIN(F63,Reprogramaciones!R$9),11)/NETWORKDAYS.INTL(E63,F63,11)*100,1)))-IF(Reprogramaciones!Q$9&lt;E63,0,IF(NETWORKDAYS.INTL(E63,F63,11)=0,IF(Reprogramaciones!Q$9&gt;=F63,100,0),ROUND(NETWORKDAYS.INTL(E63,MIN(F63,Reprogramaciones!Q$9),11)/NETWORKDAYS.INTL(E63,F63,11)*100,1))))</f>
        <v/>
      </c>
      <c r="O63" s="36" t="str">
        <f aca="false">IF(OR(NOT(AND(ISNUMBER(E63),ISNUMBER(F63))),$J$2=""),"",IF(Reprogramaciones!S$9&lt;E63,0,IF(NETWORKDAYS.INTL(E63,F63,11)=0,IF(Reprogramaciones!S$9&gt;=F63,100,0),ROUND(NETWORKDAYS.INTL(E63,MIN(F63,Reprogramaciones!S$9),11)/NETWORKDAYS.INTL(E63,F63,11)*100,1)))-IF(Reprogramaciones!R$9&lt;E63,0,IF(NETWORKDAYS.INTL(E63,F63,11)=0,IF(Reprogramaciones!R$9&gt;=F63,100,0),ROUND(NETWORKDAYS.INTL(E63,MIN(F63,Reprogramaciones!R$9),11)/NETWORKDAYS.INTL(E63,F63,11)*100,1))))</f>
        <v/>
      </c>
      <c r="P63" s="36" t="str">
        <f aca="false">IF(OR(NOT(AND(ISNUMBER(E63),ISNUMBER(F63))),$J$2=""),"",IF(Reprogramaciones!T$9&lt;E63,0,IF(NETWORKDAYS.INTL(E63,F63,11)=0,IF(Reprogramaciones!T$9&gt;=F63,100,0),ROUND(NETWORKDAYS.INTL(E63,MIN(F63,Reprogramaciones!T$9),11)/NETWORKDAYS.INTL(E63,F63,11)*100,1)))-IF(Reprogramaciones!S$9&lt;E63,0,IF(NETWORKDAYS.INTL(E63,F63,11)=0,IF(Reprogramaciones!S$9&gt;=F63,100,0),ROUND(NETWORKDAYS.INTL(E63,MIN(F63,Reprogramaciones!S$9),11)/NETWORKDAYS.INTL(E63,F63,11)*100,1))))</f>
        <v/>
      </c>
      <c r="Q63" s="37"/>
      <c r="R63" s="37"/>
      <c r="S63" s="37"/>
      <c r="T63" s="37"/>
      <c r="U63" s="37"/>
      <c r="V63" s="37"/>
      <c r="W63" s="37"/>
      <c r="X63" s="37"/>
      <c r="Y63" s="37"/>
      <c r="Z63" s="37"/>
      <c r="AA63" s="37"/>
      <c r="AB63" s="37"/>
      <c r="AC63" s="37"/>
      <c r="AD63" s="37"/>
      <c r="AE63" s="37"/>
      <c r="AF63" s="37"/>
      <c r="AG63" s="38" t="str">
        <f aca="false">IF(AND(ISNUMBER(E63),ISNUMBER(F63)),NETWORKDAYS.INTL(E63,F63,11),"")</f>
        <v/>
      </c>
      <c r="AH63" s="38" t="str">
        <f aca="false">IF(OR(NOT(AND(ISNUMBER(E63),ISNUMBER(F63))),$J$2=""),"",IF(Reprogramaciones!$P$15&lt;Reprogramaciones!$T$15,0,IF(Reprogramaciones!$R$15&gt;10,MIN(100,SUM($G63:$P63)),MIN(100,SUMPRODUCT((COLUMN($G63:$P63)-COLUMN($G63)+1&lt;Reprogramaciones!$R$15)*$G63:$P63)+N(INDEX($G63:$P63,1,Reprogramaciones!$R$15))*IF(Reprogramaciones!$P$15&gt;=(Reprogramaciones!$T$15+7*(Reprogramaciones!$R$15-1))+6,1,IF(MAX(0,NETWORKDAYS.INTL(MAX(E63,(Reprogramaciones!$T$15+7*(Reprogramaciones!$R$15-1))),MIN(F63,(Reprogramaciones!$T$15+7*(Reprogramaciones!$R$15-1))+6),11))=0,0,MAX(0,NETWORKDAYS.INTL(MAX(E63,(Reprogramaciones!$T$15+7*(Reprogramaciones!$R$15-1))),MIN(F63,Reprogramaciones!$P$15),11))/MAX(0,NETWORKDAYS.INTL(MAX(E63,(Reprogramaciones!$T$15+7*(Reprogramaciones!$R$15-1))),MIN(F63,(Reprogramaciones!$T$15+7*(Reprogramaciones!$R$15-1))+6),11))))))))</f>
        <v/>
      </c>
      <c r="AI63" s="38" t="str">
        <f aca="false">IF(COUNT($Q63:$AF63)=0,"",IF(ROUND(SUM($Q63:$AF63),1)&gt;=99.5,100,MIN(100,ROUND(SUM($Q63:$AF63),1))))</f>
        <v/>
      </c>
      <c r="AJ63" s="38" t="str">
        <f aca="false">IF(OR(AH63="",AI63=""),"",AI63-AH63)</f>
        <v/>
      </c>
      <c r="AK63" s="39" t="str">
        <f aca="true">IF(AH63="","",IF(OR(Ficha!$C$10="Suspendida",Ficha!$C$10="Cancelada"),Ficha!$C$10,IF(AND(AI63&lt;&gt;"",N(AI63)&gt;=100),"Completada",IF(AND(E63&gt;TODAY(),N(AI63)=0),"Por iniciar",IF(N(AI63)+0.5&lt;AH63,"Retrasada",IF(N(AI63)+0.5&lt;DA63,IF(Reprogramaciones!$K$15&gt;0,"Al día · Sem "&amp;Reprogramaciones!$K$15&amp;" en curso","Al día · en curso"),"A tiempo"))))))</f>
        <v/>
      </c>
      <c r="AL63" s="39" t="str">
        <f aca="true">IF(AND(A63="",AND(B63="",C63="",E63="",F63="",COUNT(Q63:AF63)=0)),"",IF(AND(B63="",C63="",E63="",F63="",COUNT(Q63:AF63)=0),"Falta la partida o subpartida",IF(AND(A63&lt;&gt;"",COUNTIF($A$6:$A$305,A63)&gt;1),"Ítem repetido",IF(AND(C63="",E63="",F63="",COUNT(Q63:AF63)=0),"Título de partida",IF(OR(E63="",F63=""),"Faltan fechas",IF(OR(ISTEXT(E63),ISTEXT(F63)),"Fecha escrita como texto: usa dd/mm/aaaa",IF(F63&lt;E63,"Fin antes del inicio",IF(IF($J$2="",FALSE(),OR(E63&lt;$J$2,F63&gt;Reprogramaciones!$T$15+69)),"Fuera de las 10 semanas",IF(ABS(SUM(G63:P63)-100)&gt;0.5,"La meta no suma 100%",IF(ROUND(SUM(Q63:AF63),1)&gt;100.5,"El avance pasa de 100%",IF(MIN(Q63:AF63)&lt;0,"Avance negativo",IF(COUNTA(Q63:AF63)&gt;COUNT(Q63:AF63),"Avance escrito como texto",IF(SUMPRODUCT((Q63:AF63&gt;0)*(Q63:AF63&lt;1))&gt;0,"Avance menor a 1: escribe 50, no 50%",IF(SUMPRODUCT(ISNUMBER(Q63:AF63)*(Reprogramaciones!$K$8:$Z$8&gt;TODAY()))&gt;0,"Avance en semana que aún no llega",IF(AND(N(Reprogramaciones!$E$21)&gt;0,F63&gt;Reprogramaciones!$E$21),"Pasa el fin de la obra: registra una reprogramación",IF(AND(N(Reprogramaciones!$E$21)&gt;0,SUMPRODUCT(ISNUMBER(Q63:AF63)*(Reprogramaciones!$K$8:$Z$8&gt;Reprogramaciones!$E$21))&gt;0),"Avance después del fin de la obra: registra una reprogramación por atraso","OK"))))))))))))))))</f>
        <v/>
      </c>
      <c r="AM63" s="40" t="str">
        <f aca="false">IF(OR(OR(NOT(AND(ISNUMBER(E63),ISNUMBER(F63))),$J$2=""),1&gt;MAX(1,Reprogramaciones!$U$15)),"",IF(Reprogramaciones!K$12&gt;=7,"",IF(OR(BT63-N(0)&gt;0.05,N(Q63)&gt;0),ROUNDDOWN(ROUND(BT63,6),0)&amp;"%"&amp;IF(CJ63="",""," / "&amp;CJ63&amp;"%"),IF(AND(N(0)&gt;=99.95,CJ63&lt;&gt;"",N(CJ63)&lt;100),"Pend. "&amp;CJ63&amp;"%",""))))</f>
        <v/>
      </c>
      <c r="AN63" s="40" t="str">
        <f aca="false">IF(OR(OR(NOT(AND(ISNUMBER(E63),ISNUMBER(F63))),$J$2=""),2&gt;MAX(1,Reprogramaciones!$U$15)),"",IF(Reprogramaciones!L$12&gt;=7,"",IF(OR(BU63-N(BT63)&gt;0.05,N(R63)&gt;0),ROUNDDOWN(ROUND(BU63,6),0)&amp;"%"&amp;IF(CK63="",""," / "&amp;CK63&amp;"%"),IF(AND(N(BT63)&gt;=99.95,CK63&lt;&gt;"",N(CK63)&lt;100),"Pend. "&amp;CK63&amp;"%",""))))</f>
        <v/>
      </c>
      <c r="AO63" s="40" t="str">
        <f aca="false">IF(OR(OR(NOT(AND(ISNUMBER(E63),ISNUMBER(F63))),$J$2=""),3&gt;MAX(1,Reprogramaciones!$U$15)),"",IF(Reprogramaciones!M$12&gt;=7,"",IF(OR(BV63-N(BU63)&gt;0.05,N(S63)&gt;0),ROUNDDOWN(ROUND(BV63,6),0)&amp;"%"&amp;IF(CL63="",""," / "&amp;CL63&amp;"%"),IF(AND(N(BU63)&gt;=99.95,CL63&lt;&gt;"",N(CL63)&lt;100),"Pend. "&amp;CL63&amp;"%",""))))</f>
        <v/>
      </c>
      <c r="AP63" s="40" t="str">
        <f aca="false">IF(OR(OR(NOT(AND(ISNUMBER(E63),ISNUMBER(F63))),$J$2=""),4&gt;MAX(1,Reprogramaciones!$U$15)),"",IF(Reprogramaciones!N$12&gt;=7,"",IF(OR(BW63-N(BV63)&gt;0.05,N(T63)&gt;0),ROUNDDOWN(ROUND(BW63,6),0)&amp;"%"&amp;IF(CM63="",""," / "&amp;CM63&amp;"%"),IF(AND(N(BV63)&gt;=99.95,CM63&lt;&gt;"",N(CM63)&lt;100),"Pend. "&amp;CM63&amp;"%",""))))</f>
        <v/>
      </c>
      <c r="AQ63" s="40" t="str">
        <f aca="false">IF(OR(OR(NOT(AND(ISNUMBER(E63),ISNUMBER(F63))),$J$2=""),5&gt;MAX(1,Reprogramaciones!$U$15)),"",IF(Reprogramaciones!O$12&gt;=7,"",IF(OR(BX63-N(BW63)&gt;0.05,N(U63)&gt;0),ROUNDDOWN(ROUND(BX63,6),0)&amp;"%"&amp;IF(CN63="",""," / "&amp;CN63&amp;"%"),IF(AND(N(BW63)&gt;=99.95,CN63&lt;&gt;"",N(CN63)&lt;100),"Pend. "&amp;CN63&amp;"%",""))))</f>
        <v/>
      </c>
      <c r="AR63" s="40" t="str">
        <f aca="false">IF(OR(OR(NOT(AND(ISNUMBER(E63),ISNUMBER(F63))),$J$2=""),6&gt;MAX(1,Reprogramaciones!$U$15)),"",IF(Reprogramaciones!P$12&gt;=7,"",IF(OR(BY63-N(BX63)&gt;0.05,N(V63)&gt;0),ROUNDDOWN(ROUND(BY63,6),0)&amp;"%"&amp;IF(CO63="",""," / "&amp;CO63&amp;"%"),IF(AND(N(BX63)&gt;=99.95,CO63&lt;&gt;"",N(CO63)&lt;100),"Pend. "&amp;CO63&amp;"%",""))))</f>
        <v/>
      </c>
      <c r="AS63" s="40" t="str">
        <f aca="false">IF(OR(OR(NOT(AND(ISNUMBER(E63),ISNUMBER(F63))),$J$2=""),7&gt;MAX(1,Reprogramaciones!$U$15)),"",IF(Reprogramaciones!Q$12&gt;=7,"",IF(OR(BZ63-N(BY63)&gt;0.05,N(W63)&gt;0),ROUNDDOWN(ROUND(BZ63,6),0)&amp;"%"&amp;IF(CP63="",""," / "&amp;CP63&amp;"%"),IF(AND(N(BY63)&gt;=99.95,CP63&lt;&gt;"",N(CP63)&lt;100),"Pend. "&amp;CP63&amp;"%",""))))</f>
        <v/>
      </c>
      <c r="AT63" s="40" t="str">
        <f aca="false">IF(OR(OR(NOT(AND(ISNUMBER(E63),ISNUMBER(F63))),$J$2=""),8&gt;MAX(1,Reprogramaciones!$U$15)),"",IF(Reprogramaciones!R$12&gt;=7,"",IF(OR(CA63-N(BZ63)&gt;0.05,N(X63)&gt;0),ROUNDDOWN(ROUND(CA63,6),0)&amp;"%"&amp;IF(CQ63="",""," / "&amp;CQ63&amp;"%"),IF(AND(N(BZ63)&gt;=99.95,CQ63&lt;&gt;"",N(CQ63)&lt;100),"Pend. "&amp;CQ63&amp;"%",""))))</f>
        <v/>
      </c>
      <c r="AU63" s="40" t="str">
        <f aca="false">IF(OR(OR(NOT(AND(ISNUMBER(E63),ISNUMBER(F63))),$J$2=""),9&gt;MAX(1,Reprogramaciones!$U$15)),"",IF(Reprogramaciones!S$12&gt;=7,"",IF(OR(CB63-N(CA63)&gt;0.05,N(Y63)&gt;0),ROUNDDOWN(ROUND(CB63,6),0)&amp;"%"&amp;IF(CR63="",""," / "&amp;CR63&amp;"%"),IF(AND(N(CA63)&gt;=99.95,CR63&lt;&gt;"",N(CR63)&lt;100),"Pend. "&amp;CR63&amp;"%",""))))</f>
        <v/>
      </c>
      <c r="AV63" s="40" t="str">
        <f aca="false">IF(OR(OR(NOT(AND(ISNUMBER(E63),ISNUMBER(F63))),$J$2=""),10&gt;MAX(1,Reprogramaciones!$U$15)),"",IF(Reprogramaciones!T$12&gt;=7,"",IF(OR(CC63-N(CB63)&gt;0.05,N(Z63)&gt;0),ROUNDDOWN(ROUND(CC63,6),0)&amp;"%"&amp;IF(CS63="",""," / "&amp;CS63&amp;"%"),IF(AND(N(CB63)&gt;=99.95,CS63&lt;&gt;"",N(CS63)&lt;100),"Pend. "&amp;CS63&amp;"%",""))))</f>
        <v/>
      </c>
      <c r="AW63" s="40" t="str">
        <f aca="false">IF(OR(OR(NOT(AND(ISNUMBER(E63),ISNUMBER(F63))),$J$2=""),11&gt;MAX(1,Reprogramaciones!$U$15)),"",IF(Reprogramaciones!U$12&gt;=7,"",IF(OR(CD63-N(CC63)&gt;0.05,N(AA63)&gt;0),ROUNDDOWN(ROUND(CD63,6),0)&amp;"%"&amp;IF(CT63="",""," / "&amp;CT63&amp;"%"),IF(AND(N(CC63)&gt;=99.95,CT63&lt;&gt;"",N(CT63)&lt;100),"Pend. "&amp;CT63&amp;"%",""))))</f>
        <v/>
      </c>
      <c r="AX63" s="40" t="str">
        <f aca="false">IF(OR(OR(NOT(AND(ISNUMBER(E63),ISNUMBER(F63))),$J$2=""),12&gt;MAX(1,Reprogramaciones!$U$15)),"",IF(Reprogramaciones!V$12&gt;=7,"",IF(OR(CE63-N(CD63)&gt;0.05,N(AB63)&gt;0),ROUNDDOWN(ROUND(CE63,6),0)&amp;"%"&amp;IF(CU63="",""," / "&amp;CU63&amp;"%"),IF(AND(N(CD63)&gt;=99.95,CU63&lt;&gt;"",N(CU63)&lt;100),"Pend. "&amp;CU63&amp;"%",""))))</f>
        <v/>
      </c>
      <c r="AY63" s="40" t="str">
        <f aca="false">IF(OR(OR(NOT(AND(ISNUMBER(E63),ISNUMBER(F63))),$J$2=""),13&gt;MAX(1,Reprogramaciones!$U$15)),"",IF(Reprogramaciones!W$12&gt;=7,"",IF(OR(CF63-N(CE63)&gt;0.05,N(AC63)&gt;0),ROUNDDOWN(ROUND(CF63,6),0)&amp;"%"&amp;IF(CV63="",""," / "&amp;CV63&amp;"%"),IF(AND(N(CE63)&gt;=99.95,CV63&lt;&gt;"",N(CV63)&lt;100),"Pend. "&amp;CV63&amp;"%",""))))</f>
        <v/>
      </c>
      <c r="AZ63" s="40" t="str">
        <f aca="false">IF(OR(OR(NOT(AND(ISNUMBER(E63),ISNUMBER(F63))),$J$2=""),14&gt;MAX(1,Reprogramaciones!$U$15)),"",IF(Reprogramaciones!X$12&gt;=7,"",IF(OR(CG63-N(CF63)&gt;0.05,N(AD63)&gt;0),ROUNDDOWN(ROUND(CG63,6),0)&amp;"%"&amp;IF(CW63="",""," / "&amp;CW63&amp;"%"),IF(AND(N(CF63)&gt;=99.95,CW63&lt;&gt;"",N(CW63)&lt;100),"Pend. "&amp;CW63&amp;"%",""))))</f>
        <v/>
      </c>
      <c r="BA63" s="40" t="str">
        <f aca="false">IF(OR(OR(NOT(AND(ISNUMBER(E63),ISNUMBER(F63))),$J$2=""),15&gt;MAX(1,Reprogramaciones!$U$15)),"",IF(Reprogramaciones!Y$12&gt;=7,"",IF(OR(CH63-N(CG63)&gt;0.05,N(AE63)&gt;0),ROUNDDOWN(ROUND(CH63,6),0)&amp;"%"&amp;IF(CX63="",""," / "&amp;CX63&amp;"%"),IF(AND(N(CG63)&gt;=99.95,CX63&lt;&gt;"",N(CX63)&lt;100),"Pend. "&amp;CX63&amp;"%",""))))</f>
        <v/>
      </c>
      <c r="BB63" s="40" t="str">
        <f aca="false">IF(OR(OR(NOT(AND(ISNUMBER(E63),ISNUMBER(F63))),$J$2=""),16&gt;MAX(1,Reprogramaciones!$U$15)),"",IF(Reprogramaciones!Z$12&gt;=7,"",IF(OR(CI63-N(CH63)&gt;0.05,N(AF63)&gt;0),ROUNDDOWN(ROUND(CI63,6),0)&amp;"%"&amp;IF(CY63="",""," / "&amp;CY63&amp;"%"),IF(AND(N(CH63)&gt;=99.95,CY63&lt;&gt;"",N(CY63)&lt;100),"Pend. "&amp;CY63&amp;"%",""))))</f>
        <v/>
      </c>
      <c r="BC63" s="31" t="n">
        <f aca="false">IF(AND(ISNUMBER(E63),ISNUMBER(F63)),MAX(1,NETWORKDAYS.INTL(E63,F63,11)),0)</f>
        <v>0</v>
      </c>
      <c r="BD63" s="1" t="str">
        <f aca="false">IF(OR(NOT(AND(ISNUMBER(E63),ISNUMBER(F63))),$J$2=""),"",MIN(100,ROUND(SUM($G63:G63),1)))</f>
        <v/>
      </c>
      <c r="BE63" s="1" t="str">
        <f aca="false">IF(OR(NOT(AND(ISNUMBER(E63),ISNUMBER(F63))),$J$2=""),"",MIN(100,ROUND(SUM($G63:H63),1)))</f>
        <v/>
      </c>
      <c r="BF63" s="1" t="str">
        <f aca="false">IF(OR(NOT(AND(ISNUMBER(E63),ISNUMBER(F63))),$J$2=""),"",MIN(100,ROUND(SUM($G63:I63),1)))</f>
        <v/>
      </c>
      <c r="BG63" s="1" t="str">
        <f aca="false">IF(OR(NOT(AND(ISNUMBER(E63),ISNUMBER(F63))),$J$2=""),"",MIN(100,ROUND(SUM($G63:J63),1)))</f>
        <v/>
      </c>
      <c r="BH63" s="1" t="str">
        <f aca="false">IF(OR(NOT(AND(ISNUMBER(E63),ISNUMBER(F63))),$J$2=""),"",MIN(100,ROUND(SUM($G63:K63),1)))</f>
        <v/>
      </c>
      <c r="BI63" s="1" t="str">
        <f aca="false">IF(OR(NOT(AND(ISNUMBER(E63),ISNUMBER(F63))),$J$2=""),"",MIN(100,ROUND(SUM($G63:L63),1)))</f>
        <v/>
      </c>
      <c r="BJ63" s="1" t="str">
        <f aca="false">IF(OR(NOT(AND(ISNUMBER(E63),ISNUMBER(F63))),$J$2=""),"",MIN(100,ROUND(SUM($G63:M63),1)))</f>
        <v/>
      </c>
      <c r="BK63" s="1" t="str">
        <f aca="false">IF(OR(NOT(AND(ISNUMBER(E63),ISNUMBER(F63))),$J$2=""),"",MIN(100,ROUND(SUM($G63:N63),1)))</f>
        <v/>
      </c>
      <c r="BL63" s="1" t="str">
        <f aca="false">IF(OR(NOT(AND(ISNUMBER(E63),ISNUMBER(F63))),$J$2=""),"",MIN(100,ROUND(SUM($G63:O63),1)))</f>
        <v/>
      </c>
      <c r="BM63" s="1" t="str">
        <f aca="false">IF(OR(NOT(AND(ISNUMBER(E63),ISNUMBER(F63))),$J$2=""),"",MIN(100,ROUND(SUM($G63:P63),1)))</f>
        <v/>
      </c>
      <c r="BN63" s="1" t="str">
        <f aca="false">IF(OR(NOT(AND(ISNUMBER(E63),ISNUMBER(F63))),$J$2=""),"",MIN(100,ROUND(SUM($G63:P63),1)))</f>
        <v/>
      </c>
      <c r="BO63" s="1" t="str">
        <f aca="false">IF(OR(NOT(AND(ISNUMBER(E63),ISNUMBER(F63))),$J$2=""),"",MIN(100,ROUND(SUM($G63:P63),1)))</f>
        <v/>
      </c>
      <c r="BP63" s="1" t="str">
        <f aca="false">IF(OR(NOT(AND(ISNUMBER(E63),ISNUMBER(F63))),$J$2=""),"",MIN(100,ROUND(SUM($G63:P63),1)))</f>
        <v/>
      </c>
      <c r="BQ63" s="1" t="str">
        <f aca="false">IF(OR(NOT(AND(ISNUMBER(E63),ISNUMBER(F63))),$J$2=""),"",MIN(100,ROUND(SUM($G63:P63),1)))</f>
        <v/>
      </c>
      <c r="BR63" s="1" t="str">
        <f aca="false">IF(OR(NOT(AND(ISNUMBER(E63),ISNUMBER(F63))),$J$2=""),"",MIN(100,ROUND(SUM($G63:P63),1)))</f>
        <v/>
      </c>
      <c r="BS63" s="1" t="str">
        <f aca="false">IF(OR(NOT(AND(ISNUMBER(E63),ISNUMBER(F63))),$J$2=""),"",MIN(100,ROUND(SUM($G63:P63),1)))</f>
        <v/>
      </c>
      <c r="BT63" s="1" t="str">
        <f aca="false">IF(OR(NOT(AND(ISNUMBER(E63),ISNUMBER(F63))),$J$2=""),"",IF(Reprogramaciones!K$13&lt;Reprogramaciones!$T$15,0,IF(Reprogramaciones!K$14&gt;10,MIN(100,SUM($G63:$P63)),MIN(100,SUMPRODUCT((COLUMN($G63:$P63)-COLUMN($G63)+1&lt;Reprogramaciones!K$14)*$G63:$P63)+N(INDEX($G63:$P63,1,Reprogramaciones!K$14))*IF(Reprogramaciones!K$13&gt;=(Reprogramaciones!$T$15+7*(Reprogramaciones!K$14-1))+6,1,IF(MAX(0,NETWORKDAYS.INTL(MAX(E63,(Reprogramaciones!$T$15+7*(Reprogramaciones!K$14-1))),MIN(F63,(Reprogramaciones!$T$15+7*(Reprogramaciones!K$14-1))+6),11))=0,0,MAX(0,NETWORKDAYS.INTL(MAX(E63,(Reprogramaciones!$T$15+7*(Reprogramaciones!K$14-1))),MIN(F63,Reprogramaciones!K$13),11))/MAX(0,NETWORKDAYS.INTL(MAX(E63,(Reprogramaciones!$T$15+7*(Reprogramaciones!K$14-1))),MIN(F63,(Reprogramaciones!$T$15+7*(Reprogramaciones!K$14-1))+6),11))))))))</f>
        <v/>
      </c>
      <c r="BU63" s="1" t="str">
        <f aca="false">IF(OR(NOT(AND(ISNUMBER(E63),ISNUMBER(F63))),$J$2=""),"",IF(Reprogramaciones!L$13&lt;Reprogramaciones!$T$15,0,IF(Reprogramaciones!L$14&gt;10,MIN(100,SUM($G63:$P63)),MIN(100,SUMPRODUCT((COLUMN($G63:$P63)-COLUMN($G63)+1&lt;Reprogramaciones!L$14)*$G63:$P63)+N(INDEX($G63:$P63,1,Reprogramaciones!L$14))*IF(Reprogramaciones!L$13&gt;=(Reprogramaciones!$T$15+7*(Reprogramaciones!L$14-1))+6,1,IF(MAX(0,NETWORKDAYS.INTL(MAX(E63,(Reprogramaciones!$T$15+7*(Reprogramaciones!L$14-1))),MIN(F63,(Reprogramaciones!$T$15+7*(Reprogramaciones!L$14-1))+6),11))=0,0,MAX(0,NETWORKDAYS.INTL(MAX(E63,(Reprogramaciones!$T$15+7*(Reprogramaciones!L$14-1))),MIN(F63,Reprogramaciones!L$13),11))/MAX(0,NETWORKDAYS.INTL(MAX(E63,(Reprogramaciones!$T$15+7*(Reprogramaciones!L$14-1))),MIN(F63,(Reprogramaciones!$T$15+7*(Reprogramaciones!L$14-1))+6),11))))))))</f>
        <v/>
      </c>
      <c r="BV63" s="1" t="str">
        <f aca="false">IF(OR(NOT(AND(ISNUMBER(E63),ISNUMBER(F63))),$J$2=""),"",IF(Reprogramaciones!M$13&lt;Reprogramaciones!$T$15,0,IF(Reprogramaciones!M$14&gt;10,MIN(100,SUM($G63:$P63)),MIN(100,SUMPRODUCT((COLUMN($G63:$P63)-COLUMN($G63)+1&lt;Reprogramaciones!M$14)*$G63:$P63)+N(INDEX($G63:$P63,1,Reprogramaciones!M$14))*IF(Reprogramaciones!M$13&gt;=(Reprogramaciones!$T$15+7*(Reprogramaciones!M$14-1))+6,1,IF(MAX(0,NETWORKDAYS.INTL(MAX(E63,(Reprogramaciones!$T$15+7*(Reprogramaciones!M$14-1))),MIN(F63,(Reprogramaciones!$T$15+7*(Reprogramaciones!M$14-1))+6),11))=0,0,MAX(0,NETWORKDAYS.INTL(MAX(E63,(Reprogramaciones!$T$15+7*(Reprogramaciones!M$14-1))),MIN(F63,Reprogramaciones!M$13),11))/MAX(0,NETWORKDAYS.INTL(MAX(E63,(Reprogramaciones!$T$15+7*(Reprogramaciones!M$14-1))),MIN(F63,(Reprogramaciones!$T$15+7*(Reprogramaciones!M$14-1))+6),11))))))))</f>
        <v/>
      </c>
      <c r="BW63" s="1" t="str">
        <f aca="false">IF(OR(NOT(AND(ISNUMBER(E63),ISNUMBER(F63))),$J$2=""),"",IF(Reprogramaciones!N$13&lt;Reprogramaciones!$T$15,0,IF(Reprogramaciones!N$14&gt;10,MIN(100,SUM($G63:$P63)),MIN(100,SUMPRODUCT((COLUMN($G63:$P63)-COLUMN($G63)+1&lt;Reprogramaciones!N$14)*$G63:$P63)+N(INDEX($G63:$P63,1,Reprogramaciones!N$14))*IF(Reprogramaciones!N$13&gt;=(Reprogramaciones!$T$15+7*(Reprogramaciones!N$14-1))+6,1,IF(MAX(0,NETWORKDAYS.INTL(MAX(E63,(Reprogramaciones!$T$15+7*(Reprogramaciones!N$14-1))),MIN(F63,(Reprogramaciones!$T$15+7*(Reprogramaciones!N$14-1))+6),11))=0,0,MAX(0,NETWORKDAYS.INTL(MAX(E63,(Reprogramaciones!$T$15+7*(Reprogramaciones!N$14-1))),MIN(F63,Reprogramaciones!N$13),11))/MAX(0,NETWORKDAYS.INTL(MAX(E63,(Reprogramaciones!$T$15+7*(Reprogramaciones!N$14-1))),MIN(F63,(Reprogramaciones!$T$15+7*(Reprogramaciones!N$14-1))+6),11))))))))</f>
        <v/>
      </c>
      <c r="BX63" s="1" t="str">
        <f aca="false">IF(OR(NOT(AND(ISNUMBER(E63),ISNUMBER(F63))),$J$2=""),"",IF(Reprogramaciones!O$13&lt;Reprogramaciones!$T$15,0,IF(Reprogramaciones!O$14&gt;10,MIN(100,SUM($G63:$P63)),MIN(100,SUMPRODUCT((COLUMN($G63:$P63)-COLUMN($G63)+1&lt;Reprogramaciones!O$14)*$G63:$P63)+N(INDEX($G63:$P63,1,Reprogramaciones!O$14))*IF(Reprogramaciones!O$13&gt;=(Reprogramaciones!$T$15+7*(Reprogramaciones!O$14-1))+6,1,IF(MAX(0,NETWORKDAYS.INTL(MAX(E63,(Reprogramaciones!$T$15+7*(Reprogramaciones!O$14-1))),MIN(F63,(Reprogramaciones!$T$15+7*(Reprogramaciones!O$14-1))+6),11))=0,0,MAX(0,NETWORKDAYS.INTL(MAX(E63,(Reprogramaciones!$T$15+7*(Reprogramaciones!O$14-1))),MIN(F63,Reprogramaciones!O$13),11))/MAX(0,NETWORKDAYS.INTL(MAX(E63,(Reprogramaciones!$T$15+7*(Reprogramaciones!O$14-1))),MIN(F63,(Reprogramaciones!$T$15+7*(Reprogramaciones!O$14-1))+6),11))))))))</f>
        <v/>
      </c>
      <c r="BY63" s="1" t="str">
        <f aca="false">IF(OR(NOT(AND(ISNUMBER(E63),ISNUMBER(F63))),$J$2=""),"",IF(Reprogramaciones!P$13&lt;Reprogramaciones!$T$15,0,IF(Reprogramaciones!P$14&gt;10,MIN(100,SUM($G63:$P63)),MIN(100,SUMPRODUCT((COLUMN($G63:$P63)-COLUMN($G63)+1&lt;Reprogramaciones!P$14)*$G63:$P63)+N(INDEX($G63:$P63,1,Reprogramaciones!P$14))*IF(Reprogramaciones!P$13&gt;=(Reprogramaciones!$T$15+7*(Reprogramaciones!P$14-1))+6,1,IF(MAX(0,NETWORKDAYS.INTL(MAX(E63,(Reprogramaciones!$T$15+7*(Reprogramaciones!P$14-1))),MIN(F63,(Reprogramaciones!$T$15+7*(Reprogramaciones!P$14-1))+6),11))=0,0,MAX(0,NETWORKDAYS.INTL(MAX(E63,(Reprogramaciones!$T$15+7*(Reprogramaciones!P$14-1))),MIN(F63,Reprogramaciones!P$13),11))/MAX(0,NETWORKDAYS.INTL(MAX(E63,(Reprogramaciones!$T$15+7*(Reprogramaciones!P$14-1))),MIN(F63,(Reprogramaciones!$T$15+7*(Reprogramaciones!P$14-1))+6),11))))))))</f>
        <v/>
      </c>
      <c r="BZ63" s="1" t="str">
        <f aca="false">IF(OR(NOT(AND(ISNUMBER(E63),ISNUMBER(F63))),$J$2=""),"",IF(Reprogramaciones!Q$13&lt;Reprogramaciones!$T$15,0,IF(Reprogramaciones!Q$14&gt;10,MIN(100,SUM($G63:$P63)),MIN(100,SUMPRODUCT((COLUMN($G63:$P63)-COLUMN($G63)+1&lt;Reprogramaciones!Q$14)*$G63:$P63)+N(INDEX($G63:$P63,1,Reprogramaciones!Q$14))*IF(Reprogramaciones!Q$13&gt;=(Reprogramaciones!$T$15+7*(Reprogramaciones!Q$14-1))+6,1,IF(MAX(0,NETWORKDAYS.INTL(MAX(E63,(Reprogramaciones!$T$15+7*(Reprogramaciones!Q$14-1))),MIN(F63,(Reprogramaciones!$T$15+7*(Reprogramaciones!Q$14-1))+6),11))=0,0,MAX(0,NETWORKDAYS.INTL(MAX(E63,(Reprogramaciones!$T$15+7*(Reprogramaciones!Q$14-1))),MIN(F63,Reprogramaciones!Q$13),11))/MAX(0,NETWORKDAYS.INTL(MAX(E63,(Reprogramaciones!$T$15+7*(Reprogramaciones!Q$14-1))),MIN(F63,(Reprogramaciones!$T$15+7*(Reprogramaciones!Q$14-1))+6),11))))))))</f>
        <v/>
      </c>
      <c r="CA63" s="1" t="str">
        <f aca="false">IF(OR(NOT(AND(ISNUMBER(E63),ISNUMBER(F63))),$J$2=""),"",IF(Reprogramaciones!R$13&lt;Reprogramaciones!$T$15,0,IF(Reprogramaciones!R$14&gt;10,MIN(100,SUM($G63:$P63)),MIN(100,SUMPRODUCT((COLUMN($G63:$P63)-COLUMN($G63)+1&lt;Reprogramaciones!R$14)*$G63:$P63)+N(INDEX($G63:$P63,1,Reprogramaciones!R$14))*IF(Reprogramaciones!R$13&gt;=(Reprogramaciones!$T$15+7*(Reprogramaciones!R$14-1))+6,1,IF(MAX(0,NETWORKDAYS.INTL(MAX(E63,(Reprogramaciones!$T$15+7*(Reprogramaciones!R$14-1))),MIN(F63,(Reprogramaciones!$T$15+7*(Reprogramaciones!R$14-1))+6),11))=0,0,MAX(0,NETWORKDAYS.INTL(MAX(E63,(Reprogramaciones!$T$15+7*(Reprogramaciones!R$14-1))),MIN(F63,Reprogramaciones!R$13),11))/MAX(0,NETWORKDAYS.INTL(MAX(E63,(Reprogramaciones!$T$15+7*(Reprogramaciones!R$14-1))),MIN(F63,(Reprogramaciones!$T$15+7*(Reprogramaciones!R$14-1))+6),11))))))))</f>
        <v/>
      </c>
      <c r="CB63" s="1" t="str">
        <f aca="false">IF(OR(NOT(AND(ISNUMBER(E63),ISNUMBER(F63))),$J$2=""),"",IF(Reprogramaciones!S$13&lt;Reprogramaciones!$T$15,0,IF(Reprogramaciones!S$14&gt;10,MIN(100,SUM($G63:$P63)),MIN(100,SUMPRODUCT((COLUMN($G63:$P63)-COLUMN($G63)+1&lt;Reprogramaciones!S$14)*$G63:$P63)+N(INDEX($G63:$P63,1,Reprogramaciones!S$14))*IF(Reprogramaciones!S$13&gt;=(Reprogramaciones!$T$15+7*(Reprogramaciones!S$14-1))+6,1,IF(MAX(0,NETWORKDAYS.INTL(MAX(E63,(Reprogramaciones!$T$15+7*(Reprogramaciones!S$14-1))),MIN(F63,(Reprogramaciones!$T$15+7*(Reprogramaciones!S$14-1))+6),11))=0,0,MAX(0,NETWORKDAYS.INTL(MAX(E63,(Reprogramaciones!$T$15+7*(Reprogramaciones!S$14-1))),MIN(F63,Reprogramaciones!S$13),11))/MAX(0,NETWORKDAYS.INTL(MAX(E63,(Reprogramaciones!$T$15+7*(Reprogramaciones!S$14-1))),MIN(F63,(Reprogramaciones!$T$15+7*(Reprogramaciones!S$14-1))+6),11))))))))</f>
        <v/>
      </c>
      <c r="CC63" s="1" t="str">
        <f aca="false">IF(OR(NOT(AND(ISNUMBER(E63),ISNUMBER(F63))),$J$2=""),"",IF(Reprogramaciones!T$13&lt;Reprogramaciones!$T$15,0,IF(Reprogramaciones!T$14&gt;10,MIN(100,SUM($G63:$P63)),MIN(100,SUMPRODUCT((COLUMN($G63:$P63)-COLUMN($G63)+1&lt;Reprogramaciones!T$14)*$G63:$P63)+N(INDEX($G63:$P63,1,Reprogramaciones!T$14))*IF(Reprogramaciones!T$13&gt;=(Reprogramaciones!$T$15+7*(Reprogramaciones!T$14-1))+6,1,IF(MAX(0,NETWORKDAYS.INTL(MAX(E63,(Reprogramaciones!$T$15+7*(Reprogramaciones!T$14-1))),MIN(F63,(Reprogramaciones!$T$15+7*(Reprogramaciones!T$14-1))+6),11))=0,0,MAX(0,NETWORKDAYS.INTL(MAX(E63,(Reprogramaciones!$T$15+7*(Reprogramaciones!T$14-1))),MIN(F63,Reprogramaciones!T$13),11))/MAX(0,NETWORKDAYS.INTL(MAX(E63,(Reprogramaciones!$T$15+7*(Reprogramaciones!T$14-1))),MIN(F63,(Reprogramaciones!$T$15+7*(Reprogramaciones!T$14-1))+6),11))))))))</f>
        <v/>
      </c>
      <c r="CD63" s="1" t="str">
        <f aca="false">IF(OR(NOT(AND(ISNUMBER(E63),ISNUMBER(F63))),$J$2=""),"",IF(Reprogramaciones!U$13&lt;Reprogramaciones!$T$15,0,IF(Reprogramaciones!U$14&gt;10,MIN(100,SUM($G63:$P63)),MIN(100,SUMPRODUCT((COLUMN($G63:$P63)-COLUMN($G63)+1&lt;Reprogramaciones!U$14)*$G63:$P63)+N(INDEX($G63:$P63,1,Reprogramaciones!U$14))*IF(Reprogramaciones!U$13&gt;=(Reprogramaciones!$T$15+7*(Reprogramaciones!U$14-1))+6,1,IF(MAX(0,NETWORKDAYS.INTL(MAX(E63,(Reprogramaciones!$T$15+7*(Reprogramaciones!U$14-1))),MIN(F63,(Reprogramaciones!$T$15+7*(Reprogramaciones!U$14-1))+6),11))=0,0,MAX(0,NETWORKDAYS.INTL(MAX(E63,(Reprogramaciones!$T$15+7*(Reprogramaciones!U$14-1))),MIN(F63,Reprogramaciones!U$13),11))/MAX(0,NETWORKDAYS.INTL(MAX(E63,(Reprogramaciones!$T$15+7*(Reprogramaciones!U$14-1))),MIN(F63,(Reprogramaciones!$T$15+7*(Reprogramaciones!U$14-1))+6),11))))))))</f>
        <v/>
      </c>
      <c r="CE63" s="1" t="str">
        <f aca="false">IF(OR(NOT(AND(ISNUMBER(E63),ISNUMBER(F63))),$J$2=""),"",IF(Reprogramaciones!V$13&lt;Reprogramaciones!$T$15,0,IF(Reprogramaciones!V$14&gt;10,MIN(100,SUM($G63:$P63)),MIN(100,SUMPRODUCT((COLUMN($G63:$P63)-COLUMN($G63)+1&lt;Reprogramaciones!V$14)*$G63:$P63)+N(INDEX($G63:$P63,1,Reprogramaciones!V$14))*IF(Reprogramaciones!V$13&gt;=(Reprogramaciones!$T$15+7*(Reprogramaciones!V$14-1))+6,1,IF(MAX(0,NETWORKDAYS.INTL(MAX(E63,(Reprogramaciones!$T$15+7*(Reprogramaciones!V$14-1))),MIN(F63,(Reprogramaciones!$T$15+7*(Reprogramaciones!V$14-1))+6),11))=0,0,MAX(0,NETWORKDAYS.INTL(MAX(E63,(Reprogramaciones!$T$15+7*(Reprogramaciones!V$14-1))),MIN(F63,Reprogramaciones!V$13),11))/MAX(0,NETWORKDAYS.INTL(MAX(E63,(Reprogramaciones!$T$15+7*(Reprogramaciones!V$14-1))),MIN(F63,(Reprogramaciones!$T$15+7*(Reprogramaciones!V$14-1))+6),11))))))))</f>
        <v/>
      </c>
      <c r="CF63" s="1" t="str">
        <f aca="false">IF(OR(NOT(AND(ISNUMBER(E63),ISNUMBER(F63))),$J$2=""),"",IF(Reprogramaciones!W$13&lt;Reprogramaciones!$T$15,0,IF(Reprogramaciones!W$14&gt;10,MIN(100,SUM($G63:$P63)),MIN(100,SUMPRODUCT((COLUMN($G63:$P63)-COLUMN($G63)+1&lt;Reprogramaciones!W$14)*$G63:$P63)+N(INDEX($G63:$P63,1,Reprogramaciones!W$14))*IF(Reprogramaciones!W$13&gt;=(Reprogramaciones!$T$15+7*(Reprogramaciones!W$14-1))+6,1,IF(MAX(0,NETWORKDAYS.INTL(MAX(E63,(Reprogramaciones!$T$15+7*(Reprogramaciones!W$14-1))),MIN(F63,(Reprogramaciones!$T$15+7*(Reprogramaciones!W$14-1))+6),11))=0,0,MAX(0,NETWORKDAYS.INTL(MAX(E63,(Reprogramaciones!$T$15+7*(Reprogramaciones!W$14-1))),MIN(F63,Reprogramaciones!W$13),11))/MAX(0,NETWORKDAYS.INTL(MAX(E63,(Reprogramaciones!$T$15+7*(Reprogramaciones!W$14-1))),MIN(F63,(Reprogramaciones!$T$15+7*(Reprogramaciones!W$14-1))+6),11))))))))</f>
        <v/>
      </c>
      <c r="CG63" s="1" t="str">
        <f aca="false">IF(OR(NOT(AND(ISNUMBER(E63),ISNUMBER(F63))),$J$2=""),"",IF(Reprogramaciones!X$13&lt;Reprogramaciones!$T$15,0,IF(Reprogramaciones!X$14&gt;10,MIN(100,SUM($G63:$P63)),MIN(100,SUMPRODUCT((COLUMN($G63:$P63)-COLUMN($G63)+1&lt;Reprogramaciones!X$14)*$G63:$P63)+N(INDEX($G63:$P63,1,Reprogramaciones!X$14))*IF(Reprogramaciones!X$13&gt;=(Reprogramaciones!$T$15+7*(Reprogramaciones!X$14-1))+6,1,IF(MAX(0,NETWORKDAYS.INTL(MAX(E63,(Reprogramaciones!$T$15+7*(Reprogramaciones!X$14-1))),MIN(F63,(Reprogramaciones!$T$15+7*(Reprogramaciones!X$14-1))+6),11))=0,0,MAX(0,NETWORKDAYS.INTL(MAX(E63,(Reprogramaciones!$T$15+7*(Reprogramaciones!X$14-1))),MIN(F63,Reprogramaciones!X$13),11))/MAX(0,NETWORKDAYS.INTL(MAX(E63,(Reprogramaciones!$T$15+7*(Reprogramaciones!X$14-1))),MIN(F63,(Reprogramaciones!$T$15+7*(Reprogramaciones!X$14-1))+6),11))))))))</f>
        <v/>
      </c>
      <c r="CH63" s="1" t="str">
        <f aca="false">IF(OR(NOT(AND(ISNUMBER(E63),ISNUMBER(F63))),$J$2=""),"",IF(Reprogramaciones!Y$13&lt;Reprogramaciones!$T$15,0,IF(Reprogramaciones!Y$14&gt;10,MIN(100,SUM($G63:$P63)),MIN(100,SUMPRODUCT((COLUMN($G63:$P63)-COLUMN($G63)+1&lt;Reprogramaciones!Y$14)*$G63:$P63)+N(INDEX($G63:$P63,1,Reprogramaciones!Y$14))*IF(Reprogramaciones!Y$13&gt;=(Reprogramaciones!$T$15+7*(Reprogramaciones!Y$14-1))+6,1,IF(MAX(0,NETWORKDAYS.INTL(MAX(E63,(Reprogramaciones!$T$15+7*(Reprogramaciones!Y$14-1))),MIN(F63,(Reprogramaciones!$T$15+7*(Reprogramaciones!Y$14-1))+6),11))=0,0,MAX(0,NETWORKDAYS.INTL(MAX(E63,(Reprogramaciones!$T$15+7*(Reprogramaciones!Y$14-1))),MIN(F63,Reprogramaciones!Y$13),11))/MAX(0,NETWORKDAYS.INTL(MAX(E63,(Reprogramaciones!$T$15+7*(Reprogramaciones!Y$14-1))),MIN(F63,(Reprogramaciones!$T$15+7*(Reprogramaciones!Y$14-1))+6),11))))))))</f>
        <v/>
      </c>
      <c r="CI63" s="1" t="str">
        <f aca="false">IF(OR(NOT(AND(ISNUMBER(E63),ISNUMBER(F63))),$J$2=""),"",IF(Reprogramaciones!Z$13&lt;Reprogramaciones!$T$15,0,IF(Reprogramaciones!Z$14&gt;10,MIN(100,SUM($G63:$P63)),MIN(100,SUMPRODUCT((COLUMN($G63:$P63)-COLUMN($G63)+1&lt;Reprogramaciones!Z$14)*$G63:$P63)+N(INDEX($G63:$P63,1,Reprogramaciones!Z$14))*IF(Reprogramaciones!Z$13&gt;=(Reprogramaciones!$T$15+7*(Reprogramaciones!Z$14-1))+6,1,IF(MAX(0,NETWORKDAYS.INTL(MAX(E63,(Reprogramaciones!$T$15+7*(Reprogramaciones!Z$14-1))),MIN(F63,(Reprogramaciones!$T$15+7*(Reprogramaciones!Z$14-1))+6),11))=0,0,MAX(0,NETWORKDAYS.INTL(MAX(E63,(Reprogramaciones!$T$15+7*(Reprogramaciones!Z$14-1))),MIN(F63,Reprogramaciones!Z$13),11))/MAX(0,NETWORKDAYS.INTL(MAX(E63,(Reprogramaciones!$T$15+7*(Reprogramaciones!Z$14-1))),MIN(F63,(Reprogramaciones!$T$15+7*(Reprogramaciones!Z$14-1))+6),11))))))))</f>
        <v/>
      </c>
      <c r="CJ63" s="1" t="str">
        <f aca="false">IF(OR(OR(NOT(AND(ISNUMBER(E63),ISNUMBER(F63))),$J$2=""),1&gt;Reprogramaciones!$K$16),"",IF(ROUND(SUM($Q63:Q63),1)&gt;=99.5,100,MIN(100,ROUND(SUM($Q63:Q63),1))))</f>
        <v/>
      </c>
      <c r="CK63" s="1" t="str">
        <f aca="false">IF(OR(OR(NOT(AND(ISNUMBER(E63),ISNUMBER(F63))),$J$2=""),2&gt;Reprogramaciones!$K$16),"",IF(ROUND(SUM($Q63:R63),1)&gt;=99.5,100,MIN(100,ROUND(SUM($Q63:R63),1))))</f>
        <v/>
      </c>
      <c r="CL63" s="1" t="str">
        <f aca="false">IF(OR(OR(NOT(AND(ISNUMBER(E63),ISNUMBER(F63))),$J$2=""),3&gt;Reprogramaciones!$K$16),"",IF(ROUND(SUM($Q63:S63),1)&gt;=99.5,100,MIN(100,ROUND(SUM($Q63:S63),1))))</f>
        <v/>
      </c>
      <c r="CM63" s="1" t="str">
        <f aca="false">IF(OR(OR(NOT(AND(ISNUMBER(E63),ISNUMBER(F63))),$J$2=""),4&gt;Reprogramaciones!$K$16),"",IF(ROUND(SUM($Q63:T63),1)&gt;=99.5,100,MIN(100,ROUND(SUM($Q63:T63),1))))</f>
        <v/>
      </c>
      <c r="CN63" s="1" t="str">
        <f aca="false">IF(OR(OR(NOT(AND(ISNUMBER(E63),ISNUMBER(F63))),$J$2=""),5&gt;Reprogramaciones!$K$16),"",IF(ROUND(SUM($Q63:U63),1)&gt;=99.5,100,MIN(100,ROUND(SUM($Q63:U63),1))))</f>
        <v/>
      </c>
      <c r="CO63" s="1" t="str">
        <f aca="false">IF(OR(OR(NOT(AND(ISNUMBER(E63),ISNUMBER(F63))),$J$2=""),6&gt;Reprogramaciones!$K$16),"",IF(ROUND(SUM($Q63:V63),1)&gt;=99.5,100,MIN(100,ROUND(SUM($Q63:V63),1))))</f>
        <v/>
      </c>
      <c r="CP63" s="1" t="str">
        <f aca="false">IF(OR(OR(NOT(AND(ISNUMBER(E63),ISNUMBER(F63))),$J$2=""),7&gt;Reprogramaciones!$K$16),"",IF(ROUND(SUM($Q63:W63),1)&gt;=99.5,100,MIN(100,ROUND(SUM($Q63:W63),1))))</f>
        <v/>
      </c>
      <c r="CQ63" s="1" t="str">
        <f aca="false">IF(OR(OR(NOT(AND(ISNUMBER(E63),ISNUMBER(F63))),$J$2=""),8&gt;Reprogramaciones!$K$16),"",IF(ROUND(SUM($Q63:X63),1)&gt;=99.5,100,MIN(100,ROUND(SUM($Q63:X63),1))))</f>
        <v/>
      </c>
      <c r="CR63" s="1" t="str">
        <f aca="false">IF(OR(OR(NOT(AND(ISNUMBER(E63),ISNUMBER(F63))),$J$2=""),9&gt;Reprogramaciones!$K$16),"",IF(ROUND(SUM($Q63:Y63),1)&gt;=99.5,100,MIN(100,ROUND(SUM($Q63:Y63),1))))</f>
        <v/>
      </c>
      <c r="CS63" s="1" t="str">
        <f aca="false">IF(OR(OR(NOT(AND(ISNUMBER(E63),ISNUMBER(F63))),$J$2=""),10&gt;Reprogramaciones!$K$16),"",IF(ROUND(SUM($Q63:Z63),1)&gt;=99.5,100,MIN(100,ROUND(SUM($Q63:Z63),1))))</f>
        <v/>
      </c>
      <c r="CT63" s="1" t="str">
        <f aca="false">IF(OR(OR(NOT(AND(ISNUMBER(E63),ISNUMBER(F63))),$J$2=""),11&gt;Reprogramaciones!$K$16),"",IF(ROUND(SUM($Q63:AA63),1)&gt;=99.5,100,MIN(100,ROUND(SUM($Q63:AA63),1))))</f>
        <v/>
      </c>
      <c r="CU63" s="1" t="str">
        <f aca="false">IF(OR(OR(NOT(AND(ISNUMBER(E63),ISNUMBER(F63))),$J$2=""),12&gt;Reprogramaciones!$K$16),"",IF(ROUND(SUM($Q63:AB63),1)&gt;=99.5,100,MIN(100,ROUND(SUM($Q63:AB63),1))))</f>
        <v/>
      </c>
      <c r="CV63" s="1" t="str">
        <f aca="false">IF(OR(OR(NOT(AND(ISNUMBER(E63),ISNUMBER(F63))),$J$2=""),13&gt;Reprogramaciones!$K$16),"",IF(ROUND(SUM($Q63:AC63),1)&gt;=99.5,100,MIN(100,ROUND(SUM($Q63:AC63),1))))</f>
        <v/>
      </c>
      <c r="CW63" s="1" t="str">
        <f aca="false">IF(OR(OR(NOT(AND(ISNUMBER(E63),ISNUMBER(F63))),$J$2=""),14&gt;Reprogramaciones!$K$16),"",IF(ROUND(SUM($Q63:AD63),1)&gt;=99.5,100,MIN(100,ROUND(SUM($Q63:AD63),1))))</f>
        <v/>
      </c>
      <c r="CX63" s="1" t="str">
        <f aca="false">IF(OR(OR(NOT(AND(ISNUMBER(E63),ISNUMBER(F63))),$J$2=""),15&gt;Reprogramaciones!$K$16),"",IF(ROUND(SUM($Q63:AE63),1)&gt;=99.5,100,MIN(100,ROUND(SUM($Q63:AE63),1))))</f>
        <v/>
      </c>
      <c r="CY63" s="1" t="str">
        <f aca="false">IF(OR(OR(NOT(AND(ISNUMBER(E63),ISNUMBER(F63))),$J$2=""),16&gt;Reprogramaciones!$K$16),"",IF(ROUND(SUM($Q63:AF63),1)&gt;=99.5,100,MIN(100,ROUND(SUM($Q63:AF63),1))))</f>
        <v/>
      </c>
      <c r="CZ63" s="1" t="str">
        <f aca="false">IF(D63&lt;&gt;"",D63,IF(B63&lt;&gt;"","Contractual",CZ62))</f>
        <v>Contractual</v>
      </c>
      <c r="DA63" s="1" t="str">
        <f aca="false">IF(OR(NOT(AND(ISNUMBER(E63),ISNUMBER(F63))),$J$2=""),"",IF(Reprogramaciones!$Q$15&lt;Reprogramaciones!$T$15,0,IF(Reprogramaciones!$S$15&gt;10,MIN(100,SUM($G63:$P63)),MIN(100,SUMPRODUCT((COLUMN($G63:$P63)-COLUMN($G63)+1&lt;Reprogramaciones!$S$15)*$G63:$P63)+N(INDEX($G63:$P63,1,Reprogramaciones!$S$15))*IF(Reprogramaciones!$Q$15&gt;=(Reprogramaciones!$T$15+7*(Reprogramaciones!$S$15-1))+6,1,IF(MAX(0,NETWORKDAYS.INTL(MAX(E63,(Reprogramaciones!$T$15+7*(Reprogramaciones!$S$15-1))),MIN(F63,(Reprogramaciones!$T$15+7*(Reprogramaciones!$S$15-1))+6),11))=0,0,MAX(0,NETWORKDAYS.INTL(MAX(E63,(Reprogramaciones!$T$15+7*(Reprogramaciones!$S$15-1))),MIN(F63,Reprogramaciones!$Q$15),11))/MAX(0,NETWORKDAYS.INTL(MAX(E63,(Reprogramaciones!$T$15+7*(Reprogramaciones!$S$15-1))),MIN(F63,(Reprogramaciones!$T$15+7*(Reprogramaciones!$S$15-1))+6),11))))))))</f>
        <v/>
      </c>
    </row>
    <row r="64" customFormat="false" ht="15" hidden="false" customHeight="false" outlineLevel="0" collapsed="false">
      <c r="A64" s="32"/>
      <c r="B64" s="33"/>
      <c r="C64" s="33"/>
      <c r="D64" s="34"/>
      <c r="E64" s="35"/>
      <c r="F64" s="35"/>
      <c r="G64" s="36" t="str">
        <f aca="false">IF(OR(NOT(AND(ISNUMBER(E64),ISNUMBER(F64))),$J$2=""),"",IF(Reprogramaciones!K$9&lt;E64,0,IF(NETWORKDAYS.INTL(E64,F64,11)=0,IF(Reprogramaciones!K$9&gt;=F64,100,0),ROUND(NETWORKDAYS.INTL(E64,MIN(F64,Reprogramaciones!K$9),11)/NETWORKDAYS.INTL(E64,F64,11)*100,1)))-0)</f>
        <v/>
      </c>
      <c r="H64" s="36" t="str">
        <f aca="false">IF(OR(NOT(AND(ISNUMBER(E64),ISNUMBER(F64))),$J$2=""),"",IF(Reprogramaciones!L$9&lt;E64,0,IF(NETWORKDAYS.INTL(E64,F64,11)=0,IF(Reprogramaciones!L$9&gt;=F64,100,0),ROUND(NETWORKDAYS.INTL(E64,MIN(F64,Reprogramaciones!L$9),11)/NETWORKDAYS.INTL(E64,F64,11)*100,1)))-IF(Reprogramaciones!K$9&lt;E64,0,IF(NETWORKDAYS.INTL(E64,F64,11)=0,IF(Reprogramaciones!K$9&gt;=F64,100,0),ROUND(NETWORKDAYS.INTL(E64,MIN(F64,Reprogramaciones!K$9),11)/NETWORKDAYS.INTL(E64,F64,11)*100,1))))</f>
        <v/>
      </c>
      <c r="I64" s="36" t="str">
        <f aca="false">IF(OR(NOT(AND(ISNUMBER(E64),ISNUMBER(F64))),$J$2=""),"",IF(Reprogramaciones!M$9&lt;E64,0,IF(NETWORKDAYS.INTL(E64,F64,11)=0,IF(Reprogramaciones!M$9&gt;=F64,100,0),ROUND(NETWORKDAYS.INTL(E64,MIN(F64,Reprogramaciones!M$9),11)/NETWORKDAYS.INTL(E64,F64,11)*100,1)))-IF(Reprogramaciones!L$9&lt;E64,0,IF(NETWORKDAYS.INTL(E64,F64,11)=0,IF(Reprogramaciones!L$9&gt;=F64,100,0),ROUND(NETWORKDAYS.INTL(E64,MIN(F64,Reprogramaciones!L$9),11)/NETWORKDAYS.INTL(E64,F64,11)*100,1))))</f>
        <v/>
      </c>
      <c r="J64" s="36" t="str">
        <f aca="false">IF(OR(NOT(AND(ISNUMBER(E64),ISNUMBER(F64))),$J$2=""),"",IF(Reprogramaciones!N$9&lt;E64,0,IF(NETWORKDAYS.INTL(E64,F64,11)=0,IF(Reprogramaciones!N$9&gt;=F64,100,0),ROUND(NETWORKDAYS.INTL(E64,MIN(F64,Reprogramaciones!N$9),11)/NETWORKDAYS.INTL(E64,F64,11)*100,1)))-IF(Reprogramaciones!M$9&lt;E64,0,IF(NETWORKDAYS.INTL(E64,F64,11)=0,IF(Reprogramaciones!M$9&gt;=F64,100,0),ROUND(NETWORKDAYS.INTL(E64,MIN(F64,Reprogramaciones!M$9),11)/NETWORKDAYS.INTL(E64,F64,11)*100,1))))</f>
        <v/>
      </c>
      <c r="K64" s="36" t="str">
        <f aca="false">IF(OR(NOT(AND(ISNUMBER(E64),ISNUMBER(F64))),$J$2=""),"",IF(Reprogramaciones!O$9&lt;E64,0,IF(NETWORKDAYS.INTL(E64,F64,11)=0,IF(Reprogramaciones!O$9&gt;=F64,100,0),ROUND(NETWORKDAYS.INTL(E64,MIN(F64,Reprogramaciones!O$9),11)/NETWORKDAYS.INTL(E64,F64,11)*100,1)))-IF(Reprogramaciones!N$9&lt;E64,0,IF(NETWORKDAYS.INTL(E64,F64,11)=0,IF(Reprogramaciones!N$9&gt;=F64,100,0),ROUND(NETWORKDAYS.INTL(E64,MIN(F64,Reprogramaciones!N$9),11)/NETWORKDAYS.INTL(E64,F64,11)*100,1))))</f>
        <v/>
      </c>
      <c r="L64" s="36" t="str">
        <f aca="false">IF(OR(NOT(AND(ISNUMBER(E64),ISNUMBER(F64))),$J$2=""),"",IF(Reprogramaciones!P$9&lt;E64,0,IF(NETWORKDAYS.INTL(E64,F64,11)=0,IF(Reprogramaciones!P$9&gt;=F64,100,0),ROUND(NETWORKDAYS.INTL(E64,MIN(F64,Reprogramaciones!P$9),11)/NETWORKDAYS.INTL(E64,F64,11)*100,1)))-IF(Reprogramaciones!O$9&lt;E64,0,IF(NETWORKDAYS.INTL(E64,F64,11)=0,IF(Reprogramaciones!O$9&gt;=F64,100,0),ROUND(NETWORKDAYS.INTL(E64,MIN(F64,Reprogramaciones!O$9),11)/NETWORKDAYS.INTL(E64,F64,11)*100,1))))</f>
        <v/>
      </c>
      <c r="M64" s="36" t="str">
        <f aca="false">IF(OR(NOT(AND(ISNUMBER(E64),ISNUMBER(F64))),$J$2=""),"",IF(Reprogramaciones!Q$9&lt;E64,0,IF(NETWORKDAYS.INTL(E64,F64,11)=0,IF(Reprogramaciones!Q$9&gt;=F64,100,0),ROUND(NETWORKDAYS.INTL(E64,MIN(F64,Reprogramaciones!Q$9),11)/NETWORKDAYS.INTL(E64,F64,11)*100,1)))-IF(Reprogramaciones!P$9&lt;E64,0,IF(NETWORKDAYS.INTL(E64,F64,11)=0,IF(Reprogramaciones!P$9&gt;=F64,100,0),ROUND(NETWORKDAYS.INTL(E64,MIN(F64,Reprogramaciones!P$9),11)/NETWORKDAYS.INTL(E64,F64,11)*100,1))))</f>
        <v/>
      </c>
      <c r="N64" s="36" t="str">
        <f aca="false">IF(OR(NOT(AND(ISNUMBER(E64),ISNUMBER(F64))),$J$2=""),"",IF(Reprogramaciones!R$9&lt;E64,0,IF(NETWORKDAYS.INTL(E64,F64,11)=0,IF(Reprogramaciones!R$9&gt;=F64,100,0),ROUND(NETWORKDAYS.INTL(E64,MIN(F64,Reprogramaciones!R$9),11)/NETWORKDAYS.INTL(E64,F64,11)*100,1)))-IF(Reprogramaciones!Q$9&lt;E64,0,IF(NETWORKDAYS.INTL(E64,F64,11)=0,IF(Reprogramaciones!Q$9&gt;=F64,100,0),ROUND(NETWORKDAYS.INTL(E64,MIN(F64,Reprogramaciones!Q$9),11)/NETWORKDAYS.INTL(E64,F64,11)*100,1))))</f>
        <v/>
      </c>
      <c r="O64" s="36" t="str">
        <f aca="false">IF(OR(NOT(AND(ISNUMBER(E64),ISNUMBER(F64))),$J$2=""),"",IF(Reprogramaciones!S$9&lt;E64,0,IF(NETWORKDAYS.INTL(E64,F64,11)=0,IF(Reprogramaciones!S$9&gt;=F64,100,0),ROUND(NETWORKDAYS.INTL(E64,MIN(F64,Reprogramaciones!S$9),11)/NETWORKDAYS.INTL(E64,F64,11)*100,1)))-IF(Reprogramaciones!R$9&lt;E64,0,IF(NETWORKDAYS.INTL(E64,F64,11)=0,IF(Reprogramaciones!R$9&gt;=F64,100,0),ROUND(NETWORKDAYS.INTL(E64,MIN(F64,Reprogramaciones!R$9),11)/NETWORKDAYS.INTL(E64,F64,11)*100,1))))</f>
        <v/>
      </c>
      <c r="P64" s="36" t="str">
        <f aca="false">IF(OR(NOT(AND(ISNUMBER(E64),ISNUMBER(F64))),$J$2=""),"",IF(Reprogramaciones!T$9&lt;E64,0,IF(NETWORKDAYS.INTL(E64,F64,11)=0,IF(Reprogramaciones!T$9&gt;=F64,100,0),ROUND(NETWORKDAYS.INTL(E64,MIN(F64,Reprogramaciones!T$9),11)/NETWORKDAYS.INTL(E64,F64,11)*100,1)))-IF(Reprogramaciones!S$9&lt;E64,0,IF(NETWORKDAYS.INTL(E64,F64,11)=0,IF(Reprogramaciones!S$9&gt;=F64,100,0),ROUND(NETWORKDAYS.INTL(E64,MIN(F64,Reprogramaciones!S$9),11)/NETWORKDAYS.INTL(E64,F64,11)*100,1))))</f>
        <v/>
      </c>
      <c r="Q64" s="37"/>
      <c r="R64" s="37"/>
      <c r="S64" s="37"/>
      <c r="T64" s="37"/>
      <c r="U64" s="37"/>
      <c r="V64" s="37"/>
      <c r="W64" s="37"/>
      <c r="X64" s="37"/>
      <c r="Y64" s="37"/>
      <c r="Z64" s="37"/>
      <c r="AA64" s="37"/>
      <c r="AB64" s="37"/>
      <c r="AC64" s="37"/>
      <c r="AD64" s="37"/>
      <c r="AE64" s="37"/>
      <c r="AF64" s="37"/>
      <c r="AG64" s="38" t="str">
        <f aca="false">IF(AND(ISNUMBER(E64),ISNUMBER(F64)),NETWORKDAYS.INTL(E64,F64,11),"")</f>
        <v/>
      </c>
      <c r="AH64" s="38" t="str">
        <f aca="false">IF(OR(NOT(AND(ISNUMBER(E64),ISNUMBER(F64))),$J$2=""),"",IF(Reprogramaciones!$P$15&lt;Reprogramaciones!$T$15,0,IF(Reprogramaciones!$R$15&gt;10,MIN(100,SUM($G64:$P64)),MIN(100,SUMPRODUCT((COLUMN($G64:$P64)-COLUMN($G64)+1&lt;Reprogramaciones!$R$15)*$G64:$P64)+N(INDEX($G64:$P64,1,Reprogramaciones!$R$15))*IF(Reprogramaciones!$P$15&gt;=(Reprogramaciones!$T$15+7*(Reprogramaciones!$R$15-1))+6,1,IF(MAX(0,NETWORKDAYS.INTL(MAX(E64,(Reprogramaciones!$T$15+7*(Reprogramaciones!$R$15-1))),MIN(F64,(Reprogramaciones!$T$15+7*(Reprogramaciones!$R$15-1))+6),11))=0,0,MAX(0,NETWORKDAYS.INTL(MAX(E64,(Reprogramaciones!$T$15+7*(Reprogramaciones!$R$15-1))),MIN(F64,Reprogramaciones!$P$15),11))/MAX(0,NETWORKDAYS.INTL(MAX(E64,(Reprogramaciones!$T$15+7*(Reprogramaciones!$R$15-1))),MIN(F64,(Reprogramaciones!$T$15+7*(Reprogramaciones!$R$15-1))+6),11))))))))</f>
        <v/>
      </c>
      <c r="AI64" s="38" t="str">
        <f aca="false">IF(COUNT($Q64:$AF64)=0,"",IF(ROUND(SUM($Q64:$AF64),1)&gt;=99.5,100,MIN(100,ROUND(SUM($Q64:$AF64),1))))</f>
        <v/>
      </c>
      <c r="AJ64" s="38" t="str">
        <f aca="false">IF(OR(AH64="",AI64=""),"",AI64-AH64)</f>
        <v/>
      </c>
      <c r="AK64" s="39" t="str">
        <f aca="true">IF(AH64="","",IF(OR(Ficha!$C$10="Suspendida",Ficha!$C$10="Cancelada"),Ficha!$C$10,IF(AND(AI64&lt;&gt;"",N(AI64)&gt;=100),"Completada",IF(AND(E64&gt;TODAY(),N(AI64)=0),"Por iniciar",IF(N(AI64)+0.5&lt;AH64,"Retrasada",IF(N(AI64)+0.5&lt;DA64,IF(Reprogramaciones!$K$15&gt;0,"Al día · Sem "&amp;Reprogramaciones!$K$15&amp;" en curso","Al día · en curso"),"A tiempo"))))))</f>
        <v/>
      </c>
      <c r="AL64" s="39" t="str">
        <f aca="true">IF(AND(A64="",AND(B64="",C64="",E64="",F64="",COUNT(Q64:AF64)=0)),"",IF(AND(B64="",C64="",E64="",F64="",COUNT(Q64:AF64)=0),"Falta la partida o subpartida",IF(AND(A64&lt;&gt;"",COUNTIF($A$6:$A$305,A64)&gt;1),"Ítem repetido",IF(AND(C64="",E64="",F64="",COUNT(Q64:AF64)=0),"Título de partida",IF(OR(E64="",F64=""),"Faltan fechas",IF(OR(ISTEXT(E64),ISTEXT(F64)),"Fecha escrita como texto: usa dd/mm/aaaa",IF(F64&lt;E64,"Fin antes del inicio",IF(IF($J$2="",FALSE(),OR(E64&lt;$J$2,F64&gt;Reprogramaciones!$T$15+69)),"Fuera de las 10 semanas",IF(ABS(SUM(G64:P64)-100)&gt;0.5,"La meta no suma 100%",IF(ROUND(SUM(Q64:AF64),1)&gt;100.5,"El avance pasa de 100%",IF(MIN(Q64:AF64)&lt;0,"Avance negativo",IF(COUNTA(Q64:AF64)&gt;COUNT(Q64:AF64),"Avance escrito como texto",IF(SUMPRODUCT((Q64:AF64&gt;0)*(Q64:AF64&lt;1))&gt;0,"Avance menor a 1: escribe 50, no 50%",IF(SUMPRODUCT(ISNUMBER(Q64:AF64)*(Reprogramaciones!$K$8:$Z$8&gt;TODAY()))&gt;0,"Avance en semana que aún no llega",IF(AND(N(Reprogramaciones!$E$21)&gt;0,F64&gt;Reprogramaciones!$E$21),"Pasa el fin de la obra: registra una reprogramación",IF(AND(N(Reprogramaciones!$E$21)&gt;0,SUMPRODUCT(ISNUMBER(Q64:AF64)*(Reprogramaciones!$K$8:$Z$8&gt;Reprogramaciones!$E$21))&gt;0),"Avance después del fin de la obra: registra una reprogramación por atraso","OK"))))))))))))))))</f>
        <v/>
      </c>
      <c r="AM64" s="40" t="str">
        <f aca="false">IF(OR(OR(NOT(AND(ISNUMBER(E64),ISNUMBER(F64))),$J$2=""),1&gt;MAX(1,Reprogramaciones!$U$15)),"",IF(Reprogramaciones!K$12&gt;=7,"",IF(OR(BT64-N(0)&gt;0.05,N(Q64)&gt;0),ROUNDDOWN(ROUND(BT64,6),0)&amp;"%"&amp;IF(CJ64="",""," / "&amp;CJ64&amp;"%"),IF(AND(N(0)&gt;=99.95,CJ64&lt;&gt;"",N(CJ64)&lt;100),"Pend. "&amp;CJ64&amp;"%",""))))</f>
        <v/>
      </c>
      <c r="AN64" s="40" t="str">
        <f aca="false">IF(OR(OR(NOT(AND(ISNUMBER(E64),ISNUMBER(F64))),$J$2=""),2&gt;MAX(1,Reprogramaciones!$U$15)),"",IF(Reprogramaciones!L$12&gt;=7,"",IF(OR(BU64-N(BT64)&gt;0.05,N(R64)&gt;0),ROUNDDOWN(ROUND(BU64,6),0)&amp;"%"&amp;IF(CK64="",""," / "&amp;CK64&amp;"%"),IF(AND(N(BT64)&gt;=99.95,CK64&lt;&gt;"",N(CK64)&lt;100),"Pend. "&amp;CK64&amp;"%",""))))</f>
        <v/>
      </c>
      <c r="AO64" s="40" t="str">
        <f aca="false">IF(OR(OR(NOT(AND(ISNUMBER(E64),ISNUMBER(F64))),$J$2=""),3&gt;MAX(1,Reprogramaciones!$U$15)),"",IF(Reprogramaciones!M$12&gt;=7,"",IF(OR(BV64-N(BU64)&gt;0.05,N(S64)&gt;0),ROUNDDOWN(ROUND(BV64,6),0)&amp;"%"&amp;IF(CL64="",""," / "&amp;CL64&amp;"%"),IF(AND(N(BU64)&gt;=99.95,CL64&lt;&gt;"",N(CL64)&lt;100),"Pend. "&amp;CL64&amp;"%",""))))</f>
        <v/>
      </c>
      <c r="AP64" s="40" t="str">
        <f aca="false">IF(OR(OR(NOT(AND(ISNUMBER(E64),ISNUMBER(F64))),$J$2=""),4&gt;MAX(1,Reprogramaciones!$U$15)),"",IF(Reprogramaciones!N$12&gt;=7,"",IF(OR(BW64-N(BV64)&gt;0.05,N(T64)&gt;0),ROUNDDOWN(ROUND(BW64,6),0)&amp;"%"&amp;IF(CM64="",""," / "&amp;CM64&amp;"%"),IF(AND(N(BV64)&gt;=99.95,CM64&lt;&gt;"",N(CM64)&lt;100),"Pend. "&amp;CM64&amp;"%",""))))</f>
        <v/>
      </c>
      <c r="AQ64" s="40" t="str">
        <f aca="false">IF(OR(OR(NOT(AND(ISNUMBER(E64),ISNUMBER(F64))),$J$2=""),5&gt;MAX(1,Reprogramaciones!$U$15)),"",IF(Reprogramaciones!O$12&gt;=7,"",IF(OR(BX64-N(BW64)&gt;0.05,N(U64)&gt;0),ROUNDDOWN(ROUND(BX64,6),0)&amp;"%"&amp;IF(CN64="",""," / "&amp;CN64&amp;"%"),IF(AND(N(BW64)&gt;=99.95,CN64&lt;&gt;"",N(CN64)&lt;100),"Pend. "&amp;CN64&amp;"%",""))))</f>
        <v/>
      </c>
      <c r="AR64" s="40" t="str">
        <f aca="false">IF(OR(OR(NOT(AND(ISNUMBER(E64),ISNUMBER(F64))),$J$2=""),6&gt;MAX(1,Reprogramaciones!$U$15)),"",IF(Reprogramaciones!P$12&gt;=7,"",IF(OR(BY64-N(BX64)&gt;0.05,N(V64)&gt;0),ROUNDDOWN(ROUND(BY64,6),0)&amp;"%"&amp;IF(CO64="",""," / "&amp;CO64&amp;"%"),IF(AND(N(BX64)&gt;=99.95,CO64&lt;&gt;"",N(CO64)&lt;100),"Pend. "&amp;CO64&amp;"%",""))))</f>
        <v/>
      </c>
      <c r="AS64" s="40" t="str">
        <f aca="false">IF(OR(OR(NOT(AND(ISNUMBER(E64),ISNUMBER(F64))),$J$2=""),7&gt;MAX(1,Reprogramaciones!$U$15)),"",IF(Reprogramaciones!Q$12&gt;=7,"",IF(OR(BZ64-N(BY64)&gt;0.05,N(W64)&gt;0),ROUNDDOWN(ROUND(BZ64,6),0)&amp;"%"&amp;IF(CP64="",""," / "&amp;CP64&amp;"%"),IF(AND(N(BY64)&gt;=99.95,CP64&lt;&gt;"",N(CP64)&lt;100),"Pend. "&amp;CP64&amp;"%",""))))</f>
        <v/>
      </c>
      <c r="AT64" s="40" t="str">
        <f aca="false">IF(OR(OR(NOT(AND(ISNUMBER(E64),ISNUMBER(F64))),$J$2=""),8&gt;MAX(1,Reprogramaciones!$U$15)),"",IF(Reprogramaciones!R$12&gt;=7,"",IF(OR(CA64-N(BZ64)&gt;0.05,N(X64)&gt;0),ROUNDDOWN(ROUND(CA64,6),0)&amp;"%"&amp;IF(CQ64="",""," / "&amp;CQ64&amp;"%"),IF(AND(N(BZ64)&gt;=99.95,CQ64&lt;&gt;"",N(CQ64)&lt;100),"Pend. "&amp;CQ64&amp;"%",""))))</f>
        <v/>
      </c>
      <c r="AU64" s="40" t="str">
        <f aca="false">IF(OR(OR(NOT(AND(ISNUMBER(E64),ISNUMBER(F64))),$J$2=""),9&gt;MAX(1,Reprogramaciones!$U$15)),"",IF(Reprogramaciones!S$12&gt;=7,"",IF(OR(CB64-N(CA64)&gt;0.05,N(Y64)&gt;0),ROUNDDOWN(ROUND(CB64,6),0)&amp;"%"&amp;IF(CR64="",""," / "&amp;CR64&amp;"%"),IF(AND(N(CA64)&gt;=99.95,CR64&lt;&gt;"",N(CR64)&lt;100),"Pend. "&amp;CR64&amp;"%",""))))</f>
        <v/>
      </c>
      <c r="AV64" s="40" t="str">
        <f aca="false">IF(OR(OR(NOT(AND(ISNUMBER(E64),ISNUMBER(F64))),$J$2=""),10&gt;MAX(1,Reprogramaciones!$U$15)),"",IF(Reprogramaciones!T$12&gt;=7,"",IF(OR(CC64-N(CB64)&gt;0.05,N(Z64)&gt;0),ROUNDDOWN(ROUND(CC64,6),0)&amp;"%"&amp;IF(CS64="",""," / "&amp;CS64&amp;"%"),IF(AND(N(CB64)&gt;=99.95,CS64&lt;&gt;"",N(CS64)&lt;100),"Pend. "&amp;CS64&amp;"%",""))))</f>
        <v/>
      </c>
      <c r="AW64" s="40" t="str">
        <f aca="false">IF(OR(OR(NOT(AND(ISNUMBER(E64),ISNUMBER(F64))),$J$2=""),11&gt;MAX(1,Reprogramaciones!$U$15)),"",IF(Reprogramaciones!U$12&gt;=7,"",IF(OR(CD64-N(CC64)&gt;0.05,N(AA64)&gt;0),ROUNDDOWN(ROUND(CD64,6),0)&amp;"%"&amp;IF(CT64="",""," / "&amp;CT64&amp;"%"),IF(AND(N(CC64)&gt;=99.95,CT64&lt;&gt;"",N(CT64)&lt;100),"Pend. "&amp;CT64&amp;"%",""))))</f>
        <v/>
      </c>
      <c r="AX64" s="40" t="str">
        <f aca="false">IF(OR(OR(NOT(AND(ISNUMBER(E64),ISNUMBER(F64))),$J$2=""),12&gt;MAX(1,Reprogramaciones!$U$15)),"",IF(Reprogramaciones!V$12&gt;=7,"",IF(OR(CE64-N(CD64)&gt;0.05,N(AB64)&gt;0),ROUNDDOWN(ROUND(CE64,6),0)&amp;"%"&amp;IF(CU64="",""," / "&amp;CU64&amp;"%"),IF(AND(N(CD64)&gt;=99.95,CU64&lt;&gt;"",N(CU64)&lt;100),"Pend. "&amp;CU64&amp;"%",""))))</f>
        <v/>
      </c>
      <c r="AY64" s="40" t="str">
        <f aca="false">IF(OR(OR(NOT(AND(ISNUMBER(E64),ISNUMBER(F64))),$J$2=""),13&gt;MAX(1,Reprogramaciones!$U$15)),"",IF(Reprogramaciones!W$12&gt;=7,"",IF(OR(CF64-N(CE64)&gt;0.05,N(AC64)&gt;0),ROUNDDOWN(ROUND(CF64,6),0)&amp;"%"&amp;IF(CV64="",""," / "&amp;CV64&amp;"%"),IF(AND(N(CE64)&gt;=99.95,CV64&lt;&gt;"",N(CV64)&lt;100),"Pend. "&amp;CV64&amp;"%",""))))</f>
        <v/>
      </c>
      <c r="AZ64" s="40" t="str">
        <f aca="false">IF(OR(OR(NOT(AND(ISNUMBER(E64),ISNUMBER(F64))),$J$2=""),14&gt;MAX(1,Reprogramaciones!$U$15)),"",IF(Reprogramaciones!X$12&gt;=7,"",IF(OR(CG64-N(CF64)&gt;0.05,N(AD64)&gt;0),ROUNDDOWN(ROUND(CG64,6),0)&amp;"%"&amp;IF(CW64="",""," / "&amp;CW64&amp;"%"),IF(AND(N(CF64)&gt;=99.95,CW64&lt;&gt;"",N(CW64)&lt;100),"Pend. "&amp;CW64&amp;"%",""))))</f>
        <v/>
      </c>
      <c r="BA64" s="40" t="str">
        <f aca="false">IF(OR(OR(NOT(AND(ISNUMBER(E64),ISNUMBER(F64))),$J$2=""),15&gt;MAX(1,Reprogramaciones!$U$15)),"",IF(Reprogramaciones!Y$12&gt;=7,"",IF(OR(CH64-N(CG64)&gt;0.05,N(AE64)&gt;0),ROUNDDOWN(ROUND(CH64,6),0)&amp;"%"&amp;IF(CX64="",""," / "&amp;CX64&amp;"%"),IF(AND(N(CG64)&gt;=99.95,CX64&lt;&gt;"",N(CX64)&lt;100),"Pend. "&amp;CX64&amp;"%",""))))</f>
        <v/>
      </c>
      <c r="BB64" s="40" t="str">
        <f aca="false">IF(OR(OR(NOT(AND(ISNUMBER(E64),ISNUMBER(F64))),$J$2=""),16&gt;MAX(1,Reprogramaciones!$U$15)),"",IF(Reprogramaciones!Z$12&gt;=7,"",IF(OR(CI64-N(CH64)&gt;0.05,N(AF64)&gt;0),ROUNDDOWN(ROUND(CI64,6),0)&amp;"%"&amp;IF(CY64="",""," / "&amp;CY64&amp;"%"),IF(AND(N(CH64)&gt;=99.95,CY64&lt;&gt;"",N(CY64)&lt;100),"Pend. "&amp;CY64&amp;"%",""))))</f>
        <v/>
      </c>
      <c r="BC64" s="31" t="n">
        <f aca="false">IF(AND(ISNUMBER(E64),ISNUMBER(F64)),MAX(1,NETWORKDAYS.INTL(E64,F64,11)),0)</f>
        <v>0</v>
      </c>
      <c r="BD64" s="1" t="str">
        <f aca="false">IF(OR(NOT(AND(ISNUMBER(E64),ISNUMBER(F64))),$J$2=""),"",MIN(100,ROUND(SUM($G64:G64),1)))</f>
        <v/>
      </c>
      <c r="BE64" s="1" t="str">
        <f aca="false">IF(OR(NOT(AND(ISNUMBER(E64),ISNUMBER(F64))),$J$2=""),"",MIN(100,ROUND(SUM($G64:H64),1)))</f>
        <v/>
      </c>
      <c r="BF64" s="1" t="str">
        <f aca="false">IF(OR(NOT(AND(ISNUMBER(E64),ISNUMBER(F64))),$J$2=""),"",MIN(100,ROUND(SUM($G64:I64),1)))</f>
        <v/>
      </c>
      <c r="BG64" s="1" t="str">
        <f aca="false">IF(OR(NOT(AND(ISNUMBER(E64),ISNUMBER(F64))),$J$2=""),"",MIN(100,ROUND(SUM($G64:J64),1)))</f>
        <v/>
      </c>
      <c r="BH64" s="1" t="str">
        <f aca="false">IF(OR(NOT(AND(ISNUMBER(E64),ISNUMBER(F64))),$J$2=""),"",MIN(100,ROUND(SUM($G64:K64),1)))</f>
        <v/>
      </c>
      <c r="BI64" s="1" t="str">
        <f aca="false">IF(OR(NOT(AND(ISNUMBER(E64),ISNUMBER(F64))),$J$2=""),"",MIN(100,ROUND(SUM($G64:L64),1)))</f>
        <v/>
      </c>
      <c r="BJ64" s="1" t="str">
        <f aca="false">IF(OR(NOT(AND(ISNUMBER(E64),ISNUMBER(F64))),$J$2=""),"",MIN(100,ROUND(SUM($G64:M64),1)))</f>
        <v/>
      </c>
      <c r="BK64" s="1" t="str">
        <f aca="false">IF(OR(NOT(AND(ISNUMBER(E64),ISNUMBER(F64))),$J$2=""),"",MIN(100,ROUND(SUM($G64:N64),1)))</f>
        <v/>
      </c>
      <c r="BL64" s="1" t="str">
        <f aca="false">IF(OR(NOT(AND(ISNUMBER(E64),ISNUMBER(F64))),$J$2=""),"",MIN(100,ROUND(SUM($G64:O64),1)))</f>
        <v/>
      </c>
      <c r="BM64" s="1" t="str">
        <f aca="false">IF(OR(NOT(AND(ISNUMBER(E64),ISNUMBER(F64))),$J$2=""),"",MIN(100,ROUND(SUM($G64:P64),1)))</f>
        <v/>
      </c>
      <c r="BN64" s="1" t="str">
        <f aca="false">IF(OR(NOT(AND(ISNUMBER(E64),ISNUMBER(F64))),$J$2=""),"",MIN(100,ROUND(SUM($G64:P64),1)))</f>
        <v/>
      </c>
      <c r="BO64" s="1" t="str">
        <f aca="false">IF(OR(NOT(AND(ISNUMBER(E64),ISNUMBER(F64))),$J$2=""),"",MIN(100,ROUND(SUM($G64:P64),1)))</f>
        <v/>
      </c>
      <c r="BP64" s="1" t="str">
        <f aca="false">IF(OR(NOT(AND(ISNUMBER(E64),ISNUMBER(F64))),$J$2=""),"",MIN(100,ROUND(SUM($G64:P64),1)))</f>
        <v/>
      </c>
      <c r="BQ64" s="1" t="str">
        <f aca="false">IF(OR(NOT(AND(ISNUMBER(E64),ISNUMBER(F64))),$J$2=""),"",MIN(100,ROUND(SUM($G64:P64),1)))</f>
        <v/>
      </c>
      <c r="BR64" s="1" t="str">
        <f aca="false">IF(OR(NOT(AND(ISNUMBER(E64),ISNUMBER(F64))),$J$2=""),"",MIN(100,ROUND(SUM($G64:P64),1)))</f>
        <v/>
      </c>
      <c r="BS64" s="1" t="str">
        <f aca="false">IF(OR(NOT(AND(ISNUMBER(E64),ISNUMBER(F64))),$J$2=""),"",MIN(100,ROUND(SUM($G64:P64),1)))</f>
        <v/>
      </c>
      <c r="BT64" s="1" t="str">
        <f aca="false">IF(OR(NOT(AND(ISNUMBER(E64),ISNUMBER(F64))),$J$2=""),"",IF(Reprogramaciones!K$13&lt;Reprogramaciones!$T$15,0,IF(Reprogramaciones!K$14&gt;10,MIN(100,SUM($G64:$P64)),MIN(100,SUMPRODUCT((COLUMN($G64:$P64)-COLUMN($G64)+1&lt;Reprogramaciones!K$14)*$G64:$P64)+N(INDEX($G64:$P64,1,Reprogramaciones!K$14))*IF(Reprogramaciones!K$13&gt;=(Reprogramaciones!$T$15+7*(Reprogramaciones!K$14-1))+6,1,IF(MAX(0,NETWORKDAYS.INTL(MAX(E64,(Reprogramaciones!$T$15+7*(Reprogramaciones!K$14-1))),MIN(F64,(Reprogramaciones!$T$15+7*(Reprogramaciones!K$14-1))+6),11))=0,0,MAX(0,NETWORKDAYS.INTL(MAX(E64,(Reprogramaciones!$T$15+7*(Reprogramaciones!K$14-1))),MIN(F64,Reprogramaciones!K$13),11))/MAX(0,NETWORKDAYS.INTL(MAX(E64,(Reprogramaciones!$T$15+7*(Reprogramaciones!K$14-1))),MIN(F64,(Reprogramaciones!$T$15+7*(Reprogramaciones!K$14-1))+6),11))))))))</f>
        <v/>
      </c>
      <c r="BU64" s="1" t="str">
        <f aca="false">IF(OR(NOT(AND(ISNUMBER(E64),ISNUMBER(F64))),$J$2=""),"",IF(Reprogramaciones!L$13&lt;Reprogramaciones!$T$15,0,IF(Reprogramaciones!L$14&gt;10,MIN(100,SUM($G64:$P64)),MIN(100,SUMPRODUCT((COLUMN($G64:$P64)-COLUMN($G64)+1&lt;Reprogramaciones!L$14)*$G64:$P64)+N(INDEX($G64:$P64,1,Reprogramaciones!L$14))*IF(Reprogramaciones!L$13&gt;=(Reprogramaciones!$T$15+7*(Reprogramaciones!L$14-1))+6,1,IF(MAX(0,NETWORKDAYS.INTL(MAX(E64,(Reprogramaciones!$T$15+7*(Reprogramaciones!L$14-1))),MIN(F64,(Reprogramaciones!$T$15+7*(Reprogramaciones!L$14-1))+6),11))=0,0,MAX(0,NETWORKDAYS.INTL(MAX(E64,(Reprogramaciones!$T$15+7*(Reprogramaciones!L$14-1))),MIN(F64,Reprogramaciones!L$13),11))/MAX(0,NETWORKDAYS.INTL(MAX(E64,(Reprogramaciones!$T$15+7*(Reprogramaciones!L$14-1))),MIN(F64,(Reprogramaciones!$T$15+7*(Reprogramaciones!L$14-1))+6),11))))))))</f>
        <v/>
      </c>
      <c r="BV64" s="1" t="str">
        <f aca="false">IF(OR(NOT(AND(ISNUMBER(E64),ISNUMBER(F64))),$J$2=""),"",IF(Reprogramaciones!M$13&lt;Reprogramaciones!$T$15,0,IF(Reprogramaciones!M$14&gt;10,MIN(100,SUM($G64:$P64)),MIN(100,SUMPRODUCT((COLUMN($G64:$P64)-COLUMN($G64)+1&lt;Reprogramaciones!M$14)*$G64:$P64)+N(INDEX($G64:$P64,1,Reprogramaciones!M$14))*IF(Reprogramaciones!M$13&gt;=(Reprogramaciones!$T$15+7*(Reprogramaciones!M$14-1))+6,1,IF(MAX(0,NETWORKDAYS.INTL(MAX(E64,(Reprogramaciones!$T$15+7*(Reprogramaciones!M$14-1))),MIN(F64,(Reprogramaciones!$T$15+7*(Reprogramaciones!M$14-1))+6),11))=0,0,MAX(0,NETWORKDAYS.INTL(MAX(E64,(Reprogramaciones!$T$15+7*(Reprogramaciones!M$14-1))),MIN(F64,Reprogramaciones!M$13),11))/MAX(0,NETWORKDAYS.INTL(MAX(E64,(Reprogramaciones!$T$15+7*(Reprogramaciones!M$14-1))),MIN(F64,(Reprogramaciones!$T$15+7*(Reprogramaciones!M$14-1))+6),11))))))))</f>
        <v/>
      </c>
      <c r="BW64" s="1" t="str">
        <f aca="false">IF(OR(NOT(AND(ISNUMBER(E64),ISNUMBER(F64))),$J$2=""),"",IF(Reprogramaciones!N$13&lt;Reprogramaciones!$T$15,0,IF(Reprogramaciones!N$14&gt;10,MIN(100,SUM($G64:$P64)),MIN(100,SUMPRODUCT((COLUMN($G64:$P64)-COLUMN($G64)+1&lt;Reprogramaciones!N$14)*$G64:$P64)+N(INDEX($G64:$P64,1,Reprogramaciones!N$14))*IF(Reprogramaciones!N$13&gt;=(Reprogramaciones!$T$15+7*(Reprogramaciones!N$14-1))+6,1,IF(MAX(0,NETWORKDAYS.INTL(MAX(E64,(Reprogramaciones!$T$15+7*(Reprogramaciones!N$14-1))),MIN(F64,(Reprogramaciones!$T$15+7*(Reprogramaciones!N$14-1))+6),11))=0,0,MAX(0,NETWORKDAYS.INTL(MAX(E64,(Reprogramaciones!$T$15+7*(Reprogramaciones!N$14-1))),MIN(F64,Reprogramaciones!N$13),11))/MAX(0,NETWORKDAYS.INTL(MAX(E64,(Reprogramaciones!$T$15+7*(Reprogramaciones!N$14-1))),MIN(F64,(Reprogramaciones!$T$15+7*(Reprogramaciones!N$14-1))+6),11))))))))</f>
        <v/>
      </c>
      <c r="BX64" s="1" t="str">
        <f aca="false">IF(OR(NOT(AND(ISNUMBER(E64),ISNUMBER(F64))),$J$2=""),"",IF(Reprogramaciones!O$13&lt;Reprogramaciones!$T$15,0,IF(Reprogramaciones!O$14&gt;10,MIN(100,SUM($G64:$P64)),MIN(100,SUMPRODUCT((COLUMN($G64:$P64)-COLUMN($G64)+1&lt;Reprogramaciones!O$14)*$G64:$P64)+N(INDEX($G64:$P64,1,Reprogramaciones!O$14))*IF(Reprogramaciones!O$13&gt;=(Reprogramaciones!$T$15+7*(Reprogramaciones!O$14-1))+6,1,IF(MAX(0,NETWORKDAYS.INTL(MAX(E64,(Reprogramaciones!$T$15+7*(Reprogramaciones!O$14-1))),MIN(F64,(Reprogramaciones!$T$15+7*(Reprogramaciones!O$14-1))+6),11))=0,0,MAX(0,NETWORKDAYS.INTL(MAX(E64,(Reprogramaciones!$T$15+7*(Reprogramaciones!O$14-1))),MIN(F64,Reprogramaciones!O$13),11))/MAX(0,NETWORKDAYS.INTL(MAX(E64,(Reprogramaciones!$T$15+7*(Reprogramaciones!O$14-1))),MIN(F64,(Reprogramaciones!$T$15+7*(Reprogramaciones!O$14-1))+6),11))))))))</f>
        <v/>
      </c>
      <c r="BY64" s="1" t="str">
        <f aca="false">IF(OR(NOT(AND(ISNUMBER(E64),ISNUMBER(F64))),$J$2=""),"",IF(Reprogramaciones!P$13&lt;Reprogramaciones!$T$15,0,IF(Reprogramaciones!P$14&gt;10,MIN(100,SUM($G64:$P64)),MIN(100,SUMPRODUCT((COLUMN($G64:$P64)-COLUMN($G64)+1&lt;Reprogramaciones!P$14)*$G64:$P64)+N(INDEX($G64:$P64,1,Reprogramaciones!P$14))*IF(Reprogramaciones!P$13&gt;=(Reprogramaciones!$T$15+7*(Reprogramaciones!P$14-1))+6,1,IF(MAX(0,NETWORKDAYS.INTL(MAX(E64,(Reprogramaciones!$T$15+7*(Reprogramaciones!P$14-1))),MIN(F64,(Reprogramaciones!$T$15+7*(Reprogramaciones!P$14-1))+6),11))=0,0,MAX(0,NETWORKDAYS.INTL(MAX(E64,(Reprogramaciones!$T$15+7*(Reprogramaciones!P$14-1))),MIN(F64,Reprogramaciones!P$13),11))/MAX(0,NETWORKDAYS.INTL(MAX(E64,(Reprogramaciones!$T$15+7*(Reprogramaciones!P$14-1))),MIN(F64,(Reprogramaciones!$T$15+7*(Reprogramaciones!P$14-1))+6),11))))))))</f>
        <v/>
      </c>
      <c r="BZ64" s="1" t="str">
        <f aca="false">IF(OR(NOT(AND(ISNUMBER(E64),ISNUMBER(F64))),$J$2=""),"",IF(Reprogramaciones!Q$13&lt;Reprogramaciones!$T$15,0,IF(Reprogramaciones!Q$14&gt;10,MIN(100,SUM($G64:$P64)),MIN(100,SUMPRODUCT((COLUMN($G64:$P64)-COLUMN($G64)+1&lt;Reprogramaciones!Q$14)*$G64:$P64)+N(INDEX($G64:$P64,1,Reprogramaciones!Q$14))*IF(Reprogramaciones!Q$13&gt;=(Reprogramaciones!$T$15+7*(Reprogramaciones!Q$14-1))+6,1,IF(MAX(0,NETWORKDAYS.INTL(MAX(E64,(Reprogramaciones!$T$15+7*(Reprogramaciones!Q$14-1))),MIN(F64,(Reprogramaciones!$T$15+7*(Reprogramaciones!Q$14-1))+6),11))=0,0,MAX(0,NETWORKDAYS.INTL(MAX(E64,(Reprogramaciones!$T$15+7*(Reprogramaciones!Q$14-1))),MIN(F64,Reprogramaciones!Q$13),11))/MAX(0,NETWORKDAYS.INTL(MAX(E64,(Reprogramaciones!$T$15+7*(Reprogramaciones!Q$14-1))),MIN(F64,(Reprogramaciones!$T$15+7*(Reprogramaciones!Q$14-1))+6),11))))))))</f>
        <v/>
      </c>
      <c r="CA64" s="1" t="str">
        <f aca="false">IF(OR(NOT(AND(ISNUMBER(E64),ISNUMBER(F64))),$J$2=""),"",IF(Reprogramaciones!R$13&lt;Reprogramaciones!$T$15,0,IF(Reprogramaciones!R$14&gt;10,MIN(100,SUM($G64:$P64)),MIN(100,SUMPRODUCT((COLUMN($G64:$P64)-COLUMN($G64)+1&lt;Reprogramaciones!R$14)*$G64:$P64)+N(INDEX($G64:$P64,1,Reprogramaciones!R$14))*IF(Reprogramaciones!R$13&gt;=(Reprogramaciones!$T$15+7*(Reprogramaciones!R$14-1))+6,1,IF(MAX(0,NETWORKDAYS.INTL(MAX(E64,(Reprogramaciones!$T$15+7*(Reprogramaciones!R$14-1))),MIN(F64,(Reprogramaciones!$T$15+7*(Reprogramaciones!R$14-1))+6),11))=0,0,MAX(0,NETWORKDAYS.INTL(MAX(E64,(Reprogramaciones!$T$15+7*(Reprogramaciones!R$14-1))),MIN(F64,Reprogramaciones!R$13),11))/MAX(0,NETWORKDAYS.INTL(MAX(E64,(Reprogramaciones!$T$15+7*(Reprogramaciones!R$14-1))),MIN(F64,(Reprogramaciones!$T$15+7*(Reprogramaciones!R$14-1))+6),11))))))))</f>
        <v/>
      </c>
      <c r="CB64" s="1" t="str">
        <f aca="false">IF(OR(NOT(AND(ISNUMBER(E64),ISNUMBER(F64))),$J$2=""),"",IF(Reprogramaciones!S$13&lt;Reprogramaciones!$T$15,0,IF(Reprogramaciones!S$14&gt;10,MIN(100,SUM($G64:$P64)),MIN(100,SUMPRODUCT((COLUMN($G64:$P64)-COLUMN($G64)+1&lt;Reprogramaciones!S$14)*$G64:$P64)+N(INDEX($G64:$P64,1,Reprogramaciones!S$14))*IF(Reprogramaciones!S$13&gt;=(Reprogramaciones!$T$15+7*(Reprogramaciones!S$14-1))+6,1,IF(MAX(0,NETWORKDAYS.INTL(MAX(E64,(Reprogramaciones!$T$15+7*(Reprogramaciones!S$14-1))),MIN(F64,(Reprogramaciones!$T$15+7*(Reprogramaciones!S$14-1))+6),11))=0,0,MAX(0,NETWORKDAYS.INTL(MAX(E64,(Reprogramaciones!$T$15+7*(Reprogramaciones!S$14-1))),MIN(F64,Reprogramaciones!S$13),11))/MAX(0,NETWORKDAYS.INTL(MAX(E64,(Reprogramaciones!$T$15+7*(Reprogramaciones!S$14-1))),MIN(F64,(Reprogramaciones!$T$15+7*(Reprogramaciones!S$14-1))+6),11))))))))</f>
        <v/>
      </c>
      <c r="CC64" s="1" t="str">
        <f aca="false">IF(OR(NOT(AND(ISNUMBER(E64),ISNUMBER(F64))),$J$2=""),"",IF(Reprogramaciones!T$13&lt;Reprogramaciones!$T$15,0,IF(Reprogramaciones!T$14&gt;10,MIN(100,SUM($G64:$P64)),MIN(100,SUMPRODUCT((COLUMN($G64:$P64)-COLUMN($G64)+1&lt;Reprogramaciones!T$14)*$G64:$P64)+N(INDEX($G64:$P64,1,Reprogramaciones!T$14))*IF(Reprogramaciones!T$13&gt;=(Reprogramaciones!$T$15+7*(Reprogramaciones!T$14-1))+6,1,IF(MAX(0,NETWORKDAYS.INTL(MAX(E64,(Reprogramaciones!$T$15+7*(Reprogramaciones!T$14-1))),MIN(F64,(Reprogramaciones!$T$15+7*(Reprogramaciones!T$14-1))+6),11))=0,0,MAX(0,NETWORKDAYS.INTL(MAX(E64,(Reprogramaciones!$T$15+7*(Reprogramaciones!T$14-1))),MIN(F64,Reprogramaciones!T$13),11))/MAX(0,NETWORKDAYS.INTL(MAX(E64,(Reprogramaciones!$T$15+7*(Reprogramaciones!T$14-1))),MIN(F64,(Reprogramaciones!$T$15+7*(Reprogramaciones!T$14-1))+6),11))))))))</f>
        <v/>
      </c>
      <c r="CD64" s="1" t="str">
        <f aca="false">IF(OR(NOT(AND(ISNUMBER(E64),ISNUMBER(F64))),$J$2=""),"",IF(Reprogramaciones!U$13&lt;Reprogramaciones!$T$15,0,IF(Reprogramaciones!U$14&gt;10,MIN(100,SUM($G64:$P64)),MIN(100,SUMPRODUCT((COLUMN($G64:$P64)-COLUMN($G64)+1&lt;Reprogramaciones!U$14)*$G64:$P64)+N(INDEX($G64:$P64,1,Reprogramaciones!U$14))*IF(Reprogramaciones!U$13&gt;=(Reprogramaciones!$T$15+7*(Reprogramaciones!U$14-1))+6,1,IF(MAX(0,NETWORKDAYS.INTL(MAX(E64,(Reprogramaciones!$T$15+7*(Reprogramaciones!U$14-1))),MIN(F64,(Reprogramaciones!$T$15+7*(Reprogramaciones!U$14-1))+6),11))=0,0,MAX(0,NETWORKDAYS.INTL(MAX(E64,(Reprogramaciones!$T$15+7*(Reprogramaciones!U$14-1))),MIN(F64,Reprogramaciones!U$13),11))/MAX(0,NETWORKDAYS.INTL(MAX(E64,(Reprogramaciones!$T$15+7*(Reprogramaciones!U$14-1))),MIN(F64,(Reprogramaciones!$T$15+7*(Reprogramaciones!U$14-1))+6),11))))))))</f>
        <v/>
      </c>
      <c r="CE64" s="1" t="str">
        <f aca="false">IF(OR(NOT(AND(ISNUMBER(E64),ISNUMBER(F64))),$J$2=""),"",IF(Reprogramaciones!V$13&lt;Reprogramaciones!$T$15,0,IF(Reprogramaciones!V$14&gt;10,MIN(100,SUM($G64:$P64)),MIN(100,SUMPRODUCT((COLUMN($G64:$P64)-COLUMN($G64)+1&lt;Reprogramaciones!V$14)*$G64:$P64)+N(INDEX($G64:$P64,1,Reprogramaciones!V$14))*IF(Reprogramaciones!V$13&gt;=(Reprogramaciones!$T$15+7*(Reprogramaciones!V$14-1))+6,1,IF(MAX(0,NETWORKDAYS.INTL(MAX(E64,(Reprogramaciones!$T$15+7*(Reprogramaciones!V$14-1))),MIN(F64,(Reprogramaciones!$T$15+7*(Reprogramaciones!V$14-1))+6),11))=0,0,MAX(0,NETWORKDAYS.INTL(MAX(E64,(Reprogramaciones!$T$15+7*(Reprogramaciones!V$14-1))),MIN(F64,Reprogramaciones!V$13),11))/MAX(0,NETWORKDAYS.INTL(MAX(E64,(Reprogramaciones!$T$15+7*(Reprogramaciones!V$14-1))),MIN(F64,(Reprogramaciones!$T$15+7*(Reprogramaciones!V$14-1))+6),11))))))))</f>
        <v/>
      </c>
      <c r="CF64" s="1" t="str">
        <f aca="false">IF(OR(NOT(AND(ISNUMBER(E64),ISNUMBER(F64))),$J$2=""),"",IF(Reprogramaciones!W$13&lt;Reprogramaciones!$T$15,0,IF(Reprogramaciones!W$14&gt;10,MIN(100,SUM($G64:$P64)),MIN(100,SUMPRODUCT((COLUMN($G64:$P64)-COLUMN($G64)+1&lt;Reprogramaciones!W$14)*$G64:$P64)+N(INDEX($G64:$P64,1,Reprogramaciones!W$14))*IF(Reprogramaciones!W$13&gt;=(Reprogramaciones!$T$15+7*(Reprogramaciones!W$14-1))+6,1,IF(MAX(0,NETWORKDAYS.INTL(MAX(E64,(Reprogramaciones!$T$15+7*(Reprogramaciones!W$14-1))),MIN(F64,(Reprogramaciones!$T$15+7*(Reprogramaciones!W$14-1))+6),11))=0,0,MAX(0,NETWORKDAYS.INTL(MAX(E64,(Reprogramaciones!$T$15+7*(Reprogramaciones!W$14-1))),MIN(F64,Reprogramaciones!W$13),11))/MAX(0,NETWORKDAYS.INTL(MAX(E64,(Reprogramaciones!$T$15+7*(Reprogramaciones!W$14-1))),MIN(F64,(Reprogramaciones!$T$15+7*(Reprogramaciones!W$14-1))+6),11))))))))</f>
        <v/>
      </c>
      <c r="CG64" s="1" t="str">
        <f aca="false">IF(OR(NOT(AND(ISNUMBER(E64),ISNUMBER(F64))),$J$2=""),"",IF(Reprogramaciones!X$13&lt;Reprogramaciones!$T$15,0,IF(Reprogramaciones!X$14&gt;10,MIN(100,SUM($G64:$P64)),MIN(100,SUMPRODUCT((COLUMN($G64:$P64)-COLUMN($G64)+1&lt;Reprogramaciones!X$14)*$G64:$P64)+N(INDEX($G64:$P64,1,Reprogramaciones!X$14))*IF(Reprogramaciones!X$13&gt;=(Reprogramaciones!$T$15+7*(Reprogramaciones!X$14-1))+6,1,IF(MAX(0,NETWORKDAYS.INTL(MAX(E64,(Reprogramaciones!$T$15+7*(Reprogramaciones!X$14-1))),MIN(F64,(Reprogramaciones!$T$15+7*(Reprogramaciones!X$14-1))+6),11))=0,0,MAX(0,NETWORKDAYS.INTL(MAX(E64,(Reprogramaciones!$T$15+7*(Reprogramaciones!X$14-1))),MIN(F64,Reprogramaciones!X$13),11))/MAX(0,NETWORKDAYS.INTL(MAX(E64,(Reprogramaciones!$T$15+7*(Reprogramaciones!X$14-1))),MIN(F64,(Reprogramaciones!$T$15+7*(Reprogramaciones!X$14-1))+6),11))))))))</f>
        <v/>
      </c>
      <c r="CH64" s="1" t="str">
        <f aca="false">IF(OR(NOT(AND(ISNUMBER(E64),ISNUMBER(F64))),$J$2=""),"",IF(Reprogramaciones!Y$13&lt;Reprogramaciones!$T$15,0,IF(Reprogramaciones!Y$14&gt;10,MIN(100,SUM($G64:$P64)),MIN(100,SUMPRODUCT((COLUMN($G64:$P64)-COLUMN($G64)+1&lt;Reprogramaciones!Y$14)*$G64:$P64)+N(INDEX($G64:$P64,1,Reprogramaciones!Y$14))*IF(Reprogramaciones!Y$13&gt;=(Reprogramaciones!$T$15+7*(Reprogramaciones!Y$14-1))+6,1,IF(MAX(0,NETWORKDAYS.INTL(MAX(E64,(Reprogramaciones!$T$15+7*(Reprogramaciones!Y$14-1))),MIN(F64,(Reprogramaciones!$T$15+7*(Reprogramaciones!Y$14-1))+6),11))=0,0,MAX(0,NETWORKDAYS.INTL(MAX(E64,(Reprogramaciones!$T$15+7*(Reprogramaciones!Y$14-1))),MIN(F64,Reprogramaciones!Y$13),11))/MAX(0,NETWORKDAYS.INTL(MAX(E64,(Reprogramaciones!$T$15+7*(Reprogramaciones!Y$14-1))),MIN(F64,(Reprogramaciones!$T$15+7*(Reprogramaciones!Y$14-1))+6),11))))))))</f>
        <v/>
      </c>
      <c r="CI64" s="1" t="str">
        <f aca="false">IF(OR(NOT(AND(ISNUMBER(E64),ISNUMBER(F64))),$J$2=""),"",IF(Reprogramaciones!Z$13&lt;Reprogramaciones!$T$15,0,IF(Reprogramaciones!Z$14&gt;10,MIN(100,SUM($G64:$P64)),MIN(100,SUMPRODUCT((COLUMN($G64:$P64)-COLUMN($G64)+1&lt;Reprogramaciones!Z$14)*$G64:$P64)+N(INDEX($G64:$P64,1,Reprogramaciones!Z$14))*IF(Reprogramaciones!Z$13&gt;=(Reprogramaciones!$T$15+7*(Reprogramaciones!Z$14-1))+6,1,IF(MAX(0,NETWORKDAYS.INTL(MAX(E64,(Reprogramaciones!$T$15+7*(Reprogramaciones!Z$14-1))),MIN(F64,(Reprogramaciones!$T$15+7*(Reprogramaciones!Z$14-1))+6),11))=0,0,MAX(0,NETWORKDAYS.INTL(MAX(E64,(Reprogramaciones!$T$15+7*(Reprogramaciones!Z$14-1))),MIN(F64,Reprogramaciones!Z$13),11))/MAX(0,NETWORKDAYS.INTL(MAX(E64,(Reprogramaciones!$T$15+7*(Reprogramaciones!Z$14-1))),MIN(F64,(Reprogramaciones!$T$15+7*(Reprogramaciones!Z$14-1))+6),11))))))))</f>
        <v/>
      </c>
      <c r="CJ64" s="1" t="str">
        <f aca="false">IF(OR(OR(NOT(AND(ISNUMBER(E64),ISNUMBER(F64))),$J$2=""),1&gt;Reprogramaciones!$K$16),"",IF(ROUND(SUM($Q64:Q64),1)&gt;=99.5,100,MIN(100,ROUND(SUM($Q64:Q64),1))))</f>
        <v/>
      </c>
      <c r="CK64" s="1" t="str">
        <f aca="false">IF(OR(OR(NOT(AND(ISNUMBER(E64),ISNUMBER(F64))),$J$2=""),2&gt;Reprogramaciones!$K$16),"",IF(ROUND(SUM($Q64:R64),1)&gt;=99.5,100,MIN(100,ROUND(SUM($Q64:R64),1))))</f>
        <v/>
      </c>
      <c r="CL64" s="1" t="str">
        <f aca="false">IF(OR(OR(NOT(AND(ISNUMBER(E64),ISNUMBER(F64))),$J$2=""),3&gt;Reprogramaciones!$K$16),"",IF(ROUND(SUM($Q64:S64),1)&gt;=99.5,100,MIN(100,ROUND(SUM($Q64:S64),1))))</f>
        <v/>
      </c>
      <c r="CM64" s="1" t="str">
        <f aca="false">IF(OR(OR(NOT(AND(ISNUMBER(E64),ISNUMBER(F64))),$J$2=""),4&gt;Reprogramaciones!$K$16),"",IF(ROUND(SUM($Q64:T64),1)&gt;=99.5,100,MIN(100,ROUND(SUM($Q64:T64),1))))</f>
        <v/>
      </c>
      <c r="CN64" s="1" t="str">
        <f aca="false">IF(OR(OR(NOT(AND(ISNUMBER(E64),ISNUMBER(F64))),$J$2=""),5&gt;Reprogramaciones!$K$16),"",IF(ROUND(SUM($Q64:U64),1)&gt;=99.5,100,MIN(100,ROUND(SUM($Q64:U64),1))))</f>
        <v/>
      </c>
      <c r="CO64" s="1" t="str">
        <f aca="false">IF(OR(OR(NOT(AND(ISNUMBER(E64),ISNUMBER(F64))),$J$2=""),6&gt;Reprogramaciones!$K$16),"",IF(ROUND(SUM($Q64:V64),1)&gt;=99.5,100,MIN(100,ROUND(SUM($Q64:V64),1))))</f>
        <v/>
      </c>
      <c r="CP64" s="1" t="str">
        <f aca="false">IF(OR(OR(NOT(AND(ISNUMBER(E64),ISNUMBER(F64))),$J$2=""),7&gt;Reprogramaciones!$K$16),"",IF(ROUND(SUM($Q64:W64),1)&gt;=99.5,100,MIN(100,ROUND(SUM($Q64:W64),1))))</f>
        <v/>
      </c>
      <c r="CQ64" s="1" t="str">
        <f aca="false">IF(OR(OR(NOT(AND(ISNUMBER(E64),ISNUMBER(F64))),$J$2=""),8&gt;Reprogramaciones!$K$16),"",IF(ROUND(SUM($Q64:X64),1)&gt;=99.5,100,MIN(100,ROUND(SUM($Q64:X64),1))))</f>
        <v/>
      </c>
      <c r="CR64" s="1" t="str">
        <f aca="false">IF(OR(OR(NOT(AND(ISNUMBER(E64),ISNUMBER(F64))),$J$2=""),9&gt;Reprogramaciones!$K$16),"",IF(ROUND(SUM($Q64:Y64),1)&gt;=99.5,100,MIN(100,ROUND(SUM($Q64:Y64),1))))</f>
        <v/>
      </c>
      <c r="CS64" s="1" t="str">
        <f aca="false">IF(OR(OR(NOT(AND(ISNUMBER(E64),ISNUMBER(F64))),$J$2=""),10&gt;Reprogramaciones!$K$16),"",IF(ROUND(SUM($Q64:Z64),1)&gt;=99.5,100,MIN(100,ROUND(SUM($Q64:Z64),1))))</f>
        <v/>
      </c>
      <c r="CT64" s="1" t="str">
        <f aca="false">IF(OR(OR(NOT(AND(ISNUMBER(E64),ISNUMBER(F64))),$J$2=""),11&gt;Reprogramaciones!$K$16),"",IF(ROUND(SUM($Q64:AA64),1)&gt;=99.5,100,MIN(100,ROUND(SUM($Q64:AA64),1))))</f>
        <v/>
      </c>
      <c r="CU64" s="1" t="str">
        <f aca="false">IF(OR(OR(NOT(AND(ISNUMBER(E64),ISNUMBER(F64))),$J$2=""),12&gt;Reprogramaciones!$K$16),"",IF(ROUND(SUM($Q64:AB64),1)&gt;=99.5,100,MIN(100,ROUND(SUM($Q64:AB64),1))))</f>
        <v/>
      </c>
      <c r="CV64" s="1" t="str">
        <f aca="false">IF(OR(OR(NOT(AND(ISNUMBER(E64),ISNUMBER(F64))),$J$2=""),13&gt;Reprogramaciones!$K$16),"",IF(ROUND(SUM($Q64:AC64),1)&gt;=99.5,100,MIN(100,ROUND(SUM($Q64:AC64),1))))</f>
        <v/>
      </c>
      <c r="CW64" s="1" t="str">
        <f aca="false">IF(OR(OR(NOT(AND(ISNUMBER(E64),ISNUMBER(F64))),$J$2=""),14&gt;Reprogramaciones!$K$16),"",IF(ROUND(SUM($Q64:AD64),1)&gt;=99.5,100,MIN(100,ROUND(SUM($Q64:AD64),1))))</f>
        <v/>
      </c>
      <c r="CX64" s="1" t="str">
        <f aca="false">IF(OR(OR(NOT(AND(ISNUMBER(E64),ISNUMBER(F64))),$J$2=""),15&gt;Reprogramaciones!$K$16),"",IF(ROUND(SUM($Q64:AE64),1)&gt;=99.5,100,MIN(100,ROUND(SUM($Q64:AE64),1))))</f>
        <v/>
      </c>
      <c r="CY64" s="1" t="str">
        <f aca="false">IF(OR(OR(NOT(AND(ISNUMBER(E64),ISNUMBER(F64))),$J$2=""),16&gt;Reprogramaciones!$K$16),"",IF(ROUND(SUM($Q64:AF64),1)&gt;=99.5,100,MIN(100,ROUND(SUM($Q64:AF64),1))))</f>
        <v/>
      </c>
      <c r="CZ64" s="1" t="str">
        <f aca="false">IF(D64&lt;&gt;"",D64,IF(B64&lt;&gt;"","Contractual",CZ63))</f>
        <v>Contractual</v>
      </c>
      <c r="DA64" s="1" t="str">
        <f aca="false">IF(OR(NOT(AND(ISNUMBER(E64),ISNUMBER(F64))),$J$2=""),"",IF(Reprogramaciones!$Q$15&lt;Reprogramaciones!$T$15,0,IF(Reprogramaciones!$S$15&gt;10,MIN(100,SUM($G64:$P64)),MIN(100,SUMPRODUCT((COLUMN($G64:$P64)-COLUMN($G64)+1&lt;Reprogramaciones!$S$15)*$G64:$P64)+N(INDEX($G64:$P64,1,Reprogramaciones!$S$15))*IF(Reprogramaciones!$Q$15&gt;=(Reprogramaciones!$T$15+7*(Reprogramaciones!$S$15-1))+6,1,IF(MAX(0,NETWORKDAYS.INTL(MAX(E64,(Reprogramaciones!$T$15+7*(Reprogramaciones!$S$15-1))),MIN(F64,(Reprogramaciones!$T$15+7*(Reprogramaciones!$S$15-1))+6),11))=0,0,MAX(0,NETWORKDAYS.INTL(MAX(E64,(Reprogramaciones!$T$15+7*(Reprogramaciones!$S$15-1))),MIN(F64,Reprogramaciones!$Q$15),11))/MAX(0,NETWORKDAYS.INTL(MAX(E64,(Reprogramaciones!$T$15+7*(Reprogramaciones!$S$15-1))),MIN(F64,(Reprogramaciones!$T$15+7*(Reprogramaciones!$S$15-1))+6),11))))))))</f>
        <v/>
      </c>
    </row>
    <row r="65" customFormat="false" ht="15" hidden="false" customHeight="false" outlineLevel="0" collapsed="false">
      <c r="A65" s="32"/>
      <c r="B65" s="33"/>
      <c r="C65" s="33"/>
      <c r="D65" s="34"/>
      <c r="E65" s="35"/>
      <c r="F65" s="35"/>
      <c r="G65" s="36" t="str">
        <f aca="false">IF(OR(NOT(AND(ISNUMBER(E65),ISNUMBER(F65))),$J$2=""),"",IF(Reprogramaciones!K$9&lt;E65,0,IF(NETWORKDAYS.INTL(E65,F65,11)=0,IF(Reprogramaciones!K$9&gt;=F65,100,0),ROUND(NETWORKDAYS.INTL(E65,MIN(F65,Reprogramaciones!K$9),11)/NETWORKDAYS.INTL(E65,F65,11)*100,1)))-0)</f>
        <v/>
      </c>
      <c r="H65" s="36" t="str">
        <f aca="false">IF(OR(NOT(AND(ISNUMBER(E65),ISNUMBER(F65))),$J$2=""),"",IF(Reprogramaciones!L$9&lt;E65,0,IF(NETWORKDAYS.INTL(E65,F65,11)=0,IF(Reprogramaciones!L$9&gt;=F65,100,0),ROUND(NETWORKDAYS.INTL(E65,MIN(F65,Reprogramaciones!L$9),11)/NETWORKDAYS.INTL(E65,F65,11)*100,1)))-IF(Reprogramaciones!K$9&lt;E65,0,IF(NETWORKDAYS.INTL(E65,F65,11)=0,IF(Reprogramaciones!K$9&gt;=F65,100,0),ROUND(NETWORKDAYS.INTL(E65,MIN(F65,Reprogramaciones!K$9),11)/NETWORKDAYS.INTL(E65,F65,11)*100,1))))</f>
        <v/>
      </c>
      <c r="I65" s="36" t="str">
        <f aca="false">IF(OR(NOT(AND(ISNUMBER(E65),ISNUMBER(F65))),$J$2=""),"",IF(Reprogramaciones!M$9&lt;E65,0,IF(NETWORKDAYS.INTL(E65,F65,11)=0,IF(Reprogramaciones!M$9&gt;=F65,100,0),ROUND(NETWORKDAYS.INTL(E65,MIN(F65,Reprogramaciones!M$9),11)/NETWORKDAYS.INTL(E65,F65,11)*100,1)))-IF(Reprogramaciones!L$9&lt;E65,0,IF(NETWORKDAYS.INTL(E65,F65,11)=0,IF(Reprogramaciones!L$9&gt;=F65,100,0),ROUND(NETWORKDAYS.INTL(E65,MIN(F65,Reprogramaciones!L$9),11)/NETWORKDAYS.INTL(E65,F65,11)*100,1))))</f>
        <v/>
      </c>
      <c r="J65" s="36" t="str">
        <f aca="false">IF(OR(NOT(AND(ISNUMBER(E65),ISNUMBER(F65))),$J$2=""),"",IF(Reprogramaciones!N$9&lt;E65,0,IF(NETWORKDAYS.INTL(E65,F65,11)=0,IF(Reprogramaciones!N$9&gt;=F65,100,0),ROUND(NETWORKDAYS.INTL(E65,MIN(F65,Reprogramaciones!N$9),11)/NETWORKDAYS.INTL(E65,F65,11)*100,1)))-IF(Reprogramaciones!M$9&lt;E65,0,IF(NETWORKDAYS.INTL(E65,F65,11)=0,IF(Reprogramaciones!M$9&gt;=F65,100,0),ROUND(NETWORKDAYS.INTL(E65,MIN(F65,Reprogramaciones!M$9),11)/NETWORKDAYS.INTL(E65,F65,11)*100,1))))</f>
        <v/>
      </c>
      <c r="K65" s="36" t="str">
        <f aca="false">IF(OR(NOT(AND(ISNUMBER(E65),ISNUMBER(F65))),$J$2=""),"",IF(Reprogramaciones!O$9&lt;E65,0,IF(NETWORKDAYS.INTL(E65,F65,11)=0,IF(Reprogramaciones!O$9&gt;=F65,100,0),ROUND(NETWORKDAYS.INTL(E65,MIN(F65,Reprogramaciones!O$9),11)/NETWORKDAYS.INTL(E65,F65,11)*100,1)))-IF(Reprogramaciones!N$9&lt;E65,0,IF(NETWORKDAYS.INTL(E65,F65,11)=0,IF(Reprogramaciones!N$9&gt;=F65,100,0),ROUND(NETWORKDAYS.INTL(E65,MIN(F65,Reprogramaciones!N$9),11)/NETWORKDAYS.INTL(E65,F65,11)*100,1))))</f>
        <v/>
      </c>
      <c r="L65" s="36" t="str">
        <f aca="false">IF(OR(NOT(AND(ISNUMBER(E65),ISNUMBER(F65))),$J$2=""),"",IF(Reprogramaciones!P$9&lt;E65,0,IF(NETWORKDAYS.INTL(E65,F65,11)=0,IF(Reprogramaciones!P$9&gt;=F65,100,0),ROUND(NETWORKDAYS.INTL(E65,MIN(F65,Reprogramaciones!P$9),11)/NETWORKDAYS.INTL(E65,F65,11)*100,1)))-IF(Reprogramaciones!O$9&lt;E65,0,IF(NETWORKDAYS.INTL(E65,F65,11)=0,IF(Reprogramaciones!O$9&gt;=F65,100,0),ROUND(NETWORKDAYS.INTL(E65,MIN(F65,Reprogramaciones!O$9),11)/NETWORKDAYS.INTL(E65,F65,11)*100,1))))</f>
        <v/>
      </c>
      <c r="M65" s="36" t="str">
        <f aca="false">IF(OR(NOT(AND(ISNUMBER(E65),ISNUMBER(F65))),$J$2=""),"",IF(Reprogramaciones!Q$9&lt;E65,0,IF(NETWORKDAYS.INTL(E65,F65,11)=0,IF(Reprogramaciones!Q$9&gt;=F65,100,0),ROUND(NETWORKDAYS.INTL(E65,MIN(F65,Reprogramaciones!Q$9),11)/NETWORKDAYS.INTL(E65,F65,11)*100,1)))-IF(Reprogramaciones!P$9&lt;E65,0,IF(NETWORKDAYS.INTL(E65,F65,11)=0,IF(Reprogramaciones!P$9&gt;=F65,100,0),ROUND(NETWORKDAYS.INTL(E65,MIN(F65,Reprogramaciones!P$9),11)/NETWORKDAYS.INTL(E65,F65,11)*100,1))))</f>
        <v/>
      </c>
      <c r="N65" s="36" t="str">
        <f aca="false">IF(OR(NOT(AND(ISNUMBER(E65),ISNUMBER(F65))),$J$2=""),"",IF(Reprogramaciones!R$9&lt;E65,0,IF(NETWORKDAYS.INTL(E65,F65,11)=0,IF(Reprogramaciones!R$9&gt;=F65,100,0),ROUND(NETWORKDAYS.INTL(E65,MIN(F65,Reprogramaciones!R$9),11)/NETWORKDAYS.INTL(E65,F65,11)*100,1)))-IF(Reprogramaciones!Q$9&lt;E65,0,IF(NETWORKDAYS.INTL(E65,F65,11)=0,IF(Reprogramaciones!Q$9&gt;=F65,100,0),ROUND(NETWORKDAYS.INTL(E65,MIN(F65,Reprogramaciones!Q$9),11)/NETWORKDAYS.INTL(E65,F65,11)*100,1))))</f>
        <v/>
      </c>
      <c r="O65" s="36" t="str">
        <f aca="false">IF(OR(NOT(AND(ISNUMBER(E65),ISNUMBER(F65))),$J$2=""),"",IF(Reprogramaciones!S$9&lt;E65,0,IF(NETWORKDAYS.INTL(E65,F65,11)=0,IF(Reprogramaciones!S$9&gt;=F65,100,0),ROUND(NETWORKDAYS.INTL(E65,MIN(F65,Reprogramaciones!S$9),11)/NETWORKDAYS.INTL(E65,F65,11)*100,1)))-IF(Reprogramaciones!R$9&lt;E65,0,IF(NETWORKDAYS.INTL(E65,F65,11)=0,IF(Reprogramaciones!R$9&gt;=F65,100,0),ROUND(NETWORKDAYS.INTL(E65,MIN(F65,Reprogramaciones!R$9),11)/NETWORKDAYS.INTL(E65,F65,11)*100,1))))</f>
        <v/>
      </c>
      <c r="P65" s="36" t="str">
        <f aca="false">IF(OR(NOT(AND(ISNUMBER(E65),ISNUMBER(F65))),$J$2=""),"",IF(Reprogramaciones!T$9&lt;E65,0,IF(NETWORKDAYS.INTL(E65,F65,11)=0,IF(Reprogramaciones!T$9&gt;=F65,100,0),ROUND(NETWORKDAYS.INTL(E65,MIN(F65,Reprogramaciones!T$9),11)/NETWORKDAYS.INTL(E65,F65,11)*100,1)))-IF(Reprogramaciones!S$9&lt;E65,0,IF(NETWORKDAYS.INTL(E65,F65,11)=0,IF(Reprogramaciones!S$9&gt;=F65,100,0),ROUND(NETWORKDAYS.INTL(E65,MIN(F65,Reprogramaciones!S$9),11)/NETWORKDAYS.INTL(E65,F65,11)*100,1))))</f>
        <v/>
      </c>
      <c r="Q65" s="37"/>
      <c r="R65" s="37"/>
      <c r="S65" s="37"/>
      <c r="T65" s="37"/>
      <c r="U65" s="37"/>
      <c r="V65" s="37"/>
      <c r="W65" s="37"/>
      <c r="X65" s="37"/>
      <c r="Y65" s="37"/>
      <c r="Z65" s="37"/>
      <c r="AA65" s="37"/>
      <c r="AB65" s="37"/>
      <c r="AC65" s="37"/>
      <c r="AD65" s="37"/>
      <c r="AE65" s="37"/>
      <c r="AF65" s="37"/>
      <c r="AG65" s="38" t="str">
        <f aca="false">IF(AND(ISNUMBER(E65),ISNUMBER(F65)),NETWORKDAYS.INTL(E65,F65,11),"")</f>
        <v/>
      </c>
      <c r="AH65" s="38" t="str">
        <f aca="false">IF(OR(NOT(AND(ISNUMBER(E65),ISNUMBER(F65))),$J$2=""),"",IF(Reprogramaciones!$P$15&lt;Reprogramaciones!$T$15,0,IF(Reprogramaciones!$R$15&gt;10,MIN(100,SUM($G65:$P65)),MIN(100,SUMPRODUCT((COLUMN($G65:$P65)-COLUMN($G65)+1&lt;Reprogramaciones!$R$15)*$G65:$P65)+N(INDEX($G65:$P65,1,Reprogramaciones!$R$15))*IF(Reprogramaciones!$P$15&gt;=(Reprogramaciones!$T$15+7*(Reprogramaciones!$R$15-1))+6,1,IF(MAX(0,NETWORKDAYS.INTL(MAX(E65,(Reprogramaciones!$T$15+7*(Reprogramaciones!$R$15-1))),MIN(F65,(Reprogramaciones!$T$15+7*(Reprogramaciones!$R$15-1))+6),11))=0,0,MAX(0,NETWORKDAYS.INTL(MAX(E65,(Reprogramaciones!$T$15+7*(Reprogramaciones!$R$15-1))),MIN(F65,Reprogramaciones!$P$15),11))/MAX(0,NETWORKDAYS.INTL(MAX(E65,(Reprogramaciones!$T$15+7*(Reprogramaciones!$R$15-1))),MIN(F65,(Reprogramaciones!$T$15+7*(Reprogramaciones!$R$15-1))+6),11))))))))</f>
        <v/>
      </c>
      <c r="AI65" s="38" t="str">
        <f aca="false">IF(COUNT($Q65:$AF65)=0,"",IF(ROUND(SUM($Q65:$AF65),1)&gt;=99.5,100,MIN(100,ROUND(SUM($Q65:$AF65),1))))</f>
        <v/>
      </c>
      <c r="AJ65" s="38" t="str">
        <f aca="false">IF(OR(AH65="",AI65=""),"",AI65-AH65)</f>
        <v/>
      </c>
      <c r="AK65" s="39" t="str">
        <f aca="true">IF(AH65="","",IF(OR(Ficha!$C$10="Suspendida",Ficha!$C$10="Cancelada"),Ficha!$C$10,IF(AND(AI65&lt;&gt;"",N(AI65)&gt;=100),"Completada",IF(AND(E65&gt;TODAY(),N(AI65)=0),"Por iniciar",IF(N(AI65)+0.5&lt;AH65,"Retrasada",IF(N(AI65)+0.5&lt;DA65,IF(Reprogramaciones!$K$15&gt;0,"Al día · Sem "&amp;Reprogramaciones!$K$15&amp;" en curso","Al día · en curso"),"A tiempo"))))))</f>
        <v/>
      </c>
      <c r="AL65" s="39" t="str">
        <f aca="true">IF(AND(A65="",AND(B65="",C65="",E65="",F65="",COUNT(Q65:AF65)=0)),"",IF(AND(B65="",C65="",E65="",F65="",COUNT(Q65:AF65)=0),"Falta la partida o subpartida",IF(AND(A65&lt;&gt;"",COUNTIF($A$6:$A$305,A65)&gt;1),"Ítem repetido",IF(AND(C65="",E65="",F65="",COUNT(Q65:AF65)=0),"Título de partida",IF(OR(E65="",F65=""),"Faltan fechas",IF(OR(ISTEXT(E65),ISTEXT(F65)),"Fecha escrita como texto: usa dd/mm/aaaa",IF(F65&lt;E65,"Fin antes del inicio",IF(IF($J$2="",FALSE(),OR(E65&lt;$J$2,F65&gt;Reprogramaciones!$T$15+69)),"Fuera de las 10 semanas",IF(ABS(SUM(G65:P65)-100)&gt;0.5,"La meta no suma 100%",IF(ROUND(SUM(Q65:AF65),1)&gt;100.5,"El avance pasa de 100%",IF(MIN(Q65:AF65)&lt;0,"Avance negativo",IF(COUNTA(Q65:AF65)&gt;COUNT(Q65:AF65),"Avance escrito como texto",IF(SUMPRODUCT((Q65:AF65&gt;0)*(Q65:AF65&lt;1))&gt;0,"Avance menor a 1: escribe 50, no 50%",IF(SUMPRODUCT(ISNUMBER(Q65:AF65)*(Reprogramaciones!$K$8:$Z$8&gt;TODAY()))&gt;0,"Avance en semana que aún no llega",IF(AND(N(Reprogramaciones!$E$21)&gt;0,F65&gt;Reprogramaciones!$E$21),"Pasa el fin de la obra: registra una reprogramación",IF(AND(N(Reprogramaciones!$E$21)&gt;0,SUMPRODUCT(ISNUMBER(Q65:AF65)*(Reprogramaciones!$K$8:$Z$8&gt;Reprogramaciones!$E$21))&gt;0),"Avance después del fin de la obra: registra una reprogramación por atraso","OK"))))))))))))))))</f>
        <v/>
      </c>
      <c r="AM65" s="40" t="str">
        <f aca="false">IF(OR(OR(NOT(AND(ISNUMBER(E65),ISNUMBER(F65))),$J$2=""),1&gt;MAX(1,Reprogramaciones!$U$15)),"",IF(Reprogramaciones!K$12&gt;=7,"",IF(OR(BT65-N(0)&gt;0.05,N(Q65)&gt;0),ROUNDDOWN(ROUND(BT65,6),0)&amp;"%"&amp;IF(CJ65="",""," / "&amp;CJ65&amp;"%"),IF(AND(N(0)&gt;=99.95,CJ65&lt;&gt;"",N(CJ65)&lt;100),"Pend. "&amp;CJ65&amp;"%",""))))</f>
        <v/>
      </c>
      <c r="AN65" s="40" t="str">
        <f aca="false">IF(OR(OR(NOT(AND(ISNUMBER(E65),ISNUMBER(F65))),$J$2=""),2&gt;MAX(1,Reprogramaciones!$U$15)),"",IF(Reprogramaciones!L$12&gt;=7,"",IF(OR(BU65-N(BT65)&gt;0.05,N(R65)&gt;0),ROUNDDOWN(ROUND(BU65,6),0)&amp;"%"&amp;IF(CK65="",""," / "&amp;CK65&amp;"%"),IF(AND(N(BT65)&gt;=99.95,CK65&lt;&gt;"",N(CK65)&lt;100),"Pend. "&amp;CK65&amp;"%",""))))</f>
        <v/>
      </c>
      <c r="AO65" s="40" t="str">
        <f aca="false">IF(OR(OR(NOT(AND(ISNUMBER(E65),ISNUMBER(F65))),$J$2=""),3&gt;MAX(1,Reprogramaciones!$U$15)),"",IF(Reprogramaciones!M$12&gt;=7,"",IF(OR(BV65-N(BU65)&gt;0.05,N(S65)&gt;0),ROUNDDOWN(ROUND(BV65,6),0)&amp;"%"&amp;IF(CL65="",""," / "&amp;CL65&amp;"%"),IF(AND(N(BU65)&gt;=99.95,CL65&lt;&gt;"",N(CL65)&lt;100),"Pend. "&amp;CL65&amp;"%",""))))</f>
        <v/>
      </c>
      <c r="AP65" s="40" t="str">
        <f aca="false">IF(OR(OR(NOT(AND(ISNUMBER(E65),ISNUMBER(F65))),$J$2=""),4&gt;MAX(1,Reprogramaciones!$U$15)),"",IF(Reprogramaciones!N$12&gt;=7,"",IF(OR(BW65-N(BV65)&gt;0.05,N(T65)&gt;0),ROUNDDOWN(ROUND(BW65,6),0)&amp;"%"&amp;IF(CM65="",""," / "&amp;CM65&amp;"%"),IF(AND(N(BV65)&gt;=99.95,CM65&lt;&gt;"",N(CM65)&lt;100),"Pend. "&amp;CM65&amp;"%",""))))</f>
        <v/>
      </c>
      <c r="AQ65" s="40" t="str">
        <f aca="false">IF(OR(OR(NOT(AND(ISNUMBER(E65),ISNUMBER(F65))),$J$2=""),5&gt;MAX(1,Reprogramaciones!$U$15)),"",IF(Reprogramaciones!O$12&gt;=7,"",IF(OR(BX65-N(BW65)&gt;0.05,N(U65)&gt;0),ROUNDDOWN(ROUND(BX65,6),0)&amp;"%"&amp;IF(CN65="",""," / "&amp;CN65&amp;"%"),IF(AND(N(BW65)&gt;=99.95,CN65&lt;&gt;"",N(CN65)&lt;100),"Pend. "&amp;CN65&amp;"%",""))))</f>
        <v/>
      </c>
      <c r="AR65" s="40" t="str">
        <f aca="false">IF(OR(OR(NOT(AND(ISNUMBER(E65),ISNUMBER(F65))),$J$2=""),6&gt;MAX(1,Reprogramaciones!$U$15)),"",IF(Reprogramaciones!P$12&gt;=7,"",IF(OR(BY65-N(BX65)&gt;0.05,N(V65)&gt;0),ROUNDDOWN(ROUND(BY65,6),0)&amp;"%"&amp;IF(CO65="",""," / "&amp;CO65&amp;"%"),IF(AND(N(BX65)&gt;=99.95,CO65&lt;&gt;"",N(CO65)&lt;100),"Pend. "&amp;CO65&amp;"%",""))))</f>
        <v/>
      </c>
      <c r="AS65" s="40" t="str">
        <f aca="false">IF(OR(OR(NOT(AND(ISNUMBER(E65),ISNUMBER(F65))),$J$2=""),7&gt;MAX(1,Reprogramaciones!$U$15)),"",IF(Reprogramaciones!Q$12&gt;=7,"",IF(OR(BZ65-N(BY65)&gt;0.05,N(W65)&gt;0),ROUNDDOWN(ROUND(BZ65,6),0)&amp;"%"&amp;IF(CP65="",""," / "&amp;CP65&amp;"%"),IF(AND(N(BY65)&gt;=99.95,CP65&lt;&gt;"",N(CP65)&lt;100),"Pend. "&amp;CP65&amp;"%",""))))</f>
        <v/>
      </c>
      <c r="AT65" s="40" t="str">
        <f aca="false">IF(OR(OR(NOT(AND(ISNUMBER(E65),ISNUMBER(F65))),$J$2=""),8&gt;MAX(1,Reprogramaciones!$U$15)),"",IF(Reprogramaciones!R$12&gt;=7,"",IF(OR(CA65-N(BZ65)&gt;0.05,N(X65)&gt;0),ROUNDDOWN(ROUND(CA65,6),0)&amp;"%"&amp;IF(CQ65="",""," / "&amp;CQ65&amp;"%"),IF(AND(N(BZ65)&gt;=99.95,CQ65&lt;&gt;"",N(CQ65)&lt;100),"Pend. "&amp;CQ65&amp;"%",""))))</f>
        <v/>
      </c>
      <c r="AU65" s="40" t="str">
        <f aca="false">IF(OR(OR(NOT(AND(ISNUMBER(E65),ISNUMBER(F65))),$J$2=""),9&gt;MAX(1,Reprogramaciones!$U$15)),"",IF(Reprogramaciones!S$12&gt;=7,"",IF(OR(CB65-N(CA65)&gt;0.05,N(Y65)&gt;0),ROUNDDOWN(ROUND(CB65,6),0)&amp;"%"&amp;IF(CR65="",""," / "&amp;CR65&amp;"%"),IF(AND(N(CA65)&gt;=99.95,CR65&lt;&gt;"",N(CR65)&lt;100),"Pend. "&amp;CR65&amp;"%",""))))</f>
        <v/>
      </c>
      <c r="AV65" s="40" t="str">
        <f aca="false">IF(OR(OR(NOT(AND(ISNUMBER(E65),ISNUMBER(F65))),$J$2=""),10&gt;MAX(1,Reprogramaciones!$U$15)),"",IF(Reprogramaciones!T$12&gt;=7,"",IF(OR(CC65-N(CB65)&gt;0.05,N(Z65)&gt;0),ROUNDDOWN(ROUND(CC65,6),0)&amp;"%"&amp;IF(CS65="",""," / "&amp;CS65&amp;"%"),IF(AND(N(CB65)&gt;=99.95,CS65&lt;&gt;"",N(CS65)&lt;100),"Pend. "&amp;CS65&amp;"%",""))))</f>
        <v/>
      </c>
      <c r="AW65" s="40" t="str">
        <f aca="false">IF(OR(OR(NOT(AND(ISNUMBER(E65),ISNUMBER(F65))),$J$2=""),11&gt;MAX(1,Reprogramaciones!$U$15)),"",IF(Reprogramaciones!U$12&gt;=7,"",IF(OR(CD65-N(CC65)&gt;0.05,N(AA65)&gt;0),ROUNDDOWN(ROUND(CD65,6),0)&amp;"%"&amp;IF(CT65="",""," / "&amp;CT65&amp;"%"),IF(AND(N(CC65)&gt;=99.95,CT65&lt;&gt;"",N(CT65)&lt;100),"Pend. "&amp;CT65&amp;"%",""))))</f>
        <v/>
      </c>
      <c r="AX65" s="40" t="str">
        <f aca="false">IF(OR(OR(NOT(AND(ISNUMBER(E65),ISNUMBER(F65))),$J$2=""),12&gt;MAX(1,Reprogramaciones!$U$15)),"",IF(Reprogramaciones!V$12&gt;=7,"",IF(OR(CE65-N(CD65)&gt;0.05,N(AB65)&gt;0),ROUNDDOWN(ROUND(CE65,6),0)&amp;"%"&amp;IF(CU65="",""," / "&amp;CU65&amp;"%"),IF(AND(N(CD65)&gt;=99.95,CU65&lt;&gt;"",N(CU65)&lt;100),"Pend. "&amp;CU65&amp;"%",""))))</f>
        <v/>
      </c>
      <c r="AY65" s="40" t="str">
        <f aca="false">IF(OR(OR(NOT(AND(ISNUMBER(E65),ISNUMBER(F65))),$J$2=""),13&gt;MAX(1,Reprogramaciones!$U$15)),"",IF(Reprogramaciones!W$12&gt;=7,"",IF(OR(CF65-N(CE65)&gt;0.05,N(AC65)&gt;0),ROUNDDOWN(ROUND(CF65,6),0)&amp;"%"&amp;IF(CV65="",""," / "&amp;CV65&amp;"%"),IF(AND(N(CE65)&gt;=99.95,CV65&lt;&gt;"",N(CV65)&lt;100),"Pend. "&amp;CV65&amp;"%",""))))</f>
        <v/>
      </c>
      <c r="AZ65" s="40" t="str">
        <f aca="false">IF(OR(OR(NOT(AND(ISNUMBER(E65),ISNUMBER(F65))),$J$2=""),14&gt;MAX(1,Reprogramaciones!$U$15)),"",IF(Reprogramaciones!X$12&gt;=7,"",IF(OR(CG65-N(CF65)&gt;0.05,N(AD65)&gt;0),ROUNDDOWN(ROUND(CG65,6),0)&amp;"%"&amp;IF(CW65="",""," / "&amp;CW65&amp;"%"),IF(AND(N(CF65)&gt;=99.95,CW65&lt;&gt;"",N(CW65)&lt;100),"Pend. "&amp;CW65&amp;"%",""))))</f>
        <v/>
      </c>
      <c r="BA65" s="40" t="str">
        <f aca="false">IF(OR(OR(NOT(AND(ISNUMBER(E65),ISNUMBER(F65))),$J$2=""),15&gt;MAX(1,Reprogramaciones!$U$15)),"",IF(Reprogramaciones!Y$12&gt;=7,"",IF(OR(CH65-N(CG65)&gt;0.05,N(AE65)&gt;0),ROUNDDOWN(ROUND(CH65,6),0)&amp;"%"&amp;IF(CX65="",""," / "&amp;CX65&amp;"%"),IF(AND(N(CG65)&gt;=99.95,CX65&lt;&gt;"",N(CX65)&lt;100),"Pend. "&amp;CX65&amp;"%",""))))</f>
        <v/>
      </c>
      <c r="BB65" s="40" t="str">
        <f aca="false">IF(OR(OR(NOT(AND(ISNUMBER(E65),ISNUMBER(F65))),$J$2=""),16&gt;MAX(1,Reprogramaciones!$U$15)),"",IF(Reprogramaciones!Z$12&gt;=7,"",IF(OR(CI65-N(CH65)&gt;0.05,N(AF65)&gt;0),ROUNDDOWN(ROUND(CI65,6),0)&amp;"%"&amp;IF(CY65="",""," / "&amp;CY65&amp;"%"),IF(AND(N(CH65)&gt;=99.95,CY65&lt;&gt;"",N(CY65)&lt;100),"Pend. "&amp;CY65&amp;"%",""))))</f>
        <v/>
      </c>
      <c r="BC65" s="31" t="n">
        <f aca="false">IF(AND(ISNUMBER(E65),ISNUMBER(F65)),MAX(1,NETWORKDAYS.INTL(E65,F65,11)),0)</f>
        <v>0</v>
      </c>
      <c r="BD65" s="1" t="str">
        <f aca="false">IF(OR(NOT(AND(ISNUMBER(E65),ISNUMBER(F65))),$J$2=""),"",MIN(100,ROUND(SUM($G65:G65),1)))</f>
        <v/>
      </c>
      <c r="BE65" s="1" t="str">
        <f aca="false">IF(OR(NOT(AND(ISNUMBER(E65),ISNUMBER(F65))),$J$2=""),"",MIN(100,ROUND(SUM($G65:H65),1)))</f>
        <v/>
      </c>
      <c r="BF65" s="1" t="str">
        <f aca="false">IF(OR(NOT(AND(ISNUMBER(E65),ISNUMBER(F65))),$J$2=""),"",MIN(100,ROUND(SUM($G65:I65),1)))</f>
        <v/>
      </c>
      <c r="BG65" s="1" t="str">
        <f aca="false">IF(OR(NOT(AND(ISNUMBER(E65),ISNUMBER(F65))),$J$2=""),"",MIN(100,ROUND(SUM($G65:J65),1)))</f>
        <v/>
      </c>
      <c r="BH65" s="1" t="str">
        <f aca="false">IF(OR(NOT(AND(ISNUMBER(E65),ISNUMBER(F65))),$J$2=""),"",MIN(100,ROUND(SUM($G65:K65),1)))</f>
        <v/>
      </c>
      <c r="BI65" s="1" t="str">
        <f aca="false">IF(OR(NOT(AND(ISNUMBER(E65),ISNUMBER(F65))),$J$2=""),"",MIN(100,ROUND(SUM($G65:L65),1)))</f>
        <v/>
      </c>
      <c r="BJ65" s="1" t="str">
        <f aca="false">IF(OR(NOT(AND(ISNUMBER(E65),ISNUMBER(F65))),$J$2=""),"",MIN(100,ROUND(SUM($G65:M65),1)))</f>
        <v/>
      </c>
      <c r="BK65" s="1" t="str">
        <f aca="false">IF(OR(NOT(AND(ISNUMBER(E65),ISNUMBER(F65))),$J$2=""),"",MIN(100,ROUND(SUM($G65:N65),1)))</f>
        <v/>
      </c>
      <c r="BL65" s="1" t="str">
        <f aca="false">IF(OR(NOT(AND(ISNUMBER(E65),ISNUMBER(F65))),$J$2=""),"",MIN(100,ROUND(SUM($G65:O65),1)))</f>
        <v/>
      </c>
      <c r="BM65" s="1" t="str">
        <f aca="false">IF(OR(NOT(AND(ISNUMBER(E65),ISNUMBER(F65))),$J$2=""),"",MIN(100,ROUND(SUM($G65:P65),1)))</f>
        <v/>
      </c>
      <c r="BN65" s="1" t="str">
        <f aca="false">IF(OR(NOT(AND(ISNUMBER(E65),ISNUMBER(F65))),$J$2=""),"",MIN(100,ROUND(SUM($G65:P65),1)))</f>
        <v/>
      </c>
      <c r="BO65" s="1" t="str">
        <f aca="false">IF(OR(NOT(AND(ISNUMBER(E65),ISNUMBER(F65))),$J$2=""),"",MIN(100,ROUND(SUM($G65:P65),1)))</f>
        <v/>
      </c>
      <c r="BP65" s="1" t="str">
        <f aca="false">IF(OR(NOT(AND(ISNUMBER(E65),ISNUMBER(F65))),$J$2=""),"",MIN(100,ROUND(SUM($G65:P65),1)))</f>
        <v/>
      </c>
      <c r="BQ65" s="1" t="str">
        <f aca="false">IF(OR(NOT(AND(ISNUMBER(E65),ISNUMBER(F65))),$J$2=""),"",MIN(100,ROUND(SUM($G65:P65),1)))</f>
        <v/>
      </c>
      <c r="BR65" s="1" t="str">
        <f aca="false">IF(OR(NOT(AND(ISNUMBER(E65),ISNUMBER(F65))),$J$2=""),"",MIN(100,ROUND(SUM($G65:P65),1)))</f>
        <v/>
      </c>
      <c r="BS65" s="1" t="str">
        <f aca="false">IF(OR(NOT(AND(ISNUMBER(E65),ISNUMBER(F65))),$J$2=""),"",MIN(100,ROUND(SUM($G65:P65),1)))</f>
        <v/>
      </c>
      <c r="BT65" s="1" t="str">
        <f aca="false">IF(OR(NOT(AND(ISNUMBER(E65),ISNUMBER(F65))),$J$2=""),"",IF(Reprogramaciones!K$13&lt;Reprogramaciones!$T$15,0,IF(Reprogramaciones!K$14&gt;10,MIN(100,SUM($G65:$P65)),MIN(100,SUMPRODUCT((COLUMN($G65:$P65)-COLUMN($G65)+1&lt;Reprogramaciones!K$14)*$G65:$P65)+N(INDEX($G65:$P65,1,Reprogramaciones!K$14))*IF(Reprogramaciones!K$13&gt;=(Reprogramaciones!$T$15+7*(Reprogramaciones!K$14-1))+6,1,IF(MAX(0,NETWORKDAYS.INTL(MAX(E65,(Reprogramaciones!$T$15+7*(Reprogramaciones!K$14-1))),MIN(F65,(Reprogramaciones!$T$15+7*(Reprogramaciones!K$14-1))+6),11))=0,0,MAX(0,NETWORKDAYS.INTL(MAX(E65,(Reprogramaciones!$T$15+7*(Reprogramaciones!K$14-1))),MIN(F65,Reprogramaciones!K$13),11))/MAX(0,NETWORKDAYS.INTL(MAX(E65,(Reprogramaciones!$T$15+7*(Reprogramaciones!K$14-1))),MIN(F65,(Reprogramaciones!$T$15+7*(Reprogramaciones!K$14-1))+6),11))))))))</f>
        <v/>
      </c>
      <c r="BU65" s="1" t="str">
        <f aca="false">IF(OR(NOT(AND(ISNUMBER(E65),ISNUMBER(F65))),$J$2=""),"",IF(Reprogramaciones!L$13&lt;Reprogramaciones!$T$15,0,IF(Reprogramaciones!L$14&gt;10,MIN(100,SUM($G65:$P65)),MIN(100,SUMPRODUCT((COLUMN($G65:$P65)-COLUMN($G65)+1&lt;Reprogramaciones!L$14)*$G65:$P65)+N(INDEX($G65:$P65,1,Reprogramaciones!L$14))*IF(Reprogramaciones!L$13&gt;=(Reprogramaciones!$T$15+7*(Reprogramaciones!L$14-1))+6,1,IF(MAX(0,NETWORKDAYS.INTL(MAX(E65,(Reprogramaciones!$T$15+7*(Reprogramaciones!L$14-1))),MIN(F65,(Reprogramaciones!$T$15+7*(Reprogramaciones!L$14-1))+6),11))=0,0,MAX(0,NETWORKDAYS.INTL(MAX(E65,(Reprogramaciones!$T$15+7*(Reprogramaciones!L$14-1))),MIN(F65,Reprogramaciones!L$13),11))/MAX(0,NETWORKDAYS.INTL(MAX(E65,(Reprogramaciones!$T$15+7*(Reprogramaciones!L$14-1))),MIN(F65,(Reprogramaciones!$T$15+7*(Reprogramaciones!L$14-1))+6),11))))))))</f>
        <v/>
      </c>
      <c r="BV65" s="1" t="str">
        <f aca="false">IF(OR(NOT(AND(ISNUMBER(E65),ISNUMBER(F65))),$J$2=""),"",IF(Reprogramaciones!M$13&lt;Reprogramaciones!$T$15,0,IF(Reprogramaciones!M$14&gt;10,MIN(100,SUM($G65:$P65)),MIN(100,SUMPRODUCT((COLUMN($G65:$P65)-COLUMN($G65)+1&lt;Reprogramaciones!M$14)*$G65:$P65)+N(INDEX($G65:$P65,1,Reprogramaciones!M$14))*IF(Reprogramaciones!M$13&gt;=(Reprogramaciones!$T$15+7*(Reprogramaciones!M$14-1))+6,1,IF(MAX(0,NETWORKDAYS.INTL(MAX(E65,(Reprogramaciones!$T$15+7*(Reprogramaciones!M$14-1))),MIN(F65,(Reprogramaciones!$T$15+7*(Reprogramaciones!M$14-1))+6),11))=0,0,MAX(0,NETWORKDAYS.INTL(MAX(E65,(Reprogramaciones!$T$15+7*(Reprogramaciones!M$14-1))),MIN(F65,Reprogramaciones!M$13),11))/MAX(0,NETWORKDAYS.INTL(MAX(E65,(Reprogramaciones!$T$15+7*(Reprogramaciones!M$14-1))),MIN(F65,(Reprogramaciones!$T$15+7*(Reprogramaciones!M$14-1))+6),11))))))))</f>
        <v/>
      </c>
      <c r="BW65" s="1" t="str">
        <f aca="false">IF(OR(NOT(AND(ISNUMBER(E65),ISNUMBER(F65))),$J$2=""),"",IF(Reprogramaciones!N$13&lt;Reprogramaciones!$T$15,0,IF(Reprogramaciones!N$14&gt;10,MIN(100,SUM($G65:$P65)),MIN(100,SUMPRODUCT((COLUMN($G65:$P65)-COLUMN($G65)+1&lt;Reprogramaciones!N$14)*$G65:$P65)+N(INDEX($G65:$P65,1,Reprogramaciones!N$14))*IF(Reprogramaciones!N$13&gt;=(Reprogramaciones!$T$15+7*(Reprogramaciones!N$14-1))+6,1,IF(MAX(0,NETWORKDAYS.INTL(MAX(E65,(Reprogramaciones!$T$15+7*(Reprogramaciones!N$14-1))),MIN(F65,(Reprogramaciones!$T$15+7*(Reprogramaciones!N$14-1))+6),11))=0,0,MAX(0,NETWORKDAYS.INTL(MAX(E65,(Reprogramaciones!$T$15+7*(Reprogramaciones!N$14-1))),MIN(F65,Reprogramaciones!N$13),11))/MAX(0,NETWORKDAYS.INTL(MAX(E65,(Reprogramaciones!$T$15+7*(Reprogramaciones!N$14-1))),MIN(F65,(Reprogramaciones!$T$15+7*(Reprogramaciones!N$14-1))+6),11))))))))</f>
        <v/>
      </c>
      <c r="BX65" s="1" t="str">
        <f aca="false">IF(OR(NOT(AND(ISNUMBER(E65),ISNUMBER(F65))),$J$2=""),"",IF(Reprogramaciones!O$13&lt;Reprogramaciones!$T$15,0,IF(Reprogramaciones!O$14&gt;10,MIN(100,SUM($G65:$P65)),MIN(100,SUMPRODUCT((COLUMN($G65:$P65)-COLUMN($G65)+1&lt;Reprogramaciones!O$14)*$G65:$P65)+N(INDEX($G65:$P65,1,Reprogramaciones!O$14))*IF(Reprogramaciones!O$13&gt;=(Reprogramaciones!$T$15+7*(Reprogramaciones!O$14-1))+6,1,IF(MAX(0,NETWORKDAYS.INTL(MAX(E65,(Reprogramaciones!$T$15+7*(Reprogramaciones!O$14-1))),MIN(F65,(Reprogramaciones!$T$15+7*(Reprogramaciones!O$14-1))+6),11))=0,0,MAX(0,NETWORKDAYS.INTL(MAX(E65,(Reprogramaciones!$T$15+7*(Reprogramaciones!O$14-1))),MIN(F65,Reprogramaciones!O$13),11))/MAX(0,NETWORKDAYS.INTL(MAX(E65,(Reprogramaciones!$T$15+7*(Reprogramaciones!O$14-1))),MIN(F65,(Reprogramaciones!$T$15+7*(Reprogramaciones!O$14-1))+6),11))))))))</f>
        <v/>
      </c>
      <c r="BY65" s="1" t="str">
        <f aca="false">IF(OR(NOT(AND(ISNUMBER(E65),ISNUMBER(F65))),$J$2=""),"",IF(Reprogramaciones!P$13&lt;Reprogramaciones!$T$15,0,IF(Reprogramaciones!P$14&gt;10,MIN(100,SUM($G65:$P65)),MIN(100,SUMPRODUCT((COLUMN($G65:$P65)-COLUMN($G65)+1&lt;Reprogramaciones!P$14)*$G65:$P65)+N(INDEX($G65:$P65,1,Reprogramaciones!P$14))*IF(Reprogramaciones!P$13&gt;=(Reprogramaciones!$T$15+7*(Reprogramaciones!P$14-1))+6,1,IF(MAX(0,NETWORKDAYS.INTL(MAX(E65,(Reprogramaciones!$T$15+7*(Reprogramaciones!P$14-1))),MIN(F65,(Reprogramaciones!$T$15+7*(Reprogramaciones!P$14-1))+6),11))=0,0,MAX(0,NETWORKDAYS.INTL(MAX(E65,(Reprogramaciones!$T$15+7*(Reprogramaciones!P$14-1))),MIN(F65,Reprogramaciones!P$13),11))/MAX(0,NETWORKDAYS.INTL(MAX(E65,(Reprogramaciones!$T$15+7*(Reprogramaciones!P$14-1))),MIN(F65,(Reprogramaciones!$T$15+7*(Reprogramaciones!P$14-1))+6),11))))))))</f>
        <v/>
      </c>
      <c r="BZ65" s="1" t="str">
        <f aca="false">IF(OR(NOT(AND(ISNUMBER(E65),ISNUMBER(F65))),$J$2=""),"",IF(Reprogramaciones!Q$13&lt;Reprogramaciones!$T$15,0,IF(Reprogramaciones!Q$14&gt;10,MIN(100,SUM($G65:$P65)),MIN(100,SUMPRODUCT((COLUMN($G65:$P65)-COLUMN($G65)+1&lt;Reprogramaciones!Q$14)*$G65:$P65)+N(INDEX($G65:$P65,1,Reprogramaciones!Q$14))*IF(Reprogramaciones!Q$13&gt;=(Reprogramaciones!$T$15+7*(Reprogramaciones!Q$14-1))+6,1,IF(MAX(0,NETWORKDAYS.INTL(MAX(E65,(Reprogramaciones!$T$15+7*(Reprogramaciones!Q$14-1))),MIN(F65,(Reprogramaciones!$T$15+7*(Reprogramaciones!Q$14-1))+6),11))=0,0,MAX(0,NETWORKDAYS.INTL(MAX(E65,(Reprogramaciones!$T$15+7*(Reprogramaciones!Q$14-1))),MIN(F65,Reprogramaciones!Q$13),11))/MAX(0,NETWORKDAYS.INTL(MAX(E65,(Reprogramaciones!$T$15+7*(Reprogramaciones!Q$14-1))),MIN(F65,(Reprogramaciones!$T$15+7*(Reprogramaciones!Q$14-1))+6),11))))))))</f>
        <v/>
      </c>
      <c r="CA65" s="1" t="str">
        <f aca="false">IF(OR(NOT(AND(ISNUMBER(E65),ISNUMBER(F65))),$J$2=""),"",IF(Reprogramaciones!R$13&lt;Reprogramaciones!$T$15,0,IF(Reprogramaciones!R$14&gt;10,MIN(100,SUM($G65:$P65)),MIN(100,SUMPRODUCT((COLUMN($G65:$P65)-COLUMN($G65)+1&lt;Reprogramaciones!R$14)*$G65:$P65)+N(INDEX($G65:$P65,1,Reprogramaciones!R$14))*IF(Reprogramaciones!R$13&gt;=(Reprogramaciones!$T$15+7*(Reprogramaciones!R$14-1))+6,1,IF(MAX(0,NETWORKDAYS.INTL(MAX(E65,(Reprogramaciones!$T$15+7*(Reprogramaciones!R$14-1))),MIN(F65,(Reprogramaciones!$T$15+7*(Reprogramaciones!R$14-1))+6),11))=0,0,MAX(0,NETWORKDAYS.INTL(MAX(E65,(Reprogramaciones!$T$15+7*(Reprogramaciones!R$14-1))),MIN(F65,Reprogramaciones!R$13),11))/MAX(0,NETWORKDAYS.INTL(MAX(E65,(Reprogramaciones!$T$15+7*(Reprogramaciones!R$14-1))),MIN(F65,(Reprogramaciones!$T$15+7*(Reprogramaciones!R$14-1))+6),11))))))))</f>
        <v/>
      </c>
      <c r="CB65" s="1" t="str">
        <f aca="false">IF(OR(NOT(AND(ISNUMBER(E65),ISNUMBER(F65))),$J$2=""),"",IF(Reprogramaciones!S$13&lt;Reprogramaciones!$T$15,0,IF(Reprogramaciones!S$14&gt;10,MIN(100,SUM($G65:$P65)),MIN(100,SUMPRODUCT((COLUMN($G65:$P65)-COLUMN($G65)+1&lt;Reprogramaciones!S$14)*$G65:$P65)+N(INDEX($G65:$P65,1,Reprogramaciones!S$14))*IF(Reprogramaciones!S$13&gt;=(Reprogramaciones!$T$15+7*(Reprogramaciones!S$14-1))+6,1,IF(MAX(0,NETWORKDAYS.INTL(MAX(E65,(Reprogramaciones!$T$15+7*(Reprogramaciones!S$14-1))),MIN(F65,(Reprogramaciones!$T$15+7*(Reprogramaciones!S$14-1))+6),11))=0,0,MAX(0,NETWORKDAYS.INTL(MAX(E65,(Reprogramaciones!$T$15+7*(Reprogramaciones!S$14-1))),MIN(F65,Reprogramaciones!S$13),11))/MAX(0,NETWORKDAYS.INTL(MAX(E65,(Reprogramaciones!$T$15+7*(Reprogramaciones!S$14-1))),MIN(F65,(Reprogramaciones!$T$15+7*(Reprogramaciones!S$14-1))+6),11))))))))</f>
        <v/>
      </c>
      <c r="CC65" s="1" t="str">
        <f aca="false">IF(OR(NOT(AND(ISNUMBER(E65),ISNUMBER(F65))),$J$2=""),"",IF(Reprogramaciones!T$13&lt;Reprogramaciones!$T$15,0,IF(Reprogramaciones!T$14&gt;10,MIN(100,SUM($G65:$P65)),MIN(100,SUMPRODUCT((COLUMN($G65:$P65)-COLUMN($G65)+1&lt;Reprogramaciones!T$14)*$G65:$P65)+N(INDEX($G65:$P65,1,Reprogramaciones!T$14))*IF(Reprogramaciones!T$13&gt;=(Reprogramaciones!$T$15+7*(Reprogramaciones!T$14-1))+6,1,IF(MAX(0,NETWORKDAYS.INTL(MAX(E65,(Reprogramaciones!$T$15+7*(Reprogramaciones!T$14-1))),MIN(F65,(Reprogramaciones!$T$15+7*(Reprogramaciones!T$14-1))+6),11))=0,0,MAX(0,NETWORKDAYS.INTL(MAX(E65,(Reprogramaciones!$T$15+7*(Reprogramaciones!T$14-1))),MIN(F65,Reprogramaciones!T$13),11))/MAX(0,NETWORKDAYS.INTL(MAX(E65,(Reprogramaciones!$T$15+7*(Reprogramaciones!T$14-1))),MIN(F65,(Reprogramaciones!$T$15+7*(Reprogramaciones!T$14-1))+6),11))))))))</f>
        <v/>
      </c>
      <c r="CD65" s="1" t="str">
        <f aca="false">IF(OR(NOT(AND(ISNUMBER(E65),ISNUMBER(F65))),$J$2=""),"",IF(Reprogramaciones!U$13&lt;Reprogramaciones!$T$15,0,IF(Reprogramaciones!U$14&gt;10,MIN(100,SUM($G65:$P65)),MIN(100,SUMPRODUCT((COLUMN($G65:$P65)-COLUMN($G65)+1&lt;Reprogramaciones!U$14)*$G65:$P65)+N(INDEX($G65:$P65,1,Reprogramaciones!U$14))*IF(Reprogramaciones!U$13&gt;=(Reprogramaciones!$T$15+7*(Reprogramaciones!U$14-1))+6,1,IF(MAX(0,NETWORKDAYS.INTL(MAX(E65,(Reprogramaciones!$T$15+7*(Reprogramaciones!U$14-1))),MIN(F65,(Reprogramaciones!$T$15+7*(Reprogramaciones!U$14-1))+6),11))=0,0,MAX(0,NETWORKDAYS.INTL(MAX(E65,(Reprogramaciones!$T$15+7*(Reprogramaciones!U$14-1))),MIN(F65,Reprogramaciones!U$13),11))/MAX(0,NETWORKDAYS.INTL(MAX(E65,(Reprogramaciones!$T$15+7*(Reprogramaciones!U$14-1))),MIN(F65,(Reprogramaciones!$T$15+7*(Reprogramaciones!U$14-1))+6),11))))))))</f>
        <v/>
      </c>
      <c r="CE65" s="1" t="str">
        <f aca="false">IF(OR(NOT(AND(ISNUMBER(E65),ISNUMBER(F65))),$J$2=""),"",IF(Reprogramaciones!V$13&lt;Reprogramaciones!$T$15,0,IF(Reprogramaciones!V$14&gt;10,MIN(100,SUM($G65:$P65)),MIN(100,SUMPRODUCT((COLUMN($G65:$P65)-COLUMN($G65)+1&lt;Reprogramaciones!V$14)*$G65:$P65)+N(INDEX($G65:$P65,1,Reprogramaciones!V$14))*IF(Reprogramaciones!V$13&gt;=(Reprogramaciones!$T$15+7*(Reprogramaciones!V$14-1))+6,1,IF(MAX(0,NETWORKDAYS.INTL(MAX(E65,(Reprogramaciones!$T$15+7*(Reprogramaciones!V$14-1))),MIN(F65,(Reprogramaciones!$T$15+7*(Reprogramaciones!V$14-1))+6),11))=0,0,MAX(0,NETWORKDAYS.INTL(MAX(E65,(Reprogramaciones!$T$15+7*(Reprogramaciones!V$14-1))),MIN(F65,Reprogramaciones!V$13),11))/MAX(0,NETWORKDAYS.INTL(MAX(E65,(Reprogramaciones!$T$15+7*(Reprogramaciones!V$14-1))),MIN(F65,(Reprogramaciones!$T$15+7*(Reprogramaciones!V$14-1))+6),11))))))))</f>
        <v/>
      </c>
      <c r="CF65" s="1" t="str">
        <f aca="false">IF(OR(NOT(AND(ISNUMBER(E65),ISNUMBER(F65))),$J$2=""),"",IF(Reprogramaciones!W$13&lt;Reprogramaciones!$T$15,0,IF(Reprogramaciones!W$14&gt;10,MIN(100,SUM($G65:$P65)),MIN(100,SUMPRODUCT((COLUMN($G65:$P65)-COLUMN($G65)+1&lt;Reprogramaciones!W$14)*$G65:$P65)+N(INDEX($G65:$P65,1,Reprogramaciones!W$14))*IF(Reprogramaciones!W$13&gt;=(Reprogramaciones!$T$15+7*(Reprogramaciones!W$14-1))+6,1,IF(MAX(0,NETWORKDAYS.INTL(MAX(E65,(Reprogramaciones!$T$15+7*(Reprogramaciones!W$14-1))),MIN(F65,(Reprogramaciones!$T$15+7*(Reprogramaciones!W$14-1))+6),11))=0,0,MAX(0,NETWORKDAYS.INTL(MAX(E65,(Reprogramaciones!$T$15+7*(Reprogramaciones!W$14-1))),MIN(F65,Reprogramaciones!W$13),11))/MAX(0,NETWORKDAYS.INTL(MAX(E65,(Reprogramaciones!$T$15+7*(Reprogramaciones!W$14-1))),MIN(F65,(Reprogramaciones!$T$15+7*(Reprogramaciones!W$14-1))+6),11))))))))</f>
        <v/>
      </c>
      <c r="CG65" s="1" t="str">
        <f aca="false">IF(OR(NOT(AND(ISNUMBER(E65),ISNUMBER(F65))),$J$2=""),"",IF(Reprogramaciones!X$13&lt;Reprogramaciones!$T$15,0,IF(Reprogramaciones!X$14&gt;10,MIN(100,SUM($G65:$P65)),MIN(100,SUMPRODUCT((COLUMN($G65:$P65)-COLUMN($G65)+1&lt;Reprogramaciones!X$14)*$G65:$P65)+N(INDEX($G65:$P65,1,Reprogramaciones!X$14))*IF(Reprogramaciones!X$13&gt;=(Reprogramaciones!$T$15+7*(Reprogramaciones!X$14-1))+6,1,IF(MAX(0,NETWORKDAYS.INTL(MAX(E65,(Reprogramaciones!$T$15+7*(Reprogramaciones!X$14-1))),MIN(F65,(Reprogramaciones!$T$15+7*(Reprogramaciones!X$14-1))+6),11))=0,0,MAX(0,NETWORKDAYS.INTL(MAX(E65,(Reprogramaciones!$T$15+7*(Reprogramaciones!X$14-1))),MIN(F65,Reprogramaciones!X$13),11))/MAX(0,NETWORKDAYS.INTL(MAX(E65,(Reprogramaciones!$T$15+7*(Reprogramaciones!X$14-1))),MIN(F65,(Reprogramaciones!$T$15+7*(Reprogramaciones!X$14-1))+6),11))))))))</f>
        <v/>
      </c>
      <c r="CH65" s="1" t="str">
        <f aca="false">IF(OR(NOT(AND(ISNUMBER(E65),ISNUMBER(F65))),$J$2=""),"",IF(Reprogramaciones!Y$13&lt;Reprogramaciones!$T$15,0,IF(Reprogramaciones!Y$14&gt;10,MIN(100,SUM($G65:$P65)),MIN(100,SUMPRODUCT((COLUMN($G65:$P65)-COLUMN($G65)+1&lt;Reprogramaciones!Y$14)*$G65:$P65)+N(INDEX($G65:$P65,1,Reprogramaciones!Y$14))*IF(Reprogramaciones!Y$13&gt;=(Reprogramaciones!$T$15+7*(Reprogramaciones!Y$14-1))+6,1,IF(MAX(0,NETWORKDAYS.INTL(MAX(E65,(Reprogramaciones!$T$15+7*(Reprogramaciones!Y$14-1))),MIN(F65,(Reprogramaciones!$T$15+7*(Reprogramaciones!Y$14-1))+6),11))=0,0,MAX(0,NETWORKDAYS.INTL(MAX(E65,(Reprogramaciones!$T$15+7*(Reprogramaciones!Y$14-1))),MIN(F65,Reprogramaciones!Y$13),11))/MAX(0,NETWORKDAYS.INTL(MAX(E65,(Reprogramaciones!$T$15+7*(Reprogramaciones!Y$14-1))),MIN(F65,(Reprogramaciones!$T$15+7*(Reprogramaciones!Y$14-1))+6),11))))))))</f>
        <v/>
      </c>
      <c r="CI65" s="1" t="str">
        <f aca="false">IF(OR(NOT(AND(ISNUMBER(E65),ISNUMBER(F65))),$J$2=""),"",IF(Reprogramaciones!Z$13&lt;Reprogramaciones!$T$15,0,IF(Reprogramaciones!Z$14&gt;10,MIN(100,SUM($G65:$P65)),MIN(100,SUMPRODUCT((COLUMN($G65:$P65)-COLUMN($G65)+1&lt;Reprogramaciones!Z$14)*$G65:$P65)+N(INDEX($G65:$P65,1,Reprogramaciones!Z$14))*IF(Reprogramaciones!Z$13&gt;=(Reprogramaciones!$T$15+7*(Reprogramaciones!Z$14-1))+6,1,IF(MAX(0,NETWORKDAYS.INTL(MAX(E65,(Reprogramaciones!$T$15+7*(Reprogramaciones!Z$14-1))),MIN(F65,(Reprogramaciones!$T$15+7*(Reprogramaciones!Z$14-1))+6),11))=0,0,MAX(0,NETWORKDAYS.INTL(MAX(E65,(Reprogramaciones!$T$15+7*(Reprogramaciones!Z$14-1))),MIN(F65,Reprogramaciones!Z$13),11))/MAX(0,NETWORKDAYS.INTL(MAX(E65,(Reprogramaciones!$T$15+7*(Reprogramaciones!Z$14-1))),MIN(F65,(Reprogramaciones!$T$15+7*(Reprogramaciones!Z$14-1))+6),11))))))))</f>
        <v/>
      </c>
      <c r="CJ65" s="1" t="str">
        <f aca="false">IF(OR(OR(NOT(AND(ISNUMBER(E65),ISNUMBER(F65))),$J$2=""),1&gt;Reprogramaciones!$K$16),"",IF(ROUND(SUM($Q65:Q65),1)&gt;=99.5,100,MIN(100,ROUND(SUM($Q65:Q65),1))))</f>
        <v/>
      </c>
      <c r="CK65" s="1" t="str">
        <f aca="false">IF(OR(OR(NOT(AND(ISNUMBER(E65),ISNUMBER(F65))),$J$2=""),2&gt;Reprogramaciones!$K$16),"",IF(ROUND(SUM($Q65:R65),1)&gt;=99.5,100,MIN(100,ROUND(SUM($Q65:R65),1))))</f>
        <v/>
      </c>
      <c r="CL65" s="1" t="str">
        <f aca="false">IF(OR(OR(NOT(AND(ISNUMBER(E65),ISNUMBER(F65))),$J$2=""),3&gt;Reprogramaciones!$K$16),"",IF(ROUND(SUM($Q65:S65),1)&gt;=99.5,100,MIN(100,ROUND(SUM($Q65:S65),1))))</f>
        <v/>
      </c>
      <c r="CM65" s="1" t="str">
        <f aca="false">IF(OR(OR(NOT(AND(ISNUMBER(E65),ISNUMBER(F65))),$J$2=""),4&gt;Reprogramaciones!$K$16),"",IF(ROUND(SUM($Q65:T65),1)&gt;=99.5,100,MIN(100,ROUND(SUM($Q65:T65),1))))</f>
        <v/>
      </c>
      <c r="CN65" s="1" t="str">
        <f aca="false">IF(OR(OR(NOT(AND(ISNUMBER(E65),ISNUMBER(F65))),$J$2=""),5&gt;Reprogramaciones!$K$16),"",IF(ROUND(SUM($Q65:U65),1)&gt;=99.5,100,MIN(100,ROUND(SUM($Q65:U65),1))))</f>
        <v/>
      </c>
      <c r="CO65" s="1" t="str">
        <f aca="false">IF(OR(OR(NOT(AND(ISNUMBER(E65),ISNUMBER(F65))),$J$2=""),6&gt;Reprogramaciones!$K$16),"",IF(ROUND(SUM($Q65:V65),1)&gt;=99.5,100,MIN(100,ROUND(SUM($Q65:V65),1))))</f>
        <v/>
      </c>
      <c r="CP65" s="1" t="str">
        <f aca="false">IF(OR(OR(NOT(AND(ISNUMBER(E65),ISNUMBER(F65))),$J$2=""),7&gt;Reprogramaciones!$K$16),"",IF(ROUND(SUM($Q65:W65),1)&gt;=99.5,100,MIN(100,ROUND(SUM($Q65:W65),1))))</f>
        <v/>
      </c>
      <c r="CQ65" s="1" t="str">
        <f aca="false">IF(OR(OR(NOT(AND(ISNUMBER(E65),ISNUMBER(F65))),$J$2=""),8&gt;Reprogramaciones!$K$16),"",IF(ROUND(SUM($Q65:X65),1)&gt;=99.5,100,MIN(100,ROUND(SUM($Q65:X65),1))))</f>
        <v/>
      </c>
      <c r="CR65" s="1" t="str">
        <f aca="false">IF(OR(OR(NOT(AND(ISNUMBER(E65),ISNUMBER(F65))),$J$2=""),9&gt;Reprogramaciones!$K$16),"",IF(ROUND(SUM($Q65:Y65),1)&gt;=99.5,100,MIN(100,ROUND(SUM($Q65:Y65),1))))</f>
        <v/>
      </c>
      <c r="CS65" s="1" t="str">
        <f aca="false">IF(OR(OR(NOT(AND(ISNUMBER(E65),ISNUMBER(F65))),$J$2=""),10&gt;Reprogramaciones!$K$16),"",IF(ROUND(SUM($Q65:Z65),1)&gt;=99.5,100,MIN(100,ROUND(SUM($Q65:Z65),1))))</f>
        <v/>
      </c>
      <c r="CT65" s="1" t="str">
        <f aca="false">IF(OR(OR(NOT(AND(ISNUMBER(E65),ISNUMBER(F65))),$J$2=""),11&gt;Reprogramaciones!$K$16),"",IF(ROUND(SUM($Q65:AA65),1)&gt;=99.5,100,MIN(100,ROUND(SUM($Q65:AA65),1))))</f>
        <v/>
      </c>
      <c r="CU65" s="1" t="str">
        <f aca="false">IF(OR(OR(NOT(AND(ISNUMBER(E65),ISNUMBER(F65))),$J$2=""),12&gt;Reprogramaciones!$K$16),"",IF(ROUND(SUM($Q65:AB65),1)&gt;=99.5,100,MIN(100,ROUND(SUM($Q65:AB65),1))))</f>
        <v/>
      </c>
      <c r="CV65" s="1" t="str">
        <f aca="false">IF(OR(OR(NOT(AND(ISNUMBER(E65),ISNUMBER(F65))),$J$2=""),13&gt;Reprogramaciones!$K$16),"",IF(ROUND(SUM($Q65:AC65),1)&gt;=99.5,100,MIN(100,ROUND(SUM($Q65:AC65),1))))</f>
        <v/>
      </c>
      <c r="CW65" s="1" t="str">
        <f aca="false">IF(OR(OR(NOT(AND(ISNUMBER(E65),ISNUMBER(F65))),$J$2=""),14&gt;Reprogramaciones!$K$16),"",IF(ROUND(SUM($Q65:AD65),1)&gt;=99.5,100,MIN(100,ROUND(SUM($Q65:AD65),1))))</f>
        <v/>
      </c>
      <c r="CX65" s="1" t="str">
        <f aca="false">IF(OR(OR(NOT(AND(ISNUMBER(E65),ISNUMBER(F65))),$J$2=""),15&gt;Reprogramaciones!$K$16),"",IF(ROUND(SUM($Q65:AE65),1)&gt;=99.5,100,MIN(100,ROUND(SUM($Q65:AE65),1))))</f>
        <v/>
      </c>
      <c r="CY65" s="1" t="str">
        <f aca="false">IF(OR(OR(NOT(AND(ISNUMBER(E65),ISNUMBER(F65))),$J$2=""),16&gt;Reprogramaciones!$K$16),"",IF(ROUND(SUM($Q65:AF65),1)&gt;=99.5,100,MIN(100,ROUND(SUM($Q65:AF65),1))))</f>
        <v/>
      </c>
      <c r="CZ65" s="1" t="str">
        <f aca="false">IF(D65&lt;&gt;"",D65,IF(B65&lt;&gt;"","Contractual",CZ64))</f>
        <v>Contractual</v>
      </c>
      <c r="DA65" s="1" t="str">
        <f aca="false">IF(OR(NOT(AND(ISNUMBER(E65),ISNUMBER(F65))),$J$2=""),"",IF(Reprogramaciones!$Q$15&lt;Reprogramaciones!$T$15,0,IF(Reprogramaciones!$S$15&gt;10,MIN(100,SUM($G65:$P65)),MIN(100,SUMPRODUCT((COLUMN($G65:$P65)-COLUMN($G65)+1&lt;Reprogramaciones!$S$15)*$G65:$P65)+N(INDEX($G65:$P65,1,Reprogramaciones!$S$15))*IF(Reprogramaciones!$Q$15&gt;=(Reprogramaciones!$T$15+7*(Reprogramaciones!$S$15-1))+6,1,IF(MAX(0,NETWORKDAYS.INTL(MAX(E65,(Reprogramaciones!$T$15+7*(Reprogramaciones!$S$15-1))),MIN(F65,(Reprogramaciones!$T$15+7*(Reprogramaciones!$S$15-1))+6),11))=0,0,MAX(0,NETWORKDAYS.INTL(MAX(E65,(Reprogramaciones!$T$15+7*(Reprogramaciones!$S$15-1))),MIN(F65,Reprogramaciones!$Q$15),11))/MAX(0,NETWORKDAYS.INTL(MAX(E65,(Reprogramaciones!$T$15+7*(Reprogramaciones!$S$15-1))),MIN(F65,(Reprogramaciones!$T$15+7*(Reprogramaciones!$S$15-1))+6),11))))))))</f>
        <v/>
      </c>
    </row>
    <row r="66" customFormat="false" ht="15" hidden="false" customHeight="false" outlineLevel="0" collapsed="false">
      <c r="A66" s="32"/>
      <c r="B66" s="33"/>
      <c r="C66" s="33"/>
      <c r="D66" s="34"/>
      <c r="E66" s="35"/>
      <c r="F66" s="35"/>
      <c r="G66" s="36" t="str">
        <f aca="false">IF(OR(NOT(AND(ISNUMBER(E66),ISNUMBER(F66))),$J$2=""),"",IF(Reprogramaciones!K$9&lt;E66,0,IF(NETWORKDAYS.INTL(E66,F66,11)=0,IF(Reprogramaciones!K$9&gt;=F66,100,0),ROUND(NETWORKDAYS.INTL(E66,MIN(F66,Reprogramaciones!K$9),11)/NETWORKDAYS.INTL(E66,F66,11)*100,1)))-0)</f>
        <v/>
      </c>
      <c r="H66" s="36" t="str">
        <f aca="false">IF(OR(NOT(AND(ISNUMBER(E66),ISNUMBER(F66))),$J$2=""),"",IF(Reprogramaciones!L$9&lt;E66,0,IF(NETWORKDAYS.INTL(E66,F66,11)=0,IF(Reprogramaciones!L$9&gt;=F66,100,0),ROUND(NETWORKDAYS.INTL(E66,MIN(F66,Reprogramaciones!L$9),11)/NETWORKDAYS.INTL(E66,F66,11)*100,1)))-IF(Reprogramaciones!K$9&lt;E66,0,IF(NETWORKDAYS.INTL(E66,F66,11)=0,IF(Reprogramaciones!K$9&gt;=F66,100,0),ROUND(NETWORKDAYS.INTL(E66,MIN(F66,Reprogramaciones!K$9),11)/NETWORKDAYS.INTL(E66,F66,11)*100,1))))</f>
        <v/>
      </c>
      <c r="I66" s="36" t="str">
        <f aca="false">IF(OR(NOT(AND(ISNUMBER(E66),ISNUMBER(F66))),$J$2=""),"",IF(Reprogramaciones!M$9&lt;E66,0,IF(NETWORKDAYS.INTL(E66,F66,11)=0,IF(Reprogramaciones!M$9&gt;=F66,100,0),ROUND(NETWORKDAYS.INTL(E66,MIN(F66,Reprogramaciones!M$9),11)/NETWORKDAYS.INTL(E66,F66,11)*100,1)))-IF(Reprogramaciones!L$9&lt;E66,0,IF(NETWORKDAYS.INTL(E66,F66,11)=0,IF(Reprogramaciones!L$9&gt;=F66,100,0),ROUND(NETWORKDAYS.INTL(E66,MIN(F66,Reprogramaciones!L$9),11)/NETWORKDAYS.INTL(E66,F66,11)*100,1))))</f>
        <v/>
      </c>
      <c r="J66" s="36" t="str">
        <f aca="false">IF(OR(NOT(AND(ISNUMBER(E66),ISNUMBER(F66))),$J$2=""),"",IF(Reprogramaciones!N$9&lt;E66,0,IF(NETWORKDAYS.INTL(E66,F66,11)=0,IF(Reprogramaciones!N$9&gt;=F66,100,0),ROUND(NETWORKDAYS.INTL(E66,MIN(F66,Reprogramaciones!N$9),11)/NETWORKDAYS.INTL(E66,F66,11)*100,1)))-IF(Reprogramaciones!M$9&lt;E66,0,IF(NETWORKDAYS.INTL(E66,F66,11)=0,IF(Reprogramaciones!M$9&gt;=F66,100,0),ROUND(NETWORKDAYS.INTL(E66,MIN(F66,Reprogramaciones!M$9),11)/NETWORKDAYS.INTL(E66,F66,11)*100,1))))</f>
        <v/>
      </c>
      <c r="K66" s="36" t="str">
        <f aca="false">IF(OR(NOT(AND(ISNUMBER(E66),ISNUMBER(F66))),$J$2=""),"",IF(Reprogramaciones!O$9&lt;E66,0,IF(NETWORKDAYS.INTL(E66,F66,11)=0,IF(Reprogramaciones!O$9&gt;=F66,100,0),ROUND(NETWORKDAYS.INTL(E66,MIN(F66,Reprogramaciones!O$9),11)/NETWORKDAYS.INTL(E66,F66,11)*100,1)))-IF(Reprogramaciones!N$9&lt;E66,0,IF(NETWORKDAYS.INTL(E66,F66,11)=0,IF(Reprogramaciones!N$9&gt;=F66,100,0),ROUND(NETWORKDAYS.INTL(E66,MIN(F66,Reprogramaciones!N$9),11)/NETWORKDAYS.INTL(E66,F66,11)*100,1))))</f>
        <v/>
      </c>
      <c r="L66" s="36" t="str">
        <f aca="false">IF(OR(NOT(AND(ISNUMBER(E66),ISNUMBER(F66))),$J$2=""),"",IF(Reprogramaciones!P$9&lt;E66,0,IF(NETWORKDAYS.INTL(E66,F66,11)=0,IF(Reprogramaciones!P$9&gt;=F66,100,0),ROUND(NETWORKDAYS.INTL(E66,MIN(F66,Reprogramaciones!P$9),11)/NETWORKDAYS.INTL(E66,F66,11)*100,1)))-IF(Reprogramaciones!O$9&lt;E66,0,IF(NETWORKDAYS.INTL(E66,F66,11)=0,IF(Reprogramaciones!O$9&gt;=F66,100,0),ROUND(NETWORKDAYS.INTL(E66,MIN(F66,Reprogramaciones!O$9),11)/NETWORKDAYS.INTL(E66,F66,11)*100,1))))</f>
        <v/>
      </c>
      <c r="M66" s="36" t="str">
        <f aca="false">IF(OR(NOT(AND(ISNUMBER(E66),ISNUMBER(F66))),$J$2=""),"",IF(Reprogramaciones!Q$9&lt;E66,0,IF(NETWORKDAYS.INTL(E66,F66,11)=0,IF(Reprogramaciones!Q$9&gt;=F66,100,0),ROUND(NETWORKDAYS.INTL(E66,MIN(F66,Reprogramaciones!Q$9),11)/NETWORKDAYS.INTL(E66,F66,11)*100,1)))-IF(Reprogramaciones!P$9&lt;E66,0,IF(NETWORKDAYS.INTL(E66,F66,11)=0,IF(Reprogramaciones!P$9&gt;=F66,100,0),ROUND(NETWORKDAYS.INTL(E66,MIN(F66,Reprogramaciones!P$9),11)/NETWORKDAYS.INTL(E66,F66,11)*100,1))))</f>
        <v/>
      </c>
      <c r="N66" s="36" t="str">
        <f aca="false">IF(OR(NOT(AND(ISNUMBER(E66),ISNUMBER(F66))),$J$2=""),"",IF(Reprogramaciones!R$9&lt;E66,0,IF(NETWORKDAYS.INTL(E66,F66,11)=0,IF(Reprogramaciones!R$9&gt;=F66,100,0),ROUND(NETWORKDAYS.INTL(E66,MIN(F66,Reprogramaciones!R$9),11)/NETWORKDAYS.INTL(E66,F66,11)*100,1)))-IF(Reprogramaciones!Q$9&lt;E66,0,IF(NETWORKDAYS.INTL(E66,F66,11)=0,IF(Reprogramaciones!Q$9&gt;=F66,100,0),ROUND(NETWORKDAYS.INTL(E66,MIN(F66,Reprogramaciones!Q$9),11)/NETWORKDAYS.INTL(E66,F66,11)*100,1))))</f>
        <v/>
      </c>
      <c r="O66" s="36" t="str">
        <f aca="false">IF(OR(NOT(AND(ISNUMBER(E66),ISNUMBER(F66))),$J$2=""),"",IF(Reprogramaciones!S$9&lt;E66,0,IF(NETWORKDAYS.INTL(E66,F66,11)=0,IF(Reprogramaciones!S$9&gt;=F66,100,0),ROUND(NETWORKDAYS.INTL(E66,MIN(F66,Reprogramaciones!S$9),11)/NETWORKDAYS.INTL(E66,F66,11)*100,1)))-IF(Reprogramaciones!R$9&lt;E66,0,IF(NETWORKDAYS.INTL(E66,F66,11)=0,IF(Reprogramaciones!R$9&gt;=F66,100,0),ROUND(NETWORKDAYS.INTL(E66,MIN(F66,Reprogramaciones!R$9),11)/NETWORKDAYS.INTL(E66,F66,11)*100,1))))</f>
        <v/>
      </c>
      <c r="P66" s="36" t="str">
        <f aca="false">IF(OR(NOT(AND(ISNUMBER(E66),ISNUMBER(F66))),$J$2=""),"",IF(Reprogramaciones!T$9&lt;E66,0,IF(NETWORKDAYS.INTL(E66,F66,11)=0,IF(Reprogramaciones!T$9&gt;=F66,100,0),ROUND(NETWORKDAYS.INTL(E66,MIN(F66,Reprogramaciones!T$9),11)/NETWORKDAYS.INTL(E66,F66,11)*100,1)))-IF(Reprogramaciones!S$9&lt;E66,0,IF(NETWORKDAYS.INTL(E66,F66,11)=0,IF(Reprogramaciones!S$9&gt;=F66,100,0),ROUND(NETWORKDAYS.INTL(E66,MIN(F66,Reprogramaciones!S$9),11)/NETWORKDAYS.INTL(E66,F66,11)*100,1))))</f>
        <v/>
      </c>
      <c r="Q66" s="37"/>
      <c r="R66" s="37"/>
      <c r="S66" s="37"/>
      <c r="T66" s="37"/>
      <c r="U66" s="37"/>
      <c r="V66" s="37"/>
      <c r="W66" s="37"/>
      <c r="X66" s="37"/>
      <c r="Y66" s="37"/>
      <c r="Z66" s="37"/>
      <c r="AA66" s="37"/>
      <c r="AB66" s="37"/>
      <c r="AC66" s="37"/>
      <c r="AD66" s="37"/>
      <c r="AE66" s="37"/>
      <c r="AF66" s="37"/>
      <c r="AG66" s="38" t="str">
        <f aca="false">IF(AND(ISNUMBER(E66),ISNUMBER(F66)),NETWORKDAYS.INTL(E66,F66,11),"")</f>
        <v/>
      </c>
      <c r="AH66" s="38" t="str">
        <f aca="false">IF(OR(NOT(AND(ISNUMBER(E66),ISNUMBER(F66))),$J$2=""),"",IF(Reprogramaciones!$P$15&lt;Reprogramaciones!$T$15,0,IF(Reprogramaciones!$R$15&gt;10,MIN(100,SUM($G66:$P66)),MIN(100,SUMPRODUCT((COLUMN($G66:$P66)-COLUMN($G66)+1&lt;Reprogramaciones!$R$15)*$G66:$P66)+N(INDEX($G66:$P66,1,Reprogramaciones!$R$15))*IF(Reprogramaciones!$P$15&gt;=(Reprogramaciones!$T$15+7*(Reprogramaciones!$R$15-1))+6,1,IF(MAX(0,NETWORKDAYS.INTL(MAX(E66,(Reprogramaciones!$T$15+7*(Reprogramaciones!$R$15-1))),MIN(F66,(Reprogramaciones!$T$15+7*(Reprogramaciones!$R$15-1))+6),11))=0,0,MAX(0,NETWORKDAYS.INTL(MAX(E66,(Reprogramaciones!$T$15+7*(Reprogramaciones!$R$15-1))),MIN(F66,Reprogramaciones!$P$15),11))/MAX(0,NETWORKDAYS.INTL(MAX(E66,(Reprogramaciones!$T$15+7*(Reprogramaciones!$R$15-1))),MIN(F66,(Reprogramaciones!$T$15+7*(Reprogramaciones!$R$15-1))+6),11))))))))</f>
        <v/>
      </c>
      <c r="AI66" s="38" t="str">
        <f aca="false">IF(COUNT($Q66:$AF66)=0,"",IF(ROUND(SUM($Q66:$AF66),1)&gt;=99.5,100,MIN(100,ROUND(SUM($Q66:$AF66),1))))</f>
        <v/>
      </c>
      <c r="AJ66" s="38" t="str">
        <f aca="false">IF(OR(AH66="",AI66=""),"",AI66-AH66)</f>
        <v/>
      </c>
      <c r="AK66" s="39" t="str">
        <f aca="true">IF(AH66="","",IF(OR(Ficha!$C$10="Suspendida",Ficha!$C$10="Cancelada"),Ficha!$C$10,IF(AND(AI66&lt;&gt;"",N(AI66)&gt;=100),"Completada",IF(AND(E66&gt;TODAY(),N(AI66)=0),"Por iniciar",IF(N(AI66)+0.5&lt;AH66,"Retrasada",IF(N(AI66)+0.5&lt;DA66,IF(Reprogramaciones!$K$15&gt;0,"Al día · Sem "&amp;Reprogramaciones!$K$15&amp;" en curso","Al día · en curso"),"A tiempo"))))))</f>
        <v/>
      </c>
      <c r="AL66" s="39" t="str">
        <f aca="true">IF(AND(A66="",AND(B66="",C66="",E66="",F66="",COUNT(Q66:AF66)=0)),"",IF(AND(B66="",C66="",E66="",F66="",COUNT(Q66:AF66)=0),"Falta la partida o subpartida",IF(AND(A66&lt;&gt;"",COUNTIF($A$6:$A$305,A66)&gt;1),"Ítem repetido",IF(AND(C66="",E66="",F66="",COUNT(Q66:AF66)=0),"Título de partida",IF(OR(E66="",F66=""),"Faltan fechas",IF(OR(ISTEXT(E66),ISTEXT(F66)),"Fecha escrita como texto: usa dd/mm/aaaa",IF(F66&lt;E66,"Fin antes del inicio",IF(IF($J$2="",FALSE(),OR(E66&lt;$J$2,F66&gt;Reprogramaciones!$T$15+69)),"Fuera de las 10 semanas",IF(ABS(SUM(G66:P66)-100)&gt;0.5,"La meta no suma 100%",IF(ROUND(SUM(Q66:AF66),1)&gt;100.5,"El avance pasa de 100%",IF(MIN(Q66:AF66)&lt;0,"Avance negativo",IF(COUNTA(Q66:AF66)&gt;COUNT(Q66:AF66),"Avance escrito como texto",IF(SUMPRODUCT((Q66:AF66&gt;0)*(Q66:AF66&lt;1))&gt;0,"Avance menor a 1: escribe 50, no 50%",IF(SUMPRODUCT(ISNUMBER(Q66:AF66)*(Reprogramaciones!$K$8:$Z$8&gt;TODAY()))&gt;0,"Avance en semana que aún no llega",IF(AND(N(Reprogramaciones!$E$21)&gt;0,F66&gt;Reprogramaciones!$E$21),"Pasa el fin de la obra: registra una reprogramación",IF(AND(N(Reprogramaciones!$E$21)&gt;0,SUMPRODUCT(ISNUMBER(Q66:AF66)*(Reprogramaciones!$K$8:$Z$8&gt;Reprogramaciones!$E$21))&gt;0),"Avance después del fin de la obra: registra una reprogramación por atraso","OK"))))))))))))))))</f>
        <v/>
      </c>
      <c r="AM66" s="40" t="str">
        <f aca="false">IF(OR(OR(NOT(AND(ISNUMBER(E66),ISNUMBER(F66))),$J$2=""),1&gt;MAX(1,Reprogramaciones!$U$15)),"",IF(Reprogramaciones!K$12&gt;=7,"",IF(OR(BT66-N(0)&gt;0.05,N(Q66)&gt;0),ROUNDDOWN(ROUND(BT66,6),0)&amp;"%"&amp;IF(CJ66="",""," / "&amp;CJ66&amp;"%"),IF(AND(N(0)&gt;=99.95,CJ66&lt;&gt;"",N(CJ66)&lt;100),"Pend. "&amp;CJ66&amp;"%",""))))</f>
        <v/>
      </c>
      <c r="AN66" s="40" t="str">
        <f aca="false">IF(OR(OR(NOT(AND(ISNUMBER(E66),ISNUMBER(F66))),$J$2=""),2&gt;MAX(1,Reprogramaciones!$U$15)),"",IF(Reprogramaciones!L$12&gt;=7,"",IF(OR(BU66-N(BT66)&gt;0.05,N(R66)&gt;0),ROUNDDOWN(ROUND(BU66,6),0)&amp;"%"&amp;IF(CK66="",""," / "&amp;CK66&amp;"%"),IF(AND(N(BT66)&gt;=99.95,CK66&lt;&gt;"",N(CK66)&lt;100),"Pend. "&amp;CK66&amp;"%",""))))</f>
        <v/>
      </c>
      <c r="AO66" s="40" t="str">
        <f aca="false">IF(OR(OR(NOT(AND(ISNUMBER(E66),ISNUMBER(F66))),$J$2=""),3&gt;MAX(1,Reprogramaciones!$U$15)),"",IF(Reprogramaciones!M$12&gt;=7,"",IF(OR(BV66-N(BU66)&gt;0.05,N(S66)&gt;0),ROUNDDOWN(ROUND(BV66,6),0)&amp;"%"&amp;IF(CL66="",""," / "&amp;CL66&amp;"%"),IF(AND(N(BU66)&gt;=99.95,CL66&lt;&gt;"",N(CL66)&lt;100),"Pend. "&amp;CL66&amp;"%",""))))</f>
        <v/>
      </c>
      <c r="AP66" s="40" t="str">
        <f aca="false">IF(OR(OR(NOT(AND(ISNUMBER(E66),ISNUMBER(F66))),$J$2=""),4&gt;MAX(1,Reprogramaciones!$U$15)),"",IF(Reprogramaciones!N$12&gt;=7,"",IF(OR(BW66-N(BV66)&gt;0.05,N(T66)&gt;0),ROUNDDOWN(ROUND(BW66,6),0)&amp;"%"&amp;IF(CM66="",""," / "&amp;CM66&amp;"%"),IF(AND(N(BV66)&gt;=99.95,CM66&lt;&gt;"",N(CM66)&lt;100),"Pend. "&amp;CM66&amp;"%",""))))</f>
        <v/>
      </c>
      <c r="AQ66" s="40" t="str">
        <f aca="false">IF(OR(OR(NOT(AND(ISNUMBER(E66),ISNUMBER(F66))),$J$2=""),5&gt;MAX(1,Reprogramaciones!$U$15)),"",IF(Reprogramaciones!O$12&gt;=7,"",IF(OR(BX66-N(BW66)&gt;0.05,N(U66)&gt;0),ROUNDDOWN(ROUND(BX66,6),0)&amp;"%"&amp;IF(CN66="",""," / "&amp;CN66&amp;"%"),IF(AND(N(BW66)&gt;=99.95,CN66&lt;&gt;"",N(CN66)&lt;100),"Pend. "&amp;CN66&amp;"%",""))))</f>
        <v/>
      </c>
      <c r="AR66" s="40" t="str">
        <f aca="false">IF(OR(OR(NOT(AND(ISNUMBER(E66),ISNUMBER(F66))),$J$2=""),6&gt;MAX(1,Reprogramaciones!$U$15)),"",IF(Reprogramaciones!P$12&gt;=7,"",IF(OR(BY66-N(BX66)&gt;0.05,N(V66)&gt;0),ROUNDDOWN(ROUND(BY66,6),0)&amp;"%"&amp;IF(CO66="",""," / "&amp;CO66&amp;"%"),IF(AND(N(BX66)&gt;=99.95,CO66&lt;&gt;"",N(CO66)&lt;100),"Pend. "&amp;CO66&amp;"%",""))))</f>
        <v/>
      </c>
      <c r="AS66" s="40" t="str">
        <f aca="false">IF(OR(OR(NOT(AND(ISNUMBER(E66),ISNUMBER(F66))),$J$2=""),7&gt;MAX(1,Reprogramaciones!$U$15)),"",IF(Reprogramaciones!Q$12&gt;=7,"",IF(OR(BZ66-N(BY66)&gt;0.05,N(W66)&gt;0),ROUNDDOWN(ROUND(BZ66,6),0)&amp;"%"&amp;IF(CP66="",""," / "&amp;CP66&amp;"%"),IF(AND(N(BY66)&gt;=99.95,CP66&lt;&gt;"",N(CP66)&lt;100),"Pend. "&amp;CP66&amp;"%",""))))</f>
        <v/>
      </c>
      <c r="AT66" s="40" t="str">
        <f aca="false">IF(OR(OR(NOT(AND(ISNUMBER(E66),ISNUMBER(F66))),$J$2=""),8&gt;MAX(1,Reprogramaciones!$U$15)),"",IF(Reprogramaciones!R$12&gt;=7,"",IF(OR(CA66-N(BZ66)&gt;0.05,N(X66)&gt;0),ROUNDDOWN(ROUND(CA66,6),0)&amp;"%"&amp;IF(CQ66="",""," / "&amp;CQ66&amp;"%"),IF(AND(N(BZ66)&gt;=99.95,CQ66&lt;&gt;"",N(CQ66)&lt;100),"Pend. "&amp;CQ66&amp;"%",""))))</f>
        <v/>
      </c>
      <c r="AU66" s="40" t="str">
        <f aca="false">IF(OR(OR(NOT(AND(ISNUMBER(E66),ISNUMBER(F66))),$J$2=""),9&gt;MAX(1,Reprogramaciones!$U$15)),"",IF(Reprogramaciones!S$12&gt;=7,"",IF(OR(CB66-N(CA66)&gt;0.05,N(Y66)&gt;0),ROUNDDOWN(ROUND(CB66,6),0)&amp;"%"&amp;IF(CR66="",""," / "&amp;CR66&amp;"%"),IF(AND(N(CA66)&gt;=99.95,CR66&lt;&gt;"",N(CR66)&lt;100),"Pend. "&amp;CR66&amp;"%",""))))</f>
        <v/>
      </c>
      <c r="AV66" s="40" t="str">
        <f aca="false">IF(OR(OR(NOT(AND(ISNUMBER(E66),ISNUMBER(F66))),$J$2=""),10&gt;MAX(1,Reprogramaciones!$U$15)),"",IF(Reprogramaciones!T$12&gt;=7,"",IF(OR(CC66-N(CB66)&gt;0.05,N(Z66)&gt;0),ROUNDDOWN(ROUND(CC66,6),0)&amp;"%"&amp;IF(CS66="",""," / "&amp;CS66&amp;"%"),IF(AND(N(CB66)&gt;=99.95,CS66&lt;&gt;"",N(CS66)&lt;100),"Pend. "&amp;CS66&amp;"%",""))))</f>
        <v/>
      </c>
      <c r="AW66" s="40" t="str">
        <f aca="false">IF(OR(OR(NOT(AND(ISNUMBER(E66),ISNUMBER(F66))),$J$2=""),11&gt;MAX(1,Reprogramaciones!$U$15)),"",IF(Reprogramaciones!U$12&gt;=7,"",IF(OR(CD66-N(CC66)&gt;0.05,N(AA66)&gt;0),ROUNDDOWN(ROUND(CD66,6),0)&amp;"%"&amp;IF(CT66="",""," / "&amp;CT66&amp;"%"),IF(AND(N(CC66)&gt;=99.95,CT66&lt;&gt;"",N(CT66)&lt;100),"Pend. "&amp;CT66&amp;"%",""))))</f>
        <v/>
      </c>
      <c r="AX66" s="40" t="str">
        <f aca="false">IF(OR(OR(NOT(AND(ISNUMBER(E66),ISNUMBER(F66))),$J$2=""),12&gt;MAX(1,Reprogramaciones!$U$15)),"",IF(Reprogramaciones!V$12&gt;=7,"",IF(OR(CE66-N(CD66)&gt;0.05,N(AB66)&gt;0),ROUNDDOWN(ROUND(CE66,6),0)&amp;"%"&amp;IF(CU66="",""," / "&amp;CU66&amp;"%"),IF(AND(N(CD66)&gt;=99.95,CU66&lt;&gt;"",N(CU66)&lt;100),"Pend. "&amp;CU66&amp;"%",""))))</f>
        <v/>
      </c>
      <c r="AY66" s="40" t="str">
        <f aca="false">IF(OR(OR(NOT(AND(ISNUMBER(E66),ISNUMBER(F66))),$J$2=""),13&gt;MAX(1,Reprogramaciones!$U$15)),"",IF(Reprogramaciones!W$12&gt;=7,"",IF(OR(CF66-N(CE66)&gt;0.05,N(AC66)&gt;0),ROUNDDOWN(ROUND(CF66,6),0)&amp;"%"&amp;IF(CV66="",""," / "&amp;CV66&amp;"%"),IF(AND(N(CE66)&gt;=99.95,CV66&lt;&gt;"",N(CV66)&lt;100),"Pend. "&amp;CV66&amp;"%",""))))</f>
        <v/>
      </c>
      <c r="AZ66" s="40" t="str">
        <f aca="false">IF(OR(OR(NOT(AND(ISNUMBER(E66),ISNUMBER(F66))),$J$2=""),14&gt;MAX(1,Reprogramaciones!$U$15)),"",IF(Reprogramaciones!X$12&gt;=7,"",IF(OR(CG66-N(CF66)&gt;0.05,N(AD66)&gt;0),ROUNDDOWN(ROUND(CG66,6),0)&amp;"%"&amp;IF(CW66="",""," / "&amp;CW66&amp;"%"),IF(AND(N(CF66)&gt;=99.95,CW66&lt;&gt;"",N(CW66)&lt;100),"Pend. "&amp;CW66&amp;"%",""))))</f>
        <v/>
      </c>
      <c r="BA66" s="40" t="str">
        <f aca="false">IF(OR(OR(NOT(AND(ISNUMBER(E66),ISNUMBER(F66))),$J$2=""),15&gt;MAX(1,Reprogramaciones!$U$15)),"",IF(Reprogramaciones!Y$12&gt;=7,"",IF(OR(CH66-N(CG66)&gt;0.05,N(AE66)&gt;0),ROUNDDOWN(ROUND(CH66,6),0)&amp;"%"&amp;IF(CX66="",""," / "&amp;CX66&amp;"%"),IF(AND(N(CG66)&gt;=99.95,CX66&lt;&gt;"",N(CX66)&lt;100),"Pend. "&amp;CX66&amp;"%",""))))</f>
        <v/>
      </c>
      <c r="BB66" s="40" t="str">
        <f aca="false">IF(OR(OR(NOT(AND(ISNUMBER(E66),ISNUMBER(F66))),$J$2=""),16&gt;MAX(1,Reprogramaciones!$U$15)),"",IF(Reprogramaciones!Z$12&gt;=7,"",IF(OR(CI66-N(CH66)&gt;0.05,N(AF66)&gt;0),ROUNDDOWN(ROUND(CI66,6),0)&amp;"%"&amp;IF(CY66="",""," / "&amp;CY66&amp;"%"),IF(AND(N(CH66)&gt;=99.95,CY66&lt;&gt;"",N(CY66)&lt;100),"Pend. "&amp;CY66&amp;"%",""))))</f>
        <v/>
      </c>
      <c r="BC66" s="31" t="n">
        <f aca="false">IF(AND(ISNUMBER(E66),ISNUMBER(F66)),MAX(1,NETWORKDAYS.INTL(E66,F66,11)),0)</f>
        <v>0</v>
      </c>
      <c r="BD66" s="1" t="str">
        <f aca="false">IF(OR(NOT(AND(ISNUMBER(E66),ISNUMBER(F66))),$J$2=""),"",MIN(100,ROUND(SUM($G66:G66),1)))</f>
        <v/>
      </c>
      <c r="BE66" s="1" t="str">
        <f aca="false">IF(OR(NOT(AND(ISNUMBER(E66),ISNUMBER(F66))),$J$2=""),"",MIN(100,ROUND(SUM($G66:H66),1)))</f>
        <v/>
      </c>
      <c r="BF66" s="1" t="str">
        <f aca="false">IF(OR(NOT(AND(ISNUMBER(E66),ISNUMBER(F66))),$J$2=""),"",MIN(100,ROUND(SUM($G66:I66),1)))</f>
        <v/>
      </c>
      <c r="BG66" s="1" t="str">
        <f aca="false">IF(OR(NOT(AND(ISNUMBER(E66),ISNUMBER(F66))),$J$2=""),"",MIN(100,ROUND(SUM($G66:J66),1)))</f>
        <v/>
      </c>
      <c r="BH66" s="1" t="str">
        <f aca="false">IF(OR(NOT(AND(ISNUMBER(E66),ISNUMBER(F66))),$J$2=""),"",MIN(100,ROUND(SUM($G66:K66),1)))</f>
        <v/>
      </c>
      <c r="BI66" s="1" t="str">
        <f aca="false">IF(OR(NOT(AND(ISNUMBER(E66),ISNUMBER(F66))),$J$2=""),"",MIN(100,ROUND(SUM($G66:L66),1)))</f>
        <v/>
      </c>
      <c r="BJ66" s="1" t="str">
        <f aca="false">IF(OR(NOT(AND(ISNUMBER(E66),ISNUMBER(F66))),$J$2=""),"",MIN(100,ROUND(SUM($G66:M66),1)))</f>
        <v/>
      </c>
      <c r="BK66" s="1" t="str">
        <f aca="false">IF(OR(NOT(AND(ISNUMBER(E66),ISNUMBER(F66))),$J$2=""),"",MIN(100,ROUND(SUM($G66:N66),1)))</f>
        <v/>
      </c>
      <c r="BL66" s="1" t="str">
        <f aca="false">IF(OR(NOT(AND(ISNUMBER(E66),ISNUMBER(F66))),$J$2=""),"",MIN(100,ROUND(SUM($G66:O66),1)))</f>
        <v/>
      </c>
      <c r="BM66" s="1" t="str">
        <f aca="false">IF(OR(NOT(AND(ISNUMBER(E66),ISNUMBER(F66))),$J$2=""),"",MIN(100,ROUND(SUM($G66:P66),1)))</f>
        <v/>
      </c>
      <c r="BN66" s="1" t="str">
        <f aca="false">IF(OR(NOT(AND(ISNUMBER(E66),ISNUMBER(F66))),$J$2=""),"",MIN(100,ROUND(SUM($G66:P66),1)))</f>
        <v/>
      </c>
      <c r="BO66" s="1" t="str">
        <f aca="false">IF(OR(NOT(AND(ISNUMBER(E66),ISNUMBER(F66))),$J$2=""),"",MIN(100,ROUND(SUM($G66:P66),1)))</f>
        <v/>
      </c>
      <c r="BP66" s="1" t="str">
        <f aca="false">IF(OR(NOT(AND(ISNUMBER(E66),ISNUMBER(F66))),$J$2=""),"",MIN(100,ROUND(SUM($G66:P66),1)))</f>
        <v/>
      </c>
      <c r="BQ66" s="1" t="str">
        <f aca="false">IF(OR(NOT(AND(ISNUMBER(E66),ISNUMBER(F66))),$J$2=""),"",MIN(100,ROUND(SUM($G66:P66),1)))</f>
        <v/>
      </c>
      <c r="BR66" s="1" t="str">
        <f aca="false">IF(OR(NOT(AND(ISNUMBER(E66),ISNUMBER(F66))),$J$2=""),"",MIN(100,ROUND(SUM($G66:P66),1)))</f>
        <v/>
      </c>
      <c r="BS66" s="1" t="str">
        <f aca="false">IF(OR(NOT(AND(ISNUMBER(E66),ISNUMBER(F66))),$J$2=""),"",MIN(100,ROUND(SUM($G66:P66),1)))</f>
        <v/>
      </c>
      <c r="BT66" s="1" t="str">
        <f aca="false">IF(OR(NOT(AND(ISNUMBER(E66),ISNUMBER(F66))),$J$2=""),"",IF(Reprogramaciones!K$13&lt;Reprogramaciones!$T$15,0,IF(Reprogramaciones!K$14&gt;10,MIN(100,SUM($G66:$P66)),MIN(100,SUMPRODUCT((COLUMN($G66:$P66)-COLUMN($G66)+1&lt;Reprogramaciones!K$14)*$G66:$P66)+N(INDEX($G66:$P66,1,Reprogramaciones!K$14))*IF(Reprogramaciones!K$13&gt;=(Reprogramaciones!$T$15+7*(Reprogramaciones!K$14-1))+6,1,IF(MAX(0,NETWORKDAYS.INTL(MAX(E66,(Reprogramaciones!$T$15+7*(Reprogramaciones!K$14-1))),MIN(F66,(Reprogramaciones!$T$15+7*(Reprogramaciones!K$14-1))+6),11))=0,0,MAX(0,NETWORKDAYS.INTL(MAX(E66,(Reprogramaciones!$T$15+7*(Reprogramaciones!K$14-1))),MIN(F66,Reprogramaciones!K$13),11))/MAX(0,NETWORKDAYS.INTL(MAX(E66,(Reprogramaciones!$T$15+7*(Reprogramaciones!K$14-1))),MIN(F66,(Reprogramaciones!$T$15+7*(Reprogramaciones!K$14-1))+6),11))))))))</f>
        <v/>
      </c>
      <c r="BU66" s="1" t="str">
        <f aca="false">IF(OR(NOT(AND(ISNUMBER(E66),ISNUMBER(F66))),$J$2=""),"",IF(Reprogramaciones!L$13&lt;Reprogramaciones!$T$15,0,IF(Reprogramaciones!L$14&gt;10,MIN(100,SUM($G66:$P66)),MIN(100,SUMPRODUCT((COLUMN($G66:$P66)-COLUMN($G66)+1&lt;Reprogramaciones!L$14)*$G66:$P66)+N(INDEX($G66:$P66,1,Reprogramaciones!L$14))*IF(Reprogramaciones!L$13&gt;=(Reprogramaciones!$T$15+7*(Reprogramaciones!L$14-1))+6,1,IF(MAX(0,NETWORKDAYS.INTL(MAX(E66,(Reprogramaciones!$T$15+7*(Reprogramaciones!L$14-1))),MIN(F66,(Reprogramaciones!$T$15+7*(Reprogramaciones!L$14-1))+6),11))=0,0,MAX(0,NETWORKDAYS.INTL(MAX(E66,(Reprogramaciones!$T$15+7*(Reprogramaciones!L$14-1))),MIN(F66,Reprogramaciones!L$13),11))/MAX(0,NETWORKDAYS.INTL(MAX(E66,(Reprogramaciones!$T$15+7*(Reprogramaciones!L$14-1))),MIN(F66,(Reprogramaciones!$T$15+7*(Reprogramaciones!L$14-1))+6),11))))))))</f>
        <v/>
      </c>
      <c r="BV66" s="1" t="str">
        <f aca="false">IF(OR(NOT(AND(ISNUMBER(E66),ISNUMBER(F66))),$J$2=""),"",IF(Reprogramaciones!M$13&lt;Reprogramaciones!$T$15,0,IF(Reprogramaciones!M$14&gt;10,MIN(100,SUM($G66:$P66)),MIN(100,SUMPRODUCT((COLUMN($G66:$P66)-COLUMN($G66)+1&lt;Reprogramaciones!M$14)*$G66:$P66)+N(INDEX($G66:$P66,1,Reprogramaciones!M$14))*IF(Reprogramaciones!M$13&gt;=(Reprogramaciones!$T$15+7*(Reprogramaciones!M$14-1))+6,1,IF(MAX(0,NETWORKDAYS.INTL(MAX(E66,(Reprogramaciones!$T$15+7*(Reprogramaciones!M$14-1))),MIN(F66,(Reprogramaciones!$T$15+7*(Reprogramaciones!M$14-1))+6),11))=0,0,MAX(0,NETWORKDAYS.INTL(MAX(E66,(Reprogramaciones!$T$15+7*(Reprogramaciones!M$14-1))),MIN(F66,Reprogramaciones!M$13),11))/MAX(0,NETWORKDAYS.INTL(MAX(E66,(Reprogramaciones!$T$15+7*(Reprogramaciones!M$14-1))),MIN(F66,(Reprogramaciones!$T$15+7*(Reprogramaciones!M$14-1))+6),11))))))))</f>
        <v/>
      </c>
      <c r="BW66" s="1" t="str">
        <f aca="false">IF(OR(NOT(AND(ISNUMBER(E66),ISNUMBER(F66))),$J$2=""),"",IF(Reprogramaciones!N$13&lt;Reprogramaciones!$T$15,0,IF(Reprogramaciones!N$14&gt;10,MIN(100,SUM($G66:$P66)),MIN(100,SUMPRODUCT((COLUMN($G66:$P66)-COLUMN($G66)+1&lt;Reprogramaciones!N$14)*$G66:$P66)+N(INDEX($G66:$P66,1,Reprogramaciones!N$14))*IF(Reprogramaciones!N$13&gt;=(Reprogramaciones!$T$15+7*(Reprogramaciones!N$14-1))+6,1,IF(MAX(0,NETWORKDAYS.INTL(MAX(E66,(Reprogramaciones!$T$15+7*(Reprogramaciones!N$14-1))),MIN(F66,(Reprogramaciones!$T$15+7*(Reprogramaciones!N$14-1))+6),11))=0,0,MAX(0,NETWORKDAYS.INTL(MAX(E66,(Reprogramaciones!$T$15+7*(Reprogramaciones!N$14-1))),MIN(F66,Reprogramaciones!N$13),11))/MAX(0,NETWORKDAYS.INTL(MAX(E66,(Reprogramaciones!$T$15+7*(Reprogramaciones!N$14-1))),MIN(F66,(Reprogramaciones!$T$15+7*(Reprogramaciones!N$14-1))+6),11))))))))</f>
        <v/>
      </c>
      <c r="BX66" s="1" t="str">
        <f aca="false">IF(OR(NOT(AND(ISNUMBER(E66),ISNUMBER(F66))),$J$2=""),"",IF(Reprogramaciones!O$13&lt;Reprogramaciones!$T$15,0,IF(Reprogramaciones!O$14&gt;10,MIN(100,SUM($G66:$P66)),MIN(100,SUMPRODUCT((COLUMN($G66:$P66)-COLUMN($G66)+1&lt;Reprogramaciones!O$14)*$G66:$P66)+N(INDEX($G66:$P66,1,Reprogramaciones!O$14))*IF(Reprogramaciones!O$13&gt;=(Reprogramaciones!$T$15+7*(Reprogramaciones!O$14-1))+6,1,IF(MAX(0,NETWORKDAYS.INTL(MAX(E66,(Reprogramaciones!$T$15+7*(Reprogramaciones!O$14-1))),MIN(F66,(Reprogramaciones!$T$15+7*(Reprogramaciones!O$14-1))+6),11))=0,0,MAX(0,NETWORKDAYS.INTL(MAX(E66,(Reprogramaciones!$T$15+7*(Reprogramaciones!O$14-1))),MIN(F66,Reprogramaciones!O$13),11))/MAX(0,NETWORKDAYS.INTL(MAX(E66,(Reprogramaciones!$T$15+7*(Reprogramaciones!O$14-1))),MIN(F66,(Reprogramaciones!$T$15+7*(Reprogramaciones!O$14-1))+6),11))))))))</f>
        <v/>
      </c>
      <c r="BY66" s="1" t="str">
        <f aca="false">IF(OR(NOT(AND(ISNUMBER(E66),ISNUMBER(F66))),$J$2=""),"",IF(Reprogramaciones!P$13&lt;Reprogramaciones!$T$15,0,IF(Reprogramaciones!P$14&gt;10,MIN(100,SUM($G66:$P66)),MIN(100,SUMPRODUCT((COLUMN($G66:$P66)-COLUMN($G66)+1&lt;Reprogramaciones!P$14)*$G66:$P66)+N(INDEX($G66:$P66,1,Reprogramaciones!P$14))*IF(Reprogramaciones!P$13&gt;=(Reprogramaciones!$T$15+7*(Reprogramaciones!P$14-1))+6,1,IF(MAX(0,NETWORKDAYS.INTL(MAX(E66,(Reprogramaciones!$T$15+7*(Reprogramaciones!P$14-1))),MIN(F66,(Reprogramaciones!$T$15+7*(Reprogramaciones!P$14-1))+6),11))=0,0,MAX(0,NETWORKDAYS.INTL(MAX(E66,(Reprogramaciones!$T$15+7*(Reprogramaciones!P$14-1))),MIN(F66,Reprogramaciones!P$13),11))/MAX(0,NETWORKDAYS.INTL(MAX(E66,(Reprogramaciones!$T$15+7*(Reprogramaciones!P$14-1))),MIN(F66,(Reprogramaciones!$T$15+7*(Reprogramaciones!P$14-1))+6),11))))))))</f>
        <v/>
      </c>
      <c r="BZ66" s="1" t="str">
        <f aca="false">IF(OR(NOT(AND(ISNUMBER(E66),ISNUMBER(F66))),$J$2=""),"",IF(Reprogramaciones!Q$13&lt;Reprogramaciones!$T$15,0,IF(Reprogramaciones!Q$14&gt;10,MIN(100,SUM($G66:$P66)),MIN(100,SUMPRODUCT((COLUMN($G66:$P66)-COLUMN($G66)+1&lt;Reprogramaciones!Q$14)*$G66:$P66)+N(INDEX($G66:$P66,1,Reprogramaciones!Q$14))*IF(Reprogramaciones!Q$13&gt;=(Reprogramaciones!$T$15+7*(Reprogramaciones!Q$14-1))+6,1,IF(MAX(0,NETWORKDAYS.INTL(MAX(E66,(Reprogramaciones!$T$15+7*(Reprogramaciones!Q$14-1))),MIN(F66,(Reprogramaciones!$T$15+7*(Reprogramaciones!Q$14-1))+6),11))=0,0,MAX(0,NETWORKDAYS.INTL(MAX(E66,(Reprogramaciones!$T$15+7*(Reprogramaciones!Q$14-1))),MIN(F66,Reprogramaciones!Q$13),11))/MAX(0,NETWORKDAYS.INTL(MAX(E66,(Reprogramaciones!$T$15+7*(Reprogramaciones!Q$14-1))),MIN(F66,(Reprogramaciones!$T$15+7*(Reprogramaciones!Q$14-1))+6),11))))))))</f>
        <v/>
      </c>
      <c r="CA66" s="1" t="str">
        <f aca="false">IF(OR(NOT(AND(ISNUMBER(E66),ISNUMBER(F66))),$J$2=""),"",IF(Reprogramaciones!R$13&lt;Reprogramaciones!$T$15,0,IF(Reprogramaciones!R$14&gt;10,MIN(100,SUM($G66:$P66)),MIN(100,SUMPRODUCT((COLUMN($G66:$P66)-COLUMN($G66)+1&lt;Reprogramaciones!R$14)*$G66:$P66)+N(INDEX($G66:$P66,1,Reprogramaciones!R$14))*IF(Reprogramaciones!R$13&gt;=(Reprogramaciones!$T$15+7*(Reprogramaciones!R$14-1))+6,1,IF(MAX(0,NETWORKDAYS.INTL(MAX(E66,(Reprogramaciones!$T$15+7*(Reprogramaciones!R$14-1))),MIN(F66,(Reprogramaciones!$T$15+7*(Reprogramaciones!R$14-1))+6),11))=0,0,MAX(0,NETWORKDAYS.INTL(MAX(E66,(Reprogramaciones!$T$15+7*(Reprogramaciones!R$14-1))),MIN(F66,Reprogramaciones!R$13),11))/MAX(0,NETWORKDAYS.INTL(MAX(E66,(Reprogramaciones!$T$15+7*(Reprogramaciones!R$14-1))),MIN(F66,(Reprogramaciones!$T$15+7*(Reprogramaciones!R$14-1))+6),11))))))))</f>
        <v/>
      </c>
      <c r="CB66" s="1" t="str">
        <f aca="false">IF(OR(NOT(AND(ISNUMBER(E66),ISNUMBER(F66))),$J$2=""),"",IF(Reprogramaciones!S$13&lt;Reprogramaciones!$T$15,0,IF(Reprogramaciones!S$14&gt;10,MIN(100,SUM($G66:$P66)),MIN(100,SUMPRODUCT((COLUMN($G66:$P66)-COLUMN($G66)+1&lt;Reprogramaciones!S$14)*$G66:$P66)+N(INDEX($G66:$P66,1,Reprogramaciones!S$14))*IF(Reprogramaciones!S$13&gt;=(Reprogramaciones!$T$15+7*(Reprogramaciones!S$14-1))+6,1,IF(MAX(0,NETWORKDAYS.INTL(MAX(E66,(Reprogramaciones!$T$15+7*(Reprogramaciones!S$14-1))),MIN(F66,(Reprogramaciones!$T$15+7*(Reprogramaciones!S$14-1))+6),11))=0,0,MAX(0,NETWORKDAYS.INTL(MAX(E66,(Reprogramaciones!$T$15+7*(Reprogramaciones!S$14-1))),MIN(F66,Reprogramaciones!S$13),11))/MAX(0,NETWORKDAYS.INTL(MAX(E66,(Reprogramaciones!$T$15+7*(Reprogramaciones!S$14-1))),MIN(F66,(Reprogramaciones!$T$15+7*(Reprogramaciones!S$14-1))+6),11))))))))</f>
        <v/>
      </c>
      <c r="CC66" s="1" t="str">
        <f aca="false">IF(OR(NOT(AND(ISNUMBER(E66),ISNUMBER(F66))),$J$2=""),"",IF(Reprogramaciones!T$13&lt;Reprogramaciones!$T$15,0,IF(Reprogramaciones!T$14&gt;10,MIN(100,SUM($G66:$P66)),MIN(100,SUMPRODUCT((COLUMN($G66:$P66)-COLUMN($G66)+1&lt;Reprogramaciones!T$14)*$G66:$P66)+N(INDEX($G66:$P66,1,Reprogramaciones!T$14))*IF(Reprogramaciones!T$13&gt;=(Reprogramaciones!$T$15+7*(Reprogramaciones!T$14-1))+6,1,IF(MAX(0,NETWORKDAYS.INTL(MAX(E66,(Reprogramaciones!$T$15+7*(Reprogramaciones!T$14-1))),MIN(F66,(Reprogramaciones!$T$15+7*(Reprogramaciones!T$14-1))+6),11))=0,0,MAX(0,NETWORKDAYS.INTL(MAX(E66,(Reprogramaciones!$T$15+7*(Reprogramaciones!T$14-1))),MIN(F66,Reprogramaciones!T$13),11))/MAX(0,NETWORKDAYS.INTL(MAX(E66,(Reprogramaciones!$T$15+7*(Reprogramaciones!T$14-1))),MIN(F66,(Reprogramaciones!$T$15+7*(Reprogramaciones!T$14-1))+6),11))))))))</f>
        <v/>
      </c>
      <c r="CD66" s="1" t="str">
        <f aca="false">IF(OR(NOT(AND(ISNUMBER(E66),ISNUMBER(F66))),$J$2=""),"",IF(Reprogramaciones!U$13&lt;Reprogramaciones!$T$15,0,IF(Reprogramaciones!U$14&gt;10,MIN(100,SUM($G66:$P66)),MIN(100,SUMPRODUCT((COLUMN($G66:$P66)-COLUMN($G66)+1&lt;Reprogramaciones!U$14)*$G66:$P66)+N(INDEX($G66:$P66,1,Reprogramaciones!U$14))*IF(Reprogramaciones!U$13&gt;=(Reprogramaciones!$T$15+7*(Reprogramaciones!U$14-1))+6,1,IF(MAX(0,NETWORKDAYS.INTL(MAX(E66,(Reprogramaciones!$T$15+7*(Reprogramaciones!U$14-1))),MIN(F66,(Reprogramaciones!$T$15+7*(Reprogramaciones!U$14-1))+6),11))=0,0,MAX(0,NETWORKDAYS.INTL(MAX(E66,(Reprogramaciones!$T$15+7*(Reprogramaciones!U$14-1))),MIN(F66,Reprogramaciones!U$13),11))/MAX(0,NETWORKDAYS.INTL(MAX(E66,(Reprogramaciones!$T$15+7*(Reprogramaciones!U$14-1))),MIN(F66,(Reprogramaciones!$T$15+7*(Reprogramaciones!U$14-1))+6),11))))))))</f>
        <v/>
      </c>
      <c r="CE66" s="1" t="str">
        <f aca="false">IF(OR(NOT(AND(ISNUMBER(E66),ISNUMBER(F66))),$J$2=""),"",IF(Reprogramaciones!V$13&lt;Reprogramaciones!$T$15,0,IF(Reprogramaciones!V$14&gt;10,MIN(100,SUM($G66:$P66)),MIN(100,SUMPRODUCT((COLUMN($G66:$P66)-COLUMN($G66)+1&lt;Reprogramaciones!V$14)*$G66:$P66)+N(INDEX($G66:$P66,1,Reprogramaciones!V$14))*IF(Reprogramaciones!V$13&gt;=(Reprogramaciones!$T$15+7*(Reprogramaciones!V$14-1))+6,1,IF(MAX(0,NETWORKDAYS.INTL(MAX(E66,(Reprogramaciones!$T$15+7*(Reprogramaciones!V$14-1))),MIN(F66,(Reprogramaciones!$T$15+7*(Reprogramaciones!V$14-1))+6),11))=0,0,MAX(0,NETWORKDAYS.INTL(MAX(E66,(Reprogramaciones!$T$15+7*(Reprogramaciones!V$14-1))),MIN(F66,Reprogramaciones!V$13),11))/MAX(0,NETWORKDAYS.INTL(MAX(E66,(Reprogramaciones!$T$15+7*(Reprogramaciones!V$14-1))),MIN(F66,(Reprogramaciones!$T$15+7*(Reprogramaciones!V$14-1))+6),11))))))))</f>
        <v/>
      </c>
      <c r="CF66" s="1" t="str">
        <f aca="false">IF(OR(NOT(AND(ISNUMBER(E66),ISNUMBER(F66))),$J$2=""),"",IF(Reprogramaciones!W$13&lt;Reprogramaciones!$T$15,0,IF(Reprogramaciones!W$14&gt;10,MIN(100,SUM($G66:$P66)),MIN(100,SUMPRODUCT((COLUMN($G66:$P66)-COLUMN($G66)+1&lt;Reprogramaciones!W$14)*$G66:$P66)+N(INDEX($G66:$P66,1,Reprogramaciones!W$14))*IF(Reprogramaciones!W$13&gt;=(Reprogramaciones!$T$15+7*(Reprogramaciones!W$14-1))+6,1,IF(MAX(0,NETWORKDAYS.INTL(MAX(E66,(Reprogramaciones!$T$15+7*(Reprogramaciones!W$14-1))),MIN(F66,(Reprogramaciones!$T$15+7*(Reprogramaciones!W$14-1))+6),11))=0,0,MAX(0,NETWORKDAYS.INTL(MAX(E66,(Reprogramaciones!$T$15+7*(Reprogramaciones!W$14-1))),MIN(F66,Reprogramaciones!W$13),11))/MAX(0,NETWORKDAYS.INTL(MAX(E66,(Reprogramaciones!$T$15+7*(Reprogramaciones!W$14-1))),MIN(F66,(Reprogramaciones!$T$15+7*(Reprogramaciones!W$14-1))+6),11))))))))</f>
        <v/>
      </c>
      <c r="CG66" s="1" t="str">
        <f aca="false">IF(OR(NOT(AND(ISNUMBER(E66),ISNUMBER(F66))),$J$2=""),"",IF(Reprogramaciones!X$13&lt;Reprogramaciones!$T$15,0,IF(Reprogramaciones!X$14&gt;10,MIN(100,SUM($G66:$P66)),MIN(100,SUMPRODUCT((COLUMN($G66:$P66)-COLUMN($G66)+1&lt;Reprogramaciones!X$14)*$G66:$P66)+N(INDEX($G66:$P66,1,Reprogramaciones!X$14))*IF(Reprogramaciones!X$13&gt;=(Reprogramaciones!$T$15+7*(Reprogramaciones!X$14-1))+6,1,IF(MAX(0,NETWORKDAYS.INTL(MAX(E66,(Reprogramaciones!$T$15+7*(Reprogramaciones!X$14-1))),MIN(F66,(Reprogramaciones!$T$15+7*(Reprogramaciones!X$14-1))+6),11))=0,0,MAX(0,NETWORKDAYS.INTL(MAX(E66,(Reprogramaciones!$T$15+7*(Reprogramaciones!X$14-1))),MIN(F66,Reprogramaciones!X$13),11))/MAX(0,NETWORKDAYS.INTL(MAX(E66,(Reprogramaciones!$T$15+7*(Reprogramaciones!X$14-1))),MIN(F66,(Reprogramaciones!$T$15+7*(Reprogramaciones!X$14-1))+6),11))))))))</f>
        <v/>
      </c>
      <c r="CH66" s="1" t="str">
        <f aca="false">IF(OR(NOT(AND(ISNUMBER(E66),ISNUMBER(F66))),$J$2=""),"",IF(Reprogramaciones!Y$13&lt;Reprogramaciones!$T$15,0,IF(Reprogramaciones!Y$14&gt;10,MIN(100,SUM($G66:$P66)),MIN(100,SUMPRODUCT((COLUMN($G66:$P66)-COLUMN($G66)+1&lt;Reprogramaciones!Y$14)*$G66:$P66)+N(INDEX($G66:$P66,1,Reprogramaciones!Y$14))*IF(Reprogramaciones!Y$13&gt;=(Reprogramaciones!$T$15+7*(Reprogramaciones!Y$14-1))+6,1,IF(MAX(0,NETWORKDAYS.INTL(MAX(E66,(Reprogramaciones!$T$15+7*(Reprogramaciones!Y$14-1))),MIN(F66,(Reprogramaciones!$T$15+7*(Reprogramaciones!Y$14-1))+6),11))=0,0,MAX(0,NETWORKDAYS.INTL(MAX(E66,(Reprogramaciones!$T$15+7*(Reprogramaciones!Y$14-1))),MIN(F66,Reprogramaciones!Y$13),11))/MAX(0,NETWORKDAYS.INTL(MAX(E66,(Reprogramaciones!$T$15+7*(Reprogramaciones!Y$14-1))),MIN(F66,(Reprogramaciones!$T$15+7*(Reprogramaciones!Y$14-1))+6),11))))))))</f>
        <v/>
      </c>
      <c r="CI66" s="1" t="str">
        <f aca="false">IF(OR(NOT(AND(ISNUMBER(E66),ISNUMBER(F66))),$J$2=""),"",IF(Reprogramaciones!Z$13&lt;Reprogramaciones!$T$15,0,IF(Reprogramaciones!Z$14&gt;10,MIN(100,SUM($G66:$P66)),MIN(100,SUMPRODUCT((COLUMN($G66:$P66)-COLUMN($G66)+1&lt;Reprogramaciones!Z$14)*$G66:$P66)+N(INDEX($G66:$P66,1,Reprogramaciones!Z$14))*IF(Reprogramaciones!Z$13&gt;=(Reprogramaciones!$T$15+7*(Reprogramaciones!Z$14-1))+6,1,IF(MAX(0,NETWORKDAYS.INTL(MAX(E66,(Reprogramaciones!$T$15+7*(Reprogramaciones!Z$14-1))),MIN(F66,(Reprogramaciones!$T$15+7*(Reprogramaciones!Z$14-1))+6),11))=0,0,MAX(0,NETWORKDAYS.INTL(MAX(E66,(Reprogramaciones!$T$15+7*(Reprogramaciones!Z$14-1))),MIN(F66,Reprogramaciones!Z$13),11))/MAX(0,NETWORKDAYS.INTL(MAX(E66,(Reprogramaciones!$T$15+7*(Reprogramaciones!Z$14-1))),MIN(F66,(Reprogramaciones!$T$15+7*(Reprogramaciones!Z$14-1))+6),11))))))))</f>
        <v/>
      </c>
      <c r="CJ66" s="1" t="str">
        <f aca="false">IF(OR(OR(NOT(AND(ISNUMBER(E66),ISNUMBER(F66))),$J$2=""),1&gt;Reprogramaciones!$K$16),"",IF(ROUND(SUM($Q66:Q66),1)&gt;=99.5,100,MIN(100,ROUND(SUM($Q66:Q66),1))))</f>
        <v/>
      </c>
      <c r="CK66" s="1" t="str">
        <f aca="false">IF(OR(OR(NOT(AND(ISNUMBER(E66),ISNUMBER(F66))),$J$2=""),2&gt;Reprogramaciones!$K$16),"",IF(ROUND(SUM($Q66:R66),1)&gt;=99.5,100,MIN(100,ROUND(SUM($Q66:R66),1))))</f>
        <v/>
      </c>
      <c r="CL66" s="1" t="str">
        <f aca="false">IF(OR(OR(NOT(AND(ISNUMBER(E66),ISNUMBER(F66))),$J$2=""),3&gt;Reprogramaciones!$K$16),"",IF(ROUND(SUM($Q66:S66),1)&gt;=99.5,100,MIN(100,ROUND(SUM($Q66:S66),1))))</f>
        <v/>
      </c>
      <c r="CM66" s="1" t="str">
        <f aca="false">IF(OR(OR(NOT(AND(ISNUMBER(E66),ISNUMBER(F66))),$J$2=""),4&gt;Reprogramaciones!$K$16),"",IF(ROUND(SUM($Q66:T66),1)&gt;=99.5,100,MIN(100,ROUND(SUM($Q66:T66),1))))</f>
        <v/>
      </c>
      <c r="CN66" s="1" t="str">
        <f aca="false">IF(OR(OR(NOT(AND(ISNUMBER(E66),ISNUMBER(F66))),$J$2=""),5&gt;Reprogramaciones!$K$16),"",IF(ROUND(SUM($Q66:U66),1)&gt;=99.5,100,MIN(100,ROUND(SUM($Q66:U66),1))))</f>
        <v/>
      </c>
      <c r="CO66" s="1" t="str">
        <f aca="false">IF(OR(OR(NOT(AND(ISNUMBER(E66),ISNUMBER(F66))),$J$2=""),6&gt;Reprogramaciones!$K$16),"",IF(ROUND(SUM($Q66:V66),1)&gt;=99.5,100,MIN(100,ROUND(SUM($Q66:V66),1))))</f>
        <v/>
      </c>
      <c r="CP66" s="1" t="str">
        <f aca="false">IF(OR(OR(NOT(AND(ISNUMBER(E66),ISNUMBER(F66))),$J$2=""),7&gt;Reprogramaciones!$K$16),"",IF(ROUND(SUM($Q66:W66),1)&gt;=99.5,100,MIN(100,ROUND(SUM($Q66:W66),1))))</f>
        <v/>
      </c>
      <c r="CQ66" s="1" t="str">
        <f aca="false">IF(OR(OR(NOT(AND(ISNUMBER(E66),ISNUMBER(F66))),$J$2=""),8&gt;Reprogramaciones!$K$16),"",IF(ROUND(SUM($Q66:X66),1)&gt;=99.5,100,MIN(100,ROUND(SUM($Q66:X66),1))))</f>
        <v/>
      </c>
      <c r="CR66" s="1" t="str">
        <f aca="false">IF(OR(OR(NOT(AND(ISNUMBER(E66),ISNUMBER(F66))),$J$2=""),9&gt;Reprogramaciones!$K$16),"",IF(ROUND(SUM($Q66:Y66),1)&gt;=99.5,100,MIN(100,ROUND(SUM($Q66:Y66),1))))</f>
        <v/>
      </c>
      <c r="CS66" s="1" t="str">
        <f aca="false">IF(OR(OR(NOT(AND(ISNUMBER(E66),ISNUMBER(F66))),$J$2=""),10&gt;Reprogramaciones!$K$16),"",IF(ROUND(SUM($Q66:Z66),1)&gt;=99.5,100,MIN(100,ROUND(SUM($Q66:Z66),1))))</f>
        <v/>
      </c>
      <c r="CT66" s="1" t="str">
        <f aca="false">IF(OR(OR(NOT(AND(ISNUMBER(E66),ISNUMBER(F66))),$J$2=""),11&gt;Reprogramaciones!$K$16),"",IF(ROUND(SUM($Q66:AA66),1)&gt;=99.5,100,MIN(100,ROUND(SUM($Q66:AA66),1))))</f>
        <v/>
      </c>
      <c r="CU66" s="1" t="str">
        <f aca="false">IF(OR(OR(NOT(AND(ISNUMBER(E66),ISNUMBER(F66))),$J$2=""),12&gt;Reprogramaciones!$K$16),"",IF(ROUND(SUM($Q66:AB66),1)&gt;=99.5,100,MIN(100,ROUND(SUM($Q66:AB66),1))))</f>
        <v/>
      </c>
      <c r="CV66" s="1" t="str">
        <f aca="false">IF(OR(OR(NOT(AND(ISNUMBER(E66),ISNUMBER(F66))),$J$2=""),13&gt;Reprogramaciones!$K$16),"",IF(ROUND(SUM($Q66:AC66),1)&gt;=99.5,100,MIN(100,ROUND(SUM($Q66:AC66),1))))</f>
        <v/>
      </c>
      <c r="CW66" s="1" t="str">
        <f aca="false">IF(OR(OR(NOT(AND(ISNUMBER(E66),ISNUMBER(F66))),$J$2=""),14&gt;Reprogramaciones!$K$16),"",IF(ROUND(SUM($Q66:AD66),1)&gt;=99.5,100,MIN(100,ROUND(SUM($Q66:AD66),1))))</f>
        <v/>
      </c>
      <c r="CX66" s="1" t="str">
        <f aca="false">IF(OR(OR(NOT(AND(ISNUMBER(E66),ISNUMBER(F66))),$J$2=""),15&gt;Reprogramaciones!$K$16),"",IF(ROUND(SUM($Q66:AE66),1)&gt;=99.5,100,MIN(100,ROUND(SUM($Q66:AE66),1))))</f>
        <v/>
      </c>
      <c r="CY66" s="1" t="str">
        <f aca="false">IF(OR(OR(NOT(AND(ISNUMBER(E66),ISNUMBER(F66))),$J$2=""),16&gt;Reprogramaciones!$K$16),"",IF(ROUND(SUM($Q66:AF66),1)&gt;=99.5,100,MIN(100,ROUND(SUM($Q66:AF66),1))))</f>
        <v/>
      </c>
      <c r="CZ66" s="1" t="str">
        <f aca="false">IF(D66&lt;&gt;"",D66,IF(B66&lt;&gt;"","Contractual",CZ65))</f>
        <v>Contractual</v>
      </c>
      <c r="DA66" s="1" t="str">
        <f aca="false">IF(OR(NOT(AND(ISNUMBER(E66),ISNUMBER(F66))),$J$2=""),"",IF(Reprogramaciones!$Q$15&lt;Reprogramaciones!$T$15,0,IF(Reprogramaciones!$S$15&gt;10,MIN(100,SUM($G66:$P66)),MIN(100,SUMPRODUCT((COLUMN($G66:$P66)-COLUMN($G66)+1&lt;Reprogramaciones!$S$15)*$G66:$P66)+N(INDEX($G66:$P66,1,Reprogramaciones!$S$15))*IF(Reprogramaciones!$Q$15&gt;=(Reprogramaciones!$T$15+7*(Reprogramaciones!$S$15-1))+6,1,IF(MAX(0,NETWORKDAYS.INTL(MAX(E66,(Reprogramaciones!$T$15+7*(Reprogramaciones!$S$15-1))),MIN(F66,(Reprogramaciones!$T$15+7*(Reprogramaciones!$S$15-1))+6),11))=0,0,MAX(0,NETWORKDAYS.INTL(MAX(E66,(Reprogramaciones!$T$15+7*(Reprogramaciones!$S$15-1))),MIN(F66,Reprogramaciones!$Q$15),11))/MAX(0,NETWORKDAYS.INTL(MAX(E66,(Reprogramaciones!$T$15+7*(Reprogramaciones!$S$15-1))),MIN(F66,(Reprogramaciones!$T$15+7*(Reprogramaciones!$S$15-1))+6),11))))))))</f>
        <v/>
      </c>
    </row>
    <row r="67" customFormat="false" ht="15" hidden="false" customHeight="false" outlineLevel="0" collapsed="false">
      <c r="A67" s="32"/>
      <c r="B67" s="33"/>
      <c r="C67" s="33"/>
      <c r="D67" s="34"/>
      <c r="E67" s="35"/>
      <c r="F67" s="35"/>
      <c r="G67" s="36" t="str">
        <f aca="false">IF(OR(NOT(AND(ISNUMBER(E67),ISNUMBER(F67))),$J$2=""),"",IF(Reprogramaciones!K$9&lt;E67,0,IF(NETWORKDAYS.INTL(E67,F67,11)=0,IF(Reprogramaciones!K$9&gt;=F67,100,0),ROUND(NETWORKDAYS.INTL(E67,MIN(F67,Reprogramaciones!K$9),11)/NETWORKDAYS.INTL(E67,F67,11)*100,1)))-0)</f>
        <v/>
      </c>
      <c r="H67" s="36" t="str">
        <f aca="false">IF(OR(NOT(AND(ISNUMBER(E67),ISNUMBER(F67))),$J$2=""),"",IF(Reprogramaciones!L$9&lt;E67,0,IF(NETWORKDAYS.INTL(E67,F67,11)=0,IF(Reprogramaciones!L$9&gt;=F67,100,0),ROUND(NETWORKDAYS.INTL(E67,MIN(F67,Reprogramaciones!L$9),11)/NETWORKDAYS.INTL(E67,F67,11)*100,1)))-IF(Reprogramaciones!K$9&lt;E67,0,IF(NETWORKDAYS.INTL(E67,F67,11)=0,IF(Reprogramaciones!K$9&gt;=F67,100,0),ROUND(NETWORKDAYS.INTL(E67,MIN(F67,Reprogramaciones!K$9),11)/NETWORKDAYS.INTL(E67,F67,11)*100,1))))</f>
        <v/>
      </c>
      <c r="I67" s="36" t="str">
        <f aca="false">IF(OR(NOT(AND(ISNUMBER(E67),ISNUMBER(F67))),$J$2=""),"",IF(Reprogramaciones!M$9&lt;E67,0,IF(NETWORKDAYS.INTL(E67,F67,11)=0,IF(Reprogramaciones!M$9&gt;=F67,100,0),ROUND(NETWORKDAYS.INTL(E67,MIN(F67,Reprogramaciones!M$9),11)/NETWORKDAYS.INTL(E67,F67,11)*100,1)))-IF(Reprogramaciones!L$9&lt;E67,0,IF(NETWORKDAYS.INTL(E67,F67,11)=0,IF(Reprogramaciones!L$9&gt;=F67,100,0),ROUND(NETWORKDAYS.INTL(E67,MIN(F67,Reprogramaciones!L$9),11)/NETWORKDAYS.INTL(E67,F67,11)*100,1))))</f>
        <v/>
      </c>
      <c r="J67" s="36" t="str">
        <f aca="false">IF(OR(NOT(AND(ISNUMBER(E67),ISNUMBER(F67))),$J$2=""),"",IF(Reprogramaciones!N$9&lt;E67,0,IF(NETWORKDAYS.INTL(E67,F67,11)=0,IF(Reprogramaciones!N$9&gt;=F67,100,0),ROUND(NETWORKDAYS.INTL(E67,MIN(F67,Reprogramaciones!N$9),11)/NETWORKDAYS.INTL(E67,F67,11)*100,1)))-IF(Reprogramaciones!M$9&lt;E67,0,IF(NETWORKDAYS.INTL(E67,F67,11)=0,IF(Reprogramaciones!M$9&gt;=F67,100,0),ROUND(NETWORKDAYS.INTL(E67,MIN(F67,Reprogramaciones!M$9),11)/NETWORKDAYS.INTL(E67,F67,11)*100,1))))</f>
        <v/>
      </c>
      <c r="K67" s="36" t="str">
        <f aca="false">IF(OR(NOT(AND(ISNUMBER(E67),ISNUMBER(F67))),$J$2=""),"",IF(Reprogramaciones!O$9&lt;E67,0,IF(NETWORKDAYS.INTL(E67,F67,11)=0,IF(Reprogramaciones!O$9&gt;=F67,100,0),ROUND(NETWORKDAYS.INTL(E67,MIN(F67,Reprogramaciones!O$9),11)/NETWORKDAYS.INTL(E67,F67,11)*100,1)))-IF(Reprogramaciones!N$9&lt;E67,0,IF(NETWORKDAYS.INTL(E67,F67,11)=0,IF(Reprogramaciones!N$9&gt;=F67,100,0),ROUND(NETWORKDAYS.INTL(E67,MIN(F67,Reprogramaciones!N$9),11)/NETWORKDAYS.INTL(E67,F67,11)*100,1))))</f>
        <v/>
      </c>
      <c r="L67" s="36" t="str">
        <f aca="false">IF(OR(NOT(AND(ISNUMBER(E67),ISNUMBER(F67))),$J$2=""),"",IF(Reprogramaciones!P$9&lt;E67,0,IF(NETWORKDAYS.INTL(E67,F67,11)=0,IF(Reprogramaciones!P$9&gt;=F67,100,0),ROUND(NETWORKDAYS.INTL(E67,MIN(F67,Reprogramaciones!P$9),11)/NETWORKDAYS.INTL(E67,F67,11)*100,1)))-IF(Reprogramaciones!O$9&lt;E67,0,IF(NETWORKDAYS.INTL(E67,F67,11)=0,IF(Reprogramaciones!O$9&gt;=F67,100,0),ROUND(NETWORKDAYS.INTL(E67,MIN(F67,Reprogramaciones!O$9),11)/NETWORKDAYS.INTL(E67,F67,11)*100,1))))</f>
        <v/>
      </c>
      <c r="M67" s="36" t="str">
        <f aca="false">IF(OR(NOT(AND(ISNUMBER(E67),ISNUMBER(F67))),$J$2=""),"",IF(Reprogramaciones!Q$9&lt;E67,0,IF(NETWORKDAYS.INTL(E67,F67,11)=0,IF(Reprogramaciones!Q$9&gt;=F67,100,0),ROUND(NETWORKDAYS.INTL(E67,MIN(F67,Reprogramaciones!Q$9),11)/NETWORKDAYS.INTL(E67,F67,11)*100,1)))-IF(Reprogramaciones!P$9&lt;E67,0,IF(NETWORKDAYS.INTL(E67,F67,11)=0,IF(Reprogramaciones!P$9&gt;=F67,100,0),ROUND(NETWORKDAYS.INTL(E67,MIN(F67,Reprogramaciones!P$9),11)/NETWORKDAYS.INTL(E67,F67,11)*100,1))))</f>
        <v/>
      </c>
      <c r="N67" s="36" t="str">
        <f aca="false">IF(OR(NOT(AND(ISNUMBER(E67),ISNUMBER(F67))),$J$2=""),"",IF(Reprogramaciones!R$9&lt;E67,0,IF(NETWORKDAYS.INTL(E67,F67,11)=0,IF(Reprogramaciones!R$9&gt;=F67,100,0),ROUND(NETWORKDAYS.INTL(E67,MIN(F67,Reprogramaciones!R$9),11)/NETWORKDAYS.INTL(E67,F67,11)*100,1)))-IF(Reprogramaciones!Q$9&lt;E67,0,IF(NETWORKDAYS.INTL(E67,F67,11)=0,IF(Reprogramaciones!Q$9&gt;=F67,100,0),ROUND(NETWORKDAYS.INTL(E67,MIN(F67,Reprogramaciones!Q$9),11)/NETWORKDAYS.INTL(E67,F67,11)*100,1))))</f>
        <v/>
      </c>
      <c r="O67" s="36" t="str">
        <f aca="false">IF(OR(NOT(AND(ISNUMBER(E67),ISNUMBER(F67))),$J$2=""),"",IF(Reprogramaciones!S$9&lt;E67,0,IF(NETWORKDAYS.INTL(E67,F67,11)=0,IF(Reprogramaciones!S$9&gt;=F67,100,0),ROUND(NETWORKDAYS.INTL(E67,MIN(F67,Reprogramaciones!S$9),11)/NETWORKDAYS.INTL(E67,F67,11)*100,1)))-IF(Reprogramaciones!R$9&lt;E67,0,IF(NETWORKDAYS.INTL(E67,F67,11)=0,IF(Reprogramaciones!R$9&gt;=F67,100,0),ROUND(NETWORKDAYS.INTL(E67,MIN(F67,Reprogramaciones!R$9),11)/NETWORKDAYS.INTL(E67,F67,11)*100,1))))</f>
        <v/>
      </c>
      <c r="P67" s="36" t="str">
        <f aca="false">IF(OR(NOT(AND(ISNUMBER(E67),ISNUMBER(F67))),$J$2=""),"",IF(Reprogramaciones!T$9&lt;E67,0,IF(NETWORKDAYS.INTL(E67,F67,11)=0,IF(Reprogramaciones!T$9&gt;=F67,100,0),ROUND(NETWORKDAYS.INTL(E67,MIN(F67,Reprogramaciones!T$9),11)/NETWORKDAYS.INTL(E67,F67,11)*100,1)))-IF(Reprogramaciones!S$9&lt;E67,0,IF(NETWORKDAYS.INTL(E67,F67,11)=0,IF(Reprogramaciones!S$9&gt;=F67,100,0),ROUND(NETWORKDAYS.INTL(E67,MIN(F67,Reprogramaciones!S$9),11)/NETWORKDAYS.INTL(E67,F67,11)*100,1))))</f>
        <v/>
      </c>
      <c r="Q67" s="37"/>
      <c r="R67" s="37"/>
      <c r="S67" s="37"/>
      <c r="T67" s="37"/>
      <c r="U67" s="37"/>
      <c r="V67" s="37"/>
      <c r="W67" s="37"/>
      <c r="X67" s="37"/>
      <c r="Y67" s="37"/>
      <c r="Z67" s="37"/>
      <c r="AA67" s="37"/>
      <c r="AB67" s="37"/>
      <c r="AC67" s="37"/>
      <c r="AD67" s="37"/>
      <c r="AE67" s="37"/>
      <c r="AF67" s="37"/>
      <c r="AG67" s="38" t="str">
        <f aca="false">IF(AND(ISNUMBER(E67),ISNUMBER(F67)),NETWORKDAYS.INTL(E67,F67,11),"")</f>
        <v/>
      </c>
      <c r="AH67" s="38" t="str">
        <f aca="false">IF(OR(NOT(AND(ISNUMBER(E67),ISNUMBER(F67))),$J$2=""),"",IF(Reprogramaciones!$P$15&lt;Reprogramaciones!$T$15,0,IF(Reprogramaciones!$R$15&gt;10,MIN(100,SUM($G67:$P67)),MIN(100,SUMPRODUCT((COLUMN($G67:$P67)-COLUMN($G67)+1&lt;Reprogramaciones!$R$15)*$G67:$P67)+N(INDEX($G67:$P67,1,Reprogramaciones!$R$15))*IF(Reprogramaciones!$P$15&gt;=(Reprogramaciones!$T$15+7*(Reprogramaciones!$R$15-1))+6,1,IF(MAX(0,NETWORKDAYS.INTL(MAX(E67,(Reprogramaciones!$T$15+7*(Reprogramaciones!$R$15-1))),MIN(F67,(Reprogramaciones!$T$15+7*(Reprogramaciones!$R$15-1))+6),11))=0,0,MAX(0,NETWORKDAYS.INTL(MAX(E67,(Reprogramaciones!$T$15+7*(Reprogramaciones!$R$15-1))),MIN(F67,Reprogramaciones!$P$15),11))/MAX(0,NETWORKDAYS.INTL(MAX(E67,(Reprogramaciones!$T$15+7*(Reprogramaciones!$R$15-1))),MIN(F67,(Reprogramaciones!$T$15+7*(Reprogramaciones!$R$15-1))+6),11))))))))</f>
        <v/>
      </c>
      <c r="AI67" s="38" t="str">
        <f aca="false">IF(COUNT($Q67:$AF67)=0,"",IF(ROUND(SUM($Q67:$AF67),1)&gt;=99.5,100,MIN(100,ROUND(SUM($Q67:$AF67),1))))</f>
        <v/>
      </c>
      <c r="AJ67" s="38" t="str">
        <f aca="false">IF(OR(AH67="",AI67=""),"",AI67-AH67)</f>
        <v/>
      </c>
      <c r="AK67" s="39" t="str">
        <f aca="true">IF(AH67="","",IF(OR(Ficha!$C$10="Suspendida",Ficha!$C$10="Cancelada"),Ficha!$C$10,IF(AND(AI67&lt;&gt;"",N(AI67)&gt;=100),"Completada",IF(AND(E67&gt;TODAY(),N(AI67)=0),"Por iniciar",IF(N(AI67)+0.5&lt;AH67,"Retrasada",IF(N(AI67)+0.5&lt;DA67,IF(Reprogramaciones!$K$15&gt;0,"Al día · Sem "&amp;Reprogramaciones!$K$15&amp;" en curso","Al día · en curso"),"A tiempo"))))))</f>
        <v/>
      </c>
      <c r="AL67" s="39" t="str">
        <f aca="true">IF(AND(A67="",AND(B67="",C67="",E67="",F67="",COUNT(Q67:AF67)=0)),"",IF(AND(B67="",C67="",E67="",F67="",COUNT(Q67:AF67)=0),"Falta la partida o subpartida",IF(AND(A67&lt;&gt;"",COUNTIF($A$6:$A$305,A67)&gt;1),"Ítem repetido",IF(AND(C67="",E67="",F67="",COUNT(Q67:AF67)=0),"Título de partida",IF(OR(E67="",F67=""),"Faltan fechas",IF(OR(ISTEXT(E67),ISTEXT(F67)),"Fecha escrita como texto: usa dd/mm/aaaa",IF(F67&lt;E67,"Fin antes del inicio",IF(IF($J$2="",FALSE(),OR(E67&lt;$J$2,F67&gt;Reprogramaciones!$T$15+69)),"Fuera de las 10 semanas",IF(ABS(SUM(G67:P67)-100)&gt;0.5,"La meta no suma 100%",IF(ROUND(SUM(Q67:AF67),1)&gt;100.5,"El avance pasa de 100%",IF(MIN(Q67:AF67)&lt;0,"Avance negativo",IF(COUNTA(Q67:AF67)&gt;COUNT(Q67:AF67),"Avance escrito como texto",IF(SUMPRODUCT((Q67:AF67&gt;0)*(Q67:AF67&lt;1))&gt;0,"Avance menor a 1: escribe 50, no 50%",IF(SUMPRODUCT(ISNUMBER(Q67:AF67)*(Reprogramaciones!$K$8:$Z$8&gt;TODAY()))&gt;0,"Avance en semana que aún no llega",IF(AND(N(Reprogramaciones!$E$21)&gt;0,F67&gt;Reprogramaciones!$E$21),"Pasa el fin de la obra: registra una reprogramación",IF(AND(N(Reprogramaciones!$E$21)&gt;0,SUMPRODUCT(ISNUMBER(Q67:AF67)*(Reprogramaciones!$K$8:$Z$8&gt;Reprogramaciones!$E$21))&gt;0),"Avance después del fin de la obra: registra una reprogramación por atraso","OK"))))))))))))))))</f>
        <v/>
      </c>
      <c r="AM67" s="40" t="str">
        <f aca="false">IF(OR(OR(NOT(AND(ISNUMBER(E67),ISNUMBER(F67))),$J$2=""),1&gt;MAX(1,Reprogramaciones!$U$15)),"",IF(Reprogramaciones!K$12&gt;=7,"",IF(OR(BT67-N(0)&gt;0.05,N(Q67)&gt;0),ROUNDDOWN(ROUND(BT67,6),0)&amp;"%"&amp;IF(CJ67="",""," / "&amp;CJ67&amp;"%"),IF(AND(N(0)&gt;=99.95,CJ67&lt;&gt;"",N(CJ67)&lt;100),"Pend. "&amp;CJ67&amp;"%",""))))</f>
        <v/>
      </c>
      <c r="AN67" s="40" t="str">
        <f aca="false">IF(OR(OR(NOT(AND(ISNUMBER(E67),ISNUMBER(F67))),$J$2=""),2&gt;MAX(1,Reprogramaciones!$U$15)),"",IF(Reprogramaciones!L$12&gt;=7,"",IF(OR(BU67-N(BT67)&gt;0.05,N(R67)&gt;0),ROUNDDOWN(ROUND(BU67,6),0)&amp;"%"&amp;IF(CK67="",""," / "&amp;CK67&amp;"%"),IF(AND(N(BT67)&gt;=99.95,CK67&lt;&gt;"",N(CK67)&lt;100),"Pend. "&amp;CK67&amp;"%",""))))</f>
        <v/>
      </c>
      <c r="AO67" s="40" t="str">
        <f aca="false">IF(OR(OR(NOT(AND(ISNUMBER(E67),ISNUMBER(F67))),$J$2=""),3&gt;MAX(1,Reprogramaciones!$U$15)),"",IF(Reprogramaciones!M$12&gt;=7,"",IF(OR(BV67-N(BU67)&gt;0.05,N(S67)&gt;0),ROUNDDOWN(ROUND(BV67,6),0)&amp;"%"&amp;IF(CL67="",""," / "&amp;CL67&amp;"%"),IF(AND(N(BU67)&gt;=99.95,CL67&lt;&gt;"",N(CL67)&lt;100),"Pend. "&amp;CL67&amp;"%",""))))</f>
        <v/>
      </c>
      <c r="AP67" s="40" t="str">
        <f aca="false">IF(OR(OR(NOT(AND(ISNUMBER(E67),ISNUMBER(F67))),$J$2=""),4&gt;MAX(1,Reprogramaciones!$U$15)),"",IF(Reprogramaciones!N$12&gt;=7,"",IF(OR(BW67-N(BV67)&gt;0.05,N(T67)&gt;0),ROUNDDOWN(ROUND(BW67,6),0)&amp;"%"&amp;IF(CM67="",""," / "&amp;CM67&amp;"%"),IF(AND(N(BV67)&gt;=99.95,CM67&lt;&gt;"",N(CM67)&lt;100),"Pend. "&amp;CM67&amp;"%",""))))</f>
        <v/>
      </c>
      <c r="AQ67" s="40" t="str">
        <f aca="false">IF(OR(OR(NOT(AND(ISNUMBER(E67),ISNUMBER(F67))),$J$2=""),5&gt;MAX(1,Reprogramaciones!$U$15)),"",IF(Reprogramaciones!O$12&gt;=7,"",IF(OR(BX67-N(BW67)&gt;0.05,N(U67)&gt;0),ROUNDDOWN(ROUND(BX67,6),0)&amp;"%"&amp;IF(CN67="",""," / "&amp;CN67&amp;"%"),IF(AND(N(BW67)&gt;=99.95,CN67&lt;&gt;"",N(CN67)&lt;100),"Pend. "&amp;CN67&amp;"%",""))))</f>
        <v/>
      </c>
      <c r="AR67" s="40" t="str">
        <f aca="false">IF(OR(OR(NOT(AND(ISNUMBER(E67),ISNUMBER(F67))),$J$2=""),6&gt;MAX(1,Reprogramaciones!$U$15)),"",IF(Reprogramaciones!P$12&gt;=7,"",IF(OR(BY67-N(BX67)&gt;0.05,N(V67)&gt;0),ROUNDDOWN(ROUND(BY67,6),0)&amp;"%"&amp;IF(CO67="",""," / "&amp;CO67&amp;"%"),IF(AND(N(BX67)&gt;=99.95,CO67&lt;&gt;"",N(CO67)&lt;100),"Pend. "&amp;CO67&amp;"%",""))))</f>
        <v/>
      </c>
      <c r="AS67" s="40" t="str">
        <f aca="false">IF(OR(OR(NOT(AND(ISNUMBER(E67),ISNUMBER(F67))),$J$2=""),7&gt;MAX(1,Reprogramaciones!$U$15)),"",IF(Reprogramaciones!Q$12&gt;=7,"",IF(OR(BZ67-N(BY67)&gt;0.05,N(W67)&gt;0),ROUNDDOWN(ROUND(BZ67,6),0)&amp;"%"&amp;IF(CP67="",""," / "&amp;CP67&amp;"%"),IF(AND(N(BY67)&gt;=99.95,CP67&lt;&gt;"",N(CP67)&lt;100),"Pend. "&amp;CP67&amp;"%",""))))</f>
        <v/>
      </c>
      <c r="AT67" s="40" t="str">
        <f aca="false">IF(OR(OR(NOT(AND(ISNUMBER(E67),ISNUMBER(F67))),$J$2=""),8&gt;MAX(1,Reprogramaciones!$U$15)),"",IF(Reprogramaciones!R$12&gt;=7,"",IF(OR(CA67-N(BZ67)&gt;0.05,N(X67)&gt;0),ROUNDDOWN(ROUND(CA67,6),0)&amp;"%"&amp;IF(CQ67="",""," / "&amp;CQ67&amp;"%"),IF(AND(N(BZ67)&gt;=99.95,CQ67&lt;&gt;"",N(CQ67)&lt;100),"Pend. "&amp;CQ67&amp;"%",""))))</f>
        <v/>
      </c>
      <c r="AU67" s="40" t="str">
        <f aca="false">IF(OR(OR(NOT(AND(ISNUMBER(E67),ISNUMBER(F67))),$J$2=""),9&gt;MAX(1,Reprogramaciones!$U$15)),"",IF(Reprogramaciones!S$12&gt;=7,"",IF(OR(CB67-N(CA67)&gt;0.05,N(Y67)&gt;0),ROUNDDOWN(ROUND(CB67,6),0)&amp;"%"&amp;IF(CR67="",""," / "&amp;CR67&amp;"%"),IF(AND(N(CA67)&gt;=99.95,CR67&lt;&gt;"",N(CR67)&lt;100),"Pend. "&amp;CR67&amp;"%",""))))</f>
        <v/>
      </c>
      <c r="AV67" s="40" t="str">
        <f aca="false">IF(OR(OR(NOT(AND(ISNUMBER(E67),ISNUMBER(F67))),$J$2=""),10&gt;MAX(1,Reprogramaciones!$U$15)),"",IF(Reprogramaciones!T$12&gt;=7,"",IF(OR(CC67-N(CB67)&gt;0.05,N(Z67)&gt;0),ROUNDDOWN(ROUND(CC67,6),0)&amp;"%"&amp;IF(CS67="",""," / "&amp;CS67&amp;"%"),IF(AND(N(CB67)&gt;=99.95,CS67&lt;&gt;"",N(CS67)&lt;100),"Pend. "&amp;CS67&amp;"%",""))))</f>
        <v/>
      </c>
      <c r="AW67" s="40" t="str">
        <f aca="false">IF(OR(OR(NOT(AND(ISNUMBER(E67),ISNUMBER(F67))),$J$2=""),11&gt;MAX(1,Reprogramaciones!$U$15)),"",IF(Reprogramaciones!U$12&gt;=7,"",IF(OR(CD67-N(CC67)&gt;0.05,N(AA67)&gt;0),ROUNDDOWN(ROUND(CD67,6),0)&amp;"%"&amp;IF(CT67="",""," / "&amp;CT67&amp;"%"),IF(AND(N(CC67)&gt;=99.95,CT67&lt;&gt;"",N(CT67)&lt;100),"Pend. "&amp;CT67&amp;"%",""))))</f>
        <v/>
      </c>
      <c r="AX67" s="40" t="str">
        <f aca="false">IF(OR(OR(NOT(AND(ISNUMBER(E67),ISNUMBER(F67))),$J$2=""),12&gt;MAX(1,Reprogramaciones!$U$15)),"",IF(Reprogramaciones!V$12&gt;=7,"",IF(OR(CE67-N(CD67)&gt;0.05,N(AB67)&gt;0),ROUNDDOWN(ROUND(CE67,6),0)&amp;"%"&amp;IF(CU67="",""," / "&amp;CU67&amp;"%"),IF(AND(N(CD67)&gt;=99.95,CU67&lt;&gt;"",N(CU67)&lt;100),"Pend. "&amp;CU67&amp;"%",""))))</f>
        <v/>
      </c>
      <c r="AY67" s="40" t="str">
        <f aca="false">IF(OR(OR(NOT(AND(ISNUMBER(E67),ISNUMBER(F67))),$J$2=""),13&gt;MAX(1,Reprogramaciones!$U$15)),"",IF(Reprogramaciones!W$12&gt;=7,"",IF(OR(CF67-N(CE67)&gt;0.05,N(AC67)&gt;0),ROUNDDOWN(ROUND(CF67,6),0)&amp;"%"&amp;IF(CV67="",""," / "&amp;CV67&amp;"%"),IF(AND(N(CE67)&gt;=99.95,CV67&lt;&gt;"",N(CV67)&lt;100),"Pend. "&amp;CV67&amp;"%",""))))</f>
        <v/>
      </c>
      <c r="AZ67" s="40" t="str">
        <f aca="false">IF(OR(OR(NOT(AND(ISNUMBER(E67),ISNUMBER(F67))),$J$2=""),14&gt;MAX(1,Reprogramaciones!$U$15)),"",IF(Reprogramaciones!X$12&gt;=7,"",IF(OR(CG67-N(CF67)&gt;0.05,N(AD67)&gt;0),ROUNDDOWN(ROUND(CG67,6),0)&amp;"%"&amp;IF(CW67="",""," / "&amp;CW67&amp;"%"),IF(AND(N(CF67)&gt;=99.95,CW67&lt;&gt;"",N(CW67)&lt;100),"Pend. "&amp;CW67&amp;"%",""))))</f>
        <v/>
      </c>
      <c r="BA67" s="40" t="str">
        <f aca="false">IF(OR(OR(NOT(AND(ISNUMBER(E67),ISNUMBER(F67))),$J$2=""),15&gt;MAX(1,Reprogramaciones!$U$15)),"",IF(Reprogramaciones!Y$12&gt;=7,"",IF(OR(CH67-N(CG67)&gt;0.05,N(AE67)&gt;0),ROUNDDOWN(ROUND(CH67,6),0)&amp;"%"&amp;IF(CX67="",""," / "&amp;CX67&amp;"%"),IF(AND(N(CG67)&gt;=99.95,CX67&lt;&gt;"",N(CX67)&lt;100),"Pend. "&amp;CX67&amp;"%",""))))</f>
        <v/>
      </c>
      <c r="BB67" s="40" t="str">
        <f aca="false">IF(OR(OR(NOT(AND(ISNUMBER(E67),ISNUMBER(F67))),$J$2=""),16&gt;MAX(1,Reprogramaciones!$U$15)),"",IF(Reprogramaciones!Z$12&gt;=7,"",IF(OR(CI67-N(CH67)&gt;0.05,N(AF67)&gt;0),ROUNDDOWN(ROUND(CI67,6),0)&amp;"%"&amp;IF(CY67="",""," / "&amp;CY67&amp;"%"),IF(AND(N(CH67)&gt;=99.95,CY67&lt;&gt;"",N(CY67)&lt;100),"Pend. "&amp;CY67&amp;"%",""))))</f>
        <v/>
      </c>
      <c r="BC67" s="31" t="n">
        <f aca="false">IF(AND(ISNUMBER(E67),ISNUMBER(F67)),MAX(1,NETWORKDAYS.INTL(E67,F67,11)),0)</f>
        <v>0</v>
      </c>
      <c r="BD67" s="1" t="str">
        <f aca="false">IF(OR(NOT(AND(ISNUMBER(E67),ISNUMBER(F67))),$J$2=""),"",MIN(100,ROUND(SUM($G67:G67),1)))</f>
        <v/>
      </c>
      <c r="BE67" s="1" t="str">
        <f aca="false">IF(OR(NOT(AND(ISNUMBER(E67),ISNUMBER(F67))),$J$2=""),"",MIN(100,ROUND(SUM($G67:H67),1)))</f>
        <v/>
      </c>
      <c r="BF67" s="1" t="str">
        <f aca="false">IF(OR(NOT(AND(ISNUMBER(E67),ISNUMBER(F67))),$J$2=""),"",MIN(100,ROUND(SUM($G67:I67),1)))</f>
        <v/>
      </c>
      <c r="BG67" s="1" t="str">
        <f aca="false">IF(OR(NOT(AND(ISNUMBER(E67),ISNUMBER(F67))),$J$2=""),"",MIN(100,ROUND(SUM($G67:J67),1)))</f>
        <v/>
      </c>
      <c r="BH67" s="1" t="str">
        <f aca="false">IF(OR(NOT(AND(ISNUMBER(E67),ISNUMBER(F67))),$J$2=""),"",MIN(100,ROUND(SUM($G67:K67),1)))</f>
        <v/>
      </c>
      <c r="BI67" s="1" t="str">
        <f aca="false">IF(OR(NOT(AND(ISNUMBER(E67),ISNUMBER(F67))),$J$2=""),"",MIN(100,ROUND(SUM($G67:L67),1)))</f>
        <v/>
      </c>
      <c r="BJ67" s="1" t="str">
        <f aca="false">IF(OR(NOT(AND(ISNUMBER(E67),ISNUMBER(F67))),$J$2=""),"",MIN(100,ROUND(SUM($G67:M67),1)))</f>
        <v/>
      </c>
      <c r="BK67" s="1" t="str">
        <f aca="false">IF(OR(NOT(AND(ISNUMBER(E67),ISNUMBER(F67))),$J$2=""),"",MIN(100,ROUND(SUM($G67:N67),1)))</f>
        <v/>
      </c>
      <c r="BL67" s="1" t="str">
        <f aca="false">IF(OR(NOT(AND(ISNUMBER(E67),ISNUMBER(F67))),$J$2=""),"",MIN(100,ROUND(SUM($G67:O67),1)))</f>
        <v/>
      </c>
      <c r="BM67" s="1" t="str">
        <f aca="false">IF(OR(NOT(AND(ISNUMBER(E67),ISNUMBER(F67))),$J$2=""),"",MIN(100,ROUND(SUM($G67:P67),1)))</f>
        <v/>
      </c>
      <c r="BN67" s="1" t="str">
        <f aca="false">IF(OR(NOT(AND(ISNUMBER(E67),ISNUMBER(F67))),$J$2=""),"",MIN(100,ROUND(SUM($G67:P67),1)))</f>
        <v/>
      </c>
      <c r="BO67" s="1" t="str">
        <f aca="false">IF(OR(NOT(AND(ISNUMBER(E67),ISNUMBER(F67))),$J$2=""),"",MIN(100,ROUND(SUM($G67:P67),1)))</f>
        <v/>
      </c>
      <c r="BP67" s="1" t="str">
        <f aca="false">IF(OR(NOT(AND(ISNUMBER(E67),ISNUMBER(F67))),$J$2=""),"",MIN(100,ROUND(SUM($G67:P67),1)))</f>
        <v/>
      </c>
      <c r="BQ67" s="1" t="str">
        <f aca="false">IF(OR(NOT(AND(ISNUMBER(E67),ISNUMBER(F67))),$J$2=""),"",MIN(100,ROUND(SUM($G67:P67),1)))</f>
        <v/>
      </c>
      <c r="BR67" s="1" t="str">
        <f aca="false">IF(OR(NOT(AND(ISNUMBER(E67),ISNUMBER(F67))),$J$2=""),"",MIN(100,ROUND(SUM($G67:P67),1)))</f>
        <v/>
      </c>
      <c r="BS67" s="1" t="str">
        <f aca="false">IF(OR(NOT(AND(ISNUMBER(E67),ISNUMBER(F67))),$J$2=""),"",MIN(100,ROUND(SUM($G67:P67),1)))</f>
        <v/>
      </c>
      <c r="BT67" s="1" t="str">
        <f aca="false">IF(OR(NOT(AND(ISNUMBER(E67),ISNUMBER(F67))),$J$2=""),"",IF(Reprogramaciones!K$13&lt;Reprogramaciones!$T$15,0,IF(Reprogramaciones!K$14&gt;10,MIN(100,SUM($G67:$P67)),MIN(100,SUMPRODUCT((COLUMN($G67:$P67)-COLUMN($G67)+1&lt;Reprogramaciones!K$14)*$G67:$P67)+N(INDEX($G67:$P67,1,Reprogramaciones!K$14))*IF(Reprogramaciones!K$13&gt;=(Reprogramaciones!$T$15+7*(Reprogramaciones!K$14-1))+6,1,IF(MAX(0,NETWORKDAYS.INTL(MAX(E67,(Reprogramaciones!$T$15+7*(Reprogramaciones!K$14-1))),MIN(F67,(Reprogramaciones!$T$15+7*(Reprogramaciones!K$14-1))+6),11))=0,0,MAX(0,NETWORKDAYS.INTL(MAX(E67,(Reprogramaciones!$T$15+7*(Reprogramaciones!K$14-1))),MIN(F67,Reprogramaciones!K$13),11))/MAX(0,NETWORKDAYS.INTL(MAX(E67,(Reprogramaciones!$T$15+7*(Reprogramaciones!K$14-1))),MIN(F67,(Reprogramaciones!$T$15+7*(Reprogramaciones!K$14-1))+6),11))))))))</f>
        <v/>
      </c>
      <c r="BU67" s="1" t="str">
        <f aca="false">IF(OR(NOT(AND(ISNUMBER(E67),ISNUMBER(F67))),$J$2=""),"",IF(Reprogramaciones!L$13&lt;Reprogramaciones!$T$15,0,IF(Reprogramaciones!L$14&gt;10,MIN(100,SUM($G67:$P67)),MIN(100,SUMPRODUCT((COLUMN($G67:$P67)-COLUMN($G67)+1&lt;Reprogramaciones!L$14)*$G67:$P67)+N(INDEX($G67:$P67,1,Reprogramaciones!L$14))*IF(Reprogramaciones!L$13&gt;=(Reprogramaciones!$T$15+7*(Reprogramaciones!L$14-1))+6,1,IF(MAX(0,NETWORKDAYS.INTL(MAX(E67,(Reprogramaciones!$T$15+7*(Reprogramaciones!L$14-1))),MIN(F67,(Reprogramaciones!$T$15+7*(Reprogramaciones!L$14-1))+6),11))=0,0,MAX(0,NETWORKDAYS.INTL(MAX(E67,(Reprogramaciones!$T$15+7*(Reprogramaciones!L$14-1))),MIN(F67,Reprogramaciones!L$13),11))/MAX(0,NETWORKDAYS.INTL(MAX(E67,(Reprogramaciones!$T$15+7*(Reprogramaciones!L$14-1))),MIN(F67,(Reprogramaciones!$T$15+7*(Reprogramaciones!L$14-1))+6),11))))))))</f>
        <v/>
      </c>
      <c r="BV67" s="1" t="str">
        <f aca="false">IF(OR(NOT(AND(ISNUMBER(E67),ISNUMBER(F67))),$J$2=""),"",IF(Reprogramaciones!M$13&lt;Reprogramaciones!$T$15,0,IF(Reprogramaciones!M$14&gt;10,MIN(100,SUM($G67:$P67)),MIN(100,SUMPRODUCT((COLUMN($G67:$P67)-COLUMN($G67)+1&lt;Reprogramaciones!M$14)*$G67:$P67)+N(INDEX($G67:$P67,1,Reprogramaciones!M$14))*IF(Reprogramaciones!M$13&gt;=(Reprogramaciones!$T$15+7*(Reprogramaciones!M$14-1))+6,1,IF(MAX(0,NETWORKDAYS.INTL(MAX(E67,(Reprogramaciones!$T$15+7*(Reprogramaciones!M$14-1))),MIN(F67,(Reprogramaciones!$T$15+7*(Reprogramaciones!M$14-1))+6),11))=0,0,MAX(0,NETWORKDAYS.INTL(MAX(E67,(Reprogramaciones!$T$15+7*(Reprogramaciones!M$14-1))),MIN(F67,Reprogramaciones!M$13),11))/MAX(0,NETWORKDAYS.INTL(MAX(E67,(Reprogramaciones!$T$15+7*(Reprogramaciones!M$14-1))),MIN(F67,(Reprogramaciones!$T$15+7*(Reprogramaciones!M$14-1))+6),11))))))))</f>
        <v/>
      </c>
      <c r="BW67" s="1" t="str">
        <f aca="false">IF(OR(NOT(AND(ISNUMBER(E67),ISNUMBER(F67))),$J$2=""),"",IF(Reprogramaciones!N$13&lt;Reprogramaciones!$T$15,0,IF(Reprogramaciones!N$14&gt;10,MIN(100,SUM($G67:$P67)),MIN(100,SUMPRODUCT((COLUMN($G67:$P67)-COLUMN($G67)+1&lt;Reprogramaciones!N$14)*$G67:$P67)+N(INDEX($G67:$P67,1,Reprogramaciones!N$14))*IF(Reprogramaciones!N$13&gt;=(Reprogramaciones!$T$15+7*(Reprogramaciones!N$14-1))+6,1,IF(MAX(0,NETWORKDAYS.INTL(MAX(E67,(Reprogramaciones!$T$15+7*(Reprogramaciones!N$14-1))),MIN(F67,(Reprogramaciones!$T$15+7*(Reprogramaciones!N$14-1))+6),11))=0,0,MAX(0,NETWORKDAYS.INTL(MAX(E67,(Reprogramaciones!$T$15+7*(Reprogramaciones!N$14-1))),MIN(F67,Reprogramaciones!N$13),11))/MAX(0,NETWORKDAYS.INTL(MAX(E67,(Reprogramaciones!$T$15+7*(Reprogramaciones!N$14-1))),MIN(F67,(Reprogramaciones!$T$15+7*(Reprogramaciones!N$14-1))+6),11))))))))</f>
        <v/>
      </c>
      <c r="BX67" s="1" t="str">
        <f aca="false">IF(OR(NOT(AND(ISNUMBER(E67),ISNUMBER(F67))),$J$2=""),"",IF(Reprogramaciones!O$13&lt;Reprogramaciones!$T$15,0,IF(Reprogramaciones!O$14&gt;10,MIN(100,SUM($G67:$P67)),MIN(100,SUMPRODUCT((COLUMN($G67:$P67)-COLUMN($G67)+1&lt;Reprogramaciones!O$14)*$G67:$P67)+N(INDEX($G67:$P67,1,Reprogramaciones!O$14))*IF(Reprogramaciones!O$13&gt;=(Reprogramaciones!$T$15+7*(Reprogramaciones!O$14-1))+6,1,IF(MAX(0,NETWORKDAYS.INTL(MAX(E67,(Reprogramaciones!$T$15+7*(Reprogramaciones!O$14-1))),MIN(F67,(Reprogramaciones!$T$15+7*(Reprogramaciones!O$14-1))+6),11))=0,0,MAX(0,NETWORKDAYS.INTL(MAX(E67,(Reprogramaciones!$T$15+7*(Reprogramaciones!O$14-1))),MIN(F67,Reprogramaciones!O$13),11))/MAX(0,NETWORKDAYS.INTL(MAX(E67,(Reprogramaciones!$T$15+7*(Reprogramaciones!O$14-1))),MIN(F67,(Reprogramaciones!$T$15+7*(Reprogramaciones!O$14-1))+6),11))))))))</f>
        <v/>
      </c>
      <c r="BY67" s="1" t="str">
        <f aca="false">IF(OR(NOT(AND(ISNUMBER(E67),ISNUMBER(F67))),$J$2=""),"",IF(Reprogramaciones!P$13&lt;Reprogramaciones!$T$15,0,IF(Reprogramaciones!P$14&gt;10,MIN(100,SUM($G67:$P67)),MIN(100,SUMPRODUCT((COLUMN($G67:$P67)-COLUMN($G67)+1&lt;Reprogramaciones!P$14)*$G67:$P67)+N(INDEX($G67:$P67,1,Reprogramaciones!P$14))*IF(Reprogramaciones!P$13&gt;=(Reprogramaciones!$T$15+7*(Reprogramaciones!P$14-1))+6,1,IF(MAX(0,NETWORKDAYS.INTL(MAX(E67,(Reprogramaciones!$T$15+7*(Reprogramaciones!P$14-1))),MIN(F67,(Reprogramaciones!$T$15+7*(Reprogramaciones!P$14-1))+6),11))=0,0,MAX(0,NETWORKDAYS.INTL(MAX(E67,(Reprogramaciones!$T$15+7*(Reprogramaciones!P$14-1))),MIN(F67,Reprogramaciones!P$13),11))/MAX(0,NETWORKDAYS.INTL(MAX(E67,(Reprogramaciones!$T$15+7*(Reprogramaciones!P$14-1))),MIN(F67,(Reprogramaciones!$T$15+7*(Reprogramaciones!P$14-1))+6),11))))))))</f>
        <v/>
      </c>
      <c r="BZ67" s="1" t="str">
        <f aca="false">IF(OR(NOT(AND(ISNUMBER(E67),ISNUMBER(F67))),$J$2=""),"",IF(Reprogramaciones!Q$13&lt;Reprogramaciones!$T$15,0,IF(Reprogramaciones!Q$14&gt;10,MIN(100,SUM($G67:$P67)),MIN(100,SUMPRODUCT((COLUMN($G67:$P67)-COLUMN($G67)+1&lt;Reprogramaciones!Q$14)*$G67:$P67)+N(INDEX($G67:$P67,1,Reprogramaciones!Q$14))*IF(Reprogramaciones!Q$13&gt;=(Reprogramaciones!$T$15+7*(Reprogramaciones!Q$14-1))+6,1,IF(MAX(0,NETWORKDAYS.INTL(MAX(E67,(Reprogramaciones!$T$15+7*(Reprogramaciones!Q$14-1))),MIN(F67,(Reprogramaciones!$T$15+7*(Reprogramaciones!Q$14-1))+6),11))=0,0,MAX(0,NETWORKDAYS.INTL(MAX(E67,(Reprogramaciones!$T$15+7*(Reprogramaciones!Q$14-1))),MIN(F67,Reprogramaciones!Q$13),11))/MAX(0,NETWORKDAYS.INTL(MAX(E67,(Reprogramaciones!$T$15+7*(Reprogramaciones!Q$14-1))),MIN(F67,(Reprogramaciones!$T$15+7*(Reprogramaciones!Q$14-1))+6),11))))))))</f>
        <v/>
      </c>
      <c r="CA67" s="1" t="str">
        <f aca="false">IF(OR(NOT(AND(ISNUMBER(E67),ISNUMBER(F67))),$J$2=""),"",IF(Reprogramaciones!R$13&lt;Reprogramaciones!$T$15,0,IF(Reprogramaciones!R$14&gt;10,MIN(100,SUM($G67:$P67)),MIN(100,SUMPRODUCT((COLUMN($G67:$P67)-COLUMN($G67)+1&lt;Reprogramaciones!R$14)*$G67:$P67)+N(INDEX($G67:$P67,1,Reprogramaciones!R$14))*IF(Reprogramaciones!R$13&gt;=(Reprogramaciones!$T$15+7*(Reprogramaciones!R$14-1))+6,1,IF(MAX(0,NETWORKDAYS.INTL(MAX(E67,(Reprogramaciones!$T$15+7*(Reprogramaciones!R$14-1))),MIN(F67,(Reprogramaciones!$T$15+7*(Reprogramaciones!R$14-1))+6),11))=0,0,MAX(0,NETWORKDAYS.INTL(MAX(E67,(Reprogramaciones!$T$15+7*(Reprogramaciones!R$14-1))),MIN(F67,Reprogramaciones!R$13),11))/MAX(0,NETWORKDAYS.INTL(MAX(E67,(Reprogramaciones!$T$15+7*(Reprogramaciones!R$14-1))),MIN(F67,(Reprogramaciones!$T$15+7*(Reprogramaciones!R$14-1))+6),11))))))))</f>
        <v/>
      </c>
      <c r="CB67" s="1" t="str">
        <f aca="false">IF(OR(NOT(AND(ISNUMBER(E67),ISNUMBER(F67))),$J$2=""),"",IF(Reprogramaciones!S$13&lt;Reprogramaciones!$T$15,0,IF(Reprogramaciones!S$14&gt;10,MIN(100,SUM($G67:$P67)),MIN(100,SUMPRODUCT((COLUMN($G67:$P67)-COLUMN($G67)+1&lt;Reprogramaciones!S$14)*$G67:$P67)+N(INDEX($G67:$P67,1,Reprogramaciones!S$14))*IF(Reprogramaciones!S$13&gt;=(Reprogramaciones!$T$15+7*(Reprogramaciones!S$14-1))+6,1,IF(MAX(0,NETWORKDAYS.INTL(MAX(E67,(Reprogramaciones!$T$15+7*(Reprogramaciones!S$14-1))),MIN(F67,(Reprogramaciones!$T$15+7*(Reprogramaciones!S$14-1))+6),11))=0,0,MAX(0,NETWORKDAYS.INTL(MAX(E67,(Reprogramaciones!$T$15+7*(Reprogramaciones!S$14-1))),MIN(F67,Reprogramaciones!S$13),11))/MAX(0,NETWORKDAYS.INTL(MAX(E67,(Reprogramaciones!$T$15+7*(Reprogramaciones!S$14-1))),MIN(F67,(Reprogramaciones!$T$15+7*(Reprogramaciones!S$14-1))+6),11))))))))</f>
        <v/>
      </c>
      <c r="CC67" s="1" t="str">
        <f aca="false">IF(OR(NOT(AND(ISNUMBER(E67),ISNUMBER(F67))),$J$2=""),"",IF(Reprogramaciones!T$13&lt;Reprogramaciones!$T$15,0,IF(Reprogramaciones!T$14&gt;10,MIN(100,SUM($G67:$P67)),MIN(100,SUMPRODUCT((COLUMN($G67:$P67)-COLUMN($G67)+1&lt;Reprogramaciones!T$14)*$G67:$P67)+N(INDEX($G67:$P67,1,Reprogramaciones!T$14))*IF(Reprogramaciones!T$13&gt;=(Reprogramaciones!$T$15+7*(Reprogramaciones!T$14-1))+6,1,IF(MAX(0,NETWORKDAYS.INTL(MAX(E67,(Reprogramaciones!$T$15+7*(Reprogramaciones!T$14-1))),MIN(F67,(Reprogramaciones!$T$15+7*(Reprogramaciones!T$14-1))+6),11))=0,0,MAX(0,NETWORKDAYS.INTL(MAX(E67,(Reprogramaciones!$T$15+7*(Reprogramaciones!T$14-1))),MIN(F67,Reprogramaciones!T$13),11))/MAX(0,NETWORKDAYS.INTL(MAX(E67,(Reprogramaciones!$T$15+7*(Reprogramaciones!T$14-1))),MIN(F67,(Reprogramaciones!$T$15+7*(Reprogramaciones!T$14-1))+6),11))))))))</f>
        <v/>
      </c>
      <c r="CD67" s="1" t="str">
        <f aca="false">IF(OR(NOT(AND(ISNUMBER(E67),ISNUMBER(F67))),$J$2=""),"",IF(Reprogramaciones!U$13&lt;Reprogramaciones!$T$15,0,IF(Reprogramaciones!U$14&gt;10,MIN(100,SUM($G67:$P67)),MIN(100,SUMPRODUCT((COLUMN($G67:$P67)-COLUMN($G67)+1&lt;Reprogramaciones!U$14)*$G67:$P67)+N(INDEX($G67:$P67,1,Reprogramaciones!U$14))*IF(Reprogramaciones!U$13&gt;=(Reprogramaciones!$T$15+7*(Reprogramaciones!U$14-1))+6,1,IF(MAX(0,NETWORKDAYS.INTL(MAX(E67,(Reprogramaciones!$T$15+7*(Reprogramaciones!U$14-1))),MIN(F67,(Reprogramaciones!$T$15+7*(Reprogramaciones!U$14-1))+6),11))=0,0,MAX(0,NETWORKDAYS.INTL(MAX(E67,(Reprogramaciones!$T$15+7*(Reprogramaciones!U$14-1))),MIN(F67,Reprogramaciones!U$13),11))/MAX(0,NETWORKDAYS.INTL(MAX(E67,(Reprogramaciones!$T$15+7*(Reprogramaciones!U$14-1))),MIN(F67,(Reprogramaciones!$T$15+7*(Reprogramaciones!U$14-1))+6),11))))))))</f>
        <v/>
      </c>
      <c r="CE67" s="1" t="str">
        <f aca="false">IF(OR(NOT(AND(ISNUMBER(E67),ISNUMBER(F67))),$J$2=""),"",IF(Reprogramaciones!V$13&lt;Reprogramaciones!$T$15,0,IF(Reprogramaciones!V$14&gt;10,MIN(100,SUM($G67:$P67)),MIN(100,SUMPRODUCT((COLUMN($G67:$P67)-COLUMN($G67)+1&lt;Reprogramaciones!V$14)*$G67:$P67)+N(INDEX($G67:$P67,1,Reprogramaciones!V$14))*IF(Reprogramaciones!V$13&gt;=(Reprogramaciones!$T$15+7*(Reprogramaciones!V$14-1))+6,1,IF(MAX(0,NETWORKDAYS.INTL(MAX(E67,(Reprogramaciones!$T$15+7*(Reprogramaciones!V$14-1))),MIN(F67,(Reprogramaciones!$T$15+7*(Reprogramaciones!V$14-1))+6),11))=0,0,MAX(0,NETWORKDAYS.INTL(MAX(E67,(Reprogramaciones!$T$15+7*(Reprogramaciones!V$14-1))),MIN(F67,Reprogramaciones!V$13),11))/MAX(0,NETWORKDAYS.INTL(MAX(E67,(Reprogramaciones!$T$15+7*(Reprogramaciones!V$14-1))),MIN(F67,(Reprogramaciones!$T$15+7*(Reprogramaciones!V$14-1))+6),11))))))))</f>
        <v/>
      </c>
      <c r="CF67" s="1" t="str">
        <f aca="false">IF(OR(NOT(AND(ISNUMBER(E67),ISNUMBER(F67))),$J$2=""),"",IF(Reprogramaciones!W$13&lt;Reprogramaciones!$T$15,0,IF(Reprogramaciones!W$14&gt;10,MIN(100,SUM($G67:$P67)),MIN(100,SUMPRODUCT((COLUMN($G67:$P67)-COLUMN($G67)+1&lt;Reprogramaciones!W$14)*$G67:$P67)+N(INDEX($G67:$P67,1,Reprogramaciones!W$14))*IF(Reprogramaciones!W$13&gt;=(Reprogramaciones!$T$15+7*(Reprogramaciones!W$14-1))+6,1,IF(MAX(0,NETWORKDAYS.INTL(MAX(E67,(Reprogramaciones!$T$15+7*(Reprogramaciones!W$14-1))),MIN(F67,(Reprogramaciones!$T$15+7*(Reprogramaciones!W$14-1))+6),11))=0,0,MAX(0,NETWORKDAYS.INTL(MAX(E67,(Reprogramaciones!$T$15+7*(Reprogramaciones!W$14-1))),MIN(F67,Reprogramaciones!W$13),11))/MAX(0,NETWORKDAYS.INTL(MAX(E67,(Reprogramaciones!$T$15+7*(Reprogramaciones!W$14-1))),MIN(F67,(Reprogramaciones!$T$15+7*(Reprogramaciones!W$14-1))+6),11))))))))</f>
        <v/>
      </c>
      <c r="CG67" s="1" t="str">
        <f aca="false">IF(OR(NOT(AND(ISNUMBER(E67),ISNUMBER(F67))),$J$2=""),"",IF(Reprogramaciones!X$13&lt;Reprogramaciones!$T$15,0,IF(Reprogramaciones!X$14&gt;10,MIN(100,SUM($G67:$P67)),MIN(100,SUMPRODUCT((COLUMN($G67:$P67)-COLUMN($G67)+1&lt;Reprogramaciones!X$14)*$G67:$P67)+N(INDEX($G67:$P67,1,Reprogramaciones!X$14))*IF(Reprogramaciones!X$13&gt;=(Reprogramaciones!$T$15+7*(Reprogramaciones!X$14-1))+6,1,IF(MAX(0,NETWORKDAYS.INTL(MAX(E67,(Reprogramaciones!$T$15+7*(Reprogramaciones!X$14-1))),MIN(F67,(Reprogramaciones!$T$15+7*(Reprogramaciones!X$14-1))+6),11))=0,0,MAX(0,NETWORKDAYS.INTL(MAX(E67,(Reprogramaciones!$T$15+7*(Reprogramaciones!X$14-1))),MIN(F67,Reprogramaciones!X$13),11))/MAX(0,NETWORKDAYS.INTL(MAX(E67,(Reprogramaciones!$T$15+7*(Reprogramaciones!X$14-1))),MIN(F67,(Reprogramaciones!$T$15+7*(Reprogramaciones!X$14-1))+6),11))))))))</f>
        <v/>
      </c>
      <c r="CH67" s="1" t="str">
        <f aca="false">IF(OR(NOT(AND(ISNUMBER(E67),ISNUMBER(F67))),$J$2=""),"",IF(Reprogramaciones!Y$13&lt;Reprogramaciones!$T$15,0,IF(Reprogramaciones!Y$14&gt;10,MIN(100,SUM($G67:$P67)),MIN(100,SUMPRODUCT((COLUMN($G67:$P67)-COLUMN($G67)+1&lt;Reprogramaciones!Y$14)*$G67:$P67)+N(INDEX($G67:$P67,1,Reprogramaciones!Y$14))*IF(Reprogramaciones!Y$13&gt;=(Reprogramaciones!$T$15+7*(Reprogramaciones!Y$14-1))+6,1,IF(MAX(0,NETWORKDAYS.INTL(MAX(E67,(Reprogramaciones!$T$15+7*(Reprogramaciones!Y$14-1))),MIN(F67,(Reprogramaciones!$T$15+7*(Reprogramaciones!Y$14-1))+6),11))=0,0,MAX(0,NETWORKDAYS.INTL(MAX(E67,(Reprogramaciones!$T$15+7*(Reprogramaciones!Y$14-1))),MIN(F67,Reprogramaciones!Y$13),11))/MAX(0,NETWORKDAYS.INTL(MAX(E67,(Reprogramaciones!$T$15+7*(Reprogramaciones!Y$14-1))),MIN(F67,(Reprogramaciones!$T$15+7*(Reprogramaciones!Y$14-1))+6),11))))))))</f>
        <v/>
      </c>
      <c r="CI67" s="1" t="str">
        <f aca="false">IF(OR(NOT(AND(ISNUMBER(E67),ISNUMBER(F67))),$J$2=""),"",IF(Reprogramaciones!Z$13&lt;Reprogramaciones!$T$15,0,IF(Reprogramaciones!Z$14&gt;10,MIN(100,SUM($G67:$P67)),MIN(100,SUMPRODUCT((COLUMN($G67:$P67)-COLUMN($G67)+1&lt;Reprogramaciones!Z$14)*$G67:$P67)+N(INDEX($G67:$P67,1,Reprogramaciones!Z$14))*IF(Reprogramaciones!Z$13&gt;=(Reprogramaciones!$T$15+7*(Reprogramaciones!Z$14-1))+6,1,IF(MAX(0,NETWORKDAYS.INTL(MAX(E67,(Reprogramaciones!$T$15+7*(Reprogramaciones!Z$14-1))),MIN(F67,(Reprogramaciones!$T$15+7*(Reprogramaciones!Z$14-1))+6),11))=0,0,MAX(0,NETWORKDAYS.INTL(MAX(E67,(Reprogramaciones!$T$15+7*(Reprogramaciones!Z$14-1))),MIN(F67,Reprogramaciones!Z$13),11))/MAX(0,NETWORKDAYS.INTL(MAX(E67,(Reprogramaciones!$T$15+7*(Reprogramaciones!Z$14-1))),MIN(F67,(Reprogramaciones!$T$15+7*(Reprogramaciones!Z$14-1))+6),11))))))))</f>
        <v/>
      </c>
      <c r="CJ67" s="1" t="str">
        <f aca="false">IF(OR(OR(NOT(AND(ISNUMBER(E67),ISNUMBER(F67))),$J$2=""),1&gt;Reprogramaciones!$K$16),"",IF(ROUND(SUM($Q67:Q67),1)&gt;=99.5,100,MIN(100,ROUND(SUM($Q67:Q67),1))))</f>
        <v/>
      </c>
      <c r="CK67" s="1" t="str">
        <f aca="false">IF(OR(OR(NOT(AND(ISNUMBER(E67),ISNUMBER(F67))),$J$2=""),2&gt;Reprogramaciones!$K$16),"",IF(ROUND(SUM($Q67:R67),1)&gt;=99.5,100,MIN(100,ROUND(SUM($Q67:R67),1))))</f>
        <v/>
      </c>
      <c r="CL67" s="1" t="str">
        <f aca="false">IF(OR(OR(NOT(AND(ISNUMBER(E67),ISNUMBER(F67))),$J$2=""),3&gt;Reprogramaciones!$K$16),"",IF(ROUND(SUM($Q67:S67),1)&gt;=99.5,100,MIN(100,ROUND(SUM($Q67:S67),1))))</f>
        <v/>
      </c>
      <c r="CM67" s="1" t="str">
        <f aca="false">IF(OR(OR(NOT(AND(ISNUMBER(E67),ISNUMBER(F67))),$J$2=""),4&gt;Reprogramaciones!$K$16),"",IF(ROUND(SUM($Q67:T67),1)&gt;=99.5,100,MIN(100,ROUND(SUM($Q67:T67),1))))</f>
        <v/>
      </c>
      <c r="CN67" s="1" t="str">
        <f aca="false">IF(OR(OR(NOT(AND(ISNUMBER(E67),ISNUMBER(F67))),$J$2=""),5&gt;Reprogramaciones!$K$16),"",IF(ROUND(SUM($Q67:U67),1)&gt;=99.5,100,MIN(100,ROUND(SUM($Q67:U67),1))))</f>
        <v/>
      </c>
      <c r="CO67" s="1" t="str">
        <f aca="false">IF(OR(OR(NOT(AND(ISNUMBER(E67),ISNUMBER(F67))),$J$2=""),6&gt;Reprogramaciones!$K$16),"",IF(ROUND(SUM($Q67:V67),1)&gt;=99.5,100,MIN(100,ROUND(SUM($Q67:V67),1))))</f>
        <v/>
      </c>
      <c r="CP67" s="1" t="str">
        <f aca="false">IF(OR(OR(NOT(AND(ISNUMBER(E67),ISNUMBER(F67))),$J$2=""),7&gt;Reprogramaciones!$K$16),"",IF(ROUND(SUM($Q67:W67),1)&gt;=99.5,100,MIN(100,ROUND(SUM($Q67:W67),1))))</f>
        <v/>
      </c>
      <c r="CQ67" s="1" t="str">
        <f aca="false">IF(OR(OR(NOT(AND(ISNUMBER(E67),ISNUMBER(F67))),$J$2=""),8&gt;Reprogramaciones!$K$16),"",IF(ROUND(SUM($Q67:X67),1)&gt;=99.5,100,MIN(100,ROUND(SUM($Q67:X67),1))))</f>
        <v/>
      </c>
      <c r="CR67" s="1" t="str">
        <f aca="false">IF(OR(OR(NOT(AND(ISNUMBER(E67),ISNUMBER(F67))),$J$2=""),9&gt;Reprogramaciones!$K$16),"",IF(ROUND(SUM($Q67:Y67),1)&gt;=99.5,100,MIN(100,ROUND(SUM($Q67:Y67),1))))</f>
        <v/>
      </c>
      <c r="CS67" s="1" t="str">
        <f aca="false">IF(OR(OR(NOT(AND(ISNUMBER(E67),ISNUMBER(F67))),$J$2=""),10&gt;Reprogramaciones!$K$16),"",IF(ROUND(SUM($Q67:Z67),1)&gt;=99.5,100,MIN(100,ROUND(SUM($Q67:Z67),1))))</f>
        <v/>
      </c>
      <c r="CT67" s="1" t="str">
        <f aca="false">IF(OR(OR(NOT(AND(ISNUMBER(E67),ISNUMBER(F67))),$J$2=""),11&gt;Reprogramaciones!$K$16),"",IF(ROUND(SUM($Q67:AA67),1)&gt;=99.5,100,MIN(100,ROUND(SUM($Q67:AA67),1))))</f>
        <v/>
      </c>
      <c r="CU67" s="1" t="str">
        <f aca="false">IF(OR(OR(NOT(AND(ISNUMBER(E67),ISNUMBER(F67))),$J$2=""),12&gt;Reprogramaciones!$K$16),"",IF(ROUND(SUM($Q67:AB67),1)&gt;=99.5,100,MIN(100,ROUND(SUM($Q67:AB67),1))))</f>
        <v/>
      </c>
      <c r="CV67" s="1" t="str">
        <f aca="false">IF(OR(OR(NOT(AND(ISNUMBER(E67),ISNUMBER(F67))),$J$2=""),13&gt;Reprogramaciones!$K$16),"",IF(ROUND(SUM($Q67:AC67),1)&gt;=99.5,100,MIN(100,ROUND(SUM($Q67:AC67),1))))</f>
        <v/>
      </c>
      <c r="CW67" s="1" t="str">
        <f aca="false">IF(OR(OR(NOT(AND(ISNUMBER(E67),ISNUMBER(F67))),$J$2=""),14&gt;Reprogramaciones!$K$16),"",IF(ROUND(SUM($Q67:AD67),1)&gt;=99.5,100,MIN(100,ROUND(SUM($Q67:AD67),1))))</f>
        <v/>
      </c>
      <c r="CX67" s="1" t="str">
        <f aca="false">IF(OR(OR(NOT(AND(ISNUMBER(E67),ISNUMBER(F67))),$J$2=""),15&gt;Reprogramaciones!$K$16),"",IF(ROUND(SUM($Q67:AE67),1)&gt;=99.5,100,MIN(100,ROUND(SUM($Q67:AE67),1))))</f>
        <v/>
      </c>
      <c r="CY67" s="1" t="str">
        <f aca="false">IF(OR(OR(NOT(AND(ISNUMBER(E67),ISNUMBER(F67))),$J$2=""),16&gt;Reprogramaciones!$K$16),"",IF(ROUND(SUM($Q67:AF67),1)&gt;=99.5,100,MIN(100,ROUND(SUM($Q67:AF67),1))))</f>
        <v/>
      </c>
      <c r="CZ67" s="1" t="str">
        <f aca="false">IF(D67&lt;&gt;"",D67,IF(B67&lt;&gt;"","Contractual",CZ66))</f>
        <v>Contractual</v>
      </c>
      <c r="DA67" s="1" t="str">
        <f aca="false">IF(OR(NOT(AND(ISNUMBER(E67),ISNUMBER(F67))),$J$2=""),"",IF(Reprogramaciones!$Q$15&lt;Reprogramaciones!$T$15,0,IF(Reprogramaciones!$S$15&gt;10,MIN(100,SUM($G67:$P67)),MIN(100,SUMPRODUCT((COLUMN($G67:$P67)-COLUMN($G67)+1&lt;Reprogramaciones!$S$15)*$G67:$P67)+N(INDEX($G67:$P67,1,Reprogramaciones!$S$15))*IF(Reprogramaciones!$Q$15&gt;=(Reprogramaciones!$T$15+7*(Reprogramaciones!$S$15-1))+6,1,IF(MAX(0,NETWORKDAYS.INTL(MAX(E67,(Reprogramaciones!$T$15+7*(Reprogramaciones!$S$15-1))),MIN(F67,(Reprogramaciones!$T$15+7*(Reprogramaciones!$S$15-1))+6),11))=0,0,MAX(0,NETWORKDAYS.INTL(MAX(E67,(Reprogramaciones!$T$15+7*(Reprogramaciones!$S$15-1))),MIN(F67,Reprogramaciones!$Q$15),11))/MAX(0,NETWORKDAYS.INTL(MAX(E67,(Reprogramaciones!$T$15+7*(Reprogramaciones!$S$15-1))),MIN(F67,(Reprogramaciones!$T$15+7*(Reprogramaciones!$S$15-1))+6),11))))))))</f>
        <v/>
      </c>
    </row>
    <row r="68" customFormat="false" ht="15" hidden="false" customHeight="false" outlineLevel="0" collapsed="false">
      <c r="A68" s="32"/>
      <c r="B68" s="33"/>
      <c r="C68" s="33"/>
      <c r="D68" s="34"/>
      <c r="E68" s="35"/>
      <c r="F68" s="35"/>
      <c r="G68" s="36" t="str">
        <f aca="false">IF(OR(NOT(AND(ISNUMBER(E68),ISNUMBER(F68))),$J$2=""),"",IF(Reprogramaciones!K$9&lt;E68,0,IF(NETWORKDAYS.INTL(E68,F68,11)=0,IF(Reprogramaciones!K$9&gt;=F68,100,0),ROUND(NETWORKDAYS.INTL(E68,MIN(F68,Reprogramaciones!K$9),11)/NETWORKDAYS.INTL(E68,F68,11)*100,1)))-0)</f>
        <v/>
      </c>
      <c r="H68" s="36" t="str">
        <f aca="false">IF(OR(NOT(AND(ISNUMBER(E68),ISNUMBER(F68))),$J$2=""),"",IF(Reprogramaciones!L$9&lt;E68,0,IF(NETWORKDAYS.INTL(E68,F68,11)=0,IF(Reprogramaciones!L$9&gt;=F68,100,0),ROUND(NETWORKDAYS.INTL(E68,MIN(F68,Reprogramaciones!L$9),11)/NETWORKDAYS.INTL(E68,F68,11)*100,1)))-IF(Reprogramaciones!K$9&lt;E68,0,IF(NETWORKDAYS.INTL(E68,F68,11)=0,IF(Reprogramaciones!K$9&gt;=F68,100,0),ROUND(NETWORKDAYS.INTL(E68,MIN(F68,Reprogramaciones!K$9),11)/NETWORKDAYS.INTL(E68,F68,11)*100,1))))</f>
        <v/>
      </c>
      <c r="I68" s="36" t="str">
        <f aca="false">IF(OR(NOT(AND(ISNUMBER(E68),ISNUMBER(F68))),$J$2=""),"",IF(Reprogramaciones!M$9&lt;E68,0,IF(NETWORKDAYS.INTL(E68,F68,11)=0,IF(Reprogramaciones!M$9&gt;=F68,100,0),ROUND(NETWORKDAYS.INTL(E68,MIN(F68,Reprogramaciones!M$9),11)/NETWORKDAYS.INTL(E68,F68,11)*100,1)))-IF(Reprogramaciones!L$9&lt;E68,0,IF(NETWORKDAYS.INTL(E68,F68,11)=0,IF(Reprogramaciones!L$9&gt;=F68,100,0),ROUND(NETWORKDAYS.INTL(E68,MIN(F68,Reprogramaciones!L$9),11)/NETWORKDAYS.INTL(E68,F68,11)*100,1))))</f>
        <v/>
      </c>
      <c r="J68" s="36" t="str">
        <f aca="false">IF(OR(NOT(AND(ISNUMBER(E68),ISNUMBER(F68))),$J$2=""),"",IF(Reprogramaciones!N$9&lt;E68,0,IF(NETWORKDAYS.INTL(E68,F68,11)=0,IF(Reprogramaciones!N$9&gt;=F68,100,0),ROUND(NETWORKDAYS.INTL(E68,MIN(F68,Reprogramaciones!N$9),11)/NETWORKDAYS.INTL(E68,F68,11)*100,1)))-IF(Reprogramaciones!M$9&lt;E68,0,IF(NETWORKDAYS.INTL(E68,F68,11)=0,IF(Reprogramaciones!M$9&gt;=F68,100,0),ROUND(NETWORKDAYS.INTL(E68,MIN(F68,Reprogramaciones!M$9),11)/NETWORKDAYS.INTL(E68,F68,11)*100,1))))</f>
        <v/>
      </c>
      <c r="K68" s="36" t="str">
        <f aca="false">IF(OR(NOT(AND(ISNUMBER(E68),ISNUMBER(F68))),$J$2=""),"",IF(Reprogramaciones!O$9&lt;E68,0,IF(NETWORKDAYS.INTL(E68,F68,11)=0,IF(Reprogramaciones!O$9&gt;=F68,100,0),ROUND(NETWORKDAYS.INTL(E68,MIN(F68,Reprogramaciones!O$9),11)/NETWORKDAYS.INTL(E68,F68,11)*100,1)))-IF(Reprogramaciones!N$9&lt;E68,0,IF(NETWORKDAYS.INTL(E68,F68,11)=0,IF(Reprogramaciones!N$9&gt;=F68,100,0),ROUND(NETWORKDAYS.INTL(E68,MIN(F68,Reprogramaciones!N$9),11)/NETWORKDAYS.INTL(E68,F68,11)*100,1))))</f>
        <v/>
      </c>
      <c r="L68" s="36" t="str">
        <f aca="false">IF(OR(NOT(AND(ISNUMBER(E68),ISNUMBER(F68))),$J$2=""),"",IF(Reprogramaciones!P$9&lt;E68,0,IF(NETWORKDAYS.INTL(E68,F68,11)=0,IF(Reprogramaciones!P$9&gt;=F68,100,0),ROUND(NETWORKDAYS.INTL(E68,MIN(F68,Reprogramaciones!P$9),11)/NETWORKDAYS.INTL(E68,F68,11)*100,1)))-IF(Reprogramaciones!O$9&lt;E68,0,IF(NETWORKDAYS.INTL(E68,F68,11)=0,IF(Reprogramaciones!O$9&gt;=F68,100,0),ROUND(NETWORKDAYS.INTL(E68,MIN(F68,Reprogramaciones!O$9),11)/NETWORKDAYS.INTL(E68,F68,11)*100,1))))</f>
        <v/>
      </c>
      <c r="M68" s="36" t="str">
        <f aca="false">IF(OR(NOT(AND(ISNUMBER(E68),ISNUMBER(F68))),$J$2=""),"",IF(Reprogramaciones!Q$9&lt;E68,0,IF(NETWORKDAYS.INTL(E68,F68,11)=0,IF(Reprogramaciones!Q$9&gt;=F68,100,0),ROUND(NETWORKDAYS.INTL(E68,MIN(F68,Reprogramaciones!Q$9),11)/NETWORKDAYS.INTL(E68,F68,11)*100,1)))-IF(Reprogramaciones!P$9&lt;E68,0,IF(NETWORKDAYS.INTL(E68,F68,11)=0,IF(Reprogramaciones!P$9&gt;=F68,100,0),ROUND(NETWORKDAYS.INTL(E68,MIN(F68,Reprogramaciones!P$9),11)/NETWORKDAYS.INTL(E68,F68,11)*100,1))))</f>
        <v/>
      </c>
      <c r="N68" s="36" t="str">
        <f aca="false">IF(OR(NOT(AND(ISNUMBER(E68),ISNUMBER(F68))),$J$2=""),"",IF(Reprogramaciones!R$9&lt;E68,0,IF(NETWORKDAYS.INTL(E68,F68,11)=0,IF(Reprogramaciones!R$9&gt;=F68,100,0),ROUND(NETWORKDAYS.INTL(E68,MIN(F68,Reprogramaciones!R$9),11)/NETWORKDAYS.INTL(E68,F68,11)*100,1)))-IF(Reprogramaciones!Q$9&lt;E68,0,IF(NETWORKDAYS.INTL(E68,F68,11)=0,IF(Reprogramaciones!Q$9&gt;=F68,100,0),ROUND(NETWORKDAYS.INTL(E68,MIN(F68,Reprogramaciones!Q$9),11)/NETWORKDAYS.INTL(E68,F68,11)*100,1))))</f>
        <v/>
      </c>
      <c r="O68" s="36" t="str">
        <f aca="false">IF(OR(NOT(AND(ISNUMBER(E68),ISNUMBER(F68))),$J$2=""),"",IF(Reprogramaciones!S$9&lt;E68,0,IF(NETWORKDAYS.INTL(E68,F68,11)=0,IF(Reprogramaciones!S$9&gt;=F68,100,0),ROUND(NETWORKDAYS.INTL(E68,MIN(F68,Reprogramaciones!S$9),11)/NETWORKDAYS.INTL(E68,F68,11)*100,1)))-IF(Reprogramaciones!R$9&lt;E68,0,IF(NETWORKDAYS.INTL(E68,F68,11)=0,IF(Reprogramaciones!R$9&gt;=F68,100,0),ROUND(NETWORKDAYS.INTL(E68,MIN(F68,Reprogramaciones!R$9),11)/NETWORKDAYS.INTL(E68,F68,11)*100,1))))</f>
        <v/>
      </c>
      <c r="P68" s="36" t="str">
        <f aca="false">IF(OR(NOT(AND(ISNUMBER(E68),ISNUMBER(F68))),$J$2=""),"",IF(Reprogramaciones!T$9&lt;E68,0,IF(NETWORKDAYS.INTL(E68,F68,11)=0,IF(Reprogramaciones!T$9&gt;=F68,100,0),ROUND(NETWORKDAYS.INTL(E68,MIN(F68,Reprogramaciones!T$9),11)/NETWORKDAYS.INTL(E68,F68,11)*100,1)))-IF(Reprogramaciones!S$9&lt;E68,0,IF(NETWORKDAYS.INTL(E68,F68,11)=0,IF(Reprogramaciones!S$9&gt;=F68,100,0),ROUND(NETWORKDAYS.INTL(E68,MIN(F68,Reprogramaciones!S$9),11)/NETWORKDAYS.INTL(E68,F68,11)*100,1))))</f>
        <v/>
      </c>
      <c r="Q68" s="37"/>
      <c r="R68" s="37"/>
      <c r="S68" s="37"/>
      <c r="T68" s="37"/>
      <c r="U68" s="37"/>
      <c r="V68" s="37"/>
      <c r="W68" s="37"/>
      <c r="X68" s="37"/>
      <c r="Y68" s="37"/>
      <c r="Z68" s="37"/>
      <c r="AA68" s="37"/>
      <c r="AB68" s="37"/>
      <c r="AC68" s="37"/>
      <c r="AD68" s="37"/>
      <c r="AE68" s="37"/>
      <c r="AF68" s="37"/>
      <c r="AG68" s="38" t="str">
        <f aca="false">IF(AND(ISNUMBER(E68),ISNUMBER(F68)),NETWORKDAYS.INTL(E68,F68,11),"")</f>
        <v/>
      </c>
      <c r="AH68" s="38" t="str">
        <f aca="false">IF(OR(NOT(AND(ISNUMBER(E68),ISNUMBER(F68))),$J$2=""),"",IF(Reprogramaciones!$P$15&lt;Reprogramaciones!$T$15,0,IF(Reprogramaciones!$R$15&gt;10,MIN(100,SUM($G68:$P68)),MIN(100,SUMPRODUCT((COLUMN($G68:$P68)-COLUMN($G68)+1&lt;Reprogramaciones!$R$15)*$G68:$P68)+N(INDEX($G68:$P68,1,Reprogramaciones!$R$15))*IF(Reprogramaciones!$P$15&gt;=(Reprogramaciones!$T$15+7*(Reprogramaciones!$R$15-1))+6,1,IF(MAX(0,NETWORKDAYS.INTL(MAX(E68,(Reprogramaciones!$T$15+7*(Reprogramaciones!$R$15-1))),MIN(F68,(Reprogramaciones!$T$15+7*(Reprogramaciones!$R$15-1))+6),11))=0,0,MAX(0,NETWORKDAYS.INTL(MAX(E68,(Reprogramaciones!$T$15+7*(Reprogramaciones!$R$15-1))),MIN(F68,Reprogramaciones!$P$15),11))/MAX(0,NETWORKDAYS.INTL(MAX(E68,(Reprogramaciones!$T$15+7*(Reprogramaciones!$R$15-1))),MIN(F68,(Reprogramaciones!$T$15+7*(Reprogramaciones!$R$15-1))+6),11))))))))</f>
        <v/>
      </c>
      <c r="AI68" s="38" t="str">
        <f aca="false">IF(COUNT($Q68:$AF68)=0,"",IF(ROUND(SUM($Q68:$AF68),1)&gt;=99.5,100,MIN(100,ROUND(SUM($Q68:$AF68),1))))</f>
        <v/>
      </c>
      <c r="AJ68" s="38" t="str">
        <f aca="false">IF(OR(AH68="",AI68=""),"",AI68-AH68)</f>
        <v/>
      </c>
      <c r="AK68" s="39" t="str">
        <f aca="true">IF(AH68="","",IF(OR(Ficha!$C$10="Suspendida",Ficha!$C$10="Cancelada"),Ficha!$C$10,IF(AND(AI68&lt;&gt;"",N(AI68)&gt;=100),"Completada",IF(AND(E68&gt;TODAY(),N(AI68)=0),"Por iniciar",IF(N(AI68)+0.5&lt;AH68,"Retrasada",IF(N(AI68)+0.5&lt;DA68,IF(Reprogramaciones!$K$15&gt;0,"Al día · Sem "&amp;Reprogramaciones!$K$15&amp;" en curso","Al día · en curso"),"A tiempo"))))))</f>
        <v/>
      </c>
      <c r="AL68" s="39" t="str">
        <f aca="true">IF(AND(A68="",AND(B68="",C68="",E68="",F68="",COUNT(Q68:AF68)=0)),"",IF(AND(B68="",C68="",E68="",F68="",COUNT(Q68:AF68)=0),"Falta la partida o subpartida",IF(AND(A68&lt;&gt;"",COUNTIF($A$6:$A$305,A68)&gt;1),"Ítem repetido",IF(AND(C68="",E68="",F68="",COUNT(Q68:AF68)=0),"Título de partida",IF(OR(E68="",F68=""),"Faltan fechas",IF(OR(ISTEXT(E68),ISTEXT(F68)),"Fecha escrita como texto: usa dd/mm/aaaa",IF(F68&lt;E68,"Fin antes del inicio",IF(IF($J$2="",FALSE(),OR(E68&lt;$J$2,F68&gt;Reprogramaciones!$T$15+69)),"Fuera de las 10 semanas",IF(ABS(SUM(G68:P68)-100)&gt;0.5,"La meta no suma 100%",IF(ROUND(SUM(Q68:AF68),1)&gt;100.5,"El avance pasa de 100%",IF(MIN(Q68:AF68)&lt;0,"Avance negativo",IF(COUNTA(Q68:AF68)&gt;COUNT(Q68:AF68),"Avance escrito como texto",IF(SUMPRODUCT((Q68:AF68&gt;0)*(Q68:AF68&lt;1))&gt;0,"Avance menor a 1: escribe 50, no 50%",IF(SUMPRODUCT(ISNUMBER(Q68:AF68)*(Reprogramaciones!$K$8:$Z$8&gt;TODAY()))&gt;0,"Avance en semana que aún no llega",IF(AND(N(Reprogramaciones!$E$21)&gt;0,F68&gt;Reprogramaciones!$E$21),"Pasa el fin de la obra: registra una reprogramación",IF(AND(N(Reprogramaciones!$E$21)&gt;0,SUMPRODUCT(ISNUMBER(Q68:AF68)*(Reprogramaciones!$K$8:$Z$8&gt;Reprogramaciones!$E$21))&gt;0),"Avance después del fin de la obra: registra una reprogramación por atraso","OK"))))))))))))))))</f>
        <v/>
      </c>
      <c r="AM68" s="40" t="str">
        <f aca="false">IF(OR(OR(NOT(AND(ISNUMBER(E68),ISNUMBER(F68))),$J$2=""),1&gt;MAX(1,Reprogramaciones!$U$15)),"",IF(Reprogramaciones!K$12&gt;=7,"",IF(OR(BT68-N(0)&gt;0.05,N(Q68)&gt;0),ROUNDDOWN(ROUND(BT68,6),0)&amp;"%"&amp;IF(CJ68="",""," / "&amp;CJ68&amp;"%"),IF(AND(N(0)&gt;=99.95,CJ68&lt;&gt;"",N(CJ68)&lt;100),"Pend. "&amp;CJ68&amp;"%",""))))</f>
        <v/>
      </c>
      <c r="AN68" s="40" t="str">
        <f aca="false">IF(OR(OR(NOT(AND(ISNUMBER(E68),ISNUMBER(F68))),$J$2=""),2&gt;MAX(1,Reprogramaciones!$U$15)),"",IF(Reprogramaciones!L$12&gt;=7,"",IF(OR(BU68-N(BT68)&gt;0.05,N(R68)&gt;0),ROUNDDOWN(ROUND(BU68,6),0)&amp;"%"&amp;IF(CK68="",""," / "&amp;CK68&amp;"%"),IF(AND(N(BT68)&gt;=99.95,CK68&lt;&gt;"",N(CK68)&lt;100),"Pend. "&amp;CK68&amp;"%",""))))</f>
        <v/>
      </c>
      <c r="AO68" s="40" t="str">
        <f aca="false">IF(OR(OR(NOT(AND(ISNUMBER(E68),ISNUMBER(F68))),$J$2=""),3&gt;MAX(1,Reprogramaciones!$U$15)),"",IF(Reprogramaciones!M$12&gt;=7,"",IF(OR(BV68-N(BU68)&gt;0.05,N(S68)&gt;0),ROUNDDOWN(ROUND(BV68,6),0)&amp;"%"&amp;IF(CL68="",""," / "&amp;CL68&amp;"%"),IF(AND(N(BU68)&gt;=99.95,CL68&lt;&gt;"",N(CL68)&lt;100),"Pend. "&amp;CL68&amp;"%",""))))</f>
        <v/>
      </c>
      <c r="AP68" s="40" t="str">
        <f aca="false">IF(OR(OR(NOT(AND(ISNUMBER(E68),ISNUMBER(F68))),$J$2=""),4&gt;MAX(1,Reprogramaciones!$U$15)),"",IF(Reprogramaciones!N$12&gt;=7,"",IF(OR(BW68-N(BV68)&gt;0.05,N(T68)&gt;0),ROUNDDOWN(ROUND(BW68,6),0)&amp;"%"&amp;IF(CM68="",""," / "&amp;CM68&amp;"%"),IF(AND(N(BV68)&gt;=99.95,CM68&lt;&gt;"",N(CM68)&lt;100),"Pend. "&amp;CM68&amp;"%",""))))</f>
        <v/>
      </c>
      <c r="AQ68" s="40" t="str">
        <f aca="false">IF(OR(OR(NOT(AND(ISNUMBER(E68),ISNUMBER(F68))),$J$2=""),5&gt;MAX(1,Reprogramaciones!$U$15)),"",IF(Reprogramaciones!O$12&gt;=7,"",IF(OR(BX68-N(BW68)&gt;0.05,N(U68)&gt;0),ROUNDDOWN(ROUND(BX68,6),0)&amp;"%"&amp;IF(CN68="",""," / "&amp;CN68&amp;"%"),IF(AND(N(BW68)&gt;=99.95,CN68&lt;&gt;"",N(CN68)&lt;100),"Pend. "&amp;CN68&amp;"%",""))))</f>
        <v/>
      </c>
      <c r="AR68" s="40" t="str">
        <f aca="false">IF(OR(OR(NOT(AND(ISNUMBER(E68),ISNUMBER(F68))),$J$2=""),6&gt;MAX(1,Reprogramaciones!$U$15)),"",IF(Reprogramaciones!P$12&gt;=7,"",IF(OR(BY68-N(BX68)&gt;0.05,N(V68)&gt;0),ROUNDDOWN(ROUND(BY68,6),0)&amp;"%"&amp;IF(CO68="",""," / "&amp;CO68&amp;"%"),IF(AND(N(BX68)&gt;=99.95,CO68&lt;&gt;"",N(CO68)&lt;100),"Pend. "&amp;CO68&amp;"%",""))))</f>
        <v/>
      </c>
      <c r="AS68" s="40" t="str">
        <f aca="false">IF(OR(OR(NOT(AND(ISNUMBER(E68),ISNUMBER(F68))),$J$2=""),7&gt;MAX(1,Reprogramaciones!$U$15)),"",IF(Reprogramaciones!Q$12&gt;=7,"",IF(OR(BZ68-N(BY68)&gt;0.05,N(W68)&gt;0),ROUNDDOWN(ROUND(BZ68,6),0)&amp;"%"&amp;IF(CP68="",""," / "&amp;CP68&amp;"%"),IF(AND(N(BY68)&gt;=99.95,CP68&lt;&gt;"",N(CP68)&lt;100),"Pend. "&amp;CP68&amp;"%",""))))</f>
        <v/>
      </c>
      <c r="AT68" s="40" t="str">
        <f aca="false">IF(OR(OR(NOT(AND(ISNUMBER(E68),ISNUMBER(F68))),$J$2=""),8&gt;MAX(1,Reprogramaciones!$U$15)),"",IF(Reprogramaciones!R$12&gt;=7,"",IF(OR(CA68-N(BZ68)&gt;0.05,N(X68)&gt;0),ROUNDDOWN(ROUND(CA68,6),0)&amp;"%"&amp;IF(CQ68="",""," / "&amp;CQ68&amp;"%"),IF(AND(N(BZ68)&gt;=99.95,CQ68&lt;&gt;"",N(CQ68)&lt;100),"Pend. "&amp;CQ68&amp;"%",""))))</f>
        <v/>
      </c>
      <c r="AU68" s="40" t="str">
        <f aca="false">IF(OR(OR(NOT(AND(ISNUMBER(E68),ISNUMBER(F68))),$J$2=""),9&gt;MAX(1,Reprogramaciones!$U$15)),"",IF(Reprogramaciones!S$12&gt;=7,"",IF(OR(CB68-N(CA68)&gt;0.05,N(Y68)&gt;0),ROUNDDOWN(ROUND(CB68,6),0)&amp;"%"&amp;IF(CR68="",""," / "&amp;CR68&amp;"%"),IF(AND(N(CA68)&gt;=99.95,CR68&lt;&gt;"",N(CR68)&lt;100),"Pend. "&amp;CR68&amp;"%",""))))</f>
        <v/>
      </c>
      <c r="AV68" s="40" t="str">
        <f aca="false">IF(OR(OR(NOT(AND(ISNUMBER(E68),ISNUMBER(F68))),$J$2=""),10&gt;MAX(1,Reprogramaciones!$U$15)),"",IF(Reprogramaciones!T$12&gt;=7,"",IF(OR(CC68-N(CB68)&gt;0.05,N(Z68)&gt;0),ROUNDDOWN(ROUND(CC68,6),0)&amp;"%"&amp;IF(CS68="",""," / "&amp;CS68&amp;"%"),IF(AND(N(CB68)&gt;=99.95,CS68&lt;&gt;"",N(CS68)&lt;100),"Pend. "&amp;CS68&amp;"%",""))))</f>
        <v/>
      </c>
      <c r="AW68" s="40" t="str">
        <f aca="false">IF(OR(OR(NOT(AND(ISNUMBER(E68),ISNUMBER(F68))),$J$2=""),11&gt;MAX(1,Reprogramaciones!$U$15)),"",IF(Reprogramaciones!U$12&gt;=7,"",IF(OR(CD68-N(CC68)&gt;0.05,N(AA68)&gt;0),ROUNDDOWN(ROUND(CD68,6),0)&amp;"%"&amp;IF(CT68="",""," / "&amp;CT68&amp;"%"),IF(AND(N(CC68)&gt;=99.95,CT68&lt;&gt;"",N(CT68)&lt;100),"Pend. "&amp;CT68&amp;"%",""))))</f>
        <v/>
      </c>
      <c r="AX68" s="40" t="str">
        <f aca="false">IF(OR(OR(NOT(AND(ISNUMBER(E68),ISNUMBER(F68))),$J$2=""),12&gt;MAX(1,Reprogramaciones!$U$15)),"",IF(Reprogramaciones!V$12&gt;=7,"",IF(OR(CE68-N(CD68)&gt;0.05,N(AB68)&gt;0),ROUNDDOWN(ROUND(CE68,6),0)&amp;"%"&amp;IF(CU68="",""," / "&amp;CU68&amp;"%"),IF(AND(N(CD68)&gt;=99.95,CU68&lt;&gt;"",N(CU68)&lt;100),"Pend. "&amp;CU68&amp;"%",""))))</f>
        <v/>
      </c>
      <c r="AY68" s="40" t="str">
        <f aca="false">IF(OR(OR(NOT(AND(ISNUMBER(E68),ISNUMBER(F68))),$J$2=""),13&gt;MAX(1,Reprogramaciones!$U$15)),"",IF(Reprogramaciones!W$12&gt;=7,"",IF(OR(CF68-N(CE68)&gt;0.05,N(AC68)&gt;0),ROUNDDOWN(ROUND(CF68,6),0)&amp;"%"&amp;IF(CV68="",""," / "&amp;CV68&amp;"%"),IF(AND(N(CE68)&gt;=99.95,CV68&lt;&gt;"",N(CV68)&lt;100),"Pend. "&amp;CV68&amp;"%",""))))</f>
        <v/>
      </c>
      <c r="AZ68" s="40" t="str">
        <f aca="false">IF(OR(OR(NOT(AND(ISNUMBER(E68),ISNUMBER(F68))),$J$2=""),14&gt;MAX(1,Reprogramaciones!$U$15)),"",IF(Reprogramaciones!X$12&gt;=7,"",IF(OR(CG68-N(CF68)&gt;0.05,N(AD68)&gt;0),ROUNDDOWN(ROUND(CG68,6),0)&amp;"%"&amp;IF(CW68="",""," / "&amp;CW68&amp;"%"),IF(AND(N(CF68)&gt;=99.95,CW68&lt;&gt;"",N(CW68)&lt;100),"Pend. "&amp;CW68&amp;"%",""))))</f>
        <v/>
      </c>
      <c r="BA68" s="40" t="str">
        <f aca="false">IF(OR(OR(NOT(AND(ISNUMBER(E68),ISNUMBER(F68))),$J$2=""),15&gt;MAX(1,Reprogramaciones!$U$15)),"",IF(Reprogramaciones!Y$12&gt;=7,"",IF(OR(CH68-N(CG68)&gt;0.05,N(AE68)&gt;0),ROUNDDOWN(ROUND(CH68,6),0)&amp;"%"&amp;IF(CX68="",""," / "&amp;CX68&amp;"%"),IF(AND(N(CG68)&gt;=99.95,CX68&lt;&gt;"",N(CX68)&lt;100),"Pend. "&amp;CX68&amp;"%",""))))</f>
        <v/>
      </c>
      <c r="BB68" s="40" t="str">
        <f aca="false">IF(OR(OR(NOT(AND(ISNUMBER(E68),ISNUMBER(F68))),$J$2=""),16&gt;MAX(1,Reprogramaciones!$U$15)),"",IF(Reprogramaciones!Z$12&gt;=7,"",IF(OR(CI68-N(CH68)&gt;0.05,N(AF68)&gt;0),ROUNDDOWN(ROUND(CI68,6),0)&amp;"%"&amp;IF(CY68="",""," / "&amp;CY68&amp;"%"),IF(AND(N(CH68)&gt;=99.95,CY68&lt;&gt;"",N(CY68)&lt;100),"Pend. "&amp;CY68&amp;"%",""))))</f>
        <v/>
      </c>
      <c r="BC68" s="31" t="n">
        <f aca="false">IF(AND(ISNUMBER(E68),ISNUMBER(F68)),MAX(1,NETWORKDAYS.INTL(E68,F68,11)),0)</f>
        <v>0</v>
      </c>
      <c r="BD68" s="1" t="str">
        <f aca="false">IF(OR(NOT(AND(ISNUMBER(E68),ISNUMBER(F68))),$J$2=""),"",MIN(100,ROUND(SUM($G68:G68),1)))</f>
        <v/>
      </c>
      <c r="BE68" s="1" t="str">
        <f aca="false">IF(OR(NOT(AND(ISNUMBER(E68),ISNUMBER(F68))),$J$2=""),"",MIN(100,ROUND(SUM($G68:H68),1)))</f>
        <v/>
      </c>
      <c r="BF68" s="1" t="str">
        <f aca="false">IF(OR(NOT(AND(ISNUMBER(E68),ISNUMBER(F68))),$J$2=""),"",MIN(100,ROUND(SUM($G68:I68),1)))</f>
        <v/>
      </c>
      <c r="BG68" s="1" t="str">
        <f aca="false">IF(OR(NOT(AND(ISNUMBER(E68),ISNUMBER(F68))),$J$2=""),"",MIN(100,ROUND(SUM($G68:J68),1)))</f>
        <v/>
      </c>
      <c r="BH68" s="1" t="str">
        <f aca="false">IF(OR(NOT(AND(ISNUMBER(E68),ISNUMBER(F68))),$J$2=""),"",MIN(100,ROUND(SUM($G68:K68),1)))</f>
        <v/>
      </c>
      <c r="BI68" s="1" t="str">
        <f aca="false">IF(OR(NOT(AND(ISNUMBER(E68),ISNUMBER(F68))),$J$2=""),"",MIN(100,ROUND(SUM($G68:L68),1)))</f>
        <v/>
      </c>
      <c r="BJ68" s="1" t="str">
        <f aca="false">IF(OR(NOT(AND(ISNUMBER(E68),ISNUMBER(F68))),$J$2=""),"",MIN(100,ROUND(SUM($G68:M68),1)))</f>
        <v/>
      </c>
      <c r="BK68" s="1" t="str">
        <f aca="false">IF(OR(NOT(AND(ISNUMBER(E68),ISNUMBER(F68))),$J$2=""),"",MIN(100,ROUND(SUM($G68:N68),1)))</f>
        <v/>
      </c>
      <c r="BL68" s="1" t="str">
        <f aca="false">IF(OR(NOT(AND(ISNUMBER(E68),ISNUMBER(F68))),$J$2=""),"",MIN(100,ROUND(SUM($G68:O68),1)))</f>
        <v/>
      </c>
      <c r="BM68" s="1" t="str">
        <f aca="false">IF(OR(NOT(AND(ISNUMBER(E68),ISNUMBER(F68))),$J$2=""),"",MIN(100,ROUND(SUM($G68:P68),1)))</f>
        <v/>
      </c>
      <c r="BN68" s="1" t="str">
        <f aca="false">IF(OR(NOT(AND(ISNUMBER(E68),ISNUMBER(F68))),$J$2=""),"",MIN(100,ROUND(SUM($G68:P68),1)))</f>
        <v/>
      </c>
      <c r="BO68" s="1" t="str">
        <f aca="false">IF(OR(NOT(AND(ISNUMBER(E68),ISNUMBER(F68))),$J$2=""),"",MIN(100,ROUND(SUM($G68:P68),1)))</f>
        <v/>
      </c>
      <c r="BP68" s="1" t="str">
        <f aca="false">IF(OR(NOT(AND(ISNUMBER(E68),ISNUMBER(F68))),$J$2=""),"",MIN(100,ROUND(SUM($G68:P68),1)))</f>
        <v/>
      </c>
      <c r="BQ68" s="1" t="str">
        <f aca="false">IF(OR(NOT(AND(ISNUMBER(E68),ISNUMBER(F68))),$J$2=""),"",MIN(100,ROUND(SUM($G68:P68),1)))</f>
        <v/>
      </c>
      <c r="BR68" s="1" t="str">
        <f aca="false">IF(OR(NOT(AND(ISNUMBER(E68),ISNUMBER(F68))),$J$2=""),"",MIN(100,ROUND(SUM($G68:P68),1)))</f>
        <v/>
      </c>
      <c r="BS68" s="1" t="str">
        <f aca="false">IF(OR(NOT(AND(ISNUMBER(E68),ISNUMBER(F68))),$J$2=""),"",MIN(100,ROUND(SUM($G68:P68),1)))</f>
        <v/>
      </c>
      <c r="BT68" s="1" t="str">
        <f aca="false">IF(OR(NOT(AND(ISNUMBER(E68),ISNUMBER(F68))),$J$2=""),"",IF(Reprogramaciones!K$13&lt;Reprogramaciones!$T$15,0,IF(Reprogramaciones!K$14&gt;10,MIN(100,SUM($G68:$P68)),MIN(100,SUMPRODUCT((COLUMN($G68:$P68)-COLUMN($G68)+1&lt;Reprogramaciones!K$14)*$G68:$P68)+N(INDEX($G68:$P68,1,Reprogramaciones!K$14))*IF(Reprogramaciones!K$13&gt;=(Reprogramaciones!$T$15+7*(Reprogramaciones!K$14-1))+6,1,IF(MAX(0,NETWORKDAYS.INTL(MAX(E68,(Reprogramaciones!$T$15+7*(Reprogramaciones!K$14-1))),MIN(F68,(Reprogramaciones!$T$15+7*(Reprogramaciones!K$14-1))+6),11))=0,0,MAX(0,NETWORKDAYS.INTL(MAX(E68,(Reprogramaciones!$T$15+7*(Reprogramaciones!K$14-1))),MIN(F68,Reprogramaciones!K$13),11))/MAX(0,NETWORKDAYS.INTL(MAX(E68,(Reprogramaciones!$T$15+7*(Reprogramaciones!K$14-1))),MIN(F68,(Reprogramaciones!$T$15+7*(Reprogramaciones!K$14-1))+6),11))))))))</f>
        <v/>
      </c>
      <c r="BU68" s="1" t="str">
        <f aca="false">IF(OR(NOT(AND(ISNUMBER(E68),ISNUMBER(F68))),$J$2=""),"",IF(Reprogramaciones!L$13&lt;Reprogramaciones!$T$15,0,IF(Reprogramaciones!L$14&gt;10,MIN(100,SUM($G68:$P68)),MIN(100,SUMPRODUCT((COLUMN($G68:$P68)-COLUMN($G68)+1&lt;Reprogramaciones!L$14)*$G68:$P68)+N(INDEX($G68:$P68,1,Reprogramaciones!L$14))*IF(Reprogramaciones!L$13&gt;=(Reprogramaciones!$T$15+7*(Reprogramaciones!L$14-1))+6,1,IF(MAX(0,NETWORKDAYS.INTL(MAX(E68,(Reprogramaciones!$T$15+7*(Reprogramaciones!L$14-1))),MIN(F68,(Reprogramaciones!$T$15+7*(Reprogramaciones!L$14-1))+6),11))=0,0,MAX(0,NETWORKDAYS.INTL(MAX(E68,(Reprogramaciones!$T$15+7*(Reprogramaciones!L$14-1))),MIN(F68,Reprogramaciones!L$13),11))/MAX(0,NETWORKDAYS.INTL(MAX(E68,(Reprogramaciones!$T$15+7*(Reprogramaciones!L$14-1))),MIN(F68,(Reprogramaciones!$T$15+7*(Reprogramaciones!L$14-1))+6),11))))))))</f>
        <v/>
      </c>
      <c r="BV68" s="1" t="str">
        <f aca="false">IF(OR(NOT(AND(ISNUMBER(E68),ISNUMBER(F68))),$J$2=""),"",IF(Reprogramaciones!M$13&lt;Reprogramaciones!$T$15,0,IF(Reprogramaciones!M$14&gt;10,MIN(100,SUM($G68:$P68)),MIN(100,SUMPRODUCT((COLUMN($G68:$P68)-COLUMN($G68)+1&lt;Reprogramaciones!M$14)*$G68:$P68)+N(INDEX($G68:$P68,1,Reprogramaciones!M$14))*IF(Reprogramaciones!M$13&gt;=(Reprogramaciones!$T$15+7*(Reprogramaciones!M$14-1))+6,1,IF(MAX(0,NETWORKDAYS.INTL(MAX(E68,(Reprogramaciones!$T$15+7*(Reprogramaciones!M$14-1))),MIN(F68,(Reprogramaciones!$T$15+7*(Reprogramaciones!M$14-1))+6),11))=0,0,MAX(0,NETWORKDAYS.INTL(MAX(E68,(Reprogramaciones!$T$15+7*(Reprogramaciones!M$14-1))),MIN(F68,Reprogramaciones!M$13),11))/MAX(0,NETWORKDAYS.INTL(MAX(E68,(Reprogramaciones!$T$15+7*(Reprogramaciones!M$14-1))),MIN(F68,(Reprogramaciones!$T$15+7*(Reprogramaciones!M$14-1))+6),11))))))))</f>
        <v/>
      </c>
      <c r="BW68" s="1" t="str">
        <f aca="false">IF(OR(NOT(AND(ISNUMBER(E68),ISNUMBER(F68))),$J$2=""),"",IF(Reprogramaciones!N$13&lt;Reprogramaciones!$T$15,0,IF(Reprogramaciones!N$14&gt;10,MIN(100,SUM($G68:$P68)),MIN(100,SUMPRODUCT((COLUMN($G68:$P68)-COLUMN($G68)+1&lt;Reprogramaciones!N$14)*$G68:$P68)+N(INDEX($G68:$P68,1,Reprogramaciones!N$14))*IF(Reprogramaciones!N$13&gt;=(Reprogramaciones!$T$15+7*(Reprogramaciones!N$14-1))+6,1,IF(MAX(0,NETWORKDAYS.INTL(MAX(E68,(Reprogramaciones!$T$15+7*(Reprogramaciones!N$14-1))),MIN(F68,(Reprogramaciones!$T$15+7*(Reprogramaciones!N$14-1))+6),11))=0,0,MAX(0,NETWORKDAYS.INTL(MAX(E68,(Reprogramaciones!$T$15+7*(Reprogramaciones!N$14-1))),MIN(F68,Reprogramaciones!N$13),11))/MAX(0,NETWORKDAYS.INTL(MAX(E68,(Reprogramaciones!$T$15+7*(Reprogramaciones!N$14-1))),MIN(F68,(Reprogramaciones!$T$15+7*(Reprogramaciones!N$14-1))+6),11))))))))</f>
        <v/>
      </c>
      <c r="BX68" s="1" t="str">
        <f aca="false">IF(OR(NOT(AND(ISNUMBER(E68),ISNUMBER(F68))),$J$2=""),"",IF(Reprogramaciones!O$13&lt;Reprogramaciones!$T$15,0,IF(Reprogramaciones!O$14&gt;10,MIN(100,SUM($G68:$P68)),MIN(100,SUMPRODUCT((COLUMN($G68:$P68)-COLUMN($G68)+1&lt;Reprogramaciones!O$14)*$G68:$P68)+N(INDEX($G68:$P68,1,Reprogramaciones!O$14))*IF(Reprogramaciones!O$13&gt;=(Reprogramaciones!$T$15+7*(Reprogramaciones!O$14-1))+6,1,IF(MAX(0,NETWORKDAYS.INTL(MAX(E68,(Reprogramaciones!$T$15+7*(Reprogramaciones!O$14-1))),MIN(F68,(Reprogramaciones!$T$15+7*(Reprogramaciones!O$14-1))+6),11))=0,0,MAX(0,NETWORKDAYS.INTL(MAX(E68,(Reprogramaciones!$T$15+7*(Reprogramaciones!O$14-1))),MIN(F68,Reprogramaciones!O$13),11))/MAX(0,NETWORKDAYS.INTL(MAX(E68,(Reprogramaciones!$T$15+7*(Reprogramaciones!O$14-1))),MIN(F68,(Reprogramaciones!$T$15+7*(Reprogramaciones!O$14-1))+6),11))))))))</f>
        <v/>
      </c>
      <c r="BY68" s="1" t="str">
        <f aca="false">IF(OR(NOT(AND(ISNUMBER(E68),ISNUMBER(F68))),$J$2=""),"",IF(Reprogramaciones!P$13&lt;Reprogramaciones!$T$15,0,IF(Reprogramaciones!P$14&gt;10,MIN(100,SUM($G68:$P68)),MIN(100,SUMPRODUCT((COLUMN($G68:$P68)-COLUMN($G68)+1&lt;Reprogramaciones!P$14)*$G68:$P68)+N(INDEX($G68:$P68,1,Reprogramaciones!P$14))*IF(Reprogramaciones!P$13&gt;=(Reprogramaciones!$T$15+7*(Reprogramaciones!P$14-1))+6,1,IF(MAX(0,NETWORKDAYS.INTL(MAX(E68,(Reprogramaciones!$T$15+7*(Reprogramaciones!P$14-1))),MIN(F68,(Reprogramaciones!$T$15+7*(Reprogramaciones!P$14-1))+6),11))=0,0,MAX(0,NETWORKDAYS.INTL(MAX(E68,(Reprogramaciones!$T$15+7*(Reprogramaciones!P$14-1))),MIN(F68,Reprogramaciones!P$13),11))/MAX(0,NETWORKDAYS.INTL(MAX(E68,(Reprogramaciones!$T$15+7*(Reprogramaciones!P$14-1))),MIN(F68,(Reprogramaciones!$T$15+7*(Reprogramaciones!P$14-1))+6),11))))))))</f>
        <v/>
      </c>
      <c r="BZ68" s="1" t="str">
        <f aca="false">IF(OR(NOT(AND(ISNUMBER(E68),ISNUMBER(F68))),$J$2=""),"",IF(Reprogramaciones!Q$13&lt;Reprogramaciones!$T$15,0,IF(Reprogramaciones!Q$14&gt;10,MIN(100,SUM($G68:$P68)),MIN(100,SUMPRODUCT((COLUMN($G68:$P68)-COLUMN($G68)+1&lt;Reprogramaciones!Q$14)*$G68:$P68)+N(INDEX($G68:$P68,1,Reprogramaciones!Q$14))*IF(Reprogramaciones!Q$13&gt;=(Reprogramaciones!$T$15+7*(Reprogramaciones!Q$14-1))+6,1,IF(MAX(0,NETWORKDAYS.INTL(MAX(E68,(Reprogramaciones!$T$15+7*(Reprogramaciones!Q$14-1))),MIN(F68,(Reprogramaciones!$T$15+7*(Reprogramaciones!Q$14-1))+6),11))=0,0,MAX(0,NETWORKDAYS.INTL(MAX(E68,(Reprogramaciones!$T$15+7*(Reprogramaciones!Q$14-1))),MIN(F68,Reprogramaciones!Q$13),11))/MAX(0,NETWORKDAYS.INTL(MAX(E68,(Reprogramaciones!$T$15+7*(Reprogramaciones!Q$14-1))),MIN(F68,(Reprogramaciones!$T$15+7*(Reprogramaciones!Q$14-1))+6),11))))))))</f>
        <v/>
      </c>
      <c r="CA68" s="1" t="str">
        <f aca="false">IF(OR(NOT(AND(ISNUMBER(E68),ISNUMBER(F68))),$J$2=""),"",IF(Reprogramaciones!R$13&lt;Reprogramaciones!$T$15,0,IF(Reprogramaciones!R$14&gt;10,MIN(100,SUM($G68:$P68)),MIN(100,SUMPRODUCT((COLUMN($G68:$P68)-COLUMN($G68)+1&lt;Reprogramaciones!R$14)*$G68:$P68)+N(INDEX($G68:$P68,1,Reprogramaciones!R$14))*IF(Reprogramaciones!R$13&gt;=(Reprogramaciones!$T$15+7*(Reprogramaciones!R$14-1))+6,1,IF(MAX(0,NETWORKDAYS.INTL(MAX(E68,(Reprogramaciones!$T$15+7*(Reprogramaciones!R$14-1))),MIN(F68,(Reprogramaciones!$T$15+7*(Reprogramaciones!R$14-1))+6),11))=0,0,MAX(0,NETWORKDAYS.INTL(MAX(E68,(Reprogramaciones!$T$15+7*(Reprogramaciones!R$14-1))),MIN(F68,Reprogramaciones!R$13),11))/MAX(0,NETWORKDAYS.INTL(MAX(E68,(Reprogramaciones!$T$15+7*(Reprogramaciones!R$14-1))),MIN(F68,(Reprogramaciones!$T$15+7*(Reprogramaciones!R$14-1))+6),11))))))))</f>
        <v/>
      </c>
      <c r="CB68" s="1" t="str">
        <f aca="false">IF(OR(NOT(AND(ISNUMBER(E68),ISNUMBER(F68))),$J$2=""),"",IF(Reprogramaciones!S$13&lt;Reprogramaciones!$T$15,0,IF(Reprogramaciones!S$14&gt;10,MIN(100,SUM($G68:$P68)),MIN(100,SUMPRODUCT((COLUMN($G68:$P68)-COLUMN($G68)+1&lt;Reprogramaciones!S$14)*$G68:$P68)+N(INDEX($G68:$P68,1,Reprogramaciones!S$14))*IF(Reprogramaciones!S$13&gt;=(Reprogramaciones!$T$15+7*(Reprogramaciones!S$14-1))+6,1,IF(MAX(0,NETWORKDAYS.INTL(MAX(E68,(Reprogramaciones!$T$15+7*(Reprogramaciones!S$14-1))),MIN(F68,(Reprogramaciones!$T$15+7*(Reprogramaciones!S$14-1))+6),11))=0,0,MAX(0,NETWORKDAYS.INTL(MAX(E68,(Reprogramaciones!$T$15+7*(Reprogramaciones!S$14-1))),MIN(F68,Reprogramaciones!S$13),11))/MAX(0,NETWORKDAYS.INTL(MAX(E68,(Reprogramaciones!$T$15+7*(Reprogramaciones!S$14-1))),MIN(F68,(Reprogramaciones!$T$15+7*(Reprogramaciones!S$14-1))+6),11))))))))</f>
        <v/>
      </c>
      <c r="CC68" s="1" t="str">
        <f aca="false">IF(OR(NOT(AND(ISNUMBER(E68),ISNUMBER(F68))),$J$2=""),"",IF(Reprogramaciones!T$13&lt;Reprogramaciones!$T$15,0,IF(Reprogramaciones!T$14&gt;10,MIN(100,SUM($G68:$P68)),MIN(100,SUMPRODUCT((COLUMN($G68:$P68)-COLUMN($G68)+1&lt;Reprogramaciones!T$14)*$G68:$P68)+N(INDEX($G68:$P68,1,Reprogramaciones!T$14))*IF(Reprogramaciones!T$13&gt;=(Reprogramaciones!$T$15+7*(Reprogramaciones!T$14-1))+6,1,IF(MAX(0,NETWORKDAYS.INTL(MAX(E68,(Reprogramaciones!$T$15+7*(Reprogramaciones!T$14-1))),MIN(F68,(Reprogramaciones!$T$15+7*(Reprogramaciones!T$14-1))+6),11))=0,0,MAX(0,NETWORKDAYS.INTL(MAX(E68,(Reprogramaciones!$T$15+7*(Reprogramaciones!T$14-1))),MIN(F68,Reprogramaciones!T$13),11))/MAX(0,NETWORKDAYS.INTL(MAX(E68,(Reprogramaciones!$T$15+7*(Reprogramaciones!T$14-1))),MIN(F68,(Reprogramaciones!$T$15+7*(Reprogramaciones!T$14-1))+6),11))))))))</f>
        <v/>
      </c>
      <c r="CD68" s="1" t="str">
        <f aca="false">IF(OR(NOT(AND(ISNUMBER(E68),ISNUMBER(F68))),$J$2=""),"",IF(Reprogramaciones!U$13&lt;Reprogramaciones!$T$15,0,IF(Reprogramaciones!U$14&gt;10,MIN(100,SUM($G68:$P68)),MIN(100,SUMPRODUCT((COLUMN($G68:$P68)-COLUMN($G68)+1&lt;Reprogramaciones!U$14)*$G68:$P68)+N(INDEX($G68:$P68,1,Reprogramaciones!U$14))*IF(Reprogramaciones!U$13&gt;=(Reprogramaciones!$T$15+7*(Reprogramaciones!U$14-1))+6,1,IF(MAX(0,NETWORKDAYS.INTL(MAX(E68,(Reprogramaciones!$T$15+7*(Reprogramaciones!U$14-1))),MIN(F68,(Reprogramaciones!$T$15+7*(Reprogramaciones!U$14-1))+6),11))=0,0,MAX(0,NETWORKDAYS.INTL(MAX(E68,(Reprogramaciones!$T$15+7*(Reprogramaciones!U$14-1))),MIN(F68,Reprogramaciones!U$13),11))/MAX(0,NETWORKDAYS.INTL(MAX(E68,(Reprogramaciones!$T$15+7*(Reprogramaciones!U$14-1))),MIN(F68,(Reprogramaciones!$T$15+7*(Reprogramaciones!U$14-1))+6),11))))))))</f>
        <v/>
      </c>
      <c r="CE68" s="1" t="str">
        <f aca="false">IF(OR(NOT(AND(ISNUMBER(E68),ISNUMBER(F68))),$J$2=""),"",IF(Reprogramaciones!V$13&lt;Reprogramaciones!$T$15,0,IF(Reprogramaciones!V$14&gt;10,MIN(100,SUM($G68:$P68)),MIN(100,SUMPRODUCT((COLUMN($G68:$P68)-COLUMN($G68)+1&lt;Reprogramaciones!V$14)*$G68:$P68)+N(INDEX($G68:$P68,1,Reprogramaciones!V$14))*IF(Reprogramaciones!V$13&gt;=(Reprogramaciones!$T$15+7*(Reprogramaciones!V$14-1))+6,1,IF(MAX(0,NETWORKDAYS.INTL(MAX(E68,(Reprogramaciones!$T$15+7*(Reprogramaciones!V$14-1))),MIN(F68,(Reprogramaciones!$T$15+7*(Reprogramaciones!V$14-1))+6),11))=0,0,MAX(0,NETWORKDAYS.INTL(MAX(E68,(Reprogramaciones!$T$15+7*(Reprogramaciones!V$14-1))),MIN(F68,Reprogramaciones!V$13),11))/MAX(0,NETWORKDAYS.INTL(MAX(E68,(Reprogramaciones!$T$15+7*(Reprogramaciones!V$14-1))),MIN(F68,(Reprogramaciones!$T$15+7*(Reprogramaciones!V$14-1))+6),11))))))))</f>
        <v/>
      </c>
      <c r="CF68" s="1" t="str">
        <f aca="false">IF(OR(NOT(AND(ISNUMBER(E68),ISNUMBER(F68))),$J$2=""),"",IF(Reprogramaciones!W$13&lt;Reprogramaciones!$T$15,0,IF(Reprogramaciones!W$14&gt;10,MIN(100,SUM($G68:$P68)),MIN(100,SUMPRODUCT((COLUMN($G68:$P68)-COLUMN($G68)+1&lt;Reprogramaciones!W$14)*$G68:$P68)+N(INDEX($G68:$P68,1,Reprogramaciones!W$14))*IF(Reprogramaciones!W$13&gt;=(Reprogramaciones!$T$15+7*(Reprogramaciones!W$14-1))+6,1,IF(MAX(0,NETWORKDAYS.INTL(MAX(E68,(Reprogramaciones!$T$15+7*(Reprogramaciones!W$14-1))),MIN(F68,(Reprogramaciones!$T$15+7*(Reprogramaciones!W$14-1))+6),11))=0,0,MAX(0,NETWORKDAYS.INTL(MAX(E68,(Reprogramaciones!$T$15+7*(Reprogramaciones!W$14-1))),MIN(F68,Reprogramaciones!W$13),11))/MAX(0,NETWORKDAYS.INTL(MAX(E68,(Reprogramaciones!$T$15+7*(Reprogramaciones!W$14-1))),MIN(F68,(Reprogramaciones!$T$15+7*(Reprogramaciones!W$14-1))+6),11))))))))</f>
        <v/>
      </c>
      <c r="CG68" s="1" t="str">
        <f aca="false">IF(OR(NOT(AND(ISNUMBER(E68),ISNUMBER(F68))),$J$2=""),"",IF(Reprogramaciones!X$13&lt;Reprogramaciones!$T$15,0,IF(Reprogramaciones!X$14&gt;10,MIN(100,SUM($G68:$P68)),MIN(100,SUMPRODUCT((COLUMN($G68:$P68)-COLUMN($G68)+1&lt;Reprogramaciones!X$14)*$G68:$P68)+N(INDEX($G68:$P68,1,Reprogramaciones!X$14))*IF(Reprogramaciones!X$13&gt;=(Reprogramaciones!$T$15+7*(Reprogramaciones!X$14-1))+6,1,IF(MAX(0,NETWORKDAYS.INTL(MAX(E68,(Reprogramaciones!$T$15+7*(Reprogramaciones!X$14-1))),MIN(F68,(Reprogramaciones!$T$15+7*(Reprogramaciones!X$14-1))+6),11))=0,0,MAX(0,NETWORKDAYS.INTL(MAX(E68,(Reprogramaciones!$T$15+7*(Reprogramaciones!X$14-1))),MIN(F68,Reprogramaciones!X$13),11))/MAX(0,NETWORKDAYS.INTL(MAX(E68,(Reprogramaciones!$T$15+7*(Reprogramaciones!X$14-1))),MIN(F68,(Reprogramaciones!$T$15+7*(Reprogramaciones!X$14-1))+6),11))))))))</f>
        <v/>
      </c>
      <c r="CH68" s="1" t="str">
        <f aca="false">IF(OR(NOT(AND(ISNUMBER(E68),ISNUMBER(F68))),$J$2=""),"",IF(Reprogramaciones!Y$13&lt;Reprogramaciones!$T$15,0,IF(Reprogramaciones!Y$14&gt;10,MIN(100,SUM($G68:$P68)),MIN(100,SUMPRODUCT((COLUMN($G68:$P68)-COLUMN($G68)+1&lt;Reprogramaciones!Y$14)*$G68:$P68)+N(INDEX($G68:$P68,1,Reprogramaciones!Y$14))*IF(Reprogramaciones!Y$13&gt;=(Reprogramaciones!$T$15+7*(Reprogramaciones!Y$14-1))+6,1,IF(MAX(0,NETWORKDAYS.INTL(MAX(E68,(Reprogramaciones!$T$15+7*(Reprogramaciones!Y$14-1))),MIN(F68,(Reprogramaciones!$T$15+7*(Reprogramaciones!Y$14-1))+6),11))=0,0,MAX(0,NETWORKDAYS.INTL(MAX(E68,(Reprogramaciones!$T$15+7*(Reprogramaciones!Y$14-1))),MIN(F68,Reprogramaciones!Y$13),11))/MAX(0,NETWORKDAYS.INTL(MAX(E68,(Reprogramaciones!$T$15+7*(Reprogramaciones!Y$14-1))),MIN(F68,(Reprogramaciones!$T$15+7*(Reprogramaciones!Y$14-1))+6),11))))))))</f>
        <v/>
      </c>
      <c r="CI68" s="1" t="str">
        <f aca="false">IF(OR(NOT(AND(ISNUMBER(E68),ISNUMBER(F68))),$J$2=""),"",IF(Reprogramaciones!Z$13&lt;Reprogramaciones!$T$15,0,IF(Reprogramaciones!Z$14&gt;10,MIN(100,SUM($G68:$P68)),MIN(100,SUMPRODUCT((COLUMN($G68:$P68)-COLUMN($G68)+1&lt;Reprogramaciones!Z$14)*$G68:$P68)+N(INDEX($G68:$P68,1,Reprogramaciones!Z$14))*IF(Reprogramaciones!Z$13&gt;=(Reprogramaciones!$T$15+7*(Reprogramaciones!Z$14-1))+6,1,IF(MAX(0,NETWORKDAYS.INTL(MAX(E68,(Reprogramaciones!$T$15+7*(Reprogramaciones!Z$14-1))),MIN(F68,(Reprogramaciones!$T$15+7*(Reprogramaciones!Z$14-1))+6),11))=0,0,MAX(0,NETWORKDAYS.INTL(MAX(E68,(Reprogramaciones!$T$15+7*(Reprogramaciones!Z$14-1))),MIN(F68,Reprogramaciones!Z$13),11))/MAX(0,NETWORKDAYS.INTL(MAX(E68,(Reprogramaciones!$T$15+7*(Reprogramaciones!Z$14-1))),MIN(F68,(Reprogramaciones!$T$15+7*(Reprogramaciones!Z$14-1))+6),11))))))))</f>
        <v/>
      </c>
      <c r="CJ68" s="1" t="str">
        <f aca="false">IF(OR(OR(NOT(AND(ISNUMBER(E68),ISNUMBER(F68))),$J$2=""),1&gt;Reprogramaciones!$K$16),"",IF(ROUND(SUM($Q68:Q68),1)&gt;=99.5,100,MIN(100,ROUND(SUM($Q68:Q68),1))))</f>
        <v/>
      </c>
      <c r="CK68" s="1" t="str">
        <f aca="false">IF(OR(OR(NOT(AND(ISNUMBER(E68),ISNUMBER(F68))),$J$2=""),2&gt;Reprogramaciones!$K$16),"",IF(ROUND(SUM($Q68:R68),1)&gt;=99.5,100,MIN(100,ROUND(SUM($Q68:R68),1))))</f>
        <v/>
      </c>
      <c r="CL68" s="1" t="str">
        <f aca="false">IF(OR(OR(NOT(AND(ISNUMBER(E68),ISNUMBER(F68))),$J$2=""),3&gt;Reprogramaciones!$K$16),"",IF(ROUND(SUM($Q68:S68),1)&gt;=99.5,100,MIN(100,ROUND(SUM($Q68:S68),1))))</f>
        <v/>
      </c>
      <c r="CM68" s="1" t="str">
        <f aca="false">IF(OR(OR(NOT(AND(ISNUMBER(E68),ISNUMBER(F68))),$J$2=""),4&gt;Reprogramaciones!$K$16),"",IF(ROUND(SUM($Q68:T68),1)&gt;=99.5,100,MIN(100,ROUND(SUM($Q68:T68),1))))</f>
        <v/>
      </c>
      <c r="CN68" s="1" t="str">
        <f aca="false">IF(OR(OR(NOT(AND(ISNUMBER(E68),ISNUMBER(F68))),$J$2=""),5&gt;Reprogramaciones!$K$16),"",IF(ROUND(SUM($Q68:U68),1)&gt;=99.5,100,MIN(100,ROUND(SUM($Q68:U68),1))))</f>
        <v/>
      </c>
      <c r="CO68" s="1" t="str">
        <f aca="false">IF(OR(OR(NOT(AND(ISNUMBER(E68),ISNUMBER(F68))),$J$2=""),6&gt;Reprogramaciones!$K$16),"",IF(ROUND(SUM($Q68:V68),1)&gt;=99.5,100,MIN(100,ROUND(SUM($Q68:V68),1))))</f>
        <v/>
      </c>
      <c r="CP68" s="1" t="str">
        <f aca="false">IF(OR(OR(NOT(AND(ISNUMBER(E68),ISNUMBER(F68))),$J$2=""),7&gt;Reprogramaciones!$K$16),"",IF(ROUND(SUM($Q68:W68),1)&gt;=99.5,100,MIN(100,ROUND(SUM($Q68:W68),1))))</f>
        <v/>
      </c>
      <c r="CQ68" s="1" t="str">
        <f aca="false">IF(OR(OR(NOT(AND(ISNUMBER(E68),ISNUMBER(F68))),$J$2=""),8&gt;Reprogramaciones!$K$16),"",IF(ROUND(SUM($Q68:X68),1)&gt;=99.5,100,MIN(100,ROUND(SUM($Q68:X68),1))))</f>
        <v/>
      </c>
      <c r="CR68" s="1" t="str">
        <f aca="false">IF(OR(OR(NOT(AND(ISNUMBER(E68),ISNUMBER(F68))),$J$2=""),9&gt;Reprogramaciones!$K$16),"",IF(ROUND(SUM($Q68:Y68),1)&gt;=99.5,100,MIN(100,ROUND(SUM($Q68:Y68),1))))</f>
        <v/>
      </c>
      <c r="CS68" s="1" t="str">
        <f aca="false">IF(OR(OR(NOT(AND(ISNUMBER(E68),ISNUMBER(F68))),$J$2=""),10&gt;Reprogramaciones!$K$16),"",IF(ROUND(SUM($Q68:Z68),1)&gt;=99.5,100,MIN(100,ROUND(SUM($Q68:Z68),1))))</f>
        <v/>
      </c>
      <c r="CT68" s="1" t="str">
        <f aca="false">IF(OR(OR(NOT(AND(ISNUMBER(E68),ISNUMBER(F68))),$J$2=""),11&gt;Reprogramaciones!$K$16),"",IF(ROUND(SUM($Q68:AA68),1)&gt;=99.5,100,MIN(100,ROUND(SUM($Q68:AA68),1))))</f>
        <v/>
      </c>
      <c r="CU68" s="1" t="str">
        <f aca="false">IF(OR(OR(NOT(AND(ISNUMBER(E68),ISNUMBER(F68))),$J$2=""),12&gt;Reprogramaciones!$K$16),"",IF(ROUND(SUM($Q68:AB68),1)&gt;=99.5,100,MIN(100,ROUND(SUM($Q68:AB68),1))))</f>
        <v/>
      </c>
      <c r="CV68" s="1" t="str">
        <f aca="false">IF(OR(OR(NOT(AND(ISNUMBER(E68),ISNUMBER(F68))),$J$2=""),13&gt;Reprogramaciones!$K$16),"",IF(ROUND(SUM($Q68:AC68),1)&gt;=99.5,100,MIN(100,ROUND(SUM($Q68:AC68),1))))</f>
        <v/>
      </c>
      <c r="CW68" s="1" t="str">
        <f aca="false">IF(OR(OR(NOT(AND(ISNUMBER(E68),ISNUMBER(F68))),$J$2=""),14&gt;Reprogramaciones!$K$16),"",IF(ROUND(SUM($Q68:AD68),1)&gt;=99.5,100,MIN(100,ROUND(SUM($Q68:AD68),1))))</f>
        <v/>
      </c>
      <c r="CX68" s="1" t="str">
        <f aca="false">IF(OR(OR(NOT(AND(ISNUMBER(E68),ISNUMBER(F68))),$J$2=""),15&gt;Reprogramaciones!$K$16),"",IF(ROUND(SUM($Q68:AE68),1)&gt;=99.5,100,MIN(100,ROUND(SUM($Q68:AE68),1))))</f>
        <v/>
      </c>
      <c r="CY68" s="1" t="str">
        <f aca="false">IF(OR(OR(NOT(AND(ISNUMBER(E68),ISNUMBER(F68))),$J$2=""),16&gt;Reprogramaciones!$K$16),"",IF(ROUND(SUM($Q68:AF68),1)&gt;=99.5,100,MIN(100,ROUND(SUM($Q68:AF68),1))))</f>
        <v/>
      </c>
      <c r="CZ68" s="1" t="str">
        <f aca="false">IF(D68&lt;&gt;"",D68,IF(B68&lt;&gt;"","Contractual",CZ67))</f>
        <v>Contractual</v>
      </c>
      <c r="DA68" s="1" t="str">
        <f aca="false">IF(OR(NOT(AND(ISNUMBER(E68),ISNUMBER(F68))),$J$2=""),"",IF(Reprogramaciones!$Q$15&lt;Reprogramaciones!$T$15,0,IF(Reprogramaciones!$S$15&gt;10,MIN(100,SUM($G68:$P68)),MIN(100,SUMPRODUCT((COLUMN($G68:$P68)-COLUMN($G68)+1&lt;Reprogramaciones!$S$15)*$G68:$P68)+N(INDEX($G68:$P68,1,Reprogramaciones!$S$15))*IF(Reprogramaciones!$Q$15&gt;=(Reprogramaciones!$T$15+7*(Reprogramaciones!$S$15-1))+6,1,IF(MAX(0,NETWORKDAYS.INTL(MAX(E68,(Reprogramaciones!$T$15+7*(Reprogramaciones!$S$15-1))),MIN(F68,(Reprogramaciones!$T$15+7*(Reprogramaciones!$S$15-1))+6),11))=0,0,MAX(0,NETWORKDAYS.INTL(MAX(E68,(Reprogramaciones!$T$15+7*(Reprogramaciones!$S$15-1))),MIN(F68,Reprogramaciones!$Q$15),11))/MAX(0,NETWORKDAYS.INTL(MAX(E68,(Reprogramaciones!$T$15+7*(Reprogramaciones!$S$15-1))),MIN(F68,(Reprogramaciones!$T$15+7*(Reprogramaciones!$S$15-1))+6),11))))))))</f>
        <v/>
      </c>
    </row>
    <row r="69" customFormat="false" ht="15" hidden="false" customHeight="false" outlineLevel="0" collapsed="false">
      <c r="A69" s="32"/>
      <c r="B69" s="33"/>
      <c r="C69" s="33"/>
      <c r="D69" s="34"/>
      <c r="E69" s="35"/>
      <c r="F69" s="35"/>
      <c r="G69" s="36" t="str">
        <f aca="false">IF(OR(NOT(AND(ISNUMBER(E69),ISNUMBER(F69))),$J$2=""),"",IF(Reprogramaciones!K$9&lt;E69,0,IF(NETWORKDAYS.INTL(E69,F69,11)=0,IF(Reprogramaciones!K$9&gt;=F69,100,0),ROUND(NETWORKDAYS.INTL(E69,MIN(F69,Reprogramaciones!K$9),11)/NETWORKDAYS.INTL(E69,F69,11)*100,1)))-0)</f>
        <v/>
      </c>
      <c r="H69" s="36" t="str">
        <f aca="false">IF(OR(NOT(AND(ISNUMBER(E69),ISNUMBER(F69))),$J$2=""),"",IF(Reprogramaciones!L$9&lt;E69,0,IF(NETWORKDAYS.INTL(E69,F69,11)=0,IF(Reprogramaciones!L$9&gt;=F69,100,0),ROUND(NETWORKDAYS.INTL(E69,MIN(F69,Reprogramaciones!L$9),11)/NETWORKDAYS.INTL(E69,F69,11)*100,1)))-IF(Reprogramaciones!K$9&lt;E69,0,IF(NETWORKDAYS.INTL(E69,F69,11)=0,IF(Reprogramaciones!K$9&gt;=F69,100,0),ROUND(NETWORKDAYS.INTL(E69,MIN(F69,Reprogramaciones!K$9),11)/NETWORKDAYS.INTL(E69,F69,11)*100,1))))</f>
        <v/>
      </c>
      <c r="I69" s="36" t="str">
        <f aca="false">IF(OR(NOT(AND(ISNUMBER(E69),ISNUMBER(F69))),$J$2=""),"",IF(Reprogramaciones!M$9&lt;E69,0,IF(NETWORKDAYS.INTL(E69,F69,11)=0,IF(Reprogramaciones!M$9&gt;=F69,100,0),ROUND(NETWORKDAYS.INTL(E69,MIN(F69,Reprogramaciones!M$9),11)/NETWORKDAYS.INTL(E69,F69,11)*100,1)))-IF(Reprogramaciones!L$9&lt;E69,0,IF(NETWORKDAYS.INTL(E69,F69,11)=0,IF(Reprogramaciones!L$9&gt;=F69,100,0),ROUND(NETWORKDAYS.INTL(E69,MIN(F69,Reprogramaciones!L$9),11)/NETWORKDAYS.INTL(E69,F69,11)*100,1))))</f>
        <v/>
      </c>
      <c r="J69" s="36" t="str">
        <f aca="false">IF(OR(NOT(AND(ISNUMBER(E69),ISNUMBER(F69))),$J$2=""),"",IF(Reprogramaciones!N$9&lt;E69,0,IF(NETWORKDAYS.INTL(E69,F69,11)=0,IF(Reprogramaciones!N$9&gt;=F69,100,0),ROUND(NETWORKDAYS.INTL(E69,MIN(F69,Reprogramaciones!N$9),11)/NETWORKDAYS.INTL(E69,F69,11)*100,1)))-IF(Reprogramaciones!M$9&lt;E69,0,IF(NETWORKDAYS.INTL(E69,F69,11)=0,IF(Reprogramaciones!M$9&gt;=F69,100,0),ROUND(NETWORKDAYS.INTL(E69,MIN(F69,Reprogramaciones!M$9),11)/NETWORKDAYS.INTL(E69,F69,11)*100,1))))</f>
        <v/>
      </c>
      <c r="K69" s="36" t="str">
        <f aca="false">IF(OR(NOT(AND(ISNUMBER(E69),ISNUMBER(F69))),$J$2=""),"",IF(Reprogramaciones!O$9&lt;E69,0,IF(NETWORKDAYS.INTL(E69,F69,11)=0,IF(Reprogramaciones!O$9&gt;=F69,100,0),ROUND(NETWORKDAYS.INTL(E69,MIN(F69,Reprogramaciones!O$9),11)/NETWORKDAYS.INTL(E69,F69,11)*100,1)))-IF(Reprogramaciones!N$9&lt;E69,0,IF(NETWORKDAYS.INTL(E69,F69,11)=0,IF(Reprogramaciones!N$9&gt;=F69,100,0),ROUND(NETWORKDAYS.INTL(E69,MIN(F69,Reprogramaciones!N$9),11)/NETWORKDAYS.INTL(E69,F69,11)*100,1))))</f>
        <v/>
      </c>
      <c r="L69" s="36" t="str">
        <f aca="false">IF(OR(NOT(AND(ISNUMBER(E69),ISNUMBER(F69))),$J$2=""),"",IF(Reprogramaciones!P$9&lt;E69,0,IF(NETWORKDAYS.INTL(E69,F69,11)=0,IF(Reprogramaciones!P$9&gt;=F69,100,0),ROUND(NETWORKDAYS.INTL(E69,MIN(F69,Reprogramaciones!P$9),11)/NETWORKDAYS.INTL(E69,F69,11)*100,1)))-IF(Reprogramaciones!O$9&lt;E69,0,IF(NETWORKDAYS.INTL(E69,F69,11)=0,IF(Reprogramaciones!O$9&gt;=F69,100,0),ROUND(NETWORKDAYS.INTL(E69,MIN(F69,Reprogramaciones!O$9),11)/NETWORKDAYS.INTL(E69,F69,11)*100,1))))</f>
        <v/>
      </c>
      <c r="M69" s="36" t="str">
        <f aca="false">IF(OR(NOT(AND(ISNUMBER(E69),ISNUMBER(F69))),$J$2=""),"",IF(Reprogramaciones!Q$9&lt;E69,0,IF(NETWORKDAYS.INTL(E69,F69,11)=0,IF(Reprogramaciones!Q$9&gt;=F69,100,0),ROUND(NETWORKDAYS.INTL(E69,MIN(F69,Reprogramaciones!Q$9),11)/NETWORKDAYS.INTL(E69,F69,11)*100,1)))-IF(Reprogramaciones!P$9&lt;E69,0,IF(NETWORKDAYS.INTL(E69,F69,11)=0,IF(Reprogramaciones!P$9&gt;=F69,100,0),ROUND(NETWORKDAYS.INTL(E69,MIN(F69,Reprogramaciones!P$9),11)/NETWORKDAYS.INTL(E69,F69,11)*100,1))))</f>
        <v/>
      </c>
      <c r="N69" s="36" t="str">
        <f aca="false">IF(OR(NOT(AND(ISNUMBER(E69),ISNUMBER(F69))),$J$2=""),"",IF(Reprogramaciones!R$9&lt;E69,0,IF(NETWORKDAYS.INTL(E69,F69,11)=0,IF(Reprogramaciones!R$9&gt;=F69,100,0),ROUND(NETWORKDAYS.INTL(E69,MIN(F69,Reprogramaciones!R$9),11)/NETWORKDAYS.INTL(E69,F69,11)*100,1)))-IF(Reprogramaciones!Q$9&lt;E69,0,IF(NETWORKDAYS.INTL(E69,F69,11)=0,IF(Reprogramaciones!Q$9&gt;=F69,100,0),ROUND(NETWORKDAYS.INTL(E69,MIN(F69,Reprogramaciones!Q$9),11)/NETWORKDAYS.INTL(E69,F69,11)*100,1))))</f>
        <v/>
      </c>
      <c r="O69" s="36" t="str">
        <f aca="false">IF(OR(NOT(AND(ISNUMBER(E69),ISNUMBER(F69))),$J$2=""),"",IF(Reprogramaciones!S$9&lt;E69,0,IF(NETWORKDAYS.INTL(E69,F69,11)=0,IF(Reprogramaciones!S$9&gt;=F69,100,0),ROUND(NETWORKDAYS.INTL(E69,MIN(F69,Reprogramaciones!S$9),11)/NETWORKDAYS.INTL(E69,F69,11)*100,1)))-IF(Reprogramaciones!R$9&lt;E69,0,IF(NETWORKDAYS.INTL(E69,F69,11)=0,IF(Reprogramaciones!R$9&gt;=F69,100,0),ROUND(NETWORKDAYS.INTL(E69,MIN(F69,Reprogramaciones!R$9),11)/NETWORKDAYS.INTL(E69,F69,11)*100,1))))</f>
        <v/>
      </c>
      <c r="P69" s="36" t="str">
        <f aca="false">IF(OR(NOT(AND(ISNUMBER(E69),ISNUMBER(F69))),$J$2=""),"",IF(Reprogramaciones!T$9&lt;E69,0,IF(NETWORKDAYS.INTL(E69,F69,11)=0,IF(Reprogramaciones!T$9&gt;=F69,100,0),ROUND(NETWORKDAYS.INTL(E69,MIN(F69,Reprogramaciones!T$9),11)/NETWORKDAYS.INTL(E69,F69,11)*100,1)))-IF(Reprogramaciones!S$9&lt;E69,0,IF(NETWORKDAYS.INTL(E69,F69,11)=0,IF(Reprogramaciones!S$9&gt;=F69,100,0),ROUND(NETWORKDAYS.INTL(E69,MIN(F69,Reprogramaciones!S$9),11)/NETWORKDAYS.INTL(E69,F69,11)*100,1))))</f>
        <v/>
      </c>
      <c r="Q69" s="37"/>
      <c r="R69" s="37"/>
      <c r="S69" s="37"/>
      <c r="T69" s="37"/>
      <c r="U69" s="37"/>
      <c r="V69" s="37"/>
      <c r="W69" s="37"/>
      <c r="X69" s="37"/>
      <c r="Y69" s="37"/>
      <c r="Z69" s="37"/>
      <c r="AA69" s="37"/>
      <c r="AB69" s="37"/>
      <c r="AC69" s="37"/>
      <c r="AD69" s="37"/>
      <c r="AE69" s="37"/>
      <c r="AF69" s="37"/>
      <c r="AG69" s="38" t="str">
        <f aca="false">IF(AND(ISNUMBER(E69),ISNUMBER(F69)),NETWORKDAYS.INTL(E69,F69,11),"")</f>
        <v/>
      </c>
      <c r="AH69" s="38" t="str">
        <f aca="false">IF(OR(NOT(AND(ISNUMBER(E69),ISNUMBER(F69))),$J$2=""),"",IF(Reprogramaciones!$P$15&lt;Reprogramaciones!$T$15,0,IF(Reprogramaciones!$R$15&gt;10,MIN(100,SUM($G69:$P69)),MIN(100,SUMPRODUCT((COLUMN($G69:$P69)-COLUMN($G69)+1&lt;Reprogramaciones!$R$15)*$G69:$P69)+N(INDEX($G69:$P69,1,Reprogramaciones!$R$15))*IF(Reprogramaciones!$P$15&gt;=(Reprogramaciones!$T$15+7*(Reprogramaciones!$R$15-1))+6,1,IF(MAX(0,NETWORKDAYS.INTL(MAX(E69,(Reprogramaciones!$T$15+7*(Reprogramaciones!$R$15-1))),MIN(F69,(Reprogramaciones!$T$15+7*(Reprogramaciones!$R$15-1))+6),11))=0,0,MAX(0,NETWORKDAYS.INTL(MAX(E69,(Reprogramaciones!$T$15+7*(Reprogramaciones!$R$15-1))),MIN(F69,Reprogramaciones!$P$15),11))/MAX(0,NETWORKDAYS.INTL(MAX(E69,(Reprogramaciones!$T$15+7*(Reprogramaciones!$R$15-1))),MIN(F69,(Reprogramaciones!$T$15+7*(Reprogramaciones!$R$15-1))+6),11))))))))</f>
        <v/>
      </c>
      <c r="AI69" s="38" t="str">
        <f aca="false">IF(COUNT($Q69:$AF69)=0,"",IF(ROUND(SUM($Q69:$AF69),1)&gt;=99.5,100,MIN(100,ROUND(SUM($Q69:$AF69),1))))</f>
        <v/>
      </c>
      <c r="AJ69" s="38" t="str">
        <f aca="false">IF(OR(AH69="",AI69=""),"",AI69-AH69)</f>
        <v/>
      </c>
      <c r="AK69" s="39" t="str">
        <f aca="true">IF(AH69="","",IF(OR(Ficha!$C$10="Suspendida",Ficha!$C$10="Cancelada"),Ficha!$C$10,IF(AND(AI69&lt;&gt;"",N(AI69)&gt;=100),"Completada",IF(AND(E69&gt;TODAY(),N(AI69)=0),"Por iniciar",IF(N(AI69)+0.5&lt;AH69,"Retrasada",IF(N(AI69)+0.5&lt;DA69,IF(Reprogramaciones!$K$15&gt;0,"Al día · Sem "&amp;Reprogramaciones!$K$15&amp;" en curso","Al día · en curso"),"A tiempo"))))))</f>
        <v/>
      </c>
      <c r="AL69" s="39" t="str">
        <f aca="true">IF(AND(A69="",AND(B69="",C69="",E69="",F69="",COUNT(Q69:AF69)=0)),"",IF(AND(B69="",C69="",E69="",F69="",COUNT(Q69:AF69)=0),"Falta la partida o subpartida",IF(AND(A69&lt;&gt;"",COUNTIF($A$6:$A$305,A69)&gt;1),"Ítem repetido",IF(AND(C69="",E69="",F69="",COUNT(Q69:AF69)=0),"Título de partida",IF(OR(E69="",F69=""),"Faltan fechas",IF(OR(ISTEXT(E69),ISTEXT(F69)),"Fecha escrita como texto: usa dd/mm/aaaa",IF(F69&lt;E69,"Fin antes del inicio",IF(IF($J$2="",FALSE(),OR(E69&lt;$J$2,F69&gt;Reprogramaciones!$T$15+69)),"Fuera de las 10 semanas",IF(ABS(SUM(G69:P69)-100)&gt;0.5,"La meta no suma 100%",IF(ROUND(SUM(Q69:AF69),1)&gt;100.5,"El avance pasa de 100%",IF(MIN(Q69:AF69)&lt;0,"Avance negativo",IF(COUNTA(Q69:AF69)&gt;COUNT(Q69:AF69),"Avance escrito como texto",IF(SUMPRODUCT((Q69:AF69&gt;0)*(Q69:AF69&lt;1))&gt;0,"Avance menor a 1: escribe 50, no 50%",IF(SUMPRODUCT(ISNUMBER(Q69:AF69)*(Reprogramaciones!$K$8:$Z$8&gt;TODAY()))&gt;0,"Avance en semana que aún no llega",IF(AND(N(Reprogramaciones!$E$21)&gt;0,F69&gt;Reprogramaciones!$E$21),"Pasa el fin de la obra: registra una reprogramación",IF(AND(N(Reprogramaciones!$E$21)&gt;0,SUMPRODUCT(ISNUMBER(Q69:AF69)*(Reprogramaciones!$K$8:$Z$8&gt;Reprogramaciones!$E$21))&gt;0),"Avance después del fin de la obra: registra una reprogramación por atraso","OK"))))))))))))))))</f>
        <v/>
      </c>
      <c r="AM69" s="40" t="str">
        <f aca="false">IF(OR(OR(NOT(AND(ISNUMBER(E69),ISNUMBER(F69))),$J$2=""),1&gt;MAX(1,Reprogramaciones!$U$15)),"",IF(Reprogramaciones!K$12&gt;=7,"",IF(OR(BT69-N(0)&gt;0.05,N(Q69)&gt;0),ROUNDDOWN(ROUND(BT69,6),0)&amp;"%"&amp;IF(CJ69="",""," / "&amp;CJ69&amp;"%"),IF(AND(N(0)&gt;=99.95,CJ69&lt;&gt;"",N(CJ69)&lt;100),"Pend. "&amp;CJ69&amp;"%",""))))</f>
        <v/>
      </c>
      <c r="AN69" s="40" t="str">
        <f aca="false">IF(OR(OR(NOT(AND(ISNUMBER(E69),ISNUMBER(F69))),$J$2=""),2&gt;MAX(1,Reprogramaciones!$U$15)),"",IF(Reprogramaciones!L$12&gt;=7,"",IF(OR(BU69-N(BT69)&gt;0.05,N(R69)&gt;0),ROUNDDOWN(ROUND(BU69,6),0)&amp;"%"&amp;IF(CK69="",""," / "&amp;CK69&amp;"%"),IF(AND(N(BT69)&gt;=99.95,CK69&lt;&gt;"",N(CK69)&lt;100),"Pend. "&amp;CK69&amp;"%",""))))</f>
        <v/>
      </c>
      <c r="AO69" s="40" t="str">
        <f aca="false">IF(OR(OR(NOT(AND(ISNUMBER(E69),ISNUMBER(F69))),$J$2=""),3&gt;MAX(1,Reprogramaciones!$U$15)),"",IF(Reprogramaciones!M$12&gt;=7,"",IF(OR(BV69-N(BU69)&gt;0.05,N(S69)&gt;0),ROUNDDOWN(ROUND(BV69,6),0)&amp;"%"&amp;IF(CL69="",""," / "&amp;CL69&amp;"%"),IF(AND(N(BU69)&gt;=99.95,CL69&lt;&gt;"",N(CL69)&lt;100),"Pend. "&amp;CL69&amp;"%",""))))</f>
        <v/>
      </c>
      <c r="AP69" s="40" t="str">
        <f aca="false">IF(OR(OR(NOT(AND(ISNUMBER(E69),ISNUMBER(F69))),$J$2=""),4&gt;MAX(1,Reprogramaciones!$U$15)),"",IF(Reprogramaciones!N$12&gt;=7,"",IF(OR(BW69-N(BV69)&gt;0.05,N(T69)&gt;0),ROUNDDOWN(ROUND(BW69,6),0)&amp;"%"&amp;IF(CM69="",""," / "&amp;CM69&amp;"%"),IF(AND(N(BV69)&gt;=99.95,CM69&lt;&gt;"",N(CM69)&lt;100),"Pend. "&amp;CM69&amp;"%",""))))</f>
        <v/>
      </c>
      <c r="AQ69" s="40" t="str">
        <f aca="false">IF(OR(OR(NOT(AND(ISNUMBER(E69),ISNUMBER(F69))),$J$2=""),5&gt;MAX(1,Reprogramaciones!$U$15)),"",IF(Reprogramaciones!O$12&gt;=7,"",IF(OR(BX69-N(BW69)&gt;0.05,N(U69)&gt;0),ROUNDDOWN(ROUND(BX69,6),0)&amp;"%"&amp;IF(CN69="",""," / "&amp;CN69&amp;"%"),IF(AND(N(BW69)&gt;=99.95,CN69&lt;&gt;"",N(CN69)&lt;100),"Pend. "&amp;CN69&amp;"%",""))))</f>
        <v/>
      </c>
      <c r="AR69" s="40" t="str">
        <f aca="false">IF(OR(OR(NOT(AND(ISNUMBER(E69),ISNUMBER(F69))),$J$2=""),6&gt;MAX(1,Reprogramaciones!$U$15)),"",IF(Reprogramaciones!P$12&gt;=7,"",IF(OR(BY69-N(BX69)&gt;0.05,N(V69)&gt;0),ROUNDDOWN(ROUND(BY69,6),0)&amp;"%"&amp;IF(CO69="",""," / "&amp;CO69&amp;"%"),IF(AND(N(BX69)&gt;=99.95,CO69&lt;&gt;"",N(CO69)&lt;100),"Pend. "&amp;CO69&amp;"%",""))))</f>
        <v/>
      </c>
      <c r="AS69" s="40" t="str">
        <f aca="false">IF(OR(OR(NOT(AND(ISNUMBER(E69),ISNUMBER(F69))),$J$2=""),7&gt;MAX(1,Reprogramaciones!$U$15)),"",IF(Reprogramaciones!Q$12&gt;=7,"",IF(OR(BZ69-N(BY69)&gt;0.05,N(W69)&gt;0),ROUNDDOWN(ROUND(BZ69,6),0)&amp;"%"&amp;IF(CP69="",""," / "&amp;CP69&amp;"%"),IF(AND(N(BY69)&gt;=99.95,CP69&lt;&gt;"",N(CP69)&lt;100),"Pend. "&amp;CP69&amp;"%",""))))</f>
        <v/>
      </c>
      <c r="AT69" s="40" t="str">
        <f aca="false">IF(OR(OR(NOT(AND(ISNUMBER(E69),ISNUMBER(F69))),$J$2=""),8&gt;MAX(1,Reprogramaciones!$U$15)),"",IF(Reprogramaciones!R$12&gt;=7,"",IF(OR(CA69-N(BZ69)&gt;0.05,N(X69)&gt;0),ROUNDDOWN(ROUND(CA69,6),0)&amp;"%"&amp;IF(CQ69="",""," / "&amp;CQ69&amp;"%"),IF(AND(N(BZ69)&gt;=99.95,CQ69&lt;&gt;"",N(CQ69)&lt;100),"Pend. "&amp;CQ69&amp;"%",""))))</f>
        <v/>
      </c>
      <c r="AU69" s="40" t="str">
        <f aca="false">IF(OR(OR(NOT(AND(ISNUMBER(E69),ISNUMBER(F69))),$J$2=""),9&gt;MAX(1,Reprogramaciones!$U$15)),"",IF(Reprogramaciones!S$12&gt;=7,"",IF(OR(CB69-N(CA69)&gt;0.05,N(Y69)&gt;0),ROUNDDOWN(ROUND(CB69,6),0)&amp;"%"&amp;IF(CR69="",""," / "&amp;CR69&amp;"%"),IF(AND(N(CA69)&gt;=99.95,CR69&lt;&gt;"",N(CR69)&lt;100),"Pend. "&amp;CR69&amp;"%",""))))</f>
        <v/>
      </c>
      <c r="AV69" s="40" t="str">
        <f aca="false">IF(OR(OR(NOT(AND(ISNUMBER(E69),ISNUMBER(F69))),$J$2=""),10&gt;MAX(1,Reprogramaciones!$U$15)),"",IF(Reprogramaciones!T$12&gt;=7,"",IF(OR(CC69-N(CB69)&gt;0.05,N(Z69)&gt;0),ROUNDDOWN(ROUND(CC69,6),0)&amp;"%"&amp;IF(CS69="",""," / "&amp;CS69&amp;"%"),IF(AND(N(CB69)&gt;=99.95,CS69&lt;&gt;"",N(CS69)&lt;100),"Pend. "&amp;CS69&amp;"%",""))))</f>
        <v/>
      </c>
      <c r="AW69" s="40" t="str">
        <f aca="false">IF(OR(OR(NOT(AND(ISNUMBER(E69),ISNUMBER(F69))),$J$2=""),11&gt;MAX(1,Reprogramaciones!$U$15)),"",IF(Reprogramaciones!U$12&gt;=7,"",IF(OR(CD69-N(CC69)&gt;0.05,N(AA69)&gt;0),ROUNDDOWN(ROUND(CD69,6),0)&amp;"%"&amp;IF(CT69="",""," / "&amp;CT69&amp;"%"),IF(AND(N(CC69)&gt;=99.95,CT69&lt;&gt;"",N(CT69)&lt;100),"Pend. "&amp;CT69&amp;"%",""))))</f>
        <v/>
      </c>
      <c r="AX69" s="40" t="str">
        <f aca="false">IF(OR(OR(NOT(AND(ISNUMBER(E69),ISNUMBER(F69))),$J$2=""),12&gt;MAX(1,Reprogramaciones!$U$15)),"",IF(Reprogramaciones!V$12&gt;=7,"",IF(OR(CE69-N(CD69)&gt;0.05,N(AB69)&gt;0),ROUNDDOWN(ROUND(CE69,6),0)&amp;"%"&amp;IF(CU69="",""," / "&amp;CU69&amp;"%"),IF(AND(N(CD69)&gt;=99.95,CU69&lt;&gt;"",N(CU69)&lt;100),"Pend. "&amp;CU69&amp;"%",""))))</f>
        <v/>
      </c>
      <c r="AY69" s="40" t="str">
        <f aca="false">IF(OR(OR(NOT(AND(ISNUMBER(E69),ISNUMBER(F69))),$J$2=""),13&gt;MAX(1,Reprogramaciones!$U$15)),"",IF(Reprogramaciones!W$12&gt;=7,"",IF(OR(CF69-N(CE69)&gt;0.05,N(AC69)&gt;0),ROUNDDOWN(ROUND(CF69,6),0)&amp;"%"&amp;IF(CV69="",""," / "&amp;CV69&amp;"%"),IF(AND(N(CE69)&gt;=99.95,CV69&lt;&gt;"",N(CV69)&lt;100),"Pend. "&amp;CV69&amp;"%",""))))</f>
        <v/>
      </c>
      <c r="AZ69" s="40" t="str">
        <f aca="false">IF(OR(OR(NOT(AND(ISNUMBER(E69),ISNUMBER(F69))),$J$2=""),14&gt;MAX(1,Reprogramaciones!$U$15)),"",IF(Reprogramaciones!X$12&gt;=7,"",IF(OR(CG69-N(CF69)&gt;0.05,N(AD69)&gt;0),ROUNDDOWN(ROUND(CG69,6),0)&amp;"%"&amp;IF(CW69="",""," / "&amp;CW69&amp;"%"),IF(AND(N(CF69)&gt;=99.95,CW69&lt;&gt;"",N(CW69)&lt;100),"Pend. "&amp;CW69&amp;"%",""))))</f>
        <v/>
      </c>
      <c r="BA69" s="40" t="str">
        <f aca="false">IF(OR(OR(NOT(AND(ISNUMBER(E69),ISNUMBER(F69))),$J$2=""),15&gt;MAX(1,Reprogramaciones!$U$15)),"",IF(Reprogramaciones!Y$12&gt;=7,"",IF(OR(CH69-N(CG69)&gt;0.05,N(AE69)&gt;0),ROUNDDOWN(ROUND(CH69,6),0)&amp;"%"&amp;IF(CX69="",""," / "&amp;CX69&amp;"%"),IF(AND(N(CG69)&gt;=99.95,CX69&lt;&gt;"",N(CX69)&lt;100),"Pend. "&amp;CX69&amp;"%",""))))</f>
        <v/>
      </c>
      <c r="BB69" s="40" t="str">
        <f aca="false">IF(OR(OR(NOT(AND(ISNUMBER(E69),ISNUMBER(F69))),$J$2=""),16&gt;MAX(1,Reprogramaciones!$U$15)),"",IF(Reprogramaciones!Z$12&gt;=7,"",IF(OR(CI69-N(CH69)&gt;0.05,N(AF69)&gt;0),ROUNDDOWN(ROUND(CI69,6),0)&amp;"%"&amp;IF(CY69="",""," / "&amp;CY69&amp;"%"),IF(AND(N(CH69)&gt;=99.95,CY69&lt;&gt;"",N(CY69)&lt;100),"Pend. "&amp;CY69&amp;"%",""))))</f>
        <v/>
      </c>
      <c r="BC69" s="31" t="n">
        <f aca="false">IF(AND(ISNUMBER(E69),ISNUMBER(F69)),MAX(1,NETWORKDAYS.INTL(E69,F69,11)),0)</f>
        <v>0</v>
      </c>
      <c r="BD69" s="1" t="str">
        <f aca="false">IF(OR(NOT(AND(ISNUMBER(E69),ISNUMBER(F69))),$J$2=""),"",MIN(100,ROUND(SUM($G69:G69),1)))</f>
        <v/>
      </c>
      <c r="BE69" s="1" t="str">
        <f aca="false">IF(OR(NOT(AND(ISNUMBER(E69),ISNUMBER(F69))),$J$2=""),"",MIN(100,ROUND(SUM($G69:H69),1)))</f>
        <v/>
      </c>
      <c r="BF69" s="1" t="str">
        <f aca="false">IF(OR(NOT(AND(ISNUMBER(E69),ISNUMBER(F69))),$J$2=""),"",MIN(100,ROUND(SUM($G69:I69),1)))</f>
        <v/>
      </c>
      <c r="BG69" s="1" t="str">
        <f aca="false">IF(OR(NOT(AND(ISNUMBER(E69),ISNUMBER(F69))),$J$2=""),"",MIN(100,ROUND(SUM($G69:J69),1)))</f>
        <v/>
      </c>
      <c r="BH69" s="1" t="str">
        <f aca="false">IF(OR(NOT(AND(ISNUMBER(E69),ISNUMBER(F69))),$J$2=""),"",MIN(100,ROUND(SUM($G69:K69),1)))</f>
        <v/>
      </c>
      <c r="BI69" s="1" t="str">
        <f aca="false">IF(OR(NOT(AND(ISNUMBER(E69),ISNUMBER(F69))),$J$2=""),"",MIN(100,ROUND(SUM($G69:L69),1)))</f>
        <v/>
      </c>
      <c r="BJ69" s="1" t="str">
        <f aca="false">IF(OR(NOT(AND(ISNUMBER(E69),ISNUMBER(F69))),$J$2=""),"",MIN(100,ROUND(SUM($G69:M69),1)))</f>
        <v/>
      </c>
      <c r="BK69" s="1" t="str">
        <f aca="false">IF(OR(NOT(AND(ISNUMBER(E69),ISNUMBER(F69))),$J$2=""),"",MIN(100,ROUND(SUM($G69:N69),1)))</f>
        <v/>
      </c>
      <c r="BL69" s="1" t="str">
        <f aca="false">IF(OR(NOT(AND(ISNUMBER(E69),ISNUMBER(F69))),$J$2=""),"",MIN(100,ROUND(SUM($G69:O69),1)))</f>
        <v/>
      </c>
      <c r="BM69" s="1" t="str">
        <f aca="false">IF(OR(NOT(AND(ISNUMBER(E69),ISNUMBER(F69))),$J$2=""),"",MIN(100,ROUND(SUM($G69:P69),1)))</f>
        <v/>
      </c>
      <c r="BN69" s="1" t="str">
        <f aca="false">IF(OR(NOT(AND(ISNUMBER(E69),ISNUMBER(F69))),$J$2=""),"",MIN(100,ROUND(SUM($G69:P69),1)))</f>
        <v/>
      </c>
      <c r="BO69" s="1" t="str">
        <f aca="false">IF(OR(NOT(AND(ISNUMBER(E69),ISNUMBER(F69))),$J$2=""),"",MIN(100,ROUND(SUM($G69:P69),1)))</f>
        <v/>
      </c>
      <c r="BP69" s="1" t="str">
        <f aca="false">IF(OR(NOT(AND(ISNUMBER(E69),ISNUMBER(F69))),$J$2=""),"",MIN(100,ROUND(SUM($G69:P69),1)))</f>
        <v/>
      </c>
      <c r="BQ69" s="1" t="str">
        <f aca="false">IF(OR(NOT(AND(ISNUMBER(E69),ISNUMBER(F69))),$J$2=""),"",MIN(100,ROUND(SUM($G69:P69),1)))</f>
        <v/>
      </c>
      <c r="BR69" s="1" t="str">
        <f aca="false">IF(OR(NOT(AND(ISNUMBER(E69),ISNUMBER(F69))),$J$2=""),"",MIN(100,ROUND(SUM($G69:P69),1)))</f>
        <v/>
      </c>
      <c r="BS69" s="1" t="str">
        <f aca="false">IF(OR(NOT(AND(ISNUMBER(E69),ISNUMBER(F69))),$J$2=""),"",MIN(100,ROUND(SUM($G69:P69),1)))</f>
        <v/>
      </c>
      <c r="BT69" s="1" t="str">
        <f aca="false">IF(OR(NOT(AND(ISNUMBER(E69),ISNUMBER(F69))),$J$2=""),"",IF(Reprogramaciones!K$13&lt;Reprogramaciones!$T$15,0,IF(Reprogramaciones!K$14&gt;10,MIN(100,SUM($G69:$P69)),MIN(100,SUMPRODUCT((COLUMN($G69:$P69)-COLUMN($G69)+1&lt;Reprogramaciones!K$14)*$G69:$P69)+N(INDEX($G69:$P69,1,Reprogramaciones!K$14))*IF(Reprogramaciones!K$13&gt;=(Reprogramaciones!$T$15+7*(Reprogramaciones!K$14-1))+6,1,IF(MAX(0,NETWORKDAYS.INTL(MAX(E69,(Reprogramaciones!$T$15+7*(Reprogramaciones!K$14-1))),MIN(F69,(Reprogramaciones!$T$15+7*(Reprogramaciones!K$14-1))+6),11))=0,0,MAX(0,NETWORKDAYS.INTL(MAX(E69,(Reprogramaciones!$T$15+7*(Reprogramaciones!K$14-1))),MIN(F69,Reprogramaciones!K$13),11))/MAX(0,NETWORKDAYS.INTL(MAX(E69,(Reprogramaciones!$T$15+7*(Reprogramaciones!K$14-1))),MIN(F69,(Reprogramaciones!$T$15+7*(Reprogramaciones!K$14-1))+6),11))))))))</f>
        <v/>
      </c>
      <c r="BU69" s="1" t="str">
        <f aca="false">IF(OR(NOT(AND(ISNUMBER(E69),ISNUMBER(F69))),$J$2=""),"",IF(Reprogramaciones!L$13&lt;Reprogramaciones!$T$15,0,IF(Reprogramaciones!L$14&gt;10,MIN(100,SUM($G69:$P69)),MIN(100,SUMPRODUCT((COLUMN($G69:$P69)-COLUMN($G69)+1&lt;Reprogramaciones!L$14)*$G69:$P69)+N(INDEX($G69:$P69,1,Reprogramaciones!L$14))*IF(Reprogramaciones!L$13&gt;=(Reprogramaciones!$T$15+7*(Reprogramaciones!L$14-1))+6,1,IF(MAX(0,NETWORKDAYS.INTL(MAX(E69,(Reprogramaciones!$T$15+7*(Reprogramaciones!L$14-1))),MIN(F69,(Reprogramaciones!$T$15+7*(Reprogramaciones!L$14-1))+6),11))=0,0,MAX(0,NETWORKDAYS.INTL(MAX(E69,(Reprogramaciones!$T$15+7*(Reprogramaciones!L$14-1))),MIN(F69,Reprogramaciones!L$13),11))/MAX(0,NETWORKDAYS.INTL(MAX(E69,(Reprogramaciones!$T$15+7*(Reprogramaciones!L$14-1))),MIN(F69,(Reprogramaciones!$T$15+7*(Reprogramaciones!L$14-1))+6),11))))))))</f>
        <v/>
      </c>
      <c r="BV69" s="1" t="str">
        <f aca="false">IF(OR(NOT(AND(ISNUMBER(E69),ISNUMBER(F69))),$J$2=""),"",IF(Reprogramaciones!M$13&lt;Reprogramaciones!$T$15,0,IF(Reprogramaciones!M$14&gt;10,MIN(100,SUM($G69:$P69)),MIN(100,SUMPRODUCT((COLUMN($G69:$P69)-COLUMN($G69)+1&lt;Reprogramaciones!M$14)*$G69:$P69)+N(INDEX($G69:$P69,1,Reprogramaciones!M$14))*IF(Reprogramaciones!M$13&gt;=(Reprogramaciones!$T$15+7*(Reprogramaciones!M$14-1))+6,1,IF(MAX(0,NETWORKDAYS.INTL(MAX(E69,(Reprogramaciones!$T$15+7*(Reprogramaciones!M$14-1))),MIN(F69,(Reprogramaciones!$T$15+7*(Reprogramaciones!M$14-1))+6),11))=0,0,MAX(0,NETWORKDAYS.INTL(MAX(E69,(Reprogramaciones!$T$15+7*(Reprogramaciones!M$14-1))),MIN(F69,Reprogramaciones!M$13),11))/MAX(0,NETWORKDAYS.INTL(MAX(E69,(Reprogramaciones!$T$15+7*(Reprogramaciones!M$14-1))),MIN(F69,(Reprogramaciones!$T$15+7*(Reprogramaciones!M$14-1))+6),11))))))))</f>
        <v/>
      </c>
      <c r="BW69" s="1" t="str">
        <f aca="false">IF(OR(NOT(AND(ISNUMBER(E69),ISNUMBER(F69))),$J$2=""),"",IF(Reprogramaciones!N$13&lt;Reprogramaciones!$T$15,0,IF(Reprogramaciones!N$14&gt;10,MIN(100,SUM($G69:$P69)),MIN(100,SUMPRODUCT((COLUMN($G69:$P69)-COLUMN($G69)+1&lt;Reprogramaciones!N$14)*$G69:$P69)+N(INDEX($G69:$P69,1,Reprogramaciones!N$14))*IF(Reprogramaciones!N$13&gt;=(Reprogramaciones!$T$15+7*(Reprogramaciones!N$14-1))+6,1,IF(MAX(0,NETWORKDAYS.INTL(MAX(E69,(Reprogramaciones!$T$15+7*(Reprogramaciones!N$14-1))),MIN(F69,(Reprogramaciones!$T$15+7*(Reprogramaciones!N$14-1))+6),11))=0,0,MAX(0,NETWORKDAYS.INTL(MAX(E69,(Reprogramaciones!$T$15+7*(Reprogramaciones!N$14-1))),MIN(F69,Reprogramaciones!N$13),11))/MAX(0,NETWORKDAYS.INTL(MAX(E69,(Reprogramaciones!$T$15+7*(Reprogramaciones!N$14-1))),MIN(F69,(Reprogramaciones!$T$15+7*(Reprogramaciones!N$14-1))+6),11))))))))</f>
        <v/>
      </c>
      <c r="BX69" s="1" t="str">
        <f aca="false">IF(OR(NOT(AND(ISNUMBER(E69),ISNUMBER(F69))),$J$2=""),"",IF(Reprogramaciones!O$13&lt;Reprogramaciones!$T$15,0,IF(Reprogramaciones!O$14&gt;10,MIN(100,SUM($G69:$P69)),MIN(100,SUMPRODUCT((COLUMN($G69:$P69)-COLUMN($G69)+1&lt;Reprogramaciones!O$14)*$G69:$P69)+N(INDEX($G69:$P69,1,Reprogramaciones!O$14))*IF(Reprogramaciones!O$13&gt;=(Reprogramaciones!$T$15+7*(Reprogramaciones!O$14-1))+6,1,IF(MAX(0,NETWORKDAYS.INTL(MAX(E69,(Reprogramaciones!$T$15+7*(Reprogramaciones!O$14-1))),MIN(F69,(Reprogramaciones!$T$15+7*(Reprogramaciones!O$14-1))+6),11))=0,0,MAX(0,NETWORKDAYS.INTL(MAX(E69,(Reprogramaciones!$T$15+7*(Reprogramaciones!O$14-1))),MIN(F69,Reprogramaciones!O$13),11))/MAX(0,NETWORKDAYS.INTL(MAX(E69,(Reprogramaciones!$T$15+7*(Reprogramaciones!O$14-1))),MIN(F69,(Reprogramaciones!$T$15+7*(Reprogramaciones!O$14-1))+6),11))))))))</f>
        <v/>
      </c>
      <c r="BY69" s="1" t="str">
        <f aca="false">IF(OR(NOT(AND(ISNUMBER(E69),ISNUMBER(F69))),$J$2=""),"",IF(Reprogramaciones!P$13&lt;Reprogramaciones!$T$15,0,IF(Reprogramaciones!P$14&gt;10,MIN(100,SUM($G69:$P69)),MIN(100,SUMPRODUCT((COLUMN($G69:$P69)-COLUMN($G69)+1&lt;Reprogramaciones!P$14)*$G69:$P69)+N(INDEX($G69:$P69,1,Reprogramaciones!P$14))*IF(Reprogramaciones!P$13&gt;=(Reprogramaciones!$T$15+7*(Reprogramaciones!P$14-1))+6,1,IF(MAX(0,NETWORKDAYS.INTL(MAX(E69,(Reprogramaciones!$T$15+7*(Reprogramaciones!P$14-1))),MIN(F69,(Reprogramaciones!$T$15+7*(Reprogramaciones!P$14-1))+6),11))=0,0,MAX(0,NETWORKDAYS.INTL(MAX(E69,(Reprogramaciones!$T$15+7*(Reprogramaciones!P$14-1))),MIN(F69,Reprogramaciones!P$13),11))/MAX(0,NETWORKDAYS.INTL(MAX(E69,(Reprogramaciones!$T$15+7*(Reprogramaciones!P$14-1))),MIN(F69,(Reprogramaciones!$T$15+7*(Reprogramaciones!P$14-1))+6),11))))))))</f>
        <v/>
      </c>
      <c r="BZ69" s="1" t="str">
        <f aca="false">IF(OR(NOT(AND(ISNUMBER(E69),ISNUMBER(F69))),$J$2=""),"",IF(Reprogramaciones!Q$13&lt;Reprogramaciones!$T$15,0,IF(Reprogramaciones!Q$14&gt;10,MIN(100,SUM($G69:$P69)),MIN(100,SUMPRODUCT((COLUMN($G69:$P69)-COLUMN($G69)+1&lt;Reprogramaciones!Q$14)*$G69:$P69)+N(INDEX($G69:$P69,1,Reprogramaciones!Q$14))*IF(Reprogramaciones!Q$13&gt;=(Reprogramaciones!$T$15+7*(Reprogramaciones!Q$14-1))+6,1,IF(MAX(0,NETWORKDAYS.INTL(MAX(E69,(Reprogramaciones!$T$15+7*(Reprogramaciones!Q$14-1))),MIN(F69,(Reprogramaciones!$T$15+7*(Reprogramaciones!Q$14-1))+6),11))=0,0,MAX(0,NETWORKDAYS.INTL(MAX(E69,(Reprogramaciones!$T$15+7*(Reprogramaciones!Q$14-1))),MIN(F69,Reprogramaciones!Q$13),11))/MAX(0,NETWORKDAYS.INTL(MAX(E69,(Reprogramaciones!$T$15+7*(Reprogramaciones!Q$14-1))),MIN(F69,(Reprogramaciones!$T$15+7*(Reprogramaciones!Q$14-1))+6),11))))))))</f>
        <v/>
      </c>
      <c r="CA69" s="1" t="str">
        <f aca="false">IF(OR(NOT(AND(ISNUMBER(E69),ISNUMBER(F69))),$J$2=""),"",IF(Reprogramaciones!R$13&lt;Reprogramaciones!$T$15,0,IF(Reprogramaciones!R$14&gt;10,MIN(100,SUM($G69:$P69)),MIN(100,SUMPRODUCT((COLUMN($G69:$P69)-COLUMN($G69)+1&lt;Reprogramaciones!R$14)*$G69:$P69)+N(INDEX($G69:$P69,1,Reprogramaciones!R$14))*IF(Reprogramaciones!R$13&gt;=(Reprogramaciones!$T$15+7*(Reprogramaciones!R$14-1))+6,1,IF(MAX(0,NETWORKDAYS.INTL(MAX(E69,(Reprogramaciones!$T$15+7*(Reprogramaciones!R$14-1))),MIN(F69,(Reprogramaciones!$T$15+7*(Reprogramaciones!R$14-1))+6),11))=0,0,MAX(0,NETWORKDAYS.INTL(MAX(E69,(Reprogramaciones!$T$15+7*(Reprogramaciones!R$14-1))),MIN(F69,Reprogramaciones!R$13),11))/MAX(0,NETWORKDAYS.INTL(MAX(E69,(Reprogramaciones!$T$15+7*(Reprogramaciones!R$14-1))),MIN(F69,(Reprogramaciones!$T$15+7*(Reprogramaciones!R$14-1))+6),11))))))))</f>
        <v/>
      </c>
      <c r="CB69" s="1" t="str">
        <f aca="false">IF(OR(NOT(AND(ISNUMBER(E69),ISNUMBER(F69))),$J$2=""),"",IF(Reprogramaciones!S$13&lt;Reprogramaciones!$T$15,0,IF(Reprogramaciones!S$14&gt;10,MIN(100,SUM($G69:$P69)),MIN(100,SUMPRODUCT((COLUMN($G69:$P69)-COLUMN($G69)+1&lt;Reprogramaciones!S$14)*$G69:$P69)+N(INDEX($G69:$P69,1,Reprogramaciones!S$14))*IF(Reprogramaciones!S$13&gt;=(Reprogramaciones!$T$15+7*(Reprogramaciones!S$14-1))+6,1,IF(MAX(0,NETWORKDAYS.INTL(MAX(E69,(Reprogramaciones!$T$15+7*(Reprogramaciones!S$14-1))),MIN(F69,(Reprogramaciones!$T$15+7*(Reprogramaciones!S$14-1))+6),11))=0,0,MAX(0,NETWORKDAYS.INTL(MAX(E69,(Reprogramaciones!$T$15+7*(Reprogramaciones!S$14-1))),MIN(F69,Reprogramaciones!S$13),11))/MAX(0,NETWORKDAYS.INTL(MAX(E69,(Reprogramaciones!$T$15+7*(Reprogramaciones!S$14-1))),MIN(F69,(Reprogramaciones!$T$15+7*(Reprogramaciones!S$14-1))+6),11))))))))</f>
        <v/>
      </c>
      <c r="CC69" s="1" t="str">
        <f aca="false">IF(OR(NOT(AND(ISNUMBER(E69),ISNUMBER(F69))),$J$2=""),"",IF(Reprogramaciones!T$13&lt;Reprogramaciones!$T$15,0,IF(Reprogramaciones!T$14&gt;10,MIN(100,SUM($G69:$P69)),MIN(100,SUMPRODUCT((COLUMN($G69:$P69)-COLUMN($G69)+1&lt;Reprogramaciones!T$14)*$G69:$P69)+N(INDEX($G69:$P69,1,Reprogramaciones!T$14))*IF(Reprogramaciones!T$13&gt;=(Reprogramaciones!$T$15+7*(Reprogramaciones!T$14-1))+6,1,IF(MAX(0,NETWORKDAYS.INTL(MAX(E69,(Reprogramaciones!$T$15+7*(Reprogramaciones!T$14-1))),MIN(F69,(Reprogramaciones!$T$15+7*(Reprogramaciones!T$14-1))+6),11))=0,0,MAX(0,NETWORKDAYS.INTL(MAX(E69,(Reprogramaciones!$T$15+7*(Reprogramaciones!T$14-1))),MIN(F69,Reprogramaciones!T$13),11))/MAX(0,NETWORKDAYS.INTL(MAX(E69,(Reprogramaciones!$T$15+7*(Reprogramaciones!T$14-1))),MIN(F69,(Reprogramaciones!$T$15+7*(Reprogramaciones!T$14-1))+6),11))))))))</f>
        <v/>
      </c>
      <c r="CD69" s="1" t="str">
        <f aca="false">IF(OR(NOT(AND(ISNUMBER(E69),ISNUMBER(F69))),$J$2=""),"",IF(Reprogramaciones!U$13&lt;Reprogramaciones!$T$15,0,IF(Reprogramaciones!U$14&gt;10,MIN(100,SUM($G69:$P69)),MIN(100,SUMPRODUCT((COLUMN($G69:$P69)-COLUMN($G69)+1&lt;Reprogramaciones!U$14)*$G69:$P69)+N(INDEX($G69:$P69,1,Reprogramaciones!U$14))*IF(Reprogramaciones!U$13&gt;=(Reprogramaciones!$T$15+7*(Reprogramaciones!U$14-1))+6,1,IF(MAX(0,NETWORKDAYS.INTL(MAX(E69,(Reprogramaciones!$T$15+7*(Reprogramaciones!U$14-1))),MIN(F69,(Reprogramaciones!$T$15+7*(Reprogramaciones!U$14-1))+6),11))=0,0,MAX(0,NETWORKDAYS.INTL(MAX(E69,(Reprogramaciones!$T$15+7*(Reprogramaciones!U$14-1))),MIN(F69,Reprogramaciones!U$13),11))/MAX(0,NETWORKDAYS.INTL(MAX(E69,(Reprogramaciones!$T$15+7*(Reprogramaciones!U$14-1))),MIN(F69,(Reprogramaciones!$T$15+7*(Reprogramaciones!U$14-1))+6),11))))))))</f>
        <v/>
      </c>
      <c r="CE69" s="1" t="str">
        <f aca="false">IF(OR(NOT(AND(ISNUMBER(E69),ISNUMBER(F69))),$J$2=""),"",IF(Reprogramaciones!V$13&lt;Reprogramaciones!$T$15,0,IF(Reprogramaciones!V$14&gt;10,MIN(100,SUM($G69:$P69)),MIN(100,SUMPRODUCT((COLUMN($G69:$P69)-COLUMN($G69)+1&lt;Reprogramaciones!V$14)*$G69:$P69)+N(INDEX($G69:$P69,1,Reprogramaciones!V$14))*IF(Reprogramaciones!V$13&gt;=(Reprogramaciones!$T$15+7*(Reprogramaciones!V$14-1))+6,1,IF(MAX(0,NETWORKDAYS.INTL(MAX(E69,(Reprogramaciones!$T$15+7*(Reprogramaciones!V$14-1))),MIN(F69,(Reprogramaciones!$T$15+7*(Reprogramaciones!V$14-1))+6),11))=0,0,MAX(0,NETWORKDAYS.INTL(MAX(E69,(Reprogramaciones!$T$15+7*(Reprogramaciones!V$14-1))),MIN(F69,Reprogramaciones!V$13),11))/MAX(0,NETWORKDAYS.INTL(MAX(E69,(Reprogramaciones!$T$15+7*(Reprogramaciones!V$14-1))),MIN(F69,(Reprogramaciones!$T$15+7*(Reprogramaciones!V$14-1))+6),11))))))))</f>
        <v/>
      </c>
      <c r="CF69" s="1" t="str">
        <f aca="false">IF(OR(NOT(AND(ISNUMBER(E69),ISNUMBER(F69))),$J$2=""),"",IF(Reprogramaciones!W$13&lt;Reprogramaciones!$T$15,0,IF(Reprogramaciones!W$14&gt;10,MIN(100,SUM($G69:$P69)),MIN(100,SUMPRODUCT((COLUMN($G69:$P69)-COLUMN($G69)+1&lt;Reprogramaciones!W$14)*$G69:$P69)+N(INDEX($G69:$P69,1,Reprogramaciones!W$14))*IF(Reprogramaciones!W$13&gt;=(Reprogramaciones!$T$15+7*(Reprogramaciones!W$14-1))+6,1,IF(MAX(0,NETWORKDAYS.INTL(MAX(E69,(Reprogramaciones!$T$15+7*(Reprogramaciones!W$14-1))),MIN(F69,(Reprogramaciones!$T$15+7*(Reprogramaciones!W$14-1))+6),11))=0,0,MAX(0,NETWORKDAYS.INTL(MAX(E69,(Reprogramaciones!$T$15+7*(Reprogramaciones!W$14-1))),MIN(F69,Reprogramaciones!W$13),11))/MAX(0,NETWORKDAYS.INTL(MAX(E69,(Reprogramaciones!$T$15+7*(Reprogramaciones!W$14-1))),MIN(F69,(Reprogramaciones!$T$15+7*(Reprogramaciones!W$14-1))+6),11))))))))</f>
        <v/>
      </c>
      <c r="CG69" s="1" t="str">
        <f aca="false">IF(OR(NOT(AND(ISNUMBER(E69),ISNUMBER(F69))),$J$2=""),"",IF(Reprogramaciones!X$13&lt;Reprogramaciones!$T$15,0,IF(Reprogramaciones!X$14&gt;10,MIN(100,SUM($G69:$P69)),MIN(100,SUMPRODUCT((COLUMN($G69:$P69)-COLUMN($G69)+1&lt;Reprogramaciones!X$14)*$G69:$P69)+N(INDEX($G69:$P69,1,Reprogramaciones!X$14))*IF(Reprogramaciones!X$13&gt;=(Reprogramaciones!$T$15+7*(Reprogramaciones!X$14-1))+6,1,IF(MAX(0,NETWORKDAYS.INTL(MAX(E69,(Reprogramaciones!$T$15+7*(Reprogramaciones!X$14-1))),MIN(F69,(Reprogramaciones!$T$15+7*(Reprogramaciones!X$14-1))+6),11))=0,0,MAX(0,NETWORKDAYS.INTL(MAX(E69,(Reprogramaciones!$T$15+7*(Reprogramaciones!X$14-1))),MIN(F69,Reprogramaciones!X$13),11))/MAX(0,NETWORKDAYS.INTL(MAX(E69,(Reprogramaciones!$T$15+7*(Reprogramaciones!X$14-1))),MIN(F69,(Reprogramaciones!$T$15+7*(Reprogramaciones!X$14-1))+6),11))))))))</f>
        <v/>
      </c>
      <c r="CH69" s="1" t="str">
        <f aca="false">IF(OR(NOT(AND(ISNUMBER(E69),ISNUMBER(F69))),$J$2=""),"",IF(Reprogramaciones!Y$13&lt;Reprogramaciones!$T$15,0,IF(Reprogramaciones!Y$14&gt;10,MIN(100,SUM($G69:$P69)),MIN(100,SUMPRODUCT((COLUMN($G69:$P69)-COLUMN($G69)+1&lt;Reprogramaciones!Y$14)*$G69:$P69)+N(INDEX($G69:$P69,1,Reprogramaciones!Y$14))*IF(Reprogramaciones!Y$13&gt;=(Reprogramaciones!$T$15+7*(Reprogramaciones!Y$14-1))+6,1,IF(MAX(0,NETWORKDAYS.INTL(MAX(E69,(Reprogramaciones!$T$15+7*(Reprogramaciones!Y$14-1))),MIN(F69,(Reprogramaciones!$T$15+7*(Reprogramaciones!Y$14-1))+6),11))=0,0,MAX(0,NETWORKDAYS.INTL(MAX(E69,(Reprogramaciones!$T$15+7*(Reprogramaciones!Y$14-1))),MIN(F69,Reprogramaciones!Y$13),11))/MAX(0,NETWORKDAYS.INTL(MAX(E69,(Reprogramaciones!$T$15+7*(Reprogramaciones!Y$14-1))),MIN(F69,(Reprogramaciones!$T$15+7*(Reprogramaciones!Y$14-1))+6),11))))))))</f>
        <v/>
      </c>
      <c r="CI69" s="1" t="str">
        <f aca="false">IF(OR(NOT(AND(ISNUMBER(E69),ISNUMBER(F69))),$J$2=""),"",IF(Reprogramaciones!Z$13&lt;Reprogramaciones!$T$15,0,IF(Reprogramaciones!Z$14&gt;10,MIN(100,SUM($G69:$P69)),MIN(100,SUMPRODUCT((COLUMN($G69:$P69)-COLUMN($G69)+1&lt;Reprogramaciones!Z$14)*$G69:$P69)+N(INDEX($G69:$P69,1,Reprogramaciones!Z$14))*IF(Reprogramaciones!Z$13&gt;=(Reprogramaciones!$T$15+7*(Reprogramaciones!Z$14-1))+6,1,IF(MAX(0,NETWORKDAYS.INTL(MAX(E69,(Reprogramaciones!$T$15+7*(Reprogramaciones!Z$14-1))),MIN(F69,(Reprogramaciones!$T$15+7*(Reprogramaciones!Z$14-1))+6),11))=0,0,MAX(0,NETWORKDAYS.INTL(MAX(E69,(Reprogramaciones!$T$15+7*(Reprogramaciones!Z$14-1))),MIN(F69,Reprogramaciones!Z$13),11))/MAX(0,NETWORKDAYS.INTL(MAX(E69,(Reprogramaciones!$T$15+7*(Reprogramaciones!Z$14-1))),MIN(F69,(Reprogramaciones!$T$15+7*(Reprogramaciones!Z$14-1))+6),11))))))))</f>
        <v/>
      </c>
      <c r="CJ69" s="1" t="str">
        <f aca="false">IF(OR(OR(NOT(AND(ISNUMBER(E69),ISNUMBER(F69))),$J$2=""),1&gt;Reprogramaciones!$K$16),"",IF(ROUND(SUM($Q69:Q69),1)&gt;=99.5,100,MIN(100,ROUND(SUM($Q69:Q69),1))))</f>
        <v/>
      </c>
      <c r="CK69" s="1" t="str">
        <f aca="false">IF(OR(OR(NOT(AND(ISNUMBER(E69),ISNUMBER(F69))),$J$2=""),2&gt;Reprogramaciones!$K$16),"",IF(ROUND(SUM($Q69:R69),1)&gt;=99.5,100,MIN(100,ROUND(SUM($Q69:R69),1))))</f>
        <v/>
      </c>
      <c r="CL69" s="1" t="str">
        <f aca="false">IF(OR(OR(NOT(AND(ISNUMBER(E69),ISNUMBER(F69))),$J$2=""),3&gt;Reprogramaciones!$K$16),"",IF(ROUND(SUM($Q69:S69),1)&gt;=99.5,100,MIN(100,ROUND(SUM($Q69:S69),1))))</f>
        <v/>
      </c>
      <c r="CM69" s="1" t="str">
        <f aca="false">IF(OR(OR(NOT(AND(ISNUMBER(E69),ISNUMBER(F69))),$J$2=""),4&gt;Reprogramaciones!$K$16),"",IF(ROUND(SUM($Q69:T69),1)&gt;=99.5,100,MIN(100,ROUND(SUM($Q69:T69),1))))</f>
        <v/>
      </c>
      <c r="CN69" s="1" t="str">
        <f aca="false">IF(OR(OR(NOT(AND(ISNUMBER(E69),ISNUMBER(F69))),$J$2=""),5&gt;Reprogramaciones!$K$16),"",IF(ROUND(SUM($Q69:U69),1)&gt;=99.5,100,MIN(100,ROUND(SUM($Q69:U69),1))))</f>
        <v/>
      </c>
      <c r="CO69" s="1" t="str">
        <f aca="false">IF(OR(OR(NOT(AND(ISNUMBER(E69),ISNUMBER(F69))),$J$2=""),6&gt;Reprogramaciones!$K$16),"",IF(ROUND(SUM($Q69:V69),1)&gt;=99.5,100,MIN(100,ROUND(SUM($Q69:V69),1))))</f>
        <v/>
      </c>
      <c r="CP69" s="1" t="str">
        <f aca="false">IF(OR(OR(NOT(AND(ISNUMBER(E69),ISNUMBER(F69))),$J$2=""),7&gt;Reprogramaciones!$K$16),"",IF(ROUND(SUM($Q69:W69),1)&gt;=99.5,100,MIN(100,ROUND(SUM($Q69:W69),1))))</f>
        <v/>
      </c>
      <c r="CQ69" s="1" t="str">
        <f aca="false">IF(OR(OR(NOT(AND(ISNUMBER(E69),ISNUMBER(F69))),$J$2=""),8&gt;Reprogramaciones!$K$16),"",IF(ROUND(SUM($Q69:X69),1)&gt;=99.5,100,MIN(100,ROUND(SUM($Q69:X69),1))))</f>
        <v/>
      </c>
      <c r="CR69" s="1" t="str">
        <f aca="false">IF(OR(OR(NOT(AND(ISNUMBER(E69),ISNUMBER(F69))),$J$2=""),9&gt;Reprogramaciones!$K$16),"",IF(ROUND(SUM($Q69:Y69),1)&gt;=99.5,100,MIN(100,ROUND(SUM($Q69:Y69),1))))</f>
        <v/>
      </c>
      <c r="CS69" s="1" t="str">
        <f aca="false">IF(OR(OR(NOT(AND(ISNUMBER(E69),ISNUMBER(F69))),$J$2=""),10&gt;Reprogramaciones!$K$16),"",IF(ROUND(SUM($Q69:Z69),1)&gt;=99.5,100,MIN(100,ROUND(SUM($Q69:Z69),1))))</f>
        <v/>
      </c>
      <c r="CT69" s="1" t="str">
        <f aca="false">IF(OR(OR(NOT(AND(ISNUMBER(E69),ISNUMBER(F69))),$J$2=""),11&gt;Reprogramaciones!$K$16),"",IF(ROUND(SUM($Q69:AA69),1)&gt;=99.5,100,MIN(100,ROUND(SUM($Q69:AA69),1))))</f>
        <v/>
      </c>
      <c r="CU69" s="1" t="str">
        <f aca="false">IF(OR(OR(NOT(AND(ISNUMBER(E69),ISNUMBER(F69))),$J$2=""),12&gt;Reprogramaciones!$K$16),"",IF(ROUND(SUM($Q69:AB69),1)&gt;=99.5,100,MIN(100,ROUND(SUM($Q69:AB69),1))))</f>
        <v/>
      </c>
      <c r="CV69" s="1" t="str">
        <f aca="false">IF(OR(OR(NOT(AND(ISNUMBER(E69),ISNUMBER(F69))),$J$2=""),13&gt;Reprogramaciones!$K$16),"",IF(ROUND(SUM($Q69:AC69),1)&gt;=99.5,100,MIN(100,ROUND(SUM($Q69:AC69),1))))</f>
        <v/>
      </c>
      <c r="CW69" s="1" t="str">
        <f aca="false">IF(OR(OR(NOT(AND(ISNUMBER(E69),ISNUMBER(F69))),$J$2=""),14&gt;Reprogramaciones!$K$16),"",IF(ROUND(SUM($Q69:AD69),1)&gt;=99.5,100,MIN(100,ROUND(SUM($Q69:AD69),1))))</f>
        <v/>
      </c>
      <c r="CX69" s="1" t="str">
        <f aca="false">IF(OR(OR(NOT(AND(ISNUMBER(E69),ISNUMBER(F69))),$J$2=""),15&gt;Reprogramaciones!$K$16),"",IF(ROUND(SUM($Q69:AE69),1)&gt;=99.5,100,MIN(100,ROUND(SUM($Q69:AE69),1))))</f>
        <v/>
      </c>
      <c r="CY69" s="1" t="str">
        <f aca="false">IF(OR(OR(NOT(AND(ISNUMBER(E69),ISNUMBER(F69))),$J$2=""),16&gt;Reprogramaciones!$K$16),"",IF(ROUND(SUM($Q69:AF69),1)&gt;=99.5,100,MIN(100,ROUND(SUM($Q69:AF69),1))))</f>
        <v/>
      </c>
      <c r="CZ69" s="1" t="str">
        <f aca="false">IF(D69&lt;&gt;"",D69,IF(B69&lt;&gt;"","Contractual",CZ68))</f>
        <v>Contractual</v>
      </c>
      <c r="DA69" s="1" t="str">
        <f aca="false">IF(OR(NOT(AND(ISNUMBER(E69),ISNUMBER(F69))),$J$2=""),"",IF(Reprogramaciones!$Q$15&lt;Reprogramaciones!$T$15,0,IF(Reprogramaciones!$S$15&gt;10,MIN(100,SUM($G69:$P69)),MIN(100,SUMPRODUCT((COLUMN($G69:$P69)-COLUMN($G69)+1&lt;Reprogramaciones!$S$15)*$G69:$P69)+N(INDEX($G69:$P69,1,Reprogramaciones!$S$15))*IF(Reprogramaciones!$Q$15&gt;=(Reprogramaciones!$T$15+7*(Reprogramaciones!$S$15-1))+6,1,IF(MAX(0,NETWORKDAYS.INTL(MAX(E69,(Reprogramaciones!$T$15+7*(Reprogramaciones!$S$15-1))),MIN(F69,(Reprogramaciones!$T$15+7*(Reprogramaciones!$S$15-1))+6),11))=0,0,MAX(0,NETWORKDAYS.INTL(MAX(E69,(Reprogramaciones!$T$15+7*(Reprogramaciones!$S$15-1))),MIN(F69,Reprogramaciones!$Q$15),11))/MAX(0,NETWORKDAYS.INTL(MAX(E69,(Reprogramaciones!$T$15+7*(Reprogramaciones!$S$15-1))),MIN(F69,(Reprogramaciones!$T$15+7*(Reprogramaciones!$S$15-1))+6),11))))))))</f>
        <v/>
      </c>
    </row>
    <row r="70" customFormat="false" ht="15" hidden="false" customHeight="false" outlineLevel="0" collapsed="false">
      <c r="A70" s="32"/>
      <c r="B70" s="33"/>
      <c r="C70" s="33"/>
      <c r="D70" s="34"/>
      <c r="E70" s="35"/>
      <c r="F70" s="35"/>
      <c r="G70" s="36" t="str">
        <f aca="false">IF(OR(NOT(AND(ISNUMBER(E70),ISNUMBER(F70))),$J$2=""),"",IF(Reprogramaciones!K$9&lt;E70,0,IF(NETWORKDAYS.INTL(E70,F70,11)=0,IF(Reprogramaciones!K$9&gt;=F70,100,0),ROUND(NETWORKDAYS.INTL(E70,MIN(F70,Reprogramaciones!K$9),11)/NETWORKDAYS.INTL(E70,F70,11)*100,1)))-0)</f>
        <v/>
      </c>
      <c r="H70" s="36" t="str">
        <f aca="false">IF(OR(NOT(AND(ISNUMBER(E70),ISNUMBER(F70))),$J$2=""),"",IF(Reprogramaciones!L$9&lt;E70,0,IF(NETWORKDAYS.INTL(E70,F70,11)=0,IF(Reprogramaciones!L$9&gt;=F70,100,0),ROUND(NETWORKDAYS.INTL(E70,MIN(F70,Reprogramaciones!L$9),11)/NETWORKDAYS.INTL(E70,F70,11)*100,1)))-IF(Reprogramaciones!K$9&lt;E70,0,IF(NETWORKDAYS.INTL(E70,F70,11)=0,IF(Reprogramaciones!K$9&gt;=F70,100,0),ROUND(NETWORKDAYS.INTL(E70,MIN(F70,Reprogramaciones!K$9),11)/NETWORKDAYS.INTL(E70,F70,11)*100,1))))</f>
        <v/>
      </c>
      <c r="I70" s="36" t="str">
        <f aca="false">IF(OR(NOT(AND(ISNUMBER(E70),ISNUMBER(F70))),$J$2=""),"",IF(Reprogramaciones!M$9&lt;E70,0,IF(NETWORKDAYS.INTL(E70,F70,11)=0,IF(Reprogramaciones!M$9&gt;=F70,100,0),ROUND(NETWORKDAYS.INTL(E70,MIN(F70,Reprogramaciones!M$9),11)/NETWORKDAYS.INTL(E70,F70,11)*100,1)))-IF(Reprogramaciones!L$9&lt;E70,0,IF(NETWORKDAYS.INTL(E70,F70,11)=0,IF(Reprogramaciones!L$9&gt;=F70,100,0),ROUND(NETWORKDAYS.INTL(E70,MIN(F70,Reprogramaciones!L$9),11)/NETWORKDAYS.INTL(E70,F70,11)*100,1))))</f>
        <v/>
      </c>
      <c r="J70" s="36" t="str">
        <f aca="false">IF(OR(NOT(AND(ISNUMBER(E70),ISNUMBER(F70))),$J$2=""),"",IF(Reprogramaciones!N$9&lt;E70,0,IF(NETWORKDAYS.INTL(E70,F70,11)=0,IF(Reprogramaciones!N$9&gt;=F70,100,0),ROUND(NETWORKDAYS.INTL(E70,MIN(F70,Reprogramaciones!N$9),11)/NETWORKDAYS.INTL(E70,F70,11)*100,1)))-IF(Reprogramaciones!M$9&lt;E70,0,IF(NETWORKDAYS.INTL(E70,F70,11)=0,IF(Reprogramaciones!M$9&gt;=F70,100,0),ROUND(NETWORKDAYS.INTL(E70,MIN(F70,Reprogramaciones!M$9),11)/NETWORKDAYS.INTL(E70,F70,11)*100,1))))</f>
        <v/>
      </c>
      <c r="K70" s="36" t="str">
        <f aca="false">IF(OR(NOT(AND(ISNUMBER(E70),ISNUMBER(F70))),$J$2=""),"",IF(Reprogramaciones!O$9&lt;E70,0,IF(NETWORKDAYS.INTL(E70,F70,11)=0,IF(Reprogramaciones!O$9&gt;=F70,100,0),ROUND(NETWORKDAYS.INTL(E70,MIN(F70,Reprogramaciones!O$9),11)/NETWORKDAYS.INTL(E70,F70,11)*100,1)))-IF(Reprogramaciones!N$9&lt;E70,0,IF(NETWORKDAYS.INTL(E70,F70,11)=0,IF(Reprogramaciones!N$9&gt;=F70,100,0),ROUND(NETWORKDAYS.INTL(E70,MIN(F70,Reprogramaciones!N$9),11)/NETWORKDAYS.INTL(E70,F70,11)*100,1))))</f>
        <v/>
      </c>
      <c r="L70" s="36" t="str">
        <f aca="false">IF(OR(NOT(AND(ISNUMBER(E70),ISNUMBER(F70))),$J$2=""),"",IF(Reprogramaciones!P$9&lt;E70,0,IF(NETWORKDAYS.INTL(E70,F70,11)=0,IF(Reprogramaciones!P$9&gt;=F70,100,0),ROUND(NETWORKDAYS.INTL(E70,MIN(F70,Reprogramaciones!P$9),11)/NETWORKDAYS.INTL(E70,F70,11)*100,1)))-IF(Reprogramaciones!O$9&lt;E70,0,IF(NETWORKDAYS.INTL(E70,F70,11)=0,IF(Reprogramaciones!O$9&gt;=F70,100,0),ROUND(NETWORKDAYS.INTL(E70,MIN(F70,Reprogramaciones!O$9),11)/NETWORKDAYS.INTL(E70,F70,11)*100,1))))</f>
        <v/>
      </c>
      <c r="M70" s="36" t="str">
        <f aca="false">IF(OR(NOT(AND(ISNUMBER(E70),ISNUMBER(F70))),$J$2=""),"",IF(Reprogramaciones!Q$9&lt;E70,0,IF(NETWORKDAYS.INTL(E70,F70,11)=0,IF(Reprogramaciones!Q$9&gt;=F70,100,0),ROUND(NETWORKDAYS.INTL(E70,MIN(F70,Reprogramaciones!Q$9),11)/NETWORKDAYS.INTL(E70,F70,11)*100,1)))-IF(Reprogramaciones!P$9&lt;E70,0,IF(NETWORKDAYS.INTL(E70,F70,11)=0,IF(Reprogramaciones!P$9&gt;=F70,100,0),ROUND(NETWORKDAYS.INTL(E70,MIN(F70,Reprogramaciones!P$9),11)/NETWORKDAYS.INTL(E70,F70,11)*100,1))))</f>
        <v/>
      </c>
      <c r="N70" s="36" t="str">
        <f aca="false">IF(OR(NOT(AND(ISNUMBER(E70),ISNUMBER(F70))),$J$2=""),"",IF(Reprogramaciones!R$9&lt;E70,0,IF(NETWORKDAYS.INTL(E70,F70,11)=0,IF(Reprogramaciones!R$9&gt;=F70,100,0),ROUND(NETWORKDAYS.INTL(E70,MIN(F70,Reprogramaciones!R$9),11)/NETWORKDAYS.INTL(E70,F70,11)*100,1)))-IF(Reprogramaciones!Q$9&lt;E70,0,IF(NETWORKDAYS.INTL(E70,F70,11)=0,IF(Reprogramaciones!Q$9&gt;=F70,100,0),ROUND(NETWORKDAYS.INTL(E70,MIN(F70,Reprogramaciones!Q$9),11)/NETWORKDAYS.INTL(E70,F70,11)*100,1))))</f>
        <v/>
      </c>
      <c r="O70" s="36" t="str">
        <f aca="false">IF(OR(NOT(AND(ISNUMBER(E70),ISNUMBER(F70))),$J$2=""),"",IF(Reprogramaciones!S$9&lt;E70,0,IF(NETWORKDAYS.INTL(E70,F70,11)=0,IF(Reprogramaciones!S$9&gt;=F70,100,0),ROUND(NETWORKDAYS.INTL(E70,MIN(F70,Reprogramaciones!S$9),11)/NETWORKDAYS.INTL(E70,F70,11)*100,1)))-IF(Reprogramaciones!R$9&lt;E70,0,IF(NETWORKDAYS.INTL(E70,F70,11)=0,IF(Reprogramaciones!R$9&gt;=F70,100,0),ROUND(NETWORKDAYS.INTL(E70,MIN(F70,Reprogramaciones!R$9),11)/NETWORKDAYS.INTL(E70,F70,11)*100,1))))</f>
        <v/>
      </c>
      <c r="P70" s="36" t="str">
        <f aca="false">IF(OR(NOT(AND(ISNUMBER(E70),ISNUMBER(F70))),$J$2=""),"",IF(Reprogramaciones!T$9&lt;E70,0,IF(NETWORKDAYS.INTL(E70,F70,11)=0,IF(Reprogramaciones!T$9&gt;=F70,100,0),ROUND(NETWORKDAYS.INTL(E70,MIN(F70,Reprogramaciones!T$9),11)/NETWORKDAYS.INTL(E70,F70,11)*100,1)))-IF(Reprogramaciones!S$9&lt;E70,0,IF(NETWORKDAYS.INTL(E70,F70,11)=0,IF(Reprogramaciones!S$9&gt;=F70,100,0),ROUND(NETWORKDAYS.INTL(E70,MIN(F70,Reprogramaciones!S$9),11)/NETWORKDAYS.INTL(E70,F70,11)*100,1))))</f>
        <v/>
      </c>
      <c r="Q70" s="37"/>
      <c r="R70" s="37"/>
      <c r="S70" s="37"/>
      <c r="T70" s="37"/>
      <c r="U70" s="37"/>
      <c r="V70" s="37"/>
      <c r="W70" s="37"/>
      <c r="X70" s="37"/>
      <c r="Y70" s="37"/>
      <c r="Z70" s="37"/>
      <c r="AA70" s="37"/>
      <c r="AB70" s="37"/>
      <c r="AC70" s="37"/>
      <c r="AD70" s="37"/>
      <c r="AE70" s="37"/>
      <c r="AF70" s="37"/>
      <c r="AG70" s="38" t="str">
        <f aca="false">IF(AND(ISNUMBER(E70),ISNUMBER(F70)),NETWORKDAYS.INTL(E70,F70,11),"")</f>
        <v/>
      </c>
      <c r="AH70" s="38" t="str">
        <f aca="false">IF(OR(NOT(AND(ISNUMBER(E70),ISNUMBER(F70))),$J$2=""),"",IF(Reprogramaciones!$P$15&lt;Reprogramaciones!$T$15,0,IF(Reprogramaciones!$R$15&gt;10,MIN(100,SUM($G70:$P70)),MIN(100,SUMPRODUCT((COLUMN($G70:$P70)-COLUMN($G70)+1&lt;Reprogramaciones!$R$15)*$G70:$P70)+N(INDEX($G70:$P70,1,Reprogramaciones!$R$15))*IF(Reprogramaciones!$P$15&gt;=(Reprogramaciones!$T$15+7*(Reprogramaciones!$R$15-1))+6,1,IF(MAX(0,NETWORKDAYS.INTL(MAX(E70,(Reprogramaciones!$T$15+7*(Reprogramaciones!$R$15-1))),MIN(F70,(Reprogramaciones!$T$15+7*(Reprogramaciones!$R$15-1))+6),11))=0,0,MAX(0,NETWORKDAYS.INTL(MAX(E70,(Reprogramaciones!$T$15+7*(Reprogramaciones!$R$15-1))),MIN(F70,Reprogramaciones!$P$15),11))/MAX(0,NETWORKDAYS.INTL(MAX(E70,(Reprogramaciones!$T$15+7*(Reprogramaciones!$R$15-1))),MIN(F70,(Reprogramaciones!$T$15+7*(Reprogramaciones!$R$15-1))+6),11))))))))</f>
        <v/>
      </c>
      <c r="AI70" s="38" t="str">
        <f aca="false">IF(COUNT($Q70:$AF70)=0,"",IF(ROUND(SUM($Q70:$AF70),1)&gt;=99.5,100,MIN(100,ROUND(SUM($Q70:$AF70),1))))</f>
        <v/>
      </c>
      <c r="AJ70" s="38" t="str">
        <f aca="false">IF(OR(AH70="",AI70=""),"",AI70-AH70)</f>
        <v/>
      </c>
      <c r="AK70" s="39" t="str">
        <f aca="true">IF(AH70="","",IF(OR(Ficha!$C$10="Suspendida",Ficha!$C$10="Cancelada"),Ficha!$C$10,IF(AND(AI70&lt;&gt;"",N(AI70)&gt;=100),"Completada",IF(AND(E70&gt;TODAY(),N(AI70)=0),"Por iniciar",IF(N(AI70)+0.5&lt;AH70,"Retrasada",IF(N(AI70)+0.5&lt;DA70,IF(Reprogramaciones!$K$15&gt;0,"Al día · Sem "&amp;Reprogramaciones!$K$15&amp;" en curso","Al día · en curso"),"A tiempo"))))))</f>
        <v/>
      </c>
      <c r="AL70" s="39" t="str">
        <f aca="true">IF(AND(A70="",AND(B70="",C70="",E70="",F70="",COUNT(Q70:AF70)=0)),"",IF(AND(B70="",C70="",E70="",F70="",COUNT(Q70:AF70)=0),"Falta la partida o subpartida",IF(AND(A70&lt;&gt;"",COUNTIF($A$6:$A$305,A70)&gt;1),"Ítem repetido",IF(AND(C70="",E70="",F70="",COUNT(Q70:AF70)=0),"Título de partida",IF(OR(E70="",F70=""),"Faltan fechas",IF(OR(ISTEXT(E70),ISTEXT(F70)),"Fecha escrita como texto: usa dd/mm/aaaa",IF(F70&lt;E70,"Fin antes del inicio",IF(IF($J$2="",FALSE(),OR(E70&lt;$J$2,F70&gt;Reprogramaciones!$T$15+69)),"Fuera de las 10 semanas",IF(ABS(SUM(G70:P70)-100)&gt;0.5,"La meta no suma 100%",IF(ROUND(SUM(Q70:AF70),1)&gt;100.5,"El avance pasa de 100%",IF(MIN(Q70:AF70)&lt;0,"Avance negativo",IF(COUNTA(Q70:AF70)&gt;COUNT(Q70:AF70),"Avance escrito como texto",IF(SUMPRODUCT((Q70:AF70&gt;0)*(Q70:AF70&lt;1))&gt;0,"Avance menor a 1: escribe 50, no 50%",IF(SUMPRODUCT(ISNUMBER(Q70:AF70)*(Reprogramaciones!$K$8:$Z$8&gt;TODAY()))&gt;0,"Avance en semana que aún no llega",IF(AND(N(Reprogramaciones!$E$21)&gt;0,F70&gt;Reprogramaciones!$E$21),"Pasa el fin de la obra: registra una reprogramación",IF(AND(N(Reprogramaciones!$E$21)&gt;0,SUMPRODUCT(ISNUMBER(Q70:AF70)*(Reprogramaciones!$K$8:$Z$8&gt;Reprogramaciones!$E$21))&gt;0),"Avance después del fin de la obra: registra una reprogramación por atraso","OK"))))))))))))))))</f>
        <v/>
      </c>
      <c r="AM70" s="40" t="str">
        <f aca="false">IF(OR(OR(NOT(AND(ISNUMBER(E70),ISNUMBER(F70))),$J$2=""),1&gt;MAX(1,Reprogramaciones!$U$15)),"",IF(Reprogramaciones!K$12&gt;=7,"",IF(OR(BT70-N(0)&gt;0.05,N(Q70)&gt;0),ROUNDDOWN(ROUND(BT70,6),0)&amp;"%"&amp;IF(CJ70="",""," / "&amp;CJ70&amp;"%"),IF(AND(N(0)&gt;=99.95,CJ70&lt;&gt;"",N(CJ70)&lt;100),"Pend. "&amp;CJ70&amp;"%",""))))</f>
        <v/>
      </c>
      <c r="AN70" s="40" t="str">
        <f aca="false">IF(OR(OR(NOT(AND(ISNUMBER(E70),ISNUMBER(F70))),$J$2=""),2&gt;MAX(1,Reprogramaciones!$U$15)),"",IF(Reprogramaciones!L$12&gt;=7,"",IF(OR(BU70-N(BT70)&gt;0.05,N(R70)&gt;0),ROUNDDOWN(ROUND(BU70,6),0)&amp;"%"&amp;IF(CK70="",""," / "&amp;CK70&amp;"%"),IF(AND(N(BT70)&gt;=99.95,CK70&lt;&gt;"",N(CK70)&lt;100),"Pend. "&amp;CK70&amp;"%",""))))</f>
        <v/>
      </c>
      <c r="AO70" s="40" t="str">
        <f aca="false">IF(OR(OR(NOT(AND(ISNUMBER(E70),ISNUMBER(F70))),$J$2=""),3&gt;MAX(1,Reprogramaciones!$U$15)),"",IF(Reprogramaciones!M$12&gt;=7,"",IF(OR(BV70-N(BU70)&gt;0.05,N(S70)&gt;0),ROUNDDOWN(ROUND(BV70,6),0)&amp;"%"&amp;IF(CL70="",""," / "&amp;CL70&amp;"%"),IF(AND(N(BU70)&gt;=99.95,CL70&lt;&gt;"",N(CL70)&lt;100),"Pend. "&amp;CL70&amp;"%",""))))</f>
        <v/>
      </c>
      <c r="AP70" s="40" t="str">
        <f aca="false">IF(OR(OR(NOT(AND(ISNUMBER(E70),ISNUMBER(F70))),$J$2=""),4&gt;MAX(1,Reprogramaciones!$U$15)),"",IF(Reprogramaciones!N$12&gt;=7,"",IF(OR(BW70-N(BV70)&gt;0.05,N(T70)&gt;0),ROUNDDOWN(ROUND(BW70,6),0)&amp;"%"&amp;IF(CM70="",""," / "&amp;CM70&amp;"%"),IF(AND(N(BV70)&gt;=99.95,CM70&lt;&gt;"",N(CM70)&lt;100),"Pend. "&amp;CM70&amp;"%",""))))</f>
        <v/>
      </c>
      <c r="AQ70" s="40" t="str">
        <f aca="false">IF(OR(OR(NOT(AND(ISNUMBER(E70),ISNUMBER(F70))),$J$2=""),5&gt;MAX(1,Reprogramaciones!$U$15)),"",IF(Reprogramaciones!O$12&gt;=7,"",IF(OR(BX70-N(BW70)&gt;0.05,N(U70)&gt;0),ROUNDDOWN(ROUND(BX70,6),0)&amp;"%"&amp;IF(CN70="",""," / "&amp;CN70&amp;"%"),IF(AND(N(BW70)&gt;=99.95,CN70&lt;&gt;"",N(CN70)&lt;100),"Pend. "&amp;CN70&amp;"%",""))))</f>
        <v/>
      </c>
      <c r="AR70" s="40" t="str">
        <f aca="false">IF(OR(OR(NOT(AND(ISNUMBER(E70),ISNUMBER(F70))),$J$2=""),6&gt;MAX(1,Reprogramaciones!$U$15)),"",IF(Reprogramaciones!P$12&gt;=7,"",IF(OR(BY70-N(BX70)&gt;0.05,N(V70)&gt;0),ROUNDDOWN(ROUND(BY70,6),0)&amp;"%"&amp;IF(CO70="",""," / "&amp;CO70&amp;"%"),IF(AND(N(BX70)&gt;=99.95,CO70&lt;&gt;"",N(CO70)&lt;100),"Pend. "&amp;CO70&amp;"%",""))))</f>
        <v/>
      </c>
      <c r="AS70" s="40" t="str">
        <f aca="false">IF(OR(OR(NOT(AND(ISNUMBER(E70),ISNUMBER(F70))),$J$2=""),7&gt;MAX(1,Reprogramaciones!$U$15)),"",IF(Reprogramaciones!Q$12&gt;=7,"",IF(OR(BZ70-N(BY70)&gt;0.05,N(W70)&gt;0),ROUNDDOWN(ROUND(BZ70,6),0)&amp;"%"&amp;IF(CP70="",""," / "&amp;CP70&amp;"%"),IF(AND(N(BY70)&gt;=99.95,CP70&lt;&gt;"",N(CP70)&lt;100),"Pend. "&amp;CP70&amp;"%",""))))</f>
        <v/>
      </c>
      <c r="AT70" s="40" t="str">
        <f aca="false">IF(OR(OR(NOT(AND(ISNUMBER(E70),ISNUMBER(F70))),$J$2=""),8&gt;MAX(1,Reprogramaciones!$U$15)),"",IF(Reprogramaciones!R$12&gt;=7,"",IF(OR(CA70-N(BZ70)&gt;0.05,N(X70)&gt;0),ROUNDDOWN(ROUND(CA70,6),0)&amp;"%"&amp;IF(CQ70="",""," / "&amp;CQ70&amp;"%"),IF(AND(N(BZ70)&gt;=99.95,CQ70&lt;&gt;"",N(CQ70)&lt;100),"Pend. "&amp;CQ70&amp;"%",""))))</f>
        <v/>
      </c>
      <c r="AU70" s="40" t="str">
        <f aca="false">IF(OR(OR(NOT(AND(ISNUMBER(E70),ISNUMBER(F70))),$J$2=""),9&gt;MAX(1,Reprogramaciones!$U$15)),"",IF(Reprogramaciones!S$12&gt;=7,"",IF(OR(CB70-N(CA70)&gt;0.05,N(Y70)&gt;0),ROUNDDOWN(ROUND(CB70,6),0)&amp;"%"&amp;IF(CR70="",""," / "&amp;CR70&amp;"%"),IF(AND(N(CA70)&gt;=99.95,CR70&lt;&gt;"",N(CR70)&lt;100),"Pend. "&amp;CR70&amp;"%",""))))</f>
        <v/>
      </c>
      <c r="AV70" s="40" t="str">
        <f aca="false">IF(OR(OR(NOT(AND(ISNUMBER(E70),ISNUMBER(F70))),$J$2=""),10&gt;MAX(1,Reprogramaciones!$U$15)),"",IF(Reprogramaciones!T$12&gt;=7,"",IF(OR(CC70-N(CB70)&gt;0.05,N(Z70)&gt;0),ROUNDDOWN(ROUND(CC70,6),0)&amp;"%"&amp;IF(CS70="",""," / "&amp;CS70&amp;"%"),IF(AND(N(CB70)&gt;=99.95,CS70&lt;&gt;"",N(CS70)&lt;100),"Pend. "&amp;CS70&amp;"%",""))))</f>
        <v/>
      </c>
      <c r="AW70" s="40" t="str">
        <f aca="false">IF(OR(OR(NOT(AND(ISNUMBER(E70),ISNUMBER(F70))),$J$2=""),11&gt;MAX(1,Reprogramaciones!$U$15)),"",IF(Reprogramaciones!U$12&gt;=7,"",IF(OR(CD70-N(CC70)&gt;0.05,N(AA70)&gt;0),ROUNDDOWN(ROUND(CD70,6),0)&amp;"%"&amp;IF(CT70="",""," / "&amp;CT70&amp;"%"),IF(AND(N(CC70)&gt;=99.95,CT70&lt;&gt;"",N(CT70)&lt;100),"Pend. "&amp;CT70&amp;"%",""))))</f>
        <v/>
      </c>
      <c r="AX70" s="40" t="str">
        <f aca="false">IF(OR(OR(NOT(AND(ISNUMBER(E70),ISNUMBER(F70))),$J$2=""),12&gt;MAX(1,Reprogramaciones!$U$15)),"",IF(Reprogramaciones!V$12&gt;=7,"",IF(OR(CE70-N(CD70)&gt;0.05,N(AB70)&gt;0),ROUNDDOWN(ROUND(CE70,6),0)&amp;"%"&amp;IF(CU70="",""," / "&amp;CU70&amp;"%"),IF(AND(N(CD70)&gt;=99.95,CU70&lt;&gt;"",N(CU70)&lt;100),"Pend. "&amp;CU70&amp;"%",""))))</f>
        <v/>
      </c>
      <c r="AY70" s="40" t="str">
        <f aca="false">IF(OR(OR(NOT(AND(ISNUMBER(E70),ISNUMBER(F70))),$J$2=""),13&gt;MAX(1,Reprogramaciones!$U$15)),"",IF(Reprogramaciones!W$12&gt;=7,"",IF(OR(CF70-N(CE70)&gt;0.05,N(AC70)&gt;0),ROUNDDOWN(ROUND(CF70,6),0)&amp;"%"&amp;IF(CV70="",""," / "&amp;CV70&amp;"%"),IF(AND(N(CE70)&gt;=99.95,CV70&lt;&gt;"",N(CV70)&lt;100),"Pend. "&amp;CV70&amp;"%",""))))</f>
        <v/>
      </c>
      <c r="AZ70" s="40" t="str">
        <f aca="false">IF(OR(OR(NOT(AND(ISNUMBER(E70),ISNUMBER(F70))),$J$2=""),14&gt;MAX(1,Reprogramaciones!$U$15)),"",IF(Reprogramaciones!X$12&gt;=7,"",IF(OR(CG70-N(CF70)&gt;0.05,N(AD70)&gt;0),ROUNDDOWN(ROUND(CG70,6),0)&amp;"%"&amp;IF(CW70="",""," / "&amp;CW70&amp;"%"),IF(AND(N(CF70)&gt;=99.95,CW70&lt;&gt;"",N(CW70)&lt;100),"Pend. "&amp;CW70&amp;"%",""))))</f>
        <v/>
      </c>
      <c r="BA70" s="40" t="str">
        <f aca="false">IF(OR(OR(NOT(AND(ISNUMBER(E70),ISNUMBER(F70))),$J$2=""),15&gt;MAX(1,Reprogramaciones!$U$15)),"",IF(Reprogramaciones!Y$12&gt;=7,"",IF(OR(CH70-N(CG70)&gt;0.05,N(AE70)&gt;0),ROUNDDOWN(ROUND(CH70,6),0)&amp;"%"&amp;IF(CX70="",""," / "&amp;CX70&amp;"%"),IF(AND(N(CG70)&gt;=99.95,CX70&lt;&gt;"",N(CX70)&lt;100),"Pend. "&amp;CX70&amp;"%",""))))</f>
        <v/>
      </c>
      <c r="BB70" s="40" t="str">
        <f aca="false">IF(OR(OR(NOT(AND(ISNUMBER(E70),ISNUMBER(F70))),$J$2=""),16&gt;MAX(1,Reprogramaciones!$U$15)),"",IF(Reprogramaciones!Z$12&gt;=7,"",IF(OR(CI70-N(CH70)&gt;0.05,N(AF70)&gt;0),ROUNDDOWN(ROUND(CI70,6),0)&amp;"%"&amp;IF(CY70="",""," / "&amp;CY70&amp;"%"),IF(AND(N(CH70)&gt;=99.95,CY70&lt;&gt;"",N(CY70)&lt;100),"Pend. "&amp;CY70&amp;"%",""))))</f>
        <v/>
      </c>
      <c r="BC70" s="31" t="n">
        <f aca="false">IF(AND(ISNUMBER(E70),ISNUMBER(F70)),MAX(1,NETWORKDAYS.INTL(E70,F70,11)),0)</f>
        <v>0</v>
      </c>
      <c r="BD70" s="1" t="str">
        <f aca="false">IF(OR(NOT(AND(ISNUMBER(E70),ISNUMBER(F70))),$J$2=""),"",MIN(100,ROUND(SUM($G70:G70),1)))</f>
        <v/>
      </c>
      <c r="BE70" s="1" t="str">
        <f aca="false">IF(OR(NOT(AND(ISNUMBER(E70),ISNUMBER(F70))),$J$2=""),"",MIN(100,ROUND(SUM($G70:H70),1)))</f>
        <v/>
      </c>
      <c r="BF70" s="1" t="str">
        <f aca="false">IF(OR(NOT(AND(ISNUMBER(E70),ISNUMBER(F70))),$J$2=""),"",MIN(100,ROUND(SUM($G70:I70),1)))</f>
        <v/>
      </c>
      <c r="BG70" s="1" t="str">
        <f aca="false">IF(OR(NOT(AND(ISNUMBER(E70),ISNUMBER(F70))),$J$2=""),"",MIN(100,ROUND(SUM($G70:J70),1)))</f>
        <v/>
      </c>
      <c r="BH70" s="1" t="str">
        <f aca="false">IF(OR(NOT(AND(ISNUMBER(E70),ISNUMBER(F70))),$J$2=""),"",MIN(100,ROUND(SUM($G70:K70),1)))</f>
        <v/>
      </c>
      <c r="BI70" s="1" t="str">
        <f aca="false">IF(OR(NOT(AND(ISNUMBER(E70),ISNUMBER(F70))),$J$2=""),"",MIN(100,ROUND(SUM($G70:L70),1)))</f>
        <v/>
      </c>
      <c r="BJ70" s="1" t="str">
        <f aca="false">IF(OR(NOT(AND(ISNUMBER(E70),ISNUMBER(F70))),$J$2=""),"",MIN(100,ROUND(SUM($G70:M70),1)))</f>
        <v/>
      </c>
      <c r="BK70" s="1" t="str">
        <f aca="false">IF(OR(NOT(AND(ISNUMBER(E70),ISNUMBER(F70))),$J$2=""),"",MIN(100,ROUND(SUM($G70:N70),1)))</f>
        <v/>
      </c>
      <c r="BL70" s="1" t="str">
        <f aca="false">IF(OR(NOT(AND(ISNUMBER(E70),ISNUMBER(F70))),$J$2=""),"",MIN(100,ROUND(SUM($G70:O70),1)))</f>
        <v/>
      </c>
      <c r="BM70" s="1" t="str">
        <f aca="false">IF(OR(NOT(AND(ISNUMBER(E70),ISNUMBER(F70))),$J$2=""),"",MIN(100,ROUND(SUM($G70:P70),1)))</f>
        <v/>
      </c>
      <c r="BN70" s="1" t="str">
        <f aca="false">IF(OR(NOT(AND(ISNUMBER(E70),ISNUMBER(F70))),$J$2=""),"",MIN(100,ROUND(SUM($G70:P70),1)))</f>
        <v/>
      </c>
      <c r="BO70" s="1" t="str">
        <f aca="false">IF(OR(NOT(AND(ISNUMBER(E70),ISNUMBER(F70))),$J$2=""),"",MIN(100,ROUND(SUM($G70:P70),1)))</f>
        <v/>
      </c>
      <c r="BP70" s="1" t="str">
        <f aca="false">IF(OR(NOT(AND(ISNUMBER(E70),ISNUMBER(F70))),$J$2=""),"",MIN(100,ROUND(SUM($G70:P70),1)))</f>
        <v/>
      </c>
      <c r="BQ70" s="1" t="str">
        <f aca="false">IF(OR(NOT(AND(ISNUMBER(E70),ISNUMBER(F70))),$J$2=""),"",MIN(100,ROUND(SUM($G70:P70),1)))</f>
        <v/>
      </c>
      <c r="BR70" s="1" t="str">
        <f aca="false">IF(OR(NOT(AND(ISNUMBER(E70),ISNUMBER(F70))),$J$2=""),"",MIN(100,ROUND(SUM($G70:P70),1)))</f>
        <v/>
      </c>
      <c r="BS70" s="1" t="str">
        <f aca="false">IF(OR(NOT(AND(ISNUMBER(E70),ISNUMBER(F70))),$J$2=""),"",MIN(100,ROUND(SUM($G70:P70),1)))</f>
        <v/>
      </c>
      <c r="BT70" s="1" t="str">
        <f aca="false">IF(OR(NOT(AND(ISNUMBER(E70),ISNUMBER(F70))),$J$2=""),"",IF(Reprogramaciones!K$13&lt;Reprogramaciones!$T$15,0,IF(Reprogramaciones!K$14&gt;10,MIN(100,SUM($G70:$P70)),MIN(100,SUMPRODUCT((COLUMN($G70:$P70)-COLUMN($G70)+1&lt;Reprogramaciones!K$14)*$G70:$P70)+N(INDEX($G70:$P70,1,Reprogramaciones!K$14))*IF(Reprogramaciones!K$13&gt;=(Reprogramaciones!$T$15+7*(Reprogramaciones!K$14-1))+6,1,IF(MAX(0,NETWORKDAYS.INTL(MAX(E70,(Reprogramaciones!$T$15+7*(Reprogramaciones!K$14-1))),MIN(F70,(Reprogramaciones!$T$15+7*(Reprogramaciones!K$14-1))+6),11))=0,0,MAX(0,NETWORKDAYS.INTL(MAX(E70,(Reprogramaciones!$T$15+7*(Reprogramaciones!K$14-1))),MIN(F70,Reprogramaciones!K$13),11))/MAX(0,NETWORKDAYS.INTL(MAX(E70,(Reprogramaciones!$T$15+7*(Reprogramaciones!K$14-1))),MIN(F70,(Reprogramaciones!$T$15+7*(Reprogramaciones!K$14-1))+6),11))))))))</f>
        <v/>
      </c>
      <c r="BU70" s="1" t="str">
        <f aca="false">IF(OR(NOT(AND(ISNUMBER(E70),ISNUMBER(F70))),$J$2=""),"",IF(Reprogramaciones!L$13&lt;Reprogramaciones!$T$15,0,IF(Reprogramaciones!L$14&gt;10,MIN(100,SUM($G70:$P70)),MIN(100,SUMPRODUCT((COLUMN($G70:$P70)-COLUMN($G70)+1&lt;Reprogramaciones!L$14)*$G70:$P70)+N(INDEX($G70:$P70,1,Reprogramaciones!L$14))*IF(Reprogramaciones!L$13&gt;=(Reprogramaciones!$T$15+7*(Reprogramaciones!L$14-1))+6,1,IF(MAX(0,NETWORKDAYS.INTL(MAX(E70,(Reprogramaciones!$T$15+7*(Reprogramaciones!L$14-1))),MIN(F70,(Reprogramaciones!$T$15+7*(Reprogramaciones!L$14-1))+6),11))=0,0,MAX(0,NETWORKDAYS.INTL(MAX(E70,(Reprogramaciones!$T$15+7*(Reprogramaciones!L$14-1))),MIN(F70,Reprogramaciones!L$13),11))/MAX(0,NETWORKDAYS.INTL(MAX(E70,(Reprogramaciones!$T$15+7*(Reprogramaciones!L$14-1))),MIN(F70,(Reprogramaciones!$T$15+7*(Reprogramaciones!L$14-1))+6),11))))))))</f>
        <v/>
      </c>
      <c r="BV70" s="1" t="str">
        <f aca="false">IF(OR(NOT(AND(ISNUMBER(E70),ISNUMBER(F70))),$J$2=""),"",IF(Reprogramaciones!M$13&lt;Reprogramaciones!$T$15,0,IF(Reprogramaciones!M$14&gt;10,MIN(100,SUM($G70:$P70)),MIN(100,SUMPRODUCT((COLUMN($G70:$P70)-COLUMN($G70)+1&lt;Reprogramaciones!M$14)*$G70:$P70)+N(INDEX($G70:$P70,1,Reprogramaciones!M$14))*IF(Reprogramaciones!M$13&gt;=(Reprogramaciones!$T$15+7*(Reprogramaciones!M$14-1))+6,1,IF(MAX(0,NETWORKDAYS.INTL(MAX(E70,(Reprogramaciones!$T$15+7*(Reprogramaciones!M$14-1))),MIN(F70,(Reprogramaciones!$T$15+7*(Reprogramaciones!M$14-1))+6),11))=0,0,MAX(0,NETWORKDAYS.INTL(MAX(E70,(Reprogramaciones!$T$15+7*(Reprogramaciones!M$14-1))),MIN(F70,Reprogramaciones!M$13),11))/MAX(0,NETWORKDAYS.INTL(MAX(E70,(Reprogramaciones!$T$15+7*(Reprogramaciones!M$14-1))),MIN(F70,(Reprogramaciones!$T$15+7*(Reprogramaciones!M$14-1))+6),11))))))))</f>
        <v/>
      </c>
      <c r="BW70" s="1" t="str">
        <f aca="false">IF(OR(NOT(AND(ISNUMBER(E70),ISNUMBER(F70))),$J$2=""),"",IF(Reprogramaciones!N$13&lt;Reprogramaciones!$T$15,0,IF(Reprogramaciones!N$14&gt;10,MIN(100,SUM($G70:$P70)),MIN(100,SUMPRODUCT((COLUMN($G70:$P70)-COLUMN($G70)+1&lt;Reprogramaciones!N$14)*$G70:$P70)+N(INDEX($G70:$P70,1,Reprogramaciones!N$14))*IF(Reprogramaciones!N$13&gt;=(Reprogramaciones!$T$15+7*(Reprogramaciones!N$14-1))+6,1,IF(MAX(0,NETWORKDAYS.INTL(MAX(E70,(Reprogramaciones!$T$15+7*(Reprogramaciones!N$14-1))),MIN(F70,(Reprogramaciones!$T$15+7*(Reprogramaciones!N$14-1))+6),11))=0,0,MAX(0,NETWORKDAYS.INTL(MAX(E70,(Reprogramaciones!$T$15+7*(Reprogramaciones!N$14-1))),MIN(F70,Reprogramaciones!N$13),11))/MAX(0,NETWORKDAYS.INTL(MAX(E70,(Reprogramaciones!$T$15+7*(Reprogramaciones!N$14-1))),MIN(F70,(Reprogramaciones!$T$15+7*(Reprogramaciones!N$14-1))+6),11))))))))</f>
        <v/>
      </c>
      <c r="BX70" s="1" t="str">
        <f aca="false">IF(OR(NOT(AND(ISNUMBER(E70),ISNUMBER(F70))),$J$2=""),"",IF(Reprogramaciones!O$13&lt;Reprogramaciones!$T$15,0,IF(Reprogramaciones!O$14&gt;10,MIN(100,SUM($G70:$P70)),MIN(100,SUMPRODUCT((COLUMN($G70:$P70)-COLUMN($G70)+1&lt;Reprogramaciones!O$14)*$G70:$P70)+N(INDEX($G70:$P70,1,Reprogramaciones!O$14))*IF(Reprogramaciones!O$13&gt;=(Reprogramaciones!$T$15+7*(Reprogramaciones!O$14-1))+6,1,IF(MAX(0,NETWORKDAYS.INTL(MAX(E70,(Reprogramaciones!$T$15+7*(Reprogramaciones!O$14-1))),MIN(F70,(Reprogramaciones!$T$15+7*(Reprogramaciones!O$14-1))+6),11))=0,0,MAX(0,NETWORKDAYS.INTL(MAX(E70,(Reprogramaciones!$T$15+7*(Reprogramaciones!O$14-1))),MIN(F70,Reprogramaciones!O$13),11))/MAX(0,NETWORKDAYS.INTL(MAX(E70,(Reprogramaciones!$T$15+7*(Reprogramaciones!O$14-1))),MIN(F70,(Reprogramaciones!$T$15+7*(Reprogramaciones!O$14-1))+6),11))))))))</f>
        <v/>
      </c>
      <c r="BY70" s="1" t="str">
        <f aca="false">IF(OR(NOT(AND(ISNUMBER(E70),ISNUMBER(F70))),$J$2=""),"",IF(Reprogramaciones!P$13&lt;Reprogramaciones!$T$15,0,IF(Reprogramaciones!P$14&gt;10,MIN(100,SUM($G70:$P70)),MIN(100,SUMPRODUCT((COLUMN($G70:$P70)-COLUMN($G70)+1&lt;Reprogramaciones!P$14)*$G70:$P70)+N(INDEX($G70:$P70,1,Reprogramaciones!P$14))*IF(Reprogramaciones!P$13&gt;=(Reprogramaciones!$T$15+7*(Reprogramaciones!P$14-1))+6,1,IF(MAX(0,NETWORKDAYS.INTL(MAX(E70,(Reprogramaciones!$T$15+7*(Reprogramaciones!P$14-1))),MIN(F70,(Reprogramaciones!$T$15+7*(Reprogramaciones!P$14-1))+6),11))=0,0,MAX(0,NETWORKDAYS.INTL(MAX(E70,(Reprogramaciones!$T$15+7*(Reprogramaciones!P$14-1))),MIN(F70,Reprogramaciones!P$13),11))/MAX(0,NETWORKDAYS.INTL(MAX(E70,(Reprogramaciones!$T$15+7*(Reprogramaciones!P$14-1))),MIN(F70,(Reprogramaciones!$T$15+7*(Reprogramaciones!P$14-1))+6),11))))))))</f>
        <v/>
      </c>
      <c r="BZ70" s="1" t="str">
        <f aca="false">IF(OR(NOT(AND(ISNUMBER(E70),ISNUMBER(F70))),$J$2=""),"",IF(Reprogramaciones!Q$13&lt;Reprogramaciones!$T$15,0,IF(Reprogramaciones!Q$14&gt;10,MIN(100,SUM($G70:$P70)),MIN(100,SUMPRODUCT((COLUMN($G70:$P70)-COLUMN($G70)+1&lt;Reprogramaciones!Q$14)*$G70:$P70)+N(INDEX($G70:$P70,1,Reprogramaciones!Q$14))*IF(Reprogramaciones!Q$13&gt;=(Reprogramaciones!$T$15+7*(Reprogramaciones!Q$14-1))+6,1,IF(MAX(0,NETWORKDAYS.INTL(MAX(E70,(Reprogramaciones!$T$15+7*(Reprogramaciones!Q$14-1))),MIN(F70,(Reprogramaciones!$T$15+7*(Reprogramaciones!Q$14-1))+6),11))=0,0,MAX(0,NETWORKDAYS.INTL(MAX(E70,(Reprogramaciones!$T$15+7*(Reprogramaciones!Q$14-1))),MIN(F70,Reprogramaciones!Q$13),11))/MAX(0,NETWORKDAYS.INTL(MAX(E70,(Reprogramaciones!$T$15+7*(Reprogramaciones!Q$14-1))),MIN(F70,(Reprogramaciones!$T$15+7*(Reprogramaciones!Q$14-1))+6),11))))))))</f>
        <v/>
      </c>
      <c r="CA70" s="1" t="str">
        <f aca="false">IF(OR(NOT(AND(ISNUMBER(E70),ISNUMBER(F70))),$J$2=""),"",IF(Reprogramaciones!R$13&lt;Reprogramaciones!$T$15,0,IF(Reprogramaciones!R$14&gt;10,MIN(100,SUM($G70:$P70)),MIN(100,SUMPRODUCT((COLUMN($G70:$P70)-COLUMN($G70)+1&lt;Reprogramaciones!R$14)*$G70:$P70)+N(INDEX($G70:$P70,1,Reprogramaciones!R$14))*IF(Reprogramaciones!R$13&gt;=(Reprogramaciones!$T$15+7*(Reprogramaciones!R$14-1))+6,1,IF(MAX(0,NETWORKDAYS.INTL(MAX(E70,(Reprogramaciones!$T$15+7*(Reprogramaciones!R$14-1))),MIN(F70,(Reprogramaciones!$T$15+7*(Reprogramaciones!R$14-1))+6),11))=0,0,MAX(0,NETWORKDAYS.INTL(MAX(E70,(Reprogramaciones!$T$15+7*(Reprogramaciones!R$14-1))),MIN(F70,Reprogramaciones!R$13),11))/MAX(0,NETWORKDAYS.INTL(MAX(E70,(Reprogramaciones!$T$15+7*(Reprogramaciones!R$14-1))),MIN(F70,(Reprogramaciones!$T$15+7*(Reprogramaciones!R$14-1))+6),11))))))))</f>
        <v/>
      </c>
      <c r="CB70" s="1" t="str">
        <f aca="false">IF(OR(NOT(AND(ISNUMBER(E70),ISNUMBER(F70))),$J$2=""),"",IF(Reprogramaciones!S$13&lt;Reprogramaciones!$T$15,0,IF(Reprogramaciones!S$14&gt;10,MIN(100,SUM($G70:$P70)),MIN(100,SUMPRODUCT((COLUMN($G70:$P70)-COLUMN($G70)+1&lt;Reprogramaciones!S$14)*$G70:$P70)+N(INDEX($G70:$P70,1,Reprogramaciones!S$14))*IF(Reprogramaciones!S$13&gt;=(Reprogramaciones!$T$15+7*(Reprogramaciones!S$14-1))+6,1,IF(MAX(0,NETWORKDAYS.INTL(MAX(E70,(Reprogramaciones!$T$15+7*(Reprogramaciones!S$14-1))),MIN(F70,(Reprogramaciones!$T$15+7*(Reprogramaciones!S$14-1))+6),11))=0,0,MAX(0,NETWORKDAYS.INTL(MAX(E70,(Reprogramaciones!$T$15+7*(Reprogramaciones!S$14-1))),MIN(F70,Reprogramaciones!S$13),11))/MAX(0,NETWORKDAYS.INTL(MAX(E70,(Reprogramaciones!$T$15+7*(Reprogramaciones!S$14-1))),MIN(F70,(Reprogramaciones!$T$15+7*(Reprogramaciones!S$14-1))+6),11))))))))</f>
        <v/>
      </c>
      <c r="CC70" s="1" t="str">
        <f aca="false">IF(OR(NOT(AND(ISNUMBER(E70),ISNUMBER(F70))),$J$2=""),"",IF(Reprogramaciones!T$13&lt;Reprogramaciones!$T$15,0,IF(Reprogramaciones!T$14&gt;10,MIN(100,SUM($G70:$P70)),MIN(100,SUMPRODUCT((COLUMN($G70:$P70)-COLUMN($G70)+1&lt;Reprogramaciones!T$14)*$G70:$P70)+N(INDEX($G70:$P70,1,Reprogramaciones!T$14))*IF(Reprogramaciones!T$13&gt;=(Reprogramaciones!$T$15+7*(Reprogramaciones!T$14-1))+6,1,IF(MAX(0,NETWORKDAYS.INTL(MAX(E70,(Reprogramaciones!$T$15+7*(Reprogramaciones!T$14-1))),MIN(F70,(Reprogramaciones!$T$15+7*(Reprogramaciones!T$14-1))+6),11))=0,0,MAX(0,NETWORKDAYS.INTL(MAX(E70,(Reprogramaciones!$T$15+7*(Reprogramaciones!T$14-1))),MIN(F70,Reprogramaciones!T$13),11))/MAX(0,NETWORKDAYS.INTL(MAX(E70,(Reprogramaciones!$T$15+7*(Reprogramaciones!T$14-1))),MIN(F70,(Reprogramaciones!$T$15+7*(Reprogramaciones!T$14-1))+6),11))))))))</f>
        <v/>
      </c>
      <c r="CD70" s="1" t="str">
        <f aca="false">IF(OR(NOT(AND(ISNUMBER(E70),ISNUMBER(F70))),$J$2=""),"",IF(Reprogramaciones!U$13&lt;Reprogramaciones!$T$15,0,IF(Reprogramaciones!U$14&gt;10,MIN(100,SUM($G70:$P70)),MIN(100,SUMPRODUCT((COLUMN($G70:$P70)-COLUMN($G70)+1&lt;Reprogramaciones!U$14)*$G70:$P70)+N(INDEX($G70:$P70,1,Reprogramaciones!U$14))*IF(Reprogramaciones!U$13&gt;=(Reprogramaciones!$T$15+7*(Reprogramaciones!U$14-1))+6,1,IF(MAX(0,NETWORKDAYS.INTL(MAX(E70,(Reprogramaciones!$T$15+7*(Reprogramaciones!U$14-1))),MIN(F70,(Reprogramaciones!$T$15+7*(Reprogramaciones!U$14-1))+6),11))=0,0,MAX(0,NETWORKDAYS.INTL(MAX(E70,(Reprogramaciones!$T$15+7*(Reprogramaciones!U$14-1))),MIN(F70,Reprogramaciones!U$13),11))/MAX(0,NETWORKDAYS.INTL(MAX(E70,(Reprogramaciones!$T$15+7*(Reprogramaciones!U$14-1))),MIN(F70,(Reprogramaciones!$T$15+7*(Reprogramaciones!U$14-1))+6),11))))))))</f>
        <v/>
      </c>
      <c r="CE70" s="1" t="str">
        <f aca="false">IF(OR(NOT(AND(ISNUMBER(E70),ISNUMBER(F70))),$J$2=""),"",IF(Reprogramaciones!V$13&lt;Reprogramaciones!$T$15,0,IF(Reprogramaciones!V$14&gt;10,MIN(100,SUM($G70:$P70)),MIN(100,SUMPRODUCT((COLUMN($G70:$P70)-COLUMN($G70)+1&lt;Reprogramaciones!V$14)*$G70:$P70)+N(INDEX($G70:$P70,1,Reprogramaciones!V$14))*IF(Reprogramaciones!V$13&gt;=(Reprogramaciones!$T$15+7*(Reprogramaciones!V$14-1))+6,1,IF(MAX(0,NETWORKDAYS.INTL(MAX(E70,(Reprogramaciones!$T$15+7*(Reprogramaciones!V$14-1))),MIN(F70,(Reprogramaciones!$T$15+7*(Reprogramaciones!V$14-1))+6),11))=0,0,MAX(0,NETWORKDAYS.INTL(MAX(E70,(Reprogramaciones!$T$15+7*(Reprogramaciones!V$14-1))),MIN(F70,Reprogramaciones!V$13),11))/MAX(0,NETWORKDAYS.INTL(MAX(E70,(Reprogramaciones!$T$15+7*(Reprogramaciones!V$14-1))),MIN(F70,(Reprogramaciones!$T$15+7*(Reprogramaciones!V$14-1))+6),11))))))))</f>
        <v/>
      </c>
      <c r="CF70" s="1" t="str">
        <f aca="false">IF(OR(NOT(AND(ISNUMBER(E70),ISNUMBER(F70))),$J$2=""),"",IF(Reprogramaciones!W$13&lt;Reprogramaciones!$T$15,0,IF(Reprogramaciones!W$14&gt;10,MIN(100,SUM($G70:$P70)),MIN(100,SUMPRODUCT((COLUMN($G70:$P70)-COLUMN($G70)+1&lt;Reprogramaciones!W$14)*$G70:$P70)+N(INDEX($G70:$P70,1,Reprogramaciones!W$14))*IF(Reprogramaciones!W$13&gt;=(Reprogramaciones!$T$15+7*(Reprogramaciones!W$14-1))+6,1,IF(MAX(0,NETWORKDAYS.INTL(MAX(E70,(Reprogramaciones!$T$15+7*(Reprogramaciones!W$14-1))),MIN(F70,(Reprogramaciones!$T$15+7*(Reprogramaciones!W$14-1))+6),11))=0,0,MAX(0,NETWORKDAYS.INTL(MAX(E70,(Reprogramaciones!$T$15+7*(Reprogramaciones!W$14-1))),MIN(F70,Reprogramaciones!W$13),11))/MAX(0,NETWORKDAYS.INTL(MAX(E70,(Reprogramaciones!$T$15+7*(Reprogramaciones!W$14-1))),MIN(F70,(Reprogramaciones!$T$15+7*(Reprogramaciones!W$14-1))+6),11))))))))</f>
        <v/>
      </c>
      <c r="CG70" s="1" t="str">
        <f aca="false">IF(OR(NOT(AND(ISNUMBER(E70),ISNUMBER(F70))),$J$2=""),"",IF(Reprogramaciones!X$13&lt;Reprogramaciones!$T$15,0,IF(Reprogramaciones!X$14&gt;10,MIN(100,SUM($G70:$P70)),MIN(100,SUMPRODUCT((COLUMN($G70:$P70)-COLUMN($G70)+1&lt;Reprogramaciones!X$14)*$G70:$P70)+N(INDEX($G70:$P70,1,Reprogramaciones!X$14))*IF(Reprogramaciones!X$13&gt;=(Reprogramaciones!$T$15+7*(Reprogramaciones!X$14-1))+6,1,IF(MAX(0,NETWORKDAYS.INTL(MAX(E70,(Reprogramaciones!$T$15+7*(Reprogramaciones!X$14-1))),MIN(F70,(Reprogramaciones!$T$15+7*(Reprogramaciones!X$14-1))+6),11))=0,0,MAX(0,NETWORKDAYS.INTL(MAX(E70,(Reprogramaciones!$T$15+7*(Reprogramaciones!X$14-1))),MIN(F70,Reprogramaciones!X$13),11))/MAX(0,NETWORKDAYS.INTL(MAX(E70,(Reprogramaciones!$T$15+7*(Reprogramaciones!X$14-1))),MIN(F70,(Reprogramaciones!$T$15+7*(Reprogramaciones!X$14-1))+6),11))))))))</f>
        <v/>
      </c>
      <c r="CH70" s="1" t="str">
        <f aca="false">IF(OR(NOT(AND(ISNUMBER(E70),ISNUMBER(F70))),$J$2=""),"",IF(Reprogramaciones!Y$13&lt;Reprogramaciones!$T$15,0,IF(Reprogramaciones!Y$14&gt;10,MIN(100,SUM($G70:$P70)),MIN(100,SUMPRODUCT((COLUMN($G70:$P70)-COLUMN($G70)+1&lt;Reprogramaciones!Y$14)*$G70:$P70)+N(INDEX($G70:$P70,1,Reprogramaciones!Y$14))*IF(Reprogramaciones!Y$13&gt;=(Reprogramaciones!$T$15+7*(Reprogramaciones!Y$14-1))+6,1,IF(MAX(0,NETWORKDAYS.INTL(MAX(E70,(Reprogramaciones!$T$15+7*(Reprogramaciones!Y$14-1))),MIN(F70,(Reprogramaciones!$T$15+7*(Reprogramaciones!Y$14-1))+6),11))=0,0,MAX(0,NETWORKDAYS.INTL(MAX(E70,(Reprogramaciones!$T$15+7*(Reprogramaciones!Y$14-1))),MIN(F70,Reprogramaciones!Y$13),11))/MAX(0,NETWORKDAYS.INTL(MAX(E70,(Reprogramaciones!$T$15+7*(Reprogramaciones!Y$14-1))),MIN(F70,(Reprogramaciones!$T$15+7*(Reprogramaciones!Y$14-1))+6),11))))))))</f>
        <v/>
      </c>
      <c r="CI70" s="1" t="str">
        <f aca="false">IF(OR(NOT(AND(ISNUMBER(E70),ISNUMBER(F70))),$J$2=""),"",IF(Reprogramaciones!Z$13&lt;Reprogramaciones!$T$15,0,IF(Reprogramaciones!Z$14&gt;10,MIN(100,SUM($G70:$P70)),MIN(100,SUMPRODUCT((COLUMN($G70:$P70)-COLUMN($G70)+1&lt;Reprogramaciones!Z$14)*$G70:$P70)+N(INDEX($G70:$P70,1,Reprogramaciones!Z$14))*IF(Reprogramaciones!Z$13&gt;=(Reprogramaciones!$T$15+7*(Reprogramaciones!Z$14-1))+6,1,IF(MAX(0,NETWORKDAYS.INTL(MAX(E70,(Reprogramaciones!$T$15+7*(Reprogramaciones!Z$14-1))),MIN(F70,(Reprogramaciones!$T$15+7*(Reprogramaciones!Z$14-1))+6),11))=0,0,MAX(0,NETWORKDAYS.INTL(MAX(E70,(Reprogramaciones!$T$15+7*(Reprogramaciones!Z$14-1))),MIN(F70,Reprogramaciones!Z$13),11))/MAX(0,NETWORKDAYS.INTL(MAX(E70,(Reprogramaciones!$T$15+7*(Reprogramaciones!Z$14-1))),MIN(F70,(Reprogramaciones!$T$15+7*(Reprogramaciones!Z$14-1))+6),11))))))))</f>
        <v/>
      </c>
      <c r="CJ70" s="1" t="str">
        <f aca="false">IF(OR(OR(NOT(AND(ISNUMBER(E70),ISNUMBER(F70))),$J$2=""),1&gt;Reprogramaciones!$K$16),"",IF(ROUND(SUM($Q70:Q70),1)&gt;=99.5,100,MIN(100,ROUND(SUM($Q70:Q70),1))))</f>
        <v/>
      </c>
      <c r="CK70" s="1" t="str">
        <f aca="false">IF(OR(OR(NOT(AND(ISNUMBER(E70),ISNUMBER(F70))),$J$2=""),2&gt;Reprogramaciones!$K$16),"",IF(ROUND(SUM($Q70:R70),1)&gt;=99.5,100,MIN(100,ROUND(SUM($Q70:R70),1))))</f>
        <v/>
      </c>
      <c r="CL70" s="1" t="str">
        <f aca="false">IF(OR(OR(NOT(AND(ISNUMBER(E70),ISNUMBER(F70))),$J$2=""),3&gt;Reprogramaciones!$K$16),"",IF(ROUND(SUM($Q70:S70),1)&gt;=99.5,100,MIN(100,ROUND(SUM($Q70:S70),1))))</f>
        <v/>
      </c>
      <c r="CM70" s="1" t="str">
        <f aca="false">IF(OR(OR(NOT(AND(ISNUMBER(E70),ISNUMBER(F70))),$J$2=""),4&gt;Reprogramaciones!$K$16),"",IF(ROUND(SUM($Q70:T70),1)&gt;=99.5,100,MIN(100,ROUND(SUM($Q70:T70),1))))</f>
        <v/>
      </c>
      <c r="CN70" s="1" t="str">
        <f aca="false">IF(OR(OR(NOT(AND(ISNUMBER(E70),ISNUMBER(F70))),$J$2=""),5&gt;Reprogramaciones!$K$16),"",IF(ROUND(SUM($Q70:U70),1)&gt;=99.5,100,MIN(100,ROUND(SUM($Q70:U70),1))))</f>
        <v/>
      </c>
      <c r="CO70" s="1" t="str">
        <f aca="false">IF(OR(OR(NOT(AND(ISNUMBER(E70),ISNUMBER(F70))),$J$2=""),6&gt;Reprogramaciones!$K$16),"",IF(ROUND(SUM($Q70:V70),1)&gt;=99.5,100,MIN(100,ROUND(SUM($Q70:V70),1))))</f>
        <v/>
      </c>
      <c r="CP70" s="1" t="str">
        <f aca="false">IF(OR(OR(NOT(AND(ISNUMBER(E70),ISNUMBER(F70))),$J$2=""),7&gt;Reprogramaciones!$K$16),"",IF(ROUND(SUM($Q70:W70),1)&gt;=99.5,100,MIN(100,ROUND(SUM($Q70:W70),1))))</f>
        <v/>
      </c>
      <c r="CQ70" s="1" t="str">
        <f aca="false">IF(OR(OR(NOT(AND(ISNUMBER(E70),ISNUMBER(F70))),$J$2=""),8&gt;Reprogramaciones!$K$16),"",IF(ROUND(SUM($Q70:X70),1)&gt;=99.5,100,MIN(100,ROUND(SUM($Q70:X70),1))))</f>
        <v/>
      </c>
      <c r="CR70" s="1" t="str">
        <f aca="false">IF(OR(OR(NOT(AND(ISNUMBER(E70),ISNUMBER(F70))),$J$2=""),9&gt;Reprogramaciones!$K$16),"",IF(ROUND(SUM($Q70:Y70),1)&gt;=99.5,100,MIN(100,ROUND(SUM($Q70:Y70),1))))</f>
        <v/>
      </c>
      <c r="CS70" s="1" t="str">
        <f aca="false">IF(OR(OR(NOT(AND(ISNUMBER(E70),ISNUMBER(F70))),$J$2=""),10&gt;Reprogramaciones!$K$16),"",IF(ROUND(SUM($Q70:Z70),1)&gt;=99.5,100,MIN(100,ROUND(SUM($Q70:Z70),1))))</f>
        <v/>
      </c>
      <c r="CT70" s="1" t="str">
        <f aca="false">IF(OR(OR(NOT(AND(ISNUMBER(E70),ISNUMBER(F70))),$J$2=""),11&gt;Reprogramaciones!$K$16),"",IF(ROUND(SUM($Q70:AA70),1)&gt;=99.5,100,MIN(100,ROUND(SUM($Q70:AA70),1))))</f>
        <v/>
      </c>
      <c r="CU70" s="1" t="str">
        <f aca="false">IF(OR(OR(NOT(AND(ISNUMBER(E70),ISNUMBER(F70))),$J$2=""),12&gt;Reprogramaciones!$K$16),"",IF(ROUND(SUM($Q70:AB70),1)&gt;=99.5,100,MIN(100,ROUND(SUM($Q70:AB70),1))))</f>
        <v/>
      </c>
      <c r="CV70" s="1" t="str">
        <f aca="false">IF(OR(OR(NOT(AND(ISNUMBER(E70),ISNUMBER(F70))),$J$2=""),13&gt;Reprogramaciones!$K$16),"",IF(ROUND(SUM($Q70:AC70),1)&gt;=99.5,100,MIN(100,ROUND(SUM($Q70:AC70),1))))</f>
        <v/>
      </c>
      <c r="CW70" s="1" t="str">
        <f aca="false">IF(OR(OR(NOT(AND(ISNUMBER(E70),ISNUMBER(F70))),$J$2=""),14&gt;Reprogramaciones!$K$16),"",IF(ROUND(SUM($Q70:AD70),1)&gt;=99.5,100,MIN(100,ROUND(SUM($Q70:AD70),1))))</f>
        <v/>
      </c>
      <c r="CX70" s="1" t="str">
        <f aca="false">IF(OR(OR(NOT(AND(ISNUMBER(E70),ISNUMBER(F70))),$J$2=""),15&gt;Reprogramaciones!$K$16),"",IF(ROUND(SUM($Q70:AE70),1)&gt;=99.5,100,MIN(100,ROUND(SUM($Q70:AE70),1))))</f>
        <v/>
      </c>
      <c r="CY70" s="1" t="str">
        <f aca="false">IF(OR(OR(NOT(AND(ISNUMBER(E70),ISNUMBER(F70))),$J$2=""),16&gt;Reprogramaciones!$K$16),"",IF(ROUND(SUM($Q70:AF70),1)&gt;=99.5,100,MIN(100,ROUND(SUM($Q70:AF70),1))))</f>
        <v/>
      </c>
      <c r="CZ70" s="1" t="str">
        <f aca="false">IF(D70&lt;&gt;"",D70,IF(B70&lt;&gt;"","Contractual",CZ69))</f>
        <v>Contractual</v>
      </c>
      <c r="DA70" s="1" t="str">
        <f aca="false">IF(OR(NOT(AND(ISNUMBER(E70),ISNUMBER(F70))),$J$2=""),"",IF(Reprogramaciones!$Q$15&lt;Reprogramaciones!$T$15,0,IF(Reprogramaciones!$S$15&gt;10,MIN(100,SUM($G70:$P70)),MIN(100,SUMPRODUCT((COLUMN($G70:$P70)-COLUMN($G70)+1&lt;Reprogramaciones!$S$15)*$G70:$P70)+N(INDEX($G70:$P70,1,Reprogramaciones!$S$15))*IF(Reprogramaciones!$Q$15&gt;=(Reprogramaciones!$T$15+7*(Reprogramaciones!$S$15-1))+6,1,IF(MAX(0,NETWORKDAYS.INTL(MAX(E70,(Reprogramaciones!$T$15+7*(Reprogramaciones!$S$15-1))),MIN(F70,(Reprogramaciones!$T$15+7*(Reprogramaciones!$S$15-1))+6),11))=0,0,MAX(0,NETWORKDAYS.INTL(MAX(E70,(Reprogramaciones!$T$15+7*(Reprogramaciones!$S$15-1))),MIN(F70,Reprogramaciones!$Q$15),11))/MAX(0,NETWORKDAYS.INTL(MAX(E70,(Reprogramaciones!$T$15+7*(Reprogramaciones!$S$15-1))),MIN(F70,(Reprogramaciones!$T$15+7*(Reprogramaciones!$S$15-1))+6),11))))))))</f>
        <v/>
      </c>
    </row>
    <row r="71" customFormat="false" ht="15" hidden="false" customHeight="false" outlineLevel="0" collapsed="false">
      <c r="A71" s="32"/>
      <c r="B71" s="33"/>
      <c r="C71" s="33"/>
      <c r="D71" s="34"/>
      <c r="E71" s="35"/>
      <c r="F71" s="35"/>
      <c r="G71" s="36" t="str">
        <f aca="false">IF(OR(NOT(AND(ISNUMBER(E71),ISNUMBER(F71))),$J$2=""),"",IF(Reprogramaciones!K$9&lt;E71,0,IF(NETWORKDAYS.INTL(E71,F71,11)=0,IF(Reprogramaciones!K$9&gt;=F71,100,0),ROUND(NETWORKDAYS.INTL(E71,MIN(F71,Reprogramaciones!K$9),11)/NETWORKDAYS.INTL(E71,F71,11)*100,1)))-0)</f>
        <v/>
      </c>
      <c r="H71" s="36" t="str">
        <f aca="false">IF(OR(NOT(AND(ISNUMBER(E71),ISNUMBER(F71))),$J$2=""),"",IF(Reprogramaciones!L$9&lt;E71,0,IF(NETWORKDAYS.INTL(E71,F71,11)=0,IF(Reprogramaciones!L$9&gt;=F71,100,0),ROUND(NETWORKDAYS.INTL(E71,MIN(F71,Reprogramaciones!L$9),11)/NETWORKDAYS.INTL(E71,F71,11)*100,1)))-IF(Reprogramaciones!K$9&lt;E71,0,IF(NETWORKDAYS.INTL(E71,F71,11)=0,IF(Reprogramaciones!K$9&gt;=F71,100,0),ROUND(NETWORKDAYS.INTL(E71,MIN(F71,Reprogramaciones!K$9),11)/NETWORKDAYS.INTL(E71,F71,11)*100,1))))</f>
        <v/>
      </c>
      <c r="I71" s="36" t="str">
        <f aca="false">IF(OR(NOT(AND(ISNUMBER(E71),ISNUMBER(F71))),$J$2=""),"",IF(Reprogramaciones!M$9&lt;E71,0,IF(NETWORKDAYS.INTL(E71,F71,11)=0,IF(Reprogramaciones!M$9&gt;=F71,100,0),ROUND(NETWORKDAYS.INTL(E71,MIN(F71,Reprogramaciones!M$9),11)/NETWORKDAYS.INTL(E71,F71,11)*100,1)))-IF(Reprogramaciones!L$9&lt;E71,0,IF(NETWORKDAYS.INTL(E71,F71,11)=0,IF(Reprogramaciones!L$9&gt;=F71,100,0),ROUND(NETWORKDAYS.INTL(E71,MIN(F71,Reprogramaciones!L$9),11)/NETWORKDAYS.INTL(E71,F71,11)*100,1))))</f>
        <v/>
      </c>
      <c r="J71" s="36" t="str">
        <f aca="false">IF(OR(NOT(AND(ISNUMBER(E71),ISNUMBER(F71))),$J$2=""),"",IF(Reprogramaciones!N$9&lt;E71,0,IF(NETWORKDAYS.INTL(E71,F71,11)=0,IF(Reprogramaciones!N$9&gt;=F71,100,0),ROUND(NETWORKDAYS.INTL(E71,MIN(F71,Reprogramaciones!N$9),11)/NETWORKDAYS.INTL(E71,F71,11)*100,1)))-IF(Reprogramaciones!M$9&lt;E71,0,IF(NETWORKDAYS.INTL(E71,F71,11)=0,IF(Reprogramaciones!M$9&gt;=F71,100,0),ROUND(NETWORKDAYS.INTL(E71,MIN(F71,Reprogramaciones!M$9),11)/NETWORKDAYS.INTL(E71,F71,11)*100,1))))</f>
        <v/>
      </c>
      <c r="K71" s="36" t="str">
        <f aca="false">IF(OR(NOT(AND(ISNUMBER(E71),ISNUMBER(F71))),$J$2=""),"",IF(Reprogramaciones!O$9&lt;E71,0,IF(NETWORKDAYS.INTL(E71,F71,11)=0,IF(Reprogramaciones!O$9&gt;=F71,100,0),ROUND(NETWORKDAYS.INTL(E71,MIN(F71,Reprogramaciones!O$9),11)/NETWORKDAYS.INTL(E71,F71,11)*100,1)))-IF(Reprogramaciones!N$9&lt;E71,0,IF(NETWORKDAYS.INTL(E71,F71,11)=0,IF(Reprogramaciones!N$9&gt;=F71,100,0),ROUND(NETWORKDAYS.INTL(E71,MIN(F71,Reprogramaciones!N$9),11)/NETWORKDAYS.INTL(E71,F71,11)*100,1))))</f>
        <v/>
      </c>
      <c r="L71" s="36" t="str">
        <f aca="false">IF(OR(NOT(AND(ISNUMBER(E71),ISNUMBER(F71))),$J$2=""),"",IF(Reprogramaciones!P$9&lt;E71,0,IF(NETWORKDAYS.INTL(E71,F71,11)=0,IF(Reprogramaciones!P$9&gt;=F71,100,0),ROUND(NETWORKDAYS.INTL(E71,MIN(F71,Reprogramaciones!P$9),11)/NETWORKDAYS.INTL(E71,F71,11)*100,1)))-IF(Reprogramaciones!O$9&lt;E71,0,IF(NETWORKDAYS.INTL(E71,F71,11)=0,IF(Reprogramaciones!O$9&gt;=F71,100,0),ROUND(NETWORKDAYS.INTL(E71,MIN(F71,Reprogramaciones!O$9),11)/NETWORKDAYS.INTL(E71,F71,11)*100,1))))</f>
        <v/>
      </c>
      <c r="M71" s="36" t="str">
        <f aca="false">IF(OR(NOT(AND(ISNUMBER(E71),ISNUMBER(F71))),$J$2=""),"",IF(Reprogramaciones!Q$9&lt;E71,0,IF(NETWORKDAYS.INTL(E71,F71,11)=0,IF(Reprogramaciones!Q$9&gt;=F71,100,0),ROUND(NETWORKDAYS.INTL(E71,MIN(F71,Reprogramaciones!Q$9),11)/NETWORKDAYS.INTL(E71,F71,11)*100,1)))-IF(Reprogramaciones!P$9&lt;E71,0,IF(NETWORKDAYS.INTL(E71,F71,11)=0,IF(Reprogramaciones!P$9&gt;=F71,100,0),ROUND(NETWORKDAYS.INTL(E71,MIN(F71,Reprogramaciones!P$9),11)/NETWORKDAYS.INTL(E71,F71,11)*100,1))))</f>
        <v/>
      </c>
      <c r="N71" s="36" t="str">
        <f aca="false">IF(OR(NOT(AND(ISNUMBER(E71),ISNUMBER(F71))),$J$2=""),"",IF(Reprogramaciones!R$9&lt;E71,0,IF(NETWORKDAYS.INTL(E71,F71,11)=0,IF(Reprogramaciones!R$9&gt;=F71,100,0),ROUND(NETWORKDAYS.INTL(E71,MIN(F71,Reprogramaciones!R$9),11)/NETWORKDAYS.INTL(E71,F71,11)*100,1)))-IF(Reprogramaciones!Q$9&lt;E71,0,IF(NETWORKDAYS.INTL(E71,F71,11)=0,IF(Reprogramaciones!Q$9&gt;=F71,100,0),ROUND(NETWORKDAYS.INTL(E71,MIN(F71,Reprogramaciones!Q$9),11)/NETWORKDAYS.INTL(E71,F71,11)*100,1))))</f>
        <v/>
      </c>
      <c r="O71" s="36" t="str">
        <f aca="false">IF(OR(NOT(AND(ISNUMBER(E71),ISNUMBER(F71))),$J$2=""),"",IF(Reprogramaciones!S$9&lt;E71,0,IF(NETWORKDAYS.INTL(E71,F71,11)=0,IF(Reprogramaciones!S$9&gt;=F71,100,0),ROUND(NETWORKDAYS.INTL(E71,MIN(F71,Reprogramaciones!S$9),11)/NETWORKDAYS.INTL(E71,F71,11)*100,1)))-IF(Reprogramaciones!R$9&lt;E71,0,IF(NETWORKDAYS.INTL(E71,F71,11)=0,IF(Reprogramaciones!R$9&gt;=F71,100,0),ROUND(NETWORKDAYS.INTL(E71,MIN(F71,Reprogramaciones!R$9),11)/NETWORKDAYS.INTL(E71,F71,11)*100,1))))</f>
        <v/>
      </c>
      <c r="P71" s="36" t="str">
        <f aca="false">IF(OR(NOT(AND(ISNUMBER(E71),ISNUMBER(F71))),$J$2=""),"",IF(Reprogramaciones!T$9&lt;E71,0,IF(NETWORKDAYS.INTL(E71,F71,11)=0,IF(Reprogramaciones!T$9&gt;=F71,100,0),ROUND(NETWORKDAYS.INTL(E71,MIN(F71,Reprogramaciones!T$9),11)/NETWORKDAYS.INTL(E71,F71,11)*100,1)))-IF(Reprogramaciones!S$9&lt;E71,0,IF(NETWORKDAYS.INTL(E71,F71,11)=0,IF(Reprogramaciones!S$9&gt;=F71,100,0),ROUND(NETWORKDAYS.INTL(E71,MIN(F71,Reprogramaciones!S$9),11)/NETWORKDAYS.INTL(E71,F71,11)*100,1))))</f>
        <v/>
      </c>
      <c r="Q71" s="37"/>
      <c r="R71" s="37"/>
      <c r="S71" s="37"/>
      <c r="T71" s="37"/>
      <c r="U71" s="37"/>
      <c r="V71" s="37"/>
      <c r="W71" s="37"/>
      <c r="X71" s="37"/>
      <c r="Y71" s="37"/>
      <c r="Z71" s="37"/>
      <c r="AA71" s="37"/>
      <c r="AB71" s="37"/>
      <c r="AC71" s="37"/>
      <c r="AD71" s="37"/>
      <c r="AE71" s="37"/>
      <c r="AF71" s="37"/>
      <c r="AG71" s="38" t="str">
        <f aca="false">IF(AND(ISNUMBER(E71),ISNUMBER(F71)),NETWORKDAYS.INTL(E71,F71,11),"")</f>
        <v/>
      </c>
      <c r="AH71" s="38" t="str">
        <f aca="false">IF(OR(NOT(AND(ISNUMBER(E71),ISNUMBER(F71))),$J$2=""),"",IF(Reprogramaciones!$P$15&lt;Reprogramaciones!$T$15,0,IF(Reprogramaciones!$R$15&gt;10,MIN(100,SUM($G71:$P71)),MIN(100,SUMPRODUCT((COLUMN($G71:$P71)-COLUMN($G71)+1&lt;Reprogramaciones!$R$15)*$G71:$P71)+N(INDEX($G71:$P71,1,Reprogramaciones!$R$15))*IF(Reprogramaciones!$P$15&gt;=(Reprogramaciones!$T$15+7*(Reprogramaciones!$R$15-1))+6,1,IF(MAX(0,NETWORKDAYS.INTL(MAX(E71,(Reprogramaciones!$T$15+7*(Reprogramaciones!$R$15-1))),MIN(F71,(Reprogramaciones!$T$15+7*(Reprogramaciones!$R$15-1))+6),11))=0,0,MAX(0,NETWORKDAYS.INTL(MAX(E71,(Reprogramaciones!$T$15+7*(Reprogramaciones!$R$15-1))),MIN(F71,Reprogramaciones!$P$15),11))/MAX(0,NETWORKDAYS.INTL(MAX(E71,(Reprogramaciones!$T$15+7*(Reprogramaciones!$R$15-1))),MIN(F71,(Reprogramaciones!$T$15+7*(Reprogramaciones!$R$15-1))+6),11))))))))</f>
        <v/>
      </c>
      <c r="AI71" s="38" t="str">
        <f aca="false">IF(COUNT($Q71:$AF71)=0,"",IF(ROUND(SUM($Q71:$AF71),1)&gt;=99.5,100,MIN(100,ROUND(SUM($Q71:$AF71),1))))</f>
        <v/>
      </c>
      <c r="AJ71" s="38" t="str">
        <f aca="false">IF(OR(AH71="",AI71=""),"",AI71-AH71)</f>
        <v/>
      </c>
      <c r="AK71" s="39" t="str">
        <f aca="true">IF(AH71="","",IF(OR(Ficha!$C$10="Suspendida",Ficha!$C$10="Cancelada"),Ficha!$C$10,IF(AND(AI71&lt;&gt;"",N(AI71)&gt;=100),"Completada",IF(AND(E71&gt;TODAY(),N(AI71)=0),"Por iniciar",IF(N(AI71)+0.5&lt;AH71,"Retrasada",IF(N(AI71)+0.5&lt;DA71,IF(Reprogramaciones!$K$15&gt;0,"Al día · Sem "&amp;Reprogramaciones!$K$15&amp;" en curso","Al día · en curso"),"A tiempo"))))))</f>
        <v/>
      </c>
      <c r="AL71" s="39" t="str">
        <f aca="true">IF(AND(A71="",AND(B71="",C71="",E71="",F71="",COUNT(Q71:AF71)=0)),"",IF(AND(B71="",C71="",E71="",F71="",COUNT(Q71:AF71)=0),"Falta la partida o subpartida",IF(AND(A71&lt;&gt;"",COUNTIF($A$6:$A$305,A71)&gt;1),"Ítem repetido",IF(AND(C71="",E71="",F71="",COUNT(Q71:AF71)=0),"Título de partida",IF(OR(E71="",F71=""),"Faltan fechas",IF(OR(ISTEXT(E71),ISTEXT(F71)),"Fecha escrita como texto: usa dd/mm/aaaa",IF(F71&lt;E71,"Fin antes del inicio",IF(IF($J$2="",FALSE(),OR(E71&lt;$J$2,F71&gt;Reprogramaciones!$T$15+69)),"Fuera de las 10 semanas",IF(ABS(SUM(G71:P71)-100)&gt;0.5,"La meta no suma 100%",IF(ROUND(SUM(Q71:AF71),1)&gt;100.5,"El avance pasa de 100%",IF(MIN(Q71:AF71)&lt;0,"Avance negativo",IF(COUNTA(Q71:AF71)&gt;COUNT(Q71:AF71),"Avance escrito como texto",IF(SUMPRODUCT((Q71:AF71&gt;0)*(Q71:AF71&lt;1))&gt;0,"Avance menor a 1: escribe 50, no 50%",IF(SUMPRODUCT(ISNUMBER(Q71:AF71)*(Reprogramaciones!$K$8:$Z$8&gt;TODAY()))&gt;0,"Avance en semana que aún no llega",IF(AND(N(Reprogramaciones!$E$21)&gt;0,F71&gt;Reprogramaciones!$E$21),"Pasa el fin de la obra: registra una reprogramación",IF(AND(N(Reprogramaciones!$E$21)&gt;0,SUMPRODUCT(ISNUMBER(Q71:AF71)*(Reprogramaciones!$K$8:$Z$8&gt;Reprogramaciones!$E$21))&gt;0),"Avance después del fin de la obra: registra una reprogramación por atraso","OK"))))))))))))))))</f>
        <v/>
      </c>
      <c r="AM71" s="40" t="str">
        <f aca="false">IF(OR(OR(NOT(AND(ISNUMBER(E71),ISNUMBER(F71))),$J$2=""),1&gt;MAX(1,Reprogramaciones!$U$15)),"",IF(Reprogramaciones!K$12&gt;=7,"",IF(OR(BT71-N(0)&gt;0.05,N(Q71)&gt;0),ROUNDDOWN(ROUND(BT71,6),0)&amp;"%"&amp;IF(CJ71="",""," / "&amp;CJ71&amp;"%"),IF(AND(N(0)&gt;=99.95,CJ71&lt;&gt;"",N(CJ71)&lt;100),"Pend. "&amp;CJ71&amp;"%",""))))</f>
        <v/>
      </c>
      <c r="AN71" s="40" t="str">
        <f aca="false">IF(OR(OR(NOT(AND(ISNUMBER(E71),ISNUMBER(F71))),$J$2=""),2&gt;MAX(1,Reprogramaciones!$U$15)),"",IF(Reprogramaciones!L$12&gt;=7,"",IF(OR(BU71-N(BT71)&gt;0.05,N(R71)&gt;0),ROUNDDOWN(ROUND(BU71,6),0)&amp;"%"&amp;IF(CK71="",""," / "&amp;CK71&amp;"%"),IF(AND(N(BT71)&gt;=99.95,CK71&lt;&gt;"",N(CK71)&lt;100),"Pend. "&amp;CK71&amp;"%",""))))</f>
        <v/>
      </c>
      <c r="AO71" s="40" t="str">
        <f aca="false">IF(OR(OR(NOT(AND(ISNUMBER(E71),ISNUMBER(F71))),$J$2=""),3&gt;MAX(1,Reprogramaciones!$U$15)),"",IF(Reprogramaciones!M$12&gt;=7,"",IF(OR(BV71-N(BU71)&gt;0.05,N(S71)&gt;0),ROUNDDOWN(ROUND(BV71,6),0)&amp;"%"&amp;IF(CL71="",""," / "&amp;CL71&amp;"%"),IF(AND(N(BU71)&gt;=99.95,CL71&lt;&gt;"",N(CL71)&lt;100),"Pend. "&amp;CL71&amp;"%",""))))</f>
        <v/>
      </c>
      <c r="AP71" s="40" t="str">
        <f aca="false">IF(OR(OR(NOT(AND(ISNUMBER(E71),ISNUMBER(F71))),$J$2=""),4&gt;MAX(1,Reprogramaciones!$U$15)),"",IF(Reprogramaciones!N$12&gt;=7,"",IF(OR(BW71-N(BV71)&gt;0.05,N(T71)&gt;0),ROUNDDOWN(ROUND(BW71,6),0)&amp;"%"&amp;IF(CM71="",""," / "&amp;CM71&amp;"%"),IF(AND(N(BV71)&gt;=99.95,CM71&lt;&gt;"",N(CM71)&lt;100),"Pend. "&amp;CM71&amp;"%",""))))</f>
        <v/>
      </c>
      <c r="AQ71" s="40" t="str">
        <f aca="false">IF(OR(OR(NOT(AND(ISNUMBER(E71),ISNUMBER(F71))),$J$2=""),5&gt;MAX(1,Reprogramaciones!$U$15)),"",IF(Reprogramaciones!O$12&gt;=7,"",IF(OR(BX71-N(BW71)&gt;0.05,N(U71)&gt;0),ROUNDDOWN(ROUND(BX71,6),0)&amp;"%"&amp;IF(CN71="",""," / "&amp;CN71&amp;"%"),IF(AND(N(BW71)&gt;=99.95,CN71&lt;&gt;"",N(CN71)&lt;100),"Pend. "&amp;CN71&amp;"%",""))))</f>
        <v/>
      </c>
      <c r="AR71" s="40" t="str">
        <f aca="false">IF(OR(OR(NOT(AND(ISNUMBER(E71),ISNUMBER(F71))),$J$2=""),6&gt;MAX(1,Reprogramaciones!$U$15)),"",IF(Reprogramaciones!P$12&gt;=7,"",IF(OR(BY71-N(BX71)&gt;0.05,N(V71)&gt;0),ROUNDDOWN(ROUND(BY71,6),0)&amp;"%"&amp;IF(CO71="",""," / "&amp;CO71&amp;"%"),IF(AND(N(BX71)&gt;=99.95,CO71&lt;&gt;"",N(CO71)&lt;100),"Pend. "&amp;CO71&amp;"%",""))))</f>
        <v/>
      </c>
      <c r="AS71" s="40" t="str">
        <f aca="false">IF(OR(OR(NOT(AND(ISNUMBER(E71),ISNUMBER(F71))),$J$2=""),7&gt;MAX(1,Reprogramaciones!$U$15)),"",IF(Reprogramaciones!Q$12&gt;=7,"",IF(OR(BZ71-N(BY71)&gt;0.05,N(W71)&gt;0),ROUNDDOWN(ROUND(BZ71,6),0)&amp;"%"&amp;IF(CP71="",""," / "&amp;CP71&amp;"%"),IF(AND(N(BY71)&gt;=99.95,CP71&lt;&gt;"",N(CP71)&lt;100),"Pend. "&amp;CP71&amp;"%",""))))</f>
        <v/>
      </c>
      <c r="AT71" s="40" t="str">
        <f aca="false">IF(OR(OR(NOT(AND(ISNUMBER(E71),ISNUMBER(F71))),$J$2=""),8&gt;MAX(1,Reprogramaciones!$U$15)),"",IF(Reprogramaciones!R$12&gt;=7,"",IF(OR(CA71-N(BZ71)&gt;0.05,N(X71)&gt;0),ROUNDDOWN(ROUND(CA71,6),0)&amp;"%"&amp;IF(CQ71="",""," / "&amp;CQ71&amp;"%"),IF(AND(N(BZ71)&gt;=99.95,CQ71&lt;&gt;"",N(CQ71)&lt;100),"Pend. "&amp;CQ71&amp;"%",""))))</f>
        <v/>
      </c>
      <c r="AU71" s="40" t="str">
        <f aca="false">IF(OR(OR(NOT(AND(ISNUMBER(E71),ISNUMBER(F71))),$J$2=""),9&gt;MAX(1,Reprogramaciones!$U$15)),"",IF(Reprogramaciones!S$12&gt;=7,"",IF(OR(CB71-N(CA71)&gt;0.05,N(Y71)&gt;0),ROUNDDOWN(ROUND(CB71,6),0)&amp;"%"&amp;IF(CR71="",""," / "&amp;CR71&amp;"%"),IF(AND(N(CA71)&gt;=99.95,CR71&lt;&gt;"",N(CR71)&lt;100),"Pend. "&amp;CR71&amp;"%",""))))</f>
        <v/>
      </c>
      <c r="AV71" s="40" t="str">
        <f aca="false">IF(OR(OR(NOT(AND(ISNUMBER(E71),ISNUMBER(F71))),$J$2=""),10&gt;MAX(1,Reprogramaciones!$U$15)),"",IF(Reprogramaciones!T$12&gt;=7,"",IF(OR(CC71-N(CB71)&gt;0.05,N(Z71)&gt;0),ROUNDDOWN(ROUND(CC71,6),0)&amp;"%"&amp;IF(CS71="",""," / "&amp;CS71&amp;"%"),IF(AND(N(CB71)&gt;=99.95,CS71&lt;&gt;"",N(CS71)&lt;100),"Pend. "&amp;CS71&amp;"%",""))))</f>
        <v/>
      </c>
      <c r="AW71" s="40" t="str">
        <f aca="false">IF(OR(OR(NOT(AND(ISNUMBER(E71),ISNUMBER(F71))),$J$2=""),11&gt;MAX(1,Reprogramaciones!$U$15)),"",IF(Reprogramaciones!U$12&gt;=7,"",IF(OR(CD71-N(CC71)&gt;0.05,N(AA71)&gt;0),ROUNDDOWN(ROUND(CD71,6),0)&amp;"%"&amp;IF(CT71="",""," / "&amp;CT71&amp;"%"),IF(AND(N(CC71)&gt;=99.95,CT71&lt;&gt;"",N(CT71)&lt;100),"Pend. "&amp;CT71&amp;"%",""))))</f>
        <v/>
      </c>
      <c r="AX71" s="40" t="str">
        <f aca="false">IF(OR(OR(NOT(AND(ISNUMBER(E71),ISNUMBER(F71))),$J$2=""),12&gt;MAX(1,Reprogramaciones!$U$15)),"",IF(Reprogramaciones!V$12&gt;=7,"",IF(OR(CE71-N(CD71)&gt;0.05,N(AB71)&gt;0),ROUNDDOWN(ROUND(CE71,6),0)&amp;"%"&amp;IF(CU71="",""," / "&amp;CU71&amp;"%"),IF(AND(N(CD71)&gt;=99.95,CU71&lt;&gt;"",N(CU71)&lt;100),"Pend. "&amp;CU71&amp;"%",""))))</f>
        <v/>
      </c>
      <c r="AY71" s="40" t="str">
        <f aca="false">IF(OR(OR(NOT(AND(ISNUMBER(E71),ISNUMBER(F71))),$J$2=""),13&gt;MAX(1,Reprogramaciones!$U$15)),"",IF(Reprogramaciones!W$12&gt;=7,"",IF(OR(CF71-N(CE71)&gt;0.05,N(AC71)&gt;0),ROUNDDOWN(ROUND(CF71,6),0)&amp;"%"&amp;IF(CV71="",""," / "&amp;CV71&amp;"%"),IF(AND(N(CE71)&gt;=99.95,CV71&lt;&gt;"",N(CV71)&lt;100),"Pend. "&amp;CV71&amp;"%",""))))</f>
        <v/>
      </c>
      <c r="AZ71" s="40" t="str">
        <f aca="false">IF(OR(OR(NOT(AND(ISNUMBER(E71),ISNUMBER(F71))),$J$2=""),14&gt;MAX(1,Reprogramaciones!$U$15)),"",IF(Reprogramaciones!X$12&gt;=7,"",IF(OR(CG71-N(CF71)&gt;0.05,N(AD71)&gt;0),ROUNDDOWN(ROUND(CG71,6),0)&amp;"%"&amp;IF(CW71="",""," / "&amp;CW71&amp;"%"),IF(AND(N(CF71)&gt;=99.95,CW71&lt;&gt;"",N(CW71)&lt;100),"Pend. "&amp;CW71&amp;"%",""))))</f>
        <v/>
      </c>
      <c r="BA71" s="40" t="str">
        <f aca="false">IF(OR(OR(NOT(AND(ISNUMBER(E71),ISNUMBER(F71))),$J$2=""),15&gt;MAX(1,Reprogramaciones!$U$15)),"",IF(Reprogramaciones!Y$12&gt;=7,"",IF(OR(CH71-N(CG71)&gt;0.05,N(AE71)&gt;0),ROUNDDOWN(ROUND(CH71,6),0)&amp;"%"&amp;IF(CX71="",""," / "&amp;CX71&amp;"%"),IF(AND(N(CG71)&gt;=99.95,CX71&lt;&gt;"",N(CX71)&lt;100),"Pend. "&amp;CX71&amp;"%",""))))</f>
        <v/>
      </c>
      <c r="BB71" s="40" t="str">
        <f aca="false">IF(OR(OR(NOT(AND(ISNUMBER(E71),ISNUMBER(F71))),$J$2=""),16&gt;MAX(1,Reprogramaciones!$U$15)),"",IF(Reprogramaciones!Z$12&gt;=7,"",IF(OR(CI71-N(CH71)&gt;0.05,N(AF71)&gt;0),ROUNDDOWN(ROUND(CI71,6),0)&amp;"%"&amp;IF(CY71="",""," / "&amp;CY71&amp;"%"),IF(AND(N(CH71)&gt;=99.95,CY71&lt;&gt;"",N(CY71)&lt;100),"Pend. "&amp;CY71&amp;"%",""))))</f>
        <v/>
      </c>
      <c r="BC71" s="31" t="n">
        <f aca="false">IF(AND(ISNUMBER(E71),ISNUMBER(F71)),MAX(1,NETWORKDAYS.INTL(E71,F71,11)),0)</f>
        <v>0</v>
      </c>
      <c r="BD71" s="1" t="str">
        <f aca="false">IF(OR(NOT(AND(ISNUMBER(E71),ISNUMBER(F71))),$J$2=""),"",MIN(100,ROUND(SUM($G71:G71),1)))</f>
        <v/>
      </c>
      <c r="BE71" s="1" t="str">
        <f aca="false">IF(OR(NOT(AND(ISNUMBER(E71),ISNUMBER(F71))),$J$2=""),"",MIN(100,ROUND(SUM($G71:H71),1)))</f>
        <v/>
      </c>
      <c r="BF71" s="1" t="str">
        <f aca="false">IF(OR(NOT(AND(ISNUMBER(E71),ISNUMBER(F71))),$J$2=""),"",MIN(100,ROUND(SUM($G71:I71),1)))</f>
        <v/>
      </c>
      <c r="BG71" s="1" t="str">
        <f aca="false">IF(OR(NOT(AND(ISNUMBER(E71),ISNUMBER(F71))),$J$2=""),"",MIN(100,ROUND(SUM($G71:J71),1)))</f>
        <v/>
      </c>
      <c r="BH71" s="1" t="str">
        <f aca="false">IF(OR(NOT(AND(ISNUMBER(E71),ISNUMBER(F71))),$J$2=""),"",MIN(100,ROUND(SUM($G71:K71),1)))</f>
        <v/>
      </c>
      <c r="BI71" s="1" t="str">
        <f aca="false">IF(OR(NOT(AND(ISNUMBER(E71),ISNUMBER(F71))),$J$2=""),"",MIN(100,ROUND(SUM($G71:L71),1)))</f>
        <v/>
      </c>
      <c r="BJ71" s="1" t="str">
        <f aca="false">IF(OR(NOT(AND(ISNUMBER(E71),ISNUMBER(F71))),$J$2=""),"",MIN(100,ROUND(SUM($G71:M71),1)))</f>
        <v/>
      </c>
      <c r="BK71" s="1" t="str">
        <f aca="false">IF(OR(NOT(AND(ISNUMBER(E71),ISNUMBER(F71))),$J$2=""),"",MIN(100,ROUND(SUM($G71:N71),1)))</f>
        <v/>
      </c>
      <c r="BL71" s="1" t="str">
        <f aca="false">IF(OR(NOT(AND(ISNUMBER(E71),ISNUMBER(F71))),$J$2=""),"",MIN(100,ROUND(SUM($G71:O71),1)))</f>
        <v/>
      </c>
      <c r="BM71" s="1" t="str">
        <f aca="false">IF(OR(NOT(AND(ISNUMBER(E71),ISNUMBER(F71))),$J$2=""),"",MIN(100,ROUND(SUM($G71:P71),1)))</f>
        <v/>
      </c>
      <c r="BN71" s="1" t="str">
        <f aca="false">IF(OR(NOT(AND(ISNUMBER(E71),ISNUMBER(F71))),$J$2=""),"",MIN(100,ROUND(SUM($G71:P71),1)))</f>
        <v/>
      </c>
      <c r="BO71" s="1" t="str">
        <f aca="false">IF(OR(NOT(AND(ISNUMBER(E71),ISNUMBER(F71))),$J$2=""),"",MIN(100,ROUND(SUM($G71:P71),1)))</f>
        <v/>
      </c>
      <c r="BP71" s="1" t="str">
        <f aca="false">IF(OR(NOT(AND(ISNUMBER(E71),ISNUMBER(F71))),$J$2=""),"",MIN(100,ROUND(SUM($G71:P71),1)))</f>
        <v/>
      </c>
      <c r="BQ71" s="1" t="str">
        <f aca="false">IF(OR(NOT(AND(ISNUMBER(E71),ISNUMBER(F71))),$J$2=""),"",MIN(100,ROUND(SUM($G71:P71),1)))</f>
        <v/>
      </c>
      <c r="BR71" s="1" t="str">
        <f aca="false">IF(OR(NOT(AND(ISNUMBER(E71),ISNUMBER(F71))),$J$2=""),"",MIN(100,ROUND(SUM($G71:P71),1)))</f>
        <v/>
      </c>
      <c r="BS71" s="1" t="str">
        <f aca="false">IF(OR(NOT(AND(ISNUMBER(E71),ISNUMBER(F71))),$J$2=""),"",MIN(100,ROUND(SUM($G71:P71),1)))</f>
        <v/>
      </c>
      <c r="BT71" s="1" t="str">
        <f aca="false">IF(OR(NOT(AND(ISNUMBER(E71),ISNUMBER(F71))),$J$2=""),"",IF(Reprogramaciones!K$13&lt;Reprogramaciones!$T$15,0,IF(Reprogramaciones!K$14&gt;10,MIN(100,SUM($G71:$P71)),MIN(100,SUMPRODUCT((COLUMN($G71:$P71)-COLUMN($G71)+1&lt;Reprogramaciones!K$14)*$G71:$P71)+N(INDEX($G71:$P71,1,Reprogramaciones!K$14))*IF(Reprogramaciones!K$13&gt;=(Reprogramaciones!$T$15+7*(Reprogramaciones!K$14-1))+6,1,IF(MAX(0,NETWORKDAYS.INTL(MAX(E71,(Reprogramaciones!$T$15+7*(Reprogramaciones!K$14-1))),MIN(F71,(Reprogramaciones!$T$15+7*(Reprogramaciones!K$14-1))+6),11))=0,0,MAX(0,NETWORKDAYS.INTL(MAX(E71,(Reprogramaciones!$T$15+7*(Reprogramaciones!K$14-1))),MIN(F71,Reprogramaciones!K$13),11))/MAX(0,NETWORKDAYS.INTL(MAX(E71,(Reprogramaciones!$T$15+7*(Reprogramaciones!K$14-1))),MIN(F71,(Reprogramaciones!$T$15+7*(Reprogramaciones!K$14-1))+6),11))))))))</f>
        <v/>
      </c>
      <c r="BU71" s="1" t="str">
        <f aca="false">IF(OR(NOT(AND(ISNUMBER(E71),ISNUMBER(F71))),$J$2=""),"",IF(Reprogramaciones!L$13&lt;Reprogramaciones!$T$15,0,IF(Reprogramaciones!L$14&gt;10,MIN(100,SUM($G71:$P71)),MIN(100,SUMPRODUCT((COLUMN($G71:$P71)-COLUMN($G71)+1&lt;Reprogramaciones!L$14)*$G71:$P71)+N(INDEX($G71:$P71,1,Reprogramaciones!L$14))*IF(Reprogramaciones!L$13&gt;=(Reprogramaciones!$T$15+7*(Reprogramaciones!L$14-1))+6,1,IF(MAX(0,NETWORKDAYS.INTL(MAX(E71,(Reprogramaciones!$T$15+7*(Reprogramaciones!L$14-1))),MIN(F71,(Reprogramaciones!$T$15+7*(Reprogramaciones!L$14-1))+6),11))=0,0,MAX(0,NETWORKDAYS.INTL(MAX(E71,(Reprogramaciones!$T$15+7*(Reprogramaciones!L$14-1))),MIN(F71,Reprogramaciones!L$13),11))/MAX(0,NETWORKDAYS.INTL(MAX(E71,(Reprogramaciones!$T$15+7*(Reprogramaciones!L$14-1))),MIN(F71,(Reprogramaciones!$T$15+7*(Reprogramaciones!L$14-1))+6),11))))))))</f>
        <v/>
      </c>
      <c r="BV71" s="1" t="str">
        <f aca="false">IF(OR(NOT(AND(ISNUMBER(E71),ISNUMBER(F71))),$J$2=""),"",IF(Reprogramaciones!M$13&lt;Reprogramaciones!$T$15,0,IF(Reprogramaciones!M$14&gt;10,MIN(100,SUM($G71:$P71)),MIN(100,SUMPRODUCT((COLUMN($G71:$P71)-COLUMN($G71)+1&lt;Reprogramaciones!M$14)*$G71:$P71)+N(INDEX($G71:$P71,1,Reprogramaciones!M$14))*IF(Reprogramaciones!M$13&gt;=(Reprogramaciones!$T$15+7*(Reprogramaciones!M$14-1))+6,1,IF(MAX(0,NETWORKDAYS.INTL(MAX(E71,(Reprogramaciones!$T$15+7*(Reprogramaciones!M$14-1))),MIN(F71,(Reprogramaciones!$T$15+7*(Reprogramaciones!M$14-1))+6),11))=0,0,MAX(0,NETWORKDAYS.INTL(MAX(E71,(Reprogramaciones!$T$15+7*(Reprogramaciones!M$14-1))),MIN(F71,Reprogramaciones!M$13),11))/MAX(0,NETWORKDAYS.INTL(MAX(E71,(Reprogramaciones!$T$15+7*(Reprogramaciones!M$14-1))),MIN(F71,(Reprogramaciones!$T$15+7*(Reprogramaciones!M$14-1))+6),11))))))))</f>
        <v/>
      </c>
      <c r="BW71" s="1" t="str">
        <f aca="false">IF(OR(NOT(AND(ISNUMBER(E71),ISNUMBER(F71))),$J$2=""),"",IF(Reprogramaciones!N$13&lt;Reprogramaciones!$T$15,0,IF(Reprogramaciones!N$14&gt;10,MIN(100,SUM($G71:$P71)),MIN(100,SUMPRODUCT((COLUMN($G71:$P71)-COLUMN($G71)+1&lt;Reprogramaciones!N$14)*$G71:$P71)+N(INDEX($G71:$P71,1,Reprogramaciones!N$14))*IF(Reprogramaciones!N$13&gt;=(Reprogramaciones!$T$15+7*(Reprogramaciones!N$14-1))+6,1,IF(MAX(0,NETWORKDAYS.INTL(MAX(E71,(Reprogramaciones!$T$15+7*(Reprogramaciones!N$14-1))),MIN(F71,(Reprogramaciones!$T$15+7*(Reprogramaciones!N$14-1))+6),11))=0,0,MAX(0,NETWORKDAYS.INTL(MAX(E71,(Reprogramaciones!$T$15+7*(Reprogramaciones!N$14-1))),MIN(F71,Reprogramaciones!N$13),11))/MAX(0,NETWORKDAYS.INTL(MAX(E71,(Reprogramaciones!$T$15+7*(Reprogramaciones!N$14-1))),MIN(F71,(Reprogramaciones!$T$15+7*(Reprogramaciones!N$14-1))+6),11))))))))</f>
        <v/>
      </c>
      <c r="BX71" s="1" t="str">
        <f aca="false">IF(OR(NOT(AND(ISNUMBER(E71),ISNUMBER(F71))),$J$2=""),"",IF(Reprogramaciones!O$13&lt;Reprogramaciones!$T$15,0,IF(Reprogramaciones!O$14&gt;10,MIN(100,SUM($G71:$P71)),MIN(100,SUMPRODUCT((COLUMN($G71:$P71)-COLUMN($G71)+1&lt;Reprogramaciones!O$14)*$G71:$P71)+N(INDEX($G71:$P71,1,Reprogramaciones!O$14))*IF(Reprogramaciones!O$13&gt;=(Reprogramaciones!$T$15+7*(Reprogramaciones!O$14-1))+6,1,IF(MAX(0,NETWORKDAYS.INTL(MAX(E71,(Reprogramaciones!$T$15+7*(Reprogramaciones!O$14-1))),MIN(F71,(Reprogramaciones!$T$15+7*(Reprogramaciones!O$14-1))+6),11))=0,0,MAX(0,NETWORKDAYS.INTL(MAX(E71,(Reprogramaciones!$T$15+7*(Reprogramaciones!O$14-1))),MIN(F71,Reprogramaciones!O$13),11))/MAX(0,NETWORKDAYS.INTL(MAX(E71,(Reprogramaciones!$T$15+7*(Reprogramaciones!O$14-1))),MIN(F71,(Reprogramaciones!$T$15+7*(Reprogramaciones!O$14-1))+6),11))))))))</f>
        <v/>
      </c>
      <c r="BY71" s="1" t="str">
        <f aca="false">IF(OR(NOT(AND(ISNUMBER(E71),ISNUMBER(F71))),$J$2=""),"",IF(Reprogramaciones!P$13&lt;Reprogramaciones!$T$15,0,IF(Reprogramaciones!P$14&gt;10,MIN(100,SUM($G71:$P71)),MIN(100,SUMPRODUCT((COLUMN($G71:$P71)-COLUMN($G71)+1&lt;Reprogramaciones!P$14)*$G71:$P71)+N(INDEX($G71:$P71,1,Reprogramaciones!P$14))*IF(Reprogramaciones!P$13&gt;=(Reprogramaciones!$T$15+7*(Reprogramaciones!P$14-1))+6,1,IF(MAX(0,NETWORKDAYS.INTL(MAX(E71,(Reprogramaciones!$T$15+7*(Reprogramaciones!P$14-1))),MIN(F71,(Reprogramaciones!$T$15+7*(Reprogramaciones!P$14-1))+6),11))=0,0,MAX(0,NETWORKDAYS.INTL(MAX(E71,(Reprogramaciones!$T$15+7*(Reprogramaciones!P$14-1))),MIN(F71,Reprogramaciones!P$13),11))/MAX(0,NETWORKDAYS.INTL(MAX(E71,(Reprogramaciones!$T$15+7*(Reprogramaciones!P$14-1))),MIN(F71,(Reprogramaciones!$T$15+7*(Reprogramaciones!P$14-1))+6),11))))))))</f>
        <v/>
      </c>
      <c r="BZ71" s="1" t="str">
        <f aca="false">IF(OR(NOT(AND(ISNUMBER(E71),ISNUMBER(F71))),$J$2=""),"",IF(Reprogramaciones!Q$13&lt;Reprogramaciones!$T$15,0,IF(Reprogramaciones!Q$14&gt;10,MIN(100,SUM($G71:$P71)),MIN(100,SUMPRODUCT((COLUMN($G71:$P71)-COLUMN($G71)+1&lt;Reprogramaciones!Q$14)*$G71:$P71)+N(INDEX($G71:$P71,1,Reprogramaciones!Q$14))*IF(Reprogramaciones!Q$13&gt;=(Reprogramaciones!$T$15+7*(Reprogramaciones!Q$14-1))+6,1,IF(MAX(0,NETWORKDAYS.INTL(MAX(E71,(Reprogramaciones!$T$15+7*(Reprogramaciones!Q$14-1))),MIN(F71,(Reprogramaciones!$T$15+7*(Reprogramaciones!Q$14-1))+6),11))=0,0,MAX(0,NETWORKDAYS.INTL(MAX(E71,(Reprogramaciones!$T$15+7*(Reprogramaciones!Q$14-1))),MIN(F71,Reprogramaciones!Q$13),11))/MAX(0,NETWORKDAYS.INTL(MAX(E71,(Reprogramaciones!$T$15+7*(Reprogramaciones!Q$14-1))),MIN(F71,(Reprogramaciones!$T$15+7*(Reprogramaciones!Q$14-1))+6),11))))))))</f>
        <v/>
      </c>
      <c r="CA71" s="1" t="str">
        <f aca="false">IF(OR(NOT(AND(ISNUMBER(E71),ISNUMBER(F71))),$J$2=""),"",IF(Reprogramaciones!R$13&lt;Reprogramaciones!$T$15,0,IF(Reprogramaciones!R$14&gt;10,MIN(100,SUM($G71:$P71)),MIN(100,SUMPRODUCT((COLUMN($G71:$P71)-COLUMN($G71)+1&lt;Reprogramaciones!R$14)*$G71:$P71)+N(INDEX($G71:$P71,1,Reprogramaciones!R$14))*IF(Reprogramaciones!R$13&gt;=(Reprogramaciones!$T$15+7*(Reprogramaciones!R$14-1))+6,1,IF(MAX(0,NETWORKDAYS.INTL(MAX(E71,(Reprogramaciones!$T$15+7*(Reprogramaciones!R$14-1))),MIN(F71,(Reprogramaciones!$T$15+7*(Reprogramaciones!R$14-1))+6),11))=0,0,MAX(0,NETWORKDAYS.INTL(MAX(E71,(Reprogramaciones!$T$15+7*(Reprogramaciones!R$14-1))),MIN(F71,Reprogramaciones!R$13),11))/MAX(0,NETWORKDAYS.INTL(MAX(E71,(Reprogramaciones!$T$15+7*(Reprogramaciones!R$14-1))),MIN(F71,(Reprogramaciones!$T$15+7*(Reprogramaciones!R$14-1))+6),11))))))))</f>
        <v/>
      </c>
      <c r="CB71" s="1" t="str">
        <f aca="false">IF(OR(NOT(AND(ISNUMBER(E71),ISNUMBER(F71))),$J$2=""),"",IF(Reprogramaciones!S$13&lt;Reprogramaciones!$T$15,0,IF(Reprogramaciones!S$14&gt;10,MIN(100,SUM($G71:$P71)),MIN(100,SUMPRODUCT((COLUMN($G71:$P71)-COLUMN($G71)+1&lt;Reprogramaciones!S$14)*$G71:$P71)+N(INDEX($G71:$P71,1,Reprogramaciones!S$14))*IF(Reprogramaciones!S$13&gt;=(Reprogramaciones!$T$15+7*(Reprogramaciones!S$14-1))+6,1,IF(MAX(0,NETWORKDAYS.INTL(MAX(E71,(Reprogramaciones!$T$15+7*(Reprogramaciones!S$14-1))),MIN(F71,(Reprogramaciones!$T$15+7*(Reprogramaciones!S$14-1))+6),11))=0,0,MAX(0,NETWORKDAYS.INTL(MAX(E71,(Reprogramaciones!$T$15+7*(Reprogramaciones!S$14-1))),MIN(F71,Reprogramaciones!S$13),11))/MAX(0,NETWORKDAYS.INTL(MAX(E71,(Reprogramaciones!$T$15+7*(Reprogramaciones!S$14-1))),MIN(F71,(Reprogramaciones!$T$15+7*(Reprogramaciones!S$14-1))+6),11))))))))</f>
        <v/>
      </c>
      <c r="CC71" s="1" t="str">
        <f aca="false">IF(OR(NOT(AND(ISNUMBER(E71),ISNUMBER(F71))),$J$2=""),"",IF(Reprogramaciones!T$13&lt;Reprogramaciones!$T$15,0,IF(Reprogramaciones!T$14&gt;10,MIN(100,SUM($G71:$P71)),MIN(100,SUMPRODUCT((COLUMN($G71:$P71)-COLUMN($G71)+1&lt;Reprogramaciones!T$14)*$G71:$P71)+N(INDEX($G71:$P71,1,Reprogramaciones!T$14))*IF(Reprogramaciones!T$13&gt;=(Reprogramaciones!$T$15+7*(Reprogramaciones!T$14-1))+6,1,IF(MAX(0,NETWORKDAYS.INTL(MAX(E71,(Reprogramaciones!$T$15+7*(Reprogramaciones!T$14-1))),MIN(F71,(Reprogramaciones!$T$15+7*(Reprogramaciones!T$14-1))+6),11))=0,0,MAX(0,NETWORKDAYS.INTL(MAX(E71,(Reprogramaciones!$T$15+7*(Reprogramaciones!T$14-1))),MIN(F71,Reprogramaciones!T$13),11))/MAX(0,NETWORKDAYS.INTL(MAX(E71,(Reprogramaciones!$T$15+7*(Reprogramaciones!T$14-1))),MIN(F71,(Reprogramaciones!$T$15+7*(Reprogramaciones!T$14-1))+6),11))))))))</f>
        <v/>
      </c>
      <c r="CD71" s="1" t="str">
        <f aca="false">IF(OR(NOT(AND(ISNUMBER(E71),ISNUMBER(F71))),$J$2=""),"",IF(Reprogramaciones!U$13&lt;Reprogramaciones!$T$15,0,IF(Reprogramaciones!U$14&gt;10,MIN(100,SUM($G71:$P71)),MIN(100,SUMPRODUCT((COLUMN($G71:$P71)-COLUMN($G71)+1&lt;Reprogramaciones!U$14)*$G71:$P71)+N(INDEX($G71:$P71,1,Reprogramaciones!U$14))*IF(Reprogramaciones!U$13&gt;=(Reprogramaciones!$T$15+7*(Reprogramaciones!U$14-1))+6,1,IF(MAX(0,NETWORKDAYS.INTL(MAX(E71,(Reprogramaciones!$T$15+7*(Reprogramaciones!U$14-1))),MIN(F71,(Reprogramaciones!$T$15+7*(Reprogramaciones!U$14-1))+6),11))=0,0,MAX(0,NETWORKDAYS.INTL(MAX(E71,(Reprogramaciones!$T$15+7*(Reprogramaciones!U$14-1))),MIN(F71,Reprogramaciones!U$13),11))/MAX(0,NETWORKDAYS.INTL(MAX(E71,(Reprogramaciones!$T$15+7*(Reprogramaciones!U$14-1))),MIN(F71,(Reprogramaciones!$T$15+7*(Reprogramaciones!U$14-1))+6),11))))))))</f>
        <v/>
      </c>
      <c r="CE71" s="1" t="str">
        <f aca="false">IF(OR(NOT(AND(ISNUMBER(E71),ISNUMBER(F71))),$J$2=""),"",IF(Reprogramaciones!V$13&lt;Reprogramaciones!$T$15,0,IF(Reprogramaciones!V$14&gt;10,MIN(100,SUM($G71:$P71)),MIN(100,SUMPRODUCT((COLUMN($G71:$P71)-COLUMN($G71)+1&lt;Reprogramaciones!V$14)*$G71:$P71)+N(INDEX($G71:$P71,1,Reprogramaciones!V$14))*IF(Reprogramaciones!V$13&gt;=(Reprogramaciones!$T$15+7*(Reprogramaciones!V$14-1))+6,1,IF(MAX(0,NETWORKDAYS.INTL(MAX(E71,(Reprogramaciones!$T$15+7*(Reprogramaciones!V$14-1))),MIN(F71,(Reprogramaciones!$T$15+7*(Reprogramaciones!V$14-1))+6),11))=0,0,MAX(0,NETWORKDAYS.INTL(MAX(E71,(Reprogramaciones!$T$15+7*(Reprogramaciones!V$14-1))),MIN(F71,Reprogramaciones!V$13),11))/MAX(0,NETWORKDAYS.INTL(MAX(E71,(Reprogramaciones!$T$15+7*(Reprogramaciones!V$14-1))),MIN(F71,(Reprogramaciones!$T$15+7*(Reprogramaciones!V$14-1))+6),11))))))))</f>
        <v/>
      </c>
      <c r="CF71" s="1" t="str">
        <f aca="false">IF(OR(NOT(AND(ISNUMBER(E71),ISNUMBER(F71))),$J$2=""),"",IF(Reprogramaciones!W$13&lt;Reprogramaciones!$T$15,0,IF(Reprogramaciones!W$14&gt;10,MIN(100,SUM($G71:$P71)),MIN(100,SUMPRODUCT((COLUMN($G71:$P71)-COLUMN($G71)+1&lt;Reprogramaciones!W$14)*$G71:$P71)+N(INDEX($G71:$P71,1,Reprogramaciones!W$14))*IF(Reprogramaciones!W$13&gt;=(Reprogramaciones!$T$15+7*(Reprogramaciones!W$14-1))+6,1,IF(MAX(0,NETWORKDAYS.INTL(MAX(E71,(Reprogramaciones!$T$15+7*(Reprogramaciones!W$14-1))),MIN(F71,(Reprogramaciones!$T$15+7*(Reprogramaciones!W$14-1))+6),11))=0,0,MAX(0,NETWORKDAYS.INTL(MAX(E71,(Reprogramaciones!$T$15+7*(Reprogramaciones!W$14-1))),MIN(F71,Reprogramaciones!W$13),11))/MAX(0,NETWORKDAYS.INTL(MAX(E71,(Reprogramaciones!$T$15+7*(Reprogramaciones!W$14-1))),MIN(F71,(Reprogramaciones!$T$15+7*(Reprogramaciones!W$14-1))+6),11))))))))</f>
        <v/>
      </c>
      <c r="CG71" s="1" t="str">
        <f aca="false">IF(OR(NOT(AND(ISNUMBER(E71),ISNUMBER(F71))),$J$2=""),"",IF(Reprogramaciones!X$13&lt;Reprogramaciones!$T$15,0,IF(Reprogramaciones!X$14&gt;10,MIN(100,SUM($G71:$P71)),MIN(100,SUMPRODUCT((COLUMN($G71:$P71)-COLUMN($G71)+1&lt;Reprogramaciones!X$14)*$G71:$P71)+N(INDEX($G71:$P71,1,Reprogramaciones!X$14))*IF(Reprogramaciones!X$13&gt;=(Reprogramaciones!$T$15+7*(Reprogramaciones!X$14-1))+6,1,IF(MAX(0,NETWORKDAYS.INTL(MAX(E71,(Reprogramaciones!$T$15+7*(Reprogramaciones!X$14-1))),MIN(F71,(Reprogramaciones!$T$15+7*(Reprogramaciones!X$14-1))+6),11))=0,0,MAX(0,NETWORKDAYS.INTL(MAX(E71,(Reprogramaciones!$T$15+7*(Reprogramaciones!X$14-1))),MIN(F71,Reprogramaciones!X$13),11))/MAX(0,NETWORKDAYS.INTL(MAX(E71,(Reprogramaciones!$T$15+7*(Reprogramaciones!X$14-1))),MIN(F71,(Reprogramaciones!$T$15+7*(Reprogramaciones!X$14-1))+6),11))))))))</f>
        <v/>
      </c>
      <c r="CH71" s="1" t="str">
        <f aca="false">IF(OR(NOT(AND(ISNUMBER(E71),ISNUMBER(F71))),$J$2=""),"",IF(Reprogramaciones!Y$13&lt;Reprogramaciones!$T$15,0,IF(Reprogramaciones!Y$14&gt;10,MIN(100,SUM($G71:$P71)),MIN(100,SUMPRODUCT((COLUMN($G71:$P71)-COLUMN($G71)+1&lt;Reprogramaciones!Y$14)*$G71:$P71)+N(INDEX($G71:$P71,1,Reprogramaciones!Y$14))*IF(Reprogramaciones!Y$13&gt;=(Reprogramaciones!$T$15+7*(Reprogramaciones!Y$14-1))+6,1,IF(MAX(0,NETWORKDAYS.INTL(MAX(E71,(Reprogramaciones!$T$15+7*(Reprogramaciones!Y$14-1))),MIN(F71,(Reprogramaciones!$T$15+7*(Reprogramaciones!Y$14-1))+6),11))=0,0,MAX(0,NETWORKDAYS.INTL(MAX(E71,(Reprogramaciones!$T$15+7*(Reprogramaciones!Y$14-1))),MIN(F71,Reprogramaciones!Y$13),11))/MAX(0,NETWORKDAYS.INTL(MAX(E71,(Reprogramaciones!$T$15+7*(Reprogramaciones!Y$14-1))),MIN(F71,(Reprogramaciones!$T$15+7*(Reprogramaciones!Y$14-1))+6),11))))))))</f>
        <v/>
      </c>
      <c r="CI71" s="1" t="str">
        <f aca="false">IF(OR(NOT(AND(ISNUMBER(E71),ISNUMBER(F71))),$J$2=""),"",IF(Reprogramaciones!Z$13&lt;Reprogramaciones!$T$15,0,IF(Reprogramaciones!Z$14&gt;10,MIN(100,SUM($G71:$P71)),MIN(100,SUMPRODUCT((COLUMN($G71:$P71)-COLUMN($G71)+1&lt;Reprogramaciones!Z$14)*$G71:$P71)+N(INDEX($G71:$P71,1,Reprogramaciones!Z$14))*IF(Reprogramaciones!Z$13&gt;=(Reprogramaciones!$T$15+7*(Reprogramaciones!Z$14-1))+6,1,IF(MAX(0,NETWORKDAYS.INTL(MAX(E71,(Reprogramaciones!$T$15+7*(Reprogramaciones!Z$14-1))),MIN(F71,(Reprogramaciones!$T$15+7*(Reprogramaciones!Z$14-1))+6),11))=0,0,MAX(0,NETWORKDAYS.INTL(MAX(E71,(Reprogramaciones!$T$15+7*(Reprogramaciones!Z$14-1))),MIN(F71,Reprogramaciones!Z$13),11))/MAX(0,NETWORKDAYS.INTL(MAX(E71,(Reprogramaciones!$T$15+7*(Reprogramaciones!Z$14-1))),MIN(F71,(Reprogramaciones!$T$15+7*(Reprogramaciones!Z$14-1))+6),11))))))))</f>
        <v/>
      </c>
      <c r="CJ71" s="1" t="str">
        <f aca="false">IF(OR(OR(NOT(AND(ISNUMBER(E71),ISNUMBER(F71))),$J$2=""),1&gt;Reprogramaciones!$K$16),"",IF(ROUND(SUM($Q71:Q71),1)&gt;=99.5,100,MIN(100,ROUND(SUM($Q71:Q71),1))))</f>
        <v/>
      </c>
      <c r="CK71" s="1" t="str">
        <f aca="false">IF(OR(OR(NOT(AND(ISNUMBER(E71),ISNUMBER(F71))),$J$2=""),2&gt;Reprogramaciones!$K$16),"",IF(ROUND(SUM($Q71:R71),1)&gt;=99.5,100,MIN(100,ROUND(SUM($Q71:R71),1))))</f>
        <v/>
      </c>
      <c r="CL71" s="1" t="str">
        <f aca="false">IF(OR(OR(NOT(AND(ISNUMBER(E71),ISNUMBER(F71))),$J$2=""),3&gt;Reprogramaciones!$K$16),"",IF(ROUND(SUM($Q71:S71),1)&gt;=99.5,100,MIN(100,ROUND(SUM($Q71:S71),1))))</f>
        <v/>
      </c>
      <c r="CM71" s="1" t="str">
        <f aca="false">IF(OR(OR(NOT(AND(ISNUMBER(E71),ISNUMBER(F71))),$J$2=""),4&gt;Reprogramaciones!$K$16),"",IF(ROUND(SUM($Q71:T71),1)&gt;=99.5,100,MIN(100,ROUND(SUM($Q71:T71),1))))</f>
        <v/>
      </c>
      <c r="CN71" s="1" t="str">
        <f aca="false">IF(OR(OR(NOT(AND(ISNUMBER(E71),ISNUMBER(F71))),$J$2=""),5&gt;Reprogramaciones!$K$16),"",IF(ROUND(SUM($Q71:U71),1)&gt;=99.5,100,MIN(100,ROUND(SUM($Q71:U71),1))))</f>
        <v/>
      </c>
      <c r="CO71" s="1" t="str">
        <f aca="false">IF(OR(OR(NOT(AND(ISNUMBER(E71),ISNUMBER(F71))),$J$2=""),6&gt;Reprogramaciones!$K$16),"",IF(ROUND(SUM($Q71:V71),1)&gt;=99.5,100,MIN(100,ROUND(SUM($Q71:V71),1))))</f>
        <v/>
      </c>
      <c r="CP71" s="1" t="str">
        <f aca="false">IF(OR(OR(NOT(AND(ISNUMBER(E71),ISNUMBER(F71))),$J$2=""),7&gt;Reprogramaciones!$K$16),"",IF(ROUND(SUM($Q71:W71),1)&gt;=99.5,100,MIN(100,ROUND(SUM($Q71:W71),1))))</f>
        <v/>
      </c>
      <c r="CQ71" s="1" t="str">
        <f aca="false">IF(OR(OR(NOT(AND(ISNUMBER(E71),ISNUMBER(F71))),$J$2=""),8&gt;Reprogramaciones!$K$16),"",IF(ROUND(SUM($Q71:X71),1)&gt;=99.5,100,MIN(100,ROUND(SUM($Q71:X71),1))))</f>
        <v/>
      </c>
      <c r="CR71" s="1" t="str">
        <f aca="false">IF(OR(OR(NOT(AND(ISNUMBER(E71),ISNUMBER(F71))),$J$2=""),9&gt;Reprogramaciones!$K$16),"",IF(ROUND(SUM($Q71:Y71),1)&gt;=99.5,100,MIN(100,ROUND(SUM($Q71:Y71),1))))</f>
        <v/>
      </c>
      <c r="CS71" s="1" t="str">
        <f aca="false">IF(OR(OR(NOT(AND(ISNUMBER(E71),ISNUMBER(F71))),$J$2=""),10&gt;Reprogramaciones!$K$16),"",IF(ROUND(SUM($Q71:Z71),1)&gt;=99.5,100,MIN(100,ROUND(SUM($Q71:Z71),1))))</f>
        <v/>
      </c>
      <c r="CT71" s="1" t="str">
        <f aca="false">IF(OR(OR(NOT(AND(ISNUMBER(E71),ISNUMBER(F71))),$J$2=""),11&gt;Reprogramaciones!$K$16),"",IF(ROUND(SUM($Q71:AA71),1)&gt;=99.5,100,MIN(100,ROUND(SUM($Q71:AA71),1))))</f>
        <v/>
      </c>
      <c r="CU71" s="1" t="str">
        <f aca="false">IF(OR(OR(NOT(AND(ISNUMBER(E71),ISNUMBER(F71))),$J$2=""),12&gt;Reprogramaciones!$K$16),"",IF(ROUND(SUM($Q71:AB71),1)&gt;=99.5,100,MIN(100,ROUND(SUM($Q71:AB71),1))))</f>
        <v/>
      </c>
      <c r="CV71" s="1" t="str">
        <f aca="false">IF(OR(OR(NOT(AND(ISNUMBER(E71),ISNUMBER(F71))),$J$2=""),13&gt;Reprogramaciones!$K$16),"",IF(ROUND(SUM($Q71:AC71),1)&gt;=99.5,100,MIN(100,ROUND(SUM($Q71:AC71),1))))</f>
        <v/>
      </c>
      <c r="CW71" s="1" t="str">
        <f aca="false">IF(OR(OR(NOT(AND(ISNUMBER(E71),ISNUMBER(F71))),$J$2=""),14&gt;Reprogramaciones!$K$16),"",IF(ROUND(SUM($Q71:AD71),1)&gt;=99.5,100,MIN(100,ROUND(SUM($Q71:AD71),1))))</f>
        <v/>
      </c>
      <c r="CX71" s="1" t="str">
        <f aca="false">IF(OR(OR(NOT(AND(ISNUMBER(E71),ISNUMBER(F71))),$J$2=""),15&gt;Reprogramaciones!$K$16),"",IF(ROUND(SUM($Q71:AE71),1)&gt;=99.5,100,MIN(100,ROUND(SUM($Q71:AE71),1))))</f>
        <v/>
      </c>
      <c r="CY71" s="1" t="str">
        <f aca="false">IF(OR(OR(NOT(AND(ISNUMBER(E71),ISNUMBER(F71))),$J$2=""),16&gt;Reprogramaciones!$K$16),"",IF(ROUND(SUM($Q71:AF71),1)&gt;=99.5,100,MIN(100,ROUND(SUM($Q71:AF71),1))))</f>
        <v/>
      </c>
      <c r="CZ71" s="1" t="str">
        <f aca="false">IF(D71&lt;&gt;"",D71,IF(B71&lt;&gt;"","Contractual",CZ70))</f>
        <v>Contractual</v>
      </c>
      <c r="DA71" s="1" t="str">
        <f aca="false">IF(OR(NOT(AND(ISNUMBER(E71),ISNUMBER(F71))),$J$2=""),"",IF(Reprogramaciones!$Q$15&lt;Reprogramaciones!$T$15,0,IF(Reprogramaciones!$S$15&gt;10,MIN(100,SUM($G71:$P71)),MIN(100,SUMPRODUCT((COLUMN($G71:$P71)-COLUMN($G71)+1&lt;Reprogramaciones!$S$15)*$G71:$P71)+N(INDEX($G71:$P71,1,Reprogramaciones!$S$15))*IF(Reprogramaciones!$Q$15&gt;=(Reprogramaciones!$T$15+7*(Reprogramaciones!$S$15-1))+6,1,IF(MAX(0,NETWORKDAYS.INTL(MAX(E71,(Reprogramaciones!$T$15+7*(Reprogramaciones!$S$15-1))),MIN(F71,(Reprogramaciones!$T$15+7*(Reprogramaciones!$S$15-1))+6),11))=0,0,MAX(0,NETWORKDAYS.INTL(MAX(E71,(Reprogramaciones!$T$15+7*(Reprogramaciones!$S$15-1))),MIN(F71,Reprogramaciones!$Q$15),11))/MAX(0,NETWORKDAYS.INTL(MAX(E71,(Reprogramaciones!$T$15+7*(Reprogramaciones!$S$15-1))),MIN(F71,(Reprogramaciones!$T$15+7*(Reprogramaciones!$S$15-1))+6),11))))))))</f>
        <v/>
      </c>
    </row>
    <row r="72" customFormat="false" ht="15" hidden="false" customHeight="false" outlineLevel="0" collapsed="false">
      <c r="A72" s="32"/>
      <c r="B72" s="33"/>
      <c r="C72" s="33"/>
      <c r="D72" s="34"/>
      <c r="E72" s="35"/>
      <c r="F72" s="35"/>
      <c r="G72" s="36" t="str">
        <f aca="false">IF(OR(NOT(AND(ISNUMBER(E72),ISNUMBER(F72))),$J$2=""),"",IF(Reprogramaciones!K$9&lt;E72,0,IF(NETWORKDAYS.INTL(E72,F72,11)=0,IF(Reprogramaciones!K$9&gt;=F72,100,0),ROUND(NETWORKDAYS.INTL(E72,MIN(F72,Reprogramaciones!K$9),11)/NETWORKDAYS.INTL(E72,F72,11)*100,1)))-0)</f>
        <v/>
      </c>
      <c r="H72" s="36" t="str">
        <f aca="false">IF(OR(NOT(AND(ISNUMBER(E72),ISNUMBER(F72))),$J$2=""),"",IF(Reprogramaciones!L$9&lt;E72,0,IF(NETWORKDAYS.INTL(E72,F72,11)=0,IF(Reprogramaciones!L$9&gt;=F72,100,0),ROUND(NETWORKDAYS.INTL(E72,MIN(F72,Reprogramaciones!L$9),11)/NETWORKDAYS.INTL(E72,F72,11)*100,1)))-IF(Reprogramaciones!K$9&lt;E72,0,IF(NETWORKDAYS.INTL(E72,F72,11)=0,IF(Reprogramaciones!K$9&gt;=F72,100,0),ROUND(NETWORKDAYS.INTL(E72,MIN(F72,Reprogramaciones!K$9),11)/NETWORKDAYS.INTL(E72,F72,11)*100,1))))</f>
        <v/>
      </c>
      <c r="I72" s="36" t="str">
        <f aca="false">IF(OR(NOT(AND(ISNUMBER(E72),ISNUMBER(F72))),$J$2=""),"",IF(Reprogramaciones!M$9&lt;E72,0,IF(NETWORKDAYS.INTL(E72,F72,11)=0,IF(Reprogramaciones!M$9&gt;=F72,100,0),ROUND(NETWORKDAYS.INTL(E72,MIN(F72,Reprogramaciones!M$9),11)/NETWORKDAYS.INTL(E72,F72,11)*100,1)))-IF(Reprogramaciones!L$9&lt;E72,0,IF(NETWORKDAYS.INTL(E72,F72,11)=0,IF(Reprogramaciones!L$9&gt;=F72,100,0),ROUND(NETWORKDAYS.INTL(E72,MIN(F72,Reprogramaciones!L$9),11)/NETWORKDAYS.INTL(E72,F72,11)*100,1))))</f>
        <v/>
      </c>
      <c r="J72" s="36" t="str">
        <f aca="false">IF(OR(NOT(AND(ISNUMBER(E72),ISNUMBER(F72))),$J$2=""),"",IF(Reprogramaciones!N$9&lt;E72,0,IF(NETWORKDAYS.INTL(E72,F72,11)=0,IF(Reprogramaciones!N$9&gt;=F72,100,0),ROUND(NETWORKDAYS.INTL(E72,MIN(F72,Reprogramaciones!N$9),11)/NETWORKDAYS.INTL(E72,F72,11)*100,1)))-IF(Reprogramaciones!M$9&lt;E72,0,IF(NETWORKDAYS.INTL(E72,F72,11)=0,IF(Reprogramaciones!M$9&gt;=F72,100,0),ROUND(NETWORKDAYS.INTL(E72,MIN(F72,Reprogramaciones!M$9),11)/NETWORKDAYS.INTL(E72,F72,11)*100,1))))</f>
        <v/>
      </c>
      <c r="K72" s="36" t="str">
        <f aca="false">IF(OR(NOT(AND(ISNUMBER(E72),ISNUMBER(F72))),$J$2=""),"",IF(Reprogramaciones!O$9&lt;E72,0,IF(NETWORKDAYS.INTL(E72,F72,11)=0,IF(Reprogramaciones!O$9&gt;=F72,100,0),ROUND(NETWORKDAYS.INTL(E72,MIN(F72,Reprogramaciones!O$9),11)/NETWORKDAYS.INTL(E72,F72,11)*100,1)))-IF(Reprogramaciones!N$9&lt;E72,0,IF(NETWORKDAYS.INTL(E72,F72,11)=0,IF(Reprogramaciones!N$9&gt;=F72,100,0),ROUND(NETWORKDAYS.INTL(E72,MIN(F72,Reprogramaciones!N$9),11)/NETWORKDAYS.INTL(E72,F72,11)*100,1))))</f>
        <v/>
      </c>
      <c r="L72" s="36" t="str">
        <f aca="false">IF(OR(NOT(AND(ISNUMBER(E72),ISNUMBER(F72))),$J$2=""),"",IF(Reprogramaciones!P$9&lt;E72,0,IF(NETWORKDAYS.INTL(E72,F72,11)=0,IF(Reprogramaciones!P$9&gt;=F72,100,0),ROUND(NETWORKDAYS.INTL(E72,MIN(F72,Reprogramaciones!P$9),11)/NETWORKDAYS.INTL(E72,F72,11)*100,1)))-IF(Reprogramaciones!O$9&lt;E72,0,IF(NETWORKDAYS.INTL(E72,F72,11)=0,IF(Reprogramaciones!O$9&gt;=F72,100,0),ROUND(NETWORKDAYS.INTL(E72,MIN(F72,Reprogramaciones!O$9),11)/NETWORKDAYS.INTL(E72,F72,11)*100,1))))</f>
        <v/>
      </c>
      <c r="M72" s="36" t="str">
        <f aca="false">IF(OR(NOT(AND(ISNUMBER(E72),ISNUMBER(F72))),$J$2=""),"",IF(Reprogramaciones!Q$9&lt;E72,0,IF(NETWORKDAYS.INTL(E72,F72,11)=0,IF(Reprogramaciones!Q$9&gt;=F72,100,0),ROUND(NETWORKDAYS.INTL(E72,MIN(F72,Reprogramaciones!Q$9),11)/NETWORKDAYS.INTL(E72,F72,11)*100,1)))-IF(Reprogramaciones!P$9&lt;E72,0,IF(NETWORKDAYS.INTL(E72,F72,11)=0,IF(Reprogramaciones!P$9&gt;=F72,100,0),ROUND(NETWORKDAYS.INTL(E72,MIN(F72,Reprogramaciones!P$9),11)/NETWORKDAYS.INTL(E72,F72,11)*100,1))))</f>
        <v/>
      </c>
      <c r="N72" s="36" t="str">
        <f aca="false">IF(OR(NOT(AND(ISNUMBER(E72),ISNUMBER(F72))),$J$2=""),"",IF(Reprogramaciones!R$9&lt;E72,0,IF(NETWORKDAYS.INTL(E72,F72,11)=0,IF(Reprogramaciones!R$9&gt;=F72,100,0),ROUND(NETWORKDAYS.INTL(E72,MIN(F72,Reprogramaciones!R$9),11)/NETWORKDAYS.INTL(E72,F72,11)*100,1)))-IF(Reprogramaciones!Q$9&lt;E72,0,IF(NETWORKDAYS.INTL(E72,F72,11)=0,IF(Reprogramaciones!Q$9&gt;=F72,100,0),ROUND(NETWORKDAYS.INTL(E72,MIN(F72,Reprogramaciones!Q$9),11)/NETWORKDAYS.INTL(E72,F72,11)*100,1))))</f>
        <v/>
      </c>
      <c r="O72" s="36" t="str">
        <f aca="false">IF(OR(NOT(AND(ISNUMBER(E72),ISNUMBER(F72))),$J$2=""),"",IF(Reprogramaciones!S$9&lt;E72,0,IF(NETWORKDAYS.INTL(E72,F72,11)=0,IF(Reprogramaciones!S$9&gt;=F72,100,0),ROUND(NETWORKDAYS.INTL(E72,MIN(F72,Reprogramaciones!S$9),11)/NETWORKDAYS.INTL(E72,F72,11)*100,1)))-IF(Reprogramaciones!R$9&lt;E72,0,IF(NETWORKDAYS.INTL(E72,F72,11)=0,IF(Reprogramaciones!R$9&gt;=F72,100,0),ROUND(NETWORKDAYS.INTL(E72,MIN(F72,Reprogramaciones!R$9),11)/NETWORKDAYS.INTL(E72,F72,11)*100,1))))</f>
        <v/>
      </c>
      <c r="P72" s="36" t="str">
        <f aca="false">IF(OR(NOT(AND(ISNUMBER(E72),ISNUMBER(F72))),$J$2=""),"",IF(Reprogramaciones!T$9&lt;E72,0,IF(NETWORKDAYS.INTL(E72,F72,11)=0,IF(Reprogramaciones!T$9&gt;=F72,100,0),ROUND(NETWORKDAYS.INTL(E72,MIN(F72,Reprogramaciones!T$9),11)/NETWORKDAYS.INTL(E72,F72,11)*100,1)))-IF(Reprogramaciones!S$9&lt;E72,0,IF(NETWORKDAYS.INTL(E72,F72,11)=0,IF(Reprogramaciones!S$9&gt;=F72,100,0),ROUND(NETWORKDAYS.INTL(E72,MIN(F72,Reprogramaciones!S$9),11)/NETWORKDAYS.INTL(E72,F72,11)*100,1))))</f>
        <v/>
      </c>
      <c r="Q72" s="37"/>
      <c r="R72" s="37"/>
      <c r="S72" s="37"/>
      <c r="T72" s="37"/>
      <c r="U72" s="37"/>
      <c r="V72" s="37"/>
      <c r="W72" s="37"/>
      <c r="X72" s="37"/>
      <c r="Y72" s="37"/>
      <c r="Z72" s="37"/>
      <c r="AA72" s="37"/>
      <c r="AB72" s="37"/>
      <c r="AC72" s="37"/>
      <c r="AD72" s="37"/>
      <c r="AE72" s="37"/>
      <c r="AF72" s="37"/>
      <c r="AG72" s="38" t="str">
        <f aca="false">IF(AND(ISNUMBER(E72),ISNUMBER(F72)),NETWORKDAYS.INTL(E72,F72,11),"")</f>
        <v/>
      </c>
      <c r="AH72" s="38" t="str">
        <f aca="false">IF(OR(NOT(AND(ISNUMBER(E72),ISNUMBER(F72))),$J$2=""),"",IF(Reprogramaciones!$P$15&lt;Reprogramaciones!$T$15,0,IF(Reprogramaciones!$R$15&gt;10,MIN(100,SUM($G72:$P72)),MIN(100,SUMPRODUCT((COLUMN($G72:$P72)-COLUMN($G72)+1&lt;Reprogramaciones!$R$15)*$G72:$P72)+N(INDEX($G72:$P72,1,Reprogramaciones!$R$15))*IF(Reprogramaciones!$P$15&gt;=(Reprogramaciones!$T$15+7*(Reprogramaciones!$R$15-1))+6,1,IF(MAX(0,NETWORKDAYS.INTL(MAX(E72,(Reprogramaciones!$T$15+7*(Reprogramaciones!$R$15-1))),MIN(F72,(Reprogramaciones!$T$15+7*(Reprogramaciones!$R$15-1))+6),11))=0,0,MAX(0,NETWORKDAYS.INTL(MAX(E72,(Reprogramaciones!$T$15+7*(Reprogramaciones!$R$15-1))),MIN(F72,Reprogramaciones!$P$15),11))/MAX(0,NETWORKDAYS.INTL(MAX(E72,(Reprogramaciones!$T$15+7*(Reprogramaciones!$R$15-1))),MIN(F72,(Reprogramaciones!$T$15+7*(Reprogramaciones!$R$15-1))+6),11))))))))</f>
        <v/>
      </c>
      <c r="AI72" s="38" t="str">
        <f aca="false">IF(COUNT($Q72:$AF72)=0,"",IF(ROUND(SUM($Q72:$AF72),1)&gt;=99.5,100,MIN(100,ROUND(SUM($Q72:$AF72),1))))</f>
        <v/>
      </c>
      <c r="AJ72" s="38" t="str">
        <f aca="false">IF(OR(AH72="",AI72=""),"",AI72-AH72)</f>
        <v/>
      </c>
      <c r="AK72" s="39" t="str">
        <f aca="true">IF(AH72="","",IF(OR(Ficha!$C$10="Suspendida",Ficha!$C$10="Cancelada"),Ficha!$C$10,IF(AND(AI72&lt;&gt;"",N(AI72)&gt;=100),"Completada",IF(AND(E72&gt;TODAY(),N(AI72)=0),"Por iniciar",IF(N(AI72)+0.5&lt;AH72,"Retrasada",IF(N(AI72)+0.5&lt;DA72,IF(Reprogramaciones!$K$15&gt;0,"Al día · Sem "&amp;Reprogramaciones!$K$15&amp;" en curso","Al día · en curso"),"A tiempo"))))))</f>
        <v/>
      </c>
      <c r="AL72" s="39" t="str">
        <f aca="true">IF(AND(A72="",AND(B72="",C72="",E72="",F72="",COUNT(Q72:AF72)=0)),"",IF(AND(B72="",C72="",E72="",F72="",COUNT(Q72:AF72)=0),"Falta la partida o subpartida",IF(AND(A72&lt;&gt;"",COUNTIF($A$6:$A$305,A72)&gt;1),"Ítem repetido",IF(AND(C72="",E72="",F72="",COUNT(Q72:AF72)=0),"Título de partida",IF(OR(E72="",F72=""),"Faltan fechas",IF(OR(ISTEXT(E72),ISTEXT(F72)),"Fecha escrita como texto: usa dd/mm/aaaa",IF(F72&lt;E72,"Fin antes del inicio",IF(IF($J$2="",FALSE(),OR(E72&lt;$J$2,F72&gt;Reprogramaciones!$T$15+69)),"Fuera de las 10 semanas",IF(ABS(SUM(G72:P72)-100)&gt;0.5,"La meta no suma 100%",IF(ROUND(SUM(Q72:AF72),1)&gt;100.5,"El avance pasa de 100%",IF(MIN(Q72:AF72)&lt;0,"Avance negativo",IF(COUNTA(Q72:AF72)&gt;COUNT(Q72:AF72),"Avance escrito como texto",IF(SUMPRODUCT((Q72:AF72&gt;0)*(Q72:AF72&lt;1))&gt;0,"Avance menor a 1: escribe 50, no 50%",IF(SUMPRODUCT(ISNUMBER(Q72:AF72)*(Reprogramaciones!$K$8:$Z$8&gt;TODAY()))&gt;0,"Avance en semana que aún no llega",IF(AND(N(Reprogramaciones!$E$21)&gt;0,F72&gt;Reprogramaciones!$E$21),"Pasa el fin de la obra: registra una reprogramación",IF(AND(N(Reprogramaciones!$E$21)&gt;0,SUMPRODUCT(ISNUMBER(Q72:AF72)*(Reprogramaciones!$K$8:$Z$8&gt;Reprogramaciones!$E$21))&gt;0),"Avance después del fin de la obra: registra una reprogramación por atraso","OK"))))))))))))))))</f>
        <v/>
      </c>
      <c r="AM72" s="40" t="str">
        <f aca="false">IF(OR(OR(NOT(AND(ISNUMBER(E72),ISNUMBER(F72))),$J$2=""),1&gt;MAX(1,Reprogramaciones!$U$15)),"",IF(Reprogramaciones!K$12&gt;=7,"",IF(OR(BT72-N(0)&gt;0.05,N(Q72)&gt;0),ROUNDDOWN(ROUND(BT72,6),0)&amp;"%"&amp;IF(CJ72="",""," / "&amp;CJ72&amp;"%"),IF(AND(N(0)&gt;=99.95,CJ72&lt;&gt;"",N(CJ72)&lt;100),"Pend. "&amp;CJ72&amp;"%",""))))</f>
        <v/>
      </c>
      <c r="AN72" s="40" t="str">
        <f aca="false">IF(OR(OR(NOT(AND(ISNUMBER(E72),ISNUMBER(F72))),$J$2=""),2&gt;MAX(1,Reprogramaciones!$U$15)),"",IF(Reprogramaciones!L$12&gt;=7,"",IF(OR(BU72-N(BT72)&gt;0.05,N(R72)&gt;0),ROUNDDOWN(ROUND(BU72,6),0)&amp;"%"&amp;IF(CK72="",""," / "&amp;CK72&amp;"%"),IF(AND(N(BT72)&gt;=99.95,CK72&lt;&gt;"",N(CK72)&lt;100),"Pend. "&amp;CK72&amp;"%",""))))</f>
        <v/>
      </c>
      <c r="AO72" s="40" t="str">
        <f aca="false">IF(OR(OR(NOT(AND(ISNUMBER(E72),ISNUMBER(F72))),$J$2=""),3&gt;MAX(1,Reprogramaciones!$U$15)),"",IF(Reprogramaciones!M$12&gt;=7,"",IF(OR(BV72-N(BU72)&gt;0.05,N(S72)&gt;0),ROUNDDOWN(ROUND(BV72,6),0)&amp;"%"&amp;IF(CL72="",""," / "&amp;CL72&amp;"%"),IF(AND(N(BU72)&gt;=99.95,CL72&lt;&gt;"",N(CL72)&lt;100),"Pend. "&amp;CL72&amp;"%",""))))</f>
        <v/>
      </c>
      <c r="AP72" s="40" t="str">
        <f aca="false">IF(OR(OR(NOT(AND(ISNUMBER(E72),ISNUMBER(F72))),$J$2=""),4&gt;MAX(1,Reprogramaciones!$U$15)),"",IF(Reprogramaciones!N$12&gt;=7,"",IF(OR(BW72-N(BV72)&gt;0.05,N(T72)&gt;0),ROUNDDOWN(ROUND(BW72,6),0)&amp;"%"&amp;IF(CM72="",""," / "&amp;CM72&amp;"%"),IF(AND(N(BV72)&gt;=99.95,CM72&lt;&gt;"",N(CM72)&lt;100),"Pend. "&amp;CM72&amp;"%",""))))</f>
        <v/>
      </c>
      <c r="AQ72" s="40" t="str">
        <f aca="false">IF(OR(OR(NOT(AND(ISNUMBER(E72),ISNUMBER(F72))),$J$2=""),5&gt;MAX(1,Reprogramaciones!$U$15)),"",IF(Reprogramaciones!O$12&gt;=7,"",IF(OR(BX72-N(BW72)&gt;0.05,N(U72)&gt;0),ROUNDDOWN(ROUND(BX72,6),0)&amp;"%"&amp;IF(CN72="",""," / "&amp;CN72&amp;"%"),IF(AND(N(BW72)&gt;=99.95,CN72&lt;&gt;"",N(CN72)&lt;100),"Pend. "&amp;CN72&amp;"%",""))))</f>
        <v/>
      </c>
      <c r="AR72" s="40" t="str">
        <f aca="false">IF(OR(OR(NOT(AND(ISNUMBER(E72),ISNUMBER(F72))),$J$2=""),6&gt;MAX(1,Reprogramaciones!$U$15)),"",IF(Reprogramaciones!P$12&gt;=7,"",IF(OR(BY72-N(BX72)&gt;0.05,N(V72)&gt;0),ROUNDDOWN(ROUND(BY72,6),0)&amp;"%"&amp;IF(CO72="",""," / "&amp;CO72&amp;"%"),IF(AND(N(BX72)&gt;=99.95,CO72&lt;&gt;"",N(CO72)&lt;100),"Pend. "&amp;CO72&amp;"%",""))))</f>
        <v/>
      </c>
      <c r="AS72" s="40" t="str">
        <f aca="false">IF(OR(OR(NOT(AND(ISNUMBER(E72),ISNUMBER(F72))),$J$2=""),7&gt;MAX(1,Reprogramaciones!$U$15)),"",IF(Reprogramaciones!Q$12&gt;=7,"",IF(OR(BZ72-N(BY72)&gt;0.05,N(W72)&gt;0),ROUNDDOWN(ROUND(BZ72,6),0)&amp;"%"&amp;IF(CP72="",""," / "&amp;CP72&amp;"%"),IF(AND(N(BY72)&gt;=99.95,CP72&lt;&gt;"",N(CP72)&lt;100),"Pend. "&amp;CP72&amp;"%",""))))</f>
        <v/>
      </c>
      <c r="AT72" s="40" t="str">
        <f aca="false">IF(OR(OR(NOT(AND(ISNUMBER(E72),ISNUMBER(F72))),$J$2=""),8&gt;MAX(1,Reprogramaciones!$U$15)),"",IF(Reprogramaciones!R$12&gt;=7,"",IF(OR(CA72-N(BZ72)&gt;0.05,N(X72)&gt;0),ROUNDDOWN(ROUND(CA72,6),0)&amp;"%"&amp;IF(CQ72="",""," / "&amp;CQ72&amp;"%"),IF(AND(N(BZ72)&gt;=99.95,CQ72&lt;&gt;"",N(CQ72)&lt;100),"Pend. "&amp;CQ72&amp;"%",""))))</f>
        <v/>
      </c>
      <c r="AU72" s="40" t="str">
        <f aca="false">IF(OR(OR(NOT(AND(ISNUMBER(E72),ISNUMBER(F72))),$J$2=""),9&gt;MAX(1,Reprogramaciones!$U$15)),"",IF(Reprogramaciones!S$12&gt;=7,"",IF(OR(CB72-N(CA72)&gt;0.05,N(Y72)&gt;0),ROUNDDOWN(ROUND(CB72,6),0)&amp;"%"&amp;IF(CR72="",""," / "&amp;CR72&amp;"%"),IF(AND(N(CA72)&gt;=99.95,CR72&lt;&gt;"",N(CR72)&lt;100),"Pend. "&amp;CR72&amp;"%",""))))</f>
        <v/>
      </c>
      <c r="AV72" s="40" t="str">
        <f aca="false">IF(OR(OR(NOT(AND(ISNUMBER(E72),ISNUMBER(F72))),$J$2=""),10&gt;MAX(1,Reprogramaciones!$U$15)),"",IF(Reprogramaciones!T$12&gt;=7,"",IF(OR(CC72-N(CB72)&gt;0.05,N(Z72)&gt;0),ROUNDDOWN(ROUND(CC72,6),0)&amp;"%"&amp;IF(CS72="",""," / "&amp;CS72&amp;"%"),IF(AND(N(CB72)&gt;=99.95,CS72&lt;&gt;"",N(CS72)&lt;100),"Pend. "&amp;CS72&amp;"%",""))))</f>
        <v/>
      </c>
      <c r="AW72" s="40" t="str">
        <f aca="false">IF(OR(OR(NOT(AND(ISNUMBER(E72),ISNUMBER(F72))),$J$2=""),11&gt;MAX(1,Reprogramaciones!$U$15)),"",IF(Reprogramaciones!U$12&gt;=7,"",IF(OR(CD72-N(CC72)&gt;0.05,N(AA72)&gt;0),ROUNDDOWN(ROUND(CD72,6),0)&amp;"%"&amp;IF(CT72="",""," / "&amp;CT72&amp;"%"),IF(AND(N(CC72)&gt;=99.95,CT72&lt;&gt;"",N(CT72)&lt;100),"Pend. "&amp;CT72&amp;"%",""))))</f>
        <v/>
      </c>
      <c r="AX72" s="40" t="str">
        <f aca="false">IF(OR(OR(NOT(AND(ISNUMBER(E72),ISNUMBER(F72))),$J$2=""),12&gt;MAX(1,Reprogramaciones!$U$15)),"",IF(Reprogramaciones!V$12&gt;=7,"",IF(OR(CE72-N(CD72)&gt;0.05,N(AB72)&gt;0),ROUNDDOWN(ROUND(CE72,6),0)&amp;"%"&amp;IF(CU72="",""," / "&amp;CU72&amp;"%"),IF(AND(N(CD72)&gt;=99.95,CU72&lt;&gt;"",N(CU72)&lt;100),"Pend. "&amp;CU72&amp;"%",""))))</f>
        <v/>
      </c>
      <c r="AY72" s="40" t="str">
        <f aca="false">IF(OR(OR(NOT(AND(ISNUMBER(E72),ISNUMBER(F72))),$J$2=""),13&gt;MAX(1,Reprogramaciones!$U$15)),"",IF(Reprogramaciones!W$12&gt;=7,"",IF(OR(CF72-N(CE72)&gt;0.05,N(AC72)&gt;0),ROUNDDOWN(ROUND(CF72,6),0)&amp;"%"&amp;IF(CV72="",""," / "&amp;CV72&amp;"%"),IF(AND(N(CE72)&gt;=99.95,CV72&lt;&gt;"",N(CV72)&lt;100),"Pend. "&amp;CV72&amp;"%",""))))</f>
        <v/>
      </c>
      <c r="AZ72" s="40" t="str">
        <f aca="false">IF(OR(OR(NOT(AND(ISNUMBER(E72),ISNUMBER(F72))),$J$2=""),14&gt;MAX(1,Reprogramaciones!$U$15)),"",IF(Reprogramaciones!X$12&gt;=7,"",IF(OR(CG72-N(CF72)&gt;0.05,N(AD72)&gt;0),ROUNDDOWN(ROUND(CG72,6),0)&amp;"%"&amp;IF(CW72="",""," / "&amp;CW72&amp;"%"),IF(AND(N(CF72)&gt;=99.95,CW72&lt;&gt;"",N(CW72)&lt;100),"Pend. "&amp;CW72&amp;"%",""))))</f>
        <v/>
      </c>
      <c r="BA72" s="40" t="str">
        <f aca="false">IF(OR(OR(NOT(AND(ISNUMBER(E72),ISNUMBER(F72))),$J$2=""),15&gt;MAX(1,Reprogramaciones!$U$15)),"",IF(Reprogramaciones!Y$12&gt;=7,"",IF(OR(CH72-N(CG72)&gt;0.05,N(AE72)&gt;0),ROUNDDOWN(ROUND(CH72,6),0)&amp;"%"&amp;IF(CX72="",""," / "&amp;CX72&amp;"%"),IF(AND(N(CG72)&gt;=99.95,CX72&lt;&gt;"",N(CX72)&lt;100),"Pend. "&amp;CX72&amp;"%",""))))</f>
        <v/>
      </c>
      <c r="BB72" s="40" t="str">
        <f aca="false">IF(OR(OR(NOT(AND(ISNUMBER(E72),ISNUMBER(F72))),$J$2=""),16&gt;MAX(1,Reprogramaciones!$U$15)),"",IF(Reprogramaciones!Z$12&gt;=7,"",IF(OR(CI72-N(CH72)&gt;0.05,N(AF72)&gt;0),ROUNDDOWN(ROUND(CI72,6),0)&amp;"%"&amp;IF(CY72="",""," / "&amp;CY72&amp;"%"),IF(AND(N(CH72)&gt;=99.95,CY72&lt;&gt;"",N(CY72)&lt;100),"Pend. "&amp;CY72&amp;"%",""))))</f>
        <v/>
      </c>
      <c r="BC72" s="31" t="n">
        <f aca="false">IF(AND(ISNUMBER(E72),ISNUMBER(F72)),MAX(1,NETWORKDAYS.INTL(E72,F72,11)),0)</f>
        <v>0</v>
      </c>
      <c r="BD72" s="1" t="str">
        <f aca="false">IF(OR(NOT(AND(ISNUMBER(E72),ISNUMBER(F72))),$J$2=""),"",MIN(100,ROUND(SUM($G72:G72),1)))</f>
        <v/>
      </c>
      <c r="BE72" s="1" t="str">
        <f aca="false">IF(OR(NOT(AND(ISNUMBER(E72),ISNUMBER(F72))),$J$2=""),"",MIN(100,ROUND(SUM($G72:H72),1)))</f>
        <v/>
      </c>
      <c r="BF72" s="1" t="str">
        <f aca="false">IF(OR(NOT(AND(ISNUMBER(E72),ISNUMBER(F72))),$J$2=""),"",MIN(100,ROUND(SUM($G72:I72),1)))</f>
        <v/>
      </c>
      <c r="BG72" s="1" t="str">
        <f aca="false">IF(OR(NOT(AND(ISNUMBER(E72),ISNUMBER(F72))),$J$2=""),"",MIN(100,ROUND(SUM($G72:J72),1)))</f>
        <v/>
      </c>
      <c r="BH72" s="1" t="str">
        <f aca="false">IF(OR(NOT(AND(ISNUMBER(E72),ISNUMBER(F72))),$J$2=""),"",MIN(100,ROUND(SUM($G72:K72),1)))</f>
        <v/>
      </c>
      <c r="BI72" s="1" t="str">
        <f aca="false">IF(OR(NOT(AND(ISNUMBER(E72),ISNUMBER(F72))),$J$2=""),"",MIN(100,ROUND(SUM($G72:L72),1)))</f>
        <v/>
      </c>
      <c r="BJ72" s="1" t="str">
        <f aca="false">IF(OR(NOT(AND(ISNUMBER(E72),ISNUMBER(F72))),$J$2=""),"",MIN(100,ROUND(SUM($G72:M72),1)))</f>
        <v/>
      </c>
      <c r="BK72" s="1" t="str">
        <f aca="false">IF(OR(NOT(AND(ISNUMBER(E72),ISNUMBER(F72))),$J$2=""),"",MIN(100,ROUND(SUM($G72:N72),1)))</f>
        <v/>
      </c>
      <c r="BL72" s="1" t="str">
        <f aca="false">IF(OR(NOT(AND(ISNUMBER(E72),ISNUMBER(F72))),$J$2=""),"",MIN(100,ROUND(SUM($G72:O72),1)))</f>
        <v/>
      </c>
      <c r="BM72" s="1" t="str">
        <f aca="false">IF(OR(NOT(AND(ISNUMBER(E72),ISNUMBER(F72))),$J$2=""),"",MIN(100,ROUND(SUM($G72:P72),1)))</f>
        <v/>
      </c>
      <c r="BN72" s="1" t="str">
        <f aca="false">IF(OR(NOT(AND(ISNUMBER(E72),ISNUMBER(F72))),$J$2=""),"",MIN(100,ROUND(SUM($G72:P72),1)))</f>
        <v/>
      </c>
      <c r="BO72" s="1" t="str">
        <f aca="false">IF(OR(NOT(AND(ISNUMBER(E72),ISNUMBER(F72))),$J$2=""),"",MIN(100,ROUND(SUM($G72:P72),1)))</f>
        <v/>
      </c>
      <c r="BP72" s="1" t="str">
        <f aca="false">IF(OR(NOT(AND(ISNUMBER(E72),ISNUMBER(F72))),$J$2=""),"",MIN(100,ROUND(SUM($G72:P72),1)))</f>
        <v/>
      </c>
      <c r="BQ72" s="1" t="str">
        <f aca="false">IF(OR(NOT(AND(ISNUMBER(E72),ISNUMBER(F72))),$J$2=""),"",MIN(100,ROUND(SUM($G72:P72),1)))</f>
        <v/>
      </c>
      <c r="BR72" s="1" t="str">
        <f aca="false">IF(OR(NOT(AND(ISNUMBER(E72),ISNUMBER(F72))),$J$2=""),"",MIN(100,ROUND(SUM($G72:P72),1)))</f>
        <v/>
      </c>
      <c r="BS72" s="1" t="str">
        <f aca="false">IF(OR(NOT(AND(ISNUMBER(E72),ISNUMBER(F72))),$J$2=""),"",MIN(100,ROUND(SUM($G72:P72),1)))</f>
        <v/>
      </c>
      <c r="BT72" s="1" t="str">
        <f aca="false">IF(OR(NOT(AND(ISNUMBER(E72),ISNUMBER(F72))),$J$2=""),"",IF(Reprogramaciones!K$13&lt;Reprogramaciones!$T$15,0,IF(Reprogramaciones!K$14&gt;10,MIN(100,SUM($G72:$P72)),MIN(100,SUMPRODUCT((COLUMN($G72:$P72)-COLUMN($G72)+1&lt;Reprogramaciones!K$14)*$G72:$P72)+N(INDEX($G72:$P72,1,Reprogramaciones!K$14))*IF(Reprogramaciones!K$13&gt;=(Reprogramaciones!$T$15+7*(Reprogramaciones!K$14-1))+6,1,IF(MAX(0,NETWORKDAYS.INTL(MAX(E72,(Reprogramaciones!$T$15+7*(Reprogramaciones!K$14-1))),MIN(F72,(Reprogramaciones!$T$15+7*(Reprogramaciones!K$14-1))+6),11))=0,0,MAX(0,NETWORKDAYS.INTL(MAX(E72,(Reprogramaciones!$T$15+7*(Reprogramaciones!K$14-1))),MIN(F72,Reprogramaciones!K$13),11))/MAX(0,NETWORKDAYS.INTL(MAX(E72,(Reprogramaciones!$T$15+7*(Reprogramaciones!K$14-1))),MIN(F72,(Reprogramaciones!$T$15+7*(Reprogramaciones!K$14-1))+6),11))))))))</f>
        <v/>
      </c>
      <c r="BU72" s="1" t="str">
        <f aca="false">IF(OR(NOT(AND(ISNUMBER(E72),ISNUMBER(F72))),$J$2=""),"",IF(Reprogramaciones!L$13&lt;Reprogramaciones!$T$15,0,IF(Reprogramaciones!L$14&gt;10,MIN(100,SUM($G72:$P72)),MIN(100,SUMPRODUCT((COLUMN($G72:$P72)-COLUMN($G72)+1&lt;Reprogramaciones!L$14)*$G72:$P72)+N(INDEX($G72:$P72,1,Reprogramaciones!L$14))*IF(Reprogramaciones!L$13&gt;=(Reprogramaciones!$T$15+7*(Reprogramaciones!L$14-1))+6,1,IF(MAX(0,NETWORKDAYS.INTL(MAX(E72,(Reprogramaciones!$T$15+7*(Reprogramaciones!L$14-1))),MIN(F72,(Reprogramaciones!$T$15+7*(Reprogramaciones!L$14-1))+6),11))=0,0,MAX(0,NETWORKDAYS.INTL(MAX(E72,(Reprogramaciones!$T$15+7*(Reprogramaciones!L$14-1))),MIN(F72,Reprogramaciones!L$13),11))/MAX(0,NETWORKDAYS.INTL(MAX(E72,(Reprogramaciones!$T$15+7*(Reprogramaciones!L$14-1))),MIN(F72,(Reprogramaciones!$T$15+7*(Reprogramaciones!L$14-1))+6),11))))))))</f>
        <v/>
      </c>
      <c r="BV72" s="1" t="str">
        <f aca="false">IF(OR(NOT(AND(ISNUMBER(E72),ISNUMBER(F72))),$J$2=""),"",IF(Reprogramaciones!M$13&lt;Reprogramaciones!$T$15,0,IF(Reprogramaciones!M$14&gt;10,MIN(100,SUM($G72:$P72)),MIN(100,SUMPRODUCT((COLUMN($G72:$P72)-COLUMN($G72)+1&lt;Reprogramaciones!M$14)*$G72:$P72)+N(INDEX($G72:$P72,1,Reprogramaciones!M$14))*IF(Reprogramaciones!M$13&gt;=(Reprogramaciones!$T$15+7*(Reprogramaciones!M$14-1))+6,1,IF(MAX(0,NETWORKDAYS.INTL(MAX(E72,(Reprogramaciones!$T$15+7*(Reprogramaciones!M$14-1))),MIN(F72,(Reprogramaciones!$T$15+7*(Reprogramaciones!M$14-1))+6),11))=0,0,MAX(0,NETWORKDAYS.INTL(MAX(E72,(Reprogramaciones!$T$15+7*(Reprogramaciones!M$14-1))),MIN(F72,Reprogramaciones!M$13),11))/MAX(0,NETWORKDAYS.INTL(MAX(E72,(Reprogramaciones!$T$15+7*(Reprogramaciones!M$14-1))),MIN(F72,(Reprogramaciones!$T$15+7*(Reprogramaciones!M$14-1))+6),11))))))))</f>
        <v/>
      </c>
      <c r="BW72" s="1" t="str">
        <f aca="false">IF(OR(NOT(AND(ISNUMBER(E72),ISNUMBER(F72))),$J$2=""),"",IF(Reprogramaciones!N$13&lt;Reprogramaciones!$T$15,0,IF(Reprogramaciones!N$14&gt;10,MIN(100,SUM($G72:$P72)),MIN(100,SUMPRODUCT((COLUMN($G72:$P72)-COLUMN($G72)+1&lt;Reprogramaciones!N$14)*$G72:$P72)+N(INDEX($G72:$P72,1,Reprogramaciones!N$14))*IF(Reprogramaciones!N$13&gt;=(Reprogramaciones!$T$15+7*(Reprogramaciones!N$14-1))+6,1,IF(MAX(0,NETWORKDAYS.INTL(MAX(E72,(Reprogramaciones!$T$15+7*(Reprogramaciones!N$14-1))),MIN(F72,(Reprogramaciones!$T$15+7*(Reprogramaciones!N$14-1))+6),11))=0,0,MAX(0,NETWORKDAYS.INTL(MAX(E72,(Reprogramaciones!$T$15+7*(Reprogramaciones!N$14-1))),MIN(F72,Reprogramaciones!N$13),11))/MAX(0,NETWORKDAYS.INTL(MAX(E72,(Reprogramaciones!$T$15+7*(Reprogramaciones!N$14-1))),MIN(F72,(Reprogramaciones!$T$15+7*(Reprogramaciones!N$14-1))+6),11))))))))</f>
        <v/>
      </c>
      <c r="BX72" s="1" t="str">
        <f aca="false">IF(OR(NOT(AND(ISNUMBER(E72),ISNUMBER(F72))),$J$2=""),"",IF(Reprogramaciones!O$13&lt;Reprogramaciones!$T$15,0,IF(Reprogramaciones!O$14&gt;10,MIN(100,SUM($G72:$P72)),MIN(100,SUMPRODUCT((COLUMN($G72:$P72)-COLUMN($G72)+1&lt;Reprogramaciones!O$14)*$G72:$P72)+N(INDEX($G72:$P72,1,Reprogramaciones!O$14))*IF(Reprogramaciones!O$13&gt;=(Reprogramaciones!$T$15+7*(Reprogramaciones!O$14-1))+6,1,IF(MAX(0,NETWORKDAYS.INTL(MAX(E72,(Reprogramaciones!$T$15+7*(Reprogramaciones!O$14-1))),MIN(F72,(Reprogramaciones!$T$15+7*(Reprogramaciones!O$14-1))+6),11))=0,0,MAX(0,NETWORKDAYS.INTL(MAX(E72,(Reprogramaciones!$T$15+7*(Reprogramaciones!O$14-1))),MIN(F72,Reprogramaciones!O$13),11))/MAX(0,NETWORKDAYS.INTL(MAX(E72,(Reprogramaciones!$T$15+7*(Reprogramaciones!O$14-1))),MIN(F72,(Reprogramaciones!$T$15+7*(Reprogramaciones!O$14-1))+6),11))))))))</f>
        <v/>
      </c>
      <c r="BY72" s="1" t="str">
        <f aca="false">IF(OR(NOT(AND(ISNUMBER(E72),ISNUMBER(F72))),$J$2=""),"",IF(Reprogramaciones!P$13&lt;Reprogramaciones!$T$15,0,IF(Reprogramaciones!P$14&gt;10,MIN(100,SUM($G72:$P72)),MIN(100,SUMPRODUCT((COLUMN($G72:$P72)-COLUMN($G72)+1&lt;Reprogramaciones!P$14)*$G72:$P72)+N(INDEX($G72:$P72,1,Reprogramaciones!P$14))*IF(Reprogramaciones!P$13&gt;=(Reprogramaciones!$T$15+7*(Reprogramaciones!P$14-1))+6,1,IF(MAX(0,NETWORKDAYS.INTL(MAX(E72,(Reprogramaciones!$T$15+7*(Reprogramaciones!P$14-1))),MIN(F72,(Reprogramaciones!$T$15+7*(Reprogramaciones!P$14-1))+6),11))=0,0,MAX(0,NETWORKDAYS.INTL(MAX(E72,(Reprogramaciones!$T$15+7*(Reprogramaciones!P$14-1))),MIN(F72,Reprogramaciones!P$13),11))/MAX(0,NETWORKDAYS.INTL(MAX(E72,(Reprogramaciones!$T$15+7*(Reprogramaciones!P$14-1))),MIN(F72,(Reprogramaciones!$T$15+7*(Reprogramaciones!P$14-1))+6),11))))))))</f>
        <v/>
      </c>
      <c r="BZ72" s="1" t="str">
        <f aca="false">IF(OR(NOT(AND(ISNUMBER(E72),ISNUMBER(F72))),$J$2=""),"",IF(Reprogramaciones!Q$13&lt;Reprogramaciones!$T$15,0,IF(Reprogramaciones!Q$14&gt;10,MIN(100,SUM($G72:$P72)),MIN(100,SUMPRODUCT((COLUMN($G72:$P72)-COLUMN($G72)+1&lt;Reprogramaciones!Q$14)*$G72:$P72)+N(INDEX($G72:$P72,1,Reprogramaciones!Q$14))*IF(Reprogramaciones!Q$13&gt;=(Reprogramaciones!$T$15+7*(Reprogramaciones!Q$14-1))+6,1,IF(MAX(0,NETWORKDAYS.INTL(MAX(E72,(Reprogramaciones!$T$15+7*(Reprogramaciones!Q$14-1))),MIN(F72,(Reprogramaciones!$T$15+7*(Reprogramaciones!Q$14-1))+6),11))=0,0,MAX(0,NETWORKDAYS.INTL(MAX(E72,(Reprogramaciones!$T$15+7*(Reprogramaciones!Q$14-1))),MIN(F72,Reprogramaciones!Q$13),11))/MAX(0,NETWORKDAYS.INTL(MAX(E72,(Reprogramaciones!$T$15+7*(Reprogramaciones!Q$14-1))),MIN(F72,(Reprogramaciones!$T$15+7*(Reprogramaciones!Q$14-1))+6),11))))))))</f>
        <v/>
      </c>
      <c r="CA72" s="1" t="str">
        <f aca="false">IF(OR(NOT(AND(ISNUMBER(E72),ISNUMBER(F72))),$J$2=""),"",IF(Reprogramaciones!R$13&lt;Reprogramaciones!$T$15,0,IF(Reprogramaciones!R$14&gt;10,MIN(100,SUM($G72:$P72)),MIN(100,SUMPRODUCT((COLUMN($G72:$P72)-COLUMN($G72)+1&lt;Reprogramaciones!R$14)*$G72:$P72)+N(INDEX($G72:$P72,1,Reprogramaciones!R$14))*IF(Reprogramaciones!R$13&gt;=(Reprogramaciones!$T$15+7*(Reprogramaciones!R$14-1))+6,1,IF(MAX(0,NETWORKDAYS.INTL(MAX(E72,(Reprogramaciones!$T$15+7*(Reprogramaciones!R$14-1))),MIN(F72,(Reprogramaciones!$T$15+7*(Reprogramaciones!R$14-1))+6),11))=0,0,MAX(0,NETWORKDAYS.INTL(MAX(E72,(Reprogramaciones!$T$15+7*(Reprogramaciones!R$14-1))),MIN(F72,Reprogramaciones!R$13),11))/MAX(0,NETWORKDAYS.INTL(MAX(E72,(Reprogramaciones!$T$15+7*(Reprogramaciones!R$14-1))),MIN(F72,(Reprogramaciones!$T$15+7*(Reprogramaciones!R$14-1))+6),11))))))))</f>
        <v/>
      </c>
      <c r="CB72" s="1" t="str">
        <f aca="false">IF(OR(NOT(AND(ISNUMBER(E72),ISNUMBER(F72))),$J$2=""),"",IF(Reprogramaciones!S$13&lt;Reprogramaciones!$T$15,0,IF(Reprogramaciones!S$14&gt;10,MIN(100,SUM($G72:$P72)),MIN(100,SUMPRODUCT((COLUMN($G72:$P72)-COLUMN($G72)+1&lt;Reprogramaciones!S$14)*$G72:$P72)+N(INDEX($G72:$P72,1,Reprogramaciones!S$14))*IF(Reprogramaciones!S$13&gt;=(Reprogramaciones!$T$15+7*(Reprogramaciones!S$14-1))+6,1,IF(MAX(0,NETWORKDAYS.INTL(MAX(E72,(Reprogramaciones!$T$15+7*(Reprogramaciones!S$14-1))),MIN(F72,(Reprogramaciones!$T$15+7*(Reprogramaciones!S$14-1))+6),11))=0,0,MAX(0,NETWORKDAYS.INTL(MAX(E72,(Reprogramaciones!$T$15+7*(Reprogramaciones!S$14-1))),MIN(F72,Reprogramaciones!S$13),11))/MAX(0,NETWORKDAYS.INTL(MAX(E72,(Reprogramaciones!$T$15+7*(Reprogramaciones!S$14-1))),MIN(F72,(Reprogramaciones!$T$15+7*(Reprogramaciones!S$14-1))+6),11))))))))</f>
        <v/>
      </c>
      <c r="CC72" s="1" t="str">
        <f aca="false">IF(OR(NOT(AND(ISNUMBER(E72),ISNUMBER(F72))),$J$2=""),"",IF(Reprogramaciones!T$13&lt;Reprogramaciones!$T$15,0,IF(Reprogramaciones!T$14&gt;10,MIN(100,SUM($G72:$P72)),MIN(100,SUMPRODUCT((COLUMN($G72:$P72)-COLUMN($G72)+1&lt;Reprogramaciones!T$14)*$G72:$P72)+N(INDEX($G72:$P72,1,Reprogramaciones!T$14))*IF(Reprogramaciones!T$13&gt;=(Reprogramaciones!$T$15+7*(Reprogramaciones!T$14-1))+6,1,IF(MAX(0,NETWORKDAYS.INTL(MAX(E72,(Reprogramaciones!$T$15+7*(Reprogramaciones!T$14-1))),MIN(F72,(Reprogramaciones!$T$15+7*(Reprogramaciones!T$14-1))+6),11))=0,0,MAX(0,NETWORKDAYS.INTL(MAX(E72,(Reprogramaciones!$T$15+7*(Reprogramaciones!T$14-1))),MIN(F72,Reprogramaciones!T$13),11))/MAX(0,NETWORKDAYS.INTL(MAX(E72,(Reprogramaciones!$T$15+7*(Reprogramaciones!T$14-1))),MIN(F72,(Reprogramaciones!$T$15+7*(Reprogramaciones!T$14-1))+6),11))))))))</f>
        <v/>
      </c>
      <c r="CD72" s="1" t="str">
        <f aca="false">IF(OR(NOT(AND(ISNUMBER(E72),ISNUMBER(F72))),$J$2=""),"",IF(Reprogramaciones!U$13&lt;Reprogramaciones!$T$15,0,IF(Reprogramaciones!U$14&gt;10,MIN(100,SUM($G72:$P72)),MIN(100,SUMPRODUCT((COLUMN($G72:$P72)-COLUMN($G72)+1&lt;Reprogramaciones!U$14)*$G72:$P72)+N(INDEX($G72:$P72,1,Reprogramaciones!U$14))*IF(Reprogramaciones!U$13&gt;=(Reprogramaciones!$T$15+7*(Reprogramaciones!U$14-1))+6,1,IF(MAX(0,NETWORKDAYS.INTL(MAX(E72,(Reprogramaciones!$T$15+7*(Reprogramaciones!U$14-1))),MIN(F72,(Reprogramaciones!$T$15+7*(Reprogramaciones!U$14-1))+6),11))=0,0,MAX(0,NETWORKDAYS.INTL(MAX(E72,(Reprogramaciones!$T$15+7*(Reprogramaciones!U$14-1))),MIN(F72,Reprogramaciones!U$13),11))/MAX(0,NETWORKDAYS.INTL(MAX(E72,(Reprogramaciones!$T$15+7*(Reprogramaciones!U$14-1))),MIN(F72,(Reprogramaciones!$T$15+7*(Reprogramaciones!U$14-1))+6),11))))))))</f>
        <v/>
      </c>
      <c r="CE72" s="1" t="str">
        <f aca="false">IF(OR(NOT(AND(ISNUMBER(E72),ISNUMBER(F72))),$J$2=""),"",IF(Reprogramaciones!V$13&lt;Reprogramaciones!$T$15,0,IF(Reprogramaciones!V$14&gt;10,MIN(100,SUM($G72:$P72)),MIN(100,SUMPRODUCT((COLUMN($G72:$P72)-COLUMN($G72)+1&lt;Reprogramaciones!V$14)*$G72:$P72)+N(INDEX($G72:$P72,1,Reprogramaciones!V$14))*IF(Reprogramaciones!V$13&gt;=(Reprogramaciones!$T$15+7*(Reprogramaciones!V$14-1))+6,1,IF(MAX(0,NETWORKDAYS.INTL(MAX(E72,(Reprogramaciones!$T$15+7*(Reprogramaciones!V$14-1))),MIN(F72,(Reprogramaciones!$T$15+7*(Reprogramaciones!V$14-1))+6),11))=0,0,MAX(0,NETWORKDAYS.INTL(MAX(E72,(Reprogramaciones!$T$15+7*(Reprogramaciones!V$14-1))),MIN(F72,Reprogramaciones!V$13),11))/MAX(0,NETWORKDAYS.INTL(MAX(E72,(Reprogramaciones!$T$15+7*(Reprogramaciones!V$14-1))),MIN(F72,(Reprogramaciones!$T$15+7*(Reprogramaciones!V$14-1))+6),11))))))))</f>
        <v/>
      </c>
      <c r="CF72" s="1" t="str">
        <f aca="false">IF(OR(NOT(AND(ISNUMBER(E72),ISNUMBER(F72))),$J$2=""),"",IF(Reprogramaciones!W$13&lt;Reprogramaciones!$T$15,0,IF(Reprogramaciones!W$14&gt;10,MIN(100,SUM($G72:$P72)),MIN(100,SUMPRODUCT((COLUMN($G72:$P72)-COLUMN($G72)+1&lt;Reprogramaciones!W$14)*$G72:$P72)+N(INDEX($G72:$P72,1,Reprogramaciones!W$14))*IF(Reprogramaciones!W$13&gt;=(Reprogramaciones!$T$15+7*(Reprogramaciones!W$14-1))+6,1,IF(MAX(0,NETWORKDAYS.INTL(MAX(E72,(Reprogramaciones!$T$15+7*(Reprogramaciones!W$14-1))),MIN(F72,(Reprogramaciones!$T$15+7*(Reprogramaciones!W$14-1))+6),11))=0,0,MAX(0,NETWORKDAYS.INTL(MAX(E72,(Reprogramaciones!$T$15+7*(Reprogramaciones!W$14-1))),MIN(F72,Reprogramaciones!W$13),11))/MAX(0,NETWORKDAYS.INTL(MAX(E72,(Reprogramaciones!$T$15+7*(Reprogramaciones!W$14-1))),MIN(F72,(Reprogramaciones!$T$15+7*(Reprogramaciones!W$14-1))+6),11))))))))</f>
        <v/>
      </c>
      <c r="CG72" s="1" t="str">
        <f aca="false">IF(OR(NOT(AND(ISNUMBER(E72),ISNUMBER(F72))),$J$2=""),"",IF(Reprogramaciones!X$13&lt;Reprogramaciones!$T$15,0,IF(Reprogramaciones!X$14&gt;10,MIN(100,SUM($G72:$P72)),MIN(100,SUMPRODUCT((COLUMN($G72:$P72)-COLUMN($G72)+1&lt;Reprogramaciones!X$14)*$G72:$P72)+N(INDEX($G72:$P72,1,Reprogramaciones!X$14))*IF(Reprogramaciones!X$13&gt;=(Reprogramaciones!$T$15+7*(Reprogramaciones!X$14-1))+6,1,IF(MAX(0,NETWORKDAYS.INTL(MAX(E72,(Reprogramaciones!$T$15+7*(Reprogramaciones!X$14-1))),MIN(F72,(Reprogramaciones!$T$15+7*(Reprogramaciones!X$14-1))+6),11))=0,0,MAX(0,NETWORKDAYS.INTL(MAX(E72,(Reprogramaciones!$T$15+7*(Reprogramaciones!X$14-1))),MIN(F72,Reprogramaciones!X$13),11))/MAX(0,NETWORKDAYS.INTL(MAX(E72,(Reprogramaciones!$T$15+7*(Reprogramaciones!X$14-1))),MIN(F72,(Reprogramaciones!$T$15+7*(Reprogramaciones!X$14-1))+6),11))))))))</f>
        <v/>
      </c>
      <c r="CH72" s="1" t="str">
        <f aca="false">IF(OR(NOT(AND(ISNUMBER(E72),ISNUMBER(F72))),$J$2=""),"",IF(Reprogramaciones!Y$13&lt;Reprogramaciones!$T$15,0,IF(Reprogramaciones!Y$14&gt;10,MIN(100,SUM($G72:$P72)),MIN(100,SUMPRODUCT((COLUMN($G72:$P72)-COLUMN($G72)+1&lt;Reprogramaciones!Y$14)*$G72:$P72)+N(INDEX($G72:$P72,1,Reprogramaciones!Y$14))*IF(Reprogramaciones!Y$13&gt;=(Reprogramaciones!$T$15+7*(Reprogramaciones!Y$14-1))+6,1,IF(MAX(0,NETWORKDAYS.INTL(MAX(E72,(Reprogramaciones!$T$15+7*(Reprogramaciones!Y$14-1))),MIN(F72,(Reprogramaciones!$T$15+7*(Reprogramaciones!Y$14-1))+6),11))=0,0,MAX(0,NETWORKDAYS.INTL(MAX(E72,(Reprogramaciones!$T$15+7*(Reprogramaciones!Y$14-1))),MIN(F72,Reprogramaciones!Y$13),11))/MAX(0,NETWORKDAYS.INTL(MAX(E72,(Reprogramaciones!$T$15+7*(Reprogramaciones!Y$14-1))),MIN(F72,(Reprogramaciones!$T$15+7*(Reprogramaciones!Y$14-1))+6),11))))))))</f>
        <v/>
      </c>
      <c r="CI72" s="1" t="str">
        <f aca="false">IF(OR(NOT(AND(ISNUMBER(E72),ISNUMBER(F72))),$J$2=""),"",IF(Reprogramaciones!Z$13&lt;Reprogramaciones!$T$15,0,IF(Reprogramaciones!Z$14&gt;10,MIN(100,SUM($G72:$P72)),MIN(100,SUMPRODUCT((COLUMN($G72:$P72)-COLUMN($G72)+1&lt;Reprogramaciones!Z$14)*$G72:$P72)+N(INDEX($G72:$P72,1,Reprogramaciones!Z$14))*IF(Reprogramaciones!Z$13&gt;=(Reprogramaciones!$T$15+7*(Reprogramaciones!Z$14-1))+6,1,IF(MAX(0,NETWORKDAYS.INTL(MAX(E72,(Reprogramaciones!$T$15+7*(Reprogramaciones!Z$14-1))),MIN(F72,(Reprogramaciones!$T$15+7*(Reprogramaciones!Z$14-1))+6),11))=0,0,MAX(0,NETWORKDAYS.INTL(MAX(E72,(Reprogramaciones!$T$15+7*(Reprogramaciones!Z$14-1))),MIN(F72,Reprogramaciones!Z$13),11))/MAX(0,NETWORKDAYS.INTL(MAX(E72,(Reprogramaciones!$T$15+7*(Reprogramaciones!Z$14-1))),MIN(F72,(Reprogramaciones!$T$15+7*(Reprogramaciones!Z$14-1))+6),11))))))))</f>
        <v/>
      </c>
      <c r="CJ72" s="1" t="str">
        <f aca="false">IF(OR(OR(NOT(AND(ISNUMBER(E72),ISNUMBER(F72))),$J$2=""),1&gt;Reprogramaciones!$K$16),"",IF(ROUND(SUM($Q72:Q72),1)&gt;=99.5,100,MIN(100,ROUND(SUM($Q72:Q72),1))))</f>
        <v/>
      </c>
      <c r="CK72" s="1" t="str">
        <f aca="false">IF(OR(OR(NOT(AND(ISNUMBER(E72),ISNUMBER(F72))),$J$2=""),2&gt;Reprogramaciones!$K$16),"",IF(ROUND(SUM($Q72:R72),1)&gt;=99.5,100,MIN(100,ROUND(SUM($Q72:R72),1))))</f>
        <v/>
      </c>
      <c r="CL72" s="1" t="str">
        <f aca="false">IF(OR(OR(NOT(AND(ISNUMBER(E72),ISNUMBER(F72))),$J$2=""),3&gt;Reprogramaciones!$K$16),"",IF(ROUND(SUM($Q72:S72),1)&gt;=99.5,100,MIN(100,ROUND(SUM($Q72:S72),1))))</f>
        <v/>
      </c>
      <c r="CM72" s="1" t="str">
        <f aca="false">IF(OR(OR(NOT(AND(ISNUMBER(E72),ISNUMBER(F72))),$J$2=""),4&gt;Reprogramaciones!$K$16),"",IF(ROUND(SUM($Q72:T72),1)&gt;=99.5,100,MIN(100,ROUND(SUM($Q72:T72),1))))</f>
        <v/>
      </c>
      <c r="CN72" s="1" t="str">
        <f aca="false">IF(OR(OR(NOT(AND(ISNUMBER(E72),ISNUMBER(F72))),$J$2=""),5&gt;Reprogramaciones!$K$16),"",IF(ROUND(SUM($Q72:U72),1)&gt;=99.5,100,MIN(100,ROUND(SUM($Q72:U72),1))))</f>
        <v/>
      </c>
      <c r="CO72" s="1" t="str">
        <f aca="false">IF(OR(OR(NOT(AND(ISNUMBER(E72),ISNUMBER(F72))),$J$2=""),6&gt;Reprogramaciones!$K$16),"",IF(ROUND(SUM($Q72:V72),1)&gt;=99.5,100,MIN(100,ROUND(SUM($Q72:V72),1))))</f>
        <v/>
      </c>
      <c r="CP72" s="1" t="str">
        <f aca="false">IF(OR(OR(NOT(AND(ISNUMBER(E72),ISNUMBER(F72))),$J$2=""),7&gt;Reprogramaciones!$K$16),"",IF(ROUND(SUM($Q72:W72),1)&gt;=99.5,100,MIN(100,ROUND(SUM($Q72:W72),1))))</f>
        <v/>
      </c>
      <c r="CQ72" s="1" t="str">
        <f aca="false">IF(OR(OR(NOT(AND(ISNUMBER(E72),ISNUMBER(F72))),$J$2=""),8&gt;Reprogramaciones!$K$16),"",IF(ROUND(SUM($Q72:X72),1)&gt;=99.5,100,MIN(100,ROUND(SUM($Q72:X72),1))))</f>
        <v/>
      </c>
      <c r="CR72" s="1" t="str">
        <f aca="false">IF(OR(OR(NOT(AND(ISNUMBER(E72),ISNUMBER(F72))),$J$2=""),9&gt;Reprogramaciones!$K$16),"",IF(ROUND(SUM($Q72:Y72),1)&gt;=99.5,100,MIN(100,ROUND(SUM($Q72:Y72),1))))</f>
        <v/>
      </c>
      <c r="CS72" s="1" t="str">
        <f aca="false">IF(OR(OR(NOT(AND(ISNUMBER(E72),ISNUMBER(F72))),$J$2=""),10&gt;Reprogramaciones!$K$16),"",IF(ROUND(SUM($Q72:Z72),1)&gt;=99.5,100,MIN(100,ROUND(SUM($Q72:Z72),1))))</f>
        <v/>
      </c>
      <c r="CT72" s="1" t="str">
        <f aca="false">IF(OR(OR(NOT(AND(ISNUMBER(E72),ISNUMBER(F72))),$J$2=""),11&gt;Reprogramaciones!$K$16),"",IF(ROUND(SUM($Q72:AA72),1)&gt;=99.5,100,MIN(100,ROUND(SUM($Q72:AA72),1))))</f>
        <v/>
      </c>
      <c r="CU72" s="1" t="str">
        <f aca="false">IF(OR(OR(NOT(AND(ISNUMBER(E72),ISNUMBER(F72))),$J$2=""),12&gt;Reprogramaciones!$K$16),"",IF(ROUND(SUM($Q72:AB72),1)&gt;=99.5,100,MIN(100,ROUND(SUM($Q72:AB72),1))))</f>
        <v/>
      </c>
      <c r="CV72" s="1" t="str">
        <f aca="false">IF(OR(OR(NOT(AND(ISNUMBER(E72),ISNUMBER(F72))),$J$2=""),13&gt;Reprogramaciones!$K$16),"",IF(ROUND(SUM($Q72:AC72),1)&gt;=99.5,100,MIN(100,ROUND(SUM($Q72:AC72),1))))</f>
        <v/>
      </c>
      <c r="CW72" s="1" t="str">
        <f aca="false">IF(OR(OR(NOT(AND(ISNUMBER(E72),ISNUMBER(F72))),$J$2=""),14&gt;Reprogramaciones!$K$16),"",IF(ROUND(SUM($Q72:AD72),1)&gt;=99.5,100,MIN(100,ROUND(SUM($Q72:AD72),1))))</f>
        <v/>
      </c>
      <c r="CX72" s="1" t="str">
        <f aca="false">IF(OR(OR(NOT(AND(ISNUMBER(E72),ISNUMBER(F72))),$J$2=""),15&gt;Reprogramaciones!$K$16),"",IF(ROUND(SUM($Q72:AE72),1)&gt;=99.5,100,MIN(100,ROUND(SUM($Q72:AE72),1))))</f>
        <v/>
      </c>
      <c r="CY72" s="1" t="str">
        <f aca="false">IF(OR(OR(NOT(AND(ISNUMBER(E72),ISNUMBER(F72))),$J$2=""),16&gt;Reprogramaciones!$K$16),"",IF(ROUND(SUM($Q72:AF72),1)&gt;=99.5,100,MIN(100,ROUND(SUM($Q72:AF72),1))))</f>
        <v/>
      </c>
      <c r="CZ72" s="1" t="str">
        <f aca="false">IF(D72&lt;&gt;"",D72,IF(B72&lt;&gt;"","Contractual",CZ71))</f>
        <v>Contractual</v>
      </c>
      <c r="DA72" s="1" t="str">
        <f aca="false">IF(OR(NOT(AND(ISNUMBER(E72),ISNUMBER(F72))),$J$2=""),"",IF(Reprogramaciones!$Q$15&lt;Reprogramaciones!$T$15,0,IF(Reprogramaciones!$S$15&gt;10,MIN(100,SUM($G72:$P72)),MIN(100,SUMPRODUCT((COLUMN($G72:$P72)-COLUMN($G72)+1&lt;Reprogramaciones!$S$15)*$G72:$P72)+N(INDEX($G72:$P72,1,Reprogramaciones!$S$15))*IF(Reprogramaciones!$Q$15&gt;=(Reprogramaciones!$T$15+7*(Reprogramaciones!$S$15-1))+6,1,IF(MAX(0,NETWORKDAYS.INTL(MAX(E72,(Reprogramaciones!$T$15+7*(Reprogramaciones!$S$15-1))),MIN(F72,(Reprogramaciones!$T$15+7*(Reprogramaciones!$S$15-1))+6),11))=0,0,MAX(0,NETWORKDAYS.INTL(MAX(E72,(Reprogramaciones!$T$15+7*(Reprogramaciones!$S$15-1))),MIN(F72,Reprogramaciones!$Q$15),11))/MAX(0,NETWORKDAYS.INTL(MAX(E72,(Reprogramaciones!$T$15+7*(Reprogramaciones!$S$15-1))),MIN(F72,(Reprogramaciones!$T$15+7*(Reprogramaciones!$S$15-1))+6),11))))))))</f>
        <v/>
      </c>
    </row>
    <row r="73" customFormat="false" ht="15" hidden="false" customHeight="false" outlineLevel="0" collapsed="false">
      <c r="A73" s="32"/>
      <c r="B73" s="33"/>
      <c r="C73" s="33"/>
      <c r="D73" s="34"/>
      <c r="E73" s="35"/>
      <c r="F73" s="35"/>
      <c r="G73" s="36" t="str">
        <f aca="false">IF(OR(NOT(AND(ISNUMBER(E73),ISNUMBER(F73))),$J$2=""),"",IF(Reprogramaciones!K$9&lt;E73,0,IF(NETWORKDAYS.INTL(E73,F73,11)=0,IF(Reprogramaciones!K$9&gt;=F73,100,0),ROUND(NETWORKDAYS.INTL(E73,MIN(F73,Reprogramaciones!K$9),11)/NETWORKDAYS.INTL(E73,F73,11)*100,1)))-0)</f>
        <v/>
      </c>
      <c r="H73" s="36" t="str">
        <f aca="false">IF(OR(NOT(AND(ISNUMBER(E73),ISNUMBER(F73))),$J$2=""),"",IF(Reprogramaciones!L$9&lt;E73,0,IF(NETWORKDAYS.INTL(E73,F73,11)=0,IF(Reprogramaciones!L$9&gt;=F73,100,0),ROUND(NETWORKDAYS.INTL(E73,MIN(F73,Reprogramaciones!L$9),11)/NETWORKDAYS.INTL(E73,F73,11)*100,1)))-IF(Reprogramaciones!K$9&lt;E73,0,IF(NETWORKDAYS.INTL(E73,F73,11)=0,IF(Reprogramaciones!K$9&gt;=F73,100,0),ROUND(NETWORKDAYS.INTL(E73,MIN(F73,Reprogramaciones!K$9),11)/NETWORKDAYS.INTL(E73,F73,11)*100,1))))</f>
        <v/>
      </c>
      <c r="I73" s="36" t="str">
        <f aca="false">IF(OR(NOT(AND(ISNUMBER(E73),ISNUMBER(F73))),$J$2=""),"",IF(Reprogramaciones!M$9&lt;E73,0,IF(NETWORKDAYS.INTL(E73,F73,11)=0,IF(Reprogramaciones!M$9&gt;=F73,100,0),ROUND(NETWORKDAYS.INTL(E73,MIN(F73,Reprogramaciones!M$9),11)/NETWORKDAYS.INTL(E73,F73,11)*100,1)))-IF(Reprogramaciones!L$9&lt;E73,0,IF(NETWORKDAYS.INTL(E73,F73,11)=0,IF(Reprogramaciones!L$9&gt;=F73,100,0),ROUND(NETWORKDAYS.INTL(E73,MIN(F73,Reprogramaciones!L$9),11)/NETWORKDAYS.INTL(E73,F73,11)*100,1))))</f>
        <v/>
      </c>
      <c r="J73" s="36" t="str">
        <f aca="false">IF(OR(NOT(AND(ISNUMBER(E73),ISNUMBER(F73))),$J$2=""),"",IF(Reprogramaciones!N$9&lt;E73,0,IF(NETWORKDAYS.INTL(E73,F73,11)=0,IF(Reprogramaciones!N$9&gt;=F73,100,0),ROUND(NETWORKDAYS.INTL(E73,MIN(F73,Reprogramaciones!N$9),11)/NETWORKDAYS.INTL(E73,F73,11)*100,1)))-IF(Reprogramaciones!M$9&lt;E73,0,IF(NETWORKDAYS.INTL(E73,F73,11)=0,IF(Reprogramaciones!M$9&gt;=F73,100,0),ROUND(NETWORKDAYS.INTL(E73,MIN(F73,Reprogramaciones!M$9),11)/NETWORKDAYS.INTL(E73,F73,11)*100,1))))</f>
        <v/>
      </c>
      <c r="K73" s="36" t="str">
        <f aca="false">IF(OR(NOT(AND(ISNUMBER(E73),ISNUMBER(F73))),$J$2=""),"",IF(Reprogramaciones!O$9&lt;E73,0,IF(NETWORKDAYS.INTL(E73,F73,11)=0,IF(Reprogramaciones!O$9&gt;=F73,100,0),ROUND(NETWORKDAYS.INTL(E73,MIN(F73,Reprogramaciones!O$9),11)/NETWORKDAYS.INTL(E73,F73,11)*100,1)))-IF(Reprogramaciones!N$9&lt;E73,0,IF(NETWORKDAYS.INTL(E73,F73,11)=0,IF(Reprogramaciones!N$9&gt;=F73,100,0),ROUND(NETWORKDAYS.INTL(E73,MIN(F73,Reprogramaciones!N$9),11)/NETWORKDAYS.INTL(E73,F73,11)*100,1))))</f>
        <v/>
      </c>
      <c r="L73" s="36" t="str">
        <f aca="false">IF(OR(NOT(AND(ISNUMBER(E73),ISNUMBER(F73))),$J$2=""),"",IF(Reprogramaciones!P$9&lt;E73,0,IF(NETWORKDAYS.INTL(E73,F73,11)=0,IF(Reprogramaciones!P$9&gt;=F73,100,0),ROUND(NETWORKDAYS.INTL(E73,MIN(F73,Reprogramaciones!P$9),11)/NETWORKDAYS.INTL(E73,F73,11)*100,1)))-IF(Reprogramaciones!O$9&lt;E73,0,IF(NETWORKDAYS.INTL(E73,F73,11)=0,IF(Reprogramaciones!O$9&gt;=F73,100,0),ROUND(NETWORKDAYS.INTL(E73,MIN(F73,Reprogramaciones!O$9),11)/NETWORKDAYS.INTL(E73,F73,11)*100,1))))</f>
        <v/>
      </c>
      <c r="M73" s="36" t="str">
        <f aca="false">IF(OR(NOT(AND(ISNUMBER(E73),ISNUMBER(F73))),$J$2=""),"",IF(Reprogramaciones!Q$9&lt;E73,0,IF(NETWORKDAYS.INTL(E73,F73,11)=0,IF(Reprogramaciones!Q$9&gt;=F73,100,0),ROUND(NETWORKDAYS.INTL(E73,MIN(F73,Reprogramaciones!Q$9),11)/NETWORKDAYS.INTL(E73,F73,11)*100,1)))-IF(Reprogramaciones!P$9&lt;E73,0,IF(NETWORKDAYS.INTL(E73,F73,11)=0,IF(Reprogramaciones!P$9&gt;=F73,100,0),ROUND(NETWORKDAYS.INTL(E73,MIN(F73,Reprogramaciones!P$9),11)/NETWORKDAYS.INTL(E73,F73,11)*100,1))))</f>
        <v/>
      </c>
      <c r="N73" s="36" t="str">
        <f aca="false">IF(OR(NOT(AND(ISNUMBER(E73),ISNUMBER(F73))),$J$2=""),"",IF(Reprogramaciones!R$9&lt;E73,0,IF(NETWORKDAYS.INTL(E73,F73,11)=0,IF(Reprogramaciones!R$9&gt;=F73,100,0),ROUND(NETWORKDAYS.INTL(E73,MIN(F73,Reprogramaciones!R$9),11)/NETWORKDAYS.INTL(E73,F73,11)*100,1)))-IF(Reprogramaciones!Q$9&lt;E73,0,IF(NETWORKDAYS.INTL(E73,F73,11)=0,IF(Reprogramaciones!Q$9&gt;=F73,100,0),ROUND(NETWORKDAYS.INTL(E73,MIN(F73,Reprogramaciones!Q$9),11)/NETWORKDAYS.INTL(E73,F73,11)*100,1))))</f>
        <v/>
      </c>
      <c r="O73" s="36" t="str">
        <f aca="false">IF(OR(NOT(AND(ISNUMBER(E73),ISNUMBER(F73))),$J$2=""),"",IF(Reprogramaciones!S$9&lt;E73,0,IF(NETWORKDAYS.INTL(E73,F73,11)=0,IF(Reprogramaciones!S$9&gt;=F73,100,0),ROUND(NETWORKDAYS.INTL(E73,MIN(F73,Reprogramaciones!S$9),11)/NETWORKDAYS.INTL(E73,F73,11)*100,1)))-IF(Reprogramaciones!R$9&lt;E73,0,IF(NETWORKDAYS.INTL(E73,F73,11)=0,IF(Reprogramaciones!R$9&gt;=F73,100,0),ROUND(NETWORKDAYS.INTL(E73,MIN(F73,Reprogramaciones!R$9),11)/NETWORKDAYS.INTL(E73,F73,11)*100,1))))</f>
        <v/>
      </c>
      <c r="P73" s="36" t="str">
        <f aca="false">IF(OR(NOT(AND(ISNUMBER(E73),ISNUMBER(F73))),$J$2=""),"",IF(Reprogramaciones!T$9&lt;E73,0,IF(NETWORKDAYS.INTL(E73,F73,11)=0,IF(Reprogramaciones!T$9&gt;=F73,100,0),ROUND(NETWORKDAYS.INTL(E73,MIN(F73,Reprogramaciones!T$9),11)/NETWORKDAYS.INTL(E73,F73,11)*100,1)))-IF(Reprogramaciones!S$9&lt;E73,0,IF(NETWORKDAYS.INTL(E73,F73,11)=0,IF(Reprogramaciones!S$9&gt;=F73,100,0),ROUND(NETWORKDAYS.INTL(E73,MIN(F73,Reprogramaciones!S$9),11)/NETWORKDAYS.INTL(E73,F73,11)*100,1))))</f>
        <v/>
      </c>
      <c r="Q73" s="37"/>
      <c r="R73" s="37"/>
      <c r="S73" s="37"/>
      <c r="T73" s="37"/>
      <c r="U73" s="37"/>
      <c r="V73" s="37"/>
      <c r="W73" s="37"/>
      <c r="X73" s="37"/>
      <c r="Y73" s="37"/>
      <c r="Z73" s="37"/>
      <c r="AA73" s="37"/>
      <c r="AB73" s="37"/>
      <c r="AC73" s="37"/>
      <c r="AD73" s="37"/>
      <c r="AE73" s="37"/>
      <c r="AF73" s="37"/>
      <c r="AG73" s="38" t="str">
        <f aca="false">IF(AND(ISNUMBER(E73),ISNUMBER(F73)),NETWORKDAYS.INTL(E73,F73,11),"")</f>
        <v/>
      </c>
      <c r="AH73" s="38" t="str">
        <f aca="false">IF(OR(NOT(AND(ISNUMBER(E73),ISNUMBER(F73))),$J$2=""),"",IF(Reprogramaciones!$P$15&lt;Reprogramaciones!$T$15,0,IF(Reprogramaciones!$R$15&gt;10,MIN(100,SUM($G73:$P73)),MIN(100,SUMPRODUCT((COLUMN($G73:$P73)-COLUMN($G73)+1&lt;Reprogramaciones!$R$15)*$G73:$P73)+N(INDEX($G73:$P73,1,Reprogramaciones!$R$15))*IF(Reprogramaciones!$P$15&gt;=(Reprogramaciones!$T$15+7*(Reprogramaciones!$R$15-1))+6,1,IF(MAX(0,NETWORKDAYS.INTL(MAX(E73,(Reprogramaciones!$T$15+7*(Reprogramaciones!$R$15-1))),MIN(F73,(Reprogramaciones!$T$15+7*(Reprogramaciones!$R$15-1))+6),11))=0,0,MAX(0,NETWORKDAYS.INTL(MAX(E73,(Reprogramaciones!$T$15+7*(Reprogramaciones!$R$15-1))),MIN(F73,Reprogramaciones!$P$15),11))/MAX(0,NETWORKDAYS.INTL(MAX(E73,(Reprogramaciones!$T$15+7*(Reprogramaciones!$R$15-1))),MIN(F73,(Reprogramaciones!$T$15+7*(Reprogramaciones!$R$15-1))+6),11))))))))</f>
        <v/>
      </c>
      <c r="AI73" s="38" t="str">
        <f aca="false">IF(COUNT($Q73:$AF73)=0,"",IF(ROUND(SUM($Q73:$AF73),1)&gt;=99.5,100,MIN(100,ROUND(SUM($Q73:$AF73),1))))</f>
        <v/>
      </c>
      <c r="AJ73" s="38" t="str">
        <f aca="false">IF(OR(AH73="",AI73=""),"",AI73-AH73)</f>
        <v/>
      </c>
      <c r="AK73" s="39" t="str">
        <f aca="true">IF(AH73="","",IF(OR(Ficha!$C$10="Suspendida",Ficha!$C$10="Cancelada"),Ficha!$C$10,IF(AND(AI73&lt;&gt;"",N(AI73)&gt;=100),"Completada",IF(AND(E73&gt;TODAY(),N(AI73)=0),"Por iniciar",IF(N(AI73)+0.5&lt;AH73,"Retrasada",IF(N(AI73)+0.5&lt;DA73,IF(Reprogramaciones!$K$15&gt;0,"Al día · Sem "&amp;Reprogramaciones!$K$15&amp;" en curso","Al día · en curso"),"A tiempo"))))))</f>
        <v/>
      </c>
      <c r="AL73" s="39" t="str">
        <f aca="true">IF(AND(A73="",AND(B73="",C73="",E73="",F73="",COUNT(Q73:AF73)=0)),"",IF(AND(B73="",C73="",E73="",F73="",COUNT(Q73:AF73)=0),"Falta la partida o subpartida",IF(AND(A73&lt;&gt;"",COUNTIF($A$6:$A$305,A73)&gt;1),"Ítem repetido",IF(AND(C73="",E73="",F73="",COUNT(Q73:AF73)=0),"Título de partida",IF(OR(E73="",F73=""),"Faltan fechas",IF(OR(ISTEXT(E73),ISTEXT(F73)),"Fecha escrita como texto: usa dd/mm/aaaa",IF(F73&lt;E73,"Fin antes del inicio",IF(IF($J$2="",FALSE(),OR(E73&lt;$J$2,F73&gt;Reprogramaciones!$T$15+69)),"Fuera de las 10 semanas",IF(ABS(SUM(G73:P73)-100)&gt;0.5,"La meta no suma 100%",IF(ROUND(SUM(Q73:AF73),1)&gt;100.5,"El avance pasa de 100%",IF(MIN(Q73:AF73)&lt;0,"Avance negativo",IF(COUNTA(Q73:AF73)&gt;COUNT(Q73:AF73),"Avance escrito como texto",IF(SUMPRODUCT((Q73:AF73&gt;0)*(Q73:AF73&lt;1))&gt;0,"Avance menor a 1: escribe 50, no 50%",IF(SUMPRODUCT(ISNUMBER(Q73:AF73)*(Reprogramaciones!$K$8:$Z$8&gt;TODAY()))&gt;0,"Avance en semana que aún no llega",IF(AND(N(Reprogramaciones!$E$21)&gt;0,F73&gt;Reprogramaciones!$E$21),"Pasa el fin de la obra: registra una reprogramación",IF(AND(N(Reprogramaciones!$E$21)&gt;0,SUMPRODUCT(ISNUMBER(Q73:AF73)*(Reprogramaciones!$K$8:$Z$8&gt;Reprogramaciones!$E$21))&gt;0),"Avance después del fin de la obra: registra una reprogramación por atraso","OK"))))))))))))))))</f>
        <v/>
      </c>
      <c r="AM73" s="40" t="str">
        <f aca="false">IF(OR(OR(NOT(AND(ISNUMBER(E73),ISNUMBER(F73))),$J$2=""),1&gt;MAX(1,Reprogramaciones!$U$15)),"",IF(Reprogramaciones!K$12&gt;=7,"",IF(OR(BT73-N(0)&gt;0.05,N(Q73)&gt;0),ROUNDDOWN(ROUND(BT73,6),0)&amp;"%"&amp;IF(CJ73="",""," / "&amp;CJ73&amp;"%"),IF(AND(N(0)&gt;=99.95,CJ73&lt;&gt;"",N(CJ73)&lt;100),"Pend. "&amp;CJ73&amp;"%",""))))</f>
        <v/>
      </c>
      <c r="AN73" s="40" t="str">
        <f aca="false">IF(OR(OR(NOT(AND(ISNUMBER(E73),ISNUMBER(F73))),$J$2=""),2&gt;MAX(1,Reprogramaciones!$U$15)),"",IF(Reprogramaciones!L$12&gt;=7,"",IF(OR(BU73-N(BT73)&gt;0.05,N(R73)&gt;0),ROUNDDOWN(ROUND(BU73,6),0)&amp;"%"&amp;IF(CK73="",""," / "&amp;CK73&amp;"%"),IF(AND(N(BT73)&gt;=99.95,CK73&lt;&gt;"",N(CK73)&lt;100),"Pend. "&amp;CK73&amp;"%",""))))</f>
        <v/>
      </c>
      <c r="AO73" s="40" t="str">
        <f aca="false">IF(OR(OR(NOT(AND(ISNUMBER(E73),ISNUMBER(F73))),$J$2=""),3&gt;MAX(1,Reprogramaciones!$U$15)),"",IF(Reprogramaciones!M$12&gt;=7,"",IF(OR(BV73-N(BU73)&gt;0.05,N(S73)&gt;0),ROUNDDOWN(ROUND(BV73,6),0)&amp;"%"&amp;IF(CL73="",""," / "&amp;CL73&amp;"%"),IF(AND(N(BU73)&gt;=99.95,CL73&lt;&gt;"",N(CL73)&lt;100),"Pend. "&amp;CL73&amp;"%",""))))</f>
        <v/>
      </c>
      <c r="AP73" s="40" t="str">
        <f aca="false">IF(OR(OR(NOT(AND(ISNUMBER(E73),ISNUMBER(F73))),$J$2=""),4&gt;MAX(1,Reprogramaciones!$U$15)),"",IF(Reprogramaciones!N$12&gt;=7,"",IF(OR(BW73-N(BV73)&gt;0.05,N(T73)&gt;0),ROUNDDOWN(ROUND(BW73,6),0)&amp;"%"&amp;IF(CM73="",""," / "&amp;CM73&amp;"%"),IF(AND(N(BV73)&gt;=99.95,CM73&lt;&gt;"",N(CM73)&lt;100),"Pend. "&amp;CM73&amp;"%",""))))</f>
        <v/>
      </c>
      <c r="AQ73" s="40" t="str">
        <f aca="false">IF(OR(OR(NOT(AND(ISNUMBER(E73),ISNUMBER(F73))),$J$2=""),5&gt;MAX(1,Reprogramaciones!$U$15)),"",IF(Reprogramaciones!O$12&gt;=7,"",IF(OR(BX73-N(BW73)&gt;0.05,N(U73)&gt;0),ROUNDDOWN(ROUND(BX73,6),0)&amp;"%"&amp;IF(CN73="",""," / "&amp;CN73&amp;"%"),IF(AND(N(BW73)&gt;=99.95,CN73&lt;&gt;"",N(CN73)&lt;100),"Pend. "&amp;CN73&amp;"%",""))))</f>
        <v/>
      </c>
      <c r="AR73" s="40" t="str">
        <f aca="false">IF(OR(OR(NOT(AND(ISNUMBER(E73),ISNUMBER(F73))),$J$2=""),6&gt;MAX(1,Reprogramaciones!$U$15)),"",IF(Reprogramaciones!P$12&gt;=7,"",IF(OR(BY73-N(BX73)&gt;0.05,N(V73)&gt;0),ROUNDDOWN(ROUND(BY73,6),0)&amp;"%"&amp;IF(CO73="",""," / "&amp;CO73&amp;"%"),IF(AND(N(BX73)&gt;=99.95,CO73&lt;&gt;"",N(CO73)&lt;100),"Pend. "&amp;CO73&amp;"%",""))))</f>
        <v/>
      </c>
      <c r="AS73" s="40" t="str">
        <f aca="false">IF(OR(OR(NOT(AND(ISNUMBER(E73),ISNUMBER(F73))),$J$2=""),7&gt;MAX(1,Reprogramaciones!$U$15)),"",IF(Reprogramaciones!Q$12&gt;=7,"",IF(OR(BZ73-N(BY73)&gt;0.05,N(W73)&gt;0),ROUNDDOWN(ROUND(BZ73,6),0)&amp;"%"&amp;IF(CP73="",""," / "&amp;CP73&amp;"%"),IF(AND(N(BY73)&gt;=99.95,CP73&lt;&gt;"",N(CP73)&lt;100),"Pend. "&amp;CP73&amp;"%",""))))</f>
        <v/>
      </c>
      <c r="AT73" s="40" t="str">
        <f aca="false">IF(OR(OR(NOT(AND(ISNUMBER(E73),ISNUMBER(F73))),$J$2=""),8&gt;MAX(1,Reprogramaciones!$U$15)),"",IF(Reprogramaciones!R$12&gt;=7,"",IF(OR(CA73-N(BZ73)&gt;0.05,N(X73)&gt;0),ROUNDDOWN(ROUND(CA73,6),0)&amp;"%"&amp;IF(CQ73="",""," / "&amp;CQ73&amp;"%"),IF(AND(N(BZ73)&gt;=99.95,CQ73&lt;&gt;"",N(CQ73)&lt;100),"Pend. "&amp;CQ73&amp;"%",""))))</f>
        <v/>
      </c>
      <c r="AU73" s="40" t="str">
        <f aca="false">IF(OR(OR(NOT(AND(ISNUMBER(E73),ISNUMBER(F73))),$J$2=""),9&gt;MAX(1,Reprogramaciones!$U$15)),"",IF(Reprogramaciones!S$12&gt;=7,"",IF(OR(CB73-N(CA73)&gt;0.05,N(Y73)&gt;0),ROUNDDOWN(ROUND(CB73,6),0)&amp;"%"&amp;IF(CR73="",""," / "&amp;CR73&amp;"%"),IF(AND(N(CA73)&gt;=99.95,CR73&lt;&gt;"",N(CR73)&lt;100),"Pend. "&amp;CR73&amp;"%",""))))</f>
        <v/>
      </c>
      <c r="AV73" s="40" t="str">
        <f aca="false">IF(OR(OR(NOT(AND(ISNUMBER(E73),ISNUMBER(F73))),$J$2=""),10&gt;MAX(1,Reprogramaciones!$U$15)),"",IF(Reprogramaciones!T$12&gt;=7,"",IF(OR(CC73-N(CB73)&gt;0.05,N(Z73)&gt;0),ROUNDDOWN(ROUND(CC73,6),0)&amp;"%"&amp;IF(CS73="",""," / "&amp;CS73&amp;"%"),IF(AND(N(CB73)&gt;=99.95,CS73&lt;&gt;"",N(CS73)&lt;100),"Pend. "&amp;CS73&amp;"%",""))))</f>
        <v/>
      </c>
      <c r="AW73" s="40" t="str">
        <f aca="false">IF(OR(OR(NOT(AND(ISNUMBER(E73),ISNUMBER(F73))),$J$2=""),11&gt;MAX(1,Reprogramaciones!$U$15)),"",IF(Reprogramaciones!U$12&gt;=7,"",IF(OR(CD73-N(CC73)&gt;0.05,N(AA73)&gt;0),ROUNDDOWN(ROUND(CD73,6),0)&amp;"%"&amp;IF(CT73="",""," / "&amp;CT73&amp;"%"),IF(AND(N(CC73)&gt;=99.95,CT73&lt;&gt;"",N(CT73)&lt;100),"Pend. "&amp;CT73&amp;"%",""))))</f>
        <v/>
      </c>
      <c r="AX73" s="40" t="str">
        <f aca="false">IF(OR(OR(NOT(AND(ISNUMBER(E73),ISNUMBER(F73))),$J$2=""),12&gt;MAX(1,Reprogramaciones!$U$15)),"",IF(Reprogramaciones!V$12&gt;=7,"",IF(OR(CE73-N(CD73)&gt;0.05,N(AB73)&gt;0),ROUNDDOWN(ROUND(CE73,6),0)&amp;"%"&amp;IF(CU73="",""," / "&amp;CU73&amp;"%"),IF(AND(N(CD73)&gt;=99.95,CU73&lt;&gt;"",N(CU73)&lt;100),"Pend. "&amp;CU73&amp;"%",""))))</f>
        <v/>
      </c>
      <c r="AY73" s="40" t="str">
        <f aca="false">IF(OR(OR(NOT(AND(ISNUMBER(E73),ISNUMBER(F73))),$J$2=""),13&gt;MAX(1,Reprogramaciones!$U$15)),"",IF(Reprogramaciones!W$12&gt;=7,"",IF(OR(CF73-N(CE73)&gt;0.05,N(AC73)&gt;0),ROUNDDOWN(ROUND(CF73,6),0)&amp;"%"&amp;IF(CV73="",""," / "&amp;CV73&amp;"%"),IF(AND(N(CE73)&gt;=99.95,CV73&lt;&gt;"",N(CV73)&lt;100),"Pend. "&amp;CV73&amp;"%",""))))</f>
        <v/>
      </c>
      <c r="AZ73" s="40" t="str">
        <f aca="false">IF(OR(OR(NOT(AND(ISNUMBER(E73),ISNUMBER(F73))),$J$2=""),14&gt;MAX(1,Reprogramaciones!$U$15)),"",IF(Reprogramaciones!X$12&gt;=7,"",IF(OR(CG73-N(CF73)&gt;0.05,N(AD73)&gt;0),ROUNDDOWN(ROUND(CG73,6),0)&amp;"%"&amp;IF(CW73="",""," / "&amp;CW73&amp;"%"),IF(AND(N(CF73)&gt;=99.95,CW73&lt;&gt;"",N(CW73)&lt;100),"Pend. "&amp;CW73&amp;"%",""))))</f>
        <v/>
      </c>
      <c r="BA73" s="40" t="str">
        <f aca="false">IF(OR(OR(NOT(AND(ISNUMBER(E73),ISNUMBER(F73))),$J$2=""),15&gt;MAX(1,Reprogramaciones!$U$15)),"",IF(Reprogramaciones!Y$12&gt;=7,"",IF(OR(CH73-N(CG73)&gt;0.05,N(AE73)&gt;0),ROUNDDOWN(ROUND(CH73,6),0)&amp;"%"&amp;IF(CX73="",""," / "&amp;CX73&amp;"%"),IF(AND(N(CG73)&gt;=99.95,CX73&lt;&gt;"",N(CX73)&lt;100),"Pend. "&amp;CX73&amp;"%",""))))</f>
        <v/>
      </c>
      <c r="BB73" s="40" t="str">
        <f aca="false">IF(OR(OR(NOT(AND(ISNUMBER(E73),ISNUMBER(F73))),$J$2=""),16&gt;MAX(1,Reprogramaciones!$U$15)),"",IF(Reprogramaciones!Z$12&gt;=7,"",IF(OR(CI73-N(CH73)&gt;0.05,N(AF73)&gt;0),ROUNDDOWN(ROUND(CI73,6),0)&amp;"%"&amp;IF(CY73="",""," / "&amp;CY73&amp;"%"),IF(AND(N(CH73)&gt;=99.95,CY73&lt;&gt;"",N(CY73)&lt;100),"Pend. "&amp;CY73&amp;"%",""))))</f>
        <v/>
      </c>
      <c r="BC73" s="31" t="n">
        <f aca="false">IF(AND(ISNUMBER(E73),ISNUMBER(F73)),MAX(1,NETWORKDAYS.INTL(E73,F73,11)),0)</f>
        <v>0</v>
      </c>
      <c r="BD73" s="1" t="str">
        <f aca="false">IF(OR(NOT(AND(ISNUMBER(E73),ISNUMBER(F73))),$J$2=""),"",MIN(100,ROUND(SUM($G73:G73),1)))</f>
        <v/>
      </c>
      <c r="BE73" s="1" t="str">
        <f aca="false">IF(OR(NOT(AND(ISNUMBER(E73),ISNUMBER(F73))),$J$2=""),"",MIN(100,ROUND(SUM($G73:H73),1)))</f>
        <v/>
      </c>
      <c r="BF73" s="1" t="str">
        <f aca="false">IF(OR(NOT(AND(ISNUMBER(E73),ISNUMBER(F73))),$J$2=""),"",MIN(100,ROUND(SUM($G73:I73),1)))</f>
        <v/>
      </c>
      <c r="BG73" s="1" t="str">
        <f aca="false">IF(OR(NOT(AND(ISNUMBER(E73),ISNUMBER(F73))),$J$2=""),"",MIN(100,ROUND(SUM($G73:J73),1)))</f>
        <v/>
      </c>
      <c r="BH73" s="1" t="str">
        <f aca="false">IF(OR(NOT(AND(ISNUMBER(E73),ISNUMBER(F73))),$J$2=""),"",MIN(100,ROUND(SUM($G73:K73),1)))</f>
        <v/>
      </c>
      <c r="BI73" s="1" t="str">
        <f aca="false">IF(OR(NOT(AND(ISNUMBER(E73),ISNUMBER(F73))),$J$2=""),"",MIN(100,ROUND(SUM($G73:L73),1)))</f>
        <v/>
      </c>
      <c r="BJ73" s="1" t="str">
        <f aca="false">IF(OR(NOT(AND(ISNUMBER(E73),ISNUMBER(F73))),$J$2=""),"",MIN(100,ROUND(SUM($G73:M73),1)))</f>
        <v/>
      </c>
      <c r="BK73" s="1" t="str">
        <f aca="false">IF(OR(NOT(AND(ISNUMBER(E73),ISNUMBER(F73))),$J$2=""),"",MIN(100,ROUND(SUM($G73:N73),1)))</f>
        <v/>
      </c>
      <c r="BL73" s="1" t="str">
        <f aca="false">IF(OR(NOT(AND(ISNUMBER(E73),ISNUMBER(F73))),$J$2=""),"",MIN(100,ROUND(SUM($G73:O73),1)))</f>
        <v/>
      </c>
      <c r="BM73" s="1" t="str">
        <f aca="false">IF(OR(NOT(AND(ISNUMBER(E73),ISNUMBER(F73))),$J$2=""),"",MIN(100,ROUND(SUM($G73:P73),1)))</f>
        <v/>
      </c>
      <c r="BN73" s="1" t="str">
        <f aca="false">IF(OR(NOT(AND(ISNUMBER(E73),ISNUMBER(F73))),$J$2=""),"",MIN(100,ROUND(SUM($G73:P73),1)))</f>
        <v/>
      </c>
      <c r="BO73" s="1" t="str">
        <f aca="false">IF(OR(NOT(AND(ISNUMBER(E73),ISNUMBER(F73))),$J$2=""),"",MIN(100,ROUND(SUM($G73:P73),1)))</f>
        <v/>
      </c>
      <c r="BP73" s="1" t="str">
        <f aca="false">IF(OR(NOT(AND(ISNUMBER(E73),ISNUMBER(F73))),$J$2=""),"",MIN(100,ROUND(SUM($G73:P73),1)))</f>
        <v/>
      </c>
      <c r="BQ73" s="1" t="str">
        <f aca="false">IF(OR(NOT(AND(ISNUMBER(E73),ISNUMBER(F73))),$J$2=""),"",MIN(100,ROUND(SUM($G73:P73),1)))</f>
        <v/>
      </c>
      <c r="BR73" s="1" t="str">
        <f aca="false">IF(OR(NOT(AND(ISNUMBER(E73),ISNUMBER(F73))),$J$2=""),"",MIN(100,ROUND(SUM($G73:P73),1)))</f>
        <v/>
      </c>
      <c r="BS73" s="1" t="str">
        <f aca="false">IF(OR(NOT(AND(ISNUMBER(E73),ISNUMBER(F73))),$J$2=""),"",MIN(100,ROUND(SUM($G73:P73),1)))</f>
        <v/>
      </c>
      <c r="BT73" s="1" t="str">
        <f aca="false">IF(OR(NOT(AND(ISNUMBER(E73),ISNUMBER(F73))),$J$2=""),"",IF(Reprogramaciones!K$13&lt;Reprogramaciones!$T$15,0,IF(Reprogramaciones!K$14&gt;10,MIN(100,SUM($G73:$P73)),MIN(100,SUMPRODUCT((COLUMN($G73:$P73)-COLUMN($G73)+1&lt;Reprogramaciones!K$14)*$G73:$P73)+N(INDEX($G73:$P73,1,Reprogramaciones!K$14))*IF(Reprogramaciones!K$13&gt;=(Reprogramaciones!$T$15+7*(Reprogramaciones!K$14-1))+6,1,IF(MAX(0,NETWORKDAYS.INTL(MAX(E73,(Reprogramaciones!$T$15+7*(Reprogramaciones!K$14-1))),MIN(F73,(Reprogramaciones!$T$15+7*(Reprogramaciones!K$14-1))+6),11))=0,0,MAX(0,NETWORKDAYS.INTL(MAX(E73,(Reprogramaciones!$T$15+7*(Reprogramaciones!K$14-1))),MIN(F73,Reprogramaciones!K$13),11))/MAX(0,NETWORKDAYS.INTL(MAX(E73,(Reprogramaciones!$T$15+7*(Reprogramaciones!K$14-1))),MIN(F73,(Reprogramaciones!$T$15+7*(Reprogramaciones!K$14-1))+6),11))))))))</f>
        <v/>
      </c>
      <c r="BU73" s="1" t="str">
        <f aca="false">IF(OR(NOT(AND(ISNUMBER(E73),ISNUMBER(F73))),$J$2=""),"",IF(Reprogramaciones!L$13&lt;Reprogramaciones!$T$15,0,IF(Reprogramaciones!L$14&gt;10,MIN(100,SUM($G73:$P73)),MIN(100,SUMPRODUCT((COLUMN($G73:$P73)-COLUMN($G73)+1&lt;Reprogramaciones!L$14)*$G73:$P73)+N(INDEX($G73:$P73,1,Reprogramaciones!L$14))*IF(Reprogramaciones!L$13&gt;=(Reprogramaciones!$T$15+7*(Reprogramaciones!L$14-1))+6,1,IF(MAX(0,NETWORKDAYS.INTL(MAX(E73,(Reprogramaciones!$T$15+7*(Reprogramaciones!L$14-1))),MIN(F73,(Reprogramaciones!$T$15+7*(Reprogramaciones!L$14-1))+6),11))=0,0,MAX(0,NETWORKDAYS.INTL(MAX(E73,(Reprogramaciones!$T$15+7*(Reprogramaciones!L$14-1))),MIN(F73,Reprogramaciones!L$13),11))/MAX(0,NETWORKDAYS.INTL(MAX(E73,(Reprogramaciones!$T$15+7*(Reprogramaciones!L$14-1))),MIN(F73,(Reprogramaciones!$T$15+7*(Reprogramaciones!L$14-1))+6),11))))))))</f>
        <v/>
      </c>
      <c r="BV73" s="1" t="str">
        <f aca="false">IF(OR(NOT(AND(ISNUMBER(E73),ISNUMBER(F73))),$J$2=""),"",IF(Reprogramaciones!M$13&lt;Reprogramaciones!$T$15,0,IF(Reprogramaciones!M$14&gt;10,MIN(100,SUM($G73:$P73)),MIN(100,SUMPRODUCT((COLUMN($G73:$P73)-COLUMN($G73)+1&lt;Reprogramaciones!M$14)*$G73:$P73)+N(INDEX($G73:$P73,1,Reprogramaciones!M$14))*IF(Reprogramaciones!M$13&gt;=(Reprogramaciones!$T$15+7*(Reprogramaciones!M$14-1))+6,1,IF(MAX(0,NETWORKDAYS.INTL(MAX(E73,(Reprogramaciones!$T$15+7*(Reprogramaciones!M$14-1))),MIN(F73,(Reprogramaciones!$T$15+7*(Reprogramaciones!M$14-1))+6),11))=0,0,MAX(0,NETWORKDAYS.INTL(MAX(E73,(Reprogramaciones!$T$15+7*(Reprogramaciones!M$14-1))),MIN(F73,Reprogramaciones!M$13),11))/MAX(0,NETWORKDAYS.INTL(MAX(E73,(Reprogramaciones!$T$15+7*(Reprogramaciones!M$14-1))),MIN(F73,(Reprogramaciones!$T$15+7*(Reprogramaciones!M$14-1))+6),11))))))))</f>
        <v/>
      </c>
      <c r="BW73" s="1" t="str">
        <f aca="false">IF(OR(NOT(AND(ISNUMBER(E73),ISNUMBER(F73))),$J$2=""),"",IF(Reprogramaciones!N$13&lt;Reprogramaciones!$T$15,0,IF(Reprogramaciones!N$14&gt;10,MIN(100,SUM($G73:$P73)),MIN(100,SUMPRODUCT((COLUMN($G73:$P73)-COLUMN($G73)+1&lt;Reprogramaciones!N$14)*$G73:$P73)+N(INDEX($G73:$P73,1,Reprogramaciones!N$14))*IF(Reprogramaciones!N$13&gt;=(Reprogramaciones!$T$15+7*(Reprogramaciones!N$14-1))+6,1,IF(MAX(0,NETWORKDAYS.INTL(MAX(E73,(Reprogramaciones!$T$15+7*(Reprogramaciones!N$14-1))),MIN(F73,(Reprogramaciones!$T$15+7*(Reprogramaciones!N$14-1))+6),11))=0,0,MAX(0,NETWORKDAYS.INTL(MAX(E73,(Reprogramaciones!$T$15+7*(Reprogramaciones!N$14-1))),MIN(F73,Reprogramaciones!N$13),11))/MAX(0,NETWORKDAYS.INTL(MAX(E73,(Reprogramaciones!$T$15+7*(Reprogramaciones!N$14-1))),MIN(F73,(Reprogramaciones!$T$15+7*(Reprogramaciones!N$14-1))+6),11))))))))</f>
        <v/>
      </c>
      <c r="BX73" s="1" t="str">
        <f aca="false">IF(OR(NOT(AND(ISNUMBER(E73),ISNUMBER(F73))),$J$2=""),"",IF(Reprogramaciones!O$13&lt;Reprogramaciones!$T$15,0,IF(Reprogramaciones!O$14&gt;10,MIN(100,SUM($G73:$P73)),MIN(100,SUMPRODUCT((COLUMN($G73:$P73)-COLUMN($G73)+1&lt;Reprogramaciones!O$14)*$G73:$P73)+N(INDEX($G73:$P73,1,Reprogramaciones!O$14))*IF(Reprogramaciones!O$13&gt;=(Reprogramaciones!$T$15+7*(Reprogramaciones!O$14-1))+6,1,IF(MAX(0,NETWORKDAYS.INTL(MAX(E73,(Reprogramaciones!$T$15+7*(Reprogramaciones!O$14-1))),MIN(F73,(Reprogramaciones!$T$15+7*(Reprogramaciones!O$14-1))+6),11))=0,0,MAX(0,NETWORKDAYS.INTL(MAX(E73,(Reprogramaciones!$T$15+7*(Reprogramaciones!O$14-1))),MIN(F73,Reprogramaciones!O$13),11))/MAX(0,NETWORKDAYS.INTL(MAX(E73,(Reprogramaciones!$T$15+7*(Reprogramaciones!O$14-1))),MIN(F73,(Reprogramaciones!$T$15+7*(Reprogramaciones!O$14-1))+6),11))))))))</f>
        <v/>
      </c>
      <c r="BY73" s="1" t="str">
        <f aca="false">IF(OR(NOT(AND(ISNUMBER(E73),ISNUMBER(F73))),$J$2=""),"",IF(Reprogramaciones!P$13&lt;Reprogramaciones!$T$15,0,IF(Reprogramaciones!P$14&gt;10,MIN(100,SUM($G73:$P73)),MIN(100,SUMPRODUCT((COLUMN($G73:$P73)-COLUMN($G73)+1&lt;Reprogramaciones!P$14)*$G73:$P73)+N(INDEX($G73:$P73,1,Reprogramaciones!P$14))*IF(Reprogramaciones!P$13&gt;=(Reprogramaciones!$T$15+7*(Reprogramaciones!P$14-1))+6,1,IF(MAX(0,NETWORKDAYS.INTL(MAX(E73,(Reprogramaciones!$T$15+7*(Reprogramaciones!P$14-1))),MIN(F73,(Reprogramaciones!$T$15+7*(Reprogramaciones!P$14-1))+6),11))=0,0,MAX(0,NETWORKDAYS.INTL(MAX(E73,(Reprogramaciones!$T$15+7*(Reprogramaciones!P$14-1))),MIN(F73,Reprogramaciones!P$13),11))/MAX(0,NETWORKDAYS.INTL(MAX(E73,(Reprogramaciones!$T$15+7*(Reprogramaciones!P$14-1))),MIN(F73,(Reprogramaciones!$T$15+7*(Reprogramaciones!P$14-1))+6),11))))))))</f>
        <v/>
      </c>
      <c r="BZ73" s="1" t="str">
        <f aca="false">IF(OR(NOT(AND(ISNUMBER(E73),ISNUMBER(F73))),$J$2=""),"",IF(Reprogramaciones!Q$13&lt;Reprogramaciones!$T$15,0,IF(Reprogramaciones!Q$14&gt;10,MIN(100,SUM($G73:$P73)),MIN(100,SUMPRODUCT((COLUMN($G73:$P73)-COLUMN($G73)+1&lt;Reprogramaciones!Q$14)*$G73:$P73)+N(INDEX($G73:$P73,1,Reprogramaciones!Q$14))*IF(Reprogramaciones!Q$13&gt;=(Reprogramaciones!$T$15+7*(Reprogramaciones!Q$14-1))+6,1,IF(MAX(0,NETWORKDAYS.INTL(MAX(E73,(Reprogramaciones!$T$15+7*(Reprogramaciones!Q$14-1))),MIN(F73,(Reprogramaciones!$T$15+7*(Reprogramaciones!Q$14-1))+6),11))=0,0,MAX(0,NETWORKDAYS.INTL(MAX(E73,(Reprogramaciones!$T$15+7*(Reprogramaciones!Q$14-1))),MIN(F73,Reprogramaciones!Q$13),11))/MAX(0,NETWORKDAYS.INTL(MAX(E73,(Reprogramaciones!$T$15+7*(Reprogramaciones!Q$14-1))),MIN(F73,(Reprogramaciones!$T$15+7*(Reprogramaciones!Q$14-1))+6),11))))))))</f>
        <v/>
      </c>
      <c r="CA73" s="1" t="str">
        <f aca="false">IF(OR(NOT(AND(ISNUMBER(E73),ISNUMBER(F73))),$J$2=""),"",IF(Reprogramaciones!R$13&lt;Reprogramaciones!$T$15,0,IF(Reprogramaciones!R$14&gt;10,MIN(100,SUM($G73:$P73)),MIN(100,SUMPRODUCT((COLUMN($G73:$P73)-COLUMN($G73)+1&lt;Reprogramaciones!R$14)*$G73:$P73)+N(INDEX($G73:$P73,1,Reprogramaciones!R$14))*IF(Reprogramaciones!R$13&gt;=(Reprogramaciones!$T$15+7*(Reprogramaciones!R$14-1))+6,1,IF(MAX(0,NETWORKDAYS.INTL(MAX(E73,(Reprogramaciones!$T$15+7*(Reprogramaciones!R$14-1))),MIN(F73,(Reprogramaciones!$T$15+7*(Reprogramaciones!R$14-1))+6),11))=0,0,MAX(0,NETWORKDAYS.INTL(MAX(E73,(Reprogramaciones!$T$15+7*(Reprogramaciones!R$14-1))),MIN(F73,Reprogramaciones!R$13),11))/MAX(0,NETWORKDAYS.INTL(MAX(E73,(Reprogramaciones!$T$15+7*(Reprogramaciones!R$14-1))),MIN(F73,(Reprogramaciones!$T$15+7*(Reprogramaciones!R$14-1))+6),11))))))))</f>
        <v/>
      </c>
      <c r="CB73" s="1" t="str">
        <f aca="false">IF(OR(NOT(AND(ISNUMBER(E73),ISNUMBER(F73))),$J$2=""),"",IF(Reprogramaciones!S$13&lt;Reprogramaciones!$T$15,0,IF(Reprogramaciones!S$14&gt;10,MIN(100,SUM($G73:$P73)),MIN(100,SUMPRODUCT((COLUMN($G73:$P73)-COLUMN($G73)+1&lt;Reprogramaciones!S$14)*$G73:$P73)+N(INDEX($G73:$P73,1,Reprogramaciones!S$14))*IF(Reprogramaciones!S$13&gt;=(Reprogramaciones!$T$15+7*(Reprogramaciones!S$14-1))+6,1,IF(MAX(0,NETWORKDAYS.INTL(MAX(E73,(Reprogramaciones!$T$15+7*(Reprogramaciones!S$14-1))),MIN(F73,(Reprogramaciones!$T$15+7*(Reprogramaciones!S$14-1))+6),11))=0,0,MAX(0,NETWORKDAYS.INTL(MAX(E73,(Reprogramaciones!$T$15+7*(Reprogramaciones!S$14-1))),MIN(F73,Reprogramaciones!S$13),11))/MAX(0,NETWORKDAYS.INTL(MAX(E73,(Reprogramaciones!$T$15+7*(Reprogramaciones!S$14-1))),MIN(F73,(Reprogramaciones!$T$15+7*(Reprogramaciones!S$14-1))+6),11))))))))</f>
        <v/>
      </c>
      <c r="CC73" s="1" t="str">
        <f aca="false">IF(OR(NOT(AND(ISNUMBER(E73),ISNUMBER(F73))),$J$2=""),"",IF(Reprogramaciones!T$13&lt;Reprogramaciones!$T$15,0,IF(Reprogramaciones!T$14&gt;10,MIN(100,SUM($G73:$P73)),MIN(100,SUMPRODUCT((COLUMN($G73:$P73)-COLUMN($G73)+1&lt;Reprogramaciones!T$14)*$G73:$P73)+N(INDEX($G73:$P73,1,Reprogramaciones!T$14))*IF(Reprogramaciones!T$13&gt;=(Reprogramaciones!$T$15+7*(Reprogramaciones!T$14-1))+6,1,IF(MAX(0,NETWORKDAYS.INTL(MAX(E73,(Reprogramaciones!$T$15+7*(Reprogramaciones!T$14-1))),MIN(F73,(Reprogramaciones!$T$15+7*(Reprogramaciones!T$14-1))+6),11))=0,0,MAX(0,NETWORKDAYS.INTL(MAX(E73,(Reprogramaciones!$T$15+7*(Reprogramaciones!T$14-1))),MIN(F73,Reprogramaciones!T$13),11))/MAX(0,NETWORKDAYS.INTL(MAX(E73,(Reprogramaciones!$T$15+7*(Reprogramaciones!T$14-1))),MIN(F73,(Reprogramaciones!$T$15+7*(Reprogramaciones!T$14-1))+6),11))))))))</f>
        <v/>
      </c>
      <c r="CD73" s="1" t="str">
        <f aca="false">IF(OR(NOT(AND(ISNUMBER(E73),ISNUMBER(F73))),$J$2=""),"",IF(Reprogramaciones!U$13&lt;Reprogramaciones!$T$15,0,IF(Reprogramaciones!U$14&gt;10,MIN(100,SUM($G73:$P73)),MIN(100,SUMPRODUCT((COLUMN($G73:$P73)-COLUMN($G73)+1&lt;Reprogramaciones!U$14)*$G73:$P73)+N(INDEX($G73:$P73,1,Reprogramaciones!U$14))*IF(Reprogramaciones!U$13&gt;=(Reprogramaciones!$T$15+7*(Reprogramaciones!U$14-1))+6,1,IF(MAX(0,NETWORKDAYS.INTL(MAX(E73,(Reprogramaciones!$T$15+7*(Reprogramaciones!U$14-1))),MIN(F73,(Reprogramaciones!$T$15+7*(Reprogramaciones!U$14-1))+6),11))=0,0,MAX(0,NETWORKDAYS.INTL(MAX(E73,(Reprogramaciones!$T$15+7*(Reprogramaciones!U$14-1))),MIN(F73,Reprogramaciones!U$13),11))/MAX(0,NETWORKDAYS.INTL(MAX(E73,(Reprogramaciones!$T$15+7*(Reprogramaciones!U$14-1))),MIN(F73,(Reprogramaciones!$T$15+7*(Reprogramaciones!U$14-1))+6),11))))))))</f>
        <v/>
      </c>
      <c r="CE73" s="1" t="str">
        <f aca="false">IF(OR(NOT(AND(ISNUMBER(E73),ISNUMBER(F73))),$J$2=""),"",IF(Reprogramaciones!V$13&lt;Reprogramaciones!$T$15,0,IF(Reprogramaciones!V$14&gt;10,MIN(100,SUM($G73:$P73)),MIN(100,SUMPRODUCT((COLUMN($G73:$P73)-COLUMN($G73)+1&lt;Reprogramaciones!V$14)*$G73:$P73)+N(INDEX($G73:$P73,1,Reprogramaciones!V$14))*IF(Reprogramaciones!V$13&gt;=(Reprogramaciones!$T$15+7*(Reprogramaciones!V$14-1))+6,1,IF(MAX(0,NETWORKDAYS.INTL(MAX(E73,(Reprogramaciones!$T$15+7*(Reprogramaciones!V$14-1))),MIN(F73,(Reprogramaciones!$T$15+7*(Reprogramaciones!V$14-1))+6),11))=0,0,MAX(0,NETWORKDAYS.INTL(MAX(E73,(Reprogramaciones!$T$15+7*(Reprogramaciones!V$14-1))),MIN(F73,Reprogramaciones!V$13),11))/MAX(0,NETWORKDAYS.INTL(MAX(E73,(Reprogramaciones!$T$15+7*(Reprogramaciones!V$14-1))),MIN(F73,(Reprogramaciones!$T$15+7*(Reprogramaciones!V$14-1))+6),11))))))))</f>
        <v/>
      </c>
      <c r="CF73" s="1" t="str">
        <f aca="false">IF(OR(NOT(AND(ISNUMBER(E73),ISNUMBER(F73))),$J$2=""),"",IF(Reprogramaciones!W$13&lt;Reprogramaciones!$T$15,0,IF(Reprogramaciones!W$14&gt;10,MIN(100,SUM($G73:$P73)),MIN(100,SUMPRODUCT((COLUMN($G73:$P73)-COLUMN($G73)+1&lt;Reprogramaciones!W$14)*$G73:$P73)+N(INDEX($G73:$P73,1,Reprogramaciones!W$14))*IF(Reprogramaciones!W$13&gt;=(Reprogramaciones!$T$15+7*(Reprogramaciones!W$14-1))+6,1,IF(MAX(0,NETWORKDAYS.INTL(MAX(E73,(Reprogramaciones!$T$15+7*(Reprogramaciones!W$14-1))),MIN(F73,(Reprogramaciones!$T$15+7*(Reprogramaciones!W$14-1))+6),11))=0,0,MAX(0,NETWORKDAYS.INTL(MAX(E73,(Reprogramaciones!$T$15+7*(Reprogramaciones!W$14-1))),MIN(F73,Reprogramaciones!W$13),11))/MAX(0,NETWORKDAYS.INTL(MAX(E73,(Reprogramaciones!$T$15+7*(Reprogramaciones!W$14-1))),MIN(F73,(Reprogramaciones!$T$15+7*(Reprogramaciones!W$14-1))+6),11))))))))</f>
        <v/>
      </c>
      <c r="CG73" s="1" t="str">
        <f aca="false">IF(OR(NOT(AND(ISNUMBER(E73),ISNUMBER(F73))),$J$2=""),"",IF(Reprogramaciones!X$13&lt;Reprogramaciones!$T$15,0,IF(Reprogramaciones!X$14&gt;10,MIN(100,SUM($G73:$P73)),MIN(100,SUMPRODUCT((COLUMN($G73:$P73)-COLUMN($G73)+1&lt;Reprogramaciones!X$14)*$G73:$P73)+N(INDEX($G73:$P73,1,Reprogramaciones!X$14))*IF(Reprogramaciones!X$13&gt;=(Reprogramaciones!$T$15+7*(Reprogramaciones!X$14-1))+6,1,IF(MAX(0,NETWORKDAYS.INTL(MAX(E73,(Reprogramaciones!$T$15+7*(Reprogramaciones!X$14-1))),MIN(F73,(Reprogramaciones!$T$15+7*(Reprogramaciones!X$14-1))+6),11))=0,0,MAX(0,NETWORKDAYS.INTL(MAX(E73,(Reprogramaciones!$T$15+7*(Reprogramaciones!X$14-1))),MIN(F73,Reprogramaciones!X$13),11))/MAX(0,NETWORKDAYS.INTL(MAX(E73,(Reprogramaciones!$T$15+7*(Reprogramaciones!X$14-1))),MIN(F73,(Reprogramaciones!$T$15+7*(Reprogramaciones!X$14-1))+6),11))))))))</f>
        <v/>
      </c>
      <c r="CH73" s="1" t="str">
        <f aca="false">IF(OR(NOT(AND(ISNUMBER(E73),ISNUMBER(F73))),$J$2=""),"",IF(Reprogramaciones!Y$13&lt;Reprogramaciones!$T$15,0,IF(Reprogramaciones!Y$14&gt;10,MIN(100,SUM($G73:$P73)),MIN(100,SUMPRODUCT((COLUMN($G73:$P73)-COLUMN($G73)+1&lt;Reprogramaciones!Y$14)*$G73:$P73)+N(INDEX($G73:$P73,1,Reprogramaciones!Y$14))*IF(Reprogramaciones!Y$13&gt;=(Reprogramaciones!$T$15+7*(Reprogramaciones!Y$14-1))+6,1,IF(MAX(0,NETWORKDAYS.INTL(MAX(E73,(Reprogramaciones!$T$15+7*(Reprogramaciones!Y$14-1))),MIN(F73,(Reprogramaciones!$T$15+7*(Reprogramaciones!Y$14-1))+6),11))=0,0,MAX(0,NETWORKDAYS.INTL(MAX(E73,(Reprogramaciones!$T$15+7*(Reprogramaciones!Y$14-1))),MIN(F73,Reprogramaciones!Y$13),11))/MAX(0,NETWORKDAYS.INTL(MAX(E73,(Reprogramaciones!$T$15+7*(Reprogramaciones!Y$14-1))),MIN(F73,(Reprogramaciones!$T$15+7*(Reprogramaciones!Y$14-1))+6),11))))))))</f>
        <v/>
      </c>
      <c r="CI73" s="1" t="str">
        <f aca="false">IF(OR(NOT(AND(ISNUMBER(E73),ISNUMBER(F73))),$J$2=""),"",IF(Reprogramaciones!Z$13&lt;Reprogramaciones!$T$15,0,IF(Reprogramaciones!Z$14&gt;10,MIN(100,SUM($G73:$P73)),MIN(100,SUMPRODUCT((COLUMN($G73:$P73)-COLUMN($G73)+1&lt;Reprogramaciones!Z$14)*$G73:$P73)+N(INDEX($G73:$P73,1,Reprogramaciones!Z$14))*IF(Reprogramaciones!Z$13&gt;=(Reprogramaciones!$T$15+7*(Reprogramaciones!Z$14-1))+6,1,IF(MAX(0,NETWORKDAYS.INTL(MAX(E73,(Reprogramaciones!$T$15+7*(Reprogramaciones!Z$14-1))),MIN(F73,(Reprogramaciones!$T$15+7*(Reprogramaciones!Z$14-1))+6),11))=0,0,MAX(0,NETWORKDAYS.INTL(MAX(E73,(Reprogramaciones!$T$15+7*(Reprogramaciones!Z$14-1))),MIN(F73,Reprogramaciones!Z$13),11))/MAX(0,NETWORKDAYS.INTL(MAX(E73,(Reprogramaciones!$T$15+7*(Reprogramaciones!Z$14-1))),MIN(F73,(Reprogramaciones!$T$15+7*(Reprogramaciones!Z$14-1))+6),11))))))))</f>
        <v/>
      </c>
      <c r="CJ73" s="1" t="str">
        <f aca="false">IF(OR(OR(NOT(AND(ISNUMBER(E73),ISNUMBER(F73))),$J$2=""),1&gt;Reprogramaciones!$K$16),"",IF(ROUND(SUM($Q73:Q73),1)&gt;=99.5,100,MIN(100,ROUND(SUM($Q73:Q73),1))))</f>
        <v/>
      </c>
      <c r="CK73" s="1" t="str">
        <f aca="false">IF(OR(OR(NOT(AND(ISNUMBER(E73),ISNUMBER(F73))),$J$2=""),2&gt;Reprogramaciones!$K$16),"",IF(ROUND(SUM($Q73:R73),1)&gt;=99.5,100,MIN(100,ROUND(SUM($Q73:R73),1))))</f>
        <v/>
      </c>
      <c r="CL73" s="1" t="str">
        <f aca="false">IF(OR(OR(NOT(AND(ISNUMBER(E73),ISNUMBER(F73))),$J$2=""),3&gt;Reprogramaciones!$K$16),"",IF(ROUND(SUM($Q73:S73),1)&gt;=99.5,100,MIN(100,ROUND(SUM($Q73:S73),1))))</f>
        <v/>
      </c>
      <c r="CM73" s="1" t="str">
        <f aca="false">IF(OR(OR(NOT(AND(ISNUMBER(E73),ISNUMBER(F73))),$J$2=""),4&gt;Reprogramaciones!$K$16),"",IF(ROUND(SUM($Q73:T73),1)&gt;=99.5,100,MIN(100,ROUND(SUM($Q73:T73),1))))</f>
        <v/>
      </c>
      <c r="CN73" s="1" t="str">
        <f aca="false">IF(OR(OR(NOT(AND(ISNUMBER(E73),ISNUMBER(F73))),$J$2=""),5&gt;Reprogramaciones!$K$16),"",IF(ROUND(SUM($Q73:U73),1)&gt;=99.5,100,MIN(100,ROUND(SUM($Q73:U73),1))))</f>
        <v/>
      </c>
      <c r="CO73" s="1" t="str">
        <f aca="false">IF(OR(OR(NOT(AND(ISNUMBER(E73),ISNUMBER(F73))),$J$2=""),6&gt;Reprogramaciones!$K$16),"",IF(ROUND(SUM($Q73:V73),1)&gt;=99.5,100,MIN(100,ROUND(SUM($Q73:V73),1))))</f>
        <v/>
      </c>
      <c r="CP73" s="1" t="str">
        <f aca="false">IF(OR(OR(NOT(AND(ISNUMBER(E73),ISNUMBER(F73))),$J$2=""),7&gt;Reprogramaciones!$K$16),"",IF(ROUND(SUM($Q73:W73),1)&gt;=99.5,100,MIN(100,ROUND(SUM($Q73:W73),1))))</f>
        <v/>
      </c>
      <c r="CQ73" s="1" t="str">
        <f aca="false">IF(OR(OR(NOT(AND(ISNUMBER(E73),ISNUMBER(F73))),$J$2=""),8&gt;Reprogramaciones!$K$16),"",IF(ROUND(SUM($Q73:X73),1)&gt;=99.5,100,MIN(100,ROUND(SUM($Q73:X73),1))))</f>
        <v/>
      </c>
      <c r="CR73" s="1" t="str">
        <f aca="false">IF(OR(OR(NOT(AND(ISNUMBER(E73),ISNUMBER(F73))),$J$2=""),9&gt;Reprogramaciones!$K$16),"",IF(ROUND(SUM($Q73:Y73),1)&gt;=99.5,100,MIN(100,ROUND(SUM($Q73:Y73),1))))</f>
        <v/>
      </c>
      <c r="CS73" s="1" t="str">
        <f aca="false">IF(OR(OR(NOT(AND(ISNUMBER(E73),ISNUMBER(F73))),$J$2=""),10&gt;Reprogramaciones!$K$16),"",IF(ROUND(SUM($Q73:Z73),1)&gt;=99.5,100,MIN(100,ROUND(SUM($Q73:Z73),1))))</f>
        <v/>
      </c>
      <c r="CT73" s="1" t="str">
        <f aca="false">IF(OR(OR(NOT(AND(ISNUMBER(E73),ISNUMBER(F73))),$J$2=""),11&gt;Reprogramaciones!$K$16),"",IF(ROUND(SUM($Q73:AA73),1)&gt;=99.5,100,MIN(100,ROUND(SUM($Q73:AA73),1))))</f>
        <v/>
      </c>
      <c r="CU73" s="1" t="str">
        <f aca="false">IF(OR(OR(NOT(AND(ISNUMBER(E73),ISNUMBER(F73))),$J$2=""),12&gt;Reprogramaciones!$K$16),"",IF(ROUND(SUM($Q73:AB73),1)&gt;=99.5,100,MIN(100,ROUND(SUM($Q73:AB73),1))))</f>
        <v/>
      </c>
      <c r="CV73" s="1" t="str">
        <f aca="false">IF(OR(OR(NOT(AND(ISNUMBER(E73),ISNUMBER(F73))),$J$2=""),13&gt;Reprogramaciones!$K$16),"",IF(ROUND(SUM($Q73:AC73),1)&gt;=99.5,100,MIN(100,ROUND(SUM($Q73:AC73),1))))</f>
        <v/>
      </c>
      <c r="CW73" s="1" t="str">
        <f aca="false">IF(OR(OR(NOT(AND(ISNUMBER(E73),ISNUMBER(F73))),$J$2=""),14&gt;Reprogramaciones!$K$16),"",IF(ROUND(SUM($Q73:AD73),1)&gt;=99.5,100,MIN(100,ROUND(SUM($Q73:AD73),1))))</f>
        <v/>
      </c>
      <c r="CX73" s="1" t="str">
        <f aca="false">IF(OR(OR(NOT(AND(ISNUMBER(E73),ISNUMBER(F73))),$J$2=""),15&gt;Reprogramaciones!$K$16),"",IF(ROUND(SUM($Q73:AE73),1)&gt;=99.5,100,MIN(100,ROUND(SUM($Q73:AE73),1))))</f>
        <v/>
      </c>
      <c r="CY73" s="1" t="str">
        <f aca="false">IF(OR(OR(NOT(AND(ISNUMBER(E73),ISNUMBER(F73))),$J$2=""),16&gt;Reprogramaciones!$K$16),"",IF(ROUND(SUM($Q73:AF73),1)&gt;=99.5,100,MIN(100,ROUND(SUM($Q73:AF73),1))))</f>
        <v/>
      </c>
      <c r="CZ73" s="1" t="str">
        <f aca="false">IF(D73&lt;&gt;"",D73,IF(B73&lt;&gt;"","Contractual",CZ72))</f>
        <v>Contractual</v>
      </c>
      <c r="DA73" s="1" t="str">
        <f aca="false">IF(OR(NOT(AND(ISNUMBER(E73),ISNUMBER(F73))),$J$2=""),"",IF(Reprogramaciones!$Q$15&lt;Reprogramaciones!$T$15,0,IF(Reprogramaciones!$S$15&gt;10,MIN(100,SUM($G73:$P73)),MIN(100,SUMPRODUCT((COLUMN($G73:$P73)-COLUMN($G73)+1&lt;Reprogramaciones!$S$15)*$G73:$P73)+N(INDEX($G73:$P73,1,Reprogramaciones!$S$15))*IF(Reprogramaciones!$Q$15&gt;=(Reprogramaciones!$T$15+7*(Reprogramaciones!$S$15-1))+6,1,IF(MAX(0,NETWORKDAYS.INTL(MAX(E73,(Reprogramaciones!$T$15+7*(Reprogramaciones!$S$15-1))),MIN(F73,(Reprogramaciones!$T$15+7*(Reprogramaciones!$S$15-1))+6),11))=0,0,MAX(0,NETWORKDAYS.INTL(MAX(E73,(Reprogramaciones!$T$15+7*(Reprogramaciones!$S$15-1))),MIN(F73,Reprogramaciones!$Q$15),11))/MAX(0,NETWORKDAYS.INTL(MAX(E73,(Reprogramaciones!$T$15+7*(Reprogramaciones!$S$15-1))),MIN(F73,(Reprogramaciones!$T$15+7*(Reprogramaciones!$S$15-1))+6),11))))))))</f>
        <v/>
      </c>
    </row>
    <row r="74" customFormat="false" ht="15" hidden="false" customHeight="false" outlineLevel="0" collapsed="false">
      <c r="A74" s="32"/>
      <c r="B74" s="33"/>
      <c r="C74" s="33"/>
      <c r="D74" s="34"/>
      <c r="E74" s="35"/>
      <c r="F74" s="35"/>
      <c r="G74" s="36" t="str">
        <f aca="false">IF(OR(NOT(AND(ISNUMBER(E74),ISNUMBER(F74))),$J$2=""),"",IF(Reprogramaciones!K$9&lt;E74,0,IF(NETWORKDAYS.INTL(E74,F74,11)=0,IF(Reprogramaciones!K$9&gt;=F74,100,0),ROUND(NETWORKDAYS.INTL(E74,MIN(F74,Reprogramaciones!K$9),11)/NETWORKDAYS.INTL(E74,F74,11)*100,1)))-0)</f>
        <v/>
      </c>
      <c r="H74" s="36" t="str">
        <f aca="false">IF(OR(NOT(AND(ISNUMBER(E74),ISNUMBER(F74))),$J$2=""),"",IF(Reprogramaciones!L$9&lt;E74,0,IF(NETWORKDAYS.INTL(E74,F74,11)=0,IF(Reprogramaciones!L$9&gt;=F74,100,0),ROUND(NETWORKDAYS.INTL(E74,MIN(F74,Reprogramaciones!L$9),11)/NETWORKDAYS.INTL(E74,F74,11)*100,1)))-IF(Reprogramaciones!K$9&lt;E74,0,IF(NETWORKDAYS.INTL(E74,F74,11)=0,IF(Reprogramaciones!K$9&gt;=F74,100,0),ROUND(NETWORKDAYS.INTL(E74,MIN(F74,Reprogramaciones!K$9),11)/NETWORKDAYS.INTL(E74,F74,11)*100,1))))</f>
        <v/>
      </c>
      <c r="I74" s="36" t="str">
        <f aca="false">IF(OR(NOT(AND(ISNUMBER(E74),ISNUMBER(F74))),$J$2=""),"",IF(Reprogramaciones!M$9&lt;E74,0,IF(NETWORKDAYS.INTL(E74,F74,11)=0,IF(Reprogramaciones!M$9&gt;=F74,100,0),ROUND(NETWORKDAYS.INTL(E74,MIN(F74,Reprogramaciones!M$9),11)/NETWORKDAYS.INTL(E74,F74,11)*100,1)))-IF(Reprogramaciones!L$9&lt;E74,0,IF(NETWORKDAYS.INTL(E74,F74,11)=0,IF(Reprogramaciones!L$9&gt;=F74,100,0),ROUND(NETWORKDAYS.INTL(E74,MIN(F74,Reprogramaciones!L$9),11)/NETWORKDAYS.INTL(E74,F74,11)*100,1))))</f>
        <v/>
      </c>
      <c r="J74" s="36" t="str">
        <f aca="false">IF(OR(NOT(AND(ISNUMBER(E74),ISNUMBER(F74))),$J$2=""),"",IF(Reprogramaciones!N$9&lt;E74,0,IF(NETWORKDAYS.INTL(E74,F74,11)=0,IF(Reprogramaciones!N$9&gt;=F74,100,0),ROUND(NETWORKDAYS.INTL(E74,MIN(F74,Reprogramaciones!N$9),11)/NETWORKDAYS.INTL(E74,F74,11)*100,1)))-IF(Reprogramaciones!M$9&lt;E74,0,IF(NETWORKDAYS.INTL(E74,F74,11)=0,IF(Reprogramaciones!M$9&gt;=F74,100,0),ROUND(NETWORKDAYS.INTL(E74,MIN(F74,Reprogramaciones!M$9),11)/NETWORKDAYS.INTL(E74,F74,11)*100,1))))</f>
        <v/>
      </c>
      <c r="K74" s="36" t="str">
        <f aca="false">IF(OR(NOT(AND(ISNUMBER(E74),ISNUMBER(F74))),$J$2=""),"",IF(Reprogramaciones!O$9&lt;E74,0,IF(NETWORKDAYS.INTL(E74,F74,11)=0,IF(Reprogramaciones!O$9&gt;=F74,100,0),ROUND(NETWORKDAYS.INTL(E74,MIN(F74,Reprogramaciones!O$9),11)/NETWORKDAYS.INTL(E74,F74,11)*100,1)))-IF(Reprogramaciones!N$9&lt;E74,0,IF(NETWORKDAYS.INTL(E74,F74,11)=0,IF(Reprogramaciones!N$9&gt;=F74,100,0),ROUND(NETWORKDAYS.INTL(E74,MIN(F74,Reprogramaciones!N$9),11)/NETWORKDAYS.INTL(E74,F74,11)*100,1))))</f>
        <v/>
      </c>
      <c r="L74" s="36" t="str">
        <f aca="false">IF(OR(NOT(AND(ISNUMBER(E74),ISNUMBER(F74))),$J$2=""),"",IF(Reprogramaciones!P$9&lt;E74,0,IF(NETWORKDAYS.INTL(E74,F74,11)=0,IF(Reprogramaciones!P$9&gt;=F74,100,0),ROUND(NETWORKDAYS.INTL(E74,MIN(F74,Reprogramaciones!P$9),11)/NETWORKDAYS.INTL(E74,F74,11)*100,1)))-IF(Reprogramaciones!O$9&lt;E74,0,IF(NETWORKDAYS.INTL(E74,F74,11)=0,IF(Reprogramaciones!O$9&gt;=F74,100,0),ROUND(NETWORKDAYS.INTL(E74,MIN(F74,Reprogramaciones!O$9),11)/NETWORKDAYS.INTL(E74,F74,11)*100,1))))</f>
        <v/>
      </c>
      <c r="M74" s="36" t="str">
        <f aca="false">IF(OR(NOT(AND(ISNUMBER(E74),ISNUMBER(F74))),$J$2=""),"",IF(Reprogramaciones!Q$9&lt;E74,0,IF(NETWORKDAYS.INTL(E74,F74,11)=0,IF(Reprogramaciones!Q$9&gt;=F74,100,0),ROUND(NETWORKDAYS.INTL(E74,MIN(F74,Reprogramaciones!Q$9),11)/NETWORKDAYS.INTL(E74,F74,11)*100,1)))-IF(Reprogramaciones!P$9&lt;E74,0,IF(NETWORKDAYS.INTL(E74,F74,11)=0,IF(Reprogramaciones!P$9&gt;=F74,100,0),ROUND(NETWORKDAYS.INTL(E74,MIN(F74,Reprogramaciones!P$9),11)/NETWORKDAYS.INTL(E74,F74,11)*100,1))))</f>
        <v/>
      </c>
      <c r="N74" s="36" t="str">
        <f aca="false">IF(OR(NOT(AND(ISNUMBER(E74),ISNUMBER(F74))),$J$2=""),"",IF(Reprogramaciones!R$9&lt;E74,0,IF(NETWORKDAYS.INTL(E74,F74,11)=0,IF(Reprogramaciones!R$9&gt;=F74,100,0),ROUND(NETWORKDAYS.INTL(E74,MIN(F74,Reprogramaciones!R$9),11)/NETWORKDAYS.INTL(E74,F74,11)*100,1)))-IF(Reprogramaciones!Q$9&lt;E74,0,IF(NETWORKDAYS.INTL(E74,F74,11)=0,IF(Reprogramaciones!Q$9&gt;=F74,100,0),ROUND(NETWORKDAYS.INTL(E74,MIN(F74,Reprogramaciones!Q$9),11)/NETWORKDAYS.INTL(E74,F74,11)*100,1))))</f>
        <v/>
      </c>
      <c r="O74" s="36" t="str">
        <f aca="false">IF(OR(NOT(AND(ISNUMBER(E74),ISNUMBER(F74))),$J$2=""),"",IF(Reprogramaciones!S$9&lt;E74,0,IF(NETWORKDAYS.INTL(E74,F74,11)=0,IF(Reprogramaciones!S$9&gt;=F74,100,0),ROUND(NETWORKDAYS.INTL(E74,MIN(F74,Reprogramaciones!S$9),11)/NETWORKDAYS.INTL(E74,F74,11)*100,1)))-IF(Reprogramaciones!R$9&lt;E74,0,IF(NETWORKDAYS.INTL(E74,F74,11)=0,IF(Reprogramaciones!R$9&gt;=F74,100,0),ROUND(NETWORKDAYS.INTL(E74,MIN(F74,Reprogramaciones!R$9),11)/NETWORKDAYS.INTL(E74,F74,11)*100,1))))</f>
        <v/>
      </c>
      <c r="P74" s="36" t="str">
        <f aca="false">IF(OR(NOT(AND(ISNUMBER(E74),ISNUMBER(F74))),$J$2=""),"",IF(Reprogramaciones!T$9&lt;E74,0,IF(NETWORKDAYS.INTL(E74,F74,11)=0,IF(Reprogramaciones!T$9&gt;=F74,100,0),ROUND(NETWORKDAYS.INTL(E74,MIN(F74,Reprogramaciones!T$9),11)/NETWORKDAYS.INTL(E74,F74,11)*100,1)))-IF(Reprogramaciones!S$9&lt;E74,0,IF(NETWORKDAYS.INTL(E74,F74,11)=0,IF(Reprogramaciones!S$9&gt;=F74,100,0),ROUND(NETWORKDAYS.INTL(E74,MIN(F74,Reprogramaciones!S$9),11)/NETWORKDAYS.INTL(E74,F74,11)*100,1))))</f>
        <v/>
      </c>
      <c r="Q74" s="37"/>
      <c r="R74" s="37"/>
      <c r="S74" s="37"/>
      <c r="T74" s="37"/>
      <c r="U74" s="37"/>
      <c r="V74" s="37"/>
      <c r="W74" s="37"/>
      <c r="X74" s="37"/>
      <c r="Y74" s="37"/>
      <c r="Z74" s="37"/>
      <c r="AA74" s="37"/>
      <c r="AB74" s="37"/>
      <c r="AC74" s="37"/>
      <c r="AD74" s="37"/>
      <c r="AE74" s="37"/>
      <c r="AF74" s="37"/>
      <c r="AG74" s="38" t="str">
        <f aca="false">IF(AND(ISNUMBER(E74),ISNUMBER(F74)),NETWORKDAYS.INTL(E74,F74,11),"")</f>
        <v/>
      </c>
      <c r="AH74" s="38" t="str">
        <f aca="false">IF(OR(NOT(AND(ISNUMBER(E74),ISNUMBER(F74))),$J$2=""),"",IF(Reprogramaciones!$P$15&lt;Reprogramaciones!$T$15,0,IF(Reprogramaciones!$R$15&gt;10,MIN(100,SUM($G74:$P74)),MIN(100,SUMPRODUCT((COLUMN($G74:$P74)-COLUMN($G74)+1&lt;Reprogramaciones!$R$15)*$G74:$P74)+N(INDEX($G74:$P74,1,Reprogramaciones!$R$15))*IF(Reprogramaciones!$P$15&gt;=(Reprogramaciones!$T$15+7*(Reprogramaciones!$R$15-1))+6,1,IF(MAX(0,NETWORKDAYS.INTL(MAX(E74,(Reprogramaciones!$T$15+7*(Reprogramaciones!$R$15-1))),MIN(F74,(Reprogramaciones!$T$15+7*(Reprogramaciones!$R$15-1))+6),11))=0,0,MAX(0,NETWORKDAYS.INTL(MAX(E74,(Reprogramaciones!$T$15+7*(Reprogramaciones!$R$15-1))),MIN(F74,Reprogramaciones!$P$15),11))/MAX(0,NETWORKDAYS.INTL(MAX(E74,(Reprogramaciones!$T$15+7*(Reprogramaciones!$R$15-1))),MIN(F74,(Reprogramaciones!$T$15+7*(Reprogramaciones!$R$15-1))+6),11))))))))</f>
        <v/>
      </c>
      <c r="AI74" s="38" t="str">
        <f aca="false">IF(COUNT($Q74:$AF74)=0,"",IF(ROUND(SUM($Q74:$AF74),1)&gt;=99.5,100,MIN(100,ROUND(SUM($Q74:$AF74),1))))</f>
        <v/>
      </c>
      <c r="AJ74" s="38" t="str">
        <f aca="false">IF(OR(AH74="",AI74=""),"",AI74-AH74)</f>
        <v/>
      </c>
      <c r="AK74" s="39" t="str">
        <f aca="true">IF(AH74="","",IF(OR(Ficha!$C$10="Suspendida",Ficha!$C$10="Cancelada"),Ficha!$C$10,IF(AND(AI74&lt;&gt;"",N(AI74)&gt;=100),"Completada",IF(AND(E74&gt;TODAY(),N(AI74)=0),"Por iniciar",IF(N(AI74)+0.5&lt;AH74,"Retrasada",IF(N(AI74)+0.5&lt;DA74,IF(Reprogramaciones!$K$15&gt;0,"Al día · Sem "&amp;Reprogramaciones!$K$15&amp;" en curso","Al día · en curso"),"A tiempo"))))))</f>
        <v/>
      </c>
      <c r="AL74" s="39" t="str">
        <f aca="true">IF(AND(A74="",AND(B74="",C74="",E74="",F74="",COUNT(Q74:AF74)=0)),"",IF(AND(B74="",C74="",E74="",F74="",COUNT(Q74:AF74)=0),"Falta la partida o subpartida",IF(AND(A74&lt;&gt;"",COUNTIF($A$6:$A$305,A74)&gt;1),"Ítem repetido",IF(AND(C74="",E74="",F74="",COUNT(Q74:AF74)=0),"Título de partida",IF(OR(E74="",F74=""),"Faltan fechas",IF(OR(ISTEXT(E74),ISTEXT(F74)),"Fecha escrita como texto: usa dd/mm/aaaa",IF(F74&lt;E74,"Fin antes del inicio",IF(IF($J$2="",FALSE(),OR(E74&lt;$J$2,F74&gt;Reprogramaciones!$T$15+69)),"Fuera de las 10 semanas",IF(ABS(SUM(G74:P74)-100)&gt;0.5,"La meta no suma 100%",IF(ROUND(SUM(Q74:AF74),1)&gt;100.5,"El avance pasa de 100%",IF(MIN(Q74:AF74)&lt;0,"Avance negativo",IF(COUNTA(Q74:AF74)&gt;COUNT(Q74:AF74),"Avance escrito como texto",IF(SUMPRODUCT((Q74:AF74&gt;0)*(Q74:AF74&lt;1))&gt;0,"Avance menor a 1: escribe 50, no 50%",IF(SUMPRODUCT(ISNUMBER(Q74:AF74)*(Reprogramaciones!$K$8:$Z$8&gt;TODAY()))&gt;0,"Avance en semana que aún no llega",IF(AND(N(Reprogramaciones!$E$21)&gt;0,F74&gt;Reprogramaciones!$E$21),"Pasa el fin de la obra: registra una reprogramación",IF(AND(N(Reprogramaciones!$E$21)&gt;0,SUMPRODUCT(ISNUMBER(Q74:AF74)*(Reprogramaciones!$K$8:$Z$8&gt;Reprogramaciones!$E$21))&gt;0),"Avance después del fin de la obra: registra una reprogramación por atraso","OK"))))))))))))))))</f>
        <v/>
      </c>
      <c r="AM74" s="40" t="str">
        <f aca="false">IF(OR(OR(NOT(AND(ISNUMBER(E74),ISNUMBER(F74))),$J$2=""),1&gt;MAX(1,Reprogramaciones!$U$15)),"",IF(Reprogramaciones!K$12&gt;=7,"",IF(OR(BT74-N(0)&gt;0.05,N(Q74)&gt;0),ROUNDDOWN(ROUND(BT74,6),0)&amp;"%"&amp;IF(CJ74="",""," / "&amp;CJ74&amp;"%"),IF(AND(N(0)&gt;=99.95,CJ74&lt;&gt;"",N(CJ74)&lt;100),"Pend. "&amp;CJ74&amp;"%",""))))</f>
        <v/>
      </c>
      <c r="AN74" s="40" t="str">
        <f aca="false">IF(OR(OR(NOT(AND(ISNUMBER(E74),ISNUMBER(F74))),$J$2=""),2&gt;MAX(1,Reprogramaciones!$U$15)),"",IF(Reprogramaciones!L$12&gt;=7,"",IF(OR(BU74-N(BT74)&gt;0.05,N(R74)&gt;0),ROUNDDOWN(ROUND(BU74,6),0)&amp;"%"&amp;IF(CK74="",""," / "&amp;CK74&amp;"%"),IF(AND(N(BT74)&gt;=99.95,CK74&lt;&gt;"",N(CK74)&lt;100),"Pend. "&amp;CK74&amp;"%",""))))</f>
        <v/>
      </c>
      <c r="AO74" s="40" t="str">
        <f aca="false">IF(OR(OR(NOT(AND(ISNUMBER(E74),ISNUMBER(F74))),$J$2=""),3&gt;MAX(1,Reprogramaciones!$U$15)),"",IF(Reprogramaciones!M$12&gt;=7,"",IF(OR(BV74-N(BU74)&gt;0.05,N(S74)&gt;0),ROUNDDOWN(ROUND(BV74,6),0)&amp;"%"&amp;IF(CL74="",""," / "&amp;CL74&amp;"%"),IF(AND(N(BU74)&gt;=99.95,CL74&lt;&gt;"",N(CL74)&lt;100),"Pend. "&amp;CL74&amp;"%",""))))</f>
        <v/>
      </c>
      <c r="AP74" s="40" t="str">
        <f aca="false">IF(OR(OR(NOT(AND(ISNUMBER(E74),ISNUMBER(F74))),$J$2=""),4&gt;MAX(1,Reprogramaciones!$U$15)),"",IF(Reprogramaciones!N$12&gt;=7,"",IF(OR(BW74-N(BV74)&gt;0.05,N(T74)&gt;0),ROUNDDOWN(ROUND(BW74,6),0)&amp;"%"&amp;IF(CM74="",""," / "&amp;CM74&amp;"%"),IF(AND(N(BV74)&gt;=99.95,CM74&lt;&gt;"",N(CM74)&lt;100),"Pend. "&amp;CM74&amp;"%",""))))</f>
        <v/>
      </c>
      <c r="AQ74" s="40" t="str">
        <f aca="false">IF(OR(OR(NOT(AND(ISNUMBER(E74),ISNUMBER(F74))),$J$2=""),5&gt;MAX(1,Reprogramaciones!$U$15)),"",IF(Reprogramaciones!O$12&gt;=7,"",IF(OR(BX74-N(BW74)&gt;0.05,N(U74)&gt;0),ROUNDDOWN(ROUND(BX74,6),0)&amp;"%"&amp;IF(CN74="",""," / "&amp;CN74&amp;"%"),IF(AND(N(BW74)&gt;=99.95,CN74&lt;&gt;"",N(CN74)&lt;100),"Pend. "&amp;CN74&amp;"%",""))))</f>
        <v/>
      </c>
      <c r="AR74" s="40" t="str">
        <f aca="false">IF(OR(OR(NOT(AND(ISNUMBER(E74),ISNUMBER(F74))),$J$2=""),6&gt;MAX(1,Reprogramaciones!$U$15)),"",IF(Reprogramaciones!P$12&gt;=7,"",IF(OR(BY74-N(BX74)&gt;0.05,N(V74)&gt;0),ROUNDDOWN(ROUND(BY74,6),0)&amp;"%"&amp;IF(CO74="",""," / "&amp;CO74&amp;"%"),IF(AND(N(BX74)&gt;=99.95,CO74&lt;&gt;"",N(CO74)&lt;100),"Pend. "&amp;CO74&amp;"%",""))))</f>
        <v/>
      </c>
      <c r="AS74" s="40" t="str">
        <f aca="false">IF(OR(OR(NOT(AND(ISNUMBER(E74),ISNUMBER(F74))),$J$2=""),7&gt;MAX(1,Reprogramaciones!$U$15)),"",IF(Reprogramaciones!Q$12&gt;=7,"",IF(OR(BZ74-N(BY74)&gt;0.05,N(W74)&gt;0),ROUNDDOWN(ROUND(BZ74,6),0)&amp;"%"&amp;IF(CP74="",""," / "&amp;CP74&amp;"%"),IF(AND(N(BY74)&gt;=99.95,CP74&lt;&gt;"",N(CP74)&lt;100),"Pend. "&amp;CP74&amp;"%",""))))</f>
        <v/>
      </c>
      <c r="AT74" s="40" t="str">
        <f aca="false">IF(OR(OR(NOT(AND(ISNUMBER(E74),ISNUMBER(F74))),$J$2=""),8&gt;MAX(1,Reprogramaciones!$U$15)),"",IF(Reprogramaciones!R$12&gt;=7,"",IF(OR(CA74-N(BZ74)&gt;0.05,N(X74)&gt;0),ROUNDDOWN(ROUND(CA74,6),0)&amp;"%"&amp;IF(CQ74="",""," / "&amp;CQ74&amp;"%"),IF(AND(N(BZ74)&gt;=99.95,CQ74&lt;&gt;"",N(CQ74)&lt;100),"Pend. "&amp;CQ74&amp;"%",""))))</f>
        <v/>
      </c>
      <c r="AU74" s="40" t="str">
        <f aca="false">IF(OR(OR(NOT(AND(ISNUMBER(E74),ISNUMBER(F74))),$J$2=""),9&gt;MAX(1,Reprogramaciones!$U$15)),"",IF(Reprogramaciones!S$12&gt;=7,"",IF(OR(CB74-N(CA74)&gt;0.05,N(Y74)&gt;0),ROUNDDOWN(ROUND(CB74,6),0)&amp;"%"&amp;IF(CR74="",""," / "&amp;CR74&amp;"%"),IF(AND(N(CA74)&gt;=99.95,CR74&lt;&gt;"",N(CR74)&lt;100),"Pend. "&amp;CR74&amp;"%",""))))</f>
        <v/>
      </c>
      <c r="AV74" s="40" t="str">
        <f aca="false">IF(OR(OR(NOT(AND(ISNUMBER(E74),ISNUMBER(F74))),$J$2=""),10&gt;MAX(1,Reprogramaciones!$U$15)),"",IF(Reprogramaciones!T$12&gt;=7,"",IF(OR(CC74-N(CB74)&gt;0.05,N(Z74)&gt;0),ROUNDDOWN(ROUND(CC74,6),0)&amp;"%"&amp;IF(CS74="",""," / "&amp;CS74&amp;"%"),IF(AND(N(CB74)&gt;=99.95,CS74&lt;&gt;"",N(CS74)&lt;100),"Pend. "&amp;CS74&amp;"%",""))))</f>
        <v/>
      </c>
      <c r="AW74" s="40" t="str">
        <f aca="false">IF(OR(OR(NOT(AND(ISNUMBER(E74),ISNUMBER(F74))),$J$2=""),11&gt;MAX(1,Reprogramaciones!$U$15)),"",IF(Reprogramaciones!U$12&gt;=7,"",IF(OR(CD74-N(CC74)&gt;0.05,N(AA74)&gt;0),ROUNDDOWN(ROUND(CD74,6),0)&amp;"%"&amp;IF(CT74="",""," / "&amp;CT74&amp;"%"),IF(AND(N(CC74)&gt;=99.95,CT74&lt;&gt;"",N(CT74)&lt;100),"Pend. "&amp;CT74&amp;"%",""))))</f>
        <v/>
      </c>
      <c r="AX74" s="40" t="str">
        <f aca="false">IF(OR(OR(NOT(AND(ISNUMBER(E74),ISNUMBER(F74))),$J$2=""),12&gt;MAX(1,Reprogramaciones!$U$15)),"",IF(Reprogramaciones!V$12&gt;=7,"",IF(OR(CE74-N(CD74)&gt;0.05,N(AB74)&gt;0),ROUNDDOWN(ROUND(CE74,6),0)&amp;"%"&amp;IF(CU74="",""," / "&amp;CU74&amp;"%"),IF(AND(N(CD74)&gt;=99.95,CU74&lt;&gt;"",N(CU74)&lt;100),"Pend. "&amp;CU74&amp;"%",""))))</f>
        <v/>
      </c>
      <c r="AY74" s="40" t="str">
        <f aca="false">IF(OR(OR(NOT(AND(ISNUMBER(E74),ISNUMBER(F74))),$J$2=""),13&gt;MAX(1,Reprogramaciones!$U$15)),"",IF(Reprogramaciones!W$12&gt;=7,"",IF(OR(CF74-N(CE74)&gt;0.05,N(AC74)&gt;0),ROUNDDOWN(ROUND(CF74,6),0)&amp;"%"&amp;IF(CV74="",""," / "&amp;CV74&amp;"%"),IF(AND(N(CE74)&gt;=99.95,CV74&lt;&gt;"",N(CV74)&lt;100),"Pend. "&amp;CV74&amp;"%",""))))</f>
        <v/>
      </c>
      <c r="AZ74" s="40" t="str">
        <f aca="false">IF(OR(OR(NOT(AND(ISNUMBER(E74),ISNUMBER(F74))),$J$2=""),14&gt;MAX(1,Reprogramaciones!$U$15)),"",IF(Reprogramaciones!X$12&gt;=7,"",IF(OR(CG74-N(CF74)&gt;0.05,N(AD74)&gt;0),ROUNDDOWN(ROUND(CG74,6),0)&amp;"%"&amp;IF(CW74="",""," / "&amp;CW74&amp;"%"),IF(AND(N(CF74)&gt;=99.95,CW74&lt;&gt;"",N(CW74)&lt;100),"Pend. "&amp;CW74&amp;"%",""))))</f>
        <v/>
      </c>
      <c r="BA74" s="40" t="str">
        <f aca="false">IF(OR(OR(NOT(AND(ISNUMBER(E74),ISNUMBER(F74))),$J$2=""),15&gt;MAX(1,Reprogramaciones!$U$15)),"",IF(Reprogramaciones!Y$12&gt;=7,"",IF(OR(CH74-N(CG74)&gt;0.05,N(AE74)&gt;0),ROUNDDOWN(ROUND(CH74,6),0)&amp;"%"&amp;IF(CX74="",""," / "&amp;CX74&amp;"%"),IF(AND(N(CG74)&gt;=99.95,CX74&lt;&gt;"",N(CX74)&lt;100),"Pend. "&amp;CX74&amp;"%",""))))</f>
        <v/>
      </c>
      <c r="BB74" s="40" t="str">
        <f aca="false">IF(OR(OR(NOT(AND(ISNUMBER(E74),ISNUMBER(F74))),$J$2=""),16&gt;MAX(1,Reprogramaciones!$U$15)),"",IF(Reprogramaciones!Z$12&gt;=7,"",IF(OR(CI74-N(CH74)&gt;0.05,N(AF74)&gt;0),ROUNDDOWN(ROUND(CI74,6),0)&amp;"%"&amp;IF(CY74="",""," / "&amp;CY74&amp;"%"),IF(AND(N(CH74)&gt;=99.95,CY74&lt;&gt;"",N(CY74)&lt;100),"Pend. "&amp;CY74&amp;"%",""))))</f>
        <v/>
      </c>
      <c r="BC74" s="31" t="n">
        <f aca="false">IF(AND(ISNUMBER(E74),ISNUMBER(F74)),MAX(1,NETWORKDAYS.INTL(E74,F74,11)),0)</f>
        <v>0</v>
      </c>
      <c r="BD74" s="1" t="str">
        <f aca="false">IF(OR(NOT(AND(ISNUMBER(E74),ISNUMBER(F74))),$J$2=""),"",MIN(100,ROUND(SUM($G74:G74),1)))</f>
        <v/>
      </c>
      <c r="BE74" s="1" t="str">
        <f aca="false">IF(OR(NOT(AND(ISNUMBER(E74),ISNUMBER(F74))),$J$2=""),"",MIN(100,ROUND(SUM($G74:H74),1)))</f>
        <v/>
      </c>
      <c r="BF74" s="1" t="str">
        <f aca="false">IF(OR(NOT(AND(ISNUMBER(E74),ISNUMBER(F74))),$J$2=""),"",MIN(100,ROUND(SUM($G74:I74),1)))</f>
        <v/>
      </c>
      <c r="BG74" s="1" t="str">
        <f aca="false">IF(OR(NOT(AND(ISNUMBER(E74),ISNUMBER(F74))),$J$2=""),"",MIN(100,ROUND(SUM($G74:J74),1)))</f>
        <v/>
      </c>
      <c r="BH74" s="1" t="str">
        <f aca="false">IF(OR(NOT(AND(ISNUMBER(E74),ISNUMBER(F74))),$J$2=""),"",MIN(100,ROUND(SUM($G74:K74),1)))</f>
        <v/>
      </c>
      <c r="BI74" s="1" t="str">
        <f aca="false">IF(OR(NOT(AND(ISNUMBER(E74),ISNUMBER(F74))),$J$2=""),"",MIN(100,ROUND(SUM($G74:L74),1)))</f>
        <v/>
      </c>
      <c r="BJ74" s="1" t="str">
        <f aca="false">IF(OR(NOT(AND(ISNUMBER(E74),ISNUMBER(F74))),$J$2=""),"",MIN(100,ROUND(SUM($G74:M74),1)))</f>
        <v/>
      </c>
      <c r="BK74" s="1" t="str">
        <f aca="false">IF(OR(NOT(AND(ISNUMBER(E74),ISNUMBER(F74))),$J$2=""),"",MIN(100,ROUND(SUM($G74:N74),1)))</f>
        <v/>
      </c>
      <c r="BL74" s="1" t="str">
        <f aca="false">IF(OR(NOT(AND(ISNUMBER(E74),ISNUMBER(F74))),$J$2=""),"",MIN(100,ROUND(SUM($G74:O74),1)))</f>
        <v/>
      </c>
      <c r="BM74" s="1" t="str">
        <f aca="false">IF(OR(NOT(AND(ISNUMBER(E74),ISNUMBER(F74))),$J$2=""),"",MIN(100,ROUND(SUM($G74:P74),1)))</f>
        <v/>
      </c>
      <c r="BN74" s="1" t="str">
        <f aca="false">IF(OR(NOT(AND(ISNUMBER(E74),ISNUMBER(F74))),$J$2=""),"",MIN(100,ROUND(SUM($G74:P74),1)))</f>
        <v/>
      </c>
      <c r="BO74" s="1" t="str">
        <f aca="false">IF(OR(NOT(AND(ISNUMBER(E74),ISNUMBER(F74))),$J$2=""),"",MIN(100,ROUND(SUM($G74:P74),1)))</f>
        <v/>
      </c>
      <c r="BP74" s="1" t="str">
        <f aca="false">IF(OR(NOT(AND(ISNUMBER(E74),ISNUMBER(F74))),$J$2=""),"",MIN(100,ROUND(SUM($G74:P74),1)))</f>
        <v/>
      </c>
      <c r="BQ74" s="1" t="str">
        <f aca="false">IF(OR(NOT(AND(ISNUMBER(E74),ISNUMBER(F74))),$J$2=""),"",MIN(100,ROUND(SUM($G74:P74),1)))</f>
        <v/>
      </c>
      <c r="BR74" s="1" t="str">
        <f aca="false">IF(OR(NOT(AND(ISNUMBER(E74),ISNUMBER(F74))),$J$2=""),"",MIN(100,ROUND(SUM($G74:P74),1)))</f>
        <v/>
      </c>
      <c r="BS74" s="1" t="str">
        <f aca="false">IF(OR(NOT(AND(ISNUMBER(E74),ISNUMBER(F74))),$J$2=""),"",MIN(100,ROUND(SUM($G74:P74),1)))</f>
        <v/>
      </c>
      <c r="BT74" s="1" t="str">
        <f aca="false">IF(OR(NOT(AND(ISNUMBER(E74),ISNUMBER(F74))),$J$2=""),"",IF(Reprogramaciones!K$13&lt;Reprogramaciones!$T$15,0,IF(Reprogramaciones!K$14&gt;10,MIN(100,SUM($G74:$P74)),MIN(100,SUMPRODUCT((COLUMN($G74:$P74)-COLUMN($G74)+1&lt;Reprogramaciones!K$14)*$G74:$P74)+N(INDEX($G74:$P74,1,Reprogramaciones!K$14))*IF(Reprogramaciones!K$13&gt;=(Reprogramaciones!$T$15+7*(Reprogramaciones!K$14-1))+6,1,IF(MAX(0,NETWORKDAYS.INTL(MAX(E74,(Reprogramaciones!$T$15+7*(Reprogramaciones!K$14-1))),MIN(F74,(Reprogramaciones!$T$15+7*(Reprogramaciones!K$14-1))+6),11))=0,0,MAX(0,NETWORKDAYS.INTL(MAX(E74,(Reprogramaciones!$T$15+7*(Reprogramaciones!K$14-1))),MIN(F74,Reprogramaciones!K$13),11))/MAX(0,NETWORKDAYS.INTL(MAX(E74,(Reprogramaciones!$T$15+7*(Reprogramaciones!K$14-1))),MIN(F74,(Reprogramaciones!$T$15+7*(Reprogramaciones!K$14-1))+6),11))))))))</f>
        <v/>
      </c>
      <c r="BU74" s="1" t="str">
        <f aca="false">IF(OR(NOT(AND(ISNUMBER(E74),ISNUMBER(F74))),$J$2=""),"",IF(Reprogramaciones!L$13&lt;Reprogramaciones!$T$15,0,IF(Reprogramaciones!L$14&gt;10,MIN(100,SUM($G74:$P74)),MIN(100,SUMPRODUCT((COLUMN($G74:$P74)-COLUMN($G74)+1&lt;Reprogramaciones!L$14)*$G74:$P74)+N(INDEX($G74:$P74,1,Reprogramaciones!L$14))*IF(Reprogramaciones!L$13&gt;=(Reprogramaciones!$T$15+7*(Reprogramaciones!L$14-1))+6,1,IF(MAX(0,NETWORKDAYS.INTL(MAX(E74,(Reprogramaciones!$T$15+7*(Reprogramaciones!L$14-1))),MIN(F74,(Reprogramaciones!$T$15+7*(Reprogramaciones!L$14-1))+6),11))=0,0,MAX(0,NETWORKDAYS.INTL(MAX(E74,(Reprogramaciones!$T$15+7*(Reprogramaciones!L$14-1))),MIN(F74,Reprogramaciones!L$13),11))/MAX(0,NETWORKDAYS.INTL(MAX(E74,(Reprogramaciones!$T$15+7*(Reprogramaciones!L$14-1))),MIN(F74,(Reprogramaciones!$T$15+7*(Reprogramaciones!L$14-1))+6),11))))))))</f>
        <v/>
      </c>
      <c r="BV74" s="1" t="str">
        <f aca="false">IF(OR(NOT(AND(ISNUMBER(E74),ISNUMBER(F74))),$J$2=""),"",IF(Reprogramaciones!M$13&lt;Reprogramaciones!$T$15,0,IF(Reprogramaciones!M$14&gt;10,MIN(100,SUM($G74:$P74)),MIN(100,SUMPRODUCT((COLUMN($G74:$P74)-COLUMN($G74)+1&lt;Reprogramaciones!M$14)*$G74:$P74)+N(INDEX($G74:$P74,1,Reprogramaciones!M$14))*IF(Reprogramaciones!M$13&gt;=(Reprogramaciones!$T$15+7*(Reprogramaciones!M$14-1))+6,1,IF(MAX(0,NETWORKDAYS.INTL(MAX(E74,(Reprogramaciones!$T$15+7*(Reprogramaciones!M$14-1))),MIN(F74,(Reprogramaciones!$T$15+7*(Reprogramaciones!M$14-1))+6),11))=0,0,MAX(0,NETWORKDAYS.INTL(MAX(E74,(Reprogramaciones!$T$15+7*(Reprogramaciones!M$14-1))),MIN(F74,Reprogramaciones!M$13),11))/MAX(0,NETWORKDAYS.INTL(MAX(E74,(Reprogramaciones!$T$15+7*(Reprogramaciones!M$14-1))),MIN(F74,(Reprogramaciones!$T$15+7*(Reprogramaciones!M$14-1))+6),11))))))))</f>
        <v/>
      </c>
      <c r="BW74" s="1" t="str">
        <f aca="false">IF(OR(NOT(AND(ISNUMBER(E74),ISNUMBER(F74))),$J$2=""),"",IF(Reprogramaciones!N$13&lt;Reprogramaciones!$T$15,0,IF(Reprogramaciones!N$14&gt;10,MIN(100,SUM($G74:$P74)),MIN(100,SUMPRODUCT((COLUMN($G74:$P74)-COLUMN($G74)+1&lt;Reprogramaciones!N$14)*$G74:$P74)+N(INDEX($G74:$P74,1,Reprogramaciones!N$14))*IF(Reprogramaciones!N$13&gt;=(Reprogramaciones!$T$15+7*(Reprogramaciones!N$14-1))+6,1,IF(MAX(0,NETWORKDAYS.INTL(MAX(E74,(Reprogramaciones!$T$15+7*(Reprogramaciones!N$14-1))),MIN(F74,(Reprogramaciones!$T$15+7*(Reprogramaciones!N$14-1))+6),11))=0,0,MAX(0,NETWORKDAYS.INTL(MAX(E74,(Reprogramaciones!$T$15+7*(Reprogramaciones!N$14-1))),MIN(F74,Reprogramaciones!N$13),11))/MAX(0,NETWORKDAYS.INTL(MAX(E74,(Reprogramaciones!$T$15+7*(Reprogramaciones!N$14-1))),MIN(F74,(Reprogramaciones!$T$15+7*(Reprogramaciones!N$14-1))+6),11))))))))</f>
        <v/>
      </c>
      <c r="BX74" s="1" t="str">
        <f aca="false">IF(OR(NOT(AND(ISNUMBER(E74),ISNUMBER(F74))),$J$2=""),"",IF(Reprogramaciones!O$13&lt;Reprogramaciones!$T$15,0,IF(Reprogramaciones!O$14&gt;10,MIN(100,SUM($G74:$P74)),MIN(100,SUMPRODUCT((COLUMN($G74:$P74)-COLUMN($G74)+1&lt;Reprogramaciones!O$14)*$G74:$P74)+N(INDEX($G74:$P74,1,Reprogramaciones!O$14))*IF(Reprogramaciones!O$13&gt;=(Reprogramaciones!$T$15+7*(Reprogramaciones!O$14-1))+6,1,IF(MAX(0,NETWORKDAYS.INTL(MAX(E74,(Reprogramaciones!$T$15+7*(Reprogramaciones!O$14-1))),MIN(F74,(Reprogramaciones!$T$15+7*(Reprogramaciones!O$14-1))+6),11))=0,0,MAX(0,NETWORKDAYS.INTL(MAX(E74,(Reprogramaciones!$T$15+7*(Reprogramaciones!O$14-1))),MIN(F74,Reprogramaciones!O$13),11))/MAX(0,NETWORKDAYS.INTL(MAX(E74,(Reprogramaciones!$T$15+7*(Reprogramaciones!O$14-1))),MIN(F74,(Reprogramaciones!$T$15+7*(Reprogramaciones!O$14-1))+6),11))))))))</f>
        <v/>
      </c>
      <c r="BY74" s="1" t="str">
        <f aca="false">IF(OR(NOT(AND(ISNUMBER(E74),ISNUMBER(F74))),$J$2=""),"",IF(Reprogramaciones!P$13&lt;Reprogramaciones!$T$15,0,IF(Reprogramaciones!P$14&gt;10,MIN(100,SUM($G74:$P74)),MIN(100,SUMPRODUCT((COLUMN($G74:$P74)-COLUMN($G74)+1&lt;Reprogramaciones!P$14)*$G74:$P74)+N(INDEX($G74:$P74,1,Reprogramaciones!P$14))*IF(Reprogramaciones!P$13&gt;=(Reprogramaciones!$T$15+7*(Reprogramaciones!P$14-1))+6,1,IF(MAX(0,NETWORKDAYS.INTL(MAX(E74,(Reprogramaciones!$T$15+7*(Reprogramaciones!P$14-1))),MIN(F74,(Reprogramaciones!$T$15+7*(Reprogramaciones!P$14-1))+6),11))=0,0,MAX(0,NETWORKDAYS.INTL(MAX(E74,(Reprogramaciones!$T$15+7*(Reprogramaciones!P$14-1))),MIN(F74,Reprogramaciones!P$13),11))/MAX(0,NETWORKDAYS.INTL(MAX(E74,(Reprogramaciones!$T$15+7*(Reprogramaciones!P$14-1))),MIN(F74,(Reprogramaciones!$T$15+7*(Reprogramaciones!P$14-1))+6),11))))))))</f>
        <v/>
      </c>
      <c r="BZ74" s="1" t="str">
        <f aca="false">IF(OR(NOT(AND(ISNUMBER(E74),ISNUMBER(F74))),$J$2=""),"",IF(Reprogramaciones!Q$13&lt;Reprogramaciones!$T$15,0,IF(Reprogramaciones!Q$14&gt;10,MIN(100,SUM($G74:$P74)),MIN(100,SUMPRODUCT((COLUMN($G74:$P74)-COLUMN($G74)+1&lt;Reprogramaciones!Q$14)*$G74:$P74)+N(INDEX($G74:$P74,1,Reprogramaciones!Q$14))*IF(Reprogramaciones!Q$13&gt;=(Reprogramaciones!$T$15+7*(Reprogramaciones!Q$14-1))+6,1,IF(MAX(0,NETWORKDAYS.INTL(MAX(E74,(Reprogramaciones!$T$15+7*(Reprogramaciones!Q$14-1))),MIN(F74,(Reprogramaciones!$T$15+7*(Reprogramaciones!Q$14-1))+6),11))=0,0,MAX(0,NETWORKDAYS.INTL(MAX(E74,(Reprogramaciones!$T$15+7*(Reprogramaciones!Q$14-1))),MIN(F74,Reprogramaciones!Q$13),11))/MAX(0,NETWORKDAYS.INTL(MAX(E74,(Reprogramaciones!$T$15+7*(Reprogramaciones!Q$14-1))),MIN(F74,(Reprogramaciones!$T$15+7*(Reprogramaciones!Q$14-1))+6),11))))))))</f>
        <v/>
      </c>
      <c r="CA74" s="1" t="str">
        <f aca="false">IF(OR(NOT(AND(ISNUMBER(E74),ISNUMBER(F74))),$J$2=""),"",IF(Reprogramaciones!R$13&lt;Reprogramaciones!$T$15,0,IF(Reprogramaciones!R$14&gt;10,MIN(100,SUM($G74:$P74)),MIN(100,SUMPRODUCT((COLUMN($G74:$P74)-COLUMN($G74)+1&lt;Reprogramaciones!R$14)*$G74:$P74)+N(INDEX($G74:$P74,1,Reprogramaciones!R$14))*IF(Reprogramaciones!R$13&gt;=(Reprogramaciones!$T$15+7*(Reprogramaciones!R$14-1))+6,1,IF(MAX(0,NETWORKDAYS.INTL(MAX(E74,(Reprogramaciones!$T$15+7*(Reprogramaciones!R$14-1))),MIN(F74,(Reprogramaciones!$T$15+7*(Reprogramaciones!R$14-1))+6),11))=0,0,MAX(0,NETWORKDAYS.INTL(MAX(E74,(Reprogramaciones!$T$15+7*(Reprogramaciones!R$14-1))),MIN(F74,Reprogramaciones!R$13),11))/MAX(0,NETWORKDAYS.INTL(MAX(E74,(Reprogramaciones!$T$15+7*(Reprogramaciones!R$14-1))),MIN(F74,(Reprogramaciones!$T$15+7*(Reprogramaciones!R$14-1))+6),11))))))))</f>
        <v/>
      </c>
      <c r="CB74" s="1" t="str">
        <f aca="false">IF(OR(NOT(AND(ISNUMBER(E74),ISNUMBER(F74))),$J$2=""),"",IF(Reprogramaciones!S$13&lt;Reprogramaciones!$T$15,0,IF(Reprogramaciones!S$14&gt;10,MIN(100,SUM($G74:$P74)),MIN(100,SUMPRODUCT((COLUMN($G74:$P74)-COLUMN($G74)+1&lt;Reprogramaciones!S$14)*$G74:$P74)+N(INDEX($G74:$P74,1,Reprogramaciones!S$14))*IF(Reprogramaciones!S$13&gt;=(Reprogramaciones!$T$15+7*(Reprogramaciones!S$14-1))+6,1,IF(MAX(0,NETWORKDAYS.INTL(MAX(E74,(Reprogramaciones!$T$15+7*(Reprogramaciones!S$14-1))),MIN(F74,(Reprogramaciones!$T$15+7*(Reprogramaciones!S$14-1))+6),11))=0,0,MAX(0,NETWORKDAYS.INTL(MAX(E74,(Reprogramaciones!$T$15+7*(Reprogramaciones!S$14-1))),MIN(F74,Reprogramaciones!S$13),11))/MAX(0,NETWORKDAYS.INTL(MAX(E74,(Reprogramaciones!$T$15+7*(Reprogramaciones!S$14-1))),MIN(F74,(Reprogramaciones!$T$15+7*(Reprogramaciones!S$14-1))+6),11))))))))</f>
        <v/>
      </c>
      <c r="CC74" s="1" t="str">
        <f aca="false">IF(OR(NOT(AND(ISNUMBER(E74),ISNUMBER(F74))),$J$2=""),"",IF(Reprogramaciones!T$13&lt;Reprogramaciones!$T$15,0,IF(Reprogramaciones!T$14&gt;10,MIN(100,SUM($G74:$P74)),MIN(100,SUMPRODUCT((COLUMN($G74:$P74)-COLUMN($G74)+1&lt;Reprogramaciones!T$14)*$G74:$P74)+N(INDEX($G74:$P74,1,Reprogramaciones!T$14))*IF(Reprogramaciones!T$13&gt;=(Reprogramaciones!$T$15+7*(Reprogramaciones!T$14-1))+6,1,IF(MAX(0,NETWORKDAYS.INTL(MAX(E74,(Reprogramaciones!$T$15+7*(Reprogramaciones!T$14-1))),MIN(F74,(Reprogramaciones!$T$15+7*(Reprogramaciones!T$14-1))+6),11))=0,0,MAX(0,NETWORKDAYS.INTL(MAX(E74,(Reprogramaciones!$T$15+7*(Reprogramaciones!T$14-1))),MIN(F74,Reprogramaciones!T$13),11))/MAX(0,NETWORKDAYS.INTL(MAX(E74,(Reprogramaciones!$T$15+7*(Reprogramaciones!T$14-1))),MIN(F74,(Reprogramaciones!$T$15+7*(Reprogramaciones!T$14-1))+6),11))))))))</f>
        <v/>
      </c>
      <c r="CD74" s="1" t="str">
        <f aca="false">IF(OR(NOT(AND(ISNUMBER(E74),ISNUMBER(F74))),$J$2=""),"",IF(Reprogramaciones!U$13&lt;Reprogramaciones!$T$15,0,IF(Reprogramaciones!U$14&gt;10,MIN(100,SUM($G74:$P74)),MIN(100,SUMPRODUCT((COLUMN($G74:$P74)-COLUMN($G74)+1&lt;Reprogramaciones!U$14)*$G74:$P74)+N(INDEX($G74:$P74,1,Reprogramaciones!U$14))*IF(Reprogramaciones!U$13&gt;=(Reprogramaciones!$T$15+7*(Reprogramaciones!U$14-1))+6,1,IF(MAX(0,NETWORKDAYS.INTL(MAX(E74,(Reprogramaciones!$T$15+7*(Reprogramaciones!U$14-1))),MIN(F74,(Reprogramaciones!$T$15+7*(Reprogramaciones!U$14-1))+6),11))=0,0,MAX(0,NETWORKDAYS.INTL(MAX(E74,(Reprogramaciones!$T$15+7*(Reprogramaciones!U$14-1))),MIN(F74,Reprogramaciones!U$13),11))/MAX(0,NETWORKDAYS.INTL(MAX(E74,(Reprogramaciones!$T$15+7*(Reprogramaciones!U$14-1))),MIN(F74,(Reprogramaciones!$T$15+7*(Reprogramaciones!U$14-1))+6),11))))))))</f>
        <v/>
      </c>
      <c r="CE74" s="1" t="str">
        <f aca="false">IF(OR(NOT(AND(ISNUMBER(E74),ISNUMBER(F74))),$J$2=""),"",IF(Reprogramaciones!V$13&lt;Reprogramaciones!$T$15,0,IF(Reprogramaciones!V$14&gt;10,MIN(100,SUM($G74:$P74)),MIN(100,SUMPRODUCT((COLUMN($G74:$P74)-COLUMN($G74)+1&lt;Reprogramaciones!V$14)*$G74:$P74)+N(INDEX($G74:$P74,1,Reprogramaciones!V$14))*IF(Reprogramaciones!V$13&gt;=(Reprogramaciones!$T$15+7*(Reprogramaciones!V$14-1))+6,1,IF(MAX(0,NETWORKDAYS.INTL(MAX(E74,(Reprogramaciones!$T$15+7*(Reprogramaciones!V$14-1))),MIN(F74,(Reprogramaciones!$T$15+7*(Reprogramaciones!V$14-1))+6),11))=0,0,MAX(0,NETWORKDAYS.INTL(MAX(E74,(Reprogramaciones!$T$15+7*(Reprogramaciones!V$14-1))),MIN(F74,Reprogramaciones!V$13),11))/MAX(0,NETWORKDAYS.INTL(MAX(E74,(Reprogramaciones!$T$15+7*(Reprogramaciones!V$14-1))),MIN(F74,(Reprogramaciones!$T$15+7*(Reprogramaciones!V$14-1))+6),11))))))))</f>
        <v/>
      </c>
      <c r="CF74" s="1" t="str">
        <f aca="false">IF(OR(NOT(AND(ISNUMBER(E74),ISNUMBER(F74))),$J$2=""),"",IF(Reprogramaciones!W$13&lt;Reprogramaciones!$T$15,0,IF(Reprogramaciones!W$14&gt;10,MIN(100,SUM($G74:$P74)),MIN(100,SUMPRODUCT((COLUMN($G74:$P74)-COLUMN($G74)+1&lt;Reprogramaciones!W$14)*$G74:$P74)+N(INDEX($G74:$P74,1,Reprogramaciones!W$14))*IF(Reprogramaciones!W$13&gt;=(Reprogramaciones!$T$15+7*(Reprogramaciones!W$14-1))+6,1,IF(MAX(0,NETWORKDAYS.INTL(MAX(E74,(Reprogramaciones!$T$15+7*(Reprogramaciones!W$14-1))),MIN(F74,(Reprogramaciones!$T$15+7*(Reprogramaciones!W$14-1))+6),11))=0,0,MAX(0,NETWORKDAYS.INTL(MAX(E74,(Reprogramaciones!$T$15+7*(Reprogramaciones!W$14-1))),MIN(F74,Reprogramaciones!W$13),11))/MAX(0,NETWORKDAYS.INTL(MAX(E74,(Reprogramaciones!$T$15+7*(Reprogramaciones!W$14-1))),MIN(F74,(Reprogramaciones!$T$15+7*(Reprogramaciones!W$14-1))+6),11))))))))</f>
        <v/>
      </c>
      <c r="CG74" s="1" t="str">
        <f aca="false">IF(OR(NOT(AND(ISNUMBER(E74),ISNUMBER(F74))),$J$2=""),"",IF(Reprogramaciones!X$13&lt;Reprogramaciones!$T$15,0,IF(Reprogramaciones!X$14&gt;10,MIN(100,SUM($G74:$P74)),MIN(100,SUMPRODUCT((COLUMN($G74:$P74)-COLUMN($G74)+1&lt;Reprogramaciones!X$14)*$G74:$P74)+N(INDEX($G74:$P74,1,Reprogramaciones!X$14))*IF(Reprogramaciones!X$13&gt;=(Reprogramaciones!$T$15+7*(Reprogramaciones!X$14-1))+6,1,IF(MAX(0,NETWORKDAYS.INTL(MAX(E74,(Reprogramaciones!$T$15+7*(Reprogramaciones!X$14-1))),MIN(F74,(Reprogramaciones!$T$15+7*(Reprogramaciones!X$14-1))+6),11))=0,0,MAX(0,NETWORKDAYS.INTL(MAX(E74,(Reprogramaciones!$T$15+7*(Reprogramaciones!X$14-1))),MIN(F74,Reprogramaciones!X$13),11))/MAX(0,NETWORKDAYS.INTL(MAX(E74,(Reprogramaciones!$T$15+7*(Reprogramaciones!X$14-1))),MIN(F74,(Reprogramaciones!$T$15+7*(Reprogramaciones!X$14-1))+6),11))))))))</f>
        <v/>
      </c>
      <c r="CH74" s="1" t="str">
        <f aca="false">IF(OR(NOT(AND(ISNUMBER(E74),ISNUMBER(F74))),$J$2=""),"",IF(Reprogramaciones!Y$13&lt;Reprogramaciones!$T$15,0,IF(Reprogramaciones!Y$14&gt;10,MIN(100,SUM($G74:$P74)),MIN(100,SUMPRODUCT((COLUMN($G74:$P74)-COLUMN($G74)+1&lt;Reprogramaciones!Y$14)*$G74:$P74)+N(INDEX($G74:$P74,1,Reprogramaciones!Y$14))*IF(Reprogramaciones!Y$13&gt;=(Reprogramaciones!$T$15+7*(Reprogramaciones!Y$14-1))+6,1,IF(MAX(0,NETWORKDAYS.INTL(MAX(E74,(Reprogramaciones!$T$15+7*(Reprogramaciones!Y$14-1))),MIN(F74,(Reprogramaciones!$T$15+7*(Reprogramaciones!Y$14-1))+6),11))=0,0,MAX(0,NETWORKDAYS.INTL(MAX(E74,(Reprogramaciones!$T$15+7*(Reprogramaciones!Y$14-1))),MIN(F74,Reprogramaciones!Y$13),11))/MAX(0,NETWORKDAYS.INTL(MAX(E74,(Reprogramaciones!$T$15+7*(Reprogramaciones!Y$14-1))),MIN(F74,(Reprogramaciones!$T$15+7*(Reprogramaciones!Y$14-1))+6),11))))))))</f>
        <v/>
      </c>
      <c r="CI74" s="1" t="str">
        <f aca="false">IF(OR(NOT(AND(ISNUMBER(E74),ISNUMBER(F74))),$J$2=""),"",IF(Reprogramaciones!Z$13&lt;Reprogramaciones!$T$15,0,IF(Reprogramaciones!Z$14&gt;10,MIN(100,SUM($G74:$P74)),MIN(100,SUMPRODUCT((COLUMN($G74:$P74)-COLUMN($G74)+1&lt;Reprogramaciones!Z$14)*$G74:$P74)+N(INDEX($G74:$P74,1,Reprogramaciones!Z$14))*IF(Reprogramaciones!Z$13&gt;=(Reprogramaciones!$T$15+7*(Reprogramaciones!Z$14-1))+6,1,IF(MAX(0,NETWORKDAYS.INTL(MAX(E74,(Reprogramaciones!$T$15+7*(Reprogramaciones!Z$14-1))),MIN(F74,(Reprogramaciones!$T$15+7*(Reprogramaciones!Z$14-1))+6),11))=0,0,MAX(0,NETWORKDAYS.INTL(MAX(E74,(Reprogramaciones!$T$15+7*(Reprogramaciones!Z$14-1))),MIN(F74,Reprogramaciones!Z$13),11))/MAX(0,NETWORKDAYS.INTL(MAX(E74,(Reprogramaciones!$T$15+7*(Reprogramaciones!Z$14-1))),MIN(F74,(Reprogramaciones!$T$15+7*(Reprogramaciones!Z$14-1))+6),11))))))))</f>
        <v/>
      </c>
      <c r="CJ74" s="1" t="str">
        <f aca="false">IF(OR(OR(NOT(AND(ISNUMBER(E74),ISNUMBER(F74))),$J$2=""),1&gt;Reprogramaciones!$K$16),"",IF(ROUND(SUM($Q74:Q74),1)&gt;=99.5,100,MIN(100,ROUND(SUM($Q74:Q74),1))))</f>
        <v/>
      </c>
      <c r="CK74" s="1" t="str">
        <f aca="false">IF(OR(OR(NOT(AND(ISNUMBER(E74),ISNUMBER(F74))),$J$2=""),2&gt;Reprogramaciones!$K$16),"",IF(ROUND(SUM($Q74:R74),1)&gt;=99.5,100,MIN(100,ROUND(SUM($Q74:R74),1))))</f>
        <v/>
      </c>
      <c r="CL74" s="1" t="str">
        <f aca="false">IF(OR(OR(NOT(AND(ISNUMBER(E74),ISNUMBER(F74))),$J$2=""),3&gt;Reprogramaciones!$K$16),"",IF(ROUND(SUM($Q74:S74),1)&gt;=99.5,100,MIN(100,ROUND(SUM($Q74:S74),1))))</f>
        <v/>
      </c>
      <c r="CM74" s="1" t="str">
        <f aca="false">IF(OR(OR(NOT(AND(ISNUMBER(E74),ISNUMBER(F74))),$J$2=""),4&gt;Reprogramaciones!$K$16),"",IF(ROUND(SUM($Q74:T74),1)&gt;=99.5,100,MIN(100,ROUND(SUM($Q74:T74),1))))</f>
        <v/>
      </c>
      <c r="CN74" s="1" t="str">
        <f aca="false">IF(OR(OR(NOT(AND(ISNUMBER(E74),ISNUMBER(F74))),$J$2=""),5&gt;Reprogramaciones!$K$16),"",IF(ROUND(SUM($Q74:U74),1)&gt;=99.5,100,MIN(100,ROUND(SUM($Q74:U74),1))))</f>
        <v/>
      </c>
      <c r="CO74" s="1" t="str">
        <f aca="false">IF(OR(OR(NOT(AND(ISNUMBER(E74),ISNUMBER(F74))),$J$2=""),6&gt;Reprogramaciones!$K$16),"",IF(ROUND(SUM($Q74:V74),1)&gt;=99.5,100,MIN(100,ROUND(SUM($Q74:V74),1))))</f>
        <v/>
      </c>
      <c r="CP74" s="1" t="str">
        <f aca="false">IF(OR(OR(NOT(AND(ISNUMBER(E74),ISNUMBER(F74))),$J$2=""),7&gt;Reprogramaciones!$K$16),"",IF(ROUND(SUM($Q74:W74),1)&gt;=99.5,100,MIN(100,ROUND(SUM($Q74:W74),1))))</f>
        <v/>
      </c>
      <c r="CQ74" s="1" t="str">
        <f aca="false">IF(OR(OR(NOT(AND(ISNUMBER(E74),ISNUMBER(F74))),$J$2=""),8&gt;Reprogramaciones!$K$16),"",IF(ROUND(SUM($Q74:X74),1)&gt;=99.5,100,MIN(100,ROUND(SUM($Q74:X74),1))))</f>
        <v/>
      </c>
      <c r="CR74" s="1" t="str">
        <f aca="false">IF(OR(OR(NOT(AND(ISNUMBER(E74),ISNUMBER(F74))),$J$2=""),9&gt;Reprogramaciones!$K$16),"",IF(ROUND(SUM($Q74:Y74),1)&gt;=99.5,100,MIN(100,ROUND(SUM($Q74:Y74),1))))</f>
        <v/>
      </c>
      <c r="CS74" s="1" t="str">
        <f aca="false">IF(OR(OR(NOT(AND(ISNUMBER(E74),ISNUMBER(F74))),$J$2=""),10&gt;Reprogramaciones!$K$16),"",IF(ROUND(SUM($Q74:Z74),1)&gt;=99.5,100,MIN(100,ROUND(SUM($Q74:Z74),1))))</f>
        <v/>
      </c>
      <c r="CT74" s="1" t="str">
        <f aca="false">IF(OR(OR(NOT(AND(ISNUMBER(E74),ISNUMBER(F74))),$J$2=""),11&gt;Reprogramaciones!$K$16),"",IF(ROUND(SUM($Q74:AA74),1)&gt;=99.5,100,MIN(100,ROUND(SUM($Q74:AA74),1))))</f>
        <v/>
      </c>
      <c r="CU74" s="1" t="str">
        <f aca="false">IF(OR(OR(NOT(AND(ISNUMBER(E74),ISNUMBER(F74))),$J$2=""),12&gt;Reprogramaciones!$K$16),"",IF(ROUND(SUM($Q74:AB74),1)&gt;=99.5,100,MIN(100,ROUND(SUM($Q74:AB74),1))))</f>
        <v/>
      </c>
      <c r="CV74" s="1" t="str">
        <f aca="false">IF(OR(OR(NOT(AND(ISNUMBER(E74),ISNUMBER(F74))),$J$2=""),13&gt;Reprogramaciones!$K$16),"",IF(ROUND(SUM($Q74:AC74),1)&gt;=99.5,100,MIN(100,ROUND(SUM($Q74:AC74),1))))</f>
        <v/>
      </c>
      <c r="CW74" s="1" t="str">
        <f aca="false">IF(OR(OR(NOT(AND(ISNUMBER(E74),ISNUMBER(F74))),$J$2=""),14&gt;Reprogramaciones!$K$16),"",IF(ROUND(SUM($Q74:AD74),1)&gt;=99.5,100,MIN(100,ROUND(SUM($Q74:AD74),1))))</f>
        <v/>
      </c>
      <c r="CX74" s="1" t="str">
        <f aca="false">IF(OR(OR(NOT(AND(ISNUMBER(E74),ISNUMBER(F74))),$J$2=""),15&gt;Reprogramaciones!$K$16),"",IF(ROUND(SUM($Q74:AE74),1)&gt;=99.5,100,MIN(100,ROUND(SUM($Q74:AE74),1))))</f>
        <v/>
      </c>
      <c r="CY74" s="1" t="str">
        <f aca="false">IF(OR(OR(NOT(AND(ISNUMBER(E74),ISNUMBER(F74))),$J$2=""),16&gt;Reprogramaciones!$K$16),"",IF(ROUND(SUM($Q74:AF74),1)&gt;=99.5,100,MIN(100,ROUND(SUM($Q74:AF74),1))))</f>
        <v/>
      </c>
      <c r="CZ74" s="1" t="str">
        <f aca="false">IF(D74&lt;&gt;"",D74,IF(B74&lt;&gt;"","Contractual",CZ73))</f>
        <v>Contractual</v>
      </c>
      <c r="DA74" s="1" t="str">
        <f aca="false">IF(OR(NOT(AND(ISNUMBER(E74),ISNUMBER(F74))),$J$2=""),"",IF(Reprogramaciones!$Q$15&lt;Reprogramaciones!$T$15,0,IF(Reprogramaciones!$S$15&gt;10,MIN(100,SUM($G74:$P74)),MIN(100,SUMPRODUCT((COLUMN($G74:$P74)-COLUMN($G74)+1&lt;Reprogramaciones!$S$15)*$G74:$P74)+N(INDEX($G74:$P74,1,Reprogramaciones!$S$15))*IF(Reprogramaciones!$Q$15&gt;=(Reprogramaciones!$T$15+7*(Reprogramaciones!$S$15-1))+6,1,IF(MAX(0,NETWORKDAYS.INTL(MAX(E74,(Reprogramaciones!$T$15+7*(Reprogramaciones!$S$15-1))),MIN(F74,(Reprogramaciones!$T$15+7*(Reprogramaciones!$S$15-1))+6),11))=0,0,MAX(0,NETWORKDAYS.INTL(MAX(E74,(Reprogramaciones!$T$15+7*(Reprogramaciones!$S$15-1))),MIN(F74,Reprogramaciones!$Q$15),11))/MAX(0,NETWORKDAYS.INTL(MAX(E74,(Reprogramaciones!$T$15+7*(Reprogramaciones!$S$15-1))),MIN(F74,(Reprogramaciones!$T$15+7*(Reprogramaciones!$S$15-1))+6),11))))))))</f>
        <v/>
      </c>
    </row>
    <row r="75" customFormat="false" ht="15" hidden="false" customHeight="false" outlineLevel="0" collapsed="false">
      <c r="A75" s="32"/>
      <c r="B75" s="33"/>
      <c r="C75" s="33"/>
      <c r="D75" s="34"/>
      <c r="E75" s="35"/>
      <c r="F75" s="35"/>
      <c r="G75" s="36" t="str">
        <f aca="false">IF(OR(NOT(AND(ISNUMBER(E75),ISNUMBER(F75))),$J$2=""),"",IF(Reprogramaciones!K$9&lt;E75,0,IF(NETWORKDAYS.INTL(E75,F75,11)=0,IF(Reprogramaciones!K$9&gt;=F75,100,0),ROUND(NETWORKDAYS.INTL(E75,MIN(F75,Reprogramaciones!K$9),11)/NETWORKDAYS.INTL(E75,F75,11)*100,1)))-0)</f>
        <v/>
      </c>
      <c r="H75" s="36" t="str">
        <f aca="false">IF(OR(NOT(AND(ISNUMBER(E75),ISNUMBER(F75))),$J$2=""),"",IF(Reprogramaciones!L$9&lt;E75,0,IF(NETWORKDAYS.INTL(E75,F75,11)=0,IF(Reprogramaciones!L$9&gt;=F75,100,0),ROUND(NETWORKDAYS.INTL(E75,MIN(F75,Reprogramaciones!L$9),11)/NETWORKDAYS.INTL(E75,F75,11)*100,1)))-IF(Reprogramaciones!K$9&lt;E75,0,IF(NETWORKDAYS.INTL(E75,F75,11)=0,IF(Reprogramaciones!K$9&gt;=F75,100,0),ROUND(NETWORKDAYS.INTL(E75,MIN(F75,Reprogramaciones!K$9),11)/NETWORKDAYS.INTL(E75,F75,11)*100,1))))</f>
        <v/>
      </c>
      <c r="I75" s="36" t="str">
        <f aca="false">IF(OR(NOT(AND(ISNUMBER(E75),ISNUMBER(F75))),$J$2=""),"",IF(Reprogramaciones!M$9&lt;E75,0,IF(NETWORKDAYS.INTL(E75,F75,11)=0,IF(Reprogramaciones!M$9&gt;=F75,100,0),ROUND(NETWORKDAYS.INTL(E75,MIN(F75,Reprogramaciones!M$9),11)/NETWORKDAYS.INTL(E75,F75,11)*100,1)))-IF(Reprogramaciones!L$9&lt;E75,0,IF(NETWORKDAYS.INTL(E75,F75,11)=0,IF(Reprogramaciones!L$9&gt;=F75,100,0),ROUND(NETWORKDAYS.INTL(E75,MIN(F75,Reprogramaciones!L$9),11)/NETWORKDAYS.INTL(E75,F75,11)*100,1))))</f>
        <v/>
      </c>
      <c r="J75" s="36" t="str">
        <f aca="false">IF(OR(NOT(AND(ISNUMBER(E75),ISNUMBER(F75))),$J$2=""),"",IF(Reprogramaciones!N$9&lt;E75,0,IF(NETWORKDAYS.INTL(E75,F75,11)=0,IF(Reprogramaciones!N$9&gt;=F75,100,0),ROUND(NETWORKDAYS.INTL(E75,MIN(F75,Reprogramaciones!N$9),11)/NETWORKDAYS.INTL(E75,F75,11)*100,1)))-IF(Reprogramaciones!M$9&lt;E75,0,IF(NETWORKDAYS.INTL(E75,F75,11)=0,IF(Reprogramaciones!M$9&gt;=F75,100,0),ROUND(NETWORKDAYS.INTL(E75,MIN(F75,Reprogramaciones!M$9),11)/NETWORKDAYS.INTL(E75,F75,11)*100,1))))</f>
        <v/>
      </c>
      <c r="K75" s="36" t="str">
        <f aca="false">IF(OR(NOT(AND(ISNUMBER(E75),ISNUMBER(F75))),$J$2=""),"",IF(Reprogramaciones!O$9&lt;E75,0,IF(NETWORKDAYS.INTL(E75,F75,11)=0,IF(Reprogramaciones!O$9&gt;=F75,100,0),ROUND(NETWORKDAYS.INTL(E75,MIN(F75,Reprogramaciones!O$9),11)/NETWORKDAYS.INTL(E75,F75,11)*100,1)))-IF(Reprogramaciones!N$9&lt;E75,0,IF(NETWORKDAYS.INTL(E75,F75,11)=0,IF(Reprogramaciones!N$9&gt;=F75,100,0),ROUND(NETWORKDAYS.INTL(E75,MIN(F75,Reprogramaciones!N$9),11)/NETWORKDAYS.INTL(E75,F75,11)*100,1))))</f>
        <v/>
      </c>
      <c r="L75" s="36" t="str">
        <f aca="false">IF(OR(NOT(AND(ISNUMBER(E75),ISNUMBER(F75))),$J$2=""),"",IF(Reprogramaciones!P$9&lt;E75,0,IF(NETWORKDAYS.INTL(E75,F75,11)=0,IF(Reprogramaciones!P$9&gt;=F75,100,0),ROUND(NETWORKDAYS.INTL(E75,MIN(F75,Reprogramaciones!P$9),11)/NETWORKDAYS.INTL(E75,F75,11)*100,1)))-IF(Reprogramaciones!O$9&lt;E75,0,IF(NETWORKDAYS.INTL(E75,F75,11)=0,IF(Reprogramaciones!O$9&gt;=F75,100,0),ROUND(NETWORKDAYS.INTL(E75,MIN(F75,Reprogramaciones!O$9),11)/NETWORKDAYS.INTL(E75,F75,11)*100,1))))</f>
        <v/>
      </c>
      <c r="M75" s="36" t="str">
        <f aca="false">IF(OR(NOT(AND(ISNUMBER(E75),ISNUMBER(F75))),$J$2=""),"",IF(Reprogramaciones!Q$9&lt;E75,0,IF(NETWORKDAYS.INTL(E75,F75,11)=0,IF(Reprogramaciones!Q$9&gt;=F75,100,0),ROUND(NETWORKDAYS.INTL(E75,MIN(F75,Reprogramaciones!Q$9),11)/NETWORKDAYS.INTL(E75,F75,11)*100,1)))-IF(Reprogramaciones!P$9&lt;E75,0,IF(NETWORKDAYS.INTL(E75,F75,11)=0,IF(Reprogramaciones!P$9&gt;=F75,100,0),ROUND(NETWORKDAYS.INTL(E75,MIN(F75,Reprogramaciones!P$9),11)/NETWORKDAYS.INTL(E75,F75,11)*100,1))))</f>
        <v/>
      </c>
      <c r="N75" s="36" t="str">
        <f aca="false">IF(OR(NOT(AND(ISNUMBER(E75),ISNUMBER(F75))),$J$2=""),"",IF(Reprogramaciones!R$9&lt;E75,0,IF(NETWORKDAYS.INTL(E75,F75,11)=0,IF(Reprogramaciones!R$9&gt;=F75,100,0),ROUND(NETWORKDAYS.INTL(E75,MIN(F75,Reprogramaciones!R$9),11)/NETWORKDAYS.INTL(E75,F75,11)*100,1)))-IF(Reprogramaciones!Q$9&lt;E75,0,IF(NETWORKDAYS.INTL(E75,F75,11)=0,IF(Reprogramaciones!Q$9&gt;=F75,100,0),ROUND(NETWORKDAYS.INTL(E75,MIN(F75,Reprogramaciones!Q$9),11)/NETWORKDAYS.INTL(E75,F75,11)*100,1))))</f>
        <v/>
      </c>
      <c r="O75" s="36" t="str">
        <f aca="false">IF(OR(NOT(AND(ISNUMBER(E75),ISNUMBER(F75))),$J$2=""),"",IF(Reprogramaciones!S$9&lt;E75,0,IF(NETWORKDAYS.INTL(E75,F75,11)=0,IF(Reprogramaciones!S$9&gt;=F75,100,0),ROUND(NETWORKDAYS.INTL(E75,MIN(F75,Reprogramaciones!S$9),11)/NETWORKDAYS.INTL(E75,F75,11)*100,1)))-IF(Reprogramaciones!R$9&lt;E75,0,IF(NETWORKDAYS.INTL(E75,F75,11)=0,IF(Reprogramaciones!R$9&gt;=F75,100,0),ROUND(NETWORKDAYS.INTL(E75,MIN(F75,Reprogramaciones!R$9),11)/NETWORKDAYS.INTL(E75,F75,11)*100,1))))</f>
        <v/>
      </c>
      <c r="P75" s="36" t="str">
        <f aca="false">IF(OR(NOT(AND(ISNUMBER(E75),ISNUMBER(F75))),$J$2=""),"",IF(Reprogramaciones!T$9&lt;E75,0,IF(NETWORKDAYS.INTL(E75,F75,11)=0,IF(Reprogramaciones!T$9&gt;=F75,100,0),ROUND(NETWORKDAYS.INTL(E75,MIN(F75,Reprogramaciones!T$9),11)/NETWORKDAYS.INTL(E75,F75,11)*100,1)))-IF(Reprogramaciones!S$9&lt;E75,0,IF(NETWORKDAYS.INTL(E75,F75,11)=0,IF(Reprogramaciones!S$9&gt;=F75,100,0),ROUND(NETWORKDAYS.INTL(E75,MIN(F75,Reprogramaciones!S$9),11)/NETWORKDAYS.INTL(E75,F75,11)*100,1))))</f>
        <v/>
      </c>
      <c r="Q75" s="37"/>
      <c r="R75" s="37"/>
      <c r="S75" s="37"/>
      <c r="T75" s="37"/>
      <c r="U75" s="37"/>
      <c r="V75" s="37"/>
      <c r="W75" s="37"/>
      <c r="X75" s="37"/>
      <c r="Y75" s="37"/>
      <c r="Z75" s="37"/>
      <c r="AA75" s="37"/>
      <c r="AB75" s="37"/>
      <c r="AC75" s="37"/>
      <c r="AD75" s="37"/>
      <c r="AE75" s="37"/>
      <c r="AF75" s="37"/>
      <c r="AG75" s="38" t="str">
        <f aca="false">IF(AND(ISNUMBER(E75),ISNUMBER(F75)),NETWORKDAYS.INTL(E75,F75,11),"")</f>
        <v/>
      </c>
      <c r="AH75" s="38" t="str">
        <f aca="false">IF(OR(NOT(AND(ISNUMBER(E75),ISNUMBER(F75))),$J$2=""),"",IF(Reprogramaciones!$P$15&lt;Reprogramaciones!$T$15,0,IF(Reprogramaciones!$R$15&gt;10,MIN(100,SUM($G75:$P75)),MIN(100,SUMPRODUCT((COLUMN($G75:$P75)-COLUMN($G75)+1&lt;Reprogramaciones!$R$15)*$G75:$P75)+N(INDEX($G75:$P75,1,Reprogramaciones!$R$15))*IF(Reprogramaciones!$P$15&gt;=(Reprogramaciones!$T$15+7*(Reprogramaciones!$R$15-1))+6,1,IF(MAX(0,NETWORKDAYS.INTL(MAX(E75,(Reprogramaciones!$T$15+7*(Reprogramaciones!$R$15-1))),MIN(F75,(Reprogramaciones!$T$15+7*(Reprogramaciones!$R$15-1))+6),11))=0,0,MAX(0,NETWORKDAYS.INTL(MAX(E75,(Reprogramaciones!$T$15+7*(Reprogramaciones!$R$15-1))),MIN(F75,Reprogramaciones!$P$15),11))/MAX(0,NETWORKDAYS.INTL(MAX(E75,(Reprogramaciones!$T$15+7*(Reprogramaciones!$R$15-1))),MIN(F75,(Reprogramaciones!$T$15+7*(Reprogramaciones!$R$15-1))+6),11))))))))</f>
        <v/>
      </c>
      <c r="AI75" s="38" t="str">
        <f aca="false">IF(COUNT($Q75:$AF75)=0,"",IF(ROUND(SUM($Q75:$AF75),1)&gt;=99.5,100,MIN(100,ROUND(SUM($Q75:$AF75),1))))</f>
        <v/>
      </c>
      <c r="AJ75" s="38" t="str">
        <f aca="false">IF(OR(AH75="",AI75=""),"",AI75-AH75)</f>
        <v/>
      </c>
      <c r="AK75" s="39" t="str">
        <f aca="true">IF(AH75="","",IF(OR(Ficha!$C$10="Suspendida",Ficha!$C$10="Cancelada"),Ficha!$C$10,IF(AND(AI75&lt;&gt;"",N(AI75)&gt;=100),"Completada",IF(AND(E75&gt;TODAY(),N(AI75)=0),"Por iniciar",IF(N(AI75)+0.5&lt;AH75,"Retrasada",IF(N(AI75)+0.5&lt;DA75,IF(Reprogramaciones!$K$15&gt;0,"Al día · Sem "&amp;Reprogramaciones!$K$15&amp;" en curso","Al día · en curso"),"A tiempo"))))))</f>
        <v/>
      </c>
      <c r="AL75" s="39" t="str">
        <f aca="true">IF(AND(A75="",AND(B75="",C75="",E75="",F75="",COUNT(Q75:AF75)=0)),"",IF(AND(B75="",C75="",E75="",F75="",COUNT(Q75:AF75)=0),"Falta la partida o subpartida",IF(AND(A75&lt;&gt;"",COUNTIF($A$6:$A$305,A75)&gt;1),"Ítem repetido",IF(AND(C75="",E75="",F75="",COUNT(Q75:AF75)=0),"Título de partida",IF(OR(E75="",F75=""),"Faltan fechas",IF(OR(ISTEXT(E75),ISTEXT(F75)),"Fecha escrita como texto: usa dd/mm/aaaa",IF(F75&lt;E75,"Fin antes del inicio",IF(IF($J$2="",FALSE(),OR(E75&lt;$J$2,F75&gt;Reprogramaciones!$T$15+69)),"Fuera de las 10 semanas",IF(ABS(SUM(G75:P75)-100)&gt;0.5,"La meta no suma 100%",IF(ROUND(SUM(Q75:AF75),1)&gt;100.5,"El avance pasa de 100%",IF(MIN(Q75:AF75)&lt;0,"Avance negativo",IF(COUNTA(Q75:AF75)&gt;COUNT(Q75:AF75),"Avance escrito como texto",IF(SUMPRODUCT((Q75:AF75&gt;0)*(Q75:AF75&lt;1))&gt;0,"Avance menor a 1: escribe 50, no 50%",IF(SUMPRODUCT(ISNUMBER(Q75:AF75)*(Reprogramaciones!$K$8:$Z$8&gt;TODAY()))&gt;0,"Avance en semana que aún no llega",IF(AND(N(Reprogramaciones!$E$21)&gt;0,F75&gt;Reprogramaciones!$E$21),"Pasa el fin de la obra: registra una reprogramación",IF(AND(N(Reprogramaciones!$E$21)&gt;0,SUMPRODUCT(ISNUMBER(Q75:AF75)*(Reprogramaciones!$K$8:$Z$8&gt;Reprogramaciones!$E$21))&gt;0),"Avance después del fin de la obra: registra una reprogramación por atraso","OK"))))))))))))))))</f>
        <v/>
      </c>
      <c r="AM75" s="40" t="str">
        <f aca="false">IF(OR(OR(NOT(AND(ISNUMBER(E75),ISNUMBER(F75))),$J$2=""),1&gt;MAX(1,Reprogramaciones!$U$15)),"",IF(Reprogramaciones!K$12&gt;=7,"",IF(OR(BT75-N(0)&gt;0.05,N(Q75)&gt;0),ROUNDDOWN(ROUND(BT75,6),0)&amp;"%"&amp;IF(CJ75="",""," / "&amp;CJ75&amp;"%"),IF(AND(N(0)&gt;=99.95,CJ75&lt;&gt;"",N(CJ75)&lt;100),"Pend. "&amp;CJ75&amp;"%",""))))</f>
        <v/>
      </c>
      <c r="AN75" s="40" t="str">
        <f aca="false">IF(OR(OR(NOT(AND(ISNUMBER(E75),ISNUMBER(F75))),$J$2=""),2&gt;MAX(1,Reprogramaciones!$U$15)),"",IF(Reprogramaciones!L$12&gt;=7,"",IF(OR(BU75-N(BT75)&gt;0.05,N(R75)&gt;0),ROUNDDOWN(ROUND(BU75,6),0)&amp;"%"&amp;IF(CK75="",""," / "&amp;CK75&amp;"%"),IF(AND(N(BT75)&gt;=99.95,CK75&lt;&gt;"",N(CK75)&lt;100),"Pend. "&amp;CK75&amp;"%",""))))</f>
        <v/>
      </c>
      <c r="AO75" s="40" t="str">
        <f aca="false">IF(OR(OR(NOT(AND(ISNUMBER(E75),ISNUMBER(F75))),$J$2=""),3&gt;MAX(1,Reprogramaciones!$U$15)),"",IF(Reprogramaciones!M$12&gt;=7,"",IF(OR(BV75-N(BU75)&gt;0.05,N(S75)&gt;0),ROUNDDOWN(ROUND(BV75,6),0)&amp;"%"&amp;IF(CL75="",""," / "&amp;CL75&amp;"%"),IF(AND(N(BU75)&gt;=99.95,CL75&lt;&gt;"",N(CL75)&lt;100),"Pend. "&amp;CL75&amp;"%",""))))</f>
        <v/>
      </c>
      <c r="AP75" s="40" t="str">
        <f aca="false">IF(OR(OR(NOT(AND(ISNUMBER(E75),ISNUMBER(F75))),$J$2=""),4&gt;MAX(1,Reprogramaciones!$U$15)),"",IF(Reprogramaciones!N$12&gt;=7,"",IF(OR(BW75-N(BV75)&gt;0.05,N(T75)&gt;0),ROUNDDOWN(ROUND(BW75,6),0)&amp;"%"&amp;IF(CM75="",""," / "&amp;CM75&amp;"%"),IF(AND(N(BV75)&gt;=99.95,CM75&lt;&gt;"",N(CM75)&lt;100),"Pend. "&amp;CM75&amp;"%",""))))</f>
        <v/>
      </c>
      <c r="AQ75" s="40" t="str">
        <f aca="false">IF(OR(OR(NOT(AND(ISNUMBER(E75),ISNUMBER(F75))),$J$2=""),5&gt;MAX(1,Reprogramaciones!$U$15)),"",IF(Reprogramaciones!O$12&gt;=7,"",IF(OR(BX75-N(BW75)&gt;0.05,N(U75)&gt;0),ROUNDDOWN(ROUND(BX75,6),0)&amp;"%"&amp;IF(CN75="",""," / "&amp;CN75&amp;"%"),IF(AND(N(BW75)&gt;=99.95,CN75&lt;&gt;"",N(CN75)&lt;100),"Pend. "&amp;CN75&amp;"%",""))))</f>
        <v/>
      </c>
      <c r="AR75" s="40" t="str">
        <f aca="false">IF(OR(OR(NOT(AND(ISNUMBER(E75),ISNUMBER(F75))),$J$2=""),6&gt;MAX(1,Reprogramaciones!$U$15)),"",IF(Reprogramaciones!P$12&gt;=7,"",IF(OR(BY75-N(BX75)&gt;0.05,N(V75)&gt;0),ROUNDDOWN(ROUND(BY75,6),0)&amp;"%"&amp;IF(CO75="",""," / "&amp;CO75&amp;"%"),IF(AND(N(BX75)&gt;=99.95,CO75&lt;&gt;"",N(CO75)&lt;100),"Pend. "&amp;CO75&amp;"%",""))))</f>
        <v/>
      </c>
      <c r="AS75" s="40" t="str">
        <f aca="false">IF(OR(OR(NOT(AND(ISNUMBER(E75),ISNUMBER(F75))),$J$2=""),7&gt;MAX(1,Reprogramaciones!$U$15)),"",IF(Reprogramaciones!Q$12&gt;=7,"",IF(OR(BZ75-N(BY75)&gt;0.05,N(W75)&gt;0),ROUNDDOWN(ROUND(BZ75,6),0)&amp;"%"&amp;IF(CP75="",""," / "&amp;CP75&amp;"%"),IF(AND(N(BY75)&gt;=99.95,CP75&lt;&gt;"",N(CP75)&lt;100),"Pend. "&amp;CP75&amp;"%",""))))</f>
        <v/>
      </c>
      <c r="AT75" s="40" t="str">
        <f aca="false">IF(OR(OR(NOT(AND(ISNUMBER(E75),ISNUMBER(F75))),$J$2=""),8&gt;MAX(1,Reprogramaciones!$U$15)),"",IF(Reprogramaciones!R$12&gt;=7,"",IF(OR(CA75-N(BZ75)&gt;0.05,N(X75)&gt;0),ROUNDDOWN(ROUND(CA75,6),0)&amp;"%"&amp;IF(CQ75="",""," / "&amp;CQ75&amp;"%"),IF(AND(N(BZ75)&gt;=99.95,CQ75&lt;&gt;"",N(CQ75)&lt;100),"Pend. "&amp;CQ75&amp;"%",""))))</f>
        <v/>
      </c>
      <c r="AU75" s="40" t="str">
        <f aca="false">IF(OR(OR(NOT(AND(ISNUMBER(E75),ISNUMBER(F75))),$J$2=""),9&gt;MAX(1,Reprogramaciones!$U$15)),"",IF(Reprogramaciones!S$12&gt;=7,"",IF(OR(CB75-N(CA75)&gt;0.05,N(Y75)&gt;0),ROUNDDOWN(ROUND(CB75,6),0)&amp;"%"&amp;IF(CR75="",""," / "&amp;CR75&amp;"%"),IF(AND(N(CA75)&gt;=99.95,CR75&lt;&gt;"",N(CR75)&lt;100),"Pend. "&amp;CR75&amp;"%",""))))</f>
        <v/>
      </c>
      <c r="AV75" s="40" t="str">
        <f aca="false">IF(OR(OR(NOT(AND(ISNUMBER(E75),ISNUMBER(F75))),$J$2=""),10&gt;MAX(1,Reprogramaciones!$U$15)),"",IF(Reprogramaciones!T$12&gt;=7,"",IF(OR(CC75-N(CB75)&gt;0.05,N(Z75)&gt;0),ROUNDDOWN(ROUND(CC75,6),0)&amp;"%"&amp;IF(CS75="",""," / "&amp;CS75&amp;"%"),IF(AND(N(CB75)&gt;=99.95,CS75&lt;&gt;"",N(CS75)&lt;100),"Pend. "&amp;CS75&amp;"%",""))))</f>
        <v/>
      </c>
      <c r="AW75" s="40" t="str">
        <f aca="false">IF(OR(OR(NOT(AND(ISNUMBER(E75),ISNUMBER(F75))),$J$2=""),11&gt;MAX(1,Reprogramaciones!$U$15)),"",IF(Reprogramaciones!U$12&gt;=7,"",IF(OR(CD75-N(CC75)&gt;0.05,N(AA75)&gt;0),ROUNDDOWN(ROUND(CD75,6),0)&amp;"%"&amp;IF(CT75="",""," / "&amp;CT75&amp;"%"),IF(AND(N(CC75)&gt;=99.95,CT75&lt;&gt;"",N(CT75)&lt;100),"Pend. "&amp;CT75&amp;"%",""))))</f>
        <v/>
      </c>
      <c r="AX75" s="40" t="str">
        <f aca="false">IF(OR(OR(NOT(AND(ISNUMBER(E75),ISNUMBER(F75))),$J$2=""),12&gt;MAX(1,Reprogramaciones!$U$15)),"",IF(Reprogramaciones!V$12&gt;=7,"",IF(OR(CE75-N(CD75)&gt;0.05,N(AB75)&gt;0),ROUNDDOWN(ROUND(CE75,6),0)&amp;"%"&amp;IF(CU75="",""," / "&amp;CU75&amp;"%"),IF(AND(N(CD75)&gt;=99.95,CU75&lt;&gt;"",N(CU75)&lt;100),"Pend. "&amp;CU75&amp;"%",""))))</f>
        <v/>
      </c>
      <c r="AY75" s="40" t="str">
        <f aca="false">IF(OR(OR(NOT(AND(ISNUMBER(E75),ISNUMBER(F75))),$J$2=""),13&gt;MAX(1,Reprogramaciones!$U$15)),"",IF(Reprogramaciones!W$12&gt;=7,"",IF(OR(CF75-N(CE75)&gt;0.05,N(AC75)&gt;0),ROUNDDOWN(ROUND(CF75,6),0)&amp;"%"&amp;IF(CV75="",""," / "&amp;CV75&amp;"%"),IF(AND(N(CE75)&gt;=99.95,CV75&lt;&gt;"",N(CV75)&lt;100),"Pend. "&amp;CV75&amp;"%",""))))</f>
        <v/>
      </c>
      <c r="AZ75" s="40" t="str">
        <f aca="false">IF(OR(OR(NOT(AND(ISNUMBER(E75),ISNUMBER(F75))),$J$2=""),14&gt;MAX(1,Reprogramaciones!$U$15)),"",IF(Reprogramaciones!X$12&gt;=7,"",IF(OR(CG75-N(CF75)&gt;0.05,N(AD75)&gt;0),ROUNDDOWN(ROUND(CG75,6),0)&amp;"%"&amp;IF(CW75="",""," / "&amp;CW75&amp;"%"),IF(AND(N(CF75)&gt;=99.95,CW75&lt;&gt;"",N(CW75)&lt;100),"Pend. "&amp;CW75&amp;"%",""))))</f>
        <v/>
      </c>
      <c r="BA75" s="40" t="str">
        <f aca="false">IF(OR(OR(NOT(AND(ISNUMBER(E75),ISNUMBER(F75))),$J$2=""),15&gt;MAX(1,Reprogramaciones!$U$15)),"",IF(Reprogramaciones!Y$12&gt;=7,"",IF(OR(CH75-N(CG75)&gt;0.05,N(AE75)&gt;0),ROUNDDOWN(ROUND(CH75,6),0)&amp;"%"&amp;IF(CX75="",""," / "&amp;CX75&amp;"%"),IF(AND(N(CG75)&gt;=99.95,CX75&lt;&gt;"",N(CX75)&lt;100),"Pend. "&amp;CX75&amp;"%",""))))</f>
        <v/>
      </c>
      <c r="BB75" s="40" t="str">
        <f aca="false">IF(OR(OR(NOT(AND(ISNUMBER(E75),ISNUMBER(F75))),$J$2=""),16&gt;MAX(1,Reprogramaciones!$U$15)),"",IF(Reprogramaciones!Z$12&gt;=7,"",IF(OR(CI75-N(CH75)&gt;0.05,N(AF75)&gt;0),ROUNDDOWN(ROUND(CI75,6),0)&amp;"%"&amp;IF(CY75="",""," / "&amp;CY75&amp;"%"),IF(AND(N(CH75)&gt;=99.95,CY75&lt;&gt;"",N(CY75)&lt;100),"Pend. "&amp;CY75&amp;"%",""))))</f>
        <v/>
      </c>
      <c r="BC75" s="31" t="n">
        <f aca="false">IF(AND(ISNUMBER(E75),ISNUMBER(F75)),MAX(1,NETWORKDAYS.INTL(E75,F75,11)),0)</f>
        <v>0</v>
      </c>
      <c r="BD75" s="1" t="str">
        <f aca="false">IF(OR(NOT(AND(ISNUMBER(E75),ISNUMBER(F75))),$J$2=""),"",MIN(100,ROUND(SUM($G75:G75),1)))</f>
        <v/>
      </c>
      <c r="BE75" s="1" t="str">
        <f aca="false">IF(OR(NOT(AND(ISNUMBER(E75),ISNUMBER(F75))),$J$2=""),"",MIN(100,ROUND(SUM($G75:H75),1)))</f>
        <v/>
      </c>
      <c r="BF75" s="1" t="str">
        <f aca="false">IF(OR(NOT(AND(ISNUMBER(E75),ISNUMBER(F75))),$J$2=""),"",MIN(100,ROUND(SUM($G75:I75),1)))</f>
        <v/>
      </c>
      <c r="BG75" s="1" t="str">
        <f aca="false">IF(OR(NOT(AND(ISNUMBER(E75),ISNUMBER(F75))),$J$2=""),"",MIN(100,ROUND(SUM($G75:J75),1)))</f>
        <v/>
      </c>
      <c r="BH75" s="1" t="str">
        <f aca="false">IF(OR(NOT(AND(ISNUMBER(E75),ISNUMBER(F75))),$J$2=""),"",MIN(100,ROUND(SUM($G75:K75),1)))</f>
        <v/>
      </c>
      <c r="BI75" s="1" t="str">
        <f aca="false">IF(OR(NOT(AND(ISNUMBER(E75),ISNUMBER(F75))),$J$2=""),"",MIN(100,ROUND(SUM($G75:L75),1)))</f>
        <v/>
      </c>
      <c r="BJ75" s="1" t="str">
        <f aca="false">IF(OR(NOT(AND(ISNUMBER(E75),ISNUMBER(F75))),$J$2=""),"",MIN(100,ROUND(SUM($G75:M75),1)))</f>
        <v/>
      </c>
      <c r="BK75" s="1" t="str">
        <f aca="false">IF(OR(NOT(AND(ISNUMBER(E75),ISNUMBER(F75))),$J$2=""),"",MIN(100,ROUND(SUM($G75:N75),1)))</f>
        <v/>
      </c>
      <c r="BL75" s="1" t="str">
        <f aca="false">IF(OR(NOT(AND(ISNUMBER(E75),ISNUMBER(F75))),$J$2=""),"",MIN(100,ROUND(SUM($G75:O75),1)))</f>
        <v/>
      </c>
      <c r="BM75" s="1" t="str">
        <f aca="false">IF(OR(NOT(AND(ISNUMBER(E75),ISNUMBER(F75))),$J$2=""),"",MIN(100,ROUND(SUM($G75:P75),1)))</f>
        <v/>
      </c>
      <c r="BN75" s="1" t="str">
        <f aca="false">IF(OR(NOT(AND(ISNUMBER(E75),ISNUMBER(F75))),$J$2=""),"",MIN(100,ROUND(SUM($G75:P75),1)))</f>
        <v/>
      </c>
      <c r="BO75" s="1" t="str">
        <f aca="false">IF(OR(NOT(AND(ISNUMBER(E75),ISNUMBER(F75))),$J$2=""),"",MIN(100,ROUND(SUM($G75:P75),1)))</f>
        <v/>
      </c>
      <c r="BP75" s="1" t="str">
        <f aca="false">IF(OR(NOT(AND(ISNUMBER(E75),ISNUMBER(F75))),$J$2=""),"",MIN(100,ROUND(SUM($G75:P75),1)))</f>
        <v/>
      </c>
      <c r="BQ75" s="1" t="str">
        <f aca="false">IF(OR(NOT(AND(ISNUMBER(E75),ISNUMBER(F75))),$J$2=""),"",MIN(100,ROUND(SUM($G75:P75),1)))</f>
        <v/>
      </c>
      <c r="BR75" s="1" t="str">
        <f aca="false">IF(OR(NOT(AND(ISNUMBER(E75),ISNUMBER(F75))),$J$2=""),"",MIN(100,ROUND(SUM($G75:P75),1)))</f>
        <v/>
      </c>
      <c r="BS75" s="1" t="str">
        <f aca="false">IF(OR(NOT(AND(ISNUMBER(E75),ISNUMBER(F75))),$J$2=""),"",MIN(100,ROUND(SUM($G75:P75),1)))</f>
        <v/>
      </c>
      <c r="BT75" s="1" t="str">
        <f aca="false">IF(OR(NOT(AND(ISNUMBER(E75),ISNUMBER(F75))),$J$2=""),"",IF(Reprogramaciones!K$13&lt;Reprogramaciones!$T$15,0,IF(Reprogramaciones!K$14&gt;10,MIN(100,SUM($G75:$P75)),MIN(100,SUMPRODUCT((COLUMN($G75:$P75)-COLUMN($G75)+1&lt;Reprogramaciones!K$14)*$G75:$P75)+N(INDEX($G75:$P75,1,Reprogramaciones!K$14))*IF(Reprogramaciones!K$13&gt;=(Reprogramaciones!$T$15+7*(Reprogramaciones!K$14-1))+6,1,IF(MAX(0,NETWORKDAYS.INTL(MAX(E75,(Reprogramaciones!$T$15+7*(Reprogramaciones!K$14-1))),MIN(F75,(Reprogramaciones!$T$15+7*(Reprogramaciones!K$14-1))+6),11))=0,0,MAX(0,NETWORKDAYS.INTL(MAX(E75,(Reprogramaciones!$T$15+7*(Reprogramaciones!K$14-1))),MIN(F75,Reprogramaciones!K$13),11))/MAX(0,NETWORKDAYS.INTL(MAX(E75,(Reprogramaciones!$T$15+7*(Reprogramaciones!K$14-1))),MIN(F75,(Reprogramaciones!$T$15+7*(Reprogramaciones!K$14-1))+6),11))))))))</f>
        <v/>
      </c>
      <c r="BU75" s="1" t="str">
        <f aca="false">IF(OR(NOT(AND(ISNUMBER(E75),ISNUMBER(F75))),$J$2=""),"",IF(Reprogramaciones!L$13&lt;Reprogramaciones!$T$15,0,IF(Reprogramaciones!L$14&gt;10,MIN(100,SUM($G75:$P75)),MIN(100,SUMPRODUCT((COLUMN($G75:$P75)-COLUMN($G75)+1&lt;Reprogramaciones!L$14)*$G75:$P75)+N(INDEX($G75:$P75,1,Reprogramaciones!L$14))*IF(Reprogramaciones!L$13&gt;=(Reprogramaciones!$T$15+7*(Reprogramaciones!L$14-1))+6,1,IF(MAX(0,NETWORKDAYS.INTL(MAX(E75,(Reprogramaciones!$T$15+7*(Reprogramaciones!L$14-1))),MIN(F75,(Reprogramaciones!$T$15+7*(Reprogramaciones!L$14-1))+6),11))=0,0,MAX(0,NETWORKDAYS.INTL(MAX(E75,(Reprogramaciones!$T$15+7*(Reprogramaciones!L$14-1))),MIN(F75,Reprogramaciones!L$13),11))/MAX(0,NETWORKDAYS.INTL(MAX(E75,(Reprogramaciones!$T$15+7*(Reprogramaciones!L$14-1))),MIN(F75,(Reprogramaciones!$T$15+7*(Reprogramaciones!L$14-1))+6),11))))))))</f>
        <v/>
      </c>
      <c r="BV75" s="1" t="str">
        <f aca="false">IF(OR(NOT(AND(ISNUMBER(E75),ISNUMBER(F75))),$J$2=""),"",IF(Reprogramaciones!M$13&lt;Reprogramaciones!$T$15,0,IF(Reprogramaciones!M$14&gt;10,MIN(100,SUM($G75:$P75)),MIN(100,SUMPRODUCT((COLUMN($G75:$P75)-COLUMN($G75)+1&lt;Reprogramaciones!M$14)*$G75:$P75)+N(INDEX($G75:$P75,1,Reprogramaciones!M$14))*IF(Reprogramaciones!M$13&gt;=(Reprogramaciones!$T$15+7*(Reprogramaciones!M$14-1))+6,1,IF(MAX(0,NETWORKDAYS.INTL(MAX(E75,(Reprogramaciones!$T$15+7*(Reprogramaciones!M$14-1))),MIN(F75,(Reprogramaciones!$T$15+7*(Reprogramaciones!M$14-1))+6),11))=0,0,MAX(0,NETWORKDAYS.INTL(MAX(E75,(Reprogramaciones!$T$15+7*(Reprogramaciones!M$14-1))),MIN(F75,Reprogramaciones!M$13),11))/MAX(0,NETWORKDAYS.INTL(MAX(E75,(Reprogramaciones!$T$15+7*(Reprogramaciones!M$14-1))),MIN(F75,(Reprogramaciones!$T$15+7*(Reprogramaciones!M$14-1))+6),11))))))))</f>
        <v/>
      </c>
      <c r="BW75" s="1" t="str">
        <f aca="false">IF(OR(NOT(AND(ISNUMBER(E75),ISNUMBER(F75))),$J$2=""),"",IF(Reprogramaciones!N$13&lt;Reprogramaciones!$T$15,0,IF(Reprogramaciones!N$14&gt;10,MIN(100,SUM($G75:$P75)),MIN(100,SUMPRODUCT((COLUMN($G75:$P75)-COLUMN($G75)+1&lt;Reprogramaciones!N$14)*$G75:$P75)+N(INDEX($G75:$P75,1,Reprogramaciones!N$14))*IF(Reprogramaciones!N$13&gt;=(Reprogramaciones!$T$15+7*(Reprogramaciones!N$14-1))+6,1,IF(MAX(0,NETWORKDAYS.INTL(MAX(E75,(Reprogramaciones!$T$15+7*(Reprogramaciones!N$14-1))),MIN(F75,(Reprogramaciones!$T$15+7*(Reprogramaciones!N$14-1))+6),11))=0,0,MAX(0,NETWORKDAYS.INTL(MAX(E75,(Reprogramaciones!$T$15+7*(Reprogramaciones!N$14-1))),MIN(F75,Reprogramaciones!N$13),11))/MAX(0,NETWORKDAYS.INTL(MAX(E75,(Reprogramaciones!$T$15+7*(Reprogramaciones!N$14-1))),MIN(F75,(Reprogramaciones!$T$15+7*(Reprogramaciones!N$14-1))+6),11))))))))</f>
        <v/>
      </c>
      <c r="BX75" s="1" t="str">
        <f aca="false">IF(OR(NOT(AND(ISNUMBER(E75),ISNUMBER(F75))),$J$2=""),"",IF(Reprogramaciones!O$13&lt;Reprogramaciones!$T$15,0,IF(Reprogramaciones!O$14&gt;10,MIN(100,SUM($G75:$P75)),MIN(100,SUMPRODUCT((COLUMN($G75:$P75)-COLUMN($G75)+1&lt;Reprogramaciones!O$14)*$G75:$P75)+N(INDEX($G75:$P75,1,Reprogramaciones!O$14))*IF(Reprogramaciones!O$13&gt;=(Reprogramaciones!$T$15+7*(Reprogramaciones!O$14-1))+6,1,IF(MAX(0,NETWORKDAYS.INTL(MAX(E75,(Reprogramaciones!$T$15+7*(Reprogramaciones!O$14-1))),MIN(F75,(Reprogramaciones!$T$15+7*(Reprogramaciones!O$14-1))+6),11))=0,0,MAX(0,NETWORKDAYS.INTL(MAX(E75,(Reprogramaciones!$T$15+7*(Reprogramaciones!O$14-1))),MIN(F75,Reprogramaciones!O$13),11))/MAX(0,NETWORKDAYS.INTL(MAX(E75,(Reprogramaciones!$T$15+7*(Reprogramaciones!O$14-1))),MIN(F75,(Reprogramaciones!$T$15+7*(Reprogramaciones!O$14-1))+6),11))))))))</f>
        <v/>
      </c>
      <c r="BY75" s="1" t="str">
        <f aca="false">IF(OR(NOT(AND(ISNUMBER(E75),ISNUMBER(F75))),$J$2=""),"",IF(Reprogramaciones!P$13&lt;Reprogramaciones!$T$15,0,IF(Reprogramaciones!P$14&gt;10,MIN(100,SUM($G75:$P75)),MIN(100,SUMPRODUCT((COLUMN($G75:$P75)-COLUMN($G75)+1&lt;Reprogramaciones!P$14)*$G75:$P75)+N(INDEX($G75:$P75,1,Reprogramaciones!P$14))*IF(Reprogramaciones!P$13&gt;=(Reprogramaciones!$T$15+7*(Reprogramaciones!P$14-1))+6,1,IF(MAX(0,NETWORKDAYS.INTL(MAX(E75,(Reprogramaciones!$T$15+7*(Reprogramaciones!P$14-1))),MIN(F75,(Reprogramaciones!$T$15+7*(Reprogramaciones!P$14-1))+6),11))=0,0,MAX(0,NETWORKDAYS.INTL(MAX(E75,(Reprogramaciones!$T$15+7*(Reprogramaciones!P$14-1))),MIN(F75,Reprogramaciones!P$13),11))/MAX(0,NETWORKDAYS.INTL(MAX(E75,(Reprogramaciones!$T$15+7*(Reprogramaciones!P$14-1))),MIN(F75,(Reprogramaciones!$T$15+7*(Reprogramaciones!P$14-1))+6),11))))))))</f>
        <v/>
      </c>
      <c r="BZ75" s="1" t="str">
        <f aca="false">IF(OR(NOT(AND(ISNUMBER(E75),ISNUMBER(F75))),$J$2=""),"",IF(Reprogramaciones!Q$13&lt;Reprogramaciones!$T$15,0,IF(Reprogramaciones!Q$14&gt;10,MIN(100,SUM($G75:$P75)),MIN(100,SUMPRODUCT((COLUMN($G75:$P75)-COLUMN($G75)+1&lt;Reprogramaciones!Q$14)*$G75:$P75)+N(INDEX($G75:$P75,1,Reprogramaciones!Q$14))*IF(Reprogramaciones!Q$13&gt;=(Reprogramaciones!$T$15+7*(Reprogramaciones!Q$14-1))+6,1,IF(MAX(0,NETWORKDAYS.INTL(MAX(E75,(Reprogramaciones!$T$15+7*(Reprogramaciones!Q$14-1))),MIN(F75,(Reprogramaciones!$T$15+7*(Reprogramaciones!Q$14-1))+6),11))=0,0,MAX(0,NETWORKDAYS.INTL(MAX(E75,(Reprogramaciones!$T$15+7*(Reprogramaciones!Q$14-1))),MIN(F75,Reprogramaciones!Q$13),11))/MAX(0,NETWORKDAYS.INTL(MAX(E75,(Reprogramaciones!$T$15+7*(Reprogramaciones!Q$14-1))),MIN(F75,(Reprogramaciones!$T$15+7*(Reprogramaciones!Q$14-1))+6),11))))))))</f>
        <v/>
      </c>
      <c r="CA75" s="1" t="str">
        <f aca="false">IF(OR(NOT(AND(ISNUMBER(E75),ISNUMBER(F75))),$J$2=""),"",IF(Reprogramaciones!R$13&lt;Reprogramaciones!$T$15,0,IF(Reprogramaciones!R$14&gt;10,MIN(100,SUM($G75:$P75)),MIN(100,SUMPRODUCT((COLUMN($G75:$P75)-COLUMN($G75)+1&lt;Reprogramaciones!R$14)*$G75:$P75)+N(INDEX($G75:$P75,1,Reprogramaciones!R$14))*IF(Reprogramaciones!R$13&gt;=(Reprogramaciones!$T$15+7*(Reprogramaciones!R$14-1))+6,1,IF(MAX(0,NETWORKDAYS.INTL(MAX(E75,(Reprogramaciones!$T$15+7*(Reprogramaciones!R$14-1))),MIN(F75,(Reprogramaciones!$T$15+7*(Reprogramaciones!R$14-1))+6),11))=0,0,MAX(0,NETWORKDAYS.INTL(MAX(E75,(Reprogramaciones!$T$15+7*(Reprogramaciones!R$14-1))),MIN(F75,Reprogramaciones!R$13),11))/MAX(0,NETWORKDAYS.INTL(MAX(E75,(Reprogramaciones!$T$15+7*(Reprogramaciones!R$14-1))),MIN(F75,(Reprogramaciones!$T$15+7*(Reprogramaciones!R$14-1))+6),11))))))))</f>
        <v/>
      </c>
      <c r="CB75" s="1" t="str">
        <f aca="false">IF(OR(NOT(AND(ISNUMBER(E75),ISNUMBER(F75))),$J$2=""),"",IF(Reprogramaciones!S$13&lt;Reprogramaciones!$T$15,0,IF(Reprogramaciones!S$14&gt;10,MIN(100,SUM($G75:$P75)),MIN(100,SUMPRODUCT((COLUMN($G75:$P75)-COLUMN($G75)+1&lt;Reprogramaciones!S$14)*$G75:$P75)+N(INDEX($G75:$P75,1,Reprogramaciones!S$14))*IF(Reprogramaciones!S$13&gt;=(Reprogramaciones!$T$15+7*(Reprogramaciones!S$14-1))+6,1,IF(MAX(0,NETWORKDAYS.INTL(MAX(E75,(Reprogramaciones!$T$15+7*(Reprogramaciones!S$14-1))),MIN(F75,(Reprogramaciones!$T$15+7*(Reprogramaciones!S$14-1))+6),11))=0,0,MAX(0,NETWORKDAYS.INTL(MAX(E75,(Reprogramaciones!$T$15+7*(Reprogramaciones!S$14-1))),MIN(F75,Reprogramaciones!S$13),11))/MAX(0,NETWORKDAYS.INTL(MAX(E75,(Reprogramaciones!$T$15+7*(Reprogramaciones!S$14-1))),MIN(F75,(Reprogramaciones!$T$15+7*(Reprogramaciones!S$14-1))+6),11))))))))</f>
        <v/>
      </c>
      <c r="CC75" s="1" t="str">
        <f aca="false">IF(OR(NOT(AND(ISNUMBER(E75),ISNUMBER(F75))),$J$2=""),"",IF(Reprogramaciones!T$13&lt;Reprogramaciones!$T$15,0,IF(Reprogramaciones!T$14&gt;10,MIN(100,SUM($G75:$P75)),MIN(100,SUMPRODUCT((COLUMN($G75:$P75)-COLUMN($G75)+1&lt;Reprogramaciones!T$14)*$G75:$P75)+N(INDEX($G75:$P75,1,Reprogramaciones!T$14))*IF(Reprogramaciones!T$13&gt;=(Reprogramaciones!$T$15+7*(Reprogramaciones!T$14-1))+6,1,IF(MAX(0,NETWORKDAYS.INTL(MAX(E75,(Reprogramaciones!$T$15+7*(Reprogramaciones!T$14-1))),MIN(F75,(Reprogramaciones!$T$15+7*(Reprogramaciones!T$14-1))+6),11))=0,0,MAX(0,NETWORKDAYS.INTL(MAX(E75,(Reprogramaciones!$T$15+7*(Reprogramaciones!T$14-1))),MIN(F75,Reprogramaciones!T$13),11))/MAX(0,NETWORKDAYS.INTL(MAX(E75,(Reprogramaciones!$T$15+7*(Reprogramaciones!T$14-1))),MIN(F75,(Reprogramaciones!$T$15+7*(Reprogramaciones!T$14-1))+6),11))))))))</f>
        <v/>
      </c>
      <c r="CD75" s="1" t="str">
        <f aca="false">IF(OR(NOT(AND(ISNUMBER(E75),ISNUMBER(F75))),$J$2=""),"",IF(Reprogramaciones!U$13&lt;Reprogramaciones!$T$15,0,IF(Reprogramaciones!U$14&gt;10,MIN(100,SUM($G75:$P75)),MIN(100,SUMPRODUCT((COLUMN($G75:$P75)-COLUMN($G75)+1&lt;Reprogramaciones!U$14)*$G75:$P75)+N(INDEX($G75:$P75,1,Reprogramaciones!U$14))*IF(Reprogramaciones!U$13&gt;=(Reprogramaciones!$T$15+7*(Reprogramaciones!U$14-1))+6,1,IF(MAX(0,NETWORKDAYS.INTL(MAX(E75,(Reprogramaciones!$T$15+7*(Reprogramaciones!U$14-1))),MIN(F75,(Reprogramaciones!$T$15+7*(Reprogramaciones!U$14-1))+6),11))=0,0,MAX(0,NETWORKDAYS.INTL(MAX(E75,(Reprogramaciones!$T$15+7*(Reprogramaciones!U$14-1))),MIN(F75,Reprogramaciones!U$13),11))/MAX(0,NETWORKDAYS.INTL(MAX(E75,(Reprogramaciones!$T$15+7*(Reprogramaciones!U$14-1))),MIN(F75,(Reprogramaciones!$T$15+7*(Reprogramaciones!U$14-1))+6),11))))))))</f>
        <v/>
      </c>
      <c r="CE75" s="1" t="str">
        <f aca="false">IF(OR(NOT(AND(ISNUMBER(E75),ISNUMBER(F75))),$J$2=""),"",IF(Reprogramaciones!V$13&lt;Reprogramaciones!$T$15,0,IF(Reprogramaciones!V$14&gt;10,MIN(100,SUM($G75:$P75)),MIN(100,SUMPRODUCT((COLUMN($G75:$P75)-COLUMN($G75)+1&lt;Reprogramaciones!V$14)*$G75:$P75)+N(INDEX($G75:$P75,1,Reprogramaciones!V$14))*IF(Reprogramaciones!V$13&gt;=(Reprogramaciones!$T$15+7*(Reprogramaciones!V$14-1))+6,1,IF(MAX(0,NETWORKDAYS.INTL(MAX(E75,(Reprogramaciones!$T$15+7*(Reprogramaciones!V$14-1))),MIN(F75,(Reprogramaciones!$T$15+7*(Reprogramaciones!V$14-1))+6),11))=0,0,MAX(0,NETWORKDAYS.INTL(MAX(E75,(Reprogramaciones!$T$15+7*(Reprogramaciones!V$14-1))),MIN(F75,Reprogramaciones!V$13),11))/MAX(0,NETWORKDAYS.INTL(MAX(E75,(Reprogramaciones!$T$15+7*(Reprogramaciones!V$14-1))),MIN(F75,(Reprogramaciones!$T$15+7*(Reprogramaciones!V$14-1))+6),11))))))))</f>
        <v/>
      </c>
      <c r="CF75" s="1" t="str">
        <f aca="false">IF(OR(NOT(AND(ISNUMBER(E75),ISNUMBER(F75))),$J$2=""),"",IF(Reprogramaciones!W$13&lt;Reprogramaciones!$T$15,0,IF(Reprogramaciones!W$14&gt;10,MIN(100,SUM($G75:$P75)),MIN(100,SUMPRODUCT((COLUMN($G75:$P75)-COLUMN($G75)+1&lt;Reprogramaciones!W$14)*$G75:$P75)+N(INDEX($G75:$P75,1,Reprogramaciones!W$14))*IF(Reprogramaciones!W$13&gt;=(Reprogramaciones!$T$15+7*(Reprogramaciones!W$14-1))+6,1,IF(MAX(0,NETWORKDAYS.INTL(MAX(E75,(Reprogramaciones!$T$15+7*(Reprogramaciones!W$14-1))),MIN(F75,(Reprogramaciones!$T$15+7*(Reprogramaciones!W$14-1))+6),11))=0,0,MAX(0,NETWORKDAYS.INTL(MAX(E75,(Reprogramaciones!$T$15+7*(Reprogramaciones!W$14-1))),MIN(F75,Reprogramaciones!W$13),11))/MAX(0,NETWORKDAYS.INTL(MAX(E75,(Reprogramaciones!$T$15+7*(Reprogramaciones!W$14-1))),MIN(F75,(Reprogramaciones!$T$15+7*(Reprogramaciones!W$14-1))+6),11))))))))</f>
        <v/>
      </c>
      <c r="CG75" s="1" t="str">
        <f aca="false">IF(OR(NOT(AND(ISNUMBER(E75),ISNUMBER(F75))),$J$2=""),"",IF(Reprogramaciones!X$13&lt;Reprogramaciones!$T$15,0,IF(Reprogramaciones!X$14&gt;10,MIN(100,SUM($G75:$P75)),MIN(100,SUMPRODUCT((COLUMN($G75:$P75)-COLUMN($G75)+1&lt;Reprogramaciones!X$14)*$G75:$P75)+N(INDEX($G75:$P75,1,Reprogramaciones!X$14))*IF(Reprogramaciones!X$13&gt;=(Reprogramaciones!$T$15+7*(Reprogramaciones!X$14-1))+6,1,IF(MAX(0,NETWORKDAYS.INTL(MAX(E75,(Reprogramaciones!$T$15+7*(Reprogramaciones!X$14-1))),MIN(F75,(Reprogramaciones!$T$15+7*(Reprogramaciones!X$14-1))+6),11))=0,0,MAX(0,NETWORKDAYS.INTL(MAX(E75,(Reprogramaciones!$T$15+7*(Reprogramaciones!X$14-1))),MIN(F75,Reprogramaciones!X$13),11))/MAX(0,NETWORKDAYS.INTL(MAX(E75,(Reprogramaciones!$T$15+7*(Reprogramaciones!X$14-1))),MIN(F75,(Reprogramaciones!$T$15+7*(Reprogramaciones!X$14-1))+6),11))))))))</f>
        <v/>
      </c>
      <c r="CH75" s="1" t="str">
        <f aca="false">IF(OR(NOT(AND(ISNUMBER(E75),ISNUMBER(F75))),$J$2=""),"",IF(Reprogramaciones!Y$13&lt;Reprogramaciones!$T$15,0,IF(Reprogramaciones!Y$14&gt;10,MIN(100,SUM($G75:$P75)),MIN(100,SUMPRODUCT((COLUMN($G75:$P75)-COLUMN($G75)+1&lt;Reprogramaciones!Y$14)*$G75:$P75)+N(INDEX($G75:$P75,1,Reprogramaciones!Y$14))*IF(Reprogramaciones!Y$13&gt;=(Reprogramaciones!$T$15+7*(Reprogramaciones!Y$14-1))+6,1,IF(MAX(0,NETWORKDAYS.INTL(MAX(E75,(Reprogramaciones!$T$15+7*(Reprogramaciones!Y$14-1))),MIN(F75,(Reprogramaciones!$T$15+7*(Reprogramaciones!Y$14-1))+6),11))=0,0,MAX(0,NETWORKDAYS.INTL(MAX(E75,(Reprogramaciones!$T$15+7*(Reprogramaciones!Y$14-1))),MIN(F75,Reprogramaciones!Y$13),11))/MAX(0,NETWORKDAYS.INTL(MAX(E75,(Reprogramaciones!$T$15+7*(Reprogramaciones!Y$14-1))),MIN(F75,(Reprogramaciones!$T$15+7*(Reprogramaciones!Y$14-1))+6),11))))))))</f>
        <v/>
      </c>
      <c r="CI75" s="1" t="str">
        <f aca="false">IF(OR(NOT(AND(ISNUMBER(E75),ISNUMBER(F75))),$J$2=""),"",IF(Reprogramaciones!Z$13&lt;Reprogramaciones!$T$15,0,IF(Reprogramaciones!Z$14&gt;10,MIN(100,SUM($G75:$P75)),MIN(100,SUMPRODUCT((COLUMN($G75:$P75)-COLUMN($G75)+1&lt;Reprogramaciones!Z$14)*$G75:$P75)+N(INDEX($G75:$P75,1,Reprogramaciones!Z$14))*IF(Reprogramaciones!Z$13&gt;=(Reprogramaciones!$T$15+7*(Reprogramaciones!Z$14-1))+6,1,IF(MAX(0,NETWORKDAYS.INTL(MAX(E75,(Reprogramaciones!$T$15+7*(Reprogramaciones!Z$14-1))),MIN(F75,(Reprogramaciones!$T$15+7*(Reprogramaciones!Z$14-1))+6),11))=0,0,MAX(0,NETWORKDAYS.INTL(MAX(E75,(Reprogramaciones!$T$15+7*(Reprogramaciones!Z$14-1))),MIN(F75,Reprogramaciones!Z$13),11))/MAX(0,NETWORKDAYS.INTL(MAX(E75,(Reprogramaciones!$T$15+7*(Reprogramaciones!Z$14-1))),MIN(F75,(Reprogramaciones!$T$15+7*(Reprogramaciones!Z$14-1))+6),11))))))))</f>
        <v/>
      </c>
      <c r="CJ75" s="1" t="str">
        <f aca="false">IF(OR(OR(NOT(AND(ISNUMBER(E75),ISNUMBER(F75))),$J$2=""),1&gt;Reprogramaciones!$K$16),"",IF(ROUND(SUM($Q75:Q75),1)&gt;=99.5,100,MIN(100,ROUND(SUM($Q75:Q75),1))))</f>
        <v/>
      </c>
      <c r="CK75" s="1" t="str">
        <f aca="false">IF(OR(OR(NOT(AND(ISNUMBER(E75),ISNUMBER(F75))),$J$2=""),2&gt;Reprogramaciones!$K$16),"",IF(ROUND(SUM($Q75:R75),1)&gt;=99.5,100,MIN(100,ROUND(SUM($Q75:R75),1))))</f>
        <v/>
      </c>
      <c r="CL75" s="1" t="str">
        <f aca="false">IF(OR(OR(NOT(AND(ISNUMBER(E75),ISNUMBER(F75))),$J$2=""),3&gt;Reprogramaciones!$K$16),"",IF(ROUND(SUM($Q75:S75),1)&gt;=99.5,100,MIN(100,ROUND(SUM($Q75:S75),1))))</f>
        <v/>
      </c>
      <c r="CM75" s="1" t="str">
        <f aca="false">IF(OR(OR(NOT(AND(ISNUMBER(E75),ISNUMBER(F75))),$J$2=""),4&gt;Reprogramaciones!$K$16),"",IF(ROUND(SUM($Q75:T75),1)&gt;=99.5,100,MIN(100,ROUND(SUM($Q75:T75),1))))</f>
        <v/>
      </c>
      <c r="CN75" s="1" t="str">
        <f aca="false">IF(OR(OR(NOT(AND(ISNUMBER(E75),ISNUMBER(F75))),$J$2=""),5&gt;Reprogramaciones!$K$16),"",IF(ROUND(SUM($Q75:U75),1)&gt;=99.5,100,MIN(100,ROUND(SUM($Q75:U75),1))))</f>
        <v/>
      </c>
      <c r="CO75" s="1" t="str">
        <f aca="false">IF(OR(OR(NOT(AND(ISNUMBER(E75),ISNUMBER(F75))),$J$2=""),6&gt;Reprogramaciones!$K$16),"",IF(ROUND(SUM($Q75:V75),1)&gt;=99.5,100,MIN(100,ROUND(SUM($Q75:V75),1))))</f>
        <v/>
      </c>
      <c r="CP75" s="1" t="str">
        <f aca="false">IF(OR(OR(NOT(AND(ISNUMBER(E75),ISNUMBER(F75))),$J$2=""),7&gt;Reprogramaciones!$K$16),"",IF(ROUND(SUM($Q75:W75),1)&gt;=99.5,100,MIN(100,ROUND(SUM($Q75:W75),1))))</f>
        <v/>
      </c>
      <c r="CQ75" s="1" t="str">
        <f aca="false">IF(OR(OR(NOT(AND(ISNUMBER(E75),ISNUMBER(F75))),$J$2=""),8&gt;Reprogramaciones!$K$16),"",IF(ROUND(SUM($Q75:X75),1)&gt;=99.5,100,MIN(100,ROUND(SUM($Q75:X75),1))))</f>
        <v/>
      </c>
      <c r="CR75" s="1" t="str">
        <f aca="false">IF(OR(OR(NOT(AND(ISNUMBER(E75),ISNUMBER(F75))),$J$2=""),9&gt;Reprogramaciones!$K$16),"",IF(ROUND(SUM($Q75:Y75),1)&gt;=99.5,100,MIN(100,ROUND(SUM($Q75:Y75),1))))</f>
        <v/>
      </c>
      <c r="CS75" s="1" t="str">
        <f aca="false">IF(OR(OR(NOT(AND(ISNUMBER(E75),ISNUMBER(F75))),$J$2=""),10&gt;Reprogramaciones!$K$16),"",IF(ROUND(SUM($Q75:Z75),1)&gt;=99.5,100,MIN(100,ROUND(SUM($Q75:Z75),1))))</f>
        <v/>
      </c>
      <c r="CT75" s="1" t="str">
        <f aca="false">IF(OR(OR(NOT(AND(ISNUMBER(E75),ISNUMBER(F75))),$J$2=""),11&gt;Reprogramaciones!$K$16),"",IF(ROUND(SUM($Q75:AA75),1)&gt;=99.5,100,MIN(100,ROUND(SUM($Q75:AA75),1))))</f>
        <v/>
      </c>
      <c r="CU75" s="1" t="str">
        <f aca="false">IF(OR(OR(NOT(AND(ISNUMBER(E75),ISNUMBER(F75))),$J$2=""),12&gt;Reprogramaciones!$K$16),"",IF(ROUND(SUM($Q75:AB75),1)&gt;=99.5,100,MIN(100,ROUND(SUM($Q75:AB75),1))))</f>
        <v/>
      </c>
      <c r="CV75" s="1" t="str">
        <f aca="false">IF(OR(OR(NOT(AND(ISNUMBER(E75),ISNUMBER(F75))),$J$2=""),13&gt;Reprogramaciones!$K$16),"",IF(ROUND(SUM($Q75:AC75),1)&gt;=99.5,100,MIN(100,ROUND(SUM($Q75:AC75),1))))</f>
        <v/>
      </c>
      <c r="CW75" s="1" t="str">
        <f aca="false">IF(OR(OR(NOT(AND(ISNUMBER(E75),ISNUMBER(F75))),$J$2=""),14&gt;Reprogramaciones!$K$16),"",IF(ROUND(SUM($Q75:AD75),1)&gt;=99.5,100,MIN(100,ROUND(SUM($Q75:AD75),1))))</f>
        <v/>
      </c>
      <c r="CX75" s="1" t="str">
        <f aca="false">IF(OR(OR(NOT(AND(ISNUMBER(E75),ISNUMBER(F75))),$J$2=""),15&gt;Reprogramaciones!$K$16),"",IF(ROUND(SUM($Q75:AE75),1)&gt;=99.5,100,MIN(100,ROUND(SUM($Q75:AE75),1))))</f>
        <v/>
      </c>
      <c r="CY75" s="1" t="str">
        <f aca="false">IF(OR(OR(NOT(AND(ISNUMBER(E75),ISNUMBER(F75))),$J$2=""),16&gt;Reprogramaciones!$K$16),"",IF(ROUND(SUM($Q75:AF75),1)&gt;=99.5,100,MIN(100,ROUND(SUM($Q75:AF75),1))))</f>
        <v/>
      </c>
      <c r="CZ75" s="1" t="str">
        <f aca="false">IF(D75&lt;&gt;"",D75,IF(B75&lt;&gt;"","Contractual",CZ74))</f>
        <v>Contractual</v>
      </c>
      <c r="DA75" s="1" t="str">
        <f aca="false">IF(OR(NOT(AND(ISNUMBER(E75),ISNUMBER(F75))),$J$2=""),"",IF(Reprogramaciones!$Q$15&lt;Reprogramaciones!$T$15,0,IF(Reprogramaciones!$S$15&gt;10,MIN(100,SUM($G75:$P75)),MIN(100,SUMPRODUCT((COLUMN($G75:$P75)-COLUMN($G75)+1&lt;Reprogramaciones!$S$15)*$G75:$P75)+N(INDEX($G75:$P75,1,Reprogramaciones!$S$15))*IF(Reprogramaciones!$Q$15&gt;=(Reprogramaciones!$T$15+7*(Reprogramaciones!$S$15-1))+6,1,IF(MAX(0,NETWORKDAYS.INTL(MAX(E75,(Reprogramaciones!$T$15+7*(Reprogramaciones!$S$15-1))),MIN(F75,(Reprogramaciones!$T$15+7*(Reprogramaciones!$S$15-1))+6),11))=0,0,MAX(0,NETWORKDAYS.INTL(MAX(E75,(Reprogramaciones!$T$15+7*(Reprogramaciones!$S$15-1))),MIN(F75,Reprogramaciones!$Q$15),11))/MAX(0,NETWORKDAYS.INTL(MAX(E75,(Reprogramaciones!$T$15+7*(Reprogramaciones!$S$15-1))),MIN(F75,(Reprogramaciones!$T$15+7*(Reprogramaciones!$S$15-1))+6),11))))))))</f>
        <v/>
      </c>
    </row>
    <row r="76" customFormat="false" ht="15" hidden="false" customHeight="false" outlineLevel="0" collapsed="false">
      <c r="A76" s="32"/>
      <c r="B76" s="33"/>
      <c r="C76" s="33"/>
      <c r="D76" s="34"/>
      <c r="E76" s="35"/>
      <c r="F76" s="35"/>
      <c r="G76" s="36" t="str">
        <f aca="false">IF(OR(NOT(AND(ISNUMBER(E76),ISNUMBER(F76))),$J$2=""),"",IF(Reprogramaciones!K$9&lt;E76,0,IF(NETWORKDAYS.INTL(E76,F76,11)=0,IF(Reprogramaciones!K$9&gt;=F76,100,0),ROUND(NETWORKDAYS.INTL(E76,MIN(F76,Reprogramaciones!K$9),11)/NETWORKDAYS.INTL(E76,F76,11)*100,1)))-0)</f>
        <v/>
      </c>
      <c r="H76" s="36" t="str">
        <f aca="false">IF(OR(NOT(AND(ISNUMBER(E76),ISNUMBER(F76))),$J$2=""),"",IF(Reprogramaciones!L$9&lt;E76,0,IF(NETWORKDAYS.INTL(E76,F76,11)=0,IF(Reprogramaciones!L$9&gt;=F76,100,0),ROUND(NETWORKDAYS.INTL(E76,MIN(F76,Reprogramaciones!L$9),11)/NETWORKDAYS.INTL(E76,F76,11)*100,1)))-IF(Reprogramaciones!K$9&lt;E76,0,IF(NETWORKDAYS.INTL(E76,F76,11)=0,IF(Reprogramaciones!K$9&gt;=F76,100,0),ROUND(NETWORKDAYS.INTL(E76,MIN(F76,Reprogramaciones!K$9),11)/NETWORKDAYS.INTL(E76,F76,11)*100,1))))</f>
        <v/>
      </c>
      <c r="I76" s="36" t="str">
        <f aca="false">IF(OR(NOT(AND(ISNUMBER(E76),ISNUMBER(F76))),$J$2=""),"",IF(Reprogramaciones!M$9&lt;E76,0,IF(NETWORKDAYS.INTL(E76,F76,11)=0,IF(Reprogramaciones!M$9&gt;=F76,100,0),ROUND(NETWORKDAYS.INTL(E76,MIN(F76,Reprogramaciones!M$9),11)/NETWORKDAYS.INTL(E76,F76,11)*100,1)))-IF(Reprogramaciones!L$9&lt;E76,0,IF(NETWORKDAYS.INTL(E76,F76,11)=0,IF(Reprogramaciones!L$9&gt;=F76,100,0),ROUND(NETWORKDAYS.INTL(E76,MIN(F76,Reprogramaciones!L$9),11)/NETWORKDAYS.INTL(E76,F76,11)*100,1))))</f>
        <v/>
      </c>
      <c r="J76" s="36" t="str">
        <f aca="false">IF(OR(NOT(AND(ISNUMBER(E76),ISNUMBER(F76))),$J$2=""),"",IF(Reprogramaciones!N$9&lt;E76,0,IF(NETWORKDAYS.INTL(E76,F76,11)=0,IF(Reprogramaciones!N$9&gt;=F76,100,0),ROUND(NETWORKDAYS.INTL(E76,MIN(F76,Reprogramaciones!N$9),11)/NETWORKDAYS.INTL(E76,F76,11)*100,1)))-IF(Reprogramaciones!M$9&lt;E76,0,IF(NETWORKDAYS.INTL(E76,F76,11)=0,IF(Reprogramaciones!M$9&gt;=F76,100,0),ROUND(NETWORKDAYS.INTL(E76,MIN(F76,Reprogramaciones!M$9),11)/NETWORKDAYS.INTL(E76,F76,11)*100,1))))</f>
        <v/>
      </c>
      <c r="K76" s="36" t="str">
        <f aca="false">IF(OR(NOT(AND(ISNUMBER(E76),ISNUMBER(F76))),$J$2=""),"",IF(Reprogramaciones!O$9&lt;E76,0,IF(NETWORKDAYS.INTL(E76,F76,11)=0,IF(Reprogramaciones!O$9&gt;=F76,100,0),ROUND(NETWORKDAYS.INTL(E76,MIN(F76,Reprogramaciones!O$9),11)/NETWORKDAYS.INTL(E76,F76,11)*100,1)))-IF(Reprogramaciones!N$9&lt;E76,0,IF(NETWORKDAYS.INTL(E76,F76,11)=0,IF(Reprogramaciones!N$9&gt;=F76,100,0),ROUND(NETWORKDAYS.INTL(E76,MIN(F76,Reprogramaciones!N$9),11)/NETWORKDAYS.INTL(E76,F76,11)*100,1))))</f>
        <v/>
      </c>
      <c r="L76" s="36" t="str">
        <f aca="false">IF(OR(NOT(AND(ISNUMBER(E76),ISNUMBER(F76))),$J$2=""),"",IF(Reprogramaciones!P$9&lt;E76,0,IF(NETWORKDAYS.INTL(E76,F76,11)=0,IF(Reprogramaciones!P$9&gt;=F76,100,0),ROUND(NETWORKDAYS.INTL(E76,MIN(F76,Reprogramaciones!P$9),11)/NETWORKDAYS.INTL(E76,F76,11)*100,1)))-IF(Reprogramaciones!O$9&lt;E76,0,IF(NETWORKDAYS.INTL(E76,F76,11)=0,IF(Reprogramaciones!O$9&gt;=F76,100,0),ROUND(NETWORKDAYS.INTL(E76,MIN(F76,Reprogramaciones!O$9),11)/NETWORKDAYS.INTL(E76,F76,11)*100,1))))</f>
        <v/>
      </c>
      <c r="M76" s="36" t="str">
        <f aca="false">IF(OR(NOT(AND(ISNUMBER(E76),ISNUMBER(F76))),$J$2=""),"",IF(Reprogramaciones!Q$9&lt;E76,0,IF(NETWORKDAYS.INTL(E76,F76,11)=0,IF(Reprogramaciones!Q$9&gt;=F76,100,0),ROUND(NETWORKDAYS.INTL(E76,MIN(F76,Reprogramaciones!Q$9),11)/NETWORKDAYS.INTL(E76,F76,11)*100,1)))-IF(Reprogramaciones!P$9&lt;E76,0,IF(NETWORKDAYS.INTL(E76,F76,11)=0,IF(Reprogramaciones!P$9&gt;=F76,100,0),ROUND(NETWORKDAYS.INTL(E76,MIN(F76,Reprogramaciones!P$9),11)/NETWORKDAYS.INTL(E76,F76,11)*100,1))))</f>
        <v/>
      </c>
      <c r="N76" s="36" t="str">
        <f aca="false">IF(OR(NOT(AND(ISNUMBER(E76),ISNUMBER(F76))),$J$2=""),"",IF(Reprogramaciones!R$9&lt;E76,0,IF(NETWORKDAYS.INTL(E76,F76,11)=0,IF(Reprogramaciones!R$9&gt;=F76,100,0),ROUND(NETWORKDAYS.INTL(E76,MIN(F76,Reprogramaciones!R$9),11)/NETWORKDAYS.INTL(E76,F76,11)*100,1)))-IF(Reprogramaciones!Q$9&lt;E76,0,IF(NETWORKDAYS.INTL(E76,F76,11)=0,IF(Reprogramaciones!Q$9&gt;=F76,100,0),ROUND(NETWORKDAYS.INTL(E76,MIN(F76,Reprogramaciones!Q$9),11)/NETWORKDAYS.INTL(E76,F76,11)*100,1))))</f>
        <v/>
      </c>
      <c r="O76" s="36" t="str">
        <f aca="false">IF(OR(NOT(AND(ISNUMBER(E76),ISNUMBER(F76))),$J$2=""),"",IF(Reprogramaciones!S$9&lt;E76,0,IF(NETWORKDAYS.INTL(E76,F76,11)=0,IF(Reprogramaciones!S$9&gt;=F76,100,0),ROUND(NETWORKDAYS.INTL(E76,MIN(F76,Reprogramaciones!S$9),11)/NETWORKDAYS.INTL(E76,F76,11)*100,1)))-IF(Reprogramaciones!R$9&lt;E76,0,IF(NETWORKDAYS.INTL(E76,F76,11)=0,IF(Reprogramaciones!R$9&gt;=F76,100,0),ROUND(NETWORKDAYS.INTL(E76,MIN(F76,Reprogramaciones!R$9),11)/NETWORKDAYS.INTL(E76,F76,11)*100,1))))</f>
        <v/>
      </c>
      <c r="P76" s="36" t="str">
        <f aca="false">IF(OR(NOT(AND(ISNUMBER(E76),ISNUMBER(F76))),$J$2=""),"",IF(Reprogramaciones!T$9&lt;E76,0,IF(NETWORKDAYS.INTL(E76,F76,11)=0,IF(Reprogramaciones!T$9&gt;=F76,100,0),ROUND(NETWORKDAYS.INTL(E76,MIN(F76,Reprogramaciones!T$9),11)/NETWORKDAYS.INTL(E76,F76,11)*100,1)))-IF(Reprogramaciones!S$9&lt;E76,0,IF(NETWORKDAYS.INTL(E76,F76,11)=0,IF(Reprogramaciones!S$9&gt;=F76,100,0),ROUND(NETWORKDAYS.INTL(E76,MIN(F76,Reprogramaciones!S$9),11)/NETWORKDAYS.INTL(E76,F76,11)*100,1))))</f>
        <v/>
      </c>
      <c r="Q76" s="37"/>
      <c r="R76" s="37"/>
      <c r="S76" s="37"/>
      <c r="T76" s="37"/>
      <c r="U76" s="37"/>
      <c r="V76" s="37"/>
      <c r="W76" s="37"/>
      <c r="X76" s="37"/>
      <c r="Y76" s="37"/>
      <c r="Z76" s="37"/>
      <c r="AA76" s="37"/>
      <c r="AB76" s="37"/>
      <c r="AC76" s="37"/>
      <c r="AD76" s="37"/>
      <c r="AE76" s="37"/>
      <c r="AF76" s="37"/>
      <c r="AG76" s="38" t="str">
        <f aca="false">IF(AND(ISNUMBER(E76),ISNUMBER(F76)),NETWORKDAYS.INTL(E76,F76,11),"")</f>
        <v/>
      </c>
      <c r="AH76" s="38" t="str">
        <f aca="false">IF(OR(NOT(AND(ISNUMBER(E76),ISNUMBER(F76))),$J$2=""),"",IF(Reprogramaciones!$P$15&lt;Reprogramaciones!$T$15,0,IF(Reprogramaciones!$R$15&gt;10,MIN(100,SUM($G76:$P76)),MIN(100,SUMPRODUCT((COLUMN($G76:$P76)-COLUMN($G76)+1&lt;Reprogramaciones!$R$15)*$G76:$P76)+N(INDEX($G76:$P76,1,Reprogramaciones!$R$15))*IF(Reprogramaciones!$P$15&gt;=(Reprogramaciones!$T$15+7*(Reprogramaciones!$R$15-1))+6,1,IF(MAX(0,NETWORKDAYS.INTL(MAX(E76,(Reprogramaciones!$T$15+7*(Reprogramaciones!$R$15-1))),MIN(F76,(Reprogramaciones!$T$15+7*(Reprogramaciones!$R$15-1))+6),11))=0,0,MAX(0,NETWORKDAYS.INTL(MAX(E76,(Reprogramaciones!$T$15+7*(Reprogramaciones!$R$15-1))),MIN(F76,Reprogramaciones!$P$15),11))/MAX(0,NETWORKDAYS.INTL(MAX(E76,(Reprogramaciones!$T$15+7*(Reprogramaciones!$R$15-1))),MIN(F76,(Reprogramaciones!$T$15+7*(Reprogramaciones!$R$15-1))+6),11))))))))</f>
        <v/>
      </c>
      <c r="AI76" s="38" t="str">
        <f aca="false">IF(COUNT($Q76:$AF76)=0,"",IF(ROUND(SUM($Q76:$AF76),1)&gt;=99.5,100,MIN(100,ROUND(SUM($Q76:$AF76),1))))</f>
        <v/>
      </c>
      <c r="AJ76" s="38" t="str">
        <f aca="false">IF(OR(AH76="",AI76=""),"",AI76-AH76)</f>
        <v/>
      </c>
      <c r="AK76" s="39" t="str">
        <f aca="true">IF(AH76="","",IF(OR(Ficha!$C$10="Suspendida",Ficha!$C$10="Cancelada"),Ficha!$C$10,IF(AND(AI76&lt;&gt;"",N(AI76)&gt;=100),"Completada",IF(AND(E76&gt;TODAY(),N(AI76)=0),"Por iniciar",IF(N(AI76)+0.5&lt;AH76,"Retrasada",IF(N(AI76)+0.5&lt;DA76,IF(Reprogramaciones!$K$15&gt;0,"Al día · Sem "&amp;Reprogramaciones!$K$15&amp;" en curso","Al día · en curso"),"A tiempo"))))))</f>
        <v/>
      </c>
      <c r="AL76" s="39" t="str">
        <f aca="true">IF(AND(A76="",AND(B76="",C76="",E76="",F76="",COUNT(Q76:AF76)=0)),"",IF(AND(B76="",C76="",E76="",F76="",COUNT(Q76:AF76)=0),"Falta la partida o subpartida",IF(AND(A76&lt;&gt;"",COUNTIF($A$6:$A$305,A76)&gt;1),"Ítem repetido",IF(AND(C76="",E76="",F76="",COUNT(Q76:AF76)=0),"Título de partida",IF(OR(E76="",F76=""),"Faltan fechas",IF(OR(ISTEXT(E76),ISTEXT(F76)),"Fecha escrita como texto: usa dd/mm/aaaa",IF(F76&lt;E76,"Fin antes del inicio",IF(IF($J$2="",FALSE(),OR(E76&lt;$J$2,F76&gt;Reprogramaciones!$T$15+69)),"Fuera de las 10 semanas",IF(ABS(SUM(G76:P76)-100)&gt;0.5,"La meta no suma 100%",IF(ROUND(SUM(Q76:AF76),1)&gt;100.5,"El avance pasa de 100%",IF(MIN(Q76:AF76)&lt;0,"Avance negativo",IF(COUNTA(Q76:AF76)&gt;COUNT(Q76:AF76),"Avance escrito como texto",IF(SUMPRODUCT((Q76:AF76&gt;0)*(Q76:AF76&lt;1))&gt;0,"Avance menor a 1: escribe 50, no 50%",IF(SUMPRODUCT(ISNUMBER(Q76:AF76)*(Reprogramaciones!$K$8:$Z$8&gt;TODAY()))&gt;0,"Avance en semana que aún no llega",IF(AND(N(Reprogramaciones!$E$21)&gt;0,F76&gt;Reprogramaciones!$E$21),"Pasa el fin de la obra: registra una reprogramación",IF(AND(N(Reprogramaciones!$E$21)&gt;0,SUMPRODUCT(ISNUMBER(Q76:AF76)*(Reprogramaciones!$K$8:$Z$8&gt;Reprogramaciones!$E$21))&gt;0),"Avance después del fin de la obra: registra una reprogramación por atraso","OK"))))))))))))))))</f>
        <v/>
      </c>
      <c r="AM76" s="40" t="str">
        <f aca="false">IF(OR(OR(NOT(AND(ISNUMBER(E76),ISNUMBER(F76))),$J$2=""),1&gt;MAX(1,Reprogramaciones!$U$15)),"",IF(Reprogramaciones!K$12&gt;=7,"",IF(OR(BT76-N(0)&gt;0.05,N(Q76)&gt;0),ROUNDDOWN(ROUND(BT76,6),0)&amp;"%"&amp;IF(CJ76="",""," / "&amp;CJ76&amp;"%"),IF(AND(N(0)&gt;=99.95,CJ76&lt;&gt;"",N(CJ76)&lt;100),"Pend. "&amp;CJ76&amp;"%",""))))</f>
        <v/>
      </c>
      <c r="AN76" s="40" t="str">
        <f aca="false">IF(OR(OR(NOT(AND(ISNUMBER(E76),ISNUMBER(F76))),$J$2=""),2&gt;MAX(1,Reprogramaciones!$U$15)),"",IF(Reprogramaciones!L$12&gt;=7,"",IF(OR(BU76-N(BT76)&gt;0.05,N(R76)&gt;0),ROUNDDOWN(ROUND(BU76,6),0)&amp;"%"&amp;IF(CK76="",""," / "&amp;CK76&amp;"%"),IF(AND(N(BT76)&gt;=99.95,CK76&lt;&gt;"",N(CK76)&lt;100),"Pend. "&amp;CK76&amp;"%",""))))</f>
        <v/>
      </c>
      <c r="AO76" s="40" t="str">
        <f aca="false">IF(OR(OR(NOT(AND(ISNUMBER(E76),ISNUMBER(F76))),$J$2=""),3&gt;MAX(1,Reprogramaciones!$U$15)),"",IF(Reprogramaciones!M$12&gt;=7,"",IF(OR(BV76-N(BU76)&gt;0.05,N(S76)&gt;0),ROUNDDOWN(ROUND(BV76,6),0)&amp;"%"&amp;IF(CL76="",""," / "&amp;CL76&amp;"%"),IF(AND(N(BU76)&gt;=99.95,CL76&lt;&gt;"",N(CL76)&lt;100),"Pend. "&amp;CL76&amp;"%",""))))</f>
        <v/>
      </c>
      <c r="AP76" s="40" t="str">
        <f aca="false">IF(OR(OR(NOT(AND(ISNUMBER(E76),ISNUMBER(F76))),$J$2=""),4&gt;MAX(1,Reprogramaciones!$U$15)),"",IF(Reprogramaciones!N$12&gt;=7,"",IF(OR(BW76-N(BV76)&gt;0.05,N(T76)&gt;0),ROUNDDOWN(ROUND(BW76,6),0)&amp;"%"&amp;IF(CM76="",""," / "&amp;CM76&amp;"%"),IF(AND(N(BV76)&gt;=99.95,CM76&lt;&gt;"",N(CM76)&lt;100),"Pend. "&amp;CM76&amp;"%",""))))</f>
        <v/>
      </c>
      <c r="AQ76" s="40" t="str">
        <f aca="false">IF(OR(OR(NOT(AND(ISNUMBER(E76),ISNUMBER(F76))),$J$2=""),5&gt;MAX(1,Reprogramaciones!$U$15)),"",IF(Reprogramaciones!O$12&gt;=7,"",IF(OR(BX76-N(BW76)&gt;0.05,N(U76)&gt;0),ROUNDDOWN(ROUND(BX76,6),0)&amp;"%"&amp;IF(CN76="",""," / "&amp;CN76&amp;"%"),IF(AND(N(BW76)&gt;=99.95,CN76&lt;&gt;"",N(CN76)&lt;100),"Pend. "&amp;CN76&amp;"%",""))))</f>
        <v/>
      </c>
      <c r="AR76" s="40" t="str">
        <f aca="false">IF(OR(OR(NOT(AND(ISNUMBER(E76),ISNUMBER(F76))),$J$2=""),6&gt;MAX(1,Reprogramaciones!$U$15)),"",IF(Reprogramaciones!P$12&gt;=7,"",IF(OR(BY76-N(BX76)&gt;0.05,N(V76)&gt;0),ROUNDDOWN(ROUND(BY76,6),0)&amp;"%"&amp;IF(CO76="",""," / "&amp;CO76&amp;"%"),IF(AND(N(BX76)&gt;=99.95,CO76&lt;&gt;"",N(CO76)&lt;100),"Pend. "&amp;CO76&amp;"%",""))))</f>
        <v/>
      </c>
      <c r="AS76" s="40" t="str">
        <f aca="false">IF(OR(OR(NOT(AND(ISNUMBER(E76),ISNUMBER(F76))),$J$2=""),7&gt;MAX(1,Reprogramaciones!$U$15)),"",IF(Reprogramaciones!Q$12&gt;=7,"",IF(OR(BZ76-N(BY76)&gt;0.05,N(W76)&gt;0),ROUNDDOWN(ROUND(BZ76,6),0)&amp;"%"&amp;IF(CP76="",""," / "&amp;CP76&amp;"%"),IF(AND(N(BY76)&gt;=99.95,CP76&lt;&gt;"",N(CP76)&lt;100),"Pend. "&amp;CP76&amp;"%",""))))</f>
        <v/>
      </c>
      <c r="AT76" s="40" t="str">
        <f aca="false">IF(OR(OR(NOT(AND(ISNUMBER(E76),ISNUMBER(F76))),$J$2=""),8&gt;MAX(1,Reprogramaciones!$U$15)),"",IF(Reprogramaciones!R$12&gt;=7,"",IF(OR(CA76-N(BZ76)&gt;0.05,N(X76)&gt;0),ROUNDDOWN(ROUND(CA76,6),0)&amp;"%"&amp;IF(CQ76="",""," / "&amp;CQ76&amp;"%"),IF(AND(N(BZ76)&gt;=99.95,CQ76&lt;&gt;"",N(CQ76)&lt;100),"Pend. "&amp;CQ76&amp;"%",""))))</f>
        <v/>
      </c>
      <c r="AU76" s="40" t="str">
        <f aca="false">IF(OR(OR(NOT(AND(ISNUMBER(E76),ISNUMBER(F76))),$J$2=""),9&gt;MAX(1,Reprogramaciones!$U$15)),"",IF(Reprogramaciones!S$12&gt;=7,"",IF(OR(CB76-N(CA76)&gt;0.05,N(Y76)&gt;0),ROUNDDOWN(ROUND(CB76,6),0)&amp;"%"&amp;IF(CR76="",""," / "&amp;CR76&amp;"%"),IF(AND(N(CA76)&gt;=99.95,CR76&lt;&gt;"",N(CR76)&lt;100),"Pend. "&amp;CR76&amp;"%",""))))</f>
        <v/>
      </c>
      <c r="AV76" s="40" t="str">
        <f aca="false">IF(OR(OR(NOT(AND(ISNUMBER(E76),ISNUMBER(F76))),$J$2=""),10&gt;MAX(1,Reprogramaciones!$U$15)),"",IF(Reprogramaciones!T$12&gt;=7,"",IF(OR(CC76-N(CB76)&gt;0.05,N(Z76)&gt;0),ROUNDDOWN(ROUND(CC76,6),0)&amp;"%"&amp;IF(CS76="",""," / "&amp;CS76&amp;"%"),IF(AND(N(CB76)&gt;=99.95,CS76&lt;&gt;"",N(CS76)&lt;100),"Pend. "&amp;CS76&amp;"%",""))))</f>
        <v/>
      </c>
      <c r="AW76" s="40" t="str">
        <f aca="false">IF(OR(OR(NOT(AND(ISNUMBER(E76),ISNUMBER(F76))),$J$2=""),11&gt;MAX(1,Reprogramaciones!$U$15)),"",IF(Reprogramaciones!U$12&gt;=7,"",IF(OR(CD76-N(CC76)&gt;0.05,N(AA76)&gt;0),ROUNDDOWN(ROUND(CD76,6),0)&amp;"%"&amp;IF(CT76="",""," / "&amp;CT76&amp;"%"),IF(AND(N(CC76)&gt;=99.95,CT76&lt;&gt;"",N(CT76)&lt;100),"Pend. "&amp;CT76&amp;"%",""))))</f>
        <v/>
      </c>
      <c r="AX76" s="40" t="str">
        <f aca="false">IF(OR(OR(NOT(AND(ISNUMBER(E76),ISNUMBER(F76))),$J$2=""),12&gt;MAX(1,Reprogramaciones!$U$15)),"",IF(Reprogramaciones!V$12&gt;=7,"",IF(OR(CE76-N(CD76)&gt;0.05,N(AB76)&gt;0),ROUNDDOWN(ROUND(CE76,6),0)&amp;"%"&amp;IF(CU76="",""," / "&amp;CU76&amp;"%"),IF(AND(N(CD76)&gt;=99.95,CU76&lt;&gt;"",N(CU76)&lt;100),"Pend. "&amp;CU76&amp;"%",""))))</f>
        <v/>
      </c>
      <c r="AY76" s="40" t="str">
        <f aca="false">IF(OR(OR(NOT(AND(ISNUMBER(E76),ISNUMBER(F76))),$J$2=""),13&gt;MAX(1,Reprogramaciones!$U$15)),"",IF(Reprogramaciones!W$12&gt;=7,"",IF(OR(CF76-N(CE76)&gt;0.05,N(AC76)&gt;0),ROUNDDOWN(ROUND(CF76,6),0)&amp;"%"&amp;IF(CV76="",""," / "&amp;CV76&amp;"%"),IF(AND(N(CE76)&gt;=99.95,CV76&lt;&gt;"",N(CV76)&lt;100),"Pend. "&amp;CV76&amp;"%",""))))</f>
        <v/>
      </c>
      <c r="AZ76" s="40" t="str">
        <f aca="false">IF(OR(OR(NOT(AND(ISNUMBER(E76),ISNUMBER(F76))),$J$2=""),14&gt;MAX(1,Reprogramaciones!$U$15)),"",IF(Reprogramaciones!X$12&gt;=7,"",IF(OR(CG76-N(CF76)&gt;0.05,N(AD76)&gt;0),ROUNDDOWN(ROUND(CG76,6),0)&amp;"%"&amp;IF(CW76="",""," / "&amp;CW76&amp;"%"),IF(AND(N(CF76)&gt;=99.95,CW76&lt;&gt;"",N(CW76)&lt;100),"Pend. "&amp;CW76&amp;"%",""))))</f>
        <v/>
      </c>
      <c r="BA76" s="40" t="str">
        <f aca="false">IF(OR(OR(NOT(AND(ISNUMBER(E76),ISNUMBER(F76))),$J$2=""),15&gt;MAX(1,Reprogramaciones!$U$15)),"",IF(Reprogramaciones!Y$12&gt;=7,"",IF(OR(CH76-N(CG76)&gt;0.05,N(AE76)&gt;0),ROUNDDOWN(ROUND(CH76,6),0)&amp;"%"&amp;IF(CX76="",""," / "&amp;CX76&amp;"%"),IF(AND(N(CG76)&gt;=99.95,CX76&lt;&gt;"",N(CX76)&lt;100),"Pend. "&amp;CX76&amp;"%",""))))</f>
        <v/>
      </c>
      <c r="BB76" s="40" t="str">
        <f aca="false">IF(OR(OR(NOT(AND(ISNUMBER(E76),ISNUMBER(F76))),$J$2=""),16&gt;MAX(1,Reprogramaciones!$U$15)),"",IF(Reprogramaciones!Z$12&gt;=7,"",IF(OR(CI76-N(CH76)&gt;0.05,N(AF76)&gt;0),ROUNDDOWN(ROUND(CI76,6),0)&amp;"%"&amp;IF(CY76="",""," / "&amp;CY76&amp;"%"),IF(AND(N(CH76)&gt;=99.95,CY76&lt;&gt;"",N(CY76)&lt;100),"Pend. "&amp;CY76&amp;"%",""))))</f>
        <v/>
      </c>
      <c r="BC76" s="31" t="n">
        <f aca="false">IF(AND(ISNUMBER(E76),ISNUMBER(F76)),MAX(1,NETWORKDAYS.INTL(E76,F76,11)),0)</f>
        <v>0</v>
      </c>
      <c r="BD76" s="1" t="str">
        <f aca="false">IF(OR(NOT(AND(ISNUMBER(E76),ISNUMBER(F76))),$J$2=""),"",MIN(100,ROUND(SUM($G76:G76),1)))</f>
        <v/>
      </c>
      <c r="BE76" s="1" t="str">
        <f aca="false">IF(OR(NOT(AND(ISNUMBER(E76),ISNUMBER(F76))),$J$2=""),"",MIN(100,ROUND(SUM($G76:H76),1)))</f>
        <v/>
      </c>
      <c r="BF76" s="1" t="str">
        <f aca="false">IF(OR(NOT(AND(ISNUMBER(E76),ISNUMBER(F76))),$J$2=""),"",MIN(100,ROUND(SUM($G76:I76),1)))</f>
        <v/>
      </c>
      <c r="BG76" s="1" t="str">
        <f aca="false">IF(OR(NOT(AND(ISNUMBER(E76),ISNUMBER(F76))),$J$2=""),"",MIN(100,ROUND(SUM($G76:J76),1)))</f>
        <v/>
      </c>
      <c r="BH76" s="1" t="str">
        <f aca="false">IF(OR(NOT(AND(ISNUMBER(E76),ISNUMBER(F76))),$J$2=""),"",MIN(100,ROUND(SUM($G76:K76),1)))</f>
        <v/>
      </c>
      <c r="BI76" s="1" t="str">
        <f aca="false">IF(OR(NOT(AND(ISNUMBER(E76),ISNUMBER(F76))),$J$2=""),"",MIN(100,ROUND(SUM($G76:L76),1)))</f>
        <v/>
      </c>
      <c r="BJ76" s="1" t="str">
        <f aca="false">IF(OR(NOT(AND(ISNUMBER(E76),ISNUMBER(F76))),$J$2=""),"",MIN(100,ROUND(SUM($G76:M76),1)))</f>
        <v/>
      </c>
      <c r="BK76" s="1" t="str">
        <f aca="false">IF(OR(NOT(AND(ISNUMBER(E76),ISNUMBER(F76))),$J$2=""),"",MIN(100,ROUND(SUM($G76:N76),1)))</f>
        <v/>
      </c>
      <c r="BL76" s="1" t="str">
        <f aca="false">IF(OR(NOT(AND(ISNUMBER(E76),ISNUMBER(F76))),$J$2=""),"",MIN(100,ROUND(SUM($G76:O76),1)))</f>
        <v/>
      </c>
      <c r="BM76" s="1" t="str">
        <f aca="false">IF(OR(NOT(AND(ISNUMBER(E76),ISNUMBER(F76))),$J$2=""),"",MIN(100,ROUND(SUM($G76:P76),1)))</f>
        <v/>
      </c>
      <c r="BN76" s="1" t="str">
        <f aca="false">IF(OR(NOT(AND(ISNUMBER(E76),ISNUMBER(F76))),$J$2=""),"",MIN(100,ROUND(SUM($G76:P76),1)))</f>
        <v/>
      </c>
      <c r="BO76" s="1" t="str">
        <f aca="false">IF(OR(NOT(AND(ISNUMBER(E76),ISNUMBER(F76))),$J$2=""),"",MIN(100,ROUND(SUM($G76:P76),1)))</f>
        <v/>
      </c>
      <c r="BP76" s="1" t="str">
        <f aca="false">IF(OR(NOT(AND(ISNUMBER(E76),ISNUMBER(F76))),$J$2=""),"",MIN(100,ROUND(SUM($G76:P76),1)))</f>
        <v/>
      </c>
      <c r="BQ76" s="1" t="str">
        <f aca="false">IF(OR(NOT(AND(ISNUMBER(E76),ISNUMBER(F76))),$J$2=""),"",MIN(100,ROUND(SUM($G76:P76),1)))</f>
        <v/>
      </c>
      <c r="BR76" s="1" t="str">
        <f aca="false">IF(OR(NOT(AND(ISNUMBER(E76),ISNUMBER(F76))),$J$2=""),"",MIN(100,ROUND(SUM($G76:P76),1)))</f>
        <v/>
      </c>
      <c r="BS76" s="1" t="str">
        <f aca="false">IF(OR(NOT(AND(ISNUMBER(E76),ISNUMBER(F76))),$J$2=""),"",MIN(100,ROUND(SUM($G76:P76),1)))</f>
        <v/>
      </c>
      <c r="BT76" s="1" t="str">
        <f aca="false">IF(OR(NOT(AND(ISNUMBER(E76),ISNUMBER(F76))),$J$2=""),"",IF(Reprogramaciones!K$13&lt;Reprogramaciones!$T$15,0,IF(Reprogramaciones!K$14&gt;10,MIN(100,SUM($G76:$P76)),MIN(100,SUMPRODUCT((COLUMN($G76:$P76)-COLUMN($G76)+1&lt;Reprogramaciones!K$14)*$G76:$P76)+N(INDEX($G76:$P76,1,Reprogramaciones!K$14))*IF(Reprogramaciones!K$13&gt;=(Reprogramaciones!$T$15+7*(Reprogramaciones!K$14-1))+6,1,IF(MAX(0,NETWORKDAYS.INTL(MAX(E76,(Reprogramaciones!$T$15+7*(Reprogramaciones!K$14-1))),MIN(F76,(Reprogramaciones!$T$15+7*(Reprogramaciones!K$14-1))+6),11))=0,0,MAX(0,NETWORKDAYS.INTL(MAX(E76,(Reprogramaciones!$T$15+7*(Reprogramaciones!K$14-1))),MIN(F76,Reprogramaciones!K$13),11))/MAX(0,NETWORKDAYS.INTL(MAX(E76,(Reprogramaciones!$T$15+7*(Reprogramaciones!K$14-1))),MIN(F76,(Reprogramaciones!$T$15+7*(Reprogramaciones!K$14-1))+6),11))))))))</f>
        <v/>
      </c>
      <c r="BU76" s="1" t="str">
        <f aca="false">IF(OR(NOT(AND(ISNUMBER(E76),ISNUMBER(F76))),$J$2=""),"",IF(Reprogramaciones!L$13&lt;Reprogramaciones!$T$15,0,IF(Reprogramaciones!L$14&gt;10,MIN(100,SUM($G76:$P76)),MIN(100,SUMPRODUCT((COLUMN($G76:$P76)-COLUMN($G76)+1&lt;Reprogramaciones!L$14)*$G76:$P76)+N(INDEX($G76:$P76,1,Reprogramaciones!L$14))*IF(Reprogramaciones!L$13&gt;=(Reprogramaciones!$T$15+7*(Reprogramaciones!L$14-1))+6,1,IF(MAX(0,NETWORKDAYS.INTL(MAX(E76,(Reprogramaciones!$T$15+7*(Reprogramaciones!L$14-1))),MIN(F76,(Reprogramaciones!$T$15+7*(Reprogramaciones!L$14-1))+6),11))=0,0,MAX(0,NETWORKDAYS.INTL(MAX(E76,(Reprogramaciones!$T$15+7*(Reprogramaciones!L$14-1))),MIN(F76,Reprogramaciones!L$13),11))/MAX(0,NETWORKDAYS.INTL(MAX(E76,(Reprogramaciones!$T$15+7*(Reprogramaciones!L$14-1))),MIN(F76,(Reprogramaciones!$T$15+7*(Reprogramaciones!L$14-1))+6),11))))))))</f>
        <v/>
      </c>
      <c r="BV76" s="1" t="str">
        <f aca="false">IF(OR(NOT(AND(ISNUMBER(E76),ISNUMBER(F76))),$J$2=""),"",IF(Reprogramaciones!M$13&lt;Reprogramaciones!$T$15,0,IF(Reprogramaciones!M$14&gt;10,MIN(100,SUM($G76:$P76)),MIN(100,SUMPRODUCT((COLUMN($G76:$P76)-COLUMN($G76)+1&lt;Reprogramaciones!M$14)*$G76:$P76)+N(INDEX($G76:$P76,1,Reprogramaciones!M$14))*IF(Reprogramaciones!M$13&gt;=(Reprogramaciones!$T$15+7*(Reprogramaciones!M$14-1))+6,1,IF(MAX(0,NETWORKDAYS.INTL(MAX(E76,(Reprogramaciones!$T$15+7*(Reprogramaciones!M$14-1))),MIN(F76,(Reprogramaciones!$T$15+7*(Reprogramaciones!M$14-1))+6),11))=0,0,MAX(0,NETWORKDAYS.INTL(MAX(E76,(Reprogramaciones!$T$15+7*(Reprogramaciones!M$14-1))),MIN(F76,Reprogramaciones!M$13),11))/MAX(0,NETWORKDAYS.INTL(MAX(E76,(Reprogramaciones!$T$15+7*(Reprogramaciones!M$14-1))),MIN(F76,(Reprogramaciones!$T$15+7*(Reprogramaciones!M$14-1))+6),11))))))))</f>
        <v/>
      </c>
      <c r="BW76" s="1" t="str">
        <f aca="false">IF(OR(NOT(AND(ISNUMBER(E76),ISNUMBER(F76))),$J$2=""),"",IF(Reprogramaciones!N$13&lt;Reprogramaciones!$T$15,0,IF(Reprogramaciones!N$14&gt;10,MIN(100,SUM($G76:$P76)),MIN(100,SUMPRODUCT((COLUMN($G76:$P76)-COLUMN($G76)+1&lt;Reprogramaciones!N$14)*$G76:$P76)+N(INDEX($G76:$P76,1,Reprogramaciones!N$14))*IF(Reprogramaciones!N$13&gt;=(Reprogramaciones!$T$15+7*(Reprogramaciones!N$14-1))+6,1,IF(MAX(0,NETWORKDAYS.INTL(MAX(E76,(Reprogramaciones!$T$15+7*(Reprogramaciones!N$14-1))),MIN(F76,(Reprogramaciones!$T$15+7*(Reprogramaciones!N$14-1))+6),11))=0,0,MAX(0,NETWORKDAYS.INTL(MAX(E76,(Reprogramaciones!$T$15+7*(Reprogramaciones!N$14-1))),MIN(F76,Reprogramaciones!N$13),11))/MAX(0,NETWORKDAYS.INTL(MAX(E76,(Reprogramaciones!$T$15+7*(Reprogramaciones!N$14-1))),MIN(F76,(Reprogramaciones!$T$15+7*(Reprogramaciones!N$14-1))+6),11))))))))</f>
        <v/>
      </c>
      <c r="BX76" s="1" t="str">
        <f aca="false">IF(OR(NOT(AND(ISNUMBER(E76),ISNUMBER(F76))),$J$2=""),"",IF(Reprogramaciones!O$13&lt;Reprogramaciones!$T$15,0,IF(Reprogramaciones!O$14&gt;10,MIN(100,SUM($G76:$P76)),MIN(100,SUMPRODUCT((COLUMN($G76:$P76)-COLUMN($G76)+1&lt;Reprogramaciones!O$14)*$G76:$P76)+N(INDEX($G76:$P76,1,Reprogramaciones!O$14))*IF(Reprogramaciones!O$13&gt;=(Reprogramaciones!$T$15+7*(Reprogramaciones!O$14-1))+6,1,IF(MAX(0,NETWORKDAYS.INTL(MAX(E76,(Reprogramaciones!$T$15+7*(Reprogramaciones!O$14-1))),MIN(F76,(Reprogramaciones!$T$15+7*(Reprogramaciones!O$14-1))+6),11))=0,0,MAX(0,NETWORKDAYS.INTL(MAX(E76,(Reprogramaciones!$T$15+7*(Reprogramaciones!O$14-1))),MIN(F76,Reprogramaciones!O$13),11))/MAX(0,NETWORKDAYS.INTL(MAX(E76,(Reprogramaciones!$T$15+7*(Reprogramaciones!O$14-1))),MIN(F76,(Reprogramaciones!$T$15+7*(Reprogramaciones!O$14-1))+6),11))))))))</f>
        <v/>
      </c>
      <c r="BY76" s="1" t="str">
        <f aca="false">IF(OR(NOT(AND(ISNUMBER(E76),ISNUMBER(F76))),$J$2=""),"",IF(Reprogramaciones!P$13&lt;Reprogramaciones!$T$15,0,IF(Reprogramaciones!P$14&gt;10,MIN(100,SUM($G76:$P76)),MIN(100,SUMPRODUCT((COLUMN($G76:$P76)-COLUMN($G76)+1&lt;Reprogramaciones!P$14)*$G76:$P76)+N(INDEX($G76:$P76,1,Reprogramaciones!P$14))*IF(Reprogramaciones!P$13&gt;=(Reprogramaciones!$T$15+7*(Reprogramaciones!P$14-1))+6,1,IF(MAX(0,NETWORKDAYS.INTL(MAX(E76,(Reprogramaciones!$T$15+7*(Reprogramaciones!P$14-1))),MIN(F76,(Reprogramaciones!$T$15+7*(Reprogramaciones!P$14-1))+6),11))=0,0,MAX(0,NETWORKDAYS.INTL(MAX(E76,(Reprogramaciones!$T$15+7*(Reprogramaciones!P$14-1))),MIN(F76,Reprogramaciones!P$13),11))/MAX(0,NETWORKDAYS.INTL(MAX(E76,(Reprogramaciones!$T$15+7*(Reprogramaciones!P$14-1))),MIN(F76,(Reprogramaciones!$T$15+7*(Reprogramaciones!P$14-1))+6),11))))))))</f>
        <v/>
      </c>
      <c r="BZ76" s="1" t="str">
        <f aca="false">IF(OR(NOT(AND(ISNUMBER(E76),ISNUMBER(F76))),$J$2=""),"",IF(Reprogramaciones!Q$13&lt;Reprogramaciones!$T$15,0,IF(Reprogramaciones!Q$14&gt;10,MIN(100,SUM($G76:$P76)),MIN(100,SUMPRODUCT((COLUMN($G76:$P76)-COLUMN($G76)+1&lt;Reprogramaciones!Q$14)*$G76:$P76)+N(INDEX($G76:$P76,1,Reprogramaciones!Q$14))*IF(Reprogramaciones!Q$13&gt;=(Reprogramaciones!$T$15+7*(Reprogramaciones!Q$14-1))+6,1,IF(MAX(0,NETWORKDAYS.INTL(MAX(E76,(Reprogramaciones!$T$15+7*(Reprogramaciones!Q$14-1))),MIN(F76,(Reprogramaciones!$T$15+7*(Reprogramaciones!Q$14-1))+6),11))=0,0,MAX(0,NETWORKDAYS.INTL(MAX(E76,(Reprogramaciones!$T$15+7*(Reprogramaciones!Q$14-1))),MIN(F76,Reprogramaciones!Q$13),11))/MAX(0,NETWORKDAYS.INTL(MAX(E76,(Reprogramaciones!$T$15+7*(Reprogramaciones!Q$14-1))),MIN(F76,(Reprogramaciones!$T$15+7*(Reprogramaciones!Q$14-1))+6),11))))))))</f>
        <v/>
      </c>
      <c r="CA76" s="1" t="str">
        <f aca="false">IF(OR(NOT(AND(ISNUMBER(E76),ISNUMBER(F76))),$J$2=""),"",IF(Reprogramaciones!R$13&lt;Reprogramaciones!$T$15,0,IF(Reprogramaciones!R$14&gt;10,MIN(100,SUM($G76:$P76)),MIN(100,SUMPRODUCT((COLUMN($G76:$P76)-COLUMN($G76)+1&lt;Reprogramaciones!R$14)*$G76:$P76)+N(INDEX($G76:$P76,1,Reprogramaciones!R$14))*IF(Reprogramaciones!R$13&gt;=(Reprogramaciones!$T$15+7*(Reprogramaciones!R$14-1))+6,1,IF(MAX(0,NETWORKDAYS.INTL(MAX(E76,(Reprogramaciones!$T$15+7*(Reprogramaciones!R$14-1))),MIN(F76,(Reprogramaciones!$T$15+7*(Reprogramaciones!R$14-1))+6),11))=0,0,MAX(0,NETWORKDAYS.INTL(MAX(E76,(Reprogramaciones!$T$15+7*(Reprogramaciones!R$14-1))),MIN(F76,Reprogramaciones!R$13),11))/MAX(0,NETWORKDAYS.INTL(MAX(E76,(Reprogramaciones!$T$15+7*(Reprogramaciones!R$14-1))),MIN(F76,(Reprogramaciones!$T$15+7*(Reprogramaciones!R$14-1))+6),11))))))))</f>
        <v/>
      </c>
      <c r="CB76" s="1" t="str">
        <f aca="false">IF(OR(NOT(AND(ISNUMBER(E76),ISNUMBER(F76))),$J$2=""),"",IF(Reprogramaciones!S$13&lt;Reprogramaciones!$T$15,0,IF(Reprogramaciones!S$14&gt;10,MIN(100,SUM($G76:$P76)),MIN(100,SUMPRODUCT((COLUMN($G76:$P76)-COLUMN($G76)+1&lt;Reprogramaciones!S$14)*$G76:$P76)+N(INDEX($G76:$P76,1,Reprogramaciones!S$14))*IF(Reprogramaciones!S$13&gt;=(Reprogramaciones!$T$15+7*(Reprogramaciones!S$14-1))+6,1,IF(MAX(0,NETWORKDAYS.INTL(MAX(E76,(Reprogramaciones!$T$15+7*(Reprogramaciones!S$14-1))),MIN(F76,(Reprogramaciones!$T$15+7*(Reprogramaciones!S$14-1))+6),11))=0,0,MAX(0,NETWORKDAYS.INTL(MAX(E76,(Reprogramaciones!$T$15+7*(Reprogramaciones!S$14-1))),MIN(F76,Reprogramaciones!S$13),11))/MAX(0,NETWORKDAYS.INTL(MAX(E76,(Reprogramaciones!$T$15+7*(Reprogramaciones!S$14-1))),MIN(F76,(Reprogramaciones!$T$15+7*(Reprogramaciones!S$14-1))+6),11))))))))</f>
        <v/>
      </c>
      <c r="CC76" s="1" t="str">
        <f aca="false">IF(OR(NOT(AND(ISNUMBER(E76),ISNUMBER(F76))),$J$2=""),"",IF(Reprogramaciones!T$13&lt;Reprogramaciones!$T$15,0,IF(Reprogramaciones!T$14&gt;10,MIN(100,SUM($G76:$P76)),MIN(100,SUMPRODUCT((COLUMN($G76:$P76)-COLUMN($G76)+1&lt;Reprogramaciones!T$14)*$G76:$P76)+N(INDEX($G76:$P76,1,Reprogramaciones!T$14))*IF(Reprogramaciones!T$13&gt;=(Reprogramaciones!$T$15+7*(Reprogramaciones!T$14-1))+6,1,IF(MAX(0,NETWORKDAYS.INTL(MAX(E76,(Reprogramaciones!$T$15+7*(Reprogramaciones!T$14-1))),MIN(F76,(Reprogramaciones!$T$15+7*(Reprogramaciones!T$14-1))+6),11))=0,0,MAX(0,NETWORKDAYS.INTL(MAX(E76,(Reprogramaciones!$T$15+7*(Reprogramaciones!T$14-1))),MIN(F76,Reprogramaciones!T$13),11))/MAX(0,NETWORKDAYS.INTL(MAX(E76,(Reprogramaciones!$T$15+7*(Reprogramaciones!T$14-1))),MIN(F76,(Reprogramaciones!$T$15+7*(Reprogramaciones!T$14-1))+6),11))))))))</f>
        <v/>
      </c>
      <c r="CD76" s="1" t="str">
        <f aca="false">IF(OR(NOT(AND(ISNUMBER(E76),ISNUMBER(F76))),$J$2=""),"",IF(Reprogramaciones!U$13&lt;Reprogramaciones!$T$15,0,IF(Reprogramaciones!U$14&gt;10,MIN(100,SUM($G76:$P76)),MIN(100,SUMPRODUCT((COLUMN($G76:$P76)-COLUMN($G76)+1&lt;Reprogramaciones!U$14)*$G76:$P76)+N(INDEX($G76:$P76,1,Reprogramaciones!U$14))*IF(Reprogramaciones!U$13&gt;=(Reprogramaciones!$T$15+7*(Reprogramaciones!U$14-1))+6,1,IF(MAX(0,NETWORKDAYS.INTL(MAX(E76,(Reprogramaciones!$T$15+7*(Reprogramaciones!U$14-1))),MIN(F76,(Reprogramaciones!$T$15+7*(Reprogramaciones!U$14-1))+6),11))=0,0,MAX(0,NETWORKDAYS.INTL(MAX(E76,(Reprogramaciones!$T$15+7*(Reprogramaciones!U$14-1))),MIN(F76,Reprogramaciones!U$13),11))/MAX(0,NETWORKDAYS.INTL(MAX(E76,(Reprogramaciones!$T$15+7*(Reprogramaciones!U$14-1))),MIN(F76,(Reprogramaciones!$T$15+7*(Reprogramaciones!U$14-1))+6),11))))))))</f>
        <v/>
      </c>
      <c r="CE76" s="1" t="str">
        <f aca="false">IF(OR(NOT(AND(ISNUMBER(E76),ISNUMBER(F76))),$J$2=""),"",IF(Reprogramaciones!V$13&lt;Reprogramaciones!$T$15,0,IF(Reprogramaciones!V$14&gt;10,MIN(100,SUM($G76:$P76)),MIN(100,SUMPRODUCT((COLUMN($G76:$P76)-COLUMN($G76)+1&lt;Reprogramaciones!V$14)*$G76:$P76)+N(INDEX($G76:$P76,1,Reprogramaciones!V$14))*IF(Reprogramaciones!V$13&gt;=(Reprogramaciones!$T$15+7*(Reprogramaciones!V$14-1))+6,1,IF(MAX(0,NETWORKDAYS.INTL(MAX(E76,(Reprogramaciones!$T$15+7*(Reprogramaciones!V$14-1))),MIN(F76,(Reprogramaciones!$T$15+7*(Reprogramaciones!V$14-1))+6),11))=0,0,MAX(0,NETWORKDAYS.INTL(MAX(E76,(Reprogramaciones!$T$15+7*(Reprogramaciones!V$14-1))),MIN(F76,Reprogramaciones!V$13),11))/MAX(0,NETWORKDAYS.INTL(MAX(E76,(Reprogramaciones!$T$15+7*(Reprogramaciones!V$14-1))),MIN(F76,(Reprogramaciones!$T$15+7*(Reprogramaciones!V$14-1))+6),11))))))))</f>
        <v/>
      </c>
      <c r="CF76" s="1" t="str">
        <f aca="false">IF(OR(NOT(AND(ISNUMBER(E76),ISNUMBER(F76))),$J$2=""),"",IF(Reprogramaciones!W$13&lt;Reprogramaciones!$T$15,0,IF(Reprogramaciones!W$14&gt;10,MIN(100,SUM($G76:$P76)),MIN(100,SUMPRODUCT((COLUMN($G76:$P76)-COLUMN($G76)+1&lt;Reprogramaciones!W$14)*$G76:$P76)+N(INDEX($G76:$P76,1,Reprogramaciones!W$14))*IF(Reprogramaciones!W$13&gt;=(Reprogramaciones!$T$15+7*(Reprogramaciones!W$14-1))+6,1,IF(MAX(0,NETWORKDAYS.INTL(MAX(E76,(Reprogramaciones!$T$15+7*(Reprogramaciones!W$14-1))),MIN(F76,(Reprogramaciones!$T$15+7*(Reprogramaciones!W$14-1))+6),11))=0,0,MAX(0,NETWORKDAYS.INTL(MAX(E76,(Reprogramaciones!$T$15+7*(Reprogramaciones!W$14-1))),MIN(F76,Reprogramaciones!W$13),11))/MAX(0,NETWORKDAYS.INTL(MAX(E76,(Reprogramaciones!$T$15+7*(Reprogramaciones!W$14-1))),MIN(F76,(Reprogramaciones!$T$15+7*(Reprogramaciones!W$14-1))+6),11))))))))</f>
        <v/>
      </c>
      <c r="CG76" s="1" t="str">
        <f aca="false">IF(OR(NOT(AND(ISNUMBER(E76),ISNUMBER(F76))),$J$2=""),"",IF(Reprogramaciones!X$13&lt;Reprogramaciones!$T$15,0,IF(Reprogramaciones!X$14&gt;10,MIN(100,SUM($G76:$P76)),MIN(100,SUMPRODUCT((COLUMN($G76:$P76)-COLUMN($G76)+1&lt;Reprogramaciones!X$14)*$G76:$P76)+N(INDEX($G76:$P76,1,Reprogramaciones!X$14))*IF(Reprogramaciones!X$13&gt;=(Reprogramaciones!$T$15+7*(Reprogramaciones!X$14-1))+6,1,IF(MAX(0,NETWORKDAYS.INTL(MAX(E76,(Reprogramaciones!$T$15+7*(Reprogramaciones!X$14-1))),MIN(F76,(Reprogramaciones!$T$15+7*(Reprogramaciones!X$14-1))+6),11))=0,0,MAX(0,NETWORKDAYS.INTL(MAX(E76,(Reprogramaciones!$T$15+7*(Reprogramaciones!X$14-1))),MIN(F76,Reprogramaciones!X$13),11))/MAX(0,NETWORKDAYS.INTL(MAX(E76,(Reprogramaciones!$T$15+7*(Reprogramaciones!X$14-1))),MIN(F76,(Reprogramaciones!$T$15+7*(Reprogramaciones!X$14-1))+6),11))))))))</f>
        <v/>
      </c>
      <c r="CH76" s="1" t="str">
        <f aca="false">IF(OR(NOT(AND(ISNUMBER(E76),ISNUMBER(F76))),$J$2=""),"",IF(Reprogramaciones!Y$13&lt;Reprogramaciones!$T$15,0,IF(Reprogramaciones!Y$14&gt;10,MIN(100,SUM($G76:$P76)),MIN(100,SUMPRODUCT((COLUMN($G76:$P76)-COLUMN($G76)+1&lt;Reprogramaciones!Y$14)*$G76:$P76)+N(INDEX($G76:$P76,1,Reprogramaciones!Y$14))*IF(Reprogramaciones!Y$13&gt;=(Reprogramaciones!$T$15+7*(Reprogramaciones!Y$14-1))+6,1,IF(MAX(0,NETWORKDAYS.INTL(MAX(E76,(Reprogramaciones!$T$15+7*(Reprogramaciones!Y$14-1))),MIN(F76,(Reprogramaciones!$T$15+7*(Reprogramaciones!Y$14-1))+6),11))=0,0,MAX(0,NETWORKDAYS.INTL(MAX(E76,(Reprogramaciones!$T$15+7*(Reprogramaciones!Y$14-1))),MIN(F76,Reprogramaciones!Y$13),11))/MAX(0,NETWORKDAYS.INTL(MAX(E76,(Reprogramaciones!$T$15+7*(Reprogramaciones!Y$14-1))),MIN(F76,(Reprogramaciones!$T$15+7*(Reprogramaciones!Y$14-1))+6),11))))))))</f>
        <v/>
      </c>
      <c r="CI76" s="1" t="str">
        <f aca="false">IF(OR(NOT(AND(ISNUMBER(E76),ISNUMBER(F76))),$J$2=""),"",IF(Reprogramaciones!Z$13&lt;Reprogramaciones!$T$15,0,IF(Reprogramaciones!Z$14&gt;10,MIN(100,SUM($G76:$P76)),MIN(100,SUMPRODUCT((COLUMN($G76:$P76)-COLUMN($G76)+1&lt;Reprogramaciones!Z$14)*$G76:$P76)+N(INDEX($G76:$P76,1,Reprogramaciones!Z$14))*IF(Reprogramaciones!Z$13&gt;=(Reprogramaciones!$T$15+7*(Reprogramaciones!Z$14-1))+6,1,IF(MAX(0,NETWORKDAYS.INTL(MAX(E76,(Reprogramaciones!$T$15+7*(Reprogramaciones!Z$14-1))),MIN(F76,(Reprogramaciones!$T$15+7*(Reprogramaciones!Z$14-1))+6),11))=0,0,MAX(0,NETWORKDAYS.INTL(MAX(E76,(Reprogramaciones!$T$15+7*(Reprogramaciones!Z$14-1))),MIN(F76,Reprogramaciones!Z$13),11))/MAX(0,NETWORKDAYS.INTL(MAX(E76,(Reprogramaciones!$T$15+7*(Reprogramaciones!Z$14-1))),MIN(F76,(Reprogramaciones!$T$15+7*(Reprogramaciones!Z$14-1))+6),11))))))))</f>
        <v/>
      </c>
      <c r="CJ76" s="1" t="str">
        <f aca="false">IF(OR(OR(NOT(AND(ISNUMBER(E76),ISNUMBER(F76))),$J$2=""),1&gt;Reprogramaciones!$K$16),"",IF(ROUND(SUM($Q76:Q76),1)&gt;=99.5,100,MIN(100,ROUND(SUM($Q76:Q76),1))))</f>
        <v/>
      </c>
      <c r="CK76" s="1" t="str">
        <f aca="false">IF(OR(OR(NOT(AND(ISNUMBER(E76),ISNUMBER(F76))),$J$2=""),2&gt;Reprogramaciones!$K$16),"",IF(ROUND(SUM($Q76:R76),1)&gt;=99.5,100,MIN(100,ROUND(SUM($Q76:R76),1))))</f>
        <v/>
      </c>
      <c r="CL76" s="1" t="str">
        <f aca="false">IF(OR(OR(NOT(AND(ISNUMBER(E76),ISNUMBER(F76))),$J$2=""),3&gt;Reprogramaciones!$K$16),"",IF(ROUND(SUM($Q76:S76),1)&gt;=99.5,100,MIN(100,ROUND(SUM($Q76:S76),1))))</f>
        <v/>
      </c>
      <c r="CM76" s="1" t="str">
        <f aca="false">IF(OR(OR(NOT(AND(ISNUMBER(E76),ISNUMBER(F76))),$J$2=""),4&gt;Reprogramaciones!$K$16),"",IF(ROUND(SUM($Q76:T76),1)&gt;=99.5,100,MIN(100,ROUND(SUM($Q76:T76),1))))</f>
        <v/>
      </c>
      <c r="CN76" s="1" t="str">
        <f aca="false">IF(OR(OR(NOT(AND(ISNUMBER(E76),ISNUMBER(F76))),$J$2=""),5&gt;Reprogramaciones!$K$16),"",IF(ROUND(SUM($Q76:U76),1)&gt;=99.5,100,MIN(100,ROUND(SUM($Q76:U76),1))))</f>
        <v/>
      </c>
      <c r="CO76" s="1" t="str">
        <f aca="false">IF(OR(OR(NOT(AND(ISNUMBER(E76),ISNUMBER(F76))),$J$2=""),6&gt;Reprogramaciones!$K$16),"",IF(ROUND(SUM($Q76:V76),1)&gt;=99.5,100,MIN(100,ROUND(SUM($Q76:V76),1))))</f>
        <v/>
      </c>
      <c r="CP76" s="1" t="str">
        <f aca="false">IF(OR(OR(NOT(AND(ISNUMBER(E76),ISNUMBER(F76))),$J$2=""),7&gt;Reprogramaciones!$K$16),"",IF(ROUND(SUM($Q76:W76),1)&gt;=99.5,100,MIN(100,ROUND(SUM($Q76:W76),1))))</f>
        <v/>
      </c>
      <c r="CQ76" s="1" t="str">
        <f aca="false">IF(OR(OR(NOT(AND(ISNUMBER(E76),ISNUMBER(F76))),$J$2=""),8&gt;Reprogramaciones!$K$16),"",IF(ROUND(SUM($Q76:X76),1)&gt;=99.5,100,MIN(100,ROUND(SUM($Q76:X76),1))))</f>
        <v/>
      </c>
      <c r="CR76" s="1" t="str">
        <f aca="false">IF(OR(OR(NOT(AND(ISNUMBER(E76),ISNUMBER(F76))),$J$2=""),9&gt;Reprogramaciones!$K$16),"",IF(ROUND(SUM($Q76:Y76),1)&gt;=99.5,100,MIN(100,ROUND(SUM($Q76:Y76),1))))</f>
        <v/>
      </c>
      <c r="CS76" s="1" t="str">
        <f aca="false">IF(OR(OR(NOT(AND(ISNUMBER(E76),ISNUMBER(F76))),$J$2=""),10&gt;Reprogramaciones!$K$16),"",IF(ROUND(SUM($Q76:Z76),1)&gt;=99.5,100,MIN(100,ROUND(SUM($Q76:Z76),1))))</f>
        <v/>
      </c>
      <c r="CT76" s="1" t="str">
        <f aca="false">IF(OR(OR(NOT(AND(ISNUMBER(E76),ISNUMBER(F76))),$J$2=""),11&gt;Reprogramaciones!$K$16),"",IF(ROUND(SUM($Q76:AA76),1)&gt;=99.5,100,MIN(100,ROUND(SUM($Q76:AA76),1))))</f>
        <v/>
      </c>
      <c r="CU76" s="1" t="str">
        <f aca="false">IF(OR(OR(NOT(AND(ISNUMBER(E76),ISNUMBER(F76))),$J$2=""),12&gt;Reprogramaciones!$K$16),"",IF(ROUND(SUM($Q76:AB76),1)&gt;=99.5,100,MIN(100,ROUND(SUM($Q76:AB76),1))))</f>
        <v/>
      </c>
      <c r="CV76" s="1" t="str">
        <f aca="false">IF(OR(OR(NOT(AND(ISNUMBER(E76),ISNUMBER(F76))),$J$2=""),13&gt;Reprogramaciones!$K$16),"",IF(ROUND(SUM($Q76:AC76),1)&gt;=99.5,100,MIN(100,ROUND(SUM($Q76:AC76),1))))</f>
        <v/>
      </c>
      <c r="CW76" s="1" t="str">
        <f aca="false">IF(OR(OR(NOT(AND(ISNUMBER(E76),ISNUMBER(F76))),$J$2=""),14&gt;Reprogramaciones!$K$16),"",IF(ROUND(SUM($Q76:AD76),1)&gt;=99.5,100,MIN(100,ROUND(SUM($Q76:AD76),1))))</f>
        <v/>
      </c>
      <c r="CX76" s="1" t="str">
        <f aca="false">IF(OR(OR(NOT(AND(ISNUMBER(E76),ISNUMBER(F76))),$J$2=""),15&gt;Reprogramaciones!$K$16),"",IF(ROUND(SUM($Q76:AE76),1)&gt;=99.5,100,MIN(100,ROUND(SUM($Q76:AE76),1))))</f>
        <v/>
      </c>
      <c r="CY76" s="1" t="str">
        <f aca="false">IF(OR(OR(NOT(AND(ISNUMBER(E76),ISNUMBER(F76))),$J$2=""),16&gt;Reprogramaciones!$K$16),"",IF(ROUND(SUM($Q76:AF76),1)&gt;=99.5,100,MIN(100,ROUND(SUM($Q76:AF76),1))))</f>
        <v/>
      </c>
      <c r="CZ76" s="1" t="str">
        <f aca="false">IF(D76&lt;&gt;"",D76,IF(B76&lt;&gt;"","Contractual",CZ75))</f>
        <v>Contractual</v>
      </c>
      <c r="DA76" s="1" t="str">
        <f aca="false">IF(OR(NOT(AND(ISNUMBER(E76),ISNUMBER(F76))),$J$2=""),"",IF(Reprogramaciones!$Q$15&lt;Reprogramaciones!$T$15,0,IF(Reprogramaciones!$S$15&gt;10,MIN(100,SUM($G76:$P76)),MIN(100,SUMPRODUCT((COLUMN($G76:$P76)-COLUMN($G76)+1&lt;Reprogramaciones!$S$15)*$G76:$P76)+N(INDEX($G76:$P76,1,Reprogramaciones!$S$15))*IF(Reprogramaciones!$Q$15&gt;=(Reprogramaciones!$T$15+7*(Reprogramaciones!$S$15-1))+6,1,IF(MAX(0,NETWORKDAYS.INTL(MAX(E76,(Reprogramaciones!$T$15+7*(Reprogramaciones!$S$15-1))),MIN(F76,(Reprogramaciones!$T$15+7*(Reprogramaciones!$S$15-1))+6),11))=0,0,MAX(0,NETWORKDAYS.INTL(MAX(E76,(Reprogramaciones!$T$15+7*(Reprogramaciones!$S$15-1))),MIN(F76,Reprogramaciones!$Q$15),11))/MAX(0,NETWORKDAYS.INTL(MAX(E76,(Reprogramaciones!$T$15+7*(Reprogramaciones!$S$15-1))),MIN(F76,(Reprogramaciones!$T$15+7*(Reprogramaciones!$S$15-1))+6),11))))))))</f>
        <v/>
      </c>
    </row>
    <row r="77" customFormat="false" ht="15" hidden="false" customHeight="false" outlineLevel="0" collapsed="false">
      <c r="A77" s="32"/>
      <c r="B77" s="33"/>
      <c r="C77" s="33"/>
      <c r="D77" s="34"/>
      <c r="E77" s="35"/>
      <c r="F77" s="35"/>
      <c r="G77" s="36" t="str">
        <f aca="false">IF(OR(NOT(AND(ISNUMBER(E77),ISNUMBER(F77))),$J$2=""),"",IF(Reprogramaciones!K$9&lt;E77,0,IF(NETWORKDAYS.INTL(E77,F77,11)=0,IF(Reprogramaciones!K$9&gt;=F77,100,0),ROUND(NETWORKDAYS.INTL(E77,MIN(F77,Reprogramaciones!K$9),11)/NETWORKDAYS.INTL(E77,F77,11)*100,1)))-0)</f>
        <v/>
      </c>
      <c r="H77" s="36" t="str">
        <f aca="false">IF(OR(NOT(AND(ISNUMBER(E77),ISNUMBER(F77))),$J$2=""),"",IF(Reprogramaciones!L$9&lt;E77,0,IF(NETWORKDAYS.INTL(E77,F77,11)=0,IF(Reprogramaciones!L$9&gt;=F77,100,0),ROUND(NETWORKDAYS.INTL(E77,MIN(F77,Reprogramaciones!L$9),11)/NETWORKDAYS.INTL(E77,F77,11)*100,1)))-IF(Reprogramaciones!K$9&lt;E77,0,IF(NETWORKDAYS.INTL(E77,F77,11)=0,IF(Reprogramaciones!K$9&gt;=F77,100,0),ROUND(NETWORKDAYS.INTL(E77,MIN(F77,Reprogramaciones!K$9),11)/NETWORKDAYS.INTL(E77,F77,11)*100,1))))</f>
        <v/>
      </c>
      <c r="I77" s="36" t="str">
        <f aca="false">IF(OR(NOT(AND(ISNUMBER(E77),ISNUMBER(F77))),$J$2=""),"",IF(Reprogramaciones!M$9&lt;E77,0,IF(NETWORKDAYS.INTL(E77,F77,11)=0,IF(Reprogramaciones!M$9&gt;=F77,100,0),ROUND(NETWORKDAYS.INTL(E77,MIN(F77,Reprogramaciones!M$9),11)/NETWORKDAYS.INTL(E77,F77,11)*100,1)))-IF(Reprogramaciones!L$9&lt;E77,0,IF(NETWORKDAYS.INTL(E77,F77,11)=0,IF(Reprogramaciones!L$9&gt;=F77,100,0),ROUND(NETWORKDAYS.INTL(E77,MIN(F77,Reprogramaciones!L$9),11)/NETWORKDAYS.INTL(E77,F77,11)*100,1))))</f>
        <v/>
      </c>
      <c r="J77" s="36" t="str">
        <f aca="false">IF(OR(NOT(AND(ISNUMBER(E77),ISNUMBER(F77))),$J$2=""),"",IF(Reprogramaciones!N$9&lt;E77,0,IF(NETWORKDAYS.INTL(E77,F77,11)=0,IF(Reprogramaciones!N$9&gt;=F77,100,0),ROUND(NETWORKDAYS.INTL(E77,MIN(F77,Reprogramaciones!N$9),11)/NETWORKDAYS.INTL(E77,F77,11)*100,1)))-IF(Reprogramaciones!M$9&lt;E77,0,IF(NETWORKDAYS.INTL(E77,F77,11)=0,IF(Reprogramaciones!M$9&gt;=F77,100,0),ROUND(NETWORKDAYS.INTL(E77,MIN(F77,Reprogramaciones!M$9),11)/NETWORKDAYS.INTL(E77,F77,11)*100,1))))</f>
        <v/>
      </c>
      <c r="K77" s="36" t="str">
        <f aca="false">IF(OR(NOT(AND(ISNUMBER(E77),ISNUMBER(F77))),$J$2=""),"",IF(Reprogramaciones!O$9&lt;E77,0,IF(NETWORKDAYS.INTL(E77,F77,11)=0,IF(Reprogramaciones!O$9&gt;=F77,100,0),ROUND(NETWORKDAYS.INTL(E77,MIN(F77,Reprogramaciones!O$9),11)/NETWORKDAYS.INTL(E77,F77,11)*100,1)))-IF(Reprogramaciones!N$9&lt;E77,0,IF(NETWORKDAYS.INTL(E77,F77,11)=0,IF(Reprogramaciones!N$9&gt;=F77,100,0),ROUND(NETWORKDAYS.INTL(E77,MIN(F77,Reprogramaciones!N$9),11)/NETWORKDAYS.INTL(E77,F77,11)*100,1))))</f>
        <v/>
      </c>
      <c r="L77" s="36" t="str">
        <f aca="false">IF(OR(NOT(AND(ISNUMBER(E77),ISNUMBER(F77))),$J$2=""),"",IF(Reprogramaciones!P$9&lt;E77,0,IF(NETWORKDAYS.INTL(E77,F77,11)=0,IF(Reprogramaciones!P$9&gt;=F77,100,0),ROUND(NETWORKDAYS.INTL(E77,MIN(F77,Reprogramaciones!P$9),11)/NETWORKDAYS.INTL(E77,F77,11)*100,1)))-IF(Reprogramaciones!O$9&lt;E77,0,IF(NETWORKDAYS.INTL(E77,F77,11)=0,IF(Reprogramaciones!O$9&gt;=F77,100,0),ROUND(NETWORKDAYS.INTL(E77,MIN(F77,Reprogramaciones!O$9),11)/NETWORKDAYS.INTL(E77,F77,11)*100,1))))</f>
        <v/>
      </c>
      <c r="M77" s="36" t="str">
        <f aca="false">IF(OR(NOT(AND(ISNUMBER(E77),ISNUMBER(F77))),$J$2=""),"",IF(Reprogramaciones!Q$9&lt;E77,0,IF(NETWORKDAYS.INTL(E77,F77,11)=0,IF(Reprogramaciones!Q$9&gt;=F77,100,0),ROUND(NETWORKDAYS.INTL(E77,MIN(F77,Reprogramaciones!Q$9),11)/NETWORKDAYS.INTL(E77,F77,11)*100,1)))-IF(Reprogramaciones!P$9&lt;E77,0,IF(NETWORKDAYS.INTL(E77,F77,11)=0,IF(Reprogramaciones!P$9&gt;=F77,100,0),ROUND(NETWORKDAYS.INTL(E77,MIN(F77,Reprogramaciones!P$9),11)/NETWORKDAYS.INTL(E77,F77,11)*100,1))))</f>
        <v/>
      </c>
      <c r="N77" s="36" t="str">
        <f aca="false">IF(OR(NOT(AND(ISNUMBER(E77),ISNUMBER(F77))),$J$2=""),"",IF(Reprogramaciones!R$9&lt;E77,0,IF(NETWORKDAYS.INTL(E77,F77,11)=0,IF(Reprogramaciones!R$9&gt;=F77,100,0),ROUND(NETWORKDAYS.INTL(E77,MIN(F77,Reprogramaciones!R$9),11)/NETWORKDAYS.INTL(E77,F77,11)*100,1)))-IF(Reprogramaciones!Q$9&lt;E77,0,IF(NETWORKDAYS.INTL(E77,F77,11)=0,IF(Reprogramaciones!Q$9&gt;=F77,100,0),ROUND(NETWORKDAYS.INTL(E77,MIN(F77,Reprogramaciones!Q$9),11)/NETWORKDAYS.INTL(E77,F77,11)*100,1))))</f>
        <v/>
      </c>
      <c r="O77" s="36" t="str">
        <f aca="false">IF(OR(NOT(AND(ISNUMBER(E77),ISNUMBER(F77))),$J$2=""),"",IF(Reprogramaciones!S$9&lt;E77,0,IF(NETWORKDAYS.INTL(E77,F77,11)=0,IF(Reprogramaciones!S$9&gt;=F77,100,0),ROUND(NETWORKDAYS.INTL(E77,MIN(F77,Reprogramaciones!S$9),11)/NETWORKDAYS.INTL(E77,F77,11)*100,1)))-IF(Reprogramaciones!R$9&lt;E77,0,IF(NETWORKDAYS.INTL(E77,F77,11)=0,IF(Reprogramaciones!R$9&gt;=F77,100,0),ROUND(NETWORKDAYS.INTL(E77,MIN(F77,Reprogramaciones!R$9),11)/NETWORKDAYS.INTL(E77,F77,11)*100,1))))</f>
        <v/>
      </c>
      <c r="P77" s="36" t="str">
        <f aca="false">IF(OR(NOT(AND(ISNUMBER(E77),ISNUMBER(F77))),$J$2=""),"",IF(Reprogramaciones!T$9&lt;E77,0,IF(NETWORKDAYS.INTL(E77,F77,11)=0,IF(Reprogramaciones!T$9&gt;=F77,100,0),ROUND(NETWORKDAYS.INTL(E77,MIN(F77,Reprogramaciones!T$9),11)/NETWORKDAYS.INTL(E77,F77,11)*100,1)))-IF(Reprogramaciones!S$9&lt;E77,0,IF(NETWORKDAYS.INTL(E77,F77,11)=0,IF(Reprogramaciones!S$9&gt;=F77,100,0),ROUND(NETWORKDAYS.INTL(E77,MIN(F77,Reprogramaciones!S$9),11)/NETWORKDAYS.INTL(E77,F77,11)*100,1))))</f>
        <v/>
      </c>
      <c r="Q77" s="37"/>
      <c r="R77" s="37"/>
      <c r="S77" s="37"/>
      <c r="T77" s="37"/>
      <c r="U77" s="37"/>
      <c r="V77" s="37"/>
      <c r="W77" s="37"/>
      <c r="X77" s="37"/>
      <c r="Y77" s="37"/>
      <c r="Z77" s="37"/>
      <c r="AA77" s="37"/>
      <c r="AB77" s="37"/>
      <c r="AC77" s="37"/>
      <c r="AD77" s="37"/>
      <c r="AE77" s="37"/>
      <c r="AF77" s="37"/>
      <c r="AG77" s="38" t="str">
        <f aca="false">IF(AND(ISNUMBER(E77),ISNUMBER(F77)),NETWORKDAYS.INTL(E77,F77,11),"")</f>
        <v/>
      </c>
      <c r="AH77" s="38" t="str">
        <f aca="false">IF(OR(NOT(AND(ISNUMBER(E77),ISNUMBER(F77))),$J$2=""),"",IF(Reprogramaciones!$P$15&lt;Reprogramaciones!$T$15,0,IF(Reprogramaciones!$R$15&gt;10,MIN(100,SUM($G77:$P77)),MIN(100,SUMPRODUCT((COLUMN($G77:$P77)-COLUMN($G77)+1&lt;Reprogramaciones!$R$15)*$G77:$P77)+N(INDEX($G77:$P77,1,Reprogramaciones!$R$15))*IF(Reprogramaciones!$P$15&gt;=(Reprogramaciones!$T$15+7*(Reprogramaciones!$R$15-1))+6,1,IF(MAX(0,NETWORKDAYS.INTL(MAX(E77,(Reprogramaciones!$T$15+7*(Reprogramaciones!$R$15-1))),MIN(F77,(Reprogramaciones!$T$15+7*(Reprogramaciones!$R$15-1))+6),11))=0,0,MAX(0,NETWORKDAYS.INTL(MAX(E77,(Reprogramaciones!$T$15+7*(Reprogramaciones!$R$15-1))),MIN(F77,Reprogramaciones!$P$15),11))/MAX(0,NETWORKDAYS.INTL(MAX(E77,(Reprogramaciones!$T$15+7*(Reprogramaciones!$R$15-1))),MIN(F77,(Reprogramaciones!$T$15+7*(Reprogramaciones!$R$15-1))+6),11))))))))</f>
        <v/>
      </c>
      <c r="AI77" s="38" t="str">
        <f aca="false">IF(COUNT($Q77:$AF77)=0,"",IF(ROUND(SUM($Q77:$AF77),1)&gt;=99.5,100,MIN(100,ROUND(SUM($Q77:$AF77),1))))</f>
        <v/>
      </c>
      <c r="AJ77" s="38" t="str">
        <f aca="false">IF(OR(AH77="",AI77=""),"",AI77-AH77)</f>
        <v/>
      </c>
      <c r="AK77" s="39" t="str">
        <f aca="true">IF(AH77="","",IF(OR(Ficha!$C$10="Suspendida",Ficha!$C$10="Cancelada"),Ficha!$C$10,IF(AND(AI77&lt;&gt;"",N(AI77)&gt;=100),"Completada",IF(AND(E77&gt;TODAY(),N(AI77)=0),"Por iniciar",IF(N(AI77)+0.5&lt;AH77,"Retrasada",IF(N(AI77)+0.5&lt;DA77,IF(Reprogramaciones!$K$15&gt;0,"Al día · Sem "&amp;Reprogramaciones!$K$15&amp;" en curso","Al día · en curso"),"A tiempo"))))))</f>
        <v/>
      </c>
      <c r="AL77" s="39" t="str">
        <f aca="true">IF(AND(A77="",AND(B77="",C77="",E77="",F77="",COUNT(Q77:AF77)=0)),"",IF(AND(B77="",C77="",E77="",F77="",COUNT(Q77:AF77)=0),"Falta la partida o subpartida",IF(AND(A77&lt;&gt;"",COUNTIF($A$6:$A$305,A77)&gt;1),"Ítem repetido",IF(AND(C77="",E77="",F77="",COUNT(Q77:AF77)=0),"Título de partida",IF(OR(E77="",F77=""),"Faltan fechas",IF(OR(ISTEXT(E77),ISTEXT(F77)),"Fecha escrita como texto: usa dd/mm/aaaa",IF(F77&lt;E77,"Fin antes del inicio",IF(IF($J$2="",FALSE(),OR(E77&lt;$J$2,F77&gt;Reprogramaciones!$T$15+69)),"Fuera de las 10 semanas",IF(ABS(SUM(G77:P77)-100)&gt;0.5,"La meta no suma 100%",IF(ROUND(SUM(Q77:AF77),1)&gt;100.5,"El avance pasa de 100%",IF(MIN(Q77:AF77)&lt;0,"Avance negativo",IF(COUNTA(Q77:AF77)&gt;COUNT(Q77:AF77),"Avance escrito como texto",IF(SUMPRODUCT((Q77:AF77&gt;0)*(Q77:AF77&lt;1))&gt;0,"Avance menor a 1: escribe 50, no 50%",IF(SUMPRODUCT(ISNUMBER(Q77:AF77)*(Reprogramaciones!$K$8:$Z$8&gt;TODAY()))&gt;0,"Avance en semana que aún no llega",IF(AND(N(Reprogramaciones!$E$21)&gt;0,F77&gt;Reprogramaciones!$E$21),"Pasa el fin de la obra: registra una reprogramación",IF(AND(N(Reprogramaciones!$E$21)&gt;0,SUMPRODUCT(ISNUMBER(Q77:AF77)*(Reprogramaciones!$K$8:$Z$8&gt;Reprogramaciones!$E$21))&gt;0),"Avance después del fin de la obra: registra una reprogramación por atraso","OK"))))))))))))))))</f>
        <v/>
      </c>
      <c r="AM77" s="40" t="str">
        <f aca="false">IF(OR(OR(NOT(AND(ISNUMBER(E77),ISNUMBER(F77))),$J$2=""),1&gt;MAX(1,Reprogramaciones!$U$15)),"",IF(Reprogramaciones!K$12&gt;=7,"",IF(OR(BT77-N(0)&gt;0.05,N(Q77)&gt;0),ROUNDDOWN(ROUND(BT77,6),0)&amp;"%"&amp;IF(CJ77="",""," / "&amp;CJ77&amp;"%"),IF(AND(N(0)&gt;=99.95,CJ77&lt;&gt;"",N(CJ77)&lt;100),"Pend. "&amp;CJ77&amp;"%",""))))</f>
        <v/>
      </c>
      <c r="AN77" s="40" t="str">
        <f aca="false">IF(OR(OR(NOT(AND(ISNUMBER(E77),ISNUMBER(F77))),$J$2=""),2&gt;MAX(1,Reprogramaciones!$U$15)),"",IF(Reprogramaciones!L$12&gt;=7,"",IF(OR(BU77-N(BT77)&gt;0.05,N(R77)&gt;0),ROUNDDOWN(ROUND(BU77,6),0)&amp;"%"&amp;IF(CK77="",""," / "&amp;CK77&amp;"%"),IF(AND(N(BT77)&gt;=99.95,CK77&lt;&gt;"",N(CK77)&lt;100),"Pend. "&amp;CK77&amp;"%",""))))</f>
        <v/>
      </c>
      <c r="AO77" s="40" t="str">
        <f aca="false">IF(OR(OR(NOT(AND(ISNUMBER(E77),ISNUMBER(F77))),$J$2=""),3&gt;MAX(1,Reprogramaciones!$U$15)),"",IF(Reprogramaciones!M$12&gt;=7,"",IF(OR(BV77-N(BU77)&gt;0.05,N(S77)&gt;0),ROUNDDOWN(ROUND(BV77,6),0)&amp;"%"&amp;IF(CL77="",""," / "&amp;CL77&amp;"%"),IF(AND(N(BU77)&gt;=99.95,CL77&lt;&gt;"",N(CL77)&lt;100),"Pend. "&amp;CL77&amp;"%",""))))</f>
        <v/>
      </c>
      <c r="AP77" s="40" t="str">
        <f aca="false">IF(OR(OR(NOT(AND(ISNUMBER(E77),ISNUMBER(F77))),$J$2=""),4&gt;MAX(1,Reprogramaciones!$U$15)),"",IF(Reprogramaciones!N$12&gt;=7,"",IF(OR(BW77-N(BV77)&gt;0.05,N(T77)&gt;0),ROUNDDOWN(ROUND(BW77,6),0)&amp;"%"&amp;IF(CM77="",""," / "&amp;CM77&amp;"%"),IF(AND(N(BV77)&gt;=99.95,CM77&lt;&gt;"",N(CM77)&lt;100),"Pend. "&amp;CM77&amp;"%",""))))</f>
        <v/>
      </c>
      <c r="AQ77" s="40" t="str">
        <f aca="false">IF(OR(OR(NOT(AND(ISNUMBER(E77),ISNUMBER(F77))),$J$2=""),5&gt;MAX(1,Reprogramaciones!$U$15)),"",IF(Reprogramaciones!O$12&gt;=7,"",IF(OR(BX77-N(BW77)&gt;0.05,N(U77)&gt;0),ROUNDDOWN(ROUND(BX77,6),0)&amp;"%"&amp;IF(CN77="",""," / "&amp;CN77&amp;"%"),IF(AND(N(BW77)&gt;=99.95,CN77&lt;&gt;"",N(CN77)&lt;100),"Pend. "&amp;CN77&amp;"%",""))))</f>
        <v/>
      </c>
      <c r="AR77" s="40" t="str">
        <f aca="false">IF(OR(OR(NOT(AND(ISNUMBER(E77),ISNUMBER(F77))),$J$2=""),6&gt;MAX(1,Reprogramaciones!$U$15)),"",IF(Reprogramaciones!P$12&gt;=7,"",IF(OR(BY77-N(BX77)&gt;0.05,N(V77)&gt;0),ROUNDDOWN(ROUND(BY77,6),0)&amp;"%"&amp;IF(CO77="",""," / "&amp;CO77&amp;"%"),IF(AND(N(BX77)&gt;=99.95,CO77&lt;&gt;"",N(CO77)&lt;100),"Pend. "&amp;CO77&amp;"%",""))))</f>
        <v/>
      </c>
      <c r="AS77" s="40" t="str">
        <f aca="false">IF(OR(OR(NOT(AND(ISNUMBER(E77),ISNUMBER(F77))),$J$2=""),7&gt;MAX(1,Reprogramaciones!$U$15)),"",IF(Reprogramaciones!Q$12&gt;=7,"",IF(OR(BZ77-N(BY77)&gt;0.05,N(W77)&gt;0),ROUNDDOWN(ROUND(BZ77,6),0)&amp;"%"&amp;IF(CP77="",""," / "&amp;CP77&amp;"%"),IF(AND(N(BY77)&gt;=99.95,CP77&lt;&gt;"",N(CP77)&lt;100),"Pend. "&amp;CP77&amp;"%",""))))</f>
        <v/>
      </c>
      <c r="AT77" s="40" t="str">
        <f aca="false">IF(OR(OR(NOT(AND(ISNUMBER(E77),ISNUMBER(F77))),$J$2=""),8&gt;MAX(1,Reprogramaciones!$U$15)),"",IF(Reprogramaciones!R$12&gt;=7,"",IF(OR(CA77-N(BZ77)&gt;0.05,N(X77)&gt;0),ROUNDDOWN(ROUND(CA77,6),0)&amp;"%"&amp;IF(CQ77="",""," / "&amp;CQ77&amp;"%"),IF(AND(N(BZ77)&gt;=99.95,CQ77&lt;&gt;"",N(CQ77)&lt;100),"Pend. "&amp;CQ77&amp;"%",""))))</f>
        <v/>
      </c>
      <c r="AU77" s="40" t="str">
        <f aca="false">IF(OR(OR(NOT(AND(ISNUMBER(E77),ISNUMBER(F77))),$J$2=""),9&gt;MAX(1,Reprogramaciones!$U$15)),"",IF(Reprogramaciones!S$12&gt;=7,"",IF(OR(CB77-N(CA77)&gt;0.05,N(Y77)&gt;0),ROUNDDOWN(ROUND(CB77,6),0)&amp;"%"&amp;IF(CR77="",""," / "&amp;CR77&amp;"%"),IF(AND(N(CA77)&gt;=99.95,CR77&lt;&gt;"",N(CR77)&lt;100),"Pend. "&amp;CR77&amp;"%",""))))</f>
        <v/>
      </c>
      <c r="AV77" s="40" t="str">
        <f aca="false">IF(OR(OR(NOT(AND(ISNUMBER(E77),ISNUMBER(F77))),$J$2=""),10&gt;MAX(1,Reprogramaciones!$U$15)),"",IF(Reprogramaciones!T$12&gt;=7,"",IF(OR(CC77-N(CB77)&gt;0.05,N(Z77)&gt;0),ROUNDDOWN(ROUND(CC77,6),0)&amp;"%"&amp;IF(CS77="",""," / "&amp;CS77&amp;"%"),IF(AND(N(CB77)&gt;=99.95,CS77&lt;&gt;"",N(CS77)&lt;100),"Pend. "&amp;CS77&amp;"%",""))))</f>
        <v/>
      </c>
      <c r="AW77" s="40" t="str">
        <f aca="false">IF(OR(OR(NOT(AND(ISNUMBER(E77),ISNUMBER(F77))),$J$2=""),11&gt;MAX(1,Reprogramaciones!$U$15)),"",IF(Reprogramaciones!U$12&gt;=7,"",IF(OR(CD77-N(CC77)&gt;0.05,N(AA77)&gt;0),ROUNDDOWN(ROUND(CD77,6),0)&amp;"%"&amp;IF(CT77="",""," / "&amp;CT77&amp;"%"),IF(AND(N(CC77)&gt;=99.95,CT77&lt;&gt;"",N(CT77)&lt;100),"Pend. "&amp;CT77&amp;"%",""))))</f>
        <v/>
      </c>
      <c r="AX77" s="40" t="str">
        <f aca="false">IF(OR(OR(NOT(AND(ISNUMBER(E77),ISNUMBER(F77))),$J$2=""),12&gt;MAX(1,Reprogramaciones!$U$15)),"",IF(Reprogramaciones!V$12&gt;=7,"",IF(OR(CE77-N(CD77)&gt;0.05,N(AB77)&gt;0),ROUNDDOWN(ROUND(CE77,6),0)&amp;"%"&amp;IF(CU77="",""," / "&amp;CU77&amp;"%"),IF(AND(N(CD77)&gt;=99.95,CU77&lt;&gt;"",N(CU77)&lt;100),"Pend. "&amp;CU77&amp;"%",""))))</f>
        <v/>
      </c>
      <c r="AY77" s="40" t="str">
        <f aca="false">IF(OR(OR(NOT(AND(ISNUMBER(E77),ISNUMBER(F77))),$J$2=""),13&gt;MAX(1,Reprogramaciones!$U$15)),"",IF(Reprogramaciones!W$12&gt;=7,"",IF(OR(CF77-N(CE77)&gt;0.05,N(AC77)&gt;0),ROUNDDOWN(ROUND(CF77,6),0)&amp;"%"&amp;IF(CV77="",""," / "&amp;CV77&amp;"%"),IF(AND(N(CE77)&gt;=99.95,CV77&lt;&gt;"",N(CV77)&lt;100),"Pend. "&amp;CV77&amp;"%",""))))</f>
        <v/>
      </c>
      <c r="AZ77" s="40" t="str">
        <f aca="false">IF(OR(OR(NOT(AND(ISNUMBER(E77),ISNUMBER(F77))),$J$2=""),14&gt;MAX(1,Reprogramaciones!$U$15)),"",IF(Reprogramaciones!X$12&gt;=7,"",IF(OR(CG77-N(CF77)&gt;0.05,N(AD77)&gt;0),ROUNDDOWN(ROUND(CG77,6),0)&amp;"%"&amp;IF(CW77="",""," / "&amp;CW77&amp;"%"),IF(AND(N(CF77)&gt;=99.95,CW77&lt;&gt;"",N(CW77)&lt;100),"Pend. "&amp;CW77&amp;"%",""))))</f>
        <v/>
      </c>
      <c r="BA77" s="40" t="str">
        <f aca="false">IF(OR(OR(NOT(AND(ISNUMBER(E77),ISNUMBER(F77))),$J$2=""),15&gt;MAX(1,Reprogramaciones!$U$15)),"",IF(Reprogramaciones!Y$12&gt;=7,"",IF(OR(CH77-N(CG77)&gt;0.05,N(AE77)&gt;0),ROUNDDOWN(ROUND(CH77,6),0)&amp;"%"&amp;IF(CX77="",""," / "&amp;CX77&amp;"%"),IF(AND(N(CG77)&gt;=99.95,CX77&lt;&gt;"",N(CX77)&lt;100),"Pend. "&amp;CX77&amp;"%",""))))</f>
        <v/>
      </c>
      <c r="BB77" s="40" t="str">
        <f aca="false">IF(OR(OR(NOT(AND(ISNUMBER(E77),ISNUMBER(F77))),$J$2=""),16&gt;MAX(1,Reprogramaciones!$U$15)),"",IF(Reprogramaciones!Z$12&gt;=7,"",IF(OR(CI77-N(CH77)&gt;0.05,N(AF77)&gt;0),ROUNDDOWN(ROUND(CI77,6),0)&amp;"%"&amp;IF(CY77="",""," / "&amp;CY77&amp;"%"),IF(AND(N(CH77)&gt;=99.95,CY77&lt;&gt;"",N(CY77)&lt;100),"Pend. "&amp;CY77&amp;"%",""))))</f>
        <v/>
      </c>
      <c r="BC77" s="31" t="n">
        <f aca="false">IF(AND(ISNUMBER(E77),ISNUMBER(F77)),MAX(1,NETWORKDAYS.INTL(E77,F77,11)),0)</f>
        <v>0</v>
      </c>
      <c r="BD77" s="1" t="str">
        <f aca="false">IF(OR(NOT(AND(ISNUMBER(E77),ISNUMBER(F77))),$J$2=""),"",MIN(100,ROUND(SUM($G77:G77),1)))</f>
        <v/>
      </c>
      <c r="BE77" s="1" t="str">
        <f aca="false">IF(OR(NOT(AND(ISNUMBER(E77),ISNUMBER(F77))),$J$2=""),"",MIN(100,ROUND(SUM($G77:H77),1)))</f>
        <v/>
      </c>
      <c r="BF77" s="1" t="str">
        <f aca="false">IF(OR(NOT(AND(ISNUMBER(E77),ISNUMBER(F77))),$J$2=""),"",MIN(100,ROUND(SUM($G77:I77),1)))</f>
        <v/>
      </c>
      <c r="BG77" s="1" t="str">
        <f aca="false">IF(OR(NOT(AND(ISNUMBER(E77),ISNUMBER(F77))),$J$2=""),"",MIN(100,ROUND(SUM($G77:J77),1)))</f>
        <v/>
      </c>
      <c r="BH77" s="1" t="str">
        <f aca="false">IF(OR(NOT(AND(ISNUMBER(E77),ISNUMBER(F77))),$J$2=""),"",MIN(100,ROUND(SUM($G77:K77),1)))</f>
        <v/>
      </c>
      <c r="BI77" s="1" t="str">
        <f aca="false">IF(OR(NOT(AND(ISNUMBER(E77),ISNUMBER(F77))),$J$2=""),"",MIN(100,ROUND(SUM($G77:L77),1)))</f>
        <v/>
      </c>
      <c r="BJ77" s="1" t="str">
        <f aca="false">IF(OR(NOT(AND(ISNUMBER(E77),ISNUMBER(F77))),$J$2=""),"",MIN(100,ROUND(SUM($G77:M77),1)))</f>
        <v/>
      </c>
      <c r="BK77" s="1" t="str">
        <f aca="false">IF(OR(NOT(AND(ISNUMBER(E77),ISNUMBER(F77))),$J$2=""),"",MIN(100,ROUND(SUM($G77:N77),1)))</f>
        <v/>
      </c>
      <c r="BL77" s="1" t="str">
        <f aca="false">IF(OR(NOT(AND(ISNUMBER(E77),ISNUMBER(F77))),$J$2=""),"",MIN(100,ROUND(SUM($G77:O77),1)))</f>
        <v/>
      </c>
      <c r="BM77" s="1" t="str">
        <f aca="false">IF(OR(NOT(AND(ISNUMBER(E77),ISNUMBER(F77))),$J$2=""),"",MIN(100,ROUND(SUM($G77:P77),1)))</f>
        <v/>
      </c>
      <c r="BN77" s="1" t="str">
        <f aca="false">IF(OR(NOT(AND(ISNUMBER(E77),ISNUMBER(F77))),$J$2=""),"",MIN(100,ROUND(SUM($G77:P77),1)))</f>
        <v/>
      </c>
      <c r="BO77" s="1" t="str">
        <f aca="false">IF(OR(NOT(AND(ISNUMBER(E77),ISNUMBER(F77))),$J$2=""),"",MIN(100,ROUND(SUM($G77:P77),1)))</f>
        <v/>
      </c>
      <c r="BP77" s="1" t="str">
        <f aca="false">IF(OR(NOT(AND(ISNUMBER(E77),ISNUMBER(F77))),$J$2=""),"",MIN(100,ROUND(SUM($G77:P77),1)))</f>
        <v/>
      </c>
      <c r="BQ77" s="1" t="str">
        <f aca="false">IF(OR(NOT(AND(ISNUMBER(E77),ISNUMBER(F77))),$J$2=""),"",MIN(100,ROUND(SUM($G77:P77),1)))</f>
        <v/>
      </c>
      <c r="BR77" s="1" t="str">
        <f aca="false">IF(OR(NOT(AND(ISNUMBER(E77),ISNUMBER(F77))),$J$2=""),"",MIN(100,ROUND(SUM($G77:P77),1)))</f>
        <v/>
      </c>
      <c r="BS77" s="1" t="str">
        <f aca="false">IF(OR(NOT(AND(ISNUMBER(E77),ISNUMBER(F77))),$J$2=""),"",MIN(100,ROUND(SUM($G77:P77),1)))</f>
        <v/>
      </c>
      <c r="BT77" s="1" t="str">
        <f aca="false">IF(OR(NOT(AND(ISNUMBER(E77),ISNUMBER(F77))),$J$2=""),"",IF(Reprogramaciones!K$13&lt;Reprogramaciones!$T$15,0,IF(Reprogramaciones!K$14&gt;10,MIN(100,SUM($G77:$P77)),MIN(100,SUMPRODUCT((COLUMN($G77:$P77)-COLUMN($G77)+1&lt;Reprogramaciones!K$14)*$G77:$P77)+N(INDEX($G77:$P77,1,Reprogramaciones!K$14))*IF(Reprogramaciones!K$13&gt;=(Reprogramaciones!$T$15+7*(Reprogramaciones!K$14-1))+6,1,IF(MAX(0,NETWORKDAYS.INTL(MAX(E77,(Reprogramaciones!$T$15+7*(Reprogramaciones!K$14-1))),MIN(F77,(Reprogramaciones!$T$15+7*(Reprogramaciones!K$14-1))+6),11))=0,0,MAX(0,NETWORKDAYS.INTL(MAX(E77,(Reprogramaciones!$T$15+7*(Reprogramaciones!K$14-1))),MIN(F77,Reprogramaciones!K$13),11))/MAX(0,NETWORKDAYS.INTL(MAX(E77,(Reprogramaciones!$T$15+7*(Reprogramaciones!K$14-1))),MIN(F77,(Reprogramaciones!$T$15+7*(Reprogramaciones!K$14-1))+6),11))))))))</f>
        <v/>
      </c>
      <c r="BU77" s="1" t="str">
        <f aca="false">IF(OR(NOT(AND(ISNUMBER(E77),ISNUMBER(F77))),$J$2=""),"",IF(Reprogramaciones!L$13&lt;Reprogramaciones!$T$15,0,IF(Reprogramaciones!L$14&gt;10,MIN(100,SUM($G77:$P77)),MIN(100,SUMPRODUCT((COLUMN($G77:$P77)-COLUMN($G77)+1&lt;Reprogramaciones!L$14)*$G77:$P77)+N(INDEX($G77:$P77,1,Reprogramaciones!L$14))*IF(Reprogramaciones!L$13&gt;=(Reprogramaciones!$T$15+7*(Reprogramaciones!L$14-1))+6,1,IF(MAX(0,NETWORKDAYS.INTL(MAX(E77,(Reprogramaciones!$T$15+7*(Reprogramaciones!L$14-1))),MIN(F77,(Reprogramaciones!$T$15+7*(Reprogramaciones!L$14-1))+6),11))=0,0,MAX(0,NETWORKDAYS.INTL(MAX(E77,(Reprogramaciones!$T$15+7*(Reprogramaciones!L$14-1))),MIN(F77,Reprogramaciones!L$13),11))/MAX(0,NETWORKDAYS.INTL(MAX(E77,(Reprogramaciones!$T$15+7*(Reprogramaciones!L$14-1))),MIN(F77,(Reprogramaciones!$T$15+7*(Reprogramaciones!L$14-1))+6),11))))))))</f>
        <v/>
      </c>
      <c r="BV77" s="1" t="str">
        <f aca="false">IF(OR(NOT(AND(ISNUMBER(E77),ISNUMBER(F77))),$J$2=""),"",IF(Reprogramaciones!M$13&lt;Reprogramaciones!$T$15,0,IF(Reprogramaciones!M$14&gt;10,MIN(100,SUM($G77:$P77)),MIN(100,SUMPRODUCT((COLUMN($G77:$P77)-COLUMN($G77)+1&lt;Reprogramaciones!M$14)*$G77:$P77)+N(INDEX($G77:$P77,1,Reprogramaciones!M$14))*IF(Reprogramaciones!M$13&gt;=(Reprogramaciones!$T$15+7*(Reprogramaciones!M$14-1))+6,1,IF(MAX(0,NETWORKDAYS.INTL(MAX(E77,(Reprogramaciones!$T$15+7*(Reprogramaciones!M$14-1))),MIN(F77,(Reprogramaciones!$T$15+7*(Reprogramaciones!M$14-1))+6),11))=0,0,MAX(0,NETWORKDAYS.INTL(MAX(E77,(Reprogramaciones!$T$15+7*(Reprogramaciones!M$14-1))),MIN(F77,Reprogramaciones!M$13),11))/MAX(0,NETWORKDAYS.INTL(MAX(E77,(Reprogramaciones!$T$15+7*(Reprogramaciones!M$14-1))),MIN(F77,(Reprogramaciones!$T$15+7*(Reprogramaciones!M$14-1))+6),11))))))))</f>
        <v/>
      </c>
      <c r="BW77" s="1" t="str">
        <f aca="false">IF(OR(NOT(AND(ISNUMBER(E77),ISNUMBER(F77))),$J$2=""),"",IF(Reprogramaciones!N$13&lt;Reprogramaciones!$T$15,0,IF(Reprogramaciones!N$14&gt;10,MIN(100,SUM($G77:$P77)),MIN(100,SUMPRODUCT((COLUMN($G77:$P77)-COLUMN($G77)+1&lt;Reprogramaciones!N$14)*$G77:$P77)+N(INDEX($G77:$P77,1,Reprogramaciones!N$14))*IF(Reprogramaciones!N$13&gt;=(Reprogramaciones!$T$15+7*(Reprogramaciones!N$14-1))+6,1,IF(MAX(0,NETWORKDAYS.INTL(MAX(E77,(Reprogramaciones!$T$15+7*(Reprogramaciones!N$14-1))),MIN(F77,(Reprogramaciones!$T$15+7*(Reprogramaciones!N$14-1))+6),11))=0,0,MAX(0,NETWORKDAYS.INTL(MAX(E77,(Reprogramaciones!$T$15+7*(Reprogramaciones!N$14-1))),MIN(F77,Reprogramaciones!N$13),11))/MAX(0,NETWORKDAYS.INTL(MAX(E77,(Reprogramaciones!$T$15+7*(Reprogramaciones!N$14-1))),MIN(F77,(Reprogramaciones!$T$15+7*(Reprogramaciones!N$14-1))+6),11))))))))</f>
        <v/>
      </c>
      <c r="BX77" s="1" t="str">
        <f aca="false">IF(OR(NOT(AND(ISNUMBER(E77),ISNUMBER(F77))),$J$2=""),"",IF(Reprogramaciones!O$13&lt;Reprogramaciones!$T$15,0,IF(Reprogramaciones!O$14&gt;10,MIN(100,SUM($G77:$P77)),MIN(100,SUMPRODUCT((COLUMN($G77:$P77)-COLUMN($G77)+1&lt;Reprogramaciones!O$14)*$G77:$P77)+N(INDEX($G77:$P77,1,Reprogramaciones!O$14))*IF(Reprogramaciones!O$13&gt;=(Reprogramaciones!$T$15+7*(Reprogramaciones!O$14-1))+6,1,IF(MAX(0,NETWORKDAYS.INTL(MAX(E77,(Reprogramaciones!$T$15+7*(Reprogramaciones!O$14-1))),MIN(F77,(Reprogramaciones!$T$15+7*(Reprogramaciones!O$14-1))+6),11))=0,0,MAX(0,NETWORKDAYS.INTL(MAX(E77,(Reprogramaciones!$T$15+7*(Reprogramaciones!O$14-1))),MIN(F77,Reprogramaciones!O$13),11))/MAX(0,NETWORKDAYS.INTL(MAX(E77,(Reprogramaciones!$T$15+7*(Reprogramaciones!O$14-1))),MIN(F77,(Reprogramaciones!$T$15+7*(Reprogramaciones!O$14-1))+6),11))))))))</f>
        <v/>
      </c>
      <c r="BY77" s="1" t="str">
        <f aca="false">IF(OR(NOT(AND(ISNUMBER(E77),ISNUMBER(F77))),$J$2=""),"",IF(Reprogramaciones!P$13&lt;Reprogramaciones!$T$15,0,IF(Reprogramaciones!P$14&gt;10,MIN(100,SUM($G77:$P77)),MIN(100,SUMPRODUCT((COLUMN($G77:$P77)-COLUMN($G77)+1&lt;Reprogramaciones!P$14)*$G77:$P77)+N(INDEX($G77:$P77,1,Reprogramaciones!P$14))*IF(Reprogramaciones!P$13&gt;=(Reprogramaciones!$T$15+7*(Reprogramaciones!P$14-1))+6,1,IF(MAX(0,NETWORKDAYS.INTL(MAX(E77,(Reprogramaciones!$T$15+7*(Reprogramaciones!P$14-1))),MIN(F77,(Reprogramaciones!$T$15+7*(Reprogramaciones!P$14-1))+6),11))=0,0,MAX(0,NETWORKDAYS.INTL(MAX(E77,(Reprogramaciones!$T$15+7*(Reprogramaciones!P$14-1))),MIN(F77,Reprogramaciones!P$13),11))/MAX(0,NETWORKDAYS.INTL(MAX(E77,(Reprogramaciones!$T$15+7*(Reprogramaciones!P$14-1))),MIN(F77,(Reprogramaciones!$T$15+7*(Reprogramaciones!P$14-1))+6),11))))))))</f>
        <v/>
      </c>
      <c r="BZ77" s="1" t="str">
        <f aca="false">IF(OR(NOT(AND(ISNUMBER(E77),ISNUMBER(F77))),$J$2=""),"",IF(Reprogramaciones!Q$13&lt;Reprogramaciones!$T$15,0,IF(Reprogramaciones!Q$14&gt;10,MIN(100,SUM($G77:$P77)),MIN(100,SUMPRODUCT((COLUMN($G77:$P77)-COLUMN($G77)+1&lt;Reprogramaciones!Q$14)*$G77:$P77)+N(INDEX($G77:$P77,1,Reprogramaciones!Q$14))*IF(Reprogramaciones!Q$13&gt;=(Reprogramaciones!$T$15+7*(Reprogramaciones!Q$14-1))+6,1,IF(MAX(0,NETWORKDAYS.INTL(MAX(E77,(Reprogramaciones!$T$15+7*(Reprogramaciones!Q$14-1))),MIN(F77,(Reprogramaciones!$T$15+7*(Reprogramaciones!Q$14-1))+6),11))=0,0,MAX(0,NETWORKDAYS.INTL(MAX(E77,(Reprogramaciones!$T$15+7*(Reprogramaciones!Q$14-1))),MIN(F77,Reprogramaciones!Q$13),11))/MAX(0,NETWORKDAYS.INTL(MAX(E77,(Reprogramaciones!$T$15+7*(Reprogramaciones!Q$14-1))),MIN(F77,(Reprogramaciones!$T$15+7*(Reprogramaciones!Q$14-1))+6),11))))))))</f>
        <v/>
      </c>
      <c r="CA77" s="1" t="str">
        <f aca="false">IF(OR(NOT(AND(ISNUMBER(E77),ISNUMBER(F77))),$J$2=""),"",IF(Reprogramaciones!R$13&lt;Reprogramaciones!$T$15,0,IF(Reprogramaciones!R$14&gt;10,MIN(100,SUM($G77:$P77)),MIN(100,SUMPRODUCT((COLUMN($G77:$P77)-COLUMN($G77)+1&lt;Reprogramaciones!R$14)*$G77:$P77)+N(INDEX($G77:$P77,1,Reprogramaciones!R$14))*IF(Reprogramaciones!R$13&gt;=(Reprogramaciones!$T$15+7*(Reprogramaciones!R$14-1))+6,1,IF(MAX(0,NETWORKDAYS.INTL(MAX(E77,(Reprogramaciones!$T$15+7*(Reprogramaciones!R$14-1))),MIN(F77,(Reprogramaciones!$T$15+7*(Reprogramaciones!R$14-1))+6),11))=0,0,MAX(0,NETWORKDAYS.INTL(MAX(E77,(Reprogramaciones!$T$15+7*(Reprogramaciones!R$14-1))),MIN(F77,Reprogramaciones!R$13),11))/MAX(0,NETWORKDAYS.INTL(MAX(E77,(Reprogramaciones!$T$15+7*(Reprogramaciones!R$14-1))),MIN(F77,(Reprogramaciones!$T$15+7*(Reprogramaciones!R$14-1))+6),11))))))))</f>
        <v/>
      </c>
      <c r="CB77" s="1" t="str">
        <f aca="false">IF(OR(NOT(AND(ISNUMBER(E77),ISNUMBER(F77))),$J$2=""),"",IF(Reprogramaciones!S$13&lt;Reprogramaciones!$T$15,0,IF(Reprogramaciones!S$14&gt;10,MIN(100,SUM($G77:$P77)),MIN(100,SUMPRODUCT((COLUMN($G77:$P77)-COLUMN($G77)+1&lt;Reprogramaciones!S$14)*$G77:$P77)+N(INDEX($G77:$P77,1,Reprogramaciones!S$14))*IF(Reprogramaciones!S$13&gt;=(Reprogramaciones!$T$15+7*(Reprogramaciones!S$14-1))+6,1,IF(MAX(0,NETWORKDAYS.INTL(MAX(E77,(Reprogramaciones!$T$15+7*(Reprogramaciones!S$14-1))),MIN(F77,(Reprogramaciones!$T$15+7*(Reprogramaciones!S$14-1))+6),11))=0,0,MAX(0,NETWORKDAYS.INTL(MAX(E77,(Reprogramaciones!$T$15+7*(Reprogramaciones!S$14-1))),MIN(F77,Reprogramaciones!S$13),11))/MAX(0,NETWORKDAYS.INTL(MAX(E77,(Reprogramaciones!$T$15+7*(Reprogramaciones!S$14-1))),MIN(F77,(Reprogramaciones!$T$15+7*(Reprogramaciones!S$14-1))+6),11))))))))</f>
        <v/>
      </c>
      <c r="CC77" s="1" t="str">
        <f aca="false">IF(OR(NOT(AND(ISNUMBER(E77),ISNUMBER(F77))),$J$2=""),"",IF(Reprogramaciones!T$13&lt;Reprogramaciones!$T$15,0,IF(Reprogramaciones!T$14&gt;10,MIN(100,SUM($G77:$P77)),MIN(100,SUMPRODUCT((COLUMN($G77:$P77)-COLUMN($G77)+1&lt;Reprogramaciones!T$14)*$G77:$P77)+N(INDEX($G77:$P77,1,Reprogramaciones!T$14))*IF(Reprogramaciones!T$13&gt;=(Reprogramaciones!$T$15+7*(Reprogramaciones!T$14-1))+6,1,IF(MAX(0,NETWORKDAYS.INTL(MAX(E77,(Reprogramaciones!$T$15+7*(Reprogramaciones!T$14-1))),MIN(F77,(Reprogramaciones!$T$15+7*(Reprogramaciones!T$14-1))+6),11))=0,0,MAX(0,NETWORKDAYS.INTL(MAX(E77,(Reprogramaciones!$T$15+7*(Reprogramaciones!T$14-1))),MIN(F77,Reprogramaciones!T$13),11))/MAX(0,NETWORKDAYS.INTL(MAX(E77,(Reprogramaciones!$T$15+7*(Reprogramaciones!T$14-1))),MIN(F77,(Reprogramaciones!$T$15+7*(Reprogramaciones!T$14-1))+6),11))))))))</f>
        <v/>
      </c>
      <c r="CD77" s="1" t="str">
        <f aca="false">IF(OR(NOT(AND(ISNUMBER(E77),ISNUMBER(F77))),$J$2=""),"",IF(Reprogramaciones!U$13&lt;Reprogramaciones!$T$15,0,IF(Reprogramaciones!U$14&gt;10,MIN(100,SUM($G77:$P77)),MIN(100,SUMPRODUCT((COLUMN($G77:$P77)-COLUMN($G77)+1&lt;Reprogramaciones!U$14)*$G77:$P77)+N(INDEX($G77:$P77,1,Reprogramaciones!U$14))*IF(Reprogramaciones!U$13&gt;=(Reprogramaciones!$T$15+7*(Reprogramaciones!U$14-1))+6,1,IF(MAX(0,NETWORKDAYS.INTL(MAX(E77,(Reprogramaciones!$T$15+7*(Reprogramaciones!U$14-1))),MIN(F77,(Reprogramaciones!$T$15+7*(Reprogramaciones!U$14-1))+6),11))=0,0,MAX(0,NETWORKDAYS.INTL(MAX(E77,(Reprogramaciones!$T$15+7*(Reprogramaciones!U$14-1))),MIN(F77,Reprogramaciones!U$13),11))/MAX(0,NETWORKDAYS.INTL(MAX(E77,(Reprogramaciones!$T$15+7*(Reprogramaciones!U$14-1))),MIN(F77,(Reprogramaciones!$T$15+7*(Reprogramaciones!U$14-1))+6),11))))))))</f>
        <v/>
      </c>
      <c r="CE77" s="1" t="str">
        <f aca="false">IF(OR(NOT(AND(ISNUMBER(E77),ISNUMBER(F77))),$J$2=""),"",IF(Reprogramaciones!V$13&lt;Reprogramaciones!$T$15,0,IF(Reprogramaciones!V$14&gt;10,MIN(100,SUM($G77:$P77)),MIN(100,SUMPRODUCT((COLUMN($G77:$P77)-COLUMN($G77)+1&lt;Reprogramaciones!V$14)*$G77:$P77)+N(INDEX($G77:$P77,1,Reprogramaciones!V$14))*IF(Reprogramaciones!V$13&gt;=(Reprogramaciones!$T$15+7*(Reprogramaciones!V$14-1))+6,1,IF(MAX(0,NETWORKDAYS.INTL(MAX(E77,(Reprogramaciones!$T$15+7*(Reprogramaciones!V$14-1))),MIN(F77,(Reprogramaciones!$T$15+7*(Reprogramaciones!V$14-1))+6),11))=0,0,MAX(0,NETWORKDAYS.INTL(MAX(E77,(Reprogramaciones!$T$15+7*(Reprogramaciones!V$14-1))),MIN(F77,Reprogramaciones!V$13),11))/MAX(0,NETWORKDAYS.INTL(MAX(E77,(Reprogramaciones!$T$15+7*(Reprogramaciones!V$14-1))),MIN(F77,(Reprogramaciones!$T$15+7*(Reprogramaciones!V$14-1))+6),11))))))))</f>
        <v/>
      </c>
      <c r="CF77" s="1" t="str">
        <f aca="false">IF(OR(NOT(AND(ISNUMBER(E77),ISNUMBER(F77))),$J$2=""),"",IF(Reprogramaciones!W$13&lt;Reprogramaciones!$T$15,0,IF(Reprogramaciones!W$14&gt;10,MIN(100,SUM($G77:$P77)),MIN(100,SUMPRODUCT((COLUMN($G77:$P77)-COLUMN($G77)+1&lt;Reprogramaciones!W$14)*$G77:$P77)+N(INDEX($G77:$P77,1,Reprogramaciones!W$14))*IF(Reprogramaciones!W$13&gt;=(Reprogramaciones!$T$15+7*(Reprogramaciones!W$14-1))+6,1,IF(MAX(0,NETWORKDAYS.INTL(MAX(E77,(Reprogramaciones!$T$15+7*(Reprogramaciones!W$14-1))),MIN(F77,(Reprogramaciones!$T$15+7*(Reprogramaciones!W$14-1))+6),11))=0,0,MAX(0,NETWORKDAYS.INTL(MAX(E77,(Reprogramaciones!$T$15+7*(Reprogramaciones!W$14-1))),MIN(F77,Reprogramaciones!W$13),11))/MAX(0,NETWORKDAYS.INTL(MAX(E77,(Reprogramaciones!$T$15+7*(Reprogramaciones!W$14-1))),MIN(F77,(Reprogramaciones!$T$15+7*(Reprogramaciones!W$14-1))+6),11))))))))</f>
        <v/>
      </c>
      <c r="CG77" s="1" t="str">
        <f aca="false">IF(OR(NOT(AND(ISNUMBER(E77),ISNUMBER(F77))),$J$2=""),"",IF(Reprogramaciones!X$13&lt;Reprogramaciones!$T$15,0,IF(Reprogramaciones!X$14&gt;10,MIN(100,SUM($G77:$P77)),MIN(100,SUMPRODUCT((COLUMN($G77:$P77)-COLUMN($G77)+1&lt;Reprogramaciones!X$14)*$G77:$P77)+N(INDEX($G77:$P77,1,Reprogramaciones!X$14))*IF(Reprogramaciones!X$13&gt;=(Reprogramaciones!$T$15+7*(Reprogramaciones!X$14-1))+6,1,IF(MAX(0,NETWORKDAYS.INTL(MAX(E77,(Reprogramaciones!$T$15+7*(Reprogramaciones!X$14-1))),MIN(F77,(Reprogramaciones!$T$15+7*(Reprogramaciones!X$14-1))+6),11))=0,0,MAX(0,NETWORKDAYS.INTL(MAX(E77,(Reprogramaciones!$T$15+7*(Reprogramaciones!X$14-1))),MIN(F77,Reprogramaciones!X$13),11))/MAX(0,NETWORKDAYS.INTL(MAX(E77,(Reprogramaciones!$T$15+7*(Reprogramaciones!X$14-1))),MIN(F77,(Reprogramaciones!$T$15+7*(Reprogramaciones!X$14-1))+6),11))))))))</f>
        <v/>
      </c>
      <c r="CH77" s="1" t="str">
        <f aca="false">IF(OR(NOT(AND(ISNUMBER(E77),ISNUMBER(F77))),$J$2=""),"",IF(Reprogramaciones!Y$13&lt;Reprogramaciones!$T$15,0,IF(Reprogramaciones!Y$14&gt;10,MIN(100,SUM($G77:$P77)),MIN(100,SUMPRODUCT((COLUMN($G77:$P77)-COLUMN($G77)+1&lt;Reprogramaciones!Y$14)*$G77:$P77)+N(INDEX($G77:$P77,1,Reprogramaciones!Y$14))*IF(Reprogramaciones!Y$13&gt;=(Reprogramaciones!$T$15+7*(Reprogramaciones!Y$14-1))+6,1,IF(MAX(0,NETWORKDAYS.INTL(MAX(E77,(Reprogramaciones!$T$15+7*(Reprogramaciones!Y$14-1))),MIN(F77,(Reprogramaciones!$T$15+7*(Reprogramaciones!Y$14-1))+6),11))=0,0,MAX(0,NETWORKDAYS.INTL(MAX(E77,(Reprogramaciones!$T$15+7*(Reprogramaciones!Y$14-1))),MIN(F77,Reprogramaciones!Y$13),11))/MAX(0,NETWORKDAYS.INTL(MAX(E77,(Reprogramaciones!$T$15+7*(Reprogramaciones!Y$14-1))),MIN(F77,(Reprogramaciones!$T$15+7*(Reprogramaciones!Y$14-1))+6),11))))))))</f>
        <v/>
      </c>
      <c r="CI77" s="1" t="str">
        <f aca="false">IF(OR(NOT(AND(ISNUMBER(E77),ISNUMBER(F77))),$J$2=""),"",IF(Reprogramaciones!Z$13&lt;Reprogramaciones!$T$15,0,IF(Reprogramaciones!Z$14&gt;10,MIN(100,SUM($G77:$P77)),MIN(100,SUMPRODUCT((COLUMN($G77:$P77)-COLUMN($G77)+1&lt;Reprogramaciones!Z$14)*$G77:$P77)+N(INDEX($G77:$P77,1,Reprogramaciones!Z$14))*IF(Reprogramaciones!Z$13&gt;=(Reprogramaciones!$T$15+7*(Reprogramaciones!Z$14-1))+6,1,IF(MAX(0,NETWORKDAYS.INTL(MAX(E77,(Reprogramaciones!$T$15+7*(Reprogramaciones!Z$14-1))),MIN(F77,(Reprogramaciones!$T$15+7*(Reprogramaciones!Z$14-1))+6),11))=0,0,MAX(0,NETWORKDAYS.INTL(MAX(E77,(Reprogramaciones!$T$15+7*(Reprogramaciones!Z$14-1))),MIN(F77,Reprogramaciones!Z$13),11))/MAX(0,NETWORKDAYS.INTL(MAX(E77,(Reprogramaciones!$T$15+7*(Reprogramaciones!Z$14-1))),MIN(F77,(Reprogramaciones!$T$15+7*(Reprogramaciones!Z$14-1))+6),11))))))))</f>
        <v/>
      </c>
      <c r="CJ77" s="1" t="str">
        <f aca="false">IF(OR(OR(NOT(AND(ISNUMBER(E77),ISNUMBER(F77))),$J$2=""),1&gt;Reprogramaciones!$K$16),"",IF(ROUND(SUM($Q77:Q77),1)&gt;=99.5,100,MIN(100,ROUND(SUM($Q77:Q77),1))))</f>
        <v/>
      </c>
      <c r="CK77" s="1" t="str">
        <f aca="false">IF(OR(OR(NOT(AND(ISNUMBER(E77),ISNUMBER(F77))),$J$2=""),2&gt;Reprogramaciones!$K$16),"",IF(ROUND(SUM($Q77:R77),1)&gt;=99.5,100,MIN(100,ROUND(SUM($Q77:R77),1))))</f>
        <v/>
      </c>
      <c r="CL77" s="1" t="str">
        <f aca="false">IF(OR(OR(NOT(AND(ISNUMBER(E77),ISNUMBER(F77))),$J$2=""),3&gt;Reprogramaciones!$K$16),"",IF(ROUND(SUM($Q77:S77),1)&gt;=99.5,100,MIN(100,ROUND(SUM($Q77:S77),1))))</f>
        <v/>
      </c>
      <c r="CM77" s="1" t="str">
        <f aca="false">IF(OR(OR(NOT(AND(ISNUMBER(E77),ISNUMBER(F77))),$J$2=""),4&gt;Reprogramaciones!$K$16),"",IF(ROUND(SUM($Q77:T77),1)&gt;=99.5,100,MIN(100,ROUND(SUM($Q77:T77),1))))</f>
        <v/>
      </c>
      <c r="CN77" s="1" t="str">
        <f aca="false">IF(OR(OR(NOT(AND(ISNUMBER(E77),ISNUMBER(F77))),$J$2=""),5&gt;Reprogramaciones!$K$16),"",IF(ROUND(SUM($Q77:U77),1)&gt;=99.5,100,MIN(100,ROUND(SUM($Q77:U77),1))))</f>
        <v/>
      </c>
      <c r="CO77" s="1" t="str">
        <f aca="false">IF(OR(OR(NOT(AND(ISNUMBER(E77),ISNUMBER(F77))),$J$2=""),6&gt;Reprogramaciones!$K$16),"",IF(ROUND(SUM($Q77:V77),1)&gt;=99.5,100,MIN(100,ROUND(SUM($Q77:V77),1))))</f>
        <v/>
      </c>
      <c r="CP77" s="1" t="str">
        <f aca="false">IF(OR(OR(NOT(AND(ISNUMBER(E77),ISNUMBER(F77))),$J$2=""),7&gt;Reprogramaciones!$K$16),"",IF(ROUND(SUM($Q77:W77),1)&gt;=99.5,100,MIN(100,ROUND(SUM($Q77:W77),1))))</f>
        <v/>
      </c>
      <c r="CQ77" s="1" t="str">
        <f aca="false">IF(OR(OR(NOT(AND(ISNUMBER(E77),ISNUMBER(F77))),$J$2=""),8&gt;Reprogramaciones!$K$16),"",IF(ROUND(SUM($Q77:X77),1)&gt;=99.5,100,MIN(100,ROUND(SUM($Q77:X77),1))))</f>
        <v/>
      </c>
      <c r="CR77" s="1" t="str">
        <f aca="false">IF(OR(OR(NOT(AND(ISNUMBER(E77),ISNUMBER(F77))),$J$2=""),9&gt;Reprogramaciones!$K$16),"",IF(ROUND(SUM($Q77:Y77),1)&gt;=99.5,100,MIN(100,ROUND(SUM($Q77:Y77),1))))</f>
        <v/>
      </c>
      <c r="CS77" s="1" t="str">
        <f aca="false">IF(OR(OR(NOT(AND(ISNUMBER(E77),ISNUMBER(F77))),$J$2=""),10&gt;Reprogramaciones!$K$16),"",IF(ROUND(SUM($Q77:Z77),1)&gt;=99.5,100,MIN(100,ROUND(SUM($Q77:Z77),1))))</f>
        <v/>
      </c>
      <c r="CT77" s="1" t="str">
        <f aca="false">IF(OR(OR(NOT(AND(ISNUMBER(E77),ISNUMBER(F77))),$J$2=""),11&gt;Reprogramaciones!$K$16),"",IF(ROUND(SUM($Q77:AA77),1)&gt;=99.5,100,MIN(100,ROUND(SUM($Q77:AA77),1))))</f>
        <v/>
      </c>
      <c r="CU77" s="1" t="str">
        <f aca="false">IF(OR(OR(NOT(AND(ISNUMBER(E77),ISNUMBER(F77))),$J$2=""),12&gt;Reprogramaciones!$K$16),"",IF(ROUND(SUM($Q77:AB77),1)&gt;=99.5,100,MIN(100,ROUND(SUM($Q77:AB77),1))))</f>
        <v/>
      </c>
      <c r="CV77" s="1" t="str">
        <f aca="false">IF(OR(OR(NOT(AND(ISNUMBER(E77),ISNUMBER(F77))),$J$2=""),13&gt;Reprogramaciones!$K$16),"",IF(ROUND(SUM($Q77:AC77),1)&gt;=99.5,100,MIN(100,ROUND(SUM($Q77:AC77),1))))</f>
        <v/>
      </c>
      <c r="CW77" s="1" t="str">
        <f aca="false">IF(OR(OR(NOT(AND(ISNUMBER(E77),ISNUMBER(F77))),$J$2=""),14&gt;Reprogramaciones!$K$16),"",IF(ROUND(SUM($Q77:AD77),1)&gt;=99.5,100,MIN(100,ROUND(SUM($Q77:AD77),1))))</f>
        <v/>
      </c>
      <c r="CX77" s="1" t="str">
        <f aca="false">IF(OR(OR(NOT(AND(ISNUMBER(E77),ISNUMBER(F77))),$J$2=""),15&gt;Reprogramaciones!$K$16),"",IF(ROUND(SUM($Q77:AE77),1)&gt;=99.5,100,MIN(100,ROUND(SUM($Q77:AE77),1))))</f>
        <v/>
      </c>
      <c r="CY77" s="1" t="str">
        <f aca="false">IF(OR(OR(NOT(AND(ISNUMBER(E77),ISNUMBER(F77))),$J$2=""),16&gt;Reprogramaciones!$K$16),"",IF(ROUND(SUM($Q77:AF77),1)&gt;=99.5,100,MIN(100,ROUND(SUM($Q77:AF77),1))))</f>
        <v/>
      </c>
      <c r="CZ77" s="1" t="str">
        <f aca="false">IF(D77&lt;&gt;"",D77,IF(B77&lt;&gt;"","Contractual",CZ76))</f>
        <v>Contractual</v>
      </c>
      <c r="DA77" s="1" t="str">
        <f aca="false">IF(OR(NOT(AND(ISNUMBER(E77),ISNUMBER(F77))),$J$2=""),"",IF(Reprogramaciones!$Q$15&lt;Reprogramaciones!$T$15,0,IF(Reprogramaciones!$S$15&gt;10,MIN(100,SUM($G77:$P77)),MIN(100,SUMPRODUCT((COLUMN($G77:$P77)-COLUMN($G77)+1&lt;Reprogramaciones!$S$15)*$G77:$P77)+N(INDEX($G77:$P77,1,Reprogramaciones!$S$15))*IF(Reprogramaciones!$Q$15&gt;=(Reprogramaciones!$T$15+7*(Reprogramaciones!$S$15-1))+6,1,IF(MAX(0,NETWORKDAYS.INTL(MAX(E77,(Reprogramaciones!$T$15+7*(Reprogramaciones!$S$15-1))),MIN(F77,(Reprogramaciones!$T$15+7*(Reprogramaciones!$S$15-1))+6),11))=0,0,MAX(0,NETWORKDAYS.INTL(MAX(E77,(Reprogramaciones!$T$15+7*(Reprogramaciones!$S$15-1))),MIN(F77,Reprogramaciones!$Q$15),11))/MAX(0,NETWORKDAYS.INTL(MAX(E77,(Reprogramaciones!$T$15+7*(Reprogramaciones!$S$15-1))),MIN(F77,(Reprogramaciones!$T$15+7*(Reprogramaciones!$S$15-1))+6),11))))))))</f>
        <v/>
      </c>
    </row>
    <row r="78" customFormat="false" ht="15" hidden="false" customHeight="false" outlineLevel="0" collapsed="false">
      <c r="A78" s="32"/>
      <c r="B78" s="33"/>
      <c r="C78" s="33"/>
      <c r="D78" s="34"/>
      <c r="E78" s="35"/>
      <c r="F78" s="35"/>
      <c r="G78" s="36" t="str">
        <f aca="false">IF(OR(NOT(AND(ISNUMBER(E78),ISNUMBER(F78))),$J$2=""),"",IF(Reprogramaciones!K$9&lt;E78,0,IF(NETWORKDAYS.INTL(E78,F78,11)=0,IF(Reprogramaciones!K$9&gt;=F78,100,0),ROUND(NETWORKDAYS.INTL(E78,MIN(F78,Reprogramaciones!K$9),11)/NETWORKDAYS.INTL(E78,F78,11)*100,1)))-0)</f>
        <v/>
      </c>
      <c r="H78" s="36" t="str">
        <f aca="false">IF(OR(NOT(AND(ISNUMBER(E78),ISNUMBER(F78))),$J$2=""),"",IF(Reprogramaciones!L$9&lt;E78,0,IF(NETWORKDAYS.INTL(E78,F78,11)=0,IF(Reprogramaciones!L$9&gt;=F78,100,0),ROUND(NETWORKDAYS.INTL(E78,MIN(F78,Reprogramaciones!L$9),11)/NETWORKDAYS.INTL(E78,F78,11)*100,1)))-IF(Reprogramaciones!K$9&lt;E78,0,IF(NETWORKDAYS.INTL(E78,F78,11)=0,IF(Reprogramaciones!K$9&gt;=F78,100,0),ROUND(NETWORKDAYS.INTL(E78,MIN(F78,Reprogramaciones!K$9),11)/NETWORKDAYS.INTL(E78,F78,11)*100,1))))</f>
        <v/>
      </c>
      <c r="I78" s="36" t="str">
        <f aca="false">IF(OR(NOT(AND(ISNUMBER(E78),ISNUMBER(F78))),$J$2=""),"",IF(Reprogramaciones!M$9&lt;E78,0,IF(NETWORKDAYS.INTL(E78,F78,11)=0,IF(Reprogramaciones!M$9&gt;=F78,100,0),ROUND(NETWORKDAYS.INTL(E78,MIN(F78,Reprogramaciones!M$9),11)/NETWORKDAYS.INTL(E78,F78,11)*100,1)))-IF(Reprogramaciones!L$9&lt;E78,0,IF(NETWORKDAYS.INTL(E78,F78,11)=0,IF(Reprogramaciones!L$9&gt;=F78,100,0),ROUND(NETWORKDAYS.INTL(E78,MIN(F78,Reprogramaciones!L$9),11)/NETWORKDAYS.INTL(E78,F78,11)*100,1))))</f>
        <v/>
      </c>
      <c r="J78" s="36" t="str">
        <f aca="false">IF(OR(NOT(AND(ISNUMBER(E78),ISNUMBER(F78))),$J$2=""),"",IF(Reprogramaciones!N$9&lt;E78,0,IF(NETWORKDAYS.INTL(E78,F78,11)=0,IF(Reprogramaciones!N$9&gt;=F78,100,0),ROUND(NETWORKDAYS.INTL(E78,MIN(F78,Reprogramaciones!N$9),11)/NETWORKDAYS.INTL(E78,F78,11)*100,1)))-IF(Reprogramaciones!M$9&lt;E78,0,IF(NETWORKDAYS.INTL(E78,F78,11)=0,IF(Reprogramaciones!M$9&gt;=F78,100,0),ROUND(NETWORKDAYS.INTL(E78,MIN(F78,Reprogramaciones!M$9),11)/NETWORKDAYS.INTL(E78,F78,11)*100,1))))</f>
        <v/>
      </c>
      <c r="K78" s="36" t="str">
        <f aca="false">IF(OR(NOT(AND(ISNUMBER(E78),ISNUMBER(F78))),$J$2=""),"",IF(Reprogramaciones!O$9&lt;E78,0,IF(NETWORKDAYS.INTL(E78,F78,11)=0,IF(Reprogramaciones!O$9&gt;=F78,100,0),ROUND(NETWORKDAYS.INTL(E78,MIN(F78,Reprogramaciones!O$9),11)/NETWORKDAYS.INTL(E78,F78,11)*100,1)))-IF(Reprogramaciones!N$9&lt;E78,0,IF(NETWORKDAYS.INTL(E78,F78,11)=0,IF(Reprogramaciones!N$9&gt;=F78,100,0),ROUND(NETWORKDAYS.INTL(E78,MIN(F78,Reprogramaciones!N$9),11)/NETWORKDAYS.INTL(E78,F78,11)*100,1))))</f>
        <v/>
      </c>
      <c r="L78" s="36" t="str">
        <f aca="false">IF(OR(NOT(AND(ISNUMBER(E78),ISNUMBER(F78))),$J$2=""),"",IF(Reprogramaciones!P$9&lt;E78,0,IF(NETWORKDAYS.INTL(E78,F78,11)=0,IF(Reprogramaciones!P$9&gt;=F78,100,0),ROUND(NETWORKDAYS.INTL(E78,MIN(F78,Reprogramaciones!P$9),11)/NETWORKDAYS.INTL(E78,F78,11)*100,1)))-IF(Reprogramaciones!O$9&lt;E78,0,IF(NETWORKDAYS.INTL(E78,F78,11)=0,IF(Reprogramaciones!O$9&gt;=F78,100,0),ROUND(NETWORKDAYS.INTL(E78,MIN(F78,Reprogramaciones!O$9),11)/NETWORKDAYS.INTL(E78,F78,11)*100,1))))</f>
        <v/>
      </c>
      <c r="M78" s="36" t="str">
        <f aca="false">IF(OR(NOT(AND(ISNUMBER(E78),ISNUMBER(F78))),$J$2=""),"",IF(Reprogramaciones!Q$9&lt;E78,0,IF(NETWORKDAYS.INTL(E78,F78,11)=0,IF(Reprogramaciones!Q$9&gt;=F78,100,0),ROUND(NETWORKDAYS.INTL(E78,MIN(F78,Reprogramaciones!Q$9),11)/NETWORKDAYS.INTL(E78,F78,11)*100,1)))-IF(Reprogramaciones!P$9&lt;E78,0,IF(NETWORKDAYS.INTL(E78,F78,11)=0,IF(Reprogramaciones!P$9&gt;=F78,100,0),ROUND(NETWORKDAYS.INTL(E78,MIN(F78,Reprogramaciones!P$9),11)/NETWORKDAYS.INTL(E78,F78,11)*100,1))))</f>
        <v/>
      </c>
      <c r="N78" s="36" t="str">
        <f aca="false">IF(OR(NOT(AND(ISNUMBER(E78),ISNUMBER(F78))),$J$2=""),"",IF(Reprogramaciones!R$9&lt;E78,0,IF(NETWORKDAYS.INTL(E78,F78,11)=0,IF(Reprogramaciones!R$9&gt;=F78,100,0),ROUND(NETWORKDAYS.INTL(E78,MIN(F78,Reprogramaciones!R$9),11)/NETWORKDAYS.INTL(E78,F78,11)*100,1)))-IF(Reprogramaciones!Q$9&lt;E78,0,IF(NETWORKDAYS.INTL(E78,F78,11)=0,IF(Reprogramaciones!Q$9&gt;=F78,100,0),ROUND(NETWORKDAYS.INTL(E78,MIN(F78,Reprogramaciones!Q$9),11)/NETWORKDAYS.INTL(E78,F78,11)*100,1))))</f>
        <v/>
      </c>
      <c r="O78" s="36" t="str">
        <f aca="false">IF(OR(NOT(AND(ISNUMBER(E78),ISNUMBER(F78))),$J$2=""),"",IF(Reprogramaciones!S$9&lt;E78,0,IF(NETWORKDAYS.INTL(E78,F78,11)=0,IF(Reprogramaciones!S$9&gt;=F78,100,0),ROUND(NETWORKDAYS.INTL(E78,MIN(F78,Reprogramaciones!S$9),11)/NETWORKDAYS.INTL(E78,F78,11)*100,1)))-IF(Reprogramaciones!R$9&lt;E78,0,IF(NETWORKDAYS.INTL(E78,F78,11)=0,IF(Reprogramaciones!R$9&gt;=F78,100,0),ROUND(NETWORKDAYS.INTL(E78,MIN(F78,Reprogramaciones!R$9),11)/NETWORKDAYS.INTL(E78,F78,11)*100,1))))</f>
        <v/>
      </c>
      <c r="P78" s="36" t="str">
        <f aca="false">IF(OR(NOT(AND(ISNUMBER(E78),ISNUMBER(F78))),$J$2=""),"",IF(Reprogramaciones!T$9&lt;E78,0,IF(NETWORKDAYS.INTL(E78,F78,11)=0,IF(Reprogramaciones!T$9&gt;=F78,100,0),ROUND(NETWORKDAYS.INTL(E78,MIN(F78,Reprogramaciones!T$9),11)/NETWORKDAYS.INTL(E78,F78,11)*100,1)))-IF(Reprogramaciones!S$9&lt;E78,0,IF(NETWORKDAYS.INTL(E78,F78,11)=0,IF(Reprogramaciones!S$9&gt;=F78,100,0),ROUND(NETWORKDAYS.INTL(E78,MIN(F78,Reprogramaciones!S$9),11)/NETWORKDAYS.INTL(E78,F78,11)*100,1))))</f>
        <v/>
      </c>
      <c r="Q78" s="37"/>
      <c r="R78" s="37"/>
      <c r="S78" s="37"/>
      <c r="T78" s="37"/>
      <c r="U78" s="37"/>
      <c r="V78" s="37"/>
      <c r="W78" s="37"/>
      <c r="X78" s="37"/>
      <c r="Y78" s="37"/>
      <c r="Z78" s="37"/>
      <c r="AA78" s="37"/>
      <c r="AB78" s="37"/>
      <c r="AC78" s="37"/>
      <c r="AD78" s="37"/>
      <c r="AE78" s="37"/>
      <c r="AF78" s="37"/>
      <c r="AG78" s="38" t="str">
        <f aca="false">IF(AND(ISNUMBER(E78),ISNUMBER(F78)),NETWORKDAYS.INTL(E78,F78,11),"")</f>
        <v/>
      </c>
      <c r="AH78" s="38" t="str">
        <f aca="false">IF(OR(NOT(AND(ISNUMBER(E78),ISNUMBER(F78))),$J$2=""),"",IF(Reprogramaciones!$P$15&lt;Reprogramaciones!$T$15,0,IF(Reprogramaciones!$R$15&gt;10,MIN(100,SUM($G78:$P78)),MIN(100,SUMPRODUCT((COLUMN($G78:$P78)-COLUMN($G78)+1&lt;Reprogramaciones!$R$15)*$G78:$P78)+N(INDEX($G78:$P78,1,Reprogramaciones!$R$15))*IF(Reprogramaciones!$P$15&gt;=(Reprogramaciones!$T$15+7*(Reprogramaciones!$R$15-1))+6,1,IF(MAX(0,NETWORKDAYS.INTL(MAX(E78,(Reprogramaciones!$T$15+7*(Reprogramaciones!$R$15-1))),MIN(F78,(Reprogramaciones!$T$15+7*(Reprogramaciones!$R$15-1))+6),11))=0,0,MAX(0,NETWORKDAYS.INTL(MAX(E78,(Reprogramaciones!$T$15+7*(Reprogramaciones!$R$15-1))),MIN(F78,Reprogramaciones!$P$15),11))/MAX(0,NETWORKDAYS.INTL(MAX(E78,(Reprogramaciones!$T$15+7*(Reprogramaciones!$R$15-1))),MIN(F78,(Reprogramaciones!$T$15+7*(Reprogramaciones!$R$15-1))+6),11))))))))</f>
        <v/>
      </c>
      <c r="AI78" s="38" t="str">
        <f aca="false">IF(COUNT($Q78:$AF78)=0,"",IF(ROUND(SUM($Q78:$AF78),1)&gt;=99.5,100,MIN(100,ROUND(SUM($Q78:$AF78),1))))</f>
        <v/>
      </c>
      <c r="AJ78" s="38" t="str">
        <f aca="false">IF(OR(AH78="",AI78=""),"",AI78-AH78)</f>
        <v/>
      </c>
      <c r="AK78" s="39" t="str">
        <f aca="true">IF(AH78="","",IF(OR(Ficha!$C$10="Suspendida",Ficha!$C$10="Cancelada"),Ficha!$C$10,IF(AND(AI78&lt;&gt;"",N(AI78)&gt;=100),"Completada",IF(AND(E78&gt;TODAY(),N(AI78)=0),"Por iniciar",IF(N(AI78)+0.5&lt;AH78,"Retrasada",IF(N(AI78)+0.5&lt;DA78,IF(Reprogramaciones!$K$15&gt;0,"Al día · Sem "&amp;Reprogramaciones!$K$15&amp;" en curso","Al día · en curso"),"A tiempo"))))))</f>
        <v/>
      </c>
      <c r="AL78" s="39" t="str">
        <f aca="true">IF(AND(A78="",AND(B78="",C78="",E78="",F78="",COUNT(Q78:AF78)=0)),"",IF(AND(B78="",C78="",E78="",F78="",COUNT(Q78:AF78)=0),"Falta la partida o subpartida",IF(AND(A78&lt;&gt;"",COUNTIF($A$6:$A$305,A78)&gt;1),"Ítem repetido",IF(AND(C78="",E78="",F78="",COUNT(Q78:AF78)=0),"Título de partida",IF(OR(E78="",F78=""),"Faltan fechas",IF(OR(ISTEXT(E78),ISTEXT(F78)),"Fecha escrita como texto: usa dd/mm/aaaa",IF(F78&lt;E78,"Fin antes del inicio",IF(IF($J$2="",FALSE(),OR(E78&lt;$J$2,F78&gt;Reprogramaciones!$T$15+69)),"Fuera de las 10 semanas",IF(ABS(SUM(G78:P78)-100)&gt;0.5,"La meta no suma 100%",IF(ROUND(SUM(Q78:AF78),1)&gt;100.5,"El avance pasa de 100%",IF(MIN(Q78:AF78)&lt;0,"Avance negativo",IF(COUNTA(Q78:AF78)&gt;COUNT(Q78:AF78),"Avance escrito como texto",IF(SUMPRODUCT((Q78:AF78&gt;0)*(Q78:AF78&lt;1))&gt;0,"Avance menor a 1: escribe 50, no 50%",IF(SUMPRODUCT(ISNUMBER(Q78:AF78)*(Reprogramaciones!$K$8:$Z$8&gt;TODAY()))&gt;0,"Avance en semana que aún no llega",IF(AND(N(Reprogramaciones!$E$21)&gt;0,F78&gt;Reprogramaciones!$E$21),"Pasa el fin de la obra: registra una reprogramación",IF(AND(N(Reprogramaciones!$E$21)&gt;0,SUMPRODUCT(ISNUMBER(Q78:AF78)*(Reprogramaciones!$K$8:$Z$8&gt;Reprogramaciones!$E$21))&gt;0),"Avance después del fin de la obra: registra una reprogramación por atraso","OK"))))))))))))))))</f>
        <v/>
      </c>
      <c r="AM78" s="40" t="str">
        <f aca="false">IF(OR(OR(NOT(AND(ISNUMBER(E78),ISNUMBER(F78))),$J$2=""),1&gt;MAX(1,Reprogramaciones!$U$15)),"",IF(Reprogramaciones!K$12&gt;=7,"",IF(OR(BT78-N(0)&gt;0.05,N(Q78)&gt;0),ROUNDDOWN(ROUND(BT78,6),0)&amp;"%"&amp;IF(CJ78="",""," / "&amp;CJ78&amp;"%"),IF(AND(N(0)&gt;=99.95,CJ78&lt;&gt;"",N(CJ78)&lt;100),"Pend. "&amp;CJ78&amp;"%",""))))</f>
        <v/>
      </c>
      <c r="AN78" s="40" t="str">
        <f aca="false">IF(OR(OR(NOT(AND(ISNUMBER(E78),ISNUMBER(F78))),$J$2=""),2&gt;MAX(1,Reprogramaciones!$U$15)),"",IF(Reprogramaciones!L$12&gt;=7,"",IF(OR(BU78-N(BT78)&gt;0.05,N(R78)&gt;0),ROUNDDOWN(ROUND(BU78,6),0)&amp;"%"&amp;IF(CK78="",""," / "&amp;CK78&amp;"%"),IF(AND(N(BT78)&gt;=99.95,CK78&lt;&gt;"",N(CK78)&lt;100),"Pend. "&amp;CK78&amp;"%",""))))</f>
        <v/>
      </c>
      <c r="AO78" s="40" t="str">
        <f aca="false">IF(OR(OR(NOT(AND(ISNUMBER(E78),ISNUMBER(F78))),$J$2=""),3&gt;MAX(1,Reprogramaciones!$U$15)),"",IF(Reprogramaciones!M$12&gt;=7,"",IF(OR(BV78-N(BU78)&gt;0.05,N(S78)&gt;0),ROUNDDOWN(ROUND(BV78,6),0)&amp;"%"&amp;IF(CL78="",""," / "&amp;CL78&amp;"%"),IF(AND(N(BU78)&gt;=99.95,CL78&lt;&gt;"",N(CL78)&lt;100),"Pend. "&amp;CL78&amp;"%",""))))</f>
        <v/>
      </c>
      <c r="AP78" s="40" t="str">
        <f aca="false">IF(OR(OR(NOT(AND(ISNUMBER(E78),ISNUMBER(F78))),$J$2=""),4&gt;MAX(1,Reprogramaciones!$U$15)),"",IF(Reprogramaciones!N$12&gt;=7,"",IF(OR(BW78-N(BV78)&gt;0.05,N(T78)&gt;0),ROUNDDOWN(ROUND(BW78,6),0)&amp;"%"&amp;IF(CM78="",""," / "&amp;CM78&amp;"%"),IF(AND(N(BV78)&gt;=99.95,CM78&lt;&gt;"",N(CM78)&lt;100),"Pend. "&amp;CM78&amp;"%",""))))</f>
        <v/>
      </c>
      <c r="AQ78" s="40" t="str">
        <f aca="false">IF(OR(OR(NOT(AND(ISNUMBER(E78),ISNUMBER(F78))),$J$2=""),5&gt;MAX(1,Reprogramaciones!$U$15)),"",IF(Reprogramaciones!O$12&gt;=7,"",IF(OR(BX78-N(BW78)&gt;0.05,N(U78)&gt;0),ROUNDDOWN(ROUND(BX78,6),0)&amp;"%"&amp;IF(CN78="",""," / "&amp;CN78&amp;"%"),IF(AND(N(BW78)&gt;=99.95,CN78&lt;&gt;"",N(CN78)&lt;100),"Pend. "&amp;CN78&amp;"%",""))))</f>
        <v/>
      </c>
      <c r="AR78" s="40" t="str">
        <f aca="false">IF(OR(OR(NOT(AND(ISNUMBER(E78),ISNUMBER(F78))),$J$2=""),6&gt;MAX(1,Reprogramaciones!$U$15)),"",IF(Reprogramaciones!P$12&gt;=7,"",IF(OR(BY78-N(BX78)&gt;0.05,N(V78)&gt;0),ROUNDDOWN(ROUND(BY78,6),0)&amp;"%"&amp;IF(CO78="",""," / "&amp;CO78&amp;"%"),IF(AND(N(BX78)&gt;=99.95,CO78&lt;&gt;"",N(CO78)&lt;100),"Pend. "&amp;CO78&amp;"%",""))))</f>
        <v/>
      </c>
      <c r="AS78" s="40" t="str">
        <f aca="false">IF(OR(OR(NOT(AND(ISNUMBER(E78),ISNUMBER(F78))),$J$2=""),7&gt;MAX(1,Reprogramaciones!$U$15)),"",IF(Reprogramaciones!Q$12&gt;=7,"",IF(OR(BZ78-N(BY78)&gt;0.05,N(W78)&gt;0),ROUNDDOWN(ROUND(BZ78,6),0)&amp;"%"&amp;IF(CP78="",""," / "&amp;CP78&amp;"%"),IF(AND(N(BY78)&gt;=99.95,CP78&lt;&gt;"",N(CP78)&lt;100),"Pend. "&amp;CP78&amp;"%",""))))</f>
        <v/>
      </c>
      <c r="AT78" s="40" t="str">
        <f aca="false">IF(OR(OR(NOT(AND(ISNUMBER(E78),ISNUMBER(F78))),$J$2=""),8&gt;MAX(1,Reprogramaciones!$U$15)),"",IF(Reprogramaciones!R$12&gt;=7,"",IF(OR(CA78-N(BZ78)&gt;0.05,N(X78)&gt;0),ROUNDDOWN(ROUND(CA78,6),0)&amp;"%"&amp;IF(CQ78="",""," / "&amp;CQ78&amp;"%"),IF(AND(N(BZ78)&gt;=99.95,CQ78&lt;&gt;"",N(CQ78)&lt;100),"Pend. "&amp;CQ78&amp;"%",""))))</f>
        <v/>
      </c>
      <c r="AU78" s="40" t="str">
        <f aca="false">IF(OR(OR(NOT(AND(ISNUMBER(E78),ISNUMBER(F78))),$J$2=""),9&gt;MAX(1,Reprogramaciones!$U$15)),"",IF(Reprogramaciones!S$12&gt;=7,"",IF(OR(CB78-N(CA78)&gt;0.05,N(Y78)&gt;0),ROUNDDOWN(ROUND(CB78,6),0)&amp;"%"&amp;IF(CR78="",""," / "&amp;CR78&amp;"%"),IF(AND(N(CA78)&gt;=99.95,CR78&lt;&gt;"",N(CR78)&lt;100),"Pend. "&amp;CR78&amp;"%",""))))</f>
        <v/>
      </c>
      <c r="AV78" s="40" t="str">
        <f aca="false">IF(OR(OR(NOT(AND(ISNUMBER(E78),ISNUMBER(F78))),$J$2=""),10&gt;MAX(1,Reprogramaciones!$U$15)),"",IF(Reprogramaciones!T$12&gt;=7,"",IF(OR(CC78-N(CB78)&gt;0.05,N(Z78)&gt;0),ROUNDDOWN(ROUND(CC78,6),0)&amp;"%"&amp;IF(CS78="",""," / "&amp;CS78&amp;"%"),IF(AND(N(CB78)&gt;=99.95,CS78&lt;&gt;"",N(CS78)&lt;100),"Pend. "&amp;CS78&amp;"%",""))))</f>
        <v/>
      </c>
      <c r="AW78" s="40" t="str">
        <f aca="false">IF(OR(OR(NOT(AND(ISNUMBER(E78),ISNUMBER(F78))),$J$2=""),11&gt;MAX(1,Reprogramaciones!$U$15)),"",IF(Reprogramaciones!U$12&gt;=7,"",IF(OR(CD78-N(CC78)&gt;0.05,N(AA78)&gt;0),ROUNDDOWN(ROUND(CD78,6),0)&amp;"%"&amp;IF(CT78="",""," / "&amp;CT78&amp;"%"),IF(AND(N(CC78)&gt;=99.95,CT78&lt;&gt;"",N(CT78)&lt;100),"Pend. "&amp;CT78&amp;"%",""))))</f>
        <v/>
      </c>
      <c r="AX78" s="40" t="str">
        <f aca="false">IF(OR(OR(NOT(AND(ISNUMBER(E78),ISNUMBER(F78))),$J$2=""),12&gt;MAX(1,Reprogramaciones!$U$15)),"",IF(Reprogramaciones!V$12&gt;=7,"",IF(OR(CE78-N(CD78)&gt;0.05,N(AB78)&gt;0),ROUNDDOWN(ROUND(CE78,6),0)&amp;"%"&amp;IF(CU78="",""," / "&amp;CU78&amp;"%"),IF(AND(N(CD78)&gt;=99.95,CU78&lt;&gt;"",N(CU78)&lt;100),"Pend. "&amp;CU78&amp;"%",""))))</f>
        <v/>
      </c>
      <c r="AY78" s="40" t="str">
        <f aca="false">IF(OR(OR(NOT(AND(ISNUMBER(E78),ISNUMBER(F78))),$J$2=""),13&gt;MAX(1,Reprogramaciones!$U$15)),"",IF(Reprogramaciones!W$12&gt;=7,"",IF(OR(CF78-N(CE78)&gt;0.05,N(AC78)&gt;0),ROUNDDOWN(ROUND(CF78,6),0)&amp;"%"&amp;IF(CV78="",""," / "&amp;CV78&amp;"%"),IF(AND(N(CE78)&gt;=99.95,CV78&lt;&gt;"",N(CV78)&lt;100),"Pend. "&amp;CV78&amp;"%",""))))</f>
        <v/>
      </c>
      <c r="AZ78" s="40" t="str">
        <f aca="false">IF(OR(OR(NOT(AND(ISNUMBER(E78),ISNUMBER(F78))),$J$2=""),14&gt;MAX(1,Reprogramaciones!$U$15)),"",IF(Reprogramaciones!X$12&gt;=7,"",IF(OR(CG78-N(CF78)&gt;0.05,N(AD78)&gt;0),ROUNDDOWN(ROUND(CG78,6),0)&amp;"%"&amp;IF(CW78="",""," / "&amp;CW78&amp;"%"),IF(AND(N(CF78)&gt;=99.95,CW78&lt;&gt;"",N(CW78)&lt;100),"Pend. "&amp;CW78&amp;"%",""))))</f>
        <v/>
      </c>
      <c r="BA78" s="40" t="str">
        <f aca="false">IF(OR(OR(NOT(AND(ISNUMBER(E78),ISNUMBER(F78))),$J$2=""),15&gt;MAX(1,Reprogramaciones!$U$15)),"",IF(Reprogramaciones!Y$12&gt;=7,"",IF(OR(CH78-N(CG78)&gt;0.05,N(AE78)&gt;0),ROUNDDOWN(ROUND(CH78,6),0)&amp;"%"&amp;IF(CX78="",""," / "&amp;CX78&amp;"%"),IF(AND(N(CG78)&gt;=99.95,CX78&lt;&gt;"",N(CX78)&lt;100),"Pend. "&amp;CX78&amp;"%",""))))</f>
        <v/>
      </c>
      <c r="BB78" s="40" t="str">
        <f aca="false">IF(OR(OR(NOT(AND(ISNUMBER(E78),ISNUMBER(F78))),$J$2=""),16&gt;MAX(1,Reprogramaciones!$U$15)),"",IF(Reprogramaciones!Z$12&gt;=7,"",IF(OR(CI78-N(CH78)&gt;0.05,N(AF78)&gt;0),ROUNDDOWN(ROUND(CI78,6),0)&amp;"%"&amp;IF(CY78="",""," / "&amp;CY78&amp;"%"),IF(AND(N(CH78)&gt;=99.95,CY78&lt;&gt;"",N(CY78)&lt;100),"Pend. "&amp;CY78&amp;"%",""))))</f>
        <v/>
      </c>
      <c r="BC78" s="31" t="n">
        <f aca="false">IF(AND(ISNUMBER(E78),ISNUMBER(F78)),MAX(1,NETWORKDAYS.INTL(E78,F78,11)),0)</f>
        <v>0</v>
      </c>
      <c r="BD78" s="1" t="str">
        <f aca="false">IF(OR(NOT(AND(ISNUMBER(E78),ISNUMBER(F78))),$J$2=""),"",MIN(100,ROUND(SUM($G78:G78),1)))</f>
        <v/>
      </c>
      <c r="BE78" s="1" t="str">
        <f aca="false">IF(OR(NOT(AND(ISNUMBER(E78),ISNUMBER(F78))),$J$2=""),"",MIN(100,ROUND(SUM($G78:H78),1)))</f>
        <v/>
      </c>
      <c r="BF78" s="1" t="str">
        <f aca="false">IF(OR(NOT(AND(ISNUMBER(E78),ISNUMBER(F78))),$J$2=""),"",MIN(100,ROUND(SUM($G78:I78),1)))</f>
        <v/>
      </c>
      <c r="BG78" s="1" t="str">
        <f aca="false">IF(OR(NOT(AND(ISNUMBER(E78),ISNUMBER(F78))),$J$2=""),"",MIN(100,ROUND(SUM($G78:J78),1)))</f>
        <v/>
      </c>
      <c r="BH78" s="1" t="str">
        <f aca="false">IF(OR(NOT(AND(ISNUMBER(E78),ISNUMBER(F78))),$J$2=""),"",MIN(100,ROUND(SUM($G78:K78),1)))</f>
        <v/>
      </c>
      <c r="BI78" s="1" t="str">
        <f aca="false">IF(OR(NOT(AND(ISNUMBER(E78),ISNUMBER(F78))),$J$2=""),"",MIN(100,ROUND(SUM($G78:L78),1)))</f>
        <v/>
      </c>
      <c r="BJ78" s="1" t="str">
        <f aca="false">IF(OR(NOT(AND(ISNUMBER(E78),ISNUMBER(F78))),$J$2=""),"",MIN(100,ROUND(SUM($G78:M78),1)))</f>
        <v/>
      </c>
      <c r="BK78" s="1" t="str">
        <f aca="false">IF(OR(NOT(AND(ISNUMBER(E78),ISNUMBER(F78))),$J$2=""),"",MIN(100,ROUND(SUM($G78:N78),1)))</f>
        <v/>
      </c>
      <c r="BL78" s="1" t="str">
        <f aca="false">IF(OR(NOT(AND(ISNUMBER(E78),ISNUMBER(F78))),$J$2=""),"",MIN(100,ROUND(SUM($G78:O78),1)))</f>
        <v/>
      </c>
      <c r="BM78" s="1" t="str">
        <f aca="false">IF(OR(NOT(AND(ISNUMBER(E78),ISNUMBER(F78))),$J$2=""),"",MIN(100,ROUND(SUM($G78:P78),1)))</f>
        <v/>
      </c>
      <c r="BN78" s="1" t="str">
        <f aca="false">IF(OR(NOT(AND(ISNUMBER(E78),ISNUMBER(F78))),$J$2=""),"",MIN(100,ROUND(SUM($G78:P78),1)))</f>
        <v/>
      </c>
      <c r="BO78" s="1" t="str">
        <f aca="false">IF(OR(NOT(AND(ISNUMBER(E78),ISNUMBER(F78))),$J$2=""),"",MIN(100,ROUND(SUM($G78:P78),1)))</f>
        <v/>
      </c>
      <c r="BP78" s="1" t="str">
        <f aca="false">IF(OR(NOT(AND(ISNUMBER(E78),ISNUMBER(F78))),$J$2=""),"",MIN(100,ROUND(SUM($G78:P78),1)))</f>
        <v/>
      </c>
      <c r="BQ78" s="1" t="str">
        <f aca="false">IF(OR(NOT(AND(ISNUMBER(E78),ISNUMBER(F78))),$J$2=""),"",MIN(100,ROUND(SUM($G78:P78),1)))</f>
        <v/>
      </c>
      <c r="BR78" s="1" t="str">
        <f aca="false">IF(OR(NOT(AND(ISNUMBER(E78),ISNUMBER(F78))),$J$2=""),"",MIN(100,ROUND(SUM($G78:P78),1)))</f>
        <v/>
      </c>
      <c r="BS78" s="1" t="str">
        <f aca="false">IF(OR(NOT(AND(ISNUMBER(E78),ISNUMBER(F78))),$J$2=""),"",MIN(100,ROUND(SUM($G78:P78),1)))</f>
        <v/>
      </c>
      <c r="BT78" s="1" t="str">
        <f aca="false">IF(OR(NOT(AND(ISNUMBER(E78),ISNUMBER(F78))),$J$2=""),"",IF(Reprogramaciones!K$13&lt;Reprogramaciones!$T$15,0,IF(Reprogramaciones!K$14&gt;10,MIN(100,SUM($G78:$P78)),MIN(100,SUMPRODUCT((COLUMN($G78:$P78)-COLUMN($G78)+1&lt;Reprogramaciones!K$14)*$G78:$P78)+N(INDEX($G78:$P78,1,Reprogramaciones!K$14))*IF(Reprogramaciones!K$13&gt;=(Reprogramaciones!$T$15+7*(Reprogramaciones!K$14-1))+6,1,IF(MAX(0,NETWORKDAYS.INTL(MAX(E78,(Reprogramaciones!$T$15+7*(Reprogramaciones!K$14-1))),MIN(F78,(Reprogramaciones!$T$15+7*(Reprogramaciones!K$14-1))+6),11))=0,0,MAX(0,NETWORKDAYS.INTL(MAX(E78,(Reprogramaciones!$T$15+7*(Reprogramaciones!K$14-1))),MIN(F78,Reprogramaciones!K$13),11))/MAX(0,NETWORKDAYS.INTL(MAX(E78,(Reprogramaciones!$T$15+7*(Reprogramaciones!K$14-1))),MIN(F78,(Reprogramaciones!$T$15+7*(Reprogramaciones!K$14-1))+6),11))))))))</f>
        <v/>
      </c>
      <c r="BU78" s="1" t="str">
        <f aca="false">IF(OR(NOT(AND(ISNUMBER(E78),ISNUMBER(F78))),$J$2=""),"",IF(Reprogramaciones!L$13&lt;Reprogramaciones!$T$15,0,IF(Reprogramaciones!L$14&gt;10,MIN(100,SUM($G78:$P78)),MIN(100,SUMPRODUCT((COLUMN($G78:$P78)-COLUMN($G78)+1&lt;Reprogramaciones!L$14)*$G78:$P78)+N(INDEX($G78:$P78,1,Reprogramaciones!L$14))*IF(Reprogramaciones!L$13&gt;=(Reprogramaciones!$T$15+7*(Reprogramaciones!L$14-1))+6,1,IF(MAX(0,NETWORKDAYS.INTL(MAX(E78,(Reprogramaciones!$T$15+7*(Reprogramaciones!L$14-1))),MIN(F78,(Reprogramaciones!$T$15+7*(Reprogramaciones!L$14-1))+6),11))=0,0,MAX(0,NETWORKDAYS.INTL(MAX(E78,(Reprogramaciones!$T$15+7*(Reprogramaciones!L$14-1))),MIN(F78,Reprogramaciones!L$13),11))/MAX(0,NETWORKDAYS.INTL(MAX(E78,(Reprogramaciones!$T$15+7*(Reprogramaciones!L$14-1))),MIN(F78,(Reprogramaciones!$T$15+7*(Reprogramaciones!L$14-1))+6),11))))))))</f>
        <v/>
      </c>
      <c r="BV78" s="1" t="str">
        <f aca="false">IF(OR(NOT(AND(ISNUMBER(E78),ISNUMBER(F78))),$J$2=""),"",IF(Reprogramaciones!M$13&lt;Reprogramaciones!$T$15,0,IF(Reprogramaciones!M$14&gt;10,MIN(100,SUM($G78:$P78)),MIN(100,SUMPRODUCT((COLUMN($G78:$P78)-COLUMN($G78)+1&lt;Reprogramaciones!M$14)*$G78:$P78)+N(INDEX($G78:$P78,1,Reprogramaciones!M$14))*IF(Reprogramaciones!M$13&gt;=(Reprogramaciones!$T$15+7*(Reprogramaciones!M$14-1))+6,1,IF(MAX(0,NETWORKDAYS.INTL(MAX(E78,(Reprogramaciones!$T$15+7*(Reprogramaciones!M$14-1))),MIN(F78,(Reprogramaciones!$T$15+7*(Reprogramaciones!M$14-1))+6),11))=0,0,MAX(0,NETWORKDAYS.INTL(MAX(E78,(Reprogramaciones!$T$15+7*(Reprogramaciones!M$14-1))),MIN(F78,Reprogramaciones!M$13),11))/MAX(0,NETWORKDAYS.INTL(MAX(E78,(Reprogramaciones!$T$15+7*(Reprogramaciones!M$14-1))),MIN(F78,(Reprogramaciones!$T$15+7*(Reprogramaciones!M$14-1))+6),11))))))))</f>
        <v/>
      </c>
      <c r="BW78" s="1" t="str">
        <f aca="false">IF(OR(NOT(AND(ISNUMBER(E78),ISNUMBER(F78))),$J$2=""),"",IF(Reprogramaciones!N$13&lt;Reprogramaciones!$T$15,0,IF(Reprogramaciones!N$14&gt;10,MIN(100,SUM($G78:$P78)),MIN(100,SUMPRODUCT((COLUMN($G78:$P78)-COLUMN($G78)+1&lt;Reprogramaciones!N$14)*$G78:$P78)+N(INDEX($G78:$P78,1,Reprogramaciones!N$14))*IF(Reprogramaciones!N$13&gt;=(Reprogramaciones!$T$15+7*(Reprogramaciones!N$14-1))+6,1,IF(MAX(0,NETWORKDAYS.INTL(MAX(E78,(Reprogramaciones!$T$15+7*(Reprogramaciones!N$14-1))),MIN(F78,(Reprogramaciones!$T$15+7*(Reprogramaciones!N$14-1))+6),11))=0,0,MAX(0,NETWORKDAYS.INTL(MAX(E78,(Reprogramaciones!$T$15+7*(Reprogramaciones!N$14-1))),MIN(F78,Reprogramaciones!N$13),11))/MAX(0,NETWORKDAYS.INTL(MAX(E78,(Reprogramaciones!$T$15+7*(Reprogramaciones!N$14-1))),MIN(F78,(Reprogramaciones!$T$15+7*(Reprogramaciones!N$14-1))+6),11))))))))</f>
        <v/>
      </c>
      <c r="BX78" s="1" t="str">
        <f aca="false">IF(OR(NOT(AND(ISNUMBER(E78),ISNUMBER(F78))),$J$2=""),"",IF(Reprogramaciones!O$13&lt;Reprogramaciones!$T$15,0,IF(Reprogramaciones!O$14&gt;10,MIN(100,SUM($G78:$P78)),MIN(100,SUMPRODUCT((COLUMN($G78:$P78)-COLUMN($G78)+1&lt;Reprogramaciones!O$14)*$G78:$P78)+N(INDEX($G78:$P78,1,Reprogramaciones!O$14))*IF(Reprogramaciones!O$13&gt;=(Reprogramaciones!$T$15+7*(Reprogramaciones!O$14-1))+6,1,IF(MAX(0,NETWORKDAYS.INTL(MAX(E78,(Reprogramaciones!$T$15+7*(Reprogramaciones!O$14-1))),MIN(F78,(Reprogramaciones!$T$15+7*(Reprogramaciones!O$14-1))+6),11))=0,0,MAX(0,NETWORKDAYS.INTL(MAX(E78,(Reprogramaciones!$T$15+7*(Reprogramaciones!O$14-1))),MIN(F78,Reprogramaciones!O$13),11))/MAX(0,NETWORKDAYS.INTL(MAX(E78,(Reprogramaciones!$T$15+7*(Reprogramaciones!O$14-1))),MIN(F78,(Reprogramaciones!$T$15+7*(Reprogramaciones!O$14-1))+6),11))))))))</f>
        <v/>
      </c>
      <c r="BY78" s="1" t="str">
        <f aca="false">IF(OR(NOT(AND(ISNUMBER(E78),ISNUMBER(F78))),$J$2=""),"",IF(Reprogramaciones!P$13&lt;Reprogramaciones!$T$15,0,IF(Reprogramaciones!P$14&gt;10,MIN(100,SUM($G78:$P78)),MIN(100,SUMPRODUCT((COLUMN($G78:$P78)-COLUMN($G78)+1&lt;Reprogramaciones!P$14)*$G78:$P78)+N(INDEX($G78:$P78,1,Reprogramaciones!P$14))*IF(Reprogramaciones!P$13&gt;=(Reprogramaciones!$T$15+7*(Reprogramaciones!P$14-1))+6,1,IF(MAX(0,NETWORKDAYS.INTL(MAX(E78,(Reprogramaciones!$T$15+7*(Reprogramaciones!P$14-1))),MIN(F78,(Reprogramaciones!$T$15+7*(Reprogramaciones!P$14-1))+6),11))=0,0,MAX(0,NETWORKDAYS.INTL(MAX(E78,(Reprogramaciones!$T$15+7*(Reprogramaciones!P$14-1))),MIN(F78,Reprogramaciones!P$13),11))/MAX(0,NETWORKDAYS.INTL(MAX(E78,(Reprogramaciones!$T$15+7*(Reprogramaciones!P$14-1))),MIN(F78,(Reprogramaciones!$T$15+7*(Reprogramaciones!P$14-1))+6),11))))))))</f>
        <v/>
      </c>
      <c r="BZ78" s="1" t="str">
        <f aca="false">IF(OR(NOT(AND(ISNUMBER(E78),ISNUMBER(F78))),$J$2=""),"",IF(Reprogramaciones!Q$13&lt;Reprogramaciones!$T$15,0,IF(Reprogramaciones!Q$14&gt;10,MIN(100,SUM($G78:$P78)),MIN(100,SUMPRODUCT((COLUMN($G78:$P78)-COLUMN($G78)+1&lt;Reprogramaciones!Q$14)*$G78:$P78)+N(INDEX($G78:$P78,1,Reprogramaciones!Q$14))*IF(Reprogramaciones!Q$13&gt;=(Reprogramaciones!$T$15+7*(Reprogramaciones!Q$14-1))+6,1,IF(MAX(0,NETWORKDAYS.INTL(MAX(E78,(Reprogramaciones!$T$15+7*(Reprogramaciones!Q$14-1))),MIN(F78,(Reprogramaciones!$T$15+7*(Reprogramaciones!Q$14-1))+6),11))=0,0,MAX(0,NETWORKDAYS.INTL(MAX(E78,(Reprogramaciones!$T$15+7*(Reprogramaciones!Q$14-1))),MIN(F78,Reprogramaciones!Q$13),11))/MAX(0,NETWORKDAYS.INTL(MAX(E78,(Reprogramaciones!$T$15+7*(Reprogramaciones!Q$14-1))),MIN(F78,(Reprogramaciones!$T$15+7*(Reprogramaciones!Q$14-1))+6),11))))))))</f>
        <v/>
      </c>
      <c r="CA78" s="1" t="str">
        <f aca="false">IF(OR(NOT(AND(ISNUMBER(E78),ISNUMBER(F78))),$J$2=""),"",IF(Reprogramaciones!R$13&lt;Reprogramaciones!$T$15,0,IF(Reprogramaciones!R$14&gt;10,MIN(100,SUM($G78:$P78)),MIN(100,SUMPRODUCT((COLUMN($G78:$P78)-COLUMN($G78)+1&lt;Reprogramaciones!R$14)*$G78:$P78)+N(INDEX($G78:$P78,1,Reprogramaciones!R$14))*IF(Reprogramaciones!R$13&gt;=(Reprogramaciones!$T$15+7*(Reprogramaciones!R$14-1))+6,1,IF(MAX(0,NETWORKDAYS.INTL(MAX(E78,(Reprogramaciones!$T$15+7*(Reprogramaciones!R$14-1))),MIN(F78,(Reprogramaciones!$T$15+7*(Reprogramaciones!R$14-1))+6),11))=0,0,MAX(0,NETWORKDAYS.INTL(MAX(E78,(Reprogramaciones!$T$15+7*(Reprogramaciones!R$14-1))),MIN(F78,Reprogramaciones!R$13),11))/MAX(0,NETWORKDAYS.INTL(MAX(E78,(Reprogramaciones!$T$15+7*(Reprogramaciones!R$14-1))),MIN(F78,(Reprogramaciones!$T$15+7*(Reprogramaciones!R$14-1))+6),11))))))))</f>
        <v/>
      </c>
      <c r="CB78" s="1" t="str">
        <f aca="false">IF(OR(NOT(AND(ISNUMBER(E78),ISNUMBER(F78))),$J$2=""),"",IF(Reprogramaciones!S$13&lt;Reprogramaciones!$T$15,0,IF(Reprogramaciones!S$14&gt;10,MIN(100,SUM($G78:$P78)),MIN(100,SUMPRODUCT((COLUMN($G78:$P78)-COLUMN($G78)+1&lt;Reprogramaciones!S$14)*$G78:$P78)+N(INDEX($G78:$P78,1,Reprogramaciones!S$14))*IF(Reprogramaciones!S$13&gt;=(Reprogramaciones!$T$15+7*(Reprogramaciones!S$14-1))+6,1,IF(MAX(0,NETWORKDAYS.INTL(MAX(E78,(Reprogramaciones!$T$15+7*(Reprogramaciones!S$14-1))),MIN(F78,(Reprogramaciones!$T$15+7*(Reprogramaciones!S$14-1))+6),11))=0,0,MAX(0,NETWORKDAYS.INTL(MAX(E78,(Reprogramaciones!$T$15+7*(Reprogramaciones!S$14-1))),MIN(F78,Reprogramaciones!S$13),11))/MAX(0,NETWORKDAYS.INTL(MAX(E78,(Reprogramaciones!$T$15+7*(Reprogramaciones!S$14-1))),MIN(F78,(Reprogramaciones!$T$15+7*(Reprogramaciones!S$14-1))+6),11))))))))</f>
        <v/>
      </c>
      <c r="CC78" s="1" t="str">
        <f aca="false">IF(OR(NOT(AND(ISNUMBER(E78),ISNUMBER(F78))),$J$2=""),"",IF(Reprogramaciones!T$13&lt;Reprogramaciones!$T$15,0,IF(Reprogramaciones!T$14&gt;10,MIN(100,SUM($G78:$P78)),MIN(100,SUMPRODUCT((COLUMN($G78:$P78)-COLUMN($G78)+1&lt;Reprogramaciones!T$14)*$G78:$P78)+N(INDEX($G78:$P78,1,Reprogramaciones!T$14))*IF(Reprogramaciones!T$13&gt;=(Reprogramaciones!$T$15+7*(Reprogramaciones!T$14-1))+6,1,IF(MAX(0,NETWORKDAYS.INTL(MAX(E78,(Reprogramaciones!$T$15+7*(Reprogramaciones!T$14-1))),MIN(F78,(Reprogramaciones!$T$15+7*(Reprogramaciones!T$14-1))+6),11))=0,0,MAX(0,NETWORKDAYS.INTL(MAX(E78,(Reprogramaciones!$T$15+7*(Reprogramaciones!T$14-1))),MIN(F78,Reprogramaciones!T$13),11))/MAX(0,NETWORKDAYS.INTL(MAX(E78,(Reprogramaciones!$T$15+7*(Reprogramaciones!T$14-1))),MIN(F78,(Reprogramaciones!$T$15+7*(Reprogramaciones!T$14-1))+6),11))))))))</f>
        <v/>
      </c>
      <c r="CD78" s="1" t="str">
        <f aca="false">IF(OR(NOT(AND(ISNUMBER(E78),ISNUMBER(F78))),$J$2=""),"",IF(Reprogramaciones!U$13&lt;Reprogramaciones!$T$15,0,IF(Reprogramaciones!U$14&gt;10,MIN(100,SUM($G78:$P78)),MIN(100,SUMPRODUCT((COLUMN($G78:$P78)-COLUMN($G78)+1&lt;Reprogramaciones!U$14)*$G78:$P78)+N(INDEX($G78:$P78,1,Reprogramaciones!U$14))*IF(Reprogramaciones!U$13&gt;=(Reprogramaciones!$T$15+7*(Reprogramaciones!U$14-1))+6,1,IF(MAX(0,NETWORKDAYS.INTL(MAX(E78,(Reprogramaciones!$T$15+7*(Reprogramaciones!U$14-1))),MIN(F78,(Reprogramaciones!$T$15+7*(Reprogramaciones!U$14-1))+6),11))=0,0,MAX(0,NETWORKDAYS.INTL(MAX(E78,(Reprogramaciones!$T$15+7*(Reprogramaciones!U$14-1))),MIN(F78,Reprogramaciones!U$13),11))/MAX(0,NETWORKDAYS.INTL(MAX(E78,(Reprogramaciones!$T$15+7*(Reprogramaciones!U$14-1))),MIN(F78,(Reprogramaciones!$T$15+7*(Reprogramaciones!U$14-1))+6),11))))))))</f>
        <v/>
      </c>
      <c r="CE78" s="1" t="str">
        <f aca="false">IF(OR(NOT(AND(ISNUMBER(E78),ISNUMBER(F78))),$J$2=""),"",IF(Reprogramaciones!V$13&lt;Reprogramaciones!$T$15,0,IF(Reprogramaciones!V$14&gt;10,MIN(100,SUM($G78:$P78)),MIN(100,SUMPRODUCT((COLUMN($G78:$P78)-COLUMN($G78)+1&lt;Reprogramaciones!V$14)*$G78:$P78)+N(INDEX($G78:$P78,1,Reprogramaciones!V$14))*IF(Reprogramaciones!V$13&gt;=(Reprogramaciones!$T$15+7*(Reprogramaciones!V$14-1))+6,1,IF(MAX(0,NETWORKDAYS.INTL(MAX(E78,(Reprogramaciones!$T$15+7*(Reprogramaciones!V$14-1))),MIN(F78,(Reprogramaciones!$T$15+7*(Reprogramaciones!V$14-1))+6),11))=0,0,MAX(0,NETWORKDAYS.INTL(MAX(E78,(Reprogramaciones!$T$15+7*(Reprogramaciones!V$14-1))),MIN(F78,Reprogramaciones!V$13),11))/MAX(0,NETWORKDAYS.INTL(MAX(E78,(Reprogramaciones!$T$15+7*(Reprogramaciones!V$14-1))),MIN(F78,(Reprogramaciones!$T$15+7*(Reprogramaciones!V$14-1))+6),11))))))))</f>
        <v/>
      </c>
      <c r="CF78" s="1" t="str">
        <f aca="false">IF(OR(NOT(AND(ISNUMBER(E78),ISNUMBER(F78))),$J$2=""),"",IF(Reprogramaciones!W$13&lt;Reprogramaciones!$T$15,0,IF(Reprogramaciones!W$14&gt;10,MIN(100,SUM($G78:$P78)),MIN(100,SUMPRODUCT((COLUMN($G78:$P78)-COLUMN($G78)+1&lt;Reprogramaciones!W$14)*$G78:$P78)+N(INDEX($G78:$P78,1,Reprogramaciones!W$14))*IF(Reprogramaciones!W$13&gt;=(Reprogramaciones!$T$15+7*(Reprogramaciones!W$14-1))+6,1,IF(MAX(0,NETWORKDAYS.INTL(MAX(E78,(Reprogramaciones!$T$15+7*(Reprogramaciones!W$14-1))),MIN(F78,(Reprogramaciones!$T$15+7*(Reprogramaciones!W$14-1))+6),11))=0,0,MAX(0,NETWORKDAYS.INTL(MAX(E78,(Reprogramaciones!$T$15+7*(Reprogramaciones!W$14-1))),MIN(F78,Reprogramaciones!W$13),11))/MAX(0,NETWORKDAYS.INTL(MAX(E78,(Reprogramaciones!$T$15+7*(Reprogramaciones!W$14-1))),MIN(F78,(Reprogramaciones!$T$15+7*(Reprogramaciones!W$14-1))+6),11))))))))</f>
        <v/>
      </c>
      <c r="CG78" s="1" t="str">
        <f aca="false">IF(OR(NOT(AND(ISNUMBER(E78),ISNUMBER(F78))),$J$2=""),"",IF(Reprogramaciones!X$13&lt;Reprogramaciones!$T$15,0,IF(Reprogramaciones!X$14&gt;10,MIN(100,SUM($G78:$P78)),MIN(100,SUMPRODUCT((COLUMN($G78:$P78)-COLUMN($G78)+1&lt;Reprogramaciones!X$14)*$G78:$P78)+N(INDEX($G78:$P78,1,Reprogramaciones!X$14))*IF(Reprogramaciones!X$13&gt;=(Reprogramaciones!$T$15+7*(Reprogramaciones!X$14-1))+6,1,IF(MAX(0,NETWORKDAYS.INTL(MAX(E78,(Reprogramaciones!$T$15+7*(Reprogramaciones!X$14-1))),MIN(F78,(Reprogramaciones!$T$15+7*(Reprogramaciones!X$14-1))+6),11))=0,0,MAX(0,NETWORKDAYS.INTL(MAX(E78,(Reprogramaciones!$T$15+7*(Reprogramaciones!X$14-1))),MIN(F78,Reprogramaciones!X$13),11))/MAX(0,NETWORKDAYS.INTL(MAX(E78,(Reprogramaciones!$T$15+7*(Reprogramaciones!X$14-1))),MIN(F78,(Reprogramaciones!$T$15+7*(Reprogramaciones!X$14-1))+6),11))))))))</f>
        <v/>
      </c>
      <c r="CH78" s="1" t="str">
        <f aca="false">IF(OR(NOT(AND(ISNUMBER(E78),ISNUMBER(F78))),$J$2=""),"",IF(Reprogramaciones!Y$13&lt;Reprogramaciones!$T$15,0,IF(Reprogramaciones!Y$14&gt;10,MIN(100,SUM($G78:$P78)),MIN(100,SUMPRODUCT((COLUMN($G78:$P78)-COLUMN($G78)+1&lt;Reprogramaciones!Y$14)*$G78:$P78)+N(INDEX($G78:$P78,1,Reprogramaciones!Y$14))*IF(Reprogramaciones!Y$13&gt;=(Reprogramaciones!$T$15+7*(Reprogramaciones!Y$14-1))+6,1,IF(MAX(0,NETWORKDAYS.INTL(MAX(E78,(Reprogramaciones!$T$15+7*(Reprogramaciones!Y$14-1))),MIN(F78,(Reprogramaciones!$T$15+7*(Reprogramaciones!Y$14-1))+6),11))=0,0,MAX(0,NETWORKDAYS.INTL(MAX(E78,(Reprogramaciones!$T$15+7*(Reprogramaciones!Y$14-1))),MIN(F78,Reprogramaciones!Y$13),11))/MAX(0,NETWORKDAYS.INTL(MAX(E78,(Reprogramaciones!$T$15+7*(Reprogramaciones!Y$14-1))),MIN(F78,(Reprogramaciones!$T$15+7*(Reprogramaciones!Y$14-1))+6),11))))))))</f>
        <v/>
      </c>
      <c r="CI78" s="1" t="str">
        <f aca="false">IF(OR(NOT(AND(ISNUMBER(E78),ISNUMBER(F78))),$J$2=""),"",IF(Reprogramaciones!Z$13&lt;Reprogramaciones!$T$15,0,IF(Reprogramaciones!Z$14&gt;10,MIN(100,SUM($G78:$P78)),MIN(100,SUMPRODUCT((COLUMN($G78:$P78)-COLUMN($G78)+1&lt;Reprogramaciones!Z$14)*$G78:$P78)+N(INDEX($G78:$P78,1,Reprogramaciones!Z$14))*IF(Reprogramaciones!Z$13&gt;=(Reprogramaciones!$T$15+7*(Reprogramaciones!Z$14-1))+6,1,IF(MAX(0,NETWORKDAYS.INTL(MAX(E78,(Reprogramaciones!$T$15+7*(Reprogramaciones!Z$14-1))),MIN(F78,(Reprogramaciones!$T$15+7*(Reprogramaciones!Z$14-1))+6),11))=0,0,MAX(0,NETWORKDAYS.INTL(MAX(E78,(Reprogramaciones!$T$15+7*(Reprogramaciones!Z$14-1))),MIN(F78,Reprogramaciones!Z$13),11))/MAX(0,NETWORKDAYS.INTL(MAX(E78,(Reprogramaciones!$T$15+7*(Reprogramaciones!Z$14-1))),MIN(F78,(Reprogramaciones!$T$15+7*(Reprogramaciones!Z$14-1))+6),11))))))))</f>
        <v/>
      </c>
      <c r="CJ78" s="1" t="str">
        <f aca="false">IF(OR(OR(NOT(AND(ISNUMBER(E78),ISNUMBER(F78))),$J$2=""),1&gt;Reprogramaciones!$K$16),"",IF(ROUND(SUM($Q78:Q78),1)&gt;=99.5,100,MIN(100,ROUND(SUM($Q78:Q78),1))))</f>
        <v/>
      </c>
      <c r="CK78" s="1" t="str">
        <f aca="false">IF(OR(OR(NOT(AND(ISNUMBER(E78),ISNUMBER(F78))),$J$2=""),2&gt;Reprogramaciones!$K$16),"",IF(ROUND(SUM($Q78:R78),1)&gt;=99.5,100,MIN(100,ROUND(SUM($Q78:R78),1))))</f>
        <v/>
      </c>
      <c r="CL78" s="1" t="str">
        <f aca="false">IF(OR(OR(NOT(AND(ISNUMBER(E78),ISNUMBER(F78))),$J$2=""),3&gt;Reprogramaciones!$K$16),"",IF(ROUND(SUM($Q78:S78),1)&gt;=99.5,100,MIN(100,ROUND(SUM($Q78:S78),1))))</f>
        <v/>
      </c>
      <c r="CM78" s="1" t="str">
        <f aca="false">IF(OR(OR(NOT(AND(ISNUMBER(E78),ISNUMBER(F78))),$J$2=""),4&gt;Reprogramaciones!$K$16),"",IF(ROUND(SUM($Q78:T78),1)&gt;=99.5,100,MIN(100,ROUND(SUM($Q78:T78),1))))</f>
        <v/>
      </c>
      <c r="CN78" s="1" t="str">
        <f aca="false">IF(OR(OR(NOT(AND(ISNUMBER(E78),ISNUMBER(F78))),$J$2=""),5&gt;Reprogramaciones!$K$16),"",IF(ROUND(SUM($Q78:U78),1)&gt;=99.5,100,MIN(100,ROUND(SUM($Q78:U78),1))))</f>
        <v/>
      </c>
      <c r="CO78" s="1" t="str">
        <f aca="false">IF(OR(OR(NOT(AND(ISNUMBER(E78),ISNUMBER(F78))),$J$2=""),6&gt;Reprogramaciones!$K$16),"",IF(ROUND(SUM($Q78:V78),1)&gt;=99.5,100,MIN(100,ROUND(SUM($Q78:V78),1))))</f>
        <v/>
      </c>
      <c r="CP78" s="1" t="str">
        <f aca="false">IF(OR(OR(NOT(AND(ISNUMBER(E78),ISNUMBER(F78))),$J$2=""),7&gt;Reprogramaciones!$K$16),"",IF(ROUND(SUM($Q78:W78),1)&gt;=99.5,100,MIN(100,ROUND(SUM($Q78:W78),1))))</f>
        <v/>
      </c>
      <c r="CQ78" s="1" t="str">
        <f aca="false">IF(OR(OR(NOT(AND(ISNUMBER(E78),ISNUMBER(F78))),$J$2=""),8&gt;Reprogramaciones!$K$16),"",IF(ROUND(SUM($Q78:X78),1)&gt;=99.5,100,MIN(100,ROUND(SUM($Q78:X78),1))))</f>
        <v/>
      </c>
      <c r="CR78" s="1" t="str">
        <f aca="false">IF(OR(OR(NOT(AND(ISNUMBER(E78),ISNUMBER(F78))),$J$2=""),9&gt;Reprogramaciones!$K$16),"",IF(ROUND(SUM($Q78:Y78),1)&gt;=99.5,100,MIN(100,ROUND(SUM($Q78:Y78),1))))</f>
        <v/>
      </c>
      <c r="CS78" s="1" t="str">
        <f aca="false">IF(OR(OR(NOT(AND(ISNUMBER(E78),ISNUMBER(F78))),$J$2=""),10&gt;Reprogramaciones!$K$16),"",IF(ROUND(SUM($Q78:Z78),1)&gt;=99.5,100,MIN(100,ROUND(SUM($Q78:Z78),1))))</f>
        <v/>
      </c>
      <c r="CT78" s="1" t="str">
        <f aca="false">IF(OR(OR(NOT(AND(ISNUMBER(E78),ISNUMBER(F78))),$J$2=""),11&gt;Reprogramaciones!$K$16),"",IF(ROUND(SUM($Q78:AA78),1)&gt;=99.5,100,MIN(100,ROUND(SUM($Q78:AA78),1))))</f>
        <v/>
      </c>
      <c r="CU78" s="1" t="str">
        <f aca="false">IF(OR(OR(NOT(AND(ISNUMBER(E78),ISNUMBER(F78))),$J$2=""),12&gt;Reprogramaciones!$K$16),"",IF(ROUND(SUM($Q78:AB78),1)&gt;=99.5,100,MIN(100,ROUND(SUM($Q78:AB78),1))))</f>
        <v/>
      </c>
      <c r="CV78" s="1" t="str">
        <f aca="false">IF(OR(OR(NOT(AND(ISNUMBER(E78),ISNUMBER(F78))),$J$2=""),13&gt;Reprogramaciones!$K$16),"",IF(ROUND(SUM($Q78:AC78),1)&gt;=99.5,100,MIN(100,ROUND(SUM($Q78:AC78),1))))</f>
        <v/>
      </c>
      <c r="CW78" s="1" t="str">
        <f aca="false">IF(OR(OR(NOT(AND(ISNUMBER(E78),ISNUMBER(F78))),$J$2=""),14&gt;Reprogramaciones!$K$16),"",IF(ROUND(SUM($Q78:AD78),1)&gt;=99.5,100,MIN(100,ROUND(SUM($Q78:AD78),1))))</f>
        <v/>
      </c>
      <c r="CX78" s="1" t="str">
        <f aca="false">IF(OR(OR(NOT(AND(ISNUMBER(E78),ISNUMBER(F78))),$J$2=""),15&gt;Reprogramaciones!$K$16),"",IF(ROUND(SUM($Q78:AE78),1)&gt;=99.5,100,MIN(100,ROUND(SUM($Q78:AE78),1))))</f>
        <v/>
      </c>
      <c r="CY78" s="1" t="str">
        <f aca="false">IF(OR(OR(NOT(AND(ISNUMBER(E78),ISNUMBER(F78))),$J$2=""),16&gt;Reprogramaciones!$K$16),"",IF(ROUND(SUM($Q78:AF78),1)&gt;=99.5,100,MIN(100,ROUND(SUM($Q78:AF78),1))))</f>
        <v/>
      </c>
      <c r="CZ78" s="1" t="str">
        <f aca="false">IF(D78&lt;&gt;"",D78,IF(B78&lt;&gt;"","Contractual",CZ77))</f>
        <v>Contractual</v>
      </c>
      <c r="DA78" s="1" t="str">
        <f aca="false">IF(OR(NOT(AND(ISNUMBER(E78),ISNUMBER(F78))),$J$2=""),"",IF(Reprogramaciones!$Q$15&lt;Reprogramaciones!$T$15,0,IF(Reprogramaciones!$S$15&gt;10,MIN(100,SUM($G78:$P78)),MIN(100,SUMPRODUCT((COLUMN($G78:$P78)-COLUMN($G78)+1&lt;Reprogramaciones!$S$15)*$G78:$P78)+N(INDEX($G78:$P78,1,Reprogramaciones!$S$15))*IF(Reprogramaciones!$Q$15&gt;=(Reprogramaciones!$T$15+7*(Reprogramaciones!$S$15-1))+6,1,IF(MAX(0,NETWORKDAYS.INTL(MAX(E78,(Reprogramaciones!$T$15+7*(Reprogramaciones!$S$15-1))),MIN(F78,(Reprogramaciones!$T$15+7*(Reprogramaciones!$S$15-1))+6),11))=0,0,MAX(0,NETWORKDAYS.INTL(MAX(E78,(Reprogramaciones!$T$15+7*(Reprogramaciones!$S$15-1))),MIN(F78,Reprogramaciones!$Q$15),11))/MAX(0,NETWORKDAYS.INTL(MAX(E78,(Reprogramaciones!$T$15+7*(Reprogramaciones!$S$15-1))),MIN(F78,(Reprogramaciones!$T$15+7*(Reprogramaciones!$S$15-1))+6),11))))))))</f>
        <v/>
      </c>
    </row>
    <row r="79" customFormat="false" ht="15" hidden="false" customHeight="false" outlineLevel="0" collapsed="false">
      <c r="A79" s="32"/>
      <c r="B79" s="33"/>
      <c r="C79" s="33"/>
      <c r="D79" s="34"/>
      <c r="E79" s="35"/>
      <c r="F79" s="35"/>
      <c r="G79" s="36" t="str">
        <f aca="false">IF(OR(NOT(AND(ISNUMBER(E79),ISNUMBER(F79))),$J$2=""),"",IF(Reprogramaciones!K$9&lt;E79,0,IF(NETWORKDAYS.INTL(E79,F79,11)=0,IF(Reprogramaciones!K$9&gt;=F79,100,0),ROUND(NETWORKDAYS.INTL(E79,MIN(F79,Reprogramaciones!K$9),11)/NETWORKDAYS.INTL(E79,F79,11)*100,1)))-0)</f>
        <v/>
      </c>
      <c r="H79" s="36" t="str">
        <f aca="false">IF(OR(NOT(AND(ISNUMBER(E79),ISNUMBER(F79))),$J$2=""),"",IF(Reprogramaciones!L$9&lt;E79,0,IF(NETWORKDAYS.INTL(E79,F79,11)=0,IF(Reprogramaciones!L$9&gt;=F79,100,0),ROUND(NETWORKDAYS.INTL(E79,MIN(F79,Reprogramaciones!L$9),11)/NETWORKDAYS.INTL(E79,F79,11)*100,1)))-IF(Reprogramaciones!K$9&lt;E79,0,IF(NETWORKDAYS.INTL(E79,F79,11)=0,IF(Reprogramaciones!K$9&gt;=F79,100,0),ROUND(NETWORKDAYS.INTL(E79,MIN(F79,Reprogramaciones!K$9),11)/NETWORKDAYS.INTL(E79,F79,11)*100,1))))</f>
        <v/>
      </c>
      <c r="I79" s="36" t="str">
        <f aca="false">IF(OR(NOT(AND(ISNUMBER(E79),ISNUMBER(F79))),$J$2=""),"",IF(Reprogramaciones!M$9&lt;E79,0,IF(NETWORKDAYS.INTL(E79,F79,11)=0,IF(Reprogramaciones!M$9&gt;=F79,100,0),ROUND(NETWORKDAYS.INTL(E79,MIN(F79,Reprogramaciones!M$9),11)/NETWORKDAYS.INTL(E79,F79,11)*100,1)))-IF(Reprogramaciones!L$9&lt;E79,0,IF(NETWORKDAYS.INTL(E79,F79,11)=0,IF(Reprogramaciones!L$9&gt;=F79,100,0),ROUND(NETWORKDAYS.INTL(E79,MIN(F79,Reprogramaciones!L$9),11)/NETWORKDAYS.INTL(E79,F79,11)*100,1))))</f>
        <v/>
      </c>
      <c r="J79" s="36" t="str">
        <f aca="false">IF(OR(NOT(AND(ISNUMBER(E79),ISNUMBER(F79))),$J$2=""),"",IF(Reprogramaciones!N$9&lt;E79,0,IF(NETWORKDAYS.INTL(E79,F79,11)=0,IF(Reprogramaciones!N$9&gt;=F79,100,0),ROUND(NETWORKDAYS.INTL(E79,MIN(F79,Reprogramaciones!N$9),11)/NETWORKDAYS.INTL(E79,F79,11)*100,1)))-IF(Reprogramaciones!M$9&lt;E79,0,IF(NETWORKDAYS.INTL(E79,F79,11)=0,IF(Reprogramaciones!M$9&gt;=F79,100,0),ROUND(NETWORKDAYS.INTL(E79,MIN(F79,Reprogramaciones!M$9),11)/NETWORKDAYS.INTL(E79,F79,11)*100,1))))</f>
        <v/>
      </c>
      <c r="K79" s="36" t="str">
        <f aca="false">IF(OR(NOT(AND(ISNUMBER(E79),ISNUMBER(F79))),$J$2=""),"",IF(Reprogramaciones!O$9&lt;E79,0,IF(NETWORKDAYS.INTL(E79,F79,11)=0,IF(Reprogramaciones!O$9&gt;=F79,100,0),ROUND(NETWORKDAYS.INTL(E79,MIN(F79,Reprogramaciones!O$9),11)/NETWORKDAYS.INTL(E79,F79,11)*100,1)))-IF(Reprogramaciones!N$9&lt;E79,0,IF(NETWORKDAYS.INTL(E79,F79,11)=0,IF(Reprogramaciones!N$9&gt;=F79,100,0),ROUND(NETWORKDAYS.INTL(E79,MIN(F79,Reprogramaciones!N$9),11)/NETWORKDAYS.INTL(E79,F79,11)*100,1))))</f>
        <v/>
      </c>
      <c r="L79" s="36" t="str">
        <f aca="false">IF(OR(NOT(AND(ISNUMBER(E79),ISNUMBER(F79))),$J$2=""),"",IF(Reprogramaciones!P$9&lt;E79,0,IF(NETWORKDAYS.INTL(E79,F79,11)=0,IF(Reprogramaciones!P$9&gt;=F79,100,0),ROUND(NETWORKDAYS.INTL(E79,MIN(F79,Reprogramaciones!P$9),11)/NETWORKDAYS.INTL(E79,F79,11)*100,1)))-IF(Reprogramaciones!O$9&lt;E79,0,IF(NETWORKDAYS.INTL(E79,F79,11)=0,IF(Reprogramaciones!O$9&gt;=F79,100,0),ROUND(NETWORKDAYS.INTL(E79,MIN(F79,Reprogramaciones!O$9),11)/NETWORKDAYS.INTL(E79,F79,11)*100,1))))</f>
        <v/>
      </c>
      <c r="M79" s="36" t="str">
        <f aca="false">IF(OR(NOT(AND(ISNUMBER(E79),ISNUMBER(F79))),$J$2=""),"",IF(Reprogramaciones!Q$9&lt;E79,0,IF(NETWORKDAYS.INTL(E79,F79,11)=0,IF(Reprogramaciones!Q$9&gt;=F79,100,0),ROUND(NETWORKDAYS.INTL(E79,MIN(F79,Reprogramaciones!Q$9),11)/NETWORKDAYS.INTL(E79,F79,11)*100,1)))-IF(Reprogramaciones!P$9&lt;E79,0,IF(NETWORKDAYS.INTL(E79,F79,11)=0,IF(Reprogramaciones!P$9&gt;=F79,100,0),ROUND(NETWORKDAYS.INTL(E79,MIN(F79,Reprogramaciones!P$9),11)/NETWORKDAYS.INTL(E79,F79,11)*100,1))))</f>
        <v/>
      </c>
      <c r="N79" s="36" t="str">
        <f aca="false">IF(OR(NOT(AND(ISNUMBER(E79),ISNUMBER(F79))),$J$2=""),"",IF(Reprogramaciones!R$9&lt;E79,0,IF(NETWORKDAYS.INTL(E79,F79,11)=0,IF(Reprogramaciones!R$9&gt;=F79,100,0),ROUND(NETWORKDAYS.INTL(E79,MIN(F79,Reprogramaciones!R$9),11)/NETWORKDAYS.INTL(E79,F79,11)*100,1)))-IF(Reprogramaciones!Q$9&lt;E79,0,IF(NETWORKDAYS.INTL(E79,F79,11)=0,IF(Reprogramaciones!Q$9&gt;=F79,100,0),ROUND(NETWORKDAYS.INTL(E79,MIN(F79,Reprogramaciones!Q$9),11)/NETWORKDAYS.INTL(E79,F79,11)*100,1))))</f>
        <v/>
      </c>
      <c r="O79" s="36" t="str">
        <f aca="false">IF(OR(NOT(AND(ISNUMBER(E79),ISNUMBER(F79))),$J$2=""),"",IF(Reprogramaciones!S$9&lt;E79,0,IF(NETWORKDAYS.INTL(E79,F79,11)=0,IF(Reprogramaciones!S$9&gt;=F79,100,0),ROUND(NETWORKDAYS.INTL(E79,MIN(F79,Reprogramaciones!S$9),11)/NETWORKDAYS.INTL(E79,F79,11)*100,1)))-IF(Reprogramaciones!R$9&lt;E79,0,IF(NETWORKDAYS.INTL(E79,F79,11)=0,IF(Reprogramaciones!R$9&gt;=F79,100,0),ROUND(NETWORKDAYS.INTL(E79,MIN(F79,Reprogramaciones!R$9),11)/NETWORKDAYS.INTL(E79,F79,11)*100,1))))</f>
        <v/>
      </c>
      <c r="P79" s="36" t="str">
        <f aca="false">IF(OR(NOT(AND(ISNUMBER(E79),ISNUMBER(F79))),$J$2=""),"",IF(Reprogramaciones!T$9&lt;E79,0,IF(NETWORKDAYS.INTL(E79,F79,11)=0,IF(Reprogramaciones!T$9&gt;=F79,100,0),ROUND(NETWORKDAYS.INTL(E79,MIN(F79,Reprogramaciones!T$9),11)/NETWORKDAYS.INTL(E79,F79,11)*100,1)))-IF(Reprogramaciones!S$9&lt;E79,0,IF(NETWORKDAYS.INTL(E79,F79,11)=0,IF(Reprogramaciones!S$9&gt;=F79,100,0),ROUND(NETWORKDAYS.INTL(E79,MIN(F79,Reprogramaciones!S$9),11)/NETWORKDAYS.INTL(E79,F79,11)*100,1))))</f>
        <v/>
      </c>
      <c r="Q79" s="37"/>
      <c r="R79" s="37"/>
      <c r="S79" s="37"/>
      <c r="T79" s="37"/>
      <c r="U79" s="37"/>
      <c r="V79" s="37"/>
      <c r="W79" s="37"/>
      <c r="X79" s="37"/>
      <c r="Y79" s="37"/>
      <c r="Z79" s="37"/>
      <c r="AA79" s="37"/>
      <c r="AB79" s="37"/>
      <c r="AC79" s="37"/>
      <c r="AD79" s="37"/>
      <c r="AE79" s="37"/>
      <c r="AF79" s="37"/>
      <c r="AG79" s="38" t="str">
        <f aca="false">IF(AND(ISNUMBER(E79),ISNUMBER(F79)),NETWORKDAYS.INTL(E79,F79,11),"")</f>
        <v/>
      </c>
      <c r="AH79" s="38" t="str">
        <f aca="false">IF(OR(NOT(AND(ISNUMBER(E79),ISNUMBER(F79))),$J$2=""),"",IF(Reprogramaciones!$P$15&lt;Reprogramaciones!$T$15,0,IF(Reprogramaciones!$R$15&gt;10,MIN(100,SUM($G79:$P79)),MIN(100,SUMPRODUCT((COLUMN($G79:$P79)-COLUMN($G79)+1&lt;Reprogramaciones!$R$15)*$G79:$P79)+N(INDEX($G79:$P79,1,Reprogramaciones!$R$15))*IF(Reprogramaciones!$P$15&gt;=(Reprogramaciones!$T$15+7*(Reprogramaciones!$R$15-1))+6,1,IF(MAX(0,NETWORKDAYS.INTL(MAX(E79,(Reprogramaciones!$T$15+7*(Reprogramaciones!$R$15-1))),MIN(F79,(Reprogramaciones!$T$15+7*(Reprogramaciones!$R$15-1))+6),11))=0,0,MAX(0,NETWORKDAYS.INTL(MAX(E79,(Reprogramaciones!$T$15+7*(Reprogramaciones!$R$15-1))),MIN(F79,Reprogramaciones!$P$15),11))/MAX(0,NETWORKDAYS.INTL(MAX(E79,(Reprogramaciones!$T$15+7*(Reprogramaciones!$R$15-1))),MIN(F79,(Reprogramaciones!$T$15+7*(Reprogramaciones!$R$15-1))+6),11))))))))</f>
        <v/>
      </c>
      <c r="AI79" s="38" t="str">
        <f aca="false">IF(COUNT($Q79:$AF79)=0,"",IF(ROUND(SUM($Q79:$AF79),1)&gt;=99.5,100,MIN(100,ROUND(SUM($Q79:$AF79),1))))</f>
        <v/>
      </c>
      <c r="AJ79" s="38" t="str">
        <f aca="false">IF(OR(AH79="",AI79=""),"",AI79-AH79)</f>
        <v/>
      </c>
      <c r="AK79" s="39" t="str">
        <f aca="true">IF(AH79="","",IF(OR(Ficha!$C$10="Suspendida",Ficha!$C$10="Cancelada"),Ficha!$C$10,IF(AND(AI79&lt;&gt;"",N(AI79)&gt;=100),"Completada",IF(AND(E79&gt;TODAY(),N(AI79)=0),"Por iniciar",IF(N(AI79)+0.5&lt;AH79,"Retrasada",IF(N(AI79)+0.5&lt;DA79,IF(Reprogramaciones!$K$15&gt;0,"Al día · Sem "&amp;Reprogramaciones!$K$15&amp;" en curso","Al día · en curso"),"A tiempo"))))))</f>
        <v/>
      </c>
      <c r="AL79" s="39" t="str">
        <f aca="true">IF(AND(A79="",AND(B79="",C79="",E79="",F79="",COUNT(Q79:AF79)=0)),"",IF(AND(B79="",C79="",E79="",F79="",COUNT(Q79:AF79)=0),"Falta la partida o subpartida",IF(AND(A79&lt;&gt;"",COUNTIF($A$6:$A$305,A79)&gt;1),"Ítem repetido",IF(AND(C79="",E79="",F79="",COUNT(Q79:AF79)=0),"Título de partida",IF(OR(E79="",F79=""),"Faltan fechas",IF(OR(ISTEXT(E79),ISTEXT(F79)),"Fecha escrita como texto: usa dd/mm/aaaa",IF(F79&lt;E79,"Fin antes del inicio",IF(IF($J$2="",FALSE(),OR(E79&lt;$J$2,F79&gt;Reprogramaciones!$T$15+69)),"Fuera de las 10 semanas",IF(ABS(SUM(G79:P79)-100)&gt;0.5,"La meta no suma 100%",IF(ROUND(SUM(Q79:AF79),1)&gt;100.5,"El avance pasa de 100%",IF(MIN(Q79:AF79)&lt;0,"Avance negativo",IF(COUNTA(Q79:AF79)&gt;COUNT(Q79:AF79),"Avance escrito como texto",IF(SUMPRODUCT((Q79:AF79&gt;0)*(Q79:AF79&lt;1))&gt;0,"Avance menor a 1: escribe 50, no 50%",IF(SUMPRODUCT(ISNUMBER(Q79:AF79)*(Reprogramaciones!$K$8:$Z$8&gt;TODAY()))&gt;0,"Avance en semana que aún no llega",IF(AND(N(Reprogramaciones!$E$21)&gt;0,F79&gt;Reprogramaciones!$E$21),"Pasa el fin de la obra: registra una reprogramación",IF(AND(N(Reprogramaciones!$E$21)&gt;0,SUMPRODUCT(ISNUMBER(Q79:AF79)*(Reprogramaciones!$K$8:$Z$8&gt;Reprogramaciones!$E$21))&gt;0),"Avance después del fin de la obra: registra una reprogramación por atraso","OK"))))))))))))))))</f>
        <v/>
      </c>
      <c r="AM79" s="40" t="str">
        <f aca="false">IF(OR(OR(NOT(AND(ISNUMBER(E79),ISNUMBER(F79))),$J$2=""),1&gt;MAX(1,Reprogramaciones!$U$15)),"",IF(Reprogramaciones!K$12&gt;=7,"",IF(OR(BT79-N(0)&gt;0.05,N(Q79)&gt;0),ROUNDDOWN(ROUND(BT79,6),0)&amp;"%"&amp;IF(CJ79="",""," / "&amp;CJ79&amp;"%"),IF(AND(N(0)&gt;=99.95,CJ79&lt;&gt;"",N(CJ79)&lt;100),"Pend. "&amp;CJ79&amp;"%",""))))</f>
        <v/>
      </c>
      <c r="AN79" s="40" t="str">
        <f aca="false">IF(OR(OR(NOT(AND(ISNUMBER(E79),ISNUMBER(F79))),$J$2=""),2&gt;MAX(1,Reprogramaciones!$U$15)),"",IF(Reprogramaciones!L$12&gt;=7,"",IF(OR(BU79-N(BT79)&gt;0.05,N(R79)&gt;0),ROUNDDOWN(ROUND(BU79,6),0)&amp;"%"&amp;IF(CK79="",""," / "&amp;CK79&amp;"%"),IF(AND(N(BT79)&gt;=99.95,CK79&lt;&gt;"",N(CK79)&lt;100),"Pend. "&amp;CK79&amp;"%",""))))</f>
        <v/>
      </c>
      <c r="AO79" s="40" t="str">
        <f aca="false">IF(OR(OR(NOT(AND(ISNUMBER(E79),ISNUMBER(F79))),$J$2=""),3&gt;MAX(1,Reprogramaciones!$U$15)),"",IF(Reprogramaciones!M$12&gt;=7,"",IF(OR(BV79-N(BU79)&gt;0.05,N(S79)&gt;0),ROUNDDOWN(ROUND(BV79,6),0)&amp;"%"&amp;IF(CL79="",""," / "&amp;CL79&amp;"%"),IF(AND(N(BU79)&gt;=99.95,CL79&lt;&gt;"",N(CL79)&lt;100),"Pend. "&amp;CL79&amp;"%",""))))</f>
        <v/>
      </c>
      <c r="AP79" s="40" t="str">
        <f aca="false">IF(OR(OR(NOT(AND(ISNUMBER(E79),ISNUMBER(F79))),$J$2=""),4&gt;MAX(1,Reprogramaciones!$U$15)),"",IF(Reprogramaciones!N$12&gt;=7,"",IF(OR(BW79-N(BV79)&gt;0.05,N(T79)&gt;0),ROUNDDOWN(ROUND(BW79,6),0)&amp;"%"&amp;IF(CM79="",""," / "&amp;CM79&amp;"%"),IF(AND(N(BV79)&gt;=99.95,CM79&lt;&gt;"",N(CM79)&lt;100),"Pend. "&amp;CM79&amp;"%",""))))</f>
        <v/>
      </c>
      <c r="AQ79" s="40" t="str">
        <f aca="false">IF(OR(OR(NOT(AND(ISNUMBER(E79),ISNUMBER(F79))),$J$2=""),5&gt;MAX(1,Reprogramaciones!$U$15)),"",IF(Reprogramaciones!O$12&gt;=7,"",IF(OR(BX79-N(BW79)&gt;0.05,N(U79)&gt;0),ROUNDDOWN(ROUND(BX79,6),0)&amp;"%"&amp;IF(CN79="",""," / "&amp;CN79&amp;"%"),IF(AND(N(BW79)&gt;=99.95,CN79&lt;&gt;"",N(CN79)&lt;100),"Pend. "&amp;CN79&amp;"%",""))))</f>
        <v/>
      </c>
      <c r="AR79" s="40" t="str">
        <f aca="false">IF(OR(OR(NOT(AND(ISNUMBER(E79),ISNUMBER(F79))),$J$2=""),6&gt;MAX(1,Reprogramaciones!$U$15)),"",IF(Reprogramaciones!P$12&gt;=7,"",IF(OR(BY79-N(BX79)&gt;0.05,N(V79)&gt;0),ROUNDDOWN(ROUND(BY79,6),0)&amp;"%"&amp;IF(CO79="",""," / "&amp;CO79&amp;"%"),IF(AND(N(BX79)&gt;=99.95,CO79&lt;&gt;"",N(CO79)&lt;100),"Pend. "&amp;CO79&amp;"%",""))))</f>
        <v/>
      </c>
      <c r="AS79" s="40" t="str">
        <f aca="false">IF(OR(OR(NOT(AND(ISNUMBER(E79),ISNUMBER(F79))),$J$2=""),7&gt;MAX(1,Reprogramaciones!$U$15)),"",IF(Reprogramaciones!Q$12&gt;=7,"",IF(OR(BZ79-N(BY79)&gt;0.05,N(W79)&gt;0),ROUNDDOWN(ROUND(BZ79,6),0)&amp;"%"&amp;IF(CP79="",""," / "&amp;CP79&amp;"%"),IF(AND(N(BY79)&gt;=99.95,CP79&lt;&gt;"",N(CP79)&lt;100),"Pend. "&amp;CP79&amp;"%",""))))</f>
        <v/>
      </c>
      <c r="AT79" s="40" t="str">
        <f aca="false">IF(OR(OR(NOT(AND(ISNUMBER(E79),ISNUMBER(F79))),$J$2=""),8&gt;MAX(1,Reprogramaciones!$U$15)),"",IF(Reprogramaciones!R$12&gt;=7,"",IF(OR(CA79-N(BZ79)&gt;0.05,N(X79)&gt;0),ROUNDDOWN(ROUND(CA79,6),0)&amp;"%"&amp;IF(CQ79="",""," / "&amp;CQ79&amp;"%"),IF(AND(N(BZ79)&gt;=99.95,CQ79&lt;&gt;"",N(CQ79)&lt;100),"Pend. "&amp;CQ79&amp;"%",""))))</f>
        <v/>
      </c>
      <c r="AU79" s="40" t="str">
        <f aca="false">IF(OR(OR(NOT(AND(ISNUMBER(E79),ISNUMBER(F79))),$J$2=""),9&gt;MAX(1,Reprogramaciones!$U$15)),"",IF(Reprogramaciones!S$12&gt;=7,"",IF(OR(CB79-N(CA79)&gt;0.05,N(Y79)&gt;0),ROUNDDOWN(ROUND(CB79,6),0)&amp;"%"&amp;IF(CR79="",""," / "&amp;CR79&amp;"%"),IF(AND(N(CA79)&gt;=99.95,CR79&lt;&gt;"",N(CR79)&lt;100),"Pend. "&amp;CR79&amp;"%",""))))</f>
        <v/>
      </c>
      <c r="AV79" s="40" t="str">
        <f aca="false">IF(OR(OR(NOT(AND(ISNUMBER(E79),ISNUMBER(F79))),$J$2=""),10&gt;MAX(1,Reprogramaciones!$U$15)),"",IF(Reprogramaciones!T$12&gt;=7,"",IF(OR(CC79-N(CB79)&gt;0.05,N(Z79)&gt;0),ROUNDDOWN(ROUND(CC79,6),0)&amp;"%"&amp;IF(CS79="",""," / "&amp;CS79&amp;"%"),IF(AND(N(CB79)&gt;=99.95,CS79&lt;&gt;"",N(CS79)&lt;100),"Pend. "&amp;CS79&amp;"%",""))))</f>
        <v/>
      </c>
      <c r="AW79" s="40" t="str">
        <f aca="false">IF(OR(OR(NOT(AND(ISNUMBER(E79),ISNUMBER(F79))),$J$2=""),11&gt;MAX(1,Reprogramaciones!$U$15)),"",IF(Reprogramaciones!U$12&gt;=7,"",IF(OR(CD79-N(CC79)&gt;0.05,N(AA79)&gt;0),ROUNDDOWN(ROUND(CD79,6),0)&amp;"%"&amp;IF(CT79="",""," / "&amp;CT79&amp;"%"),IF(AND(N(CC79)&gt;=99.95,CT79&lt;&gt;"",N(CT79)&lt;100),"Pend. "&amp;CT79&amp;"%",""))))</f>
        <v/>
      </c>
      <c r="AX79" s="40" t="str">
        <f aca="false">IF(OR(OR(NOT(AND(ISNUMBER(E79),ISNUMBER(F79))),$J$2=""),12&gt;MAX(1,Reprogramaciones!$U$15)),"",IF(Reprogramaciones!V$12&gt;=7,"",IF(OR(CE79-N(CD79)&gt;0.05,N(AB79)&gt;0),ROUNDDOWN(ROUND(CE79,6),0)&amp;"%"&amp;IF(CU79="",""," / "&amp;CU79&amp;"%"),IF(AND(N(CD79)&gt;=99.95,CU79&lt;&gt;"",N(CU79)&lt;100),"Pend. "&amp;CU79&amp;"%",""))))</f>
        <v/>
      </c>
      <c r="AY79" s="40" t="str">
        <f aca="false">IF(OR(OR(NOT(AND(ISNUMBER(E79),ISNUMBER(F79))),$J$2=""),13&gt;MAX(1,Reprogramaciones!$U$15)),"",IF(Reprogramaciones!W$12&gt;=7,"",IF(OR(CF79-N(CE79)&gt;0.05,N(AC79)&gt;0),ROUNDDOWN(ROUND(CF79,6),0)&amp;"%"&amp;IF(CV79="",""," / "&amp;CV79&amp;"%"),IF(AND(N(CE79)&gt;=99.95,CV79&lt;&gt;"",N(CV79)&lt;100),"Pend. "&amp;CV79&amp;"%",""))))</f>
        <v/>
      </c>
      <c r="AZ79" s="40" t="str">
        <f aca="false">IF(OR(OR(NOT(AND(ISNUMBER(E79),ISNUMBER(F79))),$J$2=""),14&gt;MAX(1,Reprogramaciones!$U$15)),"",IF(Reprogramaciones!X$12&gt;=7,"",IF(OR(CG79-N(CF79)&gt;0.05,N(AD79)&gt;0),ROUNDDOWN(ROUND(CG79,6),0)&amp;"%"&amp;IF(CW79="",""," / "&amp;CW79&amp;"%"),IF(AND(N(CF79)&gt;=99.95,CW79&lt;&gt;"",N(CW79)&lt;100),"Pend. "&amp;CW79&amp;"%",""))))</f>
        <v/>
      </c>
      <c r="BA79" s="40" t="str">
        <f aca="false">IF(OR(OR(NOT(AND(ISNUMBER(E79),ISNUMBER(F79))),$J$2=""),15&gt;MAX(1,Reprogramaciones!$U$15)),"",IF(Reprogramaciones!Y$12&gt;=7,"",IF(OR(CH79-N(CG79)&gt;0.05,N(AE79)&gt;0),ROUNDDOWN(ROUND(CH79,6),0)&amp;"%"&amp;IF(CX79="",""," / "&amp;CX79&amp;"%"),IF(AND(N(CG79)&gt;=99.95,CX79&lt;&gt;"",N(CX79)&lt;100),"Pend. "&amp;CX79&amp;"%",""))))</f>
        <v/>
      </c>
      <c r="BB79" s="40" t="str">
        <f aca="false">IF(OR(OR(NOT(AND(ISNUMBER(E79),ISNUMBER(F79))),$J$2=""),16&gt;MAX(1,Reprogramaciones!$U$15)),"",IF(Reprogramaciones!Z$12&gt;=7,"",IF(OR(CI79-N(CH79)&gt;0.05,N(AF79)&gt;0),ROUNDDOWN(ROUND(CI79,6),0)&amp;"%"&amp;IF(CY79="",""," / "&amp;CY79&amp;"%"),IF(AND(N(CH79)&gt;=99.95,CY79&lt;&gt;"",N(CY79)&lt;100),"Pend. "&amp;CY79&amp;"%",""))))</f>
        <v/>
      </c>
      <c r="BC79" s="31" t="n">
        <f aca="false">IF(AND(ISNUMBER(E79),ISNUMBER(F79)),MAX(1,NETWORKDAYS.INTL(E79,F79,11)),0)</f>
        <v>0</v>
      </c>
      <c r="BD79" s="1" t="str">
        <f aca="false">IF(OR(NOT(AND(ISNUMBER(E79),ISNUMBER(F79))),$J$2=""),"",MIN(100,ROUND(SUM($G79:G79),1)))</f>
        <v/>
      </c>
      <c r="BE79" s="1" t="str">
        <f aca="false">IF(OR(NOT(AND(ISNUMBER(E79),ISNUMBER(F79))),$J$2=""),"",MIN(100,ROUND(SUM($G79:H79),1)))</f>
        <v/>
      </c>
      <c r="BF79" s="1" t="str">
        <f aca="false">IF(OR(NOT(AND(ISNUMBER(E79),ISNUMBER(F79))),$J$2=""),"",MIN(100,ROUND(SUM($G79:I79),1)))</f>
        <v/>
      </c>
      <c r="BG79" s="1" t="str">
        <f aca="false">IF(OR(NOT(AND(ISNUMBER(E79),ISNUMBER(F79))),$J$2=""),"",MIN(100,ROUND(SUM($G79:J79),1)))</f>
        <v/>
      </c>
      <c r="BH79" s="1" t="str">
        <f aca="false">IF(OR(NOT(AND(ISNUMBER(E79),ISNUMBER(F79))),$J$2=""),"",MIN(100,ROUND(SUM($G79:K79),1)))</f>
        <v/>
      </c>
      <c r="BI79" s="1" t="str">
        <f aca="false">IF(OR(NOT(AND(ISNUMBER(E79),ISNUMBER(F79))),$J$2=""),"",MIN(100,ROUND(SUM($G79:L79),1)))</f>
        <v/>
      </c>
      <c r="BJ79" s="1" t="str">
        <f aca="false">IF(OR(NOT(AND(ISNUMBER(E79),ISNUMBER(F79))),$J$2=""),"",MIN(100,ROUND(SUM($G79:M79),1)))</f>
        <v/>
      </c>
      <c r="BK79" s="1" t="str">
        <f aca="false">IF(OR(NOT(AND(ISNUMBER(E79),ISNUMBER(F79))),$J$2=""),"",MIN(100,ROUND(SUM($G79:N79),1)))</f>
        <v/>
      </c>
      <c r="BL79" s="1" t="str">
        <f aca="false">IF(OR(NOT(AND(ISNUMBER(E79),ISNUMBER(F79))),$J$2=""),"",MIN(100,ROUND(SUM($G79:O79),1)))</f>
        <v/>
      </c>
      <c r="BM79" s="1" t="str">
        <f aca="false">IF(OR(NOT(AND(ISNUMBER(E79),ISNUMBER(F79))),$J$2=""),"",MIN(100,ROUND(SUM($G79:P79),1)))</f>
        <v/>
      </c>
      <c r="BN79" s="1" t="str">
        <f aca="false">IF(OR(NOT(AND(ISNUMBER(E79),ISNUMBER(F79))),$J$2=""),"",MIN(100,ROUND(SUM($G79:P79),1)))</f>
        <v/>
      </c>
      <c r="BO79" s="1" t="str">
        <f aca="false">IF(OR(NOT(AND(ISNUMBER(E79),ISNUMBER(F79))),$J$2=""),"",MIN(100,ROUND(SUM($G79:P79),1)))</f>
        <v/>
      </c>
      <c r="BP79" s="1" t="str">
        <f aca="false">IF(OR(NOT(AND(ISNUMBER(E79),ISNUMBER(F79))),$J$2=""),"",MIN(100,ROUND(SUM($G79:P79),1)))</f>
        <v/>
      </c>
      <c r="BQ79" s="1" t="str">
        <f aca="false">IF(OR(NOT(AND(ISNUMBER(E79),ISNUMBER(F79))),$J$2=""),"",MIN(100,ROUND(SUM($G79:P79),1)))</f>
        <v/>
      </c>
      <c r="BR79" s="1" t="str">
        <f aca="false">IF(OR(NOT(AND(ISNUMBER(E79),ISNUMBER(F79))),$J$2=""),"",MIN(100,ROUND(SUM($G79:P79),1)))</f>
        <v/>
      </c>
      <c r="BS79" s="1" t="str">
        <f aca="false">IF(OR(NOT(AND(ISNUMBER(E79),ISNUMBER(F79))),$J$2=""),"",MIN(100,ROUND(SUM($G79:P79),1)))</f>
        <v/>
      </c>
      <c r="BT79" s="1" t="str">
        <f aca="false">IF(OR(NOT(AND(ISNUMBER(E79),ISNUMBER(F79))),$J$2=""),"",IF(Reprogramaciones!K$13&lt;Reprogramaciones!$T$15,0,IF(Reprogramaciones!K$14&gt;10,MIN(100,SUM($G79:$P79)),MIN(100,SUMPRODUCT((COLUMN($G79:$P79)-COLUMN($G79)+1&lt;Reprogramaciones!K$14)*$G79:$P79)+N(INDEX($G79:$P79,1,Reprogramaciones!K$14))*IF(Reprogramaciones!K$13&gt;=(Reprogramaciones!$T$15+7*(Reprogramaciones!K$14-1))+6,1,IF(MAX(0,NETWORKDAYS.INTL(MAX(E79,(Reprogramaciones!$T$15+7*(Reprogramaciones!K$14-1))),MIN(F79,(Reprogramaciones!$T$15+7*(Reprogramaciones!K$14-1))+6),11))=0,0,MAX(0,NETWORKDAYS.INTL(MAX(E79,(Reprogramaciones!$T$15+7*(Reprogramaciones!K$14-1))),MIN(F79,Reprogramaciones!K$13),11))/MAX(0,NETWORKDAYS.INTL(MAX(E79,(Reprogramaciones!$T$15+7*(Reprogramaciones!K$14-1))),MIN(F79,(Reprogramaciones!$T$15+7*(Reprogramaciones!K$14-1))+6),11))))))))</f>
        <v/>
      </c>
      <c r="BU79" s="1" t="str">
        <f aca="false">IF(OR(NOT(AND(ISNUMBER(E79),ISNUMBER(F79))),$J$2=""),"",IF(Reprogramaciones!L$13&lt;Reprogramaciones!$T$15,0,IF(Reprogramaciones!L$14&gt;10,MIN(100,SUM($G79:$P79)),MIN(100,SUMPRODUCT((COLUMN($G79:$P79)-COLUMN($G79)+1&lt;Reprogramaciones!L$14)*$G79:$P79)+N(INDEX($G79:$P79,1,Reprogramaciones!L$14))*IF(Reprogramaciones!L$13&gt;=(Reprogramaciones!$T$15+7*(Reprogramaciones!L$14-1))+6,1,IF(MAX(0,NETWORKDAYS.INTL(MAX(E79,(Reprogramaciones!$T$15+7*(Reprogramaciones!L$14-1))),MIN(F79,(Reprogramaciones!$T$15+7*(Reprogramaciones!L$14-1))+6),11))=0,0,MAX(0,NETWORKDAYS.INTL(MAX(E79,(Reprogramaciones!$T$15+7*(Reprogramaciones!L$14-1))),MIN(F79,Reprogramaciones!L$13),11))/MAX(0,NETWORKDAYS.INTL(MAX(E79,(Reprogramaciones!$T$15+7*(Reprogramaciones!L$14-1))),MIN(F79,(Reprogramaciones!$T$15+7*(Reprogramaciones!L$14-1))+6),11))))))))</f>
        <v/>
      </c>
      <c r="BV79" s="1" t="str">
        <f aca="false">IF(OR(NOT(AND(ISNUMBER(E79),ISNUMBER(F79))),$J$2=""),"",IF(Reprogramaciones!M$13&lt;Reprogramaciones!$T$15,0,IF(Reprogramaciones!M$14&gt;10,MIN(100,SUM($G79:$P79)),MIN(100,SUMPRODUCT((COLUMN($G79:$P79)-COLUMN($G79)+1&lt;Reprogramaciones!M$14)*$G79:$P79)+N(INDEX($G79:$P79,1,Reprogramaciones!M$14))*IF(Reprogramaciones!M$13&gt;=(Reprogramaciones!$T$15+7*(Reprogramaciones!M$14-1))+6,1,IF(MAX(0,NETWORKDAYS.INTL(MAX(E79,(Reprogramaciones!$T$15+7*(Reprogramaciones!M$14-1))),MIN(F79,(Reprogramaciones!$T$15+7*(Reprogramaciones!M$14-1))+6),11))=0,0,MAX(0,NETWORKDAYS.INTL(MAX(E79,(Reprogramaciones!$T$15+7*(Reprogramaciones!M$14-1))),MIN(F79,Reprogramaciones!M$13),11))/MAX(0,NETWORKDAYS.INTL(MAX(E79,(Reprogramaciones!$T$15+7*(Reprogramaciones!M$14-1))),MIN(F79,(Reprogramaciones!$T$15+7*(Reprogramaciones!M$14-1))+6),11))))))))</f>
        <v/>
      </c>
      <c r="BW79" s="1" t="str">
        <f aca="false">IF(OR(NOT(AND(ISNUMBER(E79),ISNUMBER(F79))),$J$2=""),"",IF(Reprogramaciones!N$13&lt;Reprogramaciones!$T$15,0,IF(Reprogramaciones!N$14&gt;10,MIN(100,SUM($G79:$P79)),MIN(100,SUMPRODUCT((COLUMN($G79:$P79)-COLUMN($G79)+1&lt;Reprogramaciones!N$14)*$G79:$P79)+N(INDEX($G79:$P79,1,Reprogramaciones!N$14))*IF(Reprogramaciones!N$13&gt;=(Reprogramaciones!$T$15+7*(Reprogramaciones!N$14-1))+6,1,IF(MAX(0,NETWORKDAYS.INTL(MAX(E79,(Reprogramaciones!$T$15+7*(Reprogramaciones!N$14-1))),MIN(F79,(Reprogramaciones!$T$15+7*(Reprogramaciones!N$14-1))+6),11))=0,0,MAX(0,NETWORKDAYS.INTL(MAX(E79,(Reprogramaciones!$T$15+7*(Reprogramaciones!N$14-1))),MIN(F79,Reprogramaciones!N$13),11))/MAX(0,NETWORKDAYS.INTL(MAX(E79,(Reprogramaciones!$T$15+7*(Reprogramaciones!N$14-1))),MIN(F79,(Reprogramaciones!$T$15+7*(Reprogramaciones!N$14-1))+6),11))))))))</f>
        <v/>
      </c>
      <c r="BX79" s="1" t="str">
        <f aca="false">IF(OR(NOT(AND(ISNUMBER(E79),ISNUMBER(F79))),$J$2=""),"",IF(Reprogramaciones!O$13&lt;Reprogramaciones!$T$15,0,IF(Reprogramaciones!O$14&gt;10,MIN(100,SUM($G79:$P79)),MIN(100,SUMPRODUCT((COLUMN($G79:$P79)-COLUMN($G79)+1&lt;Reprogramaciones!O$14)*$G79:$P79)+N(INDEX($G79:$P79,1,Reprogramaciones!O$14))*IF(Reprogramaciones!O$13&gt;=(Reprogramaciones!$T$15+7*(Reprogramaciones!O$14-1))+6,1,IF(MAX(0,NETWORKDAYS.INTL(MAX(E79,(Reprogramaciones!$T$15+7*(Reprogramaciones!O$14-1))),MIN(F79,(Reprogramaciones!$T$15+7*(Reprogramaciones!O$14-1))+6),11))=0,0,MAX(0,NETWORKDAYS.INTL(MAX(E79,(Reprogramaciones!$T$15+7*(Reprogramaciones!O$14-1))),MIN(F79,Reprogramaciones!O$13),11))/MAX(0,NETWORKDAYS.INTL(MAX(E79,(Reprogramaciones!$T$15+7*(Reprogramaciones!O$14-1))),MIN(F79,(Reprogramaciones!$T$15+7*(Reprogramaciones!O$14-1))+6),11))))))))</f>
        <v/>
      </c>
      <c r="BY79" s="1" t="str">
        <f aca="false">IF(OR(NOT(AND(ISNUMBER(E79),ISNUMBER(F79))),$J$2=""),"",IF(Reprogramaciones!P$13&lt;Reprogramaciones!$T$15,0,IF(Reprogramaciones!P$14&gt;10,MIN(100,SUM($G79:$P79)),MIN(100,SUMPRODUCT((COLUMN($G79:$P79)-COLUMN($G79)+1&lt;Reprogramaciones!P$14)*$G79:$P79)+N(INDEX($G79:$P79,1,Reprogramaciones!P$14))*IF(Reprogramaciones!P$13&gt;=(Reprogramaciones!$T$15+7*(Reprogramaciones!P$14-1))+6,1,IF(MAX(0,NETWORKDAYS.INTL(MAX(E79,(Reprogramaciones!$T$15+7*(Reprogramaciones!P$14-1))),MIN(F79,(Reprogramaciones!$T$15+7*(Reprogramaciones!P$14-1))+6),11))=0,0,MAX(0,NETWORKDAYS.INTL(MAX(E79,(Reprogramaciones!$T$15+7*(Reprogramaciones!P$14-1))),MIN(F79,Reprogramaciones!P$13),11))/MAX(0,NETWORKDAYS.INTL(MAX(E79,(Reprogramaciones!$T$15+7*(Reprogramaciones!P$14-1))),MIN(F79,(Reprogramaciones!$T$15+7*(Reprogramaciones!P$14-1))+6),11))))))))</f>
        <v/>
      </c>
      <c r="BZ79" s="1" t="str">
        <f aca="false">IF(OR(NOT(AND(ISNUMBER(E79),ISNUMBER(F79))),$J$2=""),"",IF(Reprogramaciones!Q$13&lt;Reprogramaciones!$T$15,0,IF(Reprogramaciones!Q$14&gt;10,MIN(100,SUM($G79:$P79)),MIN(100,SUMPRODUCT((COLUMN($G79:$P79)-COLUMN($G79)+1&lt;Reprogramaciones!Q$14)*$G79:$P79)+N(INDEX($G79:$P79,1,Reprogramaciones!Q$14))*IF(Reprogramaciones!Q$13&gt;=(Reprogramaciones!$T$15+7*(Reprogramaciones!Q$14-1))+6,1,IF(MAX(0,NETWORKDAYS.INTL(MAX(E79,(Reprogramaciones!$T$15+7*(Reprogramaciones!Q$14-1))),MIN(F79,(Reprogramaciones!$T$15+7*(Reprogramaciones!Q$14-1))+6),11))=0,0,MAX(0,NETWORKDAYS.INTL(MAX(E79,(Reprogramaciones!$T$15+7*(Reprogramaciones!Q$14-1))),MIN(F79,Reprogramaciones!Q$13),11))/MAX(0,NETWORKDAYS.INTL(MAX(E79,(Reprogramaciones!$T$15+7*(Reprogramaciones!Q$14-1))),MIN(F79,(Reprogramaciones!$T$15+7*(Reprogramaciones!Q$14-1))+6),11))))))))</f>
        <v/>
      </c>
      <c r="CA79" s="1" t="str">
        <f aca="false">IF(OR(NOT(AND(ISNUMBER(E79),ISNUMBER(F79))),$J$2=""),"",IF(Reprogramaciones!R$13&lt;Reprogramaciones!$T$15,0,IF(Reprogramaciones!R$14&gt;10,MIN(100,SUM($G79:$P79)),MIN(100,SUMPRODUCT((COLUMN($G79:$P79)-COLUMN($G79)+1&lt;Reprogramaciones!R$14)*$G79:$P79)+N(INDEX($G79:$P79,1,Reprogramaciones!R$14))*IF(Reprogramaciones!R$13&gt;=(Reprogramaciones!$T$15+7*(Reprogramaciones!R$14-1))+6,1,IF(MAX(0,NETWORKDAYS.INTL(MAX(E79,(Reprogramaciones!$T$15+7*(Reprogramaciones!R$14-1))),MIN(F79,(Reprogramaciones!$T$15+7*(Reprogramaciones!R$14-1))+6),11))=0,0,MAX(0,NETWORKDAYS.INTL(MAX(E79,(Reprogramaciones!$T$15+7*(Reprogramaciones!R$14-1))),MIN(F79,Reprogramaciones!R$13),11))/MAX(0,NETWORKDAYS.INTL(MAX(E79,(Reprogramaciones!$T$15+7*(Reprogramaciones!R$14-1))),MIN(F79,(Reprogramaciones!$T$15+7*(Reprogramaciones!R$14-1))+6),11))))))))</f>
        <v/>
      </c>
      <c r="CB79" s="1" t="str">
        <f aca="false">IF(OR(NOT(AND(ISNUMBER(E79),ISNUMBER(F79))),$J$2=""),"",IF(Reprogramaciones!S$13&lt;Reprogramaciones!$T$15,0,IF(Reprogramaciones!S$14&gt;10,MIN(100,SUM($G79:$P79)),MIN(100,SUMPRODUCT((COLUMN($G79:$P79)-COLUMN($G79)+1&lt;Reprogramaciones!S$14)*$G79:$P79)+N(INDEX($G79:$P79,1,Reprogramaciones!S$14))*IF(Reprogramaciones!S$13&gt;=(Reprogramaciones!$T$15+7*(Reprogramaciones!S$14-1))+6,1,IF(MAX(0,NETWORKDAYS.INTL(MAX(E79,(Reprogramaciones!$T$15+7*(Reprogramaciones!S$14-1))),MIN(F79,(Reprogramaciones!$T$15+7*(Reprogramaciones!S$14-1))+6),11))=0,0,MAX(0,NETWORKDAYS.INTL(MAX(E79,(Reprogramaciones!$T$15+7*(Reprogramaciones!S$14-1))),MIN(F79,Reprogramaciones!S$13),11))/MAX(0,NETWORKDAYS.INTL(MAX(E79,(Reprogramaciones!$T$15+7*(Reprogramaciones!S$14-1))),MIN(F79,(Reprogramaciones!$T$15+7*(Reprogramaciones!S$14-1))+6),11))))))))</f>
        <v/>
      </c>
      <c r="CC79" s="1" t="str">
        <f aca="false">IF(OR(NOT(AND(ISNUMBER(E79),ISNUMBER(F79))),$J$2=""),"",IF(Reprogramaciones!T$13&lt;Reprogramaciones!$T$15,0,IF(Reprogramaciones!T$14&gt;10,MIN(100,SUM($G79:$P79)),MIN(100,SUMPRODUCT((COLUMN($G79:$P79)-COLUMN($G79)+1&lt;Reprogramaciones!T$14)*$G79:$P79)+N(INDEX($G79:$P79,1,Reprogramaciones!T$14))*IF(Reprogramaciones!T$13&gt;=(Reprogramaciones!$T$15+7*(Reprogramaciones!T$14-1))+6,1,IF(MAX(0,NETWORKDAYS.INTL(MAX(E79,(Reprogramaciones!$T$15+7*(Reprogramaciones!T$14-1))),MIN(F79,(Reprogramaciones!$T$15+7*(Reprogramaciones!T$14-1))+6),11))=0,0,MAX(0,NETWORKDAYS.INTL(MAX(E79,(Reprogramaciones!$T$15+7*(Reprogramaciones!T$14-1))),MIN(F79,Reprogramaciones!T$13),11))/MAX(0,NETWORKDAYS.INTL(MAX(E79,(Reprogramaciones!$T$15+7*(Reprogramaciones!T$14-1))),MIN(F79,(Reprogramaciones!$T$15+7*(Reprogramaciones!T$14-1))+6),11))))))))</f>
        <v/>
      </c>
      <c r="CD79" s="1" t="str">
        <f aca="false">IF(OR(NOT(AND(ISNUMBER(E79),ISNUMBER(F79))),$J$2=""),"",IF(Reprogramaciones!U$13&lt;Reprogramaciones!$T$15,0,IF(Reprogramaciones!U$14&gt;10,MIN(100,SUM($G79:$P79)),MIN(100,SUMPRODUCT((COLUMN($G79:$P79)-COLUMN($G79)+1&lt;Reprogramaciones!U$14)*$G79:$P79)+N(INDEX($G79:$P79,1,Reprogramaciones!U$14))*IF(Reprogramaciones!U$13&gt;=(Reprogramaciones!$T$15+7*(Reprogramaciones!U$14-1))+6,1,IF(MAX(0,NETWORKDAYS.INTL(MAX(E79,(Reprogramaciones!$T$15+7*(Reprogramaciones!U$14-1))),MIN(F79,(Reprogramaciones!$T$15+7*(Reprogramaciones!U$14-1))+6),11))=0,0,MAX(0,NETWORKDAYS.INTL(MAX(E79,(Reprogramaciones!$T$15+7*(Reprogramaciones!U$14-1))),MIN(F79,Reprogramaciones!U$13),11))/MAX(0,NETWORKDAYS.INTL(MAX(E79,(Reprogramaciones!$T$15+7*(Reprogramaciones!U$14-1))),MIN(F79,(Reprogramaciones!$T$15+7*(Reprogramaciones!U$14-1))+6),11))))))))</f>
        <v/>
      </c>
      <c r="CE79" s="1" t="str">
        <f aca="false">IF(OR(NOT(AND(ISNUMBER(E79),ISNUMBER(F79))),$J$2=""),"",IF(Reprogramaciones!V$13&lt;Reprogramaciones!$T$15,0,IF(Reprogramaciones!V$14&gt;10,MIN(100,SUM($G79:$P79)),MIN(100,SUMPRODUCT((COLUMN($G79:$P79)-COLUMN($G79)+1&lt;Reprogramaciones!V$14)*$G79:$P79)+N(INDEX($G79:$P79,1,Reprogramaciones!V$14))*IF(Reprogramaciones!V$13&gt;=(Reprogramaciones!$T$15+7*(Reprogramaciones!V$14-1))+6,1,IF(MAX(0,NETWORKDAYS.INTL(MAX(E79,(Reprogramaciones!$T$15+7*(Reprogramaciones!V$14-1))),MIN(F79,(Reprogramaciones!$T$15+7*(Reprogramaciones!V$14-1))+6),11))=0,0,MAX(0,NETWORKDAYS.INTL(MAX(E79,(Reprogramaciones!$T$15+7*(Reprogramaciones!V$14-1))),MIN(F79,Reprogramaciones!V$13),11))/MAX(0,NETWORKDAYS.INTL(MAX(E79,(Reprogramaciones!$T$15+7*(Reprogramaciones!V$14-1))),MIN(F79,(Reprogramaciones!$T$15+7*(Reprogramaciones!V$14-1))+6),11))))))))</f>
        <v/>
      </c>
      <c r="CF79" s="1" t="str">
        <f aca="false">IF(OR(NOT(AND(ISNUMBER(E79),ISNUMBER(F79))),$J$2=""),"",IF(Reprogramaciones!W$13&lt;Reprogramaciones!$T$15,0,IF(Reprogramaciones!W$14&gt;10,MIN(100,SUM($G79:$P79)),MIN(100,SUMPRODUCT((COLUMN($G79:$P79)-COLUMN($G79)+1&lt;Reprogramaciones!W$14)*$G79:$P79)+N(INDEX($G79:$P79,1,Reprogramaciones!W$14))*IF(Reprogramaciones!W$13&gt;=(Reprogramaciones!$T$15+7*(Reprogramaciones!W$14-1))+6,1,IF(MAX(0,NETWORKDAYS.INTL(MAX(E79,(Reprogramaciones!$T$15+7*(Reprogramaciones!W$14-1))),MIN(F79,(Reprogramaciones!$T$15+7*(Reprogramaciones!W$14-1))+6),11))=0,0,MAX(0,NETWORKDAYS.INTL(MAX(E79,(Reprogramaciones!$T$15+7*(Reprogramaciones!W$14-1))),MIN(F79,Reprogramaciones!W$13),11))/MAX(0,NETWORKDAYS.INTL(MAX(E79,(Reprogramaciones!$T$15+7*(Reprogramaciones!W$14-1))),MIN(F79,(Reprogramaciones!$T$15+7*(Reprogramaciones!W$14-1))+6),11))))))))</f>
        <v/>
      </c>
      <c r="CG79" s="1" t="str">
        <f aca="false">IF(OR(NOT(AND(ISNUMBER(E79),ISNUMBER(F79))),$J$2=""),"",IF(Reprogramaciones!X$13&lt;Reprogramaciones!$T$15,0,IF(Reprogramaciones!X$14&gt;10,MIN(100,SUM($G79:$P79)),MIN(100,SUMPRODUCT((COLUMN($G79:$P79)-COLUMN($G79)+1&lt;Reprogramaciones!X$14)*$G79:$P79)+N(INDEX($G79:$P79,1,Reprogramaciones!X$14))*IF(Reprogramaciones!X$13&gt;=(Reprogramaciones!$T$15+7*(Reprogramaciones!X$14-1))+6,1,IF(MAX(0,NETWORKDAYS.INTL(MAX(E79,(Reprogramaciones!$T$15+7*(Reprogramaciones!X$14-1))),MIN(F79,(Reprogramaciones!$T$15+7*(Reprogramaciones!X$14-1))+6),11))=0,0,MAX(0,NETWORKDAYS.INTL(MAX(E79,(Reprogramaciones!$T$15+7*(Reprogramaciones!X$14-1))),MIN(F79,Reprogramaciones!X$13),11))/MAX(0,NETWORKDAYS.INTL(MAX(E79,(Reprogramaciones!$T$15+7*(Reprogramaciones!X$14-1))),MIN(F79,(Reprogramaciones!$T$15+7*(Reprogramaciones!X$14-1))+6),11))))))))</f>
        <v/>
      </c>
      <c r="CH79" s="1" t="str">
        <f aca="false">IF(OR(NOT(AND(ISNUMBER(E79),ISNUMBER(F79))),$J$2=""),"",IF(Reprogramaciones!Y$13&lt;Reprogramaciones!$T$15,0,IF(Reprogramaciones!Y$14&gt;10,MIN(100,SUM($G79:$P79)),MIN(100,SUMPRODUCT((COLUMN($G79:$P79)-COLUMN($G79)+1&lt;Reprogramaciones!Y$14)*$G79:$P79)+N(INDEX($G79:$P79,1,Reprogramaciones!Y$14))*IF(Reprogramaciones!Y$13&gt;=(Reprogramaciones!$T$15+7*(Reprogramaciones!Y$14-1))+6,1,IF(MAX(0,NETWORKDAYS.INTL(MAX(E79,(Reprogramaciones!$T$15+7*(Reprogramaciones!Y$14-1))),MIN(F79,(Reprogramaciones!$T$15+7*(Reprogramaciones!Y$14-1))+6),11))=0,0,MAX(0,NETWORKDAYS.INTL(MAX(E79,(Reprogramaciones!$T$15+7*(Reprogramaciones!Y$14-1))),MIN(F79,Reprogramaciones!Y$13),11))/MAX(0,NETWORKDAYS.INTL(MAX(E79,(Reprogramaciones!$T$15+7*(Reprogramaciones!Y$14-1))),MIN(F79,(Reprogramaciones!$T$15+7*(Reprogramaciones!Y$14-1))+6),11))))))))</f>
        <v/>
      </c>
      <c r="CI79" s="1" t="str">
        <f aca="false">IF(OR(NOT(AND(ISNUMBER(E79),ISNUMBER(F79))),$J$2=""),"",IF(Reprogramaciones!Z$13&lt;Reprogramaciones!$T$15,0,IF(Reprogramaciones!Z$14&gt;10,MIN(100,SUM($G79:$P79)),MIN(100,SUMPRODUCT((COLUMN($G79:$P79)-COLUMN($G79)+1&lt;Reprogramaciones!Z$14)*$G79:$P79)+N(INDEX($G79:$P79,1,Reprogramaciones!Z$14))*IF(Reprogramaciones!Z$13&gt;=(Reprogramaciones!$T$15+7*(Reprogramaciones!Z$14-1))+6,1,IF(MAX(0,NETWORKDAYS.INTL(MAX(E79,(Reprogramaciones!$T$15+7*(Reprogramaciones!Z$14-1))),MIN(F79,(Reprogramaciones!$T$15+7*(Reprogramaciones!Z$14-1))+6),11))=0,0,MAX(0,NETWORKDAYS.INTL(MAX(E79,(Reprogramaciones!$T$15+7*(Reprogramaciones!Z$14-1))),MIN(F79,Reprogramaciones!Z$13),11))/MAX(0,NETWORKDAYS.INTL(MAX(E79,(Reprogramaciones!$T$15+7*(Reprogramaciones!Z$14-1))),MIN(F79,(Reprogramaciones!$T$15+7*(Reprogramaciones!Z$14-1))+6),11))))))))</f>
        <v/>
      </c>
      <c r="CJ79" s="1" t="str">
        <f aca="false">IF(OR(OR(NOT(AND(ISNUMBER(E79),ISNUMBER(F79))),$J$2=""),1&gt;Reprogramaciones!$K$16),"",IF(ROUND(SUM($Q79:Q79),1)&gt;=99.5,100,MIN(100,ROUND(SUM($Q79:Q79),1))))</f>
        <v/>
      </c>
      <c r="CK79" s="1" t="str">
        <f aca="false">IF(OR(OR(NOT(AND(ISNUMBER(E79),ISNUMBER(F79))),$J$2=""),2&gt;Reprogramaciones!$K$16),"",IF(ROUND(SUM($Q79:R79),1)&gt;=99.5,100,MIN(100,ROUND(SUM($Q79:R79),1))))</f>
        <v/>
      </c>
      <c r="CL79" s="1" t="str">
        <f aca="false">IF(OR(OR(NOT(AND(ISNUMBER(E79),ISNUMBER(F79))),$J$2=""),3&gt;Reprogramaciones!$K$16),"",IF(ROUND(SUM($Q79:S79),1)&gt;=99.5,100,MIN(100,ROUND(SUM($Q79:S79),1))))</f>
        <v/>
      </c>
      <c r="CM79" s="1" t="str">
        <f aca="false">IF(OR(OR(NOT(AND(ISNUMBER(E79),ISNUMBER(F79))),$J$2=""),4&gt;Reprogramaciones!$K$16),"",IF(ROUND(SUM($Q79:T79),1)&gt;=99.5,100,MIN(100,ROUND(SUM($Q79:T79),1))))</f>
        <v/>
      </c>
      <c r="CN79" s="1" t="str">
        <f aca="false">IF(OR(OR(NOT(AND(ISNUMBER(E79),ISNUMBER(F79))),$J$2=""),5&gt;Reprogramaciones!$K$16),"",IF(ROUND(SUM($Q79:U79),1)&gt;=99.5,100,MIN(100,ROUND(SUM($Q79:U79),1))))</f>
        <v/>
      </c>
      <c r="CO79" s="1" t="str">
        <f aca="false">IF(OR(OR(NOT(AND(ISNUMBER(E79),ISNUMBER(F79))),$J$2=""),6&gt;Reprogramaciones!$K$16),"",IF(ROUND(SUM($Q79:V79),1)&gt;=99.5,100,MIN(100,ROUND(SUM($Q79:V79),1))))</f>
        <v/>
      </c>
      <c r="CP79" s="1" t="str">
        <f aca="false">IF(OR(OR(NOT(AND(ISNUMBER(E79),ISNUMBER(F79))),$J$2=""),7&gt;Reprogramaciones!$K$16),"",IF(ROUND(SUM($Q79:W79),1)&gt;=99.5,100,MIN(100,ROUND(SUM($Q79:W79),1))))</f>
        <v/>
      </c>
      <c r="CQ79" s="1" t="str">
        <f aca="false">IF(OR(OR(NOT(AND(ISNUMBER(E79),ISNUMBER(F79))),$J$2=""),8&gt;Reprogramaciones!$K$16),"",IF(ROUND(SUM($Q79:X79),1)&gt;=99.5,100,MIN(100,ROUND(SUM($Q79:X79),1))))</f>
        <v/>
      </c>
      <c r="CR79" s="1" t="str">
        <f aca="false">IF(OR(OR(NOT(AND(ISNUMBER(E79),ISNUMBER(F79))),$J$2=""),9&gt;Reprogramaciones!$K$16),"",IF(ROUND(SUM($Q79:Y79),1)&gt;=99.5,100,MIN(100,ROUND(SUM($Q79:Y79),1))))</f>
        <v/>
      </c>
      <c r="CS79" s="1" t="str">
        <f aca="false">IF(OR(OR(NOT(AND(ISNUMBER(E79),ISNUMBER(F79))),$J$2=""),10&gt;Reprogramaciones!$K$16),"",IF(ROUND(SUM($Q79:Z79),1)&gt;=99.5,100,MIN(100,ROUND(SUM($Q79:Z79),1))))</f>
        <v/>
      </c>
      <c r="CT79" s="1" t="str">
        <f aca="false">IF(OR(OR(NOT(AND(ISNUMBER(E79),ISNUMBER(F79))),$J$2=""),11&gt;Reprogramaciones!$K$16),"",IF(ROUND(SUM($Q79:AA79),1)&gt;=99.5,100,MIN(100,ROUND(SUM($Q79:AA79),1))))</f>
        <v/>
      </c>
      <c r="CU79" s="1" t="str">
        <f aca="false">IF(OR(OR(NOT(AND(ISNUMBER(E79),ISNUMBER(F79))),$J$2=""),12&gt;Reprogramaciones!$K$16),"",IF(ROUND(SUM($Q79:AB79),1)&gt;=99.5,100,MIN(100,ROUND(SUM($Q79:AB79),1))))</f>
        <v/>
      </c>
      <c r="CV79" s="1" t="str">
        <f aca="false">IF(OR(OR(NOT(AND(ISNUMBER(E79),ISNUMBER(F79))),$J$2=""),13&gt;Reprogramaciones!$K$16),"",IF(ROUND(SUM($Q79:AC79),1)&gt;=99.5,100,MIN(100,ROUND(SUM($Q79:AC79),1))))</f>
        <v/>
      </c>
      <c r="CW79" s="1" t="str">
        <f aca="false">IF(OR(OR(NOT(AND(ISNUMBER(E79),ISNUMBER(F79))),$J$2=""),14&gt;Reprogramaciones!$K$16),"",IF(ROUND(SUM($Q79:AD79),1)&gt;=99.5,100,MIN(100,ROUND(SUM($Q79:AD79),1))))</f>
        <v/>
      </c>
      <c r="CX79" s="1" t="str">
        <f aca="false">IF(OR(OR(NOT(AND(ISNUMBER(E79),ISNUMBER(F79))),$J$2=""),15&gt;Reprogramaciones!$K$16),"",IF(ROUND(SUM($Q79:AE79),1)&gt;=99.5,100,MIN(100,ROUND(SUM($Q79:AE79),1))))</f>
        <v/>
      </c>
      <c r="CY79" s="1" t="str">
        <f aca="false">IF(OR(OR(NOT(AND(ISNUMBER(E79),ISNUMBER(F79))),$J$2=""),16&gt;Reprogramaciones!$K$16),"",IF(ROUND(SUM($Q79:AF79),1)&gt;=99.5,100,MIN(100,ROUND(SUM($Q79:AF79),1))))</f>
        <v/>
      </c>
      <c r="CZ79" s="1" t="str">
        <f aca="false">IF(D79&lt;&gt;"",D79,IF(B79&lt;&gt;"","Contractual",CZ78))</f>
        <v>Contractual</v>
      </c>
      <c r="DA79" s="1" t="str">
        <f aca="false">IF(OR(NOT(AND(ISNUMBER(E79),ISNUMBER(F79))),$J$2=""),"",IF(Reprogramaciones!$Q$15&lt;Reprogramaciones!$T$15,0,IF(Reprogramaciones!$S$15&gt;10,MIN(100,SUM($G79:$P79)),MIN(100,SUMPRODUCT((COLUMN($G79:$P79)-COLUMN($G79)+1&lt;Reprogramaciones!$S$15)*$G79:$P79)+N(INDEX($G79:$P79,1,Reprogramaciones!$S$15))*IF(Reprogramaciones!$Q$15&gt;=(Reprogramaciones!$T$15+7*(Reprogramaciones!$S$15-1))+6,1,IF(MAX(0,NETWORKDAYS.INTL(MAX(E79,(Reprogramaciones!$T$15+7*(Reprogramaciones!$S$15-1))),MIN(F79,(Reprogramaciones!$T$15+7*(Reprogramaciones!$S$15-1))+6),11))=0,0,MAX(0,NETWORKDAYS.INTL(MAX(E79,(Reprogramaciones!$T$15+7*(Reprogramaciones!$S$15-1))),MIN(F79,Reprogramaciones!$Q$15),11))/MAX(0,NETWORKDAYS.INTL(MAX(E79,(Reprogramaciones!$T$15+7*(Reprogramaciones!$S$15-1))),MIN(F79,(Reprogramaciones!$T$15+7*(Reprogramaciones!$S$15-1))+6),11))))))))</f>
        <v/>
      </c>
    </row>
    <row r="80" customFormat="false" ht="15" hidden="false" customHeight="false" outlineLevel="0" collapsed="false">
      <c r="A80" s="32"/>
      <c r="B80" s="33"/>
      <c r="C80" s="33"/>
      <c r="D80" s="34"/>
      <c r="E80" s="35"/>
      <c r="F80" s="35"/>
      <c r="G80" s="36" t="str">
        <f aca="false">IF(OR(NOT(AND(ISNUMBER(E80),ISNUMBER(F80))),$J$2=""),"",IF(Reprogramaciones!K$9&lt;E80,0,IF(NETWORKDAYS.INTL(E80,F80,11)=0,IF(Reprogramaciones!K$9&gt;=F80,100,0),ROUND(NETWORKDAYS.INTL(E80,MIN(F80,Reprogramaciones!K$9),11)/NETWORKDAYS.INTL(E80,F80,11)*100,1)))-0)</f>
        <v/>
      </c>
      <c r="H80" s="36" t="str">
        <f aca="false">IF(OR(NOT(AND(ISNUMBER(E80),ISNUMBER(F80))),$J$2=""),"",IF(Reprogramaciones!L$9&lt;E80,0,IF(NETWORKDAYS.INTL(E80,F80,11)=0,IF(Reprogramaciones!L$9&gt;=F80,100,0),ROUND(NETWORKDAYS.INTL(E80,MIN(F80,Reprogramaciones!L$9),11)/NETWORKDAYS.INTL(E80,F80,11)*100,1)))-IF(Reprogramaciones!K$9&lt;E80,0,IF(NETWORKDAYS.INTL(E80,F80,11)=0,IF(Reprogramaciones!K$9&gt;=F80,100,0),ROUND(NETWORKDAYS.INTL(E80,MIN(F80,Reprogramaciones!K$9),11)/NETWORKDAYS.INTL(E80,F80,11)*100,1))))</f>
        <v/>
      </c>
      <c r="I80" s="36" t="str">
        <f aca="false">IF(OR(NOT(AND(ISNUMBER(E80),ISNUMBER(F80))),$J$2=""),"",IF(Reprogramaciones!M$9&lt;E80,0,IF(NETWORKDAYS.INTL(E80,F80,11)=0,IF(Reprogramaciones!M$9&gt;=F80,100,0),ROUND(NETWORKDAYS.INTL(E80,MIN(F80,Reprogramaciones!M$9),11)/NETWORKDAYS.INTL(E80,F80,11)*100,1)))-IF(Reprogramaciones!L$9&lt;E80,0,IF(NETWORKDAYS.INTL(E80,F80,11)=0,IF(Reprogramaciones!L$9&gt;=F80,100,0),ROUND(NETWORKDAYS.INTL(E80,MIN(F80,Reprogramaciones!L$9),11)/NETWORKDAYS.INTL(E80,F80,11)*100,1))))</f>
        <v/>
      </c>
      <c r="J80" s="36" t="str">
        <f aca="false">IF(OR(NOT(AND(ISNUMBER(E80),ISNUMBER(F80))),$J$2=""),"",IF(Reprogramaciones!N$9&lt;E80,0,IF(NETWORKDAYS.INTL(E80,F80,11)=0,IF(Reprogramaciones!N$9&gt;=F80,100,0),ROUND(NETWORKDAYS.INTL(E80,MIN(F80,Reprogramaciones!N$9),11)/NETWORKDAYS.INTL(E80,F80,11)*100,1)))-IF(Reprogramaciones!M$9&lt;E80,0,IF(NETWORKDAYS.INTL(E80,F80,11)=0,IF(Reprogramaciones!M$9&gt;=F80,100,0),ROUND(NETWORKDAYS.INTL(E80,MIN(F80,Reprogramaciones!M$9),11)/NETWORKDAYS.INTL(E80,F80,11)*100,1))))</f>
        <v/>
      </c>
      <c r="K80" s="36" t="str">
        <f aca="false">IF(OR(NOT(AND(ISNUMBER(E80),ISNUMBER(F80))),$J$2=""),"",IF(Reprogramaciones!O$9&lt;E80,0,IF(NETWORKDAYS.INTL(E80,F80,11)=0,IF(Reprogramaciones!O$9&gt;=F80,100,0),ROUND(NETWORKDAYS.INTL(E80,MIN(F80,Reprogramaciones!O$9),11)/NETWORKDAYS.INTL(E80,F80,11)*100,1)))-IF(Reprogramaciones!N$9&lt;E80,0,IF(NETWORKDAYS.INTL(E80,F80,11)=0,IF(Reprogramaciones!N$9&gt;=F80,100,0),ROUND(NETWORKDAYS.INTL(E80,MIN(F80,Reprogramaciones!N$9),11)/NETWORKDAYS.INTL(E80,F80,11)*100,1))))</f>
        <v/>
      </c>
      <c r="L80" s="36" t="str">
        <f aca="false">IF(OR(NOT(AND(ISNUMBER(E80),ISNUMBER(F80))),$J$2=""),"",IF(Reprogramaciones!P$9&lt;E80,0,IF(NETWORKDAYS.INTL(E80,F80,11)=0,IF(Reprogramaciones!P$9&gt;=F80,100,0),ROUND(NETWORKDAYS.INTL(E80,MIN(F80,Reprogramaciones!P$9),11)/NETWORKDAYS.INTL(E80,F80,11)*100,1)))-IF(Reprogramaciones!O$9&lt;E80,0,IF(NETWORKDAYS.INTL(E80,F80,11)=0,IF(Reprogramaciones!O$9&gt;=F80,100,0),ROUND(NETWORKDAYS.INTL(E80,MIN(F80,Reprogramaciones!O$9),11)/NETWORKDAYS.INTL(E80,F80,11)*100,1))))</f>
        <v/>
      </c>
      <c r="M80" s="36" t="str">
        <f aca="false">IF(OR(NOT(AND(ISNUMBER(E80),ISNUMBER(F80))),$J$2=""),"",IF(Reprogramaciones!Q$9&lt;E80,0,IF(NETWORKDAYS.INTL(E80,F80,11)=0,IF(Reprogramaciones!Q$9&gt;=F80,100,0),ROUND(NETWORKDAYS.INTL(E80,MIN(F80,Reprogramaciones!Q$9),11)/NETWORKDAYS.INTL(E80,F80,11)*100,1)))-IF(Reprogramaciones!P$9&lt;E80,0,IF(NETWORKDAYS.INTL(E80,F80,11)=0,IF(Reprogramaciones!P$9&gt;=F80,100,0),ROUND(NETWORKDAYS.INTL(E80,MIN(F80,Reprogramaciones!P$9),11)/NETWORKDAYS.INTL(E80,F80,11)*100,1))))</f>
        <v/>
      </c>
      <c r="N80" s="36" t="str">
        <f aca="false">IF(OR(NOT(AND(ISNUMBER(E80),ISNUMBER(F80))),$J$2=""),"",IF(Reprogramaciones!R$9&lt;E80,0,IF(NETWORKDAYS.INTL(E80,F80,11)=0,IF(Reprogramaciones!R$9&gt;=F80,100,0),ROUND(NETWORKDAYS.INTL(E80,MIN(F80,Reprogramaciones!R$9),11)/NETWORKDAYS.INTL(E80,F80,11)*100,1)))-IF(Reprogramaciones!Q$9&lt;E80,0,IF(NETWORKDAYS.INTL(E80,F80,11)=0,IF(Reprogramaciones!Q$9&gt;=F80,100,0),ROUND(NETWORKDAYS.INTL(E80,MIN(F80,Reprogramaciones!Q$9),11)/NETWORKDAYS.INTL(E80,F80,11)*100,1))))</f>
        <v/>
      </c>
      <c r="O80" s="36" t="str">
        <f aca="false">IF(OR(NOT(AND(ISNUMBER(E80),ISNUMBER(F80))),$J$2=""),"",IF(Reprogramaciones!S$9&lt;E80,0,IF(NETWORKDAYS.INTL(E80,F80,11)=0,IF(Reprogramaciones!S$9&gt;=F80,100,0),ROUND(NETWORKDAYS.INTL(E80,MIN(F80,Reprogramaciones!S$9),11)/NETWORKDAYS.INTL(E80,F80,11)*100,1)))-IF(Reprogramaciones!R$9&lt;E80,0,IF(NETWORKDAYS.INTL(E80,F80,11)=0,IF(Reprogramaciones!R$9&gt;=F80,100,0),ROUND(NETWORKDAYS.INTL(E80,MIN(F80,Reprogramaciones!R$9),11)/NETWORKDAYS.INTL(E80,F80,11)*100,1))))</f>
        <v/>
      </c>
      <c r="P80" s="36" t="str">
        <f aca="false">IF(OR(NOT(AND(ISNUMBER(E80),ISNUMBER(F80))),$J$2=""),"",IF(Reprogramaciones!T$9&lt;E80,0,IF(NETWORKDAYS.INTL(E80,F80,11)=0,IF(Reprogramaciones!T$9&gt;=F80,100,0),ROUND(NETWORKDAYS.INTL(E80,MIN(F80,Reprogramaciones!T$9),11)/NETWORKDAYS.INTL(E80,F80,11)*100,1)))-IF(Reprogramaciones!S$9&lt;E80,0,IF(NETWORKDAYS.INTL(E80,F80,11)=0,IF(Reprogramaciones!S$9&gt;=F80,100,0),ROUND(NETWORKDAYS.INTL(E80,MIN(F80,Reprogramaciones!S$9),11)/NETWORKDAYS.INTL(E80,F80,11)*100,1))))</f>
        <v/>
      </c>
      <c r="Q80" s="37"/>
      <c r="R80" s="37"/>
      <c r="S80" s="37"/>
      <c r="T80" s="37"/>
      <c r="U80" s="37"/>
      <c r="V80" s="37"/>
      <c r="W80" s="37"/>
      <c r="X80" s="37"/>
      <c r="Y80" s="37"/>
      <c r="Z80" s="37"/>
      <c r="AA80" s="37"/>
      <c r="AB80" s="37"/>
      <c r="AC80" s="37"/>
      <c r="AD80" s="37"/>
      <c r="AE80" s="37"/>
      <c r="AF80" s="37"/>
      <c r="AG80" s="38" t="str">
        <f aca="false">IF(AND(ISNUMBER(E80),ISNUMBER(F80)),NETWORKDAYS.INTL(E80,F80,11),"")</f>
        <v/>
      </c>
      <c r="AH80" s="38" t="str">
        <f aca="false">IF(OR(NOT(AND(ISNUMBER(E80),ISNUMBER(F80))),$J$2=""),"",IF(Reprogramaciones!$P$15&lt;Reprogramaciones!$T$15,0,IF(Reprogramaciones!$R$15&gt;10,MIN(100,SUM($G80:$P80)),MIN(100,SUMPRODUCT((COLUMN($G80:$P80)-COLUMN($G80)+1&lt;Reprogramaciones!$R$15)*$G80:$P80)+N(INDEX($G80:$P80,1,Reprogramaciones!$R$15))*IF(Reprogramaciones!$P$15&gt;=(Reprogramaciones!$T$15+7*(Reprogramaciones!$R$15-1))+6,1,IF(MAX(0,NETWORKDAYS.INTL(MAX(E80,(Reprogramaciones!$T$15+7*(Reprogramaciones!$R$15-1))),MIN(F80,(Reprogramaciones!$T$15+7*(Reprogramaciones!$R$15-1))+6),11))=0,0,MAX(0,NETWORKDAYS.INTL(MAX(E80,(Reprogramaciones!$T$15+7*(Reprogramaciones!$R$15-1))),MIN(F80,Reprogramaciones!$P$15),11))/MAX(0,NETWORKDAYS.INTL(MAX(E80,(Reprogramaciones!$T$15+7*(Reprogramaciones!$R$15-1))),MIN(F80,(Reprogramaciones!$T$15+7*(Reprogramaciones!$R$15-1))+6),11))))))))</f>
        <v/>
      </c>
      <c r="AI80" s="38" t="str">
        <f aca="false">IF(COUNT($Q80:$AF80)=0,"",IF(ROUND(SUM($Q80:$AF80),1)&gt;=99.5,100,MIN(100,ROUND(SUM($Q80:$AF80),1))))</f>
        <v/>
      </c>
      <c r="AJ80" s="38" t="str">
        <f aca="false">IF(OR(AH80="",AI80=""),"",AI80-AH80)</f>
        <v/>
      </c>
      <c r="AK80" s="39" t="str">
        <f aca="true">IF(AH80="","",IF(OR(Ficha!$C$10="Suspendida",Ficha!$C$10="Cancelada"),Ficha!$C$10,IF(AND(AI80&lt;&gt;"",N(AI80)&gt;=100),"Completada",IF(AND(E80&gt;TODAY(),N(AI80)=0),"Por iniciar",IF(N(AI80)+0.5&lt;AH80,"Retrasada",IF(N(AI80)+0.5&lt;DA80,IF(Reprogramaciones!$K$15&gt;0,"Al día · Sem "&amp;Reprogramaciones!$K$15&amp;" en curso","Al día · en curso"),"A tiempo"))))))</f>
        <v/>
      </c>
      <c r="AL80" s="39" t="str">
        <f aca="true">IF(AND(A80="",AND(B80="",C80="",E80="",F80="",COUNT(Q80:AF80)=0)),"",IF(AND(B80="",C80="",E80="",F80="",COUNT(Q80:AF80)=0),"Falta la partida o subpartida",IF(AND(A80&lt;&gt;"",COUNTIF($A$6:$A$305,A80)&gt;1),"Ítem repetido",IF(AND(C80="",E80="",F80="",COUNT(Q80:AF80)=0),"Título de partida",IF(OR(E80="",F80=""),"Faltan fechas",IF(OR(ISTEXT(E80),ISTEXT(F80)),"Fecha escrita como texto: usa dd/mm/aaaa",IF(F80&lt;E80,"Fin antes del inicio",IF(IF($J$2="",FALSE(),OR(E80&lt;$J$2,F80&gt;Reprogramaciones!$T$15+69)),"Fuera de las 10 semanas",IF(ABS(SUM(G80:P80)-100)&gt;0.5,"La meta no suma 100%",IF(ROUND(SUM(Q80:AF80),1)&gt;100.5,"El avance pasa de 100%",IF(MIN(Q80:AF80)&lt;0,"Avance negativo",IF(COUNTA(Q80:AF80)&gt;COUNT(Q80:AF80),"Avance escrito como texto",IF(SUMPRODUCT((Q80:AF80&gt;0)*(Q80:AF80&lt;1))&gt;0,"Avance menor a 1: escribe 50, no 50%",IF(SUMPRODUCT(ISNUMBER(Q80:AF80)*(Reprogramaciones!$K$8:$Z$8&gt;TODAY()))&gt;0,"Avance en semana que aún no llega",IF(AND(N(Reprogramaciones!$E$21)&gt;0,F80&gt;Reprogramaciones!$E$21),"Pasa el fin de la obra: registra una reprogramación",IF(AND(N(Reprogramaciones!$E$21)&gt;0,SUMPRODUCT(ISNUMBER(Q80:AF80)*(Reprogramaciones!$K$8:$Z$8&gt;Reprogramaciones!$E$21))&gt;0),"Avance después del fin de la obra: registra una reprogramación por atraso","OK"))))))))))))))))</f>
        <v/>
      </c>
      <c r="AM80" s="40" t="str">
        <f aca="false">IF(OR(OR(NOT(AND(ISNUMBER(E80),ISNUMBER(F80))),$J$2=""),1&gt;MAX(1,Reprogramaciones!$U$15)),"",IF(Reprogramaciones!K$12&gt;=7,"",IF(OR(BT80-N(0)&gt;0.05,N(Q80)&gt;0),ROUNDDOWN(ROUND(BT80,6),0)&amp;"%"&amp;IF(CJ80="",""," / "&amp;CJ80&amp;"%"),IF(AND(N(0)&gt;=99.95,CJ80&lt;&gt;"",N(CJ80)&lt;100),"Pend. "&amp;CJ80&amp;"%",""))))</f>
        <v/>
      </c>
      <c r="AN80" s="40" t="str">
        <f aca="false">IF(OR(OR(NOT(AND(ISNUMBER(E80),ISNUMBER(F80))),$J$2=""),2&gt;MAX(1,Reprogramaciones!$U$15)),"",IF(Reprogramaciones!L$12&gt;=7,"",IF(OR(BU80-N(BT80)&gt;0.05,N(R80)&gt;0),ROUNDDOWN(ROUND(BU80,6),0)&amp;"%"&amp;IF(CK80="",""," / "&amp;CK80&amp;"%"),IF(AND(N(BT80)&gt;=99.95,CK80&lt;&gt;"",N(CK80)&lt;100),"Pend. "&amp;CK80&amp;"%",""))))</f>
        <v/>
      </c>
      <c r="AO80" s="40" t="str">
        <f aca="false">IF(OR(OR(NOT(AND(ISNUMBER(E80),ISNUMBER(F80))),$J$2=""),3&gt;MAX(1,Reprogramaciones!$U$15)),"",IF(Reprogramaciones!M$12&gt;=7,"",IF(OR(BV80-N(BU80)&gt;0.05,N(S80)&gt;0),ROUNDDOWN(ROUND(BV80,6),0)&amp;"%"&amp;IF(CL80="",""," / "&amp;CL80&amp;"%"),IF(AND(N(BU80)&gt;=99.95,CL80&lt;&gt;"",N(CL80)&lt;100),"Pend. "&amp;CL80&amp;"%",""))))</f>
        <v/>
      </c>
      <c r="AP80" s="40" t="str">
        <f aca="false">IF(OR(OR(NOT(AND(ISNUMBER(E80),ISNUMBER(F80))),$J$2=""),4&gt;MAX(1,Reprogramaciones!$U$15)),"",IF(Reprogramaciones!N$12&gt;=7,"",IF(OR(BW80-N(BV80)&gt;0.05,N(T80)&gt;0),ROUNDDOWN(ROUND(BW80,6),0)&amp;"%"&amp;IF(CM80="",""," / "&amp;CM80&amp;"%"),IF(AND(N(BV80)&gt;=99.95,CM80&lt;&gt;"",N(CM80)&lt;100),"Pend. "&amp;CM80&amp;"%",""))))</f>
        <v/>
      </c>
      <c r="AQ80" s="40" t="str">
        <f aca="false">IF(OR(OR(NOT(AND(ISNUMBER(E80),ISNUMBER(F80))),$J$2=""),5&gt;MAX(1,Reprogramaciones!$U$15)),"",IF(Reprogramaciones!O$12&gt;=7,"",IF(OR(BX80-N(BW80)&gt;0.05,N(U80)&gt;0),ROUNDDOWN(ROUND(BX80,6),0)&amp;"%"&amp;IF(CN80="",""," / "&amp;CN80&amp;"%"),IF(AND(N(BW80)&gt;=99.95,CN80&lt;&gt;"",N(CN80)&lt;100),"Pend. "&amp;CN80&amp;"%",""))))</f>
        <v/>
      </c>
      <c r="AR80" s="40" t="str">
        <f aca="false">IF(OR(OR(NOT(AND(ISNUMBER(E80),ISNUMBER(F80))),$J$2=""),6&gt;MAX(1,Reprogramaciones!$U$15)),"",IF(Reprogramaciones!P$12&gt;=7,"",IF(OR(BY80-N(BX80)&gt;0.05,N(V80)&gt;0),ROUNDDOWN(ROUND(BY80,6),0)&amp;"%"&amp;IF(CO80="",""," / "&amp;CO80&amp;"%"),IF(AND(N(BX80)&gt;=99.95,CO80&lt;&gt;"",N(CO80)&lt;100),"Pend. "&amp;CO80&amp;"%",""))))</f>
        <v/>
      </c>
      <c r="AS80" s="40" t="str">
        <f aca="false">IF(OR(OR(NOT(AND(ISNUMBER(E80),ISNUMBER(F80))),$J$2=""),7&gt;MAX(1,Reprogramaciones!$U$15)),"",IF(Reprogramaciones!Q$12&gt;=7,"",IF(OR(BZ80-N(BY80)&gt;0.05,N(W80)&gt;0),ROUNDDOWN(ROUND(BZ80,6),0)&amp;"%"&amp;IF(CP80="",""," / "&amp;CP80&amp;"%"),IF(AND(N(BY80)&gt;=99.95,CP80&lt;&gt;"",N(CP80)&lt;100),"Pend. "&amp;CP80&amp;"%",""))))</f>
        <v/>
      </c>
      <c r="AT80" s="40" t="str">
        <f aca="false">IF(OR(OR(NOT(AND(ISNUMBER(E80),ISNUMBER(F80))),$J$2=""),8&gt;MAX(1,Reprogramaciones!$U$15)),"",IF(Reprogramaciones!R$12&gt;=7,"",IF(OR(CA80-N(BZ80)&gt;0.05,N(X80)&gt;0),ROUNDDOWN(ROUND(CA80,6),0)&amp;"%"&amp;IF(CQ80="",""," / "&amp;CQ80&amp;"%"),IF(AND(N(BZ80)&gt;=99.95,CQ80&lt;&gt;"",N(CQ80)&lt;100),"Pend. "&amp;CQ80&amp;"%",""))))</f>
        <v/>
      </c>
      <c r="AU80" s="40" t="str">
        <f aca="false">IF(OR(OR(NOT(AND(ISNUMBER(E80),ISNUMBER(F80))),$J$2=""),9&gt;MAX(1,Reprogramaciones!$U$15)),"",IF(Reprogramaciones!S$12&gt;=7,"",IF(OR(CB80-N(CA80)&gt;0.05,N(Y80)&gt;0),ROUNDDOWN(ROUND(CB80,6),0)&amp;"%"&amp;IF(CR80="",""," / "&amp;CR80&amp;"%"),IF(AND(N(CA80)&gt;=99.95,CR80&lt;&gt;"",N(CR80)&lt;100),"Pend. "&amp;CR80&amp;"%",""))))</f>
        <v/>
      </c>
      <c r="AV80" s="40" t="str">
        <f aca="false">IF(OR(OR(NOT(AND(ISNUMBER(E80),ISNUMBER(F80))),$J$2=""),10&gt;MAX(1,Reprogramaciones!$U$15)),"",IF(Reprogramaciones!T$12&gt;=7,"",IF(OR(CC80-N(CB80)&gt;0.05,N(Z80)&gt;0),ROUNDDOWN(ROUND(CC80,6),0)&amp;"%"&amp;IF(CS80="",""," / "&amp;CS80&amp;"%"),IF(AND(N(CB80)&gt;=99.95,CS80&lt;&gt;"",N(CS80)&lt;100),"Pend. "&amp;CS80&amp;"%",""))))</f>
        <v/>
      </c>
      <c r="AW80" s="40" t="str">
        <f aca="false">IF(OR(OR(NOT(AND(ISNUMBER(E80),ISNUMBER(F80))),$J$2=""),11&gt;MAX(1,Reprogramaciones!$U$15)),"",IF(Reprogramaciones!U$12&gt;=7,"",IF(OR(CD80-N(CC80)&gt;0.05,N(AA80)&gt;0),ROUNDDOWN(ROUND(CD80,6),0)&amp;"%"&amp;IF(CT80="",""," / "&amp;CT80&amp;"%"),IF(AND(N(CC80)&gt;=99.95,CT80&lt;&gt;"",N(CT80)&lt;100),"Pend. "&amp;CT80&amp;"%",""))))</f>
        <v/>
      </c>
      <c r="AX80" s="40" t="str">
        <f aca="false">IF(OR(OR(NOT(AND(ISNUMBER(E80),ISNUMBER(F80))),$J$2=""),12&gt;MAX(1,Reprogramaciones!$U$15)),"",IF(Reprogramaciones!V$12&gt;=7,"",IF(OR(CE80-N(CD80)&gt;0.05,N(AB80)&gt;0),ROUNDDOWN(ROUND(CE80,6),0)&amp;"%"&amp;IF(CU80="",""," / "&amp;CU80&amp;"%"),IF(AND(N(CD80)&gt;=99.95,CU80&lt;&gt;"",N(CU80)&lt;100),"Pend. "&amp;CU80&amp;"%",""))))</f>
        <v/>
      </c>
      <c r="AY80" s="40" t="str">
        <f aca="false">IF(OR(OR(NOT(AND(ISNUMBER(E80),ISNUMBER(F80))),$J$2=""),13&gt;MAX(1,Reprogramaciones!$U$15)),"",IF(Reprogramaciones!W$12&gt;=7,"",IF(OR(CF80-N(CE80)&gt;0.05,N(AC80)&gt;0),ROUNDDOWN(ROUND(CF80,6),0)&amp;"%"&amp;IF(CV80="",""," / "&amp;CV80&amp;"%"),IF(AND(N(CE80)&gt;=99.95,CV80&lt;&gt;"",N(CV80)&lt;100),"Pend. "&amp;CV80&amp;"%",""))))</f>
        <v/>
      </c>
      <c r="AZ80" s="40" t="str">
        <f aca="false">IF(OR(OR(NOT(AND(ISNUMBER(E80),ISNUMBER(F80))),$J$2=""),14&gt;MAX(1,Reprogramaciones!$U$15)),"",IF(Reprogramaciones!X$12&gt;=7,"",IF(OR(CG80-N(CF80)&gt;0.05,N(AD80)&gt;0),ROUNDDOWN(ROUND(CG80,6),0)&amp;"%"&amp;IF(CW80="",""," / "&amp;CW80&amp;"%"),IF(AND(N(CF80)&gt;=99.95,CW80&lt;&gt;"",N(CW80)&lt;100),"Pend. "&amp;CW80&amp;"%",""))))</f>
        <v/>
      </c>
      <c r="BA80" s="40" t="str">
        <f aca="false">IF(OR(OR(NOT(AND(ISNUMBER(E80),ISNUMBER(F80))),$J$2=""),15&gt;MAX(1,Reprogramaciones!$U$15)),"",IF(Reprogramaciones!Y$12&gt;=7,"",IF(OR(CH80-N(CG80)&gt;0.05,N(AE80)&gt;0),ROUNDDOWN(ROUND(CH80,6),0)&amp;"%"&amp;IF(CX80="",""," / "&amp;CX80&amp;"%"),IF(AND(N(CG80)&gt;=99.95,CX80&lt;&gt;"",N(CX80)&lt;100),"Pend. "&amp;CX80&amp;"%",""))))</f>
        <v/>
      </c>
      <c r="BB80" s="40" t="str">
        <f aca="false">IF(OR(OR(NOT(AND(ISNUMBER(E80),ISNUMBER(F80))),$J$2=""),16&gt;MAX(1,Reprogramaciones!$U$15)),"",IF(Reprogramaciones!Z$12&gt;=7,"",IF(OR(CI80-N(CH80)&gt;0.05,N(AF80)&gt;0),ROUNDDOWN(ROUND(CI80,6),0)&amp;"%"&amp;IF(CY80="",""," / "&amp;CY80&amp;"%"),IF(AND(N(CH80)&gt;=99.95,CY80&lt;&gt;"",N(CY80)&lt;100),"Pend. "&amp;CY80&amp;"%",""))))</f>
        <v/>
      </c>
      <c r="BC80" s="31" t="n">
        <f aca="false">IF(AND(ISNUMBER(E80),ISNUMBER(F80)),MAX(1,NETWORKDAYS.INTL(E80,F80,11)),0)</f>
        <v>0</v>
      </c>
      <c r="BD80" s="1" t="str">
        <f aca="false">IF(OR(NOT(AND(ISNUMBER(E80),ISNUMBER(F80))),$J$2=""),"",MIN(100,ROUND(SUM($G80:G80),1)))</f>
        <v/>
      </c>
      <c r="BE80" s="1" t="str">
        <f aca="false">IF(OR(NOT(AND(ISNUMBER(E80),ISNUMBER(F80))),$J$2=""),"",MIN(100,ROUND(SUM($G80:H80),1)))</f>
        <v/>
      </c>
      <c r="BF80" s="1" t="str">
        <f aca="false">IF(OR(NOT(AND(ISNUMBER(E80),ISNUMBER(F80))),$J$2=""),"",MIN(100,ROUND(SUM($G80:I80),1)))</f>
        <v/>
      </c>
      <c r="BG80" s="1" t="str">
        <f aca="false">IF(OR(NOT(AND(ISNUMBER(E80),ISNUMBER(F80))),$J$2=""),"",MIN(100,ROUND(SUM($G80:J80),1)))</f>
        <v/>
      </c>
      <c r="BH80" s="1" t="str">
        <f aca="false">IF(OR(NOT(AND(ISNUMBER(E80),ISNUMBER(F80))),$J$2=""),"",MIN(100,ROUND(SUM($G80:K80),1)))</f>
        <v/>
      </c>
      <c r="BI80" s="1" t="str">
        <f aca="false">IF(OR(NOT(AND(ISNUMBER(E80),ISNUMBER(F80))),$J$2=""),"",MIN(100,ROUND(SUM($G80:L80),1)))</f>
        <v/>
      </c>
      <c r="BJ80" s="1" t="str">
        <f aca="false">IF(OR(NOT(AND(ISNUMBER(E80),ISNUMBER(F80))),$J$2=""),"",MIN(100,ROUND(SUM($G80:M80),1)))</f>
        <v/>
      </c>
      <c r="BK80" s="1" t="str">
        <f aca="false">IF(OR(NOT(AND(ISNUMBER(E80),ISNUMBER(F80))),$J$2=""),"",MIN(100,ROUND(SUM($G80:N80),1)))</f>
        <v/>
      </c>
      <c r="BL80" s="1" t="str">
        <f aca="false">IF(OR(NOT(AND(ISNUMBER(E80),ISNUMBER(F80))),$J$2=""),"",MIN(100,ROUND(SUM($G80:O80),1)))</f>
        <v/>
      </c>
      <c r="BM80" s="1" t="str">
        <f aca="false">IF(OR(NOT(AND(ISNUMBER(E80),ISNUMBER(F80))),$J$2=""),"",MIN(100,ROUND(SUM($G80:P80),1)))</f>
        <v/>
      </c>
      <c r="BN80" s="1" t="str">
        <f aca="false">IF(OR(NOT(AND(ISNUMBER(E80),ISNUMBER(F80))),$J$2=""),"",MIN(100,ROUND(SUM($G80:P80),1)))</f>
        <v/>
      </c>
      <c r="BO80" s="1" t="str">
        <f aca="false">IF(OR(NOT(AND(ISNUMBER(E80),ISNUMBER(F80))),$J$2=""),"",MIN(100,ROUND(SUM($G80:P80),1)))</f>
        <v/>
      </c>
      <c r="BP80" s="1" t="str">
        <f aca="false">IF(OR(NOT(AND(ISNUMBER(E80),ISNUMBER(F80))),$J$2=""),"",MIN(100,ROUND(SUM($G80:P80),1)))</f>
        <v/>
      </c>
      <c r="BQ80" s="1" t="str">
        <f aca="false">IF(OR(NOT(AND(ISNUMBER(E80),ISNUMBER(F80))),$J$2=""),"",MIN(100,ROUND(SUM($G80:P80),1)))</f>
        <v/>
      </c>
      <c r="BR80" s="1" t="str">
        <f aca="false">IF(OR(NOT(AND(ISNUMBER(E80),ISNUMBER(F80))),$J$2=""),"",MIN(100,ROUND(SUM($G80:P80),1)))</f>
        <v/>
      </c>
      <c r="BS80" s="1" t="str">
        <f aca="false">IF(OR(NOT(AND(ISNUMBER(E80),ISNUMBER(F80))),$J$2=""),"",MIN(100,ROUND(SUM($G80:P80),1)))</f>
        <v/>
      </c>
      <c r="BT80" s="1" t="str">
        <f aca="false">IF(OR(NOT(AND(ISNUMBER(E80),ISNUMBER(F80))),$J$2=""),"",IF(Reprogramaciones!K$13&lt;Reprogramaciones!$T$15,0,IF(Reprogramaciones!K$14&gt;10,MIN(100,SUM($G80:$P80)),MIN(100,SUMPRODUCT((COLUMN($G80:$P80)-COLUMN($G80)+1&lt;Reprogramaciones!K$14)*$G80:$P80)+N(INDEX($G80:$P80,1,Reprogramaciones!K$14))*IF(Reprogramaciones!K$13&gt;=(Reprogramaciones!$T$15+7*(Reprogramaciones!K$14-1))+6,1,IF(MAX(0,NETWORKDAYS.INTL(MAX(E80,(Reprogramaciones!$T$15+7*(Reprogramaciones!K$14-1))),MIN(F80,(Reprogramaciones!$T$15+7*(Reprogramaciones!K$14-1))+6),11))=0,0,MAX(0,NETWORKDAYS.INTL(MAX(E80,(Reprogramaciones!$T$15+7*(Reprogramaciones!K$14-1))),MIN(F80,Reprogramaciones!K$13),11))/MAX(0,NETWORKDAYS.INTL(MAX(E80,(Reprogramaciones!$T$15+7*(Reprogramaciones!K$14-1))),MIN(F80,(Reprogramaciones!$T$15+7*(Reprogramaciones!K$14-1))+6),11))))))))</f>
        <v/>
      </c>
      <c r="BU80" s="1" t="str">
        <f aca="false">IF(OR(NOT(AND(ISNUMBER(E80),ISNUMBER(F80))),$J$2=""),"",IF(Reprogramaciones!L$13&lt;Reprogramaciones!$T$15,0,IF(Reprogramaciones!L$14&gt;10,MIN(100,SUM($G80:$P80)),MIN(100,SUMPRODUCT((COLUMN($G80:$P80)-COLUMN($G80)+1&lt;Reprogramaciones!L$14)*$G80:$P80)+N(INDEX($G80:$P80,1,Reprogramaciones!L$14))*IF(Reprogramaciones!L$13&gt;=(Reprogramaciones!$T$15+7*(Reprogramaciones!L$14-1))+6,1,IF(MAX(0,NETWORKDAYS.INTL(MAX(E80,(Reprogramaciones!$T$15+7*(Reprogramaciones!L$14-1))),MIN(F80,(Reprogramaciones!$T$15+7*(Reprogramaciones!L$14-1))+6),11))=0,0,MAX(0,NETWORKDAYS.INTL(MAX(E80,(Reprogramaciones!$T$15+7*(Reprogramaciones!L$14-1))),MIN(F80,Reprogramaciones!L$13),11))/MAX(0,NETWORKDAYS.INTL(MAX(E80,(Reprogramaciones!$T$15+7*(Reprogramaciones!L$14-1))),MIN(F80,(Reprogramaciones!$T$15+7*(Reprogramaciones!L$14-1))+6),11))))))))</f>
        <v/>
      </c>
      <c r="BV80" s="1" t="str">
        <f aca="false">IF(OR(NOT(AND(ISNUMBER(E80),ISNUMBER(F80))),$J$2=""),"",IF(Reprogramaciones!M$13&lt;Reprogramaciones!$T$15,0,IF(Reprogramaciones!M$14&gt;10,MIN(100,SUM($G80:$P80)),MIN(100,SUMPRODUCT((COLUMN($G80:$P80)-COLUMN($G80)+1&lt;Reprogramaciones!M$14)*$G80:$P80)+N(INDEX($G80:$P80,1,Reprogramaciones!M$14))*IF(Reprogramaciones!M$13&gt;=(Reprogramaciones!$T$15+7*(Reprogramaciones!M$14-1))+6,1,IF(MAX(0,NETWORKDAYS.INTL(MAX(E80,(Reprogramaciones!$T$15+7*(Reprogramaciones!M$14-1))),MIN(F80,(Reprogramaciones!$T$15+7*(Reprogramaciones!M$14-1))+6),11))=0,0,MAX(0,NETWORKDAYS.INTL(MAX(E80,(Reprogramaciones!$T$15+7*(Reprogramaciones!M$14-1))),MIN(F80,Reprogramaciones!M$13),11))/MAX(0,NETWORKDAYS.INTL(MAX(E80,(Reprogramaciones!$T$15+7*(Reprogramaciones!M$14-1))),MIN(F80,(Reprogramaciones!$T$15+7*(Reprogramaciones!M$14-1))+6),11))))))))</f>
        <v/>
      </c>
      <c r="BW80" s="1" t="str">
        <f aca="false">IF(OR(NOT(AND(ISNUMBER(E80),ISNUMBER(F80))),$J$2=""),"",IF(Reprogramaciones!N$13&lt;Reprogramaciones!$T$15,0,IF(Reprogramaciones!N$14&gt;10,MIN(100,SUM($G80:$P80)),MIN(100,SUMPRODUCT((COLUMN($G80:$P80)-COLUMN($G80)+1&lt;Reprogramaciones!N$14)*$G80:$P80)+N(INDEX($G80:$P80,1,Reprogramaciones!N$14))*IF(Reprogramaciones!N$13&gt;=(Reprogramaciones!$T$15+7*(Reprogramaciones!N$14-1))+6,1,IF(MAX(0,NETWORKDAYS.INTL(MAX(E80,(Reprogramaciones!$T$15+7*(Reprogramaciones!N$14-1))),MIN(F80,(Reprogramaciones!$T$15+7*(Reprogramaciones!N$14-1))+6),11))=0,0,MAX(0,NETWORKDAYS.INTL(MAX(E80,(Reprogramaciones!$T$15+7*(Reprogramaciones!N$14-1))),MIN(F80,Reprogramaciones!N$13),11))/MAX(0,NETWORKDAYS.INTL(MAX(E80,(Reprogramaciones!$T$15+7*(Reprogramaciones!N$14-1))),MIN(F80,(Reprogramaciones!$T$15+7*(Reprogramaciones!N$14-1))+6),11))))))))</f>
        <v/>
      </c>
      <c r="BX80" s="1" t="str">
        <f aca="false">IF(OR(NOT(AND(ISNUMBER(E80),ISNUMBER(F80))),$J$2=""),"",IF(Reprogramaciones!O$13&lt;Reprogramaciones!$T$15,0,IF(Reprogramaciones!O$14&gt;10,MIN(100,SUM($G80:$P80)),MIN(100,SUMPRODUCT((COLUMN($G80:$P80)-COLUMN($G80)+1&lt;Reprogramaciones!O$14)*$G80:$P80)+N(INDEX($G80:$P80,1,Reprogramaciones!O$14))*IF(Reprogramaciones!O$13&gt;=(Reprogramaciones!$T$15+7*(Reprogramaciones!O$14-1))+6,1,IF(MAX(0,NETWORKDAYS.INTL(MAX(E80,(Reprogramaciones!$T$15+7*(Reprogramaciones!O$14-1))),MIN(F80,(Reprogramaciones!$T$15+7*(Reprogramaciones!O$14-1))+6),11))=0,0,MAX(0,NETWORKDAYS.INTL(MAX(E80,(Reprogramaciones!$T$15+7*(Reprogramaciones!O$14-1))),MIN(F80,Reprogramaciones!O$13),11))/MAX(0,NETWORKDAYS.INTL(MAX(E80,(Reprogramaciones!$T$15+7*(Reprogramaciones!O$14-1))),MIN(F80,(Reprogramaciones!$T$15+7*(Reprogramaciones!O$14-1))+6),11))))))))</f>
        <v/>
      </c>
      <c r="BY80" s="1" t="str">
        <f aca="false">IF(OR(NOT(AND(ISNUMBER(E80),ISNUMBER(F80))),$J$2=""),"",IF(Reprogramaciones!P$13&lt;Reprogramaciones!$T$15,0,IF(Reprogramaciones!P$14&gt;10,MIN(100,SUM($G80:$P80)),MIN(100,SUMPRODUCT((COLUMN($G80:$P80)-COLUMN($G80)+1&lt;Reprogramaciones!P$14)*$G80:$P80)+N(INDEX($G80:$P80,1,Reprogramaciones!P$14))*IF(Reprogramaciones!P$13&gt;=(Reprogramaciones!$T$15+7*(Reprogramaciones!P$14-1))+6,1,IF(MAX(0,NETWORKDAYS.INTL(MAX(E80,(Reprogramaciones!$T$15+7*(Reprogramaciones!P$14-1))),MIN(F80,(Reprogramaciones!$T$15+7*(Reprogramaciones!P$14-1))+6),11))=0,0,MAX(0,NETWORKDAYS.INTL(MAX(E80,(Reprogramaciones!$T$15+7*(Reprogramaciones!P$14-1))),MIN(F80,Reprogramaciones!P$13),11))/MAX(0,NETWORKDAYS.INTL(MAX(E80,(Reprogramaciones!$T$15+7*(Reprogramaciones!P$14-1))),MIN(F80,(Reprogramaciones!$T$15+7*(Reprogramaciones!P$14-1))+6),11))))))))</f>
        <v/>
      </c>
      <c r="BZ80" s="1" t="str">
        <f aca="false">IF(OR(NOT(AND(ISNUMBER(E80),ISNUMBER(F80))),$J$2=""),"",IF(Reprogramaciones!Q$13&lt;Reprogramaciones!$T$15,0,IF(Reprogramaciones!Q$14&gt;10,MIN(100,SUM($G80:$P80)),MIN(100,SUMPRODUCT((COLUMN($G80:$P80)-COLUMN($G80)+1&lt;Reprogramaciones!Q$14)*$G80:$P80)+N(INDEX($G80:$P80,1,Reprogramaciones!Q$14))*IF(Reprogramaciones!Q$13&gt;=(Reprogramaciones!$T$15+7*(Reprogramaciones!Q$14-1))+6,1,IF(MAX(0,NETWORKDAYS.INTL(MAX(E80,(Reprogramaciones!$T$15+7*(Reprogramaciones!Q$14-1))),MIN(F80,(Reprogramaciones!$T$15+7*(Reprogramaciones!Q$14-1))+6),11))=0,0,MAX(0,NETWORKDAYS.INTL(MAX(E80,(Reprogramaciones!$T$15+7*(Reprogramaciones!Q$14-1))),MIN(F80,Reprogramaciones!Q$13),11))/MAX(0,NETWORKDAYS.INTL(MAX(E80,(Reprogramaciones!$T$15+7*(Reprogramaciones!Q$14-1))),MIN(F80,(Reprogramaciones!$T$15+7*(Reprogramaciones!Q$14-1))+6),11))))))))</f>
        <v/>
      </c>
      <c r="CA80" s="1" t="str">
        <f aca="false">IF(OR(NOT(AND(ISNUMBER(E80),ISNUMBER(F80))),$J$2=""),"",IF(Reprogramaciones!R$13&lt;Reprogramaciones!$T$15,0,IF(Reprogramaciones!R$14&gt;10,MIN(100,SUM($G80:$P80)),MIN(100,SUMPRODUCT((COLUMN($G80:$P80)-COLUMN($G80)+1&lt;Reprogramaciones!R$14)*$G80:$P80)+N(INDEX($G80:$P80,1,Reprogramaciones!R$14))*IF(Reprogramaciones!R$13&gt;=(Reprogramaciones!$T$15+7*(Reprogramaciones!R$14-1))+6,1,IF(MAX(0,NETWORKDAYS.INTL(MAX(E80,(Reprogramaciones!$T$15+7*(Reprogramaciones!R$14-1))),MIN(F80,(Reprogramaciones!$T$15+7*(Reprogramaciones!R$14-1))+6),11))=0,0,MAX(0,NETWORKDAYS.INTL(MAX(E80,(Reprogramaciones!$T$15+7*(Reprogramaciones!R$14-1))),MIN(F80,Reprogramaciones!R$13),11))/MAX(0,NETWORKDAYS.INTL(MAX(E80,(Reprogramaciones!$T$15+7*(Reprogramaciones!R$14-1))),MIN(F80,(Reprogramaciones!$T$15+7*(Reprogramaciones!R$14-1))+6),11))))))))</f>
        <v/>
      </c>
      <c r="CB80" s="1" t="str">
        <f aca="false">IF(OR(NOT(AND(ISNUMBER(E80),ISNUMBER(F80))),$J$2=""),"",IF(Reprogramaciones!S$13&lt;Reprogramaciones!$T$15,0,IF(Reprogramaciones!S$14&gt;10,MIN(100,SUM($G80:$P80)),MIN(100,SUMPRODUCT((COLUMN($G80:$P80)-COLUMN($G80)+1&lt;Reprogramaciones!S$14)*$G80:$P80)+N(INDEX($G80:$P80,1,Reprogramaciones!S$14))*IF(Reprogramaciones!S$13&gt;=(Reprogramaciones!$T$15+7*(Reprogramaciones!S$14-1))+6,1,IF(MAX(0,NETWORKDAYS.INTL(MAX(E80,(Reprogramaciones!$T$15+7*(Reprogramaciones!S$14-1))),MIN(F80,(Reprogramaciones!$T$15+7*(Reprogramaciones!S$14-1))+6),11))=0,0,MAX(0,NETWORKDAYS.INTL(MAX(E80,(Reprogramaciones!$T$15+7*(Reprogramaciones!S$14-1))),MIN(F80,Reprogramaciones!S$13),11))/MAX(0,NETWORKDAYS.INTL(MAX(E80,(Reprogramaciones!$T$15+7*(Reprogramaciones!S$14-1))),MIN(F80,(Reprogramaciones!$T$15+7*(Reprogramaciones!S$14-1))+6),11))))))))</f>
        <v/>
      </c>
      <c r="CC80" s="1" t="str">
        <f aca="false">IF(OR(NOT(AND(ISNUMBER(E80),ISNUMBER(F80))),$J$2=""),"",IF(Reprogramaciones!T$13&lt;Reprogramaciones!$T$15,0,IF(Reprogramaciones!T$14&gt;10,MIN(100,SUM($G80:$P80)),MIN(100,SUMPRODUCT((COLUMN($G80:$P80)-COLUMN($G80)+1&lt;Reprogramaciones!T$14)*$G80:$P80)+N(INDEX($G80:$P80,1,Reprogramaciones!T$14))*IF(Reprogramaciones!T$13&gt;=(Reprogramaciones!$T$15+7*(Reprogramaciones!T$14-1))+6,1,IF(MAX(0,NETWORKDAYS.INTL(MAX(E80,(Reprogramaciones!$T$15+7*(Reprogramaciones!T$14-1))),MIN(F80,(Reprogramaciones!$T$15+7*(Reprogramaciones!T$14-1))+6),11))=0,0,MAX(0,NETWORKDAYS.INTL(MAX(E80,(Reprogramaciones!$T$15+7*(Reprogramaciones!T$14-1))),MIN(F80,Reprogramaciones!T$13),11))/MAX(0,NETWORKDAYS.INTL(MAX(E80,(Reprogramaciones!$T$15+7*(Reprogramaciones!T$14-1))),MIN(F80,(Reprogramaciones!$T$15+7*(Reprogramaciones!T$14-1))+6),11))))))))</f>
        <v/>
      </c>
      <c r="CD80" s="1" t="str">
        <f aca="false">IF(OR(NOT(AND(ISNUMBER(E80),ISNUMBER(F80))),$J$2=""),"",IF(Reprogramaciones!U$13&lt;Reprogramaciones!$T$15,0,IF(Reprogramaciones!U$14&gt;10,MIN(100,SUM($G80:$P80)),MIN(100,SUMPRODUCT((COLUMN($G80:$P80)-COLUMN($G80)+1&lt;Reprogramaciones!U$14)*$G80:$P80)+N(INDEX($G80:$P80,1,Reprogramaciones!U$14))*IF(Reprogramaciones!U$13&gt;=(Reprogramaciones!$T$15+7*(Reprogramaciones!U$14-1))+6,1,IF(MAX(0,NETWORKDAYS.INTL(MAX(E80,(Reprogramaciones!$T$15+7*(Reprogramaciones!U$14-1))),MIN(F80,(Reprogramaciones!$T$15+7*(Reprogramaciones!U$14-1))+6),11))=0,0,MAX(0,NETWORKDAYS.INTL(MAX(E80,(Reprogramaciones!$T$15+7*(Reprogramaciones!U$14-1))),MIN(F80,Reprogramaciones!U$13),11))/MAX(0,NETWORKDAYS.INTL(MAX(E80,(Reprogramaciones!$T$15+7*(Reprogramaciones!U$14-1))),MIN(F80,(Reprogramaciones!$T$15+7*(Reprogramaciones!U$14-1))+6),11))))))))</f>
        <v/>
      </c>
      <c r="CE80" s="1" t="str">
        <f aca="false">IF(OR(NOT(AND(ISNUMBER(E80),ISNUMBER(F80))),$J$2=""),"",IF(Reprogramaciones!V$13&lt;Reprogramaciones!$T$15,0,IF(Reprogramaciones!V$14&gt;10,MIN(100,SUM($G80:$P80)),MIN(100,SUMPRODUCT((COLUMN($G80:$P80)-COLUMN($G80)+1&lt;Reprogramaciones!V$14)*$G80:$P80)+N(INDEX($G80:$P80,1,Reprogramaciones!V$14))*IF(Reprogramaciones!V$13&gt;=(Reprogramaciones!$T$15+7*(Reprogramaciones!V$14-1))+6,1,IF(MAX(0,NETWORKDAYS.INTL(MAX(E80,(Reprogramaciones!$T$15+7*(Reprogramaciones!V$14-1))),MIN(F80,(Reprogramaciones!$T$15+7*(Reprogramaciones!V$14-1))+6),11))=0,0,MAX(0,NETWORKDAYS.INTL(MAX(E80,(Reprogramaciones!$T$15+7*(Reprogramaciones!V$14-1))),MIN(F80,Reprogramaciones!V$13),11))/MAX(0,NETWORKDAYS.INTL(MAX(E80,(Reprogramaciones!$T$15+7*(Reprogramaciones!V$14-1))),MIN(F80,(Reprogramaciones!$T$15+7*(Reprogramaciones!V$14-1))+6),11))))))))</f>
        <v/>
      </c>
      <c r="CF80" s="1" t="str">
        <f aca="false">IF(OR(NOT(AND(ISNUMBER(E80),ISNUMBER(F80))),$J$2=""),"",IF(Reprogramaciones!W$13&lt;Reprogramaciones!$T$15,0,IF(Reprogramaciones!W$14&gt;10,MIN(100,SUM($G80:$P80)),MIN(100,SUMPRODUCT((COLUMN($G80:$P80)-COLUMN($G80)+1&lt;Reprogramaciones!W$14)*$G80:$P80)+N(INDEX($G80:$P80,1,Reprogramaciones!W$14))*IF(Reprogramaciones!W$13&gt;=(Reprogramaciones!$T$15+7*(Reprogramaciones!W$14-1))+6,1,IF(MAX(0,NETWORKDAYS.INTL(MAX(E80,(Reprogramaciones!$T$15+7*(Reprogramaciones!W$14-1))),MIN(F80,(Reprogramaciones!$T$15+7*(Reprogramaciones!W$14-1))+6),11))=0,0,MAX(0,NETWORKDAYS.INTL(MAX(E80,(Reprogramaciones!$T$15+7*(Reprogramaciones!W$14-1))),MIN(F80,Reprogramaciones!W$13),11))/MAX(0,NETWORKDAYS.INTL(MAX(E80,(Reprogramaciones!$T$15+7*(Reprogramaciones!W$14-1))),MIN(F80,(Reprogramaciones!$T$15+7*(Reprogramaciones!W$14-1))+6),11))))))))</f>
        <v/>
      </c>
      <c r="CG80" s="1" t="str">
        <f aca="false">IF(OR(NOT(AND(ISNUMBER(E80),ISNUMBER(F80))),$J$2=""),"",IF(Reprogramaciones!X$13&lt;Reprogramaciones!$T$15,0,IF(Reprogramaciones!X$14&gt;10,MIN(100,SUM($G80:$P80)),MIN(100,SUMPRODUCT((COLUMN($G80:$P80)-COLUMN($G80)+1&lt;Reprogramaciones!X$14)*$G80:$P80)+N(INDEX($G80:$P80,1,Reprogramaciones!X$14))*IF(Reprogramaciones!X$13&gt;=(Reprogramaciones!$T$15+7*(Reprogramaciones!X$14-1))+6,1,IF(MAX(0,NETWORKDAYS.INTL(MAX(E80,(Reprogramaciones!$T$15+7*(Reprogramaciones!X$14-1))),MIN(F80,(Reprogramaciones!$T$15+7*(Reprogramaciones!X$14-1))+6),11))=0,0,MAX(0,NETWORKDAYS.INTL(MAX(E80,(Reprogramaciones!$T$15+7*(Reprogramaciones!X$14-1))),MIN(F80,Reprogramaciones!X$13),11))/MAX(0,NETWORKDAYS.INTL(MAX(E80,(Reprogramaciones!$T$15+7*(Reprogramaciones!X$14-1))),MIN(F80,(Reprogramaciones!$T$15+7*(Reprogramaciones!X$14-1))+6),11))))))))</f>
        <v/>
      </c>
      <c r="CH80" s="1" t="str">
        <f aca="false">IF(OR(NOT(AND(ISNUMBER(E80),ISNUMBER(F80))),$J$2=""),"",IF(Reprogramaciones!Y$13&lt;Reprogramaciones!$T$15,0,IF(Reprogramaciones!Y$14&gt;10,MIN(100,SUM($G80:$P80)),MIN(100,SUMPRODUCT((COLUMN($G80:$P80)-COLUMN($G80)+1&lt;Reprogramaciones!Y$14)*$G80:$P80)+N(INDEX($G80:$P80,1,Reprogramaciones!Y$14))*IF(Reprogramaciones!Y$13&gt;=(Reprogramaciones!$T$15+7*(Reprogramaciones!Y$14-1))+6,1,IF(MAX(0,NETWORKDAYS.INTL(MAX(E80,(Reprogramaciones!$T$15+7*(Reprogramaciones!Y$14-1))),MIN(F80,(Reprogramaciones!$T$15+7*(Reprogramaciones!Y$14-1))+6),11))=0,0,MAX(0,NETWORKDAYS.INTL(MAX(E80,(Reprogramaciones!$T$15+7*(Reprogramaciones!Y$14-1))),MIN(F80,Reprogramaciones!Y$13),11))/MAX(0,NETWORKDAYS.INTL(MAX(E80,(Reprogramaciones!$T$15+7*(Reprogramaciones!Y$14-1))),MIN(F80,(Reprogramaciones!$T$15+7*(Reprogramaciones!Y$14-1))+6),11))))))))</f>
        <v/>
      </c>
      <c r="CI80" s="1" t="str">
        <f aca="false">IF(OR(NOT(AND(ISNUMBER(E80),ISNUMBER(F80))),$J$2=""),"",IF(Reprogramaciones!Z$13&lt;Reprogramaciones!$T$15,0,IF(Reprogramaciones!Z$14&gt;10,MIN(100,SUM($G80:$P80)),MIN(100,SUMPRODUCT((COLUMN($G80:$P80)-COLUMN($G80)+1&lt;Reprogramaciones!Z$14)*$G80:$P80)+N(INDEX($G80:$P80,1,Reprogramaciones!Z$14))*IF(Reprogramaciones!Z$13&gt;=(Reprogramaciones!$T$15+7*(Reprogramaciones!Z$14-1))+6,1,IF(MAX(0,NETWORKDAYS.INTL(MAX(E80,(Reprogramaciones!$T$15+7*(Reprogramaciones!Z$14-1))),MIN(F80,(Reprogramaciones!$T$15+7*(Reprogramaciones!Z$14-1))+6),11))=0,0,MAX(0,NETWORKDAYS.INTL(MAX(E80,(Reprogramaciones!$T$15+7*(Reprogramaciones!Z$14-1))),MIN(F80,Reprogramaciones!Z$13),11))/MAX(0,NETWORKDAYS.INTL(MAX(E80,(Reprogramaciones!$T$15+7*(Reprogramaciones!Z$14-1))),MIN(F80,(Reprogramaciones!$T$15+7*(Reprogramaciones!Z$14-1))+6),11))))))))</f>
        <v/>
      </c>
      <c r="CJ80" s="1" t="str">
        <f aca="false">IF(OR(OR(NOT(AND(ISNUMBER(E80),ISNUMBER(F80))),$J$2=""),1&gt;Reprogramaciones!$K$16),"",IF(ROUND(SUM($Q80:Q80),1)&gt;=99.5,100,MIN(100,ROUND(SUM($Q80:Q80),1))))</f>
        <v/>
      </c>
      <c r="CK80" s="1" t="str">
        <f aca="false">IF(OR(OR(NOT(AND(ISNUMBER(E80),ISNUMBER(F80))),$J$2=""),2&gt;Reprogramaciones!$K$16),"",IF(ROUND(SUM($Q80:R80),1)&gt;=99.5,100,MIN(100,ROUND(SUM($Q80:R80),1))))</f>
        <v/>
      </c>
      <c r="CL80" s="1" t="str">
        <f aca="false">IF(OR(OR(NOT(AND(ISNUMBER(E80),ISNUMBER(F80))),$J$2=""),3&gt;Reprogramaciones!$K$16),"",IF(ROUND(SUM($Q80:S80),1)&gt;=99.5,100,MIN(100,ROUND(SUM($Q80:S80),1))))</f>
        <v/>
      </c>
      <c r="CM80" s="1" t="str">
        <f aca="false">IF(OR(OR(NOT(AND(ISNUMBER(E80),ISNUMBER(F80))),$J$2=""),4&gt;Reprogramaciones!$K$16),"",IF(ROUND(SUM($Q80:T80),1)&gt;=99.5,100,MIN(100,ROUND(SUM($Q80:T80),1))))</f>
        <v/>
      </c>
      <c r="CN80" s="1" t="str">
        <f aca="false">IF(OR(OR(NOT(AND(ISNUMBER(E80),ISNUMBER(F80))),$J$2=""),5&gt;Reprogramaciones!$K$16),"",IF(ROUND(SUM($Q80:U80),1)&gt;=99.5,100,MIN(100,ROUND(SUM($Q80:U80),1))))</f>
        <v/>
      </c>
      <c r="CO80" s="1" t="str">
        <f aca="false">IF(OR(OR(NOT(AND(ISNUMBER(E80),ISNUMBER(F80))),$J$2=""),6&gt;Reprogramaciones!$K$16),"",IF(ROUND(SUM($Q80:V80),1)&gt;=99.5,100,MIN(100,ROUND(SUM($Q80:V80),1))))</f>
        <v/>
      </c>
      <c r="CP80" s="1" t="str">
        <f aca="false">IF(OR(OR(NOT(AND(ISNUMBER(E80),ISNUMBER(F80))),$J$2=""),7&gt;Reprogramaciones!$K$16),"",IF(ROUND(SUM($Q80:W80),1)&gt;=99.5,100,MIN(100,ROUND(SUM($Q80:W80),1))))</f>
        <v/>
      </c>
      <c r="CQ80" s="1" t="str">
        <f aca="false">IF(OR(OR(NOT(AND(ISNUMBER(E80),ISNUMBER(F80))),$J$2=""),8&gt;Reprogramaciones!$K$16),"",IF(ROUND(SUM($Q80:X80),1)&gt;=99.5,100,MIN(100,ROUND(SUM($Q80:X80),1))))</f>
        <v/>
      </c>
      <c r="CR80" s="1" t="str">
        <f aca="false">IF(OR(OR(NOT(AND(ISNUMBER(E80),ISNUMBER(F80))),$J$2=""),9&gt;Reprogramaciones!$K$16),"",IF(ROUND(SUM($Q80:Y80),1)&gt;=99.5,100,MIN(100,ROUND(SUM($Q80:Y80),1))))</f>
        <v/>
      </c>
      <c r="CS80" s="1" t="str">
        <f aca="false">IF(OR(OR(NOT(AND(ISNUMBER(E80),ISNUMBER(F80))),$J$2=""),10&gt;Reprogramaciones!$K$16),"",IF(ROUND(SUM($Q80:Z80),1)&gt;=99.5,100,MIN(100,ROUND(SUM($Q80:Z80),1))))</f>
        <v/>
      </c>
      <c r="CT80" s="1" t="str">
        <f aca="false">IF(OR(OR(NOT(AND(ISNUMBER(E80),ISNUMBER(F80))),$J$2=""),11&gt;Reprogramaciones!$K$16),"",IF(ROUND(SUM($Q80:AA80),1)&gt;=99.5,100,MIN(100,ROUND(SUM($Q80:AA80),1))))</f>
        <v/>
      </c>
      <c r="CU80" s="1" t="str">
        <f aca="false">IF(OR(OR(NOT(AND(ISNUMBER(E80),ISNUMBER(F80))),$J$2=""),12&gt;Reprogramaciones!$K$16),"",IF(ROUND(SUM($Q80:AB80),1)&gt;=99.5,100,MIN(100,ROUND(SUM($Q80:AB80),1))))</f>
        <v/>
      </c>
      <c r="CV80" s="1" t="str">
        <f aca="false">IF(OR(OR(NOT(AND(ISNUMBER(E80),ISNUMBER(F80))),$J$2=""),13&gt;Reprogramaciones!$K$16),"",IF(ROUND(SUM($Q80:AC80),1)&gt;=99.5,100,MIN(100,ROUND(SUM($Q80:AC80),1))))</f>
        <v/>
      </c>
      <c r="CW80" s="1" t="str">
        <f aca="false">IF(OR(OR(NOT(AND(ISNUMBER(E80),ISNUMBER(F80))),$J$2=""),14&gt;Reprogramaciones!$K$16),"",IF(ROUND(SUM($Q80:AD80),1)&gt;=99.5,100,MIN(100,ROUND(SUM($Q80:AD80),1))))</f>
        <v/>
      </c>
      <c r="CX80" s="1" t="str">
        <f aca="false">IF(OR(OR(NOT(AND(ISNUMBER(E80),ISNUMBER(F80))),$J$2=""),15&gt;Reprogramaciones!$K$16),"",IF(ROUND(SUM($Q80:AE80),1)&gt;=99.5,100,MIN(100,ROUND(SUM($Q80:AE80),1))))</f>
        <v/>
      </c>
      <c r="CY80" s="1" t="str">
        <f aca="false">IF(OR(OR(NOT(AND(ISNUMBER(E80),ISNUMBER(F80))),$J$2=""),16&gt;Reprogramaciones!$K$16),"",IF(ROUND(SUM($Q80:AF80),1)&gt;=99.5,100,MIN(100,ROUND(SUM($Q80:AF80),1))))</f>
        <v/>
      </c>
      <c r="CZ80" s="1" t="str">
        <f aca="false">IF(D80&lt;&gt;"",D80,IF(B80&lt;&gt;"","Contractual",CZ79))</f>
        <v>Contractual</v>
      </c>
      <c r="DA80" s="1" t="str">
        <f aca="false">IF(OR(NOT(AND(ISNUMBER(E80),ISNUMBER(F80))),$J$2=""),"",IF(Reprogramaciones!$Q$15&lt;Reprogramaciones!$T$15,0,IF(Reprogramaciones!$S$15&gt;10,MIN(100,SUM($G80:$P80)),MIN(100,SUMPRODUCT((COLUMN($G80:$P80)-COLUMN($G80)+1&lt;Reprogramaciones!$S$15)*$G80:$P80)+N(INDEX($G80:$P80,1,Reprogramaciones!$S$15))*IF(Reprogramaciones!$Q$15&gt;=(Reprogramaciones!$T$15+7*(Reprogramaciones!$S$15-1))+6,1,IF(MAX(0,NETWORKDAYS.INTL(MAX(E80,(Reprogramaciones!$T$15+7*(Reprogramaciones!$S$15-1))),MIN(F80,(Reprogramaciones!$T$15+7*(Reprogramaciones!$S$15-1))+6),11))=0,0,MAX(0,NETWORKDAYS.INTL(MAX(E80,(Reprogramaciones!$T$15+7*(Reprogramaciones!$S$15-1))),MIN(F80,Reprogramaciones!$Q$15),11))/MAX(0,NETWORKDAYS.INTL(MAX(E80,(Reprogramaciones!$T$15+7*(Reprogramaciones!$S$15-1))),MIN(F80,(Reprogramaciones!$T$15+7*(Reprogramaciones!$S$15-1))+6),11))))))))</f>
        <v/>
      </c>
    </row>
    <row r="81" customFormat="false" ht="15" hidden="false" customHeight="false" outlineLevel="0" collapsed="false">
      <c r="A81" s="32"/>
      <c r="B81" s="33"/>
      <c r="C81" s="33"/>
      <c r="D81" s="34"/>
      <c r="E81" s="35"/>
      <c r="F81" s="35"/>
      <c r="G81" s="36" t="str">
        <f aca="false">IF(OR(NOT(AND(ISNUMBER(E81),ISNUMBER(F81))),$J$2=""),"",IF(Reprogramaciones!K$9&lt;E81,0,IF(NETWORKDAYS.INTL(E81,F81,11)=0,IF(Reprogramaciones!K$9&gt;=F81,100,0),ROUND(NETWORKDAYS.INTL(E81,MIN(F81,Reprogramaciones!K$9),11)/NETWORKDAYS.INTL(E81,F81,11)*100,1)))-0)</f>
        <v/>
      </c>
      <c r="H81" s="36" t="str">
        <f aca="false">IF(OR(NOT(AND(ISNUMBER(E81),ISNUMBER(F81))),$J$2=""),"",IF(Reprogramaciones!L$9&lt;E81,0,IF(NETWORKDAYS.INTL(E81,F81,11)=0,IF(Reprogramaciones!L$9&gt;=F81,100,0),ROUND(NETWORKDAYS.INTL(E81,MIN(F81,Reprogramaciones!L$9),11)/NETWORKDAYS.INTL(E81,F81,11)*100,1)))-IF(Reprogramaciones!K$9&lt;E81,0,IF(NETWORKDAYS.INTL(E81,F81,11)=0,IF(Reprogramaciones!K$9&gt;=F81,100,0),ROUND(NETWORKDAYS.INTL(E81,MIN(F81,Reprogramaciones!K$9),11)/NETWORKDAYS.INTL(E81,F81,11)*100,1))))</f>
        <v/>
      </c>
      <c r="I81" s="36" t="str">
        <f aca="false">IF(OR(NOT(AND(ISNUMBER(E81),ISNUMBER(F81))),$J$2=""),"",IF(Reprogramaciones!M$9&lt;E81,0,IF(NETWORKDAYS.INTL(E81,F81,11)=0,IF(Reprogramaciones!M$9&gt;=F81,100,0),ROUND(NETWORKDAYS.INTL(E81,MIN(F81,Reprogramaciones!M$9),11)/NETWORKDAYS.INTL(E81,F81,11)*100,1)))-IF(Reprogramaciones!L$9&lt;E81,0,IF(NETWORKDAYS.INTL(E81,F81,11)=0,IF(Reprogramaciones!L$9&gt;=F81,100,0),ROUND(NETWORKDAYS.INTL(E81,MIN(F81,Reprogramaciones!L$9),11)/NETWORKDAYS.INTL(E81,F81,11)*100,1))))</f>
        <v/>
      </c>
      <c r="J81" s="36" t="str">
        <f aca="false">IF(OR(NOT(AND(ISNUMBER(E81),ISNUMBER(F81))),$J$2=""),"",IF(Reprogramaciones!N$9&lt;E81,0,IF(NETWORKDAYS.INTL(E81,F81,11)=0,IF(Reprogramaciones!N$9&gt;=F81,100,0),ROUND(NETWORKDAYS.INTL(E81,MIN(F81,Reprogramaciones!N$9),11)/NETWORKDAYS.INTL(E81,F81,11)*100,1)))-IF(Reprogramaciones!M$9&lt;E81,0,IF(NETWORKDAYS.INTL(E81,F81,11)=0,IF(Reprogramaciones!M$9&gt;=F81,100,0),ROUND(NETWORKDAYS.INTL(E81,MIN(F81,Reprogramaciones!M$9),11)/NETWORKDAYS.INTL(E81,F81,11)*100,1))))</f>
        <v/>
      </c>
      <c r="K81" s="36" t="str">
        <f aca="false">IF(OR(NOT(AND(ISNUMBER(E81),ISNUMBER(F81))),$J$2=""),"",IF(Reprogramaciones!O$9&lt;E81,0,IF(NETWORKDAYS.INTL(E81,F81,11)=0,IF(Reprogramaciones!O$9&gt;=F81,100,0),ROUND(NETWORKDAYS.INTL(E81,MIN(F81,Reprogramaciones!O$9),11)/NETWORKDAYS.INTL(E81,F81,11)*100,1)))-IF(Reprogramaciones!N$9&lt;E81,0,IF(NETWORKDAYS.INTL(E81,F81,11)=0,IF(Reprogramaciones!N$9&gt;=F81,100,0),ROUND(NETWORKDAYS.INTL(E81,MIN(F81,Reprogramaciones!N$9),11)/NETWORKDAYS.INTL(E81,F81,11)*100,1))))</f>
        <v/>
      </c>
      <c r="L81" s="36" t="str">
        <f aca="false">IF(OR(NOT(AND(ISNUMBER(E81),ISNUMBER(F81))),$J$2=""),"",IF(Reprogramaciones!P$9&lt;E81,0,IF(NETWORKDAYS.INTL(E81,F81,11)=0,IF(Reprogramaciones!P$9&gt;=F81,100,0),ROUND(NETWORKDAYS.INTL(E81,MIN(F81,Reprogramaciones!P$9),11)/NETWORKDAYS.INTL(E81,F81,11)*100,1)))-IF(Reprogramaciones!O$9&lt;E81,0,IF(NETWORKDAYS.INTL(E81,F81,11)=0,IF(Reprogramaciones!O$9&gt;=F81,100,0),ROUND(NETWORKDAYS.INTL(E81,MIN(F81,Reprogramaciones!O$9),11)/NETWORKDAYS.INTL(E81,F81,11)*100,1))))</f>
        <v/>
      </c>
      <c r="M81" s="36" t="str">
        <f aca="false">IF(OR(NOT(AND(ISNUMBER(E81),ISNUMBER(F81))),$J$2=""),"",IF(Reprogramaciones!Q$9&lt;E81,0,IF(NETWORKDAYS.INTL(E81,F81,11)=0,IF(Reprogramaciones!Q$9&gt;=F81,100,0),ROUND(NETWORKDAYS.INTL(E81,MIN(F81,Reprogramaciones!Q$9),11)/NETWORKDAYS.INTL(E81,F81,11)*100,1)))-IF(Reprogramaciones!P$9&lt;E81,0,IF(NETWORKDAYS.INTL(E81,F81,11)=0,IF(Reprogramaciones!P$9&gt;=F81,100,0),ROUND(NETWORKDAYS.INTL(E81,MIN(F81,Reprogramaciones!P$9),11)/NETWORKDAYS.INTL(E81,F81,11)*100,1))))</f>
        <v/>
      </c>
      <c r="N81" s="36" t="str">
        <f aca="false">IF(OR(NOT(AND(ISNUMBER(E81),ISNUMBER(F81))),$J$2=""),"",IF(Reprogramaciones!R$9&lt;E81,0,IF(NETWORKDAYS.INTL(E81,F81,11)=0,IF(Reprogramaciones!R$9&gt;=F81,100,0),ROUND(NETWORKDAYS.INTL(E81,MIN(F81,Reprogramaciones!R$9),11)/NETWORKDAYS.INTL(E81,F81,11)*100,1)))-IF(Reprogramaciones!Q$9&lt;E81,0,IF(NETWORKDAYS.INTL(E81,F81,11)=0,IF(Reprogramaciones!Q$9&gt;=F81,100,0),ROUND(NETWORKDAYS.INTL(E81,MIN(F81,Reprogramaciones!Q$9),11)/NETWORKDAYS.INTL(E81,F81,11)*100,1))))</f>
        <v/>
      </c>
      <c r="O81" s="36" t="str">
        <f aca="false">IF(OR(NOT(AND(ISNUMBER(E81),ISNUMBER(F81))),$J$2=""),"",IF(Reprogramaciones!S$9&lt;E81,0,IF(NETWORKDAYS.INTL(E81,F81,11)=0,IF(Reprogramaciones!S$9&gt;=F81,100,0),ROUND(NETWORKDAYS.INTL(E81,MIN(F81,Reprogramaciones!S$9),11)/NETWORKDAYS.INTL(E81,F81,11)*100,1)))-IF(Reprogramaciones!R$9&lt;E81,0,IF(NETWORKDAYS.INTL(E81,F81,11)=0,IF(Reprogramaciones!R$9&gt;=F81,100,0),ROUND(NETWORKDAYS.INTL(E81,MIN(F81,Reprogramaciones!R$9),11)/NETWORKDAYS.INTL(E81,F81,11)*100,1))))</f>
        <v/>
      </c>
      <c r="P81" s="36" t="str">
        <f aca="false">IF(OR(NOT(AND(ISNUMBER(E81),ISNUMBER(F81))),$J$2=""),"",IF(Reprogramaciones!T$9&lt;E81,0,IF(NETWORKDAYS.INTL(E81,F81,11)=0,IF(Reprogramaciones!T$9&gt;=F81,100,0),ROUND(NETWORKDAYS.INTL(E81,MIN(F81,Reprogramaciones!T$9),11)/NETWORKDAYS.INTL(E81,F81,11)*100,1)))-IF(Reprogramaciones!S$9&lt;E81,0,IF(NETWORKDAYS.INTL(E81,F81,11)=0,IF(Reprogramaciones!S$9&gt;=F81,100,0),ROUND(NETWORKDAYS.INTL(E81,MIN(F81,Reprogramaciones!S$9),11)/NETWORKDAYS.INTL(E81,F81,11)*100,1))))</f>
        <v/>
      </c>
      <c r="Q81" s="37"/>
      <c r="R81" s="37"/>
      <c r="S81" s="37"/>
      <c r="T81" s="37"/>
      <c r="U81" s="37"/>
      <c r="V81" s="37"/>
      <c r="W81" s="37"/>
      <c r="X81" s="37"/>
      <c r="Y81" s="37"/>
      <c r="Z81" s="37"/>
      <c r="AA81" s="37"/>
      <c r="AB81" s="37"/>
      <c r="AC81" s="37"/>
      <c r="AD81" s="37"/>
      <c r="AE81" s="37"/>
      <c r="AF81" s="37"/>
      <c r="AG81" s="38" t="str">
        <f aca="false">IF(AND(ISNUMBER(E81),ISNUMBER(F81)),NETWORKDAYS.INTL(E81,F81,11),"")</f>
        <v/>
      </c>
      <c r="AH81" s="38" t="str">
        <f aca="false">IF(OR(NOT(AND(ISNUMBER(E81),ISNUMBER(F81))),$J$2=""),"",IF(Reprogramaciones!$P$15&lt;Reprogramaciones!$T$15,0,IF(Reprogramaciones!$R$15&gt;10,MIN(100,SUM($G81:$P81)),MIN(100,SUMPRODUCT((COLUMN($G81:$P81)-COLUMN($G81)+1&lt;Reprogramaciones!$R$15)*$G81:$P81)+N(INDEX($G81:$P81,1,Reprogramaciones!$R$15))*IF(Reprogramaciones!$P$15&gt;=(Reprogramaciones!$T$15+7*(Reprogramaciones!$R$15-1))+6,1,IF(MAX(0,NETWORKDAYS.INTL(MAX(E81,(Reprogramaciones!$T$15+7*(Reprogramaciones!$R$15-1))),MIN(F81,(Reprogramaciones!$T$15+7*(Reprogramaciones!$R$15-1))+6),11))=0,0,MAX(0,NETWORKDAYS.INTL(MAX(E81,(Reprogramaciones!$T$15+7*(Reprogramaciones!$R$15-1))),MIN(F81,Reprogramaciones!$P$15),11))/MAX(0,NETWORKDAYS.INTL(MAX(E81,(Reprogramaciones!$T$15+7*(Reprogramaciones!$R$15-1))),MIN(F81,(Reprogramaciones!$T$15+7*(Reprogramaciones!$R$15-1))+6),11))))))))</f>
        <v/>
      </c>
      <c r="AI81" s="38" t="str">
        <f aca="false">IF(COUNT($Q81:$AF81)=0,"",IF(ROUND(SUM($Q81:$AF81),1)&gt;=99.5,100,MIN(100,ROUND(SUM($Q81:$AF81),1))))</f>
        <v/>
      </c>
      <c r="AJ81" s="38" t="str">
        <f aca="false">IF(OR(AH81="",AI81=""),"",AI81-AH81)</f>
        <v/>
      </c>
      <c r="AK81" s="39" t="str">
        <f aca="true">IF(AH81="","",IF(OR(Ficha!$C$10="Suspendida",Ficha!$C$10="Cancelada"),Ficha!$C$10,IF(AND(AI81&lt;&gt;"",N(AI81)&gt;=100),"Completada",IF(AND(E81&gt;TODAY(),N(AI81)=0),"Por iniciar",IF(N(AI81)+0.5&lt;AH81,"Retrasada",IF(N(AI81)+0.5&lt;DA81,IF(Reprogramaciones!$K$15&gt;0,"Al día · Sem "&amp;Reprogramaciones!$K$15&amp;" en curso","Al día · en curso"),"A tiempo"))))))</f>
        <v/>
      </c>
      <c r="AL81" s="39" t="str">
        <f aca="true">IF(AND(A81="",AND(B81="",C81="",E81="",F81="",COUNT(Q81:AF81)=0)),"",IF(AND(B81="",C81="",E81="",F81="",COUNT(Q81:AF81)=0),"Falta la partida o subpartida",IF(AND(A81&lt;&gt;"",COUNTIF($A$6:$A$305,A81)&gt;1),"Ítem repetido",IF(AND(C81="",E81="",F81="",COUNT(Q81:AF81)=0),"Título de partida",IF(OR(E81="",F81=""),"Faltan fechas",IF(OR(ISTEXT(E81),ISTEXT(F81)),"Fecha escrita como texto: usa dd/mm/aaaa",IF(F81&lt;E81,"Fin antes del inicio",IF(IF($J$2="",FALSE(),OR(E81&lt;$J$2,F81&gt;Reprogramaciones!$T$15+69)),"Fuera de las 10 semanas",IF(ABS(SUM(G81:P81)-100)&gt;0.5,"La meta no suma 100%",IF(ROUND(SUM(Q81:AF81),1)&gt;100.5,"El avance pasa de 100%",IF(MIN(Q81:AF81)&lt;0,"Avance negativo",IF(COUNTA(Q81:AF81)&gt;COUNT(Q81:AF81),"Avance escrito como texto",IF(SUMPRODUCT((Q81:AF81&gt;0)*(Q81:AF81&lt;1))&gt;0,"Avance menor a 1: escribe 50, no 50%",IF(SUMPRODUCT(ISNUMBER(Q81:AF81)*(Reprogramaciones!$K$8:$Z$8&gt;TODAY()))&gt;0,"Avance en semana que aún no llega",IF(AND(N(Reprogramaciones!$E$21)&gt;0,F81&gt;Reprogramaciones!$E$21),"Pasa el fin de la obra: registra una reprogramación",IF(AND(N(Reprogramaciones!$E$21)&gt;0,SUMPRODUCT(ISNUMBER(Q81:AF81)*(Reprogramaciones!$K$8:$Z$8&gt;Reprogramaciones!$E$21))&gt;0),"Avance después del fin de la obra: registra una reprogramación por atraso","OK"))))))))))))))))</f>
        <v/>
      </c>
      <c r="AM81" s="40" t="str">
        <f aca="false">IF(OR(OR(NOT(AND(ISNUMBER(E81),ISNUMBER(F81))),$J$2=""),1&gt;MAX(1,Reprogramaciones!$U$15)),"",IF(Reprogramaciones!K$12&gt;=7,"",IF(OR(BT81-N(0)&gt;0.05,N(Q81)&gt;0),ROUNDDOWN(ROUND(BT81,6),0)&amp;"%"&amp;IF(CJ81="",""," / "&amp;CJ81&amp;"%"),IF(AND(N(0)&gt;=99.95,CJ81&lt;&gt;"",N(CJ81)&lt;100),"Pend. "&amp;CJ81&amp;"%",""))))</f>
        <v/>
      </c>
      <c r="AN81" s="40" t="str">
        <f aca="false">IF(OR(OR(NOT(AND(ISNUMBER(E81),ISNUMBER(F81))),$J$2=""),2&gt;MAX(1,Reprogramaciones!$U$15)),"",IF(Reprogramaciones!L$12&gt;=7,"",IF(OR(BU81-N(BT81)&gt;0.05,N(R81)&gt;0),ROUNDDOWN(ROUND(BU81,6),0)&amp;"%"&amp;IF(CK81="",""," / "&amp;CK81&amp;"%"),IF(AND(N(BT81)&gt;=99.95,CK81&lt;&gt;"",N(CK81)&lt;100),"Pend. "&amp;CK81&amp;"%",""))))</f>
        <v/>
      </c>
      <c r="AO81" s="40" t="str">
        <f aca="false">IF(OR(OR(NOT(AND(ISNUMBER(E81),ISNUMBER(F81))),$J$2=""),3&gt;MAX(1,Reprogramaciones!$U$15)),"",IF(Reprogramaciones!M$12&gt;=7,"",IF(OR(BV81-N(BU81)&gt;0.05,N(S81)&gt;0),ROUNDDOWN(ROUND(BV81,6),0)&amp;"%"&amp;IF(CL81="",""," / "&amp;CL81&amp;"%"),IF(AND(N(BU81)&gt;=99.95,CL81&lt;&gt;"",N(CL81)&lt;100),"Pend. "&amp;CL81&amp;"%",""))))</f>
        <v/>
      </c>
      <c r="AP81" s="40" t="str">
        <f aca="false">IF(OR(OR(NOT(AND(ISNUMBER(E81),ISNUMBER(F81))),$J$2=""),4&gt;MAX(1,Reprogramaciones!$U$15)),"",IF(Reprogramaciones!N$12&gt;=7,"",IF(OR(BW81-N(BV81)&gt;0.05,N(T81)&gt;0),ROUNDDOWN(ROUND(BW81,6),0)&amp;"%"&amp;IF(CM81="",""," / "&amp;CM81&amp;"%"),IF(AND(N(BV81)&gt;=99.95,CM81&lt;&gt;"",N(CM81)&lt;100),"Pend. "&amp;CM81&amp;"%",""))))</f>
        <v/>
      </c>
      <c r="AQ81" s="40" t="str">
        <f aca="false">IF(OR(OR(NOT(AND(ISNUMBER(E81),ISNUMBER(F81))),$J$2=""),5&gt;MAX(1,Reprogramaciones!$U$15)),"",IF(Reprogramaciones!O$12&gt;=7,"",IF(OR(BX81-N(BW81)&gt;0.05,N(U81)&gt;0),ROUNDDOWN(ROUND(BX81,6),0)&amp;"%"&amp;IF(CN81="",""," / "&amp;CN81&amp;"%"),IF(AND(N(BW81)&gt;=99.95,CN81&lt;&gt;"",N(CN81)&lt;100),"Pend. "&amp;CN81&amp;"%",""))))</f>
        <v/>
      </c>
      <c r="AR81" s="40" t="str">
        <f aca="false">IF(OR(OR(NOT(AND(ISNUMBER(E81),ISNUMBER(F81))),$J$2=""),6&gt;MAX(1,Reprogramaciones!$U$15)),"",IF(Reprogramaciones!P$12&gt;=7,"",IF(OR(BY81-N(BX81)&gt;0.05,N(V81)&gt;0),ROUNDDOWN(ROUND(BY81,6),0)&amp;"%"&amp;IF(CO81="",""," / "&amp;CO81&amp;"%"),IF(AND(N(BX81)&gt;=99.95,CO81&lt;&gt;"",N(CO81)&lt;100),"Pend. "&amp;CO81&amp;"%",""))))</f>
        <v/>
      </c>
      <c r="AS81" s="40" t="str">
        <f aca="false">IF(OR(OR(NOT(AND(ISNUMBER(E81),ISNUMBER(F81))),$J$2=""),7&gt;MAX(1,Reprogramaciones!$U$15)),"",IF(Reprogramaciones!Q$12&gt;=7,"",IF(OR(BZ81-N(BY81)&gt;0.05,N(W81)&gt;0),ROUNDDOWN(ROUND(BZ81,6),0)&amp;"%"&amp;IF(CP81="",""," / "&amp;CP81&amp;"%"),IF(AND(N(BY81)&gt;=99.95,CP81&lt;&gt;"",N(CP81)&lt;100),"Pend. "&amp;CP81&amp;"%",""))))</f>
        <v/>
      </c>
      <c r="AT81" s="40" t="str">
        <f aca="false">IF(OR(OR(NOT(AND(ISNUMBER(E81),ISNUMBER(F81))),$J$2=""),8&gt;MAX(1,Reprogramaciones!$U$15)),"",IF(Reprogramaciones!R$12&gt;=7,"",IF(OR(CA81-N(BZ81)&gt;0.05,N(X81)&gt;0),ROUNDDOWN(ROUND(CA81,6),0)&amp;"%"&amp;IF(CQ81="",""," / "&amp;CQ81&amp;"%"),IF(AND(N(BZ81)&gt;=99.95,CQ81&lt;&gt;"",N(CQ81)&lt;100),"Pend. "&amp;CQ81&amp;"%",""))))</f>
        <v/>
      </c>
      <c r="AU81" s="40" t="str">
        <f aca="false">IF(OR(OR(NOT(AND(ISNUMBER(E81),ISNUMBER(F81))),$J$2=""),9&gt;MAX(1,Reprogramaciones!$U$15)),"",IF(Reprogramaciones!S$12&gt;=7,"",IF(OR(CB81-N(CA81)&gt;0.05,N(Y81)&gt;0),ROUNDDOWN(ROUND(CB81,6),0)&amp;"%"&amp;IF(CR81="",""," / "&amp;CR81&amp;"%"),IF(AND(N(CA81)&gt;=99.95,CR81&lt;&gt;"",N(CR81)&lt;100),"Pend. "&amp;CR81&amp;"%",""))))</f>
        <v/>
      </c>
      <c r="AV81" s="40" t="str">
        <f aca="false">IF(OR(OR(NOT(AND(ISNUMBER(E81),ISNUMBER(F81))),$J$2=""),10&gt;MAX(1,Reprogramaciones!$U$15)),"",IF(Reprogramaciones!T$12&gt;=7,"",IF(OR(CC81-N(CB81)&gt;0.05,N(Z81)&gt;0),ROUNDDOWN(ROUND(CC81,6),0)&amp;"%"&amp;IF(CS81="",""," / "&amp;CS81&amp;"%"),IF(AND(N(CB81)&gt;=99.95,CS81&lt;&gt;"",N(CS81)&lt;100),"Pend. "&amp;CS81&amp;"%",""))))</f>
        <v/>
      </c>
      <c r="AW81" s="40" t="str">
        <f aca="false">IF(OR(OR(NOT(AND(ISNUMBER(E81),ISNUMBER(F81))),$J$2=""),11&gt;MAX(1,Reprogramaciones!$U$15)),"",IF(Reprogramaciones!U$12&gt;=7,"",IF(OR(CD81-N(CC81)&gt;0.05,N(AA81)&gt;0),ROUNDDOWN(ROUND(CD81,6),0)&amp;"%"&amp;IF(CT81="",""," / "&amp;CT81&amp;"%"),IF(AND(N(CC81)&gt;=99.95,CT81&lt;&gt;"",N(CT81)&lt;100),"Pend. "&amp;CT81&amp;"%",""))))</f>
        <v/>
      </c>
      <c r="AX81" s="40" t="str">
        <f aca="false">IF(OR(OR(NOT(AND(ISNUMBER(E81),ISNUMBER(F81))),$J$2=""),12&gt;MAX(1,Reprogramaciones!$U$15)),"",IF(Reprogramaciones!V$12&gt;=7,"",IF(OR(CE81-N(CD81)&gt;0.05,N(AB81)&gt;0),ROUNDDOWN(ROUND(CE81,6),0)&amp;"%"&amp;IF(CU81="",""," / "&amp;CU81&amp;"%"),IF(AND(N(CD81)&gt;=99.95,CU81&lt;&gt;"",N(CU81)&lt;100),"Pend. "&amp;CU81&amp;"%",""))))</f>
        <v/>
      </c>
      <c r="AY81" s="40" t="str">
        <f aca="false">IF(OR(OR(NOT(AND(ISNUMBER(E81),ISNUMBER(F81))),$J$2=""),13&gt;MAX(1,Reprogramaciones!$U$15)),"",IF(Reprogramaciones!W$12&gt;=7,"",IF(OR(CF81-N(CE81)&gt;0.05,N(AC81)&gt;0),ROUNDDOWN(ROUND(CF81,6),0)&amp;"%"&amp;IF(CV81="",""," / "&amp;CV81&amp;"%"),IF(AND(N(CE81)&gt;=99.95,CV81&lt;&gt;"",N(CV81)&lt;100),"Pend. "&amp;CV81&amp;"%",""))))</f>
        <v/>
      </c>
      <c r="AZ81" s="40" t="str">
        <f aca="false">IF(OR(OR(NOT(AND(ISNUMBER(E81),ISNUMBER(F81))),$J$2=""),14&gt;MAX(1,Reprogramaciones!$U$15)),"",IF(Reprogramaciones!X$12&gt;=7,"",IF(OR(CG81-N(CF81)&gt;0.05,N(AD81)&gt;0),ROUNDDOWN(ROUND(CG81,6),0)&amp;"%"&amp;IF(CW81="",""," / "&amp;CW81&amp;"%"),IF(AND(N(CF81)&gt;=99.95,CW81&lt;&gt;"",N(CW81)&lt;100),"Pend. "&amp;CW81&amp;"%",""))))</f>
        <v/>
      </c>
      <c r="BA81" s="40" t="str">
        <f aca="false">IF(OR(OR(NOT(AND(ISNUMBER(E81),ISNUMBER(F81))),$J$2=""),15&gt;MAX(1,Reprogramaciones!$U$15)),"",IF(Reprogramaciones!Y$12&gt;=7,"",IF(OR(CH81-N(CG81)&gt;0.05,N(AE81)&gt;0),ROUNDDOWN(ROUND(CH81,6),0)&amp;"%"&amp;IF(CX81="",""," / "&amp;CX81&amp;"%"),IF(AND(N(CG81)&gt;=99.95,CX81&lt;&gt;"",N(CX81)&lt;100),"Pend. "&amp;CX81&amp;"%",""))))</f>
        <v/>
      </c>
      <c r="BB81" s="40" t="str">
        <f aca="false">IF(OR(OR(NOT(AND(ISNUMBER(E81),ISNUMBER(F81))),$J$2=""),16&gt;MAX(1,Reprogramaciones!$U$15)),"",IF(Reprogramaciones!Z$12&gt;=7,"",IF(OR(CI81-N(CH81)&gt;0.05,N(AF81)&gt;0),ROUNDDOWN(ROUND(CI81,6),0)&amp;"%"&amp;IF(CY81="",""," / "&amp;CY81&amp;"%"),IF(AND(N(CH81)&gt;=99.95,CY81&lt;&gt;"",N(CY81)&lt;100),"Pend. "&amp;CY81&amp;"%",""))))</f>
        <v/>
      </c>
      <c r="BC81" s="31" t="n">
        <f aca="false">IF(AND(ISNUMBER(E81),ISNUMBER(F81)),MAX(1,NETWORKDAYS.INTL(E81,F81,11)),0)</f>
        <v>0</v>
      </c>
      <c r="BD81" s="1" t="str">
        <f aca="false">IF(OR(NOT(AND(ISNUMBER(E81),ISNUMBER(F81))),$J$2=""),"",MIN(100,ROUND(SUM($G81:G81),1)))</f>
        <v/>
      </c>
      <c r="BE81" s="1" t="str">
        <f aca="false">IF(OR(NOT(AND(ISNUMBER(E81),ISNUMBER(F81))),$J$2=""),"",MIN(100,ROUND(SUM($G81:H81),1)))</f>
        <v/>
      </c>
      <c r="BF81" s="1" t="str">
        <f aca="false">IF(OR(NOT(AND(ISNUMBER(E81),ISNUMBER(F81))),$J$2=""),"",MIN(100,ROUND(SUM($G81:I81),1)))</f>
        <v/>
      </c>
      <c r="BG81" s="1" t="str">
        <f aca="false">IF(OR(NOT(AND(ISNUMBER(E81),ISNUMBER(F81))),$J$2=""),"",MIN(100,ROUND(SUM($G81:J81),1)))</f>
        <v/>
      </c>
      <c r="BH81" s="1" t="str">
        <f aca="false">IF(OR(NOT(AND(ISNUMBER(E81),ISNUMBER(F81))),$J$2=""),"",MIN(100,ROUND(SUM($G81:K81),1)))</f>
        <v/>
      </c>
      <c r="BI81" s="1" t="str">
        <f aca="false">IF(OR(NOT(AND(ISNUMBER(E81),ISNUMBER(F81))),$J$2=""),"",MIN(100,ROUND(SUM($G81:L81),1)))</f>
        <v/>
      </c>
      <c r="BJ81" s="1" t="str">
        <f aca="false">IF(OR(NOT(AND(ISNUMBER(E81),ISNUMBER(F81))),$J$2=""),"",MIN(100,ROUND(SUM($G81:M81),1)))</f>
        <v/>
      </c>
      <c r="BK81" s="1" t="str">
        <f aca="false">IF(OR(NOT(AND(ISNUMBER(E81),ISNUMBER(F81))),$J$2=""),"",MIN(100,ROUND(SUM($G81:N81),1)))</f>
        <v/>
      </c>
      <c r="BL81" s="1" t="str">
        <f aca="false">IF(OR(NOT(AND(ISNUMBER(E81),ISNUMBER(F81))),$J$2=""),"",MIN(100,ROUND(SUM($G81:O81),1)))</f>
        <v/>
      </c>
      <c r="BM81" s="1" t="str">
        <f aca="false">IF(OR(NOT(AND(ISNUMBER(E81),ISNUMBER(F81))),$J$2=""),"",MIN(100,ROUND(SUM($G81:P81),1)))</f>
        <v/>
      </c>
      <c r="BN81" s="1" t="str">
        <f aca="false">IF(OR(NOT(AND(ISNUMBER(E81),ISNUMBER(F81))),$J$2=""),"",MIN(100,ROUND(SUM($G81:P81),1)))</f>
        <v/>
      </c>
      <c r="BO81" s="1" t="str">
        <f aca="false">IF(OR(NOT(AND(ISNUMBER(E81),ISNUMBER(F81))),$J$2=""),"",MIN(100,ROUND(SUM($G81:P81),1)))</f>
        <v/>
      </c>
      <c r="BP81" s="1" t="str">
        <f aca="false">IF(OR(NOT(AND(ISNUMBER(E81),ISNUMBER(F81))),$J$2=""),"",MIN(100,ROUND(SUM($G81:P81),1)))</f>
        <v/>
      </c>
      <c r="BQ81" s="1" t="str">
        <f aca="false">IF(OR(NOT(AND(ISNUMBER(E81),ISNUMBER(F81))),$J$2=""),"",MIN(100,ROUND(SUM($G81:P81),1)))</f>
        <v/>
      </c>
      <c r="BR81" s="1" t="str">
        <f aca="false">IF(OR(NOT(AND(ISNUMBER(E81),ISNUMBER(F81))),$J$2=""),"",MIN(100,ROUND(SUM($G81:P81),1)))</f>
        <v/>
      </c>
      <c r="BS81" s="1" t="str">
        <f aca="false">IF(OR(NOT(AND(ISNUMBER(E81),ISNUMBER(F81))),$J$2=""),"",MIN(100,ROUND(SUM($G81:P81),1)))</f>
        <v/>
      </c>
      <c r="BT81" s="1" t="str">
        <f aca="false">IF(OR(NOT(AND(ISNUMBER(E81),ISNUMBER(F81))),$J$2=""),"",IF(Reprogramaciones!K$13&lt;Reprogramaciones!$T$15,0,IF(Reprogramaciones!K$14&gt;10,MIN(100,SUM($G81:$P81)),MIN(100,SUMPRODUCT((COLUMN($G81:$P81)-COLUMN($G81)+1&lt;Reprogramaciones!K$14)*$G81:$P81)+N(INDEX($G81:$P81,1,Reprogramaciones!K$14))*IF(Reprogramaciones!K$13&gt;=(Reprogramaciones!$T$15+7*(Reprogramaciones!K$14-1))+6,1,IF(MAX(0,NETWORKDAYS.INTL(MAX(E81,(Reprogramaciones!$T$15+7*(Reprogramaciones!K$14-1))),MIN(F81,(Reprogramaciones!$T$15+7*(Reprogramaciones!K$14-1))+6),11))=0,0,MAX(0,NETWORKDAYS.INTL(MAX(E81,(Reprogramaciones!$T$15+7*(Reprogramaciones!K$14-1))),MIN(F81,Reprogramaciones!K$13),11))/MAX(0,NETWORKDAYS.INTL(MAX(E81,(Reprogramaciones!$T$15+7*(Reprogramaciones!K$14-1))),MIN(F81,(Reprogramaciones!$T$15+7*(Reprogramaciones!K$14-1))+6),11))))))))</f>
        <v/>
      </c>
      <c r="BU81" s="1" t="str">
        <f aca="false">IF(OR(NOT(AND(ISNUMBER(E81),ISNUMBER(F81))),$J$2=""),"",IF(Reprogramaciones!L$13&lt;Reprogramaciones!$T$15,0,IF(Reprogramaciones!L$14&gt;10,MIN(100,SUM($G81:$P81)),MIN(100,SUMPRODUCT((COLUMN($G81:$P81)-COLUMN($G81)+1&lt;Reprogramaciones!L$14)*$G81:$P81)+N(INDEX($G81:$P81,1,Reprogramaciones!L$14))*IF(Reprogramaciones!L$13&gt;=(Reprogramaciones!$T$15+7*(Reprogramaciones!L$14-1))+6,1,IF(MAX(0,NETWORKDAYS.INTL(MAX(E81,(Reprogramaciones!$T$15+7*(Reprogramaciones!L$14-1))),MIN(F81,(Reprogramaciones!$T$15+7*(Reprogramaciones!L$14-1))+6),11))=0,0,MAX(0,NETWORKDAYS.INTL(MAX(E81,(Reprogramaciones!$T$15+7*(Reprogramaciones!L$14-1))),MIN(F81,Reprogramaciones!L$13),11))/MAX(0,NETWORKDAYS.INTL(MAX(E81,(Reprogramaciones!$T$15+7*(Reprogramaciones!L$14-1))),MIN(F81,(Reprogramaciones!$T$15+7*(Reprogramaciones!L$14-1))+6),11))))))))</f>
        <v/>
      </c>
      <c r="BV81" s="1" t="str">
        <f aca="false">IF(OR(NOT(AND(ISNUMBER(E81),ISNUMBER(F81))),$J$2=""),"",IF(Reprogramaciones!M$13&lt;Reprogramaciones!$T$15,0,IF(Reprogramaciones!M$14&gt;10,MIN(100,SUM($G81:$P81)),MIN(100,SUMPRODUCT((COLUMN($G81:$P81)-COLUMN($G81)+1&lt;Reprogramaciones!M$14)*$G81:$P81)+N(INDEX($G81:$P81,1,Reprogramaciones!M$14))*IF(Reprogramaciones!M$13&gt;=(Reprogramaciones!$T$15+7*(Reprogramaciones!M$14-1))+6,1,IF(MAX(0,NETWORKDAYS.INTL(MAX(E81,(Reprogramaciones!$T$15+7*(Reprogramaciones!M$14-1))),MIN(F81,(Reprogramaciones!$T$15+7*(Reprogramaciones!M$14-1))+6),11))=0,0,MAX(0,NETWORKDAYS.INTL(MAX(E81,(Reprogramaciones!$T$15+7*(Reprogramaciones!M$14-1))),MIN(F81,Reprogramaciones!M$13),11))/MAX(0,NETWORKDAYS.INTL(MAX(E81,(Reprogramaciones!$T$15+7*(Reprogramaciones!M$14-1))),MIN(F81,(Reprogramaciones!$T$15+7*(Reprogramaciones!M$14-1))+6),11))))))))</f>
        <v/>
      </c>
      <c r="BW81" s="1" t="str">
        <f aca="false">IF(OR(NOT(AND(ISNUMBER(E81),ISNUMBER(F81))),$J$2=""),"",IF(Reprogramaciones!N$13&lt;Reprogramaciones!$T$15,0,IF(Reprogramaciones!N$14&gt;10,MIN(100,SUM($G81:$P81)),MIN(100,SUMPRODUCT((COLUMN($G81:$P81)-COLUMN($G81)+1&lt;Reprogramaciones!N$14)*$G81:$P81)+N(INDEX($G81:$P81,1,Reprogramaciones!N$14))*IF(Reprogramaciones!N$13&gt;=(Reprogramaciones!$T$15+7*(Reprogramaciones!N$14-1))+6,1,IF(MAX(0,NETWORKDAYS.INTL(MAX(E81,(Reprogramaciones!$T$15+7*(Reprogramaciones!N$14-1))),MIN(F81,(Reprogramaciones!$T$15+7*(Reprogramaciones!N$14-1))+6),11))=0,0,MAX(0,NETWORKDAYS.INTL(MAX(E81,(Reprogramaciones!$T$15+7*(Reprogramaciones!N$14-1))),MIN(F81,Reprogramaciones!N$13),11))/MAX(0,NETWORKDAYS.INTL(MAX(E81,(Reprogramaciones!$T$15+7*(Reprogramaciones!N$14-1))),MIN(F81,(Reprogramaciones!$T$15+7*(Reprogramaciones!N$14-1))+6),11))))))))</f>
        <v/>
      </c>
      <c r="BX81" s="1" t="str">
        <f aca="false">IF(OR(NOT(AND(ISNUMBER(E81),ISNUMBER(F81))),$J$2=""),"",IF(Reprogramaciones!O$13&lt;Reprogramaciones!$T$15,0,IF(Reprogramaciones!O$14&gt;10,MIN(100,SUM($G81:$P81)),MIN(100,SUMPRODUCT((COLUMN($G81:$P81)-COLUMN($G81)+1&lt;Reprogramaciones!O$14)*$G81:$P81)+N(INDEX($G81:$P81,1,Reprogramaciones!O$14))*IF(Reprogramaciones!O$13&gt;=(Reprogramaciones!$T$15+7*(Reprogramaciones!O$14-1))+6,1,IF(MAX(0,NETWORKDAYS.INTL(MAX(E81,(Reprogramaciones!$T$15+7*(Reprogramaciones!O$14-1))),MIN(F81,(Reprogramaciones!$T$15+7*(Reprogramaciones!O$14-1))+6),11))=0,0,MAX(0,NETWORKDAYS.INTL(MAX(E81,(Reprogramaciones!$T$15+7*(Reprogramaciones!O$14-1))),MIN(F81,Reprogramaciones!O$13),11))/MAX(0,NETWORKDAYS.INTL(MAX(E81,(Reprogramaciones!$T$15+7*(Reprogramaciones!O$14-1))),MIN(F81,(Reprogramaciones!$T$15+7*(Reprogramaciones!O$14-1))+6),11))))))))</f>
        <v/>
      </c>
      <c r="BY81" s="1" t="str">
        <f aca="false">IF(OR(NOT(AND(ISNUMBER(E81),ISNUMBER(F81))),$J$2=""),"",IF(Reprogramaciones!P$13&lt;Reprogramaciones!$T$15,0,IF(Reprogramaciones!P$14&gt;10,MIN(100,SUM($G81:$P81)),MIN(100,SUMPRODUCT((COLUMN($G81:$P81)-COLUMN($G81)+1&lt;Reprogramaciones!P$14)*$G81:$P81)+N(INDEX($G81:$P81,1,Reprogramaciones!P$14))*IF(Reprogramaciones!P$13&gt;=(Reprogramaciones!$T$15+7*(Reprogramaciones!P$14-1))+6,1,IF(MAX(0,NETWORKDAYS.INTL(MAX(E81,(Reprogramaciones!$T$15+7*(Reprogramaciones!P$14-1))),MIN(F81,(Reprogramaciones!$T$15+7*(Reprogramaciones!P$14-1))+6),11))=0,0,MAX(0,NETWORKDAYS.INTL(MAX(E81,(Reprogramaciones!$T$15+7*(Reprogramaciones!P$14-1))),MIN(F81,Reprogramaciones!P$13),11))/MAX(0,NETWORKDAYS.INTL(MAX(E81,(Reprogramaciones!$T$15+7*(Reprogramaciones!P$14-1))),MIN(F81,(Reprogramaciones!$T$15+7*(Reprogramaciones!P$14-1))+6),11))))))))</f>
        <v/>
      </c>
      <c r="BZ81" s="1" t="str">
        <f aca="false">IF(OR(NOT(AND(ISNUMBER(E81),ISNUMBER(F81))),$J$2=""),"",IF(Reprogramaciones!Q$13&lt;Reprogramaciones!$T$15,0,IF(Reprogramaciones!Q$14&gt;10,MIN(100,SUM($G81:$P81)),MIN(100,SUMPRODUCT((COLUMN($G81:$P81)-COLUMN($G81)+1&lt;Reprogramaciones!Q$14)*$G81:$P81)+N(INDEX($G81:$P81,1,Reprogramaciones!Q$14))*IF(Reprogramaciones!Q$13&gt;=(Reprogramaciones!$T$15+7*(Reprogramaciones!Q$14-1))+6,1,IF(MAX(0,NETWORKDAYS.INTL(MAX(E81,(Reprogramaciones!$T$15+7*(Reprogramaciones!Q$14-1))),MIN(F81,(Reprogramaciones!$T$15+7*(Reprogramaciones!Q$14-1))+6),11))=0,0,MAX(0,NETWORKDAYS.INTL(MAX(E81,(Reprogramaciones!$T$15+7*(Reprogramaciones!Q$14-1))),MIN(F81,Reprogramaciones!Q$13),11))/MAX(0,NETWORKDAYS.INTL(MAX(E81,(Reprogramaciones!$T$15+7*(Reprogramaciones!Q$14-1))),MIN(F81,(Reprogramaciones!$T$15+7*(Reprogramaciones!Q$14-1))+6),11))))))))</f>
        <v/>
      </c>
      <c r="CA81" s="1" t="str">
        <f aca="false">IF(OR(NOT(AND(ISNUMBER(E81),ISNUMBER(F81))),$J$2=""),"",IF(Reprogramaciones!R$13&lt;Reprogramaciones!$T$15,0,IF(Reprogramaciones!R$14&gt;10,MIN(100,SUM($G81:$P81)),MIN(100,SUMPRODUCT((COLUMN($G81:$P81)-COLUMN($G81)+1&lt;Reprogramaciones!R$14)*$G81:$P81)+N(INDEX($G81:$P81,1,Reprogramaciones!R$14))*IF(Reprogramaciones!R$13&gt;=(Reprogramaciones!$T$15+7*(Reprogramaciones!R$14-1))+6,1,IF(MAX(0,NETWORKDAYS.INTL(MAX(E81,(Reprogramaciones!$T$15+7*(Reprogramaciones!R$14-1))),MIN(F81,(Reprogramaciones!$T$15+7*(Reprogramaciones!R$14-1))+6),11))=0,0,MAX(0,NETWORKDAYS.INTL(MAX(E81,(Reprogramaciones!$T$15+7*(Reprogramaciones!R$14-1))),MIN(F81,Reprogramaciones!R$13),11))/MAX(0,NETWORKDAYS.INTL(MAX(E81,(Reprogramaciones!$T$15+7*(Reprogramaciones!R$14-1))),MIN(F81,(Reprogramaciones!$T$15+7*(Reprogramaciones!R$14-1))+6),11))))))))</f>
        <v/>
      </c>
      <c r="CB81" s="1" t="str">
        <f aca="false">IF(OR(NOT(AND(ISNUMBER(E81),ISNUMBER(F81))),$J$2=""),"",IF(Reprogramaciones!S$13&lt;Reprogramaciones!$T$15,0,IF(Reprogramaciones!S$14&gt;10,MIN(100,SUM($G81:$P81)),MIN(100,SUMPRODUCT((COLUMN($G81:$P81)-COLUMN($G81)+1&lt;Reprogramaciones!S$14)*$G81:$P81)+N(INDEX($G81:$P81,1,Reprogramaciones!S$14))*IF(Reprogramaciones!S$13&gt;=(Reprogramaciones!$T$15+7*(Reprogramaciones!S$14-1))+6,1,IF(MAX(0,NETWORKDAYS.INTL(MAX(E81,(Reprogramaciones!$T$15+7*(Reprogramaciones!S$14-1))),MIN(F81,(Reprogramaciones!$T$15+7*(Reprogramaciones!S$14-1))+6),11))=0,0,MAX(0,NETWORKDAYS.INTL(MAX(E81,(Reprogramaciones!$T$15+7*(Reprogramaciones!S$14-1))),MIN(F81,Reprogramaciones!S$13),11))/MAX(0,NETWORKDAYS.INTL(MAX(E81,(Reprogramaciones!$T$15+7*(Reprogramaciones!S$14-1))),MIN(F81,(Reprogramaciones!$T$15+7*(Reprogramaciones!S$14-1))+6),11))))))))</f>
        <v/>
      </c>
      <c r="CC81" s="1" t="str">
        <f aca="false">IF(OR(NOT(AND(ISNUMBER(E81),ISNUMBER(F81))),$J$2=""),"",IF(Reprogramaciones!T$13&lt;Reprogramaciones!$T$15,0,IF(Reprogramaciones!T$14&gt;10,MIN(100,SUM($G81:$P81)),MIN(100,SUMPRODUCT((COLUMN($G81:$P81)-COLUMN($G81)+1&lt;Reprogramaciones!T$14)*$G81:$P81)+N(INDEX($G81:$P81,1,Reprogramaciones!T$14))*IF(Reprogramaciones!T$13&gt;=(Reprogramaciones!$T$15+7*(Reprogramaciones!T$14-1))+6,1,IF(MAX(0,NETWORKDAYS.INTL(MAX(E81,(Reprogramaciones!$T$15+7*(Reprogramaciones!T$14-1))),MIN(F81,(Reprogramaciones!$T$15+7*(Reprogramaciones!T$14-1))+6),11))=0,0,MAX(0,NETWORKDAYS.INTL(MAX(E81,(Reprogramaciones!$T$15+7*(Reprogramaciones!T$14-1))),MIN(F81,Reprogramaciones!T$13),11))/MAX(0,NETWORKDAYS.INTL(MAX(E81,(Reprogramaciones!$T$15+7*(Reprogramaciones!T$14-1))),MIN(F81,(Reprogramaciones!$T$15+7*(Reprogramaciones!T$14-1))+6),11))))))))</f>
        <v/>
      </c>
      <c r="CD81" s="1" t="str">
        <f aca="false">IF(OR(NOT(AND(ISNUMBER(E81),ISNUMBER(F81))),$J$2=""),"",IF(Reprogramaciones!U$13&lt;Reprogramaciones!$T$15,0,IF(Reprogramaciones!U$14&gt;10,MIN(100,SUM($G81:$P81)),MIN(100,SUMPRODUCT((COLUMN($G81:$P81)-COLUMN($G81)+1&lt;Reprogramaciones!U$14)*$G81:$P81)+N(INDEX($G81:$P81,1,Reprogramaciones!U$14))*IF(Reprogramaciones!U$13&gt;=(Reprogramaciones!$T$15+7*(Reprogramaciones!U$14-1))+6,1,IF(MAX(0,NETWORKDAYS.INTL(MAX(E81,(Reprogramaciones!$T$15+7*(Reprogramaciones!U$14-1))),MIN(F81,(Reprogramaciones!$T$15+7*(Reprogramaciones!U$14-1))+6),11))=0,0,MAX(0,NETWORKDAYS.INTL(MAX(E81,(Reprogramaciones!$T$15+7*(Reprogramaciones!U$14-1))),MIN(F81,Reprogramaciones!U$13),11))/MAX(0,NETWORKDAYS.INTL(MAX(E81,(Reprogramaciones!$T$15+7*(Reprogramaciones!U$14-1))),MIN(F81,(Reprogramaciones!$T$15+7*(Reprogramaciones!U$14-1))+6),11))))))))</f>
        <v/>
      </c>
      <c r="CE81" s="1" t="str">
        <f aca="false">IF(OR(NOT(AND(ISNUMBER(E81),ISNUMBER(F81))),$J$2=""),"",IF(Reprogramaciones!V$13&lt;Reprogramaciones!$T$15,0,IF(Reprogramaciones!V$14&gt;10,MIN(100,SUM($G81:$P81)),MIN(100,SUMPRODUCT((COLUMN($G81:$P81)-COLUMN($G81)+1&lt;Reprogramaciones!V$14)*$G81:$P81)+N(INDEX($G81:$P81,1,Reprogramaciones!V$14))*IF(Reprogramaciones!V$13&gt;=(Reprogramaciones!$T$15+7*(Reprogramaciones!V$14-1))+6,1,IF(MAX(0,NETWORKDAYS.INTL(MAX(E81,(Reprogramaciones!$T$15+7*(Reprogramaciones!V$14-1))),MIN(F81,(Reprogramaciones!$T$15+7*(Reprogramaciones!V$14-1))+6),11))=0,0,MAX(0,NETWORKDAYS.INTL(MAX(E81,(Reprogramaciones!$T$15+7*(Reprogramaciones!V$14-1))),MIN(F81,Reprogramaciones!V$13),11))/MAX(0,NETWORKDAYS.INTL(MAX(E81,(Reprogramaciones!$T$15+7*(Reprogramaciones!V$14-1))),MIN(F81,(Reprogramaciones!$T$15+7*(Reprogramaciones!V$14-1))+6),11))))))))</f>
        <v/>
      </c>
      <c r="CF81" s="1" t="str">
        <f aca="false">IF(OR(NOT(AND(ISNUMBER(E81),ISNUMBER(F81))),$J$2=""),"",IF(Reprogramaciones!W$13&lt;Reprogramaciones!$T$15,0,IF(Reprogramaciones!W$14&gt;10,MIN(100,SUM($G81:$P81)),MIN(100,SUMPRODUCT((COLUMN($G81:$P81)-COLUMN($G81)+1&lt;Reprogramaciones!W$14)*$G81:$P81)+N(INDEX($G81:$P81,1,Reprogramaciones!W$14))*IF(Reprogramaciones!W$13&gt;=(Reprogramaciones!$T$15+7*(Reprogramaciones!W$14-1))+6,1,IF(MAX(0,NETWORKDAYS.INTL(MAX(E81,(Reprogramaciones!$T$15+7*(Reprogramaciones!W$14-1))),MIN(F81,(Reprogramaciones!$T$15+7*(Reprogramaciones!W$14-1))+6),11))=0,0,MAX(0,NETWORKDAYS.INTL(MAX(E81,(Reprogramaciones!$T$15+7*(Reprogramaciones!W$14-1))),MIN(F81,Reprogramaciones!W$13),11))/MAX(0,NETWORKDAYS.INTL(MAX(E81,(Reprogramaciones!$T$15+7*(Reprogramaciones!W$14-1))),MIN(F81,(Reprogramaciones!$T$15+7*(Reprogramaciones!W$14-1))+6),11))))))))</f>
        <v/>
      </c>
      <c r="CG81" s="1" t="str">
        <f aca="false">IF(OR(NOT(AND(ISNUMBER(E81),ISNUMBER(F81))),$J$2=""),"",IF(Reprogramaciones!X$13&lt;Reprogramaciones!$T$15,0,IF(Reprogramaciones!X$14&gt;10,MIN(100,SUM($G81:$P81)),MIN(100,SUMPRODUCT((COLUMN($G81:$P81)-COLUMN($G81)+1&lt;Reprogramaciones!X$14)*$G81:$P81)+N(INDEX($G81:$P81,1,Reprogramaciones!X$14))*IF(Reprogramaciones!X$13&gt;=(Reprogramaciones!$T$15+7*(Reprogramaciones!X$14-1))+6,1,IF(MAX(0,NETWORKDAYS.INTL(MAX(E81,(Reprogramaciones!$T$15+7*(Reprogramaciones!X$14-1))),MIN(F81,(Reprogramaciones!$T$15+7*(Reprogramaciones!X$14-1))+6),11))=0,0,MAX(0,NETWORKDAYS.INTL(MAX(E81,(Reprogramaciones!$T$15+7*(Reprogramaciones!X$14-1))),MIN(F81,Reprogramaciones!X$13),11))/MAX(0,NETWORKDAYS.INTL(MAX(E81,(Reprogramaciones!$T$15+7*(Reprogramaciones!X$14-1))),MIN(F81,(Reprogramaciones!$T$15+7*(Reprogramaciones!X$14-1))+6),11))))))))</f>
        <v/>
      </c>
      <c r="CH81" s="1" t="str">
        <f aca="false">IF(OR(NOT(AND(ISNUMBER(E81),ISNUMBER(F81))),$J$2=""),"",IF(Reprogramaciones!Y$13&lt;Reprogramaciones!$T$15,0,IF(Reprogramaciones!Y$14&gt;10,MIN(100,SUM($G81:$P81)),MIN(100,SUMPRODUCT((COLUMN($G81:$P81)-COLUMN($G81)+1&lt;Reprogramaciones!Y$14)*$G81:$P81)+N(INDEX($G81:$P81,1,Reprogramaciones!Y$14))*IF(Reprogramaciones!Y$13&gt;=(Reprogramaciones!$T$15+7*(Reprogramaciones!Y$14-1))+6,1,IF(MAX(0,NETWORKDAYS.INTL(MAX(E81,(Reprogramaciones!$T$15+7*(Reprogramaciones!Y$14-1))),MIN(F81,(Reprogramaciones!$T$15+7*(Reprogramaciones!Y$14-1))+6),11))=0,0,MAX(0,NETWORKDAYS.INTL(MAX(E81,(Reprogramaciones!$T$15+7*(Reprogramaciones!Y$14-1))),MIN(F81,Reprogramaciones!Y$13),11))/MAX(0,NETWORKDAYS.INTL(MAX(E81,(Reprogramaciones!$T$15+7*(Reprogramaciones!Y$14-1))),MIN(F81,(Reprogramaciones!$T$15+7*(Reprogramaciones!Y$14-1))+6),11))))))))</f>
        <v/>
      </c>
      <c r="CI81" s="1" t="str">
        <f aca="false">IF(OR(NOT(AND(ISNUMBER(E81),ISNUMBER(F81))),$J$2=""),"",IF(Reprogramaciones!Z$13&lt;Reprogramaciones!$T$15,0,IF(Reprogramaciones!Z$14&gt;10,MIN(100,SUM($G81:$P81)),MIN(100,SUMPRODUCT((COLUMN($G81:$P81)-COLUMN($G81)+1&lt;Reprogramaciones!Z$14)*$G81:$P81)+N(INDEX($G81:$P81,1,Reprogramaciones!Z$14))*IF(Reprogramaciones!Z$13&gt;=(Reprogramaciones!$T$15+7*(Reprogramaciones!Z$14-1))+6,1,IF(MAX(0,NETWORKDAYS.INTL(MAX(E81,(Reprogramaciones!$T$15+7*(Reprogramaciones!Z$14-1))),MIN(F81,(Reprogramaciones!$T$15+7*(Reprogramaciones!Z$14-1))+6),11))=0,0,MAX(0,NETWORKDAYS.INTL(MAX(E81,(Reprogramaciones!$T$15+7*(Reprogramaciones!Z$14-1))),MIN(F81,Reprogramaciones!Z$13),11))/MAX(0,NETWORKDAYS.INTL(MAX(E81,(Reprogramaciones!$T$15+7*(Reprogramaciones!Z$14-1))),MIN(F81,(Reprogramaciones!$T$15+7*(Reprogramaciones!Z$14-1))+6),11))))))))</f>
        <v/>
      </c>
      <c r="CJ81" s="1" t="str">
        <f aca="false">IF(OR(OR(NOT(AND(ISNUMBER(E81),ISNUMBER(F81))),$J$2=""),1&gt;Reprogramaciones!$K$16),"",IF(ROUND(SUM($Q81:Q81),1)&gt;=99.5,100,MIN(100,ROUND(SUM($Q81:Q81),1))))</f>
        <v/>
      </c>
      <c r="CK81" s="1" t="str">
        <f aca="false">IF(OR(OR(NOT(AND(ISNUMBER(E81),ISNUMBER(F81))),$J$2=""),2&gt;Reprogramaciones!$K$16),"",IF(ROUND(SUM($Q81:R81),1)&gt;=99.5,100,MIN(100,ROUND(SUM($Q81:R81),1))))</f>
        <v/>
      </c>
      <c r="CL81" s="1" t="str">
        <f aca="false">IF(OR(OR(NOT(AND(ISNUMBER(E81),ISNUMBER(F81))),$J$2=""),3&gt;Reprogramaciones!$K$16),"",IF(ROUND(SUM($Q81:S81),1)&gt;=99.5,100,MIN(100,ROUND(SUM($Q81:S81),1))))</f>
        <v/>
      </c>
      <c r="CM81" s="1" t="str">
        <f aca="false">IF(OR(OR(NOT(AND(ISNUMBER(E81),ISNUMBER(F81))),$J$2=""),4&gt;Reprogramaciones!$K$16),"",IF(ROUND(SUM($Q81:T81),1)&gt;=99.5,100,MIN(100,ROUND(SUM($Q81:T81),1))))</f>
        <v/>
      </c>
      <c r="CN81" s="1" t="str">
        <f aca="false">IF(OR(OR(NOT(AND(ISNUMBER(E81),ISNUMBER(F81))),$J$2=""),5&gt;Reprogramaciones!$K$16),"",IF(ROUND(SUM($Q81:U81),1)&gt;=99.5,100,MIN(100,ROUND(SUM($Q81:U81),1))))</f>
        <v/>
      </c>
      <c r="CO81" s="1" t="str">
        <f aca="false">IF(OR(OR(NOT(AND(ISNUMBER(E81),ISNUMBER(F81))),$J$2=""),6&gt;Reprogramaciones!$K$16),"",IF(ROUND(SUM($Q81:V81),1)&gt;=99.5,100,MIN(100,ROUND(SUM($Q81:V81),1))))</f>
        <v/>
      </c>
      <c r="CP81" s="1" t="str">
        <f aca="false">IF(OR(OR(NOT(AND(ISNUMBER(E81),ISNUMBER(F81))),$J$2=""),7&gt;Reprogramaciones!$K$16),"",IF(ROUND(SUM($Q81:W81),1)&gt;=99.5,100,MIN(100,ROUND(SUM($Q81:W81),1))))</f>
        <v/>
      </c>
      <c r="CQ81" s="1" t="str">
        <f aca="false">IF(OR(OR(NOT(AND(ISNUMBER(E81),ISNUMBER(F81))),$J$2=""),8&gt;Reprogramaciones!$K$16),"",IF(ROUND(SUM($Q81:X81),1)&gt;=99.5,100,MIN(100,ROUND(SUM($Q81:X81),1))))</f>
        <v/>
      </c>
      <c r="CR81" s="1" t="str">
        <f aca="false">IF(OR(OR(NOT(AND(ISNUMBER(E81),ISNUMBER(F81))),$J$2=""),9&gt;Reprogramaciones!$K$16),"",IF(ROUND(SUM($Q81:Y81),1)&gt;=99.5,100,MIN(100,ROUND(SUM($Q81:Y81),1))))</f>
        <v/>
      </c>
      <c r="CS81" s="1" t="str">
        <f aca="false">IF(OR(OR(NOT(AND(ISNUMBER(E81),ISNUMBER(F81))),$J$2=""),10&gt;Reprogramaciones!$K$16),"",IF(ROUND(SUM($Q81:Z81),1)&gt;=99.5,100,MIN(100,ROUND(SUM($Q81:Z81),1))))</f>
        <v/>
      </c>
      <c r="CT81" s="1" t="str">
        <f aca="false">IF(OR(OR(NOT(AND(ISNUMBER(E81),ISNUMBER(F81))),$J$2=""),11&gt;Reprogramaciones!$K$16),"",IF(ROUND(SUM($Q81:AA81),1)&gt;=99.5,100,MIN(100,ROUND(SUM($Q81:AA81),1))))</f>
        <v/>
      </c>
      <c r="CU81" s="1" t="str">
        <f aca="false">IF(OR(OR(NOT(AND(ISNUMBER(E81),ISNUMBER(F81))),$J$2=""),12&gt;Reprogramaciones!$K$16),"",IF(ROUND(SUM($Q81:AB81),1)&gt;=99.5,100,MIN(100,ROUND(SUM($Q81:AB81),1))))</f>
        <v/>
      </c>
      <c r="CV81" s="1" t="str">
        <f aca="false">IF(OR(OR(NOT(AND(ISNUMBER(E81),ISNUMBER(F81))),$J$2=""),13&gt;Reprogramaciones!$K$16),"",IF(ROUND(SUM($Q81:AC81),1)&gt;=99.5,100,MIN(100,ROUND(SUM($Q81:AC81),1))))</f>
        <v/>
      </c>
      <c r="CW81" s="1" t="str">
        <f aca="false">IF(OR(OR(NOT(AND(ISNUMBER(E81),ISNUMBER(F81))),$J$2=""),14&gt;Reprogramaciones!$K$16),"",IF(ROUND(SUM($Q81:AD81),1)&gt;=99.5,100,MIN(100,ROUND(SUM($Q81:AD81),1))))</f>
        <v/>
      </c>
      <c r="CX81" s="1" t="str">
        <f aca="false">IF(OR(OR(NOT(AND(ISNUMBER(E81),ISNUMBER(F81))),$J$2=""),15&gt;Reprogramaciones!$K$16),"",IF(ROUND(SUM($Q81:AE81),1)&gt;=99.5,100,MIN(100,ROUND(SUM($Q81:AE81),1))))</f>
        <v/>
      </c>
      <c r="CY81" s="1" t="str">
        <f aca="false">IF(OR(OR(NOT(AND(ISNUMBER(E81),ISNUMBER(F81))),$J$2=""),16&gt;Reprogramaciones!$K$16),"",IF(ROUND(SUM($Q81:AF81),1)&gt;=99.5,100,MIN(100,ROUND(SUM($Q81:AF81),1))))</f>
        <v/>
      </c>
      <c r="CZ81" s="1" t="str">
        <f aca="false">IF(D81&lt;&gt;"",D81,IF(B81&lt;&gt;"","Contractual",CZ80))</f>
        <v>Contractual</v>
      </c>
      <c r="DA81" s="1" t="str">
        <f aca="false">IF(OR(NOT(AND(ISNUMBER(E81),ISNUMBER(F81))),$J$2=""),"",IF(Reprogramaciones!$Q$15&lt;Reprogramaciones!$T$15,0,IF(Reprogramaciones!$S$15&gt;10,MIN(100,SUM($G81:$P81)),MIN(100,SUMPRODUCT((COLUMN($G81:$P81)-COLUMN($G81)+1&lt;Reprogramaciones!$S$15)*$G81:$P81)+N(INDEX($G81:$P81,1,Reprogramaciones!$S$15))*IF(Reprogramaciones!$Q$15&gt;=(Reprogramaciones!$T$15+7*(Reprogramaciones!$S$15-1))+6,1,IF(MAX(0,NETWORKDAYS.INTL(MAX(E81,(Reprogramaciones!$T$15+7*(Reprogramaciones!$S$15-1))),MIN(F81,(Reprogramaciones!$T$15+7*(Reprogramaciones!$S$15-1))+6),11))=0,0,MAX(0,NETWORKDAYS.INTL(MAX(E81,(Reprogramaciones!$T$15+7*(Reprogramaciones!$S$15-1))),MIN(F81,Reprogramaciones!$Q$15),11))/MAX(0,NETWORKDAYS.INTL(MAX(E81,(Reprogramaciones!$T$15+7*(Reprogramaciones!$S$15-1))),MIN(F81,(Reprogramaciones!$T$15+7*(Reprogramaciones!$S$15-1))+6),11))))))))</f>
        <v/>
      </c>
    </row>
    <row r="82" customFormat="false" ht="15" hidden="false" customHeight="false" outlineLevel="0" collapsed="false">
      <c r="A82" s="32"/>
      <c r="B82" s="33"/>
      <c r="C82" s="33"/>
      <c r="D82" s="34"/>
      <c r="E82" s="35"/>
      <c r="F82" s="35"/>
      <c r="G82" s="36" t="str">
        <f aca="false">IF(OR(NOT(AND(ISNUMBER(E82),ISNUMBER(F82))),$J$2=""),"",IF(Reprogramaciones!K$9&lt;E82,0,IF(NETWORKDAYS.INTL(E82,F82,11)=0,IF(Reprogramaciones!K$9&gt;=F82,100,0),ROUND(NETWORKDAYS.INTL(E82,MIN(F82,Reprogramaciones!K$9),11)/NETWORKDAYS.INTL(E82,F82,11)*100,1)))-0)</f>
        <v/>
      </c>
      <c r="H82" s="36" t="str">
        <f aca="false">IF(OR(NOT(AND(ISNUMBER(E82),ISNUMBER(F82))),$J$2=""),"",IF(Reprogramaciones!L$9&lt;E82,0,IF(NETWORKDAYS.INTL(E82,F82,11)=0,IF(Reprogramaciones!L$9&gt;=F82,100,0),ROUND(NETWORKDAYS.INTL(E82,MIN(F82,Reprogramaciones!L$9),11)/NETWORKDAYS.INTL(E82,F82,11)*100,1)))-IF(Reprogramaciones!K$9&lt;E82,0,IF(NETWORKDAYS.INTL(E82,F82,11)=0,IF(Reprogramaciones!K$9&gt;=F82,100,0),ROUND(NETWORKDAYS.INTL(E82,MIN(F82,Reprogramaciones!K$9),11)/NETWORKDAYS.INTL(E82,F82,11)*100,1))))</f>
        <v/>
      </c>
      <c r="I82" s="36" t="str">
        <f aca="false">IF(OR(NOT(AND(ISNUMBER(E82),ISNUMBER(F82))),$J$2=""),"",IF(Reprogramaciones!M$9&lt;E82,0,IF(NETWORKDAYS.INTL(E82,F82,11)=0,IF(Reprogramaciones!M$9&gt;=F82,100,0),ROUND(NETWORKDAYS.INTL(E82,MIN(F82,Reprogramaciones!M$9),11)/NETWORKDAYS.INTL(E82,F82,11)*100,1)))-IF(Reprogramaciones!L$9&lt;E82,0,IF(NETWORKDAYS.INTL(E82,F82,11)=0,IF(Reprogramaciones!L$9&gt;=F82,100,0),ROUND(NETWORKDAYS.INTL(E82,MIN(F82,Reprogramaciones!L$9),11)/NETWORKDAYS.INTL(E82,F82,11)*100,1))))</f>
        <v/>
      </c>
      <c r="J82" s="36" t="str">
        <f aca="false">IF(OR(NOT(AND(ISNUMBER(E82),ISNUMBER(F82))),$J$2=""),"",IF(Reprogramaciones!N$9&lt;E82,0,IF(NETWORKDAYS.INTL(E82,F82,11)=0,IF(Reprogramaciones!N$9&gt;=F82,100,0),ROUND(NETWORKDAYS.INTL(E82,MIN(F82,Reprogramaciones!N$9),11)/NETWORKDAYS.INTL(E82,F82,11)*100,1)))-IF(Reprogramaciones!M$9&lt;E82,0,IF(NETWORKDAYS.INTL(E82,F82,11)=0,IF(Reprogramaciones!M$9&gt;=F82,100,0),ROUND(NETWORKDAYS.INTL(E82,MIN(F82,Reprogramaciones!M$9),11)/NETWORKDAYS.INTL(E82,F82,11)*100,1))))</f>
        <v/>
      </c>
      <c r="K82" s="36" t="str">
        <f aca="false">IF(OR(NOT(AND(ISNUMBER(E82),ISNUMBER(F82))),$J$2=""),"",IF(Reprogramaciones!O$9&lt;E82,0,IF(NETWORKDAYS.INTL(E82,F82,11)=0,IF(Reprogramaciones!O$9&gt;=F82,100,0),ROUND(NETWORKDAYS.INTL(E82,MIN(F82,Reprogramaciones!O$9),11)/NETWORKDAYS.INTL(E82,F82,11)*100,1)))-IF(Reprogramaciones!N$9&lt;E82,0,IF(NETWORKDAYS.INTL(E82,F82,11)=0,IF(Reprogramaciones!N$9&gt;=F82,100,0),ROUND(NETWORKDAYS.INTL(E82,MIN(F82,Reprogramaciones!N$9),11)/NETWORKDAYS.INTL(E82,F82,11)*100,1))))</f>
        <v/>
      </c>
      <c r="L82" s="36" t="str">
        <f aca="false">IF(OR(NOT(AND(ISNUMBER(E82),ISNUMBER(F82))),$J$2=""),"",IF(Reprogramaciones!P$9&lt;E82,0,IF(NETWORKDAYS.INTL(E82,F82,11)=0,IF(Reprogramaciones!P$9&gt;=F82,100,0),ROUND(NETWORKDAYS.INTL(E82,MIN(F82,Reprogramaciones!P$9),11)/NETWORKDAYS.INTL(E82,F82,11)*100,1)))-IF(Reprogramaciones!O$9&lt;E82,0,IF(NETWORKDAYS.INTL(E82,F82,11)=0,IF(Reprogramaciones!O$9&gt;=F82,100,0),ROUND(NETWORKDAYS.INTL(E82,MIN(F82,Reprogramaciones!O$9),11)/NETWORKDAYS.INTL(E82,F82,11)*100,1))))</f>
        <v/>
      </c>
      <c r="M82" s="36" t="str">
        <f aca="false">IF(OR(NOT(AND(ISNUMBER(E82),ISNUMBER(F82))),$J$2=""),"",IF(Reprogramaciones!Q$9&lt;E82,0,IF(NETWORKDAYS.INTL(E82,F82,11)=0,IF(Reprogramaciones!Q$9&gt;=F82,100,0),ROUND(NETWORKDAYS.INTL(E82,MIN(F82,Reprogramaciones!Q$9),11)/NETWORKDAYS.INTL(E82,F82,11)*100,1)))-IF(Reprogramaciones!P$9&lt;E82,0,IF(NETWORKDAYS.INTL(E82,F82,11)=0,IF(Reprogramaciones!P$9&gt;=F82,100,0),ROUND(NETWORKDAYS.INTL(E82,MIN(F82,Reprogramaciones!P$9),11)/NETWORKDAYS.INTL(E82,F82,11)*100,1))))</f>
        <v/>
      </c>
      <c r="N82" s="36" t="str">
        <f aca="false">IF(OR(NOT(AND(ISNUMBER(E82),ISNUMBER(F82))),$J$2=""),"",IF(Reprogramaciones!R$9&lt;E82,0,IF(NETWORKDAYS.INTL(E82,F82,11)=0,IF(Reprogramaciones!R$9&gt;=F82,100,0),ROUND(NETWORKDAYS.INTL(E82,MIN(F82,Reprogramaciones!R$9),11)/NETWORKDAYS.INTL(E82,F82,11)*100,1)))-IF(Reprogramaciones!Q$9&lt;E82,0,IF(NETWORKDAYS.INTL(E82,F82,11)=0,IF(Reprogramaciones!Q$9&gt;=F82,100,0),ROUND(NETWORKDAYS.INTL(E82,MIN(F82,Reprogramaciones!Q$9),11)/NETWORKDAYS.INTL(E82,F82,11)*100,1))))</f>
        <v/>
      </c>
      <c r="O82" s="36" t="str">
        <f aca="false">IF(OR(NOT(AND(ISNUMBER(E82),ISNUMBER(F82))),$J$2=""),"",IF(Reprogramaciones!S$9&lt;E82,0,IF(NETWORKDAYS.INTL(E82,F82,11)=0,IF(Reprogramaciones!S$9&gt;=F82,100,0),ROUND(NETWORKDAYS.INTL(E82,MIN(F82,Reprogramaciones!S$9),11)/NETWORKDAYS.INTL(E82,F82,11)*100,1)))-IF(Reprogramaciones!R$9&lt;E82,0,IF(NETWORKDAYS.INTL(E82,F82,11)=0,IF(Reprogramaciones!R$9&gt;=F82,100,0),ROUND(NETWORKDAYS.INTL(E82,MIN(F82,Reprogramaciones!R$9),11)/NETWORKDAYS.INTL(E82,F82,11)*100,1))))</f>
        <v/>
      </c>
      <c r="P82" s="36" t="str">
        <f aca="false">IF(OR(NOT(AND(ISNUMBER(E82),ISNUMBER(F82))),$J$2=""),"",IF(Reprogramaciones!T$9&lt;E82,0,IF(NETWORKDAYS.INTL(E82,F82,11)=0,IF(Reprogramaciones!T$9&gt;=F82,100,0),ROUND(NETWORKDAYS.INTL(E82,MIN(F82,Reprogramaciones!T$9),11)/NETWORKDAYS.INTL(E82,F82,11)*100,1)))-IF(Reprogramaciones!S$9&lt;E82,0,IF(NETWORKDAYS.INTL(E82,F82,11)=0,IF(Reprogramaciones!S$9&gt;=F82,100,0),ROUND(NETWORKDAYS.INTL(E82,MIN(F82,Reprogramaciones!S$9),11)/NETWORKDAYS.INTL(E82,F82,11)*100,1))))</f>
        <v/>
      </c>
      <c r="Q82" s="37"/>
      <c r="R82" s="37"/>
      <c r="S82" s="37"/>
      <c r="T82" s="37"/>
      <c r="U82" s="37"/>
      <c r="V82" s="37"/>
      <c r="W82" s="37"/>
      <c r="X82" s="37"/>
      <c r="Y82" s="37"/>
      <c r="Z82" s="37"/>
      <c r="AA82" s="37"/>
      <c r="AB82" s="37"/>
      <c r="AC82" s="37"/>
      <c r="AD82" s="37"/>
      <c r="AE82" s="37"/>
      <c r="AF82" s="37"/>
      <c r="AG82" s="38" t="str">
        <f aca="false">IF(AND(ISNUMBER(E82),ISNUMBER(F82)),NETWORKDAYS.INTL(E82,F82,11),"")</f>
        <v/>
      </c>
      <c r="AH82" s="38" t="str">
        <f aca="false">IF(OR(NOT(AND(ISNUMBER(E82),ISNUMBER(F82))),$J$2=""),"",IF(Reprogramaciones!$P$15&lt;Reprogramaciones!$T$15,0,IF(Reprogramaciones!$R$15&gt;10,MIN(100,SUM($G82:$P82)),MIN(100,SUMPRODUCT((COLUMN($G82:$P82)-COLUMN($G82)+1&lt;Reprogramaciones!$R$15)*$G82:$P82)+N(INDEX($G82:$P82,1,Reprogramaciones!$R$15))*IF(Reprogramaciones!$P$15&gt;=(Reprogramaciones!$T$15+7*(Reprogramaciones!$R$15-1))+6,1,IF(MAX(0,NETWORKDAYS.INTL(MAX(E82,(Reprogramaciones!$T$15+7*(Reprogramaciones!$R$15-1))),MIN(F82,(Reprogramaciones!$T$15+7*(Reprogramaciones!$R$15-1))+6),11))=0,0,MAX(0,NETWORKDAYS.INTL(MAX(E82,(Reprogramaciones!$T$15+7*(Reprogramaciones!$R$15-1))),MIN(F82,Reprogramaciones!$P$15),11))/MAX(0,NETWORKDAYS.INTL(MAX(E82,(Reprogramaciones!$T$15+7*(Reprogramaciones!$R$15-1))),MIN(F82,(Reprogramaciones!$T$15+7*(Reprogramaciones!$R$15-1))+6),11))))))))</f>
        <v/>
      </c>
      <c r="AI82" s="38" t="str">
        <f aca="false">IF(COUNT($Q82:$AF82)=0,"",IF(ROUND(SUM($Q82:$AF82),1)&gt;=99.5,100,MIN(100,ROUND(SUM($Q82:$AF82),1))))</f>
        <v/>
      </c>
      <c r="AJ82" s="38" t="str">
        <f aca="false">IF(OR(AH82="",AI82=""),"",AI82-AH82)</f>
        <v/>
      </c>
      <c r="AK82" s="39" t="str">
        <f aca="true">IF(AH82="","",IF(OR(Ficha!$C$10="Suspendida",Ficha!$C$10="Cancelada"),Ficha!$C$10,IF(AND(AI82&lt;&gt;"",N(AI82)&gt;=100),"Completada",IF(AND(E82&gt;TODAY(),N(AI82)=0),"Por iniciar",IF(N(AI82)+0.5&lt;AH82,"Retrasada",IF(N(AI82)+0.5&lt;DA82,IF(Reprogramaciones!$K$15&gt;0,"Al día · Sem "&amp;Reprogramaciones!$K$15&amp;" en curso","Al día · en curso"),"A tiempo"))))))</f>
        <v/>
      </c>
      <c r="AL82" s="39" t="str">
        <f aca="true">IF(AND(A82="",AND(B82="",C82="",E82="",F82="",COUNT(Q82:AF82)=0)),"",IF(AND(B82="",C82="",E82="",F82="",COUNT(Q82:AF82)=0),"Falta la partida o subpartida",IF(AND(A82&lt;&gt;"",COUNTIF($A$6:$A$305,A82)&gt;1),"Ítem repetido",IF(AND(C82="",E82="",F82="",COUNT(Q82:AF82)=0),"Título de partida",IF(OR(E82="",F82=""),"Faltan fechas",IF(OR(ISTEXT(E82),ISTEXT(F82)),"Fecha escrita como texto: usa dd/mm/aaaa",IF(F82&lt;E82,"Fin antes del inicio",IF(IF($J$2="",FALSE(),OR(E82&lt;$J$2,F82&gt;Reprogramaciones!$T$15+69)),"Fuera de las 10 semanas",IF(ABS(SUM(G82:P82)-100)&gt;0.5,"La meta no suma 100%",IF(ROUND(SUM(Q82:AF82),1)&gt;100.5,"El avance pasa de 100%",IF(MIN(Q82:AF82)&lt;0,"Avance negativo",IF(COUNTA(Q82:AF82)&gt;COUNT(Q82:AF82),"Avance escrito como texto",IF(SUMPRODUCT((Q82:AF82&gt;0)*(Q82:AF82&lt;1))&gt;0,"Avance menor a 1: escribe 50, no 50%",IF(SUMPRODUCT(ISNUMBER(Q82:AF82)*(Reprogramaciones!$K$8:$Z$8&gt;TODAY()))&gt;0,"Avance en semana que aún no llega",IF(AND(N(Reprogramaciones!$E$21)&gt;0,F82&gt;Reprogramaciones!$E$21),"Pasa el fin de la obra: registra una reprogramación",IF(AND(N(Reprogramaciones!$E$21)&gt;0,SUMPRODUCT(ISNUMBER(Q82:AF82)*(Reprogramaciones!$K$8:$Z$8&gt;Reprogramaciones!$E$21))&gt;0),"Avance después del fin de la obra: registra una reprogramación por atraso","OK"))))))))))))))))</f>
        <v/>
      </c>
      <c r="AM82" s="40" t="str">
        <f aca="false">IF(OR(OR(NOT(AND(ISNUMBER(E82),ISNUMBER(F82))),$J$2=""),1&gt;MAX(1,Reprogramaciones!$U$15)),"",IF(Reprogramaciones!K$12&gt;=7,"",IF(OR(BT82-N(0)&gt;0.05,N(Q82)&gt;0),ROUNDDOWN(ROUND(BT82,6),0)&amp;"%"&amp;IF(CJ82="",""," / "&amp;CJ82&amp;"%"),IF(AND(N(0)&gt;=99.95,CJ82&lt;&gt;"",N(CJ82)&lt;100),"Pend. "&amp;CJ82&amp;"%",""))))</f>
        <v/>
      </c>
      <c r="AN82" s="40" t="str">
        <f aca="false">IF(OR(OR(NOT(AND(ISNUMBER(E82),ISNUMBER(F82))),$J$2=""),2&gt;MAX(1,Reprogramaciones!$U$15)),"",IF(Reprogramaciones!L$12&gt;=7,"",IF(OR(BU82-N(BT82)&gt;0.05,N(R82)&gt;0),ROUNDDOWN(ROUND(BU82,6),0)&amp;"%"&amp;IF(CK82="",""," / "&amp;CK82&amp;"%"),IF(AND(N(BT82)&gt;=99.95,CK82&lt;&gt;"",N(CK82)&lt;100),"Pend. "&amp;CK82&amp;"%",""))))</f>
        <v/>
      </c>
      <c r="AO82" s="40" t="str">
        <f aca="false">IF(OR(OR(NOT(AND(ISNUMBER(E82),ISNUMBER(F82))),$J$2=""),3&gt;MAX(1,Reprogramaciones!$U$15)),"",IF(Reprogramaciones!M$12&gt;=7,"",IF(OR(BV82-N(BU82)&gt;0.05,N(S82)&gt;0),ROUNDDOWN(ROUND(BV82,6),0)&amp;"%"&amp;IF(CL82="",""," / "&amp;CL82&amp;"%"),IF(AND(N(BU82)&gt;=99.95,CL82&lt;&gt;"",N(CL82)&lt;100),"Pend. "&amp;CL82&amp;"%",""))))</f>
        <v/>
      </c>
      <c r="AP82" s="40" t="str">
        <f aca="false">IF(OR(OR(NOT(AND(ISNUMBER(E82),ISNUMBER(F82))),$J$2=""),4&gt;MAX(1,Reprogramaciones!$U$15)),"",IF(Reprogramaciones!N$12&gt;=7,"",IF(OR(BW82-N(BV82)&gt;0.05,N(T82)&gt;0),ROUNDDOWN(ROUND(BW82,6),0)&amp;"%"&amp;IF(CM82="",""," / "&amp;CM82&amp;"%"),IF(AND(N(BV82)&gt;=99.95,CM82&lt;&gt;"",N(CM82)&lt;100),"Pend. "&amp;CM82&amp;"%",""))))</f>
        <v/>
      </c>
      <c r="AQ82" s="40" t="str">
        <f aca="false">IF(OR(OR(NOT(AND(ISNUMBER(E82),ISNUMBER(F82))),$J$2=""),5&gt;MAX(1,Reprogramaciones!$U$15)),"",IF(Reprogramaciones!O$12&gt;=7,"",IF(OR(BX82-N(BW82)&gt;0.05,N(U82)&gt;0),ROUNDDOWN(ROUND(BX82,6),0)&amp;"%"&amp;IF(CN82="",""," / "&amp;CN82&amp;"%"),IF(AND(N(BW82)&gt;=99.95,CN82&lt;&gt;"",N(CN82)&lt;100),"Pend. "&amp;CN82&amp;"%",""))))</f>
        <v/>
      </c>
      <c r="AR82" s="40" t="str">
        <f aca="false">IF(OR(OR(NOT(AND(ISNUMBER(E82),ISNUMBER(F82))),$J$2=""),6&gt;MAX(1,Reprogramaciones!$U$15)),"",IF(Reprogramaciones!P$12&gt;=7,"",IF(OR(BY82-N(BX82)&gt;0.05,N(V82)&gt;0),ROUNDDOWN(ROUND(BY82,6),0)&amp;"%"&amp;IF(CO82="",""," / "&amp;CO82&amp;"%"),IF(AND(N(BX82)&gt;=99.95,CO82&lt;&gt;"",N(CO82)&lt;100),"Pend. "&amp;CO82&amp;"%",""))))</f>
        <v/>
      </c>
      <c r="AS82" s="40" t="str">
        <f aca="false">IF(OR(OR(NOT(AND(ISNUMBER(E82),ISNUMBER(F82))),$J$2=""),7&gt;MAX(1,Reprogramaciones!$U$15)),"",IF(Reprogramaciones!Q$12&gt;=7,"",IF(OR(BZ82-N(BY82)&gt;0.05,N(W82)&gt;0),ROUNDDOWN(ROUND(BZ82,6),0)&amp;"%"&amp;IF(CP82="",""," / "&amp;CP82&amp;"%"),IF(AND(N(BY82)&gt;=99.95,CP82&lt;&gt;"",N(CP82)&lt;100),"Pend. "&amp;CP82&amp;"%",""))))</f>
        <v/>
      </c>
      <c r="AT82" s="40" t="str">
        <f aca="false">IF(OR(OR(NOT(AND(ISNUMBER(E82),ISNUMBER(F82))),$J$2=""),8&gt;MAX(1,Reprogramaciones!$U$15)),"",IF(Reprogramaciones!R$12&gt;=7,"",IF(OR(CA82-N(BZ82)&gt;0.05,N(X82)&gt;0),ROUNDDOWN(ROUND(CA82,6),0)&amp;"%"&amp;IF(CQ82="",""," / "&amp;CQ82&amp;"%"),IF(AND(N(BZ82)&gt;=99.95,CQ82&lt;&gt;"",N(CQ82)&lt;100),"Pend. "&amp;CQ82&amp;"%",""))))</f>
        <v/>
      </c>
      <c r="AU82" s="40" t="str">
        <f aca="false">IF(OR(OR(NOT(AND(ISNUMBER(E82),ISNUMBER(F82))),$J$2=""),9&gt;MAX(1,Reprogramaciones!$U$15)),"",IF(Reprogramaciones!S$12&gt;=7,"",IF(OR(CB82-N(CA82)&gt;0.05,N(Y82)&gt;0),ROUNDDOWN(ROUND(CB82,6),0)&amp;"%"&amp;IF(CR82="",""," / "&amp;CR82&amp;"%"),IF(AND(N(CA82)&gt;=99.95,CR82&lt;&gt;"",N(CR82)&lt;100),"Pend. "&amp;CR82&amp;"%",""))))</f>
        <v/>
      </c>
      <c r="AV82" s="40" t="str">
        <f aca="false">IF(OR(OR(NOT(AND(ISNUMBER(E82),ISNUMBER(F82))),$J$2=""),10&gt;MAX(1,Reprogramaciones!$U$15)),"",IF(Reprogramaciones!T$12&gt;=7,"",IF(OR(CC82-N(CB82)&gt;0.05,N(Z82)&gt;0),ROUNDDOWN(ROUND(CC82,6),0)&amp;"%"&amp;IF(CS82="",""," / "&amp;CS82&amp;"%"),IF(AND(N(CB82)&gt;=99.95,CS82&lt;&gt;"",N(CS82)&lt;100),"Pend. "&amp;CS82&amp;"%",""))))</f>
        <v/>
      </c>
      <c r="AW82" s="40" t="str">
        <f aca="false">IF(OR(OR(NOT(AND(ISNUMBER(E82),ISNUMBER(F82))),$J$2=""),11&gt;MAX(1,Reprogramaciones!$U$15)),"",IF(Reprogramaciones!U$12&gt;=7,"",IF(OR(CD82-N(CC82)&gt;0.05,N(AA82)&gt;0),ROUNDDOWN(ROUND(CD82,6),0)&amp;"%"&amp;IF(CT82="",""," / "&amp;CT82&amp;"%"),IF(AND(N(CC82)&gt;=99.95,CT82&lt;&gt;"",N(CT82)&lt;100),"Pend. "&amp;CT82&amp;"%",""))))</f>
        <v/>
      </c>
      <c r="AX82" s="40" t="str">
        <f aca="false">IF(OR(OR(NOT(AND(ISNUMBER(E82),ISNUMBER(F82))),$J$2=""),12&gt;MAX(1,Reprogramaciones!$U$15)),"",IF(Reprogramaciones!V$12&gt;=7,"",IF(OR(CE82-N(CD82)&gt;0.05,N(AB82)&gt;0),ROUNDDOWN(ROUND(CE82,6),0)&amp;"%"&amp;IF(CU82="",""," / "&amp;CU82&amp;"%"),IF(AND(N(CD82)&gt;=99.95,CU82&lt;&gt;"",N(CU82)&lt;100),"Pend. "&amp;CU82&amp;"%",""))))</f>
        <v/>
      </c>
      <c r="AY82" s="40" t="str">
        <f aca="false">IF(OR(OR(NOT(AND(ISNUMBER(E82),ISNUMBER(F82))),$J$2=""),13&gt;MAX(1,Reprogramaciones!$U$15)),"",IF(Reprogramaciones!W$12&gt;=7,"",IF(OR(CF82-N(CE82)&gt;0.05,N(AC82)&gt;0),ROUNDDOWN(ROUND(CF82,6),0)&amp;"%"&amp;IF(CV82="",""," / "&amp;CV82&amp;"%"),IF(AND(N(CE82)&gt;=99.95,CV82&lt;&gt;"",N(CV82)&lt;100),"Pend. "&amp;CV82&amp;"%",""))))</f>
        <v/>
      </c>
      <c r="AZ82" s="40" t="str">
        <f aca="false">IF(OR(OR(NOT(AND(ISNUMBER(E82),ISNUMBER(F82))),$J$2=""),14&gt;MAX(1,Reprogramaciones!$U$15)),"",IF(Reprogramaciones!X$12&gt;=7,"",IF(OR(CG82-N(CF82)&gt;0.05,N(AD82)&gt;0),ROUNDDOWN(ROUND(CG82,6),0)&amp;"%"&amp;IF(CW82="",""," / "&amp;CW82&amp;"%"),IF(AND(N(CF82)&gt;=99.95,CW82&lt;&gt;"",N(CW82)&lt;100),"Pend. "&amp;CW82&amp;"%",""))))</f>
        <v/>
      </c>
      <c r="BA82" s="40" t="str">
        <f aca="false">IF(OR(OR(NOT(AND(ISNUMBER(E82),ISNUMBER(F82))),$J$2=""),15&gt;MAX(1,Reprogramaciones!$U$15)),"",IF(Reprogramaciones!Y$12&gt;=7,"",IF(OR(CH82-N(CG82)&gt;0.05,N(AE82)&gt;0),ROUNDDOWN(ROUND(CH82,6),0)&amp;"%"&amp;IF(CX82="",""," / "&amp;CX82&amp;"%"),IF(AND(N(CG82)&gt;=99.95,CX82&lt;&gt;"",N(CX82)&lt;100),"Pend. "&amp;CX82&amp;"%",""))))</f>
        <v/>
      </c>
      <c r="BB82" s="40" t="str">
        <f aca="false">IF(OR(OR(NOT(AND(ISNUMBER(E82),ISNUMBER(F82))),$J$2=""),16&gt;MAX(1,Reprogramaciones!$U$15)),"",IF(Reprogramaciones!Z$12&gt;=7,"",IF(OR(CI82-N(CH82)&gt;0.05,N(AF82)&gt;0),ROUNDDOWN(ROUND(CI82,6),0)&amp;"%"&amp;IF(CY82="",""," / "&amp;CY82&amp;"%"),IF(AND(N(CH82)&gt;=99.95,CY82&lt;&gt;"",N(CY82)&lt;100),"Pend. "&amp;CY82&amp;"%",""))))</f>
        <v/>
      </c>
      <c r="BC82" s="31" t="n">
        <f aca="false">IF(AND(ISNUMBER(E82),ISNUMBER(F82)),MAX(1,NETWORKDAYS.INTL(E82,F82,11)),0)</f>
        <v>0</v>
      </c>
      <c r="BD82" s="1" t="str">
        <f aca="false">IF(OR(NOT(AND(ISNUMBER(E82),ISNUMBER(F82))),$J$2=""),"",MIN(100,ROUND(SUM($G82:G82),1)))</f>
        <v/>
      </c>
      <c r="BE82" s="1" t="str">
        <f aca="false">IF(OR(NOT(AND(ISNUMBER(E82),ISNUMBER(F82))),$J$2=""),"",MIN(100,ROUND(SUM($G82:H82),1)))</f>
        <v/>
      </c>
      <c r="BF82" s="1" t="str">
        <f aca="false">IF(OR(NOT(AND(ISNUMBER(E82),ISNUMBER(F82))),$J$2=""),"",MIN(100,ROUND(SUM($G82:I82),1)))</f>
        <v/>
      </c>
      <c r="BG82" s="1" t="str">
        <f aca="false">IF(OR(NOT(AND(ISNUMBER(E82),ISNUMBER(F82))),$J$2=""),"",MIN(100,ROUND(SUM($G82:J82),1)))</f>
        <v/>
      </c>
      <c r="BH82" s="1" t="str">
        <f aca="false">IF(OR(NOT(AND(ISNUMBER(E82),ISNUMBER(F82))),$J$2=""),"",MIN(100,ROUND(SUM($G82:K82),1)))</f>
        <v/>
      </c>
      <c r="BI82" s="1" t="str">
        <f aca="false">IF(OR(NOT(AND(ISNUMBER(E82),ISNUMBER(F82))),$J$2=""),"",MIN(100,ROUND(SUM($G82:L82),1)))</f>
        <v/>
      </c>
      <c r="BJ82" s="1" t="str">
        <f aca="false">IF(OR(NOT(AND(ISNUMBER(E82),ISNUMBER(F82))),$J$2=""),"",MIN(100,ROUND(SUM($G82:M82),1)))</f>
        <v/>
      </c>
      <c r="BK82" s="1" t="str">
        <f aca="false">IF(OR(NOT(AND(ISNUMBER(E82),ISNUMBER(F82))),$J$2=""),"",MIN(100,ROUND(SUM($G82:N82),1)))</f>
        <v/>
      </c>
      <c r="BL82" s="1" t="str">
        <f aca="false">IF(OR(NOT(AND(ISNUMBER(E82),ISNUMBER(F82))),$J$2=""),"",MIN(100,ROUND(SUM($G82:O82),1)))</f>
        <v/>
      </c>
      <c r="BM82" s="1" t="str">
        <f aca="false">IF(OR(NOT(AND(ISNUMBER(E82),ISNUMBER(F82))),$J$2=""),"",MIN(100,ROUND(SUM($G82:P82),1)))</f>
        <v/>
      </c>
      <c r="BN82" s="1" t="str">
        <f aca="false">IF(OR(NOT(AND(ISNUMBER(E82),ISNUMBER(F82))),$J$2=""),"",MIN(100,ROUND(SUM($G82:P82),1)))</f>
        <v/>
      </c>
      <c r="BO82" s="1" t="str">
        <f aca="false">IF(OR(NOT(AND(ISNUMBER(E82),ISNUMBER(F82))),$J$2=""),"",MIN(100,ROUND(SUM($G82:P82),1)))</f>
        <v/>
      </c>
      <c r="BP82" s="1" t="str">
        <f aca="false">IF(OR(NOT(AND(ISNUMBER(E82),ISNUMBER(F82))),$J$2=""),"",MIN(100,ROUND(SUM($G82:P82),1)))</f>
        <v/>
      </c>
      <c r="BQ82" s="1" t="str">
        <f aca="false">IF(OR(NOT(AND(ISNUMBER(E82),ISNUMBER(F82))),$J$2=""),"",MIN(100,ROUND(SUM($G82:P82),1)))</f>
        <v/>
      </c>
      <c r="BR82" s="1" t="str">
        <f aca="false">IF(OR(NOT(AND(ISNUMBER(E82),ISNUMBER(F82))),$J$2=""),"",MIN(100,ROUND(SUM($G82:P82),1)))</f>
        <v/>
      </c>
      <c r="BS82" s="1" t="str">
        <f aca="false">IF(OR(NOT(AND(ISNUMBER(E82),ISNUMBER(F82))),$J$2=""),"",MIN(100,ROUND(SUM($G82:P82),1)))</f>
        <v/>
      </c>
      <c r="BT82" s="1" t="str">
        <f aca="false">IF(OR(NOT(AND(ISNUMBER(E82),ISNUMBER(F82))),$J$2=""),"",IF(Reprogramaciones!K$13&lt;Reprogramaciones!$T$15,0,IF(Reprogramaciones!K$14&gt;10,MIN(100,SUM($G82:$P82)),MIN(100,SUMPRODUCT((COLUMN($G82:$P82)-COLUMN($G82)+1&lt;Reprogramaciones!K$14)*$G82:$P82)+N(INDEX($G82:$P82,1,Reprogramaciones!K$14))*IF(Reprogramaciones!K$13&gt;=(Reprogramaciones!$T$15+7*(Reprogramaciones!K$14-1))+6,1,IF(MAX(0,NETWORKDAYS.INTL(MAX(E82,(Reprogramaciones!$T$15+7*(Reprogramaciones!K$14-1))),MIN(F82,(Reprogramaciones!$T$15+7*(Reprogramaciones!K$14-1))+6),11))=0,0,MAX(0,NETWORKDAYS.INTL(MAX(E82,(Reprogramaciones!$T$15+7*(Reprogramaciones!K$14-1))),MIN(F82,Reprogramaciones!K$13),11))/MAX(0,NETWORKDAYS.INTL(MAX(E82,(Reprogramaciones!$T$15+7*(Reprogramaciones!K$14-1))),MIN(F82,(Reprogramaciones!$T$15+7*(Reprogramaciones!K$14-1))+6),11))))))))</f>
        <v/>
      </c>
      <c r="BU82" s="1" t="str">
        <f aca="false">IF(OR(NOT(AND(ISNUMBER(E82),ISNUMBER(F82))),$J$2=""),"",IF(Reprogramaciones!L$13&lt;Reprogramaciones!$T$15,0,IF(Reprogramaciones!L$14&gt;10,MIN(100,SUM($G82:$P82)),MIN(100,SUMPRODUCT((COLUMN($G82:$P82)-COLUMN($G82)+1&lt;Reprogramaciones!L$14)*$G82:$P82)+N(INDEX($G82:$P82,1,Reprogramaciones!L$14))*IF(Reprogramaciones!L$13&gt;=(Reprogramaciones!$T$15+7*(Reprogramaciones!L$14-1))+6,1,IF(MAX(0,NETWORKDAYS.INTL(MAX(E82,(Reprogramaciones!$T$15+7*(Reprogramaciones!L$14-1))),MIN(F82,(Reprogramaciones!$T$15+7*(Reprogramaciones!L$14-1))+6),11))=0,0,MAX(0,NETWORKDAYS.INTL(MAX(E82,(Reprogramaciones!$T$15+7*(Reprogramaciones!L$14-1))),MIN(F82,Reprogramaciones!L$13),11))/MAX(0,NETWORKDAYS.INTL(MAX(E82,(Reprogramaciones!$T$15+7*(Reprogramaciones!L$14-1))),MIN(F82,(Reprogramaciones!$T$15+7*(Reprogramaciones!L$14-1))+6),11))))))))</f>
        <v/>
      </c>
      <c r="BV82" s="1" t="str">
        <f aca="false">IF(OR(NOT(AND(ISNUMBER(E82),ISNUMBER(F82))),$J$2=""),"",IF(Reprogramaciones!M$13&lt;Reprogramaciones!$T$15,0,IF(Reprogramaciones!M$14&gt;10,MIN(100,SUM($G82:$P82)),MIN(100,SUMPRODUCT((COLUMN($G82:$P82)-COLUMN($G82)+1&lt;Reprogramaciones!M$14)*$G82:$P82)+N(INDEX($G82:$P82,1,Reprogramaciones!M$14))*IF(Reprogramaciones!M$13&gt;=(Reprogramaciones!$T$15+7*(Reprogramaciones!M$14-1))+6,1,IF(MAX(0,NETWORKDAYS.INTL(MAX(E82,(Reprogramaciones!$T$15+7*(Reprogramaciones!M$14-1))),MIN(F82,(Reprogramaciones!$T$15+7*(Reprogramaciones!M$14-1))+6),11))=0,0,MAX(0,NETWORKDAYS.INTL(MAX(E82,(Reprogramaciones!$T$15+7*(Reprogramaciones!M$14-1))),MIN(F82,Reprogramaciones!M$13),11))/MAX(0,NETWORKDAYS.INTL(MAX(E82,(Reprogramaciones!$T$15+7*(Reprogramaciones!M$14-1))),MIN(F82,(Reprogramaciones!$T$15+7*(Reprogramaciones!M$14-1))+6),11))))))))</f>
        <v/>
      </c>
      <c r="BW82" s="1" t="str">
        <f aca="false">IF(OR(NOT(AND(ISNUMBER(E82),ISNUMBER(F82))),$J$2=""),"",IF(Reprogramaciones!N$13&lt;Reprogramaciones!$T$15,0,IF(Reprogramaciones!N$14&gt;10,MIN(100,SUM($G82:$P82)),MIN(100,SUMPRODUCT((COLUMN($G82:$P82)-COLUMN($G82)+1&lt;Reprogramaciones!N$14)*$G82:$P82)+N(INDEX($G82:$P82,1,Reprogramaciones!N$14))*IF(Reprogramaciones!N$13&gt;=(Reprogramaciones!$T$15+7*(Reprogramaciones!N$14-1))+6,1,IF(MAX(0,NETWORKDAYS.INTL(MAX(E82,(Reprogramaciones!$T$15+7*(Reprogramaciones!N$14-1))),MIN(F82,(Reprogramaciones!$T$15+7*(Reprogramaciones!N$14-1))+6),11))=0,0,MAX(0,NETWORKDAYS.INTL(MAX(E82,(Reprogramaciones!$T$15+7*(Reprogramaciones!N$14-1))),MIN(F82,Reprogramaciones!N$13),11))/MAX(0,NETWORKDAYS.INTL(MAX(E82,(Reprogramaciones!$T$15+7*(Reprogramaciones!N$14-1))),MIN(F82,(Reprogramaciones!$T$15+7*(Reprogramaciones!N$14-1))+6),11))))))))</f>
        <v/>
      </c>
      <c r="BX82" s="1" t="str">
        <f aca="false">IF(OR(NOT(AND(ISNUMBER(E82),ISNUMBER(F82))),$J$2=""),"",IF(Reprogramaciones!O$13&lt;Reprogramaciones!$T$15,0,IF(Reprogramaciones!O$14&gt;10,MIN(100,SUM($G82:$P82)),MIN(100,SUMPRODUCT((COLUMN($G82:$P82)-COLUMN($G82)+1&lt;Reprogramaciones!O$14)*$G82:$P82)+N(INDEX($G82:$P82,1,Reprogramaciones!O$14))*IF(Reprogramaciones!O$13&gt;=(Reprogramaciones!$T$15+7*(Reprogramaciones!O$14-1))+6,1,IF(MAX(0,NETWORKDAYS.INTL(MAX(E82,(Reprogramaciones!$T$15+7*(Reprogramaciones!O$14-1))),MIN(F82,(Reprogramaciones!$T$15+7*(Reprogramaciones!O$14-1))+6),11))=0,0,MAX(0,NETWORKDAYS.INTL(MAX(E82,(Reprogramaciones!$T$15+7*(Reprogramaciones!O$14-1))),MIN(F82,Reprogramaciones!O$13),11))/MAX(0,NETWORKDAYS.INTL(MAX(E82,(Reprogramaciones!$T$15+7*(Reprogramaciones!O$14-1))),MIN(F82,(Reprogramaciones!$T$15+7*(Reprogramaciones!O$14-1))+6),11))))))))</f>
        <v/>
      </c>
      <c r="BY82" s="1" t="str">
        <f aca="false">IF(OR(NOT(AND(ISNUMBER(E82),ISNUMBER(F82))),$J$2=""),"",IF(Reprogramaciones!P$13&lt;Reprogramaciones!$T$15,0,IF(Reprogramaciones!P$14&gt;10,MIN(100,SUM($G82:$P82)),MIN(100,SUMPRODUCT((COLUMN($G82:$P82)-COLUMN($G82)+1&lt;Reprogramaciones!P$14)*$G82:$P82)+N(INDEX($G82:$P82,1,Reprogramaciones!P$14))*IF(Reprogramaciones!P$13&gt;=(Reprogramaciones!$T$15+7*(Reprogramaciones!P$14-1))+6,1,IF(MAX(0,NETWORKDAYS.INTL(MAX(E82,(Reprogramaciones!$T$15+7*(Reprogramaciones!P$14-1))),MIN(F82,(Reprogramaciones!$T$15+7*(Reprogramaciones!P$14-1))+6),11))=0,0,MAX(0,NETWORKDAYS.INTL(MAX(E82,(Reprogramaciones!$T$15+7*(Reprogramaciones!P$14-1))),MIN(F82,Reprogramaciones!P$13),11))/MAX(0,NETWORKDAYS.INTL(MAX(E82,(Reprogramaciones!$T$15+7*(Reprogramaciones!P$14-1))),MIN(F82,(Reprogramaciones!$T$15+7*(Reprogramaciones!P$14-1))+6),11))))))))</f>
        <v/>
      </c>
      <c r="BZ82" s="1" t="str">
        <f aca="false">IF(OR(NOT(AND(ISNUMBER(E82),ISNUMBER(F82))),$J$2=""),"",IF(Reprogramaciones!Q$13&lt;Reprogramaciones!$T$15,0,IF(Reprogramaciones!Q$14&gt;10,MIN(100,SUM($G82:$P82)),MIN(100,SUMPRODUCT((COLUMN($G82:$P82)-COLUMN($G82)+1&lt;Reprogramaciones!Q$14)*$G82:$P82)+N(INDEX($G82:$P82,1,Reprogramaciones!Q$14))*IF(Reprogramaciones!Q$13&gt;=(Reprogramaciones!$T$15+7*(Reprogramaciones!Q$14-1))+6,1,IF(MAX(0,NETWORKDAYS.INTL(MAX(E82,(Reprogramaciones!$T$15+7*(Reprogramaciones!Q$14-1))),MIN(F82,(Reprogramaciones!$T$15+7*(Reprogramaciones!Q$14-1))+6),11))=0,0,MAX(0,NETWORKDAYS.INTL(MAX(E82,(Reprogramaciones!$T$15+7*(Reprogramaciones!Q$14-1))),MIN(F82,Reprogramaciones!Q$13),11))/MAX(0,NETWORKDAYS.INTL(MAX(E82,(Reprogramaciones!$T$15+7*(Reprogramaciones!Q$14-1))),MIN(F82,(Reprogramaciones!$T$15+7*(Reprogramaciones!Q$14-1))+6),11))))))))</f>
        <v/>
      </c>
      <c r="CA82" s="1" t="str">
        <f aca="false">IF(OR(NOT(AND(ISNUMBER(E82),ISNUMBER(F82))),$J$2=""),"",IF(Reprogramaciones!R$13&lt;Reprogramaciones!$T$15,0,IF(Reprogramaciones!R$14&gt;10,MIN(100,SUM($G82:$P82)),MIN(100,SUMPRODUCT((COLUMN($G82:$P82)-COLUMN($G82)+1&lt;Reprogramaciones!R$14)*$G82:$P82)+N(INDEX($G82:$P82,1,Reprogramaciones!R$14))*IF(Reprogramaciones!R$13&gt;=(Reprogramaciones!$T$15+7*(Reprogramaciones!R$14-1))+6,1,IF(MAX(0,NETWORKDAYS.INTL(MAX(E82,(Reprogramaciones!$T$15+7*(Reprogramaciones!R$14-1))),MIN(F82,(Reprogramaciones!$T$15+7*(Reprogramaciones!R$14-1))+6),11))=0,0,MAX(0,NETWORKDAYS.INTL(MAX(E82,(Reprogramaciones!$T$15+7*(Reprogramaciones!R$14-1))),MIN(F82,Reprogramaciones!R$13),11))/MAX(0,NETWORKDAYS.INTL(MAX(E82,(Reprogramaciones!$T$15+7*(Reprogramaciones!R$14-1))),MIN(F82,(Reprogramaciones!$T$15+7*(Reprogramaciones!R$14-1))+6),11))))))))</f>
        <v/>
      </c>
      <c r="CB82" s="1" t="str">
        <f aca="false">IF(OR(NOT(AND(ISNUMBER(E82),ISNUMBER(F82))),$J$2=""),"",IF(Reprogramaciones!S$13&lt;Reprogramaciones!$T$15,0,IF(Reprogramaciones!S$14&gt;10,MIN(100,SUM($G82:$P82)),MIN(100,SUMPRODUCT((COLUMN($G82:$P82)-COLUMN($G82)+1&lt;Reprogramaciones!S$14)*$G82:$P82)+N(INDEX($G82:$P82,1,Reprogramaciones!S$14))*IF(Reprogramaciones!S$13&gt;=(Reprogramaciones!$T$15+7*(Reprogramaciones!S$14-1))+6,1,IF(MAX(0,NETWORKDAYS.INTL(MAX(E82,(Reprogramaciones!$T$15+7*(Reprogramaciones!S$14-1))),MIN(F82,(Reprogramaciones!$T$15+7*(Reprogramaciones!S$14-1))+6),11))=0,0,MAX(0,NETWORKDAYS.INTL(MAX(E82,(Reprogramaciones!$T$15+7*(Reprogramaciones!S$14-1))),MIN(F82,Reprogramaciones!S$13),11))/MAX(0,NETWORKDAYS.INTL(MAX(E82,(Reprogramaciones!$T$15+7*(Reprogramaciones!S$14-1))),MIN(F82,(Reprogramaciones!$T$15+7*(Reprogramaciones!S$14-1))+6),11))))))))</f>
        <v/>
      </c>
      <c r="CC82" s="1" t="str">
        <f aca="false">IF(OR(NOT(AND(ISNUMBER(E82),ISNUMBER(F82))),$J$2=""),"",IF(Reprogramaciones!T$13&lt;Reprogramaciones!$T$15,0,IF(Reprogramaciones!T$14&gt;10,MIN(100,SUM($G82:$P82)),MIN(100,SUMPRODUCT((COLUMN($G82:$P82)-COLUMN($G82)+1&lt;Reprogramaciones!T$14)*$G82:$P82)+N(INDEX($G82:$P82,1,Reprogramaciones!T$14))*IF(Reprogramaciones!T$13&gt;=(Reprogramaciones!$T$15+7*(Reprogramaciones!T$14-1))+6,1,IF(MAX(0,NETWORKDAYS.INTL(MAX(E82,(Reprogramaciones!$T$15+7*(Reprogramaciones!T$14-1))),MIN(F82,(Reprogramaciones!$T$15+7*(Reprogramaciones!T$14-1))+6),11))=0,0,MAX(0,NETWORKDAYS.INTL(MAX(E82,(Reprogramaciones!$T$15+7*(Reprogramaciones!T$14-1))),MIN(F82,Reprogramaciones!T$13),11))/MAX(0,NETWORKDAYS.INTL(MAX(E82,(Reprogramaciones!$T$15+7*(Reprogramaciones!T$14-1))),MIN(F82,(Reprogramaciones!$T$15+7*(Reprogramaciones!T$14-1))+6),11))))))))</f>
        <v/>
      </c>
      <c r="CD82" s="1" t="str">
        <f aca="false">IF(OR(NOT(AND(ISNUMBER(E82),ISNUMBER(F82))),$J$2=""),"",IF(Reprogramaciones!U$13&lt;Reprogramaciones!$T$15,0,IF(Reprogramaciones!U$14&gt;10,MIN(100,SUM($G82:$P82)),MIN(100,SUMPRODUCT((COLUMN($G82:$P82)-COLUMN($G82)+1&lt;Reprogramaciones!U$14)*$G82:$P82)+N(INDEX($G82:$P82,1,Reprogramaciones!U$14))*IF(Reprogramaciones!U$13&gt;=(Reprogramaciones!$T$15+7*(Reprogramaciones!U$14-1))+6,1,IF(MAX(0,NETWORKDAYS.INTL(MAX(E82,(Reprogramaciones!$T$15+7*(Reprogramaciones!U$14-1))),MIN(F82,(Reprogramaciones!$T$15+7*(Reprogramaciones!U$14-1))+6),11))=0,0,MAX(0,NETWORKDAYS.INTL(MAX(E82,(Reprogramaciones!$T$15+7*(Reprogramaciones!U$14-1))),MIN(F82,Reprogramaciones!U$13),11))/MAX(0,NETWORKDAYS.INTL(MAX(E82,(Reprogramaciones!$T$15+7*(Reprogramaciones!U$14-1))),MIN(F82,(Reprogramaciones!$T$15+7*(Reprogramaciones!U$14-1))+6),11))))))))</f>
        <v/>
      </c>
      <c r="CE82" s="1" t="str">
        <f aca="false">IF(OR(NOT(AND(ISNUMBER(E82),ISNUMBER(F82))),$J$2=""),"",IF(Reprogramaciones!V$13&lt;Reprogramaciones!$T$15,0,IF(Reprogramaciones!V$14&gt;10,MIN(100,SUM($G82:$P82)),MIN(100,SUMPRODUCT((COLUMN($G82:$P82)-COLUMN($G82)+1&lt;Reprogramaciones!V$14)*$G82:$P82)+N(INDEX($G82:$P82,1,Reprogramaciones!V$14))*IF(Reprogramaciones!V$13&gt;=(Reprogramaciones!$T$15+7*(Reprogramaciones!V$14-1))+6,1,IF(MAX(0,NETWORKDAYS.INTL(MAX(E82,(Reprogramaciones!$T$15+7*(Reprogramaciones!V$14-1))),MIN(F82,(Reprogramaciones!$T$15+7*(Reprogramaciones!V$14-1))+6),11))=0,0,MAX(0,NETWORKDAYS.INTL(MAX(E82,(Reprogramaciones!$T$15+7*(Reprogramaciones!V$14-1))),MIN(F82,Reprogramaciones!V$13),11))/MAX(0,NETWORKDAYS.INTL(MAX(E82,(Reprogramaciones!$T$15+7*(Reprogramaciones!V$14-1))),MIN(F82,(Reprogramaciones!$T$15+7*(Reprogramaciones!V$14-1))+6),11))))))))</f>
        <v/>
      </c>
      <c r="CF82" s="1" t="str">
        <f aca="false">IF(OR(NOT(AND(ISNUMBER(E82),ISNUMBER(F82))),$J$2=""),"",IF(Reprogramaciones!W$13&lt;Reprogramaciones!$T$15,0,IF(Reprogramaciones!W$14&gt;10,MIN(100,SUM($G82:$P82)),MIN(100,SUMPRODUCT((COLUMN($G82:$P82)-COLUMN($G82)+1&lt;Reprogramaciones!W$14)*$G82:$P82)+N(INDEX($G82:$P82,1,Reprogramaciones!W$14))*IF(Reprogramaciones!W$13&gt;=(Reprogramaciones!$T$15+7*(Reprogramaciones!W$14-1))+6,1,IF(MAX(0,NETWORKDAYS.INTL(MAX(E82,(Reprogramaciones!$T$15+7*(Reprogramaciones!W$14-1))),MIN(F82,(Reprogramaciones!$T$15+7*(Reprogramaciones!W$14-1))+6),11))=0,0,MAX(0,NETWORKDAYS.INTL(MAX(E82,(Reprogramaciones!$T$15+7*(Reprogramaciones!W$14-1))),MIN(F82,Reprogramaciones!W$13),11))/MAX(0,NETWORKDAYS.INTL(MAX(E82,(Reprogramaciones!$T$15+7*(Reprogramaciones!W$14-1))),MIN(F82,(Reprogramaciones!$T$15+7*(Reprogramaciones!W$14-1))+6),11))))))))</f>
        <v/>
      </c>
      <c r="CG82" s="1" t="str">
        <f aca="false">IF(OR(NOT(AND(ISNUMBER(E82),ISNUMBER(F82))),$J$2=""),"",IF(Reprogramaciones!X$13&lt;Reprogramaciones!$T$15,0,IF(Reprogramaciones!X$14&gt;10,MIN(100,SUM($G82:$P82)),MIN(100,SUMPRODUCT((COLUMN($G82:$P82)-COLUMN($G82)+1&lt;Reprogramaciones!X$14)*$G82:$P82)+N(INDEX($G82:$P82,1,Reprogramaciones!X$14))*IF(Reprogramaciones!X$13&gt;=(Reprogramaciones!$T$15+7*(Reprogramaciones!X$14-1))+6,1,IF(MAX(0,NETWORKDAYS.INTL(MAX(E82,(Reprogramaciones!$T$15+7*(Reprogramaciones!X$14-1))),MIN(F82,(Reprogramaciones!$T$15+7*(Reprogramaciones!X$14-1))+6),11))=0,0,MAX(0,NETWORKDAYS.INTL(MAX(E82,(Reprogramaciones!$T$15+7*(Reprogramaciones!X$14-1))),MIN(F82,Reprogramaciones!X$13),11))/MAX(0,NETWORKDAYS.INTL(MAX(E82,(Reprogramaciones!$T$15+7*(Reprogramaciones!X$14-1))),MIN(F82,(Reprogramaciones!$T$15+7*(Reprogramaciones!X$14-1))+6),11))))))))</f>
        <v/>
      </c>
      <c r="CH82" s="1" t="str">
        <f aca="false">IF(OR(NOT(AND(ISNUMBER(E82),ISNUMBER(F82))),$J$2=""),"",IF(Reprogramaciones!Y$13&lt;Reprogramaciones!$T$15,0,IF(Reprogramaciones!Y$14&gt;10,MIN(100,SUM($G82:$P82)),MIN(100,SUMPRODUCT((COLUMN($G82:$P82)-COLUMN($G82)+1&lt;Reprogramaciones!Y$14)*$G82:$P82)+N(INDEX($G82:$P82,1,Reprogramaciones!Y$14))*IF(Reprogramaciones!Y$13&gt;=(Reprogramaciones!$T$15+7*(Reprogramaciones!Y$14-1))+6,1,IF(MAX(0,NETWORKDAYS.INTL(MAX(E82,(Reprogramaciones!$T$15+7*(Reprogramaciones!Y$14-1))),MIN(F82,(Reprogramaciones!$T$15+7*(Reprogramaciones!Y$14-1))+6),11))=0,0,MAX(0,NETWORKDAYS.INTL(MAX(E82,(Reprogramaciones!$T$15+7*(Reprogramaciones!Y$14-1))),MIN(F82,Reprogramaciones!Y$13),11))/MAX(0,NETWORKDAYS.INTL(MAX(E82,(Reprogramaciones!$T$15+7*(Reprogramaciones!Y$14-1))),MIN(F82,(Reprogramaciones!$T$15+7*(Reprogramaciones!Y$14-1))+6),11))))))))</f>
        <v/>
      </c>
      <c r="CI82" s="1" t="str">
        <f aca="false">IF(OR(NOT(AND(ISNUMBER(E82),ISNUMBER(F82))),$J$2=""),"",IF(Reprogramaciones!Z$13&lt;Reprogramaciones!$T$15,0,IF(Reprogramaciones!Z$14&gt;10,MIN(100,SUM($G82:$P82)),MIN(100,SUMPRODUCT((COLUMN($G82:$P82)-COLUMN($G82)+1&lt;Reprogramaciones!Z$14)*$G82:$P82)+N(INDEX($G82:$P82,1,Reprogramaciones!Z$14))*IF(Reprogramaciones!Z$13&gt;=(Reprogramaciones!$T$15+7*(Reprogramaciones!Z$14-1))+6,1,IF(MAX(0,NETWORKDAYS.INTL(MAX(E82,(Reprogramaciones!$T$15+7*(Reprogramaciones!Z$14-1))),MIN(F82,(Reprogramaciones!$T$15+7*(Reprogramaciones!Z$14-1))+6),11))=0,0,MAX(0,NETWORKDAYS.INTL(MAX(E82,(Reprogramaciones!$T$15+7*(Reprogramaciones!Z$14-1))),MIN(F82,Reprogramaciones!Z$13),11))/MAX(0,NETWORKDAYS.INTL(MAX(E82,(Reprogramaciones!$T$15+7*(Reprogramaciones!Z$14-1))),MIN(F82,(Reprogramaciones!$T$15+7*(Reprogramaciones!Z$14-1))+6),11))))))))</f>
        <v/>
      </c>
      <c r="CJ82" s="1" t="str">
        <f aca="false">IF(OR(OR(NOT(AND(ISNUMBER(E82),ISNUMBER(F82))),$J$2=""),1&gt;Reprogramaciones!$K$16),"",IF(ROUND(SUM($Q82:Q82),1)&gt;=99.5,100,MIN(100,ROUND(SUM($Q82:Q82),1))))</f>
        <v/>
      </c>
      <c r="CK82" s="1" t="str">
        <f aca="false">IF(OR(OR(NOT(AND(ISNUMBER(E82),ISNUMBER(F82))),$J$2=""),2&gt;Reprogramaciones!$K$16),"",IF(ROUND(SUM($Q82:R82),1)&gt;=99.5,100,MIN(100,ROUND(SUM($Q82:R82),1))))</f>
        <v/>
      </c>
      <c r="CL82" s="1" t="str">
        <f aca="false">IF(OR(OR(NOT(AND(ISNUMBER(E82),ISNUMBER(F82))),$J$2=""),3&gt;Reprogramaciones!$K$16),"",IF(ROUND(SUM($Q82:S82),1)&gt;=99.5,100,MIN(100,ROUND(SUM($Q82:S82),1))))</f>
        <v/>
      </c>
      <c r="CM82" s="1" t="str">
        <f aca="false">IF(OR(OR(NOT(AND(ISNUMBER(E82),ISNUMBER(F82))),$J$2=""),4&gt;Reprogramaciones!$K$16),"",IF(ROUND(SUM($Q82:T82),1)&gt;=99.5,100,MIN(100,ROUND(SUM($Q82:T82),1))))</f>
        <v/>
      </c>
      <c r="CN82" s="1" t="str">
        <f aca="false">IF(OR(OR(NOT(AND(ISNUMBER(E82),ISNUMBER(F82))),$J$2=""),5&gt;Reprogramaciones!$K$16),"",IF(ROUND(SUM($Q82:U82),1)&gt;=99.5,100,MIN(100,ROUND(SUM($Q82:U82),1))))</f>
        <v/>
      </c>
      <c r="CO82" s="1" t="str">
        <f aca="false">IF(OR(OR(NOT(AND(ISNUMBER(E82),ISNUMBER(F82))),$J$2=""),6&gt;Reprogramaciones!$K$16),"",IF(ROUND(SUM($Q82:V82),1)&gt;=99.5,100,MIN(100,ROUND(SUM($Q82:V82),1))))</f>
        <v/>
      </c>
      <c r="CP82" s="1" t="str">
        <f aca="false">IF(OR(OR(NOT(AND(ISNUMBER(E82),ISNUMBER(F82))),$J$2=""),7&gt;Reprogramaciones!$K$16),"",IF(ROUND(SUM($Q82:W82),1)&gt;=99.5,100,MIN(100,ROUND(SUM($Q82:W82),1))))</f>
        <v/>
      </c>
      <c r="CQ82" s="1" t="str">
        <f aca="false">IF(OR(OR(NOT(AND(ISNUMBER(E82),ISNUMBER(F82))),$J$2=""),8&gt;Reprogramaciones!$K$16),"",IF(ROUND(SUM($Q82:X82),1)&gt;=99.5,100,MIN(100,ROUND(SUM($Q82:X82),1))))</f>
        <v/>
      </c>
      <c r="CR82" s="1" t="str">
        <f aca="false">IF(OR(OR(NOT(AND(ISNUMBER(E82),ISNUMBER(F82))),$J$2=""),9&gt;Reprogramaciones!$K$16),"",IF(ROUND(SUM($Q82:Y82),1)&gt;=99.5,100,MIN(100,ROUND(SUM($Q82:Y82),1))))</f>
        <v/>
      </c>
      <c r="CS82" s="1" t="str">
        <f aca="false">IF(OR(OR(NOT(AND(ISNUMBER(E82),ISNUMBER(F82))),$J$2=""),10&gt;Reprogramaciones!$K$16),"",IF(ROUND(SUM($Q82:Z82),1)&gt;=99.5,100,MIN(100,ROUND(SUM($Q82:Z82),1))))</f>
        <v/>
      </c>
      <c r="CT82" s="1" t="str">
        <f aca="false">IF(OR(OR(NOT(AND(ISNUMBER(E82),ISNUMBER(F82))),$J$2=""),11&gt;Reprogramaciones!$K$16),"",IF(ROUND(SUM($Q82:AA82),1)&gt;=99.5,100,MIN(100,ROUND(SUM($Q82:AA82),1))))</f>
        <v/>
      </c>
      <c r="CU82" s="1" t="str">
        <f aca="false">IF(OR(OR(NOT(AND(ISNUMBER(E82),ISNUMBER(F82))),$J$2=""),12&gt;Reprogramaciones!$K$16),"",IF(ROUND(SUM($Q82:AB82),1)&gt;=99.5,100,MIN(100,ROUND(SUM($Q82:AB82),1))))</f>
        <v/>
      </c>
      <c r="CV82" s="1" t="str">
        <f aca="false">IF(OR(OR(NOT(AND(ISNUMBER(E82),ISNUMBER(F82))),$J$2=""),13&gt;Reprogramaciones!$K$16),"",IF(ROUND(SUM($Q82:AC82),1)&gt;=99.5,100,MIN(100,ROUND(SUM($Q82:AC82),1))))</f>
        <v/>
      </c>
      <c r="CW82" s="1" t="str">
        <f aca="false">IF(OR(OR(NOT(AND(ISNUMBER(E82),ISNUMBER(F82))),$J$2=""),14&gt;Reprogramaciones!$K$16),"",IF(ROUND(SUM($Q82:AD82),1)&gt;=99.5,100,MIN(100,ROUND(SUM($Q82:AD82),1))))</f>
        <v/>
      </c>
      <c r="CX82" s="1" t="str">
        <f aca="false">IF(OR(OR(NOT(AND(ISNUMBER(E82),ISNUMBER(F82))),$J$2=""),15&gt;Reprogramaciones!$K$16),"",IF(ROUND(SUM($Q82:AE82),1)&gt;=99.5,100,MIN(100,ROUND(SUM($Q82:AE82),1))))</f>
        <v/>
      </c>
      <c r="CY82" s="1" t="str">
        <f aca="false">IF(OR(OR(NOT(AND(ISNUMBER(E82),ISNUMBER(F82))),$J$2=""),16&gt;Reprogramaciones!$K$16),"",IF(ROUND(SUM($Q82:AF82),1)&gt;=99.5,100,MIN(100,ROUND(SUM($Q82:AF82),1))))</f>
        <v/>
      </c>
      <c r="CZ82" s="1" t="str">
        <f aca="false">IF(D82&lt;&gt;"",D82,IF(B82&lt;&gt;"","Contractual",CZ81))</f>
        <v>Contractual</v>
      </c>
      <c r="DA82" s="1" t="str">
        <f aca="false">IF(OR(NOT(AND(ISNUMBER(E82),ISNUMBER(F82))),$J$2=""),"",IF(Reprogramaciones!$Q$15&lt;Reprogramaciones!$T$15,0,IF(Reprogramaciones!$S$15&gt;10,MIN(100,SUM($G82:$P82)),MIN(100,SUMPRODUCT((COLUMN($G82:$P82)-COLUMN($G82)+1&lt;Reprogramaciones!$S$15)*$G82:$P82)+N(INDEX($G82:$P82,1,Reprogramaciones!$S$15))*IF(Reprogramaciones!$Q$15&gt;=(Reprogramaciones!$T$15+7*(Reprogramaciones!$S$15-1))+6,1,IF(MAX(0,NETWORKDAYS.INTL(MAX(E82,(Reprogramaciones!$T$15+7*(Reprogramaciones!$S$15-1))),MIN(F82,(Reprogramaciones!$T$15+7*(Reprogramaciones!$S$15-1))+6),11))=0,0,MAX(0,NETWORKDAYS.INTL(MAX(E82,(Reprogramaciones!$T$15+7*(Reprogramaciones!$S$15-1))),MIN(F82,Reprogramaciones!$Q$15),11))/MAX(0,NETWORKDAYS.INTL(MAX(E82,(Reprogramaciones!$T$15+7*(Reprogramaciones!$S$15-1))),MIN(F82,(Reprogramaciones!$T$15+7*(Reprogramaciones!$S$15-1))+6),11))))))))</f>
        <v/>
      </c>
    </row>
    <row r="83" customFormat="false" ht="15" hidden="false" customHeight="false" outlineLevel="0" collapsed="false">
      <c r="A83" s="32"/>
      <c r="B83" s="33"/>
      <c r="C83" s="33"/>
      <c r="D83" s="34"/>
      <c r="E83" s="35"/>
      <c r="F83" s="35"/>
      <c r="G83" s="36" t="str">
        <f aca="false">IF(OR(NOT(AND(ISNUMBER(E83),ISNUMBER(F83))),$J$2=""),"",IF(Reprogramaciones!K$9&lt;E83,0,IF(NETWORKDAYS.INTL(E83,F83,11)=0,IF(Reprogramaciones!K$9&gt;=F83,100,0),ROUND(NETWORKDAYS.INTL(E83,MIN(F83,Reprogramaciones!K$9),11)/NETWORKDAYS.INTL(E83,F83,11)*100,1)))-0)</f>
        <v/>
      </c>
      <c r="H83" s="36" t="str">
        <f aca="false">IF(OR(NOT(AND(ISNUMBER(E83),ISNUMBER(F83))),$J$2=""),"",IF(Reprogramaciones!L$9&lt;E83,0,IF(NETWORKDAYS.INTL(E83,F83,11)=0,IF(Reprogramaciones!L$9&gt;=F83,100,0),ROUND(NETWORKDAYS.INTL(E83,MIN(F83,Reprogramaciones!L$9),11)/NETWORKDAYS.INTL(E83,F83,11)*100,1)))-IF(Reprogramaciones!K$9&lt;E83,0,IF(NETWORKDAYS.INTL(E83,F83,11)=0,IF(Reprogramaciones!K$9&gt;=F83,100,0),ROUND(NETWORKDAYS.INTL(E83,MIN(F83,Reprogramaciones!K$9),11)/NETWORKDAYS.INTL(E83,F83,11)*100,1))))</f>
        <v/>
      </c>
      <c r="I83" s="36" t="str">
        <f aca="false">IF(OR(NOT(AND(ISNUMBER(E83),ISNUMBER(F83))),$J$2=""),"",IF(Reprogramaciones!M$9&lt;E83,0,IF(NETWORKDAYS.INTL(E83,F83,11)=0,IF(Reprogramaciones!M$9&gt;=F83,100,0),ROUND(NETWORKDAYS.INTL(E83,MIN(F83,Reprogramaciones!M$9),11)/NETWORKDAYS.INTL(E83,F83,11)*100,1)))-IF(Reprogramaciones!L$9&lt;E83,0,IF(NETWORKDAYS.INTL(E83,F83,11)=0,IF(Reprogramaciones!L$9&gt;=F83,100,0),ROUND(NETWORKDAYS.INTL(E83,MIN(F83,Reprogramaciones!L$9),11)/NETWORKDAYS.INTL(E83,F83,11)*100,1))))</f>
        <v/>
      </c>
      <c r="J83" s="36" t="str">
        <f aca="false">IF(OR(NOT(AND(ISNUMBER(E83),ISNUMBER(F83))),$J$2=""),"",IF(Reprogramaciones!N$9&lt;E83,0,IF(NETWORKDAYS.INTL(E83,F83,11)=0,IF(Reprogramaciones!N$9&gt;=F83,100,0),ROUND(NETWORKDAYS.INTL(E83,MIN(F83,Reprogramaciones!N$9),11)/NETWORKDAYS.INTL(E83,F83,11)*100,1)))-IF(Reprogramaciones!M$9&lt;E83,0,IF(NETWORKDAYS.INTL(E83,F83,11)=0,IF(Reprogramaciones!M$9&gt;=F83,100,0),ROUND(NETWORKDAYS.INTL(E83,MIN(F83,Reprogramaciones!M$9),11)/NETWORKDAYS.INTL(E83,F83,11)*100,1))))</f>
        <v/>
      </c>
      <c r="K83" s="36" t="str">
        <f aca="false">IF(OR(NOT(AND(ISNUMBER(E83),ISNUMBER(F83))),$J$2=""),"",IF(Reprogramaciones!O$9&lt;E83,0,IF(NETWORKDAYS.INTL(E83,F83,11)=0,IF(Reprogramaciones!O$9&gt;=F83,100,0),ROUND(NETWORKDAYS.INTL(E83,MIN(F83,Reprogramaciones!O$9),11)/NETWORKDAYS.INTL(E83,F83,11)*100,1)))-IF(Reprogramaciones!N$9&lt;E83,0,IF(NETWORKDAYS.INTL(E83,F83,11)=0,IF(Reprogramaciones!N$9&gt;=F83,100,0),ROUND(NETWORKDAYS.INTL(E83,MIN(F83,Reprogramaciones!N$9),11)/NETWORKDAYS.INTL(E83,F83,11)*100,1))))</f>
        <v/>
      </c>
      <c r="L83" s="36" t="str">
        <f aca="false">IF(OR(NOT(AND(ISNUMBER(E83),ISNUMBER(F83))),$J$2=""),"",IF(Reprogramaciones!P$9&lt;E83,0,IF(NETWORKDAYS.INTL(E83,F83,11)=0,IF(Reprogramaciones!P$9&gt;=F83,100,0),ROUND(NETWORKDAYS.INTL(E83,MIN(F83,Reprogramaciones!P$9),11)/NETWORKDAYS.INTL(E83,F83,11)*100,1)))-IF(Reprogramaciones!O$9&lt;E83,0,IF(NETWORKDAYS.INTL(E83,F83,11)=0,IF(Reprogramaciones!O$9&gt;=F83,100,0),ROUND(NETWORKDAYS.INTL(E83,MIN(F83,Reprogramaciones!O$9),11)/NETWORKDAYS.INTL(E83,F83,11)*100,1))))</f>
        <v/>
      </c>
      <c r="M83" s="36" t="str">
        <f aca="false">IF(OR(NOT(AND(ISNUMBER(E83),ISNUMBER(F83))),$J$2=""),"",IF(Reprogramaciones!Q$9&lt;E83,0,IF(NETWORKDAYS.INTL(E83,F83,11)=0,IF(Reprogramaciones!Q$9&gt;=F83,100,0),ROUND(NETWORKDAYS.INTL(E83,MIN(F83,Reprogramaciones!Q$9),11)/NETWORKDAYS.INTL(E83,F83,11)*100,1)))-IF(Reprogramaciones!P$9&lt;E83,0,IF(NETWORKDAYS.INTL(E83,F83,11)=0,IF(Reprogramaciones!P$9&gt;=F83,100,0),ROUND(NETWORKDAYS.INTL(E83,MIN(F83,Reprogramaciones!P$9),11)/NETWORKDAYS.INTL(E83,F83,11)*100,1))))</f>
        <v/>
      </c>
      <c r="N83" s="36" t="str">
        <f aca="false">IF(OR(NOT(AND(ISNUMBER(E83),ISNUMBER(F83))),$J$2=""),"",IF(Reprogramaciones!R$9&lt;E83,0,IF(NETWORKDAYS.INTL(E83,F83,11)=0,IF(Reprogramaciones!R$9&gt;=F83,100,0),ROUND(NETWORKDAYS.INTL(E83,MIN(F83,Reprogramaciones!R$9),11)/NETWORKDAYS.INTL(E83,F83,11)*100,1)))-IF(Reprogramaciones!Q$9&lt;E83,0,IF(NETWORKDAYS.INTL(E83,F83,11)=0,IF(Reprogramaciones!Q$9&gt;=F83,100,0),ROUND(NETWORKDAYS.INTL(E83,MIN(F83,Reprogramaciones!Q$9),11)/NETWORKDAYS.INTL(E83,F83,11)*100,1))))</f>
        <v/>
      </c>
      <c r="O83" s="36" t="str">
        <f aca="false">IF(OR(NOT(AND(ISNUMBER(E83),ISNUMBER(F83))),$J$2=""),"",IF(Reprogramaciones!S$9&lt;E83,0,IF(NETWORKDAYS.INTL(E83,F83,11)=0,IF(Reprogramaciones!S$9&gt;=F83,100,0),ROUND(NETWORKDAYS.INTL(E83,MIN(F83,Reprogramaciones!S$9),11)/NETWORKDAYS.INTL(E83,F83,11)*100,1)))-IF(Reprogramaciones!R$9&lt;E83,0,IF(NETWORKDAYS.INTL(E83,F83,11)=0,IF(Reprogramaciones!R$9&gt;=F83,100,0),ROUND(NETWORKDAYS.INTL(E83,MIN(F83,Reprogramaciones!R$9),11)/NETWORKDAYS.INTL(E83,F83,11)*100,1))))</f>
        <v/>
      </c>
      <c r="P83" s="36" t="str">
        <f aca="false">IF(OR(NOT(AND(ISNUMBER(E83),ISNUMBER(F83))),$J$2=""),"",IF(Reprogramaciones!T$9&lt;E83,0,IF(NETWORKDAYS.INTL(E83,F83,11)=0,IF(Reprogramaciones!T$9&gt;=F83,100,0),ROUND(NETWORKDAYS.INTL(E83,MIN(F83,Reprogramaciones!T$9),11)/NETWORKDAYS.INTL(E83,F83,11)*100,1)))-IF(Reprogramaciones!S$9&lt;E83,0,IF(NETWORKDAYS.INTL(E83,F83,11)=0,IF(Reprogramaciones!S$9&gt;=F83,100,0),ROUND(NETWORKDAYS.INTL(E83,MIN(F83,Reprogramaciones!S$9),11)/NETWORKDAYS.INTL(E83,F83,11)*100,1))))</f>
        <v/>
      </c>
      <c r="Q83" s="37"/>
      <c r="R83" s="37"/>
      <c r="S83" s="37"/>
      <c r="T83" s="37"/>
      <c r="U83" s="37"/>
      <c r="V83" s="37"/>
      <c r="W83" s="37"/>
      <c r="X83" s="37"/>
      <c r="Y83" s="37"/>
      <c r="Z83" s="37"/>
      <c r="AA83" s="37"/>
      <c r="AB83" s="37"/>
      <c r="AC83" s="37"/>
      <c r="AD83" s="37"/>
      <c r="AE83" s="37"/>
      <c r="AF83" s="37"/>
      <c r="AG83" s="38" t="str">
        <f aca="false">IF(AND(ISNUMBER(E83),ISNUMBER(F83)),NETWORKDAYS.INTL(E83,F83,11),"")</f>
        <v/>
      </c>
      <c r="AH83" s="38" t="str">
        <f aca="false">IF(OR(NOT(AND(ISNUMBER(E83),ISNUMBER(F83))),$J$2=""),"",IF(Reprogramaciones!$P$15&lt;Reprogramaciones!$T$15,0,IF(Reprogramaciones!$R$15&gt;10,MIN(100,SUM($G83:$P83)),MIN(100,SUMPRODUCT((COLUMN($G83:$P83)-COLUMN($G83)+1&lt;Reprogramaciones!$R$15)*$G83:$P83)+N(INDEX($G83:$P83,1,Reprogramaciones!$R$15))*IF(Reprogramaciones!$P$15&gt;=(Reprogramaciones!$T$15+7*(Reprogramaciones!$R$15-1))+6,1,IF(MAX(0,NETWORKDAYS.INTL(MAX(E83,(Reprogramaciones!$T$15+7*(Reprogramaciones!$R$15-1))),MIN(F83,(Reprogramaciones!$T$15+7*(Reprogramaciones!$R$15-1))+6),11))=0,0,MAX(0,NETWORKDAYS.INTL(MAX(E83,(Reprogramaciones!$T$15+7*(Reprogramaciones!$R$15-1))),MIN(F83,Reprogramaciones!$P$15),11))/MAX(0,NETWORKDAYS.INTL(MAX(E83,(Reprogramaciones!$T$15+7*(Reprogramaciones!$R$15-1))),MIN(F83,(Reprogramaciones!$T$15+7*(Reprogramaciones!$R$15-1))+6),11))))))))</f>
        <v/>
      </c>
      <c r="AI83" s="38" t="str">
        <f aca="false">IF(COUNT($Q83:$AF83)=0,"",IF(ROUND(SUM($Q83:$AF83),1)&gt;=99.5,100,MIN(100,ROUND(SUM($Q83:$AF83),1))))</f>
        <v/>
      </c>
      <c r="AJ83" s="38" t="str">
        <f aca="false">IF(OR(AH83="",AI83=""),"",AI83-AH83)</f>
        <v/>
      </c>
      <c r="AK83" s="39" t="str">
        <f aca="true">IF(AH83="","",IF(OR(Ficha!$C$10="Suspendida",Ficha!$C$10="Cancelada"),Ficha!$C$10,IF(AND(AI83&lt;&gt;"",N(AI83)&gt;=100),"Completada",IF(AND(E83&gt;TODAY(),N(AI83)=0),"Por iniciar",IF(N(AI83)+0.5&lt;AH83,"Retrasada",IF(N(AI83)+0.5&lt;DA83,IF(Reprogramaciones!$K$15&gt;0,"Al día · Sem "&amp;Reprogramaciones!$K$15&amp;" en curso","Al día · en curso"),"A tiempo"))))))</f>
        <v/>
      </c>
      <c r="AL83" s="39" t="str">
        <f aca="true">IF(AND(A83="",AND(B83="",C83="",E83="",F83="",COUNT(Q83:AF83)=0)),"",IF(AND(B83="",C83="",E83="",F83="",COUNT(Q83:AF83)=0),"Falta la partida o subpartida",IF(AND(A83&lt;&gt;"",COUNTIF($A$6:$A$305,A83)&gt;1),"Ítem repetido",IF(AND(C83="",E83="",F83="",COUNT(Q83:AF83)=0),"Título de partida",IF(OR(E83="",F83=""),"Faltan fechas",IF(OR(ISTEXT(E83),ISTEXT(F83)),"Fecha escrita como texto: usa dd/mm/aaaa",IF(F83&lt;E83,"Fin antes del inicio",IF(IF($J$2="",FALSE(),OR(E83&lt;$J$2,F83&gt;Reprogramaciones!$T$15+69)),"Fuera de las 10 semanas",IF(ABS(SUM(G83:P83)-100)&gt;0.5,"La meta no suma 100%",IF(ROUND(SUM(Q83:AF83),1)&gt;100.5,"El avance pasa de 100%",IF(MIN(Q83:AF83)&lt;0,"Avance negativo",IF(COUNTA(Q83:AF83)&gt;COUNT(Q83:AF83),"Avance escrito como texto",IF(SUMPRODUCT((Q83:AF83&gt;0)*(Q83:AF83&lt;1))&gt;0,"Avance menor a 1: escribe 50, no 50%",IF(SUMPRODUCT(ISNUMBER(Q83:AF83)*(Reprogramaciones!$K$8:$Z$8&gt;TODAY()))&gt;0,"Avance en semana que aún no llega",IF(AND(N(Reprogramaciones!$E$21)&gt;0,F83&gt;Reprogramaciones!$E$21),"Pasa el fin de la obra: registra una reprogramación",IF(AND(N(Reprogramaciones!$E$21)&gt;0,SUMPRODUCT(ISNUMBER(Q83:AF83)*(Reprogramaciones!$K$8:$Z$8&gt;Reprogramaciones!$E$21))&gt;0),"Avance después del fin de la obra: registra una reprogramación por atraso","OK"))))))))))))))))</f>
        <v/>
      </c>
      <c r="AM83" s="40" t="str">
        <f aca="false">IF(OR(OR(NOT(AND(ISNUMBER(E83),ISNUMBER(F83))),$J$2=""),1&gt;MAX(1,Reprogramaciones!$U$15)),"",IF(Reprogramaciones!K$12&gt;=7,"",IF(OR(BT83-N(0)&gt;0.05,N(Q83)&gt;0),ROUNDDOWN(ROUND(BT83,6),0)&amp;"%"&amp;IF(CJ83="",""," / "&amp;CJ83&amp;"%"),IF(AND(N(0)&gt;=99.95,CJ83&lt;&gt;"",N(CJ83)&lt;100),"Pend. "&amp;CJ83&amp;"%",""))))</f>
        <v/>
      </c>
      <c r="AN83" s="40" t="str">
        <f aca="false">IF(OR(OR(NOT(AND(ISNUMBER(E83),ISNUMBER(F83))),$J$2=""),2&gt;MAX(1,Reprogramaciones!$U$15)),"",IF(Reprogramaciones!L$12&gt;=7,"",IF(OR(BU83-N(BT83)&gt;0.05,N(R83)&gt;0),ROUNDDOWN(ROUND(BU83,6),0)&amp;"%"&amp;IF(CK83="",""," / "&amp;CK83&amp;"%"),IF(AND(N(BT83)&gt;=99.95,CK83&lt;&gt;"",N(CK83)&lt;100),"Pend. "&amp;CK83&amp;"%",""))))</f>
        <v/>
      </c>
      <c r="AO83" s="40" t="str">
        <f aca="false">IF(OR(OR(NOT(AND(ISNUMBER(E83),ISNUMBER(F83))),$J$2=""),3&gt;MAX(1,Reprogramaciones!$U$15)),"",IF(Reprogramaciones!M$12&gt;=7,"",IF(OR(BV83-N(BU83)&gt;0.05,N(S83)&gt;0),ROUNDDOWN(ROUND(BV83,6),0)&amp;"%"&amp;IF(CL83="",""," / "&amp;CL83&amp;"%"),IF(AND(N(BU83)&gt;=99.95,CL83&lt;&gt;"",N(CL83)&lt;100),"Pend. "&amp;CL83&amp;"%",""))))</f>
        <v/>
      </c>
      <c r="AP83" s="40" t="str">
        <f aca="false">IF(OR(OR(NOT(AND(ISNUMBER(E83),ISNUMBER(F83))),$J$2=""),4&gt;MAX(1,Reprogramaciones!$U$15)),"",IF(Reprogramaciones!N$12&gt;=7,"",IF(OR(BW83-N(BV83)&gt;0.05,N(T83)&gt;0),ROUNDDOWN(ROUND(BW83,6),0)&amp;"%"&amp;IF(CM83="",""," / "&amp;CM83&amp;"%"),IF(AND(N(BV83)&gt;=99.95,CM83&lt;&gt;"",N(CM83)&lt;100),"Pend. "&amp;CM83&amp;"%",""))))</f>
        <v/>
      </c>
      <c r="AQ83" s="40" t="str">
        <f aca="false">IF(OR(OR(NOT(AND(ISNUMBER(E83),ISNUMBER(F83))),$J$2=""),5&gt;MAX(1,Reprogramaciones!$U$15)),"",IF(Reprogramaciones!O$12&gt;=7,"",IF(OR(BX83-N(BW83)&gt;0.05,N(U83)&gt;0),ROUNDDOWN(ROUND(BX83,6),0)&amp;"%"&amp;IF(CN83="",""," / "&amp;CN83&amp;"%"),IF(AND(N(BW83)&gt;=99.95,CN83&lt;&gt;"",N(CN83)&lt;100),"Pend. "&amp;CN83&amp;"%",""))))</f>
        <v/>
      </c>
      <c r="AR83" s="40" t="str">
        <f aca="false">IF(OR(OR(NOT(AND(ISNUMBER(E83),ISNUMBER(F83))),$J$2=""),6&gt;MAX(1,Reprogramaciones!$U$15)),"",IF(Reprogramaciones!P$12&gt;=7,"",IF(OR(BY83-N(BX83)&gt;0.05,N(V83)&gt;0),ROUNDDOWN(ROUND(BY83,6),0)&amp;"%"&amp;IF(CO83="",""," / "&amp;CO83&amp;"%"),IF(AND(N(BX83)&gt;=99.95,CO83&lt;&gt;"",N(CO83)&lt;100),"Pend. "&amp;CO83&amp;"%",""))))</f>
        <v/>
      </c>
      <c r="AS83" s="40" t="str">
        <f aca="false">IF(OR(OR(NOT(AND(ISNUMBER(E83),ISNUMBER(F83))),$J$2=""),7&gt;MAX(1,Reprogramaciones!$U$15)),"",IF(Reprogramaciones!Q$12&gt;=7,"",IF(OR(BZ83-N(BY83)&gt;0.05,N(W83)&gt;0),ROUNDDOWN(ROUND(BZ83,6),0)&amp;"%"&amp;IF(CP83="",""," / "&amp;CP83&amp;"%"),IF(AND(N(BY83)&gt;=99.95,CP83&lt;&gt;"",N(CP83)&lt;100),"Pend. "&amp;CP83&amp;"%",""))))</f>
        <v/>
      </c>
      <c r="AT83" s="40" t="str">
        <f aca="false">IF(OR(OR(NOT(AND(ISNUMBER(E83),ISNUMBER(F83))),$J$2=""),8&gt;MAX(1,Reprogramaciones!$U$15)),"",IF(Reprogramaciones!R$12&gt;=7,"",IF(OR(CA83-N(BZ83)&gt;0.05,N(X83)&gt;0),ROUNDDOWN(ROUND(CA83,6),0)&amp;"%"&amp;IF(CQ83="",""," / "&amp;CQ83&amp;"%"),IF(AND(N(BZ83)&gt;=99.95,CQ83&lt;&gt;"",N(CQ83)&lt;100),"Pend. "&amp;CQ83&amp;"%",""))))</f>
        <v/>
      </c>
      <c r="AU83" s="40" t="str">
        <f aca="false">IF(OR(OR(NOT(AND(ISNUMBER(E83),ISNUMBER(F83))),$J$2=""),9&gt;MAX(1,Reprogramaciones!$U$15)),"",IF(Reprogramaciones!S$12&gt;=7,"",IF(OR(CB83-N(CA83)&gt;0.05,N(Y83)&gt;0),ROUNDDOWN(ROUND(CB83,6),0)&amp;"%"&amp;IF(CR83="",""," / "&amp;CR83&amp;"%"),IF(AND(N(CA83)&gt;=99.95,CR83&lt;&gt;"",N(CR83)&lt;100),"Pend. "&amp;CR83&amp;"%",""))))</f>
        <v/>
      </c>
      <c r="AV83" s="40" t="str">
        <f aca="false">IF(OR(OR(NOT(AND(ISNUMBER(E83),ISNUMBER(F83))),$J$2=""),10&gt;MAX(1,Reprogramaciones!$U$15)),"",IF(Reprogramaciones!T$12&gt;=7,"",IF(OR(CC83-N(CB83)&gt;0.05,N(Z83)&gt;0),ROUNDDOWN(ROUND(CC83,6),0)&amp;"%"&amp;IF(CS83="",""," / "&amp;CS83&amp;"%"),IF(AND(N(CB83)&gt;=99.95,CS83&lt;&gt;"",N(CS83)&lt;100),"Pend. "&amp;CS83&amp;"%",""))))</f>
        <v/>
      </c>
      <c r="AW83" s="40" t="str">
        <f aca="false">IF(OR(OR(NOT(AND(ISNUMBER(E83),ISNUMBER(F83))),$J$2=""),11&gt;MAX(1,Reprogramaciones!$U$15)),"",IF(Reprogramaciones!U$12&gt;=7,"",IF(OR(CD83-N(CC83)&gt;0.05,N(AA83)&gt;0),ROUNDDOWN(ROUND(CD83,6),0)&amp;"%"&amp;IF(CT83="",""," / "&amp;CT83&amp;"%"),IF(AND(N(CC83)&gt;=99.95,CT83&lt;&gt;"",N(CT83)&lt;100),"Pend. "&amp;CT83&amp;"%",""))))</f>
        <v/>
      </c>
      <c r="AX83" s="40" t="str">
        <f aca="false">IF(OR(OR(NOT(AND(ISNUMBER(E83),ISNUMBER(F83))),$J$2=""),12&gt;MAX(1,Reprogramaciones!$U$15)),"",IF(Reprogramaciones!V$12&gt;=7,"",IF(OR(CE83-N(CD83)&gt;0.05,N(AB83)&gt;0),ROUNDDOWN(ROUND(CE83,6),0)&amp;"%"&amp;IF(CU83="",""," / "&amp;CU83&amp;"%"),IF(AND(N(CD83)&gt;=99.95,CU83&lt;&gt;"",N(CU83)&lt;100),"Pend. "&amp;CU83&amp;"%",""))))</f>
        <v/>
      </c>
      <c r="AY83" s="40" t="str">
        <f aca="false">IF(OR(OR(NOT(AND(ISNUMBER(E83),ISNUMBER(F83))),$J$2=""),13&gt;MAX(1,Reprogramaciones!$U$15)),"",IF(Reprogramaciones!W$12&gt;=7,"",IF(OR(CF83-N(CE83)&gt;0.05,N(AC83)&gt;0),ROUNDDOWN(ROUND(CF83,6),0)&amp;"%"&amp;IF(CV83="",""," / "&amp;CV83&amp;"%"),IF(AND(N(CE83)&gt;=99.95,CV83&lt;&gt;"",N(CV83)&lt;100),"Pend. "&amp;CV83&amp;"%",""))))</f>
        <v/>
      </c>
      <c r="AZ83" s="40" t="str">
        <f aca="false">IF(OR(OR(NOT(AND(ISNUMBER(E83),ISNUMBER(F83))),$J$2=""),14&gt;MAX(1,Reprogramaciones!$U$15)),"",IF(Reprogramaciones!X$12&gt;=7,"",IF(OR(CG83-N(CF83)&gt;0.05,N(AD83)&gt;0),ROUNDDOWN(ROUND(CG83,6),0)&amp;"%"&amp;IF(CW83="",""," / "&amp;CW83&amp;"%"),IF(AND(N(CF83)&gt;=99.95,CW83&lt;&gt;"",N(CW83)&lt;100),"Pend. "&amp;CW83&amp;"%",""))))</f>
        <v/>
      </c>
      <c r="BA83" s="40" t="str">
        <f aca="false">IF(OR(OR(NOT(AND(ISNUMBER(E83),ISNUMBER(F83))),$J$2=""),15&gt;MAX(1,Reprogramaciones!$U$15)),"",IF(Reprogramaciones!Y$12&gt;=7,"",IF(OR(CH83-N(CG83)&gt;0.05,N(AE83)&gt;0),ROUNDDOWN(ROUND(CH83,6),0)&amp;"%"&amp;IF(CX83="",""," / "&amp;CX83&amp;"%"),IF(AND(N(CG83)&gt;=99.95,CX83&lt;&gt;"",N(CX83)&lt;100),"Pend. "&amp;CX83&amp;"%",""))))</f>
        <v/>
      </c>
      <c r="BB83" s="40" t="str">
        <f aca="false">IF(OR(OR(NOT(AND(ISNUMBER(E83),ISNUMBER(F83))),$J$2=""),16&gt;MAX(1,Reprogramaciones!$U$15)),"",IF(Reprogramaciones!Z$12&gt;=7,"",IF(OR(CI83-N(CH83)&gt;0.05,N(AF83)&gt;0),ROUNDDOWN(ROUND(CI83,6),0)&amp;"%"&amp;IF(CY83="",""," / "&amp;CY83&amp;"%"),IF(AND(N(CH83)&gt;=99.95,CY83&lt;&gt;"",N(CY83)&lt;100),"Pend. "&amp;CY83&amp;"%",""))))</f>
        <v/>
      </c>
      <c r="BC83" s="31" t="n">
        <f aca="false">IF(AND(ISNUMBER(E83),ISNUMBER(F83)),MAX(1,NETWORKDAYS.INTL(E83,F83,11)),0)</f>
        <v>0</v>
      </c>
      <c r="BD83" s="1" t="str">
        <f aca="false">IF(OR(NOT(AND(ISNUMBER(E83),ISNUMBER(F83))),$J$2=""),"",MIN(100,ROUND(SUM($G83:G83),1)))</f>
        <v/>
      </c>
      <c r="BE83" s="1" t="str">
        <f aca="false">IF(OR(NOT(AND(ISNUMBER(E83),ISNUMBER(F83))),$J$2=""),"",MIN(100,ROUND(SUM($G83:H83),1)))</f>
        <v/>
      </c>
      <c r="BF83" s="1" t="str">
        <f aca="false">IF(OR(NOT(AND(ISNUMBER(E83),ISNUMBER(F83))),$J$2=""),"",MIN(100,ROUND(SUM($G83:I83),1)))</f>
        <v/>
      </c>
      <c r="BG83" s="1" t="str">
        <f aca="false">IF(OR(NOT(AND(ISNUMBER(E83),ISNUMBER(F83))),$J$2=""),"",MIN(100,ROUND(SUM($G83:J83),1)))</f>
        <v/>
      </c>
      <c r="BH83" s="1" t="str">
        <f aca="false">IF(OR(NOT(AND(ISNUMBER(E83),ISNUMBER(F83))),$J$2=""),"",MIN(100,ROUND(SUM($G83:K83),1)))</f>
        <v/>
      </c>
      <c r="BI83" s="1" t="str">
        <f aca="false">IF(OR(NOT(AND(ISNUMBER(E83),ISNUMBER(F83))),$J$2=""),"",MIN(100,ROUND(SUM($G83:L83),1)))</f>
        <v/>
      </c>
      <c r="BJ83" s="1" t="str">
        <f aca="false">IF(OR(NOT(AND(ISNUMBER(E83),ISNUMBER(F83))),$J$2=""),"",MIN(100,ROUND(SUM($G83:M83),1)))</f>
        <v/>
      </c>
      <c r="BK83" s="1" t="str">
        <f aca="false">IF(OR(NOT(AND(ISNUMBER(E83),ISNUMBER(F83))),$J$2=""),"",MIN(100,ROUND(SUM($G83:N83),1)))</f>
        <v/>
      </c>
      <c r="BL83" s="1" t="str">
        <f aca="false">IF(OR(NOT(AND(ISNUMBER(E83),ISNUMBER(F83))),$J$2=""),"",MIN(100,ROUND(SUM($G83:O83),1)))</f>
        <v/>
      </c>
      <c r="BM83" s="1" t="str">
        <f aca="false">IF(OR(NOT(AND(ISNUMBER(E83),ISNUMBER(F83))),$J$2=""),"",MIN(100,ROUND(SUM($G83:P83),1)))</f>
        <v/>
      </c>
      <c r="BN83" s="1" t="str">
        <f aca="false">IF(OR(NOT(AND(ISNUMBER(E83),ISNUMBER(F83))),$J$2=""),"",MIN(100,ROUND(SUM($G83:P83),1)))</f>
        <v/>
      </c>
      <c r="BO83" s="1" t="str">
        <f aca="false">IF(OR(NOT(AND(ISNUMBER(E83),ISNUMBER(F83))),$J$2=""),"",MIN(100,ROUND(SUM($G83:P83),1)))</f>
        <v/>
      </c>
      <c r="BP83" s="1" t="str">
        <f aca="false">IF(OR(NOT(AND(ISNUMBER(E83),ISNUMBER(F83))),$J$2=""),"",MIN(100,ROUND(SUM($G83:P83),1)))</f>
        <v/>
      </c>
      <c r="BQ83" s="1" t="str">
        <f aca="false">IF(OR(NOT(AND(ISNUMBER(E83),ISNUMBER(F83))),$J$2=""),"",MIN(100,ROUND(SUM($G83:P83),1)))</f>
        <v/>
      </c>
      <c r="BR83" s="1" t="str">
        <f aca="false">IF(OR(NOT(AND(ISNUMBER(E83),ISNUMBER(F83))),$J$2=""),"",MIN(100,ROUND(SUM($G83:P83),1)))</f>
        <v/>
      </c>
      <c r="BS83" s="1" t="str">
        <f aca="false">IF(OR(NOT(AND(ISNUMBER(E83),ISNUMBER(F83))),$J$2=""),"",MIN(100,ROUND(SUM($G83:P83),1)))</f>
        <v/>
      </c>
      <c r="BT83" s="1" t="str">
        <f aca="false">IF(OR(NOT(AND(ISNUMBER(E83),ISNUMBER(F83))),$J$2=""),"",IF(Reprogramaciones!K$13&lt;Reprogramaciones!$T$15,0,IF(Reprogramaciones!K$14&gt;10,MIN(100,SUM($G83:$P83)),MIN(100,SUMPRODUCT((COLUMN($G83:$P83)-COLUMN($G83)+1&lt;Reprogramaciones!K$14)*$G83:$P83)+N(INDEX($G83:$P83,1,Reprogramaciones!K$14))*IF(Reprogramaciones!K$13&gt;=(Reprogramaciones!$T$15+7*(Reprogramaciones!K$14-1))+6,1,IF(MAX(0,NETWORKDAYS.INTL(MAX(E83,(Reprogramaciones!$T$15+7*(Reprogramaciones!K$14-1))),MIN(F83,(Reprogramaciones!$T$15+7*(Reprogramaciones!K$14-1))+6),11))=0,0,MAX(0,NETWORKDAYS.INTL(MAX(E83,(Reprogramaciones!$T$15+7*(Reprogramaciones!K$14-1))),MIN(F83,Reprogramaciones!K$13),11))/MAX(0,NETWORKDAYS.INTL(MAX(E83,(Reprogramaciones!$T$15+7*(Reprogramaciones!K$14-1))),MIN(F83,(Reprogramaciones!$T$15+7*(Reprogramaciones!K$14-1))+6),11))))))))</f>
        <v/>
      </c>
      <c r="BU83" s="1" t="str">
        <f aca="false">IF(OR(NOT(AND(ISNUMBER(E83),ISNUMBER(F83))),$J$2=""),"",IF(Reprogramaciones!L$13&lt;Reprogramaciones!$T$15,0,IF(Reprogramaciones!L$14&gt;10,MIN(100,SUM($G83:$P83)),MIN(100,SUMPRODUCT((COLUMN($G83:$P83)-COLUMN($G83)+1&lt;Reprogramaciones!L$14)*$G83:$P83)+N(INDEX($G83:$P83,1,Reprogramaciones!L$14))*IF(Reprogramaciones!L$13&gt;=(Reprogramaciones!$T$15+7*(Reprogramaciones!L$14-1))+6,1,IF(MAX(0,NETWORKDAYS.INTL(MAX(E83,(Reprogramaciones!$T$15+7*(Reprogramaciones!L$14-1))),MIN(F83,(Reprogramaciones!$T$15+7*(Reprogramaciones!L$14-1))+6),11))=0,0,MAX(0,NETWORKDAYS.INTL(MAX(E83,(Reprogramaciones!$T$15+7*(Reprogramaciones!L$14-1))),MIN(F83,Reprogramaciones!L$13),11))/MAX(0,NETWORKDAYS.INTL(MAX(E83,(Reprogramaciones!$T$15+7*(Reprogramaciones!L$14-1))),MIN(F83,(Reprogramaciones!$T$15+7*(Reprogramaciones!L$14-1))+6),11))))))))</f>
        <v/>
      </c>
      <c r="BV83" s="1" t="str">
        <f aca="false">IF(OR(NOT(AND(ISNUMBER(E83),ISNUMBER(F83))),$J$2=""),"",IF(Reprogramaciones!M$13&lt;Reprogramaciones!$T$15,0,IF(Reprogramaciones!M$14&gt;10,MIN(100,SUM($G83:$P83)),MIN(100,SUMPRODUCT((COLUMN($G83:$P83)-COLUMN($G83)+1&lt;Reprogramaciones!M$14)*$G83:$P83)+N(INDEX($G83:$P83,1,Reprogramaciones!M$14))*IF(Reprogramaciones!M$13&gt;=(Reprogramaciones!$T$15+7*(Reprogramaciones!M$14-1))+6,1,IF(MAX(0,NETWORKDAYS.INTL(MAX(E83,(Reprogramaciones!$T$15+7*(Reprogramaciones!M$14-1))),MIN(F83,(Reprogramaciones!$T$15+7*(Reprogramaciones!M$14-1))+6),11))=0,0,MAX(0,NETWORKDAYS.INTL(MAX(E83,(Reprogramaciones!$T$15+7*(Reprogramaciones!M$14-1))),MIN(F83,Reprogramaciones!M$13),11))/MAX(0,NETWORKDAYS.INTL(MAX(E83,(Reprogramaciones!$T$15+7*(Reprogramaciones!M$14-1))),MIN(F83,(Reprogramaciones!$T$15+7*(Reprogramaciones!M$14-1))+6),11))))))))</f>
        <v/>
      </c>
      <c r="BW83" s="1" t="str">
        <f aca="false">IF(OR(NOT(AND(ISNUMBER(E83),ISNUMBER(F83))),$J$2=""),"",IF(Reprogramaciones!N$13&lt;Reprogramaciones!$T$15,0,IF(Reprogramaciones!N$14&gt;10,MIN(100,SUM($G83:$P83)),MIN(100,SUMPRODUCT((COLUMN($G83:$P83)-COLUMN($G83)+1&lt;Reprogramaciones!N$14)*$G83:$P83)+N(INDEX($G83:$P83,1,Reprogramaciones!N$14))*IF(Reprogramaciones!N$13&gt;=(Reprogramaciones!$T$15+7*(Reprogramaciones!N$14-1))+6,1,IF(MAX(0,NETWORKDAYS.INTL(MAX(E83,(Reprogramaciones!$T$15+7*(Reprogramaciones!N$14-1))),MIN(F83,(Reprogramaciones!$T$15+7*(Reprogramaciones!N$14-1))+6),11))=0,0,MAX(0,NETWORKDAYS.INTL(MAX(E83,(Reprogramaciones!$T$15+7*(Reprogramaciones!N$14-1))),MIN(F83,Reprogramaciones!N$13),11))/MAX(0,NETWORKDAYS.INTL(MAX(E83,(Reprogramaciones!$T$15+7*(Reprogramaciones!N$14-1))),MIN(F83,(Reprogramaciones!$T$15+7*(Reprogramaciones!N$14-1))+6),11))))))))</f>
        <v/>
      </c>
      <c r="BX83" s="1" t="str">
        <f aca="false">IF(OR(NOT(AND(ISNUMBER(E83),ISNUMBER(F83))),$J$2=""),"",IF(Reprogramaciones!O$13&lt;Reprogramaciones!$T$15,0,IF(Reprogramaciones!O$14&gt;10,MIN(100,SUM($G83:$P83)),MIN(100,SUMPRODUCT((COLUMN($G83:$P83)-COLUMN($G83)+1&lt;Reprogramaciones!O$14)*$G83:$P83)+N(INDEX($G83:$P83,1,Reprogramaciones!O$14))*IF(Reprogramaciones!O$13&gt;=(Reprogramaciones!$T$15+7*(Reprogramaciones!O$14-1))+6,1,IF(MAX(0,NETWORKDAYS.INTL(MAX(E83,(Reprogramaciones!$T$15+7*(Reprogramaciones!O$14-1))),MIN(F83,(Reprogramaciones!$T$15+7*(Reprogramaciones!O$14-1))+6),11))=0,0,MAX(0,NETWORKDAYS.INTL(MAX(E83,(Reprogramaciones!$T$15+7*(Reprogramaciones!O$14-1))),MIN(F83,Reprogramaciones!O$13),11))/MAX(0,NETWORKDAYS.INTL(MAX(E83,(Reprogramaciones!$T$15+7*(Reprogramaciones!O$14-1))),MIN(F83,(Reprogramaciones!$T$15+7*(Reprogramaciones!O$14-1))+6),11))))))))</f>
        <v/>
      </c>
      <c r="BY83" s="1" t="str">
        <f aca="false">IF(OR(NOT(AND(ISNUMBER(E83),ISNUMBER(F83))),$J$2=""),"",IF(Reprogramaciones!P$13&lt;Reprogramaciones!$T$15,0,IF(Reprogramaciones!P$14&gt;10,MIN(100,SUM($G83:$P83)),MIN(100,SUMPRODUCT((COLUMN($G83:$P83)-COLUMN($G83)+1&lt;Reprogramaciones!P$14)*$G83:$P83)+N(INDEX($G83:$P83,1,Reprogramaciones!P$14))*IF(Reprogramaciones!P$13&gt;=(Reprogramaciones!$T$15+7*(Reprogramaciones!P$14-1))+6,1,IF(MAX(0,NETWORKDAYS.INTL(MAX(E83,(Reprogramaciones!$T$15+7*(Reprogramaciones!P$14-1))),MIN(F83,(Reprogramaciones!$T$15+7*(Reprogramaciones!P$14-1))+6),11))=0,0,MAX(0,NETWORKDAYS.INTL(MAX(E83,(Reprogramaciones!$T$15+7*(Reprogramaciones!P$14-1))),MIN(F83,Reprogramaciones!P$13),11))/MAX(0,NETWORKDAYS.INTL(MAX(E83,(Reprogramaciones!$T$15+7*(Reprogramaciones!P$14-1))),MIN(F83,(Reprogramaciones!$T$15+7*(Reprogramaciones!P$14-1))+6),11))))))))</f>
        <v/>
      </c>
      <c r="BZ83" s="1" t="str">
        <f aca="false">IF(OR(NOT(AND(ISNUMBER(E83),ISNUMBER(F83))),$J$2=""),"",IF(Reprogramaciones!Q$13&lt;Reprogramaciones!$T$15,0,IF(Reprogramaciones!Q$14&gt;10,MIN(100,SUM($G83:$P83)),MIN(100,SUMPRODUCT((COLUMN($G83:$P83)-COLUMN($G83)+1&lt;Reprogramaciones!Q$14)*$G83:$P83)+N(INDEX($G83:$P83,1,Reprogramaciones!Q$14))*IF(Reprogramaciones!Q$13&gt;=(Reprogramaciones!$T$15+7*(Reprogramaciones!Q$14-1))+6,1,IF(MAX(0,NETWORKDAYS.INTL(MAX(E83,(Reprogramaciones!$T$15+7*(Reprogramaciones!Q$14-1))),MIN(F83,(Reprogramaciones!$T$15+7*(Reprogramaciones!Q$14-1))+6),11))=0,0,MAX(0,NETWORKDAYS.INTL(MAX(E83,(Reprogramaciones!$T$15+7*(Reprogramaciones!Q$14-1))),MIN(F83,Reprogramaciones!Q$13),11))/MAX(0,NETWORKDAYS.INTL(MAX(E83,(Reprogramaciones!$T$15+7*(Reprogramaciones!Q$14-1))),MIN(F83,(Reprogramaciones!$T$15+7*(Reprogramaciones!Q$14-1))+6),11))))))))</f>
        <v/>
      </c>
      <c r="CA83" s="1" t="str">
        <f aca="false">IF(OR(NOT(AND(ISNUMBER(E83),ISNUMBER(F83))),$J$2=""),"",IF(Reprogramaciones!R$13&lt;Reprogramaciones!$T$15,0,IF(Reprogramaciones!R$14&gt;10,MIN(100,SUM($G83:$P83)),MIN(100,SUMPRODUCT((COLUMN($G83:$P83)-COLUMN($G83)+1&lt;Reprogramaciones!R$14)*$G83:$P83)+N(INDEX($G83:$P83,1,Reprogramaciones!R$14))*IF(Reprogramaciones!R$13&gt;=(Reprogramaciones!$T$15+7*(Reprogramaciones!R$14-1))+6,1,IF(MAX(0,NETWORKDAYS.INTL(MAX(E83,(Reprogramaciones!$T$15+7*(Reprogramaciones!R$14-1))),MIN(F83,(Reprogramaciones!$T$15+7*(Reprogramaciones!R$14-1))+6),11))=0,0,MAX(0,NETWORKDAYS.INTL(MAX(E83,(Reprogramaciones!$T$15+7*(Reprogramaciones!R$14-1))),MIN(F83,Reprogramaciones!R$13),11))/MAX(0,NETWORKDAYS.INTL(MAX(E83,(Reprogramaciones!$T$15+7*(Reprogramaciones!R$14-1))),MIN(F83,(Reprogramaciones!$T$15+7*(Reprogramaciones!R$14-1))+6),11))))))))</f>
        <v/>
      </c>
      <c r="CB83" s="1" t="str">
        <f aca="false">IF(OR(NOT(AND(ISNUMBER(E83),ISNUMBER(F83))),$J$2=""),"",IF(Reprogramaciones!S$13&lt;Reprogramaciones!$T$15,0,IF(Reprogramaciones!S$14&gt;10,MIN(100,SUM($G83:$P83)),MIN(100,SUMPRODUCT((COLUMN($G83:$P83)-COLUMN($G83)+1&lt;Reprogramaciones!S$14)*$G83:$P83)+N(INDEX($G83:$P83,1,Reprogramaciones!S$14))*IF(Reprogramaciones!S$13&gt;=(Reprogramaciones!$T$15+7*(Reprogramaciones!S$14-1))+6,1,IF(MAX(0,NETWORKDAYS.INTL(MAX(E83,(Reprogramaciones!$T$15+7*(Reprogramaciones!S$14-1))),MIN(F83,(Reprogramaciones!$T$15+7*(Reprogramaciones!S$14-1))+6),11))=0,0,MAX(0,NETWORKDAYS.INTL(MAX(E83,(Reprogramaciones!$T$15+7*(Reprogramaciones!S$14-1))),MIN(F83,Reprogramaciones!S$13),11))/MAX(0,NETWORKDAYS.INTL(MAX(E83,(Reprogramaciones!$T$15+7*(Reprogramaciones!S$14-1))),MIN(F83,(Reprogramaciones!$T$15+7*(Reprogramaciones!S$14-1))+6),11))))))))</f>
        <v/>
      </c>
      <c r="CC83" s="1" t="str">
        <f aca="false">IF(OR(NOT(AND(ISNUMBER(E83),ISNUMBER(F83))),$J$2=""),"",IF(Reprogramaciones!T$13&lt;Reprogramaciones!$T$15,0,IF(Reprogramaciones!T$14&gt;10,MIN(100,SUM($G83:$P83)),MIN(100,SUMPRODUCT((COLUMN($G83:$P83)-COLUMN($G83)+1&lt;Reprogramaciones!T$14)*$G83:$P83)+N(INDEX($G83:$P83,1,Reprogramaciones!T$14))*IF(Reprogramaciones!T$13&gt;=(Reprogramaciones!$T$15+7*(Reprogramaciones!T$14-1))+6,1,IF(MAX(0,NETWORKDAYS.INTL(MAX(E83,(Reprogramaciones!$T$15+7*(Reprogramaciones!T$14-1))),MIN(F83,(Reprogramaciones!$T$15+7*(Reprogramaciones!T$14-1))+6),11))=0,0,MAX(0,NETWORKDAYS.INTL(MAX(E83,(Reprogramaciones!$T$15+7*(Reprogramaciones!T$14-1))),MIN(F83,Reprogramaciones!T$13),11))/MAX(0,NETWORKDAYS.INTL(MAX(E83,(Reprogramaciones!$T$15+7*(Reprogramaciones!T$14-1))),MIN(F83,(Reprogramaciones!$T$15+7*(Reprogramaciones!T$14-1))+6),11))))))))</f>
        <v/>
      </c>
      <c r="CD83" s="1" t="str">
        <f aca="false">IF(OR(NOT(AND(ISNUMBER(E83),ISNUMBER(F83))),$J$2=""),"",IF(Reprogramaciones!U$13&lt;Reprogramaciones!$T$15,0,IF(Reprogramaciones!U$14&gt;10,MIN(100,SUM($G83:$P83)),MIN(100,SUMPRODUCT((COLUMN($G83:$P83)-COLUMN($G83)+1&lt;Reprogramaciones!U$14)*$G83:$P83)+N(INDEX($G83:$P83,1,Reprogramaciones!U$14))*IF(Reprogramaciones!U$13&gt;=(Reprogramaciones!$T$15+7*(Reprogramaciones!U$14-1))+6,1,IF(MAX(0,NETWORKDAYS.INTL(MAX(E83,(Reprogramaciones!$T$15+7*(Reprogramaciones!U$14-1))),MIN(F83,(Reprogramaciones!$T$15+7*(Reprogramaciones!U$14-1))+6),11))=0,0,MAX(0,NETWORKDAYS.INTL(MAX(E83,(Reprogramaciones!$T$15+7*(Reprogramaciones!U$14-1))),MIN(F83,Reprogramaciones!U$13),11))/MAX(0,NETWORKDAYS.INTL(MAX(E83,(Reprogramaciones!$T$15+7*(Reprogramaciones!U$14-1))),MIN(F83,(Reprogramaciones!$T$15+7*(Reprogramaciones!U$14-1))+6),11))))))))</f>
        <v/>
      </c>
      <c r="CE83" s="1" t="str">
        <f aca="false">IF(OR(NOT(AND(ISNUMBER(E83),ISNUMBER(F83))),$J$2=""),"",IF(Reprogramaciones!V$13&lt;Reprogramaciones!$T$15,0,IF(Reprogramaciones!V$14&gt;10,MIN(100,SUM($G83:$P83)),MIN(100,SUMPRODUCT((COLUMN($G83:$P83)-COLUMN($G83)+1&lt;Reprogramaciones!V$14)*$G83:$P83)+N(INDEX($G83:$P83,1,Reprogramaciones!V$14))*IF(Reprogramaciones!V$13&gt;=(Reprogramaciones!$T$15+7*(Reprogramaciones!V$14-1))+6,1,IF(MAX(0,NETWORKDAYS.INTL(MAX(E83,(Reprogramaciones!$T$15+7*(Reprogramaciones!V$14-1))),MIN(F83,(Reprogramaciones!$T$15+7*(Reprogramaciones!V$14-1))+6),11))=0,0,MAX(0,NETWORKDAYS.INTL(MAX(E83,(Reprogramaciones!$T$15+7*(Reprogramaciones!V$14-1))),MIN(F83,Reprogramaciones!V$13),11))/MAX(0,NETWORKDAYS.INTL(MAX(E83,(Reprogramaciones!$T$15+7*(Reprogramaciones!V$14-1))),MIN(F83,(Reprogramaciones!$T$15+7*(Reprogramaciones!V$14-1))+6),11))))))))</f>
        <v/>
      </c>
      <c r="CF83" s="1" t="str">
        <f aca="false">IF(OR(NOT(AND(ISNUMBER(E83),ISNUMBER(F83))),$J$2=""),"",IF(Reprogramaciones!W$13&lt;Reprogramaciones!$T$15,0,IF(Reprogramaciones!W$14&gt;10,MIN(100,SUM($G83:$P83)),MIN(100,SUMPRODUCT((COLUMN($G83:$P83)-COLUMN($G83)+1&lt;Reprogramaciones!W$14)*$G83:$P83)+N(INDEX($G83:$P83,1,Reprogramaciones!W$14))*IF(Reprogramaciones!W$13&gt;=(Reprogramaciones!$T$15+7*(Reprogramaciones!W$14-1))+6,1,IF(MAX(0,NETWORKDAYS.INTL(MAX(E83,(Reprogramaciones!$T$15+7*(Reprogramaciones!W$14-1))),MIN(F83,(Reprogramaciones!$T$15+7*(Reprogramaciones!W$14-1))+6),11))=0,0,MAX(0,NETWORKDAYS.INTL(MAX(E83,(Reprogramaciones!$T$15+7*(Reprogramaciones!W$14-1))),MIN(F83,Reprogramaciones!W$13),11))/MAX(0,NETWORKDAYS.INTL(MAX(E83,(Reprogramaciones!$T$15+7*(Reprogramaciones!W$14-1))),MIN(F83,(Reprogramaciones!$T$15+7*(Reprogramaciones!W$14-1))+6),11))))))))</f>
        <v/>
      </c>
      <c r="CG83" s="1" t="str">
        <f aca="false">IF(OR(NOT(AND(ISNUMBER(E83),ISNUMBER(F83))),$J$2=""),"",IF(Reprogramaciones!X$13&lt;Reprogramaciones!$T$15,0,IF(Reprogramaciones!X$14&gt;10,MIN(100,SUM($G83:$P83)),MIN(100,SUMPRODUCT((COLUMN($G83:$P83)-COLUMN($G83)+1&lt;Reprogramaciones!X$14)*$G83:$P83)+N(INDEX($G83:$P83,1,Reprogramaciones!X$14))*IF(Reprogramaciones!X$13&gt;=(Reprogramaciones!$T$15+7*(Reprogramaciones!X$14-1))+6,1,IF(MAX(0,NETWORKDAYS.INTL(MAX(E83,(Reprogramaciones!$T$15+7*(Reprogramaciones!X$14-1))),MIN(F83,(Reprogramaciones!$T$15+7*(Reprogramaciones!X$14-1))+6),11))=0,0,MAX(0,NETWORKDAYS.INTL(MAX(E83,(Reprogramaciones!$T$15+7*(Reprogramaciones!X$14-1))),MIN(F83,Reprogramaciones!X$13),11))/MAX(0,NETWORKDAYS.INTL(MAX(E83,(Reprogramaciones!$T$15+7*(Reprogramaciones!X$14-1))),MIN(F83,(Reprogramaciones!$T$15+7*(Reprogramaciones!X$14-1))+6),11))))))))</f>
        <v/>
      </c>
      <c r="CH83" s="1" t="str">
        <f aca="false">IF(OR(NOT(AND(ISNUMBER(E83),ISNUMBER(F83))),$J$2=""),"",IF(Reprogramaciones!Y$13&lt;Reprogramaciones!$T$15,0,IF(Reprogramaciones!Y$14&gt;10,MIN(100,SUM($G83:$P83)),MIN(100,SUMPRODUCT((COLUMN($G83:$P83)-COLUMN($G83)+1&lt;Reprogramaciones!Y$14)*$G83:$P83)+N(INDEX($G83:$P83,1,Reprogramaciones!Y$14))*IF(Reprogramaciones!Y$13&gt;=(Reprogramaciones!$T$15+7*(Reprogramaciones!Y$14-1))+6,1,IF(MAX(0,NETWORKDAYS.INTL(MAX(E83,(Reprogramaciones!$T$15+7*(Reprogramaciones!Y$14-1))),MIN(F83,(Reprogramaciones!$T$15+7*(Reprogramaciones!Y$14-1))+6),11))=0,0,MAX(0,NETWORKDAYS.INTL(MAX(E83,(Reprogramaciones!$T$15+7*(Reprogramaciones!Y$14-1))),MIN(F83,Reprogramaciones!Y$13),11))/MAX(0,NETWORKDAYS.INTL(MAX(E83,(Reprogramaciones!$T$15+7*(Reprogramaciones!Y$14-1))),MIN(F83,(Reprogramaciones!$T$15+7*(Reprogramaciones!Y$14-1))+6),11))))))))</f>
        <v/>
      </c>
      <c r="CI83" s="1" t="str">
        <f aca="false">IF(OR(NOT(AND(ISNUMBER(E83),ISNUMBER(F83))),$J$2=""),"",IF(Reprogramaciones!Z$13&lt;Reprogramaciones!$T$15,0,IF(Reprogramaciones!Z$14&gt;10,MIN(100,SUM($G83:$P83)),MIN(100,SUMPRODUCT((COLUMN($G83:$P83)-COLUMN($G83)+1&lt;Reprogramaciones!Z$14)*$G83:$P83)+N(INDEX($G83:$P83,1,Reprogramaciones!Z$14))*IF(Reprogramaciones!Z$13&gt;=(Reprogramaciones!$T$15+7*(Reprogramaciones!Z$14-1))+6,1,IF(MAX(0,NETWORKDAYS.INTL(MAX(E83,(Reprogramaciones!$T$15+7*(Reprogramaciones!Z$14-1))),MIN(F83,(Reprogramaciones!$T$15+7*(Reprogramaciones!Z$14-1))+6),11))=0,0,MAX(0,NETWORKDAYS.INTL(MAX(E83,(Reprogramaciones!$T$15+7*(Reprogramaciones!Z$14-1))),MIN(F83,Reprogramaciones!Z$13),11))/MAX(0,NETWORKDAYS.INTL(MAX(E83,(Reprogramaciones!$T$15+7*(Reprogramaciones!Z$14-1))),MIN(F83,(Reprogramaciones!$T$15+7*(Reprogramaciones!Z$14-1))+6),11))))))))</f>
        <v/>
      </c>
      <c r="CJ83" s="1" t="str">
        <f aca="false">IF(OR(OR(NOT(AND(ISNUMBER(E83),ISNUMBER(F83))),$J$2=""),1&gt;Reprogramaciones!$K$16),"",IF(ROUND(SUM($Q83:Q83),1)&gt;=99.5,100,MIN(100,ROUND(SUM($Q83:Q83),1))))</f>
        <v/>
      </c>
      <c r="CK83" s="1" t="str">
        <f aca="false">IF(OR(OR(NOT(AND(ISNUMBER(E83),ISNUMBER(F83))),$J$2=""),2&gt;Reprogramaciones!$K$16),"",IF(ROUND(SUM($Q83:R83),1)&gt;=99.5,100,MIN(100,ROUND(SUM($Q83:R83),1))))</f>
        <v/>
      </c>
      <c r="CL83" s="1" t="str">
        <f aca="false">IF(OR(OR(NOT(AND(ISNUMBER(E83),ISNUMBER(F83))),$J$2=""),3&gt;Reprogramaciones!$K$16),"",IF(ROUND(SUM($Q83:S83),1)&gt;=99.5,100,MIN(100,ROUND(SUM($Q83:S83),1))))</f>
        <v/>
      </c>
      <c r="CM83" s="1" t="str">
        <f aca="false">IF(OR(OR(NOT(AND(ISNUMBER(E83),ISNUMBER(F83))),$J$2=""),4&gt;Reprogramaciones!$K$16),"",IF(ROUND(SUM($Q83:T83),1)&gt;=99.5,100,MIN(100,ROUND(SUM($Q83:T83),1))))</f>
        <v/>
      </c>
      <c r="CN83" s="1" t="str">
        <f aca="false">IF(OR(OR(NOT(AND(ISNUMBER(E83),ISNUMBER(F83))),$J$2=""),5&gt;Reprogramaciones!$K$16),"",IF(ROUND(SUM($Q83:U83),1)&gt;=99.5,100,MIN(100,ROUND(SUM($Q83:U83),1))))</f>
        <v/>
      </c>
      <c r="CO83" s="1" t="str">
        <f aca="false">IF(OR(OR(NOT(AND(ISNUMBER(E83),ISNUMBER(F83))),$J$2=""),6&gt;Reprogramaciones!$K$16),"",IF(ROUND(SUM($Q83:V83),1)&gt;=99.5,100,MIN(100,ROUND(SUM($Q83:V83),1))))</f>
        <v/>
      </c>
      <c r="CP83" s="1" t="str">
        <f aca="false">IF(OR(OR(NOT(AND(ISNUMBER(E83),ISNUMBER(F83))),$J$2=""),7&gt;Reprogramaciones!$K$16),"",IF(ROUND(SUM($Q83:W83),1)&gt;=99.5,100,MIN(100,ROUND(SUM($Q83:W83),1))))</f>
        <v/>
      </c>
      <c r="CQ83" s="1" t="str">
        <f aca="false">IF(OR(OR(NOT(AND(ISNUMBER(E83),ISNUMBER(F83))),$J$2=""),8&gt;Reprogramaciones!$K$16),"",IF(ROUND(SUM($Q83:X83),1)&gt;=99.5,100,MIN(100,ROUND(SUM($Q83:X83),1))))</f>
        <v/>
      </c>
      <c r="CR83" s="1" t="str">
        <f aca="false">IF(OR(OR(NOT(AND(ISNUMBER(E83),ISNUMBER(F83))),$J$2=""),9&gt;Reprogramaciones!$K$16),"",IF(ROUND(SUM($Q83:Y83),1)&gt;=99.5,100,MIN(100,ROUND(SUM($Q83:Y83),1))))</f>
        <v/>
      </c>
      <c r="CS83" s="1" t="str">
        <f aca="false">IF(OR(OR(NOT(AND(ISNUMBER(E83),ISNUMBER(F83))),$J$2=""),10&gt;Reprogramaciones!$K$16),"",IF(ROUND(SUM($Q83:Z83),1)&gt;=99.5,100,MIN(100,ROUND(SUM($Q83:Z83),1))))</f>
        <v/>
      </c>
      <c r="CT83" s="1" t="str">
        <f aca="false">IF(OR(OR(NOT(AND(ISNUMBER(E83),ISNUMBER(F83))),$J$2=""),11&gt;Reprogramaciones!$K$16),"",IF(ROUND(SUM($Q83:AA83),1)&gt;=99.5,100,MIN(100,ROUND(SUM($Q83:AA83),1))))</f>
        <v/>
      </c>
      <c r="CU83" s="1" t="str">
        <f aca="false">IF(OR(OR(NOT(AND(ISNUMBER(E83),ISNUMBER(F83))),$J$2=""),12&gt;Reprogramaciones!$K$16),"",IF(ROUND(SUM($Q83:AB83),1)&gt;=99.5,100,MIN(100,ROUND(SUM($Q83:AB83),1))))</f>
        <v/>
      </c>
      <c r="CV83" s="1" t="str">
        <f aca="false">IF(OR(OR(NOT(AND(ISNUMBER(E83),ISNUMBER(F83))),$J$2=""),13&gt;Reprogramaciones!$K$16),"",IF(ROUND(SUM($Q83:AC83),1)&gt;=99.5,100,MIN(100,ROUND(SUM($Q83:AC83),1))))</f>
        <v/>
      </c>
      <c r="CW83" s="1" t="str">
        <f aca="false">IF(OR(OR(NOT(AND(ISNUMBER(E83),ISNUMBER(F83))),$J$2=""),14&gt;Reprogramaciones!$K$16),"",IF(ROUND(SUM($Q83:AD83),1)&gt;=99.5,100,MIN(100,ROUND(SUM($Q83:AD83),1))))</f>
        <v/>
      </c>
      <c r="CX83" s="1" t="str">
        <f aca="false">IF(OR(OR(NOT(AND(ISNUMBER(E83),ISNUMBER(F83))),$J$2=""),15&gt;Reprogramaciones!$K$16),"",IF(ROUND(SUM($Q83:AE83),1)&gt;=99.5,100,MIN(100,ROUND(SUM($Q83:AE83),1))))</f>
        <v/>
      </c>
      <c r="CY83" s="1" t="str">
        <f aca="false">IF(OR(OR(NOT(AND(ISNUMBER(E83),ISNUMBER(F83))),$J$2=""),16&gt;Reprogramaciones!$K$16),"",IF(ROUND(SUM($Q83:AF83),1)&gt;=99.5,100,MIN(100,ROUND(SUM($Q83:AF83),1))))</f>
        <v/>
      </c>
      <c r="CZ83" s="1" t="str">
        <f aca="false">IF(D83&lt;&gt;"",D83,IF(B83&lt;&gt;"","Contractual",CZ82))</f>
        <v>Contractual</v>
      </c>
      <c r="DA83" s="1" t="str">
        <f aca="false">IF(OR(NOT(AND(ISNUMBER(E83),ISNUMBER(F83))),$J$2=""),"",IF(Reprogramaciones!$Q$15&lt;Reprogramaciones!$T$15,0,IF(Reprogramaciones!$S$15&gt;10,MIN(100,SUM($G83:$P83)),MIN(100,SUMPRODUCT((COLUMN($G83:$P83)-COLUMN($G83)+1&lt;Reprogramaciones!$S$15)*$G83:$P83)+N(INDEX($G83:$P83,1,Reprogramaciones!$S$15))*IF(Reprogramaciones!$Q$15&gt;=(Reprogramaciones!$T$15+7*(Reprogramaciones!$S$15-1))+6,1,IF(MAX(0,NETWORKDAYS.INTL(MAX(E83,(Reprogramaciones!$T$15+7*(Reprogramaciones!$S$15-1))),MIN(F83,(Reprogramaciones!$T$15+7*(Reprogramaciones!$S$15-1))+6),11))=0,0,MAX(0,NETWORKDAYS.INTL(MAX(E83,(Reprogramaciones!$T$15+7*(Reprogramaciones!$S$15-1))),MIN(F83,Reprogramaciones!$Q$15),11))/MAX(0,NETWORKDAYS.INTL(MAX(E83,(Reprogramaciones!$T$15+7*(Reprogramaciones!$S$15-1))),MIN(F83,(Reprogramaciones!$T$15+7*(Reprogramaciones!$S$15-1))+6),11))))))))</f>
        <v/>
      </c>
    </row>
    <row r="84" customFormat="false" ht="15" hidden="false" customHeight="false" outlineLevel="0" collapsed="false">
      <c r="A84" s="32"/>
      <c r="B84" s="33"/>
      <c r="C84" s="33"/>
      <c r="D84" s="34"/>
      <c r="E84" s="35"/>
      <c r="F84" s="35"/>
      <c r="G84" s="36" t="str">
        <f aca="false">IF(OR(NOT(AND(ISNUMBER(E84),ISNUMBER(F84))),$J$2=""),"",IF(Reprogramaciones!K$9&lt;E84,0,IF(NETWORKDAYS.INTL(E84,F84,11)=0,IF(Reprogramaciones!K$9&gt;=F84,100,0),ROUND(NETWORKDAYS.INTL(E84,MIN(F84,Reprogramaciones!K$9),11)/NETWORKDAYS.INTL(E84,F84,11)*100,1)))-0)</f>
        <v/>
      </c>
      <c r="H84" s="36" t="str">
        <f aca="false">IF(OR(NOT(AND(ISNUMBER(E84),ISNUMBER(F84))),$J$2=""),"",IF(Reprogramaciones!L$9&lt;E84,0,IF(NETWORKDAYS.INTL(E84,F84,11)=0,IF(Reprogramaciones!L$9&gt;=F84,100,0),ROUND(NETWORKDAYS.INTL(E84,MIN(F84,Reprogramaciones!L$9),11)/NETWORKDAYS.INTL(E84,F84,11)*100,1)))-IF(Reprogramaciones!K$9&lt;E84,0,IF(NETWORKDAYS.INTL(E84,F84,11)=0,IF(Reprogramaciones!K$9&gt;=F84,100,0),ROUND(NETWORKDAYS.INTL(E84,MIN(F84,Reprogramaciones!K$9),11)/NETWORKDAYS.INTL(E84,F84,11)*100,1))))</f>
        <v/>
      </c>
      <c r="I84" s="36" t="str">
        <f aca="false">IF(OR(NOT(AND(ISNUMBER(E84),ISNUMBER(F84))),$J$2=""),"",IF(Reprogramaciones!M$9&lt;E84,0,IF(NETWORKDAYS.INTL(E84,F84,11)=0,IF(Reprogramaciones!M$9&gt;=F84,100,0),ROUND(NETWORKDAYS.INTL(E84,MIN(F84,Reprogramaciones!M$9),11)/NETWORKDAYS.INTL(E84,F84,11)*100,1)))-IF(Reprogramaciones!L$9&lt;E84,0,IF(NETWORKDAYS.INTL(E84,F84,11)=0,IF(Reprogramaciones!L$9&gt;=F84,100,0),ROUND(NETWORKDAYS.INTL(E84,MIN(F84,Reprogramaciones!L$9),11)/NETWORKDAYS.INTL(E84,F84,11)*100,1))))</f>
        <v/>
      </c>
      <c r="J84" s="36" t="str">
        <f aca="false">IF(OR(NOT(AND(ISNUMBER(E84),ISNUMBER(F84))),$J$2=""),"",IF(Reprogramaciones!N$9&lt;E84,0,IF(NETWORKDAYS.INTL(E84,F84,11)=0,IF(Reprogramaciones!N$9&gt;=F84,100,0),ROUND(NETWORKDAYS.INTL(E84,MIN(F84,Reprogramaciones!N$9),11)/NETWORKDAYS.INTL(E84,F84,11)*100,1)))-IF(Reprogramaciones!M$9&lt;E84,0,IF(NETWORKDAYS.INTL(E84,F84,11)=0,IF(Reprogramaciones!M$9&gt;=F84,100,0),ROUND(NETWORKDAYS.INTL(E84,MIN(F84,Reprogramaciones!M$9),11)/NETWORKDAYS.INTL(E84,F84,11)*100,1))))</f>
        <v/>
      </c>
      <c r="K84" s="36" t="str">
        <f aca="false">IF(OR(NOT(AND(ISNUMBER(E84),ISNUMBER(F84))),$J$2=""),"",IF(Reprogramaciones!O$9&lt;E84,0,IF(NETWORKDAYS.INTL(E84,F84,11)=0,IF(Reprogramaciones!O$9&gt;=F84,100,0),ROUND(NETWORKDAYS.INTL(E84,MIN(F84,Reprogramaciones!O$9),11)/NETWORKDAYS.INTL(E84,F84,11)*100,1)))-IF(Reprogramaciones!N$9&lt;E84,0,IF(NETWORKDAYS.INTL(E84,F84,11)=0,IF(Reprogramaciones!N$9&gt;=F84,100,0),ROUND(NETWORKDAYS.INTL(E84,MIN(F84,Reprogramaciones!N$9),11)/NETWORKDAYS.INTL(E84,F84,11)*100,1))))</f>
        <v/>
      </c>
      <c r="L84" s="36" t="str">
        <f aca="false">IF(OR(NOT(AND(ISNUMBER(E84),ISNUMBER(F84))),$J$2=""),"",IF(Reprogramaciones!P$9&lt;E84,0,IF(NETWORKDAYS.INTL(E84,F84,11)=0,IF(Reprogramaciones!P$9&gt;=F84,100,0),ROUND(NETWORKDAYS.INTL(E84,MIN(F84,Reprogramaciones!P$9),11)/NETWORKDAYS.INTL(E84,F84,11)*100,1)))-IF(Reprogramaciones!O$9&lt;E84,0,IF(NETWORKDAYS.INTL(E84,F84,11)=0,IF(Reprogramaciones!O$9&gt;=F84,100,0),ROUND(NETWORKDAYS.INTL(E84,MIN(F84,Reprogramaciones!O$9),11)/NETWORKDAYS.INTL(E84,F84,11)*100,1))))</f>
        <v/>
      </c>
      <c r="M84" s="36" t="str">
        <f aca="false">IF(OR(NOT(AND(ISNUMBER(E84),ISNUMBER(F84))),$J$2=""),"",IF(Reprogramaciones!Q$9&lt;E84,0,IF(NETWORKDAYS.INTL(E84,F84,11)=0,IF(Reprogramaciones!Q$9&gt;=F84,100,0),ROUND(NETWORKDAYS.INTL(E84,MIN(F84,Reprogramaciones!Q$9),11)/NETWORKDAYS.INTL(E84,F84,11)*100,1)))-IF(Reprogramaciones!P$9&lt;E84,0,IF(NETWORKDAYS.INTL(E84,F84,11)=0,IF(Reprogramaciones!P$9&gt;=F84,100,0),ROUND(NETWORKDAYS.INTL(E84,MIN(F84,Reprogramaciones!P$9),11)/NETWORKDAYS.INTL(E84,F84,11)*100,1))))</f>
        <v/>
      </c>
      <c r="N84" s="36" t="str">
        <f aca="false">IF(OR(NOT(AND(ISNUMBER(E84),ISNUMBER(F84))),$J$2=""),"",IF(Reprogramaciones!R$9&lt;E84,0,IF(NETWORKDAYS.INTL(E84,F84,11)=0,IF(Reprogramaciones!R$9&gt;=F84,100,0),ROUND(NETWORKDAYS.INTL(E84,MIN(F84,Reprogramaciones!R$9),11)/NETWORKDAYS.INTL(E84,F84,11)*100,1)))-IF(Reprogramaciones!Q$9&lt;E84,0,IF(NETWORKDAYS.INTL(E84,F84,11)=0,IF(Reprogramaciones!Q$9&gt;=F84,100,0),ROUND(NETWORKDAYS.INTL(E84,MIN(F84,Reprogramaciones!Q$9),11)/NETWORKDAYS.INTL(E84,F84,11)*100,1))))</f>
        <v/>
      </c>
      <c r="O84" s="36" t="str">
        <f aca="false">IF(OR(NOT(AND(ISNUMBER(E84),ISNUMBER(F84))),$J$2=""),"",IF(Reprogramaciones!S$9&lt;E84,0,IF(NETWORKDAYS.INTL(E84,F84,11)=0,IF(Reprogramaciones!S$9&gt;=F84,100,0),ROUND(NETWORKDAYS.INTL(E84,MIN(F84,Reprogramaciones!S$9),11)/NETWORKDAYS.INTL(E84,F84,11)*100,1)))-IF(Reprogramaciones!R$9&lt;E84,0,IF(NETWORKDAYS.INTL(E84,F84,11)=0,IF(Reprogramaciones!R$9&gt;=F84,100,0),ROUND(NETWORKDAYS.INTL(E84,MIN(F84,Reprogramaciones!R$9),11)/NETWORKDAYS.INTL(E84,F84,11)*100,1))))</f>
        <v/>
      </c>
      <c r="P84" s="36" t="str">
        <f aca="false">IF(OR(NOT(AND(ISNUMBER(E84),ISNUMBER(F84))),$J$2=""),"",IF(Reprogramaciones!T$9&lt;E84,0,IF(NETWORKDAYS.INTL(E84,F84,11)=0,IF(Reprogramaciones!T$9&gt;=F84,100,0),ROUND(NETWORKDAYS.INTL(E84,MIN(F84,Reprogramaciones!T$9),11)/NETWORKDAYS.INTL(E84,F84,11)*100,1)))-IF(Reprogramaciones!S$9&lt;E84,0,IF(NETWORKDAYS.INTL(E84,F84,11)=0,IF(Reprogramaciones!S$9&gt;=F84,100,0),ROUND(NETWORKDAYS.INTL(E84,MIN(F84,Reprogramaciones!S$9),11)/NETWORKDAYS.INTL(E84,F84,11)*100,1))))</f>
        <v/>
      </c>
      <c r="Q84" s="37"/>
      <c r="R84" s="37"/>
      <c r="S84" s="37"/>
      <c r="T84" s="37"/>
      <c r="U84" s="37"/>
      <c r="V84" s="37"/>
      <c r="W84" s="37"/>
      <c r="X84" s="37"/>
      <c r="Y84" s="37"/>
      <c r="Z84" s="37"/>
      <c r="AA84" s="37"/>
      <c r="AB84" s="37"/>
      <c r="AC84" s="37"/>
      <c r="AD84" s="37"/>
      <c r="AE84" s="37"/>
      <c r="AF84" s="37"/>
      <c r="AG84" s="38" t="str">
        <f aca="false">IF(AND(ISNUMBER(E84),ISNUMBER(F84)),NETWORKDAYS.INTL(E84,F84,11),"")</f>
        <v/>
      </c>
      <c r="AH84" s="38" t="str">
        <f aca="false">IF(OR(NOT(AND(ISNUMBER(E84),ISNUMBER(F84))),$J$2=""),"",IF(Reprogramaciones!$P$15&lt;Reprogramaciones!$T$15,0,IF(Reprogramaciones!$R$15&gt;10,MIN(100,SUM($G84:$P84)),MIN(100,SUMPRODUCT((COLUMN($G84:$P84)-COLUMN($G84)+1&lt;Reprogramaciones!$R$15)*$G84:$P84)+N(INDEX($G84:$P84,1,Reprogramaciones!$R$15))*IF(Reprogramaciones!$P$15&gt;=(Reprogramaciones!$T$15+7*(Reprogramaciones!$R$15-1))+6,1,IF(MAX(0,NETWORKDAYS.INTL(MAX(E84,(Reprogramaciones!$T$15+7*(Reprogramaciones!$R$15-1))),MIN(F84,(Reprogramaciones!$T$15+7*(Reprogramaciones!$R$15-1))+6),11))=0,0,MAX(0,NETWORKDAYS.INTL(MAX(E84,(Reprogramaciones!$T$15+7*(Reprogramaciones!$R$15-1))),MIN(F84,Reprogramaciones!$P$15),11))/MAX(0,NETWORKDAYS.INTL(MAX(E84,(Reprogramaciones!$T$15+7*(Reprogramaciones!$R$15-1))),MIN(F84,(Reprogramaciones!$T$15+7*(Reprogramaciones!$R$15-1))+6),11))))))))</f>
        <v/>
      </c>
      <c r="AI84" s="38" t="str">
        <f aca="false">IF(COUNT($Q84:$AF84)=0,"",IF(ROUND(SUM($Q84:$AF84),1)&gt;=99.5,100,MIN(100,ROUND(SUM($Q84:$AF84),1))))</f>
        <v/>
      </c>
      <c r="AJ84" s="38" t="str">
        <f aca="false">IF(OR(AH84="",AI84=""),"",AI84-AH84)</f>
        <v/>
      </c>
      <c r="AK84" s="39" t="str">
        <f aca="true">IF(AH84="","",IF(OR(Ficha!$C$10="Suspendida",Ficha!$C$10="Cancelada"),Ficha!$C$10,IF(AND(AI84&lt;&gt;"",N(AI84)&gt;=100),"Completada",IF(AND(E84&gt;TODAY(),N(AI84)=0),"Por iniciar",IF(N(AI84)+0.5&lt;AH84,"Retrasada",IF(N(AI84)+0.5&lt;DA84,IF(Reprogramaciones!$K$15&gt;0,"Al día · Sem "&amp;Reprogramaciones!$K$15&amp;" en curso","Al día · en curso"),"A tiempo"))))))</f>
        <v/>
      </c>
      <c r="AL84" s="39" t="str">
        <f aca="true">IF(AND(A84="",AND(B84="",C84="",E84="",F84="",COUNT(Q84:AF84)=0)),"",IF(AND(B84="",C84="",E84="",F84="",COUNT(Q84:AF84)=0),"Falta la partida o subpartida",IF(AND(A84&lt;&gt;"",COUNTIF($A$6:$A$305,A84)&gt;1),"Ítem repetido",IF(AND(C84="",E84="",F84="",COUNT(Q84:AF84)=0),"Título de partida",IF(OR(E84="",F84=""),"Faltan fechas",IF(OR(ISTEXT(E84),ISTEXT(F84)),"Fecha escrita como texto: usa dd/mm/aaaa",IF(F84&lt;E84,"Fin antes del inicio",IF(IF($J$2="",FALSE(),OR(E84&lt;$J$2,F84&gt;Reprogramaciones!$T$15+69)),"Fuera de las 10 semanas",IF(ABS(SUM(G84:P84)-100)&gt;0.5,"La meta no suma 100%",IF(ROUND(SUM(Q84:AF84),1)&gt;100.5,"El avance pasa de 100%",IF(MIN(Q84:AF84)&lt;0,"Avance negativo",IF(COUNTA(Q84:AF84)&gt;COUNT(Q84:AF84),"Avance escrito como texto",IF(SUMPRODUCT((Q84:AF84&gt;0)*(Q84:AF84&lt;1))&gt;0,"Avance menor a 1: escribe 50, no 50%",IF(SUMPRODUCT(ISNUMBER(Q84:AF84)*(Reprogramaciones!$K$8:$Z$8&gt;TODAY()))&gt;0,"Avance en semana que aún no llega",IF(AND(N(Reprogramaciones!$E$21)&gt;0,F84&gt;Reprogramaciones!$E$21),"Pasa el fin de la obra: registra una reprogramación",IF(AND(N(Reprogramaciones!$E$21)&gt;0,SUMPRODUCT(ISNUMBER(Q84:AF84)*(Reprogramaciones!$K$8:$Z$8&gt;Reprogramaciones!$E$21))&gt;0),"Avance después del fin de la obra: registra una reprogramación por atraso","OK"))))))))))))))))</f>
        <v/>
      </c>
      <c r="AM84" s="40" t="str">
        <f aca="false">IF(OR(OR(NOT(AND(ISNUMBER(E84),ISNUMBER(F84))),$J$2=""),1&gt;MAX(1,Reprogramaciones!$U$15)),"",IF(Reprogramaciones!K$12&gt;=7,"",IF(OR(BT84-N(0)&gt;0.05,N(Q84)&gt;0),ROUNDDOWN(ROUND(BT84,6),0)&amp;"%"&amp;IF(CJ84="",""," / "&amp;CJ84&amp;"%"),IF(AND(N(0)&gt;=99.95,CJ84&lt;&gt;"",N(CJ84)&lt;100),"Pend. "&amp;CJ84&amp;"%",""))))</f>
        <v/>
      </c>
      <c r="AN84" s="40" t="str">
        <f aca="false">IF(OR(OR(NOT(AND(ISNUMBER(E84),ISNUMBER(F84))),$J$2=""),2&gt;MAX(1,Reprogramaciones!$U$15)),"",IF(Reprogramaciones!L$12&gt;=7,"",IF(OR(BU84-N(BT84)&gt;0.05,N(R84)&gt;0),ROUNDDOWN(ROUND(BU84,6),0)&amp;"%"&amp;IF(CK84="",""," / "&amp;CK84&amp;"%"),IF(AND(N(BT84)&gt;=99.95,CK84&lt;&gt;"",N(CK84)&lt;100),"Pend. "&amp;CK84&amp;"%",""))))</f>
        <v/>
      </c>
      <c r="AO84" s="40" t="str">
        <f aca="false">IF(OR(OR(NOT(AND(ISNUMBER(E84),ISNUMBER(F84))),$J$2=""),3&gt;MAX(1,Reprogramaciones!$U$15)),"",IF(Reprogramaciones!M$12&gt;=7,"",IF(OR(BV84-N(BU84)&gt;0.05,N(S84)&gt;0),ROUNDDOWN(ROUND(BV84,6),0)&amp;"%"&amp;IF(CL84="",""," / "&amp;CL84&amp;"%"),IF(AND(N(BU84)&gt;=99.95,CL84&lt;&gt;"",N(CL84)&lt;100),"Pend. "&amp;CL84&amp;"%",""))))</f>
        <v/>
      </c>
      <c r="AP84" s="40" t="str">
        <f aca="false">IF(OR(OR(NOT(AND(ISNUMBER(E84),ISNUMBER(F84))),$J$2=""),4&gt;MAX(1,Reprogramaciones!$U$15)),"",IF(Reprogramaciones!N$12&gt;=7,"",IF(OR(BW84-N(BV84)&gt;0.05,N(T84)&gt;0),ROUNDDOWN(ROUND(BW84,6),0)&amp;"%"&amp;IF(CM84="",""," / "&amp;CM84&amp;"%"),IF(AND(N(BV84)&gt;=99.95,CM84&lt;&gt;"",N(CM84)&lt;100),"Pend. "&amp;CM84&amp;"%",""))))</f>
        <v/>
      </c>
      <c r="AQ84" s="40" t="str">
        <f aca="false">IF(OR(OR(NOT(AND(ISNUMBER(E84),ISNUMBER(F84))),$J$2=""),5&gt;MAX(1,Reprogramaciones!$U$15)),"",IF(Reprogramaciones!O$12&gt;=7,"",IF(OR(BX84-N(BW84)&gt;0.05,N(U84)&gt;0),ROUNDDOWN(ROUND(BX84,6),0)&amp;"%"&amp;IF(CN84="",""," / "&amp;CN84&amp;"%"),IF(AND(N(BW84)&gt;=99.95,CN84&lt;&gt;"",N(CN84)&lt;100),"Pend. "&amp;CN84&amp;"%",""))))</f>
        <v/>
      </c>
      <c r="AR84" s="40" t="str">
        <f aca="false">IF(OR(OR(NOT(AND(ISNUMBER(E84),ISNUMBER(F84))),$J$2=""),6&gt;MAX(1,Reprogramaciones!$U$15)),"",IF(Reprogramaciones!P$12&gt;=7,"",IF(OR(BY84-N(BX84)&gt;0.05,N(V84)&gt;0),ROUNDDOWN(ROUND(BY84,6),0)&amp;"%"&amp;IF(CO84="",""," / "&amp;CO84&amp;"%"),IF(AND(N(BX84)&gt;=99.95,CO84&lt;&gt;"",N(CO84)&lt;100),"Pend. "&amp;CO84&amp;"%",""))))</f>
        <v/>
      </c>
      <c r="AS84" s="40" t="str">
        <f aca="false">IF(OR(OR(NOT(AND(ISNUMBER(E84),ISNUMBER(F84))),$J$2=""),7&gt;MAX(1,Reprogramaciones!$U$15)),"",IF(Reprogramaciones!Q$12&gt;=7,"",IF(OR(BZ84-N(BY84)&gt;0.05,N(W84)&gt;0),ROUNDDOWN(ROUND(BZ84,6),0)&amp;"%"&amp;IF(CP84="",""," / "&amp;CP84&amp;"%"),IF(AND(N(BY84)&gt;=99.95,CP84&lt;&gt;"",N(CP84)&lt;100),"Pend. "&amp;CP84&amp;"%",""))))</f>
        <v/>
      </c>
      <c r="AT84" s="40" t="str">
        <f aca="false">IF(OR(OR(NOT(AND(ISNUMBER(E84),ISNUMBER(F84))),$J$2=""),8&gt;MAX(1,Reprogramaciones!$U$15)),"",IF(Reprogramaciones!R$12&gt;=7,"",IF(OR(CA84-N(BZ84)&gt;0.05,N(X84)&gt;0),ROUNDDOWN(ROUND(CA84,6),0)&amp;"%"&amp;IF(CQ84="",""," / "&amp;CQ84&amp;"%"),IF(AND(N(BZ84)&gt;=99.95,CQ84&lt;&gt;"",N(CQ84)&lt;100),"Pend. "&amp;CQ84&amp;"%",""))))</f>
        <v/>
      </c>
      <c r="AU84" s="40" t="str">
        <f aca="false">IF(OR(OR(NOT(AND(ISNUMBER(E84),ISNUMBER(F84))),$J$2=""),9&gt;MAX(1,Reprogramaciones!$U$15)),"",IF(Reprogramaciones!S$12&gt;=7,"",IF(OR(CB84-N(CA84)&gt;0.05,N(Y84)&gt;0),ROUNDDOWN(ROUND(CB84,6),0)&amp;"%"&amp;IF(CR84="",""," / "&amp;CR84&amp;"%"),IF(AND(N(CA84)&gt;=99.95,CR84&lt;&gt;"",N(CR84)&lt;100),"Pend. "&amp;CR84&amp;"%",""))))</f>
        <v/>
      </c>
      <c r="AV84" s="40" t="str">
        <f aca="false">IF(OR(OR(NOT(AND(ISNUMBER(E84),ISNUMBER(F84))),$J$2=""),10&gt;MAX(1,Reprogramaciones!$U$15)),"",IF(Reprogramaciones!T$12&gt;=7,"",IF(OR(CC84-N(CB84)&gt;0.05,N(Z84)&gt;0),ROUNDDOWN(ROUND(CC84,6),0)&amp;"%"&amp;IF(CS84="",""," / "&amp;CS84&amp;"%"),IF(AND(N(CB84)&gt;=99.95,CS84&lt;&gt;"",N(CS84)&lt;100),"Pend. "&amp;CS84&amp;"%",""))))</f>
        <v/>
      </c>
      <c r="AW84" s="40" t="str">
        <f aca="false">IF(OR(OR(NOT(AND(ISNUMBER(E84),ISNUMBER(F84))),$J$2=""),11&gt;MAX(1,Reprogramaciones!$U$15)),"",IF(Reprogramaciones!U$12&gt;=7,"",IF(OR(CD84-N(CC84)&gt;0.05,N(AA84)&gt;0),ROUNDDOWN(ROUND(CD84,6),0)&amp;"%"&amp;IF(CT84="",""," / "&amp;CT84&amp;"%"),IF(AND(N(CC84)&gt;=99.95,CT84&lt;&gt;"",N(CT84)&lt;100),"Pend. "&amp;CT84&amp;"%",""))))</f>
        <v/>
      </c>
      <c r="AX84" s="40" t="str">
        <f aca="false">IF(OR(OR(NOT(AND(ISNUMBER(E84),ISNUMBER(F84))),$J$2=""),12&gt;MAX(1,Reprogramaciones!$U$15)),"",IF(Reprogramaciones!V$12&gt;=7,"",IF(OR(CE84-N(CD84)&gt;0.05,N(AB84)&gt;0),ROUNDDOWN(ROUND(CE84,6),0)&amp;"%"&amp;IF(CU84="",""," / "&amp;CU84&amp;"%"),IF(AND(N(CD84)&gt;=99.95,CU84&lt;&gt;"",N(CU84)&lt;100),"Pend. "&amp;CU84&amp;"%",""))))</f>
        <v/>
      </c>
      <c r="AY84" s="40" t="str">
        <f aca="false">IF(OR(OR(NOT(AND(ISNUMBER(E84),ISNUMBER(F84))),$J$2=""),13&gt;MAX(1,Reprogramaciones!$U$15)),"",IF(Reprogramaciones!W$12&gt;=7,"",IF(OR(CF84-N(CE84)&gt;0.05,N(AC84)&gt;0),ROUNDDOWN(ROUND(CF84,6),0)&amp;"%"&amp;IF(CV84="",""," / "&amp;CV84&amp;"%"),IF(AND(N(CE84)&gt;=99.95,CV84&lt;&gt;"",N(CV84)&lt;100),"Pend. "&amp;CV84&amp;"%",""))))</f>
        <v/>
      </c>
      <c r="AZ84" s="40" t="str">
        <f aca="false">IF(OR(OR(NOT(AND(ISNUMBER(E84),ISNUMBER(F84))),$J$2=""),14&gt;MAX(1,Reprogramaciones!$U$15)),"",IF(Reprogramaciones!X$12&gt;=7,"",IF(OR(CG84-N(CF84)&gt;0.05,N(AD84)&gt;0),ROUNDDOWN(ROUND(CG84,6),0)&amp;"%"&amp;IF(CW84="",""," / "&amp;CW84&amp;"%"),IF(AND(N(CF84)&gt;=99.95,CW84&lt;&gt;"",N(CW84)&lt;100),"Pend. "&amp;CW84&amp;"%",""))))</f>
        <v/>
      </c>
      <c r="BA84" s="40" t="str">
        <f aca="false">IF(OR(OR(NOT(AND(ISNUMBER(E84),ISNUMBER(F84))),$J$2=""),15&gt;MAX(1,Reprogramaciones!$U$15)),"",IF(Reprogramaciones!Y$12&gt;=7,"",IF(OR(CH84-N(CG84)&gt;0.05,N(AE84)&gt;0),ROUNDDOWN(ROUND(CH84,6),0)&amp;"%"&amp;IF(CX84="",""," / "&amp;CX84&amp;"%"),IF(AND(N(CG84)&gt;=99.95,CX84&lt;&gt;"",N(CX84)&lt;100),"Pend. "&amp;CX84&amp;"%",""))))</f>
        <v/>
      </c>
      <c r="BB84" s="40" t="str">
        <f aca="false">IF(OR(OR(NOT(AND(ISNUMBER(E84),ISNUMBER(F84))),$J$2=""),16&gt;MAX(1,Reprogramaciones!$U$15)),"",IF(Reprogramaciones!Z$12&gt;=7,"",IF(OR(CI84-N(CH84)&gt;0.05,N(AF84)&gt;0),ROUNDDOWN(ROUND(CI84,6),0)&amp;"%"&amp;IF(CY84="",""," / "&amp;CY84&amp;"%"),IF(AND(N(CH84)&gt;=99.95,CY84&lt;&gt;"",N(CY84)&lt;100),"Pend. "&amp;CY84&amp;"%",""))))</f>
        <v/>
      </c>
      <c r="BC84" s="31" t="n">
        <f aca="false">IF(AND(ISNUMBER(E84),ISNUMBER(F84)),MAX(1,NETWORKDAYS.INTL(E84,F84,11)),0)</f>
        <v>0</v>
      </c>
      <c r="BD84" s="1" t="str">
        <f aca="false">IF(OR(NOT(AND(ISNUMBER(E84),ISNUMBER(F84))),$J$2=""),"",MIN(100,ROUND(SUM($G84:G84),1)))</f>
        <v/>
      </c>
      <c r="BE84" s="1" t="str">
        <f aca="false">IF(OR(NOT(AND(ISNUMBER(E84),ISNUMBER(F84))),$J$2=""),"",MIN(100,ROUND(SUM($G84:H84),1)))</f>
        <v/>
      </c>
      <c r="BF84" s="1" t="str">
        <f aca="false">IF(OR(NOT(AND(ISNUMBER(E84),ISNUMBER(F84))),$J$2=""),"",MIN(100,ROUND(SUM($G84:I84),1)))</f>
        <v/>
      </c>
      <c r="BG84" s="1" t="str">
        <f aca="false">IF(OR(NOT(AND(ISNUMBER(E84),ISNUMBER(F84))),$J$2=""),"",MIN(100,ROUND(SUM($G84:J84),1)))</f>
        <v/>
      </c>
      <c r="BH84" s="1" t="str">
        <f aca="false">IF(OR(NOT(AND(ISNUMBER(E84),ISNUMBER(F84))),$J$2=""),"",MIN(100,ROUND(SUM($G84:K84),1)))</f>
        <v/>
      </c>
      <c r="BI84" s="1" t="str">
        <f aca="false">IF(OR(NOT(AND(ISNUMBER(E84),ISNUMBER(F84))),$J$2=""),"",MIN(100,ROUND(SUM($G84:L84),1)))</f>
        <v/>
      </c>
      <c r="BJ84" s="1" t="str">
        <f aca="false">IF(OR(NOT(AND(ISNUMBER(E84),ISNUMBER(F84))),$J$2=""),"",MIN(100,ROUND(SUM($G84:M84),1)))</f>
        <v/>
      </c>
      <c r="BK84" s="1" t="str">
        <f aca="false">IF(OR(NOT(AND(ISNUMBER(E84),ISNUMBER(F84))),$J$2=""),"",MIN(100,ROUND(SUM($G84:N84),1)))</f>
        <v/>
      </c>
      <c r="BL84" s="1" t="str">
        <f aca="false">IF(OR(NOT(AND(ISNUMBER(E84),ISNUMBER(F84))),$J$2=""),"",MIN(100,ROUND(SUM($G84:O84),1)))</f>
        <v/>
      </c>
      <c r="BM84" s="1" t="str">
        <f aca="false">IF(OR(NOT(AND(ISNUMBER(E84),ISNUMBER(F84))),$J$2=""),"",MIN(100,ROUND(SUM($G84:P84),1)))</f>
        <v/>
      </c>
      <c r="BN84" s="1" t="str">
        <f aca="false">IF(OR(NOT(AND(ISNUMBER(E84),ISNUMBER(F84))),$J$2=""),"",MIN(100,ROUND(SUM($G84:P84),1)))</f>
        <v/>
      </c>
      <c r="BO84" s="1" t="str">
        <f aca="false">IF(OR(NOT(AND(ISNUMBER(E84),ISNUMBER(F84))),$J$2=""),"",MIN(100,ROUND(SUM($G84:P84),1)))</f>
        <v/>
      </c>
      <c r="BP84" s="1" t="str">
        <f aca="false">IF(OR(NOT(AND(ISNUMBER(E84),ISNUMBER(F84))),$J$2=""),"",MIN(100,ROUND(SUM($G84:P84),1)))</f>
        <v/>
      </c>
      <c r="BQ84" s="1" t="str">
        <f aca="false">IF(OR(NOT(AND(ISNUMBER(E84),ISNUMBER(F84))),$J$2=""),"",MIN(100,ROUND(SUM($G84:P84),1)))</f>
        <v/>
      </c>
      <c r="BR84" s="1" t="str">
        <f aca="false">IF(OR(NOT(AND(ISNUMBER(E84),ISNUMBER(F84))),$J$2=""),"",MIN(100,ROUND(SUM($G84:P84),1)))</f>
        <v/>
      </c>
      <c r="BS84" s="1" t="str">
        <f aca="false">IF(OR(NOT(AND(ISNUMBER(E84),ISNUMBER(F84))),$J$2=""),"",MIN(100,ROUND(SUM($G84:P84),1)))</f>
        <v/>
      </c>
      <c r="BT84" s="1" t="str">
        <f aca="false">IF(OR(NOT(AND(ISNUMBER(E84),ISNUMBER(F84))),$J$2=""),"",IF(Reprogramaciones!K$13&lt;Reprogramaciones!$T$15,0,IF(Reprogramaciones!K$14&gt;10,MIN(100,SUM($G84:$P84)),MIN(100,SUMPRODUCT((COLUMN($G84:$P84)-COLUMN($G84)+1&lt;Reprogramaciones!K$14)*$G84:$P84)+N(INDEX($G84:$P84,1,Reprogramaciones!K$14))*IF(Reprogramaciones!K$13&gt;=(Reprogramaciones!$T$15+7*(Reprogramaciones!K$14-1))+6,1,IF(MAX(0,NETWORKDAYS.INTL(MAX(E84,(Reprogramaciones!$T$15+7*(Reprogramaciones!K$14-1))),MIN(F84,(Reprogramaciones!$T$15+7*(Reprogramaciones!K$14-1))+6),11))=0,0,MAX(0,NETWORKDAYS.INTL(MAX(E84,(Reprogramaciones!$T$15+7*(Reprogramaciones!K$14-1))),MIN(F84,Reprogramaciones!K$13),11))/MAX(0,NETWORKDAYS.INTL(MAX(E84,(Reprogramaciones!$T$15+7*(Reprogramaciones!K$14-1))),MIN(F84,(Reprogramaciones!$T$15+7*(Reprogramaciones!K$14-1))+6),11))))))))</f>
        <v/>
      </c>
      <c r="BU84" s="1" t="str">
        <f aca="false">IF(OR(NOT(AND(ISNUMBER(E84),ISNUMBER(F84))),$J$2=""),"",IF(Reprogramaciones!L$13&lt;Reprogramaciones!$T$15,0,IF(Reprogramaciones!L$14&gt;10,MIN(100,SUM($G84:$P84)),MIN(100,SUMPRODUCT((COLUMN($G84:$P84)-COLUMN($G84)+1&lt;Reprogramaciones!L$14)*$G84:$P84)+N(INDEX($G84:$P84,1,Reprogramaciones!L$14))*IF(Reprogramaciones!L$13&gt;=(Reprogramaciones!$T$15+7*(Reprogramaciones!L$14-1))+6,1,IF(MAX(0,NETWORKDAYS.INTL(MAX(E84,(Reprogramaciones!$T$15+7*(Reprogramaciones!L$14-1))),MIN(F84,(Reprogramaciones!$T$15+7*(Reprogramaciones!L$14-1))+6),11))=0,0,MAX(0,NETWORKDAYS.INTL(MAX(E84,(Reprogramaciones!$T$15+7*(Reprogramaciones!L$14-1))),MIN(F84,Reprogramaciones!L$13),11))/MAX(0,NETWORKDAYS.INTL(MAX(E84,(Reprogramaciones!$T$15+7*(Reprogramaciones!L$14-1))),MIN(F84,(Reprogramaciones!$T$15+7*(Reprogramaciones!L$14-1))+6),11))))))))</f>
        <v/>
      </c>
      <c r="BV84" s="1" t="str">
        <f aca="false">IF(OR(NOT(AND(ISNUMBER(E84),ISNUMBER(F84))),$J$2=""),"",IF(Reprogramaciones!M$13&lt;Reprogramaciones!$T$15,0,IF(Reprogramaciones!M$14&gt;10,MIN(100,SUM($G84:$P84)),MIN(100,SUMPRODUCT((COLUMN($G84:$P84)-COLUMN($G84)+1&lt;Reprogramaciones!M$14)*$G84:$P84)+N(INDEX($G84:$P84,1,Reprogramaciones!M$14))*IF(Reprogramaciones!M$13&gt;=(Reprogramaciones!$T$15+7*(Reprogramaciones!M$14-1))+6,1,IF(MAX(0,NETWORKDAYS.INTL(MAX(E84,(Reprogramaciones!$T$15+7*(Reprogramaciones!M$14-1))),MIN(F84,(Reprogramaciones!$T$15+7*(Reprogramaciones!M$14-1))+6),11))=0,0,MAX(0,NETWORKDAYS.INTL(MAX(E84,(Reprogramaciones!$T$15+7*(Reprogramaciones!M$14-1))),MIN(F84,Reprogramaciones!M$13),11))/MAX(0,NETWORKDAYS.INTL(MAX(E84,(Reprogramaciones!$T$15+7*(Reprogramaciones!M$14-1))),MIN(F84,(Reprogramaciones!$T$15+7*(Reprogramaciones!M$14-1))+6),11))))))))</f>
        <v/>
      </c>
      <c r="BW84" s="1" t="str">
        <f aca="false">IF(OR(NOT(AND(ISNUMBER(E84),ISNUMBER(F84))),$J$2=""),"",IF(Reprogramaciones!N$13&lt;Reprogramaciones!$T$15,0,IF(Reprogramaciones!N$14&gt;10,MIN(100,SUM($G84:$P84)),MIN(100,SUMPRODUCT((COLUMN($G84:$P84)-COLUMN($G84)+1&lt;Reprogramaciones!N$14)*$G84:$P84)+N(INDEX($G84:$P84,1,Reprogramaciones!N$14))*IF(Reprogramaciones!N$13&gt;=(Reprogramaciones!$T$15+7*(Reprogramaciones!N$14-1))+6,1,IF(MAX(0,NETWORKDAYS.INTL(MAX(E84,(Reprogramaciones!$T$15+7*(Reprogramaciones!N$14-1))),MIN(F84,(Reprogramaciones!$T$15+7*(Reprogramaciones!N$14-1))+6),11))=0,0,MAX(0,NETWORKDAYS.INTL(MAX(E84,(Reprogramaciones!$T$15+7*(Reprogramaciones!N$14-1))),MIN(F84,Reprogramaciones!N$13),11))/MAX(0,NETWORKDAYS.INTL(MAX(E84,(Reprogramaciones!$T$15+7*(Reprogramaciones!N$14-1))),MIN(F84,(Reprogramaciones!$T$15+7*(Reprogramaciones!N$14-1))+6),11))))))))</f>
        <v/>
      </c>
      <c r="BX84" s="1" t="str">
        <f aca="false">IF(OR(NOT(AND(ISNUMBER(E84),ISNUMBER(F84))),$J$2=""),"",IF(Reprogramaciones!O$13&lt;Reprogramaciones!$T$15,0,IF(Reprogramaciones!O$14&gt;10,MIN(100,SUM($G84:$P84)),MIN(100,SUMPRODUCT((COLUMN($G84:$P84)-COLUMN($G84)+1&lt;Reprogramaciones!O$14)*$G84:$P84)+N(INDEX($G84:$P84,1,Reprogramaciones!O$14))*IF(Reprogramaciones!O$13&gt;=(Reprogramaciones!$T$15+7*(Reprogramaciones!O$14-1))+6,1,IF(MAX(0,NETWORKDAYS.INTL(MAX(E84,(Reprogramaciones!$T$15+7*(Reprogramaciones!O$14-1))),MIN(F84,(Reprogramaciones!$T$15+7*(Reprogramaciones!O$14-1))+6),11))=0,0,MAX(0,NETWORKDAYS.INTL(MAX(E84,(Reprogramaciones!$T$15+7*(Reprogramaciones!O$14-1))),MIN(F84,Reprogramaciones!O$13),11))/MAX(0,NETWORKDAYS.INTL(MAX(E84,(Reprogramaciones!$T$15+7*(Reprogramaciones!O$14-1))),MIN(F84,(Reprogramaciones!$T$15+7*(Reprogramaciones!O$14-1))+6),11))))))))</f>
        <v/>
      </c>
      <c r="BY84" s="1" t="str">
        <f aca="false">IF(OR(NOT(AND(ISNUMBER(E84),ISNUMBER(F84))),$J$2=""),"",IF(Reprogramaciones!P$13&lt;Reprogramaciones!$T$15,0,IF(Reprogramaciones!P$14&gt;10,MIN(100,SUM($G84:$P84)),MIN(100,SUMPRODUCT((COLUMN($G84:$P84)-COLUMN($G84)+1&lt;Reprogramaciones!P$14)*$G84:$P84)+N(INDEX($G84:$P84,1,Reprogramaciones!P$14))*IF(Reprogramaciones!P$13&gt;=(Reprogramaciones!$T$15+7*(Reprogramaciones!P$14-1))+6,1,IF(MAX(0,NETWORKDAYS.INTL(MAX(E84,(Reprogramaciones!$T$15+7*(Reprogramaciones!P$14-1))),MIN(F84,(Reprogramaciones!$T$15+7*(Reprogramaciones!P$14-1))+6),11))=0,0,MAX(0,NETWORKDAYS.INTL(MAX(E84,(Reprogramaciones!$T$15+7*(Reprogramaciones!P$14-1))),MIN(F84,Reprogramaciones!P$13),11))/MAX(0,NETWORKDAYS.INTL(MAX(E84,(Reprogramaciones!$T$15+7*(Reprogramaciones!P$14-1))),MIN(F84,(Reprogramaciones!$T$15+7*(Reprogramaciones!P$14-1))+6),11))))))))</f>
        <v/>
      </c>
      <c r="BZ84" s="1" t="str">
        <f aca="false">IF(OR(NOT(AND(ISNUMBER(E84),ISNUMBER(F84))),$J$2=""),"",IF(Reprogramaciones!Q$13&lt;Reprogramaciones!$T$15,0,IF(Reprogramaciones!Q$14&gt;10,MIN(100,SUM($G84:$P84)),MIN(100,SUMPRODUCT((COLUMN($G84:$P84)-COLUMN($G84)+1&lt;Reprogramaciones!Q$14)*$G84:$P84)+N(INDEX($G84:$P84,1,Reprogramaciones!Q$14))*IF(Reprogramaciones!Q$13&gt;=(Reprogramaciones!$T$15+7*(Reprogramaciones!Q$14-1))+6,1,IF(MAX(0,NETWORKDAYS.INTL(MAX(E84,(Reprogramaciones!$T$15+7*(Reprogramaciones!Q$14-1))),MIN(F84,(Reprogramaciones!$T$15+7*(Reprogramaciones!Q$14-1))+6),11))=0,0,MAX(0,NETWORKDAYS.INTL(MAX(E84,(Reprogramaciones!$T$15+7*(Reprogramaciones!Q$14-1))),MIN(F84,Reprogramaciones!Q$13),11))/MAX(0,NETWORKDAYS.INTL(MAX(E84,(Reprogramaciones!$T$15+7*(Reprogramaciones!Q$14-1))),MIN(F84,(Reprogramaciones!$T$15+7*(Reprogramaciones!Q$14-1))+6),11))))))))</f>
        <v/>
      </c>
      <c r="CA84" s="1" t="str">
        <f aca="false">IF(OR(NOT(AND(ISNUMBER(E84),ISNUMBER(F84))),$J$2=""),"",IF(Reprogramaciones!R$13&lt;Reprogramaciones!$T$15,0,IF(Reprogramaciones!R$14&gt;10,MIN(100,SUM($G84:$P84)),MIN(100,SUMPRODUCT((COLUMN($G84:$P84)-COLUMN($G84)+1&lt;Reprogramaciones!R$14)*$G84:$P84)+N(INDEX($G84:$P84,1,Reprogramaciones!R$14))*IF(Reprogramaciones!R$13&gt;=(Reprogramaciones!$T$15+7*(Reprogramaciones!R$14-1))+6,1,IF(MAX(0,NETWORKDAYS.INTL(MAX(E84,(Reprogramaciones!$T$15+7*(Reprogramaciones!R$14-1))),MIN(F84,(Reprogramaciones!$T$15+7*(Reprogramaciones!R$14-1))+6),11))=0,0,MAX(0,NETWORKDAYS.INTL(MAX(E84,(Reprogramaciones!$T$15+7*(Reprogramaciones!R$14-1))),MIN(F84,Reprogramaciones!R$13),11))/MAX(0,NETWORKDAYS.INTL(MAX(E84,(Reprogramaciones!$T$15+7*(Reprogramaciones!R$14-1))),MIN(F84,(Reprogramaciones!$T$15+7*(Reprogramaciones!R$14-1))+6),11))))))))</f>
        <v/>
      </c>
      <c r="CB84" s="1" t="str">
        <f aca="false">IF(OR(NOT(AND(ISNUMBER(E84),ISNUMBER(F84))),$J$2=""),"",IF(Reprogramaciones!S$13&lt;Reprogramaciones!$T$15,0,IF(Reprogramaciones!S$14&gt;10,MIN(100,SUM($G84:$P84)),MIN(100,SUMPRODUCT((COLUMN($G84:$P84)-COLUMN($G84)+1&lt;Reprogramaciones!S$14)*$G84:$P84)+N(INDEX($G84:$P84,1,Reprogramaciones!S$14))*IF(Reprogramaciones!S$13&gt;=(Reprogramaciones!$T$15+7*(Reprogramaciones!S$14-1))+6,1,IF(MAX(0,NETWORKDAYS.INTL(MAX(E84,(Reprogramaciones!$T$15+7*(Reprogramaciones!S$14-1))),MIN(F84,(Reprogramaciones!$T$15+7*(Reprogramaciones!S$14-1))+6),11))=0,0,MAX(0,NETWORKDAYS.INTL(MAX(E84,(Reprogramaciones!$T$15+7*(Reprogramaciones!S$14-1))),MIN(F84,Reprogramaciones!S$13),11))/MAX(0,NETWORKDAYS.INTL(MAX(E84,(Reprogramaciones!$T$15+7*(Reprogramaciones!S$14-1))),MIN(F84,(Reprogramaciones!$T$15+7*(Reprogramaciones!S$14-1))+6),11))))))))</f>
        <v/>
      </c>
      <c r="CC84" s="1" t="str">
        <f aca="false">IF(OR(NOT(AND(ISNUMBER(E84),ISNUMBER(F84))),$J$2=""),"",IF(Reprogramaciones!T$13&lt;Reprogramaciones!$T$15,0,IF(Reprogramaciones!T$14&gt;10,MIN(100,SUM($G84:$P84)),MIN(100,SUMPRODUCT((COLUMN($G84:$P84)-COLUMN($G84)+1&lt;Reprogramaciones!T$14)*$G84:$P84)+N(INDEX($G84:$P84,1,Reprogramaciones!T$14))*IF(Reprogramaciones!T$13&gt;=(Reprogramaciones!$T$15+7*(Reprogramaciones!T$14-1))+6,1,IF(MAX(0,NETWORKDAYS.INTL(MAX(E84,(Reprogramaciones!$T$15+7*(Reprogramaciones!T$14-1))),MIN(F84,(Reprogramaciones!$T$15+7*(Reprogramaciones!T$14-1))+6),11))=0,0,MAX(0,NETWORKDAYS.INTL(MAX(E84,(Reprogramaciones!$T$15+7*(Reprogramaciones!T$14-1))),MIN(F84,Reprogramaciones!T$13),11))/MAX(0,NETWORKDAYS.INTL(MAX(E84,(Reprogramaciones!$T$15+7*(Reprogramaciones!T$14-1))),MIN(F84,(Reprogramaciones!$T$15+7*(Reprogramaciones!T$14-1))+6),11))))))))</f>
        <v/>
      </c>
      <c r="CD84" s="1" t="str">
        <f aca="false">IF(OR(NOT(AND(ISNUMBER(E84),ISNUMBER(F84))),$J$2=""),"",IF(Reprogramaciones!U$13&lt;Reprogramaciones!$T$15,0,IF(Reprogramaciones!U$14&gt;10,MIN(100,SUM($G84:$P84)),MIN(100,SUMPRODUCT((COLUMN($G84:$P84)-COLUMN($G84)+1&lt;Reprogramaciones!U$14)*$G84:$P84)+N(INDEX($G84:$P84,1,Reprogramaciones!U$14))*IF(Reprogramaciones!U$13&gt;=(Reprogramaciones!$T$15+7*(Reprogramaciones!U$14-1))+6,1,IF(MAX(0,NETWORKDAYS.INTL(MAX(E84,(Reprogramaciones!$T$15+7*(Reprogramaciones!U$14-1))),MIN(F84,(Reprogramaciones!$T$15+7*(Reprogramaciones!U$14-1))+6),11))=0,0,MAX(0,NETWORKDAYS.INTL(MAX(E84,(Reprogramaciones!$T$15+7*(Reprogramaciones!U$14-1))),MIN(F84,Reprogramaciones!U$13),11))/MAX(0,NETWORKDAYS.INTL(MAX(E84,(Reprogramaciones!$T$15+7*(Reprogramaciones!U$14-1))),MIN(F84,(Reprogramaciones!$T$15+7*(Reprogramaciones!U$14-1))+6),11))))))))</f>
        <v/>
      </c>
      <c r="CE84" s="1" t="str">
        <f aca="false">IF(OR(NOT(AND(ISNUMBER(E84),ISNUMBER(F84))),$J$2=""),"",IF(Reprogramaciones!V$13&lt;Reprogramaciones!$T$15,0,IF(Reprogramaciones!V$14&gt;10,MIN(100,SUM($G84:$P84)),MIN(100,SUMPRODUCT((COLUMN($G84:$P84)-COLUMN($G84)+1&lt;Reprogramaciones!V$14)*$G84:$P84)+N(INDEX($G84:$P84,1,Reprogramaciones!V$14))*IF(Reprogramaciones!V$13&gt;=(Reprogramaciones!$T$15+7*(Reprogramaciones!V$14-1))+6,1,IF(MAX(0,NETWORKDAYS.INTL(MAX(E84,(Reprogramaciones!$T$15+7*(Reprogramaciones!V$14-1))),MIN(F84,(Reprogramaciones!$T$15+7*(Reprogramaciones!V$14-1))+6),11))=0,0,MAX(0,NETWORKDAYS.INTL(MAX(E84,(Reprogramaciones!$T$15+7*(Reprogramaciones!V$14-1))),MIN(F84,Reprogramaciones!V$13),11))/MAX(0,NETWORKDAYS.INTL(MAX(E84,(Reprogramaciones!$T$15+7*(Reprogramaciones!V$14-1))),MIN(F84,(Reprogramaciones!$T$15+7*(Reprogramaciones!V$14-1))+6),11))))))))</f>
        <v/>
      </c>
      <c r="CF84" s="1" t="str">
        <f aca="false">IF(OR(NOT(AND(ISNUMBER(E84),ISNUMBER(F84))),$J$2=""),"",IF(Reprogramaciones!W$13&lt;Reprogramaciones!$T$15,0,IF(Reprogramaciones!W$14&gt;10,MIN(100,SUM($G84:$P84)),MIN(100,SUMPRODUCT((COLUMN($G84:$P84)-COLUMN($G84)+1&lt;Reprogramaciones!W$14)*$G84:$P84)+N(INDEX($G84:$P84,1,Reprogramaciones!W$14))*IF(Reprogramaciones!W$13&gt;=(Reprogramaciones!$T$15+7*(Reprogramaciones!W$14-1))+6,1,IF(MAX(0,NETWORKDAYS.INTL(MAX(E84,(Reprogramaciones!$T$15+7*(Reprogramaciones!W$14-1))),MIN(F84,(Reprogramaciones!$T$15+7*(Reprogramaciones!W$14-1))+6),11))=0,0,MAX(0,NETWORKDAYS.INTL(MAX(E84,(Reprogramaciones!$T$15+7*(Reprogramaciones!W$14-1))),MIN(F84,Reprogramaciones!W$13),11))/MAX(0,NETWORKDAYS.INTL(MAX(E84,(Reprogramaciones!$T$15+7*(Reprogramaciones!W$14-1))),MIN(F84,(Reprogramaciones!$T$15+7*(Reprogramaciones!W$14-1))+6),11))))))))</f>
        <v/>
      </c>
      <c r="CG84" s="1" t="str">
        <f aca="false">IF(OR(NOT(AND(ISNUMBER(E84),ISNUMBER(F84))),$J$2=""),"",IF(Reprogramaciones!X$13&lt;Reprogramaciones!$T$15,0,IF(Reprogramaciones!X$14&gt;10,MIN(100,SUM($G84:$P84)),MIN(100,SUMPRODUCT((COLUMN($G84:$P84)-COLUMN($G84)+1&lt;Reprogramaciones!X$14)*$G84:$P84)+N(INDEX($G84:$P84,1,Reprogramaciones!X$14))*IF(Reprogramaciones!X$13&gt;=(Reprogramaciones!$T$15+7*(Reprogramaciones!X$14-1))+6,1,IF(MAX(0,NETWORKDAYS.INTL(MAX(E84,(Reprogramaciones!$T$15+7*(Reprogramaciones!X$14-1))),MIN(F84,(Reprogramaciones!$T$15+7*(Reprogramaciones!X$14-1))+6),11))=0,0,MAX(0,NETWORKDAYS.INTL(MAX(E84,(Reprogramaciones!$T$15+7*(Reprogramaciones!X$14-1))),MIN(F84,Reprogramaciones!X$13),11))/MAX(0,NETWORKDAYS.INTL(MAX(E84,(Reprogramaciones!$T$15+7*(Reprogramaciones!X$14-1))),MIN(F84,(Reprogramaciones!$T$15+7*(Reprogramaciones!X$14-1))+6),11))))))))</f>
        <v/>
      </c>
      <c r="CH84" s="1" t="str">
        <f aca="false">IF(OR(NOT(AND(ISNUMBER(E84),ISNUMBER(F84))),$J$2=""),"",IF(Reprogramaciones!Y$13&lt;Reprogramaciones!$T$15,0,IF(Reprogramaciones!Y$14&gt;10,MIN(100,SUM($G84:$P84)),MIN(100,SUMPRODUCT((COLUMN($G84:$P84)-COLUMN($G84)+1&lt;Reprogramaciones!Y$14)*$G84:$P84)+N(INDEX($G84:$P84,1,Reprogramaciones!Y$14))*IF(Reprogramaciones!Y$13&gt;=(Reprogramaciones!$T$15+7*(Reprogramaciones!Y$14-1))+6,1,IF(MAX(0,NETWORKDAYS.INTL(MAX(E84,(Reprogramaciones!$T$15+7*(Reprogramaciones!Y$14-1))),MIN(F84,(Reprogramaciones!$T$15+7*(Reprogramaciones!Y$14-1))+6),11))=0,0,MAX(0,NETWORKDAYS.INTL(MAX(E84,(Reprogramaciones!$T$15+7*(Reprogramaciones!Y$14-1))),MIN(F84,Reprogramaciones!Y$13),11))/MAX(0,NETWORKDAYS.INTL(MAX(E84,(Reprogramaciones!$T$15+7*(Reprogramaciones!Y$14-1))),MIN(F84,(Reprogramaciones!$T$15+7*(Reprogramaciones!Y$14-1))+6),11))))))))</f>
        <v/>
      </c>
      <c r="CI84" s="1" t="str">
        <f aca="false">IF(OR(NOT(AND(ISNUMBER(E84),ISNUMBER(F84))),$J$2=""),"",IF(Reprogramaciones!Z$13&lt;Reprogramaciones!$T$15,0,IF(Reprogramaciones!Z$14&gt;10,MIN(100,SUM($G84:$P84)),MIN(100,SUMPRODUCT((COLUMN($G84:$P84)-COLUMN($G84)+1&lt;Reprogramaciones!Z$14)*$G84:$P84)+N(INDEX($G84:$P84,1,Reprogramaciones!Z$14))*IF(Reprogramaciones!Z$13&gt;=(Reprogramaciones!$T$15+7*(Reprogramaciones!Z$14-1))+6,1,IF(MAX(0,NETWORKDAYS.INTL(MAX(E84,(Reprogramaciones!$T$15+7*(Reprogramaciones!Z$14-1))),MIN(F84,(Reprogramaciones!$T$15+7*(Reprogramaciones!Z$14-1))+6),11))=0,0,MAX(0,NETWORKDAYS.INTL(MAX(E84,(Reprogramaciones!$T$15+7*(Reprogramaciones!Z$14-1))),MIN(F84,Reprogramaciones!Z$13),11))/MAX(0,NETWORKDAYS.INTL(MAX(E84,(Reprogramaciones!$T$15+7*(Reprogramaciones!Z$14-1))),MIN(F84,(Reprogramaciones!$T$15+7*(Reprogramaciones!Z$14-1))+6),11))))))))</f>
        <v/>
      </c>
      <c r="CJ84" s="1" t="str">
        <f aca="false">IF(OR(OR(NOT(AND(ISNUMBER(E84),ISNUMBER(F84))),$J$2=""),1&gt;Reprogramaciones!$K$16),"",IF(ROUND(SUM($Q84:Q84),1)&gt;=99.5,100,MIN(100,ROUND(SUM($Q84:Q84),1))))</f>
        <v/>
      </c>
      <c r="CK84" s="1" t="str">
        <f aca="false">IF(OR(OR(NOT(AND(ISNUMBER(E84),ISNUMBER(F84))),$J$2=""),2&gt;Reprogramaciones!$K$16),"",IF(ROUND(SUM($Q84:R84),1)&gt;=99.5,100,MIN(100,ROUND(SUM($Q84:R84),1))))</f>
        <v/>
      </c>
      <c r="CL84" s="1" t="str">
        <f aca="false">IF(OR(OR(NOT(AND(ISNUMBER(E84),ISNUMBER(F84))),$J$2=""),3&gt;Reprogramaciones!$K$16),"",IF(ROUND(SUM($Q84:S84),1)&gt;=99.5,100,MIN(100,ROUND(SUM($Q84:S84),1))))</f>
        <v/>
      </c>
      <c r="CM84" s="1" t="str">
        <f aca="false">IF(OR(OR(NOT(AND(ISNUMBER(E84),ISNUMBER(F84))),$J$2=""),4&gt;Reprogramaciones!$K$16),"",IF(ROUND(SUM($Q84:T84),1)&gt;=99.5,100,MIN(100,ROUND(SUM($Q84:T84),1))))</f>
        <v/>
      </c>
      <c r="CN84" s="1" t="str">
        <f aca="false">IF(OR(OR(NOT(AND(ISNUMBER(E84),ISNUMBER(F84))),$J$2=""),5&gt;Reprogramaciones!$K$16),"",IF(ROUND(SUM($Q84:U84),1)&gt;=99.5,100,MIN(100,ROUND(SUM($Q84:U84),1))))</f>
        <v/>
      </c>
      <c r="CO84" s="1" t="str">
        <f aca="false">IF(OR(OR(NOT(AND(ISNUMBER(E84),ISNUMBER(F84))),$J$2=""),6&gt;Reprogramaciones!$K$16),"",IF(ROUND(SUM($Q84:V84),1)&gt;=99.5,100,MIN(100,ROUND(SUM($Q84:V84),1))))</f>
        <v/>
      </c>
      <c r="CP84" s="1" t="str">
        <f aca="false">IF(OR(OR(NOT(AND(ISNUMBER(E84),ISNUMBER(F84))),$J$2=""),7&gt;Reprogramaciones!$K$16),"",IF(ROUND(SUM($Q84:W84),1)&gt;=99.5,100,MIN(100,ROUND(SUM($Q84:W84),1))))</f>
        <v/>
      </c>
      <c r="CQ84" s="1" t="str">
        <f aca="false">IF(OR(OR(NOT(AND(ISNUMBER(E84),ISNUMBER(F84))),$J$2=""),8&gt;Reprogramaciones!$K$16),"",IF(ROUND(SUM($Q84:X84),1)&gt;=99.5,100,MIN(100,ROUND(SUM($Q84:X84),1))))</f>
        <v/>
      </c>
      <c r="CR84" s="1" t="str">
        <f aca="false">IF(OR(OR(NOT(AND(ISNUMBER(E84),ISNUMBER(F84))),$J$2=""),9&gt;Reprogramaciones!$K$16),"",IF(ROUND(SUM($Q84:Y84),1)&gt;=99.5,100,MIN(100,ROUND(SUM($Q84:Y84),1))))</f>
        <v/>
      </c>
      <c r="CS84" s="1" t="str">
        <f aca="false">IF(OR(OR(NOT(AND(ISNUMBER(E84),ISNUMBER(F84))),$J$2=""),10&gt;Reprogramaciones!$K$16),"",IF(ROUND(SUM($Q84:Z84),1)&gt;=99.5,100,MIN(100,ROUND(SUM($Q84:Z84),1))))</f>
        <v/>
      </c>
      <c r="CT84" s="1" t="str">
        <f aca="false">IF(OR(OR(NOT(AND(ISNUMBER(E84),ISNUMBER(F84))),$J$2=""),11&gt;Reprogramaciones!$K$16),"",IF(ROUND(SUM($Q84:AA84),1)&gt;=99.5,100,MIN(100,ROUND(SUM($Q84:AA84),1))))</f>
        <v/>
      </c>
      <c r="CU84" s="1" t="str">
        <f aca="false">IF(OR(OR(NOT(AND(ISNUMBER(E84),ISNUMBER(F84))),$J$2=""),12&gt;Reprogramaciones!$K$16),"",IF(ROUND(SUM($Q84:AB84),1)&gt;=99.5,100,MIN(100,ROUND(SUM($Q84:AB84),1))))</f>
        <v/>
      </c>
      <c r="CV84" s="1" t="str">
        <f aca="false">IF(OR(OR(NOT(AND(ISNUMBER(E84),ISNUMBER(F84))),$J$2=""),13&gt;Reprogramaciones!$K$16),"",IF(ROUND(SUM($Q84:AC84),1)&gt;=99.5,100,MIN(100,ROUND(SUM($Q84:AC84),1))))</f>
        <v/>
      </c>
      <c r="CW84" s="1" t="str">
        <f aca="false">IF(OR(OR(NOT(AND(ISNUMBER(E84),ISNUMBER(F84))),$J$2=""),14&gt;Reprogramaciones!$K$16),"",IF(ROUND(SUM($Q84:AD84),1)&gt;=99.5,100,MIN(100,ROUND(SUM($Q84:AD84),1))))</f>
        <v/>
      </c>
      <c r="CX84" s="1" t="str">
        <f aca="false">IF(OR(OR(NOT(AND(ISNUMBER(E84),ISNUMBER(F84))),$J$2=""),15&gt;Reprogramaciones!$K$16),"",IF(ROUND(SUM($Q84:AE84),1)&gt;=99.5,100,MIN(100,ROUND(SUM($Q84:AE84),1))))</f>
        <v/>
      </c>
      <c r="CY84" s="1" t="str">
        <f aca="false">IF(OR(OR(NOT(AND(ISNUMBER(E84),ISNUMBER(F84))),$J$2=""),16&gt;Reprogramaciones!$K$16),"",IF(ROUND(SUM($Q84:AF84),1)&gt;=99.5,100,MIN(100,ROUND(SUM($Q84:AF84),1))))</f>
        <v/>
      </c>
      <c r="CZ84" s="1" t="str">
        <f aca="false">IF(D84&lt;&gt;"",D84,IF(B84&lt;&gt;"","Contractual",CZ83))</f>
        <v>Contractual</v>
      </c>
      <c r="DA84" s="1" t="str">
        <f aca="false">IF(OR(NOT(AND(ISNUMBER(E84),ISNUMBER(F84))),$J$2=""),"",IF(Reprogramaciones!$Q$15&lt;Reprogramaciones!$T$15,0,IF(Reprogramaciones!$S$15&gt;10,MIN(100,SUM($G84:$P84)),MIN(100,SUMPRODUCT((COLUMN($G84:$P84)-COLUMN($G84)+1&lt;Reprogramaciones!$S$15)*$G84:$P84)+N(INDEX($G84:$P84,1,Reprogramaciones!$S$15))*IF(Reprogramaciones!$Q$15&gt;=(Reprogramaciones!$T$15+7*(Reprogramaciones!$S$15-1))+6,1,IF(MAX(0,NETWORKDAYS.INTL(MAX(E84,(Reprogramaciones!$T$15+7*(Reprogramaciones!$S$15-1))),MIN(F84,(Reprogramaciones!$T$15+7*(Reprogramaciones!$S$15-1))+6),11))=0,0,MAX(0,NETWORKDAYS.INTL(MAX(E84,(Reprogramaciones!$T$15+7*(Reprogramaciones!$S$15-1))),MIN(F84,Reprogramaciones!$Q$15),11))/MAX(0,NETWORKDAYS.INTL(MAX(E84,(Reprogramaciones!$T$15+7*(Reprogramaciones!$S$15-1))),MIN(F84,(Reprogramaciones!$T$15+7*(Reprogramaciones!$S$15-1))+6),11))))))))</f>
        <v/>
      </c>
    </row>
    <row r="85" customFormat="false" ht="15" hidden="false" customHeight="false" outlineLevel="0" collapsed="false">
      <c r="A85" s="32"/>
      <c r="B85" s="33"/>
      <c r="C85" s="33"/>
      <c r="D85" s="34"/>
      <c r="E85" s="35"/>
      <c r="F85" s="35"/>
      <c r="G85" s="36" t="str">
        <f aca="false">IF(OR(NOT(AND(ISNUMBER(E85),ISNUMBER(F85))),$J$2=""),"",IF(Reprogramaciones!K$9&lt;E85,0,IF(NETWORKDAYS.INTL(E85,F85,11)=0,IF(Reprogramaciones!K$9&gt;=F85,100,0),ROUND(NETWORKDAYS.INTL(E85,MIN(F85,Reprogramaciones!K$9),11)/NETWORKDAYS.INTL(E85,F85,11)*100,1)))-0)</f>
        <v/>
      </c>
      <c r="H85" s="36" t="str">
        <f aca="false">IF(OR(NOT(AND(ISNUMBER(E85),ISNUMBER(F85))),$J$2=""),"",IF(Reprogramaciones!L$9&lt;E85,0,IF(NETWORKDAYS.INTL(E85,F85,11)=0,IF(Reprogramaciones!L$9&gt;=F85,100,0),ROUND(NETWORKDAYS.INTL(E85,MIN(F85,Reprogramaciones!L$9),11)/NETWORKDAYS.INTL(E85,F85,11)*100,1)))-IF(Reprogramaciones!K$9&lt;E85,0,IF(NETWORKDAYS.INTL(E85,F85,11)=0,IF(Reprogramaciones!K$9&gt;=F85,100,0),ROUND(NETWORKDAYS.INTL(E85,MIN(F85,Reprogramaciones!K$9),11)/NETWORKDAYS.INTL(E85,F85,11)*100,1))))</f>
        <v/>
      </c>
      <c r="I85" s="36" t="str">
        <f aca="false">IF(OR(NOT(AND(ISNUMBER(E85),ISNUMBER(F85))),$J$2=""),"",IF(Reprogramaciones!M$9&lt;E85,0,IF(NETWORKDAYS.INTL(E85,F85,11)=0,IF(Reprogramaciones!M$9&gt;=F85,100,0),ROUND(NETWORKDAYS.INTL(E85,MIN(F85,Reprogramaciones!M$9),11)/NETWORKDAYS.INTL(E85,F85,11)*100,1)))-IF(Reprogramaciones!L$9&lt;E85,0,IF(NETWORKDAYS.INTL(E85,F85,11)=0,IF(Reprogramaciones!L$9&gt;=F85,100,0),ROUND(NETWORKDAYS.INTL(E85,MIN(F85,Reprogramaciones!L$9),11)/NETWORKDAYS.INTL(E85,F85,11)*100,1))))</f>
        <v/>
      </c>
      <c r="J85" s="36" t="str">
        <f aca="false">IF(OR(NOT(AND(ISNUMBER(E85),ISNUMBER(F85))),$J$2=""),"",IF(Reprogramaciones!N$9&lt;E85,0,IF(NETWORKDAYS.INTL(E85,F85,11)=0,IF(Reprogramaciones!N$9&gt;=F85,100,0),ROUND(NETWORKDAYS.INTL(E85,MIN(F85,Reprogramaciones!N$9),11)/NETWORKDAYS.INTL(E85,F85,11)*100,1)))-IF(Reprogramaciones!M$9&lt;E85,0,IF(NETWORKDAYS.INTL(E85,F85,11)=0,IF(Reprogramaciones!M$9&gt;=F85,100,0),ROUND(NETWORKDAYS.INTL(E85,MIN(F85,Reprogramaciones!M$9),11)/NETWORKDAYS.INTL(E85,F85,11)*100,1))))</f>
        <v/>
      </c>
      <c r="K85" s="36" t="str">
        <f aca="false">IF(OR(NOT(AND(ISNUMBER(E85),ISNUMBER(F85))),$J$2=""),"",IF(Reprogramaciones!O$9&lt;E85,0,IF(NETWORKDAYS.INTL(E85,F85,11)=0,IF(Reprogramaciones!O$9&gt;=F85,100,0),ROUND(NETWORKDAYS.INTL(E85,MIN(F85,Reprogramaciones!O$9),11)/NETWORKDAYS.INTL(E85,F85,11)*100,1)))-IF(Reprogramaciones!N$9&lt;E85,0,IF(NETWORKDAYS.INTL(E85,F85,11)=0,IF(Reprogramaciones!N$9&gt;=F85,100,0),ROUND(NETWORKDAYS.INTL(E85,MIN(F85,Reprogramaciones!N$9),11)/NETWORKDAYS.INTL(E85,F85,11)*100,1))))</f>
        <v/>
      </c>
      <c r="L85" s="36" t="str">
        <f aca="false">IF(OR(NOT(AND(ISNUMBER(E85),ISNUMBER(F85))),$J$2=""),"",IF(Reprogramaciones!P$9&lt;E85,0,IF(NETWORKDAYS.INTL(E85,F85,11)=0,IF(Reprogramaciones!P$9&gt;=F85,100,0),ROUND(NETWORKDAYS.INTL(E85,MIN(F85,Reprogramaciones!P$9),11)/NETWORKDAYS.INTL(E85,F85,11)*100,1)))-IF(Reprogramaciones!O$9&lt;E85,0,IF(NETWORKDAYS.INTL(E85,F85,11)=0,IF(Reprogramaciones!O$9&gt;=F85,100,0),ROUND(NETWORKDAYS.INTL(E85,MIN(F85,Reprogramaciones!O$9),11)/NETWORKDAYS.INTL(E85,F85,11)*100,1))))</f>
        <v/>
      </c>
      <c r="M85" s="36" t="str">
        <f aca="false">IF(OR(NOT(AND(ISNUMBER(E85),ISNUMBER(F85))),$J$2=""),"",IF(Reprogramaciones!Q$9&lt;E85,0,IF(NETWORKDAYS.INTL(E85,F85,11)=0,IF(Reprogramaciones!Q$9&gt;=F85,100,0),ROUND(NETWORKDAYS.INTL(E85,MIN(F85,Reprogramaciones!Q$9),11)/NETWORKDAYS.INTL(E85,F85,11)*100,1)))-IF(Reprogramaciones!P$9&lt;E85,0,IF(NETWORKDAYS.INTL(E85,F85,11)=0,IF(Reprogramaciones!P$9&gt;=F85,100,0),ROUND(NETWORKDAYS.INTL(E85,MIN(F85,Reprogramaciones!P$9),11)/NETWORKDAYS.INTL(E85,F85,11)*100,1))))</f>
        <v/>
      </c>
      <c r="N85" s="36" t="str">
        <f aca="false">IF(OR(NOT(AND(ISNUMBER(E85),ISNUMBER(F85))),$J$2=""),"",IF(Reprogramaciones!R$9&lt;E85,0,IF(NETWORKDAYS.INTL(E85,F85,11)=0,IF(Reprogramaciones!R$9&gt;=F85,100,0),ROUND(NETWORKDAYS.INTL(E85,MIN(F85,Reprogramaciones!R$9),11)/NETWORKDAYS.INTL(E85,F85,11)*100,1)))-IF(Reprogramaciones!Q$9&lt;E85,0,IF(NETWORKDAYS.INTL(E85,F85,11)=0,IF(Reprogramaciones!Q$9&gt;=F85,100,0),ROUND(NETWORKDAYS.INTL(E85,MIN(F85,Reprogramaciones!Q$9),11)/NETWORKDAYS.INTL(E85,F85,11)*100,1))))</f>
        <v/>
      </c>
      <c r="O85" s="36" t="str">
        <f aca="false">IF(OR(NOT(AND(ISNUMBER(E85),ISNUMBER(F85))),$J$2=""),"",IF(Reprogramaciones!S$9&lt;E85,0,IF(NETWORKDAYS.INTL(E85,F85,11)=0,IF(Reprogramaciones!S$9&gt;=F85,100,0),ROUND(NETWORKDAYS.INTL(E85,MIN(F85,Reprogramaciones!S$9),11)/NETWORKDAYS.INTL(E85,F85,11)*100,1)))-IF(Reprogramaciones!R$9&lt;E85,0,IF(NETWORKDAYS.INTL(E85,F85,11)=0,IF(Reprogramaciones!R$9&gt;=F85,100,0),ROUND(NETWORKDAYS.INTL(E85,MIN(F85,Reprogramaciones!R$9),11)/NETWORKDAYS.INTL(E85,F85,11)*100,1))))</f>
        <v/>
      </c>
      <c r="P85" s="36" t="str">
        <f aca="false">IF(OR(NOT(AND(ISNUMBER(E85),ISNUMBER(F85))),$J$2=""),"",IF(Reprogramaciones!T$9&lt;E85,0,IF(NETWORKDAYS.INTL(E85,F85,11)=0,IF(Reprogramaciones!T$9&gt;=F85,100,0),ROUND(NETWORKDAYS.INTL(E85,MIN(F85,Reprogramaciones!T$9),11)/NETWORKDAYS.INTL(E85,F85,11)*100,1)))-IF(Reprogramaciones!S$9&lt;E85,0,IF(NETWORKDAYS.INTL(E85,F85,11)=0,IF(Reprogramaciones!S$9&gt;=F85,100,0),ROUND(NETWORKDAYS.INTL(E85,MIN(F85,Reprogramaciones!S$9),11)/NETWORKDAYS.INTL(E85,F85,11)*100,1))))</f>
        <v/>
      </c>
      <c r="Q85" s="37"/>
      <c r="R85" s="37"/>
      <c r="S85" s="37"/>
      <c r="T85" s="37"/>
      <c r="U85" s="37"/>
      <c r="V85" s="37"/>
      <c r="W85" s="37"/>
      <c r="X85" s="37"/>
      <c r="Y85" s="37"/>
      <c r="Z85" s="37"/>
      <c r="AA85" s="37"/>
      <c r="AB85" s="37"/>
      <c r="AC85" s="37"/>
      <c r="AD85" s="37"/>
      <c r="AE85" s="37"/>
      <c r="AF85" s="37"/>
      <c r="AG85" s="38" t="str">
        <f aca="false">IF(AND(ISNUMBER(E85),ISNUMBER(F85)),NETWORKDAYS.INTL(E85,F85,11),"")</f>
        <v/>
      </c>
      <c r="AH85" s="38" t="str">
        <f aca="false">IF(OR(NOT(AND(ISNUMBER(E85),ISNUMBER(F85))),$J$2=""),"",IF(Reprogramaciones!$P$15&lt;Reprogramaciones!$T$15,0,IF(Reprogramaciones!$R$15&gt;10,MIN(100,SUM($G85:$P85)),MIN(100,SUMPRODUCT((COLUMN($G85:$P85)-COLUMN($G85)+1&lt;Reprogramaciones!$R$15)*$G85:$P85)+N(INDEX($G85:$P85,1,Reprogramaciones!$R$15))*IF(Reprogramaciones!$P$15&gt;=(Reprogramaciones!$T$15+7*(Reprogramaciones!$R$15-1))+6,1,IF(MAX(0,NETWORKDAYS.INTL(MAX(E85,(Reprogramaciones!$T$15+7*(Reprogramaciones!$R$15-1))),MIN(F85,(Reprogramaciones!$T$15+7*(Reprogramaciones!$R$15-1))+6),11))=0,0,MAX(0,NETWORKDAYS.INTL(MAX(E85,(Reprogramaciones!$T$15+7*(Reprogramaciones!$R$15-1))),MIN(F85,Reprogramaciones!$P$15),11))/MAX(0,NETWORKDAYS.INTL(MAX(E85,(Reprogramaciones!$T$15+7*(Reprogramaciones!$R$15-1))),MIN(F85,(Reprogramaciones!$T$15+7*(Reprogramaciones!$R$15-1))+6),11))))))))</f>
        <v/>
      </c>
      <c r="AI85" s="38" t="str">
        <f aca="false">IF(COUNT($Q85:$AF85)=0,"",IF(ROUND(SUM($Q85:$AF85),1)&gt;=99.5,100,MIN(100,ROUND(SUM($Q85:$AF85),1))))</f>
        <v/>
      </c>
      <c r="AJ85" s="38" t="str">
        <f aca="false">IF(OR(AH85="",AI85=""),"",AI85-AH85)</f>
        <v/>
      </c>
      <c r="AK85" s="39" t="str">
        <f aca="true">IF(AH85="","",IF(OR(Ficha!$C$10="Suspendida",Ficha!$C$10="Cancelada"),Ficha!$C$10,IF(AND(AI85&lt;&gt;"",N(AI85)&gt;=100),"Completada",IF(AND(E85&gt;TODAY(),N(AI85)=0),"Por iniciar",IF(N(AI85)+0.5&lt;AH85,"Retrasada",IF(N(AI85)+0.5&lt;DA85,IF(Reprogramaciones!$K$15&gt;0,"Al día · Sem "&amp;Reprogramaciones!$K$15&amp;" en curso","Al día · en curso"),"A tiempo"))))))</f>
        <v/>
      </c>
      <c r="AL85" s="39" t="str">
        <f aca="true">IF(AND(A85="",AND(B85="",C85="",E85="",F85="",COUNT(Q85:AF85)=0)),"",IF(AND(B85="",C85="",E85="",F85="",COUNT(Q85:AF85)=0),"Falta la partida o subpartida",IF(AND(A85&lt;&gt;"",COUNTIF($A$6:$A$305,A85)&gt;1),"Ítem repetido",IF(AND(C85="",E85="",F85="",COUNT(Q85:AF85)=0),"Título de partida",IF(OR(E85="",F85=""),"Faltan fechas",IF(OR(ISTEXT(E85),ISTEXT(F85)),"Fecha escrita como texto: usa dd/mm/aaaa",IF(F85&lt;E85,"Fin antes del inicio",IF(IF($J$2="",FALSE(),OR(E85&lt;$J$2,F85&gt;Reprogramaciones!$T$15+69)),"Fuera de las 10 semanas",IF(ABS(SUM(G85:P85)-100)&gt;0.5,"La meta no suma 100%",IF(ROUND(SUM(Q85:AF85),1)&gt;100.5,"El avance pasa de 100%",IF(MIN(Q85:AF85)&lt;0,"Avance negativo",IF(COUNTA(Q85:AF85)&gt;COUNT(Q85:AF85),"Avance escrito como texto",IF(SUMPRODUCT((Q85:AF85&gt;0)*(Q85:AF85&lt;1))&gt;0,"Avance menor a 1: escribe 50, no 50%",IF(SUMPRODUCT(ISNUMBER(Q85:AF85)*(Reprogramaciones!$K$8:$Z$8&gt;TODAY()))&gt;0,"Avance en semana que aún no llega",IF(AND(N(Reprogramaciones!$E$21)&gt;0,F85&gt;Reprogramaciones!$E$21),"Pasa el fin de la obra: registra una reprogramación",IF(AND(N(Reprogramaciones!$E$21)&gt;0,SUMPRODUCT(ISNUMBER(Q85:AF85)*(Reprogramaciones!$K$8:$Z$8&gt;Reprogramaciones!$E$21))&gt;0),"Avance después del fin de la obra: registra una reprogramación por atraso","OK"))))))))))))))))</f>
        <v/>
      </c>
      <c r="AM85" s="40" t="str">
        <f aca="false">IF(OR(OR(NOT(AND(ISNUMBER(E85),ISNUMBER(F85))),$J$2=""),1&gt;MAX(1,Reprogramaciones!$U$15)),"",IF(Reprogramaciones!K$12&gt;=7,"",IF(OR(BT85-N(0)&gt;0.05,N(Q85)&gt;0),ROUNDDOWN(ROUND(BT85,6),0)&amp;"%"&amp;IF(CJ85="",""," / "&amp;CJ85&amp;"%"),IF(AND(N(0)&gt;=99.95,CJ85&lt;&gt;"",N(CJ85)&lt;100),"Pend. "&amp;CJ85&amp;"%",""))))</f>
        <v/>
      </c>
      <c r="AN85" s="40" t="str">
        <f aca="false">IF(OR(OR(NOT(AND(ISNUMBER(E85),ISNUMBER(F85))),$J$2=""),2&gt;MAX(1,Reprogramaciones!$U$15)),"",IF(Reprogramaciones!L$12&gt;=7,"",IF(OR(BU85-N(BT85)&gt;0.05,N(R85)&gt;0),ROUNDDOWN(ROUND(BU85,6),0)&amp;"%"&amp;IF(CK85="",""," / "&amp;CK85&amp;"%"),IF(AND(N(BT85)&gt;=99.95,CK85&lt;&gt;"",N(CK85)&lt;100),"Pend. "&amp;CK85&amp;"%",""))))</f>
        <v/>
      </c>
      <c r="AO85" s="40" t="str">
        <f aca="false">IF(OR(OR(NOT(AND(ISNUMBER(E85),ISNUMBER(F85))),$J$2=""),3&gt;MAX(1,Reprogramaciones!$U$15)),"",IF(Reprogramaciones!M$12&gt;=7,"",IF(OR(BV85-N(BU85)&gt;0.05,N(S85)&gt;0),ROUNDDOWN(ROUND(BV85,6),0)&amp;"%"&amp;IF(CL85="",""," / "&amp;CL85&amp;"%"),IF(AND(N(BU85)&gt;=99.95,CL85&lt;&gt;"",N(CL85)&lt;100),"Pend. "&amp;CL85&amp;"%",""))))</f>
        <v/>
      </c>
      <c r="AP85" s="40" t="str">
        <f aca="false">IF(OR(OR(NOT(AND(ISNUMBER(E85),ISNUMBER(F85))),$J$2=""),4&gt;MAX(1,Reprogramaciones!$U$15)),"",IF(Reprogramaciones!N$12&gt;=7,"",IF(OR(BW85-N(BV85)&gt;0.05,N(T85)&gt;0),ROUNDDOWN(ROUND(BW85,6),0)&amp;"%"&amp;IF(CM85="",""," / "&amp;CM85&amp;"%"),IF(AND(N(BV85)&gt;=99.95,CM85&lt;&gt;"",N(CM85)&lt;100),"Pend. "&amp;CM85&amp;"%",""))))</f>
        <v/>
      </c>
      <c r="AQ85" s="40" t="str">
        <f aca="false">IF(OR(OR(NOT(AND(ISNUMBER(E85),ISNUMBER(F85))),$J$2=""),5&gt;MAX(1,Reprogramaciones!$U$15)),"",IF(Reprogramaciones!O$12&gt;=7,"",IF(OR(BX85-N(BW85)&gt;0.05,N(U85)&gt;0),ROUNDDOWN(ROUND(BX85,6),0)&amp;"%"&amp;IF(CN85="",""," / "&amp;CN85&amp;"%"),IF(AND(N(BW85)&gt;=99.95,CN85&lt;&gt;"",N(CN85)&lt;100),"Pend. "&amp;CN85&amp;"%",""))))</f>
        <v/>
      </c>
      <c r="AR85" s="40" t="str">
        <f aca="false">IF(OR(OR(NOT(AND(ISNUMBER(E85),ISNUMBER(F85))),$J$2=""),6&gt;MAX(1,Reprogramaciones!$U$15)),"",IF(Reprogramaciones!P$12&gt;=7,"",IF(OR(BY85-N(BX85)&gt;0.05,N(V85)&gt;0),ROUNDDOWN(ROUND(BY85,6),0)&amp;"%"&amp;IF(CO85="",""," / "&amp;CO85&amp;"%"),IF(AND(N(BX85)&gt;=99.95,CO85&lt;&gt;"",N(CO85)&lt;100),"Pend. "&amp;CO85&amp;"%",""))))</f>
        <v/>
      </c>
      <c r="AS85" s="40" t="str">
        <f aca="false">IF(OR(OR(NOT(AND(ISNUMBER(E85),ISNUMBER(F85))),$J$2=""),7&gt;MAX(1,Reprogramaciones!$U$15)),"",IF(Reprogramaciones!Q$12&gt;=7,"",IF(OR(BZ85-N(BY85)&gt;0.05,N(W85)&gt;0),ROUNDDOWN(ROUND(BZ85,6),0)&amp;"%"&amp;IF(CP85="",""," / "&amp;CP85&amp;"%"),IF(AND(N(BY85)&gt;=99.95,CP85&lt;&gt;"",N(CP85)&lt;100),"Pend. "&amp;CP85&amp;"%",""))))</f>
        <v/>
      </c>
      <c r="AT85" s="40" t="str">
        <f aca="false">IF(OR(OR(NOT(AND(ISNUMBER(E85),ISNUMBER(F85))),$J$2=""),8&gt;MAX(1,Reprogramaciones!$U$15)),"",IF(Reprogramaciones!R$12&gt;=7,"",IF(OR(CA85-N(BZ85)&gt;0.05,N(X85)&gt;0),ROUNDDOWN(ROUND(CA85,6),0)&amp;"%"&amp;IF(CQ85="",""," / "&amp;CQ85&amp;"%"),IF(AND(N(BZ85)&gt;=99.95,CQ85&lt;&gt;"",N(CQ85)&lt;100),"Pend. "&amp;CQ85&amp;"%",""))))</f>
        <v/>
      </c>
      <c r="AU85" s="40" t="str">
        <f aca="false">IF(OR(OR(NOT(AND(ISNUMBER(E85),ISNUMBER(F85))),$J$2=""),9&gt;MAX(1,Reprogramaciones!$U$15)),"",IF(Reprogramaciones!S$12&gt;=7,"",IF(OR(CB85-N(CA85)&gt;0.05,N(Y85)&gt;0),ROUNDDOWN(ROUND(CB85,6),0)&amp;"%"&amp;IF(CR85="",""," / "&amp;CR85&amp;"%"),IF(AND(N(CA85)&gt;=99.95,CR85&lt;&gt;"",N(CR85)&lt;100),"Pend. "&amp;CR85&amp;"%",""))))</f>
        <v/>
      </c>
      <c r="AV85" s="40" t="str">
        <f aca="false">IF(OR(OR(NOT(AND(ISNUMBER(E85),ISNUMBER(F85))),$J$2=""),10&gt;MAX(1,Reprogramaciones!$U$15)),"",IF(Reprogramaciones!T$12&gt;=7,"",IF(OR(CC85-N(CB85)&gt;0.05,N(Z85)&gt;0),ROUNDDOWN(ROUND(CC85,6),0)&amp;"%"&amp;IF(CS85="",""," / "&amp;CS85&amp;"%"),IF(AND(N(CB85)&gt;=99.95,CS85&lt;&gt;"",N(CS85)&lt;100),"Pend. "&amp;CS85&amp;"%",""))))</f>
        <v/>
      </c>
      <c r="AW85" s="40" t="str">
        <f aca="false">IF(OR(OR(NOT(AND(ISNUMBER(E85),ISNUMBER(F85))),$J$2=""),11&gt;MAX(1,Reprogramaciones!$U$15)),"",IF(Reprogramaciones!U$12&gt;=7,"",IF(OR(CD85-N(CC85)&gt;0.05,N(AA85)&gt;0),ROUNDDOWN(ROUND(CD85,6),0)&amp;"%"&amp;IF(CT85="",""," / "&amp;CT85&amp;"%"),IF(AND(N(CC85)&gt;=99.95,CT85&lt;&gt;"",N(CT85)&lt;100),"Pend. "&amp;CT85&amp;"%",""))))</f>
        <v/>
      </c>
      <c r="AX85" s="40" t="str">
        <f aca="false">IF(OR(OR(NOT(AND(ISNUMBER(E85),ISNUMBER(F85))),$J$2=""),12&gt;MAX(1,Reprogramaciones!$U$15)),"",IF(Reprogramaciones!V$12&gt;=7,"",IF(OR(CE85-N(CD85)&gt;0.05,N(AB85)&gt;0),ROUNDDOWN(ROUND(CE85,6),0)&amp;"%"&amp;IF(CU85="",""," / "&amp;CU85&amp;"%"),IF(AND(N(CD85)&gt;=99.95,CU85&lt;&gt;"",N(CU85)&lt;100),"Pend. "&amp;CU85&amp;"%",""))))</f>
        <v/>
      </c>
      <c r="AY85" s="40" t="str">
        <f aca="false">IF(OR(OR(NOT(AND(ISNUMBER(E85),ISNUMBER(F85))),$J$2=""),13&gt;MAX(1,Reprogramaciones!$U$15)),"",IF(Reprogramaciones!W$12&gt;=7,"",IF(OR(CF85-N(CE85)&gt;0.05,N(AC85)&gt;0),ROUNDDOWN(ROUND(CF85,6),0)&amp;"%"&amp;IF(CV85="",""," / "&amp;CV85&amp;"%"),IF(AND(N(CE85)&gt;=99.95,CV85&lt;&gt;"",N(CV85)&lt;100),"Pend. "&amp;CV85&amp;"%",""))))</f>
        <v/>
      </c>
      <c r="AZ85" s="40" t="str">
        <f aca="false">IF(OR(OR(NOT(AND(ISNUMBER(E85),ISNUMBER(F85))),$J$2=""),14&gt;MAX(1,Reprogramaciones!$U$15)),"",IF(Reprogramaciones!X$12&gt;=7,"",IF(OR(CG85-N(CF85)&gt;0.05,N(AD85)&gt;0),ROUNDDOWN(ROUND(CG85,6),0)&amp;"%"&amp;IF(CW85="",""," / "&amp;CW85&amp;"%"),IF(AND(N(CF85)&gt;=99.95,CW85&lt;&gt;"",N(CW85)&lt;100),"Pend. "&amp;CW85&amp;"%",""))))</f>
        <v/>
      </c>
      <c r="BA85" s="40" t="str">
        <f aca="false">IF(OR(OR(NOT(AND(ISNUMBER(E85),ISNUMBER(F85))),$J$2=""),15&gt;MAX(1,Reprogramaciones!$U$15)),"",IF(Reprogramaciones!Y$12&gt;=7,"",IF(OR(CH85-N(CG85)&gt;0.05,N(AE85)&gt;0),ROUNDDOWN(ROUND(CH85,6),0)&amp;"%"&amp;IF(CX85="",""," / "&amp;CX85&amp;"%"),IF(AND(N(CG85)&gt;=99.95,CX85&lt;&gt;"",N(CX85)&lt;100),"Pend. "&amp;CX85&amp;"%",""))))</f>
        <v/>
      </c>
      <c r="BB85" s="40" t="str">
        <f aca="false">IF(OR(OR(NOT(AND(ISNUMBER(E85),ISNUMBER(F85))),$J$2=""),16&gt;MAX(1,Reprogramaciones!$U$15)),"",IF(Reprogramaciones!Z$12&gt;=7,"",IF(OR(CI85-N(CH85)&gt;0.05,N(AF85)&gt;0),ROUNDDOWN(ROUND(CI85,6),0)&amp;"%"&amp;IF(CY85="",""," / "&amp;CY85&amp;"%"),IF(AND(N(CH85)&gt;=99.95,CY85&lt;&gt;"",N(CY85)&lt;100),"Pend. "&amp;CY85&amp;"%",""))))</f>
        <v/>
      </c>
      <c r="BC85" s="31" t="n">
        <f aca="false">IF(AND(ISNUMBER(E85),ISNUMBER(F85)),MAX(1,NETWORKDAYS.INTL(E85,F85,11)),0)</f>
        <v>0</v>
      </c>
      <c r="BD85" s="1" t="str">
        <f aca="false">IF(OR(NOT(AND(ISNUMBER(E85),ISNUMBER(F85))),$J$2=""),"",MIN(100,ROUND(SUM($G85:G85),1)))</f>
        <v/>
      </c>
      <c r="BE85" s="1" t="str">
        <f aca="false">IF(OR(NOT(AND(ISNUMBER(E85),ISNUMBER(F85))),$J$2=""),"",MIN(100,ROUND(SUM($G85:H85),1)))</f>
        <v/>
      </c>
      <c r="BF85" s="1" t="str">
        <f aca="false">IF(OR(NOT(AND(ISNUMBER(E85),ISNUMBER(F85))),$J$2=""),"",MIN(100,ROUND(SUM($G85:I85),1)))</f>
        <v/>
      </c>
      <c r="BG85" s="1" t="str">
        <f aca="false">IF(OR(NOT(AND(ISNUMBER(E85),ISNUMBER(F85))),$J$2=""),"",MIN(100,ROUND(SUM($G85:J85),1)))</f>
        <v/>
      </c>
      <c r="BH85" s="1" t="str">
        <f aca="false">IF(OR(NOT(AND(ISNUMBER(E85),ISNUMBER(F85))),$J$2=""),"",MIN(100,ROUND(SUM($G85:K85),1)))</f>
        <v/>
      </c>
      <c r="BI85" s="1" t="str">
        <f aca="false">IF(OR(NOT(AND(ISNUMBER(E85),ISNUMBER(F85))),$J$2=""),"",MIN(100,ROUND(SUM($G85:L85),1)))</f>
        <v/>
      </c>
      <c r="BJ85" s="1" t="str">
        <f aca="false">IF(OR(NOT(AND(ISNUMBER(E85),ISNUMBER(F85))),$J$2=""),"",MIN(100,ROUND(SUM($G85:M85),1)))</f>
        <v/>
      </c>
      <c r="BK85" s="1" t="str">
        <f aca="false">IF(OR(NOT(AND(ISNUMBER(E85),ISNUMBER(F85))),$J$2=""),"",MIN(100,ROUND(SUM($G85:N85),1)))</f>
        <v/>
      </c>
      <c r="BL85" s="1" t="str">
        <f aca="false">IF(OR(NOT(AND(ISNUMBER(E85),ISNUMBER(F85))),$J$2=""),"",MIN(100,ROUND(SUM($G85:O85),1)))</f>
        <v/>
      </c>
      <c r="BM85" s="1" t="str">
        <f aca="false">IF(OR(NOT(AND(ISNUMBER(E85),ISNUMBER(F85))),$J$2=""),"",MIN(100,ROUND(SUM($G85:P85),1)))</f>
        <v/>
      </c>
      <c r="BN85" s="1" t="str">
        <f aca="false">IF(OR(NOT(AND(ISNUMBER(E85),ISNUMBER(F85))),$J$2=""),"",MIN(100,ROUND(SUM($G85:P85),1)))</f>
        <v/>
      </c>
      <c r="BO85" s="1" t="str">
        <f aca="false">IF(OR(NOT(AND(ISNUMBER(E85),ISNUMBER(F85))),$J$2=""),"",MIN(100,ROUND(SUM($G85:P85),1)))</f>
        <v/>
      </c>
      <c r="BP85" s="1" t="str">
        <f aca="false">IF(OR(NOT(AND(ISNUMBER(E85),ISNUMBER(F85))),$J$2=""),"",MIN(100,ROUND(SUM($G85:P85),1)))</f>
        <v/>
      </c>
      <c r="BQ85" s="1" t="str">
        <f aca="false">IF(OR(NOT(AND(ISNUMBER(E85),ISNUMBER(F85))),$J$2=""),"",MIN(100,ROUND(SUM($G85:P85),1)))</f>
        <v/>
      </c>
      <c r="BR85" s="1" t="str">
        <f aca="false">IF(OR(NOT(AND(ISNUMBER(E85),ISNUMBER(F85))),$J$2=""),"",MIN(100,ROUND(SUM($G85:P85),1)))</f>
        <v/>
      </c>
      <c r="BS85" s="1" t="str">
        <f aca="false">IF(OR(NOT(AND(ISNUMBER(E85),ISNUMBER(F85))),$J$2=""),"",MIN(100,ROUND(SUM($G85:P85),1)))</f>
        <v/>
      </c>
      <c r="BT85" s="1" t="str">
        <f aca="false">IF(OR(NOT(AND(ISNUMBER(E85),ISNUMBER(F85))),$J$2=""),"",IF(Reprogramaciones!K$13&lt;Reprogramaciones!$T$15,0,IF(Reprogramaciones!K$14&gt;10,MIN(100,SUM($G85:$P85)),MIN(100,SUMPRODUCT((COLUMN($G85:$P85)-COLUMN($G85)+1&lt;Reprogramaciones!K$14)*$G85:$P85)+N(INDEX($G85:$P85,1,Reprogramaciones!K$14))*IF(Reprogramaciones!K$13&gt;=(Reprogramaciones!$T$15+7*(Reprogramaciones!K$14-1))+6,1,IF(MAX(0,NETWORKDAYS.INTL(MAX(E85,(Reprogramaciones!$T$15+7*(Reprogramaciones!K$14-1))),MIN(F85,(Reprogramaciones!$T$15+7*(Reprogramaciones!K$14-1))+6),11))=0,0,MAX(0,NETWORKDAYS.INTL(MAX(E85,(Reprogramaciones!$T$15+7*(Reprogramaciones!K$14-1))),MIN(F85,Reprogramaciones!K$13),11))/MAX(0,NETWORKDAYS.INTL(MAX(E85,(Reprogramaciones!$T$15+7*(Reprogramaciones!K$14-1))),MIN(F85,(Reprogramaciones!$T$15+7*(Reprogramaciones!K$14-1))+6),11))))))))</f>
        <v/>
      </c>
      <c r="BU85" s="1" t="str">
        <f aca="false">IF(OR(NOT(AND(ISNUMBER(E85),ISNUMBER(F85))),$J$2=""),"",IF(Reprogramaciones!L$13&lt;Reprogramaciones!$T$15,0,IF(Reprogramaciones!L$14&gt;10,MIN(100,SUM($G85:$P85)),MIN(100,SUMPRODUCT((COLUMN($G85:$P85)-COLUMN($G85)+1&lt;Reprogramaciones!L$14)*$G85:$P85)+N(INDEX($G85:$P85,1,Reprogramaciones!L$14))*IF(Reprogramaciones!L$13&gt;=(Reprogramaciones!$T$15+7*(Reprogramaciones!L$14-1))+6,1,IF(MAX(0,NETWORKDAYS.INTL(MAX(E85,(Reprogramaciones!$T$15+7*(Reprogramaciones!L$14-1))),MIN(F85,(Reprogramaciones!$T$15+7*(Reprogramaciones!L$14-1))+6),11))=0,0,MAX(0,NETWORKDAYS.INTL(MAX(E85,(Reprogramaciones!$T$15+7*(Reprogramaciones!L$14-1))),MIN(F85,Reprogramaciones!L$13),11))/MAX(0,NETWORKDAYS.INTL(MAX(E85,(Reprogramaciones!$T$15+7*(Reprogramaciones!L$14-1))),MIN(F85,(Reprogramaciones!$T$15+7*(Reprogramaciones!L$14-1))+6),11))))))))</f>
        <v/>
      </c>
      <c r="BV85" s="1" t="str">
        <f aca="false">IF(OR(NOT(AND(ISNUMBER(E85),ISNUMBER(F85))),$J$2=""),"",IF(Reprogramaciones!M$13&lt;Reprogramaciones!$T$15,0,IF(Reprogramaciones!M$14&gt;10,MIN(100,SUM($G85:$P85)),MIN(100,SUMPRODUCT((COLUMN($G85:$P85)-COLUMN($G85)+1&lt;Reprogramaciones!M$14)*$G85:$P85)+N(INDEX($G85:$P85,1,Reprogramaciones!M$14))*IF(Reprogramaciones!M$13&gt;=(Reprogramaciones!$T$15+7*(Reprogramaciones!M$14-1))+6,1,IF(MAX(0,NETWORKDAYS.INTL(MAX(E85,(Reprogramaciones!$T$15+7*(Reprogramaciones!M$14-1))),MIN(F85,(Reprogramaciones!$T$15+7*(Reprogramaciones!M$14-1))+6),11))=0,0,MAX(0,NETWORKDAYS.INTL(MAX(E85,(Reprogramaciones!$T$15+7*(Reprogramaciones!M$14-1))),MIN(F85,Reprogramaciones!M$13),11))/MAX(0,NETWORKDAYS.INTL(MAX(E85,(Reprogramaciones!$T$15+7*(Reprogramaciones!M$14-1))),MIN(F85,(Reprogramaciones!$T$15+7*(Reprogramaciones!M$14-1))+6),11))))))))</f>
        <v/>
      </c>
      <c r="BW85" s="1" t="str">
        <f aca="false">IF(OR(NOT(AND(ISNUMBER(E85),ISNUMBER(F85))),$J$2=""),"",IF(Reprogramaciones!N$13&lt;Reprogramaciones!$T$15,0,IF(Reprogramaciones!N$14&gt;10,MIN(100,SUM($G85:$P85)),MIN(100,SUMPRODUCT((COLUMN($G85:$P85)-COLUMN($G85)+1&lt;Reprogramaciones!N$14)*$G85:$P85)+N(INDEX($G85:$P85,1,Reprogramaciones!N$14))*IF(Reprogramaciones!N$13&gt;=(Reprogramaciones!$T$15+7*(Reprogramaciones!N$14-1))+6,1,IF(MAX(0,NETWORKDAYS.INTL(MAX(E85,(Reprogramaciones!$T$15+7*(Reprogramaciones!N$14-1))),MIN(F85,(Reprogramaciones!$T$15+7*(Reprogramaciones!N$14-1))+6),11))=0,0,MAX(0,NETWORKDAYS.INTL(MAX(E85,(Reprogramaciones!$T$15+7*(Reprogramaciones!N$14-1))),MIN(F85,Reprogramaciones!N$13),11))/MAX(0,NETWORKDAYS.INTL(MAX(E85,(Reprogramaciones!$T$15+7*(Reprogramaciones!N$14-1))),MIN(F85,(Reprogramaciones!$T$15+7*(Reprogramaciones!N$14-1))+6),11))))))))</f>
        <v/>
      </c>
      <c r="BX85" s="1" t="str">
        <f aca="false">IF(OR(NOT(AND(ISNUMBER(E85),ISNUMBER(F85))),$J$2=""),"",IF(Reprogramaciones!O$13&lt;Reprogramaciones!$T$15,0,IF(Reprogramaciones!O$14&gt;10,MIN(100,SUM($G85:$P85)),MIN(100,SUMPRODUCT((COLUMN($G85:$P85)-COLUMN($G85)+1&lt;Reprogramaciones!O$14)*$G85:$P85)+N(INDEX($G85:$P85,1,Reprogramaciones!O$14))*IF(Reprogramaciones!O$13&gt;=(Reprogramaciones!$T$15+7*(Reprogramaciones!O$14-1))+6,1,IF(MAX(0,NETWORKDAYS.INTL(MAX(E85,(Reprogramaciones!$T$15+7*(Reprogramaciones!O$14-1))),MIN(F85,(Reprogramaciones!$T$15+7*(Reprogramaciones!O$14-1))+6),11))=0,0,MAX(0,NETWORKDAYS.INTL(MAX(E85,(Reprogramaciones!$T$15+7*(Reprogramaciones!O$14-1))),MIN(F85,Reprogramaciones!O$13),11))/MAX(0,NETWORKDAYS.INTL(MAX(E85,(Reprogramaciones!$T$15+7*(Reprogramaciones!O$14-1))),MIN(F85,(Reprogramaciones!$T$15+7*(Reprogramaciones!O$14-1))+6),11))))))))</f>
        <v/>
      </c>
      <c r="BY85" s="1" t="str">
        <f aca="false">IF(OR(NOT(AND(ISNUMBER(E85),ISNUMBER(F85))),$J$2=""),"",IF(Reprogramaciones!P$13&lt;Reprogramaciones!$T$15,0,IF(Reprogramaciones!P$14&gt;10,MIN(100,SUM($G85:$P85)),MIN(100,SUMPRODUCT((COLUMN($G85:$P85)-COLUMN($G85)+1&lt;Reprogramaciones!P$14)*$G85:$P85)+N(INDEX($G85:$P85,1,Reprogramaciones!P$14))*IF(Reprogramaciones!P$13&gt;=(Reprogramaciones!$T$15+7*(Reprogramaciones!P$14-1))+6,1,IF(MAX(0,NETWORKDAYS.INTL(MAX(E85,(Reprogramaciones!$T$15+7*(Reprogramaciones!P$14-1))),MIN(F85,(Reprogramaciones!$T$15+7*(Reprogramaciones!P$14-1))+6),11))=0,0,MAX(0,NETWORKDAYS.INTL(MAX(E85,(Reprogramaciones!$T$15+7*(Reprogramaciones!P$14-1))),MIN(F85,Reprogramaciones!P$13),11))/MAX(0,NETWORKDAYS.INTL(MAX(E85,(Reprogramaciones!$T$15+7*(Reprogramaciones!P$14-1))),MIN(F85,(Reprogramaciones!$T$15+7*(Reprogramaciones!P$14-1))+6),11))))))))</f>
        <v/>
      </c>
      <c r="BZ85" s="1" t="str">
        <f aca="false">IF(OR(NOT(AND(ISNUMBER(E85),ISNUMBER(F85))),$J$2=""),"",IF(Reprogramaciones!Q$13&lt;Reprogramaciones!$T$15,0,IF(Reprogramaciones!Q$14&gt;10,MIN(100,SUM($G85:$P85)),MIN(100,SUMPRODUCT((COLUMN($G85:$P85)-COLUMN($G85)+1&lt;Reprogramaciones!Q$14)*$G85:$P85)+N(INDEX($G85:$P85,1,Reprogramaciones!Q$14))*IF(Reprogramaciones!Q$13&gt;=(Reprogramaciones!$T$15+7*(Reprogramaciones!Q$14-1))+6,1,IF(MAX(0,NETWORKDAYS.INTL(MAX(E85,(Reprogramaciones!$T$15+7*(Reprogramaciones!Q$14-1))),MIN(F85,(Reprogramaciones!$T$15+7*(Reprogramaciones!Q$14-1))+6),11))=0,0,MAX(0,NETWORKDAYS.INTL(MAX(E85,(Reprogramaciones!$T$15+7*(Reprogramaciones!Q$14-1))),MIN(F85,Reprogramaciones!Q$13),11))/MAX(0,NETWORKDAYS.INTL(MAX(E85,(Reprogramaciones!$T$15+7*(Reprogramaciones!Q$14-1))),MIN(F85,(Reprogramaciones!$T$15+7*(Reprogramaciones!Q$14-1))+6),11))))))))</f>
        <v/>
      </c>
      <c r="CA85" s="1" t="str">
        <f aca="false">IF(OR(NOT(AND(ISNUMBER(E85),ISNUMBER(F85))),$J$2=""),"",IF(Reprogramaciones!R$13&lt;Reprogramaciones!$T$15,0,IF(Reprogramaciones!R$14&gt;10,MIN(100,SUM($G85:$P85)),MIN(100,SUMPRODUCT((COLUMN($G85:$P85)-COLUMN($G85)+1&lt;Reprogramaciones!R$14)*$G85:$P85)+N(INDEX($G85:$P85,1,Reprogramaciones!R$14))*IF(Reprogramaciones!R$13&gt;=(Reprogramaciones!$T$15+7*(Reprogramaciones!R$14-1))+6,1,IF(MAX(0,NETWORKDAYS.INTL(MAX(E85,(Reprogramaciones!$T$15+7*(Reprogramaciones!R$14-1))),MIN(F85,(Reprogramaciones!$T$15+7*(Reprogramaciones!R$14-1))+6),11))=0,0,MAX(0,NETWORKDAYS.INTL(MAX(E85,(Reprogramaciones!$T$15+7*(Reprogramaciones!R$14-1))),MIN(F85,Reprogramaciones!R$13),11))/MAX(0,NETWORKDAYS.INTL(MAX(E85,(Reprogramaciones!$T$15+7*(Reprogramaciones!R$14-1))),MIN(F85,(Reprogramaciones!$T$15+7*(Reprogramaciones!R$14-1))+6),11))))))))</f>
        <v/>
      </c>
      <c r="CB85" s="1" t="str">
        <f aca="false">IF(OR(NOT(AND(ISNUMBER(E85),ISNUMBER(F85))),$J$2=""),"",IF(Reprogramaciones!S$13&lt;Reprogramaciones!$T$15,0,IF(Reprogramaciones!S$14&gt;10,MIN(100,SUM($G85:$P85)),MIN(100,SUMPRODUCT((COLUMN($G85:$P85)-COLUMN($G85)+1&lt;Reprogramaciones!S$14)*$G85:$P85)+N(INDEX($G85:$P85,1,Reprogramaciones!S$14))*IF(Reprogramaciones!S$13&gt;=(Reprogramaciones!$T$15+7*(Reprogramaciones!S$14-1))+6,1,IF(MAX(0,NETWORKDAYS.INTL(MAX(E85,(Reprogramaciones!$T$15+7*(Reprogramaciones!S$14-1))),MIN(F85,(Reprogramaciones!$T$15+7*(Reprogramaciones!S$14-1))+6),11))=0,0,MAX(0,NETWORKDAYS.INTL(MAX(E85,(Reprogramaciones!$T$15+7*(Reprogramaciones!S$14-1))),MIN(F85,Reprogramaciones!S$13),11))/MAX(0,NETWORKDAYS.INTL(MAX(E85,(Reprogramaciones!$T$15+7*(Reprogramaciones!S$14-1))),MIN(F85,(Reprogramaciones!$T$15+7*(Reprogramaciones!S$14-1))+6),11))))))))</f>
        <v/>
      </c>
      <c r="CC85" s="1" t="str">
        <f aca="false">IF(OR(NOT(AND(ISNUMBER(E85),ISNUMBER(F85))),$J$2=""),"",IF(Reprogramaciones!T$13&lt;Reprogramaciones!$T$15,0,IF(Reprogramaciones!T$14&gt;10,MIN(100,SUM($G85:$P85)),MIN(100,SUMPRODUCT((COLUMN($G85:$P85)-COLUMN($G85)+1&lt;Reprogramaciones!T$14)*$G85:$P85)+N(INDEX($G85:$P85,1,Reprogramaciones!T$14))*IF(Reprogramaciones!T$13&gt;=(Reprogramaciones!$T$15+7*(Reprogramaciones!T$14-1))+6,1,IF(MAX(0,NETWORKDAYS.INTL(MAX(E85,(Reprogramaciones!$T$15+7*(Reprogramaciones!T$14-1))),MIN(F85,(Reprogramaciones!$T$15+7*(Reprogramaciones!T$14-1))+6),11))=0,0,MAX(0,NETWORKDAYS.INTL(MAX(E85,(Reprogramaciones!$T$15+7*(Reprogramaciones!T$14-1))),MIN(F85,Reprogramaciones!T$13),11))/MAX(0,NETWORKDAYS.INTL(MAX(E85,(Reprogramaciones!$T$15+7*(Reprogramaciones!T$14-1))),MIN(F85,(Reprogramaciones!$T$15+7*(Reprogramaciones!T$14-1))+6),11))))))))</f>
        <v/>
      </c>
      <c r="CD85" s="1" t="str">
        <f aca="false">IF(OR(NOT(AND(ISNUMBER(E85),ISNUMBER(F85))),$J$2=""),"",IF(Reprogramaciones!U$13&lt;Reprogramaciones!$T$15,0,IF(Reprogramaciones!U$14&gt;10,MIN(100,SUM($G85:$P85)),MIN(100,SUMPRODUCT((COLUMN($G85:$P85)-COLUMN($G85)+1&lt;Reprogramaciones!U$14)*$G85:$P85)+N(INDEX($G85:$P85,1,Reprogramaciones!U$14))*IF(Reprogramaciones!U$13&gt;=(Reprogramaciones!$T$15+7*(Reprogramaciones!U$14-1))+6,1,IF(MAX(0,NETWORKDAYS.INTL(MAX(E85,(Reprogramaciones!$T$15+7*(Reprogramaciones!U$14-1))),MIN(F85,(Reprogramaciones!$T$15+7*(Reprogramaciones!U$14-1))+6),11))=0,0,MAX(0,NETWORKDAYS.INTL(MAX(E85,(Reprogramaciones!$T$15+7*(Reprogramaciones!U$14-1))),MIN(F85,Reprogramaciones!U$13),11))/MAX(0,NETWORKDAYS.INTL(MAX(E85,(Reprogramaciones!$T$15+7*(Reprogramaciones!U$14-1))),MIN(F85,(Reprogramaciones!$T$15+7*(Reprogramaciones!U$14-1))+6),11))))))))</f>
        <v/>
      </c>
      <c r="CE85" s="1" t="str">
        <f aca="false">IF(OR(NOT(AND(ISNUMBER(E85),ISNUMBER(F85))),$J$2=""),"",IF(Reprogramaciones!V$13&lt;Reprogramaciones!$T$15,0,IF(Reprogramaciones!V$14&gt;10,MIN(100,SUM($G85:$P85)),MIN(100,SUMPRODUCT((COLUMN($G85:$P85)-COLUMN($G85)+1&lt;Reprogramaciones!V$14)*$G85:$P85)+N(INDEX($G85:$P85,1,Reprogramaciones!V$14))*IF(Reprogramaciones!V$13&gt;=(Reprogramaciones!$T$15+7*(Reprogramaciones!V$14-1))+6,1,IF(MAX(0,NETWORKDAYS.INTL(MAX(E85,(Reprogramaciones!$T$15+7*(Reprogramaciones!V$14-1))),MIN(F85,(Reprogramaciones!$T$15+7*(Reprogramaciones!V$14-1))+6),11))=0,0,MAX(0,NETWORKDAYS.INTL(MAX(E85,(Reprogramaciones!$T$15+7*(Reprogramaciones!V$14-1))),MIN(F85,Reprogramaciones!V$13),11))/MAX(0,NETWORKDAYS.INTL(MAX(E85,(Reprogramaciones!$T$15+7*(Reprogramaciones!V$14-1))),MIN(F85,(Reprogramaciones!$T$15+7*(Reprogramaciones!V$14-1))+6),11))))))))</f>
        <v/>
      </c>
      <c r="CF85" s="1" t="str">
        <f aca="false">IF(OR(NOT(AND(ISNUMBER(E85),ISNUMBER(F85))),$J$2=""),"",IF(Reprogramaciones!W$13&lt;Reprogramaciones!$T$15,0,IF(Reprogramaciones!W$14&gt;10,MIN(100,SUM($G85:$P85)),MIN(100,SUMPRODUCT((COLUMN($G85:$P85)-COLUMN($G85)+1&lt;Reprogramaciones!W$14)*$G85:$P85)+N(INDEX($G85:$P85,1,Reprogramaciones!W$14))*IF(Reprogramaciones!W$13&gt;=(Reprogramaciones!$T$15+7*(Reprogramaciones!W$14-1))+6,1,IF(MAX(0,NETWORKDAYS.INTL(MAX(E85,(Reprogramaciones!$T$15+7*(Reprogramaciones!W$14-1))),MIN(F85,(Reprogramaciones!$T$15+7*(Reprogramaciones!W$14-1))+6),11))=0,0,MAX(0,NETWORKDAYS.INTL(MAX(E85,(Reprogramaciones!$T$15+7*(Reprogramaciones!W$14-1))),MIN(F85,Reprogramaciones!W$13),11))/MAX(0,NETWORKDAYS.INTL(MAX(E85,(Reprogramaciones!$T$15+7*(Reprogramaciones!W$14-1))),MIN(F85,(Reprogramaciones!$T$15+7*(Reprogramaciones!W$14-1))+6),11))))))))</f>
        <v/>
      </c>
      <c r="CG85" s="1" t="str">
        <f aca="false">IF(OR(NOT(AND(ISNUMBER(E85),ISNUMBER(F85))),$J$2=""),"",IF(Reprogramaciones!X$13&lt;Reprogramaciones!$T$15,0,IF(Reprogramaciones!X$14&gt;10,MIN(100,SUM($G85:$P85)),MIN(100,SUMPRODUCT((COLUMN($G85:$P85)-COLUMN($G85)+1&lt;Reprogramaciones!X$14)*$G85:$P85)+N(INDEX($G85:$P85,1,Reprogramaciones!X$14))*IF(Reprogramaciones!X$13&gt;=(Reprogramaciones!$T$15+7*(Reprogramaciones!X$14-1))+6,1,IF(MAX(0,NETWORKDAYS.INTL(MAX(E85,(Reprogramaciones!$T$15+7*(Reprogramaciones!X$14-1))),MIN(F85,(Reprogramaciones!$T$15+7*(Reprogramaciones!X$14-1))+6),11))=0,0,MAX(0,NETWORKDAYS.INTL(MAX(E85,(Reprogramaciones!$T$15+7*(Reprogramaciones!X$14-1))),MIN(F85,Reprogramaciones!X$13),11))/MAX(0,NETWORKDAYS.INTL(MAX(E85,(Reprogramaciones!$T$15+7*(Reprogramaciones!X$14-1))),MIN(F85,(Reprogramaciones!$T$15+7*(Reprogramaciones!X$14-1))+6),11))))))))</f>
        <v/>
      </c>
      <c r="CH85" s="1" t="str">
        <f aca="false">IF(OR(NOT(AND(ISNUMBER(E85),ISNUMBER(F85))),$J$2=""),"",IF(Reprogramaciones!Y$13&lt;Reprogramaciones!$T$15,0,IF(Reprogramaciones!Y$14&gt;10,MIN(100,SUM($G85:$P85)),MIN(100,SUMPRODUCT((COLUMN($G85:$P85)-COLUMN($G85)+1&lt;Reprogramaciones!Y$14)*$G85:$P85)+N(INDEX($G85:$P85,1,Reprogramaciones!Y$14))*IF(Reprogramaciones!Y$13&gt;=(Reprogramaciones!$T$15+7*(Reprogramaciones!Y$14-1))+6,1,IF(MAX(0,NETWORKDAYS.INTL(MAX(E85,(Reprogramaciones!$T$15+7*(Reprogramaciones!Y$14-1))),MIN(F85,(Reprogramaciones!$T$15+7*(Reprogramaciones!Y$14-1))+6),11))=0,0,MAX(0,NETWORKDAYS.INTL(MAX(E85,(Reprogramaciones!$T$15+7*(Reprogramaciones!Y$14-1))),MIN(F85,Reprogramaciones!Y$13),11))/MAX(0,NETWORKDAYS.INTL(MAX(E85,(Reprogramaciones!$T$15+7*(Reprogramaciones!Y$14-1))),MIN(F85,(Reprogramaciones!$T$15+7*(Reprogramaciones!Y$14-1))+6),11))))))))</f>
        <v/>
      </c>
      <c r="CI85" s="1" t="str">
        <f aca="false">IF(OR(NOT(AND(ISNUMBER(E85),ISNUMBER(F85))),$J$2=""),"",IF(Reprogramaciones!Z$13&lt;Reprogramaciones!$T$15,0,IF(Reprogramaciones!Z$14&gt;10,MIN(100,SUM($G85:$P85)),MIN(100,SUMPRODUCT((COLUMN($G85:$P85)-COLUMN($G85)+1&lt;Reprogramaciones!Z$14)*$G85:$P85)+N(INDEX($G85:$P85,1,Reprogramaciones!Z$14))*IF(Reprogramaciones!Z$13&gt;=(Reprogramaciones!$T$15+7*(Reprogramaciones!Z$14-1))+6,1,IF(MAX(0,NETWORKDAYS.INTL(MAX(E85,(Reprogramaciones!$T$15+7*(Reprogramaciones!Z$14-1))),MIN(F85,(Reprogramaciones!$T$15+7*(Reprogramaciones!Z$14-1))+6),11))=0,0,MAX(0,NETWORKDAYS.INTL(MAX(E85,(Reprogramaciones!$T$15+7*(Reprogramaciones!Z$14-1))),MIN(F85,Reprogramaciones!Z$13),11))/MAX(0,NETWORKDAYS.INTL(MAX(E85,(Reprogramaciones!$T$15+7*(Reprogramaciones!Z$14-1))),MIN(F85,(Reprogramaciones!$T$15+7*(Reprogramaciones!Z$14-1))+6),11))))))))</f>
        <v/>
      </c>
      <c r="CJ85" s="1" t="str">
        <f aca="false">IF(OR(OR(NOT(AND(ISNUMBER(E85),ISNUMBER(F85))),$J$2=""),1&gt;Reprogramaciones!$K$16),"",IF(ROUND(SUM($Q85:Q85),1)&gt;=99.5,100,MIN(100,ROUND(SUM($Q85:Q85),1))))</f>
        <v/>
      </c>
      <c r="CK85" s="1" t="str">
        <f aca="false">IF(OR(OR(NOT(AND(ISNUMBER(E85),ISNUMBER(F85))),$J$2=""),2&gt;Reprogramaciones!$K$16),"",IF(ROUND(SUM($Q85:R85),1)&gt;=99.5,100,MIN(100,ROUND(SUM($Q85:R85),1))))</f>
        <v/>
      </c>
      <c r="CL85" s="1" t="str">
        <f aca="false">IF(OR(OR(NOT(AND(ISNUMBER(E85),ISNUMBER(F85))),$J$2=""),3&gt;Reprogramaciones!$K$16),"",IF(ROUND(SUM($Q85:S85),1)&gt;=99.5,100,MIN(100,ROUND(SUM($Q85:S85),1))))</f>
        <v/>
      </c>
      <c r="CM85" s="1" t="str">
        <f aca="false">IF(OR(OR(NOT(AND(ISNUMBER(E85),ISNUMBER(F85))),$J$2=""),4&gt;Reprogramaciones!$K$16),"",IF(ROUND(SUM($Q85:T85),1)&gt;=99.5,100,MIN(100,ROUND(SUM($Q85:T85),1))))</f>
        <v/>
      </c>
      <c r="CN85" s="1" t="str">
        <f aca="false">IF(OR(OR(NOT(AND(ISNUMBER(E85),ISNUMBER(F85))),$J$2=""),5&gt;Reprogramaciones!$K$16),"",IF(ROUND(SUM($Q85:U85),1)&gt;=99.5,100,MIN(100,ROUND(SUM($Q85:U85),1))))</f>
        <v/>
      </c>
      <c r="CO85" s="1" t="str">
        <f aca="false">IF(OR(OR(NOT(AND(ISNUMBER(E85),ISNUMBER(F85))),$J$2=""),6&gt;Reprogramaciones!$K$16),"",IF(ROUND(SUM($Q85:V85),1)&gt;=99.5,100,MIN(100,ROUND(SUM($Q85:V85),1))))</f>
        <v/>
      </c>
      <c r="CP85" s="1" t="str">
        <f aca="false">IF(OR(OR(NOT(AND(ISNUMBER(E85),ISNUMBER(F85))),$J$2=""),7&gt;Reprogramaciones!$K$16),"",IF(ROUND(SUM($Q85:W85),1)&gt;=99.5,100,MIN(100,ROUND(SUM($Q85:W85),1))))</f>
        <v/>
      </c>
      <c r="CQ85" s="1" t="str">
        <f aca="false">IF(OR(OR(NOT(AND(ISNUMBER(E85),ISNUMBER(F85))),$J$2=""),8&gt;Reprogramaciones!$K$16),"",IF(ROUND(SUM($Q85:X85),1)&gt;=99.5,100,MIN(100,ROUND(SUM($Q85:X85),1))))</f>
        <v/>
      </c>
      <c r="CR85" s="1" t="str">
        <f aca="false">IF(OR(OR(NOT(AND(ISNUMBER(E85),ISNUMBER(F85))),$J$2=""),9&gt;Reprogramaciones!$K$16),"",IF(ROUND(SUM($Q85:Y85),1)&gt;=99.5,100,MIN(100,ROUND(SUM($Q85:Y85),1))))</f>
        <v/>
      </c>
      <c r="CS85" s="1" t="str">
        <f aca="false">IF(OR(OR(NOT(AND(ISNUMBER(E85),ISNUMBER(F85))),$J$2=""),10&gt;Reprogramaciones!$K$16),"",IF(ROUND(SUM($Q85:Z85),1)&gt;=99.5,100,MIN(100,ROUND(SUM($Q85:Z85),1))))</f>
        <v/>
      </c>
      <c r="CT85" s="1" t="str">
        <f aca="false">IF(OR(OR(NOT(AND(ISNUMBER(E85),ISNUMBER(F85))),$J$2=""),11&gt;Reprogramaciones!$K$16),"",IF(ROUND(SUM($Q85:AA85),1)&gt;=99.5,100,MIN(100,ROUND(SUM($Q85:AA85),1))))</f>
        <v/>
      </c>
      <c r="CU85" s="1" t="str">
        <f aca="false">IF(OR(OR(NOT(AND(ISNUMBER(E85),ISNUMBER(F85))),$J$2=""),12&gt;Reprogramaciones!$K$16),"",IF(ROUND(SUM($Q85:AB85),1)&gt;=99.5,100,MIN(100,ROUND(SUM($Q85:AB85),1))))</f>
        <v/>
      </c>
      <c r="CV85" s="1" t="str">
        <f aca="false">IF(OR(OR(NOT(AND(ISNUMBER(E85),ISNUMBER(F85))),$J$2=""),13&gt;Reprogramaciones!$K$16),"",IF(ROUND(SUM($Q85:AC85),1)&gt;=99.5,100,MIN(100,ROUND(SUM($Q85:AC85),1))))</f>
        <v/>
      </c>
      <c r="CW85" s="1" t="str">
        <f aca="false">IF(OR(OR(NOT(AND(ISNUMBER(E85),ISNUMBER(F85))),$J$2=""),14&gt;Reprogramaciones!$K$16),"",IF(ROUND(SUM($Q85:AD85),1)&gt;=99.5,100,MIN(100,ROUND(SUM($Q85:AD85),1))))</f>
        <v/>
      </c>
      <c r="CX85" s="1" t="str">
        <f aca="false">IF(OR(OR(NOT(AND(ISNUMBER(E85),ISNUMBER(F85))),$J$2=""),15&gt;Reprogramaciones!$K$16),"",IF(ROUND(SUM($Q85:AE85),1)&gt;=99.5,100,MIN(100,ROUND(SUM($Q85:AE85),1))))</f>
        <v/>
      </c>
      <c r="CY85" s="1" t="str">
        <f aca="false">IF(OR(OR(NOT(AND(ISNUMBER(E85),ISNUMBER(F85))),$J$2=""),16&gt;Reprogramaciones!$K$16),"",IF(ROUND(SUM($Q85:AF85),1)&gt;=99.5,100,MIN(100,ROUND(SUM($Q85:AF85),1))))</f>
        <v/>
      </c>
      <c r="CZ85" s="1" t="str">
        <f aca="false">IF(D85&lt;&gt;"",D85,IF(B85&lt;&gt;"","Contractual",CZ84))</f>
        <v>Contractual</v>
      </c>
      <c r="DA85" s="1" t="str">
        <f aca="false">IF(OR(NOT(AND(ISNUMBER(E85),ISNUMBER(F85))),$J$2=""),"",IF(Reprogramaciones!$Q$15&lt;Reprogramaciones!$T$15,0,IF(Reprogramaciones!$S$15&gt;10,MIN(100,SUM($G85:$P85)),MIN(100,SUMPRODUCT((COLUMN($G85:$P85)-COLUMN($G85)+1&lt;Reprogramaciones!$S$15)*$G85:$P85)+N(INDEX($G85:$P85,1,Reprogramaciones!$S$15))*IF(Reprogramaciones!$Q$15&gt;=(Reprogramaciones!$T$15+7*(Reprogramaciones!$S$15-1))+6,1,IF(MAX(0,NETWORKDAYS.INTL(MAX(E85,(Reprogramaciones!$T$15+7*(Reprogramaciones!$S$15-1))),MIN(F85,(Reprogramaciones!$T$15+7*(Reprogramaciones!$S$15-1))+6),11))=0,0,MAX(0,NETWORKDAYS.INTL(MAX(E85,(Reprogramaciones!$T$15+7*(Reprogramaciones!$S$15-1))),MIN(F85,Reprogramaciones!$Q$15),11))/MAX(0,NETWORKDAYS.INTL(MAX(E85,(Reprogramaciones!$T$15+7*(Reprogramaciones!$S$15-1))),MIN(F85,(Reprogramaciones!$T$15+7*(Reprogramaciones!$S$15-1))+6),11))))))))</f>
        <v/>
      </c>
    </row>
    <row r="86" customFormat="false" ht="15" hidden="false" customHeight="false" outlineLevel="0" collapsed="false">
      <c r="A86" s="32"/>
      <c r="B86" s="33"/>
      <c r="C86" s="33"/>
      <c r="D86" s="34"/>
      <c r="E86" s="35"/>
      <c r="F86" s="35"/>
      <c r="G86" s="36" t="str">
        <f aca="false">IF(OR(NOT(AND(ISNUMBER(E86),ISNUMBER(F86))),$J$2=""),"",IF(Reprogramaciones!K$9&lt;E86,0,IF(NETWORKDAYS.INTL(E86,F86,11)=0,IF(Reprogramaciones!K$9&gt;=F86,100,0),ROUND(NETWORKDAYS.INTL(E86,MIN(F86,Reprogramaciones!K$9),11)/NETWORKDAYS.INTL(E86,F86,11)*100,1)))-0)</f>
        <v/>
      </c>
      <c r="H86" s="36" t="str">
        <f aca="false">IF(OR(NOT(AND(ISNUMBER(E86),ISNUMBER(F86))),$J$2=""),"",IF(Reprogramaciones!L$9&lt;E86,0,IF(NETWORKDAYS.INTL(E86,F86,11)=0,IF(Reprogramaciones!L$9&gt;=F86,100,0),ROUND(NETWORKDAYS.INTL(E86,MIN(F86,Reprogramaciones!L$9),11)/NETWORKDAYS.INTL(E86,F86,11)*100,1)))-IF(Reprogramaciones!K$9&lt;E86,0,IF(NETWORKDAYS.INTL(E86,F86,11)=0,IF(Reprogramaciones!K$9&gt;=F86,100,0),ROUND(NETWORKDAYS.INTL(E86,MIN(F86,Reprogramaciones!K$9),11)/NETWORKDAYS.INTL(E86,F86,11)*100,1))))</f>
        <v/>
      </c>
      <c r="I86" s="36" t="str">
        <f aca="false">IF(OR(NOT(AND(ISNUMBER(E86),ISNUMBER(F86))),$J$2=""),"",IF(Reprogramaciones!M$9&lt;E86,0,IF(NETWORKDAYS.INTL(E86,F86,11)=0,IF(Reprogramaciones!M$9&gt;=F86,100,0),ROUND(NETWORKDAYS.INTL(E86,MIN(F86,Reprogramaciones!M$9),11)/NETWORKDAYS.INTL(E86,F86,11)*100,1)))-IF(Reprogramaciones!L$9&lt;E86,0,IF(NETWORKDAYS.INTL(E86,F86,11)=0,IF(Reprogramaciones!L$9&gt;=F86,100,0),ROUND(NETWORKDAYS.INTL(E86,MIN(F86,Reprogramaciones!L$9),11)/NETWORKDAYS.INTL(E86,F86,11)*100,1))))</f>
        <v/>
      </c>
      <c r="J86" s="36" t="str">
        <f aca="false">IF(OR(NOT(AND(ISNUMBER(E86),ISNUMBER(F86))),$J$2=""),"",IF(Reprogramaciones!N$9&lt;E86,0,IF(NETWORKDAYS.INTL(E86,F86,11)=0,IF(Reprogramaciones!N$9&gt;=F86,100,0),ROUND(NETWORKDAYS.INTL(E86,MIN(F86,Reprogramaciones!N$9),11)/NETWORKDAYS.INTL(E86,F86,11)*100,1)))-IF(Reprogramaciones!M$9&lt;E86,0,IF(NETWORKDAYS.INTL(E86,F86,11)=0,IF(Reprogramaciones!M$9&gt;=F86,100,0),ROUND(NETWORKDAYS.INTL(E86,MIN(F86,Reprogramaciones!M$9),11)/NETWORKDAYS.INTL(E86,F86,11)*100,1))))</f>
        <v/>
      </c>
      <c r="K86" s="36" t="str">
        <f aca="false">IF(OR(NOT(AND(ISNUMBER(E86),ISNUMBER(F86))),$J$2=""),"",IF(Reprogramaciones!O$9&lt;E86,0,IF(NETWORKDAYS.INTL(E86,F86,11)=0,IF(Reprogramaciones!O$9&gt;=F86,100,0),ROUND(NETWORKDAYS.INTL(E86,MIN(F86,Reprogramaciones!O$9),11)/NETWORKDAYS.INTL(E86,F86,11)*100,1)))-IF(Reprogramaciones!N$9&lt;E86,0,IF(NETWORKDAYS.INTL(E86,F86,11)=0,IF(Reprogramaciones!N$9&gt;=F86,100,0),ROUND(NETWORKDAYS.INTL(E86,MIN(F86,Reprogramaciones!N$9),11)/NETWORKDAYS.INTL(E86,F86,11)*100,1))))</f>
        <v/>
      </c>
      <c r="L86" s="36" t="str">
        <f aca="false">IF(OR(NOT(AND(ISNUMBER(E86),ISNUMBER(F86))),$J$2=""),"",IF(Reprogramaciones!P$9&lt;E86,0,IF(NETWORKDAYS.INTL(E86,F86,11)=0,IF(Reprogramaciones!P$9&gt;=F86,100,0),ROUND(NETWORKDAYS.INTL(E86,MIN(F86,Reprogramaciones!P$9),11)/NETWORKDAYS.INTL(E86,F86,11)*100,1)))-IF(Reprogramaciones!O$9&lt;E86,0,IF(NETWORKDAYS.INTL(E86,F86,11)=0,IF(Reprogramaciones!O$9&gt;=F86,100,0),ROUND(NETWORKDAYS.INTL(E86,MIN(F86,Reprogramaciones!O$9),11)/NETWORKDAYS.INTL(E86,F86,11)*100,1))))</f>
        <v/>
      </c>
      <c r="M86" s="36" t="str">
        <f aca="false">IF(OR(NOT(AND(ISNUMBER(E86),ISNUMBER(F86))),$J$2=""),"",IF(Reprogramaciones!Q$9&lt;E86,0,IF(NETWORKDAYS.INTL(E86,F86,11)=0,IF(Reprogramaciones!Q$9&gt;=F86,100,0),ROUND(NETWORKDAYS.INTL(E86,MIN(F86,Reprogramaciones!Q$9),11)/NETWORKDAYS.INTL(E86,F86,11)*100,1)))-IF(Reprogramaciones!P$9&lt;E86,0,IF(NETWORKDAYS.INTL(E86,F86,11)=0,IF(Reprogramaciones!P$9&gt;=F86,100,0),ROUND(NETWORKDAYS.INTL(E86,MIN(F86,Reprogramaciones!P$9),11)/NETWORKDAYS.INTL(E86,F86,11)*100,1))))</f>
        <v/>
      </c>
      <c r="N86" s="36" t="str">
        <f aca="false">IF(OR(NOT(AND(ISNUMBER(E86),ISNUMBER(F86))),$J$2=""),"",IF(Reprogramaciones!R$9&lt;E86,0,IF(NETWORKDAYS.INTL(E86,F86,11)=0,IF(Reprogramaciones!R$9&gt;=F86,100,0),ROUND(NETWORKDAYS.INTL(E86,MIN(F86,Reprogramaciones!R$9),11)/NETWORKDAYS.INTL(E86,F86,11)*100,1)))-IF(Reprogramaciones!Q$9&lt;E86,0,IF(NETWORKDAYS.INTL(E86,F86,11)=0,IF(Reprogramaciones!Q$9&gt;=F86,100,0),ROUND(NETWORKDAYS.INTL(E86,MIN(F86,Reprogramaciones!Q$9),11)/NETWORKDAYS.INTL(E86,F86,11)*100,1))))</f>
        <v/>
      </c>
      <c r="O86" s="36" t="str">
        <f aca="false">IF(OR(NOT(AND(ISNUMBER(E86),ISNUMBER(F86))),$J$2=""),"",IF(Reprogramaciones!S$9&lt;E86,0,IF(NETWORKDAYS.INTL(E86,F86,11)=0,IF(Reprogramaciones!S$9&gt;=F86,100,0),ROUND(NETWORKDAYS.INTL(E86,MIN(F86,Reprogramaciones!S$9),11)/NETWORKDAYS.INTL(E86,F86,11)*100,1)))-IF(Reprogramaciones!R$9&lt;E86,0,IF(NETWORKDAYS.INTL(E86,F86,11)=0,IF(Reprogramaciones!R$9&gt;=F86,100,0),ROUND(NETWORKDAYS.INTL(E86,MIN(F86,Reprogramaciones!R$9),11)/NETWORKDAYS.INTL(E86,F86,11)*100,1))))</f>
        <v/>
      </c>
      <c r="P86" s="36" t="str">
        <f aca="false">IF(OR(NOT(AND(ISNUMBER(E86),ISNUMBER(F86))),$J$2=""),"",IF(Reprogramaciones!T$9&lt;E86,0,IF(NETWORKDAYS.INTL(E86,F86,11)=0,IF(Reprogramaciones!T$9&gt;=F86,100,0),ROUND(NETWORKDAYS.INTL(E86,MIN(F86,Reprogramaciones!T$9),11)/NETWORKDAYS.INTL(E86,F86,11)*100,1)))-IF(Reprogramaciones!S$9&lt;E86,0,IF(NETWORKDAYS.INTL(E86,F86,11)=0,IF(Reprogramaciones!S$9&gt;=F86,100,0),ROUND(NETWORKDAYS.INTL(E86,MIN(F86,Reprogramaciones!S$9),11)/NETWORKDAYS.INTL(E86,F86,11)*100,1))))</f>
        <v/>
      </c>
      <c r="Q86" s="37"/>
      <c r="R86" s="37"/>
      <c r="S86" s="37"/>
      <c r="T86" s="37"/>
      <c r="U86" s="37"/>
      <c r="V86" s="37"/>
      <c r="W86" s="37"/>
      <c r="X86" s="37"/>
      <c r="Y86" s="37"/>
      <c r="Z86" s="37"/>
      <c r="AA86" s="37"/>
      <c r="AB86" s="37"/>
      <c r="AC86" s="37"/>
      <c r="AD86" s="37"/>
      <c r="AE86" s="37"/>
      <c r="AF86" s="37"/>
      <c r="AG86" s="38" t="str">
        <f aca="false">IF(AND(ISNUMBER(E86),ISNUMBER(F86)),NETWORKDAYS.INTL(E86,F86,11),"")</f>
        <v/>
      </c>
      <c r="AH86" s="38" t="str">
        <f aca="false">IF(OR(NOT(AND(ISNUMBER(E86),ISNUMBER(F86))),$J$2=""),"",IF(Reprogramaciones!$P$15&lt;Reprogramaciones!$T$15,0,IF(Reprogramaciones!$R$15&gt;10,MIN(100,SUM($G86:$P86)),MIN(100,SUMPRODUCT((COLUMN($G86:$P86)-COLUMN($G86)+1&lt;Reprogramaciones!$R$15)*$G86:$P86)+N(INDEX($G86:$P86,1,Reprogramaciones!$R$15))*IF(Reprogramaciones!$P$15&gt;=(Reprogramaciones!$T$15+7*(Reprogramaciones!$R$15-1))+6,1,IF(MAX(0,NETWORKDAYS.INTL(MAX(E86,(Reprogramaciones!$T$15+7*(Reprogramaciones!$R$15-1))),MIN(F86,(Reprogramaciones!$T$15+7*(Reprogramaciones!$R$15-1))+6),11))=0,0,MAX(0,NETWORKDAYS.INTL(MAX(E86,(Reprogramaciones!$T$15+7*(Reprogramaciones!$R$15-1))),MIN(F86,Reprogramaciones!$P$15),11))/MAX(0,NETWORKDAYS.INTL(MAX(E86,(Reprogramaciones!$T$15+7*(Reprogramaciones!$R$15-1))),MIN(F86,(Reprogramaciones!$T$15+7*(Reprogramaciones!$R$15-1))+6),11))))))))</f>
        <v/>
      </c>
      <c r="AI86" s="38" t="str">
        <f aca="false">IF(COUNT($Q86:$AF86)=0,"",IF(ROUND(SUM($Q86:$AF86),1)&gt;=99.5,100,MIN(100,ROUND(SUM($Q86:$AF86),1))))</f>
        <v/>
      </c>
      <c r="AJ86" s="38" t="str">
        <f aca="false">IF(OR(AH86="",AI86=""),"",AI86-AH86)</f>
        <v/>
      </c>
      <c r="AK86" s="39" t="str">
        <f aca="true">IF(AH86="","",IF(OR(Ficha!$C$10="Suspendida",Ficha!$C$10="Cancelada"),Ficha!$C$10,IF(AND(AI86&lt;&gt;"",N(AI86)&gt;=100),"Completada",IF(AND(E86&gt;TODAY(),N(AI86)=0),"Por iniciar",IF(N(AI86)+0.5&lt;AH86,"Retrasada",IF(N(AI86)+0.5&lt;DA86,IF(Reprogramaciones!$K$15&gt;0,"Al día · Sem "&amp;Reprogramaciones!$K$15&amp;" en curso","Al día · en curso"),"A tiempo"))))))</f>
        <v/>
      </c>
      <c r="AL86" s="39" t="str">
        <f aca="true">IF(AND(A86="",AND(B86="",C86="",E86="",F86="",COUNT(Q86:AF86)=0)),"",IF(AND(B86="",C86="",E86="",F86="",COUNT(Q86:AF86)=0),"Falta la partida o subpartida",IF(AND(A86&lt;&gt;"",COUNTIF($A$6:$A$305,A86)&gt;1),"Ítem repetido",IF(AND(C86="",E86="",F86="",COUNT(Q86:AF86)=0),"Título de partida",IF(OR(E86="",F86=""),"Faltan fechas",IF(OR(ISTEXT(E86),ISTEXT(F86)),"Fecha escrita como texto: usa dd/mm/aaaa",IF(F86&lt;E86,"Fin antes del inicio",IF(IF($J$2="",FALSE(),OR(E86&lt;$J$2,F86&gt;Reprogramaciones!$T$15+69)),"Fuera de las 10 semanas",IF(ABS(SUM(G86:P86)-100)&gt;0.5,"La meta no suma 100%",IF(ROUND(SUM(Q86:AF86),1)&gt;100.5,"El avance pasa de 100%",IF(MIN(Q86:AF86)&lt;0,"Avance negativo",IF(COUNTA(Q86:AF86)&gt;COUNT(Q86:AF86),"Avance escrito como texto",IF(SUMPRODUCT((Q86:AF86&gt;0)*(Q86:AF86&lt;1))&gt;0,"Avance menor a 1: escribe 50, no 50%",IF(SUMPRODUCT(ISNUMBER(Q86:AF86)*(Reprogramaciones!$K$8:$Z$8&gt;TODAY()))&gt;0,"Avance en semana que aún no llega",IF(AND(N(Reprogramaciones!$E$21)&gt;0,F86&gt;Reprogramaciones!$E$21),"Pasa el fin de la obra: registra una reprogramación",IF(AND(N(Reprogramaciones!$E$21)&gt;0,SUMPRODUCT(ISNUMBER(Q86:AF86)*(Reprogramaciones!$K$8:$Z$8&gt;Reprogramaciones!$E$21))&gt;0),"Avance después del fin de la obra: registra una reprogramación por atraso","OK"))))))))))))))))</f>
        <v/>
      </c>
      <c r="AM86" s="40" t="str">
        <f aca="false">IF(OR(OR(NOT(AND(ISNUMBER(E86),ISNUMBER(F86))),$J$2=""),1&gt;MAX(1,Reprogramaciones!$U$15)),"",IF(Reprogramaciones!K$12&gt;=7,"",IF(OR(BT86-N(0)&gt;0.05,N(Q86)&gt;0),ROUNDDOWN(ROUND(BT86,6),0)&amp;"%"&amp;IF(CJ86="",""," / "&amp;CJ86&amp;"%"),IF(AND(N(0)&gt;=99.95,CJ86&lt;&gt;"",N(CJ86)&lt;100),"Pend. "&amp;CJ86&amp;"%",""))))</f>
        <v/>
      </c>
      <c r="AN86" s="40" t="str">
        <f aca="false">IF(OR(OR(NOT(AND(ISNUMBER(E86),ISNUMBER(F86))),$J$2=""),2&gt;MAX(1,Reprogramaciones!$U$15)),"",IF(Reprogramaciones!L$12&gt;=7,"",IF(OR(BU86-N(BT86)&gt;0.05,N(R86)&gt;0),ROUNDDOWN(ROUND(BU86,6),0)&amp;"%"&amp;IF(CK86="",""," / "&amp;CK86&amp;"%"),IF(AND(N(BT86)&gt;=99.95,CK86&lt;&gt;"",N(CK86)&lt;100),"Pend. "&amp;CK86&amp;"%",""))))</f>
        <v/>
      </c>
      <c r="AO86" s="40" t="str">
        <f aca="false">IF(OR(OR(NOT(AND(ISNUMBER(E86),ISNUMBER(F86))),$J$2=""),3&gt;MAX(1,Reprogramaciones!$U$15)),"",IF(Reprogramaciones!M$12&gt;=7,"",IF(OR(BV86-N(BU86)&gt;0.05,N(S86)&gt;0),ROUNDDOWN(ROUND(BV86,6),0)&amp;"%"&amp;IF(CL86="",""," / "&amp;CL86&amp;"%"),IF(AND(N(BU86)&gt;=99.95,CL86&lt;&gt;"",N(CL86)&lt;100),"Pend. "&amp;CL86&amp;"%",""))))</f>
        <v/>
      </c>
      <c r="AP86" s="40" t="str">
        <f aca="false">IF(OR(OR(NOT(AND(ISNUMBER(E86),ISNUMBER(F86))),$J$2=""),4&gt;MAX(1,Reprogramaciones!$U$15)),"",IF(Reprogramaciones!N$12&gt;=7,"",IF(OR(BW86-N(BV86)&gt;0.05,N(T86)&gt;0),ROUNDDOWN(ROUND(BW86,6),0)&amp;"%"&amp;IF(CM86="",""," / "&amp;CM86&amp;"%"),IF(AND(N(BV86)&gt;=99.95,CM86&lt;&gt;"",N(CM86)&lt;100),"Pend. "&amp;CM86&amp;"%",""))))</f>
        <v/>
      </c>
      <c r="AQ86" s="40" t="str">
        <f aca="false">IF(OR(OR(NOT(AND(ISNUMBER(E86),ISNUMBER(F86))),$J$2=""),5&gt;MAX(1,Reprogramaciones!$U$15)),"",IF(Reprogramaciones!O$12&gt;=7,"",IF(OR(BX86-N(BW86)&gt;0.05,N(U86)&gt;0),ROUNDDOWN(ROUND(BX86,6),0)&amp;"%"&amp;IF(CN86="",""," / "&amp;CN86&amp;"%"),IF(AND(N(BW86)&gt;=99.95,CN86&lt;&gt;"",N(CN86)&lt;100),"Pend. "&amp;CN86&amp;"%",""))))</f>
        <v/>
      </c>
      <c r="AR86" s="40" t="str">
        <f aca="false">IF(OR(OR(NOT(AND(ISNUMBER(E86),ISNUMBER(F86))),$J$2=""),6&gt;MAX(1,Reprogramaciones!$U$15)),"",IF(Reprogramaciones!P$12&gt;=7,"",IF(OR(BY86-N(BX86)&gt;0.05,N(V86)&gt;0),ROUNDDOWN(ROUND(BY86,6),0)&amp;"%"&amp;IF(CO86="",""," / "&amp;CO86&amp;"%"),IF(AND(N(BX86)&gt;=99.95,CO86&lt;&gt;"",N(CO86)&lt;100),"Pend. "&amp;CO86&amp;"%",""))))</f>
        <v/>
      </c>
      <c r="AS86" s="40" t="str">
        <f aca="false">IF(OR(OR(NOT(AND(ISNUMBER(E86),ISNUMBER(F86))),$J$2=""),7&gt;MAX(1,Reprogramaciones!$U$15)),"",IF(Reprogramaciones!Q$12&gt;=7,"",IF(OR(BZ86-N(BY86)&gt;0.05,N(W86)&gt;0),ROUNDDOWN(ROUND(BZ86,6),0)&amp;"%"&amp;IF(CP86="",""," / "&amp;CP86&amp;"%"),IF(AND(N(BY86)&gt;=99.95,CP86&lt;&gt;"",N(CP86)&lt;100),"Pend. "&amp;CP86&amp;"%",""))))</f>
        <v/>
      </c>
      <c r="AT86" s="40" t="str">
        <f aca="false">IF(OR(OR(NOT(AND(ISNUMBER(E86),ISNUMBER(F86))),$J$2=""),8&gt;MAX(1,Reprogramaciones!$U$15)),"",IF(Reprogramaciones!R$12&gt;=7,"",IF(OR(CA86-N(BZ86)&gt;0.05,N(X86)&gt;0),ROUNDDOWN(ROUND(CA86,6),0)&amp;"%"&amp;IF(CQ86="",""," / "&amp;CQ86&amp;"%"),IF(AND(N(BZ86)&gt;=99.95,CQ86&lt;&gt;"",N(CQ86)&lt;100),"Pend. "&amp;CQ86&amp;"%",""))))</f>
        <v/>
      </c>
      <c r="AU86" s="40" t="str">
        <f aca="false">IF(OR(OR(NOT(AND(ISNUMBER(E86),ISNUMBER(F86))),$J$2=""),9&gt;MAX(1,Reprogramaciones!$U$15)),"",IF(Reprogramaciones!S$12&gt;=7,"",IF(OR(CB86-N(CA86)&gt;0.05,N(Y86)&gt;0),ROUNDDOWN(ROUND(CB86,6),0)&amp;"%"&amp;IF(CR86="",""," / "&amp;CR86&amp;"%"),IF(AND(N(CA86)&gt;=99.95,CR86&lt;&gt;"",N(CR86)&lt;100),"Pend. "&amp;CR86&amp;"%",""))))</f>
        <v/>
      </c>
      <c r="AV86" s="40" t="str">
        <f aca="false">IF(OR(OR(NOT(AND(ISNUMBER(E86),ISNUMBER(F86))),$J$2=""),10&gt;MAX(1,Reprogramaciones!$U$15)),"",IF(Reprogramaciones!T$12&gt;=7,"",IF(OR(CC86-N(CB86)&gt;0.05,N(Z86)&gt;0),ROUNDDOWN(ROUND(CC86,6),0)&amp;"%"&amp;IF(CS86="",""," / "&amp;CS86&amp;"%"),IF(AND(N(CB86)&gt;=99.95,CS86&lt;&gt;"",N(CS86)&lt;100),"Pend. "&amp;CS86&amp;"%",""))))</f>
        <v/>
      </c>
      <c r="AW86" s="40" t="str">
        <f aca="false">IF(OR(OR(NOT(AND(ISNUMBER(E86),ISNUMBER(F86))),$J$2=""),11&gt;MAX(1,Reprogramaciones!$U$15)),"",IF(Reprogramaciones!U$12&gt;=7,"",IF(OR(CD86-N(CC86)&gt;0.05,N(AA86)&gt;0),ROUNDDOWN(ROUND(CD86,6),0)&amp;"%"&amp;IF(CT86="",""," / "&amp;CT86&amp;"%"),IF(AND(N(CC86)&gt;=99.95,CT86&lt;&gt;"",N(CT86)&lt;100),"Pend. "&amp;CT86&amp;"%",""))))</f>
        <v/>
      </c>
      <c r="AX86" s="40" t="str">
        <f aca="false">IF(OR(OR(NOT(AND(ISNUMBER(E86),ISNUMBER(F86))),$J$2=""),12&gt;MAX(1,Reprogramaciones!$U$15)),"",IF(Reprogramaciones!V$12&gt;=7,"",IF(OR(CE86-N(CD86)&gt;0.05,N(AB86)&gt;0),ROUNDDOWN(ROUND(CE86,6),0)&amp;"%"&amp;IF(CU86="",""," / "&amp;CU86&amp;"%"),IF(AND(N(CD86)&gt;=99.95,CU86&lt;&gt;"",N(CU86)&lt;100),"Pend. "&amp;CU86&amp;"%",""))))</f>
        <v/>
      </c>
      <c r="AY86" s="40" t="str">
        <f aca="false">IF(OR(OR(NOT(AND(ISNUMBER(E86),ISNUMBER(F86))),$J$2=""),13&gt;MAX(1,Reprogramaciones!$U$15)),"",IF(Reprogramaciones!W$12&gt;=7,"",IF(OR(CF86-N(CE86)&gt;0.05,N(AC86)&gt;0),ROUNDDOWN(ROUND(CF86,6),0)&amp;"%"&amp;IF(CV86="",""," / "&amp;CV86&amp;"%"),IF(AND(N(CE86)&gt;=99.95,CV86&lt;&gt;"",N(CV86)&lt;100),"Pend. "&amp;CV86&amp;"%",""))))</f>
        <v/>
      </c>
      <c r="AZ86" s="40" t="str">
        <f aca="false">IF(OR(OR(NOT(AND(ISNUMBER(E86),ISNUMBER(F86))),$J$2=""),14&gt;MAX(1,Reprogramaciones!$U$15)),"",IF(Reprogramaciones!X$12&gt;=7,"",IF(OR(CG86-N(CF86)&gt;0.05,N(AD86)&gt;0),ROUNDDOWN(ROUND(CG86,6),0)&amp;"%"&amp;IF(CW86="",""," / "&amp;CW86&amp;"%"),IF(AND(N(CF86)&gt;=99.95,CW86&lt;&gt;"",N(CW86)&lt;100),"Pend. "&amp;CW86&amp;"%",""))))</f>
        <v/>
      </c>
      <c r="BA86" s="40" t="str">
        <f aca="false">IF(OR(OR(NOT(AND(ISNUMBER(E86),ISNUMBER(F86))),$J$2=""),15&gt;MAX(1,Reprogramaciones!$U$15)),"",IF(Reprogramaciones!Y$12&gt;=7,"",IF(OR(CH86-N(CG86)&gt;0.05,N(AE86)&gt;0),ROUNDDOWN(ROUND(CH86,6),0)&amp;"%"&amp;IF(CX86="",""," / "&amp;CX86&amp;"%"),IF(AND(N(CG86)&gt;=99.95,CX86&lt;&gt;"",N(CX86)&lt;100),"Pend. "&amp;CX86&amp;"%",""))))</f>
        <v/>
      </c>
      <c r="BB86" s="40" t="str">
        <f aca="false">IF(OR(OR(NOT(AND(ISNUMBER(E86),ISNUMBER(F86))),$J$2=""),16&gt;MAX(1,Reprogramaciones!$U$15)),"",IF(Reprogramaciones!Z$12&gt;=7,"",IF(OR(CI86-N(CH86)&gt;0.05,N(AF86)&gt;0),ROUNDDOWN(ROUND(CI86,6),0)&amp;"%"&amp;IF(CY86="",""," / "&amp;CY86&amp;"%"),IF(AND(N(CH86)&gt;=99.95,CY86&lt;&gt;"",N(CY86)&lt;100),"Pend. "&amp;CY86&amp;"%",""))))</f>
        <v/>
      </c>
      <c r="BC86" s="31" t="n">
        <f aca="false">IF(AND(ISNUMBER(E86),ISNUMBER(F86)),MAX(1,NETWORKDAYS.INTL(E86,F86,11)),0)</f>
        <v>0</v>
      </c>
      <c r="BD86" s="1" t="str">
        <f aca="false">IF(OR(NOT(AND(ISNUMBER(E86),ISNUMBER(F86))),$J$2=""),"",MIN(100,ROUND(SUM($G86:G86),1)))</f>
        <v/>
      </c>
      <c r="BE86" s="1" t="str">
        <f aca="false">IF(OR(NOT(AND(ISNUMBER(E86),ISNUMBER(F86))),$J$2=""),"",MIN(100,ROUND(SUM($G86:H86),1)))</f>
        <v/>
      </c>
      <c r="BF86" s="1" t="str">
        <f aca="false">IF(OR(NOT(AND(ISNUMBER(E86),ISNUMBER(F86))),$J$2=""),"",MIN(100,ROUND(SUM($G86:I86),1)))</f>
        <v/>
      </c>
      <c r="BG86" s="1" t="str">
        <f aca="false">IF(OR(NOT(AND(ISNUMBER(E86),ISNUMBER(F86))),$J$2=""),"",MIN(100,ROUND(SUM($G86:J86),1)))</f>
        <v/>
      </c>
      <c r="BH86" s="1" t="str">
        <f aca="false">IF(OR(NOT(AND(ISNUMBER(E86),ISNUMBER(F86))),$J$2=""),"",MIN(100,ROUND(SUM($G86:K86),1)))</f>
        <v/>
      </c>
      <c r="BI86" s="1" t="str">
        <f aca="false">IF(OR(NOT(AND(ISNUMBER(E86),ISNUMBER(F86))),$J$2=""),"",MIN(100,ROUND(SUM($G86:L86),1)))</f>
        <v/>
      </c>
      <c r="BJ86" s="1" t="str">
        <f aca="false">IF(OR(NOT(AND(ISNUMBER(E86),ISNUMBER(F86))),$J$2=""),"",MIN(100,ROUND(SUM($G86:M86),1)))</f>
        <v/>
      </c>
      <c r="BK86" s="1" t="str">
        <f aca="false">IF(OR(NOT(AND(ISNUMBER(E86),ISNUMBER(F86))),$J$2=""),"",MIN(100,ROUND(SUM($G86:N86),1)))</f>
        <v/>
      </c>
      <c r="BL86" s="1" t="str">
        <f aca="false">IF(OR(NOT(AND(ISNUMBER(E86),ISNUMBER(F86))),$J$2=""),"",MIN(100,ROUND(SUM($G86:O86),1)))</f>
        <v/>
      </c>
      <c r="BM86" s="1" t="str">
        <f aca="false">IF(OR(NOT(AND(ISNUMBER(E86),ISNUMBER(F86))),$J$2=""),"",MIN(100,ROUND(SUM($G86:P86),1)))</f>
        <v/>
      </c>
      <c r="BN86" s="1" t="str">
        <f aca="false">IF(OR(NOT(AND(ISNUMBER(E86),ISNUMBER(F86))),$J$2=""),"",MIN(100,ROUND(SUM($G86:P86),1)))</f>
        <v/>
      </c>
      <c r="BO86" s="1" t="str">
        <f aca="false">IF(OR(NOT(AND(ISNUMBER(E86),ISNUMBER(F86))),$J$2=""),"",MIN(100,ROUND(SUM($G86:P86),1)))</f>
        <v/>
      </c>
      <c r="BP86" s="1" t="str">
        <f aca="false">IF(OR(NOT(AND(ISNUMBER(E86),ISNUMBER(F86))),$J$2=""),"",MIN(100,ROUND(SUM($G86:P86),1)))</f>
        <v/>
      </c>
      <c r="BQ86" s="1" t="str">
        <f aca="false">IF(OR(NOT(AND(ISNUMBER(E86),ISNUMBER(F86))),$J$2=""),"",MIN(100,ROUND(SUM($G86:P86),1)))</f>
        <v/>
      </c>
      <c r="BR86" s="1" t="str">
        <f aca="false">IF(OR(NOT(AND(ISNUMBER(E86),ISNUMBER(F86))),$J$2=""),"",MIN(100,ROUND(SUM($G86:P86),1)))</f>
        <v/>
      </c>
      <c r="BS86" s="1" t="str">
        <f aca="false">IF(OR(NOT(AND(ISNUMBER(E86),ISNUMBER(F86))),$J$2=""),"",MIN(100,ROUND(SUM($G86:P86),1)))</f>
        <v/>
      </c>
      <c r="BT86" s="1" t="str">
        <f aca="false">IF(OR(NOT(AND(ISNUMBER(E86),ISNUMBER(F86))),$J$2=""),"",IF(Reprogramaciones!K$13&lt;Reprogramaciones!$T$15,0,IF(Reprogramaciones!K$14&gt;10,MIN(100,SUM($G86:$P86)),MIN(100,SUMPRODUCT((COLUMN($G86:$P86)-COLUMN($G86)+1&lt;Reprogramaciones!K$14)*$G86:$P86)+N(INDEX($G86:$P86,1,Reprogramaciones!K$14))*IF(Reprogramaciones!K$13&gt;=(Reprogramaciones!$T$15+7*(Reprogramaciones!K$14-1))+6,1,IF(MAX(0,NETWORKDAYS.INTL(MAX(E86,(Reprogramaciones!$T$15+7*(Reprogramaciones!K$14-1))),MIN(F86,(Reprogramaciones!$T$15+7*(Reprogramaciones!K$14-1))+6),11))=0,0,MAX(0,NETWORKDAYS.INTL(MAX(E86,(Reprogramaciones!$T$15+7*(Reprogramaciones!K$14-1))),MIN(F86,Reprogramaciones!K$13),11))/MAX(0,NETWORKDAYS.INTL(MAX(E86,(Reprogramaciones!$T$15+7*(Reprogramaciones!K$14-1))),MIN(F86,(Reprogramaciones!$T$15+7*(Reprogramaciones!K$14-1))+6),11))))))))</f>
        <v/>
      </c>
      <c r="BU86" s="1" t="str">
        <f aca="false">IF(OR(NOT(AND(ISNUMBER(E86),ISNUMBER(F86))),$J$2=""),"",IF(Reprogramaciones!L$13&lt;Reprogramaciones!$T$15,0,IF(Reprogramaciones!L$14&gt;10,MIN(100,SUM($G86:$P86)),MIN(100,SUMPRODUCT((COLUMN($G86:$P86)-COLUMN($G86)+1&lt;Reprogramaciones!L$14)*$G86:$P86)+N(INDEX($G86:$P86,1,Reprogramaciones!L$14))*IF(Reprogramaciones!L$13&gt;=(Reprogramaciones!$T$15+7*(Reprogramaciones!L$14-1))+6,1,IF(MAX(0,NETWORKDAYS.INTL(MAX(E86,(Reprogramaciones!$T$15+7*(Reprogramaciones!L$14-1))),MIN(F86,(Reprogramaciones!$T$15+7*(Reprogramaciones!L$14-1))+6),11))=0,0,MAX(0,NETWORKDAYS.INTL(MAX(E86,(Reprogramaciones!$T$15+7*(Reprogramaciones!L$14-1))),MIN(F86,Reprogramaciones!L$13),11))/MAX(0,NETWORKDAYS.INTL(MAX(E86,(Reprogramaciones!$T$15+7*(Reprogramaciones!L$14-1))),MIN(F86,(Reprogramaciones!$T$15+7*(Reprogramaciones!L$14-1))+6),11))))))))</f>
        <v/>
      </c>
      <c r="BV86" s="1" t="str">
        <f aca="false">IF(OR(NOT(AND(ISNUMBER(E86),ISNUMBER(F86))),$J$2=""),"",IF(Reprogramaciones!M$13&lt;Reprogramaciones!$T$15,0,IF(Reprogramaciones!M$14&gt;10,MIN(100,SUM($G86:$P86)),MIN(100,SUMPRODUCT((COLUMN($G86:$P86)-COLUMN($G86)+1&lt;Reprogramaciones!M$14)*$G86:$P86)+N(INDEX($G86:$P86,1,Reprogramaciones!M$14))*IF(Reprogramaciones!M$13&gt;=(Reprogramaciones!$T$15+7*(Reprogramaciones!M$14-1))+6,1,IF(MAX(0,NETWORKDAYS.INTL(MAX(E86,(Reprogramaciones!$T$15+7*(Reprogramaciones!M$14-1))),MIN(F86,(Reprogramaciones!$T$15+7*(Reprogramaciones!M$14-1))+6),11))=0,0,MAX(0,NETWORKDAYS.INTL(MAX(E86,(Reprogramaciones!$T$15+7*(Reprogramaciones!M$14-1))),MIN(F86,Reprogramaciones!M$13),11))/MAX(0,NETWORKDAYS.INTL(MAX(E86,(Reprogramaciones!$T$15+7*(Reprogramaciones!M$14-1))),MIN(F86,(Reprogramaciones!$T$15+7*(Reprogramaciones!M$14-1))+6),11))))))))</f>
        <v/>
      </c>
      <c r="BW86" s="1" t="str">
        <f aca="false">IF(OR(NOT(AND(ISNUMBER(E86),ISNUMBER(F86))),$J$2=""),"",IF(Reprogramaciones!N$13&lt;Reprogramaciones!$T$15,0,IF(Reprogramaciones!N$14&gt;10,MIN(100,SUM($G86:$P86)),MIN(100,SUMPRODUCT((COLUMN($G86:$P86)-COLUMN($G86)+1&lt;Reprogramaciones!N$14)*$G86:$P86)+N(INDEX($G86:$P86,1,Reprogramaciones!N$14))*IF(Reprogramaciones!N$13&gt;=(Reprogramaciones!$T$15+7*(Reprogramaciones!N$14-1))+6,1,IF(MAX(0,NETWORKDAYS.INTL(MAX(E86,(Reprogramaciones!$T$15+7*(Reprogramaciones!N$14-1))),MIN(F86,(Reprogramaciones!$T$15+7*(Reprogramaciones!N$14-1))+6),11))=0,0,MAX(0,NETWORKDAYS.INTL(MAX(E86,(Reprogramaciones!$T$15+7*(Reprogramaciones!N$14-1))),MIN(F86,Reprogramaciones!N$13),11))/MAX(0,NETWORKDAYS.INTL(MAX(E86,(Reprogramaciones!$T$15+7*(Reprogramaciones!N$14-1))),MIN(F86,(Reprogramaciones!$T$15+7*(Reprogramaciones!N$14-1))+6),11))))))))</f>
        <v/>
      </c>
      <c r="BX86" s="1" t="str">
        <f aca="false">IF(OR(NOT(AND(ISNUMBER(E86),ISNUMBER(F86))),$J$2=""),"",IF(Reprogramaciones!O$13&lt;Reprogramaciones!$T$15,0,IF(Reprogramaciones!O$14&gt;10,MIN(100,SUM($G86:$P86)),MIN(100,SUMPRODUCT((COLUMN($G86:$P86)-COLUMN($G86)+1&lt;Reprogramaciones!O$14)*$G86:$P86)+N(INDEX($G86:$P86,1,Reprogramaciones!O$14))*IF(Reprogramaciones!O$13&gt;=(Reprogramaciones!$T$15+7*(Reprogramaciones!O$14-1))+6,1,IF(MAX(0,NETWORKDAYS.INTL(MAX(E86,(Reprogramaciones!$T$15+7*(Reprogramaciones!O$14-1))),MIN(F86,(Reprogramaciones!$T$15+7*(Reprogramaciones!O$14-1))+6),11))=0,0,MAX(0,NETWORKDAYS.INTL(MAX(E86,(Reprogramaciones!$T$15+7*(Reprogramaciones!O$14-1))),MIN(F86,Reprogramaciones!O$13),11))/MAX(0,NETWORKDAYS.INTL(MAX(E86,(Reprogramaciones!$T$15+7*(Reprogramaciones!O$14-1))),MIN(F86,(Reprogramaciones!$T$15+7*(Reprogramaciones!O$14-1))+6),11))))))))</f>
        <v/>
      </c>
      <c r="BY86" s="1" t="str">
        <f aca="false">IF(OR(NOT(AND(ISNUMBER(E86),ISNUMBER(F86))),$J$2=""),"",IF(Reprogramaciones!P$13&lt;Reprogramaciones!$T$15,0,IF(Reprogramaciones!P$14&gt;10,MIN(100,SUM($G86:$P86)),MIN(100,SUMPRODUCT((COLUMN($G86:$P86)-COLUMN($G86)+1&lt;Reprogramaciones!P$14)*$G86:$P86)+N(INDEX($G86:$P86,1,Reprogramaciones!P$14))*IF(Reprogramaciones!P$13&gt;=(Reprogramaciones!$T$15+7*(Reprogramaciones!P$14-1))+6,1,IF(MAX(0,NETWORKDAYS.INTL(MAX(E86,(Reprogramaciones!$T$15+7*(Reprogramaciones!P$14-1))),MIN(F86,(Reprogramaciones!$T$15+7*(Reprogramaciones!P$14-1))+6),11))=0,0,MAX(0,NETWORKDAYS.INTL(MAX(E86,(Reprogramaciones!$T$15+7*(Reprogramaciones!P$14-1))),MIN(F86,Reprogramaciones!P$13),11))/MAX(0,NETWORKDAYS.INTL(MAX(E86,(Reprogramaciones!$T$15+7*(Reprogramaciones!P$14-1))),MIN(F86,(Reprogramaciones!$T$15+7*(Reprogramaciones!P$14-1))+6),11))))))))</f>
        <v/>
      </c>
      <c r="BZ86" s="1" t="str">
        <f aca="false">IF(OR(NOT(AND(ISNUMBER(E86),ISNUMBER(F86))),$J$2=""),"",IF(Reprogramaciones!Q$13&lt;Reprogramaciones!$T$15,0,IF(Reprogramaciones!Q$14&gt;10,MIN(100,SUM($G86:$P86)),MIN(100,SUMPRODUCT((COLUMN($G86:$P86)-COLUMN($G86)+1&lt;Reprogramaciones!Q$14)*$G86:$P86)+N(INDEX($G86:$P86,1,Reprogramaciones!Q$14))*IF(Reprogramaciones!Q$13&gt;=(Reprogramaciones!$T$15+7*(Reprogramaciones!Q$14-1))+6,1,IF(MAX(0,NETWORKDAYS.INTL(MAX(E86,(Reprogramaciones!$T$15+7*(Reprogramaciones!Q$14-1))),MIN(F86,(Reprogramaciones!$T$15+7*(Reprogramaciones!Q$14-1))+6),11))=0,0,MAX(0,NETWORKDAYS.INTL(MAX(E86,(Reprogramaciones!$T$15+7*(Reprogramaciones!Q$14-1))),MIN(F86,Reprogramaciones!Q$13),11))/MAX(0,NETWORKDAYS.INTL(MAX(E86,(Reprogramaciones!$T$15+7*(Reprogramaciones!Q$14-1))),MIN(F86,(Reprogramaciones!$T$15+7*(Reprogramaciones!Q$14-1))+6),11))))))))</f>
        <v/>
      </c>
      <c r="CA86" s="1" t="str">
        <f aca="false">IF(OR(NOT(AND(ISNUMBER(E86),ISNUMBER(F86))),$J$2=""),"",IF(Reprogramaciones!R$13&lt;Reprogramaciones!$T$15,0,IF(Reprogramaciones!R$14&gt;10,MIN(100,SUM($G86:$P86)),MIN(100,SUMPRODUCT((COLUMN($G86:$P86)-COLUMN($G86)+1&lt;Reprogramaciones!R$14)*$G86:$P86)+N(INDEX($G86:$P86,1,Reprogramaciones!R$14))*IF(Reprogramaciones!R$13&gt;=(Reprogramaciones!$T$15+7*(Reprogramaciones!R$14-1))+6,1,IF(MAX(0,NETWORKDAYS.INTL(MAX(E86,(Reprogramaciones!$T$15+7*(Reprogramaciones!R$14-1))),MIN(F86,(Reprogramaciones!$T$15+7*(Reprogramaciones!R$14-1))+6),11))=0,0,MAX(0,NETWORKDAYS.INTL(MAX(E86,(Reprogramaciones!$T$15+7*(Reprogramaciones!R$14-1))),MIN(F86,Reprogramaciones!R$13),11))/MAX(0,NETWORKDAYS.INTL(MAX(E86,(Reprogramaciones!$T$15+7*(Reprogramaciones!R$14-1))),MIN(F86,(Reprogramaciones!$T$15+7*(Reprogramaciones!R$14-1))+6),11))))))))</f>
        <v/>
      </c>
      <c r="CB86" s="1" t="str">
        <f aca="false">IF(OR(NOT(AND(ISNUMBER(E86),ISNUMBER(F86))),$J$2=""),"",IF(Reprogramaciones!S$13&lt;Reprogramaciones!$T$15,0,IF(Reprogramaciones!S$14&gt;10,MIN(100,SUM($G86:$P86)),MIN(100,SUMPRODUCT((COLUMN($G86:$P86)-COLUMN($G86)+1&lt;Reprogramaciones!S$14)*$G86:$P86)+N(INDEX($G86:$P86,1,Reprogramaciones!S$14))*IF(Reprogramaciones!S$13&gt;=(Reprogramaciones!$T$15+7*(Reprogramaciones!S$14-1))+6,1,IF(MAX(0,NETWORKDAYS.INTL(MAX(E86,(Reprogramaciones!$T$15+7*(Reprogramaciones!S$14-1))),MIN(F86,(Reprogramaciones!$T$15+7*(Reprogramaciones!S$14-1))+6),11))=0,0,MAX(0,NETWORKDAYS.INTL(MAX(E86,(Reprogramaciones!$T$15+7*(Reprogramaciones!S$14-1))),MIN(F86,Reprogramaciones!S$13),11))/MAX(0,NETWORKDAYS.INTL(MAX(E86,(Reprogramaciones!$T$15+7*(Reprogramaciones!S$14-1))),MIN(F86,(Reprogramaciones!$T$15+7*(Reprogramaciones!S$14-1))+6),11))))))))</f>
        <v/>
      </c>
      <c r="CC86" s="1" t="str">
        <f aca="false">IF(OR(NOT(AND(ISNUMBER(E86),ISNUMBER(F86))),$J$2=""),"",IF(Reprogramaciones!T$13&lt;Reprogramaciones!$T$15,0,IF(Reprogramaciones!T$14&gt;10,MIN(100,SUM($G86:$P86)),MIN(100,SUMPRODUCT((COLUMN($G86:$P86)-COLUMN($G86)+1&lt;Reprogramaciones!T$14)*$G86:$P86)+N(INDEX($G86:$P86,1,Reprogramaciones!T$14))*IF(Reprogramaciones!T$13&gt;=(Reprogramaciones!$T$15+7*(Reprogramaciones!T$14-1))+6,1,IF(MAX(0,NETWORKDAYS.INTL(MAX(E86,(Reprogramaciones!$T$15+7*(Reprogramaciones!T$14-1))),MIN(F86,(Reprogramaciones!$T$15+7*(Reprogramaciones!T$14-1))+6),11))=0,0,MAX(0,NETWORKDAYS.INTL(MAX(E86,(Reprogramaciones!$T$15+7*(Reprogramaciones!T$14-1))),MIN(F86,Reprogramaciones!T$13),11))/MAX(0,NETWORKDAYS.INTL(MAX(E86,(Reprogramaciones!$T$15+7*(Reprogramaciones!T$14-1))),MIN(F86,(Reprogramaciones!$T$15+7*(Reprogramaciones!T$14-1))+6),11))))))))</f>
        <v/>
      </c>
      <c r="CD86" s="1" t="str">
        <f aca="false">IF(OR(NOT(AND(ISNUMBER(E86),ISNUMBER(F86))),$J$2=""),"",IF(Reprogramaciones!U$13&lt;Reprogramaciones!$T$15,0,IF(Reprogramaciones!U$14&gt;10,MIN(100,SUM($G86:$P86)),MIN(100,SUMPRODUCT((COLUMN($G86:$P86)-COLUMN($G86)+1&lt;Reprogramaciones!U$14)*$G86:$P86)+N(INDEX($G86:$P86,1,Reprogramaciones!U$14))*IF(Reprogramaciones!U$13&gt;=(Reprogramaciones!$T$15+7*(Reprogramaciones!U$14-1))+6,1,IF(MAX(0,NETWORKDAYS.INTL(MAX(E86,(Reprogramaciones!$T$15+7*(Reprogramaciones!U$14-1))),MIN(F86,(Reprogramaciones!$T$15+7*(Reprogramaciones!U$14-1))+6),11))=0,0,MAX(0,NETWORKDAYS.INTL(MAX(E86,(Reprogramaciones!$T$15+7*(Reprogramaciones!U$14-1))),MIN(F86,Reprogramaciones!U$13),11))/MAX(0,NETWORKDAYS.INTL(MAX(E86,(Reprogramaciones!$T$15+7*(Reprogramaciones!U$14-1))),MIN(F86,(Reprogramaciones!$T$15+7*(Reprogramaciones!U$14-1))+6),11))))))))</f>
        <v/>
      </c>
      <c r="CE86" s="1" t="str">
        <f aca="false">IF(OR(NOT(AND(ISNUMBER(E86),ISNUMBER(F86))),$J$2=""),"",IF(Reprogramaciones!V$13&lt;Reprogramaciones!$T$15,0,IF(Reprogramaciones!V$14&gt;10,MIN(100,SUM($G86:$P86)),MIN(100,SUMPRODUCT((COLUMN($G86:$P86)-COLUMN($G86)+1&lt;Reprogramaciones!V$14)*$G86:$P86)+N(INDEX($G86:$P86,1,Reprogramaciones!V$14))*IF(Reprogramaciones!V$13&gt;=(Reprogramaciones!$T$15+7*(Reprogramaciones!V$14-1))+6,1,IF(MAX(0,NETWORKDAYS.INTL(MAX(E86,(Reprogramaciones!$T$15+7*(Reprogramaciones!V$14-1))),MIN(F86,(Reprogramaciones!$T$15+7*(Reprogramaciones!V$14-1))+6),11))=0,0,MAX(0,NETWORKDAYS.INTL(MAX(E86,(Reprogramaciones!$T$15+7*(Reprogramaciones!V$14-1))),MIN(F86,Reprogramaciones!V$13),11))/MAX(0,NETWORKDAYS.INTL(MAX(E86,(Reprogramaciones!$T$15+7*(Reprogramaciones!V$14-1))),MIN(F86,(Reprogramaciones!$T$15+7*(Reprogramaciones!V$14-1))+6),11))))))))</f>
        <v/>
      </c>
      <c r="CF86" s="1" t="str">
        <f aca="false">IF(OR(NOT(AND(ISNUMBER(E86),ISNUMBER(F86))),$J$2=""),"",IF(Reprogramaciones!W$13&lt;Reprogramaciones!$T$15,0,IF(Reprogramaciones!W$14&gt;10,MIN(100,SUM($G86:$P86)),MIN(100,SUMPRODUCT((COLUMN($G86:$P86)-COLUMN($G86)+1&lt;Reprogramaciones!W$14)*$G86:$P86)+N(INDEX($G86:$P86,1,Reprogramaciones!W$14))*IF(Reprogramaciones!W$13&gt;=(Reprogramaciones!$T$15+7*(Reprogramaciones!W$14-1))+6,1,IF(MAX(0,NETWORKDAYS.INTL(MAX(E86,(Reprogramaciones!$T$15+7*(Reprogramaciones!W$14-1))),MIN(F86,(Reprogramaciones!$T$15+7*(Reprogramaciones!W$14-1))+6),11))=0,0,MAX(0,NETWORKDAYS.INTL(MAX(E86,(Reprogramaciones!$T$15+7*(Reprogramaciones!W$14-1))),MIN(F86,Reprogramaciones!W$13),11))/MAX(0,NETWORKDAYS.INTL(MAX(E86,(Reprogramaciones!$T$15+7*(Reprogramaciones!W$14-1))),MIN(F86,(Reprogramaciones!$T$15+7*(Reprogramaciones!W$14-1))+6),11))))))))</f>
        <v/>
      </c>
      <c r="CG86" s="1" t="str">
        <f aca="false">IF(OR(NOT(AND(ISNUMBER(E86),ISNUMBER(F86))),$J$2=""),"",IF(Reprogramaciones!X$13&lt;Reprogramaciones!$T$15,0,IF(Reprogramaciones!X$14&gt;10,MIN(100,SUM($G86:$P86)),MIN(100,SUMPRODUCT((COLUMN($G86:$P86)-COLUMN($G86)+1&lt;Reprogramaciones!X$14)*$G86:$P86)+N(INDEX($G86:$P86,1,Reprogramaciones!X$14))*IF(Reprogramaciones!X$13&gt;=(Reprogramaciones!$T$15+7*(Reprogramaciones!X$14-1))+6,1,IF(MAX(0,NETWORKDAYS.INTL(MAX(E86,(Reprogramaciones!$T$15+7*(Reprogramaciones!X$14-1))),MIN(F86,(Reprogramaciones!$T$15+7*(Reprogramaciones!X$14-1))+6),11))=0,0,MAX(0,NETWORKDAYS.INTL(MAX(E86,(Reprogramaciones!$T$15+7*(Reprogramaciones!X$14-1))),MIN(F86,Reprogramaciones!X$13),11))/MAX(0,NETWORKDAYS.INTL(MAX(E86,(Reprogramaciones!$T$15+7*(Reprogramaciones!X$14-1))),MIN(F86,(Reprogramaciones!$T$15+7*(Reprogramaciones!X$14-1))+6),11))))))))</f>
        <v/>
      </c>
      <c r="CH86" s="1" t="str">
        <f aca="false">IF(OR(NOT(AND(ISNUMBER(E86),ISNUMBER(F86))),$J$2=""),"",IF(Reprogramaciones!Y$13&lt;Reprogramaciones!$T$15,0,IF(Reprogramaciones!Y$14&gt;10,MIN(100,SUM($G86:$P86)),MIN(100,SUMPRODUCT((COLUMN($G86:$P86)-COLUMN($G86)+1&lt;Reprogramaciones!Y$14)*$G86:$P86)+N(INDEX($G86:$P86,1,Reprogramaciones!Y$14))*IF(Reprogramaciones!Y$13&gt;=(Reprogramaciones!$T$15+7*(Reprogramaciones!Y$14-1))+6,1,IF(MAX(0,NETWORKDAYS.INTL(MAX(E86,(Reprogramaciones!$T$15+7*(Reprogramaciones!Y$14-1))),MIN(F86,(Reprogramaciones!$T$15+7*(Reprogramaciones!Y$14-1))+6),11))=0,0,MAX(0,NETWORKDAYS.INTL(MAX(E86,(Reprogramaciones!$T$15+7*(Reprogramaciones!Y$14-1))),MIN(F86,Reprogramaciones!Y$13),11))/MAX(0,NETWORKDAYS.INTL(MAX(E86,(Reprogramaciones!$T$15+7*(Reprogramaciones!Y$14-1))),MIN(F86,(Reprogramaciones!$T$15+7*(Reprogramaciones!Y$14-1))+6),11))))))))</f>
        <v/>
      </c>
      <c r="CI86" s="1" t="str">
        <f aca="false">IF(OR(NOT(AND(ISNUMBER(E86),ISNUMBER(F86))),$J$2=""),"",IF(Reprogramaciones!Z$13&lt;Reprogramaciones!$T$15,0,IF(Reprogramaciones!Z$14&gt;10,MIN(100,SUM($G86:$P86)),MIN(100,SUMPRODUCT((COLUMN($G86:$P86)-COLUMN($G86)+1&lt;Reprogramaciones!Z$14)*$G86:$P86)+N(INDEX($G86:$P86,1,Reprogramaciones!Z$14))*IF(Reprogramaciones!Z$13&gt;=(Reprogramaciones!$T$15+7*(Reprogramaciones!Z$14-1))+6,1,IF(MAX(0,NETWORKDAYS.INTL(MAX(E86,(Reprogramaciones!$T$15+7*(Reprogramaciones!Z$14-1))),MIN(F86,(Reprogramaciones!$T$15+7*(Reprogramaciones!Z$14-1))+6),11))=0,0,MAX(0,NETWORKDAYS.INTL(MAX(E86,(Reprogramaciones!$T$15+7*(Reprogramaciones!Z$14-1))),MIN(F86,Reprogramaciones!Z$13),11))/MAX(0,NETWORKDAYS.INTL(MAX(E86,(Reprogramaciones!$T$15+7*(Reprogramaciones!Z$14-1))),MIN(F86,(Reprogramaciones!$T$15+7*(Reprogramaciones!Z$14-1))+6),11))))))))</f>
        <v/>
      </c>
      <c r="CJ86" s="1" t="str">
        <f aca="false">IF(OR(OR(NOT(AND(ISNUMBER(E86),ISNUMBER(F86))),$J$2=""),1&gt;Reprogramaciones!$K$16),"",IF(ROUND(SUM($Q86:Q86),1)&gt;=99.5,100,MIN(100,ROUND(SUM($Q86:Q86),1))))</f>
        <v/>
      </c>
      <c r="CK86" s="1" t="str">
        <f aca="false">IF(OR(OR(NOT(AND(ISNUMBER(E86),ISNUMBER(F86))),$J$2=""),2&gt;Reprogramaciones!$K$16),"",IF(ROUND(SUM($Q86:R86),1)&gt;=99.5,100,MIN(100,ROUND(SUM($Q86:R86),1))))</f>
        <v/>
      </c>
      <c r="CL86" s="1" t="str">
        <f aca="false">IF(OR(OR(NOT(AND(ISNUMBER(E86),ISNUMBER(F86))),$J$2=""),3&gt;Reprogramaciones!$K$16),"",IF(ROUND(SUM($Q86:S86),1)&gt;=99.5,100,MIN(100,ROUND(SUM($Q86:S86),1))))</f>
        <v/>
      </c>
      <c r="CM86" s="1" t="str">
        <f aca="false">IF(OR(OR(NOT(AND(ISNUMBER(E86),ISNUMBER(F86))),$J$2=""),4&gt;Reprogramaciones!$K$16),"",IF(ROUND(SUM($Q86:T86),1)&gt;=99.5,100,MIN(100,ROUND(SUM($Q86:T86),1))))</f>
        <v/>
      </c>
      <c r="CN86" s="1" t="str">
        <f aca="false">IF(OR(OR(NOT(AND(ISNUMBER(E86),ISNUMBER(F86))),$J$2=""),5&gt;Reprogramaciones!$K$16),"",IF(ROUND(SUM($Q86:U86),1)&gt;=99.5,100,MIN(100,ROUND(SUM($Q86:U86),1))))</f>
        <v/>
      </c>
      <c r="CO86" s="1" t="str">
        <f aca="false">IF(OR(OR(NOT(AND(ISNUMBER(E86),ISNUMBER(F86))),$J$2=""),6&gt;Reprogramaciones!$K$16),"",IF(ROUND(SUM($Q86:V86),1)&gt;=99.5,100,MIN(100,ROUND(SUM($Q86:V86),1))))</f>
        <v/>
      </c>
      <c r="CP86" s="1" t="str">
        <f aca="false">IF(OR(OR(NOT(AND(ISNUMBER(E86),ISNUMBER(F86))),$J$2=""),7&gt;Reprogramaciones!$K$16),"",IF(ROUND(SUM($Q86:W86),1)&gt;=99.5,100,MIN(100,ROUND(SUM($Q86:W86),1))))</f>
        <v/>
      </c>
      <c r="CQ86" s="1" t="str">
        <f aca="false">IF(OR(OR(NOT(AND(ISNUMBER(E86),ISNUMBER(F86))),$J$2=""),8&gt;Reprogramaciones!$K$16),"",IF(ROUND(SUM($Q86:X86),1)&gt;=99.5,100,MIN(100,ROUND(SUM($Q86:X86),1))))</f>
        <v/>
      </c>
      <c r="CR86" s="1" t="str">
        <f aca="false">IF(OR(OR(NOT(AND(ISNUMBER(E86),ISNUMBER(F86))),$J$2=""),9&gt;Reprogramaciones!$K$16),"",IF(ROUND(SUM($Q86:Y86),1)&gt;=99.5,100,MIN(100,ROUND(SUM($Q86:Y86),1))))</f>
        <v/>
      </c>
      <c r="CS86" s="1" t="str">
        <f aca="false">IF(OR(OR(NOT(AND(ISNUMBER(E86),ISNUMBER(F86))),$J$2=""),10&gt;Reprogramaciones!$K$16),"",IF(ROUND(SUM($Q86:Z86),1)&gt;=99.5,100,MIN(100,ROUND(SUM($Q86:Z86),1))))</f>
        <v/>
      </c>
      <c r="CT86" s="1" t="str">
        <f aca="false">IF(OR(OR(NOT(AND(ISNUMBER(E86),ISNUMBER(F86))),$J$2=""),11&gt;Reprogramaciones!$K$16),"",IF(ROUND(SUM($Q86:AA86),1)&gt;=99.5,100,MIN(100,ROUND(SUM($Q86:AA86),1))))</f>
        <v/>
      </c>
      <c r="CU86" s="1" t="str">
        <f aca="false">IF(OR(OR(NOT(AND(ISNUMBER(E86),ISNUMBER(F86))),$J$2=""),12&gt;Reprogramaciones!$K$16),"",IF(ROUND(SUM($Q86:AB86),1)&gt;=99.5,100,MIN(100,ROUND(SUM($Q86:AB86),1))))</f>
        <v/>
      </c>
      <c r="CV86" s="1" t="str">
        <f aca="false">IF(OR(OR(NOT(AND(ISNUMBER(E86),ISNUMBER(F86))),$J$2=""),13&gt;Reprogramaciones!$K$16),"",IF(ROUND(SUM($Q86:AC86),1)&gt;=99.5,100,MIN(100,ROUND(SUM($Q86:AC86),1))))</f>
        <v/>
      </c>
      <c r="CW86" s="1" t="str">
        <f aca="false">IF(OR(OR(NOT(AND(ISNUMBER(E86),ISNUMBER(F86))),$J$2=""),14&gt;Reprogramaciones!$K$16),"",IF(ROUND(SUM($Q86:AD86),1)&gt;=99.5,100,MIN(100,ROUND(SUM($Q86:AD86),1))))</f>
        <v/>
      </c>
      <c r="CX86" s="1" t="str">
        <f aca="false">IF(OR(OR(NOT(AND(ISNUMBER(E86),ISNUMBER(F86))),$J$2=""),15&gt;Reprogramaciones!$K$16),"",IF(ROUND(SUM($Q86:AE86),1)&gt;=99.5,100,MIN(100,ROUND(SUM($Q86:AE86),1))))</f>
        <v/>
      </c>
      <c r="CY86" s="1" t="str">
        <f aca="false">IF(OR(OR(NOT(AND(ISNUMBER(E86),ISNUMBER(F86))),$J$2=""),16&gt;Reprogramaciones!$K$16),"",IF(ROUND(SUM($Q86:AF86),1)&gt;=99.5,100,MIN(100,ROUND(SUM($Q86:AF86),1))))</f>
        <v/>
      </c>
      <c r="CZ86" s="1" t="str">
        <f aca="false">IF(D86&lt;&gt;"",D86,IF(B86&lt;&gt;"","Contractual",CZ85))</f>
        <v>Contractual</v>
      </c>
      <c r="DA86" s="1" t="str">
        <f aca="false">IF(OR(NOT(AND(ISNUMBER(E86),ISNUMBER(F86))),$J$2=""),"",IF(Reprogramaciones!$Q$15&lt;Reprogramaciones!$T$15,0,IF(Reprogramaciones!$S$15&gt;10,MIN(100,SUM($G86:$P86)),MIN(100,SUMPRODUCT((COLUMN($G86:$P86)-COLUMN($G86)+1&lt;Reprogramaciones!$S$15)*$G86:$P86)+N(INDEX($G86:$P86,1,Reprogramaciones!$S$15))*IF(Reprogramaciones!$Q$15&gt;=(Reprogramaciones!$T$15+7*(Reprogramaciones!$S$15-1))+6,1,IF(MAX(0,NETWORKDAYS.INTL(MAX(E86,(Reprogramaciones!$T$15+7*(Reprogramaciones!$S$15-1))),MIN(F86,(Reprogramaciones!$T$15+7*(Reprogramaciones!$S$15-1))+6),11))=0,0,MAX(0,NETWORKDAYS.INTL(MAX(E86,(Reprogramaciones!$T$15+7*(Reprogramaciones!$S$15-1))),MIN(F86,Reprogramaciones!$Q$15),11))/MAX(0,NETWORKDAYS.INTL(MAX(E86,(Reprogramaciones!$T$15+7*(Reprogramaciones!$S$15-1))),MIN(F86,(Reprogramaciones!$T$15+7*(Reprogramaciones!$S$15-1))+6),11))))))))</f>
        <v/>
      </c>
    </row>
    <row r="87" customFormat="false" ht="15" hidden="false" customHeight="false" outlineLevel="0" collapsed="false">
      <c r="A87" s="32"/>
      <c r="B87" s="33"/>
      <c r="C87" s="33"/>
      <c r="D87" s="34"/>
      <c r="E87" s="35"/>
      <c r="F87" s="35"/>
      <c r="G87" s="36" t="str">
        <f aca="false">IF(OR(NOT(AND(ISNUMBER(E87),ISNUMBER(F87))),$J$2=""),"",IF(Reprogramaciones!K$9&lt;E87,0,IF(NETWORKDAYS.INTL(E87,F87,11)=0,IF(Reprogramaciones!K$9&gt;=F87,100,0),ROUND(NETWORKDAYS.INTL(E87,MIN(F87,Reprogramaciones!K$9),11)/NETWORKDAYS.INTL(E87,F87,11)*100,1)))-0)</f>
        <v/>
      </c>
      <c r="H87" s="36" t="str">
        <f aca="false">IF(OR(NOT(AND(ISNUMBER(E87),ISNUMBER(F87))),$J$2=""),"",IF(Reprogramaciones!L$9&lt;E87,0,IF(NETWORKDAYS.INTL(E87,F87,11)=0,IF(Reprogramaciones!L$9&gt;=F87,100,0),ROUND(NETWORKDAYS.INTL(E87,MIN(F87,Reprogramaciones!L$9),11)/NETWORKDAYS.INTL(E87,F87,11)*100,1)))-IF(Reprogramaciones!K$9&lt;E87,0,IF(NETWORKDAYS.INTL(E87,F87,11)=0,IF(Reprogramaciones!K$9&gt;=F87,100,0),ROUND(NETWORKDAYS.INTL(E87,MIN(F87,Reprogramaciones!K$9),11)/NETWORKDAYS.INTL(E87,F87,11)*100,1))))</f>
        <v/>
      </c>
      <c r="I87" s="36" t="str">
        <f aca="false">IF(OR(NOT(AND(ISNUMBER(E87),ISNUMBER(F87))),$J$2=""),"",IF(Reprogramaciones!M$9&lt;E87,0,IF(NETWORKDAYS.INTL(E87,F87,11)=0,IF(Reprogramaciones!M$9&gt;=F87,100,0),ROUND(NETWORKDAYS.INTL(E87,MIN(F87,Reprogramaciones!M$9),11)/NETWORKDAYS.INTL(E87,F87,11)*100,1)))-IF(Reprogramaciones!L$9&lt;E87,0,IF(NETWORKDAYS.INTL(E87,F87,11)=0,IF(Reprogramaciones!L$9&gt;=F87,100,0),ROUND(NETWORKDAYS.INTL(E87,MIN(F87,Reprogramaciones!L$9),11)/NETWORKDAYS.INTL(E87,F87,11)*100,1))))</f>
        <v/>
      </c>
      <c r="J87" s="36" t="str">
        <f aca="false">IF(OR(NOT(AND(ISNUMBER(E87),ISNUMBER(F87))),$J$2=""),"",IF(Reprogramaciones!N$9&lt;E87,0,IF(NETWORKDAYS.INTL(E87,F87,11)=0,IF(Reprogramaciones!N$9&gt;=F87,100,0),ROUND(NETWORKDAYS.INTL(E87,MIN(F87,Reprogramaciones!N$9),11)/NETWORKDAYS.INTL(E87,F87,11)*100,1)))-IF(Reprogramaciones!M$9&lt;E87,0,IF(NETWORKDAYS.INTL(E87,F87,11)=0,IF(Reprogramaciones!M$9&gt;=F87,100,0),ROUND(NETWORKDAYS.INTL(E87,MIN(F87,Reprogramaciones!M$9),11)/NETWORKDAYS.INTL(E87,F87,11)*100,1))))</f>
        <v/>
      </c>
      <c r="K87" s="36" t="str">
        <f aca="false">IF(OR(NOT(AND(ISNUMBER(E87),ISNUMBER(F87))),$J$2=""),"",IF(Reprogramaciones!O$9&lt;E87,0,IF(NETWORKDAYS.INTL(E87,F87,11)=0,IF(Reprogramaciones!O$9&gt;=F87,100,0),ROUND(NETWORKDAYS.INTL(E87,MIN(F87,Reprogramaciones!O$9),11)/NETWORKDAYS.INTL(E87,F87,11)*100,1)))-IF(Reprogramaciones!N$9&lt;E87,0,IF(NETWORKDAYS.INTL(E87,F87,11)=0,IF(Reprogramaciones!N$9&gt;=F87,100,0),ROUND(NETWORKDAYS.INTL(E87,MIN(F87,Reprogramaciones!N$9),11)/NETWORKDAYS.INTL(E87,F87,11)*100,1))))</f>
        <v/>
      </c>
      <c r="L87" s="36" t="str">
        <f aca="false">IF(OR(NOT(AND(ISNUMBER(E87),ISNUMBER(F87))),$J$2=""),"",IF(Reprogramaciones!P$9&lt;E87,0,IF(NETWORKDAYS.INTL(E87,F87,11)=0,IF(Reprogramaciones!P$9&gt;=F87,100,0),ROUND(NETWORKDAYS.INTL(E87,MIN(F87,Reprogramaciones!P$9),11)/NETWORKDAYS.INTL(E87,F87,11)*100,1)))-IF(Reprogramaciones!O$9&lt;E87,0,IF(NETWORKDAYS.INTL(E87,F87,11)=0,IF(Reprogramaciones!O$9&gt;=F87,100,0),ROUND(NETWORKDAYS.INTL(E87,MIN(F87,Reprogramaciones!O$9),11)/NETWORKDAYS.INTL(E87,F87,11)*100,1))))</f>
        <v/>
      </c>
      <c r="M87" s="36" t="str">
        <f aca="false">IF(OR(NOT(AND(ISNUMBER(E87),ISNUMBER(F87))),$J$2=""),"",IF(Reprogramaciones!Q$9&lt;E87,0,IF(NETWORKDAYS.INTL(E87,F87,11)=0,IF(Reprogramaciones!Q$9&gt;=F87,100,0),ROUND(NETWORKDAYS.INTL(E87,MIN(F87,Reprogramaciones!Q$9),11)/NETWORKDAYS.INTL(E87,F87,11)*100,1)))-IF(Reprogramaciones!P$9&lt;E87,0,IF(NETWORKDAYS.INTL(E87,F87,11)=0,IF(Reprogramaciones!P$9&gt;=F87,100,0),ROUND(NETWORKDAYS.INTL(E87,MIN(F87,Reprogramaciones!P$9),11)/NETWORKDAYS.INTL(E87,F87,11)*100,1))))</f>
        <v/>
      </c>
      <c r="N87" s="36" t="str">
        <f aca="false">IF(OR(NOT(AND(ISNUMBER(E87),ISNUMBER(F87))),$J$2=""),"",IF(Reprogramaciones!R$9&lt;E87,0,IF(NETWORKDAYS.INTL(E87,F87,11)=0,IF(Reprogramaciones!R$9&gt;=F87,100,0),ROUND(NETWORKDAYS.INTL(E87,MIN(F87,Reprogramaciones!R$9),11)/NETWORKDAYS.INTL(E87,F87,11)*100,1)))-IF(Reprogramaciones!Q$9&lt;E87,0,IF(NETWORKDAYS.INTL(E87,F87,11)=0,IF(Reprogramaciones!Q$9&gt;=F87,100,0),ROUND(NETWORKDAYS.INTL(E87,MIN(F87,Reprogramaciones!Q$9),11)/NETWORKDAYS.INTL(E87,F87,11)*100,1))))</f>
        <v/>
      </c>
      <c r="O87" s="36" t="str">
        <f aca="false">IF(OR(NOT(AND(ISNUMBER(E87),ISNUMBER(F87))),$J$2=""),"",IF(Reprogramaciones!S$9&lt;E87,0,IF(NETWORKDAYS.INTL(E87,F87,11)=0,IF(Reprogramaciones!S$9&gt;=F87,100,0),ROUND(NETWORKDAYS.INTL(E87,MIN(F87,Reprogramaciones!S$9),11)/NETWORKDAYS.INTL(E87,F87,11)*100,1)))-IF(Reprogramaciones!R$9&lt;E87,0,IF(NETWORKDAYS.INTL(E87,F87,11)=0,IF(Reprogramaciones!R$9&gt;=F87,100,0),ROUND(NETWORKDAYS.INTL(E87,MIN(F87,Reprogramaciones!R$9),11)/NETWORKDAYS.INTL(E87,F87,11)*100,1))))</f>
        <v/>
      </c>
      <c r="P87" s="36" t="str">
        <f aca="false">IF(OR(NOT(AND(ISNUMBER(E87),ISNUMBER(F87))),$J$2=""),"",IF(Reprogramaciones!T$9&lt;E87,0,IF(NETWORKDAYS.INTL(E87,F87,11)=0,IF(Reprogramaciones!T$9&gt;=F87,100,0),ROUND(NETWORKDAYS.INTL(E87,MIN(F87,Reprogramaciones!T$9),11)/NETWORKDAYS.INTL(E87,F87,11)*100,1)))-IF(Reprogramaciones!S$9&lt;E87,0,IF(NETWORKDAYS.INTL(E87,F87,11)=0,IF(Reprogramaciones!S$9&gt;=F87,100,0),ROUND(NETWORKDAYS.INTL(E87,MIN(F87,Reprogramaciones!S$9),11)/NETWORKDAYS.INTL(E87,F87,11)*100,1))))</f>
        <v/>
      </c>
      <c r="Q87" s="37"/>
      <c r="R87" s="37"/>
      <c r="S87" s="37"/>
      <c r="T87" s="37"/>
      <c r="U87" s="37"/>
      <c r="V87" s="37"/>
      <c r="W87" s="37"/>
      <c r="X87" s="37"/>
      <c r="Y87" s="37"/>
      <c r="Z87" s="37"/>
      <c r="AA87" s="37"/>
      <c r="AB87" s="37"/>
      <c r="AC87" s="37"/>
      <c r="AD87" s="37"/>
      <c r="AE87" s="37"/>
      <c r="AF87" s="37"/>
      <c r="AG87" s="38" t="str">
        <f aca="false">IF(AND(ISNUMBER(E87),ISNUMBER(F87)),NETWORKDAYS.INTL(E87,F87,11),"")</f>
        <v/>
      </c>
      <c r="AH87" s="38" t="str">
        <f aca="false">IF(OR(NOT(AND(ISNUMBER(E87),ISNUMBER(F87))),$J$2=""),"",IF(Reprogramaciones!$P$15&lt;Reprogramaciones!$T$15,0,IF(Reprogramaciones!$R$15&gt;10,MIN(100,SUM($G87:$P87)),MIN(100,SUMPRODUCT((COLUMN($G87:$P87)-COLUMN($G87)+1&lt;Reprogramaciones!$R$15)*$G87:$P87)+N(INDEX($G87:$P87,1,Reprogramaciones!$R$15))*IF(Reprogramaciones!$P$15&gt;=(Reprogramaciones!$T$15+7*(Reprogramaciones!$R$15-1))+6,1,IF(MAX(0,NETWORKDAYS.INTL(MAX(E87,(Reprogramaciones!$T$15+7*(Reprogramaciones!$R$15-1))),MIN(F87,(Reprogramaciones!$T$15+7*(Reprogramaciones!$R$15-1))+6),11))=0,0,MAX(0,NETWORKDAYS.INTL(MAX(E87,(Reprogramaciones!$T$15+7*(Reprogramaciones!$R$15-1))),MIN(F87,Reprogramaciones!$P$15),11))/MAX(0,NETWORKDAYS.INTL(MAX(E87,(Reprogramaciones!$T$15+7*(Reprogramaciones!$R$15-1))),MIN(F87,(Reprogramaciones!$T$15+7*(Reprogramaciones!$R$15-1))+6),11))))))))</f>
        <v/>
      </c>
      <c r="AI87" s="38" t="str">
        <f aca="false">IF(COUNT($Q87:$AF87)=0,"",IF(ROUND(SUM($Q87:$AF87),1)&gt;=99.5,100,MIN(100,ROUND(SUM($Q87:$AF87),1))))</f>
        <v/>
      </c>
      <c r="AJ87" s="38" t="str">
        <f aca="false">IF(OR(AH87="",AI87=""),"",AI87-AH87)</f>
        <v/>
      </c>
      <c r="AK87" s="39" t="str">
        <f aca="true">IF(AH87="","",IF(OR(Ficha!$C$10="Suspendida",Ficha!$C$10="Cancelada"),Ficha!$C$10,IF(AND(AI87&lt;&gt;"",N(AI87)&gt;=100),"Completada",IF(AND(E87&gt;TODAY(),N(AI87)=0),"Por iniciar",IF(N(AI87)+0.5&lt;AH87,"Retrasada",IF(N(AI87)+0.5&lt;DA87,IF(Reprogramaciones!$K$15&gt;0,"Al día · Sem "&amp;Reprogramaciones!$K$15&amp;" en curso","Al día · en curso"),"A tiempo"))))))</f>
        <v/>
      </c>
      <c r="AL87" s="39" t="str">
        <f aca="true">IF(AND(A87="",AND(B87="",C87="",E87="",F87="",COUNT(Q87:AF87)=0)),"",IF(AND(B87="",C87="",E87="",F87="",COUNT(Q87:AF87)=0),"Falta la partida o subpartida",IF(AND(A87&lt;&gt;"",COUNTIF($A$6:$A$305,A87)&gt;1),"Ítem repetido",IF(AND(C87="",E87="",F87="",COUNT(Q87:AF87)=0),"Título de partida",IF(OR(E87="",F87=""),"Faltan fechas",IF(OR(ISTEXT(E87),ISTEXT(F87)),"Fecha escrita como texto: usa dd/mm/aaaa",IF(F87&lt;E87,"Fin antes del inicio",IF(IF($J$2="",FALSE(),OR(E87&lt;$J$2,F87&gt;Reprogramaciones!$T$15+69)),"Fuera de las 10 semanas",IF(ABS(SUM(G87:P87)-100)&gt;0.5,"La meta no suma 100%",IF(ROUND(SUM(Q87:AF87),1)&gt;100.5,"El avance pasa de 100%",IF(MIN(Q87:AF87)&lt;0,"Avance negativo",IF(COUNTA(Q87:AF87)&gt;COUNT(Q87:AF87),"Avance escrito como texto",IF(SUMPRODUCT((Q87:AF87&gt;0)*(Q87:AF87&lt;1))&gt;0,"Avance menor a 1: escribe 50, no 50%",IF(SUMPRODUCT(ISNUMBER(Q87:AF87)*(Reprogramaciones!$K$8:$Z$8&gt;TODAY()))&gt;0,"Avance en semana que aún no llega",IF(AND(N(Reprogramaciones!$E$21)&gt;0,F87&gt;Reprogramaciones!$E$21),"Pasa el fin de la obra: registra una reprogramación",IF(AND(N(Reprogramaciones!$E$21)&gt;0,SUMPRODUCT(ISNUMBER(Q87:AF87)*(Reprogramaciones!$K$8:$Z$8&gt;Reprogramaciones!$E$21))&gt;0),"Avance después del fin de la obra: registra una reprogramación por atraso","OK"))))))))))))))))</f>
        <v/>
      </c>
      <c r="AM87" s="40" t="str">
        <f aca="false">IF(OR(OR(NOT(AND(ISNUMBER(E87),ISNUMBER(F87))),$J$2=""),1&gt;MAX(1,Reprogramaciones!$U$15)),"",IF(Reprogramaciones!K$12&gt;=7,"",IF(OR(BT87-N(0)&gt;0.05,N(Q87)&gt;0),ROUNDDOWN(ROUND(BT87,6),0)&amp;"%"&amp;IF(CJ87="",""," / "&amp;CJ87&amp;"%"),IF(AND(N(0)&gt;=99.95,CJ87&lt;&gt;"",N(CJ87)&lt;100),"Pend. "&amp;CJ87&amp;"%",""))))</f>
        <v/>
      </c>
      <c r="AN87" s="40" t="str">
        <f aca="false">IF(OR(OR(NOT(AND(ISNUMBER(E87),ISNUMBER(F87))),$J$2=""),2&gt;MAX(1,Reprogramaciones!$U$15)),"",IF(Reprogramaciones!L$12&gt;=7,"",IF(OR(BU87-N(BT87)&gt;0.05,N(R87)&gt;0),ROUNDDOWN(ROUND(BU87,6),0)&amp;"%"&amp;IF(CK87="",""," / "&amp;CK87&amp;"%"),IF(AND(N(BT87)&gt;=99.95,CK87&lt;&gt;"",N(CK87)&lt;100),"Pend. "&amp;CK87&amp;"%",""))))</f>
        <v/>
      </c>
      <c r="AO87" s="40" t="str">
        <f aca="false">IF(OR(OR(NOT(AND(ISNUMBER(E87),ISNUMBER(F87))),$J$2=""),3&gt;MAX(1,Reprogramaciones!$U$15)),"",IF(Reprogramaciones!M$12&gt;=7,"",IF(OR(BV87-N(BU87)&gt;0.05,N(S87)&gt;0),ROUNDDOWN(ROUND(BV87,6),0)&amp;"%"&amp;IF(CL87="",""," / "&amp;CL87&amp;"%"),IF(AND(N(BU87)&gt;=99.95,CL87&lt;&gt;"",N(CL87)&lt;100),"Pend. "&amp;CL87&amp;"%",""))))</f>
        <v/>
      </c>
      <c r="AP87" s="40" t="str">
        <f aca="false">IF(OR(OR(NOT(AND(ISNUMBER(E87),ISNUMBER(F87))),$J$2=""),4&gt;MAX(1,Reprogramaciones!$U$15)),"",IF(Reprogramaciones!N$12&gt;=7,"",IF(OR(BW87-N(BV87)&gt;0.05,N(T87)&gt;0),ROUNDDOWN(ROUND(BW87,6),0)&amp;"%"&amp;IF(CM87="",""," / "&amp;CM87&amp;"%"),IF(AND(N(BV87)&gt;=99.95,CM87&lt;&gt;"",N(CM87)&lt;100),"Pend. "&amp;CM87&amp;"%",""))))</f>
        <v/>
      </c>
      <c r="AQ87" s="40" t="str">
        <f aca="false">IF(OR(OR(NOT(AND(ISNUMBER(E87),ISNUMBER(F87))),$J$2=""),5&gt;MAX(1,Reprogramaciones!$U$15)),"",IF(Reprogramaciones!O$12&gt;=7,"",IF(OR(BX87-N(BW87)&gt;0.05,N(U87)&gt;0),ROUNDDOWN(ROUND(BX87,6),0)&amp;"%"&amp;IF(CN87="",""," / "&amp;CN87&amp;"%"),IF(AND(N(BW87)&gt;=99.95,CN87&lt;&gt;"",N(CN87)&lt;100),"Pend. "&amp;CN87&amp;"%",""))))</f>
        <v/>
      </c>
      <c r="AR87" s="40" t="str">
        <f aca="false">IF(OR(OR(NOT(AND(ISNUMBER(E87),ISNUMBER(F87))),$J$2=""),6&gt;MAX(1,Reprogramaciones!$U$15)),"",IF(Reprogramaciones!P$12&gt;=7,"",IF(OR(BY87-N(BX87)&gt;0.05,N(V87)&gt;0),ROUNDDOWN(ROUND(BY87,6),0)&amp;"%"&amp;IF(CO87="",""," / "&amp;CO87&amp;"%"),IF(AND(N(BX87)&gt;=99.95,CO87&lt;&gt;"",N(CO87)&lt;100),"Pend. "&amp;CO87&amp;"%",""))))</f>
        <v/>
      </c>
      <c r="AS87" s="40" t="str">
        <f aca="false">IF(OR(OR(NOT(AND(ISNUMBER(E87),ISNUMBER(F87))),$J$2=""),7&gt;MAX(1,Reprogramaciones!$U$15)),"",IF(Reprogramaciones!Q$12&gt;=7,"",IF(OR(BZ87-N(BY87)&gt;0.05,N(W87)&gt;0),ROUNDDOWN(ROUND(BZ87,6),0)&amp;"%"&amp;IF(CP87="",""," / "&amp;CP87&amp;"%"),IF(AND(N(BY87)&gt;=99.95,CP87&lt;&gt;"",N(CP87)&lt;100),"Pend. "&amp;CP87&amp;"%",""))))</f>
        <v/>
      </c>
      <c r="AT87" s="40" t="str">
        <f aca="false">IF(OR(OR(NOT(AND(ISNUMBER(E87),ISNUMBER(F87))),$J$2=""),8&gt;MAX(1,Reprogramaciones!$U$15)),"",IF(Reprogramaciones!R$12&gt;=7,"",IF(OR(CA87-N(BZ87)&gt;0.05,N(X87)&gt;0),ROUNDDOWN(ROUND(CA87,6),0)&amp;"%"&amp;IF(CQ87="",""," / "&amp;CQ87&amp;"%"),IF(AND(N(BZ87)&gt;=99.95,CQ87&lt;&gt;"",N(CQ87)&lt;100),"Pend. "&amp;CQ87&amp;"%",""))))</f>
        <v/>
      </c>
      <c r="AU87" s="40" t="str">
        <f aca="false">IF(OR(OR(NOT(AND(ISNUMBER(E87),ISNUMBER(F87))),$J$2=""),9&gt;MAX(1,Reprogramaciones!$U$15)),"",IF(Reprogramaciones!S$12&gt;=7,"",IF(OR(CB87-N(CA87)&gt;0.05,N(Y87)&gt;0),ROUNDDOWN(ROUND(CB87,6),0)&amp;"%"&amp;IF(CR87="",""," / "&amp;CR87&amp;"%"),IF(AND(N(CA87)&gt;=99.95,CR87&lt;&gt;"",N(CR87)&lt;100),"Pend. "&amp;CR87&amp;"%",""))))</f>
        <v/>
      </c>
      <c r="AV87" s="40" t="str">
        <f aca="false">IF(OR(OR(NOT(AND(ISNUMBER(E87),ISNUMBER(F87))),$J$2=""),10&gt;MAX(1,Reprogramaciones!$U$15)),"",IF(Reprogramaciones!T$12&gt;=7,"",IF(OR(CC87-N(CB87)&gt;0.05,N(Z87)&gt;0),ROUNDDOWN(ROUND(CC87,6),0)&amp;"%"&amp;IF(CS87="",""," / "&amp;CS87&amp;"%"),IF(AND(N(CB87)&gt;=99.95,CS87&lt;&gt;"",N(CS87)&lt;100),"Pend. "&amp;CS87&amp;"%",""))))</f>
        <v/>
      </c>
      <c r="AW87" s="40" t="str">
        <f aca="false">IF(OR(OR(NOT(AND(ISNUMBER(E87),ISNUMBER(F87))),$J$2=""),11&gt;MAX(1,Reprogramaciones!$U$15)),"",IF(Reprogramaciones!U$12&gt;=7,"",IF(OR(CD87-N(CC87)&gt;0.05,N(AA87)&gt;0),ROUNDDOWN(ROUND(CD87,6),0)&amp;"%"&amp;IF(CT87="",""," / "&amp;CT87&amp;"%"),IF(AND(N(CC87)&gt;=99.95,CT87&lt;&gt;"",N(CT87)&lt;100),"Pend. "&amp;CT87&amp;"%",""))))</f>
        <v/>
      </c>
      <c r="AX87" s="40" t="str">
        <f aca="false">IF(OR(OR(NOT(AND(ISNUMBER(E87),ISNUMBER(F87))),$J$2=""),12&gt;MAX(1,Reprogramaciones!$U$15)),"",IF(Reprogramaciones!V$12&gt;=7,"",IF(OR(CE87-N(CD87)&gt;0.05,N(AB87)&gt;0),ROUNDDOWN(ROUND(CE87,6),0)&amp;"%"&amp;IF(CU87="",""," / "&amp;CU87&amp;"%"),IF(AND(N(CD87)&gt;=99.95,CU87&lt;&gt;"",N(CU87)&lt;100),"Pend. "&amp;CU87&amp;"%",""))))</f>
        <v/>
      </c>
      <c r="AY87" s="40" t="str">
        <f aca="false">IF(OR(OR(NOT(AND(ISNUMBER(E87),ISNUMBER(F87))),$J$2=""),13&gt;MAX(1,Reprogramaciones!$U$15)),"",IF(Reprogramaciones!W$12&gt;=7,"",IF(OR(CF87-N(CE87)&gt;0.05,N(AC87)&gt;0),ROUNDDOWN(ROUND(CF87,6),0)&amp;"%"&amp;IF(CV87="",""," / "&amp;CV87&amp;"%"),IF(AND(N(CE87)&gt;=99.95,CV87&lt;&gt;"",N(CV87)&lt;100),"Pend. "&amp;CV87&amp;"%",""))))</f>
        <v/>
      </c>
      <c r="AZ87" s="40" t="str">
        <f aca="false">IF(OR(OR(NOT(AND(ISNUMBER(E87),ISNUMBER(F87))),$J$2=""),14&gt;MAX(1,Reprogramaciones!$U$15)),"",IF(Reprogramaciones!X$12&gt;=7,"",IF(OR(CG87-N(CF87)&gt;0.05,N(AD87)&gt;0),ROUNDDOWN(ROUND(CG87,6),0)&amp;"%"&amp;IF(CW87="",""," / "&amp;CW87&amp;"%"),IF(AND(N(CF87)&gt;=99.95,CW87&lt;&gt;"",N(CW87)&lt;100),"Pend. "&amp;CW87&amp;"%",""))))</f>
        <v/>
      </c>
      <c r="BA87" s="40" t="str">
        <f aca="false">IF(OR(OR(NOT(AND(ISNUMBER(E87),ISNUMBER(F87))),$J$2=""),15&gt;MAX(1,Reprogramaciones!$U$15)),"",IF(Reprogramaciones!Y$12&gt;=7,"",IF(OR(CH87-N(CG87)&gt;0.05,N(AE87)&gt;0),ROUNDDOWN(ROUND(CH87,6),0)&amp;"%"&amp;IF(CX87="",""," / "&amp;CX87&amp;"%"),IF(AND(N(CG87)&gt;=99.95,CX87&lt;&gt;"",N(CX87)&lt;100),"Pend. "&amp;CX87&amp;"%",""))))</f>
        <v/>
      </c>
      <c r="BB87" s="40" t="str">
        <f aca="false">IF(OR(OR(NOT(AND(ISNUMBER(E87),ISNUMBER(F87))),$J$2=""),16&gt;MAX(1,Reprogramaciones!$U$15)),"",IF(Reprogramaciones!Z$12&gt;=7,"",IF(OR(CI87-N(CH87)&gt;0.05,N(AF87)&gt;0),ROUNDDOWN(ROUND(CI87,6),0)&amp;"%"&amp;IF(CY87="",""," / "&amp;CY87&amp;"%"),IF(AND(N(CH87)&gt;=99.95,CY87&lt;&gt;"",N(CY87)&lt;100),"Pend. "&amp;CY87&amp;"%",""))))</f>
        <v/>
      </c>
      <c r="BC87" s="31" t="n">
        <f aca="false">IF(AND(ISNUMBER(E87),ISNUMBER(F87)),MAX(1,NETWORKDAYS.INTL(E87,F87,11)),0)</f>
        <v>0</v>
      </c>
      <c r="BD87" s="1" t="str">
        <f aca="false">IF(OR(NOT(AND(ISNUMBER(E87),ISNUMBER(F87))),$J$2=""),"",MIN(100,ROUND(SUM($G87:G87),1)))</f>
        <v/>
      </c>
      <c r="BE87" s="1" t="str">
        <f aca="false">IF(OR(NOT(AND(ISNUMBER(E87),ISNUMBER(F87))),$J$2=""),"",MIN(100,ROUND(SUM($G87:H87),1)))</f>
        <v/>
      </c>
      <c r="BF87" s="1" t="str">
        <f aca="false">IF(OR(NOT(AND(ISNUMBER(E87),ISNUMBER(F87))),$J$2=""),"",MIN(100,ROUND(SUM($G87:I87),1)))</f>
        <v/>
      </c>
      <c r="BG87" s="1" t="str">
        <f aca="false">IF(OR(NOT(AND(ISNUMBER(E87),ISNUMBER(F87))),$J$2=""),"",MIN(100,ROUND(SUM($G87:J87),1)))</f>
        <v/>
      </c>
      <c r="BH87" s="1" t="str">
        <f aca="false">IF(OR(NOT(AND(ISNUMBER(E87),ISNUMBER(F87))),$J$2=""),"",MIN(100,ROUND(SUM($G87:K87),1)))</f>
        <v/>
      </c>
      <c r="BI87" s="1" t="str">
        <f aca="false">IF(OR(NOT(AND(ISNUMBER(E87),ISNUMBER(F87))),$J$2=""),"",MIN(100,ROUND(SUM($G87:L87),1)))</f>
        <v/>
      </c>
      <c r="BJ87" s="1" t="str">
        <f aca="false">IF(OR(NOT(AND(ISNUMBER(E87),ISNUMBER(F87))),$J$2=""),"",MIN(100,ROUND(SUM($G87:M87),1)))</f>
        <v/>
      </c>
      <c r="BK87" s="1" t="str">
        <f aca="false">IF(OR(NOT(AND(ISNUMBER(E87),ISNUMBER(F87))),$J$2=""),"",MIN(100,ROUND(SUM($G87:N87),1)))</f>
        <v/>
      </c>
      <c r="BL87" s="1" t="str">
        <f aca="false">IF(OR(NOT(AND(ISNUMBER(E87),ISNUMBER(F87))),$J$2=""),"",MIN(100,ROUND(SUM($G87:O87),1)))</f>
        <v/>
      </c>
      <c r="BM87" s="1" t="str">
        <f aca="false">IF(OR(NOT(AND(ISNUMBER(E87),ISNUMBER(F87))),$J$2=""),"",MIN(100,ROUND(SUM($G87:P87),1)))</f>
        <v/>
      </c>
      <c r="BN87" s="1" t="str">
        <f aca="false">IF(OR(NOT(AND(ISNUMBER(E87),ISNUMBER(F87))),$J$2=""),"",MIN(100,ROUND(SUM($G87:P87),1)))</f>
        <v/>
      </c>
      <c r="BO87" s="1" t="str">
        <f aca="false">IF(OR(NOT(AND(ISNUMBER(E87),ISNUMBER(F87))),$J$2=""),"",MIN(100,ROUND(SUM($G87:P87),1)))</f>
        <v/>
      </c>
      <c r="BP87" s="1" t="str">
        <f aca="false">IF(OR(NOT(AND(ISNUMBER(E87),ISNUMBER(F87))),$J$2=""),"",MIN(100,ROUND(SUM($G87:P87),1)))</f>
        <v/>
      </c>
      <c r="BQ87" s="1" t="str">
        <f aca="false">IF(OR(NOT(AND(ISNUMBER(E87),ISNUMBER(F87))),$J$2=""),"",MIN(100,ROUND(SUM($G87:P87),1)))</f>
        <v/>
      </c>
      <c r="BR87" s="1" t="str">
        <f aca="false">IF(OR(NOT(AND(ISNUMBER(E87),ISNUMBER(F87))),$J$2=""),"",MIN(100,ROUND(SUM($G87:P87),1)))</f>
        <v/>
      </c>
      <c r="BS87" s="1" t="str">
        <f aca="false">IF(OR(NOT(AND(ISNUMBER(E87),ISNUMBER(F87))),$J$2=""),"",MIN(100,ROUND(SUM($G87:P87),1)))</f>
        <v/>
      </c>
      <c r="BT87" s="1" t="str">
        <f aca="false">IF(OR(NOT(AND(ISNUMBER(E87),ISNUMBER(F87))),$J$2=""),"",IF(Reprogramaciones!K$13&lt;Reprogramaciones!$T$15,0,IF(Reprogramaciones!K$14&gt;10,MIN(100,SUM($G87:$P87)),MIN(100,SUMPRODUCT((COLUMN($G87:$P87)-COLUMN($G87)+1&lt;Reprogramaciones!K$14)*$G87:$P87)+N(INDEX($G87:$P87,1,Reprogramaciones!K$14))*IF(Reprogramaciones!K$13&gt;=(Reprogramaciones!$T$15+7*(Reprogramaciones!K$14-1))+6,1,IF(MAX(0,NETWORKDAYS.INTL(MAX(E87,(Reprogramaciones!$T$15+7*(Reprogramaciones!K$14-1))),MIN(F87,(Reprogramaciones!$T$15+7*(Reprogramaciones!K$14-1))+6),11))=0,0,MAX(0,NETWORKDAYS.INTL(MAX(E87,(Reprogramaciones!$T$15+7*(Reprogramaciones!K$14-1))),MIN(F87,Reprogramaciones!K$13),11))/MAX(0,NETWORKDAYS.INTL(MAX(E87,(Reprogramaciones!$T$15+7*(Reprogramaciones!K$14-1))),MIN(F87,(Reprogramaciones!$T$15+7*(Reprogramaciones!K$14-1))+6),11))))))))</f>
        <v/>
      </c>
      <c r="BU87" s="1" t="str">
        <f aca="false">IF(OR(NOT(AND(ISNUMBER(E87),ISNUMBER(F87))),$J$2=""),"",IF(Reprogramaciones!L$13&lt;Reprogramaciones!$T$15,0,IF(Reprogramaciones!L$14&gt;10,MIN(100,SUM($G87:$P87)),MIN(100,SUMPRODUCT((COLUMN($G87:$P87)-COLUMN($G87)+1&lt;Reprogramaciones!L$14)*$G87:$P87)+N(INDEX($G87:$P87,1,Reprogramaciones!L$14))*IF(Reprogramaciones!L$13&gt;=(Reprogramaciones!$T$15+7*(Reprogramaciones!L$14-1))+6,1,IF(MAX(0,NETWORKDAYS.INTL(MAX(E87,(Reprogramaciones!$T$15+7*(Reprogramaciones!L$14-1))),MIN(F87,(Reprogramaciones!$T$15+7*(Reprogramaciones!L$14-1))+6),11))=0,0,MAX(0,NETWORKDAYS.INTL(MAX(E87,(Reprogramaciones!$T$15+7*(Reprogramaciones!L$14-1))),MIN(F87,Reprogramaciones!L$13),11))/MAX(0,NETWORKDAYS.INTL(MAX(E87,(Reprogramaciones!$T$15+7*(Reprogramaciones!L$14-1))),MIN(F87,(Reprogramaciones!$T$15+7*(Reprogramaciones!L$14-1))+6),11))))))))</f>
        <v/>
      </c>
      <c r="BV87" s="1" t="str">
        <f aca="false">IF(OR(NOT(AND(ISNUMBER(E87),ISNUMBER(F87))),$J$2=""),"",IF(Reprogramaciones!M$13&lt;Reprogramaciones!$T$15,0,IF(Reprogramaciones!M$14&gt;10,MIN(100,SUM($G87:$P87)),MIN(100,SUMPRODUCT((COLUMN($G87:$P87)-COLUMN($G87)+1&lt;Reprogramaciones!M$14)*$G87:$P87)+N(INDEX($G87:$P87,1,Reprogramaciones!M$14))*IF(Reprogramaciones!M$13&gt;=(Reprogramaciones!$T$15+7*(Reprogramaciones!M$14-1))+6,1,IF(MAX(0,NETWORKDAYS.INTL(MAX(E87,(Reprogramaciones!$T$15+7*(Reprogramaciones!M$14-1))),MIN(F87,(Reprogramaciones!$T$15+7*(Reprogramaciones!M$14-1))+6),11))=0,0,MAX(0,NETWORKDAYS.INTL(MAX(E87,(Reprogramaciones!$T$15+7*(Reprogramaciones!M$14-1))),MIN(F87,Reprogramaciones!M$13),11))/MAX(0,NETWORKDAYS.INTL(MAX(E87,(Reprogramaciones!$T$15+7*(Reprogramaciones!M$14-1))),MIN(F87,(Reprogramaciones!$T$15+7*(Reprogramaciones!M$14-1))+6),11))))))))</f>
        <v/>
      </c>
      <c r="BW87" s="1" t="str">
        <f aca="false">IF(OR(NOT(AND(ISNUMBER(E87),ISNUMBER(F87))),$J$2=""),"",IF(Reprogramaciones!N$13&lt;Reprogramaciones!$T$15,0,IF(Reprogramaciones!N$14&gt;10,MIN(100,SUM($G87:$P87)),MIN(100,SUMPRODUCT((COLUMN($G87:$P87)-COLUMN($G87)+1&lt;Reprogramaciones!N$14)*$G87:$P87)+N(INDEX($G87:$P87,1,Reprogramaciones!N$14))*IF(Reprogramaciones!N$13&gt;=(Reprogramaciones!$T$15+7*(Reprogramaciones!N$14-1))+6,1,IF(MAX(0,NETWORKDAYS.INTL(MAX(E87,(Reprogramaciones!$T$15+7*(Reprogramaciones!N$14-1))),MIN(F87,(Reprogramaciones!$T$15+7*(Reprogramaciones!N$14-1))+6),11))=0,0,MAX(0,NETWORKDAYS.INTL(MAX(E87,(Reprogramaciones!$T$15+7*(Reprogramaciones!N$14-1))),MIN(F87,Reprogramaciones!N$13),11))/MAX(0,NETWORKDAYS.INTL(MAX(E87,(Reprogramaciones!$T$15+7*(Reprogramaciones!N$14-1))),MIN(F87,(Reprogramaciones!$T$15+7*(Reprogramaciones!N$14-1))+6),11))))))))</f>
        <v/>
      </c>
      <c r="BX87" s="1" t="str">
        <f aca="false">IF(OR(NOT(AND(ISNUMBER(E87),ISNUMBER(F87))),$J$2=""),"",IF(Reprogramaciones!O$13&lt;Reprogramaciones!$T$15,0,IF(Reprogramaciones!O$14&gt;10,MIN(100,SUM($G87:$P87)),MIN(100,SUMPRODUCT((COLUMN($G87:$P87)-COLUMN($G87)+1&lt;Reprogramaciones!O$14)*$G87:$P87)+N(INDEX($G87:$P87,1,Reprogramaciones!O$14))*IF(Reprogramaciones!O$13&gt;=(Reprogramaciones!$T$15+7*(Reprogramaciones!O$14-1))+6,1,IF(MAX(0,NETWORKDAYS.INTL(MAX(E87,(Reprogramaciones!$T$15+7*(Reprogramaciones!O$14-1))),MIN(F87,(Reprogramaciones!$T$15+7*(Reprogramaciones!O$14-1))+6),11))=0,0,MAX(0,NETWORKDAYS.INTL(MAX(E87,(Reprogramaciones!$T$15+7*(Reprogramaciones!O$14-1))),MIN(F87,Reprogramaciones!O$13),11))/MAX(0,NETWORKDAYS.INTL(MAX(E87,(Reprogramaciones!$T$15+7*(Reprogramaciones!O$14-1))),MIN(F87,(Reprogramaciones!$T$15+7*(Reprogramaciones!O$14-1))+6),11))))))))</f>
        <v/>
      </c>
      <c r="BY87" s="1" t="str">
        <f aca="false">IF(OR(NOT(AND(ISNUMBER(E87),ISNUMBER(F87))),$J$2=""),"",IF(Reprogramaciones!P$13&lt;Reprogramaciones!$T$15,0,IF(Reprogramaciones!P$14&gt;10,MIN(100,SUM($G87:$P87)),MIN(100,SUMPRODUCT((COLUMN($G87:$P87)-COLUMN($G87)+1&lt;Reprogramaciones!P$14)*$G87:$P87)+N(INDEX($G87:$P87,1,Reprogramaciones!P$14))*IF(Reprogramaciones!P$13&gt;=(Reprogramaciones!$T$15+7*(Reprogramaciones!P$14-1))+6,1,IF(MAX(0,NETWORKDAYS.INTL(MAX(E87,(Reprogramaciones!$T$15+7*(Reprogramaciones!P$14-1))),MIN(F87,(Reprogramaciones!$T$15+7*(Reprogramaciones!P$14-1))+6),11))=0,0,MAX(0,NETWORKDAYS.INTL(MAX(E87,(Reprogramaciones!$T$15+7*(Reprogramaciones!P$14-1))),MIN(F87,Reprogramaciones!P$13),11))/MAX(0,NETWORKDAYS.INTL(MAX(E87,(Reprogramaciones!$T$15+7*(Reprogramaciones!P$14-1))),MIN(F87,(Reprogramaciones!$T$15+7*(Reprogramaciones!P$14-1))+6),11))))))))</f>
        <v/>
      </c>
      <c r="BZ87" s="1" t="str">
        <f aca="false">IF(OR(NOT(AND(ISNUMBER(E87),ISNUMBER(F87))),$J$2=""),"",IF(Reprogramaciones!Q$13&lt;Reprogramaciones!$T$15,0,IF(Reprogramaciones!Q$14&gt;10,MIN(100,SUM($G87:$P87)),MIN(100,SUMPRODUCT((COLUMN($G87:$P87)-COLUMN($G87)+1&lt;Reprogramaciones!Q$14)*$G87:$P87)+N(INDEX($G87:$P87,1,Reprogramaciones!Q$14))*IF(Reprogramaciones!Q$13&gt;=(Reprogramaciones!$T$15+7*(Reprogramaciones!Q$14-1))+6,1,IF(MAX(0,NETWORKDAYS.INTL(MAX(E87,(Reprogramaciones!$T$15+7*(Reprogramaciones!Q$14-1))),MIN(F87,(Reprogramaciones!$T$15+7*(Reprogramaciones!Q$14-1))+6),11))=0,0,MAX(0,NETWORKDAYS.INTL(MAX(E87,(Reprogramaciones!$T$15+7*(Reprogramaciones!Q$14-1))),MIN(F87,Reprogramaciones!Q$13),11))/MAX(0,NETWORKDAYS.INTL(MAX(E87,(Reprogramaciones!$T$15+7*(Reprogramaciones!Q$14-1))),MIN(F87,(Reprogramaciones!$T$15+7*(Reprogramaciones!Q$14-1))+6),11))))))))</f>
        <v/>
      </c>
      <c r="CA87" s="1" t="str">
        <f aca="false">IF(OR(NOT(AND(ISNUMBER(E87),ISNUMBER(F87))),$J$2=""),"",IF(Reprogramaciones!R$13&lt;Reprogramaciones!$T$15,0,IF(Reprogramaciones!R$14&gt;10,MIN(100,SUM($G87:$P87)),MIN(100,SUMPRODUCT((COLUMN($G87:$P87)-COLUMN($G87)+1&lt;Reprogramaciones!R$14)*$G87:$P87)+N(INDEX($G87:$P87,1,Reprogramaciones!R$14))*IF(Reprogramaciones!R$13&gt;=(Reprogramaciones!$T$15+7*(Reprogramaciones!R$14-1))+6,1,IF(MAX(0,NETWORKDAYS.INTL(MAX(E87,(Reprogramaciones!$T$15+7*(Reprogramaciones!R$14-1))),MIN(F87,(Reprogramaciones!$T$15+7*(Reprogramaciones!R$14-1))+6),11))=0,0,MAX(0,NETWORKDAYS.INTL(MAX(E87,(Reprogramaciones!$T$15+7*(Reprogramaciones!R$14-1))),MIN(F87,Reprogramaciones!R$13),11))/MAX(0,NETWORKDAYS.INTL(MAX(E87,(Reprogramaciones!$T$15+7*(Reprogramaciones!R$14-1))),MIN(F87,(Reprogramaciones!$T$15+7*(Reprogramaciones!R$14-1))+6),11))))))))</f>
        <v/>
      </c>
      <c r="CB87" s="1" t="str">
        <f aca="false">IF(OR(NOT(AND(ISNUMBER(E87),ISNUMBER(F87))),$J$2=""),"",IF(Reprogramaciones!S$13&lt;Reprogramaciones!$T$15,0,IF(Reprogramaciones!S$14&gt;10,MIN(100,SUM($G87:$P87)),MIN(100,SUMPRODUCT((COLUMN($G87:$P87)-COLUMN($G87)+1&lt;Reprogramaciones!S$14)*$G87:$P87)+N(INDEX($G87:$P87,1,Reprogramaciones!S$14))*IF(Reprogramaciones!S$13&gt;=(Reprogramaciones!$T$15+7*(Reprogramaciones!S$14-1))+6,1,IF(MAX(0,NETWORKDAYS.INTL(MAX(E87,(Reprogramaciones!$T$15+7*(Reprogramaciones!S$14-1))),MIN(F87,(Reprogramaciones!$T$15+7*(Reprogramaciones!S$14-1))+6),11))=0,0,MAX(0,NETWORKDAYS.INTL(MAX(E87,(Reprogramaciones!$T$15+7*(Reprogramaciones!S$14-1))),MIN(F87,Reprogramaciones!S$13),11))/MAX(0,NETWORKDAYS.INTL(MAX(E87,(Reprogramaciones!$T$15+7*(Reprogramaciones!S$14-1))),MIN(F87,(Reprogramaciones!$T$15+7*(Reprogramaciones!S$14-1))+6),11))))))))</f>
        <v/>
      </c>
      <c r="CC87" s="1" t="str">
        <f aca="false">IF(OR(NOT(AND(ISNUMBER(E87),ISNUMBER(F87))),$J$2=""),"",IF(Reprogramaciones!T$13&lt;Reprogramaciones!$T$15,0,IF(Reprogramaciones!T$14&gt;10,MIN(100,SUM($G87:$P87)),MIN(100,SUMPRODUCT((COLUMN($G87:$P87)-COLUMN($G87)+1&lt;Reprogramaciones!T$14)*$G87:$P87)+N(INDEX($G87:$P87,1,Reprogramaciones!T$14))*IF(Reprogramaciones!T$13&gt;=(Reprogramaciones!$T$15+7*(Reprogramaciones!T$14-1))+6,1,IF(MAX(0,NETWORKDAYS.INTL(MAX(E87,(Reprogramaciones!$T$15+7*(Reprogramaciones!T$14-1))),MIN(F87,(Reprogramaciones!$T$15+7*(Reprogramaciones!T$14-1))+6),11))=0,0,MAX(0,NETWORKDAYS.INTL(MAX(E87,(Reprogramaciones!$T$15+7*(Reprogramaciones!T$14-1))),MIN(F87,Reprogramaciones!T$13),11))/MAX(0,NETWORKDAYS.INTL(MAX(E87,(Reprogramaciones!$T$15+7*(Reprogramaciones!T$14-1))),MIN(F87,(Reprogramaciones!$T$15+7*(Reprogramaciones!T$14-1))+6),11))))))))</f>
        <v/>
      </c>
      <c r="CD87" s="1" t="str">
        <f aca="false">IF(OR(NOT(AND(ISNUMBER(E87),ISNUMBER(F87))),$J$2=""),"",IF(Reprogramaciones!U$13&lt;Reprogramaciones!$T$15,0,IF(Reprogramaciones!U$14&gt;10,MIN(100,SUM($G87:$P87)),MIN(100,SUMPRODUCT((COLUMN($G87:$P87)-COLUMN($G87)+1&lt;Reprogramaciones!U$14)*$G87:$P87)+N(INDEX($G87:$P87,1,Reprogramaciones!U$14))*IF(Reprogramaciones!U$13&gt;=(Reprogramaciones!$T$15+7*(Reprogramaciones!U$14-1))+6,1,IF(MAX(0,NETWORKDAYS.INTL(MAX(E87,(Reprogramaciones!$T$15+7*(Reprogramaciones!U$14-1))),MIN(F87,(Reprogramaciones!$T$15+7*(Reprogramaciones!U$14-1))+6),11))=0,0,MAX(0,NETWORKDAYS.INTL(MAX(E87,(Reprogramaciones!$T$15+7*(Reprogramaciones!U$14-1))),MIN(F87,Reprogramaciones!U$13),11))/MAX(0,NETWORKDAYS.INTL(MAX(E87,(Reprogramaciones!$T$15+7*(Reprogramaciones!U$14-1))),MIN(F87,(Reprogramaciones!$T$15+7*(Reprogramaciones!U$14-1))+6),11))))))))</f>
        <v/>
      </c>
      <c r="CE87" s="1" t="str">
        <f aca="false">IF(OR(NOT(AND(ISNUMBER(E87),ISNUMBER(F87))),$J$2=""),"",IF(Reprogramaciones!V$13&lt;Reprogramaciones!$T$15,0,IF(Reprogramaciones!V$14&gt;10,MIN(100,SUM($G87:$P87)),MIN(100,SUMPRODUCT((COLUMN($G87:$P87)-COLUMN($G87)+1&lt;Reprogramaciones!V$14)*$G87:$P87)+N(INDEX($G87:$P87,1,Reprogramaciones!V$14))*IF(Reprogramaciones!V$13&gt;=(Reprogramaciones!$T$15+7*(Reprogramaciones!V$14-1))+6,1,IF(MAX(0,NETWORKDAYS.INTL(MAX(E87,(Reprogramaciones!$T$15+7*(Reprogramaciones!V$14-1))),MIN(F87,(Reprogramaciones!$T$15+7*(Reprogramaciones!V$14-1))+6),11))=0,0,MAX(0,NETWORKDAYS.INTL(MAX(E87,(Reprogramaciones!$T$15+7*(Reprogramaciones!V$14-1))),MIN(F87,Reprogramaciones!V$13),11))/MAX(0,NETWORKDAYS.INTL(MAX(E87,(Reprogramaciones!$T$15+7*(Reprogramaciones!V$14-1))),MIN(F87,(Reprogramaciones!$T$15+7*(Reprogramaciones!V$14-1))+6),11))))))))</f>
        <v/>
      </c>
      <c r="CF87" s="1" t="str">
        <f aca="false">IF(OR(NOT(AND(ISNUMBER(E87),ISNUMBER(F87))),$J$2=""),"",IF(Reprogramaciones!W$13&lt;Reprogramaciones!$T$15,0,IF(Reprogramaciones!W$14&gt;10,MIN(100,SUM($G87:$P87)),MIN(100,SUMPRODUCT((COLUMN($G87:$P87)-COLUMN($G87)+1&lt;Reprogramaciones!W$14)*$G87:$P87)+N(INDEX($G87:$P87,1,Reprogramaciones!W$14))*IF(Reprogramaciones!W$13&gt;=(Reprogramaciones!$T$15+7*(Reprogramaciones!W$14-1))+6,1,IF(MAX(0,NETWORKDAYS.INTL(MAX(E87,(Reprogramaciones!$T$15+7*(Reprogramaciones!W$14-1))),MIN(F87,(Reprogramaciones!$T$15+7*(Reprogramaciones!W$14-1))+6),11))=0,0,MAX(0,NETWORKDAYS.INTL(MAX(E87,(Reprogramaciones!$T$15+7*(Reprogramaciones!W$14-1))),MIN(F87,Reprogramaciones!W$13),11))/MAX(0,NETWORKDAYS.INTL(MAX(E87,(Reprogramaciones!$T$15+7*(Reprogramaciones!W$14-1))),MIN(F87,(Reprogramaciones!$T$15+7*(Reprogramaciones!W$14-1))+6),11))))))))</f>
        <v/>
      </c>
      <c r="CG87" s="1" t="str">
        <f aca="false">IF(OR(NOT(AND(ISNUMBER(E87),ISNUMBER(F87))),$J$2=""),"",IF(Reprogramaciones!X$13&lt;Reprogramaciones!$T$15,0,IF(Reprogramaciones!X$14&gt;10,MIN(100,SUM($G87:$P87)),MIN(100,SUMPRODUCT((COLUMN($G87:$P87)-COLUMN($G87)+1&lt;Reprogramaciones!X$14)*$G87:$P87)+N(INDEX($G87:$P87,1,Reprogramaciones!X$14))*IF(Reprogramaciones!X$13&gt;=(Reprogramaciones!$T$15+7*(Reprogramaciones!X$14-1))+6,1,IF(MAX(0,NETWORKDAYS.INTL(MAX(E87,(Reprogramaciones!$T$15+7*(Reprogramaciones!X$14-1))),MIN(F87,(Reprogramaciones!$T$15+7*(Reprogramaciones!X$14-1))+6),11))=0,0,MAX(0,NETWORKDAYS.INTL(MAX(E87,(Reprogramaciones!$T$15+7*(Reprogramaciones!X$14-1))),MIN(F87,Reprogramaciones!X$13),11))/MAX(0,NETWORKDAYS.INTL(MAX(E87,(Reprogramaciones!$T$15+7*(Reprogramaciones!X$14-1))),MIN(F87,(Reprogramaciones!$T$15+7*(Reprogramaciones!X$14-1))+6),11))))))))</f>
        <v/>
      </c>
      <c r="CH87" s="1" t="str">
        <f aca="false">IF(OR(NOT(AND(ISNUMBER(E87),ISNUMBER(F87))),$J$2=""),"",IF(Reprogramaciones!Y$13&lt;Reprogramaciones!$T$15,0,IF(Reprogramaciones!Y$14&gt;10,MIN(100,SUM($G87:$P87)),MIN(100,SUMPRODUCT((COLUMN($G87:$P87)-COLUMN($G87)+1&lt;Reprogramaciones!Y$14)*$G87:$P87)+N(INDEX($G87:$P87,1,Reprogramaciones!Y$14))*IF(Reprogramaciones!Y$13&gt;=(Reprogramaciones!$T$15+7*(Reprogramaciones!Y$14-1))+6,1,IF(MAX(0,NETWORKDAYS.INTL(MAX(E87,(Reprogramaciones!$T$15+7*(Reprogramaciones!Y$14-1))),MIN(F87,(Reprogramaciones!$T$15+7*(Reprogramaciones!Y$14-1))+6),11))=0,0,MAX(0,NETWORKDAYS.INTL(MAX(E87,(Reprogramaciones!$T$15+7*(Reprogramaciones!Y$14-1))),MIN(F87,Reprogramaciones!Y$13),11))/MAX(0,NETWORKDAYS.INTL(MAX(E87,(Reprogramaciones!$T$15+7*(Reprogramaciones!Y$14-1))),MIN(F87,(Reprogramaciones!$T$15+7*(Reprogramaciones!Y$14-1))+6),11))))))))</f>
        <v/>
      </c>
      <c r="CI87" s="1" t="str">
        <f aca="false">IF(OR(NOT(AND(ISNUMBER(E87),ISNUMBER(F87))),$J$2=""),"",IF(Reprogramaciones!Z$13&lt;Reprogramaciones!$T$15,0,IF(Reprogramaciones!Z$14&gt;10,MIN(100,SUM($G87:$P87)),MIN(100,SUMPRODUCT((COLUMN($G87:$P87)-COLUMN($G87)+1&lt;Reprogramaciones!Z$14)*$G87:$P87)+N(INDEX($G87:$P87,1,Reprogramaciones!Z$14))*IF(Reprogramaciones!Z$13&gt;=(Reprogramaciones!$T$15+7*(Reprogramaciones!Z$14-1))+6,1,IF(MAX(0,NETWORKDAYS.INTL(MAX(E87,(Reprogramaciones!$T$15+7*(Reprogramaciones!Z$14-1))),MIN(F87,(Reprogramaciones!$T$15+7*(Reprogramaciones!Z$14-1))+6),11))=0,0,MAX(0,NETWORKDAYS.INTL(MAX(E87,(Reprogramaciones!$T$15+7*(Reprogramaciones!Z$14-1))),MIN(F87,Reprogramaciones!Z$13),11))/MAX(0,NETWORKDAYS.INTL(MAX(E87,(Reprogramaciones!$T$15+7*(Reprogramaciones!Z$14-1))),MIN(F87,(Reprogramaciones!$T$15+7*(Reprogramaciones!Z$14-1))+6),11))))))))</f>
        <v/>
      </c>
      <c r="CJ87" s="1" t="str">
        <f aca="false">IF(OR(OR(NOT(AND(ISNUMBER(E87),ISNUMBER(F87))),$J$2=""),1&gt;Reprogramaciones!$K$16),"",IF(ROUND(SUM($Q87:Q87),1)&gt;=99.5,100,MIN(100,ROUND(SUM($Q87:Q87),1))))</f>
        <v/>
      </c>
      <c r="CK87" s="1" t="str">
        <f aca="false">IF(OR(OR(NOT(AND(ISNUMBER(E87),ISNUMBER(F87))),$J$2=""),2&gt;Reprogramaciones!$K$16),"",IF(ROUND(SUM($Q87:R87),1)&gt;=99.5,100,MIN(100,ROUND(SUM($Q87:R87),1))))</f>
        <v/>
      </c>
      <c r="CL87" s="1" t="str">
        <f aca="false">IF(OR(OR(NOT(AND(ISNUMBER(E87),ISNUMBER(F87))),$J$2=""),3&gt;Reprogramaciones!$K$16),"",IF(ROUND(SUM($Q87:S87),1)&gt;=99.5,100,MIN(100,ROUND(SUM($Q87:S87),1))))</f>
        <v/>
      </c>
      <c r="CM87" s="1" t="str">
        <f aca="false">IF(OR(OR(NOT(AND(ISNUMBER(E87),ISNUMBER(F87))),$J$2=""),4&gt;Reprogramaciones!$K$16),"",IF(ROUND(SUM($Q87:T87),1)&gt;=99.5,100,MIN(100,ROUND(SUM($Q87:T87),1))))</f>
        <v/>
      </c>
      <c r="CN87" s="1" t="str">
        <f aca="false">IF(OR(OR(NOT(AND(ISNUMBER(E87),ISNUMBER(F87))),$J$2=""),5&gt;Reprogramaciones!$K$16),"",IF(ROUND(SUM($Q87:U87),1)&gt;=99.5,100,MIN(100,ROUND(SUM($Q87:U87),1))))</f>
        <v/>
      </c>
      <c r="CO87" s="1" t="str">
        <f aca="false">IF(OR(OR(NOT(AND(ISNUMBER(E87),ISNUMBER(F87))),$J$2=""),6&gt;Reprogramaciones!$K$16),"",IF(ROUND(SUM($Q87:V87),1)&gt;=99.5,100,MIN(100,ROUND(SUM($Q87:V87),1))))</f>
        <v/>
      </c>
      <c r="CP87" s="1" t="str">
        <f aca="false">IF(OR(OR(NOT(AND(ISNUMBER(E87),ISNUMBER(F87))),$J$2=""),7&gt;Reprogramaciones!$K$16),"",IF(ROUND(SUM($Q87:W87),1)&gt;=99.5,100,MIN(100,ROUND(SUM($Q87:W87),1))))</f>
        <v/>
      </c>
      <c r="CQ87" s="1" t="str">
        <f aca="false">IF(OR(OR(NOT(AND(ISNUMBER(E87),ISNUMBER(F87))),$J$2=""),8&gt;Reprogramaciones!$K$16),"",IF(ROUND(SUM($Q87:X87),1)&gt;=99.5,100,MIN(100,ROUND(SUM($Q87:X87),1))))</f>
        <v/>
      </c>
      <c r="CR87" s="1" t="str">
        <f aca="false">IF(OR(OR(NOT(AND(ISNUMBER(E87),ISNUMBER(F87))),$J$2=""),9&gt;Reprogramaciones!$K$16),"",IF(ROUND(SUM($Q87:Y87),1)&gt;=99.5,100,MIN(100,ROUND(SUM($Q87:Y87),1))))</f>
        <v/>
      </c>
      <c r="CS87" s="1" t="str">
        <f aca="false">IF(OR(OR(NOT(AND(ISNUMBER(E87),ISNUMBER(F87))),$J$2=""),10&gt;Reprogramaciones!$K$16),"",IF(ROUND(SUM($Q87:Z87),1)&gt;=99.5,100,MIN(100,ROUND(SUM($Q87:Z87),1))))</f>
        <v/>
      </c>
      <c r="CT87" s="1" t="str">
        <f aca="false">IF(OR(OR(NOT(AND(ISNUMBER(E87),ISNUMBER(F87))),$J$2=""),11&gt;Reprogramaciones!$K$16),"",IF(ROUND(SUM($Q87:AA87),1)&gt;=99.5,100,MIN(100,ROUND(SUM($Q87:AA87),1))))</f>
        <v/>
      </c>
      <c r="CU87" s="1" t="str">
        <f aca="false">IF(OR(OR(NOT(AND(ISNUMBER(E87),ISNUMBER(F87))),$J$2=""),12&gt;Reprogramaciones!$K$16),"",IF(ROUND(SUM($Q87:AB87),1)&gt;=99.5,100,MIN(100,ROUND(SUM($Q87:AB87),1))))</f>
        <v/>
      </c>
      <c r="CV87" s="1" t="str">
        <f aca="false">IF(OR(OR(NOT(AND(ISNUMBER(E87),ISNUMBER(F87))),$J$2=""),13&gt;Reprogramaciones!$K$16),"",IF(ROUND(SUM($Q87:AC87),1)&gt;=99.5,100,MIN(100,ROUND(SUM($Q87:AC87),1))))</f>
        <v/>
      </c>
      <c r="CW87" s="1" t="str">
        <f aca="false">IF(OR(OR(NOT(AND(ISNUMBER(E87),ISNUMBER(F87))),$J$2=""),14&gt;Reprogramaciones!$K$16),"",IF(ROUND(SUM($Q87:AD87),1)&gt;=99.5,100,MIN(100,ROUND(SUM($Q87:AD87),1))))</f>
        <v/>
      </c>
      <c r="CX87" s="1" t="str">
        <f aca="false">IF(OR(OR(NOT(AND(ISNUMBER(E87),ISNUMBER(F87))),$J$2=""),15&gt;Reprogramaciones!$K$16),"",IF(ROUND(SUM($Q87:AE87),1)&gt;=99.5,100,MIN(100,ROUND(SUM($Q87:AE87),1))))</f>
        <v/>
      </c>
      <c r="CY87" s="1" t="str">
        <f aca="false">IF(OR(OR(NOT(AND(ISNUMBER(E87),ISNUMBER(F87))),$J$2=""),16&gt;Reprogramaciones!$K$16),"",IF(ROUND(SUM($Q87:AF87),1)&gt;=99.5,100,MIN(100,ROUND(SUM($Q87:AF87),1))))</f>
        <v/>
      </c>
      <c r="CZ87" s="1" t="str">
        <f aca="false">IF(D87&lt;&gt;"",D87,IF(B87&lt;&gt;"","Contractual",CZ86))</f>
        <v>Contractual</v>
      </c>
      <c r="DA87" s="1" t="str">
        <f aca="false">IF(OR(NOT(AND(ISNUMBER(E87),ISNUMBER(F87))),$J$2=""),"",IF(Reprogramaciones!$Q$15&lt;Reprogramaciones!$T$15,0,IF(Reprogramaciones!$S$15&gt;10,MIN(100,SUM($G87:$P87)),MIN(100,SUMPRODUCT((COLUMN($G87:$P87)-COLUMN($G87)+1&lt;Reprogramaciones!$S$15)*$G87:$P87)+N(INDEX($G87:$P87,1,Reprogramaciones!$S$15))*IF(Reprogramaciones!$Q$15&gt;=(Reprogramaciones!$T$15+7*(Reprogramaciones!$S$15-1))+6,1,IF(MAX(0,NETWORKDAYS.INTL(MAX(E87,(Reprogramaciones!$T$15+7*(Reprogramaciones!$S$15-1))),MIN(F87,(Reprogramaciones!$T$15+7*(Reprogramaciones!$S$15-1))+6),11))=0,0,MAX(0,NETWORKDAYS.INTL(MAX(E87,(Reprogramaciones!$T$15+7*(Reprogramaciones!$S$15-1))),MIN(F87,Reprogramaciones!$Q$15),11))/MAX(0,NETWORKDAYS.INTL(MAX(E87,(Reprogramaciones!$T$15+7*(Reprogramaciones!$S$15-1))),MIN(F87,(Reprogramaciones!$T$15+7*(Reprogramaciones!$S$15-1))+6),11))))))))</f>
        <v/>
      </c>
    </row>
    <row r="88" customFormat="false" ht="15" hidden="false" customHeight="false" outlineLevel="0" collapsed="false">
      <c r="A88" s="32"/>
      <c r="B88" s="33"/>
      <c r="C88" s="33"/>
      <c r="D88" s="34"/>
      <c r="E88" s="35"/>
      <c r="F88" s="35"/>
      <c r="G88" s="36" t="str">
        <f aca="false">IF(OR(NOT(AND(ISNUMBER(E88),ISNUMBER(F88))),$J$2=""),"",IF(Reprogramaciones!K$9&lt;E88,0,IF(NETWORKDAYS.INTL(E88,F88,11)=0,IF(Reprogramaciones!K$9&gt;=F88,100,0),ROUND(NETWORKDAYS.INTL(E88,MIN(F88,Reprogramaciones!K$9),11)/NETWORKDAYS.INTL(E88,F88,11)*100,1)))-0)</f>
        <v/>
      </c>
      <c r="H88" s="36" t="str">
        <f aca="false">IF(OR(NOT(AND(ISNUMBER(E88),ISNUMBER(F88))),$J$2=""),"",IF(Reprogramaciones!L$9&lt;E88,0,IF(NETWORKDAYS.INTL(E88,F88,11)=0,IF(Reprogramaciones!L$9&gt;=F88,100,0),ROUND(NETWORKDAYS.INTL(E88,MIN(F88,Reprogramaciones!L$9),11)/NETWORKDAYS.INTL(E88,F88,11)*100,1)))-IF(Reprogramaciones!K$9&lt;E88,0,IF(NETWORKDAYS.INTL(E88,F88,11)=0,IF(Reprogramaciones!K$9&gt;=F88,100,0),ROUND(NETWORKDAYS.INTL(E88,MIN(F88,Reprogramaciones!K$9),11)/NETWORKDAYS.INTL(E88,F88,11)*100,1))))</f>
        <v/>
      </c>
      <c r="I88" s="36" t="str">
        <f aca="false">IF(OR(NOT(AND(ISNUMBER(E88),ISNUMBER(F88))),$J$2=""),"",IF(Reprogramaciones!M$9&lt;E88,0,IF(NETWORKDAYS.INTL(E88,F88,11)=0,IF(Reprogramaciones!M$9&gt;=F88,100,0),ROUND(NETWORKDAYS.INTL(E88,MIN(F88,Reprogramaciones!M$9),11)/NETWORKDAYS.INTL(E88,F88,11)*100,1)))-IF(Reprogramaciones!L$9&lt;E88,0,IF(NETWORKDAYS.INTL(E88,F88,11)=0,IF(Reprogramaciones!L$9&gt;=F88,100,0),ROUND(NETWORKDAYS.INTL(E88,MIN(F88,Reprogramaciones!L$9),11)/NETWORKDAYS.INTL(E88,F88,11)*100,1))))</f>
        <v/>
      </c>
      <c r="J88" s="36" t="str">
        <f aca="false">IF(OR(NOT(AND(ISNUMBER(E88),ISNUMBER(F88))),$J$2=""),"",IF(Reprogramaciones!N$9&lt;E88,0,IF(NETWORKDAYS.INTL(E88,F88,11)=0,IF(Reprogramaciones!N$9&gt;=F88,100,0),ROUND(NETWORKDAYS.INTL(E88,MIN(F88,Reprogramaciones!N$9),11)/NETWORKDAYS.INTL(E88,F88,11)*100,1)))-IF(Reprogramaciones!M$9&lt;E88,0,IF(NETWORKDAYS.INTL(E88,F88,11)=0,IF(Reprogramaciones!M$9&gt;=F88,100,0),ROUND(NETWORKDAYS.INTL(E88,MIN(F88,Reprogramaciones!M$9),11)/NETWORKDAYS.INTL(E88,F88,11)*100,1))))</f>
        <v/>
      </c>
      <c r="K88" s="36" t="str">
        <f aca="false">IF(OR(NOT(AND(ISNUMBER(E88),ISNUMBER(F88))),$J$2=""),"",IF(Reprogramaciones!O$9&lt;E88,0,IF(NETWORKDAYS.INTL(E88,F88,11)=0,IF(Reprogramaciones!O$9&gt;=F88,100,0),ROUND(NETWORKDAYS.INTL(E88,MIN(F88,Reprogramaciones!O$9),11)/NETWORKDAYS.INTL(E88,F88,11)*100,1)))-IF(Reprogramaciones!N$9&lt;E88,0,IF(NETWORKDAYS.INTL(E88,F88,11)=0,IF(Reprogramaciones!N$9&gt;=F88,100,0),ROUND(NETWORKDAYS.INTL(E88,MIN(F88,Reprogramaciones!N$9),11)/NETWORKDAYS.INTL(E88,F88,11)*100,1))))</f>
        <v/>
      </c>
      <c r="L88" s="36" t="str">
        <f aca="false">IF(OR(NOT(AND(ISNUMBER(E88),ISNUMBER(F88))),$J$2=""),"",IF(Reprogramaciones!P$9&lt;E88,0,IF(NETWORKDAYS.INTL(E88,F88,11)=0,IF(Reprogramaciones!P$9&gt;=F88,100,0),ROUND(NETWORKDAYS.INTL(E88,MIN(F88,Reprogramaciones!P$9),11)/NETWORKDAYS.INTL(E88,F88,11)*100,1)))-IF(Reprogramaciones!O$9&lt;E88,0,IF(NETWORKDAYS.INTL(E88,F88,11)=0,IF(Reprogramaciones!O$9&gt;=F88,100,0),ROUND(NETWORKDAYS.INTL(E88,MIN(F88,Reprogramaciones!O$9),11)/NETWORKDAYS.INTL(E88,F88,11)*100,1))))</f>
        <v/>
      </c>
      <c r="M88" s="36" t="str">
        <f aca="false">IF(OR(NOT(AND(ISNUMBER(E88),ISNUMBER(F88))),$J$2=""),"",IF(Reprogramaciones!Q$9&lt;E88,0,IF(NETWORKDAYS.INTL(E88,F88,11)=0,IF(Reprogramaciones!Q$9&gt;=F88,100,0),ROUND(NETWORKDAYS.INTL(E88,MIN(F88,Reprogramaciones!Q$9),11)/NETWORKDAYS.INTL(E88,F88,11)*100,1)))-IF(Reprogramaciones!P$9&lt;E88,0,IF(NETWORKDAYS.INTL(E88,F88,11)=0,IF(Reprogramaciones!P$9&gt;=F88,100,0),ROUND(NETWORKDAYS.INTL(E88,MIN(F88,Reprogramaciones!P$9),11)/NETWORKDAYS.INTL(E88,F88,11)*100,1))))</f>
        <v/>
      </c>
      <c r="N88" s="36" t="str">
        <f aca="false">IF(OR(NOT(AND(ISNUMBER(E88),ISNUMBER(F88))),$J$2=""),"",IF(Reprogramaciones!R$9&lt;E88,0,IF(NETWORKDAYS.INTL(E88,F88,11)=0,IF(Reprogramaciones!R$9&gt;=F88,100,0),ROUND(NETWORKDAYS.INTL(E88,MIN(F88,Reprogramaciones!R$9),11)/NETWORKDAYS.INTL(E88,F88,11)*100,1)))-IF(Reprogramaciones!Q$9&lt;E88,0,IF(NETWORKDAYS.INTL(E88,F88,11)=0,IF(Reprogramaciones!Q$9&gt;=F88,100,0),ROUND(NETWORKDAYS.INTL(E88,MIN(F88,Reprogramaciones!Q$9),11)/NETWORKDAYS.INTL(E88,F88,11)*100,1))))</f>
        <v/>
      </c>
      <c r="O88" s="36" t="str">
        <f aca="false">IF(OR(NOT(AND(ISNUMBER(E88),ISNUMBER(F88))),$J$2=""),"",IF(Reprogramaciones!S$9&lt;E88,0,IF(NETWORKDAYS.INTL(E88,F88,11)=0,IF(Reprogramaciones!S$9&gt;=F88,100,0),ROUND(NETWORKDAYS.INTL(E88,MIN(F88,Reprogramaciones!S$9),11)/NETWORKDAYS.INTL(E88,F88,11)*100,1)))-IF(Reprogramaciones!R$9&lt;E88,0,IF(NETWORKDAYS.INTL(E88,F88,11)=0,IF(Reprogramaciones!R$9&gt;=F88,100,0),ROUND(NETWORKDAYS.INTL(E88,MIN(F88,Reprogramaciones!R$9),11)/NETWORKDAYS.INTL(E88,F88,11)*100,1))))</f>
        <v/>
      </c>
      <c r="P88" s="36" t="str">
        <f aca="false">IF(OR(NOT(AND(ISNUMBER(E88),ISNUMBER(F88))),$J$2=""),"",IF(Reprogramaciones!T$9&lt;E88,0,IF(NETWORKDAYS.INTL(E88,F88,11)=0,IF(Reprogramaciones!T$9&gt;=F88,100,0),ROUND(NETWORKDAYS.INTL(E88,MIN(F88,Reprogramaciones!T$9),11)/NETWORKDAYS.INTL(E88,F88,11)*100,1)))-IF(Reprogramaciones!S$9&lt;E88,0,IF(NETWORKDAYS.INTL(E88,F88,11)=0,IF(Reprogramaciones!S$9&gt;=F88,100,0),ROUND(NETWORKDAYS.INTL(E88,MIN(F88,Reprogramaciones!S$9),11)/NETWORKDAYS.INTL(E88,F88,11)*100,1))))</f>
        <v/>
      </c>
      <c r="Q88" s="37"/>
      <c r="R88" s="37"/>
      <c r="S88" s="37"/>
      <c r="T88" s="37"/>
      <c r="U88" s="37"/>
      <c r="V88" s="37"/>
      <c r="W88" s="37"/>
      <c r="X88" s="37"/>
      <c r="Y88" s="37"/>
      <c r="Z88" s="37"/>
      <c r="AA88" s="37"/>
      <c r="AB88" s="37"/>
      <c r="AC88" s="37"/>
      <c r="AD88" s="37"/>
      <c r="AE88" s="37"/>
      <c r="AF88" s="37"/>
      <c r="AG88" s="38" t="str">
        <f aca="false">IF(AND(ISNUMBER(E88),ISNUMBER(F88)),NETWORKDAYS.INTL(E88,F88,11),"")</f>
        <v/>
      </c>
      <c r="AH88" s="38" t="str">
        <f aca="false">IF(OR(NOT(AND(ISNUMBER(E88),ISNUMBER(F88))),$J$2=""),"",IF(Reprogramaciones!$P$15&lt;Reprogramaciones!$T$15,0,IF(Reprogramaciones!$R$15&gt;10,MIN(100,SUM($G88:$P88)),MIN(100,SUMPRODUCT((COLUMN($G88:$P88)-COLUMN($G88)+1&lt;Reprogramaciones!$R$15)*$G88:$P88)+N(INDEX($G88:$P88,1,Reprogramaciones!$R$15))*IF(Reprogramaciones!$P$15&gt;=(Reprogramaciones!$T$15+7*(Reprogramaciones!$R$15-1))+6,1,IF(MAX(0,NETWORKDAYS.INTL(MAX(E88,(Reprogramaciones!$T$15+7*(Reprogramaciones!$R$15-1))),MIN(F88,(Reprogramaciones!$T$15+7*(Reprogramaciones!$R$15-1))+6),11))=0,0,MAX(0,NETWORKDAYS.INTL(MAX(E88,(Reprogramaciones!$T$15+7*(Reprogramaciones!$R$15-1))),MIN(F88,Reprogramaciones!$P$15),11))/MAX(0,NETWORKDAYS.INTL(MAX(E88,(Reprogramaciones!$T$15+7*(Reprogramaciones!$R$15-1))),MIN(F88,(Reprogramaciones!$T$15+7*(Reprogramaciones!$R$15-1))+6),11))))))))</f>
        <v/>
      </c>
      <c r="AI88" s="38" t="str">
        <f aca="false">IF(COUNT($Q88:$AF88)=0,"",IF(ROUND(SUM($Q88:$AF88),1)&gt;=99.5,100,MIN(100,ROUND(SUM($Q88:$AF88),1))))</f>
        <v/>
      </c>
      <c r="AJ88" s="38" t="str">
        <f aca="false">IF(OR(AH88="",AI88=""),"",AI88-AH88)</f>
        <v/>
      </c>
      <c r="AK88" s="39" t="str">
        <f aca="true">IF(AH88="","",IF(OR(Ficha!$C$10="Suspendida",Ficha!$C$10="Cancelada"),Ficha!$C$10,IF(AND(AI88&lt;&gt;"",N(AI88)&gt;=100),"Completada",IF(AND(E88&gt;TODAY(),N(AI88)=0),"Por iniciar",IF(N(AI88)+0.5&lt;AH88,"Retrasada",IF(N(AI88)+0.5&lt;DA88,IF(Reprogramaciones!$K$15&gt;0,"Al día · Sem "&amp;Reprogramaciones!$K$15&amp;" en curso","Al día · en curso"),"A tiempo"))))))</f>
        <v/>
      </c>
      <c r="AL88" s="39" t="str">
        <f aca="true">IF(AND(A88="",AND(B88="",C88="",E88="",F88="",COUNT(Q88:AF88)=0)),"",IF(AND(B88="",C88="",E88="",F88="",COUNT(Q88:AF88)=0),"Falta la partida o subpartida",IF(AND(A88&lt;&gt;"",COUNTIF($A$6:$A$305,A88)&gt;1),"Ítem repetido",IF(AND(C88="",E88="",F88="",COUNT(Q88:AF88)=0),"Título de partida",IF(OR(E88="",F88=""),"Faltan fechas",IF(OR(ISTEXT(E88),ISTEXT(F88)),"Fecha escrita como texto: usa dd/mm/aaaa",IF(F88&lt;E88,"Fin antes del inicio",IF(IF($J$2="",FALSE(),OR(E88&lt;$J$2,F88&gt;Reprogramaciones!$T$15+69)),"Fuera de las 10 semanas",IF(ABS(SUM(G88:P88)-100)&gt;0.5,"La meta no suma 100%",IF(ROUND(SUM(Q88:AF88),1)&gt;100.5,"El avance pasa de 100%",IF(MIN(Q88:AF88)&lt;0,"Avance negativo",IF(COUNTA(Q88:AF88)&gt;COUNT(Q88:AF88),"Avance escrito como texto",IF(SUMPRODUCT((Q88:AF88&gt;0)*(Q88:AF88&lt;1))&gt;0,"Avance menor a 1: escribe 50, no 50%",IF(SUMPRODUCT(ISNUMBER(Q88:AF88)*(Reprogramaciones!$K$8:$Z$8&gt;TODAY()))&gt;0,"Avance en semana que aún no llega",IF(AND(N(Reprogramaciones!$E$21)&gt;0,F88&gt;Reprogramaciones!$E$21),"Pasa el fin de la obra: registra una reprogramación",IF(AND(N(Reprogramaciones!$E$21)&gt;0,SUMPRODUCT(ISNUMBER(Q88:AF88)*(Reprogramaciones!$K$8:$Z$8&gt;Reprogramaciones!$E$21))&gt;0),"Avance después del fin de la obra: registra una reprogramación por atraso","OK"))))))))))))))))</f>
        <v/>
      </c>
      <c r="AM88" s="40" t="str">
        <f aca="false">IF(OR(OR(NOT(AND(ISNUMBER(E88),ISNUMBER(F88))),$J$2=""),1&gt;MAX(1,Reprogramaciones!$U$15)),"",IF(Reprogramaciones!K$12&gt;=7,"",IF(OR(BT88-N(0)&gt;0.05,N(Q88)&gt;0),ROUNDDOWN(ROUND(BT88,6),0)&amp;"%"&amp;IF(CJ88="",""," / "&amp;CJ88&amp;"%"),IF(AND(N(0)&gt;=99.95,CJ88&lt;&gt;"",N(CJ88)&lt;100),"Pend. "&amp;CJ88&amp;"%",""))))</f>
        <v/>
      </c>
      <c r="AN88" s="40" t="str">
        <f aca="false">IF(OR(OR(NOT(AND(ISNUMBER(E88),ISNUMBER(F88))),$J$2=""),2&gt;MAX(1,Reprogramaciones!$U$15)),"",IF(Reprogramaciones!L$12&gt;=7,"",IF(OR(BU88-N(BT88)&gt;0.05,N(R88)&gt;0),ROUNDDOWN(ROUND(BU88,6),0)&amp;"%"&amp;IF(CK88="",""," / "&amp;CK88&amp;"%"),IF(AND(N(BT88)&gt;=99.95,CK88&lt;&gt;"",N(CK88)&lt;100),"Pend. "&amp;CK88&amp;"%",""))))</f>
        <v/>
      </c>
      <c r="AO88" s="40" t="str">
        <f aca="false">IF(OR(OR(NOT(AND(ISNUMBER(E88),ISNUMBER(F88))),$J$2=""),3&gt;MAX(1,Reprogramaciones!$U$15)),"",IF(Reprogramaciones!M$12&gt;=7,"",IF(OR(BV88-N(BU88)&gt;0.05,N(S88)&gt;0),ROUNDDOWN(ROUND(BV88,6),0)&amp;"%"&amp;IF(CL88="",""," / "&amp;CL88&amp;"%"),IF(AND(N(BU88)&gt;=99.95,CL88&lt;&gt;"",N(CL88)&lt;100),"Pend. "&amp;CL88&amp;"%",""))))</f>
        <v/>
      </c>
      <c r="AP88" s="40" t="str">
        <f aca="false">IF(OR(OR(NOT(AND(ISNUMBER(E88),ISNUMBER(F88))),$J$2=""),4&gt;MAX(1,Reprogramaciones!$U$15)),"",IF(Reprogramaciones!N$12&gt;=7,"",IF(OR(BW88-N(BV88)&gt;0.05,N(T88)&gt;0),ROUNDDOWN(ROUND(BW88,6),0)&amp;"%"&amp;IF(CM88="",""," / "&amp;CM88&amp;"%"),IF(AND(N(BV88)&gt;=99.95,CM88&lt;&gt;"",N(CM88)&lt;100),"Pend. "&amp;CM88&amp;"%",""))))</f>
        <v/>
      </c>
      <c r="AQ88" s="40" t="str">
        <f aca="false">IF(OR(OR(NOT(AND(ISNUMBER(E88),ISNUMBER(F88))),$J$2=""),5&gt;MAX(1,Reprogramaciones!$U$15)),"",IF(Reprogramaciones!O$12&gt;=7,"",IF(OR(BX88-N(BW88)&gt;0.05,N(U88)&gt;0),ROUNDDOWN(ROUND(BX88,6),0)&amp;"%"&amp;IF(CN88="",""," / "&amp;CN88&amp;"%"),IF(AND(N(BW88)&gt;=99.95,CN88&lt;&gt;"",N(CN88)&lt;100),"Pend. "&amp;CN88&amp;"%",""))))</f>
        <v/>
      </c>
      <c r="AR88" s="40" t="str">
        <f aca="false">IF(OR(OR(NOT(AND(ISNUMBER(E88),ISNUMBER(F88))),$J$2=""),6&gt;MAX(1,Reprogramaciones!$U$15)),"",IF(Reprogramaciones!P$12&gt;=7,"",IF(OR(BY88-N(BX88)&gt;0.05,N(V88)&gt;0),ROUNDDOWN(ROUND(BY88,6),0)&amp;"%"&amp;IF(CO88="",""," / "&amp;CO88&amp;"%"),IF(AND(N(BX88)&gt;=99.95,CO88&lt;&gt;"",N(CO88)&lt;100),"Pend. "&amp;CO88&amp;"%",""))))</f>
        <v/>
      </c>
      <c r="AS88" s="40" t="str">
        <f aca="false">IF(OR(OR(NOT(AND(ISNUMBER(E88),ISNUMBER(F88))),$J$2=""),7&gt;MAX(1,Reprogramaciones!$U$15)),"",IF(Reprogramaciones!Q$12&gt;=7,"",IF(OR(BZ88-N(BY88)&gt;0.05,N(W88)&gt;0),ROUNDDOWN(ROUND(BZ88,6),0)&amp;"%"&amp;IF(CP88="",""," / "&amp;CP88&amp;"%"),IF(AND(N(BY88)&gt;=99.95,CP88&lt;&gt;"",N(CP88)&lt;100),"Pend. "&amp;CP88&amp;"%",""))))</f>
        <v/>
      </c>
      <c r="AT88" s="40" t="str">
        <f aca="false">IF(OR(OR(NOT(AND(ISNUMBER(E88),ISNUMBER(F88))),$J$2=""),8&gt;MAX(1,Reprogramaciones!$U$15)),"",IF(Reprogramaciones!R$12&gt;=7,"",IF(OR(CA88-N(BZ88)&gt;0.05,N(X88)&gt;0),ROUNDDOWN(ROUND(CA88,6),0)&amp;"%"&amp;IF(CQ88="",""," / "&amp;CQ88&amp;"%"),IF(AND(N(BZ88)&gt;=99.95,CQ88&lt;&gt;"",N(CQ88)&lt;100),"Pend. "&amp;CQ88&amp;"%",""))))</f>
        <v/>
      </c>
      <c r="AU88" s="40" t="str">
        <f aca="false">IF(OR(OR(NOT(AND(ISNUMBER(E88),ISNUMBER(F88))),$J$2=""),9&gt;MAX(1,Reprogramaciones!$U$15)),"",IF(Reprogramaciones!S$12&gt;=7,"",IF(OR(CB88-N(CA88)&gt;0.05,N(Y88)&gt;0),ROUNDDOWN(ROUND(CB88,6),0)&amp;"%"&amp;IF(CR88="",""," / "&amp;CR88&amp;"%"),IF(AND(N(CA88)&gt;=99.95,CR88&lt;&gt;"",N(CR88)&lt;100),"Pend. "&amp;CR88&amp;"%",""))))</f>
        <v/>
      </c>
      <c r="AV88" s="40" t="str">
        <f aca="false">IF(OR(OR(NOT(AND(ISNUMBER(E88),ISNUMBER(F88))),$J$2=""),10&gt;MAX(1,Reprogramaciones!$U$15)),"",IF(Reprogramaciones!T$12&gt;=7,"",IF(OR(CC88-N(CB88)&gt;0.05,N(Z88)&gt;0),ROUNDDOWN(ROUND(CC88,6),0)&amp;"%"&amp;IF(CS88="",""," / "&amp;CS88&amp;"%"),IF(AND(N(CB88)&gt;=99.95,CS88&lt;&gt;"",N(CS88)&lt;100),"Pend. "&amp;CS88&amp;"%",""))))</f>
        <v/>
      </c>
      <c r="AW88" s="40" t="str">
        <f aca="false">IF(OR(OR(NOT(AND(ISNUMBER(E88),ISNUMBER(F88))),$J$2=""),11&gt;MAX(1,Reprogramaciones!$U$15)),"",IF(Reprogramaciones!U$12&gt;=7,"",IF(OR(CD88-N(CC88)&gt;0.05,N(AA88)&gt;0),ROUNDDOWN(ROUND(CD88,6),0)&amp;"%"&amp;IF(CT88="",""," / "&amp;CT88&amp;"%"),IF(AND(N(CC88)&gt;=99.95,CT88&lt;&gt;"",N(CT88)&lt;100),"Pend. "&amp;CT88&amp;"%",""))))</f>
        <v/>
      </c>
      <c r="AX88" s="40" t="str">
        <f aca="false">IF(OR(OR(NOT(AND(ISNUMBER(E88),ISNUMBER(F88))),$J$2=""),12&gt;MAX(1,Reprogramaciones!$U$15)),"",IF(Reprogramaciones!V$12&gt;=7,"",IF(OR(CE88-N(CD88)&gt;0.05,N(AB88)&gt;0),ROUNDDOWN(ROUND(CE88,6),0)&amp;"%"&amp;IF(CU88="",""," / "&amp;CU88&amp;"%"),IF(AND(N(CD88)&gt;=99.95,CU88&lt;&gt;"",N(CU88)&lt;100),"Pend. "&amp;CU88&amp;"%",""))))</f>
        <v/>
      </c>
      <c r="AY88" s="40" t="str">
        <f aca="false">IF(OR(OR(NOT(AND(ISNUMBER(E88),ISNUMBER(F88))),$J$2=""),13&gt;MAX(1,Reprogramaciones!$U$15)),"",IF(Reprogramaciones!W$12&gt;=7,"",IF(OR(CF88-N(CE88)&gt;0.05,N(AC88)&gt;0),ROUNDDOWN(ROUND(CF88,6),0)&amp;"%"&amp;IF(CV88="",""," / "&amp;CV88&amp;"%"),IF(AND(N(CE88)&gt;=99.95,CV88&lt;&gt;"",N(CV88)&lt;100),"Pend. "&amp;CV88&amp;"%",""))))</f>
        <v/>
      </c>
      <c r="AZ88" s="40" t="str">
        <f aca="false">IF(OR(OR(NOT(AND(ISNUMBER(E88),ISNUMBER(F88))),$J$2=""),14&gt;MAX(1,Reprogramaciones!$U$15)),"",IF(Reprogramaciones!X$12&gt;=7,"",IF(OR(CG88-N(CF88)&gt;0.05,N(AD88)&gt;0),ROUNDDOWN(ROUND(CG88,6),0)&amp;"%"&amp;IF(CW88="",""," / "&amp;CW88&amp;"%"),IF(AND(N(CF88)&gt;=99.95,CW88&lt;&gt;"",N(CW88)&lt;100),"Pend. "&amp;CW88&amp;"%",""))))</f>
        <v/>
      </c>
      <c r="BA88" s="40" t="str">
        <f aca="false">IF(OR(OR(NOT(AND(ISNUMBER(E88),ISNUMBER(F88))),$J$2=""),15&gt;MAX(1,Reprogramaciones!$U$15)),"",IF(Reprogramaciones!Y$12&gt;=7,"",IF(OR(CH88-N(CG88)&gt;0.05,N(AE88)&gt;0),ROUNDDOWN(ROUND(CH88,6),0)&amp;"%"&amp;IF(CX88="",""," / "&amp;CX88&amp;"%"),IF(AND(N(CG88)&gt;=99.95,CX88&lt;&gt;"",N(CX88)&lt;100),"Pend. "&amp;CX88&amp;"%",""))))</f>
        <v/>
      </c>
      <c r="BB88" s="40" t="str">
        <f aca="false">IF(OR(OR(NOT(AND(ISNUMBER(E88),ISNUMBER(F88))),$J$2=""),16&gt;MAX(1,Reprogramaciones!$U$15)),"",IF(Reprogramaciones!Z$12&gt;=7,"",IF(OR(CI88-N(CH88)&gt;0.05,N(AF88)&gt;0),ROUNDDOWN(ROUND(CI88,6),0)&amp;"%"&amp;IF(CY88="",""," / "&amp;CY88&amp;"%"),IF(AND(N(CH88)&gt;=99.95,CY88&lt;&gt;"",N(CY88)&lt;100),"Pend. "&amp;CY88&amp;"%",""))))</f>
        <v/>
      </c>
      <c r="BC88" s="31" t="n">
        <f aca="false">IF(AND(ISNUMBER(E88),ISNUMBER(F88)),MAX(1,NETWORKDAYS.INTL(E88,F88,11)),0)</f>
        <v>0</v>
      </c>
      <c r="BD88" s="1" t="str">
        <f aca="false">IF(OR(NOT(AND(ISNUMBER(E88),ISNUMBER(F88))),$J$2=""),"",MIN(100,ROUND(SUM($G88:G88),1)))</f>
        <v/>
      </c>
      <c r="BE88" s="1" t="str">
        <f aca="false">IF(OR(NOT(AND(ISNUMBER(E88),ISNUMBER(F88))),$J$2=""),"",MIN(100,ROUND(SUM($G88:H88),1)))</f>
        <v/>
      </c>
      <c r="BF88" s="1" t="str">
        <f aca="false">IF(OR(NOT(AND(ISNUMBER(E88),ISNUMBER(F88))),$J$2=""),"",MIN(100,ROUND(SUM($G88:I88),1)))</f>
        <v/>
      </c>
      <c r="BG88" s="1" t="str">
        <f aca="false">IF(OR(NOT(AND(ISNUMBER(E88),ISNUMBER(F88))),$J$2=""),"",MIN(100,ROUND(SUM($G88:J88),1)))</f>
        <v/>
      </c>
      <c r="BH88" s="1" t="str">
        <f aca="false">IF(OR(NOT(AND(ISNUMBER(E88),ISNUMBER(F88))),$J$2=""),"",MIN(100,ROUND(SUM($G88:K88),1)))</f>
        <v/>
      </c>
      <c r="BI88" s="1" t="str">
        <f aca="false">IF(OR(NOT(AND(ISNUMBER(E88),ISNUMBER(F88))),$J$2=""),"",MIN(100,ROUND(SUM($G88:L88),1)))</f>
        <v/>
      </c>
      <c r="BJ88" s="1" t="str">
        <f aca="false">IF(OR(NOT(AND(ISNUMBER(E88),ISNUMBER(F88))),$J$2=""),"",MIN(100,ROUND(SUM($G88:M88),1)))</f>
        <v/>
      </c>
      <c r="BK88" s="1" t="str">
        <f aca="false">IF(OR(NOT(AND(ISNUMBER(E88),ISNUMBER(F88))),$J$2=""),"",MIN(100,ROUND(SUM($G88:N88),1)))</f>
        <v/>
      </c>
      <c r="BL88" s="1" t="str">
        <f aca="false">IF(OR(NOT(AND(ISNUMBER(E88),ISNUMBER(F88))),$J$2=""),"",MIN(100,ROUND(SUM($G88:O88),1)))</f>
        <v/>
      </c>
      <c r="BM88" s="1" t="str">
        <f aca="false">IF(OR(NOT(AND(ISNUMBER(E88),ISNUMBER(F88))),$J$2=""),"",MIN(100,ROUND(SUM($G88:P88),1)))</f>
        <v/>
      </c>
      <c r="BN88" s="1" t="str">
        <f aca="false">IF(OR(NOT(AND(ISNUMBER(E88),ISNUMBER(F88))),$J$2=""),"",MIN(100,ROUND(SUM($G88:P88),1)))</f>
        <v/>
      </c>
      <c r="BO88" s="1" t="str">
        <f aca="false">IF(OR(NOT(AND(ISNUMBER(E88),ISNUMBER(F88))),$J$2=""),"",MIN(100,ROUND(SUM($G88:P88),1)))</f>
        <v/>
      </c>
      <c r="BP88" s="1" t="str">
        <f aca="false">IF(OR(NOT(AND(ISNUMBER(E88),ISNUMBER(F88))),$J$2=""),"",MIN(100,ROUND(SUM($G88:P88),1)))</f>
        <v/>
      </c>
      <c r="BQ88" s="1" t="str">
        <f aca="false">IF(OR(NOT(AND(ISNUMBER(E88),ISNUMBER(F88))),$J$2=""),"",MIN(100,ROUND(SUM($G88:P88),1)))</f>
        <v/>
      </c>
      <c r="BR88" s="1" t="str">
        <f aca="false">IF(OR(NOT(AND(ISNUMBER(E88),ISNUMBER(F88))),$J$2=""),"",MIN(100,ROUND(SUM($G88:P88),1)))</f>
        <v/>
      </c>
      <c r="BS88" s="1" t="str">
        <f aca="false">IF(OR(NOT(AND(ISNUMBER(E88),ISNUMBER(F88))),$J$2=""),"",MIN(100,ROUND(SUM($G88:P88),1)))</f>
        <v/>
      </c>
      <c r="BT88" s="1" t="str">
        <f aca="false">IF(OR(NOT(AND(ISNUMBER(E88),ISNUMBER(F88))),$J$2=""),"",IF(Reprogramaciones!K$13&lt;Reprogramaciones!$T$15,0,IF(Reprogramaciones!K$14&gt;10,MIN(100,SUM($G88:$P88)),MIN(100,SUMPRODUCT((COLUMN($G88:$P88)-COLUMN($G88)+1&lt;Reprogramaciones!K$14)*$G88:$P88)+N(INDEX($G88:$P88,1,Reprogramaciones!K$14))*IF(Reprogramaciones!K$13&gt;=(Reprogramaciones!$T$15+7*(Reprogramaciones!K$14-1))+6,1,IF(MAX(0,NETWORKDAYS.INTL(MAX(E88,(Reprogramaciones!$T$15+7*(Reprogramaciones!K$14-1))),MIN(F88,(Reprogramaciones!$T$15+7*(Reprogramaciones!K$14-1))+6),11))=0,0,MAX(0,NETWORKDAYS.INTL(MAX(E88,(Reprogramaciones!$T$15+7*(Reprogramaciones!K$14-1))),MIN(F88,Reprogramaciones!K$13),11))/MAX(0,NETWORKDAYS.INTL(MAX(E88,(Reprogramaciones!$T$15+7*(Reprogramaciones!K$14-1))),MIN(F88,(Reprogramaciones!$T$15+7*(Reprogramaciones!K$14-1))+6),11))))))))</f>
        <v/>
      </c>
      <c r="BU88" s="1" t="str">
        <f aca="false">IF(OR(NOT(AND(ISNUMBER(E88),ISNUMBER(F88))),$J$2=""),"",IF(Reprogramaciones!L$13&lt;Reprogramaciones!$T$15,0,IF(Reprogramaciones!L$14&gt;10,MIN(100,SUM($G88:$P88)),MIN(100,SUMPRODUCT((COLUMN($G88:$P88)-COLUMN($G88)+1&lt;Reprogramaciones!L$14)*$G88:$P88)+N(INDEX($G88:$P88,1,Reprogramaciones!L$14))*IF(Reprogramaciones!L$13&gt;=(Reprogramaciones!$T$15+7*(Reprogramaciones!L$14-1))+6,1,IF(MAX(0,NETWORKDAYS.INTL(MAX(E88,(Reprogramaciones!$T$15+7*(Reprogramaciones!L$14-1))),MIN(F88,(Reprogramaciones!$T$15+7*(Reprogramaciones!L$14-1))+6),11))=0,0,MAX(0,NETWORKDAYS.INTL(MAX(E88,(Reprogramaciones!$T$15+7*(Reprogramaciones!L$14-1))),MIN(F88,Reprogramaciones!L$13),11))/MAX(0,NETWORKDAYS.INTL(MAX(E88,(Reprogramaciones!$T$15+7*(Reprogramaciones!L$14-1))),MIN(F88,(Reprogramaciones!$T$15+7*(Reprogramaciones!L$14-1))+6),11))))))))</f>
        <v/>
      </c>
      <c r="BV88" s="1" t="str">
        <f aca="false">IF(OR(NOT(AND(ISNUMBER(E88),ISNUMBER(F88))),$J$2=""),"",IF(Reprogramaciones!M$13&lt;Reprogramaciones!$T$15,0,IF(Reprogramaciones!M$14&gt;10,MIN(100,SUM($G88:$P88)),MIN(100,SUMPRODUCT((COLUMN($G88:$P88)-COLUMN($G88)+1&lt;Reprogramaciones!M$14)*$G88:$P88)+N(INDEX($G88:$P88,1,Reprogramaciones!M$14))*IF(Reprogramaciones!M$13&gt;=(Reprogramaciones!$T$15+7*(Reprogramaciones!M$14-1))+6,1,IF(MAX(0,NETWORKDAYS.INTL(MAX(E88,(Reprogramaciones!$T$15+7*(Reprogramaciones!M$14-1))),MIN(F88,(Reprogramaciones!$T$15+7*(Reprogramaciones!M$14-1))+6),11))=0,0,MAX(0,NETWORKDAYS.INTL(MAX(E88,(Reprogramaciones!$T$15+7*(Reprogramaciones!M$14-1))),MIN(F88,Reprogramaciones!M$13),11))/MAX(0,NETWORKDAYS.INTL(MAX(E88,(Reprogramaciones!$T$15+7*(Reprogramaciones!M$14-1))),MIN(F88,(Reprogramaciones!$T$15+7*(Reprogramaciones!M$14-1))+6),11))))))))</f>
        <v/>
      </c>
      <c r="BW88" s="1" t="str">
        <f aca="false">IF(OR(NOT(AND(ISNUMBER(E88),ISNUMBER(F88))),$J$2=""),"",IF(Reprogramaciones!N$13&lt;Reprogramaciones!$T$15,0,IF(Reprogramaciones!N$14&gt;10,MIN(100,SUM($G88:$P88)),MIN(100,SUMPRODUCT((COLUMN($G88:$P88)-COLUMN($G88)+1&lt;Reprogramaciones!N$14)*$G88:$P88)+N(INDEX($G88:$P88,1,Reprogramaciones!N$14))*IF(Reprogramaciones!N$13&gt;=(Reprogramaciones!$T$15+7*(Reprogramaciones!N$14-1))+6,1,IF(MAX(0,NETWORKDAYS.INTL(MAX(E88,(Reprogramaciones!$T$15+7*(Reprogramaciones!N$14-1))),MIN(F88,(Reprogramaciones!$T$15+7*(Reprogramaciones!N$14-1))+6),11))=0,0,MAX(0,NETWORKDAYS.INTL(MAX(E88,(Reprogramaciones!$T$15+7*(Reprogramaciones!N$14-1))),MIN(F88,Reprogramaciones!N$13),11))/MAX(0,NETWORKDAYS.INTL(MAX(E88,(Reprogramaciones!$T$15+7*(Reprogramaciones!N$14-1))),MIN(F88,(Reprogramaciones!$T$15+7*(Reprogramaciones!N$14-1))+6),11))))))))</f>
        <v/>
      </c>
      <c r="BX88" s="1" t="str">
        <f aca="false">IF(OR(NOT(AND(ISNUMBER(E88),ISNUMBER(F88))),$J$2=""),"",IF(Reprogramaciones!O$13&lt;Reprogramaciones!$T$15,0,IF(Reprogramaciones!O$14&gt;10,MIN(100,SUM($G88:$P88)),MIN(100,SUMPRODUCT((COLUMN($G88:$P88)-COLUMN($G88)+1&lt;Reprogramaciones!O$14)*$G88:$P88)+N(INDEX($G88:$P88,1,Reprogramaciones!O$14))*IF(Reprogramaciones!O$13&gt;=(Reprogramaciones!$T$15+7*(Reprogramaciones!O$14-1))+6,1,IF(MAX(0,NETWORKDAYS.INTL(MAX(E88,(Reprogramaciones!$T$15+7*(Reprogramaciones!O$14-1))),MIN(F88,(Reprogramaciones!$T$15+7*(Reprogramaciones!O$14-1))+6),11))=0,0,MAX(0,NETWORKDAYS.INTL(MAX(E88,(Reprogramaciones!$T$15+7*(Reprogramaciones!O$14-1))),MIN(F88,Reprogramaciones!O$13),11))/MAX(0,NETWORKDAYS.INTL(MAX(E88,(Reprogramaciones!$T$15+7*(Reprogramaciones!O$14-1))),MIN(F88,(Reprogramaciones!$T$15+7*(Reprogramaciones!O$14-1))+6),11))))))))</f>
        <v/>
      </c>
      <c r="BY88" s="1" t="str">
        <f aca="false">IF(OR(NOT(AND(ISNUMBER(E88),ISNUMBER(F88))),$J$2=""),"",IF(Reprogramaciones!P$13&lt;Reprogramaciones!$T$15,0,IF(Reprogramaciones!P$14&gt;10,MIN(100,SUM($G88:$P88)),MIN(100,SUMPRODUCT((COLUMN($G88:$P88)-COLUMN($G88)+1&lt;Reprogramaciones!P$14)*$G88:$P88)+N(INDEX($G88:$P88,1,Reprogramaciones!P$14))*IF(Reprogramaciones!P$13&gt;=(Reprogramaciones!$T$15+7*(Reprogramaciones!P$14-1))+6,1,IF(MAX(0,NETWORKDAYS.INTL(MAX(E88,(Reprogramaciones!$T$15+7*(Reprogramaciones!P$14-1))),MIN(F88,(Reprogramaciones!$T$15+7*(Reprogramaciones!P$14-1))+6),11))=0,0,MAX(0,NETWORKDAYS.INTL(MAX(E88,(Reprogramaciones!$T$15+7*(Reprogramaciones!P$14-1))),MIN(F88,Reprogramaciones!P$13),11))/MAX(0,NETWORKDAYS.INTL(MAX(E88,(Reprogramaciones!$T$15+7*(Reprogramaciones!P$14-1))),MIN(F88,(Reprogramaciones!$T$15+7*(Reprogramaciones!P$14-1))+6),11))))))))</f>
        <v/>
      </c>
      <c r="BZ88" s="1" t="str">
        <f aca="false">IF(OR(NOT(AND(ISNUMBER(E88),ISNUMBER(F88))),$J$2=""),"",IF(Reprogramaciones!Q$13&lt;Reprogramaciones!$T$15,0,IF(Reprogramaciones!Q$14&gt;10,MIN(100,SUM($G88:$P88)),MIN(100,SUMPRODUCT((COLUMN($G88:$P88)-COLUMN($G88)+1&lt;Reprogramaciones!Q$14)*$G88:$P88)+N(INDEX($G88:$P88,1,Reprogramaciones!Q$14))*IF(Reprogramaciones!Q$13&gt;=(Reprogramaciones!$T$15+7*(Reprogramaciones!Q$14-1))+6,1,IF(MAX(0,NETWORKDAYS.INTL(MAX(E88,(Reprogramaciones!$T$15+7*(Reprogramaciones!Q$14-1))),MIN(F88,(Reprogramaciones!$T$15+7*(Reprogramaciones!Q$14-1))+6),11))=0,0,MAX(0,NETWORKDAYS.INTL(MAX(E88,(Reprogramaciones!$T$15+7*(Reprogramaciones!Q$14-1))),MIN(F88,Reprogramaciones!Q$13),11))/MAX(0,NETWORKDAYS.INTL(MAX(E88,(Reprogramaciones!$T$15+7*(Reprogramaciones!Q$14-1))),MIN(F88,(Reprogramaciones!$T$15+7*(Reprogramaciones!Q$14-1))+6),11))))))))</f>
        <v/>
      </c>
      <c r="CA88" s="1" t="str">
        <f aca="false">IF(OR(NOT(AND(ISNUMBER(E88),ISNUMBER(F88))),$J$2=""),"",IF(Reprogramaciones!R$13&lt;Reprogramaciones!$T$15,0,IF(Reprogramaciones!R$14&gt;10,MIN(100,SUM($G88:$P88)),MIN(100,SUMPRODUCT((COLUMN($G88:$P88)-COLUMN($G88)+1&lt;Reprogramaciones!R$14)*$G88:$P88)+N(INDEX($G88:$P88,1,Reprogramaciones!R$14))*IF(Reprogramaciones!R$13&gt;=(Reprogramaciones!$T$15+7*(Reprogramaciones!R$14-1))+6,1,IF(MAX(0,NETWORKDAYS.INTL(MAX(E88,(Reprogramaciones!$T$15+7*(Reprogramaciones!R$14-1))),MIN(F88,(Reprogramaciones!$T$15+7*(Reprogramaciones!R$14-1))+6),11))=0,0,MAX(0,NETWORKDAYS.INTL(MAX(E88,(Reprogramaciones!$T$15+7*(Reprogramaciones!R$14-1))),MIN(F88,Reprogramaciones!R$13),11))/MAX(0,NETWORKDAYS.INTL(MAX(E88,(Reprogramaciones!$T$15+7*(Reprogramaciones!R$14-1))),MIN(F88,(Reprogramaciones!$T$15+7*(Reprogramaciones!R$14-1))+6),11))))))))</f>
        <v/>
      </c>
      <c r="CB88" s="1" t="str">
        <f aca="false">IF(OR(NOT(AND(ISNUMBER(E88),ISNUMBER(F88))),$J$2=""),"",IF(Reprogramaciones!S$13&lt;Reprogramaciones!$T$15,0,IF(Reprogramaciones!S$14&gt;10,MIN(100,SUM($G88:$P88)),MIN(100,SUMPRODUCT((COLUMN($G88:$P88)-COLUMN($G88)+1&lt;Reprogramaciones!S$14)*$G88:$P88)+N(INDEX($G88:$P88,1,Reprogramaciones!S$14))*IF(Reprogramaciones!S$13&gt;=(Reprogramaciones!$T$15+7*(Reprogramaciones!S$14-1))+6,1,IF(MAX(0,NETWORKDAYS.INTL(MAX(E88,(Reprogramaciones!$T$15+7*(Reprogramaciones!S$14-1))),MIN(F88,(Reprogramaciones!$T$15+7*(Reprogramaciones!S$14-1))+6),11))=0,0,MAX(0,NETWORKDAYS.INTL(MAX(E88,(Reprogramaciones!$T$15+7*(Reprogramaciones!S$14-1))),MIN(F88,Reprogramaciones!S$13),11))/MAX(0,NETWORKDAYS.INTL(MAX(E88,(Reprogramaciones!$T$15+7*(Reprogramaciones!S$14-1))),MIN(F88,(Reprogramaciones!$T$15+7*(Reprogramaciones!S$14-1))+6),11))))))))</f>
        <v/>
      </c>
      <c r="CC88" s="1" t="str">
        <f aca="false">IF(OR(NOT(AND(ISNUMBER(E88),ISNUMBER(F88))),$J$2=""),"",IF(Reprogramaciones!T$13&lt;Reprogramaciones!$T$15,0,IF(Reprogramaciones!T$14&gt;10,MIN(100,SUM($G88:$P88)),MIN(100,SUMPRODUCT((COLUMN($G88:$P88)-COLUMN($G88)+1&lt;Reprogramaciones!T$14)*$G88:$P88)+N(INDEX($G88:$P88,1,Reprogramaciones!T$14))*IF(Reprogramaciones!T$13&gt;=(Reprogramaciones!$T$15+7*(Reprogramaciones!T$14-1))+6,1,IF(MAX(0,NETWORKDAYS.INTL(MAX(E88,(Reprogramaciones!$T$15+7*(Reprogramaciones!T$14-1))),MIN(F88,(Reprogramaciones!$T$15+7*(Reprogramaciones!T$14-1))+6),11))=0,0,MAX(0,NETWORKDAYS.INTL(MAX(E88,(Reprogramaciones!$T$15+7*(Reprogramaciones!T$14-1))),MIN(F88,Reprogramaciones!T$13),11))/MAX(0,NETWORKDAYS.INTL(MAX(E88,(Reprogramaciones!$T$15+7*(Reprogramaciones!T$14-1))),MIN(F88,(Reprogramaciones!$T$15+7*(Reprogramaciones!T$14-1))+6),11))))))))</f>
        <v/>
      </c>
      <c r="CD88" s="1" t="str">
        <f aca="false">IF(OR(NOT(AND(ISNUMBER(E88),ISNUMBER(F88))),$J$2=""),"",IF(Reprogramaciones!U$13&lt;Reprogramaciones!$T$15,0,IF(Reprogramaciones!U$14&gt;10,MIN(100,SUM($G88:$P88)),MIN(100,SUMPRODUCT((COLUMN($G88:$P88)-COLUMN($G88)+1&lt;Reprogramaciones!U$14)*$G88:$P88)+N(INDEX($G88:$P88,1,Reprogramaciones!U$14))*IF(Reprogramaciones!U$13&gt;=(Reprogramaciones!$T$15+7*(Reprogramaciones!U$14-1))+6,1,IF(MAX(0,NETWORKDAYS.INTL(MAX(E88,(Reprogramaciones!$T$15+7*(Reprogramaciones!U$14-1))),MIN(F88,(Reprogramaciones!$T$15+7*(Reprogramaciones!U$14-1))+6),11))=0,0,MAX(0,NETWORKDAYS.INTL(MAX(E88,(Reprogramaciones!$T$15+7*(Reprogramaciones!U$14-1))),MIN(F88,Reprogramaciones!U$13),11))/MAX(0,NETWORKDAYS.INTL(MAX(E88,(Reprogramaciones!$T$15+7*(Reprogramaciones!U$14-1))),MIN(F88,(Reprogramaciones!$T$15+7*(Reprogramaciones!U$14-1))+6),11))))))))</f>
        <v/>
      </c>
      <c r="CE88" s="1" t="str">
        <f aca="false">IF(OR(NOT(AND(ISNUMBER(E88),ISNUMBER(F88))),$J$2=""),"",IF(Reprogramaciones!V$13&lt;Reprogramaciones!$T$15,0,IF(Reprogramaciones!V$14&gt;10,MIN(100,SUM($G88:$P88)),MIN(100,SUMPRODUCT((COLUMN($G88:$P88)-COLUMN($G88)+1&lt;Reprogramaciones!V$14)*$G88:$P88)+N(INDEX($G88:$P88,1,Reprogramaciones!V$14))*IF(Reprogramaciones!V$13&gt;=(Reprogramaciones!$T$15+7*(Reprogramaciones!V$14-1))+6,1,IF(MAX(0,NETWORKDAYS.INTL(MAX(E88,(Reprogramaciones!$T$15+7*(Reprogramaciones!V$14-1))),MIN(F88,(Reprogramaciones!$T$15+7*(Reprogramaciones!V$14-1))+6),11))=0,0,MAX(0,NETWORKDAYS.INTL(MAX(E88,(Reprogramaciones!$T$15+7*(Reprogramaciones!V$14-1))),MIN(F88,Reprogramaciones!V$13),11))/MAX(0,NETWORKDAYS.INTL(MAX(E88,(Reprogramaciones!$T$15+7*(Reprogramaciones!V$14-1))),MIN(F88,(Reprogramaciones!$T$15+7*(Reprogramaciones!V$14-1))+6),11))))))))</f>
        <v/>
      </c>
      <c r="CF88" s="1" t="str">
        <f aca="false">IF(OR(NOT(AND(ISNUMBER(E88),ISNUMBER(F88))),$J$2=""),"",IF(Reprogramaciones!W$13&lt;Reprogramaciones!$T$15,0,IF(Reprogramaciones!W$14&gt;10,MIN(100,SUM($G88:$P88)),MIN(100,SUMPRODUCT((COLUMN($G88:$P88)-COLUMN($G88)+1&lt;Reprogramaciones!W$14)*$G88:$P88)+N(INDEX($G88:$P88,1,Reprogramaciones!W$14))*IF(Reprogramaciones!W$13&gt;=(Reprogramaciones!$T$15+7*(Reprogramaciones!W$14-1))+6,1,IF(MAX(0,NETWORKDAYS.INTL(MAX(E88,(Reprogramaciones!$T$15+7*(Reprogramaciones!W$14-1))),MIN(F88,(Reprogramaciones!$T$15+7*(Reprogramaciones!W$14-1))+6),11))=0,0,MAX(0,NETWORKDAYS.INTL(MAX(E88,(Reprogramaciones!$T$15+7*(Reprogramaciones!W$14-1))),MIN(F88,Reprogramaciones!W$13),11))/MAX(0,NETWORKDAYS.INTL(MAX(E88,(Reprogramaciones!$T$15+7*(Reprogramaciones!W$14-1))),MIN(F88,(Reprogramaciones!$T$15+7*(Reprogramaciones!W$14-1))+6),11))))))))</f>
        <v/>
      </c>
      <c r="CG88" s="1" t="str">
        <f aca="false">IF(OR(NOT(AND(ISNUMBER(E88),ISNUMBER(F88))),$J$2=""),"",IF(Reprogramaciones!X$13&lt;Reprogramaciones!$T$15,0,IF(Reprogramaciones!X$14&gt;10,MIN(100,SUM($G88:$P88)),MIN(100,SUMPRODUCT((COLUMN($G88:$P88)-COLUMN($G88)+1&lt;Reprogramaciones!X$14)*$G88:$P88)+N(INDEX($G88:$P88,1,Reprogramaciones!X$14))*IF(Reprogramaciones!X$13&gt;=(Reprogramaciones!$T$15+7*(Reprogramaciones!X$14-1))+6,1,IF(MAX(0,NETWORKDAYS.INTL(MAX(E88,(Reprogramaciones!$T$15+7*(Reprogramaciones!X$14-1))),MIN(F88,(Reprogramaciones!$T$15+7*(Reprogramaciones!X$14-1))+6),11))=0,0,MAX(0,NETWORKDAYS.INTL(MAX(E88,(Reprogramaciones!$T$15+7*(Reprogramaciones!X$14-1))),MIN(F88,Reprogramaciones!X$13),11))/MAX(0,NETWORKDAYS.INTL(MAX(E88,(Reprogramaciones!$T$15+7*(Reprogramaciones!X$14-1))),MIN(F88,(Reprogramaciones!$T$15+7*(Reprogramaciones!X$14-1))+6),11))))))))</f>
        <v/>
      </c>
      <c r="CH88" s="1" t="str">
        <f aca="false">IF(OR(NOT(AND(ISNUMBER(E88),ISNUMBER(F88))),$J$2=""),"",IF(Reprogramaciones!Y$13&lt;Reprogramaciones!$T$15,0,IF(Reprogramaciones!Y$14&gt;10,MIN(100,SUM($G88:$P88)),MIN(100,SUMPRODUCT((COLUMN($G88:$P88)-COLUMN($G88)+1&lt;Reprogramaciones!Y$14)*$G88:$P88)+N(INDEX($G88:$P88,1,Reprogramaciones!Y$14))*IF(Reprogramaciones!Y$13&gt;=(Reprogramaciones!$T$15+7*(Reprogramaciones!Y$14-1))+6,1,IF(MAX(0,NETWORKDAYS.INTL(MAX(E88,(Reprogramaciones!$T$15+7*(Reprogramaciones!Y$14-1))),MIN(F88,(Reprogramaciones!$T$15+7*(Reprogramaciones!Y$14-1))+6),11))=0,0,MAX(0,NETWORKDAYS.INTL(MAX(E88,(Reprogramaciones!$T$15+7*(Reprogramaciones!Y$14-1))),MIN(F88,Reprogramaciones!Y$13),11))/MAX(0,NETWORKDAYS.INTL(MAX(E88,(Reprogramaciones!$T$15+7*(Reprogramaciones!Y$14-1))),MIN(F88,(Reprogramaciones!$T$15+7*(Reprogramaciones!Y$14-1))+6),11))))))))</f>
        <v/>
      </c>
      <c r="CI88" s="1" t="str">
        <f aca="false">IF(OR(NOT(AND(ISNUMBER(E88),ISNUMBER(F88))),$J$2=""),"",IF(Reprogramaciones!Z$13&lt;Reprogramaciones!$T$15,0,IF(Reprogramaciones!Z$14&gt;10,MIN(100,SUM($G88:$P88)),MIN(100,SUMPRODUCT((COLUMN($G88:$P88)-COLUMN($G88)+1&lt;Reprogramaciones!Z$14)*$G88:$P88)+N(INDEX($G88:$P88,1,Reprogramaciones!Z$14))*IF(Reprogramaciones!Z$13&gt;=(Reprogramaciones!$T$15+7*(Reprogramaciones!Z$14-1))+6,1,IF(MAX(0,NETWORKDAYS.INTL(MAX(E88,(Reprogramaciones!$T$15+7*(Reprogramaciones!Z$14-1))),MIN(F88,(Reprogramaciones!$T$15+7*(Reprogramaciones!Z$14-1))+6),11))=0,0,MAX(0,NETWORKDAYS.INTL(MAX(E88,(Reprogramaciones!$T$15+7*(Reprogramaciones!Z$14-1))),MIN(F88,Reprogramaciones!Z$13),11))/MAX(0,NETWORKDAYS.INTL(MAX(E88,(Reprogramaciones!$T$15+7*(Reprogramaciones!Z$14-1))),MIN(F88,(Reprogramaciones!$T$15+7*(Reprogramaciones!Z$14-1))+6),11))))))))</f>
        <v/>
      </c>
      <c r="CJ88" s="1" t="str">
        <f aca="false">IF(OR(OR(NOT(AND(ISNUMBER(E88),ISNUMBER(F88))),$J$2=""),1&gt;Reprogramaciones!$K$16),"",IF(ROUND(SUM($Q88:Q88),1)&gt;=99.5,100,MIN(100,ROUND(SUM($Q88:Q88),1))))</f>
        <v/>
      </c>
      <c r="CK88" s="1" t="str">
        <f aca="false">IF(OR(OR(NOT(AND(ISNUMBER(E88),ISNUMBER(F88))),$J$2=""),2&gt;Reprogramaciones!$K$16),"",IF(ROUND(SUM($Q88:R88),1)&gt;=99.5,100,MIN(100,ROUND(SUM($Q88:R88),1))))</f>
        <v/>
      </c>
      <c r="CL88" s="1" t="str">
        <f aca="false">IF(OR(OR(NOT(AND(ISNUMBER(E88),ISNUMBER(F88))),$J$2=""),3&gt;Reprogramaciones!$K$16),"",IF(ROUND(SUM($Q88:S88),1)&gt;=99.5,100,MIN(100,ROUND(SUM($Q88:S88),1))))</f>
        <v/>
      </c>
      <c r="CM88" s="1" t="str">
        <f aca="false">IF(OR(OR(NOT(AND(ISNUMBER(E88),ISNUMBER(F88))),$J$2=""),4&gt;Reprogramaciones!$K$16),"",IF(ROUND(SUM($Q88:T88),1)&gt;=99.5,100,MIN(100,ROUND(SUM($Q88:T88),1))))</f>
        <v/>
      </c>
      <c r="CN88" s="1" t="str">
        <f aca="false">IF(OR(OR(NOT(AND(ISNUMBER(E88),ISNUMBER(F88))),$J$2=""),5&gt;Reprogramaciones!$K$16),"",IF(ROUND(SUM($Q88:U88),1)&gt;=99.5,100,MIN(100,ROUND(SUM($Q88:U88),1))))</f>
        <v/>
      </c>
      <c r="CO88" s="1" t="str">
        <f aca="false">IF(OR(OR(NOT(AND(ISNUMBER(E88),ISNUMBER(F88))),$J$2=""),6&gt;Reprogramaciones!$K$16),"",IF(ROUND(SUM($Q88:V88),1)&gt;=99.5,100,MIN(100,ROUND(SUM($Q88:V88),1))))</f>
        <v/>
      </c>
      <c r="CP88" s="1" t="str">
        <f aca="false">IF(OR(OR(NOT(AND(ISNUMBER(E88),ISNUMBER(F88))),$J$2=""),7&gt;Reprogramaciones!$K$16),"",IF(ROUND(SUM($Q88:W88),1)&gt;=99.5,100,MIN(100,ROUND(SUM($Q88:W88),1))))</f>
        <v/>
      </c>
      <c r="CQ88" s="1" t="str">
        <f aca="false">IF(OR(OR(NOT(AND(ISNUMBER(E88),ISNUMBER(F88))),$J$2=""),8&gt;Reprogramaciones!$K$16),"",IF(ROUND(SUM($Q88:X88),1)&gt;=99.5,100,MIN(100,ROUND(SUM($Q88:X88),1))))</f>
        <v/>
      </c>
      <c r="CR88" s="1" t="str">
        <f aca="false">IF(OR(OR(NOT(AND(ISNUMBER(E88),ISNUMBER(F88))),$J$2=""),9&gt;Reprogramaciones!$K$16),"",IF(ROUND(SUM($Q88:Y88),1)&gt;=99.5,100,MIN(100,ROUND(SUM($Q88:Y88),1))))</f>
        <v/>
      </c>
      <c r="CS88" s="1" t="str">
        <f aca="false">IF(OR(OR(NOT(AND(ISNUMBER(E88),ISNUMBER(F88))),$J$2=""),10&gt;Reprogramaciones!$K$16),"",IF(ROUND(SUM($Q88:Z88),1)&gt;=99.5,100,MIN(100,ROUND(SUM($Q88:Z88),1))))</f>
        <v/>
      </c>
      <c r="CT88" s="1" t="str">
        <f aca="false">IF(OR(OR(NOT(AND(ISNUMBER(E88),ISNUMBER(F88))),$J$2=""),11&gt;Reprogramaciones!$K$16),"",IF(ROUND(SUM($Q88:AA88),1)&gt;=99.5,100,MIN(100,ROUND(SUM($Q88:AA88),1))))</f>
        <v/>
      </c>
      <c r="CU88" s="1" t="str">
        <f aca="false">IF(OR(OR(NOT(AND(ISNUMBER(E88),ISNUMBER(F88))),$J$2=""),12&gt;Reprogramaciones!$K$16),"",IF(ROUND(SUM($Q88:AB88),1)&gt;=99.5,100,MIN(100,ROUND(SUM($Q88:AB88),1))))</f>
        <v/>
      </c>
      <c r="CV88" s="1" t="str">
        <f aca="false">IF(OR(OR(NOT(AND(ISNUMBER(E88),ISNUMBER(F88))),$J$2=""),13&gt;Reprogramaciones!$K$16),"",IF(ROUND(SUM($Q88:AC88),1)&gt;=99.5,100,MIN(100,ROUND(SUM($Q88:AC88),1))))</f>
        <v/>
      </c>
      <c r="CW88" s="1" t="str">
        <f aca="false">IF(OR(OR(NOT(AND(ISNUMBER(E88),ISNUMBER(F88))),$J$2=""),14&gt;Reprogramaciones!$K$16),"",IF(ROUND(SUM($Q88:AD88),1)&gt;=99.5,100,MIN(100,ROUND(SUM($Q88:AD88),1))))</f>
        <v/>
      </c>
      <c r="CX88" s="1" t="str">
        <f aca="false">IF(OR(OR(NOT(AND(ISNUMBER(E88),ISNUMBER(F88))),$J$2=""),15&gt;Reprogramaciones!$K$16),"",IF(ROUND(SUM($Q88:AE88),1)&gt;=99.5,100,MIN(100,ROUND(SUM($Q88:AE88),1))))</f>
        <v/>
      </c>
      <c r="CY88" s="1" t="str">
        <f aca="false">IF(OR(OR(NOT(AND(ISNUMBER(E88),ISNUMBER(F88))),$J$2=""),16&gt;Reprogramaciones!$K$16),"",IF(ROUND(SUM($Q88:AF88),1)&gt;=99.5,100,MIN(100,ROUND(SUM($Q88:AF88),1))))</f>
        <v/>
      </c>
      <c r="CZ88" s="1" t="str">
        <f aca="false">IF(D88&lt;&gt;"",D88,IF(B88&lt;&gt;"","Contractual",CZ87))</f>
        <v>Contractual</v>
      </c>
      <c r="DA88" s="1" t="str">
        <f aca="false">IF(OR(NOT(AND(ISNUMBER(E88),ISNUMBER(F88))),$J$2=""),"",IF(Reprogramaciones!$Q$15&lt;Reprogramaciones!$T$15,0,IF(Reprogramaciones!$S$15&gt;10,MIN(100,SUM($G88:$P88)),MIN(100,SUMPRODUCT((COLUMN($G88:$P88)-COLUMN($G88)+1&lt;Reprogramaciones!$S$15)*$G88:$P88)+N(INDEX($G88:$P88,1,Reprogramaciones!$S$15))*IF(Reprogramaciones!$Q$15&gt;=(Reprogramaciones!$T$15+7*(Reprogramaciones!$S$15-1))+6,1,IF(MAX(0,NETWORKDAYS.INTL(MAX(E88,(Reprogramaciones!$T$15+7*(Reprogramaciones!$S$15-1))),MIN(F88,(Reprogramaciones!$T$15+7*(Reprogramaciones!$S$15-1))+6),11))=0,0,MAX(0,NETWORKDAYS.INTL(MAX(E88,(Reprogramaciones!$T$15+7*(Reprogramaciones!$S$15-1))),MIN(F88,Reprogramaciones!$Q$15),11))/MAX(0,NETWORKDAYS.INTL(MAX(E88,(Reprogramaciones!$T$15+7*(Reprogramaciones!$S$15-1))),MIN(F88,(Reprogramaciones!$T$15+7*(Reprogramaciones!$S$15-1))+6),11))))))))</f>
        <v/>
      </c>
    </row>
    <row r="89" customFormat="false" ht="15" hidden="false" customHeight="false" outlineLevel="0" collapsed="false">
      <c r="A89" s="32"/>
      <c r="B89" s="33"/>
      <c r="C89" s="33"/>
      <c r="D89" s="34"/>
      <c r="E89" s="35"/>
      <c r="F89" s="35"/>
      <c r="G89" s="36" t="str">
        <f aca="false">IF(OR(NOT(AND(ISNUMBER(E89),ISNUMBER(F89))),$J$2=""),"",IF(Reprogramaciones!K$9&lt;E89,0,IF(NETWORKDAYS.INTL(E89,F89,11)=0,IF(Reprogramaciones!K$9&gt;=F89,100,0),ROUND(NETWORKDAYS.INTL(E89,MIN(F89,Reprogramaciones!K$9),11)/NETWORKDAYS.INTL(E89,F89,11)*100,1)))-0)</f>
        <v/>
      </c>
      <c r="H89" s="36" t="str">
        <f aca="false">IF(OR(NOT(AND(ISNUMBER(E89),ISNUMBER(F89))),$J$2=""),"",IF(Reprogramaciones!L$9&lt;E89,0,IF(NETWORKDAYS.INTL(E89,F89,11)=0,IF(Reprogramaciones!L$9&gt;=F89,100,0),ROUND(NETWORKDAYS.INTL(E89,MIN(F89,Reprogramaciones!L$9),11)/NETWORKDAYS.INTL(E89,F89,11)*100,1)))-IF(Reprogramaciones!K$9&lt;E89,0,IF(NETWORKDAYS.INTL(E89,F89,11)=0,IF(Reprogramaciones!K$9&gt;=F89,100,0),ROUND(NETWORKDAYS.INTL(E89,MIN(F89,Reprogramaciones!K$9),11)/NETWORKDAYS.INTL(E89,F89,11)*100,1))))</f>
        <v/>
      </c>
      <c r="I89" s="36" t="str">
        <f aca="false">IF(OR(NOT(AND(ISNUMBER(E89),ISNUMBER(F89))),$J$2=""),"",IF(Reprogramaciones!M$9&lt;E89,0,IF(NETWORKDAYS.INTL(E89,F89,11)=0,IF(Reprogramaciones!M$9&gt;=F89,100,0),ROUND(NETWORKDAYS.INTL(E89,MIN(F89,Reprogramaciones!M$9),11)/NETWORKDAYS.INTL(E89,F89,11)*100,1)))-IF(Reprogramaciones!L$9&lt;E89,0,IF(NETWORKDAYS.INTL(E89,F89,11)=0,IF(Reprogramaciones!L$9&gt;=F89,100,0),ROUND(NETWORKDAYS.INTL(E89,MIN(F89,Reprogramaciones!L$9),11)/NETWORKDAYS.INTL(E89,F89,11)*100,1))))</f>
        <v/>
      </c>
      <c r="J89" s="36" t="str">
        <f aca="false">IF(OR(NOT(AND(ISNUMBER(E89),ISNUMBER(F89))),$J$2=""),"",IF(Reprogramaciones!N$9&lt;E89,0,IF(NETWORKDAYS.INTL(E89,F89,11)=0,IF(Reprogramaciones!N$9&gt;=F89,100,0),ROUND(NETWORKDAYS.INTL(E89,MIN(F89,Reprogramaciones!N$9),11)/NETWORKDAYS.INTL(E89,F89,11)*100,1)))-IF(Reprogramaciones!M$9&lt;E89,0,IF(NETWORKDAYS.INTL(E89,F89,11)=0,IF(Reprogramaciones!M$9&gt;=F89,100,0),ROUND(NETWORKDAYS.INTL(E89,MIN(F89,Reprogramaciones!M$9),11)/NETWORKDAYS.INTL(E89,F89,11)*100,1))))</f>
        <v/>
      </c>
      <c r="K89" s="36" t="str">
        <f aca="false">IF(OR(NOT(AND(ISNUMBER(E89),ISNUMBER(F89))),$J$2=""),"",IF(Reprogramaciones!O$9&lt;E89,0,IF(NETWORKDAYS.INTL(E89,F89,11)=0,IF(Reprogramaciones!O$9&gt;=F89,100,0),ROUND(NETWORKDAYS.INTL(E89,MIN(F89,Reprogramaciones!O$9),11)/NETWORKDAYS.INTL(E89,F89,11)*100,1)))-IF(Reprogramaciones!N$9&lt;E89,0,IF(NETWORKDAYS.INTL(E89,F89,11)=0,IF(Reprogramaciones!N$9&gt;=F89,100,0),ROUND(NETWORKDAYS.INTL(E89,MIN(F89,Reprogramaciones!N$9),11)/NETWORKDAYS.INTL(E89,F89,11)*100,1))))</f>
        <v/>
      </c>
      <c r="L89" s="36" t="str">
        <f aca="false">IF(OR(NOT(AND(ISNUMBER(E89),ISNUMBER(F89))),$J$2=""),"",IF(Reprogramaciones!P$9&lt;E89,0,IF(NETWORKDAYS.INTL(E89,F89,11)=0,IF(Reprogramaciones!P$9&gt;=F89,100,0),ROUND(NETWORKDAYS.INTL(E89,MIN(F89,Reprogramaciones!P$9),11)/NETWORKDAYS.INTL(E89,F89,11)*100,1)))-IF(Reprogramaciones!O$9&lt;E89,0,IF(NETWORKDAYS.INTL(E89,F89,11)=0,IF(Reprogramaciones!O$9&gt;=F89,100,0),ROUND(NETWORKDAYS.INTL(E89,MIN(F89,Reprogramaciones!O$9),11)/NETWORKDAYS.INTL(E89,F89,11)*100,1))))</f>
        <v/>
      </c>
      <c r="M89" s="36" t="str">
        <f aca="false">IF(OR(NOT(AND(ISNUMBER(E89),ISNUMBER(F89))),$J$2=""),"",IF(Reprogramaciones!Q$9&lt;E89,0,IF(NETWORKDAYS.INTL(E89,F89,11)=0,IF(Reprogramaciones!Q$9&gt;=F89,100,0),ROUND(NETWORKDAYS.INTL(E89,MIN(F89,Reprogramaciones!Q$9),11)/NETWORKDAYS.INTL(E89,F89,11)*100,1)))-IF(Reprogramaciones!P$9&lt;E89,0,IF(NETWORKDAYS.INTL(E89,F89,11)=0,IF(Reprogramaciones!P$9&gt;=F89,100,0),ROUND(NETWORKDAYS.INTL(E89,MIN(F89,Reprogramaciones!P$9),11)/NETWORKDAYS.INTL(E89,F89,11)*100,1))))</f>
        <v/>
      </c>
      <c r="N89" s="36" t="str">
        <f aca="false">IF(OR(NOT(AND(ISNUMBER(E89),ISNUMBER(F89))),$J$2=""),"",IF(Reprogramaciones!R$9&lt;E89,0,IF(NETWORKDAYS.INTL(E89,F89,11)=0,IF(Reprogramaciones!R$9&gt;=F89,100,0),ROUND(NETWORKDAYS.INTL(E89,MIN(F89,Reprogramaciones!R$9),11)/NETWORKDAYS.INTL(E89,F89,11)*100,1)))-IF(Reprogramaciones!Q$9&lt;E89,0,IF(NETWORKDAYS.INTL(E89,F89,11)=0,IF(Reprogramaciones!Q$9&gt;=F89,100,0),ROUND(NETWORKDAYS.INTL(E89,MIN(F89,Reprogramaciones!Q$9),11)/NETWORKDAYS.INTL(E89,F89,11)*100,1))))</f>
        <v/>
      </c>
      <c r="O89" s="36" t="str">
        <f aca="false">IF(OR(NOT(AND(ISNUMBER(E89),ISNUMBER(F89))),$J$2=""),"",IF(Reprogramaciones!S$9&lt;E89,0,IF(NETWORKDAYS.INTL(E89,F89,11)=0,IF(Reprogramaciones!S$9&gt;=F89,100,0),ROUND(NETWORKDAYS.INTL(E89,MIN(F89,Reprogramaciones!S$9),11)/NETWORKDAYS.INTL(E89,F89,11)*100,1)))-IF(Reprogramaciones!R$9&lt;E89,0,IF(NETWORKDAYS.INTL(E89,F89,11)=0,IF(Reprogramaciones!R$9&gt;=F89,100,0),ROUND(NETWORKDAYS.INTL(E89,MIN(F89,Reprogramaciones!R$9),11)/NETWORKDAYS.INTL(E89,F89,11)*100,1))))</f>
        <v/>
      </c>
      <c r="P89" s="36" t="str">
        <f aca="false">IF(OR(NOT(AND(ISNUMBER(E89),ISNUMBER(F89))),$J$2=""),"",IF(Reprogramaciones!T$9&lt;E89,0,IF(NETWORKDAYS.INTL(E89,F89,11)=0,IF(Reprogramaciones!T$9&gt;=F89,100,0),ROUND(NETWORKDAYS.INTL(E89,MIN(F89,Reprogramaciones!T$9),11)/NETWORKDAYS.INTL(E89,F89,11)*100,1)))-IF(Reprogramaciones!S$9&lt;E89,0,IF(NETWORKDAYS.INTL(E89,F89,11)=0,IF(Reprogramaciones!S$9&gt;=F89,100,0),ROUND(NETWORKDAYS.INTL(E89,MIN(F89,Reprogramaciones!S$9),11)/NETWORKDAYS.INTL(E89,F89,11)*100,1))))</f>
        <v/>
      </c>
      <c r="Q89" s="37"/>
      <c r="R89" s="37"/>
      <c r="S89" s="37"/>
      <c r="T89" s="37"/>
      <c r="U89" s="37"/>
      <c r="V89" s="37"/>
      <c r="W89" s="37"/>
      <c r="X89" s="37"/>
      <c r="Y89" s="37"/>
      <c r="Z89" s="37"/>
      <c r="AA89" s="37"/>
      <c r="AB89" s="37"/>
      <c r="AC89" s="37"/>
      <c r="AD89" s="37"/>
      <c r="AE89" s="37"/>
      <c r="AF89" s="37"/>
      <c r="AG89" s="38" t="str">
        <f aca="false">IF(AND(ISNUMBER(E89),ISNUMBER(F89)),NETWORKDAYS.INTL(E89,F89,11),"")</f>
        <v/>
      </c>
      <c r="AH89" s="38" t="str">
        <f aca="false">IF(OR(NOT(AND(ISNUMBER(E89),ISNUMBER(F89))),$J$2=""),"",IF(Reprogramaciones!$P$15&lt;Reprogramaciones!$T$15,0,IF(Reprogramaciones!$R$15&gt;10,MIN(100,SUM($G89:$P89)),MIN(100,SUMPRODUCT((COLUMN($G89:$P89)-COLUMN($G89)+1&lt;Reprogramaciones!$R$15)*$G89:$P89)+N(INDEX($G89:$P89,1,Reprogramaciones!$R$15))*IF(Reprogramaciones!$P$15&gt;=(Reprogramaciones!$T$15+7*(Reprogramaciones!$R$15-1))+6,1,IF(MAX(0,NETWORKDAYS.INTL(MAX(E89,(Reprogramaciones!$T$15+7*(Reprogramaciones!$R$15-1))),MIN(F89,(Reprogramaciones!$T$15+7*(Reprogramaciones!$R$15-1))+6),11))=0,0,MAX(0,NETWORKDAYS.INTL(MAX(E89,(Reprogramaciones!$T$15+7*(Reprogramaciones!$R$15-1))),MIN(F89,Reprogramaciones!$P$15),11))/MAX(0,NETWORKDAYS.INTL(MAX(E89,(Reprogramaciones!$T$15+7*(Reprogramaciones!$R$15-1))),MIN(F89,(Reprogramaciones!$T$15+7*(Reprogramaciones!$R$15-1))+6),11))))))))</f>
        <v/>
      </c>
      <c r="AI89" s="38" t="str">
        <f aca="false">IF(COUNT($Q89:$AF89)=0,"",IF(ROUND(SUM($Q89:$AF89),1)&gt;=99.5,100,MIN(100,ROUND(SUM($Q89:$AF89),1))))</f>
        <v/>
      </c>
      <c r="AJ89" s="38" t="str">
        <f aca="false">IF(OR(AH89="",AI89=""),"",AI89-AH89)</f>
        <v/>
      </c>
      <c r="AK89" s="39" t="str">
        <f aca="true">IF(AH89="","",IF(OR(Ficha!$C$10="Suspendida",Ficha!$C$10="Cancelada"),Ficha!$C$10,IF(AND(AI89&lt;&gt;"",N(AI89)&gt;=100),"Completada",IF(AND(E89&gt;TODAY(),N(AI89)=0),"Por iniciar",IF(N(AI89)+0.5&lt;AH89,"Retrasada",IF(N(AI89)+0.5&lt;DA89,IF(Reprogramaciones!$K$15&gt;0,"Al día · Sem "&amp;Reprogramaciones!$K$15&amp;" en curso","Al día · en curso"),"A tiempo"))))))</f>
        <v/>
      </c>
      <c r="AL89" s="39" t="str">
        <f aca="true">IF(AND(A89="",AND(B89="",C89="",E89="",F89="",COUNT(Q89:AF89)=0)),"",IF(AND(B89="",C89="",E89="",F89="",COUNT(Q89:AF89)=0),"Falta la partida o subpartida",IF(AND(A89&lt;&gt;"",COUNTIF($A$6:$A$305,A89)&gt;1),"Ítem repetido",IF(AND(C89="",E89="",F89="",COUNT(Q89:AF89)=0),"Título de partida",IF(OR(E89="",F89=""),"Faltan fechas",IF(OR(ISTEXT(E89),ISTEXT(F89)),"Fecha escrita como texto: usa dd/mm/aaaa",IF(F89&lt;E89,"Fin antes del inicio",IF(IF($J$2="",FALSE(),OR(E89&lt;$J$2,F89&gt;Reprogramaciones!$T$15+69)),"Fuera de las 10 semanas",IF(ABS(SUM(G89:P89)-100)&gt;0.5,"La meta no suma 100%",IF(ROUND(SUM(Q89:AF89),1)&gt;100.5,"El avance pasa de 100%",IF(MIN(Q89:AF89)&lt;0,"Avance negativo",IF(COUNTA(Q89:AF89)&gt;COUNT(Q89:AF89),"Avance escrito como texto",IF(SUMPRODUCT((Q89:AF89&gt;0)*(Q89:AF89&lt;1))&gt;0,"Avance menor a 1: escribe 50, no 50%",IF(SUMPRODUCT(ISNUMBER(Q89:AF89)*(Reprogramaciones!$K$8:$Z$8&gt;TODAY()))&gt;0,"Avance en semana que aún no llega",IF(AND(N(Reprogramaciones!$E$21)&gt;0,F89&gt;Reprogramaciones!$E$21),"Pasa el fin de la obra: registra una reprogramación",IF(AND(N(Reprogramaciones!$E$21)&gt;0,SUMPRODUCT(ISNUMBER(Q89:AF89)*(Reprogramaciones!$K$8:$Z$8&gt;Reprogramaciones!$E$21))&gt;0),"Avance después del fin de la obra: registra una reprogramación por atraso","OK"))))))))))))))))</f>
        <v/>
      </c>
      <c r="AM89" s="40" t="str">
        <f aca="false">IF(OR(OR(NOT(AND(ISNUMBER(E89),ISNUMBER(F89))),$J$2=""),1&gt;MAX(1,Reprogramaciones!$U$15)),"",IF(Reprogramaciones!K$12&gt;=7,"",IF(OR(BT89-N(0)&gt;0.05,N(Q89)&gt;0),ROUNDDOWN(ROUND(BT89,6),0)&amp;"%"&amp;IF(CJ89="",""," / "&amp;CJ89&amp;"%"),IF(AND(N(0)&gt;=99.95,CJ89&lt;&gt;"",N(CJ89)&lt;100),"Pend. "&amp;CJ89&amp;"%",""))))</f>
        <v/>
      </c>
      <c r="AN89" s="40" t="str">
        <f aca="false">IF(OR(OR(NOT(AND(ISNUMBER(E89),ISNUMBER(F89))),$J$2=""),2&gt;MAX(1,Reprogramaciones!$U$15)),"",IF(Reprogramaciones!L$12&gt;=7,"",IF(OR(BU89-N(BT89)&gt;0.05,N(R89)&gt;0),ROUNDDOWN(ROUND(BU89,6),0)&amp;"%"&amp;IF(CK89="",""," / "&amp;CK89&amp;"%"),IF(AND(N(BT89)&gt;=99.95,CK89&lt;&gt;"",N(CK89)&lt;100),"Pend. "&amp;CK89&amp;"%",""))))</f>
        <v/>
      </c>
      <c r="AO89" s="40" t="str">
        <f aca="false">IF(OR(OR(NOT(AND(ISNUMBER(E89),ISNUMBER(F89))),$J$2=""),3&gt;MAX(1,Reprogramaciones!$U$15)),"",IF(Reprogramaciones!M$12&gt;=7,"",IF(OR(BV89-N(BU89)&gt;0.05,N(S89)&gt;0),ROUNDDOWN(ROUND(BV89,6),0)&amp;"%"&amp;IF(CL89="",""," / "&amp;CL89&amp;"%"),IF(AND(N(BU89)&gt;=99.95,CL89&lt;&gt;"",N(CL89)&lt;100),"Pend. "&amp;CL89&amp;"%",""))))</f>
        <v/>
      </c>
      <c r="AP89" s="40" t="str">
        <f aca="false">IF(OR(OR(NOT(AND(ISNUMBER(E89),ISNUMBER(F89))),$J$2=""),4&gt;MAX(1,Reprogramaciones!$U$15)),"",IF(Reprogramaciones!N$12&gt;=7,"",IF(OR(BW89-N(BV89)&gt;0.05,N(T89)&gt;0),ROUNDDOWN(ROUND(BW89,6),0)&amp;"%"&amp;IF(CM89="",""," / "&amp;CM89&amp;"%"),IF(AND(N(BV89)&gt;=99.95,CM89&lt;&gt;"",N(CM89)&lt;100),"Pend. "&amp;CM89&amp;"%",""))))</f>
        <v/>
      </c>
      <c r="AQ89" s="40" t="str">
        <f aca="false">IF(OR(OR(NOT(AND(ISNUMBER(E89),ISNUMBER(F89))),$J$2=""),5&gt;MAX(1,Reprogramaciones!$U$15)),"",IF(Reprogramaciones!O$12&gt;=7,"",IF(OR(BX89-N(BW89)&gt;0.05,N(U89)&gt;0),ROUNDDOWN(ROUND(BX89,6),0)&amp;"%"&amp;IF(CN89="",""," / "&amp;CN89&amp;"%"),IF(AND(N(BW89)&gt;=99.95,CN89&lt;&gt;"",N(CN89)&lt;100),"Pend. "&amp;CN89&amp;"%",""))))</f>
        <v/>
      </c>
      <c r="AR89" s="40" t="str">
        <f aca="false">IF(OR(OR(NOT(AND(ISNUMBER(E89),ISNUMBER(F89))),$J$2=""),6&gt;MAX(1,Reprogramaciones!$U$15)),"",IF(Reprogramaciones!P$12&gt;=7,"",IF(OR(BY89-N(BX89)&gt;0.05,N(V89)&gt;0),ROUNDDOWN(ROUND(BY89,6),0)&amp;"%"&amp;IF(CO89="",""," / "&amp;CO89&amp;"%"),IF(AND(N(BX89)&gt;=99.95,CO89&lt;&gt;"",N(CO89)&lt;100),"Pend. "&amp;CO89&amp;"%",""))))</f>
        <v/>
      </c>
      <c r="AS89" s="40" t="str">
        <f aca="false">IF(OR(OR(NOT(AND(ISNUMBER(E89),ISNUMBER(F89))),$J$2=""),7&gt;MAX(1,Reprogramaciones!$U$15)),"",IF(Reprogramaciones!Q$12&gt;=7,"",IF(OR(BZ89-N(BY89)&gt;0.05,N(W89)&gt;0),ROUNDDOWN(ROUND(BZ89,6),0)&amp;"%"&amp;IF(CP89="",""," / "&amp;CP89&amp;"%"),IF(AND(N(BY89)&gt;=99.95,CP89&lt;&gt;"",N(CP89)&lt;100),"Pend. "&amp;CP89&amp;"%",""))))</f>
        <v/>
      </c>
      <c r="AT89" s="40" t="str">
        <f aca="false">IF(OR(OR(NOT(AND(ISNUMBER(E89),ISNUMBER(F89))),$J$2=""),8&gt;MAX(1,Reprogramaciones!$U$15)),"",IF(Reprogramaciones!R$12&gt;=7,"",IF(OR(CA89-N(BZ89)&gt;0.05,N(X89)&gt;0),ROUNDDOWN(ROUND(CA89,6),0)&amp;"%"&amp;IF(CQ89="",""," / "&amp;CQ89&amp;"%"),IF(AND(N(BZ89)&gt;=99.95,CQ89&lt;&gt;"",N(CQ89)&lt;100),"Pend. "&amp;CQ89&amp;"%",""))))</f>
        <v/>
      </c>
      <c r="AU89" s="40" t="str">
        <f aca="false">IF(OR(OR(NOT(AND(ISNUMBER(E89),ISNUMBER(F89))),$J$2=""),9&gt;MAX(1,Reprogramaciones!$U$15)),"",IF(Reprogramaciones!S$12&gt;=7,"",IF(OR(CB89-N(CA89)&gt;0.05,N(Y89)&gt;0),ROUNDDOWN(ROUND(CB89,6),0)&amp;"%"&amp;IF(CR89="",""," / "&amp;CR89&amp;"%"),IF(AND(N(CA89)&gt;=99.95,CR89&lt;&gt;"",N(CR89)&lt;100),"Pend. "&amp;CR89&amp;"%",""))))</f>
        <v/>
      </c>
      <c r="AV89" s="40" t="str">
        <f aca="false">IF(OR(OR(NOT(AND(ISNUMBER(E89),ISNUMBER(F89))),$J$2=""),10&gt;MAX(1,Reprogramaciones!$U$15)),"",IF(Reprogramaciones!T$12&gt;=7,"",IF(OR(CC89-N(CB89)&gt;0.05,N(Z89)&gt;0),ROUNDDOWN(ROUND(CC89,6),0)&amp;"%"&amp;IF(CS89="",""," / "&amp;CS89&amp;"%"),IF(AND(N(CB89)&gt;=99.95,CS89&lt;&gt;"",N(CS89)&lt;100),"Pend. "&amp;CS89&amp;"%",""))))</f>
        <v/>
      </c>
      <c r="AW89" s="40" t="str">
        <f aca="false">IF(OR(OR(NOT(AND(ISNUMBER(E89),ISNUMBER(F89))),$J$2=""),11&gt;MAX(1,Reprogramaciones!$U$15)),"",IF(Reprogramaciones!U$12&gt;=7,"",IF(OR(CD89-N(CC89)&gt;0.05,N(AA89)&gt;0),ROUNDDOWN(ROUND(CD89,6),0)&amp;"%"&amp;IF(CT89="",""," / "&amp;CT89&amp;"%"),IF(AND(N(CC89)&gt;=99.95,CT89&lt;&gt;"",N(CT89)&lt;100),"Pend. "&amp;CT89&amp;"%",""))))</f>
        <v/>
      </c>
      <c r="AX89" s="40" t="str">
        <f aca="false">IF(OR(OR(NOT(AND(ISNUMBER(E89),ISNUMBER(F89))),$J$2=""),12&gt;MAX(1,Reprogramaciones!$U$15)),"",IF(Reprogramaciones!V$12&gt;=7,"",IF(OR(CE89-N(CD89)&gt;0.05,N(AB89)&gt;0),ROUNDDOWN(ROUND(CE89,6),0)&amp;"%"&amp;IF(CU89="",""," / "&amp;CU89&amp;"%"),IF(AND(N(CD89)&gt;=99.95,CU89&lt;&gt;"",N(CU89)&lt;100),"Pend. "&amp;CU89&amp;"%",""))))</f>
        <v/>
      </c>
      <c r="AY89" s="40" t="str">
        <f aca="false">IF(OR(OR(NOT(AND(ISNUMBER(E89),ISNUMBER(F89))),$J$2=""),13&gt;MAX(1,Reprogramaciones!$U$15)),"",IF(Reprogramaciones!W$12&gt;=7,"",IF(OR(CF89-N(CE89)&gt;0.05,N(AC89)&gt;0),ROUNDDOWN(ROUND(CF89,6),0)&amp;"%"&amp;IF(CV89="",""," / "&amp;CV89&amp;"%"),IF(AND(N(CE89)&gt;=99.95,CV89&lt;&gt;"",N(CV89)&lt;100),"Pend. "&amp;CV89&amp;"%",""))))</f>
        <v/>
      </c>
      <c r="AZ89" s="40" t="str">
        <f aca="false">IF(OR(OR(NOT(AND(ISNUMBER(E89),ISNUMBER(F89))),$J$2=""),14&gt;MAX(1,Reprogramaciones!$U$15)),"",IF(Reprogramaciones!X$12&gt;=7,"",IF(OR(CG89-N(CF89)&gt;0.05,N(AD89)&gt;0),ROUNDDOWN(ROUND(CG89,6),0)&amp;"%"&amp;IF(CW89="",""," / "&amp;CW89&amp;"%"),IF(AND(N(CF89)&gt;=99.95,CW89&lt;&gt;"",N(CW89)&lt;100),"Pend. "&amp;CW89&amp;"%",""))))</f>
        <v/>
      </c>
      <c r="BA89" s="40" t="str">
        <f aca="false">IF(OR(OR(NOT(AND(ISNUMBER(E89),ISNUMBER(F89))),$J$2=""),15&gt;MAX(1,Reprogramaciones!$U$15)),"",IF(Reprogramaciones!Y$12&gt;=7,"",IF(OR(CH89-N(CG89)&gt;0.05,N(AE89)&gt;0),ROUNDDOWN(ROUND(CH89,6),0)&amp;"%"&amp;IF(CX89="",""," / "&amp;CX89&amp;"%"),IF(AND(N(CG89)&gt;=99.95,CX89&lt;&gt;"",N(CX89)&lt;100),"Pend. "&amp;CX89&amp;"%",""))))</f>
        <v/>
      </c>
      <c r="BB89" s="40" t="str">
        <f aca="false">IF(OR(OR(NOT(AND(ISNUMBER(E89),ISNUMBER(F89))),$J$2=""),16&gt;MAX(1,Reprogramaciones!$U$15)),"",IF(Reprogramaciones!Z$12&gt;=7,"",IF(OR(CI89-N(CH89)&gt;0.05,N(AF89)&gt;0),ROUNDDOWN(ROUND(CI89,6),0)&amp;"%"&amp;IF(CY89="",""," / "&amp;CY89&amp;"%"),IF(AND(N(CH89)&gt;=99.95,CY89&lt;&gt;"",N(CY89)&lt;100),"Pend. "&amp;CY89&amp;"%",""))))</f>
        <v/>
      </c>
      <c r="BC89" s="31" t="n">
        <f aca="false">IF(AND(ISNUMBER(E89),ISNUMBER(F89)),MAX(1,NETWORKDAYS.INTL(E89,F89,11)),0)</f>
        <v>0</v>
      </c>
      <c r="BD89" s="1" t="str">
        <f aca="false">IF(OR(NOT(AND(ISNUMBER(E89),ISNUMBER(F89))),$J$2=""),"",MIN(100,ROUND(SUM($G89:G89),1)))</f>
        <v/>
      </c>
      <c r="BE89" s="1" t="str">
        <f aca="false">IF(OR(NOT(AND(ISNUMBER(E89),ISNUMBER(F89))),$J$2=""),"",MIN(100,ROUND(SUM($G89:H89),1)))</f>
        <v/>
      </c>
      <c r="BF89" s="1" t="str">
        <f aca="false">IF(OR(NOT(AND(ISNUMBER(E89),ISNUMBER(F89))),$J$2=""),"",MIN(100,ROUND(SUM($G89:I89),1)))</f>
        <v/>
      </c>
      <c r="BG89" s="1" t="str">
        <f aca="false">IF(OR(NOT(AND(ISNUMBER(E89),ISNUMBER(F89))),$J$2=""),"",MIN(100,ROUND(SUM($G89:J89),1)))</f>
        <v/>
      </c>
      <c r="BH89" s="1" t="str">
        <f aca="false">IF(OR(NOT(AND(ISNUMBER(E89),ISNUMBER(F89))),$J$2=""),"",MIN(100,ROUND(SUM($G89:K89),1)))</f>
        <v/>
      </c>
      <c r="BI89" s="1" t="str">
        <f aca="false">IF(OR(NOT(AND(ISNUMBER(E89),ISNUMBER(F89))),$J$2=""),"",MIN(100,ROUND(SUM($G89:L89),1)))</f>
        <v/>
      </c>
      <c r="BJ89" s="1" t="str">
        <f aca="false">IF(OR(NOT(AND(ISNUMBER(E89),ISNUMBER(F89))),$J$2=""),"",MIN(100,ROUND(SUM($G89:M89),1)))</f>
        <v/>
      </c>
      <c r="BK89" s="1" t="str">
        <f aca="false">IF(OR(NOT(AND(ISNUMBER(E89),ISNUMBER(F89))),$J$2=""),"",MIN(100,ROUND(SUM($G89:N89),1)))</f>
        <v/>
      </c>
      <c r="BL89" s="1" t="str">
        <f aca="false">IF(OR(NOT(AND(ISNUMBER(E89),ISNUMBER(F89))),$J$2=""),"",MIN(100,ROUND(SUM($G89:O89),1)))</f>
        <v/>
      </c>
      <c r="BM89" s="1" t="str">
        <f aca="false">IF(OR(NOT(AND(ISNUMBER(E89),ISNUMBER(F89))),$J$2=""),"",MIN(100,ROUND(SUM($G89:P89),1)))</f>
        <v/>
      </c>
      <c r="BN89" s="1" t="str">
        <f aca="false">IF(OR(NOT(AND(ISNUMBER(E89),ISNUMBER(F89))),$J$2=""),"",MIN(100,ROUND(SUM($G89:P89),1)))</f>
        <v/>
      </c>
      <c r="BO89" s="1" t="str">
        <f aca="false">IF(OR(NOT(AND(ISNUMBER(E89),ISNUMBER(F89))),$J$2=""),"",MIN(100,ROUND(SUM($G89:P89),1)))</f>
        <v/>
      </c>
      <c r="BP89" s="1" t="str">
        <f aca="false">IF(OR(NOT(AND(ISNUMBER(E89),ISNUMBER(F89))),$J$2=""),"",MIN(100,ROUND(SUM($G89:P89),1)))</f>
        <v/>
      </c>
      <c r="BQ89" s="1" t="str">
        <f aca="false">IF(OR(NOT(AND(ISNUMBER(E89),ISNUMBER(F89))),$J$2=""),"",MIN(100,ROUND(SUM($G89:P89),1)))</f>
        <v/>
      </c>
      <c r="BR89" s="1" t="str">
        <f aca="false">IF(OR(NOT(AND(ISNUMBER(E89),ISNUMBER(F89))),$J$2=""),"",MIN(100,ROUND(SUM($G89:P89),1)))</f>
        <v/>
      </c>
      <c r="BS89" s="1" t="str">
        <f aca="false">IF(OR(NOT(AND(ISNUMBER(E89),ISNUMBER(F89))),$J$2=""),"",MIN(100,ROUND(SUM($G89:P89),1)))</f>
        <v/>
      </c>
      <c r="BT89" s="1" t="str">
        <f aca="false">IF(OR(NOT(AND(ISNUMBER(E89),ISNUMBER(F89))),$J$2=""),"",IF(Reprogramaciones!K$13&lt;Reprogramaciones!$T$15,0,IF(Reprogramaciones!K$14&gt;10,MIN(100,SUM($G89:$P89)),MIN(100,SUMPRODUCT((COLUMN($G89:$P89)-COLUMN($G89)+1&lt;Reprogramaciones!K$14)*$G89:$P89)+N(INDEX($G89:$P89,1,Reprogramaciones!K$14))*IF(Reprogramaciones!K$13&gt;=(Reprogramaciones!$T$15+7*(Reprogramaciones!K$14-1))+6,1,IF(MAX(0,NETWORKDAYS.INTL(MAX(E89,(Reprogramaciones!$T$15+7*(Reprogramaciones!K$14-1))),MIN(F89,(Reprogramaciones!$T$15+7*(Reprogramaciones!K$14-1))+6),11))=0,0,MAX(0,NETWORKDAYS.INTL(MAX(E89,(Reprogramaciones!$T$15+7*(Reprogramaciones!K$14-1))),MIN(F89,Reprogramaciones!K$13),11))/MAX(0,NETWORKDAYS.INTL(MAX(E89,(Reprogramaciones!$T$15+7*(Reprogramaciones!K$14-1))),MIN(F89,(Reprogramaciones!$T$15+7*(Reprogramaciones!K$14-1))+6),11))))))))</f>
        <v/>
      </c>
      <c r="BU89" s="1" t="str">
        <f aca="false">IF(OR(NOT(AND(ISNUMBER(E89),ISNUMBER(F89))),$J$2=""),"",IF(Reprogramaciones!L$13&lt;Reprogramaciones!$T$15,0,IF(Reprogramaciones!L$14&gt;10,MIN(100,SUM($G89:$P89)),MIN(100,SUMPRODUCT((COLUMN($G89:$P89)-COLUMN($G89)+1&lt;Reprogramaciones!L$14)*$G89:$P89)+N(INDEX($G89:$P89,1,Reprogramaciones!L$14))*IF(Reprogramaciones!L$13&gt;=(Reprogramaciones!$T$15+7*(Reprogramaciones!L$14-1))+6,1,IF(MAX(0,NETWORKDAYS.INTL(MAX(E89,(Reprogramaciones!$T$15+7*(Reprogramaciones!L$14-1))),MIN(F89,(Reprogramaciones!$T$15+7*(Reprogramaciones!L$14-1))+6),11))=0,0,MAX(0,NETWORKDAYS.INTL(MAX(E89,(Reprogramaciones!$T$15+7*(Reprogramaciones!L$14-1))),MIN(F89,Reprogramaciones!L$13),11))/MAX(0,NETWORKDAYS.INTL(MAX(E89,(Reprogramaciones!$T$15+7*(Reprogramaciones!L$14-1))),MIN(F89,(Reprogramaciones!$T$15+7*(Reprogramaciones!L$14-1))+6),11))))))))</f>
        <v/>
      </c>
      <c r="BV89" s="1" t="str">
        <f aca="false">IF(OR(NOT(AND(ISNUMBER(E89),ISNUMBER(F89))),$J$2=""),"",IF(Reprogramaciones!M$13&lt;Reprogramaciones!$T$15,0,IF(Reprogramaciones!M$14&gt;10,MIN(100,SUM($G89:$P89)),MIN(100,SUMPRODUCT((COLUMN($G89:$P89)-COLUMN($G89)+1&lt;Reprogramaciones!M$14)*$G89:$P89)+N(INDEX($G89:$P89,1,Reprogramaciones!M$14))*IF(Reprogramaciones!M$13&gt;=(Reprogramaciones!$T$15+7*(Reprogramaciones!M$14-1))+6,1,IF(MAX(0,NETWORKDAYS.INTL(MAX(E89,(Reprogramaciones!$T$15+7*(Reprogramaciones!M$14-1))),MIN(F89,(Reprogramaciones!$T$15+7*(Reprogramaciones!M$14-1))+6),11))=0,0,MAX(0,NETWORKDAYS.INTL(MAX(E89,(Reprogramaciones!$T$15+7*(Reprogramaciones!M$14-1))),MIN(F89,Reprogramaciones!M$13),11))/MAX(0,NETWORKDAYS.INTL(MAX(E89,(Reprogramaciones!$T$15+7*(Reprogramaciones!M$14-1))),MIN(F89,(Reprogramaciones!$T$15+7*(Reprogramaciones!M$14-1))+6),11))))))))</f>
        <v/>
      </c>
      <c r="BW89" s="1" t="str">
        <f aca="false">IF(OR(NOT(AND(ISNUMBER(E89),ISNUMBER(F89))),$J$2=""),"",IF(Reprogramaciones!N$13&lt;Reprogramaciones!$T$15,0,IF(Reprogramaciones!N$14&gt;10,MIN(100,SUM($G89:$P89)),MIN(100,SUMPRODUCT((COLUMN($G89:$P89)-COLUMN($G89)+1&lt;Reprogramaciones!N$14)*$G89:$P89)+N(INDEX($G89:$P89,1,Reprogramaciones!N$14))*IF(Reprogramaciones!N$13&gt;=(Reprogramaciones!$T$15+7*(Reprogramaciones!N$14-1))+6,1,IF(MAX(0,NETWORKDAYS.INTL(MAX(E89,(Reprogramaciones!$T$15+7*(Reprogramaciones!N$14-1))),MIN(F89,(Reprogramaciones!$T$15+7*(Reprogramaciones!N$14-1))+6),11))=0,0,MAX(0,NETWORKDAYS.INTL(MAX(E89,(Reprogramaciones!$T$15+7*(Reprogramaciones!N$14-1))),MIN(F89,Reprogramaciones!N$13),11))/MAX(0,NETWORKDAYS.INTL(MAX(E89,(Reprogramaciones!$T$15+7*(Reprogramaciones!N$14-1))),MIN(F89,(Reprogramaciones!$T$15+7*(Reprogramaciones!N$14-1))+6),11))))))))</f>
        <v/>
      </c>
      <c r="BX89" s="1" t="str">
        <f aca="false">IF(OR(NOT(AND(ISNUMBER(E89),ISNUMBER(F89))),$J$2=""),"",IF(Reprogramaciones!O$13&lt;Reprogramaciones!$T$15,0,IF(Reprogramaciones!O$14&gt;10,MIN(100,SUM($G89:$P89)),MIN(100,SUMPRODUCT((COLUMN($G89:$P89)-COLUMN($G89)+1&lt;Reprogramaciones!O$14)*$G89:$P89)+N(INDEX($G89:$P89,1,Reprogramaciones!O$14))*IF(Reprogramaciones!O$13&gt;=(Reprogramaciones!$T$15+7*(Reprogramaciones!O$14-1))+6,1,IF(MAX(0,NETWORKDAYS.INTL(MAX(E89,(Reprogramaciones!$T$15+7*(Reprogramaciones!O$14-1))),MIN(F89,(Reprogramaciones!$T$15+7*(Reprogramaciones!O$14-1))+6),11))=0,0,MAX(0,NETWORKDAYS.INTL(MAX(E89,(Reprogramaciones!$T$15+7*(Reprogramaciones!O$14-1))),MIN(F89,Reprogramaciones!O$13),11))/MAX(0,NETWORKDAYS.INTL(MAX(E89,(Reprogramaciones!$T$15+7*(Reprogramaciones!O$14-1))),MIN(F89,(Reprogramaciones!$T$15+7*(Reprogramaciones!O$14-1))+6),11))))))))</f>
        <v/>
      </c>
      <c r="BY89" s="1" t="str">
        <f aca="false">IF(OR(NOT(AND(ISNUMBER(E89),ISNUMBER(F89))),$J$2=""),"",IF(Reprogramaciones!P$13&lt;Reprogramaciones!$T$15,0,IF(Reprogramaciones!P$14&gt;10,MIN(100,SUM($G89:$P89)),MIN(100,SUMPRODUCT((COLUMN($G89:$P89)-COLUMN($G89)+1&lt;Reprogramaciones!P$14)*$G89:$P89)+N(INDEX($G89:$P89,1,Reprogramaciones!P$14))*IF(Reprogramaciones!P$13&gt;=(Reprogramaciones!$T$15+7*(Reprogramaciones!P$14-1))+6,1,IF(MAX(0,NETWORKDAYS.INTL(MAX(E89,(Reprogramaciones!$T$15+7*(Reprogramaciones!P$14-1))),MIN(F89,(Reprogramaciones!$T$15+7*(Reprogramaciones!P$14-1))+6),11))=0,0,MAX(0,NETWORKDAYS.INTL(MAX(E89,(Reprogramaciones!$T$15+7*(Reprogramaciones!P$14-1))),MIN(F89,Reprogramaciones!P$13),11))/MAX(0,NETWORKDAYS.INTL(MAX(E89,(Reprogramaciones!$T$15+7*(Reprogramaciones!P$14-1))),MIN(F89,(Reprogramaciones!$T$15+7*(Reprogramaciones!P$14-1))+6),11))))))))</f>
        <v/>
      </c>
      <c r="BZ89" s="1" t="str">
        <f aca="false">IF(OR(NOT(AND(ISNUMBER(E89),ISNUMBER(F89))),$J$2=""),"",IF(Reprogramaciones!Q$13&lt;Reprogramaciones!$T$15,0,IF(Reprogramaciones!Q$14&gt;10,MIN(100,SUM($G89:$P89)),MIN(100,SUMPRODUCT((COLUMN($G89:$P89)-COLUMN($G89)+1&lt;Reprogramaciones!Q$14)*$G89:$P89)+N(INDEX($G89:$P89,1,Reprogramaciones!Q$14))*IF(Reprogramaciones!Q$13&gt;=(Reprogramaciones!$T$15+7*(Reprogramaciones!Q$14-1))+6,1,IF(MAX(0,NETWORKDAYS.INTL(MAX(E89,(Reprogramaciones!$T$15+7*(Reprogramaciones!Q$14-1))),MIN(F89,(Reprogramaciones!$T$15+7*(Reprogramaciones!Q$14-1))+6),11))=0,0,MAX(0,NETWORKDAYS.INTL(MAX(E89,(Reprogramaciones!$T$15+7*(Reprogramaciones!Q$14-1))),MIN(F89,Reprogramaciones!Q$13),11))/MAX(0,NETWORKDAYS.INTL(MAX(E89,(Reprogramaciones!$T$15+7*(Reprogramaciones!Q$14-1))),MIN(F89,(Reprogramaciones!$T$15+7*(Reprogramaciones!Q$14-1))+6),11))))))))</f>
        <v/>
      </c>
      <c r="CA89" s="1" t="str">
        <f aca="false">IF(OR(NOT(AND(ISNUMBER(E89),ISNUMBER(F89))),$J$2=""),"",IF(Reprogramaciones!R$13&lt;Reprogramaciones!$T$15,0,IF(Reprogramaciones!R$14&gt;10,MIN(100,SUM($G89:$P89)),MIN(100,SUMPRODUCT((COLUMN($G89:$P89)-COLUMN($G89)+1&lt;Reprogramaciones!R$14)*$G89:$P89)+N(INDEX($G89:$P89,1,Reprogramaciones!R$14))*IF(Reprogramaciones!R$13&gt;=(Reprogramaciones!$T$15+7*(Reprogramaciones!R$14-1))+6,1,IF(MAX(0,NETWORKDAYS.INTL(MAX(E89,(Reprogramaciones!$T$15+7*(Reprogramaciones!R$14-1))),MIN(F89,(Reprogramaciones!$T$15+7*(Reprogramaciones!R$14-1))+6),11))=0,0,MAX(0,NETWORKDAYS.INTL(MAX(E89,(Reprogramaciones!$T$15+7*(Reprogramaciones!R$14-1))),MIN(F89,Reprogramaciones!R$13),11))/MAX(0,NETWORKDAYS.INTL(MAX(E89,(Reprogramaciones!$T$15+7*(Reprogramaciones!R$14-1))),MIN(F89,(Reprogramaciones!$T$15+7*(Reprogramaciones!R$14-1))+6),11))))))))</f>
        <v/>
      </c>
      <c r="CB89" s="1" t="str">
        <f aca="false">IF(OR(NOT(AND(ISNUMBER(E89),ISNUMBER(F89))),$J$2=""),"",IF(Reprogramaciones!S$13&lt;Reprogramaciones!$T$15,0,IF(Reprogramaciones!S$14&gt;10,MIN(100,SUM($G89:$P89)),MIN(100,SUMPRODUCT((COLUMN($G89:$P89)-COLUMN($G89)+1&lt;Reprogramaciones!S$14)*$G89:$P89)+N(INDEX($G89:$P89,1,Reprogramaciones!S$14))*IF(Reprogramaciones!S$13&gt;=(Reprogramaciones!$T$15+7*(Reprogramaciones!S$14-1))+6,1,IF(MAX(0,NETWORKDAYS.INTL(MAX(E89,(Reprogramaciones!$T$15+7*(Reprogramaciones!S$14-1))),MIN(F89,(Reprogramaciones!$T$15+7*(Reprogramaciones!S$14-1))+6),11))=0,0,MAX(0,NETWORKDAYS.INTL(MAX(E89,(Reprogramaciones!$T$15+7*(Reprogramaciones!S$14-1))),MIN(F89,Reprogramaciones!S$13),11))/MAX(0,NETWORKDAYS.INTL(MAX(E89,(Reprogramaciones!$T$15+7*(Reprogramaciones!S$14-1))),MIN(F89,(Reprogramaciones!$T$15+7*(Reprogramaciones!S$14-1))+6),11))))))))</f>
        <v/>
      </c>
      <c r="CC89" s="1" t="str">
        <f aca="false">IF(OR(NOT(AND(ISNUMBER(E89),ISNUMBER(F89))),$J$2=""),"",IF(Reprogramaciones!T$13&lt;Reprogramaciones!$T$15,0,IF(Reprogramaciones!T$14&gt;10,MIN(100,SUM($G89:$P89)),MIN(100,SUMPRODUCT((COLUMN($G89:$P89)-COLUMN($G89)+1&lt;Reprogramaciones!T$14)*$G89:$P89)+N(INDEX($G89:$P89,1,Reprogramaciones!T$14))*IF(Reprogramaciones!T$13&gt;=(Reprogramaciones!$T$15+7*(Reprogramaciones!T$14-1))+6,1,IF(MAX(0,NETWORKDAYS.INTL(MAX(E89,(Reprogramaciones!$T$15+7*(Reprogramaciones!T$14-1))),MIN(F89,(Reprogramaciones!$T$15+7*(Reprogramaciones!T$14-1))+6),11))=0,0,MAX(0,NETWORKDAYS.INTL(MAX(E89,(Reprogramaciones!$T$15+7*(Reprogramaciones!T$14-1))),MIN(F89,Reprogramaciones!T$13),11))/MAX(0,NETWORKDAYS.INTL(MAX(E89,(Reprogramaciones!$T$15+7*(Reprogramaciones!T$14-1))),MIN(F89,(Reprogramaciones!$T$15+7*(Reprogramaciones!T$14-1))+6),11))))))))</f>
        <v/>
      </c>
      <c r="CD89" s="1" t="str">
        <f aca="false">IF(OR(NOT(AND(ISNUMBER(E89),ISNUMBER(F89))),$J$2=""),"",IF(Reprogramaciones!U$13&lt;Reprogramaciones!$T$15,0,IF(Reprogramaciones!U$14&gt;10,MIN(100,SUM($G89:$P89)),MIN(100,SUMPRODUCT((COLUMN($G89:$P89)-COLUMN($G89)+1&lt;Reprogramaciones!U$14)*$G89:$P89)+N(INDEX($G89:$P89,1,Reprogramaciones!U$14))*IF(Reprogramaciones!U$13&gt;=(Reprogramaciones!$T$15+7*(Reprogramaciones!U$14-1))+6,1,IF(MAX(0,NETWORKDAYS.INTL(MAX(E89,(Reprogramaciones!$T$15+7*(Reprogramaciones!U$14-1))),MIN(F89,(Reprogramaciones!$T$15+7*(Reprogramaciones!U$14-1))+6),11))=0,0,MAX(0,NETWORKDAYS.INTL(MAX(E89,(Reprogramaciones!$T$15+7*(Reprogramaciones!U$14-1))),MIN(F89,Reprogramaciones!U$13),11))/MAX(0,NETWORKDAYS.INTL(MAX(E89,(Reprogramaciones!$T$15+7*(Reprogramaciones!U$14-1))),MIN(F89,(Reprogramaciones!$T$15+7*(Reprogramaciones!U$14-1))+6),11))))))))</f>
        <v/>
      </c>
      <c r="CE89" s="1" t="str">
        <f aca="false">IF(OR(NOT(AND(ISNUMBER(E89),ISNUMBER(F89))),$J$2=""),"",IF(Reprogramaciones!V$13&lt;Reprogramaciones!$T$15,0,IF(Reprogramaciones!V$14&gt;10,MIN(100,SUM($G89:$P89)),MIN(100,SUMPRODUCT((COLUMN($G89:$P89)-COLUMN($G89)+1&lt;Reprogramaciones!V$14)*$G89:$P89)+N(INDEX($G89:$P89,1,Reprogramaciones!V$14))*IF(Reprogramaciones!V$13&gt;=(Reprogramaciones!$T$15+7*(Reprogramaciones!V$14-1))+6,1,IF(MAX(0,NETWORKDAYS.INTL(MAX(E89,(Reprogramaciones!$T$15+7*(Reprogramaciones!V$14-1))),MIN(F89,(Reprogramaciones!$T$15+7*(Reprogramaciones!V$14-1))+6),11))=0,0,MAX(0,NETWORKDAYS.INTL(MAX(E89,(Reprogramaciones!$T$15+7*(Reprogramaciones!V$14-1))),MIN(F89,Reprogramaciones!V$13),11))/MAX(0,NETWORKDAYS.INTL(MAX(E89,(Reprogramaciones!$T$15+7*(Reprogramaciones!V$14-1))),MIN(F89,(Reprogramaciones!$T$15+7*(Reprogramaciones!V$14-1))+6),11))))))))</f>
        <v/>
      </c>
      <c r="CF89" s="1" t="str">
        <f aca="false">IF(OR(NOT(AND(ISNUMBER(E89),ISNUMBER(F89))),$J$2=""),"",IF(Reprogramaciones!W$13&lt;Reprogramaciones!$T$15,0,IF(Reprogramaciones!W$14&gt;10,MIN(100,SUM($G89:$P89)),MIN(100,SUMPRODUCT((COLUMN($G89:$P89)-COLUMN($G89)+1&lt;Reprogramaciones!W$14)*$G89:$P89)+N(INDEX($G89:$P89,1,Reprogramaciones!W$14))*IF(Reprogramaciones!W$13&gt;=(Reprogramaciones!$T$15+7*(Reprogramaciones!W$14-1))+6,1,IF(MAX(0,NETWORKDAYS.INTL(MAX(E89,(Reprogramaciones!$T$15+7*(Reprogramaciones!W$14-1))),MIN(F89,(Reprogramaciones!$T$15+7*(Reprogramaciones!W$14-1))+6),11))=0,0,MAX(0,NETWORKDAYS.INTL(MAX(E89,(Reprogramaciones!$T$15+7*(Reprogramaciones!W$14-1))),MIN(F89,Reprogramaciones!W$13),11))/MAX(0,NETWORKDAYS.INTL(MAX(E89,(Reprogramaciones!$T$15+7*(Reprogramaciones!W$14-1))),MIN(F89,(Reprogramaciones!$T$15+7*(Reprogramaciones!W$14-1))+6),11))))))))</f>
        <v/>
      </c>
      <c r="CG89" s="1" t="str">
        <f aca="false">IF(OR(NOT(AND(ISNUMBER(E89),ISNUMBER(F89))),$J$2=""),"",IF(Reprogramaciones!X$13&lt;Reprogramaciones!$T$15,0,IF(Reprogramaciones!X$14&gt;10,MIN(100,SUM($G89:$P89)),MIN(100,SUMPRODUCT((COLUMN($G89:$P89)-COLUMN($G89)+1&lt;Reprogramaciones!X$14)*$G89:$P89)+N(INDEX($G89:$P89,1,Reprogramaciones!X$14))*IF(Reprogramaciones!X$13&gt;=(Reprogramaciones!$T$15+7*(Reprogramaciones!X$14-1))+6,1,IF(MAX(0,NETWORKDAYS.INTL(MAX(E89,(Reprogramaciones!$T$15+7*(Reprogramaciones!X$14-1))),MIN(F89,(Reprogramaciones!$T$15+7*(Reprogramaciones!X$14-1))+6),11))=0,0,MAX(0,NETWORKDAYS.INTL(MAX(E89,(Reprogramaciones!$T$15+7*(Reprogramaciones!X$14-1))),MIN(F89,Reprogramaciones!X$13),11))/MAX(0,NETWORKDAYS.INTL(MAX(E89,(Reprogramaciones!$T$15+7*(Reprogramaciones!X$14-1))),MIN(F89,(Reprogramaciones!$T$15+7*(Reprogramaciones!X$14-1))+6),11))))))))</f>
        <v/>
      </c>
      <c r="CH89" s="1" t="str">
        <f aca="false">IF(OR(NOT(AND(ISNUMBER(E89),ISNUMBER(F89))),$J$2=""),"",IF(Reprogramaciones!Y$13&lt;Reprogramaciones!$T$15,0,IF(Reprogramaciones!Y$14&gt;10,MIN(100,SUM($G89:$P89)),MIN(100,SUMPRODUCT((COLUMN($G89:$P89)-COLUMN($G89)+1&lt;Reprogramaciones!Y$14)*$G89:$P89)+N(INDEX($G89:$P89,1,Reprogramaciones!Y$14))*IF(Reprogramaciones!Y$13&gt;=(Reprogramaciones!$T$15+7*(Reprogramaciones!Y$14-1))+6,1,IF(MAX(0,NETWORKDAYS.INTL(MAX(E89,(Reprogramaciones!$T$15+7*(Reprogramaciones!Y$14-1))),MIN(F89,(Reprogramaciones!$T$15+7*(Reprogramaciones!Y$14-1))+6),11))=0,0,MAX(0,NETWORKDAYS.INTL(MAX(E89,(Reprogramaciones!$T$15+7*(Reprogramaciones!Y$14-1))),MIN(F89,Reprogramaciones!Y$13),11))/MAX(0,NETWORKDAYS.INTL(MAX(E89,(Reprogramaciones!$T$15+7*(Reprogramaciones!Y$14-1))),MIN(F89,(Reprogramaciones!$T$15+7*(Reprogramaciones!Y$14-1))+6),11))))))))</f>
        <v/>
      </c>
      <c r="CI89" s="1" t="str">
        <f aca="false">IF(OR(NOT(AND(ISNUMBER(E89),ISNUMBER(F89))),$J$2=""),"",IF(Reprogramaciones!Z$13&lt;Reprogramaciones!$T$15,0,IF(Reprogramaciones!Z$14&gt;10,MIN(100,SUM($G89:$P89)),MIN(100,SUMPRODUCT((COLUMN($G89:$P89)-COLUMN($G89)+1&lt;Reprogramaciones!Z$14)*$G89:$P89)+N(INDEX($G89:$P89,1,Reprogramaciones!Z$14))*IF(Reprogramaciones!Z$13&gt;=(Reprogramaciones!$T$15+7*(Reprogramaciones!Z$14-1))+6,1,IF(MAX(0,NETWORKDAYS.INTL(MAX(E89,(Reprogramaciones!$T$15+7*(Reprogramaciones!Z$14-1))),MIN(F89,(Reprogramaciones!$T$15+7*(Reprogramaciones!Z$14-1))+6),11))=0,0,MAX(0,NETWORKDAYS.INTL(MAX(E89,(Reprogramaciones!$T$15+7*(Reprogramaciones!Z$14-1))),MIN(F89,Reprogramaciones!Z$13),11))/MAX(0,NETWORKDAYS.INTL(MAX(E89,(Reprogramaciones!$T$15+7*(Reprogramaciones!Z$14-1))),MIN(F89,(Reprogramaciones!$T$15+7*(Reprogramaciones!Z$14-1))+6),11))))))))</f>
        <v/>
      </c>
      <c r="CJ89" s="1" t="str">
        <f aca="false">IF(OR(OR(NOT(AND(ISNUMBER(E89),ISNUMBER(F89))),$J$2=""),1&gt;Reprogramaciones!$K$16),"",IF(ROUND(SUM($Q89:Q89),1)&gt;=99.5,100,MIN(100,ROUND(SUM($Q89:Q89),1))))</f>
        <v/>
      </c>
      <c r="CK89" s="1" t="str">
        <f aca="false">IF(OR(OR(NOT(AND(ISNUMBER(E89),ISNUMBER(F89))),$J$2=""),2&gt;Reprogramaciones!$K$16),"",IF(ROUND(SUM($Q89:R89),1)&gt;=99.5,100,MIN(100,ROUND(SUM($Q89:R89),1))))</f>
        <v/>
      </c>
      <c r="CL89" s="1" t="str">
        <f aca="false">IF(OR(OR(NOT(AND(ISNUMBER(E89),ISNUMBER(F89))),$J$2=""),3&gt;Reprogramaciones!$K$16),"",IF(ROUND(SUM($Q89:S89),1)&gt;=99.5,100,MIN(100,ROUND(SUM($Q89:S89),1))))</f>
        <v/>
      </c>
      <c r="CM89" s="1" t="str">
        <f aca="false">IF(OR(OR(NOT(AND(ISNUMBER(E89),ISNUMBER(F89))),$J$2=""),4&gt;Reprogramaciones!$K$16),"",IF(ROUND(SUM($Q89:T89),1)&gt;=99.5,100,MIN(100,ROUND(SUM($Q89:T89),1))))</f>
        <v/>
      </c>
      <c r="CN89" s="1" t="str">
        <f aca="false">IF(OR(OR(NOT(AND(ISNUMBER(E89),ISNUMBER(F89))),$J$2=""),5&gt;Reprogramaciones!$K$16),"",IF(ROUND(SUM($Q89:U89),1)&gt;=99.5,100,MIN(100,ROUND(SUM($Q89:U89),1))))</f>
        <v/>
      </c>
      <c r="CO89" s="1" t="str">
        <f aca="false">IF(OR(OR(NOT(AND(ISNUMBER(E89),ISNUMBER(F89))),$J$2=""),6&gt;Reprogramaciones!$K$16),"",IF(ROUND(SUM($Q89:V89),1)&gt;=99.5,100,MIN(100,ROUND(SUM($Q89:V89),1))))</f>
        <v/>
      </c>
      <c r="CP89" s="1" t="str">
        <f aca="false">IF(OR(OR(NOT(AND(ISNUMBER(E89),ISNUMBER(F89))),$J$2=""),7&gt;Reprogramaciones!$K$16),"",IF(ROUND(SUM($Q89:W89),1)&gt;=99.5,100,MIN(100,ROUND(SUM($Q89:W89),1))))</f>
        <v/>
      </c>
      <c r="CQ89" s="1" t="str">
        <f aca="false">IF(OR(OR(NOT(AND(ISNUMBER(E89),ISNUMBER(F89))),$J$2=""),8&gt;Reprogramaciones!$K$16),"",IF(ROUND(SUM($Q89:X89),1)&gt;=99.5,100,MIN(100,ROUND(SUM($Q89:X89),1))))</f>
        <v/>
      </c>
      <c r="CR89" s="1" t="str">
        <f aca="false">IF(OR(OR(NOT(AND(ISNUMBER(E89),ISNUMBER(F89))),$J$2=""),9&gt;Reprogramaciones!$K$16),"",IF(ROUND(SUM($Q89:Y89),1)&gt;=99.5,100,MIN(100,ROUND(SUM($Q89:Y89),1))))</f>
        <v/>
      </c>
      <c r="CS89" s="1" t="str">
        <f aca="false">IF(OR(OR(NOT(AND(ISNUMBER(E89),ISNUMBER(F89))),$J$2=""),10&gt;Reprogramaciones!$K$16),"",IF(ROUND(SUM($Q89:Z89),1)&gt;=99.5,100,MIN(100,ROUND(SUM($Q89:Z89),1))))</f>
        <v/>
      </c>
      <c r="CT89" s="1" t="str">
        <f aca="false">IF(OR(OR(NOT(AND(ISNUMBER(E89),ISNUMBER(F89))),$J$2=""),11&gt;Reprogramaciones!$K$16),"",IF(ROUND(SUM($Q89:AA89),1)&gt;=99.5,100,MIN(100,ROUND(SUM($Q89:AA89),1))))</f>
        <v/>
      </c>
      <c r="CU89" s="1" t="str">
        <f aca="false">IF(OR(OR(NOT(AND(ISNUMBER(E89),ISNUMBER(F89))),$J$2=""),12&gt;Reprogramaciones!$K$16),"",IF(ROUND(SUM($Q89:AB89),1)&gt;=99.5,100,MIN(100,ROUND(SUM($Q89:AB89),1))))</f>
        <v/>
      </c>
      <c r="CV89" s="1" t="str">
        <f aca="false">IF(OR(OR(NOT(AND(ISNUMBER(E89),ISNUMBER(F89))),$J$2=""),13&gt;Reprogramaciones!$K$16),"",IF(ROUND(SUM($Q89:AC89),1)&gt;=99.5,100,MIN(100,ROUND(SUM($Q89:AC89),1))))</f>
        <v/>
      </c>
      <c r="CW89" s="1" t="str">
        <f aca="false">IF(OR(OR(NOT(AND(ISNUMBER(E89),ISNUMBER(F89))),$J$2=""),14&gt;Reprogramaciones!$K$16),"",IF(ROUND(SUM($Q89:AD89),1)&gt;=99.5,100,MIN(100,ROUND(SUM($Q89:AD89),1))))</f>
        <v/>
      </c>
      <c r="CX89" s="1" t="str">
        <f aca="false">IF(OR(OR(NOT(AND(ISNUMBER(E89),ISNUMBER(F89))),$J$2=""),15&gt;Reprogramaciones!$K$16),"",IF(ROUND(SUM($Q89:AE89),1)&gt;=99.5,100,MIN(100,ROUND(SUM($Q89:AE89),1))))</f>
        <v/>
      </c>
      <c r="CY89" s="1" t="str">
        <f aca="false">IF(OR(OR(NOT(AND(ISNUMBER(E89),ISNUMBER(F89))),$J$2=""),16&gt;Reprogramaciones!$K$16),"",IF(ROUND(SUM($Q89:AF89),1)&gt;=99.5,100,MIN(100,ROUND(SUM($Q89:AF89),1))))</f>
        <v/>
      </c>
      <c r="CZ89" s="1" t="str">
        <f aca="false">IF(D89&lt;&gt;"",D89,IF(B89&lt;&gt;"","Contractual",CZ88))</f>
        <v>Contractual</v>
      </c>
      <c r="DA89" s="1" t="str">
        <f aca="false">IF(OR(NOT(AND(ISNUMBER(E89),ISNUMBER(F89))),$J$2=""),"",IF(Reprogramaciones!$Q$15&lt;Reprogramaciones!$T$15,0,IF(Reprogramaciones!$S$15&gt;10,MIN(100,SUM($G89:$P89)),MIN(100,SUMPRODUCT((COLUMN($G89:$P89)-COLUMN($G89)+1&lt;Reprogramaciones!$S$15)*$G89:$P89)+N(INDEX($G89:$P89,1,Reprogramaciones!$S$15))*IF(Reprogramaciones!$Q$15&gt;=(Reprogramaciones!$T$15+7*(Reprogramaciones!$S$15-1))+6,1,IF(MAX(0,NETWORKDAYS.INTL(MAX(E89,(Reprogramaciones!$T$15+7*(Reprogramaciones!$S$15-1))),MIN(F89,(Reprogramaciones!$T$15+7*(Reprogramaciones!$S$15-1))+6),11))=0,0,MAX(0,NETWORKDAYS.INTL(MAX(E89,(Reprogramaciones!$T$15+7*(Reprogramaciones!$S$15-1))),MIN(F89,Reprogramaciones!$Q$15),11))/MAX(0,NETWORKDAYS.INTL(MAX(E89,(Reprogramaciones!$T$15+7*(Reprogramaciones!$S$15-1))),MIN(F89,(Reprogramaciones!$T$15+7*(Reprogramaciones!$S$15-1))+6),11))))))))</f>
        <v/>
      </c>
    </row>
    <row r="90" customFormat="false" ht="15" hidden="false" customHeight="false" outlineLevel="0" collapsed="false">
      <c r="A90" s="32"/>
      <c r="B90" s="33"/>
      <c r="C90" s="33"/>
      <c r="D90" s="34"/>
      <c r="E90" s="35"/>
      <c r="F90" s="35"/>
      <c r="G90" s="36" t="str">
        <f aca="false">IF(OR(NOT(AND(ISNUMBER(E90),ISNUMBER(F90))),$J$2=""),"",IF(Reprogramaciones!K$9&lt;E90,0,IF(NETWORKDAYS.INTL(E90,F90,11)=0,IF(Reprogramaciones!K$9&gt;=F90,100,0),ROUND(NETWORKDAYS.INTL(E90,MIN(F90,Reprogramaciones!K$9),11)/NETWORKDAYS.INTL(E90,F90,11)*100,1)))-0)</f>
        <v/>
      </c>
      <c r="H90" s="36" t="str">
        <f aca="false">IF(OR(NOT(AND(ISNUMBER(E90),ISNUMBER(F90))),$J$2=""),"",IF(Reprogramaciones!L$9&lt;E90,0,IF(NETWORKDAYS.INTL(E90,F90,11)=0,IF(Reprogramaciones!L$9&gt;=F90,100,0),ROUND(NETWORKDAYS.INTL(E90,MIN(F90,Reprogramaciones!L$9),11)/NETWORKDAYS.INTL(E90,F90,11)*100,1)))-IF(Reprogramaciones!K$9&lt;E90,0,IF(NETWORKDAYS.INTL(E90,F90,11)=0,IF(Reprogramaciones!K$9&gt;=F90,100,0),ROUND(NETWORKDAYS.INTL(E90,MIN(F90,Reprogramaciones!K$9),11)/NETWORKDAYS.INTL(E90,F90,11)*100,1))))</f>
        <v/>
      </c>
      <c r="I90" s="36" t="str">
        <f aca="false">IF(OR(NOT(AND(ISNUMBER(E90),ISNUMBER(F90))),$J$2=""),"",IF(Reprogramaciones!M$9&lt;E90,0,IF(NETWORKDAYS.INTL(E90,F90,11)=0,IF(Reprogramaciones!M$9&gt;=F90,100,0),ROUND(NETWORKDAYS.INTL(E90,MIN(F90,Reprogramaciones!M$9),11)/NETWORKDAYS.INTL(E90,F90,11)*100,1)))-IF(Reprogramaciones!L$9&lt;E90,0,IF(NETWORKDAYS.INTL(E90,F90,11)=0,IF(Reprogramaciones!L$9&gt;=F90,100,0),ROUND(NETWORKDAYS.INTL(E90,MIN(F90,Reprogramaciones!L$9),11)/NETWORKDAYS.INTL(E90,F90,11)*100,1))))</f>
        <v/>
      </c>
      <c r="J90" s="36" t="str">
        <f aca="false">IF(OR(NOT(AND(ISNUMBER(E90),ISNUMBER(F90))),$J$2=""),"",IF(Reprogramaciones!N$9&lt;E90,0,IF(NETWORKDAYS.INTL(E90,F90,11)=0,IF(Reprogramaciones!N$9&gt;=F90,100,0),ROUND(NETWORKDAYS.INTL(E90,MIN(F90,Reprogramaciones!N$9),11)/NETWORKDAYS.INTL(E90,F90,11)*100,1)))-IF(Reprogramaciones!M$9&lt;E90,0,IF(NETWORKDAYS.INTL(E90,F90,11)=0,IF(Reprogramaciones!M$9&gt;=F90,100,0),ROUND(NETWORKDAYS.INTL(E90,MIN(F90,Reprogramaciones!M$9),11)/NETWORKDAYS.INTL(E90,F90,11)*100,1))))</f>
        <v/>
      </c>
      <c r="K90" s="36" t="str">
        <f aca="false">IF(OR(NOT(AND(ISNUMBER(E90),ISNUMBER(F90))),$J$2=""),"",IF(Reprogramaciones!O$9&lt;E90,0,IF(NETWORKDAYS.INTL(E90,F90,11)=0,IF(Reprogramaciones!O$9&gt;=F90,100,0),ROUND(NETWORKDAYS.INTL(E90,MIN(F90,Reprogramaciones!O$9),11)/NETWORKDAYS.INTL(E90,F90,11)*100,1)))-IF(Reprogramaciones!N$9&lt;E90,0,IF(NETWORKDAYS.INTL(E90,F90,11)=0,IF(Reprogramaciones!N$9&gt;=F90,100,0),ROUND(NETWORKDAYS.INTL(E90,MIN(F90,Reprogramaciones!N$9),11)/NETWORKDAYS.INTL(E90,F90,11)*100,1))))</f>
        <v/>
      </c>
      <c r="L90" s="36" t="str">
        <f aca="false">IF(OR(NOT(AND(ISNUMBER(E90),ISNUMBER(F90))),$J$2=""),"",IF(Reprogramaciones!P$9&lt;E90,0,IF(NETWORKDAYS.INTL(E90,F90,11)=0,IF(Reprogramaciones!P$9&gt;=F90,100,0),ROUND(NETWORKDAYS.INTL(E90,MIN(F90,Reprogramaciones!P$9),11)/NETWORKDAYS.INTL(E90,F90,11)*100,1)))-IF(Reprogramaciones!O$9&lt;E90,0,IF(NETWORKDAYS.INTL(E90,F90,11)=0,IF(Reprogramaciones!O$9&gt;=F90,100,0),ROUND(NETWORKDAYS.INTL(E90,MIN(F90,Reprogramaciones!O$9),11)/NETWORKDAYS.INTL(E90,F90,11)*100,1))))</f>
        <v/>
      </c>
      <c r="M90" s="36" t="str">
        <f aca="false">IF(OR(NOT(AND(ISNUMBER(E90),ISNUMBER(F90))),$J$2=""),"",IF(Reprogramaciones!Q$9&lt;E90,0,IF(NETWORKDAYS.INTL(E90,F90,11)=0,IF(Reprogramaciones!Q$9&gt;=F90,100,0),ROUND(NETWORKDAYS.INTL(E90,MIN(F90,Reprogramaciones!Q$9),11)/NETWORKDAYS.INTL(E90,F90,11)*100,1)))-IF(Reprogramaciones!P$9&lt;E90,0,IF(NETWORKDAYS.INTL(E90,F90,11)=0,IF(Reprogramaciones!P$9&gt;=F90,100,0),ROUND(NETWORKDAYS.INTL(E90,MIN(F90,Reprogramaciones!P$9),11)/NETWORKDAYS.INTL(E90,F90,11)*100,1))))</f>
        <v/>
      </c>
      <c r="N90" s="36" t="str">
        <f aca="false">IF(OR(NOT(AND(ISNUMBER(E90),ISNUMBER(F90))),$J$2=""),"",IF(Reprogramaciones!R$9&lt;E90,0,IF(NETWORKDAYS.INTL(E90,F90,11)=0,IF(Reprogramaciones!R$9&gt;=F90,100,0),ROUND(NETWORKDAYS.INTL(E90,MIN(F90,Reprogramaciones!R$9),11)/NETWORKDAYS.INTL(E90,F90,11)*100,1)))-IF(Reprogramaciones!Q$9&lt;E90,0,IF(NETWORKDAYS.INTL(E90,F90,11)=0,IF(Reprogramaciones!Q$9&gt;=F90,100,0),ROUND(NETWORKDAYS.INTL(E90,MIN(F90,Reprogramaciones!Q$9),11)/NETWORKDAYS.INTL(E90,F90,11)*100,1))))</f>
        <v/>
      </c>
      <c r="O90" s="36" t="str">
        <f aca="false">IF(OR(NOT(AND(ISNUMBER(E90),ISNUMBER(F90))),$J$2=""),"",IF(Reprogramaciones!S$9&lt;E90,0,IF(NETWORKDAYS.INTL(E90,F90,11)=0,IF(Reprogramaciones!S$9&gt;=F90,100,0),ROUND(NETWORKDAYS.INTL(E90,MIN(F90,Reprogramaciones!S$9),11)/NETWORKDAYS.INTL(E90,F90,11)*100,1)))-IF(Reprogramaciones!R$9&lt;E90,0,IF(NETWORKDAYS.INTL(E90,F90,11)=0,IF(Reprogramaciones!R$9&gt;=F90,100,0),ROUND(NETWORKDAYS.INTL(E90,MIN(F90,Reprogramaciones!R$9),11)/NETWORKDAYS.INTL(E90,F90,11)*100,1))))</f>
        <v/>
      </c>
      <c r="P90" s="36" t="str">
        <f aca="false">IF(OR(NOT(AND(ISNUMBER(E90),ISNUMBER(F90))),$J$2=""),"",IF(Reprogramaciones!T$9&lt;E90,0,IF(NETWORKDAYS.INTL(E90,F90,11)=0,IF(Reprogramaciones!T$9&gt;=F90,100,0),ROUND(NETWORKDAYS.INTL(E90,MIN(F90,Reprogramaciones!T$9),11)/NETWORKDAYS.INTL(E90,F90,11)*100,1)))-IF(Reprogramaciones!S$9&lt;E90,0,IF(NETWORKDAYS.INTL(E90,F90,11)=0,IF(Reprogramaciones!S$9&gt;=F90,100,0),ROUND(NETWORKDAYS.INTL(E90,MIN(F90,Reprogramaciones!S$9),11)/NETWORKDAYS.INTL(E90,F90,11)*100,1))))</f>
        <v/>
      </c>
      <c r="Q90" s="37"/>
      <c r="R90" s="37"/>
      <c r="S90" s="37"/>
      <c r="T90" s="37"/>
      <c r="U90" s="37"/>
      <c r="V90" s="37"/>
      <c r="W90" s="37"/>
      <c r="X90" s="37"/>
      <c r="Y90" s="37"/>
      <c r="Z90" s="37"/>
      <c r="AA90" s="37"/>
      <c r="AB90" s="37"/>
      <c r="AC90" s="37"/>
      <c r="AD90" s="37"/>
      <c r="AE90" s="37"/>
      <c r="AF90" s="37"/>
      <c r="AG90" s="38" t="str">
        <f aca="false">IF(AND(ISNUMBER(E90),ISNUMBER(F90)),NETWORKDAYS.INTL(E90,F90,11),"")</f>
        <v/>
      </c>
      <c r="AH90" s="38" t="str">
        <f aca="false">IF(OR(NOT(AND(ISNUMBER(E90),ISNUMBER(F90))),$J$2=""),"",IF(Reprogramaciones!$P$15&lt;Reprogramaciones!$T$15,0,IF(Reprogramaciones!$R$15&gt;10,MIN(100,SUM($G90:$P90)),MIN(100,SUMPRODUCT((COLUMN($G90:$P90)-COLUMN($G90)+1&lt;Reprogramaciones!$R$15)*$G90:$P90)+N(INDEX($G90:$P90,1,Reprogramaciones!$R$15))*IF(Reprogramaciones!$P$15&gt;=(Reprogramaciones!$T$15+7*(Reprogramaciones!$R$15-1))+6,1,IF(MAX(0,NETWORKDAYS.INTL(MAX(E90,(Reprogramaciones!$T$15+7*(Reprogramaciones!$R$15-1))),MIN(F90,(Reprogramaciones!$T$15+7*(Reprogramaciones!$R$15-1))+6),11))=0,0,MAX(0,NETWORKDAYS.INTL(MAX(E90,(Reprogramaciones!$T$15+7*(Reprogramaciones!$R$15-1))),MIN(F90,Reprogramaciones!$P$15),11))/MAX(0,NETWORKDAYS.INTL(MAX(E90,(Reprogramaciones!$T$15+7*(Reprogramaciones!$R$15-1))),MIN(F90,(Reprogramaciones!$T$15+7*(Reprogramaciones!$R$15-1))+6),11))))))))</f>
        <v/>
      </c>
      <c r="AI90" s="38" t="str">
        <f aca="false">IF(COUNT($Q90:$AF90)=0,"",IF(ROUND(SUM($Q90:$AF90),1)&gt;=99.5,100,MIN(100,ROUND(SUM($Q90:$AF90),1))))</f>
        <v/>
      </c>
      <c r="AJ90" s="38" t="str">
        <f aca="false">IF(OR(AH90="",AI90=""),"",AI90-AH90)</f>
        <v/>
      </c>
      <c r="AK90" s="39" t="str">
        <f aca="true">IF(AH90="","",IF(OR(Ficha!$C$10="Suspendida",Ficha!$C$10="Cancelada"),Ficha!$C$10,IF(AND(AI90&lt;&gt;"",N(AI90)&gt;=100),"Completada",IF(AND(E90&gt;TODAY(),N(AI90)=0),"Por iniciar",IF(N(AI90)+0.5&lt;AH90,"Retrasada",IF(N(AI90)+0.5&lt;DA90,IF(Reprogramaciones!$K$15&gt;0,"Al día · Sem "&amp;Reprogramaciones!$K$15&amp;" en curso","Al día · en curso"),"A tiempo"))))))</f>
        <v/>
      </c>
      <c r="AL90" s="39" t="str">
        <f aca="true">IF(AND(A90="",AND(B90="",C90="",E90="",F90="",COUNT(Q90:AF90)=0)),"",IF(AND(B90="",C90="",E90="",F90="",COUNT(Q90:AF90)=0),"Falta la partida o subpartida",IF(AND(A90&lt;&gt;"",COUNTIF($A$6:$A$305,A90)&gt;1),"Ítem repetido",IF(AND(C90="",E90="",F90="",COUNT(Q90:AF90)=0),"Título de partida",IF(OR(E90="",F90=""),"Faltan fechas",IF(OR(ISTEXT(E90),ISTEXT(F90)),"Fecha escrita como texto: usa dd/mm/aaaa",IF(F90&lt;E90,"Fin antes del inicio",IF(IF($J$2="",FALSE(),OR(E90&lt;$J$2,F90&gt;Reprogramaciones!$T$15+69)),"Fuera de las 10 semanas",IF(ABS(SUM(G90:P90)-100)&gt;0.5,"La meta no suma 100%",IF(ROUND(SUM(Q90:AF90),1)&gt;100.5,"El avance pasa de 100%",IF(MIN(Q90:AF90)&lt;0,"Avance negativo",IF(COUNTA(Q90:AF90)&gt;COUNT(Q90:AF90),"Avance escrito como texto",IF(SUMPRODUCT((Q90:AF90&gt;0)*(Q90:AF90&lt;1))&gt;0,"Avance menor a 1: escribe 50, no 50%",IF(SUMPRODUCT(ISNUMBER(Q90:AF90)*(Reprogramaciones!$K$8:$Z$8&gt;TODAY()))&gt;0,"Avance en semana que aún no llega",IF(AND(N(Reprogramaciones!$E$21)&gt;0,F90&gt;Reprogramaciones!$E$21),"Pasa el fin de la obra: registra una reprogramación",IF(AND(N(Reprogramaciones!$E$21)&gt;0,SUMPRODUCT(ISNUMBER(Q90:AF90)*(Reprogramaciones!$K$8:$Z$8&gt;Reprogramaciones!$E$21))&gt;0),"Avance después del fin de la obra: registra una reprogramación por atraso","OK"))))))))))))))))</f>
        <v/>
      </c>
      <c r="AM90" s="40" t="str">
        <f aca="false">IF(OR(OR(NOT(AND(ISNUMBER(E90),ISNUMBER(F90))),$J$2=""),1&gt;MAX(1,Reprogramaciones!$U$15)),"",IF(Reprogramaciones!K$12&gt;=7,"",IF(OR(BT90-N(0)&gt;0.05,N(Q90)&gt;0),ROUNDDOWN(ROUND(BT90,6),0)&amp;"%"&amp;IF(CJ90="",""," / "&amp;CJ90&amp;"%"),IF(AND(N(0)&gt;=99.95,CJ90&lt;&gt;"",N(CJ90)&lt;100),"Pend. "&amp;CJ90&amp;"%",""))))</f>
        <v/>
      </c>
      <c r="AN90" s="40" t="str">
        <f aca="false">IF(OR(OR(NOT(AND(ISNUMBER(E90),ISNUMBER(F90))),$J$2=""),2&gt;MAX(1,Reprogramaciones!$U$15)),"",IF(Reprogramaciones!L$12&gt;=7,"",IF(OR(BU90-N(BT90)&gt;0.05,N(R90)&gt;0),ROUNDDOWN(ROUND(BU90,6),0)&amp;"%"&amp;IF(CK90="",""," / "&amp;CK90&amp;"%"),IF(AND(N(BT90)&gt;=99.95,CK90&lt;&gt;"",N(CK90)&lt;100),"Pend. "&amp;CK90&amp;"%",""))))</f>
        <v/>
      </c>
      <c r="AO90" s="40" t="str">
        <f aca="false">IF(OR(OR(NOT(AND(ISNUMBER(E90),ISNUMBER(F90))),$J$2=""),3&gt;MAX(1,Reprogramaciones!$U$15)),"",IF(Reprogramaciones!M$12&gt;=7,"",IF(OR(BV90-N(BU90)&gt;0.05,N(S90)&gt;0),ROUNDDOWN(ROUND(BV90,6),0)&amp;"%"&amp;IF(CL90="",""," / "&amp;CL90&amp;"%"),IF(AND(N(BU90)&gt;=99.95,CL90&lt;&gt;"",N(CL90)&lt;100),"Pend. "&amp;CL90&amp;"%",""))))</f>
        <v/>
      </c>
      <c r="AP90" s="40" t="str">
        <f aca="false">IF(OR(OR(NOT(AND(ISNUMBER(E90),ISNUMBER(F90))),$J$2=""),4&gt;MAX(1,Reprogramaciones!$U$15)),"",IF(Reprogramaciones!N$12&gt;=7,"",IF(OR(BW90-N(BV90)&gt;0.05,N(T90)&gt;0),ROUNDDOWN(ROUND(BW90,6),0)&amp;"%"&amp;IF(CM90="",""," / "&amp;CM90&amp;"%"),IF(AND(N(BV90)&gt;=99.95,CM90&lt;&gt;"",N(CM90)&lt;100),"Pend. "&amp;CM90&amp;"%",""))))</f>
        <v/>
      </c>
      <c r="AQ90" s="40" t="str">
        <f aca="false">IF(OR(OR(NOT(AND(ISNUMBER(E90),ISNUMBER(F90))),$J$2=""),5&gt;MAX(1,Reprogramaciones!$U$15)),"",IF(Reprogramaciones!O$12&gt;=7,"",IF(OR(BX90-N(BW90)&gt;0.05,N(U90)&gt;0),ROUNDDOWN(ROUND(BX90,6),0)&amp;"%"&amp;IF(CN90="",""," / "&amp;CN90&amp;"%"),IF(AND(N(BW90)&gt;=99.95,CN90&lt;&gt;"",N(CN90)&lt;100),"Pend. "&amp;CN90&amp;"%",""))))</f>
        <v/>
      </c>
      <c r="AR90" s="40" t="str">
        <f aca="false">IF(OR(OR(NOT(AND(ISNUMBER(E90),ISNUMBER(F90))),$J$2=""),6&gt;MAX(1,Reprogramaciones!$U$15)),"",IF(Reprogramaciones!P$12&gt;=7,"",IF(OR(BY90-N(BX90)&gt;0.05,N(V90)&gt;0),ROUNDDOWN(ROUND(BY90,6),0)&amp;"%"&amp;IF(CO90="",""," / "&amp;CO90&amp;"%"),IF(AND(N(BX90)&gt;=99.95,CO90&lt;&gt;"",N(CO90)&lt;100),"Pend. "&amp;CO90&amp;"%",""))))</f>
        <v/>
      </c>
      <c r="AS90" s="40" t="str">
        <f aca="false">IF(OR(OR(NOT(AND(ISNUMBER(E90),ISNUMBER(F90))),$J$2=""),7&gt;MAX(1,Reprogramaciones!$U$15)),"",IF(Reprogramaciones!Q$12&gt;=7,"",IF(OR(BZ90-N(BY90)&gt;0.05,N(W90)&gt;0),ROUNDDOWN(ROUND(BZ90,6),0)&amp;"%"&amp;IF(CP90="",""," / "&amp;CP90&amp;"%"),IF(AND(N(BY90)&gt;=99.95,CP90&lt;&gt;"",N(CP90)&lt;100),"Pend. "&amp;CP90&amp;"%",""))))</f>
        <v/>
      </c>
      <c r="AT90" s="40" t="str">
        <f aca="false">IF(OR(OR(NOT(AND(ISNUMBER(E90),ISNUMBER(F90))),$J$2=""),8&gt;MAX(1,Reprogramaciones!$U$15)),"",IF(Reprogramaciones!R$12&gt;=7,"",IF(OR(CA90-N(BZ90)&gt;0.05,N(X90)&gt;0),ROUNDDOWN(ROUND(CA90,6),0)&amp;"%"&amp;IF(CQ90="",""," / "&amp;CQ90&amp;"%"),IF(AND(N(BZ90)&gt;=99.95,CQ90&lt;&gt;"",N(CQ90)&lt;100),"Pend. "&amp;CQ90&amp;"%",""))))</f>
        <v/>
      </c>
      <c r="AU90" s="40" t="str">
        <f aca="false">IF(OR(OR(NOT(AND(ISNUMBER(E90),ISNUMBER(F90))),$J$2=""),9&gt;MAX(1,Reprogramaciones!$U$15)),"",IF(Reprogramaciones!S$12&gt;=7,"",IF(OR(CB90-N(CA90)&gt;0.05,N(Y90)&gt;0),ROUNDDOWN(ROUND(CB90,6),0)&amp;"%"&amp;IF(CR90="",""," / "&amp;CR90&amp;"%"),IF(AND(N(CA90)&gt;=99.95,CR90&lt;&gt;"",N(CR90)&lt;100),"Pend. "&amp;CR90&amp;"%",""))))</f>
        <v/>
      </c>
      <c r="AV90" s="40" t="str">
        <f aca="false">IF(OR(OR(NOT(AND(ISNUMBER(E90),ISNUMBER(F90))),$J$2=""),10&gt;MAX(1,Reprogramaciones!$U$15)),"",IF(Reprogramaciones!T$12&gt;=7,"",IF(OR(CC90-N(CB90)&gt;0.05,N(Z90)&gt;0),ROUNDDOWN(ROUND(CC90,6),0)&amp;"%"&amp;IF(CS90="",""," / "&amp;CS90&amp;"%"),IF(AND(N(CB90)&gt;=99.95,CS90&lt;&gt;"",N(CS90)&lt;100),"Pend. "&amp;CS90&amp;"%",""))))</f>
        <v/>
      </c>
      <c r="AW90" s="40" t="str">
        <f aca="false">IF(OR(OR(NOT(AND(ISNUMBER(E90),ISNUMBER(F90))),$J$2=""),11&gt;MAX(1,Reprogramaciones!$U$15)),"",IF(Reprogramaciones!U$12&gt;=7,"",IF(OR(CD90-N(CC90)&gt;0.05,N(AA90)&gt;0),ROUNDDOWN(ROUND(CD90,6),0)&amp;"%"&amp;IF(CT90="",""," / "&amp;CT90&amp;"%"),IF(AND(N(CC90)&gt;=99.95,CT90&lt;&gt;"",N(CT90)&lt;100),"Pend. "&amp;CT90&amp;"%",""))))</f>
        <v/>
      </c>
      <c r="AX90" s="40" t="str">
        <f aca="false">IF(OR(OR(NOT(AND(ISNUMBER(E90),ISNUMBER(F90))),$J$2=""),12&gt;MAX(1,Reprogramaciones!$U$15)),"",IF(Reprogramaciones!V$12&gt;=7,"",IF(OR(CE90-N(CD90)&gt;0.05,N(AB90)&gt;0),ROUNDDOWN(ROUND(CE90,6),0)&amp;"%"&amp;IF(CU90="",""," / "&amp;CU90&amp;"%"),IF(AND(N(CD90)&gt;=99.95,CU90&lt;&gt;"",N(CU90)&lt;100),"Pend. "&amp;CU90&amp;"%",""))))</f>
        <v/>
      </c>
      <c r="AY90" s="40" t="str">
        <f aca="false">IF(OR(OR(NOT(AND(ISNUMBER(E90),ISNUMBER(F90))),$J$2=""),13&gt;MAX(1,Reprogramaciones!$U$15)),"",IF(Reprogramaciones!W$12&gt;=7,"",IF(OR(CF90-N(CE90)&gt;0.05,N(AC90)&gt;0),ROUNDDOWN(ROUND(CF90,6),0)&amp;"%"&amp;IF(CV90="",""," / "&amp;CV90&amp;"%"),IF(AND(N(CE90)&gt;=99.95,CV90&lt;&gt;"",N(CV90)&lt;100),"Pend. "&amp;CV90&amp;"%",""))))</f>
        <v/>
      </c>
      <c r="AZ90" s="40" t="str">
        <f aca="false">IF(OR(OR(NOT(AND(ISNUMBER(E90),ISNUMBER(F90))),$J$2=""),14&gt;MAX(1,Reprogramaciones!$U$15)),"",IF(Reprogramaciones!X$12&gt;=7,"",IF(OR(CG90-N(CF90)&gt;0.05,N(AD90)&gt;0),ROUNDDOWN(ROUND(CG90,6),0)&amp;"%"&amp;IF(CW90="",""," / "&amp;CW90&amp;"%"),IF(AND(N(CF90)&gt;=99.95,CW90&lt;&gt;"",N(CW90)&lt;100),"Pend. "&amp;CW90&amp;"%",""))))</f>
        <v/>
      </c>
      <c r="BA90" s="40" t="str">
        <f aca="false">IF(OR(OR(NOT(AND(ISNUMBER(E90),ISNUMBER(F90))),$J$2=""),15&gt;MAX(1,Reprogramaciones!$U$15)),"",IF(Reprogramaciones!Y$12&gt;=7,"",IF(OR(CH90-N(CG90)&gt;0.05,N(AE90)&gt;0),ROUNDDOWN(ROUND(CH90,6),0)&amp;"%"&amp;IF(CX90="",""," / "&amp;CX90&amp;"%"),IF(AND(N(CG90)&gt;=99.95,CX90&lt;&gt;"",N(CX90)&lt;100),"Pend. "&amp;CX90&amp;"%",""))))</f>
        <v/>
      </c>
      <c r="BB90" s="40" t="str">
        <f aca="false">IF(OR(OR(NOT(AND(ISNUMBER(E90),ISNUMBER(F90))),$J$2=""),16&gt;MAX(1,Reprogramaciones!$U$15)),"",IF(Reprogramaciones!Z$12&gt;=7,"",IF(OR(CI90-N(CH90)&gt;0.05,N(AF90)&gt;0),ROUNDDOWN(ROUND(CI90,6),0)&amp;"%"&amp;IF(CY90="",""," / "&amp;CY90&amp;"%"),IF(AND(N(CH90)&gt;=99.95,CY90&lt;&gt;"",N(CY90)&lt;100),"Pend. "&amp;CY90&amp;"%",""))))</f>
        <v/>
      </c>
      <c r="BC90" s="31" t="n">
        <f aca="false">IF(AND(ISNUMBER(E90),ISNUMBER(F90)),MAX(1,NETWORKDAYS.INTL(E90,F90,11)),0)</f>
        <v>0</v>
      </c>
      <c r="BD90" s="1" t="str">
        <f aca="false">IF(OR(NOT(AND(ISNUMBER(E90),ISNUMBER(F90))),$J$2=""),"",MIN(100,ROUND(SUM($G90:G90),1)))</f>
        <v/>
      </c>
      <c r="BE90" s="1" t="str">
        <f aca="false">IF(OR(NOT(AND(ISNUMBER(E90),ISNUMBER(F90))),$J$2=""),"",MIN(100,ROUND(SUM($G90:H90),1)))</f>
        <v/>
      </c>
      <c r="BF90" s="1" t="str">
        <f aca="false">IF(OR(NOT(AND(ISNUMBER(E90),ISNUMBER(F90))),$J$2=""),"",MIN(100,ROUND(SUM($G90:I90),1)))</f>
        <v/>
      </c>
      <c r="BG90" s="1" t="str">
        <f aca="false">IF(OR(NOT(AND(ISNUMBER(E90),ISNUMBER(F90))),$J$2=""),"",MIN(100,ROUND(SUM($G90:J90),1)))</f>
        <v/>
      </c>
      <c r="BH90" s="1" t="str">
        <f aca="false">IF(OR(NOT(AND(ISNUMBER(E90),ISNUMBER(F90))),$J$2=""),"",MIN(100,ROUND(SUM($G90:K90),1)))</f>
        <v/>
      </c>
      <c r="BI90" s="1" t="str">
        <f aca="false">IF(OR(NOT(AND(ISNUMBER(E90),ISNUMBER(F90))),$J$2=""),"",MIN(100,ROUND(SUM($G90:L90),1)))</f>
        <v/>
      </c>
      <c r="BJ90" s="1" t="str">
        <f aca="false">IF(OR(NOT(AND(ISNUMBER(E90),ISNUMBER(F90))),$J$2=""),"",MIN(100,ROUND(SUM($G90:M90),1)))</f>
        <v/>
      </c>
      <c r="BK90" s="1" t="str">
        <f aca="false">IF(OR(NOT(AND(ISNUMBER(E90),ISNUMBER(F90))),$J$2=""),"",MIN(100,ROUND(SUM($G90:N90),1)))</f>
        <v/>
      </c>
      <c r="BL90" s="1" t="str">
        <f aca="false">IF(OR(NOT(AND(ISNUMBER(E90),ISNUMBER(F90))),$J$2=""),"",MIN(100,ROUND(SUM($G90:O90),1)))</f>
        <v/>
      </c>
      <c r="BM90" s="1" t="str">
        <f aca="false">IF(OR(NOT(AND(ISNUMBER(E90),ISNUMBER(F90))),$J$2=""),"",MIN(100,ROUND(SUM($G90:P90),1)))</f>
        <v/>
      </c>
      <c r="BN90" s="1" t="str">
        <f aca="false">IF(OR(NOT(AND(ISNUMBER(E90),ISNUMBER(F90))),$J$2=""),"",MIN(100,ROUND(SUM($G90:P90),1)))</f>
        <v/>
      </c>
      <c r="BO90" s="1" t="str">
        <f aca="false">IF(OR(NOT(AND(ISNUMBER(E90),ISNUMBER(F90))),$J$2=""),"",MIN(100,ROUND(SUM($G90:P90),1)))</f>
        <v/>
      </c>
      <c r="BP90" s="1" t="str">
        <f aca="false">IF(OR(NOT(AND(ISNUMBER(E90),ISNUMBER(F90))),$J$2=""),"",MIN(100,ROUND(SUM($G90:P90),1)))</f>
        <v/>
      </c>
      <c r="BQ90" s="1" t="str">
        <f aca="false">IF(OR(NOT(AND(ISNUMBER(E90),ISNUMBER(F90))),$J$2=""),"",MIN(100,ROUND(SUM($G90:P90),1)))</f>
        <v/>
      </c>
      <c r="BR90" s="1" t="str">
        <f aca="false">IF(OR(NOT(AND(ISNUMBER(E90),ISNUMBER(F90))),$J$2=""),"",MIN(100,ROUND(SUM($G90:P90),1)))</f>
        <v/>
      </c>
      <c r="BS90" s="1" t="str">
        <f aca="false">IF(OR(NOT(AND(ISNUMBER(E90),ISNUMBER(F90))),$J$2=""),"",MIN(100,ROUND(SUM($G90:P90),1)))</f>
        <v/>
      </c>
      <c r="BT90" s="1" t="str">
        <f aca="false">IF(OR(NOT(AND(ISNUMBER(E90),ISNUMBER(F90))),$J$2=""),"",IF(Reprogramaciones!K$13&lt;Reprogramaciones!$T$15,0,IF(Reprogramaciones!K$14&gt;10,MIN(100,SUM($G90:$P90)),MIN(100,SUMPRODUCT((COLUMN($G90:$P90)-COLUMN($G90)+1&lt;Reprogramaciones!K$14)*$G90:$P90)+N(INDEX($G90:$P90,1,Reprogramaciones!K$14))*IF(Reprogramaciones!K$13&gt;=(Reprogramaciones!$T$15+7*(Reprogramaciones!K$14-1))+6,1,IF(MAX(0,NETWORKDAYS.INTL(MAX(E90,(Reprogramaciones!$T$15+7*(Reprogramaciones!K$14-1))),MIN(F90,(Reprogramaciones!$T$15+7*(Reprogramaciones!K$14-1))+6),11))=0,0,MAX(0,NETWORKDAYS.INTL(MAX(E90,(Reprogramaciones!$T$15+7*(Reprogramaciones!K$14-1))),MIN(F90,Reprogramaciones!K$13),11))/MAX(0,NETWORKDAYS.INTL(MAX(E90,(Reprogramaciones!$T$15+7*(Reprogramaciones!K$14-1))),MIN(F90,(Reprogramaciones!$T$15+7*(Reprogramaciones!K$14-1))+6),11))))))))</f>
        <v/>
      </c>
      <c r="BU90" s="1" t="str">
        <f aca="false">IF(OR(NOT(AND(ISNUMBER(E90),ISNUMBER(F90))),$J$2=""),"",IF(Reprogramaciones!L$13&lt;Reprogramaciones!$T$15,0,IF(Reprogramaciones!L$14&gt;10,MIN(100,SUM($G90:$P90)),MIN(100,SUMPRODUCT((COLUMN($G90:$P90)-COLUMN($G90)+1&lt;Reprogramaciones!L$14)*$G90:$P90)+N(INDEX($G90:$P90,1,Reprogramaciones!L$14))*IF(Reprogramaciones!L$13&gt;=(Reprogramaciones!$T$15+7*(Reprogramaciones!L$14-1))+6,1,IF(MAX(0,NETWORKDAYS.INTL(MAX(E90,(Reprogramaciones!$T$15+7*(Reprogramaciones!L$14-1))),MIN(F90,(Reprogramaciones!$T$15+7*(Reprogramaciones!L$14-1))+6),11))=0,0,MAX(0,NETWORKDAYS.INTL(MAX(E90,(Reprogramaciones!$T$15+7*(Reprogramaciones!L$14-1))),MIN(F90,Reprogramaciones!L$13),11))/MAX(0,NETWORKDAYS.INTL(MAX(E90,(Reprogramaciones!$T$15+7*(Reprogramaciones!L$14-1))),MIN(F90,(Reprogramaciones!$T$15+7*(Reprogramaciones!L$14-1))+6),11))))))))</f>
        <v/>
      </c>
      <c r="BV90" s="1" t="str">
        <f aca="false">IF(OR(NOT(AND(ISNUMBER(E90),ISNUMBER(F90))),$J$2=""),"",IF(Reprogramaciones!M$13&lt;Reprogramaciones!$T$15,0,IF(Reprogramaciones!M$14&gt;10,MIN(100,SUM($G90:$P90)),MIN(100,SUMPRODUCT((COLUMN($G90:$P90)-COLUMN($G90)+1&lt;Reprogramaciones!M$14)*$G90:$P90)+N(INDEX($G90:$P90,1,Reprogramaciones!M$14))*IF(Reprogramaciones!M$13&gt;=(Reprogramaciones!$T$15+7*(Reprogramaciones!M$14-1))+6,1,IF(MAX(0,NETWORKDAYS.INTL(MAX(E90,(Reprogramaciones!$T$15+7*(Reprogramaciones!M$14-1))),MIN(F90,(Reprogramaciones!$T$15+7*(Reprogramaciones!M$14-1))+6),11))=0,0,MAX(0,NETWORKDAYS.INTL(MAX(E90,(Reprogramaciones!$T$15+7*(Reprogramaciones!M$14-1))),MIN(F90,Reprogramaciones!M$13),11))/MAX(0,NETWORKDAYS.INTL(MAX(E90,(Reprogramaciones!$T$15+7*(Reprogramaciones!M$14-1))),MIN(F90,(Reprogramaciones!$T$15+7*(Reprogramaciones!M$14-1))+6),11))))))))</f>
        <v/>
      </c>
      <c r="BW90" s="1" t="str">
        <f aca="false">IF(OR(NOT(AND(ISNUMBER(E90),ISNUMBER(F90))),$J$2=""),"",IF(Reprogramaciones!N$13&lt;Reprogramaciones!$T$15,0,IF(Reprogramaciones!N$14&gt;10,MIN(100,SUM($G90:$P90)),MIN(100,SUMPRODUCT((COLUMN($G90:$P90)-COLUMN($G90)+1&lt;Reprogramaciones!N$14)*$G90:$P90)+N(INDEX($G90:$P90,1,Reprogramaciones!N$14))*IF(Reprogramaciones!N$13&gt;=(Reprogramaciones!$T$15+7*(Reprogramaciones!N$14-1))+6,1,IF(MAX(0,NETWORKDAYS.INTL(MAX(E90,(Reprogramaciones!$T$15+7*(Reprogramaciones!N$14-1))),MIN(F90,(Reprogramaciones!$T$15+7*(Reprogramaciones!N$14-1))+6),11))=0,0,MAX(0,NETWORKDAYS.INTL(MAX(E90,(Reprogramaciones!$T$15+7*(Reprogramaciones!N$14-1))),MIN(F90,Reprogramaciones!N$13),11))/MAX(0,NETWORKDAYS.INTL(MAX(E90,(Reprogramaciones!$T$15+7*(Reprogramaciones!N$14-1))),MIN(F90,(Reprogramaciones!$T$15+7*(Reprogramaciones!N$14-1))+6),11))))))))</f>
        <v/>
      </c>
      <c r="BX90" s="1" t="str">
        <f aca="false">IF(OR(NOT(AND(ISNUMBER(E90),ISNUMBER(F90))),$J$2=""),"",IF(Reprogramaciones!O$13&lt;Reprogramaciones!$T$15,0,IF(Reprogramaciones!O$14&gt;10,MIN(100,SUM($G90:$P90)),MIN(100,SUMPRODUCT((COLUMN($G90:$P90)-COLUMN($G90)+1&lt;Reprogramaciones!O$14)*$G90:$P90)+N(INDEX($G90:$P90,1,Reprogramaciones!O$14))*IF(Reprogramaciones!O$13&gt;=(Reprogramaciones!$T$15+7*(Reprogramaciones!O$14-1))+6,1,IF(MAX(0,NETWORKDAYS.INTL(MAX(E90,(Reprogramaciones!$T$15+7*(Reprogramaciones!O$14-1))),MIN(F90,(Reprogramaciones!$T$15+7*(Reprogramaciones!O$14-1))+6),11))=0,0,MAX(0,NETWORKDAYS.INTL(MAX(E90,(Reprogramaciones!$T$15+7*(Reprogramaciones!O$14-1))),MIN(F90,Reprogramaciones!O$13),11))/MAX(0,NETWORKDAYS.INTL(MAX(E90,(Reprogramaciones!$T$15+7*(Reprogramaciones!O$14-1))),MIN(F90,(Reprogramaciones!$T$15+7*(Reprogramaciones!O$14-1))+6),11))))))))</f>
        <v/>
      </c>
      <c r="BY90" s="1" t="str">
        <f aca="false">IF(OR(NOT(AND(ISNUMBER(E90),ISNUMBER(F90))),$J$2=""),"",IF(Reprogramaciones!P$13&lt;Reprogramaciones!$T$15,0,IF(Reprogramaciones!P$14&gt;10,MIN(100,SUM($G90:$P90)),MIN(100,SUMPRODUCT((COLUMN($G90:$P90)-COLUMN($G90)+1&lt;Reprogramaciones!P$14)*$G90:$P90)+N(INDEX($G90:$P90,1,Reprogramaciones!P$14))*IF(Reprogramaciones!P$13&gt;=(Reprogramaciones!$T$15+7*(Reprogramaciones!P$14-1))+6,1,IF(MAX(0,NETWORKDAYS.INTL(MAX(E90,(Reprogramaciones!$T$15+7*(Reprogramaciones!P$14-1))),MIN(F90,(Reprogramaciones!$T$15+7*(Reprogramaciones!P$14-1))+6),11))=0,0,MAX(0,NETWORKDAYS.INTL(MAX(E90,(Reprogramaciones!$T$15+7*(Reprogramaciones!P$14-1))),MIN(F90,Reprogramaciones!P$13),11))/MAX(0,NETWORKDAYS.INTL(MAX(E90,(Reprogramaciones!$T$15+7*(Reprogramaciones!P$14-1))),MIN(F90,(Reprogramaciones!$T$15+7*(Reprogramaciones!P$14-1))+6),11))))))))</f>
        <v/>
      </c>
      <c r="BZ90" s="1" t="str">
        <f aca="false">IF(OR(NOT(AND(ISNUMBER(E90),ISNUMBER(F90))),$J$2=""),"",IF(Reprogramaciones!Q$13&lt;Reprogramaciones!$T$15,0,IF(Reprogramaciones!Q$14&gt;10,MIN(100,SUM($G90:$P90)),MIN(100,SUMPRODUCT((COLUMN($G90:$P90)-COLUMN($G90)+1&lt;Reprogramaciones!Q$14)*$G90:$P90)+N(INDEX($G90:$P90,1,Reprogramaciones!Q$14))*IF(Reprogramaciones!Q$13&gt;=(Reprogramaciones!$T$15+7*(Reprogramaciones!Q$14-1))+6,1,IF(MAX(0,NETWORKDAYS.INTL(MAX(E90,(Reprogramaciones!$T$15+7*(Reprogramaciones!Q$14-1))),MIN(F90,(Reprogramaciones!$T$15+7*(Reprogramaciones!Q$14-1))+6),11))=0,0,MAX(0,NETWORKDAYS.INTL(MAX(E90,(Reprogramaciones!$T$15+7*(Reprogramaciones!Q$14-1))),MIN(F90,Reprogramaciones!Q$13),11))/MAX(0,NETWORKDAYS.INTL(MAX(E90,(Reprogramaciones!$T$15+7*(Reprogramaciones!Q$14-1))),MIN(F90,(Reprogramaciones!$T$15+7*(Reprogramaciones!Q$14-1))+6),11))))))))</f>
        <v/>
      </c>
      <c r="CA90" s="1" t="str">
        <f aca="false">IF(OR(NOT(AND(ISNUMBER(E90),ISNUMBER(F90))),$J$2=""),"",IF(Reprogramaciones!R$13&lt;Reprogramaciones!$T$15,0,IF(Reprogramaciones!R$14&gt;10,MIN(100,SUM($G90:$P90)),MIN(100,SUMPRODUCT((COLUMN($G90:$P90)-COLUMN($G90)+1&lt;Reprogramaciones!R$14)*$G90:$P90)+N(INDEX($G90:$P90,1,Reprogramaciones!R$14))*IF(Reprogramaciones!R$13&gt;=(Reprogramaciones!$T$15+7*(Reprogramaciones!R$14-1))+6,1,IF(MAX(0,NETWORKDAYS.INTL(MAX(E90,(Reprogramaciones!$T$15+7*(Reprogramaciones!R$14-1))),MIN(F90,(Reprogramaciones!$T$15+7*(Reprogramaciones!R$14-1))+6),11))=0,0,MAX(0,NETWORKDAYS.INTL(MAX(E90,(Reprogramaciones!$T$15+7*(Reprogramaciones!R$14-1))),MIN(F90,Reprogramaciones!R$13),11))/MAX(0,NETWORKDAYS.INTL(MAX(E90,(Reprogramaciones!$T$15+7*(Reprogramaciones!R$14-1))),MIN(F90,(Reprogramaciones!$T$15+7*(Reprogramaciones!R$14-1))+6),11))))))))</f>
        <v/>
      </c>
      <c r="CB90" s="1" t="str">
        <f aca="false">IF(OR(NOT(AND(ISNUMBER(E90),ISNUMBER(F90))),$J$2=""),"",IF(Reprogramaciones!S$13&lt;Reprogramaciones!$T$15,0,IF(Reprogramaciones!S$14&gt;10,MIN(100,SUM($G90:$P90)),MIN(100,SUMPRODUCT((COLUMN($G90:$P90)-COLUMN($G90)+1&lt;Reprogramaciones!S$14)*$G90:$P90)+N(INDEX($G90:$P90,1,Reprogramaciones!S$14))*IF(Reprogramaciones!S$13&gt;=(Reprogramaciones!$T$15+7*(Reprogramaciones!S$14-1))+6,1,IF(MAX(0,NETWORKDAYS.INTL(MAX(E90,(Reprogramaciones!$T$15+7*(Reprogramaciones!S$14-1))),MIN(F90,(Reprogramaciones!$T$15+7*(Reprogramaciones!S$14-1))+6),11))=0,0,MAX(0,NETWORKDAYS.INTL(MAX(E90,(Reprogramaciones!$T$15+7*(Reprogramaciones!S$14-1))),MIN(F90,Reprogramaciones!S$13),11))/MAX(0,NETWORKDAYS.INTL(MAX(E90,(Reprogramaciones!$T$15+7*(Reprogramaciones!S$14-1))),MIN(F90,(Reprogramaciones!$T$15+7*(Reprogramaciones!S$14-1))+6),11))))))))</f>
        <v/>
      </c>
      <c r="CC90" s="1" t="str">
        <f aca="false">IF(OR(NOT(AND(ISNUMBER(E90),ISNUMBER(F90))),$J$2=""),"",IF(Reprogramaciones!T$13&lt;Reprogramaciones!$T$15,0,IF(Reprogramaciones!T$14&gt;10,MIN(100,SUM($G90:$P90)),MIN(100,SUMPRODUCT((COLUMN($G90:$P90)-COLUMN($G90)+1&lt;Reprogramaciones!T$14)*$G90:$P90)+N(INDEX($G90:$P90,1,Reprogramaciones!T$14))*IF(Reprogramaciones!T$13&gt;=(Reprogramaciones!$T$15+7*(Reprogramaciones!T$14-1))+6,1,IF(MAX(0,NETWORKDAYS.INTL(MAX(E90,(Reprogramaciones!$T$15+7*(Reprogramaciones!T$14-1))),MIN(F90,(Reprogramaciones!$T$15+7*(Reprogramaciones!T$14-1))+6),11))=0,0,MAX(0,NETWORKDAYS.INTL(MAX(E90,(Reprogramaciones!$T$15+7*(Reprogramaciones!T$14-1))),MIN(F90,Reprogramaciones!T$13),11))/MAX(0,NETWORKDAYS.INTL(MAX(E90,(Reprogramaciones!$T$15+7*(Reprogramaciones!T$14-1))),MIN(F90,(Reprogramaciones!$T$15+7*(Reprogramaciones!T$14-1))+6),11))))))))</f>
        <v/>
      </c>
      <c r="CD90" s="1" t="str">
        <f aca="false">IF(OR(NOT(AND(ISNUMBER(E90),ISNUMBER(F90))),$J$2=""),"",IF(Reprogramaciones!U$13&lt;Reprogramaciones!$T$15,0,IF(Reprogramaciones!U$14&gt;10,MIN(100,SUM($G90:$P90)),MIN(100,SUMPRODUCT((COLUMN($G90:$P90)-COLUMN($G90)+1&lt;Reprogramaciones!U$14)*$G90:$P90)+N(INDEX($G90:$P90,1,Reprogramaciones!U$14))*IF(Reprogramaciones!U$13&gt;=(Reprogramaciones!$T$15+7*(Reprogramaciones!U$14-1))+6,1,IF(MAX(0,NETWORKDAYS.INTL(MAX(E90,(Reprogramaciones!$T$15+7*(Reprogramaciones!U$14-1))),MIN(F90,(Reprogramaciones!$T$15+7*(Reprogramaciones!U$14-1))+6),11))=0,0,MAX(0,NETWORKDAYS.INTL(MAX(E90,(Reprogramaciones!$T$15+7*(Reprogramaciones!U$14-1))),MIN(F90,Reprogramaciones!U$13),11))/MAX(0,NETWORKDAYS.INTL(MAX(E90,(Reprogramaciones!$T$15+7*(Reprogramaciones!U$14-1))),MIN(F90,(Reprogramaciones!$T$15+7*(Reprogramaciones!U$14-1))+6),11))))))))</f>
        <v/>
      </c>
      <c r="CE90" s="1" t="str">
        <f aca="false">IF(OR(NOT(AND(ISNUMBER(E90),ISNUMBER(F90))),$J$2=""),"",IF(Reprogramaciones!V$13&lt;Reprogramaciones!$T$15,0,IF(Reprogramaciones!V$14&gt;10,MIN(100,SUM($G90:$P90)),MIN(100,SUMPRODUCT((COLUMN($G90:$P90)-COLUMN($G90)+1&lt;Reprogramaciones!V$14)*$G90:$P90)+N(INDEX($G90:$P90,1,Reprogramaciones!V$14))*IF(Reprogramaciones!V$13&gt;=(Reprogramaciones!$T$15+7*(Reprogramaciones!V$14-1))+6,1,IF(MAX(0,NETWORKDAYS.INTL(MAX(E90,(Reprogramaciones!$T$15+7*(Reprogramaciones!V$14-1))),MIN(F90,(Reprogramaciones!$T$15+7*(Reprogramaciones!V$14-1))+6),11))=0,0,MAX(0,NETWORKDAYS.INTL(MAX(E90,(Reprogramaciones!$T$15+7*(Reprogramaciones!V$14-1))),MIN(F90,Reprogramaciones!V$13),11))/MAX(0,NETWORKDAYS.INTL(MAX(E90,(Reprogramaciones!$T$15+7*(Reprogramaciones!V$14-1))),MIN(F90,(Reprogramaciones!$T$15+7*(Reprogramaciones!V$14-1))+6),11))))))))</f>
        <v/>
      </c>
      <c r="CF90" s="1" t="str">
        <f aca="false">IF(OR(NOT(AND(ISNUMBER(E90),ISNUMBER(F90))),$J$2=""),"",IF(Reprogramaciones!W$13&lt;Reprogramaciones!$T$15,0,IF(Reprogramaciones!W$14&gt;10,MIN(100,SUM($G90:$P90)),MIN(100,SUMPRODUCT((COLUMN($G90:$P90)-COLUMN($G90)+1&lt;Reprogramaciones!W$14)*$G90:$P90)+N(INDEX($G90:$P90,1,Reprogramaciones!W$14))*IF(Reprogramaciones!W$13&gt;=(Reprogramaciones!$T$15+7*(Reprogramaciones!W$14-1))+6,1,IF(MAX(0,NETWORKDAYS.INTL(MAX(E90,(Reprogramaciones!$T$15+7*(Reprogramaciones!W$14-1))),MIN(F90,(Reprogramaciones!$T$15+7*(Reprogramaciones!W$14-1))+6),11))=0,0,MAX(0,NETWORKDAYS.INTL(MAX(E90,(Reprogramaciones!$T$15+7*(Reprogramaciones!W$14-1))),MIN(F90,Reprogramaciones!W$13),11))/MAX(0,NETWORKDAYS.INTL(MAX(E90,(Reprogramaciones!$T$15+7*(Reprogramaciones!W$14-1))),MIN(F90,(Reprogramaciones!$T$15+7*(Reprogramaciones!W$14-1))+6),11))))))))</f>
        <v/>
      </c>
      <c r="CG90" s="1" t="str">
        <f aca="false">IF(OR(NOT(AND(ISNUMBER(E90),ISNUMBER(F90))),$J$2=""),"",IF(Reprogramaciones!X$13&lt;Reprogramaciones!$T$15,0,IF(Reprogramaciones!X$14&gt;10,MIN(100,SUM($G90:$P90)),MIN(100,SUMPRODUCT((COLUMN($G90:$P90)-COLUMN($G90)+1&lt;Reprogramaciones!X$14)*$G90:$P90)+N(INDEX($G90:$P90,1,Reprogramaciones!X$14))*IF(Reprogramaciones!X$13&gt;=(Reprogramaciones!$T$15+7*(Reprogramaciones!X$14-1))+6,1,IF(MAX(0,NETWORKDAYS.INTL(MAX(E90,(Reprogramaciones!$T$15+7*(Reprogramaciones!X$14-1))),MIN(F90,(Reprogramaciones!$T$15+7*(Reprogramaciones!X$14-1))+6),11))=0,0,MAX(0,NETWORKDAYS.INTL(MAX(E90,(Reprogramaciones!$T$15+7*(Reprogramaciones!X$14-1))),MIN(F90,Reprogramaciones!X$13),11))/MAX(0,NETWORKDAYS.INTL(MAX(E90,(Reprogramaciones!$T$15+7*(Reprogramaciones!X$14-1))),MIN(F90,(Reprogramaciones!$T$15+7*(Reprogramaciones!X$14-1))+6),11))))))))</f>
        <v/>
      </c>
      <c r="CH90" s="1" t="str">
        <f aca="false">IF(OR(NOT(AND(ISNUMBER(E90),ISNUMBER(F90))),$J$2=""),"",IF(Reprogramaciones!Y$13&lt;Reprogramaciones!$T$15,0,IF(Reprogramaciones!Y$14&gt;10,MIN(100,SUM($G90:$P90)),MIN(100,SUMPRODUCT((COLUMN($G90:$P90)-COLUMN($G90)+1&lt;Reprogramaciones!Y$14)*$G90:$P90)+N(INDEX($G90:$P90,1,Reprogramaciones!Y$14))*IF(Reprogramaciones!Y$13&gt;=(Reprogramaciones!$T$15+7*(Reprogramaciones!Y$14-1))+6,1,IF(MAX(0,NETWORKDAYS.INTL(MAX(E90,(Reprogramaciones!$T$15+7*(Reprogramaciones!Y$14-1))),MIN(F90,(Reprogramaciones!$T$15+7*(Reprogramaciones!Y$14-1))+6),11))=0,0,MAX(0,NETWORKDAYS.INTL(MAX(E90,(Reprogramaciones!$T$15+7*(Reprogramaciones!Y$14-1))),MIN(F90,Reprogramaciones!Y$13),11))/MAX(0,NETWORKDAYS.INTL(MAX(E90,(Reprogramaciones!$T$15+7*(Reprogramaciones!Y$14-1))),MIN(F90,(Reprogramaciones!$T$15+7*(Reprogramaciones!Y$14-1))+6),11))))))))</f>
        <v/>
      </c>
      <c r="CI90" s="1" t="str">
        <f aca="false">IF(OR(NOT(AND(ISNUMBER(E90),ISNUMBER(F90))),$J$2=""),"",IF(Reprogramaciones!Z$13&lt;Reprogramaciones!$T$15,0,IF(Reprogramaciones!Z$14&gt;10,MIN(100,SUM($G90:$P90)),MIN(100,SUMPRODUCT((COLUMN($G90:$P90)-COLUMN($G90)+1&lt;Reprogramaciones!Z$14)*$G90:$P90)+N(INDEX($G90:$P90,1,Reprogramaciones!Z$14))*IF(Reprogramaciones!Z$13&gt;=(Reprogramaciones!$T$15+7*(Reprogramaciones!Z$14-1))+6,1,IF(MAX(0,NETWORKDAYS.INTL(MAX(E90,(Reprogramaciones!$T$15+7*(Reprogramaciones!Z$14-1))),MIN(F90,(Reprogramaciones!$T$15+7*(Reprogramaciones!Z$14-1))+6),11))=0,0,MAX(0,NETWORKDAYS.INTL(MAX(E90,(Reprogramaciones!$T$15+7*(Reprogramaciones!Z$14-1))),MIN(F90,Reprogramaciones!Z$13),11))/MAX(0,NETWORKDAYS.INTL(MAX(E90,(Reprogramaciones!$T$15+7*(Reprogramaciones!Z$14-1))),MIN(F90,(Reprogramaciones!$T$15+7*(Reprogramaciones!Z$14-1))+6),11))))))))</f>
        <v/>
      </c>
      <c r="CJ90" s="1" t="str">
        <f aca="false">IF(OR(OR(NOT(AND(ISNUMBER(E90),ISNUMBER(F90))),$J$2=""),1&gt;Reprogramaciones!$K$16),"",IF(ROUND(SUM($Q90:Q90),1)&gt;=99.5,100,MIN(100,ROUND(SUM($Q90:Q90),1))))</f>
        <v/>
      </c>
      <c r="CK90" s="1" t="str">
        <f aca="false">IF(OR(OR(NOT(AND(ISNUMBER(E90),ISNUMBER(F90))),$J$2=""),2&gt;Reprogramaciones!$K$16),"",IF(ROUND(SUM($Q90:R90),1)&gt;=99.5,100,MIN(100,ROUND(SUM($Q90:R90),1))))</f>
        <v/>
      </c>
      <c r="CL90" s="1" t="str">
        <f aca="false">IF(OR(OR(NOT(AND(ISNUMBER(E90),ISNUMBER(F90))),$J$2=""),3&gt;Reprogramaciones!$K$16),"",IF(ROUND(SUM($Q90:S90),1)&gt;=99.5,100,MIN(100,ROUND(SUM($Q90:S90),1))))</f>
        <v/>
      </c>
      <c r="CM90" s="1" t="str">
        <f aca="false">IF(OR(OR(NOT(AND(ISNUMBER(E90),ISNUMBER(F90))),$J$2=""),4&gt;Reprogramaciones!$K$16),"",IF(ROUND(SUM($Q90:T90),1)&gt;=99.5,100,MIN(100,ROUND(SUM($Q90:T90),1))))</f>
        <v/>
      </c>
      <c r="CN90" s="1" t="str">
        <f aca="false">IF(OR(OR(NOT(AND(ISNUMBER(E90),ISNUMBER(F90))),$J$2=""),5&gt;Reprogramaciones!$K$16),"",IF(ROUND(SUM($Q90:U90),1)&gt;=99.5,100,MIN(100,ROUND(SUM($Q90:U90),1))))</f>
        <v/>
      </c>
      <c r="CO90" s="1" t="str">
        <f aca="false">IF(OR(OR(NOT(AND(ISNUMBER(E90),ISNUMBER(F90))),$J$2=""),6&gt;Reprogramaciones!$K$16),"",IF(ROUND(SUM($Q90:V90),1)&gt;=99.5,100,MIN(100,ROUND(SUM($Q90:V90),1))))</f>
        <v/>
      </c>
      <c r="CP90" s="1" t="str">
        <f aca="false">IF(OR(OR(NOT(AND(ISNUMBER(E90),ISNUMBER(F90))),$J$2=""),7&gt;Reprogramaciones!$K$16),"",IF(ROUND(SUM($Q90:W90),1)&gt;=99.5,100,MIN(100,ROUND(SUM($Q90:W90),1))))</f>
        <v/>
      </c>
      <c r="CQ90" s="1" t="str">
        <f aca="false">IF(OR(OR(NOT(AND(ISNUMBER(E90),ISNUMBER(F90))),$J$2=""),8&gt;Reprogramaciones!$K$16),"",IF(ROUND(SUM($Q90:X90),1)&gt;=99.5,100,MIN(100,ROUND(SUM($Q90:X90),1))))</f>
        <v/>
      </c>
      <c r="CR90" s="1" t="str">
        <f aca="false">IF(OR(OR(NOT(AND(ISNUMBER(E90),ISNUMBER(F90))),$J$2=""),9&gt;Reprogramaciones!$K$16),"",IF(ROUND(SUM($Q90:Y90),1)&gt;=99.5,100,MIN(100,ROUND(SUM($Q90:Y90),1))))</f>
        <v/>
      </c>
      <c r="CS90" s="1" t="str">
        <f aca="false">IF(OR(OR(NOT(AND(ISNUMBER(E90),ISNUMBER(F90))),$J$2=""),10&gt;Reprogramaciones!$K$16),"",IF(ROUND(SUM($Q90:Z90),1)&gt;=99.5,100,MIN(100,ROUND(SUM($Q90:Z90),1))))</f>
        <v/>
      </c>
      <c r="CT90" s="1" t="str">
        <f aca="false">IF(OR(OR(NOT(AND(ISNUMBER(E90),ISNUMBER(F90))),$J$2=""),11&gt;Reprogramaciones!$K$16),"",IF(ROUND(SUM($Q90:AA90),1)&gt;=99.5,100,MIN(100,ROUND(SUM($Q90:AA90),1))))</f>
        <v/>
      </c>
      <c r="CU90" s="1" t="str">
        <f aca="false">IF(OR(OR(NOT(AND(ISNUMBER(E90),ISNUMBER(F90))),$J$2=""),12&gt;Reprogramaciones!$K$16),"",IF(ROUND(SUM($Q90:AB90),1)&gt;=99.5,100,MIN(100,ROUND(SUM($Q90:AB90),1))))</f>
        <v/>
      </c>
      <c r="CV90" s="1" t="str">
        <f aca="false">IF(OR(OR(NOT(AND(ISNUMBER(E90),ISNUMBER(F90))),$J$2=""),13&gt;Reprogramaciones!$K$16),"",IF(ROUND(SUM($Q90:AC90),1)&gt;=99.5,100,MIN(100,ROUND(SUM($Q90:AC90),1))))</f>
        <v/>
      </c>
      <c r="CW90" s="1" t="str">
        <f aca="false">IF(OR(OR(NOT(AND(ISNUMBER(E90),ISNUMBER(F90))),$J$2=""),14&gt;Reprogramaciones!$K$16),"",IF(ROUND(SUM($Q90:AD90),1)&gt;=99.5,100,MIN(100,ROUND(SUM($Q90:AD90),1))))</f>
        <v/>
      </c>
      <c r="CX90" s="1" t="str">
        <f aca="false">IF(OR(OR(NOT(AND(ISNUMBER(E90),ISNUMBER(F90))),$J$2=""),15&gt;Reprogramaciones!$K$16),"",IF(ROUND(SUM($Q90:AE90),1)&gt;=99.5,100,MIN(100,ROUND(SUM($Q90:AE90),1))))</f>
        <v/>
      </c>
      <c r="CY90" s="1" t="str">
        <f aca="false">IF(OR(OR(NOT(AND(ISNUMBER(E90),ISNUMBER(F90))),$J$2=""),16&gt;Reprogramaciones!$K$16),"",IF(ROUND(SUM($Q90:AF90),1)&gt;=99.5,100,MIN(100,ROUND(SUM($Q90:AF90),1))))</f>
        <v/>
      </c>
      <c r="CZ90" s="1" t="str">
        <f aca="false">IF(D90&lt;&gt;"",D90,IF(B90&lt;&gt;"","Contractual",CZ89))</f>
        <v>Contractual</v>
      </c>
      <c r="DA90" s="1" t="str">
        <f aca="false">IF(OR(NOT(AND(ISNUMBER(E90),ISNUMBER(F90))),$J$2=""),"",IF(Reprogramaciones!$Q$15&lt;Reprogramaciones!$T$15,0,IF(Reprogramaciones!$S$15&gt;10,MIN(100,SUM($G90:$P90)),MIN(100,SUMPRODUCT((COLUMN($G90:$P90)-COLUMN($G90)+1&lt;Reprogramaciones!$S$15)*$G90:$P90)+N(INDEX($G90:$P90,1,Reprogramaciones!$S$15))*IF(Reprogramaciones!$Q$15&gt;=(Reprogramaciones!$T$15+7*(Reprogramaciones!$S$15-1))+6,1,IF(MAX(0,NETWORKDAYS.INTL(MAX(E90,(Reprogramaciones!$T$15+7*(Reprogramaciones!$S$15-1))),MIN(F90,(Reprogramaciones!$T$15+7*(Reprogramaciones!$S$15-1))+6),11))=0,0,MAX(0,NETWORKDAYS.INTL(MAX(E90,(Reprogramaciones!$T$15+7*(Reprogramaciones!$S$15-1))),MIN(F90,Reprogramaciones!$Q$15),11))/MAX(0,NETWORKDAYS.INTL(MAX(E90,(Reprogramaciones!$T$15+7*(Reprogramaciones!$S$15-1))),MIN(F90,(Reprogramaciones!$T$15+7*(Reprogramaciones!$S$15-1))+6),11))))))))</f>
        <v/>
      </c>
    </row>
    <row r="91" customFormat="false" ht="15" hidden="false" customHeight="false" outlineLevel="0" collapsed="false">
      <c r="A91" s="32"/>
      <c r="B91" s="33"/>
      <c r="C91" s="33"/>
      <c r="D91" s="34"/>
      <c r="E91" s="35"/>
      <c r="F91" s="35"/>
      <c r="G91" s="36" t="str">
        <f aca="false">IF(OR(NOT(AND(ISNUMBER(E91),ISNUMBER(F91))),$J$2=""),"",IF(Reprogramaciones!K$9&lt;E91,0,IF(NETWORKDAYS.INTL(E91,F91,11)=0,IF(Reprogramaciones!K$9&gt;=F91,100,0),ROUND(NETWORKDAYS.INTL(E91,MIN(F91,Reprogramaciones!K$9),11)/NETWORKDAYS.INTL(E91,F91,11)*100,1)))-0)</f>
        <v/>
      </c>
      <c r="H91" s="36" t="str">
        <f aca="false">IF(OR(NOT(AND(ISNUMBER(E91),ISNUMBER(F91))),$J$2=""),"",IF(Reprogramaciones!L$9&lt;E91,0,IF(NETWORKDAYS.INTL(E91,F91,11)=0,IF(Reprogramaciones!L$9&gt;=F91,100,0),ROUND(NETWORKDAYS.INTL(E91,MIN(F91,Reprogramaciones!L$9),11)/NETWORKDAYS.INTL(E91,F91,11)*100,1)))-IF(Reprogramaciones!K$9&lt;E91,0,IF(NETWORKDAYS.INTL(E91,F91,11)=0,IF(Reprogramaciones!K$9&gt;=F91,100,0),ROUND(NETWORKDAYS.INTL(E91,MIN(F91,Reprogramaciones!K$9),11)/NETWORKDAYS.INTL(E91,F91,11)*100,1))))</f>
        <v/>
      </c>
      <c r="I91" s="36" t="str">
        <f aca="false">IF(OR(NOT(AND(ISNUMBER(E91),ISNUMBER(F91))),$J$2=""),"",IF(Reprogramaciones!M$9&lt;E91,0,IF(NETWORKDAYS.INTL(E91,F91,11)=0,IF(Reprogramaciones!M$9&gt;=F91,100,0),ROUND(NETWORKDAYS.INTL(E91,MIN(F91,Reprogramaciones!M$9),11)/NETWORKDAYS.INTL(E91,F91,11)*100,1)))-IF(Reprogramaciones!L$9&lt;E91,0,IF(NETWORKDAYS.INTL(E91,F91,11)=0,IF(Reprogramaciones!L$9&gt;=F91,100,0),ROUND(NETWORKDAYS.INTL(E91,MIN(F91,Reprogramaciones!L$9),11)/NETWORKDAYS.INTL(E91,F91,11)*100,1))))</f>
        <v/>
      </c>
      <c r="J91" s="36" t="str">
        <f aca="false">IF(OR(NOT(AND(ISNUMBER(E91),ISNUMBER(F91))),$J$2=""),"",IF(Reprogramaciones!N$9&lt;E91,0,IF(NETWORKDAYS.INTL(E91,F91,11)=0,IF(Reprogramaciones!N$9&gt;=F91,100,0),ROUND(NETWORKDAYS.INTL(E91,MIN(F91,Reprogramaciones!N$9),11)/NETWORKDAYS.INTL(E91,F91,11)*100,1)))-IF(Reprogramaciones!M$9&lt;E91,0,IF(NETWORKDAYS.INTL(E91,F91,11)=0,IF(Reprogramaciones!M$9&gt;=F91,100,0),ROUND(NETWORKDAYS.INTL(E91,MIN(F91,Reprogramaciones!M$9),11)/NETWORKDAYS.INTL(E91,F91,11)*100,1))))</f>
        <v/>
      </c>
      <c r="K91" s="36" t="str">
        <f aca="false">IF(OR(NOT(AND(ISNUMBER(E91),ISNUMBER(F91))),$J$2=""),"",IF(Reprogramaciones!O$9&lt;E91,0,IF(NETWORKDAYS.INTL(E91,F91,11)=0,IF(Reprogramaciones!O$9&gt;=F91,100,0),ROUND(NETWORKDAYS.INTL(E91,MIN(F91,Reprogramaciones!O$9),11)/NETWORKDAYS.INTL(E91,F91,11)*100,1)))-IF(Reprogramaciones!N$9&lt;E91,0,IF(NETWORKDAYS.INTL(E91,F91,11)=0,IF(Reprogramaciones!N$9&gt;=F91,100,0),ROUND(NETWORKDAYS.INTL(E91,MIN(F91,Reprogramaciones!N$9),11)/NETWORKDAYS.INTL(E91,F91,11)*100,1))))</f>
        <v/>
      </c>
      <c r="L91" s="36" t="str">
        <f aca="false">IF(OR(NOT(AND(ISNUMBER(E91),ISNUMBER(F91))),$J$2=""),"",IF(Reprogramaciones!P$9&lt;E91,0,IF(NETWORKDAYS.INTL(E91,F91,11)=0,IF(Reprogramaciones!P$9&gt;=F91,100,0),ROUND(NETWORKDAYS.INTL(E91,MIN(F91,Reprogramaciones!P$9),11)/NETWORKDAYS.INTL(E91,F91,11)*100,1)))-IF(Reprogramaciones!O$9&lt;E91,0,IF(NETWORKDAYS.INTL(E91,F91,11)=0,IF(Reprogramaciones!O$9&gt;=F91,100,0),ROUND(NETWORKDAYS.INTL(E91,MIN(F91,Reprogramaciones!O$9),11)/NETWORKDAYS.INTL(E91,F91,11)*100,1))))</f>
        <v/>
      </c>
      <c r="M91" s="36" t="str">
        <f aca="false">IF(OR(NOT(AND(ISNUMBER(E91),ISNUMBER(F91))),$J$2=""),"",IF(Reprogramaciones!Q$9&lt;E91,0,IF(NETWORKDAYS.INTL(E91,F91,11)=0,IF(Reprogramaciones!Q$9&gt;=F91,100,0),ROUND(NETWORKDAYS.INTL(E91,MIN(F91,Reprogramaciones!Q$9),11)/NETWORKDAYS.INTL(E91,F91,11)*100,1)))-IF(Reprogramaciones!P$9&lt;E91,0,IF(NETWORKDAYS.INTL(E91,F91,11)=0,IF(Reprogramaciones!P$9&gt;=F91,100,0),ROUND(NETWORKDAYS.INTL(E91,MIN(F91,Reprogramaciones!P$9),11)/NETWORKDAYS.INTL(E91,F91,11)*100,1))))</f>
        <v/>
      </c>
      <c r="N91" s="36" t="str">
        <f aca="false">IF(OR(NOT(AND(ISNUMBER(E91),ISNUMBER(F91))),$J$2=""),"",IF(Reprogramaciones!R$9&lt;E91,0,IF(NETWORKDAYS.INTL(E91,F91,11)=0,IF(Reprogramaciones!R$9&gt;=F91,100,0),ROUND(NETWORKDAYS.INTL(E91,MIN(F91,Reprogramaciones!R$9),11)/NETWORKDAYS.INTL(E91,F91,11)*100,1)))-IF(Reprogramaciones!Q$9&lt;E91,0,IF(NETWORKDAYS.INTL(E91,F91,11)=0,IF(Reprogramaciones!Q$9&gt;=F91,100,0),ROUND(NETWORKDAYS.INTL(E91,MIN(F91,Reprogramaciones!Q$9),11)/NETWORKDAYS.INTL(E91,F91,11)*100,1))))</f>
        <v/>
      </c>
      <c r="O91" s="36" t="str">
        <f aca="false">IF(OR(NOT(AND(ISNUMBER(E91),ISNUMBER(F91))),$J$2=""),"",IF(Reprogramaciones!S$9&lt;E91,0,IF(NETWORKDAYS.INTL(E91,F91,11)=0,IF(Reprogramaciones!S$9&gt;=F91,100,0),ROUND(NETWORKDAYS.INTL(E91,MIN(F91,Reprogramaciones!S$9),11)/NETWORKDAYS.INTL(E91,F91,11)*100,1)))-IF(Reprogramaciones!R$9&lt;E91,0,IF(NETWORKDAYS.INTL(E91,F91,11)=0,IF(Reprogramaciones!R$9&gt;=F91,100,0),ROUND(NETWORKDAYS.INTL(E91,MIN(F91,Reprogramaciones!R$9),11)/NETWORKDAYS.INTL(E91,F91,11)*100,1))))</f>
        <v/>
      </c>
      <c r="P91" s="36" t="str">
        <f aca="false">IF(OR(NOT(AND(ISNUMBER(E91),ISNUMBER(F91))),$J$2=""),"",IF(Reprogramaciones!T$9&lt;E91,0,IF(NETWORKDAYS.INTL(E91,F91,11)=0,IF(Reprogramaciones!T$9&gt;=F91,100,0),ROUND(NETWORKDAYS.INTL(E91,MIN(F91,Reprogramaciones!T$9),11)/NETWORKDAYS.INTL(E91,F91,11)*100,1)))-IF(Reprogramaciones!S$9&lt;E91,0,IF(NETWORKDAYS.INTL(E91,F91,11)=0,IF(Reprogramaciones!S$9&gt;=F91,100,0),ROUND(NETWORKDAYS.INTL(E91,MIN(F91,Reprogramaciones!S$9),11)/NETWORKDAYS.INTL(E91,F91,11)*100,1))))</f>
        <v/>
      </c>
      <c r="Q91" s="37"/>
      <c r="R91" s="37"/>
      <c r="S91" s="37"/>
      <c r="T91" s="37"/>
      <c r="U91" s="37"/>
      <c r="V91" s="37"/>
      <c r="W91" s="37"/>
      <c r="X91" s="37"/>
      <c r="Y91" s="37"/>
      <c r="Z91" s="37"/>
      <c r="AA91" s="37"/>
      <c r="AB91" s="37"/>
      <c r="AC91" s="37"/>
      <c r="AD91" s="37"/>
      <c r="AE91" s="37"/>
      <c r="AF91" s="37"/>
      <c r="AG91" s="38" t="str">
        <f aca="false">IF(AND(ISNUMBER(E91),ISNUMBER(F91)),NETWORKDAYS.INTL(E91,F91,11),"")</f>
        <v/>
      </c>
      <c r="AH91" s="38" t="str">
        <f aca="false">IF(OR(NOT(AND(ISNUMBER(E91),ISNUMBER(F91))),$J$2=""),"",IF(Reprogramaciones!$P$15&lt;Reprogramaciones!$T$15,0,IF(Reprogramaciones!$R$15&gt;10,MIN(100,SUM($G91:$P91)),MIN(100,SUMPRODUCT((COLUMN($G91:$P91)-COLUMN($G91)+1&lt;Reprogramaciones!$R$15)*$G91:$P91)+N(INDEX($G91:$P91,1,Reprogramaciones!$R$15))*IF(Reprogramaciones!$P$15&gt;=(Reprogramaciones!$T$15+7*(Reprogramaciones!$R$15-1))+6,1,IF(MAX(0,NETWORKDAYS.INTL(MAX(E91,(Reprogramaciones!$T$15+7*(Reprogramaciones!$R$15-1))),MIN(F91,(Reprogramaciones!$T$15+7*(Reprogramaciones!$R$15-1))+6),11))=0,0,MAX(0,NETWORKDAYS.INTL(MAX(E91,(Reprogramaciones!$T$15+7*(Reprogramaciones!$R$15-1))),MIN(F91,Reprogramaciones!$P$15),11))/MAX(0,NETWORKDAYS.INTL(MAX(E91,(Reprogramaciones!$T$15+7*(Reprogramaciones!$R$15-1))),MIN(F91,(Reprogramaciones!$T$15+7*(Reprogramaciones!$R$15-1))+6),11))))))))</f>
        <v/>
      </c>
      <c r="AI91" s="38" t="str">
        <f aca="false">IF(COUNT($Q91:$AF91)=0,"",IF(ROUND(SUM($Q91:$AF91),1)&gt;=99.5,100,MIN(100,ROUND(SUM($Q91:$AF91),1))))</f>
        <v/>
      </c>
      <c r="AJ91" s="38" t="str">
        <f aca="false">IF(OR(AH91="",AI91=""),"",AI91-AH91)</f>
        <v/>
      </c>
      <c r="AK91" s="39" t="str">
        <f aca="true">IF(AH91="","",IF(OR(Ficha!$C$10="Suspendida",Ficha!$C$10="Cancelada"),Ficha!$C$10,IF(AND(AI91&lt;&gt;"",N(AI91)&gt;=100),"Completada",IF(AND(E91&gt;TODAY(),N(AI91)=0),"Por iniciar",IF(N(AI91)+0.5&lt;AH91,"Retrasada",IF(N(AI91)+0.5&lt;DA91,IF(Reprogramaciones!$K$15&gt;0,"Al día · Sem "&amp;Reprogramaciones!$K$15&amp;" en curso","Al día · en curso"),"A tiempo"))))))</f>
        <v/>
      </c>
      <c r="AL91" s="39" t="str">
        <f aca="true">IF(AND(A91="",AND(B91="",C91="",E91="",F91="",COUNT(Q91:AF91)=0)),"",IF(AND(B91="",C91="",E91="",F91="",COUNT(Q91:AF91)=0),"Falta la partida o subpartida",IF(AND(A91&lt;&gt;"",COUNTIF($A$6:$A$305,A91)&gt;1),"Ítem repetido",IF(AND(C91="",E91="",F91="",COUNT(Q91:AF91)=0),"Título de partida",IF(OR(E91="",F91=""),"Faltan fechas",IF(OR(ISTEXT(E91),ISTEXT(F91)),"Fecha escrita como texto: usa dd/mm/aaaa",IF(F91&lt;E91,"Fin antes del inicio",IF(IF($J$2="",FALSE(),OR(E91&lt;$J$2,F91&gt;Reprogramaciones!$T$15+69)),"Fuera de las 10 semanas",IF(ABS(SUM(G91:P91)-100)&gt;0.5,"La meta no suma 100%",IF(ROUND(SUM(Q91:AF91),1)&gt;100.5,"El avance pasa de 100%",IF(MIN(Q91:AF91)&lt;0,"Avance negativo",IF(COUNTA(Q91:AF91)&gt;COUNT(Q91:AF91),"Avance escrito como texto",IF(SUMPRODUCT((Q91:AF91&gt;0)*(Q91:AF91&lt;1))&gt;0,"Avance menor a 1: escribe 50, no 50%",IF(SUMPRODUCT(ISNUMBER(Q91:AF91)*(Reprogramaciones!$K$8:$Z$8&gt;TODAY()))&gt;0,"Avance en semana que aún no llega",IF(AND(N(Reprogramaciones!$E$21)&gt;0,F91&gt;Reprogramaciones!$E$21),"Pasa el fin de la obra: registra una reprogramación",IF(AND(N(Reprogramaciones!$E$21)&gt;0,SUMPRODUCT(ISNUMBER(Q91:AF91)*(Reprogramaciones!$K$8:$Z$8&gt;Reprogramaciones!$E$21))&gt;0),"Avance después del fin de la obra: registra una reprogramación por atraso","OK"))))))))))))))))</f>
        <v/>
      </c>
      <c r="AM91" s="40" t="str">
        <f aca="false">IF(OR(OR(NOT(AND(ISNUMBER(E91),ISNUMBER(F91))),$J$2=""),1&gt;MAX(1,Reprogramaciones!$U$15)),"",IF(Reprogramaciones!K$12&gt;=7,"",IF(OR(BT91-N(0)&gt;0.05,N(Q91)&gt;0),ROUNDDOWN(ROUND(BT91,6),0)&amp;"%"&amp;IF(CJ91="",""," / "&amp;CJ91&amp;"%"),IF(AND(N(0)&gt;=99.95,CJ91&lt;&gt;"",N(CJ91)&lt;100),"Pend. "&amp;CJ91&amp;"%",""))))</f>
        <v/>
      </c>
      <c r="AN91" s="40" t="str">
        <f aca="false">IF(OR(OR(NOT(AND(ISNUMBER(E91),ISNUMBER(F91))),$J$2=""),2&gt;MAX(1,Reprogramaciones!$U$15)),"",IF(Reprogramaciones!L$12&gt;=7,"",IF(OR(BU91-N(BT91)&gt;0.05,N(R91)&gt;0),ROUNDDOWN(ROUND(BU91,6),0)&amp;"%"&amp;IF(CK91="",""," / "&amp;CK91&amp;"%"),IF(AND(N(BT91)&gt;=99.95,CK91&lt;&gt;"",N(CK91)&lt;100),"Pend. "&amp;CK91&amp;"%",""))))</f>
        <v/>
      </c>
      <c r="AO91" s="40" t="str">
        <f aca="false">IF(OR(OR(NOT(AND(ISNUMBER(E91),ISNUMBER(F91))),$J$2=""),3&gt;MAX(1,Reprogramaciones!$U$15)),"",IF(Reprogramaciones!M$12&gt;=7,"",IF(OR(BV91-N(BU91)&gt;0.05,N(S91)&gt;0),ROUNDDOWN(ROUND(BV91,6),0)&amp;"%"&amp;IF(CL91="",""," / "&amp;CL91&amp;"%"),IF(AND(N(BU91)&gt;=99.95,CL91&lt;&gt;"",N(CL91)&lt;100),"Pend. "&amp;CL91&amp;"%",""))))</f>
        <v/>
      </c>
      <c r="AP91" s="40" t="str">
        <f aca="false">IF(OR(OR(NOT(AND(ISNUMBER(E91),ISNUMBER(F91))),$J$2=""),4&gt;MAX(1,Reprogramaciones!$U$15)),"",IF(Reprogramaciones!N$12&gt;=7,"",IF(OR(BW91-N(BV91)&gt;0.05,N(T91)&gt;0),ROUNDDOWN(ROUND(BW91,6),0)&amp;"%"&amp;IF(CM91="",""," / "&amp;CM91&amp;"%"),IF(AND(N(BV91)&gt;=99.95,CM91&lt;&gt;"",N(CM91)&lt;100),"Pend. "&amp;CM91&amp;"%",""))))</f>
        <v/>
      </c>
      <c r="AQ91" s="40" t="str">
        <f aca="false">IF(OR(OR(NOT(AND(ISNUMBER(E91),ISNUMBER(F91))),$J$2=""),5&gt;MAX(1,Reprogramaciones!$U$15)),"",IF(Reprogramaciones!O$12&gt;=7,"",IF(OR(BX91-N(BW91)&gt;0.05,N(U91)&gt;0),ROUNDDOWN(ROUND(BX91,6),0)&amp;"%"&amp;IF(CN91="",""," / "&amp;CN91&amp;"%"),IF(AND(N(BW91)&gt;=99.95,CN91&lt;&gt;"",N(CN91)&lt;100),"Pend. "&amp;CN91&amp;"%",""))))</f>
        <v/>
      </c>
      <c r="AR91" s="40" t="str">
        <f aca="false">IF(OR(OR(NOT(AND(ISNUMBER(E91),ISNUMBER(F91))),$J$2=""),6&gt;MAX(1,Reprogramaciones!$U$15)),"",IF(Reprogramaciones!P$12&gt;=7,"",IF(OR(BY91-N(BX91)&gt;0.05,N(V91)&gt;0),ROUNDDOWN(ROUND(BY91,6),0)&amp;"%"&amp;IF(CO91="",""," / "&amp;CO91&amp;"%"),IF(AND(N(BX91)&gt;=99.95,CO91&lt;&gt;"",N(CO91)&lt;100),"Pend. "&amp;CO91&amp;"%",""))))</f>
        <v/>
      </c>
      <c r="AS91" s="40" t="str">
        <f aca="false">IF(OR(OR(NOT(AND(ISNUMBER(E91),ISNUMBER(F91))),$J$2=""),7&gt;MAX(1,Reprogramaciones!$U$15)),"",IF(Reprogramaciones!Q$12&gt;=7,"",IF(OR(BZ91-N(BY91)&gt;0.05,N(W91)&gt;0),ROUNDDOWN(ROUND(BZ91,6),0)&amp;"%"&amp;IF(CP91="",""," / "&amp;CP91&amp;"%"),IF(AND(N(BY91)&gt;=99.95,CP91&lt;&gt;"",N(CP91)&lt;100),"Pend. "&amp;CP91&amp;"%",""))))</f>
        <v/>
      </c>
      <c r="AT91" s="40" t="str">
        <f aca="false">IF(OR(OR(NOT(AND(ISNUMBER(E91),ISNUMBER(F91))),$J$2=""),8&gt;MAX(1,Reprogramaciones!$U$15)),"",IF(Reprogramaciones!R$12&gt;=7,"",IF(OR(CA91-N(BZ91)&gt;0.05,N(X91)&gt;0),ROUNDDOWN(ROUND(CA91,6),0)&amp;"%"&amp;IF(CQ91="",""," / "&amp;CQ91&amp;"%"),IF(AND(N(BZ91)&gt;=99.95,CQ91&lt;&gt;"",N(CQ91)&lt;100),"Pend. "&amp;CQ91&amp;"%",""))))</f>
        <v/>
      </c>
      <c r="AU91" s="40" t="str">
        <f aca="false">IF(OR(OR(NOT(AND(ISNUMBER(E91),ISNUMBER(F91))),$J$2=""),9&gt;MAX(1,Reprogramaciones!$U$15)),"",IF(Reprogramaciones!S$12&gt;=7,"",IF(OR(CB91-N(CA91)&gt;0.05,N(Y91)&gt;0),ROUNDDOWN(ROUND(CB91,6),0)&amp;"%"&amp;IF(CR91="",""," / "&amp;CR91&amp;"%"),IF(AND(N(CA91)&gt;=99.95,CR91&lt;&gt;"",N(CR91)&lt;100),"Pend. "&amp;CR91&amp;"%",""))))</f>
        <v/>
      </c>
      <c r="AV91" s="40" t="str">
        <f aca="false">IF(OR(OR(NOT(AND(ISNUMBER(E91),ISNUMBER(F91))),$J$2=""),10&gt;MAX(1,Reprogramaciones!$U$15)),"",IF(Reprogramaciones!T$12&gt;=7,"",IF(OR(CC91-N(CB91)&gt;0.05,N(Z91)&gt;0),ROUNDDOWN(ROUND(CC91,6),0)&amp;"%"&amp;IF(CS91="",""," / "&amp;CS91&amp;"%"),IF(AND(N(CB91)&gt;=99.95,CS91&lt;&gt;"",N(CS91)&lt;100),"Pend. "&amp;CS91&amp;"%",""))))</f>
        <v/>
      </c>
      <c r="AW91" s="40" t="str">
        <f aca="false">IF(OR(OR(NOT(AND(ISNUMBER(E91),ISNUMBER(F91))),$J$2=""),11&gt;MAX(1,Reprogramaciones!$U$15)),"",IF(Reprogramaciones!U$12&gt;=7,"",IF(OR(CD91-N(CC91)&gt;0.05,N(AA91)&gt;0),ROUNDDOWN(ROUND(CD91,6),0)&amp;"%"&amp;IF(CT91="",""," / "&amp;CT91&amp;"%"),IF(AND(N(CC91)&gt;=99.95,CT91&lt;&gt;"",N(CT91)&lt;100),"Pend. "&amp;CT91&amp;"%",""))))</f>
        <v/>
      </c>
      <c r="AX91" s="40" t="str">
        <f aca="false">IF(OR(OR(NOT(AND(ISNUMBER(E91),ISNUMBER(F91))),$J$2=""),12&gt;MAX(1,Reprogramaciones!$U$15)),"",IF(Reprogramaciones!V$12&gt;=7,"",IF(OR(CE91-N(CD91)&gt;0.05,N(AB91)&gt;0),ROUNDDOWN(ROUND(CE91,6),0)&amp;"%"&amp;IF(CU91="",""," / "&amp;CU91&amp;"%"),IF(AND(N(CD91)&gt;=99.95,CU91&lt;&gt;"",N(CU91)&lt;100),"Pend. "&amp;CU91&amp;"%",""))))</f>
        <v/>
      </c>
      <c r="AY91" s="40" t="str">
        <f aca="false">IF(OR(OR(NOT(AND(ISNUMBER(E91),ISNUMBER(F91))),$J$2=""),13&gt;MAX(1,Reprogramaciones!$U$15)),"",IF(Reprogramaciones!W$12&gt;=7,"",IF(OR(CF91-N(CE91)&gt;0.05,N(AC91)&gt;0),ROUNDDOWN(ROUND(CF91,6),0)&amp;"%"&amp;IF(CV91="",""," / "&amp;CV91&amp;"%"),IF(AND(N(CE91)&gt;=99.95,CV91&lt;&gt;"",N(CV91)&lt;100),"Pend. "&amp;CV91&amp;"%",""))))</f>
        <v/>
      </c>
      <c r="AZ91" s="40" t="str">
        <f aca="false">IF(OR(OR(NOT(AND(ISNUMBER(E91),ISNUMBER(F91))),$J$2=""),14&gt;MAX(1,Reprogramaciones!$U$15)),"",IF(Reprogramaciones!X$12&gt;=7,"",IF(OR(CG91-N(CF91)&gt;0.05,N(AD91)&gt;0),ROUNDDOWN(ROUND(CG91,6),0)&amp;"%"&amp;IF(CW91="",""," / "&amp;CW91&amp;"%"),IF(AND(N(CF91)&gt;=99.95,CW91&lt;&gt;"",N(CW91)&lt;100),"Pend. "&amp;CW91&amp;"%",""))))</f>
        <v/>
      </c>
      <c r="BA91" s="40" t="str">
        <f aca="false">IF(OR(OR(NOT(AND(ISNUMBER(E91),ISNUMBER(F91))),$J$2=""),15&gt;MAX(1,Reprogramaciones!$U$15)),"",IF(Reprogramaciones!Y$12&gt;=7,"",IF(OR(CH91-N(CG91)&gt;0.05,N(AE91)&gt;0),ROUNDDOWN(ROUND(CH91,6),0)&amp;"%"&amp;IF(CX91="",""," / "&amp;CX91&amp;"%"),IF(AND(N(CG91)&gt;=99.95,CX91&lt;&gt;"",N(CX91)&lt;100),"Pend. "&amp;CX91&amp;"%",""))))</f>
        <v/>
      </c>
      <c r="BB91" s="40" t="str">
        <f aca="false">IF(OR(OR(NOT(AND(ISNUMBER(E91),ISNUMBER(F91))),$J$2=""),16&gt;MAX(1,Reprogramaciones!$U$15)),"",IF(Reprogramaciones!Z$12&gt;=7,"",IF(OR(CI91-N(CH91)&gt;0.05,N(AF91)&gt;0),ROUNDDOWN(ROUND(CI91,6),0)&amp;"%"&amp;IF(CY91="",""," / "&amp;CY91&amp;"%"),IF(AND(N(CH91)&gt;=99.95,CY91&lt;&gt;"",N(CY91)&lt;100),"Pend. "&amp;CY91&amp;"%",""))))</f>
        <v/>
      </c>
      <c r="BC91" s="31" t="n">
        <f aca="false">IF(AND(ISNUMBER(E91),ISNUMBER(F91)),MAX(1,NETWORKDAYS.INTL(E91,F91,11)),0)</f>
        <v>0</v>
      </c>
      <c r="BD91" s="1" t="str">
        <f aca="false">IF(OR(NOT(AND(ISNUMBER(E91),ISNUMBER(F91))),$J$2=""),"",MIN(100,ROUND(SUM($G91:G91),1)))</f>
        <v/>
      </c>
      <c r="BE91" s="1" t="str">
        <f aca="false">IF(OR(NOT(AND(ISNUMBER(E91),ISNUMBER(F91))),$J$2=""),"",MIN(100,ROUND(SUM($G91:H91),1)))</f>
        <v/>
      </c>
      <c r="BF91" s="1" t="str">
        <f aca="false">IF(OR(NOT(AND(ISNUMBER(E91),ISNUMBER(F91))),$J$2=""),"",MIN(100,ROUND(SUM($G91:I91),1)))</f>
        <v/>
      </c>
      <c r="BG91" s="1" t="str">
        <f aca="false">IF(OR(NOT(AND(ISNUMBER(E91),ISNUMBER(F91))),$J$2=""),"",MIN(100,ROUND(SUM($G91:J91),1)))</f>
        <v/>
      </c>
      <c r="BH91" s="1" t="str">
        <f aca="false">IF(OR(NOT(AND(ISNUMBER(E91),ISNUMBER(F91))),$J$2=""),"",MIN(100,ROUND(SUM($G91:K91),1)))</f>
        <v/>
      </c>
      <c r="BI91" s="1" t="str">
        <f aca="false">IF(OR(NOT(AND(ISNUMBER(E91),ISNUMBER(F91))),$J$2=""),"",MIN(100,ROUND(SUM($G91:L91),1)))</f>
        <v/>
      </c>
      <c r="BJ91" s="1" t="str">
        <f aca="false">IF(OR(NOT(AND(ISNUMBER(E91),ISNUMBER(F91))),$J$2=""),"",MIN(100,ROUND(SUM($G91:M91),1)))</f>
        <v/>
      </c>
      <c r="BK91" s="1" t="str">
        <f aca="false">IF(OR(NOT(AND(ISNUMBER(E91),ISNUMBER(F91))),$J$2=""),"",MIN(100,ROUND(SUM($G91:N91),1)))</f>
        <v/>
      </c>
      <c r="BL91" s="1" t="str">
        <f aca="false">IF(OR(NOT(AND(ISNUMBER(E91),ISNUMBER(F91))),$J$2=""),"",MIN(100,ROUND(SUM($G91:O91),1)))</f>
        <v/>
      </c>
      <c r="BM91" s="1" t="str">
        <f aca="false">IF(OR(NOT(AND(ISNUMBER(E91),ISNUMBER(F91))),$J$2=""),"",MIN(100,ROUND(SUM($G91:P91),1)))</f>
        <v/>
      </c>
      <c r="BN91" s="1" t="str">
        <f aca="false">IF(OR(NOT(AND(ISNUMBER(E91),ISNUMBER(F91))),$J$2=""),"",MIN(100,ROUND(SUM($G91:P91),1)))</f>
        <v/>
      </c>
      <c r="BO91" s="1" t="str">
        <f aca="false">IF(OR(NOT(AND(ISNUMBER(E91),ISNUMBER(F91))),$J$2=""),"",MIN(100,ROUND(SUM($G91:P91),1)))</f>
        <v/>
      </c>
      <c r="BP91" s="1" t="str">
        <f aca="false">IF(OR(NOT(AND(ISNUMBER(E91),ISNUMBER(F91))),$J$2=""),"",MIN(100,ROUND(SUM($G91:P91),1)))</f>
        <v/>
      </c>
      <c r="BQ91" s="1" t="str">
        <f aca="false">IF(OR(NOT(AND(ISNUMBER(E91),ISNUMBER(F91))),$J$2=""),"",MIN(100,ROUND(SUM($G91:P91),1)))</f>
        <v/>
      </c>
      <c r="BR91" s="1" t="str">
        <f aca="false">IF(OR(NOT(AND(ISNUMBER(E91),ISNUMBER(F91))),$J$2=""),"",MIN(100,ROUND(SUM($G91:P91),1)))</f>
        <v/>
      </c>
      <c r="BS91" s="1" t="str">
        <f aca="false">IF(OR(NOT(AND(ISNUMBER(E91),ISNUMBER(F91))),$J$2=""),"",MIN(100,ROUND(SUM($G91:P91),1)))</f>
        <v/>
      </c>
      <c r="BT91" s="1" t="str">
        <f aca="false">IF(OR(NOT(AND(ISNUMBER(E91),ISNUMBER(F91))),$J$2=""),"",IF(Reprogramaciones!K$13&lt;Reprogramaciones!$T$15,0,IF(Reprogramaciones!K$14&gt;10,MIN(100,SUM($G91:$P91)),MIN(100,SUMPRODUCT((COLUMN($G91:$P91)-COLUMN($G91)+1&lt;Reprogramaciones!K$14)*$G91:$P91)+N(INDEX($G91:$P91,1,Reprogramaciones!K$14))*IF(Reprogramaciones!K$13&gt;=(Reprogramaciones!$T$15+7*(Reprogramaciones!K$14-1))+6,1,IF(MAX(0,NETWORKDAYS.INTL(MAX(E91,(Reprogramaciones!$T$15+7*(Reprogramaciones!K$14-1))),MIN(F91,(Reprogramaciones!$T$15+7*(Reprogramaciones!K$14-1))+6),11))=0,0,MAX(0,NETWORKDAYS.INTL(MAX(E91,(Reprogramaciones!$T$15+7*(Reprogramaciones!K$14-1))),MIN(F91,Reprogramaciones!K$13),11))/MAX(0,NETWORKDAYS.INTL(MAX(E91,(Reprogramaciones!$T$15+7*(Reprogramaciones!K$14-1))),MIN(F91,(Reprogramaciones!$T$15+7*(Reprogramaciones!K$14-1))+6),11))))))))</f>
        <v/>
      </c>
      <c r="BU91" s="1" t="str">
        <f aca="false">IF(OR(NOT(AND(ISNUMBER(E91),ISNUMBER(F91))),$J$2=""),"",IF(Reprogramaciones!L$13&lt;Reprogramaciones!$T$15,0,IF(Reprogramaciones!L$14&gt;10,MIN(100,SUM($G91:$P91)),MIN(100,SUMPRODUCT((COLUMN($G91:$P91)-COLUMN($G91)+1&lt;Reprogramaciones!L$14)*$G91:$P91)+N(INDEX($G91:$P91,1,Reprogramaciones!L$14))*IF(Reprogramaciones!L$13&gt;=(Reprogramaciones!$T$15+7*(Reprogramaciones!L$14-1))+6,1,IF(MAX(0,NETWORKDAYS.INTL(MAX(E91,(Reprogramaciones!$T$15+7*(Reprogramaciones!L$14-1))),MIN(F91,(Reprogramaciones!$T$15+7*(Reprogramaciones!L$14-1))+6),11))=0,0,MAX(0,NETWORKDAYS.INTL(MAX(E91,(Reprogramaciones!$T$15+7*(Reprogramaciones!L$14-1))),MIN(F91,Reprogramaciones!L$13),11))/MAX(0,NETWORKDAYS.INTL(MAX(E91,(Reprogramaciones!$T$15+7*(Reprogramaciones!L$14-1))),MIN(F91,(Reprogramaciones!$T$15+7*(Reprogramaciones!L$14-1))+6),11))))))))</f>
        <v/>
      </c>
      <c r="BV91" s="1" t="str">
        <f aca="false">IF(OR(NOT(AND(ISNUMBER(E91),ISNUMBER(F91))),$J$2=""),"",IF(Reprogramaciones!M$13&lt;Reprogramaciones!$T$15,0,IF(Reprogramaciones!M$14&gt;10,MIN(100,SUM($G91:$P91)),MIN(100,SUMPRODUCT((COLUMN($G91:$P91)-COLUMN($G91)+1&lt;Reprogramaciones!M$14)*$G91:$P91)+N(INDEX($G91:$P91,1,Reprogramaciones!M$14))*IF(Reprogramaciones!M$13&gt;=(Reprogramaciones!$T$15+7*(Reprogramaciones!M$14-1))+6,1,IF(MAX(0,NETWORKDAYS.INTL(MAX(E91,(Reprogramaciones!$T$15+7*(Reprogramaciones!M$14-1))),MIN(F91,(Reprogramaciones!$T$15+7*(Reprogramaciones!M$14-1))+6),11))=0,0,MAX(0,NETWORKDAYS.INTL(MAX(E91,(Reprogramaciones!$T$15+7*(Reprogramaciones!M$14-1))),MIN(F91,Reprogramaciones!M$13),11))/MAX(0,NETWORKDAYS.INTL(MAX(E91,(Reprogramaciones!$T$15+7*(Reprogramaciones!M$14-1))),MIN(F91,(Reprogramaciones!$T$15+7*(Reprogramaciones!M$14-1))+6),11))))))))</f>
        <v/>
      </c>
      <c r="BW91" s="1" t="str">
        <f aca="false">IF(OR(NOT(AND(ISNUMBER(E91),ISNUMBER(F91))),$J$2=""),"",IF(Reprogramaciones!N$13&lt;Reprogramaciones!$T$15,0,IF(Reprogramaciones!N$14&gt;10,MIN(100,SUM($G91:$P91)),MIN(100,SUMPRODUCT((COLUMN($G91:$P91)-COLUMN($G91)+1&lt;Reprogramaciones!N$14)*$G91:$P91)+N(INDEX($G91:$P91,1,Reprogramaciones!N$14))*IF(Reprogramaciones!N$13&gt;=(Reprogramaciones!$T$15+7*(Reprogramaciones!N$14-1))+6,1,IF(MAX(0,NETWORKDAYS.INTL(MAX(E91,(Reprogramaciones!$T$15+7*(Reprogramaciones!N$14-1))),MIN(F91,(Reprogramaciones!$T$15+7*(Reprogramaciones!N$14-1))+6),11))=0,0,MAX(0,NETWORKDAYS.INTL(MAX(E91,(Reprogramaciones!$T$15+7*(Reprogramaciones!N$14-1))),MIN(F91,Reprogramaciones!N$13),11))/MAX(0,NETWORKDAYS.INTL(MAX(E91,(Reprogramaciones!$T$15+7*(Reprogramaciones!N$14-1))),MIN(F91,(Reprogramaciones!$T$15+7*(Reprogramaciones!N$14-1))+6),11))))))))</f>
        <v/>
      </c>
      <c r="BX91" s="1" t="str">
        <f aca="false">IF(OR(NOT(AND(ISNUMBER(E91),ISNUMBER(F91))),$J$2=""),"",IF(Reprogramaciones!O$13&lt;Reprogramaciones!$T$15,0,IF(Reprogramaciones!O$14&gt;10,MIN(100,SUM($G91:$P91)),MIN(100,SUMPRODUCT((COLUMN($G91:$P91)-COLUMN($G91)+1&lt;Reprogramaciones!O$14)*$G91:$P91)+N(INDEX($G91:$P91,1,Reprogramaciones!O$14))*IF(Reprogramaciones!O$13&gt;=(Reprogramaciones!$T$15+7*(Reprogramaciones!O$14-1))+6,1,IF(MAX(0,NETWORKDAYS.INTL(MAX(E91,(Reprogramaciones!$T$15+7*(Reprogramaciones!O$14-1))),MIN(F91,(Reprogramaciones!$T$15+7*(Reprogramaciones!O$14-1))+6),11))=0,0,MAX(0,NETWORKDAYS.INTL(MAX(E91,(Reprogramaciones!$T$15+7*(Reprogramaciones!O$14-1))),MIN(F91,Reprogramaciones!O$13),11))/MAX(0,NETWORKDAYS.INTL(MAX(E91,(Reprogramaciones!$T$15+7*(Reprogramaciones!O$14-1))),MIN(F91,(Reprogramaciones!$T$15+7*(Reprogramaciones!O$14-1))+6),11))))))))</f>
        <v/>
      </c>
      <c r="BY91" s="1" t="str">
        <f aca="false">IF(OR(NOT(AND(ISNUMBER(E91),ISNUMBER(F91))),$J$2=""),"",IF(Reprogramaciones!P$13&lt;Reprogramaciones!$T$15,0,IF(Reprogramaciones!P$14&gt;10,MIN(100,SUM($G91:$P91)),MIN(100,SUMPRODUCT((COLUMN($G91:$P91)-COLUMN($G91)+1&lt;Reprogramaciones!P$14)*$G91:$P91)+N(INDEX($G91:$P91,1,Reprogramaciones!P$14))*IF(Reprogramaciones!P$13&gt;=(Reprogramaciones!$T$15+7*(Reprogramaciones!P$14-1))+6,1,IF(MAX(0,NETWORKDAYS.INTL(MAX(E91,(Reprogramaciones!$T$15+7*(Reprogramaciones!P$14-1))),MIN(F91,(Reprogramaciones!$T$15+7*(Reprogramaciones!P$14-1))+6),11))=0,0,MAX(0,NETWORKDAYS.INTL(MAX(E91,(Reprogramaciones!$T$15+7*(Reprogramaciones!P$14-1))),MIN(F91,Reprogramaciones!P$13),11))/MAX(0,NETWORKDAYS.INTL(MAX(E91,(Reprogramaciones!$T$15+7*(Reprogramaciones!P$14-1))),MIN(F91,(Reprogramaciones!$T$15+7*(Reprogramaciones!P$14-1))+6),11))))))))</f>
        <v/>
      </c>
      <c r="BZ91" s="1" t="str">
        <f aca="false">IF(OR(NOT(AND(ISNUMBER(E91),ISNUMBER(F91))),$J$2=""),"",IF(Reprogramaciones!Q$13&lt;Reprogramaciones!$T$15,0,IF(Reprogramaciones!Q$14&gt;10,MIN(100,SUM($G91:$P91)),MIN(100,SUMPRODUCT((COLUMN($G91:$P91)-COLUMN($G91)+1&lt;Reprogramaciones!Q$14)*$G91:$P91)+N(INDEX($G91:$P91,1,Reprogramaciones!Q$14))*IF(Reprogramaciones!Q$13&gt;=(Reprogramaciones!$T$15+7*(Reprogramaciones!Q$14-1))+6,1,IF(MAX(0,NETWORKDAYS.INTL(MAX(E91,(Reprogramaciones!$T$15+7*(Reprogramaciones!Q$14-1))),MIN(F91,(Reprogramaciones!$T$15+7*(Reprogramaciones!Q$14-1))+6),11))=0,0,MAX(0,NETWORKDAYS.INTL(MAX(E91,(Reprogramaciones!$T$15+7*(Reprogramaciones!Q$14-1))),MIN(F91,Reprogramaciones!Q$13),11))/MAX(0,NETWORKDAYS.INTL(MAX(E91,(Reprogramaciones!$T$15+7*(Reprogramaciones!Q$14-1))),MIN(F91,(Reprogramaciones!$T$15+7*(Reprogramaciones!Q$14-1))+6),11))))))))</f>
        <v/>
      </c>
      <c r="CA91" s="1" t="str">
        <f aca="false">IF(OR(NOT(AND(ISNUMBER(E91),ISNUMBER(F91))),$J$2=""),"",IF(Reprogramaciones!R$13&lt;Reprogramaciones!$T$15,0,IF(Reprogramaciones!R$14&gt;10,MIN(100,SUM($G91:$P91)),MIN(100,SUMPRODUCT((COLUMN($G91:$P91)-COLUMN($G91)+1&lt;Reprogramaciones!R$14)*$G91:$P91)+N(INDEX($G91:$P91,1,Reprogramaciones!R$14))*IF(Reprogramaciones!R$13&gt;=(Reprogramaciones!$T$15+7*(Reprogramaciones!R$14-1))+6,1,IF(MAX(0,NETWORKDAYS.INTL(MAX(E91,(Reprogramaciones!$T$15+7*(Reprogramaciones!R$14-1))),MIN(F91,(Reprogramaciones!$T$15+7*(Reprogramaciones!R$14-1))+6),11))=0,0,MAX(0,NETWORKDAYS.INTL(MAX(E91,(Reprogramaciones!$T$15+7*(Reprogramaciones!R$14-1))),MIN(F91,Reprogramaciones!R$13),11))/MAX(0,NETWORKDAYS.INTL(MAX(E91,(Reprogramaciones!$T$15+7*(Reprogramaciones!R$14-1))),MIN(F91,(Reprogramaciones!$T$15+7*(Reprogramaciones!R$14-1))+6),11))))))))</f>
        <v/>
      </c>
      <c r="CB91" s="1" t="str">
        <f aca="false">IF(OR(NOT(AND(ISNUMBER(E91),ISNUMBER(F91))),$J$2=""),"",IF(Reprogramaciones!S$13&lt;Reprogramaciones!$T$15,0,IF(Reprogramaciones!S$14&gt;10,MIN(100,SUM($G91:$P91)),MIN(100,SUMPRODUCT((COLUMN($G91:$P91)-COLUMN($G91)+1&lt;Reprogramaciones!S$14)*$G91:$P91)+N(INDEX($G91:$P91,1,Reprogramaciones!S$14))*IF(Reprogramaciones!S$13&gt;=(Reprogramaciones!$T$15+7*(Reprogramaciones!S$14-1))+6,1,IF(MAX(0,NETWORKDAYS.INTL(MAX(E91,(Reprogramaciones!$T$15+7*(Reprogramaciones!S$14-1))),MIN(F91,(Reprogramaciones!$T$15+7*(Reprogramaciones!S$14-1))+6),11))=0,0,MAX(0,NETWORKDAYS.INTL(MAX(E91,(Reprogramaciones!$T$15+7*(Reprogramaciones!S$14-1))),MIN(F91,Reprogramaciones!S$13),11))/MAX(0,NETWORKDAYS.INTL(MAX(E91,(Reprogramaciones!$T$15+7*(Reprogramaciones!S$14-1))),MIN(F91,(Reprogramaciones!$T$15+7*(Reprogramaciones!S$14-1))+6),11))))))))</f>
        <v/>
      </c>
      <c r="CC91" s="1" t="str">
        <f aca="false">IF(OR(NOT(AND(ISNUMBER(E91),ISNUMBER(F91))),$J$2=""),"",IF(Reprogramaciones!T$13&lt;Reprogramaciones!$T$15,0,IF(Reprogramaciones!T$14&gt;10,MIN(100,SUM($G91:$P91)),MIN(100,SUMPRODUCT((COLUMN($G91:$P91)-COLUMN($G91)+1&lt;Reprogramaciones!T$14)*$G91:$P91)+N(INDEX($G91:$P91,1,Reprogramaciones!T$14))*IF(Reprogramaciones!T$13&gt;=(Reprogramaciones!$T$15+7*(Reprogramaciones!T$14-1))+6,1,IF(MAX(0,NETWORKDAYS.INTL(MAX(E91,(Reprogramaciones!$T$15+7*(Reprogramaciones!T$14-1))),MIN(F91,(Reprogramaciones!$T$15+7*(Reprogramaciones!T$14-1))+6),11))=0,0,MAX(0,NETWORKDAYS.INTL(MAX(E91,(Reprogramaciones!$T$15+7*(Reprogramaciones!T$14-1))),MIN(F91,Reprogramaciones!T$13),11))/MAX(0,NETWORKDAYS.INTL(MAX(E91,(Reprogramaciones!$T$15+7*(Reprogramaciones!T$14-1))),MIN(F91,(Reprogramaciones!$T$15+7*(Reprogramaciones!T$14-1))+6),11))))))))</f>
        <v/>
      </c>
      <c r="CD91" s="1" t="str">
        <f aca="false">IF(OR(NOT(AND(ISNUMBER(E91),ISNUMBER(F91))),$J$2=""),"",IF(Reprogramaciones!U$13&lt;Reprogramaciones!$T$15,0,IF(Reprogramaciones!U$14&gt;10,MIN(100,SUM($G91:$P91)),MIN(100,SUMPRODUCT((COLUMN($G91:$P91)-COLUMN($G91)+1&lt;Reprogramaciones!U$14)*$G91:$P91)+N(INDEX($G91:$P91,1,Reprogramaciones!U$14))*IF(Reprogramaciones!U$13&gt;=(Reprogramaciones!$T$15+7*(Reprogramaciones!U$14-1))+6,1,IF(MAX(0,NETWORKDAYS.INTL(MAX(E91,(Reprogramaciones!$T$15+7*(Reprogramaciones!U$14-1))),MIN(F91,(Reprogramaciones!$T$15+7*(Reprogramaciones!U$14-1))+6),11))=0,0,MAX(0,NETWORKDAYS.INTL(MAX(E91,(Reprogramaciones!$T$15+7*(Reprogramaciones!U$14-1))),MIN(F91,Reprogramaciones!U$13),11))/MAX(0,NETWORKDAYS.INTL(MAX(E91,(Reprogramaciones!$T$15+7*(Reprogramaciones!U$14-1))),MIN(F91,(Reprogramaciones!$T$15+7*(Reprogramaciones!U$14-1))+6),11))))))))</f>
        <v/>
      </c>
      <c r="CE91" s="1" t="str">
        <f aca="false">IF(OR(NOT(AND(ISNUMBER(E91),ISNUMBER(F91))),$J$2=""),"",IF(Reprogramaciones!V$13&lt;Reprogramaciones!$T$15,0,IF(Reprogramaciones!V$14&gt;10,MIN(100,SUM($G91:$P91)),MIN(100,SUMPRODUCT((COLUMN($G91:$P91)-COLUMN($G91)+1&lt;Reprogramaciones!V$14)*$G91:$P91)+N(INDEX($G91:$P91,1,Reprogramaciones!V$14))*IF(Reprogramaciones!V$13&gt;=(Reprogramaciones!$T$15+7*(Reprogramaciones!V$14-1))+6,1,IF(MAX(0,NETWORKDAYS.INTL(MAX(E91,(Reprogramaciones!$T$15+7*(Reprogramaciones!V$14-1))),MIN(F91,(Reprogramaciones!$T$15+7*(Reprogramaciones!V$14-1))+6),11))=0,0,MAX(0,NETWORKDAYS.INTL(MAX(E91,(Reprogramaciones!$T$15+7*(Reprogramaciones!V$14-1))),MIN(F91,Reprogramaciones!V$13),11))/MAX(0,NETWORKDAYS.INTL(MAX(E91,(Reprogramaciones!$T$15+7*(Reprogramaciones!V$14-1))),MIN(F91,(Reprogramaciones!$T$15+7*(Reprogramaciones!V$14-1))+6),11))))))))</f>
        <v/>
      </c>
      <c r="CF91" s="1" t="str">
        <f aca="false">IF(OR(NOT(AND(ISNUMBER(E91),ISNUMBER(F91))),$J$2=""),"",IF(Reprogramaciones!W$13&lt;Reprogramaciones!$T$15,0,IF(Reprogramaciones!W$14&gt;10,MIN(100,SUM($G91:$P91)),MIN(100,SUMPRODUCT((COLUMN($G91:$P91)-COLUMN($G91)+1&lt;Reprogramaciones!W$14)*$G91:$P91)+N(INDEX($G91:$P91,1,Reprogramaciones!W$14))*IF(Reprogramaciones!W$13&gt;=(Reprogramaciones!$T$15+7*(Reprogramaciones!W$14-1))+6,1,IF(MAX(0,NETWORKDAYS.INTL(MAX(E91,(Reprogramaciones!$T$15+7*(Reprogramaciones!W$14-1))),MIN(F91,(Reprogramaciones!$T$15+7*(Reprogramaciones!W$14-1))+6),11))=0,0,MAX(0,NETWORKDAYS.INTL(MAX(E91,(Reprogramaciones!$T$15+7*(Reprogramaciones!W$14-1))),MIN(F91,Reprogramaciones!W$13),11))/MAX(0,NETWORKDAYS.INTL(MAX(E91,(Reprogramaciones!$T$15+7*(Reprogramaciones!W$14-1))),MIN(F91,(Reprogramaciones!$T$15+7*(Reprogramaciones!W$14-1))+6),11))))))))</f>
        <v/>
      </c>
      <c r="CG91" s="1" t="str">
        <f aca="false">IF(OR(NOT(AND(ISNUMBER(E91),ISNUMBER(F91))),$J$2=""),"",IF(Reprogramaciones!X$13&lt;Reprogramaciones!$T$15,0,IF(Reprogramaciones!X$14&gt;10,MIN(100,SUM($G91:$P91)),MIN(100,SUMPRODUCT((COLUMN($G91:$P91)-COLUMN($G91)+1&lt;Reprogramaciones!X$14)*$G91:$P91)+N(INDEX($G91:$P91,1,Reprogramaciones!X$14))*IF(Reprogramaciones!X$13&gt;=(Reprogramaciones!$T$15+7*(Reprogramaciones!X$14-1))+6,1,IF(MAX(0,NETWORKDAYS.INTL(MAX(E91,(Reprogramaciones!$T$15+7*(Reprogramaciones!X$14-1))),MIN(F91,(Reprogramaciones!$T$15+7*(Reprogramaciones!X$14-1))+6),11))=0,0,MAX(0,NETWORKDAYS.INTL(MAX(E91,(Reprogramaciones!$T$15+7*(Reprogramaciones!X$14-1))),MIN(F91,Reprogramaciones!X$13),11))/MAX(0,NETWORKDAYS.INTL(MAX(E91,(Reprogramaciones!$T$15+7*(Reprogramaciones!X$14-1))),MIN(F91,(Reprogramaciones!$T$15+7*(Reprogramaciones!X$14-1))+6),11))))))))</f>
        <v/>
      </c>
      <c r="CH91" s="1" t="str">
        <f aca="false">IF(OR(NOT(AND(ISNUMBER(E91),ISNUMBER(F91))),$J$2=""),"",IF(Reprogramaciones!Y$13&lt;Reprogramaciones!$T$15,0,IF(Reprogramaciones!Y$14&gt;10,MIN(100,SUM($G91:$P91)),MIN(100,SUMPRODUCT((COLUMN($G91:$P91)-COLUMN($G91)+1&lt;Reprogramaciones!Y$14)*$G91:$P91)+N(INDEX($G91:$P91,1,Reprogramaciones!Y$14))*IF(Reprogramaciones!Y$13&gt;=(Reprogramaciones!$T$15+7*(Reprogramaciones!Y$14-1))+6,1,IF(MAX(0,NETWORKDAYS.INTL(MAX(E91,(Reprogramaciones!$T$15+7*(Reprogramaciones!Y$14-1))),MIN(F91,(Reprogramaciones!$T$15+7*(Reprogramaciones!Y$14-1))+6),11))=0,0,MAX(0,NETWORKDAYS.INTL(MAX(E91,(Reprogramaciones!$T$15+7*(Reprogramaciones!Y$14-1))),MIN(F91,Reprogramaciones!Y$13),11))/MAX(0,NETWORKDAYS.INTL(MAX(E91,(Reprogramaciones!$T$15+7*(Reprogramaciones!Y$14-1))),MIN(F91,(Reprogramaciones!$T$15+7*(Reprogramaciones!Y$14-1))+6),11))))))))</f>
        <v/>
      </c>
      <c r="CI91" s="1" t="str">
        <f aca="false">IF(OR(NOT(AND(ISNUMBER(E91),ISNUMBER(F91))),$J$2=""),"",IF(Reprogramaciones!Z$13&lt;Reprogramaciones!$T$15,0,IF(Reprogramaciones!Z$14&gt;10,MIN(100,SUM($G91:$P91)),MIN(100,SUMPRODUCT((COLUMN($G91:$P91)-COLUMN($G91)+1&lt;Reprogramaciones!Z$14)*$G91:$P91)+N(INDEX($G91:$P91,1,Reprogramaciones!Z$14))*IF(Reprogramaciones!Z$13&gt;=(Reprogramaciones!$T$15+7*(Reprogramaciones!Z$14-1))+6,1,IF(MAX(0,NETWORKDAYS.INTL(MAX(E91,(Reprogramaciones!$T$15+7*(Reprogramaciones!Z$14-1))),MIN(F91,(Reprogramaciones!$T$15+7*(Reprogramaciones!Z$14-1))+6),11))=0,0,MAX(0,NETWORKDAYS.INTL(MAX(E91,(Reprogramaciones!$T$15+7*(Reprogramaciones!Z$14-1))),MIN(F91,Reprogramaciones!Z$13),11))/MAX(0,NETWORKDAYS.INTL(MAX(E91,(Reprogramaciones!$T$15+7*(Reprogramaciones!Z$14-1))),MIN(F91,(Reprogramaciones!$T$15+7*(Reprogramaciones!Z$14-1))+6),11))))))))</f>
        <v/>
      </c>
      <c r="CJ91" s="1" t="str">
        <f aca="false">IF(OR(OR(NOT(AND(ISNUMBER(E91),ISNUMBER(F91))),$J$2=""),1&gt;Reprogramaciones!$K$16),"",IF(ROUND(SUM($Q91:Q91),1)&gt;=99.5,100,MIN(100,ROUND(SUM($Q91:Q91),1))))</f>
        <v/>
      </c>
      <c r="CK91" s="1" t="str">
        <f aca="false">IF(OR(OR(NOT(AND(ISNUMBER(E91),ISNUMBER(F91))),$J$2=""),2&gt;Reprogramaciones!$K$16),"",IF(ROUND(SUM($Q91:R91),1)&gt;=99.5,100,MIN(100,ROUND(SUM($Q91:R91),1))))</f>
        <v/>
      </c>
      <c r="CL91" s="1" t="str">
        <f aca="false">IF(OR(OR(NOT(AND(ISNUMBER(E91),ISNUMBER(F91))),$J$2=""),3&gt;Reprogramaciones!$K$16),"",IF(ROUND(SUM($Q91:S91),1)&gt;=99.5,100,MIN(100,ROUND(SUM($Q91:S91),1))))</f>
        <v/>
      </c>
      <c r="CM91" s="1" t="str">
        <f aca="false">IF(OR(OR(NOT(AND(ISNUMBER(E91),ISNUMBER(F91))),$J$2=""),4&gt;Reprogramaciones!$K$16),"",IF(ROUND(SUM($Q91:T91),1)&gt;=99.5,100,MIN(100,ROUND(SUM($Q91:T91),1))))</f>
        <v/>
      </c>
      <c r="CN91" s="1" t="str">
        <f aca="false">IF(OR(OR(NOT(AND(ISNUMBER(E91),ISNUMBER(F91))),$J$2=""),5&gt;Reprogramaciones!$K$16),"",IF(ROUND(SUM($Q91:U91),1)&gt;=99.5,100,MIN(100,ROUND(SUM($Q91:U91),1))))</f>
        <v/>
      </c>
      <c r="CO91" s="1" t="str">
        <f aca="false">IF(OR(OR(NOT(AND(ISNUMBER(E91),ISNUMBER(F91))),$J$2=""),6&gt;Reprogramaciones!$K$16),"",IF(ROUND(SUM($Q91:V91),1)&gt;=99.5,100,MIN(100,ROUND(SUM($Q91:V91),1))))</f>
        <v/>
      </c>
      <c r="CP91" s="1" t="str">
        <f aca="false">IF(OR(OR(NOT(AND(ISNUMBER(E91),ISNUMBER(F91))),$J$2=""),7&gt;Reprogramaciones!$K$16),"",IF(ROUND(SUM($Q91:W91),1)&gt;=99.5,100,MIN(100,ROUND(SUM($Q91:W91),1))))</f>
        <v/>
      </c>
      <c r="CQ91" s="1" t="str">
        <f aca="false">IF(OR(OR(NOT(AND(ISNUMBER(E91),ISNUMBER(F91))),$J$2=""),8&gt;Reprogramaciones!$K$16),"",IF(ROUND(SUM($Q91:X91),1)&gt;=99.5,100,MIN(100,ROUND(SUM($Q91:X91),1))))</f>
        <v/>
      </c>
      <c r="CR91" s="1" t="str">
        <f aca="false">IF(OR(OR(NOT(AND(ISNUMBER(E91),ISNUMBER(F91))),$J$2=""),9&gt;Reprogramaciones!$K$16),"",IF(ROUND(SUM($Q91:Y91),1)&gt;=99.5,100,MIN(100,ROUND(SUM($Q91:Y91),1))))</f>
        <v/>
      </c>
      <c r="CS91" s="1" t="str">
        <f aca="false">IF(OR(OR(NOT(AND(ISNUMBER(E91),ISNUMBER(F91))),$J$2=""),10&gt;Reprogramaciones!$K$16),"",IF(ROUND(SUM($Q91:Z91),1)&gt;=99.5,100,MIN(100,ROUND(SUM($Q91:Z91),1))))</f>
        <v/>
      </c>
      <c r="CT91" s="1" t="str">
        <f aca="false">IF(OR(OR(NOT(AND(ISNUMBER(E91),ISNUMBER(F91))),$J$2=""),11&gt;Reprogramaciones!$K$16),"",IF(ROUND(SUM($Q91:AA91),1)&gt;=99.5,100,MIN(100,ROUND(SUM($Q91:AA91),1))))</f>
        <v/>
      </c>
      <c r="CU91" s="1" t="str">
        <f aca="false">IF(OR(OR(NOT(AND(ISNUMBER(E91),ISNUMBER(F91))),$J$2=""),12&gt;Reprogramaciones!$K$16),"",IF(ROUND(SUM($Q91:AB91),1)&gt;=99.5,100,MIN(100,ROUND(SUM($Q91:AB91),1))))</f>
        <v/>
      </c>
      <c r="CV91" s="1" t="str">
        <f aca="false">IF(OR(OR(NOT(AND(ISNUMBER(E91),ISNUMBER(F91))),$J$2=""),13&gt;Reprogramaciones!$K$16),"",IF(ROUND(SUM($Q91:AC91),1)&gt;=99.5,100,MIN(100,ROUND(SUM($Q91:AC91),1))))</f>
        <v/>
      </c>
      <c r="CW91" s="1" t="str">
        <f aca="false">IF(OR(OR(NOT(AND(ISNUMBER(E91),ISNUMBER(F91))),$J$2=""),14&gt;Reprogramaciones!$K$16),"",IF(ROUND(SUM($Q91:AD91),1)&gt;=99.5,100,MIN(100,ROUND(SUM($Q91:AD91),1))))</f>
        <v/>
      </c>
      <c r="CX91" s="1" t="str">
        <f aca="false">IF(OR(OR(NOT(AND(ISNUMBER(E91),ISNUMBER(F91))),$J$2=""),15&gt;Reprogramaciones!$K$16),"",IF(ROUND(SUM($Q91:AE91),1)&gt;=99.5,100,MIN(100,ROUND(SUM($Q91:AE91),1))))</f>
        <v/>
      </c>
      <c r="CY91" s="1" t="str">
        <f aca="false">IF(OR(OR(NOT(AND(ISNUMBER(E91),ISNUMBER(F91))),$J$2=""),16&gt;Reprogramaciones!$K$16),"",IF(ROUND(SUM($Q91:AF91),1)&gt;=99.5,100,MIN(100,ROUND(SUM($Q91:AF91),1))))</f>
        <v/>
      </c>
      <c r="CZ91" s="1" t="str">
        <f aca="false">IF(D91&lt;&gt;"",D91,IF(B91&lt;&gt;"","Contractual",CZ90))</f>
        <v>Contractual</v>
      </c>
      <c r="DA91" s="1" t="str">
        <f aca="false">IF(OR(NOT(AND(ISNUMBER(E91),ISNUMBER(F91))),$J$2=""),"",IF(Reprogramaciones!$Q$15&lt;Reprogramaciones!$T$15,0,IF(Reprogramaciones!$S$15&gt;10,MIN(100,SUM($G91:$P91)),MIN(100,SUMPRODUCT((COLUMN($G91:$P91)-COLUMN($G91)+1&lt;Reprogramaciones!$S$15)*$G91:$P91)+N(INDEX($G91:$P91,1,Reprogramaciones!$S$15))*IF(Reprogramaciones!$Q$15&gt;=(Reprogramaciones!$T$15+7*(Reprogramaciones!$S$15-1))+6,1,IF(MAX(0,NETWORKDAYS.INTL(MAX(E91,(Reprogramaciones!$T$15+7*(Reprogramaciones!$S$15-1))),MIN(F91,(Reprogramaciones!$T$15+7*(Reprogramaciones!$S$15-1))+6),11))=0,0,MAX(0,NETWORKDAYS.INTL(MAX(E91,(Reprogramaciones!$T$15+7*(Reprogramaciones!$S$15-1))),MIN(F91,Reprogramaciones!$Q$15),11))/MAX(0,NETWORKDAYS.INTL(MAX(E91,(Reprogramaciones!$T$15+7*(Reprogramaciones!$S$15-1))),MIN(F91,(Reprogramaciones!$T$15+7*(Reprogramaciones!$S$15-1))+6),11))))))))</f>
        <v/>
      </c>
    </row>
    <row r="92" customFormat="false" ht="15" hidden="false" customHeight="false" outlineLevel="0" collapsed="false">
      <c r="A92" s="32"/>
      <c r="B92" s="33"/>
      <c r="C92" s="33"/>
      <c r="D92" s="34"/>
      <c r="E92" s="35"/>
      <c r="F92" s="35"/>
      <c r="G92" s="36" t="str">
        <f aca="false">IF(OR(NOT(AND(ISNUMBER(E92),ISNUMBER(F92))),$J$2=""),"",IF(Reprogramaciones!K$9&lt;E92,0,IF(NETWORKDAYS.INTL(E92,F92,11)=0,IF(Reprogramaciones!K$9&gt;=F92,100,0),ROUND(NETWORKDAYS.INTL(E92,MIN(F92,Reprogramaciones!K$9),11)/NETWORKDAYS.INTL(E92,F92,11)*100,1)))-0)</f>
        <v/>
      </c>
      <c r="H92" s="36" t="str">
        <f aca="false">IF(OR(NOT(AND(ISNUMBER(E92),ISNUMBER(F92))),$J$2=""),"",IF(Reprogramaciones!L$9&lt;E92,0,IF(NETWORKDAYS.INTL(E92,F92,11)=0,IF(Reprogramaciones!L$9&gt;=F92,100,0),ROUND(NETWORKDAYS.INTL(E92,MIN(F92,Reprogramaciones!L$9),11)/NETWORKDAYS.INTL(E92,F92,11)*100,1)))-IF(Reprogramaciones!K$9&lt;E92,0,IF(NETWORKDAYS.INTL(E92,F92,11)=0,IF(Reprogramaciones!K$9&gt;=F92,100,0),ROUND(NETWORKDAYS.INTL(E92,MIN(F92,Reprogramaciones!K$9),11)/NETWORKDAYS.INTL(E92,F92,11)*100,1))))</f>
        <v/>
      </c>
      <c r="I92" s="36" t="str">
        <f aca="false">IF(OR(NOT(AND(ISNUMBER(E92),ISNUMBER(F92))),$J$2=""),"",IF(Reprogramaciones!M$9&lt;E92,0,IF(NETWORKDAYS.INTL(E92,F92,11)=0,IF(Reprogramaciones!M$9&gt;=F92,100,0),ROUND(NETWORKDAYS.INTL(E92,MIN(F92,Reprogramaciones!M$9),11)/NETWORKDAYS.INTL(E92,F92,11)*100,1)))-IF(Reprogramaciones!L$9&lt;E92,0,IF(NETWORKDAYS.INTL(E92,F92,11)=0,IF(Reprogramaciones!L$9&gt;=F92,100,0),ROUND(NETWORKDAYS.INTL(E92,MIN(F92,Reprogramaciones!L$9),11)/NETWORKDAYS.INTL(E92,F92,11)*100,1))))</f>
        <v/>
      </c>
      <c r="J92" s="36" t="str">
        <f aca="false">IF(OR(NOT(AND(ISNUMBER(E92),ISNUMBER(F92))),$J$2=""),"",IF(Reprogramaciones!N$9&lt;E92,0,IF(NETWORKDAYS.INTL(E92,F92,11)=0,IF(Reprogramaciones!N$9&gt;=F92,100,0),ROUND(NETWORKDAYS.INTL(E92,MIN(F92,Reprogramaciones!N$9),11)/NETWORKDAYS.INTL(E92,F92,11)*100,1)))-IF(Reprogramaciones!M$9&lt;E92,0,IF(NETWORKDAYS.INTL(E92,F92,11)=0,IF(Reprogramaciones!M$9&gt;=F92,100,0),ROUND(NETWORKDAYS.INTL(E92,MIN(F92,Reprogramaciones!M$9),11)/NETWORKDAYS.INTL(E92,F92,11)*100,1))))</f>
        <v/>
      </c>
      <c r="K92" s="36" t="str">
        <f aca="false">IF(OR(NOT(AND(ISNUMBER(E92),ISNUMBER(F92))),$J$2=""),"",IF(Reprogramaciones!O$9&lt;E92,0,IF(NETWORKDAYS.INTL(E92,F92,11)=0,IF(Reprogramaciones!O$9&gt;=F92,100,0),ROUND(NETWORKDAYS.INTL(E92,MIN(F92,Reprogramaciones!O$9),11)/NETWORKDAYS.INTL(E92,F92,11)*100,1)))-IF(Reprogramaciones!N$9&lt;E92,0,IF(NETWORKDAYS.INTL(E92,F92,11)=0,IF(Reprogramaciones!N$9&gt;=F92,100,0),ROUND(NETWORKDAYS.INTL(E92,MIN(F92,Reprogramaciones!N$9),11)/NETWORKDAYS.INTL(E92,F92,11)*100,1))))</f>
        <v/>
      </c>
      <c r="L92" s="36" t="str">
        <f aca="false">IF(OR(NOT(AND(ISNUMBER(E92),ISNUMBER(F92))),$J$2=""),"",IF(Reprogramaciones!P$9&lt;E92,0,IF(NETWORKDAYS.INTL(E92,F92,11)=0,IF(Reprogramaciones!P$9&gt;=F92,100,0),ROUND(NETWORKDAYS.INTL(E92,MIN(F92,Reprogramaciones!P$9),11)/NETWORKDAYS.INTL(E92,F92,11)*100,1)))-IF(Reprogramaciones!O$9&lt;E92,0,IF(NETWORKDAYS.INTL(E92,F92,11)=0,IF(Reprogramaciones!O$9&gt;=F92,100,0),ROUND(NETWORKDAYS.INTL(E92,MIN(F92,Reprogramaciones!O$9),11)/NETWORKDAYS.INTL(E92,F92,11)*100,1))))</f>
        <v/>
      </c>
      <c r="M92" s="36" t="str">
        <f aca="false">IF(OR(NOT(AND(ISNUMBER(E92),ISNUMBER(F92))),$J$2=""),"",IF(Reprogramaciones!Q$9&lt;E92,0,IF(NETWORKDAYS.INTL(E92,F92,11)=0,IF(Reprogramaciones!Q$9&gt;=F92,100,0),ROUND(NETWORKDAYS.INTL(E92,MIN(F92,Reprogramaciones!Q$9),11)/NETWORKDAYS.INTL(E92,F92,11)*100,1)))-IF(Reprogramaciones!P$9&lt;E92,0,IF(NETWORKDAYS.INTL(E92,F92,11)=0,IF(Reprogramaciones!P$9&gt;=F92,100,0),ROUND(NETWORKDAYS.INTL(E92,MIN(F92,Reprogramaciones!P$9),11)/NETWORKDAYS.INTL(E92,F92,11)*100,1))))</f>
        <v/>
      </c>
      <c r="N92" s="36" t="str">
        <f aca="false">IF(OR(NOT(AND(ISNUMBER(E92),ISNUMBER(F92))),$J$2=""),"",IF(Reprogramaciones!R$9&lt;E92,0,IF(NETWORKDAYS.INTL(E92,F92,11)=0,IF(Reprogramaciones!R$9&gt;=F92,100,0),ROUND(NETWORKDAYS.INTL(E92,MIN(F92,Reprogramaciones!R$9),11)/NETWORKDAYS.INTL(E92,F92,11)*100,1)))-IF(Reprogramaciones!Q$9&lt;E92,0,IF(NETWORKDAYS.INTL(E92,F92,11)=0,IF(Reprogramaciones!Q$9&gt;=F92,100,0),ROUND(NETWORKDAYS.INTL(E92,MIN(F92,Reprogramaciones!Q$9),11)/NETWORKDAYS.INTL(E92,F92,11)*100,1))))</f>
        <v/>
      </c>
      <c r="O92" s="36" t="str">
        <f aca="false">IF(OR(NOT(AND(ISNUMBER(E92),ISNUMBER(F92))),$J$2=""),"",IF(Reprogramaciones!S$9&lt;E92,0,IF(NETWORKDAYS.INTL(E92,F92,11)=0,IF(Reprogramaciones!S$9&gt;=F92,100,0),ROUND(NETWORKDAYS.INTL(E92,MIN(F92,Reprogramaciones!S$9),11)/NETWORKDAYS.INTL(E92,F92,11)*100,1)))-IF(Reprogramaciones!R$9&lt;E92,0,IF(NETWORKDAYS.INTL(E92,F92,11)=0,IF(Reprogramaciones!R$9&gt;=F92,100,0),ROUND(NETWORKDAYS.INTL(E92,MIN(F92,Reprogramaciones!R$9),11)/NETWORKDAYS.INTL(E92,F92,11)*100,1))))</f>
        <v/>
      </c>
      <c r="P92" s="36" t="str">
        <f aca="false">IF(OR(NOT(AND(ISNUMBER(E92),ISNUMBER(F92))),$J$2=""),"",IF(Reprogramaciones!T$9&lt;E92,0,IF(NETWORKDAYS.INTL(E92,F92,11)=0,IF(Reprogramaciones!T$9&gt;=F92,100,0),ROUND(NETWORKDAYS.INTL(E92,MIN(F92,Reprogramaciones!T$9),11)/NETWORKDAYS.INTL(E92,F92,11)*100,1)))-IF(Reprogramaciones!S$9&lt;E92,0,IF(NETWORKDAYS.INTL(E92,F92,11)=0,IF(Reprogramaciones!S$9&gt;=F92,100,0),ROUND(NETWORKDAYS.INTL(E92,MIN(F92,Reprogramaciones!S$9),11)/NETWORKDAYS.INTL(E92,F92,11)*100,1))))</f>
        <v/>
      </c>
      <c r="Q92" s="37"/>
      <c r="R92" s="37"/>
      <c r="S92" s="37"/>
      <c r="T92" s="37"/>
      <c r="U92" s="37"/>
      <c r="V92" s="37"/>
      <c r="W92" s="37"/>
      <c r="X92" s="37"/>
      <c r="Y92" s="37"/>
      <c r="Z92" s="37"/>
      <c r="AA92" s="37"/>
      <c r="AB92" s="37"/>
      <c r="AC92" s="37"/>
      <c r="AD92" s="37"/>
      <c r="AE92" s="37"/>
      <c r="AF92" s="37"/>
      <c r="AG92" s="38" t="str">
        <f aca="false">IF(AND(ISNUMBER(E92),ISNUMBER(F92)),NETWORKDAYS.INTL(E92,F92,11),"")</f>
        <v/>
      </c>
      <c r="AH92" s="38" t="str">
        <f aca="false">IF(OR(NOT(AND(ISNUMBER(E92),ISNUMBER(F92))),$J$2=""),"",IF(Reprogramaciones!$P$15&lt;Reprogramaciones!$T$15,0,IF(Reprogramaciones!$R$15&gt;10,MIN(100,SUM($G92:$P92)),MIN(100,SUMPRODUCT((COLUMN($G92:$P92)-COLUMN($G92)+1&lt;Reprogramaciones!$R$15)*$G92:$P92)+N(INDEX($G92:$P92,1,Reprogramaciones!$R$15))*IF(Reprogramaciones!$P$15&gt;=(Reprogramaciones!$T$15+7*(Reprogramaciones!$R$15-1))+6,1,IF(MAX(0,NETWORKDAYS.INTL(MAX(E92,(Reprogramaciones!$T$15+7*(Reprogramaciones!$R$15-1))),MIN(F92,(Reprogramaciones!$T$15+7*(Reprogramaciones!$R$15-1))+6),11))=0,0,MAX(0,NETWORKDAYS.INTL(MAX(E92,(Reprogramaciones!$T$15+7*(Reprogramaciones!$R$15-1))),MIN(F92,Reprogramaciones!$P$15),11))/MAX(0,NETWORKDAYS.INTL(MAX(E92,(Reprogramaciones!$T$15+7*(Reprogramaciones!$R$15-1))),MIN(F92,(Reprogramaciones!$T$15+7*(Reprogramaciones!$R$15-1))+6),11))))))))</f>
        <v/>
      </c>
      <c r="AI92" s="38" t="str">
        <f aca="false">IF(COUNT($Q92:$AF92)=0,"",IF(ROUND(SUM($Q92:$AF92),1)&gt;=99.5,100,MIN(100,ROUND(SUM($Q92:$AF92),1))))</f>
        <v/>
      </c>
      <c r="AJ92" s="38" t="str">
        <f aca="false">IF(OR(AH92="",AI92=""),"",AI92-AH92)</f>
        <v/>
      </c>
      <c r="AK92" s="39" t="str">
        <f aca="true">IF(AH92="","",IF(OR(Ficha!$C$10="Suspendida",Ficha!$C$10="Cancelada"),Ficha!$C$10,IF(AND(AI92&lt;&gt;"",N(AI92)&gt;=100),"Completada",IF(AND(E92&gt;TODAY(),N(AI92)=0),"Por iniciar",IF(N(AI92)+0.5&lt;AH92,"Retrasada",IF(N(AI92)+0.5&lt;DA92,IF(Reprogramaciones!$K$15&gt;0,"Al día · Sem "&amp;Reprogramaciones!$K$15&amp;" en curso","Al día · en curso"),"A tiempo"))))))</f>
        <v/>
      </c>
      <c r="AL92" s="39" t="str">
        <f aca="true">IF(AND(A92="",AND(B92="",C92="",E92="",F92="",COUNT(Q92:AF92)=0)),"",IF(AND(B92="",C92="",E92="",F92="",COUNT(Q92:AF92)=0),"Falta la partida o subpartida",IF(AND(A92&lt;&gt;"",COUNTIF($A$6:$A$305,A92)&gt;1),"Ítem repetido",IF(AND(C92="",E92="",F92="",COUNT(Q92:AF92)=0),"Título de partida",IF(OR(E92="",F92=""),"Faltan fechas",IF(OR(ISTEXT(E92),ISTEXT(F92)),"Fecha escrita como texto: usa dd/mm/aaaa",IF(F92&lt;E92,"Fin antes del inicio",IF(IF($J$2="",FALSE(),OR(E92&lt;$J$2,F92&gt;Reprogramaciones!$T$15+69)),"Fuera de las 10 semanas",IF(ABS(SUM(G92:P92)-100)&gt;0.5,"La meta no suma 100%",IF(ROUND(SUM(Q92:AF92),1)&gt;100.5,"El avance pasa de 100%",IF(MIN(Q92:AF92)&lt;0,"Avance negativo",IF(COUNTA(Q92:AF92)&gt;COUNT(Q92:AF92),"Avance escrito como texto",IF(SUMPRODUCT((Q92:AF92&gt;0)*(Q92:AF92&lt;1))&gt;0,"Avance menor a 1: escribe 50, no 50%",IF(SUMPRODUCT(ISNUMBER(Q92:AF92)*(Reprogramaciones!$K$8:$Z$8&gt;TODAY()))&gt;0,"Avance en semana que aún no llega",IF(AND(N(Reprogramaciones!$E$21)&gt;0,F92&gt;Reprogramaciones!$E$21),"Pasa el fin de la obra: registra una reprogramación",IF(AND(N(Reprogramaciones!$E$21)&gt;0,SUMPRODUCT(ISNUMBER(Q92:AF92)*(Reprogramaciones!$K$8:$Z$8&gt;Reprogramaciones!$E$21))&gt;0),"Avance después del fin de la obra: registra una reprogramación por atraso","OK"))))))))))))))))</f>
        <v/>
      </c>
      <c r="AM92" s="40" t="str">
        <f aca="false">IF(OR(OR(NOT(AND(ISNUMBER(E92),ISNUMBER(F92))),$J$2=""),1&gt;MAX(1,Reprogramaciones!$U$15)),"",IF(Reprogramaciones!K$12&gt;=7,"",IF(OR(BT92-N(0)&gt;0.05,N(Q92)&gt;0),ROUNDDOWN(ROUND(BT92,6),0)&amp;"%"&amp;IF(CJ92="",""," / "&amp;CJ92&amp;"%"),IF(AND(N(0)&gt;=99.95,CJ92&lt;&gt;"",N(CJ92)&lt;100),"Pend. "&amp;CJ92&amp;"%",""))))</f>
        <v/>
      </c>
      <c r="AN92" s="40" t="str">
        <f aca="false">IF(OR(OR(NOT(AND(ISNUMBER(E92),ISNUMBER(F92))),$J$2=""),2&gt;MAX(1,Reprogramaciones!$U$15)),"",IF(Reprogramaciones!L$12&gt;=7,"",IF(OR(BU92-N(BT92)&gt;0.05,N(R92)&gt;0),ROUNDDOWN(ROUND(BU92,6),0)&amp;"%"&amp;IF(CK92="",""," / "&amp;CK92&amp;"%"),IF(AND(N(BT92)&gt;=99.95,CK92&lt;&gt;"",N(CK92)&lt;100),"Pend. "&amp;CK92&amp;"%",""))))</f>
        <v/>
      </c>
      <c r="AO92" s="40" t="str">
        <f aca="false">IF(OR(OR(NOT(AND(ISNUMBER(E92),ISNUMBER(F92))),$J$2=""),3&gt;MAX(1,Reprogramaciones!$U$15)),"",IF(Reprogramaciones!M$12&gt;=7,"",IF(OR(BV92-N(BU92)&gt;0.05,N(S92)&gt;0),ROUNDDOWN(ROUND(BV92,6),0)&amp;"%"&amp;IF(CL92="",""," / "&amp;CL92&amp;"%"),IF(AND(N(BU92)&gt;=99.95,CL92&lt;&gt;"",N(CL92)&lt;100),"Pend. "&amp;CL92&amp;"%",""))))</f>
        <v/>
      </c>
      <c r="AP92" s="40" t="str">
        <f aca="false">IF(OR(OR(NOT(AND(ISNUMBER(E92),ISNUMBER(F92))),$J$2=""),4&gt;MAX(1,Reprogramaciones!$U$15)),"",IF(Reprogramaciones!N$12&gt;=7,"",IF(OR(BW92-N(BV92)&gt;0.05,N(T92)&gt;0),ROUNDDOWN(ROUND(BW92,6),0)&amp;"%"&amp;IF(CM92="",""," / "&amp;CM92&amp;"%"),IF(AND(N(BV92)&gt;=99.95,CM92&lt;&gt;"",N(CM92)&lt;100),"Pend. "&amp;CM92&amp;"%",""))))</f>
        <v/>
      </c>
      <c r="AQ92" s="40" t="str">
        <f aca="false">IF(OR(OR(NOT(AND(ISNUMBER(E92),ISNUMBER(F92))),$J$2=""),5&gt;MAX(1,Reprogramaciones!$U$15)),"",IF(Reprogramaciones!O$12&gt;=7,"",IF(OR(BX92-N(BW92)&gt;0.05,N(U92)&gt;0),ROUNDDOWN(ROUND(BX92,6),0)&amp;"%"&amp;IF(CN92="",""," / "&amp;CN92&amp;"%"),IF(AND(N(BW92)&gt;=99.95,CN92&lt;&gt;"",N(CN92)&lt;100),"Pend. "&amp;CN92&amp;"%",""))))</f>
        <v/>
      </c>
      <c r="AR92" s="40" t="str">
        <f aca="false">IF(OR(OR(NOT(AND(ISNUMBER(E92),ISNUMBER(F92))),$J$2=""),6&gt;MAX(1,Reprogramaciones!$U$15)),"",IF(Reprogramaciones!P$12&gt;=7,"",IF(OR(BY92-N(BX92)&gt;0.05,N(V92)&gt;0),ROUNDDOWN(ROUND(BY92,6),0)&amp;"%"&amp;IF(CO92="",""," / "&amp;CO92&amp;"%"),IF(AND(N(BX92)&gt;=99.95,CO92&lt;&gt;"",N(CO92)&lt;100),"Pend. "&amp;CO92&amp;"%",""))))</f>
        <v/>
      </c>
      <c r="AS92" s="40" t="str">
        <f aca="false">IF(OR(OR(NOT(AND(ISNUMBER(E92),ISNUMBER(F92))),$J$2=""),7&gt;MAX(1,Reprogramaciones!$U$15)),"",IF(Reprogramaciones!Q$12&gt;=7,"",IF(OR(BZ92-N(BY92)&gt;0.05,N(W92)&gt;0),ROUNDDOWN(ROUND(BZ92,6),0)&amp;"%"&amp;IF(CP92="",""," / "&amp;CP92&amp;"%"),IF(AND(N(BY92)&gt;=99.95,CP92&lt;&gt;"",N(CP92)&lt;100),"Pend. "&amp;CP92&amp;"%",""))))</f>
        <v/>
      </c>
      <c r="AT92" s="40" t="str">
        <f aca="false">IF(OR(OR(NOT(AND(ISNUMBER(E92),ISNUMBER(F92))),$J$2=""),8&gt;MAX(1,Reprogramaciones!$U$15)),"",IF(Reprogramaciones!R$12&gt;=7,"",IF(OR(CA92-N(BZ92)&gt;0.05,N(X92)&gt;0),ROUNDDOWN(ROUND(CA92,6),0)&amp;"%"&amp;IF(CQ92="",""," / "&amp;CQ92&amp;"%"),IF(AND(N(BZ92)&gt;=99.95,CQ92&lt;&gt;"",N(CQ92)&lt;100),"Pend. "&amp;CQ92&amp;"%",""))))</f>
        <v/>
      </c>
      <c r="AU92" s="40" t="str">
        <f aca="false">IF(OR(OR(NOT(AND(ISNUMBER(E92),ISNUMBER(F92))),$J$2=""),9&gt;MAX(1,Reprogramaciones!$U$15)),"",IF(Reprogramaciones!S$12&gt;=7,"",IF(OR(CB92-N(CA92)&gt;0.05,N(Y92)&gt;0),ROUNDDOWN(ROUND(CB92,6),0)&amp;"%"&amp;IF(CR92="",""," / "&amp;CR92&amp;"%"),IF(AND(N(CA92)&gt;=99.95,CR92&lt;&gt;"",N(CR92)&lt;100),"Pend. "&amp;CR92&amp;"%",""))))</f>
        <v/>
      </c>
      <c r="AV92" s="40" t="str">
        <f aca="false">IF(OR(OR(NOT(AND(ISNUMBER(E92),ISNUMBER(F92))),$J$2=""),10&gt;MAX(1,Reprogramaciones!$U$15)),"",IF(Reprogramaciones!T$12&gt;=7,"",IF(OR(CC92-N(CB92)&gt;0.05,N(Z92)&gt;0),ROUNDDOWN(ROUND(CC92,6),0)&amp;"%"&amp;IF(CS92="",""," / "&amp;CS92&amp;"%"),IF(AND(N(CB92)&gt;=99.95,CS92&lt;&gt;"",N(CS92)&lt;100),"Pend. "&amp;CS92&amp;"%",""))))</f>
        <v/>
      </c>
      <c r="AW92" s="40" t="str">
        <f aca="false">IF(OR(OR(NOT(AND(ISNUMBER(E92),ISNUMBER(F92))),$J$2=""),11&gt;MAX(1,Reprogramaciones!$U$15)),"",IF(Reprogramaciones!U$12&gt;=7,"",IF(OR(CD92-N(CC92)&gt;0.05,N(AA92)&gt;0),ROUNDDOWN(ROUND(CD92,6),0)&amp;"%"&amp;IF(CT92="",""," / "&amp;CT92&amp;"%"),IF(AND(N(CC92)&gt;=99.95,CT92&lt;&gt;"",N(CT92)&lt;100),"Pend. "&amp;CT92&amp;"%",""))))</f>
        <v/>
      </c>
      <c r="AX92" s="40" t="str">
        <f aca="false">IF(OR(OR(NOT(AND(ISNUMBER(E92),ISNUMBER(F92))),$J$2=""),12&gt;MAX(1,Reprogramaciones!$U$15)),"",IF(Reprogramaciones!V$12&gt;=7,"",IF(OR(CE92-N(CD92)&gt;0.05,N(AB92)&gt;0),ROUNDDOWN(ROUND(CE92,6),0)&amp;"%"&amp;IF(CU92="",""," / "&amp;CU92&amp;"%"),IF(AND(N(CD92)&gt;=99.95,CU92&lt;&gt;"",N(CU92)&lt;100),"Pend. "&amp;CU92&amp;"%",""))))</f>
        <v/>
      </c>
      <c r="AY92" s="40" t="str">
        <f aca="false">IF(OR(OR(NOT(AND(ISNUMBER(E92),ISNUMBER(F92))),$J$2=""),13&gt;MAX(1,Reprogramaciones!$U$15)),"",IF(Reprogramaciones!W$12&gt;=7,"",IF(OR(CF92-N(CE92)&gt;0.05,N(AC92)&gt;0),ROUNDDOWN(ROUND(CF92,6),0)&amp;"%"&amp;IF(CV92="",""," / "&amp;CV92&amp;"%"),IF(AND(N(CE92)&gt;=99.95,CV92&lt;&gt;"",N(CV92)&lt;100),"Pend. "&amp;CV92&amp;"%",""))))</f>
        <v/>
      </c>
      <c r="AZ92" s="40" t="str">
        <f aca="false">IF(OR(OR(NOT(AND(ISNUMBER(E92),ISNUMBER(F92))),$J$2=""),14&gt;MAX(1,Reprogramaciones!$U$15)),"",IF(Reprogramaciones!X$12&gt;=7,"",IF(OR(CG92-N(CF92)&gt;0.05,N(AD92)&gt;0),ROUNDDOWN(ROUND(CG92,6),0)&amp;"%"&amp;IF(CW92="",""," / "&amp;CW92&amp;"%"),IF(AND(N(CF92)&gt;=99.95,CW92&lt;&gt;"",N(CW92)&lt;100),"Pend. "&amp;CW92&amp;"%",""))))</f>
        <v/>
      </c>
      <c r="BA92" s="40" t="str">
        <f aca="false">IF(OR(OR(NOT(AND(ISNUMBER(E92),ISNUMBER(F92))),$J$2=""),15&gt;MAX(1,Reprogramaciones!$U$15)),"",IF(Reprogramaciones!Y$12&gt;=7,"",IF(OR(CH92-N(CG92)&gt;0.05,N(AE92)&gt;0),ROUNDDOWN(ROUND(CH92,6),0)&amp;"%"&amp;IF(CX92="",""," / "&amp;CX92&amp;"%"),IF(AND(N(CG92)&gt;=99.95,CX92&lt;&gt;"",N(CX92)&lt;100),"Pend. "&amp;CX92&amp;"%",""))))</f>
        <v/>
      </c>
      <c r="BB92" s="40" t="str">
        <f aca="false">IF(OR(OR(NOT(AND(ISNUMBER(E92),ISNUMBER(F92))),$J$2=""),16&gt;MAX(1,Reprogramaciones!$U$15)),"",IF(Reprogramaciones!Z$12&gt;=7,"",IF(OR(CI92-N(CH92)&gt;0.05,N(AF92)&gt;0),ROUNDDOWN(ROUND(CI92,6),0)&amp;"%"&amp;IF(CY92="",""," / "&amp;CY92&amp;"%"),IF(AND(N(CH92)&gt;=99.95,CY92&lt;&gt;"",N(CY92)&lt;100),"Pend. "&amp;CY92&amp;"%",""))))</f>
        <v/>
      </c>
      <c r="BC92" s="31" t="n">
        <f aca="false">IF(AND(ISNUMBER(E92),ISNUMBER(F92)),MAX(1,NETWORKDAYS.INTL(E92,F92,11)),0)</f>
        <v>0</v>
      </c>
      <c r="BD92" s="1" t="str">
        <f aca="false">IF(OR(NOT(AND(ISNUMBER(E92),ISNUMBER(F92))),$J$2=""),"",MIN(100,ROUND(SUM($G92:G92),1)))</f>
        <v/>
      </c>
      <c r="BE92" s="1" t="str">
        <f aca="false">IF(OR(NOT(AND(ISNUMBER(E92),ISNUMBER(F92))),$J$2=""),"",MIN(100,ROUND(SUM($G92:H92),1)))</f>
        <v/>
      </c>
      <c r="BF92" s="1" t="str">
        <f aca="false">IF(OR(NOT(AND(ISNUMBER(E92),ISNUMBER(F92))),$J$2=""),"",MIN(100,ROUND(SUM($G92:I92),1)))</f>
        <v/>
      </c>
      <c r="BG92" s="1" t="str">
        <f aca="false">IF(OR(NOT(AND(ISNUMBER(E92),ISNUMBER(F92))),$J$2=""),"",MIN(100,ROUND(SUM($G92:J92),1)))</f>
        <v/>
      </c>
      <c r="BH92" s="1" t="str">
        <f aca="false">IF(OR(NOT(AND(ISNUMBER(E92),ISNUMBER(F92))),$J$2=""),"",MIN(100,ROUND(SUM($G92:K92),1)))</f>
        <v/>
      </c>
      <c r="BI92" s="1" t="str">
        <f aca="false">IF(OR(NOT(AND(ISNUMBER(E92),ISNUMBER(F92))),$J$2=""),"",MIN(100,ROUND(SUM($G92:L92),1)))</f>
        <v/>
      </c>
      <c r="BJ92" s="1" t="str">
        <f aca="false">IF(OR(NOT(AND(ISNUMBER(E92),ISNUMBER(F92))),$J$2=""),"",MIN(100,ROUND(SUM($G92:M92),1)))</f>
        <v/>
      </c>
      <c r="BK92" s="1" t="str">
        <f aca="false">IF(OR(NOT(AND(ISNUMBER(E92),ISNUMBER(F92))),$J$2=""),"",MIN(100,ROUND(SUM($G92:N92),1)))</f>
        <v/>
      </c>
      <c r="BL92" s="1" t="str">
        <f aca="false">IF(OR(NOT(AND(ISNUMBER(E92),ISNUMBER(F92))),$J$2=""),"",MIN(100,ROUND(SUM($G92:O92),1)))</f>
        <v/>
      </c>
      <c r="BM92" s="1" t="str">
        <f aca="false">IF(OR(NOT(AND(ISNUMBER(E92),ISNUMBER(F92))),$J$2=""),"",MIN(100,ROUND(SUM($G92:P92),1)))</f>
        <v/>
      </c>
      <c r="BN92" s="1" t="str">
        <f aca="false">IF(OR(NOT(AND(ISNUMBER(E92),ISNUMBER(F92))),$J$2=""),"",MIN(100,ROUND(SUM($G92:P92),1)))</f>
        <v/>
      </c>
      <c r="BO92" s="1" t="str">
        <f aca="false">IF(OR(NOT(AND(ISNUMBER(E92),ISNUMBER(F92))),$J$2=""),"",MIN(100,ROUND(SUM($G92:P92),1)))</f>
        <v/>
      </c>
      <c r="BP92" s="1" t="str">
        <f aca="false">IF(OR(NOT(AND(ISNUMBER(E92),ISNUMBER(F92))),$J$2=""),"",MIN(100,ROUND(SUM($G92:P92),1)))</f>
        <v/>
      </c>
      <c r="BQ92" s="1" t="str">
        <f aca="false">IF(OR(NOT(AND(ISNUMBER(E92),ISNUMBER(F92))),$J$2=""),"",MIN(100,ROUND(SUM($G92:P92),1)))</f>
        <v/>
      </c>
      <c r="BR92" s="1" t="str">
        <f aca="false">IF(OR(NOT(AND(ISNUMBER(E92),ISNUMBER(F92))),$J$2=""),"",MIN(100,ROUND(SUM($G92:P92),1)))</f>
        <v/>
      </c>
      <c r="BS92" s="1" t="str">
        <f aca="false">IF(OR(NOT(AND(ISNUMBER(E92),ISNUMBER(F92))),$J$2=""),"",MIN(100,ROUND(SUM($G92:P92),1)))</f>
        <v/>
      </c>
      <c r="BT92" s="1" t="str">
        <f aca="false">IF(OR(NOT(AND(ISNUMBER(E92),ISNUMBER(F92))),$J$2=""),"",IF(Reprogramaciones!K$13&lt;Reprogramaciones!$T$15,0,IF(Reprogramaciones!K$14&gt;10,MIN(100,SUM($G92:$P92)),MIN(100,SUMPRODUCT((COLUMN($G92:$P92)-COLUMN($G92)+1&lt;Reprogramaciones!K$14)*$G92:$P92)+N(INDEX($G92:$P92,1,Reprogramaciones!K$14))*IF(Reprogramaciones!K$13&gt;=(Reprogramaciones!$T$15+7*(Reprogramaciones!K$14-1))+6,1,IF(MAX(0,NETWORKDAYS.INTL(MAX(E92,(Reprogramaciones!$T$15+7*(Reprogramaciones!K$14-1))),MIN(F92,(Reprogramaciones!$T$15+7*(Reprogramaciones!K$14-1))+6),11))=0,0,MAX(0,NETWORKDAYS.INTL(MAX(E92,(Reprogramaciones!$T$15+7*(Reprogramaciones!K$14-1))),MIN(F92,Reprogramaciones!K$13),11))/MAX(0,NETWORKDAYS.INTL(MAX(E92,(Reprogramaciones!$T$15+7*(Reprogramaciones!K$14-1))),MIN(F92,(Reprogramaciones!$T$15+7*(Reprogramaciones!K$14-1))+6),11))))))))</f>
        <v/>
      </c>
      <c r="BU92" s="1" t="str">
        <f aca="false">IF(OR(NOT(AND(ISNUMBER(E92),ISNUMBER(F92))),$J$2=""),"",IF(Reprogramaciones!L$13&lt;Reprogramaciones!$T$15,0,IF(Reprogramaciones!L$14&gt;10,MIN(100,SUM($G92:$P92)),MIN(100,SUMPRODUCT((COLUMN($G92:$P92)-COLUMN($G92)+1&lt;Reprogramaciones!L$14)*$G92:$P92)+N(INDEX($G92:$P92,1,Reprogramaciones!L$14))*IF(Reprogramaciones!L$13&gt;=(Reprogramaciones!$T$15+7*(Reprogramaciones!L$14-1))+6,1,IF(MAX(0,NETWORKDAYS.INTL(MAX(E92,(Reprogramaciones!$T$15+7*(Reprogramaciones!L$14-1))),MIN(F92,(Reprogramaciones!$T$15+7*(Reprogramaciones!L$14-1))+6),11))=0,0,MAX(0,NETWORKDAYS.INTL(MAX(E92,(Reprogramaciones!$T$15+7*(Reprogramaciones!L$14-1))),MIN(F92,Reprogramaciones!L$13),11))/MAX(0,NETWORKDAYS.INTL(MAX(E92,(Reprogramaciones!$T$15+7*(Reprogramaciones!L$14-1))),MIN(F92,(Reprogramaciones!$T$15+7*(Reprogramaciones!L$14-1))+6),11))))))))</f>
        <v/>
      </c>
      <c r="BV92" s="1" t="str">
        <f aca="false">IF(OR(NOT(AND(ISNUMBER(E92),ISNUMBER(F92))),$J$2=""),"",IF(Reprogramaciones!M$13&lt;Reprogramaciones!$T$15,0,IF(Reprogramaciones!M$14&gt;10,MIN(100,SUM($G92:$P92)),MIN(100,SUMPRODUCT((COLUMN($G92:$P92)-COLUMN($G92)+1&lt;Reprogramaciones!M$14)*$G92:$P92)+N(INDEX($G92:$P92,1,Reprogramaciones!M$14))*IF(Reprogramaciones!M$13&gt;=(Reprogramaciones!$T$15+7*(Reprogramaciones!M$14-1))+6,1,IF(MAX(0,NETWORKDAYS.INTL(MAX(E92,(Reprogramaciones!$T$15+7*(Reprogramaciones!M$14-1))),MIN(F92,(Reprogramaciones!$T$15+7*(Reprogramaciones!M$14-1))+6),11))=0,0,MAX(0,NETWORKDAYS.INTL(MAX(E92,(Reprogramaciones!$T$15+7*(Reprogramaciones!M$14-1))),MIN(F92,Reprogramaciones!M$13),11))/MAX(0,NETWORKDAYS.INTL(MAX(E92,(Reprogramaciones!$T$15+7*(Reprogramaciones!M$14-1))),MIN(F92,(Reprogramaciones!$T$15+7*(Reprogramaciones!M$14-1))+6),11))))))))</f>
        <v/>
      </c>
      <c r="BW92" s="1" t="str">
        <f aca="false">IF(OR(NOT(AND(ISNUMBER(E92),ISNUMBER(F92))),$J$2=""),"",IF(Reprogramaciones!N$13&lt;Reprogramaciones!$T$15,0,IF(Reprogramaciones!N$14&gt;10,MIN(100,SUM($G92:$P92)),MIN(100,SUMPRODUCT((COLUMN($G92:$P92)-COLUMN($G92)+1&lt;Reprogramaciones!N$14)*$G92:$P92)+N(INDEX($G92:$P92,1,Reprogramaciones!N$14))*IF(Reprogramaciones!N$13&gt;=(Reprogramaciones!$T$15+7*(Reprogramaciones!N$14-1))+6,1,IF(MAX(0,NETWORKDAYS.INTL(MAX(E92,(Reprogramaciones!$T$15+7*(Reprogramaciones!N$14-1))),MIN(F92,(Reprogramaciones!$T$15+7*(Reprogramaciones!N$14-1))+6),11))=0,0,MAX(0,NETWORKDAYS.INTL(MAX(E92,(Reprogramaciones!$T$15+7*(Reprogramaciones!N$14-1))),MIN(F92,Reprogramaciones!N$13),11))/MAX(0,NETWORKDAYS.INTL(MAX(E92,(Reprogramaciones!$T$15+7*(Reprogramaciones!N$14-1))),MIN(F92,(Reprogramaciones!$T$15+7*(Reprogramaciones!N$14-1))+6),11))))))))</f>
        <v/>
      </c>
      <c r="BX92" s="1" t="str">
        <f aca="false">IF(OR(NOT(AND(ISNUMBER(E92),ISNUMBER(F92))),$J$2=""),"",IF(Reprogramaciones!O$13&lt;Reprogramaciones!$T$15,0,IF(Reprogramaciones!O$14&gt;10,MIN(100,SUM($G92:$P92)),MIN(100,SUMPRODUCT((COLUMN($G92:$P92)-COLUMN($G92)+1&lt;Reprogramaciones!O$14)*$G92:$P92)+N(INDEX($G92:$P92,1,Reprogramaciones!O$14))*IF(Reprogramaciones!O$13&gt;=(Reprogramaciones!$T$15+7*(Reprogramaciones!O$14-1))+6,1,IF(MAX(0,NETWORKDAYS.INTL(MAX(E92,(Reprogramaciones!$T$15+7*(Reprogramaciones!O$14-1))),MIN(F92,(Reprogramaciones!$T$15+7*(Reprogramaciones!O$14-1))+6),11))=0,0,MAX(0,NETWORKDAYS.INTL(MAX(E92,(Reprogramaciones!$T$15+7*(Reprogramaciones!O$14-1))),MIN(F92,Reprogramaciones!O$13),11))/MAX(0,NETWORKDAYS.INTL(MAX(E92,(Reprogramaciones!$T$15+7*(Reprogramaciones!O$14-1))),MIN(F92,(Reprogramaciones!$T$15+7*(Reprogramaciones!O$14-1))+6),11))))))))</f>
        <v/>
      </c>
      <c r="BY92" s="1" t="str">
        <f aca="false">IF(OR(NOT(AND(ISNUMBER(E92),ISNUMBER(F92))),$J$2=""),"",IF(Reprogramaciones!P$13&lt;Reprogramaciones!$T$15,0,IF(Reprogramaciones!P$14&gt;10,MIN(100,SUM($G92:$P92)),MIN(100,SUMPRODUCT((COLUMN($G92:$P92)-COLUMN($G92)+1&lt;Reprogramaciones!P$14)*$G92:$P92)+N(INDEX($G92:$P92,1,Reprogramaciones!P$14))*IF(Reprogramaciones!P$13&gt;=(Reprogramaciones!$T$15+7*(Reprogramaciones!P$14-1))+6,1,IF(MAX(0,NETWORKDAYS.INTL(MAX(E92,(Reprogramaciones!$T$15+7*(Reprogramaciones!P$14-1))),MIN(F92,(Reprogramaciones!$T$15+7*(Reprogramaciones!P$14-1))+6),11))=0,0,MAX(0,NETWORKDAYS.INTL(MAX(E92,(Reprogramaciones!$T$15+7*(Reprogramaciones!P$14-1))),MIN(F92,Reprogramaciones!P$13),11))/MAX(0,NETWORKDAYS.INTL(MAX(E92,(Reprogramaciones!$T$15+7*(Reprogramaciones!P$14-1))),MIN(F92,(Reprogramaciones!$T$15+7*(Reprogramaciones!P$14-1))+6),11))))))))</f>
        <v/>
      </c>
      <c r="BZ92" s="1" t="str">
        <f aca="false">IF(OR(NOT(AND(ISNUMBER(E92),ISNUMBER(F92))),$J$2=""),"",IF(Reprogramaciones!Q$13&lt;Reprogramaciones!$T$15,0,IF(Reprogramaciones!Q$14&gt;10,MIN(100,SUM($G92:$P92)),MIN(100,SUMPRODUCT((COLUMN($G92:$P92)-COLUMN($G92)+1&lt;Reprogramaciones!Q$14)*$G92:$P92)+N(INDEX($G92:$P92,1,Reprogramaciones!Q$14))*IF(Reprogramaciones!Q$13&gt;=(Reprogramaciones!$T$15+7*(Reprogramaciones!Q$14-1))+6,1,IF(MAX(0,NETWORKDAYS.INTL(MAX(E92,(Reprogramaciones!$T$15+7*(Reprogramaciones!Q$14-1))),MIN(F92,(Reprogramaciones!$T$15+7*(Reprogramaciones!Q$14-1))+6),11))=0,0,MAX(0,NETWORKDAYS.INTL(MAX(E92,(Reprogramaciones!$T$15+7*(Reprogramaciones!Q$14-1))),MIN(F92,Reprogramaciones!Q$13),11))/MAX(0,NETWORKDAYS.INTL(MAX(E92,(Reprogramaciones!$T$15+7*(Reprogramaciones!Q$14-1))),MIN(F92,(Reprogramaciones!$T$15+7*(Reprogramaciones!Q$14-1))+6),11))))))))</f>
        <v/>
      </c>
      <c r="CA92" s="1" t="str">
        <f aca="false">IF(OR(NOT(AND(ISNUMBER(E92),ISNUMBER(F92))),$J$2=""),"",IF(Reprogramaciones!R$13&lt;Reprogramaciones!$T$15,0,IF(Reprogramaciones!R$14&gt;10,MIN(100,SUM($G92:$P92)),MIN(100,SUMPRODUCT((COLUMN($G92:$P92)-COLUMN($G92)+1&lt;Reprogramaciones!R$14)*$G92:$P92)+N(INDEX($G92:$P92,1,Reprogramaciones!R$14))*IF(Reprogramaciones!R$13&gt;=(Reprogramaciones!$T$15+7*(Reprogramaciones!R$14-1))+6,1,IF(MAX(0,NETWORKDAYS.INTL(MAX(E92,(Reprogramaciones!$T$15+7*(Reprogramaciones!R$14-1))),MIN(F92,(Reprogramaciones!$T$15+7*(Reprogramaciones!R$14-1))+6),11))=0,0,MAX(0,NETWORKDAYS.INTL(MAX(E92,(Reprogramaciones!$T$15+7*(Reprogramaciones!R$14-1))),MIN(F92,Reprogramaciones!R$13),11))/MAX(0,NETWORKDAYS.INTL(MAX(E92,(Reprogramaciones!$T$15+7*(Reprogramaciones!R$14-1))),MIN(F92,(Reprogramaciones!$T$15+7*(Reprogramaciones!R$14-1))+6),11))))))))</f>
        <v/>
      </c>
      <c r="CB92" s="1" t="str">
        <f aca="false">IF(OR(NOT(AND(ISNUMBER(E92),ISNUMBER(F92))),$J$2=""),"",IF(Reprogramaciones!S$13&lt;Reprogramaciones!$T$15,0,IF(Reprogramaciones!S$14&gt;10,MIN(100,SUM($G92:$P92)),MIN(100,SUMPRODUCT((COLUMN($G92:$P92)-COLUMN($G92)+1&lt;Reprogramaciones!S$14)*$G92:$P92)+N(INDEX($G92:$P92,1,Reprogramaciones!S$14))*IF(Reprogramaciones!S$13&gt;=(Reprogramaciones!$T$15+7*(Reprogramaciones!S$14-1))+6,1,IF(MAX(0,NETWORKDAYS.INTL(MAX(E92,(Reprogramaciones!$T$15+7*(Reprogramaciones!S$14-1))),MIN(F92,(Reprogramaciones!$T$15+7*(Reprogramaciones!S$14-1))+6),11))=0,0,MAX(0,NETWORKDAYS.INTL(MAX(E92,(Reprogramaciones!$T$15+7*(Reprogramaciones!S$14-1))),MIN(F92,Reprogramaciones!S$13),11))/MAX(0,NETWORKDAYS.INTL(MAX(E92,(Reprogramaciones!$T$15+7*(Reprogramaciones!S$14-1))),MIN(F92,(Reprogramaciones!$T$15+7*(Reprogramaciones!S$14-1))+6),11))))))))</f>
        <v/>
      </c>
      <c r="CC92" s="1" t="str">
        <f aca="false">IF(OR(NOT(AND(ISNUMBER(E92),ISNUMBER(F92))),$J$2=""),"",IF(Reprogramaciones!T$13&lt;Reprogramaciones!$T$15,0,IF(Reprogramaciones!T$14&gt;10,MIN(100,SUM($G92:$P92)),MIN(100,SUMPRODUCT((COLUMN($G92:$P92)-COLUMN($G92)+1&lt;Reprogramaciones!T$14)*$G92:$P92)+N(INDEX($G92:$P92,1,Reprogramaciones!T$14))*IF(Reprogramaciones!T$13&gt;=(Reprogramaciones!$T$15+7*(Reprogramaciones!T$14-1))+6,1,IF(MAX(0,NETWORKDAYS.INTL(MAX(E92,(Reprogramaciones!$T$15+7*(Reprogramaciones!T$14-1))),MIN(F92,(Reprogramaciones!$T$15+7*(Reprogramaciones!T$14-1))+6),11))=0,0,MAX(0,NETWORKDAYS.INTL(MAX(E92,(Reprogramaciones!$T$15+7*(Reprogramaciones!T$14-1))),MIN(F92,Reprogramaciones!T$13),11))/MAX(0,NETWORKDAYS.INTL(MAX(E92,(Reprogramaciones!$T$15+7*(Reprogramaciones!T$14-1))),MIN(F92,(Reprogramaciones!$T$15+7*(Reprogramaciones!T$14-1))+6),11))))))))</f>
        <v/>
      </c>
      <c r="CD92" s="1" t="str">
        <f aca="false">IF(OR(NOT(AND(ISNUMBER(E92),ISNUMBER(F92))),$J$2=""),"",IF(Reprogramaciones!U$13&lt;Reprogramaciones!$T$15,0,IF(Reprogramaciones!U$14&gt;10,MIN(100,SUM($G92:$P92)),MIN(100,SUMPRODUCT((COLUMN($G92:$P92)-COLUMN($G92)+1&lt;Reprogramaciones!U$14)*$G92:$P92)+N(INDEX($G92:$P92,1,Reprogramaciones!U$14))*IF(Reprogramaciones!U$13&gt;=(Reprogramaciones!$T$15+7*(Reprogramaciones!U$14-1))+6,1,IF(MAX(0,NETWORKDAYS.INTL(MAX(E92,(Reprogramaciones!$T$15+7*(Reprogramaciones!U$14-1))),MIN(F92,(Reprogramaciones!$T$15+7*(Reprogramaciones!U$14-1))+6),11))=0,0,MAX(0,NETWORKDAYS.INTL(MAX(E92,(Reprogramaciones!$T$15+7*(Reprogramaciones!U$14-1))),MIN(F92,Reprogramaciones!U$13),11))/MAX(0,NETWORKDAYS.INTL(MAX(E92,(Reprogramaciones!$T$15+7*(Reprogramaciones!U$14-1))),MIN(F92,(Reprogramaciones!$T$15+7*(Reprogramaciones!U$14-1))+6),11))))))))</f>
        <v/>
      </c>
      <c r="CE92" s="1" t="str">
        <f aca="false">IF(OR(NOT(AND(ISNUMBER(E92),ISNUMBER(F92))),$J$2=""),"",IF(Reprogramaciones!V$13&lt;Reprogramaciones!$T$15,0,IF(Reprogramaciones!V$14&gt;10,MIN(100,SUM($G92:$P92)),MIN(100,SUMPRODUCT((COLUMN($G92:$P92)-COLUMN($G92)+1&lt;Reprogramaciones!V$14)*$G92:$P92)+N(INDEX($G92:$P92,1,Reprogramaciones!V$14))*IF(Reprogramaciones!V$13&gt;=(Reprogramaciones!$T$15+7*(Reprogramaciones!V$14-1))+6,1,IF(MAX(0,NETWORKDAYS.INTL(MAX(E92,(Reprogramaciones!$T$15+7*(Reprogramaciones!V$14-1))),MIN(F92,(Reprogramaciones!$T$15+7*(Reprogramaciones!V$14-1))+6),11))=0,0,MAX(0,NETWORKDAYS.INTL(MAX(E92,(Reprogramaciones!$T$15+7*(Reprogramaciones!V$14-1))),MIN(F92,Reprogramaciones!V$13),11))/MAX(0,NETWORKDAYS.INTL(MAX(E92,(Reprogramaciones!$T$15+7*(Reprogramaciones!V$14-1))),MIN(F92,(Reprogramaciones!$T$15+7*(Reprogramaciones!V$14-1))+6),11))))))))</f>
        <v/>
      </c>
      <c r="CF92" s="1" t="str">
        <f aca="false">IF(OR(NOT(AND(ISNUMBER(E92),ISNUMBER(F92))),$J$2=""),"",IF(Reprogramaciones!W$13&lt;Reprogramaciones!$T$15,0,IF(Reprogramaciones!W$14&gt;10,MIN(100,SUM($G92:$P92)),MIN(100,SUMPRODUCT((COLUMN($G92:$P92)-COLUMN($G92)+1&lt;Reprogramaciones!W$14)*$G92:$P92)+N(INDEX($G92:$P92,1,Reprogramaciones!W$14))*IF(Reprogramaciones!W$13&gt;=(Reprogramaciones!$T$15+7*(Reprogramaciones!W$14-1))+6,1,IF(MAX(0,NETWORKDAYS.INTL(MAX(E92,(Reprogramaciones!$T$15+7*(Reprogramaciones!W$14-1))),MIN(F92,(Reprogramaciones!$T$15+7*(Reprogramaciones!W$14-1))+6),11))=0,0,MAX(0,NETWORKDAYS.INTL(MAX(E92,(Reprogramaciones!$T$15+7*(Reprogramaciones!W$14-1))),MIN(F92,Reprogramaciones!W$13),11))/MAX(0,NETWORKDAYS.INTL(MAX(E92,(Reprogramaciones!$T$15+7*(Reprogramaciones!W$14-1))),MIN(F92,(Reprogramaciones!$T$15+7*(Reprogramaciones!W$14-1))+6),11))))))))</f>
        <v/>
      </c>
      <c r="CG92" s="1" t="str">
        <f aca="false">IF(OR(NOT(AND(ISNUMBER(E92),ISNUMBER(F92))),$J$2=""),"",IF(Reprogramaciones!X$13&lt;Reprogramaciones!$T$15,0,IF(Reprogramaciones!X$14&gt;10,MIN(100,SUM($G92:$P92)),MIN(100,SUMPRODUCT((COLUMN($G92:$P92)-COLUMN($G92)+1&lt;Reprogramaciones!X$14)*$G92:$P92)+N(INDEX($G92:$P92,1,Reprogramaciones!X$14))*IF(Reprogramaciones!X$13&gt;=(Reprogramaciones!$T$15+7*(Reprogramaciones!X$14-1))+6,1,IF(MAX(0,NETWORKDAYS.INTL(MAX(E92,(Reprogramaciones!$T$15+7*(Reprogramaciones!X$14-1))),MIN(F92,(Reprogramaciones!$T$15+7*(Reprogramaciones!X$14-1))+6),11))=0,0,MAX(0,NETWORKDAYS.INTL(MAX(E92,(Reprogramaciones!$T$15+7*(Reprogramaciones!X$14-1))),MIN(F92,Reprogramaciones!X$13),11))/MAX(0,NETWORKDAYS.INTL(MAX(E92,(Reprogramaciones!$T$15+7*(Reprogramaciones!X$14-1))),MIN(F92,(Reprogramaciones!$T$15+7*(Reprogramaciones!X$14-1))+6),11))))))))</f>
        <v/>
      </c>
      <c r="CH92" s="1" t="str">
        <f aca="false">IF(OR(NOT(AND(ISNUMBER(E92),ISNUMBER(F92))),$J$2=""),"",IF(Reprogramaciones!Y$13&lt;Reprogramaciones!$T$15,0,IF(Reprogramaciones!Y$14&gt;10,MIN(100,SUM($G92:$P92)),MIN(100,SUMPRODUCT((COLUMN($G92:$P92)-COLUMN($G92)+1&lt;Reprogramaciones!Y$14)*$G92:$P92)+N(INDEX($G92:$P92,1,Reprogramaciones!Y$14))*IF(Reprogramaciones!Y$13&gt;=(Reprogramaciones!$T$15+7*(Reprogramaciones!Y$14-1))+6,1,IF(MAX(0,NETWORKDAYS.INTL(MAX(E92,(Reprogramaciones!$T$15+7*(Reprogramaciones!Y$14-1))),MIN(F92,(Reprogramaciones!$T$15+7*(Reprogramaciones!Y$14-1))+6),11))=0,0,MAX(0,NETWORKDAYS.INTL(MAX(E92,(Reprogramaciones!$T$15+7*(Reprogramaciones!Y$14-1))),MIN(F92,Reprogramaciones!Y$13),11))/MAX(0,NETWORKDAYS.INTL(MAX(E92,(Reprogramaciones!$T$15+7*(Reprogramaciones!Y$14-1))),MIN(F92,(Reprogramaciones!$T$15+7*(Reprogramaciones!Y$14-1))+6),11))))))))</f>
        <v/>
      </c>
      <c r="CI92" s="1" t="str">
        <f aca="false">IF(OR(NOT(AND(ISNUMBER(E92),ISNUMBER(F92))),$J$2=""),"",IF(Reprogramaciones!Z$13&lt;Reprogramaciones!$T$15,0,IF(Reprogramaciones!Z$14&gt;10,MIN(100,SUM($G92:$P92)),MIN(100,SUMPRODUCT((COLUMN($G92:$P92)-COLUMN($G92)+1&lt;Reprogramaciones!Z$14)*$G92:$P92)+N(INDEX($G92:$P92,1,Reprogramaciones!Z$14))*IF(Reprogramaciones!Z$13&gt;=(Reprogramaciones!$T$15+7*(Reprogramaciones!Z$14-1))+6,1,IF(MAX(0,NETWORKDAYS.INTL(MAX(E92,(Reprogramaciones!$T$15+7*(Reprogramaciones!Z$14-1))),MIN(F92,(Reprogramaciones!$T$15+7*(Reprogramaciones!Z$14-1))+6),11))=0,0,MAX(0,NETWORKDAYS.INTL(MAX(E92,(Reprogramaciones!$T$15+7*(Reprogramaciones!Z$14-1))),MIN(F92,Reprogramaciones!Z$13),11))/MAX(0,NETWORKDAYS.INTL(MAX(E92,(Reprogramaciones!$T$15+7*(Reprogramaciones!Z$14-1))),MIN(F92,(Reprogramaciones!$T$15+7*(Reprogramaciones!Z$14-1))+6),11))))))))</f>
        <v/>
      </c>
      <c r="CJ92" s="1" t="str">
        <f aca="false">IF(OR(OR(NOT(AND(ISNUMBER(E92),ISNUMBER(F92))),$J$2=""),1&gt;Reprogramaciones!$K$16),"",IF(ROUND(SUM($Q92:Q92),1)&gt;=99.5,100,MIN(100,ROUND(SUM($Q92:Q92),1))))</f>
        <v/>
      </c>
      <c r="CK92" s="1" t="str">
        <f aca="false">IF(OR(OR(NOT(AND(ISNUMBER(E92),ISNUMBER(F92))),$J$2=""),2&gt;Reprogramaciones!$K$16),"",IF(ROUND(SUM($Q92:R92),1)&gt;=99.5,100,MIN(100,ROUND(SUM($Q92:R92),1))))</f>
        <v/>
      </c>
      <c r="CL92" s="1" t="str">
        <f aca="false">IF(OR(OR(NOT(AND(ISNUMBER(E92),ISNUMBER(F92))),$J$2=""),3&gt;Reprogramaciones!$K$16),"",IF(ROUND(SUM($Q92:S92),1)&gt;=99.5,100,MIN(100,ROUND(SUM($Q92:S92),1))))</f>
        <v/>
      </c>
      <c r="CM92" s="1" t="str">
        <f aca="false">IF(OR(OR(NOT(AND(ISNUMBER(E92),ISNUMBER(F92))),$J$2=""),4&gt;Reprogramaciones!$K$16),"",IF(ROUND(SUM($Q92:T92),1)&gt;=99.5,100,MIN(100,ROUND(SUM($Q92:T92),1))))</f>
        <v/>
      </c>
      <c r="CN92" s="1" t="str">
        <f aca="false">IF(OR(OR(NOT(AND(ISNUMBER(E92),ISNUMBER(F92))),$J$2=""),5&gt;Reprogramaciones!$K$16),"",IF(ROUND(SUM($Q92:U92),1)&gt;=99.5,100,MIN(100,ROUND(SUM($Q92:U92),1))))</f>
        <v/>
      </c>
      <c r="CO92" s="1" t="str">
        <f aca="false">IF(OR(OR(NOT(AND(ISNUMBER(E92),ISNUMBER(F92))),$J$2=""),6&gt;Reprogramaciones!$K$16),"",IF(ROUND(SUM($Q92:V92),1)&gt;=99.5,100,MIN(100,ROUND(SUM($Q92:V92),1))))</f>
        <v/>
      </c>
      <c r="CP92" s="1" t="str">
        <f aca="false">IF(OR(OR(NOT(AND(ISNUMBER(E92),ISNUMBER(F92))),$J$2=""),7&gt;Reprogramaciones!$K$16),"",IF(ROUND(SUM($Q92:W92),1)&gt;=99.5,100,MIN(100,ROUND(SUM($Q92:W92),1))))</f>
        <v/>
      </c>
      <c r="CQ92" s="1" t="str">
        <f aca="false">IF(OR(OR(NOT(AND(ISNUMBER(E92),ISNUMBER(F92))),$J$2=""),8&gt;Reprogramaciones!$K$16),"",IF(ROUND(SUM($Q92:X92),1)&gt;=99.5,100,MIN(100,ROUND(SUM($Q92:X92),1))))</f>
        <v/>
      </c>
      <c r="CR92" s="1" t="str">
        <f aca="false">IF(OR(OR(NOT(AND(ISNUMBER(E92),ISNUMBER(F92))),$J$2=""),9&gt;Reprogramaciones!$K$16),"",IF(ROUND(SUM($Q92:Y92),1)&gt;=99.5,100,MIN(100,ROUND(SUM($Q92:Y92),1))))</f>
        <v/>
      </c>
      <c r="CS92" s="1" t="str">
        <f aca="false">IF(OR(OR(NOT(AND(ISNUMBER(E92),ISNUMBER(F92))),$J$2=""),10&gt;Reprogramaciones!$K$16),"",IF(ROUND(SUM($Q92:Z92),1)&gt;=99.5,100,MIN(100,ROUND(SUM($Q92:Z92),1))))</f>
        <v/>
      </c>
      <c r="CT92" s="1" t="str">
        <f aca="false">IF(OR(OR(NOT(AND(ISNUMBER(E92),ISNUMBER(F92))),$J$2=""),11&gt;Reprogramaciones!$K$16),"",IF(ROUND(SUM($Q92:AA92),1)&gt;=99.5,100,MIN(100,ROUND(SUM($Q92:AA92),1))))</f>
        <v/>
      </c>
      <c r="CU92" s="1" t="str">
        <f aca="false">IF(OR(OR(NOT(AND(ISNUMBER(E92),ISNUMBER(F92))),$J$2=""),12&gt;Reprogramaciones!$K$16),"",IF(ROUND(SUM($Q92:AB92),1)&gt;=99.5,100,MIN(100,ROUND(SUM($Q92:AB92),1))))</f>
        <v/>
      </c>
      <c r="CV92" s="1" t="str">
        <f aca="false">IF(OR(OR(NOT(AND(ISNUMBER(E92),ISNUMBER(F92))),$J$2=""),13&gt;Reprogramaciones!$K$16),"",IF(ROUND(SUM($Q92:AC92),1)&gt;=99.5,100,MIN(100,ROUND(SUM($Q92:AC92),1))))</f>
        <v/>
      </c>
      <c r="CW92" s="1" t="str">
        <f aca="false">IF(OR(OR(NOT(AND(ISNUMBER(E92),ISNUMBER(F92))),$J$2=""),14&gt;Reprogramaciones!$K$16),"",IF(ROUND(SUM($Q92:AD92),1)&gt;=99.5,100,MIN(100,ROUND(SUM($Q92:AD92),1))))</f>
        <v/>
      </c>
      <c r="CX92" s="1" t="str">
        <f aca="false">IF(OR(OR(NOT(AND(ISNUMBER(E92),ISNUMBER(F92))),$J$2=""),15&gt;Reprogramaciones!$K$16),"",IF(ROUND(SUM($Q92:AE92),1)&gt;=99.5,100,MIN(100,ROUND(SUM($Q92:AE92),1))))</f>
        <v/>
      </c>
      <c r="CY92" s="1" t="str">
        <f aca="false">IF(OR(OR(NOT(AND(ISNUMBER(E92),ISNUMBER(F92))),$J$2=""),16&gt;Reprogramaciones!$K$16),"",IF(ROUND(SUM($Q92:AF92),1)&gt;=99.5,100,MIN(100,ROUND(SUM($Q92:AF92),1))))</f>
        <v/>
      </c>
      <c r="CZ92" s="1" t="str">
        <f aca="false">IF(D92&lt;&gt;"",D92,IF(B92&lt;&gt;"","Contractual",CZ91))</f>
        <v>Contractual</v>
      </c>
      <c r="DA92" s="1" t="str">
        <f aca="false">IF(OR(NOT(AND(ISNUMBER(E92),ISNUMBER(F92))),$J$2=""),"",IF(Reprogramaciones!$Q$15&lt;Reprogramaciones!$T$15,0,IF(Reprogramaciones!$S$15&gt;10,MIN(100,SUM($G92:$P92)),MIN(100,SUMPRODUCT((COLUMN($G92:$P92)-COLUMN($G92)+1&lt;Reprogramaciones!$S$15)*$G92:$P92)+N(INDEX($G92:$P92,1,Reprogramaciones!$S$15))*IF(Reprogramaciones!$Q$15&gt;=(Reprogramaciones!$T$15+7*(Reprogramaciones!$S$15-1))+6,1,IF(MAX(0,NETWORKDAYS.INTL(MAX(E92,(Reprogramaciones!$T$15+7*(Reprogramaciones!$S$15-1))),MIN(F92,(Reprogramaciones!$T$15+7*(Reprogramaciones!$S$15-1))+6),11))=0,0,MAX(0,NETWORKDAYS.INTL(MAX(E92,(Reprogramaciones!$T$15+7*(Reprogramaciones!$S$15-1))),MIN(F92,Reprogramaciones!$Q$15),11))/MAX(0,NETWORKDAYS.INTL(MAX(E92,(Reprogramaciones!$T$15+7*(Reprogramaciones!$S$15-1))),MIN(F92,(Reprogramaciones!$T$15+7*(Reprogramaciones!$S$15-1))+6),11))))))))</f>
        <v/>
      </c>
    </row>
    <row r="93" customFormat="false" ht="15" hidden="false" customHeight="false" outlineLevel="0" collapsed="false">
      <c r="A93" s="32"/>
      <c r="B93" s="33"/>
      <c r="C93" s="33"/>
      <c r="D93" s="34"/>
      <c r="E93" s="35"/>
      <c r="F93" s="35"/>
      <c r="G93" s="36" t="str">
        <f aca="false">IF(OR(NOT(AND(ISNUMBER(E93),ISNUMBER(F93))),$J$2=""),"",IF(Reprogramaciones!K$9&lt;E93,0,IF(NETWORKDAYS.INTL(E93,F93,11)=0,IF(Reprogramaciones!K$9&gt;=F93,100,0),ROUND(NETWORKDAYS.INTL(E93,MIN(F93,Reprogramaciones!K$9),11)/NETWORKDAYS.INTL(E93,F93,11)*100,1)))-0)</f>
        <v/>
      </c>
      <c r="H93" s="36" t="str">
        <f aca="false">IF(OR(NOT(AND(ISNUMBER(E93),ISNUMBER(F93))),$J$2=""),"",IF(Reprogramaciones!L$9&lt;E93,0,IF(NETWORKDAYS.INTL(E93,F93,11)=0,IF(Reprogramaciones!L$9&gt;=F93,100,0),ROUND(NETWORKDAYS.INTL(E93,MIN(F93,Reprogramaciones!L$9),11)/NETWORKDAYS.INTL(E93,F93,11)*100,1)))-IF(Reprogramaciones!K$9&lt;E93,0,IF(NETWORKDAYS.INTL(E93,F93,11)=0,IF(Reprogramaciones!K$9&gt;=F93,100,0),ROUND(NETWORKDAYS.INTL(E93,MIN(F93,Reprogramaciones!K$9),11)/NETWORKDAYS.INTL(E93,F93,11)*100,1))))</f>
        <v/>
      </c>
      <c r="I93" s="36" t="str">
        <f aca="false">IF(OR(NOT(AND(ISNUMBER(E93),ISNUMBER(F93))),$J$2=""),"",IF(Reprogramaciones!M$9&lt;E93,0,IF(NETWORKDAYS.INTL(E93,F93,11)=0,IF(Reprogramaciones!M$9&gt;=F93,100,0),ROUND(NETWORKDAYS.INTL(E93,MIN(F93,Reprogramaciones!M$9),11)/NETWORKDAYS.INTL(E93,F93,11)*100,1)))-IF(Reprogramaciones!L$9&lt;E93,0,IF(NETWORKDAYS.INTL(E93,F93,11)=0,IF(Reprogramaciones!L$9&gt;=F93,100,0),ROUND(NETWORKDAYS.INTL(E93,MIN(F93,Reprogramaciones!L$9),11)/NETWORKDAYS.INTL(E93,F93,11)*100,1))))</f>
        <v/>
      </c>
      <c r="J93" s="36" t="str">
        <f aca="false">IF(OR(NOT(AND(ISNUMBER(E93),ISNUMBER(F93))),$J$2=""),"",IF(Reprogramaciones!N$9&lt;E93,0,IF(NETWORKDAYS.INTL(E93,F93,11)=0,IF(Reprogramaciones!N$9&gt;=F93,100,0),ROUND(NETWORKDAYS.INTL(E93,MIN(F93,Reprogramaciones!N$9),11)/NETWORKDAYS.INTL(E93,F93,11)*100,1)))-IF(Reprogramaciones!M$9&lt;E93,0,IF(NETWORKDAYS.INTL(E93,F93,11)=0,IF(Reprogramaciones!M$9&gt;=F93,100,0),ROUND(NETWORKDAYS.INTL(E93,MIN(F93,Reprogramaciones!M$9),11)/NETWORKDAYS.INTL(E93,F93,11)*100,1))))</f>
        <v/>
      </c>
      <c r="K93" s="36" t="str">
        <f aca="false">IF(OR(NOT(AND(ISNUMBER(E93),ISNUMBER(F93))),$J$2=""),"",IF(Reprogramaciones!O$9&lt;E93,0,IF(NETWORKDAYS.INTL(E93,F93,11)=0,IF(Reprogramaciones!O$9&gt;=F93,100,0),ROUND(NETWORKDAYS.INTL(E93,MIN(F93,Reprogramaciones!O$9),11)/NETWORKDAYS.INTL(E93,F93,11)*100,1)))-IF(Reprogramaciones!N$9&lt;E93,0,IF(NETWORKDAYS.INTL(E93,F93,11)=0,IF(Reprogramaciones!N$9&gt;=F93,100,0),ROUND(NETWORKDAYS.INTL(E93,MIN(F93,Reprogramaciones!N$9),11)/NETWORKDAYS.INTL(E93,F93,11)*100,1))))</f>
        <v/>
      </c>
      <c r="L93" s="36" t="str">
        <f aca="false">IF(OR(NOT(AND(ISNUMBER(E93),ISNUMBER(F93))),$J$2=""),"",IF(Reprogramaciones!P$9&lt;E93,0,IF(NETWORKDAYS.INTL(E93,F93,11)=0,IF(Reprogramaciones!P$9&gt;=F93,100,0),ROUND(NETWORKDAYS.INTL(E93,MIN(F93,Reprogramaciones!P$9),11)/NETWORKDAYS.INTL(E93,F93,11)*100,1)))-IF(Reprogramaciones!O$9&lt;E93,0,IF(NETWORKDAYS.INTL(E93,F93,11)=0,IF(Reprogramaciones!O$9&gt;=F93,100,0),ROUND(NETWORKDAYS.INTL(E93,MIN(F93,Reprogramaciones!O$9),11)/NETWORKDAYS.INTL(E93,F93,11)*100,1))))</f>
        <v/>
      </c>
      <c r="M93" s="36" t="str">
        <f aca="false">IF(OR(NOT(AND(ISNUMBER(E93),ISNUMBER(F93))),$J$2=""),"",IF(Reprogramaciones!Q$9&lt;E93,0,IF(NETWORKDAYS.INTL(E93,F93,11)=0,IF(Reprogramaciones!Q$9&gt;=F93,100,0),ROUND(NETWORKDAYS.INTL(E93,MIN(F93,Reprogramaciones!Q$9),11)/NETWORKDAYS.INTL(E93,F93,11)*100,1)))-IF(Reprogramaciones!P$9&lt;E93,0,IF(NETWORKDAYS.INTL(E93,F93,11)=0,IF(Reprogramaciones!P$9&gt;=F93,100,0),ROUND(NETWORKDAYS.INTL(E93,MIN(F93,Reprogramaciones!P$9),11)/NETWORKDAYS.INTL(E93,F93,11)*100,1))))</f>
        <v/>
      </c>
      <c r="N93" s="36" t="str">
        <f aca="false">IF(OR(NOT(AND(ISNUMBER(E93),ISNUMBER(F93))),$J$2=""),"",IF(Reprogramaciones!R$9&lt;E93,0,IF(NETWORKDAYS.INTL(E93,F93,11)=0,IF(Reprogramaciones!R$9&gt;=F93,100,0),ROUND(NETWORKDAYS.INTL(E93,MIN(F93,Reprogramaciones!R$9),11)/NETWORKDAYS.INTL(E93,F93,11)*100,1)))-IF(Reprogramaciones!Q$9&lt;E93,0,IF(NETWORKDAYS.INTL(E93,F93,11)=0,IF(Reprogramaciones!Q$9&gt;=F93,100,0),ROUND(NETWORKDAYS.INTL(E93,MIN(F93,Reprogramaciones!Q$9),11)/NETWORKDAYS.INTL(E93,F93,11)*100,1))))</f>
        <v/>
      </c>
      <c r="O93" s="36" t="str">
        <f aca="false">IF(OR(NOT(AND(ISNUMBER(E93),ISNUMBER(F93))),$J$2=""),"",IF(Reprogramaciones!S$9&lt;E93,0,IF(NETWORKDAYS.INTL(E93,F93,11)=0,IF(Reprogramaciones!S$9&gt;=F93,100,0),ROUND(NETWORKDAYS.INTL(E93,MIN(F93,Reprogramaciones!S$9),11)/NETWORKDAYS.INTL(E93,F93,11)*100,1)))-IF(Reprogramaciones!R$9&lt;E93,0,IF(NETWORKDAYS.INTL(E93,F93,11)=0,IF(Reprogramaciones!R$9&gt;=F93,100,0),ROUND(NETWORKDAYS.INTL(E93,MIN(F93,Reprogramaciones!R$9),11)/NETWORKDAYS.INTL(E93,F93,11)*100,1))))</f>
        <v/>
      </c>
      <c r="P93" s="36" t="str">
        <f aca="false">IF(OR(NOT(AND(ISNUMBER(E93),ISNUMBER(F93))),$J$2=""),"",IF(Reprogramaciones!T$9&lt;E93,0,IF(NETWORKDAYS.INTL(E93,F93,11)=0,IF(Reprogramaciones!T$9&gt;=F93,100,0),ROUND(NETWORKDAYS.INTL(E93,MIN(F93,Reprogramaciones!T$9),11)/NETWORKDAYS.INTL(E93,F93,11)*100,1)))-IF(Reprogramaciones!S$9&lt;E93,0,IF(NETWORKDAYS.INTL(E93,F93,11)=0,IF(Reprogramaciones!S$9&gt;=F93,100,0),ROUND(NETWORKDAYS.INTL(E93,MIN(F93,Reprogramaciones!S$9),11)/NETWORKDAYS.INTL(E93,F93,11)*100,1))))</f>
        <v/>
      </c>
      <c r="Q93" s="37"/>
      <c r="R93" s="37"/>
      <c r="S93" s="37"/>
      <c r="T93" s="37"/>
      <c r="U93" s="37"/>
      <c r="V93" s="37"/>
      <c r="W93" s="37"/>
      <c r="X93" s="37"/>
      <c r="Y93" s="37"/>
      <c r="Z93" s="37"/>
      <c r="AA93" s="37"/>
      <c r="AB93" s="37"/>
      <c r="AC93" s="37"/>
      <c r="AD93" s="37"/>
      <c r="AE93" s="37"/>
      <c r="AF93" s="37"/>
      <c r="AG93" s="38" t="str">
        <f aca="false">IF(AND(ISNUMBER(E93),ISNUMBER(F93)),NETWORKDAYS.INTL(E93,F93,11),"")</f>
        <v/>
      </c>
      <c r="AH93" s="38" t="str">
        <f aca="false">IF(OR(NOT(AND(ISNUMBER(E93),ISNUMBER(F93))),$J$2=""),"",IF(Reprogramaciones!$P$15&lt;Reprogramaciones!$T$15,0,IF(Reprogramaciones!$R$15&gt;10,MIN(100,SUM($G93:$P93)),MIN(100,SUMPRODUCT((COLUMN($G93:$P93)-COLUMN($G93)+1&lt;Reprogramaciones!$R$15)*$G93:$P93)+N(INDEX($G93:$P93,1,Reprogramaciones!$R$15))*IF(Reprogramaciones!$P$15&gt;=(Reprogramaciones!$T$15+7*(Reprogramaciones!$R$15-1))+6,1,IF(MAX(0,NETWORKDAYS.INTL(MAX(E93,(Reprogramaciones!$T$15+7*(Reprogramaciones!$R$15-1))),MIN(F93,(Reprogramaciones!$T$15+7*(Reprogramaciones!$R$15-1))+6),11))=0,0,MAX(0,NETWORKDAYS.INTL(MAX(E93,(Reprogramaciones!$T$15+7*(Reprogramaciones!$R$15-1))),MIN(F93,Reprogramaciones!$P$15),11))/MAX(0,NETWORKDAYS.INTL(MAX(E93,(Reprogramaciones!$T$15+7*(Reprogramaciones!$R$15-1))),MIN(F93,(Reprogramaciones!$T$15+7*(Reprogramaciones!$R$15-1))+6),11))))))))</f>
        <v/>
      </c>
      <c r="AI93" s="38" t="str">
        <f aca="false">IF(COUNT($Q93:$AF93)=0,"",IF(ROUND(SUM($Q93:$AF93),1)&gt;=99.5,100,MIN(100,ROUND(SUM($Q93:$AF93),1))))</f>
        <v/>
      </c>
      <c r="AJ93" s="38" t="str">
        <f aca="false">IF(OR(AH93="",AI93=""),"",AI93-AH93)</f>
        <v/>
      </c>
      <c r="AK93" s="39" t="str">
        <f aca="true">IF(AH93="","",IF(OR(Ficha!$C$10="Suspendida",Ficha!$C$10="Cancelada"),Ficha!$C$10,IF(AND(AI93&lt;&gt;"",N(AI93)&gt;=100),"Completada",IF(AND(E93&gt;TODAY(),N(AI93)=0),"Por iniciar",IF(N(AI93)+0.5&lt;AH93,"Retrasada",IF(N(AI93)+0.5&lt;DA93,IF(Reprogramaciones!$K$15&gt;0,"Al día · Sem "&amp;Reprogramaciones!$K$15&amp;" en curso","Al día · en curso"),"A tiempo"))))))</f>
        <v/>
      </c>
      <c r="AL93" s="39" t="str">
        <f aca="true">IF(AND(A93="",AND(B93="",C93="",E93="",F93="",COUNT(Q93:AF93)=0)),"",IF(AND(B93="",C93="",E93="",F93="",COUNT(Q93:AF93)=0),"Falta la partida o subpartida",IF(AND(A93&lt;&gt;"",COUNTIF($A$6:$A$305,A93)&gt;1),"Ítem repetido",IF(AND(C93="",E93="",F93="",COUNT(Q93:AF93)=0),"Título de partida",IF(OR(E93="",F93=""),"Faltan fechas",IF(OR(ISTEXT(E93),ISTEXT(F93)),"Fecha escrita como texto: usa dd/mm/aaaa",IF(F93&lt;E93,"Fin antes del inicio",IF(IF($J$2="",FALSE(),OR(E93&lt;$J$2,F93&gt;Reprogramaciones!$T$15+69)),"Fuera de las 10 semanas",IF(ABS(SUM(G93:P93)-100)&gt;0.5,"La meta no suma 100%",IF(ROUND(SUM(Q93:AF93),1)&gt;100.5,"El avance pasa de 100%",IF(MIN(Q93:AF93)&lt;0,"Avance negativo",IF(COUNTA(Q93:AF93)&gt;COUNT(Q93:AF93),"Avance escrito como texto",IF(SUMPRODUCT((Q93:AF93&gt;0)*(Q93:AF93&lt;1))&gt;0,"Avance menor a 1: escribe 50, no 50%",IF(SUMPRODUCT(ISNUMBER(Q93:AF93)*(Reprogramaciones!$K$8:$Z$8&gt;TODAY()))&gt;0,"Avance en semana que aún no llega",IF(AND(N(Reprogramaciones!$E$21)&gt;0,F93&gt;Reprogramaciones!$E$21),"Pasa el fin de la obra: registra una reprogramación",IF(AND(N(Reprogramaciones!$E$21)&gt;0,SUMPRODUCT(ISNUMBER(Q93:AF93)*(Reprogramaciones!$K$8:$Z$8&gt;Reprogramaciones!$E$21))&gt;0),"Avance después del fin de la obra: registra una reprogramación por atraso","OK"))))))))))))))))</f>
        <v/>
      </c>
      <c r="AM93" s="40" t="str">
        <f aca="false">IF(OR(OR(NOT(AND(ISNUMBER(E93),ISNUMBER(F93))),$J$2=""),1&gt;MAX(1,Reprogramaciones!$U$15)),"",IF(Reprogramaciones!K$12&gt;=7,"",IF(OR(BT93-N(0)&gt;0.05,N(Q93)&gt;0),ROUNDDOWN(ROUND(BT93,6),0)&amp;"%"&amp;IF(CJ93="",""," / "&amp;CJ93&amp;"%"),IF(AND(N(0)&gt;=99.95,CJ93&lt;&gt;"",N(CJ93)&lt;100),"Pend. "&amp;CJ93&amp;"%",""))))</f>
        <v/>
      </c>
      <c r="AN93" s="40" t="str">
        <f aca="false">IF(OR(OR(NOT(AND(ISNUMBER(E93),ISNUMBER(F93))),$J$2=""),2&gt;MAX(1,Reprogramaciones!$U$15)),"",IF(Reprogramaciones!L$12&gt;=7,"",IF(OR(BU93-N(BT93)&gt;0.05,N(R93)&gt;0),ROUNDDOWN(ROUND(BU93,6),0)&amp;"%"&amp;IF(CK93="",""," / "&amp;CK93&amp;"%"),IF(AND(N(BT93)&gt;=99.95,CK93&lt;&gt;"",N(CK93)&lt;100),"Pend. "&amp;CK93&amp;"%",""))))</f>
        <v/>
      </c>
      <c r="AO93" s="40" t="str">
        <f aca="false">IF(OR(OR(NOT(AND(ISNUMBER(E93),ISNUMBER(F93))),$J$2=""),3&gt;MAX(1,Reprogramaciones!$U$15)),"",IF(Reprogramaciones!M$12&gt;=7,"",IF(OR(BV93-N(BU93)&gt;0.05,N(S93)&gt;0),ROUNDDOWN(ROUND(BV93,6),0)&amp;"%"&amp;IF(CL93="",""," / "&amp;CL93&amp;"%"),IF(AND(N(BU93)&gt;=99.95,CL93&lt;&gt;"",N(CL93)&lt;100),"Pend. "&amp;CL93&amp;"%",""))))</f>
        <v/>
      </c>
      <c r="AP93" s="40" t="str">
        <f aca="false">IF(OR(OR(NOT(AND(ISNUMBER(E93),ISNUMBER(F93))),$J$2=""),4&gt;MAX(1,Reprogramaciones!$U$15)),"",IF(Reprogramaciones!N$12&gt;=7,"",IF(OR(BW93-N(BV93)&gt;0.05,N(T93)&gt;0),ROUNDDOWN(ROUND(BW93,6),0)&amp;"%"&amp;IF(CM93="",""," / "&amp;CM93&amp;"%"),IF(AND(N(BV93)&gt;=99.95,CM93&lt;&gt;"",N(CM93)&lt;100),"Pend. "&amp;CM93&amp;"%",""))))</f>
        <v/>
      </c>
      <c r="AQ93" s="40" t="str">
        <f aca="false">IF(OR(OR(NOT(AND(ISNUMBER(E93),ISNUMBER(F93))),$J$2=""),5&gt;MAX(1,Reprogramaciones!$U$15)),"",IF(Reprogramaciones!O$12&gt;=7,"",IF(OR(BX93-N(BW93)&gt;0.05,N(U93)&gt;0),ROUNDDOWN(ROUND(BX93,6),0)&amp;"%"&amp;IF(CN93="",""," / "&amp;CN93&amp;"%"),IF(AND(N(BW93)&gt;=99.95,CN93&lt;&gt;"",N(CN93)&lt;100),"Pend. "&amp;CN93&amp;"%",""))))</f>
        <v/>
      </c>
      <c r="AR93" s="40" t="str">
        <f aca="false">IF(OR(OR(NOT(AND(ISNUMBER(E93),ISNUMBER(F93))),$J$2=""),6&gt;MAX(1,Reprogramaciones!$U$15)),"",IF(Reprogramaciones!P$12&gt;=7,"",IF(OR(BY93-N(BX93)&gt;0.05,N(V93)&gt;0),ROUNDDOWN(ROUND(BY93,6),0)&amp;"%"&amp;IF(CO93="",""," / "&amp;CO93&amp;"%"),IF(AND(N(BX93)&gt;=99.95,CO93&lt;&gt;"",N(CO93)&lt;100),"Pend. "&amp;CO93&amp;"%",""))))</f>
        <v/>
      </c>
      <c r="AS93" s="40" t="str">
        <f aca="false">IF(OR(OR(NOT(AND(ISNUMBER(E93),ISNUMBER(F93))),$J$2=""),7&gt;MAX(1,Reprogramaciones!$U$15)),"",IF(Reprogramaciones!Q$12&gt;=7,"",IF(OR(BZ93-N(BY93)&gt;0.05,N(W93)&gt;0),ROUNDDOWN(ROUND(BZ93,6),0)&amp;"%"&amp;IF(CP93="",""," / "&amp;CP93&amp;"%"),IF(AND(N(BY93)&gt;=99.95,CP93&lt;&gt;"",N(CP93)&lt;100),"Pend. "&amp;CP93&amp;"%",""))))</f>
        <v/>
      </c>
      <c r="AT93" s="40" t="str">
        <f aca="false">IF(OR(OR(NOT(AND(ISNUMBER(E93),ISNUMBER(F93))),$J$2=""),8&gt;MAX(1,Reprogramaciones!$U$15)),"",IF(Reprogramaciones!R$12&gt;=7,"",IF(OR(CA93-N(BZ93)&gt;0.05,N(X93)&gt;0),ROUNDDOWN(ROUND(CA93,6),0)&amp;"%"&amp;IF(CQ93="",""," / "&amp;CQ93&amp;"%"),IF(AND(N(BZ93)&gt;=99.95,CQ93&lt;&gt;"",N(CQ93)&lt;100),"Pend. "&amp;CQ93&amp;"%",""))))</f>
        <v/>
      </c>
      <c r="AU93" s="40" t="str">
        <f aca="false">IF(OR(OR(NOT(AND(ISNUMBER(E93),ISNUMBER(F93))),$J$2=""),9&gt;MAX(1,Reprogramaciones!$U$15)),"",IF(Reprogramaciones!S$12&gt;=7,"",IF(OR(CB93-N(CA93)&gt;0.05,N(Y93)&gt;0),ROUNDDOWN(ROUND(CB93,6),0)&amp;"%"&amp;IF(CR93="",""," / "&amp;CR93&amp;"%"),IF(AND(N(CA93)&gt;=99.95,CR93&lt;&gt;"",N(CR93)&lt;100),"Pend. "&amp;CR93&amp;"%",""))))</f>
        <v/>
      </c>
      <c r="AV93" s="40" t="str">
        <f aca="false">IF(OR(OR(NOT(AND(ISNUMBER(E93),ISNUMBER(F93))),$J$2=""),10&gt;MAX(1,Reprogramaciones!$U$15)),"",IF(Reprogramaciones!T$12&gt;=7,"",IF(OR(CC93-N(CB93)&gt;0.05,N(Z93)&gt;0),ROUNDDOWN(ROUND(CC93,6),0)&amp;"%"&amp;IF(CS93="",""," / "&amp;CS93&amp;"%"),IF(AND(N(CB93)&gt;=99.95,CS93&lt;&gt;"",N(CS93)&lt;100),"Pend. "&amp;CS93&amp;"%",""))))</f>
        <v/>
      </c>
      <c r="AW93" s="40" t="str">
        <f aca="false">IF(OR(OR(NOT(AND(ISNUMBER(E93),ISNUMBER(F93))),$J$2=""),11&gt;MAX(1,Reprogramaciones!$U$15)),"",IF(Reprogramaciones!U$12&gt;=7,"",IF(OR(CD93-N(CC93)&gt;0.05,N(AA93)&gt;0),ROUNDDOWN(ROUND(CD93,6),0)&amp;"%"&amp;IF(CT93="",""," / "&amp;CT93&amp;"%"),IF(AND(N(CC93)&gt;=99.95,CT93&lt;&gt;"",N(CT93)&lt;100),"Pend. "&amp;CT93&amp;"%",""))))</f>
        <v/>
      </c>
      <c r="AX93" s="40" t="str">
        <f aca="false">IF(OR(OR(NOT(AND(ISNUMBER(E93),ISNUMBER(F93))),$J$2=""),12&gt;MAX(1,Reprogramaciones!$U$15)),"",IF(Reprogramaciones!V$12&gt;=7,"",IF(OR(CE93-N(CD93)&gt;0.05,N(AB93)&gt;0),ROUNDDOWN(ROUND(CE93,6),0)&amp;"%"&amp;IF(CU93="",""," / "&amp;CU93&amp;"%"),IF(AND(N(CD93)&gt;=99.95,CU93&lt;&gt;"",N(CU93)&lt;100),"Pend. "&amp;CU93&amp;"%",""))))</f>
        <v/>
      </c>
      <c r="AY93" s="40" t="str">
        <f aca="false">IF(OR(OR(NOT(AND(ISNUMBER(E93),ISNUMBER(F93))),$J$2=""),13&gt;MAX(1,Reprogramaciones!$U$15)),"",IF(Reprogramaciones!W$12&gt;=7,"",IF(OR(CF93-N(CE93)&gt;0.05,N(AC93)&gt;0),ROUNDDOWN(ROUND(CF93,6),0)&amp;"%"&amp;IF(CV93="",""," / "&amp;CV93&amp;"%"),IF(AND(N(CE93)&gt;=99.95,CV93&lt;&gt;"",N(CV93)&lt;100),"Pend. "&amp;CV93&amp;"%",""))))</f>
        <v/>
      </c>
      <c r="AZ93" s="40" t="str">
        <f aca="false">IF(OR(OR(NOT(AND(ISNUMBER(E93),ISNUMBER(F93))),$J$2=""),14&gt;MAX(1,Reprogramaciones!$U$15)),"",IF(Reprogramaciones!X$12&gt;=7,"",IF(OR(CG93-N(CF93)&gt;0.05,N(AD93)&gt;0),ROUNDDOWN(ROUND(CG93,6),0)&amp;"%"&amp;IF(CW93="",""," / "&amp;CW93&amp;"%"),IF(AND(N(CF93)&gt;=99.95,CW93&lt;&gt;"",N(CW93)&lt;100),"Pend. "&amp;CW93&amp;"%",""))))</f>
        <v/>
      </c>
      <c r="BA93" s="40" t="str">
        <f aca="false">IF(OR(OR(NOT(AND(ISNUMBER(E93),ISNUMBER(F93))),$J$2=""),15&gt;MAX(1,Reprogramaciones!$U$15)),"",IF(Reprogramaciones!Y$12&gt;=7,"",IF(OR(CH93-N(CG93)&gt;0.05,N(AE93)&gt;0),ROUNDDOWN(ROUND(CH93,6),0)&amp;"%"&amp;IF(CX93="",""," / "&amp;CX93&amp;"%"),IF(AND(N(CG93)&gt;=99.95,CX93&lt;&gt;"",N(CX93)&lt;100),"Pend. "&amp;CX93&amp;"%",""))))</f>
        <v/>
      </c>
      <c r="BB93" s="40" t="str">
        <f aca="false">IF(OR(OR(NOT(AND(ISNUMBER(E93),ISNUMBER(F93))),$J$2=""),16&gt;MAX(1,Reprogramaciones!$U$15)),"",IF(Reprogramaciones!Z$12&gt;=7,"",IF(OR(CI93-N(CH93)&gt;0.05,N(AF93)&gt;0),ROUNDDOWN(ROUND(CI93,6),0)&amp;"%"&amp;IF(CY93="",""," / "&amp;CY93&amp;"%"),IF(AND(N(CH93)&gt;=99.95,CY93&lt;&gt;"",N(CY93)&lt;100),"Pend. "&amp;CY93&amp;"%",""))))</f>
        <v/>
      </c>
      <c r="BC93" s="31" t="n">
        <f aca="false">IF(AND(ISNUMBER(E93),ISNUMBER(F93)),MAX(1,NETWORKDAYS.INTL(E93,F93,11)),0)</f>
        <v>0</v>
      </c>
      <c r="BD93" s="1" t="str">
        <f aca="false">IF(OR(NOT(AND(ISNUMBER(E93),ISNUMBER(F93))),$J$2=""),"",MIN(100,ROUND(SUM($G93:G93),1)))</f>
        <v/>
      </c>
      <c r="BE93" s="1" t="str">
        <f aca="false">IF(OR(NOT(AND(ISNUMBER(E93),ISNUMBER(F93))),$J$2=""),"",MIN(100,ROUND(SUM($G93:H93),1)))</f>
        <v/>
      </c>
      <c r="BF93" s="1" t="str">
        <f aca="false">IF(OR(NOT(AND(ISNUMBER(E93),ISNUMBER(F93))),$J$2=""),"",MIN(100,ROUND(SUM($G93:I93),1)))</f>
        <v/>
      </c>
      <c r="BG93" s="1" t="str">
        <f aca="false">IF(OR(NOT(AND(ISNUMBER(E93),ISNUMBER(F93))),$J$2=""),"",MIN(100,ROUND(SUM($G93:J93),1)))</f>
        <v/>
      </c>
      <c r="BH93" s="1" t="str">
        <f aca="false">IF(OR(NOT(AND(ISNUMBER(E93),ISNUMBER(F93))),$J$2=""),"",MIN(100,ROUND(SUM($G93:K93),1)))</f>
        <v/>
      </c>
      <c r="BI93" s="1" t="str">
        <f aca="false">IF(OR(NOT(AND(ISNUMBER(E93),ISNUMBER(F93))),$J$2=""),"",MIN(100,ROUND(SUM($G93:L93),1)))</f>
        <v/>
      </c>
      <c r="BJ93" s="1" t="str">
        <f aca="false">IF(OR(NOT(AND(ISNUMBER(E93),ISNUMBER(F93))),$J$2=""),"",MIN(100,ROUND(SUM($G93:M93),1)))</f>
        <v/>
      </c>
      <c r="BK93" s="1" t="str">
        <f aca="false">IF(OR(NOT(AND(ISNUMBER(E93),ISNUMBER(F93))),$J$2=""),"",MIN(100,ROUND(SUM($G93:N93),1)))</f>
        <v/>
      </c>
      <c r="BL93" s="1" t="str">
        <f aca="false">IF(OR(NOT(AND(ISNUMBER(E93),ISNUMBER(F93))),$J$2=""),"",MIN(100,ROUND(SUM($G93:O93),1)))</f>
        <v/>
      </c>
      <c r="BM93" s="1" t="str">
        <f aca="false">IF(OR(NOT(AND(ISNUMBER(E93),ISNUMBER(F93))),$J$2=""),"",MIN(100,ROUND(SUM($G93:P93),1)))</f>
        <v/>
      </c>
      <c r="BN93" s="1" t="str">
        <f aca="false">IF(OR(NOT(AND(ISNUMBER(E93),ISNUMBER(F93))),$J$2=""),"",MIN(100,ROUND(SUM($G93:P93),1)))</f>
        <v/>
      </c>
      <c r="BO93" s="1" t="str">
        <f aca="false">IF(OR(NOT(AND(ISNUMBER(E93),ISNUMBER(F93))),$J$2=""),"",MIN(100,ROUND(SUM($G93:P93),1)))</f>
        <v/>
      </c>
      <c r="BP93" s="1" t="str">
        <f aca="false">IF(OR(NOT(AND(ISNUMBER(E93),ISNUMBER(F93))),$J$2=""),"",MIN(100,ROUND(SUM($G93:P93),1)))</f>
        <v/>
      </c>
      <c r="BQ93" s="1" t="str">
        <f aca="false">IF(OR(NOT(AND(ISNUMBER(E93),ISNUMBER(F93))),$J$2=""),"",MIN(100,ROUND(SUM($G93:P93),1)))</f>
        <v/>
      </c>
      <c r="BR93" s="1" t="str">
        <f aca="false">IF(OR(NOT(AND(ISNUMBER(E93),ISNUMBER(F93))),$J$2=""),"",MIN(100,ROUND(SUM($G93:P93),1)))</f>
        <v/>
      </c>
      <c r="BS93" s="1" t="str">
        <f aca="false">IF(OR(NOT(AND(ISNUMBER(E93),ISNUMBER(F93))),$J$2=""),"",MIN(100,ROUND(SUM($G93:P93),1)))</f>
        <v/>
      </c>
      <c r="BT93" s="1" t="str">
        <f aca="false">IF(OR(NOT(AND(ISNUMBER(E93),ISNUMBER(F93))),$J$2=""),"",IF(Reprogramaciones!K$13&lt;Reprogramaciones!$T$15,0,IF(Reprogramaciones!K$14&gt;10,MIN(100,SUM($G93:$P93)),MIN(100,SUMPRODUCT((COLUMN($G93:$P93)-COLUMN($G93)+1&lt;Reprogramaciones!K$14)*$G93:$P93)+N(INDEX($G93:$P93,1,Reprogramaciones!K$14))*IF(Reprogramaciones!K$13&gt;=(Reprogramaciones!$T$15+7*(Reprogramaciones!K$14-1))+6,1,IF(MAX(0,NETWORKDAYS.INTL(MAX(E93,(Reprogramaciones!$T$15+7*(Reprogramaciones!K$14-1))),MIN(F93,(Reprogramaciones!$T$15+7*(Reprogramaciones!K$14-1))+6),11))=0,0,MAX(0,NETWORKDAYS.INTL(MAX(E93,(Reprogramaciones!$T$15+7*(Reprogramaciones!K$14-1))),MIN(F93,Reprogramaciones!K$13),11))/MAX(0,NETWORKDAYS.INTL(MAX(E93,(Reprogramaciones!$T$15+7*(Reprogramaciones!K$14-1))),MIN(F93,(Reprogramaciones!$T$15+7*(Reprogramaciones!K$14-1))+6),11))))))))</f>
        <v/>
      </c>
      <c r="BU93" s="1" t="str">
        <f aca="false">IF(OR(NOT(AND(ISNUMBER(E93),ISNUMBER(F93))),$J$2=""),"",IF(Reprogramaciones!L$13&lt;Reprogramaciones!$T$15,0,IF(Reprogramaciones!L$14&gt;10,MIN(100,SUM($G93:$P93)),MIN(100,SUMPRODUCT((COLUMN($G93:$P93)-COLUMN($G93)+1&lt;Reprogramaciones!L$14)*$G93:$P93)+N(INDEX($G93:$P93,1,Reprogramaciones!L$14))*IF(Reprogramaciones!L$13&gt;=(Reprogramaciones!$T$15+7*(Reprogramaciones!L$14-1))+6,1,IF(MAX(0,NETWORKDAYS.INTL(MAX(E93,(Reprogramaciones!$T$15+7*(Reprogramaciones!L$14-1))),MIN(F93,(Reprogramaciones!$T$15+7*(Reprogramaciones!L$14-1))+6),11))=0,0,MAX(0,NETWORKDAYS.INTL(MAX(E93,(Reprogramaciones!$T$15+7*(Reprogramaciones!L$14-1))),MIN(F93,Reprogramaciones!L$13),11))/MAX(0,NETWORKDAYS.INTL(MAX(E93,(Reprogramaciones!$T$15+7*(Reprogramaciones!L$14-1))),MIN(F93,(Reprogramaciones!$T$15+7*(Reprogramaciones!L$14-1))+6),11))))))))</f>
        <v/>
      </c>
      <c r="BV93" s="1" t="str">
        <f aca="false">IF(OR(NOT(AND(ISNUMBER(E93),ISNUMBER(F93))),$J$2=""),"",IF(Reprogramaciones!M$13&lt;Reprogramaciones!$T$15,0,IF(Reprogramaciones!M$14&gt;10,MIN(100,SUM($G93:$P93)),MIN(100,SUMPRODUCT((COLUMN($G93:$P93)-COLUMN($G93)+1&lt;Reprogramaciones!M$14)*$G93:$P93)+N(INDEX($G93:$P93,1,Reprogramaciones!M$14))*IF(Reprogramaciones!M$13&gt;=(Reprogramaciones!$T$15+7*(Reprogramaciones!M$14-1))+6,1,IF(MAX(0,NETWORKDAYS.INTL(MAX(E93,(Reprogramaciones!$T$15+7*(Reprogramaciones!M$14-1))),MIN(F93,(Reprogramaciones!$T$15+7*(Reprogramaciones!M$14-1))+6),11))=0,0,MAX(0,NETWORKDAYS.INTL(MAX(E93,(Reprogramaciones!$T$15+7*(Reprogramaciones!M$14-1))),MIN(F93,Reprogramaciones!M$13),11))/MAX(0,NETWORKDAYS.INTL(MAX(E93,(Reprogramaciones!$T$15+7*(Reprogramaciones!M$14-1))),MIN(F93,(Reprogramaciones!$T$15+7*(Reprogramaciones!M$14-1))+6),11))))))))</f>
        <v/>
      </c>
      <c r="BW93" s="1" t="str">
        <f aca="false">IF(OR(NOT(AND(ISNUMBER(E93),ISNUMBER(F93))),$J$2=""),"",IF(Reprogramaciones!N$13&lt;Reprogramaciones!$T$15,0,IF(Reprogramaciones!N$14&gt;10,MIN(100,SUM($G93:$P93)),MIN(100,SUMPRODUCT((COLUMN($G93:$P93)-COLUMN($G93)+1&lt;Reprogramaciones!N$14)*$G93:$P93)+N(INDEX($G93:$P93,1,Reprogramaciones!N$14))*IF(Reprogramaciones!N$13&gt;=(Reprogramaciones!$T$15+7*(Reprogramaciones!N$14-1))+6,1,IF(MAX(0,NETWORKDAYS.INTL(MAX(E93,(Reprogramaciones!$T$15+7*(Reprogramaciones!N$14-1))),MIN(F93,(Reprogramaciones!$T$15+7*(Reprogramaciones!N$14-1))+6),11))=0,0,MAX(0,NETWORKDAYS.INTL(MAX(E93,(Reprogramaciones!$T$15+7*(Reprogramaciones!N$14-1))),MIN(F93,Reprogramaciones!N$13),11))/MAX(0,NETWORKDAYS.INTL(MAX(E93,(Reprogramaciones!$T$15+7*(Reprogramaciones!N$14-1))),MIN(F93,(Reprogramaciones!$T$15+7*(Reprogramaciones!N$14-1))+6),11))))))))</f>
        <v/>
      </c>
      <c r="BX93" s="1" t="str">
        <f aca="false">IF(OR(NOT(AND(ISNUMBER(E93),ISNUMBER(F93))),$J$2=""),"",IF(Reprogramaciones!O$13&lt;Reprogramaciones!$T$15,0,IF(Reprogramaciones!O$14&gt;10,MIN(100,SUM($G93:$P93)),MIN(100,SUMPRODUCT((COLUMN($G93:$P93)-COLUMN($G93)+1&lt;Reprogramaciones!O$14)*$G93:$P93)+N(INDEX($G93:$P93,1,Reprogramaciones!O$14))*IF(Reprogramaciones!O$13&gt;=(Reprogramaciones!$T$15+7*(Reprogramaciones!O$14-1))+6,1,IF(MAX(0,NETWORKDAYS.INTL(MAX(E93,(Reprogramaciones!$T$15+7*(Reprogramaciones!O$14-1))),MIN(F93,(Reprogramaciones!$T$15+7*(Reprogramaciones!O$14-1))+6),11))=0,0,MAX(0,NETWORKDAYS.INTL(MAX(E93,(Reprogramaciones!$T$15+7*(Reprogramaciones!O$14-1))),MIN(F93,Reprogramaciones!O$13),11))/MAX(0,NETWORKDAYS.INTL(MAX(E93,(Reprogramaciones!$T$15+7*(Reprogramaciones!O$14-1))),MIN(F93,(Reprogramaciones!$T$15+7*(Reprogramaciones!O$14-1))+6),11))))))))</f>
        <v/>
      </c>
      <c r="BY93" s="1" t="str">
        <f aca="false">IF(OR(NOT(AND(ISNUMBER(E93),ISNUMBER(F93))),$J$2=""),"",IF(Reprogramaciones!P$13&lt;Reprogramaciones!$T$15,0,IF(Reprogramaciones!P$14&gt;10,MIN(100,SUM($G93:$P93)),MIN(100,SUMPRODUCT((COLUMN($G93:$P93)-COLUMN($G93)+1&lt;Reprogramaciones!P$14)*$G93:$P93)+N(INDEX($G93:$P93,1,Reprogramaciones!P$14))*IF(Reprogramaciones!P$13&gt;=(Reprogramaciones!$T$15+7*(Reprogramaciones!P$14-1))+6,1,IF(MAX(0,NETWORKDAYS.INTL(MAX(E93,(Reprogramaciones!$T$15+7*(Reprogramaciones!P$14-1))),MIN(F93,(Reprogramaciones!$T$15+7*(Reprogramaciones!P$14-1))+6),11))=0,0,MAX(0,NETWORKDAYS.INTL(MAX(E93,(Reprogramaciones!$T$15+7*(Reprogramaciones!P$14-1))),MIN(F93,Reprogramaciones!P$13),11))/MAX(0,NETWORKDAYS.INTL(MAX(E93,(Reprogramaciones!$T$15+7*(Reprogramaciones!P$14-1))),MIN(F93,(Reprogramaciones!$T$15+7*(Reprogramaciones!P$14-1))+6),11))))))))</f>
        <v/>
      </c>
      <c r="BZ93" s="1" t="str">
        <f aca="false">IF(OR(NOT(AND(ISNUMBER(E93),ISNUMBER(F93))),$J$2=""),"",IF(Reprogramaciones!Q$13&lt;Reprogramaciones!$T$15,0,IF(Reprogramaciones!Q$14&gt;10,MIN(100,SUM($G93:$P93)),MIN(100,SUMPRODUCT((COLUMN($G93:$P93)-COLUMN($G93)+1&lt;Reprogramaciones!Q$14)*$G93:$P93)+N(INDEX($G93:$P93,1,Reprogramaciones!Q$14))*IF(Reprogramaciones!Q$13&gt;=(Reprogramaciones!$T$15+7*(Reprogramaciones!Q$14-1))+6,1,IF(MAX(0,NETWORKDAYS.INTL(MAX(E93,(Reprogramaciones!$T$15+7*(Reprogramaciones!Q$14-1))),MIN(F93,(Reprogramaciones!$T$15+7*(Reprogramaciones!Q$14-1))+6),11))=0,0,MAX(0,NETWORKDAYS.INTL(MAX(E93,(Reprogramaciones!$T$15+7*(Reprogramaciones!Q$14-1))),MIN(F93,Reprogramaciones!Q$13),11))/MAX(0,NETWORKDAYS.INTL(MAX(E93,(Reprogramaciones!$T$15+7*(Reprogramaciones!Q$14-1))),MIN(F93,(Reprogramaciones!$T$15+7*(Reprogramaciones!Q$14-1))+6),11))))))))</f>
        <v/>
      </c>
      <c r="CA93" s="1" t="str">
        <f aca="false">IF(OR(NOT(AND(ISNUMBER(E93),ISNUMBER(F93))),$J$2=""),"",IF(Reprogramaciones!R$13&lt;Reprogramaciones!$T$15,0,IF(Reprogramaciones!R$14&gt;10,MIN(100,SUM($G93:$P93)),MIN(100,SUMPRODUCT((COLUMN($G93:$P93)-COLUMN($G93)+1&lt;Reprogramaciones!R$14)*$G93:$P93)+N(INDEX($G93:$P93,1,Reprogramaciones!R$14))*IF(Reprogramaciones!R$13&gt;=(Reprogramaciones!$T$15+7*(Reprogramaciones!R$14-1))+6,1,IF(MAX(0,NETWORKDAYS.INTL(MAX(E93,(Reprogramaciones!$T$15+7*(Reprogramaciones!R$14-1))),MIN(F93,(Reprogramaciones!$T$15+7*(Reprogramaciones!R$14-1))+6),11))=0,0,MAX(0,NETWORKDAYS.INTL(MAX(E93,(Reprogramaciones!$T$15+7*(Reprogramaciones!R$14-1))),MIN(F93,Reprogramaciones!R$13),11))/MAX(0,NETWORKDAYS.INTL(MAX(E93,(Reprogramaciones!$T$15+7*(Reprogramaciones!R$14-1))),MIN(F93,(Reprogramaciones!$T$15+7*(Reprogramaciones!R$14-1))+6),11))))))))</f>
        <v/>
      </c>
      <c r="CB93" s="1" t="str">
        <f aca="false">IF(OR(NOT(AND(ISNUMBER(E93),ISNUMBER(F93))),$J$2=""),"",IF(Reprogramaciones!S$13&lt;Reprogramaciones!$T$15,0,IF(Reprogramaciones!S$14&gt;10,MIN(100,SUM($G93:$P93)),MIN(100,SUMPRODUCT((COLUMN($G93:$P93)-COLUMN($G93)+1&lt;Reprogramaciones!S$14)*$G93:$P93)+N(INDEX($G93:$P93,1,Reprogramaciones!S$14))*IF(Reprogramaciones!S$13&gt;=(Reprogramaciones!$T$15+7*(Reprogramaciones!S$14-1))+6,1,IF(MAX(0,NETWORKDAYS.INTL(MAX(E93,(Reprogramaciones!$T$15+7*(Reprogramaciones!S$14-1))),MIN(F93,(Reprogramaciones!$T$15+7*(Reprogramaciones!S$14-1))+6),11))=0,0,MAX(0,NETWORKDAYS.INTL(MAX(E93,(Reprogramaciones!$T$15+7*(Reprogramaciones!S$14-1))),MIN(F93,Reprogramaciones!S$13),11))/MAX(0,NETWORKDAYS.INTL(MAX(E93,(Reprogramaciones!$T$15+7*(Reprogramaciones!S$14-1))),MIN(F93,(Reprogramaciones!$T$15+7*(Reprogramaciones!S$14-1))+6),11))))))))</f>
        <v/>
      </c>
      <c r="CC93" s="1" t="str">
        <f aca="false">IF(OR(NOT(AND(ISNUMBER(E93),ISNUMBER(F93))),$J$2=""),"",IF(Reprogramaciones!T$13&lt;Reprogramaciones!$T$15,0,IF(Reprogramaciones!T$14&gt;10,MIN(100,SUM($G93:$P93)),MIN(100,SUMPRODUCT((COLUMN($G93:$P93)-COLUMN($G93)+1&lt;Reprogramaciones!T$14)*$G93:$P93)+N(INDEX($G93:$P93,1,Reprogramaciones!T$14))*IF(Reprogramaciones!T$13&gt;=(Reprogramaciones!$T$15+7*(Reprogramaciones!T$14-1))+6,1,IF(MAX(0,NETWORKDAYS.INTL(MAX(E93,(Reprogramaciones!$T$15+7*(Reprogramaciones!T$14-1))),MIN(F93,(Reprogramaciones!$T$15+7*(Reprogramaciones!T$14-1))+6),11))=0,0,MAX(0,NETWORKDAYS.INTL(MAX(E93,(Reprogramaciones!$T$15+7*(Reprogramaciones!T$14-1))),MIN(F93,Reprogramaciones!T$13),11))/MAX(0,NETWORKDAYS.INTL(MAX(E93,(Reprogramaciones!$T$15+7*(Reprogramaciones!T$14-1))),MIN(F93,(Reprogramaciones!$T$15+7*(Reprogramaciones!T$14-1))+6),11))))))))</f>
        <v/>
      </c>
      <c r="CD93" s="1" t="str">
        <f aca="false">IF(OR(NOT(AND(ISNUMBER(E93),ISNUMBER(F93))),$J$2=""),"",IF(Reprogramaciones!U$13&lt;Reprogramaciones!$T$15,0,IF(Reprogramaciones!U$14&gt;10,MIN(100,SUM($G93:$P93)),MIN(100,SUMPRODUCT((COLUMN($G93:$P93)-COLUMN($G93)+1&lt;Reprogramaciones!U$14)*$G93:$P93)+N(INDEX($G93:$P93,1,Reprogramaciones!U$14))*IF(Reprogramaciones!U$13&gt;=(Reprogramaciones!$T$15+7*(Reprogramaciones!U$14-1))+6,1,IF(MAX(0,NETWORKDAYS.INTL(MAX(E93,(Reprogramaciones!$T$15+7*(Reprogramaciones!U$14-1))),MIN(F93,(Reprogramaciones!$T$15+7*(Reprogramaciones!U$14-1))+6),11))=0,0,MAX(0,NETWORKDAYS.INTL(MAX(E93,(Reprogramaciones!$T$15+7*(Reprogramaciones!U$14-1))),MIN(F93,Reprogramaciones!U$13),11))/MAX(0,NETWORKDAYS.INTL(MAX(E93,(Reprogramaciones!$T$15+7*(Reprogramaciones!U$14-1))),MIN(F93,(Reprogramaciones!$T$15+7*(Reprogramaciones!U$14-1))+6),11))))))))</f>
        <v/>
      </c>
      <c r="CE93" s="1" t="str">
        <f aca="false">IF(OR(NOT(AND(ISNUMBER(E93),ISNUMBER(F93))),$J$2=""),"",IF(Reprogramaciones!V$13&lt;Reprogramaciones!$T$15,0,IF(Reprogramaciones!V$14&gt;10,MIN(100,SUM($G93:$P93)),MIN(100,SUMPRODUCT((COLUMN($G93:$P93)-COLUMN($G93)+1&lt;Reprogramaciones!V$14)*$G93:$P93)+N(INDEX($G93:$P93,1,Reprogramaciones!V$14))*IF(Reprogramaciones!V$13&gt;=(Reprogramaciones!$T$15+7*(Reprogramaciones!V$14-1))+6,1,IF(MAX(0,NETWORKDAYS.INTL(MAX(E93,(Reprogramaciones!$T$15+7*(Reprogramaciones!V$14-1))),MIN(F93,(Reprogramaciones!$T$15+7*(Reprogramaciones!V$14-1))+6),11))=0,0,MAX(0,NETWORKDAYS.INTL(MAX(E93,(Reprogramaciones!$T$15+7*(Reprogramaciones!V$14-1))),MIN(F93,Reprogramaciones!V$13),11))/MAX(0,NETWORKDAYS.INTL(MAX(E93,(Reprogramaciones!$T$15+7*(Reprogramaciones!V$14-1))),MIN(F93,(Reprogramaciones!$T$15+7*(Reprogramaciones!V$14-1))+6),11))))))))</f>
        <v/>
      </c>
      <c r="CF93" s="1" t="str">
        <f aca="false">IF(OR(NOT(AND(ISNUMBER(E93),ISNUMBER(F93))),$J$2=""),"",IF(Reprogramaciones!W$13&lt;Reprogramaciones!$T$15,0,IF(Reprogramaciones!W$14&gt;10,MIN(100,SUM($G93:$P93)),MIN(100,SUMPRODUCT((COLUMN($G93:$P93)-COLUMN($G93)+1&lt;Reprogramaciones!W$14)*$G93:$P93)+N(INDEX($G93:$P93,1,Reprogramaciones!W$14))*IF(Reprogramaciones!W$13&gt;=(Reprogramaciones!$T$15+7*(Reprogramaciones!W$14-1))+6,1,IF(MAX(0,NETWORKDAYS.INTL(MAX(E93,(Reprogramaciones!$T$15+7*(Reprogramaciones!W$14-1))),MIN(F93,(Reprogramaciones!$T$15+7*(Reprogramaciones!W$14-1))+6),11))=0,0,MAX(0,NETWORKDAYS.INTL(MAX(E93,(Reprogramaciones!$T$15+7*(Reprogramaciones!W$14-1))),MIN(F93,Reprogramaciones!W$13),11))/MAX(0,NETWORKDAYS.INTL(MAX(E93,(Reprogramaciones!$T$15+7*(Reprogramaciones!W$14-1))),MIN(F93,(Reprogramaciones!$T$15+7*(Reprogramaciones!W$14-1))+6),11))))))))</f>
        <v/>
      </c>
      <c r="CG93" s="1" t="str">
        <f aca="false">IF(OR(NOT(AND(ISNUMBER(E93),ISNUMBER(F93))),$J$2=""),"",IF(Reprogramaciones!X$13&lt;Reprogramaciones!$T$15,0,IF(Reprogramaciones!X$14&gt;10,MIN(100,SUM($G93:$P93)),MIN(100,SUMPRODUCT((COLUMN($G93:$P93)-COLUMN($G93)+1&lt;Reprogramaciones!X$14)*$G93:$P93)+N(INDEX($G93:$P93,1,Reprogramaciones!X$14))*IF(Reprogramaciones!X$13&gt;=(Reprogramaciones!$T$15+7*(Reprogramaciones!X$14-1))+6,1,IF(MAX(0,NETWORKDAYS.INTL(MAX(E93,(Reprogramaciones!$T$15+7*(Reprogramaciones!X$14-1))),MIN(F93,(Reprogramaciones!$T$15+7*(Reprogramaciones!X$14-1))+6),11))=0,0,MAX(0,NETWORKDAYS.INTL(MAX(E93,(Reprogramaciones!$T$15+7*(Reprogramaciones!X$14-1))),MIN(F93,Reprogramaciones!X$13),11))/MAX(0,NETWORKDAYS.INTL(MAX(E93,(Reprogramaciones!$T$15+7*(Reprogramaciones!X$14-1))),MIN(F93,(Reprogramaciones!$T$15+7*(Reprogramaciones!X$14-1))+6),11))))))))</f>
        <v/>
      </c>
      <c r="CH93" s="1" t="str">
        <f aca="false">IF(OR(NOT(AND(ISNUMBER(E93),ISNUMBER(F93))),$J$2=""),"",IF(Reprogramaciones!Y$13&lt;Reprogramaciones!$T$15,0,IF(Reprogramaciones!Y$14&gt;10,MIN(100,SUM($G93:$P93)),MIN(100,SUMPRODUCT((COLUMN($G93:$P93)-COLUMN($G93)+1&lt;Reprogramaciones!Y$14)*$G93:$P93)+N(INDEX($G93:$P93,1,Reprogramaciones!Y$14))*IF(Reprogramaciones!Y$13&gt;=(Reprogramaciones!$T$15+7*(Reprogramaciones!Y$14-1))+6,1,IF(MAX(0,NETWORKDAYS.INTL(MAX(E93,(Reprogramaciones!$T$15+7*(Reprogramaciones!Y$14-1))),MIN(F93,(Reprogramaciones!$T$15+7*(Reprogramaciones!Y$14-1))+6),11))=0,0,MAX(0,NETWORKDAYS.INTL(MAX(E93,(Reprogramaciones!$T$15+7*(Reprogramaciones!Y$14-1))),MIN(F93,Reprogramaciones!Y$13),11))/MAX(0,NETWORKDAYS.INTL(MAX(E93,(Reprogramaciones!$T$15+7*(Reprogramaciones!Y$14-1))),MIN(F93,(Reprogramaciones!$T$15+7*(Reprogramaciones!Y$14-1))+6),11))))))))</f>
        <v/>
      </c>
      <c r="CI93" s="1" t="str">
        <f aca="false">IF(OR(NOT(AND(ISNUMBER(E93),ISNUMBER(F93))),$J$2=""),"",IF(Reprogramaciones!Z$13&lt;Reprogramaciones!$T$15,0,IF(Reprogramaciones!Z$14&gt;10,MIN(100,SUM($G93:$P93)),MIN(100,SUMPRODUCT((COLUMN($G93:$P93)-COLUMN($G93)+1&lt;Reprogramaciones!Z$14)*$G93:$P93)+N(INDEX($G93:$P93,1,Reprogramaciones!Z$14))*IF(Reprogramaciones!Z$13&gt;=(Reprogramaciones!$T$15+7*(Reprogramaciones!Z$14-1))+6,1,IF(MAX(0,NETWORKDAYS.INTL(MAX(E93,(Reprogramaciones!$T$15+7*(Reprogramaciones!Z$14-1))),MIN(F93,(Reprogramaciones!$T$15+7*(Reprogramaciones!Z$14-1))+6),11))=0,0,MAX(0,NETWORKDAYS.INTL(MAX(E93,(Reprogramaciones!$T$15+7*(Reprogramaciones!Z$14-1))),MIN(F93,Reprogramaciones!Z$13),11))/MAX(0,NETWORKDAYS.INTL(MAX(E93,(Reprogramaciones!$T$15+7*(Reprogramaciones!Z$14-1))),MIN(F93,(Reprogramaciones!$T$15+7*(Reprogramaciones!Z$14-1))+6),11))))))))</f>
        <v/>
      </c>
      <c r="CJ93" s="1" t="str">
        <f aca="false">IF(OR(OR(NOT(AND(ISNUMBER(E93),ISNUMBER(F93))),$J$2=""),1&gt;Reprogramaciones!$K$16),"",IF(ROUND(SUM($Q93:Q93),1)&gt;=99.5,100,MIN(100,ROUND(SUM($Q93:Q93),1))))</f>
        <v/>
      </c>
      <c r="CK93" s="1" t="str">
        <f aca="false">IF(OR(OR(NOT(AND(ISNUMBER(E93),ISNUMBER(F93))),$J$2=""),2&gt;Reprogramaciones!$K$16),"",IF(ROUND(SUM($Q93:R93),1)&gt;=99.5,100,MIN(100,ROUND(SUM($Q93:R93),1))))</f>
        <v/>
      </c>
      <c r="CL93" s="1" t="str">
        <f aca="false">IF(OR(OR(NOT(AND(ISNUMBER(E93),ISNUMBER(F93))),$J$2=""),3&gt;Reprogramaciones!$K$16),"",IF(ROUND(SUM($Q93:S93),1)&gt;=99.5,100,MIN(100,ROUND(SUM($Q93:S93),1))))</f>
        <v/>
      </c>
      <c r="CM93" s="1" t="str">
        <f aca="false">IF(OR(OR(NOT(AND(ISNUMBER(E93),ISNUMBER(F93))),$J$2=""),4&gt;Reprogramaciones!$K$16),"",IF(ROUND(SUM($Q93:T93),1)&gt;=99.5,100,MIN(100,ROUND(SUM($Q93:T93),1))))</f>
        <v/>
      </c>
      <c r="CN93" s="1" t="str">
        <f aca="false">IF(OR(OR(NOT(AND(ISNUMBER(E93),ISNUMBER(F93))),$J$2=""),5&gt;Reprogramaciones!$K$16),"",IF(ROUND(SUM($Q93:U93),1)&gt;=99.5,100,MIN(100,ROUND(SUM($Q93:U93),1))))</f>
        <v/>
      </c>
      <c r="CO93" s="1" t="str">
        <f aca="false">IF(OR(OR(NOT(AND(ISNUMBER(E93),ISNUMBER(F93))),$J$2=""),6&gt;Reprogramaciones!$K$16),"",IF(ROUND(SUM($Q93:V93),1)&gt;=99.5,100,MIN(100,ROUND(SUM($Q93:V93),1))))</f>
        <v/>
      </c>
      <c r="CP93" s="1" t="str">
        <f aca="false">IF(OR(OR(NOT(AND(ISNUMBER(E93),ISNUMBER(F93))),$J$2=""),7&gt;Reprogramaciones!$K$16),"",IF(ROUND(SUM($Q93:W93),1)&gt;=99.5,100,MIN(100,ROUND(SUM($Q93:W93),1))))</f>
        <v/>
      </c>
      <c r="CQ93" s="1" t="str">
        <f aca="false">IF(OR(OR(NOT(AND(ISNUMBER(E93),ISNUMBER(F93))),$J$2=""),8&gt;Reprogramaciones!$K$16),"",IF(ROUND(SUM($Q93:X93),1)&gt;=99.5,100,MIN(100,ROUND(SUM($Q93:X93),1))))</f>
        <v/>
      </c>
      <c r="CR93" s="1" t="str">
        <f aca="false">IF(OR(OR(NOT(AND(ISNUMBER(E93),ISNUMBER(F93))),$J$2=""),9&gt;Reprogramaciones!$K$16),"",IF(ROUND(SUM($Q93:Y93),1)&gt;=99.5,100,MIN(100,ROUND(SUM($Q93:Y93),1))))</f>
        <v/>
      </c>
      <c r="CS93" s="1" t="str">
        <f aca="false">IF(OR(OR(NOT(AND(ISNUMBER(E93),ISNUMBER(F93))),$J$2=""),10&gt;Reprogramaciones!$K$16),"",IF(ROUND(SUM($Q93:Z93),1)&gt;=99.5,100,MIN(100,ROUND(SUM($Q93:Z93),1))))</f>
        <v/>
      </c>
      <c r="CT93" s="1" t="str">
        <f aca="false">IF(OR(OR(NOT(AND(ISNUMBER(E93),ISNUMBER(F93))),$J$2=""),11&gt;Reprogramaciones!$K$16),"",IF(ROUND(SUM($Q93:AA93),1)&gt;=99.5,100,MIN(100,ROUND(SUM($Q93:AA93),1))))</f>
        <v/>
      </c>
      <c r="CU93" s="1" t="str">
        <f aca="false">IF(OR(OR(NOT(AND(ISNUMBER(E93),ISNUMBER(F93))),$J$2=""),12&gt;Reprogramaciones!$K$16),"",IF(ROUND(SUM($Q93:AB93),1)&gt;=99.5,100,MIN(100,ROUND(SUM($Q93:AB93),1))))</f>
        <v/>
      </c>
      <c r="CV93" s="1" t="str">
        <f aca="false">IF(OR(OR(NOT(AND(ISNUMBER(E93),ISNUMBER(F93))),$J$2=""),13&gt;Reprogramaciones!$K$16),"",IF(ROUND(SUM($Q93:AC93),1)&gt;=99.5,100,MIN(100,ROUND(SUM($Q93:AC93),1))))</f>
        <v/>
      </c>
      <c r="CW93" s="1" t="str">
        <f aca="false">IF(OR(OR(NOT(AND(ISNUMBER(E93),ISNUMBER(F93))),$J$2=""),14&gt;Reprogramaciones!$K$16),"",IF(ROUND(SUM($Q93:AD93),1)&gt;=99.5,100,MIN(100,ROUND(SUM($Q93:AD93),1))))</f>
        <v/>
      </c>
      <c r="CX93" s="1" t="str">
        <f aca="false">IF(OR(OR(NOT(AND(ISNUMBER(E93),ISNUMBER(F93))),$J$2=""),15&gt;Reprogramaciones!$K$16),"",IF(ROUND(SUM($Q93:AE93),1)&gt;=99.5,100,MIN(100,ROUND(SUM($Q93:AE93),1))))</f>
        <v/>
      </c>
      <c r="CY93" s="1" t="str">
        <f aca="false">IF(OR(OR(NOT(AND(ISNUMBER(E93),ISNUMBER(F93))),$J$2=""),16&gt;Reprogramaciones!$K$16),"",IF(ROUND(SUM($Q93:AF93),1)&gt;=99.5,100,MIN(100,ROUND(SUM($Q93:AF93),1))))</f>
        <v/>
      </c>
      <c r="CZ93" s="1" t="str">
        <f aca="false">IF(D93&lt;&gt;"",D93,IF(B93&lt;&gt;"","Contractual",CZ92))</f>
        <v>Contractual</v>
      </c>
      <c r="DA93" s="1" t="str">
        <f aca="false">IF(OR(NOT(AND(ISNUMBER(E93),ISNUMBER(F93))),$J$2=""),"",IF(Reprogramaciones!$Q$15&lt;Reprogramaciones!$T$15,0,IF(Reprogramaciones!$S$15&gt;10,MIN(100,SUM($G93:$P93)),MIN(100,SUMPRODUCT((COLUMN($G93:$P93)-COLUMN($G93)+1&lt;Reprogramaciones!$S$15)*$G93:$P93)+N(INDEX($G93:$P93,1,Reprogramaciones!$S$15))*IF(Reprogramaciones!$Q$15&gt;=(Reprogramaciones!$T$15+7*(Reprogramaciones!$S$15-1))+6,1,IF(MAX(0,NETWORKDAYS.INTL(MAX(E93,(Reprogramaciones!$T$15+7*(Reprogramaciones!$S$15-1))),MIN(F93,(Reprogramaciones!$T$15+7*(Reprogramaciones!$S$15-1))+6),11))=0,0,MAX(0,NETWORKDAYS.INTL(MAX(E93,(Reprogramaciones!$T$15+7*(Reprogramaciones!$S$15-1))),MIN(F93,Reprogramaciones!$Q$15),11))/MAX(0,NETWORKDAYS.INTL(MAX(E93,(Reprogramaciones!$T$15+7*(Reprogramaciones!$S$15-1))),MIN(F93,(Reprogramaciones!$T$15+7*(Reprogramaciones!$S$15-1))+6),11))))))))</f>
        <v/>
      </c>
    </row>
    <row r="94" customFormat="false" ht="15" hidden="false" customHeight="false" outlineLevel="0" collapsed="false">
      <c r="A94" s="32"/>
      <c r="B94" s="33"/>
      <c r="C94" s="33"/>
      <c r="D94" s="34"/>
      <c r="E94" s="35"/>
      <c r="F94" s="35"/>
      <c r="G94" s="36" t="str">
        <f aca="false">IF(OR(NOT(AND(ISNUMBER(E94),ISNUMBER(F94))),$J$2=""),"",IF(Reprogramaciones!K$9&lt;E94,0,IF(NETWORKDAYS.INTL(E94,F94,11)=0,IF(Reprogramaciones!K$9&gt;=F94,100,0),ROUND(NETWORKDAYS.INTL(E94,MIN(F94,Reprogramaciones!K$9),11)/NETWORKDAYS.INTL(E94,F94,11)*100,1)))-0)</f>
        <v/>
      </c>
      <c r="H94" s="36" t="str">
        <f aca="false">IF(OR(NOT(AND(ISNUMBER(E94),ISNUMBER(F94))),$J$2=""),"",IF(Reprogramaciones!L$9&lt;E94,0,IF(NETWORKDAYS.INTL(E94,F94,11)=0,IF(Reprogramaciones!L$9&gt;=F94,100,0),ROUND(NETWORKDAYS.INTL(E94,MIN(F94,Reprogramaciones!L$9),11)/NETWORKDAYS.INTL(E94,F94,11)*100,1)))-IF(Reprogramaciones!K$9&lt;E94,0,IF(NETWORKDAYS.INTL(E94,F94,11)=0,IF(Reprogramaciones!K$9&gt;=F94,100,0),ROUND(NETWORKDAYS.INTL(E94,MIN(F94,Reprogramaciones!K$9),11)/NETWORKDAYS.INTL(E94,F94,11)*100,1))))</f>
        <v/>
      </c>
      <c r="I94" s="36" t="str">
        <f aca="false">IF(OR(NOT(AND(ISNUMBER(E94),ISNUMBER(F94))),$J$2=""),"",IF(Reprogramaciones!M$9&lt;E94,0,IF(NETWORKDAYS.INTL(E94,F94,11)=0,IF(Reprogramaciones!M$9&gt;=F94,100,0),ROUND(NETWORKDAYS.INTL(E94,MIN(F94,Reprogramaciones!M$9),11)/NETWORKDAYS.INTL(E94,F94,11)*100,1)))-IF(Reprogramaciones!L$9&lt;E94,0,IF(NETWORKDAYS.INTL(E94,F94,11)=0,IF(Reprogramaciones!L$9&gt;=F94,100,0),ROUND(NETWORKDAYS.INTL(E94,MIN(F94,Reprogramaciones!L$9),11)/NETWORKDAYS.INTL(E94,F94,11)*100,1))))</f>
        <v/>
      </c>
      <c r="J94" s="36" t="str">
        <f aca="false">IF(OR(NOT(AND(ISNUMBER(E94),ISNUMBER(F94))),$J$2=""),"",IF(Reprogramaciones!N$9&lt;E94,0,IF(NETWORKDAYS.INTL(E94,F94,11)=0,IF(Reprogramaciones!N$9&gt;=F94,100,0),ROUND(NETWORKDAYS.INTL(E94,MIN(F94,Reprogramaciones!N$9),11)/NETWORKDAYS.INTL(E94,F94,11)*100,1)))-IF(Reprogramaciones!M$9&lt;E94,0,IF(NETWORKDAYS.INTL(E94,F94,11)=0,IF(Reprogramaciones!M$9&gt;=F94,100,0),ROUND(NETWORKDAYS.INTL(E94,MIN(F94,Reprogramaciones!M$9),11)/NETWORKDAYS.INTL(E94,F94,11)*100,1))))</f>
        <v/>
      </c>
      <c r="K94" s="36" t="str">
        <f aca="false">IF(OR(NOT(AND(ISNUMBER(E94),ISNUMBER(F94))),$J$2=""),"",IF(Reprogramaciones!O$9&lt;E94,0,IF(NETWORKDAYS.INTL(E94,F94,11)=0,IF(Reprogramaciones!O$9&gt;=F94,100,0),ROUND(NETWORKDAYS.INTL(E94,MIN(F94,Reprogramaciones!O$9),11)/NETWORKDAYS.INTL(E94,F94,11)*100,1)))-IF(Reprogramaciones!N$9&lt;E94,0,IF(NETWORKDAYS.INTL(E94,F94,11)=0,IF(Reprogramaciones!N$9&gt;=F94,100,0),ROUND(NETWORKDAYS.INTL(E94,MIN(F94,Reprogramaciones!N$9),11)/NETWORKDAYS.INTL(E94,F94,11)*100,1))))</f>
        <v/>
      </c>
      <c r="L94" s="36" t="str">
        <f aca="false">IF(OR(NOT(AND(ISNUMBER(E94),ISNUMBER(F94))),$J$2=""),"",IF(Reprogramaciones!P$9&lt;E94,0,IF(NETWORKDAYS.INTL(E94,F94,11)=0,IF(Reprogramaciones!P$9&gt;=F94,100,0),ROUND(NETWORKDAYS.INTL(E94,MIN(F94,Reprogramaciones!P$9),11)/NETWORKDAYS.INTL(E94,F94,11)*100,1)))-IF(Reprogramaciones!O$9&lt;E94,0,IF(NETWORKDAYS.INTL(E94,F94,11)=0,IF(Reprogramaciones!O$9&gt;=F94,100,0),ROUND(NETWORKDAYS.INTL(E94,MIN(F94,Reprogramaciones!O$9),11)/NETWORKDAYS.INTL(E94,F94,11)*100,1))))</f>
        <v/>
      </c>
      <c r="M94" s="36" t="str">
        <f aca="false">IF(OR(NOT(AND(ISNUMBER(E94),ISNUMBER(F94))),$J$2=""),"",IF(Reprogramaciones!Q$9&lt;E94,0,IF(NETWORKDAYS.INTL(E94,F94,11)=0,IF(Reprogramaciones!Q$9&gt;=F94,100,0),ROUND(NETWORKDAYS.INTL(E94,MIN(F94,Reprogramaciones!Q$9),11)/NETWORKDAYS.INTL(E94,F94,11)*100,1)))-IF(Reprogramaciones!P$9&lt;E94,0,IF(NETWORKDAYS.INTL(E94,F94,11)=0,IF(Reprogramaciones!P$9&gt;=F94,100,0),ROUND(NETWORKDAYS.INTL(E94,MIN(F94,Reprogramaciones!P$9),11)/NETWORKDAYS.INTL(E94,F94,11)*100,1))))</f>
        <v/>
      </c>
      <c r="N94" s="36" t="str">
        <f aca="false">IF(OR(NOT(AND(ISNUMBER(E94),ISNUMBER(F94))),$J$2=""),"",IF(Reprogramaciones!R$9&lt;E94,0,IF(NETWORKDAYS.INTL(E94,F94,11)=0,IF(Reprogramaciones!R$9&gt;=F94,100,0),ROUND(NETWORKDAYS.INTL(E94,MIN(F94,Reprogramaciones!R$9),11)/NETWORKDAYS.INTL(E94,F94,11)*100,1)))-IF(Reprogramaciones!Q$9&lt;E94,0,IF(NETWORKDAYS.INTL(E94,F94,11)=0,IF(Reprogramaciones!Q$9&gt;=F94,100,0),ROUND(NETWORKDAYS.INTL(E94,MIN(F94,Reprogramaciones!Q$9),11)/NETWORKDAYS.INTL(E94,F94,11)*100,1))))</f>
        <v/>
      </c>
      <c r="O94" s="36" t="str">
        <f aca="false">IF(OR(NOT(AND(ISNUMBER(E94),ISNUMBER(F94))),$J$2=""),"",IF(Reprogramaciones!S$9&lt;E94,0,IF(NETWORKDAYS.INTL(E94,F94,11)=0,IF(Reprogramaciones!S$9&gt;=F94,100,0),ROUND(NETWORKDAYS.INTL(E94,MIN(F94,Reprogramaciones!S$9),11)/NETWORKDAYS.INTL(E94,F94,11)*100,1)))-IF(Reprogramaciones!R$9&lt;E94,0,IF(NETWORKDAYS.INTL(E94,F94,11)=0,IF(Reprogramaciones!R$9&gt;=F94,100,0),ROUND(NETWORKDAYS.INTL(E94,MIN(F94,Reprogramaciones!R$9),11)/NETWORKDAYS.INTL(E94,F94,11)*100,1))))</f>
        <v/>
      </c>
      <c r="P94" s="36" t="str">
        <f aca="false">IF(OR(NOT(AND(ISNUMBER(E94),ISNUMBER(F94))),$J$2=""),"",IF(Reprogramaciones!T$9&lt;E94,0,IF(NETWORKDAYS.INTL(E94,F94,11)=0,IF(Reprogramaciones!T$9&gt;=F94,100,0),ROUND(NETWORKDAYS.INTL(E94,MIN(F94,Reprogramaciones!T$9),11)/NETWORKDAYS.INTL(E94,F94,11)*100,1)))-IF(Reprogramaciones!S$9&lt;E94,0,IF(NETWORKDAYS.INTL(E94,F94,11)=0,IF(Reprogramaciones!S$9&gt;=F94,100,0),ROUND(NETWORKDAYS.INTL(E94,MIN(F94,Reprogramaciones!S$9),11)/NETWORKDAYS.INTL(E94,F94,11)*100,1))))</f>
        <v/>
      </c>
      <c r="Q94" s="37"/>
      <c r="R94" s="37"/>
      <c r="S94" s="37"/>
      <c r="T94" s="37"/>
      <c r="U94" s="37"/>
      <c r="V94" s="37"/>
      <c r="W94" s="37"/>
      <c r="X94" s="37"/>
      <c r="Y94" s="37"/>
      <c r="Z94" s="37"/>
      <c r="AA94" s="37"/>
      <c r="AB94" s="37"/>
      <c r="AC94" s="37"/>
      <c r="AD94" s="37"/>
      <c r="AE94" s="37"/>
      <c r="AF94" s="37"/>
      <c r="AG94" s="38" t="str">
        <f aca="false">IF(AND(ISNUMBER(E94),ISNUMBER(F94)),NETWORKDAYS.INTL(E94,F94,11),"")</f>
        <v/>
      </c>
      <c r="AH94" s="38" t="str">
        <f aca="false">IF(OR(NOT(AND(ISNUMBER(E94),ISNUMBER(F94))),$J$2=""),"",IF(Reprogramaciones!$P$15&lt;Reprogramaciones!$T$15,0,IF(Reprogramaciones!$R$15&gt;10,MIN(100,SUM($G94:$P94)),MIN(100,SUMPRODUCT((COLUMN($G94:$P94)-COLUMN($G94)+1&lt;Reprogramaciones!$R$15)*$G94:$P94)+N(INDEX($G94:$P94,1,Reprogramaciones!$R$15))*IF(Reprogramaciones!$P$15&gt;=(Reprogramaciones!$T$15+7*(Reprogramaciones!$R$15-1))+6,1,IF(MAX(0,NETWORKDAYS.INTL(MAX(E94,(Reprogramaciones!$T$15+7*(Reprogramaciones!$R$15-1))),MIN(F94,(Reprogramaciones!$T$15+7*(Reprogramaciones!$R$15-1))+6),11))=0,0,MAX(0,NETWORKDAYS.INTL(MAX(E94,(Reprogramaciones!$T$15+7*(Reprogramaciones!$R$15-1))),MIN(F94,Reprogramaciones!$P$15),11))/MAX(0,NETWORKDAYS.INTL(MAX(E94,(Reprogramaciones!$T$15+7*(Reprogramaciones!$R$15-1))),MIN(F94,(Reprogramaciones!$T$15+7*(Reprogramaciones!$R$15-1))+6),11))))))))</f>
        <v/>
      </c>
      <c r="AI94" s="38" t="str">
        <f aca="false">IF(COUNT($Q94:$AF94)=0,"",IF(ROUND(SUM($Q94:$AF94),1)&gt;=99.5,100,MIN(100,ROUND(SUM($Q94:$AF94),1))))</f>
        <v/>
      </c>
      <c r="AJ94" s="38" t="str">
        <f aca="false">IF(OR(AH94="",AI94=""),"",AI94-AH94)</f>
        <v/>
      </c>
      <c r="AK94" s="39" t="str">
        <f aca="true">IF(AH94="","",IF(OR(Ficha!$C$10="Suspendida",Ficha!$C$10="Cancelada"),Ficha!$C$10,IF(AND(AI94&lt;&gt;"",N(AI94)&gt;=100),"Completada",IF(AND(E94&gt;TODAY(),N(AI94)=0),"Por iniciar",IF(N(AI94)+0.5&lt;AH94,"Retrasada",IF(N(AI94)+0.5&lt;DA94,IF(Reprogramaciones!$K$15&gt;0,"Al día · Sem "&amp;Reprogramaciones!$K$15&amp;" en curso","Al día · en curso"),"A tiempo"))))))</f>
        <v/>
      </c>
      <c r="AL94" s="39" t="str">
        <f aca="true">IF(AND(A94="",AND(B94="",C94="",E94="",F94="",COUNT(Q94:AF94)=0)),"",IF(AND(B94="",C94="",E94="",F94="",COUNT(Q94:AF94)=0),"Falta la partida o subpartida",IF(AND(A94&lt;&gt;"",COUNTIF($A$6:$A$305,A94)&gt;1),"Ítem repetido",IF(AND(C94="",E94="",F94="",COUNT(Q94:AF94)=0),"Título de partida",IF(OR(E94="",F94=""),"Faltan fechas",IF(OR(ISTEXT(E94),ISTEXT(F94)),"Fecha escrita como texto: usa dd/mm/aaaa",IF(F94&lt;E94,"Fin antes del inicio",IF(IF($J$2="",FALSE(),OR(E94&lt;$J$2,F94&gt;Reprogramaciones!$T$15+69)),"Fuera de las 10 semanas",IF(ABS(SUM(G94:P94)-100)&gt;0.5,"La meta no suma 100%",IF(ROUND(SUM(Q94:AF94),1)&gt;100.5,"El avance pasa de 100%",IF(MIN(Q94:AF94)&lt;0,"Avance negativo",IF(COUNTA(Q94:AF94)&gt;COUNT(Q94:AF94),"Avance escrito como texto",IF(SUMPRODUCT((Q94:AF94&gt;0)*(Q94:AF94&lt;1))&gt;0,"Avance menor a 1: escribe 50, no 50%",IF(SUMPRODUCT(ISNUMBER(Q94:AF94)*(Reprogramaciones!$K$8:$Z$8&gt;TODAY()))&gt;0,"Avance en semana que aún no llega",IF(AND(N(Reprogramaciones!$E$21)&gt;0,F94&gt;Reprogramaciones!$E$21),"Pasa el fin de la obra: registra una reprogramación",IF(AND(N(Reprogramaciones!$E$21)&gt;0,SUMPRODUCT(ISNUMBER(Q94:AF94)*(Reprogramaciones!$K$8:$Z$8&gt;Reprogramaciones!$E$21))&gt;0),"Avance después del fin de la obra: registra una reprogramación por atraso","OK"))))))))))))))))</f>
        <v/>
      </c>
      <c r="AM94" s="40" t="str">
        <f aca="false">IF(OR(OR(NOT(AND(ISNUMBER(E94),ISNUMBER(F94))),$J$2=""),1&gt;MAX(1,Reprogramaciones!$U$15)),"",IF(Reprogramaciones!K$12&gt;=7,"",IF(OR(BT94-N(0)&gt;0.05,N(Q94)&gt;0),ROUNDDOWN(ROUND(BT94,6),0)&amp;"%"&amp;IF(CJ94="",""," / "&amp;CJ94&amp;"%"),IF(AND(N(0)&gt;=99.95,CJ94&lt;&gt;"",N(CJ94)&lt;100),"Pend. "&amp;CJ94&amp;"%",""))))</f>
        <v/>
      </c>
      <c r="AN94" s="40" t="str">
        <f aca="false">IF(OR(OR(NOT(AND(ISNUMBER(E94),ISNUMBER(F94))),$J$2=""),2&gt;MAX(1,Reprogramaciones!$U$15)),"",IF(Reprogramaciones!L$12&gt;=7,"",IF(OR(BU94-N(BT94)&gt;0.05,N(R94)&gt;0),ROUNDDOWN(ROUND(BU94,6),0)&amp;"%"&amp;IF(CK94="",""," / "&amp;CK94&amp;"%"),IF(AND(N(BT94)&gt;=99.95,CK94&lt;&gt;"",N(CK94)&lt;100),"Pend. "&amp;CK94&amp;"%",""))))</f>
        <v/>
      </c>
      <c r="AO94" s="40" t="str">
        <f aca="false">IF(OR(OR(NOT(AND(ISNUMBER(E94),ISNUMBER(F94))),$J$2=""),3&gt;MAX(1,Reprogramaciones!$U$15)),"",IF(Reprogramaciones!M$12&gt;=7,"",IF(OR(BV94-N(BU94)&gt;0.05,N(S94)&gt;0),ROUNDDOWN(ROUND(BV94,6),0)&amp;"%"&amp;IF(CL94="",""," / "&amp;CL94&amp;"%"),IF(AND(N(BU94)&gt;=99.95,CL94&lt;&gt;"",N(CL94)&lt;100),"Pend. "&amp;CL94&amp;"%",""))))</f>
        <v/>
      </c>
      <c r="AP94" s="40" t="str">
        <f aca="false">IF(OR(OR(NOT(AND(ISNUMBER(E94),ISNUMBER(F94))),$J$2=""),4&gt;MAX(1,Reprogramaciones!$U$15)),"",IF(Reprogramaciones!N$12&gt;=7,"",IF(OR(BW94-N(BV94)&gt;0.05,N(T94)&gt;0),ROUNDDOWN(ROUND(BW94,6),0)&amp;"%"&amp;IF(CM94="",""," / "&amp;CM94&amp;"%"),IF(AND(N(BV94)&gt;=99.95,CM94&lt;&gt;"",N(CM94)&lt;100),"Pend. "&amp;CM94&amp;"%",""))))</f>
        <v/>
      </c>
      <c r="AQ94" s="40" t="str">
        <f aca="false">IF(OR(OR(NOT(AND(ISNUMBER(E94),ISNUMBER(F94))),$J$2=""),5&gt;MAX(1,Reprogramaciones!$U$15)),"",IF(Reprogramaciones!O$12&gt;=7,"",IF(OR(BX94-N(BW94)&gt;0.05,N(U94)&gt;0),ROUNDDOWN(ROUND(BX94,6),0)&amp;"%"&amp;IF(CN94="",""," / "&amp;CN94&amp;"%"),IF(AND(N(BW94)&gt;=99.95,CN94&lt;&gt;"",N(CN94)&lt;100),"Pend. "&amp;CN94&amp;"%",""))))</f>
        <v/>
      </c>
      <c r="AR94" s="40" t="str">
        <f aca="false">IF(OR(OR(NOT(AND(ISNUMBER(E94),ISNUMBER(F94))),$J$2=""),6&gt;MAX(1,Reprogramaciones!$U$15)),"",IF(Reprogramaciones!P$12&gt;=7,"",IF(OR(BY94-N(BX94)&gt;0.05,N(V94)&gt;0),ROUNDDOWN(ROUND(BY94,6),0)&amp;"%"&amp;IF(CO94="",""," / "&amp;CO94&amp;"%"),IF(AND(N(BX94)&gt;=99.95,CO94&lt;&gt;"",N(CO94)&lt;100),"Pend. "&amp;CO94&amp;"%",""))))</f>
        <v/>
      </c>
      <c r="AS94" s="40" t="str">
        <f aca="false">IF(OR(OR(NOT(AND(ISNUMBER(E94),ISNUMBER(F94))),$J$2=""),7&gt;MAX(1,Reprogramaciones!$U$15)),"",IF(Reprogramaciones!Q$12&gt;=7,"",IF(OR(BZ94-N(BY94)&gt;0.05,N(W94)&gt;0),ROUNDDOWN(ROUND(BZ94,6),0)&amp;"%"&amp;IF(CP94="",""," / "&amp;CP94&amp;"%"),IF(AND(N(BY94)&gt;=99.95,CP94&lt;&gt;"",N(CP94)&lt;100),"Pend. "&amp;CP94&amp;"%",""))))</f>
        <v/>
      </c>
      <c r="AT94" s="40" t="str">
        <f aca="false">IF(OR(OR(NOT(AND(ISNUMBER(E94),ISNUMBER(F94))),$J$2=""),8&gt;MAX(1,Reprogramaciones!$U$15)),"",IF(Reprogramaciones!R$12&gt;=7,"",IF(OR(CA94-N(BZ94)&gt;0.05,N(X94)&gt;0),ROUNDDOWN(ROUND(CA94,6),0)&amp;"%"&amp;IF(CQ94="",""," / "&amp;CQ94&amp;"%"),IF(AND(N(BZ94)&gt;=99.95,CQ94&lt;&gt;"",N(CQ94)&lt;100),"Pend. "&amp;CQ94&amp;"%",""))))</f>
        <v/>
      </c>
      <c r="AU94" s="40" t="str">
        <f aca="false">IF(OR(OR(NOT(AND(ISNUMBER(E94),ISNUMBER(F94))),$J$2=""),9&gt;MAX(1,Reprogramaciones!$U$15)),"",IF(Reprogramaciones!S$12&gt;=7,"",IF(OR(CB94-N(CA94)&gt;0.05,N(Y94)&gt;0),ROUNDDOWN(ROUND(CB94,6),0)&amp;"%"&amp;IF(CR94="",""," / "&amp;CR94&amp;"%"),IF(AND(N(CA94)&gt;=99.95,CR94&lt;&gt;"",N(CR94)&lt;100),"Pend. "&amp;CR94&amp;"%",""))))</f>
        <v/>
      </c>
      <c r="AV94" s="40" t="str">
        <f aca="false">IF(OR(OR(NOT(AND(ISNUMBER(E94),ISNUMBER(F94))),$J$2=""),10&gt;MAX(1,Reprogramaciones!$U$15)),"",IF(Reprogramaciones!T$12&gt;=7,"",IF(OR(CC94-N(CB94)&gt;0.05,N(Z94)&gt;0),ROUNDDOWN(ROUND(CC94,6),0)&amp;"%"&amp;IF(CS94="",""," / "&amp;CS94&amp;"%"),IF(AND(N(CB94)&gt;=99.95,CS94&lt;&gt;"",N(CS94)&lt;100),"Pend. "&amp;CS94&amp;"%",""))))</f>
        <v/>
      </c>
      <c r="AW94" s="40" t="str">
        <f aca="false">IF(OR(OR(NOT(AND(ISNUMBER(E94),ISNUMBER(F94))),$J$2=""),11&gt;MAX(1,Reprogramaciones!$U$15)),"",IF(Reprogramaciones!U$12&gt;=7,"",IF(OR(CD94-N(CC94)&gt;0.05,N(AA94)&gt;0),ROUNDDOWN(ROUND(CD94,6),0)&amp;"%"&amp;IF(CT94="",""," / "&amp;CT94&amp;"%"),IF(AND(N(CC94)&gt;=99.95,CT94&lt;&gt;"",N(CT94)&lt;100),"Pend. "&amp;CT94&amp;"%",""))))</f>
        <v/>
      </c>
      <c r="AX94" s="40" t="str">
        <f aca="false">IF(OR(OR(NOT(AND(ISNUMBER(E94),ISNUMBER(F94))),$J$2=""),12&gt;MAX(1,Reprogramaciones!$U$15)),"",IF(Reprogramaciones!V$12&gt;=7,"",IF(OR(CE94-N(CD94)&gt;0.05,N(AB94)&gt;0),ROUNDDOWN(ROUND(CE94,6),0)&amp;"%"&amp;IF(CU94="",""," / "&amp;CU94&amp;"%"),IF(AND(N(CD94)&gt;=99.95,CU94&lt;&gt;"",N(CU94)&lt;100),"Pend. "&amp;CU94&amp;"%",""))))</f>
        <v/>
      </c>
      <c r="AY94" s="40" t="str">
        <f aca="false">IF(OR(OR(NOT(AND(ISNUMBER(E94),ISNUMBER(F94))),$J$2=""),13&gt;MAX(1,Reprogramaciones!$U$15)),"",IF(Reprogramaciones!W$12&gt;=7,"",IF(OR(CF94-N(CE94)&gt;0.05,N(AC94)&gt;0),ROUNDDOWN(ROUND(CF94,6),0)&amp;"%"&amp;IF(CV94="",""," / "&amp;CV94&amp;"%"),IF(AND(N(CE94)&gt;=99.95,CV94&lt;&gt;"",N(CV94)&lt;100),"Pend. "&amp;CV94&amp;"%",""))))</f>
        <v/>
      </c>
      <c r="AZ94" s="40" t="str">
        <f aca="false">IF(OR(OR(NOT(AND(ISNUMBER(E94),ISNUMBER(F94))),$J$2=""),14&gt;MAX(1,Reprogramaciones!$U$15)),"",IF(Reprogramaciones!X$12&gt;=7,"",IF(OR(CG94-N(CF94)&gt;0.05,N(AD94)&gt;0),ROUNDDOWN(ROUND(CG94,6),0)&amp;"%"&amp;IF(CW94="",""," / "&amp;CW94&amp;"%"),IF(AND(N(CF94)&gt;=99.95,CW94&lt;&gt;"",N(CW94)&lt;100),"Pend. "&amp;CW94&amp;"%",""))))</f>
        <v/>
      </c>
      <c r="BA94" s="40" t="str">
        <f aca="false">IF(OR(OR(NOT(AND(ISNUMBER(E94),ISNUMBER(F94))),$J$2=""),15&gt;MAX(1,Reprogramaciones!$U$15)),"",IF(Reprogramaciones!Y$12&gt;=7,"",IF(OR(CH94-N(CG94)&gt;0.05,N(AE94)&gt;0),ROUNDDOWN(ROUND(CH94,6),0)&amp;"%"&amp;IF(CX94="",""," / "&amp;CX94&amp;"%"),IF(AND(N(CG94)&gt;=99.95,CX94&lt;&gt;"",N(CX94)&lt;100),"Pend. "&amp;CX94&amp;"%",""))))</f>
        <v/>
      </c>
      <c r="BB94" s="40" t="str">
        <f aca="false">IF(OR(OR(NOT(AND(ISNUMBER(E94),ISNUMBER(F94))),$J$2=""),16&gt;MAX(1,Reprogramaciones!$U$15)),"",IF(Reprogramaciones!Z$12&gt;=7,"",IF(OR(CI94-N(CH94)&gt;0.05,N(AF94)&gt;0),ROUNDDOWN(ROUND(CI94,6),0)&amp;"%"&amp;IF(CY94="",""," / "&amp;CY94&amp;"%"),IF(AND(N(CH94)&gt;=99.95,CY94&lt;&gt;"",N(CY94)&lt;100),"Pend. "&amp;CY94&amp;"%",""))))</f>
        <v/>
      </c>
      <c r="BC94" s="31" t="n">
        <f aca="false">IF(AND(ISNUMBER(E94),ISNUMBER(F94)),MAX(1,NETWORKDAYS.INTL(E94,F94,11)),0)</f>
        <v>0</v>
      </c>
      <c r="BD94" s="1" t="str">
        <f aca="false">IF(OR(NOT(AND(ISNUMBER(E94),ISNUMBER(F94))),$J$2=""),"",MIN(100,ROUND(SUM($G94:G94),1)))</f>
        <v/>
      </c>
      <c r="BE94" s="1" t="str">
        <f aca="false">IF(OR(NOT(AND(ISNUMBER(E94),ISNUMBER(F94))),$J$2=""),"",MIN(100,ROUND(SUM($G94:H94),1)))</f>
        <v/>
      </c>
      <c r="BF94" s="1" t="str">
        <f aca="false">IF(OR(NOT(AND(ISNUMBER(E94),ISNUMBER(F94))),$J$2=""),"",MIN(100,ROUND(SUM($G94:I94),1)))</f>
        <v/>
      </c>
      <c r="BG94" s="1" t="str">
        <f aca="false">IF(OR(NOT(AND(ISNUMBER(E94),ISNUMBER(F94))),$J$2=""),"",MIN(100,ROUND(SUM($G94:J94),1)))</f>
        <v/>
      </c>
      <c r="BH94" s="1" t="str">
        <f aca="false">IF(OR(NOT(AND(ISNUMBER(E94),ISNUMBER(F94))),$J$2=""),"",MIN(100,ROUND(SUM($G94:K94),1)))</f>
        <v/>
      </c>
      <c r="BI94" s="1" t="str">
        <f aca="false">IF(OR(NOT(AND(ISNUMBER(E94),ISNUMBER(F94))),$J$2=""),"",MIN(100,ROUND(SUM($G94:L94),1)))</f>
        <v/>
      </c>
      <c r="BJ94" s="1" t="str">
        <f aca="false">IF(OR(NOT(AND(ISNUMBER(E94),ISNUMBER(F94))),$J$2=""),"",MIN(100,ROUND(SUM($G94:M94),1)))</f>
        <v/>
      </c>
      <c r="BK94" s="1" t="str">
        <f aca="false">IF(OR(NOT(AND(ISNUMBER(E94),ISNUMBER(F94))),$J$2=""),"",MIN(100,ROUND(SUM($G94:N94),1)))</f>
        <v/>
      </c>
      <c r="BL94" s="1" t="str">
        <f aca="false">IF(OR(NOT(AND(ISNUMBER(E94),ISNUMBER(F94))),$J$2=""),"",MIN(100,ROUND(SUM($G94:O94),1)))</f>
        <v/>
      </c>
      <c r="BM94" s="1" t="str">
        <f aca="false">IF(OR(NOT(AND(ISNUMBER(E94),ISNUMBER(F94))),$J$2=""),"",MIN(100,ROUND(SUM($G94:P94),1)))</f>
        <v/>
      </c>
      <c r="BN94" s="1" t="str">
        <f aca="false">IF(OR(NOT(AND(ISNUMBER(E94),ISNUMBER(F94))),$J$2=""),"",MIN(100,ROUND(SUM($G94:P94),1)))</f>
        <v/>
      </c>
      <c r="BO94" s="1" t="str">
        <f aca="false">IF(OR(NOT(AND(ISNUMBER(E94),ISNUMBER(F94))),$J$2=""),"",MIN(100,ROUND(SUM($G94:P94),1)))</f>
        <v/>
      </c>
      <c r="BP94" s="1" t="str">
        <f aca="false">IF(OR(NOT(AND(ISNUMBER(E94),ISNUMBER(F94))),$J$2=""),"",MIN(100,ROUND(SUM($G94:P94),1)))</f>
        <v/>
      </c>
      <c r="BQ94" s="1" t="str">
        <f aca="false">IF(OR(NOT(AND(ISNUMBER(E94),ISNUMBER(F94))),$J$2=""),"",MIN(100,ROUND(SUM($G94:P94),1)))</f>
        <v/>
      </c>
      <c r="BR94" s="1" t="str">
        <f aca="false">IF(OR(NOT(AND(ISNUMBER(E94),ISNUMBER(F94))),$J$2=""),"",MIN(100,ROUND(SUM($G94:P94),1)))</f>
        <v/>
      </c>
      <c r="BS94" s="1" t="str">
        <f aca="false">IF(OR(NOT(AND(ISNUMBER(E94),ISNUMBER(F94))),$J$2=""),"",MIN(100,ROUND(SUM($G94:P94),1)))</f>
        <v/>
      </c>
      <c r="BT94" s="1" t="str">
        <f aca="false">IF(OR(NOT(AND(ISNUMBER(E94),ISNUMBER(F94))),$J$2=""),"",IF(Reprogramaciones!K$13&lt;Reprogramaciones!$T$15,0,IF(Reprogramaciones!K$14&gt;10,MIN(100,SUM($G94:$P94)),MIN(100,SUMPRODUCT((COLUMN($G94:$P94)-COLUMN($G94)+1&lt;Reprogramaciones!K$14)*$G94:$P94)+N(INDEX($G94:$P94,1,Reprogramaciones!K$14))*IF(Reprogramaciones!K$13&gt;=(Reprogramaciones!$T$15+7*(Reprogramaciones!K$14-1))+6,1,IF(MAX(0,NETWORKDAYS.INTL(MAX(E94,(Reprogramaciones!$T$15+7*(Reprogramaciones!K$14-1))),MIN(F94,(Reprogramaciones!$T$15+7*(Reprogramaciones!K$14-1))+6),11))=0,0,MAX(0,NETWORKDAYS.INTL(MAX(E94,(Reprogramaciones!$T$15+7*(Reprogramaciones!K$14-1))),MIN(F94,Reprogramaciones!K$13),11))/MAX(0,NETWORKDAYS.INTL(MAX(E94,(Reprogramaciones!$T$15+7*(Reprogramaciones!K$14-1))),MIN(F94,(Reprogramaciones!$T$15+7*(Reprogramaciones!K$14-1))+6),11))))))))</f>
        <v/>
      </c>
      <c r="BU94" s="1" t="str">
        <f aca="false">IF(OR(NOT(AND(ISNUMBER(E94),ISNUMBER(F94))),$J$2=""),"",IF(Reprogramaciones!L$13&lt;Reprogramaciones!$T$15,0,IF(Reprogramaciones!L$14&gt;10,MIN(100,SUM($G94:$P94)),MIN(100,SUMPRODUCT((COLUMN($G94:$P94)-COLUMN($G94)+1&lt;Reprogramaciones!L$14)*$G94:$P94)+N(INDEX($G94:$P94,1,Reprogramaciones!L$14))*IF(Reprogramaciones!L$13&gt;=(Reprogramaciones!$T$15+7*(Reprogramaciones!L$14-1))+6,1,IF(MAX(0,NETWORKDAYS.INTL(MAX(E94,(Reprogramaciones!$T$15+7*(Reprogramaciones!L$14-1))),MIN(F94,(Reprogramaciones!$T$15+7*(Reprogramaciones!L$14-1))+6),11))=0,0,MAX(0,NETWORKDAYS.INTL(MAX(E94,(Reprogramaciones!$T$15+7*(Reprogramaciones!L$14-1))),MIN(F94,Reprogramaciones!L$13),11))/MAX(0,NETWORKDAYS.INTL(MAX(E94,(Reprogramaciones!$T$15+7*(Reprogramaciones!L$14-1))),MIN(F94,(Reprogramaciones!$T$15+7*(Reprogramaciones!L$14-1))+6),11))))))))</f>
        <v/>
      </c>
      <c r="BV94" s="1" t="str">
        <f aca="false">IF(OR(NOT(AND(ISNUMBER(E94),ISNUMBER(F94))),$J$2=""),"",IF(Reprogramaciones!M$13&lt;Reprogramaciones!$T$15,0,IF(Reprogramaciones!M$14&gt;10,MIN(100,SUM($G94:$P94)),MIN(100,SUMPRODUCT((COLUMN($G94:$P94)-COLUMN($G94)+1&lt;Reprogramaciones!M$14)*$G94:$P94)+N(INDEX($G94:$P94,1,Reprogramaciones!M$14))*IF(Reprogramaciones!M$13&gt;=(Reprogramaciones!$T$15+7*(Reprogramaciones!M$14-1))+6,1,IF(MAX(0,NETWORKDAYS.INTL(MAX(E94,(Reprogramaciones!$T$15+7*(Reprogramaciones!M$14-1))),MIN(F94,(Reprogramaciones!$T$15+7*(Reprogramaciones!M$14-1))+6),11))=0,0,MAX(0,NETWORKDAYS.INTL(MAX(E94,(Reprogramaciones!$T$15+7*(Reprogramaciones!M$14-1))),MIN(F94,Reprogramaciones!M$13),11))/MAX(0,NETWORKDAYS.INTL(MAX(E94,(Reprogramaciones!$T$15+7*(Reprogramaciones!M$14-1))),MIN(F94,(Reprogramaciones!$T$15+7*(Reprogramaciones!M$14-1))+6),11))))))))</f>
        <v/>
      </c>
      <c r="BW94" s="1" t="str">
        <f aca="false">IF(OR(NOT(AND(ISNUMBER(E94),ISNUMBER(F94))),$J$2=""),"",IF(Reprogramaciones!N$13&lt;Reprogramaciones!$T$15,0,IF(Reprogramaciones!N$14&gt;10,MIN(100,SUM($G94:$P94)),MIN(100,SUMPRODUCT((COLUMN($G94:$P94)-COLUMN($G94)+1&lt;Reprogramaciones!N$14)*$G94:$P94)+N(INDEX($G94:$P94,1,Reprogramaciones!N$14))*IF(Reprogramaciones!N$13&gt;=(Reprogramaciones!$T$15+7*(Reprogramaciones!N$14-1))+6,1,IF(MAX(0,NETWORKDAYS.INTL(MAX(E94,(Reprogramaciones!$T$15+7*(Reprogramaciones!N$14-1))),MIN(F94,(Reprogramaciones!$T$15+7*(Reprogramaciones!N$14-1))+6),11))=0,0,MAX(0,NETWORKDAYS.INTL(MAX(E94,(Reprogramaciones!$T$15+7*(Reprogramaciones!N$14-1))),MIN(F94,Reprogramaciones!N$13),11))/MAX(0,NETWORKDAYS.INTL(MAX(E94,(Reprogramaciones!$T$15+7*(Reprogramaciones!N$14-1))),MIN(F94,(Reprogramaciones!$T$15+7*(Reprogramaciones!N$14-1))+6),11))))))))</f>
        <v/>
      </c>
      <c r="BX94" s="1" t="str">
        <f aca="false">IF(OR(NOT(AND(ISNUMBER(E94),ISNUMBER(F94))),$J$2=""),"",IF(Reprogramaciones!O$13&lt;Reprogramaciones!$T$15,0,IF(Reprogramaciones!O$14&gt;10,MIN(100,SUM($G94:$P94)),MIN(100,SUMPRODUCT((COLUMN($G94:$P94)-COLUMN($G94)+1&lt;Reprogramaciones!O$14)*$G94:$P94)+N(INDEX($G94:$P94,1,Reprogramaciones!O$14))*IF(Reprogramaciones!O$13&gt;=(Reprogramaciones!$T$15+7*(Reprogramaciones!O$14-1))+6,1,IF(MAX(0,NETWORKDAYS.INTL(MAX(E94,(Reprogramaciones!$T$15+7*(Reprogramaciones!O$14-1))),MIN(F94,(Reprogramaciones!$T$15+7*(Reprogramaciones!O$14-1))+6),11))=0,0,MAX(0,NETWORKDAYS.INTL(MAX(E94,(Reprogramaciones!$T$15+7*(Reprogramaciones!O$14-1))),MIN(F94,Reprogramaciones!O$13),11))/MAX(0,NETWORKDAYS.INTL(MAX(E94,(Reprogramaciones!$T$15+7*(Reprogramaciones!O$14-1))),MIN(F94,(Reprogramaciones!$T$15+7*(Reprogramaciones!O$14-1))+6),11))))))))</f>
        <v/>
      </c>
      <c r="BY94" s="1" t="str">
        <f aca="false">IF(OR(NOT(AND(ISNUMBER(E94),ISNUMBER(F94))),$J$2=""),"",IF(Reprogramaciones!P$13&lt;Reprogramaciones!$T$15,0,IF(Reprogramaciones!P$14&gt;10,MIN(100,SUM($G94:$P94)),MIN(100,SUMPRODUCT((COLUMN($G94:$P94)-COLUMN($G94)+1&lt;Reprogramaciones!P$14)*$G94:$P94)+N(INDEX($G94:$P94,1,Reprogramaciones!P$14))*IF(Reprogramaciones!P$13&gt;=(Reprogramaciones!$T$15+7*(Reprogramaciones!P$14-1))+6,1,IF(MAX(0,NETWORKDAYS.INTL(MAX(E94,(Reprogramaciones!$T$15+7*(Reprogramaciones!P$14-1))),MIN(F94,(Reprogramaciones!$T$15+7*(Reprogramaciones!P$14-1))+6),11))=0,0,MAX(0,NETWORKDAYS.INTL(MAX(E94,(Reprogramaciones!$T$15+7*(Reprogramaciones!P$14-1))),MIN(F94,Reprogramaciones!P$13),11))/MAX(0,NETWORKDAYS.INTL(MAX(E94,(Reprogramaciones!$T$15+7*(Reprogramaciones!P$14-1))),MIN(F94,(Reprogramaciones!$T$15+7*(Reprogramaciones!P$14-1))+6),11))))))))</f>
        <v/>
      </c>
      <c r="BZ94" s="1" t="str">
        <f aca="false">IF(OR(NOT(AND(ISNUMBER(E94),ISNUMBER(F94))),$J$2=""),"",IF(Reprogramaciones!Q$13&lt;Reprogramaciones!$T$15,0,IF(Reprogramaciones!Q$14&gt;10,MIN(100,SUM($G94:$P94)),MIN(100,SUMPRODUCT((COLUMN($G94:$P94)-COLUMN($G94)+1&lt;Reprogramaciones!Q$14)*$G94:$P94)+N(INDEX($G94:$P94,1,Reprogramaciones!Q$14))*IF(Reprogramaciones!Q$13&gt;=(Reprogramaciones!$T$15+7*(Reprogramaciones!Q$14-1))+6,1,IF(MAX(0,NETWORKDAYS.INTL(MAX(E94,(Reprogramaciones!$T$15+7*(Reprogramaciones!Q$14-1))),MIN(F94,(Reprogramaciones!$T$15+7*(Reprogramaciones!Q$14-1))+6),11))=0,0,MAX(0,NETWORKDAYS.INTL(MAX(E94,(Reprogramaciones!$T$15+7*(Reprogramaciones!Q$14-1))),MIN(F94,Reprogramaciones!Q$13),11))/MAX(0,NETWORKDAYS.INTL(MAX(E94,(Reprogramaciones!$T$15+7*(Reprogramaciones!Q$14-1))),MIN(F94,(Reprogramaciones!$T$15+7*(Reprogramaciones!Q$14-1))+6),11))))))))</f>
        <v/>
      </c>
      <c r="CA94" s="1" t="str">
        <f aca="false">IF(OR(NOT(AND(ISNUMBER(E94),ISNUMBER(F94))),$J$2=""),"",IF(Reprogramaciones!R$13&lt;Reprogramaciones!$T$15,0,IF(Reprogramaciones!R$14&gt;10,MIN(100,SUM($G94:$P94)),MIN(100,SUMPRODUCT((COLUMN($G94:$P94)-COLUMN($G94)+1&lt;Reprogramaciones!R$14)*$G94:$P94)+N(INDEX($G94:$P94,1,Reprogramaciones!R$14))*IF(Reprogramaciones!R$13&gt;=(Reprogramaciones!$T$15+7*(Reprogramaciones!R$14-1))+6,1,IF(MAX(0,NETWORKDAYS.INTL(MAX(E94,(Reprogramaciones!$T$15+7*(Reprogramaciones!R$14-1))),MIN(F94,(Reprogramaciones!$T$15+7*(Reprogramaciones!R$14-1))+6),11))=0,0,MAX(0,NETWORKDAYS.INTL(MAX(E94,(Reprogramaciones!$T$15+7*(Reprogramaciones!R$14-1))),MIN(F94,Reprogramaciones!R$13),11))/MAX(0,NETWORKDAYS.INTL(MAX(E94,(Reprogramaciones!$T$15+7*(Reprogramaciones!R$14-1))),MIN(F94,(Reprogramaciones!$T$15+7*(Reprogramaciones!R$14-1))+6),11))))))))</f>
        <v/>
      </c>
      <c r="CB94" s="1" t="str">
        <f aca="false">IF(OR(NOT(AND(ISNUMBER(E94),ISNUMBER(F94))),$J$2=""),"",IF(Reprogramaciones!S$13&lt;Reprogramaciones!$T$15,0,IF(Reprogramaciones!S$14&gt;10,MIN(100,SUM($G94:$P94)),MIN(100,SUMPRODUCT((COLUMN($G94:$P94)-COLUMN($G94)+1&lt;Reprogramaciones!S$14)*$G94:$P94)+N(INDEX($G94:$P94,1,Reprogramaciones!S$14))*IF(Reprogramaciones!S$13&gt;=(Reprogramaciones!$T$15+7*(Reprogramaciones!S$14-1))+6,1,IF(MAX(0,NETWORKDAYS.INTL(MAX(E94,(Reprogramaciones!$T$15+7*(Reprogramaciones!S$14-1))),MIN(F94,(Reprogramaciones!$T$15+7*(Reprogramaciones!S$14-1))+6),11))=0,0,MAX(0,NETWORKDAYS.INTL(MAX(E94,(Reprogramaciones!$T$15+7*(Reprogramaciones!S$14-1))),MIN(F94,Reprogramaciones!S$13),11))/MAX(0,NETWORKDAYS.INTL(MAX(E94,(Reprogramaciones!$T$15+7*(Reprogramaciones!S$14-1))),MIN(F94,(Reprogramaciones!$T$15+7*(Reprogramaciones!S$14-1))+6),11))))))))</f>
        <v/>
      </c>
      <c r="CC94" s="1" t="str">
        <f aca="false">IF(OR(NOT(AND(ISNUMBER(E94),ISNUMBER(F94))),$J$2=""),"",IF(Reprogramaciones!T$13&lt;Reprogramaciones!$T$15,0,IF(Reprogramaciones!T$14&gt;10,MIN(100,SUM($G94:$P94)),MIN(100,SUMPRODUCT((COLUMN($G94:$P94)-COLUMN($G94)+1&lt;Reprogramaciones!T$14)*$G94:$P94)+N(INDEX($G94:$P94,1,Reprogramaciones!T$14))*IF(Reprogramaciones!T$13&gt;=(Reprogramaciones!$T$15+7*(Reprogramaciones!T$14-1))+6,1,IF(MAX(0,NETWORKDAYS.INTL(MAX(E94,(Reprogramaciones!$T$15+7*(Reprogramaciones!T$14-1))),MIN(F94,(Reprogramaciones!$T$15+7*(Reprogramaciones!T$14-1))+6),11))=0,0,MAX(0,NETWORKDAYS.INTL(MAX(E94,(Reprogramaciones!$T$15+7*(Reprogramaciones!T$14-1))),MIN(F94,Reprogramaciones!T$13),11))/MAX(0,NETWORKDAYS.INTL(MAX(E94,(Reprogramaciones!$T$15+7*(Reprogramaciones!T$14-1))),MIN(F94,(Reprogramaciones!$T$15+7*(Reprogramaciones!T$14-1))+6),11))))))))</f>
        <v/>
      </c>
      <c r="CD94" s="1" t="str">
        <f aca="false">IF(OR(NOT(AND(ISNUMBER(E94),ISNUMBER(F94))),$J$2=""),"",IF(Reprogramaciones!U$13&lt;Reprogramaciones!$T$15,0,IF(Reprogramaciones!U$14&gt;10,MIN(100,SUM($G94:$P94)),MIN(100,SUMPRODUCT((COLUMN($G94:$P94)-COLUMN($G94)+1&lt;Reprogramaciones!U$14)*$G94:$P94)+N(INDEX($G94:$P94,1,Reprogramaciones!U$14))*IF(Reprogramaciones!U$13&gt;=(Reprogramaciones!$T$15+7*(Reprogramaciones!U$14-1))+6,1,IF(MAX(0,NETWORKDAYS.INTL(MAX(E94,(Reprogramaciones!$T$15+7*(Reprogramaciones!U$14-1))),MIN(F94,(Reprogramaciones!$T$15+7*(Reprogramaciones!U$14-1))+6),11))=0,0,MAX(0,NETWORKDAYS.INTL(MAX(E94,(Reprogramaciones!$T$15+7*(Reprogramaciones!U$14-1))),MIN(F94,Reprogramaciones!U$13),11))/MAX(0,NETWORKDAYS.INTL(MAX(E94,(Reprogramaciones!$T$15+7*(Reprogramaciones!U$14-1))),MIN(F94,(Reprogramaciones!$T$15+7*(Reprogramaciones!U$14-1))+6),11))))))))</f>
        <v/>
      </c>
      <c r="CE94" s="1" t="str">
        <f aca="false">IF(OR(NOT(AND(ISNUMBER(E94),ISNUMBER(F94))),$J$2=""),"",IF(Reprogramaciones!V$13&lt;Reprogramaciones!$T$15,0,IF(Reprogramaciones!V$14&gt;10,MIN(100,SUM($G94:$P94)),MIN(100,SUMPRODUCT((COLUMN($G94:$P94)-COLUMN($G94)+1&lt;Reprogramaciones!V$14)*$G94:$P94)+N(INDEX($G94:$P94,1,Reprogramaciones!V$14))*IF(Reprogramaciones!V$13&gt;=(Reprogramaciones!$T$15+7*(Reprogramaciones!V$14-1))+6,1,IF(MAX(0,NETWORKDAYS.INTL(MAX(E94,(Reprogramaciones!$T$15+7*(Reprogramaciones!V$14-1))),MIN(F94,(Reprogramaciones!$T$15+7*(Reprogramaciones!V$14-1))+6),11))=0,0,MAX(0,NETWORKDAYS.INTL(MAX(E94,(Reprogramaciones!$T$15+7*(Reprogramaciones!V$14-1))),MIN(F94,Reprogramaciones!V$13),11))/MAX(0,NETWORKDAYS.INTL(MAX(E94,(Reprogramaciones!$T$15+7*(Reprogramaciones!V$14-1))),MIN(F94,(Reprogramaciones!$T$15+7*(Reprogramaciones!V$14-1))+6),11))))))))</f>
        <v/>
      </c>
      <c r="CF94" s="1" t="str">
        <f aca="false">IF(OR(NOT(AND(ISNUMBER(E94),ISNUMBER(F94))),$J$2=""),"",IF(Reprogramaciones!W$13&lt;Reprogramaciones!$T$15,0,IF(Reprogramaciones!W$14&gt;10,MIN(100,SUM($G94:$P94)),MIN(100,SUMPRODUCT((COLUMN($G94:$P94)-COLUMN($G94)+1&lt;Reprogramaciones!W$14)*$G94:$P94)+N(INDEX($G94:$P94,1,Reprogramaciones!W$14))*IF(Reprogramaciones!W$13&gt;=(Reprogramaciones!$T$15+7*(Reprogramaciones!W$14-1))+6,1,IF(MAX(0,NETWORKDAYS.INTL(MAX(E94,(Reprogramaciones!$T$15+7*(Reprogramaciones!W$14-1))),MIN(F94,(Reprogramaciones!$T$15+7*(Reprogramaciones!W$14-1))+6),11))=0,0,MAX(0,NETWORKDAYS.INTL(MAX(E94,(Reprogramaciones!$T$15+7*(Reprogramaciones!W$14-1))),MIN(F94,Reprogramaciones!W$13),11))/MAX(0,NETWORKDAYS.INTL(MAX(E94,(Reprogramaciones!$T$15+7*(Reprogramaciones!W$14-1))),MIN(F94,(Reprogramaciones!$T$15+7*(Reprogramaciones!W$14-1))+6),11))))))))</f>
        <v/>
      </c>
      <c r="CG94" s="1" t="str">
        <f aca="false">IF(OR(NOT(AND(ISNUMBER(E94),ISNUMBER(F94))),$J$2=""),"",IF(Reprogramaciones!X$13&lt;Reprogramaciones!$T$15,0,IF(Reprogramaciones!X$14&gt;10,MIN(100,SUM($G94:$P94)),MIN(100,SUMPRODUCT((COLUMN($G94:$P94)-COLUMN($G94)+1&lt;Reprogramaciones!X$14)*$G94:$P94)+N(INDEX($G94:$P94,1,Reprogramaciones!X$14))*IF(Reprogramaciones!X$13&gt;=(Reprogramaciones!$T$15+7*(Reprogramaciones!X$14-1))+6,1,IF(MAX(0,NETWORKDAYS.INTL(MAX(E94,(Reprogramaciones!$T$15+7*(Reprogramaciones!X$14-1))),MIN(F94,(Reprogramaciones!$T$15+7*(Reprogramaciones!X$14-1))+6),11))=0,0,MAX(0,NETWORKDAYS.INTL(MAX(E94,(Reprogramaciones!$T$15+7*(Reprogramaciones!X$14-1))),MIN(F94,Reprogramaciones!X$13),11))/MAX(0,NETWORKDAYS.INTL(MAX(E94,(Reprogramaciones!$T$15+7*(Reprogramaciones!X$14-1))),MIN(F94,(Reprogramaciones!$T$15+7*(Reprogramaciones!X$14-1))+6),11))))))))</f>
        <v/>
      </c>
      <c r="CH94" s="1" t="str">
        <f aca="false">IF(OR(NOT(AND(ISNUMBER(E94),ISNUMBER(F94))),$J$2=""),"",IF(Reprogramaciones!Y$13&lt;Reprogramaciones!$T$15,0,IF(Reprogramaciones!Y$14&gt;10,MIN(100,SUM($G94:$P94)),MIN(100,SUMPRODUCT((COLUMN($G94:$P94)-COLUMN($G94)+1&lt;Reprogramaciones!Y$14)*$G94:$P94)+N(INDEX($G94:$P94,1,Reprogramaciones!Y$14))*IF(Reprogramaciones!Y$13&gt;=(Reprogramaciones!$T$15+7*(Reprogramaciones!Y$14-1))+6,1,IF(MAX(0,NETWORKDAYS.INTL(MAX(E94,(Reprogramaciones!$T$15+7*(Reprogramaciones!Y$14-1))),MIN(F94,(Reprogramaciones!$T$15+7*(Reprogramaciones!Y$14-1))+6),11))=0,0,MAX(0,NETWORKDAYS.INTL(MAX(E94,(Reprogramaciones!$T$15+7*(Reprogramaciones!Y$14-1))),MIN(F94,Reprogramaciones!Y$13),11))/MAX(0,NETWORKDAYS.INTL(MAX(E94,(Reprogramaciones!$T$15+7*(Reprogramaciones!Y$14-1))),MIN(F94,(Reprogramaciones!$T$15+7*(Reprogramaciones!Y$14-1))+6),11))))))))</f>
        <v/>
      </c>
      <c r="CI94" s="1" t="str">
        <f aca="false">IF(OR(NOT(AND(ISNUMBER(E94),ISNUMBER(F94))),$J$2=""),"",IF(Reprogramaciones!Z$13&lt;Reprogramaciones!$T$15,0,IF(Reprogramaciones!Z$14&gt;10,MIN(100,SUM($G94:$P94)),MIN(100,SUMPRODUCT((COLUMN($G94:$P94)-COLUMN($G94)+1&lt;Reprogramaciones!Z$14)*$G94:$P94)+N(INDEX($G94:$P94,1,Reprogramaciones!Z$14))*IF(Reprogramaciones!Z$13&gt;=(Reprogramaciones!$T$15+7*(Reprogramaciones!Z$14-1))+6,1,IF(MAX(0,NETWORKDAYS.INTL(MAX(E94,(Reprogramaciones!$T$15+7*(Reprogramaciones!Z$14-1))),MIN(F94,(Reprogramaciones!$T$15+7*(Reprogramaciones!Z$14-1))+6),11))=0,0,MAX(0,NETWORKDAYS.INTL(MAX(E94,(Reprogramaciones!$T$15+7*(Reprogramaciones!Z$14-1))),MIN(F94,Reprogramaciones!Z$13),11))/MAX(0,NETWORKDAYS.INTL(MAX(E94,(Reprogramaciones!$T$15+7*(Reprogramaciones!Z$14-1))),MIN(F94,(Reprogramaciones!$T$15+7*(Reprogramaciones!Z$14-1))+6),11))))))))</f>
        <v/>
      </c>
      <c r="CJ94" s="1" t="str">
        <f aca="false">IF(OR(OR(NOT(AND(ISNUMBER(E94),ISNUMBER(F94))),$J$2=""),1&gt;Reprogramaciones!$K$16),"",IF(ROUND(SUM($Q94:Q94),1)&gt;=99.5,100,MIN(100,ROUND(SUM($Q94:Q94),1))))</f>
        <v/>
      </c>
      <c r="CK94" s="1" t="str">
        <f aca="false">IF(OR(OR(NOT(AND(ISNUMBER(E94),ISNUMBER(F94))),$J$2=""),2&gt;Reprogramaciones!$K$16),"",IF(ROUND(SUM($Q94:R94),1)&gt;=99.5,100,MIN(100,ROUND(SUM($Q94:R94),1))))</f>
        <v/>
      </c>
      <c r="CL94" s="1" t="str">
        <f aca="false">IF(OR(OR(NOT(AND(ISNUMBER(E94),ISNUMBER(F94))),$J$2=""),3&gt;Reprogramaciones!$K$16),"",IF(ROUND(SUM($Q94:S94),1)&gt;=99.5,100,MIN(100,ROUND(SUM($Q94:S94),1))))</f>
        <v/>
      </c>
      <c r="CM94" s="1" t="str">
        <f aca="false">IF(OR(OR(NOT(AND(ISNUMBER(E94),ISNUMBER(F94))),$J$2=""),4&gt;Reprogramaciones!$K$16),"",IF(ROUND(SUM($Q94:T94),1)&gt;=99.5,100,MIN(100,ROUND(SUM($Q94:T94),1))))</f>
        <v/>
      </c>
      <c r="CN94" s="1" t="str">
        <f aca="false">IF(OR(OR(NOT(AND(ISNUMBER(E94),ISNUMBER(F94))),$J$2=""),5&gt;Reprogramaciones!$K$16),"",IF(ROUND(SUM($Q94:U94),1)&gt;=99.5,100,MIN(100,ROUND(SUM($Q94:U94),1))))</f>
        <v/>
      </c>
      <c r="CO94" s="1" t="str">
        <f aca="false">IF(OR(OR(NOT(AND(ISNUMBER(E94),ISNUMBER(F94))),$J$2=""),6&gt;Reprogramaciones!$K$16),"",IF(ROUND(SUM($Q94:V94),1)&gt;=99.5,100,MIN(100,ROUND(SUM($Q94:V94),1))))</f>
        <v/>
      </c>
      <c r="CP94" s="1" t="str">
        <f aca="false">IF(OR(OR(NOT(AND(ISNUMBER(E94),ISNUMBER(F94))),$J$2=""),7&gt;Reprogramaciones!$K$16),"",IF(ROUND(SUM($Q94:W94),1)&gt;=99.5,100,MIN(100,ROUND(SUM($Q94:W94),1))))</f>
        <v/>
      </c>
      <c r="CQ94" s="1" t="str">
        <f aca="false">IF(OR(OR(NOT(AND(ISNUMBER(E94),ISNUMBER(F94))),$J$2=""),8&gt;Reprogramaciones!$K$16),"",IF(ROUND(SUM($Q94:X94),1)&gt;=99.5,100,MIN(100,ROUND(SUM($Q94:X94),1))))</f>
        <v/>
      </c>
      <c r="CR94" s="1" t="str">
        <f aca="false">IF(OR(OR(NOT(AND(ISNUMBER(E94),ISNUMBER(F94))),$J$2=""),9&gt;Reprogramaciones!$K$16),"",IF(ROUND(SUM($Q94:Y94),1)&gt;=99.5,100,MIN(100,ROUND(SUM($Q94:Y94),1))))</f>
        <v/>
      </c>
      <c r="CS94" s="1" t="str">
        <f aca="false">IF(OR(OR(NOT(AND(ISNUMBER(E94),ISNUMBER(F94))),$J$2=""),10&gt;Reprogramaciones!$K$16),"",IF(ROUND(SUM($Q94:Z94),1)&gt;=99.5,100,MIN(100,ROUND(SUM($Q94:Z94),1))))</f>
        <v/>
      </c>
      <c r="CT94" s="1" t="str">
        <f aca="false">IF(OR(OR(NOT(AND(ISNUMBER(E94),ISNUMBER(F94))),$J$2=""),11&gt;Reprogramaciones!$K$16),"",IF(ROUND(SUM($Q94:AA94),1)&gt;=99.5,100,MIN(100,ROUND(SUM($Q94:AA94),1))))</f>
        <v/>
      </c>
      <c r="CU94" s="1" t="str">
        <f aca="false">IF(OR(OR(NOT(AND(ISNUMBER(E94),ISNUMBER(F94))),$J$2=""),12&gt;Reprogramaciones!$K$16),"",IF(ROUND(SUM($Q94:AB94),1)&gt;=99.5,100,MIN(100,ROUND(SUM($Q94:AB94),1))))</f>
        <v/>
      </c>
      <c r="CV94" s="1" t="str">
        <f aca="false">IF(OR(OR(NOT(AND(ISNUMBER(E94),ISNUMBER(F94))),$J$2=""),13&gt;Reprogramaciones!$K$16),"",IF(ROUND(SUM($Q94:AC94),1)&gt;=99.5,100,MIN(100,ROUND(SUM($Q94:AC94),1))))</f>
        <v/>
      </c>
      <c r="CW94" s="1" t="str">
        <f aca="false">IF(OR(OR(NOT(AND(ISNUMBER(E94),ISNUMBER(F94))),$J$2=""),14&gt;Reprogramaciones!$K$16),"",IF(ROUND(SUM($Q94:AD94),1)&gt;=99.5,100,MIN(100,ROUND(SUM($Q94:AD94),1))))</f>
        <v/>
      </c>
      <c r="CX94" s="1" t="str">
        <f aca="false">IF(OR(OR(NOT(AND(ISNUMBER(E94),ISNUMBER(F94))),$J$2=""),15&gt;Reprogramaciones!$K$16),"",IF(ROUND(SUM($Q94:AE94),1)&gt;=99.5,100,MIN(100,ROUND(SUM($Q94:AE94),1))))</f>
        <v/>
      </c>
      <c r="CY94" s="1" t="str">
        <f aca="false">IF(OR(OR(NOT(AND(ISNUMBER(E94),ISNUMBER(F94))),$J$2=""),16&gt;Reprogramaciones!$K$16),"",IF(ROUND(SUM($Q94:AF94),1)&gt;=99.5,100,MIN(100,ROUND(SUM($Q94:AF94),1))))</f>
        <v/>
      </c>
      <c r="CZ94" s="1" t="str">
        <f aca="false">IF(D94&lt;&gt;"",D94,IF(B94&lt;&gt;"","Contractual",CZ93))</f>
        <v>Contractual</v>
      </c>
      <c r="DA94" s="1" t="str">
        <f aca="false">IF(OR(NOT(AND(ISNUMBER(E94),ISNUMBER(F94))),$J$2=""),"",IF(Reprogramaciones!$Q$15&lt;Reprogramaciones!$T$15,0,IF(Reprogramaciones!$S$15&gt;10,MIN(100,SUM($G94:$P94)),MIN(100,SUMPRODUCT((COLUMN($G94:$P94)-COLUMN($G94)+1&lt;Reprogramaciones!$S$15)*$G94:$P94)+N(INDEX($G94:$P94,1,Reprogramaciones!$S$15))*IF(Reprogramaciones!$Q$15&gt;=(Reprogramaciones!$T$15+7*(Reprogramaciones!$S$15-1))+6,1,IF(MAX(0,NETWORKDAYS.INTL(MAX(E94,(Reprogramaciones!$T$15+7*(Reprogramaciones!$S$15-1))),MIN(F94,(Reprogramaciones!$T$15+7*(Reprogramaciones!$S$15-1))+6),11))=0,0,MAX(0,NETWORKDAYS.INTL(MAX(E94,(Reprogramaciones!$T$15+7*(Reprogramaciones!$S$15-1))),MIN(F94,Reprogramaciones!$Q$15),11))/MAX(0,NETWORKDAYS.INTL(MAX(E94,(Reprogramaciones!$T$15+7*(Reprogramaciones!$S$15-1))),MIN(F94,(Reprogramaciones!$T$15+7*(Reprogramaciones!$S$15-1))+6),11))))))))</f>
        <v/>
      </c>
    </row>
    <row r="95" customFormat="false" ht="15" hidden="false" customHeight="false" outlineLevel="0" collapsed="false">
      <c r="A95" s="32"/>
      <c r="B95" s="33"/>
      <c r="C95" s="33"/>
      <c r="D95" s="34"/>
      <c r="E95" s="35"/>
      <c r="F95" s="35"/>
      <c r="G95" s="36" t="str">
        <f aca="false">IF(OR(NOT(AND(ISNUMBER(E95),ISNUMBER(F95))),$J$2=""),"",IF(Reprogramaciones!K$9&lt;E95,0,IF(NETWORKDAYS.INTL(E95,F95,11)=0,IF(Reprogramaciones!K$9&gt;=F95,100,0),ROUND(NETWORKDAYS.INTL(E95,MIN(F95,Reprogramaciones!K$9),11)/NETWORKDAYS.INTL(E95,F95,11)*100,1)))-0)</f>
        <v/>
      </c>
      <c r="H95" s="36" t="str">
        <f aca="false">IF(OR(NOT(AND(ISNUMBER(E95),ISNUMBER(F95))),$J$2=""),"",IF(Reprogramaciones!L$9&lt;E95,0,IF(NETWORKDAYS.INTL(E95,F95,11)=0,IF(Reprogramaciones!L$9&gt;=F95,100,0),ROUND(NETWORKDAYS.INTL(E95,MIN(F95,Reprogramaciones!L$9),11)/NETWORKDAYS.INTL(E95,F95,11)*100,1)))-IF(Reprogramaciones!K$9&lt;E95,0,IF(NETWORKDAYS.INTL(E95,F95,11)=0,IF(Reprogramaciones!K$9&gt;=F95,100,0),ROUND(NETWORKDAYS.INTL(E95,MIN(F95,Reprogramaciones!K$9),11)/NETWORKDAYS.INTL(E95,F95,11)*100,1))))</f>
        <v/>
      </c>
      <c r="I95" s="36" t="str">
        <f aca="false">IF(OR(NOT(AND(ISNUMBER(E95),ISNUMBER(F95))),$J$2=""),"",IF(Reprogramaciones!M$9&lt;E95,0,IF(NETWORKDAYS.INTL(E95,F95,11)=0,IF(Reprogramaciones!M$9&gt;=F95,100,0),ROUND(NETWORKDAYS.INTL(E95,MIN(F95,Reprogramaciones!M$9),11)/NETWORKDAYS.INTL(E95,F95,11)*100,1)))-IF(Reprogramaciones!L$9&lt;E95,0,IF(NETWORKDAYS.INTL(E95,F95,11)=0,IF(Reprogramaciones!L$9&gt;=F95,100,0),ROUND(NETWORKDAYS.INTL(E95,MIN(F95,Reprogramaciones!L$9),11)/NETWORKDAYS.INTL(E95,F95,11)*100,1))))</f>
        <v/>
      </c>
      <c r="J95" s="36" t="str">
        <f aca="false">IF(OR(NOT(AND(ISNUMBER(E95),ISNUMBER(F95))),$J$2=""),"",IF(Reprogramaciones!N$9&lt;E95,0,IF(NETWORKDAYS.INTL(E95,F95,11)=0,IF(Reprogramaciones!N$9&gt;=F95,100,0),ROUND(NETWORKDAYS.INTL(E95,MIN(F95,Reprogramaciones!N$9),11)/NETWORKDAYS.INTL(E95,F95,11)*100,1)))-IF(Reprogramaciones!M$9&lt;E95,0,IF(NETWORKDAYS.INTL(E95,F95,11)=0,IF(Reprogramaciones!M$9&gt;=F95,100,0),ROUND(NETWORKDAYS.INTL(E95,MIN(F95,Reprogramaciones!M$9),11)/NETWORKDAYS.INTL(E95,F95,11)*100,1))))</f>
        <v/>
      </c>
      <c r="K95" s="36" t="str">
        <f aca="false">IF(OR(NOT(AND(ISNUMBER(E95),ISNUMBER(F95))),$J$2=""),"",IF(Reprogramaciones!O$9&lt;E95,0,IF(NETWORKDAYS.INTL(E95,F95,11)=0,IF(Reprogramaciones!O$9&gt;=F95,100,0),ROUND(NETWORKDAYS.INTL(E95,MIN(F95,Reprogramaciones!O$9),11)/NETWORKDAYS.INTL(E95,F95,11)*100,1)))-IF(Reprogramaciones!N$9&lt;E95,0,IF(NETWORKDAYS.INTL(E95,F95,11)=0,IF(Reprogramaciones!N$9&gt;=F95,100,0),ROUND(NETWORKDAYS.INTL(E95,MIN(F95,Reprogramaciones!N$9),11)/NETWORKDAYS.INTL(E95,F95,11)*100,1))))</f>
        <v/>
      </c>
      <c r="L95" s="36" t="str">
        <f aca="false">IF(OR(NOT(AND(ISNUMBER(E95),ISNUMBER(F95))),$J$2=""),"",IF(Reprogramaciones!P$9&lt;E95,0,IF(NETWORKDAYS.INTL(E95,F95,11)=0,IF(Reprogramaciones!P$9&gt;=F95,100,0),ROUND(NETWORKDAYS.INTL(E95,MIN(F95,Reprogramaciones!P$9),11)/NETWORKDAYS.INTL(E95,F95,11)*100,1)))-IF(Reprogramaciones!O$9&lt;E95,0,IF(NETWORKDAYS.INTL(E95,F95,11)=0,IF(Reprogramaciones!O$9&gt;=F95,100,0),ROUND(NETWORKDAYS.INTL(E95,MIN(F95,Reprogramaciones!O$9),11)/NETWORKDAYS.INTL(E95,F95,11)*100,1))))</f>
        <v/>
      </c>
      <c r="M95" s="36" t="str">
        <f aca="false">IF(OR(NOT(AND(ISNUMBER(E95),ISNUMBER(F95))),$J$2=""),"",IF(Reprogramaciones!Q$9&lt;E95,0,IF(NETWORKDAYS.INTL(E95,F95,11)=0,IF(Reprogramaciones!Q$9&gt;=F95,100,0),ROUND(NETWORKDAYS.INTL(E95,MIN(F95,Reprogramaciones!Q$9),11)/NETWORKDAYS.INTL(E95,F95,11)*100,1)))-IF(Reprogramaciones!P$9&lt;E95,0,IF(NETWORKDAYS.INTL(E95,F95,11)=0,IF(Reprogramaciones!P$9&gt;=F95,100,0),ROUND(NETWORKDAYS.INTL(E95,MIN(F95,Reprogramaciones!P$9),11)/NETWORKDAYS.INTL(E95,F95,11)*100,1))))</f>
        <v/>
      </c>
      <c r="N95" s="36" t="str">
        <f aca="false">IF(OR(NOT(AND(ISNUMBER(E95),ISNUMBER(F95))),$J$2=""),"",IF(Reprogramaciones!R$9&lt;E95,0,IF(NETWORKDAYS.INTL(E95,F95,11)=0,IF(Reprogramaciones!R$9&gt;=F95,100,0),ROUND(NETWORKDAYS.INTL(E95,MIN(F95,Reprogramaciones!R$9),11)/NETWORKDAYS.INTL(E95,F95,11)*100,1)))-IF(Reprogramaciones!Q$9&lt;E95,0,IF(NETWORKDAYS.INTL(E95,F95,11)=0,IF(Reprogramaciones!Q$9&gt;=F95,100,0),ROUND(NETWORKDAYS.INTL(E95,MIN(F95,Reprogramaciones!Q$9),11)/NETWORKDAYS.INTL(E95,F95,11)*100,1))))</f>
        <v/>
      </c>
      <c r="O95" s="36" t="str">
        <f aca="false">IF(OR(NOT(AND(ISNUMBER(E95),ISNUMBER(F95))),$J$2=""),"",IF(Reprogramaciones!S$9&lt;E95,0,IF(NETWORKDAYS.INTL(E95,F95,11)=0,IF(Reprogramaciones!S$9&gt;=F95,100,0),ROUND(NETWORKDAYS.INTL(E95,MIN(F95,Reprogramaciones!S$9),11)/NETWORKDAYS.INTL(E95,F95,11)*100,1)))-IF(Reprogramaciones!R$9&lt;E95,0,IF(NETWORKDAYS.INTL(E95,F95,11)=0,IF(Reprogramaciones!R$9&gt;=F95,100,0),ROUND(NETWORKDAYS.INTL(E95,MIN(F95,Reprogramaciones!R$9),11)/NETWORKDAYS.INTL(E95,F95,11)*100,1))))</f>
        <v/>
      </c>
      <c r="P95" s="36" t="str">
        <f aca="false">IF(OR(NOT(AND(ISNUMBER(E95),ISNUMBER(F95))),$J$2=""),"",IF(Reprogramaciones!T$9&lt;E95,0,IF(NETWORKDAYS.INTL(E95,F95,11)=0,IF(Reprogramaciones!T$9&gt;=F95,100,0),ROUND(NETWORKDAYS.INTL(E95,MIN(F95,Reprogramaciones!T$9),11)/NETWORKDAYS.INTL(E95,F95,11)*100,1)))-IF(Reprogramaciones!S$9&lt;E95,0,IF(NETWORKDAYS.INTL(E95,F95,11)=0,IF(Reprogramaciones!S$9&gt;=F95,100,0),ROUND(NETWORKDAYS.INTL(E95,MIN(F95,Reprogramaciones!S$9),11)/NETWORKDAYS.INTL(E95,F95,11)*100,1))))</f>
        <v/>
      </c>
      <c r="Q95" s="37"/>
      <c r="R95" s="37"/>
      <c r="S95" s="37"/>
      <c r="T95" s="37"/>
      <c r="U95" s="37"/>
      <c r="V95" s="37"/>
      <c r="W95" s="37"/>
      <c r="X95" s="37"/>
      <c r="Y95" s="37"/>
      <c r="Z95" s="37"/>
      <c r="AA95" s="37"/>
      <c r="AB95" s="37"/>
      <c r="AC95" s="37"/>
      <c r="AD95" s="37"/>
      <c r="AE95" s="37"/>
      <c r="AF95" s="37"/>
      <c r="AG95" s="38" t="str">
        <f aca="false">IF(AND(ISNUMBER(E95),ISNUMBER(F95)),NETWORKDAYS.INTL(E95,F95,11),"")</f>
        <v/>
      </c>
      <c r="AH95" s="38" t="str">
        <f aca="false">IF(OR(NOT(AND(ISNUMBER(E95),ISNUMBER(F95))),$J$2=""),"",IF(Reprogramaciones!$P$15&lt;Reprogramaciones!$T$15,0,IF(Reprogramaciones!$R$15&gt;10,MIN(100,SUM($G95:$P95)),MIN(100,SUMPRODUCT((COLUMN($G95:$P95)-COLUMN($G95)+1&lt;Reprogramaciones!$R$15)*$G95:$P95)+N(INDEX($G95:$P95,1,Reprogramaciones!$R$15))*IF(Reprogramaciones!$P$15&gt;=(Reprogramaciones!$T$15+7*(Reprogramaciones!$R$15-1))+6,1,IF(MAX(0,NETWORKDAYS.INTL(MAX(E95,(Reprogramaciones!$T$15+7*(Reprogramaciones!$R$15-1))),MIN(F95,(Reprogramaciones!$T$15+7*(Reprogramaciones!$R$15-1))+6),11))=0,0,MAX(0,NETWORKDAYS.INTL(MAX(E95,(Reprogramaciones!$T$15+7*(Reprogramaciones!$R$15-1))),MIN(F95,Reprogramaciones!$P$15),11))/MAX(0,NETWORKDAYS.INTL(MAX(E95,(Reprogramaciones!$T$15+7*(Reprogramaciones!$R$15-1))),MIN(F95,(Reprogramaciones!$T$15+7*(Reprogramaciones!$R$15-1))+6),11))))))))</f>
        <v/>
      </c>
      <c r="AI95" s="38" t="str">
        <f aca="false">IF(COUNT($Q95:$AF95)=0,"",IF(ROUND(SUM($Q95:$AF95),1)&gt;=99.5,100,MIN(100,ROUND(SUM($Q95:$AF95),1))))</f>
        <v/>
      </c>
      <c r="AJ95" s="38" t="str">
        <f aca="false">IF(OR(AH95="",AI95=""),"",AI95-AH95)</f>
        <v/>
      </c>
      <c r="AK95" s="39" t="str">
        <f aca="true">IF(AH95="","",IF(OR(Ficha!$C$10="Suspendida",Ficha!$C$10="Cancelada"),Ficha!$C$10,IF(AND(AI95&lt;&gt;"",N(AI95)&gt;=100),"Completada",IF(AND(E95&gt;TODAY(),N(AI95)=0),"Por iniciar",IF(N(AI95)+0.5&lt;AH95,"Retrasada",IF(N(AI95)+0.5&lt;DA95,IF(Reprogramaciones!$K$15&gt;0,"Al día · Sem "&amp;Reprogramaciones!$K$15&amp;" en curso","Al día · en curso"),"A tiempo"))))))</f>
        <v/>
      </c>
      <c r="AL95" s="39" t="str">
        <f aca="true">IF(AND(A95="",AND(B95="",C95="",E95="",F95="",COUNT(Q95:AF95)=0)),"",IF(AND(B95="",C95="",E95="",F95="",COUNT(Q95:AF95)=0),"Falta la partida o subpartida",IF(AND(A95&lt;&gt;"",COUNTIF($A$6:$A$305,A95)&gt;1),"Ítem repetido",IF(AND(C95="",E95="",F95="",COUNT(Q95:AF95)=0),"Título de partida",IF(OR(E95="",F95=""),"Faltan fechas",IF(OR(ISTEXT(E95),ISTEXT(F95)),"Fecha escrita como texto: usa dd/mm/aaaa",IF(F95&lt;E95,"Fin antes del inicio",IF(IF($J$2="",FALSE(),OR(E95&lt;$J$2,F95&gt;Reprogramaciones!$T$15+69)),"Fuera de las 10 semanas",IF(ABS(SUM(G95:P95)-100)&gt;0.5,"La meta no suma 100%",IF(ROUND(SUM(Q95:AF95),1)&gt;100.5,"El avance pasa de 100%",IF(MIN(Q95:AF95)&lt;0,"Avance negativo",IF(COUNTA(Q95:AF95)&gt;COUNT(Q95:AF95),"Avance escrito como texto",IF(SUMPRODUCT((Q95:AF95&gt;0)*(Q95:AF95&lt;1))&gt;0,"Avance menor a 1: escribe 50, no 50%",IF(SUMPRODUCT(ISNUMBER(Q95:AF95)*(Reprogramaciones!$K$8:$Z$8&gt;TODAY()))&gt;0,"Avance en semana que aún no llega",IF(AND(N(Reprogramaciones!$E$21)&gt;0,F95&gt;Reprogramaciones!$E$21),"Pasa el fin de la obra: registra una reprogramación",IF(AND(N(Reprogramaciones!$E$21)&gt;0,SUMPRODUCT(ISNUMBER(Q95:AF95)*(Reprogramaciones!$K$8:$Z$8&gt;Reprogramaciones!$E$21))&gt;0),"Avance después del fin de la obra: registra una reprogramación por atraso","OK"))))))))))))))))</f>
        <v/>
      </c>
      <c r="AM95" s="40" t="str">
        <f aca="false">IF(OR(OR(NOT(AND(ISNUMBER(E95),ISNUMBER(F95))),$J$2=""),1&gt;MAX(1,Reprogramaciones!$U$15)),"",IF(Reprogramaciones!K$12&gt;=7,"",IF(OR(BT95-N(0)&gt;0.05,N(Q95)&gt;0),ROUNDDOWN(ROUND(BT95,6),0)&amp;"%"&amp;IF(CJ95="",""," / "&amp;CJ95&amp;"%"),IF(AND(N(0)&gt;=99.95,CJ95&lt;&gt;"",N(CJ95)&lt;100),"Pend. "&amp;CJ95&amp;"%",""))))</f>
        <v/>
      </c>
      <c r="AN95" s="40" t="str">
        <f aca="false">IF(OR(OR(NOT(AND(ISNUMBER(E95),ISNUMBER(F95))),$J$2=""),2&gt;MAX(1,Reprogramaciones!$U$15)),"",IF(Reprogramaciones!L$12&gt;=7,"",IF(OR(BU95-N(BT95)&gt;0.05,N(R95)&gt;0),ROUNDDOWN(ROUND(BU95,6),0)&amp;"%"&amp;IF(CK95="",""," / "&amp;CK95&amp;"%"),IF(AND(N(BT95)&gt;=99.95,CK95&lt;&gt;"",N(CK95)&lt;100),"Pend. "&amp;CK95&amp;"%",""))))</f>
        <v/>
      </c>
      <c r="AO95" s="40" t="str">
        <f aca="false">IF(OR(OR(NOT(AND(ISNUMBER(E95),ISNUMBER(F95))),$J$2=""),3&gt;MAX(1,Reprogramaciones!$U$15)),"",IF(Reprogramaciones!M$12&gt;=7,"",IF(OR(BV95-N(BU95)&gt;0.05,N(S95)&gt;0),ROUNDDOWN(ROUND(BV95,6),0)&amp;"%"&amp;IF(CL95="",""," / "&amp;CL95&amp;"%"),IF(AND(N(BU95)&gt;=99.95,CL95&lt;&gt;"",N(CL95)&lt;100),"Pend. "&amp;CL95&amp;"%",""))))</f>
        <v/>
      </c>
      <c r="AP95" s="40" t="str">
        <f aca="false">IF(OR(OR(NOT(AND(ISNUMBER(E95),ISNUMBER(F95))),$J$2=""),4&gt;MAX(1,Reprogramaciones!$U$15)),"",IF(Reprogramaciones!N$12&gt;=7,"",IF(OR(BW95-N(BV95)&gt;0.05,N(T95)&gt;0),ROUNDDOWN(ROUND(BW95,6),0)&amp;"%"&amp;IF(CM95="",""," / "&amp;CM95&amp;"%"),IF(AND(N(BV95)&gt;=99.95,CM95&lt;&gt;"",N(CM95)&lt;100),"Pend. "&amp;CM95&amp;"%",""))))</f>
        <v/>
      </c>
      <c r="AQ95" s="40" t="str">
        <f aca="false">IF(OR(OR(NOT(AND(ISNUMBER(E95),ISNUMBER(F95))),$J$2=""),5&gt;MAX(1,Reprogramaciones!$U$15)),"",IF(Reprogramaciones!O$12&gt;=7,"",IF(OR(BX95-N(BW95)&gt;0.05,N(U95)&gt;0),ROUNDDOWN(ROUND(BX95,6),0)&amp;"%"&amp;IF(CN95="",""," / "&amp;CN95&amp;"%"),IF(AND(N(BW95)&gt;=99.95,CN95&lt;&gt;"",N(CN95)&lt;100),"Pend. "&amp;CN95&amp;"%",""))))</f>
        <v/>
      </c>
      <c r="AR95" s="40" t="str">
        <f aca="false">IF(OR(OR(NOT(AND(ISNUMBER(E95),ISNUMBER(F95))),$J$2=""),6&gt;MAX(1,Reprogramaciones!$U$15)),"",IF(Reprogramaciones!P$12&gt;=7,"",IF(OR(BY95-N(BX95)&gt;0.05,N(V95)&gt;0),ROUNDDOWN(ROUND(BY95,6),0)&amp;"%"&amp;IF(CO95="",""," / "&amp;CO95&amp;"%"),IF(AND(N(BX95)&gt;=99.95,CO95&lt;&gt;"",N(CO95)&lt;100),"Pend. "&amp;CO95&amp;"%",""))))</f>
        <v/>
      </c>
      <c r="AS95" s="40" t="str">
        <f aca="false">IF(OR(OR(NOT(AND(ISNUMBER(E95),ISNUMBER(F95))),$J$2=""),7&gt;MAX(1,Reprogramaciones!$U$15)),"",IF(Reprogramaciones!Q$12&gt;=7,"",IF(OR(BZ95-N(BY95)&gt;0.05,N(W95)&gt;0),ROUNDDOWN(ROUND(BZ95,6),0)&amp;"%"&amp;IF(CP95="",""," / "&amp;CP95&amp;"%"),IF(AND(N(BY95)&gt;=99.95,CP95&lt;&gt;"",N(CP95)&lt;100),"Pend. "&amp;CP95&amp;"%",""))))</f>
        <v/>
      </c>
      <c r="AT95" s="40" t="str">
        <f aca="false">IF(OR(OR(NOT(AND(ISNUMBER(E95),ISNUMBER(F95))),$J$2=""),8&gt;MAX(1,Reprogramaciones!$U$15)),"",IF(Reprogramaciones!R$12&gt;=7,"",IF(OR(CA95-N(BZ95)&gt;0.05,N(X95)&gt;0),ROUNDDOWN(ROUND(CA95,6),0)&amp;"%"&amp;IF(CQ95="",""," / "&amp;CQ95&amp;"%"),IF(AND(N(BZ95)&gt;=99.95,CQ95&lt;&gt;"",N(CQ95)&lt;100),"Pend. "&amp;CQ95&amp;"%",""))))</f>
        <v/>
      </c>
      <c r="AU95" s="40" t="str">
        <f aca="false">IF(OR(OR(NOT(AND(ISNUMBER(E95),ISNUMBER(F95))),$J$2=""),9&gt;MAX(1,Reprogramaciones!$U$15)),"",IF(Reprogramaciones!S$12&gt;=7,"",IF(OR(CB95-N(CA95)&gt;0.05,N(Y95)&gt;0),ROUNDDOWN(ROUND(CB95,6),0)&amp;"%"&amp;IF(CR95="",""," / "&amp;CR95&amp;"%"),IF(AND(N(CA95)&gt;=99.95,CR95&lt;&gt;"",N(CR95)&lt;100),"Pend. "&amp;CR95&amp;"%",""))))</f>
        <v/>
      </c>
      <c r="AV95" s="40" t="str">
        <f aca="false">IF(OR(OR(NOT(AND(ISNUMBER(E95),ISNUMBER(F95))),$J$2=""),10&gt;MAX(1,Reprogramaciones!$U$15)),"",IF(Reprogramaciones!T$12&gt;=7,"",IF(OR(CC95-N(CB95)&gt;0.05,N(Z95)&gt;0),ROUNDDOWN(ROUND(CC95,6),0)&amp;"%"&amp;IF(CS95="",""," / "&amp;CS95&amp;"%"),IF(AND(N(CB95)&gt;=99.95,CS95&lt;&gt;"",N(CS95)&lt;100),"Pend. "&amp;CS95&amp;"%",""))))</f>
        <v/>
      </c>
      <c r="AW95" s="40" t="str">
        <f aca="false">IF(OR(OR(NOT(AND(ISNUMBER(E95),ISNUMBER(F95))),$J$2=""),11&gt;MAX(1,Reprogramaciones!$U$15)),"",IF(Reprogramaciones!U$12&gt;=7,"",IF(OR(CD95-N(CC95)&gt;0.05,N(AA95)&gt;0),ROUNDDOWN(ROUND(CD95,6),0)&amp;"%"&amp;IF(CT95="",""," / "&amp;CT95&amp;"%"),IF(AND(N(CC95)&gt;=99.95,CT95&lt;&gt;"",N(CT95)&lt;100),"Pend. "&amp;CT95&amp;"%",""))))</f>
        <v/>
      </c>
      <c r="AX95" s="40" t="str">
        <f aca="false">IF(OR(OR(NOT(AND(ISNUMBER(E95),ISNUMBER(F95))),$J$2=""),12&gt;MAX(1,Reprogramaciones!$U$15)),"",IF(Reprogramaciones!V$12&gt;=7,"",IF(OR(CE95-N(CD95)&gt;0.05,N(AB95)&gt;0),ROUNDDOWN(ROUND(CE95,6),0)&amp;"%"&amp;IF(CU95="",""," / "&amp;CU95&amp;"%"),IF(AND(N(CD95)&gt;=99.95,CU95&lt;&gt;"",N(CU95)&lt;100),"Pend. "&amp;CU95&amp;"%",""))))</f>
        <v/>
      </c>
      <c r="AY95" s="40" t="str">
        <f aca="false">IF(OR(OR(NOT(AND(ISNUMBER(E95),ISNUMBER(F95))),$J$2=""),13&gt;MAX(1,Reprogramaciones!$U$15)),"",IF(Reprogramaciones!W$12&gt;=7,"",IF(OR(CF95-N(CE95)&gt;0.05,N(AC95)&gt;0),ROUNDDOWN(ROUND(CF95,6),0)&amp;"%"&amp;IF(CV95="",""," / "&amp;CV95&amp;"%"),IF(AND(N(CE95)&gt;=99.95,CV95&lt;&gt;"",N(CV95)&lt;100),"Pend. "&amp;CV95&amp;"%",""))))</f>
        <v/>
      </c>
      <c r="AZ95" s="40" t="str">
        <f aca="false">IF(OR(OR(NOT(AND(ISNUMBER(E95),ISNUMBER(F95))),$J$2=""),14&gt;MAX(1,Reprogramaciones!$U$15)),"",IF(Reprogramaciones!X$12&gt;=7,"",IF(OR(CG95-N(CF95)&gt;0.05,N(AD95)&gt;0),ROUNDDOWN(ROUND(CG95,6),0)&amp;"%"&amp;IF(CW95="",""," / "&amp;CW95&amp;"%"),IF(AND(N(CF95)&gt;=99.95,CW95&lt;&gt;"",N(CW95)&lt;100),"Pend. "&amp;CW95&amp;"%",""))))</f>
        <v/>
      </c>
      <c r="BA95" s="40" t="str">
        <f aca="false">IF(OR(OR(NOT(AND(ISNUMBER(E95),ISNUMBER(F95))),$J$2=""),15&gt;MAX(1,Reprogramaciones!$U$15)),"",IF(Reprogramaciones!Y$12&gt;=7,"",IF(OR(CH95-N(CG95)&gt;0.05,N(AE95)&gt;0),ROUNDDOWN(ROUND(CH95,6),0)&amp;"%"&amp;IF(CX95="",""," / "&amp;CX95&amp;"%"),IF(AND(N(CG95)&gt;=99.95,CX95&lt;&gt;"",N(CX95)&lt;100),"Pend. "&amp;CX95&amp;"%",""))))</f>
        <v/>
      </c>
      <c r="BB95" s="40" t="str">
        <f aca="false">IF(OR(OR(NOT(AND(ISNUMBER(E95),ISNUMBER(F95))),$J$2=""),16&gt;MAX(1,Reprogramaciones!$U$15)),"",IF(Reprogramaciones!Z$12&gt;=7,"",IF(OR(CI95-N(CH95)&gt;0.05,N(AF95)&gt;0),ROUNDDOWN(ROUND(CI95,6),0)&amp;"%"&amp;IF(CY95="",""," / "&amp;CY95&amp;"%"),IF(AND(N(CH95)&gt;=99.95,CY95&lt;&gt;"",N(CY95)&lt;100),"Pend. "&amp;CY95&amp;"%",""))))</f>
        <v/>
      </c>
      <c r="BC95" s="31" t="n">
        <f aca="false">IF(AND(ISNUMBER(E95),ISNUMBER(F95)),MAX(1,NETWORKDAYS.INTL(E95,F95,11)),0)</f>
        <v>0</v>
      </c>
      <c r="BD95" s="1" t="str">
        <f aca="false">IF(OR(NOT(AND(ISNUMBER(E95),ISNUMBER(F95))),$J$2=""),"",MIN(100,ROUND(SUM($G95:G95),1)))</f>
        <v/>
      </c>
      <c r="BE95" s="1" t="str">
        <f aca="false">IF(OR(NOT(AND(ISNUMBER(E95),ISNUMBER(F95))),$J$2=""),"",MIN(100,ROUND(SUM($G95:H95),1)))</f>
        <v/>
      </c>
      <c r="BF95" s="1" t="str">
        <f aca="false">IF(OR(NOT(AND(ISNUMBER(E95),ISNUMBER(F95))),$J$2=""),"",MIN(100,ROUND(SUM($G95:I95),1)))</f>
        <v/>
      </c>
      <c r="BG95" s="1" t="str">
        <f aca="false">IF(OR(NOT(AND(ISNUMBER(E95),ISNUMBER(F95))),$J$2=""),"",MIN(100,ROUND(SUM($G95:J95),1)))</f>
        <v/>
      </c>
      <c r="BH95" s="1" t="str">
        <f aca="false">IF(OR(NOT(AND(ISNUMBER(E95),ISNUMBER(F95))),$J$2=""),"",MIN(100,ROUND(SUM($G95:K95),1)))</f>
        <v/>
      </c>
      <c r="BI95" s="1" t="str">
        <f aca="false">IF(OR(NOT(AND(ISNUMBER(E95),ISNUMBER(F95))),$J$2=""),"",MIN(100,ROUND(SUM($G95:L95),1)))</f>
        <v/>
      </c>
      <c r="BJ95" s="1" t="str">
        <f aca="false">IF(OR(NOT(AND(ISNUMBER(E95),ISNUMBER(F95))),$J$2=""),"",MIN(100,ROUND(SUM($G95:M95),1)))</f>
        <v/>
      </c>
      <c r="BK95" s="1" t="str">
        <f aca="false">IF(OR(NOT(AND(ISNUMBER(E95),ISNUMBER(F95))),$J$2=""),"",MIN(100,ROUND(SUM($G95:N95),1)))</f>
        <v/>
      </c>
      <c r="BL95" s="1" t="str">
        <f aca="false">IF(OR(NOT(AND(ISNUMBER(E95),ISNUMBER(F95))),$J$2=""),"",MIN(100,ROUND(SUM($G95:O95),1)))</f>
        <v/>
      </c>
      <c r="BM95" s="1" t="str">
        <f aca="false">IF(OR(NOT(AND(ISNUMBER(E95),ISNUMBER(F95))),$J$2=""),"",MIN(100,ROUND(SUM($G95:P95),1)))</f>
        <v/>
      </c>
      <c r="BN95" s="1" t="str">
        <f aca="false">IF(OR(NOT(AND(ISNUMBER(E95),ISNUMBER(F95))),$J$2=""),"",MIN(100,ROUND(SUM($G95:P95),1)))</f>
        <v/>
      </c>
      <c r="BO95" s="1" t="str">
        <f aca="false">IF(OR(NOT(AND(ISNUMBER(E95),ISNUMBER(F95))),$J$2=""),"",MIN(100,ROUND(SUM($G95:P95),1)))</f>
        <v/>
      </c>
      <c r="BP95" s="1" t="str">
        <f aca="false">IF(OR(NOT(AND(ISNUMBER(E95),ISNUMBER(F95))),$J$2=""),"",MIN(100,ROUND(SUM($G95:P95),1)))</f>
        <v/>
      </c>
      <c r="BQ95" s="1" t="str">
        <f aca="false">IF(OR(NOT(AND(ISNUMBER(E95),ISNUMBER(F95))),$J$2=""),"",MIN(100,ROUND(SUM($G95:P95),1)))</f>
        <v/>
      </c>
      <c r="BR95" s="1" t="str">
        <f aca="false">IF(OR(NOT(AND(ISNUMBER(E95),ISNUMBER(F95))),$J$2=""),"",MIN(100,ROUND(SUM($G95:P95),1)))</f>
        <v/>
      </c>
      <c r="BS95" s="1" t="str">
        <f aca="false">IF(OR(NOT(AND(ISNUMBER(E95),ISNUMBER(F95))),$J$2=""),"",MIN(100,ROUND(SUM($G95:P95),1)))</f>
        <v/>
      </c>
      <c r="BT95" s="1" t="str">
        <f aca="false">IF(OR(NOT(AND(ISNUMBER(E95),ISNUMBER(F95))),$J$2=""),"",IF(Reprogramaciones!K$13&lt;Reprogramaciones!$T$15,0,IF(Reprogramaciones!K$14&gt;10,MIN(100,SUM($G95:$P95)),MIN(100,SUMPRODUCT((COLUMN($G95:$P95)-COLUMN($G95)+1&lt;Reprogramaciones!K$14)*$G95:$P95)+N(INDEX($G95:$P95,1,Reprogramaciones!K$14))*IF(Reprogramaciones!K$13&gt;=(Reprogramaciones!$T$15+7*(Reprogramaciones!K$14-1))+6,1,IF(MAX(0,NETWORKDAYS.INTL(MAX(E95,(Reprogramaciones!$T$15+7*(Reprogramaciones!K$14-1))),MIN(F95,(Reprogramaciones!$T$15+7*(Reprogramaciones!K$14-1))+6),11))=0,0,MAX(0,NETWORKDAYS.INTL(MAX(E95,(Reprogramaciones!$T$15+7*(Reprogramaciones!K$14-1))),MIN(F95,Reprogramaciones!K$13),11))/MAX(0,NETWORKDAYS.INTL(MAX(E95,(Reprogramaciones!$T$15+7*(Reprogramaciones!K$14-1))),MIN(F95,(Reprogramaciones!$T$15+7*(Reprogramaciones!K$14-1))+6),11))))))))</f>
        <v/>
      </c>
      <c r="BU95" s="1" t="str">
        <f aca="false">IF(OR(NOT(AND(ISNUMBER(E95),ISNUMBER(F95))),$J$2=""),"",IF(Reprogramaciones!L$13&lt;Reprogramaciones!$T$15,0,IF(Reprogramaciones!L$14&gt;10,MIN(100,SUM($G95:$P95)),MIN(100,SUMPRODUCT((COLUMN($G95:$P95)-COLUMN($G95)+1&lt;Reprogramaciones!L$14)*$G95:$P95)+N(INDEX($G95:$P95,1,Reprogramaciones!L$14))*IF(Reprogramaciones!L$13&gt;=(Reprogramaciones!$T$15+7*(Reprogramaciones!L$14-1))+6,1,IF(MAX(0,NETWORKDAYS.INTL(MAX(E95,(Reprogramaciones!$T$15+7*(Reprogramaciones!L$14-1))),MIN(F95,(Reprogramaciones!$T$15+7*(Reprogramaciones!L$14-1))+6),11))=0,0,MAX(0,NETWORKDAYS.INTL(MAX(E95,(Reprogramaciones!$T$15+7*(Reprogramaciones!L$14-1))),MIN(F95,Reprogramaciones!L$13),11))/MAX(0,NETWORKDAYS.INTL(MAX(E95,(Reprogramaciones!$T$15+7*(Reprogramaciones!L$14-1))),MIN(F95,(Reprogramaciones!$T$15+7*(Reprogramaciones!L$14-1))+6),11))))))))</f>
        <v/>
      </c>
      <c r="BV95" s="1" t="str">
        <f aca="false">IF(OR(NOT(AND(ISNUMBER(E95),ISNUMBER(F95))),$J$2=""),"",IF(Reprogramaciones!M$13&lt;Reprogramaciones!$T$15,0,IF(Reprogramaciones!M$14&gt;10,MIN(100,SUM($G95:$P95)),MIN(100,SUMPRODUCT((COLUMN($G95:$P95)-COLUMN($G95)+1&lt;Reprogramaciones!M$14)*$G95:$P95)+N(INDEX($G95:$P95,1,Reprogramaciones!M$14))*IF(Reprogramaciones!M$13&gt;=(Reprogramaciones!$T$15+7*(Reprogramaciones!M$14-1))+6,1,IF(MAX(0,NETWORKDAYS.INTL(MAX(E95,(Reprogramaciones!$T$15+7*(Reprogramaciones!M$14-1))),MIN(F95,(Reprogramaciones!$T$15+7*(Reprogramaciones!M$14-1))+6),11))=0,0,MAX(0,NETWORKDAYS.INTL(MAX(E95,(Reprogramaciones!$T$15+7*(Reprogramaciones!M$14-1))),MIN(F95,Reprogramaciones!M$13),11))/MAX(0,NETWORKDAYS.INTL(MAX(E95,(Reprogramaciones!$T$15+7*(Reprogramaciones!M$14-1))),MIN(F95,(Reprogramaciones!$T$15+7*(Reprogramaciones!M$14-1))+6),11))))))))</f>
        <v/>
      </c>
      <c r="BW95" s="1" t="str">
        <f aca="false">IF(OR(NOT(AND(ISNUMBER(E95),ISNUMBER(F95))),$J$2=""),"",IF(Reprogramaciones!N$13&lt;Reprogramaciones!$T$15,0,IF(Reprogramaciones!N$14&gt;10,MIN(100,SUM($G95:$P95)),MIN(100,SUMPRODUCT((COLUMN($G95:$P95)-COLUMN($G95)+1&lt;Reprogramaciones!N$14)*$G95:$P95)+N(INDEX($G95:$P95,1,Reprogramaciones!N$14))*IF(Reprogramaciones!N$13&gt;=(Reprogramaciones!$T$15+7*(Reprogramaciones!N$14-1))+6,1,IF(MAX(0,NETWORKDAYS.INTL(MAX(E95,(Reprogramaciones!$T$15+7*(Reprogramaciones!N$14-1))),MIN(F95,(Reprogramaciones!$T$15+7*(Reprogramaciones!N$14-1))+6),11))=0,0,MAX(0,NETWORKDAYS.INTL(MAX(E95,(Reprogramaciones!$T$15+7*(Reprogramaciones!N$14-1))),MIN(F95,Reprogramaciones!N$13),11))/MAX(0,NETWORKDAYS.INTL(MAX(E95,(Reprogramaciones!$T$15+7*(Reprogramaciones!N$14-1))),MIN(F95,(Reprogramaciones!$T$15+7*(Reprogramaciones!N$14-1))+6),11))))))))</f>
        <v/>
      </c>
      <c r="BX95" s="1" t="str">
        <f aca="false">IF(OR(NOT(AND(ISNUMBER(E95),ISNUMBER(F95))),$J$2=""),"",IF(Reprogramaciones!O$13&lt;Reprogramaciones!$T$15,0,IF(Reprogramaciones!O$14&gt;10,MIN(100,SUM($G95:$P95)),MIN(100,SUMPRODUCT((COLUMN($G95:$P95)-COLUMN($G95)+1&lt;Reprogramaciones!O$14)*$G95:$P95)+N(INDEX($G95:$P95,1,Reprogramaciones!O$14))*IF(Reprogramaciones!O$13&gt;=(Reprogramaciones!$T$15+7*(Reprogramaciones!O$14-1))+6,1,IF(MAX(0,NETWORKDAYS.INTL(MAX(E95,(Reprogramaciones!$T$15+7*(Reprogramaciones!O$14-1))),MIN(F95,(Reprogramaciones!$T$15+7*(Reprogramaciones!O$14-1))+6),11))=0,0,MAX(0,NETWORKDAYS.INTL(MAX(E95,(Reprogramaciones!$T$15+7*(Reprogramaciones!O$14-1))),MIN(F95,Reprogramaciones!O$13),11))/MAX(0,NETWORKDAYS.INTL(MAX(E95,(Reprogramaciones!$T$15+7*(Reprogramaciones!O$14-1))),MIN(F95,(Reprogramaciones!$T$15+7*(Reprogramaciones!O$14-1))+6),11))))))))</f>
        <v/>
      </c>
      <c r="BY95" s="1" t="str">
        <f aca="false">IF(OR(NOT(AND(ISNUMBER(E95),ISNUMBER(F95))),$J$2=""),"",IF(Reprogramaciones!P$13&lt;Reprogramaciones!$T$15,0,IF(Reprogramaciones!P$14&gt;10,MIN(100,SUM($G95:$P95)),MIN(100,SUMPRODUCT((COLUMN($G95:$P95)-COLUMN($G95)+1&lt;Reprogramaciones!P$14)*$G95:$P95)+N(INDEX($G95:$P95,1,Reprogramaciones!P$14))*IF(Reprogramaciones!P$13&gt;=(Reprogramaciones!$T$15+7*(Reprogramaciones!P$14-1))+6,1,IF(MAX(0,NETWORKDAYS.INTL(MAX(E95,(Reprogramaciones!$T$15+7*(Reprogramaciones!P$14-1))),MIN(F95,(Reprogramaciones!$T$15+7*(Reprogramaciones!P$14-1))+6),11))=0,0,MAX(0,NETWORKDAYS.INTL(MAX(E95,(Reprogramaciones!$T$15+7*(Reprogramaciones!P$14-1))),MIN(F95,Reprogramaciones!P$13),11))/MAX(0,NETWORKDAYS.INTL(MAX(E95,(Reprogramaciones!$T$15+7*(Reprogramaciones!P$14-1))),MIN(F95,(Reprogramaciones!$T$15+7*(Reprogramaciones!P$14-1))+6),11))))))))</f>
        <v/>
      </c>
      <c r="BZ95" s="1" t="str">
        <f aca="false">IF(OR(NOT(AND(ISNUMBER(E95),ISNUMBER(F95))),$J$2=""),"",IF(Reprogramaciones!Q$13&lt;Reprogramaciones!$T$15,0,IF(Reprogramaciones!Q$14&gt;10,MIN(100,SUM($G95:$P95)),MIN(100,SUMPRODUCT((COLUMN($G95:$P95)-COLUMN($G95)+1&lt;Reprogramaciones!Q$14)*$G95:$P95)+N(INDEX($G95:$P95,1,Reprogramaciones!Q$14))*IF(Reprogramaciones!Q$13&gt;=(Reprogramaciones!$T$15+7*(Reprogramaciones!Q$14-1))+6,1,IF(MAX(0,NETWORKDAYS.INTL(MAX(E95,(Reprogramaciones!$T$15+7*(Reprogramaciones!Q$14-1))),MIN(F95,(Reprogramaciones!$T$15+7*(Reprogramaciones!Q$14-1))+6),11))=0,0,MAX(0,NETWORKDAYS.INTL(MAX(E95,(Reprogramaciones!$T$15+7*(Reprogramaciones!Q$14-1))),MIN(F95,Reprogramaciones!Q$13),11))/MAX(0,NETWORKDAYS.INTL(MAX(E95,(Reprogramaciones!$T$15+7*(Reprogramaciones!Q$14-1))),MIN(F95,(Reprogramaciones!$T$15+7*(Reprogramaciones!Q$14-1))+6),11))))))))</f>
        <v/>
      </c>
      <c r="CA95" s="1" t="str">
        <f aca="false">IF(OR(NOT(AND(ISNUMBER(E95),ISNUMBER(F95))),$J$2=""),"",IF(Reprogramaciones!R$13&lt;Reprogramaciones!$T$15,0,IF(Reprogramaciones!R$14&gt;10,MIN(100,SUM($G95:$P95)),MIN(100,SUMPRODUCT((COLUMN($G95:$P95)-COLUMN($G95)+1&lt;Reprogramaciones!R$14)*$G95:$P95)+N(INDEX($G95:$P95,1,Reprogramaciones!R$14))*IF(Reprogramaciones!R$13&gt;=(Reprogramaciones!$T$15+7*(Reprogramaciones!R$14-1))+6,1,IF(MAX(0,NETWORKDAYS.INTL(MAX(E95,(Reprogramaciones!$T$15+7*(Reprogramaciones!R$14-1))),MIN(F95,(Reprogramaciones!$T$15+7*(Reprogramaciones!R$14-1))+6),11))=0,0,MAX(0,NETWORKDAYS.INTL(MAX(E95,(Reprogramaciones!$T$15+7*(Reprogramaciones!R$14-1))),MIN(F95,Reprogramaciones!R$13),11))/MAX(0,NETWORKDAYS.INTL(MAX(E95,(Reprogramaciones!$T$15+7*(Reprogramaciones!R$14-1))),MIN(F95,(Reprogramaciones!$T$15+7*(Reprogramaciones!R$14-1))+6),11))))))))</f>
        <v/>
      </c>
      <c r="CB95" s="1" t="str">
        <f aca="false">IF(OR(NOT(AND(ISNUMBER(E95),ISNUMBER(F95))),$J$2=""),"",IF(Reprogramaciones!S$13&lt;Reprogramaciones!$T$15,0,IF(Reprogramaciones!S$14&gt;10,MIN(100,SUM($G95:$P95)),MIN(100,SUMPRODUCT((COLUMN($G95:$P95)-COLUMN($G95)+1&lt;Reprogramaciones!S$14)*$G95:$P95)+N(INDEX($G95:$P95,1,Reprogramaciones!S$14))*IF(Reprogramaciones!S$13&gt;=(Reprogramaciones!$T$15+7*(Reprogramaciones!S$14-1))+6,1,IF(MAX(0,NETWORKDAYS.INTL(MAX(E95,(Reprogramaciones!$T$15+7*(Reprogramaciones!S$14-1))),MIN(F95,(Reprogramaciones!$T$15+7*(Reprogramaciones!S$14-1))+6),11))=0,0,MAX(0,NETWORKDAYS.INTL(MAX(E95,(Reprogramaciones!$T$15+7*(Reprogramaciones!S$14-1))),MIN(F95,Reprogramaciones!S$13),11))/MAX(0,NETWORKDAYS.INTL(MAX(E95,(Reprogramaciones!$T$15+7*(Reprogramaciones!S$14-1))),MIN(F95,(Reprogramaciones!$T$15+7*(Reprogramaciones!S$14-1))+6),11))))))))</f>
        <v/>
      </c>
      <c r="CC95" s="1" t="str">
        <f aca="false">IF(OR(NOT(AND(ISNUMBER(E95),ISNUMBER(F95))),$J$2=""),"",IF(Reprogramaciones!T$13&lt;Reprogramaciones!$T$15,0,IF(Reprogramaciones!T$14&gt;10,MIN(100,SUM($G95:$P95)),MIN(100,SUMPRODUCT((COLUMN($G95:$P95)-COLUMN($G95)+1&lt;Reprogramaciones!T$14)*$G95:$P95)+N(INDEX($G95:$P95,1,Reprogramaciones!T$14))*IF(Reprogramaciones!T$13&gt;=(Reprogramaciones!$T$15+7*(Reprogramaciones!T$14-1))+6,1,IF(MAX(0,NETWORKDAYS.INTL(MAX(E95,(Reprogramaciones!$T$15+7*(Reprogramaciones!T$14-1))),MIN(F95,(Reprogramaciones!$T$15+7*(Reprogramaciones!T$14-1))+6),11))=0,0,MAX(0,NETWORKDAYS.INTL(MAX(E95,(Reprogramaciones!$T$15+7*(Reprogramaciones!T$14-1))),MIN(F95,Reprogramaciones!T$13),11))/MAX(0,NETWORKDAYS.INTL(MAX(E95,(Reprogramaciones!$T$15+7*(Reprogramaciones!T$14-1))),MIN(F95,(Reprogramaciones!$T$15+7*(Reprogramaciones!T$14-1))+6),11))))))))</f>
        <v/>
      </c>
      <c r="CD95" s="1" t="str">
        <f aca="false">IF(OR(NOT(AND(ISNUMBER(E95),ISNUMBER(F95))),$J$2=""),"",IF(Reprogramaciones!U$13&lt;Reprogramaciones!$T$15,0,IF(Reprogramaciones!U$14&gt;10,MIN(100,SUM($G95:$P95)),MIN(100,SUMPRODUCT((COLUMN($G95:$P95)-COLUMN($G95)+1&lt;Reprogramaciones!U$14)*$G95:$P95)+N(INDEX($G95:$P95,1,Reprogramaciones!U$14))*IF(Reprogramaciones!U$13&gt;=(Reprogramaciones!$T$15+7*(Reprogramaciones!U$14-1))+6,1,IF(MAX(0,NETWORKDAYS.INTL(MAX(E95,(Reprogramaciones!$T$15+7*(Reprogramaciones!U$14-1))),MIN(F95,(Reprogramaciones!$T$15+7*(Reprogramaciones!U$14-1))+6),11))=0,0,MAX(0,NETWORKDAYS.INTL(MAX(E95,(Reprogramaciones!$T$15+7*(Reprogramaciones!U$14-1))),MIN(F95,Reprogramaciones!U$13),11))/MAX(0,NETWORKDAYS.INTL(MAX(E95,(Reprogramaciones!$T$15+7*(Reprogramaciones!U$14-1))),MIN(F95,(Reprogramaciones!$T$15+7*(Reprogramaciones!U$14-1))+6),11))))))))</f>
        <v/>
      </c>
      <c r="CE95" s="1" t="str">
        <f aca="false">IF(OR(NOT(AND(ISNUMBER(E95),ISNUMBER(F95))),$J$2=""),"",IF(Reprogramaciones!V$13&lt;Reprogramaciones!$T$15,0,IF(Reprogramaciones!V$14&gt;10,MIN(100,SUM($G95:$P95)),MIN(100,SUMPRODUCT((COLUMN($G95:$P95)-COLUMN($G95)+1&lt;Reprogramaciones!V$14)*$G95:$P95)+N(INDEX($G95:$P95,1,Reprogramaciones!V$14))*IF(Reprogramaciones!V$13&gt;=(Reprogramaciones!$T$15+7*(Reprogramaciones!V$14-1))+6,1,IF(MAX(0,NETWORKDAYS.INTL(MAX(E95,(Reprogramaciones!$T$15+7*(Reprogramaciones!V$14-1))),MIN(F95,(Reprogramaciones!$T$15+7*(Reprogramaciones!V$14-1))+6),11))=0,0,MAX(0,NETWORKDAYS.INTL(MAX(E95,(Reprogramaciones!$T$15+7*(Reprogramaciones!V$14-1))),MIN(F95,Reprogramaciones!V$13),11))/MAX(0,NETWORKDAYS.INTL(MAX(E95,(Reprogramaciones!$T$15+7*(Reprogramaciones!V$14-1))),MIN(F95,(Reprogramaciones!$T$15+7*(Reprogramaciones!V$14-1))+6),11))))))))</f>
        <v/>
      </c>
      <c r="CF95" s="1" t="str">
        <f aca="false">IF(OR(NOT(AND(ISNUMBER(E95),ISNUMBER(F95))),$J$2=""),"",IF(Reprogramaciones!W$13&lt;Reprogramaciones!$T$15,0,IF(Reprogramaciones!W$14&gt;10,MIN(100,SUM($G95:$P95)),MIN(100,SUMPRODUCT((COLUMN($G95:$P95)-COLUMN($G95)+1&lt;Reprogramaciones!W$14)*$G95:$P95)+N(INDEX($G95:$P95,1,Reprogramaciones!W$14))*IF(Reprogramaciones!W$13&gt;=(Reprogramaciones!$T$15+7*(Reprogramaciones!W$14-1))+6,1,IF(MAX(0,NETWORKDAYS.INTL(MAX(E95,(Reprogramaciones!$T$15+7*(Reprogramaciones!W$14-1))),MIN(F95,(Reprogramaciones!$T$15+7*(Reprogramaciones!W$14-1))+6),11))=0,0,MAX(0,NETWORKDAYS.INTL(MAX(E95,(Reprogramaciones!$T$15+7*(Reprogramaciones!W$14-1))),MIN(F95,Reprogramaciones!W$13),11))/MAX(0,NETWORKDAYS.INTL(MAX(E95,(Reprogramaciones!$T$15+7*(Reprogramaciones!W$14-1))),MIN(F95,(Reprogramaciones!$T$15+7*(Reprogramaciones!W$14-1))+6),11))))))))</f>
        <v/>
      </c>
      <c r="CG95" s="1" t="str">
        <f aca="false">IF(OR(NOT(AND(ISNUMBER(E95),ISNUMBER(F95))),$J$2=""),"",IF(Reprogramaciones!X$13&lt;Reprogramaciones!$T$15,0,IF(Reprogramaciones!X$14&gt;10,MIN(100,SUM($G95:$P95)),MIN(100,SUMPRODUCT((COLUMN($G95:$P95)-COLUMN($G95)+1&lt;Reprogramaciones!X$14)*$G95:$P95)+N(INDEX($G95:$P95,1,Reprogramaciones!X$14))*IF(Reprogramaciones!X$13&gt;=(Reprogramaciones!$T$15+7*(Reprogramaciones!X$14-1))+6,1,IF(MAX(0,NETWORKDAYS.INTL(MAX(E95,(Reprogramaciones!$T$15+7*(Reprogramaciones!X$14-1))),MIN(F95,(Reprogramaciones!$T$15+7*(Reprogramaciones!X$14-1))+6),11))=0,0,MAX(0,NETWORKDAYS.INTL(MAX(E95,(Reprogramaciones!$T$15+7*(Reprogramaciones!X$14-1))),MIN(F95,Reprogramaciones!X$13),11))/MAX(0,NETWORKDAYS.INTL(MAX(E95,(Reprogramaciones!$T$15+7*(Reprogramaciones!X$14-1))),MIN(F95,(Reprogramaciones!$T$15+7*(Reprogramaciones!X$14-1))+6),11))))))))</f>
        <v/>
      </c>
      <c r="CH95" s="1" t="str">
        <f aca="false">IF(OR(NOT(AND(ISNUMBER(E95),ISNUMBER(F95))),$J$2=""),"",IF(Reprogramaciones!Y$13&lt;Reprogramaciones!$T$15,0,IF(Reprogramaciones!Y$14&gt;10,MIN(100,SUM($G95:$P95)),MIN(100,SUMPRODUCT((COLUMN($G95:$P95)-COLUMN($G95)+1&lt;Reprogramaciones!Y$14)*$G95:$P95)+N(INDEX($G95:$P95,1,Reprogramaciones!Y$14))*IF(Reprogramaciones!Y$13&gt;=(Reprogramaciones!$T$15+7*(Reprogramaciones!Y$14-1))+6,1,IF(MAX(0,NETWORKDAYS.INTL(MAX(E95,(Reprogramaciones!$T$15+7*(Reprogramaciones!Y$14-1))),MIN(F95,(Reprogramaciones!$T$15+7*(Reprogramaciones!Y$14-1))+6),11))=0,0,MAX(0,NETWORKDAYS.INTL(MAX(E95,(Reprogramaciones!$T$15+7*(Reprogramaciones!Y$14-1))),MIN(F95,Reprogramaciones!Y$13),11))/MAX(0,NETWORKDAYS.INTL(MAX(E95,(Reprogramaciones!$T$15+7*(Reprogramaciones!Y$14-1))),MIN(F95,(Reprogramaciones!$T$15+7*(Reprogramaciones!Y$14-1))+6),11))))))))</f>
        <v/>
      </c>
      <c r="CI95" s="1" t="str">
        <f aca="false">IF(OR(NOT(AND(ISNUMBER(E95),ISNUMBER(F95))),$J$2=""),"",IF(Reprogramaciones!Z$13&lt;Reprogramaciones!$T$15,0,IF(Reprogramaciones!Z$14&gt;10,MIN(100,SUM($G95:$P95)),MIN(100,SUMPRODUCT((COLUMN($G95:$P95)-COLUMN($G95)+1&lt;Reprogramaciones!Z$14)*$G95:$P95)+N(INDEX($G95:$P95,1,Reprogramaciones!Z$14))*IF(Reprogramaciones!Z$13&gt;=(Reprogramaciones!$T$15+7*(Reprogramaciones!Z$14-1))+6,1,IF(MAX(0,NETWORKDAYS.INTL(MAX(E95,(Reprogramaciones!$T$15+7*(Reprogramaciones!Z$14-1))),MIN(F95,(Reprogramaciones!$T$15+7*(Reprogramaciones!Z$14-1))+6),11))=0,0,MAX(0,NETWORKDAYS.INTL(MAX(E95,(Reprogramaciones!$T$15+7*(Reprogramaciones!Z$14-1))),MIN(F95,Reprogramaciones!Z$13),11))/MAX(0,NETWORKDAYS.INTL(MAX(E95,(Reprogramaciones!$T$15+7*(Reprogramaciones!Z$14-1))),MIN(F95,(Reprogramaciones!$T$15+7*(Reprogramaciones!Z$14-1))+6),11))))))))</f>
        <v/>
      </c>
      <c r="CJ95" s="1" t="str">
        <f aca="false">IF(OR(OR(NOT(AND(ISNUMBER(E95),ISNUMBER(F95))),$J$2=""),1&gt;Reprogramaciones!$K$16),"",IF(ROUND(SUM($Q95:Q95),1)&gt;=99.5,100,MIN(100,ROUND(SUM($Q95:Q95),1))))</f>
        <v/>
      </c>
      <c r="CK95" s="1" t="str">
        <f aca="false">IF(OR(OR(NOT(AND(ISNUMBER(E95),ISNUMBER(F95))),$J$2=""),2&gt;Reprogramaciones!$K$16),"",IF(ROUND(SUM($Q95:R95),1)&gt;=99.5,100,MIN(100,ROUND(SUM($Q95:R95),1))))</f>
        <v/>
      </c>
      <c r="CL95" s="1" t="str">
        <f aca="false">IF(OR(OR(NOT(AND(ISNUMBER(E95),ISNUMBER(F95))),$J$2=""),3&gt;Reprogramaciones!$K$16),"",IF(ROUND(SUM($Q95:S95),1)&gt;=99.5,100,MIN(100,ROUND(SUM($Q95:S95),1))))</f>
        <v/>
      </c>
      <c r="CM95" s="1" t="str">
        <f aca="false">IF(OR(OR(NOT(AND(ISNUMBER(E95),ISNUMBER(F95))),$J$2=""),4&gt;Reprogramaciones!$K$16),"",IF(ROUND(SUM($Q95:T95),1)&gt;=99.5,100,MIN(100,ROUND(SUM($Q95:T95),1))))</f>
        <v/>
      </c>
      <c r="CN95" s="1" t="str">
        <f aca="false">IF(OR(OR(NOT(AND(ISNUMBER(E95),ISNUMBER(F95))),$J$2=""),5&gt;Reprogramaciones!$K$16),"",IF(ROUND(SUM($Q95:U95),1)&gt;=99.5,100,MIN(100,ROUND(SUM($Q95:U95),1))))</f>
        <v/>
      </c>
      <c r="CO95" s="1" t="str">
        <f aca="false">IF(OR(OR(NOT(AND(ISNUMBER(E95),ISNUMBER(F95))),$J$2=""),6&gt;Reprogramaciones!$K$16),"",IF(ROUND(SUM($Q95:V95),1)&gt;=99.5,100,MIN(100,ROUND(SUM($Q95:V95),1))))</f>
        <v/>
      </c>
      <c r="CP95" s="1" t="str">
        <f aca="false">IF(OR(OR(NOT(AND(ISNUMBER(E95),ISNUMBER(F95))),$J$2=""),7&gt;Reprogramaciones!$K$16),"",IF(ROUND(SUM($Q95:W95),1)&gt;=99.5,100,MIN(100,ROUND(SUM($Q95:W95),1))))</f>
        <v/>
      </c>
      <c r="CQ95" s="1" t="str">
        <f aca="false">IF(OR(OR(NOT(AND(ISNUMBER(E95),ISNUMBER(F95))),$J$2=""),8&gt;Reprogramaciones!$K$16),"",IF(ROUND(SUM($Q95:X95),1)&gt;=99.5,100,MIN(100,ROUND(SUM($Q95:X95),1))))</f>
        <v/>
      </c>
      <c r="CR95" s="1" t="str">
        <f aca="false">IF(OR(OR(NOT(AND(ISNUMBER(E95),ISNUMBER(F95))),$J$2=""),9&gt;Reprogramaciones!$K$16),"",IF(ROUND(SUM($Q95:Y95),1)&gt;=99.5,100,MIN(100,ROUND(SUM($Q95:Y95),1))))</f>
        <v/>
      </c>
      <c r="CS95" s="1" t="str">
        <f aca="false">IF(OR(OR(NOT(AND(ISNUMBER(E95),ISNUMBER(F95))),$J$2=""),10&gt;Reprogramaciones!$K$16),"",IF(ROUND(SUM($Q95:Z95),1)&gt;=99.5,100,MIN(100,ROUND(SUM($Q95:Z95),1))))</f>
        <v/>
      </c>
      <c r="CT95" s="1" t="str">
        <f aca="false">IF(OR(OR(NOT(AND(ISNUMBER(E95),ISNUMBER(F95))),$J$2=""),11&gt;Reprogramaciones!$K$16),"",IF(ROUND(SUM($Q95:AA95),1)&gt;=99.5,100,MIN(100,ROUND(SUM($Q95:AA95),1))))</f>
        <v/>
      </c>
      <c r="CU95" s="1" t="str">
        <f aca="false">IF(OR(OR(NOT(AND(ISNUMBER(E95),ISNUMBER(F95))),$J$2=""),12&gt;Reprogramaciones!$K$16),"",IF(ROUND(SUM($Q95:AB95),1)&gt;=99.5,100,MIN(100,ROUND(SUM($Q95:AB95),1))))</f>
        <v/>
      </c>
      <c r="CV95" s="1" t="str">
        <f aca="false">IF(OR(OR(NOT(AND(ISNUMBER(E95),ISNUMBER(F95))),$J$2=""),13&gt;Reprogramaciones!$K$16),"",IF(ROUND(SUM($Q95:AC95),1)&gt;=99.5,100,MIN(100,ROUND(SUM($Q95:AC95),1))))</f>
        <v/>
      </c>
      <c r="CW95" s="1" t="str">
        <f aca="false">IF(OR(OR(NOT(AND(ISNUMBER(E95),ISNUMBER(F95))),$J$2=""),14&gt;Reprogramaciones!$K$16),"",IF(ROUND(SUM($Q95:AD95),1)&gt;=99.5,100,MIN(100,ROUND(SUM($Q95:AD95),1))))</f>
        <v/>
      </c>
      <c r="CX95" s="1" t="str">
        <f aca="false">IF(OR(OR(NOT(AND(ISNUMBER(E95),ISNUMBER(F95))),$J$2=""),15&gt;Reprogramaciones!$K$16),"",IF(ROUND(SUM($Q95:AE95),1)&gt;=99.5,100,MIN(100,ROUND(SUM($Q95:AE95),1))))</f>
        <v/>
      </c>
      <c r="CY95" s="1" t="str">
        <f aca="false">IF(OR(OR(NOT(AND(ISNUMBER(E95),ISNUMBER(F95))),$J$2=""),16&gt;Reprogramaciones!$K$16),"",IF(ROUND(SUM($Q95:AF95),1)&gt;=99.5,100,MIN(100,ROUND(SUM($Q95:AF95),1))))</f>
        <v/>
      </c>
      <c r="CZ95" s="1" t="str">
        <f aca="false">IF(D95&lt;&gt;"",D95,IF(B95&lt;&gt;"","Contractual",CZ94))</f>
        <v>Contractual</v>
      </c>
      <c r="DA95" s="1" t="str">
        <f aca="false">IF(OR(NOT(AND(ISNUMBER(E95),ISNUMBER(F95))),$J$2=""),"",IF(Reprogramaciones!$Q$15&lt;Reprogramaciones!$T$15,0,IF(Reprogramaciones!$S$15&gt;10,MIN(100,SUM($G95:$P95)),MIN(100,SUMPRODUCT((COLUMN($G95:$P95)-COLUMN($G95)+1&lt;Reprogramaciones!$S$15)*$G95:$P95)+N(INDEX($G95:$P95,1,Reprogramaciones!$S$15))*IF(Reprogramaciones!$Q$15&gt;=(Reprogramaciones!$T$15+7*(Reprogramaciones!$S$15-1))+6,1,IF(MAX(0,NETWORKDAYS.INTL(MAX(E95,(Reprogramaciones!$T$15+7*(Reprogramaciones!$S$15-1))),MIN(F95,(Reprogramaciones!$T$15+7*(Reprogramaciones!$S$15-1))+6),11))=0,0,MAX(0,NETWORKDAYS.INTL(MAX(E95,(Reprogramaciones!$T$15+7*(Reprogramaciones!$S$15-1))),MIN(F95,Reprogramaciones!$Q$15),11))/MAX(0,NETWORKDAYS.INTL(MAX(E95,(Reprogramaciones!$T$15+7*(Reprogramaciones!$S$15-1))),MIN(F95,(Reprogramaciones!$T$15+7*(Reprogramaciones!$S$15-1))+6),11))))))))</f>
        <v/>
      </c>
    </row>
    <row r="96" customFormat="false" ht="15" hidden="false" customHeight="false" outlineLevel="0" collapsed="false">
      <c r="A96" s="32"/>
      <c r="B96" s="33"/>
      <c r="C96" s="33"/>
      <c r="D96" s="34"/>
      <c r="E96" s="35"/>
      <c r="F96" s="35"/>
      <c r="G96" s="36" t="str">
        <f aca="false">IF(OR(NOT(AND(ISNUMBER(E96),ISNUMBER(F96))),$J$2=""),"",IF(Reprogramaciones!K$9&lt;E96,0,IF(NETWORKDAYS.INTL(E96,F96,11)=0,IF(Reprogramaciones!K$9&gt;=F96,100,0),ROUND(NETWORKDAYS.INTL(E96,MIN(F96,Reprogramaciones!K$9),11)/NETWORKDAYS.INTL(E96,F96,11)*100,1)))-0)</f>
        <v/>
      </c>
      <c r="H96" s="36" t="str">
        <f aca="false">IF(OR(NOT(AND(ISNUMBER(E96),ISNUMBER(F96))),$J$2=""),"",IF(Reprogramaciones!L$9&lt;E96,0,IF(NETWORKDAYS.INTL(E96,F96,11)=0,IF(Reprogramaciones!L$9&gt;=F96,100,0),ROUND(NETWORKDAYS.INTL(E96,MIN(F96,Reprogramaciones!L$9),11)/NETWORKDAYS.INTL(E96,F96,11)*100,1)))-IF(Reprogramaciones!K$9&lt;E96,0,IF(NETWORKDAYS.INTL(E96,F96,11)=0,IF(Reprogramaciones!K$9&gt;=F96,100,0),ROUND(NETWORKDAYS.INTL(E96,MIN(F96,Reprogramaciones!K$9),11)/NETWORKDAYS.INTL(E96,F96,11)*100,1))))</f>
        <v/>
      </c>
      <c r="I96" s="36" t="str">
        <f aca="false">IF(OR(NOT(AND(ISNUMBER(E96),ISNUMBER(F96))),$J$2=""),"",IF(Reprogramaciones!M$9&lt;E96,0,IF(NETWORKDAYS.INTL(E96,F96,11)=0,IF(Reprogramaciones!M$9&gt;=F96,100,0),ROUND(NETWORKDAYS.INTL(E96,MIN(F96,Reprogramaciones!M$9),11)/NETWORKDAYS.INTL(E96,F96,11)*100,1)))-IF(Reprogramaciones!L$9&lt;E96,0,IF(NETWORKDAYS.INTL(E96,F96,11)=0,IF(Reprogramaciones!L$9&gt;=F96,100,0),ROUND(NETWORKDAYS.INTL(E96,MIN(F96,Reprogramaciones!L$9),11)/NETWORKDAYS.INTL(E96,F96,11)*100,1))))</f>
        <v/>
      </c>
      <c r="J96" s="36" t="str">
        <f aca="false">IF(OR(NOT(AND(ISNUMBER(E96),ISNUMBER(F96))),$J$2=""),"",IF(Reprogramaciones!N$9&lt;E96,0,IF(NETWORKDAYS.INTL(E96,F96,11)=0,IF(Reprogramaciones!N$9&gt;=F96,100,0),ROUND(NETWORKDAYS.INTL(E96,MIN(F96,Reprogramaciones!N$9),11)/NETWORKDAYS.INTL(E96,F96,11)*100,1)))-IF(Reprogramaciones!M$9&lt;E96,0,IF(NETWORKDAYS.INTL(E96,F96,11)=0,IF(Reprogramaciones!M$9&gt;=F96,100,0),ROUND(NETWORKDAYS.INTL(E96,MIN(F96,Reprogramaciones!M$9),11)/NETWORKDAYS.INTL(E96,F96,11)*100,1))))</f>
        <v/>
      </c>
      <c r="K96" s="36" t="str">
        <f aca="false">IF(OR(NOT(AND(ISNUMBER(E96),ISNUMBER(F96))),$J$2=""),"",IF(Reprogramaciones!O$9&lt;E96,0,IF(NETWORKDAYS.INTL(E96,F96,11)=0,IF(Reprogramaciones!O$9&gt;=F96,100,0),ROUND(NETWORKDAYS.INTL(E96,MIN(F96,Reprogramaciones!O$9),11)/NETWORKDAYS.INTL(E96,F96,11)*100,1)))-IF(Reprogramaciones!N$9&lt;E96,0,IF(NETWORKDAYS.INTL(E96,F96,11)=0,IF(Reprogramaciones!N$9&gt;=F96,100,0),ROUND(NETWORKDAYS.INTL(E96,MIN(F96,Reprogramaciones!N$9),11)/NETWORKDAYS.INTL(E96,F96,11)*100,1))))</f>
        <v/>
      </c>
      <c r="L96" s="36" t="str">
        <f aca="false">IF(OR(NOT(AND(ISNUMBER(E96),ISNUMBER(F96))),$J$2=""),"",IF(Reprogramaciones!P$9&lt;E96,0,IF(NETWORKDAYS.INTL(E96,F96,11)=0,IF(Reprogramaciones!P$9&gt;=F96,100,0),ROUND(NETWORKDAYS.INTL(E96,MIN(F96,Reprogramaciones!P$9),11)/NETWORKDAYS.INTL(E96,F96,11)*100,1)))-IF(Reprogramaciones!O$9&lt;E96,0,IF(NETWORKDAYS.INTL(E96,F96,11)=0,IF(Reprogramaciones!O$9&gt;=F96,100,0),ROUND(NETWORKDAYS.INTL(E96,MIN(F96,Reprogramaciones!O$9),11)/NETWORKDAYS.INTL(E96,F96,11)*100,1))))</f>
        <v/>
      </c>
      <c r="M96" s="36" t="str">
        <f aca="false">IF(OR(NOT(AND(ISNUMBER(E96),ISNUMBER(F96))),$J$2=""),"",IF(Reprogramaciones!Q$9&lt;E96,0,IF(NETWORKDAYS.INTL(E96,F96,11)=0,IF(Reprogramaciones!Q$9&gt;=F96,100,0),ROUND(NETWORKDAYS.INTL(E96,MIN(F96,Reprogramaciones!Q$9),11)/NETWORKDAYS.INTL(E96,F96,11)*100,1)))-IF(Reprogramaciones!P$9&lt;E96,0,IF(NETWORKDAYS.INTL(E96,F96,11)=0,IF(Reprogramaciones!P$9&gt;=F96,100,0),ROUND(NETWORKDAYS.INTL(E96,MIN(F96,Reprogramaciones!P$9),11)/NETWORKDAYS.INTL(E96,F96,11)*100,1))))</f>
        <v/>
      </c>
      <c r="N96" s="36" t="str">
        <f aca="false">IF(OR(NOT(AND(ISNUMBER(E96),ISNUMBER(F96))),$J$2=""),"",IF(Reprogramaciones!R$9&lt;E96,0,IF(NETWORKDAYS.INTL(E96,F96,11)=0,IF(Reprogramaciones!R$9&gt;=F96,100,0),ROUND(NETWORKDAYS.INTL(E96,MIN(F96,Reprogramaciones!R$9),11)/NETWORKDAYS.INTL(E96,F96,11)*100,1)))-IF(Reprogramaciones!Q$9&lt;E96,0,IF(NETWORKDAYS.INTL(E96,F96,11)=0,IF(Reprogramaciones!Q$9&gt;=F96,100,0),ROUND(NETWORKDAYS.INTL(E96,MIN(F96,Reprogramaciones!Q$9),11)/NETWORKDAYS.INTL(E96,F96,11)*100,1))))</f>
        <v/>
      </c>
      <c r="O96" s="36" t="str">
        <f aca="false">IF(OR(NOT(AND(ISNUMBER(E96),ISNUMBER(F96))),$J$2=""),"",IF(Reprogramaciones!S$9&lt;E96,0,IF(NETWORKDAYS.INTL(E96,F96,11)=0,IF(Reprogramaciones!S$9&gt;=F96,100,0),ROUND(NETWORKDAYS.INTL(E96,MIN(F96,Reprogramaciones!S$9),11)/NETWORKDAYS.INTL(E96,F96,11)*100,1)))-IF(Reprogramaciones!R$9&lt;E96,0,IF(NETWORKDAYS.INTL(E96,F96,11)=0,IF(Reprogramaciones!R$9&gt;=F96,100,0),ROUND(NETWORKDAYS.INTL(E96,MIN(F96,Reprogramaciones!R$9),11)/NETWORKDAYS.INTL(E96,F96,11)*100,1))))</f>
        <v/>
      </c>
      <c r="P96" s="36" t="str">
        <f aca="false">IF(OR(NOT(AND(ISNUMBER(E96),ISNUMBER(F96))),$J$2=""),"",IF(Reprogramaciones!T$9&lt;E96,0,IF(NETWORKDAYS.INTL(E96,F96,11)=0,IF(Reprogramaciones!T$9&gt;=F96,100,0),ROUND(NETWORKDAYS.INTL(E96,MIN(F96,Reprogramaciones!T$9),11)/NETWORKDAYS.INTL(E96,F96,11)*100,1)))-IF(Reprogramaciones!S$9&lt;E96,0,IF(NETWORKDAYS.INTL(E96,F96,11)=0,IF(Reprogramaciones!S$9&gt;=F96,100,0),ROUND(NETWORKDAYS.INTL(E96,MIN(F96,Reprogramaciones!S$9),11)/NETWORKDAYS.INTL(E96,F96,11)*100,1))))</f>
        <v/>
      </c>
      <c r="Q96" s="37"/>
      <c r="R96" s="37"/>
      <c r="S96" s="37"/>
      <c r="T96" s="37"/>
      <c r="U96" s="37"/>
      <c r="V96" s="37"/>
      <c r="W96" s="37"/>
      <c r="X96" s="37"/>
      <c r="Y96" s="37"/>
      <c r="Z96" s="37"/>
      <c r="AA96" s="37"/>
      <c r="AB96" s="37"/>
      <c r="AC96" s="37"/>
      <c r="AD96" s="37"/>
      <c r="AE96" s="37"/>
      <c r="AF96" s="37"/>
      <c r="AG96" s="38" t="str">
        <f aca="false">IF(AND(ISNUMBER(E96),ISNUMBER(F96)),NETWORKDAYS.INTL(E96,F96,11),"")</f>
        <v/>
      </c>
      <c r="AH96" s="38" t="str">
        <f aca="false">IF(OR(NOT(AND(ISNUMBER(E96),ISNUMBER(F96))),$J$2=""),"",IF(Reprogramaciones!$P$15&lt;Reprogramaciones!$T$15,0,IF(Reprogramaciones!$R$15&gt;10,MIN(100,SUM($G96:$P96)),MIN(100,SUMPRODUCT((COLUMN($G96:$P96)-COLUMN($G96)+1&lt;Reprogramaciones!$R$15)*$G96:$P96)+N(INDEX($G96:$P96,1,Reprogramaciones!$R$15))*IF(Reprogramaciones!$P$15&gt;=(Reprogramaciones!$T$15+7*(Reprogramaciones!$R$15-1))+6,1,IF(MAX(0,NETWORKDAYS.INTL(MAX(E96,(Reprogramaciones!$T$15+7*(Reprogramaciones!$R$15-1))),MIN(F96,(Reprogramaciones!$T$15+7*(Reprogramaciones!$R$15-1))+6),11))=0,0,MAX(0,NETWORKDAYS.INTL(MAX(E96,(Reprogramaciones!$T$15+7*(Reprogramaciones!$R$15-1))),MIN(F96,Reprogramaciones!$P$15),11))/MAX(0,NETWORKDAYS.INTL(MAX(E96,(Reprogramaciones!$T$15+7*(Reprogramaciones!$R$15-1))),MIN(F96,(Reprogramaciones!$T$15+7*(Reprogramaciones!$R$15-1))+6),11))))))))</f>
        <v/>
      </c>
      <c r="AI96" s="38" t="str">
        <f aca="false">IF(COUNT($Q96:$AF96)=0,"",IF(ROUND(SUM($Q96:$AF96),1)&gt;=99.5,100,MIN(100,ROUND(SUM($Q96:$AF96),1))))</f>
        <v/>
      </c>
      <c r="AJ96" s="38" t="str">
        <f aca="false">IF(OR(AH96="",AI96=""),"",AI96-AH96)</f>
        <v/>
      </c>
      <c r="AK96" s="39" t="str">
        <f aca="true">IF(AH96="","",IF(OR(Ficha!$C$10="Suspendida",Ficha!$C$10="Cancelada"),Ficha!$C$10,IF(AND(AI96&lt;&gt;"",N(AI96)&gt;=100),"Completada",IF(AND(E96&gt;TODAY(),N(AI96)=0),"Por iniciar",IF(N(AI96)+0.5&lt;AH96,"Retrasada",IF(N(AI96)+0.5&lt;DA96,IF(Reprogramaciones!$K$15&gt;0,"Al día · Sem "&amp;Reprogramaciones!$K$15&amp;" en curso","Al día · en curso"),"A tiempo"))))))</f>
        <v/>
      </c>
      <c r="AL96" s="39" t="str">
        <f aca="true">IF(AND(A96="",AND(B96="",C96="",E96="",F96="",COUNT(Q96:AF96)=0)),"",IF(AND(B96="",C96="",E96="",F96="",COUNT(Q96:AF96)=0),"Falta la partida o subpartida",IF(AND(A96&lt;&gt;"",COUNTIF($A$6:$A$305,A96)&gt;1),"Ítem repetido",IF(AND(C96="",E96="",F96="",COUNT(Q96:AF96)=0),"Título de partida",IF(OR(E96="",F96=""),"Faltan fechas",IF(OR(ISTEXT(E96),ISTEXT(F96)),"Fecha escrita como texto: usa dd/mm/aaaa",IF(F96&lt;E96,"Fin antes del inicio",IF(IF($J$2="",FALSE(),OR(E96&lt;$J$2,F96&gt;Reprogramaciones!$T$15+69)),"Fuera de las 10 semanas",IF(ABS(SUM(G96:P96)-100)&gt;0.5,"La meta no suma 100%",IF(ROUND(SUM(Q96:AF96),1)&gt;100.5,"El avance pasa de 100%",IF(MIN(Q96:AF96)&lt;0,"Avance negativo",IF(COUNTA(Q96:AF96)&gt;COUNT(Q96:AF96),"Avance escrito como texto",IF(SUMPRODUCT((Q96:AF96&gt;0)*(Q96:AF96&lt;1))&gt;0,"Avance menor a 1: escribe 50, no 50%",IF(SUMPRODUCT(ISNUMBER(Q96:AF96)*(Reprogramaciones!$K$8:$Z$8&gt;TODAY()))&gt;0,"Avance en semana que aún no llega",IF(AND(N(Reprogramaciones!$E$21)&gt;0,F96&gt;Reprogramaciones!$E$21),"Pasa el fin de la obra: registra una reprogramación",IF(AND(N(Reprogramaciones!$E$21)&gt;0,SUMPRODUCT(ISNUMBER(Q96:AF96)*(Reprogramaciones!$K$8:$Z$8&gt;Reprogramaciones!$E$21))&gt;0),"Avance después del fin de la obra: registra una reprogramación por atraso","OK"))))))))))))))))</f>
        <v/>
      </c>
      <c r="AM96" s="40" t="str">
        <f aca="false">IF(OR(OR(NOT(AND(ISNUMBER(E96),ISNUMBER(F96))),$J$2=""),1&gt;MAX(1,Reprogramaciones!$U$15)),"",IF(Reprogramaciones!K$12&gt;=7,"",IF(OR(BT96-N(0)&gt;0.05,N(Q96)&gt;0),ROUNDDOWN(ROUND(BT96,6),0)&amp;"%"&amp;IF(CJ96="",""," / "&amp;CJ96&amp;"%"),IF(AND(N(0)&gt;=99.95,CJ96&lt;&gt;"",N(CJ96)&lt;100),"Pend. "&amp;CJ96&amp;"%",""))))</f>
        <v/>
      </c>
      <c r="AN96" s="40" t="str">
        <f aca="false">IF(OR(OR(NOT(AND(ISNUMBER(E96),ISNUMBER(F96))),$J$2=""),2&gt;MAX(1,Reprogramaciones!$U$15)),"",IF(Reprogramaciones!L$12&gt;=7,"",IF(OR(BU96-N(BT96)&gt;0.05,N(R96)&gt;0),ROUNDDOWN(ROUND(BU96,6),0)&amp;"%"&amp;IF(CK96="",""," / "&amp;CK96&amp;"%"),IF(AND(N(BT96)&gt;=99.95,CK96&lt;&gt;"",N(CK96)&lt;100),"Pend. "&amp;CK96&amp;"%",""))))</f>
        <v/>
      </c>
      <c r="AO96" s="40" t="str">
        <f aca="false">IF(OR(OR(NOT(AND(ISNUMBER(E96),ISNUMBER(F96))),$J$2=""),3&gt;MAX(1,Reprogramaciones!$U$15)),"",IF(Reprogramaciones!M$12&gt;=7,"",IF(OR(BV96-N(BU96)&gt;0.05,N(S96)&gt;0),ROUNDDOWN(ROUND(BV96,6),0)&amp;"%"&amp;IF(CL96="",""," / "&amp;CL96&amp;"%"),IF(AND(N(BU96)&gt;=99.95,CL96&lt;&gt;"",N(CL96)&lt;100),"Pend. "&amp;CL96&amp;"%",""))))</f>
        <v/>
      </c>
      <c r="AP96" s="40" t="str">
        <f aca="false">IF(OR(OR(NOT(AND(ISNUMBER(E96),ISNUMBER(F96))),$J$2=""),4&gt;MAX(1,Reprogramaciones!$U$15)),"",IF(Reprogramaciones!N$12&gt;=7,"",IF(OR(BW96-N(BV96)&gt;0.05,N(T96)&gt;0),ROUNDDOWN(ROUND(BW96,6),0)&amp;"%"&amp;IF(CM96="",""," / "&amp;CM96&amp;"%"),IF(AND(N(BV96)&gt;=99.95,CM96&lt;&gt;"",N(CM96)&lt;100),"Pend. "&amp;CM96&amp;"%",""))))</f>
        <v/>
      </c>
      <c r="AQ96" s="40" t="str">
        <f aca="false">IF(OR(OR(NOT(AND(ISNUMBER(E96),ISNUMBER(F96))),$J$2=""),5&gt;MAX(1,Reprogramaciones!$U$15)),"",IF(Reprogramaciones!O$12&gt;=7,"",IF(OR(BX96-N(BW96)&gt;0.05,N(U96)&gt;0),ROUNDDOWN(ROUND(BX96,6),0)&amp;"%"&amp;IF(CN96="",""," / "&amp;CN96&amp;"%"),IF(AND(N(BW96)&gt;=99.95,CN96&lt;&gt;"",N(CN96)&lt;100),"Pend. "&amp;CN96&amp;"%",""))))</f>
        <v/>
      </c>
      <c r="AR96" s="40" t="str">
        <f aca="false">IF(OR(OR(NOT(AND(ISNUMBER(E96),ISNUMBER(F96))),$J$2=""),6&gt;MAX(1,Reprogramaciones!$U$15)),"",IF(Reprogramaciones!P$12&gt;=7,"",IF(OR(BY96-N(BX96)&gt;0.05,N(V96)&gt;0),ROUNDDOWN(ROUND(BY96,6),0)&amp;"%"&amp;IF(CO96="",""," / "&amp;CO96&amp;"%"),IF(AND(N(BX96)&gt;=99.95,CO96&lt;&gt;"",N(CO96)&lt;100),"Pend. "&amp;CO96&amp;"%",""))))</f>
        <v/>
      </c>
      <c r="AS96" s="40" t="str">
        <f aca="false">IF(OR(OR(NOT(AND(ISNUMBER(E96),ISNUMBER(F96))),$J$2=""),7&gt;MAX(1,Reprogramaciones!$U$15)),"",IF(Reprogramaciones!Q$12&gt;=7,"",IF(OR(BZ96-N(BY96)&gt;0.05,N(W96)&gt;0),ROUNDDOWN(ROUND(BZ96,6),0)&amp;"%"&amp;IF(CP96="",""," / "&amp;CP96&amp;"%"),IF(AND(N(BY96)&gt;=99.95,CP96&lt;&gt;"",N(CP96)&lt;100),"Pend. "&amp;CP96&amp;"%",""))))</f>
        <v/>
      </c>
      <c r="AT96" s="40" t="str">
        <f aca="false">IF(OR(OR(NOT(AND(ISNUMBER(E96),ISNUMBER(F96))),$J$2=""),8&gt;MAX(1,Reprogramaciones!$U$15)),"",IF(Reprogramaciones!R$12&gt;=7,"",IF(OR(CA96-N(BZ96)&gt;0.05,N(X96)&gt;0),ROUNDDOWN(ROUND(CA96,6),0)&amp;"%"&amp;IF(CQ96="",""," / "&amp;CQ96&amp;"%"),IF(AND(N(BZ96)&gt;=99.95,CQ96&lt;&gt;"",N(CQ96)&lt;100),"Pend. "&amp;CQ96&amp;"%",""))))</f>
        <v/>
      </c>
      <c r="AU96" s="40" t="str">
        <f aca="false">IF(OR(OR(NOT(AND(ISNUMBER(E96),ISNUMBER(F96))),$J$2=""),9&gt;MAX(1,Reprogramaciones!$U$15)),"",IF(Reprogramaciones!S$12&gt;=7,"",IF(OR(CB96-N(CA96)&gt;0.05,N(Y96)&gt;0),ROUNDDOWN(ROUND(CB96,6),0)&amp;"%"&amp;IF(CR96="",""," / "&amp;CR96&amp;"%"),IF(AND(N(CA96)&gt;=99.95,CR96&lt;&gt;"",N(CR96)&lt;100),"Pend. "&amp;CR96&amp;"%",""))))</f>
        <v/>
      </c>
      <c r="AV96" s="40" t="str">
        <f aca="false">IF(OR(OR(NOT(AND(ISNUMBER(E96),ISNUMBER(F96))),$J$2=""),10&gt;MAX(1,Reprogramaciones!$U$15)),"",IF(Reprogramaciones!T$12&gt;=7,"",IF(OR(CC96-N(CB96)&gt;0.05,N(Z96)&gt;0),ROUNDDOWN(ROUND(CC96,6),0)&amp;"%"&amp;IF(CS96="",""," / "&amp;CS96&amp;"%"),IF(AND(N(CB96)&gt;=99.95,CS96&lt;&gt;"",N(CS96)&lt;100),"Pend. "&amp;CS96&amp;"%",""))))</f>
        <v/>
      </c>
      <c r="AW96" s="40" t="str">
        <f aca="false">IF(OR(OR(NOT(AND(ISNUMBER(E96),ISNUMBER(F96))),$J$2=""),11&gt;MAX(1,Reprogramaciones!$U$15)),"",IF(Reprogramaciones!U$12&gt;=7,"",IF(OR(CD96-N(CC96)&gt;0.05,N(AA96)&gt;0),ROUNDDOWN(ROUND(CD96,6),0)&amp;"%"&amp;IF(CT96="",""," / "&amp;CT96&amp;"%"),IF(AND(N(CC96)&gt;=99.95,CT96&lt;&gt;"",N(CT96)&lt;100),"Pend. "&amp;CT96&amp;"%",""))))</f>
        <v/>
      </c>
      <c r="AX96" s="40" t="str">
        <f aca="false">IF(OR(OR(NOT(AND(ISNUMBER(E96),ISNUMBER(F96))),$J$2=""),12&gt;MAX(1,Reprogramaciones!$U$15)),"",IF(Reprogramaciones!V$12&gt;=7,"",IF(OR(CE96-N(CD96)&gt;0.05,N(AB96)&gt;0),ROUNDDOWN(ROUND(CE96,6),0)&amp;"%"&amp;IF(CU96="",""," / "&amp;CU96&amp;"%"),IF(AND(N(CD96)&gt;=99.95,CU96&lt;&gt;"",N(CU96)&lt;100),"Pend. "&amp;CU96&amp;"%",""))))</f>
        <v/>
      </c>
      <c r="AY96" s="40" t="str">
        <f aca="false">IF(OR(OR(NOT(AND(ISNUMBER(E96),ISNUMBER(F96))),$J$2=""),13&gt;MAX(1,Reprogramaciones!$U$15)),"",IF(Reprogramaciones!W$12&gt;=7,"",IF(OR(CF96-N(CE96)&gt;0.05,N(AC96)&gt;0),ROUNDDOWN(ROUND(CF96,6),0)&amp;"%"&amp;IF(CV96="",""," / "&amp;CV96&amp;"%"),IF(AND(N(CE96)&gt;=99.95,CV96&lt;&gt;"",N(CV96)&lt;100),"Pend. "&amp;CV96&amp;"%",""))))</f>
        <v/>
      </c>
      <c r="AZ96" s="40" t="str">
        <f aca="false">IF(OR(OR(NOT(AND(ISNUMBER(E96),ISNUMBER(F96))),$J$2=""),14&gt;MAX(1,Reprogramaciones!$U$15)),"",IF(Reprogramaciones!X$12&gt;=7,"",IF(OR(CG96-N(CF96)&gt;0.05,N(AD96)&gt;0),ROUNDDOWN(ROUND(CG96,6),0)&amp;"%"&amp;IF(CW96="",""," / "&amp;CW96&amp;"%"),IF(AND(N(CF96)&gt;=99.95,CW96&lt;&gt;"",N(CW96)&lt;100),"Pend. "&amp;CW96&amp;"%",""))))</f>
        <v/>
      </c>
      <c r="BA96" s="40" t="str">
        <f aca="false">IF(OR(OR(NOT(AND(ISNUMBER(E96),ISNUMBER(F96))),$J$2=""),15&gt;MAX(1,Reprogramaciones!$U$15)),"",IF(Reprogramaciones!Y$12&gt;=7,"",IF(OR(CH96-N(CG96)&gt;0.05,N(AE96)&gt;0),ROUNDDOWN(ROUND(CH96,6),0)&amp;"%"&amp;IF(CX96="",""," / "&amp;CX96&amp;"%"),IF(AND(N(CG96)&gt;=99.95,CX96&lt;&gt;"",N(CX96)&lt;100),"Pend. "&amp;CX96&amp;"%",""))))</f>
        <v/>
      </c>
      <c r="BB96" s="40" t="str">
        <f aca="false">IF(OR(OR(NOT(AND(ISNUMBER(E96),ISNUMBER(F96))),$J$2=""),16&gt;MAX(1,Reprogramaciones!$U$15)),"",IF(Reprogramaciones!Z$12&gt;=7,"",IF(OR(CI96-N(CH96)&gt;0.05,N(AF96)&gt;0),ROUNDDOWN(ROUND(CI96,6),0)&amp;"%"&amp;IF(CY96="",""," / "&amp;CY96&amp;"%"),IF(AND(N(CH96)&gt;=99.95,CY96&lt;&gt;"",N(CY96)&lt;100),"Pend. "&amp;CY96&amp;"%",""))))</f>
        <v/>
      </c>
      <c r="BC96" s="31" t="n">
        <f aca="false">IF(AND(ISNUMBER(E96),ISNUMBER(F96)),MAX(1,NETWORKDAYS.INTL(E96,F96,11)),0)</f>
        <v>0</v>
      </c>
      <c r="BD96" s="1" t="str">
        <f aca="false">IF(OR(NOT(AND(ISNUMBER(E96),ISNUMBER(F96))),$J$2=""),"",MIN(100,ROUND(SUM($G96:G96),1)))</f>
        <v/>
      </c>
      <c r="BE96" s="1" t="str">
        <f aca="false">IF(OR(NOT(AND(ISNUMBER(E96),ISNUMBER(F96))),$J$2=""),"",MIN(100,ROUND(SUM($G96:H96),1)))</f>
        <v/>
      </c>
      <c r="BF96" s="1" t="str">
        <f aca="false">IF(OR(NOT(AND(ISNUMBER(E96),ISNUMBER(F96))),$J$2=""),"",MIN(100,ROUND(SUM($G96:I96),1)))</f>
        <v/>
      </c>
      <c r="BG96" s="1" t="str">
        <f aca="false">IF(OR(NOT(AND(ISNUMBER(E96),ISNUMBER(F96))),$J$2=""),"",MIN(100,ROUND(SUM($G96:J96),1)))</f>
        <v/>
      </c>
      <c r="BH96" s="1" t="str">
        <f aca="false">IF(OR(NOT(AND(ISNUMBER(E96),ISNUMBER(F96))),$J$2=""),"",MIN(100,ROUND(SUM($G96:K96),1)))</f>
        <v/>
      </c>
      <c r="BI96" s="1" t="str">
        <f aca="false">IF(OR(NOT(AND(ISNUMBER(E96),ISNUMBER(F96))),$J$2=""),"",MIN(100,ROUND(SUM($G96:L96),1)))</f>
        <v/>
      </c>
      <c r="BJ96" s="1" t="str">
        <f aca="false">IF(OR(NOT(AND(ISNUMBER(E96),ISNUMBER(F96))),$J$2=""),"",MIN(100,ROUND(SUM($G96:M96),1)))</f>
        <v/>
      </c>
      <c r="BK96" s="1" t="str">
        <f aca="false">IF(OR(NOT(AND(ISNUMBER(E96),ISNUMBER(F96))),$J$2=""),"",MIN(100,ROUND(SUM($G96:N96),1)))</f>
        <v/>
      </c>
      <c r="BL96" s="1" t="str">
        <f aca="false">IF(OR(NOT(AND(ISNUMBER(E96),ISNUMBER(F96))),$J$2=""),"",MIN(100,ROUND(SUM($G96:O96),1)))</f>
        <v/>
      </c>
      <c r="BM96" s="1" t="str">
        <f aca="false">IF(OR(NOT(AND(ISNUMBER(E96),ISNUMBER(F96))),$J$2=""),"",MIN(100,ROUND(SUM($G96:P96),1)))</f>
        <v/>
      </c>
      <c r="BN96" s="1" t="str">
        <f aca="false">IF(OR(NOT(AND(ISNUMBER(E96),ISNUMBER(F96))),$J$2=""),"",MIN(100,ROUND(SUM($G96:P96),1)))</f>
        <v/>
      </c>
      <c r="BO96" s="1" t="str">
        <f aca="false">IF(OR(NOT(AND(ISNUMBER(E96),ISNUMBER(F96))),$J$2=""),"",MIN(100,ROUND(SUM($G96:P96),1)))</f>
        <v/>
      </c>
      <c r="BP96" s="1" t="str">
        <f aca="false">IF(OR(NOT(AND(ISNUMBER(E96),ISNUMBER(F96))),$J$2=""),"",MIN(100,ROUND(SUM($G96:P96),1)))</f>
        <v/>
      </c>
      <c r="BQ96" s="1" t="str">
        <f aca="false">IF(OR(NOT(AND(ISNUMBER(E96),ISNUMBER(F96))),$J$2=""),"",MIN(100,ROUND(SUM($G96:P96),1)))</f>
        <v/>
      </c>
      <c r="BR96" s="1" t="str">
        <f aca="false">IF(OR(NOT(AND(ISNUMBER(E96),ISNUMBER(F96))),$J$2=""),"",MIN(100,ROUND(SUM($G96:P96),1)))</f>
        <v/>
      </c>
      <c r="BS96" s="1" t="str">
        <f aca="false">IF(OR(NOT(AND(ISNUMBER(E96),ISNUMBER(F96))),$J$2=""),"",MIN(100,ROUND(SUM($G96:P96),1)))</f>
        <v/>
      </c>
      <c r="BT96" s="1" t="str">
        <f aca="false">IF(OR(NOT(AND(ISNUMBER(E96),ISNUMBER(F96))),$J$2=""),"",IF(Reprogramaciones!K$13&lt;Reprogramaciones!$T$15,0,IF(Reprogramaciones!K$14&gt;10,MIN(100,SUM($G96:$P96)),MIN(100,SUMPRODUCT((COLUMN($G96:$P96)-COLUMN($G96)+1&lt;Reprogramaciones!K$14)*$G96:$P96)+N(INDEX($G96:$P96,1,Reprogramaciones!K$14))*IF(Reprogramaciones!K$13&gt;=(Reprogramaciones!$T$15+7*(Reprogramaciones!K$14-1))+6,1,IF(MAX(0,NETWORKDAYS.INTL(MAX(E96,(Reprogramaciones!$T$15+7*(Reprogramaciones!K$14-1))),MIN(F96,(Reprogramaciones!$T$15+7*(Reprogramaciones!K$14-1))+6),11))=0,0,MAX(0,NETWORKDAYS.INTL(MAX(E96,(Reprogramaciones!$T$15+7*(Reprogramaciones!K$14-1))),MIN(F96,Reprogramaciones!K$13),11))/MAX(0,NETWORKDAYS.INTL(MAX(E96,(Reprogramaciones!$T$15+7*(Reprogramaciones!K$14-1))),MIN(F96,(Reprogramaciones!$T$15+7*(Reprogramaciones!K$14-1))+6),11))))))))</f>
        <v/>
      </c>
      <c r="BU96" s="1" t="str">
        <f aca="false">IF(OR(NOT(AND(ISNUMBER(E96),ISNUMBER(F96))),$J$2=""),"",IF(Reprogramaciones!L$13&lt;Reprogramaciones!$T$15,0,IF(Reprogramaciones!L$14&gt;10,MIN(100,SUM($G96:$P96)),MIN(100,SUMPRODUCT((COLUMN($G96:$P96)-COLUMN($G96)+1&lt;Reprogramaciones!L$14)*$G96:$P96)+N(INDEX($G96:$P96,1,Reprogramaciones!L$14))*IF(Reprogramaciones!L$13&gt;=(Reprogramaciones!$T$15+7*(Reprogramaciones!L$14-1))+6,1,IF(MAX(0,NETWORKDAYS.INTL(MAX(E96,(Reprogramaciones!$T$15+7*(Reprogramaciones!L$14-1))),MIN(F96,(Reprogramaciones!$T$15+7*(Reprogramaciones!L$14-1))+6),11))=0,0,MAX(0,NETWORKDAYS.INTL(MAX(E96,(Reprogramaciones!$T$15+7*(Reprogramaciones!L$14-1))),MIN(F96,Reprogramaciones!L$13),11))/MAX(0,NETWORKDAYS.INTL(MAX(E96,(Reprogramaciones!$T$15+7*(Reprogramaciones!L$14-1))),MIN(F96,(Reprogramaciones!$T$15+7*(Reprogramaciones!L$14-1))+6),11))))))))</f>
        <v/>
      </c>
      <c r="BV96" s="1" t="str">
        <f aca="false">IF(OR(NOT(AND(ISNUMBER(E96),ISNUMBER(F96))),$J$2=""),"",IF(Reprogramaciones!M$13&lt;Reprogramaciones!$T$15,0,IF(Reprogramaciones!M$14&gt;10,MIN(100,SUM($G96:$P96)),MIN(100,SUMPRODUCT((COLUMN($G96:$P96)-COLUMN($G96)+1&lt;Reprogramaciones!M$14)*$G96:$P96)+N(INDEX($G96:$P96,1,Reprogramaciones!M$14))*IF(Reprogramaciones!M$13&gt;=(Reprogramaciones!$T$15+7*(Reprogramaciones!M$14-1))+6,1,IF(MAX(0,NETWORKDAYS.INTL(MAX(E96,(Reprogramaciones!$T$15+7*(Reprogramaciones!M$14-1))),MIN(F96,(Reprogramaciones!$T$15+7*(Reprogramaciones!M$14-1))+6),11))=0,0,MAX(0,NETWORKDAYS.INTL(MAX(E96,(Reprogramaciones!$T$15+7*(Reprogramaciones!M$14-1))),MIN(F96,Reprogramaciones!M$13),11))/MAX(0,NETWORKDAYS.INTL(MAX(E96,(Reprogramaciones!$T$15+7*(Reprogramaciones!M$14-1))),MIN(F96,(Reprogramaciones!$T$15+7*(Reprogramaciones!M$14-1))+6),11))))))))</f>
        <v/>
      </c>
      <c r="BW96" s="1" t="str">
        <f aca="false">IF(OR(NOT(AND(ISNUMBER(E96),ISNUMBER(F96))),$J$2=""),"",IF(Reprogramaciones!N$13&lt;Reprogramaciones!$T$15,0,IF(Reprogramaciones!N$14&gt;10,MIN(100,SUM($G96:$P96)),MIN(100,SUMPRODUCT((COLUMN($G96:$P96)-COLUMN($G96)+1&lt;Reprogramaciones!N$14)*$G96:$P96)+N(INDEX($G96:$P96,1,Reprogramaciones!N$14))*IF(Reprogramaciones!N$13&gt;=(Reprogramaciones!$T$15+7*(Reprogramaciones!N$14-1))+6,1,IF(MAX(0,NETWORKDAYS.INTL(MAX(E96,(Reprogramaciones!$T$15+7*(Reprogramaciones!N$14-1))),MIN(F96,(Reprogramaciones!$T$15+7*(Reprogramaciones!N$14-1))+6),11))=0,0,MAX(0,NETWORKDAYS.INTL(MAX(E96,(Reprogramaciones!$T$15+7*(Reprogramaciones!N$14-1))),MIN(F96,Reprogramaciones!N$13),11))/MAX(0,NETWORKDAYS.INTL(MAX(E96,(Reprogramaciones!$T$15+7*(Reprogramaciones!N$14-1))),MIN(F96,(Reprogramaciones!$T$15+7*(Reprogramaciones!N$14-1))+6),11))))))))</f>
        <v/>
      </c>
      <c r="BX96" s="1" t="str">
        <f aca="false">IF(OR(NOT(AND(ISNUMBER(E96),ISNUMBER(F96))),$J$2=""),"",IF(Reprogramaciones!O$13&lt;Reprogramaciones!$T$15,0,IF(Reprogramaciones!O$14&gt;10,MIN(100,SUM($G96:$P96)),MIN(100,SUMPRODUCT((COLUMN($G96:$P96)-COLUMN($G96)+1&lt;Reprogramaciones!O$14)*$G96:$P96)+N(INDEX($G96:$P96,1,Reprogramaciones!O$14))*IF(Reprogramaciones!O$13&gt;=(Reprogramaciones!$T$15+7*(Reprogramaciones!O$14-1))+6,1,IF(MAX(0,NETWORKDAYS.INTL(MAX(E96,(Reprogramaciones!$T$15+7*(Reprogramaciones!O$14-1))),MIN(F96,(Reprogramaciones!$T$15+7*(Reprogramaciones!O$14-1))+6),11))=0,0,MAX(0,NETWORKDAYS.INTL(MAX(E96,(Reprogramaciones!$T$15+7*(Reprogramaciones!O$14-1))),MIN(F96,Reprogramaciones!O$13),11))/MAX(0,NETWORKDAYS.INTL(MAX(E96,(Reprogramaciones!$T$15+7*(Reprogramaciones!O$14-1))),MIN(F96,(Reprogramaciones!$T$15+7*(Reprogramaciones!O$14-1))+6),11))))))))</f>
        <v/>
      </c>
      <c r="BY96" s="1" t="str">
        <f aca="false">IF(OR(NOT(AND(ISNUMBER(E96),ISNUMBER(F96))),$J$2=""),"",IF(Reprogramaciones!P$13&lt;Reprogramaciones!$T$15,0,IF(Reprogramaciones!P$14&gt;10,MIN(100,SUM($G96:$P96)),MIN(100,SUMPRODUCT((COLUMN($G96:$P96)-COLUMN($G96)+1&lt;Reprogramaciones!P$14)*$G96:$P96)+N(INDEX($G96:$P96,1,Reprogramaciones!P$14))*IF(Reprogramaciones!P$13&gt;=(Reprogramaciones!$T$15+7*(Reprogramaciones!P$14-1))+6,1,IF(MAX(0,NETWORKDAYS.INTL(MAX(E96,(Reprogramaciones!$T$15+7*(Reprogramaciones!P$14-1))),MIN(F96,(Reprogramaciones!$T$15+7*(Reprogramaciones!P$14-1))+6),11))=0,0,MAX(0,NETWORKDAYS.INTL(MAX(E96,(Reprogramaciones!$T$15+7*(Reprogramaciones!P$14-1))),MIN(F96,Reprogramaciones!P$13),11))/MAX(0,NETWORKDAYS.INTL(MAX(E96,(Reprogramaciones!$T$15+7*(Reprogramaciones!P$14-1))),MIN(F96,(Reprogramaciones!$T$15+7*(Reprogramaciones!P$14-1))+6),11))))))))</f>
        <v/>
      </c>
      <c r="BZ96" s="1" t="str">
        <f aca="false">IF(OR(NOT(AND(ISNUMBER(E96),ISNUMBER(F96))),$J$2=""),"",IF(Reprogramaciones!Q$13&lt;Reprogramaciones!$T$15,0,IF(Reprogramaciones!Q$14&gt;10,MIN(100,SUM($G96:$P96)),MIN(100,SUMPRODUCT((COLUMN($G96:$P96)-COLUMN($G96)+1&lt;Reprogramaciones!Q$14)*$G96:$P96)+N(INDEX($G96:$P96,1,Reprogramaciones!Q$14))*IF(Reprogramaciones!Q$13&gt;=(Reprogramaciones!$T$15+7*(Reprogramaciones!Q$14-1))+6,1,IF(MAX(0,NETWORKDAYS.INTL(MAX(E96,(Reprogramaciones!$T$15+7*(Reprogramaciones!Q$14-1))),MIN(F96,(Reprogramaciones!$T$15+7*(Reprogramaciones!Q$14-1))+6),11))=0,0,MAX(0,NETWORKDAYS.INTL(MAX(E96,(Reprogramaciones!$T$15+7*(Reprogramaciones!Q$14-1))),MIN(F96,Reprogramaciones!Q$13),11))/MAX(0,NETWORKDAYS.INTL(MAX(E96,(Reprogramaciones!$T$15+7*(Reprogramaciones!Q$14-1))),MIN(F96,(Reprogramaciones!$T$15+7*(Reprogramaciones!Q$14-1))+6),11))))))))</f>
        <v/>
      </c>
      <c r="CA96" s="1" t="str">
        <f aca="false">IF(OR(NOT(AND(ISNUMBER(E96),ISNUMBER(F96))),$J$2=""),"",IF(Reprogramaciones!R$13&lt;Reprogramaciones!$T$15,0,IF(Reprogramaciones!R$14&gt;10,MIN(100,SUM($G96:$P96)),MIN(100,SUMPRODUCT((COLUMN($G96:$P96)-COLUMN($G96)+1&lt;Reprogramaciones!R$14)*$G96:$P96)+N(INDEX($G96:$P96,1,Reprogramaciones!R$14))*IF(Reprogramaciones!R$13&gt;=(Reprogramaciones!$T$15+7*(Reprogramaciones!R$14-1))+6,1,IF(MAX(0,NETWORKDAYS.INTL(MAX(E96,(Reprogramaciones!$T$15+7*(Reprogramaciones!R$14-1))),MIN(F96,(Reprogramaciones!$T$15+7*(Reprogramaciones!R$14-1))+6),11))=0,0,MAX(0,NETWORKDAYS.INTL(MAX(E96,(Reprogramaciones!$T$15+7*(Reprogramaciones!R$14-1))),MIN(F96,Reprogramaciones!R$13),11))/MAX(0,NETWORKDAYS.INTL(MAX(E96,(Reprogramaciones!$T$15+7*(Reprogramaciones!R$14-1))),MIN(F96,(Reprogramaciones!$T$15+7*(Reprogramaciones!R$14-1))+6),11))))))))</f>
        <v/>
      </c>
      <c r="CB96" s="1" t="str">
        <f aca="false">IF(OR(NOT(AND(ISNUMBER(E96),ISNUMBER(F96))),$J$2=""),"",IF(Reprogramaciones!S$13&lt;Reprogramaciones!$T$15,0,IF(Reprogramaciones!S$14&gt;10,MIN(100,SUM($G96:$P96)),MIN(100,SUMPRODUCT((COLUMN($G96:$P96)-COLUMN($G96)+1&lt;Reprogramaciones!S$14)*$G96:$P96)+N(INDEX($G96:$P96,1,Reprogramaciones!S$14))*IF(Reprogramaciones!S$13&gt;=(Reprogramaciones!$T$15+7*(Reprogramaciones!S$14-1))+6,1,IF(MAX(0,NETWORKDAYS.INTL(MAX(E96,(Reprogramaciones!$T$15+7*(Reprogramaciones!S$14-1))),MIN(F96,(Reprogramaciones!$T$15+7*(Reprogramaciones!S$14-1))+6),11))=0,0,MAX(0,NETWORKDAYS.INTL(MAX(E96,(Reprogramaciones!$T$15+7*(Reprogramaciones!S$14-1))),MIN(F96,Reprogramaciones!S$13),11))/MAX(0,NETWORKDAYS.INTL(MAX(E96,(Reprogramaciones!$T$15+7*(Reprogramaciones!S$14-1))),MIN(F96,(Reprogramaciones!$T$15+7*(Reprogramaciones!S$14-1))+6),11))))))))</f>
        <v/>
      </c>
      <c r="CC96" s="1" t="str">
        <f aca="false">IF(OR(NOT(AND(ISNUMBER(E96),ISNUMBER(F96))),$J$2=""),"",IF(Reprogramaciones!T$13&lt;Reprogramaciones!$T$15,0,IF(Reprogramaciones!T$14&gt;10,MIN(100,SUM($G96:$P96)),MIN(100,SUMPRODUCT((COLUMN($G96:$P96)-COLUMN($G96)+1&lt;Reprogramaciones!T$14)*$G96:$P96)+N(INDEX($G96:$P96,1,Reprogramaciones!T$14))*IF(Reprogramaciones!T$13&gt;=(Reprogramaciones!$T$15+7*(Reprogramaciones!T$14-1))+6,1,IF(MAX(0,NETWORKDAYS.INTL(MAX(E96,(Reprogramaciones!$T$15+7*(Reprogramaciones!T$14-1))),MIN(F96,(Reprogramaciones!$T$15+7*(Reprogramaciones!T$14-1))+6),11))=0,0,MAX(0,NETWORKDAYS.INTL(MAX(E96,(Reprogramaciones!$T$15+7*(Reprogramaciones!T$14-1))),MIN(F96,Reprogramaciones!T$13),11))/MAX(0,NETWORKDAYS.INTL(MAX(E96,(Reprogramaciones!$T$15+7*(Reprogramaciones!T$14-1))),MIN(F96,(Reprogramaciones!$T$15+7*(Reprogramaciones!T$14-1))+6),11))))))))</f>
        <v/>
      </c>
      <c r="CD96" s="1" t="str">
        <f aca="false">IF(OR(NOT(AND(ISNUMBER(E96),ISNUMBER(F96))),$J$2=""),"",IF(Reprogramaciones!U$13&lt;Reprogramaciones!$T$15,0,IF(Reprogramaciones!U$14&gt;10,MIN(100,SUM($G96:$P96)),MIN(100,SUMPRODUCT((COLUMN($G96:$P96)-COLUMN($G96)+1&lt;Reprogramaciones!U$14)*$G96:$P96)+N(INDEX($G96:$P96,1,Reprogramaciones!U$14))*IF(Reprogramaciones!U$13&gt;=(Reprogramaciones!$T$15+7*(Reprogramaciones!U$14-1))+6,1,IF(MAX(0,NETWORKDAYS.INTL(MAX(E96,(Reprogramaciones!$T$15+7*(Reprogramaciones!U$14-1))),MIN(F96,(Reprogramaciones!$T$15+7*(Reprogramaciones!U$14-1))+6),11))=0,0,MAX(0,NETWORKDAYS.INTL(MAX(E96,(Reprogramaciones!$T$15+7*(Reprogramaciones!U$14-1))),MIN(F96,Reprogramaciones!U$13),11))/MAX(0,NETWORKDAYS.INTL(MAX(E96,(Reprogramaciones!$T$15+7*(Reprogramaciones!U$14-1))),MIN(F96,(Reprogramaciones!$T$15+7*(Reprogramaciones!U$14-1))+6),11))))))))</f>
        <v/>
      </c>
      <c r="CE96" s="1" t="str">
        <f aca="false">IF(OR(NOT(AND(ISNUMBER(E96),ISNUMBER(F96))),$J$2=""),"",IF(Reprogramaciones!V$13&lt;Reprogramaciones!$T$15,0,IF(Reprogramaciones!V$14&gt;10,MIN(100,SUM($G96:$P96)),MIN(100,SUMPRODUCT((COLUMN($G96:$P96)-COLUMN($G96)+1&lt;Reprogramaciones!V$14)*$G96:$P96)+N(INDEX($G96:$P96,1,Reprogramaciones!V$14))*IF(Reprogramaciones!V$13&gt;=(Reprogramaciones!$T$15+7*(Reprogramaciones!V$14-1))+6,1,IF(MAX(0,NETWORKDAYS.INTL(MAX(E96,(Reprogramaciones!$T$15+7*(Reprogramaciones!V$14-1))),MIN(F96,(Reprogramaciones!$T$15+7*(Reprogramaciones!V$14-1))+6),11))=0,0,MAX(0,NETWORKDAYS.INTL(MAX(E96,(Reprogramaciones!$T$15+7*(Reprogramaciones!V$14-1))),MIN(F96,Reprogramaciones!V$13),11))/MAX(0,NETWORKDAYS.INTL(MAX(E96,(Reprogramaciones!$T$15+7*(Reprogramaciones!V$14-1))),MIN(F96,(Reprogramaciones!$T$15+7*(Reprogramaciones!V$14-1))+6),11))))))))</f>
        <v/>
      </c>
      <c r="CF96" s="1" t="str">
        <f aca="false">IF(OR(NOT(AND(ISNUMBER(E96),ISNUMBER(F96))),$J$2=""),"",IF(Reprogramaciones!W$13&lt;Reprogramaciones!$T$15,0,IF(Reprogramaciones!W$14&gt;10,MIN(100,SUM($G96:$P96)),MIN(100,SUMPRODUCT((COLUMN($G96:$P96)-COLUMN($G96)+1&lt;Reprogramaciones!W$14)*$G96:$P96)+N(INDEX($G96:$P96,1,Reprogramaciones!W$14))*IF(Reprogramaciones!W$13&gt;=(Reprogramaciones!$T$15+7*(Reprogramaciones!W$14-1))+6,1,IF(MAX(0,NETWORKDAYS.INTL(MAX(E96,(Reprogramaciones!$T$15+7*(Reprogramaciones!W$14-1))),MIN(F96,(Reprogramaciones!$T$15+7*(Reprogramaciones!W$14-1))+6),11))=0,0,MAX(0,NETWORKDAYS.INTL(MAX(E96,(Reprogramaciones!$T$15+7*(Reprogramaciones!W$14-1))),MIN(F96,Reprogramaciones!W$13),11))/MAX(0,NETWORKDAYS.INTL(MAX(E96,(Reprogramaciones!$T$15+7*(Reprogramaciones!W$14-1))),MIN(F96,(Reprogramaciones!$T$15+7*(Reprogramaciones!W$14-1))+6),11))))))))</f>
        <v/>
      </c>
      <c r="CG96" s="1" t="str">
        <f aca="false">IF(OR(NOT(AND(ISNUMBER(E96),ISNUMBER(F96))),$J$2=""),"",IF(Reprogramaciones!X$13&lt;Reprogramaciones!$T$15,0,IF(Reprogramaciones!X$14&gt;10,MIN(100,SUM($G96:$P96)),MIN(100,SUMPRODUCT((COLUMN($G96:$P96)-COLUMN($G96)+1&lt;Reprogramaciones!X$14)*$G96:$P96)+N(INDEX($G96:$P96,1,Reprogramaciones!X$14))*IF(Reprogramaciones!X$13&gt;=(Reprogramaciones!$T$15+7*(Reprogramaciones!X$14-1))+6,1,IF(MAX(0,NETWORKDAYS.INTL(MAX(E96,(Reprogramaciones!$T$15+7*(Reprogramaciones!X$14-1))),MIN(F96,(Reprogramaciones!$T$15+7*(Reprogramaciones!X$14-1))+6),11))=0,0,MAX(0,NETWORKDAYS.INTL(MAX(E96,(Reprogramaciones!$T$15+7*(Reprogramaciones!X$14-1))),MIN(F96,Reprogramaciones!X$13),11))/MAX(0,NETWORKDAYS.INTL(MAX(E96,(Reprogramaciones!$T$15+7*(Reprogramaciones!X$14-1))),MIN(F96,(Reprogramaciones!$T$15+7*(Reprogramaciones!X$14-1))+6),11))))))))</f>
        <v/>
      </c>
      <c r="CH96" s="1" t="str">
        <f aca="false">IF(OR(NOT(AND(ISNUMBER(E96),ISNUMBER(F96))),$J$2=""),"",IF(Reprogramaciones!Y$13&lt;Reprogramaciones!$T$15,0,IF(Reprogramaciones!Y$14&gt;10,MIN(100,SUM($G96:$P96)),MIN(100,SUMPRODUCT((COLUMN($G96:$P96)-COLUMN($G96)+1&lt;Reprogramaciones!Y$14)*$G96:$P96)+N(INDEX($G96:$P96,1,Reprogramaciones!Y$14))*IF(Reprogramaciones!Y$13&gt;=(Reprogramaciones!$T$15+7*(Reprogramaciones!Y$14-1))+6,1,IF(MAX(0,NETWORKDAYS.INTL(MAX(E96,(Reprogramaciones!$T$15+7*(Reprogramaciones!Y$14-1))),MIN(F96,(Reprogramaciones!$T$15+7*(Reprogramaciones!Y$14-1))+6),11))=0,0,MAX(0,NETWORKDAYS.INTL(MAX(E96,(Reprogramaciones!$T$15+7*(Reprogramaciones!Y$14-1))),MIN(F96,Reprogramaciones!Y$13),11))/MAX(0,NETWORKDAYS.INTL(MAX(E96,(Reprogramaciones!$T$15+7*(Reprogramaciones!Y$14-1))),MIN(F96,(Reprogramaciones!$T$15+7*(Reprogramaciones!Y$14-1))+6),11))))))))</f>
        <v/>
      </c>
      <c r="CI96" s="1" t="str">
        <f aca="false">IF(OR(NOT(AND(ISNUMBER(E96),ISNUMBER(F96))),$J$2=""),"",IF(Reprogramaciones!Z$13&lt;Reprogramaciones!$T$15,0,IF(Reprogramaciones!Z$14&gt;10,MIN(100,SUM($G96:$P96)),MIN(100,SUMPRODUCT((COLUMN($G96:$P96)-COLUMN($G96)+1&lt;Reprogramaciones!Z$14)*$G96:$P96)+N(INDEX($G96:$P96,1,Reprogramaciones!Z$14))*IF(Reprogramaciones!Z$13&gt;=(Reprogramaciones!$T$15+7*(Reprogramaciones!Z$14-1))+6,1,IF(MAX(0,NETWORKDAYS.INTL(MAX(E96,(Reprogramaciones!$T$15+7*(Reprogramaciones!Z$14-1))),MIN(F96,(Reprogramaciones!$T$15+7*(Reprogramaciones!Z$14-1))+6),11))=0,0,MAX(0,NETWORKDAYS.INTL(MAX(E96,(Reprogramaciones!$T$15+7*(Reprogramaciones!Z$14-1))),MIN(F96,Reprogramaciones!Z$13),11))/MAX(0,NETWORKDAYS.INTL(MAX(E96,(Reprogramaciones!$T$15+7*(Reprogramaciones!Z$14-1))),MIN(F96,(Reprogramaciones!$T$15+7*(Reprogramaciones!Z$14-1))+6),11))))))))</f>
        <v/>
      </c>
      <c r="CJ96" s="1" t="str">
        <f aca="false">IF(OR(OR(NOT(AND(ISNUMBER(E96),ISNUMBER(F96))),$J$2=""),1&gt;Reprogramaciones!$K$16),"",IF(ROUND(SUM($Q96:Q96),1)&gt;=99.5,100,MIN(100,ROUND(SUM($Q96:Q96),1))))</f>
        <v/>
      </c>
      <c r="CK96" s="1" t="str">
        <f aca="false">IF(OR(OR(NOT(AND(ISNUMBER(E96),ISNUMBER(F96))),$J$2=""),2&gt;Reprogramaciones!$K$16),"",IF(ROUND(SUM($Q96:R96),1)&gt;=99.5,100,MIN(100,ROUND(SUM($Q96:R96),1))))</f>
        <v/>
      </c>
      <c r="CL96" s="1" t="str">
        <f aca="false">IF(OR(OR(NOT(AND(ISNUMBER(E96),ISNUMBER(F96))),$J$2=""),3&gt;Reprogramaciones!$K$16),"",IF(ROUND(SUM($Q96:S96),1)&gt;=99.5,100,MIN(100,ROUND(SUM($Q96:S96),1))))</f>
        <v/>
      </c>
      <c r="CM96" s="1" t="str">
        <f aca="false">IF(OR(OR(NOT(AND(ISNUMBER(E96),ISNUMBER(F96))),$J$2=""),4&gt;Reprogramaciones!$K$16),"",IF(ROUND(SUM($Q96:T96),1)&gt;=99.5,100,MIN(100,ROUND(SUM($Q96:T96),1))))</f>
        <v/>
      </c>
      <c r="CN96" s="1" t="str">
        <f aca="false">IF(OR(OR(NOT(AND(ISNUMBER(E96),ISNUMBER(F96))),$J$2=""),5&gt;Reprogramaciones!$K$16),"",IF(ROUND(SUM($Q96:U96),1)&gt;=99.5,100,MIN(100,ROUND(SUM($Q96:U96),1))))</f>
        <v/>
      </c>
      <c r="CO96" s="1" t="str">
        <f aca="false">IF(OR(OR(NOT(AND(ISNUMBER(E96),ISNUMBER(F96))),$J$2=""),6&gt;Reprogramaciones!$K$16),"",IF(ROUND(SUM($Q96:V96),1)&gt;=99.5,100,MIN(100,ROUND(SUM($Q96:V96),1))))</f>
        <v/>
      </c>
      <c r="CP96" s="1" t="str">
        <f aca="false">IF(OR(OR(NOT(AND(ISNUMBER(E96),ISNUMBER(F96))),$J$2=""),7&gt;Reprogramaciones!$K$16),"",IF(ROUND(SUM($Q96:W96),1)&gt;=99.5,100,MIN(100,ROUND(SUM($Q96:W96),1))))</f>
        <v/>
      </c>
      <c r="CQ96" s="1" t="str">
        <f aca="false">IF(OR(OR(NOT(AND(ISNUMBER(E96),ISNUMBER(F96))),$J$2=""),8&gt;Reprogramaciones!$K$16),"",IF(ROUND(SUM($Q96:X96),1)&gt;=99.5,100,MIN(100,ROUND(SUM($Q96:X96),1))))</f>
        <v/>
      </c>
      <c r="CR96" s="1" t="str">
        <f aca="false">IF(OR(OR(NOT(AND(ISNUMBER(E96),ISNUMBER(F96))),$J$2=""),9&gt;Reprogramaciones!$K$16),"",IF(ROUND(SUM($Q96:Y96),1)&gt;=99.5,100,MIN(100,ROUND(SUM($Q96:Y96),1))))</f>
        <v/>
      </c>
      <c r="CS96" s="1" t="str">
        <f aca="false">IF(OR(OR(NOT(AND(ISNUMBER(E96),ISNUMBER(F96))),$J$2=""),10&gt;Reprogramaciones!$K$16),"",IF(ROUND(SUM($Q96:Z96),1)&gt;=99.5,100,MIN(100,ROUND(SUM($Q96:Z96),1))))</f>
        <v/>
      </c>
      <c r="CT96" s="1" t="str">
        <f aca="false">IF(OR(OR(NOT(AND(ISNUMBER(E96),ISNUMBER(F96))),$J$2=""),11&gt;Reprogramaciones!$K$16),"",IF(ROUND(SUM($Q96:AA96),1)&gt;=99.5,100,MIN(100,ROUND(SUM($Q96:AA96),1))))</f>
        <v/>
      </c>
      <c r="CU96" s="1" t="str">
        <f aca="false">IF(OR(OR(NOT(AND(ISNUMBER(E96),ISNUMBER(F96))),$J$2=""),12&gt;Reprogramaciones!$K$16),"",IF(ROUND(SUM($Q96:AB96),1)&gt;=99.5,100,MIN(100,ROUND(SUM($Q96:AB96),1))))</f>
        <v/>
      </c>
      <c r="CV96" s="1" t="str">
        <f aca="false">IF(OR(OR(NOT(AND(ISNUMBER(E96),ISNUMBER(F96))),$J$2=""),13&gt;Reprogramaciones!$K$16),"",IF(ROUND(SUM($Q96:AC96),1)&gt;=99.5,100,MIN(100,ROUND(SUM($Q96:AC96),1))))</f>
        <v/>
      </c>
      <c r="CW96" s="1" t="str">
        <f aca="false">IF(OR(OR(NOT(AND(ISNUMBER(E96),ISNUMBER(F96))),$J$2=""),14&gt;Reprogramaciones!$K$16),"",IF(ROUND(SUM($Q96:AD96),1)&gt;=99.5,100,MIN(100,ROUND(SUM($Q96:AD96),1))))</f>
        <v/>
      </c>
      <c r="CX96" s="1" t="str">
        <f aca="false">IF(OR(OR(NOT(AND(ISNUMBER(E96),ISNUMBER(F96))),$J$2=""),15&gt;Reprogramaciones!$K$16),"",IF(ROUND(SUM($Q96:AE96),1)&gt;=99.5,100,MIN(100,ROUND(SUM($Q96:AE96),1))))</f>
        <v/>
      </c>
      <c r="CY96" s="1" t="str">
        <f aca="false">IF(OR(OR(NOT(AND(ISNUMBER(E96),ISNUMBER(F96))),$J$2=""),16&gt;Reprogramaciones!$K$16),"",IF(ROUND(SUM($Q96:AF96),1)&gt;=99.5,100,MIN(100,ROUND(SUM($Q96:AF96),1))))</f>
        <v/>
      </c>
      <c r="CZ96" s="1" t="str">
        <f aca="false">IF(D96&lt;&gt;"",D96,IF(B96&lt;&gt;"","Contractual",CZ95))</f>
        <v>Contractual</v>
      </c>
      <c r="DA96" s="1" t="str">
        <f aca="false">IF(OR(NOT(AND(ISNUMBER(E96),ISNUMBER(F96))),$J$2=""),"",IF(Reprogramaciones!$Q$15&lt;Reprogramaciones!$T$15,0,IF(Reprogramaciones!$S$15&gt;10,MIN(100,SUM($G96:$P96)),MIN(100,SUMPRODUCT((COLUMN($G96:$P96)-COLUMN($G96)+1&lt;Reprogramaciones!$S$15)*$G96:$P96)+N(INDEX($G96:$P96,1,Reprogramaciones!$S$15))*IF(Reprogramaciones!$Q$15&gt;=(Reprogramaciones!$T$15+7*(Reprogramaciones!$S$15-1))+6,1,IF(MAX(0,NETWORKDAYS.INTL(MAX(E96,(Reprogramaciones!$T$15+7*(Reprogramaciones!$S$15-1))),MIN(F96,(Reprogramaciones!$T$15+7*(Reprogramaciones!$S$15-1))+6),11))=0,0,MAX(0,NETWORKDAYS.INTL(MAX(E96,(Reprogramaciones!$T$15+7*(Reprogramaciones!$S$15-1))),MIN(F96,Reprogramaciones!$Q$15),11))/MAX(0,NETWORKDAYS.INTL(MAX(E96,(Reprogramaciones!$T$15+7*(Reprogramaciones!$S$15-1))),MIN(F96,(Reprogramaciones!$T$15+7*(Reprogramaciones!$S$15-1))+6),11))))))))</f>
        <v/>
      </c>
    </row>
    <row r="97" customFormat="false" ht="15" hidden="false" customHeight="false" outlineLevel="0" collapsed="false">
      <c r="A97" s="32"/>
      <c r="B97" s="33"/>
      <c r="C97" s="33"/>
      <c r="D97" s="34"/>
      <c r="E97" s="35"/>
      <c r="F97" s="35"/>
      <c r="G97" s="36" t="str">
        <f aca="false">IF(OR(NOT(AND(ISNUMBER(E97),ISNUMBER(F97))),$J$2=""),"",IF(Reprogramaciones!K$9&lt;E97,0,IF(NETWORKDAYS.INTL(E97,F97,11)=0,IF(Reprogramaciones!K$9&gt;=F97,100,0),ROUND(NETWORKDAYS.INTL(E97,MIN(F97,Reprogramaciones!K$9),11)/NETWORKDAYS.INTL(E97,F97,11)*100,1)))-0)</f>
        <v/>
      </c>
      <c r="H97" s="36" t="str">
        <f aca="false">IF(OR(NOT(AND(ISNUMBER(E97),ISNUMBER(F97))),$J$2=""),"",IF(Reprogramaciones!L$9&lt;E97,0,IF(NETWORKDAYS.INTL(E97,F97,11)=0,IF(Reprogramaciones!L$9&gt;=F97,100,0),ROUND(NETWORKDAYS.INTL(E97,MIN(F97,Reprogramaciones!L$9),11)/NETWORKDAYS.INTL(E97,F97,11)*100,1)))-IF(Reprogramaciones!K$9&lt;E97,0,IF(NETWORKDAYS.INTL(E97,F97,11)=0,IF(Reprogramaciones!K$9&gt;=F97,100,0),ROUND(NETWORKDAYS.INTL(E97,MIN(F97,Reprogramaciones!K$9),11)/NETWORKDAYS.INTL(E97,F97,11)*100,1))))</f>
        <v/>
      </c>
      <c r="I97" s="36" t="str">
        <f aca="false">IF(OR(NOT(AND(ISNUMBER(E97),ISNUMBER(F97))),$J$2=""),"",IF(Reprogramaciones!M$9&lt;E97,0,IF(NETWORKDAYS.INTL(E97,F97,11)=0,IF(Reprogramaciones!M$9&gt;=F97,100,0),ROUND(NETWORKDAYS.INTL(E97,MIN(F97,Reprogramaciones!M$9),11)/NETWORKDAYS.INTL(E97,F97,11)*100,1)))-IF(Reprogramaciones!L$9&lt;E97,0,IF(NETWORKDAYS.INTL(E97,F97,11)=0,IF(Reprogramaciones!L$9&gt;=F97,100,0),ROUND(NETWORKDAYS.INTL(E97,MIN(F97,Reprogramaciones!L$9),11)/NETWORKDAYS.INTL(E97,F97,11)*100,1))))</f>
        <v/>
      </c>
      <c r="J97" s="36" t="str">
        <f aca="false">IF(OR(NOT(AND(ISNUMBER(E97),ISNUMBER(F97))),$J$2=""),"",IF(Reprogramaciones!N$9&lt;E97,0,IF(NETWORKDAYS.INTL(E97,F97,11)=0,IF(Reprogramaciones!N$9&gt;=F97,100,0),ROUND(NETWORKDAYS.INTL(E97,MIN(F97,Reprogramaciones!N$9),11)/NETWORKDAYS.INTL(E97,F97,11)*100,1)))-IF(Reprogramaciones!M$9&lt;E97,0,IF(NETWORKDAYS.INTL(E97,F97,11)=0,IF(Reprogramaciones!M$9&gt;=F97,100,0),ROUND(NETWORKDAYS.INTL(E97,MIN(F97,Reprogramaciones!M$9),11)/NETWORKDAYS.INTL(E97,F97,11)*100,1))))</f>
        <v/>
      </c>
      <c r="K97" s="36" t="str">
        <f aca="false">IF(OR(NOT(AND(ISNUMBER(E97),ISNUMBER(F97))),$J$2=""),"",IF(Reprogramaciones!O$9&lt;E97,0,IF(NETWORKDAYS.INTL(E97,F97,11)=0,IF(Reprogramaciones!O$9&gt;=F97,100,0),ROUND(NETWORKDAYS.INTL(E97,MIN(F97,Reprogramaciones!O$9),11)/NETWORKDAYS.INTL(E97,F97,11)*100,1)))-IF(Reprogramaciones!N$9&lt;E97,0,IF(NETWORKDAYS.INTL(E97,F97,11)=0,IF(Reprogramaciones!N$9&gt;=F97,100,0),ROUND(NETWORKDAYS.INTL(E97,MIN(F97,Reprogramaciones!N$9),11)/NETWORKDAYS.INTL(E97,F97,11)*100,1))))</f>
        <v/>
      </c>
      <c r="L97" s="36" t="str">
        <f aca="false">IF(OR(NOT(AND(ISNUMBER(E97),ISNUMBER(F97))),$J$2=""),"",IF(Reprogramaciones!P$9&lt;E97,0,IF(NETWORKDAYS.INTL(E97,F97,11)=0,IF(Reprogramaciones!P$9&gt;=F97,100,0),ROUND(NETWORKDAYS.INTL(E97,MIN(F97,Reprogramaciones!P$9),11)/NETWORKDAYS.INTL(E97,F97,11)*100,1)))-IF(Reprogramaciones!O$9&lt;E97,0,IF(NETWORKDAYS.INTL(E97,F97,11)=0,IF(Reprogramaciones!O$9&gt;=F97,100,0),ROUND(NETWORKDAYS.INTL(E97,MIN(F97,Reprogramaciones!O$9),11)/NETWORKDAYS.INTL(E97,F97,11)*100,1))))</f>
        <v/>
      </c>
      <c r="M97" s="36" t="str">
        <f aca="false">IF(OR(NOT(AND(ISNUMBER(E97),ISNUMBER(F97))),$J$2=""),"",IF(Reprogramaciones!Q$9&lt;E97,0,IF(NETWORKDAYS.INTL(E97,F97,11)=0,IF(Reprogramaciones!Q$9&gt;=F97,100,0),ROUND(NETWORKDAYS.INTL(E97,MIN(F97,Reprogramaciones!Q$9),11)/NETWORKDAYS.INTL(E97,F97,11)*100,1)))-IF(Reprogramaciones!P$9&lt;E97,0,IF(NETWORKDAYS.INTL(E97,F97,11)=0,IF(Reprogramaciones!P$9&gt;=F97,100,0),ROUND(NETWORKDAYS.INTL(E97,MIN(F97,Reprogramaciones!P$9),11)/NETWORKDAYS.INTL(E97,F97,11)*100,1))))</f>
        <v/>
      </c>
      <c r="N97" s="36" t="str">
        <f aca="false">IF(OR(NOT(AND(ISNUMBER(E97),ISNUMBER(F97))),$J$2=""),"",IF(Reprogramaciones!R$9&lt;E97,0,IF(NETWORKDAYS.INTL(E97,F97,11)=0,IF(Reprogramaciones!R$9&gt;=F97,100,0),ROUND(NETWORKDAYS.INTL(E97,MIN(F97,Reprogramaciones!R$9),11)/NETWORKDAYS.INTL(E97,F97,11)*100,1)))-IF(Reprogramaciones!Q$9&lt;E97,0,IF(NETWORKDAYS.INTL(E97,F97,11)=0,IF(Reprogramaciones!Q$9&gt;=F97,100,0),ROUND(NETWORKDAYS.INTL(E97,MIN(F97,Reprogramaciones!Q$9),11)/NETWORKDAYS.INTL(E97,F97,11)*100,1))))</f>
        <v/>
      </c>
      <c r="O97" s="36" t="str">
        <f aca="false">IF(OR(NOT(AND(ISNUMBER(E97),ISNUMBER(F97))),$J$2=""),"",IF(Reprogramaciones!S$9&lt;E97,0,IF(NETWORKDAYS.INTL(E97,F97,11)=0,IF(Reprogramaciones!S$9&gt;=F97,100,0),ROUND(NETWORKDAYS.INTL(E97,MIN(F97,Reprogramaciones!S$9),11)/NETWORKDAYS.INTL(E97,F97,11)*100,1)))-IF(Reprogramaciones!R$9&lt;E97,0,IF(NETWORKDAYS.INTL(E97,F97,11)=0,IF(Reprogramaciones!R$9&gt;=F97,100,0),ROUND(NETWORKDAYS.INTL(E97,MIN(F97,Reprogramaciones!R$9),11)/NETWORKDAYS.INTL(E97,F97,11)*100,1))))</f>
        <v/>
      </c>
      <c r="P97" s="36" t="str">
        <f aca="false">IF(OR(NOT(AND(ISNUMBER(E97),ISNUMBER(F97))),$J$2=""),"",IF(Reprogramaciones!T$9&lt;E97,0,IF(NETWORKDAYS.INTL(E97,F97,11)=0,IF(Reprogramaciones!T$9&gt;=F97,100,0),ROUND(NETWORKDAYS.INTL(E97,MIN(F97,Reprogramaciones!T$9),11)/NETWORKDAYS.INTL(E97,F97,11)*100,1)))-IF(Reprogramaciones!S$9&lt;E97,0,IF(NETWORKDAYS.INTL(E97,F97,11)=0,IF(Reprogramaciones!S$9&gt;=F97,100,0),ROUND(NETWORKDAYS.INTL(E97,MIN(F97,Reprogramaciones!S$9),11)/NETWORKDAYS.INTL(E97,F97,11)*100,1))))</f>
        <v/>
      </c>
      <c r="Q97" s="37"/>
      <c r="R97" s="37"/>
      <c r="S97" s="37"/>
      <c r="T97" s="37"/>
      <c r="U97" s="37"/>
      <c r="V97" s="37"/>
      <c r="W97" s="37"/>
      <c r="X97" s="37"/>
      <c r="Y97" s="37"/>
      <c r="Z97" s="37"/>
      <c r="AA97" s="37"/>
      <c r="AB97" s="37"/>
      <c r="AC97" s="37"/>
      <c r="AD97" s="37"/>
      <c r="AE97" s="37"/>
      <c r="AF97" s="37"/>
      <c r="AG97" s="38" t="str">
        <f aca="false">IF(AND(ISNUMBER(E97),ISNUMBER(F97)),NETWORKDAYS.INTL(E97,F97,11),"")</f>
        <v/>
      </c>
      <c r="AH97" s="38" t="str">
        <f aca="false">IF(OR(NOT(AND(ISNUMBER(E97),ISNUMBER(F97))),$J$2=""),"",IF(Reprogramaciones!$P$15&lt;Reprogramaciones!$T$15,0,IF(Reprogramaciones!$R$15&gt;10,MIN(100,SUM($G97:$P97)),MIN(100,SUMPRODUCT((COLUMN($G97:$P97)-COLUMN($G97)+1&lt;Reprogramaciones!$R$15)*$G97:$P97)+N(INDEX($G97:$P97,1,Reprogramaciones!$R$15))*IF(Reprogramaciones!$P$15&gt;=(Reprogramaciones!$T$15+7*(Reprogramaciones!$R$15-1))+6,1,IF(MAX(0,NETWORKDAYS.INTL(MAX(E97,(Reprogramaciones!$T$15+7*(Reprogramaciones!$R$15-1))),MIN(F97,(Reprogramaciones!$T$15+7*(Reprogramaciones!$R$15-1))+6),11))=0,0,MAX(0,NETWORKDAYS.INTL(MAX(E97,(Reprogramaciones!$T$15+7*(Reprogramaciones!$R$15-1))),MIN(F97,Reprogramaciones!$P$15),11))/MAX(0,NETWORKDAYS.INTL(MAX(E97,(Reprogramaciones!$T$15+7*(Reprogramaciones!$R$15-1))),MIN(F97,(Reprogramaciones!$T$15+7*(Reprogramaciones!$R$15-1))+6),11))))))))</f>
        <v/>
      </c>
      <c r="AI97" s="38" t="str">
        <f aca="false">IF(COUNT($Q97:$AF97)=0,"",IF(ROUND(SUM($Q97:$AF97),1)&gt;=99.5,100,MIN(100,ROUND(SUM($Q97:$AF97),1))))</f>
        <v/>
      </c>
      <c r="AJ97" s="38" t="str">
        <f aca="false">IF(OR(AH97="",AI97=""),"",AI97-AH97)</f>
        <v/>
      </c>
      <c r="AK97" s="39" t="str">
        <f aca="true">IF(AH97="","",IF(OR(Ficha!$C$10="Suspendida",Ficha!$C$10="Cancelada"),Ficha!$C$10,IF(AND(AI97&lt;&gt;"",N(AI97)&gt;=100),"Completada",IF(AND(E97&gt;TODAY(),N(AI97)=0),"Por iniciar",IF(N(AI97)+0.5&lt;AH97,"Retrasada",IF(N(AI97)+0.5&lt;DA97,IF(Reprogramaciones!$K$15&gt;0,"Al día · Sem "&amp;Reprogramaciones!$K$15&amp;" en curso","Al día · en curso"),"A tiempo"))))))</f>
        <v/>
      </c>
      <c r="AL97" s="39" t="str">
        <f aca="true">IF(AND(A97="",AND(B97="",C97="",E97="",F97="",COUNT(Q97:AF97)=0)),"",IF(AND(B97="",C97="",E97="",F97="",COUNT(Q97:AF97)=0),"Falta la partida o subpartida",IF(AND(A97&lt;&gt;"",COUNTIF($A$6:$A$305,A97)&gt;1),"Ítem repetido",IF(AND(C97="",E97="",F97="",COUNT(Q97:AF97)=0),"Título de partida",IF(OR(E97="",F97=""),"Faltan fechas",IF(OR(ISTEXT(E97),ISTEXT(F97)),"Fecha escrita como texto: usa dd/mm/aaaa",IF(F97&lt;E97,"Fin antes del inicio",IF(IF($J$2="",FALSE(),OR(E97&lt;$J$2,F97&gt;Reprogramaciones!$T$15+69)),"Fuera de las 10 semanas",IF(ABS(SUM(G97:P97)-100)&gt;0.5,"La meta no suma 100%",IF(ROUND(SUM(Q97:AF97),1)&gt;100.5,"El avance pasa de 100%",IF(MIN(Q97:AF97)&lt;0,"Avance negativo",IF(COUNTA(Q97:AF97)&gt;COUNT(Q97:AF97),"Avance escrito como texto",IF(SUMPRODUCT((Q97:AF97&gt;0)*(Q97:AF97&lt;1))&gt;0,"Avance menor a 1: escribe 50, no 50%",IF(SUMPRODUCT(ISNUMBER(Q97:AF97)*(Reprogramaciones!$K$8:$Z$8&gt;TODAY()))&gt;0,"Avance en semana que aún no llega",IF(AND(N(Reprogramaciones!$E$21)&gt;0,F97&gt;Reprogramaciones!$E$21),"Pasa el fin de la obra: registra una reprogramación",IF(AND(N(Reprogramaciones!$E$21)&gt;0,SUMPRODUCT(ISNUMBER(Q97:AF97)*(Reprogramaciones!$K$8:$Z$8&gt;Reprogramaciones!$E$21))&gt;0),"Avance después del fin de la obra: registra una reprogramación por atraso","OK"))))))))))))))))</f>
        <v/>
      </c>
      <c r="AM97" s="40" t="str">
        <f aca="false">IF(OR(OR(NOT(AND(ISNUMBER(E97),ISNUMBER(F97))),$J$2=""),1&gt;MAX(1,Reprogramaciones!$U$15)),"",IF(Reprogramaciones!K$12&gt;=7,"",IF(OR(BT97-N(0)&gt;0.05,N(Q97)&gt;0),ROUNDDOWN(ROUND(BT97,6),0)&amp;"%"&amp;IF(CJ97="",""," / "&amp;CJ97&amp;"%"),IF(AND(N(0)&gt;=99.95,CJ97&lt;&gt;"",N(CJ97)&lt;100),"Pend. "&amp;CJ97&amp;"%",""))))</f>
        <v/>
      </c>
      <c r="AN97" s="40" t="str">
        <f aca="false">IF(OR(OR(NOT(AND(ISNUMBER(E97),ISNUMBER(F97))),$J$2=""),2&gt;MAX(1,Reprogramaciones!$U$15)),"",IF(Reprogramaciones!L$12&gt;=7,"",IF(OR(BU97-N(BT97)&gt;0.05,N(R97)&gt;0),ROUNDDOWN(ROUND(BU97,6),0)&amp;"%"&amp;IF(CK97="",""," / "&amp;CK97&amp;"%"),IF(AND(N(BT97)&gt;=99.95,CK97&lt;&gt;"",N(CK97)&lt;100),"Pend. "&amp;CK97&amp;"%",""))))</f>
        <v/>
      </c>
      <c r="AO97" s="40" t="str">
        <f aca="false">IF(OR(OR(NOT(AND(ISNUMBER(E97),ISNUMBER(F97))),$J$2=""),3&gt;MAX(1,Reprogramaciones!$U$15)),"",IF(Reprogramaciones!M$12&gt;=7,"",IF(OR(BV97-N(BU97)&gt;0.05,N(S97)&gt;0),ROUNDDOWN(ROUND(BV97,6),0)&amp;"%"&amp;IF(CL97="",""," / "&amp;CL97&amp;"%"),IF(AND(N(BU97)&gt;=99.95,CL97&lt;&gt;"",N(CL97)&lt;100),"Pend. "&amp;CL97&amp;"%",""))))</f>
        <v/>
      </c>
      <c r="AP97" s="40" t="str">
        <f aca="false">IF(OR(OR(NOT(AND(ISNUMBER(E97),ISNUMBER(F97))),$J$2=""),4&gt;MAX(1,Reprogramaciones!$U$15)),"",IF(Reprogramaciones!N$12&gt;=7,"",IF(OR(BW97-N(BV97)&gt;0.05,N(T97)&gt;0),ROUNDDOWN(ROUND(BW97,6),0)&amp;"%"&amp;IF(CM97="",""," / "&amp;CM97&amp;"%"),IF(AND(N(BV97)&gt;=99.95,CM97&lt;&gt;"",N(CM97)&lt;100),"Pend. "&amp;CM97&amp;"%",""))))</f>
        <v/>
      </c>
      <c r="AQ97" s="40" t="str">
        <f aca="false">IF(OR(OR(NOT(AND(ISNUMBER(E97),ISNUMBER(F97))),$J$2=""),5&gt;MAX(1,Reprogramaciones!$U$15)),"",IF(Reprogramaciones!O$12&gt;=7,"",IF(OR(BX97-N(BW97)&gt;0.05,N(U97)&gt;0),ROUNDDOWN(ROUND(BX97,6),0)&amp;"%"&amp;IF(CN97="",""," / "&amp;CN97&amp;"%"),IF(AND(N(BW97)&gt;=99.95,CN97&lt;&gt;"",N(CN97)&lt;100),"Pend. "&amp;CN97&amp;"%",""))))</f>
        <v/>
      </c>
      <c r="AR97" s="40" t="str">
        <f aca="false">IF(OR(OR(NOT(AND(ISNUMBER(E97),ISNUMBER(F97))),$J$2=""),6&gt;MAX(1,Reprogramaciones!$U$15)),"",IF(Reprogramaciones!P$12&gt;=7,"",IF(OR(BY97-N(BX97)&gt;0.05,N(V97)&gt;0),ROUNDDOWN(ROUND(BY97,6),0)&amp;"%"&amp;IF(CO97="",""," / "&amp;CO97&amp;"%"),IF(AND(N(BX97)&gt;=99.95,CO97&lt;&gt;"",N(CO97)&lt;100),"Pend. "&amp;CO97&amp;"%",""))))</f>
        <v/>
      </c>
      <c r="AS97" s="40" t="str">
        <f aca="false">IF(OR(OR(NOT(AND(ISNUMBER(E97),ISNUMBER(F97))),$J$2=""),7&gt;MAX(1,Reprogramaciones!$U$15)),"",IF(Reprogramaciones!Q$12&gt;=7,"",IF(OR(BZ97-N(BY97)&gt;0.05,N(W97)&gt;0),ROUNDDOWN(ROUND(BZ97,6),0)&amp;"%"&amp;IF(CP97="",""," / "&amp;CP97&amp;"%"),IF(AND(N(BY97)&gt;=99.95,CP97&lt;&gt;"",N(CP97)&lt;100),"Pend. "&amp;CP97&amp;"%",""))))</f>
        <v/>
      </c>
      <c r="AT97" s="40" t="str">
        <f aca="false">IF(OR(OR(NOT(AND(ISNUMBER(E97),ISNUMBER(F97))),$J$2=""),8&gt;MAX(1,Reprogramaciones!$U$15)),"",IF(Reprogramaciones!R$12&gt;=7,"",IF(OR(CA97-N(BZ97)&gt;0.05,N(X97)&gt;0),ROUNDDOWN(ROUND(CA97,6),0)&amp;"%"&amp;IF(CQ97="",""," / "&amp;CQ97&amp;"%"),IF(AND(N(BZ97)&gt;=99.95,CQ97&lt;&gt;"",N(CQ97)&lt;100),"Pend. "&amp;CQ97&amp;"%",""))))</f>
        <v/>
      </c>
      <c r="AU97" s="40" t="str">
        <f aca="false">IF(OR(OR(NOT(AND(ISNUMBER(E97),ISNUMBER(F97))),$J$2=""),9&gt;MAX(1,Reprogramaciones!$U$15)),"",IF(Reprogramaciones!S$12&gt;=7,"",IF(OR(CB97-N(CA97)&gt;0.05,N(Y97)&gt;0),ROUNDDOWN(ROUND(CB97,6),0)&amp;"%"&amp;IF(CR97="",""," / "&amp;CR97&amp;"%"),IF(AND(N(CA97)&gt;=99.95,CR97&lt;&gt;"",N(CR97)&lt;100),"Pend. "&amp;CR97&amp;"%",""))))</f>
        <v/>
      </c>
      <c r="AV97" s="40" t="str">
        <f aca="false">IF(OR(OR(NOT(AND(ISNUMBER(E97),ISNUMBER(F97))),$J$2=""),10&gt;MAX(1,Reprogramaciones!$U$15)),"",IF(Reprogramaciones!T$12&gt;=7,"",IF(OR(CC97-N(CB97)&gt;0.05,N(Z97)&gt;0),ROUNDDOWN(ROUND(CC97,6),0)&amp;"%"&amp;IF(CS97="",""," / "&amp;CS97&amp;"%"),IF(AND(N(CB97)&gt;=99.95,CS97&lt;&gt;"",N(CS97)&lt;100),"Pend. "&amp;CS97&amp;"%",""))))</f>
        <v/>
      </c>
      <c r="AW97" s="40" t="str">
        <f aca="false">IF(OR(OR(NOT(AND(ISNUMBER(E97),ISNUMBER(F97))),$J$2=""),11&gt;MAX(1,Reprogramaciones!$U$15)),"",IF(Reprogramaciones!U$12&gt;=7,"",IF(OR(CD97-N(CC97)&gt;0.05,N(AA97)&gt;0),ROUNDDOWN(ROUND(CD97,6),0)&amp;"%"&amp;IF(CT97="",""," / "&amp;CT97&amp;"%"),IF(AND(N(CC97)&gt;=99.95,CT97&lt;&gt;"",N(CT97)&lt;100),"Pend. "&amp;CT97&amp;"%",""))))</f>
        <v/>
      </c>
      <c r="AX97" s="40" t="str">
        <f aca="false">IF(OR(OR(NOT(AND(ISNUMBER(E97),ISNUMBER(F97))),$J$2=""),12&gt;MAX(1,Reprogramaciones!$U$15)),"",IF(Reprogramaciones!V$12&gt;=7,"",IF(OR(CE97-N(CD97)&gt;0.05,N(AB97)&gt;0),ROUNDDOWN(ROUND(CE97,6),0)&amp;"%"&amp;IF(CU97="",""," / "&amp;CU97&amp;"%"),IF(AND(N(CD97)&gt;=99.95,CU97&lt;&gt;"",N(CU97)&lt;100),"Pend. "&amp;CU97&amp;"%",""))))</f>
        <v/>
      </c>
      <c r="AY97" s="40" t="str">
        <f aca="false">IF(OR(OR(NOT(AND(ISNUMBER(E97),ISNUMBER(F97))),$J$2=""),13&gt;MAX(1,Reprogramaciones!$U$15)),"",IF(Reprogramaciones!W$12&gt;=7,"",IF(OR(CF97-N(CE97)&gt;0.05,N(AC97)&gt;0),ROUNDDOWN(ROUND(CF97,6),0)&amp;"%"&amp;IF(CV97="",""," / "&amp;CV97&amp;"%"),IF(AND(N(CE97)&gt;=99.95,CV97&lt;&gt;"",N(CV97)&lt;100),"Pend. "&amp;CV97&amp;"%",""))))</f>
        <v/>
      </c>
      <c r="AZ97" s="40" t="str">
        <f aca="false">IF(OR(OR(NOT(AND(ISNUMBER(E97),ISNUMBER(F97))),$J$2=""),14&gt;MAX(1,Reprogramaciones!$U$15)),"",IF(Reprogramaciones!X$12&gt;=7,"",IF(OR(CG97-N(CF97)&gt;0.05,N(AD97)&gt;0),ROUNDDOWN(ROUND(CG97,6),0)&amp;"%"&amp;IF(CW97="",""," / "&amp;CW97&amp;"%"),IF(AND(N(CF97)&gt;=99.95,CW97&lt;&gt;"",N(CW97)&lt;100),"Pend. "&amp;CW97&amp;"%",""))))</f>
        <v/>
      </c>
      <c r="BA97" s="40" t="str">
        <f aca="false">IF(OR(OR(NOT(AND(ISNUMBER(E97),ISNUMBER(F97))),$J$2=""),15&gt;MAX(1,Reprogramaciones!$U$15)),"",IF(Reprogramaciones!Y$12&gt;=7,"",IF(OR(CH97-N(CG97)&gt;0.05,N(AE97)&gt;0),ROUNDDOWN(ROUND(CH97,6),0)&amp;"%"&amp;IF(CX97="",""," / "&amp;CX97&amp;"%"),IF(AND(N(CG97)&gt;=99.95,CX97&lt;&gt;"",N(CX97)&lt;100),"Pend. "&amp;CX97&amp;"%",""))))</f>
        <v/>
      </c>
      <c r="BB97" s="40" t="str">
        <f aca="false">IF(OR(OR(NOT(AND(ISNUMBER(E97),ISNUMBER(F97))),$J$2=""),16&gt;MAX(1,Reprogramaciones!$U$15)),"",IF(Reprogramaciones!Z$12&gt;=7,"",IF(OR(CI97-N(CH97)&gt;0.05,N(AF97)&gt;0),ROUNDDOWN(ROUND(CI97,6),0)&amp;"%"&amp;IF(CY97="",""," / "&amp;CY97&amp;"%"),IF(AND(N(CH97)&gt;=99.95,CY97&lt;&gt;"",N(CY97)&lt;100),"Pend. "&amp;CY97&amp;"%",""))))</f>
        <v/>
      </c>
      <c r="BC97" s="31" t="n">
        <f aca="false">IF(AND(ISNUMBER(E97),ISNUMBER(F97)),MAX(1,NETWORKDAYS.INTL(E97,F97,11)),0)</f>
        <v>0</v>
      </c>
      <c r="BD97" s="1" t="str">
        <f aca="false">IF(OR(NOT(AND(ISNUMBER(E97),ISNUMBER(F97))),$J$2=""),"",MIN(100,ROUND(SUM($G97:G97),1)))</f>
        <v/>
      </c>
      <c r="BE97" s="1" t="str">
        <f aca="false">IF(OR(NOT(AND(ISNUMBER(E97),ISNUMBER(F97))),$J$2=""),"",MIN(100,ROUND(SUM($G97:H97),1)))</f>
        <v/>
      </c>
      <c r="BF97" s="1" t="str">
        <f aca="false">IF(OR(NOT(AND(ISNUMBER(E97),ISNUMBER(F97))),$J$2=""),"",MIN(100,ROUND(SUM($G97:I97),1)))</f>
        <v/>
      </c>
      <c r="BG97" s="1" t="str">
        <f aca="false">IF(OR(NOT(AND(ISNUMBER(E97),ISNUMBER(F97))),$J$2=""),"",MIN(100,ROUND(SUM($G97:J97),1)))</f>
        <v/>
      </c>
      <c r="BH97" s="1" t="str">
        <f aca="false">IF(OR(NOT(AND(ISNUMBER(E97),ISNUMBER(F97))),$J$2=""),"",MIN(100,ROUND(SUM($G97:K97),1)))</f>
        <v/>
      </c>
      <c r="BI97" s="1" t="str">
        <f aca="false">IF(OR(NOT(AND(ISNUMBER(E97),ISNUMBER(F97))),$J$2=""),"",MIN(100,ROUND(SUM($G97:L97),1)))</f>
        <v/>
      </c>
      <c r="BJ97" s="1" t="str">
        <f aca="false">IF(OR(NOT(AND(ISNUMBER(E97),ISNUMBER(F97))),$J$2=""),"",MIN(100,ROUND(SUM($G97:M97),1)))</f>
        <v/>
      </c>
      <c r="BK97" s="1" t="str">
        <f aca="false">IF(OR(NOT(AND(ISNUMBER(E97),ISNUMBER(F97))),$J$2=""),"",MIN(100,ROUND(SUM($G97:N97),1)))</f>
        <v/>
      </c>
      <c r="BL97" s="1" t="str">
        <f aca="false">IF(OR(NOT(AND(ISNUMBER(E97),ISNUMBER(F97))),$J$2=""),"",MIN(100,ROUND(SUM($G97:O97),1)))</f>
        <v/>
      </c>
      <c r="BM97" s="1" t="str">
        <f aca="false">IF(OR(NOT(AND(ISNUMBER(E97),ISNUMBER(F97))),$J$2=""),"",MIN(100,ROUND(SUM($G97:P97),1)))</f>
        <v/>
      </c>
      <c r="BN97" s="1" t="str">
        <f aca="false">IF(OR(NOT(AND(ISNUMBER(E97),ISNUMBER(F97))),$J$2=""),"",MIN(100,ROUND(SUM($G97:P97),1)))</f>
        <v/>
      </c>
      <c r="BO97" s="1" t="str">
        <f aca="false">IF(OR(NOT(AND(ISNUMBER(E97),ISNUMBER(F97))),$J$2=""),"",MIN(100,ROUND(SUM($G97:P97),1)))</f>
        <v/>
      </c>
      <c r="BP97" s="1" t="str">
        <f aca="false">IF(OR(NOT(AND(ISNUMBER(E97),ISNUMBER(F97))),$J$2=""),"",MIN(100,ROUND(SUM($G97:P97),1)))</f>
        <v/>
      </c>
      <c r="BQ97" s="1" t="str">
        <f aca="false">IF(OR(NOT(AND(ISNUMBER(E97),ISNUMBER(F97))),$J$2=""),"",MIN(100,ROUND(SUM($G97:P97),1)))</f>
        <v/>
      </c>
      <c r="BR97" s="1" t="str">
        <f aca="false">IF(OR(NOT(AND(ISNUMBER(E97),ISNUMBER(F97))),$J$2=""),"",MIN(100,ROUND(SUM($G97:P97),1)))</f>
        <v/>
      </c>
      <c r="BS97" s="1" t="str">
        <f aca="false">IF(OR(NOT(AND(ISNUMBER(E97),ISNUMBER(F97))),$J$2=""),"",MIN(100,ROUND(SUM($G97:P97),1)))</f>
        <v/>
      </c>
      <c r="BT97" s="1" t="str">
        <f aca="false">IF(OR(NOT(AND(ISNUMBER(E97),ISNUMBER(F97))),$J$2=""),"",IF(Reprogramaciones!K$13&lt;Reprogramaciones!$T$15,0,IF(Reprogramaciones!K$14&gt;10,MIN(100,SUM($G97:$P97)),MIN(100,SUMPRODUCT((COLUMN($G97:$P97)-COLUMN($G97)+1&lt;Reprogramaciones!K$14)*$G97:$P97)+N(INDEX($G97:$P97,1,Reprogramaciones!K$14))*IF(Reprogramaciones!K$13&gt;=(Reprogramaciones!$T$15+7*(Reprogramaciones!K$14-1))+6,1,IF(MAX(0,NETWORKDAYS.INTL(MAX(E97,(Reprogramaciones!$T$15+7*(Reprogramaciones!K$14-1))),MIN(F97,(Reprogramaciones!$T$15+7*(Reprogramaciones!K$14-1))+6),11))=0,0,MAX(0,NETWORKDAYS.INTL(MAX(E97,(Reprogramaciones!$T$15+7*(Reprogramaciones!K$14-1))),MIN(F97,Reprogramaciones!K$13),11))/MAX(0,NETWORKDAYS.INTL(MAX(E97,(Reprogramaciones!$T$15+7*(Reprogramaciones!K$14-1))),MIN(F97,(Reprogramaciones!$T$15+7*(Reprogramaciones!K$14-1))+6),11))))))))</f>
        <v/>
      </c>
      <c r="BU97" s="1" t="str">
        <f aca="false">IF(OR(NOT(AND(ISNUMBER(E97),ISNUMBER(F97))),$J$2=""),"",IF(Reprogramaciones!L$13&lt;Reprogramaciones!$T$15,0,IF(Reprogramaciones!L$14&gt;10,MIN(100,SUM($G97:$P97)),MIN(100,SUMPRODUCT((COLUMN($G97:$P97)-COLUMN($G97)+1&lt;Reprogramaciones!L$14)*$G97:$P97)+N(INDEX($G97:$P97,1,Reprogramaciones!L$14))*IF(Reprogramaciones!L$13&gt;=(Reprogramaciones!$T$15+7*(Reprogramaciones!L$14-1))+6,1,IF(MAX(0,NETWORKDAYS.INTL(MAX(E97,(Reprogramaciones!$T$15+7*(Reprogramaciones!L$14-1))),MIN(F97,(Reprogramaciones!$T$15+7*(Reprogramaciones!L$14-1))+6),11))=0,0,MAX(0,NETWORKDAYS.INTL(MAX(E97,(Reprogramaciones!$T$15+7*(Reprogramaciones!L$14-1))),MIN(F97,Reprogramaciones!L$13),11))/MAX(0,NETWORKDAYS.INTL(MAX(E97,(Reprogramaciones!$T$15+7*(Reprogramaciones!L$14-1))),MIN(F97,(Reprogramaciones!$T$15+7*(Reprogramaciones!L$14-1))+6),11))))))))</f>
        <v/>
      </c>
      <c r="BV97" s="1" t="str">
        <f aca="false">IF(OR(NOT(AND(ISNUMBER(E97),ISNUMBER(F97))),$J$2=""),"",IF(Reprogramaciones!M$13&lt;Reprogramaciones!$T$15,0,IF(Reprogramaciones!M$14&gt;10,MIN(100,SUM($G97:$P97)),MIN(100,SUMPRODUCT((COLUMN($G97:$P97)-COLUMN($G97)+1&lt;Reprogramaciones!M$14)*$G97:$P97)+N(INDEX($G97:$P97,1,Reprogramaciones!M$14))*IF(Reprogramaciones!M$13&gt;=(Reprogramaciones!$T$15+7*(Reprogramaciones!M$14-1))+6,1,IF(MAX(0,NETWORKDAYS.INTL(MAX(E97,(Reprogramaciones!$T$15+7*(Reprogramaciones!M$14-1))),MIN(F97,(Reprogramaciones!$T$15+7*(Reprogramaciones!M$14-1))+6),11))=0,0,MAX(0,NETWORKDAYS.INTL(MAX(E97,(Reprogramaciones!$T$15+7*(Reprogramaciones!M$14-1))),MIN(F97,Reprogramaciones!M$13),11))/MAX(0,NETWORKDAYS.INTL(MAX(E97,(Reprogramaciones!$T$15+7*(Reprogramaciones!M$14-1))),MIN(F97,(Reprogramaciones!$T$15+7*(Reprogramaciones!M$14-1))+6),11))))))))</f>
        <v/>
      </c>
      <c r="BW97" s="1" t="str">
        <f aca="false">IF(OR(NOT(AND(ISNUMBER(E97),ISNUMBER(F97))),$J$2=""),"",IF(Reprogramaciones!N$13&lt;Reprogramaciones!$T$15,0,IF(Reprogramaciones!N$14&gt;10,MIN(100,SUM($G97:$P97)),MIN(100,SUMPRODUCT((COLUMN($G97:$P97)-COLUMN($G97)+1&lt;Reprogramaciones!N$14)*$G97:$P97)+N(INDEX($G97:$P97,1,Reprogramaciones!N$14))*IF(Reprogramaciones!N$13&gt;=(Reprogramaciones!$T$15+7*(Reprogramaciones!N$14-1))+6,1,IF(MAX(0,NETWORKDAYS.INTL(MAX(E97,(Reprogramaciones!$T$15+7*(Reprogramaciones!N$14-1))),MIN(F97,(Reprogramaciones!$T$15+7*(Reprogramaciones!N$14-1))+6),11))=0,0,MAX(0,NETWORKDAYS.INTL(MAX(E97,(Reprogramaciones!$T$15+7*(Reprogramaciones!N$14-1))),MIN(F97,Reprogramaciones!N$13),11))/MAX(0,NETWORKDAYS.INTL(MAX(E97,(Reprogramaciones!$T$15+7*(Reprogramaciones!N$14-1))),MIN(F97,(Reprogramaciones!$T$15+7*(Reprogramaciones!N$14-1))+6),11))))))))</f>
        <v/>
      </c>
      <c r="BX97" s="1" t="str">
        <f aca="false">IF(OR(NOT(AND(ISNUMBER(E97),ISNUMBER(F97))),$J$2=""),"",IF(Reprogramaciones!O$13&lt;Reprogramaciones!$T$15,0,IF(Reprogramaciones!O$14&gt;10,MIN(100,SUM($G97:$P97)),MIN(100,SUMPRODUCT((COLUMN($G97:$P97)-COLUMN($G97)+1&lt;Reprogramaciones!O$14)*$G97:$P97)+N(INDEX($G97:$P97,1,Reprogramaciones!O$14))*IF(Reprogramaciones!O$13&gt;=(Reprogramaciones!$T$15+7*(Reprogramaciones!O$14-1))+6,1,IF(MAX(0,NETWORKDAYS.INTL(MAX(E97,(Reprogramaciones!$T$15+7*(Reprogramaciones!O$14-1))),MIN(F97,(Reprogramaciones!$T$15+7*(Reprogramaciones!O$14-1))+6),11))=0,0,MAX(0,NETWORKDAYS.INTL(MAX(E97,(Reprogramaciones!$T$15+7*(Reprogramaciones!O$14-1))),MIN(F97,Reprogramaciones!O$13),11))/MAX(0,NETWORKDAYS.INTL(MAX(E97,(Reprogramaciones!$T$15+7*(Reprogramaciones!O$14-1))),MIN(F97,(Reprogramaciones!$T$15+7*(Reprogramaciones!O$14-1))+6),11))))))))</f>
        <v/>
      </c>
      <c r="BY97" s="1" t="str">
        <f aca="false">IF(OR(NOT(AND(ISNUMBER(E97),ISNUMBER(F97))),$J$2=""),"",IF(Reprogramaciones!P$13&lt;Reprogramaciones!$T$15,0,IF(Reprogramaciones!P$14&gt;10,MIN(100,SUM($G97:$P97)),MIN(100,SUMPRODUCT((COLUMN($G97:$P97)-COLUMN($G97)+1&lt;Reprogramaciones!P$14)*$G97:$P97)+N(INDEX($G97:$P97,1,Reprogramaciones!P$14))*IF(Reprogramaciones!P$13&gt;=(Reprogramaciones!$T$15+7*(Reprogramaciones!P$14-1))+6,1,IF(MAX(0,NETWORKDAYS.INTL(MAX(E97,(Reprogramaciones!$T$15+7*(Reprogramaciones!P$14-1))),MIN(F97,(Reprogramaciones!$T$15+7*(Reprogramaciones!P$14-1))+6),11))=0,0,MAX(0,NETWORKDAYS.INTL(MAX(E97,(Reprogramaciones!$T$15+7*(Reprogramaciones!P$14-1))),MIN(F97,Reprogramaciones!P$13),11))/MAX(0,NETWORKDAYS.INTL(MAX(E97,(Reprogramaciones!$T$15+7*(Reprogramaciones!P$14-1))),MIN(F97,(Reprogramaciones!$T$15+7*(Reprogramaciones!P$14-1))+6),11))))))))</f>
        <v/>
      </c>
      <c r="BZ97" s="1" t="str">
        <f aca="false">IF(OR(NOT(AND(ISNUMBER(E97),ISNUMBER(F97))),$J$2=""),"",IF(Reprogramaciones!Q$13&lt;Reprogramaciones!$T$15,0,IF(Reprogramaciones!Q$14&gt;10,MIN(100,SUM($G97:$P97)),MIN(100,SUMPRODUCT((COLUMN($G97:$P97)-COLUMN($G97)+1&lt;Reprogramaciones!Q$14)*$G97:$P97)+N(INDEX($G97:$P97,1,Reprogramaciones!Q$14))*IF(Reprogramaciones!Q$13&gt;=(Reprogramaciones!$T$15+7*(Reprogramaciones!Q$14-1))+6,1,IF(MAX(0,NETWORKDAYS.INTL(MAX(E97,(Reprogramaciones!$T$15+7*(Reprogramaciones!Q$14-1))),MIN(F97,(Reprogramaciones!$T$15+7*(Reprogramaciones!Q$14-1))+6),11))=0,0,MAX(0,NETWORKDAYS.INTL(MAX(E97,(Reprogramaciones!$T$15+7*(Reprogramaciones!Q$14-1))),MIN(F97,Reprogramaciones!Q$13),11))/MAX(0,NETWORKDAYS.INTL(MAX(E97,(Reprogramaciones!$T$15+7*(Reprogramaciones!Q$14-1))),MIN(F97,(Reprogramaciones!$T$15+7*(Reprogramaciones!Q$14-1))+6),11))))))))</f>
        <v/>
      </c>
      <c r="CA97" s="1" t="str">
        <f aca="false">IF(OR(NOT(AND(ISNUMBER(E97),ISNUMBER(F97))),$J$2=""),"",IF(Reprogramaciones!R$13&lt;Reprogramaciones!$T$15,0,IF(Reprogramaciones!R$14&gt;10,MIN(100,SUM($G97:$P97)),MIN(100,SUMPRODUCT((COLUMN($G97:$P97)-COLUMN($G97)+1&lt;Reprogramaciones!R$14)*$G97:$P97)+N(INDEX($G97:$P97,1,Reprogramaciones!R$14))*IF(Reprogramaciones!R$13&gt;=(Reprogramaciones!$T$15+7*(Reprogramaciones!R$14-1))+6,1,IF(MAX(0,NETWORKDAYS.INTL(MAX(E97,(Reprogramaciones!$T$15+7*(Reprogramaciones!R$14-1))),MIN(F97,(Reprogramaciones!$T$15+7*(Reprogramaciones!R$14-1))+6),11))=0,0,MAX(0,NETWORKDAYS.INTL(MAX(E97,(Reprogramaciones!$T$15+7*(Reprogramaciones!R$14-1))),MIN(F97,Reprogramaciones!R$13),11))/MAX(0,NETWORKDAYS.INTL(MAX(E97,(Reprogramaciones!$T$15+7*(Reprogramaciones!R$14-1))),MIN(F97,(Reprogramaciones!$T$15+7*(Reprogramaciones!R$14-1))+6),11))))))))</f>
        <v/>
      </c>
      <c r="CB97" s="1" t="str">
        <f aca="false">IF(OR(NOT(AND(ISNUMBER(E97),ISNUMBER(F97))),$J$2=""),"",IF(Reprogramaciones!S$13&lt;Reprogramaciones!$T$15,0,IF(Reprogramaciones!S$14&gt;10,MIN(100,SUM($G97:$P97)),MIN(100,SUMPRODUCT((COLUMN($G97:$P97)-COLUMN($G97)+1&lt;Reprogramaciones!S$14)*$G97:$P97)+N(INDEX($G97:$P97,1,Reprogramaciones!S$14))*IF(Reprogramaciones!S$13&gt;=(Reprogramaciones!$T$15+7*(Reprogramaciones!S$14-1))+6,1,IF(MAX(0,NETWORKDAYS.INTL(MAX(E97,(Reprogramaciones!$T$15+7*(Reprogramaciones!S$14-1))),MIN(F97,(Reprogramaciones!$T$15+7*(Reprogramaciones!S$14-1))+6),11))=0,0,MAX(0,NETWORKDAYS.INTL(MAX(E97,(Reprogramaciones!$T$15+7*(Reprogramaciones!S$14-1))),MIN(F97,Reprogramaciones!S$13),11))/MAX(0,NETWORKDAYS.INTL(MAX(E97,(Reprogramaciones!$T$15+7*(Reprogramaciones!S$14-1))),MIN(F97,(Reprogramaciones!$T$15+7*(Reprogramaciones!S$14-1))+6),11))))))))</f>
        <v/>
      </c>
      <c r="CC97" s="1" t="str">
        <f aca="false">IF(OR(NOT(AND(ISNUMBER(E97),ISNUMBER(F97))),$J$2=""),"",IF(Reprogramaciones!T$13&lt;Reprogramaciones!$T$15,0,IF(Reprogramaciones!T$14&gt;10,MIN(100,SUM($G97:$P97)),MIN(100,SUMPRODUCT((COLUMN($G97:$P97)-COLUMN($G97)+1&lt;Reprogramaciones!T$14)*$G97:$P97)+N(INDEX($G97:$P97,1,Reprogramaciones!T$14))*IF(Reprogramaciones!T$13&gt;=(Reprogramaciones!$T$15+7*(Reprogramaciones!T$14-1))+6,1,IF(MAX(0,NETWORKDAYS.INTL(MAX(E97,(Reprogramaciones!$T$15+7*(Reprogramaciones!T$14-1))),MIN(F97,(Reprogramaciones!$T$15+7*(Reprogramaciones!T$14-1))+6),11))=0,0,MAX(0,NETWORKDAYS.INTL(MAX(E97,(Reprogramaciones!$T$15+7*(Reprogramaciones!T$14-1))),MIN(F97,Reprogramaciones!T$13),11))/MAX(0,NETWORKDAYS.INTL(MAX(E97,(Reprogramaciones!$T$15+7*(Reprogramaciones!T$14-1))),MIN(F97,(Reprogramaciones!$T$15+7*(Reprogramaciones!T$14-1))+6),11))))))))</f>
        <v/>
      </c>
      <c r="CD97" s="1" t="str">
        <f aca="false">IF(OR(NOT(AND(ISNUMBER(E97),ISNUMBER(F97))),$J$2=""),"",IF(Reprogramaciones!U$13&lt;Reprogramaciones!$T$15,0,IF(Reprogramaciones!U$14&gt;10,MIN(100,SUM($G97:$P97)),MIN(100,SUMPRODUCT((COLUMN($G97:$P97)-COLUMN($G97)+1&lt;Reprogramaciones!U$14)*$G97:$P97)+N(INDEX($G97:$P97,1,Reprogramaciones!U$14))*IF(Reprogramaciones!U$13&gt;=(Reprogramaciones!$T$15+7*(Reprogramaciones!U$14-1))+6,1,IF(MAX(0,NETWORKDAYS.INTL(MAX(E97,(Reprogramaciones!$T$15+7*(Reprogramaciones!U$14-1))),MIN(F97,(Reprogramaciones!$T$15+7*(Reprogramaciones!U$14-1))+6),11))=0,0,MAX(0,NETWORKDAYS.INTL(MAX(E97,(Reprogramaciones!$T$15+7*(Reprogramaciones!U$14-1))),MIN(F97,Reprogramaciones!U$13),11))/MAX(0,NETWORKDAYS.INTL(MAX(E97,(Reprogramaciones!$T$15+7*(Reprogramaciones!U$14-1))),MIN(F97,(Reprogramaciones!$T$15+7*(Reprogramaciones!U$14-1))+6),11))))))))</f>
        <v/>
      </c>
      <c r="CE97" s="1" t="str">
        <f aca="false">IF(OR(NOT(AND(ISNUMBER(E97),ISNUMBER(F97))),$J$2=""),"",IF(Reprogramaciones!V$13&lt;Reprogramaciones!$T$15,0,IF(Reprogramaciones!V$14&gt;10,MIN(100,SUM($G97:$P97)),MIN(100,SUMPRODUCT((COLUMN($G97:$P97)-COLUMN($G97)+1&lt;Reprogramaciones!V$14)*$G97:$P97)+N(INDEX($G97:$P97,1,Reprogramaciones!V$14))*IF(Reprogramaciones!V$13&gt;=(Reprogramaciones!$T$15+7*(Reprogramaciones!V$14-1))+6,1,IF(MAX(0,NETWORKDAYS.INTL(MAX(E97,(Reprogramaciones!$T$15+7*(Reprogramaciones!V$14-1))),MIN(F97,(Reprogramaciones!$T$15+7*(Reprogramaciones!V$14-1))+6),11))=0,0,MAX(0,NETWORKDAYS.INTL(MAX(E97,(Reprogramaciones!$T$15+7*(Reprogramaciones!V$14-1))),MIN(F97,Reprogramaciones!V$13),11))/MAX(0,NETWORKDAYS.INTL(MAX(E97,(Reprogramaciones!$T$15+7*(Reprogramaciones!V$14-1))),MIN(F97,(Reprogramaciones!$T$15+7*(Reprogramaciones!V$14-1))+6),11))))))))</f>
        <v/>
      </c>
      <c r="CF97" s="1" t="str">
        <f aca="false">IF(OR(NOT(AND(ISNUMBER(E97),ISNUMBER(F97))),$J$2=""),"",IF(Reprogramaciones!W$13&lt;Reprogramaciones!$T$15,0,IF(Reprogramaciones!W$14&gt;10,MIN(100,SUM($G97:$P97)),MIN(100,SUMPRODUCT((COLUMN($G97:$P97)-COLUMN($G97)+1&lt;Reprogramaciones!W$14)*$G97:$P97)+N(INDEX($G97:$P97,1,Reprogramaciones!W$14))*IF(Reprogramaciones!W$13&gt;=(Reprogramaciones!$T$15+7*(Reprogramaciones!W$14-1))+6,1,IF(MAX(0,NETWORKDAYS.INTL(MAX(E97,(Reprogramaciones!$T$15+7*(Reprogramaciones!W$14-1))),MIN(F97,(Reprogramaciones!$T$15+7*(Reprogramaciones!W$14-1))+6),11))=0,0,MAX(0,NETWORKDAYS.INTL(MAX(E97,(Reprogramaciones!$T$15+7*(Reprogramaciones!W$14-1))),MIN(F97,Reprogramaciones!W$13),11))/MAX(0,NETWORKDAYS.INTL(MAX(E97,(Reprogramaciones!$T$15+7*(Reprogramaciones!W$14-1))),MIN(F97,(Reprogramaciones!$T$15+7*(Reprogramaciones!W$14-1))+6),11))))))))</f>
        <v/>
      </c>
      <c r="CG97" s="1" t="str">
        <f aca="false">IF(OR(NOT(AND(ISNUMBER(E97),ISNUMBER(F97))),$J$2=""),"",IF(Reprogramaciones!X$13&lt;Reprogramaciones!$T$15,0,IF(Reprogramaciones!X$14&gt;10,MIN(100,SUM($G97:$P97)),MIN(100,SUMPRODUCT((COLUMN($G97:$P97)-COLUMN($G97)+1&lt;Reprogramaciones!X$14)*$G97:$P97)+N(INDEX($G97:$P97,1,Reprogramaciones!X$14))*IF(Reprogramaciones!X$13&gt;=(Reprogramaciones!$T$15+7*(Reprogramaciones!X$14-1))+6,1,IF(MAX(0,NETWORKDAYS.INTL(MAX(E97,(Reprogramaciones!$T$15+7*(Reprogramaciones!X$14-1))),MIN(F97,(Reprogramaciones!$T$15+7*(Reprogramaciones!X$14-1))+6),11))=0,0,MAX(0,NETWORKDAYS.INTL(MAX(E97,(Reprogramaciones!$T$15+7*(Reprogramaciones!X$14-1))),MIN(F97,Reprogramaciones!X$13),11))/MAX(0,NETWORKDAYS.INTL(MAX(E97,(Reprogramaciones!$T$15+7*(Reprogramaciones!X$14-1))),MIN(F97,(Reprogramaciones!$T$15+7*(Reprogramaciones!X$14-1))+6),11))))))))</f>
        <v/>
      </c>
      <c r="CH97" s="1" t="str">
        <f aca="false">IF(OR(NOT(AND(ISNUMBER(E97),ISNUMBER(F97))),$J$2=""),"",IF(Reprogramaciones!Y$13&lt;Reprogramaciones!$T$15,0,IF(Reprogramaciones!Y$14&gt;10,MIN(100,SUM($G97:$P97)),MIN(100,SUMPRODUCT((COLUMN($G97:$P97)-COLUMN($G97)+1&lt;Reprogramaciones!Y$14)*$G97:$P97)+N(INDEX($G97:$P97,1,Reprogramaciones!Y$14))*IF(Reprogramaciones!Y$13&gt;=(Reprogramaciones!$T$15+7*(Reprogramaciones!Y$14-1))+6,1,IF(MAX(0,NETWORKDAYS.INTL(MAX(E97,(Reprogramaciones!$T$15+7*(Reprogramaciones!Y$14-1))),MIN(F97,(Reprogramaciones!$T$15+7*(Reprogramaciones!Y$14-1))+6),11))=0,0,MAX(0,NETWORKDAYS.INTL(MAX(E97,(Reprogramaciones!$T$15+7*(Reprogramaciones!Y$14-1))),MIN(F97,Reprogramaciones!Y$13),11))/MAX(0,NETWORKDAYS.INTL(MAX(E97,(Reprogramaciones!$T$15+7*(Reprogramaciones!Y$14-1))),MIN(F97,(Reprogramaciones!$T$15+7*(Reprogramaciones!Y$14-1))+6),11))))))))</f>
        <v/>
      </c>
      <c r="CI97" s="1" t="str">
        <f aca="false">IF(OR(NOT(AND(ISNUMBER(E97),ISNUMBER(F97))),$J$2=""),"",IF(Reprogramaciones!Z$13&lt;Reprogramaciones!$T$15,0,IF(Reprogramaciones!Z$14&gt;10,MIN(100,SUM($G97:$P97)),MIN(100,SUMPRODUCT((COLUMN($G97:$P97)-COLUMN($G97)+1&lt;Reprogramaciones!Z$14)*$G97:$P97)+N(INDEX($G97:$P97,1,Reprogramaciones!Z$14))*IF(Reprogramaciones!Z$13&gt;=(Reprogramaciones!$T$15+7*(Reprogramaciones!Z$14-1))+6,1,IF(MAX(0,NETWORKDAYS.INTL(MAX(E97,(Reprogramaciones!$T$15+7*(Reprogramaciones!Z$14-1))),MIN(F97,(Reprogramaciones!$T$15+7*(Reprogramaciones!Z$14-1))+6),11))=0,0,MAX(0,NETWORKDAYS.INTL(MAX(E97,(Reprogramaciones!$T$15+7*(Reprogramaciones!Z$14-1))),MIN(F97,Reprogramaciones!Z$13),11))/MAX(0,NETWORKDAYS.INTL(MAX(E97,(Reprogramaciones!$T$15+7*(Reprogramaciones!Z$14-1))),MIN(F97,(Reprogramaciones!$T$15+7*(Reprogramaciones!Z$14-1))+6),11))))))))</f>
        <v/>
      </c>
      <c r="CJ97" s="1" t="str">
        <f aca="false">IF(OR(OR(NOT(AND(ISNUMBER(E97),ISNUMBER(F97))),$J$2=""),1&gt;Reprogramaciones!$K$16),"",IF(ROUND(SUM($Q97:Q97),1)&gt;=99.5,100,MIN(100,ROUND(SUM($Q97:Q97),1))))</f>
        <v/>
      </c>
      <c r="CK97" s="1" t="str">
        <f aca="false">IF(OR(OR(NOT(AND(ISNUMBER(E97),ISNUMBER(F97))),$J$2=""),2&gt;Reprogramaciones!$K$16),"",IF(ROUND(SUM($Q97:R97),1)&gt;=99.5,100,MIN(100,ROUND(SUM($Q97:R97),1))))</f>
        <v/>
      </c>
      <c r="CL97" s="1" t="str">
        <f aca="false">IF(OR(OR(NOT(AND(ISNUMBER(E97),ISNUMBER(F97))),$J$2=""),3&gt;Reprogramaciones!$K$16),"",IF(ROUND(SUM($Q97:S97),1)&gt;=99.5,100,MIN(100,ROUND(SUM($Q97:S97),1))))</f>
        <v/>
      </c>
      <c r="CM97" s="1" t="str">
        <f aca="false">IF(OR(OR(NOT(AND(ISNUMBER(E97),ISNUMBER(F97))),$J$2=""),4&gt;Reprogramaciones!$K$16),"",IF(ROUND(SUM($Q97:T97),1)&gt;=99.5,100,MIN(100,ROUND(SUM($Q97:T97),1))))</f>
        <v/>
      </c>
      <c r="CN97" s="1" t="str">
        <f aca="false">IF(OR(OR(NOT(AND(ISNUMBER(E97),ISNUMBER(F97))),$J$2=""),5&gt;Reprogramaciones!$K$16),"",IF(ROUND(SUM($Q97:U97),1)&gt;=99.5,100,MIN(100,ROUND(SUM($Q97:U97),1))))</f>
        <v/>
      </c>
      <c r="CO97" s="1" t="str">
        <f aca="false">IF(OR(OR(NOT(AND(ISNUMBER(E97),ISNUMBER(F97))),$J$2=""),6&gt;Reprogramaciones!$K$16),"",IF(ROUND(SUM($Q97:V97),1)&gt;=99.5,100,MIN(100,ROUND(SUM($Q97:V97),1))))</f>
        <v/>
      </c>
      <c r="CP97" s="1" t="str">
        <f aca="false">IF(OR(OR(NOT(AND(ISNUMBER(E97),ISNUMBER(F97))),$J$2=""),7&gt;Reprogramaciones!$K$16),"",IF(ROUND(SUM($Q97:W97),1)&gt;=99.5,100,MIN(100,ROUND(SUM($Q97:W97),1))))</f>
        <v/>
      </c>
      <c r="CQ97" s="1" t="str">
        <f aca="false">IF(OR(OR(NOT(AND(ISNUMBER(E97),ISNUMBER(F97))),$J$2=""),8&gt;Reprogramaciones!$K$16),"",IF(ROUND(SUM($Q97:X97),1)&gt;=99.5,100,MIN(100,ROUND(SUM($Q97:X97),1))))</f>
        <v/>
      </c>
      <c r="CR97" s="1" t="str">
        <f aca="false">IF(OR(OR(NOT(AND(ISNUMBER(E97),ISNUMBER(F97))),$J$2=""),9&gt;Reprogramaciones!$K$16),"",IF(ROUND(SUM($Q97:Y97),1)&gt;=99.5,100,MIN(100,ROUND(SUM($Q97:Y97),1))))</f>
        <v/>
      </c>
      <c r="CS97" s="1" t="str">
        <f aca="false">IF(OR(OR(NOT(AND(ISNUMBER(E97),ISNUMBER(F97))),$J$2=""),10&gt;Reprogramaciones!$K$16),"",IF(ROUND(SUM($Q97:Z97),1)&gt;=99.5,100,MIN(100,ROUND(SUM($Q97:Z97),1))))</f>
        <v/>
      </c>
      <c r="CT97" s="1" t="str">
        <f aca="false">IF(OR(OR(NOT(AND(ISNUMBER(E97),ISNUMBER(F97))),$J$2=""),11&gt;Reprogramaciones!$K$16),"",IF(ROUND(SUM($Q97:AA97),1)&gt;=99.5,100,MIN(100,ROUND(SUM($Q97:AA97),1))))</f>
        <v/>
      </c>
      <c r="CU97" s="1" t="str">
        <f aca="false">IF(OR(OR(NOT(AND(ISNUMBER(E97),ISNUMBER(F97))),$J$2=""),12&gt;Reprogramaciones!$K$16),"",IF(ROUND(SUM($Q97:AB97),1)&gt;=99.5,100,MIN(100,ROUND(SUM($Q97:AB97),1))))</f>
        <v/>
      </c>
      <c r="CV97" s="1" t="str">
        <f aca="false">IF(OR(OR(NOT(AND(ISNUMBER(E97),ISNUMBER(F97))),$J$2=""),13&gt;Reprogramaciones!$K$16),"",IF(ROUND(SUM($Q97:AC97),1)&gt;=99.5,100,MIN(100,ROUND(SUM($Q97:AC97),1))))</f>
        <v/>
      </c>
      <c r="CW97" s="1" t="str">
        <f aca="false">IF(OR(OR(NOT(AND(ISNUMBER(E97),ISNUMBER(F97))),$J$2=""),14&gt;Reprogramaciones!$K$16),"",IF(ROUND(SUM($Q97:AD97),1)&gt;=99.5,100,MIN(100,ROUND(SUM($Q97:AD97),1))))</f>
        <v/>
      </c>
      <c r="CX97" s="1" t="str">
        <f aca="false">IF(OR(OR(NOT(AND(ISNUMBER(E97),ISNUMBER(F97))),$J$2=""),15&gt;Reprogramaciones!$K$16),"",IF(ROUND(SUM($Q97:AE97),1)&gt;=99.5,100,MIN(100,ROUND(SUM($Q97:AE97),1))))</f>
        <v/>
      </c>
      <c r="CY97" s="1" t="str">
        <f aca="false">IF(OR(OR(NOT(AND(ISNUMBER(E97),ISNUMBER(F97))),$J$2=""),16&gt;Reprogramaciones!$K$16),"",IF(ROUND(SUM($Q97:AF97),1)&gt;=99.5,100,MIN(100,ROUND(SUM($Q97:AF97),1))))</f>
        <v/>
      </c>
      <c r="CZ97" s="1" t="str">
        <f aca="false">IF(D97&lt;&gt;"",D97,IF(B97&lt;&gt;"","Contractual",CZ96))</f>
        <v>Contractual</v>
      </c>
      <c r="DA97" s="1" t="str">
        <f aca="false">IF(OR(NOT(AND(ISNUMBER(E97),ISNUMBER(F97))),$J$2=""),"",IF(Reprogramaciones!$Q$15&lt;Reprogramaciones!$T$15,0,IF(Reprogramaciones!$S$15&gt;10,MIN(100,SUM($G97:$P97)),MIN(100,SUMPRODUCT((COLUMN($G97:$P97)-COLUMN($G97)+1&lt;Reprogramaciones!$S$15)*$G97:$P97)+N(INDEX($G97:$P97,1,Reprogramaciones!$S$15))*IF(Reprogramaciones!$Q$15&gt;=(Reprogramaciones!$T$15+7*(Reprogramaciones!$S$15-1))+6,1,IF(MAX(0,NETWORKDAYS.INTL(MAX(E97,(Reprogramaciones!$T$15+7*(Reprogramaciones!$S$15-1))),MIN(F97,(Reprogramaciones!$T$15+7*(Reprogramaciones!$S$15-1))+6),11))=0,0,MAX(0,NETWORKDAYS.INTL(MAX(E97,(Reprogramaciones!$T$15+7*(Reprogramaciones!$S$15-1))),MIN(F97,Reprogramaciones!$Q$15),11))/MAX(0,NETWORKDAYS.INTL(MAX(E97,(Reprogramaciones!$T$15+7*(Reprogramaciones!$S$15-1))),MIN(F97,(Reprogramaciones!$T$15+7*(Reprogramaciones!$S$15-1))+6),11))))))))</f>
        <v/>
      </c>
    </row>
    <row r="98" customFormat="false" ht="15" hidden="false" customHeight="false" outlineLevel="0" collapsed="false">
      <c r="A98" s="32"/>
      <c r="B98" s="33"/>
      <c r="C98" s="33"/>
      <c r="D98" s="34"/>
      <c r="E98" s="35"/>
      <c r="F98" s="35"/>
      <c r="G98" s="36" t="str">
        <f aca="false">IF(OR(NOT(AND(ISNUMBER(E98),ISNUMBER(F98))),$J$2=""),"",IF(Reprogramaciones!K$9&lt;E98,0,IF(NETWORKDAYS.INTL(E98,F98,11)=0,IF(Reprogramaciones!K$9&gt;=F98,100,0),ROUND(NETWORKDAYS.INTL(E98,MIN(F98,Reprogramaciones!K$9),11)/NETWORKDAYS.INTL(E98,F98,11)*100,1)))-0)</f>
        <v/>
      </c>
      <c r="H98" s="36" t="str">
        <f aca="false">IF(OR(NOT(AND(ISNUMBER(E98),ISNUMBER(F98))),$J$2=""),"",IF(Reprogramaciones!L$9&lt;E98,0,IF(NETWORKDAYS.INTL(E98,F98,11)=0,IF(Reprogramaciones!L$9&gt;=F98,100,0),ROUND(NETWORKDAYS.INTL(E98,MIN(F98,Reprogramaciones!L$9),11)/NETWORKDAYS.INTL(E98,F98,11)*100,1)))-IF(Reprogramaciones!K$9&lt;E98,0,IF(NETWORKDAYS.INTL(E98,F98,11)=0,IF(Reprogramaciones!K$9&gt;=F98,100,0),ROUND(NETWORKDAYS.INTL(E98,MIN(F98,Reprogramaciones!K$9),11)/NETWORKDAYS.INTL(E98,F98,11)*100,1))))</f>
        <v/>
      </c>
      <c r="I98" s="36" t="str">
        <f aca="false">IF(OR(NOT(AND(ISNUMBER(E98),ISNUMBER(F98))),$J$2=""),"",IF(Reprogramaciones!M$9&lt;E98,0,IF(NETWORKDAYS.INTL(E98,F98,11)=0,IF(Reprogramaciones!M$9&gt;=F98,100,0),ROUND(NETWORKDAYS.INTL(E98,MIN(F98,Reprogramaciones!M$9),11)/NETWORKDAYS.INTL(E98,F98,11)*100,1)))-IF(Reprogramaciones!L$9&lt;E98,0,IF(NETWORKDAYS.INTL(E98,F98,11)=0,IF(Reprogramaciones!L$9&gt;=F98,100,0),ROUND(NETWORKDAYS.INTL(E98,MIN(F98,Reprogramaciones!L$9),11)/NETWORKDAYS.INTL(E98,F98,11)*100,1))))</f>
        <v/>
      </c>
      <c r="J98" s="36" t="str">
        <f aca="false">IF(OR(NOT(AND(ISNUMBER(E98),ISNUMBER(F98))),$J$2=""),"",IF(Reprogramaciones!N$9&lt;E98,0,IF(NETWORKDAYS.INTL(E98,F98,11)=0,IF(Reprogramaciones!N$9&gt;=F98,100,0),ROUND(NETWORKDAYS.INTL(E98,MIN(F98,Reprogramaciones!N$9),11)/NETWORKDAYS.INTL(E98,F98,11)*100,1)))-IF(Reprogramaciones!M$9&lt;E98,0,IF(NETWORKDAYS.INTL(E98,F98,11)=0,IF(Reprogramaciones!M$9&gt;=F98,100,0),ROUND(NETWORKDAYS.INTL(E98,MIN(F98,Reprogramaciones!M$9),11)/NETWORKDAYS.INTL(E98,F98,11)*100,1))))</f>
        <v/>
      </c>
      <c r="K98" s="36" t="str">
        <f aca="false">IF(OR(NOT(AND(ISNUMBER(E98),ISNUMBER(F98))),$J$2=""),"",IF(Reprogramaciones!O$9&lt;E98,0,IF(NETWORKDAYS.INTL(E98,F98,11)=0,IF(Reprogramaciones!O$9&gt;=F98,100,0),ROUND(NETWORKDAYS.INTL(E98,MIN(F98,Reprogramaciones!O$9),11)/NETWORKDAYS.INTL(E98,F98,11)*100,1)))-IF(Reprogramaciones!N$9&lt;E98,0,IF(NETWORKDAYS.INTL(E98,F98,11)=0,IF(Reprogramaciones!N$9&gt;=F98,100,0),ROUND(NETWORKDAYS.INTL(E98,MIN(F98,Reprogramaciones!N$9),11)/NETWORKDAYS.INTL(E98,F98,11)*100,1))))</f>
        <v/>
      </c>
      <c r="L98" s="36" t="str">
        <f aca="false">IF(OR(NOT(AND(ISNUMBER(E98),ISNUMBER(F98))),$J$2=""),"",IF(Reprogramaciones!P$9&lt;E98,0,IF(NETWORKDAYS.INTL(E98,F98,11)=0,IF(Reprogramaciones!P$9&gt;=F98,100,0),ROUND(NETWORKDAYS.INTL(E98,MIN(F98,Reprogramaciones!P$9),11)/NETWORKDAYS.INTL(E98,F98,11)*100,1)))-IF(Reprogramaciones!O$9&lt;E98,0,IF(NETWORKDAYS.INTL(E98,F98,11)=0,IF(Reprogramaciones!O$9&gt;=F98,100,0),ROUND(NETWORKDAYS.INTL(E98,MIN(F98,Reprogramaciones!O$9),11)/NETWORKDAYS.INTL(E98,F98,11)*100,1))))</f>
        <v/>
      </c>
      <c r="M98" s="36" t="str">
        <f aca="false">IF(OR(NOT(AND(ISNUMBER(E98),ISNUMBER(F98))),$J$2=""),"",IF(Reprogramaciones!Q$9&lt;E98,0,IF(NETWORKDAYS.INTL(E98,F98,11)=0,IF(Reprogramaciones!Q$9&gt;=F98,100,0),ROUND(NETWORKDAYS.INTL(E98,MIN(F98,Reprogramaciones!Q$9),11)/NETWORKDAYS.INTL(E98,F98,11)*100,1)))-IF(Reprogramaciones!P$9&lt;E98,0,IF(NETWORKDAYS.INTL(E98,F98,11)=0,IF(Reprogramaciones!P$9&gt;=F98,100,0),ROUND(NETWORKDAYS.INTL(E98,MIN(F98,Reprogramaciones!P$9),11)/NETWORKDAYS.INTL(E98,F98,11)*100,1))))</f>
        <v/>
      </c>
      <c r="N98" s="36" t="str">
        <f aca="false">IF(OR(NOT(AND(ISNUMBER(E98),ISNUMBER(F98))),$J$2=""),"",IF(Reprogramaciones!R$9&lt;E98,0,IF(NETWORKDAYS.INTL(E98,F98,11)=0,IF(Reprogramaciones!R$9&gt;=F98,100,0),ROUND(NETWORKDAYS.INTL(E98,MIN(F98,Reprogramaciones!R$9),11)/NETWORKDAYS.INTL(E98,F98,11)*100,1)))-IF(Reprogramaciones!Q$9&lt;E98,0,IF(NETWORKDAYS.INTL(E98,F98,11)=0,IF(Reprogramaciones!Q$9&gt;=F98,100,0),ROUND(NETWORKDAYS.INTL(E98,MIN(F98,Reprogramaciones!Q$9),11)/NETWORKDAYS.INTL(E98,F98,11)*100,1))))</f>
        <v/>
      </c>
      <c r="O98" s="36" t="str">
        <f aca="false">IF(OR(NOT(AND(ISNUMBER(E98),ISNUMBER(F98))),$J$2=""),"",IF(Reprogramaciones!S$9&lt;E98,0,IF(NETWORKDAYS.INTL(E98,F98,11)=0,IF(Reprogramaciones!S$9&gt;=F98,100,0),ROUND(NETWORKDAYS.INTL(E98,MIN(F98,Reprogramaciones!S$9),11)/NETWORKDAYS.INTL(E98,F98,11)*100,1)))-IF(Reprogramaciones!R$9&lt;E98,0,IF(NETWORKDAYS.INTL(E98,F98,11)=0,IF(Reprogramaciones!R$9&gt;=F98,100,0),ROUND(NETWORKDAYS.INTL(E98,MIN(F98,Reprogramaciones!R$9),11)/NETWORKDAYS.INTL(E98,F98,11)*100,1))))</f>
        <v/>
      </c>
      <c r="P98" s="36" t="str">
        <f aca="false">IF(OR(NOT(AND(ISNUMBER(E98),ISNUMBER(F98))),$J$2=""),"",IF(Reprogramaciones!T$9&lt;E98,0,IF(NETWORKDAYS.INTL(E98,F98,11)=0,IF(Reprogramaciones!T$9&gt;=F98,100,0),ROUND(NETWORKDAYS.INTL(E98,MIN(F98,Reprogramaciones!T$9),11)/NETWORKDAYS.INTL(E98,F98,11)*100,1)))-IF(Reprogramaciones!S$9&lt;E98,0,IF(NETWORKDAYS.INTL(E98,F98,11)=0,IF(Reprogramaciones!S$9&gt;=F98,100,0),ROUND(NETWORKDAYS.INTL(E98,MIN(F98,Reprogramaciones!S$9),11)/NETWORKDAYS.INTL(E98,F98,11)*100,1))))</f>
        <v/>
      </c>
      <c r="Q98" s="37"/>
      <c r="R98" s="37"/>
      <c r="S98" s="37"/>
      <c r="T98" s="37"/>
      <c r="U98" s="37"/>
      <c r="V98" s="37"/>
      <c r="W98" s="37"/>
      <c r="X98" s="37"/>
      <c r="Y98" s="37"/>
      <c r="Z98" s="37"/>
      <c r="AA98" s="37"/>
      <c r="AB98" s="37"/>
      <c r="AC98" s="37"/>
      <c r="AD98" s="37"/>
      <c r="AE98" s="37"/>
      <c r="AF98" s="37"/>
      <c r="AG98" s="38" t="str">
        <f aca="false">IF(AND(ISNUMBER(E98),ISNUMBER(F98)),NETWORKDAYS.INTL(E98,F98,11),"")</f>
        <v/>
      </c>
      <c r="AH98" s="38" t="str">
        <f aca="false">IF(OR(NOT(AND(ISNUMBER(E98),ISNUMBER(F98))),$J$2=""),"",IF(Reprogramaciones!$P$15&lt;Reprogramaciones!$T$15,0,IF(Reprogramaciones!$R$15&gt;10,MIN(100,SUM($G98:$P98)),MIN(100,SUMPRODUCT((COLUMN($G98:$P98)-COLUMN($G98)+1&lt;Reprogramaciones!$R$15)*$G98:$P98)+N(INDEX($G98:$P98,1,Reprogramaciones!$R$15))*IF(Reprogramaciones!$P$15&gt;=(Reprogramaciones!$T$15+7*(Reprogramaciones!$R$15-1))+6,1,IF(MAX(0,NETWORKDAYS.INTL(MAX(E98,(Reprogramaciones!$T$15+7*(Reprogramaciones!$R$15-1))),MIN(F98,(Reprogramaciones!$T$15+7*(Reprogramaciones!$R$15-1))+6),11))=0,0,MAX(0,NETWORKDAYS.INTL(MAX(E98,(Reprogramaciones!$T$15+7*(Reprogramaciones!$R$15-1))),MIN(F98,Reprogramaciones!$P$15),11))/MAX(0,NETWORKDAYS.INTL(MAX(E98,(Reprogramaciones!$T$15+7*(Reprogramaciones!$R$15-1))),MIN(F98,(Reprogramaciones!$T$15+7*(Reprogramaciones!$R$15-1))+6),11))))))))</f>
        <v/>
      </c>
      <c r="AI98" s="38" t="str">
        <f aca="false">IF(COUNT($Q98:$AF98)=0,"",IF(ROUND(SUM($Q98:$AF98),1)&gt;=99.5,100,MIN(100,ROUND(SUM($Q98:$AF98),1))))</f>
        <v/>
      </c>
      <c r="AJ98" s="38" t="str">
        <f aca="false">IF(OR(AH98="",AI98=""),"",AI98-AH98)</f>
        <v/>
      </c>
      <c r="AK98" s="39" t="str">
        <f aca="true">IF(AH98="","",IF(OR(Ficha!$C$10="Suspendida",Ficha!$C$10="Cancelada"),Ficha!$C$10,IF(AND(AI98&lt;&gt;"",N(AI98)&gt;=100),"Completada",IF(AND(E98&gt;TODAY(),N(AI98)=0),"Por iniciar",IF(N(AI98)+0.5&lt;AH98,"Retrasada",IF(N(AI98)+0.5&lt;DA98,IF(Reprogramaciones!$K$15&gt;0,"Al día · Sem "&amp;Reprogramaciones!$K$15&amp;" en curso","Al día · en curso"),"A tiempo"))))))</f>
        <v/>
      </c>
      <c r="AL98" s="39" t="str">
        <f aca="true">IF(AND(A98="",AND(B98="",C98="",E98="",F98="",COUNT(Q98:AF98)=0)),"",IF(AND(B98="",C98="",E98="",F98="",COUNT(Q98:AF98)=0),"Falta la partida o subpartida",IF(AND(A98&lt;&gt;"",COUNTIF($A$6:$A$305,A98)&gt;1),"Ítem repetido",IF(AND(C98="",E98="",F98="",COUNT(Q98:AF98)=0),"Título de partida",IF(OR(E98="",F98=""),"Faltan fechas",IF(OR(ISTEXT(E98),ISTEXT(F98)),"Fecha escrita como texto: usa dd/mm/aaaa",IF(F98&lt;E98,"Fin antes del inicio",IF(IF($J$2="",FALSE(),OR(E98&lt;$J$2,F98&gt;Reprogramaciones!$T$15+69)),"Fuera de las 10 semanas",IF(ABS(SUM(G98:P98)-100)&gt;0.5,"La meta no suma 100%",IF(ROUND(SUM(Q98:AF98),1)&gt;100.5,"El avance pasa de 100%",IF(MIN(Q98:AF98)&lt;0,"Avance negativo",IF(COUNTA(Q98:AF98)&gt;COUNT(Q98:AF98),"Avance escrito como texto",IF(SUMPRODUCT((Q98:AF98&gt;0)*(Q98:AF98&lt;1))&gt;0,"Avance menor a 1: escribe 50, no 50%",IF(SUMPRODUCT(ISNUMBER(Q98:AF98)*(Reprogramaciones!$K$8:$Z$8&gt;TODAY()))&gt;0,"Avance en semana que aún no llega",IF(AND(N(Reprogramaciones!$E$21)&gt;0,F98&gt;Reprogramaciones!$E$21),"Pasa el fin de la obra: registra una reprogramación",IF(AND(N(Reprogramaciones!$E$21)&gt;0,SUMPRODUCT(ISNUMBER(Q98:AF98)*(Reprogramaciones!$K$8:$Z$8&gt;Reprogramaciones!$E$21))&gt;0),"Avance después del fin de la obra: registra una reprogramación por atraso","OK"))))))))))))))))</f>
        <v/>
      </c>
      <c r="AM98" s="40" t="str">
        <f aca="false">IF(OR(OR(NOT(AND(ISNUMBER(E98),ISNUMBER(F98))),$J$2=""),1&gt;MAX(1,Reprogramaciones!$U$15)),"",IF(Reprogramaciones!K$12&gt;=7,"",IF(OR(BT98-N(0)&gt;0.05,N(Q98)&gt;0),ROUNDDOWN(ROUND(BT98,6),0)&amp;"%"&amp;IF(CJ98="",""," / "&amp;CJ98&amp;"%"),IF(AND(N(0)&gt;=99.95,CJ98&lt;&gt;"",N(CJ98)&lt;100),"Pend. "&amp;CJ98&amp;"%",""))))</f>
        <v/>
      </c>
      <c r="AN98" s="40" t="str">
        <f aca="false">IF(OR(OR(NOT(AND(ISNUMBER(E98),ISNUMBER(F98))),$J$2=""),2&gt;MAX(1,Reprogramaciones!$U$15)),"",IF(Reprogramaciones!L$12&gt;=7,"",IF(OR(BU98-N(BT98)&gt;0.05,N(R98)&gt;0),ROUNDDOWN(ROUND(BU98,6),0)&amp;"%"&amp;IF(CK98="",""," / "&amp;CK98&amp;"%"),IF(AND(N(BT98)&gt;=99.95,CK98&lt;&gt;"",N(CK98)&lt;100),"Pend. "&amp;CK98&amp;"%",""))))</f>
        <v/>
      </c>
      <c r="AO98" s="40" t="str">
        <f aca="false">IF(OR(OR(NOT(AND(ISNUMBER(E98),ISNUMBER(F98))),$J$2=""),3&gt;MAX(1,Reprogramaciones!$U$15)),"",IF(Reprogramaciones!M$12&gt;=7,"",IF(OR(BV98-N(BU98)&gt;0.05,N(S98)&gt;0),ROUNDDOWN(ROUND(BV98,6),0)&amp;"%"&amp;IF(CL98="",""," / "&amp;CL98&amp;"%"),IF(AND(N(BU98)&gt;=99.95,CL98&lt;&gt;"",N(CL98)&lt;100),"Pend. "&amp;CL98&amp;"%",""))))</f>
        <v/>
      </c>
      <c r="AP98" s="40" t="str">
        <f aca="false">IF(OR(OR(NOT(AND(ISNUMBER(E98),ISNUMBER(F98))),$J$2=""),4&gt;MAX(1,Reprogramaciones!$U$15)),"",IF(Reprogramaciones!N$12&gt;=7,"",IF(OR(BW98-N(BV98)&gt;0.05,N(T98)&gt;0),ROUNDDOWN(ROUND(BW98,6),0)&amp;"%"&amp;IF(CM98="",""," / "&amp;CM98&amp;"%"),IF(AND(N(BV98)&gt;=99.95,CM98&lt;&gt;"",N(CM98)&lt;100),"Pend. "&amp;CM98&amp;"%",""))))</f>
        <v/>
      </c>
      <c r="AQ98" s="40" t="str">
        <f aca="false">IF(OR(OR(NOT(AND(ISNUMBER(E98),ISNUMBER(F98))),$J$2=""),5&gt;MAX(1,Reprogramaciones!$U$15)),"",IF(Reprogramaciones!O$12&gt;=7,"",IF(OR(BX98-N(BW98)&gt;0.05,N(U98)&gt;0),ROUNDDOWN(ROUND(BX98,6),0)&amp;"%"&amp;IF(CN98="",""," / "&amp;CN98&amp;"%"),IF(AND(N(BW98)&gt;=99.95,CN98&lt;&gt;"",N(CN98)&lt;100),"Pend. "&amp;CN98&amp;"%",""))))</f>
        <v/>
      </c>
      <c r="AR98" s="40" t="str">
        <f aca="false">IF(OR(OR(NOT(AND(ISNUMBER(E98),ISNUMBER(F98))),$J$2=""),6&gt;MAX(1,Reprogramaciones!$U$15)),"",IF(Reprogramaciones!P$12&gt;=7,"",IF(OR(BY98-N(BX98)&gt;0.05,N(V98)&gt;0),ROUNDDOWN(ROUND(BY98,6),0)&amp;"%"&amp;IF(CO98="",""," / "&amp;CO98&amp;"%"),IF(AND(N(BX98)&gt;=99.95,CO98&lt;&gt;"",N(CO98)&lt;100),"Pend. "&amp;CO98&amp;"%",""))))</f>
        <v/>
      </c>
      <c r="AS98" s="40" t="str">
        <f aca="false">IF(OR(OR(NOT(AND(ISNUMBER(E98),ISNUMBER(F98))),$J$2=""),7&gt;MAX(1,Reprogramaciones!$U$15)),"",IF(Reprogramaciones!Q$12&gt;=7,"",IF(OR(BZ98-N(BY98)&gt;0.05,N(W98)&gt;0),ROUNDDOWN(ROUND(BZ98,6),0)&amp;"%"&amp;IF(CP98="",""," / "&amp;CP98&amp;"%"),IF(AND(N(BY98)&gt;=99.95,CP98&lt;&gt;"",N(CP98)&lt;100),"Pend. "&amp;CP98&amp;"%",""))))</f>
        <v/>
      </c>
      <c r="AT98" s="40" t="str">
        <f aca="false">IF(OR(OR(NOT(AND(ISNUMBER(E98),ISNUMBER(F98))),$J$2=""),8&gt;MAX(1,Reprogramaciones!$U$15)),"",IF(Reprogramaciones!R$12&gt;=7,"",IF(OR(CA98-N(BZ98)&gt;0.05,N(X98)&gt;0),ROUNDDOWN(ROUND(CA98,6),0)&amp;"%"&amp;IF(CQ98="",""," / "&amp;CQ98&amp;"%"),IF(AND(N(BZ98)&gt;=99.95,CQ98&lt;&gt;"",N(CQ98)&lt;100),"Pend. "&amp;CQ98&amp;"%",""))))</f>
        <v/>
      </c>
      <c r="AU98" s="40" t="str">
        <f aca="false">IF(OR(OR(NOT(AND(ISNUMBER(E98),ISNUMBER(F98))),$J$2=""),9&gt;MAX(1,Reprogramaciones!$U$15)),"",IF(Reprogramaciones!S$12&gt;=7,"",IF(OR(CB98-N(CA98)&gt;0.05,N(Y98)&gt;0),ROUNDDOWN(ROUND(CB98,6),0)&amp;"%"&amp;IF(CR98="",""," / "&amp;CR98&amp;"%"),IF(AND(N(CA98)&gt;=99.95,CR98&lt;&gt;"",N(CR98)&lt;100),"Pend. "&amp;CR98&amp;"%",""))))</f>
        <v/>
      </c>
      <c r="AV98" s="40" t="str">
        <f aca="false">IF(OR(OR(NOT(AND(ISNUMBER(E98),ISNUMBER(F98))),$J$2=""),10&gt;MAX(1,Reprogramaciones!$U$15)),"",IF(Reprogramaciones!T$12&gt;=7,"",IF(OR(CC98-N(CB98)&gt;0.05,N(Z98)&gt;0),ROUNDDOWN(ROUND(CC98,6),0)&amp;"%"&amp;IF(CS98="",""," / "&amp;CS98&amp;"%"),IF(AND(N(CB98)&gt;=99.95,CS98&lt;&gt;"",N(CS98)&lt;100),"Pend. "&amp;CS98&amp;"%",""))))</f>
        <v/>
      </c>
      <c r="AW98" s="40" t="str">
        <f aca="false">IF(OR(OR(NOT(AND(ISNUMBER(E98),ISNUMBER(F98))),$J$2=""),11&gt;MAX(1,Reprogramaciones!$U$15)),"",IF(Reprogramaciones!U$12&gt;=7,"",IF(OR(CD98-N(CC98)&gt;0.05,N(AA98)&gt;0),ROUNDDOWN(ROUND(CD98,6),0)&amp;"%"&amp;IF(CT98="",""," / "&amp;CT98&amp;"%"),IF(AND(N(CC98)&gt;=99.95,CT98&lt;&gt;"",N(CT98)&lt;100),"Pend. "&amp;CT98&amp;"%",""))))</f>
        <v/>
      </c>
      <c r="AX98" s="40" t="str">
        <f aca="false">IF(OR(OR(NOT(AND(ISNUMBER(E98),ISNUMBER(F98))),$J$2=""),12&gt;MAX(1,Reprogramaciones!$U$15)),"",IF(Reprogramaciones!V$12&gt;=7,"",IF(OR(CE98-N(CD98)&gt;0.05,N(AB98)&gt;0),ROUNDDOWN(ROUND(CE98,6),0)&amp;"%"&amp;IF(CU98="",""," / "&amp;CU98&amp;"%"),IF(AND(N(CD98)&gt;=99.95,CU98&lt;&gt;"",N(CU98)&lt;100),"Pend. "&amp;CU98&amp;"%",""))))</f>
        <v/>
      </c>
      <c r="AY98" s="40" t="str">
        <f aca="false">IF(OR(OR(NOT(AND(ISNUMBER(E98),ISNUMBER(F98))),$J$2=""),13&gt;MAX(1,Reprogramaciones!$U$15)),"",IF(Reprogramaciones!W$12&gt;=7,"",IF(OR(CF98-N(CE98)&gt;0.05,N(AC98)&gt;0),ROUNDDOWN(ROUND(CF98,6),0)&amp;"%"&amp;IF(CV98="",""," / "&amp;CV98&amp;"%"),IF(AND(N(CE98)&gt;=99.95,CV98&lt;&gt;"",N(CV98)&lt;100),"Pend. "&amp;CV98&amp;"%",""))))</f>
        <v/>
      </c>
      <c r="AZ98" s="40" t="str">
        <f aca="false">IF(OR(OR(NOT(AND(ISNUMBER(E98),ISNUMBER(F98))),$J$2=""),14&gt;MAX(1,Reprogramaciones!$U$15)),"",IF(Reprogramaciones!X$12&gt;=7,"",IF(OR(CG98-N(CF98)&gt;0.05,N(AD98)&gt;0),ROUNDDOWN(ROUND(CG98,6),0)&amp;"%"&amp;IF(CW98="",""," / "&amp;CW98&amp;"%"),IF(AND(N(CF98)&gt;=99.95,CW98&lt;&gt;"",N(CW98)&lt;100),"Pend. "&amp;CW98&amp;"%",""))))</f>
        <v/>
      </c>
      <c r="BA98" s="40" t="str">
        <f aca="false">IF(OR(OR(NOT(AND(ISNUMBER(E98),ISNUMBER(F98))),$J$2=""),15&gt;MAX(1,Reprogramaciones!$U$15)),"",IF(Reprogramaciones!Y$12&gt;=7,"",IF(OR(CH98-N(CG98)&gt;0.05,N(AE98)&gt;0),ROUNDDOWN(ROUND(CH98,6),0)&amp;"%"&amp;IF(CX98="",""," / "&amp;CX98&amp;"%"),IF(AND(N(CG98)&gt;=99.95,CX98&lt;&gt;"",N(CX98)&lt;100),"Pend. "&amp;CX98&amp;"%",""))))</f>
        <v/>
      </c>
      <c r="BB98" s="40" t="str">
        <f aca="false">IF(OR(OR(NOT(AND(ISNUMBER(E98),ISNUMBER(F98))),$J$2=""),16&gt;MAX(1,Reprogramaciones!$U$15)),"",IF(Reprogramaciones!Z$12&gt;=7,"",IF(OR(CI98-N(CH98)&gt;0.05,N(AF98)&gt;0),ROUNDDOWN(ROUND(CI98,6),0)&amp;"%"&amp;IF(CY98="",""," / "&amp;CY98&amp;"%"),IF(AND(N(CH98)&gt;=99.95,CY98&lt;&gt;"",N(CY98)&lt;100),"Pend. "&amp;CY98&amp;"%",""))))</f>
        <v/>
      </c>
      <c r="BC98" s="31" t="n">
        <f aca="false">IF(AND(ISNUMBER(E98),ISNUMBER(F98)),MAX(1,NETWORKDAYS.INTL(E98,F98,11)),0)</f>
        <v>0</v>
      </c>
      <c r="BD98" s="1" t="str">
        <f aca="false">IF(OR(NOT(AND(ISNUMBER(E98),ISNUMBER(F98))),$J$2=""),"",MIN(100,ROUND(SUM($G98:G98),1)))</f>
        <v/>
      </c>
      <c r="BE98" s="1" t="str">
        <f aca="false">IF(OR(NOT(AND(ISNUMBER(E98),ISNUMBER(F98))),$J$2=""),"",MIN(100,ROUND(SUM($G98:H98),1)))</f>
        <v/>
      </c>
      <c r="BF98" s="1" t="str">
        <f aca="false">IF(OR(NOT(AND(ISNUMBER(E98),ISNUMBER(F98))),$J$2=""),"",MIN(100,ROUND(SUM($G98:I98),1)))</f>
        <v/>
      </c>
      <c r="BG98" s="1" t="str">
        <f aca="false">IF(OR(NOT(AND(ISNUMBER(E98),ISNUMBER(F98))),$J$2=""),"",MIN(100,ROUND(SUM($G98:J98),1)))</f>
        <v/>
      </c>
      <c r="BH98" s="1" t="str">
        <f aca="false">IF(OR(NOT(AND(ISNUMBER(E98),ISNUMBER(F98))),$J$2=""),"",MIN(100,ROUND(SUM($G98:K98),1)))</f>
        <v/>
      </c>
      <c r="BI98" s="1" t="str">
        <f aca="false">IF(OR(NOT(AND(ISNUMBER(E98),ISNUMBER(F98))),$J$2=""),"",MIN(100,ROUND(SUM($G98:L98),1)))</f>
        <v/>
      </c>
      <c r="BJ98" s="1" t="str">
        <f aca="false">IF(OR(NOT(AND(ISNUMBER(E98),ISNUMBER(F98))),$J$2=""),"",MIN(100,ROUND(SUM($G98:M98),1)))</f>
        <v/>
      </c>
      <c r="BK98" s="1" t="str">
        <f aca="false">IF(OR(NOT(AND(ISNUMBER(E98),ISNUMBER(F98))),$J$2=""),"",MIN(100,ROUND(SUM($G98:N98),1)))</f>
        <v/>
      </c>
      <c r="BL98" s="1" t="str">
        <f aca="false">IF(OR(NOT(AND(ISNUMBER(E98),ISNUMBER(F98))),$J$2=""),"",MIN(100,ROUND(SUM($G98:O98),1)))</f>
        <v/>
      </c>
      <c r="BM98" s="1" t="str">
        <f aca="false">IF(OR(NOT(AND(ISNUMBER(E98),ISNUMBER(F98))),$J$2=""),"",MIN(100,ROUND(SUM($G98:P98),1)))</f>
        <v/>
      </c>
      <c r="BN98" s="1" t="str">
        <f aca="false">IF(OR(NOT(AND(ISNUMBER(E98),ISNUMBER(F98))),$J$2=""),"",MIN(100,ROUND(SUM($G98:P98),1)))</f>
        <v/>
      </c>
      <c r="BO98" s="1" t="str">
        <f aca="false">IF(OR(NOT(AND(ISNUMBER(E98),ISNUMBER(F98))),$J$2=""),"",MIN(100,ROUND(SUM($G98:P98),1)))</f>
        <v/>
      </c>
      <c r="BP98" s="1" t="str">
        <f aca="false">IF(OR(NOT(AND(ISNUMBER(E98),ISNUMBER(F98))),$J$2=""),"",MIN(100,ROUND(SUM($G98:P98),1)))</f>
        <v/>
      </c>
      <c r="BQ98" s="1" t="str">
        <f aca="false">IF(OR(NOT(AND(ISNUMBER(E98),ISNUMBER(F98))),$J$2=""),"",MIN(100,ROUND(SUM($G98:P98),1)))</f>
        <v/>
      </c>
      <c r="BR98" s="1" t="str">
        <f aca="false">IF(OR(NOT(AND(ISNUMBER(E98),ISNUMBER(F98))),$J$2=""),"",MIN(100,ROUND(SUM($G98:P98),1)))</f>
        <v/>
      </c>
      <c r="BS98" s="1" t="str">
        <f aca="false">IF(OR(NOT(AND(ISNUMBER(E98),ISNUMBER(F98))),$J$2=""),"",MIN(100,ROUND(SUM($G98:P98),1)))</f>
        <v/>
      </c>
      <c r="BT98" s="1" t="str">
        <f aca="false">IF(OR(NOT(AND(ISNUMBER(E98),ISNUMBER(F98))),$J$2=""),"",IF(Reprogramaciones!K$13&lt;Reprogramaciones!$T$15,0,IF(Reprogramaciones!K$14&gt;10,MIN(100,SUM($G98:$P98)),MIN(100,SUMPRODUCT((COLUMN($G98:$P98)-COLUMN($G98)+1&lt;Reprogramaciones!K$14)*$G98:$P98)+N(INDEX($G98:$P98,1,Reprogramaciones!K$14))*IF(Reprogramaciones!K$13&gt;=(Reprogramaciones!$T$15+7*(Reprogramaciones!K$14-1))+6,1,IF(MAX(0,NETWORKDAYS.INTL(MAX(E98,(Reprogramaciones!$T$15+7*(Reprogramaciones!K$14-1))),MIN(F98,(Reprogramaciones!$T$15+7*(Reprogramaciones!K$14-1))+6),11))=0,0,MAX(0,NETWORKDAYS.INTL(MAX(E98,(Reprogramaciones!$T$15+7*(Reprogramaciones!K$14-1))),MIN(F98,Reprogramaciones!K$13),11))/MAX(0,NETWORKDAYS.INTL(MAX(E98,(Reprogramaciones!$T$15+7*(Reprogramaciones!K$14-1))),MIN(F98,(Reprogramaciones!$T$15+7*(Reprogramaciones!K$14-1))+6),11))))))))</f>
        <v/>
      </c>
      <c r="BU98" s="1" t="str">
        <f aca="false">IF(OR(NOT(AND(ISNUMBER(E98),ISNUMBER(F98))),$J$2=""),"",IF(Reprogramaciones!L$13&lt;Reprogramaciones!$T$15,0,IF(Reprogramaciones!L$14&gt;10,MIN(100,SUM($G98:$P98)),MIN(100,SUMPRODUCT((COLUMN($G98:$P98)-COLUMN($G98)+1&lt;Reprogramaciones!L$14)*$G98:$P98)+N(INDEX($G98:$P98,1,Reprogramaciones!L$14))*IF(Reprogramaciones!L$13&gt;=(Reprogramaciones!$T$15+7*(Reprogramaciones!L$14-1))+6,1,IF(MAX(0,NETWORKDAYS.INTL(MAX(E98,(Reprogramaciones!$T$15+7*(Reprogramaciones!L$14-1))),MIN(F98,(Reprogramaciones!$T$15+7*(Reprogramaciones!L$14-1))+6),11))=0,0,MAX(0,NETWORKDAYS.INTL(MAX(E98,(Reprogramaciones!$T$15+7*(Reprogramaciones!L$14-1))),MIN(F98,Reprogramaciones!L$13),11))/MAX(0,NETWORKDAYS.INTL(MAX(E98,(Reprogramaciones!$T$15+7*(Reprogramaciones!L$14-1))),MIN(F98,(Reprogramaciones!$T$15+7*(Reprogramaciones!L$14-1))+6),11))))))))</f>
        <v/>
      </c>
      <c r="BV98" s="1" t="str">
        <f aca="false">IF(OR(NOT(AND(ISNUMBER(E98),ISNUMBER(F98))),$J$2=""),"",IF(Reprogramaciones!M$13&lt;Reprogramaciones!$T$15,0,IF(Reprogramaciones!M$14&gt;10,MIN(100,SUM($G98:$P98)),MIN(100,SUMPRODUCT((COLUMN($G98:$P98)-COLUMN($G98)+1&lt;Reprogramaciones!M$14)*$G98:$P98)+N(INDEX($G98:$P98,1,Reprogramaciones!M$14))*IF(Reprogramaciones!M$13&gt;=(Reprogramaciones!$T$15+7*(Reprogramaciones!M$14-1))+6,1,IF(MAX(0,NETWORKDAYS.INTL(MAX(E98,(Reprogramaciones!$T$15+7*(Reprogramaciones!M$14-1))),MIN(F98,(Reprogramaciones!$T$15+7*(Reprogramaciones!M$14-1))+6),11))=0,0,MAX(0,NETWORKDAYS.INTL(MAX(E98,(Reprogramaciones!$T$15+7*(Reprogramaciones!M$14-1))),MIN(F98,Reprogramaciones!M$13),11))/MAX(0,NETWORKDAYS.INTL(MAX(E98,(Reprogramaciones!$T$15+7*(Reprogramaciones!M$14-1))),MIN(F98,(Reprogramaciones!$T$15+7*(Reprogramaciones!M$14-1))+6),11))))))))</f>
        <v/>
      </c>
      <c r="BW98" s="1" t="str">
        <f aca="false">IF(OR(NOT(AND(ISNUMBER(E98),ISNUMBER(F98))),$J$2=""),"",IF(Reprogramaciones!N$13&lt;Reprogramaciones!$T$15,0,IF(Reprogramaciones!N$14&gt;10,MIN(100,SUM($G98:$P98)),MIN(100,SUMPRODUCT((COLUMN($G98:$P98)-COLUMN($G98)+1&lt;Reprogramaciones!N$14)*$G98:$P98)+N(INDEX($G98:$P98,1,Reprogramaciones!N$14))*IF(Reprogramaciones!N$13&gt;=(Reprogramaciones!$T$15+7*(Reprogramaciones!N$14-1))+6,1,IF(MAX(0,NETWORKDAYS.INTL(MAX(E98,(Reprogramaciones!$T$15+7*(Reprogramaciones!N$14-1))),MIN(F98,(Reprogramaciones!$T$15+7*(Reprogramaciones!N$14-1))+6),11))=0,0,MAX(0,NETWORKDAYS.INTL(MAX(E98,(Reprogramaciones!$T$15+7*(Reprogramaciones!N$14-1))),MIN(F98,Reprogramaciones!N$13),11))/MAX(0,NETWORKDAYS.INTL(MAX(E98,(Reprogramaciones!$T$15+7*(Reprogramaciones!N$14-1))),MIN(F98,(Reprogramaciones!$T$15+7*(Reprogramaciones!N$14-1))+6),11))))))))</f>
        <v/>
      </c>
      <c r="BX98" s="1" t="str">
        <f aca="false">IF(OR(NOT(AND(ISNUMBER(E98),ISNUMBER(F98))),$J$2=""),"",IF(Reprogramaciones!O$13&lt;Reprogramaciones!$T$15,0,IF(Reprogramaciones!O$14&gt;10,MIN(100,SUM($G98:$P98)),MIN(100,SUMPRODUCT((COLUMN($G98:$P98)-COLUMN($G98)+1&lt;Reprogramaciones!O$14)*$G98:$P98)+N(INDEX($G98:$P98,1,Reprogramaciones!O$14))*IF(Reprogramaciones!O$13&gt;=(Reprogramaciones!$T$15+7*(Reprogramaciones!O$14-1))+6,1,IF(MAX(0,NETWORKDAYS.INTL(MAX(E98,(Reprogramaciones!$T$15+7*(Reprogramaciones!O$14-1))),MIN(F98,(Reprogramaciones!$T$15+7*(Reprogramaciones!O$14-1))+6),11))=0,0,MAX(0,NETWORKDAYS.INTL(MAX(E98,(Reprogramaciones!$T$15+7*(Reprogramaciones!O$14-1))),MIN(F98,Reprogramaciones!O$13),11))/MAX(0,NETWORKDAYS.INTL(MAX(E98,(Reprogramaciones!$T$15+7*(Reprogramaciones!O$14-1))),MIN(F98,(Reprogramaciones!$T$15+7*(Reprogramaciones!O$14-1))+6),11))))))))</f>
        <v/>
      </c>
      <c r="BY98" s="1" t="str">
        <f aca="false">IF(OR(NOT(AND(ISNUMBER(E98),ISNUMBER(F98))),$J$2=""),"",IF(Reprogramaciones!P$13&lt;Reprogramaciones!$T$15,0,IF(Reprogramaciones!P$14&gt;10,MIN(100,SUM($G98:$P98)),MIN(100,SUMPRODUCT((COLUMN($G98:$P98)-COLUMN($G98)+1&lt;Reprogramaciones!P$14)*$G98:$P98)+N(INDEX($G98:$P98,1,Reprogramaciones!P$14))*IF(Reprogramaciones!P$13&gt;=(Reprogramaciones!$T$15+7*(Reprogramaciones!P$14-1))+6,1,IF(MAX(0,NETWORKDAYS.INTL(MAX(E98,(Reprogramaciones!$T$15+7*(Reprogramaciones!P$14-1))),MIN(F98,(Reprogramaciones!$T$15+7*(Reprogramaciones!P$14-1))+6),11))=0,0,MAX(0,NETWORKDAYS.INTL(MAX(E98,(Reprogramaciones!$T$15+7*(Reprogramaciones!P$14-1))),MIN(F98,Reprogramaciones!P$13),11))/MAX(0,NETWORKDAYS.INTL(MAX(E98,(Reprogramaciones!$T$15+7*(Reprogramaciones!P$14-1))),MIN(F98,(Reprogramaciones!$T$15+7*(Reprogramaciones!P$14-1))+6),11))))))))</f>
        <v/>
      </c>
      <c r="BZ98" s="1" t="str">
        <f aca="false">IF(OR(NOT(AND(ISNUMBER(E98),ISNUMBER(F98))),$J$2=""),"",IF(Reprogramaciones!Q$13&lt;Reprogramaciones!$T$15,0,IF(Reprogramaciones!Q$14&gt;10,MIN(100,SUM($G98:$P98)),MIN(100,SUMPRODUCT((COLUMN($G98:$P98)-COLUMN($G98)+1&lt;Reprogramaciones!Q$14)*$G98:$P98)+N(INDEX($G98:$P98,1,Reprogramaciones!Q$14))*IF(Reprogramaciones!Q$13&gt;=(Reprogramaciones!$T$15+7*(Reprogramaciones!Q$14-1))+6,1,IF(MAX(0,NETWORKDAYS.INTL(MAX(E98,(Reprogramaciones!$T$15+7*(Reprogramaciones!Q$14-1))),MIN(F98,(Reprogramaciones!$T$15+7*(Reprogramaciones!Q$14-1))+6),11))=0,0,MAX(0,NETWORKDAYS.INTL(MAX(E98,(Reprogramaciones!$T$15+7*(Reprogramaciones!Q$14-1))),MIN(F98,Reprogramaciones!Q$13),11))/MAX(0,NETWORKDAYS.INTL(MAX(E98,(Reprogramaciones!$T$15+7*(Reprogramaciones!Q$14-1))),MIN(F98,(Reprogramaciones!$T$15+7*(Reprogramaciones!Q$14-1))+6),11))))))))</f>
        <v/>
      </c>
      <c r="CA98" s="1" t="str">
        <f aca="false">IF(OR(NOT(AND(ISNUMBER(E98),ISNUMBER(F98))),$J$2=""),"",IF(Reprogramaciones!R$13&lt;Reprogramaciones!$T$15,0,IF(Reprogramaciones!R$14&gt;10,MIN(100,SUM($G98:$P98)),MIN(100,SUMPRODUCT((COLUMN($G98:$P98)-COLUMN($G98)+1&lt;Reprogramaciones!R$14)*$G98:$P98)+N(INDEX($G98:$P98,1,Reprogramaciones!R$14))*IF(Reprogramaciones!R$13&gt;=(Reprogramaciones!$T$15+7*(Reprogramaciones!R$14-1))+6,1,IF(MAX(0,NETWORKDAYS.INTL(MAX(E98,(Reprogramaciones!$T$15+7*(Reprogramaciones!R$14-1))),MIN(F98,(Reprogramaciones!$T$15+7*(Reprogramaciones!R$14-1))+6),11))=0,0,MAX(0,NETWORKDAYS.INTL(MAX(E98,(Reprogramaciones!$T$15+7*(Reprogramaciones!R$14-1))),MIN(F98,Reprogramaciones!R$13),11))/MAX(0,NETWORKDAYS.INTL(MAX(E98,(Reprogramaciones!$T$15+7*(Reprogramaciones!R$14-1))),MIN(F98,(Reprogramaciones!$T$15+7*(Reprogramaciones!R$14-1))+6),11))))))))</f>
        <v/>
      </c>
      <c r="CB98" s="1" t="str">
        <f aca="false">IF(OR(NOT(AND(ISNUMBER(E98),ISNUMBER(F98))),$J$2=""),"",IF(Reprogramaciones!S$13&lt;Reprogramaciones!$T$15,0,IF(Reprogramaciones!S$14&gt;10,MIN(100,SUM($G98:$P98)),MIN(100,SUMPRODUCT((COLUMN($G98:$P98)-COLUMN($G98)+1&lt;Reprogramaciones!S$14)*$G98:$P98)+N(INDEX($G98:$P98,1,Reprogramaciones!S$14))*IF(Reprogramaciones!S$13&gt;=(Reprogramaciones!$T$15+7*(Reprogramaciones!S$14-1))+6,1,IF(MAX(0,NETWORKDAYS.INTL(MAX(E98,(Reprogramaciones!$T$15+7*(Reprogramaciones!S$14-1))),MIN(F98,(Reprogramaciones!$T$15+7*(Reprogramaciones!S$14-1))+6),11))=0,0,MAX(0,NETWORKDAYS.INTL(MAX(E98,(Reprogramaciones!$T$15+7*(Reprogramaciones!S$14-1))),MIN(F98,Reprogramaciones!S$13),11))/MAX(0,NETWORKDAYS.INTL(MAX(E98,(Reprogramaciones!$T$15+7*(Reprogramaciones!S$14-1))),MIN(F98,(Reprogramaciones!$T$15+7*(Reprogramaciones!S$14-1))+6),11))))))))</f>
        <v/>
      </c>
      <c r="CC98" s="1" t="str">
        <f aca="false">IF(OR(NOT(AND(ISNUMBER(E98),ISNUMBER(F98))),$J$2=""),"",IF(Reprogramaciones!T$13&lt;Reprogramaciones!$T$15,0,IF(Reprogramaciones!T$14&gt;10,MIN(100,SUM($G98:$P98)),MIN(100,SUMPRODUCT((COLUMN($G98:$P98)-COLUMN($G98)+1&lt;Reprogramaciones!T$14)*$G98:$P98)+N(INDEX($G98:$P98,1,Reprogramaciones!T$14))*IF(Reprogramaciones!T$13&gt;=(Reprogramaciones!$T$15+7*(Reprogramaciones!T$14-1))+6,1,IF(MAX(0,NETWORKDAYS.INTL(MAX(E98,(Reprogramaciones!$T$15+7*(Reprogramaciones!T$14-1))),MIN(F98,(Reprogramaciones!$T$15+7*(Reprogramaciones!T$14-1))+6),11))=0,0,MAX(0,NETWORKDAYS.INTL(MAX(E98,(Reprogramaciones!$T$15+7*(Reprogramaciones!T$14-1))),MIN(F98,Reprogramaciones!T$13),11))/MAX(0,NETWORKDAYS.INTL(MAX(E98,(Reprogramaciones!$T$15+7*(Reprogramaciones!T$14-1))),MIN(F98,(Reprogramaciones!$T$15+7*(Reprogramaciones!T$14-1))+6),11))))))))</f>
        <v/>
      </c>
      <c r="CD98" s="1" t="str">
        <f aca="false">IF(OR(NOT(AND(ISNUMBER(E98),ISNUMBER(F98))),$J$2=""),"",IF(Reprogramaciones!U$13&lt;Reprogramaciones!$T$15,0,IF(Reprogramaciones!U$14&gt;10,MIN(100,SUM($G98:$P98)),MIN(100,SUMPRODUCT((COLUMN($G98:$P98)-COLUMN($G98)+1&lt;Reprogramaciones!U$14)*$G98:$P98)+N(INDEX($G98:$P98,1,Reprogramaciones!U$14))*IF(Reprogramaciones!U$13&gt;=(Reprogramaciones!$T$15+7*(Reprogramaciones!U$14-1))+6,1,IF(MAX(0,NETWORKDAYS.INTL(MAX(E98,(Reprogramaciones!$T$15+7*(Reprogramaciones!U$14-1))),MIN(F98,(Reprogramaciones!$T$15+7*(Reprogramaciones!U$14-1))+6),11))=0,0,MAX(0,NETWORKDAYS.INTL(MAX(E98,(Reprogramaciones!$T$15+7*(Reprogramaciones!U$14-1))),MIN(F98,Reprogramaciones!U$13),11))/MAX(0,NETWORKDAYS.INTL(MAX(E98,(Reprogramaciones!$T$15+7*(Reprogramaciones!U$14-1))),MIN(F98,(Reprogramaciones!$T$15+7*(Reprogramaciones!U$14-1))+6),11))))))))</f>
        <v/>
      </c>
      <c r="CE98" s="1" t="str">
        <f aca="false">IF(OR(NOT(AND(ISNUMBER(E98),ISNUMBER(F98))),$J$2=""),"",IF(Reprogramaciones!V$13&lt;Reprogramaciones!$T$15,0,IF(Reprogramaciones!V$14&gt;10,MIN(100,SUM($G98:$P98)),MIN(100,SUMPRODUCT((COLUMN($G98:$P98)-COLUMN($G98)+1&lt;Reprogramaciones!V$14)*$G98:$P98)+N(INDEX($G98:$P98,1,Reprogramaciones!V$14))*IF(Reprogramaciones!V$13&gt;=(Reprogramaciones!$T$15+7*(Reprogramaciones!V$14-1))+6,1,IF(MAX(0,NETWORKDAYS.INTL(MAX(E98,(Reprogramaciones!$T$15+7*(Reprogramaciones!V$14-1))),MIN(F98,(Reprogramaciones!$T$15+7*(Reprogramaciones!V$14-1))+6),11))=0,0,MAX(0,NETWORKDAYS.INTL(MAX(E98,(Reprogramaciones!$T$15+7*(Reprogramaciones!V$14-1))),MIN(F98,Reprogramaciones!V$13),11))/MAX(0,NETWORKDAYS.INTL(MAX(E98,(Reprogramaciones!$T$15+7*(Reprogramaciones!V$14-1))),MIN(F98,(Reprogramaciones!$T$15+7*(Reprogramaciones!V$14-1))+6),11))))))))</f>
        <v/>
      </c>
      <c r="CF98" s="1" t="str">
        <f aca="false">IF(OR(NOT(AND(ISNUMBER(E98),ISNUMBER(F98))),$J$2=""),"",IF(Reprogramaciones!W$13&lt;Reprogramaciones!$T$15,0,IF(Reprogramaciones!W$14&gt;10,MIN(100,SUM($G98:$P98)),MIN(100,SUMPRODUCT((COLUMN($G98:$P98)-COLUMN($G98)+1&lt;Reprogramaciones!W$14)*$G98:$P98)+N(INDEX($G98:$P98,1,Reprogramaciones!W$14))*IF(Reprogramaciones!W$13&gt;=(Reprogramaciones!$T$15+7*(Reprogramaciones!W$14-1))+6,1,IF(MAX(0,NETWORKDAYS.INTL(MAX(E98,(Reprogramaciones!$T$15+7*(Reprogramaciones!W$14-1))),MIN(F98,(Reprogramaciones!$T$15+7*(Reprogramaciones!W$14-1))+6),11))=0,0,MAX(0,NETWORKDAYS.INTL(MAX(E98,(Reprogramaciones!$T$15+7*(Reprogramaciones!W$14-1))),MIN(F98,Reprogramaciones!W$13),11))/MAX(0,NETWORKDAYS.INTL(MAX(E98,(Reprogramaciones!$T$15+7*(Reprogramaciones!W$14-1))),MIN(F98,(Reprogramaciones!$T$15+7*(Reprogramaciones!W$14-1))+6),11))))))))</f>
        <v/>
      </c>
      <c r="CG98" s="1" t="str">
        <f aca="false">IF(OR(NOT(AND(ISNUMBER(E98),ISNUMBER(F98))),$J$2=""),"",IF(Reprogramaciones!X$13&lt;Reprogramaciones!$T$15,0,IF(Reprogramaciones!X$14&gt;10,MIN(100,SUM($G98:$P98)),MIN(100,SUMPRODUCT((COLUMN($G98:$P98)-COLUMN($G98)+1&lt;Reprogramaciones!X$14)*$G98:$P98)+N(INDEX($G98:$P98,1,Reprogramaciones!X$14))*IF(Reprogramaciones!X$13&gt;=(Reprogramaciones!$T$15+7*(Reprogramaciones!X$14-1))+6,1,IF(MAX(0,NETWORKDAYS.INTL(MAX(E98,(Reprogramaciones!$T$15+7*(Reprogramaciones!X$14-1))),MIN(F98,(Reprogramaciones!$T$15+7*(Reprogramaciones!X$14-1))+6),11))=0,0,MAX(0,NETWORKDAYS.INTL(MAX(E98,(Reprogramaciones!$T$15+7*(Reprogramaciones!X$14-1))),MIN(F98,Reprogramaciones!X$13),11))/MAX(0,NETWORKDAYS.INTL(MAX(E98,(Reprogramaciones!$T$15+7*(Reprogramaciones!X$14-1))),MIN(F98,(Reprogramaciones!$T$15+7*(Reprogramaciones!X$14-1))+6),11))))))))</f>
        <v/>
      </c>
      <c r="CH98" s="1" t="str">
        <f aca="false">IF(OR(NOT(AND(ISNUMBER(E98),ISNUMBER(F98))),$J$2=""),"",IF(Reprogramaciones!Y$13&lt;Reprogramaciones!$T$15,0,IF(Reprogramaciones!Y$14&gt;10,MIN(100,SUM($G98:$P98)),MIN(100,SUMPRODUCT((COLUMN($G98:$P98)-COLUMN($G98)+1&lt;Reprogramaciones!Y$14)*$G98:$P98)+N(INDEX($G98:$P98,1,Reprogramaciones!Y$14))*IF(Reprogramaciones!Y$13&gt;=(Reprogramaciones!$T$15+7*(Reprogramaciones!Y$14-1))+6,1,IF(MAX(0,NETWORKDAYS.INTL(MAX(E98,(Reprogramaciones!$T$15+7*(Reprogramaciones!Y$14-1))),MIN(F98,(Reprogramaciones!$T$15+7*(Reprogramaciones!Y$14-1))+6),11))=0,0,MAX(0,NETWORKDAYS.INTL(MAX(E98,(Reprogramaciones!$T$15+7*(Reprogramaciones!Y$14-1))),MIN(F98,Reprogramaciones!Y$13),11))/MAX(0,NETWORKDAYS.INTL(MAX(E98,(Reprogramaciones!$T$15+7*(Reprogramaciones!Y$14-1))),MIN(F98,(Reprogramaciones!$T$15+7*(Reprogramaciones!Y$14-1))+6),11))))))))</f>
        <v/>
      </c>
      <c r="CI98" s="1" t="str">
        <f aca="false">IF(OR(NOT(AND(ISNUMBER(E98),ISNUMBER(F98))),$J$2=""),"",IF(Reprogramaciones!Z$13&lt;Reprogramaciones!$T$15,0,IF(Reprogramaciones!Z$14&gt;10,MIN(100,SUM($G98:$P98)),MIN(100,SUMPRODUCT((COLUMN($G98:$P98)-COLUMN($G98)+1&lt;Reprogramaciones!Z$14)*$G98:$P98)+N(INDEX($G98:$P98,1,Reprogramaciones!Z$14))*IF(Reprogramaciones!Z$13&gt;=(Reprogramaciones!$T$15+7*(Reprogramaciones!Z$14-1))+6,1,IF(MAX(0,NETWORKDAYS.INTL(MAX(E98,(Reprogramaciones!$T$15+7*(Reprogramaciones!Z$14-1))),MIN(F98,(Reprogramaciones!$T$15+7*(Reprogramaciones!Z$14-1))+6),11))=0,0,MAX(0,NETWORKDAYS.INTL(MAX(E98,(Reprogramaciones!$T$15+7*(Reprogramaciones!Z$14-1))),MIN(F98,Reprogramaciones!Z$13),11))/MAX(0,NETWORKDAYS.INTL(MAX(E98,(Reprogramaciones!$T$15+7*(Reprogramaciones!Z$14-1))),MIN(F98,(Reprogramaciones!$T$15+7*(Reprogramaciones!Z$14-1))+6),11))))))))</f>
        <v/>
      </c>
      <c r="CJ98" s="1" t="str">
        <f aca="false">IF(OR(OR(NOT(AND(ISNUMBER(E98),ISNUMBER(F98))),$J$2=""),1&gt;Reprogramaciones!$K$16),"",IF(ROUND(SUM($Q98:Q98),1)&gt;=99.5,100,MIN(100,ROUND(SUM($Q98:Q98),1))))</f>
        <v/>
      </c>
      <c r="CK98" s="1" t="str">
        <f aca="false">IF(OR(OR(NOT(AND(ISNUMBER(E98),ISNUMBER(F98))),$J$2=""),2&gt;Reprogramaciones!$K$16),"",IF(ROUND(SUM($Q98:R98),1)&gt;=99.5,100,MIN(100,ROUND(SUM($Q98:R98),1))))</f>
        <v/>
      </c>
      <c r="CL98" s="1" t="str">
        <f aca="false">IF(OR(OR(NOT(AND(ISNUMBER(E98),ISNUMBER(F98))),$J$2=""),3&gt;Reprogramaciones!$K$16),"",IF(ROUND(SUM($Q98:S98),1)&gt;=99.5,100,MIN(100,ROUND(SUM($Q98:S98),1))))</f>
        <v/>
      </c>
      <c r="CM98" s="1" t="str">
        <f aca="false">IF(OR(OR(NOT(AND(ISNUMBER(E98),ISNUMBER(F98))),$J$2=""),4&gt;Reprogramaciones!$K$16),"",IF(ROUND(SUM($Q98:T98),1)&gt;=99.5,100,MIN(100,ROUND(SUM($Q98:T98),1))))</f>
        <v/>
      </c>
      <c r="CN98" s="1" t="str">
        <f aca="false">IF(OR(OR(NOT(AND(ISNUMBER(E98),ISNUMBER(F98))),$J$2=""),5&gt;Reprogramaciones!$K$16),"",IF(ROUND(SUM($Q98:U98),1)&gt;=99.5,100,MIN(100,ROUND(SUM($Q98:U98),1))))</f>
        <v/>
      </c>
      <c r="CO98" s="1" t="str">
        <f aca="false">IF(OR(OR(NOT(AND(ISNUMBER(E98),ISNUMBER(F98))),$J$2=""),6&gt;Reprogramaciones!$K$16),"",IF(ROUND(SUM($Q98:V98),1)&gt;=99.5,100,MIN(100,ROUND(SUM($Q98:V98),1))))</f>
        <v/>
      </c>
      <c r="CP98" s="1" t="str">
        <f aca="false">IF(OR(OR(NOT(AND(ISNUMBER(E98),ISNUMBER(F98))),$J$2=""),7&gt;Reprogramaciones!$K$16),"",IF(ROUND(SUM($Q98:W98),1)&gt;=99.5,100,MIN(100,ROUND(SUM($Q98:W98),1))))</f>
        <v/>
      </c>
      <c r="CQ98" s="1" t="str">
        <f aca="false">IF(OR(OR(NOT(AND(ISNUMBER(E98),ISNUMBER(F98))),$J$2=""),8&gt;Reprogramaciones!$K$16),"",IF(ROUND(SUM($Q98:X98),1)&gt;=99.5,100,MIN(100,ROUND(SUM($Q98:X98),1))))</f>
        <v/>
      </c>
      <c r="CR98" s="1" t="str">
        <f aca="false">IF(OR(OR(NOT(AND(ISNUMBER(E98),ISNUMBER(F98))),$J$2=""),9&gt;Reprogramaciones!$K$16),"",IF(ROUND(SUM($Q98:Y98),1)&gt;=99.5,100,MIN(100,ROUND(SUM($Q98:Y98),1))))</f>
        <v/>
      </c>
      <c r="CS98" s="1" t="str">
        <f aca="false">IF(OR(OR(NOT(AND(ISNUMBER(E98),ISNUMBER(F98))),$J$2=""),10&gt;Reprogramaciones!$K$16),"",IF(ROUND(SUM($Q98:Z98),1)&gt;=99.5,100,MIN(100,ROUND(SUM($Q98:Z98),1))))</f>
        <v/>
      </c>
      <c r="CT98" s="1" t="str">
        <f aca="false">IF(OR(OR(NOT(AND(ISNUMBER(E98),ISNUMBER(F98))),$J$2=""),11&gt;Reprogramaciones!$K$16),"",IF(ROUND(SUM($Q98:AA98),1)&gt;=99.5,100,MIN(100,ROUND(SUM($Q98:AA98),1))))</f>
        <v/>
      </c>
      <c r="CU98" s="1" t="str">
        <f aca="false">IF(OR(OR(NOT(AND(ISNUMBER(E98),ISNUMBER(F98))),$J$2=""),12&gt;Reprogramaciones!$K$16),"",IF(ROUND(SUM($Q98:AB98),1)&gt;=99.5,100,MIN(100,ROUND(SUM($Q98:AB98),1))))</f>
        <v/>
      </c>
      <c r="CV98" s="1" t="str">
        <f aca="false">IF(OR(OR(NOT(AND(ISNUMBER(E98),ISNUMBER(F98))),$J$2=""),13&gt;Reprogramaciones!$K$16),"",IF(ROUND(SUM($Q98:AC98),1)&gt;=99.5,100,MIN(100,ROUND(SUM($Q98:AC98),1))))</f>
        <v/>
      </c>
      <c r="CW98" s="1" t="str">
        <f aca="false">IF(OR(OR(NOT(AND(ISNUMBER(E98),ISNUMBER(F98))),$J$2=""),14&gt;Reprogramaciones!$K$16),"",IF(ROUND(SUM($Q98:AD98),1)&gt;=99.5,100,MIN(100,ROUND(SUM($Q98:AD98),1))))</f>
        <v/>
      </c>
      <c r="CX98" s="1" t="str">
        <f aca="false">IF(OR(OR(NOT(AND(ISNUMBER(E98),ISNUMBER(F98))),$J$2=""),15&gt;Reprogramaciones!$K$16),"",IF(ROUND(SUM($Q98:AE98),1)&gt;=99.5,100,MIN(100,ROUND(SUM($Q98:AE98),1))))</f>
        <v/>
      </c>
      <c r="CY98" s="1" t="str">
        <f aca="false">IF(OR(OR(NOT(AND(ISNUMBER(E98),ISNUMBER(F98))),$J$2=""),16&gt;Reprogramaciones!$K$16),"",IF(ROUND(SUM($Q98:AF98),1)&gt;=99.5,100,MIN(100,ROUND(SUM($Q98:AF98),1))))</f>
        <v/>
      </c>
      <c r="CZ98" s="1" t="str">
        <f aca="false">IF(D98&lt;&gt;"",D98,IF(B98&lt;&gt;"","Contractual",CZ97))</f>
        <v>Contractual</v>
      </c>
      <c r="DA98" s="1" t="str">
        <f aca="false">IF(OR(NOT(AND(ISNUMBER(E98),ISNUMBER(F98))),$J$2=""),"",IF(Reprogramaciones!$Q$15&lt;Reprogramaciones!$T$15,0,IF(Reprogramaciones!$S$15&gt;10,MIN(100,SUM($G98:$P98)),MIN(100,SUMPRODUCT((COLUMN($G98:$P98)-COLUMN($G98)+1&lt;Reprogramaciones!$S$15)*$G98:$P98)+N(INDEX($G98:$P98,1,Reprogramaciones!$S$15))*IF(Reprogramaciones!$Q$15&gt;=(Reprogramaciones!$T$15+7*(Reprogramaciones!$S$15-1))+6,1,IF(MAX(0,NETWORKDAYS.INTL(MAX(E98,(Reprogramaciones!$T$15+7*(Reprogramaciones!$S$15-1))),MIN(F98,(Reprogramaciones!$T$15+7*(Reprogramaciones!$S$15-1))+6),11))=0,0,MAX(0,NETWORKDAYS.INTL(MAX(E98,(Reprogramaciones!$T$15+7*(Reprogramaciones!$S$15-1))),MIN(F98,Reprogramaciones!$Q$15),11))/MAX(0,NETWORKDAYS.INTL(MAX(E98,(Reprogramaciones!$T$15+7*(Reprogramaciones!$S$15-1))),MIN(F98,(Reprogramaciones!$T$15+7*(Reprogramaciones!$S$15-1))+6),11))))))))</f>
        <v/>
      </c>
    </row>
    <row r="99" customFormat="false" ht="15" hidden="false" customHeight="false" outlineLevel="0" collapsed="false">
      <c r="A99" s="32"/>
      <c r="B99" s="33"/>
      <c r="C99" s="33"/>
      <c r="D99" s="34"/>
      <c r="E99" s="35"/>
      <c r="F99" s="35"/>
      <c r="G99" s="36" t="str">
        <f aca="false">IF(OR(NOT(AND(ISNUMBER(E99),ISNUMBER(F99))),$J$2=""),"",IF(Reprogramaciones!K$9&lt;E99,0,IF(NETWORKDAYS.INTL(E99,F99,11)=0,IF(Reprogramaciones!K$9&gt;=F99,100,0),ROUND(NETWORKDAYS.INTL(E99,MIN(F99,Reprogramaciones!K$9),11)/NETWORKDAYS.INTL(E99,F99,11)*100,1)))-0)</f>
        <v/>
      </c>
      <c r="H99" s="36" t="str">
        <f aca="false">IF(OR(NOT(AND(ISNUMBER(E99),ISNUMBER(F99))),$J$2=""),"",IF(Reprogramaciones!L$9&lt;E99,0,IF(NETWORKDAYS.INTL(E99,F99,11)=0,IF(Reprogramaciones!L$9&gt;=F99,100,0),ROUND(NETWORKDAYS.INTL(E99,MIN(F99,Reprogramaciones!L$9),11)/NETWORKDAYS.INTL(E99,F99,11)*100,1)))-IF(Reprogramaciones!K$9&lt;E99,0,IF(NETWORKDAYS.INTL(E99,F99,11)=0,IF(Reprogramaciones!K$9&gt;=F99,100,0),ROUND(NETWORKDAYS.INTL(E99,MIN(F99,Reprogramaciones!K$9),11)/NETWORKDAYS.INTL(E99,F99,11)*100,1))))</f>
        <v/>
      </c>
      <c r="I99" s="36" t="str">
        <f aca="false">IF(OR(NOT(AND(ISNUMBER(E99),ISNUMBER(F99))),$J$2=""),"",IF(Reprogramaciones!M$9&lt;E99,0,IF(NETWORKDAYS.INTL(E99,F99,11)=0,IF(Reprogramaciones!M$9&gt;=F99,100,0),ROUND(NETWORKDAYS.INTL(E99,MIN(F99,Reprogramaciones!M$9),11)/NETWORKDAYS.INTL(E99,F99,11)*100,1)))-IF(Reprogramaciones!L$9&lt;E99,0,IF(NETWORKDAYS.INTL(E99,F99,11)=0,IF(Reprogramaciones!L$9&gt;=F99,100,0),ROUND(NETWORKDAYS.INTL(E99,MIN(F99,Reprogramaciones!L$9),11)/NETWORKDAYS.INTL(E99,F99,11)*100,1))))</f>
        <v/>
      </c>
      <c r="J99" s="36" t="str">
        <f aca="false">IF(OR(NOT(AND(ISNUMBER(E99),ISNUMBER(F99))),$J$2=""),"",IF(Reprogramaciones!N$9&lt;E99,0,IF(NETWORKDAYS.INTL(E99,F99,11)=0,IF(Reprogramaciones!N$9&gt;=F99,100,0),ROUND(NETWORKDAYS.INTL(E99,MIN(F99,Reprogramaciones!N$9),11)/NETWORKDAYS.INTL(E99,F99,11)*100,1)))-IF(Reprogramaciones!M$9&lt;E99,0,IF(NETWORKDAYS.INTL(E99,F99,11)=0,IF(Reprogramaciones!M$9&gt;=F99,100,0),ROUND(NETWORKDAYS.INTL(E99,MIN(F99,Reprogramaciones!M$9),11)/NETWORKDAYS.INTL(E99,F99,11)*100,1))))</f>
        <v/>
      </c>
      <c r="K99" s="36" t="str">
        <f aca="false">IF(OR(NOT(AND(ISNUMBER(E99),ISNUMBER(F99))),$J$2=""),"",IF(Reprogramaciones!O$9&lt;E99,0,IF(NETWORKDAYS.INTL(E99,F99,11)=0,IF(Reprogramaciones!O$9&gt;=F99,100,0),ROUND(NETWORKDAYS.INTL(E99,MIN(F99,Reprogramaciones!O$9),11)/NETWORKDAYS.INTL(E99,F99,11)*100,1)))-IF(Reprogramaciones!N$9&lt;E99,0,IF(NETWORKDAYS.INTL(E99,F99,11)=0,IF(Reprogramaciones!N$9&gt;=F99,100,0),ROUND(NETWORKDAYS.INTL(E99,MIN(F99,Reprogramaciones!N$9),11)/NETWORKDAYS.INTL(E99,F99,11)*100,1))))</f>
        <v/>
      </c>
      <c r="L99" s="36" t="str">
        <f aca="false">IF(OR(NOT(AND(ISNUMBER(E99),ISNUMBER(F99))),$J$2=""),"",IF(Reprogramaciones!P$9&lt;E99,0,IF(NETWORKDAYS.INTL(E99,F99,11)=0,IF(Reprogramaciones!P$9&gt;=F99,100,0),ROUND(NETWORKDAYS.INTL(E99,MIN(F99,Reprogramaciones!P$9),11)/NETWORKDAYS.INTL(E99,F99,11)*100,1)))-IF(Reprogramaciones!O$9&lt;E99,0,IF(NETWORKDAYS.INTL(E99,F99,11)=0,IF(Reprogramaciones!O$9&gt;=F99,100,0),ROUND(NETWORKDAYS.INTL(E99,MIN(F99,Reprogramaciones!O$9),11)/NETWORKDAYS.INTL(E99,F99,11)*100,1))))</f>
        <v/>
      </c>
      <c r="M99" s="36" t="str">
        <f aca="false">IF(OR(NOT(AND(ISNUMBER(E99),ISNUMBER(F99))),$J$2=""),"",IF(Reprogramaciones!Q$9&lt;E99,0,IF(NETWORKDAYS.INTL(E99,F99,11)=0,IF(Reprogramaciones!Q$9&gt;=F99,100,0),ROUND(NETWORKDAYS.INTL(E99,MIN(F99,Reprogramaciones!Q$9),11)/NETWORKDAYS.INTL(E99,F99,11)*100,1)))-IF(Reprogramaciones!P$9&lt;E99,0,IF(NETWORKDAYS.INTL(E99,F99,11)=0,IF(Reprogramaciones!P$9&gt;=F99,100,0),ROUND(NETWORKDAYS.INTL(E99,MIN(F99,Reprogramaciones!P$9),11)/NETWORKDAYS.INTL(E99,F99,11)*100,1))))</f>
        <v/>
      </c>
      <c r="N99" s="36" t="str">
        <f aca="false">IF(OR(NOT(AND(ISNUMBER(E99),ISNUMBER(F99))),$J$2=""),"",IF(Reprogramaciones!R$9&lt;E99,0,IF(NETWORKDAYS.INTL(E99,F99,11)=0,IF(Reprogramaciones!R$9&gt;=F99,100,0),ROUND(NETWORKDAYS.INTL(E99,MIN(F99,Reprogramaciones!R$9),11)/NETWORKDAYS.INTL(E99,F99,11)*100,1)))-IF(Reprogramaciones!Q$9&lt;E99,0,IF(NETWORKDAYS.INTL(E99,F99,11)=0,IF(Reprogramaciones!Q$9&gt;=F99,100,0),ROUND(NETWORKDAYS.INTL(E99,MIN(F99,Reprogramaciones!Q$9),11)/NETWORKDAYS.INTL(E99,F99,11)*100,1))))</f>
        <v/>
      </c>
      <c r="O99" s="36" t="str">
        <f aca="false">IF(OR(NOT(AND(ISNUMBER(E99),ISNUMBER(F99))),$J$2=""),"",IF(Reprogramaciones!S$9&lt;E99,0,IF(NETWORKDAYS.INTL(E99,F99,11)=0,IF(Reprogramaciones!S$9&gt;=F99,100,0),ROUND(NETWORKDAYS.INTL(E99,MIN(F99,Reprogramaciones!S$9),11)/NETWORKDAYS.INTL(E99,F99,11)*100,1)))-IF(Reprogramaciones!R$9&lt;E99,0,IF(NETWORKDAYS.INTL(E99,F99,11)=0,IF(Reprogramaciones!R$9&gt;=F99,100,0),ROUND(NETWORKDAYS.INTL(E99,MIN(F99,Reprogramaciones!R$9),11)/NETWORKDAYS.INTL(E99,F99,11)*100,1))))</f>
        <v/>
      </c>
      <c r="P99" s="36" t="str">
        <f aca="false">IF(OR(NOT(AND(ISNUMBER(E99),ISNUMBER(F99))),$J$2=""),"",IF(Reprogramaciones!T$9&lt;E99,0,IF(NETWORKDAYS.INTL(E99,F99,11)=0,IF(Reprogramaciones!T$9&gt;=F99,100,0),ROUND(NETWORKDAYS.INTL(E99,MIN(F99,Reprogramaciones!T$9),11)/NETWORKDAYS.INTL(E99,F99,11)*100,1)))-IF(Reprogramaciones!S$9&lt;E99,0,IF(NETWORKDAYS.INTL(E99,F99,11)=0,IF(Reprogramaciones!S$9&gt;=F99,100,0),ROUND(NETWORKDAYS.INTL(E99,MIN(F99,Reprogramaciones!S$9),11)/NETWORKDAYS.INTL(E99,F99,11)*100,1))))</f>
        <v/>
      </c>
      <c r="Q99" s="37"/>
      <c r="R99" s="37"/>
      <c r="S99" s="37"/>
      <c r="T99" s="37"/>
      <c r="U99" s="37"/>
      <c r="V99" s="37"/>
      <c r="W99" s="37"/>
      <c r="X99" s="37"/>
      <c r="Y99" s="37"/>
      <c r="Z99" s="37"/>
      <c r="AA99" s="37"/>
      <c r="AB99" s="37"/>
      <c r="AC99" s="37"/>
      <c r="AD99" s="37"/>
      <c r="AE99" s="37"/>
      <c r="AF99" s="37"/>
      <c r="AG99" s="38" t="str">
        <f aca="false">IF(AND(ISNUMBER(E99),ISNUMBER(F99)),NETWORKDAYS.INTL(E99,F99,11),"")</f>
        <v/>
      </c>
      <c r="AH99" s="38" t="str">
        <f aca="false">IF(OR(NOT(AND(ISNUMBER(E99),ISNUMBER(F99))),$J$2=""),"",IF(Reprogramaciones!$P$15&lt;Reprogramaciones!$T$15,0,IF(Reprogramaciones!$R$15&gt;10,MIN(100,SUM($G99:$P99)),MIN(100,SUMPRODUCT((COLUMN($G99:$P99)-COLUMN($G99)+1&lt;Reprogramaciones!$R$15)*$G99:$P99)+N(INDEX($G99:$P99,1,Reprogramaciones!$R$15))*IF(Reprogramaciones!$P$15&gt;=(Reprogramaciones!$T$15+7*(Reprogramaciones!$R$15-1))+6,1,IF(MAX(0,NETWORKDAYS.INTL(MAX(E99,(Reprogramaciones!$T$15+7*(Reprogramaciones!$R$15-1))),MIN(F99,(Reprogramaciones!$T$15+7*(Reprogramaciones!$R$15-1))+6),11))=0,0,MAX(0,NETWORKDAYS.INTL(MAX(E99,(Reprogramaciones!$T$15+7*(Reprogramaciones!$R$15-1))),MIN(F99,Reprogramaciones!$P$15),11))/MAX(0,NETWORKDAYS.INTL(MAX(E99,(Reprogramaciones!$T$15+7*(Reprogramaciones!$R$15-1))),MIN(F99,(Reprogramaciones!$T$15+7*(Reprogramaciones!$R$15-1))+6),11))))))))</f>
        <v/>
      </c>
      <c r="AI99" s="38" t="str">
        <f aca="false">IF(COUNT($Q99:$AF99)=0,"",IF(ROUND(SUM($Q99:$AF99),1)&gt;=99.5,100,MIN(100,ROUND(SUM($Q99:$AF99),1))))</f>
        <v/>
      </c>
      <c r="AJ99" s="38" t="str">
        <f aca="false">IF(OR(AH99="",AI99=""),"",AI99-AH99)</f>
        <v/>
      </c>
      <c r="AK99" s="39" t="str">
        <f aca="true">IF(AH99="","",IF(OR(Ficha!$C$10="Suspendida",Ficha!$C$10="Cancelada"),Ficha!$C$10,IF(AND(AI99&lt;&gt;"",N(AI99)&gt;=100),"Completada",IF(AND(E99&gt;TODAY(),N(AI99)=0),"Por iniciar",IF(N(AI99)+0.5&lt;AH99,"Retrasada",IF(N(AI99)+0.5&lt;DA99,IF(Reprogramaciones!$K$15&gt;0,"Al día · Sem "&amp;Reprogramaciones!$K$15&amp;" en curso","Al día · en curso"),"A tiempo"))))))</f>
        <v/>
      </c>
      <c r="AL99" s="39" t="str">
        <f aca="true">IF(AND(A99="",AND(B99="",C99="",E99="",F99="",COUNT(Q99:AF99)=0)),"",IF(AND(B99="",C99="",E99="",F99="",COUNT(Q99:AF99)=0),"Falta la partida o subpartida",IF(AND(A99&lt;&gt;"",COUNTIF($A$6:$A$305,A99)&gt;1),"Ítem repetido",IF(AND(C99="",E99="",F99="",COUNT(Q99:AF99)=0),"Título de partida",IF(OR(E99="",F99=""),"Faltan fechas",IF(OR(ISTEXT(E99),ISTEXT(F99)),"Fecha escrita como texto: usa dd/mm/aaaa",IF(F99&lt;E99,"Fin antes del inicio",IF(IF($J$2="",FALSE(),OR(E99&lt;$J$2,F99&gt;Reprogramaciones!$T$15+69)),"Fuera de las 10 semanas",IF(ABS(SUM(G99:P99)-100)&gt;0.5,"La meta no suma 100%",IF(ROUND(SUM(Q99:AF99),1)&gt;100.5,"El avance pasa de 100%",IF(MIN(Q99:AF99)&lt;0,"Avance negativo",IF(COUNTA(Q99:AF99)&gt;COUNT(Q99:AF99),"Avance escrito como texto",IF(SUMPRODUCT((Q99:AF99&gt;0)*(Q99:AF99&lt;1))&gt;0,"Avance menor a 1: escribe 50, no 50%",IF(SUMPRODUCT(ISNUMBER(Q99:AF99)*(Reprogramaciones!$K$8:$Z$8&gt;TODAY()))&gt;0,"Avance en semana que aún no llega",IF(AND(N(Reprogramaciones!$E$21)&gt;0,F99&gt;Reprogramaciones!$E$21),"Pasa el fin de la obra: registra una reprogramación",IF(AND(N(Reprogramaciones!$E$21)&gt;0,SUMPRODUCT(ISNUMBER(Q99:AF99)*(Reprogramaciones!$K$8:$Z$8&gt;Reprogramaciones!$E$21))&gt;0),"Avance después del fin de la obra: registra una reprogramación por atraso","OK"))))))))))))))))</f>
        <v/>
      </c>
      <c r="AM99" s="40" t="str">
        <f aca="false">IF(OR(OR(NOT(AND(ISNUMBER(E99),ISNUMBER(F99))),$J$2=""),1&gt;MAX(1,Reprogramaciones!$U$15)),"",IF(Reprogramaciones!K$12&gt;=7,"",IF(OR(BT99-N(0)&gt;0.05,N(Q99)&gt;0),ROUNDDOWN(ROUND(BT99,6),0)&amp;"%"&amp;IF(CJ99="",""," / "&amp;CJ99&amp;"%"),IF(AND(N(0)&gt;=99.95,CJ99&lt;&gt;"",N(CJ99)&lt;100),"Pend. "&amp;CJ99&amp;"%",""))))</f>
        <v/>
      </c>
      <c r="AN99" s="40" t="str">
        <f aca="false">IF(OR(OR(NOT(AND(ISNUMBER(E99),ISNUMBER(F99))),$J$2=""),2&gt;MAX(1,Reprogramaciones!$U$15)),"",IF(Reprogramaciones!L$12&gt;=7,"",IF(OR(BU99-N(BT99)&gt;0.05,N(R99)&gt;0),ROUNDDOWN(ROUND(BU99,6),0)&amp;"%"&amp;IF(CK99="",""," / "&amp;CK99&amp;"%"),IF(AND(N(BT99)&gt;=99.95,CK99&lt;&gt;"",N(CK99)&lt;100),"Pend. "&amp;CK99&amp;"%",""))))</f>
        <v/>
      </c>
      <c r="AO99" s="40" t="str">
        <f aca="false">IF(OR(OR(NOT(AND(ISNUMBER(E99),ISNUMBER(F99))),$J$2=""),3&gt;MAX(1,Reprogramaciones!$U$15)),"",IF(Reprogramaciones!M$12&gt;=7,"",IF(OR(BV99-N(BU99)&gt;0.05,N(S99)&gt;0),ROUNDDOWN(ROUND(BV99,6),0)&amp;"%"&amp;IF(CL99="",""," / "&amp;CL99&amp;"%"),IF(AND(N(BU99)&gt;=99.95,CL99&lt;&gt;"",N(CL99)&lt;100),"Pend. "&amp;CL99&amp;"%",""))))</f>
        <v/>
      </c>
      <c r="AP99" s="40" t="str">
        <f aca="false">IF(OR(OR(NOT(AND(ISNUMBER(E99),ISNUMBER(F99))),$J$2=""),4&gt;MAX(1,Reprogramaciones!$U$15)),"",IF(Reprogramaciones!N$12&gt;=7,"",IF(OR(BW99-N(BV99)&gt;0.05,N(T99)&gt;0),ROUNDDOWN(ROUND(BW99,6),0)&amp;"%"&amp;IF(CM99="",""," / "&amp;CM99&amp;"%"),IF(AND(N(BV99)&gt;=99.95,CM99&lt;&gt;"",N(CM99)&lt;100),"Pend. "&amp;CM99&amp;"%",""))))</f>
        <v/>
      </c>
      <c r="AQ99" s="40" t="str">
        <f aca="false">IF(OR(OR(NOT(AND(ISNUMBER(E99),ISNUMBER(F99))),$J$2=""),5&gt;MAX(1,Reprogramaciones!$U$15)),"",IF(Reprogramaciones!O$12&gt;=7,"",IF(OR(BX99-N(BW99)&gt;0.05,N(U99)&gt;0),ROUNDDOWN(ROUND(BX99,6),0)&amp;"%"&amp;IF(CN99="",""," / "&amp;CN99&amp;"%"),IF(AND(N(BW99)&gt;=99.95,CN99&lt;&gt;"",N(CN99)&lt;100),"Pend. "&amp;CN99&amp;"%",""))))</f>
        <v/>
      </c>
      <c r="AR99" s="40" t="str">
        <f aca="false">IF(OR(OR(NOT(AND(ISNUMBER(E99),ISNUMBER(F99))),$J$2=""),6&gt;MAX(1,Reprogramaciones!$U$15)),"",IF(Reprogramaciones!P$12&gt;=7,"",IF(OR(BY99-N(BX99)&gt;0.05,N(V99)&gt;0),ROUNDDOWN(ROUND(BY99,6),0)&amp;"%"&amp;IF(CO99="",""," / "&amp;CO99&amp;"%"),IF(AND(N(BX99)&gt;=99.95,CO99&lt;&gt;"",N(CO99)&lt;100),"Pend. "&amp;CO99&amp;"%",""))))</f>
        <v/>
      </c>
      <c r="AS99" s="40" t="str">
        <f aca="false">IF(OR(OR(NOT(AND(ISNUMBER(E99),ISNUMBER(F99))),$J$2=""),7&gt;MAX(1,Reprogramaciones!$U$15)),"",IF(Reprogramaciones!Q$12&gt;=7,"",IF(OR(BZ99-N(BY99)&gt;0.05,N(W99)&gt;0),ROUNDDOWN(ROUND(BZ99,6),0)&amp;"%"&amp;IF(CP99="",""," / "&amp;CP99&amp;"%"),IF(AND(N(BY99)&gt;=99.95,CP99&lt;&gt;"",N(CP99)&lt;100),"Pend. "&amp;CP99&amp;"%",""))))</f>
        <v/>
      </c>
      <c r="AT99" s="40" t="str">
        <f aca="false">IF(OR(OR(NOT(AND(ISNUMBER(E99),ISNUMBER(F99))),$J$2=""),8&gt;MAX(1,Reprogramaciones!$U$15)),"",IF(Reprogramaciones!R$12&gt;=7,"",IF(OR(CA99-N(BZ99)&gt;0.05,N(X99)&gt;0),ROUNDDOWN(ROUND(CA99,6),0)&amp;"%"&amp;IF(CQ99="",""," / "&amp;CQ99&amp;"%"),IF(AND(N(BZ99)&gt;=99.95,CQ99&lt;&gt;"",N(CQ99)&lt;100),"Pend. "&amp;CQ99&amp;"%",""))))</f>
        <v/>
      </c>
      <c r="AU99" s="40" t="str">
        <f aca="false">IF(OR(OR(NOT(AND(ISNUMBER(E99),ISNUMBER(F99))),$J$2=""),9&gt;MAX(1,Reprogramaciones!$U$15)),"",IF(Reprogramaciones!S$12&gt;=7,"",IF(OR(CB99-N(CA99)&gt;0.05,N(Y99)&gt;0),ROUNDDOWN(ROUND(CB99,6),0)&amp;"%"&amp;IF(CR99="",""," / "&amp;CR99&amp;"%"),IF(AND(N(CA99)&gt;=99.95,CR99&lt;&gt;"",N(CR99)&lt;100),"Pend. "&amp;CR99&amp;"%",""))))</f>
        <v/>
      </c>
      <c r="AV99" s="40" t="str">
        <f aca="false">IF(OR(OR(NOT(AND(ISNUMBER(E99),ISNUMBER(F99))),$J$2=""),10&gt;MAX(1,Reprogramaciones!$U$15)),"",IF(Reprogramaciones!T$12&gt;=7,"",IF(OR(CC99-N(CB99)&gt;0.05,N(Z99)&gt;0),ROUNDDOWN(ROUND(CC99,6),0)&amp;"%"&amp;IF(CS99="",""," / "&amp;CS99&amp;"%"),IF(AND(N(CB99)&gt;=99.95,CS99&lt;&gt;"",N(CS99)&lt;100),"Pend. "&amp;CS99&amp;"%",""))))</f>
        <v/>
      </c>
      <c r="AW99" s="40" t="str">
        <f aca="false">IF(OR(OR(NOT(AND(ISNUMBER(E99),ISNUMBER(F99))),$J$2=""),11&gt;MAX(1,Reprogramaciones!$U$15)),"",IF(Reprogramaciones!U$12&gt;=7,"",IF(OR(CD99-N(CC99)&gt;0.05,N(AA99)&gt;0),ROUNDDOWN(ROUND(CD99,6),0)&amp;"%"&amp;IF(CT99="",""," / "&amp;CT99&amp;"%"),IF(AND(N(CC99)&gt;=99.95,CT99&lt;&gt;"",N(CT99)&lt;100),"Pend. "&amp;CT99&amp;"%",""))))</f>
        <v/>
      </c>
      <c r="AX99" s="40" t="str">
        <f aca="false">IF(OR(OR(NOT(AND(ISNUMBER(E99),ISNUMBER(F99))),$J$2=""),12&gt;MAX(1,Reprogramaciones!$U$15)),"",IF(Reprogramaciones!V$12&gt;=7,"",IF(OR(CE99-N(CD99)&gt;0.05,N(AB99)&gt;0),ROUNDDOWN(ROUND(CE99,6),0)&amp;"%"&amp;IF(CU99="",""," / "&amp;CU99&amp;"%"),IF(AND(N(CD99)&gt;=99.95,CU99&lt;&gt;"",N(CU99)&lt;100),"Pend. "&amp;CU99&amp;"%",""))))</f>
        <v/>
      </c>
      <c r="AY99" s="40" t="str">
        <f aca="false">IF(OR(OR(NOT(AND(ISNUMBER(E99),ISNUMBER(F99))),$J$2=""),13&gt;MAX(1,Reprogramaciones!$U$15)),"",IF(Reprogramaciones!W$12&gt;=7,"",IF(OR(CF99-N(CE99)&gt;0.05,N(AC99)&gt;0),ROUNDDOWN(ROUND(CF99,6),0)&amp;"%"&amp;IF(CV99="",""," / "&amp;CV99&amp;"%"),IF(AND(N(CE99)&gt;=99.95,CV99&lt;&gt;"",N(CV99)&lt;100),"Pend. "&amp;CV99&amp;"%",""))))</f>
        <v/>
      </c>
      <c r="AZ99" s="40" t="str">
        <f aca="false">IF(OR(OR(NOT(AND(ISNUMBER(E99),ISNUMBER(F99))),$J$2=""),14&gt;MAX(1,Reprogramaciones!$U$15)),"",IF(Reprogramaciones!X$12&gt;=7,"",IF(OR(CG99-N(CF99)&gt;0.05,N(AD99)&gt;0),ROUNDDOWN(ROUND(CG99,6),0)&amp;"%"&amp;IF(CW99="",""," / "&amp;CW99&amp;"%"),IF(AND(N(CF99)&gt;=99.95,CW99&lt;&gt;"",N(CW99)&lt;100),"Pend. "&amp;CW99&amp;"%",""))))</f>
        <v/>
      </c>
      <c r="BA99" s="40" t="str">
        <f aca="false">IF(OR(OR(NOT(AND(ISNUMBER(E99),ISNUMBER(F99))),$J$2=""),15&gt;MAX(1,Reprogramaciones!$U$15)),"",IF(Reprogramaciones!Y$12&gt;=7,"",IF(OR(CH99-N(CG99)&gt;0.05,N(AE99)&gt;0),ROUNDDOWN(ROUND(CH99,6),0)&amp;"%"&amp;IF(CX99="",""," / "&amp;CX99&amp;"%"),IF(AND(N(CG99)&gt;=99.95,CX99&lt;&gt;"",N(CX99)&lt;100),"Pend. "&amp;CX99&amp;"%",""))))</f>
        <v/>
      </c>
      <c r="BB99" s="40" t="str">
        <f aca="false">IF(OR(OR(NOT(AND(ISNUMBER(E99),ISNUMBER(F99))),$J$2=""),16&gt;MAX(1,Reprogramaciones!$U$15)),"",IF(Reprogramaciones!Z$12&gt;=7,"",IF(OR(CI99-N(CH99)&gt;0.05,N(AF99)&gt;0),ROUNDDOWN(ROUND(CI99,6),0)&amp;"%"&amp;IF(CY99="",""," / "&amp;CY99&amp;"%"),IF(AND(N(CH99)&gt;=99.95,CY99&lt;&gt;"",N(CY99)&lt;100),"Pend. "&amp;CY99&amp;"%",""))))</f>
        <v/>
      </c>
      <c r="BC99" s="31" t="n">
        <f aca="false">IF(AND(ISNUMBER(E99),ISNUMBER(F99)),MAX(1,NETWORKDAYS.INTL(E99,F99,11)),0)</f>
        <v>0</v>
      </c>
      <c r="BD99" s="1" t="str">
        <f aca="false">IF(OR(NOT(AND(ISNUMBER(E99),ISNUMBER(F99))),$J$2=""),"",MIN(100,ROUND(SUM($G99:G99),1)))</f>
        <v/>
      </c>
      <c r="BE99" s="1" t="str">
        <f aca="false">IF(OR(NOT(AND(ISNUMBER(E99),ISNUMBER(F99))),$J$2=""),"",MIN(100,ROUND(SUM($G99:H99),1)))</f>
        <v/>
      </c>
      <c r="BF99" s="1" t="str">
        <f aca="false">IF(OR(NOT(AND(ISNUMBER(E99),ISNUMBER(F99))),$J$2=""),"",MIN(100,ROUND(SUM($G99:I99),1)))</f>
        <v/>
      </c>
      <c r="BG99" s="1" t="str">
        <f aca="false">IF(OR(NOT(AND(ISNUMBER(E99),ISNUMBER(F99))),$J$2=""),"",MIN(100,ROUND(SUM($G99:J99),1)))</f>
        <v/>
      </c>
      <c r="BH99" s="1" t="str">
        <f aca="false">IF(OR(NOT(AND(ISNUMBER(E99),ISNUMBER(F99))),$J$2=""),"",MIN(100,ROUND(SUM($G99:K99),1)))</f>
        <v/>
      </c>
      <c r="BI99" s="1" t="str">
        <f aca="false">IF(OR(NOT(AND(ISNUMBER(E99),ISNUMBER(F99))),$J$2=""),"",MIN(100,ROUND(SUM($G99:L99),1)))</f>
        <v/>
      </c>
      <c r="BJ99" s="1" t="str">
        <f aca="false">IF(OR(NOT(AND(ISNUMBER(E99),ISNUMBER(F99))),$J$2=""),"",MIN(100,ROUND(SUM($G99:M99),1)))</f>
        <v/>
      </c>
      <c r="BK99" s="1" t="str">
        <f aca="false">IF(OR(NOT(AND(ISNUMBER(E99),ISNUMBER(F99))),$J$2=""),"",MIN(100,ROUND(SUM($G99:N99),1)))</f>
        <v/>
      </c>
      <c r="BL99" s="1" t="str">
        <f aca="false">IF(OR(NOT(AND(ISNUMBER(E99),ISNUMBER(F99))),$J$2=""),"",MIN(100,ROUND(SUM($G99:O99),1)))</f>
        <v/>
      </c>
      <c r="BM99" s="1" t="str">
        <f aca="false">IF(OR(NOT(AND(ISNUMBER(E99),ISNUMBER(F99))),$J$2=""),"",MIN(100,ROUND(SUM($G99:P99),1)))</f>
        <v/>
      </c>
      <c r="BN99" s="1" t="str">
        <f aca="false">IF(OR(NOT(AND(ISNUMBER(E99),ISNUMBER(F99))),$J$2=""),"",MIN(100,ROUND(SUM($G99:P99),1)))</f>
        <v/>
      </c>
      <c r="BO99" s="1" t="str">
        <f aca="false">IF(OR(NOT(AND(ISNUMBER(E99),ISNUMBER(F99))),$J$2=""),"",MIN(100,ROUND(SUM($G99:P99),1)))</f>
        <v/>
      </c>
      <c r="BP99" s="1" t="str">
        <f aca="false">IF(OR(NOT(AND(ISNUMBER(E99),ISNUMBER(F99))),$J$2=""),"",MIN(100,ROUND(SUM($G99:P99),1)))</f>
        <v/>
      </c>
      <c r="BQ99" s="1" t="str">
        <f aca="false">IF(OR(NOT(AND(ISNUMBER(E99),ISNUMBER(F99))),$J$2=""),"",MIN(100,ROUND(SUM($G99:P99),1)))</f>
        <v/>
      </c>
      <c r="BR99" s="1" t="str">
        <f aca="false">IF(OR(NOT(AND(ISNUMBER(E99),ISNUMBER(F99))),$J$2=""),"",MIN(100,ROUND(SUM($G99:P99),1)))</f>
        <v/>
      </c>
      <c r="BS99" s="1" t="str">
        <f aca="false">IF(OR(NOT(AND(ISNUMBER(E99),ISNUMBER(F99))),$J$2=""),"",MIN(100,ROUND(SUM($G99:P99),1)))</f>
        <v/>
      </c>
      <c r="BT99" s="1" t="str">
        <f aca="false">IF(OR(NOT(AND(ISNUMBER(E99),ISNUMBER(F99))),$J$2=""),"",IF(Reprogramaciones!K$13&lt;Reprogramaciones!$T$15,0,IF(Reprogramaciones!K$14&gt;10,MIN(100,SUM($G99:$P99)),MIN(100,SUMPRODUCT((COLUMN($G99:$P99)-COLUMN($G99)+1&lt;Reprogramaciones!K$14)*$G99:$P99)+N(INDEX($G99:$P99,1,Reprogramaciones!K$14))*IF(Reprogramaciones!K$13&gt;=(Reprogramaciones!$T$15+7*(Reprogramaciones!K$14-1))+6,1,IF(MAX(0,NETWORKDAYS.INTL(MAX(E99,(Reprogramaciones!$T$15+7*(Reprogramaciones!K$14-1))),MIN(F99,(Reprogramaciones!$T$15+7*(Reprogramaciones!K$14-1))+6),11))=0,0,MAX(0,NETWORKDAYS.INTL(MAX(E99,(Reprogramaciones!$T$15+7*(Reprogramaciones!K$14-1))),MIN(F99,Reprogramaciones!K$13),11))/MAX(0,NETWORKDAYS.INTL(MAX(E99,(Reprogramaciones!$T$15+7*(Reprogramaciones!K$14-1))),MIN(F99,(Reprogramaciones!$T$15+7*(Reprogramaciones!K$14-1))+6),11))))))))</f>
        <v/>
      </c>
      <c r="BU99" s="1" t="str">
        <f aca="false">IF(OR(NOT(AND(ISNUMBER(E99),ISNUMBER(F99))),$J$2=""),"",IF(Reprogramaciones!L$13&lt;Reprogramaciones!$T$15,0,IF(Reprogramaciones!L$14&gt;10,MIN(100,SUM($G99:$P99)),MIN(100,SUMPRODUCT((COLUMN($G99:$P99)-COLUMN($G99)+1&lt;Reprogramaciones!L$14)*$G99:$P99)+N(INDEX($G99:$P99,1,Reprogramaciones!L$14))*IF(Reprogramaciones!L$13&gt;=(Reprogramaciones!$T$15+7*(Reprogramaciones!L$14-1))+6,1,IF(MAX(0,NETWORKDAYS.INTL(MAX(E99,(Reprogramaciones!$T$15+7*(Reprogramaciones!L$14-1))),MIN(F99,(Reprogramaciones!$T$15+7*(Reprogramaciones!L$14-1))+6),11))=0,0,MAX(0,NETWORKDAYS.INTL(MAX(E99,(Reprogramaciones!$T$15+7*(Reprogramaciones!L$14-1))),MIN(F99,Reprogramaciones!L$13),11))/MAX(0,NETWORKDAYS.INTL(MAX(E99,(Reprogramaciones!$T$15+7*(Reprogramaciones!L$14-1))),MIN(F99,(Reprogramaciones!$T$15+7*(Reprogramaciones!L$14-1))+6),11))))))))</f>
        <v/>
      </c>
      <c r="BV99" s="1" t="str">
        <f aca="false">IF(OR(NOT(AND(ISNUMBER(E99),ISNUMBER(F99))),$J$2=""),"",IF(Reprogramaciones!M$13&lt;Reprogramaciones!$T$15,0,IF(Reprogramaciones!M$14&gt;10,MIN(100,SUM($G99:$P99)),MIN(100,SUMPRODUCT((COLUMN($G99:$P99)-COLUMN($G99)+1&lt;Reprogramaciones!M$14)*$G99:$P99)+N(INDEX($G99:$P99,1,Reprogramaciones!M$14))*IF(Reprogramaciones!M$13&gt;=(Reprogramaciones!$T$15+7*(Reprogramaciones!M$14-1))+6,1,IF(MAX(0,NETWORKDAYS.INTL(MAX(E99,(Reprogramaciones!$T$15+7*(Reprogramaciones!M$14-1))),MIN(F99,(Reprogramaciones!$T$15+7*(Reprogramaciones!M$14-1))+6),11))=0,0,MAX(0,NETWORKDAYS.INTL(MAX(E99,(Reprogramaciones!$T$15+7*(Reprogramaciones!M$14-1))),MIN(F99,Reprogramaciones!M$13),11))/MAX(0,NETWORKDAYS.INTL(MAX(E99,(Reprogramaciones!$T$15+7*(Reprogramaciones!M$14-1))),MIN(F99,(Reprogramaciones!$T$15+7*(Reprogramaciones!M$14-1))+6),11))))))))</f>
        <v/>
      </c>
      <c r="BW99" s="1" t="str">
        <f aca="false">IF(OR(NOT(AND(ISNUMBER(E99),ISNUMBER(F99))),$J$2=""),"",IF(Reprogramaciones!N$13&lt;Reprogramaciones!$T$15,0,IF(Reprogramaciones!N$14&gt;10,MIN(100,SUM($G99:$P99)),MIN(100,SUMPRODUCT((COLUMN($G99:$P99)-COLUMN($G99)+1&lt;Reprogramaciones!N$14)*$G99:$P99)+N(INDEX($G99:$P99,1,Reprogramaciones!N$14))*IF(Reprogramaciones!N$13&gt;=(Reprogramaciones!$T$15+7*(Reprogramaciones!N$14-1))+6,1,IF(MAX(0,NETWORKDAYS.INTL(MAX(E99,(Reprogramaciones!$T$15+7*(Reprogramaciones!N$14-1))),MIN(F99,(Reprogramaciones!$T$15+7*(Reprogramaciones!N$14-1))+6),11))=0,0,MAX(0,NETWORKDAYS.INTL(MAX(E99,(Reprogramaciones!$T$15+7*(Reprogramaciones!N$14-1))),MIN(F99,Reprogramaciones!N$13),11))/MAX(0,NETWORKDAYS.INTL(MAX(E99,(Reprogramaciones!$T$15+7*(Reprogramaciones!N$14-1))),MIN(F99,(Reprogramaciones!$T$15+7*(Reprogramaciones!N$14-1))+6),11))))))))</f>
        <v/>
      </c>
      <c r="BX99" s="1" t="str">
        <f aca="false">IF(OR(NOT(AND(ISNUMBER(E99),ISNUMBER(F99))),$J$2=""),"",IF(Reprogramaciones!O$13&lt;Reprogramaciones!$T$15,0,IF(Reprogramaciones!O$14&gt;10,MIN(100,SUM($G99:$P99)),MIN(100,SUMPRODUCT((COLUMN($G99:$P99)-COLUMN($G99)+1&lt;Reprogramaciones!O$14)*$G99:$P99)+N(INDEX($G99:$P99,1,Reprogramaciones!O$14))*IF(Reprogramaciones!O$13&gt;=(Reprogramaciones!$T$15+7*(Reprogramaciones!O$14-1))+6,1,IF(MAX(0,NETWORKDAYS.INTL(MAX(E99,(Reprogramaciones!$T$15+7*(Reprogramaciones!O$14-1))),MIN(F99,(Reprogramaciones!$T$15+7*(Reprogramaciones!O$14-1))+6),11))=0,0,MAX(0,NETWORKDAYS.INTL(MAX(E99,(Reprogramaciones!$T$15+7*(Reprogramaciones!O$14-1))),MIN(F99,Reprogramaciones!O$13),11))/MAX(0,NETWORKDAYS.INTL(MAX(E99,(Reprogramaciones!$T$15+7*(Reprogramaciones!O$14-1))),MIN(F99,(Reprogramaciones!$T$15+7*(Reprogramaciones!O$14-1))+6),11))))))))</f>
        <v/>
      </c>
      <c r="BY99" s="1" t="str">
        <f aca="false">IF(OR(NOT(AND(ISNUMBER(E99),ISNUMBER(F99))),$J$2=""),"",IF(Reprogramaciones!P$13&lt;Reprogramaciones!$T$15,0,IF(Reprogramaciones!P$14&gt;10,MIN(100,SUM($G99:$P99)),MIN(100,SUMPRODUCT((COLUMN($G99:$P99)-COLUMN($G99)+1&lt;Reprogramaciones!P$14)*$G99:$P99)+N(INDEX($G99:$P99,1,Reprogramaciones!P$14))*IF(Reprogramaciones!P$13&gt;=(Reprogramaciones!$T$15+7*(Reprogramaciones!P$14-1))+6,1,IF(MAX(0,NETWORKDAYS.INTL(MAX(E99,(Reprogramaciones!$T$15+7*(Reprogramaciones!P$14-1))),MIN(F99,(Reprogramaciones!$T$15+7*(Reprogramaciones!P$14-1))+6),11))=0,0,MAX(0,NETWORKDAYS.INTL(MAX(E99,(Reprogramaciones!$T$15+7*(Reprogramaciones!P$14-1))),MIN(F99,Reprogramaciones!P$13),11))/MAX(0,NETWORKDAYS.INTL(MAX(E99,(Reprogramaciones!$T$15+7*(Reprogramaciones!P$14-1))),MIN(F99,(Reprogramaciones!$T$15+7*(Reprogramaciones!P$14-1))+6),11))))))))</f>
        <v/>
      </c>
      <c r="BZ99" s="1" t="str">
        <f aca="false">IF(OR(NOT(AND(ISNUMBER(E99),ISNUMBER(F99))),$J$2=""),"",IF(Reprogramaciones!Q$13&lt;Reprogramaciones!$T$15,0,IF(Reprogramaciones!Q$14&gt;10,MIN(100,SUM($G99:$P99)),MIN(100,SUMPRODUCT((COLUMN($G99:$P99)-COLUMN($G99)+1&lt;Reprogramaciones!Q$14)*$G99:$P99)+N(INDEX($G99:$P99,1,Reprogramaciones!Q$14))*IF(Reprogramaciones!Q$13&gt;=(Reprogramaciones!$T$15+7*(Reprogramaciones!Q$14-1))+6,1,IF(MAX(0,NETWORKDAYS.INTL(MAX(E99,(Reprogramaciones!$T$15+7*(Reprogramaciones!Q$14-1))),MIN(F99,(Reprogramaciones!$T$15+7*(Reprogramaciones!Q$14-1))+6),11))=0,0,MAX(0,NETWORKDAYS.INTL(MAX(E99,(Reprogramaciones!$T$15+7*(Reprogramaciones!Q$14-1))),MIN(F99,Reprogramaciones!Q$13),11))/MAX(0,NETWORKDAYS.INTL(MAX(E99,(Reprogramaciones!$T$15+7*(Reprogramaciones!Q$14-1))),MIN(F99,(Reprogramaciones!$T$15+7*(Reprogramaciones!Q$14-1))+6),11))))))))</f>
        <v/>
      </c>
      <c r="CA99" s="1" t="str">
        <f aca="false">IF(OR(NOT(AND(ISNUMBER(E99),ISNUMBER(F99))),$J$2=""),"",IF(Reprogramaciones!R$13&lt;Reprogramaciones!$T$15,0,IF(Reprogramaciones!R$14&gt;10,MIN(100,SUM($G99:$P99)),MIN(100,SUMPRODUCT((COLUMN($G99:$P99)-COLUMN($G99)+1&lt;Reprogramaciones!R$14)*$G99:$P99)+N(INDEX($G99:$P99,1,Reprogramaciones!R$14))*IF(Reprogramaciones!R$13&gt;=(Reprogramaciones!$T$15+7*(Reprogramaciones!R$14-1))+6,1,IF(MAX(0,NETWORKDAYS.INTL(MAX(E99,(Reprogramaciones!$T$15+7*(Reprogramaciones!R$14-1))),MIN(F99,(Reprogramaciones!$T$15+7*(Reprogramaciones!R$14-1))+6),11))=0,0,MAX(0,NETWORKDAYS.INTL(MAX(E99,(Reprogramaciones!$T$15+7*(Reprogramaciones!R$14-1))),MIN(F99,Reprogramaciones!R$13),11))/MAX(0,NETWORKDAYS.INTL(MAX(E99,(Reprogramaciones!$T$15+7*(Reprogramaciones!R$14-1))),MIN(F99,(Reprogramaciones!$T$15+7*(Reprogramaciones!R$14-1))+6),11))))))))</f>
        <v/>
      </c>
      <c r="CB99" s="1" t="str">
        <f aca="false">IF(OR(NOT(AND(ISNUMBER(E99),ISNUMBER(F99))),$J$2=""),"",IF(Reprogramaciones!S$13&lt;Reprogramaciones!$T$15,0,IF(Reprogramaciones!S$14&gt;10,MIN(100,SUM($G99:$P99)),MIN(100,SUMPRODUCT((COLUMN($G99:$P99)-COLUMN($G99)+1&lt;Reprogramaciones!S$14)*$G99:$P99)+N(INDEX($G99:$P99,1,Reprogramaciones!S$14))*IF(Reprogramaciones!S$13&gt;=(Reprogramaciones!$T$15+7*(Reprogramaciones!S$14-1))+6,1,IF(MAX(0,NETWORKDAYS.INTL(MAX(E99,(Reprogramaciones!$T$15+7*(Reprogramaciones!S$14-1))),MIN(F99,(Reprogramaciones!$T$15+7*(Reprogramaciones!S$14-1))+6),11))=0,0,MAX(0,NETWORKDAYS.INTL(MAX(E99,(Reprogramaciones!$T$15+7*(Reprogramaciones!S$14-1))),MIN(F99,Reprogramaciones!S$13),11))/MAX(0,NETWORKDAYS.INTL(MAX(E99,(Reprogramaciones!$T$15+7*(Reprogramaciones!S$14-1))),MIN(F99,(Reprogramaciones!$T$15+7*(Reprogramaciones!S$14-1))+6),11))))))))</f>
        <v/>
      </c>
      <c r="CC99" s="1" t="str">
        <f aca="false">IF(OR(NOT(AND(ISNUMBER(E99),ISNUMBER(F99))),$J$2=""),"",IF(Reprogramaciones!T$13&lt;Reprogramaciones!$T$15,0,IF(Reprogramaciones!T$14&gt;10,MIN(100,SUM($G99:$P99)),MIN(100,SUMPRODUCT((COLUMN($G99:$P99)-COLUMN($G99)+1&lt;Reprogramaciones!T$14)*$G99:$P99)+N(INDEX($G99:$P99,1,Reprogramaciones!T$14))*IF(Reprogramaciones!T$13&gt;=(Reprogramaciones!$T$15+7*(Reprogramaciones!T$14-1))+6,1,IF(MAX(0,NETWORKDAYS.INTL(MAX(E99,(Reprogramaciones!$T$15+7*(Reprogramaciones!T$14-1))),MIN(F99,(Reprogramaciones!$T$15+7*(Reprogramaciones!T$14-1))+6),11))=0,0,MAX(0,NETWORKDAYS.INTL(MAX(E99,(Reprogramaciones!$T$15+7*(Reprogramaciones!T$14-1))),MIN(F99,Reprogramaciones!T$13),11))/MAX(0,NETWORKDAYS.INTL(MAX(E99,(Reprogramaciones!$T$15+7*(Reprogramaciones!T$14-1))),MIN(F99,(Reprogramaciones!$T$15+7*(Reprogramaciones!T$14-1))+6),11))))))))</f>
        <v/>
      </c>
      <c r="CD99" s="1" t="str">
        <f aca="false">IF(OR(NOT(AND(ISNUMBER(E99),ISNUMBER(F99))),$J$2=""),"",IF(Reprogramaciones!U$13&lt;Reprogramaciones!$T$15,0,IF(Reprogramaciones!U$14&gt;10,MIN(100,SUM($G99:$P99)),MIN(100,SUMPRODUCT((COLUMN($G99:$P99)-COLUMN($G99)+1&lt;Reprogramaciones!U$14)*$G99:$P99)+N(INDEX($G99:$P99,1,Reprogramaciones!U$14))*IF(Reprogramaciones!U$13&gt;=(Reprogramaciones!$T$15+7*(Reprogramaciones!U$14-1))+6,1,IF(MAX(0,NETWORKDAYS.INTL(MAX(E99,(Reprogramaciones!$T$15+7*(Reprogramaciones!U$14-1))),MIN(F99,(Reprogramaciones!$T$15+7*(Reprogramaciones!U$14-1))+6),11))=0,0,MAX(0,NETWORKDAYS.INTL(MAX(E99,(Reprogramaciones!$T$15+7*(Reprogramaciones!U$14-1))),MIN(F99,Reprogramaciones!U$13),11))/MAX(0,NETWORKDAYS.INTL(MAX(E99,(Reprogramaciones!$T$15+7*(Reprogramaciones!U$14-1))),MIN(F99,(Reprogramaciones!$T$15+7*(Reprogramaciones!U$14-1))+6),11))))))))</f>
        <v/>
      </c>
      <c r="CE99" s="1" t="str">
        <f aca="false">IF(OR(NOT(AND(ISNUMBER(E99),ISNUMBER(F99))),$J$2=""),"",IF(Reprogramaciones!V$13&lt;Reprogramaciones!$T$15,0,IF(Reprogramaciones!V$14&gt;10,MIN(100,SUM($G99:$P99)),MIN(100,SUMPRODUCT((COLUMN($G99:$P99)-COLUMN($G99)+1&lt;Reprogramaciones!V$14)*$G99:$P99)+N(INDEX($G99:$P99,1,Reprogramaciones!V$14))*IF(Reprogramaciones!V$13&gt;=(Reprogramaciones!$T$15+7*(Reprogramaciones!V$14-1))+6,1,IF(MAX(0,NETWORKDAYS.INTL(MAX(E99,(Reprogramaciones!$T$15+7*(Reprogramaciones!V$14-1))),MIN(F99,(Reprogramaciones!$T$15+7*(Reprogramaciones!V$14-1))+6),11))=0,0,MAX(0,NETWORKDAYS.INTL(MAX(E99,(Reprogramaciones!$T$15+7*(Reprogramaciones!V$14-1))),MIN(F99,Reprogramaciones!V$13),11))/MAX(0,NETWORKDAYS.INTL(MAX(E99,(Reprogramaciones!$T$15+7*(Reprogramaciones!V$14-1))),MIN(F99,(Reprogramaciones!$T$15+7*(Reprogramaciones!V$14-1))+6),11))))))))</f>
        <v/>
      </c>
      <c r="CF99" s="1" t="str">
        <f aca="false">IF(OR(NOT(AND(ISNUMBER(E99),ISNUMBER(F99))),$J$2=""),"",IF(Reprogramaciones!W$13&lt;Reprogramaciones!$T$15,0,IF(Reprogramaciones!W$14&gt;10,MIN(100,SUM($G99:$P99)),MIN(100,SUMPRODUCT((COLUMN($G99:$P99)-COLUMN($G99)+1&lt;Reprogramaciones!W$14)*$G99:$P99)+N(INDEX($G99:$P99,1,Reprogramaciones!W$14))*IF(Reprogramaciones!W$13&gt;=(Reprogramaciones!$T$15+7*(Reprogramaciones!W$14-1))+6,1,IF(MAX(0,NETWORKDAYS.INTL(MAX(E99,(Reprogramaciones!$T$15+7*(Reprogramaciones!W$14-1))),MIN(F99,(Reprogramaciones!$T$15+7*(Reprogramaciones!W$14-1))+6),11))=0,0,MAX(0,NETWORKDAYS.INTL(MAX(E99,(Reprogramaciones!$T$15+7*(Reprogramaciones!W$14-1))),MIN(F99,Reprogramaciones!W$13),11))/MAX(0,NETWORKDAYS.INTL(MAX(E99,(Reprogramaciones!$T$15+7*(Reprogramaciones!W$14-1))),MIN(F99,(Reprogramaciones!$T$15+7*(Reprogramaciones!W$14-1))+6),11))))))))</f>
        <v/>
      </c>
      <c r="CG99" s="1" t="str">
        <f aca="false">IF(OR(NOT(AND(ISNUMBER(E99),ISNUMBER(F99))),$J$2=""),"",IF(Reprogramaciones!X$13&lt;Reprogramaciones!$T$15,0,IF(Reprogramaciones!X$14&gt;10,MIN(100,SUM($G99:$P99)),MIN(100,SUMPRODUCT((COLUMN($G99:$P99)-COLUMN($G99)+1&lt;Reprogramaciones!X$14)*$G99:$P99)+N(INDEX($G99:$P99,1,Reprogramaciones!X$14))*IF(Reprogramaciones!X$13&gt;=(Reprogramaciones!$T$15+7*(Reprogramaciones!X$14-1))+6,1,IF(MAX(0,NETWORKDAYS.INTL(MAX(E99,(Reprogramaciones!$T$15+7*(Reprogramaciones!X$14-1))),MIN(F99,(Reprogramaciones!$T$15+7*(Reprogramaciones!X$14-1))+6),11))=0,0,MAX(0,NETWORKDAYS.INTL(MAX(E99,(Reprogramaciones!$T$15+7*(Reprogramaciones!X$14-1))),MIN(F99,Reprogramaciones!X$13),11))/MAX(0,NETWORKDAYS.INTL(MAX(E99,(Reprogramaciones!$T$15+7*(Reprogramaciones!X$14-1))),MIN(F99,(Reprogramaciones!$T$15+7*(Reprogramaciones!X$14-1))+6),11))))))))</f>
        <v/>
      </c>
      <c r="CH99" s="1" t="str">
        <f aca="false">IF(OR(NOT(AND(ISNUMBER(E99),ISNUMBER(F99))),$J$2=""),"",IF(Reprogramaciones!Y$13&lt;Reprogramaciones!$T$15,0,IF(Reprogramaciones!Y$14&gt;10,MIN(100,SUM($G99:$P99)),MIN(100,SUMPRODUCT((COLUMN($G99:$P99)-COLUMN($G99)+1&lt;Reprogramaciones!Y$14)*$G99:$P99)+N(INDEX($G99:$P99,1,Reprogramaciones!Y$14))*IF(Reprogramaciones!Y$13&gt;=(Reprogramaciones!$T$15+7*(Reprogramaciones!Y$14-1))+6,1,IF(MAX(0,NETWORKDAYS.INTL(MAX(E99,(Reprogramaciones!$T$15+7*(Reprogramaciones!Y$14-1))),MIN(F99,(Reprogramaciones!$T$15+7*(Reprogramaciones!Y$14-1))+6),11))=0,0,MAX(0,NETWORKDAYS.INTL(MAX(E99,(Reprogramaciones!$T$15+7*(Reprogramaciones!Y$14-1))),MIN(F99,Reprogramaciones!Y$13),11))/MAX(0,NETWORKDAYS.INTL(MAX(E99,(Reprogramaciones!$T$15+7*(Reprogramaciones!Y$14-1))),MIN(F99,(Reprogramaciones!$T$15+7*(Reprogramaciones!Y$14-1))+6),11))))))))</f>
        <v/>
      </c>
      <c r="CI99" s="1" t="str">
        <f aca="false">IF(OR(NOT(AND(ISNUMBER(E99),ISNUMBER(F99))),$J$2=""),"",IF(Reprogramaciones!Z$13&lt;Reprogramaciones!$T$15,0,IF(Reprogramaciones!Z$14&gt;10,MIN(100,SUM($G99:$P99)),MIN(100,SUMPRODUCT((COLUMN($G99:$P99)-COLUMN($G99)+1&lt;Reprogramaciones!Z$14)*$G99:$P99)+N(INDEX($G99:$P99,1,Reprogramaciones!Z$14))*IF(Reprogramaciones!Z$13&gt;=(Reprogramaciones!$T$15+7*(Reprogramaciones!Z$14-1))+6,1,IF(MAX(0,NETWORKDAYS.INTL(MAX(E99,(Reprogramaciones!$T$15+7*(Reprogramaciones!Z$14-1))),MIN(F99,(Reprogramaciones!$T$15+7*(Reprogramaciones!Z$14-1))+6),11))=0,0,MAX(0,NETWORKDAYS.INTL(MAX(E99,(Reprogramaciones!$T$15+7*(Reprogramaciones!Z$14-1))),MIN(F99,Reprogramaciones!Z$13),11))/MAX(0,NETWORKDAYS.INTL(MAX(E99,(Reprogramaciones!$T$15+7*(Reprogramaciones!Z$14-1))),MIN(F99,(Reprogramaciones!$T$15+7*(Reprogramaciones!Z$14-1))+6),11))))))))</f>
        <v/>
      </c>
      <c r="CJ99" s="1" t="str">
        <f aca="false">IF(OR(OR(NOT(AND(ISNUMBER(E99),ISNUMBER(F99))),$J$2=""),1&gt;Reprogramaciones!$K$16),"",IF(ROUND(SUM($Q99:Q99),1)&gt;=99.5,100,MIN(100,ROUND(SUM($Q99:Q99),1))))</f>
        <v/>
      </c>
      <c r="CK99" s="1" t="str">
        <f aca="false">IF(OR(OR(NOT(AND(ISNUMBER(E99),ISNUMBER(F99))),$J$2=""),2&gt;Reprogramaciones!$K$16),"",IF(ROUND(SUM($Q99:R99),1)&gt;=99.5,100,MIN(100,ROUND(SUM($Q99:R99),1))))</f>
        <v/>
      </c>
      <c r="CL99" s="1" t="str">
        <f aca="false">IF(OR(OR(NOT(AND(ISNUMBER(E99),ISNUMBER(F99))),$J$2=""),3&gt;Reprogramaciones!$K$16),"",IF(ROUND(SUM($Q99:S99),1)&gt;=99.5,100,MIN(100,ROUND(SUM($Q99:S99),1))))</f>
        <v/>
      </c>
      <c r="CM99" s="1" t="str">
        <f aca="false">IF(OR(OR(NOT(AND(ISNUMBER(E99),ISNUMBER(F99))),$J$2=""),4&gt;Reprogramaciones!$K$16),"",IF(ROUND(SUM($Q99:T99),1)&gt;=99.5,100,MIN(100,ROUND(SUM($Q99:T99),1))))</f>
        <v/>
      </c>
      <c r="CN99" s="1" t="str">
        <f aca="false">IF(OR(OR(NOT(AND(ISNUMBER(E99),ISNUMBER(F99))),$J$2=""),5&gt;Reprogramaciones!$K$16),"",IF(ROUND(SUM($Q99:U99),1)&gt;=99.5,100,MIN(100,ROUND(SUM($Q99:U99),1))))</f>
        <v/>
      </c>
      <c r="CO99" s="1" t="str">
        <f aca="false">IF(OR(OR(NOT(AND(ISNUMBER(E99),ISNUMBER(F99))),$J$2=""),6&gt;Reprogramaciones!$K$16),"",IF(ROUND(SUM($Q99:V99),1)&gt;=99.5,100,MIN(100,ROUND(SUM($Q99:V99),1))))</f>
        <v/>
      </c>
      <c r="CP99" s="1" t="str">
        <f aca="false">IF(OR(OR(NOT(AND(ISNUMBER(E99),ISNUMBER(F99))),$J$2=""),7&gt;Reprogramaciones!$K$16),"",IF(ROUND(SUM($Q99:W99),1)&gt;=99.5,100,MIN(100,ROUND(SUM($Q99:W99),1))))</f>
        <v/>
      </c>
      <c r="CQ99" s="1" t="str">
        <f aca="false">IF(OR(OR(NOT(AND(ISNUMBER(E99),ISNUMBER(F99))),$J$2=""),8&gt;Reprogramaciones!$K$16),"",IF(ROUND(SUM($Q99:X99),1)&gt;=99.5,100,MIN(100,ROUND(SUM($Q99:X99),1))))</f>
        <v/>
      </c>
      <c r="CR99" s="1" t="str">
        <f aca="false">IF(OR(OR(NOT(AND(ISNUMBER(E99),ISNUMBER(F99))),$J$2=""),9&gt;Reprogramaciones!$K$16),"",IF(ROUND(SUM($Q99:Y99),1)&gt;=99.5,100,MIN(100,ROUND(SUM($Q99:Y99),1))))</f>
        <v/>
      </c>
      <c r="CS99" s="1" t="str">
        <f aca="false">IF(OR(OR(NOT(AND(ISNUMBER(E99),ISNUMBER(F99))),$J$2=""),10&gt;Reprogramaciones!$K$16),"",IF(ROUND(SUM($Q99:Z99),1)&gt;=99.5,100,MIN(100,ROUND(SUM($Q99:Z99),1))))</f>
        <v/>
      </c>
      <c r="CT99" s="1" t="str">
        <f aca="false">IF(OR(OR(NOT(AND(ISNUMBER(E99),ISNUMBER(F99))),$J$2=""),11&gt;Reprogramaciones!$K$16),"",IF(ROUND(SUM($Q99:AA99),1)&gt;=99.5,100,MIN(100,ROUND(SUM($Q99:AA99),1))))</f>
        <v/>
      </c>
      <c r="CU99" s="1" t="str">
        <f aca="false">IF(OR(OR(NOT(AND(ISNUMBER(E99),ISNUMBER(F99))),$J$2=""),12&gt;Reprogramaciones!$K$16),"",IF(ROUND(SUM($Q99:AB99),1)&gt;=99.5,100,MIN(100,ROUND(SUM($Q99:AB99),1))))</f>
        <v/>
      </c>
      <c r="CV99" s="1" t="str">
        <f aca="false">IF(OR(OR(NOT(AND(ISNUMBER(E99),ISNUMBER(F99))),$J$2=""),13&gt;Reprogramaciones!$K$16),"",IF(ROUND(SUM($Q99:AC99),1)&gt;=99.5,100,MIN(100,ROUND(SUM($Q99:AC99),1))))</f>
        <v/>
      </c>
      <c r="CW99" s="1" t="str">
        <f aca="false">IF(OR(OR(NOT(AND(ISNUMBER(E99),ISNUMBER(F99))),$J$2=""),14&gt;Reprogramaciones!$K$16),"",IF(ROUND(SUM($Q99:AD99),1)&gt;=99.5,100,MIN(100,ROUND(SUM($Q99:AD99),1))))</f>
        <v/>
      </c>
      <c r="CX99" s="1" t="str">
        <f aca="false">IF(OR(OR(NOT(AND(ISNUMBER(E99),ISNUMBER(F99))),$J$2=""),15&gt;Reprogramaciones!$K$16),"",IF(ROUND(SUM($Q99:AE99),1)&gt;=99.5,100,MIN(100,ROUND(SUM($Q99:AE99),1))))</f>
        <v/>
      </c>
      <c r="CY99" s="1" t="str">
        <f aca="false">IF(OR(OR(NOT(AND(ISNUMBER(E99),ISNUMBER(F99))),$J$2=""),16&gt;Reprogramaciones!$K$16),"",IF(ROUND(SUM($Q99:AF99),1)&gt;=99.5,100,MIN(100,ROUND(SUM($Q99:AF99),1))))</f>
        <v/>
      </c>
      <c r="CZ99" s="1" t="str">
        <f aca="false">IF(D99&lt;&gt;"",D99,IF(B99&lt;&gt;"","Contractual",CZ98))</f>
        <v>Contractual</v>
      </c>
      <c r="DA99" s="1" t="str">
        <f aca="false">IF(OR(NOT(AND(ISNUMBER(E99),ISNUMBER(F99))),$J$2=""),"",IF(Reprogramaciones!$Q$15&lt;Reprogramaciones!$T$15,0,IF(Reprogramaciones!$S$15&gt;10,MIN(100,SUM($G99:$P99)),MIN(100,SUMPRODUCT((COLUMN($G99:$P99)-COLUMN($G99)+1&lt;Reprogramaciones!$S$15)*$G99:$P99)+N(INDEX($G99:$P99,1,Reprogramaciones!$S$15))*IF(Reprogramaciones!$Q$15&gt;=(Reprogramaciones!$T$15+7*(Reprogramaciones!$S$15-1))+6,1,IF(MAX(0,NETWORKDAYS.INTL(MAX(E99,(Reprogramaciones!$T$15+7*(Reprogramaciones!$S$15-1))),MIN(F99,(Reprogramaciones!$T$15+7*(Reprogramaciones!$S$15-1))+6),11))=0,0,MAX(0,NETWORKDAYS.INTL(MAX(E99,(Reprogramaciones!$T$15+7*(Reprogramaciones!$S$15-1))),MIN(F99,Reprogramaciones!$Q$15),11))/MAX(0,NETWORKDAYS.INTL(MAX(E99,(Reprogramaciones!$T$15+7*(Reprogramaciones!$S$15-1))),MIN(F99,(Reprogramaciones!$T$15+7*(Reprogramaciones!$S$15-1))+6),11))))))))</f>
        <v/>
      </c>
    </row>
    <row r="100" customFormat="false" ht="15" hidden="false" customHeight="false" outlineLevel="0" collapsed="false">
      <c r="A100" s="32"/>
      <c r="B100" s="33"/>
      <c r="C100" s="33"/>
      <c r="D100" s="34"/>
      <c r="E100" s="35"/>
      <c r="F100" s="35"/>
      <c r="G100" s="36" t="str">
        <f aca="false">IF(OR(NOT(AND(ISNUMBER(E100),ISNUMBER(F100))),$J$2=""),"",IF(Reprogramaciones!K$9&lt;E100,0,IF(NETWORKDAYS.INTL(E100,F100,11)=0,IF(Reprogramaciones!K$9&gt;=F100,100,0),ROUND(NETWORKDAYS.INTL(E100,MIN(F100,Reprogramaciones!K$9),11)/NETWORKDAYS.INTL(E100,F100,11)*100,1)))-0)</f>
        <v/>
      </c>
      <c r="H100" s="36" t="str">
        <f aca="false">IF(OR(NOT(AND(ISNUMBER(E100),ISNUMBER(F100))),$J$2=""),"",IF(Reprogramaciones!L$9&lt;E100,0,IF(NETWORKDAYS.INTL(E100,F100,11)=0,IF(Reprogramaciones!L$9&gt;=F100,100,0),ROUND(NETWORKDAYS.INTL(E100,MIN(F100,Reprogramaciones!L$9),11)/NETWORKDAYS.INTL(E100,F100,11)*100,1)))-IF(Reprogramaciones!K$9&lt;E100,0,IF(NETWORKDAYS.INTL(E100,F100,11)=0,IF(Reprogramaciones!K$9&gt;=F100,100,0),ROUND(NETWORKDAYS.INTL(E100,MIN(F100,Reprogramaciones!K$9),11)/NETWORKDAYS.INTL(E100,F100,11)*100,1))))</f>
        <v/>
      </c>
      <c r="I100" s="36" t="str">
        <f aca="false">IF(OR(NOT(AND(ISNUMBER(E100),ISNUMBER(F100))),$J$2=""),"",IF(Reprogramaciones!M$9&lt;E100,0,IF(NETWORKDAYS.INTL(E100,F100,11)=0,IF(Reprogramaciones!M$9&gt;=F100,100,0),ROUND(NETWORKDAYS.INTL(E100,MIN(F100,Reprogramaciones!M$9),11)/NETWORKDAYS.INTL(E100,F100,11)*100,1)))-IF(Reprogramaciones!L$9&lt;E100,0,IF(NETWORKDAYS.INTL(E100,F100,11)=0,IF(Reprogramaciones!L$9&gt;=F100,100,0),ROUND(NETWORKDAYS.INTL(E100,MIN(F100,Reprogramaciones!L$9),11)/NETWORKDAYS.INTL(E100,F100,11)*100,1))))</f>
        <v/>
      </c>
      <c r="J100" s="36" t="str">
        <f aca="false">IF(OR(NOT(AND(ISNUMBER(E100),ISNUMBER(F100))),$J$2=""),"",IF(Reprogramaciones!N$9&lt;E100,0,IF(NETWORKDAYS.INTL(E100,F100,11)=0,IF(Reprogramaciones!N$9&gt;=F100,100,0),ROUND(NETWORKDAYS.INTL(E100,MIN(F100,Reprogramaciones!N$9),11)/NETWORKDAYS.INTL(E100,F100,11)*100,1)))-IF(Reprogramaciones!M$9&lt;E100,0,IF(NETWORKDAYS.INTL(E100,F100,11)=0,IF(Reprogramaciones!M$9&gt;=F100,100,0),ROUND(NETWORKDAYS.INTL(E100,MIN(F100,Reprogramaciones!M$9),11)/NETWORKDAYS.INTL(E100,F100,11)*100,1))))</f>
        <v/>
      </c>
      <c r="K100" s="36" t="str">
        <f aca="false">IF(OR(NOT(AND(ISNUMBER(E100),ISNUMBER(F100))),$J$2=""),"",IF(Reprogramaciones!O$9&lt;E100,0,IF(NETWORKDAYS.INTL(E100,F100,11)=0,IF(Reprogramaciones!O$9&gt;=F100,100,0),ROUND(NETWORKDAYS.INTL(E100,MIN(F100,Reprogramaciones!O$9),11)/NETWORKDAYS.INTL(E100,F100,11)*100,1)))-IF(Reprogramaciones!N$9&lt;E100,0,IF(NETWORKDAYS.INTL(E100,F100,11)=0,IF(Reprogramaciones!N$9&gt;=F100,100,0),ROUND(NETWORKDAYS.INTL(E100,MIN(F100,Reprogramaciones!N$9),11)/NETWORKDAYS.INTL(E100,F100,11)*100,1))))</f>
        <v/>
      </c>
      <c r="L100" s="36" t="str">
        <f aca="false">IF(OR(NOT(AND(ISNUMBER(E100),ISNUMBER(F100))),$J$2=""),"",IF(Reprogramaciones!P$9&lt;E100,0,IF(NETWORKDAYS.INTL(E100,F100,11)=0,IF(Reprogramaciones!P$9&gt;=F100,100,0),ROUND(NETWORKDAYS.INTL(E100,MIN(F100,Reprogramaciones!P$9),11)/NETWORKDAYS.INTL(E100,F100,11)*100,1)))-IF(Reprogramaciones!O$9&lt;E100,0,IF(NETWORKDAYS.INTL(E100,F100,11)=0,IF(Reprogramaciones!O$9&gt;=F100,100,0),ROUND(NETWORKDAYS.INTL(E100,MIN(F100,Reprogramaciones!O$9),11)/NETWORKDAYS.INTL(E100,F100,11)*100,1))))</f>
        <v/>
      </c>
      <c r="M100" s="36" t="str">
        <f aca="false">IF(OR(NOT(AND(ISNUMBER(E100),ISNUMBER(F100))),$J$2=""),"",IF(Reprogramaciones!Q$9&lt;E100,0,IF(NETWORKDAYS.INTL(E100,F100,11)=0,IF(Reprogramaciones!Q$9&gt;=F100,100,0),ROUND(NETWORKDAYS.INTL(E100,MIN(F100,Reprogramaciones!Q$9),11)/NETWORKDAYS.INTL(E100,F100,11)*100,1)))-IF(Reprogramaciones!P$9&lt;E100,0,IF(NETWORKDAYS.INTL(E100,F100,11)=0,IF(Reprogramaciones!P$9&gt;=F100,100,0),ROUND(NETWORKDAYS.INTL(E100,MIN(F100,Reprogramaciones!P$9),11)/NETWORKDAYS.INTL(E100,F100,11)*100,1))))</f>
        <v/>
      </c>
      <c r="N100" s="36" t="str">
        <f aca="false">IF(OR(NOT(AND(ISNUMBER(E100),ISNUMBER(F100))),$J$2=""),"",IF(Reprogramaciones!R$9&lt;E100,0,IF(NETWORKDAYS.INTL(E100,F100,11)=0,IF(Reprogramaciones!R$9&gt;=F100,100,0),ROUND(NETWORKDAYS.INTL(E100,MIN(F100,Reprogramaciones!R$9),11)/NETWORKDAYS.INTL(E100,F100,11)*100,1)))-IF(Reprogramaciones!Q$9&lt;E100,0,IF(NETWORKDAYS.INTL(E100,F100,11)=0,IF(Reprogramaciones!Q$9&gt;=F100,100,0),ROUND(NETWORKDAYS.INTL(E100,MIN(F100,Reprogramaciones!Q$9),11)/NETWORKDAYS.INTL(E100,F100,11)*100,1))))</f>
        <v/>
      </c>
      <c r="O100" s="36" t="str">
        <f aca="false">IF(OR(NOT(AND(ISNUMBER(E100),ISNUMBER(F100))),$J$2=""),"",IF(Reprogramaciones!S$9&lt;E100,0,IF(NETWORKDAYS.INTL(E100,F100,11)=0,IF(Reprogramaciones!S$9&gt;=F100,100,0),ROUND(NETWORKDAYS.INTL(E100,MIN(F100,Reprogramaciones!S$9),11)/NETWORKDAYS.INTL(E100,F100,11)*100,1)))-IF(Reprogramaciones!R$9&lt;E100,0,IF(NETWORKDAYS.INTL(E100,F100,11)=0,IF(Reprogramaciones!R$9&gt;=F100,100,0),ROUND(NETWORKDAYS.INTL(E100,MIN(F100,Reprogramaciones!R$9),11)/NETWORKDAYS.INTL(E100,F100,11)*100,1))))</f>
        <v/>
      </c>
      <c r="P100" s="36" t="str">
        <f aca="false">IF(OR(NOT(AND(ISNUMBER(E100),ISNUMBER(F100))),$J$2=""),"",IF(Reprogramaciones!T$9&lt;E100,0,IF(NETWORKDAYS.INTL(E100,F100,11)=0,IF(Reprogramaciones!T$9&gt;=F100,100,0),ROUND(NETWORKDAYS.INTL(E100,MIN(F100,Reprogramaciones!T$9),11)/NETWORKDAYS.INTL(E100,F100,11)*100,1)))-IF(Reprogramaciones!S$9&lt;E100,0,IF(NETWORKDAYS.INTL(E100,F100,11)=0,IF(Reprogramaciones!S$9&gt;=F100,100,0),ROUND(NETWORKDAYS.INTL(E100,MIN(F100,Reprogramaciones!S$9),11)/NETWORKDAYS.INTL(E100,F100,11)*100,1))))</f>
        <v/>
      </c>
      <c r="Q100" s="37"/>
      <c r="R100" s="37"/>
      <c r="S100" s="37"/>
      <c r="T100" s="37"/>
      <c r="U100" s="37"/>
      <c r="V100" s="37"/>
      <c r="W100" s="37"/>
      <c r="X100" s="37"/>
      <c r="Y100" s="37"/>
      <c r="Z100" s="37"/>
      <c r="AA100" s="37"/>
      <c r="AB100" s="37"/>
      <c r="AC100" s="37"/>
      <c r="AD100" s="37"/>
      <c r="AE100" s="37"/>
      <c r="AF100" s="37"/>
      <c r="AG100" s="38" t="str">
        <f aca="false">IF(AND(ISNUMBER(E100),ISNUMBER(F100)),NETWORKDAYS.INTL(E100,F100,11),"")</f>
        <v/>
      </c>
      <c r="AH100" s="38" t="str">
        <f aca="false">IF(OR(NOT(AND(ISNUMBER(E100),ISNUMBER(F100))),$J$2=""),"",IF(Reprogramaciones!$P$15&lt;Reprogramaciones!$T$15,0,IF(Reprogramaciones!$R$15&gt;10,MIN(100,SUM($G100:$P100)),MIN(100,SUMPRODUCT((COLUMN($G100:$P100)-COLUMN($G100)+1&lt;Reprogramaciones!$R$15)*$G100:$P100)+N(INDEX($G100:$P100,1,Reprogramaciones!$R$15))*IF(Reprogramaciones!$P$15&gt;=(Reprogramaciones!$T$15+7*(Reprogramaciones!$R$15-1))+6,1,IF(MAX(0,NETWORKDAYS.INTL(MAX(E100,(Reprogramaciones!$T$15+7*(Reprogramaciones!$R$15-1))),MIN(F100,(Reprogramaciones!$T$15+7*(Reprogramaciones!$R$15-1))+6),11))=0,0,MAX(0,NETWORKDAYS.INTL(MAX(E100,(Reprogramaciones!$T$15+7*(Reprogramaciones!$R$15-1))),MIN(F100,Reprogramaciones!$P$15),11))/MAX(0,NETWORKDAYS.INTL(MAX(E100,(Reprogramaciones!$T$15+7*(Reprogramaciones!$R$15-1))),MIN(F100,(Reprogramaciones!$T$15+7*(Reprogramaciones!$R$15-1))+6),11))))))))</f>
        <v/>
      </c>
      <c r="AI100" s="38" t="str">
        <f aca="false">IF(COUNT($Q100:$AF100)=0,"",IF(ROUND(SUM($Q100:$AF100),1)&gt;=99.5,100,MIN(100,ROUND(SUM($Q100:$AF100),1))))</f>
        <v/>
      </c>
      <c r="AJ100" s="38" t="str">
        <f aca="false">IF(OR(AH100="",AI100=""),"",AI100-AH100)</f>
        <v/>
      </c>
      <c r="AK100" s="39" t="str">
        <f aca="true">IF(AH100="","",IF(OR(Ficha!$C$10="Suspendida",Ficha!$C$10="Cancelada"),Ficha!$C$10,IF(AND(AI100&lt;&gt;"",N(AI100)&gt;=100),"Completada",IF(AND(E100&gt;TODAY(),N(AI100)=0),"Por iniciar",IF(N(AI100)+0.5&lt;AH100,"Retrasada",IF(N(AI100)+0.5&lt;DA100,IF(Reprogramaciones!$K$15&gt;0,"Al día · Sem "&amp;Reprogramaciones!$K$15&amp;" en curso","Al día · en curso"),"A tiempo"))))))</f>
        <v/>
      </c>
      <c r="AL100" s="39" t="str">
        <f aca="true">IF(AND(A100="",AND(B100="",C100="",E100="",F100="",COUNT(Q100:AF100)=0)),"",IF(AND(B100="",C100="",E100="",F100="",COUNT(Q100:AF100)=0),"Falta la partida o subpartida",IF(AND(A100&lt;&gt;"",COUNTIF($A$6:$A$305,A100)&gt;1),"Ítem repetido",IF(AND(C100="",E100="",F100="",COUNT(Q100:AF100)=0),"Título de partida",IF(OR(E100="",F100=""),"Faltan fechas",IF(OR(ISTEXT(E100),ISTEXT(F100)),"Fecha escrita como texto: usa dd/mm/aaaa",IF(F100&lt;E100,"Fin antes del inicio",IF(IF($J$2="",FALSE(),OR(E100&lt;$J$2,F100&gt;Reprogramaciones!$T$15+69)),"Fuera de las 10 semanas",IF(ABS(SUM(G100:P100)-100)&gt;0.5,"La meta no suma 100%",IF(ROUND(SUM(Q100:AF100),1)&gt;100.5,"El avance pasa de 100%",IF(MIN(Q100:AF100)&lt;0,"Avance negativo",IF(COUNTA(Q100:AF100)&gt;COUNT(Q100:AF100),"Avance escrito como texto",IF(SUMPRODUCT((Q100:AF100&gt;0)*(Q100:AF100&lt;1))&gt;0,"Avance menor a 1: escribe 50, no 50%",IF(SUMPRODUCT(ISNUMBER(Q100:AF100)*(Reprogramaciones!$K$8:$Z$8&gt;TODAY()))&gt;0,"Avance en semana que aún no llega",IF(AND(N(Reprogramaciones!$E$21)&gt;0,F100&gt;Reprogramaciones!$E$21),"Pasa el fin de la obra: registra una reprogramación",IF(AND(N(Reprogramaciones!$E$21)&gt;0,SUMPRODUCT(ISNUMBER(Q100:AF100)*(Reprogramaciones!$K$8:$Z$8&gt;Reprogramaciones!$E$21))&gt;0),"Avance después del fin de la obra: registra una reprogramación por atraso","OK"))))))))))))))))</f>
        <v/>
      </c>
      <c r="AM100" s="40" t="str">
        <f aca="false">IF(OR(OR(NOT(AND(ISNUMBER(E100),ISNUMBER(F100))),$J$2=""),1&gt;MAX(1,Reprogramaciones!$U$15)),"",IF(Reprogramaciones!K$12&gt;=7,"",IF(OR(BT100-N(0)&gt;0.05,N(Q100)&gt;0),ROUNDDOWN(ROUND(BT100,6),0)&amp;"%"&amp;IF(CJ100="",""," / "&amp;CJ100&amp;"%"),IF(AND(N(0)&gt;=99.95,CJ100&lt;&gt;"",N(CJ100)&lt;100),"Pend. "&amp;CJ100&amp;"%",""))))</f>
        <v/>
      </c>
      <c r="AN100" s="40" t="str">
        <f aca="false">IF(OR(OR(NOT(AND(ISNUMBER(E100),ISNUMBER(F100))),$J$2=""),2&gt;MAX(1,Reprogramaciones!$U$15)),"",IF(Reprogramaciones!L$12&gt;=7,"",IF(OR(BU100-N(BT100)&gt;0.05,N(R100)&gt;0),ROUNDDOWN(ROUND(BU100,6),0)&amp;"%"&amp;IF(CK100="",""," / "&amp;CK100&amp;"%"),IF(AND(N(BT100)&gt;=99.95,CK100&lt;&gt;"",N(CK100)&lt;100),"Pend. "&amp;CK100&amp;"%",""))))</f>
        <v/>
      </c>
      <c r="AO100" s="40" t="str">
        <f aca="false">IF(OR(OR(NOT(AND(ISNUMBER(E100),ISNUMBER(F100))),$J$2=""),3&gt;MAX(1,Reprogramaciones!$U$15)),"",IF(Reprogramaciones!M$12&gt;=7,"",IF(OR(BV100-N(BU100)&gt;0.05,N(S100)&gt;0),ROUNDDOWN(ROUND(BV100,6),0)&amp;"%"&amp;IF(CL100="",""," / "&amp;CL100&amp;"%"),IF(AND(N(BU100)&gt;=99.95,CL100&lt;&gt;"",N(CL100)&lt;100),"Pend. "&amp;CL100&amp;"%",""))))</f>
        <v/>
      </c>
      <c r="AP100" s="40" t="str">
        <f aca="false">IF(OR(OR(NOT(AND(ISNUMBER(E100),ISNUMBER(F100))),$J$2=""),4&gt;MAX(1,Reprogramaciones!$U$15)),"",IF(Reprogramaciones!N$12&gt;=7,"",IF(OR(BW100-N(BV100)&gt;0.05,N(T100)&gt;0),ROUNDDOWN(ROUND(BW100,6),0)&amp;"%"&amp;IF(CM100="",""," / "&amp;CM100&amp;"%"),IF(AND(N(BV100)&gt;=99.95,CM100&lt;&gt;"",N(CM100)&lt;100),"Pend. "&amp;CM100&amp;"%",""))))</f>
        <v/>
      </c>
      <c r="AQ100" s="40" t="str">
        <f aca="false">IF(OR(OR(NOT(AND(ISNUMBER(E100),ISNUMBER(F100))),$J$2=""),5&gt;MAX(1,Reprogramaciones!$U$15)),"",IF(Reprogramaciones!O$12&gt;=7,"",IF(OR(BX100-N(BW100)&gt;0.05,N(U100)&gt;0),ROUNDDOWN(ROUND(BX100,6),0)&amp;"%"&amp;IF(CN100="",""," / "&amp;CN100&amp;"%"),IF(AND(N(BW100)&gt;=99.95,CN100&lt;&gt;"",N(CN100)&lt;100),"Pend. "&amp;CN100&amp;"%",""))))</f>
        <v/>
      </c>
      <c r="AR100" s="40" t="str">
        <f aca="false">IF(OR(OR(NOT(AND(ISNUMBER(E100),ISNUMBER(F100))),$J$2=""),6&gt;MAX(1,Reprogramaciones!$U$15)),"",IF(Reprogramaciones!P$12&gt;=7,"",IF(OR(BY100-N(BX100)&gt;0.05,N(V100)&gt;0),ROUNDDOWN(ROUND(BY100,6),0)&amp;"%"&amp;IF(CO100="",""," / "&amp;CO100&amp;"%"),IF(AND(N(BX100)&gt;=99.95,CO100&lt;&gt;"",N(CO100)&lt;100),"Pend. "&amp;CO100&amp;"%",""))))</f>
        <v/>
      </c>
      <c r="AS100" s="40" t="str">
        <f aca="false">IF(OR(OR(NOT(AND(ISNUMBER(E100),ISNUMBER(F100))),$J$2=""),7&gt;MAX(1,Reprogramaciones!$U$15)),"",IF(Reprogramaciones!Q$12&gt;=7,"",IF(OR(BZ100-N(BY100)&gt;0.05,N(W100)&gt;0),ROUNDDOWN(ROUND(BZ100,6),0)&amp;"%"&amp;IF(CP100="",""," / "&amp;CP100&amp;"%"),IF(AND(N(BY100)&gt;=99.95,CP100&lt;&gt;"",N(CP100)&lt;100),"Pend. "&amp;CP100&amp;"%",""))))</f>
        <v/>
      </c>
      <c r="AT100" s="40" t="str">
        <f aca="false">IF(OR(OR(NOT(AND(ISNUMBER(E100),ISNUMBER(F100))),$J$2=""),8&gt;MAX(1,Reprogramaciones!$U$15)),"",IF(Reprogramaciones!R$12&gt;=7,"",IF(OR(CA100-N(BZ100)&gt;0.05,N(X100)&gt;0),ROUNDDOWN(ROUND(CA100,6),0)&amp;"%"&amp;IF(CQ100="",""," / "&amp;CQ100&amp;"%"),IF(AND(N(BZ100)&gt;=99.95,CQ100&lt;&gt;"",N(CQ100)&lt;100),"Pend. "&amp;CQ100&amp;"%",""))))</f>
        <v/>
      </c>
      <c r="AU100" s="40" t="str">
        <f aca="false">IF(OR(OR(NOT(AND(ISNUMBER(E100),ISNUMBER(F100))),$J$2=""),9&gt;MAX(1,Reprogramaciones!$U$15)),"",IF(Reprogramaciones!S$12&gt;=7,"",IF(OR(CB100-N(CA100)&gt;0.05,N(Y100)&gt;0),ROUNDDOWN(ROUND(CB100,6),0)&amp;"%"&amp;IF(CR100="",""," / "&amp;CR100&amp;"%"),IF(AND(N(CA100)&gt;=99.95,CR100&lt;&gt;"",N(CR100)&lt;100),"Pend. "&amp;CR100&amp;"%",""))))</f>
        <v/>
      </c>
      <c r="AV100" s="40" t="str">
        <f aca="false">IF(OR(OR(NOT(AND(ISNUMBER(E100),ISNUMBER(F100))),$J$2=""),10&gt;MAX(1,Reprogramaciones!$U$15)),"",IF(Reprogramaciones!T$12&gt;=7,"",IF(OR(CC100-N(CB100)&gt;0.05,N(Z100)&gt;0),ROUNDDOWN(ROUND(CC100,6),0)&amp;"%"&amp;IF(CS100="",""," / "&amp;CS100&amp;"%"),IF(AND(N(CB100)&gt;=99.95,CS100&lt;&gt;"",N(CS100)&lt;100),"Pend. "&amp;CS100&amp;"%",""))))</f>
        <v/>
      </c>
      <c r="AW100" s="40" t="str">
        <f aca="false">IF(OR(OR(NOT(AND(ISNUMBER(E100),ISNUMBER(F100))),$J$2=""),11&gt;MAX(1,Reprogramaciones!$U$15)),"",IF(Reprogramaciones!U$12&gt;=7,"",IF(OR(CD100-N(CC100)&gt;0.05,N(AA100)&gt;0),ROUNDDOWN(ROUND(CD100,6),0)&amp;"%"&amp;IF(CT100="",""," / "&amp;CT100&amp;"%"),IF(AND(N(CC100)&gt;=99.95,CT100&lt;&gt;"",N(CT100)&lt;100),"Pend. "&amp;CT100&amp;"%",""))))</f>
        <v/>
      </c>
      <c r="AX100" s="40" t="str">
        <f aca="false">IF(OR(OR(NOT(AND(ISNUMBER(E100),ISNUMBER(F100))),$J$2=""),12&gt;MAX(1,Reprogramaciones!$U$15)),"",IF(Reprogramaciones!V$12&gt;=7,"",IF(OR(CE100-N(CD100)&gt;0.05,N(AB100)&gt;0),ROUNDDOWN(ROUND(CE100,6),0)&amp;"%"&amp;IF(CU100="",""," / "&amp;CU100&amp;"%"),IF(AND(N(CD100)&gt;=99.95,CU100&lt;&gt;"",N(CU100)&lt;100),"Pend. "&amp;CU100&amp;"%",""))))</f>
        <v/>
      </c>
      <c r="AY100" s="40" t="str">
        <f aca="false">IF(OR(OR(NOT(AND(ISNUMBER(E100),ISNUMBER(F100))),$J$2=""),13&gt;MAX(1,Reprogramaciones!$U$15)),"",IF(Reprogramaciones!W$12&gt;=7,"",IF(OR(CF100-N(CE100)&gt;0.05,N(AC100)&gt;0),ROUNDDOWN(ROUND(CF100,6),0)&amp;"%"&amp;IF(CV100="",""," / "&amp;CV100&amp;"%"),IF(AND(N(CE100)&gt;=99.95,CV100&lt;&gt;"",N(CV100)&lt;100),"Pend. "&amp;CV100&amp;"%",""))))</f>
        <v/>
      </c>
      <c r="AZ100" s="40" t="str">
        <f aca="false">IF(OR(OR(NOT(AND(ISNUMBER(E100),ISNUMBER(F100))),$J$2=""),14&gt;MAX(1,Reprogramaciones!$U$15)),"",IF(Reprogramaciones!X$12&gt;=7,"",IF(OR(CG100-N(CF100)&gt;0.05,N(AD100)&gt;0),ROUNDDOWN(ROUND(CG100,6),0)&amp;"%"&amp;IF(CW100="",""," / "&amp;CW100&amp;"%"),IF(AND(N(CF100)&gt;=99.95,CW100&lt;&gt;"",N(CW100)&lt;100),"Pend. "&amp;CW100&amp;"%",""))))</f>
        <v/>
      </c>
      <c r="BA100" s="40" t="str">
        <f aca="false">IF(OR(OR(NOT(AND(ISNUMBER(E100),ISNUMBER(F100))),$J$2=""),15&gt;MAX(1,Reprogramaciones!$U$15)),"",IF(Reprogramaciones!Y$12&gt;=7,"",IF(OR(CH100-N(CG100)&gt;0.05,N(AE100)&gt;0),ROUNDDOWN(ROUND(CH100,6),0)&amp;"%"&amp;IF(CX100="",""," / "&amp;CX100&amp;"%"),IF(AND(N(CG100)&gt;=99.95,CX100&lt;&gt;"",N(CX100)&lt;100),"Pend. "&amp;CX100&amp;"%",""))))</f>
        <v/>
      </c>
      <c r="BB100" s="40" t="str">
        <f aca="false">IF(OR(OR(NOT(AND(ISNUMBER(E100),ISNUMBER(F100))),$J$2=""),16&gt;MAX(1,Reprogramaciones!$U$15)),"",IF(Reprogramaciones!Z$12&gt;=7,"",IF(OR(CI100-N(CH100)&gt;0.05,N(AF100)&gt;0),ROUNDDOWN(ROUND(CI100,6),0)&amp;"%"&amp;IF(CY100="",""," / "&amp;CY100&amp;"%"),IF(AND(N(CH100)&gt;=99.95,CY100&lt;&gt;"",N(CY100)&lt;100),"Pend. "&amp;CY100&amp;"%",""))))</f>
        <v/>
      </c>
      <c r="BC100" s="31" t="n">
        <f aca="false">IF(AND(ISNUMBER(E100),ISNUMBER(F100)),MAX(1,NETWORKDAYS.INTL(E100,F100,11)),0)</f>
        <v>0</v>
      </c>
      <c r="BD100" s="1" t="str">
        <f aca="false">IF(OR(NOT(AND(ISNUMBER(E100),ISNUMBER(F100))),$J$2=""),"",MIN(100,ROUND(SUM($G100:G100),1)))</f>
        <v/>
      </c>
      <c r="BE100" s="1" t="str">
        <f aca="false">IF(OR(NOT(AND(ISNUMBER(E100),ISNUMBER(F100))),$J$2=""),"",MIN(100,ROUND(SUM($G100:H100),1)))</f>
        <v/>
      </c>
      <c r="BF100" s="1" t="str">
        <f aca="false">IF(OR(NOT(AND(ISNUMBER(E100),ISNUMBER(F100))),$J$2=""),"",MIN(100,ROUND(SUM($G100:I100),1)))</f>
        <v/>
      </c>
      <c r="BG100" s="1" t="str">
        <f aca="false">IF(OR(NOT(AND(ISNUMBER(E100),ISNUMBER(F100))),$J$2=""),"",MIN(100,ROUND(SUM($G100:J100),1)))</f>
        <v/>
      </c>
      <c r="BH100" s="1" t="str">
        <f aca="false">IF(OR(NOT(AND(ISNUMBER(E100),ISNUMBER(F100))),$J$2=""),"",MIN(100,ROUND(SUM($G100:K100),1)))</f>
        <v/>
      </c>
      <c r="BI100" s="1" t="str">
        <f aca="false">IF(OR(NOT(AND(ISNUMBER(E100),ISNUMBER(F100))),$J$2=""),"",MIN(100,ROUND(SUM($G100:L100),1)))</f>
        <v/>
      </c>
      <c r="BJ100" s="1" t="str">
        <f aca="false">IF(OR(NOT(AND(ISNUMBER(E100),ISNUMBER(F100))),$J$2=""),"",MIN(100,ROUND(SUM($G100:M100),1)))</f>
        <v/>
      </c>
      <c r="BK100" s="1" t="str">
        <f aca="false">IF(OR(NOT(AND(ISNUMBER(E100),ISNUMBER(F100))),$J$2=""),"",MIN(100,ROUND(SUM($G100:N100),1)))</f>
        <v/>
      </c>
      <c r="BL100" s="1" t="str">
        <f aca="false">IF(OR(NOT(AND(ISNUMBER(E100),ISNUMBER(F100))),$J$2=""),"",MIN(100,ROUND(SUM($G100:O100),1)))</f>
        <v/>
      </c>
      <c r="BM100" s="1" t="str">
        <f aca="false">IF(OR(NOT(AND(ISNUMBER(E100),ISNUMBER(F100))),$J$2=""),"",MIN(100,ROUND(SUM($G100:P100),1)))</f>
        <v/>
      </c>
      <c r="BN100" s="1" t="str">
        <f aca="false">IF(OR(NOT(AND(ISNUMBER(E100),ISNUMBER(F100))),$J$2=""),"",MIN(100,ROUND(SUM($G100:P100),1)))</f>
        <v/>
      </c>
      <c r="BO100" s="1" t="str">
        <f aca="false">IF(OR(NOT(AND(ISNUMBER(E100),ISNUMBER(F100))),$J$2=""),"",MIN(100,ROUND(SUM($G100:P100),1)))</f>
        <v/>
      </c>
      <c r="BP100" s="1" t="str">
        <f aca="false">IF(OR(NOT(AND(ISNUMBER(E100),ISNUMBER(F100))),$J$2=""),"",MIN(100,ROUND(SUM($G100:P100),1)))</f>
        <v/>
      </c>
      <c r="BQ100" s="1" t="str">
        <f aca="false">IF(OR(NOT(AND(ISNUMBER(E100),ISNUMBER(F100))),$J$2=""),"",MIN(100,ROUND(SUM($G100:P100),1)))</f>
        <v/>
      </c>
      <c r="BR100" s="1" t="str">
        <f aca="false">IF(OR(NOT(AND(ISNUMBER(E100),ISNUMBER(F100))),$J$2=""),"",MIN(100,ROUND(SUM($G100:P100),1)))</f>
        <v/>
      </c>
      <c r="BS100" s="1" t="str">
        <f aca="false">IF(OR(NOT(AND(ISNUMBER(E100),ISNUMBER(F100))),$J$2=""),"",MIN(100,ROUND(SUM($G100:P100),1)))</f>
        <v/>
      </c>
      <c r="BT100" s="1" t="str">
        <f aca="false">IF(OR(NOT(AND(ISNUMBER(E100),ISNUMBER(F100))),$J$2=""),"",IF(Reprogramaciones!K$13&lt;Reprogramaciones!$T$15,0,IF(Reprogramaciones!K$14&gt;10,MIN(100,SUM($G100:$P100)),MIN(100,SUMPRODUCT((COLUMN($G100:$P100)-COLUMN($G100)+1&lt;Reprogramaciones!K$14)*$G100:$P100)+N(INDEX($G100:$P100,1,Reprogramaciones!K$14))*IF(Reprogramaciones!K$13&gt;=(Reprogramaciones!$T$15+7*(Reprogramaciones!K$14-1))+6,1,IF(MAX(0,NETWORKDAYS.INTL(MAX(E100,(Reprogramaciones!$T$15+7*(Reprogramaciones!K$14-1))),MIN(F100,(Reprogramaciones!$T$15+7*(Reprogramaciones!K$14-1))+6),11))=0,0,MAX(0,NETWORKDAYS.INTL(MAX(E100,(Reprogramaciones!$T$15+7*(Reprogramaciones!K$14-1))),MIN(F100,Reprogramaciones!K$13),11))/MAX(0,NETWORKDAYS.INTL(MAX(E100,(Reprogramaciones!$T$15+7*(Reprogramaciones!K$14-1))),MIN(F100,(Reprogramaciones!$T$15+7*(Reprogramaciones!K$14-1))+6),11))))))))</f>
        <v/>
      </c>
      <c r="BU100" s="1" t="str">
        <f aca="false">IF(OR(NOT(AND(ISNUMBER(E100),ISNUMBER(F100))),$J$2=""),"",IF(Reprogramaciones!L$13&lt;Reprogramaciones!$T$15,0,IF(Reprogramaciones!L$14&gt;10,MIN(100,SUM($G100:$P100)),MIN(100,SUMPRODUCT((COLUMN($G100:$P100)-COLUMN($G100)+1&lt;Reprogramaciones!L$14)*$G100:$P100)+N(INDEX($G100:$P100,1,Reprogramaciones!L$14))*IF(Reprogramaciones!L$13&gt;=(Reprogramaciones!$T$15+7*(Reprogramaciones!L$14-1))+6,1,IF(MAX(0,NETWORKDAYS.INTL(MAX(E100,(Reprogramaciones!$T$15+7*(Reprogramaciones!L$14-1))),MIN(F100,(Reprogramaciones!$T$15+7*(Reprogramaciones!L$14-1))+6),11))=0,0,MAX(0,NETWORKDAYS.INTL(MAX(E100,(Reprogramaciones!$T$15+7*(Reprogramaciones!L$14-1))),MIN(F100,Reprogramaciones!L$13),11))/MAX(0,NETWORKDAYS.INTL(MAX(E100,(Reprogramaciones!$T$15+7*(Reprogramaciones!L$14-1))),MIN(F100,(Reprogramaciones!$T$15+7*(Reprogramaciones!L$14-1))+6),11))))))))</f>
        <v/>
      </c>
      <c r="BV100" s="1" t="str">
        <f aca="false">IF(OR(NOT(AND(ISNUMBER(E100),ISNUMBER(F100))),$J$2=""),"",IF(Reprogramaciones!M$13&lt;Reprogramaciones!$T$15,0,IF(Reprogramaciones!M$14&gt;10,MIN(100,SUM($G100:$P100)),MIN(100,SUMPRODUCT((COLUMN($G100:$P100)-COLUMN($G100)+1&lt;Reprogramaciones!M$14)*$G100:$P100)+N(INDEX($G100:$P100,1,Reprogramaciones!M$14))*IF(Reprogramaciones!M$13&gt;=(Reprogramaciones!$T$15+7*(Reprogramaciones!M$14-1))+6,1,IF(MAX(0,NETWORKDAYS.INTL(MAX(E100,(Reprogramaciones!$T$15+7*(Reprogramaciones!M$14-1))),MIN(F100,(Reprogramaciones!$T$15+7*(Reprogramaciones!M$14-1))+6),11))=0,0,MAX(0,NETWORKDAYS.INTL(MAX(E100,(Reprogramaciones!$T$15+7*(Reprogramaciones!M$14-1))),MIN(F100,Reprogramaciones!M$13),11))/MAX(0,NETWORKDAYS.INTL(MAX(E100,(Reprogramaciones!$T$15+7*(Reprogramaciones!M$14-1))),MIN(F100,(Reprogramaciones!$T$15+7*(Reprogramaciones!M$14-1))+6),11))))))))</f>
        <v/>
      </c>
      <c r="BW100" s="1" t="str">
        <f aca="false">IF(OR(NOT(AND(ISNUMBER(E100),ISNUMBER(F100))),$J$2=""),"",IF(Reprogramaciones!N$13&lt;Reprogramaciones!$T$15,0,IF(Reprogramaciones!N$14&gt;10,MIN(100,SUM($G100:$P100)),MIN(100,SUMPRODUCT((COLUMN($G100:$P100)-COLUMN($G100)+1&lt;Reprogramaciones!N$14)*$G100:$P100)+N(INDEX($G100:$P100,1,Reprogramaciones!N$14))*IF(Reprogramaciones!N$13&gt;=(Reprogramaciones!$T$15+7*(Reprogramaciones!N$14-1))+6,1,IF(MAX(0,NETWORKDAYS.INTL(MAX(E100,(Reprogramaciones!$T$15+7*(Reprogramaciones!N$14-1))),MIN(F100,(Reprogramaciones!$T$15+7*(Reprogramaciones!N$14-1))+6),11))=0,0,MAX(0,NETWORKDAYS.INTL(MAX(E100,(Reprogramaciones!$T$15+7*(Reprogramaciones!N$14-1))),MIN(F100,Reprogramaciones!N$13),11))/MAX(0,NETWORKDAYS.INTL(MAX(E100,(Reprogramaciones!$T$15+7*(Reprogramaciones!N$14-1))),MIN(F100,(Reprogramaciones!$T$15+7*(Reprogramaciones!N$14-1))+6),11))))))))</f>
        <v/>
      </c>
      <c r="BX100" s="1" t="str">
        <f aca="false">IF(OR(NOT(AND(ISNUMBER(E100),ISNUMBER(F100))),$J$2=""),"",IF(Reprogramaciones!O$13&lt;Reprogramaciones!$T$15,0,IF(Reprogramaciones!O$14&gt;10,MIN(100,SUM($G100:$P100)),MIN(100,SUMPRODUCT((COLUMN($G100:$P100)-COLUMN($G100)+1&lt;Reprogramaciones!O$14)*$G100:$P100)+N(INDEX($G100:$P100,1,Reprogramaciones!O$14))*IF(Reprogramaciones!O$13&gt;=(Reprogramaciones!$T$15+7*(Reprogramaciones!O$14-1))+6,1,IF(MAX(0,NETWORKDAYS.INTL(MAX(E100,(Reprogramaciones!$T$15+7*(Reprogramaciones!O$14-1))),MIN(F100,(Reprogramaciones!$T$15+7*(Reprogramaciones!O$14-1))+6),11))=0,0,MAX(0,NETWORKDAYS.INTL(MAX(E100,(Reprogramaciones!$T$15+7*(Reprogramaciones!O$14-1))),MIN(F100,Reprogramaciones!O$13),11))/MAX(0,NETWORKDAYS.INTL(MAX(E100,(Reprogramaciones!$T$15+7*(Reprogramaciones!O$14-1))),MIN(F100,(Reprogramaciones!$T$15+7*(Reprogramaciones!O$14-1))+6),11))))))))</f>
        <v/>
      </c>
      <c r="BY100" s="1" t="str">
        <f aca="false">IF(OR(NOT(AND(ISNUMBER(E100),ISNUMBER(F100))),$J$2=""),"",IF(Reprogramaciones!P$13&lt;Reprogramaciones!$T$15,0,IF(Reprogramaciones!P$14&gt;10,MIN(100,SUM($G100:$P100)),MIN(100,SUMPRODUCT((COLUMN($G100:$P100)-COLUMN($G100)+1&lt;Reprogramaciones!P$14)*$G100:$P100)+N(INDEX($G100:$P100,1,Reprogramaciones!P$14))*IF(Reprogramaciones!P$13&gt;=(Reprogramaciones!$T$15+7*(Reprogramaciones!P$14-1))+6,1,IF(MAX(0,NETWORKDAYS.INTL(MAX(E100,(Reprogramaciones!$T$15+7*(Reprogramaciones!P$14-1))),MIN(F100,(Reprogramaciones!$T$15+7*(Reprogramaciones!P$14-1))+6),11))=0,0,MAX(0,NETWORKDAYS.INTL(MAX(E100,(Reprogramaciones!$T$15+7*(Reprogramaciones!P$14-1))),MIN(F100,Reprogramaciones!P$13),11))/MAX(0,NETWORKDAYS.INTL(MAX(E100,(Reprogramaciones!$T$15+7*(Reprogramaciones!P$14-1))),MIN(F100,(Reprogramaciones!$T$15+7*(Reprogramaciones!P$14-1))+6),11))))))))</f>
        <v/>
      </c>
      <c r="BZ100" s="1" t="str">
        <f aca="false">IF(OR(NOT(AND(ISNUMBER(E100),ISNUMBER(F100))),$J$2=""),"",IF(Reprogramaciones!Q$13&lt;Reprogramaciones!$T$15,0,IF(Reprogramaciones!Q$14&gt;10,MIN(100,SUM($G100:$P100)),MIN(100,SUMPRODUCT((COLUMN($G100:$P100)-COLUMN($G100)+1&lt;Reprogramaciones!Q$14)*$G100:$P100)+N(INDEX($G100:$P100,1,Reprogramaciones!Q$14))*IF(Reprogramaciones!Q$13&gt;=(Reprogramaciones!$T$15+7*(Reprogramaciones!Q$14-1))+6,1,IF(MAX(0,NETWORKDAYS.INTL(MAX(E100,(Reprogramaciones!$T$15+7*(Reprogramaciones!Q$14-1))),MIN(F100,(Reprogramaciones!$T$15+7*(Reprogramaciones!Q$14-1))+6),11))=0,0,MAX(0,NETWORKDAYS.INTL(MAX(E100,(Reprogramaciones!$T$15+7*(Reprogramaciones!Q$14-1))),MIN(F100,Reprogramaciones!Q$13),11))/MAX(0,NETWORKDAYS.INTL(MAX(E100,(Reprogramaciones!$T$15+7*(Reprogramaciones!Q$14-1))),MIN(F100,(Reprogramaciones!$T$15+7*(Reprogramaciones!Q$14-1))+6),11))))))))</f>
        <v/>
      </c>
      <c r="CA100" s="1" t="str">
        <f aca="false">IF(OR(NOT(AND(ISNUMBER(E100),ISNUMBER(F100))),$J$2=""),"",IF(Reprogramaciones!R$13&lt;Reprogramaciones!$T$15,0,IF(Reprogramaciones!R$14&gt;10,MIN(100,SUM($G100:$P100)),MIN(100,SUMPRODUCT((COLUMN($G100:$P100)-COLUMN($G100)+1&lt;Reprogramaciones!R$14)*$G100:$P100)+N(INDEX($G100:$P100,1,Reprogramaciones!R$14))*IF(Reprogramaciones!R$13&gt;=(Reprogramaciones!$T$15+7*(Reprogramaciones!R$14-1))+6,1,IF(MAX(0,NETWORKDAYS.INTL(MAX(E100,(Reprogramaciones!$T$15+7*(Reprogramaciones!R$14-1))),MIN(F100,(Reprogramaciones!$T$15+7*(Reprogramaciones!R$14-1))+6),11))=0,0,MAX(0,NETWORKDAYS.INTL(MAX(E100,(Reprogramaciones!$T$15+7*(Reprogramaciones!R$14-1))),MIN(F100,Reprogramaciones!R$13),11))/MAX(0,NETWORKDAYS.INTL(MAX(E100,(Reprogramaciones!$T$15+7*(Reprogramaciones!R$14-1))),MIN(F100,(Reprogramaciones!$T$15+7*(Reprogramaciones!R$14-1))+6),11))))))))</f>
        <v/>
      </c>
      <c r="CB100" s="1" t="str">
        <f aca="false">IF(OR(NOT(AND(ISNUMBER(E100),ISNUMBER(F100))),$J$2=""),"",IF(Reprogramaciones!S$13&lt;Reprogramaciones!$T$15,0,IF(Reprogramaciones!S$14&gt;10,MIN(100,SUM($G100:$P100)),MIN(100,SUMPRODUCT((COLUMN($G100:$P100)-COLUMN($G100)+1&lt;Reprogramaciones!S$14)*$G100:$P100)+N(INDEX($G100:$P100,1,Reprogramaciones!S$14))*IF(Reprogramaciones!S$13&gt;=(Reprogramaciones!$T$15+7*(Reprogramaciones!S$14-1))+6,1,IF(MAX(0,NETWORKDAYS.INTL(MAX(E100,(Reprogramaciones!$T$15+7*(Reprogramaciones!S$14-1))),MIN(F100,(Reprogramaciones!$T$15+7*(Reprogramaciones!S$14-1))+6),11))=0,0,MAX(0,NETWORKDAYS.INTL(MAX(E100,(Reprogramaciones!$T$15+7*(Reprogramaciones!S$14-1))),MIN(F100,Reprogramaciones!S$13),11))/MAX(0,NETWORKDAYS.INTL(MAX(E100,(Reprogramaciones!$T$15+7*(Reprogramaciones!S$14-1))),MIN(F100,(Reprogramaciones!$T$15+7*(Reprogramaciones!S$14-1))+6),11))))))))</f>
        <v/>
      </c>
      <c r="CC100" s="1" t="str">
        <f aca="false">IF(OR(NOT(AND(ISNUMBER(E100),ISNUMBER(F100))),$J$2=""),"",IF(Reprogramaciones!T$13&lt;Reprogramaciones!$T$15,0,IF(Reprogramaciones!T$14&gt;10,MIN(100,SUM($G100:$P100)),MIN(100,SUMPRODUCT((COLUMN($G100:$P100)-COLUMN($G100)+1&lt;Reprogramaciones!T$14)*$G100:$P100)+N(INDEX($G100:$P100,1,Reprogramaciones!T$14))*IF(Reprogramaciones!T$13&gt;=(Reprogramaciones!$T$15+7*(Reprogramaciones!T$14-1))+6,1,IF(MAX(0,NETWORKDAYS.INTL(MAX(E100,(Reprogramaciones!$T$15+7*(Reprogramaciones!T$14-1))),MIN(F100,(Reprogramaciones!$T$15+7*(Reprogramaciones!T$14-1))+6),11))=0,0,MAX(0,NETWORKDAYS.INTL(MAX(E100,(Reprogramaciones!$T$15+7*(Reprogramaciones!T$14-1))),MIN(F100,Reprogramaciones!T$13),11))/MAX(0,NETWORKDAYS.INTL(MAX(E100,(Reprogramaciones!$T$15+7*(Reprogramaciones!T$14-1))),MIN(F100,(Reprogramaciones!$T$15+7*(Reprogramaciones!T$14-1))+6),11))))))))</f>
        <v/>
      </c>
      <c r="CD100" s="1" t="str">
        <f aca="false">IF(OR(NOT(AND(ISNUMBER(E100),ISNUMBER(F100))),$J$2=""),"",IF(Reprogramaciones!U$13&lt;Reprogramaciones!$T$15,0,IF(Reprogramaciones!U$14&gt;10,MIN(100,SUM($G100:$P100)),MIN(100,SUMPRODUCT((COLUMN($G100:$P100)-COLUMN($G100)+1&lt;Reprogramaciones!U$14)*$G100:$P100)+N(INDEX($G100:$P100,1,Reprogramaciones!U$14))*IF(Reprogramaciones!U$13&gt;=(Reprogramaciones!$T$15+7*(Reprogramaciones!U$14-1))+6,1,IF(MAX(0,NETWORKDAYS.INTL(MAX(E100,(Reprogramaciones!$T$15+7*(Reprogramaciones!U$14-1))),MIN(F100,(Reprogramaciones!$T$15+7*(Reprogramaciones!U$14-1))+6),11))=0,0,MAX(0,NETWORKDAYS.INTL(MAX(E100,(Reprogramaciones!$T$15+7*(Reprogramaciones!U$14-1))),MIN(F100,Reprogramaciones!U$13),11))/MAX(0,NETWORKDAYS.INTL(MAX(E100,(Reprogramaciones!$T$15+7*(Reprogramaciones!U$14-1))),MIN(F100,(Reprogramaciones!$T$15+7*(Reprogramaciones!U$14-1))+6),11))))))))</f>
        <v/>
      </c>
      <c r="CE100" s="1" t="str">
        <f aca="false">IF(OR(NOT(AND(ISNUMBER(E100),ISNUMBER(F100))),$J$2=""),"",IF(Reprogramaciones!V$13&lt;Reprogramaciones!$T$15,0,IF(Reprogramaciones!V$14&gt;10,MIN(100,SUM($G100:$P100)),MIN(100,SUMPRODUCT((COLUMN($G100:$P100)-COLUMN($G100)+1&lt;Reprogramaciones!V$14)*$G100:$P100)+N(INDEX($G100:$P100,1,Reprogramaciones!V$14))*IF(Reprogramaciones!V$13&gt;=(Reprogramaciones!$T$15+7*(Reprogramaciones!V$14-1))+6,1,IF(MAX(0,NETWORKDAYS.INTL(MAX(E100,(Reprogramaciones!$T$15+7*(Reprogramaciones!V$14-1))),MIN(F100,(Reprogramaciones!$T$15+7*(Reprogramaciones!V$14-1))+6),11))=0,0,MAX(0,NETWORKDAYS.INTL(MAX(E100,(Reprogramaciones!$T$15+7*(Reprogramaciones!V$14-1))),MIN(F100,Reprogramaciones!V$13),11))/MAX(0,NETWORKDAYS.INTL(MAX(E100,(Reprogramaciones!$T$15+7*(Reprogramaciones!V$14-1))),MIN(F100,(Reprogramaciones!$T$15+7*(Reprogramaciones!V$14-1))+6),11))))))))</f>
        <v/>
      </c>
      <c r="CF100" s="1" t="str">
        <f aca="false">IF(OR(NOT(AND(ISNUMBER(E100),ISNUMBER(F100))),$J$2=""),"",IF(Reprogramaciones!W$13&lt;Reprogramaciones!$T$15,0,IF(Reprogramaciones!W$14&gt;10,MIN(100,SUM($G100:$P100)),MIN(100,SUMPRODUCT((COLUMN($G100:$P100)-COLUMN($G100)+1&lt;Reprogramaciones!W$14)*$G100:$P100)+N(INDEX($G100:$P100,1,Reprogramaciones!W$14))*IF(Reprogramaciones!W$13&gt;=(Reprogramaciones!$T$15+7*(Reprogramaciones!W$14-1))+6,1,IF(MAX(0,NETWORKDAYS.INTL(MAX(E100,(Reprogramaciones!$T$15+7*(Reprogramaciones!W$14-1))),MIN(F100,(Reprogramaciones!$T$15+7*(Reprogramaciones!W$14-1))+6),11))=0,0,MAX(0,NETWORKDAYS.INTL(MAX(E100,(Reprogramaciones!$T$15+7*(Reprogramaciones!W$14-1))),MIN(F100,Reprogramaciones!W$13),11))/MAX(0,NETWORKDAYS.INTL(MAX(E100,(Reprogramaciones!$T$15+7*(Reprogramaciones!W$14-1))),MIN(F100,(Reprogramaciones!$T$15+7*(Reprogramaciones!W$14-1))+6),11))))))))</f>
        <v/>
      </c>
      <c r="CG100" s="1" t="str">
        <f aca="false">IF(OR(NOT(AND(ISNUMBER(E100),ISNUMBER(F100))),$J$2=""),"",IF(Reprogramaciones!X$13&lt;Reprogramaciones!$T$15,0,IF(Reprogramaciones!X$14&gt;10,MIN(100,SUM($G100:$P100)),MIN(100,SUMPRODUCT((COLUMN($G100:$P100)-COLUMN($G100)+1&lt;Reprogramaciones!X$14)*$G100:$P100)+N(INDEX($G100:$P100,1,Reprogramaciones!X$14))*IF(Reprogramaciones!X$13&gt;=(Reprogramaciones!$T$15+7*(Reprogramaciones!X$14-1))+6,1,IF(MAX(0,NETWORKDAYS.INTL(MAX(E100,(Reprogramaciones!$T$15+7*(Reprogramaciones!X$14-1))),MIN(F100,(Reprogramaciones!$T$15+7*(Reprogramaciones!X$14-1))+6),11))=0,0,MAX(0,NETWORKDAYS.INTL(MAX(E100,(Reprogramaciones!$T$15+7*(Reprogramaciones!X$14-1))),MIN(F100,Reprogramaciones!X$13),11))/MAX(0,NETWORKDAYS.INTL(MAX(E100,(Reprogramaciones!$T$15+7*(Reprogramaciones!X$14-1))),MIN(F100,(Reprogramaciones!$T$15+7*(Reprogramaciones!X$14-1))+6),11))))))))</f>
        <v/>
      </c>
      <c r="CH100" s="1" t="str">
        <f aca="false">IF(OR(NOT(AND(ISNUMBER(E100),ISNUMBER(F100))),$J$2=""),"",IF(Reprogramaciones!Y$13&lt;Reprogramaciones!$T$15,0,IF(Reprogramaciones!Y$14&gt;10,MIN(100,SUM($G100:$P100)),MIN(100,SUMPRODUCT((COLUMN($G100:$P100)-COLUMN($G100)+1&lt;Reprogramaciones!Y$14)*$G100:$P100)+N(INDEX($G100:$P100,1,Reprogramaciones!Y$14))*IF(Reprogramaciones!Y$13&gt;=(Reprogramaciones!$T$15+7*(Reprogramaciones!Y$14-1))+6,1,IF(MAX(0,NETWORKDAYS.INTL(MAX(E100,(Reprogramaciones!$T$15+7*(Reprogramaciones!Y$14-1))),MIN(F100,(Reprogramaciones!$T$15+7*(Reprogramaciones!Y$14-1))+6),11))=0,0,MAX(0,NETWORKDAYS.INTL(MAX(E100,(Reprogramaciones!$T$15+7*(Reprogramaciones!Y$14-1))),MIN(F100,Reprogramaciones!Y$13),11))/MAX(0,NETWORKDAYS.INTL(MAX(E100,(Reprogramaciones!$T$15+7*(Reprogramaciones!Y$14-1))),MIN(F100,(Reprogramaciones!$T$15+7*(Reprogramaciones!Y$14-1))+6),11))))))))</f>
        <v/>
      </c>
      <c r="CI100" s="1" t="str">
        <f aca="false">IF(OR(NOT(AND(ISNUMBER(E100),ISNUMBER(F100))),$J$2=""),"",IF(Reprogramaciones!Z$13&lt;Reprogramaciones!$T$15,0,IF(Reprogramaciones!Z$14&gt;10,MIN(100,SUM($G100:$P100)),MIN(100,SUMPRODUCT((COLUMN($G100:$P100)-COLUMN($G100)+1&lt;Reprogramaciones!Z$14)*$G100:$P100)+N(INDEX($G100:$P100,1,Reprogramaciones!Z$14))*IF(Reprogramaciones!Z$13&gt;=(Reprogramaciones!$T$15+7*(Reprogramaciones!Z$14-1))+6,1,IF(MAX(0,NETWORKDAYS.INTL(MAX(E100,(Reprogramaciones!$T$15+7*(Reprogramaciones!Z$14-1))),MIN(F100,(Reprogramaciones!$T$15+7*(Reprogramaciones!Z$14-1))+6),11))=0,0,MAX(0,NETWORKDAYS.INTL(MAX(E100,(Reprogramaciones!$T$15+7*(Reprogramaciones!Z$14-1))),MIN(F100,Reprogramaciones!Z$13),11))/MAX(0,NETWORKDAYS.INTL(MAX(E100,(Reprogramaciones!$T$15+7*(Reprogramaciones!Z$14-1))),MIN(F100,(Reprogramaciones!$T$15+7*(Reprogramaciones!Z$14-1))+6),11))))))))</f>
        <v/>
      </c>
      <c r="CJ100" s="1" t="str">
        <f aca="false">IF(OR(OR(NOT(AND(ISNUMBER(E100),ISNUMBER(F100))),$J$2=""),1&gt;Reprogramaciones!$K$16),"",IF(ROUND(SUM($Q100:Q100),1)&gt;=99.5,100,MIN(100,ROUND(SUM($Q100:Q100),1))))</f>
        <v/>
      </c>
      <c r="CK100" s="1" t="str">
        <f aca="false">IF(OR(OR(NOT(AND(ISNUMBER(E100),ISNUMBER(F100))),$J$2=""),2&gt;Reprogramaciones!$K$16),"",IF(ROUND(SUM($Q100:R100),1)&gt;=99.5,100,MIN(100,ROUND(SUM($Q100:R100),1))))</f>
        <v/>
      </c>
      <c r="CL100" s="1" t="str">
        <f aca="false">IF(OR(OR(NOT(AND(ISNUMBER(E100),ISNUMBER(F100))),$J$2=""),3&gt;Reprogramaciones!$K$16),"",IF(ROUND(SUM($Q100:S100),1)&gt;=99.5,100,MIN(100,ROUND(SUM($Q100:S100),1))))</f>
        <v/>
      </c>
      <c r="CM100" s="1" t="str">
        <f aca="false">IF(OR(OR(NOT(AND(ISNUMBER(E100),ISNUMBER(F100))),$J$2=""),4&gt;Reprogramaciones!$K$16),"",IF(ROUND(SUM($Q100:T100),1)&gt;=99.5,100,MIN(100,ROUND(SUM($Q100:T100),1))))</f>
        <v/>
      </c>
      <c r="CN100" s="1" t="str">
        <f aca="false">IF(OR(OR(NOT(AND(ISNUMBER(E100),ISNUMBER(F100))),$J$2=""),5&gt;Reprogramaciones!$K$16),"",IF(ROUND(SUM($Q100:U100),1)&gt;=99.5,100,MIN(100,ROUND(SUM($Q100:U100),1))))</f>
        <v/>
      </c>
      <c r="CO100" s="1" t="str">
        <f aca="false">IF(OR(OR(NOT(AND(ISNUMBER(E100),ISNUMBER(F100))),$J$2=""),6&gt;Reprogramaciones!$K$16),"",IF(ROUND(SUM($Q100:V100),1)&gt;=99.5,100,MIN(100,ROUND(SUM($Q100:V100),1))))</f>
        <v/>
      </c>
      <c r="CP100" s="1" t="str">
        <f aca="false">IF(OR(OR(NOT(AND(ISNUMBER(E100),ISNUMBER(F100))),$J$2=""),7&gt;Reprogramaciones!$K$16),"",IF(ROUND(SUM($Q100:W100),1)&gt;=99.5,100,MIN(100,ROUND(SUM($Q100:W100),1))))</f>
        <v/>
      </c>
      <c r="CQ100" s="1" t="str">
        <f aca="false">IF(OR(OR(NOT(AND(ISNUMBER(E100),ISNUMBER(F100))),$J$2=""),8&gt;Reprogramaciones!$K$16),"",IF(ROUND(SUM($Q100:X100),1)&gt;=99.5,100,MIN(100,ROUND(SUM($Q100:X100),1))))</f>
        <v/>
      </c>
      <c r="CR100" s="1" t="str">
        <f aca="false">IF(OR(OR(NOT(AND(ISNUMBER(E100),ISNUMBER(F100))),$J$2=""),9&gt;Reprogramaciones!$K$16),"",IF(ROUND(SUM($Q100:Y100),1)&gt;=99.5,100,MIN(100,ROUND(SUM($Q100:Y100),1))))</f>
        <v/>
      </c>
      <c r="CS100" s="1" t="str">
        <f aca="false">IF(OR(OR(NOT(AND(ISNUMBER(E100),ISNUMBER(F100))),$J$2=""),10&gt;Reprogramaciones!$K$16),"",IF(ROUND(SUM($Q100:Z100),1)&gt;=99.5,100,MIN(100,ROUND(SUM($Q100:Z100),1))))</f>
        <v/>
      </c>
      <c r="CT100" s="1" t="str">
        <f aca="false">IF(OR(OR(NOT(AND(ISNUMBER(E100),ISNUMBER(F100))),$J$2=""),11&gt;Reprogramaciones!$K$16),"",IF(ROUND(SUM($Q100:AA100),1)&gt;=99.5,100,MIN(100,ROUND(SUM($Q100:AA100),1))))</f>
        <v/>
      </c>
      <c r="CU100" s="1" t="str">
        <f aca="false">IF(OR(OR(NOT(AND(ISNUMBER(E100),ISNUMBER(F100))),$J$2=""),12&gt;Reprogramaciones!$K$16),"",IF(ROUND(SUM($Q100:AB100),1)&gt;=99.5,100,MIN(100,ROUND(SUM($Q100:AB100),1))))</f>
        <v/>
      </c>
      <c r="CV100" s="1" t="str">
        <f aca="false">IF(OR(OR(NOT(AND(ISNUMBER(E100),ISNUMBER(F100))),$J$2=""),13&gt;Reprogramaciones!$K$16),"",IF(ROUND(SUM($Q100:AC100),1)&gt;=99.5,100,MIN(100,ROUND(SUM($Q100:AC100),1))))</f>
        <v/>
      </c>
      <c r="CW100" s="1" t="str">
        <f aca="false">IF(OR(OR(NOT(AND(ISNUMBER(E100),ISNUMBER(F100))),$J$2=""),14&gt;Reprogramaciones!$K$16),"",IF(ROUND(SUM($Q100:AD100),1)&gt;=99.5,100,MIN(100,ROUND(SUM($Q100:AD100),1))))</f>
        <v/>
      </c>
      <c r="CX100" s="1" t="str">
        <f aca="false">IF(OR(OR(NOT(AND(ISNUMBER(E100),ISNUMBER(F100))),$J$2=""),15&gt;Reprogramaciones!$K$16),"",IF(ROUND(SUM($Q100:AE100),1)&gt;=99.5,100,MIN(100,ROUND(SUM($Q100:AE100),1))))</f>
        <v/>
      </c>
      <c r="CY100" s="1" t="str">
        <f aca="false">IF(OR(OR(NOT(AND(ISNUMBER(E100),ISNUMBER(F100))),$J$2=""),16&gt;Reprogramaciones!$K$16),"",IF(ROUND(SUM($Q100:AF100),1)&gt;=99.5,100,MIN(100,ROUND(SUM($Q100:AF100),1))))</f>
        <v/>
      </c>
      <c r="CZ100" s="1" t="str">
        <f aca="false">IF(D100&lt;&gt;"",D100,IF(B100&lt;&gt;"","Contractual",CZ99))</f>
        <v>Contractual</v>
      </c>
      <c r="DA100" s="1" t="str">
        <f aca="false">IF(OR(NOT(AND(ISNUMBER(E100),ISNUMBER(F100))),$J$2=""),"",IF(Reprogramaciones!$Q$15&lt;Reprogramaciones!$T$15,0,IF(Reprogramaciones!$S$15&gt;10,MIN(100,SUM($G100:$P100)),MIN(100,SUMPRODUCT((COLUMN($G100:$P100)-COLUMN($G100)+1&lt;Reprogramaciones!$S$15)*$G100:$P100)+N(INDEX($G100:$P100,1,Reprogramaciones!$S$15))*IF(Reprogramaciones!$Q$15&gt;=(Reprogramaciones!$T$15+7*(Reprogramaciones!$S$15-1))+6,1,IF(MAX(0,NETWORKDAYS.INTL(MAX(E100,(Reprogramaciones!$T$15+7*(Reprogramaciones!$S$15-1))),MIN(F100,(Reprogramaciones!$T$15+7*(Reprogramaciones!$S$15-1))+6),11))=0,0,MAX(0,NETWORKDAYS.INTL(MAX(E100,(Reprogramaciones!$T$15+7*(Reprogramaciones!$S$15-1))),MIN(F100,Reprogramaciones!$Q$15),11))/MAX(0,NETWORKDAYS.INTL(MAX(E100,(Reprogramaciones!$T$15+7*(Reprogramaciones!$S$15-1))),MIN(F100,(Reprogramaciones!$T$15+7*(Reprogramaciones!$S$15-1))+6),11))))))))</f>
        <v/>
      </c>
    </row>
    <row r="101" customFormat="false" ht="15" hidden="false" customHeight="false" outlineLevel="0" collapsed="false">
      <c r="A101" s="32"/>
      <c r="B101" s="33"/>
      <c r="C101" s="33"/>
      <c r="D101" s="34"/>
      <c r="E101" s="35"/>
      <c r="F101" s="35"/>
      <c r="G101" s="36" t="str">
        <f aca="false">IF(OR(NOT(AND(ISNUMBER(E101),ISNUMBER(F101))),$J$2=""),"",IF(Reprogramaciones!K$9&lt;E101,0,IF(NETWORKDAYS.INTL(E101,F101,11)=0,IF(Reprogramaciones!K$9&gt;=F101,100,0),ROUND(NETWORKDAYS.INTL(E101,MIN(F101,Reprogramaciones!K$9),11)/NETWORKDAYS.INTL(E101,F101,11)*100,1)))-0)</f>
        <v/>
      </c>
      <c r="H101" s="36" t="str">
        <f aca="false">IF(OR(NOT(AND(ISNUMBER(E101),ISNUMBER(F101))),$J$2=""),"",IF(Reprogramaciones!L$9&lt;E101,0,IF(NETWORKDAYS.INTL(E101,F101,11)=0,IF(Reprogramaciones!L$9&gt;=F101,100,0),ROUND(NETWORKDAYS.INTL(E101,MIN(F101,Reprogramaciones!L$9),11)/NETWORKDAYS.INTL(E101,F101,11)*100,1)))-IF(Reprogramaciones!K$9&lt;E101,0,IF(NETWORKDAYS.INTL(E101,F101,11)=0,IF(Reprogramaciones!K$9&gt;=F101,100,0),ROUND(NETWORKDAYS.INTL(E101,MIN(F101,Reprogramaciones!K$9),11)/NETWORKDAYS.INTL(E101,F101,11)*100,1))))</f>
        <v/>
      </c>
      <c r="I101" s="36" t="str">
        <f aca="false">IF(OR(NOT(AND(ISNUMBER(E101),ISNUMBER(F101))),$J$2=""),"",IF(Reprogramaciones!M$9&lt;E101,0,IF(NETWORKDAYS.INTL(E101,F101,11)=0,IF(Reprogramaciones!M$9&gt;=F101,100,0),ROUND(NETWORKDAYS.INTL(E101,MIN(F101,Reprogramaciones!M$9),11)/NETWORKDAYS.INTL(E101,F101,11)*100,1)))-IF(Reprogramaciones!L$9&lt;E101,0,IF(NETWORKDAYS.INTL(E101,F101,11)=0,IF(Reprogramaciones!L$9&gt;=F101,100,0),ROUND(NETWORKDAYS.INTL(E101,MIN(F101,Reprogramaciones!L$9),11)/NETWORKDAYS.INTL(E101,F101,11)*100,1))))</f>
        <v/>
      </c>
      <c r="J101" s="36" t="str">
        <f aca="false">IF(OR(NOT(AND(ISNUMBER(E101),ISNUMBER(F101))),$J$2=""),"",IF(Reprogramaciones!N$9&lt;E101,0,IF(NETWORKDAYS.INTL(E101,F101,11)=0,IF(Reprogramaciones!N$9&gt;=F101,100,0),ROUND(NETWORKDAYS.INTL(E101,MIN(F101,Reprogramaciones!N$9),11)/NETWORKDAYS.INTL(E101,F101,11)*100,1)))-IF(Reprogramaciones!M$9&lt;E101,0,IF(NETWORKDAYS.INTL(E101,F101,11)=0,IF(Reprogramaciones!M$9&gt;=F101,100,0),ROUND(NETWORKDAYS.INTL(E101,MIN(F101,Reprogramaciones!M$9),11)/NETWORKDAYS.INTL(E101,F101,11)*100,1))))</f>
        <v/>
      </c>
      <c r="K101" s="36" t="str">
        <f aca="false">IF(OR(NOT(AND(ISNUMBER(E101),ISNUMBER(F101))),$J$2=""),"",IF(Reprogramaciones!O$9&lt;E101,0,IF(NETWORKDAYS.INTL(E101,F101,11)=0,IF(Reprogramaciones!O$9&gt;=F101,100,0),ROUND(NETWORKDAYS.INTL(E101,MIN(F101,Reprogramaciones!O$9),11)/NETWORKDAYS.INTL(E101,F101,11)*100,1)))-IF(Reprogramaciones!N$9&lt;E101,0,IF(NETWORKDAYS.INTL(E101,F101,11)=0,IF(Reprogramaciones!N$9&gt;=F101,100,0),ROUND(NETWORKDAYS.INTL(E101,MIN(F101,Reprogramaciones!N$9),11)/NETWORKDAYS.INTL(E101,F101,11)*100,1))))</f>
        <v/>
      </c>
      <c r="L101" s="36" t="str">
        <f aca="false">IF(OR(NOT(AND(ISNUMBER(E101),ISNUMBER(F101))),$J$2=""),"",IF(Reprogramaciones!P$9&lt;E101,0,IF(NETWORKDAYS.INTL(E101,F101,11)=0,IF(Reprogramaciones!P$9&gt;=F101,100,0),ROUND(NETWORKDAYS.INTL(E101,MIN(F101,Reprogramaciones!P$9),11)/NETWORKDAYS.INTL(E101,F101,11)*100,1)))-IF(Reprogramaciones!O$9&lt;E101,0,IF(NETWORKDAYS.INTL(E101,F101,11)=0,IF(Reprogramaciones!O$9&gt;=F101,100,0),ROUND(NETWORKDAYS.INTL(E101,MIN(F101,Reprogramaciones!O$9),11)/NETWORKDAYS.INTL(E101,F101,11)*100,1))))</f>
        <v/>
      </c>
      <c r="M101" s="36" t="str">
        <f aca="false">IF(OR(NOT(AND(ISNUMBER(E101),ISNUMBER(F101))),$J$2=""),"",IF(Reprogramaciones!Q$9&lt;E101,0,IF(NETWORKDAYS.INTL(E101,F101,11)=0,IF(Reprogramaciones!Q$9&gt;=F101,100,0),ROUND(NETWORKDAYS.INTL(E101,MIN(F101,Reprogramaciones!Q$9),11)/NETWORKDAYS.INTL(E101,F101,11)*100,1)))-IF(Reprogramaciones!P$9&lt;E101,0,IF(NETWORKDAYS.INTL(E101,F101,11)=0,IF(Reprogramaciones!P$9&gt;=F101,100,0),ROUND(NETWORKDAYS.INTL(E101,MIN(F101,Reprogramaciones!P$9),11)/NETWORKDAYS.INTL(E101,F101,11)*100,1))))</f>
        <v/>
      </c>
      <c r="N101" s="36" t="str">
        <f aca="false">IF(OR(NOT(AND(ISNUMBER(E101),ISNUMBER(F101))),$J$2=""),"",IF(Reprogramaciones!R$9&lt;E101,0,IF(NETWORKDAYS.INTL(E101,F101,11)=0,IF(Reprogramaciones!R$9&gt;=F101,100,0),ROUND(NETWORKDAYS.INTL(E101,MIN(F101,Reprogramaciones!R$9),11)/NETWORKDAYS.INTL(E101,F101,11)*100,1)))-IF(Reprogramaciones!Q$9&lt;E101,0,IF(NETWORKDAYS.INTL(E101,F101,11)=0,IF(Reprogramaciones!Q$9&gt;=F101,100,0),ROUND(NETWORKDAYS.INTL(E101,MIN(F101,Reprogramaciones!Q$9),11)/NETWORKDAYS.INTL(E101,F101,11)*100,1))))</f>
        <v/>
      </c>
      <c r="O101" s="36" t="str">
        <f aca="false">IF(OR(NOT(AND(ISNUMBER(E101),ISNUMBER(F101))),$J$2=""),"",IF(Reprogramaciones!S$9&lt;E101,0,IF(NETWORKDAYS.INTL(E101,F101,11)=0,IF(Reprogramaciones!S$9&gt;=F101,100,0),ROUND(NETWORKDAYS.INTL(E101,MIN(F101,Reprogramaciones!S$9),11)/NETWORKDAYS.INTL(E101,F101,11)*100,1)))-IF(Reprogramaciones!R$9&lt;E101,0,IF(NETWORKDAYS.INTL(E101,F101,11)=0,IF(Reprogramaciones!R$9&gt;=F101,100,0),ROUND(NETWORKDAYS.INTL(E101,MIN(F101,Reprogramaciones!R$9),11)/NETWORKDAYS.INTL(E101,F101,11)*100,1))))</f>
        <v/>
      </c>
      <c r="P101" s="36" t="str">
        <f aca="false">IF(OR(NOT(AND(ISNUMBER(E101),ISNUMBER(F101))),$J$2=""),"",IF(Reprogramaciones!T$9&lt;E101,0,IF(NETWORKDAYS.INTL(E101,F101,11)=0,IF(Reprogramaciones!T$9&gt;=F101,100,0),ROUND(NETWORKDAYS.INTL(E101,MIN(F101,Reprogramaciones!T$9),11)/NETWORKDAYS.INTL(E101,F101,11)*100,1)))-IF(Reprogramaciones!S$9&lt;E101,0,IF(NETWORKDAYS.INTL(E101,F101,11)=0,IF(Reprogramaciones!S$9&gt;=F101,100,0),ROUND(NETWORKDAYS.INTL(E101,MIN(F101,Reprogramaciones!S$9),11)/NETWORKDAYS.INTL(E101,F101,11)*100,1))))</f>
        <v/>
      </c>
      <c r="Q101" s="37"/>
      <c r="R101" s="37"/>
      <c r="S101" s="37"/>
      <c r="T101" s="37"/>
      <c r="U101" s="37"/>
      <c r="V101" s="37"/>
      <c r="W101" s="37"/>
      <c r="X101" s="37"/>
      <c r="Y101" s="37"/>
      <c r="Z101" s="37"/>
      <c r="AA101" s="37"/>
      <c r="AB101" s="37"/>
      <c r="AC101" s="37"/>
      <c r="AD101" s="37"/>
      <c r="AE101" s="37"/>
      <c r="AF101" s="37"/>
      <c r="AG101" s="38" t="str">
        <f aca="false">IF(AND(ISNUMBER(E101),ISNUMBER(F101)),NETWORKDAYS.INTL(E101,F101,11),"")</f>
        <v/>
      </c>
      <c r="AH101" s="38" t="str">
        <f aca="false">IF(OR(NOT(AND(ISNUMBER(E101),ISNUMBER(F101))),$J$2=""),"",IF(Reprogramaciones!$P$15&lt;Reprogramaciones!$T$15,0,IF(Reprogramaciones!$R$15&gt;10,MIN(100,SUM($G101:$P101)),MIN(100,SUMPRODUCT((COLUMN($G101:$P101)-COLUMN($G101)+1&lt;Reprogramaciones!$R$15)*$G101:$P101)+N(INDEX($G101:$P101,1,Reprogramaciones!$R$15))*IF(Reprogramaciones!$P$15&gt;=(Reprogramaciones!$T$15+7*(Reprogramaciones!$R$15-1))+6,1,IF(MAX(0,NETWORKDAYS.INTL(MAX(E101,(Reprogramaciones!$T$15+7*(Reprogramaciones!$R$15-1))),MIN(F101,(Reprogramaciones!$T$15+7*(Reprogramaciones!$R$15-1))+6),11))=0,0,MAX(0,NETWORKDAYS.INTL(MAX(E101,(Reprogramaciones!$T$15+7*(Reprogramaciones!$R$15-1))),MIN(F101,Reprogramaciones!$P$15),11))/MAX(0,NETWORKDAYS.INTL(MAX(E101,(Reprogramaciones!$T$15+7*(Reprogramaciones!$R$15-1))),MIN(F101,(Reprogramaciones!$T$15+7*(Reprogramaciones!$R$15-1))+6),11))))))))</f>
        <v/>
      </c>
      <c r="AI101" s="38" t="str">
        <f aca="false">IF(COUNT($Q101:$AF101)=0,"",IF(ROUND(SUM($Q101:$AF101),1)&gt;=99.5,100,MIN(100,ROUND(SUM($Q101:$AF101),1))))</f>
        <v/>
      </c>
      <c r="AJ101" s="38" t="str">
        <f aca="false">IF(OR(AH101="",AI101=""),"",AI101-AH101)</f>
        <v/>
      </c>
      <c r="AK101" s="39" t="str">
        <f aca="true">IF(AH101="","",IF(OR(Ficha!$C$10="Suspendida",Ficha!$C$10="Cancelada"),Ficha!$C$10,IF(AND(AI101&lt;&gt;"",N(AI101)&gt;=100),"Completada",IF(AND(E101&gt;TODAY(),N(AI101)=0),"Por iniciar",IF(N(AI101)+0.5&lt;AH101,"Retrasada",IF(N(AI101)+0.5&lt;DA101,IF(Reprogramaciones!$K$15&gt;0,"Al día · Sem "&amp;Reprogramaciones!$K$15&amp;" en curso","Al día · en curso"),"A tiempo"))))))</f>
        <v/>
      </c>
      <c r="AL101" s="39" t="str">
        <f aca="true">IF(AND(A101="",AND(B101="",C101="",E101="",F101="",COUNT(Q101:AF101)=0)),"",IF(AND(B101="",C101="",E101="",F101="",COUNT(Q101:AF101)=0),"Falta la partida o subpartida",IF(AND(A101&lt;&gt;"",COUNTIF($A$6:$A$305,A101)&gt;1),"Ítem repetido",IF(AND(C101="",E101="",F101="",COUNT(Q101:AF101)=0),"Título de partida",IF(OR(E101="",F101=""),"Faltan fechas",IF(OR(ISTEXT(E101),ISTEXT(F101)),"Fecha escrita como texto: usa dd/mm/aaaa",IF(F101&lt;E101,"Fin antes del inicio",IF(IF($J$2="",FALSE(),OR(E101&lt;$J$2,F101&gt;Reprogramaciones!$T$15+69)),"Fuera de las 10 semanas",IF(ABS(SUM(G101:P101)-100)&gt;0.5,"La meta no suma 100%",IF(ROUND(SUM(Q101:AF101),1)&gt;100.5,"El avance pasa de 100%",IF(MIN(Q101:AF101)&lt;0,"Avance negativo",IF(COUNTA(Q101:AF101)&gt;COUNT(Q101:AF101),"Avance escrito como texto",IF(SUMPRODUCT((Q101:AF101&gt;0)*(Q101:AF101&lt;1))&gt;0,"Avance menor a 1: escribe 50, no 50%",IF(SUMPRODUCT(ISNUMBER(Q101:AF101)*(Reprogramaciones!$K$8:$Z$8&gt;TODAY()))&gt;0,"Avance en semana que aún no llega",IF(AND(N(Reprogramaciones!$E$21)&gt;0,F101&gt;Reprogramaciones!$E$21),"Pasa el fin de la obra: registra una reprogramación",IF(AND(N(Reprogramaciones!$E$21)&gt;0,SUMPRODUCT(ISNUMBER(Q101:AF101)*(Reprogramaciones!$K$8:$Z$8&gt;Reprogramaciones!$E$21))&gt;0),"Avance después del fin de la obra: registra una reprogramación por atraso","OK"))))))))))))))))</f>
        <v/>
      </c>
      <c r="AM101" s="40" t="str">
        <f aca="false">IF(OR(OR(NOT(AND(ISNUMBER(E101),ISNUMBER(F101))),$J$2=""),1&gt;MAX(1,Reprogramaciones!$U$15)),"",IF(Reprogramaciones!K$12&gt;=7,"",IF(OR(BT101-N(0)&gt;0.05,N(Q101)&gt;0),ROUNDDOWN(ROUND(BT101,6),0)&amp;"%"&amp;IF(CJ101="",""," / "&amp;CJ101&amp;"%"),IF(AND(N(0)&gt;=99.95,CJ101&lt;&gt;"",N(CJ101)&lt;100),"Pend. "&amp;CJ101&amp;"%",""))))</f>
        <v/>
      </c>
      <c r="AN101" s="40" t="str">
        <f aca="false">IF(OR(OR(NOT(AND(ISNUMBER(E101),ISNUMBER(F101))),$J$2=""),2&gt;MAX(1,Reprogramaciones!$U$15)),"",IF(Reprogramaciones!L$12&gt;=7,"",IF(OR(BU101-N(BT101)&gt;0.05,N(R101)&gt;0),ROUNDDOWN(ROUND(BU101,6),0)&amp;"%"&amp;IF(CK101="",""," / "&amp;CK101&amp;"%"),IF(AND(N(BT101)&gt;=99.95,CK101&lt;&gt;"",N(CK101)&lt;100),"Pend. "&amp;CK101&amp;"%",""))))</f>
        <v/>
      </c>
      <c r="AO101" s="40" t="str">
        <f aca="false">IF(OR(OR(NOT(AND(ISNUMBER(E101),ISNUMBER(F101))),$J$2=""),3&gt;MAX(1,Reprogramaciones!$U$15)),"",IF(Reprogramaciones!M$12&gt;=7,"",IF(OR(BV101-N(BU101)&gt;0.05,N(S101)&gt;0),ROUNDDOWN(ROUND(BV101,6),0)&amp;"%"&amp;IF(CL101="",""," / "&amp;CL101&amp;"%"),IF(AND(N(BU101)&gt;=99.95,CL101&lt;&gt;"",N(CL101)&lt;100),"Pend. "&amp;CL101&amp;"%",""))))</f>
        <v/>
      </c>
      <c r="AP101" s="40" t="str">
        <f aca="false">IF(OR(OR(NOT(AND(ISNUMBER(E101),ISNUMBER(F101))),$J$2=""),4&gt;MAX(1,Reprogramaciones!$U$15)),"",IF(Reprogramaciones!N$12&gt;=7,"",IF(OR(BW101-N(BV101)&gt;0.05,N(T101)&gt;0),ROUNDDOWN(ROUND(BW101,6),0)&amp;"%"&amp;IF(CM101="",""," / "&amp;CM101&amp;"%"),IF(AND(N(BV101)&gt;=99.95,CM101&lt;&gt;"",N(CM101)&lt;100),"Pend. "&amp;CM101&amp;"%",""))))</f>
        <v/>
      </c>
      <c r="AQ101" s="40" t="str">
        <f aca="false">IF(OR(OR(NOT(AND(ISNUMBER(E101),ISNUMBER(F101))),$J$2=""),5&gt;MAX(1,Reprogramaciones!$U$15)),"",IF(Reprogramaciones!O$12&gt;=7,"",IF(OR(BX101-N(BW101)&gt;0.05,N(U101)&gt;0),ROUNDDOWN(ROUND(BX101,6),0)&amp;"%"&amp;IF(CN101="",""," / "&amp;CN101&amp;"%"),IF(AND(N(BW101)&gt;=99.95,CN101&lt;&gt;"",N(CN101)&lt;100),"Pend. "&amp;CN101&amp;"%",""))))</f>
        <v/>
      </c>
      <c r="AR101" s="40" t="str">
        <f aca="false">IF(OR(OR(NOT(AND(ISNUMBER(E101),ISNUMBER(F101))),$J$2=""),6&gt;MAX(1,Reprogramaciones!$U$15)),"",IF(Reprogramaciones!P$12&gt;=7,"",IF(OR(BY101-N(BX101)&gt;0.05,N(V101)&gt;0),ROUNDDOWN(ROUND(BY101,6),0)&amp;"%"&amp;IF(CO101="",""," / "&amp;CO101&amp;"%"),IF(AND(N(BX101)&gt;=99.95,CO101&lt;&gt;"",N(CO101)&lt;100),"Pend. "&amp;CO101&amp;"%",""))))</f>
        <v/>
      </c>
      <c r="AS101" s="40" t="str">
        <f aca="false">IF(OR(OR(NOT(AND(ISNUMBER(E101),ISNUMBER(F101))),$J$2=""),7&gt;MAX(1,Reprogramaciones!$U$15)),"",IF(Reprogramaciones!Q$12&gt;=7,"",IF(OR(BZ101-N(BY101)&gt;0.05,N(W101)&gt;0),ROUNDDOWN(ROUND(BZ101,6),0)&amp;"%"&amp;IF(CP101="",""," / "&amp;CP101&amp;"%"),IF(AND(N(BY101)&gt;=99.95,CP101&lt;&gt;"",N(CP101)&lt;100),"Pend. "&amp;CP101&amp;"%",""))))</f>
        <v/>
      </c>
      <c r="AT101" s="40" t="str">
        <f aca="false">IF(OR(OR(NOT(AND(ISNUMBER(E101),ISNUMBER(F101))),$J$2=""),8&gt;MAX(1,Reprogramaciones!$U$15)),"",IF(Reprogramaciones!R$12&gt;=7,"",IF(OR(CA101-N(BZ101)&gt;0.05,N(X101)&gt;0),ROUNDDOWN(ROUND(CA101,6),0)&amp;"%"&amp;IF(CQ101="",""," / "&amp;CQ101&amp;"%"),IF(AND(N(BZ101)&gt;=99.95,CQ101&lt;&gt;"",N(CQ101)&lt;100),"Pend. "&amp;CQ101&amp;"%",""))))</f>
        <v/>
      </c>
      <c r="AU101" s="40" t="str">
        <f aca="false">IF(OR(OR(NOT(AND(ISNUMBER(E101),ISNUMBER(F101))),$J$2=""),9&gt;MAX(1,Reprogramaciones!$U$15)),"",IF(Reprogramaciones!S$12&gt;=7,"",IF(OR(CB101-N(CA101)&gt;0.05,N(Y101)&gt;0),ROUNDDOWN(ROUND(CB101,6),0)&amp;"%"&amp;IF(CR101="",""," / "&amp;CR101&amp;"%"),IF(AND(N(CA101)&gt;=99.95,CR101&lt;&gt;"",N(CR101)&lt;100),"Pend. "&amp;CR101&amp;"%",""))))</f>
        <v/>
      </c>
      <c r="AV101" s="40" t="str">
        <f aca="false">IF(OR(OR(NOT(AND(ISNUMBER(E101),ISNUMBER(F101))),$J$2=""),10&gt;MAX(1,Reprogramaciones!$U$15)),"",IF(Reprogramaciones!T$12&gt;=7,"",IF(OR(CC101-N(CB101)&gt;0.05,N(Z101)&gt;0),ROUNDDOWN(ROUND(CC101,6),0)&amp;"%"&amp;IF(CS101="",""," / "&amp;CS101&amp;"%"),IF(AND(N(CB101)&gt;=99.95,CS101&lt;&gt;"",N(CS101)&lt;100),"Pend. "&amp;CS101&amp;"%",""))))</f>
        <v/>
      </c>
      <c r="AW101" s="40" t="str">
        <f aca="false">IF(OR(OR(NOT(AND(ISNUMBER(E101),ISNUMBER(F101))),$J$2=""),11&gt;MAX(1,Reprogramaciones!$U$15)),"",IF(Reprogramaciones!U$12&gt;=7,"",IF(OR(CD101-N(CC101)&gt;0.05,N(AA101)&gt;0),ROUNDDOWN(ROUND(CD101,6),0)&amp;"%"&amp;IF(CT101="",""," / "&amp;CT101&amp;"%"),IF(AND(N(CC101)&gt;=99.95,CT101&lt;&gt;"",N(CT101)&lt;100),"Pend. "&amp;CT101&amp;"%",""))))</f>
        <v/>
      </c>
      <c r="AX101" s="40" t="str">
        <f aca="false">IF(OR(OR(NOT(AND(ISNUMBER(E101),ISNUMBER(F101))),$J$2=""),12&gt;MAX(1,Reprogramaciones!$U$15)),"",IF(Reprogramaciones!V$12&gt;=7,"",IF(OR(CE101-N(CD101)&gt;0.05,N(AB101)&gt;0),ROUNDDOWN(ROUND(CE101,6),0)&amp;"%"&amp;IF(CU101="",""," / "&amp;CU101&amp;"%"),IF(AND(N(CD101)&gt;=99.95,CU101&lt;&gt;"",N(CU101)&lt;100),"Pend. "&amp;CU101&amp;"%",""))))</f>
        <v/>
      </c>
      <c r="AY101" s="40" t="str">
        <f aca="false">IF(OR(OR(NOT(AND(ISNUMBER(E101),ISNUMBER(F101))),$J$2=""),13&gt;MAX(1,Reprogramaciones!$U$15)),"",IF(Reprogramaciones!W$12&gt;=7,"",IF(OR(CF101-N(CE101)&gt;0.05,N(AC101)&gt;0),ROUNDDOWN(ROUND(CF101,6),0)&amp;"%"&amp;IF(CV101="",""," / "&amp;CV101&amp;"%"),IF(AND(N(CE101)&gt;=99.95,CV101&lt;&gt;"",N(CV101)&lt;100),"Pend. "&amp;CV101&amp;"%",""))))</f>
        <v/>
      </c>
      <c r="AZ101" s="40" t="str">
        <f aca="false">IF(OR(OR(NOT(AND(ISNUMBER(E101),ISNUMBER(F101))),$J$2=""),14&gt;MAX(1,Reprogramaciones!$U$15)),"",IF(Reprogramaciones!X$12&gt;=7,"",IF(OR(CG101-N(CF101)&gt;0.05,N(AD101)&gt;0),ROUNDDOWN(ROUND(CG101,6),0)&amp;"%"&amp;IF(CW101="",""," / "&amp;CW101&amp;"%"),IF(AND(N(CF101)&gt;=99.95,CW101&lt;&gt;"",N(CW101)&lt;100),"Pend. "&amp;CW101&amp;"%",""))))</f>
        <v/>
      </c>
      <c r="BA101" s="40" t="str">
        <f aca="false">IF(OR(OR(NOT(AND(ISNUMBER(E101),ISNUMBER(F101))),$J$2=""),15&gt;MAX(1,Reprogramaciones!$U$15)),"",IF(Reprogramaciones!Y$12&gt;=7,"",IF(OR(CH101-N(CG101)&gt;0.05,N(AE101)&gt;0),ROUNDDOWN(ROUND(CH101,6),0)&amp;"%"&amp;IF(CX101="",""," / "&amp;CX101&amp;"%"),IF(AND(N(CG101)&gt;=99.95,CX101&lt;&gt;"",N(CX101)&lt;100),"Pend. "&amp;CX101&amp;"%",""))))</f>
        <v/>
      </c>
      <c r="BB101" s="40" t="str">
        <f aca="false">IF(OR(OR(NOT(AND(ISNUMBER(E101),ISNUMBER(F101))),$J$2=""),16&gt;MAX(1,Reprogramaciones!$U$15)),"",IF(Reprogramaciones!Z$12&gt;=7,"",IF(OR(CI101-N(CH101)&gt;0.05,N(AF101)&gt;0),ROUNDDOWN(ROUND(CI101,6),0)&amp;"%"&amp;IF(CY101="",""," / "&amp;CY101&amp;"%"),IF(AND(N(CH101)&gt;=99.95,CY101&lt;&gt;"",N(CY101)&lt;100),"Pend. "&amp;CY101&amp;"%",""))))</f>
        <v/>
      </c>
      <c r="BC101" s="31" t="n">
        <f aca="false">IF(AND(ISNUMBER(E101),ISNUMBER(F101)),MAX(1,NETWORKDAYS.INTL(E101,F101,11)),0)</f>
        <v>0</v>
      </c>
      <c r="BD101" s="1" t="str">
        <f aca="false">IF(OR(NOT(AND(ISNUMBER(E101),ISNUMBER(F101))),$J$2=""),"",MIN(100,ROUND(SUM($G101:G101),1)))</f>
        <v/>
      </c>
      <c r="BE101" s="1" t="str">
        <f aca="false">IF(OR(NOT(AND(ISNUMBER(E101),ISNUMBER(F101))),$J$2=""),"",MIN(100,ROUND(SUM($G101:H101),1)))</f>
        <v/>
      </c>
      <c r="BF101" s="1" t="str">
        <f aca="false">IF(OR(NOT(AND(ISNUMBER(E101),ISNUMBER(F101))),$J$2=""),"",MIN(100,ROUND(SUM($G101:I101),1)))</f>
        <v/>
      </c>
      <c r="BG101" s="1" t="str">
        <f aca="false">IF(OR(NOT(AND(ISNUMBER(E101),ISNUMBER(F101))),$J$2=""),"",MIN(100,ROUND(SUM($G101:J101),1)))</f>
        <v/>
      </c>
      <c r="BH101" s="1" t="str">
        <f aca="false">IF(OR(NOT(AND(ISNUMBER(E101),ISNUMBER(F101))),$J$2=""),"",MIN(100,ROUND(SUM($G101:K101),1)))</f>
        <v/>
      </c>
      <c r="BI101" s="1" t="str">
        <f aca="false">IF(OR(NOT(AND(ISNUMBER(E101),ISNUMBER(F101))),$J$2=""),"",MIN(100,ROUND(SUM($G101:L101),1)))</f>
        <v/>
      </c>
      <c r="BJ101" s="1" t="str">
        <f aca="false">IF(OR(NOT(AND(ISNUMBER(E101),ISNUMBER(F101))),$J$2=""),"",MIN(100,ROUND(SUM($G101:M101),1)))</f>
        <v/>
      </c>
      <c r="BK101" s="1" t="str">
        <f aca="false">IF(OR(NOT(AND(ISNUMBER(E101),ISNUMBER(F101))),$J$2=""),"",MIN(100,ROUND(SUM($G101:N101),1)))</f>
        <v/>
      </c>
      <c r="BL101" s="1" t="str">
        <f aca="false">IF(OR(NOT(AND(ISNUMBER(E101),ISNUMBER(F101))),$J$2=""),"",MIN(100,ROUND(SUM($G101:O101),1)))</f>
        <v/>
      </c>
      <c r="BM101" s="1" t="str">
        <f aca="false">IF(OR(NOT(AND(ISNUMBER(E101),ISNUMBER(F101))),$J$2=""),"",MIN(100,ROUND(SUM($G101:P101),1)))</f>
        <v/>
      </c>
      <c r="BN101" s="1" t="str">
        <f aca="false">IF(OR(NOT(AND(ISNUMBER(E101),ISNUMBER(F101))),$J$2=""),"",MIN(100,ROUND(SUM($G101:P101),1)))</f>
        <v/>
      </c>
      <c r="BO101" s="1" t="str">
        <f aca="false">IF(OR(NOT(AND(ISNUMBER(E101),ISNUMBER(F101))),$J$2=""),"",MIN(100,ROUND(SUM($G101:P101),1)))</f>
        <v/>
      </c>
      <c r="BP101" s="1" t="str">
        <f aca="false">IF(OR(NOT(AND(ISNUMBER(E101),ISNUMBER(F101))),$J$2=""),"",MIN(100,ROUND(SUM($G101:P101),1)))</f>
        <v/>
      </c>
      <c r="BQ101" s="1" t="str">
        <f aca="false">IF(OR(NOT(AND(ISNUMBER(E101),ISNUMBER(F101))),$J$2=""),"",MIN(100,ROUND(SUM($G101:P101),1)))</f>
        <v/>
      </c>
      <c r="BR101" s="1" t="str">
        <f aca="false">IF(OR(NOT(AND(ISNUMBER(E101),ISNUMBER(F101))),$J$2=""),"",MIN(100,ROUND(SUM($G101:P101),1)))</f>
        <v/>
      </c>
      <c r="BS101" s="1" t="str">
        <f aca="false">IF(OR(NOT(AND(ISNUMBER(E101),ISNUMBER(F101))),$J$2=""),"",MIN(100,ROUND(SUM($G101:P101),1)))</f>
        <v/>
      </c>
      <c r="BT101" s="1" t="str">
        <f aca="false">IF(OR(NOT(AND(ISNUMBER(E101),ISNUMBER(F101))),$J$2=""),"",IF(Reprogramaciones!K$13&lt;Reprogramaciones!$T$15,0,IF(Reprogramaciones!K$14&gt;10,MIN(100,SUM($G101:$P101)),MIN(100,SUMPRODUCT((COLUMN($G101:$P101)-COLUMN($G101)+1&lt;Reprogramaciones!K$14)*$G101:$P101)+N(INDEX($G101:$P101,1,Reprogramaciones!K$14))*IF(Reprogramaciones!K$13&gt;=(Reprogramaciones!$T$15+7*(Reprogramaciones!K$14-1))+6,1,IF(MAX(0,NETWORKDAYS.INTL(MAX(E101,(Reprogramaciones!$T$15+7*(Reprogramaciones!K$14-1))),MIN(F101,(Reprogramaciones!$T$15+7*(Reprogramaciones!K$14-1))+6),11))=0,0,MAX(0,NETWORKDAYS.INTL(MAX(E101,(Reprogramaciones!$T$15+7*(Reprogramaciones!K$14-1))),MIN(F101,Reprogramaciones!K$13),11))/MAX(0,NETWORKDAYS.INTL(MAX(E101,(Reprogramaciones!$T$15+7*(Reprogramaciones!K$14-1))),MIN(F101,(Reprogramaciones!$T$15+7*(Reprogramaciones!K$14-1))+6),11))))))))</f>
        <v/>
      </c>
      <c r="BU101" s="1" t="str">
        <f aca="false">IF(OR(NOT(AND(ISNUMBER(E101),ISNUMBER(F101))),$J$2=""),"",IF(Reprogramaciones!L$13&lt;Reprogramaciones!$T$15,0,IF(Reprogramaciones!L$14&gt;10,MIN(100,SUM($G101:$P101)),MIN(100,SUMPRODUCT((COLUMN($G101:$P101)-COLUMN($G101)+1&lt;Reprogramaciones!L$14)*$G101:$P101)+N(INDEX($G101:$P101,1,Reprogramaciones!L$14))*IF(Reprogramaciones!L$13&gt;=(Reprogramaciones!$T$15+7*(Reprogramaciones!L$14-1))+6,1,IF(MAX(0,NETWORKDAYS.INTL(MAX(E101,(Reprogramaciones!$T$15+7*(Reprogramaciones!L$14-1))),MIN(F101,(Reprogramaciones!$T$15+7*(Reprogramaciones!L$14-1))+6),11))=0,0,MAX(0,NETWORKDAYS.INTL(MAX(E101,(Reprogramaciones!$T$15+7*(Reprogramaciones!L$14-1))),MIN(F101,Reprogramaciones!L$13),11))/MAX(0,NETWORKDAYS.INTL(MAX(E101,(Reprogramaciones!$T$15+7*(Reprogramaciones!L$14-1))),MIN(F101,(Reprogramaciones!$T$15+7*(Reprogramaciones!L$14-1))+6),11))))))))</f>
        <v/>
      </c>
      <c r="BV101" s="1" t="str">
        <f aca="false">IF(OR(NOT(AND(ISNUMBER(E101),ISNUMBER(F101))),$J$2=""),"",IF(Reprogramaciones!M$13&lt;Reprogramaciones!$T$15,0,IF(Reprogramaciones!M$14&gt;10,MIN(100,SUM($G101:$P101)),MIN(100,SUMPRODUCT((COLUMN($G101:$P101)-COLUMN($G101)+1&lt;Reprogramaciones!M$14)*$G101:$P101)+N(INDEX($G101:$P101,1,Reprogramaciones!M$14))*IF(Reprogramaciones!M$13&gt;=(Reprogramaciones!$T$15+7*(Reprogramaciones!M$14-1))+6,1,IF(MAX(0,NETWORKDAYS.INTL(MAX(E101,(Reprogramaciones!$T$15+7*(Reprogramaciones!M$14-1))),MIN(F101,(Reprogramaciones!$T$15+7*(Reprogramaciones!M$14-1))+6),11))=0,0,MAX(0,NETWORKDAYS.INTL(MAX(E101,(Reprogramaciones!$T$15+7*(Reprogramaciones!M$14-1))),MIN(F101,Reprogramaciones!M$13),11))/MAX(0,NETWORKDAYS.INTL(MAX(E101,(Reprogramaciones!$T$15+7*(Reprogramaciones!M$14-1))),MIN(F101,(Reprogramaciones!$T$15+7*(Reprogramaciones!M$14-1))+6),11))))))))</f>
        <v/>
      </c>
      <c r="BW101" s="1" t="str">
        <f aca="false">IF(OR(NOT(AND(ISNUMBER(E101),ISNUMBER(F101))),$J$2=""),"",IF(Reprogramaciones!N$13&lt;Reprogramaciones!$T$15,0,IF(Reprogramaciones!N$14&gt;10,MIN(100,SUM($G101:$P101)),MIN(100,SUMPRODUCT((COLUMN($G101:$P101)-COLUMN($G101)+1&lt;Reprogramaciones!N$14)*$G101:$P101)+N(INDEX($G101:$P101,1,Reprogramaciones!N$14))*IF(Reprogramaciones!N$13&gt;=(Reprogramaciones!$T$15+7*(Reprogramaciones!N$14-1))+6,1,IF(MAX(0,NETWORKDAYS.INTL(MAX(E101,(Reprogramaciones!$T$15+7*(Reprogramaciones!N$14-1))),MIN(F101,(Reprogramaciones!$T$15+7*(Reprogramaciones!N$14-1))+6),11))=0,0,MAX(0,NETWORKDAYS.INTL(MAX(E101,(Reprogramaciones!$T$15+7*(Reprogramaciones!N$14-1))),MIN(F101,Reprogramaciones!N$13),11))/MAX(0,NETWORKDAYS.INTL(MAX(E101,(Reprogramaciones!$T$15+7*(Reprogramaciones!N$14-1))),MIN(F101,(Reprogramaciones!$T$15+7*(Reprogramaciones!N$14-1))+6),11))))))))</f>
        <v/>
      </c>
      <c r="BX101" s="1" t="str">
        <f aca="false">IF(OR(NOT(AND(ISNUMBER(E101),ISNUMBER(F101))),$J$2=""),"",IF(Reprogramaciones!O$13&lt;Reprogramaciones!$T$15,0,IF(Reprogramaciones!O$14&gt;10,MIN(100,SUM($G101:$P101)),MIN(100,SUMPRODUCT((COLUMN($G101:$P101)-COLUMN($G101)+1&lt;Reprogramaciones!O$14)*$G101:$P101)+N(INDEX($G101:$P101,1,Reprogramaciones!O$14))*IF(Reprogramaciones!O$13&gt;=(Reprogramaciones!$T$15+7*(Reprogramaciones!O$14-1))+6,1,IF(MAX(0,NETWORKDAYS.INTL(MAX(E101,(Reprogramaciones!$T$15+7*(Reprogramaciones!O$14-1))),MIN(F101,(Reprogramaciones!$T$15+7*(Reprogramaciones!O$14-1))+6),11))=0,0,MAX(0,NETWORKDAYS.INTL(MAX(E101,(Reprogramaciones!$T$15+7*(Reprogramaciones!O$14-1))),MIN(F101,Reprogramaciones!O$13),11))/MAX(0,NETWORKDAYS.INTL(MAX(E101,(Reprogramaciones!$T$15+7*(Reprogramaciones!O$14-1))),MIN(F101,(Reprogramaciones!$T$15+7*(Reprogramaciones!O$14-1))+6),11))))))))</f>
        <v/>
      </c>
      <c r="BY101" s="1" t="str">
        <f aca="false">IF(OR(NOT(AND(ISNUMBER(E101),ISNUMBER(F101))),$J$2=""),"",IF(Reprogramaciones!P$13&lt;Reprogramaciones!$T$15,0,IF(Reprogramaciones!P$14&gt;10,MIN(100,SUM($G101:$P101)),MIN(100,SUMPRODUCT((COLUMN($G101:$P101)-COLUMN($G101)+1&lt;Reprogramaciones!P$14)*$G101:$P101)+N(INDEX($G101:$P101,1,Reprogramaciones!P$14))*IF(Reprogramaciones!P$13&gt;=(Reprogramaciones!$T$15+7*(Reprogramaciones!P$14-1))+6,1,IF(MAX(0,NETWORKDAYS.INTL(MAX(E101,(Reprogramaciones!$T$15+7*(Reprogramaciones!P$14-1))),MIN(F101,(Reprogramaciones!$T$15+7*(Reprogramaciones!P$14-1))+6),11))=0,0,MAX(0,NETWORKDAYS.INTL(MAX(E101,(Reprogramaciones!$T$15+7*(Reprogramaciones!P$14-1))),MIN(F101,Reprogramaciones!P$13),11))/MAX(0,NETWORKDAYS.INTL(MAX(E101,(Reprogramaciones!$T$15+7*(Reprogramaciones!P$14-1))),MIN(F101,(Reprogramaciones!$T$15+7*(Reprogramaciones!P$14-1))+6),11))))))))</f>
        <v/>
      </c>
      <c r="BZ101" s="1" t="str">
        <f aca="false">IF(OR(NOT(AND(ISNUMBER(E101),ISNUMBER(F101))),$J$2=""),"",IF(Reprogramaciones!Q$13&lt;Reprogramaciones!$T$15,0,IF(Reprogramaciones!Q$14&gt;10,MIN(100,SUM($G101:$P101)),MIN(100,SUMPRODUCT((COLUMN($G101:$P101)-COLUMN($G101)+1&lt;Reprogramaciones!Q$14)*$G101:$P101)+N(INDEX($G101:$P101,1,Reprogramaciones!Q$14))*IF(Reprogramaciones!Q$13&gt;=(Reprogramaciones!$T$15+7*(Reprogramaciones!Q$14-1))+6,1,IF(MAX(0,NETWORKDAYS.INTL(MAX(E101,(Reprogramaciones!$T$15+7*(Reprogramaciones!Q$14-1))),MIN(F101,(Reprogramaciones!$T$15+7*(Reprogramaciones!Q$14-1))+6),11))=0,0,MAX(0,NETWORKDAYS.INTL(MAX(E101,(Reprogramaciones!$T$15+7*(Reprogramaciones!Q$14-1))),MIN(F101,Reprogramaciones!Q$13),11))/MAX(0,NETWORKDAYS.INTL(MAX(E101,(Reprogramaciones!$T$15+7*(Reprogramaciones!Q$14-1))),MIN(F101,(Reprogramaciones!$T$15+7*(Reprogramaciones!Q$14-1))+6),11))))))))</f>
        <v/>
      </c>
      <c r="CA101" s="1" t="str">
        <f aca="false">IF(OR(NOT(AND(ISNUMBER(E101),ISNUMBER(F101))),$J$2=""),"",IF(Reprogramaciones!R$13&lt;Reprogramaciones!$T$15,0,IF(Reprogramaciones!R$14&gt;10,MIN(100,SUM($G101:$P101)),MIN(100,SUMPRODUCT((COLUMN($G101:$P101)-COLUMN($G101)+1&lt;Reprogramaciones!R$14)*$G101:$P101)+N(INDEX($G101:$P101,1,Reprogramaciones!R$14))*IF(Reprogramaciones!R$13&gt;=(Reprogramaciones!$T$15+7*(Reprogramaciones!R$14-1))+6,1,IF(MAX(0,NETWORKDAYS.INTL(MAX(E101,(Reprogramaciones!$T$15+7*(Reprogramaciones!R$14-1))),MIN(F101,(Reprogramaciones!$T$15+7*(Reprogramaciones!R$14-1))+6),11))=0,0,MAX(0,NETWORKDAYS.INTL(MAX(E101,(Reprogramaciones!$T$15+7*(Reprogramaciones!R$14-1))),MIN(F101,Reprogramaciones!R$13),11))/MAX(0,NETWORKDAYS.INTL(MAX(E101,(Reprogramaciones!$T$15+7*(Reprogramaciones!R$14-1))),MIN(F101,(Reprogramaciones!$T$15+7*(Reprogramaciones!R$14-1))+6),11))))))))</f>
        <v/>
      </c>
      <c r="CB101" s="1" t="str">
        <f aca="false">IF(OR(NOT(AND(ISNUMBER(E101),ISNUMBER(F101))),$J$2=""),"",IF(Reprogramaciones!S$13&lt;Reprogramaciones!$T$15,0,IF(Reprogramaciones!S$14&gt;10,MIN(100,SUM($G101:$P101)),MIN(100,SUMPRODUCT((COLUMN($G101:$P101)-COLUMN($G101)+1&lt;Reprogramaciones!S$14)*$G101:$P101)+N(INDEX($G101:$P101,1,Reprogramaciones!S$14))*IF(Reprogramaciones!S$13&gt;=(Reprogramaciones!$T$15+7*(Reprogramaciones!S$14-1))+6,1,IF(MAX(0,NETWORKDAYS.INTL(MAX(E101,(Reprogramaciones!$T$15+7*(Reprogramaciones!S$14-1))),MIN(F101,(Reprogramaciones!$T$15+7*(Reprogramaciones!S$14-1))+6),11))=0,0,MAX(0,NETWORKDAYS.INTL(MAX(E101,(Reprogramaciones!$T$15+7*(Reprogramaciones!S$14-1))),MIN(F101,Reprogramaciones!S$13),11))/MAX(0,NETWORKDAYS.INTL(MAX(E101,(Reprogramaciones!$T$15+7*(Reprogramaciones!S$14-1))),MIN(F101,(Reprogramaciones!$T$15+7*(Reprogramaciones!S$14-1))+6),11))))))))</f>
        <v/>
      </c>
      <c r="CC101" s="1" t="str">
        <f aca="false">IF(OR(NOT(AND(ISNUMBER(E101),ISNUMBER(F101))),$J$2=""),"",IF(Reprogramaciones!T$13&lt;Reprogramaciones!$T$15,0,IF(Reprogramaciones!T$14&gt;10,MIN(100,SUM($G101:$P101)),MIN(100,SUMPRODUCT((COLUMN($G101:$P101)-COLUMN($G101)+1&lt;Reprogramaciones!T$14)*$G101:$P101)+N(INDEX($G101:$P101,1,Reprogramaciones!T$14))*IF(Reprogramaciones!T$13&gt;=(Reprogramaciones!$T$15+7*(Reprogramaciones!T$14-1))+6,1,IF(MAX(0,NETWORKDAYS.INTL(MAX(E101,(Reprogramaciones!$T$15+7*(Reprogramaciones!T$14-1))),MIN(F101,(Reprogramaciones!$T$15+7*(Reprogramaciones!T$14-1))+6),11))=0,0,MAX(0,NETWORKDAYS.INTL(MAX(E101,(Reprogramaciones!$T$15+7*(Reprogramaciones!T$14-1))),MIN(F101,Reprogramaciones!T$13),11))/MAX(0,NETWORKDAYS.INTL(MAX(E101,(Reprogramaciones!$T$15+7*(Reprogramaciones!T$14-1))),MIN(F101,(Reprogramaciones!$T$15+7*(Reprogramaciones!T$14-1))+6),11))))))))</f>
        <v/>
      </c>
      <c r="CD101" s="1" t="str">
        <f aca="false">IF(OR(NOT(AND(ISNUMBER(E101),ISNUMBER(F101))),$J$2=""),"",IF(Reprogramaciones!U$13&lt;Reprogramaciones!$T$15,0,IF(Reprogramaciones!U$14&gt;10,MIN(100,SUM($G101:$P101)),MIN(100,SUMPRODUCT((COLUMN($G101:$P101)-COLUMN($G101)+1&lt;Reprogramaciones!U$14)*$G101:$P101)+N(INDEX($G101:$P101,1,Reprogramaciones!U$14))*IF(Reprogramaciones!U$13&gt;=(Reprogramaciones!$T$15+7*(Reprogramaciones!U$14-1))+6,1,IF(MAX(0,NETWORKDAYS.INTL(MAX(E101,(Reprogramaciones!$T$15+7*(Reprogramaciones!U$14-1))),MIN(F101,(Reprogramaciones!$T$15+7*(Reprogramaciones!U$14-1))+6),11))=0,0,MAX(0,NETWORKDAYS.INTL(MAX(E101,(Reprogramaciones!$T$15+7*(Reprogramaciones!U$14-1))),MIN(F101,Reprogramaciones!U$13),11))/MAX(0,NETWORKDAYS.INTL(MAX(E101,(Reprogramaciones!$T$15+7*(Reprogramaciones!U$14-1))),MIN(F101,(Reprogramaciones!$T$15+7*(Reprogramaciones!U$14-1))+6),11))))))))</f>
        <v/>
      </c>
      <c r="CE101" s="1" t="str">
        <f aca="false">IF(OR(NOT(AND(ISNUMBER(E101),ISNUMBER(F101))),$J$2=""),"",IF(Reprogramaciones!V$13&lt;Reprogramaciones!$T$15,0,IF(Reprogramaciones!V$14&gt;10,MIN(100,SUM($G101:$P101)),MIN(100,SUMPRODUCT((COLUMN($G101:$P101)-COLUMN($G101)+1&lt;Reprogramaciones!V$14)*$G101:$P101)+N(INDEX($G101:$P101,1,Reprogramaciones!V$14))*IF(Reprogramaciones!V$13&gt;=(Reprogramaciones!$T$15+7*(Reprogramaciones!V$14-1))+6,1,IF(MAX(0,NETWORKDAYS.INTL(MAX(E101,(Reprogramaciones!$T$15+7*(Reprogramaciones!V$14-1))),MIN(F101,(Reprogramaciones!$T$15+7*(Reprogramaciones!V$14-1))+6),11))=0,0,MAX(0,NETWORKDAYS.INTL(MAX(E101,(Reprogramaciones!$T$15+7*(Reprogramaciones!V$14-1))),MIN(F101,Reprogramaciones!V$13),11))/MAX(0,NETWORKDAYS.INTL(MAX(E101,(Reprogramaciones!$T$15+7*(Reprogramaciones!V$14-1))),MIN(F101,(Reprogramaciones!$T$15+7*(Reprogramaciones!V$14-1))+6),11))))))))</f>
        <v/>
      </c>
      <c r="CF101" s="1" t="str">
        <f aca="false">IF(OR(NOT(AND(ISNUMBER(E101),ISNUMBER(F101))),$J$2=""),"",IF(Reprogramaciones!W$13&lt;Reprogramaciones!$T$15,0,IF(Reprogramaciones!W$14&gt;10,MIN(100,SUM($G101:$P101)),MIN(100,SUMPRODUCT((COLUMN($G101:$P101)-COLUMN($G101)+1&lt;Reprogramaciones!W$14)*$G101:$P101)+N(INDEX($G101:$P101,1,Reprogramaciones!W$14))*IF(Reprogramaciones!W$13&gt;=(Reprogramaciones!$T$15+7*(Reprogramaciones!W$14-1))+6,1,IF(MAX(0,NETWORKDAYS.INTL(MAX(E101,(Reprogramaciones!$T$15+7*(Reprogramaciones!W$14-1))),MIN(F101,(Reprogramaciones!$T$15+7*(Reprogramaciones!W$14-1))+6),11))=0,0,MAX(0,NETWORKDAYS.INTL(MAX(E101,(Reprogramaciones!$T$15+7*(Reprogramaciones!W$14-1))),MIN(F101,Reprogramaciones!W$13),11))/MAX(0,NETWORKDAYS.INTL(MAX(E101,(Reprogramaciones!$T$15+7*(Reprogramaciones!W$14-1))),MIN(F101,(Reprogramaciones!$T$15+7*(Reprogramaciones!W$14-1))+6),11))))))))</f>
        <v/>
      </c>
      <c r="CG101" s="1" t="str">
        <f aca="false">IF(OR(NOT(AND(ISNUMBER(E101),ISNUMBER(F101))),$J$2=""),"",IF(Reprogramaciones!X$13&lt;Reprogramaciones!$T$15,0,IF(Reprogramaciones!X$14&gt;10,MIN(100,SUM($G101:$P101)),MIN(100,SUMPRODUCT((COLUMN($G101:$P101)-COLUMN($G101)+1&lt;Reprogramaciones!X$14)*$G101:$P101)+N(INDEX($G101:$P101,1,Reprogramaciones!X$14))*IF(Reprogramaciones!X$13&gt;=(Reprogramaciones!$T$15+7*(Reprogramaciones!X$14-1))+6,1,IF(MAX(0,NETWORKDAYS.INTL(MAX(E101,(Reprogramaciones!$T$15+7*(Reprogramaciones!X$14-1))),MIN(F101,(Reprogramaciones!$T$15+7*(Reprogramaciones!X$14-1))+6),11))=0,0,MAX(0,NETWORKDAYS.INTL(MAX(E101,(Reprogramaciones!$T$15+7*(Reprogramaciones!X$14-1))),MIN(F101,Reprogramaciones!X$13),11))/MAX(0,NETWORKDAYS.INTL(MAX(E101,(Reprogramaciones!$T$15+7*(Reprogramaciones!X$14-1))),MIN(F101,(Reprogramaciones!$T$15+7*(Reprogramaciones!X$14-1))+6),11))))))))</f>
        <v/>
      </c>
      <c r="CH101" s="1" t="str">
        <f aca="false">IF(OR(NOT(AND(ISNUMBER(E101),ISNUMBER(F101))),$J$2=""),"",IF(Reprogramaciones!Y$13&lt;Reprogramaciones!$T$15,0,IF(Reprogramaciones!Y$14&gt;10,MIN(100,SUM($G101:$P101)),MIN(100,SUMPRODUCT((COLUMN($G101:$P101)-COLUMN($G101)+1&lt;Reprogramaciones!Y$14)*$G101:$P101)+N(INDEX($G101:$P101,1,Reprogramaciones!Y$14))*IF(Reprogramaciones!Y$13&gt;=(Reprogramaciones!$T$15+7*(Reprogramaciones!Y$14-1))+6,1,IF(MAX(0,NETWORKDAYS.INTL(MAX(E101,(Reprogramaciones!$T$15+7*(Reprogramaciones!Y$14-1))),MIN(F101,(Reprogramaciones!$T$15+7*(Reprogramaciones!Y$14-1))+6),11))=0,0,MAX(0,NETWORKDAYS.INTL(MAX(E101,(Reprogramaciones!$T$15+7*(Reprogramaciones!Y$14-1))),MIN(F101,Reprogramaciones!Y$13),11))/MAX(0,NETWORKDAYS.INTL(MAX(E101,(Reprogramaciones!$T$15+7*(Reprogramaciones!Y$14-1))),MIN(F101,(Reprogramaciones!$T$15+7*(Reprogramaciones!Y$14-1))+6),11))))))))</f>
        <v/>
      </c>
      <c r="CI101" s="1" t="str">
        <f aca="false">IF(OR(NOT(AND(ISNUMBER(E101),ISNUMBER(F101))),$J$2=""),"",IF(Reprogramaciones!Z$13&lt;Reprogramaciones!$T$15,0,IF(Reprogramaciones!Z$14&gt;10,MIN(100,SUM($G101:$P101)),MIN(100,SUMPRODUCT((COLUMN($G101:$P101)-COLUMN($G101)+1&lt;Reprogramaciones!Z$14)*$G101:$P101)+N(INDEX($G101:$P101,1,Reprogramaciones!Z$14))*IF(Reprogramaciones!Z$13&gt;=(Reprogramaciones!$T$15+7*(Reprogramaciones!Z$14-1))+6,1,IF(MAX(0,NETWORKDAYS.INTL(MAX(E101,(Reprogramaciones!$T$15+7*(Reprogramaciones!Z$14-1))),MIN(F101,(Reprogramaciones!$T$15+7*(Reprogramaciones!Z$14-1))+6),11))=0,0,MAX(0,NETWORKDAYS.INTL(MAX(E101,(Reprogramaciones!$T$15+7*(Reprogramaciones!Z$14-1))),MIN(F101,Reprogramaciones!Z$13),11))/MAX(0,NETWORKDAYS.INTL(MAX(E101,(Reprogramaciones!$T$15+7*(Reprogramaciones!Z$14-1))),MIN(F101,(Reprogramaciones!$T$15+7*(Reprogramaciones!Z$14-1))+6),11))))))))</f>
        <v/>
      </c>
      <c r="CJ101" s="1" t="str">
        <f aca="false">IF(OR(OR(NOT(AND(ISNUMBER(E101),ISNUMBER(F101))),$J$2=""),1&gt;Reprogramaciones!$K$16),"",IF(ROUND(SUM($Q101:Q101),1)&gt;=99.5,100,MIN(100,ROUND(SUM($Q101:Q101),1))))</f>
        <v/>
      </c>
      <c r="CK101" s="1" t="str">
        <f aca="false">IF(OR(OR(NOT(AND(ISNUMBER(E101),ISNUMBER(F101))),$J$2=""),2&gt;Reprogramaciones!$K$16),"",IF(ROUND(SUM($Q101:R101),1)&gt;=99.5,100,MIN(100,ROUND(SUM($Q101:R101),1))))</f>
        <v/>
      </c>
      <c r="CL101" s="1" t="str">
        <f aca="false">IF(OR(OR(NOT(AND(ISNUMBER(E101),ISNUMBER(F101))),$J$2=""),3&gt;Reprogramaciones!$K$16),"",IF(ROUND(SUM($Q101:S101),1)&gt;=99.5,100,MIN(100,ROUND(SUM($Q101:S101),1))))</f>
        <v/>
      </c>
      <c r="CM101" s="1" t="str">
        <f aca="false">IF(OR(OR(NOT(AND(ISNUMBER(E101),ISNUMBER(F101))),$J$2=""),4&gt;Reprogramaciones!$K$16),"",IF(ROUND(SUM($Q101:T101),1)&gt;=99.5,100,MIN(100,ROUND(SUM($Q101:T101),1))))</f>
        <v/>
      </c>
      <c r="CN101" s="1" t="str">
        <f aca="false">IF(OR(OR(NOT(AND(ISNUMBER(E101),ISNUMBER(F101))),$J$2=""),5&gt;Reprogramaciones!$K$16),"",IF(ROUND(SUM($Q101:U101),1)&gt;=99.5,100,MIN(100,ROUND(SUM($Q101:U101),1))))</f>
        <v/>
      </c>
      <c r="CO101" s="1" t="str">
        <f aca="false">IF(OR(OR(NOT(AND(ISNUMBER(E101),ISNUMBER(F101))),$J$2=""),6&gt;Reprogramaciones!$K$16),"",IF(ROUND(SUM($Q101:V101),1)&gt;=99.5,100,MIN(100,ROUND(SUM($Q101:V101),1))))</f>
        <v/>
      </c>
      <c r="CP101" s="1" t="str">
        <f aca="false">IF(OR(OR(NOT(AND(ISNUMBER(E101),ISNUMBER(F101))),$J$2=""),7&gt;Reprogramaciones!$K$16),"",IF(ROUND(SUM($Q101:W101),1)&gt;=99.5,100,MIN(100,ROUND(SUM($Q101:W101),1))))</f>
        <v/>
      </c>
      <c r="CQ101" s="1" t="str">
        <f aca="false">IF(OR(OR(NOT(AND(ISNUMBER(E101),ISNUMBER(F101))),$J$2=""),8&gt;Reprogramaciones!$K$16),"",IF(ROUND(SUM($Q101:X101),1)&gt;=99.5,100,MIN(100,ROUND(SUM($Q101:X101),1))))</f>
        <v/>
      </c>
      <c r="CR101" s="1" t="str">
        <f aca="false">IF(OR(OR(NOT(AND(ISNUMBER(E101),ISNUMBER(F101))),$J$2=""),9&gt;Reprogramaciones!$K$16),"",IF(ROUND(SUM($Q101:Y101),1)&gt;=99.5,100,MIN(100,ROUND(SUM($Q101:Y101),1))))</f>
        <v/>
      </c>
      <c r="CS101" s="1" t="str">
        <f aca="false">IF(OR(OR(NOT(AND(ISNUMBER(E101),ISNUMBER(F101))),$J$2=""),10&gt;Reprogramaciones!$K$16),"",IF(ROUND(SUM($Q101:Z101),1)&gt;=99.5,100,MIN(100,ROUND(SUM($Q101:Z101),1))))</f>
        <v/>
      </c>
      <c r="CT101" s="1" t="str">
        <f aca="false">IF(OR(OR(NOT(AND(ISNUMBER(E101),ISNUMBER(F101))),$J$2=""),11&gt;Reprogramaciones!$K$16),"",IF(ROUND(SUM($Q101:AA101),1)&gt;=99.5,100,MIN(100,ROUND(SUM($Q101:AA101),1))))</f>
        <v/>
      </c>
      <c r="CU101" s="1" t="str">
        <f aca="false">IF(OR(OR(NOT(AND(ISNUMBER(E101),ISNUMBER(F101))),$J$2=""),12&gt;Reprogramaciones!$K$16),"",IF(ROUND(SUM($Q101:AB101),1)&gt;=99.5,100,MIN(100,ROUND(SUM($Q101:AB101),1))))</f>
        <v/>
      </c>
      <c r="CV101" s="1" t="str">
        <f aca="false">IF(OR(OR(NOT(AND(ISNUMBER(E101),ISNUMBER(F101))),$J$2=""),13&gt;Reprogramaciones!$K$16),"",IF(ROUND(SUM($Q101:AC101),1)&gt;=99.5,100,MIN(100,ROUND(SUM($Q101:AC101),1))))</f>
        <v/>
      </c>
      <c r="CW101" s="1" t="str">
        <f aca="false">IF(OR(OR(NOT(AND(ISNUMBER(E101),ISNUMBER(F101))),$J$2=""),14&gt;Reprogramaciones!$K$16),"",IF(ROUND(SUM($Q101:AD101),1)&gt;=99.5,100,MIN(100,ROUND(SUM($Q101:AD101),1))))</f>
        <v/>
      </c>
      <c r="CX101" s="1" t="str">
        <f aca="false">IF(OR(OR(NOT(AND(ISNUMBER(E101),ISNUMBER(F101))),$J$2=""),15&gt;Reprogramaciones!$K$16),"",IF(ROUND(SUM($Q101:AE101),1)&gt;=99.5,100,MIN(100,ROUND(SUM($Q101:AE101),1))))</f>
        <v/>
      </c>
      <c r="CY101" s="1" t="str">
        <f aca="false">IF(OR(OR(NOT(AND(ISNUMBER(E101),ISNUMBER(F101))),$J$2=""),16&gt;Reprogramaciones!$K$16),"",IF(ROUND(SUM($Q101:AF101),1)&gt;=99.5,100,MIN(100,ROUND(SUM($Q101:AF101),1))))</f>
        <v/>
      </c>
      <c r="CZ101" s="1" t="str">
        <f aca="false">IF(D101&lt;&gt;"",D101,IF(B101&lt;&gt;"","Contractual",CZ100))</f>
        <v>Contractual</v>
      </c>
      <c r="DA101" s="1" t="str">
        <f aca="false">IF(OR(NOT(AND(ISNUMBER(E101),ISNUMBER(F101))),$J$2=""),"",IF(Reprogramaciones!$Q$15&lt;Reprogramaciones!$T$15,0,IF(Reprogramaciones!$S$15&gt;10,MIN(100,SUM($G101:$P101)),MIN(100,SUMPRODUCT((COLUMN($G101:$P101)-COLUMN($G101)+1&lt;Reprogramaciones!$S$15)*$G101:$P101)+N(INDEX($G101:$P101,1,Reprogramaciones!$S$15))*IF(Reprogramaciones!$Q$15&gt;=(Reprogramaciones!$T$15+7*(Reprogramaciones!$S$15-1))+6,1,IF(MAX(0,NETWORKDAYS.INTL(MAX(E101,(Reprogramaciones!$T$15+7*(Reprogramaciones!$S$15-1))),MIN(F101,(Reprogramaciones!$T$15+7*(Reprogramaciones!$S$15-1))+6),11))=0,0,MAX(0,NETWORKDAYS.INTL(MAX(E101,(Reprogramaciones!$T$15+7*(Reprogramaciones!$S$15-1))),MIN(F101,Reprogramaciones!$Q$15),11))/MAX(0,NETWORKDAYS.INTL(MAX(E101,(Reprogramaciones!$T$15+7*(Reprogramaciones!$S$15-1))),MIN(F101,(Reprogramaciones!$T$15+7*(Reprogramaciones!$S$15-1))+6),11))))))))</f>
        <v/>
      </c>
    </row>
    <row r="102" customFormat="false" ht="15" hidden="false" customHeight="false" outlineLevel="0" collapsed="false">
      <c r="A102" s="32"/>
      <c r="B102" s="33"/>
      <c r="C102" s="33"/>
      <c r="D102" s="34"/>
      <c r="E102" s="35"/>
      <c r="F102" s="35"/>
      <c r="G102" s="36" t="str">
        <f aca="false">IF(OR(NOT(AND(ISNUMBER(E102),ISNUMBER(F102))),$J$2=""),"",IF(Reprogramaciones!K$9&lt;E102,0,IF(NETWORKDAYS.INTL(E102,F102,11)=0,IF(Reprogramaciones!K$9&gt;=F102,100,0),ROUND(NETWORKDAYS.INTL(E102,MIN(F102,Reprogramaciones!K$9),11)/NETWORKDAYS.INTL(E102,F102,11)*100,1)))-0)</f>
        <v/>
      </c>
      <c r="H102" s="36" t="str">
        <f aca="false">IF(OR(NOT(AND(ISNUMBER(E102),ISNUMBER(F102))),$J$2=""),"",IF(Reprogramaciones!L$9&lt;E102,0,IF(NETWORKDAYS.INTL(E102,F102,11)=0,IF(Reprogramaciones!L$9&gt;=F102,100,0),ROUND(NETWORKDAYS.INTL(E102,MIN(F102,Reprogramaciones!L$9),11)/NETWORKDAYS.INTL(E102,F102,11)*100,1)))-IF(Reprogramaciones!K$9&lt;E102,0,IF(NETWORKDAYS.INTL(E102,F102,11)=0,IF(Reprogramaciones!K$9&gt;=F102,100,0),ROUND(NETWORKDAYS.INTL(E102,MIN(F102,Reprogramaciones!K$9),11)/NETWORKDAYS.INTL(E102,F102,11)*100,1))))</f>
        <v/>
      </c>
      <c r="I102" s="36" t="str">
        <f aca="false">IF(OR(NOT(AND(ISNUMBER(E102),ISNUMBER(F102))),$J$2=""),"",IF(Reprogramaciones!M$9&lt;E102,0,IF(NETWORKDAYS.INTL(E102,F102,11)=0,IF(Reprogramaciones!M$9&gt;=F102,100,0),ROUND(NETWORKDAYS.INTL(E102,MIN(F102,Reprogramaciones!M$9),11)/NETWORKDAYS.INTL(E102,F102,11)*100,1)))-IF(Reprogramaciones!L$9&lt;E102,0,IF(NETWORKDAYS.INTL(E102,F102,11)=0,IF(Reprogramaciones!L$9&gt;=F102,100,0),ROUND(NETWORKDAYS.INTL(E102,MIN(F102,Reprogramaciones!L$9),11)/NETWORKDAYS.INTL(E102,F102,11)*100,1))))</f>
        <v/>
      </c>
      <c r="J102" s="36" t="str">
        <f aca="false">IF(OR(NOT(AND(ISNUMBER(E102),ISNUMBER(F102))),$J$2=""),"",IF(Reprogramaciones!N$9&lt;E102,0,IF(NETWORKDAYS.INTL(E102,F102,11)=0,IF(Reprogramaciones!N$9&gt;=F102,100,0),ROUND(NETWORKDAYS.INTL(E102,MIN(F102,Reprogramaciones!N$9),11)/NETWORKDAYS.INTL(E102,F102,11)*100,1)))-IF(Reprogramaciones!M$9&lt;E102,0,IF(NETWORKDAYS.INTL(E102,F102,11)=0,IF(Reprogramaciones!M$9&gt;=F102,100,0),ROUND(NETWORKDAYS.INTL(E102,MIN(F102,Reprogramaciones!M$9),11)/NETWORKDAYS.INTL(E102,F102,11)*100,1))))</f>
        <v/>
      </c>
      <c r="K102" s="36" t="str">
        <f aca="false">IF(OR(NOT(AND(ISNUMBER(E102),ISNUMBER(F102))),$J$2=""),"",IF(Reprogramaciones!O$9&lt;E102,0,IF(NETWORKDAYS.INTL(E102,F102,11)=0,IF(Reprogramaciones!O$9&gt;=F102,100,0),ROUND(NETWORKDAYS.INTL(E102,MIN(F102,Reprogramaciones!O$9),11)/NETWORKDAYS.INTL(E102,F102,11)*100,1)))-IF(Reprogramaciones!N$9&lt;E102,0,IF(NETWORKDAYS.INTL(E102,F102,11)=0,IF(Reprogramaciones!N$9&gt;=F102,100,0),ROUND(NETWORKDAYS.INTL(E102,MIN(F102,Reprogramaciones!N$9),11)/NETWORKDAYS.INTL(E102,F102,11)*100,1))))</f>
        <v/>
      </c>
      <c r="L102" s="36" t="str">
        <f aca="false">IF(OR(NOT(AND(ISNUMBER(E102),ISNUMBER(F102))),$J$2=""),"",IF(Reprogramaciones!P$9&lt;E102,0,IF(NETWORKDAYS.INTL(E102,F102,11)=0,IF(Reprogramaciones!P$9&gt;=F102,100,0),ROUND(NETWORKDAYS.INTL(E102,MIN(F102,Reprogramaciones!P$9),11)/NETWORKDAYS.INTL(E102,F102,11)*100,1)))-IF(Reprogramaciones!O$9&lt;E102,0,IF(NETWORKDAYS.INTL(E102,F102,11)=0,IF(Reprogramaciones!O$9&gt;=F102,100,0),ROUND(NETWORKDAYS.INTL(E102,MIN(F102,Reprogramaciones!O$9),11)/NETWORKDAYS.INTL(E102,F102,11)*100,1))))</f>
        <v/>
      </c>
      <c r="M102" s="36" t="str">
        <f aca="false">IF(OR(NOT(AND(ISNUMBER(E102),ISNUMBER(F102))),$J$2=""),"",IF(Reprogramaciones!Q$9&lt;E102,0,IF(NETWORKDAYS.INTL(E102,F102,11)=0,IF(Reprogramaciones!Q$9&gt;=F102,100,0),ROUND(NETWORKDAYS.INTL(E102,MIN(F102,Reprogramaciones!Q$9),11)/NETWORKDAYS.INTL(E102,F102,11)*100,1)))-IF(Reprogramaciones!P$9&lt;E102,0,IF(NETWORKDAYS.INTL(E102,F102,11)=0,IF(Reprogramaciones!P$9&gt;=F102,100,0),ROUND(NETWORKDAYS.INTL(E102,MIN(F102,Reprogramaciones!P$9),11)/NETWORKDAYS.INTL(E102,F102,11)*100,1))))</f>
        <v/>
      </c>
      <c r="N102" s="36" t="str">
        <f aca="false">IF(OR(NOT(AND(ISNUMBER(E102),ISNUMBER(F102))),$J$2=""),"",IF(Reprogramaciones!R$9&lt;E102,0,IF(NETWORKDAYS.INTL(E102,F102,11)=0,IF(Reprogramaciones!R$9&gt;=F102,100,0),ROUND(NETWORKDAYS.INTL(E102,MIN(F102,Reprogramaciones!R$9),11)/NETWORKDAYS.INTL(E102,F102,11)*100,1)))-IF(Reprogramaciones!Q$9&lt;E102,0,IF(NETWORKDAYS.INTL(E102,F102,11)=0,IF(Reprogramaciones!Q$9&gt;=F102,100,0),ROUND(NETWORKDAYS.INTL(E102,MIN(F102,Reprogramaciones!Q$9),11)/NETWORKDAYS.INTL(E102,F102,11)*100,1))))</f>
        <v/>
      </c>
      <c r="O102" s="36" t="str">
        <f aca="false">IF(OR(NOT(AND(ISNUMBER(E102),ISNUMBER(F102))),$J$2=""),"",IF(Reprogramaciones!S$9&lt;E102,0,IF(NETWORKDAYS.INTL(E102,F102,11)=0,IF(Reprogramaciones!S$9&gt;=F102,100,0),ROUND(NETWORKDAYS.INTL(E102,MIN(F102,Reprogramaciones!S$9),11)/NETWORKDAYS.INTL(E102,F102,11)*100,1)))-IF(Reprogramaciones!R$9&lt;E102,0,IF(NETWORKDAYS.INTL(E102,F102,11)=0,IF(Reprogramaciones!R$9&gt;=F102,100,0),ROUND(NETWORKDAYS.INTL(E102,MIN(F102,Reprogramaciones!R$9),11)/NETWORKDAYS.INTL(E102,F102,11)*100,1))))</f>
        <v/>
      </c>
      <c r="P102" s="36" t="str">
        <f aca="false">IF(OR(NOT(AND(ISNUMBER(E102),ISNUMBER(F102))),$J$2=""),"",IF(Reprogramaciones!T$9&lt;E102,0,IF(NETWORKDAYS.INTL(E102,F102,11)=0,IF(Reprogramaciones!T$9&gt;=F102,100,0),ROUND(NETWORKDAYS.INTL(E102,MIN(F102,Reprogramaciones!T$9),11)/NETWORKDAYS.INTL(E102,F102,11)*100,1)))-IF(Reprogramaciones!S$9&lt;E102,0,IF(NETWORKDAYS.INTL(E102,F102,11)=0,IF(Reprogramaciones!S$9&gt;=F102,100,0),ROUND(NETWORKDAYS.INTL(E102,MIN(F102,Reprogramaciones!S$9),11)/NETWORKDAYS.INTL(E102,F102,11)*100,1))))</f>
        <v/>
      </c>
      <c r="Q102" s="37"/>
      <c r="R102" s="37"/>
      <c r="S102" s="37"/>
      <c r="T102" s="37"/>
      <c r="U102" s="37"/>
      <c r="V102" s="37"/>
      <c r="W102" s="37"/>
      <c r="X102" s="37"/>
      <c r="Y102" s="37"/>
      <c r="Z102" s="37"/>
      <c r="AA102" s="37"/>
      <c r="AB102" s="37"/>
      <c r="AC102" s="37"/>
      <c r="AD102" s="37"/>
      <c r="AE102" s="37"/>
      <c r="AF102" s="37"/>
      <c r="AG102" s="38" t="str">
        <f aca="false">IF(AND(ISNUMBER(E102),ISNUMBER(F102)),NETWORKDAYS.INTL(E102,F102,11),"")</f>
        <v/>
      </c>
      <c r="AH102" s="38" t="str">
        <f aca="false">IF(OR(NOT(AND(ISNUMBER(E102),ISNUMBER(F102))),$J$2=""),"",IF(Reprogramaciones!$P$15&lt;Reprogramaciones!$T$15,0,IF(Reprogramaciones!$R$15&gt;10,MIN(100,SUM($G102:$P102)),MIN(100,SUMPRODUCT((COLUMN($G102:$P102)-COLUMN($G102)+1&lt;Reprogramaciones!$R$15)*$G102:$P102)+N(INDEX($G102:$P102,1,Reprogramaciones!$R$15))*IF(Reprogramaciones!$P$15&gt;=(Reprogramaciones!$T$15+7*(Reprogramaciones!$R$15-1))+6,1,IF(MAX(0,NETWORKDAYS.INTL(MAX(E102,(Reprogramaciones!$T$15+7*(Reprogramaciones!$R$15-1))),MIN(F102,(Reprogramaciones!$T$15+7*(Reprogramaciones!$R$15-1))+6),11))=0,0,MAX(0,NETWORKDAYS.INTL(MAX(E102,(Reprogramaciones!$T$15+7*(Reprogramaciones!$R$15-1))),MIN(F102,Reprogramaciones!$P$15),11))/MAX(0,NETWORKDAYS.INTL(MAX(E102,(Reprogramaciones!$T$15+7*(Reprogramaciones!$R$15-1))),MIN(F102,(Reprogramaciones!$T$15+7*(Reprogramaciones!$R$15-1))+6),11))))))))</f>
        <v/>
      </c>
      <c r="AI102" s="38" t="str">
        <f aca="false">IF(COUNT($Q102:$AF102)=0,"",IF(ROUND(SUM($Q102:$AF102),1)&gt;=99.5,100,MIN(100,ROUND(SUM($Q102:$AF102),1))))</f>
        <v/>
      </c>
      <c r="AJ102" s="38" t="str">
        <f aca="false">IF(OR(AH102="",AI102=""),"",AI102-AH102)</f>
        <v/>
      </c>
      <c r="AK102" s="39" t="str">
        <f aca="true">IF(AH102="","",IF(OR(Ficha!$C$10="Suspendida",Ficha!$C$10="Cancelada"),Ficha!$C$10,IF(AND(AI102&lt;&gt;"",N(AI102)&gt;=100),"Completada",IF(AND(E102&gt;TODAY(),N(AI102)=0),"Por iniciar",IF(N(AI102)+0.5&lt;AH102,"Retrasada",IF(N(AI102)+0.5&lt;DA102,IF(Reprogramaciones!$K$15&gt;0,"Al día · Sem "&amp;Reprogramaciones!$K$15&amp;" en curso","Al día · en curso"),"A tiempo"))))))</f>
        <v/>
      </c>
      <c r="AL102" s="39" t="str">
        <f aca="true">IF(AND(A102="",AND(B102="",C102="",E102="",F102="",COUNT(Q102:AF102)=0)),"",IF(AND(B102="",C102="",E102="",F102="",COUNT(Q102:AF102)=0),"Falta la partida o subpartida",IF(AND(A102&lt;&gt;"",COUNTIF($A$6:$A$305,A102)&gt;1),"Ítem repetido",IF(AND(C102="",E102="",F102="",COUNT(Q102:AF102)=0),"Título de partida",IF(OR(E102="",F102=""),"Faltan fechas",IF(OR(ISTEXT(E102),ISTEXT(F102)),"Fecha escrita como texto: usa dd/mm/aaaa",IF(F102&lt;E102,"Fin antes del inicio",IF(IF($J$2="",FALSE(),OR(E102&lt;$J$2,F102&gt;Reprogramaciones!$T$15+69)),"Fuera de las 10 semanas",IF(ABS(SUM(G102:P102)-100)&gt;0.5,"La meta no suma 100%",IF(ROUND(SUM(Q102:AF102),1)&gt;100.5,"El avance pasa de 100%",IF(MIN(Q102:AF102)&lt;0,"Avance negativo",IF(COUNTA(Q102:AF102)&gt;COUNT(Q102:AF102),"Avance escrito como texto",IF(SUMPRODUCT((Q102:AF102&gt;0)*(Q102:AF102&lt;1))&gt;0,"Avance menor a 1: escribe 50, no 50%",IF(SUMPRODUCT(ISNUMBER(Q102:AF102)*(Reprogramaciones!$K$8:$Z$8&gt;TODAY()))&gt;0,"Avance en semana que aún no llega",IF(AND(N(Reprogramaciones!$E$21)&gt;0,F102&gt;Reprogramaciones!$E$21),"Pasa el fin de la obra: registra una reprogramación",IF(AND(N(Reprogramaciones!$E$21)&gt;0,SUMPRODUCT(ISNUMBER(Q102:AF102)*(Reprogramaciones!$K$8:$Z$8&gt;Reprogramaciones!$E$21))&gt;0),"Avance después del fin de la obra: registra una reprogramación por atraso","OK"))))))))))))))))</f>
        <v/>
      </c>
      <c r="AM102" s="40" t="str">
        <f aca="false">IF(OR(OR(NOT(AND(ISNUMBER(E102),ISNUMBER(F102))),$J$2=""),1&gt;MAX(1,Reprogramaciones!$U$15)),"",IF(Reprogramaciones!K$12&gt;=7,"",IF(OR(BT102-N(0)&gt;0.05,N(Q102)&gt;0),ROUNDDOWN(ROUND(BT102,6),0)&amp;"%"&amp;IF(CJ102="",""," / "&amp;CJ102&amp;"%"),IF(AND(N(0)&gt;=99.95,CJ102&lt;&gt;"",N(CJ102)&lt;100),"Pend. "&amp;CJ102&amp;"%",""))))</f>
        <v/>
      </c>
      <c r="AN102" s="40" t="str">
        <f aca="false">IF(OR(OR(NOT(AND(ISNUMBER(E102),ISNUMBER(F102))),$J$2=""),2&gt;MAX(1,Reprogramaciones!$U$15)),"",IF(Reprogramaciones!L$12&gt;=7,"",IF(OR(BU102-N(BT102)&gt;0.05,N(R102)&gt;0),ROUNDDOWN(ROUND(BU102,6),0)&amp;"%"&amp;IF(CK102="",""," / "&amp;CK102&amp;"%"),IF(AND(N(BT102)&gt;=99.95,CK102&lt;&gt;"",N(CK102)&lt;100),"Pend. "&amp;CK102&amp;"%",""))))</f>
        <v/>
      </c>
      <c r="AO102" s="40" t="str">
        <f aca="false">IF(OR(OR(NOT(AND(ISNUMBER(E102),ISNUMBER(F102))),$J$2=""),3&gt;MAX(1,Reprogramaciones!$U$15)),"",IF(Reprogramaciones!M$12&gt;=7,"",IF(OR(BV102-N(BU102)&gt;0.05,N(S102)&gt;0),ROUNDDOWN(ROUND(BV102,6),0)&amp;"%"&amp;IF(CL102="",""," / "&amp;CL102&amp;"%"),IF(AND(N(BU102)&gt;=99.95,CL102&lt;&gt;"",N(CL102)&lt;100),"Pend. "&amp;CL102&amp;"%",""))))</f>
        <v/>
      </c>
      <c r="AP102" s="40" t="str">
        <f aca="false">IF(OR(OR(NOT(AND(ISNUMBER(E102),ISNUMBER(F102))),$J$2=""),4&gt;MAX(1,Reprogramaciones!$U$15)),"",IF(Reprogramaciones!N$12&gt;=7,"",IF(OR(BW102-N(BV102)&gt;0.05,N(T102)&gt;0),ROUNDDOWN(ROUND(BW102,6),0)&amp;"%"&amp;IF(CM102="",""," / "&amp;CM102&amp;"%"),IF(AND(N(BV102)&gt;=99.95,CM102&lt;&gt;"",N(CM102)&lt;100),"Pend. "&amp;CM102&amp;"%",""))))</f>
        <v/>
      </c>
      <c r="AQ102" s="40" t="str">
        <f aca="false">IF(OR(OR(NOT(AND(ISNUMBER(E102),ISNUMBER(F102))),$J$2=""),5&gt;MAX(1,Reprogramaciones!$U$15)),"",IF(Reprogramaciones!O$12&gt;=7,"",IF(OR(BX102-N(BW102)&gt;0.05,N(U102)&gt;0),ROUNDDOWN(ROUND(BX102,6),0)&amp;"%"&amp;IF(CN102="",""," / "&amp;CN102&amp;"%"),IF(AND(N(BW102)&gt;=99.95,CN102&lt;&gt;"",N(CN102)&lt;100),"Pend. "&amp;CN102&amp;"%",""))))</f>
        <v/>
      </c>
      <c r="AR102" s="40" t="str">
        <f aca="false">IF(OR(OR(NOT(AND(ISNUMBER(E102),ISNUMBER(F102))),$J$2=""),6&gt;MAX(1,Reprogramaciones!$U$15)),"",IF(Reprogramaciones!P$12&gt;=7,"",IF(OR(BY102-N(BX102)&gt;0.05,N(V102)&gt;0),ROUNDDOWN(ROUND(BY102,6),0)&amp;"%"&amp;IF(CO102="",""," / "&amp;CO102&amp;"%"),IF(AND(N(BX102)&gt;=99.95,CO102&lt;&gt;"",N(CO102)&lt;100),"Pend. "&amp;CO102&amp;"%",""))))</f>
        <v/>
      </c>
      <c r="AS102" s="40" t="str">
        <f aca="false">IF(OR(OR(NOT(AND(ISNUMBER(E102),ISNUMBER(F102))),$J$2=""),7&gt;MAX(1,Reprogramaciones!$U$15)),"",IF(Reprogramaciones!Q$12&gt;=7,"",IF(OR(BZ102-N(BY102)&gt;0.05,N(W102)&gt;0),ROUNDDOWN(ROUND(BZ102,6),0)&amp;"%"&amp;IF(CP102="",""," / "&amp;CP102&amp;"%"),IF(AND(N(BY102)&gt;=99.95,CP102&lt;&gt;"",N(CP102)&lt;100),"Pend. "&amp;CP102&amp;"%",""))))</f>
        <v/>
      </c>
      <c r="AT102" s="40" t="str">
        <f aca="false">IF(OR(OR(NOT(AND(ISNUMBER(E102),ISNUMBER(F102))),$J$2=""),8&gt;MAX(1,Reprogramaciones!$U$15)),"",IF(Reprogramaciones!R$12&gt;=7,"",IF(OR(CA102-N(BZ102)&gt;0.05,N(X102)&gt;0),ROUNDDOWN(ROUND(CA102,6),0)&amp;"%"&amp;IF(CQ102="",""," / "&amp;CQ102&amp;"%"),IF(AND(N(BZ102)&gt;=99.95,CQ102&lt;&gt;"",N(CQ102)&lt;100),"Pend. "&amp;CQ102&amp;"%",""))))</f>
        <v/>
      </c>
      <c r="AU102" s="40" t="str">
        <f aca="false">IF(OR(OR(NOT(AND(ISNUMBER(E102),ISNUMBER(F102))),$J$2=""),9&gt;MAX(1,Reprogramaciones!$U$15)),"",IF(Reprogramaciones!S$12&gt;=7,"",IF(OR(CB102-N(CA102)&gt;0.05,N(Y102)&gt;0),ROUNDDOWN(ROUND(CB102,6),0)&amp;"%"&amp;IF(CR102="",""," / "&amp;CR102&amp;"%"),IF(AND(N(CA102)&gt;=99.95,CR102&lt;&gt;"",N(CR102)&lt;100),"Pend. "&amp;CR102&amp;"%",""))))</f>
        <v/>
      </c>
      <c r="AV102" s="40" t="str">
        <f aca="false">IF(OR(OR(NOT(AND(ISNUMBER(E102),ISNUMBER(F102))),$J$2=""),10&gt;MAX(1,Reprogramaciones!$U$15)),"",IF(Reprogramaciones!T$12&gt;=7,"",IF(OR(CC102-N(CB102)&gt;0.05,N(Z102)&gt;0),ROUNDDOWN(ROUND(CC102,6),0)&amp;"%"&amp;IF(CS102="",""," / "&amp;CS102&amp;"%"),IF(AND(N(CB102)&gt;=99.95,CS102&lt;&gt;"",N(CS102)&lt;100),"Pend. "&amp;CS102&amp;"%",""))))</f>
        <v/>
      </c>
      <c r="AW102" s="40" t="str">
        <f aca="false">IF(OR(OR(NOT(AND(ISNUMBER(E102),ISNUMBER(F102))),$J$2=""),11&gt;MAX(1,Reprogramaciones!$U$15)),"",IF(Reprogramaciones!U$12&gt;=7,"",IF(OR(CD102-N(CC102)&gt;0.05,N(AA102)&gt;0),ROUNDDOWN(ROUND(CD102,6),0)&amp;"%"&amp;IF(CT102="",""," / "&amp;CT102&amp;"%"),IF(AND(N(CC102)&gt;=99.95,CT102&lt;&gt;"",N(CT102)&lt;100),"Pend. "&amp;CT102&amp;"%",""))))</f>
        <v/>
      </c>
      <c r="AX102" s="40" t="str">
        <f aca="false">IF(OR(OR(NOT(AND(ISNUMBER(E102),ISNUMBER(F102))),$J$2=""),12&gt;MAX(1,Reprogramaciones!$U$15)),"",IF(Reprogramaciones!V$12&gt;=7,"",IF(OR(CE102-N(CD102)&gt;0.05,N(AB102)&gt;0),ROUNDDOWN(ROUND(CE102,6),0)&amp;"%"&amp;IF(CU102="",""," / "&amp;CU102&amp;"%"),IF(AND(N(CD102)&gt;=99.95,CU102&lt;&gt;"",N(CU102)&lt;100),"Pend. "&amp;CU102&amp;"%",""))))</f>
        <v/>
      </c>
      <c r="AY102" s="40" t="str">
        <f aca="false">IF(OR(OR(NOT(AND(ISNUMBER(E102),ISNUMBER(F102))),$J$2=""),13&gt;MAX(1,Reprogramaciones!$U$15)),"",IF(Reprogramaciones!W$12&gt;=7,"",IF(OR(CF102-N(CE102)&gt;0.05,N(AC102)&gt;0),ROUNDDOWN(ROUND(CF102,6),0)&amp;"%"&amp;IF(CV102="",""," / "&amp;CV102&amp;"%"),IF(AND(N(CE102)&gt;=99.95,CV102&lt;&gt;"",N(CV102)&lt;100),"Pend. "&amp;CV102&amp;"%",""))))</f>
        <v/>
      </c>
      <c r="AZ102" s="40" t="str">
        <f aca="false">IF(OR(OR(NOT(AND(ISNUMBER(E102),ISNUMBER(F102))),$J$2=""),14&gt;MAX(1,Reprogramaciones!$U$15)),"",IF(Reprogramaciones!X$12&gt;=7,"",IF(OR(CG102-N(CF102)&gt;0.05,N(AD102)&gt;0),ROUNDDOWN(ROUND(CG102,6),0)&amp;"%"&amp;IF(CW102="",""," / "&amp;CW102&amp;"%"),IF(AND(N(CF102)&gt;=99.95,CW102&lt;&gt;"",N(CW102)&lt;100),"Pend. "&amp;CW102&amp;"%",""))))</f>
        <v/>
      </c>
      <c r="BA102" s="40" t="str">
        <f aca="false">IF(OR(OR(NOT(AND(ISNUMBER(E102),ISNUMBER(F102))),$J$2=""),15&gt;MAX(1,Reprogramaciones!$U$15)),"",IF(Reprogramaciones!Y$12&gt;=7,"",IF(OR(CH102-N(CG102)&gt;0.05,N(AE102)&gt;0),ROUNDDOWN(ROUND(CH102,6),0)&amp;"%"&amp;IF(CX102="",""," / "&amp;CX102&amp;"%"),IF(AND(N(CG102)&gt;=99.95,CX102&lt;&gt;"",N(CX102)&lt;100),"Pend. "&amp;CX102&amp;"%",""))))</f>
        <v/>
      </c>
      <c r="BB102" s="40" t="str">
        <f aca="false">IF(OR(OR(NOT(AND(ISNUMBER(E102),ISNUMBER(F102))),$J$2=""),16&gt;MAX(1,Reprogramaciones!$U$15)),"",IF(Reprogramaciones!Z$12&gt;=7,"",IF(OR(CI102-N(CH102)&gt;0.05,N(AF102)&gt;0),ROUNDDOWN(ROUND(CI102,6),0)&amp;"%"&amp;IF(CY102="",""," / "&amp;CY102&amp;"%"),IF(AND(N(CH102)&gt;=99.95,CY102&lt;&gt;"",N(CY102)&lt;100),"Pend. "&amp;CY102&amp;"%",""))))</f>
        <v/>
      </c>
      <c r="BC102" s="31" t="n">
        <f aca="false">IF(AND(ISNUMBER(E102),ISNUMBER(F102)),MAX(1,NETWORKDAYS.INTL(E102,F102,11)),0)</f>
        <v>0</v>
      </c>
      <c r="BD102" s="1" t="str">
        <f aca="false">IF(OR(NOT(AND(ISNUMBER(E102),ISNUMBER(F102))),$J$2=""),"",MIN(100,ROUND(SUM($G102:G102),1)))</f>
        <v/>
      </c>
      <c r="BE102" s="1" t="str">
        <f aca="false">IF(OR(NOT(AND(ISNUMBER(E102),ISNUMBER(F102))),$J$2=""),"",MIN(100,ROUND(SUM($G102:H102),1)))</f>
        <v/>
      </c>
      <c r="BF102" s="1" t="str">
        <f aca="false">IF(OR(NOT(AND(ISNUMBER(E102),ISNUMBER(F102))),$J$2=""),"",MIN(100,ROUND(SUM($G102:I102),1)))</f>
        <v/>
      </c>
      <c r="BG102" s="1" t="str">
        <f aca="false">IF(OR(NOT(AND(ISNUMBER(E102),ISNUMBER(F102))),$J$2=""),"",MIN(100,ROUND(SUM($G102:J102),1)))</f>
        <v/>
      </c>
      <c r="BH102" s="1" t="str">
        <f aca="false">IF(OR(NOT(AND(ISNUMBER(E102),ISNUMBER(F102))),$J$2=""),"",MIN(100,ROUND(SUM($G102:K102),1)))</f>
        <v/>
      </c>
      <c r="BI102" s="1" t="str">
        <f aca="false">IF(OR(NOT(AND(ISNUMBER(E102),ISNUMBER(F102))),$J$2=""),"",MIN(100,ROUND(SUM($G102:L102),1)))</f>
        <v/>
      </c>
      <c r="BJ102" s="1" t="str">
        <f aca="false">IF(OR(NOT(AND(ISNUMBER(E102),ISNUMBER(F102))),$J$2=""),"",MIN(100,ROUND(SUM($G102:M102),1)))</f>
        <v/>
      </c>
      <c r="BK102" s="1" t="str">
        <f aca="false">IF(OR(NOT(AND(ISNUMBER(E102),ISNUMBER(F102))),$J$2=""),"",MIN(100,ROUND(SUM($G102:N102),1)))</f>
        <v/>
      </c>
      <c r="BL102" s="1" t="str">
        <f aca="false">IF(OR(NOT(AND(ISNUMBER(E102),ISNUMBER(F102))),$J$2=""),"",MIN(100,ROUND(SUM($G102:O102),1)))</f>
        <v/>
      </c>
      <c r="BM102" s="1" t="str">
        <f aca="false">IF(OR(NOT(AND(ISNUMBER(E102),ISNUMBER(F102))),$J$2=""),"",MIN(100,ROUND(SUM($G102:P102),1)))</f>
        <v/>
      </c>
      <c r="BN102" s="1" t="str">
        <f aca="false">IF(OR(NOT(AND(ISNUMBER(E102),ISNUMBER(F102))),$J$2=""),"",MIN(100,ROUND(SUM($G102:P102),1)))</f>
        <v/>
      </c>
      <c r="BO102" s="1" t="str">
        <f aca="false">IF(OR(NOT(AND(ISNUMBER(E102),ISNUMBER(F102))),$J$2=""),"",MIN(100,ROUND(SUM($G102:P102),1)))</f>
        <v/>
      </c>
      <c r="BP102" s="1" t="str">
        <f aca="false">IF(OR(NOT(AND(ISNUMBER(E102),ISNUMBER(F102))),$J$2=""),"",MIN(100,ROUND(SUM($G102:P102),1)))</f>
        <v/>
      </c>
      <c r="BQ102" s="1" t="str">
        <f aca="false">IF(OR(NOT(AND(ISNUMBER(E102),ISNUMBER(F102))),$J$2=""),"",MIN(100,ROUND(SUM($G102:P102),1)))</f>
        <v/>
      </c>
      <c r="BR102" s="1" t="str">
        <f aca="false">IF(OR(NOT(AND(ISNUMBER(E102),ISNUMBER(F102))),$J$2=""),"",MIN(100,ROUND(SUM($G102:P102),1)))</f>
        <v/>
      </c>
      <c r="BS102" s="1" t="str">
        <f aca="false">IF(OR(NOT(AND(ISNUMBER(E102),ISNUMBER(F102))),$J$2=""),"",MIN(100,ROUND(SUM($G102:P102),1)))</f>
        <v/>
      </c>
      <c r="BT102" s="1" t="str">
        <f aca="false">IF(OR(NOT(AND(ISNUMBER(E102),ISNUMBER(F102))),$J$2=""),"",IF(Reprogramaciones!K$13&lt;Reprogramaciones!$T$15,0,IF(Reprogramaciones!K$14&gt;10,MIN(100,SUM($G102:$P102)),MIN(100,SUMPRODUCT((COLUMN($G102:$P102)-COLUMN($G102)+1&lt;Reprogramaciones!K$14)*$G102:$P102)+N(INDEX($G102:$P102,1,Reprogramaciones!K$14))*IF(Reprogramaciones!K$13&gt;=(Reprogramaciones!$T$15+7*(Reprogramaciones!K$14-1))+6,1,IF(MAX(0,NETWORKDAYS.INTL(MAX(E102,(Reprogramaciones!$T$15+7*(Reprogramaciones!K$14-1))),MIN(F102,(Reprogramaciones!$T$15+7*(Reprogramaciones!K$14-1))+6),11))=0,0,MAX(0,NETWORKDAYS.INTL(MAX(E102,(Reprogramaciones!$T$15+7*(Reprogramaciones!K$14-1))),MIN(F102,Reprogramaciones!K$13),11))/MAX(0,NETWORKDAYS.INTL(MAX(E102,(Reprogramaciones!$T$15+7*(Reprogramaciones!K$14-1))),MIN(F102,(Reprogramaciones!$T$15+7*(Reprogramaciones!K$14-1))+6),11))))))))</f>
        <v/>
      </c>
      <c r="BU102" s="1" t="str">
        <f aca="false">IF(OR(NOT(AND(ISNUMBER(E102),ISNUMBER(F102))),$J$2=""),"",IF(Reprogramaciones!L$13&lt;Reprogramaciones!$T$15,0,IF(Reprogramaciones!L$14&gt;10,MIN(100,SUM($G102:$P102)),MIN(100,SUMPRODUCT((COLUMN($G102:$P102)-COLUMN($G102)+1&lt;Reprogramaciones!L$14)*$G102:$P102)+N(INDEX($G102:$P102,1,Reprogramaciones!L$14))*IF(Reprogramaciones!L$13&gt;=(Reprogramaciones!$T$15+7*(Reprogramaciones!L$14-1))+6,1,IF(MAX(0,NETWORKDAYS.INTL(MAX(E102,(Reprogramaciones!$T$15+7*(Reprogramaciones!L$14-1))),MIN(F102,(Reprogramaciones!$T$15+7*(Reprogramaciones!L$14-1))+6),11))=0,0,MAX(0,NETWORKDAYS.INTL(MAX(E102,(Reprogramaciones!$T$15+7*(Reprogramaciones!L$14-1))),MIN(F102,Reprogramaciones!L$13),11))/MAX(0,NETWORKDAYS.INTL(MAX(E102,(Reprogramaciones!$T$15+7*(Reprogramaciones!L$14-1))),MIN(F102,(Reprogramaciones!$T$15+7*(Reprogramaciones!L$14-1))+6),11))))))))</f>
        <v/>
      </c>
      <c r="BV102" s="1" t="str">
        <f aca="false">IF(OR(NOT(AND(ISNUMBER(E102),ISNUMBER(F102))),$J$2=""),"",IF(Reprogramaciones!M$13&lt;Reprogramaciones!$T$15,0,IF(Reprogramaciones!M$14&gt;10,MIN(100,SUM($G102:$P102)),MIN(100,SUMPRODUCT((COLUMN($G102:$P102)-COLUMN($G102)+1&lt;Reprogramaciones!M$14)*$G102:$P102)+N(INDEX($G102:$P102,1,Reprogramaciones!M$14))*IF(Reprogramaciones!M$13&gt;=(Reprogramaciones!$T$15+7*(Reprogramaciones!M$14-1))+6,1,IF(MAX(0,NETWORKDAYS.INTL(MAX(E102,(Reprogramaciones!$T$15+7*(Reprogramaciones!M$14-1))),MIN(F102,(Reprogramaciones!$T$15+7*(Reprogramaciones!M$14-1))+6),11))=0,0,MAX(0,NETWORKDAYS.INTL(MAX(E102,(Reprogramaciones!$T$15+7*(Reprogramaciones!M$14-1))),MIN(F102,Reprogramaciones!M$13),11))/MAX(0,NETWORKDAYS.INTL(MAX(E102,(Reprogramaciones!$T$15+7*(Reprogramaciones!M$14-1))),MIN(F102,(Reprogramaciones!$T$15+7*(Reprogramaciones!M$14-1))+6),11))))))))</f>
        <v/>
      </c>
      <c r="BW102" s="1" t="str">
        <f aca="false">IF(OR(NOT(AND(ISNUMBER(E102),ISNUMBER(F102))),$J$2=""),"",IF(Reprogramaciones!N$13&lt;Reprogramaciones!$T$15,0,IF(Reprogramaciones!N$14&gt;10,MIN(100,SUM($G102:$P102)),MIN(100,SUMPRODUCT((COLUMN($G102:$P102)-COLUMN($G102)+1&lt;Reprogramaciones!N$14)*$G102:$P102)+N(INDEX($G102:$P102,1,Reprogramaciones!N$14))*IF(Reprogramaciones!N$13&gt;=(Reprogramaciones!$T$15+7*(Reprogramaciones!N$14-1))+6,1,IF(MAX(0,NETWORKDAYS.INTL(MAX(E102,(Reprogramaciones!$T$15+7*(Reprogramaciones!N$14-1))),MIN(F102,(Reprogramaciones!$T$15+7*(Reprogramaciones!N$14-1))+6),11))=0,0,MAX(0,NETWORKDAYS.INTL(MAX(E102,(Reprogramaciones!$T$15+7*(Reprogramaciones!N$14-1))),MIN(F102,Reprogramaciones!N$13),11))/MAX(0,NETWORKDAYS.INTL(MAX(E102,(Reprogramaciones!$T$15+7*(Reprogramaciones!N$14-1))),MIN(F102,(Reprogramaciones!$T$15+7*(Reprogramaciones!N$14-1))+6),11))))))))</f>
        <v/>
      </c>
      <c r="BX102" s="1" t="str">
        <f aca="false">IF(OR(NOT(AND(ISNUMBER(E102),ISNUMBER(F102))),$J$2=""),"",IF(Reprogramaciones!O$13&lt;Reprogramaciones!$T$15,0,IF(Reprogramaciones!O$14&gt;10,MIN(100,SUM($G102:$P102)),MIN(100,SUMPRODUCT((COLUMN($G102:$P102)-COLUMN($G102)+1&lt;Reprogramaciones!O$14)*$G102:$P102)+N(INDEX($G102:$P102,1,Reprogramaciones!O$14))*IF(Reprogramaciones!O$13&gt;=(Reprogramaciones!$T$15+7*(Reprogramaciones!O$14-1))+6,1,IF(MAX(0,NETWORKDAYS.INTL(MAX(E102,(Reprogramaciones!$T$15+7*(Reprogramaciones!O$14-1))),MIN(F102,(Reprogramaciones!$T$15+7*(Reprogramaciones!O$14-1))+6),11))=0,0,MAX(0,NETWORKDAYS.INTL(MAX(E102,(Reprogramaciones!$T$15+7*(Reprogramaciones!O$14-1))),MIN(F102,Reprogramaciones!O$13),11))/MAX(0,NETWORKDAYS.INTL(MAX(E102,(Reprogramaciones!$T$15+7*(Reprogramaciones!O$14-1))),MIN(F102,(Reprogramaciones!$T$15+7*(Reprogramaciones!O$14-1))+6),11))))))))</f>
        <v/>
      </c>
      <c r="BY102" s="1" t="str">
        <f aca="false">IF(OR(NOT(AND(ISNUMBER(E102),ISNUMBER(F102))),$J$2=""),"",IF(Reprogramaciones!P$13&lt;Reprogramaciones!$T$15,0,IF(Reprogramaciones!P$14&gt;10,MIN(100,SUM($G102:$P102)),MIN(100,SUMPRODUCT((COLUMN($G102:$P102)-COLUMN($G102)+1&lt;Reprogramaciones!P$14)*$G102:$P102)+N(INDEX($G102:$P102,1,Reprogramaciones!P$14))*IF(Reprogramaciones!P$13&gt;=(Reprogramaciones!$T$15+7*(Reprogramaciones!P$14-1))+6,1,IF(MAX(0,NETWORKDAYS.INTL(MAX(E102,(Reprogramaciones!$T$15+7*(Reprogramaciones!P$14-1))),MIN(F102,(Reprogramaciones!$T$15+7*(Reprogramaciones!P$14-1))+6),11))=0,0,MAX(0,NETWORKDAYS.INTL(MAX(E102,(Reprogramaciones!$T$15+7*(Reprogramaciones!P$14-1))),MIN(F102,Reprogramaciones!P$13),11))/MAX(0,NETWORKDAYS.INTL(MAX(E102,(Reprogramaciones!$T$15+7*(Reprogramaciones!P$14-1))),MIN(F102,(Reprogramaciones!$T$15+7*(Reprogramaciones!P$14-1))+6),11))))))))</f>
        <v/>
      </c>
      <c r="BZ102" s="1" t="str">
        <f aca="false">IF(OR(NOT(AND(ISNUMBER(E102),ISNUMBER(F102))),$J$2=""),"",IF(Reprogramaciones!Q$13&lt;Reprogramaciones!$T$15,0,IF(Reprogramaciones!Q$14&gt;10,MIN(100,SUM($G102:$P102)),MIN(100,SUMPRODUCT((COLUMN($G102:$P102)-COLUMN($G102)+1&lt;Reprogramaciones!Q$14)*$G102:$P102)+N(INDEX($G102:$P102,1,Reprogramaciones!Q$14))*IF(Reprogramaciones!Q$13&gt;=(Reprogramaciones!$T$15+7*(Reprogramaciones!Q$14-1))+6,1,IF(MAX(0,NETWORKDAYS.INTL(MAX(E102,(Reprogramaciones!$T$15+7*(Reprogramaciones!Q$14-1))),MIN(F102,(Reprogramaciones!$T$15+7*(Reprogramaciones!Q$14-1))+6),11))=0,0,MAX(0,NETWORKDAYS.INTL(MAX(E102,(Reprogramaciones!$T$15+7*(Reprogramaciones!Q$14-1))),MIN(F102,Reprogramaciones!Q$13),11))/MAX(0,NETWORKDAYS.INTL(MAX(E102,(Reprogramaciones!$T$15+7*(Reprogramaciones!Q$14-1))),MIN(F102,(Reprogramaciones!$T$15+7*(Reprogramaciones!Q$14-1))+6),11))))))))</f>
        <v/>
      </c>
      <c r="CA102" s="1" t="str">
        <f aca="false">IF(OR(NOT(AND(ISNUMBER(E102),ISNUMBER(F102))),$J$2=""),"",IF(Reprogramaciones!R$13&lt;Reprogramaciones!$T$15,0,IF(Reprogramaciones!R$14&gt;10,MIN(100,SUM($G102:$P102)),MIN(100,SUMPRODUCT((COLUMN($G102:$P102)-COLUMN($G102)+1&lt;Reprogramaciones!R$14)*$G102:$P102)+N(INDEX($G102:$P102,1,Reprogramaciones!R$14))*IF(Reprogramaciones!R$13&gt;=(Reprogramaciones!$T$15+7*(Reprogramaciones!R$14-1))+6,1,IF(MAX(0,NETWORKDAYS.INTL(MAX(E102,(Reprogramaciones!$T$15+7*(Reprogramaciones!R$14-1))),MIN(F102,(Reprogramaciones!$T$15+7*(Reprogramaciones!R$14-1))+6),11))=0,0,MAX(0,NETWORKDAYS.INTL(MAX(E102,(Reprogramaciones!$T$15+7*(Reprogramaciones!R$14-1))),MIN(F102,Reprogramaciones!R$13),11))/MAX(0,NETWORKDAYS.INTL(MAX(E102,(Reprogramaciones!$T$15+7*(Reprogramaciones!R$14-1))),MIN(F102,(Reprogramaciones!$T$15+7*(Reprogramaciones!R$14-1))+6),11))))))))</f>
        <v/>
      </c>
      <c r="CB102" s="1" t="str">
        <f aca="false">IF(OR(NOT(AND(ISNUMBER(E102),ISNUMBER(F102))),$J$2=""),"",IF(Reprogramaciones!S$13&lt;Reprogramaciones!$T$15,0,IF(Reprogramaciones!S$14&gt;10,MIN(100,SUM($G102:$P102)),MIN(100,SUMPRODUCT((COLUMN($G102:$P102)-COLUMN($G102)+1&lt;Reprogramaciones!S$14)*$G102:$P102)+N(INDEX($G102:$P102,1,Reprogramaciones!S$14))*IF(Reprogramaciones!S$13&gt;=(Reprogramaciones!$T$15+7*(Reprogramaciones!S$14-1))+6,1,IF(MAX(0,NETWORKDAYS.INTL(MAX(E102,(Reprogramaciones!$T$15+7*(Reprogramaciones!S$14-1))),MIN(F102,(Reprogramaciones!$T$15+7*(Reprogramaciones!S$14-1))+6),11))=0,0,MAX(0,NETWORKDAYS.INTL(MAX(E102,(Reprogramaciones!$T$15+7*(Reprogramaciones!S$14-1))),MIN(F102,Reprogramaciones!S$13),11))/MAX(0,NETWORKDAYS.INTL(MAX(E102,(Reprogramaciones!$T$15+7*(Reprogramaciones!S$14-1))),MIN(F102,(Reprogramaciones!$T$15+7*(Reprogramaciones!S$14-1))+6),11))))))))</f>
        <v/>
      </c>
      <c r="CC102" s="1" t="str">
        <f aca="false">IF(OR(NOT(AND(ISNUMBER(E102),ISNUMBER(F102))),$J$2=""),"",IF(Reprogramaciones!T$13&lt;Reprogramaciones!$T$15,0,IF(Reprogramaciones!T$14&gt;10,MIN(100,SUM($G102:$P102)),MIN(100,SUMPRODUCT((COLUMN($G102:$P102)-COLUMN($G102)+1&lt;Reprogramaciones!T$14)*$G102:$P102)+N(INDEX($G102:$P102,1,Reprogramaciones!T$14))*IF(Reprogramaciones!T$13&gt;=(Reprogramaciones!$T$15+7*(Reprogramaciones!T$14-1))+6,1,IF(MAX(0,NETWORKDAYS.INTL(MAX(E102,(Reprogramaciones!$T$15+7*(Reprogramaciones!T$14-1))),MIN(F102,(Reprogramaciones!$T$15+7*(Reprogramaciones!T$14-1))+6),11))=0,0,MAX(0,NETWORKDAYS.INTL(MAX(E102,(Reprogramaciones!$T$15+7*(Reprogramaciones!T$14-1))),MIN(F102,Reprogramaciones!T$13),11))/MAX(0,NETWORKDAYS.INTL(MAX(E102,(Reprogramaciones!$T$15+7*(Reprogramaciones!T$14-1))),MIN(F102,(Reprogramaciones!$T$15+7*(Reprogramaciones!T$14-1))+6),11))))))))</f>
        <v/>
      </c>
      <c r="CD102" s="1" t="str">
        <f aca="false">IF(OR(NOT(AND(ISNUMBER(E102),ISNUMBER(F102))),$J$2=""),"",IF(Reprogramaciones!U$13&lt;Reprogramaciones!$T$15,0,IF(Reprogramaciones!U$14&gt;10,MIN(100,SUM($G102:$P102)),MIN(100,SUMPRODUCT((COLUMN($G102:$P102)-COLUMN($G102)+1&lt;Reprogramaciones!U$14)*$G102:$P102)+N(INDEX($G102:$P102,1,Reprogramaciones!U$14))*IF(Reprogramaciones!U$13&gt;=(Reprogramaciones!$T$15+7*(Reprogramaciones!U$14-1))+6,1,IF(MAX(0,NETWORKDAYS.INTL(MAX(E102,(Reprogramaciones!$T$15+7*(Reprogramaciones!U$14-1))),MIN(F102,(Reprogramaciones!$T$15+7*(Reprogramaciones!U$14-1))+6),11))=0,0,MAX(0,NETWORKDAYS.INTL(MAX(E102,(Reprogramaciones!$T$15+7*(Reprogramaciones!U$14-1))),MIN(F102,Reprogramaciones!U$13),11))/MAX(0,NETWORKDAYS.INTL(MAX(E102,(Reprogramaciones!$T$15+7*(Reprogramaciones!U$14-1))),MIN(F102,(Reprogramaciones!$T$15+7*(Reprogramaciones!U$14-1))+6),11))))))))</f>
        <v/>
      </c>
      <c r="CE102" s="1" t="str">
        <f aca="false">IF(OR(NOT(AND(ISNUMBER(E102),ISNUMBER(F102))),$J$2=""),"",IF(Reprogramaciones!V$13&lt;Reprogramaciones!$T$15,0,IF(Reprogramaciones!V$14&gt;10,MIN(100,SUM($G102:$P102)),MIN(100,SUMPRODUCT((COLUMN($G102:$P102)-COLUMN($G102)+1&lt;Reprogramaciones!V$14)*$G102:$P102)+N(INDEX($G102:$P102,1,Reprogramaciones!V$14))*IF(Reprogramaciones!V$13&gt;=(Reprogramaciones!$T$15+7*(Reprogramaciones!V$14-1))+6,1,IF(MAX(0,NETWORKDAYS.INTL(MAX(E102,(Reprogramaciones!$T$15+7*(Reprogramaciones!V$14-1))),MIN(F102,(Reprogramaciones!$T$15+7*(Reprogramaciones!V$14-1))+6),11))=0,0,MAX(0,NETWORKDAYS.INTL(MAX(E102,(Reprogramaciones!$T$15+7*(Reprogramaciones!V$14-1))),MIN(F102,Reprogramaciones!V$13),11))/MAX(0,NETWORKDAYS.INTL(MAX(E102,(Reprogramaciones!$T$15+7*(Reprogramaciones!V$14-1))),MIN(F102,(Reprogramaciones!$T$15+7*(Reprogramaciones!V$14-1))+6),11))))))))</f>
        <v/>
      </c>
      <c r="CF102" s="1" t="str">
        <f aca="false">IF(OR(NOT(AND(ISNUMBER(E102),ISNUMBER(F102))),$J$2=""),"",IF(Reprogramaciones!W$13&lt;Reprogramaciones!$T$15,0,IF(Reprogramaciones!W$14&gt;10,MIN(100,SUM($G102:$P102)),MIN(100,SUMPRODUCT((COLUMN($G102:$P102)-COLUMN($G102)+1&lt;Reprogramaciones!W$14)*$G102:$P102)+N(INDEX($G102:$P102,1,Reprogramaciones!W$14))*IF(Reprogramaciones!W$13&gt;=(Reprogramaciones!$T$15+7*(Reprogramaciones!W$14-1))+6,1,IF(MAX(0,NETWORKDAYS.INTL(MAX(E102,(Reprogramaciones!$T$15+7*(Reprogramaciones!W$14-1))),MIN(F102,(Reprogramaciones!$T$15+7*(Reprogramaciones!W$14-1))+6),11))=0,0,MAX(0,NETWORKDAYS.INTL(MAX(E102,(Reprogramaciones!$T$15+7*(Reprogramaciones!W$14-1))),MIN(F102,Reprogramaciones!W$13),11))/MAX(0,NETWORKDAYS.INTL(MAX(E102,(Reprogramaciones!$T$15+7*(Reprogramaciones!W$14-1))),MIN(F102,(Reprogramaciones!$T$15+7*(Reprogramaciones!W$14-1))+6),11))))))))</f>
        <v/>
      </c>
      <c r="CG102" s="1" t="str">
        <f aca="false">IF(OR(NOT(AND(ISNUMBER(E102),ISNUMBER(F102))),$J$2=""),"",IF(Reprogramaciones!X$13&lt;Reprogramaciones!$T$15,0,IF(Reprogramaciones!X$14&gt;10,MIN(100,SUM($G102:$P102)),MIN(100,SUMPRODUCT((COLUMN($G102:$P102)-COLUMN($G102)+1&lt;Reprogramaciones!X$14)*$G102:$P102)+N(INDEX($G102:$P102,1,Reprogramaciones!X$14))*IF(Reprogramaciones!X$13&gt;=(Reprogramaciones!$T$15+7*(Reprogramaciones!X$14-1))+6,1,IF(MAX(0,NETWORKDAYS.INTL(MAX(E102,(Reprogramaciones!$T$15+7*(Reprogramaciones!X$14-1))),MIN(F102,(Reprogramaciones!$T$15+7*(Reprogramaciones!X$14-1))+6),11))=0,0,MAX(0,NETWORKDAYS.INTL(MAX(E102,(Reprogramaciones!$T$15+7*(Reprogramaciones!X$14-1))),MIN(F102,Reprogramaciones!X$13),11))/MAX(0,NETWORKDAYS.INTL(MAX(E102,(Reprogramaciones!$T$15+7*(Reprogramaciones!X$14-1))),MIN(F102,(Reprogramaciones!$T$15+7*(Reprogramaciones!X$14-1))+6),11))))))))</f>
        <v/>
      </c>
      <c r="CH102" s="1" t="str">
        <f aca="false">IF(OR(NOT(AND(ISNUMBER(E102),ISNUMBER(F102))),$J$2=""),"",IF(Reprogramaciones!Y$13&lt;Reprogramaciones!$T$15,0,IF(Reprogramaciones!Y$14&gt;10,MIN(100,SUM($G102:$P102)),MIN(100,SUMPRODUCT((COLUMN($G102:$P102)-COLUMN($G102)+1&lt;Reprogramaciones!Y$14)*$G102:$P102)+N(INDEX($G102:$P102,1,Reprogramaciones!Y$14))*IF(Reprogramaciones!Y$13&gt;=(Reprogramaciones!$T$15+7*(Reprogramaciones!Y$14-1))+6,1,IF(MAX(0,NETWORKDAYS.INTL(MAX(E102,(Reprogramaciones!$T$15+7*(Reprogramaciones!Y$14-1))),MIN(F102,(Reprogramaciones!$T$15+7*(Reprogramaciones!Y$14-1))+6),11))=0,0,MAX(0,NETWORKDAYS.INTL(MAX(E102,(Reprogramaciones!$T$15+7*(Reprogramaciones!Y$14-1))),MIN(F102,Reprogramaciones!Y$13),11))/MAX(0,NETWORKDAYS.INTL(MAX(E102,(Reprogramaciones!$T$15+7*(Reprogramaciones!Y$14-1))),MIN(F102,(Reprogramaciones!$T$15+7*(Reprogramaciones!Y$14-1))+6),11))))))))</f>
        <v/>
      </c>
      <c r="CI102" s="1" t="str">
        <f aca="false">IF(OR(NOT(AND(ISNUMBER(E102),ISNUMBER(F102))),$J$2=""),"",IF(Reprogramaciones!Z$13&lt;Reprogramaciones!$T$15,0,IF(Reprogramaciones!Z$14&gt;10,MIN(100,SUM($G102:$P102)),MIN(100,SUMPRODUCT((COLUMN($G102:$P102)-COLUMN($G102)+1&lt;Reprogramaciones!Z$14)*$G102:$P102)+N(INDEX($G102:$P102,1,Reprogramaciones!Z$14))*IF(Reprogramaciones!Z$13&gt;=(Reprogramaciones!$T$15+7*(Reprogramaciones!Z$14-1))+6,1,IF(MAX(0,NETWORKDAYS.INTL(MAX(E102,(Reprogramaciones!$T$15+7*(Reprogramaciones!Z$14-1))),MIN(F102,(Reprogramaciones!$T$15+7*(Reprogramaciones!Z$14-1))+6),11))=0,0,MAX(0,NETWORKDAYS.INTL(MAX(E102,(Reprogramaciones!$T$15+7*(Reprogramaciones!Z$14-1))),MIN(F102,Reprogramaciones!Z$13),11))/MAX(0,NETWORKDAYS.INTL(MAX(E102,(Reprogramaciones!$T$15+7*(Reprogramaciones!Z$14-1))),MIN(F102,(Reprogramaciones!$T$15+7*(Reprogramaciones!Z$14-1))+6),11))))))))</f>
        <v/>
      </c>
      <c r="CJ102" s="1" t="str">
        <f aca="false">IF(OR(OR(NOT(AND(ISNUMBER(E102),ISNUMBER(F102))),$J$2=""),1&gt;Reprogramaciones!$K$16),"",IF(ROUND(SUM($Q102:Q102),1)&gt;=99.5,100,MIN(100,ROUND(SUM($Q102:Q102),1))))</f>
        <v/>
      </c>
      <c r="CK102" s="1" t="str">
        <f aca="false">IF(OR(OR(NOT(AND(ISNUMBER(E102),ISNUMBER(F102))),$J$2=""),2&gt;Reprogramaciones!$K$16),"",IF(ROUND(SUM($Q102:R102),1)&gt;=99.5,100,MIN(100,ROUND(SUM($Q102:R102),1))))</f>
        <v/>
      </c>
      <c r="CL102" s="1" t="str">
        <f aca="false">IF(OR(OR(NOT(AND(ISNUMBER(E102),ISNUMBER(F102))),$J$2=""),3&gt;Reprogramaciones!$K$16),"",IF(ROUND(SUM($Q102:S102),1)&gt;=99.5,100,MIN(100,ROUND(SUM($Q102:S102),1))))</f>
        <v/>
      </c>
      <c r="CM102" s="1" t="str">
        <f aca="false">IF(OR(OR(NOT(AND(ISNUMBER(E102),ISNUMBER(F102))),$J$2=""),4&gt;Reprogramaciones!$K$16),"",IF(ROUND(SUM($Q102:T102),1)&gt;=99.5,100,MIN(100,ROUND(SUM($Q102:T102),1))))</f>
        <v/>
      </c>
      <c r="CN102" s="1" t="str">
        <f aca="false">IF(OR(OR(NOT(AND(ISNUMBER(E102),ISNUMBER(F102))),$J$2=""),5&gt;Reprogramaciones!$K$16),"",IF(ROUND(SUM($Q102:U102),1)&gt;=99.5,100,MIN(100,ROUND(SUM($Q102:U102),1))))</f>
        <v/>
      </c>
      <c r="CO102" s="1" t="str">
        <f aca="false">IF(OR(OR(NOT(AND(ISNUMBER(E102),ISNUMBER(F102))),$J$2=""),6&gt;Reprogramaciones!$K$16),"",IF(ROUND(SUM($Q102:V102),1)&gt;=99.5,100,MIN(100,ROUND(SUM($Q102:V102),1))))</f>
        <v/>
      </c>
      <c r="CP102" s="1" t="str">
        <f aca="false">IF(OR(OR(NOT(AND(ISNUMBER(E102),ISNUMBER(F102))),$J$2=""),7&gt;Reprogramaciones!$K$16),"",IF(ROUND(SUM($Q102:W102),1)&gt;=99.5,100,MIN(100,ROUND(SUM($Q102:W102),1))))</f>
        <v/>
      </c>
      <c r="CQ102" s="1" t="str">
        <f aca="false">IF(OR(OR(NOT(AND(ISNUMBER(E102),ISNUMBER(F102))),$J$2=""),8&gt;Reprogramaciones!$K$16),"",IF(ROUND(SUM($Q102:X102),1)&gt;=99.5,100,MIN(100,ROUND(SUM($Q102:X102),1))))</f>
        <v/>
      </c>
      <c r="CR102" s="1" t="str">
        <f aca="false">IF(OR(OR(NOT(AND(ISNUMBER(E102),ISNUMBER(F102))),$J$2=""),9&gt;Reprogramaciones!$K$16),"",IF(ROUND(SUM($Q102:Y102),1)&gt;=99.5,100,MIN(100,ROUND(SUM($Q102:Y102),1))))</f>
        <v/>
      </c>
      <c r="CS102" s="1" t="str">
        <f aca="false">IF(OR(OR(NOT(AND(ISNUMBER(E102),ISNUMBER(F102))),$J$2=""),10&gt;Reprogramaciones!$K$16),"",IF(ROUND(SUM($Q102:Z102),1)&gt;=99.5,100,MIN(100,ROUND(SUM($Q102:Z102),1))))</f>
        <v/>
      </c>
      <c r="CT102" s="1" t="str">
        <f aca="false">IF(OR(OR(NOT(AND(ISNUMBER(E102),ISNUMBER(F102))),$J$2=""),11&gt;Reprogramaciones!$K$16),"",IF(ROUND(SUM($Q102:AA102),1)&gt;=99.5,100,MIN(100,ROUND(SUM($Q102:AA102),1))))</f>
        <v/>
      </c>
      <c r="CU102" s="1" t="str">
        <f aca="false">IF(OR(OR(NOT(AND(ISNUMBER(E102),ISNUMBER(F102))),$J$2=""),12&gt;Reprogramaciones!$K$16),"",IF(ROUND(SUM($Q102:AB102),1)&gt;=99.5,100,MIN(100,ROUND(SUM($Q102:AB102),1))))</f>
        <v/>
      </c>
      <c r="CV102" s="1" t="str">
        <f aca="false">IF(OR(OR(NOT(AND(ISNUMBER(E102),ISNUMBER(F102))),$J$2=""),13&gt;Reprogramaciones!$K$16),"",IF(ROUND(SUM($Q102:AC102),1)&gt;=99.5,100,MIN(100,ROUND(SUM($Q102:AC102),1))))</f>
        <v/>
      </c>
      <c r="CW102" s="1" t="str">
        <f aca="false">IF(OR(OR(NOT(AND(ISNUMBER(E102),ISNUMBER(F102))),$J$2=""),14&gt;Reprogramaciones!$K$16),"",IF(ROUND(SUM($Q102:AD102),1)&gt;=99.5,100,MIN(100,ROUND(SUM($Q102:AD102),1))))</f>
        <v/>
      </c>
      <c r="CX102" s="1" t="str">
        <f aca="false">IF(OR(OR(NOT(AND(ISNUMBER(E102),ISNUMBER(F102))),$J$2=""),15&gt;Reprogramaciones!$K$16),"",IF(ROUND(SUM($Q102:AE102),1)&gt;=99.5,100,MIN(100,ROUND(SUM($Q102:AE102),1))))</f>
        <v/>
      </c>
      <c r="CY102" s="1" t="str">
        <f aca="false">IF(OR(OR(NOT(AND(ISNUMBER(E102),ISNUMBER(F102))),$J$2=""),16&gt;Reprogramaciones!$K$16),"",IF(ROUND(SUM($Q102:AF102),1)&gt;=99.5,100,MIN(100,ROUND(SUM($Q102:AF102),1))))</f>
        <v/>
      </c>
      <c r="CZ102" s="1" t="str">
        <f aca="false">IF(D102&lt;&gt;"",D102,IF(B102&lt;&gt;"","Contractual",CZ101))</f>
        <v>Contractual</v>
      </c>
      <c r="DA102" s="1" t="str">
        <f aca="false">IF(OR(NOT(AND(ISNUMBER(E102),ISNUMBER(F102))),$J$2=""),"",IF(Reprogramaciones!$Q$15&lt;Reprogramaciones!$T$15,0,IF(Reprogramaciones!$S$15&gt;10,MIN(100,SUM($G102:$P102)),MIN(100,SUMPRODUCT((COLUMN($G102:$P102)-COLUMN($G102)+1&lt;Reprogramaciones!$S$15)*$G102:$P102)+N(INDEX($G102:$P102,1,Reprogramaciones!$S$15))*IF(Reprogramaciones!$Q$15&gt;=(Reprogramaciones!$T$15+7*(Reprogramaciones!$S$15-1))+6,1,IF(MAX(0,NETWORKDAYS.INTL(MAX(E102,(Reprogramaciones!$T$15+7*(Reprogramaciones!$S$15-1))),MIN(F102,(Reprogramaciones!$T$15+7*(Reprogramaciones!$S$15-1))+6),11))=0,0,MAX(0,NETWORKDAYS.INTL(MAX(E102,(Reprogramaciones!$T$15+7*(Reprogramaciones!$S$15-1))),MIN(F102,Reprogramaciones!$Q$15),11))/MAX(0,NETWORKDAYS.INTL(MAX(E102,(Reprogramaciones!$T$15+7*(Reprogramaciones!$S$15-1))),MIN(F102,(Reprogramaciones!$T$15+7*(Reprogramaciones!$S$15-1))+6),11))))))))</f>
        <v/>
      </c>
    </row>
    <row r="103" customFormat="false" ht="15" hidden="false" customHeight="false" outlineLevel="0" collapsed="false">
      <c r="A103" s="32"/>
      <c r="B103" s="33"/>
      <c r="C103" s="33"/>
      <c r="D103" s="34"/>
      <c r="E103" s="35"/>
      <c r="F103" s="35"/>
      <c r="G103" s="36" t="str">
        <f aca="false">IF(OR(NOT(AND(ISNUMBER(E103),ISNUMBER(F103))),$J$2=""),"",IF(Reprogramaciones!K$9&lt;E103,0,IF(NETWORKDAYS.INTL(E103,F103,11)=0,IF(Reprogramaciones!K$9&gt;=F103,100,0),ROUND(NETWORKDAYS.INTL(E103,MIN(F103,Reprogramaciones!K$9),11)/NETWORKDAYS.INTL(E103,F103,11)*100,1)))-0)</f>
        <v/>
      </c>
      <c r="H103" s="36" t="str">
        <f aca="false">IF(OR(NOT(AND(ISNUMBER(E103),ISNUMBER(F103))),$J$2=""),"",IF(Reprogramaciones!L$9&lt;E103,0,IF(NETWORKDAYS.INTL(E103,F103,11)=0,IF(Reprogramaciones!L$9&gt;=F103,100,0),ROUND(NETWORKDAYS.INTL(E103,MIN(F103,Reprogramaciones!L$9),11)/NETWORKDAYS.INTL(E103,F103,11)*100,1)))-IF(Reprogramaciones!K$9&lt;E103,0,IF(NETWORKDAYS.INTL(E103,F103,11)=0,IF(Reprogramaciones!K$9&gt;=F103,100,0),ROUND(NETWORKDAYS.INTL(E103,MIN(F103,Reprogramaciones!K$9),11)/NETWORKDAYS.INTL(E103,F103,11)*100,1))))</f>
        <v/>
      </c>
      <c r="I103" s="36" t="str">
        <f aca="false">IF(OR(NOT(AND(ISNUMBER(E103),ISNUMBER(F103))),$J$2=""),"",IF(Reprogramaciones!M$9&lt;E103,0,IF(NETWORKDAYS.INTL(E103,F103,11)=0,IF(Reprogramaciones!M$9&gt;=F103,100,0),ROUND(NETWORKDAYS.INTL(E103,MIN(F103,Reprogramaciones!M$9),11)/NETWORKDAYS.INTL(E103,F103,11)*100,1)))-IF(Reprogramaciones!L$9&lt;E103,0,IF(NETWORKDAYS.INTL(E103,F103,11)=0,IF(Reprogramaciones!L$9&gt;=F103,100,0),ROUND(NETWORKDAYS.INTL(E103,MIN(F103,Reprogramaciones!L$9),11)/NETWORKDAYS.INTL(E103,F103,11)*100,1))))</f>
        <v/>
      </c>
      <c r="J103" s="36" t="str">
        <f aca="false">IF(OR(NOT(AND(ISNUMBER(E103),ISNUMBER(F103))),$J$2=""),"",IF(Reprogramaciones!N$9&lt;E103,0,IF(NETWORKDAYS.INTL(E103,F103,11)=0,IF(Reprogramaciones!N$9&gt;=F103,100,0),ROUND(NETWORKDAYS.INTL(E103,MIN(F103,Reprogramaciones!N$9),11)/NETWORKDAYS.INTL(E103,F103,11)*100,1)))-IF(Reprogramaciones!M$9&lt;E103,0,IF(NETWORKDAYS.INTL(E103,F103,11)=0,IF(Reprogramaciones!M$9&gt;=F103,100,0),ROUND(NETWORKDAYS.INTL(E103,MIN(F103,Reprogramaciones!M$9),11)/NETWORKDAYS.INTL(E103,F103,11)*100,1))))</f>
        <v/>
      </c>
      <c r="K103" s="36" t="str">
        <f aca="false">IF(OR(NOT(AND(ISNUMBER(E103),ISNUMBER(F103))),$J$2=""),"",IF(Reprogramaciones!O$9&lt;E103,0,IF(NETWORKDAYS.INTL(E103,F103,11)=0,IF(Reprogramaciones!O$9&gt;=F103,100,0),ROUND(NETWORKDAYS.INTL(E103,MIN(F103,Reprogramaciones!O$9),11)/NETWORKDAYS.INTL(E103,F103,11)*100,1)))-IF(Reprogramaciones!N$9&lt;E103,0,IF(NETWORKDAYS.INTL(E103,F103,11)=0,IF(Reprogramaciones!N$9&gt;=F103,100,0),ROUND(NETWORKDAYS.INTL(E103,MIN(F103,Reprogramaciones!N$9),11)/NETWORKDAYS.INTL(E103,F103,11)*100,1))))</f>
        <v/>
      </c>
      <c r="L103" s="36" t="str">
        <f aca="false">IF(OR(NOT(AND(ISNUMBER(E103),ISNUMBER(F103))),$J$2=""),"",IF(Reprogramaciones!P$9&lt;E103,0,IF(NETWORKDAYS.INTL(E103,F103,11)=0,IF(Reprogramaciones!P$9&gt;=F103,100,0),ROUND(NETWORKDAYS.INTL(E103,MIN(F103,Reprogramaciones!P$9),11)/NETWORKDAYS.INTL(E103,F103,11)*100,1)))-IF(Reprogramaciones!O$9&lt;E103,0,IF(NETWORKDAYS.INTL(E103,F103,11)=0,IF(Reprogramaciones!O$9&gt;=F103,100,0),ROUND(NETWORKDAYS.INTL(E103,MIN(F103,Reprogramaciones!O$9),11)/NETWORKDAYS.INTL(E103,F103,11)*100,1))))</f>
        <v/>
      </c>
      <c r="M103" s="36" t="str">
        <f aca="false">IF(OR(NOT(AND(ISNUMBER(E103),ISNUMBER(F103))),$J$2=""),"",IF(Reprogramaciones!Q$9&lt;E103,0,IF(NETWORKDAYS.INTL(E103,F103,11)=0,IF(Reprogramaciones!Q$9&gt;=F103,100,0),ROUND(NETWORKDAYS.INTL(E103,MIN(F103,Reprogramaciones!Q$9),11)/NETWORKDAYS.INTL(E103,F103,11)*100,1)))-IF(Reprogramaciones!P$9&lt;E103,0,IF(NETWORKDAYS.INTL(E103,F103,11)=0,IF(Reprogramaciones!P$9&gt;=F103,100,0),ROUND(NETWORKDAYS.INTL(E103,MIN(F103,Reprogramaciones!P$9),11)/NETWORKDAYS.INTL(E103,F103,11)*100,1))))</f>
        <v/>
      </c>
      <c r="N103" s="36" t="str">
        <f aca="false">IF(OR(NOT(AND(ISNUMBER(E103),ISNUMBER(F103))),$J$2=""),"",IF(Reprogramaciones!R$9&lt;E103,0,IF(NETWORKDAYS.INTL(E103,F103,11)=0,IF(Reprogramaciones!R$9&gt;=F103,100,0),ROUND(NETWORKDAYS.INTL(E103,MIN(F103,Reprogramaciones!R$9),11)/NETWORKDAYS.INTL(E103,F103,11)*100,1)))-IF(Reprogramaciones!Q$9&lt;E103,0,IF(NETWORKDAYS.INTL(E103,F103,11)=0,IF(Reprogramaciones!Q$9&gt;=F103,100,0),ROUND(NETWORKDAYS.INTL(E103,MIN(F103,Reprogramaciones!Q$9),11)/NETWORKDAYS.INTL(E103,F103,11)*100,1))))</f>
        <v/>
      </c>
      <c r="O103" s="36" t="str">
        <f aca="false">IF(OR(NOT(AND(ISNUMBER(E103),ISNUMBER(F103))),$J$2=""),"",IF(Reprogramaciones!S$9&lt;E103,0,IF(NETWORKDAYS.INTL(E103,F103,11)=0,IF(Reprogramaciones!S$9&gt;=F103,100,0),ROUND(NETWORKDAYS.INTL(E103,MIN(F103,Reprogramaciones!S$9),11)/NETWORKDAYS.INTL(E103,F103,11)*100,1)))-IF(Reprogramaciones!R$9&lt;E103,0,IF(NETWORKDAYS.INTL(E103,F103,11)=0,IF(Reprogramaciones!R$9&gt;=F103,100,0),ROUND(NETWORKDAYS.INTL(E103,MIN(F103,Reprogramaciones!R$9),11)/NETWORKDAYS.INTL(E103,F103,11)*100,1))))</f>
        <v/>
      </c>
      <c r="P103" s="36" t="str">
        <f aca="false">IF(OR(NOT(AND(ISNUMBER(E103),ISNUMBER(F103))),$J$2=""),"",IF(Reprogramaciones!T$9&lt;E103,0,IF(NETWORKDAYS.INTL(E103,F103,11)=0,IF(Reprogramaciones!T$9&gt;=F103,100,0),ROUND(NETWORKDAYS.INTL(E103,MIN(F103,Reprogramaciones!T$9),11)/NETWORKDAYS.INTL(E103,F103,11)*100,1)))-IF(Reprogramaciones!S$9&lt;E103,0,IF(NETWORKDAYS.INTL(E103,F103,11)=0,IF(Reprogramaciones!S$9&gt;=F103,100,0),ROUND(NETWORKDAYS.INTL(E103,MIN(F103,Reprogramaciones!S$9),11)/NETWORKDAYS.INTL(E103,F103,11)*100,1))))</f>
        <v/>
      </c>
      <c r="Q103" s="37"/>
      <c r="R103" s="37"/>
      <c r="S103" s="37"/>
      <c r="T103" s="37"/>
      <c r="U103" s="37"/>
      <c r="V103" s="37"/>
      <c r="W103" s="37"/>
      <c r="X103" s="37"/>
      <c r="Y103" s="37"/>
      <c r="Z103" s="37"/>
      <c r="AA103" s="37"/>
      <c r="AB103" s="37"/>
      <c r="AC103" s="37"/>
      <c r="AD103" s="37"/>
      <c r="AE103" s="37"/>
      <c r="AF103" s="37"/>
      <c r="AG103" s="38" t="str">
        <f aca="false">IF(AND(ISNUMBER(E103),ISNUMBER(F103)),NETWORKDAYS.INTL(E103,F103,11),"")</f>
        <v/>
      </c>
      <c r="AH103" s="38" t="str">
        <f aca="false">IF(OR(NOT(AND(ISNUMBER(E103),ISNUMBER(F103))),$J$2=""),"",IF(Reprogramaciones!$P$15&lt;Reprogramaciones!$T$15,0,IF(Reprogramaciones!$R$15&gt;10,MIN(100,SUM($G103:$P103)),MIN(100,SUMPRODUCT((COLUMN($G103:$P103)-COLUMN($G103)+1&lt;Reprogramaciones!$R$15)*$G103:$P103)+N(INDEX($G103:$P103,1,Reprogramaciones!$R$15))*IF(Reprogramaciones!$P$15&gt;=(Reprogramaciones!$T$15+7*(Reprogramaciones!$R$15-1))+6,1,IF(MAX(0,NETWORKDAYS.INTL(MAX(E103,(Reprogramaciones!$T$15+7*(Reprogramaciones!$R$15-1))),MIN(F103,(Reprogramaciones!$T$15+7*(Reprogramaciones!$R$15-1))+6),11))=0,0,MAX(0,NETWORKDAYS.INTL(MAX(E103,(Reprogramaciones!$T$15+7*(Reprogramaciones!$R$15-1))),MIN(F103,Reprogramaciones!$P$15),11))/MAX(0,NETWORKDAYS.INTL(MAX(E103,(Reprogramaciones!$T$15+7*(Reprogramaciones!$R$15-1))),MIN(F103,(Reprogramaciones!$T$15+7*(Reprogramaciones!$R$15-1))+6),11))))))))</f>
        <v/>
      </c>
      <c r="AI103" s="38" t="str">
        <f aca="false">IF(COUNT($Q103:$AF103)=0,"",IF(ROUND(SUM($Q103:$AF103),1)&gt;=99.5,100,MIN(100,ROUND(SUM($Q103:$AF103),1))))</f>
        <v/>
      </c>
      <c r="AJ103" s="38" t="str">
        <f aca="false">IF(OR(AH103="",AI103=""),"",AI103-AH103)</f>
        <v/>
      </c>
      <c r="AK103" s="39" t="str">
        <f aca="true">IF(AH103="","",IF(OR(Ficha!$C$10="Suspendida",Ficha!$C$10="Cancelada"),Ficha!$C$10,IF(AND(AI103&lt;&gt;"",N(AI103)&gt;=100),"Completada",IF(AND(E103&gt;TODAY(),N(AI103)=0),"Por iniciar",IF(N(AI103)+0.5&lt;AH103,"Retrasada",IF(N(AI103)+0.5&lt;DA103,IF(Reprogramaciones!$K$15&gt;0,"Al día · Sem "&amp;Reprogramaciones!$K$15&amp;" en curso","Al día · en curso"),"A tiempo"))))))</f>
        <v/>
      </c>
      <c r="AL103" s="39" t="str">
        <f aca="true">IF(AND(A103="",AND(B103="",C103="",E103="",F103="",COUNT(Q103:AF103)=0)),"",IF(AND(B103="",C103="",E103="",F103="",COUNT(Q103:AF103)=0),"Falta la partida o subpartida",IF(AND(A103&lt;&gt;"",COUNTIF($A$6:$A$305,A103)&gt;1),"Ítem repetido",IF(AND(C103="",E103="",F103="",COUNT(Q103:AF103)=0),"Título de partida",IF(OR(E103="",F103=""),"Faltan fechas",IF(OR(ISTEXT(E103),ISTEXT(F103)),"Fecha escrita como texto: usa dd/mm/aaaa",IF(F103&lt;E103,"Fin antes del inicio",IF(IF($J$2="",FALSE(),OR(E103&lt;$J$2,F103&gt;Reprogramaciones!$T$15+69)),"Fuera de las 10 semanas",IF(ABS(SUM(G103:P103)-100)&gt;0.5,"La meta no suma 100%",IF(ROUND(SUM(Q103:AF103),1)&gt;100.5,"El avance pasa de 100%",IF(MIN(Q103:AF103)&lt;0,"Avance negativo",IF(COUNTA(Q103:AF103)&gt;COUNT(Q103:AF103),"Avance escrito como texto",IF(SUMPRODUCT((Q103:AF103&gt;0)*(Q103:AF103&lt;1))&gt;0,"Avance menor a 1: escribe 50, no 50%",IF(SUMPRODUCT(ISNUMBER(Q103:AF103)*(Reprogramaciones!$K$8:$Z$8&gt;TODAY()))&gt;0,"Avance en semana que aún no llega",IF(AND(N(Reprogramaciones!$E$21)&gt;0,F103&gt;Reprogramaciones!$E$21),"Pasa el fin de la obra: registra una reprogramación",IF(AND(N(Reprogramaciones!$E$21)&gt;0,SUMPRODUCT(ISNUMBER(Q103:AF103)*(Reprogramaciones!$K$8:$Z$8&gt;Reprogramaciones!$E$21))&gt;0),"Avance después del fin de la obra: registra una reprogramación por atraso","OK"))))))))))))))))</f>
        <v/>
      </c>
      <c r="AM103" s="40" t="str">
        <f aca="false">IF(OR(OR(NOT(AND(ISNUMBER(E103),ISNUMBER(F103))),$J$2=""),1&gt;MAX(1,Reprogramaciones!$U$15)),"",IF(Reprogramaciones!K$12&gt;=7,"",IF(OR(BT103-N(0)&gt;0.05,N(Q103)&gt;0),ROUNDDOWN(ROUND(BT103,6),0)&amp;"%"&amp;IF(CJ103="",""," / "&amp;CJ103&amp;"%"),IF(AND(N(0)&gt;=99.95,CJ103&lt;&gt;"",N(CJ103)&lt;100),"Pend. "&amp;CJ103&amp;"%",""))))</f>
        <v/>
      </c>
      <c r="AN103" s="40" t="str">
        <f aca="false">IF(OR(OR(NOT(AND(ISNUMBER(E103),ISNUMBER(F103))),$J$2=""),2&gt;MAX(1,Reprogramaciones!$U$15)),"",IF(Reprogramaciones!L$12&gt;=7,"",IF(OR(BU103-N(BT103)&gt;0.05,N(R103)&gt;0),ROUNDDOWN(ROUND(BU103,6),0)&amp;"%"&amp;IF(CK103="",""," / "&amp;CK103&amp;"%"),IF(AND(N(BT103)&gt;=99.95,CK103&lt;&gt;"",N(CK103)&lt;100),"Pend. "&amp;CK103&amp;"%",""))))</f>
        <v/>
      </c>
      <c r="AO103" s="40" t="str">
        <f aca="false">IF(OR(OR(NOT(AND(ISNUMBER(E103),ISNUMBER(F103))),$J$2=""),3&gt;MAX(1,Reprogramaciones!$U$15)),"",IF(Reprogramaciones!M$12&gt;=7,"",IF(OR(BV103-N(BU103)&gt;0.05,N(S103)&gt;0),ROUNDDOWN(ROUND(BV103,6),0)&amp;"%"&amp;IF(CL103="",""," / "&amp;CL103&amp;"%"),IF(AND(N(BU103)&gt;=99.95,CL103&lt;&gt;"",N(CL103)&lt;100),"Pend. "&amp;CL103&amp;"%",""))))</f>
        <v/>
      </c>
      <c r="AP103" s="40" t="str">
        <f aca="false">IF(OR(OR(NOT(AND(ISNUMBER(E103),ISNUMBER(F103))),$J$2=""),4&gt;MAX(1,Reprogramaciones!$U$15)),"",IF(Reprogramaciones!N$12&gt;=7,"",IF(OR(BW103-N(BV103)&gt;0.05,N(T103)&gt;0),ROUNDDOWN(ROUND(BW103,6),0)&amp;"%"&amp;IF(CM103="",""," / "&amp;CM103&amp;"%"),IF(AND(N(BV103)&gt;=99.95,CM103&lt;&gt;"",N(CM103)&lt;100),"Pend. "&amp;CM103&amp;"%",""))))</f>
        <v/>
      </c>
      <c r="AQ103" s="40" t="str">
        <f aca="false">IF(OR(OR(NOT(AND(ISNUMBER(E103),ISNUMBER(F103))),$J$2=""),5&gt;MAX(1,Reprogramaciones!$U$15)),"",IF(Reprogramaciones!O$12&gt;=7,"",IF(OR(BX103-N(BW103)&gt;0.05,N(U103)&gt;0),ROUNDDOWN(ROUND(BX103,6),0)&amp;"%"&amp;IF(CN103="",""," / "&amp;CN103&amp;"%"),IF(AND(N(BW103)&gt;=99.95,CN103&lt;&gt;"",N(CN103)&lt;100),"Pend. "&amp;CN103&amp;"%",""))))</f>
        <v/>
      </c>
      <c r="AR103" s="40" t="str">
        <f aca="false">IF(OR(OR(NOT(AND(ISNUMBER(E103),ISNUMBER(F103))),$J$2=""),6&gt;MAX(1,Reprogramaciones!$U$15)),"",IF(Reprogramaciones!P$12&gt;=7,"",IF(OR(BY103-N(BX103)&gt;0.05,N(V103)&gt;0),ROUNDDOWN(ROUND(BY103,6),0)&amp;"%"&amp;IF(CO103="",""," / "&amp;CO103&amp;"%"),IF(AND(N(BX103)&gt;=99.95,CO103&lt;&gt;"",N(CO103)&lt;100),"Pend. "&amp;CO103&amp;"%",""))))</f>
        <v/>
      </c>
      <c r="AS103" s="40" t="str">
        <f aca="false">IF(OR(OR(NOT(AND(ISNUMBER(E103),ISNUMBER(F103))),$J$2=""),7&gt;MAX(1,Reprogramaciones!$U$15)),"",IF(Reprogramaciones!Q$12&gt;=7,"",IF(OR(BZ103-N(BY103)&gt;0.05,N(W103)&gt;0),ROUNDDOWN(ROUND(BZ103,6),0)&amp;"%"&amp;IF(CP103="",""," / "&amp;CP103&amp;"%"),IF(AND(N(BY103)&gt;=99.95,CP103&lt;&gt;"",N(CP103)&lt;100),"Pend. "&amp;CP103&amp;"%",""))))</f>
        <v/>
      </c>
      <c r="AT103" s="40" t="str">
        <f aca="false">IF(OR(OR(NOT(AND(ISNUMBER(E103),ISNUMBER(F103))),$J$2=""),8&gt;MAX(1,Reprogramaciones!$U$15)),"",IF(Reprogramaciones!R$12&gt;=7,"",IF(OR(CA103-N(BZ103)&gt;0.05,N(X103)&gt;0),ROUNDDOWN(ROUND(CA103,6),0)&amp;"%"&amp;IF(CQ103="",""," / "&amp;CQ103&amp;"%"),IF(AND(N(BZ103)&gt;=99.95,CQ103&lt;&gt;"",N(CQ103)&lt;100),"Pend. "&amp;CQ103&amp;"%",""))))</f>
        <v/>
      </c>
      <c r="AU103" s="40" t="str">
        <f aca="false">IF(OR(OR(NOT(AND(ISNUMBER(E103),ISNUMBER(F103))),$J$2=""),9&gt;MAX(1,Reprogramaciones!$U$15)),"",IF(Reprogramaciones!S$12&gt;=7,"",IF(OR(CB103-N(CA103)&gt;0.05,N(Y103)&gt;0),ROUNDDOWN(ROUND(CB103,6),0)&amp;"%"&amp;IF(CR103="",""," / "&amp;CR103&amp;"%"),IF(AND(N(CA103)&gt;=99.95,CR103&lt;&gt;"",N(CR103)&lt;100),"Pend. "&amp;CR103&amp;"%",""))))</f>
        <v/>
      </c>
      <c r="AV103" s="40" t="str">
        <f aca="false">IF(OR(OR(NOT(AND(ISNUMBER(E103),ISNUMBER(F103))),$J$2=""),10&gt;MAX(1,Reprogramaciones!$U$15)),"",IF(Reprogramaciones!T$12&gt;=7,"",IF(OR(CC103-N(CB103)&gt;0.05,N(Z103)&gt;0),ROUNDDOWN(ROUND(CC103,6),0)&amp;"%"&amp;IF(CS103="",""," / "&amp;CS103&amp;"%"),IF(AND(N(CB103)&gt;=99.95,CS103&lt;&gt;"",N(CS103)&lt;100),"Pend. "&amp;CS103&amp;"%",""))))</f>
        <v/>
      </c>
      <c r="AW103" s="40" t="str">
        <f aca="false">IF(OR(OR(NOT(AND(ISNUMBER(E103),ISNUMBER(F103))),$J$2=""),11&gt;MAX(1,Reprogramaciones!$U$15)),"",IF(Reprogramaciones!U$12&gt;=7,"",IF(OR(CD103-N(CC103)&gt;0.05,N(AA103)&gt;0),ROUNDDOWN(ROUND(CD103,6),0)&amp;"%"&amp;IF(CT103="",""," / "&amp;CT103&amp;"%"),IF(AND(N(CC103)&gt;=99.95,CT103&lt;&gt;"",N(CT103)&lt;100),"Pend. "&amp;CT103&amp;"%",""))))</f>
        <v/>
      </c>
      <c r="AX103" s="40" t="str">
        <f aca="false">IF(OR(OR(NOT(AND(ISNUMBER(E103),ISNUMBER(F103))),$J$2=""),12&gt;MAX(1,Reprogramaciones!$U$15)),"",IF(Reprogramaciones!V$12&gt;=7,"",IF(OR(CE103-N(CD103)&gt;0.05,N(AB103)&gt;0),ROUNDDOWN(ROUND(CE103,6),0)&amp;"%"&amp;IF(CU103="",""," / "&amp;CU103&amp;"%"),IF(AND(N(CD103)&gt;=99.95,CU103&lt;&gt;"",N(CU103)&lt;100),"Pend. "&amp;CU103&amp;"%",""))))</f>
        <v/>
      </c>
      <c r="AY103" s="40" t="str">
        <f aca="false">IF(OR(OR(NOT(AND(ISNUMBER(E103),ISNUMBER(F103))),$J$2=""),13&gt;MAX(1,Reprogramaciones!$U$15)),"",IF(Reprogramaciones!W$12&gt;=7,"",IF(OR(CF103-N(CE103)&gt;0.05,N(AC103)&gt;0),ROUNDDOWN(ROUND(CF103,6),0)&amp;"%"&amp;IF(CV103="",""," / "&amp;CV103&amp;"%"),IF(AND(N(CE103)&gt;=99.95,CV103&lt;&gt;"",N(CV103)&lt;100),"Pend. "&amp;CV103&amp;"%",""))))</f>
        <v/>
      </c>
      <c r="AZ103" s="40" t="str">
        <f aca="false">IF(OR(OR(NOT(AND(ISNUMBER(E103),ISNUMBER(F103))),$J$2=""),14&gt;MAX(1,Reprogramaciones!$U$15)),"",IF(Reprogramaciones!X$12&gt;=7,"",IF(OR(CG103-N(CF103)&gt;0.05,N(AD103)&gt;0),ROUNDDOWN(ROUND(CG103,6),0)&amp;"%"&amp;IF(CW103="",""," / "&amp;CW103&amp;"%"),IF(AND(N(CF103)&gt;=99.95,CW103&lt;&gt;"",N(CW103)&lt;100),"Pend. "&amp;CW103&amp;"%",""))))</f>
        <v/>
      </c>
      <c r="BA103" s="40" t="str">
        <f aca="false">IF(OR(OR(NOT(AND(ISNUMBER(E103),ISNUMBER(F103))),$J$2=""),15&gt;MAX(1,Reprogramaciones!$U$15)),"",IF(Reprogramaciones!Y$12&gt;=7,"",IF(OR(CH103-N(CG103)&gt;0.05,N(AE103)&gt;0),ROUNDDOWN(ROUND(CH103,6),0)&amp;"%"&amp;IF(CX103="",""," / "&amp;CX103&amp;"%"),IF(AND(N(CG103)&gt;=99.95,CX103&lt;&gt;"",N(CX103)&lt;100),"Pend. "&amp;CX103&amp;"%",""))))</f>
        <v/>
      </c>
      <c r="BB103" s="40" t="str">
        <f aca="false">IF(OR(OR(NOT(AND(ISNUMBER(E103),ISNUMBER(F103))),$J$2=""),16&gt;MAX(1,Reprogramaciones!$U$15)),"",IF(Reprogramaciones!Z$12&gt;=7,"",IF(OR(CI103-N(CH103)&gt;0.05,N(AF103)&gt;0),ROUNDDOWN(ROUND(CI103,6),0)&amp;"%"&amp;IF(CY103="",""," / "&amp;CY103&amp;"%"),IF(AND(N(CH103)&gt;=99.95,CY103&lt;&gt;"",N(CY103)&lt;100),"Pend. "&amp;CY103&amp;"%",""))))</f>
        <v/>
      </c>
      <c r="BC103" s="31" t="n">
        <f aca="false">IF(AND(ISNUMBER(E103),ISNUMBER(F103)),MAX(1,NETWORKDAYS.INTL(E103,F103,11)),0)</f>
        <v>0</v>
      </c>
      <c r="BD103" s="1" t="str">
        <f aca="false">IF(OR(NOT(AND(ISNUMBER(E103),ISNUMBER(F103))),$J$2=""),"",MIN(100,ROUND(SUM($G103:G103),1)))</f>
        <v/>
      </c>
      <c r="BE103" s="1" t="str">
        <f aca="false">IF(OR(NOT(AND(ISNUMBER(E103),ISNUMBER(F103))),$J$2=""),"",MIN(100,ROUND(SUM($G103:H103),1)))</f>
        <v/>
      </c>
      <c r="BF103" s="1" t="str">
        <f aca="false">IF(OR(NOT(AND(ISNUMBER(E103),ISNUMBER(F103))),$J$2=""),"",MIN(100,ROUND(SUM($G103:I103),1)))</f>
        <v/>
      </c>
      <c r="BG103" s="1" t="str">
        <f aca="false">IF(OR(NOT(AND(ISNUMBER(E103),ISNUMBER(F103))),$J$2=""),"",MIN(100,ROUND(SUM($G103:J103),1)))</f>
        <v/>
      </c>
      <c r="BH103" s="1" t="str">
        <f aca="false">IF(OR(NOT(AND(ISNUMBER(E103),ISNUMBER(F103))),$J$2=""),"",MIN(100,ROUND(SUM($G103:K103),1)))</f>
        <v/>
      </c>
      <c r="BI103" s="1" t="str">
        <f aca="false">IF(OR(NOT(AND(ISNUMBER(E103),ISNUMBER(F103))),$J$2=""),"",MIN(100,ROUND(SUM($G103:L103),1)))</f>
        <v/>
      </c>
      <c r="BJ103" s="1" t="str">
        <f aca="false">IF(OR(NOT(AND(ISNUMBER(E103),ISNUMBER(F103))),$J$2=""),"",MIN(100,ROUND(SUM($G103:M103),1)))</f>
        <v/>
      </c>
      <c r="BK103" s="1" t="str">
        <f aca="false">IF(OR(NOT(AND(ISNUMBER(E103),ISNUMBER(F103))),$J$2=""),"",MIN(100,ROUND(SUM($G103:N103),1)))</f>
        <v/>
      </c>
      <c r="BL103" s="1" t="str">
        <f aca="false">IF(OR(NOT(AND(ISNUMBER(E103),ISNUMBER(F103))),$J$2=""),"",MIN(100,ROUND(SUM($G103:O103),1)))</f>
        <v/>
      </c>
      <c r="BM103" s="1" t="str">
        <f aca="false">IF(OR(NOT(AND(ISNUMBER(E103),ISNUMBER(F103))),$J$2=""),"",MIN(100,ROUND(SUM($G103:P103),1)))</f>
        <v/>
      </c>
      <c r="BN103" s="1" t="str">
        <f aca="false">IF(OR(NOT(AND(ISNUMBER(E103),ISNUMBER(F103))),$J$2=""),"",MIN(100,ROUND(SUM($G103:P103),1)))</f>
        <v/>
      </c>
      <c r="BO103" s="1" t="str">
        <f aca="false">IF(OR(NOT(AND(ISNUMBER(E103),ISNUMBER(F103))),$J$2=""),"",MIN(100,ROUND(SUM($G103:P103),1)))</f>
        <v/>
      </c>
      <c r="BP103" s="1" t="str">
        <f aca="false">IF(OR(NOT(AND(ISNUMBER(E103),ISNUMBER(F103))),$J$2=""),"",MIN(100,ROUND(SUM($G103:P103),1)))</f>
        <v/>
      </c>
      <c r="BQ103" s="1" t="str">
        <f aca="false">IF(OR(NOT(AND(ISNUMBER(E103),ISNUMBER(F103))),$J$2=""),"",MIN(100,ROUND(SUM($G103:P103),1)))</f>
        <v/>
      </c>
      <c r="BR103" s="1" t="str">
        <f aca="false">IF(OR(NOT(AND(ISNUMBER(E103),ISNUMBER(F103))),$J$2=""),"",MIN(100,ROUND(SUM($G103:P103),1)))</f>
        <v/>
      </c>
      <c r="BS103" s="1" t="str">
        <f aca="false">IF(OR(NOT(AND(ISNUMBER(E103),ISNUMBER(F103))),$J$2=""),"",MIN(100,ROUND(SUM($G103:P103),1)))</f>
        <v/>
      </c>
      <c r="BT103" s="1" t="str">
        <f aca="false">IF(OR(NOT(AND(ISNUMBER(E103),ISNUMBER(F103))),$J$2=""),"",IF(Reprogramaciones!K$13&lt;Reprogramaciones!$T$15,0,IF(Reprogramaciones!K$14&gt;10,MIN(100,SUM($G103:$P103)),MIN(100,SUMPRODUCT((COLUMN($G103:$P103)-COLUMN($G103)+1&lt;Reprogramaciones!K$14)*$G103:$P103)+N(INDEX($G103:$P103,1,Reprogramaciones!K$14))*IF(Reprogramaciones!K$13&gt;=(Reprogramaciones!$T$15+7*(Reprogramaciones!K$14-1))+6,1,IF(MAX(0,NETWORKDAYS.INTL(MAX(E103,(Reprogramaciones!$T$15+7*(Reprogramaciones!K$14-1))),MIN(F103,(Reprogramaciones!$T$15+7*(Reprogramaciones!K$14-1))+6),11))=0,0,MAX(0,NETWORKDAYS.INTL(MAX(E103,(Reprogramaciones!$T$15+7*(Reprogramaciones!K$14-1))),MIN(F103,Reprogramaciones!K$13),11))/MAX(0,NETWORKDAYS.INTL(MAX(E103,(Reprogramaciones!$T$15+7*(Reprogramaciones!K$14-1))),MIN(F103,(Reprogramaciones!$T$15+7*(Reprogramaciones!K$14-1))+6),11))))))))</f>
        <v/>
      </c>
      <c r="BU103" s="1" t="str">
        <f aca="false">IF(OR(NOT(AND(ISNUMBER(E103),ISNUMBER(F103))),$J$2=""),"",IF(Reprogramaciones!L$13&lt;Reprogramaciones!$T$15,0,IF(Reprogramaciones!L$14&gt;10,MIN(100,SUM($G103:$P103)),MIN(100,SUMPRODUCT((COLUMN($G103:$P103)-COLUMN($G103)+1&lt;Reprogramaciones!L$14)*$G103:$P103)+N(INDEX($G103:$P103,1,Reprogramaciones!L$14))*IF(Reprogramaciones!L$13&gt;=(Reprogramaciones!$T$15+7*(Reprogramaciones!L$14-1))+6,1,IF(MAX(0,NETWORKDAYS.INTL(MAX(E103,(Reprogramaciones!$T$15+7*(Reprogramaciones!L$14-1))),MIN(F103,(Reprogramaciones!$T$15+7*(Reprogramaciones!L$14-1))+6),11))=0,0,MAX(0,NETWORKDAYS.INTL(MAX(E103,(Reprogramaciones!$T$15+7*(Reprogramaciones!L$14-1))),MIN(F103,Reprogramaciones!L$13),11))/MAX(0,NETWORKDAYS.INTL(MAX(E103,(Reprogramaciones!$T$15+7*(Reprogramaciones!L$14-1))),MIN(F103,(Reprogramaciones!$T$15+7*(Reprogramaciones!L$14-1))+6),11))))))))</f>
        <v/>
      </c>
      <c r="BV103" s="1" t="str">
        <f aca="false">IF(OR(NOT(AND(ISNUMBER(E103),ISNUMBER(F103))),$J$2=""),"",IF(Reprogramaciones!M$13&lt;Reprogramaciones!$T$15,0,IF(Reprogramaciones!M$14&gt;10,MIN(100,SUM($G103:$P103)),MIN(100,SUMPRODUCT((COLUMN($G103:$P103)-COLUMN($G103)+1&lt;Reprogramaciones!M$14)*$G103:$P103)+N(INDEX($G103:$P103,1,Reprogramaciones!M$14))*IF(Reprogramaciones!M$13&gt;=(Reprogramaciones!$T$15+7*(Reprogramaciones!M$14-1))+6,1,IF(MAX(0,NETWORKDAYS.INTL(MAX(E103,(Reprogramaciones!$T$15+7*(Reprogramaciones!M$14-1))),MIN(F103,(Reprogramaciones!$T$15+7*(Reprogramaciones!M$14-1))+6),11))=0,0,MAX(0,NETWORKDAYS.INTL(MAX(E103,(Reprogramaciones!$T$15+7*(Reprogramaciones!M$14-1))),MIN(F103,Reprogramaciones!M$13),11))/MAX(0,NETWORKDAYS.INTL(MAX(E103,(Reprogramaciones!$T$15+7*(Reprogramaciones!M$14-1))),MIN(F103,(Reprogramaciones!$T$15+7*(Reprogramaciones!M$14-1))+6),11))))))))</f>
        <v/>
      </c>
      <c r="BW103" s="1" t="str">
        <f aca="false">IF(OR(NOT(AND(ISNUMBER(E103),ISNUMBER(F103))),$J$2=""),"",IF(Reprogramaciones!N$13&lt;Reprogramaciones!$T$15,0,IF(Reprogramaciones!N$14&gt;10,MIN(100,SUM($G103:$P103)),MIN(100,SUMPRODUCT((COLUMN($G103:$P103)-COLUMN($G103)+1&lt;Reprogramaciones!N$14)*$G103:$P103)+N(INDEX($G103:$P103,1,Reprogramaciones!N$14))*IF(Reprogramaciones!N$13&gt;=(Reprogramaciones!$T$15+7*(Reprogramaciones!N$14-1))+6,1,IF(MAX(0,NETWORKDAYS.INTL(MAX(E103,(Reprogramaciones!$T$15+7*(Reprogramaciones!N$14-1))),MIN(F103,(Reprogramaciones!$T$15+7*(Reprogramaciones!N$14-1))+6),11))=0,0,MAX(0,NETWORKDAYS.INTL(MAX(E103,(Reprogramaciones!$T$15+7*(Reprogramaciones!N$14-1))),MIN(F103,Reprogramaciones!N$13),11))/MAX(0,NETWORKDAYS.INTL(MAX(E103,(Reprogramaciones!$T$15+7*(Reprogramaciones!N$14-1))),MIN(F103,(Reprogramaciones!$T$15+7*(Reprogramaciones!N$14-1))+6),11))))))))</f>
        <v/>
      </c>
      <c r="BX103" s="1" t="str">
        <f aca="false">IF(OR(NOT(AND(ISNUMBER(E103),ISNUMBER(F103))),$J$2=""),"",IF(Reprogramaciones!O$13&lt;Reprogramaciones!$T$15,0,IF(Reprogramaciones!O$14&gt;10,MIN(100,SUM($G103:$P103)),MIN(100,SUMPRODUCT((COLUMN($G103:$P103)-COLUMN($G103)+1&lt;Reprogramaciones!O$14)*$G103:$P103)+N(INDEX($G103:$P103,1,Reprogramaciones!O$14))*IF(Reprogramaciones!O$13&gt;=(Reprogramaciones!$T$15+7*(Reprogramaciones!O$14-1))+6,1,IF(MAX(0,NETWORKDAYS.INTL(MAX(E103,(Reprogramaciones!$T$15+7*(Reprogramaciones!O$14-1))),MIN(F103,(Reprogramaciones!$T$15+7*(Reprogramaciones!O$14-1))+6),11))=0,0,MAX(0,NETWORKDAYS.INTL(MAX(E103,(Reprogramaciones!$T$15+7*(Reprogramaciones!O$14-1))),MIN(F103,Reprogramaciones!O$13),11))/MAX(0,NETWORKDAYS.INTL(MAX(E103,(Reprogramaciones!$T$15+7*(Reprogramaciones!O$14-1))),MIN(F103,(Reprogramaciones!$T$15+7*(Reprogramaciones!O$14-1))+6),11))))))))</f>
        <v/>
      </c>
      <c r="BY103" s="1" t="str">
        <f aca="false">IF(OR(NOT(AND(ISNUMBER(E103),ISNUMBER(F103))),$J$2=""),"",IF(Reprogramaciones!P$13&lt;Reprogramaciones!$T$15,0,IF(Reprogramaciones!P$14&gt;10,MIN(100,SUM($G103:$P103)),MIN(100,SUMPRODUCT((COLUMN($G103:$P103)-COLUMN($G103)+1&lt;Reprogramaciones!P$14)*$G103:$P103)+N(INDEX($G103:$P103,1,Reprogramaciones!P$14))*IF(Reprogramaciones!P$13&gt;=(Reprogramaciones!$T$15+7*(Reprogramaciones!P$14-1))+6,1,IF(MAX(0,NETWORKDAYS.INTL(MAX(E103,(Reprogramaciones!$T$15+7*(Reprogramaciones!P$14-1))),MIN(F103,(Reprogramaciones!$T$15+7*(Reprogramaciones!P$14-1))+6),11))=0,0,MAX(0,NETWORKDAYS.INTL(MAX(E103,(Reprogramaciones!$T$15+7*(Reprogramaciones!P$14-1))),MIN(F103,Reprogramaciones!P$13),11))/MAX(0,NETWORKDAYS.INTL(MAX(E103,(Reprogramaciones!$T$15+7*(Reprogramaciones!P$14-1))),MIN(F103,(Reprogramaciones!$T$15+7*(Reprogramaciones!P$14-1))+6),11))))))))</f>
        <v/>
      </c>
      <c r="BZ103" s="1" t="str">
        <f aca="false">IF(OR(NOT(AND(ISNUMBER(E103),ISNUMBER(F103))),$J$2=""),"",IF(Reprogramaciones!Q$13&lt;Reprogramaciones!$T$15,0,IF(Reprogramaciones!Q$14&gt;10,MIN(100,SUM($G103:$P103)),MIN(100,SUMPRODUCT((COLUMN($G103:$P103)-COLUMN($G103)+1&lt;Reprogramaciones!Q$14)*$G103:$P103)+N(INDEX($G103:$P103,1,Reprogramaciones!Q$14))*IF(Reprogramaciones!Q$13&gt;=(Reprogramaciones!$T$15+7*(Reprogramaciones!Q$14-1))+6,1,IF(MAX(0,NETWORKDAYS.INTL(MAX(E103,(Reprogramaciones!$T$15+7*(Reprogramaciones!Q$14-1))),MIN(F103,(Reprogramaciones!$T$15+7*(Reprogramaciones!Q$14-1))+6),11))=0,0,MAX(0,NETWORKDAYS.INTL(MAX(E103,(Reprogramaciones!$T$15+7*(Reprogramaciones!Q$14-1))),MIN(F103,Reprogramaciones!Q$13),11))/MAX(0,NETWORKDAYS.INTL(MAX(E103,(Reprogramaciones!$T$15+7*(Reprogramaciones!Q$14-1))),MIN(F103,(Reprogramaciones!$T$15+7*(Reprogramaciones!Q$14-1))+6),11))))))))</f>
        <v/>
      </c>
      <c r="CA103" s="1" t="str">
        <f aca="false">IF(OR(NOT(AND(ISNUMBER(E103),ISNUMBER(F103))),$J$2=""),"",IF(Reprogramaciones!R$13&lt;Reprogramaciones!$T$15,0,IF(Reprogramaciones!R$14&gt;10,MIN(100,SUM($G103:$P103)),MIN(100,SUMPRODUCT((COLUMN($G103:$P103)-COLUMN($G103)+1&lt;Reprogramaciones!R$14)*$G103:$P103)+N(INDEX($G103:$P103,1,Reprogramaciones!R$14))*IF(Reprogramaciones!R$13&gt;=(Reprogramaciones!$T$15+7*(Reprogramaciones!R$14-1))+6,1,IF(MAX(0,NETWORKDAYS.INTL(MAX(E103,(Reprogramaciones!$T$15+7*(Reprogramaciones!R$14-1))),MIN(F103,(Reprogramaciones!$T$15+7*(Reprogramaciones!R$14-1))+6),11))=0,0,MAX(0,NETWORKDAYS.INTL(MAX(E103,(Reprogramaciones!$T$15+7*(Reprogramaciones!R$14-1))),MIN(F103,Reprogramaciones!R$13),11))/MAX(0,NETWORKDAYS.INTL(MAX(E103,(Reprogramaciones!$T$15+7*(Reprogramaciones!R$14-1))),MIN(F103,(Reprogramaciones!$T$15+7*(Reprogramaciones!R$14-1))+6),11))))))))</f>
        <v/>
      </c>
      <c r="CB103" s="1" t="str">
        <f aca="false">IF(OR(NOT(AND(ISNUMBER(E103),ISNUMBER(F103))),$J$2=""),"",IF(Reprogramaciones!S$13&lt;Reprogramaciones!$T$15,0,IF(Reprogramaciones!S$14&gt;10,MIN(100,SUM($G103:$P103)),MIN(100,SUMPRODUCT((COLUMN($G103:$P103)-COLUMN($G103)+1&lt;Reprogramaciones!S$14)*$G103:$P103)+N(INDEX($G103:$P103,1,Reprogramaciones!S$14))*IF(Reprogramaciones!S$13&gt;=(Reprogramaciones!$T$15+7*(Reprogramaciones!S$14-1))+6,1,IF(MAX(0,NETWORKDAYS.INTL(MAX(E103,(Reprogramaciones!$T$15+7*(Reprogramaciones!S$14-1))),MIN(F103,(Reprogramaciones!$T$15+7*(Reprogramaciones!S$14-1))+6),11))=0,0,MAX(0,NETWORKDAYS.INTL(MAX(E103,(Reprogramaciones!$T$15+7*(Reprogramaciones!S$14-1))),MIN(F103,Reprogramaciones!S$13),11))/MAX(0,NETWORKDAYS.INTL(MAX(E103,(Reprogramaciones!$T$15+7*(Reprogramaciones!S$14-1))),MIN(F103,(Reprogramaciones!$T$15+7*(Reprogramaciones!S$14-1))+6),11))))))))</f>
        <v/>
      </c>
      <c r="CC103" s="1" t="str">
        <f aca="false">IF(OR(NOT(AND(ISNUMBER(E103),ISNUMBER(F103))),$J$2=""),"",IF(Reprogramaciones!T$13&lt;Reprogramaciones!$T$15,0,IF(Reprogramaciones!T$14&gt;10,MIN(100,SUM($G103:$P103)),MIN(100,SUMPRODUCT((COLUMN($G103:$P103)-COLUMN($G103)+1&lt;Reprogramaciones!T$14)*$G103:$P103)+N(INDEX($G103:$P103,1,Reprogramaciones!T$14))*IF(Reprogramaciones!T$13&gt;=(Reprogramaciones!$T$15+7*(Reprogramaciones!T$14-1))+6,1,IF(MAX(0,NETWORKDAYS.INTL(MAX(E103,(Reprogramaciones!$T$15+7*(Reprogramaciones!T$14-1))),MIN(F103,(Reprogramaciones!$T$15+7*(Reprogramaciones!T$14-1))+6),11))=0,0,MAX(0,NETWORKDAYS.INTL(MAX(E103,(Reprogramaciones!$T$15+7*(Reprogramaciones!T$14-1))),MIN(F103,Reprogramaciones!T$13),11))/MAX(0,NETWORKDAYS.INTL(MAX(E103,(Reprogramaciones!$T$15+7*(Reprogramaciones!T$14-1))),MIN(F103,(Reprogramaciones!$T$15+7*(Reprogramaciones!T$14-1))+6),11))))))))</f>
        <v/>
      </c>
      <c r="CD103" s="1" t="str">
        <f aca="false">IF(OR(NOT(AND(ISNUMBER(E103),ISNUMBER(F103))),$J$2=""),"",IF(Reprogramaciones!U$13&lt;Reprogramaciones!$T$15,0,IF(Reprogramaciones!U$14&gt;10,MIN(100,SUM($G103:$P103)),MIN(100,SUMPRODUCT((COLUMN($G103:$P103)-COLUMN($G103)+1&lt;Reprogramaciones!U$14)*$G103:$P103)+N(INDEX($G103:$P103,1,Reprogramaciones!U$14))*IF(Reprogramaciones!U$13&gt;=(Reprogramaciones!$T$15+7*(Reprogramaciones!U$14-1))+6,1,IF(MAX(0,NETWORKDAYS.INTL(MAX(E103,(Reprogramaciones!$T$15+7*(Reprogramaciones!U$14-1))),MIN(F103,(Reprogramaciones!$T$15+7*(Reprogramaciones!U$14-1))+6),11))=0,0,MAX(0,NETWORKDAYS.INTL(MAX(E103,(Reprogramaciones!$T$15+7*(Reprogramaciones!U$14-1))),MIN(F103,Reprogramaciones!U$13),11))/MAX(0,NETWORKDAYS.INTL(MAX(E103,(Reprogramaciones!$T$15+7*(Reprogramaciones!U$14-1))),MIN(F103,(Reprogramaciones!$T$15+7*(Reprogramaciones!U$14-1))+6),11))))))))</f>
        <v/>
      </c>
      <c r="CE103" s="1" t="str">
        <f aca="false">IF(OR(NOT(AND(ISNUMBER(E103),ISNUMBER(F103))),$J$2=""),"",IF(Reprogramaciones!V$13&lt;Reprogramaciones!$T$15,0,IF(Reprogramaciones!V$14&gt;10,MIN(100,SUM($G103:$P103)),MIN(100,SUMPRODUCT((COLUMN($G103:$P103)-COLUMN($G103)+1&lt;Reprogramaciones!V$14)*$G103:$P103)+N(INDEX($G103:$P103,1,Reprogramaciones!V$14))*IF(Reprogramaciones!V$13&gt;=(Reprogramaciones!$T$15+7*(Reprogramaciones!V$14-1))+6,1,IF(MAX(0,NETWORKDAYS.INTL(MAX(E103,(Reprogramaciones!$T$15+7*(Reprogramaciones!V$14-1))),MIN(F103,(Reprogramaciones!$T$15+7*(Reprogramaciones!V$14-1))+6),11))=0,0,MAX(0,NETWORKDAYS.INTL(MAX(E103,(Reprogramaciones!$T$15+7*(Reprogramaciones!V$14-1))),MIN(F103,Reprogramaciones!V$13),11))/MAX(0,NETWORKDAYS.INTL(MAX(E103,(Reprogramaciones!$T$15+7*(Reprogramaciones!V$14-1))),MIN(F103,(Reprogramaciones!$T$15+7*(Reprogramaciones!V$14-1))+6),11))))))))</f>
        <v/>
      </c>
      <c r="CF103" s="1" t="str">
        <f aca="false">IF(OR(NOT(AND(ISNUMBER(E103),ISNUMBER(F103))),$J$2=""),"",IF(Reprogramaciones!W$13&lt;Reprogramaciones!$T$15,0,IF(Reprogramaciones!W$14&gt;10,MIN(100,SUM($G103:$P103)),MIN(100,SUMPRODUCT((COLUMN($G103:$P103)-COLUMN($G103)+1&lt;Reprogramaciones!W$14)*$G103:$P103)+N(INDEX($G103:$P103,1,Reprogramaciones!W$14))*IF(Reprogramaciones!W$13&gt;=(Reprogramaciones!$T$15+7*(Reprogramaciones!W$14-1))+6,1,IF(MAX(0,NETWORKDAYS.INTL(MAX(E103,(Reprogramaciones!$T$15+7*(Reprogramaciones!W$14-1))),MIN(F103,(Reprogramaciones!$T$15+7*(Reprogramaciones!W$14-1))+6),11))=0,0,MAX(0,NETWORKDAYS.INTL(MAX(E103,(Reprogramaciones!$T$15+7*(Reprogramaciones!W$14-1))),MIN(F103,Reprogramaciones!W$13),11))/MAX(0,NETWORKDAYS.INTL(MAX(E103,(Reprogramaciones!$T$15+7*(Reprogramaciones!W$14-1))),MIN(F103,(Reprogramaciones!$T$15+7*(Reprogramaciones!W$14-1))+6),11))))))))</f>
        <v/>
      </c>
      <c r="CG103" s="1" t="str">
        <f aca="false">IF(OR(NOT(AND(ISNUMBER(E103),ISNUMBER(F103))),$J$2=""),"",IF(Reprogramaciones!X$13&lt;Reprogramaciones!$T$15,0,IF(Reprogramaciones!X$14&gt;10,MIN(100,SUM($G103:$P103)),MIN(100,SUMPRODUCT((COLUMN($G103:$P103)-COLUMN($G103)+1&lt;Reprogramaciones!X$14)*$G103:$P103)+N(INDEX($G103:$P103,1,Reprogramaciones!X$14))*IF(Reprogramaciones!X$13&gt;=(Reprogramaciones!$T$15+7*(Reprogramaciones!X$14-1))+6,1,IF(MAX(0,NETWORKDAYS.INTL(MAX(E103,(Reprogramaciones!$T$15+7*(Reprogramaciones!X$14-1))),MIN(F103,(Reprogramaciones!$T$15+7*(Reprogramaciones!X$14-1))+6),11))=0,0,MAX(0,NETWORKDAYS.INTL(MAX(E103,(Reprogramaciones!$T$15+7*(Reprogramaciones!X$14-1))),MIN(F103,Reprogramaciones!X$13),11))/MAX(0,NETWORKDAYS.INTL(MAX(E103,(Reprogramaciones!$T$15+7*(Reprogramaciones!X$14-1))),MIN(F103,(Reprogramaciones!$T$15+7*(Reprogramaciones!X$14-1))+6),11))))))))</f>
        <v/>
      </c>
      <c r="CH103" s="1" t="str">
        <f aca="false">IF(OR(NOT(AND(ISNUMBER(E103),ISNUMBER(F103))),$J$2=""),"",IF(Reprogramaciones!Y$13&lt;Reprogramaciones!$T$15,0,IF(Reprogramaciones!Y$14&gt;10,MIN(100,SUM($G103:$P103)),MIN(100,SUMPRODUCT((COLUMN($G103:$P103)-COLUMN($G103)+1&lt;Reprogramaciones!Y$14)*$G103:$P103)+N(INDEX($G103:$P103,1,Reprogramaciones!Y$14))*IF(Reprogramaciones!Y$13&gt;=(Reprogramaciones!$T$15+7*(Reprogramaciones!Y$14-1))+6,1,IF(MAX(0,NETWORKDAYS.INTL(MAX(E103,(Reprogramaciones!$T$15+7*(Reprogramaciones!Y$14-1))),MIN(F103,(Reprogramaciones!$T$15+7*(Reprogramaciones!Y$14-1))+6),11))=0,0,MAX(0,NETWORKDAYS.INTL(MAX(E103,(Reprogramaciones!$T$15+7*(Reprogramaciones!Y$14-1))),MIN(F103,Reprogramaciones!Y$13),11))/MAX(0,NETWORKDAYS.INTL(MAX(E103,(Reprogramaciones!$T$15+7*(Reprogramaciones!Y$14-1))),MIN(F103,(Reprogramaciones!$T$15+7*(Reprogramaciones!Y$14-1))+6),11))))))))</f>
        <v/>
      </c>
      <c r="CI103" s="1" t="str">
        <f aca="false">IF(OR(NOT(AND(ISNUMBER(E103),ISNUMBER(F103))),$J$2=""),"",IF(Reprogramaciones!Z$13&lt;Reprogramaciones!$T$15,0,IF(Reprogramaciones!Z$14&gt;10,MIN(100,SUM($G103:$P103)),MIN(100,SUMPRODUCT((COLUMN($G103:$P103)-COLUMN($G103)+1&lt;Reprogramaciones!Z$14)*$G103:$P103)+N(INDEX($G103:$P103,1,Reprogramaciones!Z$14))*IF(Reprogramaciones!Z$13&gt;=(Reprogramaciones!$T$15+7*(Reprogramaciones!Z$14-1))+6,1,IF(MAX(0,NETWORKDAYS.INTL(MAX(E103,(Reprogramaciones!$T$15+7*(Reprogramaciones!Z$14-1))),MIN(F103,(Reprogramaciones!$T$15+7*(Reprogramaciones!Z$14-1))+6),11))=0,0,MAX(0,NETWORKDAYS.INTL(MAX(E103,(Reprogramaciones!$T$15+7*(Reprogramaciones!Z$14-1))),MIN(F103,Reprogramaciones!Z$13),11))/MAX(0,NETWORKDAYS.INTL(MAX(E103,(Reprogramaciones!$T$15+7*(Reprogramaciones!Z$14-1))),MIN(F103,(Reprogramaciones!$T$15+7*(Reprogramaciones!Z$14-1))+6),11))))))))</f>
        <v/>
      </c>
      <c r="CJ103" s="1" t="str">
        <f aca="false">IF(OR(OR(NOT(AND(ISNUMBER(E103),ISNUMBER(F103))),$J$2=""),1&gt;Reprogramaciones!$K$16),"",IF(ROUND(SUM($Q103:Q103),1)&gt;=99.5,100,MIN(100,ROUND(SUM($Q103:Q103),1))))</f>
        <v/>
      </c>
      <c r="CK103" s="1" t="str">
        <f aca="false">IF(OR(OR(NOT(AND(ISNUMBER(E103),ISNUMBER(F103))),$J$2=""),2&gt;Reprogramaciones!$K$16),"",IF(ROUND(SUM($Q103:R103),1)&gt;=99.5,100,MIN(100,ROUND(SUM($Q103:R103),1))))</f>
        <v/>
      </c>
      <c r="CL103" s="1" t="str">
        <f aca="false">IF(OR(OR(NOT(AND(ISNUMBER(E103),ISNUMBER(F103))),$J$2=""),3&gt;Reprogramaciones!$K$16),"",IF(ROUND(SUM($Q103:S103),1)&gt;=99.5,100,MIN(100,ROUND(SUM($Q103:S103),1))))</f>
        <v/>
      </c>
      <c r="CM103" s="1" t="str">
        <f aca="false">IF(OR(OR(NOT(AND(ISNUMBER(E103),ISNUMBER(F103))),$J$2=""),4&gt;Reprogramaciones!$K$16),"",IF(ROUND(SUM($Q103:T103),1)&gt;=99.5,100,MIN(100,ROUND(SUM($Q103:T103),1))))</f>
        <v/>
      </c>
      <c r="CN103" s="1" t="str">
        <f aca="false">IF(OR(OR(NOT(AND(ISNUMBER(E103),ISNUMBER(F103))),$J$2=""),5&gt;Reprogramaciones!$K$16),"",IF(ROUND(SUM($Q103:U103),1)&gt;=99.5,100,MIN(100,ROUND(SUM($Q103:U103),1))))</f>
        <v/>
      </c>
      <c r="CO103" s="1" t="str">
        <f aca="false">IF(OR(OR(NOT(AND(ISNUMBER(E103),ISNUMBER(F103))),$J$2=""),6&gt;Reprogramaciones!$K$16),"",IF(ROUND(SUM($Q103:V103),1)&gt;=99.5,100,MIN(100,ROUND(SUM($Q103:V103),1))))</f>
        <v/>
      </c>
      <c r="CP103" s="1" t="str">
        <f aca="false">IF(OR(OR(NOT(AND(ISNUMBER(E103),ISNUMBER(F103))),$J$2=""),7&gt;Reprogramaciones!$K$16),"",IF(ROUND(SUM($Q103:W103),1)&gt;=99.5,100,MIN(100,ROUND(SUM($Q103:W103),1))))</f>
        <v/>
      </c>
      <c r="CQ103" s="1" t="str">
        <f aca="false">IF(OR(OR(NOT(AND(ISNUMBER(E103),ISNUMBER(F103))),$J$2=""),8&gt;Reprogramaciones!$K$16),"",IF(ROUND(SUM($Q103:X103),1)&gt;=99.5,100,MIN(100,ROUND(SUM($Q103:X103),1))))</f>
        <v/>
      </c>
      <c r="CR103" s="1" t="str">
        <f aca="false">IF(OR(OR(NOT(AND(ISNUMBER(E103),ISNUMBER(F103))),$J$2=""),9&gt;Reprogramaciones!$K$16),"",IF(ROUND(SUM($Q103:Y103),1)&gt;=99.5,100,MIN(100,ROUND(SUM($Q103:Y103),1))))</f>
        <v/>
      </c>
      <c r="CS103" s="1" t="str">
        <f aca="false">IF(OR(OR(NOT(AND(ISNUMBER(E103),ISNUMBER(F103))),$J$2=""),10&gt;Reprogramaciones!$K$16),"",IF(ROUND(SUM($Q103:Z103),1)&gt;=99.5,100,MIN(100,ROUND(SUM($Q103:Z103),1))))</f>
        <v/>
      </c>
      <c r="CT103" s="1" t="str">
        <f aca="false">IF(OR(OR(NOT(AND(ISNUMBER(E103),ISNUMBER(F103))),$J$2=""),11&gt;Reprogramaciones!$K$16),"",IF(ROUND(SUM($Q103:AA103),1)&gt;=99.5,100,MIN(100,ROUND(SUM($Q103:AA103),1))))</f>
        <v/>
      </c>
      <c r="CU103" s="1" t="str">
        <f aca="false">IF(OR(OR(NOT(AND(ISNUMBER(E103),ISNUMBER(F103))),$J$2=""),12&gt;Reprogramaciones!$K$16),"",IF(ROUND(SUM($Q103:AB103),1)&gt;=99.5,100,MIN(100,ROUND(SUM($Q103:AB103),1))))</f>
        <v/>
      </c>
      <c r="CV103" s="1" t="str">
        <f aca="false">IF(OR(OR(NOT(AND(ISNUMBER(E103),ISNUMBER(F103))),$J$2=""),13&gt;Reprogramaciones!$K$16),"",IF(ROUND(SUM($Q103:AC103),1)&gt;=99.5,100,MIN(100,ROUND(SUM($Q103:AC103),1))))</f>
        <v/>
      </c>
      <c r="CW103" s="1" t="str">
        <f aca="false">IF(OR(OR(NOT(AND(ISNUMBER(E103),ISNUMBER(F103))),$J$2=""),14&gt;Reprogramaciones!$K$16),"",IF(ROUND(SUM($Q103:AD103),1)&gt;=99.5,100,MIN(100,ROUND(SUM($Q103:AD103),1))))</f>
        <v/>
      </c>
      <c r="CX103" s="1" t="str">
        <f aca="false">IF(OR(OR(NOT(AND(ISNUMBER(E103),ISNUMBER(F103))),$J$2=""),15&gt;Reprogramaciones!$K$16),"",IF(ROUND(SUM($Q103:AE103),1)&gt;=99.5,100,MIN(100,ROUND(SUM($Q103:AE103),1))))</f>
        <v/>
      </c>
      <c r="CY103" s="1" t="str">
        <f aca="false">IF(OR(OR(NOT(AND(ISNUMBER(E103),ISNUMBER(F103))),$J$2=""),16&gt;Reprogramaciones!$K$16),"",IF(ROUND(SUM($Q103:AF103),1)&gt;=99.5,100,MIN(100,ROUND(SUM($Q103:AF103),1))))</f>
        <v/>
      </c>
      <c r="CZ103" s="1" t="str">
        <f aca="false">IF(D103&lt;&gt;"",D103,IF(B103&lt;&gt;"","Contractual",CZ102))</f>
        <v>Contractual</v>
      </c>
      <c r="DA103" s="1" t="str">
        <f aca="false">IF(OR(NOT(AND(ISNUMBER(E103),ISNUMBER(F103))),$J$2=""),"",IF(Reprogramaciones!$Q$15&lt;Reprogramaciones!$T$15,0,IF(Reprogramaciones!$S$15&gt;10,MIN(100,SUM($G103:$P103)),MIN(100,SUMPRODUCT((COLUMN($G103:$P103)-COLUMN($G103)+1&lt;Reprogramaciones!$S$15)*$G103:$P103)+N(INDEX($G103:$P103,1,Reprogramaciones!$S$15))*IF(Reprogramaciones!$Q$15&gt;=(Reprogramaciones!$T$15+7*(Reprogramaciones!$S$15-1))+6,1,IF(MAX(0,NETWORKDAYS.INTL(MAX(E103,(Reprogramaciones!$T$15+7*(Reprogramaciones!$S$15-1))),MIN(F103,(Reprogramaciones!$T$15+7*(Reprogramaciones!$S$15-1))+6),11))=0,0,MAX(0,NETWORKDAYS.INTL(MAX(E103,(Reprogramaciones!$T$15+7*(Reprogramaciones!$S$15-1))),MIN(F103,Reprogramaciones!$Q$15),11))/MAX(0,NETWORKDAYS.INTL(MAX(E103,(Reprogramaciones!$T$15+7*(Reprogramaciones!$S$15-1))),MIN(F103,(Reprogramaciones!$T$15+7*(Reprogramaciones!$S$15-1))+6),11))))))))</f>
        <v/>
      </c>
    </row>
    <row r="104" customFormat="false" ht="15" hidden="false" customHeight="false" outlineLevel="0" collapsed="false">
      <c r="A104" s="32"/>
      <c r="B104" s="33"/>
      <c r="C104" s="33"/>
      <c r="D104" s="34"/>
      <c r="E104" s="35"/>
      <c r="F104" s="35"/>
      <c r="G104" s="36" t="str">
        <f aca="false">IF(OR(NOT(AND(ISNUMBER(E104),ISNUMBER(F104))),$J$2=""),"",IF(Reprogramaciones!K$9&lt;E104,0,IF(NETWORKDAYS.INTL(E104,F104,11)=0,IF(Reprogramaciones!K$9&gt;=F104,100,0),ROUND(NETWORKDAYS.INTL(E104,MIN(F104,Reprogramaciones!K$9),11)/NETWORKDAYS.INTL(E104,F104,11)*100,1)))-0)</f>
        <v/>
      </c>
      <c r="H104" s="36" t="str">
        <f aca="false">IF(OR(NOT(AND(ISNUMBER(E104),ISNUMBER(F104))),$J$2=""),"",IF(Reprogramaciones!L$9&lt;E104,0,IF(NETWORKDAYS.INTL(E104,F104,11)=0,IF(Reprogramaciones!L$9&gt;=F104,100,0),ROUND(NETWORKDAYS.INTL(E104,MIN(F104,Reprogramaciones!L$9),11)/NETWORKDAYS.INTL(E104,F104,11)*100,1)))-IF(Reprogramaciones!K$9&lt;E104,0,IF(NETWORKDAYS.INTL(E104,F104,11)=0,IF(Reprogramaciones!K$9&gt;=F104,100,0),ROUND(NETWORKDAYS.INTL(E104,MIN(F104,Reprogramaciones!K$9),11)/NETWORKDAYS.INTL(E104,F104,11)*100,1))))</f>
        <v/>
      </c>
      <c r="I104" s="36" t="str">
        <f aca="false">IF(OR(NOT(AND(ISNUMBER(E104),ISNUMBER(F104))),$J$2=""),"",IF(Reprogramaciones!M$9&lt;E104,0,IF(NETWORKDAYS.INTL(E104,F104,11)=0,IF(Reprogramaciones!M$9&gt;=F104,100,0),ROUND(NETWORKDAYS.INTL(E104,MIN(F104,Reprogramaciones!M$9),11)/NETWORKDAYS.INTL(E104,F104,11)*100,1)))-IF(Reprogramaciones!L$9&lt;E104,0,IF(NETWORKDAYS.INTL(E104,F104,11)=0,IF(Reprogramaciones!L$9&gt;=F104,100,0),ROUND(NETWORKDAYS.INTL(E104,MIN(F104,Reprogramaciones!L$9),11)/NETWORKDAYS.INTL(E104,F104,11)*100,1))))</f>
        <v/>
      </c>
      <c r="J104" s="36" t="str">
        <f aca="false">IF(OR(NOT(AND(ISNUMBER(E104),ISNUMBER(F104))),$J$2=""),"",IF(Reprogramaciones!N$9&lt;E104,0,IF(NETWORKDAYS.INTL(E104,F104,11)=0,IF(Reprogramaciones!N$9&gt;=F104,100,0),ROUND(NETWORKDAYS.INTL(E104,MIN(F104,Reprogramaciones!N$9),11)/NETWORKDAYS.INTL(E104,F104,11)*100,1)))-IF(Reprogramaciones!M$9&lt;E104,0,IF(NETWORKDAYS.INTL(E104,F104,11)=0,IF(Reprogramaciones!M$9&gt;=F104,100,0),ROUND(NETWORKDAYS.INTL(E104,MIN(F104,Reprogramaciones!M$9),11)/NETWORKDAYS.INTL(E104,F104,11)*100,1))))</f>
        <v/>
      </c>
      <c r="K104" s="36" t="str">
        <f aca="false">IF(OR(NOT(AND(ISNUMBER(E104),ISNUMBER(F104))),$J$2=""),"",IF(Reprogramaciones!O$9&lt;E104,0,IF(NETWORKDAYS.INTL(E104,F104,11)=0,IF(Reprogramaciones!O$9&gt;=F104,100,0),ROUND(NETWORKDAYS.INTL(E104,MIN(F104,Reprogramaciones!O$9),11)/NETWORKDAYS.INTL(E104,F104,11)*100,1)))-IF(Reprogramaciones!N$9&lt;E104,0,IF(NETWORKDAYS.INTL(E104,F104,11)=0,IF(Reprogramaciones!N$9&gt;=F104,100,0),ROUND(NETWORKDAYS.INTL(E104,MIN(F104,Reprogramaciones!N$9),11)/NETWORKDAYS.INTL(E104,F104,11)*100,1))))</f>
        <v/>
      </c>
      <c r="L104" s="36" t="str">
        <f aca="false">IF(OR(NOT(AND(ISNUMBER(E104),ISNUMBER(F104))),$J$2=""),"",IF(Reprogramaciones!P$9&lt;E104,0,IF(NETWORKDAYS.INTL(E104,F104,11)=0,IF(Reprogramaciones!P$9&gt;=F104,100,0),ROUND(NETWORKDAYS.INTL(E104,MIN(F104,Reprogramaciones!P$9),11)/NETWORKDAYS.INTL(E104,F104,11)*100,1)))-IF(Reprogramaciones!O$9&lt;E104,0,IF(NETWORKDAYS.INTL(E104,F104,11)=0,IF(Reprogramaciones!O$9&gt;=F104,100,0),ROUND(NETWORKDAYS.INTL(E104,MIN(F104,Reprogramaciones!O$9),11)/NETWORKDAYS.INTL(E104,F104,11)*100,1))))</f>
        <v/>
      </c>
      <c r="M104" s="36" t="str">
        <f aca="false">IF(OR(NOT(AND(ISNUMBER(E104),ISNUMBER(F104))),$J$2=""),"",IF(Reprogramaciones!Q$9&lt;E104,0,IF(NETWORKDAYS.INTL(E104,F104,11)=0,IF(Reprogramaciones!Q$9&gt;=F104,100,0),ROUND(NETWORKDAYS.INTL(E104,MIN(F104,Reprogramaciones!Q$9),11)/NETWORKDAYS.INTL(E104,F104,11)*100,1)))-IF(Reprogramaciones!P$9&lt;E104,0,IF(NETWORKDAYS.INTL(E104,F104,11)=0,IF(Reprogramaciones!P$9&gt;=F104,100,0),ROUND(NETWORKDAYS.INTL(E104,MIN(F104,Reprogramaciones!P$9),11)/NETWORKDAYS.INTL(E104,F104,11)*100,1))))</f>
        <v/>
      </c>
      <c r="N104" s="36" t="str">
        <f aca="false">IF(OR(NOT(AND(ISNUMBER(E104),ISNUMBER(F104))),$J$2=""),"",IF(Reprogramaciones!R$9&lt;E104,0,IF(NETWORKDAYS.INTL(E104,F104,11)=0,IF(Reprogramaciones!R$9&gt;=F104,100,0),ROUND(NETWORKDAYS.INTL(E104,MIN(F104,Reprogramaciones!R$9),11)/NETWORKDAYS.INTL(E104,F104,11)*100,1)))-IF(Reprogramaciones!Q$9&lt;E104,0,IF(NETWORKDAYS.INTL(E104,F104,11)=0,IF(Reprogramaciones!Q$9&gt;=F104,100,0),ROUND(NETWORKDAYS.INTL(E104,MIN(F104,Reprogramaciones!Q$9),11)/NETWORKDAYS.INTL(E104,F104,11)*100,1))))</f>
        <v/>
      </c>
      <c r="O104" s="36" t="str">
        <f aca="false">IF(OR(NOT(AND(ISNUMBER(E104),ISNUMBER(F104))),$J$2=""),"",IF(Reprogramaciones!S$9&lt;E104,0,IF(NETWORKDAYS.INTL(E104,F104,11)=0,IF(Reprogramaciones!S$9&gt;=F104,100,0),ROUND(NETWORKDAYS.INTL(E104,MIN(F104,Reprogramaciones!S$9),11)/NETWORKDAYS.INTL(E104,F104,11)*100,1)))-IF(Reprogramaciones!R$9&lt;E104,0,IF(NETWORKDAYS.INTL(E104,F104,11)=0,IF(Reprogramaciones!R$9&gt;=F104,100,0),ROUND(NETWORKDAYS.INTL(E104,MIN(F104,Reprogramaciones!R$9),11)/NETWORKDAYS.INTL(E104,F104,11)*100,1))))</f>
        <v/>
      </c>
      <c r="P104" s="36" t="str">
        <f aca="false">IF(OR(NOT(AND(ISNUMBER(E104),ISNUMBER(F104))),$J$2=""),"",IF(Reprogramaciones!T$9&lt;E104,0,IF(NETWORKDAYS.INTL(E104,F104,11)=0,IF(Reprogramaciones!T$9&gt;=F104,100,0),ROUND(NETWORKDAYS.INTL(E104,MIN(F104,Reprogramaciones!T$9),11)/NETWORKDAYS.INTL(E104,F104,11)*100,1)))-IF(Reprogramaciones!S$9&lt;E104,0,IF(NETWORKDAYS.INTL(E104,F104,11)=0,IF(Reprogramaciones!S$9&gt;=F104,100,0),ROUND(NETWORKDAYS.INTL(E104,MIN(F104,Reprogramaciones!S$9),11)/NETWORKDAYS.INTL(E104,F104,11)*100,1))))</f>
        <v/>
      </c>
      <c r="Q104" s="37"/>
      <c r="R104" s="37"/>
      <c r="S104" s="37"/>
      <c r="T104" s="37"/>
      <c r="U104" s="37"/>
      <c r="V104" s="37"/>
      <c r="W104" s="37"/>
      <c r="X104" s="37"/>
      <c r="Y104" s="37"/>
      <c r="Z104" s="37"/>
      <c r="AA104" s="37"/>
      <c r="AB104" s="37"/>
      <c r="AC104" s="37"/>
      <c r="AD104" s="37"/>
      <c r="AE104" s="37"/>
      <c r="AF104" s="37"/>
      <c r="AG104" s="38" t="str">
        <f aca="false">IF(AND(ISNUMBER(E104),ISNUMBER(F104)),NETWORKDAYS.INTL(E104,F104,11),"")</f>
        <v/>
      </c>
      <c r="AH104" s="38" t="str">
        <f aca="false">IF(OR(NOT(AND(ISNUMBER(E104),ISNUMBER(F104))),$J$2=""),"",IF(Reprogramaciones!$P$15&lt;Reprogramaciones!$T$15,0,IF(Reprogramaciones!$R$15&gt;10,MIN(100,SUM($G104:$P104)),MIN(100,SUMPRODUCT((COLUMN($G104:$P104)-COLUMN($G104)+1&lt;Reprogramaciones!$R$15)*$G104:$P104)+N(INDEX($G104:$P104,1,Reprogramaciones!$R$15))*IF(Reprogramaciones!$P$15&gt;=(Reprogramaciones!$T$15+7*(Reprogramaciones!$R$15-1))+6,1,IF(MAX(0,NETWORKDAYS.INTL(MAX(E104,(Reprogramaciones!$T$15+7*(Reprogramaciones!$R$15-1))),MIN(F104,(Reprogramaciones!$T$15+7*(Reprogramaciones!$R$15-1))+6),11))=0,0,MAX(0,NETWORKDAYS.INTL(MAX(E104,(Reprogramaciones!$T$15+7*(Reprogramaciones!$R$15-1))),MIN(F104,Reprogramaciones!$P$15),11))/MAX(0,NETWORKDAYS.INTL(MAX(E104,(Reprogramaciones!$T$15+7*(Reprogramaciones!$R$15-1))),MIN(F104,(Reprogramaciones!$T$15+7*(Reprogramaciones!$R$15-1))+6),11))))))))</f>
        <v/>
      </c>
      <c r="AI104" s="38" t="str">
        <f aca="false">IF(COUNT($Q104:$AF104)=0,"",IF(ROUND(SUM($Q104:$AF104),1)&gt;=99.5,100,MIN(100,ROUND(SUM($Q104:$AF104),1))))</f>
        <v/>
      </c>
      <c r="AJ104" s="38" t="str">
        <f aca="false">IF(OR(AH104="",AI104=""),"",AI104-AH104)</f>
        <v/>
      </c>
      <c r="AK104" s="39" t="str">
        <f aca="true">IF(AH104="","",IF(OR(Ficha!$C$10="Suspendida",Ficha!$C$10="Cancelada"),Ficha!$C$10,IF(AND(AI104&lt;&gt;"",N(AI104)&gt;=100),"Completada",IF(AND(E104&gt;TODAY(),N(AI104)=0),"Por iniciar",IF(N(AI104)+0.5&lt;AH104,"Retrasada",IF(N(AI104)+0.5&lt;DA104,IF(Reprogramaciones!$K$15&gt;0,"Al día · Sem "&amp;Reprogramaciones!$K$15&amp;" en curso","Al día · en curso"),"A tiempo"))))))</f>
        <v/>
      </c>
      <c r="AL104" s="39" t="str">
        <f aca="true">IF(AND(A104="",AND(B104="",C104="",E104="",F104="",COUNT(Q104:AF104)=0)),"",IF(AND(B104="",C104="",E104="",F104="",COUNT(Q104:AF104)=0),"Falta la partida o subpartida",IF(AND(A104&lt;&gt;"",COUNTIF($A$6:$A$305,A104)&gt;1),"Ítem repetido",IF(AND(C104="",E104="",F104="",COUNT(Q104:AF104)=0),"Título de partida",IF(OR(E104="",F104=""),"Faltan fechas",IF(OR(ISTEXT(E104),ISTEXT(F104)),"Fecha escrita como texto: usa dd/mm/aaaa",IF(F104&lt;E104,"Fin antes del inicio",IF(IF($J$2="",FALSE(),OR(E104&lt;$J$2,F104&gt;Reprogramaciones!$T$15+69)),"Fuera de las 10 semanas",IF(ABS(SUM(G104:P104)-100)&gt;0.5,"La meta no suma 100%",IF(ROUND(SUM(Q104:AF104),1)&gt;100.5,"El avance pasa de 100%",IF(MIN(Q104:AF104)&lt;0,"Avance negativo",IF(COUNTA(Q104:AF104)&gt;COUNT(Q104:AF104),"Avance escrito como texto",IF(SUMPRODUCT((Q104:AF104&gt;0)*(Q104:AF104&lt;1))&gt;0,"Avance menor a 1: escribe 50, no 50%",IF(SUMPRODUCT(ISNUMBER(Q104:AF104)*(Reprogramaciones!$K$8:$Z$8&gt;TODAY()))&gt;0,"Avance en semana que aún no llega",IF(AND(N(Reprogramaciones!$E$21)&gt;0,F104&gt;Reprogramaciones!$E$21),"Pasa el fin de la obra: registra una reprogramación",IF(AND(N(Reprogramaciones!$E$21)&gt;0,SUMPRODUCT(ISNUMBER(Q104:AF104)*(Reprogramaciones!$K$8:$Z$8&gt;Reprogramaciones!$E$21))&gt;0),"Avance después del fin de la obra: registra una reprogramación por atraso","OK"))))))))))))))))</f>
        <v/>
      </c>
      <c r="AM104" s="40" t="str">
        <f aca="false">IF(OR(OR(NOT(AND(ISNUMBER(E104),ISNUMBER(F104))),$J$2=""),1&gt;MAX(1,Reprogramaciones!$U$15)),"",IF(Reprogramaciones!K$12&gt;=7,"",IF(OR(BT104-N(0)&gt;0.05,N(Q104)&gt;0),ROUNDDOWN(ROUND(BT104,6),0)&amp;"%"&amp;IF(CJ104="",""," / "&amp;CJ104&amp;"%"),IF(AND(N(0)&gt;=99.95,CJ104&lt;&gt;"",N(CJ104)&lt;100),"Pend. "&amp;CJ104&amp;"%",""))))</f>
        <v/>
      </c>
      <c r="AN104" s="40" t="str">
        <f aca="false">IF(OR(OR(NOT(AND(ISNUMBER(E104),ISNUMBER(F104))),$J$2=""),2&gt;MAX(1,Reprogramaciones!$U$15)),"",IF(Reprogramaciones!L$12&gt;=7,"",IF(OR(BU104-N(BT104)&gt;0.05,N(R104)&gt;0),ROUNDDOWN(ROUND(BU104,6),0)&amp;"%"&amp;IF(CK104="",""," / "&amp;CK104&amp;"%"),IF(AND(N(BT104)&gt;=99.95,CK104&lt;&gt;"",N(CK104)&lt;100),"Pend. "&amp;CK104&amp;"%",""))))</f>
        <v/>
      </c>
      <c r="AO104" s="40" t="str">
        <f aca="false">IF(OR(OR(NOT(AND(ISNUMBER(E104),ISNUMBER(F104))),$J$2=""),3&gt;MAX(1,Reprogramaciones!$U$15)),"",IF(Reprogramaciones!M$12&gt;=7,"",IF(OR(BV104-N(BU104)&gt;0.05,N(S104)&gt;0),ROUNDDOWN(ROUND(BV104,6),0)&amp;"%"&amp;IF(CL104="",""," / "&amp;CL104&amp;"%"),IF(AND(N(BU104)&gt;=99.95,CL104&lt;&gt;"",N(CL104)&lt;100),"Pend. "&amp;CL104&amp;"%",""))))</f>
        <v/>
      </c>
      <c r="AP104" s="40" t="str">
        <f aca="false">IF(OR(OR(NOT(AND(ISNUMBER(E104),ISNUMBER(F104))),$J$2=""),4&gt;MAX(1,Reprogramaciones!$U$15)),"",IF(Reprogramaciones!N$12&gt;=7,"",IF(OR(BW104-N(BV104)&gt;0.05,N(T104)&gt;0),ROUNDDOWN(ROUND(BW104,6),0)&amp;"%"&amp;IF(CM104="",""," / "&amp;CM104&amp;"%"),IF(AND(N(BV104)&gt;=99.95,CM104&lt;&gt;"",N(CM104)&lt;100),"Pend. "&amp;CM104&amp;"%",""))))</f>
        <v/>
      </c>
      <c r="AQ104" s="40" t="str">
        <f aca="false">IF(OR(OR(NOT(AND(ISNUMBER(E104),ISNUMBER(F104))),$J$2=""),5&gt;MAX(1,Reprogramaciones!$U$15)),"",IF(Reprogramaciones!O$12&gt;=7,"",IF(OR(BX104-N(BW104)&gt;0.05,N(U104)&gt;0),ROUNDDOWN(ROUND(BX104,6),0)&amp;"%"&amp;IF(CN104="",""," / "&amp;CN104&amp;"%"),IF(AND(N(BW104)&gt;=99.95,CN104&lt;&gt;"",N(CN104)&lt;100),"Pend. "&amp;CN104&amp;"%",""))))</f>
        <v/>
      </c>
      <c r="AR104" s="40" t="str">
        <f aca="false">IF(OR(OR(NOT(AND(ISNUMBER(E104),ISNUMBER(F104))),$J$2=""),6&gt;MAX(1,Reprogramaciones!$U$15)),"",IF(Reprogramaciones!P$12&gt;=7,"",IF(OR(BY104-N(BX104)&gt;0.05,N(V104)&gt;0),ROUNDDOWN(ROUND(BY104,6),0)&amp;"%"&amp;IF(CO104="",""," / "&amp;CO104&amp;"%"),IF(AND(N(BX104)&gt;=99.95,CO104&lt;&gt;"",N(CO104)&lt;100),"Pend. "&amp;CO104&amp;"%",""))))</f>
        <v/>
      </c>
      <c r="AS104" s="40" t="str">
        <f aca="false">IF(OR(OR(NOT(AND(ISNUMBER(E104),ISNUMBER(F104))),$J$2=""),7&gt;MAX(1,Reprogramaciones!$U$15)),"",IF(Reprogramaciones!Q$12&gt;=7,"",IF(OR(BZ104-N(BY104)&gt;0.05,N(W104)&gt;0),ROUNDDOWN(ROUND(BZ104,6),0)&amp;"%"&amp;IF(CP104="",""," / "&amp;CP104&amp;"%"),IF(AND(N(BY104)&gt;=99.95,CP104&lt;&gt;"",N(CP104)&lt;100),"Pend. "&amp;CP104&amp;"%",""))))</f>
        <v/>
      </c>
      <c r="AT104" s="40" t="str">
        <f aca="false">IF(OR(OR(NOT(AND(ISNUMBER(E104),ISNUMBER(F104))),$J$2=""),8&gt;MAX(1,Reprogramaciones!$U$15)),"",IF(Reprogramaciones!R$12&gt;=7,"",IF(OR(CA104-N(BZ104)&gt;0.05,N(X104)&gt;0),ROUNDDOWN(ROUND(CA104,6),0)&amp;"%"&amp;IF(CQ104="",""," / "&amp;CQ104&amp;"%"),IF(AND(N(BZ104)&gt;=99.95,CQ104&lt;&gt;"",N(CQ104)&lt;100),"Pend. "&amp;CQ104&amp;"%",""))))</f>
        <v/>
      </c>
      <c r="AU104" s="40" t="str">
        <f aca="false">IF(OR(OR(NOT(AND(ISNUMBER(E104),ISNUMBER(F104))),$J$2=""),9&gt;MAX(1,Reprogramaciones!$U$15)),"",IF(Reprogramaciones!S$12&gt;=7,"",IF(OR(CB104-N(CA104)&gt;0.05,N(Y104)&gt;0),ROUNDDOWN(ROUND(CB104,6),0)&amp;"%"&amp;IF(CR104="",""," / "&amp;CR104&amp;"%"),IF(AND(N(CA104)&gt;=99.95,CR104&lt;&gt;"",N(CR104)&lt;100),"Pend. "&amp;CR104&amp;"%",""))))</f>
        <v/>
      </c>
      <c r="AV104" s="40" t="str">
        <f aca="false">IF(OR(OR(NOT(AND(ISNUMBER(E104),ISNUMBER(F104))),$J$2=""),10&gt;MAX(1,Reprogramaciones!$U$15)),"",IF(Reprogramaciones!T$12&gt;=7,"",IF(OR(CC104-N(CB104)&gt;0.05,N(Z104)&gt;0),ROUNDDOWN(ROUND(CC104,6),0)&amp;"%"&amp;IF(CS104="",""," / "&amp;CS104&amp;"%"),IF(AND(N(CB104)&gt;=99.95,CS104&lt;&gt;"",N(CS104)&lt;100),"Pend. "&amp;CS104&amp;"%",""))))</f>
        <v/>
      </c>
      <c r="AW104" s="40" t="str">
        <f aca="false">IF(OR(OR(NOT(AND(ISNUMBER(E104),ISNUMBER(F104))),$J$2=""),11&gt;MAX(1,Reprogramaciones!$U$15)),"",IF(Reprogramaciones!U$12&gt;=7,"",IF(OR(CD104-N(CC104)&gt;0.05,N(AA104)&gt;0),ROUNDDOWN(ROUND(CD104,6),0)&amp;"%"&amp;IF(CT104="",""," / "&amp;CT104&amp;"%"),IF(AND(N(CC104)&gt;=99.95,CT104&lt;&gt;"",N(CT104)&lt;100),"Pend. "&amp;CT104&amp;"%",""))))</f>
        <v/>
      </c>
      <c r="AX104" s="40" t="str">
        <f aca="false">IF(OR(OR(NOT(AND(ISNUMBER(E104),ISNUMBER(F104))),$J$2=""),12&gt;MAX(1,Reprogramaciones!$U$15)),"",IF(Reprogramaciones!V$12&gt;=7,"",IF(OR(CE104-N(CD104)&gt;0.05,N(AB104)&gt;0),ROUNDDOWN(ROUND(CE104,6),0)&amp;"%"&amp;IF(CU104="",""," / "&amp;CU104&amp;"%"),IF(AND(N(CD104)&gt;=99.95,CU104&lt;&gt;"",N(CU104)&lt;100),"Pend. "&amp;CU104&amp;"%",""))))</f>
        <v/>
      </c>
      <c r="AY104" s="40" t="str">
        <f aca="false">IF(OR(OR(NOT(AND(ISNUMBER(E104),ISNUMBER(F104))),$J$2=""),13&gt;MAX(1,Reprogramaciones!$U$15)),"",IF(Reprogramaciones!W$12&gt;=7,"",IF(OR(CF104-N(CE104)&gt;0.05,N(AC104)&gt;0),ROUNDDOWN(ROUND(CF104,6),0)&amp;"%"&amp;IF(CV104="",""," / "&amp;CV104&amp;"%"),IF(AND(N(CE104)&gt;=99.95,CV104&lt;&gt;"",N(CV104)&lt;100),"Pend. "&amp;CV104&amp;"%",""))))</f>
        <v/>
      </c>
      <c r="AZ104" s="40" t="str">
        <f aca="false">IF(OR(OR(NOT(AND(ISNUMBER(E104),ISNUMBER(F104))),$J$2=""),14&gt;MAX(1,Reprogramaciones!$U$15)),"",IF(Reprogramaciones!X$12&gt;=7,"",IF(OR(CG104-N(CF104)&gt;0.05,N(AD104)&gt;0),ROUNDDOWN(ROUND(CG104,6),0)&amp;"%"&amp;IF(CW104="",""," / "&amp;CW104&amp;"%"),IF(AND(N(CF104)&gt;=99.95,CW104&lt;&gt;"",N(CW104)&lt;100),"Pend. "&amp;CW104&amp;"%",""))))</f>
        <v/>
      </c>
      <c r="BA104" s="40" t="str">
        <f aca="false">IF(OR(OR(NOT(AND(ISNUMBER(E104),ISNUMBER(F104))),$J$2=""),15&gt;MAX(1,Reprogramaciones!$U$15)),"",IF(Reprogramaciones!Y$12&gt;=7,"",IF(OR(CH104-N(CG104)&gt;0.05,N(AE104)&gt;0),ROUNDDOWN(ROUND(CH104,6),0)&amp;"%"&amp;IF(CX104="",""," / "&amp;CX104&amp;"%"),IF(AND(N(CG104)&gt;=99.95,CX104&lt;&gt;"",N(CX104)&lt;100),"Pend. "&amp;CX104&amp;"%",""))))</f>
        <v/>
      </c>
      <c r="BB104" s="40" t="str">
        <f aca="false">IF(OR(OR(NOT(AND(ISNUMBER(E104),ISNUMBER(F104))),$J$2=""),16&gt;MAX(1,Reprogramaciones!$U$15)),"",IF(Reprogramaciones!Z$12&gt;=7,"",IF(OR(CI104-N(CH104)&gt;0.05,N(AF104)&gt;0),ROUNDDOWN(ROUND(CI104,6),0)&amp;"%"&amp;IF(CY104="",""," / "&amp;CY104&amp;"%"),IF(AND(N(CH104)&gt;=99.95,CY104&lt;&gt;"",N(CY104)&lt;100),"Pend. "&amp;CY104&amp;"%",""))))</f>
        <v/>
      </c>
      <c r="BC104" s="31" t="n">
        <f aca="false">IF(AND(ISNUMBER(E104),ISNUMBER(F104)),MAX(1,NETWORKDAYS.INTL(E104,F104,11)),0)</f>
        <v>0</v>
      </c>
      <c r="BD104" s="1" t="str">
        <f aca="false">IF(OR(NOT(AND(ISNUMBER(E104),ISNUMBER(F104))),$J$2=""),"",MIN(100,ROUND(SUM($G104:G104),1)))</f>
        <v/>
      </c>
      <c r="BE104" s="1" t="str">
        <f aca="false">IF(OR(NOT(AND(ISNUMBER(E104),ISNUMBER(F104))),$J$2=""),"",MIN(100,ROUND(SUM($G104:H104),1)))</f>
        <v/>
      </c>
      <c r="BF104" s="1" t="str">
        <f aca="false">IF(OR(NOT(AND(ISNUMBER(E104),ISNUMBER(F104))),$J$2=""),"",MIN(100,ROUND(SUM($G104:I104),1)))</f>
        <v/>
      </c>
      <c r="BG104" s="1" t="str">
        <f aca="false">IF(OR(NOT(AND(ISNUMBER(E104),ISNUMBER(F104))),$J$2=""),"",MIN(100,ROUND(SUM($G104:J104),1)))</f>
        <v/>
      </c>
      <c r="BH104" s="1" t="str">
        <f aca="false">IF(OR(NOT(AND(ISNUMBER(E104),ISNUMBER(F104))),$J$2=""),"",MIN(100,ROUND(SUM($G104:K104),1)))</f>
        <v/>
      </c>
      <c r="BI104" s="1" t="str">
        <f aca="false">IF(OR(NOT(AND(ISNUMBER(E104),ISNUMBER(F104))),$J$2=""),"",MIN(100,ROUND(SUM($G104:L104),1)))</f>
        <v/>
      </c>
      <c r="BJ104" s="1" t="str">
        <f aca="false">IF(OR(NOT(AND(ISNUMBER(E104),ISNUMBER(F104))),$J$2=""),"",MIN(100,ROUND(SUM($G104:M104),1)))</f>
        <v/>
      </c>
      <c r="BK104" s="1" t="str">
        <f aca="false">IF(OR(NOT(AND(ISNUMBER(E104),ISNUMBER(F104))),$J$2=""),"",MIN(100,ROUND(SUM($G104:N104),1)))</f>
        <v/>
      </c>
      <c r="BL104" s="1" t="str">
        <f aca="false">IF(OR(NOT(AND(ISNUMBER(E104),ISNUMBER(F104))),$J$2=""),"",MIN(100,ROUND(SUM($G104:O104),1)))</f>
        <v/>
      </c>
      <c r="BM104" s="1" t="str">
        <f aca="false">IF(OR(NOT(AND(ISNUMBER(E104),ISNUMBER(F104))),$J$2=""),"",MIN(100,ROUND(SUM($G104:P104),1)))</f>
        <v/>
      </c>
      <c r="BN104" s="1" t="str">
        <f aca="false">IF(OR(NOT(AND(ISNUMBER(E104),ISNUMBER(F104))),$J$2=""),"",MIN(100,ROUND(SUM($G104:P104),1)))</f>
        <v/>
      </c>
      <c r="BO104" s="1" t="str">
        <f aca="false">IF(OR(NOT(AND(ISNUMBER(E104),ISNUMBER(F104))),$J$2=""),"",MIN(100,ROUND(SUM($G104:P104),1)))</f>
        <v/>
      </c>
      <c r="BP104" s="1" t="str">
        <f aca="false">IF(OR(NOT(AND(ISNUMBER(E104),ISNUMBER(F104))),$J$2=""),"",MIN(100,ROUND(SUM($G104:P104),1)))</f>
        <v/>
      </c>
      <c r="BQ104" s="1" t="str">
        <f aca="false">IF(OR(NOT(AND(ISNUMBER(E104),ISNUMBER(F104))),$J$2=""),"",MIN(100,ROUND(SUM($G104:P104),1)))</f>
        <v/>
      </c>
      <c r="BR104" s="1" t="str">
        <f aca="false">IF(OR(NOT(AND(ISNUMBER(E104),ISNUMBER(F104))),$J$2=""),"",MIN(100,ROUND(SUM($G104:P104),1)))</f>
        <v/>
      </c>
      <c r="BS104" s="1" t="str">
        <f aca="false">IF(OR(NOT(AND(ISNUMBER(E104),ISNUMBER(F104))),$J$2=""),"",MIN(100,ROUND(SUM($G104:P104),1)))</f>
        <v/>
      </c>
      <c r="BT104" s="1" t="str">
        <f aca="false">IF(OR(NOT(AND(ISNUMBER(E104),ISNUMBER(F104))),$J$2=""),"",IF(Reprogramaciones!K$13&lt;Reprogramaciones!$T$15,0,IF(Reprogramaciones!K$14&gt;10,MIN(100,SUM($G104:$P104)),MIN(100,SUMPRODUCT((COLUMN($G104:$P104)-COLUMN($G104)+1&lt;Reprogramaciones!K$14)*$G104:$P104)+N(INDEX($G104:$P104,1,Reprogramaciones!K$14))*IF(Reprogramaciones!K$13&gt;=(Reprogramaciones!$T$15+7*(Reprogramaciones!K$14-1))+6,1,IF(MAX(0,NETWORKDAYS.INTL(MAX(E104,(Reprogramaciones!$T$15+7*(Reprogramaciones!K$14-1))),MIN(F104,(Reprogramaciones!$T$15+7*(Reprogramaciones!K$14-1))+6),11))=0,0,MAX(0,NETWORKDAYS.INTL(MAX(E104,(Reprogramaciones!$T$15+7*(Reprogramaciones!K$14-1))),MIN(F104,Reprogramaciones!K$13),11))/MAX(0,NETWORKDAYS.INTL(MAX(E104,(Reprogramaciones!$T$15+7*(Reprogramaciones!K$14-1))),MIN(F104,(Reprogramaciones!$T$15+7*(Reprogramaciones!K$14-1))+6),11))))))))</f>
        <v/>
      </c>
      <c r="BU104" s="1" t="str">
        <f aca="false">IF(OR(NOT(AND(ISNUMBER(E104),ISNUMBER(F104))),$J$2=""),"",IF(Reprogramaciones!L$13&lt;Reprogramaciones!$T$15,0,IF(Reprogramaciones!L$14&gt;10,MIN(100,SUM($G104:$P104)),MIN(100,SUMPRODUCT((COLUMN($G104:$P104)-COLUMN($G104)+1&lt;Reprogramaciones!L$14)*$G104:$P104)+N(INDEX($G104:$P104,1,Reprogramaciones!L$14))*IF(Reprogramaciones!L$13&gt;=(Reprogramaciones!$T$15+7*(Reprogramaciones!L$14-1))+6,1,IF(MAX(0,NETWORKDAYS.INTL(MAX(E104,(Reprogramaciones!$T$15+7*(Reprogramaciones!L$14-1))),MIN(F104,(Reprogramaciones!$T$15+7*(Reprogramaciones!L$14-1))+6),11))=0,0,MAX(0,NETWORKDAYS.INTL(MAX(E104,(Reprogramaciones!$T$15+7*(Reprogramaciones!L$14-1))),MIN(F104,Reprogramaciones!L$13),11))/MAX(0,NETWORKDAYS.INTL(MAX(E104,(Reprogramaciones!$T$15+7*(Reprogramaciones!L$14-1))),MIN(F104,(Reprogramaciones!$T$15+7*(Reprogramaciones!L$14-1))+6),11))))))))</f>
        <v/>
      </c>
      <c r="BV104" s="1" t="str">
        <f aca="false">IF(OR(NOT(AND(ISNUMBER(E104),ISNUMBER(F104))),$J$2=""),"",IF(Reprogramaciones!M$13&lt;Reprogramaciones!$T$15,0,IF(Reprogramaciones!M$14&gt;10,MIN(100,SUM($G104:$P104)),MIN(100,SUMPRODUCT((COLUMN($G104:$P104)-COLUMN($G104)+1&lt;Reprogramaciones!M$14)*$G104:$P104)+N(INDEX($G104:$P104,1,Reprogramaciones!M$14))*IF(Reprogramaciones!M$13&gt;=(Reprogramaciones!$T$15+7*(Reprogramaciones!M$14-1))+6,1,IF(MAX(0,NETWORKDAYS.INTL(MAX(E104,(Reprogramaciones!$T$15+7*(Reprogramaciones!M$14-1))),MIN(F104,(Reprogramaciones!$T$15+7*(Reprogramaciones!M$14-1))+6),11))=0,0,MAX(0,NETWORKDAYS.INTL(MAX(E104,(Reprogramaciones!$T$15+7*(Reprogramaciones!M$14-1))),MIN(F104,Reprogramaciones!M$13),11))/MAX(0,NETWORKDAYS.INTL(MAX(E104,(Reprogramaciones!$T$15+7*(Reprogramaciones!M$14-1))),MIN(F104,(Reprogramaciones!$T$15+7*(Reprogramaciones!M$14-1))+6),11))))))))</f>
        <v/>
      </c>
      <c r="BW104" s="1" t="str">
        <f aca="false">IF(OR(NOT(AND(ISNUMBER(E104),ISNUMBER(F104))),$J$2=""),"",IF(Reprogramaciones!N$13&lt;Reprogramaciones!$T$15,0,IF(Reprogramaciones!N$14&gt;10,MIN(100,SUM($G104:$P104)),MIN(100,SUMPRODUCT((COLUMN($G104:$P104)-COLUMN($G104)+1&lt;Reprogramaciones!N$14)*$G104:$P104)+N(INDEX($G104:$P104,1,Reprogramaciones!N$14))*IF(Reprogramaciones!N$13&gt;=(Reprogramaciones!$T$15+7*(Reprogramaciones!N$14-1))+6,1,IF(MAX(0,NETWORKDAYS.INTL(MAX(E104,(Reprogramaciones!$T$15+7*(Reprogramaciones!N$14-1))),MIN(F104,(Reprogramaciones!$T$15+7*(Reprogramaciones!N$14-1))+6),11))=0,0,MAX(0,NETWORKDAYS.INTL(MAX(E104,(Reprogramaciones!$T$15+7*(Reprogramaciones!N$14-1))),MIN(F104,Reprogramaciones!N$13),11))/MAX(0,NETWORKDAYS.INTL(MAX(E104,(Reprogramaciones!$T$15+7*(Reprogramaciones!N$14-1))),MIN(F104,(Reprogramaciones!$T$15+7*(Reprogramaciones!N$14-1))+6),11))))))))</f>
        <v/>
      </c>
      <c r="BX104" s="1" t="str">
        <f aca="false">IF(OR(NOT(AND(ISNUMBER(E104),ISNUMBER(F104))),$J$2=""),"",IF(Reprogramaciones!O$13&lt;Reprogramaciones!$T$15,0,IF(Reprogramaciones!O$14&gt;10,MIN(100,SUM($G104:$P104)),MIN(100,SUMPRODUCT((COLUMN($G104:$P104)-COLUMN($G104)+1&lt;Reprogramaciones!O$14)*$G104:$P104)+N(INDEX($G104:$P104,1,Reprogramaciones!O$14))*IF(Reprogramaciones!O$13&gt;=(Reprogramaciones!$T$15+7*(Reprogramaciones!O$14-1))+6,1,IF(MAX(0,NETWORKDAYS.INTL(MAX(E104,(Reprogramaciones!$T$15+7*(Reprogramaciones!O$14-1))),MIN(F104,(Reprogramaciones!$T$15+7*(Reprogramaciones!O$14-1))+6),11))=0,0,MAX(0,NETWORKDAYS.INTL(MAX(E104,(Reprogramaciones!$T$15+7*(Reprogramaciones!O$14-1))),MIN(F104,Reprogramaciones!O$13),11))/MAX(0,NETWORKDAYS.INTL(MAX(E104,(Reprogramaciones!$T$15+7*(Reprogramaciones!O$14-1))),MIN(F104,(Reprogramaciones!$T$15+7*(Reprogramaciones!O$14-1))+6),11))))))))</f>
        <v/>
      </c>
      <c r="BY104" s="1" t="str">
        <f aca="false">IF(OR(NOT(AND(ISNUMBER(E104),ISNUMBER(F104))),$J$2=""),"",IF(Reprogramaciones!P$13&lt;Reprogramaciones!$T$15,0,IF(Reprogramaciones!P$14&gt;10,MIN(100,SUM($G104:$P104)),MIN(100,SUMPRODUCT((COLUMN($G104:$P104)-COLUMN($G104)+1&lt;Reprogramaciones!P$14)*$G104:$P104)+N(INDEX($G104:$P104,1,Reprogramaciones!P$14))*IF(Reprogramaciones!P$13&gt;=(Reprogramaciones!$T$15+7*(Reprogramaciones!P$14-1))+6,1,IF(MAX(0,NETWORKDAYS.INTL(MAX(E104,(Reprogramaciones!$T$15+7*(Reprogramaciones!P$14-1))),MIN(F104,(Reprogramaciones!$T$15+7*(Reprogramaciones!P$14-1))+6),11))=0,0,MAX(0,NETWORKDAYS.INTL(MAX(E104,(Reprogramaciones!$T$15+7*(Reprogramaciones!P$14-1))),MIN(F104,Reprogramaciones!P$13),11))/MAX(0,NETWORKDAYS.INTL(MAX(E104,(Reprogramaciones!$T$15+7*(Reprogramaciones!P$14-1))),MIN(F104,(Reprogramaciones!$T$15+7*(Reprogramaciones!P$14-1))+6),11))))))))</f>
        <v/>
      </c>
      <c r="BZ104" s="1" t="str">
        <f aca="false">IF(OR(NOT(AND(ISNUMBER(E104),ISNUMBER(F104))),$J$2=""),"",IF(Reprogramaciones!Q$13&lt;Reprogramaciones!$T$15,0,IF(Reprogramaciones!Q$14&gt;10,MIN(100,SUM($G104:$P104)),MIN(100,SUMPRODUCT((COLUMN($G104:$P104)-COLUMN($G104)+1&lt;Reprogramaciones!Q$14)*$G104:$P104)+N(INDEX($G104:$P104,1,Reprogramaciones!Q$14))*IF(Reprogramaciones!Q$13&gt;=(Reprogramaciones!$T$15+7*(Reprogramaciones!Q$14-1))+6,1,IF(MAX(0,NETWORKDAYS.INTL(MAX(E104,(Reprogramaciones!$T$15+7*(Reprogramaciones!Q$14-1))),MIN(F104,(Reprogramaciones!$T$15+7*(Reprogramaciones!Q$14-1))+6),11))=0,0,MAX(0,NETWORKDAYS.INTL(MAX(E104,(Reprogramaciones!$T$15+7*(Reprogramaciones!Q$14-1))),MIN(F104,Reprogramaciones!Q$13),11))/MAX(0,NETWORKDAYS.INTL(MAX(E104,(Reprogramaciones!$T$15+7*(Reprogramaciones!Q$14-1))),MIN(F104,(Reprogramaciones!$T$15+7*(Reprogramaciones!Q$14-1))+6),11))))))))</f>
        <v/>
      </c>
      <c r="CA104" s="1" t="str">
        <f aca="false">IF(OR(NOT(AND(ISNUMBER(E104),ISNUMBER(F104))),$J$2=""),"",IF(Reprogramaciones!R$13&lt;Reprogramaciones!$T$15,0,IF(Reprogramaciones!R$14&gt;10,MIN(100,SUM($G104:$P104)),MIN(100,SUMPRODUCT((COLUMN($G104:$P104)-COLUMN($G104)+1&lt;Reprogramaciones!R$14)*$G104:$P104)+N(INDEX($G104:$P104,1,Reprogramaciones!R$14))*IF(Reprogramaciones!R$13&gt;=(Reprogramaciones!$T$15+7*(Reprogramaciones!R$14-1))+6,1,IF(MAX(0,NETWORKDAYS.INTL(MAX(E104,(Reprogramaciones!$T$15+7*(Reprogramaciones!R$14-1))),MIN(F104,(Reprogramaciones!$T$15+7*(Reprogramaciones!R$14-1))+6),11))=0,0,MAX(0,NETWORKDAYS.INTL(MAX(E104,(Reprogramaciones!$T$15+7*(Reprogramaciones!R$14-1))),MIN(F104,Reprogramaciones!R$13),11))/MAX(0,NETWORKDAYS.INTL(MAX(E104,(Reprogramaciones!$T$15+7*(Reprogramaciones!R$14-1))),MIN(F104,(Reprogramaciones!$T$15+7*(Reprogramaciones!R$14-1))+6),11))))))))</f>
        <v/>
      </c>
      <c r="CB104" s="1" t="str">
        <f aca="false">IF(OR(NOT(AND(ISNUMBER(E104),ISNUMBER(F104))),$J$2=""),"",IF(Reprogramaciones!S$13&lt;Reprogramaciones!$T$15,0,IF(Reprogramaciones!S$14&gt;10,MIN(100,SUM($G104:$P104)),MIN(100,SUMPRODUCT((COLUMN($G104:$P104)-COLUMN($G104)+1&lt;Reprogramaciones!S$14)*$G104:$P104)+N(INDEX($G104:$P104,1,Reprogramaciones!S$14))*IF(Reprogramaciones!S$13&gt;=(Reprogramaciones!$T$15+7*(Reprogramaciones!S$14-1))+6,1,IF(MAX(0,NETWORKDAYS.INTL(MAX(E104,(Reprogramaciones!$T$15+7*(Reprogramaciones!S$14-1))),MIN(F104,(Reprogramaciones!$T$15+7*(Reprogramaciones!S$14-1))+6),11))=0,0,MAX(0,NETWORKDAYS.INTL(MAX(E104,(Reprogramaciones!$T$15+7*(Reprogramaciones!S$14-1))),MIN(F104,Reprogramaciones!S$13),11))/MAX(0,NETWORKDAYS.INTL(MAX(E104,(Reprogramaciones!$T$15+7*(Reprogramaciones!S$14-1))),MIN(F104,(Reprogramaciones!$T$15+7*(Reprogramaciones!S$14-1))+6),11))))))))</f>
        <v/>
      </c>
      <c r="CC104" s="1" t="str">
        <f aca="false">IF(OR(NOT(AND(ISNUMBER(E104),ISNUMBER(F104))),$J$2=""),"",IF(Reprogramaciones!T$13&lt;Reprogramaciones!$T$15,0,IF(Reprogramaciones!T$14&gt;10,MIN(100,SUM($G104:$P104)),MIN(100,SUMPRODUCT((COLUMN($G104:$P104)-COLUMN($G104)+1&lt;Reprogramaciones!T$14)*$G104:$P104)+N(INDEX($G104:$P104,1,Reprogramaciones!T$14))*IF(Reprogramaciones!T$13&gt;=(Reprogramaciones!$T$15+7*(Reprogramaciones!T$14-1))+6,1,IF(MAX(0,NETWORKDAYS.INTL(MAX(E104,(Reprogramaciones!$T$15+7*(Reprogramaciones!T$14-1))),MIN(F104,(Reprogramaciones!$T$15+7*(Reprogramaciones!T$14-1))+6),11))=0,0,MAX(0,NETWORKDAYS.INTL(MAX(E104,(Reprogramaciones!$T$15+7*(Reprogramaciones!T$14-1))),MIN(F104,Reprogramaciones!T$13),11))/MAX(0,NETWORKDAYS.INTL(MAX(E104,(Reprogramaciones!$T$15+7*(Reprogramaciones!T$14-1))),MIN(F104,(Reprogramaciones!$T$15+7*(Reprogramaciones!T$14-1))+6),11))))))))</f>
        <v/>
      </c>
      <c r="CD104" s="1" t="str">
        <f aca="false">IF(OR(NOT(AND(ISNUMBER(E104),ISNUMBER(F104))),$J$2=""),"",IF(Reprogramaciones!U$13&lt;Reprogramaciones!$T$15,0,IF(Reprogramaciones!U$14&gt;10,MIN(100,SUM($G104:$P104)),MIN(100,SUMPRODUCT((COLUMN($G104:$P104)-COLUMN($G104)+1&lt;Reprogramaciones!U$14)*$G104:$P104)+N(INDEX($G104:$P104,1,Reprogramaciones!U$14))*IF(Reprogramaciones!U$13&gt;=(Reprogramaciones!$T$15+7*(Reprogramaciones!U$14-1))+6,1,IF(MAX(0,NETWORKDAYS.INTL(MAX(E104,(Reprogramaciones!$T$15+7*(Reprogramaciones!U$14-1))),MIN(F104,(Reprogramaciones!$T$15+7*(Reprogramaciones!U$14-1))+6),11))=0,0,MAX(0,NETWORKDAYS.INTL(MAX(E104,(Reprogramaciones!$T$15+7*(Reprogramaciones!U$14-1))),MIN(F104,Reprogramaciones!U$13),11))/MAX(0,NETWORKDAYS.INTL(MAX(E104,(Reprogramaciones!$T$15+7*(Reprogramaciones!U$14-1))),MIN(F104,(Reprogramaciones!$T$15+7*(Reprogramaciones!U$14-1))+6),11))))))))</f>
        <v/>
      </c>
      <c r="CE104" s="1" t="str">
        <f aca="false">IF(OR(NOT(AND(ISNUMBER(E104),ISNUMBER(F104))),$J$2=""),"",IF(Reprogramaciones!V$13&lt;Reprogramaciones!$T$15,0,IF(Reprogramaciones!V$14&gt;10,MIN(100,SUM($G104:$P104)),MIN(100,SUMPRODUCT((COLUMN($G104:$P104)-COLUMN($G104)+1&lt;Reprogramaciones!V$14)*$G104:$P104)+N(INDEX($G104:$P104,1,Reprogramaciones!V$14))*IF(Reprogramaciones!V$13&gt;=(Reprogramaciones!$T$15+7*(Reprogramaciones!V$14-1))+6,1,IF(MAX(0,NETWORKDAYS.INTL(MAX(E104,(Reprogramaciones!$T$15+7*(Reprogramaciones!V$14-1))),MIN(F104,(Reprogramaciones!$T$15+7*(Reprogramaciones!V$14-1))+6),11))=0,0,MAX(0,NETWORKDAYS.INTL(MAX(E104,(Reprogramaciones!$T$15+7*(Reprogramaciones!V$14-1))),MIN(F104,Reprogramaciones!V$13),11))/MAX(0,NETWORKDAYS.INTL(MAX(E104,(Reprogramaciones!$T$15+7*(Reprogramaciones!V$14-1))),MIN(F104,(Reprogramaciones!$T$15+7*(Reprogramaciones!V$14-1))+6),11))))))))</f>
        <v/>
      </c>
      <c r="CF104" s="1" t="str">
        <f aca="false">IF(OR(NOT(AND(ISNUMBER(E104),ISNUMBER(F104))),$J$2=""),"",IF(Reprogramaciones!W$13&lt;Reprogramaciones!$T$15,0,IF(Reprogramaciones!W$14&gt;10,MIN(100,SUM($G104:$P104)),MIN(100,SUMPRODUCT((COLUMN($G104:$P104)-COLUMN($G104)+1&lt;Reprogramaciones!W$14)*$G104:$P104)+N(INDEX($G104:$P104,1,Reprogramaciones!W$14))*IF(Reprogramaciones!W$13&gt;=(Reprogramaciones!$T$15+7*(Reprogramaciones!W$14-1))+6,1,IF(MAX(0,NETWORKDAYS.INTL(MAX(E104,(Reprogramaciones!$T$15+7*(Reprogramaciones!W$14-1))),MIN(F104,(Reprogramaciones!$T$15+7*(Reprogramaciones!W$14-1))+6),11))=0,0,MAX(0,NETWORKDAYS.INTL(MAX(E104,(Reprogramaciones!$T$15+7*(Reprogramaciones!W$14-1))),MIN(F104,Reprogramaciones!W$13),11))/MAX(0,NETWORKDAYS.INTL(MAX(E104,(Reprogramaciones!$T$15+7*(Reprogramaciones!W$14-1))),MIN(F104,(Reprogramaciones!$T$15+7*(Reprogramaciones!W$14-1))+6),11))))))))</f>
        <v/>
      </c>
      <c r="CG104" s="1" t="str">
        <f aca="false">IF(OR(NOT(AND(ISNUMBER(E104),ISNUMBER(F104))),$J$2=""),"",IF(Reprogramaciones!X$13&lt;Reprogramaciones!$T$15,0,IF(Reprogramaciones!X$14&gt;10,MIN(100,SUM($G104:$P104)),MIN(100,SUMPRODUCT((COLUMN($G104:$P104)-COLUMN($G104)+1&lt;Reprogramaciones!X$14)*$G104:$P104)+N(INDEX($G104:$P104,1,Reprogramaciones!X$14))*IF(Reprogramaciones!X$13&gt;=(Reprogramaciones!$T$15+7*(Reprogramaciones!X$14-1))+6,1,IF(MAX(0,NETWORKDAYS.INTL(MAX(E104,(Reprogramaciones!$T$15+7*(Reprogramaciones!X$14-1))),MIN(F104,(Reprogramaciones!$T$15+7*(Reprogramaciones!X$14-1))+6),11))=0,0,MAX(0,NETWORKDAYS.INTL(MAX(E104,(Reprogramaciones!$T$15+7*(Reprogramaciones!X$14-1))),MIN(F104,Reprogramaciones!X$13),11))/MAX(0,NETWORKDAYS.INTL(MAX(E104,(Reprogramaciones!$T$15+7*(Reprogramaciones!X$14-1))),MIN(F104,(Reprogramaciones!$T$15+7*(Reprogramaciones!X$14-1))+6),11))))))))</f>
        <v/>
      </c>
      <c r="CH104" s="1" t="str">
        <f aca="false">IF(OR(NOT(AND(ISNUMBER(E104),ISNUMBER(F104))),$J$2=""),"",IF(Reprogramaciones!Y$13&lt;Reprogramaciones!$T$15,0,IF(Reprogramaciones!Y$14&gt;10,MIN(100,SUM($G104:$P104)),MIN(100,SUMPRODUCT((COLUMN($G104:$P104)-COLUMN($G104)+1&lt;Reprogramaciones!Y$14)*$G104:$P104)+N(INDEX($G104:$P104,1,Reprogramaciones!Y$14))*IF(Reprogramaciones!Y$13&gt;=(Reprogramaciones!$T$15+7*(Reprogramaciones!Y$14-1))+6,1,IF(MAX(0,NETWORKDAYS.INTL(MAX(E104,(Reprogramaciones!$T$15+7*(Reprogramaciones!Y$14-1))),MIN(F104,(Reprogramaciones!$T$15+7*(Reprogramaciones!Y$14-1))+6),11))=0,0,MAX(0,NETWORKDAYS.INTL(MAX(E104,(Reprogramaciones!$T$15+7*(Reprogramaciones!Y$14-1))),MIN(F104,Reprogramaciones!Y$13),11))/MAX(0,NETWORKDAYS.INTL(MAX(E104,(Reprogramaciones!$T$15+7*(Reprogramaciones!Y$14-1))),MIN(F104,(Reprogramaciones!$T$15+7*(Reprogramaciones!Y$14-1))+6),11))))))))</f>
        <v/>
      </c>
      <c r="CI104" s="1" t="str">
        <f aca="false">IF(OR(NOT(AND(ISNUMBER(E104),ISNUMBER(F104))),$J$2=""),"",IF(Reprogramaciones!Z$13&lt;Reprogramaciones!$T$15,0,IF(Reprogramaciones!Z$14&gt;10,MIN(100,SUM($G104:$P104)),MIN(100,SUMPRODUCT((COLUMN($G104:$P104)-COLUMN($G104)+1&lt;Reprogramaciones!Z$14)*$G104:$P104)+N(INDEX($G104:$P104,1,Reprogramaciones!Z$14))*IF(Reprogramaciones!Z$13&gt;=(Reprogramaciones!$T$15+7*(Reprogramaciones!Z$14-1))+6,1,IF(MAX(0,NETWORKDAYS.INTL(MAX(E104,(Reprogramaciones!$T$15+7*(Reprogramaciones!Z$14-1))),MIN(F104,(Reprogramaciones!$T$15+7*(Reprogramaciones!Z$14-1))+6),11))=0,0,MAX(0,NETWORKDAYS.INTL(MAX(E104,(Reprogramaciones!$T$15+7*(Reprogramaciones!Z$14-1))),MIN(F104,Reprogramaciones!Z$13),11))/MAX(0,NETWORKDAYS.INTL(MAX(E104,(Reprogramaciones!$T$15+7*(Reprogramaciones!Z$14-1))),MIN(F104,(Reprogramaciones!$T$15+7*(Reprogramaciones!Z$14-1))+6),11))))))))</f>
        <v/>
      </c>
      <c r="CJ104" s="1" t="str">
        <f aca="false">IF(OR(OR(NOT(AND(ISNUMBER(E104),ISNUMBER(F104))),$J$2=""),1&gt;Reprogramaciones!$K$16),"",IF(ROUND(SUM($Q104:Q104),1)&gt;=99.5,100,MIN(100,ROUND(SUM($Q104:Q104),1))))</f>
        <v/>
      </c>
      <c r="CK104" s="1" t="str">
        <f aca="false">IF(OR(OR(NOT(AND(ISNUMBER(E104),ISNUMBER(F104))),$J$2=""),2&gt;Reprogramaciones!$K$16),"",IF(ROUND(SUM($Q104:R104),1)&gt;=99.5,100,MIN(100,ROUND(SUM($Q104:R104),1))))</f>
        <v/>
      </c>
      <c r="CL104" s="1" t="str">
        <f aca="false">IF(OR(OR(NOT(AND(ISNUMBER(E104),ISNUMBER(F104))),$J$2=""),3&gt;Reprogramaciones!$K$16),"",IF(ROUND(SUM($Q104:S104),1)&gt;=99.5,100,MIN(100,ROUND(SUM($Q104:S104),1))))</f>
        <v/>
      </c>
      <c r="CM104" s="1" t="str">
        <f aca="false">IF(OR(OR(NOT(AND(ISNUMBER(E104),ISNUMBER(F104))),$J$2=""),4&gt;Reprogramaciones!$K$16),"",IF(ROUND(SUM($Q104:T104),1)&gt;=99.5,100,MIN(100,ROUND(SUM($Q104:T104),1))))</f>
        <v/>
      </c>
      <c r="CN104" s="1" t="str">
        <f aca="false">IF(OR(OR(NOT(AND(ISNUMBER(E104),ISNUMBER(F104))),$J$2=""),5&gt;Reprogramaciones!$K$16),"",IF(ROUND(SUM($Q104:U104),1)&gt;=99.5,100,MIN(100,ROUND(SUM($Q104:U104),1))))</f>
        <v/>
      </c>
      <c r="CO104" s="1" t="str">
        <f aca="false">IF(OR(OR(NOT(AND(ISNUMBER(E104),ISNUMBER(F104))),$J$2=""),6&gt;Reprogramaciones!$K$16),"",IF(ROUND(SUM($Q104:V104),1)&gt;=99.5,100,MIN(100,ROUND(SUM($Q104:V104),1))))</f>
        <v/>
      </c>
      <c r="CP104" s="1" t="str">
        <f aca="false">IF(OR(OR(NOT(AND(ISNUMBER(E104),ISNUMBER(F104))),$J$2=""),7&gt;Reprogramaciones!$K$16),"",IF(ROUND(SUM($Q104:W104),1)&gt;=99.5,100,MIN(100,ROUND(SUM($Q104:W104),1))))</f>
        <v/>
      </c>
      <c r="CQ104" s="1" t="str">
        <f aca="false">IF(OR(OR(NOT(AND(ISNUMBER(E104),ISNUMBER(F104))),$J$2=""),8&gt;Reprogramaciones!$K$16),"",IF(ROUND(SUM($Q104:X104),1)&gt;=99.5,100,MIN(100,ROUND(SUM($Q104:X104),1))))</f>
        <v/>
      </c>
      <c r="CR104" s="1" t="str">
        <f aca="false">IF(OR(OR(NOT(AND(ISNUMBER(E104),ISNUMBER(F104))),$J$2=""),9&gt;Reprogramaciones!$K$16),"",IF(ROUND(SUM($Q104:Y104),1)&gt;=99.5,100,MIN(100,ROUND(SUM($Q104:Y104),1))))</f>
        <v/>
      </c>
      <c r="CS104" s="1" t="str">
        <f aca="false">IF(OR(OR(NOT(AND(ISNUMBER(E104),ISNUMBER(F104))),$J$2=""),10&gt;Reprogramaciones!$K$16),"",IF(ROUND(SUM($Q104:Z104),1)&gt;=99.5,100,MIN(100,ROUND(SUM($Q104:Z104),1))))</f>
        <v/>
      </c>
      <c r="CT104" s="1" t="str">
        <f aca="false">IF(OR(OR(NOT(AND(ISNUMBER(E104),ISNUMBER(F104))),$J$2=""),11&gt;Reprogramaciones!$K$16),"",IF(ROUND(SUM($Q104:AA104),1)&gt;=99.5,100,MIN(100,ROUND(SUM($Q104:AA104),1))))</f>
        <v/>
      </c>
      <c r="CU104" s="1" t="str">
        <f aca="false">IF(OR(OR(NOT(AND(ISNUMBER(E104),ISNUMBER(F104))),$J$2=""),12&gt;Reprogramaciones!$K$16),"",IF(ROUND(SUM($Q104:AB104),1)&gt;=99.5,100,MIN(100,ROUND(SUM($Q104:AB104),1))))</f>
        <v/>
      </c>
      <c r="CV104" s="1" t="str">
        <f aca="false">IF(OR(OR(NOT(AND(ISNUMBER(E104),ISNUMBER(F104))),$J$2=""),13&gt;Reprogramaciones!$K$16),"",IF(ROUND(SUM($Q104:AC104),1)&gt;=99.5,100,MIN(100,ROUND(SUM($Q104:AC104),1))))</f>
        <v/>
      </c>
      <c r="CW104" s="1" t="str">
        <f aca="false">IF(OR(OR(NOT(AND(ISNUMBER(E104),ISNUMBER(F104))),$J$2=""),14&gt;Reprogramaciones!$K$16),"",IF(ROUND(SUM($Q104:AD104),1)&gt;=99.5,100,MIN(100,ROUND(SUM($Q104:AD104),1))))</f>
        <v/>
      </c>
      <c r="CX104" s="1" t="str">
        <f aca="false">IF(OR(OR(NOT(AND(ISNUMBER(E104),ISNUMBER(F104))),$J$2=""),15&gt;Reprogramaciones!$K$16),"",IF(ROUND(SUM($Q104:AE104),1)&gt;=99.5,100,MIN(100,ROUND(SUM($Q104:AE104),1))))</f>
        <v/>
      </c>
      <c r="CY104" s="1" t="str">
        <f aca="false">IF(OR(OR(NOT(AND(ISNUMBER(E104),ISNUMBER(F104))),$J$2=""),16&gt;Reprogramaciones!$K$16),"",IF(ROUND(SUM($Q104:AF104),1)&gt;=99.5,100,MIN(100,ROUND(SUM($Q104:AF104),1))))</f>
        <v/>
      </c>
      <c r="CZ104" s="1" t="str">
        <f aca="false">IF(D104&lt;&gt;"",D104,IF(B104&lt;&gt;"","Contractual",CZ103))</f>
        <v>Contractual</v>
      </c>
      <c r="DA104" s="1" t="str">
        <f aca="false">IF(OR(NOT(AND(ISNUMBER(E104),ISNUMBER(F104))),$J$2=""),"",IF(Reprogramaciones!$Q$15&lt;Reprogramaciones!$T$15,0,IF(Reprogramaciones!$S$15&gt;10,MIN(100,SUM($G104:$P104)),MIN(100,SUMPRODUCT((COLUMN($G104:$P104)-COLUMN($G104)+1&lt;Reprogramaciones!$S$15)*$G104:$P104)+N(INDEX($G104:$P104,1,Reprogramaciones!$S$15))*IF(Reprogramaciones!$Q$15&gt;=(Reprogramaciones!$T$15+7*(Reprogramaciones!$S$15-1))+6,1,IF(MAX(0,NETWORKDAYS.INTL(MAX(E104,(Reprogramaciones!$T$15+7*(Reprogramaciones!$S$15-1))),MIN(F104,(Reprogramaciones!$T$15+7*(Reprogramaciones!$S$15-1))+6),11))=0,0,MAX(0,NETWORKDAYS.INTL(MAX(E104,(Reprogramaciones!$T$15+7*(Reprogramaciones!$S$15-1))),MIN(F104,Reprogramaciones!$Q$15),11))/MAX(0,NETWORKDAYS.INTL(MAX(E104,(Reprogramaciones!$T$15+7*(Reprogramaciones!$S$15-1))),MIN(F104,(Reprogramaciones!$T$15+7*(Reprogramaciones!$S$15-1))+6),11))))))))</f>
        <v/>
      </c>
    </row>
    <row r="105" customFormat="false" ht="15" hidden="false" customHeight="false" outlineLevel="0" collapsed="false">
      <c r="A105" s="32"/>
      <c r="B105" s="33"/>
      <c r="C105" s="33"/>
      <c r="D105" s="34"/>
      <c r="E105" s="35"/>
      <c r="F105" s="35"/>
      <c r="G105" s="36" t="str">
        <f aca="false">IF(OR(NOT(AND(ISNUMBER(E105),ISNUMBER(F105))),$J$2=""),"",IF(Reprogramaciones!K$9&lt;E105,0,IF(NETWORKDAYS.INTL(E105,F105,11)=0,IF(Reprogramaciones!K$9&gt;=F105,100,0),ROUND(NETWORKDAYS.INTL(E105,MIN(F105,Reprogramaciones!K$9),11)/NETWORKDAYS.INTL(E105,F105,11)*100,1)))-0)</f>
        <v/>
      </c>
      <c r="H105" s="36" t="str">
        <f aca="false">IF(OR(NOT(AND(ISNUMBER(E105),ISNUMBER(F105))),$J$2=""),"",IF(Reprogramaciones!L$9&lt;E105,0,IF(NETWORKDAYS.INTL(E105,F105,11)=0,IF(Reprogramaciones!L$9&gt;=F105,100,0),ROUND(NETWORKDAYS.INTL(E105,MIN(F105,Reprogramaciones!L$9),11)/NETWORKDAYS.INTL(E105,F105,11)*100,1)))-IF(Reprogramaciones!K$9&lt;E105,0,IF(NETWORKDAYS.INTL(E105,F105,11)=0,IF(Reprogramaciones!K$9&gt;=F105,100,0),ROUND(NETWORKDAYS.INTL(E105,MIN(F105,Reprogramaciones!K$9),11)/NETWORKDAYS.INTL(E105,F105,11)*100,1))))</f>
        <v/>
      </c>
      <c r="I105" s="36" t="str">
        <f aca="false">IF(OR(NOT(AND(ISNUMBER(E105),ISNUMBER(F105))),$J$2=""),"",IF(Reprogramaciones!M$9&lt;E105,0,IF(NETWORKDAYS.INTL(E105,F105,11)=0,IF(Reprogramaciones!M$9&gt;=F105,100,0),ROUND(NETWORKDAYS.INTL(E105,MIN(F105,Reprogramaciones!M$9),11)/NETWORKDAYS.INTL(E105,F105,11)*100,1)))-IF(Reprogramaciones!L$9&lt;E105,0,IF(NETWORKDAYS.INTL(E105,F105,11)=0,IF(Reprogramaciones!L$9&gt;=F105,100,0),ROUND(NETWORKDAYS.INTL(E105,MIN(F105,Reprogramaciones!L$9),11)/NETWORKDAYS.INTL(E105,F105,11)*100,1))))</f>
        <v/>
      </c>
      <c r="J105" s="36" t="str">
        <f aca="false">IF(OR(NOT(AND(ISNUMBER(E105),ISNUMBER(F105))),$J$2=""),"",IF(Reprogramaciones!N$9&lt;E105,0,IF(NETWORKDAYS.INTL(E105,F105,11)=0,IF(Reprogramaciones!N$9&gt;=F105,100,0),ROUND(NETWORKDAYS.INTL(E105,MIN(F105,Reprogramaciones!N$9),11)/NETWORKDAYS.INTL(E105,F105,11)*100,1)))-IF(Reprogramaciones!M$9&lt;E105,0,IF(NETWORKDAYS.INTL(E105,F105,11)=0,IF(Reprogramaciones!M$9&gt;=F105,100,0),ROUND(NETWORKDAYS.INTL(E105,MIN(F105,Reprogramaciones!M$9),11)/NETWORKDAYS.INTL(E105,F105,11)*100,1))))</f>
        <v/>
      </c>
      <c r="K105" s="36" t="str">
        <f aca="false">IF(OR(NOT(AND(ISNUMBER(E105),ISNUMBER(F105))),$J$2=""),"",IF(Reprogramaciones!O$9&lt;E105,0,IF(NETWORKDAYS.INTL(E105,F105,11)=0,IF(Reprogramaciones!O$9&gt;=F105,100,0),ROUND(NETWORKDAYS.INTL(E105,MIN(F105,Reprogramaciones!O$9),11)/NETWORKDAYS.INTL(E105,F105,11)*100,1)))-IF(Reprogramaciones!N$9&lt;E105,0,IF(NETWORKDAYS.INTL(E105,F105,11)=0,IF(Reprogramaciones!N$9&gt;=F105,100,0),ROUND(NETWORKDAYS.INTL(E105,MIN(F105,Reprogramaciones!N$9),11)/NETWORKDAYS.INTL(E105,F105,11)*100,1))))</f>
        <v/>
      </c>
      <c r="L105" s="36" t="str">
        <f aca="false">IF(OR(NOT(AND(ISNUMBER(E105),ISNUMBER(F105))),$J$2=""),"",IF(Reprogramaciones!P$9&lt;E105,0,IF(NETWORKDAYS.INTL(E105,F105,11)=0,IF(Reprogramaciones!P$9&gt;=F105,100,0),ROUND(NETWORKDAYS.INTL(E105,MIN(F105,Reprogramaciones!P$9),11)/NETWORKDAYS.INTL(E105,F105,11)*100,1)))-IF(Reprogramaciones!O$9&lt;E105,0,IF(NETWORKDAYS.INTL(E105,F105,11)=0,IF(Reprogramaciones!O$9&gt;=F105,100,0),ROUND(NETWORKDAYS.INTL(E105,MIN(F105,Reprogramaciones!O$9),11)/NETWORKDAYS.INTL(E105,F105,11)*100,1))))</f>
        <v/>
      </c>
      <c r="M105" s="36" t="str">
        <f aca="false">IF(OR(NOT(AND(ISNUMBER(E105),ISNUMBER(F105))),$J$2=""),"",IF(Reprogramaciones!Q$9&lt;E105,0,IF(NETWORKDAYS.INTL(E105,F105,11)=0,IF(Reprogramaciones!Q$9&gt;=F105,100,0),ROUND(NETWORKDAYS.INTL(E105,MIN(F105,Reprogramaciones!Q$9),11)/NETWORKDAYS.INTL(E105,F105,11)*100,1)))-IF(Reprogramaciones!P$9&lt;E105,0,IF(NETWORKDAYS.INTL(E105,F105,11)=0,IF(Reprogramaciones!P$9&gt;=F105,100,0),ROUND(NETWORKDAYS.INTL(E105,MIN(F105,Reprogramaciones!P$9),11)/NETWORKDAYS.INTL(E105,F105,11)*100,1))))</f>
        <v/>
      </c>
      <c r="N105" s="36" t="str">
        <f aca="false">IF(OR(NOT(AND(ISNUMBER(E105),ISNUMBER(F105))),$J$2=""),"",IF(Reprogramaciones!R$9&lt;E105,0,IF(NETWORKDAYS.INTL(E105,F105,11)=0,IF(Reprogramaciones!R$9&gt;=F105,100,0),ROUND(NETWORKDAYS.INTL(E105,MIN(F105,Reprogramaciones!R$9),11)/NETWORKDAYS.INTL(E105,F105,11)*100,1)))-IF(Reprogramaciones!Q$9&lt;E105,0,IF(NETWORKDAYS.INTL(E105,F105,11)=0,IF(Reprogramaciones!Q$9&gt;=F105,100,0),ROUND(NETWORKDAYS.INTL(E105,MIN(F105,Reprogramaciones!Q$9),11)/NETWORKDAYS.INTL(E105,F105,11)*100,1))))</f>
        <v/>
      </c>
      <c r="O105" s="36" t="str">
        <f aca="false">IF(OR(NOT(AND(ISNUMBER(E105),ISNUMBER(F105))),$J$2=""),"",IF(Reprogramaciones!S$9&lt;E105,0,IF(NETWORKDAYS.INTL(E105,F105,11)=0,IF(Reprogramaciones!S$9&gt;=F105,100,0),ROUND(NETWORKDAYS.INTL(E105,MIN(F105,Reprogramaciones!S$9),11)/NETWORKDAYS.INTL(E105,F105,11)*100,1)))-IF(Reprogramaciones!R$9&lt;E105,0,IF(NETWORKDAYS.INTL(E105,F105,11)=0,IF(Reprogramaciones!R$9&gt;=F105,100,0),ROUND(NETWORKDAYS.INTL(E105,MIN(F105,Reprogramaciones!R$9),11)/NETWORKDAYS.INTL(E105,F105,11)*100,1))))</f>
        <v/>
      </c>
      <c r="P105" s="36" t="str">
        <f aca="false">IF(OR(NOT(AND(ISNUMBER(E105),ISNUMBER(F105))),$J$2=""),"",IF(Reprogramaciones!T$9&lt;E105,0,IF(NETWORKDAYS.INTL(E105,F105,11)=0,IF(Reprogramaciones!T$9&gt;=F105,100,0),ROUND(NETWORKDAYS.INTL(E105,MIN(F105,Reprogramaciones!T$9),11)/NETWORKDAYS.INTL(E105,F105,11)*100,1)))-IF(Reprogramaciones!S$9&lt;E105,0,IF(NETWORKDAYS.INTL(E105,F105,11)=0,IF(Reprogramaciones!S$9&gt;=F105,100,0),ROUND(NETWORKDAYS.INTL(E105,MIN(F105,Reprogramaciones!S$9),11)/NETWORKDAYS.INTL(E105,F105,11)*100,1))))</f>
        <v/>
      </c>
      <c r="Q105" s="37"/>
      <c r="R105" s="37"/>
      <c r="S105" s="37"/>
      <c r="T105" s="37"/>
      <c r="U105" s="37"/>
      <c r="V105" s="37"/>
      <c r="W105" s="37"/>
      <c r="X105" s="37"/>
      <c r="Y105" s="37"/>
      <c r="Z105" s="37"/>
      <c r="AA105" s="37"/>
      <c r="AB105" s="37"/>
      <c r="AC105" s="37"/>
      <c r="AD105" s="37"/>
      <c r="AE105" s="37"/>
      <c r="AF105" s="37"/>
      <c r="AG105" s="38" t="str">
        <f aca="false">IF(AND(ISNUMBER(E105),ISNUMBER(F105)),NETWORKDAYS.INTL(E105,F105,11),"")</f>
        <v/>
      </c>
      <c r="AH105" s="38" t="str">
        <f aca="false">IF(OR(NOT(AND(ISNUMBER(E105),ISNUMBER(F105))),$J$2=""),"",IF(Reprogramaciones!$P$15&lt;Reprogramaciones!$T$15,0,IF(Reprogramaciones!$R$15&gt;10,MIN(100,SUM($G105:$P105)),MIN(100,SUMPRODUCT((COLUMN($G105:$P105)-COLUMN($G105)+1&lt;Reprogramaciones!$R$15)*$G105:$P105)+N(INDEX($G105:$P105,1,Reprogramaciones!$R$15))*IF(Reprogramaciones!$P$15&gt;=(Reprogramaciones!$T$15+7*(Reprogramaciones!$R$15-1))+6,1,IF(MAX(0,NETWORKDAYS.INTL(MAX(E105,(Reprogramaciones!$T$15+7*(Reprogramaciones!$R$15-1))),MIN(F105,(Reprogramaciones!$T$15+7*(Reprogramaciones!$R$15-1))+6),11))=0,0,MAX(0,NETWORKDAYS.INTL(MAX(E105,(Reprogramaciones!$T$15+7*(Reprogramaciones!$R$15-1))),MIN(F105,Reprogramaciones!$P$15),11))/MAX(0,NETWORKDAYS.INTL(MAX(E105,(Reprogramaciones!$T$15+7*(Reprogramaciones!$R$15-1))),MIN(F105,(Reprogramaciones!$T$15+7*(Reprogramaciones!$R$15-1))+6),11))))))))</f>
        <v/>
      </c>
      <c r="AI105" s="38" t="str">
        <f aca="false">IF(COUNT($Q105:$AF105)=0,"",IF(ROUND(SUM($Q105:$AF105),1)&gt;=99.5,100,MIN(100,ROUND(SUM($Q105:$AF105),1))))</f>
        <v/>
      </c>
      <c r="AJ105" s="38" t="str">
        <f aca="false">IF(OR(AH105="",AI105=""),"",AI105-AH105)</f>
        <v/>
      </c>
      <c r="AK105" s="39" t="str">
        <f aca="true">IF(AH105="","",IF(OR(Ficha!$C$10="Suspendida",Ficha!$C$10="Cancelada"),Ficha!$C$10,IF(AND(AI105&lt;&gt;"",N(AI105)&gt;=100),"Completada",IF(AND(E105&gt;TODAY(),N(AI105)=0),"Por iniciar",IF(N(AI105)+0.5&lt;AH105,"Retrasada",IF(N(AI105)+0.5&lt;DA105,IF(Reprogramaciones!$K$15&gt;0,"Al día · Sem "&amp;Reprogramaciones!$K$15&amp;" en curso","Al día · en curso"),"A tiempo"))))))</f>
        <v/>
      </c>
      <c r="AL105" s="39" t="str">
        <f aca="true">IF(AND(A105="",AND(B105="",C105="",E105="",F105="",COUNT(Q105:AF105)=0)),"",IF(AND(B105="",C105="",E105="",F105="",COUNT(Q105:AF105)=0),"Falta la partida o subpartida",IF(AND(A105&lt;&gt;"",COUNTIF($A$6:$A$305,A105)&gt;1),"Ítem repetido",IF(AND(C105="",E105="",F105="",COUNT(Q105:AF105)=0),"Título de partida",IF(OR(E105="",F105=""),"Faltan fechas",IF(OR(ISTEXT(E105),ISTEXT(F105)),"Fecha escrita como texto: usa dd/mm/aaaa",IF(F105&lt;E105,"Fin antes del inicio",IF(IF($J$2="",FALSE(),OR(E105&lt;$J$2,F105&gt;Reprogramaciones!$T$15+69)),"Fuera de las 10 semanas",IF(ABS(SUM(G105:P105)-100)&gt;0.5,"La meta no suma 100%",IF(ROUND(SUM(Q105:AF105),1)&gt;100.5,"El avance pasa de 100%",IF(MIN(Q105:AF105)&lt;0,"Avance negativo",IF(COUNTA(Q105:AF105)&gt;COUNT(Q105:AF105),"Avance escrito como texto",IF(SUMPRODUCT((Q105:AF105&gt;0)*(Q105:AF105&lt;1))&gt;0,"Avance menor a 1: escribe 50, no 50%",IF(SUMPRODUCT(ISNUMBER(Q105:AF105)*(Reprogramaciones!$K$8:$Z$8&gt;TODAY()))&gt;0,"Avance en semana que aún no llega",IF(AND(N(Reprogramaciones!$E$21)&gt;0,F105&gt;Reprogramaciones!$E$21),"Pasa el fin de la obra: registra una reprogramación",IF(AND(N(Reprogramaciones!$E$21)&gt;0,SUMPRODUCT(ISNUMBER(Q105:AF105)*(Reprogramaciones!$K$8:$Z$8&gt;Reprogramaciones!$E$21))&gt;0),"Avance después del fin de la obra: registra una reprogramación por atraso","OK"))))))))))))))))</f>
        <v/>
      </c>
      <c r="AM105" s="40" t="str">
        <f aca="false">IF(OR(OR(NOT(AND(ISNUMBER(E105),ISNUMBER(F105))),$J$2=""),1&gt;MAX(1,Reprogramaciones!$U$15)),"",IF(Reprogramaciones!K$12&gt;=7,"",IF(OR(BT105-N(0)&gt;0.05,N(Q105)&gt;0),ROUNDDOWN(ROUND(BT105,6),0)&amp;"%"&amp;IF(CJ105="",""," / "&amp;CJ105&amp;"%"),IF(AND(N(0)&gt;=99.95,CJ105&lt;&gt;"",N(CJ105)&lt;100),"Pend. "&amp;CJ105&amp;"%",""))))</f>
        <v/>
      </c>
      <c r="AN105" s="40" t="str">
        <f aca="false">IF(OR(OR(NOT(AND(ISNUMBER(E105),ISNUMBER(F105))),$J$2=""),2&gt;MAX(1,Reprogramaciones!$U$15)),"",IF(Reprogramaciones!L$12&gt;=7,"",IF(OR(BU105-N(BT105)&gt;0.05,N(R105)&gt;0),ROUNDDOWN(ROUND(BU105,6),0)&amp;"%"&amp;IF(CK105="",""," / "&amp;CK105&amp;"%"),IF(AND(N(BT105)&gt;=99.95,CK105&lt;&gt;"",N(CK105)&lt;100),"Pend. "&amp;CK105&amp;"%",""))))</f>
        <v/>
      </c>
      <c r="AO105" s="40" t="str">
        <f aca="false">IF(OR(OR(NOT(AND(ISNUMBER(E105),ISNUMBER(F105))),$J$2=""),3&gt;MAX(1,Reprogramaciones!$U$15)),"",IF(Reprogramaciones!M$12&gt;=7,"",IF(OR(BV105-N(BU105)&gt;0.05,N(S105)&gt;0),ROUNDDOWN(ROUND(BV105,6),0)&amp;"%"&amp;IF(CL105="",""," / "&amp;CL105&amp;"%"),IF(AND(N(BU105)&gt;=99.95,CL105&lt;&gt;"",N(CL105)&lt;100),"Pend. "&amp;CL105&amp;"%",""))))</f>
        <v/>
      </c>
      <c r="AP105" s="40" t="str">
        <f aca="false">IF(OR(OR(NOT(AND(ISNUMBER(E105),ISNUMBER(F105))),$J$2=""),4&gt;MAX(1,Reprogramaciones!$U$15)),"",IF(Reprogramaciones!N$12&gt;=7,"",IF(OR(BW105-N(BV105)&gt;0.05,N(T105)&gt;0),ROUNDDOWN(ROUND(BW105,6),0)&amp;"%"&amp;IF(CM105="",""," / "&amp;CM105&amp;"%"),IF(AND(N(BV105)&gt;=99.95,CM105&lt;&gt;"",N(CM105)&lt;100),"Pend. "&amp;CM105&amp;"%",""))))</f>
        <v/>
      </c>
      <c r="AQ105" s="40" t="str">
        <f aca="false">IF(OR(OR(NOT(AND(ISNUMBER(E105),ISNUMBER(F105))),$J$2=""),5&gt;MAX(1,Reprogramaciones!$U$15)),"",IF(Reprogramaciones!O$12&gt;=7,"",IF(OR(BX105-N(BW105)&gt;0.05,N(U105)&gt;0),ROUNDDOWN(ROUND(BX105,6),0)&amp;"%"&amp;IF(CN105="",""," / "&amp;CN105&amp;"%"),IF(AND(N(BW105)&gt;=99.95,CN105&lt;&gt;"",N(CN105)&lt;100),"Pend. "&amp;CN105&amp;"%",""))))</f>
        <v/>
      </c>
      <c r="AR105" s="40" t="str">
        <f aca="false">IF(OR(OR(NOT(AND(ISNUMBER(E105),ISNUMBER(F105))),$J$2=""),6&gt;MAX(1,Reprogramaciones!$U$15)),"",IF(Reprogramaciones!P$12&gt;=7,"",IF(OR(BY105-N(BX105)&gt;0.05,N(V105)&gt;0),ROUNDDOWN(ROUND(BY105,6),0)&amp;"%"&amp;IF(CO105="",""," / "&amp;CO105&amp;"%"),IF(AND(N(BX105)&gt;=99.95,CO105&lt;&gt;"",N(CO105)&lt;100),"Pend. "&amp;CO105&amp;"%",""))))</f>
        <v/>
      </c>
      <c r="AS105" s="40" t="str">
        <f aca="false">IF(OR(OR(NOT(AND(ISNUMBER(E105),ISNUMBER(F105))),$J$2=""),7&gt;MAX(1,Reprogramaciones!$U$15)),"",IF(Reprogramaciones!Q$12&gt;=7,"",IF(OR(BZ105-N(BY105)&gt;0.05,N(W105)&gt;0),ROUNDDOWN(ROUND(BZ105,6),0)&amp;"%"&amp;IF(CP105="",""," / "&amp;CP105&amp;"%"),IF(AND(N(BY105)&gt;=99.95,CP105&lt;&gt;"",N(CP105)&lt;100),"Pend. "&amp;CP105&amp;"%",""))))</f>
        <v/>
      </c>
      <c r="AT105" s="40" t="str">
        <f aca="false">IF(OR(OR(NOT(AND(ISNUMBER(E105),ISNUMBER(F105))),$J$2=""),8&gt;MAX(1,Reprogramaciones!$U$15)),"",IF(Reprogramaciones!R$12&gt;=7,"",IF(OR(CA105-N(BZ105)&gt;0.05,N(X105)&gt;0),ROUNDDOWN(ROUND(CA105,6),0)&amp;"%"&amp;IF(CQ105="",""," / "&amp;CQ105&amp;"%"),IF(AND(N(BZ105)&gt;=99.95,CQ105&lt;&gt;"",N(CQ105)&lt;100),"Pend. "&amp;CQ105&amp;"%",""))))</f>
        <v/>
      </c>
      <c r="AU105" s="40" t="str">
        <f aca="false">IF(OR(OR(NOT(AND(ISNUMBER(E105),ISNUMBER(F105))),$J$2=""),9&gt;MAX(1,Reprogramaciones!$U$15)),"",IF(Reprogramaciones!S$12&gt;=7,"",IF(OR(CB105-N(CA105)&gt;0.05,N(Y105)&gt;0),ROUNDDOWN(ROUND(CB105,6),0)&amp;"%"&amp;IF(CR105="",""," / "&amp;CR105&amp;"%"),IF(AND(N(CA105)&gt;=99.95,CR105&lt;&gt;"",N(CR105)&lt;100),"Pend. "&amp;CR105&amp;"%",""))))</f>
        <v/>
      </c>
      <c r="AV105" s="40" t="str">
        <f aca="false">IF(OR(OR(NOT(AND(ISNUMBER(E105),ISNUMBER(F105))),$J$2=""),10&gt;MAX(1,Reprogramaciones!$U$15)),"",IF(Reprogramaciones!T$12&gt;=7,"",IF(OR(CC105-N(CB105)&gt;0.05,N(Z105)&gt;0),ROUNDDOWN(ROUND(CC105,6),0)&amp;"%"&amp;IF(CS105="",""," / "&amp;CS105&amp;"%"),IF(AND(N(CB105)&gt;=99.95,CS105&lt;&gt;"",N(CS105)&lt;100),"Pend. "&amp;CS105&amp;"%",""))))</f>
        <v/>
      </c>
      <c r="AW105" s="40" t="str">
        <f aca="false">IF(OR(OR(NOT(AND(ISNUMBER(E105),ISNUMBER(F105))),$J$2=""),11&gt;MAX(1,Reprogramaciones!$U$15)),"",IF(Reprogramaciones!U$12&gt;=7,"",IF(OR(CD105-N(CC105)&gt;0.05,N(AA105)&gt;0),ROUNDDOWN(ROUND(CD105,6),0)&amp;"%"&amp;IF(CT105="",""," / "&amp;CT105&amp;"%"),IF(AND(N(CC105)&gt;=99.95,CT105&lt;&gt;"",N(CT105)&lt;100),"Pend. "&amp;CT105&amp;"%",""))))</f>
        <v/>
      </c>
      <c r="AX105" s="40" t="str">
        <f aca="false">IF(OR(OR(NOT(AND(ISNUMBER(E105),ISNUMBER(F105))),$J$2=""),12&gt;MAX(1,Reprogramaciones!$U$15)),"",IF(Reprogramaciones!V$12&gt;=7,"",IF(OR(CE105-N(CD105)&gt;0.05,N(AB105)&gt;0),ROUNDDOWN(ROUND(CE105,6),0)&amp;"%"&amp;IF(CU105="",""," / "&amp;CU105&amp;"%"),IF(AND(N(CD105)&gt;=99.95,CU105&lt;&gt;"",N(CU105)&lt;100),"Pend. "&amp;CU105&amp;"%",""))))</f>
        <v/>
      </c>
      <c r="AY105" s="40" t="str">
        <f aca="false">IF(OR(OR(NOT(AND(ISNUMBER(E105),ISNUMBER(F105))),$J$2=""),13&gt;MAX(1,Reprogramaciones!$U$15)),"",IF(Reprogramaciones!W$12&gt;=7,"",IF(OR(CF105-N(CE105)&gt;0.05,N(AC105)&gt;0),ROUNDDOWN(ROUND(CF105,6),0)&amp;"%"&amp;IF(CV105="",""," / "&amp;CV105&amp;"%"),IF(AND(N(CE105)&gt;=99.95,CV105&lt;&gt;"",N(CV105)&lt;100),"Pend. "&amp;CV105&amp;"%",""))))</f>
        <v/>
      </c>
      <c r="AZ105" s="40" t="str">
        <f aca="false">IF(OR(OR(NOT(AND(ISNUMBER(E105),ISNUMBER(F105))),$J$2=""),14&gt;MAX(1,Reprogramaciones!$U$15)),"",IF(Reprogramaciones!X$12&gt;=7,"",IF(OR(CG105-N(CF105)&gt;0.05,N(AD105)&gt;0),ROUNDDOWN(ROUND(CG105,6),0)&amp;"%"&amp;IF(CW105="",""," / "&amp;CW105&amp;"%"),IF(AND(N(CF105)&gt;=99.95,CW105&lt;&gt;"",N(CW105)&lt;100),"Pend. "&amp;CW105&amp;"%",""))))</f>
        <v/>
      </c>
      <c r="BA105" s="40" t="str">
        <f aca="false">IF(OR(OR(NOT(AND(ISNUMBER(E105),ISNUMBER(F105))),$J$2=""),15&gt;MAX(1,Reprogramaciones!$U$15)),"",IF(Reprogramaciones!Y$12&gt;=7,"",IF(OR(CH105-N(CG105)&gt;0.05,N(AE105)&gt;0),ROUNDDOWN(ROUND(CH105,6),0)&amp;"%"&amp;IF(CX105="",""," / "&amp;CX105&amp;"%"),IF(AND(N(CG105)&gt;=99.95,CX105&lt;&gt;"",N(CX105)&lt;100),"Pend. "&amp;CX105&amp;"%",""))))</f>
        <v/>
      </c>
      <c r="BB105" s="40" t="str">
        <f aca="false">IF(OR(OR(NOT(AND(ISNUMBER(E105),ISNUMBER(F105))),$J$2=""),16&gt;MAX(1,Reprogramaciones!$U$15)),"",IF(Reprogramaciones!Z$12&gt;=7,"",IF(OR(CI105-N(CH105)&gt;0.05,N(AF105)&gt;0),ROUNDDOWN(ROUND(CI105,6),0)&amp;"%"&amp;IF(CY105="",""," / "&amp;CY105&amp;"%"),IF(AND(N(CH105)&gt;=99.95,CY105&lt;&gt;"",N(CY105)&lt;100),"Pend. "&amp;CY105&amp;"%",""))))</f>
        <v/>
      </c>
      <c r="BC105" s="31" t="n">
        <f aca="false">IF(AND(ISNUMBER(E105),ISNUMBER(F105)),MAX(1,NETWORKDAYS.INTL(E105,F105,11)),0)</f>
        <v>0</v>
      </c>
      <c r="BD105" s="1" t="str">
        <f aca="false">IF(OR(NOT(AND(ISNUMBER(E105),ISNUMBER(F105))),$J$2=""),"",MIN(100,ROUND(SUM($G105:G105),1)))</f>
        <v/>
      </c>
      <c r="BE105" s="1" t="str">
        <f aca="false">IF(OR(NOT(AND(ISNUMBER(E105),ISNUMBER(F105))),$J$2=""),"",MIN(100,ROUND(SUM($G105:H105),1)))</f>
        <v/>
      </c>
      <c r="BF105" s="1" t="str">
        <f aca="false">IF(OR(NOT(AND(ISNUMBER(E105),ISNUMBER(F105))),$J$2=""),"",MIN(100,ROUND(SUM($G105:I105),1)))</f>
        <v/>
      </c>
      <c r="BG105" s="1" t="str">
        <f aca="false">IF(OR(NOT(AND(ISNUMBER(E105),ISNUMBER(F105))),$J$2=""),"",MIN(100,ROUND(SUM($G105:J105),1)))</f>
        <v/>
      </c>
      <c r="BH105" s="1" t="str">
        <f aca="false">IF(OR(NOT(AND(ISNUMBER(E105),ISNUMBER(F105))),$J$2=""),"",MIN(100,ROUND(SUM($G105:K105),1)))</f>
        <v/>
      </c>
      <c r="BI105" s="1" t="str">
        <f aca="false">IF(OR(NOT(AND(ISNUMBER(E105),ISNUMBER(F105))),$J$2=""),"",MIN(100,ROUND(SUM($G105:L105),1)))</f>
        <v/>
      </c>
      <c r="BJ105" s="1" t="str">
        <f aca="false">IF(OR(NOT(AND(ISNUMBER(E105),ISNUMBER(F105))),$J$2=""),"",MIN(100,ROUND(SUM($G105:M105),1)))</f>
        <v/>
      </c>
      <c r="BK105" s="1" t="str">
        <f aca="false">IF(OR(NOT(AND(ISNUMBER(E105),ISNUMBER(F105))),$J$2=""),"",MIN(100,ROUND(SUM($G105:N105),1)))</f>
        <v/>
      </c>
      <c r="BL105" s="1" t="str">
        <f aca="false">IF(OR(NOT(AND(ISNUMBER(E105),ISNUMBER(F105))),$J$2=""),"",MIN(100,ROUND(SUM($G105:O105),1)))</f>
        <v/>
      </c>
      <c r="BM105" s="1" t="str">
        <f aca="false">IF(OR(NOT(AND(ISNUMBER(E105),ISNUMBER(F105))),$J$2=""),"",MIN(100,ROUND(SUM($G105:P105),1)))</f>
        <v/>
      </c>
      <c r="BN105" s="1" t="str">
        <f aca="false">IF(OR(NOT(AND(ISNUMBER(E105),ISNUMBER(F105))),$J$2=""),"",MIN(100,ROUND(SUM($G105:P105),1)))</f>
        <v/>
      </c>
      <c r="BO105" s="1" t="str">
        <f aca="false">IF(OR(NOT(AND(ISNUMBER(E105),ISNUMBER(F105))),$J$2=""),"",MIN(100,ROUND(SUM($G105:P105),1)))</f>
        <v/>
      </c>
      <c r="BP105" s="1" t="str">
        <f aca="false">IF(OR(NOT(AND(ISNUMBER(E105),ISNUMBER(F105))),$J$2=""),"",MIN(100,ROUND(SUM($G105:P105),1)))</f>
        <v/>
      </c>
      <c r="BQ105" s="1" t="str">
        <f aca="false">IF(OR(NOT(AND(ISNUMBER(E105),ISNUMBER(F105))),$J$2=""),"",MIN(100,ROUND(SUM($G105:P105),1)))</f>
        <v/>
      </c>
      <c r="BR105" s="1" t="str">
        <f aca="false">IF(OR(NOT(AND(ISNUMBER(E105),ISNUMBER(F105))),$J$2=""),"",MIN(100,ROUND(SUM($G105:P105),1)))</f>
        <v/>
      </c>
      <c r="BS105" s="1" t="str">
        <f aca="false">IF(OR(NOT(AND(ISNUMBER(E105),ISNUMBER(F105))),$J$2=""),"",MIN(100,ROUND(SUM($G105:P105),1)))</f>
        <v/>
      </c>
      <c r="BT105" s="1" t="str">
        <f aca="false">IF(OR(NOT(AND(ISNUMBER(E105),ISNUMBER(F105))),$J$2=""),"",IF(Reprogramaciones!K$13&lt;Reprogramaciones!$T$15,0,IF(Reprogramaciones!K$14&gt;10,MIN(100,SUM($G105:$P105)),MIN(100,SUMPRODUCT((COLUMN($G105:$P105)-COLUMN($G105)+1&lt;Reprogramaciones!K$14)*$G105:$P105)+N(INDEX($G105:$P105,1,Reprogramaciones!K$14))*IF(Reprogramaciones!K$13&gt;=(Reprogramaciones!$T$15+7*(Reprogramaciones!K$14-1))+6,1,IF(MAX(0,NETWORKDAYS.INTL(MAX(E105,(Reprogramaciones!$T$15+7*(Reprogramaciones!K$14-1))),MIN(F105,(Reprogramaciones!$T$15+7*(Reprogramaciones!K$14-1))+6),11))=0,0,MAX(0,NETWORKDAYS.INTL(MAX(E105,(Reprogramaciones!$T$15+7*(Reprogramaciones!K$14-1))),MIN(F105,Reprogramaciones!K$13),11))/MAX(0,NETWORKDAYS.INTL(MAX(E105,(Reprogramaciones!$T$15+7*(Reprogramaciones!K$14-1))),MIN(F105,(Reprogramaciones!$T$15+7*(Reprogramaciones!K$14-1))+6),11))))))))</f>
        <v/>
      </c>
      <c r="BU105" s="1" t="str">
        <f aca="false">IF(OR(NOT(AND(ISNUMBER(E105),ISNUMBER(F105))),$J$2=""),"",IF(Reprogramaciones!L$13&lt;Reprogramaciones!$T$15,0,IF(Reprogramaciones!L$14&gt;10,MIN(100,SUM($G105:$P105)),MIN(100,SUMPRODUCT((COLUMN($G105:$P105)-COLUMN($G105)+1&lt;Reprogramaciones!L$14)*$G105:$P105)+N(INDEX($G105:$P105,1,Reprogramaciones!L$14))*IF(Reprogramaciones!L$13&gt;=(Reprogramaciones!$T$15+7*(Reprogramaciones!L$14-1))+6,1,IF(MAX(0,NETWORKDAYS.INTL(MAX(E105,(Reprogramaciones!$T$15+7*(Reprogramaciones!L$14-1))),MIN(F105,(Reprogramaciones!$T$15+7*(Reprogramaciones!L$14-1))+6),11))=0,0,MAX(0,NETWORKDAYS.INTL(MAX(E105,(Reprogramaciones!$T$15+7*(Reprogramaciones!L$14-1))),MIN(F105,Reprogramaciones!L$13),11))/MAX(0,NETWORKDAYS.INTL(MAX(E105,(Reprogramaciones!$T$15+7*(Reprogramaciones!L$14-1))),MIN(F105,(Reprogramaciones!$T$15+7*(Reprogramaciones!L$14-1))+6),11))))))))</f>
        <v/>
      </c>
      <c r="BV105" s="1" t="str">
        <f aca="false">IF(OR(NOT(AND(ISNUMBER(E105),ISNUMBER(F105))),$J$2=""),"",IF(Reprogramaciones!M$13&lt;Reprogramaciones!$T$15,0,IF(Reprogramaciones!M$14&gt;10,MIN(100,SUM($G105:$P105)),MIN(100,SUMPRODUCT((COLUMN($G105:$P105)-COLUMN($G105)+1&lt;Reprogramaciones!M$14)*$G105:$P105)+N(INDEX($G105:$P105,1,Reprogramaciones!M$14))*IF(Reprogramaciones!M$13&gt;=(Reprogramaciones!$T$15+7*(Reprogramaciones!M$14-1))+6,1,IF(MAX(0,NETWORKDAYS.INTL(MAX(E105,(Reprogramaciones!$T$15+7*(Reprogramaciones!M$14-1))),MIN(F105,(Reprogramaciones!$T$15+7*(Reprogramaciones!M$14-1))+6),11))=0,0,MAX(0,NETWORKDAYS.INTL(MAX(E105,(Reprogramaciones!$T$15+7*(Reprogramaciones!M$14-1))),MIN(F105,Reprogramaciones!M$13),11))/MAX(0,NETWORKDAYS.INTL(MAX(E105,(Reprogramaciones!$T$15+7*(Reprogramaciones!M$14-1))),MIN(F105,(Reprogramaciones!$T$15+7*(Reprogramaciones!M$14-1))+6),11))))))))</f>
        <v/>
      </c>
      <c r="BW105" s="1" t="str">
        <f aca="false">IF(OR(NOT(AND(ISNUMBER(E105),ISNUMBER(F105))),$J$2=""),"",IF(Reprogramaciones!N$13&lt;Reprogramaciones!$T$15,0,IF(Reprogramaciones!N$14&gt;10,MIN(100,SUM($G105:$P105)),MIN(100,SUMPRODUCT((COLUMN($G105:$P105)-COLUMN($G105)+1&lt;Reprogramaciones!N$14)*$G105:$P105)+N(INDEX($G105:$P105,1,Reprogramaciones!N$14))*IF(Reprogramaciones!N$13&gt;=(Reprogramaciones!$T$15+7*(Reprogramaciones!N$14-1))+6,1,IF(MAX(0,NETWORKDAYS.INTL(MAX(E105,(Reprogramaciones!$T$15+7*(Reprogramaciones!N$14-1))),MIN(F105,(Reprogramaciones!$T$15+7*(Reprogramaciones!N$14-1))+6),11))=0,0,MAX(0,NETWORKDAYS.INTL(MAX(E105,(Reprogramaciones!$T$15+7*(Reprogramaciones!N$14-1))),MIN(F105,Reprogramaciones!N$13),11))/MAX(0,NETWORKDAYS.INTL(MAX(E105,(Reprogramaciones!$T$15+7*(Reprogramaciones!N$14-1))),MIN(F105,(Reprogramaciones!$T$15+7*(Reprogramaciones!N$14-1))+6),11))))))))</f>
        <v/>
      </c>
      <c r="BX105" s="1" t="str">
        <f aca="false">IF(OR(NOT(AND(ISNUMBER(E105),ISNUMBER(F105))),$J$2=""),"",IF(Reprogramaciones!O$13&lt;Reprogramaciones!$T$15,0,IF(Reprogramaciones!O$14&gt;10,MIN(100,SUM($G105:$P105)),MIN(100,SUMPRODUCT((COLUMN($G105:$P105)-COLUMN($G105)+1&lt;Reprogramaciones!O$14)*$G105:$P105)+N(INDEX($G105:$P105,1,Reprogramaciones!O$14))*IF(Reprogramaciones!O$13&gt;=(Reprogramaciones!$T$15+7*(Reprogramaciones!O$14-1))+6,1,IF(MAX(0,NETWORKDAYS.INTL(MAX(E105,(Reprogramaciones!$T$15+7*(Reprogramaciones!O$14-1))),MIN(F105,(Reprogramaciones!$T$15+7*(Reprogramaciones!O$14-1))+6),11))=0,0,MAX(0,NETWORKDAYS.INTL(MAX(E105,(Reprogramaciones!$T$15+7*(Reprogramaciones!O$14-1))),MIN(F105,Reprogramaciones!O$13),11))/MAX(0,NETWORKDAYS.INTL(MAX(E105,(Reprogramaciones!$T$15+7*(Reprogramaciones!O$14-1))),MIN(F105,(Reprogramaciones!$T$15+7*(Reprogramaciones!O$14-1))+6),11))))))))</f>
        <v/>
      </c>
      <c r="BY105" s="1" t="str">
        <f aca="false">IF(OR(NOT(AND(ISNUMBER(E105),ISNUMBER(F105))),$J$2=""),"",IF(Reprogramaciones!P$13&lt;Reprogramaciones!$T$15,0,IF(Reprogramaciones!P$14&gt;10,MIN(100,SUM($G105:$P105)),MIN(100,SUMPRODUCT((COLUMN($G105:$P105)-COLUMN($G105)+1&lt;Reprogramaciones!P$14)*$G105:$P105)+N(INDEX($G105:$P105,1,Reprogramaciones!P$14))*IF(Reprogramaciones!P$13&gt;=(Reprogramaciones!$T$15+7*(Reprogramaciones!P$14-1))+6,1,IF(MAX(0,NETWORKDAYS.INTL(MAX(E105,(Reprogramaciones!$T$15+7*(Reprogramaciones!P$14-1))),MIN(F105,(Reprogramaciones!$T$15+7*(Reprogramaciones!P$14-1))+6),11))=0,0,MAX(0,NETWORKDAYS.INTL(MAX(E105,(Reprogramaciones!$T$15+7*(Reprogramaciones!P$14-1))),MIN(F105,Reprogramaciones!P$13),11))/MAX(0,NETWORKDAYS.INTL(MAX(E105,(Reprogramaciones!$T$15+7*(Reprogramaciones!P$14-1))),MIN(F105,(Reprogramaciones!$T$15+7*(Reprogramaciones!P$14-1))+6),11))))))))</f>
        <v/>
      </c>
      <c r="BZ105" s="1" t="str">
        <f aca="false">IF(OR(NOT(AND(ISNUMBER(E105),ISNUMBER(F105))),$J$2=""),"",IF(Reprogramaciones!Q$13&lt;Reprogramaciones!$T$15,0,IF(Reprogramaciones!Q$14&gt;10,MIN(100,SUM($G105:$P105)),MIN(100,SUMPRODUCT((COLUMN($G105:$P105)-COLUMN($G105)+1&lt;Reprogramaciones!Q$14)*$G105:$P105)+N(INDEX($G105:$P105,1,Reprogramaciones!Q$14))*IF(Reprogramaciones!Q$13&gt;=(Reprogramaciones!$T$15+7*(Reprogramaciones!Q$14-1))+6,1,IF(MAX(0,NETWORKDAYS.INTL(MAX(E105,(Reprogramaciones!$T$15+7*(Reprogramaciones!Q$14-1))),MIN(F105,(Reprogramaciones!$T$15+7*(Reprogramaciones!Q$14-1))+6),11))=0,0,MAX(0,NETWORKDAYS.INTL(MAX(E105,(Reprogramaciones!$T$15+7*(Reprogramaciones!Q$14-1))),MIN(F105,Reprogramaciones!Q$13),11))/MAX(0,NETWORKDAYS.INTL(MAX(E105,(Reprogramaciones!$T$15+7*(Reprogramaciones!Q$14-1))),MIN(F105,(Reprogramaciones!$T$15+7*(Reprogramaciones!Q$14-1))+6),11))))))))</f>
        <v/>
      </c>
      <c r="CA105" s="1" t="str">
        <f aca="false">IF(OR(NOT(AND(ISNUMBER(E105),ISNUMBER(F105))),$J$2=""),"",IF(Reprogramaciones!R$13&lt;Reprogramaciones!$T$15,0,IF(Reprogramaciones!R$14&gt;10,MIN(100,SUM($G105:$P105)),MIN(100,SUMPRODUCT((COLUMN($G105:$P105)-COLUMN($G105)+1&lt;Reprogramaciones!R$14)*$G105:$P105)+N(INDEX($G105:$P105,1,Reprogramaciones!R$14))*IF(Reprogramaciones!R$13&gt;=(Reprogramaciones!$T$15+7*(Reprogramaciones!R$14-1))+6,1,IF(MAX(0,NETWORKDAYS.INTL(MAX(E105,(Reprogramaciones!$T$15+7*(Reprogramaciones!R$14-1))),MIN(F105,(Reprogramaciones!$T$15+7*(Reprogramaciones!R$14-1))+6),11))=0,0,MAX(0,NETWORKDAYS.INTL(MAX(E105,(Reprogramaciones!$T$15+7*(Reprogramaciones!R$14-1))),MIN(F105,Reprogramaciones!R$13),11))/MAX(0,NETWORKDAYS.INTL(MAX(E105,(Reprogramaciones!$T$15+7*(Reprogramaciones!R$14-1))),MIN(F105,(Reprogramaciones!$T$15+7*(Reprogramaciones!R$14-1))+6),11))))))))</f>
        <v/>
      </c>
      <c r="CB105" s="1" t="str">
        <f aca="false">IF(OR(NOT(AND(ISNUMBER(E105),ISNUMBER(F105))),$J$2=""),"",IF(Reprogramaciones!S$13&lt;Reprogramaciones!$T$15,0,IF(Reprogramaciones!S$14&gt;10,MIN(100,SUM($G105:$P105)),MIN(100,SUMPRODUCT((COLUMN($G105:$P105)-COLUMN($G105)+1&lt;Reprogramaciones!S$14)*$G105:$P105)+N(INDEX($G105:$P105,1,Reprogramaciones!S$14))*IF(Reprogramaciones!S$13&gt;=(Reprogramaciones!$T$15+7*(Reprogramaciones!S$14-1))+6,1,IF(MAX(0,NETWORKDAYS.INTL(MAX(E105,(Reprogramaciones!$T$15+7*(Reprogramaciones!S$14-1))),MIN(F105,(Reprogramaciones!$T$15+7*(Reprogramaciones!S$14-1))+6),11))=0,0,MAX(0,NETWORKDAYS.INTL(MAX(E105,(Reprogramaciones!$T$15+7*(Reprogramaciones!S$14-1))),MIN(F105,Reprogramaciones!S$13),11))/MAX(0,NETWORKDAYS.INTL(MAX(E105,(Reprogramaciones!$T$15+7*(Reprogramaciones!S$14-1))),MIN(F105,(Reprogramaciones!$T$15+7*(Reprogramaciones!S$14-1))+6),11))))))))</f>
        <v/>
      </c>
      <c r="CC105" s="1" t="str">
        <f aca="false">IF(OR(NOT(AND(ISNUMBER(E105),ISNUMBER(F105))),$J$2=""),"",IF(Reprogramaciones!T$13&lt;Reprogramaciones!$T$15,0,IF(Reprogramaciones!T$14&gt;10,MIN(100,SUM($G105:$P105)),MIN(100,SUMPRODUCT((COLUMN($G105:$P105)-COLUMN($G105)+1&lt;Reprogramaciones!T$14)*$G105:$P105)+N(INDEX($G105:$P105,1,Reprogramaciones!T$14))*IF(Reprogramaciones!T$13&gt;=(Reprogramaciones!$T$15+7*(Reprogramaciones!T$14-1))+6,1,IF(MAX(0,NETWORKDAYS.INTL(MAX(E105,(Reprogramaciones!$T$15+7*(Reprogramaciones!T$14-1))),MIN(F105,(Reprogramaciones!$T$15+7*(Reprogramaciones!T$14-1))+6),11))=0,0,MAX(0,NETWORKDAYS.INTL(MAX(E105,(Reprogramaciones!$T$15+7*(Reprogramaciones!T$14-1))),MIN(F105,Reprogramaciones!T$13),11))/MAX(0,NETWORKDAYS.INTL(MAX(E105,(Reprogramaciones!$T$15+7*(Reprogramaciones!T$14-1))),MIN(F105,(Reprogramaciones!$T$15+7*(Reprogramaciones!T$14-1))+6),11))))))))</f>
        <v/>
      </c>
      <c r="CD105" s="1" t="str">
        <f aca="false">IF(OR(NOT(AND(ISNUMBER(E105),ISNUMBER(F105))),$J$2=""),"",IF(Reprogramaciones!U$13&lt;Reprogramaciones!$T$15,0,IF(Reprogramaciones!U$14&gt;10,MIN(100,SUM($G105:$P105)),MIN(100,SUMPRODUCT((COLUMN($G105:$P105)-COLUMN($G105)+1&lt;Reprogramaciones!U$14)*$G105:$P105)+N(INDEX($G105:$P105,1,Reprogramaciones!U$14))*IF(Reprogramaciones!U$13&gt;=(Reprogramaciones!$T$15+7*(Reprogramaciones!U$14-1))+6,1,IF(MAX(0,NETWORKDAYS.INTL(MAX(E105,(Reprogramaciones!$T$15+7*(Reprogramaciones!U$14-1))),MIN(F105,(Reprogramaciones!$T$15+7*(Reprogramaciones!U$14-1))+6),11))=0,0,MAX(0,NETWORKDAYS.INTL(MAX(E105,(Reprogramaciones!$T$15+7*(Reprogramaciones!U$14-1))),MIN(F105,Reprogramaciones!U$13),11))/MAX(0,NETWORKDAYS.INTL(MAX(E105,(Reprogramaciones!$T$15+7*(Reprogramaciones!U$14-1))),MIN(F105,(Reprogramaciones!$T$15+7*(Reprogramaciones!U$14-1))+6),11))))))))</f>
        <v/>
      </c>
      <c r="CE105" s="1" t="str">
        <f aca="false">IF(OR(NOT(AND(ISNUMBER(E105),ISNUMBER(F105))),$J$2=""),"",IF(Reprogramaciones!V$13&lt;Reprogramaciones!$T$15,0,IF(Reprogramaciones!V$14&gt;10,MIN(100,SUM($G105:$P105)),MIN(100,SUMPRODUCT((COLUMN($G105:$P105)-COLUMN($G105)+1&lt;Reprogramaciones!V$14)*$G105:$P105)+N(INDEX($G105:$P105,1,Reprogramaciones!V$14))*IF(Reprogramaciones!V$13&gt;=(Reprogramaciones!$T$15+7*(Reprogramaciones!V$14-1))+6,1,IF(MAX(0,NETWORKDAYS.INTL(MAX(E105,(Reprogramaciones!$T$15+7*(Reprogramaciones!V$14-1))),MIN(F105,(Reprogramaciones!$T$15+7*(Reprogramaciones!V$14-1))+6),11))=0,0,MAX(0,NETWORKDAYS.INTL(MAX(E105,(Reprogramaciones!$T$15+7*(Reprogramaciones!V$14-1))),MIN(F105,Reprogramaciones!V$13),11))/MAX(0,NETWORKDAYS.INTL(MAX(E105,(Reprogramaciones!$T$15+7*(Reprogramaciones!V$14-1))),MIN(F105,(Reprogramaciones!$T$15+7*(Reprogramaciones!V$14-1))+6),11))))))))</f>
        <v/>
      </c>
      <c r="CF105" s="1" t="str">
        <f aca="false">IF(OR(NOT(AND(ISNUMBER(E105),ISNUMBER(F105))),$J$2=""),"",IF(Reprogramaciones!W$13&lt;Reprogramaciones!$T$15,0,IF(Reprogramaciones!W$14&gt;10,MIN(100,SUM($G105:$P105)),MIN(100,SUMPRODUCT((COLUMN($G105:$P105)-COLUMN($G105)+1&lt;Reprogramaciones!W$14)*$G105:$P105)+N(INDEX($G105:$P105,1,Reprogramaciones!W$14))*IF(Reprogramaciones!W$13&gt;=(Reprogramaciones!$T$15+7*(Reprogramaciones!W$14-1))+6,1,IF(MAX(0,NETWORKDAYS.INTL(MAX(E105,(Reprogramaciones!$T$15+7*(Reprogramaciones!W$14-1))),MIN(F105,(Reprogramaciones!$T$15+7*(Reprogramaciones!W$14-1))+6),11))=0,0,MAX(0,NETWORKDAYS.INTL(MAX(E105,(Reprogramaciones!$T$15+7*(Reprogramaciones!W$14-1))),MIN(F105,Reprogramaciones!W$13),11))/MAX(0,NETWORKDAYS.INTL(MAX(E105,(Reprogramaciones!$T$15+7*(Reprogramaciones!W$14-1))),MIN(F105,(Reprogramaciones!$T$15+7*(Reprogramaciones!W$14-1))+6),11))))))))</f>
        <v/>
      </c>
      <c r="CG105" s="1" t="str">
        <f aca="false">IF(OR(NOT(AND(ISNUMBER(E105),ISNUMBER(F105))),$J$2=""),"",IF(Reprogramaciones!X$13&lt;Reprogramaciones!$T$15,0,IF(Reprogramaciones!X$14&gt;10,MIN(100,SUM($G105:$P105)),MIN(100,SUMPRODUCT((COLUMN($G105:$P105)-COLUMN($G105)+1&lt;Reprogramaciones!X$14)*$G105:$P105)+N(INDEX($G105:$P105,1,Reprogramaciones!X$14))*IF(Reprogramaciones!X$13&gt;=(Reprogramaciones!$T$15+7*(Reprogramaciones!X$14-1))+6,1,IF(MAX(0,NETWORKDAYS.INTL(MAX(E105,(Reprogramaciones!$T$15+7*(Reprogramaciones!X$14-1))),MIN(F105,(Reprogramaciones!$T$15+7*(Reprogramaciones!X$14-1))+6),11))=0,0,MAX(0,NETWORKDAYS.INTL(MAX(E105,(Reprogramaciones!$T$15+7*(Reprogramaciones!X$14-1))),MIN(F105,Reprogramaciones!X$13),11))/MAX(0,NETWORKDAYS.INTL(MAX(E105,(Reprogramaciones!$T$15+7*(Reprogramaciones!X$14-1))),MIN(F105,(Reprogramaciones!$T$15+7*(Reprogramaciones!X$14-1))+6),11))))))))</f>
        <v/>
      </c>
      <c r="CH105" s="1" t="str">
        <f aca="false">IF(OR(NOT(AND(ISNUMBER(E105),ISNUMBER(F105))),$J$2=""),"",IF(Reprogramaciones!Y$13&lt;Reprogramaciones!$T$15,0,IF(Reprogramaciones!Y$14&gt;10,MIN(100,SUM($G105:$P105)),MIN(100,SUMPRODUCT((COLUMN($G105:$P105)-COLUMN($G105)+1&lt;Reprogramaciones!Y$14)*$G105:$P105)+N(INDEX($G105:$P105,1,Reprogramaciones!Y$14))*IF(Reprogramaciones!Y$13&gt;=(Reprogramaciones!$T$15+7*(Reprogramaciones!Y$14-1))+6,1,IF(MAX(0,NETWORKDAYS.INTL(MAX(E105,(Reprogramaciones!$T$15+7*(Reprogramaciones!Y$14-1))),MIN(F105,(Reprogramaciones!$T$15+7*(Reprogramaciones!Y$14-1))+6),11))=0,0,MAX(0,NETWORKDAYS.INTL(MAX(E105,(Reprogramaciones!$T$15+7*(Reprogramaciones!Y$14-1))),MIN(F105,Reprogramaciones!Y$13),11))/MAX(0,NETWORKDAYS.INTL(MAX(E105,(Reprogramaciones!$T$15+7*(Reprogramaciones!Y$14-1))),MIN(F105,(Reprogramaciones!$T$15+7*(Reprogramaciones!Y$14-1))+6),11))))))))</f>
        <v/>
      </c>
      <c r="CI105" s="1" t="str">
        <f aca="false">IF(OR(NOT(AND(ISNUMBER(E105),ISNUMBER(F105))),$J$2=""),"",IF(Reprogramaciones!Z$13&lt;Reprogramaciones!$T$15,0,IF(Reprogramaciones!Z$14&gt;10,MIN(100,SUM($G105:$P105)),MIN(100,SUMPRODUCT((COLUMN($G105:$P105)-COLUMN($G105)+1&lt;Reprogramaciones!Z$14)*$G105:$P105)+N(INDEX($G105:$P105,1,Reprogramaciones!Z$14))*IF(Reprogramaciones!Z$13&gt;=(Reprogramaciones!$T$15+7*(Reprogramaciones!Z$14-1))+6,1,IF(MAX(0,NETWORKDAYS.INTL(MAX(E105,(Reprogramaciones!$T$15+7*(Reprogramaciones!Z$14-1))),MIN(F105,(Reprogramaciones!$T$15+7*(Reprogramaciones!Z$14-1))+6),11))=0,0,MAX(0,NETWORKDAYS.INTL(MAX(E105,(Reprogramaciones!$T$15+7*(Reprogramaciones!Z$14-1))),MIN(F105,Reprogramaciones!Z$13),11))/MAX(0,NETWORKDAYS.INTL(MAX(E105,(Reprogramaciones!$T$15+7*(Reprogramaciones!Z$14-1))),MIN(F105,(Reprogramaciones!$T$15+7*(Reprogramaciones!Z$14-1))+6),11))))))))</f>
        <v/>
      </c>
      <c r="CJ105" s="1" t="str">
        <f aca="false">IF(OR(OR(NOT(AND(ISNUMBER(E105),ISNUMBER(F105))),$J$2=""),1&gt;Reprogramaciones!$K$16),"",IF(ROUND(SUM($Q105:Q105),1)&gt;=99.5,100,MIN(100,ROUND(SUM($Q105:Q105),1))))</f>
        <v/>
      </c>
      <c r="CK105" s="1" t="str">
        <f aca="false">IF(OR(OR(NOT(AND(ISNUMBER(E105),ISNUMBER(F105))),$J$2=""),2&gt;Reprogramaciones!$K$16),"",IF(ROUND(SUM($Q105:R105),1)&gt;=99.5,100,MIN(100,ROUND(SUM($Q105:R105),1))))</f>
        <v/>
      </c>
      <c r="CL105" s="1" t="str">
        <f aca="false">IF(OR(OR(NOT(AND(ISNUMBER(E105),ISNUMBER(F105))),$J$2=""),3&gt;Reprogramaciones!$K$16),"",IF(ROUND(SUM($Q105:S105),1)&gt;=99.5,100,MIN(100,ROUND(SUM($Q105:S105),1))))</f>
        <v/>
      </c>
      <c r="CM105" s="1" t="str">
        <f aca="false">IF(OR(OR(NOT(AND(ISNUMBER(E105),ISNUMBER(F105))),$J$2=""),4&gt;Reprogramaciones!$K$16),"",IF(ROUND(SUM($Q105:T105),1)&gt;=99.5,100,MIN(100,ROUND(SUM($Q105:T105),1))))</f>
        <v/>
      </c>
      <c r="CN105" s="1" t="str">
        <f aca="false">IF(OR(OR(NOT(AND(ISNUMBER(E105),ISNUMBER(F105))),$J$2=""),5&gt;Reprogramaciones!$K$16),"",IF(ROUND(SUM($Q105:U105),1)&gt;=99.5,100,MIN(100,ROUND(SUM($Q105:U105),1))))</f>
        <v/>
      </c>
      <c r="CO105" s="1" t="str">
        <f aca="false">IF(OR(OR(NOT(AND(ISNUMBER(E105),ISNUMBER(F105))),$J$2=""),6&gt;Reprogramaciones!$K$16),"",IF(ROUND(SUM($Q105:V105),1)&gt;=99.5,100,MIN(100,ROUND(SUM($Q105:V105),1))))</f>
        <v/>
      </c>
      <c r="CP105" s="1" t="str">
        <f aca="false">IF(OR(OR(NOT(AND(ISNUMBER(E105),ISNUMBER(F105))),$J$2=""),7&gt;Reprogramaciones!$K$16),"",IF(ROUND(SUM($Q105:W105),1)&gt;=99.5,100,MIN(100,ROUND(SUM($Q105:W105),1))))</f>
        <v/>
      </c>
      <c r="CQ105" s="1" t="str">
        <f aca="false">IF(OR(OR(NOT(AND(ISNUMBER(E105),ISNUMBER(F105))),$J$2=""),8&gt;Reprogramaciones!$K$16),"",IF(ROUND(SUM($Q105:X105),1)&gt;=99.5,100,MIN(100,ROUND(SUM($Q105:X105),1))))</f>
        <v/>
      </c>
      <c r="CR105" s="1" t="str">
        <f aca="false">IF(OR(OR(NOT(AND(ISNUMBER(E105),ISNUMBER(F105))),$J$2=""),9&gt;Reprogramaciones!$K$16),"",IF(ROUND(SUM($Q105:Y105),1)&gt;=99.5,100,MIN(100,ROUND(SUM($Q105:Y105),1))))</f>
        <v/>
      </c>
      <c r="CS105" s="1" t="str">
        <f aca="false">IF(OR(OR(NOT(AND(ISNUMBER(E105),ISNUMBER(F105))),$J$2=""),10&gt;Reprogramaciones!$K$16),"",IF(ROUND(SUM($Q105:Z105),1)&gt;=99.5,100,MIN(100,ROUND(SUM($Q105:Z105),1))))</f>
        <v/>
      </c>
      <c r="CT105" s="1" t="str">
        <f aca="false">IF(OR(OR(NOT(AND(ISNUMBER(E105),ISNUMBER(F105))),$J$2=""),11&gt;Reprogramaciones!$K$16),"",IF(ROUND(SUM($Q105:AA105),1)&gt;=99.5,100,MIN(100,ROUND(SUM($Q105:AA105),1))))</f>
        <v/>
      </c>
      <c r="CU105" s="1" t="str">
        <f aca="false">IF(OR(OR(NOT(AND(ISNUMBER(E105),ISNUMBER(F105))),$J$2=""),12&gt;Reprogramaciones!$K$16),"",IF(ROUND(SUM($Q105:AB105),1)&gt;=99.5,100,MIN(100,ROUND(SUM($Q105:AB105),1))))</f>
        <v/>
      </c>
      <c r="CV105" s="1" t="str">
        <f aca="false">IF(OR(OR(NOT(AND(ISNUMBER(E105),ISNUMBER(F105))),$J$2=""),13&gt;Reprogramaciones!$K$16),"",IF(ROUND(SUM($Q105:AC105),1)&gt;=99.5,100,MIN(100,ROUND(SUM($Q105:AC105),1))))</f>
        <v/>
      </c>
      <c r="CW105" s="1" t="str">
        <f aca="false">IF(OR(OR(NOT(AND(ISNUMBER(E105),ISNUMBER(F105))),$J$2=""),14&gt;Reprogramaciones!$K$16),"",IF(ROUND(SUM($Q105:AD105),1)&gt;=99.5,100,MIN(100,ROUND(SUM($Q105:AD105),1))))</f>
        <v/>
      </c>
      <c r="CX105" s="1" t="str">
        <f aca="false">IF(OR(OR(NOT(AND(ISNUMBER(E105),ISNUMBER(F105))),$J$2=""),15&gt;Reprogramaciones!$K$16),"",IF(ROUND(SUM($Q105:AE105),1)&gt;=99.5,100,MIN(100,ROUND(SUM($Q105:AE105),1))))</f>
        <v/>
      </c>
      <c r="CY105" s="1" t="str">
        <f aca="false">IF(OR(OR(NOT(AND(ISNUMBER(E105),ISNUMBER(F105))),$J$2=""),16&gt;Reprogramaciones!$K$16),"",IF(ROUND(SUM($Q105:AF105),1)&gt;=99.5,100,MIN(100,ROUND(SUM($Q105:AF105),1))))</f>
        <v/>
      </c>
      <c r="CZ105" s="1" t="str">
        <f aca="false">IF(D105&lt;&gt;"",D105,IF(B105&lt;&gt;"","Contractual",CZ104))</f>
        <v>Contractual</v>
      </c>
      <c r="DA105" s="1" t="str">
        <f aca="false">IF(OR(NOT(AND(ISNUMBER(E105),ISNUMBER(F105))),$J$2=""),"",IF(Reprogramaciones!$Q$15&lt;Reprogramaciones!$T$15,0,IF(Reprogramaciones!$S$15&gt;10,MIN(100,SUM($G105:$P105)),MIN(100,SUMPRODUCT((COLUMN($G105:$P105)-COLUMN($G105)+1&lt;Reprogramaciones!$S$15)*$G105:$P105)+N(INDEX($G105:$P105,1,Reprogramaciones!$S$15))*IF(Reprogramaciones!$Q$15&gt;=(Reprogramaciones!$T$15+7*(Reprogramaciones!$S$15-1))+6,1,IF(MAX(0,NETWORKDAYS.INTL(MAX(E105,(Reprogramaciones!$T$15+7*(Reprogramaciones!$S$15-1))),MIN(F105,(Reprogramaciones!$T$15+7*(Reprogramaciones!$S$15-1))+6),11))=0,0,MAX(0,NETWORKDAYS.INTL(MAX(E105,(Reprogramaciones!$T$15+7*(Reprogramaciones!$S$15-1))),MIN(F105,Reprogramaciones!$Q$15),11))/MAX(0,NETWORKDAYS.INTL(MAX(E105,(Reprogramaciones!$T$15+7*(Reprogramaciones!$S$15-1))),MIN(F105,(Reprogramaciones!$T$15+7*(Reprogramaciones!$S$15-1))+6),11))))))))</f>
        <v/>
      </c>
    </row>
    <row r="106" customFormat="false" ht="15" hidden="false" customHeight="false" outlineLevel="0" collapsed="false">
      <c r="A106" s="32"/>
      <c r="B106" s="33"/>
      <c r="C106" s="33"/>
      <c r="D106" s="34"/>
      <c r="E106" s="35"/>
      <c r="F106" s="35"/>
      <c r="G106" s="36" t="str">
        <f aca="false">IF(OR(NOT(AND(ISNUMBER(E106),ISNUMBER(F106))),$J$2=""),"",IF(Reprogramaciones!K$9&lt;E106,0,IF(NETWORKDAYS.INTL(E106,F106,11)=0,IF(Reprogramaciones!K$9&gt;=F106,100,0),ROUND(NETWORKDAYS.INTL(E106,MIN(F106,Reprogramaciones!K$9),11)/NETWORKDAYS.INTL(E106,F106,11)*100,1)))-0)</f>
        <v/>
      </c>
      <c r="H106" s="36" t="str">
        <f aca="false">IF(OR(NOT(AND(ISNUMBER(E106),ISNUMBER(F106))),$J$2=""),"",IF(Reprogramaciones!L$9&lt;E106,0,IF(NETWORKDAYS.INTL(E106,F106,11)=0,IF(Reprogramaciones!L$9&gt;=F106,100,0),ROUND(NETWORKDAYS.INTL(E106,MIN(F106,Reprogramaciones!L$9),11)/NETWORKDAYS.INTL(E106,F106,11)*100,1)))-IF(Reprogramaciones!K$9&lt;E106,0,IF(NETWORKDAYS.INTL(E106,F106,11)=0,IF(Reprogramaciones!K$9&gt;=F106,100,0),ROUND(NETWORKDAYS.INTL(E106,MIN(F106,Reprogramaciones!K$9),11)/NETWORKDAYS.INTL(E106,F106,11)*100,1))))</f>
        <v/>
      </c>
      <c r="I106" s="36" t="str">
        <f aca="false">IF(OR(NOT(AND(ISNUMBER(E106),ISNUMBER(F106))),$J$2=""),"",IF(Reprogramaciones!M$9&lt;E106,0,IF(NETWORKDAYS.INTL(E106,F106,11)=0,IF(Reprogramaciones!M$9&gt;=F106,100,0),ROUND(NETWORKDAYS.INTL(E106,MIN(F106,Reprogramaciones!M$9),11)/NETWORKDAYS.INTL(E106,F106,11)*100,1)))-IF(Reprogramaciones!L$9&lt;E106,0,IF(NETWORKDAYS.INTL(E106,F106,11)=0,IF(Reprogramaciones!L$9&gt;=F106,100,0),ROUND(NETWORKDAYS.INTL(E106,MIN(F106,Reprogramaciones!L$9),11)/NETWORKDAYS.INTL(E106,F106,11)*100,1))))</f>
        <v/>
      </c>
      <c r="J106" s="36" t="str">
        <f aca="false">IF(OR(NOT(AND(ISNUMBER(E106),ISNUMBER(F106))),$J$2=""),"",IF(Reprogramaciones!N$9&lt;E106,0,IF(NETWORKDAYS.INTL(E106,F106,11)=0,IF(Reprogramaciones!N$9&gt;=F106,100,0),ROUND(NETWORKDAYS.INTL(E106,MIN(F106,Reprogramaciones!N$9),11)/NETWORKDAYS.INTL(E106,F106,11)*100,1)))-IF(Reprogramaciones!M$9&lt;E106,0,IF(NETWORKDAYS.INTL(E106,F106,11)=0,IF(Reprogramaciones!M$9&gt;=F106,100,0),ROUND(NETWORKDAYS.INTL(E106,MIN(F106,Reprogramaciones!M$9),11)/NETWORKDAYS.INTL(E106,F106,11)*100,1))))</f>
        <v/>
      </c>
      <c r="K106" s="36" t="str">
        <f aca="false">IF(OR(NOT(AND(ISNUMBER(E106),ISNUMBER(F106))),$J$2=""),"",IF(Reprogramaciones!O$9&lt;E106,0,IF(NETWORKDAYS.INTL(E106,F106,11)=0,IF(Reprogramaciones!O$9&gt;=F106,100,0),ROUND(NETWORKDAYS.INTL(E106,MIN(F106,Reprogramaciones!O$9),11)/NETWORKDAYS.INTL(E106,F106,11)*100,1)))-IF(Reprogramaciones!N$9&lt;E106,0,IF(NETWORKDAYS.INTL(E106,F106,11)=0,IF(Reprogramaciones!N$9&gt;=F106,100,0),ROUND(NETWORKDAYS.INTL(E106,MIN(F106,Reprogramaciones!N$9),11)/NETWORKDAYS.INTL(E106,F106,11)*100,1))))</f>
        <v/>
      </c>
      <c r="L106" s="36" t="str">
        <f aca="false">IF(OR(NOT(AND(ISNUMBER(E106),ISNUMBER(F106))),$J$2=""),"",IF(Reprogramaciones!P$9&lt;E106,0,IF(NETWORKDAYS.INTL(E106,F106,11)=0,IF(Reprogramaciones!P$9&gt;=F106,100,0),ROUND(NETWORKDAYS.INTL(E106,MIN(F106,Reprogramaciones!P$9),11)/NETWORKDAYS.INTL(E106,F106,11)*100,1)))-IF(Reprogramaciones!O$9&lt;E106,0,IF(NETWORKDAYS.INTL(E106,F106,11)=0,IF(Reprogramaciones!O$9&gt;=F106,100,0),ROUND(NETWORKDAYS.INTL(E106,MIN(F106,Reprogramaciones!O$9),11)/NETWORKDAYS.INTL(E106,F106,11)*100,1))))</f>
        <v/>
      </c>
      <c r="M106" s="36" t="str">
        <f aca="false">IF(OR(NOT(AND(ISNUMBER(E106),ISNUMBER(F106))),$J$2=""),"",IF(Reprogramaciones!Q$9&lt;E106,0,IF(NETWORKDAYS.INTL(E106,F106,11)=0,IF(Reprogramaciones!Q$9&gt;=F106,100,0),ROUND(NETWORKDAYS.INTL(E106,MIN(F106,Reprogramaciones!Q$9),11)/NETWORKDAYS.INTL(E106,F106,11)*100,1)))-IF(Reprogramaciones!P$9&lt;E106,0,IF(NETWORKDAYS.INTL(E106,F106,11)=0,IF(Reprogramaciones!P$9&gt;=F106,100,0),ROUND(NETWORKDAYS.INTL(E106,MIN(F106,Reprogramaciones!P$9),11)/NETWORKDAYS.INTL(E106,F106,11)*100,1))))</f>
        <v/>
      </c>
      <c r="N106" s="36" t="str">
        <f aca="false">IF(OR(NOT(AND(ISNUMBER(E106),ISNUMBER(F106))),$J$2=""),"",IF(Reprogramaciones!R$9&lt;E106,0,IF(NETWORKDAYS.INTL(E106,F106,11)=0,IF(Reprogramaciones!R$9&gt;=F106,100,0),ROUND(NETWORKDAYS.INTL(E106,MIN(F106,Reprogramaciones!R$9),11)/NETWORKDAYS.INTL(E106,F106,11)*100,1)))-IF(Reprogramaciones!Q$9&lt;E106,0,IF(NETWORKDAYS.INTL(E106,F106,11)=0,IF(Reprogramaciones!Q$9&gt;=F106,100,0),ROUND(NETWORKDAYS.INTL(E106,MIN(F106,Reprogramaciones!Q$9),11)/NETWORKDAYS.INTL(E106,F106,11)*100,1))))</f>
        <v/>
      </c>
      <c r="O106" s="36" t="str">
        <f aca="false">IF(OR(NOT(AND(ISNUMBER(E106),ISNUMBER(F106))),$J$2=""),"",IF(Reprogramaciones!S$9&lt;E106,0,IF(NETWORKDAYS.INTL(E106,F106,11)=0,IF(Reprogramaciones!S$9&gt;=F106,100,0),ROUND(NETWORKDAYS.INTL(E106,MIN(F106,Reprogramaciones!S$9),11)/NETWORKDAYS.INTL(E106,F106,11)*100,1)))-IF(Reprogramaciones!R$9&lt;E106,0,IF(NETWORKDAYS.INTL(E106,F106,11)=0,IF(Reprogramaciones!R$9&gt;=F106,100,0),ROUND(NETWORKDAYS.INTL(E106,MIN(F106,Reprogramaciones!R$9),11)/NETWORKDAYS.INTL(E106,F106,11)*100,1))))</f>
        <v/>
      </c>
      <c r="P106" s="36" t="str">
        <f aca="false">IF(OR(NOT(AND(ISNUMBER(E106),ISNUMBER(F106))),$J$2=""),"",IF(Reprogramaciones!T$9&lt;E106,0,IF(NETWORKDAYS.INTL(E106,F106,11)=0,IF(Reprogramaciones!T$9&gt;=F106,100,0),ROUND(NETWORKDAYS.INTL(E106,MIN(F106,Reprogramaciones!T$9),11)/NETWORKDAYS.INTL(E106,F106,11)*100,1)))-IF(Reprogramaciones!S$9&lt;E106,0,IF(NETWORKDAYS.INTL(E106,F106,11)=0,IF(Reprogramaciones!S$9&gt;=F106,100,0),ROUND(NETWORKDAYS.INTL(E106,MIN(F106,Reprogramaciones!S$9),11)/NETWORKDAYS.INTL(E106,F106,11)*100,1))))</f>
        <v/>
      </c>
      <c r="Q106" s="37"/>
      <c r="R106" s="37"/>
      <c r="S106" s="37"/>
      <c r="T106" s="37"/>
      <c r="U106" s="37"/>
      <c r="V106" s="37"/>
      <c r="W106" s="37"/>
      <c r="X106" s="37"/>
      <c r="Y106" s="37"/>
      <c r="Z106" s="37"/>
      <c r="AA106" s="37"/>
      <c r="AB106" s="37"/>
      <c r="AC106" s="37"/>
      <c r="AD106" s="37"/>
      <c r="AE106" s="37"/>
      <c r="AF106" s="37"/>
      <c r="AG106" s="38" t="str">
        <f aca="false">IF(AND(ISNUMBER(E106),ISNUMBER(F106)),NETWORKDAYS.INTL(E106,F106,11),"")</f>
        <v/>
      </c>
      <c r="AH106" s="38" t="str">
        <f aca="false">IF(OR(NOT(AND(ISNUMBER(E106),ISNUMBER(F106))),$J$2=""),"",IF(Reprogramaciones!$P$15&lt;Reprogramaciones!$T$15,0,IF(Reprogramaciones!$R$15&gt;10,MIN(100,SUM($G106:$P106)),MIN(100,SUMPRODUCT((COLUMN($G106:$P106)-COLUMN($G106)+1&lt;Reprogramaciones!$R$15)*$G106:$P106)+N(INDEX($G106:$P106,1,Reprogramaciones!$R$15))*IF(Reprogramaciones!$P$15&gt;=(Reprogramaciones!$T$15+7*(Reprogramaciones!$R$15-1))+6,1,IF(MAX(0,NETWORKDAYS.INTL(MAX(E106,(Reprogramaciones!$T$15+7*(Reprogramaciones!$R$15-1))),MIN(F106,(Reprogramaciones!$T$15+7*(Reprogramaciones!$R$15-1))+6),11))=0,0,MAX(0,NETWORKDAYS.INTL(MAX(E106,(Reprogramaciones!$T$15+7*(Reprogramaciones!$R$15-1))),MIN(F106,Reprogramaciones!$P$15),11))/MAX(0,NETWORKDAYS.INTL(MAX(E106,(Reprogramaciones!$T$15+7*(Reprogramaciones!$R$15-1))),MIN(F106,(Reprogramaciones!$T$15+7*(Reprogramaciones!$R$15-1))+6),11))))))))</f>
        <v/>
      </c>
      <c r="AI106" s="38" t="str">
        <f aca="false">IF(COUNT($Q106:$AF106)=0,"",IF(ROUND(SUM($Q106:$AF106),1)&gt;=99.5,100,MIN(100,ROUND(SUM($Q106:$AF106),1))))</f>
        <v/>
      </c>
      <c r="AJ106" s="38" t="str">
        <f aca="false">IF(OR(AH106="",AI106=""),"",AI106-AH106)</f>
        <v/>
      </c>
      <c r="AK106" s="39" t="str">
        <f aca="true">IF(AH106="","",IF(OR(Ficha!$C$10="Suspendida",Ficha!$C$10="Cancelada"),Ficha!$C$10,IF(AND(AI106&lt;&gt;"",N(AI106)&gt;=100),"Completada",IF(AND(E106&gt;TODAY(),N(AI106)=0),"Por iniciar",IF(N(AI106)+0.5&lt;AH106,"Retrasada",IF(N(AI106)+0.5&lt;DA106,IF(Reprogramaciones!$K$15&gt;0,"Al día · Sem "&amp;Reprogramaciones!$K$15&amp;" en curso","Al día · en curso"),"A tiempo"))))))</f>
        <v/>
      </c>
      <c r="AL106" s="39" t="str">
        <f aca="true">IF(AND(A106="",AND(B106="",C106="",E106="",F106="",COUNT(Q106:AF106)=0)),"",IF(AND(B106="",C106="",E106="",F106="",COUNT(Q106:AF106)=0),"Falta la partida o subpartida",IF(AND(A106&lt;&gt;"",COUNTIF($A$6:$A$305,A106)&gt;1),"Ítem repetido",IF(AND(C106="",E106="",F106="",COUNT(Q106:AF106)=0),"Título de partida",IF(OR(E106="",F106=""),"Faltan fechas",IF(OR(ISTEXT(E106),ISTEXT(F106)),"Fecha escrita como texto: usa dd/mm/aaaa",IF(F106&lt;E106,"Fin antes del inicio",IF(IF($J$2="",FALSE(),OR(E106&lt;$J$2,F106&gt;Reprogramaciones!$T$15+69)),"Fuera de las 10 semanas",IF(ABS(SUM(G106:P106)-100)&gt;0.5,"La meta no suma 100%",IF(ROUND(SUM(Q106:AF106),1)&gt;100.5,"El avance pasa de 100%",IF(MIN(Q106:AF106)&lt;0,"Avance negativo",IF(COUNTA(Q106:AF106)&gt;COUNT(Q106:AF106),"Avance escrito como texto",IF(SUMPRODUCT((Q106:AF106&gt;0)*(Q106:AF106&lt;1))&gt;0,"Avance menor a 1: escribe 50, no 50%",IF(SUMPRODUCT(ISNUMBER(Q106:AF106)*(Reprogramaciones!$K$8:$Z$8&gt;TODAY()))&gt;0,"Avance en semana que aún no llega",IF(AND(N(Reprogramaciones!$E$21)&gt;0,F106&gt;Reprogramaciones!$E$21),"Pasa el fin de la obra: registra una reprogramación",IF(AND(N(Reprogramaciones!$E$21)&gt;0,SUMPRODUCT(ISNUMBER(Q106:AF106)*(Reprogramaciones!$K$8:$Z$8&gt;Reprogramaciones!$E$21))&gt;0),"Avance después del fin de la obra: registra una reprogramación por atraso","OK"))))))))))))))))</f>
        <v/>
      </c>
      <c r="AM106" s="40" t="str">
        <f aca="false">IF(OR(OR(NOT(AND(ISNUMBER(E106),ISNUMBER(F106))),$J$2=""),1&gt;MAX(1,Reprogramaciones!$U$15)),"",IF(Reprogramaciones!K$12&gt;=7,"",IF(OR(BT106-N(0)&gt;0.05,N(Q106)&gt;0),ROUNDDOWN(ROUND(BT106,6),0)&amp;"%"&amp;IF(CJ106="",""," / "&amp;CJ106&amp;"%"),IF(AND(N(0)&gt;=99.95,CJ106&lt;&gt;"",N(CJ106)&lt;100),"Pend. "&amp;CJ106&amp;"%",""))))</f>
        <v/>
      </c>
      <c r="AN106" s="40" t="str">
        <f aca="false">IF(OR(OR(NOT(AND(ISNUMBER(E106),ISNUMBER(F106))),$J$2=""),2&gt;MAX(1,Reprogramaciones!$U$15)),"",IF(Reprogramaciones!L$12&gt;=7,"",IF(OR(BU106-N(BT106)&gt;0.05,N(R106)&gt;0),ROUNDDOWN(ROUND(BU106,6),0)&amp;"%"&amp;IF(CK106="",""," / "&amp;CK106&amp;"%"),IF(AND(N(BT106)&gt;=99.95,CK106&lt;&gt;"",N(CK106)&lt;100),"Pend. "&amp;CK106&amp;"%",""))))</f>
        <v/>
      </c>
      <c r="AO106" s="40" t="str">
        <f aca="false">IF(OR(OR(NOT(AND(ISNUMBER(E106),ISNUMBER(F106))),$J$2=""),3&gt;MAX(1,Reprogramaciones!$U$15)),"",IF(Reprogramaciones!M$12&gt;=7,"",IF(OR(BV106-N(BU106)&gt;0.05,N(S106)&gt;0),ROUNDDOWN(ROUND(BV106,6),0)&amp;"%"&amp;IF(CL106="",""," / "&amp;CL106&amp;"%"),IF(AND(N(BU106)&gt;=99.95,CL106&lt;&gt;"",N(CL106)&lt;100),"Pend. "&amp;CL106&amp;"%",""))))</f>
        <v/>
      </c>
      <c r="AP106" s="40" t="str">
        <f aca="false">IF(OR(OR(NOT(AND(ISNUMBER(E106),ISNUMBER(F106))),$J$2=""),4&gt;MAX(1,Reprogramaciones!$U$15)),"",IF(Reprogramaciones!N$12&gt;=7,"",IF(OR(BW106-N(BV106)&gt;0.05,N(T106)&gt;0),ROUNDDOWN(ROUND(BW106,6),0)&amp;"%"&amp;IF(CM106="",""," / "&amp;CM106&amp;"%"),IF(AND(N(BV106)&gt;=99.95,CM106&lt;&gt;"",N(CM106)&lt;100),"Pend. "&amp;CM106&amp;"%",""))))</f>
        <v/>
      </c>
      <c r="AQ106" s="40" t="str">
        <f aca="false">IF(OR(OR(NOT(AND(ISNUMBER(E106),ISNUMBER(F106))),$J$2=""),5&gt;MAX(1,Reprogramaciones!$U$15)),"",IF(Reprogramaciones!O$12&gt;=7,"",IF(OR(BX106-N(BW106)&gt;0.05,N(U106)&gt;0),ROUNDDOWN(ROUND(BX106,6),0)&amp;"%"&amp;IF(CN106="",""," / "&amp;CN106&amp;"%"),IF(AND(N(BW106)&gt;=99.95,CN106&lt;&gt;"",N(CN106)&lt;100),"Pend. "&amp;CN106&amp;"%",""))))</f>
        <v/>
      </c>
      <c r="AR106" s="40" t="str">
        <f aca="false">IF(OR(OR(NOT(AND(ISNUMBER(E106),ISNUMBER(F106))),$J$2=""),6&gt;MAX(1,Reprogramaciones!$U$15)),"",IF(Reprogramaciones!P$12&gt;=7,"",IF(OR(BY106-N(BX106)&gt;0.05,N(V106)&gt;0),ROUNDDOWN(ROUND(BY106,6),0)&amp;"%"&amp;IF(CO106="",""," / "&amp;CO106&amp;"%"),IF(AND(N(BX106)&gt;=99.95,CO106&lt;&gt;"",N(CO106)&lt;100),"Pend. "&amp;CO106&amp;"%",""))))</f>
        <v/>
      </c>
      <c r="AS106" s="40" t="str">
        <f aca="false">IF(OR(OR(NOT(AND(ISNUMBER(E106),ISNUMBER(F106))),$J$2=""),7&gt;MAX(1,Reprogramaciones!$U$15)),"",IF(Reprogramaciones!Q$12&gt;=7,"",IF(OR(BZ106-N(BY106)&gt;0.05,N(W106)&gt;0),ROUNDDOWN(ROUND(BZ106,6),0)&amp;"%"&amp;IF(CP106="",""," / "&amp;CP106&amp;"%"),IF(AND(N(BY106)&gt;=99.95,CP106&lt;&gt;"",N(CP106)&lt;100),"Pend. "&amp;CP106&amp;"%",""))))</f>
        <v/>
      </c>
      <c r="AT106" s="40" t="str">
        <f aca="false">IF(OR(OR(NOT(AND(ISNUMBER(E106),ISNUMBER(F106))),$J$2=""),8&gt;MAX(1,Reprogramaciones!$U$15)),"",IF(Reprogramaciones!R$12&gt;=7,"",IF(OR(CA106-N(BZ106)&gt;0.05,N(X106)&gt;0),ROUNDDOWN(ROUND(CA106,6),0)&amp;"%"&amp;IF(CQ106="",""," / "&amp;CQ106&amp;"%"),IF(AND(N(BZ106)&gt;=99.95,CQ106&lt;&gt;"",N(CQ106)&lt;100),"Pend. "&amp;CQ106&amp;"%",""))))</f>
        <v/>
      </c>
      <c r="AU106" s="40" t="str">
        <f aca="false">IF(OR(OR(NOT(AND(ISNUMBER(E106),ISNUMBER(F106))),$J$2=""),9&gt;MAX(1,Reprogramaciones!$U$15)),"",IF(Reprogramaciones!S$12&gt;=7,"",IF(OR(CB106-N(CA106)&gt;0.05,N(Y106)&gt;0),ROUNDDOWN(ROUND(CB106,6),0)&amp;"%"&amp;IF(CR106="",""," / "&amp;CR106&amp;"%"),IF(AND(N(CA106)&gt;=99.95,CR106&lt;&gt;"",N(CR106)&lt;100),"Pend. "&amp;CR106&amp;"%",""))))</f>
        <v/>
      </c>
      <c r="AV106" s="40" t="str">
        <f aca="false">IF(OR(OR(NOT(AND(ISNUMBER(E106),ISNUMBER(F106))),$J$2=""),10&gt;MAX(1,Reprogramaciones!$U$15)),"",IF(Reprogramaciones!T$12&gt;=7,"",IF(OR(CC106-N(CB106)&gt;0.05,N(Z106)&gt;0),ROUNDDOWN(ROUND(CC106,6),0)&amp;"%"&amp;IF(CS106="",""," / "&amp;CS106&amp;"%"),IF(AND(N(CB106)&gt;=99.95,CS106&lt;&gt;"",N(CS106)&lt;100),"Pend. "&amp;CS106&amp;"%",""))))</f>
        <v/>
      </c>
      <c r="AW106" s="40" t="str">
        <f aca="false">IF(OR(OR(NOT(AND(ISNUMBER(E106),ISNUMBER(F106))),$J$2=""),11&gt;MAX(1,Reprogramaciones!$U$15)),"",IF(Reprogramaciones!U$12&gt;=7,"",IF(OR(CD106-N(CC106)&gt;0.05,N(AA106)&gt;0),ROUNDDOWN(ROUND(CD106,6),0)&amp;"%"&amp;IF(CT106="",""," / "&amp;CT106&amp;"%"),IF(AND(N(CC106)&gt;=99.95,CT106&lt;&gt;"",N(CT106)&lt;100),"Pend. "&amp;CT106&amp;"%",""))))</f>
        <v/>
      </c>
      <c r="AX106" s="40" t="str">
        <f aca="false">IF(OR(OR(NOT(AND(ISNUMBER(E106),ISNUMBER(F106))),$J$2=""),12&gt;MAX(1,Reprogramaciones!$U$15)),"",IF(Reprogramaciones!V$12&gt;=7,"",IF(OR(CE106-N(CD106)&gt;0.05,N(AB106)&gt;0),ROUNDDOWN(ROUND(CE106,6),0)&amp;"%"&amp;IF(CU106="",""," / "&amp;CU106&amp;"%"),IF(AND(N(CD106)&gt;=99.95,CU106&lt;&gt;"",N(CU106)&lt;100),"Pend. "&amp;CU106&amp;"%",""))))</f>
        <v/>
      </c>
      <c r="AY106" s="40" t="str">
        <f aca="false">IF(OR(OR(NOT(AND(ISNUMBER(E106),ISNUMBER(F106))),$J$2=""),13&gt;MAX(1,Reprogramaciones!$U$15)),"",IF(Reprogramaciones!W$12&gt;=7,"",IF(OR(CF106-N(CE106)&gt;0.05,N(AC106)&gt;0),ROUNDDOWN(ROUND(CF106,6),0)&amp;"%"&amp;IF(CV106="",""," / "&amp;CV106&amp;"%"),IF(AND(N(CE106)&gt;=99.95,CV106&lt;&gt;"",N(CV106)&lt;100),"Pend. "&amp;CV106&amp;"%",""))))</f>
        <v/>
      </c>
      <c r="AZ106" s="40" t="str">
        <f aca="false">IF(OR(OR(NOT(AND(ISNUMBER(E106),ISNUMBER(F106))),$J$2=""),14&gt;MAX(1,Reprogramaciones!$U$15)),"",IF(Reprogramaciones!X$12&gt;=7,"",IF(OR(CG106-N(CF106)&gt;0.05,N(AD106)&gt;0),ROUNDDOWN(ROUND(CG106,6),0)&amp;"%"&amp;IF(CW106="",""," / "&amp;CW106&amp;"%"),IF(AND(N(CF106)&gt;=99.95,CW106&lt;&gt;"",N(CW106)&lt;100),"Pend. "&amp;CW106&amp;"%",""))))</f>
        <v/>
      </c>
      <c r="BA106" s="40" t="str">
        <f aca="false">IF(OR(OR(NOT(AND(ISNUMBER(E106),ISNUMBER(F106))),$J$2=""),15&gt;MAX(1,Reprogramaciones!$U$15)),"",IF(Reprogramaciones!Y$12&gt;=7,"",IF(OR(CH106-N(CG106)&gt;0.05,N(AE106)&gt;0),ROUNDDOWN(ROUND(CH106,6),0)&amp;"%"&amp;IF(CX106="",""," / "&amp;CX106&amp;"%"),IF(AND(N(CG106)&gt;=99.95,CX106&lt;&gt;"",N(CX106)&lt;100),"Pend. "&amp;CX106&amp;"%",""))))</f>
        <v/>
      </c>
      <c r="BB106" s="40" t="str">
        <f aca="false">IF(OR(OR(NOT(AND(ISNUMBER(E106),ISNUMBER(F106))),$J$2=""),16&gt;MAX(1,Reprogramaciones!$U$15)),"",IF(Reprogramaciones!Z$12&gt;=7,"",IF(OR(CI106-N(CH106)&gt;0.05,N(AF106)&gt;0),ROUNDDOWN(ROUND(CI106,6),0)&amp;"%"&amp;IF(CY106="",""," / "&amp;CY106&amp;"%"),IF(AND(N(CH106)&gt;=99.95,CY106&lt;&gt;"",N(CY106)&lt;100),"Pend. "&amp;CY106&amp;"%",""))))</f>
        <v/>
      </c>
      <c r="BC106" s="31" t="n">
        <f aca="false">IF(AND(ISNUMBER(E106),ISNUMBER(F106)),MAX(1,NETWORKDAYS.INTL(E106,F106,11)),0)</f>
        <v>0</v>
      </c>
      <c r="BD106" s="1" t="str">
        <f aca="false">IF(OR(NOT(AND(ISNUMBER(E106),ISNUMBER(F106))),$J$2=""),"",MIN(100,ROUND(SUM($G106:G106),1)))</f>
        <v/>
      </c>
      <c r="BE106" s="1" t="str">
        <f aca="false">IF(OR(NOT(AND(ISNUMBER(E106),ISNUMBER(F106))),$J$2=""),"",MIN(100,ROUND(SUM($G106:H106),1)))</f>
        <v/>
      </c>
      <c r="BF106" s="1" t="str">
        <f aca="false">IF(OR(NOT(AND(ISNUMBER(E106),ISNUMBER(F106))),$J$2=""),"",MIN(100,ROUND(SUM($G106:I106),1)))</f>
        <v/>
      </c>
      <c r="BG106" s="1" t="str">
        <f aca="false">IF(OR(NOT(AND(ISNUMBER(E106),ISNUMBER(F106))),$J$2=""),"",MIN(100,ROUND(SUM($G106:J106),1)))</f>
        <v/>
      </c>
      <c r="BH106" s="1" t="str">
        <f aca="false">IF(OR(NOT(AND(ISNUMBER(E106),ISNUMBER(F106))),$J$2=""),"",MIN(100,ROUND(SUM($G106:K106),1)))</f>
        <v/>
      </c>
      <c r="BI106" s="1" t="str">
        <f aca="false">IF(OR(NOT(AND(ISNUMBER(E106),ISNUMBER(F106))),$J$2=""),"",MIN(100,ROUND(SUM($G106:L106),1)))</f>
        <v/>
      </c>
      <c r="BJ106" s="1" t="str">
        <f aca="false">IF(OR(NOT(AND(ISNUMBER(E106),ISNUMBER(F106))),$J$2=""),"",MIN(100,ROUND(SUM($G106:M106),1)))</f>
        <v/>
      </c>
      <c r="BK106" s="1" t="str">
        <f aca="false">IF(OR(NOT(AND(ISNUMBER(E106),ISNUMBER(F106))),$J$2=""),"",MIN(100,ROUND(SUM($G106:N106),1)))</f>
        <v/>
      </c>
      <c r="BL106" s="1" t="str">
        <f aca="false">IF(OR(NOT(AND(ISNUMBER(E106),ISNUMBER(F106))),$J$2=""),"",MIN(100,ROUND(SUM($G106:O106),1)))</f>
        <v/>
      </c>
      <c r="BM106" s="1" t="str">
        <f aca="false">IF(OR(NOT(AND(ISNUMBER(E106),ISNUMBER(F106))),$J$2=""),"",MIN(100,ROUND(SUM($G106:P106),1)))</f>
        <v/>
      </c>
      <c r="BN106" s="1" t="str">
        <f aca="false">IF(OR(NOT(AND(ISNUMBER(E106),ISNUMBER(F106))),$J$2=""),"",MIN(100,ROUND(SUM($G106:P106),1)))</f>
        <v/>
      </c>
      <c r="BO106" s="1" t="str">
        <f aca="false">IF(OR(NOT(AND(ISNUMBER(E106),ISNUMBER(F106))),$J$2=""),"",MIN(100,ROUND(SUM($G106:P106),1)))</f>
        <v/>
      </c>
      <c r="BP106" s="1" t="str">
        <f aca="false">IF(OR(NOT(AND(ISNUMBER(E106),ISNUMBER(F106))),$J$2=""),"",MIN(100,ROUND(SUM($G106:P106),1)))</f>
        <v/>
      </c>
      <c r="BQ106" s="1" t="str">
        <f aca="false">IF(OR(NOT(AND(ISNUMBER(E106),ISNUMBER(F106))),$J$2=""),"",MIN(100,ROUND(SUM($G106:P106),1)))</f>
        <v/>
      </c>
      <c r="BR106" s="1" t="str">
        <f aca="false">IF(OR(NOT(AND(ISNUMBER(E106),ISNUMBER(F106))),$J$2=""),"",MIN(100,ROUND(SUM($G106:P106),1)))</f>
        <v/>
      </c>
      <c r="BS106" s="1" t="str">
        <f aca="false">IF(OR(NOT(AND(ISNUMBER(E106),ISNUMBER(F106))),$J$2=""),"",MIN(100,ROUND(SUM($G106:P106),1)))</f>
        <v/>
      </c>
      <c r="BT106" s="1" t="str">
        <f aca="false">IF(OR(NOT(AND(ISNUMBER(E106),ISNUMBER(F106))),$J$2=""),"",IF(Reprogramaciones!K$13&lt;Reprogramaciones!$T$15,0,IF(Reprogramaciones!K$14&gt;10,MIN(100,SUM($G106:$P106)),MIN(100,SUMPRODUCT((COLUMN($G106:$P106)-COLUMN($G106)+1&lt;Reprogramaciones!K$14)*$G106:$P106)+N(INDEX($G106:$P106,1,Reprogramaciones!K$14))*IF(Reprogramaciones!K$13&gt;=(Reprogramaciones!$T$15+7*(Reprogramaciones!K$14-1))+6,1,IF(MAX(0,NETWORKDAYS.INTL(MAX(E106,(Reprogramaciones!$T$15+7*(Reprogramaciones!K$14-1))),MIN(F106,(Reprogramaciones!$T$15+7*(Reprogramaciones!K$14-1))+6),11))=0,0,MAX(0,NETWORKDAYS.INTL(MAX(E106,(Reprogramaciones!$T$15+7*(Reprogramaciones!K$14-1))),MIN(F106,Reprogramaciones!K$13),11))/MAX(0,NETWORKDAYS.INTL(MAX(E106,(Reprogramaciones!$T$15+7*(Reprogramaciones!K$14-1))),MIN(F106,(Reprogramaciones!$T$15+7*(Reprogramaciones!K$14-1))+6),11))))))))</f>
        <v/>
      </c>
      <c r="BU106" s="1" t="str">
        <f aca="false">IF(OR(NOT(AND(ISNUMBER(E106),ISNUMBER(F106))),$J$2=""),"",IF(Reprogramaciones!L$13&lt;Reprogramaciones!$T$15,0,IF(Reprogramaciones!L$14&gt;10,MIN(100,SUM($G106:$P106)),MIN(100,SUMPRODUCT((COLUMN($G106:$P106)-COLUMN($G106)+1&lt;Reprogramaciones!L$14)*$G106:$P106)+N(INDEX($G106:$P106,1,Reprogramaciones!L$14))*IF(Reprogramaciones!L$13&gt;=(Reprogramaciones!$T$15+7*(Reprogramaciones!L$14-1))+6,1,IF(MAX(0,NETWORKDAYS.INTL(MAX(E106,(Reprogramaciones!$T$15+7*(Reprogramaciones!L$14-1))),MIN(F106,(Reprogramaciones!$T$15+7*(Reprogramaciones!L$14-1))+6),11))=0,0,MAX(0,NETWORKDAYS.INTL(MAX(E106,(Reprogramaciones!$T$15+7*(Reprogramaciones!L$14-1))),MIN(F106,Reprogramaciones!L$13),11))/MAX(0,NETWORKDAYS.INTL(MAX(E106,(Reprogramaciones!$T$15+7*(Reprogramaciones!L$14-1))),MIN(F106,(Reprogramaciones!$T$15+7*(Reprogramaciones!L$14-1))+6),11))))))))</f>
        <v/>
      </c>
      <c r="BV106" s="1" t="str">
        <f aca="false">IF(OR(NOT(AND(ISNUMBER(E106),ISNUMBER(F106))),$J$2=""),"",IF(Reprogramaciones!M$13&lt;Reprogramaciones!$T$15,0,IF(Reprogramaciones!M$14&gt;10,MIN(100,SUM($G106:$P106)),MIN(100,SUMPRODUCT((COLUMN($G106:$P106)-COLUMN($G106)+1&lt;Reprogramaciones!M$14)*$G106:$P106)+N(INDEX($G106:$P106,1,Reprogramaciones!M$14))*IF(Reprogramaciones!M$13&gt;=(Reprogramaciones!$T$15+7*(Reprogramaciones!M$14-1))+6,1,IF(MAX(0,NETWORKDAYS.INTL(MAX(E106,(Reprogramaciones!$T$15+7*(Reprogramaciones!M$14-1))),MIN(F106,(Reprogramaciones!$T$15+7*(Reprogramaciones!M$14-1))+6),11))=0,0,MAX(0,NETWORKDAYS.INTL(MAX(E106,(Reprogramaciones!$T$15+7*(Reprogramaciones!M$14-1))),MIN(F106,Reprogramaciones!M$13),11))/MAX(0,NETWORKDAYS.INTL(MAX(E106,(Reprogramaciones!$T$15+7*(Reprogramaciones!M$14-1))),MIN(F106,(Reprogramaciones!$T$15+7*(Reprogramaciones!M$14-1))+6),11))))))))</f>
        <v/>
      </c>
      <c r="BW106" s="1" t="str">
        <f aca="false">IF(OR(NOT(AND(ISNUMBER(E106),ISNUMBER(F106))),$J$2=""),"",IF(Reprogramaciones!N$13&lt;Reprogramaciones!$T$15,0,IF(Reprogramaciones!N$14&gt;10,MIN(100,SUM($G106:$P106)),MIN(100,SUMPRODUCT((COLUMN($G106:$P106)-COLUMN($G106)+1&lt;Reprogramaciones!N$14)*$G106:$P106)+N(INDEX($G106:$P106,1,Reprogramaciones!N$14))*IF(Reprogramaciones!N$13&gt;=(Reprogramaciones!$T$15+7*(Reprogramaciones!N$14-1))+6,1,IF(MAX(0,NETWORKDAYS.INTL(MAX(E106,(Reprogramaciones!$T$15+7*(Reprogramaciones!N$14-1))),MIN(F106,(Reprogramaciones!$T$15+7*(Reprogramaciones!N$14-1))+6),11))=0,0,MAX(0,NETWORKDAYS.INTL(MAX(E106,(Reprogramaciones!$T$15+7*(Reprogramaciones!N$14-1))),MIN(F106,Reprogramaciones!N$13),11))/MAX(0,NETWORKDAYS.INTL(MAX(E106,(Reprogramaciones!$T$15+7*(Reprogramaciones!N$14-1))),MIN(F106,(Reprogramaciones!$T$15+7*(Reprogramaciones!N$14-1))+6),11))))))))</f>
        <v/>
      </c>
      <c r="BX106" s="1" t="str">
        <f aca="false">IF(OR(NOT(AND(ISNUMBER(E106),ISNUMBER(F106))),$J$2=""),"",IF(Reprogramaciones!O$13&lt;Reprogramaciones!$T$15,0,IF(Reprogramaciones!O$14&gt;10,MIN(100,SUM($G106:$P106)),MIN(100,SUMPRODUCT((COLUMN($G106:$P106)-COLUMN($G106)+1&lt;Reprogramaciones!O$14)*$G106:$P106)+N(INDEX($G106:$P106,1,Reprogramaciones!O$14))*IF(Reprogramaciones!O$13&gt;=(Reprogramaciones!$T$15+7*(Reprogramaciones!O$14-1))+6,1,IF(MAX(0,NETWORKDAYS.INTL(MAX(E106,(Reprogramaciones!$T$15+7*(Reprogramaciones!O$14-1))),MIN(F106,(Reprogramaciones!$T$15+7*(Reprogramaciones!O$14-1))+6),11))=0,0,MAX(0,NETWORKDAYS.INTL(MAX(E106,(Reprogramaciones!$T$15+7*(Reprogramaciones!O$14-1))),MIN(F106,Reprogramaciones!O$13),11))/MAX(0,NETWORKDAYS.INTL(MAX(E106,(Reprogramaciones!$T$15+7*(Reprogramaciones!O$14-1))),MIN(F106,(Reprogramaciones!$T$15+7*(Reprogramaciones!O$14-1))+6),11))))))))</f>
        <v/>
      </c>
      <c r="BY106" s="1" t="str">
        <f aca="false">IF(OR(NOT(AND(ISNUMBER(E106),ISNUMBER(F106))),$J$2=""),"",IF(Reprogramaciones!P$13&lt;Reprogramaciones!$T$15,0,IF(Reprogramaciones!P$14&gt;10,MIN(100,SUM($G106:$P106)),MIN(100,SUMPRODUCT((COLUMN($G106:$P106)-COLUMN($G106)+1&lt;Reprogramaciones!P$14)*$G106:$P106)+N(INDEX($G106:$P106,1,Reprogramaciones!P$14))*IF(Reprogramaciones!P$13&gt;=(Reprogramaciones!$T$15+7*(Reprogramaciones!P$14-1))+6,1,IF(MAX(0,NETWORKDAYS.INTL(MAX(E106,(Reprogramaciones!$T$15+7*(Reprogramaciones!P$14-1))),MIN(F106,(Reprogramaciones!$T$15+7*(Reprogramaciones!P$14-1))+6),11))=0,0,MAX(0,NETWORKDAYS.INTL(MAX(E106,(Reprogramaciones!$T$15+7*(Reprogramaciones!P$14-1))),MIN(F106,Reprogramaciones!P$13),11))/MAX(0,NETWORKDAYS.INTL(MAX(E106,(Reprogramaciones!$T$15+7*(Reprogramaciones!P$14-1))),MIN(F106,(Reprogramaciones!$T$15+7*(Reprogramaciones!P$14-1))+6),11))))))))</f>
        <v/>
      </c>
      <c r="BZ106" s="1" t="str">
        <f aca="false">IF(OR(NOT(AND(ISNUMBER(E106),ISNUMBER(F106))),$J$2=""),"",IF(Reprogramaciones!Q$13&lt;Reprogramaciones!$T$15,0,IF(Reprogramaciones!Q$14&gt;10,MIN(100,SUM($G106:$P106)),MIN(100,SUMPRODUCT((COLUMN($G106:$P106)-COLUMN($G106)+1&lt;Reprogramaciones!Q$14)*$G106:$P106)+N(INDEX($G106:$P106,1,Reprogramaciones!Q$14))*IF(Reprogramaciones!Q$13&gt;=(Reprogramaciones!$T$15+7*(Reprogramaciones!Q$14-1))+6,1,IF(MAX(0,NETWORKDAYS.INTL(MAX(E106,(Reprogramaciones!$T$15+7*(Reprogramaciones!Q$14-1))),MIN(F106,(Reprogramaciones!$T$15+7*(Reprogramaciones!Q$14-1))+6),11))=0,0,MAX(0,NETWORKDAYS.INTL(MAX(E106,(Reprogramaciones!$T$15+7*(Reprogramaciones!Q$14-1))),MIN(F106,Reprogramaciones!Q$13),11))/MAX(0,NETWORKDAYS.INTL(MAX(E106,(Reprogramaciones!$T$15+7*(Reprogramaciones!Q$14-1))),MIN(F106,(Reprogramaciones!$T$15+7*(Reprogramaciones!Q$14-1))+6),11))))))))</f>
        <v/>
      </c>
      <c r="CA106" s="1" t="str">
        <f aca="false">IF(OR(NOT(AND(ISNUMBER(E106),ISNUMBER(F106))),$J$2=""),"",IF(Reprogramaciones!R$13&lt;Reprogramaciones!$T$15,0,IF(Reprogramaciones!R$14&gt;10,MIN(100,SUM($G106:$P106)),MIN(100,SUMPRODUCT((COLUMN($G106:$P106)-COLUMN($G106)+1&lt;Reprogramaciones!R$14)*$G106:$P106)+N(INDEX($G106:$P106,1,Reprogramaciones!R$14))*IF(Reprogramaciones!R$13&gt;=(Reprogramaciones!$T$15+7*(Reprogramaciones!R$14-1))+6,1,IF(MAX(0,NETWORKDAYS.INTL(MAX(E106,(Reprogramaciones!$T$15+7*(Reprogramaciones!R$14-1))),MIN(F106,(Reprogramaciones!$T$15+7*(Reprogramaciones!R$14-1))+6),11))=0,0,MAX(0,NETWORKDAYS.INTL(MAX(E106,(Reprogramaciones!$T$15+7*(Reprogramaciones!R$14-1))),MIN(F106,Reprogramaciones!R$13),11))/MAX(0,NETWORKDAYS.INTL(MAX(E106,(Reprogramaciones!$T$15+7*(Reprogramaciones!R$14-1))),MIN(F106,(Reprogramaciones!$T$15+7*(Reprogramaciones!R$14-1))+6),11))))))))</f>
        <v/>
      </c>
      <c r="CB106" s="1" t="str">
        <f aca="false">IF(OR(NOT(AND(ISNUMBER(E106),ISNUMBER(F106))),$J$2=""),"",IF(Reprogramaciones!S$13&lt;Reprogramaciones!$T$15,0,IF(Reprogramaciones!S$14&gt;10,MIN(100,SUM($G106:$P106)),MIN(100,SUMPRODUCT((COLUMN($G106:$P106)-COLUMN($G106)+1&lt;Reprogramaciones!S$14)*$G106:$P106)+N(INDEX($G106:$P106,1,Reprogramaciones!S$14))*IF(Reprogramaciones!S$13&gt;=(Reprogramaciones!$T$15+7*(Reprogramaciones!S$14-1))+6,1,IF(MAX(0,NETWORKDAYS.INTL(MAX(E106,(Reprogramaciones!$T$15+7*(Reprogramaciones!S$14-1))),MIN(F106,(Reprogramaciones!$T$15+7*(Reprogramaciones!S$14-1))+6),11))=0,0,MAX(0,NETWORKDAYS.INTL(MAX(E106,(Reprogramaciones!$T$15+7*(Reprogramaciones!S$14-1))),MIN(F106,Reprogramaciones!S$13),11))/MAX(0,NETWORKDAYS.INTL(MAX(E106,(Reprogramaciones!$T$15+7*(Reprogramaciones!S$14-1))),MIN(F106,(Reprogramaciones!$T$15+7*(Reprogramaciones!S$14-1))+6),11))))))))</f>
        <v/>
      </c>
      <c r="CC106" s="1" t="str">
        <f aca="false">IF(OR(NOT(AND(ISNUMBER(E106),ISNUMBER(F106))),$J$2=""),"",IF(Reprogramaciones!T$13&lt;Reprogramaciones!$T$15,0,IF(Reprogramaciones!T$14&gt;10,MIN(100,SUM($G106:$P106)),MIN(100,SUMPRODUCT((COLUMN($G106:$P106)-COLUMN($G106)+1&lt;Reprogramaciones!T$14)*$G106:$P106)+N(INDEX($G106:$P106,1,Reprogramaciones!T$14))*IF(Reprogramaciones!T$13&gt;=(Reprogramaciones!$T$15+7*(Reprogramaciones!T$14-1))+6,1,IF(MAX(0,NETWORKDAYS.INTL(MAX(E106,(Reprogramaciones!$T$15+7*(Reprogramaciones!T$14-1))),MIN(F106,(Reprogramaciones!$T$15+7*(Reprogramaciones!T$14-1))+6),11))=0,0,MAX(0,NETWORKDAYS.INTL(MAX(E106,(Reprogramaciones!$T$15+7*(Reprogramaciones!T$14-1))),MIN(F106,Reprogramaciones!T$13),11))/MAX(0,NETWORKDAYS.INTL(MAX(E106,(Reprogramaciones!$T$15+7*(Reprogramaciones!T$14-1))),MIN(F106,(Reprogramaciones!$T$15+7*(Reprogramaciones!T$14-1))+6),11))))))))</f>
        <v/>
      </c>
      <c r="CD106" s="1" t="str">
        <f aca="false">IF(OR(NOT(AND(ISNUMBER(E106),ISNUMBER(F106))),$J$2=""),"",IF(Reprogramaciones!U$13&lt;Reprogramaciones!$T$15,0,IF(Reprogramaciones!U$14&gt;10,MIN(100,SUM($G106:$P106)),MIN(100,SUMPRODUCT((COLUMN($G106:$P106)-COLUMN($G106)+1&lt;Reprogramaciones!U$14)*$G106:$P106)+N(INDEX($G106:$P106,1,Reprogramaciones!U$14))*IF(Reprogramaciones!U$13&gt;=(Reprogramaciones!$T$15+7*(Reprogramaciones!U$14-1))+6,1,IF(MAX(0,NETWORKDAYS.INTL(MAX(E106,(Reprogramaciones!$T$15+7*(Reprogramaciones!U$14-1))),MIN(F106,(Reprogramaciones!$T$15+7*(Reprogramaciones!U$14-1))+6),11))=0,0,MAX(0,NETWORKDAYS.INTL(MAX(E106,(Reprogramaciones!$T$15+7*(Reprogramaciones!U$14-1))),MIN(F106,Reprogramaciones!U$13),11))/MAX(0,NETWORKDAYS.INTL(MAX(E106,(Reprogramaciones!$T$15+7*(Reprogramaciones!U$14-1))),MIN(F106,(Reprogramaciones!$T$15+7*(Reprogramaciones!U$14-1))+6),11))))))))</f>
        <v/>
      </c>
      <c r="CE106" s="1" t="str">
        <f aca="false">IF(OR(NOT(AND(ISNUMBER(E106),ISNUMBER(F106))),$J$2=""),"",IF(Reprogramaciones!V$13&lt;Reprogramaciones!$T$15,0,IF(Reprogramaciones!V$14&gt;10,MIN(100,SUM($G106:$P106)),MIN(100,SUMPRODUCT((COLUMN($G106:$P106)-COLUMN($G106)+1&lt;Reprogramaciones!V$14)*$G106:$P106)+N(INDEX($G106:$P106,1,Reprogramaciones!V$14))*IF(Reprogramaciones!V$13&gt;=(Reprogramaciones!$T$15+7*(Reprogramaciones!V$14-1))+6,1,IF(MAX(0,NETWORKDAYS.INTL(MAX(E106,(Reprogramaciones!$T$15+7*(Reprogramaciones!V$14-1))),MIN(F106,(Reprogramaciones!$T$15+7*(Reprogramaciones!V$14-1))+6),11))=0,0,MAX(0,NETWORKDAYS.INTL(MAX(E106,(Reprogramaciones!$T$15+7*(Reprogramaciones!V$14-1))),MIN(F106,Reprogramaciones!V$13),11))/MAX(0,NETWORKDAYS.INTL(MAX(E106,(Reprogramaciones!$T$15+7*(Reprogramaciones!V$14-1))),MIN(F106,(Reprogramaciones!$T$15+7*(Reprogramaciones!V$14-1))+6),11))))))))</f>
        <v/>
      </c>
      <c r="CF106" s="1" t="str">
        <f aca="false">IF(OR(NOT(AND(ISNUMBER(E106),ISNUMBER(F106))),$J$2=""),"",IF(Reprogramaciones!W$13&lt;Reprogramaciones!$T$15,0,IF(Reprogramaciones!W$14&gt;10,MIN(100,SUM($G106:$P106)),MIN(100,SUMPRODUCT((COLUMN($G106:$P106)-COLUMN($G106)+1&lt;Reprogramaciones!W$14)*$G106:$P106)+N(INDEX($G106:$P106,1,Reprogramaciones!W$14))*IF(Reprogramaciones!W$13&gt;=(Reprogramaciones!$T$15+7*(Reprogramaciones!W$14-1))+6,1,IF(MAX(0,NETWORKDAYS.INTL(MAX(E106,(Reprogramaciones!$T$15+7*(Reprogramaciones!W$14-1))),MIN(F106,(Reprogramaciones!$T$15+7*(Reprogramaciones!W$14-1))+6),11))=0,0,MAX(0,NETWORKDAYS.INTL(MAX(E106,(Reprogramaciones!$T$15+7*(Reprogramaciones!W$14-1))),MIN(F106,Reprogramaciones!W$13),11))/MAX(0,NETWORKDAYS.INTL(MAX(E106,(Reprogramaciones!$T$15+7*(Reprogramaciones!W$14-1))),MIN(F106,(Reprogramaciones!$T$15+7*(Reprogramaciones!W$14-1))+6),11))))))))</f>
        <v/>
      </c>
      <c r="CG106" s="1" t="str">
        <f aca="false">IF(OR(NOT(AND(ISNUMBER(E106),ISNUMBER(F106))),$J$2=""),"",IF(Reprogramaciones!X$13&lt;Reprogramaciones!$T$15,0,IF(Reprogramaciones!X$14&gt;10,MIN(100,SUM($G106:$P106)),MIN(100,SUMPRODUCT((COLUMN($G106:$P106)-COLUMN($G106)+1&lt;Reprogramaciones!X$14)*$G106:$P106)+N(INDEX($G106:$P106,1,Reprogramaciones!X$14))*IF(Reprogramaciones!X$13&gt;=(Reprogramaciones!$T$15+7*(Reprogramaciones!X$14-1))+6,1,IF(MAX(0,NETWORKDAYS.INTL(MAX(E106,(Reprogramaciones!$T$15+7*(Reprogramaciones!X$14-1))),MIN(F106,(Reprogramaciones!$T$15+7*(Reprogramaciones!X$14-1))+6),11))=0,0,MAX(0,NETWORKDAYS.INTL(MAX(E106,(Reprogramaciones!$T$15+7*(Reprogramaciones!X$14-1))),MIN(F106,Reprogramaciones!X$13),11))/MAX(0,NETWORKDAYS.INTL(MAX(E106,(Reprogramaciones!$T$15+7*(Reprogramaciones!X$14-1))),MIN(F106,(Reprogramaciones!$T$15+7*(Reprogramaciones!X$14-1))+6),11))))))))</f>
        <v/>
      </c>
      <c r="CH106" s="1" t="str">
        <f aca="false">IF(OR(NOT(AND(ISNUMBER(E106),ISNUMBER(F106))),$J$2=""),"",IF(Reprogramaciones!Y$13&lt;Reprogramaciones!$T$15,0,IF(Reprogramaciones!Y$14&gt;10,MIN(100,SUM($G106:$P106)),MIN(100,SUMPRODUCT((COLUMN($G106:$P106)-COLUMN($G106)+1&lt;Reprogramaciones!Y$14)*$G106:$P106)+N(INDEX($G106:$P106,1,Reprogramaciones!Y$14))*IF(Reprogramaciones!Y$13&gt;=(Reprogramaciones!$T$15+7*(Reprogramaciones!Y$14-1))+6,1,IF(MAX(0,NETWORKDAYS.INTL(MAX(E106,(Reprogramaciones!$T$15+7*(Reprogramaciones!Y$14-1))),MIN(F106,(Reprogramaciones!$T$15+7*(Reprogramaciones!Y$14-1))+6),11))=0,0,MAX(0,NETWORKDAYS.INTL(MAX(E106,(Reprogramaciones!$T$15+7*(Reprogramaciones!Y$14-1))),MIN(F106,Reprogramaciones!Y$13),11))/MAX(0,NETWORKDAYS.INTL(MAX(E106,(Reprogramaciones!$T$15+7*(Reprogramaciones!Y$14-1))),MIN(F106,(Reprogramaciones!$T$15+7*(Reprogramaciones!Y$14-1))+6),11))))))))</f>
        <v/>
      </c>
      <c r="CI106" s="1" t="str">
        <f aca="false">IF(OR(NOT(AND(ISNUMBER(E106),ISNUMBER(F106))),$J$2=""),"",IF(Reprogramaciones!Z$13&lt;Reprogramaciones!$T$15,0,IF(Reprogramaciones!Z$14&gt;10,MIN(100,SUM($G106:$P106)),MIN(100,SUMPRODUCT((COLUMN($G106:$P106)-COLUMN($G106)+1&lt;Reprogramaciones!Z$14)*$G106:$P106)+N(INDEX($G106:$P106,1,Reprogramaciones!Z$14))*IF(Reprogramaciones!Z$13&gt;=(Reprogramaciones!$T$15+7*(Reprogramaciones!Z$14-1))+6,1,IF(MAX(0,NETWORKDAYS.INTL(MAX(E106,(Reprogramaciones!$T$15+7*(Reprogramaciones!Z$14-1))),MIN(F106,(Reprogramaciones!$T$15+7*(Reprogramaciones!Z$14-1))+6),11))=0,0,MAX(0,NETWORKDAYS.INTL(MAX(E106,(Reprogramaciones!$T$15+7*(Reprogramaciones!Z$14-1))),MIN(F106,Reprogramaciones!Z$13),11))/MAX(0,NETWORKDAYS.INTL(MAX(E106,(Reprogramaciones!$T$15+7*(Reprogramaciones!Z$14-1))),MIN(F106,(Reprogramaciones!$T$15+7*(Reprogramaciones!Z$14-1))+6),11))))))))</f>
        <v/>
      </c>
      <c r="CJ106" s="1" t="str">
        <f aca="false">IF(OR(OR(NOT(AND(ISNUMBER(E106),ISNUMBER(F106))),$J$2=""),1&gt;Reprogramaciones!$K$16),"",IF(ROUND(SUM($Q106:Q106),1)&gt;=99.5,100,MIN(100,ROUND(SUM($Q106:Q106),1))))</f>
        <v/>
      </c>
      <c r="CK106" s="1" t="str">
        <f aca="false">IF(OR(OR(NOT(AND(ISNUMBER(E106),ISNUMBER(F106))),$J$2=""),2&gt;Reprogramaciones!$K$16),"",IF(ROUND(SUM($Q106:R106),1)&gt;=99.5,100,MIN(100,ROUND(SUM($Q106:R106),1))))</f>
        <v/>
      </c>
      <c r="CL106" s="1" t="str">
        <f aca="false">IF(OR(OR(NOT(AND(ISNUMBER(E106),ISNUMBER(F106))),$J$2=""),3&gt;Reprogramaciones!$K$16),"",IF(ROUND(SUM($Q106:S106),1)&gt;=99.5,100,MIN(100,ROUND(SUM($Q106:S106),1))))</f>
        <v/>
      </c>
      <c r="CM106" s="1" t="str">
        <f aca="false">IF(OR(OR(NOT(AND(ISNUMBER(E106),ISNUMBER(F106))),$J$2=""),4&gt;Reprogramaciones!$K$16),"",IF(ROUND(SUM($Q106:T106),1)&gt;=99.5,100,MIN(100,ROUND(SUM($Q106:T106),1))))</f>
        <v/>
      </c>
      <c r="CN106" s="1" t="str">
        <f aca="false">IF(OR(OR(NOT(AND(ISNUMBER(E106),ISNUMBER(F106))),$J$2=""),5&gt;Reprogramaciones!$K$16),"",IF(ROUND(SUM($Q106:U106),1)&gt;=99.5,100,MIN(100,ROUND(SUM($Q106:U106),1))))</f>
        <v/>
      </c>
      <c r="CO106" s="1" t="str">
        <f aca="false">IF(OR(OR(NOT(AND(ISNUMBER(E106),ISNUMBER(F106))),$J$2=""),6&gt;Reprogramaciones!$K$16),"",IF(ROUND(SUM($Q106:V106),1)&gt;=99.5,100,MIN(100,ROUND(SUM($Q106:V106),1))))</f>
        <v/>
      </c>
      <c r="CP106" s="1" t="str">
        <f aca="false">IF(OR(OR(NOT(AND(ISNUMBER(E106),ISNUMBER(F106))),$J$2=""),7&gt;Reprogramaciones!$K$16),"",IF(ROUND(SUM($Q106:W106),1)&gt;=99.5,100,MIN(100,ROUND(SUM($Q106:W106),1))))</f>
        <v/>
      </c>
      <c r="CQ106" s="1" t="str">
        <f aca="false">IF(OR(OR(NOT(AND(ISNUMBER(E106),ISNUMBER(F106))),$J$2=""),8&gt;Reprogramaciones!$K$16),"",IF(ROUND(SUM($Q106:X106),1)&gt;=99.5,100,MIN(100,ROUND(SUM($Q106:X106),1))))</f>
        <v/>
      </c>
      <c r="CR106" s="1" t="str">
        <f aca="false">IF(OR(OR(NOT(AND(ISNUMBER(E106),ISNUMBER(F106))),$J$2=""),9&gt;Reprogramaciones!$K$16),"",IF(ROUND(SUM($Q106:Y106),1)&gt;=99.5,100,MIN(100,ROUND(SUM($Q106:Y106),1))))</f>
        <v/>
      </c>
      <c r="CS106" s="1" t="str">
        <f aca="false">IF(OR(OR(NOT(AND(ISNUMBER(E106),ISNUMBER(F106))),$J$2=""),10&gt;Reprogramaciones!$K$16),"",IF(ROUND(SUM($Q106:Z106),1)&gt;=99.5,100,MIN(100,ROUND(SUM($Q106:Z106),1))))</f>
        <v/>
      </c>
      <c r="CT106" s="1" t="str">
        <f aca="false">IF(OR(OR(NOT(AND(ISNUMBER(E106),ISNUMBER(F106))),$J$2=""),11&gt;Reprogramaciones!$K$16),"",IF(ROUND(SUM($Q106:AA106),1)&gt;=99.5,100,MIN(100,ROUND(SUM($Q106:AA106),1))))</f>
        <v/>
      </c>
      <c r="CU106" s="1" t="str">
        <f aca="false">IF(OR(OR(NOT(AND(ISNUMBER(E106),ISNUMBER(F106))),$J$2=""),12&gt;Reprogramaciones!$K$16),"",IF(ROUND(SUM($Q106:AB106),1)&gt;=99.5,100,MIN(100,ROUND(SUM($Q106:AB106),1))))</f>
        <v/>
      </c>
      <c r="CV106" s="1" t="str">
        <f aca="false">IF(OR(OR(NOT(AND(ISNUMBER(E106),ISNUMBER(F106))),$J$2=""),13&gt;Reprogramaciones!$K$16),"",IF(ROUND(SUM($Q106:AC106),1)&gt;=99.5,100,MIN(100,ROUND(SUM($Q106:AC106),1))))</f>
        <v/>
      </c>
      <c r="CW106" s="1" t="str">
        <f aca="false">IF(OR(OR(NOT(AND(ISNUMBER(E106),ISNUMBER(F106))),$J$2=""),14&gt;Reprogramaciones!$K$16),"",IF(ROUND(SUM($Q106:AD106),1)&gt;=99.5,100,MIN(100,ROUND(SUM($Q106:AD106),1))))</f>
        <v/>
      </c>
      <c r="CX106" s="1" t="str">
        <f aca="false">IF(OR(OR(NOT(AND(ISNUMBER(E106),ISNUMBER(F106))),$J$2=""),15&gt;Reprogramaciones!$K$16),"",IF(ROUND(SUM($Q106:AE106),1)&gt;=99.5,100,MIN(100,ROUND(SUM($Q106:AE106),1))))</f>
        <v/>
      </c>
      <c r="CY106" s="1" t="str">
        <f aca="false">IF(OR(OR(NOT(AND(ISNUMBER(E106),ISNUMBER(F106))),$J$2=""),16&gt;Reprogramaciones!$K$16),"",IF(ROUND(SUM($Q106:AF106),1)&gt;=99.5,100,MIN(100,ROUND(SUM($Q106:AF106),1))))</f>
        <v/>
      </c>
      <c r="CZ106" s="1" t="str">
        <f aca="false">IF(D106&lt;&gt;"",D106,IF(B106&lt;&gt;"","Contractual",CZ105))</f>
        <v>Contractual</v>
      </c>
      <c r="DA106" s="1" t="str">
        <f aca="false">IF(OR(NOT(AND(ISNUMBER(E106),ISNUMBER(F106))),$J$2=""),"",IF(Reprogramaciones!$Q$15&lt;Reprogramaciones!$T$15,0,IF(Reprogramaciones!$S$15&gt;10,MIN(100,SUM($G106:$P106)),MIN(100,SUMPRODUCT((COLUMN($G106:$P106)-COLUMN($G106)+1&lt;Reprogramaciones!$S$15)*$G106:$P106)+N(INDEX($G106:$P106,1,Reprogramaciones!$S$15))*IF(Reprogramaciones!$Q$15&gt;=(Reprogramaciones!$T$15+7*(Reprogramaciones!$S$15-1))+6,1,IF(MAX(0,NETWORKDAYS.INTL(MAX(E106,(Reprogramaciones!$T$15+7*(Reprogramaciones!$S$15-1))),MIN(F106,(Reprogramaciones!$T$15+7*(Reprogramaciones!$S$15-1))+6),11))=0,0,MAX(0,NETWORKDAYS.INTL(MAX(E106,(Reprogramaciones!$T$15+7*(Reprogramaciones!$S$15-1))),MIN(F106,Reprogramaciones!$Q$15),11))/MAX(0,NETWORKDAYS.INTL(MAX(E106,(Reprogramaciones!$T$15+7*(Reprogramaciones!$S$15-1))),MIN(F106,(Reprogramaciones!$T$15+7*(Reprogramaciones!$S$15-1))+6),11))))))))</f>
        <v/>
      </c>
    </row>
    <row r="107" customFormat="false" ht="15" hidden="false" customHeight="false" outlineLevel="0" collapsed="false">
      <c r="A107" s="32"/>
      <c r="B107" s="33"/>
      <c r="C107" s="33"/>
      <c r="D107" s="34"/>
      <c r="E107" s="35"/>
      <c r="F107" s="35"/>
      <c r="G107" s="36" t="str">
        <f aca="false">IF(OR(NOT(AND(ISNUMBER(E107),ISNUMBER(F107))),$J$2=""),"",IF(Reprogramaciones!K$9&lt;E107,0,IF(NETWORKDAYS.INTL(E107,F107,11)=0,IF(Reprogramaciones!K$9&gt;=F107,100,0),ROUND(NETWORKDAYS.INTL(E107,MIN(F107,Reprogramaciones!K$9),11)/NETWORKDAYS.INTL(E107,F107,11)*100,1)))-0)</f>
        <v/>
      </c>
      <c r="H107" s="36" t="str">
        <f aca="false">IF(OR(NOT(AND(ISNUMBER(E107),ISNUMBER(F107))),$J$2=""),"",IF(Reprogramaciones!L$9&lt;E107,0,IF(NETWORKDAYS.INTL(E107,F107,11)=0,IF(Reprogramaciones!L$9&gt;=F107,100,0),ROUND(NETWORKDAYS.INTL(E107,MIN(F107,Reprogramaciones!L$9),11)/NETWORKDAYS.INTL(E107,F107,11)*100,1)))-IF(Reprogramaciones!K$9&lt;E107,0,IF(NETWORKDAYS.INTL(E107,F107,11)=0,IF(Reprogramaciones!K$9&gt;=F107,100,0),ROUND(NETWORKDAYS.INTL(E107,MIN(F107,Reprogramaciones!K$9),11)/NETWORKDAYS.INTL(E107,F107,11)*100,1))))</f>
        <v/>
      </c>
      <c r="I107" s="36" t="str">
        <f aca="false">IF(OR(NOT(AND(ISNUMBER(E107),ISNUMBER(F107))),$J$2=""),"",IF(Reprogramaciones!M$9&lt;E107,0,IF(NETWORKDAYS.INTL(E107,F107,11)=0,IF(Reprogramaciones!M$9&gt;=F107,100,0),ROUND(NETWORKDAYS.INTL(E107,MIN(F107,Reprogramaciones!M$9),11)/NETWORKDAYS.INTL(E107,F107,11)*100,1)))-IF(Reprogramaciones!L$9&lt;E107,0,IF(NETWORKDAYS.INTL(E107,F107,11)=0,IF(Reprogramaciones!L$9&gt;=F107,100,0),ROUND(NETWORKDAYS.INTL(E107,MIN(F107,Reprogramaciones!L$9),11)/NETWORKDAYS.INTL(E107,F107,11)*100,1))))</f>
        <v/>
      </c>
      <c r="J107" s="36" t="str">
        <f aca="false">IF(OR(NOT(AND(ISNUMBER(E107),ISNUMBER(F107))),$J$2=""),"",IF(Reprogramaciones!N$9&lt;E107,0,IF(NETWORKDAYS.INTL(E107,F107,11)=0,IF(Reprogramaciones!N$9&gt;=F107,100,0),ROUND(NETWORKDAYS.INTL(E107,MIN(F107,Reprogramaciones!N$9),11)/NETWORKDAYS.INTL(E107,F107,11)*100,1)))-IF(Reprogramaciones!M$9&lt;E107,0,IF(NETWORKDAYS.INTL(E107,F107,11)=0,IF(Reprogramaciones!M$9&gt;=F107,100,0),ROUND(NETWORKDAYS.INTL(E107,MIN(F107,Reprogramaciones!M$9),11)/NETWORKDAYS.INTL(E107,F107,11)*100,1))))</f>
        <v/>
      </c>
      <c r="K107" s="36" t="str">
        <f aca="false">IF(OR(NOT(AND(ISNUMBER(E107),ISNUMBER(F107))),$J$2=""),"",IF(Reprogramaciones!O$9&lt;E107,0,IF(NETWORKDAYS.INTL(E107,F107,11)=0,IF(Reprogramaciones!O$9&gt;=F107,100,0),ROUND(NETWORKDAYS.INTL(E107,MIN(F107,Reprogramaciones!O$9),11)/NETWORKDAYS.INTL(E107,F107,11)*100,1)))-IF(Reprogramaciones!N$9&lt;E107,0,IF(NETWORKDAYS.INTL(E107,F107,11)=0,IF(Reprogramaciones!N$9&gt;=F107,100,0),ROUND(NETWORKDAYS.INTL(E107,MIN(F107,Reprogramaciones!N$9),11)/NETWORKDAYS.INTL(E107,F107,11)*100,1))))</f>
        <v/>
      </c>
      <c r="L107" s="36" t="str">
        <f aca="false">IF(OR(NOT(AND(ISNUMBER(E107),ISNUMBER(F107))),$J$2=""),"",IF(Reprogramaciones!P$9&lt;E107,0,IF(NETWORKDAYS.INTL(E107,F107,11)=0,IF(Reprogramaciones!P$9&gt;=F107,100,0),ROUND(NETWORKDAYS.INTL(E107,MIN(F107,Reprogramaciones!P$9),11)/NETWORKDAYS.INTL(E107,F107,11)*100,1)))-IF(Reprogramaciones!O$9&lt;E107,0,IF(NETWORKDAYS.INTL(E107,F107,11)=0,IF(Reprogramaciones!O$9&gt;=F107,100,0),ROUND(NETWORKDAYS.INTL(E107,MIN(F107,Reprogramaciones!O$9),11)/NETWORKDAYS.INTL(E107,F107,11)*100,1))))</f>
        <v/>
      </c>
      <c r="M107" s="36" t="str">
        <f aca="false">IF(OR(NOT(AND(ISNUMBER(E107),ISNUMBER(F107))),$J$2=""),"",IF(Reprogramaciones!Q$9&lt;E107,0,IF(NETWORKDAYS.INTL(E107,F107,11)=0,IF(Reprogramaciones!Q$9&gt;=F107,100,0),ROUND(NETWORKDAYS.INTL(E107,MIN(F107,Reprogramaciones!Q$9),11)/NETWORKDAYS.INTL(E107,F107,11)*100,1)))-IF(Reprogramaciones!P$9&lt;E107,0,IF(NETWORKDAYS.INTL(E107,F107,11)=0,IF(Reprogramaciones!P$9&gt;=F107,100,0),ROUND(NETWORKDAYS.INTL(E107,MIN(F107,Reprogramaciones!P$9),11)/NETWORKDAYS.INTL(E107,F107,11)*100,1))))</f>
        <v/>
      </c>
      <c r="N107" s="36" t="str">
        <f aca="false">IF(OR(NOT(AND(ISNUMBER(E107),ISNUMBER(F107))),$J$2=""),"",IF(Reprogramaciones!R$9&lt;E107,0,IF(NETWORKDAYS.INTL(E107,F107,11)=0,IF(Reprogramaciones!R$9&gt;=F107,100,0),ROUND(NETWORKDAYS.INTL(E107,MIN(F107,Reprogramaciones!R$9),11)/NETWORKDAYS.INTL(E107,F107,11)*100,1)))-IF(Reprogramaciones!Q$9&lt;E107,0,IF(NETWORKDAYS.INTL(E107,F107,11)=0,IF(Reprogramaciones!Q$9&gt;=F107,100,0),ROUND(NETWORKDAYS.INTL(E107,MIN(F107,Reprogramaciones!Q$9),11)/NETWORKDAYS.INTL(E107,F107,11)*100,1))))</f>
        <v/>
      </c>
      <c r="O107" s="36" t="str">
        <f aca="false">IF(OR(NOT(AND(ISNUMBER(E107),ISNUMBER(F107))),$J$2=""),"",IF(Reprogramaciones!S$9&lt;E107,0,IF(NETWORKDAYS.INTL(E107,F107,11)=0,IF(Reprogramaciones!S$9&gt;=F107,100,0),ROUND(NETWORKDAYS.INTL(E107,MIN(F107,Reprogramaciones!S$9),11)/NETWORKDAYS.INTL(E107,F107,11)*100,1)))-IF(Reprogramaciones!R$9&lt;E107,0,IF(NETWORKDAYS.INTL(E107,F107,11)=0,IF(Reprogramaciones!R$9&gt;=F107,100,0),ROUND(NETWORKDAYS.INTL(E107,MIN(F107,Reprogramaciones!R$9),11)/NETWORKDAYS.INTL(E107,F107,11)*100,1))))</f>
        <v/>
      </c>
      <c r="P107" s="36" t="str">
        <f aca="false">IF(OR(NOT(AND(ISNUMBER(E107),ISNUMBER(F107))),$J$2=""),"",IF(Reprogramaciones!T$9&lt;E107,0,IF(NETWORKDAYS.INTL(E107,F107,11)=0,IF(Reprogramaciones!T$9&gt;=F107,100,0),ROUND(NETWORKDAYS.INTL(E107,MIN(F107,Reprogramaciones!T$9),11)/NETWORKDAYS.INTL(E107,F107,11)*100,1)))-IF(Reprogramaciones!S$9&lt;E107,0,IF(NETWORKDAYS.INTL(E107,F107,11)=0,IF(Reprogramaciones!S$9&gt;=F107,100,0),ROUND(NETWORKDAYS.INTL(E107,MIN(F107,Reprogramaciones!S$9),11)/NETWORKDAYS.INTL(E107,F107,11)*100,1))))</f>
        <v/>
      </c>
      <c r="Q107" s="37"/>
      <c r="R107" s="37"/>
      <c r="S107" s="37"/>
      <c r="T107" s="37"/>
      <c r="U107" s="37"/>
      <c r="V107" s="37"/>
      <c r="W107" s="37"/>
      <c r="X107" s="37"/>
      <c r="Y107" s="37"/>
      <c r="Z107" s="37"/>
      <c r="AA107" s="37"/>
      <c r="AB107" s="37"/>
      <c r="AC107" s="37"/>
      <c r="AD107" s="37"/>
      <c r="AE107" s="37"/>
      <c r="AF107" s="37"/>
      <c r="AG107" s="38" t="str">
        <f aca="false">IF(AND(ISNUMBER(E107),ISNUMBER(F107)),NETWORKDAYS.INTL(E107,F107,11),"")</f>
        <v/>
      </c>
      <c r="AH107" s="38" t="str">
        <f aca="false">IF(OR(NOT(AND(ISNUMBER(E107),ISNUMBER(F107))),$J$2=""),"",IF(Reprogramaciones!$P$15&lt;Reprogramaciones!$T$15,0,IF(Reprogramaciones!$R$15&gt;10,MIN(100,SUM($G107:$P107)),MIN(100,SUMPRODUCT((COLUMN($G107:$P107)-COLUMN($G107)+1&lt;Reprogramaciones!$R$15)*$G107:$P107)+N(INDEX($G107:$P107,1,Reprogramaciones!$R$15))*IF(Reprogramaciones!$P$15&gt;=(Reprogramaciones!$T$15+7*(Reprogramaciones!$R$15-1))+6,1,IF(MAX(0,NETWORKDAYS.INTL(MAX(E107,(Reprogramaciones!$T$15+7*(Reprogramaciones!$R$15-1))),MIN(F107,(Reprogramaciones!$T$15+7*(Reprogramaciones!$R$15-1))+6),11))=0,0,MAX(0,NETWORKDAYS.INTL(MAX(E107,(Reprogramaciones!$T$15+7*(Reprogramaciones!$R$15-1))),MIN(F107,Reprogramaciones!$P$15),11))/MAX(0,NETWORKDAYS.INTL(MAX(E107,(Reprogramaciones!$T$15+7*(Reprogramaciones!$R$15-1))),MIN(F107,(Reprogramaciones!$T$15+7*(Reprogramaciones!$R$15-1))+6),11))))))))</f>
        <v/>
      </c>
      <c r="AI107" s="38" t="str">
        <f aca="false">IF(COUNT($Q107:$AF107)=0,"",IF(ROUND(SUM($Q107:$AF107),1)&gt;=99.5,100,MIN(100,ROUND(SUM($Q107:$AF107),1))))</f>
        <v/>
      </c>
      <c r="AJ107" s="38" t="str">
        <f aca="false">IF(OR(AH107="",AI107=""),"",AI107-AH107)</f>
        <v/>
      </c>
      <c r="AK107" s="39" t="str">
        <f aca="true">IF(AH107="","",IF(OR(Ficha!$C$10="Suspendida",Ficha!$C$10="Cancelada"),Ficha!$C$10,IF(AND(AI107&lt;&gt;"",N(AI107)&gt;=100),"Completada",IF(AND(E107&gt;TODAY(),N(AI107)=0),"Por iniciar",IF(N(AI107)+0.5&lt;AH107,"Retrasada",IF(N(AI107)+0.5&lt;DA107,IF(Reprogramaciones!$K$15&gt;0,"Al día · Sem "&amp;Reprogramaciones!$K$15&amp;" en curso","Al día · en curso"),"A tiempo"))))))</f>
        <v/>
      </c>
      <c r="AL107" s="39" t="str">
        <f aca="true">IF(AND(A107="",AND(B107="",C107="",E107="",F107="",COUNT(Q107:AF107)=0)),"",IF(AND(B107="",C107="",E107="",F107="",COUNT(Q107:AF107)=0),"Falta la partida o subpartida",IF(AND(A107&lt;&gt;"",COUNTIF($A$6:$A$305,A107)&gt;1),"Ítem repetido",IF(AND(C107="",E107="",F107="",COUNT(Q107:AF107)=0),"Título de partida",IF(OR(E107="",F107=""),"Faltan fechas",IF(OR(ISTEXT(E107),ISTEXT(F107)),"Fecha escrita como texto: usa dd/mm/aaaa",IF(F107&lt;E107,"Fin antes del inicio",IF(IF($J$2="",FALSE(),OR(E107&lt;$J$2,F107&gt;Reprogramaciones!$T$15+69)),"Fuera de las 10 semanas",IF(ABS(SUM(G107:P107)-100)&gt;0.5,"La meta no suma 100%",IF(ROUND(SUM(Q107:AF107),1)&gt;100.5,"El avance pasa de 100%",IF(MIN(Q107:AF107)&lt;0,"Avance negativo",IF(COUNTA(Q107:AF107)&gt;COUNT(Q107:AF107),"Avance escrito como texto",IF(SUMPRODUCT((Q107:AF107&gt;0)*(Q107:AF107&lt;1))&gt;0,"Avance menor a 1: escribe 50, no 50%",IF(SUMPRODUCT(ISNUMBER(Q107:AF107)*(Reprogramaciones!$K$8:$Z$8&gt;TODAY()))&gt;0,"Avance en semana que aún no llega",IF(AND(N(Reprogramaciones!$E$21)&gt;0,F107&gt;Reprogramaciones!$E$21),"Pasa el fin de la obra: registra una reprogramación",IF(AND(N(Reprogramaciones!$E$21)&gt;0,SUMPRODUCT(ISNUMBER(Q107:AF107)*(Reprogramaciones!$K$8:$Z$8&gt;Reprogramaciones!$E$21))&gt;0),"Avance después del fin de la obra: registra una reprogramación por atraso","OK"))))))))))))))))</f>
        <v/>
      </c>
      <c r="AM107" s="40" t="str">
        <f aca="false">IF(OR(OR(NOT(AND(ISNUMBER(E107),ISNUMBER(F107))),$J$2=""),1&gt;MAX(1,Reprogramaciones!$U$15)),"",IF(Reprogramaciones!K$12&gt;=7,"",IF(OR(BT107-N(0)&gt;0.05,N(Q107)&gt;0),ROUNDDOWN(ROUND(BT107,6),0)&amp;"%"&amp;IF(CJ107="",""," / "&amp;CJ107&amp;"%"),IF(AND(N(0)&gt;=99.95,CJ107&lt;&gt;"",N(CJ107)&lt;100),"Pend. "&amp;CJ107&amp;"%",""))))</f>
        <v/>
      </c>
      <c r="AN107" s="40" t="str">
        <f aca="false">IF(OR(OR(NOT(AND(ISNUMBER(E107),ISNUMBER(F107))),$J$2=""),2&gt;MAX(1,Reprogramaciones!$U$15)),"",IF(Reprogramaciones!L$12&gt;=7,"",IF(OR(BU107-N(BT107)&gt;0.05,N(R107)&gt;0),ROUNDDOWN(ROUND(BU107,6),0)&amp;"%"&amp;IF(CK107="",""," / "&amp;CK107&amp;"%"),IF(AND(N(BT107)&gt;=99.95,CK107&lt;&gt;"",N(CK107)&lt;100),"Pend. "&amp;CK107&amp;"%",""))))</f>
        <v/>
      </c>
      <c r="AO107" s="40" t="str">
        <f aca="false">IF(OR(OR(NOT(AND(ISNUMBER(E107),ISNUMBER(F107))),$J$2=""),3&gt;MAX(1,Reprogramaciones!$U$15)),"",IF(Reprogramaciones!M$12&gt;=7,"",IF(OR(BV107-N(BU107)&gt;0.05,N(S107)&gt;0),ROUNDDOWN(ROUND(BV107,6),0)&amp;"%"&amp;IF(CL107="",""," / "&amp;CL107&amp;"%"),IF(AND(N(BU107)&gt;=99.95,CL107&lt;&gt;"",N(CL107)&lt;100),"Pend. "&amp;CL107&amp;"%",""))))</f>
        <v/>
      </c>
      <c r="AP107" s="40" t="str">
        <f aca="false">IF(OR(OR(NOT(AND(ISNUMBER(E107),ISNUMBER(F107))),$J$2=""),4&gt;MAX(1,Reprogramaciones!$U$15)),"",IF(Reprogramaciones!N$12&gt;=7,"",IF(OR(BW107-N(BV107)&gt;0.05,N(T107)&gt;0),ROUNDDOWN(ROUND(BW107,6),0)&amp;"%"&amp;IF(CM107="",""," / "&amp;CM107&amp;"%"),IF(AND(N(BV107)&gt;=99.95,CM107&lt;&gt;"",N(CM107)&lt;100),"Pend. "&amp;CM107&amp;"%",""))))</f>
        <v/>
      </c>
      <c r="AQ107" s="40" t="str">
        <f aca="false">IF(OR(OR(NOT(AND(ISNUMBER(E107),ISNUMBER(F107))),$J$2=""),5&gt;MAX(1,Reprogramaciones!$U$15)),"",IF(Reprogramaciones!O$12&gt;=7,"",IF(OR(BX107-N(BW107)&gt;0.05,N(U107)&gt;0),ROUNDDOWN(ROUND(BX107,6),0)&amp;"%"&amp;IF(CN107="",""," / "&amp;CN107&amp;"%"),IF(AND(N(BW107)&gt;=99.95,CN107&lt;&gt;"",N(CN107)&lt;100),"Pend. "&amp;CN107&amp;"%",""))))</f>
        <v/>
      </c>
      <c r="AR107" s="40" t="str">
        <f aca="false">IF(OR(OR(NOT(AND(ISNUMBER(E107),ISNUMBER(F107))),$J$2=""),6&gt;MAX(1,Reprogramaciones!$U$15)),"",IF(Reprogramaciones!P$12&gt;=7,"",IF(OR(BY107-N(BX107)&gt;0.05,N(V107)&gt;0),ROUNDDOWN(ROUND(BY107,6),0)&amp;"%"&amp;IF(CO107="",""," / "&amp;CO107&amp;"%"),IF(AND(N(BX107)&gt;=99.95,CO107&lt;&gt;"",N(CO107)&lt;100),"Pend. "&amp;CO107&amp;"%",""))))</f>
        <v/>
      </c>
      <c r="AS107" s="40" t="str">
        <f aca="false">IF(OR(OR(NOT(AND(ISNUMBER(E107),ISNUMBER(F107))),$J$2=""),7&gt;MAX(1,Reprogramaciones!$U$15)),"",IF(Reprogramaciones!Q$12&gt;=7,"",IF(OR(BZ107-N(BY107)&gt;0.05,N(W107)&gt;0),ROUNDDOWN(ROUND(BZ107,6),0)&amp;"%"&amp;IF(CP107="",""," / "&amp;CP107&amp;"%"),IF(AND(N(BY107)&gt;=99.95,CP107&lt;&gt;"",N(CP107)&lt;100),"Pend. "&amp;CP107&amp;"%",""))))</f>
        <v/>
      </c>
      <c r="AT107" s="40" t="str">
        <f aca="false">IF(OR(OR(NOT(AND(ISNUMBER(E107),ISNUMBER(F107))),$J$2=""),8&gt;MAX(1,Reprogramaciones!$U$15)),"",IF(Reprogramaciones!R$12&gt;=7,"",IF(OR(CA107-N(BZ107)&gt;0.05,N(X107)&gt;0),ROUNDDOWN(ROUND(CA107,6),0)&amp;"%"&amp;IF(CQ107="",""," / "&amp;CQ107&amp;"%"),IF(AND(N(BZ107)&gt;=99.95,CQ107&lt;&gt;"",N(CQ107)&lt;100),"Pend. "&amp;CQ107&amp;"%",""))))</f>
        <v/>
      </c>
      <c r="AU107" s="40" t="str">
        <f aca="false">IF(OR(OR(NOT(AND(ISNUMBER(E107),ISNUMBER(F107))),$J$2=""),9&gt;MAX(1,Reprogramaciones!$U$15)),"",IF(Reprogramaciones!S$12&gt;=7,"",IF(OR(CB107-N(CA107)&gt;0.05,N(Y107)&gt;0),ROUNDDOWN(ROUND(CB107,6),0)&amp;"%"&amp;IF(CR107="",""," / "&amp;CR107&amp;"%"),IF(AND(N(CA107)&gt;=99.95,CR107&lt;&gt;"",N(CR107)&lt;100),"Pend. "&amp;CR107&amp;"%",""))))</f>
        <v/>
      </c>
      <c r="AV107" s="40" t="str">
        <f aca="false">IF(OR(OR(NOT(AND(ISNUMBER(E107),ISNUMBER(F107))),$J$2=""),10&gt;MAX(1,Reprogramaciones!$U$15)),"",IF(Reprogramaciones!T$12&gt;=7,"",IF(OR(CC107-N(CB107)&gt;0.05,N(Z107)&gt;0),ROUNDDOWN(ROUND(CC107,6),0)&amp;"%"&amp;IF(CS107="",""," / "&amp;CS107&amp;"%"),IF(AND(N(CB107)&gt;=99.95,CS107&lt;&gt;"",N(CS107)&lt;100),"Pend. "&amp;CS107&amp;"%",""))))</f>
        <v/>
      </c>
      <c r="AW107" s="40" t="str">
        <f aca="false">IF(OR(OR(NOT(AND(ISNUMBER(E107),ISNUMBER(F107))),$J$2=""),11&gt;MAX(1,Reprogramaciones!$U$15)),"",IF(Reprogramaciones!U$12&gt;=7,"",IF(OR(CD107-N(CC107)&gt;0.05,N(AA107)&gt;0),ROUNDDOWN(ROUND(CD107,6),0)&amp;"%"&amp;IF(CT107="",""," / "&amp;CT107&amp;"%"),IF(AND(N(CC107)&gt;=99.95,CT107&lt;&gt;"",N(CT107)&lt;100),"Pend. "&amp;CT107&amp;"%",""))))</f>
        <v/>
      </c>
      <c r="AX107" s="40" t="str">
        <f aca="false">IF(OR(OR(NOT(AND(ISNUMBER(E107),ISNUMBER(F107))),$J$2=""),12&gt;MAX(1,Reprogramaciones!$U$15)),"",IF(Reprogramaciones!V$12&gt;=7,"",IF(OR(CE107-N(CD107)&gt;0.05,N(AB107)&gt;0),ROUNDDOWN(ROUND(CE107,6),0)&amp;"%"&amp;IF(CU107="",""," / "&amp;CU107&amp;"%"),IF(AND(N(CD107)&gt;=99.95,CU107&lt;&gt;"",N(CU107)&lt;100),"Pend. "&amp;CU107&amp;"%",""))))</f>
        <v/>
      </c>
      <c r="AY107" s="40" t="str">
        <f aca="false">IF(OR(OR(NOT(AND(ISNUMBER(E107),ISNUMBER(F107))),$J$2=""),13&gt;MAX(1,Reprogramaciones!$U$15)),"",IF(Reprogramaciones!W$12&gt;=7,"",IF(OR(CF107-N(CE107)&gt;0.05,N(AC107)&gt;0),ROUNDDOWN(ROUND(CF107,6),0)&amp;"%"&amp;IF(CV107="",""," / "&amp;CV107&amp;"%"),IF(AND(N(CE107)&gt;=99.95,CV107&lt;&gt;"",N(CV107)&lt;100),"Pend. "&amp;CV107&amp;"%",""))))</f>
        <v/>
      </c>
      <c r="AZ107" s="40" t="str">
        <f aca="false">IF(OR(OR(NOT(AND(ISNUMBER(E107),ISNUMBER(F107))),$J$2=""),14&gt;MAX(1,Reprogramaciones!$U$15)),"",IF(Reprogramaciones!X$12&gt;=7,"",IF(OR(CG107-N(CF107)&gt;0.05,N(AD107)&gt;0),ROUNDDOWN(ROUND(CG107,6),0)&amp;"%"&amp;IF(CW107="",""," / "&amp;CW107&amp;"%"),IF(AND(N(CF107)&gt;=99.95,CW107&lt;&gt;"",N(CW107)&lt;100),"Pend. "&amp;CW107&amp;"%",""))))</f>
        <v/>
      </c>
      <c r="BA107" s="40" t="str">
        <f aca="false">IF(OR(OR(NOT(AND(ISNUMBER(E107),ISNUMBER(F107))),$J$2=""),15&gt;MAX(1,Reprogramaciones!$U$15)),"",IF(Reprogramaciones!Y$12&gt;=7,"",IF(OR(CH107-N(CG107)&gt;0.05,N(AE107)&gt;0),ROUNDDOWN(ROUND(CH107,6),0)&amp;"%"&amp;IF(CX107="",""," / "&amp;CX107&amp;"%"),IF(AND(N(CG107)&gt;=99.95,CX107&lt;&gt;"",N(CX107)&lt;100),"Pend. "&amp;CX107&amp;"%",""))))</f>
        <v/>
      </c>
      <c r="BB107" s="40" t="str">
        <f aca="false">IF(OR(OR(NOT(AND(ISNUMBER(E107),ISNUMBER(F107))),$J$2=""),16&gt;MAX(1,Reprogramaciones!$U$15)),"",IF(Reprogramaciones!Z$12&gt;=7,"",IF(OR(CI107-N(CH107)&gt;0.05,N(AF107)&gt;0),ROUNDDOWN(ROUND(CI107,6),0)&amp;"%"&amp;IF(CY107="",""," / "&amp;CY107&amp;"%"),IF(AND(N(CH107)&gt;=99.95,CY107&lt;&gt;"",N(CY107)&lt;100),"Pend. "&amp;CY107&amp;"%",""))))</f>
        <v/>
      </c>
      <c r="BC107" s="31" t="n">
        <f aca="false">IF(AND(ISNUMBER(E107),ISNUMBER(F107)),MAX(1,NETWORKDAYS.INTL(E107,F107,11)),0)</f>
        <v>0</v>
      </c>
      <c r="BD107" s="1" t="str">
        <f aca="false">IF(OR(NOT(AND(ISNUMBER(E107),ISNUMBER(F107))),$J$2=""),"",MIN(100,ROUND(SUM($G107:G107),1)))</f>
        <v/>
      </c>
      <c r="BE107" s="1" t="str">
        <f aca="false">IF(OR(NOT(AND(ISNUMBER(E107),ISNUMBER(F107))),$J$2=""),"",MIN(100,ROUND(SUM($G107:H107),1)))</f>
        <v/>
      </c>
      <c r="BF107" s="1" t="str">
        <f aca="false">IF(OR(NOT(AND(ISNUMBER(E107),ISNUMBER(F107))),$J$2=""),"",MIN(100,ROUND(SUM($G107:I107),1)))</f>
        <v/>
      </c>
      <c r="BG107" s="1" t="str">
        <f aca="false">IF(OR(NOT(AND(ISNUMBER(E107),ISNUMBER(F107))),$J$2=""),"",MIN(100,ROUND(SUM($G107:J107),1)))</f>
        <v/>
      </c>
      <c r="BH107" s="1" t="str">
        <f aca="false">IF(OR(NOT(AND(ISNUMBER(E107),ISNUMBER(F107))),$J$2=""),"",MIN(100,ROUND(SUM($G107:K107),1)))</f>
        <v/>
      </c>
      <c r="BI107" s="1" t="str">
        <f aca="false">IF(OR(NOT(AND(ISNUMBER(E107),ISNUMBER(F107))),$J$2=""),"",MIN(100,ROUND(SUM($G107:L107),1)))</f>
        <v/>
      </c>
      <c r="BJ107" s="1" t="str">
        <f aca="false">IF(OR(NOT(AND(ISNUMBER(E107),ISNUMBER(F107))),$J$2=""),"",MIN(100,ROUND(SUM($G107:M107),1)))</f>
        <v/>
      </c>
      <c r="BK107" s="1" t="str">
        <f aca="false">IF(OR(NOT(AND(ISNUMBER(E107),ISNUMBER(F107))),$J$2=""),"",MIN(100,ROUND(SUM($G107:N107),1)))</f>
        <v/>
      </c>
      <c r="BL107" s="1" t="str">
        <f aca="false">IF(OR(NOT(AND(ISNUMBER(E107),ISNUMBER(F107))),$J$2=""),"",MIN(100,ROUND(SUM($G107:O107),1)))</f>
        <v/>
      </c>
      <c r="BM107" s="1" t="str">
        <f aca="false">IF(OR(NOT(AND(ISNUMBER(E107),ISNUMBER(F107))),$J$2=""),"",MIN(100,ROUND(SUM($G107:P107),1)))</f>
        <v/>
      </c>
      <c r="BN107" s="1" t="str">
        <f aca="false">IF(OR(NOT(AND(ISNUMBER(E107),ISNUMBER(F107))),$J$2=""),"",MIN(100,ROUND(SUM($G107:P107),1)))</f>
        <v/>
      </c>
      <c r="BO107" s="1" t="str">
        <f aca="false">IF(OR(NOT(AND(ISNUMBER(E107),ISNUMBER(F107))),$J$2=""),"",MIN(100,ROUND(SUM($G107:P107),1)))</f>
        <v/>
      </c>
      <c r="BP107" s="1" t="str">
        <f aca="false">IF(OR(NOT(AND(ISNUMBER(E107),ISNUMBER(F107))),$J$2=""),"",MIN(100,ROUND(SUM($G107:P107),1)))</f>
        <v/>
      </c>
      <c r="BQ107" s="1" t="str">
        <f aca="false">IF(OR(NOT(AND(ISNUMBER(E107),ISNUMBER(F107))),$J$2=""),"",MIN(100,ROUND(SUM($G107:P107),1)))</f>
        <v/>
      </c>
      <c r="BR107" s="1" t="str">
        <f aca="false">IF(OR(NOT(AND(ISNUMBER(E107),ISNUMBER(F107))),$J$2=""),"",MIN(100,ROUND(SUM($G107:P107),1)))</f>
        <v/>
      </c>
      <c r="BS107" s="1" t="str">
        <f aca="false">IF(OR(NOT(AND(ISNUMBER(E107),ISNUMBER(F107))),$J$2=""),"",MIN(100,ROUND(SUM($G107:P107),1)))</f>
        <v/>
      </c>
      <c r="BT107" s="1" t="str">
        <f aca="false">IF(OR(NOT(AND(ISNUMBER(E107),ISNUMBER(F107))),$J$2=""),"",IF(Reprogramaciones!K$13&lt;Reprogramaciones!$T$15,0,IF(Reprogramaciones!K$14&gt;10,MIN(100,SUM($G107:$P107)),MIN(100,SUMPRODUCT((COLUMN($G107:$P107)-COLUMN($G107)+1&lt;Reprogramaciones!K$14)*$G107:$P107)+N(INDEX($G107:$P107,1,Reprogramaciones!K$14))*IF(Reprogramaciones!K$13&gt;=(Reprogramaciones!$T$15+7*(Reprogramaciones!K$14-1))+6,1,IF(MAX(0,NETWORKDAYS.INTL(MAX(E107,(Reprogramaciones!$T$15+7*(Reprogramaciones!K$14-1))),MIN(F107,(Reprogramaciones!$T$15+7*(Reprogramaciones!K$14-1))+6),11))=0,0,MAX(0,NETWORKDAYS.INTL(MAX(E107,(Reprogramaciones!$T$15+7*(Reprogramaciones!K$14-1))),MIN(F107,Reprogramaciones!K$13),11))/MAX(0,NETWORKDAYS.INTL(MAX(E107,(Reprogramaciones!$T$15+7*(Reprogramaciones!K$14-1))),MIN(F107,(Reprogramaciones!$T$15+7*(Reprogramaciones!K$14-1))+6),11))))))))</f>
        <v/>
      </c>
      <c r="BU107" s="1" t="str">
        <f aca="false">IF(OR(NOT(AND(ISNUMBER(E107),ISNUMBER(F107))),$J$2=""),"",IF(Reprogramaciones!L$13&lt;Reprogramaciones!$T$15,0,IF(Reprogramaciones!L$14&gt;10,MIN(100,SUM($G107:$P107)),MIN(100,SUMPRODUCT((COLUMN($G107:$P107)-COLUMN($G107)+1&lt;Reprogramaciones!L$14)*$G107:$P107)+N(INDEX($G107:$P107,1,Reprogramaciones!L$14))*IF(Reprogramaciones!L$13&gt;=(Reprogramaciones!$T$15+7*(Reprogramaciones!L$14-1))+6,1,IF(MAX(0,NETWORKDAYS.INTL(MAX(E107,(Reprogramaciones!$T$15+7*(Reprogramaciones!L$14-1))),MIN(F107,(Reprogramaciones!$T$15+7*(Reprogramaciones!L$14-1))+6),11))=0,0,MAX(0,NETWORKDAYS.INTL(MAX(E107,(Reprogramaciones!$T$15+7*(Reprogramaciones!L$14-1))),MIN(F107,Reprogramaciones!L$13),11))/MAX(0,NETWORKDAYS.INTL(MAX(E107,(Reprogramaciones!$T$15+7*(Reprogramaciones!L$14-1))),MIN(F107,(Reprogramaciones!$T$15+7*(Reprogramaciones!L$14-1))+6),11))))))))</f>
        <v/>
      </c>
      <c r="BV107" s="1" t="str">
        <f aca="false">IF(OR(NOT(AND(ISNUMBER(E107),ISNUMBER(F107))),$J$2=""),"",IF(Reprogramaciones!M$13&lt;Reprogramaciones!$T$15,0,IF(Reprogramaciones!M$14&gt;10,MIN(100,SUM($G107:$P107)),MIN(100,SUMPRODUCT((COLUMN($G107:$P107)-COLUMN($G107)+1&lt;Reprogramaciones!M$14)*$G107:$P107)+N(INDEX($G107:$P107,1,Reprogramaciones!M$14))*IF(Reprogramaciones!M$13&gt;=(Reprogramaciones!$T$15+7*(Reprogramaciones!M$14-1))+6,1,IF(MAX(0,NETWORKDAYS.INTL(MAX(E107,(Reprogramaciones!$T$15+7*(Reprogramaciones!M$14-1))),MIN(F107,(Reprogramaciones!$T$15+7*(Reprogramaciones!M$14-1))+6),11))=0,0,MAX(0,NETWORKDAYS.INTL(MAX(E107,(Reprogramaciones!$T$15+7*(Reprogramaciones!M$14-1))),MIN(F107,Reprogramaciones!M$13),11))/MAX(0,NETWORKDAYS.INTL(MAX(E107,(Reprogramaciones!$T$15+7*(Reprogramaciones!M$14-1))),MIN(F107,(Reprogramaciones!$T$15+7*(Reprogramaciones!M$14-1))+6),11))))))))</f>
        <v/>
      </c>
      <c r="BW107" s="1" t="str">
        <f aca="false">IF(OR(NOT(AND(ISNUMBER(E107),ISNUMBER(F107))),$J$2=""),"",IF(Reprogramaciones!N$13&lt;Reprogramaciones!$T$15,0,IF(Reprogramaciones!N$14&gt;10,MIN(100,SUM($G107:$P107)),MIN(100,SUMPRODUCT((COLUMN($G107:$P107)-COLUMN($G107)+1&lt;Reprogramaciones!N$14)*$G107:$P107)+N(INDEX($G107:$P107,1,Reprogramaciones!N$14))*IF(Reprogramaciones!N$13&gt;=(Reprogramaciones!$T$15+7*(Reprogramaciones!N$14-1))+6,1,IF(MAX(0,NETWORKDAYS.INTL(MAX(E107,(Reprogramaciones!$T$15+7*(Reprogramaciones!N$14-1))),MIN(F107,(Reprogramaciones!$T$15+7*(Reprogramaciones!N$14-1))+6),11))=0,0,MAX(0,NETWORKDAYS.INTL(MAX(E107,(Reprogramaciones!$T$15+7*(Reprogramaciones!N$14-1))),MIN(F107,Reprogramaciones!N$13),11))/MAX(0,NETWORKDAYS.INTL(MAX(E107,(Reprogramaciones!$T$15+7*(Reprogramaciones!N$14-1))),MIN(F107,(Reprogramaciones!$T$15+7*(Reprogramaciones!N$14-1))+6),11))))))))</f>
        <v/>
      </c>
      <c r="BX107" s="1" t="str">
        <f aca="false">IF(OR(NOT(AND(ISNUMBER(E107),ISNUMBER(F107))),$J$2=""),"",IF(Reprogramaciones!O$13&lt;Reprogramaciones!$T$15,0,IF(Reprogramaciones!O$14&gt;10,MIN(100,SUM($G107:$P107)),MIN(100,SUMPRODUCT((COLUMN($G107:$P107)-COLUMN($G107)+1&lt;Reprogramaciones!O$14)*$G107:$P107)+N(INDEX($G107:$P107,1,Reprogramaciones!O$14))*IF(Reprogramaciones!O$13&gt;=(Reprogramaciones!$T$15+7*(Reprogramaciones!O$14-1))+6,1,IF(MAX(0,NETWORKDAYS.INTL(MAX(E107,(Reprogramaciones!$T$15+7*(Reprogramaciones!O$14-1))),MIN(F107,(Reprogramaciones!$T$15+7*(Reprogramaciones!O$14-1))+6),11))=0,0,MAX(0,NETWORKDAYS.INTL(MAX(E107,(Reprogramaciones!$T$15+7*(Reprogramaciones!O$14-1))),MIN(F107,Reprogramaciones!O$13),11))/MAX(0,NETWORKDAYS.INTL(MAX(E107,(Reprogramaciones!$T$15+7*(Reprogramaciones!O$14-1))),MIN(F107,(Reprogramaciones!$T$15+7*(Reprogramaciones!O$14-1))+6),11))))))))</f>
        <v/>
      </c>
      <c r="BY107" s="1" t="str">
        <f aca="false">IF(OR(NOT(AND(ISNUMBER(E107),ISNUMBER(F107))),$J$2=""),"",IF(Reprogramaciones!P$13&lt;Reprogramaciones!$T$15,0,IF(Reprogramaciones!P$14&gt;10,MIN(100,SUM($G107:$P107)),MIN(100,SUMPRODUCT((COLUMN($G107:$P107)-COLUMN($G107)+1&lt;Reprogramaciones!P$14)*$G107:$P107)+N(INDEX($G107:$P107,1,Reprogramaciones!P$14))*IF(Reprogramaciones!P$13&gt;=(Reprogramaciones!$T$15+7*(Reprogramaciones!P$14-1))+6,1,IF(MAX(0,NETWORKDAYS.INTL(MAX(E107,(Reprogramaciones!$T$15+7*(Reprogramaciones!P$14-1))),MIN(F107,(Reprogramaciones!$T$15+7*(Reprogramaciones!P$14-1))+6),11))=0,0,MAX(0,NETWORKDAYS.INTL(MAX(E107,(Reprogramaciones!$T$15+7*(Reprogramaciones!P$14-1))),MIN(F107,Reprogramaciones!P$13),11))/MAX(0,NETWORKDAYS.INTL(MAX(E107,(Reprogramaciones!$T$15+7*(Reprogramaciones!P$14-1))),MIN(F107,(Reprogramaciones!$T$15+7*(Reprogramaciones!P$14-1))+6),11))))))))</f>
        <v/>
      </c>
      <c r="BZ107" s="1" t="str">
        <f aca="false">IF(OR(NOT(AND(ISNUMBER(E107),ISNUMBER(F107))),$J$2=""),"",IF(Reprogramaciones!Q$13&lt;Reprogramaciones!$T$15,0,IF(Reprogramaciones!Q$14&gt;10,MIN(100,SUM($G107:$P107)),MIN(100,SUMPRODUCT((COLUMN($G107:$P107)-COLUMN($G107)+1&lt;Reprogramaciones!Q$14)*$G107:$P107)+N(INDEX($G107:$P107,1,Reprogramaciones!Q$14))*IF(Reprogramaciones!Q$13&gt;=(Reprogramaciones!$T$15+7*(Reprogramaciones!Q$14-1))+6,1,IF(MAX(0,NETWORKDAYS.INTL(MAX(E107,(Reprogramaciones!$T$15+7*(Reprogramaciones!Q$14-1))),MIN(F107,(Reprogramaciones!$T$15+7*(Reprogramaciones!Q$14-1))+6),11))=0,0,MAX(0,NETWORKDAYS.INTL(MAX(E107,(Reprogramaciones!$T$15+7*(Reprogramaciones!Q$14-1))),MIN(F107,Reprogramaciones!Q$13),11))/MAX(0,NETWORKDAYS.INTL(MAX(E107,(Reprogramaciones!$T$15+7*(Reprogramaciones!Q$14-1))),MIN(F107,(Reprogramaciones!$T$15+7*(Reprogramaciones!Q$14-1))+6),11))))))))</f>
        <v/>
      </c>
      <c r="CA107" s="1" t="str">
        <f aca="false">IF(OR(NOT(AND(ISNUMBER(E107),ISNUMBER(F107))),$J$2=""),"",IF(Reprogramaciones!R$13&lt;Reprogramaciones!$T$15,0,IF(Reprogramaciones!R$14&gt;10,MIN(100,SUM($G107:$P107)),MIN(100,SUMPRODUCT((COLUMN($G107:$P107)-COLUMN($G107)+1&lt;Reprogramaciones!R$14)*$G107:$P107)+N(INDEX($G107:$P107,1,Reprogramaciones!R$14))*IF(Reprogramaciones!R$13&gt;=(Reprogramaciones!$T$15+7*(Reprogramaciones!R$14-1))+6,1,IF(MAX(0,NETWORKDAYS.INTL(MAX(E107,(Reprogramaciones!$T$15+7*(Reprogramaciones!R$14-1))),MIN(F107,(Reprogramaciones!$T$15+7*(Reprogramaciones!R$14-1))+6),11))=0,0,MAX(0,NETWORKDAYS.INTL(MAX(E107,(Reprogramaciones!$T$15+7*(Reprogramaciones!R$14-1))),MIN(F107,Reprogramaciones!R$13),11))/MAX(0,NETWORKDAYS.INTL(MAX(E107,(Reprogramaciones!$T$15+7*(Reprogramaciones!R$14-1))),MIN(F107,(Reprogramaciones!$T$15+7*(Reprogramaciones!R$14-1))+6),11))))))))</f>
        <v/>
      </c>
      <c r="CB107" s="1" t="str">
        <f aca="false">IF(OR(NOT(AND(ISNUMBER(E107),ISNUMBER(F107))),$J$2=""),"",IF(Reprogramaciones!S$13&lt;Reprogramaciones!$T$15,0,IF(Reprogramaciones!S$14&gt;10,MIN(100,SUM($G107:$P107)),MIN(100,SUMPRODUCT((COLUMN($G107:$P107)-COLUMN($G107)+1&lt;Reprogramaciones!S$14)*$G107:$P107)+N(INDEX($G107:$P107,1,Reprogramaciones!S$14))*IF(Reprogramaciones!S$13&gt;=(Reprogramaciones!$T$15+7*(Reprogramaciones!S$14-1))+6,1,IF(MAX(0,NETWORKDAYS.INTL(MAX(E107,(Reprogramaciones!$T$15+7*(Reprogramaciones!S$14-1))),MIN(F107,(Reprogramaciones!$T$15+7*(Reprogramaciones!S$14-1))+6),11))=0,0,MAX(0,NETWORKDAYS.INTL(MAX(E107,(Reprogramaciones!$T$15+7*(Reprogramaciones!S$14-1))),MIN(F107,Reprogramaciones!S$13),11))/MAX(0,NETWORKDAYS.INTL(MAX(E107,(Reprogramaciones!$T$15+7*(Reprogramaciones!S$14-1))),MIN(F107,(Reprogramaciones!$T$15+7*(Reprogramaciones!S$14-1))+6),11))))))))</f>
        <v/>
      </c>
      <c r="CC107" s="1" t="str">
        <f aca="false">IF(OR(NOT(AND(ISNUMBER(E107),ISNUMBER(F107))),$J$2=""),"",IF(Reprogramaciones!T$13&lt;Reprogramaciones!$T$15,0,IF(Reprogramaciones!T$14&gt;10,MIN(100,SUM($G107:$P107)),MIN(100,SUMPRODUCT((COLUMN($G107:$P107)-COLUMN($G107)+1&lt;Reprogramaciones!T$14)*$G107:$P107)+N(INDEX($G107:$P107,1,Reprogramaciones!T$14))*IF(Reprogramaciones!T$13&gt;=(Reprogramaciones!$T$15+7*(Reprogramaciones!T$14-1))+6,1,IF(MAX(0,NETWORKDAYS.INTL(MAX(E107,(Reprogramaciones!$T$15+7*(Reprogramaciones!T$14-1))),MIN(F107,(Reprogramaciones!$T$15+7*(Reprogramaciones!T$14-1))+6),11))=0,0,MAX(0,NETWORKDAYS.INTL(MAX(E107,(Reprogramaciones!$T$15+7*(Reprogramaciones!T$14-1))),MIN(F107,Reprogramaciones!T$13),11))/MAX(0,NETWORKDAYS.INTL(MAX(E107,(Reprogramaciones!$T$15+7*(Reprogramaciones!T$14-1))),MIN(F107,(Reprogramaciones!$T$15+7*(Reprogramaciones!T$14-1))+6),11))))))))</f>
        <v/>
      </c>
      <c r="CD107" s="1" t="str">
        <f aca="false">IF(OR(NOT(AND(ISNUMBER(E107),ISNUMBER(F107))),$J$2=""),"",IF(Reprogramaciones!U$13&lt;Reprogramaciones!$T$15,0,IF(Reprogramaciones!U$14&gt;10,MIN(100,SUM($G107:$P107)),MIN(100,SUMPRODUCT((COLUMN($G107:$P107)-COLUMN($G107)+1&lt;Reprogramaciones!U$14)*$G107:$P107)+N(INDEX($G107:$P107,1,Reprogramaciones!U$14))*IF(Reprogramaciones!U$13&gt;=(Reprogramaciones!$T$15+7*(Reprogramaciones!U$14-1))+6,1,IF(MAX(0,NETWORKDAYS.INTL(MAX(E107,(Reprogramaciones!$T$15+7*(Reprogramaciones!U$14-1))),MIN(F107,(Reprogramaciones!$T$15+7*(Reprogramaciones!U$14-1))+6),11))=0,0,MAX(0,NETWORKDAYS.INTL(MAX(E107,(Reprogramaciones!$T$15+7*(Reprogramaciones!U$14-1))),MIN(F107,Reprogramaciones!U$13),11))/MAX(0,NETWORKDAYS.INTL(MAX(E107,(Reprogramaciones!$T$15+7*(Reprogramaciones!U$14-1))),MIN(F107,(Reprogramaciones!$T$15+7*(Reprogramaciones!U$14-1))+6),11))))))))</f>
        <v/>
      </c>
      <c r="CE107" s="1" t="str">
        <f aca="false">IF(OR(NOT(AND(ISNUMBER(E107),ISNUMBER(F107))),$J$2=""),"",IF(Reprogramaciones!V$13&lt;Reprogramaciones!$T$15,0,IF(Reprogramaciones!V$14&gt;10,MIN(100,SUM($G107:$P107)),MIN(100,SUMPRODUCT((COLUMN($G107:$P107)-COLUMN($G107)+1&lt;Reprogramaciones!V$14)*$G107:$P107)+N(INDEX($G107:$P107,1,Reprogramaciones!V$14))*IF(Reprogramaciones!V$13&gt;=(Reprogramaciones!$T$15+7*(Reprogramaciones!V$14-1))+6,1,IF(MAX(0,NETWORKDAYS.INTL(MAX(E107,(Reprogramaciones!$T$15+7*(Reprogramaciones!V$14-1))),MIN(F107,(Reprogramaciones!$T$15+7*(Reprogramaciones!V$14-1))+6),11))=0,0,MAX(0,NETWORKDAYS.INTL(MAX(E107,(Reprogramaciones!$T$15+7*(Reprogramaciones!V$14-1))),MIN(F107,Reprogramaciones!V$13),11))/MAX(0,NETWORKDAYS.INTL(MAX(E107,(Reprogramaciones!$T$15+7*(Reprogramaciones!V$14-1))),MIN(F107,(Reprogramaciones!$T$15+7*(Reprogramaciones!V$14-1))+6),11))))))))</f>
        <v/>
      </c>
      <c r="CF107" s="1" t="str">
        <f aca="false">IF(OR(NOT(AND(ISNUMBER(E107),ISNUMBER(F107))),$J$2=""),"",IF(Reprogramaciones!W$13&lt;Reprogramaciones!$T$15,0,IF(Reprogramaciones!W$14&gt;10,MIN(100,SUM($G107:$P107)),MIN(100,SUMPRODUCT((COLUMN($G107:$P107)-COLUMN($G107)+1&lt;Reprogramaciones!W$14)*$G107:$P107)+N(INDEX($G107:$P107,1,Reprogramaciones!W$14))*IF(Reprogramaciones!W$13&gt;=(Reprogramaciones!$T$15+7*(Reprogramaciones!W$14-1))+6,1,IF(MAX(0,NETWORKDAYS.INTL(MAX(E107,(Reprogramaciones!$T$15+7*(Reprogramaciones!W$14-1))),MIN(F107,(Reprogramaciones!$T$15+7*(Reprogramaciones!W$14-1))+6),11))=0,0,MAX(0,NETWORKDAYS.INTL(MAX(E107,(Reprogramaciones!$T$15+7*(Reprogramaciones!W$14-1))),MIN(F107,Reprogramaciones!W$13),11))/MAX(0,NETWORKDAYS.INTL(MAX(E107,(Reprogramaciones!$T$15+7*(Reprogramaciones!W$14-1))),MIN(F107,(Reprogramaciones!$T$15+7*(Reprogramaciones!W$14-1))+6),11))))))))</f>
        <v/>
      </c>
      <c r="CG107" s="1" t="str">
        <f aca="false">IF(OR(NOT(AND(ISNUMBER(E107),ISNUMBER(F107))),$J$2=""),"",IF(Reprogramaciones!X$13&lt;Reprogramaciones!$T$15,0,IF(Reprogramaciones!X$14&gt;10,MIN(100,SUM($G107:$P107)),MIN(100,SUMPRODUCT((COLUMN($G107:$P107)-COLUMN($G107)+1&lt;Reprogramaciones!X$14)*$G107:$P107)+N(INDEX($G107:$P107,1,Reprogramaciones!X$14))*IF(Reprogramaciones!X$13&gt;=(Reprogramaciones!$T$15+7*(Reprogramaciones!X$14-1))+6,1,IF(MAX(0,NETWORKDAYS.INTL(MAX(E107,(Reprogramaciones!$T$15+7*(Reprogramaciones!X$14-1))),MIN(F107,(Reprogramaciones!$T$15+7*(Reprogramaciones!X$14-1))+6),11))=0,0,MAX(0,NETWORKDAYS.INTL(MAX(E107,(Reprogramaciones!$T$15+7*(Reprogramaciones!X$14-1))),MIN(F107,Reprogramaciones!X$13),11))/MAX(0,NETWORKDAYS.INTL(MAX(E107,(Reprogramaciones!$T$15+7*(Reprogramaciones!X$14-1))),MIN(F107,(Reprogramaciones!$T$15+7*(Reprogramaciones!X$14-1))+6),11))))))))</f>
        <v/>
      </c>
      <c r="CH107" s="1" t="str">
        <f aca="false">IF(OR(NOT(AND(ISNUMBER(E107),ISNUMBER(F107))),$J$2=""),"",IF(Reprogramaciones!Y$13&lt;Reprogramaciones!$T$15,0,IF(Reprogramaciones!Y$14&gt;10,MIN(100,SUM($G107:$P107)),MIN(100,SUMPRODUCT((COLUMN($G107:$P107)-COLUMN($G107)+1&lt;Reprogramaciones!Y$14)*$G107:$P107)+N(INDEX($G107:$P107,1,Reprogramaciones!Y$14))*IF(Reprogramaciones!Y$13&gt;=(Reprogramaciones!$T$15+7*(Reprogramaciones!Y$14-1))+6,1,IF(MAX(0,NETWORKDAYS.INTL(MAX(E107,(Reprogramaciones!$T$15+7*(Reprogramaciones!Y$14-1))),MIN(F107,(Reprogramaciones!$T$15+7*(Reprogramaciones!Y$14-1))+6),11))=0,0,MAX(0,NETWORKDAYS.INTL(MAX(E107,(Reprogramaciones!$T$15+7*(Reprogramaciones!Y$14-1))),MIN(F107,Reprogramaciones!Y$13),11))/MAX(0,NETWORKDAYS.INTL(MAX(E107,(Reprogramaciones!$T$15+7*(Reprogramaciones!Y$14-1))),MIN(F107,(Reprogramaciones!$T$15+7*(Reprogramaciones!Y$14-1))+6),11))))))))</f>
        <v/>
      </c>
      <c r="CI107" s="1" t="str">
        <f aca="false">IF(OR(NOT(AND(ISNUMBER(E107),ISNUMBER(F107))),$J$2=""),"",IF(Reprogramaciones!Z$13&lt;Reprogramaciones!$T$15,0,IF(Reprogramaciones!Z$14&gt;10,MIN(100,SUM($G107:$P107)),MIN(100,SUMPRODUCT((COLUMN($G107:$P107)-COLUMN($G107)+1&lt;Reprogramaciones!Z$14)*$G107:$P107)+N(INDEX($G107:$P107,1,Reprogramaciones!Z$14))*IF(Reprogramaciones!Z$13&gt;=(Reprogramaciones!$T$15+7*(Reprogramaciones!Z$14-1))+6,1,IF(MAX(0,NETWORKDAYS.INTL(MAX(E107,(Reprogramaciones!$T$15+7*(Reprogramaciones!Z$14-1))),MIN(F107,(Reprogramaciones!$T$15+7*(Reprogramaciones!Z$14-1))+6),11))=0,0,MAX(0,NETWORKDAYS.INTL(MAX(E107,(Reprogramaciones!$T$15+7*(Reprogramaciones!Z$14-1))),MIN(F107,Reprogramaciones!Z$13),11))/MAX(0,NETWORKDAYS.INTL(MAX(E107,(Reprogramaciones!$T$15+7*(Reprogramaciones!Z$14-1))),MIN(F107,(Reprogramaciones!$T$15+7*(Reprogramaciones!Z$14-1))+6),11))))))))</f>
        <v/>
      </c>
      <c r="CJ107" s="1" t="str">
        <f aca="false">IF(OR(OR(NOT(AND(ISNUMBER(E107),ISNUMBER(F107))),$J$2=""),1&gt;Reprogramaciones!$K$16),"",IF(ROUND(SUM($Q107:Q107),1)&gt;=99.5,100,MIN(100,ROUND(SUM($Q107:Q107),1))))</f>
        <v/>
      </c>
      <c r="CK107" s="1" t="str">
        <f aca="false">IF(OR(OR(NOT(AND(ISNUMBER(E107),ISNUMBER(F107))),$J$2=""),2&gt;Reprogramaciones!$K$16),"",IF(ROUND(SUM($Q107:R107),1)&gt;=99.5,100,MIN(100,ROUND(SUM($Q107:R107),1))))</f>
        <v/>
      </c>
      <c r="CL107" s="1" t="str">
        <f aca="false">IF(OR(OR(NOT(AND(ISNUMBER(E107),ISNUMBER(F107))),$J$2=""),3&gt;Reprogramaciones!$K$16),"",IF(ROUND(SUM($Q107:S107),1)&gt;=99.5,100,MIN(100,ROUND(SUM($Q107:S107),1))))</f>
        <v/>
      </c>
      <c r="CM107" s="1" t="str">
        <f aca="false">IF(OR(OR(NOT(AND(ISNUMBER(E107),ISNUMBER(F107))),$J$2=""),4&gt;Reprogramaciones!$K$16),"",IF(ROUND(SUM($Q107:T107),1)&gt;=99.5,100,MIN(100,ROUND(SUM($Q107:T107),1))))</f>
        <v/>
      </c>
      <c r="CN107" s="1" t="str">
        <f aca="false">IF(OR(OR(NOT(AND(ISNUMBER(E107),ISNUMBER(F107))),$J$2=""),5&gt;Reprogramaciones!$K$16),"",IF(ROUND(SUM($Q107:U107),1)&gt;=99.5,100,MIN(100,ROUND(SUM($Q107:U107),1))))</f>
        <v/>
      </c>
      <c r="CO107" s="1" t="str">
        <f aca="false">IF(OR(OR(NOT(AND(ISNUMBER(E107),ISNUMBER(F107))),$J$2=""),6&gt;Reprogramaciones!$K$16),"",IF(ROUND(SUM($Q107:V107),1)&gt;=99.5,100,MIN(100,ROUND(SUM($Q107:V107),1))))</f>
        <v/>
      </c>
      <c r="CP107" s="1" t="str">
        <f aca="false">IF(OR(OR(NOT(AND(ISNUMBER(E107),ISNUMBER(F107))),$J$2=""),7&gt;Reprogramaciones!$K$16),"",IF(ROUND(SUM($Q107:W107),1)&gt;=99.5,100,MIN(100,ROUND(SUM($Q107:W107),1))))</f>
        <v/>
      </c>
      <c r="CQ107" s="1" t="str">
        <f aca="false">IF(OR(OR(NOT(AND(ISNUMBER(E107),ISNUMBER(F107))),$J$2=""),8&gt;Reprogramaciones!$K$16),"",IF(ROUND(SUM($Q107:X107),1)&gt;=99.5,100,MIN(100,ROUND(SUM($Q107:X107),1))))</f>
        <v/>
      </c>
      <c r="CR107" s="1" t="str">
        <f aca="false">IF(OR(OR(NOT(AND(ISNUMBER(E107),ISNUMBER(F107))),$J$2=""),9&gt;Reprogramaciones!$K$16),"",IF(ROUND(SUM($Q107:Y107),1)&gt;=99.5,100,MIN(100,ROUND(SUM($Q107:Y107),1))))</f>
        <v/>
      </c>
      <c r="CS107" s="1" t="str">
        <f aca="false">IF(OR(OR(NOT(AND(ISNUMBER(E107),ISNUMBER(F107))),$J$2=""),10&gt;Reprogramaciones!$K$16),"",IF(ROUND(SUM($Q107:Z107),1)&gt;=99.5,100,MIN(100,ROUND(SUM($Q107:Z107),1))))</f>
        <v/>
      </c>
      <c r="CT107" s="1" t="str">
        <f aca="false">IF(OR(OR(NOT(AND(ISNUMBER(E107),ISNUMBER(F107))),$J$2=""),11&gt;Reprogramaciones!$K$16),"",IF(ROUND(SUM($Q107:AA107),1)&gt;=99.5,100,MIN(100,ROUND(SUM($Q107:AA107),1))))</f>
        <v/>
      </c>
      <c r="CU107" s="1" t="str">
        <f aca="false">IF(OR(OR(NOT(AND(ISNUMBER(E107),ISNUMBER(F107))),$J$2=""),12&gt;Reprogramaciones!$K$16),"",IF(ROUND(SUM($Q107:AB107),1)&gt;=99.5,100,MIN(100,ROUND(SUM($Q107:AB107),1))))</f>
        <v/>
      </c>
      <c r="CV107" s="1" t="str">
        <f aca="false">IF(OR(OR(NOT(AND(ISNUMBER(E107),ISNUMBER(F107))),$J$2=""),13&gt;Reprogramaciones!$K$16),"",IF(ROUND(SUM($Q107:AC107),1)&gt;=99.5,100,MIN(100,ROUND(SUM($Q107:AC107),1))))</f>
        <v/>
      </c>
      <c r="CW107" s="1" t="str">
        <f aca="false">IF(OR(OR(NOT(AND(ISNUMBER(E107),ISNUMBER(F107))),$J$2=""),14&gt;Reprogramaciones!$K$16),"",IF(ROUND(SUM($Q107:AD107),1)&gt;=99.5,100,MIN(100,ROUND(SUM($Q107:AD107),1))))</f>
        <v/>
      </c>
      <c r="CX107" s="1" t="str">
        <f aca="false">IF(OR(OR(NOT(AND(ISNUMBER(E107),ISNUMBER(F107))),$J$2=""),15&gt;Reprogramaciones!$K$16),"",IF(ROUND(SUM($Q107:AE107),1)&gt;=99.5,100,MIN(100,ROUND(SUM($Q107:AE107),1))))</f>
        <v/>
      </c>
      <c r="CY107" s="1" t="str">
        <f aca="false">IF(OR(OR(NOT(AND(ISNUMBER(E107),ISNUMBER(F107))),$J$2=""),16&gt;Reprogramaciones!$K$16),"",IF(ROUND(SUM($Q107:AF107),1)&gt;=99.5,100,MIN(100,ROUND(SUM($Q107:AF107),1))))</f>
        <v/>
      </c>
      <c r="CZ107" s="1" t="str">
        <f aca="false">IF(D107&lt;&gt;"",D107,IF(B107&lt;&gt;"","Contractual",CZ106))</f>
        <v>Contractual</v>
      </c>
      <c r="DA107" s="1" t="str">
        <f aca="false">IF(OR(NOT(AND(ISNUMBER(E107),ISNUMBER(F107))),$J$2=""),"",IF(Reprogramaciones!$Q$15&lt;Reprogramaciones!$T$15,0,IF(Reprogramaciones!$S$15&gt;10,MIN(100,SUM($G107:$P107)),MIN(100,SUMPRODUCT((COLUMN($G107:$P107)-COLUMN($G107)+1&lt;Reprogramaciones!$S$15)*$G107:$P107)+N(INDEX($G107:$P107,1,Reprogramaciones!$S$15))*IF(Reprogramaciones!$Q$15&gt;=(Reprogramaciones!$T$15+7*(Reprogramaciones!$S$15-1))+6,1,IF(MAX(0,NETWORKDAYS.INTL(MAX(E107,(Reprogramaciones!$T$15+7*(Reprogramaciones!$S$15-1))),MIN(F107,(Reprogramaciones!$T$15+7*(Reprogramaciones!$S$15-1))+6),11))=0,0,MAX(0,NETWORKDAYS.INTL(MAX(E107,(Reprogramaciones!$T$15+7*(Reprogramaciones!$S$15-1))),MIN(F107,Reprogramaciones!$Q$15),11))/MAX(0,NETWORKDAYS.INTL(MAX(E107,(Reprogramaciones!$T$15+7*(Reprogramaciones!$S$15-1))),MIN(F107,(Reprogramaciones!$T$15+7*(Reprogramaciones!$S$15-1))+6),11))))))))</f>
        <v/>
      </c>
    </row>
    <row r="108" customFormat="false" ht="15" hidden="false" customHeight="false" outlineLevel="0" collapsed="false">
      <c r="A108" s="32"/>
      <c r="B108" s="33"/>
      <c r="C108" s="33"/>
      <c r="D108" s="34"/>
      <c r="E108" s="35"/>
      <c r="F108" s="35"/>
      <c r="G108" s="36" t="str">
        <f aca="false">IF(OR(NOT(AND(ISNUMBER(E108),ISNUMBER(F108))),$J$2=""),"",IF(Reprogramaciones!K$9&lt;E108,0,IF(NETWORKDAYS.INTL(E108,F108,11)=0,IF(Reprogramaciones!K$9&gt;=F108,100,0),ROUND(NETWORKDAYS.INTL(E108,MIN(F108,Reprogramaciones!K$9),11)/NETWORKDAYS.INTL(E108,F108,11)*100,1)))-0)</f>
        <v/>
      </c>
      <c r="H108" s="36" t="str">
        <f aca="false">IF(OR(NOT(AND(ISNUMBER(E108),ISNUMBER(F108))),$J$2=""),"",IF(Reprogramaciones!L$9&lt;E108,0,IF(NETWORKDAYS.INTL(E108,F108,11)=0,IF(Reprogramaciones!L$9&gt;=F108,100,0),ROUND(NETWORKDAYS.INTL(E108,MIN(F108,Reprogramaciones!L$9),11)/NETWORKDAYS.INTL(E108,F108,11)*100,1)))-IF(Reprogramaciones!K$9&lt;E108,0,IF(NETWORKDAYS.INTL(E108,F108,11)=0,IF(Reprogramaciones!K$9&gt;=F108,100,0),ROUND(NETWORKDAYS.INTL(E108,MIN(F108,Reprogramaciones!K$9),11)/NETWORKDAYS.INTL(E108,F108,11)*100,1))))</f>
        <v/>
      </c>
      <c r="I108" s="36" t="str">
        <f aca="false">IF(OR(NOT(AND(ISNUMBER(E108),ISNUMBER(F108))),$J$2=""),"",IF(Reprogramaciones!M$9&lt;E108,0,IF(NETWORKDAYS.INTL(E108,F108,11)=0,IF(Reprogramaciones!M$9&gt;=F108,100,0),ROUND(NETWORKDAYS.INTL(E108,MIN(F108,Reprogramaciones!M$9),11)/NETWORKDAYS.INTL(E108,F108,11)*100,1)))-IF(Reprogramaciones!L$9&lt;E108,0,IF(NETWORKDAYS.INTL(E108,F108,11)=0,IF(Reprogramaciones!L$9&gt;=F108,100,0),ROUND(NETWORKDAYS.INTL(E108,MIN(F108,Reprogramaciones!L$9),11)/NETWORKDAYS.INTL(E108,F108,11)*100,1))))</f>
        <v/>
      </c>
      <c r="J108" s="36" t="str">
        <f aca="false">IF(OR(NOT(AND(ISNUMBER(E108),ISNUMBER(F108))),$J$2=""),"",IF(Reprogramaciones!N$9&lt;E108,0,IF(NETWORKDAYS.INTL(E108,F108,11)=0,IF(Reprogramaciones!N$9&gt;=F108,100,0),ROUND(NETWORKDAYS.INTL(E108,MIN(F108,Reprogramaciones!N$9),11)/NETWORKDAYS.INTL(E108,F108,11)*100,1)))-IF(Reprogramaciones!M$9&lt;E108,0,IF(NETWORKDAYS.INTL(E108,F108,11)=0,IF(Reprogramaciones!M$9&gt;=F108,100,0),ROUND(NETWORKDAYS.INTL(E108,MIN(F108,Reprogramaciones!M$9),11)/NETWORKDAYS.INTL(E108,F108,11)*100,1))))</f>
        <v/>
      </c>
      <c r="K108" s="36" t="str">
        <f aca="false">IF(OR(NOT(AND(ISNUMBER(E108),ISNUMBER(F108))),$J$2=""),"",IF(Reprogramaciones!O$9&lt;E108,0,IF(NETWORKDAYS.INTL(E108,F108,11)=0,IF(Reprogramaciones!O$9&gt;=F108,100,0),ROUND(NETWORKDAYS.INTL(E108,MIN(F108,Reprogramaciones!O$9),11)/NETWORKDAYS.INTL(E108,F108,11)*100,1)))-IF(Reprogramaciones!N$9&lt;E108,0,IF(NETWORKDAYS.INTL(E108,F108,11)=0,IF(Reprogramaciones!N$9&gt;=F108,100,0),ROUND(NETWORKDAYS.INTL(E108,MIN(F108,Reprogramaciones!N$9),11)/NETWORKDAYS.INTL(E108,F108,11)*100,1))))</f>
        <v/>
      </c>
      <c r="L108" s="36" t="str">
        <f aca="false">IF(OR(NOT(AND(ISNUMBER(E108),ISNUMBER(F108))),$J$2=""),"",IF(Reprogramaciones!P$9&lt;E108,0,IF(NETWORKDAYS.INTL(E108,F108,11)=0,IF(Reprogramaciones!P$9&gt;=F108,100,0),ROUND(NETWORKDAYS.INTL(E108,MIN(F108,Reprogramaciones!P$9),11)/NETWORKDAYS.INTL(E108,F108,11)*100,1)))-IF(Reprogramaciones!O$9&lt;E108,0,IF(NETWORKDAYS.INTL(E108,F108,11)=0,IF(Reprogramaciones!O$9&gt;=F108,100,0),ROUND(NETWORKDAYS.INTL(E108,MIN(F108,Reprogramaciones!O$9),11)/NETWORKDAYS.INTL(E108,F108,11)*100,1))))</f>
        <v/>
      </c>
      <c r="M108" s="36" t="str">
        <f aca="false">IF(OR(NOT(AND(ISNUMBER(E108),ISNUMBER(F108))),$J$2=""),"",IF(Reprogramaciones!Q$9&lt;E108,0,IF(NETWORKDAYS.INTL(E108,F108,11)=0,IF(Reprogramaciones!Q$9&gt;=F108,100,0),ROUND(NETWORKDAYS.INTL(E108,MIN(F108,Reprogramaciones!Q$9),11)/NETWORKDAYS.INTL(E108,F108,11)*100,1)))-IF(Reprogramaciones!P$9&lt;E108,0,IF(NETWORKDAYS.INTL(E108,F108,11)=0,IF(Reprogramaciones!P$9&gt;=F108,100,0),ROUND(NETWORKDAYS.INTL(E108,MIN(F108,Reprogramaciones!P$9),11)/NETWORKDAYS.INTL(E108,F108,11)*100,1))))</f>
        <v/>
      </c>
      <c r="N108" s="36" t="str">
        <f aca="false">IF(OR(NOT(AND(ISNUMBER(E108),ISNUMBER(F108))),$J$2=""),"",IF(Reprogramaciones!R$9&lt;E108,0,IF(NETWORKDAYS.INTL(E108,F108,11)=0,IF(Reprogramaciones!R$9&gt;=F108,100,0),ROUND(NETWORKDAYS.INTL(E108,MIN(F108,Reprogramaciones!R$9),11)/NETWORKDAYS.INTL(E108,F108,11)*100,1)))-IF(Reprogramaciones!Q$9&lt;E108,0,IF(NETWORKDAYS.INTL(E108,F108,11)=0,IF(Reprogramaciones!Q$9&gt;=F108,100,0),ROUND(NETWORKDAYS.INTL(E108,MIN(F108,Reprogramaciones!Q$9),11)/NETWORKDAYS.INTL(E108,F108,11)*100,1))))</f>
        <v/>
      </c>
      <c r="O108" s="36" t="str">
        <f aca="false">IF(OR(NOT(AND(ISNUMBER(E108),ISNUMBER(F108))),$J$2=""),"",IF(Reprogramaciones!S$9&lt;E108,0,IF(NETWORKDAYS.INTL(E108,F108,11)=0,IF(Reprogramaciones!S$9&gt;=F108,100,0),ROUND(NETWORKDAYS.INTL(E108,MIN(F108,Reprogramaciones!S$9),11)/NETWORKDAYS.INTL(E108,F108,11)*100,1)))-IF(Reprogramaciones!R$9&lt;E108,0,IF(NETWORKDAYS.INTL(E108,F108,11)=0,IF(Reprogramaciones!R$9&gt;=F108,100,0),ROUND(NETWORKDAYS.INTL(E108,MIN(F108,Reprogramaciones!R$9),11)/NETWORKDAYS.INTL(E108,F108,11)*100,1))))</f>
        <v/>
      </c>
      <c r="P108" s="36" t="str">
        <f aca="false">IF(OR(NOT(AND(ISNUMBER(E108),ISNUMBER(F108))),$J$2=""),"",IF(Reprogramaciones!T$9&lt;E108,0,IF(NETWORKDAYS.INTL(E108,F108,11)=0,IF(Reprogramaciones!T$9&gt;=F108,100,0),ROUND(NETWORKDAYS.INTL(E108,MIN(F108,Reprogramaciones!T$9),11)/NETWORKDAYS.INTL(E108,F108,11)*100,1)))-IF(Reprogramaciones!S$9&lt;E108,0,IF(NETWORKDAYS.INTL(E108,F108,11)=0,IF(Reprogramaciones!S$9&gt;=F108,100,0),ROUND(NETWORKDAYS.INTL(E108,MIN(F108,Reprogramaciones!S$9),11)/NETWORKDAYS.INTL(E108,F108,11)*100,1))))</f>
        <v/>
      </c>
      <c r="Q108" s="37"/>
      <c r="R108" s="37"/>
      <c r="S108" s="37"/>
      <c r="T108" s="37"/>
      <c r="U108" s="37"/>
      <c r="V108" s="37"/>
      <c r="W108" s="37"/>
      <c r="X108" s="37"/>
      <c r="Y108" s="37"/>
      <c r="Z108" s="37"/>
      <c r="AA108" s="37"/>
      <c r="AB108" s="37"/>
      <c r="AC108" s="37"/>
      <c r="AD108" s="37"/>
      <c r="AE108" s="37"/>
      <c r="AF108" s="37"/>
      <c r="AG108" s="38" t="str">
        <f aca="false">IF(AND(ISNUMBER(E108),ISNUMBER(F108)),NETWORKDAYS.INTL(E108,F108,11),"")</f>
        <v/>
      </c>
      <c r="AH108" s="38" t="str">
        <f aca="false">IF(OR(NOT(AND(ISNUMBER(E108),ISNUMBER(F108))),$J$2=""),"",IF(Reprogramaciones!$P$15&lt;Reprogramaciones!$T$15,0,IF(Reprogramaciones!$R$15&gt;10,MIN(100,SUM($G108:$P108)),MIN(100,SUMPRODUCT((COLUMN($G108:$P108)-COLUMN($G108)+1&lt;Reprogramaciones!$R$15)*$G108:$P108)+N(INDEX($G108:$P108,1,Reprogramaciones!$R$15))*IF(Reprogramaciones!$P$15&gt;=(Reprogramaciones!$T$15+7*(Reprogramaciones!$R$15-1))+6,1,IF(MAX(0,NETWORKDAYS.INTL(MAX(E108,(Reprogramaciones!$T$15+7*(Reprogramaciones!$R$15-1))),MIN(F108,(Reprogramaciones!$T$15+7*(Reprogramaciones!$R$15-1))+6),11))=0,0,MAX(0,NETWORKDAYS.INTL(MAX(E108,(Reprogramaciones!$T$15+7*(Reprogramaciones!$R$15-1))),MIN(F108,Reprogramaciones!$P$15),11))/MAX(0,NETWORKDAYS.INTL(MAX(E108,(Reprogramaciones!$T$15+7*(Reprogramaciones!$R$15-1))),MIN(F108,(Reprogramaciones!$T$15+7*(Reprogramaciones!$R$15-1))+6),11))))))))</f>
        <v/>
      </c>
      <c r="AI108" s="38" t="str">
        <f aca="false">IF(COUNT($Q108:$AF108)=0,"",IF(ROUND(SUM($Q108:$AF108),1)&gt;=99.5,100,MIN(100,ROUND(SUM($Q108:$AF108),1))))</f>
        <v/>
      </c>
      <c r="AJ108" s="38" t="str">
        <f aca="false">IF(OR(AH108="",AI108=""),"",AI108-AH108)</f>
        <v/>
      </c>
      <c r="AK108" s="39" t="str">
        <f aca="true">IF(AH108="","",IF(OR(Ficha!$C$10="Suspendida",Ficha!$C$10="Cancelada"),Ficha!$C$10,IF(AND(AI108&lt;&gt;"",N(AI108)&gt;=100),"Completada",IF(AND(E108&gt;TODAY(),N(AI108)=0),"Por iniciar",IF(N(AI108)+0.5&lt;AH108,"Retrasada",IF(N(AI108)+0.5&lt;DA108,IF(Reprogramaciones!$K$15&gt;0,"Al día · Sem "&amp;Reprogramaciones!$K$15&amp;" en curso","Al día · en curso"),"A tiempo"))))))</f>
        <v/>
      </c>
      <c r="AL108" s="39" t="str">
        <f aca="true">IF(AND(A108="",AND(B108="",C108="",E108="",F108="",COUNT(Q108:AF108)=0)),"",IF(AND(B108="",C108="",E108="",F108="",COUNT(Q108:AF108)=0),"Falta la partida o subpartida",IF(AND(A108&lt;&gt;"",COUNTIF($A$6:$A$305,A108)&gt;1),"Ítem repetido",IF(AND(C108="",E108="",F108="",COUNT(Q108:AF108)=0),"Título de partida",IF(OR(E108="",F108=""),"Faltan fechas",IF(OR(ISTEXT(E108),ISTEXT(F108)),"Fecha escrita como texto: usa dd/mm/aaaa",IF(F108&lt;E108,"Fin antes del inicio",IF(IF($J$2="",FALSE(),OR(E108&lt;$J$2,F108&gt;Reprogramaciones!$T$15+69)),"Fuera de las 10 semanas",IF(ABS(SUM(G108:P108)-100)&gt;0.5,"La meta no suma 100%",IF(ROUND(SUM(Q108:AF108),1)&gt;100.5,"El avance pasa de 100%",IF(MIN(Q108:AF108)&lt;0,"Avance negativo",IF(COUNTA(Q108:AF108)&gt;COUNT(Q108:AF108),"Avance escrito como texto",IF(SUMPRODUCT((Q108:AF108&gt;0)*(Q108:AF108&lt;1))&gt;0,"Avance menor a 1: escribe 50, no 50%",IF(SUMPRODUCT(ISNUMBER(Q108:AF108)*(Reprogramaciones!$K$8:$Z$8&gt;TODAY()))&gt;0,"Avance en semana que aún no llega",IF(AND(N(Reprogramaciones!$E$21)&gt;0,F108&gt;Reprogramaciones!$E$21),"Pasa el fin de la obra: registra una reprogramación",IF(AND(N(Reprogramaciones!$E$21)&gt;0,SUMPRODUCT(ISNUMBER(Q108:AF108)*(Reprogramaciones!$K$8:$Z$8&gt;Reprogramaciones!$E$21))&gt;0),"Avance después del fin de la obra: registra una reprogramación por atraso","OK"))))))))))))))))</f>
        <v/>
      </c>
      <c r="AM108" s="40" t="str">
        <f aca="false">IF(OR(OR(NOT(AND(ISNUMBER(E108),ISNUMBER(F108))),$J$2=""),1&gt;MAX(1,Reprogramaciones!$U$15)),"",IF(Reprogramaciones!K$12&gt;=7,"",IF(OR(BT108-N(0)&gt;0.05,N(Q108)&gt;0),ROUNDDOWN(ROUND(BT108,6),0)&amp;"%"&amp;IF(CJ108="",""," / "&amp;CJ108&amp;"%"),IF(AND(N(0)&gt;=99.95,CJ108&lt;&gt;"",N(CJ108)&lt;100),"Pend. "&amp;CJ108&amp;"%",""))))</f>
        <v/>
      </c>
      <c r="AN108" s="40" t="str">
        <f aca="false">IF(OR(OR(NOT(AND(ISNUMBER(E108),ISNUMBER(F108))),$J$2=""),2&gt;MAX(1,Reprogramaciones!$U$15)),"",IF(Reprogramaciones!L$12&gt;=7,"",IF(OR(BU108-N(BT108)&gt;0.05,N(R108)&gt;0),ROUNDDOWN(ROUND(BU108,6),0)&amp;"%"&amp;IF(CK108="",""," / "&amp;CK108&amp;"%"),IF(AND(N(BT108)&gt;=99.95,CK108&lt;&gt;"",N(CK108)&lt;100),"Pend. "&amp;CK108&amp;"%",""))))</f>
        <v/>
      </c>
      <c r="AO108" s="40" t="str">
        <f aca="false">IF(OR(OR(NOT(AND(ISNUMBER(E108),ISNUMBER(F108))),$J$2=""),3&gt;MAX(1,Reprogramaciones!$U$15)),"",IF(Reprogramaciones!M$12&gt;=7,"",IF(OR(BV108-N(BU108)&gt;0.05,N(S108)&gt;0),ROUNDDOWN(ROUND(BV108,6),0)&amp;"%"&amp;IF(CL108="",""," / "&amp;CL108&amp;"%"),IF(AND(N(BU108)&gt;=99.95,CL108&lt;&gt;"",N(CL108)&lt;100),"Pend. "&amp;CL108&amp;"%",""))))</f>
        <v/>
      </c>
      <c r="AP108" s="40" t="str">
        <f aca="false">IF(OR(OR(NOT(AND(ISNUMBER(E108),ISNUMBER(F108))),$J$2=""),4&gt;MAX(1,Reprogramaciones!$U$15)),"",IF(Reprogramaciones!N$12&gt;=7,"",IF(OR(BW108-N(BV108)&gt;0.05,N(T108)&gt;0),ROUNDDOWN(ROUND(BW108,6),0)&amp;"%"&amp;IF(CM108="",""," / "&amp;CM108&amp;"%"),IF(AND(N(BV108)&gt;=99.95,CM108&lt;&gt;"",N(CM108)&lt;100),"Pend. "&amp;CM108&amp;"%",""))))</f>
        <v/>
      </c>
      <c r="AQ108" s="40" t="str">
        <f aca="false">IF(OR(OR(NOT(AND(ISNUMBER(E108),ISNUMBER(F108))),$J$2=""),5&gt;MAX(1,Reprogramaciones!$U$15)),"",IF(Reprogramaciones!O$12&gt;=7,"",IF(OR(BX108-N(BW108)&gt;0.05,N(U108)&gt;0),ROUNDDOWN(ROUND(BX108,6),0)&amp;"%"&amp;IF(CN108="",""," / "&amp;CN108&amp;"%"),IF(AND(N(BW108)&gt;=99.95,CN108&lt;&gt;"",N(CN108)&lt;100),"Pend. "&amp;CN108&amp;"%",""))))</f>
        <v/>
      </c>
      <c r="AR108" s="40" t="str">
        <f aca="false">IF(OR(OR(NOT(AND(ISNUMBER(E108),ISNUMBER(F108))),$J$2=""),6&gt;MAX(1,Reprogramaciones!$U$15)),"",IF(Reprogramaciones!P$12&gt;=7,"",IF(OR(BY108-N(BX108)&gt;0.05,N(V108)&gt;0),ROUNDDOWN(ROUND(BY108,6),0)&amp;"%"&amp;IF(CO108="",""," / "&amp;CO108&amp;"%"),IF(AND(N(BX108)&gt;=99.95,CO108&lt;&gt;"",N(CO108)&lt;100),"Pend. "&amp;CO108&amp;"%",""))))</f>
        <v/>
      </c>
      <c r="AS108" s="40" t="str">
        <f aca="false">IF(OR(OR(NOT(AND(ISNUMBER(E108),ISNUMBER(F108))),$J$2=""),7&gt;MAX(1,Reprogramaciones!$U$15)),"",IF(Reprogramaciones!Q$12&gt;=7,"",IF(OR(BZ108-N(BY108)&gt;0.05,N(W108)&gt;0),ROUNDDOWN(ROUND(BZ108,6),0)&amp;"%"&amp;IF(CP108="",""," / "&amp;CP108&amp;"%"),IF(AND(N(BY108)&gt;=99.95,CP108&lt;&gt;"",N(CP108)&lt;100),"Pend. "&amp;CP108&amp;"%",""))))</f>
        <v/>
      </c>
      <c r="AT108" s="40" t="str">
        <f aca="false">IF(OR(OR(NOT(AND(ISNUMBER(E108),ISNUMBER(F108))),$J$2=""),8&gt;MAX(1,Reprogramaciones!$U$15)),"",IF(Reprogramaciones!R$12&gt;=7,"",IF(OR(CA108-N(BZ108)&gt;0.05,N(X108)&gt;0),ROUNDDOWN(ROUND(CA108,6),0)&amp;"%"&amp;IF(CQ108="",""," / "&amp;CQ108&amp;"%"),IF(AND(N(BZ108)&gt;=99.95,CQ108&lt;&gt;"",N(CQ108)&lt;100),"Pend. "&amp;CQ108&amp;"%",""))))</f>
        <v/>
      </c>
      <c r="AU108" s="40" t="str">
        <f aca="false">IF(OR(OR(NOT(AND(ISNUMBER(E108),ISNUMBER(F108))),$J$2=""),9&gt;MAX(1,Reprogramaciones!$U$15)),"",IF(Reprogramaciones!S$12&gt;=7,"",IF(OR(CB108-N(CA108)&gt;0.05,N(Y108)&gt;0),ROUNDDOWN(ROUND(CB108,6),0)&amp;"%"&amp;IF(CR108="",""," / "&amp;CR108&amp;"%"),IF(AND(N(CA108)&gt;=99.95,CR108&lt;&gt;"",N(CR108)&lt;100),"Pend. "&amp;CR108&amp;"%",""))))</f>
        <v/>
      </c>
      <c r="AV108" s="40" t="str">
        <f aca="false">IF(OR(OR(NOT(AND(ISNUMBER(E108),ISNUMBER(F108))),$J$2=""),10&gt;MAX(1,Reprogramaciones!$U$15)),"",IF(Reprogramaciones!T$12&gt;=7,"",IF(OR(CC108-N(CB108)&gt;0.05,N(Z108)&gt;0),ROUNDDOWN(ROUND(CC108,6),0)&amp;"%"&amp;IF(CS108="",""," / "&amp;CS108&amp;"%"),IF(AND(N(CB108)&gt;=99.95,CS108&lt;&gt;"",N(CS108)&lt;100),"Pend. "&amp;CS108&amp;"%",""))))</f>
        <v/>
      </c>
      <c r="AW108" s="40" t="str">
        <f aca="false">IF(OR(OR(NOT(AND(ISNUMBER(E108),ISNUMBER(F108))),$J$2=""),11&gt;MAX(1,Reprogramaciones!$U$15)),"",IF(Reprogramaciones!U$12&gt;=7,"",IF(OR(CD108-N(CC108)&gt;0.05,N(AA108)&gt;0),ROUNDDOWN(ROUND(CD108,6),0)&amp;"%"&amp;IF(CT108="",""," / "&amp;CT108&amp;"%"),IF(AND(N(CC108)&gt;=99.95,CT108&lt;&gt;"",N(CT108)&lt;100),"Pend. "&amp;CT108&amp;"%",""))))</f>
        <v/>
      </c>
      <c r="AX108" s="40" t="str">
        <f aca="false">IF(OR(OR(NOT(AND(ISNUMBER(E108),ISNUMBER(F108))),$J$2=""),12&gt;MAX(1,Reprogramaciones!$U$15)),"",IF(Reprogramaciones!V$12&gt;=7,"",IF(OR(CE108-N(CD108)&gt;0.05,N(AB108)&gt;0),ROUNDDOWN(ROUND(CE108,6),0)&amp;"%"&amp;IF(CU108="",""," / "&amp;CU108&amp;"%"),IF(AND(N(CD108)&gt;=99.95,CU108&lt;&gt;"",N(CU108)&lt;100),"Pend. "&amp;CU108&amp;"%",""))))</f>
        <v/>
      </c>
      <c r="AY108" s="40" t="str">
        <f aca="false">IF(OR(OR(NOT(AND(ISNUMBER(E108),ISNUMBER(F108))),$J$2=""),13&gt;MAX(1,Reprogramaciones!$U$15)),"",IF(Reprogramaciones!W$12&gt;=7,"",IF(OR(CF108-N(CE108)&gt;0.05,N(AC108)&gt;0),ROUNDDOWN(ROUND(CF108,6),0)&amp;"%"&amp;IF(CV108="",""," / "&amp;CV108&amp;"%"),IF(AND(N(CE108)&gt;=99.95,CV108&lt;&gt;"",N(CV108)&lt;100),"Pend. "&amp;CV108&amp;"%",""))))</f>
        <v/>
      </c>
      <c r="AZ108" s="40" t="str">
        <f aca="false">IF(OR(OR(NOT(AND(ISNUMBER(E108),ISNUMBER(F108))),$J$2=""),14&gt;MAX(1,Reprogramaciones!$U$15)),"",IF(Reprogramaciones!X$12&gt;=7,"",IF(OR(CG108-N(CF108)&gt;0.05,N(AD108)&gt;0),ROUNDDOWN(ROUND(CG108,6),0)&amp;"%"&amp;IF(CW108="",""," / "&amp;CW108&amp;"%"),IF(AND(N(CF108)&gt;=99.95,CW108&lt;&gt;"",N(CW108)&lt;100),"Pend. "&amp;CW108&amp;"%",""))))</f>
        <v/>
      </c>
      <c r="BA108" s="40" t="str">
        <f aca="false">IF(OR(OR(NOT(AND(ISNUMBER(E108),ISNUMBER(F108))),$J$2=""),15&gt;MAX(1,Reprogramaciones!$U$15)),"",IF(Reprogramaciones!Y$12&gt;=7,"",IF(OR(CH108-N(CG108)&gt;0.05,N(AE108)&gt;0),ROUNDDOWN(ROUND(CH108,6),0)&amp;"%"&amp;IF(CX108="",""," / "&amp;CX108&amp;"%"),IF(AND(N(CG108)&gt;=99.95,CX108&lt;&gt;"",N(CX108)&lt;100),"Pend. "&amp;CX108&amp;"%",""))))</f>
        <v/>
      </c>
      <c r="BB108" s="40" t="str">
        <f aca="false">IF(OR(OR(NOT(AND(ISNUMBER(E108),ISNUMBER(F108))),$J$2=""),16&gt;MAX(1,Reprogramaciones!$U$15)),"",IF(Reprogramaciones!Z$12&gt;=7,"",IF(OR(CI108-N(CH108)&gt;0.05,N(AF108)&gt;0),ROUNDDOWN(ROUND(CI108,6),0)&amp;"%"&amp;IF(CY108="",""," / "&amp;CY108&amp;"%"),IF(AND(N(CH108)&gt;=99.95,CY108&lt;&gt;"",N(CY108)&lt;100),"Pend. "&amp;CY108&amp;"%",""))))</f>
        <v/>
      </c>
      <c r="BC108" s="31" t="n">
        <f aca="false">IF(AND(ISNUMBER(E108),ISNUMBER(F108)),MAX(1,NETWORKDAYS.INTL(E108,F108,11)),0)</f>
        <v>0</v>
      </c>
      <c r="BD108" s="1" t="str">
        <f aca="false">IF(OR(NOT(AND(ISNUMBER(E108),ISNUMBER(F108))),$J$2=""),"",MIN(100,ROUND(SUM($G108:G108),1)))</f>
        <v/>
      </c>
      <c r="BE108" s="1" t="str">
        <f aca="false">IF(OR(NOT(AND(ISNUMBER(E108),ISNUMBER(F108))),$J$2=""),"",MIN(100,ROUND(SUM($G108:H108),1)))</f>
        <v/>
      </c>
      <c r="BF108" s="1" t="str">
        <f aca="false">IF(OR(NOT(AND(ISNUMBER(E108),ISNUMBER(F108))),$J$2=""),"",MIN(100,ROUND(SUM($G108:I108),1)))</f>
        <v/>
      </c>
      <c r="BG108" s="1" t="str">
        <f aca="false">IF(OR(NOT(AND(ISNUMBER(E108),ISNUMBER(F108))),$J$2=""),"",MIN(100,ROUND(SUM($G108:J108),1)))</f>
        <v/>
      </c>
      <c r="BH108" s="1" t="str">
        <f aca="false">IF(OR(NOT(AND(ISNUMBER(E108),ISNUMBER(F108))),$J$2=""),"",MIN(100,ROUND(SUM($G108:K108),1)))</f>
        <v/>
      </c>
      <c r="BI108" s="1" t="str">
        <f aca="false">IF(OR(NOT(AND(ISNUMBER(E108),ISNUMBER(F108))),$J$2=""),"",MIN(100,ROUND(SUM($G108:L108),1)))</f>
        <v/>
      </c>
      <c r="BJ108" s="1" t="str">
        <f aca="false">IF(OR(NOT(AND(ISNUMBER(E108),ISNUMBER(F108))),$J$2=""),"",MIN(100,ROUND(SUM($G108:M108),1)))</f>
        <v/>
      </c>
      <c r="BK108" s="1" t="str">
        <f aca="false">IF(OR(NOT(AND(ISNUMBER(E108),ISNUMBER(F108))),$J$2=""),"",MIN(100,ROUND(SUM($G108:N108),1)))</f>
        <v/>
      </c>
      <c r="BL108" s="1" t="str">
        <f aca="false">IF(OR(NOT(AND(ISNUMBER(E108),ISNUMBER(F108))),$J$2=""),"",MIN(100,ROUND(SUM($G108:O108),1)))</f>
        <v/>
      </c>
      <c r="BM108" s="1" t="str">
        <f aca="false">IF(OR(NOT(AND(ISNUMBER(E108),ISNUMBER(F108))),$J$2=""),"",MIN(100,ROUND(SUM($G108:P108),1)))</f>
        <v/>
      </c>
      <c r="BN108" s="1" t="str">
        <f aca="false">IF(OR(NOT(AND(ISNUMBER(E108),ISNUMBER(F108))),$J$2=""),"",MIN(100,ROUND(SUM($G108:P108),1)))</f>
        <v/>
      </c>
      <c r="BO108" s="1" t="str">
        <f aca="false">IF(OR(NOT(AND(ISNUMBER(E108),ISNUMBER(F108))),$J$2=""),"",MIN(100,ROUND(SUM($G108:P108),1)))</f>
        <v/>
      </c>
      <c r="BP108" s="1" t="str">
        <f aca="false">IF(OR(NOT(AND(ISNUMBER(E108),ISNUMBER(F108))),$J$2=""),"",MIN(100,ROUND(SUM($G108:P108),1)))</f>
        <v/>
      </c>
      <c r="BQ108" s="1" t="str">
        <f aca="false">IF(OR(NOT(AND(ISNUMBER(E108),ISNUMBER(F108))),$J$2=""),"",MIN(100,ROUND(SUM($G108:P108),1)))</f>
        <v/>
      </c>
      <c r="BR108" s="1" t="str">
        <f aca="false">IF(OR(NOT(AND(ISNUMBER(E108),ISNUMBER(F108))),$J$2=""),"",MIN(100,ROUND(SUM($G108:P108),1)))</f>
        <v/>
      </c>
      <c r="BS108" s="1" t="str">
        <f aca="false">IF(OR(NOT(AND(ISNUMBER(E108),ISNUMBER(F108))),$J$2=""),"",MIN(100,ROUND(SUM($G108:P108),1)))</f>
        <v/>
      </c>
      <c r="BT108" s="1" t="str">
        <f aca="false">IF(OR(NOT(AND(ISNUMBER(E108),ISNUMBER(F108))),$J$2=""),"",IF(Reprogramaciones!K$13&lt;Reprogramaciones!$T$15,0,IF(Reprogramaciones!K$14&gt;10,MIN(100,SUM($G108:$P108)),MIN(100,SUMPRODUCT((COLUMN($G108:$P108)-COLUMN($G108)+1&lt;Reprogramaciones!K$14)*$G108:$P108)+N(INDEX($G108:$P108,1,Reprogramaciones!K$14))*IF(Reprogramaciones!K$13&gt;=(Reprogramaciones!$T$15+7*(Reprogramaciones!K$14-1))+6,1,IF(MAX(0,NETWORKDAYS.INTL(MAX(E108,(Reprogramaciones!$T$15+7*(Reprogramaciones!K$14-1))),MIN(F108,(Reprogramaciones!$T$15+7*(Reprogramaciones!K$14-1))+6),11))=0,0,MAX(0,NETWORKDAYS.INTL(MAX(E108,(Reprogramaciones!$T$15+7*(Reprogramaciones!K$14-1))),MIN(F108,Reprogramaciones!K$13),11))/MAX(0,NETWORKDAYS.INTL(MAX(E108,(Reprogramaciones!$T$15+7*(Reprogramaciones!K$14-1))),MIN(F108,(Reprogramaciones!$T$15+7*(Reprogramaciones!K$14-1))+6),11))))))))</f>
        <v/>
      </c>
      <c r="BU108" s="1" t="str">
        <f aca="false">IF(OR(NOT(AND(ISNUMBER(E108),ISNUMBER(F108))),$J$2=""),"",IF(Reprogramaciones!L$13&lt;Reprogramaciones!$T$15,0,IF(Reprogramaciones!L$14&gt;10,MIN(100,SUM($G108:$P108)),MIN(100,SUMPRODUCT((COLUMN($G108:$P108)-COLUMN($G108)+1&lt;Reprogramaciones!L$14)*$G108:$P108)+N(INDEX($G108:$P108,1,Reprogramaciones!L$14))*IF(Reprogramaciones!L$13&gt;=(Reprogramaciones!$T$15+7*(Reprogramaciones!L$14-1))+6,1,IF(MAX(0,NETWORKDAYS.INTL(MAX(E108,(Reprogramaciones!$T$15+7*(Reprogramaciones!L$14-1))),MIN(F108,(Reprogramaciones!$T$15+7*(Reprogramaciones!L$14-1))+6),11))=0,0,MAX(0,NETWORKDAYS.INTL(MAX(E108,(Reprogramaciones!$T$15+7*(Reprogramaciones!L$14-1))),MIN(F108,Reprogramaciones!L$13),11))/MAX(0,NETWORKDAYS.INTL(MAX(E108,(Reprogramaciones!$T$15+7*(Reprogramaciones!L$14-1))),MIN(F108,(Reprogramaciones!$T$15+7*(Reprogramaciones!L$14-1))+6),11))))))))</f>
        <v/>
      </c>
      <c r="BV108" s="1" t="str">
        <f aca="false">IF(OR(NOT(AND(ISNUMBER(E108),ISNUMBER(F108))),$J$2=""),"",IF(Reprogramaciones!M$13&lt;Reprogramaciones!$T$15,0,IF(Reprogramaciones!M$14&gt;10,MIN(100,SUM($G108:$P108)),MIN(100,SUMPRODUCT((COLUMN($G108:$P108)-COLUMN($G108)+1&lt;Reprogramaciones!M$14)*$G108:$P108)+N(INDEX($G108:$P108,1,Reprogramaciones!M$14))*IF(Reprogramaciones!M$13&gt;=(Reprogramaciones!$T$15+7*(Reprogramaciones!M$14-1))+6,1,IF(MAX(0,NETWORKDAYS.INTL(MAX(E108,(Reprogramaciones!$T$15+7*(Reprogramaciones!M$14-1))),MIN(F108,(Reprogramaciones!$T$15+7*(Reprogramaciones!M$14-1))+6),11))=0,0,MAX(0,NETWORKDAYS.INTL(MAX(E108,(Reprogramaciones!$T$15+7*(Reprogramaciones!M$14-1))),MIN(F108,Reprogramaciones!M$13),11))/MAX(0,NETWORKDAYS.INTL(MAX(E108,(Reprogramaciones!$T$15+7*(Reprogramaciones!M$14-1))),MIN(F108,(Reprogramaciones!$T$15+7*(Reprogramaciones!M$14-1))+6),11))))))))</f>
        <v/>
      </c>
      <c r="BW108" s="1" t="str">
        <f aca="false">IF(OR(NOT(AND(ISNUMBER(E108),ISNUMBER(F108))),$J$2=""),"",IF(Reprogramaciones!N$13&lt;Reprogramaciones!$T$15,0,IF(Reprogramaciones!N$14&gt;10,MIN(100,SUM($G108:$P108)),MIN(100,SUMPRODUCT((COLUMN($G108:$P108)-COLUMN($G108)+1&lt;Reprogramaciones!N$14)*$G108:$P108)+N(INDEX($G108:$P108,1,Reprogramaciones!N$14))*IF(Reprogramaciones!N$13&gt;=(Reprogramaciones!$T$15+7*(Reprogramaciones!N$14-1))+6,1,IF(MAX(0,NETWORKDAYS.INTL(MAX(E108,(Reprogramaciones!$T$15+7*(Reprogramaciones!N$14-1))),MIN(F108,(Reprogramaciones!$T$15+7*(Reprogramaciones!N$14-1))+6),11))=0,0,MAX(0,NETWORKDAYS.INTL(MAX(E108,(Reprogramaciones!$T$15+7*(Reprogramaciones!N$14-1))),MIN(F108,Reprogramaciones!N$13),11))/MAX(0,NETWORKDAYS.INTL(MAX(E108,(Reprogramaciones!$T$15+7*(Reprogramaciones!N$14-1))),MIN(F108,(Reprogramaciones!$T$15+7*(Reprogramaciones!N$14-1))+6),11))))))))</f>
        <v/>
      </c>
      <c r="BX108" s="1" t="str">
        <f aca="false">IF(OR(NOT(AND(ISNUMBER(E108),ISNUMBER(F108))),$J$2=""),"",IF(Reprogramaciones!O$13&lt;Reprogramaciones!$T$15,0,IF(Reprogramaciones!O$14&gt;10,MIN(100,SUM($G108:$P108)),MIN(100,SUMPRODUCT((COLUMN($G108:$P108)-COLUMN($G108)+1&lt;Reprogramaciones!O$14)*$G108:$P108)+N(INDEX($G108:$P108,1,Reprogramaciones!O$14))*IF(Reprogramaciones!O$13&gt;=(Reprogramaciones!$T$15+7*(Reprogramaciones!O$14-1))+6,1,IF(MAX(0,NETWORKDAYS.INTL(MAX(E108,(Reprogramaciones!$T$15+7*(Reprogramaciones!O$14-1))),MIN(F108,(Reprogramaciones!$T$15+7*(Reprogramaciones!O$14-1))+6),11))=0,0,MAX(0,NETWORKDAYS.INTL(MAX(E108,(Reprogramaciones!$T$15+7*(Reprogramaciones!O$14-1))),MIN(F108,Reprogramaciones!O$13),11))/MAX(0,NETWORKDAYS.INTL(MAX(E108,(Reprogramaciones!$T$15+7*(Reprogramaciones!O$14-1))),MIN(F108,(Reprogramaciones!$T$15+7*(Reprogramaciones!O$14-1))+6),11))))))))</f>
        <v/>
      </c>
      <c r="BY108" s="1" t="str">
        <f aca="false">IF(OR(NOT(AND(ISNUMBER(E108),ISNUMBER(F108))),$J$2=""),"",IF(Reprogramaciones!P$13&lt;Reprogramaciones!$T$15,0,IF(Reprogramaciones!P$14&gt;10,MIN(100,SUM($G108:$P108)),MIN(100,SUMPRODUCT((COLUMN($G108:$P108)-COLUMN($G108)+1&lt;Reprogramaciones!P$14)*$G108:$P108)+N(INDEX($G108:$P108,1,Reprogramaciones!P$14))*IF(Reprogramaciones!P$13&gt;=(Reprogramaciones!$T$15+7*(Reprogramaciones!P$14-1))+6,1,IF(MAX(0,NETWORKDAYS.INTL(MAX(E108,(Reprogramaciones!$T$15+7*(Reprogramaciones!P$14-1))),MIN(F108,(Reprogramaciones!$T$15+7*(Reprogramaciones!P$14-1))+6),11))=0,0,MAX(0,NETWORKDAYS.INTL(MAX(E108,(Reprogramaciones!$T$15+7*(Reprogramaciones!P$14-1))),MIN(F108,Reprogramaciones!P$13),11))/MAX(0,NETWORKDAYS.INTL(MAX(E108,(Reprogramaciones!$T$15+7*(Reprogramaciones!P$14-1))),MIN(F108,(Reprogramaciones!$T$15+7*(Reprogramaciones!P$14-1))+6),11))))))))</f>
        <v/>
      </c>
      <c r="BZ108" s="1" t="str">
        <f aca="false">IF(OR(NOT(AND(ISNUMBER(E108),ISNUMBER(F108))),$J$2=""),"",IF(Reprogramaciones!Q$13&lt;Reprogramaciones!$T$15,0,IF(Reprogramaciones!Q$14&gt;10,MIN(100,SUM($G108:$P108)),MIN(100,SUMPRODUCT((COLUMN($G108:$P108)-COLUMN($G108)+1&lt;Reprogramaciones!Q$14)*$G108:$P108)+N(INDEX($G108:$P108,1,Reprogramaciones!Q$14))*IF(Reprogramaciones!Q$13&gt;=(Reprogramaciones!$T$15+7*(Reprogramaciones!Q$14-1))+6,1,IF(MAX(0,NETWORKDAYS.INTL(MAX(E108,(Reprogramaciones!$T$15+7*(Reprogramaciones!Q$14-1))),MIN(F108,(Reprogramaciones!$T$15+7*(Reprogramaciones!Q$14-1))+6),11))=0,0,MAX(0,NETWORKDAYS.INTL(MAX(E108,(Reprogramaciones!$T$15+7*(Reprogramaciones!Q$14-1))),MIN(F108,Reprogramaciones!Q$13),11))/MAX(0,NETWORKDAYS.INTL(MAX(E108,(Reprogramaciones!$T$15+7*(Reprogramaciones!Q$14-1))),MIN(F108,(Reprogramaciones!$T$15+7*(Reprogramaciones!Q$14-1))+6),11))))))))</f>
        <v/>
      </c>
      <c r="CA108" s="1" t="str">
        <f aca="false">IF(OR(NOT(AND(ISNUMBER(E108),ISNUMBER(F108))),$J$2=""),"",IF(Reprogramaciones!R$13&lt;Reprogramaciones!$T$15,0,IF(Reprogramaciones!R$14&gt;10,MIN(100,SUM($G108:$P108)),MIN(100,SUMPRODUCT((COLUMN($G108:$P108)-COLUMN($G108)+1&lt;Reprogramaciones!R$14)*$G108:$P108)+N(INDEX($G108:$P108,1,Reprogramaciones!R$14))*IF(Reprogramaciones!R$13&gt;=(Reprogramaciones!$T$15+7*(Reprogramaciones!R$14-1))+6,1,IF(MAX(0,NETWORKDAYS.INTL(MAX(E108,(Reprogramaciones!$T$15+7*(Reprogramaciones!R$14-1))),MIN(F108,(Reprogramaciones!$T$15+7*(Reprogramaciones!R$14-1))+6),11))=0,0,MAX(0,NETWORKDAYS.INTL(MAX(E108,(Reprogramaciones!$T$15+7*(Reprogramaciones!R$14-1))),MIN(F108,Reprogramaciones!R$13),11))/MAX(0,NETWORKDAYS.INTL(MAX(E108,(Reprogramaciones!$T$15+7*(Reprogramaciones!R$14-1))),MIN(F108,(Reprogramaciones!$T$15+7*(Reprogramaciones!R$14-1))+6),11))))))))</f>
        <v/>
      </c>
      <c r="CB108" s="1" t="str">
        <f aca="false">IF(OR(NOT(AND(ISNUMBER(E108),ISNUMBER(F108))),$J$2=""),"",IF(Reprogramaciones!S$13&lt;Reprogramaciones!$T$15,0,IF(Reprogramaciones!S$14&gt;10,MIN(100,SUM($G108:$P108)),MIN(100,SUMPRODUCT((COLUMN($G108:$P108)-COLUMN($G108)+1&lt;Reprogramaciones!S$14)*$G108:$P108)+N(INDEX($G108:$P108,1,Reprogramaciones!S$14))*IF(Reprogramaciones!S$13&gt;=(Reprogramaciones!$T$15+7*(Reprogramaciones!S$14-1))+6,1,IF(MAX(0,NETWORKDAYS.INTL(MAX(E108,(Reprogramaciones!$T$15+7*(Reprogramaciones!S$14-1))),MIN(F108,(Reprogramaciones!$T$15+7*(Reprogramaciones!S$14-1))+6),11))=0,0,MAX(0,NETWORKDAYS.INTL(MAX(E108,(Reprogramaciones!$T$15+7*(Reprogramaciones!S$14-1))),MIN(F108,Reprogramaciones!S$13),11))/MAX(0,NETWORKDAYS.INTL(MAX(E108,(Reprogramaciones!$T$15+7*(Reprogramaciones!S$14-1))),MIN(F108,(Reprogramaciones!$T$15+7*(Reprogramaciones!S$14-1))+6),11))))))))</f>
        <v/>
      </c>
      <c r="CC108" s="1" t="str">
        <f aca="false">IF(OR(NOT(AND(ISNUMBER(E108),ISNUMBER(F108))),$J$2=""),"",IF(Reprogramaciones!T$13&lt;Reprogramaciones!$T$15,0,IF(Reprogramaciones!T$14&gt;10,MIN(100,SUM($G108:$P108)),MIN(100,SUMPRODUCT((COLUMN($G108:$P108)-COLUMN($G108)+1&lt;Reprogramaciones!T$14)*$G108:$P108)+N(INDEX($G108:$P108,1,Reprogramaciones!T$14))*IF(Reprogramaciones!T$13&gt;=(Reprogramaciones!$T$15+7*(Reprogramaciones!T$14-1))+6,1,IF(MAX(0,NETWORKDAYS.INTL(MAX(E108,(Reprogramaciones!$T$15+7*(Reprogramaciones!T$14-1))),MIN(F108,(Reprogramaciones!$T$15+7*(Reprogramaciones!T$14-1))+6),11))=0,0,MAX(0,NETWORKDAYS.INTL(MAX(E108,(Reprogramaciones!$T$15+7*(Reprogramaciones!T$14-1))),MIN(F108,Reprogramaciones!T$13),11))/MAX(0,NETWORKDAYS.INTL(MAX(E108,(Reprogramaciones!$T$15+7*(Reprogramaciones!T$14-1))),MIN(F108,(Reprogramaciones!$T$15+7*(Reprogramaciones!T$14-1))+6),11))))))))</f>
        <v/>
      </c>
      <c r="CD108" s="1" t="str">
        <f aca="false">IF(OR(NOT(AND(ISNUMBER(E108),ISNUMBER(F108))),$J$2=""),"",IF(Reprogramaciones!U$13&lt;Reprogramaciones!$T$15,0,IF(Reprogramaciones!U$14&gt;10,MIN(100,SUM($G108:$P108)),MIN(100,SUMPRODUCT((COLUMN($G108:$P108)-COLUMN($G108)+1&lt;Reprogramaciones!U$14)*$G108:$P108)+N(INDEX($G108:$P108,1,Reprogramaciones!U$14))*IF(Reprogramaciones!U$13&gt;=(Reprogramaciones!$T$15+7*(Reprogramaciones!U$14-1))+6,1,IF(MAX(0,NETWORKDAYS.INTL(MAX(E108,(Reprogramaciones!$T$15+7*(Reprogramaciones!U$14-1))),MIN(F108,(Reprogramaciones!$T$15+7*(Reprogramaciones!U$14-1))+6),11))=0,0,MAX(0,NETWORKDAYS.INTL(MAX(E108,(Reprogramaciones!$T$15+7*(Reprogramaciones!U$14-1))),MIN(F108,Reprogramaciones!U$13),11))/MAX(0,NETWORKDAYS.INTL(MAX(E108,(Reprogramaciones!$T$15+7*(Reprogramaciones!U$14-1))),MIN(F108,(Reprogramaciones!$T$15+7*(Reprogramaciones!U$14-1))+6),11))))))))</f>
        <v/>
      </c>
      <c r="CE108" s="1" t="str">
        <f aca="false">IF(OR(NOT(AND(ISNUMBER(E108),ISNUMBER(F108))),$J$2=""),"",IF(Reprogramaciones!V$13&lt;Reprogramaciones!$T$15,0,IF(Reprogramaciones!V$14&gt;10,MIN(100,SUM($G108:$P108)),MIN(100,SUMPRODUCT((COLUMN($G108:$P108)-COLUMN($G108)+1&lt;Reprogramaciones!V$14)*$G108:$P108)+N(INDEX($G108:$P108,1,Reprogramaciones!V$14))*IF(Reprogramaciones!V$13&gt;=(Reprogramaciones!$T$15+7*(Reprogramaciones!V$14-1))+6,1,IF(MAX(0,NETWORKDAYS.INTL(MAX(E108,(Reprogramaciones!$T$15+7*(Reprogramaciones!V$14-1))),MIN(F108,(Reprogramaciones!$T$15+7*(Reprogramaciones!V$14-1))+6),11))=0,0,MAX(0,NETWORKDAYS.INTL(MAX(E108,(Reprogramaciones!$T$15+7*(Reprogramaciones!V$14-1))),MIN(F108,Reprogramaciones!V$13),11))/MAX(0,NETWORKDAYS.INTL(MAX(E108,(Reprogramaciones!$T$15+7*(Reprogramaciones!V$14-1))),MIN(F108,(Reprogramaciones!$T$15+7*(Reprogramaciones!V$14-1))+6),11))))))))</f>
        <v/>
      </c>
      <c r="CF108" s="1" t="str">
        <f aca="false">IF(OR(NOT(AND(ISNUMBER(E108),ISNUMBER(F108))),$J$2=""),"",IF(Reprogramaciones!W$13&lt;Reprogramaciones!$T$15,0,IF(Reprogramaciones!W$14&gt;10,MIN(100,SUM($G108:$P108)),MIN(100,SUMPRODUCT((COLUMN($G108:$P108)-COLUMN($G108)+1&lt;Reprogramaciones!W$14)*$G108:$P108)+N(INDEX($G108:$P108,1,Reprogramaciones!W$14))*IF(Reprogramaciones!W$13&gt;=(Reprogramaciones!$T$15+7*(Reprogramaciones!W$14-1))+6,1,IF(MAX(0,NETWORKDAYS.INTL(MAX(E108,(Reprogramaciones!$T$15+7*(Reprogramaciones!W$14-1))),MIN(F108,(Reprogramaciones!$T$15+7*(Reprogramaciones!W$14-1))+6),11))=0,0,MAX(0,NETWORKDAYS.INTL(MAX(E108,(Reprogramaciones!$T$15+7*(Reprogramaciones!W$14-1))),MIN(F108,Reprogramaciones!W$13),11))/MAX(0,NETWORKDAYS.INTL(MAX(E108,(Reprogramaciones!$T$15+7*(Reprogramaciones!W$14-1))),MIN(F108,(Reprogramaciones!$T$15+7*(Reprogramaciones!W$14-1))+6),11))))))))</f>
        <v/>
      </c>
      <c r="CG108" s="1" t="str">
        <f aca="false">IF(OR(NOT(AND(ISNUMBER(E108),ISNUMBER(F108))),$J$2=""),"",IF(Reprogramaciones!X$13&lt;Reprogramaciones!$T$15,0,IF(Reprogramaciones!X$14&gt;10,MIN(100,SUM($G108:$P108)),MIN(100,SUMPRODUCT((COLUMN($G108:$P108)-COLUMN($G108)+1&lt;Reprogramaciones!X$14)*$G108:$P108)+N(INDEX($G108:$P108,1,Reprogramaciones!X$14))*IF(Reprogramaciones!X$13&gt;=(Reprogramaciones!$T$15+7*(Reprogramaciones!X$14-1))+6,1,IF(MAX(0,NETWORKDAYS.INTL(MAX(E108,(Reprogramaciones!$T$15+7*(Reprogramaciones!X$14-1))),MIN(F108,(Reprogramaciones!$T$15+7*(Reprogramaciones!X$14-1))+6),11))=0,0,MAX(0,NETWORKDAYS.INTL(MAX(E108,(Reprogramaciones!$T$15+7*(Reprogramaciones!X$14-1))),MIN(F108,Reprogramaciones!X$13),11))/MAX(0,NETWORKDAYS.INTL(MAX(E108,(Reprogramaciones!$T$15+7*(Reprogramaciones!X$14-1))),MIN(F108,(Reprogramaciones!$T$15+7*(Reprogramaciones!X$14-1))+6),11))))))))</f>
        <v/>
      </c>
      <c r="CH108" s="1" t="str">
        <f aca="false">IF(OR(NOT(AND(ISNUMBER(E108),ISNUMBER(F108))),$J$2=""),"",IF(Reprogramaciones!Y$13&lt;Reprogramaciones!$T$15,0,IF(Reprogramaciones!Y$14&gt;10,MIN(100,SUM($G108:$P108)),MIN(100,SUMPRODUCT((COLUMN($G108:$P108)-COLUMN($G108)+1&lt;Reprogramaciones!Y$14)*$G108:$P108)+N(INDEX($G108:$P108,1,Reprogramaciones!Y$14))*IF(Reprogramaciones!Y$13&gt;=(Reprogramaciones!$T$15+7*(Reprogramaciones!Y$14-1))+6,1,IF(MAX(0,NETWORKDAYS.INTL(MAX(E108,(Reprogramaciones!$T$15+7*(Reprogramaciones!Y$14-1))),MIN(F108,(Reprogramaciones!$T$15+7*(Reprogramaciones!Y$14-1))+6),11))=0,0,MAX(0,NETWORKDAYS.INTL(MAX(E108,(Reprogramaciones!$T$15+7*(Reprogramaciones!Y$14-1))),MIN(F108,Reprogramaciones!Y$13),11))/MAX(0,NETWORKDAYS.INTL(MAX(E108,(Reprogramaciones!$T$15+7*(Reprogramaciones!Y$14-1))),MIN(F108,(Reprogramaciones!$T$15+7*(Reprogramaciones!Y$14-1))+6),11))))))))</f>
        <v/>
      </c>
      <c r="CI108" s="1" t="str">
        <f aca="false">IF(OR(NOT(AND(ISNUMBER(E108),ISNUMBER(F108))),$J$2=""),"",IF(Reprogramaciones!Z$13&lt;Reprogramaciones!$T$15,0,IF(Reprogramaciones!Z$14&gt;10,MIN(100,SUM($G108:$P108)),MIN(100,SUMPRODUCT((COLUMN($G108:$P108)-COLUMN($G108)+1&lt;Reprogramaciones!Z$14)*$G108:$P108)+N(INDEX($G108:$P108,1,Reprogramaciones!Z$14))*IF(Reprogramaciones!Z$13&gt;=(Reprogramaciones!$T$15+7*(Reprogramaciones!Z$14-1))+6,1,IF(MAX(0,NETWORKDAYS.INTL(MAX(E108,(Reprogramaciones!$T$15+7*(Reprogramaciones!Z$14-1))),MIN(F108,(Reprogramaciones!$T$15+7*(Reprogramaciones!Z$14-1))+6),11))=0,0,MAX(0,NETWORKDAYS.INTL(MAX(E108,(Reprogramaciones!$T$15+7*(Reprogramaciones!Z$14-1))),MIN(F108,Reprogramaciones!Z$13),11))/MAX(0,NETWORKDAYS.INTL(MAX(E108,(Reprogramaciones!$T$15+7*(Reprogramaciones!Z$14-1))),MIN(F108,(Reprogramaciones!$T$15+7*(Reprogramaciones!Z$14-1))+6),11))))))))</f>
        <v/>
      </c>
      <c r="CJ108" s="1" t="str">
        <f aca="false">IF(OR(OR(NOT(AND(ISNUMBER(E108),ISNUMBER(F108))),$J$2=""),1&gt;Reprogramaciones!$K$16),"",IF(ROUND(SUM($Q108:Q108),1)&gt;=99.5,100,MIN(100,ROUND(SUM($Q108:Q108),1))))</f>
        <v/>
      </c>
      <c r="CK108" s="1" t="str">
        <f aca="false">IF(OR(OR(NOT(AND(ISNUMBER(E108),ISNUMBER(F108))),$J$2=""),2&gt;Reprogramaciones!$K$16),"",IF(ROUND(SUM($Q108:R108),1)&gt;=99.5,100,MIN(100,ROUND(SUM($Q108:R108),1))))</f>
        <v/>
      </c>
      <c r="CL108" s="1" t="str">
        <f aca="false">IF(OR(OR(NOT(AND(ISNUMBER(E108),ISNUMBER(F108))),$J$2=""),3&gt;Reprogramaciones!$K$16),"",IF(ROUND(SUM($Q108:S108),1)&gt;=99.5,100,MIN(100,ROUND(SUM($Q108:S108),1))))</f>
        <v/>
      </c>
      <c r="CM108" s="1" t="str">
        <f aca="false">IF(OR(OR(NOT(AND(ISNUMBER(E108),ISNUMBER(F108))),$J$2=""),4&gt;Reprogramaciones!$K$16),"",IF(ROUND(SUM($Q108:T108),1)&gt;=99.5,100,MIN(100,ROUND(SUM($Q108:T108),1))))</f>
        <v/>
      </c>
      <c r="CN108" s="1" t="str">
        <f aca="false">IF(OR(OR(NOT(AND(ISNUMBER(E108),ISNUMBER(F108))),$J$2=""),5&gt;Reprogramaciones!$K$16),"",IF(ROUND(SUM($Q108:U108),1)&gt;=99.5,100,MIN(100,ROUND(SUM($Q108:U108),1))))</f>
        <v/>
      </c>
      <c r="CO108" s="1" t="str">
        <f aca="false">IF(OR(OR(NOT(AND(ISNUMBER(E108),ISNUMBER(F108))),$J$2=""),6&gt;Reprogramaciones!$K$16),"",IF(ROUND(SUM($Q108:V108),1)&gt;=99.5,100,MIN(100,ROUND(SUM($Q108:V108),1))))</f>
        <v/>
      </c>
      <c r="CP108" s="1" t="str">
        <f aca="false">IF(OR(OR(NOT(AND(ISNUMBER(E108),ISNUMBER(F108))),$J$2=""),7&gt;Reprogramaciones!$K$16),"",IF(ROUND(SUM($Q108:W108),1)&gt;=99.5,100,MIN(100,ROUND(SUM($Q108:W108),1))))</f>
        <v/>
      </c>
      <c r="CQ108" s="1" t="str">
        <f aca="false">IF(OR(OR(NOT(AND(ISNUMBER(E108),ISNUMBER(F108))),$J$2=""),8&gt;Reprogramaciones!$K$16),"",IF(ROUND(SUM($Q108:X108),1)&gt;=99.5,100,MIN(100,ROUND(SUM($Q108:X108),1))))</f>
        <v/>
      </c>
      <c r="CR108" s="1" t="str">
        <f aca="false">IF(OR(OR(NOT(AND(ISNUMBER(E108),ISNUMBER(F108))),$J$2=""),9&gt;Reprogramaciones!$K$16),"",IF(ROUND(SUM($Q108:Y108),1)&gt;=99.5,100,MIN(100,ROUND(SUM($Q108:Y108),1))))</f>
        <v/>
      </c>
      <c r="CS108" s="1" t="str">
        <f aca="false">IF(OR(OR(NOT(AND(ISNUMBER(E108),ISNUMBER(F108))),$J$2=""),10&gt;Reprogramaciones!$K$16),"",IF(ROUND(SUM($Q108:Z108),1)&gt;=99.5,100,MIN(100,ROUND(SUM($Q108:Z108),1))))</f>
        <v/>
      </c>
      <c r="CT108" s="1" t="str">
        <f aca="false">IF(OR(OR(NOT(AND(ISNUMBER(E108),ISNUMBER(F108))),$J$2=""),11&gt;Reprogramaciones!$K$16),"",IF(ROUND(SUM($Q108:AA108),1)&gt;=99.5,100,MIN(100,ROUND(SUM($Q108:AA108),1))))</f>
        <v/>
      </c>
      <c r="CU108" s="1" t="str">
        <f aca="false">IF(OR(OR(NOT(AND(ISNUMBER(E108),ISNUMBER(F108))),$J$2=""),12&gt;Reprogramaciones!$K$16),"",IF(ROUND(SUM($Q108:AB108),1)&gt;=99.5,100,MIN(100,ROUND(SUM($Q108:AB108),1))))</f>
        <v/>
      </c>
      <c r="CV108" s="1" t="str">
        <f aca="false">IF(OR(OR(NOT(AND(ISNUMBER(E108),ISNUMBER(F108))),$J$2=""),13&gt;Reprogramaciones!$K$16),"",IF(ROUND(SUM($Q108:AC108),1)&gt;=99.5,100,MIN(100,ROUND(SUM($Q108:AC108),1))))</f>
        <v/>
      </c>
      <c r="CW108" s="1" t="str">
        <f aca="false">IF(OR(OR(NOT(AND(ISNUMBER(E108),ISNUMBER(F108))),$J$2=""),14&gt;Reprogramaciones!$K$16),"",IF(ROUND(SUM($Q108:AD108),1)&gt;=99.5,100,MIN(100,ROUND(SUM($Q108:AD108),1))))</f>
        <v/>
      </c>
      <c r="CX108" s="1" t="str">
        <f aca="false">IF(OR(OR(NOT(AND(ISNUMBER(E108),ISNUMBER(F108))),$J$2=""),15&gt;Reprogramaciones!$K$16),"",IF(ROUND(SUM($Q108:AE108),1)&gt;=99.5,100,MIN(100,ROUND(SUM($Q108:AE108),1))))</f>
        <v/>
      </c>
      <c r="CY108" s="1" t="str">
        <f aca="false">IF(OR(OR(NOT(AND(ISNUMBER(E108),ISNUMBER(F108))),$J$2=""),16&gt;Reprogramaciones!$K$16),"",IF(ROUND(SUM($Q108:AF108),1)&gt;=99.5,100,MIN(100,ROUND(SUM($Q108:AF108),1))))</f>
        <v/>
      </c>
      <c r="CZ108" s="1" t="str">
        <f aca="false">IF(D108&lt;&gt;"",D108,IF(B108&lt;&gt;"","Contractual",CZ107))</f>
        <v>Contractual</v>
      </c>
      <c r="DA108" s="1" t="str">
        <f aca="false">IF(OR(NOT(AND(ISNUMBER(E108),ISNUMBER(F108))),$J$2=""),"",IF(Reprogramaciones!$Q$15&lt;Reprogramaciones!$T$15,0,IF(Reprogramaciones!$S$15&gt;10,MIN(100,SUM($G108:$P108)),MIN(100,SUMPRODUCT((COLUMN($G108:$P108)-COLUMN($G108)+1&lt;Reprogramaciones!$S$15)*$G108:$P108)+N(INDEX($G108:$P108,1,Reprogramaciones!$S$15))*IF(Reprogramaciones!$Q$15&gt;=(Reprogramaciones!$T$15+7*(Reprogramaciones!$S$15-1))+6,1,IF(MAX(0,NETWORKDAYS.INTL(MAX(E108,(Reprogramaciones!$T$15+7*(Reprogramaciones!$S$15-1))),MIN(F108,(Reprogramaciones!$T$15+7*(Reprogramaciones!$S$15-1))+6),11))=0,0,MAX(0,NETWORKDAYS.INTL(MAX(E108,(Reprogramaciones!$T$15+7*(Reprogramaciones!$S$15-1))),MIN(F108,Reprogramaciones!$Q$15),11))/MAX(0,NETWORKDAYS.INTL(MAX(E108,(Reprogramaciones!$T$15+7*(Reprogramaciones!$S$15-1))),MIN(F108,(Reprogramaciones!$T$15+7*(Reprogramaciones!$S$15-1))+6),11))))))))</f>
        <v/>
      </c>
    </row>
    <row r="109" customFormat="false" ht="15" hidden="false" customHeight="false" outlineLevel="0" collapsed="false">
      <c r="A109" s="32"/>
      <c r="B109" s="33"/>
      <c r="C109" s="33"/>
      <c r="D109" s="34"/>
      <c r="E109" s="35"/>
      <c r="F109" s="35"/>
      <c r="G109" s="36" t="str">
        <f aca="false">IF(OR(NOT(AND(ISNUMBER(E109),ISNUMBER(F109))),$J$2=""),"",IF(Reprogramaciones!K$9&lt;E109,0,IF(NETWORKDAYS.INTL(E109,F109,11)=0,IF(Reprogramaciones!K$9&gt;=F109,100,0),ROUND(NETWORKDAYS.INTL(E109,MIN(F109,Reprogramaciones!K$9),11)/NETWORKDAYS.INTL(E109,F109,11)*100,1)))-0)</f>
        <v/>
      </c>
      <c r="H109" s="36" t="str">
        <f aca="false">IF(OR(NOT(AND(ISNUMBER(E109),ISNUMBER(F109))),$J$2=""),"",IF(Reprogramaciones!L$9&lt;E109,0,IF(NETWORKDAYS.INTL(E109,F109,11)=0,IF(Reprogramaciones!L$9&gt;=F109,100,0),ROUND(NETWORKDAYS.INTL(E109,MIN(F109,Reprogramaciones!L$9),11)/NETWORKDAYS.INTL(E109,F109,11)*100,1)))-IF(Reprogramaciones!K$9&lt;E109,0,IF(NETWORKDAYS.INTL(E109,F109,11)=0,IF(Reprogramaciones!K$9&gt;=F109,100,0),ROUND(NETWORKDAYS.INTL(E109,MIN(F109,Reprogramaciones!K$9),11)/NETWORKDAYS.INTL(E109,F109,11)*100,1))))</f>
        <v/>
      </c>
      <c r="I109" s="36" t="str">
        <f aca="false">IF(OR(NOT(AND(ISNUMBER(E109),ISNUMBER(F109))),$J$2=""),"",IF(Reprogramaciones!M$9&lt;E109,0,IF(NETWORKDAYS.INTL(E109,F109,11)=0,IF(Reprogramaciones!M$9&gt;=F109,100,0),ROUND(NETWORKDAYS.INTL(E109,MIN(F109,Reprogramaciones!M$9),11)/NETWORKDAYS.INTL(E109,F109,11)*100,1)))-IF(Reprogramaciones!L$9&lt;E109,0,IF(NETWORKDAYS.INTL(E109,F109,11)=0,IF(Reprogramaciones!L$9&gt;=F109,100,0),ROUND(NETWORKDAYS.INTL(E109,MIN(F109,Reprogramaciones!L$9),11)/NETWORKDAYS.INTL(E109,F109,11)*100,1))))</f>
        <v/>
      </c>
      <c r="J109" s="36" t="str">
        <f aca="false">IF(OR(NOT(AND(ISNUMBER(E109),ISNUMBER(F109))),$J$2=""),"",IF(Reprogramaciones!N$9&lt;E109,0,IF(NETWORKDAYS.INTL(E109,F109,11)=0,IF(Reprogramaciones!N$9&gt;=F109,100,0),ROUND(NETWORKDAYS.INTL(E109,MIN(F109,Reprogramaciones!N$9),11)/NETWORKDAYS.INTL(E109,F109,11)*100,1)))-IF(Reprogramaciones!M$9&lt;E109,0,IF(NETWORKDAYS.INTL(E109,F109,11)=0,IF(Reprogramaciones!M$9&gt;=F109,100,0),ROUND(NETWORKDAYS.INTL(E109,MIN(F109,Reprogramaciones!M$9),11)/NETWORKDAYS.INTL(E109,F109,11)*100,1))))</f>
        <v/>
      </c>
      <c r="K109" s="36" t="str">
        <f aca="false">IF(OR(NOT(AND(ISNUMBER(E109),ISNUMBER(F109))),$J$2=""),"",IF(Reprogramaciones!O$9&lt;E109,0,IF(NETWORKDAYS.INTL(E109,F109,11)=0,IF(Reprogramaciones!O$9&gt;=F109,100,0),ROUND(NETWORKDAYS.INTL(E109,MIN(F109,Reprogramaciones!O$9),11)/NETWORKDAYS.INTL(E109,F109,11)*100,1)))-IF(Reprogramaciones!N$9&lt;E109,0,IF(NETWORKDAYS.INTL(E109,F109,11)=0,IF(Reprogramaciones!N$9&gt;=F109,100,0),ROUND(NETWORKDAYS.INTL(E109,MIN(F109,Reprogramaciones!N$9),11)/NETWORKDAYS.INTL(E109,F109,11)*100,1))))</f>
        <v/>
      </c>
      <c r="L109" s="36" t="str">
        <f aca="false">IF(OR(NOT(AND(ISNUMBER(E109),ISNUMBER(F109))),$J$2=""),"",IF(Reprogramaciones!P$9&lt;E109,0,IF(NETWORKDAYS.INTL(E109,F109,11)=0,IF(Reprogramaciones!P$9&gt;=F109,100,0),ROUND(NETWORKDAYS.INTL(E109,MIN(F109,Reprogramaciones!P$9),11)/NETWORKDAYS.INTL(E109,F109,11)*100,1)))-IF(Reprogramaciones!O$9&lt;E109,0,IF(NETWORKDAYS.INTL(E109,F109,11)=0,IF(Reprogramaciones!O$9&gt;=F109,100,0),ROUND(NETWORKDAYS.INTL(E109,MIN(F109,Reprogramaciones!O$9),11)/NETWORKDAYS.INTL(E109,F109,11)*100,1))))</f>
        <v/>
      </c>
      <c r="M109" s="36" t="str">
        <f aca="false">IF(OR(NOT(AND(ISNUMBER(E109),ISNUMBER(F109))),$J$2=""),"",IF(Reprogramaciones!Q$9&lt;E109,0,IF(NETWORKDAYS.INTL(E109,F109,11)=0,IF(Reprogramaciones!Q$9&gt;=F109,100,0),ROUND(NETWORKDAYS.INTL(E109,MIN(F109,Reprogramaciones!Q$9),11)/NETWORKDAYS.INTL(E109,F109,11)*100,1)))-IF(Reprogramaciones!P$9&lt;E109,0,IF(NETWORKDAYS.INTL(E109,F109,11)=0,IF(Reprogramaciones!P$9&gt;=F109,100,0),ROUND(NETWORKDAYS.INTL(E109,MIN(F109,Reprogramaciones!P$9),11)/NETWORKDAYS.INTL(E109,F109,11)*100,1))))</f>
        <v/>
      </c>
      <c r="N109" s="36" t="str">
        <f aca="false">IF(OR(NOT(AND(ISNUMBER(E109),ISNUMBER(F109))),$J$2=""),"",IF(Reprogramaciones!R$9&lt;E109,0,IF(NETWORKDAYS.INTL(E109,F109,11)=0,IF(Reprogramaciones!R$9&gt;=F109,100,0),ROUND(NETWORKDAYS.INTL(E109,MIN(F109,Reprogramaciones!R$9),11)/NETWORKDAYS.INTL(E109,F109,11)*100,1)))-IF(Reprogramaciones!Q$9&lt;E109,0,IF(NETWORKDAYS.INTL(E109,F109,11)=0,IF(Reprogramaciones!Q$9&gt;=F109,100,0),ROUND(NETWORKDAYS.INTL(E109,MIN(F109,Reprogramaciones!Q$9),11)/NETWORKDAYS.INTL(E109,F109,11)*100,1))))</f>
        <v/>
      </c>
      <c r="O109" s="36" t="str">
        <f aca="false">IF(OR(NOT(AND(ISNUMBER(E109),ISNUMBER(F109))),$J$2=""),"",IF(Reprogramaciones!S$9&lt;E109,0,IF(NETWORKDAYS.INTL(E109,F109,11)=0,IF(Reprogramaciones!S$9&gt;=F109,100,0),ROUND(NETWORKDAYS.INTL(E109,MIN(F109,Reprogramaciones!S$9),11)/NETWORKDAYS.INTL(E109,F109,11)*100,1)))-IF(Reprogramaciones!R$9&lt;E109,0,IF(NETWORKDAYS.INTL(E109,F109,11)=0,IF(Reprogramaciones!R$9&gt;=F109,100,0),ROUND(NETWORKDAYS.INTL(E109,MIN(F109,Reprogramaciones!R$9),11)/NETWORKDAYS.INTL(E109,F109,11)*100,1))))</f>
        <v/>
      </c>
      <c r="P109" s="36" t="str">
        <f aca="false">IF(OR(NOT(AND(ISNUMBER(E109),ISNUMBER(F109))),$J$2=""),"",IF(Reprogramaciones!T$9&lt;E109,0,IF(NETWORKDAYS.INTL(E109,F109,11)=0,IF(Reprogramaciones!T$9&gt;=F109,100,0),ROUND(NETWORKDAYS.INTL(E109,MIN(F109,Reprogramaciones!T$9),11)/NETWORKDAYS.INTL(E109,F109,11)*100,1)))-IF(Reprogramaciones!S$9&lt;E109,0,IF(NETWORKDAYS.INTL(E109,F109,11)=0,IF(Reprogramaciones!S$9&gt;=F109,100,0),ROUND(NETWORKDAYS.INTL(E109,MIN(F109,Reprogramaciones!S$9),11)/NETWORKDAYS.INTL(E109,F109,11)*100,1))))</f>
        <v/>
      </c>
      <c r="Q109" s="37"/>
      <c r="R109" s="37"/>
      <c r="S109" s="37"/>
      <c r="T109" s="37"/>
      <c r="U109" s="37"/>
      <c r="V109" s="37"/>
      <c r="W109" s="37"/>
      <c r="X109" s="37"/>
      <c r="Y109" s="37"/>
      <c r="Z109" s="37"/>
      <c r="AA109" s="37"/>
      <c r="AB109" s="37"/>
      <c r="AC109" s="37"/>
      <c r="AD109" s="37"/>
      <c r="AE109" s="37"/>
      <c r="AF109" s="37"/>
      <c r="AG109" s="38" t="str">
        <f aca="false">IF(AND(ISNUMBER(E109),ISNUMBER(F109)),NETWORKDAYS.INTL(E109,F109,11),"")</f>
        <v/>
      </c>
      <c r="AH109" s="38" t="str">
        <f aca="false">IF(OR(NOT(AND(ISNUMBER(E109),ISNUMBER(F109))),$J$2=""),"",IF(Reprogramaciones!$P$15&lt;Reprogramaciones!$T$15,0,IF(Reprogramaciones!$R$15&gt;10,MIN(100,SUM($G109:$P109)),MIN(100,SUMPRODUCT((COLUMN($G109:$P109)-COLUMN($G109)+1&lt;Reprogramaciones!$R$15)*$G109:$P109)+N(INDEX($G109:$P109,1,Reprogramaciones!$R$15))*IF(Reprogramaciones!$P$15&gt;=(Reprogramaciones!$T$15+7*(Reprogramaciones!$R$15-1))+6,1,IF(MAX(0,NETWORKDAYS.INTL(MAX(E109,(Reprogramaciones!$T$15+7*(Reprogramaciones!$R$15-1))),MIN(F109,(Reprogramaciones!$T$15+7*(Reprogramaciones!$R$15-1))+6),11))=0,0,MAX(0,NETWORKDAYS.INTL(MAX(E109,(Reprogramaciones!$T$15+7*(Reprogramaciones!$R$15-1))),MIN(F109,Reprogramaciones!$P$15),11))/MAX(0,NETWORKDAYS.INTL(MAX(E109,(Reprogramaciones!$T$15+7*(Reprogramaciones!$R$15-1))),MIN(F109,(Reprogramaciones!$T$15+7*(Reprogramaciones!$R$15-1))+6),11))))))))</f>
        <v/>
      </c>
      <c r="AI109" s="38" t="str">
        <f aca="false">IF(COUNT($Q109:$AF109)=0,"",IF(ROUND(SUM($Q109:$AF109),1)&gt;=99.5,100,MIN(100,ROUND(SUM($Q109:$AF109),1))))</f>
        <v/>
      </c>
      <c r="AJ109" s="38" t="str">
        <f aca="false">IF(OR(AH109="",AI109=""),"",AI109-AH109)</f>
        <v/>
      </c>
      <c r="AK109" s="39" t="str">
        <f aca="true">IF(AH109="","",IF(OR(Ficha!$C$10="Suspendida",Ficha!$C$10="Cancelada"),Ficha!$C$10,IF(AND(AI109&lt;&gt;"",N(AI109)&gt;=100),"Completada",IF(AND(E109&gt;TODAY(),N(AI109)=0),"Por iniciar",IF(N(AI109)+0.5&lt;AH109,"Retrasada",IF(N(AI109)+0.5&lt;DA109,IF(Reprogramaciones!$K$15&gt;0,"Al día · Sem "&amp;Reprogramaciones!$K$15&amp;" en curso","Al día · en curso"),"A tiempo"))))))</f>
        <v/>
      </c>
      <c r="AL109" s="39" t="str">
        <f aca="true">IF(AND(A109="",AND(B109="",C109="",E109="",F109="",COUNT(Q109:AF109)=0)),"",IF(AND(B109="",C109="",E109="",F109="",COUNT(Q109:AF109)=0),"Falta la partida o subpartida",IF(AND(A109&lt;&gt;"",COUNTIF($A$6:$A$305,A109)&gt;1),"Ítem repetido",IF(AND(C109="",E109="",F109="",COUNT(Q109:AF109)=0),"Título de partida",IF(OR(E109="",F109=""),"Faltan fechas",IF(OR(ISTEXT(E109),ISTEXT(F109)),"Fecha escrita como texto: usa dd/mm/aaaa",IF(F109&lt;E109,"Fin antes del inicio",IF(IF($J$2="",FALSE(),OR(E109&lt;$J$2,F109&gt;Reprogramaciones!$T$15+69)),"Fuera de las 10 semanas",IF(ABS(SUM(G109:P109)-100)&gt;0.5,"La meta no suma 100%",IF(ROUND(SUM(Q109:AF109),1)&gt;100.5,"El avance pasa de 100%",IF(MIN(Q109:AF109)&lt;0,"Avance negativo",IF(COUNTA(Q109:AF109)&gt;COUNT(Q109:AF109),"Avance escrito como texto",IF(SUMPRODUCT((Q109:AF109&gt;0)*(Q109:AF109&lt;1))&gt;0,"Avance menor a 1: escribe 50, no 50%",IF(SUMPRODUCT(ISNUMBER(Q109:AF109)*(Reprogramaciones!$K$8:$Z$8&gt;TODAY()))&gt;0,"Avance en semana que aún no llega",IF(AND(N(Reprogramaciones!$E$21)&gt;0,F109&gt;Reprogramaciones!$E$21),"Pasa el fin de la obra: registra una reprogramación",IF(AND(N(Reprogramaciones!$E$21)&gt;0,SUMPRODUCT(ISNUMBER(Q109:AF109)*(Reprogramaciones!$K$8:$Z$8&gt;Reprogramaciones!$E$21))&gt;0),"Avance después del fin de la obra: registra una reprogramación por atraso","OK"))))))))))))))))</f>
        <v/>
      </c>
      <c r="AM109" s="40" t="str">
        <f aca="false">IF(OR(OR(NOT(AND(ISNUMBER(E109),ISNUMBER(F109))),$J$2=""),1&gt;MAX(1,Reprogramaciones!$U$15)),"",IF(Reprogramaciones!K$12&gt;=7,"",IF(OR(BT109-N(0)&gt;0.05,N(Q109)&gt;0),ROUNDDOWN(ROUND(BT109,6),0)&amp;"%"&amp;IF(CJ109="",""," / "&amp;CJ109&amp;"%"),IF(AND(N(0)&gt;=99.95,CJ109&lt;&gt;"",N(CJ109)&lt;100),"Pend. "&amp;CJ109&amp;"%",""))))</f>
        <v/>
      </c>
      <c r="AN109" s="40" t="str">
        <f aca="false">IF(OR(OR(NOT(AND(ISNUMBER(E109),ISNUMBER(F109))),$J$2=""),2&gt;MAX(1,Reprogramaciones!$U$15)),"",IF(Reprogramaciones!L$12&gt;=7,"",IF(OR(BU109-N(BT109)&gt;0.05,N(R109)&gt;0),ROUNDDOWN(ROUND(BU109,6),0)&amp;"%"&amp;IF(CK109="",""," / "&amp;CK109&amp;"%"),IF(AND(N(BT109)&gt;=99.95,CK109&lt;&gt;"",N(CK109)&lt;100),"Pend. "&amp;CK109&amp;"%",""))))</f>
        <v/>
      </c>
      <c r="AO109" s="40" t="str">
        <f aca="false">IF(OR(OR(NOT(AND(ISNUMBER(E109),ISNUMBER(F109))),$J$2=""),3&gt;MAX(1,Reprogramaciones!$U$15)),"",IF(Reprogramaciones!M$12&gt;=7,"",IF(OR(BV109-N(BU109)&gt;0.05,N(S109)&gt;0),ROUNDDOWN(ROUND(BV109,6),0)&amp;"%"&amp;IF(CL109="",""," / "&amp;CL109&amp;"%"),IF(AND(N(BU109)&gt;=99.95,CL109&lt;&gt;"",N(CL109)&lt;100),"Pend. "&amp;CL109&amp;"%",""))))</f>
        <v/>
      </c>
      <c r="AP109" s="40" t="str">
        <f aca="false">IF(OR(OR(NOT(AND(ISNUMBER(E109),ISNUMBER(F109))),$J$2=""),4&gt;MAX(1,Reprogramaciones!$U$15)),"",IF(Reprogramaciones!N$12&gt;=7,"",IF(OR(BW109-N(BV109)&gt;0.05,N(T109)&gt;0),ROUNDDOWN(ROUND(BW109,6),0)&amp;"%"&amp;IF(CM109="",""," / "&amp;CM109&amp;"%"),IF(AND(N(BV109)&gt;=99.95,CM109&lt;&gt;"",N(CM109)&lt;100),"Pend. "&amp;CM109&amp;"%",""))))</f>
        <v/>
      </c>
      <c r="AQ109" s="40" t="str">
        <f aca="false">IF(OR(OR(NOT(AND(ISNUMBER(E109),ISNUMBER(F109))),$J$2=""),5&gt;MAX(1,Reprogramaciones!$U$15)),"",IF(Reprogramaciones!O$12&gt;=7,"",IF(OR(BX109-N(BW109)&gt;0.05,N(U109)&gt;0),ROUNDDOWN(ROUND(BX109,6),0)&amp;"%"&amp;IF(CN109="",""," / "&amp;CN109&amp;"%"),IF(AND(N(BW109)&gt;=99.95,CN109&lt;&gt;"",N(CN109)&lt;100),"Pend. "&amp;CN109&amp;"%",""))))</f>
        <v/>
      </c>
      <c r="AR109" s="40" t="str">
        <f aca="false">IF(OR(OR(NOT(AND(ISNUMBER(E109),ISNUMBER(F109))),$J$2=""),6&gt;MAX(1,Reprogramaciones!$U$15)),"",IF(Reprogramaciones!P$12&gt;=7,"",IF(OR(BY109-N(BX109)&gt;0.05,N(V109)&gt;0),ROUNDDOWN(ROUND(BY109,6),0)&amp;"%"&amp;IF(CO109="",""," / "&amp;CO109&amp;"%"),IF(AND(N(BX109)&gt;=99.95,CO109&lt;&gt;"",N(CO109)&lt;100),"Pend. "&amp;CO109&amp;"%",""))))</f>
        <v/>
      </c>
      <c r="AS109" s="40" t="str">
        <f aca="false">IF(OR(OR(NOT(AND(ISNUMBER(E109),ISNUMBER(F109))),$J$2=""),7&gt;MAX(1,Reprogramaciones!$U$15)),"",IF(Reprogramaciones!Q$12&gt;=7,"",IF(OR(BZ109-N(BY109)&gt;0.05,N(W109)&gt;0),ROUNDDOWN(ROUND(BZ109,6),0)&amp;"%"&amp;IF(CP109="",""," / "&amp;CP109&amp;"%"),IF(AND(N(BY109)&gt;=99.95,CP109&lt;&gt;"",N(CP109)&lt;100),"Pend. "&amp;CP109&amp;"%",""))))</f>
        <v/>
      </c>
      <c r="AT109" s="40" t="str">
        <f aca="false">IF(OR(OR(NOT(AND(ISNUMBER(E109),ISNUMBER(F109))),$J$2=""),8&gt;MAX(1,Reprogramaciones!$U$15)),"",IF(Reprogramaciones!R$12&gt;=7,"",IF(OR(CA109-N(BZ109)&gt;0.05,N(X109)&gt;0),ROUNDDOWN(ROUND(CA109,6),0)&amp;"%"&amp;IF(CQ109="",""," / "&amp;CQ109&amp;"%"),IF(AND(N(BZ109)&gt;=99.95,CQ109&lt;&gt;"",N(CQ109)&lt;100),"Pend. "&amp;CQ109&amp;"%",""))))</f>
        <v/>
      </c>
      <c r="AU109" s="40" t="str">
        <f aca="false">IF(OR(OR(NOT(AND(ISNUMBER(E109),ISNUMBER(F109))),$J$2=""),9&gt;MAX(1,Reprogramaciones!$U$15)),"",IF(Reprogramaciones!S$12&gt;=7,"",IF(OR(CB109-N(CA109)&gt;0.05,N(Y109)&gt;0),ROUNDDOWN(ROUND(CB109,6),0)&amp;"%"&amp;IF(CR109="",""," / "&amp;CR109&amp;"%"),IF(AND(N(CA109)&gt;=99.95,CR109&lt;&gt;"",N(CR109)&lt;100),"Pend. "&amp;CR109&amp;"%",""))))</f>
        <v/>
      </c>
      <c r="AV109" s="40" t="str">
        <f aca="false">IF(OR(OR(NOT(AND(ISNUMBER(E109),ISNUMBER(F109))),$J$2=""),10&gt;MAX(1,Reprogramaciones!$U$15)),"",IF(Reprogramaciones!T$12&gt;=7,"",IF(OR(CC109-N(CB109)&gt;0.05,N(Z109)&gt;0),ROUNDDOWN(ROUND(CC109,6),0)&amp;"%"&amp;IF(CS109="",""," / "&amp;CS109&amp;"%"),IF(AND(N(CB109)&gt;=99.95,CS109&lt;&gt;"",N(CS109)&lt;100),"Pend. "&amp;CS109&amp;"%",""))))</f>
        <v/>
      </c>
      <c r="AW109" s="40" t="str">
        <f aca="false">IF(OR(OR(NOT(AND(ISNUMBER(E109),ISNUMBER(F109))),$J$2=""),11&gt;MAX(1,Reprogramaciones!$U$15)),"",IF(Reprogramaciones!U$12&gt;=7,"",IF(OR(CD109-N(CC109)&gt;0.05,N(AA109)&gt;0),ROUNDDOWN(ROUND(CD109,6),0)&amp;"%"&amp;IF(CT109="",""," / "&amp;CT109&amp;"%"),IF(AND(N(CC109)&gt;=99.95,CT109&lt;&gt;"",N(CT109)&lt;100),"Pend. "&amp;CT109&amp;"%",""))))</f>
        <v/>
      </c>
      <c r="AX109" s="40" t="str">
        <f aca="false">IF(OR(OR(NOT(AND(ISNUMBER(E109),ISNUMBER(F109))),$J$2=""),12&gt;MAX(1,Reprogramaciones!$U$15)),"",IF(Reprogramaciones!V$12&gt;=7,"",IF(OR(CE109-N(CD109)&gt;0.05,N(AB109)&gt;0),ROUNDDOWN(ROUND(CE109,6),0)&amp;"%"&amp;IF(CU109="",""," / "&amp;CU109&amp;"%"),IF(AND(N(CD109)&gt;=99.95,CU109&lt;&gt;"",N(CU109)&lt;100),"Pend. "&amp;CU109&amp;"%",""))))</f>
        <v/>
      </c>
      <c r="AY109" s="40" t="str">
        <f aca="false">IF(OR(OR(NOT(AND(ISNUMBER(E109),ISNUMBER(F109))),$J$2=""),13&gt;MAX(1,Reprogramaciones!$U$15)),"",IF(Reprogramaciones!W$12&gt;=7,"",IF(OR(CF109-N(CE109)&gt;0.05,N(AC109)&gt;0),ROUNDDOWN(ROUND(CF109,6),0)&amp;"%"&amp;IF(CV109="",""," / "&amp;CV109&amp;"%"),IF(AND(N(CE109)&gt;=99.95,CV109&lt;&gt;"",N(CV109)&lt;100),"Pend. "&amp;CV109&amp;"%",""))))</f>
        <v/>
      </c>
      <c r="AZ109" s="40" t="str">
        <f aca="false">IF(OR(OR(NOT(AND(ISNUMBER(E109),ISNUMBER(F109))),$J$2=""),14&gt;MAX(1,Reprogramaciones!$U$15)),"",IF(Reprogramaciones!X$12&gt;=7,"",IF(OR(CG109-N(CF109)&gt;0.05,N(AD109)&gt;0),ROUNDDOWN(ROUND(CG109,6),0)&amp;"%"&amp;IF(CW109="",""," / "&amp;CW109&amp;"%"),IF(AND(N(CF109)&gt;=99.95,CW109&lt;&gt;"",N(CW109)&lt;100),"Pend. "&amp;CW109&amp;"%",""))))</f>
        <v/>
      </c>
      <c r="BA109" s="40" t="str">
        <f aca="false">IF(OR(OR(NOT(AND(ISNUMBER(E109),ISNUMBER(F109))),$J$2=""),15&gt;MAX(1,Reprogramaciones!$U$15)),"",IF(Reprogramaciones!Y$12&gt;=7,"",IF(OR(CH109-N(CG109)&gt;0.05,N(AE109)&gt;0),ROUNDDOWN(ROUND(CH109,6),0)&amp;"%"&amp;IF(CX109="",""," / "&amp;CX109&amp;"%"),IF(AND(N(CG109)&gt;=99.95,CX109&lt;&gt;"",N(CX109)&lt;100),"Pend. "&amp;CX109&amp;"%",""))))</f>
        <v/>
      </c>
      <c r="BB109" s="40" t="str">
        <f aca="false">IF(OR(OR(NOT(AND(ISNUMBER(E109),ISNUMBER(F109))),$J$2=""),16&gt;MAX(1,Reprogramaciones!$U$15)),"",IF(Reprogramaciones!Z$12&gt;=7,"",IF(OR(CI109-N(CH109)&gt;0.05,N(AF109)&gt;0),ROUNDDOWN(ROUND(CI109,6),0)&amp;"%"&amp;IF(CY109="",""," / "&amp;CY109&amp;"%"),IF(AND(N(CH109)&gt;=99.95,CY109&lt;&gt;"",N(CY109)&lt;100),"Pend. "&amp;CY109&amp;"%",""))))</f>
        <v/>
      </c>
      <c r="BC109" s="31" t="n">
        <f aca="false">IF(AND(ISNUMBER(E109),ISNUMBER(F109)),MAX(1,NETWORKDAYS.INTL(E109,F109,11)),0)</f>
        <v>0</v>
      </c>
      <c r="BD109" s="1" t="str">
        <f aca="false">IF(OR(NOT(AND(ISNUMBER(E109),ISNUMBER(F109))),$J$2=""),"",MIN(100,ROUND(SUM($G109:G109),1)))</f>
        <v/>
      </c>
      <c r="BE109" s="1" t="str">
        <f aca="false">IF(OR(NOT(AND(ISNUMBER(E109),ISNUMBER(F109))),$J$2=""),"",MIN(100,ROUND(SUM($G109:H109),1)))</f>
        <v/>
      </c>
      <c r="BF109" s="1" t="str">
        <f aca="false">IF(OR(NOT(AND(ISNUMBER(E109),ISNUMBER(F109))),$J$2=""),"",MIN(100,ROUND(SUM($G109:I109),1)))</f>
        <v/>
      </c>
      <c r="BG109" s="1" t="str">
        <f aca="false">IF(OR(NOT(AND(ISNUMBER(E109),ISNUMBER(F109))),$J$2=""),"",MIN(100,ROUND(SUM($G109:J109),1)))</f>
        <v/>
      </c>
      <c r="BH109" s="1" t="str">
        <f aca="false">IF(OR(NOT(AND(ISNUMBER(E109),ISNUMBER(F109))),$J$2=""),"",MIN(100,ROUND(SUM($G109:K109),1)))</f>
        <v/>
      </c>
      <c r="BI109" s="1" t="str">
        <f aca="false">IF(OR(NOT(AND(ISNUMBER(E109),ISNUMBER(F109))),$J$2=""),"",MIN(100,ROUND(SUM($G109:L109),1)))</f>
        <v/>
      </c>
      <c r="BJ109" s="1" t="str">
        <f aca="false">IF(OR(NOT(AND(ISNUMBER(E109),ISNUMBER(F109))),$J$2=""),"",MIN(100,ROUND(SUM($G109:M109),1)))</f>
        <v/>
      </c>
      <c r="BK109" s="1" t="str">
        <f aca="false">IF(OR(NOT(AND(ISNUMBER(E109),ISNUMBER(F109))),$J$2=""),"",MIN(100,ROUND(SUM($G109:N109),1)))</f>
        <v/>
      </c>
      <c r="BL109" s="1" t="str">
        <f aca="false">IF(OR(NOT(AND(ISNUMBER(E109),ISNUMBER(F109))),$J$2=""),"",MIN(100,ROUND(SUM($G109:O109),1)))</f>
        <v/>
      </c>
      <c r="BM109" s="1" t="str">
        <f aca="false">IF(OR(NOT(AND(ISNUMBER(E109),ISNUMBER(F109))),$J$2=""),"",MIN(100,ROUND(SUM($G109:P109),1)))</f>
        <v/>
      </c>
      <c r="BN109" s="1" t="str">
        <f aca="false">IF(OR(NOT(AND(ISNUMBER(E109),ISNUMBER(F109))),$J$2=""),"",MIN(100,ROUND(SUM($G109:P109),1)))</f>
        <v/>
      </c>
      <c r="BO109" s="1" t="str">
        <f aca="false">IF(OR(NOT(AND(ISNUMBER(E109),ISNUMBER(F109))),$J$2=""),"",MIN(100,ROUND(SUM($G109:P109),1)))</f>
        <v/>
      </c>
      <c r="BP109" s="1" t="str">
        <f aca="false">IF(OR(NOT(AND(ISNUMBER(E109),ISNUMBER(F109))),$J$2=""),"",MIN(100,ROUND(SUM($G109:P109),1)))</f>
        <v/>
      </c>
      <c r="BQ109" s="1" t="str">
        <f aca="false">IF(OR(NOT(AND(ISNUMBER(E109),ISNUMBER(F109))),$J$2=""),"",MIN(100,ROUND(SUM($G109:P109),1)))</f>
        <v/>
      </c>
      <c r="BR109" s="1" t="str">
        <f aca="false">IF(OR(NOT(AND(ISNUMBER(E109),ISNUMBER(F109))),$J$2=""),"",MIN(100,ROUND(SUM($G109:P109),1)))</f>
        <v/>
      </c>
      <c r="BS109" s="1" t="str">
        <f aca="false">IF(OR(NOT(AND(ISNUMBER(E109),ISNUMBER(F109))),$J$2=""),"",MIN(100,ROUND(SUM($G109:P109),1)))</f>
        <v/>
      </c>
      <c r="BT109" s="1" t="str">
        <f aca="false">IF(OR(NOT(AND(ISNUMBER(E109),ISNUMBER(F109))),$J$2=""),"",IF(Reprogramaciones!K$13&lt;Reprogramaciones!$T$15,0,IF(Reprogramaciones!K$14&gt;10,MIN(100,SUM($G109:$P109)),MIN(100,SUMPRODUCT((COLUMN($G109:$P109)-COLUMN($G109)+1&lt;Reprogramaciones!K$14)*$G109:$P109)+N(INDEX($G109:$P109,1,Reprogramaciones!K$14))*IF(Reprogramaciones!K$13&gt;=(Reprogramaciones!$T$15+7*(Reprogramaciones!K$14-1))+6,1,IF(MAX(0,NETWORKDAYS.INTL(MAX(E109,(Reprogramaciones!$T$15+7*(Reprogramaciones!K$14-1))),MIN(F109,(Reprogramaciones!$T$15+7*(Reprogramaciones!K$14-1))+6),11))=0,0,MAX(0,NETWORKDAYS.INTL(MAX(E109,(Reprogramaciones!$T$15+7*(Reprogramaciones!K$14-1))),MIN(F109,Reprogramaciones!K$13),11))/MAX(0,NETWORKDAYS.INTL(MAX(E109,(Reprogramaciones!$T$15+7*(Reprogramaciones!K$14-1))),MIN(F109,(Reprogramaciones!$T$15+7*(Reprogramaciones!K$14-1))+6),11))))))))</f>
        <v/>
      </c>
      <c r="BU109" s="1" t="str">
        <f aca="false">IF(OR(NOT(AND(ISNUMBER(E109),ISNUMBER(F109))),$J$2=""),"",IF(Reprogramaciones!L$13&lt;Reprogramaciones!$T$15,0,IF(Reprogramaciones!L$14&gt;10,MIN(100,SUM($G109:$P109)),MIN(100,SUMPRODUCT((COLUMN($G109:$P109)-COLUMN($G109)+1&lt;Reprogramaciones!L$14)*$G109:$P109)+N(INDEX($G109:$P109,1,Reprogramaciones!L$14))*IF(Reprogramaciones!L$13&gt;=(Reprogramaciones!$T$15+7*(Reprogramaciones!L$14-1))+6,1,IF(MAX(0,NETWORKDAYS.INTL(MAX(E109,(Reprogramaciones!$T$15+7*(Reprogramaciones!L$14-1))),MIN(F109,(Reprogramaciones!$T$15+7*(Reprogramaciones!L$14-1))+6),11))=0,0,MAX(0,NETWORKDAYS.INTL(MAX(E109,(Reprogramaciones!$T$15+7*(Reprogramaciones!L$14-1))),MIN(F109,Reprogramaciones!L$13),11))/MAX(0,NETWORKDAYS.INTL(MAX(E109,(Reprogramaciones!$T$15+7*(Reprogramaciones!L$14-1))),MIN(F109,(Reprogramaciones!$T$15+7*(Reprogramaciones!L$14-1))+6),11))))))))</f>
        <v/>
      </c>
      <c r="BV109" s="1" t="str">
        <f aca="false">IF(OR(NOT(AND(ISNUMBER(E109),ISNUMBER(F109))),$J$2=""),"",IF(Reprogramaciones!M$13&lt;Reprogramaciones!$T$15,0,IF(Reprogramaciones!M$14&gt;10,MIN(100,SUM($G109:$P109)),MIN(100,SUMPRODUCT((COLUMN($G109:$P109)-COLUMN($G109)+1&lt;Reprogramaciones!M$14)*$G109:$P109)+N(INDEX($G109:$P109,1,Reprogramaciones!M$14))*IF(Reprogramaciones!M$13&gt;=(Reprogramaciones!$T$15+7*(Reprogramaciones!M$14-1))+6,1,IF(MAX(0,NETWORKDAYS.INTL(MAX(E109,(Reprogramaciones!$T$15+7*(Reprogramaciones!M$14-1))),MIN(F109,(Reprogramaciones!$T$15+7*(Reprogramaciones!M$14-1))+6),11))=0,0,MAX(0,NETWORKDAYS.INTL(MAX(E109,(Reprogramaciones!$T$15+7*(Reprogramaciones!M$14-1))),MIN(F109,Reprogramaciones!M$13),11))/MAX(0,NETWORKDAYS.INTL(MAX(E109,(Reprogramaciones!$T$15+7*(Reprogramaciones!M$14-1))),MIN(F109,(Reprogramaciones!$T$15+7*(Reprogramaciones!M$14-1))+6),11))))))))</f>
        <v/>
      </c>
      <c r="BW109" s="1" t="str">
        <f aca="false">IF(OR(NOT(AND(ISNUMBER(E109),ISNUMBER(F109))),$J$2=""),"",IF(Reprogramaciones!N$13&lt;Reprogramaciones!$T$15,0,IF(Reprogramaciones!N$14&gt;10,MIN(100,SUM($G109:$P109)),MIN(100,SUMPRODUCT((COLUMN($G109:$P109)-COLUMN($G109)+1&lt;Reprogramaciones!N$14)*$G109:$P109)+N(INDEX($G109:$P109,1,Reprogramaciones!N$14))*IF(Reprogramaciones!N$13&gt;=(Reprogramaciones!$T$15+7*(Reprogramaciones!N$14-1))+6,1,IF(MAX(0,NETWORKDAYS.INTL(MAX(E109,(Reprogramaciones!$T$15+7*(Reprogramaciones!N$14-1))),MIN(F109,(Reprogramaciones!$T$15+7*(Reprogramaciones!N$14-1))+6),11))=0,0,MAX(0,NETWORKDAYS.INTL(MAX(E109,(Reprogramaciones!$T$15+7*(Reprogramaciones!N$14-1))),MIN(F109,Reprogramaciones!N$13),11))/MAX(0,NETWORKDAYS.INTL(MAX(E109,(Reprogramaciones!$T$15+7*(Reprogramaciones!N$14-1))),MIN(F109,(Reprogramaciones!$T$15+7*(Reprogramaciones!N$14-1))+6),11))))))))</f>
        <v/>
      </c>
      <c r="BX109" s="1" t="str">
        <f aca="false">IF(OR(NOT(AND(ISNUMBER(E109),ISNUMBER(F109))),$J$2=""),"",IF(Reprogramaciones!O$13&lt;Reprogramaciones!$T$15,0,IF(Reprogramaciones!O$14&gt;10,MIN(100,SUM($G109:$P109)),MIN(100,SUMPRODUCT((COLUMN($G109:$P109)-COLUMN($G109)+1&lt;Reprogramaciones!O$14)*$G109:$P109)+N(INDEX($G109:$P109,1,Reprogramaciones!O$14))*IF(Reprogramaciones!O$13&gt;=(Reprogramaciones!$T$15+7*(Reprogramaciones!O$14-1))+6,1,IF(MAX(0,NETWORKDAYS.INTL(MAX(E109,(Reprogramaciones!$T$15+7*(Reprogramaciones!O$14-1))),MIN(F109,(Reprogramaciones!$T$15+7*(Reprogramaciones!O$14-1))+6),11))=0,0,MAX(0,NETWORKDAYS.INTL(MAX(E109,(Reprogramaciones!$T$15+7*(Reprogramaciones!O$14-1))),MIN(F109,Reprogramaciones!O$13),11))/MAX(0,NETWORKDAYS.INTL(MAX(E109,(Reprogramaciones!$T$15+7*(Reprogramaciones!O$14-1))),MIN(F109,(Reprogramaciones!$T$15+7*(Reprogramaciones!O$14-1))+6),11))))))))</f>
        <v/>
      </c>
      <c r="BY109" s="1" t="str">
        <f aca="false">IF(OR(NOT(AND(ISNUMBER(E109),ISNUMBER(F109))),$J$2=""),"",IF(Reprogramaciones!P$13&lt;Reprogramaciones!$T$15,0,IF(Reprogramaciones!P$14&gt;10,MIN(100,SUM($G109:$P109)),MIN(100,SUMPRODUCT((COLUMN($G109:$P109)-COLUMN($G109)+1&lt;Reprogramaciones!P$14)*$G109:$P109)+N(INDEX($G109:$P109,1,Reprogramaciones!P$14))*IF(Reprogramaciones!P$13&gt;=(Reprogramaciones!$T$15+7*(Reprogramaciones!P$14-1))+6,1,IF(MAX(0,NETWORKDAYS.INTL(MAX(E109,(Reprogramaciones!$T$15+7*(Reprogramaciones!P$14-1))),MIN(F109,(Reprogramaciones!$T$15+7*(Reprogramaciones!P$14-1))+6),11))=0,0,MAX(0,NETWORKDAYS.INTL(MAX(E109,(Reprogramaciones!$T$15+7*(Reprogramaciones!P$14-1))),MIN(F109,Reprogramaciones!P$13),11))/MAX(0,NETWORKDAYS.INTL(MAX(E109,(Reprogramaciones!$T$15+7*(Reprogramaciones!P$14-1))),MIN(F109,(Reprogramaciones!$T$15+7*(Reprogramaciones!P$14-1))+6),11))))))))</f>
        <v/>
      </c>
      <c r="BZ109" s="1" t="str">
        <f aca="false">IF(OR(NOT(AND(ISNUMBER(E109),ISNUMBER(F109))),$J$2=""),"",IF(Reprogramaciones!Q$13&lt;Reprogramaciones!$T$15,0,IF(Reprogramaciones!Q$14&gt;10,MIN(100,SUM($G109:$P109)),MIN(100,SUMPRODUCT((COLUMN($G109:$P109)-COLUMN($G109)+1&lt;Reprogramaciones!Q$14)*$G109:$P109)+N(INDEX($G109:$P109,1,Reprogramaciones!Q$14))*IF(Reprogramaciones!Q$13&gt;=(Reprogramaciones!$T$15+7*(Reprogramaciones!Q$14-1))+6,1,IF(MAX(0,NETWORKDAYS.INTL(MAX(E109,(Reprogramaciones!$T$15+7*(Reprogramaciones!Q$14-1))),MIN(F109,(Reprogramaciones!$T$15+7*(Reprogramaciones!Q$14-1))+6),11))=0,0,MAX(0,NETWORKDAYS.INTL(MAX(E109,(Reprogramaciones!$T$15+7*(Reprogramaciones!Q$14-1))),MIN(F109,Reprogramaciones!Q$13),11))/MAX(0,NETWORKDAYS.INTL(MAX(E109,(Reprogramaciones!$T$15+7*(Reprogramaciones!Q$14-1))),MIN(F109,(Reprogramaciones!$T$15+7*(Reprogramaciones!Q$14-1))+6),11))))))))</f>
        <v/>
      </c>
      <c r="CA109" s="1" t="str">
        <f aca="false">IF(OR(NOT(AND(ISNUMBER(E109),ISNUMBER(F109))),$J$2=""),"",IF(Reprogramaciones!R$13&lt;Reprogramaciones!$T$15,0,IF(Reprogramaciones!R$14&gt;10,MIN(100,SUM($G109:$P109)),MIN(100,SUMPRODUCT((COLUMN($G109:$P109)-COLUMN($G109)+1&lt;Reprogramaciones!R$14)*$G109:$P109)+N(INDEX($G109:$P109,1,Reprogramaciones!R$14))*IF(Reprogramaciones!R$13&gt;=(Reprogramaciones!$T$15+7*(Reprogramaciones!R$14-1))+6,1,IF(MAX(0,NETWORKDAYS.INTL(MAX(E109,(Reprogramaciones!$T$15+7*(Reprogramaciones!R$14-1))),MIN(F109,(Reprogramaciones!$T$15+7*(Reprogramaciones!R$14-1))+6),11))=0,0,MAX(0,NETWORKDAYS.INTL(MAX(E109,(Reprogramaciones!$T$15+7*(Reprogramaciones!R$14-1))),MIN(F109,Reprogramaciones!R$13),11))/MAX(0,NETWORKDAYS.INTL(MAX(E109,(Reprogramaciones!$T$15+7*(Reprogramaciones!R$14-1))),MIN(F109,(Reprogramaciones!$T$15+7*(Reprogramaciones!R$14-1))+6),11))))))))</f>
        <v/>
      </c>
      <c r="CB109" s="1" t="str">
        <f aca="false">IF(OR(NOT(AND(ISNUMBER(E109),ISNUMBER(F109))),$J$2=""),"",IF(Reprogramaciones!S$13&lt;Reprogramaciones!$T$15,0,IF(Reprogramaciones!S$14&gt;10,MIN(100,SUM($G109:$P109)),MIN(100,SUMPRODUCT((COLUMN($G109:$P109)-COLUMN($G109)+1&lt;Reprogramaciones!S$14)*$G109:$P109)+N(INDEX($G109:$P109,1,Reprogramaciones!S$14))*IF(Reprogramaciones!S$13&gt;=(Reprogramaciones!$T$15+7*(Reprogramaciones!S$14-1))+6,1,IF(MAX(0,NETWORKDAYS.INTL(MAX(E109,(Reprogramaciones!$T$15+7*(Reprogramaciones!S$14-1))),MIN(F109,(Reprogramaciones!$T$15+7*(Reprogramaciones!S$14-1))+6),11))=0,0,MAX(0,NETWORKDAYS.INTL(MAX(E109,(Reprogramaciones!$T$15+7*(Reprogramaciones!S$14-1))),MIN(F109,Reprogramaciones!S$13),11))/MAX(0,NETWORKDAYS.INTL(MAX(E109,(Reprogramaciones!$T$15+7*(Reprogramaciones!S$14-1))),MIN(F109,(Reprogramaciones!$T$15+7*(Reprogramaciones!S$14-1))+6),11))))))))</f>
        <v/>
      </c>
      <c r="CC109" s="1" t="str">
        <f aca="false">IF(OR(NOT(AND(ISNUMBER(E109),ISNUMBER(F109))),$J$2=""),"",IF(Reprogramaciones!T$13&lt;Reprogramaciones!$T$15,0,IF(Reprogramaciones!T$14&gt;10,MIN(100,SUM($G109:$P109)),MIN(100,SUMPRODUCT((COLUMN($G109:$P109)-COLUMN($G109)+1&lt;Reprogramaciones!T$14)*$G109:$P109)+N(INDEX($G109:$P109,1,Reprogramaciones!T$14))*IF(Reprogramaciones!T$13&gt;=(Reprogramaciones!$T$15+7*(Reprogramaciones!T$14-1))+6,1,IF(MAX(0,NETWORKDAYS.INTL(MAX(E109,(Reprogramaciones!$T$15+7*(Reprogramaciones!T$14-1))),MIN(F109,(Reprogramaciones!$T$15+7*(Reprogramaciones!T$14-1))+6),11))=0,0,MAX(0,NETWORKDAYS.INTL(MAX(E109,(Reprogramaciones!$T$15+7*(Reprogramaciones!T$14-1))),MIN(F109,Reprogramaciones!T$13),11))/MAX(0,NETWORKDAYS.INTL(MAX(E109,(Reprogramaciones!$T$15+7*(Reprogramaciones!T$14-1))),MIN(F109,(Reprogramaciones!$T$15+7*(Reprogramaciones!T$14-1))+6),11))))))))</f>
        <v/>
      </c>
      <c r="CD109" s="1" t="str">
        <f aca="false">IF(OR(NOT(AND(ISNUMBER(E109),ISNUMBER(F109))),$J$2=""),"",IF(Reprogramaciones!U$13&lt;Reprogramaciones!$T$15,0,IF(Reprogramaciones!U$14&gt;10,MIN(100,SUM($G109:$P109)),MIN(100,SUMPRODUCT((COLUMN($G109:$P109)-COLUMN($G109)+1&lt;Reprogramaciones!U$14)*$G109:$P109)+N(INDEX($G109:$P109,1,Reprogramaciones!U$14))*IF(Reprogramaciones!U$13&gt;=(Reprogramaciones!$T$15+7*(Reprogramaciones!U$14-1))+6,1,IF(MAX(0,NETWORKDAYS.INTL(MAX(E109,(Reprogramaciones!$T$15+7*(Reprogramaciones!U$14-1))),MIN(F109,(Reprogramaciones!$T$15+7*(Reprogramaciones!U$14-1))+6),11))=0,0,MAX(0,NETWORKDAYS.INTL(MAX(E109,(Reprogramaciones!$T$15+7*(Reprogramaciones!U$14-1))),MIN(F109,Reprogramaciones!U$13),11))/MAX(0,NETWORKDAYS.INTL(MAX(E109,(Reprogramaciones!$T$15+7*(Reprogramaciones!U$14-1))),MIN(F109,(Reprogramaciones!$T$15+7*(Reprogramaciones!U$14-1))+6),11))))))))</f>
        <v/>
      </c>
      <c r="CE109" s="1" t="str">
        <f aca="false">IF(OR(NOT(AND(ISNUMBER(E109),ISNUMBER(F109))),$J$2=""),"",IF(Reprogramaciones!V$13&lt;Reprogramaciones!$T$15,0,IF(Reprogramaciones!V$14&gt;10,MIN(100,SUM($G109:$P109)),MIN(100,SUMPRODUCT((COLUMN($G109:$P109)-COLUMN($G109)+1&lt;Reprogramaciones!V$14)*$G109:$P109)+N(INDEX($G109:$P109,1,Reprogramaciones!V$14))*IF(Reprogramaciones!V$13&gt;=(Reprogramaciones!$T$15+7*(Reprogramaciones!V$14-1))+6,1,IF(MAX(0,NETWORKDAYS.INTL(MAX(E109,(Reprogramaciones!$T$15+7*(Reprogramaciones!V$14-1))),MIN(F109,(Reprogramaciones!$T$15+7*(Reprogramaciones!V$14-1))+6),11))=0,0,MAX(0,NETWORKDAYS.INTL(MAX(E109,(Reprogramaciones!$T$15+7*(Reprogramaciones!V$14-1))),MIN(F109,Reprogramaciones!V$13),11))/MAX(0,NETWORKDAYS.INTL(MAX(E109,(Reprogramaciones!$T$15+7*(Reprogramaciones!V$14-1))),MIN(F109,(Reprogramaciones!$T$15+7*(Reprogramaciones!V$14-1))+6),11))))))))</f>
        <v/>
      </c>
      <c r="CF109" s="1" t="str">
        <f aca="false">IF(OR(NOT(AND(ISNUMBER(E109),ISNUMBER(F109))),$J$2=""),"",IF(Reprogramaciones!W$13&lt;Reprogramaciones!$T$15,0,IF(Reprogramaciones!W$14&gt;10,MIN(100,SUM($G109:$P109)),MIN(100,SUMPRODUCT((COLUMN($G109:$P109)-COLUMN($G109)+1&lt;Reprogramaciones!W$14)*$G109:$P109)+N(INDEX($G109:$P109,1,Reprogramaciones!W$14))*IF(Reprogramaciones!W$13&gt;=(Reprogramaciones!$T$15+7*(Reprogramaciones!W$14-1))+6,1,IF(MAX(0,NETWORKDAYS.INTL(MAX(E109,(Reprogramaciones!$T$15+7*(Reprogramaciones!W$14-1))),MIN(F109,(Reprogramaciones!$T$15+7*(Reprogramaciones!W$14-1))+6),11))=0,0,MAX(0,NETWORKDAYS.INTL(MAX(E109,(Reprogramaciones!$T$15+7*(Reprogramaciones!W$14-1))),MIN(F109,Reprogramaciones!W$13),11))/MAX(0,NETWORKDAYS.INTL(MAX(E109,(Reprogramaciones!$T$15+7*(Reprogramaciones!W$14-1))),MIN(F109,(Reprogramaciones!$T$15+7*(Reprogramaciones!W$14-1))+6),11))))))))</f>
        <v/>
      </c>
      <c r="CG109" s="1" t="str">
        <f aca="false">IF(OR(NOT(AND(ISNUMBER(E109),ISNUMBER(F109))),$J$2=""),"",IF(Reprogramaciones!X$13&lt;Reprogramaciones!$T$15,0,IF(Reprogramaciones!X$14&gt;10,MIN(100,SUM($G109:$P109)),MIN(100,SUMPRODUCT((COLUMN($G109:$P109)-COLUMN($G109)+1&lt;Reprogramaciones!X$14)*$G109:$P109)+N(INDEX($G109:$P109,1,Reprogramaciones!X$14))*IF(Reprogramaciones!X$13&gt;=(Reprogramaciones!$T$15+7*(Reprogramaciones!X$14-1))+6,1,IF(MAX(0,NETWORKDAYS.INTL(MAX(E109,(Reprogramaciones!$T$15+7*(Reprogramaciones!X$14-1))),MIN(F109,(Reprogramaciones!$T$15+7*(Reprogramaciones!X$14-1))+6),11))=0,0,MAX(0,NETWORKDAYS.INTL(MAX(E109,(Reprogramaciones!$T$15+7*(Reprogramaciones!X$14-1))),MIN(F109,Reprogramaciones!X$13),11))/MAX(0,NETWORKDAYS.INTL(MAX(E109,(Reprogramaciones!$T$15+7*(Reprogramaciones!X$14-1))),MIN(F109,(Reprogramaciones!$T$15+7*(Reprogramaciones!X$14-1))+6),11))))))))</f>
        <v/>
      </c>
      <c r="CH109" s="1" t="str">
        <f aca="false">IF(OR(NOT(AND(ISNUMBER(E109),ISNUMBER(F109))),$J$2=""),"",IF(Reprogramaciones!Y$13&lt;Reprogramaciones!$T$15,0,IF(Reprogramaciones!Y$14&gt;10,MIN(100,SUM($G109:$P109)),MIN(100,SUMPRODUCT((COLUMN($G109:$P109)-COLUMN($G109)+1&lt;Reprogramaciones!Y$14)*$G109:$P109)+N(INDEX($G109:$P109,1,Reprogramaciones!Y$14))*IF(Reprogramaciones!Y$13&gt;=(Reprogramaciones!$T$15+7*(Reprogramaciones!Y$14-1))+6,1,IF(MAX(0,NETWORKDAYS.INTL(MAX(E109,(Reprogramaciones!$T$15+7*(Reprogramaciones!Y$14-1))),MIN(F109,(Reprogramaciones!$T$15+7*(Reprogramaciones!Y$14-1))+6),11))=0,0,MAX(0,NETWORKDAYS.INTL(MAX(E109,(Reprogramaciones!$T$15+7*(Reprogramaciones!Y$14-1))),MIN(F109,Reprogramaciones!Y$13),11))/MAX(0,NETWORKDAYS.INTL(MAX(E109,(Reprogramaciones!$T$15+7*(Reprogramaciones!Y$14-1))),MIN(F109,(Reprogramaciones!$T$15+7*(Reprogramaciones!Y$14-1))+6),11))))))))</f>
        <v/>
      </c>
      <c r="CI109" s="1" t="str">
        <f aca="false">IF(OR(NOT(AND(ISNUMBER(E109),ISNUMBER(F109))),$J$2=""),"",IF(Reprogramaciones!Z$13&lt;Reprogramaciones!$T$15,0,IF(Reprogramaciones!Z$14&gt;10,MIN(100,SUM($G109:$P109)),MIN(100,SUMPRODUCT((COLUMN($G109:$P109)-COLUMN($G109)+1&lt;Reprogramaciones!Z$14)*$G109:$P109)+N(INDEX($G109:$P109,1,Reprogramaciones!Z$14))*IF(Reprogramaciones!Z$13&gt;=(Reprogramaciones!$T$15+7*(Reprogramaciones!Z$14-1))+6,1,IF(MAX(0,NETWORKDAYS.INTL(MAX(E109,(Reprogramaciones!$T$15+7*(Reprogramaciones!Z$14-1))),MIN(F109,(Reprogramaciones!$T$15+7*(Reprogramaciones!Z$14-1))+6),11))=0,0,MAX(0,NETWORKDAYS.INTL(MAX(E109,(Reprogramaciones!$T$15+7*(Reprogramaciones!Z$14-1))),MIN(F109,Reprogramaciones!Z$13),11))/MAX(0,NETWORKDAYS.INTL(MAX(E109,(Reprogramaciones!$T$15+7*(Reprogramaciones!Z$14-1))),MIN(F109,(Reprogramaciones!$T$15+7*(Reprogramaciones!Z$14-1))+6),11))))))))</f>
        <v/>
      </c>
      <c r="CJ109" s="1" t="str">
        <f aca="false">IF(OR(OR(NOT(AND(ISNUMBER(E109),ISNUMBER(F109))),$J$2=""),1&gt;Reprogramaciones!$K$16),"",IF(ROUND(SUM($Q109:Q109),1)&gt;=99.5,100,MIN(100,ROUND(SUM($Q109:Q109),1))))</f>
        <v/>
      </c>
      <c r="CK109" s="1" t="str">
        <f aca="false">IF(OR(OR(NOT(AND(ISNUMBER(E109),ISNUMBER(F109))),$J$2=""),2&gt;Reprogramaciones!$K$16),"",IF(ROUND(SUM($Q109:R109),1)&gt;=99.5,100,MIN(100,ROUND(SUM($Q109:R109),1))))</f>
        <v/>
      </c>
      <c r="CL109" s="1" t="str">
        <f aca="false">IF(OR(OR(NOT(AND(ISNUMBER(E109),ISNUMBER(F109))),$J$2=""),3&gt;Reprogramaciones!$K$16),"",IF(ROUND(SUM($Q109:S109),1)&gt;=99.5,100,MIN(100,ROUND(SUM($Q109:S109),1))))</f>
        <v/>
      </c>
      <c r="CM109" s="1" t="str">
        <f aca="false">IF(OR(OR(NOT(AND(ISNUMBER(E109),ISNUMBER(F109))),$J$2=""),4&gt;Reprogramaciones!$K$16),"",IF(ROUND(SUM($Q109:T109),1)&gt;=99.5,100,MIN(100,ROUND(SUM($Q109:T109),1))))</f>
        <v/>
      </c>
      <c r="CN109" s="1" t="str">
        <f aca="false">IF(OR(OR(NOT(AND(ISNUMBER(E109),ISNUMBER(F109))),$J$2=""),5&gt;Reprogramaciones!$K$16),"",IF(ROUND(SUM($Q109:U109),1)&gt;=99.5,100,MIN(100,ROUND(SUM($Q109:U109),1))))</f>
        <v/>
      </c>
      <c r="CO109" s="1" t="str">
        <f aca="false">IF(OR(OR(NOT(AND(ISNUMBER(E109),ISNUMBER(F109))),$J$2=""),6&gt;Reprogramaciones!$K$16),"",IF(ROUND(SUM($Q109:V109),1)&gt;=99.5,100,MIN(100,ROUND(SUM($Q109:V109),1))))</f>
        <v/>
      </c>
      <c r="CP109" s="1" t="str">
        <f aca="false">IF(OR(OR(NOT(AND(ISNUMBER(E109),ISNUMBER(F109))),$J$2=""),7&gt;Reprogramaciones!$K$16),"",IF(ROUND(SUM($Q109:W109),1)&gt;=99.5,100,MIN(100,ROUND(SUM($Q109:W109),1))))</f>
        <v/>
      </c>
      <c r="CQ109" s="1" t="str">
        <f aca="false">IF(OR(OR(NOT(AND(ISNUMBER(E109),ISNUMBER(F109))),$J$2=""),8&gt;Reprogramaciones!$K$16),"",IF(ROUND(SUM($Q109:X109),1)&gt;=99.5,100,MIN(100,ROUND(SUM($Q109:X109),1))))</f>
        <v/>
      </c>
      <c r="CR109" s="1" t="str">
        <f aca="false">IF(OR(OR(NOT(AND(ISNUMBER(E109),ISNUMBER(F109))),$J$2=""),9&gt;Reprogramaciones!$K$16),"",IF(ROUND(SUM($Q109:Y109),1)&gt;=99.5,100,MIN(100,ROUND(SUM($Q109:Y109),1))))</f>
        <v/>
      </c>
      <c r="CS109" s="1" t="str">
        <f aca="false">IF(OR(OR(NOT(AND(ISNUMBER(E109),ISNUMBER(F109))),$J$2=""),10&gt;Reprogramaciones!$K$16),"",IF(ROUND(SUM($Q109:Z109),1)&gt;=99.5,100,MIN(100,ROUND(SUM($Q109:Z109),1))))</f>
        <v/>
      </c>
      <c r="CT109" s="1" t="str">
        <f aca="false">IF(OR(OR(NOT(AND(ISNUMBER(E109),ISNUMBER(F109))),$J$2=""),11&gt;Reprogramaciones!$K$16),"",IF(ROUND(SUM($Q109:AA109),1)&gt;=99.5,100,MIN(100,ROUND(SUM($Q109:AA109),1))))</f>
        <v/>
      </c>
      <c r="CU109" s="1" t="str">
        <f aca="false">IF(OR(OR(NOT(AND(ISNUMBER(E109),ISNUMBER(F109))),$J$2=""),12&gt;Reprogramaciones!$K$16),"",IF(ROUND(SUM($Q109:AB109),1)&gt;=99.5,100,MIN(100,ROUND(SUM($Q109:AB109),1))))</f>
        <v/>
      </c>
      <c r="CV109" s="1" t="str">
        <f aca="false">IF(OR(OR(NOT(AND(ISNUMBER(E109),ISNUMBER(F109))),$J$2=""),13&gt;Reprogramaciones!$K$16),"",IF(ROUND(SUM($Q109:AC109),1)&gt;=99.5,100,MIN(100,ROUND(SUM($Q109:AC109),1))))</f>
        <v/>
      </c>
      <c r="CW109" s="1" t="str">
        <f aca="false">IF(OR(OR(NOT(AND(ISNUMBER(E109),ISNUMBER(F109))),$J$2=""),14&gt;Reprogramaciones!$K$16),"",IF(ROUND(SUM($Q109:AD109),1)&gt;=99.5,100,MIN(100,ROUND(SUM($Q109:AD109),1))))</f>
        <v/>
      </c>
      <c r="CX109" s="1" t="str">
        <f aca="false">IF(OR(OR(NOT(AND(ISNUMBER(E109),ISNUMBER(F109))),$J$2=""),15&gt;Reprogramaciones!$K$16),"",IF(ROUND(SUM($Q109:AE109),1)&gt;=99.5,100,MIN(100,ROUND(SUM($Q109:AE109),1))))</f>
        <v/>
      </c>
      <c r="CY109" s="1" t="str">
        <f aca="false">IF(OR(OR(NOT(AND(ISNUMBER(E109),ISNUMBER(F109))),$J$2=""),16&gt;Reprogramaciones!$K$16),"",IF(ROUND(SUM($Q109:AF109),1)&gt;=99.5,100,MIN(100,ROUND(SUM($Q109:AF109),1))))</f>
        <v/>
      </c>
      <c r="CZ109" s="1" t="str">
        <f aca="false">IF(D109&lt;&gt;"",D109,IF(B109&lt;&gt;"","Contractual",CZ108))</f>
        <v>Contractual</v>
      </c>
      <c r="DA109" s="1" t="str">
        <f aca="false">IF(OR(NOT(AND(ISNUMBER(E109),ISNUMBER(F109))),$J$2=""),"",IF(Reprogramaciones!$Q$15&lt;Reprogramaciones!$T$15,0,IF(Reprogramaciones!$S$15&gt;10,MIN(100,SUM($G109:$P109)),MIN(100,SUMPRODUCT((COLUMN($G109:$P109)-COLUMN($G109)+1&lt;Reprogramaciones!$S$15)*$G109:$P109)+N(INDEX($G109:$P109,1,Reprogramaciones!$S$15))*IF(Reprogramaciones!$Q$15&gt;=(Reprogramaciones!$T$15+7*(Reprogramaciones!$S$15-1))+6,1,IF(MAX(0,NETWORKDAYS.INTL(MAX(E109,(Reprogramaciones!$T$15+7*(Reprogramaciones!$S$15-1))),MIN(F109,(Reprogramaciones!$T$15+7*(Reprogramaciones!$S$15-1))+6),11))=0,0,MAX(0,NETWORKDAYS.INTL(MAX(E109,(Reprogramaciones!$T$15+7*(Reprogramaciones!$S$15-1))),MIN(F109,Reprogramaciones!$Q$15),11))/MAX(0,NETWORKDAYS.INTL(MAX(E109,(Reprogramaciones!$T$15+7*(Reprogramaciones!$S$15-1))),MIN(F109,(Reprogramaciones!$T$15+7*(Reprogramaciones!$S$15-1))+6),11))))))))</f>
        <v/>
      </c>
    </row>
    <row r="110" customFormat="false" ht="15" hidden="false" customHeight="false" outlineLevel="0" collapsed="false">
      <c r="A110" s="32"/>
      <c r="B110" s="33"/>
      <c r="C110" s="33"/>
      <c r="D110" s="34"/>
      <c r="E110" s="35"/>
      <c r="F110" s="35"/>
      <c r="G110" s="36" t="str">
        <f aca="false">IF(OR(NOT(AND(ISNUMBER(E110),ISNUMBER(F110))),$J$2=""),"",IF(Reprogramaciones!K$9&lt;E110,0,IF(NETWORKDAYS.INTL(E110,F110,11)=0,IF(Reprogramaciones!K$9&gt;=F110,100,0),ROUND(NETWORKDAYS.INTL(E110,MIN(F110,Reprogramaciones!K$9),11)/NETWORKDAYS.INTL(E110,F110,11)*100,1)))-0)</f>
        <v/>
      </c>
      <c r="H110" s="36" t="str">
        <f aca="false">IF(OR(NOT(AND(ISNUMBER(E110),ISNUMBER(F110))),$J$2=""),"",IF(Reprogramaciones!L$9&lt;E110,0,IF(NETWORKDAYS.INTL(E110,F110,11)=0,IF(Reprogramaciones!L$9&gt;=F110,100,0),ROUND(NETWORKDAYS.INTL(E110,MIN(F110,Reprogramaciones!L$9),11)/NETWORKDAYS.INTL(E110,F110,11)*100,1)))-IF(Reprogramaciones!K$9&lt;E110,0,IF(NETWORKDAYS.INTL(E110,F110,11)=0,IF(Reprogramaciones!K$9&gt;=F110,100,0),ROUND(NETWORKDAYS.INTL(E110,MIN(F110,Reprogramaciones!K$9),11)/NETWORKDAYS.INTL(E110,F110,11)*100,1))))</f>
        <v/>
      </c>
      <c r="I110" s="36" t="str">
        <f aca="false">IF(OR(NOT(AND(ISNUMBER(E110),ISNUMBER(F110))),$J$2=""),"",IF(Reprogramaciones!M$9&lt;E110,0,IF(NETWORKDAYS.INTL(E110,F110,11)=0,IF(Reprogramaciones!M$9&gt;=F110,100,0),ROUND(NETWORKDAYS.INTL(E110,MIN(F110,Reprogramaciones!M$9),11)/NETWORKDAYS.INTL(E110,F110,11)*100,1)))-IF(Reprogramaciones!L$9&lt;E110,0,IF(NETWORKDAYS.INTL(E110,F110,11)=0,IF(Reprogramaciones!L$9&gt;=F110,100,0),ROUND(NETWORKDAYS.INTL(E110,MIN(F110,Reprogramaciones!L$9),11)/NETWORKDAYS.INTL(E110,F110,11)*100,1))))</f>
        <v/>
      </c>
      <c r="J110" s="36" t="str">
        <f aca="false">IF(OR(NOT(AND(ISNUMBER(E110),ISNUMBER(F110))),$J$2=""),"",IF(Reprogramaciones!N$9&lt;E110,0,IF(NETWORKDAYS.INTL(E110,F110,11)=0,IF(Reprogramaciones!N$9&gt;=F110,100,0),ROUND(NETWORKDAYS.INTL(E110,MIN(F110,Reprogramaciones!N$9),11)/NETWORKDAYS.INTL(E110,F110,11)*100,1)))-IF(Reprogramaciones!M$9&lt;E110,0,IF(NETWORKDAYS.INTL(E110,F110,11)=0,IF(Reprogramaciones!M$9&gt;=F110,100,0),ROUND(NETWORKDAYS.INTL(E110,MIN(F110,Reprogramaciones!M$9),11)/NETWORKDAYS.INTL(E110,F110,11)*100,1))))</f>
        <v/>
      </c>
      <c r="K110" s="36" t="str">
        <f aca="false">IF(OR(NOT(AND(ISNUMBER(E110),ISNUMBER(F110))),$J$2=""),"",IF(Reprogramaciones!O$9&lt;E110,0,IF(NETWORKDAYS.INTL(E110,F110,11)=0,IF(Reprogramaciones!O$9&gt;=F110,100,0),ROUND(NETWORKDAYS.INTL(E110,MIN(F110,Reprogramaciones!O$9),11)/NETWORKDAYS.INTL(E110,F110,11)*100,1)))-IF(Reprogramaciones!N$9&lt;E110,0,IF(NETWORKDAYS.INTL(E110,F110,11)=0,IF(Reprogramaciones!N$9&gt;=F110,100,0),ROUND(NETWORKDAYS.INTL(E110,MIN(F110,Reprogramaciones!N$9),11)/NETWORKDAYS.INTL(E110,F110,11)*100,1))))</f>
        <v/>
      </c>
      <c r="L110" s="36" t="str">
        <f aca="false">IF(OR(NOT(AND(ISNUMBER(E110),ISNUMBER(F110))),$J$2=""),"",IF(Reprogramaciones!P$9&lt;E110,0,IF(NETWORKDAYS.INTL(E110,F110,11)=0,IF(Reprogramaciones!P$9&gt;=F110,100,0),ROUND(NETWORKDAYS.INTL(E110,MIN(F110,Reprogramaciones!P$9),11)/NETWORKDAYS.INTL(E110,F110,11)*100,1)))-IF(Reprogramaciones!O$9&lt;E110,0,IF(NETWORKDAYS.INTL(E110,F110,11)=0,IF(Reprogramaciones!O$9&gt;=F110,100,0),ROUND(NETWORKDAYS.INTL(E110,MIN(F110,Reprogramaciones!O$9),11)/NETWORKDAYS.INTL(E110,F110,11)*100,1))))</f>
        <v/>
      </c>
      <c r="M110" s="36" t="str">
        <f aca="false">IF(OR(NOT(AND(ISNUMBER(E110),ISNUMBER(F110))),$J$2=""),"",IF(Reprogramaciones!Q$9&lt;E110,0,IF(NETWORKDAYS.INTL(E110,F110,11)=0,IF(Reprogramaciones!Q$9&gt;=F110,100,0),ROUND(NETWORKDAYS.INTL(E110,MIN(F110,Reprogramaciones!Q$9),11)/NETWORKDAYS.INTL(E110,F110,11)*100,1)))-IF(Reprogramaciones!P$9&lt;E110,0,IF(NETWORKDAYS.INTL(E110,F110,11)=0,IF(Reprogramaciones!P$9&gt;=F110,100,0),ROUND(NETWORKDAYS.INTL(E110,MIN(F110,Reprogramaciones!P$9),11)/NETWORKDAYS.INTL(E110,F110,11)*100,1))))</f>
        <v/>
      </c>
      <c r="N110" s="36" t="str">
        <f aca="false">IF(OR(NOT(AND(ISNUMBER(E110),ISNUMBER(F110))),$J$2=""),"",IF(Reprogramaciones!R$9&lt;E110,0,IF(NETWORKDAYS.INTL(E110,F110,11)=0,IF(Reprogramaciones!R$9&gt;=F110,100,0),ROUND(NETWORKDAYS.INTL(E110,MIN(F110,Reprogramaciones!R$9),11)/NETWORKDAYS.INTL(E110,F110,11)*100,1)))-IF(Reprogramaciones!Q$9&lt;E110,0,IF(NETWORKDAYS.INTL(E110,F110,11)=0,IF(Reprogramaciones!Q$9&gt;=F110,100,0),ROUND(NETWORKDAYS.INTL(E110,MIN(F110,Reprogramaciones!Q$9),11)/NETWORKDAYS.INTL(E110,F110,11)*100,1))))</f>
        <v/>
      </c>
      <c r="O110" s="36" t="str">
        <f aca="false">IF(OR(NOT(AND(ISNUMBER(E110),ISNUMBER(F110))),$J$2=""),"",IF(Reprogramaciones!S$9&lt;E110,0,IF(NETWORKDAYS.INTL(E110,F110,11)=0,IF(Reprogramaciones!S$9&gt;=F110,100,0),ROUND(NETWORKDAYS.INTL(E110,MIN(F110,Reprogramaciones!S$9),11)/NETWORKDAYS.INTL(E110,F110,11)*100,1)))-IF(Reprogramaciones!R$9&lt;E110,0,IF(NETWORKDAYS.INTL(E110,F110,11)=0,IF(Reprogramaciones!R$9&gt;=F110,100,0),ROUND(NETWORKDAYS.INTL(E110,MIN(F110,Reprogramaciones!R$9),11)/NETWORKDAYS.INTL(E110,F110,11)*100,1))))</f>
        <v/>
      </c>
      <c r="P110" s="36" t="str">
        <f aca="false">IF(OR(NOT(AND(ISNUMBER(E110),ISNUMBER(F110))),$J$2=""),"",IF(Reprogramaciones!T$9&lt;E110,0,IF(NETWORKDAYS.INTL(E110,F110,11)=0,IF(Reprogramaciones!T$9&gt;=F110,100,0),ROUND(NETWORKDAYS.INTL(E110,MIN(F110,Reprogramaciones!T$9),11)/NETWORKDAYS.INTL(E110,F110,11)*100,1)))-IF(Reprogramaciones!S$9&lt;E110,0,IF(NETWORKDAYS.INTL(E110,F110,11)=0,IF(Reprogramaciones!S$9&gt;=F110,100,0),ROUND(NETWORKDAYS.INTL(E110,MIN(F110,Reprogramaciones!S$9),11)/NETWORKDAYS.INTL(E110,F110,11)*100,1))))</f>
        <v/>
      </c>
      <c r="Q110" s="37"/>
      <c r="R110" s="37"/>
      <c r="S110" s="37"/>
      <c r="T110" s="37"/>
      <c r="U110" s="37"/>
      <c r="V110" s="37"/>
      <c r="W110" s="37"/>
      <c r="X110" s="37"/>
      <c r="Y110" s="37"/>
      <c r="Z110" s="37"/>
      <c r="AA110" s="37"/>
      <c r="AB110" s="37"/>
      <c r="AC110" s="37"/>
      <c r="AD110" s="37"/>
      <c r="AE110" s="37"/>
      <c r="AF110" s="37"/>
      <c r="AG110" s="38" t="str">
        <f aca="false">IF(AND(ISNUMBER(E110),ISNUMBER(F110)),NETWORKDAYS.INTL(E110,F110,11),"")</f>
        <v/>
      </c>
      <c r="AH110" s="38" t="str">
        <f aca="false">IF(OR(NOT(AND(ISNUMBER(E110),ISNUMBER(F110))),$J$2=""),"",IF(Reprogramaciones!$P$15&lt;Reprogramaciones!$T$15,0,IF(Reprogramaciones!$R$15&gt;10,MIN(100,SUM($G110:$P110)),MIN(100,SUMPRODUCT((COLUMN($G110:$P110)-COLUMN($G110)+1&lt;Reprogramaciones!$R$15)*$G110:$P110)+N(INDEX($G110:$P110,1,Reprogramaciones!$R$15))*IF(Reprogramaciones!$P$15&gt;=(Reprogramaciones!$T$15+7*(Reprogramaciones!$R$15-1))+6,1,IF(MAX(0,NETWORKDAYS.INTL(MAX(E110,(Reprogramaciones!$T$15+7*(Reprogramaciones!$R$15-1))),MIN(F110,(Reprogramaciones!$T$15+7*(Reprogramaciones!$R$15-1))+6),11))=0,0,MAX(0,NETWORKDAYS.INTL(MAX(E110,(Reprogramaciones!$T$15+7*(Reprogramaciones!$R$15-1))),MIN(F110,Reprogramaciones!$P$15),11))/MAX(0,NETWORKDAYS.INTL(MAX(E110,(Reprogramaciones!$T$15+7*(Reprogramaciones!$R$15-1))),MIN(F110,(Reprogramaciones!$T$15+7*(Reprogramaciones!$R$15-1))+6),11))))))))</f>
        <v/>
      </c>
      <c r="AI110" s="38" t="str">
        <f aca="false">IF(COUNT($Q110:$AF110)=0,"",IF(ROUND(SUM($Q110:$AF110),1)&gt;=99.5,100,MIN(100,ROUND(SUM($Q110:$AF110),1))))</f>
        <v/>
      </c>
      <c r="AJ110" s="38" t="str">
        <f aca="false">IF(OR(AH110="",AI110=""),"",AI110-AH110)</f>
        <v/>
      </c>
      <c r="AK110" s="39" t="str">
        <f aca="true">IF(AH110="","",IF(OR(Ficha!$C$10="Suspendida",Ficha!$C$10="Cancelada"),Ficha!$C$10,IF(AND(AI110&lt;&gt;"",N(AI110)&gt;=100),"Completada",IF(AND(E110&gt;TODAY(),N(AI110)=0),"Por iniciar",IF(N(AI110)+0.5&lt;AH110,"Retrasada",IF(N(AI110)+0.5&lt;DA110,IF(Reprogramaciones!$K$15&gt;0,"Al día · Sem "&amp;Reprogramaciones!$K$15&amp;" en curso","Al día · en curso"),"A tiempo"))))))</f>
        <v/>
      </c>
      <c r="AL110" s="39" t="str">
        <f aca="true">IF(AND(A110="",AND(B110="",C110="",E110="",F110="",COUNT(Q110:AF110)=0)),"",IF(AND(B110="",C110="",E110="",F110="",COUNT(Q110:AF110)=0),"Falta la partida o subpartida",IF(AND(A110&lt;&gt;"",COUNTIF($A$6:$A$305,A110)&gt;1),"Ítem repetido",IF(AND(C110="",E110="",F110="",COUNT(Q110:AF110)=0),"Título de partida",IF(OR(E110="",F110=""),"Faltan fechas",IF(OR(ISTEXT(E110),ISTEXT(F110)),"Fecha escrita como texto: usa dd/mm/aaaa",IF(F110&lt;E110,"Fin antes del inicio",IF(IF($J$2="",FALSE(),OR(E110&lt;$J$2,F110&gt;Reprogramaciones!$T$15+69)),"Fuera de las 10 semanas",IF(ABS(SUM(G110:P110)-100)&gt;0.5,"La meta no suma 100%",IF(ROUND(SUM(Q110:AF110),1)&gt;100.5,"El avance pasa de 100%",IF(MIN(Q110:AF110)&lt;0,"Avance negativo",IF(COUNTA(Q110:AF110)&gt;COUNT(Q110:AF110),"Avance escrito como texto",IF(SUMPRODUCT((Q110:AF110&gt;0)*(Q110:AF110&lt;1))&gt;0,"Avance menor a 1: escribe 50, no 50%",IF(SUMPRODUCT(ISNUMBER(Q110:AF110)*(Reprogramaciones!$K$8:$Z$8&gt;TODAY()))&gt;0,"Avance en semana que aún no llega",IF(AND(N(Reprogramaciones!$E$21)&gt;0,F110&gt;Reprogramaciones!$E$21),"Pasa el fin de la obra: registra una reprogramación",IF(AND(N(Reprogramaciones!$E$21)&gt;0,SUMPRODUCT(ISNUMBER(Q110:AF110)*(Reprogramaciones!$K$8:$Z$8&gt;Reprogramaciones!$E$21))&gt;0),"Avance después del fin de la obra: registra una reprogramación por atraso","OK"))))))))))))))))</f>
        <v/>
      </c>
      <c r="AM110" s="40" t="str">
        <f aca="false">IF(OR(OR(NOT(AND(ISNUMBER(E110),ISNUMBER(F110))),$J$2=""),1&gt;MAX(1,Reprogramaciones!$U$15)),"",IF(Reprogramaciones!K$12&gt;=7,"",IF(OR(BT110-N(0)&gt;0.05,N(Q110)&gt;0),ROUNDDOWN(ROUND(BT110,6),0)&amp;"%"&amp;IF(CJ110="",""," / "&amp;CJ110&amp;"%"),IF(AND(N(0)&gt;=99.95,CJ110&lt;&gt;"",N(CJ110)&lt;100),"Pend. "&amp;CJ110&amp;"%",""))))</f>
        <v/>
      </c>
      <c r="AN110" s="40" t="str">
        <f aca="false">IF(OR(OR(NOT(AND(ISNUMBER(E110),ISNUMBER(F110))),$J$2=""),2&gt;MAX(1,Reprogramaciones!$U$15)),"",IF(Reprogramaciones!L$12&gt;=7,"",IF(OR(BU110-N(BT110)&gt;0.05,N(R110)&gt;0),ROUNDDOWN(ROUND(BU110,6),0)&amp;"%"&amp;IF(CK110="",""," / "&amp;CK110&amp;"%"),IF(AND(N(BT110)&gt;=99.95,CK110&lt;&gt;"",N(CK110)&lt;100),"Pend. "&amp;CK110&amp;"%",""))))</f>
        <v/>
      </c>
      <c r="AO110" s="40" t="str">
        <f aca="false">IF(OR(OR(NOT(AND(ISNUMBER(E110),ISNUMBER(F110))),$J$2=""),3&gt;MAX(1,Reprogramaciones!$U$15)),"",IF(Reprogramaciones!M$12&gt;=7,"",IF(OR(BV110-N(BU110)&gt;0.05,N(S110)&gt;0),ROUNDDOWN(ROUND(BV110,6),0)&amp;"%"&amp;IF(CL110="",""," / "&amp;CL110&amp;"%"),IF(AND(N(BU110)&gt;=99.95,CL110&lt;&gt;"",N(CL110)&lt;100),"Pend. "&amp;CL110&amp;"%",""))))</f>
        <v/>
      </c>
      <c r="AP110" s="40" t="str">
        <f aca="false">IF(OR(OR(NOT(AND(ISNUMBER(E110),ISNUMBER(F110))),$J$2=""),4&gt;MAX(1,Reprogramaciones!$U$15)),"",IF(Reprogramaciones!N$12&gt;=7,"",IF(OR(BW110-N(BV110)&gt;0.05,N(T110)&gt;0),ROUNDDOWN(ROUND(BW110,6),0)&amp;"%"&amp;IF(CM110="",""," / "&amp;CM110&amp;"%"),IF(AND(N(BV110)&gt;=99.95,CM110&lt;&gt;"",N(CM110)&lt;100),"Pend. "&amp;CM110&amp;"%",""))))</f>
        <v/>
      </c>
      <c r="AQ110" s="40" t="str">
        <f aca="false">IF(OR(OR(NOT(AND(ISNUMBER(E110),ISNUMBER(F110))),$J$2=""),5&gt;MAX(1,Reprogramaciones!$U$15)),"",IF(Reprogramaciones!O$12&gt;=7,"",IF(OR(BX110-N(BW110)&gt;0.05,N(U110)&gt;0),ROUNDDOWN(ROUND(BX110,6),0)&amp;"%"&amp;IF(CN110="",""," / "&amp;CN110&amp;"%"),IF(AND(N(BW110)&gt;=99.95,CN110&lt;&gt;"",N(CN110)&lt;100),"Pend. "&amp;CN110&amp;"%",""))))</f>
        <v/>
      </c>
      <c r="AR110" s="40" t="str">
        <f aca="false">IF(OR(OR(NOT(AND(ISNUMBER(E110),ISNUMBER(F110))),$J$2=""),6&gt;MAX(1,Reprogramaciones!$U$15)),"",IF(Reprogramaciones!P$12&gt;=7,"",IF(OR(BY110-N(BX110)&gt;0.05,N(V110)&gt;0),ROUNDDOWN(ROUND(BY110,6),0)&amp;"%"&amp;IF(CO110="",""," / "&amp;CO110&amp;"%"),IF(AND(N(BX110)&gt;=99.95,CO110&lt;&gt;"",N(CO110)&lt;100),"Pend. "&amp;CO110&amp;"%",""))))</f>
        <v/>
      </c>
      <c r="AS110" s="40" t="str">
        <f aca="false">IF(OR(OR(NOT(AND(ISNUMBER(E110),ISNUMBER(F110))),$J$2=""),7&gt;MAX(1,Reprogramaciones!$U$15)),"",IF(Reprogramaciones!Q$12&gt;=7,"",IF(OR(BZ110-N(BY110)&gt;0.05,N(W110)&gt;0),ROUNDDOWN(ROUND(BZ110,6),0)&amp;"%"&amp;IF(CP110="",""," / "&amp;CP110&amp;"%"),IF(AND(N(BY110)&gt;=99.95,CP110&lt;&gt;"",N(CP110)&lt;100),"Pend. "&amp;CP110&amp;"%",""))))</f>
        <v/>
      </c>
      <c r="AT110" s="40" t="str">
        <f aca="false">IF(OR(OR(NOT(AND(ISNUMBER(E110),ISNUMBER(F110))),$J$2=""),8&gt;MAX(1,Reprogramaciones!$U$15)),"",IF(Reprogramaciones!R$12&gt;=7,"",IF(OR(CA110-N(BZ110)&gt;0.05,N(X110)&gt;0),ROUNDDOWN(ROUND(CA110,6),0)&amp;"%"&amp;IF(CQ110="",""," / "&amp;CQ110&amp;"%"),IF(AND(N(BZ110)&gt;=99.95,CQ110&lt;&gt;"",N(CQ110)&lt;100),"Pend. "&amp;CQ110&amp;"%",""))))</f>
        <v/>
      </c>
      <c r="AU110" s="40" t="str">
        <f aca="false">IF(OR(OR(NOT(AND(ISNUMBER(E110),ISNUMBER(F110))),$J$2=""),9&gt;MAX(1,Reprogramaciones!$U$15)),"",IF(Reprogramaciones!S$12&gt;=7,"",IF(OR(CB110-N(CA110)&gt;0.05,N(Y110)&gt;0),ROUNDDOWN(ROUND(CB110,6),0)&amp;"%"&amp;IF(CR110="",""," / "&amp;CR110&amp;"%"),IF(AND(N(CA110)&gt;=99.95,CR110&lt;&gt;"",N(CR110)&lt;100),"Pend. "&amp;CR110&amp;"%",""))))</f>
        <v/>
      </c>
      <c r="AV110" s="40" t="str">
        <f aca="false">IF(OR(OR(NOT(AND(ISNUMBER(E110),ISNUMBER(F110))),$J$2=""),10&gt;MAX(1,Reprogramaciones!$U$15)),"",IF(Reprogramaciones!T$12&gt;=7,"",IF(OR(CC110-N(CB110)&gt;0.05,N(Z110)&gt;0),ROUNDDOWN(ROUND(CC110,6),0)&amp;"%"&amp;IF(CS110="",""," / "&amp;CS110&amp;"%"),IF(AND(N(CB110)&gt;=99.95,CS110&lt;&gt;"",N(CS110)&lt;100),"Pend. "&amp;CS110&amp;"%",""))))</f>
        <v/>
      </c>
      <c r="AW110" s="40" t="str">
        <f aca="false">IF(OR(OR(NOT(AND(ISNUMBER(E110),ISNUMBER(F110))),$J$2=""),11&gt;MAX(1,Reprogramaciones!$U$15)),"",IF(Reprogramaciones!U$12&gt;=7,"",IF(OR(CD110-N(CC110)&gt;0.05,N(AA110)&gt;0),ROUNDDOWN(ROUND(CD110,6),0)&amp;"%"&amp;IF(CT110="",""," / "&amp;CT110&amp;"%"),IF(AND(N(CC110)&gt;=99.95,CT110&lt;&gt;"",N(CT110)&lt;100),"Pend. "&amp;CT110&amp;"%",""))))</f>
        <v/>
      </c>
      <c r="AX110" s="40" t="str">
        <f aca="false">IF(OR(OR(NOT(AND(ISNUMBER(E110),ISNUMBER(F110))),$J$2=""),12&gt;MAX(1,Reprogramaciones!$U$15)),"",IF(Reprogramaciones!V$12&gt;=7,"",IF(OR(CE110-N(CD110)&gt;0.05,N(AB110)&gt;0),ROUNDDOWN(ROUND(CE110,6),0)&amp;"%"&amp;IF(CU110="",""," / "&amp;CU110&amp;"%"),IF(AND(N(CD110)&gt;=99.95,CU110&lt;&gt;"",N(CU110)&lt;100),"Pend. "&amp;CU110&amp;"%",""))))</f>
        <v/>
      </c>
      <c r="AY110" s="40" t="str">
        <f aca="false">IF(OR(OR(NOT(AND(ISNUMBER(E110),ISNUMBER(F110))),$J$2=""),13&gt;MAX(1,Reprogramaciones!$U$15)),"",IF(Reprogramaciones!W$12&gt;=7,"",IF(OR(CF110-N(CE110)&gt;0.05,N(AC110)&gt;0),ROUNDDOWN(ROUND(CF110,6),0)&amp;"%"&amp;IF(CV110="",""," / "&amp;CV110&amp;"%"),IF(AND(N(CE110)&gt;=99.95,CV110&lt;&gt;"",N(CV110)&lt;100),"Pend. "&amp;CV110&amp;"%",""))))</f>
        <v/>
      </c>
      <c r="AZ110" s="40" t="str">
        <f aca="false">IF(OR(OR(NOT(AND(ISNUMBER(E110),ISNUMBER(F110))),$J$2=""),14&gt;MAX(1,Reprogramaciones!$U$15)),"",IF(Reprogramaciones!X$12&gt;=7,"",IF(OR(CG110-N(CF110)&gt;0.05,N(AD110)&gt;0),ROUNDDOWN(ROUND(CG110,6),0)&amp;"%"&amp;IF(CW110="",""," / "&amp;CW110&amp;"%"),IF(AND(N(CF110)&gt;=99.95,CW110&lt;&gt;"",N(CW110)&lt;100),"Pend. "&amp;CW110&amp;"%",""))))</f>
        <v/>
      </c>
      <c r="BA110" s="40" t="str">
        <f aca="false">IF(OR(OR(NOT(AND(ISNUMBER(E110),ISNUMBER(F110))),$J$2=""),15&gt;MAX(1,Reprogramaciones!$U$15)),"",IF(Reprogramaciones!Y$12&gt;=7,"",IF(OR(CH110-N(CG110)&gt;0.05,N(AE110)&gt;0),ROUNDDOWN(ROUND(CH110,6),0)&amp;"%"&amp;IF(CX110="",""," / "&amp;CX110&amp;"%"),IF(AND(N(CG110)&gt;=99.95,CX110&lt;&gt;"",N(CX110)&lt;100),"Pend. "&amp;CX110&amp;"%",""))))</f>
        <v/>
      </c>
      <c r="BB110" s="40" t="str">
        <f aca="false">IF(OR(OR(NOT(AND(ISNUMBER(E110),ISNUMBER(F110))),$J$2=""),16&gt;MAX(1,Reprogramaciones!$U$15)),"",IF(Reprogramaciones!Z$12&gt;=7,"",IF(OR(CI110-N(CH110)&gt;0.05,N(AF110)&gt;0),ROUNDDOWN(ROUND(CI110,6),0)&amp;"%"&amp;IF(CY110="",""," / "&amp;CY110&amp;"%"),IF(AND(N(CH110)&gt;=99.95,CY110&lt;&gt;"",N(CY110)&lt;100),"Pend. "&amp;CY110&amp;"%",""))))</f>
        <v/>
      </c>
      <c r="BC110" s="31" t="n">
        <f aca="false">IF(AND(ISNUMBER(E110),ISNUMBER(F110)),MAX(1,NETWORKDAYS.INTL(E110,F110,11)),0)</f>
        <v>0</v>
      </c>
      <c r="BD110" s="1" t="str">
        <f aca="false">IF(OR(NOT(AND(ISNUMBER(E110),ISNUMBER(F110))),$J$2=""),"",MIN(100,ROUND(SUM($G110:G110),1)))</f>
        <v/>
      </c>
      <c r="BE110" s="1" t="str">
        <f aca="false">IF(OR(NOT(AND(ISNUMBER(E110),ISNUMBER(F110))),$J$2=""),"",MIN(100,ROUND(SUM($G110:H110),1)))</f>
        <v/>
      </c>
      <c r="BF110" s="1" t="str">
        <f aca="false">IF(OR(NOT(AND(ISNUMBER(E110),ISNUMBER(F110))),$J$2=""),"",MIN(100,ROUND(SUM($G110:I110),1)))</f>
        <v/>
      </c>
      <c r="BG110" s="1" t="str">
        <f aca="false">IF(OR(NOT(AND(ISNUMBER(E110),ISNUMBER(F110))),$J$2=""),"",MIN(100,ROUND(SUM($G110:J110),1)))</f>
        <v/>
      </c>
      <c r="BH110" s="1" t="str">
        <f aca="false">IF(OR(NOT(AND(ISNUMBER(E110),ISNUMBER(F110))),$J$2=""),"",MIN(100,ROUND(SUM($G110:K110),1)))</f>
        <v/>
      </c>
      <c r="BI110" s="1" t="str">
        <f aca="false">IF(OR(NOT(AND(ISNUMBER(E110),ISNUMBER(F110))),$J$2=""),"",MIN(100,ROUND(SUM($G110:L110),1)))</f>
        <v/>
      </c>
      <c r="BJ110" s="1" t="str">
        <f aca="false">IF(OR(NOT(AND(ISNUMBER(E110),ISNUMBER(F110))),$J$2=""),"",MIN(100,ROUND(SUM($G110:M110),1)))</f>
        <v/>
      </c>
      <c r="BK110" s="1" t="str">
        <f aca="false">IF(OR(NOT(AND(ISNUMBER(E110),ISNUMBER(F110))),$J$2=""),"",MIN(100,ROUND(SUM($G110:N110),1)))</f>
        <v/>
      </c>
      <c r="BL110" s="1" t="str">
        <f aca="false">IF(OR(NOT(AND(ISNUMBER(E110),ISNUMBER(F110))),$J$2=""),"",MIN(100,ROUND(SUM($G110:O110),1)))</f>
        <v/>
      </c>
      <c r="BM110" s="1" t="str">
        <f aca="false">IF(OR(NOT(AND(ISNUMBER(E110),ISNUMBER(F110))),$J$2=""),"",MIN(100,ROUND(SUM($G110:P110),1)))</f>
        <v/>
      </c>
      <c r="BN110" s="1" t="str">
        <f aca="false">IF(OR(NOT(AND(ISNUMBER(E110),ISNUMBER(F110))),$J$2=""),"",MIN(100,ROUND(SUM($G110:P110),1)))</f>
        <v/>
      </c>
      <c r="BO110" s="1" t="str">
        <f aca="false">IF(OR(NOT(AND(ISNUMBER(E110),ISNUMBER(F110))),$J$2=""),"",MIN(100,ROUND(SUM($G110:P110),1)))</f>
        <v/>
      </c>
      <c r="BP110" s="1" t="str">
        <f aca="false">IF(OR(NOT(AND(ISNUMBER(E110),ISNUMBER(F110))),$J$2=""),"",MIN(100,ROUND(SUM($G110:P110),1)))</f>
        <v/>
      </c>
      <c r="BQ110" s="1" t="str">
        <f aca="false">IF(OR(NOT(AND(ISNUMBER(E110),ISNUMBER(F110))),$J$2=""),"",MIN(100,ROUND(SUM($G110:P110),1)))</f>
        <v/>
      </c>
      <c r="BR110" s="1" t="str">
        <f aca="false">IF(OR(NOT(AND(ISNUMBER(E110),ISNUMBER(F110))),$J$2=""),"",MIN(100,ROUND(SUM($G110:P110),1)))</f>
        <v/>
      </c>
      <c r="BS110" s="1" t="str">
        <f aca="false">IF(OR(NOT(AND(ISNUMBER(E110),ISNUMBER(F110))),$J$2=""),"",MIN(100,ROUND(SUM($G110:P110),1)))</f>
        <v/>
      </c>
      <c r="BT110" s="1" t="str">
        <f aca="false">IF(OR(NOT(AND(ISNUMBER(E110),ISNUMBER(F110))),$J$2=""),"",IF(Reprogramaciones!K$13&lt;Reprogramaciones!$T$15,0,IF(Reprogramaciones!K$14&gt;10,MIN(100,SUM($G110:$P110)),MIN(100,SUMPRODUCT((COLUMN($G110:$P110)-COLUMN($G110)+1&lt;Reprogramaciones!K$14)*$G110:$P110)+N(INDEX($G110:$P110,1,Reprogramaciones!K$14))*IF(Reprogramaciones!K$13&gt;=(Reprogramaciones!$T$15+7*(Reprogramaciones!K$14-1))+6,1,IF(MAX(0,NETWORKDAYS.INTL(MAX(E110,(Reprogramaciones!$T$15+7*(Reprogramaciones!K$14-1))),MIN(F110,(Reprogramaciones!$T$15+7*(Reprogramaciones!K$14-1))+6),11))=0,0,MAX(0,NETWORKDAYS.INTL(MAX(E110,(Reprogramaciones!$T$15+7*(Reprogramaciones!K$14-1))),MIN(F110,Reprogramaciones!K$13),11))/MAX(0,NETWORKDAYS.INTL(MAX(E110,(Reprogramaciones!$T$15+7*(Reprogramaciones!K$14-1))),MIN(F110,(Reprogramaciones!$T$15+7*(Reprogramaciones!K$14-1))+6),11))))))))</f>
        <v/>
      </c>
      <c r="BU110" s="1" t="str">
        <f aca="false">IF(OR(NOT(AND(ISNUMBER(E110),ISNUMBER(F110))),$J$2=""),"",IF(Reprogramaciones!L$13&lt;Reprogramaciones!$T$15,0,IF(Reprogramaciones!L$14&gt;10,MIN(100,SUM($G110:$P110)),MIN(100,SUMPRODUCT((COLUMN($G110:$P110)-COLUMN($G110)+1&lt;Reprogramaciones!L$14)*$G110:$P110)+N(INDEX($G110:$P110,1,Reprogramaciones!L$14))*IF(Reprogramaciones!L$13&gt;=(Reprogramaciones!$T$15+7*(Reprogramaciones!L$14-1))+6,1,IF(MAX(0,NETWORKDAYS.INTL(MAX(E110,(Reprogramaciones!$T$15+7*(Reprogramaciones!L$14-1))),MIN(F110,(Reprogramaciones!$T$15+7*(Reprogramaciones!L$14-1))+6),11))=0,0,MAX(0,NETWORKDAYS.INTL(MAX(E110,(Reprogramaciones!$T$15+7*(Reprogramaciones!L$14-1))),MIN(F110,Reprogramaciones!L$13),11))/MAX(0,NETWORKDAYS.INTL(MAX(E110,(Reprogramaciones!$T$15+7*(Reprogramaciones!L$14-1))),MIN(F110,(Reprogramaciones!$T$15+7*(Reprogramaciones!L$14-1))+6),11))))))))</f>
        <v/>
      </c>
      <c r="BV110" s="1" t="str">
        <f aca="false">IF(OR(NOT(AND(ISNUMBER(E110),ISNUMBER(F110))),$J$2=""),"",IF(Reprogramaciones!M$13&lt;Reprogramaciones!$T$15,0,IF(Reprogramaciones!M$14&gt;10,MIN(100,SUM($G110:$P110)),MIN(100,SUMPRODUCT((COLUMN($G110:$P110)-COLUMN($G110)+1&lt;Reprogramaciones!M$14)*$G110:$P110)+N(INDEX($G110:$P110,1,Reprogramaciones!M$14))*IF(Reprogramaciones!M$13&gt;=(Reprogramaciones!$T$15+7*(Reprogramaciones!M$14-1))+6,1,IF(MAX(0,NETWORKDAYS.INTL(MAX(E110,(Reprogramaciones!$T$15+7*(Reprogramaciones!M$14-1))),MIN(F110,(Reprogramaciones!$T$15+7*(Reprogramaciones!M$14-1))+6),11))=0,0,MAX(0,NETWORKDAYS.INTL(MAX(E110,(Reprogramaciones!$T$15+7*(Reprogramaciones!M$14-1))),MIN(F110,Reprogramaciones!M$13),11))/MAX(0,NETWORKDAYS.INTL(MAX(E110,(Reprogramaciones!$T$15+7*(Reprogramaciones!M$14-1))),MIN(F110,(Reprogramaciones!$T$15+7*(Reprogramaciones!M$14-1))+6),11))))))))</f>
        <v/>
      </c>
      <c r="BW110" s="1" t="str">
        <f aca="false">IF(OR(NOT(AND(ISNUMBER(E110),ISNUMBER(F110))),$J$2=""),"",IF(Reprogramaciones!N$13&lt;Reprogramaciones!$T$15,0,IF(Reprogramaciones!N$14&gt;10,MIN(100,SUM($G110:$P110)),MIN(100,SUMPRODUCT((COLUMN($G110:$P110)-COLUMN($G110)+1&lt;Reprogramaciones!N$14)*$G110:$P110)+N(INDEX($G110:$P110,1,Reprogramaciones!N$14))*IF(Reprogramaciones!N$13&gt;=(Reprogramaciones!$T$15+7*(Reprogramaciones!N$14-1))+6,1,IF(MAX(0,NETWORKDAYS.INTL(MAX(E110,(Reprogramaciones!$T$15+7*(Reprogramaciones!N$14-1))),MIN(F110,(Reprogramaciones!$T$15+7*(Reprogramaciones!N$14-1))+6),11))=0,0,MAX(0,NETWORKDAYS.INTL(MAX(E110,(Reprogramaciones!$T$15+7*(Reprogramaciones!N$14-1))),MIN(F110,Reprogramaciones!N$13),11))/MAX(0,NETWORKDAYS.INTL(MAX(E110,(Reprogramaciones!$T$15+7*(Reprogramaciones!N$14-1))),MIN(F110,(Reprogramaciones!$T$15+7*(Reprogramaciones!N$14-1))+6),11))))))))</f>
        <v/>
      </c>
      <c r="BX110" s="1" t="str">
        <f aca="false">IF(OR(NOT(AND(ISNUMBER(E110),ISNUMBER(F110))),$J$2=""),"",IF(Reprogramaciones!O$13&lt;Reprogramaciones!$T$15,0,IF(Reprogramaciones!O$14&gt;10,MIN(100,SUM($G110:$P110)),MIN(100,SUMPRODUCT((COLUMN($G110:$P110)-COLUMN($G110)+1&lt;Reprogramaciones!O$14)*$G110:$P110)+N(INDEX($G110:$P110,1,Reprogramaciones!O$14))*IF(Reprogramaciones!O$13&gt;=(Reprogramaciones!$T$15+7*(Reprogramaciones!O$14-1))+6,1,IF(MAX(0,NETWORKDAYS.INTL(MAX(E110,(Reprogramaciones!$T$15+7*(Reprogramaciones!O$14-1))),MIN(F110,(Reprogramaciones!$T$15+7*(Reprogramaciones!O$14-1))+6),11))=0,0,MAX(0,NETWORKDAYS.INTL(MAX(E110,(Reprogramaciones!$T$15+7*(Reprogramaciones!O$14-1))),MIN(F110,Reprogramaciones!O$13),11))/MAX(0,NETWORKDAYS.INTL(MAX(E110,(Reprogramaciones!$T$15+7*(Reprogramaciones!O$14-1))),MIN(F110,(Reprogramaciones!$T$15+7*(Reprogramaciones!O$14-1))+6),11))))))))</f>
        <v/>
      </c>
      <c r="BY110" s="1" t="str">
        <f aca="false">IF(OR(NOT(AND(ISNUMBER(E110),ISNUMBER(F110))),$J$2=""),"",IF(Reprogramaciones!P$13&lt;Reprogramaciones!$T$15,0,IF(Reprogramaciones!P$14&gt;10,MIN(100,SUM($G110:$P110)),MIN(100,SUMPRODUCT((COLUMN($G110:$P110)-COLUMN($G110)+1&lt;Reprogramaciones!P$14)*$G110:$P110)+N(INDEX($G110:$P110,1,Reprogramaciones!P$14))*IF(Reprogramaciones!P$13&gt;=(Reprogramaciones!$T$15+7*(Reprogramaciones!P$14-1))+6,1,IF(MAX(0,NETWORKDAYS.INTL(MAX(E110,(Reprogramaciones!$T$15+7*(Reprogramaciones!P$14-1))),MIN(F110,(Reprogramaciones!$T$15+7*(Reprogramaciones!P$14-1))+6),11))=0,0,MAX(0,NETWORKDAYS.INTL(MAX(E110,(Reprogramaciones!$T$15+7*(Reprogramaciones!P$14-1))),MIN(F110,Reprogramaciones!P$13),11))/MAX(0,NETWORKDAYS.INTL(MAX(E110,(Reprogramaciones!$T$15+7*(Reprogramaciones!P$14-1))),MIN(F110,(Reprogramaciones!$T$15+7*(Reprogramaciones!P$14-1))+6),11))))))))</f>
        <v/>
      </c>
      <c r="BZ110" s="1" t="str">
        <f aca="false">IF(OR(NOT(AND(ISNUMBER(E110),ISNUMBER(F110))),$J$2=""),"",IF(Reprogramaciones!Q$13&lt;Reprogramaciones!$T$15,0,IF(Reprogramaciones!Q$14&gt;10,MIN(100,SUM($G110:$P110)),MIN(100,SUMPRODUCT((COLUMN($G110:$P110)-COLUMN($G110)+1&lt;Reprogramaciones!Q$14)*$G110:$P110)+N(INDEX($G110:$P110,1,Reprogramaciones!Q$14))*IF(Reprogramaciones!Q$13&gt;=(Reprogramaciones!$T$15+7*(Reprogramaciones!Q$14-1))+6,1,IF(MAX(0,NETWORKDAYS.INTL(MAX(E110,(Reprogramaciones!$T$15+7*(Reprogramaciones!Q$14-1))),MIN(F110,(Reprogramaciones!$T$15+7*(Reprogramaciones!Q$14-1))+6),11))=0,0,MAX(0,NETWORKDAYS.INTL(MAX(E110,(Reprogramaciones!$T$15+7*(Reprogramaciones!Q$14-1))),MIN(F110,Reprogramaciones!Q$13),11))/MAX(0,NETWORKDAYS.INTL(MAX(E110,(Reprogramaciones!$T$15+7*(Reprogramaciones!Q$14-1))),MIN(F110,(Reprogramaciones!$T$15+7*(Reprogramaciones!Q$14-1))+6),11))))))))</f>
        <v/>
      </c>
      <c r="CA110" s="1" t="str">
        <f aca="false">IF(OR(NOT(AND(ISNUMBER(E110),ISNUMBER(F110))),$J$2=""),"",IF(Reprogramaciones!R$13&lt;Reprogramaciones!$T$15,0,IF(Reprogramaciones!R$14&gt;10,MIN(100,SUM($G110:$P110)),MIN(100,SUMPRODUCT((COLUMN($G110:$P110)-COLUMN($G110)+1&lt;Reprogramaciones!R$14)*$G110:$P110)+N(INDEX($G110:$P110,1,Reprogramaciones!R$14))*IF(Reprogramaciones!R$13&gt;=(Reprogramaciones!$T$15+7*(Reprogramaciones!R$14-1))+6,1,IF(MAX(0,NETWORKDAYS.INTL(MAX(E110,(Reprogramaciones!$T$15+7*(Reprogramaciones!R$14-1))),MIN(F110,(Reprogramaciones!$T$15+7*(Reprogramaciones!R$14-1))+6),11))=0,0,MAX(0,NETWORKDAYS.INTL(MAX(E110,(Reprogramaciones!$T$15+7*(Reprogramaciones!R$14-1))),MIN(F110,Reprogramaciones!R$13),11))/MAX(0,NETWORKDAYS.INTL(MAX(E110,(Reprogramaciones!$T$15+7*(Reprogramaciones!R$14-1))),MIN(F110,(Reprogramaciones!$T$15+7*(Reprogramaciones!R$14-1))+6),11))))))))</f>
        <v/>
      </c>
      <c r="CB110" s="1" t="str">
        <f aca="false">IF(OR(NOT(AND(ISNUMBER(E110),ISNUMBER(F110))),$J$2=""),"",IF(Reprogramaciones!S$13&lt;Reprogramaciones!$T$15,0,IF(Reprogramaciones!S$14&gt;10,MIN(100,SUM($G110:$P110)),MIN(100,SUMPRODUCT((COLUMN($G110:$P110)-COLUMN($G110)+1&lt;Reprogramaciones!S$14)*$G110:$P110)+N(INDEX($G110:$P110,1,Reprogramaciones!S$14))*IF(Reprogramaciones!S$13&gt;=(Reprogramaciones!$T$15+7*(Reprogramaciones!S$14-1))+6,1,IF(MAX(0,NETWORKDAYS.INTL(MAX(E110,(Reprogramaciones!$T$15+7*(Reprogramaciones!S$14-1))),MIN(F110,(Reprogramaciones!$T$15+7*(Reprogramaciones!S$14-1))+6),11))=0,0,MAX(0,NETWORKDAYS.INTL(MAX(E110,(Reprogramaciones!$T$15+7*(Reprogramaciones!S$14-1))),MIN(F110,Reprogramaciones!S$13),11))/MAX(0,NETWORKDAYS.INTL(MAX(E110,(Reprogramaciones!$T$15+7*(Reprogramaciones!S$14-1))),MIN(F110,(Reprogramaciones!$T$15+7*(Reprogramaciones!S$14-1))+6),11))))))))</f>
        <v/>
      </c>
      <c r="CC110" s="1" t="str">
        <f aca="false">IF(OR(NOT(AND(ISNUMBER(E110),ISNUMBER(F110))),$J$2=""),"",IF(Reprogramaciones!T$13&lt;Reprogramaciones!$T$15,0,IF(Reprogramaciones!T$14&gt;10,MIN(100,SUM($G110:$P110)),MIN(100,SUMPRODUCT((COLUMN($G110:$P110)-COLUMN($G110)+1&lt;Reprogramaciones!T$14)*$G110:$P110)+N(INDEX($G110:$P110,1,Reprogramaciones!T$14))*IF(Reprogramaciones!T$13&gt;=(Reprogramaciones!$T$15+7*(Reprogramaciones!T$14-1))+6,1,IF(MAX(0,NETWORKDAYS.INTL(MAX(E110,(Reprogramaciones!$T$15+7*(Reprogramaciones!T$14-1))),MIN(F110,(Reprogramaciones!$T$15+7*(Reprogramaciones!T$14-1))+6),11))=0,0,MAX(0,NETWORKDAYS.INTL(MAX(E110,(Reprogramaciones!$T$15+7*(Reprogramaciones!T$14-1))),MIN(F110,Reprogramaciones!T$13),11))/MAX(0,NETWORKDAYS.INTL(MAX(E110,(Reprogramaciones!$T$15+7*(Reprogramaciones!T$14-1))),MIN(F110,(Reprogramaciones!$T$15+7*(Reprogramaciones!T$14-1))+6),11))))))))</f>
        <v/>
      </c>
      <c r="CD110" s="1" t="str">
        <f aca="false">IF(OR(NOT(AND(ISNUMBER(E110),ISNUMBER(F110))),$J$2=""),"",IF(Reprogramaciones!U$13&lt;Reprogramaciones!$T$15,0,IF(Reprogramaciones!U$14&gt;10,MIN(100,SUM($G110:$P110)),MIN(100,SUMPRODUCT((COLUMN($G110:$P110)-COLUMN($G110)+1&lt;Reprogramaciones!U$14)*$G110:$P110)+N(INDEX($G110:$P110,1,Reprogramaciones!U$14))*IF(Reprogramaciones!U$13&gt;=(Reprogramaciones!$T$15+7*(Reprogramaciones!U$14-1))+6,1,IF(MAX(0,NETWORKDAYS.INTL(MAX(E110,(Reprogramaciones!$T$15+7*(Reprogramaciones!U$14-1))),MIN(F110,(Reprogramaciones!$T$15+7*(Reprogramaciones!U$14-1))+6),11))=0,0,MAX(0,NETWORKDAYS.INTL(MAX(E110,(Reprogramaciones!$T$15+7*(Reprogramaciones!U$14-1))),MIN(F110,Reprogramaciones!U$13),11))/MAX(0,NETWORKDAYS.INTL(MAX(E110,(Reprogramaciones!$T$15+7*(Reprogramaciones!U$14-1))),MIN(F110,(Reprogramaciones!$T$15+7*(Reprogramaciones!U$14-1))+6),11))))))))</f>
        <v/>
      </c>
      <c r="CE110" s="1" t="str">
        <f aca="false">IF(OR(NOT(AND(ISNUMBER(E110),ISNUMBER(F110))),$J$2=""),"",IF(Reprogramaciones!V$13&lt;Reprogramaciones!$T$15,0,IF(Reprogramaciones!V$14&gt;10,MIN(100,SUM($G110:$P110)),MIN(100,SUMPRODUCT((COLUMN($G110:$P110)-COLUMN($G110)+1&lt;Reprogramaciones!V$14)*$G110:$P110)+N(INDEX($G110:$P110,1,Reprogramaciones!V$14))*IF(Reprogramaciones!V$13&gt;=(Reprogramaciones!$T$15+7*(Reprogramaciones!V$14-1))+6,1,IF(MAX(0,NETWORKDAYS.INTL(MAX(E110,(Reprogramaciones!$T$15+7*(Reprogramaciones!V$14-1))),MIN(F110,(Reprogramaciones!$T$15+7*(Reprogramaciones!V$14-1))+6),11))=0,0,MAX(0,NETWORKDAYS.INTL(MAX(E110,(Reprogramaciones!$T$15+7*(Reprogramaciones!V$14-1))),MIN(F110,Reprogramaciones!V$13),11))/MAX(0,NETWORKDAYS.INTL(MAX(E110,(Reprogramaciones!$T$15+7*(Reprogramaciones!V$14-1))),MIN(F110,(Reprogramaciones!$T$15+7*(Reprogramaciones!V$14-1))+6),11))))))))</f>
        <v/>
      </c>
      <c r="CF110" s="1" t="str">
        <f aca="false">IF(OR(NOT(AND(ISNUMBER(E110),ISNUMBER(F110))),$J$2=""),"",IF(Reprogramaciones!W$13&lt;Reprogramaciones!$T$15,0,IF(Reprogramaciones!W$14&gt;10,MIN(100,SUM($G110:$P110)),MIN(100,SUMPRODUCT((COLUMN($G110:$P110)-COLUMN($G110)+1&lt;Reprogramaciones!W$14)*$G110:$P110)+N(INDEX($G110:$P110,1,Reprogramaciones!W$14))*IF(Reprogramaciones!W$13&gt;=(Reprogramaciones!$T$15+7*(Reprogramaciones!W$14-1))+6,1,IF(MAX(0,NETWORKDAYS.INTL(MAX(E110,(Reprogramaciones!$T$15+7*(Reprogramaciones!W$14-1))),MIN(F110,(Reprogramaciones!$T$15+7*(Reprogramaciones!W$14-1))+6),11))=0,0,MAX(0,NETWORKDAYS.INTL(MAX(E110,(Reprogramaciones!$T$15+7*(Reprogramaciones!W$14-1))),MIN(F110,Reprogramaciones!W$13),11))/MAX(0,NETWORKDAYS.INTL(MAX(E110,(Reprogramaciones!$T$15+7*(Reprogramaciones!W$14-1))),MIN(F110,(Reprogramaciones!$T$15+7*(Reprogramaciones!W$14-1))+6),11))))))))</f>
        <v/>
      </c>
      <c r="CG110" s="1" t="str">
        <f aca="false">IF(OR(NOT(AND(ISNUMBER(E110),ISNUMBER(F110))),$J$2=""),"",IF(Reprogramaciones!X$13&lt;Reprogramaciones!$T$15,0,IF(Reprogramaciones!X$14&gt;10,MIN(100,SUM($G110:$P110)),MIN(100,SUMPRODUCT((COLUMN($G110:$P110)-COLUMN($G110)+1&lt;Reprogramaciones!X$14)*$G110:$P110)+N(INDEX($G110:$P110,1,Reprogramaciones!X$14))*IF(Reprogramaciones!X$13&gt;=(Reprogramaciones!$T$15+7*(Reprogramaciones!X$14-1))+6,1,IF(MAX(0,NETWORKDAYS.INTL(MAX(E110,(Reprogramaciones!$T$15+7*(Reprogramaciones!X$14-1))),MIN(F110,(Reprogramaciones!$T$15+7*(Reprogramaciones!X$14-1))+6),11))=0,0,MAX(0,NETWORKDAYS.INTL(MAX(E110,(Reprogramaciones!$T$15+7*(Reprogramaciones!X$14-1))),MIN(F110,Reprogramaciones!X$13),11))/MAX(0,NETWORKDAYS.INTL(MAX(E110,(Reprogramaciones!$T$15+7*(Reprogramaciones!X$14-1))),MIN(F110,(Reprogramaciones!$T$15+7*(Reprogramaciones!X$14-1))+6),11))))))))</f>
        <v/>
      </c>
      <c r="CH110" s="1" t="str">
        <f aca="false">IF(OR(NOT(AND(ISNUMBER(E110),ISNUMBER(F110))),$J$2=""),"",IF(Reprogramaciones!Y$13&lt;Reprogramaciones!$T$15,0,IF(Reprogramaciones!Y$14&gt;10,MIN(100,SUM($G110:$P110)),MIN(100,SUMPRODUCT((COLUMN($G110:$P110)-COLUMN($G110)+1&lt;Reprogramaciones!Y$14)*$G110:$P110)+N(INDEX($G110:$P110,1,Reprogramaciones!Y$14))*IF(Reprogramaciones!Y$13&gt;=(Reprogramaciones!$T$15+7*(Reprogramaciones!Y$14-1))+6,1,IF(MAX(0,NETWORKDAYS.INTL(MAX(E110,(Reprogramaciones!$T$15+7*(Reprogramaciones!Y$14-1))),MIN(F110,(Reprogramaciones!$T$15+7*(Reprogramaciones!Y$14-1))+6),11))=0,0,MAX(0,NETWORKDAYS.INTL(MAX(E110,(Reprogramaciones!$T$15+7*(Reprogramaciones!Y$14-1))),MIN(F110,Reprogramaciones!Y$13),11))/MAX(0,NETWORKDAYS.INTL(MAX(E110,(Reprogramaciones!$T$15+7*(Reprogramaciones!Y$14-1))),MIN(F110,(Reprogramaciones!$T$15+7*(Reprogramaciones!Y$14-1))+6),11))))))))</f>
        <v/>
      </c>
      <c r="CI110" s="1" t="str">
        <f aca="false">IF(OR(NOT(AND(ISNUMBER(E110),ISNUMBER(F110))),$J$2=""),"",IF(Reprogramaciones!Z$13&lt;Reprogramaciones!$T$15,0,IF(Reprogramaciones!Z$14&gt;10,MIN(100,SUM($G110:$P110)),MIN(100,SUMPRODUCT((COLUMN($G110:$P110)-COLUMN($G110)+1&lt;Reprogramaciones!Z$14)*$G110:$P110)+N(INDEX($G110:$P110,1,Reprogramaciones!Z$14))*IF(Reprogramaciones!Z$13&gt;=(Reprogramaciones!$T$15+7*(Reprogramaciones!Z$14-1))+6,1,IF(MAX(0,NETWORKDAYS.INTL(MAX(E110,(Reprogramaciones!$T$15+7*(Reprogramaciones!Z$14-1))),MIN(F110,(Reprogramaciones!$T$15+7*(Reprogramaciones!Z$14-1))+6),11))=0,0,MAX(0,NETWORKDAYS.INTL(MAX(E110,(Reprogramaciones!$T$15+7*(Reprogramaciones!Z$14-1))),MIN(F110,Reprogramaciones!Z$13),11))/MAX(0,NETWORKDAYS.INTL(MAX(E110,(Reprogramaciones!$T$15+7*(Reprogramaciones!Z$14-1))),MIN(F110,(Reprogramaciones!$T$15+7*(Reprogramaciones!Z$14-1))+6),11))))))))</f>
        <v/>
      </c>
      <c r="CJ110" s="1" t="str">
        <f aca="false">IF(OR(OR(NOT(AND(ISNUMBER(E110),ISNUMBER(F110))),$J$2=""),1&gt;Reprogramaciones!$K$16),"",IF(ROUND(SUM($Q110:Q110),1)&gt;=99.5,100,MIN(100,ROUND(SUM($Q110:Q110),1))))</f>
        <v/>
      </c>
      <c r="CK110" s="1" t="str">
        <f aca="false">IF(OR(OR(NOT(AND(ISNUMBER(E110),ISNUMBER(F110))),$J$2=""),2&gt;Reprogramaciones!$K$16),"",IF(ROUND(SUM($Q110:R110),1)&gt;=99.5,100,MIN(100,ROUND(SUM($Q110:R110),1))))</f>
        <v/>
      </c>
      <c r="CL110" s="1" t="str">
        <f aca="false">IF(OR(OR(NOT(AND(ISNUMBER(E110),ISNUMBER(F110))),$J$2=""),3&gt;Reprogramaciones!$K$16),"",IF(ROUND(SUM($Q110:S110),1)&gt;=99.5,100,MIN(100,ROUND(SUM($Q110:S110),1))))</f>
        <v/>
      </c>
      <c r="CM110" s="1" t="str">
        <f aca="false">IF(OR(OR(NOT(AND(ISNUMBER(E110),ISNUMBER(F110))),$J$2=""),4&gt;Reprogramaciones!$K$16),"",IF(ROUND(SUM($Q110:T110),1)&gt;=99.5,100,MIN(100,ROUND(SUM($Q110:T110),1))))</f>
        <v/>
      </c>
      <c r="CN110" s="1" t="str">
        <f aca="false">IF(OR(OR(NOT(AND(ISNUMBER(E110),ISNUMBER(F110))),$J$2=""),5&gt;Reprogramaciones!$K$16),"",IF(ROUND(SUM($Q110:U110),1)&gt;=99.5,100,MIN(100,ROUND(SUM($Q110:U110),1))))</f>
        <v/>
      </c>
      <c r="CO110" s="1" t="str">
        <f aca="false">IF(OR(OR(NOT(AND(ISNUMBER(E110),ISNUMBER(F110))),$J$2=""),6&gt;Reprogramaciones!$K$16),"",IF(ROUND(SUM($Q110:V110),1)&gt;=99.5,100,MIN(100,ROUND(SUM($Q110:V110),1))))</f>
        <v/>
      </c>
      <c r="CP110" s="1" t="str">
        <f aca="false">IF(OR(OR(NOT(AND(ISNUMBER(E110),ISNUMBER(F110))),$J$2=""),7&gt;Reprogramaciones!$K$16),"",IF(ROUND(SUM($Q110:W110),1)&gt;=99.5,100,MIN(100,ROUND(SUM($Q110:W110),1))))</f>
        <v/>
      </c>
      <c r="CQ110" s="1" t="str">
        <f aca="false">IF(OR(OR(NOT(AND(ISNUMBER(E110),ISNUMBER(F110))),$J$2=""),8&gt;Reprogramaciones!$K$16),"",IF(ROUND(SUM($Q110:X110),1)&gt;=99.5,100,MIN(100,ROUND(SUM($Q110:X110),1))))</f>
        <v/>
      </c>
      <c r="CR110" s="1" t="str">
        <f aca="false">IF(OR(OR(NOT(AND(ISNUMBER(E110),ISNUMBER(F110))),$J$2=""),9&gt;Reprogramaciones!$K$16),"",IF(ROUND(SUM($Q110:Y110),1)&gt;=99.5,100,MIN(100,ROUND(SUM($Q110:Y110),1))))</f>
        <v/>
      </c>
      <c r="CS110" s="1" t="str">
        <f aca="false">IF(OR(OR(NOT(AND(ISNUMBER(E110),ISNUMBER(F110))),$J$2=""),10&gt;Reprogramaciones!$K$16),"",IF(ROUND(SUM($Q110:Z110),1)&gt;=99.5,100,MIN(100,ROUND(SUM($Q110:Z110),1))))</f>
        <v/>
      </c>
      <c r="CT110" s="1" t="str">
        <f aca="false">IF(OR(OR(NOT(AND(ISNUMBER(E110),ISNUMBER(F110))),$J$2=""),11&gt;Reprogramaciones!$K$16),"",IF(ROUND(SUM($Q110:AA110),1)&gt;=99.5,100,MIN(100,ROUND(SUM($Q110:AA110),1))))</f>
        <v/>
      </c>
      <c r="CU110" s="1" t="str">
        <f aca="false">IF(OR(OR(NOT(AND(ISNUMBER(E110),ISNUMBER(F110))),$J$2=""),12&gt;Reprogramaciones!$K$16),"",IF(ROUND(SUM($Q110:AB110),1)&gt;=99.5,100,MIN(100,ROUND(SUM($Q110:AB110),1))))</f>
        <v/>
      </c>
      <c r="CV110" s="1" t="str">
        <f aca="false">IF(OR(OR(NOT(AND(ISNUMBER(E110),ISNUMBER(F110))),$J$2=""),13&gt;Reprogramaciones!$K$16),"",IF(ROUND(SUM($Q110:AC110),1)&gt;=99.5,100,MIN(100,ROUND(SUM($Q110:AC110),1))))</f>
        <v/>
      </c>
      <c r="CW110" s="1" t="str">
        <f aca="false">IF(OR(OR(NOT(AND(ISNUMBER(E110),ISNUMBER(F110))),$J$2=""),14&gt;Reprogramaciones!$K$16),"",IF(ROUND(SUM($Q110:AD110),1)&gt;=99.5,100,MIN(100,ROUND(SUM($Q110:AD110),1))))</f>
        <v/>
      </c>
      <c r="CX110" s="1" t="str">
        <f aca="false">IF(OR(OR(NOT(AND(ISNUMBER(E110),ISNUMBER(F110))),$J$2=""),15&gt;Reprogramaciones!$K$16),"",IF(ROUND(SUM($Q110:AE110),1)&gt;=99.5,100,MIN(100,ROUND(SUM($Q110:AE110),1))))</f>
        <v/>
      </c>
      <c r="CY110" s="1" t="str">
        <f aca="false">IF(OR(OR(NOT(AND(ISNUMBER(E110),ISNUMBER(F110))),$J$2=""),16&gt;Reprogramaciones!$K$16),"",IF(ROUND(SUM($Q110:AF110),1)&gt;=99.5,100,MIN(100,ROUND(SUM($Q110:AF110),1))))</f>
        <v/>
      </c>
      <c r="CZ110" s="1" t="str">
        <f aca="false">IF(D110&lt;&gt;"",D110,IF(B110&lt;&gt;"","Contractual",CZ109))</f>
        <v>Contractual</v>
      </c>
      <c r="DA110" s="1" t="str">
        <f aca="false">IF(OR(NOT(AND(ISNUMBER(E110),ISNUMBER(F110))),$J$2=""),"",IF(Reprogramaciones!$Q$15&lt;Reprogramaciones!$T$15,0,IF(Reprogramaciones!$S$15&gt;10,MIN(100,SUM($G110:$P110)),MIN(100,SUMPRODUCT((COLUMN($G110:$P110)-COLUMN($G110)+1&lt;Reprogramaciones!$S$15)*$G110:$P110)+N(INDEX($G110:$P110,1,Reprogramaciones!$S$15))*IF(Reprogramaciones!$Q$15&gt;=(Reprogramaciones!$T$15+7*(Reprogramaciones!$S$15-1))+6,1,IF(MAX(0,NETWORKDAYS.INTL(MAX(E110,(Reprogramaciones!$T$15+7*(Reprogramaciones!$S$15-1))),MIN(F110,(Reprogramaciones!$T$15+7*(Reprogramaciones!$S$15-1))+6),11))=0,0,MAX(0,NETWORKDAYS.INTL(MAX(E110,(Reprogramaciones!$T$15+7*(Reprogramaciones!$S$15-1))),MIN(F110,Reprogramaciones!$Q$15),11))/MAX(0,NETWORKDAYS.INTL(MAX(E110,(Reprogramaciones!$T$15+7*(Reprogramaciones!$S$15-1))),MIN(F110,(Reprogramaciones!$T$15+7*(Reprogramaciones!$S$15-1))+6),11))))))))</f>
        <v/>
      </c>
    </row>
    <row r="111" customFormat="false" ht="15" hidden="false" customHeight="false" outlineLevel="0" collapsed="false">
      <c r="A111" s="32"/>
      <c r="B111" s="33"/>
      <c r="C111" s="33"/>
      <c r="D111" s="34"/>
      <c r="E111" s="35"/>
      <c r="F111" s="35"/>
      <c r="G111" s="36" t="str">
        <f aca="false">IF(OR(NOT(AND(ISNUMBER(E111),ISNUMBER(F111))),$J$2=""),"",IF(Reprogramaciones!K$9&lt;E111,0,IF(NETWORKDAYS.INTL(E111,F111,11)=0,IF(Reprogramaciones!K$9&gt;=F111,100,0),ROUND(NETWORKDAYS.INTL(E111,MIN(F111,Reprogramaciones!K$9),11)/NETWORKDAYS.INTL(E111,F111,11)*100,1)))-0)</f>
        <v/>
      </c>
      <c r="H111" s="36" t="str">
        <f aca="false">IF(OR(NOT(AND(ISNUMBER(E111),ISNUMBER(F111))),$J$2=""),"",IF(Reprogramaciones!L$9&lt;E111,0,IF(NETWORKDAYS.INTL(E111,F111,11)=0,IF(Reprogramaciones!L$9&gt;=F111,100,0),ROUND(NETWORKDAYS.INTL(E111,MIN(F111,Reprogramaciones!L$9),11)/NETWORKDAYS.INTL(E111,F111,11)*100,1)))-IF(Reprogramaciones!K$9&lt;E111,0,IF(NETWORKDAYS.INTL(E111,F111,11)=0,IF(Reprogramaciones!K$9&gt;=F111,100,0),ROUND(NETWORKDAYS.INTL(E111,MIN(F111,Reprogramaciones!K$9),11)/NETWORKDAYS.INTL(E111,F111,11)*100,1))))</f>
        <v/>
      </c>
      <c r="I111" s="36" t="str">
        <f aca="false">IF(OR(NOT(AND(ISNUMBER(E111),ISNUMBER(F111))),$J$2=""),"",IF(Reprogramaciones!M$9&lt;E111,0,IF(NETWORKDAYS.INTL(E111,F111,11)=0,IF(Reprogramaciones!M$9&gt;=F111,100,0),ROUND(NETWORKDAYS.INTL(E111,MIN(F111,Reprogramaciones!M$9),11)/NETWORKDAYS.INTL(E111,F111,11)*100,1)))-IF(Reprogramaciones!L$9&lt;E111,0,IF(NETWORKDAYS.INTL(E111,F111,11)=0,IF(Reprogramaciones!L$9&gt;=F111,100,0),ROUND(NETWORKDAYS.INTL(E111,MIN(F111,Reprogramaciones!L$9),11)/NETWORKDAYS.INTL(E111,F111,11)*100,1))))</f>
        <v/>
      </c>
      <c r="J111" s="36" t="str">
        <f aca="false">IF(OR(NOT(AND(ISNUMBER(E111),ISNUMBER(F111))),$J$2=""),"",IF(Reprogramaciones!N$9&lt;E111,0,IF(NETWORKDAYS.INTL(E111,F111,11)=0,IF(Reprogramaciones!N$9&gt;=F111,100,0),ROUND(NETWORKDAYS.INTL(E111,MIN(F111,Reprogramaciones!N$9),11)/NETWORKDAYS.INTL(E111,F111,11)*100,1)))-IF(Reprogramaciones!M$9&lt;E111,0,IF(NETWORKDAYS.INTL(E111,F111,11)=0,IF(Reprogramaciones!M$9&gt;=F111,100,0),ROUND(NETWORKDAYS.INTL(E111,MIN(F111,Reprogramaciones!M$9),11)/NETWORKDAYS.INTL(E111,F111,11)*100,1))))</f>
        <v/>
      </c>
      <c r="K111" s="36" t="str">
        <f aca="false">IF(OR(NOT(AND(ISNUMBER(E111),ISNUMBER(F111))),$J$2=""),"",IF(Reprogramaciones!O$9&lt;E111,0,IF(NETWORKDAYS.INTL(E111,F111,11)=0,IF(Reprogramaciones!O$9&gt;=F111,100,0),ROUND(NETWORKDAYS.INTL(E111,MIN(F111,Reprogramaciones!O$9),11)/NETWORKDAYS.INTL(E111,F111,11)*100,1)))-IF(Reprogramaciones!N$9&lt;E111,0,IF(NETWORKDAYS.INTL(E111,F111,11)=0,IF(Reprogramaciones!N$9&gt;=F111,100,0),ROUND(NETWORKDAYS.INTL(E111,MIN(F111,Reprogramaciones!N$9),11)/NETWORKDAYS.INTL(E111,F111,11)*100,1))))</f>
        <v/>
      </c>
      <c r="L111" s="36" t="str">
        <f aca="false">IF(OR(NOT(AND(ISNUMBER(E111),ISNUMBER(F111))),$J$2=""),"",IF(Reprogramaciones!P$9&lt;E111,0,IF(NETWORKDAYS.INTL(E111,F111,11)=0,IF(Reprogramaciones!P$9&gt;=F111,100,0),ROUND(NETWORKDAYS.INTL(E111,MIN(F111,Reprogramaciones!P$9),11)/NETWORKDAYS.INTL(E111,F111,11)*100,1)))-IF(Reprogramaciones!O$9&lt;E111,0,IF(NETWORKDAYS.INTL(E111,F111,11)=0,IF(Reprogramaciones!O$9&gt;=F111,100,0),ROUND(NETWORKDAYS.INTL(E111,MIN(F111,Reprogramaciones!O$9),11)/NETWORKDAYS.INTL(E111,F111,11)*100,1))))</f>
        <v/>
      </c>
      <c r="M111" s="36" t="str">
        <f aca="false">IF(OR(NOT(AND(ISNUMBER(E111),ISNUMBER(F111))),$J$2=""),"",IF(Reprogramaciones!Q$9&lt;E111,0,IF(NETWORKDAYS.INTL(E111,F111,11)=0,IF(Reprogramaciones!Q$9&gt;=F111,100,0),ROUND(NETWORKDAYS.INTL(E111,MIN(F111,Reprogramaciones!Q$9),11)/NETWORKDAYS.INTL(E111,F111,11)*100,1)))-IF(Reprogramaciones!P$9&lt;E111,0,IF(NETWORKDAYS.INTL(E111,F111,11)=0,IF(Reprogramaciones!P$9&gt;=F111,100,0),ROUND(NETWORKDAYS.INTL(E111,MIN(F111,Reprogramaciones!P$9),11)/NETWORKDAYS.INTL(E111,F111,11)*100,1))))</f>
        <v/>
      </c>
      <c r="N111" s="36" t="str">
        <f aca="false">IF(OR(NOT(AND(ISNUMBER(E111),ISNUMBER(F111))),$J$2=""),"",IF(Reprogramaciones!R$9&lt;E111,0,IF(NETWORKDAYS.INTL(E111,F111,11)=0,IF(Reprogramaciones!R$9&gt;=F111,100,0),ROUND(NETWORKDAYS.INTL(E111,MIN(F111,Reprogramaciones!R$9),11)/NETWORKDAYS.INTL(E111,F111,11)*100,1)))-IF(Reprogramaciones!Q$9&lt;E111,0,IF(NETWORKDAYS.INTL(E111,F111,11)=0,IF(Reprogramaciones!Q$9&gt;=F111,100,0),ROUND(NETWORKDAYS.INTL(E111,MIN(F111,Reprogramaciones!Q$9),11)/NETWORKDAYS.INTL(E111,F111,11)*100,1))))</f>
        <v/>
      </c>
      <c r="O111" s="36" t="str">
        <f aca="false">IF(OR(NOT(AND(ISNUMBER(E111),ISNUMBER(F111))),$J$2=""),"",IF(Reprogramaciones!S$9&lt;E111,0,IF(NETWORKDAYS.INTL(E111,F111,11)=0,IF(Reprogramaciones!S$9&gt;=F111,100,0),ROUND(NETWORKDAYS.INTL(E111,MIN(F111,Reprogramaciones!S$9),11)/NETWORKDAYS.INTL(E111,F111,11)*100,1)))-IF(Reprogramaciones!R$9&lt;E111,0,IF(NETWORKDAYS.INTL(E111,F111,11)=0,IF(Reprogramaciones!R$9&gt;=F111,100,0),ROUND(NETWORKDAYS.INTL(E111,MIN(F111,Reprogramaciones!R$9),11)/NETWORKDAYS.INTL(E111,F111,11)*100,1))))</f>
        <v/>
      </c>
      <c r="P111" s="36" t="str">
        <f aca="false">IF(OR(NOT(AND(ISNUMBER(E111),ISNUMBER(F111))),$J$2=""),"",IF(Reprogramaciones!T$9&lt;E111,0,IF(NETWORKDAYS.INTL(E111,F111,11)=0,IF(Reprogramaciones!T$9&gt;=F111,100,0),ROUND(NETWORKDAYS.INTL(E111,MIN(F111,Reprogramaciones!T$9),11)/NETWORKDAYS.INTL(E111,F111,11)*100,1)))-IF(Reprogramaciones!S$9&lt;E111,0,IF(NETWORKDAYS.INTL(E111,F111,11)=0,IF(Reprogramaciones!S$9&gt;=F111,100,0),ROUND(NETWORKDAYS.INTL(E111,MIN(F111,Reprogramaciones!S$9),11)/NETWORKDAYS.INTL(E111,F111,11)*100,1))))</f>
        <v/>
      </c>
      <c r="Q111" s="37"/>
      <c r="R111" s="37"/>
      <c r="S111" s="37"/>
      <c r="T111" s="37"/>
      <c r="U111" s="37"/>
      <c r="V111" s="37"/>
      <c r="W111" s="37"/>
      <c r="X111" s="37"/>
      <c r="Y111" s="37"/>
      <c r="Z111" s="37"/>
      <c r="AA111" s="37"/>
      <c r="AB111" s="37"/>
      <c r="AC111" s="37"/>
      <c r="AD111" s="37"/>
      <c r="AE111" s="37"/>
      <c r="AF111" s="37"/>
      <c r="AG111" s="38" t="str">
        <f aca="false">IF(AND(ISNUMBER(E111),ISNUMBER(F111)),NETWORKDAYS.INTL(E111,F111,11),"")</f>
        <v/>
      </c>
      <c r="AH111" s="38" t="str">
        <f aca="false">IF(OR(NOT(AND(ISNUMBER(E111),ISNUMBER(F111))),$J$2=""),"",IF(Reprogramaciones!$P$15&lt;Reprogramaciones!$T$15,0,IF(Reprogramaciones!$R$15&gt;10,MIN(100,SUM($G111:$P111)),MIN(100,SUMPRODUCT((COLUMN($G111:$P111)-COLUMN($G111)+1&lt;Reprogramaciones!$R$15)*$G111:$P111)+N(INDEX($G111:$P111,1,Reprogramaciones!$R$15))*IF(Reprogramaciones!$P$15&gt;=(Reprogramaciones!$T$15+7*(Reprogramaciones!$R$15-1))+6,1,IF(MAX(0,NETWORKDAYS.INTL(MAX(E111,(Reprogramaciones!$T$15+7*(Reprogramaciones!$R$15-1))),MIN(F111,(Reprogramaciones!$T$15+7*(Reprogramaciones!$R$15-1))+6),11))=0,0,MAX(0,NETWORKDAYS.INTL(MAX(E111,(Reprogramaciones!$T$15+7*(Reprogramaciones!$R$15-1))),MIN(F111,Reprogramaciones!$P$15),11))/MAX(0,NETWORKDAYS.INTL(MAX(E111,(Reprogramaciones!$T$15+7*(Reprogramaciones!$R$15-1))),MIN(F111,(Reprogramaciones!$T$15+7*(Reprogramaciones!$R$15-1))+6),11))))))))</f>
        <v/>
      </c>
      <c r="AI111" s="38" t="str">
        <f aca="false">IF(COUNT($Q111:$AF111)=0,"",IF(ROUND(SUM($Q111:$AF111),1)&gt;=99.5,100,MIN(100,ROUND(SUM($Q111:$AF111),1))))</f>
        <v/>
      </c>
      <c r="AJ111" s="38" t="str">
        <f aca="false">IF(OR(AH111="",AI111=""),"",AI111-AH111)</f>
        <v/>
      </c>
      <c r="AK111" s="39" t="str">
        <f aca="true">IF(AH111="","",IF(OR(Ficha!$C$10="Suspendida",Ficha!$C$10="Cancelada"),Ficha!$C$10,IF(AND(AI111&lt;&gt;"",N(AI111)&gt;=100),"Completada",IF(AND(E111&gt;TODAY(),N(AI111)=0),"Por iniciar",IF(N(AI111)+0.5&lt;AH111,"Retrasada",IF(N(AI111)+0.5&lt;DA111,IF(Reprogramaciones!$K$15&gt;0,"Al día · Sem "&amp;Reprogramaciones!$K$15&amp;" en curso","Al día · en curso"),"A tiempo"))))))</f>
        <v/>
      </c>
      <c r="AL111" s="39" t="str">
        <f aca="true">IF(AND(A111="",AND(B111="",C111="",E111="",F111="",COUNT(Q111:AF111)=0)),"",IF(AND(B111="",C111="",E111="",F111="",COUNT(Q111:AF111)=0),"Falta la partida o subpartida",IF(AND(A111&lt;&gt;"",COUNTIF($A$6:$A$305,A111)&gt;1),"Ítem repetido",IF(AND(C111="",E111="",F111="",COUNT(Q111:AF111)=0),"Título de partida",IF(OR(E111="",F111=""),"Faltan fechas",IF(OR(ISTEXT(E111),ISTEXT(F111)),"Fecha escrita como texto: usa dd/mm/aaaa",IF(F111&lt;E111,"Fin antes del inicio",IF(IF($J$2="",FALSE(),OR(E111&lt;$J$2,F111&gt;Reprogramaciones!$T$15+69)),"Fuera de las 10 semanas",IF(ABS(SUM(G111:P111)-100)&gt;0.5,"La meta no suma 100%",IF(ROUND(SUM(Q111:AF111),1)&gt;100.5,"El avance pasa de 100%",IF(MIN(Q111:AF111)&lt;0,"Avance negativo",IF(COUNTA(Q111:AF111)&gt;COUNT(Q111:AF111),"Avance escrito como texto",IF(SUMPRODUCT((Q111:AF111&gt;0)*(Q111:AF111&lt;1))&gt;0,"Avance menor a 1: escribe 50, no 50%",IF(SUMPRODUCT(ISNUMBER(Q111:AF111)*(Reprogramaciones!$K$8:$Z$8&gt;TODAY()))&gt;0,"Avance en semana que aún no llega",IF(AND(N(Reprogramaciones!$E$21)&gt;0,F111&gt;Reprogramaciones!$E$21),"Pasa el fin de la obra: registra una reprogramación",IF(AND(N(Reprogramaciones!$E$21)&gt;0,SUMPRODUCT(ISNUMBER(Q111:AF111)*(Reprogramaciones!$K$8:$Z$8&gt;Reprogramaciones!$E$21))&gt;0),"Avance después del fin de la obra: registra una reprogramación por atraso","OK"))))))))))))))))</f>
        <v/>
      </c>
      <c r="AM111" s="40" t="str">
        <f aca="false">IF(OR(OR(NOT(AND(ISNUMBER(E111),ISNUMBER(F111))),$J$2=""),1&gt;MAX(1,Reprogramaciones!$U$15)),"",IF(Reprogramaciones!K$12&gt;=7,"",IF(OR(BT111-N(0)&gt;0.05,N(Q111)&gt;0),ROUNDDOWN(ROUND(BT111,6),0)&amp;"%"&amp;IF(CJ111="",""," / "&amp;CJ111&amp;"%"),IF(AND(N(0)&gt;=99.95,CJ111&lt;&gt;"",N(CJ111)&lt;100),"Pend. "&amp;CJ111&amp;"%",""))))</f>
        <v/>
      </c>
      <c r="AN111" s="40" t="str">
        <f aca="false">IF(OR(OR(NOT(AND(ISNUMBER(E111),ISNUMBER(F111))),$J$2=""),2&gt;MAX(1,Reprogramaciones!$U$15)),"",IF(Reprogramaciones!L$12&gt;=7,"",IF(OR(BU111-N(BT111)&gt;0.05,N(R111)&gt;0),ROUNDDOWN(ROUND(BU111,6),0)&amp;"%"&amp;IF(CK111="",""," / "&amp;CK111&amp;"%"),IF(AND(N(BT111)&gt;=99.95,CK111&lt;&gt;"",N(CK111)&lt;100),"Pend. "&amp;CK111&amp;"%",""))))</f>
        <v/>
      </c>
      <c r="AO111" s="40" t="str">
        <f aca="false">IF(OR(OR(NOT(AND(ISNUMBER(E111),ISNUMBER(F111))),$J$2=""),3&gt;MAX(1,Reprogramaciones!$U$15)),"",IF(Reprogramaciones!M$12&gt;=7,"",IF(OR(BV111-N(BU111)&gt;0.05,N(S111)&gt;0),ROUNDDOWN(ROUND(BV111,6),0)&amp;"%"&amp;IF(CL111="",""," / "&amp;CL111&amp;"%"),IF(AND(N(BU111)&gt;=99.95,CL111&lt;&gt;"",N(CL111)&lt;100),"Pend. "&amp;CL111&amp;"%",""))))</f>
        <v/>
      </c>
      <c r="AP111" s="40" t="str">
        <f aca="false">IF(OR(OR(NOT(AND(ISNUMBER(E111),ISNUMBER(F111))),$J$2=""),4&gt;MAX(1,Reprogramaciones!$U$15)),"",IF(Reprogramaciones!N$12&gt;=7,"",IF(OR(BW111-N(BV111)&gt;0.05,N(T111)&gt;0),ROUNDDOWN(ROUND(BW111,6),0)&amp;"%"&amp;IF(CM111="",""," / "&amp;CM111&amp;"%"),IF(AND(N(BV111)&gt;=99.95,CM111&lt;&gt;"",N(CM111)&lt;100),"Pend. "&amp;CM111&amp;"%",""))))</f>
        <v/>
      </c>
      <c r="AQ111" s="40" t="str">
        <f aca="false">IF(OR(OR(NOT(AND(ISNUMBER(E111),ISNUMBER(F111))),$J$2=""),5&gt;MAX(1,Reprogramaciones!$U$15)),"",IF(Reprogramaciones!O$12&gt;=7,"",IF(OR(BX111-N(BW111)&gt;0.05,N(U111)&gt;0),ROUNDDOWN(ROUND(BX111,6),0)&amp;"%"&amp;IF(CN111="",""," / "&amp;CN111&amp;"%"),IF(AND(N(BW111)&gt;=99.95,CN111&lt;&gt;"",N(CN111)&lt;100),"Pend. "&amp;CN111&amp;"%",""))))</f>
        <v/>
      </c>
      <c r="AR111" s="40" t="str">
        <f aca="false">IF(OR(OR(NOT(AND(ISNUMBER(E111),ISNUMBER(F111))),$J$2=""),6&gt;MAX(1,Reprogramaciones!$U$15)),"",IF(Reprogramaciones!P$12&gt;=7,"",IF(OR(BY111-N(BX111)&gt;0.05,N(V111)&gt;0),ROUNDDOWN(ROUND(BY111,6),0)&amp;"%"&amp;IF(CO111="",""," / "&amp;CO111&amp;"%"),IF(AND(N(BX111)&gt;=99.95,CO111&lt;&gt;"",N(CO111)&lt;100),"Pend. "&amp;CO111&amp;"%",""))))</f>
        <v/>
      </c>
      <c r="AS111" s="40" t="str">
        <f aca="false">IF(OR(OR(NOT(AND(ISNUMBER(E111),ISNUMBER(F111))),$J$2=""),7&gt;MAX(1,Reprogramaciones!$U$15)),"",IF(Reprogramaciones!Q$12&gt;=7,"",IF(OR(BZ111-N(BY111)&gt;0.05,N(W111)&gt;0),ROUNDDOWN(ROUND(BZ111,6),0)&amp;"%"&amp;IF(CP111="",""," / "&amp;CP111&amp;"%"),IF(AND(N(BY111)&gt;=99.95,CP111&lt;&gt;"",N(CP111)&lt;100),"Pend. "&amp;CP111&amp;"%",""))))</f>
        <v/>
      </c>
      <c r="AT111" s="40" t="str">
        <f aca="false">IF(OR(OR(NOT(AND(ISNUMBER(E111),ISNUMBER(F111))),$J$2=""),8&gt;MAX(1,Reprogramaciones!$U$15)),"",IF(Reprogramaciones!R$12&gt;=7,"",IF(OR(CA111-N(BZ111)&gt;0.05,N(X111)&gt;0),ROUNDDOWN(ROUND(CA111,6),0)&amp;"%"&amp;IF(CQ111="",""," / "&amp;CQ111&amp;"%"),IF(AND(N(BZ111)&gt;=99.95,CQ111&lt;&gt;"",N(CQ111)&lt;100),"Pend. "&amp;CQ111&amp;"%",""))))</f>
        <v/>
      </c>
      <c r="AU111" s="40" t="str">
        <f aca="false">IF(OR(OR(NOT(AND(ISNUMBER(E111),ISNUMBER(F111))),$J$2=""),9&gt;MAX(1,Reprogramaciones!$U$15)),"",IF(Reprogramaciones!S$12&gt;=7,"",IF(OR(CB111-N(CA111)&gt;0.05,N(Y111)&gt;0),ROUNDDOWN(ROUND(CB111,6),0)&amp;"%"&amp;IF(CR111="",""," / "&amp;CR111&amp;"%"),IF(AND(N(CA111)&gt;=99.95,CR111&lt;&gt;"",N(CR111)&lt;100),"Pend. "&amp;CR111&amp;"%",""))))</f>
        <v/>
      </c>
      <c r="AV111" s="40" t="str">
        <f aca="false">IF(OR(OR(NOT(AND(ISNUMBER(E111),ISNUMBER(F111))),$J$2=""),10&gt;MAX(1,Reprogramaciones!$U$15)),"",IF(Reprogramaciones!T$12&gt;=7,"",IF(OR(CC111-N(CB111)&gt;0.05,N(Z111)&gt;0),ROUNDDOWN(ROUND(CC111,6),0)&amp;"%"&amp;IF(CS111="",""," / "&amp;CS111&amp;"%"),IF(AND(N(CB111)&gt;=99.95,CS111&lt;&gt;"",N(CS111)&lt;100),"Pend. "&amp;CS111&amp;"%",""))))</f>
        <v/>
      </c>
      <c r="AW111" s="40" t="str">
        <f aca="false">IF(OR(OR(NOT(AND(ISNUMBER(E111),ISNUMBER(F111))),$J$2=""),11&gt;MAX(1,Reprogramaciones!$U$15)),"",IF(Reprogramaciones!U$12&gt;=7,"",IF(OR(CD111-N(CC111)&gt;0.05,N(AA111)&gt;0),ROUNDDOWN(ROUND(CD111,6),0)&amp;"%"&amp;IF(CT111="",""," / "&amp;CT111&amp;"%"),IF(AND(N(CC111)&gt;=99.95,CT111&lt;&gt;"",N(CT111)&lt;100),"Pend. "&amp;CT111&amp;"%",""))))</f>
        <v/>
      </c>
      <c r="AX111" s="40" t="str">
        <f aca="false">IF(OR(OR(NOT(AND(ISNUMBER(E111),ISNUMBER(F111))),$J$2=""),12&gt;MAX(1,Reprogramaciones!$U$15)),"",IF(Reprogramaciones!V$12&gt;=7,"",IF(OR(CE111-N(CD111)&gt;0.05,N(AB111)&gt;0),ROUNDDOWN(ROUND(CE111,6),0)&amp;"%"&amp;IF(CU111="",""," / "&amp;CU111&amp;"%"),IF(AND(N(CD111)&gt;=99.95,CU111&lt;&gt;"",N(CU111)&lt;100),"Pend. "&amp;CU111&amp;"%",""))))</f>
        <v/>
      </c>
      <c r="AY111" s="40" t="str">
        <f aca="false">IF(OR(OR(NOT(AND(ISNUMBER(E111),ISNUMBER(F111))),$J$2=""),13&gt;MAX(1,Reprogramaciones!$U$15)),"",IF(Reprogramaciones!W$12&gt;=7,"",IF(OR(CF111-N(CE111)&gt;0.05,N(AC111)&gt;0),ROUNDDOWN(ROUND(CF111,6),0)&amp;"%"&amp;IF(CV111="",""," / "&amp;CV111&amp;"%"),IF(AND(N(CE111)&gt;=99.95,CV111&lt;&gt;"",N(CV111)&lt;100),"Pend. "&amp;CV111&amp;"%",""))))</f>
        <v/>
      </c>
      <c r="AZ111" s="40" t="str">
        <f aca="false">IF(OR(OR(NOT(AND(ISNUMBER(E111),ISNUMBER(F111))),$J$2=""),14&gt;MAX(1,Reprogramaciones!$U$15)),"",IF(Reprogramaciones!X$12&gt;=7,"",IF(OR(CG111-N(CF111)&gt;0.05,N(AD111)&gt;0),ROUNDDOWN(ROUND(CG111,6),0)&amp;"%"&amp;IF(CW111="",""," / "&amp;CW111&amp;"%"),IF(AND(N(CF111)&gt;=99.95,CW111&lt;&gt;"",N(CW111)&lt;100),"Pend. "&amp;CW111&amp;"%",""))))</f>
        <v/>
      </c>
      <c r="BA111" s="40" t="str">
        <f aca="false">IF(OR(OR(NOT(AND(ISNUMBER(E111),ISNUMBER(F111))),$J$2=""),15&gt;MAX(1,Reprogramaciones!$U$15)),"",IF(Reprogramaciones!Y$12&gt;=7,"",IF(OR(CH111-N(CG111)&gt;0.05,N(AE111)&gt;0),ROUNDDOWN(ROUND(CH111,6),0)&amp;"%"&amp;IF(CX111="",""," / "&amp;CX111&amp;"%"),IF(AND(N(CG111)&gt;=99.95,CX111&lt;&gt;"",N(CX111)&lt;100),"Pend. "&amp;CX111&amp;"%",""))))</f>
        <v/>
      </c>
      <c r="BB111" s="40" t="str">
        <f aca="false">IF(OR(OR(NOT(AND(ISNUMBER(E111),ISNUMBER(F111))),$J$2=""),16&gt;MAX(1,Reprogramaciones!$U$15)),"",IF(Reprogramaciones!Z$12&gt;=7,"",IF(OR(CI111-N(CH111)&gt;0.05,N(AF111)&gt;0),ROUNDDOWN(ROUND(CI111,6),0)&amp;"%"&amp;IF(CY111="",""," / "&amp;CY111&amp;"%"),IF(AND(N(CH111)&gt;=99.95,CY111&lt;&gt;"",N(CY111)&lt;100),"Pend. "&amp;CY111&amp;"%",""))))</f>
        <v/>
      </c>
      <c r="BC111" s="31" t="n">
        <f aca="false">IF(AND(ISNUMBER(E111),ISNUMBER(F111)),MAX(1,NETWORKDAYS.INTL(E111,F111,11)),0)</f>
        <v>0</v>
      </c>
      <c r="BD111" s="1" t="str">
        <f aca="false">IF(OR(NOT(AND(ISNUMBER(E111),ISNUMBER(F111))),$J$2=""),"",MIN(100,ROUND(SUM($G111:G111),1)))</f>
        <v/>
      </c>
      <c r="BE111" s="1" t="str">
        <f aca="false">IF(OR(NOT(AND(ISNUMBER(E111),ISNUMBER(F111))),$J$2=""),"",MIN(100,ROUND(SUM($G111:H111),1)))</f>
        <v/>
      </c>
      <c r="BF111" s="1" t="str">
        <f aca="false">IF(OR(NOT(AND(ISNUMBER(E111),ISNUMBER(F111))),$J$2=""),"",MIN(100,ROUND(SUM($G111:I111),1)))</f>
        <v/>
      </c>
      <c r="BG111" s="1" t="str">
        <f aca="false">IF(OR(NOT(AND(ISNUMBER(E111),ISNUMBER(F111))),$J$2=""),"",MIN(100,ROUND(SUM($G111:J111),1)))</f>
        <v/>
      </c>
      <c r="BH111" s="1" t="str">
        <f aca="false">IF(OR(NOT(AND(ISNUMBER(E111),ISNUMBER(F111))),$J$2=""),"",MIN(100,ROUND(SUM($G111:K111),1)))</f>
        <v/>
      </c>
      <c r="BI111" s="1" t="str">
        <f aca="false">IF(OR(NOT(AND(ISNUMBER(E111),ISNUMBER(F111))),$J$2=""),"",MIN(100,ROUND(SUM($G111:L111),1)))</f>
        <v/>
      </c>
      <c r="BJ111" s="1" t="str">
        <f aca="false">IF(OR(NOT(AND(ISNUMBER(E111),ISNUMBER(F111))),$J$2=""),"",MIN(100,ROUND(SUM($G111:M111),1)))</f>
        <v/>
      </c>
      <c r="BK111" s="1" t="str">
        <f aca="false">IF(OR(NOT(AND(ISNUMBER(E111),ISNUMBER(F111))),$J$2=""),"",MIN(100,ROUND(SUM($G111:N111),1)))</f>
        <v/>
      </c>
      <c r="BL111" s="1" t="str">
        <f aca="false">IF(OR(NOT(AND(ISNUMBER(E111),ISNUMBER(F111))),$J$2=""),"",MIN(100,ROUND(SUM($G111:O111),1)))</f>
        <v/>
      </c>
      <c r="BM111" s="1" t="str">
        <f aca="false">IF(OR(NOT(AND(ISNUMBER(E111),ISNUMBER(F111))),$J$2=""),"",MIN(100,ROUND(SUM($G111:P111),1)))</f>
        <v/>
      </c>
      <c r="BN111" s="1" t="str">
        <f aca="false">IF(OR(NOT(AND(ISNUMBER(E111),ISNUMBER(F111))),$J$2=""),"",MIN(100,ROUND(SUM($G111:P111),1)))</f>
        <v/>
      </c>
      <c r="BO111" s="1" t="str">
        <f aca="false">IF(OR(NOT(AND(ISNUMBER(E111),ISNUMBER(F111))),$J$2=""),"",MIN(100,ROUND(SUM($G111:P111),1)))</f>
        <v/>
      </c>
      <c r="BP111" s="1" t="str">
        <f aca="false">IF(OR(NOT(AND(ISNUMBER(E111),ISNUMBER(F111))),$J$2=""),"",MIN(100,ROUND(SUM($G111:P111),1)))</f>
        <v/>
      </c>
      <c r="BQ111" s="1" t="str">
        <f aca="false">IF(OR(NOT(AND(ISNUMBER(E111),ISNUMBER(F111))),$J$2=""),"",MIN(100,ROUND(SUM($G111:P111),1)))</f>
        <v/>
      </c>
      <c r="BR111" s="1" t="str">
        <f aca="false">IF(OR(NOT(AND(ISNUMBER(E111),ISNUMBER(F111))),$J$2=""),"",MIN(100,ROUND(SUM($G111:P111),1)))</f>
        <v/>
      </c>
      <c r="BS111" s="1" t="str">
        <f aca="false">IF(OR(NOT(AND(ISNUMBER(E111),ISNUMBER(F111))),$J$2=""),"",MIN(100,ROUND(SUM($G111:P111),1)))</f>
        <v/>
      </c>
      <c r="BT111" s="1" t="str">
        <f aca="false">IF(OR(NOT(AND(ISNUMBER(E111),ISNUMBER(F111))),$J$2=""),"",IF(Reprogramaciones!K$13&lt;Reprogramaciones!$T$15,0,IF(Reprogramaciones!K$14&gt;10,MIN(100,SUM($G111:$P111)),MIN(100,SUMPRODUCT((COLUMN($G111:$P111)-COLUMN($G111)+1&lt;Reprogramaciones!K$14)*$G111:$P111)+N(INDEX($G111:$P111,1,Reprogramaciones!K$14))*IF(Reprogramaciones!K$13&gt;=(Reprogramaciones!$T$15+7*(Reprogramaciones!K$14-1))+6,1,IF(MAX(0,NETWORKDAYS.INTL(MAX(E111,(Reprogramaciones!$T$15+7*(Reprogramaciones!K$14-1))),MIN(F111,(Reprogramaciones!$T$15+7*(Reprogramaciones!K$14-1))+6),11))=0,0,MAX(0,NETWORKDAYS.INTL(MAX(E111,(Reprogramaciones!$T$15+7*(Reprogramaciones!K$14-1))),MIN(F111,Reprogramaciones!K$13),11))/MAX(0,NETWORKDAYS.INTL(MAX(E111,(Reprogramaciones!$T$15+7*(Reprogramaciones!K$14-1))),MIN(F111,(Reprogramaciones!$T$15+7*(Reprogramaciones!K$14-1))+6),11))))))))</f>
        <v/>
      </c>
      <c r="BU111" s="1" t="str">
        <f aca="false">IF(OR(NOT(AND(ISNUMBER(E111),ISNUMBER(F111))),$J$2=""),"",IF(Reprogramaciones!L$13&lt;Reprogramaciones!$T$15,0,IF(Reprogramaciones!L$14&gt;10,MIN(100,SUM($G111:$P111)),MIN(100,SUMPRODUCT((COLUMN($G111:$P111)-COLUMN($G111)+1&lt;Reprogramaciones!L$14)*$G111:$P111)+N(INDEX($G111:$P111,1,Reprogramaciones!L$14))*IF(Reprogramaciones!L$13&gt;=(Reprogramaciones!$T$15+7*(Reprogramaciones!L$14-1))+6,1,IF(MAX(0,NETWORKDAYS.INTL(MAX(E111,(Reprogramaciones!$T$15+7*(Reprogramaciones!L$14-1))),MIN(F111,(Reprogramaciones!$T$15+7*(Reprogramaciones!L$14-1))+6),11))=0,0,MAX(0,NETWORKDAYS.INTL(MAX(E111,(Reprogramaciones!$T$15+7*(Reprogramaciones!L$14-1))),MIN(F111,Reprogramaciones!L$13),11))/MAX(0,NETWORKDAYS.INTL(MAX(E111,(Reprogramaciones!$T$15+7*(Reprogramaciones!L$14-1))),MIN(F111,(Reprogramaciones!$T$15+7*(Reprogramaciones!L$14-1))+6),11))))))))</f>
        <v/>
      </c>
      <c r="BV111" s="1" t="str">
        <f aca="false">IF(OR(NOT(AND(ISNUMBER(E111),ISNUMBER(F111))),$J$2=""),"",IF(Reprogramaciones!M$13&lt;Reprogramaciones!$T$15,0,IF(Reprogramaciones!M$14&gt;10,MIN(100,SUM($G111:$P111)),MIN(100,SUMPRODUCT((COLUMN($G111:$P111)-COLUMN($G111)+1&lt;Reprogramaciones!M$14)*$G111:$P111)+N(INDEX($G111:$P111,1,Reprogramaciones!M$14))*IF(Reprogramaciones!M$13&gt;=(Reprogramaciones!$T$15+7*(Reprogramaciones!M$14-1))+6,1,IF(MAX(0,NETWORKDAYS.INTL(MAX(E111,(Reprogramaciones!$T$15+7*(Reprogramaciones!M$14-1))),MIN(F111,(Reprogramaciones!$T$15+7*(Reprogramaciones!M$14-1))+6),11))=0,0,MAX(0,NETWORKDAYS.INTL(MAX(E111,(Reprogramaciones!$T$15+7*(Reprogramaciones!M$14-1))),MIN(F111,Reprogramaciones!M$13),11))/MAX(0,NETWORKDAYS.INTL(MAX(E111,(Reprogramaciones!$T$15+7*(Reprogramaciones!M$14-1))),MIN(F111,(Reprogramaciones!$T$15+7*(Reprogramaciones!M$14-1))+6),11))))))))</f>
        <v/>
      </c>
      <c r="BW111" s="1" t="str">
        <f aca="false">IF(OR(NOT(AND(ISNUMBER(E111),ISNUMBER(F111))),$J$2=""),"",IF(Reprogramaciones!N$13&lt;Reprogramaciones!$T$15,0,IF(Reprogramaciones!N$14&gt;10,MIN(100,SUM($G111:$P111)),MIN(100,SUMPRODUCT((COLUMN($G111:$P111)-COLUMN($G111)+1&lt;Reprogramaciones!N$14)*$G111:$P111)+N(INDEX($G111:$P111,1,Reprogramaciones!N$14))*IF(Reprogramaciones!N$13&gt;=(Reprogramaciones!$T$15+7*(Reprogramaciones!N$14-1))+6,1,IF(MAX(0,NETWORKDAYS.INTL(MAX(E111,(Reprogramaciones!$T$15+7*(Reprogramaciones!N$14-1))),MIN(F111,(Reprogramaciones!$T$15+7*(Reprogramaciones!N$14-1))+6),11))=0,0,MAX(0,NETWORKDAYS.INTL(MAX(E111,(Reprogramaciones!$T$15+7*(Reprogramaciones!N$14-1))),MIN(F111,Reprogramaciones!N$13),11))/MAX(0,NETWORKDAYS.INTL(MAX(E111,(Reprogramaciones!$T$15+7*(Reprogramaciones!N$14-1))),MIN(F111,(Reprogramaciones!$T$15+7*(Reprogramaciones!N$14-1))+6),11))))))))</f>
        <v/>
      </c>
      <c r="BX111" s="1" t="str">
        <f aca="false">IF(OR(NOT(AND(ISNUMBER(E111),ISNUMBER(F111))),$J$2=""),"",IF(Reprogramaciones!O$13&lt;Reprogramaciones!$T$15,0,IF(Reprogramaciones!O$14&gt;10,MIN(100,SUM($G111:$P111)),MIN(100,SUMPRODUCT((COLUMN($G111:$P111)-COLUMN($G111)+1&lt;Reprogramaciones!O$14)*$G111:$P111)+N(INDEX($G111:$P111,1,Reprogramaciones!O$14))*IF(Reprogramaciones!O$13&gt;=(Reprogramaciones!$T$15+7*(Reprogramaciones!O$14-1))+6,1,IF(MAX(0,NETWORKDAYS.INTL(MAX(E111,(Reprogramaciones!$T$15+7*(Reprogramaciones!O$14-1))),MIN(F111,(Reprogramaciones!$T$15+7*(Reprogramaciones!O$14-1))+6),11))=0,0,MAX(0,NETWORKDAYS.INTL(MAX(E111,(Reprogramaciones!$T$15+7*(Reprogramaciones!O$14-1))),MIN(F111,Reprogramaciones!O$13),11))/MAX(0,NETWORKDAYS.INTL(MAX(E111,(Reprogramaciones!$T$15+7*(Reprogramaciones!O$14-1))),MIN(F111,(Reprogramaciones!$T$15+7*(Reprogramaciones!O$14-1))+6),11))))))))</f>
        <v/>
      </c>
      <c r="BY111" s="1" t="str">
        <f aca="false">IF(OR(NOT(AND(ISNUMBER(E111),ISNUMBER(F111))),$J$2=""),"",IF(Reprogramaciones!P$13&lt;Reprogramaciones!$T$15,0,IF(Reprogramaciones!P$14&gt;10,MIN(100,SUM($G111:$P111)),MIN(100,SUMPRODUCT((COLUMN($G111:$P111)-COLUMN($G111)+1&lt;Reprogramaciones!P$14)*$G111:$P111)+N(INDEX($G111:$P111,1,Reprogramaciones!P$14))*IF(Reprogramaciones!P$13&gt;=(Reprogramaciones!$T$15+7*(Reprogramaciones!P$14-1))+6,1,IF(MAX(0,NETWORKDAYS.INTL(MAX(E111,(Reprogramaciones!$T$15+7*(Reprogramaciones!P$14-1))),MIN(F111,(Reprogramaciones!$T$15+7*(Reprogramaciones!P$14-1))+6),11))=0,0,MAX(0,NETWORKDAYS.INTL(MAX(E111,(Reprogramaciones!$T$15+7*(Reprogramaciones!P$14-1))),MIN(F111,Reprogramaciones!P$13),11))/MAX(0,NETWORKDAYS.INTL(MAX(E111,(Reprogramaciones!$T$15+7*(Reprogramaciones!P$14-1))),MIN(F111,(Reprogramaciones!$T$15+7*(Reprogramaciones!P$14-1))+6),11))))))))</f>
        <v/>
      </c>
      <c r="BZ111" s="1" t="str">
        <f aca="false">IF(OR(NOT(AND(ISNUMBER(E111),ISNUMBER(F111))),$J$2=""),"",IF(Reprogramaciones!Q$13&lt;Reprogramaciones!$T$15,0,IF(Reprogramaciones!Q$14&gt;10,MIN(100,SUM($G111:$P111)),MIN(100,SUMPRODUCT((COLUMN($G111:$P111)-COLUMN($G111)+1&lt;Reprogramaciones!Q$14)*$G111:$P111)+N(INDEX($G111:$P111,1,Reprogramaciones!Q$14))*IF(Reprogramaciones!Q$13&gt;=(Reprogramaciones!$T$15+7*(Reprogramaciones!Q$14-1))+6,1,IF(MAX(0,NETWORKDAYS.INTL(MAX(E111,(Reprogramaciones!$T$15+7*(Reprogramaciones!Q$14-1))),MIN(F111,(Reprogramaciones!$T$15+7*(Reprogramaciones!Q$14-1))+6),11))=0,0,MAX(0,NETWORKDAYS.INTL(MAX(E111,(Reprogramaciones!$T$15+7*(Reprogramaciones!Q$14-1))),MIN(F111,Reprogramaciones!Q$13),11))/MAX(0,NETWORKDAYS.INTL(MAX(E111,(Reprogramaciones!$T$15+7*(Reprogramaciones!Q$14-1))),MIN(F111,(Reprogramaciones!$T$15+7*(Reprogramaciones!Q$14-1))+6),11))))))))</f>
        <v/>
      </c>
      <c r="CA111" s="1" t="str">
        <f aca="false">IF(OR(NOT(AND(ISNUMBER(E111),ISNUMBER(F111))),$J$2=""),"",IF(Reprogramaciones!R$13&lt;Reprogramaciones!$T$15,0,IF(Reprogramaciones!R$14&gt;10,MIN(100,SUM($G111:$P111)),MIN(100,SUMPRODUCT((COLUMN($G111:$P111)-COLUMN($G111)+1&lt;Reprogramaciones!R$14)*$G111:$P111)+N(INDEX($G111:$P111,1,Reprogramaciones!R$14))*IF(Reprogramaciones!R$13&gt;=(Reprogramaciones!$T$15+7*(Reprogramaciones!R$14-1))+6,1,IF(MAX(0,NETWORKDAYS.INTL(MAX(E111,(Reprogramaciones!$T$15+7*(Reprogramaciones!R$14-1))),MIN(F111,(Reprogramaciones!$T$15+7*(Reprogramaciones!R$14-1))+6),11))=0,0,MAX(0,NETWORKDAYS.INTL(MAX(E111,(Reprogramaciones!$T$15+7*(Reprogramaciones!R$14-1))),MIN(F111,Reprogramaciones!R$13),11))/MAX(0,NETWORKDAYS.INTL(MAX(E111,(Reprogramaciones!$T$15+7*(Reprogramaciones!R$14-1))),MIN(F111,(Reprogramaciones!$T$15+7*(Reprogramaciones!R$14-1))+6),11))))))))</f>
        <v/>
      </c>
      <c r="CB111" s="1" t="str">
        <f aca="false">IF(OR(NOT(AND(ISNUMBER(E111),ISNUMBER(F111))),$J$2=""),"",IF(Reprogramaciones!S$13&lt;Reprogramaciones!$T$15,0,IF(Reprogramaciones!S$14&gt;10,MIN(100,SUM($G111:$P111)),MIN(100,SUMPRODUCT((COLUMN($G111:$P111)-COLUMN($G111)+1&lt;Reprogramaciones!S$14)*$G111:$P111)+N(INDEX($G111:$P111,1,Reprogramaciones!S$14))*IF(Reprogramaciones!S$13&gt;=(Reprogramaciones!$T$15+7*(Reprogramaciones!S$14-1))+6,1,IF(MAX(0,NETWORKDAYS.INTL(MAX(E111,(Reprogramaciones!$T$15+7*(Reprogramaciones!S$14-1))),MIN(F111,(Reprogramaciones!$T$15+7*(Reprogramaciones!S$14-1))+6),11))=0,0,MAX(0,NETWORKDAYS.INTL(MAX(E111,(Reprogramaciones!$T$15+7*(Reprogramaciones!S$14-1))),MIN(F111,Reprogramaciones!S$13),11))/MAX(0,NETWORKDAYS.INTL(MAX(E111,(Reprogramaciones!$T$15+7*(Reprogramaciones!S$14-1))),MIN(F111,(Reprogramaciones!$T$15+7*(Reprogramaciones!S$14-1))+6),11))))))))</f>
        <v/>
      </c>
      <c r="CC111" s="1" t="str">
        <f aca="false">IF(OR(NOT(AND(ISNUMBER(E111),ISNUMBER(F111))),$J$2=""),"",IF(Reprogramaciones!T$13&lt;Reprogramaciones!$T$15,0,IF(Reprogramaciones!T$14&gt;10,MIN(100,SUM($G111:$P111)),MIN(100,SUMPRODUCT((COLUMN($G111:$P111)-COLUMN($G111)+1&lt;Reprogramaciones!T$14)*$G111:$P111)+N(INDEX($G111:$P111,1,Reprogramaciones!T$14))*IF(Reprogramaciones!T$13&gt;=(Reprogramaciones!$T$15+7*(Reprogramaciones!T$14-1))+6,1,IF(MAX(0,NETWORKDAYS.INTL(MAX(E111,(Reprogramaciones!$T$15+7*(Reprogramaciones!T$14-1))),MIN(F111,(Reprogramaciones!$T$15+7*(Reprogramaciones!T$14-1))+6),11))=0,0,MAX(0,NETWORKDAYS.INTL(MAX(E111,(Reprogramaciones!$T$15+7*(Reprogramaciones!T$14-1))),MIN(F111,Reprogramaciones!T$13),11))/MAX(0,NETWORKDAYS.INTL(MAX(E111,(Reprogramaciones!$T$15+7*(Reprogramaciones!T$14-1))),MIN(F111,(Reprogramaciones!$T$15+7*(Reprogramaciones!T$14-1))+6),11))))))))</f>
        <v/>
      </c>
      <c r="CD111" s="1" t="str">
        <f aca="false">IF(OR(NOT(AND(ISNUMBER(E111),ISNUMBER(F111))),$J$2=""),"",IF(Reprogramaciones!U$13&lt;Reprogramaciones!$T$15,0,IF(Reprogramaciones!U$14&gt;10,MIN(100,SUM($G111:$P111)),MIN(100,SUMPRODUCT((COLUMN($G111:$P111)-COLUMN($G111)+1&lt;Reprogramaciones!U$14)*$G111:$P111)+N(INDEX($G111:$P111,1,Reprogramaciones!U$14))*IF(Reprogramaciones!U$13&gt;=(Reprogramaciones!$T$15+7*(Reprogramaciones!U$14-1))+6,1,IF(MAX(0,NETWORKDAYS.INTL(MAX(E111,(Reprogramaciones!$T$15+7*(Reprogramaciones!U$14-1))),MIN(F111,(Reprogramaciones!$T$15+7*(Reprogramaciones!U$14-1))+6),11))=0,0,MAX(0,NETWORKDAYS.INTL(MAX(E111,(Reprogramaciones!$T$15+7*(Reprogramaciones!U$14-1))),MIN(F111,Reprogramaciones!U$13),11))/MAX(0,NETWORKDAYS.INTL(MAX(E111,(Reprogramaciones!$T$15+7*(Reprogramaciones!U$14-1))),MIN(F111,(Reprogramaciones!$T$15+7*(Reprogramaciones!U$14-1))+6),11))))))))</f>
        <v/>
      </c>
      <c r="CE111" s="1" t="str">
        <f aca="false">IF(OR(NOT(AND(ISNUMBER(E111),ISNUMBER(F111))),$J$2=""),"",IF(Reprogramaciones!V$13&lt;Reprogramaciones!$T$15,0,IF(Reprogramaciones!V$14&gt;10,MIN(100,SUM($G111:$P111)),MIN(100,SUMPRODUCT((COLUMN($G111:$P111)-COLUMN($G111)+1&lt;Reprogramaciones!V$14)*$G111:$P111)+N(INDEX($G111:$P111,1,Reprogramaciones!V$14))*IF(Reprogramaciones!V$13&gt;=(Reprogramaciones!$T$15+7*(Reprogramaciones!V$14-1))+6,1,IF(MAX(0,NETWORKDAYS.INTL(MAX(E111,(Reprogramaciones!$T$15+7*(Reprogramaciones!V$14-1))),MIN(F111,(Reprogramaciones!$T$15+7*(Reprogramaciones!V$14-1))+6),11))=0,0,MAX(0,NETWORKDAYS.INTL(MAX(E111,(Reprogramaciones!$T$15+7*(Reprogramaciones!V$14-1))),MIN(F111,Reprogramaciones!V$13),11))/MAX(0,NETWORKDAYS.INTL(MAX(E111,(Reprogramaciones!$T$15+7*(Reprogramaciones!V$14-1))),MIN(F111,(Reprogramaciones!$T$15+7*(Reprogramaciones!V$14-1))+6),11))))))))</f>
        <v/>
      </c>
      <c r="CF111" s="1" t="str">
        <f aca="false">IF(OR(NOT(AND(ISNUMBER(E111),ISNUMBER(F111))),$J$2=""),"",IF(Reprogramaciones!W$13&lt;Reprogramaciones!$T$15,0,IF(Reprogramaciones!W$14&gt;10,MIN(100,SUM($G111:$P111)),MIN(100,SUMPRODUCT((COLUMN($G111:$P111)-COLUMN($G111)+1&lt;Reprogramaciones!W$14)*$G111:$P111)+N(INDEX($G111:$P111,1,Reprogramaciones!W$14))*IF(Reprogramaciones!W$13&gt;=(Reprogramaciones!$T$15+7*(Reprogramaciones!W$14-1))+6,1,IF(MAX(0,NETWORKDAYS.INTL(MAX(E111,(Reprogramaciones!$T$15+7*(Reprogramaciones!W$14-1))),MIN(F111,(Reprogramaciones!$T$15+7*(Reprogramaciones!W$14-1))+6),11))=0,0,MAX(0,NETWORKDAYS.INTL(MAX(E111,(Reprogramaciones!$T$15+7*(Reprogramaciones!W$14-1))),MIN(F111,Reprogramaciones!W$13),11))/MAX(0,NETWORKDAYS.INTL(MAX(E111,(Reprogramaciones!$T$15+7*(Reprogramaciones!W$14-1))),MIN(F111,(Reprogramaciones!$T$15+7*(Reprogramaciones!W$14-1))+6),11))))))))</f>
        <v/>
      </c>
      <c r="CG111" s="1" t="str">
        <f aca="false">IF(OR(NOT(AND(ISNUMBER(E111),ISNUMBER(F111))),$J$2=""),"",IF(Reprogramaciones!X$13&lt;Reprogramaciones!$T$15,0,IF(Reprogramaciones!X$14&gt;10,MIN(100,SUM($G111:$P111)),MIN(100,SUMPRODUCT((COLUMN($G111:$P111)-COLUMN($G111)+1&lt;Reprogramaciones!X$14)*$G111:$P111)+N(INDEX($G111:$P111,1,Reprogramaciones!X$14))*IF(Reprogramaciones!X$13&gt;=(Reprogramaciones!$T$15+7*(Reprogramaciones!X$14-1))+6,1,IF(MAX(0,NETWORKDAYS.INTL(MAX(E111,(Reprogramaciones!$T$15+7*(Reprogramaciones!X$14-1))),MIN(F111,(Reprogramaciones!$T$15+7*(Reprogramaciones!X$14-1))+6),11))=0,0,MAX(0,NETWORKDAYS.INTL(MAX(E111,(Reprogramaciones!$T$15+7*(Reprogramaciones!X$14-1))),MIN(F111,Reprogramaciones!X$13),11))/MAX(0,NETWORKDAYS.INTL(MAX(E111,(Reprogramaciones!$T$15+7*(Reprogramaciones!X$14-1))),MIN(F111,(Reprogramaciones!$T$15+7*(Reprogramaciones!X$14-1))+6),11))))))))</f>
        <v/>
      </c>
      <c r="CH111" s="1" t="str">
        <f aca="false">IF(OR(NOT(AND(ISNUMBER(E111),ISNUMBER(F111))),$J$2=""),"",IF(Reprogramaciones!Y$13&lt;Reprogramaciones!$T$15,0,IF(Reprogramaciones!Y$14&gt;10,MIN(100,SUM($G111:$P111)),MIN(100,SUMPRODUCT((COLUMN($G111:$P111)-COLUMN($G111)+1&lt;Reprogramaciones!Y$14)*$G111:$P111)+N(INDEX($G111:$P111,1,Reprogramaciones!Y$14))*IF(Reprogramaciones!Y$13&gt;=(Reprogramaciones!$T$15+7*(Reprogramaciones!Y$14-1))+6,1,IF(MAX(0,NETWORKDAYS.INTL(MAX(E111,(Reprogramaciones!$T$15+7*(Reprogramaciones!Y$14-1))),MIN(F111,(Reprogramaciones!$T$15+7*(Reprogramaciones!Y$14-1))+6),11))=0,0,MAX(0,NETWORKDAYS.INTL(MAX(E111,(Reprogramaciones!$T$15+7*(Reprogramaciones!Y$14-1))),MIN(F111,Reprogramaciones!Y$13),11))/MAX(0,NETWORKDAYS.INTL(MAX(E111,(Reprogramaciones!$T$15+7*(Reprogramaciones!Y$14-1))),MIN(F111,(Reprogramaciones!$T$15+7*(Reprogramaciones!Y$14-1))+6),11))))))))</f>
        <v/>
      </c>
      <c r="CI111" s="1" t="str">
        <f aca="false">IF(OR(NOT(AND(ISNUMBER(E111),ISNUMBER(F111))),$J$2=""),"",IF(Reprogramaciones!Z$13&lt;Reprogramaciones!$T$15,0,IF(Reprogramaciones!Z$14&gt;10,MIN(100,SUM($G111:$P111)),MIN(100,SUMPRODUCT((COLUMN($G111:$P111)-COLUMN($G111)+1&lt;Reprogramaciones!Z$14)*$G111:$P111)+N(INDEX($G111:$P111,1,Reprogramaciones!Z$14))*IF(Reprogramaciones!Z$13&gt;=(Reprogramaciones!$T$15+7*(Reprogramaciones!Z$14-1))+6,1,IF(MAX(0,NETWORKDAYS.INTL(MAX(E111,(Reprogramaciones!$T$15+7*(Reprogramaciones!Z$14-1))),MIN(F111,(Reprogramaciones!$T$15+7*(Reprogramaciones!Z$14-1))+6),11))=0,0,MAX(0,NETWORKDAYS.INTL(MAX(E111,(Reprogramaciones!$T$15+7*(Reprogramaciones!Z$14-1))),MIN(F111,Reprogramaciones!Z$13),11))/MAX(0,NETWORKDAYS.INTL(MAX(E111,(Reprogramaciones!$T$15+7*(Reprogramaciones!Z$14-1))),MIN(F111,(Reprogramaciones!$T$15+7*(Reprogramaciones!Z$14-1))+6),11))))))))</f>
        <v/>
      </c>
      <c r="CJ111" s="1" t="str">
        <f aca="false">IF(OR(OR(NOT(AND(ISNUMBER(E111),ISNUMBER(F111))),$J$2=""),1&gt;Reprogramaciones!$K$16),"",IF(ROUND(SUM($Q111:Q111),1)&gt;=99.5,100,MIN(100,ROUND(SUM($Q111:Q111),1))))</f>
        <v/>
      </c>
      <c r="CK111" s="1" t="str">
        <f aca="false">IF(OR(OR(NOT(AND(ISNUMBER(E111),ISNUMBER(F111))),$J$2=""),2&gt;Reprogramaciones!$K$16),"",IF(ROUND(SUM($Q111:R111),1)&gt;=99.5,100,MIN(100,ROUND(SUM($Q111:R111),1))))</f>
        <v/>
      </c>
      <c r="CL111" s="1" t="str">
        <f aca="false">IF(OR(OR(NOT(AND(ISNUMBER(E111),ISNUMBER(F111))),$J$2=""),3&gt;Reprogramaciones!$K$16),"",IF(ROUND(SUM($Q111:S111),1)&gt;=99.5,100,MIN(100,ROUND(SUM($Q111:S111),1))))</f>
        <v/>
      </c>
      <c r="CM111" s="1" t="str">
        <f aca="false">IF(OR(OR(NOT(AND(ISNUMBER(E111),ISNUMBER(F111))),$J$2=""),4&gt;Reprogramaciones!$K$16),"",IF(ROUND(SUM($Q111:T111),1)&gt;=99.5,100,MIN(100,ROUND(SUM($Q111:T111),1))))</f>
        <v/>
      </c>
      <c r="CN111" s="1" t="str">
        <f aca="false">IF(OR(OR(NOT(AND(ISNUMBER(E111),ISNUMBER(F111))),$J$2=""),5&gt;Reprogramaciones!$K$16),"",IF(ROUND(SUM($Q111:U111),1)&gt;=99.5,100,MIN(100,ROUND(SUM($Q111:U111),1))))</f>
        <v/>
      </c>
      <c r="CO111" s="1" t="str">
        <f aca="false">IF(OR(OR(NOT(AND(ISNUMBER(E111),ISNUMBER(F111))),$J$2=""),6&gt;Reprogramaciones!$K$16),"",IF(ROUND(SUM($Q111:V111),1)&gt;=99.5,100,MIN(100,ROUND(SUM($Q111:V111),1))))</f>
        <v/>
      </c>
      <c r="CP111" s="1" t="str">
        <f aca="false">IF(OR(OR(NOT(AND(ISNUMBER(E111),ISNUMBER(F111))),$J$2=""),7&gt;Reprogramaciones!$K$16),"",IF(ROUND(SUM($Q111:W111),1)&gt;=99.5,100,MIN(100,ROUND(SUM($Q111:W111),1))))</f>
        <v/>
      </c>
      <c r="CQ111" s="1" t="str">
        <f aca="false">IF(OR(OR(NOT(AND(ISNUMBER(E111),ISNUMBER(F111))),$J$2=""),8&gt;Reprogramaciones!$K$16),"",IF(ROUND(SUM($Q111:X111),1)&gt;=99.5,100,MIN(100,ROUND(SUM($Q111:X111),1))))</f>
        <v/>
      </c>
      <c r="CR111" s="1" t="str">
        <f aca="false">IF(OR(OR(NOT(AND(ISNUMBER(E111),ISNUMBER(F111))),$J$2=""),9&gt;Reprogramaciones!$K$16),"",IF(ROUND(SUM($Q111:Y111),1)&gt;=99.5,100,MIN(100,ROUND(SUM($Q111:Y111),1))))</f>
        <v/>
      </c>
      <c r="CS111" s="1" t="str">
        <f aca="false">IF(OR(OR(NOT(AND(ISNUMBER(E111),ISNUMBER(F111))),$J$2=""),10&gt;Reprogramaciones!$K$16),"",IF(ROUND(SUM($Q111:Z111),1)&gt;=99.5,100,MIN(100,ROUND(SUM($Q111:Z111),1))))</f>
        <v/>
      </c>
      <c r="CT111" s="1" t="str">
        <f aca="false">IF(OR(OR(NOT(AND(ISNUMBER(E111),ISNUMBER(F111))),$J$2=""),11&gt;Reprogramaciones!$K$16),"",IF(ROUND(SUM($Q111:AA111),1)&gt;=99.5,100,MIN(100,ROUND(SUM($Q111:AA111),1))))</f>
        <v/>
      </c>
      <c r="CU111" s="1" t="str">
        <f aca="false">IF(OR(OR(NOT(AND(ISNUMBER(E111),ISNUMBER(F111))),$J$2=""),12&gt;Reprogramaciones!$K$16),"",IF(ROUND(SUM($Q111:AB111),1)&gt;=99.5,100,MIN(100,ROUND(SUM($Q111:AB111),1))))</f>
        <v/>
      </c>
      <c r="CV111" s="1" t="str">
        <f aca="false">IF(OR(OR(NOT(AND(ISNUMBER(E111),ISNUMBER(F111))),$J$2=""),13&gt;Reprogramaciones!$K$16),"",IF(ROUND(SUM($Q111:AC111),1)&gt;=99.5,100,MIN(100,ROUND(SUM($Q111:AC111),1))))</f>
        <v/>
      </c>
      <c r="CW111" s="1" t="str">
        <f aca="false">IF(OR(OR(NOT(AND(ISNUMBER(E111),ISNUMBER(F111))),$J$2=""),14&gt;Reprogramaciones!$K$16),"",IF(ROUND(SUM($Q111:AD111),1)&gt;=99.5,100,MIN(100,ROUND(SUM($Q111:AD111),1))))</f>
        <v/>
      </c>
      <c r="CX111" s="1" t="str">
        <f aca="false">IF(OR(OR(NOT(AND(ISNUMBER(E111),ISNUMBER(F111))),$J$2=""),15&gt;Reprogramaciones!$K$16),"",IF(ROUND(SUM($Q111:AE111),1)&gt;=99.5,100,MIN(100,ROUND(SUM($Q111:AE111),1))))</f>
        <v/>
      </c>
      <c r="CY111" s="1" t="str">
        <f aca="false">IF(OR(OR(NOT(AND(ISNUMBER(E111),ISNUMBER(F111))),$J$2=""),16&gt;Reprogramaciones!$K$16),"",IF(ROUND(SUM($Q111:AF111),1)&gt;=99.5,100,MIN(100,ROUND(SUM($Q111:AF111),1))))</f>
        <v/>
      </c>
      <c r="CZ111" s="1" t="str">
        <f aca="false">IF(D111&lt;&gt;"",D111,IF(B111&lt;&gt;"","Contractual",CZ110))</f>
        <v>Contractual</v>
      </c>
      <c r="DA111" s="1" t="str">
        <f aca="false">IF(OR(NOT(AND(ISNUMBER(E111),ISNUMBER(F111))),$J$2=""),"",IF(Reprogramaciones!$Q$15&lt;Reprogramaciones!$T$15,0,IF(Reprogramaciones!$S$15&gt;10,MIN(100,SUM($G111:$P111)),MIN(100,SUMPRODUCT((COLUMN($G111:$P111)-COLUMN($G111)+1&lt;Reprogramaciones!$S$15)*$G111:$P111)+N(INDEX($G111:$P111,1,Reprogramaciones!$S$15))*IF(Reprogramaciones!$Q$15&gt;=(Reprogramaciones!$T$15+7*(Reprogramaciones!$S$15-1))+6,1,IF(MAX(0,NETWORKDAYS.INTL(MAX(E111,(Reprogramaciones!$T$15+7*(Reprogramaciones!$S$15-1))),MIN(F111,(Reprogramaciones!$T$15+7*(Reprogramaciones!$S$15-1))+6),11))=0,0,MAX(0,NETWORKDAYS.INTL(MAX(E111,(Reprogramaciones!$T$15+7*(Reprogramaciones!$S$15-1))),MIN(F111,Reprogramaciones!$Q$15),11))/MAX(0,NETWORKDAYS.INTL(MAX(E111,(Reprogramaciones!$T$15+7*(Reprogramaciones!$S$15-1))),MIN(F111,(Reprogramaciones!$T$15+7*(Reprogramaciones!$S$15-1))+6),11))))))))</f>
        <v/>
      </c>
    </row>
    <row r="112" customFormat="false" ht="15" hidden="false" customHeight="false" outlineLevel="0" collapsed="false">
      <c r="A112" s="32"/>
      <c r="B112" s="33"/>
      <c r="C112" s="33"/>
      <c r="D112" s="34"/>
      <c r="E112" s="35"/>
      <c r="F112" s="35"/>
      <c r="G112" s="36" t="str">
        <f aca="false">IF(OR(NOT(AND(ISNUMBER(E112),ISNUMBER(F112))),$J$2=""),"",IF(Reprogramaciones!K$9&lt;E112,0,IF(NETWORKDAYS.INTL(E112,F112,11)=0,IF(Reprogramaciones!K$9&gt;=F112,100,0),ROUND(NETWORKDAYS.INTL(E112,MIN(F112,Reprogramaciones!K$9),11)/NETWORKDAYS.INTL(E112,F112,11)*100,1)))-0)</f>
        <v/>
      </c>
      <c r="H112" s="36" t="str">
        <f aca="false">IF(OR(NOT(AND(ISNUMBER(E112),ISNUMBER(F112))),$J$2=""),"",IF(Reprogramaciones!L$9&lt;E112,0,IF(NETWORKDAYS.INTL(E112,F112,11)=0,IF(Reprogramaciones!L$9&gt;=F112,100,0),ROUND(NETWORKDAYS.INTL(E112,MIN(F112,Reprogramaciones!L$9),11)/NETWORKDAYS.INTL(E112,F112,11)*100,1)))-IF(Reprogramaciones!K$9&lt;E112,0,IF(NETWORKDAYS.INTL(E112,F112,11)=0,IF(Reprogramaciones!K$9&gt;=F112,100,0),ROUND(NETWORKDAYS.INTL(E112,MIN(F112,Reprogramaciones!K$9),11)/NETWORKDAYS.INTL(E112,F112,11)*100,1))))</f>
        <v/>
      </c>
      <c r="I112" s="36" t="str">
        <f aca="false">IF(OR(NOT(AND(ISNUMBER(E112),ISNUMBER(F112))),$J$2=""),"",IF(Reprogramaciones!M$9&lt;E112,0,IF(NETWORKDAYS.INTL(E112,F112,11)=0,IF(Reprogramaciones!M$9&gt;=F112,100,0),ROUND(NETWORKDAYS.INTL(E112,MIN(F112,Reprogramaciones!M$9),11)/NETWORKDAYS.INTL(E112,F112,11)*100,1)))-IF(Reprogramaciones!L$9&lt;E112,0,IF(NETWORKDAYS.INTL(E112,F112,11)=0,IF(Reprogramaciones!L$9&gt;=F112,100,0),ROUND(NETWORKDAYS.INTL(E112,MIN(F112,Reprogramaciones!L$9),11)/NETWORKDAYS.INTL(E112,F112,11)*100,1))))</f>
        <v/>
      </c>
      <c r="J112" s="36" t="str">
        <f aca="false">IF(OR(NOT(AND(ISNUMBER(E112),ISNUMBER(F112))),$J$2=""),"",IF(Reprogramaciones!N$9&lt;E112,0,IF(NETWORKDAYS.INTL(E112,F112,11)=0,IF(Reprogramaciones!N$9&gt;=F112,100,0),ROUND(NETWORKDAYS.INTL(E112,MIN(F112,Reprogramaciones!N$9),11)/NETWORKDAYS.INTL(E112,F112,11)*100,1)))-IF(Reprogramaciones!M$9&lt;E112,0,IF(NETWORKDAYS.INTL(E112,F112,11)=0,IF(Reprogramaciones!M$9&gt;=F112,100,0),ROUND(NETWORKDAYS.INTL(E112,MIN(F112,Reprogramaciones!M$9),11)/NETWORKDAYS.INTL(E112,F112,11)*100,1))))</f>
        <v/>
      </c>
      <c r="K112" s="36" t="str">
        <f aca="false">IF(OR(NOT(AND(ISNUMBER(E112),ISNUMBER(F112))),$J$2=""),"",IF(Reprogramaciones!O$9&lt;E112,0,IF(NETWORKDAYS.INTL(E112,F112,11)=0,IF(Reprogramaciones!O$9&gt;=F112,100,0),ROUND(NETWORKDAYS.INTL(E112,MIN(F112,Reprogramaciones!O$9),11)/NETWORKDAYS.INTL(E112,F112,11)*100,1)))-IF(Reprogramaciones!N$9&lt;E112,0,IF(NETWORKDAYS.INTL(E112,F112,11)=0,IF(Reprogramaciones!N$9&gt;=F112,100,0),ROUND(NETWORKDAYS.INTL(E112,MIN(F112,Reprogramaciones!N$9),11)/NETWORKDAYS.INTL(E112,F112,11)*100,1))))</f>
        <v/>
      </c>
      <c r="L112" s="36" t="str">
        <f aca="false">IF(OR(NOT(AND(ISNUMBER(E112),ISNUMBER(F112))),$J$2=""),"",IF(Reprogramaciones!P$9&lt;E112,0,IF(NETWORKDAYS.INTL(E112,F112,11)=0,IF(Reprogramaciones!P$9&gt;=F112,100,0),ROUND(NETWORKDAYS.INTL(E112,MIN(F112,Reprogramaciones!P$9),11)/NETWORKDAYS.INTL(E112,F112,11)*100,1)))-IF(Reprogramaciones!O$9&lt;E112,0,IF(NETWORKDAYS.INTL(E112,F112,11)=0,IF(Reprogramaciones!O$9&gt;=F112,100,0),ROUND(NETWORKDAYS.INTL(E112,MIN(F112,Reprogramaciones!O$9),11)/NETWORKDAYS.INTL(E112,F112,11)*100,1))))</f>
        <v/>
      </c>
      <c r="M112" s="36" t="str">
        <f aca="false">IF(OR(NOT(AND(ISNUMBER(E112),ISNUMBER(F112))),$J$2=""),"",IF(Reprogramaciones!Q$9&lt;E112,0,IF(NETWORKDAYS.INTL(E112,F112,11)=0,IF(Reprogramaciones!Q$9&gt;=F112,100,0),ROUND(NETWORKDAYS.INTL(E112,MIN(F112,Reprogramaciones!Q$9),11)/NETWORKDAYS.INTL(E112,F112,11)*100,1)))-IF(Reprogramaciones!P$9&lt;E112,0,IF(NETWORKDAYS.INTL(E112,F112,11)=0,IF(Reprogramaciones!P$9&gt;=F112,100,0),ROUND(NETWORKDAYS.INTL(E112,MIN(F112,Reprogramaciones!P$9),11)/NETWORKDAYS.INTL(E112,F112,11)*100,1))))</f>
        <v/>
      </c>
      <c r="N112" s="36" t="str">
        <f aca="false">IF(OR(NOT(AND(ISNUMBER(E112),ISNUMBER(F112))),$J$2=""),"",IF(Reprogramaciones!R$9&lt;E112,0,IF(NETWORKDAYS.INTL(E112,F112,11)=0,IF(Reprogramaciones!R$9&gt;=F112,100,0),ROUND(NETWORKDAYS.INTL(E112,MIN(F112,Reprogramaciones!R$9),11)/NETWORKDAYS.INTL(E112,F112,11)*100,1)))-IF(Reprogramaciones!Q$9&lt;E112,0,IF(NETWORKDAYS.INTL(E112,F112,11)=0,IF(Reprogramaciones!Q$9&gt;=F112,100,0),ROUND(NETWORKDAYS.INTL(E112,MIN(F112,Reprogramaciones!Q$9),11)/NETWORKDAYS.INTL(E112,F112,11)*100,1))))</f>
        <v/>
      </c>
      <c r="O112" s="36" t="str">
        <f aca="false">IF(OR(NOT(AND(ISNUMBER(E112),ISNUMBER(F112))),$J$2=""),"",IF(Reprogramaciones!S$9&lt;E112,0,IF(NETWORKDAYS.INTL(E112,F112,11)=0,IF(Reprogramaciones!S$9&gt;=F112,100,0),ROUND(NETWORKDAYS.INTL(E112,MIN(F112,Reprogramaciones!S$9),11)/NETWORKDAYS.INTL(E112,F112,11)*100,1)))-IF(Reprogramaciones!R$9&lt;E112,0,IF(NETWORKDAYS.INTL(E112,F112,11)=0,IF(Reprogramaciones!R$9&gt;=F112,100,0),ROUND(NETWORKDAYS.INTL(E112,MIN(F112,Reprogramaciones!R$9),11)/NETWORKDAYS.INTL(E112,F112,11)*100,1))))</f>
        <v/>
      </c>
      <c r="P112" s="36" t="str">
        <f aca="false">IF(OR(NOT(AND(ISNUMBER(E112),ISNUMBER(F112))),$J$2=""),"",IF(Reprogramaciones!T$9&lt;E112,0,IF(NETWORKDAYS.INTL(E112,F112,11)=0,IF(Reprogramaciones!T$9&gt;=F112,100,0),ROUND(NETWORKDAYS.INTL(E112,MIN(F112,Reprogramaciones!T$9),11)/NETWORKDAYS.INTL(E112,F112,11)*100,1)))-IF(Reprogramaciones!S$9&lt;E112,0,IF(NETWORKDAYS.INTL(E112,F112,11)=0,IF(Reprogramaciones!S$9&gt;=F112,100,0),ROUND(NETWORKDAYS.INTL(E112,MIN(F112,Reprogramaciones!S$9),11)/NETWORKDAYS.INTL(E112,F112,11)*100,1))))</f>
        <v/>
      </c>
      <c r="Q112" s="37"/>
      <c r="R112" s="37"/>
      <c r="S112" s="37"/>
      <c r="T112" s="37"/>
      <c r="U112" s="37"/>
      <c r="V112" s="37"/>
      <c r="W112" s="37"/>
      <c r="X112" s="37"/>
      <c r="Y112" s="37"/>
      <c r="Z112" s="37"/>
      <c r="AA112" s="37"/>
      <c r="AB112" s="37"/>
      <c r="AC112" s="37"/>
      <c r="AD112" s="37"/>
      <c r="AE112" s="37"/>
      <c r="AF112" s="37"/>
      <c r="AG112" s="38" t="str">
        <f aca="false">IF(AND(ISNUMBER(E112),ISNUMBER(F112)),NETWORKDAYS.INTL(E112,F112,11),"")</f>
        <v/>
      </c>
      <c r="AH112" s="38" t="str">
        <f aca="false">IF(OR(NOT(AND(ISNUMBER(E112),ISNUMBER(F112))),$J$2=""),"",IF(Reprogramaciones!$P$15&lt;Reprogramaciones!$T$15,0,IF(Reprogramaciones!$R$15&gt;10,MIN(100,SUM($G112:$P112)),MIN(100,SUMPRODUCT((COLUMN($G112:$P112)-COLUMN($G112)+1&lt;Reprogramaciones!$R$15)*$G112:$P112)+N(INDEX($G112:$P112,1,Reprogramaciones!$R$15))*IF(Reprogramaciones!$P$15&gt;=(Reprogramaciones!$T$15+7*(Reprogramaciones!$R$15-1))+6,1,IF(MAX(0,NETWORKDAYS.INTL(MAX(E112,(Reprogramaciones!$T$15+7*(Reprogramaciones!$R$15-1))),MIN(F112,(Reprogramaciones!$T$15+7*(Reprogramaciones!$R$15-1))+6),11))=0,0,MAX(0,NETWORKDAYS.INTL(MAX(E112,(Reprogramaciones!$T$15+7*(Reprogramaciones!$R$15-1))),MIN(F112,Reprogramaciones!$P$15),11))/MAX(0,NETWORKDAYS.INTL(MAX(E112,(Reprogramaciones!$T$15+7*(Reprogramaciones!$R$15-1))),MIN(F112,(Reprogramaciones!$T$15+7*(Reprogramaciones!$R$15-1))+6),11))))))))</f>
        <v/>
      </c>
      <c r="AI112" s="38" t="str">
        <f aca="false">IF(COUNT($Q112:$AF112)=0,"",IF(ROUND(SUM($Q112:$AF112),1)&gt;=99.5,100,MIN(100,ROUND(SUM($Q112:$AF112),1))))</f>
        <v/>
      </c>
      <c r="AJ112" s="38" t="str">
        <f aca="false">IF(OR(AH112="",AI112=""),"",AI112-AH112)</f>
        <v/>
      </c>
      <c r="AK112" s="39" t="str">
        <f aca="true">IF(AH112="","",IF(OR(Ficha!$C$10="Suspendida",Ficha!$C$10="Cancelada"),Ficha!$C$10,IF(AND(AI112&lt;&gt;"",N(AI112)&gt;=100),"Completada",IF(AND(E112&gt;TODAY(),N(AI112)=0),"Por iniciar",IF(N(AI112)+0.5&lt;AH112,"Retrasada",IF(N(AI112)+0.5&lt;DA112,IF(Reprogramaciones!$K$15&gt;0,"Al día · Sem "&amp;Reprogramaciones!$K$15&amp;" en curso","Al día · en curso"),"A tiempo"))))))</f>
        <v/>
      </c>
      <c r="AL112" s="39" t="str">
        <f aca="true">IF(AND(A112="",AND(B112="",C112="",E112="",F112="",COUNT(Q112:AF112)=0)),"",IF(AND(B112="",C112="",E112="",F112="",COUNT(Q112:AF112)=0),"Falta la partida o subpartida",IF(AND(A112&lt;&gt;"",COUNTIF($A$6:$A$305,A112)&gt;1),"Ítem repetido",IF(AND(C112="",E112="",F112="",COUNT(Q112:AF112)=0),"Título de partida",IF(OR(E112="",F112=""),"Faltan fechas",IF(OR(ISTEXT(E112),ISTEXT(F112)),"Fecha escrita como texto: usa dd/mm/aaaa",IF(F112&lt;E112,"Fin antes del inicio",IF(IF($J$2="",FALSE(),OR(E112&lt;$J$2,F112&gt;Reprogramaciones!$T$15+69)),"Fuera de las 10 semanas",IF(ABS(SUM(G112:P112)-100)&gt;0.5,"La meta no suma 100%",IF(ROUND(SUM(Q112:AF112),1)&gt;100.5,"El avance pasa de 100%",IF(MIN(Q112:AF112)&lt;0,"Avance negativo",IF(COUNTA(Q112:AF112)&gt;COUNT(Q112:AF112),"Avance escrito como texto",IF(SUMPRODUCT((Q112:AF112&gt;0)*(Q112:AF112&lt;1))&gt;0,"Avance menor a 1: escribe 50, no 50%",IF(SUMPRODUCT(ISNUMBER(Q112:AF112)*(Reprogramaciones!$K$8:$Z$8&gt;TODAY()))&gt;0,"Avance en semana que aún no llega",IF(AND(N(Reprogramaciones!$E$21)&gt;0,F112&gt;Reprogramaciones!$E$21),"Pasa el fin de la obra: registra una reprogramación",IF(AND(N(Reprogramaciones!$E$21)&gt;0,SUMPRODUCT(ISNUMBER(Q112:AF112)*(Reprogramaciones!$K$8:$Z$8&gt;Reprogramaciones!$E$21))&gt;0),"Avance después del fin de la obra: registra una reprogramación por atraso","OK"))))))))))))))))</f>
        <v/>
      </c>
      <c r="AM112" s="40" t="str">
        <f aca="false">IF(OR(OR(NOT(AND(ISNUMBER(E112),ISNUMBER(F112))),$J$2=""),1&gt;MAX(1,Reprogramaciones!$U$15)),"",IF(Reprogramaciones!K$12&gt;=7,"",IF(OR(BT112-N(0)&gt;0.05,N(Q112)&gt;0),ROUNDDOWN(ROUND(BT112,6),0)&amp;"%"&amp;IF(CJ112="",""," / "&amp;CJ112&amp;"%"),IF(AND(N(0)&gt;=99.95,CJ112&lt;&gt;"",N(CJ112)&lt;100),"Pend. "&amp;CJ112&amp;"%",""))))</f>
        <v/>
      </c>
      <c r="AN112" s="40" t="str">
        <f aca="false">IF(OR(OR(NOT(AND(ISNUMBER(E112),ISNUMBER(F112))),$J$2=""),2&gt;MAX(1,Reprogramaciones!$U$15)),"",IF(Reprogramaciones!L$12&gt;=7,"",IF(OR(BU112-N(BT112)&gt;0.05,N(R112)&gt;0),ROUNDDOWN(ROUND(BU112,6),0)&amp;"%"&amp;IF(CK112="",""," / "&amp;CK112&amp;"%"),IF(AND(N(BT112)&gt;=99.95,CK112&lt;&gt;"",N(CK112)&lt;100),"Pend. "&amp;CK112&amp;"%",""))))</f>
        <v/>
      </c>
      <c r="AO112" s="40" t="str">
        <f aca="false">IF(OR(OR(NOT(AND(ISNUMBER(E112),ISNUMBER(F112))),$J$2=""),3&gt;MAX(1,Reprogramaciones!$U$15)),"",IF(Reprogramaciones!M$12&gt;=7,"",IF(OR(BV112-N(BU112)&gt;0.05,N(S112)&gt;0),ROUNDDOWN(ROUND(BV112,6),0)&amp;"%"&amp;IF(CL112="",""," / "&amp;CL112&amp;"%"),IF(AND(N(BU112)&gt;=99.95,CL112&lt;&gt;"",N(CL112)&lt;100),"Pend. "&amp;CL112&amp;"%",""))))</f>
        <v/>
      </c>
      <c r="AP112" s="40" t="str">
        <f aca="false">IF(OR(OR(NOT(AND(ISNUMBER(E112),ISNUMBER(F112))),$J$2=""),4&gt;MAX(1,Reprogramaciones!$U$15)),"",IF(Reprogramaciones!N$12&gt;=7,"",IF(OR(BW112-N(BV112)&gt;0.05,N(T112)&gt;0),ROUNDDOWN(ROUND(BW112,6),0)&amp;"%"&amp;IF(CM112="",""," / "&amp;CM112&amp;"%"),IF(AND(N(BV112)&gt;=99.95,CM112&lt;&gt;"",N(CM112)&lt;100),"Pend. "&amp;CM112&amp;"%",""))))</f>
        <v/>
      </c>
      <c r="AQ112" s="40" t="str">
        <f aca="false">IF(OR(OR(NOT(AND(ISNUMBER(E112),ISNUMBER(F112))),$J$2=""),5&gt;MAX(1,Reprogramaciones!$U$15)),"",IF(Reprogramaciones!O$12&gt;=7,"",IF(OR(BX112-N(BW112)&gt;0.05,N(U112)&gt;0),ROUNDDOWN(ROUND(BX112,6),0)&amp;"%"&amp;IF(CN112="",""," / "&amp;CN112&amp;"%"),IF(AND(N(BW112)&gt;=99.95,CN112&lt;&gt;"",N(CN112)&lt;100),"Pend. "&amp;CN112&amp;"%",""))))</f>
        <v/>
      </c>
      <c r="AR112" s="40" t="str">
        <f aca="false">IF(OR(OR(NOT(AND(ISNUMBER(E112),ISNUMBER(F112))),$J$2=""),6&gt;MAX(1,Reprogramaciones!$U$15)),"",IF(Reprogramaciones!P$12&gt;=7,"",IF(OR(BY112-N(BX112)&gt;0.05,N(V112)&gt;0),ROUNDDOWN(ROUND(BY112,6),0)&amp;"%"&amp;IF(CO112="",""," / "&amp;CO112&amp;"%"),IF(AND(N(BX112)&gt;=99.95,CO112&lt;&gt;"",N(CO112)&lt;100),"Pend. "&amp;CO112&amp;"%",""))))</f>
        <v/>
      </c>
      <c r="AS112" s="40" t="str">
        <f aca="false">IF(OR(OR(NOT(AND(ISNUMBER(E112),ISNUMBER(F112))),$J$2=""),7&gt;MAX(1,Reprogramaciones!$U$15)),"",IF(Reprogramaciones!Q$12&gt;=7,"",IF(OR(BZ112-N(BY112)&gt;0.05,N(W112)&gt;0),ROUNDDOWN(ROUND(BZ112,6),0)&amp;"%"&amp;IF(CP112="",""," / "&amp;CP112&amp;"%"),IF(AND(N(BY112)&gt;=99.95,CP112&lt;&gt;"",N(CP112)&lt;100),"Pend. "&amp;CP112&amp;"%",""))))</f>
        <v/>
      </c>
      <c r="AT112" s="40" t="str">
        <f aca="false">IF(OR(OR(NOT(AND(ISNUMBER(E112),ISNUMBER(F112))),$J$2=""),8&gt;MAX(1,Reprogramaciones!$U$15)),"",IF(Reprogramaciones!R$12&gt;=7,"",IF(OR(CA112-N(BZ112)&gt;0.05,N(X112)&gt;0),ROUNDDOWN(ROUND(CA112,6),0)&amp;"%"&amp;IF(CQ112="",""," / "&amp;CQ112&amp;"%"),IF(AND(N(BZ112)&gt;=99.95,CQ112&lt;&gt;"",N(CQ112)&lt;100),"Pend. "&amp;CQ112&amp;"%",""))))</f>
        <v/>
      </c>
      <c r="AU112" s="40" t="str">
        <f aca="false">IF(OR(OR(NOT(AND(ISNUMBER(E112),ISNUMBER(F112))),$J$2=""),9&gt;MAX(1,Reprogramaciones!$U$15)),"",IF(Reprogramaciones!S$12&gt;=7,"",IF(OR(CB112-N(CA112)&gt;0.05,N(Y112)&gt;0),ROUNDDOWN(ROUND(CB112,6),0)&amp;"%"&amp;IF(CR112="",""," / "&amp;CR112&amp;"%"),IF(AND(N(CA112)&gt;=99.95,CR112&lt;&gt;"",N(CR112)&lt;100),"Pend. "&amp;CR112&amp;"%",""))))</f>
        <v/>
      </c>
      <c r="AV112" s="40" t="str">
        <f aca="false">IF(OR(OR(NOT(AND(ISNUMBER(E112),ISNUMBER(F112))),$J$2=""),10&gt;MAX(1,Reprogramaciones!$U$15)),"",IF(Reprogramaciones!T$12&gt;=7,"",IF(OR(CC112-N(CB112)&gt;0.05,N(Z112)&gt;0),ROUNDDOWN(ROUND(CC112,6),0)&amp;"%"&amp;IF(CS112="",""," / "&amp;CS112&amp;"%"),IF(AND(N(CB112)&gt;=99.95,CS112&lt;&gt;"",N(CS112)&lt;100),"Pend. "&amp;CS112&amp;"%",""))))</f>
        <v/>
      </c>
      <c r="AW112" s="40" t="str">
        <f aca="false">IF(OR(OR(NOT(AND(ISNUMBER(E112),ISNUMBER(F112))),$J$2=""),11&gt;MAX(1,Reprogramaciones!$U$15)),"",IF(Reprogramaciones!U$12&gt;=7,"",IF(OR(CD112-N(CC112)&gt;0.05,N(AA112)&gt;0),ROUNDDOWN(ROUND(CD112,6),0)&amp;"%"&amp;IF(CT112="",""," / "&amp;CT112&amp;"%"),IF(AND(N(CC112)&gt;=99.95,CT112&lt;&gt;"",N(CT112)&lt;100),"Pend. "&amp;CT112&amp;"%",""))))</f>
        <v/>
      </c>
      <c r="AX112" s="40" t="str">
        <f aca="false">IF(OR(OR(NOT(AND(ISNUMBER(E112),ISNUMBER(F112))),$J$2=""),12&gt;MAX(1,Reprogramaciones!$U$15)),"",IF(Reprogramaciones!V$12&gt;=7,"",IF(OR(CE112-N(CD112)&gt;0.05,N(AB112)&gt;0),ROUNDDOWN(ROUND(CE112,6),0)&amp;"%"&amp;IF(CU112="",""," / "&amp;CU112&amp;"%"),IF(AND(N(CD112)&gt;=99.95,CU112&lt;&gt;"",N(CU112)&lt;100),"Pend. "&amp;CU112&amp;"%",""))))</f>
        <v/>
      </c>
      <c r="AY112" s="40" t="str">
        <f aca="false">IF(OR(OR(NOT(AND(ISNUMBER(E112),ISNUMBER(F112))),$J$2=""),13&gt;MAX(1,Reprogramaciones!$U$15)),"",IF(Reprogramaciones!W$12&gt;=7,"",IF(OR(CF112-N(CE112)&gt;0.05,N(AC112)&gt;0),ROUNDDOWN(ROUND(CF112,6),0)&amp;"%"&amp;IF(CV112="",""," / "&amp;CV112&amp;"%"),IF(AND(N(CE112)&gt;=99.95,CV112&lt;&gt;"",N(CV112)&lt;100),"Pend. "&amp;CV112&amp;"%",""))))</f>
        <v/>
      </c>
      <c r="AZ112" s="40" t="str">
        <f aca="false">IF(OR(OR(NOT(AND(ISNUMBER(E112),ISNUMBER(F112))),$J$2=""),14&gt;MAX(1,Reprogramaciones!$U$15)),"",IF(Reprogramaciones!X$12&gt;=7,"",IF(OR(CG112-N(CF112)&gt;0.05,N(AD112)&gt;0),ROUNDDOWN(ROUND(CG112,6),0)&amp;"%"&amp;IF(CW112="",""," / "&amp;CW112&amp;"%"),IF(AND(N(CF112)&gt;=99.95,CW112&lt;&gt;"",N(CW112)&lt;100),"Pend. "&amp;CW112&amp;"%",""))))</f>
        <v/>
      </c>
      <c r="BA112" s="40" t="str">
        <f aca="false">IF(OR(OR(NOT(AND(ISNUMBER(E112),ISNUMBER(F112))),$J$2=""),15&gt;MAX(1,Reprogramaciones!$U$15)),"",IF(Reprogramaciones!Y$12&gt;=7,"",IF(OR(CH112-N(CG112)&gt;0.05,N(AE112)&gt;0),ROUNDDOWN(ROUND(CH112,6),0)&amp;"%"&amp;IF(CX112="",""," / "&amp;CX112&amp;"%"),IF(AND(N(CG112)&gt;=99.95,CX112&lt;&gt;"",N(CX112)&lt;100),"Pend. "&amp;CX112&amp;"%",""))))</f>
        <v/>
      </c>
      <c r="BB112" s="40" t="str">
        <f aca="false">IF(OR(OR(NOT(AND(ISNUMBER(E112),ISNUMBER(F112))),$J$2=""),16&gt;MAX(1,Reprogramaciones!$U$15)),"",IF(Reprogramaciones!Z$12&gt;=7,"",IF(OR(CI112-N(CH112)&gt;0.05,N(AF112)&gt;0),ROUNDDOWN(ROUND(CI112,6),0)&amp;"%"&amp;IF(CY112="",""," / "&amp;CY112&amp;"%"),IF(AND(N(CH112)&gt;=99.95,CY112&lt;&gt;"",N(CY112)&lt;100),"Pend. "&amp;CY112&amp;"%",""))))</f>
        <v/>
      </c>
      <c r="BC112" s="31" t="n">
        <f aca="false">IF(AND(ISNUMBER(E112),ISNUMBER(F112)),MAX(1,NETWORKDAYS.INTL(E112,F112,11)),0)</f>
        <v>0</v>
      </c>
      <c r="BD112" s="1" t="str">
        <f aca="false">IF(OR(NOT(AND(ISNUMBER(E112),ISNUMBER(F112))),$J$2=""),"",MIN(100,ROUND(SUM($G112:G112),1)))</f>
        <v/>
      </c>
      <c r="BE112" s="1" t="str">
        <f aca="false">IF(OR(NOT(AND(ISNUMBER(E112),ISNUMBER(F112))),$J$2=""),"",MIN(100,ROUND(SUM($G112:H112),1)))</f>
        <v/>
      </c>
      <c r="BF112" s="1" t="str">
        <f aca="false">IF(OR(NOT(AND(ISNUMBER(E112),ISNUMBER(F112))),$J$2=""),"",MIN(100,ROUND(SUM($G112:I112),1)))</f>
        <v/>
      </c>
      <c r="BG112" s="1" t="str">
        <f aca="false">IF(OR(NOT(AND(ISNUMBER(E112),ISNUMBER(F112))),$J$2=""),"",MIN(100,ROUND(SUM($G112:J112),1)))</f>
        <v/>
      </c>
      <c r="BH112" s="1" t="str">
        <f aca="false">IF(OR(NOT(AND(ISNUMBER(E112),ISNUMBER(F112))),$J$2=""),"",MIN(100,ROUND(SUM($G112:K112),1)))</f>
        <v/>
      </c>
      <c r="BI112" s="1" t="str">
        <f aca="false">IF(OR(NOT(AND(ISNUMBER(E112),ISNUMBER(F112))),$J$2=""),"",MIN(100,ROUND(SUM($G112:L112),1)))</f>
        <v/>
      </c>
      <c r="BJ112" s="1" t="str">
        <f aca="false">IF(OR(NOT(AND(ISNUMBER(E112),ISNUMBER(F112))),$J$2=""),"",MIN(100,ROUND(SUM($G112:M112),1)))</f>
        <v/>
      </c>
      <c r="BK112" s="1" t="str">
        <f aca="false">IF(OR(NOT(AND(ISNUMBER(E112),ISNUMBER(F112))),$J$2=""),"",MIN(100,ROUND(SUM($G112:N112),1)))</f>
        <v/>
      </c>
      <c r="BL112" s="1" t="str">
        <f aca="false">IF(OR(NOT(AND(ISNUMBER(E112),ISNUMBER(F112))),$J$2=""),"",MIN(100,ROUND(SUM($G112:O112),1)))</f>
        <v/>
      </c>
      <c r="BM112" s="1" t="str">
        <f aca="false">IF(OR(NOT(AND(ISNUMBER(E112),ISNUMBER(F112))),$J$2=""),"",MIN(100,ROUND(SUM($G112:P112),1)))</f>
        <v/>
      </c>
      <c r="BN112" s="1" t="str">
        <f aca="false">IF(OR(NOT(AND(ISNUMBER(E112),ISNUMBER(F112))),$J$2=""),"",MIN(100,ROUND(SUM($G112:P112),1)))</f>
        <v/>
      </c>
      <c r="BO112" s="1" t="str">
        <f aca="false">IF(OR(NOT(AND(ISNUMBER(E112),ISNUMBER(F112))),$J$2=""),"",MIN(100,ROUND(SUM($G112:P112),1)))</f>
        <v/>
      </c>
      <c r="BP112" s="1" t="str">
        <f aca="false">IF(OR(NOT(AND(ISNUMBER(E112),ISNUMBER(F112))),$J$2=""),"",MIN(100,ROUND(SUM($G112:P112),1)))</f>
        <v/>
      </c>
      <c r="BQ112" s="1" t="str">
        <f aca="false">IF(OR(NOT(AND(ISNUMBER(E112),ISNUMBER(F112))),$J$2=""),"",MIN(100,ROUND(SUM($G112:P112),1)))</f>
        <v/>
      </c>
      <c r="BR112" s="1" t="str">
        <f aca="false">IF(OR(NOT(AND(ISNUMBER(E112),ISNUMBER(F112))),$J$2=""),"",MIN(100,ROUND(SUM($G112:P112),1)))</f>
        <v/>
      </c>
      <c r="BS112" s="1" t="str">
        <f aca="false">IF(OR(NOT(AND(ISNUMBER(E112),ISNUMBER(F112))),$J$2=""),"",MIN(100,ROUND(SUM($G112:P112),1)))</f>
        <v/>
      </c>
      <c r="BT112" s="1" t="str">
        <f aca="false">IF(OR(NOT(AND(ISNUMBER(E112),ISNUMBER(F112))),$J$2=""),"",IF(Reprogramaciones!K$13&lt;Reprogramaciones!$T$15,0,IF(Reprogramaciones!K$14&gt;10,MIN(100,SUM($G112:$P112)),MIN(100,SUMPRODUCT((COLUMN($G112:$P112)-COLUMN($G112)+1&lt;Reprogramaciones!K$14)*$G112:$P112)+N(INDEX($G112:$P112,1,Reprogramaciones!K$14))*IF(Reprogramaciones!K$13&gt;=(Reprogramaciones!$T$15+7*(Reprogramaciones!K$14-1))+6,1,IF(MAX(0,NETWORKDAYS.INTL(MAX(E112,(Reprogramaciones!$T$15+7*(Reprogramaciones!K$14-1))),MIN(F112,(Reprogramaciones!$T$15+7*(Reprogramaciones!K$14-1))+6),11))=0,0,MAX(0,NETWORKDAYS.INTL(MAX(E112,(Reprogramaciones!$T$15+7*(Reprogramaciones!K$14-1))),MIN(F112,Reprogramaciones!K$13),11))/MAX(0,NETWORKDAYS.INTL(MAX(E112,(Reprogramaciones!$T$15+7*(Reprogramaciones!K$14-1))),MIN(F112,(Reprogramaciones!$T$15+7*(Reprogramaciones!K$14-1))+6),11))))))))</f>
        <v/>
      </c>
      <c r="BU112" s="1" t="str">
        <f aca="false">IF(OR(NOT(AND(ISNUMBER(E112),ISNUMBER(F112))),$J$2=""),"",IF(Reprogramaciones!L$13&lt;Reprogramaciones!$T$15,0,IF(Reprogramaciones!L$14&gt;10,MIN(100,SUM($G112:$P112)),MIN(100,SUMPRODUCT((COLUMN($G112:$P112)-COLUMN($G112)+1&lt;Reprogramaciones!L$14)*$G112:$P112)+N(INDEX($G112:$P112,1,Reprogramaciones!L$14))*IF(Reprogramaciones!L$13&gt;=(Reprogramaciones!$T$15+7*(Reprogramaciones!L$14-1))+6,1,IF(MAX(0,NETWORKDAYS.INTL(MAX(E112,(Reprogramaciones!$T$15+7*(Reprogramaciones!L$14-1))),MIN(F112,(Reprogramaciones!$T$15+7*(Reprogramaciones!L$14-1))+6),11))=0,0,MAX(0,NETWORKDAYS.INTL(MAX(E112,(Reprogramaciones!$T$15+7*(Reprogramaciones!L$14-1))),MIN(F112,Reprogramaciones!L$13),11))/MAX(0,NETWORKDAYS.INTL(MAX(E112,(Reprogramaciones!$T$15+7*(Reprogramaciones!L$14-1))),MIN(F112,(Reprogramaciones!$T$15+7*(Reprogramaciones!L$14-1))+6),11))))))))</f>
        <v/>
      </c>
      <c r="BV112" s="1" t="str">
        <f aca="false">IF(OR(NOT(AND(ISNUMBER(E112),ISNUMBER(F112))),$J$2=""),"",IF(Reprogramaciones!M$13&lt;Reprogramaciones!$T$15,0,IF(Reprogramaciones!M$14&gt;10,MIN(100,SUM($G112:$P112)),MIN(100,SUMPRODUCT((COLUMN($G112:$P112)-COLUMN($G112)+1&lt;Reprogramaciones!M$14)*$G112:$P112)+N(INDEX($G112:$P112,1,Reprogramaciones!M$14))*IF(Reprogramaciones!M$13&gt;=(Reprogramaciones!$T$15+7*(Reprogramaciones!M$14-1))+6,1,IF(MAX(0,NETWORKDAYS.INTL(MAX(E112,(Reprogramaciones!$T$15+7*(Reprogramaciones!M$14-1))),MIN(F112,(Reprogramaciones!$T$15+7*(Reprogramaciones!M$14-1))+6),11))=0,0,MAX(0,NETWORKDAYS.INTL(MAX(E112,(Reprogramaciones!$T$15+7*(Reprogramaciones!M$14-1))),MIN(F112,Reprogramaciones!M$13),11))/MAX(0,NETWORKDAYS.INTL(MAX(E112,(Reprogramaciones!$T$15+7*(Reprogramaciones!M$14-1))),MIN(F112,(Reprogramaciones!$T$15+7*(Reprogramaciones!M$14-1))+6),11))))))))</f>
        <v/>
      </c>
      <c r="BW112" s="1" t="str">
        <f aca="false">IF(OR(NOT(AND(ISNUMBER(E112),ISNUMBER(F112))),$J$2=""),"",IF(Reprogramaciones!N$13&lt;Reprogramaciones!$T$15,0,IF(Reprogramaciones!N$14&gt;10,MIN(100,SUM($G112:$P112)),MIN(100,SUMPRODUCT((COLUMN($G112:$P112)-COLUMN($G112)+1&lt;Reprogramaciones!N$14)*$G112:$P112)+N(INDEX($G112:$P112,1,Reprogramaciones!N$14))*IF(Reprogramaciones!N$13&gt;=(Reprogramaciones!$T$15+7*(Reprogramaciones!N$14-1))+6,1,IF(MAX(0,NETWORKDAYS.INTL(MAX(E112,(Reprogramaciones!$T$15+7*(Reprogramaciones!N$14-1))),MIN(F112,(Reprogramaciones!$T$15+7*(Reprogramaciones!N$14-1))+6),11))=0,0,MAX(0,NETWORKDAYS.INTL(MAX(E112,(Reprogramaciones!$T$15+7*(Reprogramaciones!N$14-1))),MIN(F112,Reprogramaciones!N$13),11))/MAX(0,NETWORKDAYS.INTL(MAX(E112,(Reprogramaciones!$T$15+7*(Reprogramaciones!N$14-1))),MIN(F112,(Reprogramaciones!$T$15+7*(Reprogramaciones!N$14-1))+6),11))))))))</f>
        <v/>
      </c>
      <c r="BX112" s="1" t="str">
        <f aca="false">IF(OR(NOT(AND(ISNUMBER(E112),ISNUMBER(F112))),$J$2=""),"",IF(Reprogramaciones!O$13&lt;Reprogramaciones!$T$15,0,IF(Reprogramaciones!O$14&gt;10,MIN(100,SUM($G112:$P112)),MIN(100,SUMPRODUCT((COLUMN($G112:$P112)-COLUMN($G112)+1&lt;Reprogramaciones!O$14)*$G112:$P112)+N(INDEX($G112:$P112,1,Reprogramaciones!O$14))*IF(Reprogramaciones!O$13&gt;=(Reprogramaciones!$T$15+7*(Reprogramaciones!O$14-1))+6,1,IF(MAX(0,NETWORKDAYS.INTL(MAX(E112,(Reprogramaciones!$T$15+7*(Reprogramaciones!O$14-1))),MIN(F112,(Reprogramaciones!$T$15+7*(Reprogramaciones!O$14-1))+6),11))=0,0,MAX(0,NETWORKDAYS.INTL(MAX(E112,(Reprogramaciones!$T$15+7*(Reprogramaciones!O$14-1))),MIN(F112,Reprogramaciones!O$13),11))/MAX(0,NETWORKDAYS.INTL(MAX(E112,(Reprogramaciones!$T$15+7*(Reprogramaciones!O$14-1))),MIN(F112,(Reprogramaciones!$T$15+7*(Reprogramaciones!O$14-1))+6),11))))))))</f>
        <v/>
      </c>
      <c r="BY112" s="1" t="str">
        <f aca="false">IF(OR(NOT(AND(ISNUMBER(E112),ISNUMBER(F112))),$J$2=""),"",IF(Reprogramaciones!P$13&lt;Reprogramaciones!$T$15,0,IF(Reprogramaciones!P$14&gt;10,MIN(100,SUM($G112:$P112)),MIN(100,SUMPRODUCT((COLUMN($G112:$P112)-COLUMN($G112)+1&lt;Reprogramaciones!P$14)*$G112:$P112)+N(INDEX($G112:$P112,1,Reprogramaciones!P$14))*IF(Reprogramaciones!P$13&gt;=(Reprogramaciones!$T$15+7*(Reprogramaciones!P$14-1))+6,1,IF(MAX(0,NETWORKDAYS.INTL(MAX(E112,(Reprogramaciones!$T$15+7*(Reprogramaciones!P$14-1))),MIN(F112,(Reprogramaciones!$T$15+7*(Reprogramaciones!P$14-1))+6),11))=0,0,MAX(0,NETWORKDAYS.INTL(MAX(E112,(Reprogramaciones!$T$15+7*(Reprogramaciones!P$14-1))),MIN(F112,Reprogramaciones!P$13),11))/MAX(0,NETWORKDAYS.INTL(MAX(E112,(Reprogramaciones!$T$15+7*(Reprogramaciones!P$14-1))),MIN(F112,(Reprogramaciones!$T$15+7*(Reprogramaciones!P$14-1))+6),11))))))))</f>
        <v/>
      </c>
      <c r="BZ112" s="1" t="str">
        <f aca="false">IF(OR(NOT(AND(ISNUMBER(E112),ISNUMBER(F112))),$J$2=""),"",IF(Reprogramaciones!Q$13&lt;Reprogramaciones!$T$15,0,IF(Reprogramaciones!Q$14&gt;10,MIN(100,SUM($G112:$P112)),MIN(100,SUMPRODUCT((COLUMN($G112:$P112)-COLUMN($G112)+1&lt;Reprogramaciones!Q$14)*$G112:$P112)+N(INDEX($G112:$P112,1,Reprogramaciones!Q$14))*IF(Reprogramaciones!Q$13&gt;=(Reprogramaciones!$T$15+7*(Reprogramaciones!Q$14-1))+6,1,IF(MAX(0,NETWORKDAYS.INTL(MAX(E112,(Reprogramaciones!$T$15+7*(Reprogramaciones!Q$14-1))),MIN(F112,(Reprogramaciones!$T$15+7*(Reprogramaciones!Q$14-1))+6),11))=0,0,MAX(0,NETWORKDAYS.INTL(MAX(E112,(Reprogramaciones!$T$15+7*(Reprogramaciones!Q$14-1))),MIN(F112,Reprogramaciones!Q$13),11))/MAX(0,NETWORKDAYS.INTL(MAX(E112,(Reprogramaciones!$T$15+7*(Reprogramaciones!Q$14-1))),MIN(F112,(Reprogramaciones!$T$15+7*(Reprogramaciones!Q$14-1))+6),11))))))))</f>
        <v/>
      </c>
      <c r="CA112" s="1" t="str">
        <f aca="false">IF(OR(NOT(AND(ISNUMBER(E112),ISNUMBER(F112))),$J$2=""),"",IF(Reprogramaciones!R$13&lt;Reprogramaciones!$T$15,0,IF(Reprogramaciones!R$14&gt;10,MIN(100,SUM($G112:$P112)),MIN(100,SUMPRODUCT((COLUMN($G112:$P112)-COLUMN($G112)+1&lt;Reprogramaciones!R$14)*$G112:$P112)+N(INDEX($G112:$P112,1,Reprogramaciones!R$14))*IF(Reprogramaciones!R$13&gt;=(Reprogramaciones!$T$15+7*(Reprogramaciones!R$14-1))+6,1,IF(MAX(0,NETWORKDAYS.INTL(MAX(E112,(Reprogramaciones!$T$15+7*(Reprogramaciones!R$14-1))),MIN(F112,(Reprogramaciones!$T$15+7*(Reprogramaciones!R$14-1))+6),11))=0,0,MAX(0,NETWORKDAYS.INTL(MAX(E112,(Reprogramaciones!$T$15+7*(Reprogramaciones!R$14-1))),MIN(F112,Reprogramaciones!R$13),11))/MAX(0,NETWORKDAYS.INTL(MAX(E112,(Reprogramaciones!$T$15+7*(Reprogramaciones!R$14-1))),MIN(F112,(Reprogramaciones!$T$15+7*(Reprogramaciones!R$14-1))+6),11))))))))</f>
        <v/>
      </c>
      <c r="CB112" s="1" t="str">
        <f aca="false">IF(OR(NOT(AND(ISNUMBER(E112),ISNUMBER(F112))),$J$2=""),"",IF(Reprogramaciones!S$13&lt;Reprogramaciones!$T$15,0,IF(Reprogramaciones!S$14&gt;10,MIN(100,SUM($G112:$P112)),MIN(100,SUMPRODUCT((COLUMN($G112:$P112)-COLUMN($G112)+1&lt;Reprogramaciones!S$14)*$G112:$P112)+N(INDEX($G112:$P112,1,Reprogramaciones!S$14))*IF(Reprogramaciones!S$13&gt;=(Reprogramaciones!$T$15+7*(Reprogramaciones!S$14-1))+6,1,IF(MAX(0,NETWORKDAYS.INTL(MAX(E112,(Reprogramaciones!$T$15+7*(Reprogramaciones!S$14-1))),MIN(F112,(Reprogramaciones!$T$15+7*(Reprogramaciones!S$14-1))+6),11))=0,0,MAX(0,NETWORKDAYS.INTL(MAX(E112,(Reprogramaciones!$T$15+7*(Reprogramaciones!S$14-1))),MIN(F112,Reprogramaciones!S$13),11))/MAX(0,NETWORKDAYS.INTL(MAX(E112,(Reprogramaciones!$T$15+7*(Reprogramaciones!S$14-1))),MIN(F112,(Reprogramaciones!$T$15+7*(Reprogramaciones!S$14-1))+6),11))))))))</f>
        <v/>
      </c>
      <c r="CC112" s="1" t="str">
        <f aca="false">IF(OR(NOT(AND(ISNUMBER(E112),ISNUMBER(F112))),$J$2=""),"",IF(Reprogramaciones!T$13&lt;Reprogramaciones!$T$15,0,IF(Reprogramaciones!T$14&gt;10,MIN(100,SUM($G112:$P112)),MIN(100,SUMPRODUCT((COLUMN($G112:$P112)-COLUMN($G112)+1&lt;Reprogramaciones!T$14)*$G112:$P112)+N(INDEX($G112:$P112,1,Reprogramaciones!T$14))*IF(Reprogramaciones!T$13&gt;=(Reprogramaciones!$T$15+7*(Reprogramaciones!T$14-1))+6,1,IF(MAX(0,NETWORKDAYS.INTL(MAX(E112,(Reprogramaciones!$T$15+7*(Reprogramaciones!T$14-1))),MIN(F112,(Reprogramaciones!$T$15+7*(Reprogramaciones!T$14-1))+6),11))=0,0,MAX(0,NETWORKDAYS.INTL(MAX(E112,(Reprogramaciones!$T$15+7*(Reprogramaciones!T$14-1))),MIN(F112,Reprogramaciones!T$13),11))/MAX(0,NETWORKDAYS.INTL(MAX(E112,(Reprogramaciones!$T$15+7*(Reprogramaciones!T$14-1))),MIN(F112,(Reprogramaciones!$T$15+7*(Reprogramaciones!T$14-1))+6),11))))))))</f>
        <v/>
      </c>
      <c r="CD112" s="1" t="str">
        <f aca="false">IF(OR(NOT(AND(ISNUMBER(E112),ISNUMBER(F112))),$J$2=""),"",IF(Reprogramaciones!U$13&lt;Reprogramaciones!$T$15,0,IF(Reprogramaciones!U$14&gt;10,MIN(100,SUM($G112:$P112)),MIN(100,SUMPRODUCT((COLUMN($G112:$P112)-COLUMN($G112)+1&lt;Reprogramaciones!U$14)*$G112:$P112)+N(INDEX($G112:$P112,1,Reprogramaciones!U$14))*IF(Reprogramaciones!U$13&gt;=(Reprogramaciones!$T$15+7*(Reprogramaciones!U$14-1))+6,1,IF(MAX(0,NETWORKDAYS.INTL(MAX(E112,(Reprogramaciones!$T$15+7*(Reprogramaciones!U$14-1))),MIN(F112,(Reprogramaciones!$T$15+7*(Reprogramaciones!U$14-1))+6),11))=0,0,MAX(0,NETWORKDAYS.INTL(MAX(E112,(Reprogramaciones!$T$15+7*(Reprogramaciones!U$14-1))),MIN(F112,Reprogramaciones!U$13),11))/MAX(0,NETWORKDAYS.INTL(MAX(E112,(Reprogramaciones!$T$15+7*(Reprogramaciones!U$14-1))),MIN(F112,(Reprogramaciones!$T$15+7*(Reprogramaciones!U$14-1))+6),11))))))))</f>
        <v/>
      </c>
      <c r="CE112" s="1" t="str">
        <f aca="false">IF(OR(NOT(AND(ISNUMBER(E112),ISNUMBER(F112))),$J$2=""),"",IF(Reprogramaciones!V$13&lt;Reprogramaciones!$T$15,0,IF(Reprogramaciones!V$14&gt;10,MIN(100,SUM($G112:$P112)),MIN(100,SUMPRODUCT((COLUMN($G112:$P112)-COLUMN($G112)+1&lt;Reprogramaciones!V$14)*$G112:$P112)+N(INDEX($G112:$P112,1,Reprogramaciones!V$14))*IF(Reprogramaciones!V$13&gt;=(Reprogramaciones!$T$15+7*(Reprogramaciones!V$14-1))+6,1,IF(MAX(0,NETWORKDAYS.INTL(MAX(E112,(Reprogramaciones!$T$15+7*(Reprogramaciones!V$14-1))),MIN(F112,(Reprogramaciones!$T$15+7*(Reprogramaciones!V$14-1))+6),11))=0,0,MAX(0,NETWORKDAYS.INTL(MAX(E112,(Reprogramaciones!$T$15+7*(Reprogramaciones!V$14-1))),MIN(F112,Reprogramaciones!V$13),11))/MAX(0,NETWORKDAYS.INTL(MAX(E112,(Reprogramaciones!$T$15+7*(Reprogramaciones!V$14-1))),MIN(F112,(Reprogramaciones!$T$15+7*(Reprogramaciones!V$14-1))+6),11))))))))</f>
        <v/>
      </c>
      <c r="CF112" s="1" t="str">
        <f aca="false">IF(OR(NOT(AND(ISNUMBER(E112),ISNUMBER(F112))),$J$2=""),"",IF(Reprogramaciones!W$13&lt;Reprogramaciones!$T$15,0,IF(Reprogramaciones!W$14&gt;10,MIN(100,SUM($G112:$P112)),MIN(100,SUMPRODUCT((COLUMN($G112:$P112)-COLUMN($G112)+1&lt;Reprogramaciones!W$14)*$G112:$P112)+N(INDEX($G112:$P112,1,Reprogramaciones!W$14))*IF(Reprogramaciones!W$13&gt;=(Reprogramaciones!$T$15+7*(Reprogramaciones!W$14-1))+6,1,IF(MAX(0,NETWORKDAYS.INTL(MAX(E112,(Reprogramaciones!$T$15+7*(Reprogramaciones!W$14-1))),MIN(F112,(Reprogramaciones!$T$15+7*(Reprogramaciones!W$14-1))+6),11))=0,0,MAX(0,NETWORKDAYS.INTL(MAX(E112,(Reprogramaciones!$T$15+7*(Reprogramaciones!W$14-1))),MIN(F112,Reprogramaciones!W$13),11))/MAX(0,NETWORKDAYS.INTL(MAX(E112,(Reprogramaciones!$T$15+7*(Reprogramaciones!W$14-1))),MIN(F112,(Reprogramaciones!$T$15+7*(Reprogramaciones!W$14-1))+6),11))))))))</f>
        <v/>
      </c>
      <c r="CG112" s="1" t="str">
        <f aca="false">IF(OR(NOT(AND(ISNUMBER(E112),ISNUMBER(F112))),$J$2=""),"",IF(Reprogramaciones!X$13&lt;Reprogramaciones!$T$15,0,IF(Reprogramaciones!X$14&gt;10,MIN(100,SUM($G112:$P112)),MIN(100,SUMPRODUCT((COLUMN($G112:$P112)-COLUMN($G112)+1&lt;Reprogramaciones!X$14)*$G112:$P112)+N(INDEX($G112:$P112,1,Reprogramaciones!X$14))*IF(Reprogramaciones!X$13&gt;=(Reprogramaciones!$T$15+7*(Reprogramaciones!X$14-1))+6,1,IF(MAX(0,NETWORKDAYS.INTL(MAX(E112,(Reprogramaciones!$T$15+7*(Reprogramaciones!X$14-1))),MIN(F112,(Reprogramaciones!$T$15+7*(Reprogramaciones!X$14-1))+6),11))=0,0,MAX(0,NETWORKDAYS.INTL(MAX(E112,(Reprogramaciones!$T$15+7*(Reprogramaciones!X$14-1))),MIN(F112,Reprogramaciones!X$13),11))/MAX(0,NETWORKDAYS.INTL(MAX(E112,(Reprogramaciones!$T$15+7*(Reprogramaciones!X$14-1))),MIN(F112,(Reprogramaciones!$T$15+7*(Reprogramaciones!X$14-1))+6),11))))))))</f>
        <v/>
      </c>
      <c r="CH112" s="1" t="str">
        <f aca="false">IF(OR(NOT(AND(ISNUMBER(E112),ISNUMBER(F112))),$J$2=""),"",IF(Reprogramaciones!Y$13&lt;Reprogramaciones!$T$15,0,IF(Reprogramaciones!Y$14&gt;10,MIN(100,SUM($G112:$P112)),MIN(100,SUMPRODUCT((COLUMN($G112:$P112)-COLUMN($G112)+1&lt;Reprogramaciones!Y$14)*$G112:$P112)+N(INDEX($G112:$P112,1,Reprogramaciones!Y$14))*IF(Reprogramaciones!Y$13&gt;=(Reprogramaciones!$T$15+7*(Reprogramaciones!Y$14-1))+6,1,IF(MAX(0,NETWORKDAYS.INTL(MAX(E112,(Reprogramaciones!$T$15+7*(Reprogramaciones!Y$14-1))),MIN(F112,(Reprogramaciones!$T$15+7*(Reprogramaciones!Y$14-1))+6),11))=0,0,MAX(0,NETWORKDAYS.INTL(MAX(E112,(Reprogramaciones!$T$15+7*(Reprogramaciones!Y$14-1))),MIN(F112,Reprogramaciones!Y$13),11))/MAX(0,NETWORKDAYS.INTL(MAX(E112,(Reprogramaciones!$T$15+7*(Reprogramaciones!Y$14-1))),MIN(F112,(Reprogramaciones!$T$15+7*(Reprogramaciones!Y$14-1))+6),11))))))))</f>
        <v/>
      </c>
      <c r="CI112" s="1" t="str">
        <f aca="false">IF(OR(NOT(AND(ISNUMBER(E112),ISNUMBER(F112))),$J$2=""),"",IF(Reprogramaciones!Z$13&lt;Reprogramaciones!$T$15,0,IF(Reprogramaciones!Z$14&gt;10,MIN(100,SUM($G112:$P112)),MIN(100,SUMPRODUCT((COLUMN($G112:$P112)-COLUMN($G112)+1&lt;Reprogramaciones!Z$14)*$G112:$P112)+N(INDEX($G112:$P112,1,Reprogramaciones!Z$14))*IF(Reprogramaciones!Z$13&gt;=(Reprogramaciones!$T$15+7*(Reprogramaciones!Z$14-1))+6,1,IF(MAX(0,NETWORKDAYS.INTL(MAX(E112,(Reprogramaciones!$T$15+7*(Reprogramaciones!Z$14-1))),MIN(F112,(Reprogramaciones!$T$15+7*(Reprogramaciones!Z$14-1))+6),11))=0,0,MAX(0,NETWORKDAYS.INTL(MAX(E112,(Reprogramaciones!$T$15+7*(Reprogramaciones!Z$14-1))),MIN(F112,Reprogramaciones!Z$13),11))/MAX(0,NETWORKDAYS.INTL(MAX(E112,(Reprogramaciones!$T$15+7*(Reprogramaciones!Z$14-1))),MIN(F112,(Reprogramaciones!$T$15+7*(Reprogramaciones!Z$14-1))+6),11))))))))</f>
        <v/>
      </c>
      <c r="CJ112" s="1" t="str">
        <f aca="false">IF(OR(OR(NOT(AND(ISNUMBER(E112),ISNUMBER(F112))),$J$2=""),1&gt;Reprogramaciones!$K$16),"",IF(ROUND(SUM($Q112:Q112),1)&gt;=99.5,100,MIN(100,ROUND(SUM($Q112:Q112),1))))</f>
        <v/>
      </c>
      <c r="CK112" s="1" t="str">
        <f aca="false">IF(OR(OR(NOT(AND(ISNUMBER(E112),ISNUMBER(F112))),$J$2=""),2&gt;Reprogramaciones!$K$16),"",IF(ROUND(SUM($Q112:R112),1)&gt;=99.5,100,MIN(100,ROUND(SUM($Q112:R112),1))))</f>
        <v/>
      </c>
      <c r="CL112" s="1" t="str">
        <f aca="false">IF(OR(OR(NOT(AND(ISNUMBER(E112),ISNUMBER(F112))),$J$2=""),3&gt;Reprogramaciones!$K$16),"",IF(ROUND(SUM($Q112:S112),1)&gt;=99.5,100,MIN(100,ROUND(SUM($Q112:S112),1))))</f>
        <v/>
      </c>
      <c r="CM112" s="1" t="str">
        <f aca="false">IF(OR(OR(NOT(AND(ISNUMBER(E112),ISNUMBER(F112))),$J$2=""),4&gt;Reprogramaciones!$K$16),"",IF(ROUND(SUM($Q112:T112),1)&gt;=99.5,100,MIN(100,ROUND(SUM($Q112:T112),1))))</f>
        <v/>
      </c>
      <c r="CN112" s="1" t="str">
        <f aca="false">IF(OR(OR(NOT(AND(ISNUMBER(E112),ISNUMBER(F112))),$J$2=""),5&gt;Reprogramaciones!$K$16),"",IF(ROUND(SUM($Q112:U112),1)&gt;=99.5,100,MIN(100,ROUND(SUM($Q112:U112),1))))</f>
        <v/>
      </c>
      <c r="CO112" s="1" t="str">
        <f aca="false">IF(OR(OR(NOT(AND(ISNUMBER(E112),ISNUMBER(F112))),$J$2=""),6&gt;Reprogramaciones!$K$16),"",IF(ROUND(SUM($Q112:V112),1)&gt;=99.5,100,MIN(100,ROUND(SUM($Q112:V112),1))))</f>
        <v/>
      </c>
      <c r="CP112" s="1" t="str">
        <f aca="false">IF(OR(OR(NOT(AND(ISNUMBER(E112),ISNUMBER(F112))),$J$2=""),7&gt;Reprogramaciones!$K$16),"",IF(ROUND(SUM($Q112:W112),1)&gt;=99.5,100,MIN(100,ROUND(SUM($Q112:W112),1))))</f>
        <v/>
      </c>
      <c r="CQ112" s="1" t="str">
        <f aca="false">IF(OR(OR(NOT(AND(ISNUMBER(E112),ISNUMBER(F112))),$J$2=""),8&gt;Reprogramaciones!$K$16),"",IF(ROUND(SUM($Q112:X112),1)&gt;=99.5,100,MIN(100,ROUND(SUM($Q112:X112),1))))</f>
        <v/>
      </c>
      <c r="CR112" s="1" t="str">
        <f aca="false">IF(OR(OR(NOT(AND(ISNUMBER(E112),ISNUMBER(F112))),$J$2=""),9&gt;Reprogramaciones!$K$16),"",IF(ROUND(SUM($Q112:Y112),1)&gt;=99.5,100,MIN(100,ROUND(SUM($Q112:Y112),1))))</f>
        <v/>
      </c>
      <c r="CS112" s="1" t="str">
        <f aca="false">IF(OR(OR(NOT(AND(ISNUMBER(E112),ISNUMBER(F112))),$J$2=""),10&gt;Reprogramaciones!$K$16),"",IF(ROUND(SUM($Q112:Z112),1)&gt;=99.5,100,MIN(100,ROUND(SUM($Q112:Z112),1))))</f>
        <v/>
      </c>
      <c r="CT112" s="1" t="str">
        <f aca="false">IF(OR(OR(NOT(AND(ISNUMBER(E112),ISNUMBER(F112))),$J$2=""),11&gt;Reprogramaciones!$K$16),"",IF(ROUND(SUM($Q112:AA112),1)&gt;=99.5,100,MIN(100,ROUND(SUM($Q112:AA112),1))))</f>
        <v/>
      </c>
      <c r="CU112" s="1" t="str">
        <f aca="false">IF(OR(OR(NOT(AND(ISNUMBER(E112),ISNUMBER(F112))),$J$2=""),12&gt;Reprogramaciones!$K$16),"",IF(ROUND(SUM($Q112:AB112),1)&gt;=99.5,100,MIN(100,ROUND(SUM($Q112:AB112),1))))</f>
        <v/>
      </c>
      <c r="CV112" s="1" t="str">
        <f aca="false">IF(OR(OR(NOT(AND(ISNUMBER(E112),ISNUMBER(F112))),$J$2=""),13&gt;Reprogramaciones!$K$16),"",IF(ROUND(SUM($Q112:AC112),1)&gt;=99.5,100,MIN(100,ROUND(SUM($Q112:AC112),1))))</f>
        <v/>
      </c>
      <c r="CW112" s="1" t="str">
        <f aca="false">IF(OR(OR(NOT(AND(ISNUMBER(E112),ISNUMBER(F112))),$J$2=""),14&gt;Reprogramaciones!$K$16),"",IF(ROUND(SUM($Q112:AD112),1)&gt;=99.5,100,MIN(100,ROUND(SUM($Q112:AD112),1))))</f>
        <v/>
      </c>
      <c r="CX112" s="1" t="str">
        <f aca="false">IF(OR(OR(NOT(AND(ISNUMBER(E112),ISNUMBER(F112))),$J$2=""),15&gt;Reprogramaciones!$K$16),"",IF(ROUND(SUM($Q112:AE112),1)&gt;=99.5,100,MIN(100,ROUND(SUM($Q112:AE112),1))))</f>
        <v/>
      </c>
      <c r="CY112" s="1" t="str">
        <f aca="false">IF(OR(OR(NOT(AND(ISNUMBER(E112),ISNUMBER(F112))),$J$2=""),16&gt;Reprogramaciones!$K$16),"",IF(ROUND(SUM($Q112:AF112),1)&gt;=99.5,100,MIN(100,ROUND(SUM($Q112:AF112),1))))</f>
        <v/>
      </c>
      <c r="CZ112" s="1" t="str">
        <f aca="false">IF(D112&lt;&gt;"",D112,IF(B112&lt;&gt;"","Contractual",CZ111))</f>
        <v>Contractual</v>
      </c>
      <c r="DA112" s="1" t="str">
        <f aca="false">IF(OR(NOT(AND(ISNUMBER(E112),ISNUMBER(F112))),$J$2=""),"",IF(Reprogramaciones!$Q$15&lt;Reprogramaciones!$T$15,0,IF(Reprogramaciones!$S$15&gt;10,MIN(100,SUM($G112:$P112)),MIN(100,SUMPRODUCT((COLUMN($G112:$P112)-COLUMN($G112)+1&lt;Reprogramaciones!$S$15)*$G112:$P112)+N(INDEX($G112:$P112,1,Reprogramaciones!$S$15))*IF(Reprogramaciones!$Q$15&gt;=(Reprogramaciones!$T$15+7*(Reprogramaciones!$S$15-1))+6,1,IF(MAX(0,NETWORKDAYS.INTL(MAX(E112,(Reprogramaciones!$T$15+7*(Reprogramaciones!$S$15-1))),MIN(F112,(Reprogramaciones!$T$15+7*(Reprogramaciones!$S$15-1))+6),11))=0,0,MAX(0,NETWORKDAYS.INTL(MAX(E112,(Reprogramaciones!$T$15+7*(Reprogramaciones!$S$15-1))),MIN(F112,Reprogramaciones!$Q$15),11))/MAX(0,NETWORKDAYS.INTL(MAX(E112,(Reprogramaciones!$T$15+7*(Reprogramaciones!$S$15-1))),MIN(F112,(Reprogramaciones!$T$15+7*(Reprogramaciones!$S$15-1))+6),11))))))))</f>
        <v/>
      </c>
    </row>
    <row r="113" customFormat="false" ht="15" hidden="false" customHeight="false" outlineLevel="0" collapsed="false">
      <c r="A113" s="32"/>
      <c r="B113" s="33"/>
      <c r="C113" s="33"/>
      <c r="D113" s="34"/>
      <c r="E113" s="35"/>
      <c r="F113" s="35"/>
      <c r="G113" s="36" t="str">
        <f aca="false">IF(OR(NOT(AND(ISNUMBER(E113),ISNUMBER(F113))),$J$2=""),"",IF(Reprogramaciones!K$9&lt;E113,0,IF(NETWORKDAYS.INTL(E113,F113,11)=0,IF(Reprogramaciones!K$9&gt;=F113,100,0),ROUND(NETWORKDAYS.INTL(E113,MIN(F113,Reprogramaciones!K$9),11)/NETWORKDAYS.INTL(E113,F113,11)*100,1)))-0)</f>
        <v/>
      </c>
      <c r="H113" s="36" t="str">
        <f aca="false">IF(OR(NOT(AND(ISNUMBER(E113),ISNUMBER(F113))),$J$2=""),"",IF(Reprogramaciones!L$9&lt;E113,0,IF(NETWORKDAYS.INTL(E113,F113,11)=0,IF(Reprogramaciones!L$9&gt;=F113,100,0),ROUND(NETWORKDAYS.INTL(E113,MIN(F113,Reprogramaciones!L$9),11)/NETWORKDAYS.INTL(E113,F113,11)*100,1)))-IF(Reprogramaciones!K$9&lt;E113,0,IF(NETWORKDAYS.INTL(E113,F113,11)=0,IF(Reprogramaciones!K$9&gt;=F113,100,0),ROUND(NETWORKDAYS.INTL(E113,MIN(F113,Reprogramaciones!K$9),11)/NETWORKDAYS.INTL(E113,F113,11)*100,1))))</f>
        <v/>
      </c>
      <c r="I113" s="36" t="str">
        <f aca="false">IF(OR(NOT(AND(ISNUMBER(E113),ISNUMBER(F113))),$J$2=""),"",IF(Reprogramaciones!M$9&lt;E113,0,IF(NETWORKDAYS.INTL(E113,F113,11)=0,IF(Reprogramaciones!M$9&gt;=F113,100,0),ROUND(NETWORKDAYS.INTL(E113,MIN(F113,Reprogramaciones!M$9),11)/NETWORKDAYS.INTL(E113,F113,11)*100,1)))-IF(Reprogramaciones!L$9&lt;E113,0,IF(NETWORKDAYS.INTL(E113,F113,11)=0,IF(Reprogramaciones!L$9&gt;=F113,100,0),ROUND(NETWORKDAYS.INTL(E113,MIN(F113,Reprogramaciones!L$9),11)/NETWORKDAYS.INTL(E113,F113,11)*100,1))))</f>
        <v/>
      </c>
      <c r="J113" s="36" t="str">
        <f aca="false">IF(OR(NOT(AND(ISNUMBER(E113),ISNUMBER(F113))),$J$2=""),"",IF(Reprogramaciones!N$9&lt;E113,0,IF(NETWORKDAYS.INTL(E113,F113,11)=0,IF(Reprogramaciones!N$9&gt;=F113,100,0),ROUND(NETWORKDAYS.INTL(E113,MIN(F113,Reprogramaciones!N$9),11)/NETWORKDAYS.INTL(E113,F113,11)*100,1)))-IF(Reprogramaciones!M$9&lt;E113,0,IF(NETWORKDAYS.INTL(E113,F113,11)=0,IF(Reprogramaciones!M$9&gt;=F113,100,0),ROUND(NETWORKDAYS.INTL(E113,MIN(F113,Reprogramaciones!M$9),11)/NETWORKDAYS.INTL(E113,F113,11)*100,1))))</f>
        <v/>
      </c>
      <c r="K113" s="36" t="str">
        <f aca="false">IF(OR(NOT(AND(ISNUMBER(E113),ISNUMBER(F113))),$J$2=""),"",IF(Reprogramaciones!O$9&lt;E113,0,IF(NETWORKDAYS.INTL(E113,F113,11)=0,IF(Reprogramaciones!O$9&gt;=F113,100,0),ROUND(NETWORKDAYS.INTL(E113,MIN(F113,Reprogramaciones!O$9),11)/NETWORKDAYS.INTL(E113,F113,11)*100,1)))-IF(Reprogramaciones!N$9&lt;E113,0,IF(NETWORKDAYS.INTL(E113,F113,11)=0,IF(Reprogramaciones!N$9&gt;=F113,100,0),ROUND(NETWORKDAYS.INTL(E113,MIN(F113,Reprogramaciones!N$9),11)/NETWORKDAYS.INTL(E113,F113,11)*100,1))))</f>
        <v/>
      </c>
      <c r="L113" s="36" t="str">
        <f aca="false">IF(OR(NOT(AND(ISNUMBER(E113),ISNUMBER(F113))),$J$2=""),"",IF(Reprogramaciones!P$9&lt;E113,0,IF(NETWORKDAYS.INTL(E113,F113,11)=0,IF(Reprogramaciones!P$9&gt;=F113,100,0),ROUND(NETWORKDAYS.INTL(E113,MIN(F113,Reprogramaciones!P$9),11)/NETWORKDAYS.INTL(E113,F113,11)*100,1)))-IF(Reprogramaciones!O$9&lt;E113,0,IF(NETWORKDAYS.INTL(E113,F113,11)=0,IF(Reprogramaciones!O$9&gt;=F113,100,0),ROUND(NETWORKDAYS.INTL(E113,MIN(F113,Reprogramaciones!O$9),11)/NETWORKDAYS.INTL(E113,F113,11)*100,1))))</f>
        <v/>
      </c>
      <c r="M113" s="36" t="str">
        <f aca="false">IF(OR(NOT(AND(ISNUMBER(E113),ISNUMBER(F113))),$J$2=""),"",IF(Reprogramaciones!Q$9&lt;E113,0,IF(NETWORKDAYS.INTL(E113,F113,11)=0,IF(Reprogramaciones!Q$9&gt;=F113,100,0),ROUND(NETWORKDAYS.INTL(E113,MIN(F113,Reprogramaciones!Q$9),11)/NETWORKDAYS.INTL(E113,F113,11)*100,1)))-IF(Reprogramaciones!P$9&lt;E113,0,IF(NETWORKDAYS.INTL(E113,F113,11)=0,IF(Reprogramaciones!P$9&gt;=F113,100,0),ROUND(NETWORKDAYS.INTL(E113,MIN(F113,Reprogramaciones!P$9),11)/NETWORKDAYS.INTL(E113,F113,11)*100,1))))</f>
        <v/>
      </c>
      <c r="N113" s="36" t="str">
        <f aca="false">IF(OR(NOT(AND(ISNUMBER(E113),ISNUMBER(F113))),$J$2=""),"",IF(Reprogramaciones!R$9&lt;E113,0,IF(NETWORKDAYS.INTL(E113,F113,11)=0,IF(Reprogramaciones!R$9&gt;=F113,100,0),ROUND(NETWORKDAYS.INTL(E113,MIN(F113,Reprogramaciones!R$9),11)/NETWORKDAYS.INTL(E113,F113,11)*100,1)))-IF(Reprogramaciones!Q$9&lt;E113,0,IF(NETWORKDAYS.INTL(E113,F113,11)=0,IF(Reprogramaciones!Q$9&gt;=F113,100,0),ROUND(NETWORKDAYS.INTL(E113,MIN(F113,Reprogramaciones!Q$9),11)/NETWORKDAYS.INTL(E113,F113,11)*100,1))))</f>
        <v/>
      </c>
      <c r="O113" s="36" t="str">
        <f aca="false">IF(OR(NOT(AND(ISNUMBER(E113),ISNUMBER(F113))),$J$2=""),"",IF(Reprogramaciones!S$9&lt;E113,0,IF(NETWORKDAYS.INTL(E113,F113,11)=0,IF(Reprogramaciones!S$9&gt;=F113,100,0),ROUND(NETWORKDAYS.INTL(E113,MIN(F113,Reprogramaciones!S$9),11)/NETWORKDAYS.INTL(E113,F113,11)*100,1)))-IF(Reprogramaciones!R$9&lt;E113,0,IF(NETWORKDAYS.INTL(E113,F113,11)=0,IF(Reprogramaciones!R$9&gt;=F113,100,0),ROUND(NETWORKDAYS.INTL(E113,MIN(F113,Reprogramaciones!R$9),11)/NETWORKDAYS.INTL(E113,F113,11)*100,1))))</f>
        <v/>
      </c>
      <c r="P113" s="36" t="str">
        <f aca="false">IF(OR(NOT(AND(ISNUMBER(E113),ISNUMBER(F113))),$J$2=""),"",IF(Reprogramaciones!T$9&lt;E113,0,IF(NETWORKDAYS.INTL(E113,F113,11)=0,IF(Reprogramaciones!T$9&gt;=F113,100,0),ROUND(NETWORKDAYS.INTL(E113,MIN(F113,Reprogramaciones!T$9),11)/NETWORKDAYS.INTL(E113,F113,11)*100,1)))-IF(Reprogramaciones!S$9&lt;E113,0,IF(NETWORKDAYS.INTL(E113,F113,11)=0,IF(Reprogramaciones!S$9&gt;=F113,100,0),ROUND(NETWORKDAYS.INTL(E113,MIN(F113,Reprogramaciones!S$9),11)/NETWORKDAYS.INTL(E113,F113,11)*100,1))))</f>
        <v/>
      </c>
      <c r="Q113" s="37"/>
      <c r="R113" s="37"/>
      <c r="S113" s="37"/>
      <c r="T113" s="37"/>
      <c r="U113" s="37"/>
      <c r="V113" s="37"/>
      <c r="W113" s="37"/>
      <c r="X113" s="37"/>
      <c r="Y113" s="37"/>
      <c r="Z113" s="37"/>
      <c r="AA113" s="37"/>
      <c r="AB113" s="37"/>
      <c r="AC113" s="37"/>
      <c r="AD113" s="37"/>
      <c r="AE113" s="37"/>
      <c r="AF113" s="37"/>
      <c r="AG113" s="38" t="str">
        <f aca="false">IF(AND(ISNUMBER(E113),ISNUMBER(F113)),NETWORKDAYS.INTL(E113,F113,11),"")</f>
        <v/>
      </c>
      <c r="AH113" s="38" t="str">
        <f aca="false">IF(OR(NOT(AND(ISNUMBER(E113),ISNUMBER(F113))),$J$2=""),"",IF(Reprogramaciones!$P$15&lt;Reprogramaciones!$T$15,0,IF(Reprogramaciones!$R$15&gt;10,MIN(100,SUM($G113:$P113)),MIN(100,SUMPRODUCT((COLUMN($G113:$P113)-COLUMN($G113)+1&lt;Reprogramaciones!$R$15)*$G113:$P113)+N(INDEX($G113:$P113,1,Reprogramaciones!$R$15))*IF(Reprogramaciones!$P$15&gt;=(Reprogramaciones!$T$15+7*(Reprogramaciones!$R$15-1))+6,1,IF(MAX(0,NETWORKDAYS.INTL(MAX(E113,(Reprogramaciones!$T$15+7*(Reprogramaciones!$R$15-1))),MIN(F113,(Reprogramaciones!$T$15+7*(Reprogramaciones!$R$15-1))+6),11))=0,0,MAX(0,NETWORKDAYS.INTL(MAX(E113,(Reprogramaciones!$T$15+7*(Reprogramaciones!$R$15-1))),MIN(F113,Reprogramaciones!$P$15),11))/MAX(0,NETWORKDAYS.INTL(MAX(E113,(Reprogramaciones!$T$15+7*(Reprogramaciones!$R$15-1))),MIN(F113,(Reprogramaciones!$T$15+7*(Reprogramaciones!$R$15-1))+6),11))))))))</f>
        <v/>
      </c>
      <c r="AI113" s="38" t="str">
        <f aca="false">IF(COUNT($Q113:$AF113)=0,"",IF(ROUND(SUM($Q113:$AF113),1)&gt;=99.5,100,MIN(100,ROUND(SUM($Q113:$AF113),1))))</f>
        <v/>
      </c>
      <c r="AJ113" s="38" t="str">
        <f aca="false">IF(OR(AH113="",AI113=""),"",AI113-AH113)</f>
        <v/>
      </c>
      <c r="AK113" s="39" t="str">
        <f aca="true">IF(AH113="","",IF(OR(Ficha!$C$10="Suspendida",Ficha!$C$10="Cancelada"),Ficha!$C$10,IF(AND(AI113&lt;&gt;"",N(AI113)&gt;=100),"Completada",IF(AND(E113&gt;TODAY(),N(AI113)=0),"Por iniciar",IF(N(AI113)+0.5&lt;AH113,"Retrasada",IF(N(AI113)+0.5&lt;DA113,IF(Reprogramaciones!$K$15&gt;0,"Al día · Sem "&amp;Reprogramaciones!$K$15&amp;" en curso","Al día · en curso"),"A tiempo"))))))</f>
        <v/>
      </c>
      <c r="AL113" s="39" t="str">
        <f aca="true">IF(AND(A113="",AND(B113="",C113="",E113="",F113="",COUNT(Q113:AF113)=0)),"",IF(AND(B113="",C113="",E113="",F113="",COUNT(Q113:AF113)=0),"Falta la partida o subpartida",IF(AND(A113&lt;&gt;"",COUNTIF($A$6:$A$305,A113)&gt;1),"Ítem repetido",IF(AND(C113="",E113="",F113="",COUNT(Q113:AF113)=0),"Título de partida",IF(OR(E113="",F113=""),"Faltan fechas",IF(OR(ISTEXT(E113),ISTEXT(F113)),"Fecha escrita como texto: usa dd/mm/aaaa",IF(F113&lt;E113,"Fin antes del inicio",IF(IF($J$2="",FALSE(),OR(E113&lt;$J$2,F113&gt;Reprogramaciones!$T$15+69)),"Fuera de las 10 semanas",IF(ABS(SUM(G113:P113)-100)&gt;0.5,"La meta no suma 100%",IF(ROUND(SUM(Q113:AF113),1)&gt;100.5,"El avance pasa de 100%",IF(MIN(Q113:AF113)&lt;0,"Avance negativo",IF(COUNTA(Q113:AF113)&gt;COUNT(Q113:AF113),"Avance escrito como texto",IF(SUMPRODUCT((Q113:AF113&gt;0)*(Q113:AF113&lt;1))&gt;0,"Avance menor a 1: escribe 50, no 50%",IF(SUMPRODUCT(ISNUMBER(Q113:AF113)*(Reprogramaciones!$K$8:$Z$8&gt;TODAY()))&gt;0,"Avance en semana que aún no llega",IF(AND(N(Reprogramaciones!$E$21)&gt;0,F113&gt;Reprogramaciones!$E$21),"Pasa el fin de la obra: registra una reprogramación",IF(AND(N(Reprogramaciones!$E$21)&gt;0,SUMPRODUCT(ISNUMBER(Q113:AF113)*(Reprogramaciones!$K$8:$Z$8&gt;Reprogramaciones!$E$21))&gt;0),"Avance después del fin de la obra: registra una reprogramación por atraso","OK"))))))))))))))))</f>
        <v/>
      </c>
      <c r="AM113" s="40" t="str">
        <f aca="false">IF(OR(OR(NOT(AND(ISNUMBER(E113),ISNUMBER(F113))),$J$2=""),1&gt;MAX(1,Reprogramaciones!$U$15)),"",IF(Reprogramaciones!K$12&gt;=7,"",IF(OR(BT113-N(0)&gt;0.05,N(Q113)&gt;0),ROUNDDOWN(ROUND(BT113,6),0)&amp;"%"&amp;IF(CJ113="",""," / "&amp;CJ113&amp;"%"),IF(AND(N(0)&gt;=99.95,CJ113&lt;&gt;"",N(CJ113)&lt;100),"Pend. "&amp;CJ113&amp;"%",""))))</f>
        <v/>
      </c>
      <c r="AN113" s="40" t="str">
        <f aca="false">IF(OR(OR(NOT(AND(ISNUMBER(E113),ISNUMBER(F113))),$J$2=""),2&gt;MAX(1,Reprogramaciones!$U$15)),"",IF(Reprogramaciones!L$12&gt;=7,"",IF(OR(BU113-N(BT113)&gt;0.05,N(R113)&gt;0),ROUNDDOWN(ROUND(BU113,6),0)&amp;"%"&amp;IF(CK113="",""," / "&amp;CK113&amp;"%"),IF(AND(N(BT113)&gt;=99.95,CK113&lt;&gt;"",N(CK113)&lt;100),"Pend. "&amp;CK113&amp;"%",""))))</f>
        <v/>
      </c>
      <c r="AO113" s="40" t="str">
        <f aca="false">IF(OR(OR(NOT(AND(ISNUMBER(E113),ISNUMBER(F113))),$J$2=""),3&gt;MAX(1,Reprogramaciones!$U$15)),"",IF(Reprogramaciones!M$12&gt;=7,"",IF(OR(BV113-N(BU113)&gt;0.05,N(S113)&gt;0),ROUNDDOWN(ROUND(BV113,6),0)&amp;"%"&amp;IF(CL113="",""," / "&amp;CL113&amp;"%"),IF(AND(N(BU113)&gt;=99.95,CL113&lt;&gt;"",N(CL113)&lt;100),"Pend. "&amp;CL113&amp;"%",""))))</f>
        <v/>
      </c>
      <c r="AP113" s="40" t="str">
        <f aca="false">IF(OR(OR(NOT(AND(ISNUMBER(E113),ISNUMBER(F113))),$J$2=""),4&gt;MAX(1,Reprogramaciones!$U$15)),"",IF(Reprogramaciones!N$12&gt;=7,"",IF(OR(BW113-N(BV113)&gt;0.05,N(T113)&gt;0),ROUNDDOWN(ROUND(BW113,6),0)&amp;"%"&amp;IF(CM113="",""," / "&amp;CM113&amp;"%"),IF(AND(N(BV113)&gt;=99.95,CM113&lt;&gt;"",N(CM113)&lt;100),"Pend. "&amp;CM113&amp;"%",""))))</f>
        <v/>
      </c>
      <c r="AQ113" s="40" t="str">
        <f aca="false">IF(OR(OR(NOT(AND(ISNUMBER(E113),ISNUMBER(F113))),$J$2=""),5&gt;MAX(1,Reprogramaciones!$U$15)),"",IF(Reprogramaciones!O$12&gt;=7,"",IF(OR(BX113-N(BW113)&gt;0.05,N(U113)&gt;0),ROUNDDOWN(ROUND(BX113,6),0)&amp;"%"&amp;IF(CN113="",""," / "&amp;CN113&amp;"%"),IF(AND(N(BW113)&gt;=99.95,CN113&lt;&gt;"",N(CN113)&lt;100),"Pend. "&amp;CN113&amp;"%",""))))</f>
        <v/>
      </c>
      <c r="AR113" s="40" t="str">
        <f aca="false">IF(OR(OR(NOT(AND(ISNUMBER(E113),ISNUMBER(F113))),$J$2=""),6&gt;MAX(1,Reprogramaciones!$U$15)),"",IF(Reprogramaciones!P$12&gt;=7,"",IF(OR(BY113-N(BX113)&gt;0.05,N(V113)&gt;0),ROUNDDOWN(ROUND(BY113,6),0)&amp;"%"&amp;IF(CO113="",""," / "&amp;CO113&amp;"%"),IF(AND(N(BX113)&gt;=99.95,CO113&lt;&gt;"",N(CO113)&lt;100),"Pend. "&amp;CO113&amp;"%",""))))</f>
        <v/>
      </c>
      <c r="AS113" s="40" t="str">
        <f aca="false">IF(OR(OR(NOT(AND(ISNUMBER(E113),ISNUMBER(F113))),$J$2=""),7&gt;MAX(1,Reprogramaciones!$U$15)),"",IF(Reprogramaciones!Q$12&gt;=7,"",IF(OR(BZ113-N(BY113)&gt;0.05,N(W113)&gt;0),ROUNDDOWN(ROUND(BZ113,6),0)&amp;"%"&amp;IF(CP113="",""," / "&amp;CP113&amp;"%"),IF(AND(N(BY113)&gt;=99.95,CP113&lt;&gt;"",N(CP113)&lt;100),"Pend. "&amp;CP113&amp;"%",""))))</f>
        <v/>
      </c>
      <c r="AT113" s="40" t="str">
        <f aca="false">IF(OR(OR(NOT(AND(ISNUMBER(E113),ISNUMBER(F113))),$J$2=""),8&gt;MAX(1,Reprogramaciones!$U$15)),"",IF(Reprogramaciones!R$12&gt;=7,"",IF(OR(CA113-N(BZ113)&gt;0.05,N(X113)&gt;0),ROUNDDOWN(ROUND(CA113,6),0)&amp;"%"&amp;IF(CQ113="",""," / "&amp;CQ113&amp;"%"),IF(AND(N(BZ113)&gt;=99.95,CQ113&lt;&gt;"",N(CQ113)&lt;100),"Pend. "&amp;CQ113&amp;"%",""))))</f>
        <v/>
      </c>
      <c r="AU113" s="40" t="str">
        <f aca="false">IF(OR(OR(NOT(AND(ISNUMBER(E113),ISNUMBER(F113))),$J$2=""),9&gt;MAX(1,Reprogramaciones!$U$15)),"",IF(Reprogramaciones!S$12&gt;=7,"",IF(OR(CB113-N(CA113)&gt;0.05,N(Y113)&gt;0),ROUNDDOWN(ROUND(CB113,6),0)&amp;"%"&amp;IF(CR113="",""," / "&amp;CR113&amp;"%"),IF(AND(N(CA113)&gt;=99.95,CR113&lt;&gt;"",N(CR113)&lt;100),"Pend. "&amp;CR113&amp;"%",""))))</f>
        <v/>
      </c>
      <c r="AV113" s="40" t="str">
        <f aca="false">IF(OR(OR(NOT(AND(ISNUMBER(E113),ISNUMBER(F113))),$J$2=""),10&gt;MAX(1,Reprogramaciones!$U$15)),"",IF(Reprogramaciones!T$12&gt;=7,"",IF(OR(CC113-N(CB113)&gt;0.05,N(Z113)&gt;0),ROUNDDOWN(ROUND(CC113,6),0)&amp;"%"&amp;IF(CS113="",""," / "&amp;CS113&amp;"%"),IF(AND(N(CB113)&gt;=99.95,CS113&lt;&gt;"",N(CS113)&lt;100),"Pend. "&amp;CS113&amp;"%",""))))</f>
        <v/>
      </c>
      <c r="AW113" s="40" t="str">
        <f aca="false">IF(OR(OR(NOT(AND(ISNUMBER(E113),ISNUMBER(F113))),$J$2=""),11&gt;MAX(1,Reprogramaciones!$U$15)),"",IF(Reprogramaciones!U$12&gt;=7,"",IF(OR(CD113-N(CC113)&gt;0.05,N(AA113)&gt;0),ROUNDDOWN(ROUND(CD113,6),0)&amp;"%"&amp;IF(CT113="",""," / "&amp;CT113&amp;"%"),IF(AND(N(CC113)&gt;=99.95,CT113&lt;&gt;"",N(CT113)&lt;100),"Pend. "&amp;CT113&amp;"%",""))))</f>
        <v/>
      </c>
      <c r="AX113" s="40" t="str">
        <f aca="false">IF(OR(OR(NOT(AND(ISNUMBER(E113),ISNUMBER(F113))),$J$2=""),12&gt;MAX(1,Reprogramaciones!$U$15)),"",IF(Reprogramaciones!V$12&gt;=7,"",IF(OR(CE113-N(CD113)&gt;0.05,N(AB113)&gt;0),ROUNDDOWN(ROUND(CE113,6),0)&amp;"%"&amp;IF(CU113="",""," / "&amp;CU113&amp;"%"),IF(AND(N(CD113)&gt;=99.95,CU113&lt;&gt;"",N(CU113)&lt;100),"Pend. "&amp;CU113&amp;"%",""))))</f>
        <v/>
      </c>
      <c r="AY113" s="40" t="str">
        <f aca="false">IF(OR(OR(NOT(AND(ISNUMBER(E113),ISNUMBER(F113))),$J$2=""),13&gt;MAX(1,Reprogramaciones!$U$15)),"",IF(Reprogramaciones!W$12&gt;=7,"",IF(OR(CF113-N(CE113)&gt;0.05,N(AC113)&gt;0),ROUNDDOWN(ROUND(CF113,6),0)&amp;"%"&amp;IF(CV113="",""," / "&amp;CV113&amp;"%"),IF(AND(N(CE113)&gt;=99.95,CV113&lt;&gt;"",N(CV113)&lt;100),"Pend. "&amp;CV113&amp;"%",""))))</f>
        <v/>
      </c>
      <c r="AZ113" s="40" t="str">
        <f aca="false">IF(OR(OR(NOT(AND(ISNUMBER(E113),ISNUMBER(F113))),$J$2=""),14&gt;MAX(1,Reprogramaciones!$U$15)),"",IF(Reprogramaciones!X$12&gt;=7,"",IF(OR(CG113-N(CF113)&gt;0.05,N(AD113)&gt;0),ROUNDDOWN(ROUND(CG113,6),0)&amp;"%"&amp;IF(CW113="",""," / "&amp;CW113&amp;"%"),IF(AND(N(CF113)&gt;=99.95,CW113&lt;&gt;"",N(CW113)&lt;100),"Pend. "&amp;CW113&amp;"%",""))))</f>
        <v/>
      </c>
      <c r="BA113" s="40" t="str">
        <f aca="false">IF(OR(OR(NOT(AND(ISNUMBER(E113),ISNUMBER(F113))),$J$2=""),15&gt;MAX(1,Reprogramaciones!$U$15)),"",IF(Reprogramaciones!Y$12&gt;=7,"",IF(OR(CH113-N(CG113)&gt;0.05,N(AE113)&gt;0),ROUNDDOWN(ROUND(CH113,6),0)&amp;"%"&amp;IF(CX113="",""," / "&amp;CX113&amp;"%"),IF(AND(N(CG113)&gt;=99.95,CX113&lt;&gt;"",N(CX113)&lt;100),"Pend. "&amp;CX113&amp;"%",""))))</f>
        <v/>
      </c>
      <c r="BB113" s="40" t="str">
        <f aca="false">IF(OR(OR(NOT(AND(ISNUMBER(E113),ISNUMBER(F113))),$J$2=""),16&gt;MAX(1,Reprogramaciones!$U$15)),"",IF(Reprogramaciones!Z$12&gt;=7,"",IF(OR(CI113-N(CH113)&gt;0.05,N(AF113)&gt;0),ROUNDDOWN(ROUND(CI113,6),0)&amp;"%"&amp;IF(CY113="",""," / "&amp;CY113&amp;"%"),IF(AND(N(CH113)&gt;=99.95,CY113&lt;&gt;"",N(CY113)&lt;100),"Pend. "&amp;CY113&amp;"%",""))))</f>
        <v/>
      </c>
      <c r="BC113" s="31" t="n">
        <f aca="false">IF(AND(ISNUMBER(E113),ISNUMBER(F113)),MAX(1,NETWORKDAYS.INTL(E113,F113,11)),0)</f>
        <v>0</v>
      </c>
      <c r="BD113" s="1" t="str">
        <f aca="false">IF(OR(NOT(AND(ISNUMBER(E113),ISNUMBER(F113))),$J$2=""),"",MIN(100,ROUND(SUM($G113:G113),1)))</f>
        <v/>
      </c>
      <c r="BE113" s="1" t="str">
        <f aca="false">IF(OR(NOT(AND(ISNUMBER(E113),ISNUMBER(F113))),$J$2=""),"",MIN(100,ROUND(SUM($G113:H113),1)))</f>
        <v/>
      </c>
      <c r="BF113" s="1" t="str">
        <f aca="false">IF(OR(NOT(AND(ISNUMBER(E113),ISNUMBER(F113))),$J$2=""),"",MIN(100,ROUND(SUM($G113:I113),1)))</f>
        <v/>
      </c>
      <c r="BG113" s="1" t="str">
        <f aca="false">IF(OR(NOT(AND(ISNUMBER(E113),ISNUMBER(F113))),$J$2=""),"",MIN(100,ROUND(SUM($G113:J113),1)))</f>
        <v/>
      </c>
      <c r="BH113" s="1" t="str">
        <f aca="false">IF(OR(NOT(AND(ISNUMBER(E113),ISNUMBER(F113))),$J$2=""),"",MIN(100,ROUND(SUM($G113:K113),1)))</f>
        <v/>
      </c>
      <c r="BI113" s="1" t="str">
        <f aca="false">IF(OR(NOT(AND(ISNUMBER(E113),ISNUMBER(F113))),$J$2=""),"",MIN(100,ROUND(SUM($G113:L113),1)))</f>
        <v/>
      </c>
      <c r="BJ113" s="1" t="str">
        <f aca="false">IF(OR(NOT(AND(ISNUMBER(E113),ISNUMBER(F113))),$J$2=""),"",MIN(100,ROUND(SUM($G113:M113),1)))</f>
        <v/>
      </c>
      <c r="BK113" s="1" t="str">
        <f aca="false">IF(OR(NOT(AND(ISNUMBER(E113),ISNUMBER(F113))),$J$2=""),"",MIN(100,ROUND(SUM($G113:N113),1)))</f>
        <v/>
      </c>
      <c r="BL113" s="1" t="str">
        <f aca="false">IF(OR(NOT(AND(ISNUMBER(E113),ISNUMBER(F113))),$J$2=""),"",MIN(100,ROUND(SUM($G113:O113),1)))</f>
        <v/>
      </c>
      <c r="BM113" s="1" t="str">
        <f aca="false">IF(OR(NOT(AND(ISNUMBER(E113),ISNUMBER(F113))),$J$2=""),"",MIN(100,ROUND(SUM($G113:P113),1)))</f>
        <v/>
      </c>
      <c r="BN113" s="1" t="str">
        <f aca="false">IF(OR(NOT(AND(ISNUMBER(E113),ISNUMBER(F113))),$J$2=""),"",MIN(100,ROUND(SUM($G113:P113),1)))</f>
        <v/>
      </c>
      <c r="BO113" s="1" t="str">
        <f aca="false">IF(OR(NOT(AND(ISNUMBER(E113),ISNUMBER(F113))),$J$2=""),"",MIN(100,ROUND(SUM($G113:P113),1)))</f>
        <v/>
      </c>
      <c r="BP113" s="1" t="str">
        <f aca="false">IF(OR(NOT(AND(ISNUMBER(E113),ISNUMBER(F113))),$J$2=""),"",MIN(100,ROUND(SUM($G113:P113),1)))</f>
        <v/>
      </c>
      <c r="BQ113" s="1" t="str">
        <f aca="false">IF(OR(NOT(AND(ISNUMBER(E113),ISNUMBER(F113))),$J$2=""),"",MIN(100,ROUND(SUM($G113:P113),1)))</f>
        <v/>
      </c>
      <c r="BR113" s="1" t="str">
        <f aca="false">IF(OR(NOT(AND(ISNUMBER(E113),ISNUMBER(F113))),$J$2=""),"",MIN(100,ROUND(SUM($G113:P113),1)))</f>
        <v/>
      </c>
      <c r="BS113" s="1" t="str">
        <f aca="false">IF(OR(NOT(AND(ISNUMBER(E113),ISNUMBER(F113))),$J$2=""),"",MIN(100,ROUND(SUM($G113:P113),1)))</f>
        <v/>
      </c>
      <c r="BT113" s="1" t="str">
        <f aca="false">IF(OR(NOT(AND(ISNUMBER(E113),ISNUMBER(F113))),$J$2=""),"",IF(Reprogramaciones!K$13&lt;Reprogramaciones!$T$15,0,IF(Reprogramaciones!K$14&gt;10,MIN(100,SUM($G113:$P113)),MIN(100,SUMPRODUCT((COLUMN($G113:$P113)-COLUMN($G113)+1&lt;Reprogramaciones!K$14)*$G113:$P113)+N(INDEX($G113:$P113,1,Reprogramaciones!K$14))*IF(Reprogramaciones!K$13&gt;=(Reprogramaciones!$T$15+7*(Reprogramaciones!K$14-1))+6,1,IF(MAX(0,NETWORKDAYS.INTL(MAX(E113,(Reprogramaciones!$T$15+7*(Reprogramaciones!K$14-1))),MIN(F113,(Reprogramaciones!$T$15+7*(Reprogramaciones!K$14-1))+6),11))=0,0,MAX(0,NETWORKDAYS.INTL(MAX(E113,(Reprogramaciones!$T$15+7*(Reprogramaciones!K$14-1))),MIN(F113,Reprogramaciones!K$13),11))/MAX(0,NETWORKDAYS.INTL(MAX(E113,(Reprogramaciones!$T$15+7*(Reprogramaciones!K$14-1))),MIN(F113,(Reprogramaciones!$T$15+7*(Reprogramaciones!K$14-1))+6),11))))))))</f>
        <v/>
      </c>
      <c r="BU113" s="1" t="str">
        <f aca="false">IF(OR(NOT(AND(ISNUMBER(E113),ISNUMBER(F113))),$J$2=""),"",IF(Reprogramaciones!L$13&lt;Reprogramaciones!$T$15,0,IF(Reprogramaciones!L$14&gt;10,MIN(100,SUM($G113:$P113)),MIN(100,SUMPRODUCT((COLUMN($G113:$P113)-COLUMN($G113)+1&lt;Reprogramaciones!L$14)*$G113:$P113)+N(INDEX($G113:$P113,1,Reprogramaciones!L$14))*IF(Reprogramaciones!L$13&gt;=(Reprogramaciones!$T$15+7*(Reprogramaciones!L$14-1))+6,1,IF(MAX(0,NETWORKDAYS.INTL(MAX(E113,(Reprogramaciones!$T$15+7*(Reprogramaciones!L$14-1))),MIN(F113,(Reprogramaciones!$T$15+7*(Reprogramaciones!L$14-1))+6),11))=0,0,MAX(0,NETWORKDAYS.INTL(MAX(E113,(Reprogramaciones!$T$15+7*(Reprogramaciones!L$14-1))),MIN(F113,Reprogramaciones!L$13),11))/MAX(0,NETWORKDAYS.INTL(MAX(E113,(Reprogramaciones!$T$15+7*(Reprogramaciones!L$14-1))),MIN(F113,(Reprogramaciones!$T$15+7*(Reprogramaciones!L$14-1))+6),11))))))))</f>
        <v/>
      </c>
      <c r="BV113" s="1" t="str">
        <f aca="false">IF(OR(NOT(AND(ISNUMBER(E113),ISNUMBER(F113))),$J$2=""),"",IF(Reprogramaciones!M$13&lt;Reprogramaciones!$T$15,0,IF(Reprogramaciones!M$14&gt;10,MIN(100,SUM($G113:$P113)),MIN(100,SUMPRODUCT((COLUMN($G113:$P113)-COLUMN($G113)+1&lt;Reprogramaciones!M$14)*$G113:$P113)+N(INDEX($G113:$P113,1,Reprogramaciones!M$14))*IF(Reprogramaciones!M$13&gt;=(Reprogramaciones!$T$15+7*(Reprogramaciones!M$14-1))+6,1,IF(MAX(0,NETWORKDAYS.INTL(MAX(E113,(Reprogramaciones!$T$15+7*(Reprogramaciones!M$14-1))),MIN(F113,(Reprogramaciones!$T$15+7*(Reprogramaciones!M$14-1))+6),11))=0,0,MAX(0,NETWORKDAYS.INTL(MAX(E113,(Reprogramaciones!$T$15+7*(Reprogramaciones!M$14-1))),MIN(F113,Reprogramaciones!M$13),11))/MAX(0,NETWORKDAYS.INTL(MAX(E113,(Reprogramaciones!$T$15+7*(Reprogramaciones!M$14-1))),MIN(F113,(Reprogramaciones!$T$15+7*(Reprogramaciones!M$14-1))+6),11))))))))</f>
        <v/>
      </c>
      <c r="BW113" s="1" t="str">
        <f aca="false">IF(OR(NOT(AND(ISNUMBER(E113),ISNUMBER(F113))),$J$2=""),"",IF(Reprogramaciones!N$13&lt;Reprogramaciones!$T$15,0,IF(Reprogramaciones!N$14&gt;10,MIN(100,SUM($G113:$P113)),MIN(100,SUMPRODUCT((COLUMN($G113:$P113)-COLUMN($G113)+1&lt;Reprogramaciones!N$14)*$G113:$P113)+N(INDEX($G113:$P113,1,Reprogramaciones!N$14))*IF(Reprogramaciones!N$13&gt;=(Reprogramaciones!$T$15+7*(Reprogramaciones!N$14-1))+6,1,IF(MAX(0,NETWORKDAYS.INTL(MAX(E113,(Reprogramaciones!$T$15+7*(Reprogramaciones!N$14-1))),MIN(F113,(Reprogramaciones!$T$15+7*(Reprogramaciones!N$14-1))+6),11))=0,0,MAX(0,NETWORKDAYS.INTL(MAX(E113,(Reprogramaciones!$T$15+7*(Reprogramaciones!N$14-1))),MIN(F113,Reprogramaciones!N$13),11))/MAX(0,NETWORKDAYS.INTL(MAX(E113,(Reprogramaciones!$T$15+7*(Reprogramaciones!N$14-1))),MIN(F113,(Reprogramaciones!$T$15+7*(Reprogramaciones!N$14-1))+6),11))))))))</f>
        <v/>
      </c>
      <c r="BX113" s="1" t="str">
        <f aca="false">IF(OR(NOT(AND(ISNUMBER(E113),ISNUMBER(F113))),$J$2=""),"",IF(Reprogramaciones!O$13&lt;Reprogramaciones!$T$15,0,IF(Reprogramaciones!O$14&gt;10,MIN(100,SUM($G113:$P113)),MIN(100,SUMPRODUCT((COLUMN($G113:$P113)-COLUMN($G113)+1&lt;Reprogramaciones!O$14)*$G113:$P113)+N(INDEX($G113:$P113,1,Reprogramaciones!O$14))*IF(Reprogramaciones!O$13&gt;=(Reprogramaciones!$T$15+7*(Reprogramaciones!O$14-1))+6,1,IF(MAX(0,NETWORKDAYS.INTL(MAX(E113,(Reprogramaciones!$T$15+7*(Reprogramaciones!O$14-1))),MIN(F113,(Reprogramaciones!$T$15+7*(Reprogramaciones!O$14-1))+6),11))=0,0,MAX(0,NETWORKDAYS.INTL(MAX(E113,(Reprogramaciones!$T$15+7*(Reprogramaciones!O$14-1))),MIN(F113,Reprogramaciones!O$13),11))/MAX(0,NETWORKDAYS.INTL(MAX(E113,(Reprogramaciones!$T$15+7*(Reprogramaciones!O$14-1))),MIN(F113,(Reprogramaciones!$T$15+7*(Reprogramaciones!O$14-1))+6),11))))))))</f>
        <v/>
      </c>
      <c r="BY113" s="1" t="str">
        <f aca="false">IF(OR(NOT(AND(ISNUMBER(E113),ISNUMBER(F113))),$J$2=""),"",IF(Reprogramaciones!P$13&lt;Reprogramaciones!$T$15,0,IF(Reprogramaciones!P$14&gt;10,MIN(100,SUM($G113:$P113)),MIN(100,SUMPRODUCT((COLUMN($G113:$P113)-COLUMN($G113)+1&lt;Reprogramaciones!P$14)*$G113:$P113)+N(INDEX($G113:$P113,1,Reprogramaciones!P$14))*IF(Reprogramaciones!P$13&gt;=(Reprogramaciones!$T$15+7*(Reprogramaciones!P$14-1))+6,1,IF(MAX(0,NETWORKDAYS.INTL(MAX(E113,(Reprogramaciones!$T$15+7*(Reprogramaciones!P$14-1))),MIN(F113,(Reprogramaciones!$T$15+7*(Reprogramaciones!P$14-1))+6),11))=0,0,MAX(0,NETWORKDAYS.INTL(MAX(E113,(Reprogramaciones!$T$15+7*(Reprogramaciones!P$14-1))),MIN(F113,Reprogramaciones!P$13),11))/MAX(0,NETWORKDAYS.INTL(MAX(E113,(Reprogramaciones!$T$15+7*(Reprogramaciones!P$14-1))),MIN(F113,(Reprogramaciones!$T$15+7*(Reprogramaciones!P$14-1))+6),11))))))))</f>
        <v/>
      </c>
      <c r="BZ113" s="1" t="str">
        <f aca="false">IF(OR(NOT(AND(ISNUMBER(E113),ISNUMBER(F113))),$J$2=""),"",IF(Reprogramaciones!Q$13&lt;Reprogramaciones!$T$15,0,IF(Reprogramaciones!Q$14&gt;10,MIN(100,SUM($G113:$P113)),MIN(100,SUMPRODUCT((COLUMN($G113:$P113)-COLUMN($G113)+1&lt;Reprogramaciones!Q$14)*$G113:$P113)+N(INDEX($G113:$P113,1,Reprogramaciones!Q$14))*IF(Reprogramaciones!Q$13&gt;=(Reprogramaciones!$T$15+7*(Reprogramaciones!Q$14-1))+6,1,IF(MAX(0,NETWORKDAYS.INTL(MAX(E113,(Reprogramaciones!$T$15+7*(Reprogramaciones!Q$14-1))),MIN(F113,(Reprogramaciones!$T$15+7*(Reprogramaciones!Q$14-1))+6),11))=0,0,MAX(0,NETWORKDAYS.INTL(MAX(E113,(Reprogramaciones!$T$15+7*(Reprogramaciones!Q$14-1))),MIN(F113,Reprogramaciones!Q$13),11))/MAX(0,NETWORKDAYS.INTL(MAX(E113,(Reprogramaciones!$T$15+7*(Reprogramaciones!Q$14-1))),MIN(F113,(Reprogramaciones!$T$15+7*(Reprogramaciones!Q$14-1))+6),11))))))))</f>
        <v/>
      </c>
      <c r="CA113" s="1" t="str">
        <f aca="false">IF(OR(NOT(AND(ISNUMBER(E113),ISNUMBER(F113))),$J$2=""),"",IF(Reprogramaciones!R$13&lt;Reprogramaciones!$T$15,0,IF(Reprogramaciones!R$14&gt;10,MIN(100,SUM($G113:$P113)),MIN(100,SUMPRODUCT((COLUMN($G113:$P113)-COLUMN($G113)+1&lt;Reprogramaciones!R$14)*$G113:$P113)+N(INDEX($G113:$P113,1,Reprogramaciones!R$14))*IF(Reprogramaciones!R$13&gt;=(Reprogramaciones!$T$15+7*(Reprogramaciones!R$14-1))+6,1,IF(MAX(0,NETWORKDAYS.INTL(MAX(E113,(Reprogramaciones!$T$15+7*(Reprogramaciones!R$14-1))),MIN(F113,(Reprogramaciones!$T$15+7*(Reprogramaciones!R$14-1))+6),11))=0,0,MAX(0,NETWORKDAYS.INTL(MAX(E113,(Reprogramaciones!$T$15+7*(Reprogramaciones!R$14-1))),MIN(F113,Reprogramaciones!R$13),11))/MAX(0,NETWORKDAYS.INTL(MAX(E113,(Reprogramaciones!$T$15+7*(Reprogramaciones!R$14-1))),MIN(F113,(Reprogramaciones!$T$15+7*(Reprogramaciones!R$14-1))+6),11))))))))</f>
        <v/>
      </c>
      <c r="CB113" s="1" t="str">
        <f aca="false">IF(OR(NOT(AND(ISNUMBER(E113),ISNUMBER(F113))),$J$2=""),"",IF(Reprogramaciones!S$13&lt;Reprogramaciones!$T$15,0,IF(Reprogramaciones!S$14&gt;10,MIN(100,SUM($G113:$P113)),MIN(100,SUMPRODUCT((COLUMN($G113:$P113)-COLUMN($G113)+1&lt;Reprogramaciones!S$14)*$G113:$P113)+N(INDEX($G113:$P113,1,Reprogramaciones!S$14))*IF(Reprogramaciones!S$13&gt;=(Reprogramaciones!$T$15+7*(Reprogramaciones!S$14-1))+6,1,IF(MAX(0,NETWORKDAYS.INTL(MAX(E113,(Reprogramaciones!$T$15+7*(Reprogramaciones!S$14-1))),MIN(F113,(Reprogramaciones!$T$15+7*(Reprogramaciones!S$14-1))+6),11))=0,0,MAX(0,NETWORKDAYS.INTL(MAX(E113,(Reprogramaciones!$T$15+7*(Reprogramaciones!S$14-1))),MIN(F113,Reprogramaciones!S$13),11))/MAX(0,NETWORKDAYS.INTL(MAX(E113,(Reprogramaciones!$T$15+7*(Reprogramaciones!S$14-1))),MIN(F113,(Reprogramaciones!$T$15+7*(Reprogramaciones!S$14-1))+6),11))))))))</f>
        <v/>
      </c>
      <c r="CC113" s="1" t="str">
        <f aca="false">IF(OR(NOT(AND(ISNUMBER(E113),ISNUMBER(F113))),$J$2=""),"",IF(Reprogramaciones!T$13&lt;Reprogramaciones!$T$15,0,IF(Reprogramaciones!T$14&gt;10,MIN(100,SUM($G113:$P113)),MIN(100,SUMPRODUCT((COLUMN($G113:$P113)-COLUMN($G113)+1&lt;Reprogramaciones!T$14)*$G113:$P113)+N(INDEX($G113:$P113,1,Reprogramaciones!T$14))*IF(Reprogramaciones!T$13&gt;=(Reprogramaciones!$T$15+7*(Reprogramaciones!T$14-1))+6,1,IF(MAX(0,NETWORKDAYS.INTL(MAX(E113,(Reprogramaciones!$T$15+7*(Reprogramaciones!T$14-1))),MIN(F113,(Reprogramaciones!$T$15+7*(Reprogramaciones!T$14-1))+6),11))=0,0,MAX(0,NETWORKDAYS.INTL(MAX(E113,(Reprogramaciones!$T$15+7*(Reprogramaciones!T$14-1))),MIN(F113,Reprogramaciones!T$13),11))/MAX(0,NETWORKDAYS.INTL(MAX(E113,(Reprogramaciones!$T$15+7*(Reprogramaciones!T$14-1))),MIN(F113,(Reprogramaciones!$T$15+7*(Reprogramaciones!T$14-1))+6),11))))))))</f>
        <v/>
      </c>
      <c r="CD113" s="1" t="str">
        <f aca="false">IF(OR(NOT(AND(ISNUMBER(E113),ISNUMBER(F113))),$J$2=""),"",IF(Reprogramaciones!U$13&lt;Reprogramaciones!$T$15,0,IF(Reprogramaciones!U$14&gt;10,MIN(100,SUM($G113:$P113)),MIN(100,SUMPRODUCT((COLUMN($G113:$P113)-COLUMN($G113)+1&lt;Reprogramaciones!U$14)*$G113:$P113)+N(INDEX($G113:$P113,1,Reprogramaciones!U$14))*IF(Reprogramaciones!U$13&gt;=(Reprogramaciones!$T$15+7*(Reprogramaciones!U$14-1))+6,1,IF(MAX(0,NETWORKDAYS.INTL(MAX(E113,(Reprogramaciones!$T$15+7*(Reprogramaciones!U$14-1))),MIN(F113,(Reprogramaciones!$T$15+7*(Reprogramaciones!U$14-1))+6),11))=0,0,MAX(0,NETWORKDAYS.INTL(MAX(E113,(Reprogramaciones!$T$15+7*(Reprogramaciones!U$14-1))),MIN(F113,Reprogramaciones!U$13),11))/MAX(0,NETWORKDAYS.INTL(MAX(E113,(Reprogramaciones!$T$15+7*(Reprogramaciones!U$14-1))),MIN(F113,(Reprogramaciones!$T$15+7*(Reprogramaciones!U$14-1))+6),11))))))))</f>
        <v/>
      </c>
      <c r="CE113" s="1" t="str">
        <f aca="false">IF(OR(NOT(AND(ISNUMBER(E113),ISNUMBER(F113))),$J$2=""),"",IF(Reprogramaciones!V$13&lt;Reprogramaciones!$T$15,0,IF(Reprogramaciones!V$14&gt;10,MIN(100,SUM($G113:$P113)),MIN(100,SUMPRODUCT((COLUMN($G113:$P113)-COLUMN($G113)+1&lt;Reprogramaciones!V$14)*$G113:$P113)+N(INDEX($G113:$P113,1,Reprogramaciones!V$14))*IF(Reprogramaciones!V$13&gt;=(Reprogramaciones!$T$15+7*(Reprogramaciones!V$14-1))+6,1,IF(MAX(0,NETWORKDAYS.INTL(MAX(E113,(Reprogramaciones!$T$15+7*(Reprogramaciones!V$14-1))),MIN(F113,(Reprogramaciones!$T$15+7*(Reprogramaciones!V$14-1))+6),11))=0,0,MAX(0,NETWORKDAYS.INTL(MAX(E113,(Reprogramaciones!$T$15+7*(Reprogramaciones!V$14-1))),MIN(F113,Reprogramaciones!V$13),11))/MAX(0,NETWORKDAYS.INTL(MAX(E113,(Reprogramaciones!$T$15+7*(Reprogramaciones!V$14-1))),MIN(F113,(Reprogramaciones!$T$15+7*(Reprogramaciones!V$14-1))+6),11))))))))</f>
        <v/>
      </c>
      <c r="CF113" s="1" t="str">
        <f aca="false">IF(OR(NOT(AND(ISNUMBER(E113),ISNUMBER(F113))),$J$2=""),"",IF(Reprogramaciones!W$13&lt;Reprogramaciones!$T$15,0,IF(Reprogramaciones!W$14&gt;10,MIN(100,SUM($G113:$P113)),MIN(100,SUMPRODUCT((COLUMN($G113:$P113)-COLUMN($G113)+1&lt;Reprogramaciones!W$14)*$G113:$P113)+N(INDEX($G113:$P113,1,Reprogramaciones!W$14))*IF(Reprogramaciones!W$13&gt;=(Reprogramaciones!$T$15+7*(Reprogramaciones!W$14-1))+6,1,IF(MAX(0,NETWORKDAYS.INTL(MAX(E113,(Reprogramaciones!$T$15+7*(Reprogramaciones!W$14-1))),MIN(F113,(Reprogramaciones!$T$15+7*(Reprogramaciones!W$14-1))+6),11))=0,0,MAX(0,NETWORKDAYS.INTL(MAX(E113,(Reprogramaciones!$T$15+7*(Reprogramaciones!W$14-1))),MIN(F113,Reprogramaciones!W$13),11))/MAX(0,NETWORKDAYS.INTL(MAX(E113,(Reprogramaciones!$T$15+7*(Reprogramaciones!W$14-1))),MIN(F113,(Reprogramaciones!$T$15+7*(Reprogramaciones!W$14-1))+6),11))))))))</f>
        <v/>
      </c>
      <c r="CG113" s="1" t="str">
        <f aca="false">IF(OR(NOT(AND(ISNUMBER(E113),ISNUMBER(F113))),$J$2=""),"",IF(Reprogramaciones!X$13&lt;Reprogramaciones!$T$15,0,IF(Reprogramaciones!X$14&gt;10,MIN(100,SUM($G113:$P113)),MIN(100,SUMPRODUCT((COLUMN($G113:$P113)-COLUMN($G113)+1&lt;Reprogramaciones!X$14)*$G113:$P113)+N(INDEX($G113:$P113,1,Reprogramaciones!X$14))*IF(Reprogramaciones!X$13&gt;=(Reprogramaciones!$T$15+7*(Reprogramaciones!X$14-1))+6,1,IF(MAX(0,NETWORKDAYS.INTL(MAX(E113,(Reprogramaciones!$T$15+7*(Reprogramaciones!X$14-1))),MIN(F113,(Reprogramaciones!$T$15+7*(Reprogramaciones!X$14-1))+6),11))=0,0,MAX(0,NETWORKDAYS.INTL(MAX(E113,(Reprogramaciones!$T$15+7*(Reprogramaciones!X$14-1))),MIN(F113,Reprogramaciones!X$13),11))/MAX(0,NETWORKDAYS.INTL(MAX(E113,(Reprogramaciones!$T$15+7*(Reprogramaciones!X$14-1))),MIN(F113,(Reprogramaciones!$T$15+7*(Reprogramaciones!X$14-1))+6),11))))))))</f>
        <v/>
      </c>
      <c r="CH113" s="1" t="str">
        <f aca="false">IF(OR(NOT(AND(ISNUMBER(E113),ISNUMBER(F113))),$J$2=""),"",IF(Reprogramaciones!Y$13&lt;Reprogramaciones!$T$15,0,IF(Reprogramaciones!Y$14&gt;10,MIN(100,SUM($G113:$P113)),MIN(100,SUMPRODUCT((COLUMN($G113:$P113)-COLUMN($G113)+1&lt;Reprogramaciones!Y$14)*$G113:$P113)+N(INDEX($G113:$P113,1,Reprogramaciones!Y$14))*IF(Reprogramaciones!Y$13&gt;=(Reprogramaciones!$T$15+7*(Reprogramaciones!Y$14-1))+6,1,IF(MAX(0,NETWORKDAYS.INTL(MAX(E113,(Reprogramaciones!$T$15+7*(Reprogramaciones!Y$14-1))),MIN(F113,(Reprogramaciones!$T$15+7*(Reprogramaciones!Y$14-1))+6),11))=0,0,MAX(0,NETWORKDAYS.INTL(MAX(E113,(Reprogramaciones!$T$15+7*(Reprogramaciones!Y$14-1))),MIN(F113,Reprogramaciones!Y$13),11))/MAX(0,NETWORKDAYS.INTL(MAX(E113,(Reprogramaciones!$T$15+7*(Reprogramaciones!Y$14-1))),MIN(F113,(Reprogramaciones!$T$15+7*(Reprogramaciones!Y$14-1))+6),11))))))))</f>
        <v/>
      </c>
      <c r="CI113" s="1" t="str">
        <f aca="false">IF(OR(NOT(AND(ISNUMBER(E113),ISNUMBER(F113))),$J$2=""),"",IF(Reprogramaciones!Z$13&lt;Reprogramaciones!$T$15,0,IF(Reprogramaciones!Z$14&gt;10,MIN(100,SUM($G113:$P113)),MIN(100,SUMPRODUCT((COLUMN($G113:$P113)-COLUMN($G113)+1&lt;Reprogramaciones!Z$14)*$G113:$P113)+N(INDEX($G113:$P113,1,Reprogramaciones!Z$14))*IF(Reprogramaciones!Z$13&gt;=(Reprogramaciones!$T$15+7*(Reprogramaciones!Z$14-1))+6,1,IF(MAX(0,NETWORKDAYS.INTL(MAX(E113,(Reprogramaciones!$T$15+7*(Reprogramaciones!Z$14-1))),MIN(F113,(Reprogramaciones!$T$15+7*(Reprogramaciones!Z$14-1))+6),11))=0,0,MAX(0,NETWORKDAYS.INTL(MAX(E113,(Reprogramaciones!$T$15+7*(Reprogramaciones!Z$14-1))),MIN(F113,Reprogramaciones!Z$13),11))/MAX(0,NETWORKDAYS.INTL(MAX(E113,(Reprogramaciones!$T$15+7*(Reprogramaciones!Z$14-1))),MIN(F113,(Reprogramaciones!$T$15+7*(Reprogramaciones!Z$14-1))+6),11))))))))</f>
        <v/>
      </c>
      <c r="CJ113" s="1" t="str">
        <f aca="false">IF(OR(OR(NOT(AND(ISNUMBER(E113),ISNUMBER(F113))),$J$2=""),1&gt;Reprogramaciones!$K$16),"",IF(ROUND(SUM($Q113:Q113),1)&gt;=99.5,100,MIN(100,ROUND(SUM($Q113:Q113),1))))</f>
        <v/>
      </c>
      <c r="CK113" s="1" t="str">
        <f aca="false">IF(OR(OR(NOT(AND(ISNUMBER(E113),ISNUMBER(F113))),$J$2=""),2&gt;Reprogramaciones!$K$16),"",IF(ROUND(SUM($Q113:R113),1)&gt;=99.5,100,MIN(100,ROUND(SUM($Q113:R113),1))))</f>
        <v/>
      </c>
      <c r="CL113" s="1" t="str">
        <f aca="false">IF(OR(OR(NOT(AND(ISNUMBER(E113),ISNUMBER(F113))),$J$2=""),3&gt;Reprogramaciones!$K$16),"",IF(ROUND(SUM($Q113:S113),1)&gt;=99.5,100,MIN(100,ROUND(SUM($Q113:S113),1))))</f>
        <v/>
      </c>
      <c r="CM113" s="1" t="str">
        <f aca="false">IF(OR(OR(NOT(AND(ISNUMBER(E113),ISNUMBER(F113))),$J$2=""),4&gt;Reprogramaciones!$K$16),"",IF(ROUND(SUM($Q113:T113),1)&gt;=99.5,100,MIN(100,ROUND(SUM($Q113:T113),1))))</f>
        <v/>
      </c>
      <c r="CN113" s="1" t="str">
        <f aca="false">IF(OR(OR(NOT(AND(ISNUMBER(E113),ISNUMBER(F113))),$J$2=""),5&gt;Reprogramaciones!$K$16),"",IF(ROUND(SUM($Q113:U113),1)&gt;=99.5,100,MIN(100,ROUND(SUM($Q113:U113),1))))</f>
        <v/>
      </c>
      <c r="CO113" s="1" t="str">
        <f aca="false">IF(OR(OR(NOT(AND(ISNUMBER(E113),ISNUMBER(F113))),$J$2=""),6&gt;Reprogramaciones!$K$16),"",IF(ROUND(SUM($Q113:V113),1)&gt;=99.5,100,MIN(100,ROUND(SUM($Q113:V113),1))))</f>
        <v/>
      </c>
      <c r="CP113" s="1" t="str">
        <f aca="false">IF(OR(OR(NOT(AND(ISNUMBER(E113),ISNUMBER(F113))),$J$2=""),7&gt;Reprogramaciones!$K$16),"",IF(ROUND(SUM($Q113:W113),1)&gt;=99.5,100,MIN(100,ROUND(SUM($Q113:W113),1))))</f>
        <v/>
      </c>
      <c r="CQ113" s="1" t="str">
        <f aca="false">IF(OR(OR(NOT(AND(ISNUMBER(E113),ISNUMBER(F113))),$J$2=""),8&gt;Reprogramaciones!$K$16),"",IF(ROUND(SUM($Q113:X113),1)&gt;=99.5,100,MIN(100,ROUND(SUM($Q113:X113),1))))</f>
        <v/>
      </c>
      <c r="CR113" s="1" t="str">
        <f aca="false">IF(OR(OR(NOT(AND(ISNUMBER(E113),ISNUMBER(F113))),$J$2=""),9&gt;Reprogramaciones!$K$16),"",IF(ROUND(SUM($Q113:Y113),1)&gt;=99.5,100,MIN(100,ROUND(SUM($Q113:Y113),1))))</f>
        <v/>
      </c>
      <c r="CS113" s="1" t="str">
        <f aca="false">IF(OR(OR(NOT(AND(ISNUMBER(E113),ISNUMBER(F113))),$J$2=""),10&gt;Reprogramaciones!$K$16),"",IF(ROUND(SUM($Q113:Z113),1)&gt;=99.5,100,MIN(100,ROUND(SUM($Q113:Z113),1))))</f>
        <v/>
      </c>
      <c r="CT113" s="1" t="str">
        <f aca="false">IF(OR(OR(NOT(AND(ISNUMBER(E113),ISNUMBER(F113))),$J$2=""),11&gt;Reprogramaciones!$K$16),"",IF(ROUND(SUM($Q113:AA113),1)&gt;=99.5,100,MIN(100,ROUND(SUM($Q113:AA113),1))))</f>
        <v/>
      </c>
      <c r="CU113" s="1" t="str">
        <f aca="false">IF(OR(OR(NOT(AND(ISNUMBER(E113),ISNUMBER(F113))),$J$2=""),12&gt;Reprogramaciones!$K$16),"",IF(ROUND(SUM($Q113:AB113),1)&gt;=99.5,100,MIN(100,ROUND(SUM($Q113:AB113),1))))</f>
        <v/>
      </c>
      <c r="CV113" s="1" t="str">
        <f aca="false">IF(OR(OR(NOT(AND(ISNUMBER(E113),ISNUMBER(F113))),$J$2=""),13&gt;Reprogramaciones!$K$16),"",IF(ROUND(SUM($Q113:AC113),1)&gt;=99.5,100,MIN(100,ROUND(SUM($Q113:AC113),1))))</f>
        <v/>
      </c>
      <c r="CW113" s="1" t="str">
        <f aca="false">IF(OR(OR(NOT(AND(ISNUMBER(E113),ISNUMBER(F113))),$J$2=""),14&gt;Reprogramaciones!$K$16),"",IF(ROUND(SUM($Q113:AD113),1)&gt;=99.5,100,MIN(100,ROUND(SUM($Q113:AD113),1))))</f>
        <v/>
      </c>
      <c r="CX113" s="1" t="str">
        <f aca="false">IF(OR(OR(NOT(AND(ISNUMBER(E113),ISNUMBER(F113))),$J$2=""),15&gt;Reprogramaciones!$K$16),"",IF(ROUND(SUM($Q113:AE113),1)&gt;=99.5,100,MIN(100,ROUND(SUM($Q113:AE113),1))))</f>
        <v/>
      </c>
      <c r="CY113" s="1" t="str">
        <f aca="false">IF(OR(OR(NOT(AND(ISNUMBER(E113),ISNUMBER(F113))),$J$2=""),16&gt;Reprogramaciones!$K$16),"",IF(ROUND(SUM($Q113:AF113),1)&gt;=99.5,100,MIN(100,ROUND(SUM($Q113:AF113),1))))</f>
        <v/>
      </c>
      <c r="CZ113" s="1" t="str">
        <f aca="false">IF(D113&lt;&gt;"",D113,IF(B113&lt;&gt;"","Contractual",CZ112))</f>
        <v>Contractual</v>
      </c>
      <c r="DA113" s="1" t="str">
        <f aca="false">IF(OR(NOT(AND(ISNUMBER(E113),ISNUMBER(F113))),$J$2=""),"",IF(Reprogramaciones!$Q$15&lt;Reprogramaciones!$T$15,0,IF(Reprogramaciones!$S$15&gt;10,MIN(100,SUM($G113:$P113)),MIN(100,SUMPRODUCT((COLUMN($G113:$P113)-COLUMN($G113)+1&lt;Reprogramaciones!$S$15)*$G113:$P113)+N(INDEX($G113:$P113,1,Reprogramaciones!$S$15))*IF(Reprogramaciones!$Q$15&gt;=(Reprogramaciones!$T$15+7*(Reprogramaciones!$S$15-1))+6,1,IF(MAX(0,NETWORKDAYS.INTL(MAX(E113,(Reprogramaciones!$T$15+7*(Reprogramaciones!$S$15-1))),MIN(F113,(Reprogramaciones!$T$15+7*(Reprogramaciones!$S$15-1))+6),11))=0,0,MAX(0,NETWORKDAYS.INTL(MAX(E113,(Reprogramaciones!$T$15+7*(Reprogramaciones!$S$15-1))),MIN(F113,Reprogramaciones!$Q$15),11))/MAX(0,NETWORKDAYS.INTL(MAX(E113,(Reprogramaciones!$T$15+7*(Reprogramaciones!$S$15-1))),MIN(F113,(Reprogramaciones!$T$15+7*(Reprogramaciones!$S$15-1))+6),11))))))))</f>
        <v/>
      </c>
    </row>
    <row r="114" customFormat="false" ht="15" hidden="false" customHeight="false" outlineLevel="0" collapsed="false">
      <c r="A114" s="32"/>
      <c r="B114" s="33"/>
      <c r="C114" s="33"/>
      <c r="D114" s="34"/>
      <c r="E114" s="35"/>
      <c r="F114" s="35"/>
      <c r="G114" s="36" t="str">
        <f aca="false">IF(OR(NOT(AND(ISNUMBER(E114),ISNUMBER(F114))),$J$2=""),"",IF(Reprogramaciones!K$9&lt;E114,0,IF(NETWORKDAYS.INTL(E114,F114,11)=0,IF(Reprogramaciones!K$9&gt;=F114,100,0),ROUND(NETWORKDAYS.INTL(E114,MIN(F114,Reprogramaciones!K$9),11)/NETWORKDAYS.INTL(E114,F114,11)*100,1)))-0)</f>
        <v/>
      </c>
      <c r="H114" s="36" t="str">
        <f aca="false">IF(OR(NOT(AND(ISNUMBER(E114),ISNUMBER(F114))),$J$2=""),"",IF(Reprogramaciones!L$9&lt;E114,0,IF(NETWORKDAYS.INTL(E114,F114,11)=0,IF(Reprogramaciones!L$9&gt;=F114,100,0),ROUND(NETWORKDAYS.INTL(E114,MIN(F114,Reprogramaciones!L$9),11)/NETWORKDAYS.INTL(E114,F114,11)*100,1)))-IF(Reprogramaciones!K$9&lt;E114,0,IF(NETWORKDAYS.INTL(E114,F114,11)=0,IF(Reprogramaciones!K$9&gt;=F114,100,0),ROUND(NETWORKDAYS.INTL(E114,MIN(F114,Reprogramaciones!K$9),11)/NETWORKDAYS.INTL(E114,F114,11)*100,1))))</f>
        <v/>
      </c>
      <c r="I114" s="36" t="str">
        <f aca="false">IF(OR(NOT(AND(ISNUMBER(E114),ISNUMBER(F114))),$J$2=""),"",IF(Reprogramaciones!M$9&lt;E114,0,IF(NETWORKDAYS.INTL(E114,F114,11)=0,IF(Reprogramaciones!M$9&gt;=F114,100,0),ROUND(NETWORKDAYS.INTL(E114,MIN(F114,Reprogramaciones!M$9),11)/NETWORKDAYS.INTL(E114,F114,11)*100,1)))-IF(Reprogramaciones!L$9&lt;E114,0,IF(NETWORKDAYS.INTL(E114,F114,11)=0,IF(Reprogramaciones!L$9&gt;=F114,100,0),ROUND(NETWORKDAYS.INTL(E114,MIN(F114,Reprogramaciones!L$9),11)/NETWORKDAYS.INTL(E114,F114,11)*100,1))))</f>
        <v/>
      </c>
      <c r="J114" s="36" t="str">
        <f aca="false">IF(OR(NOT(AND(ISNUMBER(E114),ISNUMBER(F114))),$J$2=""),"",IF(Reprogramaciones!N$9&lt;E114,0,IF(NETWORKDAYS.INTL(E114,F114,11)=0,IF(Reprogramaciones!N$9&gt;=F114,100,0),ROUND(NETWORKDAYS.INTL(E114,MIN(F114,Reprogramaciones!N$9),11)/NETWORKDAYS.INTL(E114,F114,11)*100,1)))-IF(Reprogramaciones!M$9&lt;E114,0,IF(NETWORKDAYS.INTL(E114,F114,11)=0,IF(Reprogramaciones!M$9&gt;=F114,100,0),ROUND(NETWORKDAYS.INTL(E114,MIN(F114,Reprogramaciones!M$9),11)/NETWORKDAYS.INTL(E114,F114,11)*100,1))))</f>
        <v/>
      </c>
      <c r="K114" s="36" t="str">
        <f aca="false">IF(OR(NOT(AND(ISNUMBER(E114),ISNUMBER(F114))),$J$2=""),"",IF(Reprogramaciones!O$9&lt;E114,0,IF(NETWORKDAYS.INTL(E114,F114,11)=0,IF(Reprogramaciones!O$9&gt;=F114,100,0),ROUND(NETWORKDAYS.INTL(E114,MIN(F114,Reprogramaciones!O$9),11)/NETWORKDAYS.INTL(E114,F114,11)*100,1)))-IF(Reprogramaciones!N$9&lt;E114,0,IF(NETWORKDAYS.INTL(E114,F114,11)=0,IF(Reprogramaciones!N$9&gt;=F114,100,0),ROUND(NETWORKDAYS.INTL(E114,MIN(F114,Reprogramaciones!N$9),11)/NETWORKDAYS.INTL(E114,F114,11)*100,1))))</f>
        <v/>
      </c>
      <c r="L114" s="36" t="str">
        <f aca="false">IF(OR(NOT(AND(ISNUMBER(E114),ISNUMBER(F114))),$J$2=""),"",IF(Reprogramaciones!P$9&lt;E114,0,IF(NETWORKDAYS.INTL(E114,F114,11)=0,IF(Reprogramaciones!P$9&gt;=F114,100,0),ROUND(NETWORKDAYS.INTL(E114,MIN(F114,Reprogramaciones!P$9),11)/NETWORKDAYS.INTL(E114,F114,11)*100,1)))-IF(Reprogramaciones!O$9&lt;E114,0,IF(NETWORKDAYS.INTL(E114,F114,11)=0,IF(Reprogramaciones!O$9&gt;=F114,100,0),ROUND(NETWORKDAYS.INTL(E114,MIN(F114,Reprogramaciones!O$9),11)/NETWORKDAYS.INTL(E114,F114,11)*100,1))))</f>
        <v/>
      </c>
      <c r="M114" s="36" t="str">
        <f aca="false">IF(OR(NOT(AND(ISNUMBER(E114),ISNUMBER(F114))),$J$2=""),"",IF(Reprogramaciones!Q$9&lt;E114,0,IF(NETWORKDAYS.INTL(E114,F114,11)=0,IF(Reprogramaciones!Q$9&gt;=F114,100,0),ROUND(NETWORKDAYS.INTL(E114,MIN(F114,Reprogramaciones!Q$9),11)/NETWORKDAYS.INTL(E114,F114,11)*100,1)))-IF(Reprogramaciones!P$9&lt;E114,0,IF(NETWORKDAYS.INTL(E114,F114,11)=0,IF(Reprogramaciones!P$9&gt;=F114,100,0),ROUND(NETWORKDAYS.INTL(E114,MIN(F114,Reprogramaciones!P$9),11)/NETWORKDAYS.INTL(E114,F114,11)*100,1))))</f>
        <v/>
      </c>
      <c r="N114" s="36" t="str">
        <f aca="false">IF(OR(NOT(AND(ISNUMBER(E114),ISNUMBER(F114))),$J$2=""),"",IF(Reprogramaciones!R$9&lt;E114,0,IF(NETWORKDAYS.INTL(E114,F114,11)=0,IF(Reprogramaciones!R$9&gt;=F114,100,0),ROUND(NETWORKDAYS.INTL(E114,MIN(F114,Reprogramaciones!R$9),11)/NETWORKDAYS.INTL(E114,F114,11)*100,1)))-IF(Reprogramaciones!Q$9&lt;E114,0,IF(NETWORKDAYS.INTL(E114,F114,11)=0,IF(Reprogramaciones!Q$9&gt;=F114,100,0),ROUND(NETWORKDAYS.INTL(E114,MIN(F114,Reprogramaciones!Q$9),11)/NETWORKDAYS.INTL(E114,F114,11)*100,1))))</f>
        <v/>
      </c>
      <c r="O114" s="36" t="str">
        <f aca="false">IF(OR(NOT(AND(ISNUMBER(E114),ISNUMBER(F114))),$J$2=""),"",IF(Reprogramaciones!S$9&lt;E114,0,IF(NETWORKDAYS.INTL(E114,F114,11)=0,IF(Reprogramaciones!S$9&gt;=F114,100,0),ROUND(NETWORKDAYS.INTL(E114,MIN(F114,Reprogramaciones!S$9),11)/NETWORKDAYS.INTL(E114,F114,11)*100,1)))-IF(Reprogramaciones!R$9&lt;E114,0,IF(NETWORKDAYS.INTL(E114,F114,11)=0,IF(Reprogramaciones!R$9&gt;=F114,100,0),ROUND(NETWORKDAYS.INTL(E114,MIN(F114,Reprogramaciones!R$9),11)/NETWORKDAYS.INTL(E114,F114,11)*100,1))))</f>
        <v/>
      </c>
      <c r="P114" s="36" t="str">
        <f aca="false">IF(OR(NOT(AND(ISNUMBER(E114),ISNUMBER(F114))),$J$2=""),"",IF(Reprogramaciones!T$9&lt;E114,0,IF(NETWORKDAYS.INTL(E114,F114,11)=0,IF(Reprogramaciones!T$9&gt;=F114,100,0),ROUND(NETWORKDAYS.INTL(E114,MIN(F114,Reprogramaciones!T$9),11)/NETWORKDAYS.INTL(E114,F114,11)*100,1)))-IF(Reprogramaciones!S$9&lt;E114,0,IF(NETWORKDAYS.INTL(E114,F114,11)=0,IF(Reprogramaciones!S$9&gt;=F114,100,0),ROUND(NETWORKDAYS.INTL(E114,MIN(F114,Reprogramaciones!S$9),11)/NETWORKDAYS.INTL(E114,F114,11)*100,1))))</f>
        <v/>
      </c>
      <c r="Q114" s="37"/>
      <c r="R114" s="37"/>
      <c r="S114" s="37"/>
      <c r="T114" s="37"/>
      <c r="U114" s="37"/>
      <c r="V114" s="37"/>
      <c r="W114" s="37"/>
      <c r="X114" s="37"/>
      <c r="Y114" s="37"/>
      <c r="Z114" s="37"/>
      <c r="AA114" s="37"/>
      <c r="AB114" s="37"/>
      <c r="AC114" s="37"/>
      <c r="AD114" s="37"/>
      <c r="AE114" s="37"/>
      <c r="AF114" s="37"/>
      <c r="AG114" s="38" t="str">
        <f aca="false">IF(AND(ISNUMBER(E114),ISNUMBER(F114)),NETWORKDAYS.INTL(E114,F114,11),"")</f>
        <v/>
      </c>
      <c r="AH114" s="38" t="str">
        <f aca="false">IF(OR(NOT(AND(ISNUMBER(E114),ISNUMBER(F114))),$J$2=""),"",IF(Reprogramaciones!$P$15&lt;Reprogramaciones!$T$15,0,IF(Reprogramaciones!$R$15&gt;10,MIN(100,SUM($G114:$P114)),MIN(100,SUMPRODUCT((COLUMN($G114:$P114)-COLUMN($G114)+1&lt;Reprogramaciones!$R$15)*$G114:$P114)+N(INDEX($G114:$P114,1,Reprogramaciones!$R$15))*IF(Reprogramaciones!$P$15&gt;=(Reprogramaciones!$T$15+7*(Reprogramaciones!$R$15-1))+6,1,IF(MAX(0,NETWORKDAYS.INTL(MAX(E114,(Reprogramaciones!$T$15+7*(Reprogramaciones!$R$15-1))),MIN(F114,(Reprogramaciones!$T$15+7*(Reprogramaciones!$R$15-1))+6),11))=0,0,MAX(0,NETWORKDAYS.INTL(MAX(E114,(Reprogramaciones!$T$15+7*(Reprogramaciones!$R$15-1))),MIN(F114,Reprogramaciones!$P$15),11))/MAX(0,NETWORKDAYS.INTL(MAX(E114,(Reprogramaciones!$T$15+7*(Reprogramaciones!$R$15-1))),MIN(F114,(Reprogramaciones!$T$15+7*(Reprogramaciones!$R$15-1))+6),11))))))))</f>
        <v/>
      </c>
      <c r="AI114" s="38" t="str">
        <f aca="false">IF(COUNT($Q114:$AF114)=0,"",IF(ROUND(SUM($Q114:$AF114),1)&gt;=99.5,100,MIN(100,ROUND(SUM($Q114:$AF114),1))))</f>
        <v/>
      </c>
      <c r="AJ114" s="38" t="str">
        <f aca="false">IF(OR(AH114="",AI114=""),"",AI114-AH114)</f>
        <v/>
      </c>
      <c r="AK114" s="39" t="str">
        <f aca="true">IF(AH114="","",IF(OR(Ficha!$C$10="Suspendida",Ficha!$C$10="Cancelada"),Ficha!$C$10,IF(AND(AI114&lt;&gt;"",N(AI114)&gt;=100),"Completada",IF(AND(E114&gt;TODAY(),N(AI114)=0),"Por iniciar",IF(N(AI114)+0.5&lt;AH114,"Retrasada",IF(N(AI114)+0.5&lt;DA114,IF(Reprogramaciones!$K$15&gt;0,"Al día · Sem "&amp;Reprogramaciones!$K$15&amp;" en curso","Al día · en curso"),"A tiempo"))))))</f>
        <v/>
      </c>
      <c r="AL114" s="39" t="str">
        <f aca="true">IF(AND(A114="",AND(B114="",C114="",E114="",F114="",COUNT(Q114:AF114)=0)),"",IF(AND(B114="",C114="",E114="",F114="",COUNT(Q114:AF114)=0),"Falta la partida o subpartida",IF(AND(A114&lt;&gt;"",COUNTIF($A$6:$A$305,A114)&gt;1),"Ítem repetido",IF(AND(C114="",E114="",F114="",COUNT(Q114:AF114)=0),"Título de partida",IF(OR(E114="",F114=""),"Faltan fechas",IF(OR(ISTEXT(E114),ISTEXT(F114)),"Fecha escrita como texto: usa dd/mm/aaaa",IF(F114&lt;E114,"Fin antes del inicio",IF(IF($J$2="",FALSE(),OR(E114&lt;$J$2,F114&gt;Reprogramaciones!$T$15+69)),"Fuera de las 10 semanas",IF(ABS(SUM(G114:P114)-100)&gt;0.5,"La meta no suma 100%",IF(ROUND(SUM(Q114:AF114),1)&gt;100.5,"El avance pasa de 100%",IF(MIN(Q114:AF114)&lt;0,"Avance negativo",IF(COUNTA(Q114:AF114)&gt;COUNT(Q114:AF114),"Avance escrito como texto",IF(SUMPRODUCT((Q114:AF114&gt;0)*(Q114:AF114&lt;1))&gt;0,"Avance menor a 1: escribe 50, no 50%",IF(SUMPRODUCT(ISNUMBER(Q114:AF114)*(Reprogramaciones!$K$8:$Z$8&gt;TODAY()))&gt;0,"Avance en semana que aún no llega",IF(AND(N(Reprogramaciones!$E$21)&gt;0,F114&gt;Reprogramaciones!$E$21),"Pasa el fin de la obra: registra una reprogramación",IF(AND(N(Reprogramaciones!$E$21)&gt;0,SUMPRODUCT(ISNUMBER(Q114:AF114)*(Reprogramaciones!$K$8:$Z$8&gt;Reprogramaciones!$E$21))&gt;0),"Avance después del fin de la obra: registra una reprogramación por atraso","OK"))))))))))))))))</f>
        <v/>
      </c>
      <c r="AM114" s="40" t="str">
        <f aca="false">IF(OR(OR(NOT(AND(ISNUMBER(E114),ISNUMBER(F114))),$J$2=""),1&gt;MAX(1,Reprogramaciones!$U$15)),"",IF(Reprogramaciones!K$12&gt;=7,"",IF(OR(BT114-N(0)&gt;0.05,N(Q114)&gt;0),ROUNDDOWN(ROUND(BT114,6),0)&amp;"%"&amp;IF(CJ114="",""," / "&amp;CJ114&amp;"%"),IF(AND(N(0)&gt;=99.95,CJ114&lt;&gt;"",N(CJ114)&lt;100),"Pend. "&amp;CJ114&amp;"%",""))))</f>
        <v/>
      </c>
      <c r="AN114" s="40" t="str">
        <f aca="false">IF(OR(OR(NOT(AND(ISNUMBER(E114),ISNUMBER(F114))),$J$2=""),2&gt;MAX(1,Reprogramaciones!$U$15)),"",IF(Reprogramaciones!L$12&gt;=7,"",IF(OR(BU114-N(BT114)&gt;0.05,N(R114)&gt;0),ROUNDDOWN(ROUND(BU114,6),0)&amp;"%"&amp;IF(CK114="",""," / "&amp;CK114&amp;"%"),IF(AND(N(BT114)&gt;=99.95,CK114&lt;&gt;"",N(CK114)&lt;100),"Pend. "&amp;CK114&amp;"%",""))))</f>
        <v/>
      </c>
      <c r="AO114" s="40" t="str">
        <f aca="false">IF(OR(OR(NOT(AND(ISNUMBER(E114),ISNUMBER(F114))),$J$2=""),3&gt;MAX(1,Reprogramaciones!$U$15)),"",IF(Reprogramaciones!M$12&gt;=7,"",IF(OR(BV114-N(BU114)&gt;0.05,N(S114)&gt;0),ROUNDDOWN(ROUND(BV114,6),0)&amp;"%"&amp;IF(CL114="",""," / "&amp;CL114&amp;"%"),IF(AND(N(BU114)&gt;=99.95,CL114&lt;&gt;"",N(CL114)&lt;100),"Pend. "&amp;CL114&amp;"%",""))))</f>
        <v/>
      </c>
      <c r="AP114" s="40" t="str">
        <f aca="false">IF(OR(OR(NOT(AND(ISNUMBER(E114),ISNUMBER(F114))),$J$2=""),4&gt;MAX(1,Reprogramaciones!$U$15)),"",IF(Reprogramaciones!N$12&gt;=7,"",IF(OR(BW114-N(BV114)&gt;0.05,N(T114)&gt;0),ROUNDDOWN(ROUND(BW114,6),0)&amp;"%"&amp;IF(CM114="",""," / "&amp;CM114&amp;"%"),IF(AND(N(BV114)&gt;=99.95,CM114&lt;&gt;"",N(CM114)&lt;100),"Pend. "&amp;CM114&amp;"%",""))))</f>
        <v/>
      </c>
      <c r="AQ114" s="40" t="str">
        <f aca="false">IF(OR(OR(NOT(AND(ISNUMBER(E114),ISNUMBER(F114))),$J$2=""),5&gt;MAX(1,Reprogramaciones!$U$15)),"",IF(Reprogramaciones!O$12&gt;=7,"",IF(OR(BX114-N(BW114)&gt;0.05,N(U114)&gt;0),ROUNDDOWN(ROUND(BX114,6),0)&amp;"%"&amp;IF(CN114="",""," / "&amp;CN114&amp;"%"),IF(AND(N(BW114)&gt;=99.95,CN114&lt;&gt;"",N(CN114)&lt;100),"Pend. "&amp;CN114&amp;"%",""))))</f>
        <v/>
      </c>
      <c r="AR114" s="40" t="str">
        <f aca="false">IF(OR(OR(NOT(AND(ISNUMBER(E114),ISNUMBER(F114))),$J$2=""),6&gt;MAX(1,Reprogramaciones!$U$15)),"",IF(Reprogramaciones!P$12&gt;=7,"",IF(OR(BY114-N(BX114)&gt;0.05,N(V114)&gt;0),ROUNDDOWN(ROUND(BY114,6),0)&amp;"%"&amp;IF(CO114="",""," / "&amp;CO114&amp;"%"),IF(AND(N(BX114)&gt;=99.95,CO114&lt;&gt;"",N(CO114)&lt;100),"Pend. "&amp;CO114&amp;"%",""))))</f>
        <v/>
      </c>
      <c r="AS114" s="40" t="str">
        <f aca="false">IF(OR(OR(NOT(AND(ISNUMBER(E114),ISNUMBER(F114))),$J$2=""),7&gt;MAX(1,Reprogramaciones!$U$15)),"",IF(Reprogramaciones!Q$12&gt;=7,"",IF(OR(BZ114-N(BY114)&gt;0.05,N(W114)&gt;0),ROUNDDOWN(ROUND(BZ114,6),0)&amp;"%"&amp;IF(CP114="",""," / "&amp;CP114&amp;"%"),IF(AND(N(BY114)&gt;=99.95,CP114&lt;&gt;"",N(CP114)&lt;100),"Pend. "&amp;CP114&amp;"%",""))))</f>
        <v/>
      </c>
      <c r="AT114" s="40" t="str">
        <f aca="false">IF(OR(OR(NOT(AND(ISNUMBER(E114),ISNUMBER(F114))),$J$2=""),8&gt;MAX(1,Reprogramaciones!$U$15)),"",IF(Reprogramaciones!R$12&gt;=7,"",IF(OR(CA114-N(BZ114)&gt;0.05,N(X114)&gt;0),ROUNDDOWN(ROUND(CA114,6),0)&amp;"%"&amp;IF(CQ114="",""," / "&amp;CQ114&amp;"%"),IF(AND(N(BZ114)&gt;=99.95,CQ114&lt;&gt;"",N(CQ114)&lt;100),"Pend. "&amp;CQ114&amp;"%",""))))</f>
        <v/>
      </c>
      <c r="AU114" s="40" t="str">
        <f aca="false">IF(OR(OR(NOT(AND(ISNUMBER(E114),ISNUMBER(F114))),$J$2=""),9&gt;MAX(1,Reprogramaciones!$U$15)),"",IF(Reprogramaciones!S$12&gt;=7,"",IF(OR(CB114-N(CA114)&gt;0.05,N(Y114)&gt;0),ROUNDDOWN(ROUND(CB114,6),0)&amp;"%"&amp;IF(CR114="",""," / "&amp;CR114&amp;"%"),IF(AND(N(CA114)&gt;=99.95,CR114&lt;&gt;"",N(CR114)&lt;100),"Pend. "&amp;CR114&amp;"%",""))))</f>
        <v/>
      </c>
      <c r="AV114" s="40" t="str">
        <f aca="false">IF(OR(OR(NOT(AND(ISNUMBER(E114),ISNUMBER(F114))),$J$2=""),10&gt;MAX(1,Reprogramaciones!$U$15)),"",IF(Reprogramaciones!T$12&gt;=7,"",IF(OR(CC114-N(CB114)&gt;0.05,N(Z114)&gt;0),ROUNDDOWN(ROUND(CC114,6),0)&amp;"%"&amp;IF(CS114="",""," / "&amp;CS114&amp;"%"),IF(AND(N(CB114)&gt;=99.95,CS114&lt;&gt;"",N(CS114)&lt;100),"Pend. "&amp;CS114&amp;"%",""))))</f>
        <v/>
      </c>
      <c r="AW114" s="40" t="str">
        <f aca="false">IF(OR(OR(NOT(AND(ISNUMBER(E114),ISNUMBER(F114))),$J$2=""),11&gt;MAX(1,Reprogramaciones!$U$15)),"",IF(Reprogramaciones!U$12&gt;=7,"",IF(OR(CD114-N(CC114)&gt;0.05,N(AA114)&gt;0),ROUNDDOWN(ROUND(CD114,6),0)&amp;"%"&amp;IF(CT114="",""," / "&amp;CT114&amp;"%"),IF(AND(N(CC114)&gt;=99.95,CT114&lt;&gt;"",N(CT114)&lt;100),"Pend. "&amp;CT114&amp;"%",""))))</f>
        <v/>
      </c>
      <c r="AX114" s="40" t="str">
        <f aca="false">IF(OR(OR(NOT(AND(ISNUMBER(E114),ISNUMBER(F114))),$J$2=""),12&gt;MAX(1,Reprogramaciones!$U$15)),"",IF(Reprogramaciones!V$12&gt;=7,"",IF(OR(CE114-N(CD114)&gt;0.05,N(AB114)&gt;0),ROUNDDOWN(ROUND(CE114,6),0)&amp;"%"&amp;IF(CU114="",""," / "&amp;CU114&amp;"%"),IF(AND(N(CD114)&gt;=99.95,CU114&lt;&gt;"",N(CU114)&lt;100),"Pend. "&amp;CU114&amp;"%",""))))</f>
        <v/>
      </c>
      <c r="AY114" s="40" t="str">
        <f aca="false">IF(OR(OR(NOT(AND(ISNUMBER(E114),ISNUMBER(F114))),$J$2=""),13&gt;MAX(1,Reprogramaciones!$U$15)),"",IF(Reprogramaciones!W$12&gt;=7,"",IF(OR(CF114-N(CE114)&gt;0.05,N(AC114)&gt;0),ROUNDDOWN(ROUND(CF114,6),0)&amp;"%"&amp;IF(CV114="",""," / "&amp;CV114&amp;"%"),IF(AND(N(CE114)&gt;=99.95,CV114&lt;&gt;"",N(CV114)&lt;100),"Pend. "&amp;CV114&amp;"%",""))))</f>
        <v/>
      </c>
      <c r="AZ114" s="40" t="str">
        <f aca="false">IF(OR(OR(NOT(AND(ISNUMBER(E114),ISNUMBER(F114))),$J$2=""),14&gt;MAX(1,Reprogramaciones!$U$15)),"",IF(Reprogramaciones!X$12&gt;=7,"",IF(OR(CG114-N(CF114)&gt;0.05,N(AD114)&gt;0),ROUNDDOWN(ROUND(CG114,6),0)&amp;"%"&amp;IF(CW114="",""," / "&amp;CW114&amp;"%"),IF(AND(N(CF114)&gt;=99.95,CW114&lt;&gt;"",N(CW114)&lt;100),"Pend. "&amp;CW114&amp;"%",""))))</f>
        <v/>
      </c>
      <c r="BA114" s="40" t="str">
        <f aca="false">IF(OR(OR(NOT(AND(ISNUMBER(E114),ISNUMBER(F114))),$J$2=""),15&gt;MAX(1,Reprogramaciones!$U$15)),"",IF(Reprogramaciones!Y$12&gt;=7,"",IF(OR(CH114-N(CG114)&gt;0.05,N(AE114)&gt;0),ROUNDDOWN(ROUND(CH114,6),0)&amp;"%"&amp;IF(CX114="",""," / "&amp;CX114&amp;"%"),IF(AND(N(CG114)&gt;=99.95,CX114&lt;&gt;"",N(CX114)&lt;100),"Pend. "&amp;CX114&amp;"%",""))))</f>
        <v/>
      </c>
      <c r="BB114" s="40" t="str">
        <f aca="false">IF(OR(OR(NOT(AND(ISNUMBER(E114),ISNUMBER(F114))),$J$2=""),16&gt;MAX(1,Reprogramaciones!$U$15)),"",IF(Reprogramaciones!Z$12&gt;=7,"",IF(OR(CI114-N(CH114)&gt;0.05,N(AF114)&gt;0),ROUNDDOWN(ROUND(CI114,6),0)&amp;"%"&amp;IF(CY114="",""," / "&amp;CY114&amp;"%"),IF(AND(N(CH114)&gt;=99.95,CY114&lt;&gt;"",N(CY114)&lt;100),"Pend. "&amp;CY114&amp;"%",""))))</f>
        <v/>
      </c>
      <c r="BC114" s="31" t="n">
        <f aca="false">IF(AND(ISNUMBER(E114),ISNUMBER(F114)),MAX(1,NETWORKDAYS.INTL(E114,F114,11)),0)</f>
        <v>0</v>
      </c>
      <c r="BD114" s="1" t="str">
        <f aca="false">IF(OR(NOT(AND(ISNUMBER(E114),ISNUMBER(F114))),$J$2=""),"",MIN(100,ROUND(SUM($G114:G114),1)))</f>
        <v/>
      </c>
      <c r="BE114" s="1" t="str">
        <f aca="false">IF(OR(NOT(AND(ISNUMBER(E114),ISNUMBER(F114))),$J$2=""),"",MIN(100,ROUND(SUM($G114:H114),1)))</f>
        <v/>
      </c>
      <c r="BF114" s="1" t="str">
        <f aca="false">IF(OR(NOT(AND(ISNUMBER(E114),ISNUMBER(F114))),$J$2=""),"",MIN(100,ROUND(SUM($G114:I114),1)))</f>
        <v/>
      </c>
      <c r="BG114" s="1" t="str">
        <f aca="false">IF(OR(NOT(AND(ISNUMBER(E114),ISNUMBER(F114))),$J$2=""),"",MIN(100,ROUND(SUM($G114:J114),1)))</f>
        <v/>
      </c>
      <c r="BH114" s="1" t="str">
        <f aca="false">IF(OR(NOT(AND(ISNUMBER(E114),ISNUMBER(F114))),$J$2=""),"",MIN(100,ROUND(SUM($G114:K114),1)))</f>
        <v/>
      </c>
      <c r="BI114" s="1" t="str">
        <f aca="false">IF(OR(NOT(AND(ISNUMBER(E114),ISNUMBER(F114))),$J$2=""),"",MIN(100,ROUND(SUM($G114:L114),1)))</f>
        <v/>
      </c>
      <c r="BJ114" s="1" t="str">
        <f aca="false">IF(OR(NOT(AND(ISNUMBER(E114),ISNUMBER(F114))),$J$2=""),"",MIN(100,ROUND(SUM($G114:M114),1)))</f>
        <v/>
      </c>
      <c r="BK114" s="1" t="str">
        <f aca="false">IF(OR(NOT(AND(ISNUMBER(E114),ISNUMBER(F114))),$J$2=""),"",MIN(100,ROUND(SUM($G114:N114),1)))</f>
        <v/>
      </c>
      <c r="BL114" s="1" t="str">
        <f aca="false">IF(OR(NOT(AND(ISNUMBER(E114),ISNUMBER(F114))),$J$2=""),"",MIN(100,ROUND(SUM($G114:O114),1)))</f>
        <v/>
      </c>
      <c r="BM114" s="1" t="str">
        <f aca="false">IF(OR(NOT(AND(ISNUMBER(E114),ISNUMBER(F114))),$J$2=""),"",MIN(100,ROUND(SUM($G114:P114),1)))</f>
        <v/>
      </c>
      <c r="BN114" s="1" t="str">
        <f aca="false">IF(OR(NOT(AND(ISNUMBER(E114),ISNUMBER(F114))),$J$2=""),"",MIN(100,ROUND(SUM($G114:P114),1)))</f>
        <v/>
      </c>
      <c r="BO114" s="1" t="str">
        <f aca="false">IF(OR(NOT(AND(ISNUMBER(E114),ISNUMBER(F114))),$J$2=""),"",MIN(100,ROUND(SUM($G114:P114),1)))</f>
        <v/>
      </c>
      <c r="BP114" s="1" t="str">
        <f aca="false">IF(OR(NOT(AND(ISNUMBER(E114),ISNUMBER(F114))),$J$2=""),"",MIN(100,ROUND(SUM($G114:P114),1)))</f>
        <v/>
      </c>
      <c r="BQ114" s="1" t="str">
        <f aca="false">IF(OR(NOT(AND(ISNUMBER(E114),ISNUMBER(F114))),$J$2=""),"",MIN(100,ROUND(SUM($G114:P114),1)))</f>
        <v/>
      </c>
      <c r="BR114" s="1" t="str">
        <f aca="false">IF(OR(NOT(AND(ISNUMBER(E114),ISNUMBER(F114))),$J$2=""),"",MIN(100,ROUND(SUM($G114:P114),1)))</f>
        <v/>
      </c>
      <c r="BS114" s="1" t="str">
        <f aca="false">IF(OR(NOT(AND(ISNUMBER(E114),ISNUMBER(F114))),$J$2=""),"",MIN(100,ROUND(SUM($G114:P114),1)))</f>
        <v/>
      </c>
      <c r="BT114" s="1" t="str">
        <f aca="false">IF(OR(NOT(AND(ISNUMBER(E114),ISNUMBER(F114))),$J$2=""),"",IF(Reprogramaciones!K$13&lt;Reprogramaciones!$T$15,0,IF(Reprogramaciones!K$14&gt;10,MIN(100,SUM($G114:$P114)),MIN(100,SUMPRODUCT((COLUMN($G114:$P114)-COLUMN($G114)+1&lt;Reprogramaciones!K$14)*$G114:$P114)+N(INDEX($G114:$P114,1,Reprogramaciones!K$14))*IF(Reprogramaciones!K$13&gt;=(Reprogramaciones!$T$15+7*(Reprogramaciones!K$14-1))+6,1,IF(MAX(0,NETWORKDAYS.INTL(MAX(E114,(Reprogramaciones!$T$15+7*(Reprogramaciones!K$14-1))),MIN(F114,(Reprogramaciones!$T$15+7*(Reprogramaciones!K$14-1))+6),11))=0,0,MAX(0,NETWORKDAYS.INTL(MAX(E114,(Reprogramaciones!$T$15+7*(Reprogramaciones!K$14-1))),MIN(F114,Reprogramaciones!K$13),11))/MAX(0,NETWORKDAYS.INTL(MAX(E114,(Reprogramaciones!$T$15+7*(Reprogramaciones!K$14-1))),MIN(F114,(Reprogramaciones!$T$15+7*(Reprogramaciones!K$14-1))+6),11))))))))</f>
        <v/>
      </c>
      <c r="BU114" s="1" t="str">
        <f aca="false">IF(OR(NOT(AND(ISNUMBER(E114),ISNUMBER(F114))),$J$2=""),"",IF(Reprogramaciones!L$13&lt;Reprogramaciones!$T$15,0,IF(Reprogramaciones!L$14&gt;10,MIN(100,SUM($G114:$P114)),MIN(100,SUMPRODUCT((COLUMN($G114:$P114)-COLUMN($G114)+1&lt;Reprogramaciones!L$14)*$G114:$P114)+N(INDEX($G114:$P114,1,Reprogramaciones!L$14))*IF(Reprogramaciones!L$13&gt;=(Reprogramaciones!$T$15+7*(Reprogramaciones!L$14-1))+6,1,IF(MAX(0,NETWORKDAYS.INTL(MAX(E114,(Reprogramaciones!$T$15+7*(Reprogramaciones!L$14-1))),MIN(F114,(Reprogramaciones!$T$15+7*(Reprogramaciones!L$14-1))+6),11))=0,0,MAX(0,NETWORKDAYS.INTL(MAX(E114,(Reprogramaciones!$T$15+7*(Reprogramaciones!L$14-1))),MIN(F114,Reprogramaciones!L$13),11))/MAX(0,NETWORKDAYS.INTL(MAX(E114,(Reprogramaciones!$T$15+7*(Reprogramaciones!L$14-1))),MIN(F114,(Reprogramaciones!$T$15+7*(Reprogramaciones!L$14-1))+6),11))))))))</f>
        <v/>
      </c>
      <c r="BV114" s="1" t="str">
        <f aca="false">IF(OR(NOT(AND(ISNUMBER(E114),ISNUMBER(F114))),$J$2=""),"",IF(Reprogramaciones!M$13&lt;Reprogramaciones!$T$15,0,IF(Reprogramaciones!M$14&gt;10,MIN(100,SUM($G114:$P114)),MIN(100,SUMPRODUCT((COLUMN($G114:$P114)-COLUMN($G114)+1&lt;Reprogramaciones!M$14)*$G114:$P114)+N(INDEX($G114:$P114,1,Reprogramaciones!M$14))*IF(Reprogramaciones!M$13&gt;=(Reprogramaciones!$T$15+7*(Reprogramaciones!M$14-1))+6,1,IF(MAX(0,NETWORKDAYS.INTL(MAX(E114,(Reprogramaciones!$T$15+7*(Reprogramaciones!M$14-1))),MIN(F114,(Reprogramaciones!$T$15+7*(Reprogramaciones!M$14-1))+6),11))=0,0,MAX(0,NETWORKDAYS.INTL(MAX(E114,(Reprogramaciones!$T$15+7*(Reprogramaciones!M$14-1))),MIN(F114,Reprogramaciones!M$13),11))/MAX(0,NETWORKDAYS.INTL(MAX(E114,(Reprogramaciones!$T$15+7*(Reprogramaciones!M$14-1))),MIN(F114,(Reprogramaciones!$T$15+7*(Reprogramaciones!M$14-1))+6),11))))))))</f>
        <v/>
      </c>
      <c r="BW114" s="1" t="str">
        <f aca="false">IF(OR(NOT(AND(ISNUMBER(E114),ISNUMBER(F114))),$J$2=""),"",IF(Reprogramaciones!N$13&lt;Reprogramaciones!$T$15,0,IF(Reprogramaciones!N$14&gt;10,MIN(100,SUM($G114:$P114)),MIN(100,SUMPRODUCT((COLUMN($G114:$P114)-COLUMN($G114)+1&lt;Reprogramaciones!N$14)*$G114:$P114)+N(INDEX($G114:$P114,1,Reprogramaciones!N$14))*IF(Reprogramaciones!N$13&gt;=(Reprogramaciones!$T$15+7*(Reprogramaciones!N$14-1))+6,1,IF(MAX(0,NETWORKDAYS.INTL(MAX(E114,(Reprogramaciones!$T$15+7*(Reprogramaciones!N$14-1))),MIN(F114,(Reprogramaciones!$T$15+7*(Reprogramaciones!N$14-1))+6),11))=0,0,MAX(0,NETWORKDAYS.INTL(MAX(E114,(Reprogramaciones!$T$15+7*(Reprogramaciones!N$14-1))),MIN(F114,Reprogramaciones!N$13),11))/MAX(0,NETWORKDAYS.INTL(MAX(E114,(Reprogramaciones!$T$15+7*(Reprogramaciones!N$14-1))),MIN(F114,(Reprogramaciones!$T$15+7*(Reprogramaciones!N$14-1))+6),11))))))))</f>
        <v/>
      </c>
      <c r="BX114" s="1" t="str">
        <f aca="false">IF(OR(NOT(AND(ISNUMBER(E114),ISNUMBER(F114))),$J$2=""),"",IF(Reprogramaciones!O$13&lt;Reprogramaciones!$T$15,0,IF(Reprogramaciones!O$14&gt;10,MIN(100,SUM($G114:$P114)),MIN(100,SUMPRODUCT((COLUMN($G114:$P114)-COLUMN($G114)+1&lt;Reprogramaciones!O$14)*$G114:$P114)+N(INDEX($G114:$P114,1,Reprogramaciones!O$14))*IF(Reprogramaciones!O$13&gt;=(Reprogramaciones!$T$15+7*(Reprogramaciones!O$14-1))+6,1,IF(MAX(0,NETWORKDAYS.INTL(MAX(E114,(Reprogramaciones!$T$15+7*(Reprogramaciones!O$14-1))),MIN(F114,(Reprogramaciones!$T$15+7*(Reprogramaciones!O$14-1))+6),11))=0,0,MAX(0,NETWORKDAYS.INTL(MAX(E114,(Reprogramaciones!$T$15+7*(Reprogramaciones!O$14-1))),MIN(F114,Reprogramaciones!O$13),11))/MAX(0,NETWORKDAYS.INTL(MAX(E114,(Reprogramaciones!$T$15+7*(Reprogramaciones!O$14-1))),MIN(F114,(Reprogramaciones!$T$15+7*(Reprogramaciones!O$14-1))+6),11))))))))</f>
        <v/>
      </c>
      <c r="BY114" s="1" t="str">
        <f aca="false">IF(OR(NOT(AND(ISNUMBER(E114),ISNUMBER(F114))),$J$2=""),"",IF(Reprogramaciones!P$13&lt;Reprogramaciones!$T$15,0,IF(Reprogramaciones!P$14&gt;10,MIN(100,SUM($G114:$P114)),MIN(100,SUMPRODUCT((COLUMN($G114:$P114)-COLUMN($G114)+1&lt;Reprogramaciones!P$14)*$G114:$P114)+N(INDEX($G114:$P114,1,Reprogramaciones!P$14))*IF(Reprogramaciones!P$13&gt;=(Reprogramaciones!$T$15+7*(Reprogramaciones!P$14-1))+6,1,IF(MAX(0,NETWORKDAYS.INTL(MAX(E114,(Reprogramaciones!$T$15+7*(Reprogramaciones!P$14-1))),MIN(F114,(Reprogramaciones!$T$15+7*(Reprogramaciones!P$14-1))+6),11))=0,0,MAX(0,NETWORKDAYS.INTL(MAX(E114,(Reprogramaciones!$T$15+7*(Reprogramaciones!P$14-1))),MIN(F114,Reprogramaciones!P$13),11))/MAX(0,NETWORKDAYS.INTL(MAX(E114,(Reprogramaciones!$T$15+7*(Reprogramaciones!P$14-1))),MIN(F114,(Reprogramaciones!$T$15+7*(Reprogramaciones!P$14-1))+6),11))))))))</f>
        <v/>
      </c>
      <c r="BZ114" s="1" t="str">
        <f aca="false">IF(OR(NOT(AND(ISNUMBER(E114),ISNUMBER(F114))),$J$2=""),"",IF(Reprogramaciones!Q$13&lt;Reprogramaciones!$T$15,0,IF(Reprogramaciones!Q$14&gt;10,MIN(100,SUM($G114:$P114)),MIN(100,SUMPRODUCT((COLUMN($G114:$P114)-COLUMN($G114)+1&lt;Reprogramaciones!Q$14)*$G114:$P114)+N(INDEX($G114:$P114,1,Reprogramaciones!Q$14))*IF(Reprogramaciones!Q$13&gt;=(Reprogramaciones!$T$15+7*(Reprogramaciones!Q$14-1))+6,1,IF(MAX(0,NETWORKDAYS.INTL(MAX(E114,(Reprogramaciones!$T$15+7*(Reprogramaciones!Q$14-1))),MIN(F114,(Reprogramaciones!$T$15+7*(Reprogramaciones!Q$14-1))+6),11))=0,0,MAX(0,NETWORKDAYS.INTL(MAX(E114,(Reprogramaciones!$T$15+7*(Reprogramaciones!Q$14-1))),MIN(F114,Reprogramaciones!Q$13),11))/MAX(0,NETWORKDAYS.INTL(MAX(E114,(Reprogramaciones!$T$15+7*(Reprogramaciones!Q$14-1))),MIN(F114,(Reprogramaciones!$T$15+7*(Reprogramaciones!Q$14-1))+6),11))))))))</f>
        <v/>
      </c>
      <c r="CA114" s="1" t="str">
        <f aca="false">IF(OR(NOT(AND(ISNUMBER(E114),ISNUMBER(F114))),$J$2=""),"",IF(Reprogramaciones!R$13&lt;Reprogramaciones!$T$15,0,IF(Reprogramaciones!R$14&gt;10,MIN(100,SUM($G114:$P114)),MIN(100,SUMPRODUCT((COLUMN($G114:$P114)-COLUMN($G114)+1&lt;Reprogramaciones!R$14)*$G114:$P114)+N(INDEX($G114:$P114,1,Reprogramaciones!R$14))*IF(Reprogramaciones!R$13&gt;=(Reprogramaciones!$T$15+7*(Reprogramaciones!R$14-1))+6,1,IF(MAX(0,NETWORKDAYS.INTL(MAX(E114,(Reprogramaciones!$T$15+7*(Reprogramaciones!R$14-1))),MIN(F114,(Reprogramaciones!$T$15+7*(Reprogramaciones!R$14-1))+6),11))=0,0,MAX(0,NETWORKDAYS.INTL(MAX(E114,(Reprogramaciones!$T$15+7*(Reprogramaciones!R$14-1))),MIN(F114,Reprogramaciones!R$13),11))/MAX(0,NETWORKDAYS.INTL(MAX(E114,(Reprogramaciones!$T$15+7*(Reprogramaciones!R$14-1))),MIN(F114,(Reprogramaciones!$T$15+7*(Reprogramaciones!R$14-1))+6),11))))))))</f>
        <v/>
      </c>
      <c r="CB114" s="1" t="str">
        <f aca="false">IF(OR(NOT(AND(ISNUMBER(E114),ISNUMBER(F114))),$J$2=""),"",IF(Reprogramaciones!S$13&lt;Reprogramaciones!$T$15,0,IF(Reprogramaciones!S$14&gt;10,MIN(100,SUM($G114:$P114)),MIN(100,SUMPRODUCT((COLUMN($G114:$P114)-COLUMN($G114)+1&lt;Reprogramaciones!S$14)*$G114:$P114)+N(INDEX($G114:$P114,1,Reprogramaciones!S$14))*IF(Reprogramaciones!S$13&gt;=(Reprogramaciones!$T$15+7*(Reprogramaciones!S$14-1))+6,1,IF(MAX(0,NETWORKDAYS.INTL(MAX(E114,(Reprogramaciones!$T$15+7*(Reprogramaciones!S$14-1))),MIN(F114,(Reprogramaciones!$T$15+7*(Reprogramaciones!S$14-1))+6),11))=0,0,MAX(0,NETWORKDAYS.INTL(MAX(E114,(Reprogramaciones!$T$15+7*(Reprogramaciones!S$14-1))),MIN(F114,Reprogramaciones!S$13),11))/MAX(0,NETWORKDAYS.INTL(MAX(E114,(Reprogramaciones!$T$15+7*(Reprogramaciones!S$14-1))),MIN(F114,(Reprogramaciones!$T$15+7*(Reprogramaciones!S$14-1))+6),11))))))))</f>
        <v/>
      </c>
      <c r="CC114" s="1" t="str">
        <f aca="false">IF(OR(NOT(AND(ISNUMBER(E114),ISNUMBER(F114))),$J$2=""),"",IF(Reprogramaciones!T$13&lt;Reprogramaciones!$T$15,0,IF(Reprogramaciones!T$14&gt;10,MIN(100,SUM($G114:$P114)),MIN(100,SUMPRODUCT((COLUMN($G114:$P114)-COLUMN($G114)+1&lt;Reprogramaciones!T$14)*$G114:$P114)+N(INDEX($G114:$P114,1,Reprogramaciones!T$14))*IF(Reprogramaciones!T$13&gt;=(Reprogramaciones!$T$15+7*(Reprogramaciones!T$14-1))+6,1,IF(MAX(0,NETWORKDAYS.INTL(MAX(E114,(Reprogramaciones!$T$15+7*(Reprogramaciones!T$14-1))),MIN(F114,(Reprogramaciones!$T$15+7*(Reprogramaciones!T$14-1))+6),11))=0,0,MAX(0,NETWORKDAYS.INTL(MAX(E114,(Reprogramaciones!$T$15+7*(Reprogramaciones!T$14-1))),MIN(F114,Reprogramaciones!T$13),11))/MAX(0,NETWORKDAYS.INTL(MAX(E114,(Reprogramaciones!$T$15+7*(Reprogramaciones!T$14-1))),MIN(F114,(Reprogramaciones!$T$15+7*(Reprogramaciones!T$14-1))+6),11))))))))</f>
        <v/>
      </c>
      <c r="CD114" s="1" t="str">
        <f aca="false">IF(OR(NOT(AND(ISNUMBER(E114),ISNUMBER(F114))),$J$2=""),"",IF(Reprogramaciones!U$13&lt;Reprogramaciones!$T$15,0,IF(Reprogramaciones!U$14&gt;10,MIN(100,SUM($G114:$P114)),MIN(100,SUMPRODUCT((COLUMN($G114:$P114)-COLUMN($G114)+1&lt;Reprogramaciones!U$14)*$G114:$P114)+N(INDEX($G114:$P114,1,Reprogramaciones!U$14))*IF(Reprogramaciones!U$13&gt;=(Reprogramaciones!$T$15+7*(Reprogramaciones!U$14-1))+6,1,IF(MAX(0,NETWORKDAYS.INTL(MAX(E114,(Reprogramaciones!$T$15+7*(Reprogramaciones!U$14-1))),MIN(F114,(Reprogramaciones!$T$15+7*(Reprogramaciones!U$14-1))+6),11))=0,0,MAX(0,NETWORKDAYS.INTL(MAX(E114,(Reprogramaciones!$T$15+7*(Reprogramaciones!U$14-1))),MIN(F114,Reprogramaciones!U$13),11))/MAX(0,NETWORKDAYS.INTL(MAX(E114,(Reprogramaciones!$T$15+7*(Reprogramaciones!U$14-1))),MIN(F114,(Reprogramaciones!$T$15+7*(Reprogramaciones!U$14-1))+6),11))))))))</f>
        <v/>
      </c>
      <c r="CE114" s="1" t="str">
        <f aca="false">IF(OR(NOT(AND(ISNUMBER(E114),ISNUMBER(F114))),$J$2=""),"",IF(Reprogramaciones!V$13&lt;Reprogramaciones!$T$15,0,IF(Reprogramaciones!V$14&gt;10,MIN(100,SUM($G114:$P114)),MIN(100,SUMPRODUCT((COLUMN($G114:$P114)-COLUMN($G114)+1&lt;Reprogramaciones!V$14)*$G114:$P114)+N(INDEX($G114:$P114,1,Reprogramaciones!V$14))*IF(Reprogramaciones!V$13&gt;=(Reprogramaciones!$T$15+7*(Reprogramaciones!V$14-1))+6,1,IF(MAX(0,NETWORKDAYS.INTL(MAX(E114,(Reprogramaciones!$T$15+7*(Reprogramaciones!V$14-1))),MIN(F114,(Reprogramaciones!$T$15+7*(Reprogramaciones!V$14-1))+6),11))=0,0,MAX(0,NETWORKDAYS.INTL(MAX(E114,(Reprogramaciones!$T$15+7*(Reprogramaciones!V$14-1))),MIN(F114,Reprogramaciones!V$13),11))/MAX(0,NETWORKDAYS.INTL(MAX(E114,(Reprogramaciones!$T$15+7*(Reprogramaciones!V$14-1))),MIN(F114,(Reprogramaciones!$T$15+7*(Reprogramaciones!V$14-1))+6),11))))))))</f>
        <v/>
      </c>
      <c r="CF114" s="1" t="str">
        <f aca="false">IF(OR(NOT(AND(ISNUMBER(E114),ISNUMBER(F114))),$J$2=""),"",IF(Reprogramaciones!W$13&lt;Reprogramaciones!$T$15,0,IF(Reprogramaciones!W$14&gt;10,MIN(100,SUM($G114:$P114)),MIN(100,SUMPRODUCT((COLUMN($G114:$P114)-COLUMN($G114)+1&lt;Reprogramaciones!W$14)*$G114:$P114)+N(INDEX($G114:$P114,1,Reprogramaciones!W$14))*IF(Reprogramaciones!W$13&gt;=(Reprogramaciones!$T$15+7*(Reprogramaciones!W$14-1))+6,1,IF(MAX(0,NETWORKDAYS.INTL(MAX(E114,(Reprogramaciones!$T$15+7*(Reprogramaciones!W$14-1))),MIN(F114,(Reprogramaciones!$T$15+7*(Reprogramaciones!W$14-1))+6),11))=0,0,MAX(0,NETWORKDAYS.INTL(MAX(E114,(Reprogramaciones!$T$15+7*(Reprogramaciones!W$14-1))),MIN(F114,Reprogramaciones!W$13),11))/MAX(0,NETWORKDAYS.INTL(MAX(E114,(Reprogramaciones!$T$15+7*(Reprogramaciones!W$14-1))),MIN(F114,(Reprogramaciones!$T$15+7*(Reprogramaciones!W$14-1))+6),11))))))))</f>
        <v/>
      </c>
      <c r="CG114" s="1" t="str">
        <f aca="false">IF(OR(NOT(AND(ISNUMBER(E114),ISNUMBER(F114))),$J$2=""),"",IF(Reprogramaciones!X$13&lt;Reprogramaciones!$T$15,0,IF(Reprogramaciones!X$14&gt;10,MIN(100,SUM($G114:$P114)),MIN(100,SUMPRODUCT((COLUMN($G114:$P114)-COLUMN($G114)+1&lt;Reprogramaciones!X$14)*$G114:$P114)+N(INDEX($G114:$P114,1,Reprogramaciones!X$14))*IF(Reprogramaciones!X$13&gt;=(Reprogramaciones!$T$15+7*(Reprogramaciones!X$14-1))+6,1,IF(MAX(0,NETWORKDAYS.INTL(MAX(E114,(Reprogramaciones!$T$15+7*(Reprogramaciones!X$14-1))),MIN(F114,(Reprogramaciones!$T$15+7*(Reprogramaciones!X$14-1))+6),11))=0,0,MAX(0,NETWORKDAYS.INTL(MAX(E114,(Reprogramaciones!$T$15+7*(Reprogramaciones!X$14-1))),MIN(F114,Reprogramaciones!X$13),11))/MAX(0,NETWORKDAYS.INTL(MAX(E114,(Reprogramaciones!$T$15+7*(Reprogramaciones!X$14-1))),MIN(F114,(Reprogramaciones!$T$15+7*(Reprogramaciones!X$14-1))+6),11))))))))</f>
        <v/>
      </c>
      <c r="CH114" s="1" t="str">
        <f aca="false">IF(OR(NOT(AND(ISNUMBER(E114),ISNUMBER(F114))),$J$2=""),"",IF(Reprogramaciones!Y$13&lt;Reprogramaciones!$T$15,0,IF(Reprogramaciones!Y$14&gt;10,MIN(100,SUM($G114:$P114)),MIN(100,SUMPRODUCT((COLUMN($G114:$P114)-COLUMN($G114)+1&lt;Reprogramaciones!Y$14)*$G114:$P114)+N(INDEX($G114:$P114,1,Reprogramaciones!Y$14))*IF(Reprogramaciones!Y$13&gt;=(Reprogramaciones!$T$15+7*(Reprogramaciones!Y$14-1))+6,1,IF(MAX(0,NETWORKDAYS.INTL(MAX(E114,(Reprogramaciones!$T$15+7*(Reprogramaciones!Y$14-1))),MIN(F114,(Reprogramaciones!$T$15+7*(Reprogramaciones!Y$14-1))+6),11))=0,0,MAX(0,NETWORKDAYS.INTL(MAX(E114,(Reprogramaciones!$T$15+7*(Reprogramaciones!Y$14-1))),MIN(F114,Reprogramaciones!Y$13),11))/MAX(0,NETWORKDAYS.INTL(MAX(E114,(Reprogramaciones!$T$15+7*(Reprogramaciones!Y$14-1))),MIN(F114,(Reprogramaciones!$T$15+7*(Reprogramaciones!Y$14-1))+6),11))))))))</f>
        <v/>
      </c>
      <c r="CI114" s="1" t="str">
        <f aca="false">IF(OR(NOT(AND(ISNUMBER(E114),ISNUMBER(F114))),$J$2=""),"",IF(Reprogramaciones!Z$13&lt;Reprogramaciones!$T$15,0,IF(Reprogramaciones!Z$14&gt;10,MIN(100,SUM($G114:$P114)),MIN(100,SUMPRODUCT((COLUMN($G114:$P114)-COLUMN($G114)+1&lt;Reprogramaciones!Z$14)*$G114:$P114)+N(INDEX($G114:$P114,1,Reprogramaciones!Z$14))*IF(Reprogramaciones!Z$13&gt;=(Reprogramaciones!$T$15+7*(Reprogramaciones!Z$14-1))+6,1,IF(MAX(0,NETWORKDAYS.INTL(MAX(E114,(Reprogramaciones!$T$15+7*(Reprogramaciones!Z$14-1))),MIN(F114,(Reprogramaciones!$T$15+7*(Reprogramaciones!Z$14-1))+6),11))=0,0,MAX(0,NETWORKDAYS.INTL(MAX(E114,(Reprogramaciones!$T$15+7*(Reprogramaciones!Z$14-1))),MIN(F114,Reprogramaciones!Z$13),11))/MAX(0,NETWORKDAYS.INTL(MAX(E114,(Reprogramaciones!$T$15+7*(Reprogramaciones!Z$14-1))),MIN(F114,(Reprogramaciones!$T$15+7*(Reprogramaciones!Z$14-1))+6),11))))))))</f>
        <v/>
      </c>
      <c r="CJ114" s="1" t="str">
        <f aca="false">IF(OR(OR(NOT(AND(ISNUMBER(E114),ISNUMBER(F114))),$J$2=""),1&gt;Reprogramaciones!$K$16),"",IF(ROUND(SUM($Q114:Q114),1)&gt;=99.5,100,MIN(100,ROUND(SUM($Q114:Q114),1))))</f>
        <v/>
      </c>
      <c r="CK114" s="1" t="str">
        <f aca="false">IF(OR(OR(NOT(AND(ISNUMBER(E114),ISNUMBER(F114))),$J$2=""),2&gt;Reprogramaciones!$K$16),"",IF(ROUND(SUM($Q114:R114),1)&gt;=99.5,100,MIN(100,ROUND(SUM($Q114:R114),1))))</f>
        <v/>
      </c>
      <c r="CL114" s="1" t="str">
        <f aca="false">IF(OR(OR(NOT(AND(ISNUMBER(E114),ISNUMBER(F114))),$J$2=""),3&gt;Reprogramaciones!$K$16),"",IF(ROUND(SUM($Q114:S114),1)&gt;=99.5,100,MIN(100,ROUND(SUM($Q114:S114),1))))</f>
        <v/>
      </c>
      <c r="CM114" s="1" t="str">
        <f aca="false">IF(OR(OR(NOT(AND(ISNUMBER(E114),ISNUMBER(F114))),$J$2=""),4&gt;Reprogramaciones!$K$16),"",IF(ROUND(SUM($Q114:T114),1)&gt;=99.5,100,MIN(100,ROUND(SUM($Q114:T114),1))))</f>
        <v/>
      </c>
      <c r="CN114" s="1" t="str">
        <f aca="false">IF(OR(OR(NOT(AND(ISNUMBER(E114),ISNUMBER(F114))),$J$2=""),5&gt;Reprogramaciones!$K$16),"",IF(ROUND(SUM($Q114:U114),1)&gt;=99.5,100,MIN(100,ROUND(SUM($Q114:U114),1))))</f>
        <v/>
      </c>
      <c r="CO114" s="1" t="str">
        <f aca="false">IF(OR(OR(NOT(AND(ISNUMBER(E114),ISNUMBER(F114))),$J$2=""),6&gt;Reprogramaciones!$K$16),"",IF(ROUND(SUM($Q114:V114),1)&gt;=99.5,100,MIN(100,ROUND(SUM($Q114:V114),1))))</f>
        <v/>
      </c>
      <c r="CP114" s="1" t="str">
        <f aca="false">IF(OR(OR(NOT(AND(ISNUMBER(E114),ISNUMBER(F114))),$J$2=""),7&gt;Reprogramaciones!$K$16),"",IF(ROUND(SUM($Q114:W114),1)&gt;=99.5,100,MIN(100,ROUND(SUM($Q114:W114),1))))</f>
        <v/>
      </c>
      <c r="CQ114" s="1" t="str">
        <f aca="false">IF(OR(OR(NOT(AND(ISNUMBER(E114),ISNUMBER(F114))),$J$2=""),8&gt;Reprogramaciones!$K$16),"",IF(ROUND(SUM($Q114:X114),1)&gt;=99.5,100,MIN(100,ROUND(SUM($Q114:X114),1))))</f>
        <v/>
      </c>
      <c r="CR114" s="1" t="str">
        <f aca="false">IF(OR(OR(NOT(AND(ISNUMBER(E114),ISNUMBER(F114))),$J$2=""),9&gt;Reprogramaciones!$K$16),"",IF(ROUND(SUM($Q114:Y114),1)&gt;=99.5,100,MIN(100,ROUND(SUM($Q114:Y114),1))))</f>
        <v/>
      </c>
      <c r="CS114" s="1" t="str">
        <f aca="false">IF(OR(OR(NOT(AND(ISNUMBER(E114),ISNUMBER(F114))),$J$2=""),10&gt;Reprogramaciones!$K$16),"",IF(ROUND(SUM($Q114:Z114),1)&gt;=99.5,100,MIN(100,ROUND(SUM($Q114:Z114),1))))</f>
        <v/>
      </c>
      <c r="CT114" s="1" t="str">
        <f aca="false">IF(OR(OR(NOT(AND(ISNUMBER(E114),ISNUMBER(F114))),$J$2=""),11&gt;Reprogramaciones!$K$16),"",IF(ROUND(SUM($Q114:AA114),1)&gt;=99.5,100,MIN(100,ROUND(SUM($Q114:AA114),1))))</f>
        <v/>
      </c>
      <c r="CU114" s="1" t="str">
        <f aca="false">IF(OR(OR(NOT(AND(ISNUMBER(E114),ISNUMBER(F114))),$J$2=""),12&gt;Reprogramaciones!$K$16),"",IF(ROUND(SUM($Q114:AB114),1)&gt;=99.5,100,MIN(100,ROUND(SUM($Q114:AB114),1))))</f>
        <v/>
      </c>
      <c r="CV114" s="1" t="str">
        <f aca="false">IF(OR(OR(NOT(AND(ISNUMBER(E114),ISNUMBER(F114))),$J$2=""),13&gt;Reprogramaciones!$K$16),"",IF(ROUND(SUM($Q114:AC114),1)&gt;=99.5,100,MIN(100,ROUND(SUM($Q114:AC114),1))))</f>
        <v/>
      </c>
      <c r="CW114" s="1" t="str">
        <f aca="false">IF(OR(OR(NOT(AND(ISNUMBER(E114),ISNUMBER(F114))),$J$2=""),14&gt;Reprogramaciones!$K$16),"",IF(ROUND(SUM($Q114:AD114),1)&gt;=99.5,100,MIN(100,ROUND(SUM($Q114:AD114),1))))</f>
        <v/>
      </c>
      <c r="CX114" s="1" t="str">
        <f aca="false">IF(OR(OR(NOT(AND(ISNUMBER(E114),ISNUMBER(F114))),$J$2=""),15&gt;Reprogramaciones!$K$16),"",IF(ROUND(SUM($Q114:AE114),1)&gt;=99.5,100,MIN(100,ROUND(SUM($Q114:AE114),1))))</f>
        <v/>
      </c>
      <c r="CY114" s="1" t="str">
        <f aca="false">IF(OR(OR(NOT(AND(ISNUMBER(E114),ISNUMBER(F114))),$J$2=""),16&gt;Reprogramaciones!$K$16),"",IF(ROUND(SUM($Q114:AF114),1)&gt;=99.5,100,MIN(100,ROUND(SUM($Q114:AF114),1))))</f>
        <v/>
      </c>
      <c r="CZ114" s="1" t="str">
        <f aca="false">IF(D114&lt;&gt;"",D114,IF(B114&lt;&gt;"","Contractual",CZ113))</f>
        <v>Contractual</v>
      </c>
      <c r="DA114" s="1" t="str">
        <f aca="false">IF(OR(NOT(AND(ISNUMBER(E114),ISNUMBER(F114))),$J$2=""),"",IF(Reprogramaciones!$Q$15&lt;Reprogramaciones!$T$15,0,IF(Reprogramaciones!$S$15&gt;10,MIN(100,SUM($G114:$P114)),MIN(100,SUMPRODUCT((COLUMN($G114:$P114)-COLUMN($G114)+1&lt;Reprogramaciones!$S$15)*$G114:$P114)+N(INDEX($G114:$P114,1,Reprogramaciones!$S$15))*IF(Reprogramaciones!$Q$15&gt;=(Reprogramaciones!$T$15+7*(Reprogramaciones!$S$15-1))+6,1,IF(MAX(0,NETWORKDAYS.INTL(MAX(E114,(Reprogramaciones!$T$15+7*(Reprogramaciones!$S$15-1))),MIN(F114,(Reprogramaciones!$T$15+7*(Reprogramaciones!$S$15-1))+6),11))=0,0,MAX(0,NETWORKDAYS.INTL(MAX(E114,(Reprogramaciones!$T$15+7*(Reprogramaciones!$S$15-1))),MIN(F114,Reprogramaciones!$Q$15),11))/MAX(0,NETWORKDAYS.INTL(MAX(E114,(Reprogramaciones!$T$15+7*(Reprogramaciones!$S$15-1))),MIN(F114,(Reprogramaciones!$T$15+7*(Reprogramaciones!$S$15-1))+6),11))))))))</f>
        <v/>
      </c>
    </row>
    <row r="115" customFormat="false" ht="15" hidden="false" customHeight="false" outlineLevel="0" collapsed="false">
      <c r="A115" s="32"/>
      <c r="B115" s="33"/>
      <c r="C115" s="33"/>
      <c r="D115" s="34"/>
      <c r="E115" s="35"/>
      <c r="F115" s="35"/>
      <c r="G115" s="36" t="str">
        <f aca="false">IF(OR(NOT(AND(ISNUMBER(E115),ISNUMBER(F115))),$J$2=""),"",IF(Reprogramaciones!K$9&lt;E115,0,IF(NETWORKDAYS.INTL(E115,F115,11)=0,IF(Reprogramaciones!K$9&gt;=F115,100,0),ROUND(NETWORKDAYS.INTL(E115,MIN(F115,Reprogramaciones!K$9),11)/NETWORKDAYS.INTL(E115,F115,11)*100,1)))-0)</f>
        <v/>
      </c>
      <c r="H115" s="36" t="str">
        <f aca="false">IF(OR(NOT(AND(ISNUMBER(E115),ISNUMBER(F115))),$J$2=""),"",IF(Reprogramaciones!L$9&lt;E115,0,IF(NETWORKDAYS.INTL(E115,F115,11)=0,IF(Reprogramaciones!L$9&gt;=F115,100,0),ROUND(NETWORKDAYS.INTL(E115,MIN(F115,Reprogramaciones!L$9),11)/NETWORKDAYS.INTL(E115,F115,11)*100,1)))-IF(Reprogramaciones!K$9&lt;E115,0,IF(NETWORKDAYS.INTL(E115,F115,11)=0,IF(Reprogramaciones!K$9&gt;=F115,100,0),ROUND(NETWORKDAYS.INTL(E115,MIN(F115,Reprogramaciones!K$9),11)/NETWORKDAYS.INTL(E115,F115,11)*100,1))))</f>
        <v/>
      </c>
      <c r="I115" s="36" t="str">
        <f aca="false">IF(OR(NOT(AND(ISNUMBER(E115),ISNUMBER(F115))),$J$2=""),"",IF(Reprogramaciones!M$9&lt;E115,0,IF(NETWORKDAYS.INTL(E115,F115,11)=0,IF(Reprogramaciones!M$9&gt;=F115,100,0),ROUND(NETWORKDAYS.INTL(E115,MIN(F115,Reprogramaciones!M$9),11)/NETWORKDAYS.INTL(E115,F115,11)*100,1)))-IF(Reprogramaciones!L$9&lt;E115,0,IF(NETWORKDAYS.INTL(E115,F115,11)=0,IF(Reprogramaciones!L$9&gt;=F115,100,0),ROUND(NETWORKDAYS.INTL(E115,MIN(F115,Reprogramaciones!L$9),11)/NETWORKDAYS.INTL(E115,F115,11)*100,1))))</f>
        <v/>
      </c>
      <c r="J115" s="36" t="str">
        <f aca="false">IF(OR(NOT(AND(ISNUMBER(E115),ISNUMBER(F115))),$J$2=""),"",IF(Reprogramaciones!N$9&lt;E115,0,IF(NETWORKDAYS.INTL(E115,F115,11)=0,IF(Reprogramaciones!N$9&gt;=F115,100,0),ROUND(NETWORKDAYS.INTL(E115,MIN(F115,Reprogramaciones!N$9),11)/NETWORKDAYS.INTL(E115,F115,11)*100,1)))-IF(Reprogramaciones!M$9&lt;E115,0,IF(NETWORKDAYS.INTL(E115,F115,11)=0,IF(Reprogramaciones!M$9&gt;=F115,100,0),ROUND(NETWORKDAYS.INTL(E115,MIN(F115,Reprogramaciones!M$9),11)/NETWORKDAYS.INTL(E115,F115,11)*100,1))))</f>
        <v/>
      </c>
      <c r="K115" s="36" t="str">
        <f aca="false">IF(OR(NOT(AND(ISNUMBER(E115),ISNUMBER(F115))),$J$2=""),"",IF(Reprogramaciones!O$9&lt;E115,0,IF(NETWORKDAYS.INTL(E115,F115,11)=0,IF(Reprogramaciones!O$9&gt;=F115,100,0),ROUND(NETWORKDAYS.INTL(E115,MIN(F115,Reprogramaciones!O$9),11)/NETWORKDAYS.INTL(E115,F115,11)*100,1)))-IF(Reprogramaciones!N$9&lt;E115,0,IF(NETWORKDAYS.INTL(E115,F115,11)=0,IF(Reprogramaciones!N$9&gt;=F115,100,0),ROUND(NETWORKDAYS.INTL(E115,MIN(F115,Reprogramaciones!N$9),11)/NETWORKDAYS.INTL(E115,F115,11)*100,1))))</f>
        <v/>
      </c>
      <c r="L115" s="36" t="str">
        <f aca="false">IF(OR(NOT(AND(ISNUMBER(E115),ISNUMBER(F115))),$J$2=""),"",IF(Reprogramaciones!P$9&lt;E115,0,IF(NETWORKDAYS.INTL(E115,F115,11)=0,IF(Reprogramaciones!P$9&gt;=F115,100,0),ROUND(NETWORKDAYS.INTL(E115,MIN(F115,Reprogramaciones!P$9),11)/NETWORKDAYS.INTL(E115,F115,11)*100,1)))-IF(Reprogramaciones!O$9&lt;E115,0,IF(NETWORKDAYS.INTL(E115,F115,11)=0,IF(Reprogramaciones!O$9&gt;=F115,100,0),ROUND(NETWORKDAYS.INTL(E115,MIN(F115,Reprogramaciones!O$9),11)/NETWORKDAYS.INTL(E115,F115,11)*100,1))))</f>
        <v/>
      </c>
      <c r="M115" s="36" t="str">
        <f aca="false">IF(OR(NOT(AND(ISNUMBER(E115),ISNUMBER(F115))),$J$2=""),"",IF(Reprogramaciones!Q$9&lt;E115,0,IF(NETWORKDAYS.INTL(E115,F115,11)=0,IF(Reprogramaciones!Q$9&gt;=F115,100,0),ROUND(NETWORKDAYS.INTL(E115,MIN(F115,Reprogramaciones!Q$9),11)/NETWORKDAYS.INTL(E115,F115,11)*100,1)))-IF(Reprogramaciones!P$9&lt;E115,0,IF(NETWORKDAYS.INTL(E115,F115,11)=0,IF(Reprogramaciones!P$9&gt;=F115,100,0),ROUND(NETWORKDAYS.INTL(E115,MIN(F115,Reprogramaciones!P$9),11)/NETWORKDAYS.INTL(E115,F115,11)*100,1))))</f>
        <v/>
      </c>
      <c r="N115" s="36" t="str">
        <f aca="false">IF(OR(NOT(AND(ISNUMBER(E115),ISNUMBER(F115))),$J$2=""),"",IF(Reprogramaciones!R$9&lt;E115,0,IF(NETWORKDAYS.INTL(E115,F115,11)=0,IF(Reprogramaciones!R$9&gt;=F115,100,0),ROUND(NETWORKDAYS.INTL(E115,MIN(F115,Reprogramaciones!R$9),11)/NETWORKDAYS.INTL(E115,F115,11)*100,1)))-IF(Reprogramaciones!Q$9&lt;E115,0,IF(NETWORKDAYS.INTL(E115,F115,11)=0,IF(Reprogramaciones!Q$9&gt;=F115,100,0),ROUND(NETWORKDAYS.INTL(E115,MIN(F115,Reprogramaciones!Q$9),11)/NETWORKDAYS.INTL(E115,F115,11)*100,1))))</f>
        <v/>
      </c>
      <c r="O115" s="36" t="str">
        <f aca="false">IF(OR(NOT(AND(ISNUMBER(E115),ISNUMBER(F115))),$J$2=""),"",IF(Reprogramaciones!S$9&lt;E115,0,IF(NETWORKDAYS.INTL(E115,F115,11)=0,IF(Reprogramaciones!S$9&gt;=F115,100,0),ROUND(NETWORKDAYS.INTL(E115,MIN(F115,Reprogramaciones!S$9),11)/NETWORKDAYS.INTL(E115,F115,11)*100,1)))-IF(Reprogramaciones!R$9&lt;E115,0,IF(NETWORKDAYS.INTL(E115,F115,11)=0,IF(Reprogramaciones!R$9&gt;=F115,100,0),ROUND(NETWORKDAYS.INTL(E115,MIN(F115,Reprogramaciones!R$9),11)/NETWORKDAYS.INTL(E115,F115,11)*100,1))))</f>
        <v/>
      </c>
      <c r="P115" s="36" t="str">
        <f aca="false">IF(OR(NOT(AND(ISNUMBER(E115),ISNUMBER(F115))),$J$2=""),"",IF(Reprogramaciones!T$9&lt;E115,0,IF(NETWORKDAYS.INTL(E115,F115,11)=0,IF(Reprogramaciones!T$9&gt;=F115,100,0),ROUND(NETWORKDAYS.INTL(E115,MIN(F115,Reprogramaciones!T$9),11)/NETWORKDAYS.INTL(E115,F115,11)*100,1)))-IF(Reprogramaciones!S$9&lt;E115,0,IF(NETWORKDAYS.INTL(E115,F115,11)=0,IF(Reprogramaciones!S$9&gt;=F115,100,0),ROUND(NETWORKDAYS.INTL(E115,MIN(F115,Reprogramaciones!S$9),11)/NETWORKDAYS.INTL(E115,F115,11)*100,1))))</f>
        <v/>
      </c>
      <c r="Q115" s="37"/>
      <c r="R115" s="37"/>
      <c r="S115" s="37"/>
      <c r="T115" s="37"/>
      <c r="U115" s="37"/>
      <c r="V115" s="37"/>
      <c r="W115" s="37"/>
      <c r="X115" s="37"/>
      <c r="Y115" s="37"/>
      <c r="Z115" s="37"/>
      <c r="AA115" s="37"/>
      <c r="AB115" s="37"/>
      <c r="AC115" s="37"/>
      <c r="AD115" s="37"/>
      <c r="AE115" s="37"/>
      <c r="AF115" s="37"/>
      <c r="AG115" s="38" t="str">
        <f aca="false">IF(AND(ISNUMBER(E115),ISNUMBER(F115)),NETWORKDAYS.INTL(E115,F115,11),"")</f>
        <v/>
      </c>
      <c r="AH115" s="38" t="str">
        <f aca="false">IF(OR(NOT(AND(ISNUMBER(E115),ISNUMBER(F115))),$J$2=""),"",IF(Reprogramaciones!$P$15&lt;Reprogramaciones!$T$15,0,IF(Reprogramaciones!$R$15&gt;10,MIN(100,SUM($G115:$P115)),MIN(100,SUMPRODUCT((COLUMN($G115:$P115)-COLUMN($G115)+1&lt;Reprogramaciones!$R$15)*$G115:$P115)+N(INDEX($G115:$P115,1,Reprogramaciones!$R$15))*IF(Reprogramaciones!$P$15&gt;=(Reprogramaciones!$T$15+7*(Reprogramaciones!$R$15-1))+6,1,IF(MAX(0,NETWORKDAYS.INTL(MAX(E115,(Reprogramaciones!$T$15+7*(Reprogramaciones!$R$15-1))),MIN(F115,(Reprogramaciones!$T$15+7*(Reprogramaciones!$R$15-1))+6),11))=0,0,MAX(0,NETWORKDAYS.INTL(MAX(E115,(Reprogramaciones!$T$15+7*(Reprogramaciones!$R$15-1))),MIN(F115,Reprogramaciones!$P$15),11))/MAX(0,NETWORKDAYS.INTL(MAX(E115,(Reprogramaciones!$T$15+7*(Reprogramaciones!$R$15-1))),MIN(F115,(Reprogramaciones!$T$15+7*(Reprogramaciones!$R$15-1))+6),11))))))))</f>
        <v/>
      </c>
      <c r="AI115" s="38" t="str">
        <f aca="false">IF(COUNT($Q115:$AF115)=0,"",IF(ROUND(SUM($Q115:$AF115),1)&gt;=99.5,100,MIN(100,ROUND(SUM($Q115:$AF115),1))))</f>
        <v/>
      </c>
      <c r="AJ115" s="38" t="str">
        <f aca="false">IF(OR(AH115="",AI115=""),"",AI115-AH115)</f>
        <v/>
      </c>
      <c r="AK115" s="39" t="str">
        <f aca="true">IF(AH115="","",IF(OR(Ficha!$C$10="Suspendida",Ficha!$C$10="Cancelada"),Ficha!$C$10,IF(AND(AI115&lt;&gt;"",N(AI115)&gt;=100),"Completada",IF(AND(E115&gt;TODAY(),N(AI115)=0),"Por iniciar",IF(N(AI115)+0.5&lt;AH115,"Retrasada",IF(N(AI115)+0.5&lt;DA115,IF(Reprogramaciones!$K$15&gt;0,"Al día · Sem "&amp;Reprogramaciones!$K$15&amp;" en curso","Al día · en curso"),"A tiempo"))))))</f>
        <v/>
      </c>
      <c r="AL115" s="39" t="str">
        <f aca="true">IF(AND(A115="",AND(B115="",C115="",E115="",F115="",COUNT(Q115:AF115)=0)),"",IF(AND(B115="",C115="",E115="",F115="",COUNT(Q115:AF115)=0),"Falta la partida o subpartida",IF(AND(A115&lt;&gt;"",COUNTIF($A$6:$A$305,A115)&gt;1),"Ítem repetido",IF(AND(C115="",E115="",F115="",COUNT(Q115:AF115)=0),"Título de partida",IF(OR(E115="",F115=""),"Faltan fechas",IF(OR(ISTEXT(E115),ISTEXT(F115)),"Fecha escrita como texto: usa dd/mm/aaaa",IF(F115&lt;E115,"Fin antes del inicio",IF(IF($J$2="",FALSE(),OR(E115&lt;$J$2,F115&gt;Reprogramaciones!$T$15+69)),"Fuera de las 10 semanas",IF(ABS(SUM(G115:P115)-100)&gt;0.5,"La meta no suma 100%",IF(ROUND(SUM(Q115:AF115),1)&gt;100.5,"El avance pasa de 100%",IF(MIN(Q115:AF115)&lt;0,"Avance negativo",IF(COUNTA(Q115:AF115)&gt;COUNT(Q115:AF115),"Avance escrito como texto",IF(SUMPRODUCT((Q115:AF115&gt;0)*(Q115:AF115&lt;1))&gt;0,"Avance menor a 1: escribe 50, no 50%",IF(SUMPRODUCT(ISNUMBER(Q115:AF115)*(Reprogramaciones!$K$8:$Z$8&gt;TODAY()))&gt;0,"Avance en semana que aún no llega",IF(AND(N(Reprogramaciones!$E$21)&gt;0,F115&gt;Reprogramaciones!$E$21),"Pasa el fin de la obra: registra una reprogramación",IF(AND(N(Reprogramaciones!$E$21)&gt;0,SUMPRODUCT(ISNUMBER(Q115:AF115)*(Reprogramaciones!$K$8:$Z$8&gt;Reprogramaciones!$E$21))&gt;0),"Avance después del fin de la obra: registra una reprogramación por atraso","OK"))))))))))))))))</f>
        <v/>
      </c>
      <c r="AM115" s="40" t="str">
        <f aca="false">IF(OR(OR(NOT(AND(ISNUMBER(E115),ISNUMBER(F115))),$J$2=""),1&gt;MAX(1,Reprogramaciones!$U$15)),"",IF(Reprogramaciones!K$12&gt;=7,"",IF(OR(BT115-N(0)&gt;0.05,N(Q115)&gt;0),ROUNDDOWN(ROUND(BT115,6),0)&amp;"%"&amp;IF(CJ115="",""," / "&amp;CJ115&amp;"%"),IF(AND(N(0)&gt;=99.95,CJ115&lt;&gt;"",N(CJ115)&lt;100),"Pend. "&amp;CJ115&amp;"%",""))))</f>
        <v/>
      </c>
      <c r="AN115" s="40" t="str">
        <f aca="false">IF(OR(OR(NOT(AND(ISNUMBER(E115),ISNUMBER(F115))),$J$2=""),2&gt;MAX(1,Reprogramaciones!$U$15)),"",IF(Reprogramaciones!L$12&gt;=7,"",IF(OR(BU115-N(BT115)&gt;0.05,N(R115)&gt;0),ROUNDDOWN(ROUND(BU115,6),0)&amp;"%"&amp;IF(CK115="",""," / "&amp;CK115&amp;"%"),IF(AND(N(BT115)&gt;=99.95,CK115&lt;&gt;"",N(CK115)&lt;100),"Pend. "&amp;CK115&amp;"%",""))))</f>
        <v/>
      </c>
      <c r="AO115" s="40" t="str">
        <f aca="false">IF(OR(OR(NOT(AND(ISNUMBER(E115),ISNUMBER(F115))),$J$2=""),3&gt;MAX(1,Reprogramaciones!$U$15)),"",IF(Reprogramaciones!M$12&gt;=7,"",IF(OR(BV115-N(BU115)&gt;0.05,N(S115)&gt;0),ROUNDDOWN(ROUND(BV115,6),0)&amp;"%"&amp;IF(CL115="",""," / "&amp;CL115&amp;"%"),IF(AND(N(BU115)&gt;=99.95,CL115&lt;&gt;"",N(CL115)&lt;100),"Pend. "&amp;CL115&amp;"%",""))))</f>
        <v/>
      </c>
      <c r="AP115" s="40" t="str">
        <f aca="false">IF(OR(OR(NOT(AND(ISNUMBER(E115),ISNUMBER(F115))),$J$2=""),4&gt;MAX(1,Reprogramaciones!$U$15)),"",IF(Reprogramaciones!N$12&gt;=7,"",IF(OR(BW115-N(BV115)&gt;0.05,N(T115)&gt;0),ROUNDDOWN(ROUND(BW115,6),0)&amp;"%"&amp;IF(CM115="",""," / "&amp;CM115&amp;"%"),IF(AND(N(BV115)&gt;=99.95,CM115&lt;&gt;"",N(CM115)&lt;100),"Pend. "&amp;CM115&amp;"%",""))))</f>
        <v/>
      </c>
      <c r="AQ115" s="40" t="str">
        <f aca="false">IF(OR(OR(NOT(AND(ISNUMBER(E115),ISNUMBER(F115))),$J$2=""),5&gt;MAX(1,Reprogramaciones!$U$15)),"",IF(Reprogramaciones!O$12&gt;=7,"",IF(OR(BX115-N(BW115)&gt;0.05,N(U115)&gt;0),ROUNDDOWN(ROUND(BX115,6),0)&amp;"%"&amp;IF(CN115="",""," / "&amp;CN115&amp;"%"),IF(AND(N(BW115)&gt;=99.95,CN115&lt;&gt;"",N(CN115)&lt;100),"Pend. "&amp;CN115&amp;"%",""))))</f>
        <v/>
      </c>
      <c r="AR115" s="40" t="str">
        <f aca="false">IF(OR(OR(NOT(AND(ISNUMBER(E115),ISNUMBER(F115))),$J$2=""),6&gt;MAX(1,Reprogramaciones!$U$15)),"",IF(Reprogramaciones!P$12&gt;=7,"",IF(OR(BY115-N(BX115)&gt;0.05,N(V115)&gt;0),ROUNDDOWN(ROUND(BY115,6),0)&amp;"%"&amp;IF(CO115="",""," / "&amp;CO115&amp;"%"),IF(AND(N(BX115)&gt;=99.95,CO115&lt;&gt;"",N(CO115)&lt;100),"Pend. "&amp;CO115&amp;"%",""))))</f>
        <v/>
      </c>
      <c r="AS115" s="40" t="str">
        <f aca="false">IF(OR(OR(NOT(AND(ISNUMBER(E115),ISNUMBER(F115))),$J$2=""),7&gt;MAX(1,Reprogramaciones!$U$15)),"",IF(Reprogramaciones!Q$12&gt;=7,"",IF(OR(BZ115-N(BY115)&gt;0.05,N(W115)&gt;0),ROUNDDOWN(ROUND(BZ115,6),0)&amp;"%"&amp;IF(CP115="",""," / "&amp;CP115&amp;"%"),IF(AND(N(BY115)&gt;=99.95,CP115&lt;&gt;"",N(CP115)&lt;100),"Pend. "&amp;CP115&amp;"%",""))))</f>
        <v/>
      </c>
      <c r="AT115" s="40" t="str">
        <f aca="false">IF(OR(OR(NOT(AND(ISNUMBER(E115),ISNUMBER(F115))),$J$2=""),8&gt;MAX(1,Reprogramaciones!$U$15)),"",IF(Reprogramaciones!R$12&gt;=7,"",IF(OR(CA115-N(BZ115)&gt;0.05,N(X115)&gt;0),ROUNDDOWN(ROUND(CA115,6),0)&amp;"%"&amp;IF(CQ115="",""," / "&amp;CQ115&amp;"%"),IF(AND(N(BZ115)&gt;=99.95,CQ115&lt;&gt;"",N(CQ115)&lt;100),"Pend. "&amp;CQ115&amp;"%",""))))</f>
        <v/>
      </c>
      <c r="AU115" s="40" t="str">
        <f aca="false">IF(OR(OR(NOT(AND(ISNUMBER(E115),ISNUMBER(F115))),$J$2=""),9&gt;MAX(1,Reprogramaciones!$U$15)),"",IF(Reprogramaciones!S$12&gt;=7,"",IF(OR(CB115-N(CA115)&gt;0.05,N(Y115)&gt;0),ROUNDDOWN(ROUND(CB115,6),0)&amp;"%"&amp;IF(CR115="",""," / "&amp;CR115&amp;"%"),IF(AND(N(CA115)&gt;=99.95,CR115&lt;&gt;"",N(CR115)&lt;100),"Pend. "&amp;CR115&amp;"%",""))))</f>
        <v/>
      </c>
      <c r="AV115" s="40" t="str">
        <f aca="false">IF(OR(OR(NOT(AND(ISNUMBER(E115),ISNUMBER(F115))),$J$2=""),10&gt;MAX(1,Reprogramaciones!$U$15)),"",IF(Reprogramaciones!T$12&gt;=7,"",IF(OR(CC115-N(CB115)&gt;0.05,N(Z115)&gt;0),ROUNDDOWN(ROUND(CC115,6),0)&amp;"%"&amp;IF(CS115="",""," / "&amp;CS115&amp;"%"),IF(AND(N(CB115)&gt;=99.95,CS115&lt;&gt;"",N(CS115)&lt;100),"Pend. "&amp;CS115&amp;"%",""))))</f>
        <v/>
      </c>
      <c r="AW115" s="40" t="str">
        <f aca="false">IF(OR(OR(NOT(AND(ISNUMBER(E115),ISNUMBER(F115))),$J$2=""),11&gt;MAX(1,Reprogramaciones!$U$15)),"",IF(Reprogramaciones!U$12&gt;=7,"",IF(OR(CD115-N(CC115)&gt;0.05,N(AA115)&gt;0),ROUNDDOWN(ROUND(CD115,6),0)&amp;"%"&amp;IF(CT115="",""," / "&amp;CT115&amp;"%"),IF(AND(N(CC115)&gt;=99.95,CT115&lt;&gt;"",N(CT115)&lt;100),"Pend. "&amp;CT115&amp;"%",""))))</f>
        <v/>
      </c>
      <c r="AX115" s="40" t="str">
        <f aca="false">IF(OR(OR(NOT(AND(ISNUMBER(E115),ISNUMBER(F115))),$J$2=""),12&gt;MAX(1,Reprogramaciones!$U$15)),"",IF(Reprogramaciones!V$12&gt;=7,"",IF(OR(CE115-N(CD115)&gt;0.05,N(AB115)&gt;0),ROUNDDOWN(ROUND(CE115,6),0)&amp;"%"&amp;IF(CU115="",""," / "&amp;CU115&amp;"%"),IF(AND(N(CD115)&gt;=99.95,CU115&lt;&gt;"",N(CU115)&lt;100),"Pend. "&amp;CU115&amp;"%",""))))</f>
        <v/>
      </c>
      <c r="AY115" s="40" t="str">
        <f aca="false">IF(OR(OR(NOT(AND(ISNUMBER(E115),ISNUMBER(F115))),$J$2=""),13&gt;MAX(1,Reprogramaciones!$U$15)),"",IF(Reprogramaciones!W$12&gt;=7,"",IF(OR(CF115-N(CE115)&gt;0.05,N(AC115)&gt;0),ROUNDDOWN(ROUND(CF115,6),0)&amp;"%"&amp;IF(CV115="",""," / "&amp;CV115&amp;"%"),IF(AND(N(CE115)&gt;=99.95,CV115&lt;&gt;"",N(CV115)&lt;100),"Pend. "&amp;CV115&amp;"%",""))))</f>
        <v/>
      </c>
      <c r="AZ115" s="40" t="str">
        <f aca="false">IF(OR(OR(NOT(AND(ISNUMBER(E115),ISNUMBER(F115))),$J$2=""),14&gt;MAX(1,Reprogramaciones!$U$15)),"",IF(Reprogramaciones!X$12&gt;=7,"",IF(OR(CG115-N(CF115)&gt;0.05,N(AD115)&gt;0),ROUNDDOWN(ROUND(CG115,6),0)&amp;"%"&amp;IF(CW115="",""," / "&amp;CW115&amp;"%"),IF(AND(N(CF115)&gt;=99.95,CW115&lt;&gt;"",N(CW115)&lt;100),"Pend. "&amp;CW115&amp;"%",""))))</f>
        <v/>
      </c>
      <c r="BA115" s="40" t="str">
        <f aca="false">IF(OR(OR(NOT(AND(ISNUMBER(E115),ISNUMBER(F115))),$J$2=""),15&gt;MAX(1,Reprogramaciones!$U$15)),"",IF(Reprogramaciones!Y$12&gt;=7,"",IF(OR(CH115-N(CG115)&gt;0.05,N(AE115)&gt;0),ROUNDDOWN(ROUND(CH115,6),0)&amp;"%"&amp;IF(CX115="",""," / "&amp;CX115&amp;"%"),IF(AND(N(CG115)&gt;=99.95,CX115&lt;&gt;"",N(CX115)&lt;100),"Pend. "&amp;CX115&amp;"%",""))))</f>
        <v/>
      </c>
      <c r="BB115" s="40" t="str">
        <f aca="false">IF(OR(OR(NOT(AND(ISNUMBER(E115),ISNUMBER(F115))),$J$2=""),16&gt;MAX(1,Reprogramaciones!$U$15)),"",IF(Reprogramaciones!Z$12&gt;=7,"",IF(OR(CI115-N(CH115)&gt;0.05,N(AF115)&gt;0),ROUNDDOWN(ROUND(CI115,6),0)&amp;"%"&amp;IF(CY115="",""," / "&amp;CY115&amp;"%"),IF(AND(N(CH115)&gt;=99.95,CY115&lt;&gt;"",N(CY115)&lt;100),"Pend. "&amp;CY115&amp;"%",""))))</f>
        <v/>
      </c>
      <c r="BC115" s="31" t="n">
        <f aca="false">IF(AND(ISNUMBER(E115),ISNUMBER(F115)),MAX(1,NETWORKDAYS.INTL(E115,F115,11)),0)</f>
        <v>0</v>
      </c>
      <c r="BD115" s="1" t="str">
        <f aca="false">IF(OR(NOT(AND(ISNUMBER(E115),ISNUMBER(F115))),$J$2=""),"",MIN(100,ROUND(SUM($G115:G115),1)))</f>
        <v/>
      </c>
      <c r="BE115" s="1" t="str">
        <f aca="false">IF(OR(NOT(AND(ISNUMBER(E115),ISNUMBER(F115))),$J$2=""),"",MIN(100,ROUND(SUM($G115:H115),1)))</f>
        <v/>
      </c>
      <c r="BF115" s="1" t="str">
        <f aca="false">IF(OR(NOT(AND(ISNUMBER(E115),ISNUMBER(F115))),$J$2=""),"",MIN(100,ROUND(SUM($G115:I115),1)))</f>
        <v/>
      </c>
      <c r="BG115" s="1" t="str">
        <f aca="false">IF(OR(NOT(AND(ISNUMBER(E115),ISNUMBER(F115))),$J$2=""),"",MIN(100,ROUND(SUM($G115:J115),1)))</f>
        <v/>
      </c>
      <c r="BH115" s="1" t="str">
        <f aca="false">IF(OR(NOT(AND(ISNUMBER(E115),ISNUMBER(F115))),$J$2=""),"",MIN(100,ROUND(SUM($G115:K115),1)))</f>
        <v/>
      </c>
      <c r="BI115" s="1" t="str">
        <f aca="false">IF(OR(NOT(AND(ISNUMBER(E115),ISNUMBER(F115))),$J$2=""),"",MIN(100,ROUND(SUM($G115:L115),1)))</f>
        <v/>
      </c>
      <c r="BJ115" s="1" t="str">
        <f aca="false">IF(OR(NOT(AND(ISNUMBER(E115),ISNUMBER(F115))),$J$2=""),"",MIN(100,ROUND(SUM($G115:M115),1)))</f>
        <v/>
      </c>
      <c r="BK115" s="1" t="str">
        <f aca="false">IF(OR(NOT(AND(ISNUMBER(E115),ISNUMBER(F115))),$J$2=""),"",MIN(100,ROUND(SUM($G115:N115),1)))</f>
        <v/>
      </c>
      <c r="BL115" s="1" t="str">
        <f aca="false">IF(OR(NOT(AND(ISNUMBER(E115),ISNUMBER(F115))),$J$2=""),"",MIN(100,ROUND(SUM($G115:O115),1)))</f>
        <v/>
      </c>
      <c r="BM115" s="1" t="str">
        <f aca="false">IF(OR(NOT(AND(ISNUMBER(E115),ISNUMBER(F115))),$J$2=""),"",MIN(100,ROUND(SUM($G115:P115),1)))</f>
        <v/>
      </c>
      <c r="BN115" s="1" t="str">
        <f aca="false">IF(OR(NOT(AND(ISNUMBER(E115),ISNUMBER(F115))),$J$2=""),"",MIN(100,ROUND(SUM($G115:P115),1)))</f>
        <v/>
      </c>
      <c r="BO115" s="1" t="str">
        <f aca="false">IF(OR(NOT(AND(ISNUMBER(E115),ISNUMBER(F115))),$J$2=""),"",MIN(100,ROUND(SUM($G115:P115),1)))</f>
        <v/>
      </c>
      <c r="BP115" s="1" t="str">
        <f aca="false">IF(OR(NOT(AND(ISNUMBER(E115),ISNUMBER(F115))),$J$2=""),"",MIN(100,ROUND(SUM($G115:P115),1)))</f>
        <v/>
      </c>
      <c r="BQ115" s="1" t="str">
        <f aca="false">IF(OR(NOT(AND(ISNUMBER(E115),ISNUMBER(F115))),$J$2=""),"",MIN(100,ROUND(SUM($G115:P115),1)))</f>
        <v/>
      </c>
      <c r="BR115" s="1" t="str">
        <f aca="false">IF(OR(NOT(AND(ISNUMBER(E115),ISNUMBER(F115))),$J$2=""),"",MIN(100,ROUND(SUM($G115:P115),1)))</f>
        <v/>
      </c>
      <c r="BS115" s="1" t="str">
        <f aca="false">IF(OR(NOT(AND(ISNUMBER(E115),ISNUMBER(F115))),$J$2=""),"",MIN(100,ROUND(SUM($G115:P115),1)))</f>
        <v/>
      </c>
      <c r="BT115" s="1" t="str">
        <f aca="false">IF(OR(NOT(AND(ISNUMBER(E115),ISNUMBER(F115))),$J$2=""),"",IF(Reprogramaciones!K$13&lt;Reprogramaciones!$T$15,0,IF(Reprogramaciones!K$14&gt;10,MIN(100,SUM($G115:$P115)),MIN(100,SUMPRODUCT((COLUMN($G115:$P115)-COLUMN($G115)+1&lt;Reprogramaciones!K$14)*$G115:$P115)+N(INDEX($G115:$P115,1,Reprogramaciones!K$14))*IF(Reprogramaciones!K$13&gt;=(Reprogramaciones!$T$15+7*(Reprogramaciones!K$14-1))+6,1,IF(MAX(0,NETWORKDAYS.INTL(MAX(E115,(Reprogramaciones!$T$15+7*(Reprogramaciones!K$14-1))),MIN(F115,(Reprogramaciones!$T$15+7*(Reprogramaciones!K$14-1))+6),11))=0,0,MAX(0,NETWORKDAYS.INTL(MAX(E115,(Reprogramaciones!$T$15+7*(Reprogramaciones!K$14-1))),MIN(F115,Reprogramaciones!K$13),11))/MAX(0,NETWORKDAYS.INTL(MAX(E115,(Reprogramaciones!$T$15+7*(Reprogramaciones!K$14-1))),MIN(F115,(Reprogramaciones!$T$15+7*(Reprogramaciones!K$14-1))+6),11))))))))</f>
        <v/>
      </c>
      <c r="BU115" s="1" t="str">
        <f aca="false">IF(OR(NOT(AND(ISNUMBER(E115),ISNUMBER(F115))),$J$2=""),"",IF(Reprogramaciones!L$13&lt;Reprogramaciones!$T$15,0,IF(Reprogramaciones!L$14&gt;10,MIN(100,SUM($G115:$P115)),MIN(100,SUMPRODUCT((COLUMN($G115:$P115)-COLUMN($G115)+1&lt;Reprogramaciones!L$14)*$G115:$P115)+N(INDEX($G115:$P115,1,Reprogramaciones!L$14))*IF(Reprogramaciones!L$13&gt;=(Reprogramaciones!$T$15+7*(Reprogramaciones!L$14-1))+6,1,IF(MAX(0,NETWORKDAYS.INTL(MAX(E115,(Reprogramaciones!$T$15+7*(Reprogramaciones!L$14-1))),MIN(F115,(Reprogramaciones!$T$15+7*(Reprogramaciones!L$14-1))+6),11))=0,0,MAX(0,NETWORKDAYS.INTL(MAX(E115,(Reprogramaciones!$T$15+7*(Reprogramaciones!L$14-1))),MIN(F115,Reprogramaciones!L$13),11))/MAX(0,NETWORKDAYS.INTL(MAX(E115,(Reprogramaciones!$T$15+7*(Reprogramaciones!L$14-1))),MIN(F115,(Reprogramaciones!$T$15+7*(Reprogramaciones!L$14-1))+6),11))))))))</f>
        <v/>
      </c>
      <c r="BV115" s="1" t="str">
        <f aca="false">IF(OR(NOT(AND(ISNUMBER(E115),ISNUMBER(F115))),$J$2=""),"",IF(Reprogramaciones!M$13&lt;Reprogramaciones!$T$15,0,IF(Reprogramaciones!M$14&gt;10,MIN(100,SUM($G115:$P115)),MIN(100,SUMPRODUCT((COLUMN($G115:$P115)-COLUMN($G115)+1&lt;Reprogramaciones!M$14)*$G115:$P115)+N(INDEX($G115:$P115,1,Reprogramaciones!M$14))*IF(Reprogramaciones!M$13&gt;=(Reprogramaciones!$T$15+7*(Reprogramaciones!M$14-1))+6,1,IF(MAX(0,NETWORKDAYS.INTL(MAX(E115,(Reprogramaciones!$T$15+7*(Reprogramaciones!M$14-1))),MIN(F115,(Reprogramaciones!$T$15+7*(Reprogramaciones!M$14-1))+6),11))=0,0,MAX(0,NETWORKDAYS.INTL(MAX(E115,(Reprogramaciones!$T$15+7*(Reprogramaciones!M$14-1))),MIN(F115,Reprogramaciones!M$13),11))/MAX(0,NETWORKDAYS.INTL(MAX(E115,(Reprogramaciones!$T$15+7*(Reprogramaciones!M$14-1))),MIN(F115,(Reprogramaciones!$T$15+7*(Reprogramaciones!M$14-1))+6),11))))))))</f>
        <v/>
      </c>
      <c r="BW115" s="1" t="str">
        <f aca="false">IF(OR(NOT(AND(ISNUMBER(E115),ISNUMBER(F115))),$J$2=""),"",IF(Reprogramaciones!N$13&lt;Reprogramaciones!$T$15,0,IF(Reprogramaciones!N$14&gt;10,MIN(100,SUM($G115:$P115)),MIN(100,SUMPRODUCT((COLUMN($G115:$P115)-COLUMN($G115)+1&lt;Reprogramaciones!N$14)*$G115:$P115)+N(INDEX($G115:$P115,1,Reprogramaciones!N$14))*IF(Reprogramaciones!N$13&gt;=(Reprogramaciones!$T$15+7*(Reprogramaciones!N$14-1))+6,1,IF(MAX(0,NETWORKDAYS.INTL(MAX(E115,(Reprogramaciones!$T$15+7*(Reprogramaciones!N$14-1))),MIN(F115,(Reprogramaciones!$T$15+7*(Reprogramaciones!N$14-1))+6),11))=0,0,MAX(0,NETWORKDAYS.INTL(MAX(E115,(Reprogramaciones!$T$15+7*(Reprogramaciones!N$14-1))),MIN(F115,Reprogramaciones!N$13),11))/MAX(0,NETWORKDAYS.INTL(MAX(E115,(Reprogramaciones!$T$15+7*(Reprogramaciones!N$14-1))),MIN(F115,(Reprogramaciones!$T$15+7*(Reprogramaciones!N$14-1))+6),11))))))))</f>
        <v/>
      </c>
      <c r="BX115" s="1" t="str">
        <f aca="false">IF(OR(NOT(AND(ISNUMBER(E115),ISNUMBER(F115))),$J$2=""),"",IF(Reprogramaciones!O$13&lt;Reprogramaciones!$T$15,0,IF(Reprogramaciones!O$14&gt;10,MIN(100,SUM($G115:$P115)),MIN(100,SUMPRODUCT((COLUMN($G115:$P115)-COLUMN($G115)+1&lt;Reprogramaciones!O$14)*$G115:$P115)+N(INDEX($G115:$P115,1,Reprogramaciones!O$14))*IF(Reprogramaciones!O$13&gt;=(Reprogramaciones!$T$15+7*(Reprogramaciones!O$14-1))+6,1,IF(MAX(0,NETWORKDAYS.INTL(MAX(E115,(Reprogramaciones!$T$15+7*(Reprogramaciones!O$14-1))),MIN(F115,(Reprogramaciones!$T$15+7*(Reprogramaciones!O$14-1))+6),11))=0,0,MAX(0,NETWORKDAYS.INTL(MAX(E115,(Reprogramaciones!$T$15+7*(Reprogramaciones!O$14-1))),MIN(F115,Reprogramaciones!O$13),11))/MAX(0,NETWORKDAYS.INTL(MAX(E115,(Reprogramaciones!$T$15+7*(Reprogramaciones!O$14-1))),MIN(F115,(Reprogramaciones!$T$15+7*(Reprogramaciones!O$14-1))+6),11))))))))</f>
        <v/>
      </c>
      <c r="BY115" s="1" t="str">
        <f aca="false">IF(OR(NOT(AND(ISNUMBER(E115),ISNUMBER(F115))),$J$2=""),"",IF(Reprogramaciones!P$13&lt;Reprogramaciones!$T$15,0,IF(Reprogramaciones!P$14&gt;10,MIN(100,SUM($G115:$P115)),MIN(100,SUMPRODUCT((COLUMN($G115:$P115)-COLUMN($G115)+1&lt;Reprogramaciones!P$14)*$G115:$P115)+N(INDEX($G115:$P115,1,Reprogramaciones!P$14))*IF(Reprogramaciones!P$13&gt;=(Reprogramaciones!$T$15+7*(Reprogramaciones!P$14-1))+6,1,IF(MAX(0,NETWORKDAYS.INTL(MAX(E115,(Reprogramaciones!$T$15+7*(Reprogramaciones!P$14-1))),MIN(F115,(Reprogramaciones!$T$15+7*(Reprogramaciones!P$14-1))+6),11))=0,0,MAX(0,NETWORKDAYS.INTL(MAX(E115,(Reprogramaciones!$T$15+7*(Reprogramaciones!P$14-1))),MIN(F115,Reprogramaciones!P$13),11))/MAX(0,NETWORKDAYS.INTL(MAX(E115,(Reprogramaciones!$T$15+7*(Reprogramaciones!P$14-1))),MIN(F115,(Reprogramaciones!$T$15+7*(Reprogramaciones!P$14-1))+6),11))))))))</f>
        <v/>
      </c>
      <c r="BZ115" s="1" t="str">
        <f aca="false">IF(OR(NOT(AND(ISNUMBER(E115),ISNUMBER(F115))),$J$2=""),"",IF(Reprogramaciones!Q$13&lt;Reprogramaciones!$T$15,0,IF(Reprogramaciones!Q$14&gt;10,MIN(100,SUM($G115:$P115)),MIN(100,SUMPRODUCT((COLUMN($G115:$P115)-COLUMN($G115)+1&lt;Reprogramaciones!Q$14)*$G115:$P115)+N(INDEX($G115:$P115,1,Reprogramaciones!Q$14))*IF(Reprogramaciones!Q$13&gt;=(Reprogramaciones!$T$15+7*(Reprogramaciones!Q$14-1))+6,1,IF(MAX(0,NETWORKDAYS.INTL(MAX(E115,(Reprogramaciones!$T$15+7*(Reprogramaciones!Q$14-1))),MIN(F115,(Reprogramaciones!$T$15+7*(Reprogramaciones!Q$14-1))+6),11))=0,0,MAX(0,NETWORKDAYS.INTL(MAX(E115,(Reprogramaciones!$T$15+7*(Reprogramaciones!Q$14-1))),MIN(F115,Reprogramaciones!Q$13),11))/MAX(0,NETWORKDAYS.INTL(MAX(E115,(Reprogramaciones!$T$15+7*(Reprogramaciones!Q$14-1))),MIN(F115,(Reprogramaciones!$T$15+7*(Reprogramaciones!Q$14-1))+6),11))))))))</f>
        <v/>
      </c>
      <c r="CA115" s="1" t="str">
        <f aca="false">IF(OR(NOT(AND(ISNUMBER(E115),ISNUMBER(F115))),$J$2=""),"",IF(Reprogramaciones!R$13&lt;Reprogramaciones!$T$15,0,IF(Reprogramaciones!R$14&gt;10,MIN(100,SUM($G115:$P115)),MIN(100,SUMPRODUCT((COLUMN($G115:$P115)-COLUMN($G115)+1&lt;Reprogramaciones!R$14)*$G115:$P115)+N(INDEX($G115:$P115,1,Reprogramaciones!R$14))*IF(Reprogramaciones!R$13&gt;=(Reprogramaciones!$T$15+7*(Reprogramaciones!R$14-1))+6,1,IF(MAX(0,NETWORKDAYS.INTL(MAX(E115,(Reprogramaciones!$T$15+7*(Reprogramaciones!R$14-1))),MIN(F115,(Reprogramaciones!$T$15+7*(Reprogramaciones!R$14-1))+6),11))=0,0,MAX(0,NETWORKDAYS.INTL(MAX(E115,(Reprogramaciones!$T$15+7*(Reprogramaciones!R$14-1))),MIN(F115,Reprogramaciones!R$13),11))/MAX(0,NETWORKDAYS.INTL(MAX(E115,(Reprogramaciones!$T$15+7*(Reprogramaciones!R$14-1))),MIN(F115,(Reprogramaciones!$T$15+7*(Reprogramaciones!R$14-1))+6),11))))))))</f>
        <v/>
      </c>
      <c r="CB115" s="1" t="str">
        <f aca="false">IF(OR(NOT(AND(ISNUMBER(E115),ISNUMBER(F115))),$J$2=""),"",IF(Reprogramaciones!S$13&lt;Reprogramaciones!$T$15,0,IF(Reprogramaciones!S$14&gt;10,MIN(100,SUM($G115:$P115)),MIN(100,SUMPRODUCT((COLUMN($G115:$P115)-COLUMN($G115)+1&lt;Reprogramaciones!S$14)*$G115:$P115)+N(INDEX($G115:$P115,1,Reprogramaciones!S$14))*IF(Reprogramaciones!S$13&gt;=(Reprogramaciones!$T$15+7*(Reprogramaciones!S$14-1))+6,1,IF(MAX(0,NETWORKDAYS.INTL(MAX(E115,(Reprogramaciones!$T$15+7*(Reprogramaciones!S$14-1))),MIN(F115,(Reprogramaciones!$T$15+7*(Reprogramaciones!S$14-1))+6),11))=0,0,MAX(0,NETWORKDAYS.INTL(MAX(E115,(Reprogramaciones!$T$15+7*(Reprogramaciones!S$14-1))),MIN(F115,Reprogramaciones!S$13),11))/MAX(0,NETWORKDAYS.INTL(MAX(E115,(Reprogramaciones!$T$15+7*(Reprogramaciones!S$14-1))),MIN(F115,(Reprogramaciones!$T$15+7*(Reprogramaciones!S$14-1))+6),11))))))))</f>
        <v/>
      </c>
      <c r="CC115" s="1" t="str">
        <f aca="false">IF(OR(NOT(AND(ISNUMBER(E115),ISNUMBER(F115))),$J$2=""),"",IF(Reprogramaciones!T$13&lt;Reprogramaciones!$T$15,0,IF(Reprogramaciones!T$14&gt;10,MIN(100,SUM($G115:$P115)),MIN(100,SUMPRODUCT((COLUMN($G115:$P115)-COLUMN($G115)+1&lt;Reprogramaciones!T$14)*$G115:$P115)+N(INDEX($G115:$P115,1,Reprogramaciones!T$14))*IF(Reprogramaciones!T$13&gt;=(Reprogramaciones!$T$15+7*(Reprogramaciones!T$14-1))+6,1,IF(MAX(0,NETWORKDAYS.INTL(MAX(E115,(Reprogramaciones!$T$15+7*(Reprogramaciones!T$14-1))),MIN(F115,(Reprogramaciones!$T$15+7*(Reprogramaciones!T$14-1))+6),11))=0,0,MAX(0,NETWORKDAYS.INTL(MAX(E115,(Reprogramaciones!$T$15+7*(Reprogramaciones!T$14-1))),MIN(F115,Reprogramaciones!T$13),11))/MAX(0,NETWORKDAYS.INTL(MAX(E115,(Reprogramaciones!$T$15+7*(Reprogramaciones!T$14-1))),MIN(F115,(Reprogramaciones!$T$15+7*(Reprogramaciones!T$14-1))+6),11))))))))</f>
        <v/>
      </c>
      <c r="CD115" s="1" t="str">
        <f aca="false">IF(OR(NOT(AND(ISNUMBER(E115),ISNUMBER(F115))),$J$2=""),"",IF(Reprogramaciones!U$13&lt;Reprogramaciones!$T$15,0,IF(Reprogramaciones!U$14&gt;10,MIN(100,SUM($G115:$P115)),MIN(100,SUMPRODUCT((COLUMN($G115:$P115)-COLUMN($G115)+1&lt;Reprogramaciones!U$14)*$G115:$P115)+N(INDEX($G115:$P115,1,Reprogramaciones!U$14))*IF(Reprogramaciones!U$13&gt;=(Reprogramaciones!$T$15+7*(Reprogramaciones!U$14-1))+6,1,IF(MAX(0,NETWORKDAYS.INTL(MAX(E115,(Reprogramaciones!$T$15+7*(Reprogramaciones!U$14-1))),MIN(F115,(Reprogramaciones!$T$15+7*(Reprogramaciones!U$14-1))+6),11))=0,0,MAX(0,NETWORKDAYS.INTL(MAX(E115,(Reprogramaciones!$T$15+7*(Reprogramaciones!U$14-1))),MIN(F115,Reprogramaciones!U$13),11))/MAX(0,NETWORKDAYS.INTL(MAX(E115,(Reprogramaciones!$T$15+7*(Reprogramaciones!U$14-1))),MIN(F115,(Reprogramaciones!$T$15+7*(Reprogramaciones!U$14-1))+6),11))))))))</f>
        <v/>
      </c>
      <c r="CE115" s="1" t="str">
        <f aca="false">IF(OR(NOT(AND(ISNUMBER(E115),ISNUMBER(F115))),$J$2=""),"",IF(Reprogramaciones!V$13&lt;Reprogramaciones!$T$15,0,IF(Reprogramaciones!V$14&gt;10,MIN(100,SUM($G115:$P115)),MIN(100,SUMPRODUCT((COLUMN($G115:$P115)-COLUMN($G115)+1&lt;Reprogramaciones!V$14)*$G115:$P115)+N(INDEX($G115:$P115,1,Reprogramaciones!V$14))*IF(Reprogramaciones!V$13&gt;=(Reprogramaciones!$T$15+7*(Reprogramaciones!V$14-1))+6,1,IF(MAX(0,NETWORKDAYS.INTL(MAX(E115,(Reprogramaciones!$T$15+7*(Reprogramaciones!V$14-1))),MIN(F115,(Reprogramaciones!$T$15+7*(Reprogramaciones!V$14-1))+6),11))=0,0,MAX(0,NETWORKDAYS.INTL(MAX(E115,(Reprogramaciones!$T$15+7*(Reprogramaciones!V$14-1))),MIN(F115,Reprogramaciones!V$13),11))/MAX(0,NETWORKDAYS.INTL(MAX(E115,(Reprogramaciones!$T$15+7*(Reprogramaciones!V$14-1))),MIN(F115,(Reprogramaciones!$T$15+7*(Reprogramaciones!V$14-1))+6),11))))))))</f>
        <v/>
      </c>
      <c r="CF115" s="1" t="str">
        <f aca="false">IF(OR(NOT(AND(ISNUMBER(E115),ISNUMBER(F115))),$J$2=""),"",IF(Reprogramaciones!W$13&lt;Reprogramaciones!$T$15,0,IF(Reprogramaciones!W$14&gt;10,MIN(100,SUM($G115:$P115)),MIN(100,SUMPRODUCT((COLUMN($G115:$P115)-COLUMN($G115)+1&lt;Reprogramaciones!W$14)*$G115:$P115)+N(INDEX($G115:$P115,1,Reprogramaciones!W$14))*IF(Reprogramaciones!W$13&gt;=(Reprogramaciones!$T$15+7*(Reprogramaciones!W$14-1))+6,1,IF(MAX(0,NETWORKDAYS.INTL(MAX(E115,(Reprogramaciones!$T$15+7*(Reprogramaciones!W$14-1))),MIN(F115,(Reprogramaciones!$T$15+7*(Reprogramaciones!W$14-1))+6),11))=0,0,MAX(0,NETWORKDAYS.INTL(MAX(E115,(Reprogramaciones!$T$15+7*(Reprogramaciones!W$14-1))),MIN(F115,Reprogramaciones!W$13),11))/MAX(0,NETWORKDAYS.INTL(MAX(E115,(Reprogramaciones!$T$15+7*(Reprogramaciones!W$14-1))),MIN(F115,(Reprogramaciones!$T$15+7*(Reprogramaciones!W$14-1))+6),11))))))))</f>
        <v/>
      </c>
      <c r="CG115" s="1" t="str">
        <f aca="false">IF(OR(NOT(AND(ISNUMBER(E115),ISNUMBER(F115))),$J$2=""),"",IF(Reprogramaciones!X$13&lt;Reprogramaciones!$T$15,0,IF(Reprogramaciones!X$14&gt;10,MIN(100,SUM($G115:$P115)),MIN(100,SUMPRODUCT((COLUMN($G115:$P115)-COLUMN($G115)+1&lt;Reprogramaciones!X$14)*$G115:$P115)+N(INDEX($G115:$P115,1,Reprogramaciones!X$14))*IF(Reprogramaciones!X$13&gt;=(Reprogramaciones!$T$15+7*(Reprogramaciones!X$14-1))+6,1,IF(MAX(0,NETWORKDAYS.INTL(MAX(E115,(Reprogramaciones!$T$15+7*(Reprogramaciones!X$14-1))),MIN(F115,(Reprogramaciones!$T$15+7*(Reprogramaciones!X$14-1))+6),11))=0,0,MAX(0,NETWORKDAYS.INTL(MAX(E115,(Reprogramaciones!$T$15+7*(Reprogramaciones!X$14-1))),MIN(F115,Reprogramaciones!X$13),11))/MAX(0,NETWORKDAYS.INTL(MAX(E115,(Reprogramaciones!$T$15+7*(Reprogramaciones!X$14-1))),MIN(F115,(Reprogramaciones!$T$15+7*(Reprogramaciones!X$14-1))+6),11))))))))</f>
        <v/>
      </c>
      <c r="CH115" s="1" t="str">
        <f aca="false">IF(OR(NOT(AND(ISNUMBER(E115),ISNUMBER(F115))),$J$2=""),"",IF(Reprogramaciones!Y$13&lt;Reprogramaciones!$T$15,0,IF(Reprogramaciones!Y$14&gt;10,MIN(100,SUM($G115:$P115)),MIN(100,SUMPRODUCT((COLUMN($G115:$P115)-COLUMN($G115)+1&lt;Reprogramaciones!Y$14)*$G115:$P115)+N(INDEX($G115:$P115,1,Reprogramaciones!Y$14))*IF(Reprogramaciones!Y$13&gt;=(Reprogramaciones!$T$15+7*(Reprogramaciones!Y$14-1))+6,1,IF(MAX(0,NETWORKDAYS.INTL(MAX(E115,(Reprogramaciones!$T$15+7*(Reprogramaciones!Y$14-1))),MIN(F115,(Reprogramaciones!$T$15+7*(Reprogramaciones!Y$14-1))+6),11))=0,0,MAX(0,NETWORKDAYS.INTL(MAX(E115,(Reprogramaciones!$T$15+7*(Reprogramaciones!Y$14-1))),MIN(F115,Reprogramaciones!Y$13),11))/MAX(0,NETWORKDAYS.INTL(MAX(E115,(Reprogramaciones!$T$15+7*(Reprogramaciones!Y$14-1))),MIN(F115,(Reprogramaciones!$T$15+7*(Reprogramaciones!Y$14-1))+6),11))))))))</f>
        <v/>
      </c>
      <c r="CI115" s="1" t="str">
        <f aca="false">IF(OR(NOT(AND(ISNUMBER(E115),ISNUMBER(F115))),$J$2=""),"",IF(Reprogramaciones!Z$13&lt;Reprogramaciones!$T$15,0,IF(Reprogramaciones!Z$14&gt;10,MIN(100,SUM($G115:$P115)),MIN(100,SUMPRODUCT((COLUMN($G115:$P115)-COLUMN($G115)+1&lt;Reprogramaciones!Z$14)*$G115:$P115)+N(INDEX($G115:$P115,1,Reprogramaciones!Z$14))*IF(Reprogramaciones!Z$13&gt;=(Reprogramaciones!$T$15+7*(Reprogramaciones!Z$14-1))+6,1,IF(MAX(0,NETWORKDAYS.INTL(MAX(E115,(Reprogramaciones!$T$15+7*(Reprogramaciones!Z$14-1))),MIN(F115,(Reprogramaciones!$T$15+7*(Reprogramaciones!Z$14-1))+6),11))=0,0,MAX(0,NETWORKDAYS.INTL(MAX(E115,(Reprogramaciones!$T$15+7*(Reprogramaciones!Z$14-1))),MIN(F115,Reprogramaciones!Z$13),11))/MAX(0,NETWORKDAYS.INTL(MAX(E115,(Reprogramaciones!$T$15+7*(Reprogramaciones!Z$14-1))),MIN(F115,(Reprogramaciones!$T$15+7*(Reprogramaciones!Z$14-1))+6),11))))))))</f>
        <v/>
      </c>
      <c r="CJ115" s="1" t="str">
        <f aca="false">IF(OR(OR(NOT(AND(ISNUMBER(E115),ISNUMBER(F115))),$J$2=""),1&gt;Reprogramaciones!$K$16),"",IF(ROUND(SUM($Q115:Q115),1)&gt;=99.5,100,MIN(100,ROUND(SUM($Q115:Q115),1))))</f>
        <v/>
      </c>
      <c r="CK115" s="1" t="str">
        <f aca="false">IF(OR(OR(NOT(AND(ISNUMBER(E115),ISNUMBER(F115))),$J$2=""),2&gt;Reprogramaciones!$K$16),"",IF(ROUND(SUM($Q115:R115),1)&gt;=99.5,100,MIN(100,ROUND(SUM($Q115:R115),1))))</f>
        <v/>
      </c>
      <c r="CL115" s="1" t="str">
        <f aca="false">IF(OR(OR(NOT(AND(ISNUMBER(E115),ISNUMBER(F115))),$J$2=""),3&gt;Reprogramaciones!$K$16),"",IF(ROUND(SUM($Q115:S115),1)&gt;=99.5,100,MIN(100,ROUND(SUM($Q115:S115),1))))</f>
        <v/>
      </c>
      <c r="CM115" s="1" t="str">
        <f aca="false">IF(OR(OR(NOT(AND(ISNUMBER(E115),ISNUMBER(F115))),$J$2=""),4&gt;Reprogramaciones!$K$16),"",IF(ROUND(SUM($Q115:T115),1)&gt;=99.5,100,MIN(100,ROUND(SUM($Q115:T115),1))))</f>
        <v/>
      </c>
      <c r="CN115" s="1" t="str">
        <f aca="false">IF(OR(OR(NOT(AND(ISNUMBER(E115),ISNUMBER(F115))),$J$2=""),5&gt;Reprogramaciones!$K$16),"",IF(ROUND(SUM($Q115:U115),1)&gt;=99.5,100,MIN(100,ROUND(SUM($Q115:U115),1))))</f>
        <v/>
      </c>
      <c r="CO115" s="1" t="str">
        <f aca="false">IF(OR(OR(NOT(AND(ISNUMBER(E115),ISNUMBER(F115))),$J$2=""),6&gt;Reprogramaciones!$K$16),"",IF(ROUND(SUM($Q115:V115),1)&gt;=99.5,100,MIN(100,ROUND(SUM($Q115:V115),1))))</f>
        <v/>
      </c>
      <c r="CP115" s="1" t="str">
        <f aca="false">IF(OR(OR(NOT(AND(ISNUMBER(E115),ISNUMBER(F115))),$J$2=""),7&gt;Reprogramaciones!$K$16),"",IF(ROUND(SUM($Q115:W115),1)&gt;=99.5,100,MIN(100,ROUND(SUM($Q115:W115),1))))</f>
        <v/>
      </c>
      <c r="CQ115" s="1" t="str">
        <f aca="false">IF(OR(OR(NOT(AND(ISNUMBER(E115),ISNUMBER(F115))),$J$2=""),8&gt;Reprogramaciones!$K$16),"",IF(ROUND(SUM($Q115:X115),1)&gt;=99.5,100,MIN(100,ROUND(SUM($Q115:X115),1))))</f>
        <v/>
      </c>
      <c r="CR115" s="1" t="str">
        <f aca="false">IF(OR(OR(NOT(AND(ISNUMBER(E115),ISNUMBER(F115))),$J$2=""),9&gt;Reprogramaciones!$K$16),"",IF(ROUND(SUM($Q115:Y115),1)&gt;=99.5,100,MIN(100,ROUND(SUM($Q115:Y115),1))))</f>
        <v/>
      </c>
      <c r="CS115" s="1" t="str">
        <f aca="false">IF(OR(OR(NOT(AND(ISNUMBER(E115),ISNUMBER(F115))),$J$2=""),10&gt;Reprogramaciones!$K$16),"",IF(ROUND(SUM($Q115:Z115),1)&gt;=99.5,100,MIN(100,ROUND(SUM($Q115:Z115),1))))</f>
        <v/>
      </c>
      <c r="CT115" s="1" t="str">
        <f aca="false">IF(OR(OR(NOT(AND(ISNUMBER(E115),ISNUMBER(F115))),$J$2=""),11&gt;Reprogramaciones!$K$16),"",IF(ROUND(SUM($Q115:AA115),1)&gt;=99.5,100,MIN(100,ROUND(SUM($Q115:AA115),1))))</f>
        <v/>
      </c>
      <c r="CU115" s="1" t="str">
        <f aca="false">IF(OR(OR(NOT(AND(ISNUMBER(E115),ISNUMBER(F115))),$J$2=""),12&gt;Reprogramaciones!$K$16),"",IF(ROUND(SUM($Q115:AB115),1)&gt;=99.5,100,MIN(100,ROUND(SUM($Q115:AB115),1))))</f>
        <v/>
      </c>
      <c r="CV115" s="1" t="str">
        <f aca="false">IF(OR(OR(NOT(AND(ISNUMBER(E115),ISNUMBER(F115))),$J$2=""),13&gt;Reprogramaciones!$K$16),"",IF(ROUND(SUM($Q115:AC115),1)&gt;=99.5,100,MIN(100,ROUND(SUM($Q115:AC115),1))))</f>
        <v/>
      </c>
      <c r="CW115" s="1" t="str">
        <f aca="false">IF(OR(OR(NOT(AND(ISNUMBER(E115),ISNUMBER(F115))),$J$2=""),14&gt;Reprogramaciones!$K$16),"",IF(ROUND(SUM($Q115:AD115),1)&gt;=99.5,100,MIN(100,ROUND(SUM($Q115:AD115),1))))</f>
        <v/>
      </c>
      <c r="CX115" s="1" t="str">
        <f aca="false">IF(OR(OR(NOT(AND(ISNUMBER(E115),ISNUMBER(F115))),$J$2=""),15&gt;Reprogramaciones!$K$16),"",IF(ROUND(SUM($Q115:AE115),1)&gt;=99.5,100,MIN(100,ROUND(SUM($Q115:AE115),1))))</f>
        <v/>
      </c>
      <c r="CY115" s="1" t="str">
        <f aca="false">IF(OR(OR(NOT(AND(ISNUMBER(E115),ISNUMBER(F115))),$J$2=""),16&gt;Reprogramaciones!$K$16),"",IF(ROUND(SUM($Q115:AF115),1)&gt;=99.5,100,MIN(100,ROUND(SUM($Q115:AF115),1))))</f>
        <v/>
      </c>
      <c r="CZ115" s="1" t="str">
        <f aca="false">IF(D115&lt;&gt;"",D115,IF(B115&lt;&gt;"","Contractual",CZ114))</f>
        <v>Contractual</v>
      </c>
      <c r="DA115" s="1" t="str">
        <f aca="false">IF(OR(NOT(AND(ISNUMBER(E115),ISNUMBER(F115))),$J$2=""),"",IF(Reprogramaciones!$Q$15&lt;Reprogramaciones!$T$15,0,IF(Reprogramaciones!$S$15&gt;10,MIN(100,SUM($G115:$P115)),MIN(100,SUMPRODUCT((COLUMN($G115:$P115)-COLUMN($G115)+1&lt;Reprogramaciones!$S$15)*$G115:$P115)+N(INDEX($G115:$P115,1,Reprogramaciones!$S$15))*IF(Reprogramaciones!$Q$15&gt;=(Reprogramaciones!$T$15+7*(Reprogramaciones!$S$15-1))+6,1,IF(MAX(0,NETWORKDAYS.INTL(MAX(E115,(Reprogramaciones!$T$15+7*(Reprogramaciones!$S$15-1))),MIN(F115,(Reprogramaciones!$T$15+7*(Reprogramaciones!$S$15-1))+6),11))=0,0,MAX(0,NETWORKDAYS.INTL(MAX(E115,(Reprogramaciones!$T$15+7*(Reprogramaciones!$S$15-1))),MIN(F115,Reprogramaciones!$Q$15),11))/MAX(0,NETWORKDAYS.INTL(MAX(E115,(Reprogramaciones!$T$15+7*(Reprogramaciones!$S$15-1))),MIN(F115,(Reprogramaciones!$T$15+7*(Reprogramaciones!$S$15-1))+6),11))))))))</f>
        <v/>
      </c>
    </row>
    <row r="116" customFormat="false" ht="15" hidden="false" customHeight="false" outlineLevel="0" collapsed="false">
      <c r="A116" s="32"/>
      <c r="B116" s="33"/>
      <c r="C116" s="33"/>
      <c r="D116" s="34"/>
      <c r="E116" s="35"/>
      <c r="F116" s="35"/>
      <c r="G116" s="36" t="str">
        <f aca="false">IF(OR(NOT(AND(ISNUMBER(E116),ISNUMBER(F116))),$J$2=""),"",IF(Reprogramaciones!K$9&lt;E116,0,IF(NETWORKDAYS.INTL(E116,F116,11)=0,IF(Reprogramaciones!K$9&gt;=F116,100,0),ROUND(NETWORKDAYS.INTL(E116,MIN(F116,Reprogramaciones!K$9),11)/NETWORKDAYS.INTL(E116,F116,11)*100,1)))-0)</f>
        <v/>
      </c>
      <c r="H116" s="36" t="str">
        <f aca="false">IF(OR(NOT(AND(ISNUMBER(E116),ISNUMBER(F116))),$J$2=""),"",IF(Reprogramaciones!L$9&lt;E116,0,IF(NETWORKDAYS.INTL(E116,F116,11)=0,IF(Reprogramaciones!L$9&gt;=F116,100,0),ROUND(NETWORKDAYS.INTL(E116,MIN(F116,Reprogramaciones!L$9),11)/NETWORKDAYS.INTL(E116,F116,11)*100,1)))-IF(Reprogramaciones!K$9&lt;E116,0,IF(NETWORKDAYS.INTL(E116,F116,11)=0,IF(Reprogramaciones!K$9&gt;=F116,100,0),ROUND(NETWORKDAYS.INTL(E116,MIN(F116,Reprogramaciones!K$9),11)/NETWORKDAYS.INTL(E116,F116,11)*100,1))))</f>
        <v/>
      </c>
      <c r="I116" s="36" t="str">
        <f aca="false">IF(OR(NOT(AND(ISNUMBER(E116),ISNUMBER(F116))),$J$2=""),"",IF(Reprogramaciones!M$9&lt;E116,0,IF(NETWORKDAYS.INTL(E116,F116,11)=0,IF(Reprogramaciones!M$9&gt;=F116,100,0),ROUND(NETWORKDAYS.INTL(E116,MIN(F116,Reprogramaciones!M$9),11)/NETWORKDAYS.INTL(E116,F116,11)*100,1)))-IF(Reprogramaciones!L$9&lt;E116,0,IF(NETWORKDAYS.INTL(E116,F116,11)=0,IF(Reprogramaciones!L$9&gt;=F116,100,0),ROUND(NETWORKDAYS.INTL(E116,MIN(F116,Reprogramaciones!L$9),11)/NETWORKDAYS.INTL(E116,F116,11)*100,1))))</f>
        <v/>
      </c>
      <c r="J116" s="36" t="str">
        <f aca="false">IF(OR(NOT(AND(ISNUMBER(E116),ISNUMBER(F116))),$J$2=""),"",IF(Reprogramaciones!N$9&lt;E116,0,IF(NETWORKDAYS.INTL(E116,F116,11)=0,IF(Reprogramaciones!N$9&gt;=F116,100,0),ROUND(NETWORKDAYS.INTL(E116,MIN(F116,Reprogramaciones!N$9),11)/NETWORKDAYS.INTL(E116,F116,11)*100,1)))-IF(Reprogramaciones!M$9&lt;E116,0,IF(NETWORKDAYS.INTL(E116,F116,11)=0,IF(Reprogramaciones!M$9&gt;=F116,100,0),ROUND(NETWORKDAYS.INTL(E116,MIN(F116,Reprogramaciones!M$9),11)/NETWORKDAYS.INTL(E116,F116,11)*100,1))))</f>
        <v/>
      </c>
      <c r="K116" s="36" t="str">
        <f aca="false">IF(OR(NOT(AND(ISNUMBER(E116),ISNUMBER(F116))),$J$2=""),"",IF(Reprogramaciones!O$9&lt;E116,0,IF(NETWORKDAYS.INTL(E116,F116,11)=0,IF(Reprogramaciones!O$9&gt;=F116,100,0),ROUND(NETWORKDAYS.INTL(E116,MIN(F116,Reprogramaciones!O$9),11)/NETWORKDAYS.INTL(E116,F116,11)*100,1)))-IF(Reprogramaciones!N$9&lt;E116,0,IF(NETWORKDAYS.INTL(E116,F116,11)=0,IF(Reprogramaciones!N$9&gt;=F116,100,0),ROUND(NETWORKDAYS.INTL(E116,MIN(F116,Reprogramaciones!N$9),11)/NETWORKDAYS.INTL(E116,F116,11)*100,1))))</f>
        <v/>
      </c>
      <c r="L116" s="36" t="str">
        <f aca="false">IF(OR(NOT(AND(ISNUMBER(E116),ISNUMBER(F116))),$J$2=""),"",IF(Reprogramaciones!P$9&lt;E116,0,IF(NETWORKDAYS.INTL(E116,F116,11)=0,IF(Reprogramaciones!P$9&gt;=F116,100,0),ROUND(NETWORKDAYS.INTL(E116,MIN(F116,Reprogramaciones!P$9),11)/NETWORKDAYS.INTL(E116,F116,11)*100,1)))-IF(Reprogramaciones!O$9&lt;E116,0,IF(NETWORKDAYS.INTL(E116,F116,11)=0,IF(Reprogramaciones!O$9&gt;=F116,100,0),ROUND(NETWORKDAYS.INTL(E116,MIN(F116,Reprogramaciones!O$9),11)/NETWORKDAYS.INTL(E116,F116,11)*100,1))))</f>
        <v/>
      </c>
      <c r="M116" s="36" t="str">
        <f aca="false">IF(OR(NOT(AND(ISNUMBER(E116),ISNUMBER(F116))),$J$2=""),"",IF(Reprogramaciones!Q$9&lt;E116,0,IF(NETWORKDAYS.INTL(E116,F116,11)=0,IF(Reprogramaciones!Q$9&gt;=F116,100,0),ROUND(NETWORKDAYS.INTL(E116,MIN(F116,Reprogramaciones!Q$9),11)/NETWORKDAYS.INTL(E116,F116,11)*100,1)))-IF(Reprogramaciones!P$9&lt;E116,0,IF(NETWORKDAYS.INTL(E116,F116,11)=0,IF(Reprogramaciones!P$9&gt;=F116,100,0),ROUND(NETWORKDAYS.INTL(E116,MIN(F116,Reprogramaciones!P$9),11)/NETWORKDAYS.INTL(E116,F116,11)*100,1))))</f>
        <v/>
      </c>
      <c r="N116" s="36" t="str">
        <f aca="false">IF(OR(NOT(AND(ISNUMBER(E116),ISNUMBER(F116))),$J$2=""),"",IF(Reprogramaciones!R$9&lt;E116,0,IF(NETWORKDAYS.INTL(E116,F116,11)=0,IF(Reprogramaciones!R$9&gt;=F116,100,0),ROUND(NETWORKDAYS.INTL(E116,MIN(F116,Reprogramaciones!R$9),11)/NETWORKDAYS.INTL(E116,F116,11)*100,1)))-IF(Reprogramaciones!Q$9&lt;E116,0,IF(NETWORKDAYS.INTL(E116,F116,11)=0,IF(Reprogramaciones!Q$9&gt;=F116,100,0),ROUND(NETWORKDAYS.INTL(E116,MIN(F116,Reprogramaciones!Q$9),11)/NETWORKDAYS.INTL(E116,F116,11)*100,1))))</f>
        <v/>
      </c>
      <c r="O116" s="36" t="str">
        <f aca="false">IF(OR(NOT(AND(ISNUMBER(E116),ISNUMBER(F116))),$J$2=""),"",IF(Reprogramaciones!S$9&lt;E116,0,IF(NETWORKDAYS.INTL(E116,F116,11)=0,IF(Reprogramaciones!S$9&gt;=F116,100,0),ROUND(NETWORKDAYS.INTL(E116,MIN(F116,Reprogramaciones!S$9),11)/NETWORKDAYS.INTL(E116,F116,11)*100,1)))-IF(Reprogramaciones!R$9&lt;E116,0,IF(NETWORKDAYS.INTL(E116,F116,11)=0,IF(Reprogramaciones!R$9&gt;=F116,100,0),ROUND(NETWORKDAYS.INTL(E116,MIN(F116,Reprogramaciones!R$9),11)/NETWORKDAYS.INTL(E116,F116,11)*100,1))))</f>
        <v/>
      </c>
      <c r="P116" s="36" t="str">
        <f aca="false">IF(OR(NOT(AND(ISNUMBER(E116),ISNUMBER(F116))),$J$2=""),"",IF(Reprogramaciones!T$9&lt;E116,0,IF(NETWORKDAYS.INTL(E116,F116,11)=0,IF(Reprogramaciones!T$9&gt;=F116,100,0),ROUND(NETWORKDAYS.INTL(E116,MIN(F116,Reprogramaciones!T$9),11)/NETWORKDAYS.INTL(E116,F116,11)*100,1)))-IF(Reprogramaciones!S$9&lt;E116,0,IF(NETWORKDAYS.INTL(E116,F116,11)=0,IF(Reprogramaciones!S$9&gt;=F116,100,0),ROUND(NETWORKDAYS.INTL(E116,MIN(F116,Reprogramaciones!S$9),11)/NETWORKDAYS.INTL(E116,F116,11)*100,1))))</f>
        <v/>
      </c>
      <c r="Q116" s="37"/>
      <c r="R116" s="37"/>
      <c r="S116" s="37"/>
      <c r="T116" s="37"/>
      <c r="U116" s="37"/>
      <c r="V116" s="37"/>
      <c r="W116" s="37"/>
      <c r="X116" s="37"/>
      <c r="Y116" s="37"/>
      <c r="Z116" s="37"/>
      <c r="AA116" s="37"/>
      <c r="AB116" s="37"/>
      <c r="AC116" s="37"/>
      <c r="AD116" s="37"/>
      <c r="AE116" s="37"/>
      <c r="AF116" s="37"/>
      <c r="AG116" s="38" t="str">
        <f aca="false">IF(AND(ISNUMBER(E116),ISNUMBER(F116)),NETWORKDAYS.INTL(E116,F116,11),"")</f>
        <v/>
      </c>
      <c r="AH116" s="38" t="str">
        <f aca="false">IF(OR(NOT(AND(ISNUMBER(E116),ISNUMBER(F116))),$J$2=""),"",IF(Reprogramaciones!$P$15&lt;Reprogramaciones!$T$15,0,IF(Reprogramaciones!$R$15&gt;10,MIN(100,SUM($G116:$P116)),MIN(100,SUMPRODUCT((COLUMN($G116:$P116)-COLUMN($G116)+1&lt;Reprogramaciones!$R$15)*$G116:$P116)+N(INDEX($G116:$P116,1,Reprogramaciones!$R$15))*IF(Reprogramaciones!$P$15&gt;=(Reprogramaciones!$T$15+7*(Reprogramaciones!$R$15-1))+6,1,IF(MAX(0,NETWORKDAYS.INTL(MAX(E116,(Reprogramaciones!$T$15+7*(Reprogramaciones!$R$15-1))),MIN(F116,(Reprogramaciones!$T$15+7*(Reprogramaciones!$R$15-1))+6),11))=0,0,MAX(0,NETWORKDAYS.INTL(MAX(E116,(Reprogramaciones!$T$15+7*(Reprogramaciones!$R$15-1))),MIN(F116,Reprogramaciones!$P$15),11))/MAX(0,NETWORKDAYS.INTL(MAX(E116,(Reprogramaciones!$T$15+7*(Reprogramaciones!$R$15-1))),MIN(F116,(Reprogramaciones!$T$15+7*(Reprogramaciones!$R$15-1))+6),11))))))))</f>
        <v/>
      </c>
      <c r="AI116" s="38" t="str">
        <f aca="false">IF(COUNT($Q116:$AF116)=0,"",IF(ROUND(SUM($Q116:$AF116),1)&gt;=99.5,100,MIN(100,ROUND(SUM($Q116:$AF116),1))))</f>
        <v/>
      </c>
      <c r="AJ116" s="38" t="str">
        <f aca="false">IF(OR(AH116="",AI116=""),"",AI116-AH116)</f>
        <v/>
      </c>
      <c r="AK116" s="39" t="str">
        <f aca="true">IF(AH116="","",IF(OR(Ficha!$C$10="Suspendida",Ficha!$C$10="Cancelada"),Ficha!$C$10,IF(AND(AI116&lt;&gt;"",N(AI116)&gt;=100),"Completada",IF(AND(E116&gt;TODAY(),N(AI116)=0),"Por iniciar",IF(N(AI116)+0.5&lt;AH116,"Retrasada",IF(N(AI116)+0.5&lt;DA116,IF(Reprogramaciones!$K$15&gt;0,"Al día · Sem "&amp;Reprogramaciones!$K$15&amp;" en curso","Al día · en curso"),"A tiempo"))))))</f>
        <v/>
      </c>
      <c r="AL116" s="39" t="str">
        <f aca="true">IF(AND(A116="",AND(B116="",C116="",E116="",F116="",COUNT(Q116:AF116)=0)),"",IF(AND(B116="",C116="",E116="",F116="",COUNT(Q116:AF116)=0),"Falta la partida o subpartida",IF(AND(A116&lt;&gt;"",COUNTIF($A$6:$A$305,A116)&gt;1),"Ítem repetido",IF(AND(C116="",E116="",F116="",COUNT(Q116:AF116)=0),"Título de partida",IF(OR(E116="",F116=""),"Faltan fechas",IF(OR(ISTEXT(E116),ISTEXT(F116)),"Fecha escrita como texto: usa dd/mm/aaaa",IF(F116&lt;E116,"Fin antes del inicio",IF(IF($J$2="",FALSE(),OR(E116&lt;$J$2,F116&gt;Reprogramaciones!$T$15+69)),"Fuera de las 10 semanas",IF(ABS(SUM(G116:P116)-100)&gt;0.5,"La meta no suma 100%",IF(ROUND(SUM(Q116:AF116),1)&gt;100.5,"El avance pasa de 100%",IF(MIN(Q116:AF116)&lt;0,"Avance negativo",IF(COUNTA(Q116:AF116)&gt;COUNT(Q116:AF116),"Avance escrito como texto",IF(SUMPRODUCT((Q116:AF116&gt;0)*(Q116:AF116&lt;1))&gt;0,"Avance menor a 1: escribe 50, no 50%",IF(SUMPRODUCT(ISNUMBER(Q116:AF116)*(Reprogramaciones!$K$8:$Z$8&gt;TODAY()))&gt;0,"Avance en semana que aún no llega",IF(AND(N(Reprogramaciones!$E$21)&gt;0,F116&gt;Reprogramaciones!$E$21),"Pasa el fin de la obra: registra una reprogramación",IF(AND(N(Reprogramaciones!$E$21)&gt;0,SUMPRODUCT(ISNUMBER(Q116:AF116)*(Reprogramaciones!$K$8:$Z$8&gt;Reprogramaciones!$E$21))&gt;0),"Avance después del fin de la obra: registra una reprogramación por atraso","OK"))))))))))))))))</f>
        <v/>
      </c>
      <c r="AM116" s="40" t="str">
        <f aca="false">IF(OR(OR(NOT(AND(ISNUMBER(E116),ISNUMBER(F116))),$J$2=""),1&gt;MAX(1,Reprogramaciones!$U$15)),"",IF(Reprogramaciones!K$12&gt;=7,"",IF(OR(BT116-N(0)&gt;0.05,N(Q116)&gt;0),ROUNDDOWN(ROUND(BT116,6),0)&amp;"%"&amp;IF(CJ116="",""," / "&amp;CJ116&amp;"%"),IF(AND(N(0)&gt;=99.95,CJ116&lt;&gt;"",N(CJ116)&lt;100),"Pend. "&amp;CJ116&amp;"%",""))))</f>
        <v/>
      </c>
      <c r="AN116" s="40" t="str">
        <f aca="false">IF(OR(OR(NOT(AND(ISNUMBER(E116),ISNUMBER(F116))),$J$2=""),2&gt;MAX(1,Reprogramaciones!$U$15)),"",IF(Reprogramaciones!L$12&gt;=7,"",IF(OR(BU116-N(BT116)&gt;0.05,N(R116)&gt;0),ROUNDDOWN(ROUND(BU116,6),0)&amp;"%"&amp;IF(CK116="",""," / "&amp;CK116&amp;"%"),IF(AND(N(BT116)&gt;=99.95,CK116&lt;&gt;"",N(CK116)&lt;100),"Pend. "&amp;CK116&amp;"%",""))))</f>
        <v/>
      </c>
      <c r="AO116" s="40" t="str">
        <f aca="false">IF(OR(OR(NOT(AND(ISNUMBER(E116),ISNUMBER(F116))),$J$2=""),3&gt;MAX(1,Reprogramaciones!$U$15)),"",IF(Reprogramaciones!M$12&gt;=7,"",IF(OR(BV116-N(BU116)&gt;0.05,N(S116)&gt;0),ROUNDDOWN(ROUND(BV116,6),0)&amp;"%"&amp;IF(CL116="",""," / "&amp;CL116&amp;"%"),IF(AND(N(BU116)&gt;=99.95,CL116&lt;&gt;"",N(CL116)&lt;100),"Pend. "&amp;CL116&amp;"%",""))))</f>
        <v/>
      </c>
      <c r="AP116" s="40" t="str">
        <f aca="false">IF(OR(OR(NOT(AND(ISNUMBER(E116),ISNUMBER(F116))),$J$2=""),4&gt;MAX(1,Reprogramaciones!$U$15)),"",IF(Reprogramaciones!N$12&gt;=7,"",IF(OR(BW116-N(BV116)&gt;0.05,N(T116)&gt;0),ROUNDDOWN(ROUND(BW116,6),0)&amp;"%"&amp;IF(CM116="",""," / "&amp;CM116&amp;"%"),IF(AND(N(BV116)&gt;=99.95,CM116&lt;&gt;"",N(CM116)&lt;100),"Pend. "&amp;CM116&amp;"%",""))))</f>
        <v/>
      </c>
      <c r="AQ116" s="40" t="str">
        <f aca="false">IF(OR(OR(NOT(AND(ISNUMBER(E116),ISNUMBER(F116))),$J$2=""),5&gt;MAX(1,Reprogramaciones!$U$15)),"",IF(Reprogramaciones!O$12&gt;=7,"",IF(OR(BX116-N(BW116)&gt;0.05,N(U116)&gt;0),ROUNDDOWN(ROUND(BX116,6),0)&amp;"%"&amp;IF(CN116="",""," / "&amp;CN116&amp;"%"),IF(AND(N(BW116)&gt;=99.95,CN116&lt;&gt;"",N(CN116)&lt;100),"Pend. "&amp;CN116&amp;"%",""))))</f>
        <v/>
      </c>
      <c r="AR116" s="40" t="str">
        <f aca="false">IF(OR(OR(NOT(AND(ISNUMBER(E116),ISNUMBER(F116))),$J$2=""),6&gt;MAX(1,Reprogramaciones!$U$15)),"",IF(Reprogramaciones!P$12&gt;=7,"",IF(OR(BY116-N(BX116)&gt;0.05,N(V116)&gt;0),ROUNDDOWN(ROUND(BY116,6),0)&amp;"%"&amp;IF(CO116="",""," / "&amp;CO116&amp;"%"),IF(AND(N(BX116)&gt;=99.95,CO116&lt;&gt;"",N(CO116)&lt;100),"Pend. "&amp;CO116&amp;"%",""))))</f>
        <v/>
      </c>
      <c r="AS116" s="40" t="str">
        <f aca="false">IF(OR(OR(NOT(AND(ISNUMBER(E116),ISNUMBER(F116))),$J$2=""),7&gt;MAX(1,Reprogramaciones!$U$15)),"",IF(Reprogramaciones!Q$12&gt;=7,"",IF(OR(BZ116-N(BY116)&gt;0.05,N(W116)&gt;0),ROUNDDOWN(ROUND(BZ116,6),0)&amp;"%"&amp;IF(CP116="",""," / "&amp;CP116&amp;"%"),IF(AND(N(BY116)&gt;=99.95,CP116&lt;&gt;"",N(CP116)&lt;100),"Pend. "&amp;CP116&amp;"%",""))))</f>
        <v/>
      </c>
      <c r="AT116" s="40" t="str">
        <f aca="false">IF(OR(OR(NOT(AND(ISNUMBER(E116),ISNUMBER(F116))),$J$2=""),8&gt;MAX(1,Reprogramaciones!$U$15)),"",IF(Reprogramaciones!R$12&gt;=7,"",IF(OR(CA116-N(BZ116)&gt;0.05,N(X116)&gt;0),ROUNDDOWN(ROUND(CA116,6),0)&amp;"%"&amp;IF(CQ116="",""," / "&amp;CQ116&amp;"%"),IF(AND(N(BZ116)&gt;=99.95,CQ116&lt;&gt;"",N(CQ116)&lt;100),"Pend. "&amp;CQ116&amp;"%",""))))</f>
        <v/>
      </c>
      <c r="AU116" s="40" t="str">
        <f aca="false">IF(OR(OR(NOT(AND(ISNUMBER(E116),ISNUMBER(F116))),$J$2=""),9&gt;MAX(1,Reprogramaciones!$U$15)),"",IF(Reprogramaciones!S$12&gt;=7,"",IF(OR(CB116-N(CA116)&gt;0.05,N(Y116)&gt;0),ROUNDDOWN(ROUND(CB116,6),0)&amp;"%"&amp;IF(CR116="",""," / "&amp;CR116&amp;"%"),IF(AND(N(CA116)&gt;=99.95,CR116&lt;&gt;"",N(CR116)&lt;100),"Pend. "&amp;CR116&amp;"%",""))))</f>
        <v/>
      </c>
      <c r="AV116" s="40" t="str">
        <f aca="false">IF(OR(OR(NOT(AND(ISNUMBER(E116),ISNUMBER(F116))),$J$2=""),10&gt;MAX(1,Reprogramaciones!$U$15)),"",IF(Reprogramaciones!T$12&gt;=7,"",IF(OR(CC116-N(CB116)&gt;0.05,N(Z116)&gt;0),ROUNDDOWN(ROUND(CC116,6),0)&amp;"%"&amp;IF(CS116="",""," / "&amp;CS116&amp;"%"),IF(AND(N(CB116)&gt;=99.95,CS116&lt;&gt;"",N(CS116)&lt;100),"Pend. "&amp;CS116&amp;"%",""))))</f>
        <v/>
      </c>
      <c r="AW116" s="40" t="str">
        <f aca="false">IF(OR(OR(NOT(AND(ISNUMBER(E116),ISNUMBER(F116))),$J$2=""),11&gt;MAX(1,Reprogramaciones!$U$15)),"",IF(Reprogramaciones!U$12&gt;=7,"",IF(OR(CD116-N(CC116)&gt;0.05,N(AA116)&gt;0),ROUNDDOWN(ROUND(CD116,6),0)&amp;"%"&amp;IF(CT116="",""," / "&amp;CT116&amp;"%"),IF(AND(N(CC116)&gt;=99.95,CT116&lt;&gt;"",N(CT116)&lt;100),"Pend. "&amp;CT116&amp;"%",""))))</f>
        <v/>
      </c>
      <c r="AX116" s="40" t="str">
        <f aca="false">IF(OR(OR(NOT(AND(ISNUMBER(E116),ISNUMBER(F116))),$J$2=""),12&gt;MAX(1,Reprogramaciones!$U$15)),"",IF(Reprogramaciones!V$12&gt;=7,"",IF(OR(CE116-N(CD116)&gt;0.05,N(AB116)&gt;0),ROUNDDOWN(ROUND(CE116,6),0)&amp;"%"&amp;IF(CU116="",""," / "&amp;CU116&amp;"%"),IF(AND(N(CD116)&gt;=99.95,CU116&lt;&gt;"",N(CU116)&lt;100),"Pend. "&amp;CU116&amp;"%",""))))</f>
        <v/>
      </c>
      <c r="AY116" s="40" t="str">
        <f aca="false">IF(OR(OR(NOT(AND(ISNUMBER(E116),ISNUMBER(F116))),$J$2=""),13&gt;MAX(1,Reprogramaciones!$U$15)),"",IF(Reprogramaciones!W$12&gt;=7,"",IF(OR(CF116-N(CE116)&gt;0.05,N(AC116)&gt;0),ROUNDDOWN(ROUND(CF116,6),0)&amp;"%"&amp;IF(CV116="",""," / "&amp;CV116&amp;"%"),IF(AND(N(CE116)&gt;=99.95,CV116&lt;&gt;"",N(CV116)&lt;100),"Pend. "&amp;CV116&amp;"%",""))))</f>
        <v/>
      </c>
      <c r="AZ116" s="40" t="str">
        <f aca="false">IF(OR(OR(NOT(AND(ISNUMBER(E116),ISNUMBER(F116))),$J$2=""),14&gt;MAX(1,Reprogramaciones!$U$15)),"",IF(Reprogramaciones!X$12&gt;=7,"",IF(OR(CG116-N(CF116)&gt;0.05,N(AD116)&gt;0),ROUNDDOWN(ROUND(CG116,6),0)&amp;"%"&amp;IF(CW116="",""," / "&amp;CW116&amp;"%"),IF(AND(N(CF116)&gt;=99.95,CW116&lt;&gt;"",N(CW116)&lt;100),"Pend. "&amp;CW116&amp;"%",""))))</f>
        <v/>
      </c>
      <c r="BA116" s="40" t="str">
        <f aca="false">IF(OR(OR(NOT(AND(ISNUMBER(E116),ISNUMBER(F116))),$J$2=""),15&gt;MAX(1,Reprogramaciones!$U$15)),"",IF(Reprogramaciones!Y$12&gt;=7,"",IF(OR(CH116-N(CG116)&gt;0.05,N(AE116)&gt;0),ROUNDDOWN(ROUND(CH116,6),0)&amp;"%"&amp;IF(CX116="",""," / "&amp;CX116&amp;"%"),IF(AND(N(CG116)&gt;=99.95,CX116&lt;&gt;"",N(CX116)&lt;100),"Pend. "&amp;CX116&amp;"%",""))))</f>
        <v/>
      </c>
      <c r="BB116" s="40" t="str">
        <f aca="false">IF(OR(OR(NOT(AND(ISNUMBER(E116),ISNUMBER(F116))),$J$2=""),16&gt;MAX(1,Reprogramaciones!$U$15)),"",IF(Reprogramaciones!Z$12&gt;=7,"",IF(OR(CI116-N(CH116)&gt;0.05,N(AF116)&gt;0),ROUNDDOWN(ROUND(CI116,6),0)&amp;"%"&amp;IF(CY116="",""," / "&amp;CY116&amp;"%"),IF(AND(N(CH116)&gt;=99.95,CY116&lt;&gt;"",N(CY116)&lt;100),"Pend. "&amp;CY116&amp;"%",""))))</f>
        <v/>
      </c>
      <c r="BC116" s="31" t="n">
        <f aca="false">IF(AND(ISNUMBER(E116),ISNUMBER(F116)),MAX(1,NETWORKDAYS.INTL(E116,F116,11)),0)</f>
        <v>0</v>
      </c>
      <c r="BD116" s="1" t="str">
        <f aca="false">IF(OR(NOT(AND(ISNUMBER(E116),ISNUMBER(F116))),$J$2=""),"",MIN(100,ROUND(SUM($G116:G116),1)))</f>
        <v/>
      </c>
      <c r="BE116" s="1" t="str">
        <f aca="false">IF(OR(NOT(AND(ISNUMBER(E116),ISNUMBER(F116))),$J$2=""),"",MIN(100,ROUND(SUM($G116:H116),1)))</f>
        <v/>
      </c>
      <c r="BF116" s="1" t="str">
        <f aca="false">IF(OR(NOT(AND(ISNUMBER(E116),ISNUMBER(F116))),$J$2=""),"",MIN(100,ROUND(SUM($G116:I116),1)))</f>
        <v/>
      </c>
      <c r="BG116" s="1" t="str">
        <f aca="false">IF(OR(NOT(AND(ISNUMBER(E116),ISNUMBER(F116))),$J$2=""),"",MIN(100,ROUND(SUM($G116:J116),1)))</f>
        <v/>
      </c>
      <c r="BH116" s="1" t="str">
        <f aca="false">IF(OR(NOT(AND(ISNUMBER(E116),ISNUMBER(F116))),$J$2=""),"",MIN(100,ROUND(SUM($G116:K116),1)))</f>
        <v/>
      </c>
      <c r="BI116" s="1" t="str">
        <f aca="false">IF(OR(NOT(AND(ISNUMBER(E116),ISNUMBER(F116))),$J$2=""),"",MIN(100,ROUND(SUM($G116:L116),1)))</f>
        <v/>
      </c>
      <c r="BJ116" s="1" t="str">
        <f aca="false">IF(OR(NOT(AND(ISNUMBER(E116),ISNUMBER(F116))),$J$2=""),"",MIN(100,ROUND(SUM($G116:M116),1)))</f>
        <v/>
      </c>
      <c r="BK116" s="1" t="str">
        <f aca="false">IF(OR(NOT(AND(ISNUMBER(E116),ISNUMBER(F116))),$J$2=""),"",MIN(100,ROUND(SUM($G116:N116),1)))</f>
        <v/>
      </c>
      <c r="BL116" s="1" t="str">
        <f aca="false">IF(OR(NOT(AND(ISNUMBER(E116),ISNUMBER(F116))),$J$2=""),"",MIN(100,ROUND(SUM($G116:O116),1)))</f>
        <v/>
      </c>
      <c r="BM116" s="1" t="str">
        <f aca="false">IF(OR(NOT(AND(ISNUMBER(E116),ISNUMBER(F116))),$J$2=""),"",MIN(100,ROUND(SUM($G116:P116),1)))</f>
        <v/>
      </c>
      <c r="BN116" s="1" t="str">
        <f aca="false">IF(OR(NOT(AND(ISNUMBER(E116),ISNUMBER(F116))),$J$2=""),"",MIN(100,ROUND(SUM($G116:P116),1)))</f>
        <v/>
      </c>
      <c r="BO116" s="1" t="str">
        <f aca="false">IF(OR(NOT(AND(ISNUMBER(E116),ISNUMBER(F116))),$J$2=""),"",MIN(100,ROUND(SUM($G116:P116),1)))</f>
        <v/>
      </c>
      <c r="BP116" s="1" t="str">
        <f aca="false">IF(OR(NOT(AND(ISNUMBER(E116),ISNUMBER(F116))),$J$2=""),"",MIN(100,ROUND(SUM($G116:P116),1)))</f>
        <v/>
      </c>
      <c r="BQ116" s="1" t="str">
        <f aca="false">IF(OR(NOT(AND(ISNUMBER(E116),ISNUMBER(F116))),$J$2=""),"",MIN(100,ROUND(SUM($G116:P116),1)))</f>
        <v/>
      </c>
      <c r="BR116" s="1" t="str">
        <f aca="false">IF(OR(NOT(AND(ISNUMBER(E116),ISNUMBER(F116))),$J$2=""),"",MIN(100,ROUND(SUM($G116:P116),1)))</f>
        <v/>
      </c>
      <c r="BS116" s="1" t="str">
        <f aca="false">IF(OR(NOT(AND(ISNUMBER(E116),ISNUMBER(F116))),$J$2=""),"",MIN(100,ROUND(SUM($G116:P116),1)))</f>
        <v/>
      </c>
      <c r="BT116" s="1" t="str">
        <f aca="false">IF(OR(NOT(AND(ISNUMBER(E116),ISNUMBER(F116))),$J$2=""),"",IF(Reprogramaciones!K$13&lt;Reprogramaciones!$T$15,0,IF(Reprogramaciones!K$14&gt;10,MIN(100,SUM($G116:$P116)),MIN(100,SUMPRODUCT((COLUMN($G116:$P116)-COLUMN($G116)+1&lt;Reprogramaciones!K$14)*$G116:$P116)+N(INDEX($G116:$P116,1,Reprogramaciones!K$14))*IF(Reprogramaciones!K$13&gt;=(Reprogramaciones!$T$15+7*(Reprogramaciones!K$14-1))+6,1,IF(MAX(0,NETWORKDAYS.INTL(MAX(E116,(Reprogramaciones!$T$15+7*(Reprogramaciones!K$14-1))),MIN(F116,(Reprogramaciones!$T$15+7*(Reprogramaciones!K$14-1))+6),11))=0,0,MAX(0,NETWORKDAYS.INTL(MAX(E116,(Reprogramaciones!$T$15+7*(Reprogramaciones!K$14-1))),MIN(F116,Reprogramaciones!K$13),11))/MAX(0,NETWORKDAYS.INTL(MAX(E116,(Reprogramaciones!$T$15+7*(Reprogramaciones!K$14-1))),MIN(F116,(Reprogramaciones!$T$15+7*(Reprogramaciones!K$14-1))+6),11))))))))</f>
        <v/>
      </c>
      <c r="BU116" s="1" t="str">
        <f aca="false">IF(OR(NOT(AND(ISNUMBER(E116),ISNUMBER(F116))),$J$2=""),"",IF(Reprogramaciones!L$13&lt;Reprogramaciones!$T$15,0,IF(Reprogramaciones!L$14&gt;10,MIN(100,SUM($G116:$P116)),MIN(100,SUMPRODUCT((COLUMN($G116:$P116)-COLUMN($G116)+1&lt;Reprogramaciones!L$14)*$G116:$P116)+N(INDEX($G116:$P116,1,Reprogramaciones!L$14))*IF(Reprogramaciones!L$13&gt;=(Reprogramaciones!$T$15+7*(Reprogramaciones!L$14-1))+6,1,IF(MAX(0,NETWORKDAYS.INTL(MAX(E116,(Reprogramaciones!$T$15+7*(Reprogramaciones!L$14-1))),MIN(F116,(Reprogramaciones!$T$15+7*(Reprogramaciones!L$14-1))+6),11))=0,0,MAX(0,NETWORKDAYS.INTL(MAX(E116,(Reprogramaciones!$T$15+7*(Reprogramaciones!L$14-1))),MIN(F116,Reprogramaciones!L$13),11))/MAX(0,NETWORKDAYS.INTL(MAX(E116,(Reprogramaciones!$T$15+7*(Reprogramaciones!L$14-1))),MIN(F116,(Reprogramaciones!$T$15+7*(Reprogramaciones!L$14-1))+6),11))))))))</f>
        <v/>
      </c>
      <c r="BV116" s="1" t="str">
        <f aca="false">IF(OR(NOT(AND(ISNUMBER(E116),ISNUMBER(F116))),$J$2=""),"",IF(Reprogramaciones!M$13&lt;Reprogramaciones!$T$15,0,IF(Reprogramaciones!M$14&gt;10,MIN(100,SUM($G116:$P116)),MIN(100,SUMPRODUCT((COLUMN($G116:$P116)-COLUMN($G116)+1&lt;Reprogramaciones!M$14)*$G116:$P116)+N(INDEX($G116:$P116,1,Reprogramaciones!M$14))*IF(Reprogramaciones!M$13&gt;=(Reprogramaciones!$T$15+7*(Reprogramaciones!M$14-1))+6,1,IF(MAX(0,NETWORKDAYS.INTL(MAX(E116,(Reprogramaciones!$T$15+7*(Reprogramaciones!M$14-1))),MIN(F116,(Reprogramaciones!$T$15+7*(Reprogramaciones!M$14-1))+6),11))=0,0,MAX(0,NETWORKDAYS.INTL(MAX(E116,(Reprogramaciones!$T$15+7*(Reprogramaciones!M$14-1))),MIN(F116,Reprogramaciones!M$13),11))/MAX(0,NETWORKDAYS.INTL(MAX(E116,(Reprogramaciones!$T$15+7*(Reprogramaciones!M$14-1))),MIN(F116,(Reprogramaciones!$T$15+7*(Reprogramaciones!M$14-1))+6),11))))))))</f>
        <v/>
      </c>
      <c r="BW116" s="1" t="str">
        <f aca="false">IF(OR(NOT(AND(ISNUMBER(E116),ISNUMBER(F116))),$J$2=""),"",IF(Reprogramaciones!N$13&lt;Reprogramaciones!$T$15,0,IF(Reprogramaciones!N$14&gt;10,MIN(100,SUM($G116:$P116)),MIN(100,SUMPRODUCT((COLUMN($G116:$P116)-COLUMN($G116)+1&lt;Reprogramaciones!N$14)*$G116:$P116)+N(INDEX($G116:$P116,1,Reprogramaciones!N$14))*IF(Reprogramaciones!N$13&gt;=(Reprogramaciones!$T$15+7*(Reprogramaciones!N$14-1))+6,1,IF(MAX(0,NETWORKDAYS.INTL(MAX(E116,(Reprogramaciones!$T$15+7*(Reprogramaciones!N$14-1))),MIN(F116,(Reprogramaciones!$T$15+7*(Reprogramaciones!N$14-1))+6),11))=0,0,MAX(0,NETWORKDAYS.INTL(MAX(E116,(Reprogramaciones!$T$15+7*(Reprogramaciones!N$14-1))),MIN(F116,Reprogramaciones!N$13),11))/MAX(0,NETWORKDAYS.INTL(MAX(E116,(Reprogramaciones!$T$15+7*(Reprogramaciones!N$14-1))),MIN(F116,(Reprogramaciones!$T$15+7*(Reprogramaciones!N$14-1))+6),11))))))))</f>
        <v/>
      </c>
      <c r="BX116" s="1" t="str">
        <f aca="false">IF(OR(NOT(AND(ISNUMBER(E116),ISNUMBER(F116))),$J$2=""),"",IF(Reprogramaciones!O$13&lt;Reprogramaciones!$T$15,0,IF(Reprogramaciones!O$14&gt;10,MIN(100,SUM($G116:$P116)),MIN(100,SUMPRODUCT((COLUMN($G116:$P116)-COLUMN($G116)+1&lt;Reprogramaciones!O$14)*$G116:$P116)+N(INDEX($G116:$P116,1,Reprogramaciones!O$14))*IF(Reprogramaciones!O$13&gt;=(Reprogramaciones!$T$15+7*(Reprogramaciones!O$14-1))+6,1,IF(MAX(0,NETWORKDAYS.INTL(MAX(E116,(Reprogramaciones!$T$15+7*(Reprogramaciones!O$14-1))),MIN(F116,(Reprogramaciones!$T$15+7*(Reprogramaciones!O$14-1))+6),11))=0,0,MAX(0,NETWORKDAYS.INTL(MAX(E116,(Reprogramaciones!$T$15+7*(Reprogramaciones!O$14-1))),MIN(F116,Reprogramaciones!O$13),11))/MAX(0,NETWORKDAYS.INTL(MAX(E116,(Reprogramaciones!$T$15+7*(Reprogramaciones!O$14-1))),MIN(F116,(Reprogramaciones!$T$15+7*(Reprogramaciones!O$14-1))+6),11))))))))</f>
        <v/>
      </c>
      <c r="BY116" s="1" t="str">
        <f aca="false">IF(OR(NOT(AND(ISNUMBER(E116),ISNUMBER(F116))),$J$2=""),"",IF(Reprogramaciones!P$13&lt;Reprogramaciones!$T$15,0,IF(Reprogramaciones!P$14&gt;10,MIN(100,SUM($G116:$P116)),MIN(100,SUMPRODUCT((COLUMN($G116:$P116)-COLUMN($G116)+1&lt;Reprogramaciones!P$14)*$G116:$P116)+N(INDEX($G116:$P116,1,Reprogramaciones!P$14))*IF(Reprogramaciones!P$13&gt;=(Reprogramaciones!$T$15+7*(Reprogramaciones!P$14-1))+6,1,IF(MAX(0,NETWORKDAYS.INTL(MAX(E116,(Reprogramaciones!$T$15+7*(Reprogramaciones!P$14-1))),MIN(F116,(Reprogramaciones!$T$15+7*(Reprogramaciones!P$14-1))+6),11))=0,0,MAX(0,NETWORKDAYS.INTL(MAX(E116,(Reprogramaciones!$T$15+7*(Reprogramaciones!P$14-1))),MIN(F116,Reprogramaciones!P$13),11))/MAX(0,NETWORKDAYS.INTL(MAX(E116,(Reprogramaciones!$T$15+7*(Reprogramaciones!P$14-1))),MIN(F116,(Reprogramaciones!$T$15+7*(Reprogramaciones!P$14-1))+6),11))))))))</f>
        <v/>
      </c>
      <c r="BZ116" s="1" t="str">
        <f aca="false">IF(OR(NOT(AND(ISNUMBER(E116),ISNUMBER(F116))),$J$2=""),"",IF(Reprogramaciones!Q$13&lt;Reprogramaciones!$T$15,0,IF(Reprogramaciones!Q$14&gt;10,MIN(100,SUM($G116:$P116)),MIN(100,SUMPRODUCT((COLUMN($G116:$P116)-COLUMN($G116)+1&lt;Reprogramaciones!Q$14)*$G116:$P116)+N(INDEX($G116:$P116,1,Reprogramaciones!Q$14))*IF(Reprogramaciones!Q$13&gt;=(Reprogramaciones!$T$15+7*(Reprogramaciones!Q$14-1))+6,1,IF(MAX(0,NETWORKDAYS.INTL(MAX(E116,(Reprogramaciones!$T$15+7*(Reprogramaciones!Q$14-1))),MIN(F116,(Reprogramaciones!$T$15+7*(Reprogramaciones!Q$14-1))+6),11))=0,0,MAX(0,NETWORKDAYS.INTL(MAX(E116,(Reprogramaciones!$T$15+7*(Reprogramaciones!Q$14-1))),MIN(F116,Reprogramaciones!Q$13),11))/MAX(0,NETWORKDAYS.INTL(MAX(E116,(Reprogramaciones!$T$15+7*(Reprogramaciones!Q$14-1))),MIN(F116,(Reprogramaciones!$T$15+7*(Reprogramaciones!Q$14-1))+6),11))))))))</f>
        <v/>
      </c>
      <c r="CA116" s="1" t="str">
        <f aca="false">IF(OR(NOT(AND(ISNUMBER(E116),ISNUMBER(F116))),$J$2=""),"",IF(Reprogramaciones!R$13&lt;Reprogramaciones!$T$15,0,IF(Reprogramaciones!R$14&gt;10,MIN(100,SUM($G116:$P116)),MIN(100,SUMPRODUCT((COLUMN($G116:$P116)-COLUMN($G116)+1&lt;Reprogramaciones!R$14)*$G116:$P116)+N(INDEX($G116:$P116,1,Reprogramaciones!R$14))*IF(Reprogramaciones!R$13&gt;=(Reprogramaciones!$T$15+7*(Reprogramaciones!R$14-1))+6,1,IF(MAX(0,NETWORKDAYS.INTL(MAX(E116,(Reprogramaciones!$T$15+7*(Reprogramaciones!R$14-1))),MIN(F116,(Reprogramaciones!$T$15+7*(Reprogramaciones!R$14-1))+6),11))=0,0,MAX(0,NETWORKDAYS.INTL(MAX(E116,(Reprogramaciones!$T$15+7*(Reprogramaciones!R$14-1))),MIN(F116,Reprogramaciones!R$13),11))/MAX(0,NETWORKDAYS.INTL(MAX(E116,(Reprogramaciones!$T$15+7*(Reprogramaciones!R$14-1))),MIN(F116,(Reprogramaciones!$T$15+7*(Reprogramaciones!R$14-1))+6),11))))))))</f>
        <v/>
      </c>
      <c r="CB116" s="1" t="str">
        <f aca="false">IF(OR(NOT(AND(ISNUMBER(E116),ISNUMBER(F116))),$J$2=""),"",IF(Reprogramaciones!S$13&lt;Reprogramaciones!$T$15,0,IF(Reprogramaciones!S$14&gt;10,MIN(100,SUM($G116:$P116)),MIN(100,SUMPRODUCT((COLUMN($G116:$P116)-COLUMN($G116)+1&lt;Reprogramaciones!S$14)*$G116:$P116)+N(INDEX($G116:$P116,1,Reprogramaciones!S$14))*IF(Reprogramaciones!S$13&gt;=(Reprogramaciones!$T$15+7*(Reprogramaciones!S$14-1))+6,1,IF(MAX(0,NETWORKDAYS.INTL(MAX(E116,(Reprogramaciones!$T$15+7*(Reprogramaciones!S$14-1))),MIN(F116,(Reprogramaciones!$T$15+7*(Reprogramaciones!S$14-1))+6),11))=0,0,MAX(0,NETWORKDAYS.INTL(MAX(E116,(Reprogramaciones!$T$15+7*(Reprogramaciones!S$14-1))),MIN(F116,Reprogramaciones!S$13),11))/MAX(0,NETWORKDAYS.INTL(MAX(E116,(Reprogramaciones!$T$15+7*(Reprogramaciones!S$14-1))),MIN(F116,(Reprogramaciones!$T$15+7*(Reprogramaciones!S$14-1))+6),11))))))))</f>
        <v/>
      </c>
      <c r="CC116" s="1" t="str">
        <f aca="false">IF(OR(NOT(AND(ISNUMBER(E116),ISNUMBER(F116))),$J$2=""),"",IF(Reprogramaciones!T$13&lt;Reprogramaciones!$T$15,0,IF(Reprogramaciones!T$14&gt;10,MIN(100,SUM($G116:$P116)),MIN(100,SUMPRODUCT((COLUMN($G116:$P116)-COLUMN($G116)+1&lt;Reprogramaciones!T$14)*$G116:$P116)+N(INDEX($G116:$P116,1,Reprogramaciones!T$14))*IF(Reprogramaciones!T$13&gt;=(Reprogramaciones!$T$15+7*(Reprogramaciones!T$14-1))+6,1,IF(MAX(0,NETWORKDAYS.INTL(MAX(E116,(Reprogramaciones!$T$15+7*(Reprogramaciones!T$14-1))),MIN(F116,(Reprogramaciones!$T$15+7*(Reprogramaciones!T$14-1))+6),11))=0,0,MAX(0,NETWORKDAYS.INTL(MAX(E116,(Reprogramaciones!$T$15+7*(Reprogramaciones!T$14-1))),MIN(F116,Reprogramaciones!T$13),11))/MAX(0,NETWORKDAYS.INTL(MAX(E116,(Reprogramaciones!$T$15+7*(Reprogramaciones!T$14-1))),MIN(F116,(Reprogramaciones!$T$15+7*(Reprogramaciones!T$14-1))+6),11))))))))</f>
        <v/>
      </c>
      <c r="CD116" s="1" t="str">
        <f aca="false">IF(OR(NOT(AND(ISNUMBER(E116),ISNUMBER(F116))),$J$2=""),"",IF(Reprogramaciones!U$13&lt;Reprogramaciones!$T$15,0,IF(Reprogramaciones!U$14&gt;10,MIN(100,SUM($G116:$P116)),MIN(100,SUMPRODUCT((COLUMN($G116:$P116)-COLUMN($G116)+1&lt;Reprogramaciones!U$14)*$G116:$P116)+N(INDEX($G116:$P116,1,Reprogramaciones!U$14))*IF(Reprogramaciones!U$13&gt;=(Reprogramaciones!$T$15+7*(Reprogramaciones!U$14-1))+6,1,IF(MAX(0,NETWORKDAYS.INTL(MAX(E116,(Reprogramaciones!$T$15+7*(Reprogramaciones!U$14-1))),MIN(F116,(Reprogramaciones!$T$15+7*(Reprogramaciones!U$14-1))+6),11))=0,0,MAX(0,NETWORKDAYS.INTL(MAX(E116,(Reprogramaciones!$T$15+7*(Reprogramaciones!U$14-1))),MIN(F116,Reprogramaciones!U$13),11))/MAX(0,NETWORKDAYS.INTL(MAX(E116,(Reprogramaciones!$T$15+7*(Reprogramaciones!U$14-1))),MIN(F116,(Reprogramaciones!$T$15+7*(Reprogramaciones!U$14-1))+6),11))))))))</f>
        <v/>
      </c>
      <c r="CE116" s="1" t="str">
        <f aca="false">IF(OR(NOT(AND(ISNUMBER(E116),ISNUMBER(F116))),$J$2=""),"",IF(Reprogramaciones!V$13&lt;Reprogramaciones!$T$15,0,IF(Reprogramaciones!V$14&gt;10,MIN(100,SUM($G116:$P116)),MIN(100,SUMPRODUCT((COLUMN($G116:$P116)-COLUMN($G116)+1&lt;Reprogramaciones!V$14)*$G116:$P116)+N(INDEX($G116:$P116,1,Reprogramaciones!V$14))*IF(Reprogramaciones!V$13&gt;=(Reprogramaciones!$T$15+7*(Reprogramaciones!V$14-1))+6,1,IF(MAX(0,NETWORKDAYS.INTL(MAX(E116,(Reprogramaciones!$T$15+7*(Reprogramaciones!V$14-1))),MIN(F116,(Reprogramaciones!$T$15+7*(Reprogramaciones!V$14-1))+6),11))=0,0,MAX(0,NETWORKDAYS.INTL(MAX(E116,(Reprogramaciones!$T$15+7*(Reprogramaciones!V$14-1))),MIN(F116,Reprogramaciones!V$13),11))/MAX(0,NETWORKDAYS.INTL(MAX(E116,(Reprogramaciones!$T$15+7*(Reprogramaciones!V$14-1))),MIN(F116,(Reprogramaciones!$T$15+7*(Reprogramaciones!V$14-1))+6),11))))))))</f>
        <v/>
      </c>
      <c r="CF116" s="1" t="str">
        <f aca="false">IF(OR(NOT(AND(ISNUMBER(E116),ISNUMBER(F116))),$J$2=""),"",IF(Reprogramaciones!W$13&lt;Reprogramaciones!$T$15,0,IF(Reprogramaciones!W$14&gt;10,MIN(100,SUM($G116:$P116)),MIN(100,SUMPRODUCT((COLUMN($G116:$P116)-COLUMN($G116)+1&lt;Reprogramaciones!W$14)*$G116:$P116)+N(INDEX($G116:$P116,1,Reprogramaciones!W$14))*IF(Reprogramaciones!W$13&gt;=(Reprogramaciones!$T$15+7*(Reprogramaciones!W$14-1))+6,1,IF(MAX(0,NETWORKDAYS.INTL(MAX(E116,(Reprogramaciones!$T$15+7*(Reprogramaciones!W$14-1))),MIN(F116,(Reprogramaciones!$T$15+7*(Reprogramaciones!W$14-1))+6),11))=0,0,MAX(0,NETWORKDAYS.INTL(MAX(E116,(Reprogramaciones!$T$15+7*(Reprogramaciones!W$14-1))),MIN(F116,Reprogramaciones!W$13),11))/MAX(0,NETWORKDAYS.INTL(MAX(E116,(Reprogramaciones!$T$15+7*(Reprogramaciones!W$14-1))),MIN(F116,(Reprogramaciones!$T$15+7*(Reprogramaciones!W$14-1))+6),11))))))))</f>
        <v/>
      </c>
      <c r="CG116" s="1" t="str">
        <f aca="false">IF(OR(NOT(AND(ISNUMBER(E116),ISNUMBER(F116))),$J$2=""),"",IF(Reprogramaciones!X$13&lt;Reprogramaciones!$T$15,0,IF(Reprogramaciones!X$14&gt;10,MIN(100,SUM($G116:$P116)),MIN(100,SUMPRODUCT((COLUMN($G116:$P116)-COLUMN($G116)+1&lt;Reprogramaciones!X$14)*$G116:$P116)+N(INDEX($G116:$P116,1,Reprogramaciones!X$14))*IF(Reprogramaciones!X$13&gt;=(Reprogramaciones!$T$15+7*(Reprogramaciones!X$14-1))+6,1,IF(MAX(0,NETWORKDAYS.INTL(MAX(E116,(Reprogramaciones!$T$15+7*(Reprogramaciones!X$14-1))),MIN(F116,(Reprogramaciones!$T$15+7*(Reprogramaciones!X$14-1))+6),11))=0,0,MAX(0,NETWORKDAYS.INTL(MAX(E116,(Reprogramaciones!$T$15+7*(Reprogramaciones!X$14-1))),MIN(F116,Reprogramaciones!X$13),11))/MAX(0,NETWORKDAYS.INTL(MAX(E116,(Reprogramaciones!$T$15+7*(Reprogramaciones!X$14-1))),MIN(F116,(Reprogramaciones!$T$15+7*(Reprogramaciones!X$14-1))+6),11))))))))</f>
        <v/>
      </c>
      <c r="CH116" s="1" t="str">
        <f aca="false">IF(OR(NOT(AND(ISNUMBER(E116),ISNUMBER(F116))),$J$2=""),"",IF(Reprogramaciones!Y$13&lt;Reprogramaciones!$T$15,0,IF(Reprogramaciones!Y$14&gt;10,MIN(100,SUM($G116:$P116)),MIN(100,SUMPRODUCT((COLUMN($G116:$P116)-COLUMN($G116)+1&lt;Reprogramaciones!Y$14)*$G116:$P116)+N(INDEX($G116:$P116,1,Reprogramaciones!Y$14))*IF(Reprogramaciones!Y$13&gt;=(Reprogramaciones!$T$15+7*(Reprogramaciones!Y$14-1))+6,1,IF(MAX(0,NETWORKDAYS.INTL(MAX(E116,(Reprogramaciones!$T$15+7*(Reprogramaciones!Y$14-1))),MIN(F116,(Reprogramaciones!$T$15+7*(Reprogramaciones!Y$14-1))+6),11))=0,0,MAX(0,NETWORKDAYS.INTL(MAX(E116,(Reprogramaciones!$T$15+7*(Reprogramaciones!Y$14-1))),MIN(F116,Reprogramaciones!Y$13),11))/MAX(0,NETWORKDAYS.INTL(MAX(E116,(Reprogramaciones!$T$15+7*(Reprogramaciones!Y$14-1))),MIN(F116,(Reprogramaciones!$T$15+7*(Reprogramaciones!Y$14-1))+6),11))))))))</f>
        <v/>
      </c>
      <c r="CI116" s="1" t="str">
        <f aca="false">IF(OR(NOT(AND(ISNUMBER(E116),ISNUMBER(F116))),$J$2=""),"",IF(Reprogramaciones!Z$13&lt;Reprogramaciones!$T$15,0,IF(Reprogramaciones!Z$14&gt;10,MIN(100,SUM($G116:$P116)),MIN(100,SUMPRODUCT((COLUMN($G116:$P116)-COLUMN($G116)+1&lt;Reprogramaciones!Z$14)*$G116:$P116)+N(INDEX($G116:$P116,1,Reprogramaciones!Z$14))*IF(Reprogramaciones!Z$13&gt;=(Reprogramaciones!$T$15+7*(Reprogramaciones!Z$14-1))+6,1,IF(MAX(0,NETWORKDAYS.INTL(MAX(E116,(Reprogramaciones!$T$15+7*(Reprogramaciones!Z$14-1))),MIN(F116,(Reprogramaciones!$T$15+7*(Reprogramaciones!Z$14-1))+6),11))=0,0,MAX(0,NETWORKDAYS.INTL(MAX(E116,(Reprogramaciones!$T$15+7*(Reprogramaciones!Z$14-1))),MIN(F116,Reprogramaciones!Z$13),11))/MAX(0,NETWORKDAYS.INTL(MAX(E116,(Reprogramaciones!$T$15+7*(Reprogramaciones!Z$14-1))),MIN(F116,(Reprogramaciones!$T$15+7*(Reprogramaciones!Z$14-1))+6),11))))))))</f>
        <v/>
      </c>
      <c r="CJ116" s="1" t="str">
        <f aca="false">IF(OR(OR(NOT(AND(ISNUMBER(E116),ISNUMBER(F116))),$J$2=""),1&gt;Reprogramaciones!$K$16),"",IF(ROUND(SUM($Q116:Q116),1)&gt;=99.5,100,MIN(100,ROUND(SUM($Q116:Q116),1))))</f>
        <v/>
      </c>
      <c r="CK116" s="1" t="str">
        <f aca="false">IF(OR(OR(NOT(AND(ISNUMBER(E116),ISNUMBER(F116))),$J$2=""),2&gt;Reprogramaciones!$K$16),"",IF(ROUND(SUM($Q116:R116),1)&gt;=99.5,100,MIN(100,ROUND(SUM($Q116:R116),1))))</f>
        <v/>
      </c>
      <c r="CL116" s="1" t="str">
        <f aca="false">IF(OR(OR(NOT(AND(ISNUMBER(E116),ISNUMBER(F116))),$J$2=""),3&gt;Reprogramaciones!$K$16),"",IF(ROUND(SUM($Q116:S116),1)&gt;=99.5,100,MIN(100,ROUND(SUM($Q116:S116),1))))</f>
        <v/>
      </c>
      <c r="CM116" s="1" t="str">
        <f aca="false">IF(OR(OR(NOT(AND(ISNUMBER(E116),ISNUMBER(F116))),$J$2=""),4&gt;Reprogramaciones!$K$16),"",IF(ROUND(SUM($Q116:T116),1)&gt;=99.5,100,MIN(100,ROUND(SUM($Q116:T116),1))))</f>
        <v/>
      </c>
      <c r="CN116" s="1" t="str">
        <f aca="false">IF(OR(OR(NOT(AND(ISNUMBER(E116),ISNUMBER(F116))),$J$2=""),5&gt;Reprogramaciones!$K$16),"",IF(ROUND(SUM($Q116:U116),1)&gt;=99.5,100,MIN(100,ROUND(SUM($Q116:U116),1))))</f>
        <v/>
      </c>
      <c r="CO116" s="1" t="str">
        <f aca="false">IF(OR(OR(NOT(AND(ISNUMBER(E116),ISNUMBER(F116))),$J$2=""),6&gt;Reprogramaciones!$K$16),"",IF(ROUND(SUM($Q116:V116),1)&gt;=99.5,100,MIN(100,ROUND(SUM($Q116:V116),1))))</f>
        <v/>
      </c>
      <c r="CP116" s="1" t="str">
        <f aca="false">IF(OR(OR(NOT(AND(ISNUMBER(E116),ISNUMBER(F116))),$J$2=""),7&gt;Reprogramaciones!$K$16),"",IF(ROUND(SUM($Q116:W116),1)&gt;=99.5,100,MIN(100,ROUND(SUM($Q116:W116),1))))</f>
        <v/>
      </c>
      <c r="CQ116" s="1" t="str">
        <f aca="false">IF(OR(OR(NOT(AND(ISNUMBER(E116),ISNUMBER(F116))),$J$2=""),8&gt;Reprogramaciones!$K$16),"",IF(ROUND(SUM($Q116:X116),1)&gt;=99.5,100,MIN(100,ROUND(SUM($Q116:X116),1))))</f>
        <v/>
      </c>
      <c r="CR116" s="1" t="str">
        <f aca="false">IF(OR(OR(NOT(AND(ISNUMBER(E116),ISNUMBER(F116))),$J$2=""),9&gt;Reprogramaciones!$K$16),"",IF(ROUND(SUM($Q116:Y116),1)&gt;=99.5,100,MIN(100,ROUND(SUM($Q116:Y116),1))))</f>
        <v/>
      </c>
      <c r="CS116" s="1" t="str">
        <f aca="false">IF(OR(OR(NOT(AND(ISNUMBER(E116),ISNUMBER(F116))),$J$2=""),10&gt;Reprogramaciones!$K$16),"",IF(ROUND(SUM($Q116:Z116),1)&gt;=99.5,100,MIN(100,ROUND(SUM($Q116:Z116),1))))</f>
        <v/>
      </c>
      <c r="CT116" s="1" t="str">
        <f aca="false">IF(OR(OR(NOT(AND(ISNUMBER(E116),ISNUMBER(F116))),$J$2=""),11&gt;Reprogramaciones!$K$16),"",IF(ROUND(SUM($Q116:AA116),1)&gt;=99.5,100,MIN(100,ROUND(SUM($Q116:AA116),1))))</f>
        <v/>
      </c>
      <c r="CU116" s="1" t="str">
        <f aca="false">IF(OR(OR(NOT(AND(ISNUMBER(E116),ISNUMBER(F116))),$J$2=""),12&gt;Reprogramaciones!$K$16),"",IF(ROUND(SUM($Q116:AB116),1)&gt;=99.5,100,MIN(100,ROUND(SUM($Q116:AB116),1))))</f>
        <v/>
      </c>
      <c r="CV116" s="1" t="str">
        <f aca="false">IF(OR(OR(NOT(AND(ISNUMBER(E116),ISNUMBER(F116))),$J$2=""),13&gt;Reprogramaciones!$K$16),"",IF(ROUND(SUM($Q116:AC116),1)&gt;=99.5,100,MIN(100,ROUND(SUM($Q116:AC116),1))))</f>
        <v/>
      </c>
      <c r="CW116" s="1" t="str">
        <f aca="false">IF(OR(OR(NOT(AND(ISNUMBER(E116),ISNUMBER(F116))),$J$2=""),14&gt;Reprogramaciones!$K$16),"",IF(ROUND(SUM($Q116:AD116),1)&gt;=99.5,100,MIN(100,ROUND(SUM($Q116:AD116),1))))</f>
        <v/>
      </c>
      <c r="CX116" s="1" t="str">
        <f aca="false">IF(OR(OR(NOT(AND(ISNUMBER(E116),ISNUMBER(F116))),$J$2=""),15&gt;Reprogramaciones!$K$16),"",IF(ROUND(SUM($Q116:AE116),1)&gt;=99.5,100,MIN(100,ROUND(SUM($Q116:AE116),1))))</f>
        <v/>
      </c>
      <c r="CY116" s="1" t="str">
        <f aca="false">IF(OR(OR(NOT(AND(ISNUMBER(E116),ISNUMBER(F116))),$J$2=""),16&gt;Reprogramaciones!$K$16),"",IF(ROUND(SUM($Q116:AF116),1)&gt;=99.5,100,MIN(100,ROUND(SUM($Q116:AF116),1))))</f>
        <v/>
      </c>
      <c r="CZ116" s="1" t="str">
        <f aca="false">IF(D116&lt;&gt;"",D116,IF(B116&lt;&gt;"","Contractual",CZ115))</f>
        <v>Contractual</v>
      </c>
      <c r="DA116" s="1" t="str">
        <f aca="false">IF(OR(NOT(AND(ISNUMBER(E116),ISNUMBER(F116))),$J$2=""),"",IF(Reprogramaciones!$Q$15&lt;Reprogramaciones!$T$15,0,IF(Reprogramaciones!$S$15&gt;10,MIN(100,SUM($G116:$P116)),MIN(100,SUMPRODUCT((COLUMN($G116:$P116)-COLUMN($G116)+1&lt;Reprogramaciones!$S$15)*$G116:$P116)+N(INDEX($G116:$P116,1,Reprogramaciones!$S$15))*IF(Reprogramaciones!$Q$15&gt;=(Reprogramaciones!$T$15+7*(Reprogramaciones!$S$15-1))+6,1,IF(MAX(0,NETWORKDAYS.INTL(MAX(E116,(Reprogramaciones!$T$15+7*(Reprogramaciones!$S$15-1))),MIN(F116,(Reprogramaciones!$T$15+7*(Reprogramaciones!$S$15-1))+6),11))=0,0,MAX(0,NETWORKDAYS.INTL(MAX(E116,(Reprogramaciones!$T$15+7*(Reprogramaciones!$S$15-1))),MIN(F116,Reprogramaciones!$Q$15),11))/MAX(0,NETWORKDAYS.INTL(MAX(E116,(Reprogramaciones!$T$15+7*(Reprogramaciones!$S$15-1))),MIN(F116,(Reprogramaciones!$T$15+7*(Reprogramaciones!$S$15-1))+6),11))))))))</f>
        <v/>
      </c>
    </row>
    <row r="117" customFormat="false" ht="15" hidden="false" customHeight="false" outlineLevel="0" collapsed="false">
      <c r="A117" s="32"/>
      <c r="B117" s="33"/>
      <c r="C117" s="33"/>
      <c r="D117" s="34"/>
      <c r="E117" s="35"/>
      <c r="F117" s="35"/>
      <c r="G117" s="36" t="str">
        <f aca="false">IF(OR(NOT(AND(ISNUMBER(E117),ISNUMBER(F117))),$J$2=""),"",IF(Reprogramaciones!K$9&lt;E117,0,IF(NETWORKDAYS.INTL(E117,F117,11)=0,IF(Reprogramaciones!K$9&gt;=F117,100,0),ROUND(NETWORKDAYS.INTL(E117,MIN(F117,Reprogramaciones!K$9),11)/NETWORKDAYS.INTL(E117,F117,11)*100,1)))-0)</f>
        <v/>
      </c>
      <c r="H117" s="36" t="str">
        <f aca="false">IF(OR(NOT(AND(ISNUMBER(E117),ISNUMBER(F117))),$J$2=""),"",IF(Reprogramaciones!L$9&lt;E117,0,IF(NETWORKDAYS.INTL(E117,F117,11)=0,IF(Reprogramaciones!L$9&gt;=F117,100,0),ROUND(NETWORKDAYS.INTL(E117,MIN(F117,Reprogramaciones!L$9),11)/NETWORKDAYS.INTL(E117,F117,11)*100,1)))-IF(Reprogramaciones!K$9&lt;E117,0,IF(NETWORKDAYS.INTL(E117,F117,11)=0,IF(Reprogramaciones!K$9&gt;=F117,100,0),ROUND(NETWORKDAYS.INTL(E117,MIN(F117,Reprogramaciones!K$9),11)/NETWORKDAYS.INTL(E117,F117,11)*100,1))))</f>
        <v/>
      </c>
      <c r="I117" s="36" t="str">
        <f aca="false">IF(OR(NOT(AND(ISNUMBER(E117),ISNUMBER(F117))),$J$2=""),"",IF(Reprogramaciones!M$9&lt;E117,0,IF(NETWORKDAYS.INTL(E117,F117,11)=0,IF(Reprogramaciones!M$9&gt;=F117,100,0),ROUND(NETWORKDAYS.INTL(E117,MIN(F117,Reprogramaciones!M$9),11)/NETWORKDAYS.INTL(E117,F117,11)*100,1)))-IF(Reprogramaciones!L$9&lt;E117,0,IF(NETWORKDAYS.INTL(E117,F117,11)=0,IF(Reprogramaciones!L$9&gt;=F117,100,0),ROUND(NETWORKDAYS.INTL(E117,MIN(F117,Reprogramaciones!L$9),11)/NETWORKDAYS.INTL(E117,F117,11)*100,1))))</f>
        <v/>
      </c>
      <c r="J117" s="36" t="str">
        <f aca="false">IF(OR(NOT(AND(ISNUMBER(E117),ISNUMBER(F117))),$J$2=""),"",IF(Reprogramaciones!N$9&lt;E117,0,IF(NETWORKDAYS.INTL(E117,F117,11)=0,IF(Reprogramaciones!N$9&gt;=F117,100,0),ROUND(NETWORKDAYS.INTL(E117,MIN(F117,Reprogramaciones!N$9),11)/NETWORKDAYS.INTL(E117,F117,11)*100,1)))-IF(Reprogramaciones!M$9&lt;E117,0,IF(NETWORKDAYS.INTL(E117,F117,11)=0,IF(Reprogramaciones!M$9&gt;=F117,100,0),ROUND(NETWORKDAYS.INTL(E117,MIN(F117,Reprogramaciones!M$9),11)/NETWORKDAYS.INTL(E117,F117,11)*100,1))))</f>
        <v/>
      </c>
      <c r="K117" s="36" t="str">
        <f aca="false">IF(OR(NOT(AND(ISNUMBER(E117),ISNUMBER(F117))),$J$2=""),"",IF(Reprogramaciones!O$9&lt;E117,0,IF(NETWORKDAYS.INTL(E117,F117,11)=0,IF(Reprogramaciones!O$9&gt;=F117,100,0),ROUND(NETWORKDAYS.INTL(E117,MIN(F117,Reprogramaciones!O$9),11)/NETWORKDAYS.INTL(E117,F117,11)*100,1)))-IF(Reprogramaciones!N$9&lt;E117,0,IF(NETWORKDAYS.INTL(E117,F117,11)=0,IF(Reprogramaciones!N$9&gt;=F117,100,0),ROUND(NETWORKDAYS.INTL(E117,MIN(F117,Reprogramaciones!N$9),11)/NETWORKDAYS.INTL(E117,F117,11)*100,1))))</f>
        <v/>
      </c>
      <c r="L117" s="36" t="str">
        <f aca="false">IF(OR(NOT(AND(ISNUMBER(E117),ISNUMBER(F117))),$J$2=""),"",IF(Reprogramaciones!P$9&lt;E117,0,IF(NETWORKDAYS.INTL(E117,F117,11)=0,IF(Reprogramaciones!P$9&gt;=F117,100,0),ROUND(NETWORKDAYS.INTL(E117,MIN(F117,Reprogramaciones!P$9),11)/NETWORKDAYS.INTL(E117,F117,11)*100,1)))-IF(Reprogramaciones!O$9&lt;E117,0,IF(NETWORKDAYS.INTL(E117,F117,11)=0,IF(Reprogramaciones!O$9&gt;=F117,100,0),ROUND(NETWORKDAYS.INTL(E117,MIN(F117,Reprogramaciones!O$9),11)/NETWORKDAYS.INTL(E117,F117,11)*100,1))))</f>
        <v/>
      </c>
      <c r="M117" s="36" t="str">
        <f aca="false">IF(OR(NOT(AND(ISNUMBER(E117),ISNUMBER(F117))),$J$2=""),"",IF(Reprogramaciones!Q$9&lt;E117,0,IF(NETWORKDAYS.INTL(E117,F117,11)=0,IF(Reprogramaciones!Q$9&gt;=F117,100,0),ROUND(NETWORKDAYS.INTL(E117,MIN(F117,Reprogramaciones!Q$9),11)/NETWORKDAYS.INTL(E117,F117,11)*100,1)))-IF(Reprogramaciones!P$9&lt;E117,0,IF(NETWORKDAYS.INTL(E117,F117,11)=0,IF(Reprogramaciones!P$9&gt;=F117,100,0),ROUND(NETWORKDAYS.INTL(E117,MIN(F117,Reprogramaciones!P$9),11)/NETWORKDAYS.INTL(E117,F117,11)*100,1))))</f>
        <v/>
      </c>
      <c r="N117" s="36" t="str">
        <f aca="false">IF(OR(NOT(AND(ISNUMBER(E117),ISNUMBER(F117))),$J$2=""),"",IF(Reprogramaciones!R$9&lt;E117,0,IF(NETWORKDAYS.INTL(E117,F117,11)=0,IF(Reprogramaciones!R$9&gt;=F117,100,0),ROUND(NETWORKDAYS.INTL(E117,MIN(F117,Reprogramaciones!R$9),11)/NETWORKDAYS.INTL(E117,F117,11)*100,1)))-IF(Reprogramaciones!Q$9&lt;E117,0,IF(NETWORKDAYS.INTL(E117,F117,11)=0,IF(Reprogramaciones!Q$9&gt;=F117,100,0),ROUND(NETWORKDAYS.INTL(E117,MIN(F117,Reprogramaciones!Q$9),11)/NETWORKDAYS.INTL(E117,F117,11)*100,1))))</f>
        <v/>
      </c>
      <c r="O117" s="36" t="str">
        <f aca="false">IF(OR(NOT(AND(ISNUMBER(E117),ISNUMBER(F117))),$J$2=""),"",IF(Reprogramaciones!S$9&lt;E117,0,IF(NETWORKDAYS.INTL(E117,F117,11)=0,IF(Reprogramaciones!S$9&gt;=F117,100,0),ROUND(NETWORKDAYS.INTL(E117,MIN(F117,Reprogramaciones!S$9),11)/NETWORKDAYS.INTL(E117,F117,11)*100,1)))-IF(Reprogramaciones!R$9&lt;E117,0,IF(NETWORKDAYS.INTL(E117,F117,11)=0,IF(Reprogramaciones!R$9&gt;=F117,100,0),ROUND(NETWORKDAYS.INTL(E117,MIN(F117,Reprogramaciones!R$9),11)/NETWORKDAYS.INTL(E117,F117,11)*100,1))))</f>
        <v/>
      </c>
      <c r="P117" s="36" t="str">
        <f aca="false">IF(OR(NOT(AND(ISNUMBER(E117),ISNUMBER(F117))),$J$2=""),"",IF(Reprogramaciones!T$9&lt;E117,0,IF(NETWORKDAYS.INTL(E117,F117,11)=0,IF(Reprogramaciones!T$9&gt;=F117,100,0),ROUND(NETWORKDAYS.INTL(E117,MIN(F117,Reprogramaciones!T$9),11)/NETWORKDAYS.INTL(E117,F117,11)*100,1)))-IF(Reprogramaciones!S$9&lt;E117,0,IF(NETWORKDAYS.INTL(E117,F117,11)=0,IF(Reprogramaciones!S$9&gt;=F117,100,0),ROUND(NETWORKDAYS.INTL(E117,MIN(F117,Reprogramaciones!S$9),11)/NETWORKDAYS.INTL(E117,F117,11)*100,1))))</f>
        <v/>
      </c>
      <c r="Q117" s="37"/>
      <c r="R117" s="37"/>
      <c r="S117" s="37"/>
      <c r="T117" s="37"/>
      <c r="U117" s="37"/>
      <c r="V117" s="37"/>
      <c r="W117" s="37"/>
      <c r="X117" s="37"/>
      <c r="Y117" s="37"/>
      <c r="Z117" s="37"/>
      <c r="AA117" s="37"/>
      <c r="AB117" s="37"/>
      <c r="AC117" s="37"/>
      <c r="AD117" s="37"/>
      <c r="AE117" s="37"/>
      <c r="AF117" s="37"/>
      <c r="AG117" s="38" t="str">
        <f aca="false">IF(AND(ISNUMBER(E117),ISNUMBER(F117)),NETWORKDAYS.INTL(E117,F117,11),"")</f>
        <v/>
      </c>
      <c r="AH117" s="38" t="str">
        <f aca="false">IF(OR(NOT(AND(ISNUMBER(E117),ISNUMBER(F117))),$J$2=""),"",IF(Reprogramaciones!$P$15&lt;Reprogramaciones!$T$15,0,IF(Reprogramaciones!$R$15&gt;10,MIN(100,SUM($G117:$P117)),MIN(100,SUMPRODUCT((COLUMN($G117:$P117)-COLUMN($G117)+1&lt;Reprogramaciones!$R$15)*$G117:$P117)+N(INDEX($G117:$P117,1,Reprogramaciones!$R$15))*IF(Reprogramaciones!$P$15&gt;=(Reprogramaciones!$T$15+7*(Reprogramaciones!$R$15-1))+6,1,IF(MAX(0,NETWORKDAYS.INTL(MAX(E117,(Reprogramaciones!$T$15+7*(Reprogramaciones!$R$15-1))),MIN(F117,(Reprogramaciones!$T$15+7*(Reprogramaciones!$R$15-1))+6),11))=0,0,MAX(0,NETWORKDAYS.INTL(MAX(E117,(Reprogramaciones!$T$15+7*(Reprogramaciones!$R$15-1))),MIN(F117,Reprogramaciones!$P$15),11))/MAX(0,NETWORKDAYS.INTL(MAX(E117,(Reprogramaciones!$T$15+7*(Reprogramaciones!$R$15-1))),MIN(F117,(Reprogramaciones!$T$15+7*(Reprogramaciones!$R$15-1))+6),11))))))))</f>
        <v/>
      </c>
      <c r="AI117" s="38" t="str">
        <f aca="false">IF(COUNT($Q117:$AF117)=0,"",IF(ROUND(SUM($Q117:$AF117),1)&gt;=99.5,100,MIN(100,ROUND(SUM($Q117:$AF117),1))))</f>
        <v/>
      </c>
      <c r="AJ117" s="38" t="str">
        <f aca="false">IF(OR(AH117="",AI117=""),"",AI117-AH117)</f>
        <v/>
      </c>
      <c r="AK117" s="39" t="str">
        <f aca="true">IF(AH117="","",IF(OR(Ficha!$C$10="Suspendida",Ficha!$C$10="Cancelada"),Ficha!$C$10,IF(AND(AI117&lt;&gt;"",N(AI117)&gt;=100),"Completada",IF(AND(E117&gt;TODAY(),N(AI117)=0),"Por iniciar",IF(N(AI117)+0.5&lt;AH117,"Retrasada",IF(N(AI117)+0.5&lt;DA117,IF(Reprogramaciones!$K$15&gt;0,"Al día · Sem "&amp;Reprogramaciones!$K$15&amp;" en curso","Al día · en curso"),"A tiempo"))))))</f>
        <v/>
      </c>
      <c r="AL117" s="39" t="str">
        <f aca="true">IF(AND(A117="",AND(B117="",C117="",E117="",F117="",COUNT(Q117:AF117)=0)),"",IF(AND(B117="",C117="",E117="",F117="",COUNT(Q117:AF117)=0),"Falta la partida o subpartida",IF(AND(A117&lt;&gt;"",COUNTIF($A$6:$A$305,A117)&gt;1),"Ítem repetido",IF(AND(C117="",E117="",F117="",COUNT(Q117:AF117)=0),"Título de partida",IF(OR(E117="",F117=""),"Faltan fechas",IF(OR(ISTEXT(E117),ISTEXT(F117)),"Fecha escrita como texto: usa dd/mm/aaaa",IF(F117&lt;E117,"Fin antes del inicio",IF(IF($J$2="",FALSE(),OR(E117&lt;$J$2,F117&gt;Reprogramaciones!$T$15+69)),"Fuera de las 10 semanas",IF(ABS(SUM(G117:P117)-100)&gt;0.5,"La meta no suma 100%",IF(ROUND(SUM(Q117:AF117),1)&gt;100.5,"El avance pasa de 100%",IF(MIN(Q117:AF117)&lt;0,"Avance negativo",IF(COUNTA(Q117:AF117)&gt;COUNT(Q117:AF117),"Avance escrito como texto",IF(SUMPRODUCT((Q117:AF117&gt;0)*(Q117:AF117&lt;1))&gt;0,"Avance menor a 1: escribe 50, no 50%",IF(SUMPRODUCT(ISNUMBER(Q117:AF117)*(Reprogramaciones!$K$8:$Z$8&gt;TODAY()))&gt;0,"Avance en semana que aún no llega",IF(AND(N(Reprogramaciones!$E$21)&gt;0,F117&gt;Reprogramaciones!$E$21),"Pasa el fin de la obra: registra una reprogramación",IF(AND(N(Reprogramaciones!$E$21)&gt;0,SUMPRODUCT(ISNUMBER(Q117:AF117)*(Reprogramaciones!$K$8:$Z$8&gt;Reprogramaciones!$E$21))&gt;0),"Avance después del fin de la obra: registra una reprogramación por atraso","OK"))))))))))))))))</f>
        <v/>
      </c>
      <c r="AM117" s="40" t="str">
        <f aca="false">IF(OR(OR(NOT(AND(ISNUMBER(E117),ISNUMBER(F117))),$J$2=""),1&gt;MAX(1,Reprogramaciones!$U$15)),"",IF(Reprogramaciones!K$12&gt;=7,"",IF(OR(BT117-N(0)&gt;0.05,N(Q117)&gt;0),ROUNDDOWN(ROUND(BT117,6),0)&amp;"%"&amp;IF(CJ117="",""," / "&amp;CJ117&amp;"%"),IF(AND(N(0)&gt;=99.95,CJ117&lt;&gt;"",N(CJ117)&lt;100),"Pend. "&amp;CJ117&amp;"%",""))))</f>
        <v/>
      </c>
      <c r="AN117" s="40" t="str">
        <f aca="false">IF(OR(OR(NOT(AND(ISNUMBER(E117),ISNUMBER(F117))),$J$2=""),2&gt;MAX(1,Reprogramaciones!$U$15)),"",IF(Reprogramaciones!L$12&gt;=7,"",IF(OR(BU117-N(BT117)&gt;0.05,N(R117)&gt;0),ROUNDDOWN(ROUND(BU117,6),0)&amp;"%"&amp;IF(CK117="",""," / "&amp;CK117&amp;"%"),IF(AND(N(BT117)&gt;=99.95,CK117&lt;&gt;"",N(CK117)&lt;100),"Pend. "&amp;CK117&amp;"%",""))))</f>
        <v/>
      </c>
      <c r="AO117" s="40" t="str">
        <f aca="false">IF(OR(OR(NOT(AND(ISNUMBER(E117),ISNUMBER(F117))),$J$2=""),3&gt;MAX(1,Reprogramaciones!$U$15)),"",IF(Reprogramaciones!M$12&gt;=7,"",IF(OR(BV117-N(BU117)&gt;0.05,N(S117)&gt;0),ROUNDDOWN(ROUND(BV117,6),0)&amp;"%"&amp;IF(CL117="",""," / "&amp;CL117&amp;"%"),IF(AND(N(BU117)&gt;=99.95,CL117&lt;&gt;"",N(CL117)&lt;100),"Pend. "&amp;CL117&amp;"%",""))))</f>
        <v/>
      </c>
      <c r="AP117" s="40" t="str">
        <f aca="false">IF(OR(OR(NOT(AND(ISNUMBER(E117),ISNUMBER(F117))),$J$2=""),4&gt;MAX(1,Reprogramaciones!$U$15)),"",IF(Reprogramaciones!N$12&gt;=7,"",IF(OR(BW117-N(BV117)&gt;0.05,N(T117)&gt;0),ROUNDDOWN(ROUND(BW117,6),0)&amp;"%"&amp;IF(CM117="",""," / "&amp;CM117&amp;"%"),IF(AND(N(BV117)&gt;=99.95,CM117&lt;&gt;"",N(CM117)&lt;100),"Pend. "&amp;CM117&amp;"%",""))))</f>
        <v/>
      </c>
      <c r="AQ117" s="40" t="str">
        <f aca="false">IF(OR(OR(NOT(AND(ISNUMBER(E117),ISNUMBER(F117))),$J$2=""),5&gt;MAX(1,Reprogramaciones!$U$15)),"",IF(Reprogramaciones!O$12&gt;=7,"",IF(OR(BX117-N(BW117)&gt;0.05,N(U117)&gt;0),ROUNDDOWN(ROUND(BX117,6),0)&amp;"%"&amp;IF(CN117="",""," / "&amp;CN117&amp;"%"),IF(AND(N(BW117)&gt;=99.95,CN117&lt;&gt;"",N(CN117)&lt;100),"Pend. "&amp;CN117&amp;"%",""))))</f>
        <v/>
      </c>
      <c r="AR117" s="40" t="str">
        <f aca="false">IF(OR(OR(NOT(AND(ISNUMBER(E117),ISNUMBER(F117))),$J$2=""),6&gt;MAX(1,Reprogramaciones!$U$15)),"",IF(Reprogramaciones!P$12&gt;=7,"",IF(OR(BY117-N(BX117)&gt;0.05,N(V117)&gt;0),ROUNDDOWN(ROUND(BY117,6),0)&amp;"%"&amp;IF(CO117="",""," / "&amp;CO117&amp;"%"),IF(AND(N(BX117)&gt;=99.95,CO117&lt;&gt;"",N(CO117)&lt;100),"Pend. "&amp;CO117&amp;"%",""))))</f>
        <v/>
      </c>
      <c r="AS117" s="40" t="str">
        <f aca="false">IF(OR(OR(NOT(AND(ISNUMBER(E117),ISNUMBER(F117))),$J$2=""),7&gt;MAX(1,Reprogramaciones!$U$15)),"",IF(Reprogramaciones!Q$12&gt;=7,"",IF(OR(BZ117-N(BY117)&gt;0.05,N(W117)&gt;0),ROUNDDOWN(ROUND(BZ117,6),0)&amp;"%"&amp;IF(CP117="",""," / "&amp;CP117&amp;"%"),IF(AND(N(BY117)&gt;=99.95,CP117&lt;&gt;"",N(CP117)&lt;100),"Pend. "&amp;CP117&amp;"%",""))))</f>
        <v/>
      </c>
      <c r="AT117" s="40" t="str">
        <f aca="false">IF(OR(OR(NOT(AND(ISNUMBER(E117),ISNUMBER(F117))),$J$2=""),8&gt;MAX(1,Reprogramaciones!$U$15)),"",IF(Reprogramaciones!R$12&gt;=7,"",IF(OR(CA117-N(BZ117)&gt;0.05,N(X117)&gt;0),ROUNDDOWN(ROUND(CA117,6),0)&amp;"%"&amp;IF(CQ117="",""," / "&amp;CQ117&amp;"%"),IF(AND(N(BZ117)&gt;=99.95,CQ117&lt;&gt;"",N(CQ117)&lt;100),"Pend. "&amp;CQ117&amp;"%",""))))</f>
        <v/>
      </c>
      <c r="AU117" s="40" t="str">
        <f aca="false">IF(OR(OR(NOT(AND(ISNUMBER(E117),ISNUMBER(F117))),$J$2=""),9&gt;MAX(1,Reprogramaciones!$U$15)),"",IF(Reprogramaciones!S$12&gt;=7,"",IF(OR(CB117-N(CA117)&gt;0.05,N(Y117)&gt;0),ROUNDDOWN(ROUND(CB117,6),0)&amp;"%"&amp;IF(CR117="",""," / "&amp;CR117&amp;"%"),IF(AND(N(CA117)&gt;=99.95,CR117&lt;&gt;"",N(CR117)&lt;100),"Pend. "&amp;CR117&amp;"%",""))))</f>
        <v/>
      </c>
      <c r="AV117" s="40" t="str">
        <f aca="false">IF(OR(OR(NOT(AND(ISNUMBER(E117),ISNUMBER(F117))),$J$2=""),10&gt;MAX(1,Reprogramaciones!$U$15)),"",IF(Reprogramaciones!T$12&gt;=7,"",IF(OR(CC117-N(CB117)&gt;0.05,N(Z117)&gt;0),ROUNDDOWN(ROUND(CC117,6),0)&amp;"%"&amp;IF(CS117="",""," / "&amp;CS117&amp;"%"),IF(AND(N(CB117)&gt;=99.95,CS117&lt;&gt;"",N(CS117)&lt;100),"Pend. "&amp;CS117&amp;"%",""))))</f>
        <v/>
      </c>
      <c r="AW117" s="40" t="str">
        <f aca="false">IF(OR(OR(NOT(AND(ISNUMBER(E117),ISNUMBER(F117))),$J$2=""),11&gt;MAX(1,Reprogramaciones!$U$15)),"",IF(Reprogramaciones!U$12&gt;=7,"",IF(OR(CD117-N(CC117)&gt;0.05,N(AA117)&gt;0),ROUNDDOWN(ROUND(CD117,6),0)&amp;"%"&amp;IF(CT117="",""," / "&amp;CT117&amp;"%"),IF(AND(N(CC117)&gt;=99.95,CT117&lt;&gt;"",N(CT117)&lt;100),"Pend. "&amp;CT117&amp;"%",""))))</f>
        <v/>
      </c>
      <c r="AX117" s="40" t="str">
        <f aca="false">IF(OR(OR(NOT(AND(ISNUMBER(E117),ISNUMBER(F117))),$J$2=""),12&gt;MAX(1,Reprogramaciones!$U$15)),"",IF(Reprogramaciones!V$12&gt;=7,"",IF(OR(CE117-N(CD117)&gt;0.05,N(AB117)&gt;0),ROUNDDOWN(ROUND(CE117,6),0)&amp;"%"&amp;IF(CU117="",""," / "&amp;CU117&amp;"%"),IF(AND(N(CD117)&gt;=99.95,CU117&lt;&gt;"",N(CU117)&lt;100),"Pend. "&amp;CU117&amp;"%",""))))</f>
        <v/>
      </c>
      <c r="AY117" s="40" t="str">
        <f aca="false">IF(OR(OR(NOT(AND(ISNUMBER(E117),ISNUMBER(F117))),$J$2=""),13&gt;MAX(1,Reprogramaciones!$U$15)),"",IF(Reprogramaciones!W$12&gt;=7,"",IF(OR(CF117-N(CE117)&gt;0.05,N(AC117)&gt;0),ROUNDDOWN(ROUND(CF117,6),0)&amp;"%"&amp;IF(CV117="",""," / "&amp;CV117&amp;"%"),IF(AND(N(CE117)&gt;=99.95,CV117&lt;&gt;"",N(CV117)&lt;100),"Pend. "&amp;CV117&amp;"%",""))))</f>
        <v/>
      </c>
      <c r="AZ117" s="40" t="str">
        <f aca="false">IF(OR(OR(NOT(AND(ISNUMBER(E117),ISNUMBER(F117))),$J$2=""),14&gt;MAX(1,Reprogramaciones!$U$15)),"",IF(Reprogramaciones!X$12&gt;=7,"",IF(OR(CG117-N(CF117)&gt;0.05,N(AD117)&gt;0),ROUNDDOWN(ROUND(CG117,6),0)&amp;"%"&amp;IF(CW117="",""," / "&amp;CW117&amp;"%"),IF(AND(N(CF117)&gt;=99.95,CW117&lt;&gt;"",N(CW117)&lt;100),"Pend. "&amp;CW117&amp;"%",""))))</f>
        <v/>
      </c>
      <c r="BA117" s="40" t="str">
        <f aca="false">IF(OR(OR(NOT(AND(ISNUMBER(E117),ISNUMBER(F117))),$J$2=""),15&gt;MAX(1,Reprogramaciones!$U$15)),"",IF(Reprogramaciones!Y$12&gt;=7,"",IF(OR(CH117-N(CG117)&gt;0.05,N(AE117)&gt;0),ROUNDDOWN(ROUND(CH117,6),0)&amp;"%"&amp;IF(CX117="",""," / "&amp;CX117&amp;"%"),IF(AND(N(CG117)&gt;=99.95,CX117&lt;&gt;"",N(CX117)&lt;100),"Pend. "&amp;CX117&amp;"%",""))))</f>
        <v/>
      </c>
      <c r="BB117" s="40" t="str">
        <f aca="false">IF(OR(OR(NOT(AND(ISNUMBER(E117),ISNUMBER(F117))),$J$2=""),16&gt;MAX(1,Reprogramaciones!$U$15)),"",IF(Reprogramaciones!Z$12&gt;=7,"",IF(OR(CI117-N(CH117)&gt;0.05,N(AF117)&gt;0),ROUNDDOWN(ROUND(CI117,6),0)&amp;"%"&amp;IF(CY117="",""," / "&amp;CY117&amp;"%"),IF(AND(N(CH117)&gt;=99.95,CY117&lt;&gt;"",N(CY117)&lt;100),"Pend. "&amp;CY117&amp;"%",""))))</f>
        <v/>
      </c>
      <c r="BC117" s="31" t="n">
        <f aca="false">IF(AND(ISNUMBER(E117),ISNUMBER(F117)),MAX(1,NETWORKDAYS.INTL(E117,F117,11)),0)</f>
        <v>0</v>
      </c>
      <c r="BD117" s="1" t="str">
        <f aca="false">IF(OR(NOT(AND(ISNUMBER(E117),ISNUMBER(F117))),$J$2=""),"",MIN(100,ROUND(SUM($G117:G117),1)))</f>
        <v/>
      </c>
      <c r="BE117" s="1" t="str">
        <f aca="false">IF(OR(NOT(AND(ISNUMBER(E117),ISNUMBER(F117))),$J$2=""),"",MIN(100,ROUND(SUM($G117:H117),1)))</f>
        <v/>
      </c>
      <c r="BF117" s="1" t="str">
        <f aca="false">IF(OR(NOT(AND(ISNUMBER(E117),ISNUMBER(F117))),$J$2=""),"",MIN(100,ROUND(SUM($G117:I117),1)))</f>
        <v/>
      </c>
      <c r="BG117" s="1" t="str">
        <f aca="false">IF(OR(NOT(AND(ISNUMBER(E117),ISNUMBER(F117))),$J$2=""),"",MIN(100,ROUND(SUM($G117:J117),1)))</f>
        <v/>
      </c>
      <c r="BH117" s="1" t="str">
        <f aca="false">IF(OR(NOT(AND(ISNUMBER(E117),ISNUMBER(F117))),$J$2=""),"",MIN(100,ROUND(SUM($G117:K117),1)))</f>
        <v/>
      </c>
      <c r="BI117" s="1" t="str">
        <f aca="false">IF(OR(NOT(AND(ISNUMBER(E117),ISNUMBER(F117))),$J$2=""),"",MIN(100,ROUND(SUM($G117:L117),1)))</f>
        <v/>
      </c>
      <c r="BJ117" s="1" t="str">
        <f aca="false">IF(OR(NOT(AND(ISNUMBER(E117),ISNUMBER(F117))),$J$2=""),"",MIN(100,ROUND(SUM($G117:M117),1)))</f>
        <v/>
      </c>
      <c r="BK117" s="1" t="str">
        <f aca="false">IF(OR(NOT(AND(ISNUMBER(E117),ISNUMBER(F117))),$J$2=""),"",MIN(100,ROUND(SUM($G117:N117),1)))</f>
        <v/>
      </c>
      <c r="BL117" s="1" t="str">
        <f aca="false">IF(OR(NOT(AND(ISNUMBER(E117),ISNUMBER(F117))),$J$2=""),"",MIN(100,ROUND(SUM($G117:O117),1)))</f>
        <v/>
      </c>
      <c r="BM117" s="1" t="str">
        <f aca="false">IF(OR(NOT(AND(ISNUMBER(E117),ISNUMBER(F117))),$J$2=""),"",MIN(100,ROUND(SUM($G117:P117),1)))</f>
        <v/>
      </c>
      <c r="BN117" s="1" t="str">
        <f aca="false">IF(OR(NOT(AND(ISNUMBER(E117),ISNUMBER(F117))),$J$2=""),"",MIN(100,ROUND(SUM($G117:P117),1)))</f>
        <v/>
      </c>
      <c r="BO117" s="1" t="str">
        <f aca="false">IF(OR(NOT(AND(ISNUMBER(E117),ISNUMBER(F117))),$J$2=""),"",MIN(100,ROUND(SUM($G117:P117),1)))</f>
        <v/>
      </c>
      <c r="BP117" s="1" t="str">
        <f aca="false">IF(OR(NOT(AND(ISNUMBER(E117),ISNUMBER(F117))),$J$2=""),"",MIN(100,ROUND(SUM($G117:P117),1)))</f>
        <v/>
      </c>
      <c r="BQ117" s="1" t="str">
        <f aca="false">IF(OR(NOT(AND(ISNUMBER(E117),ISNUMBER(F117))),$J$2=""),"",MIN(100,ROUND(SUM($G117:P117),1)))</f>
        <v/>
      </c>
      <c r="BR117" s="1" t="str">
        <f aca="false">IF(OR(NOT(AND(ISNUMBER(E117),ISNUMBER(F117))),$J$2=""),"",MIN(100,ROUND(SUM($G117:P117),1)))</f>
        <v/>
      </c>
      <c r="BS117" s="1" t="str">
        <f aca="false">IF(OR(NOT(AND(ISNUMBER(E117),ISNUMBER(F117))),$J$2=""),"",MIN(100,ROUND(SUM($G117:P117),1)))</f>
        <v/>
      </c>
      <c r="BT117" s="1" t="str">
        <f aca="false">IF(OR(NOT(AND(ISNUMBER(E117),ISNUMBER(F117))),$J$2=""),"",IF(Reprogramaciones!K$13&lt;Reprogramaciones!$T$15,0,IF(Reprogramaciones!K$14&gt;10,MIN(100,SUM($G117:$P117)),MIN(100,SUMPRODUCT((COLUMN($G117:$P117)-COLUMN($G117)+1&lt;Reprogramaciones!K$14)*$G117:$P117)+N(INDEX($G117:$P117,1,Reprogramaciones!K$14))*IF(Reprogramaciones!K$13&gt;=(Reprogramaciones!$T$15+7*(Reprogramaciones!K$14-1))+6,1,IF(MAX(0,NETWORKDAYS.INTL(MAX(E117,(Reprogramaciones!$T$15+7*(Reprogramaciones!K$14-1))),MIN(F117,(Reprogramaciones!$T$15+7*(Reprogramaciones!K$14-1))+6),11))=0,0,MAX(0,NETWORKDAYS.INTL(MAX(E117,(Reprogramaciones!$T$15+7*(Reprogramaciones!K$14-1))),MIN(F117,Reprogramaciones!K$13),11))/MAX(0,NETWORKDAYS.INTL(MAX(E117,(Reprogramaciones!$T$15+7*(Reprogramaciones!K$14-1))),MIN(F117,(Reprogramaciones!$T$15+7*(Reprogramaciones!K$14-1))+6),11))))))))</f>
        <v/>
      </c>
      <c r="BU117" s="1" t="str">
        <f aca="false">IF(OR(NOT(AND(ISNUMBER(E117),ISNUMBER(F117))),$J$2=""),"",IF(Reprogramaciones!L$13&lt;Reprogramaciones!$T$15,0,IF(Reprogramaciones!L$14&gt;10,MIN(100,SUM($G117:$P117)),MIN(100,SUMPRODUCT((COLUMN($G117:$P117)-COLUMN($G117)+1&lt;Reprogramaciones!L$14)*$G117:$P117)+N(INDEX($G117:$P117,1,Reprogramaciones!L$14))*IF(Reprogramaciones!L$13&gt;=(Reprogramaciones!$T$15+7*(Reprogramaciones!L$14-1))+6,1,IF(MAX(0,NETWORKDAYS.INTL(MAX(E117,(Reprogramaciones!$T$15+7*(Reprogramaciones!L$14-1))),MIN(F117,(Reprogramaciones!$T$15+7*(Reprogramaciones!L$14-1))+6),11))=0,0,MAX(0,NETWORKDAYS.INTL(MAX(E117,(Reprogramaciones!$T$15+7*(Reprogramaciones!L$14-1))),MIN(F117,Reprogramaciones!L$13),11))/MAX(0,NETWORKDAYS.INTL(MAX(E117,(Reprogramaciones!$T$15+7*(Reprogramaciones!L$14-1))),MIN(F117,(Reprogramaciones!$T$15+7*(Reprogramaciones!L$14-1))+6),11))))))))</f>
        <v/>
      </c>
      <c r="BV117" s="1" t="str">
        <f aca="false">IF(OR(NOT(AND(ISNUMBER(E117),ISNUMBER(F117))),$J$2=""),"",IF(Reprogramaciones!M$13&lt;Reprogramaciones!$T$15,0,IF(Reprogramaciones!M$14&gt;10,MIN(100,SUM($G117:$P117)),MIN(100,SUMPRODUCT((COLUMN($G117:$P117)-COLUMN($G117)+1&lt;Reprogramaciones!M$14)*$G117:$P117)+N(INDEX($G117:$P117,1,Reprogramaciones!M$14))*IF(Reprogramaciones!M$13&gt;=(Reprogramaciones!$T$15+7*(Reprogramaciones!M$14-1))+6,1,IF(MAX(0,NETWORKDAYS.INTL(MAX(E117,(Reprogramaciones!$T$15+7*(Reprogramaciones!M$14-1))),MIN(F117,(Reprogramaciones!$T$15+7*(Reprogramaciones!M$14-1))+6),11))=0,0,MAX(0,NETWORKDAYS.INTL(MAX(E117,(Reprogramaciones!$T$15+7*(Reprogramaciones!M$14-1))),MIN(F117,Reprogramaciones!M$13),11))/MAX(0,NETWORKDAYS.INTL(MAX(E117,(Reprogramaciones!$T$15+7*(Reprogramaciones!M$14-1))),MIN(F117,(Reprogramaciones!$T$15+7*(Reprogramaciones!M$14-1))+6),11))))))))</f>
        <v/>
      </c>
      <c r="BW117" s="1" t="str">
        <f aca="false">IF(OR(NOT(AND(ISNUMBER(E117),ISNUMBER(F117))),$J$2=""),"",IF(Reprogramaciones!N$13&lt;Reprogramaciones!$T$15,0,IF(Reprogramaciones!N$14&gt;10,MIN(100,SUM($G117:$P117)),MIN(100,SUMPRODUCT((COLUMN($G117:$P117)-COLUMN($G117)+1&lt;Reprogramaciones!N$14)*$G117:$P117)+N(INDEX($G117:$P117,1,Reprogramaciones!N$14))*IF(Reprogramaciones!N$13&gt;=(Reprogramaciones!$T$15+7*(Reprogramaciones!N$14-1))+6,1,IF(MAX(0,NETWORKDAYS.INTL(MAX(E117,(Reprogramaciones!$T$15+7*(Reprogramaciones!N$14-1))),MIN(F117,(Reprogramaciones!$T$15+7*(Reprogramaciones!N$14-1))+6),11))=0,0,MAX(0,NETWORKDAYS.INTL(MAX(E117,(Reprogramaciones!$T$15+7*(Reprogramaciones!N$14-1))),MIN(F117,Reprogramaciones!N$13),11))/MAX(0,NETWORKDAYS.INTL(MAX(E117,(Reprogramaciones!$T$15+7*(Reprogramaciones!N$14-1))),MIN(F117,(Reprogramaciones!$T$15+7*(Reprogramaciones!N$14-1))+6),11))))))))</f>
        <v/>
      </c>
      <c r="BX117" s="1" t="str">
        <f aca="false">IF(OR(NOT(AND(ISNUMBER(E117),ISNUMBER(F117))),$J$2=""),"",IF(Reprogramaciones!O$13&lt;Reprogramaciones!$T$15,0,IF(Reprogramaciones!O$14&gt;10,MIN(100,SUM($G117:$P117)),MIN(100,SUMPRODUCT((COLUMN($G117:$P117)-COLUMN($G117)+1&lt;Reprogramaciones!O$14)*$G117:$P117)+N(INDEX($G117:$P117,1,Reprogramaciones!O$14))*IF(Reprogramaciones!O$13&gt;=(Reprogramaciones!$T$15+7*(Reprogramaciones!O$14-1))+6,1,IF(MAX(0,NETWORKDAYS.INTL(MAX(E117,(Reprogramaciones!$T$15+7*(Reprogramaciones!O$14-1))),MIN(F117,(Reprogramaciones!$T$15+7*(Reprogramaciones!O$14-1))+6),11))=0,0,MAX(0,NETWORKDAYS.INTL(MAX(E117,(Reprogramaciones!$T$15+7*(Reprogramaciones!O$14-1))),MIN(F117,Reprogramaciones!O$13),11))/MAX(0,NETWORKDAYS.INTL(MAX(E117,(Reprogramaciones!$T$15+7*(Reprogramaciones!O$14-1))),MIN(F117,(Reprogramaciones!$T$15+7*(Reprogramaciones!O$14-1))+6),11))))))))</f>
        <v/>
      </c>
      <c r="BY117" s="1" t="str">
        <f aca="false">IF(OR(NOT(AND(ISNUMBER(E117),ISNUMBER(F117))),$J$2=""),"",IF(Reprogramaciones!P$13&lt;Reprogramaciones!$T$15,0,IF(Reprogramaciones!P$14&gt;10,MIN(100,SUM($G117:$P117)),MIN(100,SUMPRODUCT((COLUMN($G117:$P117)-COLUMN($G117)+1&lt;Reprogramaciones!P$14)*$G117:$P117)+N(INDEX($G117:$P117,1,Reprogramaciones!P$14))*IF(Reprogramaciones!P$13&gt;=(Reprogramaciones!$T$15+7*(Reprogramaciones!P$14-1))+6,1,IF(MAX(0,NETWORKDAYS.INTL(MAX(E117,(Reprogramaciones!$T$15+7*(Reprogramaciones!P$14-1))),MIN(F117,(Reprogramaciones!$T$15+7*(Reprogramaciones!P$14-1))+6),11))=0,0,MAX(0,NETWORKDAYS.INTL(MAX(E117,(Reprogramaciones!$T$15+7*(Reprogramaciones!P$14-1))),MIN(F117,Reprogramaciones!P$13),11))/MAX(0,NETWORKDAYS.INTL(MAX(E117,(Reprogramaciones!$T$15+7*(Reprogramaciones!P$14-1))),MIN(F117,(Reprogramaciones!$T$15+7*(Reprogramaciones!P$14-1))+6),11))))))))</f>
        <v/>
      </c>
      <c r="BZ117" s="1" t="str">
        <f aca="false">IF(OR(NOT(AND(ISNUMBER(E117),ISNUMBER(F117))),$J$2=""),"",IF(Reprogramaciones!Q$13&lt;Reprogramaciones!$T$15,0,IF(Reprogramaciones!Q$14&gt;10,MIN(100,SUM($G117:$P117)),MIN(100,SUMPRODUCT((COLUMN($G117:$P117)-COLUMN($G117)+1&lt;Reprogramaciones!Q$14)*$G117:$P117)+N(INDEX($G117:$P117,1,Reprogramaciones!Q$14))*IF(Reprogramaciones!Q$13&gt;=(Reprogramaciones!$T$15+7*(Reprogramaciones!Q$14-1))+6,1,IF(MAX(0,NETWORKDAYS.INTL(MAX(E117,(Reprogramaciones!$T$15+7*(Reprogramaciones!Q$14-1))),MIN(F117,(Reprogramaciones!$T$15+7*(Reprogramaciones!Q$14-1))+6),11))=0,0,MAX(0,NETWORKDAYS.INTL(MAX(E117,(Reprogramaciones!$T$15+7*(Reprogramaciones!Q$14-1))),MIN(F117,Reprogramaciones!Q$13),11))/MAX(0,NETWORKDAYS.INTL(MAX(E117,(Reprogramaciones!$T$15+7*(Reprogramaciones!Q$14-1))),MIN(F117,(Reprogramaciones!$T$15+7*(Reprogramaciones!Q$14-1))+6),11))))))))</f>
        <v/>
      </c>
      <c r="CA117" s="1" t="str">
        <f aca="false">IF(OR(NOT(AND(ISNUMBER(E117),ISNUMBER(F117))),$J$2=""),"",IF(Reprogramaciones!R$13&lt;Reprogramaciones!$T$15,0,IF(Reprogramaciones!R$14&gt;10,MIN(100,SUM($G117:$P117)),MIN(100,SUMPRODUCT((COLUMN($G117:$P117)-COLUMN($G117)+1&lt;Reprogramaciones!R$14)*$G117:$P117)+N(INDEX($G117:$P117,1,Reprogramaciones!R$14))*IF(Reprogramaciones!R$13&gt;=(Reprogramaciones!$T$15+7*(Reprogramaciones!R$14-1))+6,1,IF(MAX(0,NETWORKDAYS.INTL(MAX(E117,(Reprogramaciones!$T$15+7*(Reprogramaciones!R$14-1))),MIN(F117,(Reprogramaciones!$T$15+7*(Reprogramaciones!R$14-1))+6),11))=0,0,MAX(0,NETWORKDAYS.INTL(MAX(E117,(Reprogramaciones!$T$15+7*(Reprogramaciones!R$14-1))),MIN(F117,Reprogramaciones!R$13),11))/MAX(0,NETWORKDAYS.INTL(MAX(E117,(Reprogramaciones!$T$15+7*(Reprogramaciones!R$14-1))),MIN(F117,(Reprogramaciones!$T$15+7*(Reprogramaciones!R$14-1))+6),11))))))))</f>
        <v/>
      </c>
      <c r="CB117" s="1" t="str">
        <f aca="false">IF(OR(NOT(AND(ISNUMBER(E117),ISNUMBER(F117))),$J$2=""),"",IF(Reprogramaciones!S$13&lt;Reprogramaciones!$T$15,0,IF(Reprogramaciones!S$14&gt;10,MIN(100,SUM($G117:$P117)),MIN(100,SUMPRODUCT((COLUMN($G117:$P117)-COLUMN($G117)+1&lt;Reprogramaciones!S$14)*$G117:$P117)+N(INDEX($G117:$P117,1,Reprogramaciones!S$14))*IF(Reprogramaciones!S$13&gt;=(Reprogramaciones!$T$15+7*(Reprogramaciones!S$14-1))+6,1,IF(MAX(0,NETWORKDAYS.INTL(MAX(E117,(Reprogramaciones!$T$15+7*(Reprogramaciones!S$14-1))),MIN(F117,(Reprogramaciones!$T$15+7*(Reprogramaciones!S$14-1))+6),11))=0,0,MAX(0,NETWORKDAYS.INTL(MAX(E117,(Reprogramaciones!$T$15+7*(Reprogramaciones!S$14-1))),MIN(F117,Reprogramaciones!S$13),11))/MAX(0,NETWORKDAYS.INTL(MAX(E117,(Reprogramaciones!$T$15+7*(Reprogramaciones!S$14-1))),MIN(F117,(Reprogramaciones!$T$15+7*(Reprogramaciones!S$14-1))+6),11))))))))</f>
        <v/>
      </c>
      <c r="CC117" s="1" t="str">
        <f aca="false">IF(OR(NOT(AND(ISNUMBER(E117),ISNUMBER(F117))),$J$2=""),"",IF(Reprogramaciones!T$13&lt;Reprogramaciones!$T$15,0,IF(Reprogramaciones!T$14&gt;10,MIN(100,SUM($G117:$P117)),MIN(100,SUMPRODUCT((COLUMN($G117:$P117)-COLUMN($G117)+1&lt;Reprogramaciones!T$14)*$G117:$P117)+N(INDEX($G117:$P117,1,Reprogramaciones!T$14))*IF(Reprogramaciones!T$13&gt;=(Reprogramaciones!$T$15+7*(Reprogramaciones!T$14-1))+6,1,IF(MAX(0,NETWORKDAYS.INTL(MAX(E117,(Reprogramaciones!$T$15+7*(Reprogramaciones!T$14-1))),MIN(F117,(Reprogramaciones!$T$15+7*(Reprogramaciones!T$14-1))+6),11))=0,0,MAX(0,NETWORKDAYS.INTL(MAX(E117,(Reprogramaciones!$T$15+7*(Reprogramaciones!T$14-1))),MIN(F117,Reprogramaciones!T$13),11))/MAX(0,NETWORKDAYS.INTL(MAX(E117,(Reprogramaciones!$T$15+7*(Reprogramaciones!T$14-1))),MIN(F117,(Reprogramaciones!$T$15+7*(Reprogramaciones!T$14-1))+6),11))))))))</f>
        <v/>
      </c>
      <c r="CD117" s="1" t="str">
        <f aca="false">IF(OR(NOT(AND(ISNUMBER(E117),ISNUMBER(F117))),$J$2=""),"",IF(Reprogramaciones!U$13&lt;Reprogramaciones!$T$15,0,IF(Reprogramaciones!U$14&gt;10,MIN(100,SUM($G117:$P117)),MIN(100,SUMPRODUCT((COLUMN($G117:$P117)-COLUMN($G117)+1&lt;Reprogramaciones!U$14)*$G117:$P117)+N(INDEX($G117:$P117,1,Reprogramaciones!U$14))*IF(Reprogramaciones!U$13&gt;=(Reprogramaciones!$T$15+7*(Reprogramaciones!U$14-1))+6,1,IF(MAX(0,NETWORKDAYS.INTL(MAX(E117,(Reprogramaciones!$T$15+7*(Reprogramaciones!U$14-1))),MIN(F117,(Reprogramaciones!$T$15+7*(Reprogramaciones!U$14-1))+6),11))=0,0,MAX(0,NETWORKDAYS.INTL(MAX(E117,(Reprogramaciones!$T$15+7*(Reprogramaciones!U$14-1))),MIN(F117,Reprogramaciones!U$13),11))/MAX(0,NETWORKDAYS.INTL(MAX(E117,(Reprogramaciones!$T$15+7*(Reprogramaciones!U$14-1))),MIN(F117,(Reprogramaciones!$T$15+7*(Reprogramaciones!U$14-1))+6),11))))))))</f>
        <v/>
      </c>
      <c r="CE117" s="1" t="str">
        <f aca="false">IF(OR(NOT(AND(ISNUMBER(E117),ISNUMBER(F117))),$J$2=""),"",IF(Reprogramaciones!V$13&lt;Reprogramaciones!$T$15,0,IF(Reprogramaciones!V$14&gt;10,MIN(100,SUM($G117:$P117)),MIN(100,SUMPRODUCT((COLUMN($G117:$P117)-COLUMN($G117)+1&lt;Reprogramaciones!V$14)*$G117:$P117)+N(INDEX($G117:$P117,1,Reprogramaciones!V$14))*IF(Reprogramaciones!V$13&gt;=(Reprogramaciones!$T$15+7*(Reprogramaciones!V$14-1))+6,1,IF(MAX(0,NETWORKDAYS.INTL(MAX(E117,(Reprogramaciones!$T$15+7*(Reprogramaciones!V$14-1))),MIN(F117,(Reprogramaciones!$T$15+7*(Reprogramaciones!V$14-1))+6),11))=0,0,MAX(0,NETWORKDAYS.INTL(MAX(E117,(Reprogramaciones!$T$15+7*(Reprogramaciones!V$14-1))),MIN(F117,Reprogramaciones!V$13),11))/MAX(0,NETWORKDAYS.INTL(MAX(E117,(Reprogramaciones!$T$15+7*(Reprogramaciones!V$14-1))),MIN(F117,(Reprogramaciones!$T$15+7*(Reprogramaciones!V$14-1))+6),11))))))))</f>
        <v/>
      </c>
      <c r="CF117" s="1" t="str">
        <f aca="false">IF(OR(NOT(AND(ISNUMBER(E117),ISNUMBER(F117))),$J$2=""),"",IF(Reprogramaciones!W$13&lt;Reprogramaciones!$T$15,0,IF(Reprogramaciones!W$14&gt;10,MIN(100,SUM($G117:$P117)),MIN(100,SUMPRODUCT((COLUMN($G117:$P117)-COLUMN($G117)+1&lt;Reprogramaciones!W$14)*$G117:$P117)+N(INDEX($G117:$P117,1,Reprogramaciones!W$14))*IF(Reprogramaciones!W$13&gt;=(Reprogramaciones!$T$15+7*(Reprogramaciones!W$14-1))+6,1,IF(MAX(0,NETWORKDAYS.INTL(MAX(E117,(Reprogramaciones!$T$15+7*(Reprogramaciones!W$14-1))),MIN(F117,(Reprogramaciones!$T$15+7*(Reprogramaciones!W$14-1))+6),11))=0,0,MAX(0,NETWORKDAYS.INTL(MAX(E117,(Reprogramaciones!$T$15+7*(Reprogramaciones!W$14-1))),MIN(F117,Reprogramaciones!W$13),11))/MAX(0,NETWORKDAYS.INTL(MAX(E117,(Reprogramaciones!$T$15+7*(Reprogramaciones!W$14-1))),MIN(F117,(Reprogramaciones!$T$15+7*(Reprogramaciones!W$14-1))+6),11))))))))</f>
        <v/>
      </c>
      <c r="CG117" s="1" t="str">
        <f aca="false">IF(OR(NOT(AND(ISNUMBER(E117),ISNUMBER(F117))),$J$2=""),"",IF(Reprogramaciones!X$13&lt;Reprogramaciones!$T$15,0,IF(Reprogramaciones!X$14&gt;10,MIN(100,SUM($G117:$P117)),MIN(100,SUMPRODUCT((COLUMN($G117:$P117)-COLUMN($G117)+1&lt;Reprogramaciones!X$14)*$G117:$P117)+N(INDEX($G117:$P117,1,Reprogramaciones!X$14))*IF(Reprogramaciones!X$13&gt;=(Reprogramaciones!$T$15+7*(Reprogramaciones!X$14-1))+6,1,IF(MAX(0,NETWORKDAYS.INTL(MAX(E117,(Reprogramaciones!$T$15+7*(Reprogramaciones!X$14-1))),MIN(F117,(Reprogramaciones!$T$15+7*(Reprogramaciones!X$14-1))+6),11))=0,0,MAX(0,NETWORKDAYS.INTL(MAX(E117,(Reprogramaciones!$T$15+7*(Reprogramaciones!X$14-1))),MIN(F117,Reprogramaciones!X$13),11))/MAX(0,NETWORKDAYS.INTL(MAX(E117,(Reprogramaciones!$T$15+7*(Reprogramaciones!X$14-1))),MIN(F117,(Reprogramaciones!$T$15+7*(Reprogramaciones!X$14-1))+6),11))))))))</f>
        <v/>
      </c>
      <c r="CH117" s="1" t="str">
        <f aca="false">IF(OR(NOT(AND(ISNUMBER(E117),ISNUMBER(F117))),$J$2=""),"",IF(Reprogramaciones!Y$13&lt;Reprogramaciones!$T$15,0,IF(Reprogramaciones!Y$14&gt;10,MIN(100,SUM($G117:$P117)),MIN(100,SUMPRODUCT((COLUMN($G117:$P117)-COLUMN($G117)+1&lt;Reprogramaciones!Y$14)*$G117:$P117)+N(INDEX($G117:$P117,1,Reprogramaciones!Y$14))*IF(Reprogramaciones!Y$13&gt;=(Reprogramaciones!$T$15+7*(Reprogramaciones!Y$14-1))+6,1,IF(MAX(0,NETWORKDAYS.INTL(MAX(E117,(Reprogramaciones!$T$15+7*(Reprogramaciones!Y$14-1))),MIN(F117,(Reprogramaciones!$T$15+7*(Reprogramaciones!Y$14-1))+6),11))=0,0,MAX(0,NETWORKDAYS.INTL(MAX(E117,(Reprogramaciones!$T$15+7*(Reprogramaciones!Y$14-1))),MIN(F117,Reprogramaciones!Y$13),11))/MAX(0,NETWORKDAYS.INTL(MAX(E117,(Reprogramaciones!$T$15+7*(Reprogramaciones!Y$14-1))),MIN(F117,(Reprogramaciones!$T$15+7*(Reprogramaciones!Y$14-1))+6),11))))))))</f>
        <v/>
      </c>
      <c r="CI117" s="1" t="str">
        <f aca="false">IF(OR(NOT(AND(ISNUMBER(E117),ISNUMBER(F117))),$J$2=""),"",IF(Reprogramaciones!Z$13&lt;Reprogramaciones!$T$15,0,IF(Reprogramaciones!Z$14&gt;10,MIN(100,SUM($G117:$P117)),MIN(100,SUMPRODUCT((COLUMN($G117:$P117)-COLUMN($G117)+1&lt;Reprogramaciones!Z$14)*$G117:$P117)+N(INDEX($G117:$P117,1,Reprogramaciones!Z$14))*IF(Reprogramaciones!Z$13&gt;=(Reprogramaciones!$T$15+7*(Reprogramaciones!Z$14-1))+6,1,IF(MAX(0,NETWORKDAYS.INTL(MAX(E117,(Reprogramaciones!$T$15+7*(Reprogramaciones!Z$14-1))),MIN(F117,(Reprogramaciones!$T$15+7*(Reprogramaciones!Z$14-1))+6),11))=0,0,MAX(0,NETWORKDAYS.INTL(MAX(E117,(Reprogramaciones!$T$15+7*(Reprogramaciones!Z$14-1))),MIN(F117,Reprogramaciones!Z$13),11))/MAX(0,NETWORKDAYS.INTL(MAX(E117,(Reprogramaciones!$T$15+7*(Reprogramaciones!Z$14-1))),MIN(F117,(Reprogramaciones!$T$15+7*(Reprogramaciones!Z$14-1))+6),11))))))))</f>
        <v/>
      </c>
      <c r="CJ117" s="1" t="str">
        <f aca="false">IF(OR(OR(NOT(AND(ISNUMBER(E117),ISNUMBER(F117))),$J$2=""),1&gt;Reprogramaciones!$K$16),"",IF(ROUND(SUM($Q117:Q117),1)&gt;=99.5,100,MIN(100,ROUND(SUM($Q117:Q117),1))))</f>
        <v/>
      </c>
      <c r="CK117" s="1" t="str">
        <f aca="false">IF(OR(OR(NOT(AND(ISNUMBER(E117),ISNUMBER(F117))),$J$2=""),2&gt;Reprogramaciones!$K$16),"",IF(ROUND(SUM($Q117:R117),1)&gt;=99.5,100,MIN(100,ROUND(SUM($Q117:R117),1))))</f>
        <v/>
      </c>
      <c r="CL117" s="1" t="str">
        <f aca="false">IF(OR(OR(NOT(AND(ISNUMBER(E117),ISNUMBER(F117))),$J$2=""),3&gt;Reprogramaciones!$K$16),"",IF(ROUND(SUM($Q117:S117),1)&gt;=99.5,100,MIN(100,ROUND(SUM($Q117:S117),1))))</f>
        <v/>
      </c>
      <c r="CM117" s="1" t="str">
        <f aca="false">IF(OR(OR(NOT(AND(ISNUMBER(E117),ISNUMBER(F117))),$J$2=""),4&gt;Reprogramaciones!$K$16),"",IF(ROUND(SUM($Q117:T117),1)&gt;=99.5,100,MIN(100,ROUND(SUM($Q117:T117),1))))</f>
        <v/>
      </c>
      <c r="CN117" s="1" t="str">
        <f aca="false">IF(OR(OR(NOT(AND(ISNUMBER(E117),ISNUMBER(F117))),$J$2=""),5&gt;Reprogramaciones!$K$16),"",IF(ROUND(SUM($Q117:U117),1)&gt;=99.5,100,MIN(100,ROUND(SUM($Q117:U117),1))))</f>
        <v/>
      </c>
      <c r="CO117" s="1" t="str">
        <f aca="false">IF(OR(OR(NOT(AND(ISNUMBER(E117),ISNUMBER(F117))),$J$2=""),6&gt;Reprogramaciones!$K$16),"",IF(ROUND(SUM($Q117:V117),1)&gt;=99.5,100,MIN(100,ROUND(SUM($Q117:V117),1))))</f>
        <v/>
      </c>
      <c r="CP117" s="1" t="str">
        <f aca="false">IF(OR(OR(NOT(AND(ISNUMBER(E117),ISNUMBER(F117))),$J$2=""),7&gt;Reprogramaciones!$K$16),"",IF(ROUND(SUM($Q117:W117),1)&gt;=99.5,100,MIN(100,ROUND(SUM($Q117:W117),1))))</f>
        <v/>
      </c>
      <c r="CQ117" s="1" t="str">
        <f aca="false">IF(OR(OR(NOT(AND(ISNUMBER(E117),ISNUMBER(F117))),$J$2=""),8&gt;Reprogramaciones!$K$16),"",IF(ROUND(SUM($Q117:X117),1)&gt;=99.5,100,MIN(100,ROUND(SUM($Q117:X117),1))))</f>
        <v/>
      </c>
      <c r="CR117" s="1" t="str">
        <f aca="false">IF(OR(OR(NOT(AND(ISNUMBER(E117),ISNUMBER(F117))),$J$2=""),9&gt;Reprogramaciones!$K$16),"",IF(ROUND(SUM($Q117:Y117),1)&gt;=99.5,100,MIN(100,ROUND(SUM($Q117:Y117),1))))</f>
        <v/>
      </c>
      <c r="CS117" s="1" t="str">
        <f aca="false">IF(OR(OR(NOT(AND(ISNUMBER(E117),ISNUMBER(F117))),$J$2=""),10&gt;Reprogramaciones!$K$16),"",IF(ROUND(SUM($Q117:Z117),1)&gt;=99.5,100,MIN(100,ROUND(SUM($Q117:Z117),1))))</f>
        <v/>
      </c>
      <c r="CT117" s="1" t="str">
        <f aca="false">IF(OR(OR(NOT(AND(ISNUMBER(E117),ISNUMBER(F117))),$J$2=""),11&gt;Reprogramaciones!$K$16),"",IF(ROUND(SUM($Q117:AA117),1)&gt;=99.5,100,MIN(100,ROUND(SUM($Q117:AA117),1))))</f>
        <v/>
      </c>
      <c r="CU117" s="1" t="str">
        <f aca="false">IF(OR(OR(NOT(AND(ISNUMBER(E117),ISNUMBER(F117))),$J$2=""),12&gt;Reprogramaciones!$K$16),"",IF(ROUND(SUM($Q117:AB117),1)&gt;=99.5,100,MIN(100,ROUND(SUM($Q117:AB117),1))))</f>
        <v/>
      </c>
      <c r="CV117" s="1" t="str">
        <f aca="false">IF(OR(OR(NOT(AND(ISNUMBER(E117),ISNUMBER(F117))),$J$2=""),13&gt;Reprogramaciones!$K$16),"",IF(ROUND(SUM($Q117:AC117),1)&gt;=99.5,100,MIN(100,ROUND(SUM($Q117:AC117),1))))</f>
        <v/>
      </c>
      <c r="CW117" s="1" t="str">
        <f aca="false">IF(OR(OR(NOT(AND(ISNUMBER(E117),ISNUMBER(F117))),$J$2=""),14&gt;Reprogramaciones!$K$16),"",IF(ROUND(SUM($Q117:AD117),1)&gt;=99.5,100,MIN(100,ROUND(SUM($Q117:AD117),1))))</f>
        <v/>
      </c>
      <c r="CX117" s="1" t="str">
        <f aca="false">IF(OR(OR(NOT(AND(ISNUMBER(E117),ISNUMBER(F117))),$J$2=""),15&gt;Reprogramaciones!$K$16),"",IF(ROUND(SUM($Q117:AE117),1)&gt;=99.5,100,MIN(100,ROUND(SUM($Q117:AE117),1))))</f>
        <v/>
      </c>
      <c r="CY117" s="1" t="str">
        <f aca="false">IF(OR(OR(NOT(AND(ISNUMBER(E117),ISNUMBER(F117))),$J$2=""),16&gt;Reprogramaciones!$K$16),"",IF(ROUND(SUM($Q117:AF117),1)&gt;=99.5,100,MIN(100,ROUND(SUM($Q117:AF117),1))))</f>
        <v/>
      </c>
      <c r="CZ117" s="1" t="str">
        <f aca="false">IF(D117&lt;&gt;"",D117,IF(B117&lt;&gt;"","Contractual",CZ116))</f>
        <v>Contractual</v>
      </c>
      <c r="DA117" s="1" t="str">
        <f aca="false">IF(OR(NOT(AND(ISNUMBER(E117),ISNUMBER(F117))),$J$2=""),"",IF(Reprogramaciones!$Q$15&lt;Reprogramaciones!$T$15,0,IF(Reprogramaciones!$S$15&gt;10,MIN(100,SUM($G117:$P117)),MIN(100,SUMPRODUCT((COLUMN($G117:$P117)-COLUMN($G117)+1&lt;Reprogramaciones!$S$15)*$G117:$P117)+N(INDEX($G117:$P117,1,Reprogramaciones!$S$15))*IF(Reprogramaciones!$Q$15&gt;=(Reprogramaciones!$T$15+7*(Reprogramaciones!$S$15-1))+6,1,IF(MAX(0,NETWORKDAYS.INTL(MAX(E117,(Reprogramaciones!$T$15+7*(Reprogramaciones!$S$15-1))),MIN(F117,(Reprogramaciones!$T$15+7*(Reprogramaciones!$S$15-1))+6),11))=0,0,MAX(0,NETWORKDAYS.INTL(MAX(E117,(Reprogramaciones!$T$15+7*(Reprogramaciones!$S$15-1))),MIN(F117,Reprogramaciones!$Q$15),11))/MAX(0,NETWORKDAYS.INTL(MAX(E117,(Reprogramaciones!$T$15+7*(Reprogramaciones!$S$15-1))),MIN(F117,(Reprogramaciones!$T$15+7*(Reprogramaciones!$S$15-1))+6),11))))))))</f>
        <v/>
      </c>
    </row>
    <row r="118" customFormat="false" ht="15" hidden="false" customHeight="false" outlineLevel="0" collapsed="false">
      <c r="A118" s="32"/>
      <c r="B118" s="33"/>
      <c r="C118" s="33"/>
      <c r="D118" s="34"/>
      <c r="E118" s="35"/>
      <c r="F118" s="35"/>
      <c r="G118" s="36" t="str">
        <f aca="false">IF(OR(NOT(AND(ISNUMBER(E118),ISNUMBER(F118))),$J$2=""),"",IF(Reprogramaciones!K$9&lt;E118,0,IF(NETWORKDAYS.INTL(E118,F118,11)=0,IF(Reprogramaciones!K$9&gt;=F118,100,0),ROUND(NETWORKDAYS.INTL(E118,MIN(F118,Reprogramaciones!K$9),11)/NETWORKDAYS.INTL(E118,F118,11)*100,1)))-0)</f>
        <v/>
      </c>
      <c r="H118" s="36" t="str">
        <f aca="false">IF(OR(NOT(AND(ISNUMBER(E118),ISNUMBER(F118))),$J$2=""),"",IF(Reprogramaciones!L$9&lt;E118,0,IF(NETWORKDAYS.INTL(E118,F118,11)=0,IF(Reprogramaciones!L$9&gt;=F118,100,0),ROUND(NETWORKDAYS.INTL(E118,MIN(F118,Reprogramaciones!L$9),11)/NETWORKDAYS.INTL(E118,F118,11)*100,1)))-IF(Reprogramaciones!K$9&lt;E118,0,IF(NETWORKDAYS.INTL(E118,F118,11)=0,IF(Reprogramaciones!K$9&gt;=F118,100,0),ROUND(NETWORKDAYS.INTL(E118,MIN(F118,Reprogramaciones!K$9),11)/NETWORKDAYS.INTL(E118,F118,11)*100,1))))</f>
        <v/>
      </c>
      <c r="I118" s="36" t="str">
        <f aca="false">IF(OR(NOT(AND(ISNUMBER(E118),ISNUMBER(F118))),$J$2=""),"",IF(Reprogramaciones!M$9&lt;E118,0,IF(NETWORKDAYS.INTL(E118,F118,11)=0,IF(Reprogramaciones!M$9&gt;=F118,100,0),ROUND(NETWORKDAYS.INTL(E118,MIN(F118,Reprogramaciones!M$9),11)/NETWORKDAYS.INTL(E118,F118,11)*100,1)))-IF(Reprogramaciones!L$9&lt;E118,0,IF(NETWORKDAYS.INTL(E118,F118,11)=0,IF(Reprogramaciones!L$9&gt;=F118,100,0),ROUND(NETWORKDAYS.INTL(E118,MIN(F118,Reprogramaciones!L$9),11)/NETWORKDAYS.INTL(E118,F118,11)*100,1))))</f>
        <v/>
      </c>
      <c r="J118" s="36" t="str">
        <f aca="false">IF(OR(NOT(AND(ISNUMBER(E118),ISNUMBER(F118))),$J$2=""),"",IF(Reprogramaciones!N$9&lt;E118,0,IF(NETWORKDAYS.INTL(E118,F118,11)=0,IF(Reprogramaciones!N$9&gt;=F118,100,0),ROUND(NETWORKDAYS.INTL(E118,MIN(F118,Reprogramaciones!N$9),11)/NETWORKDAYS.INTL(E118,F118,11)*100,1)))-IF(Reprogramaciones!M$9&lt;E118,0,IF(NETWORKDAYS.INTL(E118,F118,11)=0,IF(Reprogramaciones!M$9&gt;=F118,100,0),ROUND(NETWORKDAYS.INTL(E118,MIN(F118,Reprogramaciones!M$9),11)/NETWORKDAYS.INTL(E118,F118,11)*100,1))))</f>
        <v/>
      </c>
      <c r="K118" s="36" t="str">
        <f aca="false">IF(OR(NOT(AND(ISNUMBER(E118),ISNUMBER(F118))),$J$2=""),"",IF(Reprogramaciones!O$9&lt;E118,0,IF(NETWORKDAYS.INTL(E118,F118,11)=0,IF(Reprogramaciones!O$9&gt;=F118,100,0),ROUND(NETWORKDAYS.INTL(E118,MIN(F118,Reprogramaciones!O$9),11)/NETWORKDAYS.INTL(E118,F118,11)*100,1)))-IF(Reprogramaciones!N$9&lt;E118,0,IF(NETWORKDAYS.INTL(E118,F118,11)=0,IF(Reprogramaciones!N$9&gt;=F118,100,0),ROUND(NETWORKDAYS.INTL(E118,MIN(F118,Reprogramaciones!N$9),11)/NETWORKDAYS.INTL(E118,F118,11)*100,1))))</f>
        <v/>
      </c>
      <c r="L118" s="36" t="str">
        <f aca="false">IF(OR(NOT(AND(ISNUMBER(E118),ISNUMBER(F118))),$J$2=""),"",IF(Reprogramaciones!P$9&lt;E118,0,IF(NETWORKDAYS.INTL(E118,F118,11)=0,IF(Reprogramaciones!P$9&gt;=F118,100,0),ROUND(NETWORKDAYS.INTL(E118,MIN(F118,Reprogramaciones!P$9),11)/NETWORKDAYS.INTL(E118,F118,11)*100,1)))-IF(Reprogramaciones!O$9&lt;E118,0,IF(NETWORKDAYS.INTL(E118,F118,11)=0,IF(Reprogramaciones!O$9&gt;=F118,100,0),ROUND(NETWORKDAYS.INTL(E118,MIN(F118,Reprogramaciones!O$9),11)/NETWORKDAYS.INTL(E118,F118,11)*100,1))))</f>
        <v/>
      </c>
      <c r="M118" s="36" t="str">
        <f aca="false">IF(OR(NOT(AND(ISNUMBER(E118),ISNUMBER(F118))),$J$2=""),"",IF(Reprogramaciones!Q$9&lt;E118,0,IF(NETWORKDAYS.INTL(E118,F118,11)=0,IF(Reprogramaciones!Q$9&gt;=F118,100,0),ROUND(NETWORKDAYS.INTL(E118,MIN(F118,Reprogramaciones!Q$9),11)/NETWORKDAYS.INTL(E118,F118,11)*100,1)))-IF(Reprogramaciones!P$9&lt;E118,0,IF(NETWORKDAYS.INTL(E118,F118,11)=0,IF(Reprogramaciones!P$9&gt;=F118,100,0),ROUND(NETWORKDAYS.INTL(E118,MIN(F118,Reprogramaciones!P$9),11)/NETWORKDAYS.INTL(E118,F118,11)*100,1))))</f>
        <v/>
      </c>
      <c r="N118" s="36" t="str">
        <f aca="false">IF(OR(NOT(AND(ISNUMBER(E118),ISNUMBER(F118))),$J$2=""),"",IF(Reprogramaciones!R$9&lt;E118,0,IF(NETWORKDAYS.INTL(E118,F118,11)=0,IF(Reprogramaciones!R$9&gt;=F118,100,0),ROUND(NETWORKDAYS.INTL(E118,MIN(F118,Reprogramaciones!R$9),11)/NETWORKDAYS.INTL(E118,F118,11)*100,1)))-IF(Reprogramaciones!Q$9&lt;E118,0,IF(NETWORKDAYS.INTL(E118,F118,11)=0,IF(Reprogramaciones!Q$9&gt;=F118,100,0),ROUND(NETWORKDAYS.INTL(E118,MIN(F118,Reprogramaciones!Q$9),11)/NETWORKDAYS.INTL(E118,F118,11)*100,1))))</f>
        <v/>
      </c>
      <c r="O118" s="36" t="str">
        <f aca="false">IF(OR(NOT(AND(ISNUMBER(E118),ISNUMBER(F118))),$J$2=""),"",IF(Reprogramaciones!S$9&lt;E118,0,IF(NETWORKDAYS.INTL(E118,F118,11)=0,IF(Reprogramaciones!S$9&gt;=F118,100,0),ROUND(NETWORKDAYS.INTL(E118,MIN(F118,Reprogramaciones!S$9),11)/NETWORKDAYS.INTL(E118,F118,11)*100,1)))-IF(Reprogramaciones!R$9&lt;E118,0,IF(NETWORKDAYS.INTL(E118,F118,11)=0,IF(Reprogramaciones!R$9&gt;=F118,100,0),ROUND(NETWORKDAYS.INTL(E118,MIN(F118,Reprogramaciones!R$9),11)/NETWORKDAYS.INTL(E118,F118,11)*100,1))))</f>
        <v/>
      </c>
      <c r="P118" s="36" t="str">
        <f aca="false">IF(OR(NOT(AND(ISNUMBER(E118),ISNUMBER(F118))),$J$2=""),"",IF(Reprogramaciones!T$9&lt;E118,0,IF(NETWORKDAYS.INTL(E118,F118,11)=0,IF(Reprogramaciones!T$9&gt;=F118,100,0),ROUND(NETWORKDAYS.INTL(E118,MIN(F118,Reprogramaciones!T$9),11)/NETWORKDAYS.INTL(E118,F118,11)*100,1)))-IF(Reprogramaciones!S$9&lt;E118,0,IF(NETWORKDAYS.INTL(E118,F118,11)=0,IF(Reprogramaciones!S$9&gt;=F118,100,0),ROUND(NETWORKDAYS.INTL(E118,MIN(F118,Reprogramaciones!S$9),11)/NETWORKDAYS.INTL(E118,F118,11)*100,1))))</f>
        <v/>
      </c>
      <c r="Q118" s="37"/>
      <c r="R118" s="37"/>
      <c r="S118" s="37"/>
      <c r="T118" s="37"/>
      <c r="U118" s="37"/>
      <c r="V118" s="37"/>
      <c r="W118" s="37"/>
      <c r="X118" s="37"/>
      <c r="Y118" s="37"/>
      <c r="Z118" s="37"/>
      <c r="AA118" s="37"/>
      <c r="AB118" s="37"/>
      <c r="AC118" s="37"/>
      <c r="AD118" s="37"/>
      <c r="AE118" s="37"/>
      <c r="AF118" s="37"/>
      <c r="AG118" s="38" t="str">
        <f aca="false">IF(AND(ISNUMBER(E118),ISNUMBER(F118)),NETWORKDAYS.INTL(E118,F118,11),"")</f>
        <v/>
      </c>
      <c r="AH118" s="38" t="str">
        <f aca="false">IF(OR(NOT(AND(ISNUMBER(E118),ISNUMBER(F118))),$J$2=""),"",IF(Reprogramaciones!$P$15&lt;Reprogramaciones!$T$15,0,IF(Reprogramaciones!$R$15&gt;10,MIN(100,SUM($G118:$P118)),MIN(100,SUMPRODUCT((COLUMN($G118:$P118)-COLUMN($G118)+1&lt;Reprogramaciones!$R$15)*$G118:$P118)+N(INDEX($G118:$P118,1,Reprogramaciones!$R$15))*IF(Reprogramaciones!$P$15&gt;=(Reprogramaciones!$T$15+7*(Reprogramaciones!$R$15-1))+6,1,IF(MAX(0,NETWORKDAYS.INTL(MAX(E118,(Reprogramaciones!$T$15+7*(Reprogramaciones!$R$15-1))),MIN(F118,(Reprogramaciones!$T$15+7*(Reprogramaciones!$R$15-1))+6),11))=0,0,MAX(0,NETWORKDAYS.INTL(MAX(E118,(Reprogramaciones!$T$15+7*(Reprogramaciones!$R$15-1))),MIN(F118,Reprogramaciones!$P$15),11))/MAX(0,NETWORKDAYS.INTL(MAX(E118,(Reprogramaciones!$T$15+7*(Reprogramaciones!$R$15-1))),MIN(F118,(Reprogramaciones!$T$15+7*(Reprogramaciones!$R$15-1))+6),11))))))))</f>
        <v/>
      </c>
      <c r="AI118" s="38" t="str">
        <f aca="false">IF(COUNT($Q118:$AF118)=0,"",IF(ROUND(SUM($Q118:$AF118),1)&gt;=99.5,100,MIN(100,ROUND(SUM($Q118:$AF118),1))))</f>
        <v/>
      </c>
      <c r="AJ118" s="38" t="str">
        <f aca="false">IF(OR(AH118="",AI118=""),"",AI118-AH118)</f>
        <v/>
      </c>
      <c r="AK118" s="39" t="str">
        <f aca="true">IF(AH118="","",IF(OR(Ficha!$C$10="Suspendida",Ficha!$C$10="Cancelada"),Ficha!$C$10,IF(AND(AI118&lt;&gt;"",N(AI118)&gt;=100),"Completada",IF(AND(E118&gt;TODAY(),N(AI118)=0),"Por iniciar",IF(N(AI118)+0.5&lt;AH118,"Retrasada",IF(N(AI118)+0.5&lt;DA118,IF(Reprogramaciones!$K$15&gt;0,"Al día · Sem "&amp;Reprogramaciones!$K$15&amp;" en curso","Al día · en curso"),"A tiempo"))))))</f>
        <v/>
      </c>
      <c r="AL118" s="39" t="str">
        <f aca="true">IF(AND(A118="",AND(B118="",C118="",E118="",F118="",COUNT(Q118:AF118)=0)),"",IF(AND(B118="",C118="",E118="",F118="",COUNT(Q118:AF118)=0),"Falta la partida o subpartida",IF(AND(A118&lt;&gt;"",COUNTIF($A$6:$A$305,A118)&gt;1),"Ítem repetido",IF(AND(C118="",E118="",F118="",COUNT(Q118:AF118)=0),"Título de partida",IF(OR(E118="",F118=""),"Faltan fechas",IF(OR(ISTEXT(E118),ISTEXT(F118)),"Fecha escrita como texto: usa dd/mm/aaaa",IF(F118&lt;E118,"Fin antes del inicio",IF(IF($J$2="",FALSE(),OR(E118&lt;$J$2,F118&gt;Reprogramaciones!$T$15+69)),"Fuera de las 10 semanas",IF(ABS(SUM(G118:P118)-100)&gt;0.5,"La meta no suma 100%",IF(ROUND(SUM(Q118:AF118),1)&gt;100.5,"El avance pasa de 100%",IF(MIN(Q118:AF118)&lt;0,"Avance negativo",IF(COUNTA(Q118:AF118)&gt;COUNT(Q118:AF118),"Avance escrito como texto",IF(SUMPRODUCT((Q118:AF118&gt;0)*(Q118:AF118&lt;1))&gt;0,"Avance menor a 1: escribe 50, no 50%",IF(SUMPRODUCT(ISNUMBER(Q118:AF118)*(Reprogramaciones!$K$8:$Z$8&gt;TODAY()))&gt;0,"Avance en semana que aún no llega",IF(AND(N(Reprogramaciones!$E$21)&gt;0,F118&gt;Reprogramaciones!$E$21),"Pasa el fin de la obra: registra una reprogramación",IF(AND(N(Reprogramaciones!$E$21)&gt;0,SUMPRODUCT(ISNUMBER(Q118:AF118)*(Reprogramaciones!$K$8:$Z$8&gt;Reprogramaciones!$E$21))&gt;0),"Avance después del fin de la obra: registra una reprogramación por atraso","OK"))))))))))))))))</f>
        <v/>
      </c>
      <c r="AM118" s="40" t="str">
        <f aca="false">IF(OR(OR(NOT(AND(ISNUMBER(E118),ISNUMBER(F118))),$J$2=""),1&gt;MAX(1,Reprogramaciones!$U$15)),"",IF(Reprogramaciones!K$12&gt;=7,"",IF(OR(BT118-N(0)&gt;0.05,N(Q118)&gt;0),ROUNDDOWN(ROUND(BT118,6),0)&amp;"%"&amp;IF(CJ118="",""," / "&amp;CJ118&amp;"%"),IF(AND(N(0)&gt;=99.95,CJ118&lt;&gt;"",N(CJ118)&lt;100),"Pend. "&amp;CJ118&amp;"%",""))))</f>
        <v/>
      </c>
      <c r="AN118" s="40" t="str">
        <f aca="false">IF(OR(OR(NOT(AND(ISNUMBER(E118),ISNUMBER(F118))),$J$2=""),2&gt;MAX(1,Reprogramaciones!$U$15)),"",IF(Reprogramaciones!L$12&gt;=7,"",IF(OR(BU118-N(BT118)&gt;0.05,N(R118)&gt;0),ROUNDDOWN(ROUND(BU118,6),0)&amp;"%"&amp;IF(CK118="",""," / "&amp;CK118&amp;"%"),IF(AND(N(BT118)&gt;=99.95,CK118&lt;&gt;"",N(CK118)&lt;100),"Pend. "&amp;CK118&amp;"%",""))))</f>
        <v/>
      </c>
      <c r="AO118" s="40" t="str">
        <f aca="false">IF(OR(OR(NOT(AND(ISNUMBER(E118),ISNUMBER(F118))),$J$2=""),3&gt;MAX(1,Reprogramaciones!$U$15)),"",IF(Reprogramaciones!M$12&gt;=7,"",IF(OR(BV118-N(BU118)&gt;0.05,N(S118)&gt;0),ROUNDDOWN(ROUND(BV118,6),0)&amp;"%"&amp;IF(CL118="",""," / "&amp;CL118&amp;"%"),IF(AND(N(BU118)&gt;=99.95,CL118&lt;&gt;"",N(CL118)&lt;100),"Pend. "&amp;CL118&amp;"%",""))))</f>
        <v/>
      </c>
      <c r="AP118" s="40" t="str">
        <f aca="false">IF(OR(OR(NOT(AND(ISNUMBER(E118),ISNUMBER(F118))),$J$2=""),4&gt;MAX(1,Reprogramaciones!$U$15)),"",IF(Reprogramaciones!N$12&gt;=7,"",IF(OR(BW118-N(BV118)&gt;0.05,N(T118)&gt;0),ROUNDDOWN(ROUND(BW118,6),0)&amp;"%"&amp;IF(CM118="",""," / "&amp;CM118&amp;"%"),IF(AND(N(BV118)&gt;=99.95,CM118&lt;&gt;"",N(CM118)&lt;100),"Pend. "&amp;CM118&amp;"%",""))))</f>
        <v/>
      </c>
      <c r="AQ118" s="40" t="str">
        <f aca="false">IF(OR(OR(NOT(AND(ISNUMBER(E118),ISNUMBER(F118))),$J$2=""),5&gt;MAX(1,Reprogramaciones!$U$15)),"",IF(Reprogramaciones!O$12&gt;=7,"",IF(OR(BX118-N(BW118)&gt;0.05,N(U118)&gt;0),ROUNDDOWN(ROUND(BX118,6),0)&amp;"%"&amp;IF(CN118="",""," / "&amp;CN118&amp;"%"),IF(AND(N(BW118)&gt;=99.95,CN118&lt;&gt;"",N(CN118)&lt;100),"Pend. "&amp;CN118&amp;"%",""))))</f>
        <v/>
      </c>
      <c r="AR118" s="40" t="str">
        <f aca="false">IF(OR(OR(NOT(AND(ISNUMBER(E118),ISNUMBER(F118))),$J$2=""),6&gt;MAX(1,Reprogramaciones!$U$15)),"",IF(Reprogramaciones!P$12&gt;=7,"",IF(OR(BY118-N(BX118)&gt;0.05,N(V118)&gt;0),ROUNDDOWN(ROUND(BY118,6),0)&amp;"%"&amp;IF(CO118="",""," / "&amp;CO118&amp;"%"),IF(AND(N(BX118)&gt;=99.95,CO118&lt;&gt;"",N(CO118)&lt;100),"Pend. "&amp;CO118&amp;"%",""))))</f>
        <v/>
      </c>
      <c r="AS118" s="40" t="str">
        <f aca="false">IF(OR(OR(NOT(AND(ISNUMBER(E118),ISNUMBER(F118))),$J$2=""),7&gt;MAX(1,Reprogramaciones!$U$15)),"",IF(Reprogramaciones!Q$12&gt;=7,"",IF(OR(BZ118-N(BY118)&gt;0.05,N(W118)&gt;0),ROUNDDOWN(ROUND(BZ118,6),0)&amp;"%"&amp;IF(CP118="",""," / "&amp;CP118&amp;"%"),IF(AND(N(BY118)&gt;=99.95,CP118&lt;&gt;"",N(CP118)&lt;100),"Pend. "&amp;CP118&amp;"%",""))))</f>
        <v/>
      </c>
      <c r="AT118" s="40" t="str">
        <f aca="false">IF(OR(OR(NOT(AND(ISNUMBER(E118),ISNUMBER(F118))),$J$2=""),8&gt;MAX(1,Reprogramaciones!$U$15)),"",IF(Reprogramaciones!R$12&gt;=7,"",IF(OR(CA118-N(BZ118)&gt;0.05,N(X118)&gt;0),ROUNDDOWN(ROUND(CA118,6),0)&amp;"%"&amp;IF(CQ118="",""," / "&amp;CQ118&amp;"%"),IF(AND(N(BZ118)&gt;=99.95,CQ118&lt;&gt;"",N(CQ118)&lt;100),"Pend. "&amp;CQ118&amp;"%",""))))</f>
        <v/>
      </c>
      <c r="AU118" s="40" t="str">
        <f aca="false">IF(OR(OR(NOT(AND(ISNUMBER(E118),ISNUMBER(F118))),$J$2=""),9&gt;MAX(1,Reprogramaciones!$U$15)),"",IF(Reprogramaciones!S$12&gt;=7,"",IF(OR(CB118-N(CA118)&gt;0.05,N(Y118)&gt;0),ROUNDDOWN(ROUND(CB118,6),0)&amp;"%"&amp;IF(CR118="",""," / "&amp;CR118&amp;"%"),IF(AND(N(CA118)&gt;=99.95,CR118&lt;&gt;"",N(CR118)&lt;100),"Pend. "&amp;CR118&amp;"%",""))))</f>
        <v/>
      </c>
      <c r="AV118" s="40" t="str">
        <f aca="false">IF(OR(OR(NOT(AND(ISNUMBER(E118),ISNUMBER(F118))),$J$2=""),10&gt;MAX(1,Reprogramaciones!$U$15)),"",IF(Reprogramaciones!T$12&gt;=7,"",IF(OR(CC118-N(CB118)&gt;0.05,N(Z118)&gt;0),ROUNDDOWN(ROUND(CC118,6),0)&amp;"%"&amp;IF(CS118="",""," / "&amp;CS118&amp;"%"),IF(AND(N(CB118)&gt;=99.95,CS118&lt;&gt;"",N(CS118)&lt;100),"Pend. "&amp;CS118&amp;"%",""))))</f>
        <v/>
      </c>
      <c r="AW118" s="40" t="str">
        <f aca="false">IF(OR(OR(NOT(AND(ISNUMBER(E118),ISNUMBER(F118))),$J$2=""),11&gt;MAX(1,Reprogramaciones!$U$15)),"",IF(Reprogramaciones!U$12&gt;=7,"",IF(OR(CD118-N(CC118)&gt;0.05,N(AA118)&gt;0),ROUNDDOWN(ROUND(CD118,6),0)&amp;"%"&amp;IF(CT118="",""," / "&amp;CT118&amp;"%"),IF(AND(N(CC118)&gt;=99.95,CT118&lt;&gt;"",N(CT118)&lt;100),"Pend. "&amp;CT118&amp;"%",""))))</f>
        <v/>
      </c>
      <c r="AX118" s="40" t="str">
        <f aca="false">IF(OR(OR(NOT(AND(ISNUMBER(E118),ISNUMBER(F118))),$J$2=""),12&gt;MAX(1,Reprogramaciones!$U$15)),"",IF(Reprogramaciones!V$12&gt;=7,"",IF(OR(CE118-N(CD118)&gt;0.05,N(AB118)&gt;0),ROUNDDOWN(ROUND(CE118,6),0)&amp;"%"&amp;IF(CU118="",""," / "&amp;CU118&amp;"%"),IF(AND(N(CD118)&gt;=99.95,CU118&lt;&gt;"",N(CU118)&lt;100),"Pend. "&amp;CU118&amp;"%",""))))</f>
        <v/>
      </c>
      <c r="AY118" s="40" t="str">
        <f aca="false">IF(OR(OR(NOT(AND(ISNUMBER(E118),ISNUMBER(F118))),$J$2=""),13&gt;MAX(1,Reprogramaciones!$U$15)),"",IF(Reprogramaciones!W$12&gt;=7,"",IF(OR(CF118-N(CE118)&gt;0.05,N(AC118)&gt;0),ROUNDDOWN(ROUND(CF118,6),0)&amp;"%"&amp;IF(CV118="",""," / "&amp;CV118&amp;"%"),IF(AND(N(CE118)&gt;=99.95,CV118&lt;&gt;"",N(CV118)&lt;100),"Pend. "&amp;CV118&amp;"%",""))))</f>
        <v/>
      </c>
      <c r="AZ118" s="40" t="str">
        <f aca="false">IF(OR(OR(NOT(AND(ISNUMBER(E118),ISNUMBER(F118))),$J$2=""),14&gt;MAX(1,Reprogramaciones!$U$15)),"",IF(Reprogramaciones!X$12&gt;=7,"",IF(OR(CG118-N(CF118)&gt;0.05,N(AD118)&gt;0),ROUNDDOWN(ROUND(CG118,6),0)&amp;"%"&amp;IF(CW118="",""," / "&amp;CW118&amp;"%"),IF(AND(N(CF118)&gt;=99.95,CW118&lt;&gt;"",N(CW118)&lt;100),"Pend. "&amp;CW118&amp;"%",""))))</f>
        <v/>
      </c>
      <c r="BA118" s="40" t="str">
        <f aca="false">IF(OR(OR(NOT(AND(ISNUMBER(E118),ISNUMBER(F118))),$J$2=""),15&gt;MAX(1,Reprogramaciones!$U$15)),"",IF(Reprogramaciones!Y$12&gt;=7,"",IF(OR(CH118-N(CG118)&gt;0.05,N(AE118)&gt;0),ROUNDDOWN(ROUND(CH118,6),0)&amp;"%"&amp;IF(CX118="",""," / "&amp;CX118&amp;"%"),IF(AND(N(CG118)&gt;=99.95,CX118&lt;&gt;"",N(CX118)&lt;100),"Pend. "&amp;CX118&amp;"%",""))))</f>
        <v/>
      </c>
      <c r="BB118" s="40" t="str">
        <f aca="false">IF(OR(OR(NOT(AND(ISNUMBER(E118),ISNUMBER(F118))),$J$2=""),16&gt;MAX(1,Reprogramaciones!$U$15)),"",IF(Reprogramaciones!Z$12&gt;=7,"",IF(OR(CI118-N(CH118)&gt;0.05,N(AF118)&gt;0),ROUNDDOWN(ROUND(CI118,6),0)&amp;"%"&amp;IF(CY118="",""," / "&amp;CY118&amp;"%"),IF(AND(N(CH118)&gt;=99.95,CY118&lt;&gt;"",N(CY118)&lt;100),"Pend. "&amp;CY118&amp;"%",""))))</f>
        <v/>
      </c>
      <c r="BC118" s="31" t="n">
        <f aca="false">IF(AND(ISNUMBER(E118),ISNUMBER(F118)),MAX(1,NETWORKDAYS.INTL(E118,F118,11)),0)</f>
        <v>0</v>
      </c>
      <c r="BD118" s="1" t="str">
        <f aca="false">IF(OR(NOT(AND(ISNUMBER(E118),ISNUMBER(F118))),$J$2=""),"",MIN(100,ROUND(SUM($G118:G118),1)))</f>
        <v/>
      </c>
      <c r="BE118" s="1" t="str">
        <f aca="false">IF(OR(NOT(AND(ISNUMBER(E118),ISNUMBER(F118))),$J$2=""),"",MIN(100,ROUND(SUM($G118:H118),1)))</f>
        <v/>
      </c>
      <c r="BF118" s="1" t="str">
        <f aca="false">IF(OR(NOT(AND(ISNUMBER(E118),ISNUMBER(F118))),$J$2=""),"",MIN(100,ROUND(SUM($G118:I118),1)))</f>
        <v/>
      </c>
      <c r="BG118" s="1" t="str">
        <f aca="false">IF(OR(NOT(AND(ISNUMBER(E118),ISNUMBER(F118))),$J$2=""),"",MIN(100,ROUND(SUM($G118:J118),1)))</f>
        <v/>
      </c>
      <c r="BH118" s="1" t="str">
        <f aca="false">IF(OR(NOT(AND(ISNUMBER(E118),ISNUMBER(F118))),$J$2=""),"",MIN(100,ROUND(SUM($G118:K118),1)))</f>
        <v/>
      </c>
      <c r="BI118" s="1" t="str">
        <f aca="false">IF(OR(NOT(AND(ISNUMBER(E118),ISNUMBER(F118))),$J$2=""),"",MIN(100,ROUND(SUM($G118:L118),1)))</f>
        <v/>
      </c>
      <c r="BJ118" s="1" t="str">
        <f aca="false">IF(OR(NOT(AND(ISNUMBER(E118),ISNUMBER(F118))),$J$2=""),"",MIN(100,ROUND(SUM($G118:M118),1)))</f>
        <v/>
      </c>
      <c r="BK118" s="1" t="str">
        <f aca="false">IF(OR(NOT(AND(ISNUMBER(E118),ISNUMBER(F118))),$J$2=""),"",MIN(100,ROUND(SUM($G118:N118),1)))</f>
        <v/>
      </c>
      <c r="BL118" s="1" t="str">
        <f aca="false">IF(OR(NOT(AND(ISNUMBER(E118),ISNUMBER(F118))),$J$2=""),"",MIN(100,ROUND(SUM($G118:O118),1)))</f>
        <v/>
      </c>
      <c r="BM118" s="1" t="str">
        <f aca="false">IF(OR(NOT(AND(ISNUMBER(E118),ISNUMBER(F118))),$J$2=""),"",MIN(100,ROUND(SUM($G118:P118),1)))</f>
        <v/>
      </c>
      <c r="BN118" s="1" t="str">
        <f aca="false">IF(OR(NOT(AND(ISNUMBER(E118),ISNUMBER(F118))),$J$2=""),"",MIN(100,ROUND(SUM($G118:P118),1)))</f>
        <v/>
      </c>
      <c r="BO118" s="1" t="str">
        <f aca="false">IF(OR(NOT(AND(ISNUMBER(E118),ISNUMBER(F118))),$J$2=""),"",MIN(100,ROUND(SUM($G118:P118),1)))</f>
        <v/>
      </c>
      <c r="BP118" s="1" t="str">
        <f aca="false">IF(OR(NOT(AND(ISNUMBER(E118),ISNUMBER(F118))),$J$2=""),"",MIN(100,ROUND(SUM($G118:P118),1)))</f>
        <v/>
      </c>
      <c r="BQ118" s="1" t="str">
        <f aca="false">IF(OR(NOT(AND(ISNUMBER(E118),ISNUMBER(F118))),$J$2=""),"",MIN(100,ROUND(SUM($G118:P118),1)))</f>
        <v/>
      </c>
      <c r="BR118" s="1" t="str">
        <f aca="false">IF(OR(NOT(AND(ISNUMBER(E118),ISNUMBER(F118))),$J$2=""),"",MIN(100,ROUND(SUM($G118:P118),1)))</f>
        <v/>
      </c>
      <c r="BS118" s="1" t="str">
        <f aca="false">IF(OR(NOT(AND(ISNUMBER(E118),ISNUMBER(F118))),$J$2=""),"",MIN(100,ROUND(SUM($G118:P118),1)))</f>
        <v/>
      </c>
      <c r="BT118" s="1" t="str">
        <f aca="false">IF(OR(NOT(AND(ISNUMBER(E118),ISNUMBER(F118))),$J$2=""),"",IF(Reprogramaciones!K$13&lt;Reprogramaciones!$T$15,0,IF(Reprogramaciones!K$14&gt;10,MIN(100,SUM($G118:$P118)),MIN(100,SUMPRODUCT((COLUMN($G118:$P118)-COLUMN($G118)+1&lt;Reprogramaciones!K$14)*$G118:$P118)+N(INDEX($G118:$P118,1,Reprogramaciones!K$14))*IF(Reprogramaciones!K$13&gt;=(Reprogramaciones!$T$15+7*(Reprogramaciones!K$14-1))+6,1,IF(MAX(0,NETWORKDAYS.INTL(MAX(E118,(Reprogramaciones!$T$15+7*(Reprogramaciones!K$14-1))),MIN(F118,(Reprogramaciones!$T$15+7*(Reprogramaciones!K$14-1))+6),11))=0,0,MAX(0,NETWORKDAYS.INTL(MAX(E118,(Reprogramaciones!$T$15+7*(Reprogramaciones!K$14-1))),MIN(F118,Reprogramaciones!K$13),11))/MAX(0,NETWORKDAYS.INTL(MAX(E118,(Reprogramaciones!$T$15+7*(Reprogramaciones!K$14-1))),MIN(F118,(Reprogramaciones!$T$15+7*(Reprogramaciones!K$14-1))+6),11))))))))</f>
        <v/>
      </c>
      <c r="BU118" s="1" t="str">
        <f aca="false">IF(OR(NOT(AND(ISNUMBER(E118),ISNUMBER(F118))),$J$2=""),"",IF(Reprogramaciones!L$13&lt;Reprogramaciones!$T$15,0,IF(Reprogramaciones!L$14&gt;10,MIN(100,SUM($G118:$P118)),MIN(100,SUMPRODUCT((COLUMN($G118:$P118)-COLUMN($G118)+1&lt;Reprogramaciones!L$14)*$G118:$P118)+N(INDEX($G118:$P118,1,Reprogramaciones!L$14))*IF(Reprogramaciones!L$13&gt;=(Reprogramaciones!$T$15+7*(Reprogramaciones!L$14-1))+6,1,IF(MAX(0,NETWORKDAYS.INTL(MAX(E118,(Reprogramaciones!$T$15+7*(Reprogramaciones!L$14-1))),MIN(F118,(Reprogramaciones!$T$15+7*(Reprogramaciones!L$14-1))+6),11))=0,0,MAX(0,NETWORKDAYS.INTL(MAX(E118,(Reprogramaciones!$T$15+7*(Reprogramaciones!L$14-1))),MIN(F118,Reprogramaciones!L$13),11))/MAX(0,NETWORKDAYS.INTL(MAX(E118,(Reprogramaciones!$T$15+7*(Reprogramaciones!L$14-1))),MIN(F118,(Reprogramaciones!$T$15+7*(Reprogramaciones!L$14-1))+6),11))))))))</f>
        <v/>
      </c>
      <c r="BV118" s="1" t="str">
        <f aca="false">IF(OR(NOT(AND(ISNUMBER(E118),ISNUMBER(F118))),$J$2=""),"",IF(Reprogramaciones!M$13&lt;Reprogramaciones!$T$15,0,IF(Reprogramaciones!M$14&gt;10,MIN(100,SUM($G118:$P118)),MIN(100,SUMPRODUCT((COLUMN($G118:$P118)-COLUMN($G118)+1&lt;Reprogramaciones!M$14)*$G118:$P118)+N(INDEX($G118:$P118,1,Reprogramaciones!M$14))*IF(Reprogramaciones!M$13&gt;=(Reprogramaciones!$T$15+7*(Reprogramaciones!M$14-1))+6,1,IF(MAX(0,NETWORKDAYS.INTL(MAX(E118,(Reprogramaciones!$T$15+7*(Reprogramaciones!M$14-1))),MIN(F118,(Reprogramaciones!$T$15+7*(Reprogramaciones!M$14-1))+6),11))=0,0,MAX(0,NETWORKDAYS.INTL(MAX(E118,(Reprogramaciones!$T$15+7*(Reprogramaciones!M$14-1))),MIN(F118,Reprogramaciones!M$13),11))/MAX(0,NETWORKDAYS.INTL(MAX(E118,(Reprogramaciones!$T$15+7*(Reprogramaciones!M$14-1))),MIN(F118,(Reprogramaciones!$T$15+7*(Reprogramaciones!M$14-1))+6),11))))))))</f>
        <v/>
      </c>
      <c r="BW118" s="1" t="str">
        <f aca="false">IF(OR(NOT(AND(ISNUMBER(E118),ISNUMBER(F118))),$J$2=""),"",IF(Reprogramaciones!N$13&lt;Reprogramaciones!$T$15,0,IF(Reprogramaciones!N$14&gt;10,MIN(100,SUM($G118:$P118)),MIN(100,SUMPRODUCT((COLUMN($G118:$P118)-COLUMN($G118)+1&lt;Reprogramaciones!N$14)*$G118:$P118)+N(INDEX($G118:$P118,1,Reprogramaciones!N$14))*IF(Reprogramaciones!N$13&gt;=(Reprogramaciones!$T$15+7*(Reprogramaciones!N$14-1))+6,1,IF(MAX(0,NETWORKDAYS.INTL(MAX(E118,(Reprogramaciones!$T$15+7*(Reprogramaciones!N$14-1))),MIN(F118,(Reprogramaciones!$T$15+7*(Reprogramaciones!N$14-1))+6),11))=0,0,MAX(0,NETWORKDAYS.INTL(MAX(E118,(Reprogramaciones!$T$15+7*(Reprogramaciones!N$14-1))),MIN(F118,Reprogramaciones!N$13),11))/MAX(0,NETWORKDAYS.INTL(MAX(E118,(Reprogramaciones!$T$15+7*(Reprogramaciones!N$14-1))),MIN(F118,(Reprogramaciones!$T$15+7*(Reprogramaciones!N$14-1))+6),11))))))))</f>
        <v/>
      </c>
      <c r="BX118" s="1" t="str">
        <f aca="false">IF(OR(NOT(AND(ISNUMBER(E118),ISNUMBER(F118))),$J$2=""),"",IF(Reprogramaciones!O$13&lt;Reprogramaciones!$T$15,0,IF(Reprogramaciones!O$14&gt;10,MIN(100,SUM($G118:$P118)),MIN(100,SUMPRODUCT((COLUMN($G118:$P118)-COLUMN($G118)+1&lt;Reprogramaciones!O$14)*$G118:$P118)+N(INDEX($G118:$P118,1,Reprogramaciones!O$14))*IF(Reprogramaciones!O$13&gt;=(Reprogramaciones!$T$15+7*(Reprogramaciones!O$14-1))+6,1,IF(MAX(0,NETWORKDAYS.INTL(MAX(E118,(Reprogramaciones!$T$15+7*(Reprogramaciones!O$14-1))),MIN(F118,(Reprogramaciones!$T$15+7*(Reprogramaciones!O$14-1))+6),11))=0,0,MAX(0,NETWORKDAYS.INTL(MAX(E118,(Reprogramaciones!$T$15+7*(Reprogramaciones!O$14-1))),MIN(F118,Reprogramaciones!O$13),11))/MAX(0,NETWORKDAYS.INTL(MAX(E118,(Reprogramaciones!$T$15+7*(Reprogramaciones!O$14-1))),MIN(F118,(Reprogramaciones!$T$15+7*(Reprogramaciones!O$14-1))+6),11))))))))</f>
        <v/>
      </c>
      <c r="BY118" s="1" t="str">
        <f aca="false">IF(OR(NOT(AND(ISNUMBER(E118),ISNUMBER(F118))),$J$2=""),"",IF(Reprogramaciones!P$13&lt;Reprogramaciones!$T$15,0,IF(Reprogramaciones!P$14&gt;10,MIN(100,SUM($G118:$P118)),MIN(100,SUMPRODUCT((COLUMN($G118:$P118)-COLUMN($G118)+1&lt;Reprogramaciones!P$14)*$G118:$P118)+N(INDEX($G118:$P118,1,Reprogramaciones!P$14))*IF(Reprogramaciones!P$13&gt;=(Reprogramaciones!$T$15+7*(Reprogramaciones!P$14-1))+6,1,IF(MAX(0,NETWORKDAYS.INTL(MAX(E118,(Reprogramaciones!$T$15+7*(Reprogramaciones!P$14-1))),MIN(F118,(Reprogramaciones!$T$15+7*(Reprogramaciones!P$14-1))+6),11))=0,0,MAX(0,NETWORKDAYS.INTL(MAX(E118,(Reprogramaciones!$T$15+7*(Reprogramaciones!P$14-1))),MIN(F118,Reprogramaciones!P$13),11))/MAX(0,NETWORKDAYS.INTL(MAX(E118,(Reprogramaciones!$T$15+7*(Reprogramaciones!P$14-1))),MIN(F118,(Reprogramaciones!$T$15+7*(Reprogramaciones!P$14-1))+6),11))))))))</f>
        <v/>
      </c>
      <c r="BZ118" s="1" t="str">
        <f aca="false">IF(OR(NOT(AND(ISNUMBER(E118),ISNUMBER(F118))),$J$2=""),"",IF(Reprogramaciones!Q$13&lt;Reprogramaciones!$T$15,0,IF(Reprogramaciones!Q$14&gt;10,MIN(100,SUM($G118:$P118)),MIN(100,SUMPRODUCT((COLUMN($G118:$P118)-COLUMN($G118)+1&lt;Reprogramaciones!Q$14)*$G118:$P118)+N(INDEX($G118:$P118,1,Reprogramaciones!Q$14))*IF(Reprogramaciones!Q$13&gt;=(Reprogramaciones!$T$15+7*(Reprogramaciones!Q$14-1))+6,1,IF(MAX(0,NETWORKDAYS.INTL(MAX(E118,(Reprogramaciones!$T$15+7*(Reprogramaciones!Q$14-1))),MIN(F118,(Reprogramaciones!$T$15+7*(Reprogramaciones!Q$14-1))+6),11))=0,0,MAX(0,NETWORKDAYS.INTL(MAX(E118,(Reprogramaciones!$T$15+7*(Reprogramaciones!Q$14-1))),MIN(F118,Reprogramaciones!Q$13),11))/MAX(0,NETWORKDAYS.INTL(MAX(E118,(Reprogramaciones!$T$15+7*(Reprogramaciones!Q$14-1))),MIN(F118,(Reprogramaciones!$T$15+7*(Reprogramaciones!Q$14-1))+6),11))))))))</f>
        <v/>
      </c>
      <c r="CA118" s="1" t="str">
        <f aca="false">IF(OR(NOT(AND(ISNUMBER(E118),ISNUMBER(F118))),$J$2=""),"",IF(Reprogramaciones!R$13&lt;Reprogramaciones!$T$15,0,IF(Reprogramaciones!R$14&gt;10,MIN(100,SUM($G118:$P118)),MIN(100,SUMPRODUCT((COLUMN($G118:$P118)-COLUMN($G118)+1&lt;Reprogramaciones!R$14)*$G118:$P118)+N(INDEX($G118:$P118,1,Reprogramaciones!R$14))*IF(Reprogramaciones!R$13&gt;=(Reprogramaciones!$T$15+7*(Reprogramaciones!R$14-1))+6,1,IF(MAX(0,NETWORKDAYS.INTL(MAX(E118,(Reprogramaciones!$T$15+7*(Reprogramaciones!R$14-1))),MIN(F118,(Reprogramaciones!$T$15+7*(Reprogramaciones!R$14-1))+6),11))=0,0,MAX(0,NETWORKDAYS.INTL(MAX(E118,(Reprogramaciones!$T$15+7*(Reprogramaciones!R$14-1))),MIN(F118,Reprogramaciones!R$13),11))/MAX(0,NETWORKDAYS.INTL(MAX(E118,(Reprogramaciones!$T$15+7*(Reprogramaciones!R$14-1))),MIN(F118,(Reprogramaciones!$T$15+7*(Reprogramaciones!R$14-1))+6),11))))))))</f>
        <v/>
      </c>
      <c r="CB118" s="1" t="str">
        <f aca="false">IF(OR(NOT(AND(ISNUMBER(E118),ISNUMBER(F118))),$J$2=""),"",IF(Reprogramaciones!S$13&lt;Reprogramaciones!$T$15,0,IF(Reprogramaciones!S$14&gt;10,MIN(100,SUM($G118:$P118)),MIN(100,SUMPRODUCT((COLUMN($G118:$P118)-COLUMN($G118)+1&lt;Reprogramaciones!S$14)*$G118:$P118)+N(INDEX($G118:$P118,1,Reprogramaciones!S$14))*IF(Reprogramaciones!S$13&gt;=(Reprogramaciones!$T$15+7*(Reprogramaciones!S$14-1))+6,1,IF(MAX(0,NETWORKDAYS.INTL(MAX(E118,(Reprogramaciones!$T$15+7*(Reprogramaciones!S$14-1))),MIN(F118,(Reprogramaciones!$T$15+7*(Reprogramaciones!S$14-1))+6),11))=0,0,MAX(0,NETWORKDAYS.INTL(MAX(E118,(Reprogramaciones!$T$15+7*(Reprogramaciones!S$14-1))),MIN(F118,Reprogramaciones!S$13),11))/MAX(0,NETWORKDAYS.INTL(MAX(E118,(Reprogramaciones!$T$15+7*(Reprogramaciones!S$14-1))),MIN(F118,(Reprogramaciones!$T$15+7*(Reprogramaciones!S$14-1))+6),11))))))))</f>
        <v/>
      </c>
      <c r="CC118" s="1" t="str">
        <f aca="false">IF(OR(NOT(AND(ISNUMBER(E118),ISNUMBER(F118))),$J$2=""),"",IF(Reprogramaciones!T$13&lt;Reprogramaciones!$T$15,0,IF(Reprogramaciones!T$14&gt;10,MIN(100,SUM($G118:$P118)),MIN(100,SUMPRODUCT((COLUMN($G118:$P118)-COLUMN($G118)+1&lt;Reprogramaciones!T$14)*$G118:$P118)+N(INDEX($G118:$P118,1,Reprogramaciones!T$14))*IF(Reprogramaciones!T$13&gt;=(Reprogramaciones!$T$15+7*(Reprogramaciones!T$14-1))+6,1,IF(MAX(0,NETWORKDAYS.INTL(MAX(E118,(Reprogramaciones!$T$15+7*(Reprogramaciones!T$14-1))),MIN(F118,(Reprogramaciones!$T$15+7*(Reprogramaciones!T$14-1))+6),11))=0,0,MAX(0,NETWORKDAYS.INTL(MAX(E118,(Reprogramaciones!$T$15+7*(Reprogramaciones!T$14-1))),MIN(F118,Reprogramaciones!T$13),11))/MAX(0,NETWORKDAYS.INTL(MAX(E118,(Reprogramaciones!$T$15+7*(Reprogramaciones!T$14-1))),MIN(F118,(Reprogramaciones!$T$15+7*(Reprogramaciones!T$14-1))+6),11))))))))</f>
        <v/>
      </c>
      <c r="CD118" s="1" t="str">
        <f aca="false">IF(OR(NOT(AND(ISNUMBER(E118),ISNUMBER(F118))),$J$2=""),"",IF(Reprogramaciones!U$13&lt;Reprogramaciones!$T$15,0,IF(Reprogramaciones!U$14&gt;10,MIN(100,SUM($G118:$P118)),MIN(100,SUMPRODUCT((COLUMN($G118:$P118)-COLUMN($G118)+1&lt;Reprogramaciones!U$14)*$G118:$P118)+N(INDEX($G118:$P118,1,Reprogramaciones!U$14))*IF(Reprogramaciones!U$13&gt;=(Reprogramaciones!$T$15+7*(Reprogramaciones!U$14-1))+6,1,IF(MAX(0,NETWORKDAYS.INTL(MAX(E118,(Reprogramaciones!$T$15+7*(Reprogramaciones!U$14-1))),MIN(F118,(Reprogramaciones!$T$15+7*(Reprogramaciones!U$14-1))+6),11))=0,0,MAX(0,NETWORKDAYS.INTL(MAX(E118,(Reprogramaciones!$T$15+7*(Reprogramaciones!U$14-1))),MIN(F118,Reprogramaciones!U$13),11))/MAX(0,NETWORKDAYS.INTL(MAX(E118,(Reprogramaciones!$T$15+7*(Reprogramaciones!U$14-1))),MIN(F118,(Reprogramaciones!$T$15+7*(Reprogramaciones!U$14-1))+6),11))))))))</f>
        <v/>
      </c>
      <c r="CE118" s="1" t="str">
        <f aca="false">IF(OR(NOT(AND(ISNUMBER(E118),ISNUMBER(F118))),$J$2=""),"",IF(Reprogramaciones!V$13&lt;Reprogramaciones!$T$15,0,IF(Reprogramaciones!V$14&gt;10,MIN(100,SUM($G118:$P118)),MIN(100,SUMPRODUCT((COLUMN($G118:$P118)-COLUMN($G118)+1&lt;Reprogramaciones!V$14)*$G118:$P118)+N(INDEX($G118:$P118,1,Reprogramaciones!V$14))*IF(Reprogramaciones!V$13&gt;=(Reprogramaciones!$T$15+7*(Reprogramaciones!V$14-1))+6,1,IF(MAX(0,NETWORKDAYS.INTL(MAX(E118,(Reprogramaciones!$T$15+7*(Reprogramaciones!V$14-1))),MIN(F118,(Reprogramaciones!$T$15+7*(Reprogramaciones!V$14-1))+6),11))=0,0,MAX(0,NETWORKDAYS.INTL(MAX(E118,(Reprogramaciones!$T$15+7*(Reprogramaciones!V$14-1))),MIN(F118,Reprogramaciones!V$13),11))/MAX(0,NETWORKDAYS.INTL(MAX(E118,(Reprogramaciones!$T$15+7*(Reprogramaciones!V$14-1))),MIN(F118,(Reprogramaciones!$T$15+7*(Reprogramaciones!V$14-1))+6),11))))))))</f>
        <v/>
      </c>
      <c r="CF118" s="1" t="str">
        <f aca="false">IF(OR(NOT(AND(ISNUMBER(E118),ISNUMBER(F118))),$J$2=""),"",IF(Reprogramaciones!W$13&lt;Reprogramaciones!$T$15,0,IF(Reprogramaciones!W$14&gt;10,MIN(100,SUM($G118:$P118)),MIN(100,SUMPRODUCT((COLUMN($G118:$P118)-COLUMN($G118)+1&lt;Reprogramaciones!W$14)*$G118:$P118)+N(INDEX($G118:$P118,1,Reprogramaciones!W$14))*IF(Reprogramaciones!W$13&gt;=(Reprogramaciones!$T$15+7*(Reprogramaciones!W$14-1))+6,1,IF(MAX(0,NETWORKDAYS.INTL(MAX(E118,(Reprogramaciones!$T$15+7*(Reprogramaciones!W$14-1))),MIN(F118,(Reprogramaciones!$T$15+7*(Reprogramaciones!W$14-1))+6),11))=0,0,MAX(0,NETWORKDAYS.INTL(MAX(E118,(Reprogramaciones!$T$15+7*(Reprogramaciones!W$14-1))),MIN(F118,Reprogramaciones!W$13),11))/MAX(0,NETWORKDAYS.INTL(MAX(E118,(Reprogramaciones!$T$15+7*(Reprogramaciones!W$14-1))),MIN(F118,(Reprogramaciones!$T$15+7*(Reprogramaciones!W$14-1))+6),11))))))))</f>
        <v/>
      </c>
      <c r="CG118" s="1" t="str">
        <f aca="false">IF(OR(NOT(AND(ISNUMBER(E118),ISNUMBER(F118))),$J$2=""),"",IF(Reprogramaciones!X$13&lt;Reprogramaciones!$T$15,0,IF(Reprogramaciones!X$14&gt;10,MIN(100,SUM($G118:$P118)),MIN(100,SUMPRODUCT((COLUMN($G118:$P118)-COLUMN($G118)+1&lt;Reprogramaciones!X$14)*$G118:$P118)+N(INDEX($G118:$P118,1,Reprogramaciones!X$14))*IF(Reprogramaciones!X$13&gt;=(Reprogramaciones!$T$15+7*(Reprogramaciones!X$14-1))+6,1,IF(MAX(0,NETWORKDAYS.INTL(MAX(E118,(Reprogramaciones!$T$15+7*(Reprogramaciones!X$14-1))),MIN(F118,(Reprogramaciones!$T$15+7*(Reprogramaciones!X$14-1))+6),11))=0,0,MAX(0,NETWORKDAYS.INTL(MAX(E118,(Reprogramaciones!$T$15+7*(Reprogramaciones!X$14-1))),MIN(F118,Reprogramaciones!X$13),11))/MAX(0,NETWORKDAYS.INTL(MAX(E118,(Reprogramaciones!$T$15+7*(Reprogramaciones!X$14-1))),MIN(F118,(Reprogramaciones!$T$15+7*(Reprogramaciones!X$14-1))+6),11))))))))</f>
        <v/>
      </c>
      <c r="CH118" s="1" t="str">
        <f aca="false">IF(OR(NOT(AND(ISNUMBER(E118),ISNUMBER(F118))),$J$2=""),"",IF(Reprogramaciones!Y$13&lt;Reprogramaciones!$T$15,0,IF(Reprogramaciones!Y$14&gt;10,MIN(100,SUM($G118:$P118)),MIN(100,SUMPRODUCT((COLUMN($G118:$P118)-COLUMN($G118)+1&lt;Reprogramaciones!Y$14)*$G118:$P118)+N(INDEX($G118:$P118,1,Reprogramaciones!Y$14))*IF(Reprogramaciones!Y$13&gt;=(Reprogramaciones!$T$15+7*(Reprogramaciones!Y$14-1))+6,1,IF(MAX(0,NETWORKDAYS.INTL(MAX(E118,(Reprogramaciones!$T$15+7*(Reprogramaciones!Y$14-1))),MIN(F118,(Reprogramaciones!$T$15+7*(Reprogramaciones!Y$14-1))+6),11))=0,0,MAX(0,NETWORKDAYS.INTL(MAX(E118,(Reprogramaciones!$T$15+7*(Reprogramaciones!Y$14-1))),MIN(F118,Reprogramaciones!Y$13),11))/MAX(0,NETWORKDAYS.INTL(MAX(E118,(Reprogramaciones!$T$15+7*(Reprogramaciones!Y$14-1))),MIN(F118,(Reprogramaciones!$T$15+7*(Reprogramaciones!Y$14-1))+6),11))))))))</f>
        <v/>
      </c>
      <c r="CI118" s="1" t="str">
        <f aca="false">IF(OR(NOT(AND(ISNUMBER(E118),ISNUMBER(F118))),$J$2=""),"",IF(Reprogramaciones!Z$13&lt;Reprogramaciones!$T$15,0,IF(Reprogramaciones!Z$14&gt;10,MIN(100,SUM($G118:$P118)),MIN(100,SUMPRODUCT((COLUMN($G118:$P118)-COLUMN($G118)+1&lt;Reprogramaciones!Z$14)*$G118:$P118)+N(INDEX($G118:$P118,1,Reprogramaciones!Z$14))*IF(Reprogramaciones!Z$13&gt;=(Reprogramaciones!$T$15+7*(Reprogramaciones!Z$14-1))+6,1,IF(MAX(0,NETWORKDAYS.INTL(MAX(E118,(Reprogramaciones!$T$15+7*(Reprogramaciones!Z$14-1))),MIN(F118,(Reprogramaciones!$T$15+7*(Reprogramaciones!Z$14-1))+6),11))=0,0,MAX(0,NETWORKDAYS.INTL(MAX(E118,(Reprogramaciones!$T$15+7*(Reprogramaciones!Z$14-1))),MIN(F118,Reprogramaciones!Z$13),11))/MAX(0,NETWORKDAYS.INTL(MAX(E118,(Reprogramaciones!$T$15+7*(Reprogramaciones!Z$14-1))),MIN(F118,(Reprogramaciones!$T$15+7*(Reprogramaciones!Z$14-1))+6),11))))))))</f>
        <v/>
      </c>
      <c r="CJ118" s="1" t="str">
        <f aca="false">IF(OR(OR(NOT(AND(ISNUMBER(E118),ISNUMBER(F118))),$J$2=""),1&gt;Reprogramaciones!$K$16),"",IF(ROUND(SUM($Q118:Q118),1)&gt;=99.5,100,MIN(100,ROUND(SUM($Q118:Q118),1))))</f>
        <v/>
      </c>
      <c r="CK118" s="1" t="str">
        <f aca="false">IF(OR(OR(NOT(AND(ISNUMBER(E118),ISNUMBER(F118))),$J$2=""),2&gt;Reprogramaciones!$K$16),"",IF(ROUND(SUM($Q118:R118),1)&gt;=99.5,100,MIN(100,ROUND(SUM($Q118:R118),1))))</f>
        <v/>
      </c>
      <c r="CL118" s="1" t="str">
        <f aca="false">IF(OR(OR(NOT(AND(ISNUMBER(E118),ISNUMBER(F118))),$J$2=""),3&gt;Reprogramaciones!$K$16),"",IF(ROUND(SUM($Q118:S118),1)&gt;=99.5,100,MIN(100,ROUND(SUM($Q118:S118),1))))</f>
        <v/>
      </c>
      <c r="CM118" s="1" t="str">
        <f aca="false">IF(OR(OR(NOT(AND(ISNUMBER(E118),ISNUMBER(F118))),$J$2=""),4&gt;Reprogramaciones!$K$16),"",IF(ROUND(SUM($Q118:T118),1)&gt;=99.5,100,MIN(100,ROUND(SUM($Q118:T118),1))))</f>
        <v/>
      </c>
      <c r="CN118" s="1" t="str">
        <f aca="false">IF(OR(OR(NOT(AND(ISNUMBER(E118),ISNUMBER(F118))),$J$2=""),5&gt;Reprogramaciones!$K$16),"",IF(ROUND(SUM($Q118:U118),1)&gt;=99.5,100,MIN(100,ROUND(SUM($Q118:U118),1))))</f>
        <v/>
      </c>
      <c r="CO118" s="1" t="str">
        <f aca="false">IF(OR(OR(NOT(AND(ISNUMBER(E118),ISNUMBER(F118))),$J$2=""),6&gt;Reprogramaciones!$K$16),"",IF(ROUND(SUM($Q118:V118),1)&gt;=99.5,100,MIN(100,ROUND(SUM($Q118:V118),1))))</f>
        <v/>
      </c>
      <c r="CP118" s="1" t="str">
        <f aca="false">IF(OR(OR(NOT(AND(ISNUMBER(E118),ISNUMBER(F118))),$J$2=""),7&gt;Reprogramaciones!$K$16),"",IF(ROUND(SUM($Q118:W118),1)&gt;=99.5,100,MIN(100,ROUND(SUM($Q118:W118),1))))</f>
        <v/>
      </c>
      <c r="CQ118" s="1" t="str">
        <f aca="false">IF(OR(OR(NOT(AND(ISNUMBER(E118),ISNUMBER(F118))),$J$2=""),8&gt;Reprogramaciones!$K$16),"",IF(ROUND(SUM($Q118:X118),1)&gt;=99.5,100,MIN(100,ROUND(SUM($Q118:X118),1))))</f>
        <v/>
      </c>
      <c r="CR118" s="1" t="str">
        <f aca="false">IF(OR(OR(NOT(AND(ISNUMBER(E118),ISNUMBER(F118))),$J$2=""),9&gt;Reprogramaciones!$K$16),"",IF(ROUND(SUM($Q118:Y118),1)&gt;=99.5,100,MIN(100,ROUND(SUM($Q118:Y118),1))))</f>
        <v/>
      </c>
      <c r="CS118" s="1" t="str">
        <f aca="false">IF(OR(OR(NOT(AND(ISNUMBER(E118),ISNUMBER(F118))),$J$2=""),10&gt;Reprogramaciones!$K$16),"",IF(ROUND(SUM($Q118:Z118),1)&gt;=99.5,100,MIN(100,ROUND(SUM($Q118:Z118),1))))</f>
        <v/>
      </c>
      <c r="CT118" s="1" t="str">
        <f aca="false">IF(OR(OR(NOT(AND(ISNUMBER(E118),ISNUMBER(F118))),$J$2=""),11&gt;Reprogramaciones!$K$16),"",IF(ROUND(SUM($Q118:AA118),1)&gt;=99.5,100,MIN(100,ROUND(SUM($Q118:AA118),1))))</f>
        <v/>
      </c>
      <c r="CU118" s="1" t="str">
        <f aca="false">IF(OR(OR(NOT(AND(ISNUMBER(E118),ISNUMBER(F118))),$J$2=""),12&gt;Reprogramaciones!$K$16),"",IF(ROUND(SUM($Q118:AB118),1)&gt;=99.5,100,MIN(100,ROUND(SUM($Q118:AB118),1))))</f>
        <v/>
      </c>
      <c r="CV118" s="1" t="str">
        <f aca="false">IF(OR(OR(NOT(AND(ISNUMBER(E118),ISNUMBER(F118))),$J$2=""),13&gt;Reprogramaciones!$K$16),"",IF(ROUND(SUM($Q118:AC118),1)&gt;=99.5,100,MIN(100,ROUND(SUM($Q118:AC118),1))))</f>
        <v/>
      </c>
      <c r="CW118" s="1" t="str">
        <f aca="false">IF(OR(OR(NOT(AND(ISNUMBER(E118),ISNUMBER(F118))),$J$2=""),14&gt;Reprogramaciones!$K$16),"",IF(ROUND(SUM($Q118:AD118),1)&gt;=99.5,100,MIN(100,ROUND(SUM($Q118:AD118),1))))</f>
        <v/>
      </c>
      <c r="CX118" s="1" t="str">
        <f aca="false">IF(OR(OR(NOT(AND(ISNUMBER(E118),ISNUMBER(F118))),$J$2=""),15&gt;Reprogramaciones!$K$16),"",IF(ROUND(SUM($Q118:AE118),1)&gt;=99.5,100,MIN(100,ROUND(SUM($Q118:AE118),1))))</f>
        <v/>
      </c>
      <c r="CY118" s="1" t="str">
        <f aca="false">IF(OR(OR(NOT(AND(ISNUMBER(E118),ISNUMBER(F118))),$J$2=""),16&gt;Reprogramaciones!$K$16),"",IF(ROUND(SUM($Q118:AF118),1)&gt;=99.5,100,MIN(100,ROUND(SUM($Q118:AF118),1))))</f>
        <v/>
      </c>
      <c r="CZ118" s="1" t="str">
        <f aca="false">IF(D118&lt;&gt;"",D118,IF(B118&lt;&gt;"","Contractual",CZ117))</f>
        <v>Contractual</v>
      </c>
      <c r="DA118" s="1" t="str">
        <f aca="false">IF(OR(NOT(AND(ISNUMBER(E118),ISNUMBER(F118))),$J$2=""),"",IF(Reprogramaciones!$Q$15&lt;Reprogramaciones!$T$15,0,IF(Reprogramaciones!$S$15&gt;10,MIN(100,SUM($G118:$P118)),MIN(100,SUMPRODUCT((COLUMN($G118:$P118)-COLUMN($G118)+1&lt;Reprogramaciones!$S$15)*$G118:$P118)+N(INDEX($G118:$P118,1,Reprogramaciones!$S$15))*IF(Reprogramaciones!$Q$15&gt;=(Reprogramaciones!$T$15+7*(Reprogramaciones!$S$15-1))+6,1,IF(MAX(0,NETWORKDAYS.INTL(MAX(E118,(Reprogramaciones!$T$15+7*(Reprogramaciones!$S$15-1))),MIN(F118,(Reprogramaciones!$T$15+7*(Reprogramaciones!$S$15-1))+6),11))=0,0,MAX(0,NETWORKDAYS.INTL(MAX(E118,(Reprogramaciones!$T$15+7*(Reprogramaciones!$S$15-1))),MIN(F118,Reprogramaciones!$Q$15),11))/MAX(0,NETWORKDAYS.INTL(MAX(E118,(Reprogramaciones!$T$15+7*(Reprogramaciones!$S$15-1))),MIN(F118,(Reprogramaciones!$T$15+7*(Reprogramaciones!$S$15-1))+6),11))))))))</f>
        <v/>
      </c>
    </row>
    <row r="119" customFormat="false" ht="15" hidden="false" customHeight="false" outlineLevel="0" collapsed="false">
      <c r="A119" s="32"/>
      <c r="B119" s="33"/>
      <c r="C119" s="33"/>
      <c r="D119" s="34"/>
      <c r="E119" s="35"/>
      <c r="F119" s="35"/>
      <c r="G119" s="36" t="str">
        <f aca="false">IF(OR(NOT(AND(ISNUMBER(E119),ISNUMBER(F119))),$J$2=""),"",IF(Reprogramaciones!K$9&lt;E119,0,IF(NETWORKDAYS.INTL(E119,F119,11)=0,IF(Reprogramaciones!K$9&gt;=F119,100,0),ROUND(NETWORKDAYS.INTL(E119,MIN(F119,Reprogramaciones!K$9),11)/NETWORKDAYS.INTL(E119,F119,11)*100,1)))-0)</f>
        <v/>
      </c>
      <c r="H119" s="36" t="str">
        <f aca="false">IF(OR(NOT(AND(ISNUMBER(E119),ISNUMBER(F119))),$J$2=""),"",IF(Reprogramaciones!L$9&lt;E119,0,IF(NETWORKDAYS.INTL(E119,F119,11)=0,IF(Reprogramaciones!L$9&gt;=F119,100,0),ROUND(NETWORKDAYS.INTL(E119,MIN(F119,Reprogramaciones!L$9),11)/NETWORKDAYS.INTL(E119,F119,11)*100,1)))-IF(Reprogramaciones!K$9&lt;E119,0,IF(NETWORKDAYS.INTL(E119,F119,11)=0,IF(Reprogramaciones!K$9&gt;=F119,100,0),ROUND(NETWORKDAYS.INTL(E119,MIN(F119,Reprogramaciones!K$9),11)/NETWORKDAYS.INTL(E119,F119,11)*100,1))))</f>
        <v/>
      </c>
      <c r="I119" s="36" t="str">
        <f aca="false">IF(OR(NOT(AND(ISNUMBER(E119),ISNUMBER(F119))),$J$2=""),"",IF(Reprogramaciones!M$9&lt;E119,0,IF(NETWORKDAYS.INTL(E119,F119,11)=0,IF(Reprogramaciones!M$9&gt;=F119,100,0),ROUND(NETWORKDAYS.INTL(E119,MIN(F119,Reprogramaciones!M$9),11)/NETWORKDAYS.INTL(E119,F119,11)*100,1)))-IF(Reprogramaciones!L$9&lt;E119,0,IF(NETWORKDAYS.INTL(E119,F119,11)=0,IF(Reprogramaciones!L$9&gt;=F119,100,0),ROUND(NETWORKDAYS.INTL(E119,MIN(F119,Reprogramaciones!L$9),11)/NETWORKDAYS.INTL(E119,F119,11)*100,1))))</f>
        <v/>
      </c>
      <c r="J119" s="36" t="str">
        <f aca="false">IF(OR(NOT(AND(ISNUMBER(E119),ISNUMBER(F119))),$J$2=""),"",IF(Reprogramaciones!N$9&lt;E119,0,IF(NETWORKDAYS.INTL(E119,F119,11)=0,IF(Reprogramaciones!N$9&gt;=F119,100,0),ROUND(NETWORKDAYS.INTL(E119,MIN(F119,Reprogramaciones!N$9),11)/NETWORKDAYS.INTL(E119,F119,11)*100,1)))-IF(Reprogramaciones!M$9&lt;E119,0,IF(NETWORKDAYS.INTL(E119,F119,11)=0,IF(Reprogramaciones!M$9&gt;=F119,100,0),ROUND(NETWORKDAYS.INTL(E119,MIN(F119,Reprogramaciones!M$9),11)/NETWORKDAYS.INTL(E119,F119,11)*100,1))))</f>
        <v/>
      </c>
      <c r="K119" s="36" t="str">
        <f aca="false">IF(OR(NOT(AND(ISNUMBER(E119),ISNUMBER(F119))),$J$2=""),"",IF(Reprogramaciones!O$9&lt;E119,0,IF(NETWORKDAYS.INTL(E119,F119,11)=0,IF(Reprogramaciones!O$9&gt;=F119,100,0),ROUND(NETWORKDAYS.INTL(E119,MIN(F119,Reprogramaciones!O$9),11)/NETWORKDAYS.INTL(E119,F119,11)*100,1)))-IF(Reprogramaciones!N$9&lt;E119,0,IF(NETWORKDAYS.INTL(E119,F119,11)=0,IF(Reprogramaciones!N$9&gt;=F119,100,0),ROUND(NETWORKDAYS.INTL(E119,MIN(F119,Reprogramaciones!N$9),11)/NETWORKDAYS.INTL(E119,F119,11)*100,1))))</f>
        <v/>
      </c>
      <c r="L119" s="36" t="str">
        <f aca="false">IF(OR(NOT(AND(ISNUMBER(E119),ISNUMBER(F119))),$J$2=""),"",IF(Reprogramaciones!P$9&lt;E119,0,IF(NETWORKDAYS.INTL(E119,F119,11)=0,IF(Reprogramaciones!P$9&gt;=F119,100,0),ROUND(NETWORKDAYS.INTL(E119,MIN(F119,Reprogramaciones!P$9),11)/NETWORKDAYS.INTL(E119,F119,11)*100,1)))-IF(Reprogramaciones!O$9&lt;E119,0,IF(NETWORKDAYS.INTL(E119,F119,11)=0,IF(Reprogramaciones!O$9&gt;=F119,100,0),ROUND(NETWORKDAYS.INTL(E119,MIN(F119,Reprogramaciones!O$9),11)/NETWORKDAYS.INTL(E119,F119,11)*100,1))))</f>
        <v/>
      </c>
      <c r="M119" s="36" t="str">
        <f aca="false">IF(OR(NOT(AND(ISNUMBER(E119),ISNUMBER(F119))),$J$2=""),"",IF(Reprogramaciones!Q$9&lt;E119,0,IF(NETWORKDAYS.INTL(E119,F119,11)=0,IF(Reprogramaciones!Q$9&gt;=F119,100,0),ROUND(NETWORKDAYS.INTL(E119,MIN(F119,Reprogramaciones!Q$9),11)/NETWORKDAYS.INTL(E119,F119,11)*100,1)))-IF(Reprogramaciones!P$9&lt;E119,0,IF(NETWORKDAYS.INTL(E119,F119,11)=0,IF(Reprogramaciones!P$9&gt;=F119,100,0),ROUND(NETWORKDAYS.INTL(E119,MIN(F119,Reprogramaciones!P$9),11)/NETWORKDAYS.INTL(E119,F119,11)*100,1))))</f>
        <v/>
      </c>
      <c r="N119" s="36" t="str">
        <f aca="false">IF(OR(NOT(AND(ISNUMBER(E119),ISNUMBER(F119))),$J$2=""),"",IF(Reprogramaciones!R$9&lt;E119,0,IF(NETWORKDAYS.INTL(E119,F119,11)=0,IF(Reprogramaciones!R$9&gt;=F119,100,0),ROUND(NETWORKDAYS.INTL(E119,MIN(F119,Reprogramaciones!R$9),11)/NETWORKDAYS.INTL(E119,F119,11)*100,1)))-IF(Reprogramaciones!Q$9&lt;E119,0,IF(NETWORKDAYS.INTL(E119,F119,11)=0,IF(Reprogramaciones!Q$9&gt;=F119,100,0),ROUND(NETWORKDAYS.INTL(E119,MIN(F119,Reprogramaciones!Q$9),11)/NETWORKDAYS.INTL(E119,F119,11)*100,1))))</f>
        <v/>
      </c>
      <c r="O119" s="36" t="str">
        <f aca="false">IF(OR(NOT(AND(ISNUMBER(E119),ISNUMBER(F119))),$J$2=""),"",IF(Reprogramaciones!S$9&lt;E119,0,IF(NETWORKDAYS.INTL(E119,F119,11)=0,IF(Reprogramaciones!S$9&gt;=F119,100,0),ROUND(NETWORKDAYS.INTL(E119,MIN(F119,Reprogramaciones!S$9),11)/NETWORKDAYS.INTL(E119,F119,11)*100,1)))-IF(Reprogramaciones!R$9&lt;E119,0,IF(NETWORKDAYS.INTL(E119,F119,11)=0,IF(Reprogramaciones!R$9&gt;=F119,100,0),ROUND(NETWORKDAYS.INTL(E119,MIN(F119,Reprogramaciones!R$9),11)/NETWORKDAYS.INTL(E119,F119,11)*100,1))))</f>
        <v/>
      </c>
      <c r="P119" s="36" t="str">
        <f aca="false">IF(OR(NOT(AND(ISNUMBER(E119),ISNUMBER(F119))),$J$2=""),"",IF(Reprogramaciones!T$9&lt;E119,0,IF(NETWORKDAYS.INTL(E119,F119,11)=0,IF(Reprogramaciones!T$9&gt;=F119,100,0),ROUND(NETWORKDAYS.INTL(E119,MIN(F119,Reprogramaciones!T$9),11)/NETWORKDAYS.INTL(E119,F119,11)*100,1)))-IF(Reprogramaciones!S$9&lt;E119,0,IF(NETWORKDAYS.INTL(E119,F119,11)=0,IF(Reprogramaciones!S$9&gt;=F119,100,0),ROUND(NETWORKDAYS.INTL(E119,MIN(F119,Reprogramaciones!S$9),11)/NETWORKDAYS.INTL(E119,F119,11)*100,1))))</f>
        <v/>
      </c>
      <c r="Q119" s="37"/>
      <c r="R119" s="37"/>
      <c r="S119" s="37"/>
      <c r="T119" s="37"/>
      <c r="U119" s="37"/>
      <c r="V119" s="37"/>
      <c r="W119" s="37"/>
      <c r="X119" s="37"/>
      <c r="Y119" s="37"/>
      <c r="Z119" s="37"/>
      <c r="AA119" s="37"/>
      <c r="AB119" s="37"/>
      <c r="AC119" s="37"/>
      <c r="AD119" s="37"/>
      <c r="AE119" s="37"/>
      <c r="AF119" s="37"/>
      <c r="AG119" s="38" t="str">
        <f aca="false">IF(AND(ISNUMBER(E119),ISNUMBER(F119)),NETWORKDAYS.INTL(E119,F119,11),"")</f>
        <v/>
      </c>
      <c r="AH119" s="38" t="str">
        <f aca="false">IF(OR(NOT(AND(ISNUMBER(E119),ISNUMBER(F119))),$J$2=""),"",IF(Reprogramaciones!$P$15&lt;Reprogramaciones!$T$15,0,IF(Reprogramaciones!$R$15&gt;10,MIN(100,SUM($G119:$P119)),MIN(100,SUMPRODUCT((COLUMN($G119:$P119)-COLUMN($G119)+1&lt;Reprogramaciones!$R$15)*$G119:$P119)+N(INDEX($G119:$P119,1,Reprogramaciones!$R$15))*IF(Reprogramaciones!$P$15&gt;=(Reprogramaciones!$T$15+7*(Reprogramaciones!$R$15-1))+6,1,IF(MAX(0,NETWORKDAYS.INTL(MAX(E119,(Reprogramaciones!$T$15+7*(Reprogramaciones!$R$15-1))),MIN(F119,(Reprogramaciones!$T$15+7*(Reprogramaciones!$R$15-1))+6),11))=0,0,MAX(0,NETWORKDAYS.INTL(MAX(E119,(Reprogramaciones!$T$15+7*(Reprogramaciones!$R$15-1))),MIN(F119,Reprogramaciones!$P$15),11))/MAX(0,NETWORKDAYS.INTL(MAX(E119,(Reprogramaciones!$T$15+7*(Reprogramaciones!$R$15-1))),MIN(F119,(Reprogramaciones!$T$15+7*(Reprogramaciones!$R$15-1))+6),11))))))))</f>
        <v/>
      </c>
      <c r="AI119" s="38" t="str">
        <f aca="false">IF(COUNT($Q119:$AF119)=0,"",IF(ROUND(SUM($Q119:$AF119),1)&gt;=99.5,100,MIN(100,ROUND(SUM($Q119:$AF119),1))))</f>
        <v/>
      </c>
      <c r="AJ119" s="38" t="str">
        <f aca="false">IF(OR(AH119="",AI119=""),"",AI119-AH119)</f>
        <v/>
      </c>
      <c r="AK119" s="39" t="str">
        <f aca="true">IF(AH119="","",IF(OR(Ficha!$C$10="Suspendida",Ficha!$C$10="Cancelada"),Ficha!$C$10,IF(AND(AI119&lt;&gt;"",N(AI119)&gt;=100),"Completada",IF(AND(E119&gt;TODAY(),N(AI119)=0),"Por iniciar",IF(N(AI119)+0.5&lt;AH119,"Retrasada",IF(N(AI119)+0.5&lt;DA119,IF(Reprogramaciones!$K$15&gt;0,"Al día · Sem "&amp;Reprogramaciones!$K$15&amp;" en curso","Al día · en curso"),"A tiempo"))))))</f>
        <v/>
      </c>
      <c r="AL119" s="39" t="str">
        <f aca="true">IF(AND(A119="",AND(B119="",C119="",E119="",F119="",COUNT(Q119:AF119)=0)),"",IF(AND(B119="",C119="",E119="",F119="",COUNT(Q119:AF119)=0),"Falta la partida o subpartida",IF(AND(A119&lt;&gt;"",COUNTIF($A$6:$A$305,A119)&gt;1),"Ítem repetido",IF(AND(C119="",E119="",F119="",COUNT(Q119:AF119)=0),"Título de partida",IF(OR(E119="",F119=""),"Faltan fechas",IF(OR(ISTEXT(E119),ISTEXT(F119)),"Fecha escrita como texto: usa dd/mm/aaaa",IF(F119&lt;E119,"Fin antes del inicio",IF(IF($J$2="",FALSE(),OR(E119&lt;$J$2,F119&gt;Reprogramaciones!$T$15+69)),"Fuera de las 10 semanas",IF(ABS(SUM(G119:P119)-100)&gt;0.5,"La meta no suma 100%",IF(ROUND(SUM(Q119:AF119),1)&gt;100.5,"El avance pasa de 100%",IF(MIN(Q119:AF119)&lt;0,"Avance negativo",IF(COUNTA(Q119:AF119)&gt;COUNT(Q119:AF119),"Avance escrito como texto",IF(SUMPRODUCT((Q119:AF119&gt;0)*(Q119:AF119&lt;1))&gt;0,"Avance menor a 1: escribe 50, no 50%",IF(SUMPRODUCT(ISNUMBER(Q119:AF119)*(Reprogramaciones!$K$8:$Z$8&gt;TODAY()))&gt;0,"Avance en semana que aún no llega",IF(AND(N(Reprogramaciones!$E$21)&gt;0,F119&gt;Reprogramaciones!$E$21),"Pasa el fin de la obra: registra una reprogramación",IF(AND(N(Reprogramaciones!$E$21)&gt;0,SUMPRODUCT(ISNUMBER(Q119:AF119)*(Reprogramaciones!$K$8:$Z$8&gt;Reprogramaciones!$E$21))&gt;0),"Avance después del fin de la obra: registra una reprogramación por atraso","OK"))))))))))))))))</f>
        <v/>
      </c>
      <c r="AM119" s="40" t="str">
        <f aca="false">IF(OR(OR(NOT(AND(ISNUMBER(E119),ISNUMBER(F119))),$J$2=""),1&gt;MAX(1,Reprogramaciones!$U$15)),"",IF(Reprogramaciones!K$12&gt;=7,"",IF(OR(BT119-N(0)&gt;0.05,N(Q119)&gt;0),ROUNDDOWN(ROUND(BT119,6),0)&amp;"%"&amp;IF(CJ119="",""," / "&amp;CJ119&amp;"%"),IF(AND(N(0)&gt;=99.95,CJ119&lt;&gt;"",N(CJ119)&lt;100),"Pend. "&amp;CJ119&amp;"%",""))))</f>
        <v/>
      </c>
      <c r="AN119" s="40" t="str">
        <f aca="false">IF(OR(OR(NOT(AND(ISNUMBER(E119),ISNUMBER(F119))),$J$2=""),2&gt;MAX(1,Reprogramaciones!$U$15)),"",IF(Reprogramaciones!L$12&gt;=7,"",IF(OR(BU119-N(BT119)&gt;0.05,N(R119)&gt;0),ROUNDDOWN(ROUND(BU119,6),0)&amp;"%"&amp;IF(CK119="",""," / "&amp;CK119&amp;"%"),IF(AND(N(BT119)&gt;=99.95,CK119&lt;&gt;"",N(CK119)&lt;100),"Pend. "&amp;CK119&amp;"%",""))))</f>
        <v/>
      </c>
      <c r="AO119" s="40" t="str">
        <f aca="false">IF(OR(OR(NOT(AND(ISNUMBER(E119),ISNUMBER(F119))),$J$2=""),3&gt;MAX(1,Reprogramaciones!$U$15)),"",IF(Reprogramaciones!M$12&gt;=7,"",IF(OR(BV119-N(BU119)&gt;0.05,N(S119)&gt;0),ROUNDDOWN(ROUND(BV119,6),0)&amp;"%"&amp;IF(CL119="",""," / "&amp;CL119&amp;"%"),IF(AND(N(BU119)&gt;=99.95,CL119&lt;&gt;"",N(CL119)&lt;100),"Pend. "&amp;CL119&amp;"%",""))))</f>
        <v/>
      </c>
      <c r="AP119" s="40" t="str">
        <f aca="false">IF(OR(OR(NOT(AND(ISNUMBER(E119),ISNUMBER(F119))),$J$2=""),4&gt;MAX(1,Reprogramaciones!$U$15)),"",IF(Reprogramaciones!N$12&gt;=7,"",IF(OR(BW119-N(BV119)&gt;0.05,N(T119)&gt;0),ROUNDDOWN(ROUND(BW119,6),0)&amp;"%"&amp;IF(CM119="",""," / "&amp;CM119&amp;"%"),IF(AND(N(BV119)&gt;=99.95,CM119&lt;&gt;"",N(CM119)&lt;100),"Pend. "&amp;CM119&amp;"%",""))))</f>
        <v/>
      </c>
      <c r="AQ119" s="40" t="str">
        <f aca="false">IF(OR(OR(NOT(AND(ISNUMBER(E119),ISNUMBER(F119))),$J$2=""),5&gt;MAX(1,Reprogramaciones!$U$15)),"",IF(Reprogramaciones!O$12&gt;=7,"",IF(OR(BX119-N(BW119)&gt;0.05,N(U119)&gt;0),ROUNDDOWN(ROUND(BX119,6),0)&amp;"%"&amp;IF(CN119="",""," / "&amp;CN119&amp;"%"),IF(AND(N(BW119)&gt;=99.95,CN119&lt;&gt;"",N(CN119)&lt;100),"Pend. "&amp;CN119&amp;"%",""))))</f>
        <v/>
      </c>
      <c r="AR119" s="40" t="str">
        <f aca="false">IF(OR(OR(NOT(AND(ISNUMBER(E119),ISNUMBER(F119))),$J$2=""),6&gt;MAX(1,Reprogramaciones!$U$15)),"",IF(Reprogramaciones!P$12&gt;=7,"",IF(OR(BY119-N(BX119)&gt;0.05,N(V119)&gt;0),ROUNDDOWN(ROUND(BY119,6),0)&amp;"%"&amp;IF(CO119="",""," / "&amp;CO119&amp;"%"),IF(AND(N(BX119)&gt;=99.95,CO119&lt;&gt;"",N(CO119)&lt;100),"Pend. "&amp;CO119&amp;"%",""))))</f>
        <v/>
      </c>
      <c r="AS119" s="40" t="str">
        <f aca="false">IF(OR(OR(NOT(AND(ISNUMBER(E119),ISNUMBER(F119))),$J$2=""),7&gt;MAX(1,Reprogramaciones!$U$15)),"",IF(Reprogramaciones!Q$12&gt;=7,"",IF(OR(BZ119-N(BY119)&gt;0.05,N(W119)&gt;0),ROUNDDOWN(ROUND(BZ119,6),0)&amp;"%"&amp;IF(CP119="",""," / "&amp;CP119&amp;"%"),IF(AND(N(BY119)&gt;=99.95,CP119&lt;&gt;"",N(CP119)&lt;100),"Pend. "&amp;CP119&amp;"%",""))))</f>
        <v/>
      </c>
      <c r="AT119" s="40" t="str">
        <f aca="false">IF(OR(OR(NOT(AND(ISNUMBER(E119),ISNUMBER(F119))),$J$2=""),8&gt;MAX(1,Reprogramaciones!$U$15)),"",IF(Reprogramaciones!R$12&gt;=7,"",IF(OR(CA119-N(BZ119)&gt;0.05,N(X119)&gt;0),ROUNDDOWN(ROUND(CA119,6),0)&amp;"%"&amp;IF(CQ119="",""," / "&amp;CQ119&amp;"%"),IF(AND(N(BZ119)&gt;=99.95,CQ119&lt;&gt;"",N(CQ119)&lt;100),"Pend. "&amp;CQ119&amp;"%",""))))</f>
        <v/>
      </c>
      <c r="AU119" s="40" t="str">
        <f aca="false">IF(OR(OR(NOT(AND(ISNUMBER(E119),ISNUMBER(F119))),$J$2=""),9&gt;MAX(1,Reprogramaciones!$U$15)),"",IF(Reprogramaciones!S$12&gt;=7,"",IF(OR(CB119-N(CA119)&gt;0.05,N(Y119)&gt;0),ROUNDDOWN(ROUND(CB119,6),0)&amp;"%"&amp;IF(CR119="",""," / "&amp;CR119&amp;"%"),IF(AND(N(CA119)&gt;=99.95,CR119&lt;&gt;"",N(CR119)&lt;100),"Pend. "&amp;CR119&amp;"%",""))))</f>
        <v/>
      </c>
      <c r="AV119" s="40" t="str">
        <f aca="false">IF(OR(OR(NOT(AND(ISNUMBER(E119),ISNUMBER(F119))),$J$2=""),10&gt;MAX(1,Reprogramaciones!$U$15)),"",IF(Reprogramaciones!T$12&gt;=7,"",IF(OR(CC119-N(CB119)&gt;0.05,N(Z119)&gt;0),ROUNDDOWN(ROUND(CC119,6),0)&amp;"%"&amp;IF(CS119="",""," / "&amp;CS119&amp;"%"),IF(AND(N(CB119)&gt;=99.95,CS119&lt;&gt;"",N(CS119)&lt;100),"Pend. "&amp;CS119&amp;"%",""))))</f>
        <v/>
      </c>
      <c r="AW119" s="40" t="str">
        <f aca="false">IF(OR(OR(NOT(AND(ISNUMBER(E119),ISNUMBER(F119))),$J$2=""),11&gt;MAX(1,Reprogramaciones!$U$15)),"",IF(Reprogramaciones!U$12&gt;=7,"",IF(OR(CD119-N(CC119)&gt;0.05,N(AA119)&gt;0),ROUNDDOWN(ROUND(CD119,6),0)&amp;"%"&amp;IF(CT119="",""," / "&amp;CT119&amp;"%"),IF(AND(N(CC119)&gt;=99.95,CT119&lt;&gt;"",N(CT119)&lt;100),"Pend. "&amp;CT119&amp;"%",""))))</f>
        <v/>
      </c>
      <c r="AX119" s="40" t="str">
        <f aca="false">IF(OR(OR(NOT(AND(ISNUMBER(E119),ISNUMBER(F119))),$J$2=""),12&gt;MAX(1,Reprogramaciones!$U$15)),"",IF(Reprogramaciones!V$12&gt;=7,"",IF(OR(CE119-N(CD119)&gt;0.05,N(AB119)&gt;0),ROUNDDOWN(ROUND(CE119,6),0)&amp;"%"&amp;IF(CU119="",""," / "&amp;CU119&amp;"%"),IF(AND(N(CD119)&gt;=99.95,CU119&lt;&gt;"",N(CU119)&lt;100),"Pend. "&amp;CU119&amp;"%",""))))</f>
        <v/>
      </c>
      <c r="AY119" s="40" t="str">
        <f aca="false">IF(OR(OR(NOT(AND(ISNUMBER(E119),ISNUMBER(F119))),$J$2=""),13&gt;MAX(1,Reprogramaciones!$U$15)),"",IF(Reprogramaciones!W$12&gt;=7,"",IF(OR(CF119-N(CE119)&gt;0.05,N(AC119)&gt;0),ROUNDDOWN(ROUND(CF119,6),0)&amp;"%"&amp;IF(CV119="",""," / "&amp;CV119&amp;"%"),IF(AND(N(CE119)&gt;=99.95,CV119&lt;&gt;"",N(CV119)&lt;100),"Pend. "&amp;CV119&amp;"%",""))))</f>
        <v/>
      </c>
      <c r="AZ119" s="40" t="str">
        <f aca="false">IF(OR(OR(NOT(AND(ISNUMBER(E119),ISNUMBER(F119))),$J$2=""),14&gt;MAX(1,Reprogramaciones!$U$15)),"",IF(Reprogramaciones!X$12&gt;=7,"",IF(OR(CG119-N(CF119)&gt;0.05,N(AD119)&gt;0),ROUNDDOWN(ROUND(CG119,6),0)&amp;"%"&amp;IF(CW119="",""," / "&amp;CW119&amp;"%"),IF(AND(N(CF119)&gt;=99.95,CW119&lt;&gt;"",N(CW119)&lt;100),"Pend. "&amp;CW119&amp;"%",""))))</f>
        <v/>
      </c>
      <c r="BA119" s="40" t="str">
        <f aca="false">IF(OR(OR(NOT(AND(ISNUMBER(E119),ISNUMBER(F119))),$J$2=""),15&gt;MAX(1,Reprogramaciones!$U$15)),"",IF(Reprogramaciones!Y$12&gt;=7,"",IF(OR(CH119-N(CG119)&gt;0.05,N(AE119)&gt;0),ROUNDDOWN(ROUND(CH119,6),0)&amp;"%"&amp;IF(CX119="",""," / "&amp;CX119&amp;"%"),IF(AND(N(CG119)&gt;=99.95,CX119&lt;&gt;"",N(CX119)&lt;100),"Pend. "&amp;CX119&amp;"%",""))))</f>
        <v/>
      </c>
      <c r="BB119" s="40" t="str">
        <f aca="false">IF(OR(OR(NOT(AND(ISNUMBER(E119),ISNUMBER(F119))),$J$2=""),16&gt;MAX(1,Reprogramaciones!$U$15)),"",IF(Reprogramaciones!Z$12&gt;=7,"",IF(OR(CI119-N(CH119)&gt;0.05,N(AF119)&gt;0),ROUNDDOWN(ROUND(CI119,6),0)&amp;"%"&amp;IF(CY119="",""," / "&amp;CY119&amp;"%"),IF(AND(N(CH119)&gt;=99.95,CY119&lt;&gt;"",N(CY119)&lt;100),"Pend. "&amp;CY119&amp;"%",""))))</f>
        <v/>
      </c>
      <c r="BC119" s="31" t="n">
        <f aca="false">IF(AND(ISNUMBER(E119),ISNUMBER(F119)),MAX(1,NETWORKDAYS.INTL(E119,F119,11)),0)</f>
        <v>0</v>
      </c>
      <c r="BD119" s="1" t="str">
        <f aca="false">IF(OR(NOT(AND(ISNUMBER(E119),ISNUMBER(F119))),$J$2=""),"",MIN(100,ROUND(SUM($G119:G119),1)))</f>
        <v/>
      </c>
      <c r="BE119" s="1" t="str">
        <f aca="false">IF(OR(NOT(AND(ISNUMBER(E119),ISNUMBER(F119))),$J$2=""),"",MIN(100,ROUND(SUM($G119:H119),1)))</f>
        <v/>
      </c>
      <c r="BF119" s="1" t="str">
        <f aca="false">IF(OR(NOT(AND(ISNUMBER(E119),ISNUMBER(F119))),$J$2=""),"",MIN(100,ROUND(SUM($G119:I119),1)))</f>
        <v/>
      </c>
      <c r="BG119" s="1" t="str">
        <f aca="false">IF(OR(NOT(AND(ISNUMBER(E119),ISNUMBER(F119))),$J$2=""),"",MIN(100,ROUND(SUM($G119:J119),1)))</f>
        <v/>
      </c>
      <c r="BH119" s="1" t="str">
        <f aca="false">IF(OR(NOT(AND(ISNUMBER(E119),ISNUMBER(F119))),$J$2=""),"",MIN(100,ROUND(SUM($G119:K119),1)))</f>
        <v/>
      </c>
      <c r="BI119" s="1" t="str">
        <f aca="false">IF(OR(NOT(AND(ISNUMBER(E119),ISNUMBER(F119))),$J$2=""),"",MIN(100,ROUND(SUM($G119:L119),1)))</f>
        <v/>
      </c>
      <c r="BJ119" s="1" t="str">
        <f aca="false">IF(OR(NOT(AND(ISNUMBER(E119),ISNUMBER(F119))),$J$2=""),"",MIN(100,ROUND(SUM($G119:M119),1)))</f>
        <v/>
      </c>
      <c r="BK119" s="1" t="str">
        <f aca="false">IF(OR(NOT(AND(ISNUMBER(E119),ISNUMBER(F119))),$J$2=""),"",MIN(100,ROUND(SUM($G119:N119),1)))</f>
        <v/>
      </c>
      <c r="BL119" s="1" t="str">
        <f aca="false">IF(OR(NOT(AND(ISNUMBER(E119),ISNUMBER(F119))),$J$2=""),"",MIN(100,ROUND(SUM($G119:O119),1)))</f>
        <v/>
      </c>
      <c r="BM119" s="1" t="str">
        <f aca="false">IF(OR(NOT(AND(ISNUMBER(E119),ISNUMBER(F119))),$J$2=""),"",MIN(100,ROUND(SUM($G119:P119),1)))</f>
        <v/>
      </c>
      <c r="BN119" s="1" t="str">
        <f aca="false">IF(OR(NOT(AND(ISNUMBER(E119),ISNUMBER(F119))),$J$2=""),"",MIN(100,ROUND(SUM($G119:P119),1)))</f>
        <v/>
      </c>
      <c r="BO119" s="1" t="str">
        <f aca="false">IF(OR(NOT(AND(ISNUMBER(E119),ISNUMBER(F119))),$J$2=""),"",MIN(100,ROUND(SUM($G119:P119),1)))</f>
        <v/>
      </c>
      <c r="BP119" s="1" t="str">
        <f aca="false">IF(OR(NOT(AND(ISNUMBER(E119),ISNUMBER(F119))),$J$2=""),"",MIN(100,ROUND(SUM($G119:P119),1)))</f>
        <v/>
      </c>
      <c r="BQ119" s="1" t="str">
        <f aca="false">IF(OR(NOT(AND(ISNUMBER(E119),ISNUMBER(F119))),$J$2=""),"",MIN(100,ROUND(SUM($G119:P119),1)))</f>
        <v/>
      </c>
      <c r="BR119" s="1" t="str">
        <f aca="false">IF(OR(NOT(AND(ISNUMBER(E119),ISNUMBER(F119))),$J$2=""),"",MIN(100,ROUND(SUM($G119:P119),1)))</f>
        <v/>
      </c>
      <c r="BS119" s="1" t="str">
        <f aca="false">IF(OR(NOT(AND(ISNUMBER(E119),ISNUMBER(F119))),$J$2=""),"",MIN(100,ROUND(SUM($G119:P119),1)))</f>
        <v/>
      </c>
      <c r="BT119" s="1" t="str">
        <f aca="false">IF(OR(NOT(AND(ISNUMBER(E119),ISNUMBER(F119))),$J$2=""),"",IF(Reprogramaciones!K$13&lt;Reprogramaciones!$T$15,0,IF(Reprogramaciones!K$14&gt;10,MIN(100,SUM($G119:$P119)),MIN(100,SUMPRODUCT((COLUMN($G119:$P119)-COLUMN($G119)+1&lt;Reprogramaciones!K$14)*$G119:$P119)+N(INDEX($G119:$P119,1,Reprogramaciones!K$14))*IF(Reprogramaciones!K$13&gt;=(Reprogramaciones!$T$15+7*(Reprogramaciones!K$14-1))+6,1,IF(MAX(0,NETWORKDAYS.INTL(MAX(E119,(Reprogramaciones!$T$15+7*(Reprogramaciones!K$14-1))),MIN(F119,(Reprogramaciones!$T$15+7*(Reprogramaciones!K$14-1))+6),11))=0,0,MAX(0,NETWORKDAYS.INTL(MAX(E119,(Reprogramaciones!$T$15+7*(Reprogramaciones!K$14-1))),MIN(F119,Reprogramaciones!K$13),11))/MAX(0,NETWORKDAYS.INTL(MAX(E119,(Reprogramaciones!$T$15+7*(Reprogramaciones!K$14-1))),MIN(F119,(Reprogramaciones!$T$15+7*(Reprogramaciones!K$14-1))+6),11))))))))</f>
        <v/>
      </c>
      <c r="BU119" s="1" t="str">
        <f aca="false">IF(OR(NOT(AND(ISNUMBER(E119),ISNUMBER(F119))),$J$2=""),"",IF(Reprogramaciones!L$13&lt;Reprogramaciones!$T$15,0,IF(Reprogramaciones!L$14&gt;10,MIN(100,SUM($G119:$P119)),MIN(100,SUMPRODUCT((COLUMN($G119:$P119)-COLUMN($G119)+1&lt;Reprogramaciones!L$14)*$G119:$P119)+N(INDEX($G119:$P119,1,Reprogramaciones!L$14))*IF(Reprogramaciones!L$13&gt;=(Reprogramaciones!$T$15+7*(Reprogramaciones!L$14-1))+6,1,IF(MAX(0,NETWORKDAYS.INTL(MAX(E119,(Reprogramaciones!$T$15+7*(Reprogramaciones!L$14-1))),MIN(F119,(Reprogramaciones!$T$15+7*(Reprogramaciones!L$14-1))+6),11))=0,0,MAX(0,NETWORKDAYS.INTL(MAX(E119,(Reprogramaciones!$T$15+7*(Reprogramaciones!L$14-1))),MIN(F119,Reprogramaciones!L$13),11))/MAX(0,NETWORKDAYS.INTL(MAX(E119,(Reprogramaciones!$T$15+7*(Reprogramaciones!L$14-1))),MIN(F119,(Reprogramaciones!$T$15+7*(Reprogramaciones!L$14-1))+6),11))))))))</f>
        <v/>
      </c>
      <c r="BV119" s="1" t="str">
        <f aca="false">IF(OR(NOT(AND(ISNUMBER(E119),ISNUMBER(F119))),$J$2=""),"",IF(Reprogramaciones!M$13&lt;Reprogramaciones!$T$15,0,IF(Reprogramaciones!M$14&gt;10,MIN(100,SUM($G119:$P119)),MIN(100,SUMPRODUCT((COLUMN($G119:$P119)-COLUMN($G119)+1&lt;Reprogramaciones!M$14)*$G119:$P119)+N(INDEX($G119:$P119,1,Reprogramaciones!M$14))*IF(Reprogramaciones!M$13&gt;=(Reprogramaciones!$T$15+7*(Reprogramaciones!M$14-1))+6,1,IF(MAX(0,NETWORKDAYS.INTL(MAX(E119,(Reprogramaciones!$T$15+7*(Reprogramaciones!M$14-1))),MIN(F119,(Reprogramaciones!$T$15+7*(Reprogramaciones!M$14-1))+6),11))=0,0,MAX(0,NETWORKDAYS.INTL(MAX(E119,(Reprogramaciones!$T$15+7*(Reprogramaciones!M$14-1))),MIN(F119,Reprogramaciones!M$13),11))/MAX(0,NETWORKDAYS.INTL(MAX(E119,(Reprogramaciones!$T$15+7*(Reprogramaciones!M$14-1))),MIN(F119,(Reprogramaciones!$T$15+7*(Reprogramaciones!M$14-1))+6),11))))))))</f>
        <v/>
      </c>
      <c r="BW119" s="1" t="str">
        <f aca="false">IF(OR(NOT(AND(ISNUMBER(E119),ISNUMBER(F119))),$J$2=""),"",IF(Reprogramaciones!N$13&lt;Reprogramaciones!$T$15,0,IF(Reprogramaciones!N$14&gt;10,MIN(100,SUM($G119:$P119)),MIN(100,SUMPRODUCT((COLUMN($G119:$P119)-COLUMN($G119)+1&lt;Reprogramaciones!N$14)*$G119:$P119)+N(INDEX($G119:$P119,1,Reprogramaciones!N$14))*IF(Reprogramaciones!N$13&gt;=(Reprogramaciones!$T$15+7*(Reprogramaciones!N$14-1))+6,1,IF(MAX(0,NETWORKDAYS.INTL(MAX(E119,(Reprogramaciones!$T$15+7*(Reprogramaciones!N$14-1))),MIN(F119,(Reprogramaciones!$T$15+7*(Reprogramaciones!N$14-1))+6),11))=0,0,MAX(0,NETWORKDAYS.INTL(MAX(E119,(Reprogramaciones!$T$15+7*(Reprogramaciones!N$14-1))),MIN(F119,Reprogramaciones!N$13),11))/MAX(0,NETWORKDAYS.INTL(MAX(E119,(Reprogramaciones!$T$15+7*(Reprogramaciones!N$14-1))),MIN(F119,(Reprogramaciones!$T$15+7*(Reprogramaciones!N$14-1))+6),11))))))))</f>
        <v/>
      </c>
      <c r="BX119" s="1" t="str">
        <f aca="false">IF(OR(NOT(AND(ISNUMBER(E119),ISNUMBER(F119))),$J$2=""),"",IF(Reprogramaciones!O$13&lt;Reprogramaciones!$T$15,0,IF(Reprogramaciones!O$14&gt;10,MIN(100,SUM($G119:$P119)),MIN(100,SUMPRODUCT((COLUMN($G119:$P119)-COLUMN($G119)+1&lt;Reprogramaciones!O$14)*$G119:$P119)+N(INDEX($G119:$P119,1,Reprogramaciones!O$14))*IF(Reprogramaciones!O$13&gt;=(Reprogramaciones!$T$15+7*(Reprogramaciones!O$14-1))+6,1,IF(MAX(0,NETWORKDAYS.INTL(MAX(E119,(Reprogramaciones!$T$15+7*(Reprogramaciones!O$14-1))),MIN(F119,(Reprogramaciones!$T$15+7*(Reprogramaciones!O$14-1))+6),11))=0,0,MAX(0,NETWORKDAYS.INTL(MAX(E119,(Reprogramaciones!$T$15+7*(Reprogramaciones!O$14-1))),MIN(F119,Reprogramaciones!O$13),11))/MAX(0,NETWORKDAYS.INTL(MAX(E119,(Reprogramaciones!$T$15+7*(Reprogramaciones!O$14-1))),MIN(F119,(Reprogramaciones!$T$15+7*(Reprogramaciones!O$14-1))+6),11))))))))</f>
        <v/>
      </c>
      <c r="BY119" s="1" t="str">
        <f aca="false">IF(OR(NOT(AND(ISNUMBER(E119),ISNUMBER(F119))),$J$2=""),"",IF(Reprogramaciones!P$13&lt;Reprogramaciones!$T$15,0,IF(Reprogramaciones!P$14&gt;10,MIN(100,SUM($G119:$P119)),MIN(100,SUMPRODUCT((COLUMN($G119:$P119)-COLUMN($G119)+1&lt;Reprogramaciones!P$14)*$G119:$P119)+N(INDEX($G119:$P119,1,Reprogramaciones!P$14))*IF(Reprogramaciones!P$13&gt;=(Reprogramaciones!$T$15+7*(Reprogramaciones!P$14-1))+6,1,IF(MAX(0,NETWORKDAYS.INTL(MAX(E119,(Reprogramaciones!$T$15+7*(Reprogramaciones!P$14-1))),MIN(F119,(Reprogramaciones!$T$15+7*(Reprogramaciones!P$14-1))+6),11))=0,0,MAX(0,NETWORKDAYS.INTL(MAX(E119,(Reprogramaciones!$T$15+7*(Reprogramaciones!P$14-1))),MIN(F119,Reprogramaciones!P$13),11))/MAX(0,NETWORKDAYS.INTL(MAX(E119,(Reprogramaciones!$T$15+7*(Reprogramaciones!P$14-1))),MIN(F119,(Reprogramaciones!$T$15+7*(Reprogramaciones!P$14-1))+6),11))))))))</f>
        <v/>
      </c>
      <c r="BZ119" s="1" t="str">
        <f aca="false">IF(OR(NOT(AND(ISNUMBER(E119),ISNUMBER(F119))),$J$2=""),"",IF(Reprogramaciones!Q$13&lt;Reprogramaciones!$T$15,0,IF(Reprogramaciones!Q$14&gt;10,MIN(100,SUM($G119:$P119)),MIN(100,SUMPRODUCT((COLUMN($G119:$P119)-COLUMN($G119)+1&lt;Reprogramaciones!Q$14)*$G119:$P119)+N(INDEX($G119:$P119,1,Reprogramaciones!Q$14))*IF(Reprogramaciones!Q$13&gt;=(Reprogramaciones!$T$15+7*(Reprogramaciones!Q$14-1))+6,1,IF(MAX(0,NETWORKDAYS.INTL(MAX(E119,(Reprogramaciones!$T$15+7*(Reprogramaciones!Q$14-1))),MIN(F119,(Reprogramaciones!$T$15+7*(Reprogramaciones!Q$14-1))+6),11))=0,0,MAX(0,NETWORKDAYS.INTL(MAX(E119,(Reprogramaciones!$T$15+7*(Reprogramaciones!Q$14-1))),MIN(F119,Reprogramaciones!Q$13),11))/MAX(0,NETWORKDAYS.INTL(MAX(E119,(Reprogramaciones!$T$15+7*(Reprogramaciones!Q$14-1))),MIN(F119,(Reprogramaciones!$T$15+7*(Reprogramaciones!Q$14-1))+6),11))))))))</f>
        <v/>
      </c>
      <c r="CA119" s="1" t="str">
        <f aca="false">IF(OR(NOT(AND(ISNUMBER(E119),ISNUMBER(F119))),$J$2=""),"",IF(Reprogramaciones!R$13&lt;Reprogramaciones!$T$15,0,IF(Reprogramaciones!R$14&gt;10,MIN(100,SUM($G119:$P119)),MIN(100,SUMPRODUCT((COLUMN($G119:$P119)-COLUMN($G119)+1&lt;Reprogramaciones!R$14)*$G119:$P119)+N(INDEX($G119:$P119,1,Reprogramaciones!R$14))*IF(Reprogramaciones!R$13&gt;=(Reprogramaciones!$T$15+7*(Reprogramaciones!R$14-1))+6,1,IF(MAX(0,NETWORKDAYS.INTL(MAX(E119,(Reprogramaciones!$T$15+7*(Reprogramaciones!R$14-1))),MIN(F119,(Reprogramaciones!$T$15+7*(Reprogramaciones!R$14-1))+6),11))=0,0,MAX(0,NETWORKDAYS.INTL(MAX(E119,(Reprogramaciones!$T$15+7*(Reprogramaciones!R$14-1))),MIN(F119,Reprogramaciones!R$13),11))/MAX(0,NETWORKDAYS.INTL(MAX(E119,(Reprogramaciones!$T$15+7*(Reprogramaciones!R$14-1))),MIN(F119,(Reprogramaciones!$T$15+7*(Reprogramaciones!R$14-1))+6),11))))))))</f>
        <v/>
      </c>
      <c r="CB119" s="1" t="str">
        <f aca="false">IF(OR(NOT(AND(ISNUMBER(E119),ISNUMBER(F119))),$J$2=""),"",IF(Reprogramaciones!S$13&lt;Reprogramaciones!$T$15,0,IF(Reprogramaciones!S$14&gt;10,MIN(100,SUM($G119:$P119)),MIN(100,SUMPRODUCT((COLUMN($G119:$P119)-COLUMN($G119)+1&lt;Reprogramaciones!S$14)*$G119:$P119)+N(INDEX($G119:$P119,1,Reprogramaciones!S$14))*IF(Reprogramaciones!S$13&gt;=(Reprogramaciones!$T$15+7*(Reprogramaciones!S$14-1))+6,1,IF(MAX(0,NETWORKDAYS.INTL(MAX(E119,(Reprogramaciones!$T$15+7*(Reprogramaciones!S$14-1))),MIN(F119,(Reprogramaciones!$T$15+7*(Reprogramaciones!S$14-1))+6),11))=0,0,MAX(0,NETWORKDAYS.INTL(MAX(E119,(Reprogramaciones!$T$15+7*(Reprogramaciones!S$14-1))),MIN(F119,Reprogramaciones!S$13),11))/MAX(0,NETWORKDAYS.INTL(MAX(E119,(Reprogramaciones!$T$15+7*(Reprogramaciones!S$14-1))),MIN(F119,(Reprogramaciones!$T$15+7*(Reprogramaciones!S$14-1))+6),11))))))))</f>
        <v/>
      </c>
      <c r="CC119" s="1" t="str">
        <f aca="false">IF(OR(NOT(AND(ISNUMBER(E119),ISNUMBER(F119))),$J$2=""),"",IF(Reprogramaciones!T$13&lt;Reprogramaciones!$T$15,0,IF(Reprogramaciones!T$14&gt;10,MIN(100,SUM($G119:$P119)),MIN(100,SUMPRODUCT((COLUMN($G119:$P119)-COLUMN($G119)+1&lt;Reprogramaciones!T$14)*$G119:$P119)+N(INDEX($G119:$P119,1,Reprogramaciones!T$14))*IF(Reprogramaciones!T$13&gt;=(Reprogramaciones!$T$15+7*(Reprogramaciones!T$14-1))+6,1,IF(MAX(0,NETWORKDAYS.INTL(MAX(E119,(Reprogramaciones!$T$15+7*(Reprogramaciones!T$14-1))),MIN(F119,(Reprogramaciones!$T$15+7*(Reprogramaciones!T$14-1))+6),11))=0,0,MAX(0,NETWORKDAYS.INTL(MAX(E119,(Reprogramaciones!$T$15+7*(Reprogramaciones!T$14-1))),MIN(F119,Reprogramaciones!T$13),11))/MAX(0,NETWORKDAYS.INTL(MAX(E119,(Reprogramaciones!$T$15+7*(Reprogramaciones!T$14-1))),MIN(F119,(Reprogramaciones!$T$15+7*(Reprogramaciones!T$14-1))+6),11))))))))</f>
        <v/>
      </c>
      <c r="CD119" s="1" t="str">
        <f aca="false">IF(OR(NOT(AND(ISNUMBER(E119),ISNUMBER(F119))),$J$2=""),"",IF(Reprogramaciones!U$13&lt;Reprogramaciones!$T$15,0,IF(Reprogramaciones!U$14&gt;10,MIN(100,SUM($G119:$P119)),MIN(100,SUMPRODUCT((COLUMN($G119:$P119)-COLUMN($G119)+1&lt;Reprogramaciones!U$14)*$G119:$P119)+N(INDEX($G119:$P119,1,Reprogramaciones!U$14))*IF(Reprogramaciones!U$13&gt;=(Reprogramaciones!$T$15+7*(Reprogramaciones!U$14-1))+6,1,IF(MAX(0,NETWORKDAYS.INTL(MAX(E119,(Reprogramaciones!$T$15+7*(Reprogramaciones!U$14-1))),MIN(F119,(Reprogramaciones!$T$15+7*(Reprogramaciones!U$14-1))+6),11))=0,0,MAX(0,NETWORKDAYS.INTL(MAX(E119,(Reprogramaciones!$T$15+7*(Reprogramaciones!U$14-1))),MIN(F119,Reprogramaciones!U$13),11))/MAX(0,NETWORKDAYS.INTL(MAX(E119,(Reprogramaciones!$T$15+7*(Reprogramaciones!U$14-1))),MIN(F119,(Reprogramaciones!$T$15+7*(Reprogramaciones!U$14-1))+6),11))))))))</f>
        <v/>
      </c>
      <c r="CE119" s="1" t="str">
        <f aca="false">IF(OR(NOT(AND(ISNUMBER(E119),ISNUMBER(F119))),$J$2=""),"",IF(Reprogramaciones!V$13&lt;Reprogramaciones!$T$15,0,IF(Reprogramaciones!V$14&gt;10,MIN(100,SUM($G119:$P119)),MIN(100,SUMPRODUCT((COLUMN($G119:$P119)-COLUMN($G119)+1&lt;Reprogramaciones!V$14)*$G119:$P119)+N(INDEX($G119:$P119,1,Reprogramaciones!V$14))*IF(Reprogramaciones!V$13&gt;=(Reprogramaciones!$T$15+7*(Reprogramaciones!V$14-1))+6,1,IF(MAX(0,NETWORKDAYS.INTL(MAX(E119,(Reprogramaciones!$T$15+7*(Reprogramaciones!V$14-1))),MIN(F119,(Reprogramaciones!$T$15+7*(Reprogramaciones!V$14-1))+6),11))=0,0,MAX(0,NETWORKDAYS.INTL(MAX(E119,(Reprogramaciones!$T$15+7*(Reprogramaciones!V$14-1))),MIN(F119,Reprogramaciones!V$13),11))/MAX(0,NETWORKDAYS.INTL(MAX(E119,(Reprogramaciones!$T$15+7*(Reprogramaciones!V$14-1))),MIN(F119,(Reprogramaciones!$T$15+7*(Reprogramaciones!V$14-1))+6),11))))))))</f>
        <v/>
      </c>
      <c r="CF119" s="1" t="str">
        <f aca="false">IF(OR(NOT(AND(ISNUMBER(E119),ISNUMBER(F119))),$J$2=""),"",IF(Reprogramaciones!W$13&lt;Reprogramaciones!$T$15,0,IF(Reprogramaciones!W$14&gt;10,MIN(100,SUM($G119:$P119)),MIN(100,SUMPRODUCT((COLUMN($G119:$P119)-COLUMN($G119)+1&lt;Reprogramaciones!W$14)*$G119:$P119)+N(INDEX($G119:$P119,1,Reprogramaciones!W$14))*IF(Reprogramaciones!W$13&gt;=(Reprogramaciones!$T$15+7*(Reprogramaciones!W$14-1))+6,1,IF(MAX(0,NETWORKDAYS.INTL(MAX(E119,(Reprogramaciones!$T$15+7*(Reprogramaciones!W$14-1))),MIN(F119,(Reprogramaciones!$T$15+7*(Reprogramaciones!W$14-1))+6),11))=0,0,MAX(0,NETWORKDAYS.INTL(MAX(E119,(Reprogramaciones!$T$15+7*(Reprogramaciones!W$14-1))),MIN(F119,Reprogramaciones!W$13),11))/MAX(0,NETWORKDAYS.INTL(MAX(E119,(Reprogramaciones!$T$15+7*(Reprogramaciones!W$14-1))),MIN(F119,(Reprogramaciones!$T$15+7*(Reprogramaciones!W$14-1))+6),11))))))))</f>
        <v/>
      </c>
      <c r="CG119" s="1" t="str">
        <f aca="false">IF(OR(NOT(AND(ISNUMBER(E119),ISNUMBER(F119))),$J$2=""),"",IF(Reprogramaciones!X$13&lt;Reprogramaciones!$T$15,0,IF(Reprogramaciones!X$14&gt;10,MIN(100,SUM($G119:$P119)),MIN(100,SUMPRODUCT((COLUMN($G119:$P119)-COLUMN($G119)+1&lt;Reprogramaciones!X$14)*$G119:$P119)+N(INDEX($G119:$P119,1,Reprogramaciones!X$14))*IF(Reprogramaciones!X$13&gt;=(Reprogramaciones!$T$15+7*(Reprogramaciones!X$14-1))+6,1,IF(MAX(0,NETWORKDAYS.INTL(MAX(E119,(Reprogramaciones!$T$15+7*(Reprogramaciones!X$14-1))),MIN(F119,(Reprogramaciones!$T$15+7*(Reprogramaciones!X$14-1))+6),11))=0,0,MAX(0,NETWORKDAYS.INTL(MAX(E119,(Reprogramaciones!$T$15+7*(Reprogramaciones!X$14-1))),MIN(F119,Reprogramaciones!X$13),11))/MAX(0,NETWORKDAYS.INTL(MAX(E119,(Reprogramaciones!$T$15+7*(Reprogramaciones!X$14-1))),MIN(F119,(Reprogramaciones!$T$15+7*(Reprogramaciones!X$14-1))+6),11))))))))</f>
        <v/>
      </c>
      <c r="CH119" s="1" t="str">
        <f aca="false">IF(OR(NOT(AND(ISNUMBER(E119),ISNUMBER(F119))),$J$2=""),"",IF(Reprogramaciones!Y$13&lt;Reprogramaciones!$T$15,0,IF(Reprogramaciones!Y$14&gt;10,MIN(100,SUM($G119:$P119)),MIN(100,SUMPRODUCT((COLUMN($G119:$P119)-COLUMN($G119)+1&lt;Reprogramaciones!Y$14)*$G119:$P119)+N(INDEX($G119:$P119,1,Reprogramaciones!Y$14))*IF(Reprogramaciones!Y$13&gt;=(Reprogramaciones!$T$15+7*(Reprogramaciones!Y$14-1))+6,1,IF(MAX(0,NETWORKDAYS.INTL(MAX(E119,(Reprogramaciones!$T$15+7*(Reprogramaciones!Y$14-1))),MIN(F119,(Reprogramaciones!$T$15+7*(Reprogramaciones!Y$14-1))+6),11))=0,0,MAX(0,NETWORKDAYS.INTL(MAX(E119,(Reprogramaciones!$T$15+7*(Reprogramaciones!Y$14-1))),MIN(F119,Reprogramaciones!Y$13),11))/MAX(0,NETWORKDAYS.INTL(MAX(E119,(Reprogramaciones!$T$15+7*(Reprogramaciones!Y$14-1))),MIN(F119,(Reprogramaciones!$T$15+7*(Reprogramaciones!Y$14-1))+6),11))))))))</f>
        <v/>
      </c>
      <c r="CI119" s="1" t="str">
        <f aca="false">IF(OR(NOT(AND(ISNUMBER(E119),ISNUMBER(F119))),$J$2=""),"",IF(Reprogramaciones!Z$13&lt;Reprogramaciones!$T$15,0,IF(Reprogramaciones!Z$14&gt;10,MIN(100,SUM($G119:$P119)),MIN(100,SUMPRODUCT((COLUMN($G119:$P119)-COLUMN($G119)+1&lt;Reprogramaciones!Z$14)*$G119:$P119)+N(INDEX($G119:$P119,1,Reprogramaciones!Z$14))*IF(Reprogramaciones!Z$13&gt;=(Reprogramaciones!$T$15+7*(Reprogramaciones!Z$14-1))+6,1,IF(MAX(0,NETWORKDAYS.INTL(MAX(E119,(Reprogramaciones!$T$15+7*(Reprogramaciones!Z$14-1))),MIN(F119,(Reprogramaciones!$T$15+7*(Reprogramaciones!Z$14-1))+6),11))=0,0,MAX(0,NETWORKDAYS.INTL(MAX(E119,(Reprogramaciones!$T$15+7*(Reprogramaciones!Z$14-1))),MIN(F119,Reprogramaciones!Z$13),11))/MAX(0,NETWORKDAYS.INTL(MAX(E119,(Reprogramaciones!$T$15+7*(Reprogramaciones!Z$14-1))),MIN(F119,(Reprogramaciones!$T$15+7*(Reprogramaciones!Z$14-1))+6),11))))))))</f>
        <v/>
      </c>
      <c r="CJ119" s="1" t="str">
        <f aca="false">IF(OR(OR(NOT(AND(ISNUMBER(E119),ISNUMBER(F119))),$J$2=""),1&gt;Reprogramaciones!$K$16),"",IF(ROUND(SUM($Q119:Q119),1)&gt;=99.5,100,MIN(100,ROUND(SUM($Q119:Q119),1))))</f>
        <v/>
      </c>
      <c r="CK119" s="1" t="str">
        <f aca="false">IF(OR(OR(NOT(AND(ISNUMBER(E119),ISNUMBER(F119))),$J$2=""),2&gt;Reprogramaciones!$K$16),"",IF(ROUND(SUM($Q119:R119),1)&gt;=99.5,100,MIN(100,ROUND(SUM($Q119:R119),1))))</f>
        <v/>
      </c>
      <c r="CL119" s="1" t="str">
        <f aca="false">IF(OR(OR(NOT(AND(ISNUMBER(E119),ISNUMBER(F119))),$J$2=""),3&gt;Reprogramaciones!$K$16),"",IF(ROUND(SUM($Q119:S119),1)&gt;=99.5,100,MIN(100,ROUND(SUM($Q119:S119),1))))</f>
        <v/>
      </c>
      <c r="CM119" s="1" t="str">
        <f aca="false">IF(OR(OR(NOT(AND(ISNUMBER(E119),ISNUMBER(F119))),$J$2=""),4&gt;Reprogramaciones!$K$16),"",IF(ROUND(SUM($Q119:T119),1)&gt;=99.5,100,MIN(100,ROUND(SUM($Q119:T119),1))))</f>
        <v/>
      </c>
      <c r="CN119" s="1" t="str">
        <f aca="false">IF(OR(OR(NOT(AND(ISNUMBER(E119),ISNUMBER(F119))),$J$2=""),5&gt;Reprogramaciones!$K$16),"",IF(ROUND(SUM($Q119:U119),1)&gt;=99.5,100,MIN(100,ROUND(SUM($Q119:U119),1))))</f>
        <v/>
      </c>
      <c r="CO119" s="1" t="str">
        <f aca="false">IF(OR(OR(NOT(AND(ISNUMBER(E119),ISNUMBER(F119))),$J$2=""),6&gt;Reprogramaciones!$K$16),"",IF(ROUND(SUM($Q119:V119),1)&gt;=99.5,100,MIN(100,ROUND(SUM($Q119:V119),1))))</f>
        <v/>
      </c>
      <c r="CP119" s="1" t="str">
        <f aca="false">IF(OR(OR(NOT(AND(ISNUMBER(E119),ISNUMBER(F119))),$J$2=""),7&gt;Reprogramaciones!$K$16),"",IF(ROUND(SUM($Q119:W119),1)&gt;=99.5,100,MIN(100,ROUND(SUM($Q119:W119),1))))</f>
        <v/>
      </c>
      <c r="CQ119" s="1" t="str">
        <f aca="false">IF(OR(OR(NOT(AND(ISNUMBER(E119),ISNUMBER(F119))),$J$2=""),8&gt;Reprogramaciones!$K$16),"",IF(ROUND(SUM($Q119:X119),1)&gt;=99.5,100,MIN(100,ROUND(SUM($Q119:X119),1))))</f>
        <v/>
      </c>
      <c r="CR119" s="1" t="str">
        <f aca="false">IF(OR(OR(NOT(AND(ISNUMBER(E119),ISNUMBER(F119))),$J$2=""),9&gt;Reprogramaciones!$K$16),"",IF(ROUND(SUM($Q119:Y119),1)&gt;=99.5,100,MIN(100,ROUND(SUM($Q119:Y119),1))))</f>
        <v/>
      </c>
      <c r="CS119" s="1" t="str">
        <f aca="false">IF(OR(OR(NOT(AND(ISNUMBER(E119),ISNUMBER(F119))),$J$2=""),10&gt;Reprogramaciones!$K$16),"",IF(ROUND(SUM($Q119:Z119),1)&gt;=99.5,100,MIN(100,ROUND(SUM($Q119:Z119),1))))</f>
        <v/>
      </c>
      <c r="CT119" s="1" t="str">
        <f aca="false">IF(OR(OR(NOT(AND(ISNUMBER(E119),ISNUMBER(F119))),$J$2=""),11&gt;Reprogramaciones!$K$16),"",IF(ROUND(SUM($Q119:AA119),1)&gt;=99.5,100,MIN(100,ROUND(SUM($Q119:AA119),1))))</f>
        <v/>
      </c>
      <c r="CU119" s="1" t="str">
        <f aca="false">IF(OR(OR(NOT(AND(ISNUMBER(E119),ISNUMBER(F119))),$J$2=""),12&gt;Reprogramaciones!$K$16),"",IF(ROUND(SUM($Q119:AB119),1)&gt;=99.5,100,MIN(100,ROUND(SUM($Q119:AB119),1))))</f>
        <v/>
      </c>
      <c r="CV119" s="1" t="str">
        <f aca="false">IF(OR(OR(NOT(AND(ISNUMBER(E119),ISNUMBER(F119))),$J$2=""),13&gt;Reprogramaciones!$K$16),"",IF(ROUND(SUM($Q119:AC119),1)&gt;=99.5,100,MIN(100,ROUND(SUM($Q119:AC119),1))))</f>
        <v/>
      </c>
      <c r="CW119" s="1" t="str">
        <f aca="false">IF(OR(OR(NOT(AND(ISNUMBER(E119),ISNUMBER(F119))),$J$2=""),14&gt;Reprogramaciones!$K$16),"",IF(ROUND(SUM($Q119:AD119),1)&gt;=99.5,100,MIN(100,ROUND(SUM($Q119:AD119),1))))</f>
        <v/>
      </c>
      <c r="CX119" s="1" t="str">
        <f aca="false">IF(OR(OR(NOT(AND(ISNUMBER(E119),ISNUMBER(F119))),$J$2=""),15&gt;Reprogramaciones!$K$16),"",IF(ROUND(SUM($Q119:AE119),1)&gt;=99.5,100,MIN(100,ROUND(SUM($Q119:AE119),1))))</f>
        <v/>
      </c>
      <c r="CY119" s="1" t="str">
        <f aca="false">IF(OR(OR(NOT(AND(ISNUMBER(E119),ISNUMBER(F119))),$J$2=""),16&gt;Reprogramaciones!$K$16),"",IF(ROUND(SUM($Q119:AF119),1)&gt;=99.5,100,MIN(100,ROUND(SUM($Q119:AF119),1))))</f>
        <v/>
      </c>
      <c r="CZ119" s="1" t="str">
        <f aca="false">IF(D119&lt;&gt;"",D119,IF(B119&lt;&gt;"","Contractual",CZ118))</f>
        <v>Contractual</v>
      </c>
      <c r="DA119" s="1" t="str">
        <f aca="false">IF(OR(NOT(AND(ISNUMBER(E119),ISNUMBER(F119))),$J$2=""),"",IF(Reprogramaciones!$Q$15&lt;Reprogramaciones!$T$15,0,IF(Reprogramaciones!$S$15&gt;10,MIN(100,SUM($G119:$P119)),MIN(100,SUMPRODUCT((COLUMN($G119:$P119)-COLUMN($G119)+1&lt;Reprogramaciones!$S$15)*$G119:$P119)+N(INDEX($G119:$P119,1,Reprogramaciones!$S$15))*IF(Reprogramaciones!$Q$15&gt;=(Reprogramaciones!$T$15+7*(Reprogramaciones!$S$15-1))+6,1,IF(MAX(0,NETWORKDAYS.INTL(MAX(E119,(Reprogramaciones!$T$15+7*(Reprogramaciones!$S$15-1))),MIN(F119,(Reprogramaciones!$T$15+7*(Reprogramaciones!$S$15-1))+6),11))=0,0,MAX(0,NETWORKDAYS.INTL(MAX(E119,(Reprogramaciones!$T$15+7*(Reprogramaciones!$S$15-1))),MIN(F119,Reprogramaciones!$Q$15),11))/MAX(0,NETWORKDAYS.INTL(MAX(E119,(Reprogramaciones!$T$15+7*(Reprogramaciones!$S$15-1))),MIN(F119,(Reprogramaciones!$T$15+7*(Reprogramaciones!$S$15-1))+6),11))))))))</f>
        <v/>
      </c>
    </row>
    <row r="120" customFormat="false" ht="15" hidden="false" customHeight="false" outlineLevel="0" collapsed="false">
      <c r="A120" s="32"/>
      <c r="B120" s="33"/>
      <c r="C120" s="33"/>
      <c r="D120" s="34"/>
      <c r="E120" s="35"/>
      <c r="F120" s="35"/>
      <c r="G120" s="36" t="str">
        <f aca="false">IF(OR(NOT(AND(ISNUMBER(E120),ISNUMBER(F120))),$J$2=""),"",IF(Reprogramaciones!K$9&lt;E120,0,IF(NETWORKDAYS.INTL(E120,F120,11)=0,IF(Reprogramaciones!K$9&gt;=F120,100,0),ROUND(NETWORKDAYS.INTL(E120,MIN(F120,Reprogramaciones!K$9),11)/NETWORKDAYS.INTL(E120,F120,11)*100,1)))-0)</f>
        <v/>
      </c>
      <c r="H120" s="36" t="str">
        <f aca="false">IF(OR(NOT(AND(ISNUMBER(E120),ISNUMBER(F120))),$J$2=""),"",IF(Reprogramaciones!L$9&lt;E120,0,IF(NETWORKDAYS.INTL(E120,F120,11)=0,IF(Reprogramaciones!L$9&gt;=F120,100,0),ROUND(NETWORKDAYS.INTL(E120,MIN(F120,Reprogramaciones!L$9),11)/NETWORKDAYS.INTL(E120,F120,11)*100,1)))-IF(Reprogramaciones!K$9&lt;E120,0,IF(NETWORKDAYS.INTL(E120,F120,11)=0,IF(Reprogramaciones!K$9&gt;=F120,100,0),ROUND(NETWORKDAYS.INTL(E120,MIN(F120,Reprogramaciones!K$9),11)/NETWORKDAYS.INTL(E120,F120,11)*100,1))))</f>
        <v/>
      </c>
      <c r="I120" s="36" t="str">
        <f aca="false">IF(OR(NOT(AND(ISNUMBER(E120),ISNUMBER(F120))),$J$2=""),"",IF(Reprogramaciones!M$9&lt;E120,0,IF(NETWORKDAYS.INTL(E120,F120,11)=0,IF(Reprogramaciones!M$9&gt;=F120,100,0),ROUND(NETWORKDAYS.INTL(E120,MIN(F120,Reprogramaciones!M$9),11)/NETWORKDAYS.INTL(E120,F120,11)*100,1)))-IF(Reprogramaciones!L$9&lt;E120,0,IF(NETWORKDAYS.INTL(E120,F120,11)=0,IF(Reprogramaciones!L$9&gt;=F120,100,0),ROUND(NETWORKDAYS.INTL(E120,MIN(F120,Reprogramaciones!L$9),11)/NETWORKDAYS.INTL(E120,F120,11)*100,1))))</f>
        <v/>
      </c>
      <c r="J120" s="36" t="str">
        <f aca="false">IF(OR(NOT(AND(ISNUMBER(E120),ISNUMBER(F120))),$J$2=""),"",IF(Reprogramaciones!N$9&lt;E120,0,IF(NETWORKDAYS.INTL(E120,F120,11)=0,IF(Reprogramaciones!N$9&gt;=F120,100,0),ROUND(NETWORKDAYS.INTL(E120,MIN(F120,Reprogramaciones!N$9),11)/NETWORKDAYS.INTL(E120,F120,11)*100,1)))-IF(Reprogramaciones!M$9&lt;E120,0,IF(NETWORKDAYS.INTL(E120,F120,11)=0,IF(Reprogramaciones!M$9&gt;=F120,100,0),ROUND(NETWORKDAYS.INTL(E120,MIN(F120,Reprogramaciones!M$9),11)/NETWORKDAYS.INTL(E120,F120,11)*100,1))))</f>
        <v/>
      </c>
      <c r="K120" s="36" t="str">
        <f aca="false">IF(OR(NOT(AND(ISNUMBER(E120),ISNUMBER(F120))),$J$2=""),"",IF(Reprogramaciones!O$9&lt;E120,0,IF(NETWORKDAYS.INTL(E120,F120,11)=0,IF(Reprogramaciones!O$9&gt;=F120,100,0),ROUND(NETWORKDAYS.INTL(E120,MIN(F120,Reprogramaciones!O$9),11)/NETWORKDAYS.INTL(E120,F120,11)*100,1)))-IF(Reprogramaciones!N$9&lt;E120,0,IF(NETWORKDAYS.INTL(E120,F120,11)=0,IF(Reprogramaciones!N$9&gt;=F120,100,0),ROUND(NETWORKDAYS.INTL(E120,MIN(F120,Reprogramaciones!N$9),11)/NETWORKDAYS.INTL(E120,F120,11)*100,1))))</f>
        <v/>
      </c>
      <c r="L120" s="36" t="str">
        <f aca="false">IF(OR(NOT(AND(ISNUMBER(E120),ISNUMBER(F120))),$J$2=""),"",IF(Reprogramaciones!P$9&lt;E120,0,IF(NETWORKDAYS.INTL(E120,F120,11)=0,IF(Reprogramaciones!P$9&gt;=F120,100,0),ROUND(NETWORKDAYS.INTL(E120,MIN(F120,Reprogramaciones!P$9),11)/NETWORKDAYS.INTL(E120,F120,11)*100,1)))-IF(Reprogramaciones!O$9&lt;E120,0,IF(NETWORKDAYS.INTL(E120,F120,11)=0,IF(Reprogramaciones!O$9&gt;=F120,100,0),ROUND(NETWORKDAYS.INTL(E120,MIN(F120,Reprogramaciones!O$9),11)/NETWORKDAYS.INTL(E120,F120,11)*100,1))))</f>
        <v/>
      </c>
      <c r="M120" s="36" t="str">
        <f aca="false">IF(OR(NOT(AND(ISNUMBER(E120),ISNUMBER(F120))),$J$2=""),"",IF(Reprogramaciones!Q$9&lt;E120,0,IF(NETWORKDAYS.INTL(E120,F120,11)=0,IF(Reprogramaciones!Q$9&gt;=F120,100,0),ROUND(NETWORKDAYS.INTL(E120,MIN(F120,Reprogramaciones!Q$9),11)/NETWORKDAYS.INTL(E120,F120,11)*100,1)))-IF(Reprogramaciones!P$9&lt;E120,0,IF(NETWORKDAYS.INTL(E120,F120,11)=0,IF(Reprogramaciones!P$9&gt;=F120,100,0),ROUND(NETWORKDAYS.INTL(E120,MIN(F120,Reprogramaciones!P$9),11)/NETWORKDAYS.INTL(E120,F120,11)*100,1))))</f>
        <v/>
      </c>
      <c r="N120" s="36" t="str">
        <f aca="false">IF(OR(NOT(AND(ISNUMBER(E120),ISNUMBER(F120))),$J$2=""),"",IF(Reprogramaciones!R$9&lt;E120,0,IF(NETWORKDAYS.INTL(E120,F120,11)=0,IF(Reprogramaciones!R$9&gt;=F120,100,0),ROUND(NETWORKDAYS.INTL(E120,MIN(F120,Reprogramaciones!R$9),11)/NETWORKDAYS.INTL(E120,F120,11)*100,1)))-IF(Reprogramaciones!Q$9&lt;E120,0,IF(NETWORKDAYS.INTL(E120,F120,11)=0,IF(Reprogramaciones!Q$9&gt;=F120,100,0),ROUND(NETWORKDAYS.INTL(E120,MIN(F120,Reprogramaciones!Q$9),11)/NETWORKDAYS.INTL(E120,F120,11)*100,1))))</f>
        <v/>
      </c>
      <c r="O120" s="36" t="str">
        <f aca="false">IF(OR(NOT(AND(ISNUMBER(E120),ISNUMBER(F120))),$J$2=""),"",IF(Reprogramaciones!S$9&lt;E120,0,IF(NETWORKDAYS.INTL(E120,F120,11)=0,IF(Reprogramaciones!S$9&gt;=F120,100,0),ROUND(NETWORKDAYS.INTL(E120,MIN(F120,Reprogramaciones!S$9),11)/NETWORKDAYS.INTL(E120,F120,11)*100,1)))-IF(Reprogramaciones!R$9&lt;E120,0,IF(NETWORKDAYS.INTL(E120,F120,11)=0,IF(Reprogramaciones!R$9&gt;=F120,100,0),ROUND(NETWORKDAYS.INTL(E120,MIN(F120,Reprogramaciones!R$9),11)/NETWORKDAYS.INTL(E120,F120,11)*100,1))))</f>
        <v/>
      </c>
      <c r="P120" s="36" t="str">
        <f aca="false">IF(OR(NOT(AND(ISNUMBER(E120),ISNUMBER(F120))),$J$2=""),"",IF(Reprogramaciones!T$9&lt;E120,0,IF(NETWORKDAYS.INTL(E120,F120,11)=0,IF(Reprogramaciones!T$9&gt;=F120,100,0),ROUND(NETWORKDAYS.INTL(E120,MIN(F120,Reprogramaciones!T$9),11)/NETWORKDAYS.INTL(E120,F120,11)*100,1)))-IF(Reprogramaciones!S$9&lt;E120,0,IF(NETWORKDAYS.INTL(E120,F120,11)=0,IF(Reprogramaciones!S$9&gt;=F120,100,0),ROUND(NETWORKDAYS.INTL(E120,MIN(F120,Reprogramaciones!S$9),11)/NETWORKDAYS.INTL(E120,F120,11)*100,1))))</f>
        <v/>
      </c>
      <c r="Q120" s="37"/>
      <c r="R120" s="37"/>
      <c r="S120" s="37"/>
      <c r="T120" s="37"/>
      <c r="U120" s="37"/>
      <c r="V120" s="37"/>
      <c r="W120" s="37"/>
      <c r="X120" s="37"/>
      <c r="Y120" s="37"/>
      <c r="Z120" s="37"/>
      <c r="AA120" s="37"/>
      <c r="AB120" s="37"/>
      <c r="AC120" s="37"/>
      <c r="AD120" s="37"/>
      <c r="AE120" s="37"/>
      <c r="AF120" s="37"/>
      <c r="AG120" s="38" t="str">
        <f aca="false">IF(AND(ISNUMBER(E120),ISNUMBER(F120)),NETWORKDAYS.INTL(E120,F120,11),"")</f>
        <v/>
      </c>
      <c r="AH120" s="38" t="str">
        <f aca="false">IF(OR(NOT(AND(ISNUMBER(E120),ISNUMBER(F120))),$J$2=""),"",IF(Reprogramaciones!$P$15&lt;Reprogramaciones!$T$15,0,IF(Reprogramaciones!$R$15&gt;10,MIN(100,SUM($G120:$P120)),MIN(100,SUMPRODUCT((COLUMN($G120:$P120)-COLUMN($G120)+1&lt;Reprogramaciones!$R$15)*$G120:$P120)+N(INDEX($G120:$P120,1,Reprogramaciones!$R$15))*IF(Reprogramaciones!$P$15&gt;=(Reprogramaciones!$T$15+7*(Reprogramaciones!$R$15-1))+6,1,IF(MAX(0,NETWORKDAYS.INTL(MAX(E120,(Reprogramaciones!$T$15+7*(Reprogramaciones!$R$15-1))),MIN(F120,(Reprogramaciones!$T$15+7*(Reprogramaciones!$R$15-1))+6),11))=0,0,MAX(0,NETWORKDAYS.INTL(MAX(E120,(Reprogramaciones!$T$15+7*(Reprogramaciones!$R$15-1))),MIN(F120,Reprogramaciones!$P$15),11))/MAX(0,NETWORKDAYS.INTL(MAX(E120,(Reprogramaciones!$T$15+7*(Reprogramaciones!$R$15-1))),MIN(F120,(Reprogramaciones!$T$15+7*(Reprogramaciones!$R$15-1))+6),11))))))))</f>
        <v/>
      </c>
      <c r="AI120" s="38" t="str">
        <f aca="false">IF(COUNT($Q120:$AF120)=0,"",IF(ROUND(SUM($Q120:$AF120),1)&gt;=99.5,100,MIN(100,ROUND(SUM($Q120:$AF120),1))))</f>
        <v/>
      </c>
      <c r="AJ120" s="38" t="str">
        <f aca="false">IF(OR(AH120="",AI120=""),"",AI120-AH120)</f>
        <v/>
      </c>
      <c r="AK120" s="39" t="str">
        <f aca="true">IF(AH120="","",IF(OR(Ficha!$C$10="Suspendida",Ficha!$C$10="Cancelada"),Ficha!$C$10,IF(AND(AI120&lt;&gt;"",N(AI120)&gt;=100),"Completada",IF(AND(E120&gt;TODAY(),N(AI120)=0),"Por iniciar",IF(N(AI120)+0.5&lt;AH120,"Retrasada",IF(N(AI120)+0.5&lt;DA120,IF(Reprogramaciones!$K$15&gt;0,"Al día · Sem "&amp;Reprogramaciones!$K$15&amp;" en curso","Al día · en curso"),"A tiempo"))))))</f>
        <v/>
      </c>
      <c r="AL120" s="39" t="str">
        <f aca="true">IF(AND(A120="",AND(B120="",C120="",E120="",F120="",COUNT(Q120:AF120)=0)),"",IF(AND(B120="",C120="",E120="",F120="",COUNT(Q120:AF120)=0),"Falta la partida o subpartida",IF(AND(A120&lt;&gt;"",COUNTIF($A$6:$A$305,A120)&gt;1),"Ítem repetido",IF(AND(C120="",E120="",F120="",COUNT(Q120:AF120)=0),"Título de partida",IF(OR(E120="",F120=""),"Faltan fechas",IF(OR(ISTEXT(E120),ISTEXT(F120)),"Fecha escrita como texto: usa dd/mm/aaaa",IF(F120&lt;E120,"Fin antes del inicio",IF(IF($J$2="",FALSE(),OR(E120&lt;$J$2,F120&gt;Reprogramaciones!$T$15+69)),"Fuera de las 10 semanas",IF(ABS(SUM(G120:P120)-100)&gt;0.5,"La meta no suma 100%",IF(ROUND(SUM(Q120:AF120),1)&gt;100.5,"El avance pasa de 100%",IF(MIN(Q120:AF120)&lt;0,"Avance negativo",IF(COUNTA(Q120:AF120)&gt;COUNT(Q120:AF120),"Avance escrito como texto",IF(SUMPRODUCT((Q120:AF120&gt;0)*(Q120:AF120&lt;1))&gt;0,"Avance menor a 1: escribe 50, no 50%",IF(SUMPRODUCT(ISNUMBER(Q120:AF120)*(Reprogramaciones!$K$8:$Z$8&gt;TODAY()))&gt;0,"Avance en semana que aún no llega",IF(AND(N(Reprogramaciones!$E$21)&gt;0,F120&gt;Reprogramaciones!$E$21),"Pasa el fin de la obra: registra una reprogramación",IF(AND(N(Reprogramaciones!$E$21)&gt;0,SUMPRODUCT(ISNUMBER(Q120:AF120)*(Reprogramaciones!$K$8:$Z$8&gt;Reprogramaciones!$E$21))&gt;0),"Avance después del fin de la obra: registra una reprogramación por atraso","OK"))))))))))))))))</f>
        <v/>
      </c>
      <c r="AM120" s="40" t="str">
        <f aca="false">IF(OR(OR(NOT(AND(ISNUMBER(E120),ISNUMBER(F120))),$J$2=""),1&gt;MAX(1,Reprogramaciones!$U$15)),"",IF(Reprogramaciones!K$12&gt;=7,"",IF(OR(BT120-N(0)&gt;0.05,N(Q120)&gt;0),ROUNDDOWN(ROUND(BT120,6),0)&amp;"%"&amp;IF(CJ120="",""," / "&amp;CJ120&amp;"%"),IF(AND(N(0)&gt;=99.95,CJ120&lt;&gt;"",N(CJ120)&lt;100),"Pend. "&amp;CJ120&amp;"%",""))))</f>
        <v/>
      </c>
      <c r="AN120" s="40" t="str">
        <f aca="false">IF(OR(OR(NOT(AND(ISNUMBER(E120),ISNUMBER(F120))),$J$2=""),2&gt;MAX(1,Reprogramaciones!$U$15)),"",IF(Reprogramaciones!L$12&gt;=7,"",IF(OR(BU120-N(BT120)&gt;0.05,N(R120)&gt;0),ROUNDDOWN(ROUND(BU120,6),0)&amp;"%"&amp;IF(CK120="",""," / "&amp;CK120&amp;"%"),IF(AND(N(BT120)&gt;=99.95,CK120&lt;&gt;"",N(CK120)&lt;100),"Pend. "&amp;CK120&amp;"%",""))))</f>
        <v/>
      </c>
      <c r="AO120" s="40" t="str">
        <f aca="false">IF(OR(OR(NOT(AND(ISNUMBER(E120),ISNUMBER(F120))),$J$2=""),3&gt;MAX(1,Reprogramaciones!$U$15)),"",IF(Reprogramaciones!M$12&gt;=7,"",IF(OR(BV120-N(BU120)&gt;0.05,N(S120)&gt;0),ROUNDDOWN(ROUND(BV120,6),0)&amp;"%"&amp;IF(CL120="",""," / "&amp;CL120&amp;"%"),IF(AND(N(BU120)&gt;=99.95,CL120&lt;&gt;"",N(CL120)&lt;100),"Pend. "&amp;CL120&amp;"%",""))))</f>
        <v/>
      </c>
      <c r="AP120" s="40" t="str">
        <f aca="false">IF(OR(OR(NOT(AND(ISNUMBER(E120),ISNUMBER(F120))),$J$2=""),4&gt;MAX(1,Reprogramaciones!$U$15)),"",IF(Reprogramaciones!N$12&gt;=7,"",IF(OR(BW120-N(BV120)&gt;0.05,N(T120)&gt;0),ROUNDDOWN(ROUND(BW120,6),0)&amp;"%"&amp;IF(CM120="",""," / "&amp;CM120&amp;"%"),IF(AND(N(BV120)&gt;=99.95,CM120&lt;&gt;"",N(CM120)&lt;100),"Pend. "&amp;CM120&amp;"%",""))))</f>
        <v/>
      </c>
      <c r="AQ120" s="40" t="str">
        <f aca="false">IF(OR(OR(NOT(AND(ISNUMBER(E120),ISNUMBER(F120))),$J$2=""),5&gt;MAX(1,Reprogramaciones!$U$15)),"",IF(Reprogramaciones!O$12&gt;=7,"",IF(OR(BX120-N(BW120)&gt;0.05,N(U120)&gt;0),ROUNDDOWN(ROUND(BX120,6),0)&amp;"%"&amp;IF(CN120="",""," / "&amp;CN120&amp;"%"),IF(AND(N(BW120)&gt;=99.95,CN120&lt;&gt;"",N(CN120)&lt;100),"Pend. "&amp;CN120&amp;"%",""))))</f>
        <v/>
      </c>
      <c r="AR120" s="40" t="str">
        <f aca="false">IF(OR(OR(NOT(AND(ISNUMBER(E120),ISNUMBER(F120))),$J$2=""),6&gt;MAX(1,Reprogramaciones!$U$15)),"",IF(Reprogramaciones!P$12&gt;=7,"",IF(OR(BY120-N(BX120)&gt;0.05,N(V120)&gt;0),ROUNDDOWN(ROUND(BY120,6),0)&amp;"%"&amp;IF(CO120="",""," / "&amp;CO120&amp;"%"),IF(AND(N(BX120)&gt;=99.95,CO120&lt;&gt;"",N(CO120)&lt;100),"Pend. "&amp;CO120&amp;"%",""))))</f>
        <v/>
      </c>
      <c r="AS120" s="40" t="str">
        <f aca="false">IF(OR(OR(NOT(AND(ISNUMBER(E120),ISNUMBER(F120))),$J$2=""),7&gt;MAX(1,Reprogramaciones!$U$15)),"",IF(Reprogramaciones!Q$12&gt;=7,"",IF(OR(BZ120-N(BY120)&gt;0.05,N(W120)&gt;0),ROUNDDOWN(ROUND(BZ120,6),0)&amp;"%"&amp;IF(CP120="",""," / "&amp;CP120&amp;"%"),IF(AND(N(BY120)&gt;=99.95,CP120&lt;&gt;"",N(CP120)&lt;100),"Pend. "&amp;CP120&amp;"%",""))))</f>
        <v/>
      </c>
      <c r="AT120" s="40" t="str">
        <f aca="false">IF(OR(OR(NOT(AND(ISNUMBER(E120),ISNUMBER(F120))),$J$2=""),8&gt;MAX(1,Reprogramaciones!$U$15)),"",IF(Reprogramaciones!R$12&gt;=7,"",IF(OR(CA120-N(BZ120)&gt;0.05,N(X120)&gt;0),ROUNDDOWN(ROUND(CA120,6),0)&amp;"%"&amp;IF(CQ120="",""," / "&amp;CQ120&amp;"%"),IF(AND(N(BZ120)&gt;=99.95,CQ120&lt;&gt;"",N(CQ120)&lt;100),"Pend. "&amp;CQ120&amp;"%",""))))</f>
        <v/>
      </c>
      <c r="AU120" s="40" t="str">
        <f aca="false">IF(OR(OR(NOT(AND(ISNUMBER(E120),ISNUMBER(F120))),$J$2=""),9&gt;MAX(1,Reprogramaciones!$U$15)),"",IF(Reprogramaciones!S$12&gt;=7,"",IF(OR(CB120-N(CA120)&gt;0.05,N(Y120)&gt;0),ROUNDDOWN(ROUND(CB120,6),0)&amp;"%"&amp;IF(CR120="",""," / "&amp;CR120&amp;"%"),IF(AND(N(CA120)&gt;=99.95,CR120&lt;&gt;"",N(CR120)&lt;100),"Pend. "&amp;CR120&amp;"%",""))))</f>
        <v/>
      </c>
      <c r="AV120" s="40" t="str">
        <f aca="false">IF(OR(OR(NOT(AND(ISNUMBER(E120),ISNUMBER(F120))),$J$2=""),10&gt;MAX(1,Reprogramaciones!$U$15)),"",IF(Reprogramaciones!T$12&gt;=7,"",IF(OR(CC120-N(CB120)&gt;0.05,N(Z120)&gt;0),ROUNDDOWN(ROUND(CC120,6),0)&amp;"%"&amp;IF(CS120="",""," / "&amp;CS120&amp;"%"),IF(AND(N(CB120)&gt;=99.95,CS120&lt;&gt;"",N(CS120)&lt;100),"Pend. "&amp;CS120&amp;"%",""))))</f>
        <v/>
      </c>
      <c r="AW120" s="40" t="str">
        <f aca="false">IF(OR(OR(NOT(AND(ISNUMBER(E120),ISNUMBER(F120))),$J$2=""),11&gt;MAX(1,Reprogramaciones!$U$15)),"",IF(Reprogramaciones!U$12&gt;=7,"",IF(OR(CD120-N(CC120)&gt;0.05,N(AA120)&gt;0),ROUNDDOWN(ROUND(CD120,6),0)&amp;"%"&amp;IF(CT120="",""," / "&amp;CT120&amp;"%"),IF(AND(N(CC120)&gt;=99.95,CT120&lt;&gt;"",N(CT120)&lt;100),"Pend. "&amp;CT120&amp;"%",""))))</f>
        <v/>
      </c>
      <c r="AX120" s="40" t="str">
        <f aca="false">IF(OR(OR(NOT(AND(ISNUMBER(E120),ISNUMBER(F120))),$J$2=""),12&gt;MAX(1,Reprogramaciones!$U$15)),"",IF(Reprogramaciones!V$12&gt;=7,"",IF(OR(CE120-N(CD120)&gt;0.05,N(AB120)&gt;0),ROUNDDOWN(ROUND(CE120,6),0)&amp;"%"&amp;IF(CU120="",""," / "&amp;CU120&amp;"%"),IF(AND(N(CD120)&gt;=99.95,CU120&lt;&gt;"",N(CU120)&lt;100),"Pend. "&amp;CU120&amp;"%",""))))</f>
        <v/>
      </c>
      <c r="AY120" s="40" t="str">
        <f aca="false">IF(OR(OR(NOT(AND(ISNUMBER(E120),ISNUMBER(F120))),$J$2=""),13&gt;MAX(1,Reprogramaciones!$U$15)),"",IF(Reprogramaciones!W$12&gt;=7,"",IF(OR(CF120-N(CE120)&gt;0.05,N(AC120)&gt;0),ROUNDDOWN(ROUND(CF120,6),0)&amp;"%"&amp;IF(CV120="",""," / "&amp;CV120&amp;"%"),IF(AND(N(CE120)&gt;=99.95,CV120&lt;&gt;"",N(CV120)&lt;100),"Pend. "&amp;CV120&amp;"%",""))))</f>
        <v/>
      </c>
      <c r="AZ120" s="40" t="str">
        <f aca="false">IF(OR(OR(NOT(AND(ISNUMBER(E120),ISNUMBER(F120))),$J$2=""),14&gt;MAX(1,Reprogramaciones!$U$15)),"",IF(Reprogramaciones!X$12&gt;=7,"",IF(OR(CG120-N(CF120)&gt;0.05,N(AD120)&gt;0),ROUNDDOWN(ROUND(CG120,6),0)&amp;"%"&amp;IF(CW120="",""," / "&amp;CW120&amp;"%"),IF(AND(N(CF120)&gt;=99.95,CW120&lt;&gt;"",N(CW120)&lt;100),"Pend. "&amp;CW120&amp;"%",""))))</f>
        <v/>
      </c>
      <c r="BA120" s="40" t="str">
        <f aca="false">IF(OR(OR(NOT(AND(ISNUMBER(E120),ISNUMBER(F120))),$J$2=""),15&gt;MAX(1,Reprogramaciones!$U$15)),"",IF(Reprogramaciones!Y$12&gt;=7,"",IF(OR(CH120-N(CG120)&gt;0.05,N(AE120)&gt;0),ROUNDDOWN(ROUND(CH120,6),0)&amp;"%"&amp;IF(CX120="",""," / "&amp;CX120&amp;"%"),IF(AND(N(CG120)&gt;=99.95,CX120&lt;&gt;"",N(CX120)&lt;100),"Pend. "&amp;CX120&amp;"%",""))))</f>
        <v/>
      </c>
      <c r="BB120" s="40" t="str">
        <f aca="false">IF(OR(OR(NOT(AND(ISNUMBER(E120),ISNUMBER(F120))),$J$2=""),16&gt;MAX(1,Reprogramaciones!$U$15)),"",IF(Reprogramaciones!Z$12&gt;=7,"",IF(OR(CI120-N(CH120)&gt;0.05,N(AF120)&gt;0),ROUNDDOWN(ROUND(CI120,6),0)&amp;"%"&amp;IF(CY120="",""," / "&amp;CY120&amp;"%"),IF(AND(N(CH120)&gt;=99.95,CY120&lt;&gt;"",N(CY120)&lt;100),"Pend. "&amp;CY120&amp;"%",""))))</f>
        <v/>
      </c>
      <c r="BC120" s="31" t="n">
        <f aca="false">IF(AND(ISNUMBER(E120),ISNUMBER(F120)),MAX(1,NETWORKDAYS.INTL(E120,F120,11)),0)</f>
        <v>0</v>
      </c>
      <c r="BD120" s="1" t="str">
        <f aca="false">IF(OR(NOT(AND(ISNUMBER(E120),ISNUMBER(F120))),$J$2=""),"",MIN(100,ROUND(SUM($G120:G120),1)))</f>
        <v/>
      </c>
      <c r="BE120" s="1" t="str">
        <f aca="false">IF(OR(NOT(AND(ISNUMBER(E120),ISNUMBER(F120))),$J$2=""),"",MIN(100,ROUND(SUM($G120:H120),1)))</f>
        <v/>
      </c>
      <c r="BF120" s="1" t="str">
        <f aca="false">IF(OR(NOT(AND(ISNUMBER(E120),ISNUMBER(F120))),$J$2=""),"",MIN(100,ROUND(SUM($G120:I120),1)))</f>
        <v/>
      </c>
      <c r="BG120" s="1" t="str">
        <f aca="false">IF(OR(NOT(AND(ISNUMBER(E120),ISNUMBER(F120))),$J$2=""),"",MIN(100,ROUND(SUM($G120:J120),1)))</f>
        <v/>
      </c>
      <c r="BH120" s="1" t="str">
        <f aca="false">IF(OR(NOT(AND(ISNUMBER(E120),ISNUMBER(F120))),$J$2=""),"",MIN(100,ROUND(SUM($G120:K120),1)))</f>
        <v/>
      </c>
      <c r="BI120" s="1" t="str">
        <f aca="false">IF(OR(NOT(AND(ISNUMBER(E120),ISNUMBER(F120))),$J$2=""),"",MIN(100,ROUND(SUM($G120:L120),1)))</f>
        <v/>
      </c>
      <c r="BJ120" s="1" t="str">
        <f aca="false">IF(OR(NOT(AND(ISNUMBER(E120),ISNUMBER(F120))),$J$2=""),"",MIN(100,ROUND(SUM($G120:M120),1)))</f>
        <v/>
      </c>
      <c r="BK120" s="1" t="str">
        <f aca="false">IF(OR(NOT(AND(ISNUMBER(E120),ISNUMBER(F120))),$J$2=""),"",MIN(100,ROUND(SUM($G120:N120),1)))</f>
        <v/>
      </c>
      <c r="BL120" s="1" t="str">
        <f aca="false">IF(OR(NOT(AND(ISNUMBER(E120),ISNUMBER(F120))),$J$2=""),"",MIN(100,ROUND(SUM($G120:O120),1)))</f>
        <v/>
      </c>
      <c r="BM120" s="1" t="str">
        <f aca="false">IF(OR(NOT(AND(ISNUMBER(E120),ISNUMBER(F120))),$J$2=""),"",MIN(100,ROUND(SUM($G120:P120),1)))</f>
        <v/>
      </c>
      <c r="BN120" s="1" t="str">
        <f aca="false">IF(OR(NOT(AND(ISNUMBER(E120),ISNUMBER(F120))),$J$2=""),"",MIN(100,ROUND(SUM($G120:P120),1)))</f>
        <v/>
      </c>
      <c r="BO120" s="1" t="str">
        <f aca="false">IF(OR(NOT(AND(ISNUMBER(E120),ISNUMBER(F120))),$J$2=""),"",MIN(100,ROUND(SUM($G120:P120),1)))</f>
        <v/>
      </c>
      <c r="BP120" s="1" t="str">
        <f aca="false">IF(OR(NOT(AND(ISNUMBER(E120),ISNUMBER(F120))),$J$2=""),"",MIN(100,ROUND(SUM($G120:P120),1)))</f>
        <v/>
      </c>
      <c r="BQ120" s="1" t="str">
        <f aca="false">IF(OR(NOT(AND(ISNUMBER(E120),ISNUMBER(F120))),$J$2=""),"",MIN(100,ROUND(SUM($G120:P120),1)))</f>
        <v/>
      </c>
      <c r="BR120" s="1" t="str">
        <f aca="false">IF(OR(NOT(AND(ISNUMBER(E120),ISNUMBER(F120))),$J$2=""),"",MIN(100,ROUND(SUM($G120:P120),1)))</f>
        <v/>
      </c>
      <c r="BS120" s="1" t="str">
        <f aca="false">IF(OR(NOT(AND(ISNUMBER(E120),ISNUMBER(F120))),$J$2=""),"",MIN(100,ROUND(SUM($G120:P120),1)))</f>
        <v/>
      </c>
      <c r="BT120" s="1" t="str">
        <f aca="false">IF(OR(NOT(AND(ISNUMBER(E120),ISNUMBER(F120))),$J$2=""),"",IF(Reprogramaciones!K$13&lt;Reprogramaciones!$T$15,0,IF(Reprogramaciones!K$14&gt;10,MIN(100,SUM($G120:$P120)),MIN(100,SUMPRODUCT((COLUMN($G120:$P120)-COLUMN($G120)+1&lt;Reprogramaciones!K$14)*$G120:$P120)+N(INDEX($G120:$P120,1,Reprogramaciones!K$14))*IF(Reprogramaciones!K$13&gt;=(Reprogramaciones!$T$15+7*(Reprogramaciones!K$14-1))+6,1,IF(MAX(0,NETWORKDAYS.INTL(MAX(E120,(Reprogramaciones!$T$15+7*(Reprogramaciones!K$14-1))),MIN(F120,(Reprogramaciones!$T$15+7*(Reprogramaciones!K$14-1))+6),11))=0,0,MAX(0,NETWORKDAYS.INTL(MAX(E120,(Reprogramaciones!$T$15+7*(Reprogramaciones!K$14-1))),MIN(F120,Reprogramaciones!K$13),11))/MAX(0,NETWORKDAYS.INTL(MAX(E120,(Reprogramaciones!$T$15+7*(Reprogramaciones!K$14-1))),MIN(F120,(Reprogramaciones!$T$15+7*(Reprogramaciones!K$14-1))+6),11))))))))</f>
        <v/>
      </c>
      <c r="BU120" s="1" t="str">
        <f aca="false">IF(OR(NOT(AND(ISNUMBER(E120),ISNUMBER(F120))),$J$2=""),"",IF(Reprogramaciones!L$13&lt;Reprogramaciones!$T$15,0,IF(Reprogramaciones!L$14&gt;10,MIN(100,SUM($G120:$P120)),MIN(100,SUMPRODUCT((COLUMN($G120:$P120)-COLUMN($G120)+1&lt;Reprogramaciones!L$14)*$G120:$P120)+N(INDEX($G120:$P120,1,Reprogramaciones!L$14))*IF(Reprogramaciones!L$13&gt;=(Reprogramaciones!$T$15+7*(Reprogramaciones!L$14-1))+6,1,IF(MAX(0,NETWORKDAYS.INTL(MAX(E120,(Reprogramaciones!$T$15+7*(Reprogramaciones!L$14-1))),MIN(F120,(Reprogramaciones!$T$15+7*(Reprogramaciones!L$14-1))+6),11))=0,0,MAX(0,NETWORKDAYS.INTL(MAX(E120,(Reprogramaciones!$T$15+7*(Reprogramaciones!L$14-1))),MIN(F120,Reprogramaciones!L$13),11))/MAX(0,NETWORKDAYS.INTL(MAX(E120,(Reprogramaciones!$T$15+7*(Reprogramaciones!L$14-1))),MIN(F120,(Reprogramaciones!$T$15+7*(Reprogramaciones!L$14-1))+6),11))))))))</f>
        <v/>
      </c>
      <c r="BV120" s="1" t="str">
        <f aca="false">IF(OR(NOT(AND(ISNUMBER(E120),ISNUMBER(F120))),$J$2=""),"",IF(Reprogramaciones!M$13&lt;Reprogramaciones!$T$15,0,IF(Reprogramaciones!M$14&gt;10,MIN(100,SUM($G120:$P120)),MIN(100,SUMPRODUCT((COLUMN($G120:$P120)-COLUMN($G120)+1&lt;Reprogramaciones!M$14)*$G120:$P120)+N(INDEX($G120:$P120,1,Reprogramaciones!M$14))*IF(Reprogramaciones!M$13&gt;=(Reprogramaciones!$T$15+7*(Reprogramaciones!M$14-1))+6,1,IF(MAX(0,NETWORKDAYS.INTL(MAX(E120,(Reprogramaciones!$T$15+7*(Reprogramaciones!M$14-1))),MIN(F120,(Reprogramaciones!$T$15+7*(Reprogramaciones!M$14-1))+6),11))=0,0,MAX(0,NETWORKDAYS.INTL(MAX(E120,(Reprogramaciones!$T$15+7*(Reprogramaciones!M$14-1))),MIN(F120,Reprogramaciones!M$13),11))/MAX(0,NETWORKDAYS.INTL(MAX(E120,(Reprogramaciones!$T$15+7*(Reprogramaciones!M$14-1))),MIN(F120,(Reprogramaciones!$T$15+7*(Reprogramaciones!M$14-1))+6),11))))))))</f>
        <v/>
      </c>
      <c r="BW120" s="1" t="str">
        <f aca="false">IF(OR(NOT(AND(ISNUMBER(E120),ISNUMBER(F120))),$J$2=""),"",IF(Reprogramaciones!N$13&lt;Reprogramaciones!$T$15,0,IF(Reprogramaciones!N$14&gt;10,MIN(100,SUM($G120:$P120)),MIN(100,SUMPRODUCT((COLUMN($G120:$P120)-COLUMN($G120)+1&lt;Reprogramaciones!N$14)*$G120:$P120)+N(INDEX($G120:$P120,1,Reprogramaciones!N$14))*IF(Reprogramaciones!N$13&gt;=(Reprogramaciones!$T$15+7*(Reprogramaciones!N$14-1))+6,1,IF(MAX(0,NETWORKDAYS.INTL(MAX(E120,(Reprogramaciones!$T$15+7*(Reprogramaciones!N$14-1))),MIN(F120,(Reprogramaciones!$T$15+7*(Reprogramaciones!N$14-1))+6),11))=0,0,MAX(0,NETWORKDAYS.INTL(MAX(E120,(Reprogramaciones!$T$15+7*(Reprogramaciones!N$14-1))),MIN(F120,Reprogramaciones!N$13),11))/MAX(0,NETWORKDAYS.INTL(MAX(E120,(Reprogramaciones!$T$15+7*(Reprogramaciones!N$14-1))),MIN(F120,(Reprogramaciones!$T$15+7*(Reprogramaciones!N$14-1))+6),11))))))))</f>
        <v/>
      </c>
      <c r="BX120" s="1" t="str">
        <f aca="false">IF(OR(NOT(AND(ISNUMBER(E120),ISNUMBER(F120))),$J$2=""),"",IF(Reprogramaciones!O$13&lt;Reprogramaciones!$T$15,0,IF(Reprogramaciones!O$14&gt;10,MIN(100,SUM($G120:$P120)),MIN(100,SUMPRODUCT((COLUMN($G120:$P120)-COLUMN($G120)+1&lt;Reprogramaciones!O$14)*$G120:$P120)+N(INDEX($G120:$P120,1,Reprogramaciones!O$14))*IF(Reprogramaciones!O$13&gt;=(Reprogramaciones!$T$15+7*(Reprogramaciones!O$14-1))+6,1,IF(MAX(0,NETWORKDAYS.INTL(MAX(E120,(Reprogramaciones!$T$15+7*(Reprogramaciones!O$14-1))),MIN(F120,(Reprogramaciones!$T$15+7*(Reprogramaciones!O$14-1))+6),11))=0,0,MAX(0,NETWORKDAYS.INTL(MAX(E120,(Reprogramaciones!$T$15+7*(Reprogramaciones!O$14-1))),MIN(F120,Reprogramaciones!O$13),11))/MAX(0,NETWORKDAYS.INTL(MAX(E120,(Reprogramaciones!$T$15+7*(Reprogramaciones!O$14-1))),MIN(F120,(Reprogramaciones!$T$15+7*(Reprogramaciones!O$14-1))+6),11))))))))</f>
        <v/>
      </c>
      <c r="BY120" s="1" t="str">
        <f aca="false">IF(OR(NOT(AND(ISNUMBER(E120),ISNUMBER(F120))),$J$2=""),"",IF(Reprogramaciones!P$13&lt;Reprogramaciones!$T$15,0,IF(Reprogramaciones!P$14&gt;10,MIN(100,SUM($G120:$P120)),MIN(100,SUMPRODUCT((COLUMN($G120:$P120)-COLUMN($G120)+1&lt;Reprogramaciones!P$14)*$G120:$P120)+N(INDEX($G120:$P120,1,Reprogramaciones!P$14))*IF(Reprogramaciones!P$13&gt;=(Reprogramaciones!$T$15+7*(Reprogramaciones!P$14-1))+6,1,IF(MAX(0,NETWORKDAYS.INTL(MAX(E120,(Reprogramaciones!$T$15+7*(Reprogramaciones!P$14-1))),MIN(F120,(Reprogramaciones!$T$15+7*(Reprogramaciones!P$14-1))+6),11))=0,0,MAX(0,NETWORKDAYS.INTL(MAX(E120,(Reprogramaciones!$T$15+7*(Reprogramaciones!P$14-1))),MIN(F120,Reprogramaciones!P$13),11))/MAX(0,NETWORKDAYS.INTL(MAX(E120,(Reprogramaciones!$T$15+7*(Reprogramaciones!P$14-1))),MIN(F120,(Reprogramaciones!$T$15+7*(Reprogramaciones!P$14-1))+6),11))))))))</f>
        <v/>
      </c>
      <c r="BZ120" s="1" t="str">
        <f aca="false">IF(OR(NOT(AND(ISNUMBER(E120),ISNUMBER(F120))),$J$2=""),"",IF(Reprogramaciones!Q$13&lt;Reprogramaciones!$T$15,0,IF(Reprogramaciones!Q$14&gt;10,MIN(100,SUM($G120:$P120)),MIN(100,SUMPRODUCT((COLUMN($G120:$P120)-COLUMN($G120)+1&lt;Reprogramaciones!Q$14)*$G120:$P120)+N(INDEX($G120:$P120,1,Reprogramaciones!Q$14))*IF(Reprogramaciones!Q$13&gt;=(Reprogramaciones!$T$15+7*(Reprogramaciones!Q$14-1))+6,1,IF(MAX(0,NETWORKDAYS.INTL(MAX(E120,(Reprogramaciones!$T$15+7*(Reprogramaciones!Q$14-1))),MIN(F120,(Reprogramaciones!$T$15+7*(Reprogramaciones!Q$14-1))+6),11))=0,0,MAX(0,NETWORKDAYS.INTL(MAX(E120,(Reprogramaciones!$T$15+7*(Reprogramaciones!Q$14-1))),MIN(F120,Reprogramaciones!Q$13),11))/MAX(0,NETWORKDAYS.INTL(MAX(E120,(Reprogramaciones!$T$15+7*(Reprogramaciones!Q$14-1))),MIN(F120,(Reprogramaciones!$T$15+7*(Reprogramaciones!Q$14-1))+6),11))))))))</f>
        <v/>
      </c>
      <c r="CA120" s="1" t="str">
        <f aca="false">IF(OR(NOT(AND(ISNUMBER(E120),ISNUMBER(F120))),$J$2=""),"",IF(Reprogramaciones!R$13&lt;Reprogramaciones!$T$15,0,IF(Reprogramaciones!R$14&gt;10,MIN(100,SUM($G120:$P120)),MIN(100,SUMPRODUCT((COLUMN($G120:$P120)-COLUMN($G120)+1&lt;Reprogramaciones!R$14)*$G120:$P120)+N(INDEX($G120:$P120,1,Reprogramaciones!R$14))*IF(Reprogramaciones!R$13&gt;=(Reprogramaciones!$T$15+7*(Reprogramaciones!R$14-1))+6,1,IF(MAX(0,NETWORKDAYS.INTL(MAX(E120,(Reprogramaciones!$T$15+7*(Reprogramaciones!R$14-1))),MIN(F120,(Reprogramaciones!$T$15+7*(Reprogramaciones!R$14-1))+6),11))=0,0,MAX(0,NETWORKDAYS.INTL(MAX(E120,(Reprogramaciones!$T$15+7*(Reprogramaciones!R$14-1))),MIN(F120,Reprogramaciones!R$13),11))/MAX(0,NETWORKDAYS.INTL(MAX(E120,(Reprogramaciones!$T$15+7*(Reprogramaciones!R$14-1))),MIN(F120,(Reprogramaciones!$T$15+7*(Reprogramaciones!R$14-1))+6),11))))))))</f>
        <v/>
      </c>
      <c r="CB120" s="1" t="str">
        <f aca="false">IF(OR(NOT(AND(ISNUMBER(E120),ISNUMBER(F120))),$J$2=""),"",IF(Reprogramaciones!S$13&lt;Reprogramaciones!$T$15,0,IF(Reprogramaciones!S$14&gt;10,MIN(100,SUM($G120:$P120)),MIN(100,SUMPRODUCT((COLUMN($G120:$P120)-COLUMN($G120)+1&lt;Reprogramaciones!S$14)*$G120:$P120)+N(INDEX($G120:$P120,1,Reprogramaciones!S$14))*IF(Reprogramaciones!S$13&gt;=(Reprogramaciones!$T$15+7*(Reprogramaciones!S$14-1))+6,1,IF(MAX(0,NETWORKDAYS.INTL(MAX(E120,(Reprogramaciones!$T$15+7*(Reprogramaciones!S$14-1))),MIN(F120,(Reprogramaciones!$T$15+7*(Reprogramaciones!S$14-1))+6),11))=0,0,MAX(0,NETWORKDAYS.INTL(MAX(E120,(Reprogramaciones!$T$15+7*(Reprogramaciones!S$14-1))),MIN(F120,Reprogramaciones!S$13),11))/MAX(0,NETWORKDAYS.INTL(MAX(E120,(Reprogramaciones!$T$15+7*(Reprogramaciones!S$14-1))),MIN(F120,(Reprogramaciones!$T$15+7*(Reprogramaciones!S$14-1))+6),11))))))))</f>
        <v/>
      </c>
      <c r="CC120" s="1" t="str">
        <f aca="false">IF(OR(NOT(AND(ISNUMBER(E120),ISNUMBER(F120))),$J$2=""),"",IF(Reprogramaciones!T$13&lt;Reprogramaciones!$T$15,0,IF(Reprogramaciones!T$14&gt;10,MIN(100,SUM($G120:$P120)),MIN(100,SUMPRODUCT((COLUMN($G120:$P120)-COLUMN($G120)+1&lt;Reprogramaciones!T$14)*$G120:$P120)+N(INDEX($G120:$P120,1,Reprogramaciones!T$14))*IF(Reprogramaciones!T$13&gt;=(Reprogramaciones!$T$15+7*(Reprogramaciones!T$14-1))+6,1,IF(MAX(0,NETWORKDAYS.INTL(MAX(E120,(Reprogramaciones!$T$15+7*(Reprogramaciones!T$14-1))),MIN(F120,(Reprogramaciones!$T$15+7*(Reprogramaciones!T$14-1))+6),11))=0,0,MAX(0,NETWORKDAYS.INTL(MAX(E120,(Reprogramaciones!$T$15+7*(Reprogramaciones!T$14-1))),MIN(F120,Reprogramaciones!T$13),11))/MAX(0,NETWORKDAYS.INTL(MAX(E120,(Reprogramaciones!$T$15+7*(Reprogramaciones!T$14-1))),MIN(F120,(Reprogramaciones!$T$15+7*(Reprogramaciones!T$14-1))+6),11))))))))</f>
        <v/>
      </c>
      <c r="CD120" s="1" t="str">
        <f aca="false">IF(OR(NOT(AND(ISNUMBER(E120),ISNUMBER(F120))),$J$2=""),"",IF(Reprogramaciones!U$13&lt;Reprogramaciones!$T$15,0,IF(Reprogramaciones!U$14&gt;10,MIN(100,SUM($G120:$P120)),MIN(100,SUMPRODUCT((COLUMN($G120:$P120)-COLUMN($G120)+1&lt;Reprogramaciones!U$14)*$G120:$P120)+N(INDEX($G120:$P120,1,Reprogramaciones!U$14))*IF(Reprogramaciones!U$13&gt;=(Reprogramaciones!$T$15+7*(Reprogramaciones!U$14-1))+6,1,IF(MAX(0,NETWORKDAYS.INTL(MAX(E120,(Reprogramaciones!$T$15+7*(Reprogramaciones!U$14-1))),MIN(F120,(Reprogramaciones!$T$15+7*(Reprogramaciones!U$14-1))+6),11))=0,0,MAX(0,NETWORKDAYS.INTL(MAX(E120,(Reprogramaciones!$T$15+7*(Reprogramaciones!U$14-1))),MIN(F120,Reprogramaciones!U$13),11))/MAX(0,NETWORKDAYS.INTL(MAX(E120,(Reprogramaciones!$T$15+7*(Reprogramaciones!U$14-1))),MIN(F120,(Reprogramaciones!$T$15+7*(Reprogramaciones!U$14-1))+6),11))))))))</f>
        <v/>
      </c>
      <c r="CE120" s="1" t="str">
        <f aca="false">IF(OR(NOT(AND(ISNUMBER(E120),ISNUMBER(F120))),$J$2=""),"",IF(Reprogramaciones!V$13&lt;Reprogramaciones!$T$15,0,IF(Reprogramaciones!V$14&gt;10,MIN(100,SUM($G120:$P120)),MIN(100,SUMPRODUCT((COLUMN($G120:$P120)-COLUMN($G120)+1&lt;Reprogramaciones!V$14)*$G120:$P120)+N(INDEX($G120:$P120,1,Reprogramaciones!V$14))*IF(Reprogramaciones!V$13&gt;=(Reprogramaciones!$T$15+7*(Reprogramaciones!V$14-1))+6,1,IF(MAX(0,NETWORKDAYS.INTL(MAX(E120,(Reprogramaciones!$T$15+7*(Reprogramaciones!V$14-1))),MIN(F120,(Reprogramaciones!$T$15+7*(Reprogramaciones!V$14-1))+6),11))=0,0,MAX(0,NETWORKDAYS.INTL(MAX(E120,(Reprogramaciones!$T$15+7*(Reprogramaciones!V$14-1))),MIN(F120,Reprogramaciones!V$13),11))/MAX(0,NETWORKDAYS.INTL(MAX(E120,(Reprogramaciones!$T$15+7*(Reprogramaciones!V$14-1))),MIN(F120,(Reprogramaciones!$T$15+7*(Reprogramaciones!V$14-1))+6),11))))))))</f>
        <v/>
      </c>
      <c r="CF120" s="1" t="str">
        <f aca="false">IF(OR(NOT(AND(ISNUMBER(E120),ISNUMBER(F120))),$J$2=""),"",IF(Reprogramaciones!W$13&lt;Reprogramaciones!$T$15,0,IF(Reprogramaciones!W$14&gt;10,MIN(100,SUM($G120:$P120)),MIN(100,SUMPRODUCT((COLUMN($G120:$P120)-COLUMN($G120)+1&lt;Reprogramaciones!W$14)*$G120:$P120)+N(INDEX($G120:$P120,1,Reprogramaciones!W$14))*IF(Reprogramaciones!W$13&gt;=(Reprogramaciones!$T$15+7*(Reprogramaciones!W$14-1))+6,1,IF(MAX(0,NETWORKDAYS.INTL(MAX(E120,(Reprogramaciones!$T$15+7*(Reprogramaciones!W$14-1))),MIN(F120,(Reprogramaciones!$T$15+7*(Reprogramaciones!W$14-1))+6),11))=0,0,MAX(0,NETWORKDAYS.INTL(MAX(E120,(Reprogramaciones!$T$15+7*(Reprogramaciones!W$14-1))),MIN(F120,Reprogramaciones!W$13),11))/MAX(0,NETWORKDAYS.INTL(MAX(E120,(Reprogramaciones!$T$15+7*(Reprogramaciones!W$14-1))),MIN(F120,(Reprogramaciones!$T$15+7*(Reprogramaciones!W$14-1))+6),11))))))))</f>
        <v/>
      </c>
      <c r="CG120" s="1" t="str">
        <f aca="false">IF(OR(NOT(AND(ISNUMBER(E120),ISNUMBER(F120))),$J$2=""),"",IF(Reprogramaciones!X$13&lt;Reprogramaciones!$T$15,0,IF(Reprogramaciones!X$14&gt;10,MIN(100,SUM($G120:$P120)),MIN(100,SUMPRODUCT((COLUMN($G120:$P120)-COLUMN($G120)+1&lt;Reprogramaciones!X$14)*$G120:$P120)+N(INDEX($G120:$P120,1,Reprogramaciones!X$14))*IF(Reprogramaciones!X$13&gt;=(Reprogramaciones!$T$15+7*(Reprogramaciones!X$14-1))+6,1,IF(MAX(0,NETWORKDAYS.INTL(MAX(E120,(Reprogramaciones!$T$15+7*(Reprogramaciones!X$14-1))),MIN(F120,(Reprogramaciones!$T$15+7*(Reprogramaciones!X$14-1))+6),11))=0,0,MAX(0,NETWORKDAYS.INTL(MAX(E120,(Reprogramaciones!$T$15+7*(Reprogramaciones!X$14-1))),MIN(F120,Reprogramaciones!X$13),11))/MAX(0,NETWORKDAYS.INTL(MAX(E120,(Reprogramaciones!$T$15+7*(Reprogramaciones!X$14-1))),MIN(F120,(Reprogramaciones!$T$15+7*(Reprogramaciones!X$14-1))+6),11))))))))</f>
        <v/>
      </c>
      <c r="CH120" s="1" t="str">
        <f aca="false">IF(OR(NOT(AND(ISNUMBER(E120),ISNUMBER(F120))),$J$2=""),"",IF(Reprogramaciones!Y$13&lt;Reprogramaciones!$T$15,0,IF(Reprogramaciones!Y$14&gt;10,MIN(100,SUM($G120:$P120)),MIN(100,SUMPRODUCT((COLUMN($G120:$P120)-COLUMN($G120)+1&lt;Reprogramaciones!Y$14)*$G120:$P120)+N(INDEX($G120:$P120,1,Reprogramaciones!Y$14))*IF(Reprogramaciones!Y$13&gt;=(Reprogramaciones!$T$15+7*(Reprogramaciones!Y$14-1))+6,1,IF(MAX(0,NETWORKDAYS.INTL(MAX(E120,(Reprogramaciones!$T$15+7*(Reprogramaciones!Y$14-1))),MIN(F120,(Reprogramaciones!$T$15+7*(Reprogramaciones!Y$14-1))+6),11))=0,0,MAX(0,NETWORKDAYS.INTL(MAX(E120,(Reprogramaciones!$T$15+7*(Reprogramaciones!Y$14-1))),MIN(F120,Reprogramaciones!Y$13),11))/MAX(0,NETWORKDAYS.INTL(MAX(E120,(Reprogramaciones!$T$15+7*(Reprogramaciones!Y$14-1))),MIN(F120,(Reprogramaciones!$T$15+7*(Reprogramaciones!Y$14-1))+6),11))))))))</f>
        <v/>
      </c>
      <c r="CI120" s="1" t="str">
        <f aca="false">IF(OR(NOT(AND(ISNUMBER(E120),ISNUMBER(F120))),$J$2=""),"",IF(Reprogramaciones!Z$13&lt;Reprogramaciones!$T$15,0,IF(Reprogramaciones!Z$14&gt;10,MIN(100,SUM($G120:$P120)),MIN(100,SUMPRODUCT((COLUMN($G120:$P120)-COLUMN($G120)+1&lt;Reprogramaciones!Z$14)*$G120:$P120)+N(INDEX($G120:$P120,1,Reprogramaciones!Z$14))*IF(Reprogramaciones!Z$13&gt;=(Reprogramaciones!$T$15+7*(Reprogramaciones!Z$14-1))+6,1,IF(MAX(0,NETWORKDAYS.INTL(MAX(E120,(Reprogramaciones!$T$15+7*(Reprogramaciones!Z$14-1))),MIN(F120,(Reprogramaciones!$T$15+7*(Reprogramaciones!Z$14-1))+6),11))=0,0,MAX(0,NETWORKDAYS.INTL(MAX(E120,(Reprogramaciones!$T$15+7*(Reprogramaciones!Z$14-1))),MIN(F120,Reprogramaciones!Z$13),11))/MAX(0,NETWORKDAYS.INTL(MAX(E120,(Reprogramaciones!$T$15+7*(Reprogramaciones!Z$14-1))),MIN(F120,(Reprogramaciones!$T$15+7*(Reprogramaciones!Z$14-1))+6),11))))))))</f>
        <v/>
      </c>
      <c r="CJ120" s="1" t="str">
        <f aca="false">IF(OR(OR(NOT(AND(ISNUMBER(E120),ISNUMBER(F120))),$J$2=""),1&gt;Reprogramaciones!$K$16),"",IF(ROUND(SUM($Q120:Q120),1)&gt;=99.5,100,MIN(100,ROUND(SUM($Q120:Q120),1))))</f>
        <v/>
      </c>
      <c r="CK120" s="1" t="str">
        <f aca="false">IF(OR(OR(NOT(AND(ISNUMBER(E120),ISNUMBER(F120))),$J$2=""),2&gt;Reprogramaciones!$K$16),"",IF(ROUND(SUM($Q120:R120),1)&gt;=99.5,100,MIN(100,ROUND(SUM($Q120:R120),1))))</f>
        <v/>
      </c>
      <c r="CL120" s="1" t="str">
        <f aca="false">IF(OR(OR(NOT(AND(ISNUMBER(E120),ISNUMBER(F120))),$J$2=""),3&gt;Reprogramaciones!$K$16),"",IF(ROUND(SUM($Q120:S120),1)&gt;=99.5,100,MIN(100,ROUND(SUM($Q120:S120),1))))</f>
        <v/>
      </c>
      <c r="CM120" s="1" t="str">
        <f aca="false">IF(OR(OR(NOT(AND(ISNUMBER(E120),ISNUMBER(F120))),$J$2=""),4&gt;Reprogramaciones!$K$16),"",IF(ROUND(SUM($Q120:T120),1)&gt;=99.5,100,MIN(100,ROUND(SUM($Q120:T120),1))))</f>
        <v/>
      </c>
      <c r="CN120" s="1" t="str">
        <f aca="false">IF(OR(OR(NOT(AND(ISNUMBER(E120),ISNUMBER(F120))),$J$2=""),5&gt;Reprogramaciones!$K$16),"",IF(ROUND(SUM($Q120:U120),1)&gt;=99.5,100,MIN(100,ROUND(SUM($Q120:U120),1))))</f>
        <v/>
      </c>
      <c r="CO120" s="1" t="str">
        <f aca="false">IF(OR(OR(NOT(AND(ISNUMBER(E120),ISNUMBER(F120))),$J$2=""),6&gt;Reprogramaciones!$K$16),"",IF(ROUND(SUM($Q120:V120),1)&gt;=99.5,100,MIN(100,ROUND(SUM($Q120:V120),1))))</f>
        <v/>
      </c>
      <c r="CP120" s="1" t="str">
        <f aca="false">IF(OR(OR(NOT(AND(ISNUMBER(E120),ISNUMBER(F120))),$J$2=""),7&gt;Reprogramaciones!$K$16),"",IF(ROUND(SUM($Q120:W120),1)&gt;=99.5,100,MIN(100,ROUND(SUM($Q120:W120),1))))</f>
        <v/>
      </c>
      <c r="CQ120" s="1" t="str">
        <f aca="false">IF(OR(OR(NOT(AND(ISNUMBER(E120),ISNUMBER(F120))),$J$2=""),8&gt;Reprogramaciones!$K$16),"",IF(ROUND(SUM($Q120:X120),1)&gt;=99.5,100,MIN(100,ROUND(SUM($Q120:X120),1))))</f>
        <v/>
      </c>
      <c r="CR120" s="1" t="str">
        <f aca="false">IF(OR(OR(NOT(AND(ISNUMBER(E120),ISNUMBER(F120))),$J$2=""),9&gt;Reprogramaciones!$K$16),"",IF(ROUND(SUM($Q120:Y120),1)&gt;=99.5,100,MIN(100,ROUND(SUM($Q120:Y120),1))))</f>
        <v/>
      </c>
      <c r="CS120" s="1" t="str">
        <f aca="false">IF(OR(OR(NOT(AND(ISNUMBER(E120),ISNUMBER(F120))),$J$2=""),10&gt;Reprogramaciones!$K$16),"",IF(ROUND(SUM($Q120:Z120),1)&gt;=99.5,100,MIN(100,ROUND(SUM($Q120:Z120),1))))</f>
        <v/>
      </c>
      <c r="CT120" s="1" t="str">
        <f aca="false">IF(OR(OR(NOT(AND(ISNUMBER(E120),ISNUMBER(F120))),$J$2=""),11&gt;Reprogramaciones!$K$16),"",IF(ROUND(SUM($Q120:AA120),1)&gt;=99.5,100,MIN(100,ROUND(SUM($Q120:AA120),1))))</f>
        <v/>
      </c>
      <c r="CU120" s="1" t="str">
        <f aca="false">IF(OR(OR(NOT(AND(ISNUMBER(E120),ISNUMBER(F120))),$J$2=""),12&gt;Reprogramaciones!$K$16),"",IF(ROUND(SUM($Q120:AB120),1)&gt;=99.5,100,MIN(100,ROUND(SUM($Q120:AB120),1))))</f>
        <v/>
      </c>
      <c r="CV120" s="1" t="str">
        <f aca="false">IF(OR(OR(NOT(AND(ISNUMBER(E120),ISNUMBER(F120))),$J$2=""),13&gt;Reprogramaciones!$K$16),"",IF(ROUND(SUM($Q120:AC120),1)&gt;=99.5,100,MIN(100,ROUND(SUM($Q120:AC120),1))))</f>
        <v/>
      </c>
      <c r="CW120" s="1" t="str">
        <f aca="false">IF(OR(OR(NOT(AND(ISNUMBER(E120),ISNUMBER(F120))),$J$2=""),14&gt;Reprogramaciones!$K$16),"",IF(ROUND(SUM($Q120:AD120),1)&gt;=99.5,100,MIN(100,ROUND(SUM($Q120:AD120),1))))</f>
        <v/>
      </c>
      <c r="CX120" s="1" t="str">
        <f aca="false">IF(OR(OR(NOT(AND(ISNUMBER(E120),ISNUMBER(F120))),$J$2=""),15&gt;Reprogramaciones!$K$16),"",IF(ROUND(SUM($Q120:AE120),1)&gt;=99.5,100,MIN(100,ROUND(SUM($Q120:AE120),1))))</f>
        <v/>
      </c>
      <c r="CY120" s="1" t="str">
        <f aca="false">IF(OR(OR(NOT(AND(ISNUMBER(E120),ISNUMBER(F120))),$J$2=""),16&gt;Reprogramaciones!$K$16),"",IF(ROUND(SUM($Q120:AF120),1)&gt;=99.5,100,MIN(100,ROUND(SUM($Q120:AF120),1))))</f>
        <v/>
      </c>
      <c r="CZ120" s="1" t="str">
        <f aca="false">IF(D120&lt;&gt;"",D120,IF(B120&lt;&gt;"","Contractual",CZ119))</f>
        <v>Contractual</v>
      </c>
      <c r="DA120" s="1" t="str">
        <f aca="false">IF(OR(NOT(AND(ISNUMBER(E120),ISNUMBER(F120))),$J$2=""),"",IF(Reprogramaciones!$Q$15&lt;Reprogramaciones!$T$15,0,IF(Reprogramaciones!$S$15&gt;10,MIN(100,SUM($G120:$P120)),MIN(100,SUMPRODUCT((COLUMN($G120:$P120)-COLUMN($G120)+1&lt;Reprogramaciones!$S$15)*$G120:$P120)+N(INDEX($G120:$P120,1,Reprogramaciones!$S$15))*IF(Reprogramaciones!$Q$15&gt;=(Reprogramaciones!$T$15+7*(Reprogramaciones!$S$15-1))+6,1,IF(MAX(0,NETWORKDAYS.INTL(MAX(E120,(Reprogramaciones!$T$15+7*(Reprogramaciones!$S$15-1))),MIN(F120,(Reprogramaciones!$T$15+7*(Reprogramaciones!$S$15-1))+6),11))=0,0,MAX(0,NETWORKDAYS.INTL(MAX(E120,(Reprogramaciones!$T$15+7*(Reprogramaciones!$S$15-1))),MIN(F120,Reprogramaciones!$Q$15),11))/MAX(0,NETWORKDAYS.INTL(MAX(E120,(Reprogramaciones!$T$15+7*(Reprogramaciones!$S$15-1))),MIN(F120,(Reprogramaciones!$T$15+7*(Reprogramaciones!$S$15-1))+6),11))))))))</f>
        <v/>
      </c>
    </row>
    <row r="121" customFormat="false" ht="15" hidden="false" customHeight="false" outlineLevel="0" collapsed="false">
      <c r="A121" s="32"/>
      <c r="B121" s="33"/>
      <c r="C121" s="33"/>
      <c r="D121" s="34"/>
      <c r="E121" s="35"/>
      <c r="F121" s="35"/>
      <c r="G121" s="36" t="str">
        <f aca="false">IF(OR(NOT(AND(ISNUMBER(E121),ISNUMBER(F121))),$J$2=""),"",IF(Reprogramaciones!K$9&lt;E121,0,IF(NETWORKDAYS.INTL(E121,F121,11)=0,IF(Reprogramaciones!K$9&gt;=F121,100,0),ROUND(NETWORKDAYS.INTL(E121,MIN(F121,Reprogramaciones!K$9),11)/NETWORKDAYS.INTL(E121,F121,11)*100,1)))-0)</f>
        <v/>
      </c>
      <c r="H121" s="36" t="str">
        <f aca="false">IF(OR(NOT(AND(ISNUMBER(E121),ISNUMBER(F121))),$J$2=""),"",IF(Reprogramaciones!L$9&lt;E121,0,IF(NETWORKDAYS.INTL(E121,F121,11)=0,IF(Reprogramaciones!L$9&gt;=F121,100,0),ROUND(NETWORKDAYS.INTL(E121,MIN(F121,Reprogramaciones!L$9),11)/NETWORKDAYS.INTL(E121,F121,11)*100,1)))-IF(Reprogramaciones!K$9&lt;E121,0,IF(NETWORKDAYS.INTL(E121,F121,11)=0,IF(Reprogramaciones!K$9&gt;=F121,100,0),ROUND(NETWORKDAYS.INTL(E121,MIN(F121,Reprogramaciones!K$9),11)/NETWORKDAYS.INTL(E121,F121,11)*100,1))))</f>
        <v/>
      </c>
      <c r="I121" s="36" t="str">
        <f aca="false">IF(OR(NOT(AND(ISNUMBER(E121),ISNUMBER(F121))),$J$2=""),"",IF(Reprogramaciones!M$9&lt;E121,0,IF(NETWORKDAYS.INTL(E121,F121,11)=0,IF(Reprogramaciones!M$9&gt;=F121,100,0),ROUND(NETWORKDAYS.INTL(E121,MIN(F121,Reprogramaciones!M$9),11)/NETWORKDAYS.INTL(E121,F121,11)*100,1)))-IF(Reprogramaciones!L$9&lt;E121,0,IF(NETWORKDAYS.INTL(E121,F121,11)=0,IF(Reprogramaciones!L$9&gt;=F121,100,0),ROUND(NETWORKDAYS.INTL(E121,MIN(F121,Reprogramaciones!L$9),11)/NETWORKDAYS.INTL(E121,F121,11)*100,1))))</f>
        <v/>
      </c>
      <c r="J121" s="36" t="str">
        <f aca="false">IF(OR(NOT(AND(ISNUMBER(E121),ISNUMBER(F121))),$J$2=""),"",IF(Reprogramaciones!N$9&lt;E121,0,IF(NETWORKDAYS.INTL(E121,F121,11)=0,IF(Reprogramaciones!N$9&gt;=F121,100,0),ROUND(NETWORKDAYS.INTL(E121,MIN(F121,Reprogramaciones!N$9),11)/NETWORKDAYS.INTL(E121,F121,11)*100,1)))-IF(Reprogramaciones!M$9&lt;E121,0,IF(NETWORKDAYS.INTL(E121,F121,11)=0,IF(Reprogramaciones!M$9&gt;=F121,100,0),ROUND(NETWORKDAYS.INTL(E121,MIN(F121,Reprogramaciones!M$9),11)/NETWORKDAYS.INTL(E121,F121,11)*100,1))))</f>
        <v/>
      </c>
      <c r="K121" s="36" t="str">
        <f aca="false">IF(OR(NOT(AND(ISNUMBER(E121),ISNUMBER(F121))),$J$2=""),"",IF(Reprogramaciones!O$9&lt;E121,0,IF(NETWORKDAYS.INTL(E121,F121,11)=0,IF(Reprogramaciones!O$9&gt;=F121,100,0),ROUND(NETWORKDAYS.INTL(E121,MIN(F121,Reprogramaciones!O$9),11)/NETWORKDAYS.INTL(E121,F121,11)*100,1)))-IF(Reprogramaciones!N$9&lt;E121,0,IF(NETWORKDAYS.INTL(E121,F121,11)=0,IF(Reprogramaciones!N$9&gt;=F121,100,0),ROUND(NETWORKDAYS.INTL(E121,MIN(F121,Reprogramaciones!N$9),11)/NETWORKDAYS.INTL(E121,F121,11)*100,1))))</f>
        <v/>
      </c>
      <c r="L121" s="36" t="str">
        <f aca="false">IF(OR(NOT(AND(ISNUMBER(E121),ISNUMBER(F121))),$J$2=""),"",IF(Reprogramaciones!P$9&lt;E121,0,IF(NETWORKDAYS.INTL(E121,F121,11)=0,IF(Reprogramaciones!P$9&gt;=F121,100,0),ROUND(NETWORKDAYS.INTL(E121,MIN(F121,Reprogramaciones!P$9),11)/NETWORKDAYS.INTL(E121,F121,11)*100,1)))-IF(Reprogramaciones!O$9&lt;E121,0,IF(NETWORKDAYS.INTL(E121,F121,11)=0,IF(Reprogramaciones!O$9&gt;=F121,100,0),ROUND(NETWORKDAYS.INTL(E121,MIN(F121,Reprogramaciones!O$9),11)/NETWORKDAYS.INTL(E121,F121,11)*100,1))))</f>
        <v/>
      </c>
      <c r="M121" s="36" t="str">
        <f aca="false">IF(OR(NOT(AND(ISNUMBER(E121),ISNUMBER(F121))),$J$2=""),"",IF(Reprogramaciones!Q$9&lt;E121,0,IF(NETWORKDAYS.INTL(E121,F121,11)=0,IF(Reprogramaciones!Q$9&gt;=F121,100,0),ROUND(NETWORKDAYS.INTL(E121,MIN(F121,Reprogramaciones!Q$9),11)/NETWORKDAYS.INTL(E121,F121,11)*100,1)))-IF(Reprogramaciones!P$9&lt;E121,0,IF(NETWORKDAYS.INTL(E121,F121,11)=0,IF(Reprogramaciones!P$9&gt;=F121,100,0),ROUND(NETWORKDAYS.INTL(E121,MIN(F121,Reprogramaciones!P$9),11)/NETWORKDAYS.INTL(E121,F121,11)*100,1))))</f>
        <v/>
      </c>
      <c r="N121" s="36" t="str">
        <f aca="false">IF(OR(NOT(AND(ISNUMBER(E121),ISNUMBER(F121))),$J$2=""),"",IF(Reprogramaciones!R$9&lt;E121,0,IF(NETWORKDAYS.INTL(E121,F121,11)=0,IF(Reprogramaciones!R$9&gt;=F121,100,0),ROUND(NETWORKDAYS.INTL(E121,MIN(F121,Reprogramaciones!R$9),11)/NETWORKDAYS.INTL(E121,F121,11)*100,1)))-IF(Reprogramaciones!Q$9&lt;E121,0,IF(NETWORKDAYS.INTL(E121,F121,11)=0,IF(Reprogramaciones!Q$9&gt;=F121,100,0),ROUND(NETWORKDAYS.INTL(E121,MIN(F121,Reprogramaciones!Q$9),11)/NETWORKDAYS.INTL(E121,F121,11)*100,1))))</f>
        <v/>
      </c>
      <c r="O121" s="36" t="str">
        <f aca="false">IF(OR(NOT(AND(ISNUMBER(E121),ISNUMBER(F121))),$J$2=""),"",IF(Reprogramaciones!S$9&lt;E121,0,IF(NETWORKDAYS.INTL(E121,F121,11)=0,IF(Reprogramaciones!S$9&gt;=F121,100,0),ROUND(NETWORKDAYS.INTL(E121,MIN(F121,Reprogramaciones!S$9),11)/NETWORKDAYS.INTL(E121,F121,11)*100,1)))-IF(Reprogramaciones!R$9&lt;E121,0,IF(NETWORKDAYS.INTL(E121,F121,11)=0,IF(Reprogramaciones!R$9&gt;=F121,100,0),ROUND(NETWORKDAYS.INTL(E121,MIN(F121,Reprogramaciones!R$9),11)/NETWORKDAYS.INTL(E121,F121,11)*100,1))))</f>
        <v/>
      </c>
      <c r="P121" s="36" t="str">
        <f aca="false">IF(OR(NOT(AND(ISNUMBER(E121),ISNUMBER(F121))),$J$2=""),"",IF(Reprogramaciones!T$9&lt;E121,0,IF(NETWORKDAYS.INTL(E121,F121,11)=0,IF(Reprogramaciones!T$9&gt;=F121,100,0),ROUND(NETWORKDAYS.INTL(E121,MIN(F121,Reprogramaciones!T$9),11)/NETWORKDAYS.INTL(E121,F121,11)*100,1)))-IF(Reprogramaciones!S$9&lt;E121,0,IF(NETWORKDAYS.INTL(E121,F121,11)=0,IF(Reprogramaciones!S$9&gt;=F121,100,0),ROUND(NETWORKDAYS.INTL(E121,MIN(F121,Reprogramaciones!S$9),11)/NETWORKDAYS.INTL(E121,F121,11)*100,1))))</f>
        <v/>
      </c>
      <c r="Q121" s="37"/>
      <c r="R121" s="37"/>
      <c r="S121" s="37"/>
      <c r="T121" s="37"/>
      <c r="U121" s="37"/>
      <c r="V121" s="37"/>
      <c r="W121" s="37"/>
      <c r="X121" s="37"/>
      <c r="Y121" s="37"/>
      <c r="Z121" s="37"/>
      <c r="AA121" s="37"/>
      <c r="AB121" s="37"/>
      <c r="AC121" s="37"/>
      <c r="AD121" s="37"/>
      <c r="AE121" s="37"/>
      <c r="AF121" s="37"/>
      <c r="AG121" s="38" t="str">
        <f aca="false">IF(AND(ISNUMBER(E121),ISNUMBER(F121)),NETWORKDAYS.INTL(E121,F121,11),"")</f>
        <v/>
      </c>
      <c r="AH121" s="38" t="str">
        <f aca="false">IF(OR(NOT(AND(ISNUMBER(E121),ISNUMBER(F121))),$J$2=""),"",IF(Reprogramaciones!$P$15&lt;Reprogramaciones!$T$15,0,IF(Reprogramaciones!$R$15&gt;10,MIN(100,SUM($G121:$P121)),MIN(100,SUMPRODUCT((COLUMN($G121:$P121)-COLUMN($G121)+1&lt;Reprogramaciones!$R$15)*$G121:$P121)+N(INDEX($G121:$P121,1,Reprogramaciones!$R$15))*IF(Reprogramaciones!$P$15&gt;=(Reprogramaciones!$T$15+7*(Reprogramaciones!$R$15-1))+6,1,IF(MAX(0,NETWORKDAYS.INTL(MAX(E121,(Reprogramaciones!$T$15+7*(Reprogramaciones!$R$15-1))),MIN(F121,(Reprogramaciones!$T$15+7*(Reprogramaciones!$R$15-1))+6),11))=0,0,MAX(0,NETWORKDAYS.INTL(MAX(E121,(Reprogramaciones!$T$15+7*(Reprogramaciones!$R$15-1))),MIN(F121,Reprogramaciones!$P$15),11))/MAX(0,NETWORKDAYS.INTL(MAX(E121,(Reprogramaciones!$T$15+7*(Reprogramaciones!$R$15-1))),MIN(F121,(Reprogramaciones!$T$15+7*(Reprogramaciones!$R$15-1))+6),11))))))))</f>
        <v/>
      </c>
      <c r="AI121" s="38" t="str">
        <f aca="false">IF(COUNT($Q121:$AF121)=0,"",IF(ROUND(SUM($Q121:$AF121),1)&gt;=99.5,100,MIN(100,ROUND(SUM($Q121:$AF121),1))))</f>
        <v/>
      </c>
      <c r="AJ121" s="38" t="str">
        <f aca="false">IF(OR(AH121="",AI121=""),"",AI121-AH121)</f>
        <v/>
      </c>
      <c r="AK121" s="39" t="str">
        <f aca="true">IF(AH121="","",IF(OR(Ficha!$C$10="Suspendida",Ficha!$C$10="Cancelada"),Ficha!$C$10,IF(AND(AI121&lt;&gt;"",N(AI121)&gt;=100),"Completada",IF(AND(E121&gt;TODAY(),N(AI121)=0),"Por iniciar",IF(N(AI121)+0.5&lt;AH121,"Retrasada",IF(N(AI121)+0.5&lt;DA121,IF(Reprogramaciones!$K$15&gt;0,"Al día · Sem "&amp;Reprogramaciones!$K$15&amp;" en curso","Al día · en curso"),"A tiempo"))))))</f>
        <v/>
      </c>
      <c r="AL121" s="39" t="str">
        <f aca="true">IF(AND(A121="",AND(B121="",C121="",E121="",F121="",COUNT(Q121:AF121)=0)),"",IF(AND(B121="",C121="",E121="",F121="",COUNT(Q121:AF121)=0),"Falta la partida o subpartida",IF(AND(A121&lt;&gt;"",COUNTIF($A$6:$A$305,A121)&gt;1),"Ítem repetido",IF(AND(C121="",E121="",F121="",COUNT(Q121:AF121)=0),"Título de partida",IF(OR(E121="",F121=""),"Faltan fechas",IF(OR(ISTEXT(E121),ISTEXT(F121)),"Fecha escrita como texto: usa dd/mm/aaaa",IF(F121&lt;E121,"Fin antes del inicio",IF(IF($J$2="",FALSE(),OR(E121&lt;$J$2,F121&gt;Reprogramaciones!$T$15+69)),"Fuera de las 10 semanas",IF(ABS(SUM(G121:P121)-100)&gt;0.5,"La meta no suma 100%",IF(ROUND(SUM(Q121:AF121),1)&gt;100.5,"El avance pasa de 100%",IF(MIN(Q121:AF121)&lt;0,"Avance negativo",IF(COUNTA(Q121:AF121)&gt;COUNT(Q121:AF121),"Avance escrito como texto",IF(SUMPRODUCT((Q121:AF121&gt;0)*(Q121:AF121&lt;1))&gt;0,"Avance menor a 1: escribe 50, no 50%",IF(SUMPRODUCT(ISNUMBER(Q121:AF121)*(Reprogramaciones!$K$8:$Z$8&gt;TODAY()))&gt;0,"Avance en semana que aún no llega",IF(AND(N(Reprogramaciones!$E$21)&gt;0,F121&gt;Reprogramaciones!$E$21),"Pasa el fin de la obra: registra una reprogramación",IF(AND(N(Reprogramaciones!$E$21)&gt;0,SUMPRODUCT(ISNUMBER(Q121:AF121)*(Reprogramaciones!$K$8:$Z$8&gt;Reprogramaciones!$E$21))&gt;0),"Avance después del fin de la obra: registra una reprogramación por atraso","OK"))))))))))))))))</f>
        <v/>
      </c>
      <c r="AM121" s="40" t="str">
        <f aca="false">IF(OR(OR(NOT(AND(ISNUMBER(E121),ISNUMBER(F121))),$J$2=""),1&gt;MAX(1,Reprogramaciones!$U$15)),"",IF(Reprogramaciones!K$12&gt;=7,"",IF(OR(BT121-N(0)&gt;0.05,N(Q121)&gt;0),ROUNDDOWN(ROUND(BT121,6),0)&amp;"%"&amp;IF(CJ121="",""," / "&amp;CJ121&amp;"%"),IF(AND(N(0)&gt;=99.95,CJ121&lt;&gt;"",N(CJ121)&lt;100),"Pend. "&amp;CJ121&amp;"%",""))))</f>
        <v/>
      </c>
      <c r="AN121" s="40" t="str">
        <f aca="false">IF(OR(OR(NOT(AND(ISNUMBER(E121),ISNUMBER(F121))),$J$2=""),2&gt;MAX(1,Reprogramaciones!$U$15)),"",IF(Reprogramaciones!L$12&gt;=7,"",IF(OR(BU121-N(BT121)&gt;0.05,N(R121)&gt;0),ROUNDDOWN(ROUND(BU121,6),0)&amp;"%"&amp;IF(CK121="",""," / "&amp;CK121&amp;"%"),IF(AND(N(BT121)&gt;=99.95,CK121&lt;&gt;"",N(CK121)&lt;100),"Pend. "&amp;CK121&amp;"%",""))))</f>
        <v/>
      </c>
      <c r="AO121" s="40" t="str">
        <f aca="false">IF(OR(OR(NOT(AND(ISNUMBER(E121),ISNUMBER(F121))),$J$2=""),3&gt;MAX(1,Reprogramaciones!$U$15)),"",IF(Reprogramaciones!M$12&gt;=7,"",IF(OR(BV121-N(BU121)&gt;0.05,N(S121)&gt;0),ROUNDDOWN(ROUND(BV121,6),0)&amp;"%"&amp;IF(CL121="",""," / "&amp;CL121&amp;"%"),IF(AND(N(BU121)&gt;=99.95,CL121&lt;&gt;"",N(CL121)&lt;100),"Pend. "&amp;CL121&amp;"%",""))))</f>
        <v/>
      </c>
      <c r="AP121" s="40" t="str">
        <f aca="false">IF(OR(OR(NOT(AND(ISNUMBER(E121),ISNUMBER(F121))),$J$2=""),4&gt;MAX(1,Reprogramaciones!$U$15)),"",IF(Reprogramaciones!N$12&gt;=7,"",IF(OR(BW121-N(BV121)&gt;0.05,N(T121)&gt;0),ROUNDDOWN(ROUND(BW121,6),0)&amp;"%"&amp;IF(CM121="",""," / "&amp;CM121&amp;"%"),IF(AND(N(BV121)&gt;=99.95,CM121&lt;&gt;"",N(CM121)&lt;100),"Pend. "&amp;CM121&amp;"%",""))))</f>
        <v/>
      </c>
      <c r="AQ121" s="40" t="str">
        <f aca="false">IF(OR(OR(NOT(AND(ISNUMBER(E121),ISNUMBER(F121))),$J$2=""),5&gt;MAX(1,Reprogramaciones!$U$15)),"",IF(Reprogramaciones!O$12&gt;=7,"",IF(OR(BX121-N(BW121)&gt;0.05,N(U121)&gt;0),ROUNDDOWN(ROUND(BX121,6),0)&amp;"%"&amp;IF(CN121="",""," / "&amp;CN121&amp;"%"),IF(AND(N(BW121)&gt;=99.95,CN121&lt;&gt;"",N(CN121)&lt;100),"Pend. "&amp;CN121&amp;"%",""))))</f>
        <v/>
      </c>
      <c r="AR121" s="40" t="str">
        <f aca="false">IF(OR(OR(NOT(AND(ISNUMBER(E121),ISNUMBER(F121))),$J$2=""),6&gt;MAX(1,Reprogramaciones!$U$15)),"",IF(Reprogramaciones!P$12&gt;=7,"",IF(OR(BY121-N(BX121)&gt;0.05,N(V121)&gt;0),ROUNDDOWN(ROUND(BY121,6),0)&amp;"%"&amp;IF(CO121="",""," / "&amp;CO121&amp;"%"),IF(AND(N(BX121)&gt;=99.95,CO121&lt;&gt;"",N(CO121)&lt;100),"Pend. "&amp;CO121&amp;"%",""))))</f>
        <v/>
      </c>
      <c r="AS121" s="40" t="str">
        <f aca="false">IF(OR(OR(NOT(AND(ISNUMBER(E121),ISNUMBER(F121))),$J$2=""),7&gt;MAX(1,Reprogramaciones!$U$15)),"",IF(Reprogramaciones!Q$12&gt;=7,"",IF(OR(BZ121-N(BY121)&gt;0.05,N(W121)&gt;0),ROUNDDOWN(ROUND(BZ121,6),0)&amp;"%"&amp;IF(CP121="",""," / "&amp;CP121&amp;"%"),IF(AND(N(BY121)&gt;=99.95,CP121&lt;&gt;"",N(CP121)&lt;100),"Pend. "&amp;CP121&amp;"%",""))))</f>
        <v/>
      </c>
      <c r="AT121" s="40" t="str">
        <f aca="false">IF(OR(OR(NOT(AND(ISNUMBER(E121),ISNUMBER(F121))),$J$2=""),8&gt;MAX(1,Reprogramaciones!$U$15)),"",IF(Reprogramaciones!R$12&gt;=7,"",IF(OR(CA121-N(BZ121)&gt;0.05,N(X121)&gt;0),ROUNDDOWN(ROUND(CA121,6),0)&amp;"%"&amp;IF(CQ121="",""," / "&amp;CQ121&amp;"%"),IF(AND(N(BZ121)&gt;=99.95,CQ121&lt;&gt;"",N(CQ121)&lt;100),"Pend. "&amp;CQ121&amp;"%",""))))</f>
        <v/>
      </c>
      <c r="AU121" s="40" t="str">
        <f aca="false">IF(OR(OR(NOT(AND(ISNUMBER(E121),ISNUMBER(F121))),$J$2=""),9&gt;MAX(1,Reprogramaciones!$U$15)),"",IF(Reprogramaciones!S$12&gt;=7,"",IF(OR(CB121-N(CA121)&gt;0.05,N(Y121)&gt;0),ROUNDDOWN(ROUND(CB121,6),0)&amp;"%"&amp;IF(CR121="",""," / "&amp;CR121&amp;"%"),IF(AND(N(CA121)&gt;=99.95,CR121&lt;&gt;"",N(CR121)&lt;100),"Pend. "&amp;CR121&amp;"%",""))))</f>
        <v/>
      </c>
      <c r="AV121" s="40" t="str">
        <f aca="false">IF(OR(OR(NOT(AND(ISNUMBER(E121),ISNUMBER(F121))),$J$2=""),10&gt;MAX(1,Reprogramaciones!$U$15)),"",IF(Reprogramaciones!T$12&gt;=7,"",IF(OR(CC121-N(CB121)&gt;0.05,N(Z121)&gt;0),ROUNDDOWN(ROUND(CC121,6),0)&amp;"%"&amp;IF(CS121="",""," / "&amp;CS121&amp;"%"),IF(AND(N(CB121)&gt;=99.95,CS121&lt;&gt;"",N(CS121)&lt;100),"Pend. "&amp;CS121&amp;"%",""))))</f>
        <v/>
      </c>
      <c r="AW121" s="40" t="str">
        <f aca="false">IF(OR(OR(NOT(AND(ISNUMBER(E121),ISNUMBER(F121))),$J$2=""),11&gt;MAX(1,Reprogramaciones!$U$15)),"",IF(Reprogramaciones!U$12&gt;=7,"",IF(OR(CD121-N(CC121)&gt;0.05,N(AA121)&gt;0),ROUNDDOWN(ROUND(CD121,6),0)&amp;"%"&amp;IF(CT121="",""," / "&amp;CT121&amp;"%"),IF(AND(N(CC121)&gt;=99.95,CT121&lt;&gt;"",N(CT121)&lt;100),"Pend. "&amp;CT121&amp;"%",""))))</f>
        <v/>
      </c>
      <c r="AX121" s="40" t="str">
        <f aca="false">IF(OR(OR(NOT(AND(ISNUMBER(E121),ISNUMBER(F121))),$J$2=""),12&gt;MAX(1,Reprogramaciones!$U$15)),"",IF(Reprogramaciones!V$12&gt;=7,"",IF(OR(CE121-N(CD121)&gt;0.05,N(AB121)&gt;0),ROUNDDOWN(ROUND(CE121,6),0)&amp;"%"&amp;IF(CU121="",""," / "&amp;CU121&amp;"%"),IF(AND(N(CD121)&gt;=99.95,CU121&lt;&gt;"",N(CU121)&lt;100),"Pend. "&amp;CU121&amp;"%",""))))</f>
        <v/>
      </c>
      <c r="AY121" s="40" t="str">
        <f aca="false">IF(OR(OR(NOT(AND(ISNUMBER(E121),ISNUMBER(F121))),$J$2=""),13&gt;MAX(1,Reprogramaciones!$U$15)),"",IF(Reprogramaciones!W$12&gt;=7,"",IF(OR(CF121-N(CE121)&gt;0.05,N(AC121)&gt;0),ROUNDDOWN(ROUND(CF121,6),0)&amp;"%"&amp;IF(CV121="",""," / "&amp;CV121&amp;"%"),IF(AND(N(CE121)&gt;=99.95,CV121&lt;&gt;"",N(CV121)&lt;100),"Pend. "&amp;CV121&amp;"%",""))))</f>
        <v/>
      </c>
      <c r="AZ121" s="40" t="str">
        <f aca="false">IF(OR(OR(NOT(AND(ISNUMBER(E121),ISNUMBER(F121))),$J$2=""),14&gt;MAX(1,Reprogramaciones!$U$15)),"",IF(Reprogramaciones!X$12&gt;=7,"",IF(OR(CG121-N(CF121)&gt;0.05,N(AD121)&gt;0),ROUNDDOWN(ROUND(CG121,6),0)&amp;"%"&amp;IF(CW121="",""," / "&amp;CW121&amp;"%"),IF(AND(N(CF121)&gt;=99.95,CW121&lt;&gt;"",N(CW121)&lt;100),"Pend. "&amp;CW121&amp;"%",""))))</f>
        <v/>
      </c>
      <c r="BA121" s="40" t="str">
        <f aca="false">IF(OR(OR(NOT(AND(ISNUMBER(E121),ISNUMBER(F121))),$J$2=""),15&gt;MAX(1,Reprogramaciones!$U$15)),"",IF(Reprogramaciones!Y$12&gt;=7,"",IF(OR(CH121-N(CG121)&gt;0.05,N(AE121)&gt;0),ROUNDDOWN(ROUND(CH121,6),0)&amp;"%"&amp;IF(CX121="",""," / "&amp;CX121&amp;"%"),IF(AND(N(CG121)&gt;=99.95,CX121&lt;&gt;"",N(CX121)&lt;100),"Pend. "&amp;CX121&amp;"%",""))))</f>
        <v/>
      </c>
      <c r="BB121" s="40" t="str">
        <f aca="false">IF(OR(OR(NOT(AND(ISNUMBER(E121),ISNUMBER(F121))),$J$2=""),16&gt;MAX(1,Reprogramaciones!$U$15)),"",IF(Reprogramaciones!Z$12&gt;=7,"",IF(OR(CI121-N(CH121)&gt;0.05,N(AF121)&gt;0),ROUNDDOWN(ROUND(CI121,6),0)&amp;"%"&amp;IF(CY121="",""," / "&amp;CY121&amp;"%"),IF(AND(N(CH121)&gt;=99.95,CY121&lt;&gt;"",N(CY121)&lt;100),"Pend. "&amp;CY121&amp;"%",""))))</f>
        <v/>
      </c>
      <c r="BC121" s="31" t="n">
        <f aca="false">IF(AND(ISNUMBER(E121),ISNUMBER(F121)),MAX(1,NETWORKDAYS.INTL(E121,F121,11)),0)</f>
        <v>0</v>
      </c>
      <c r="BD121" s="1" t="str">
        <f aca="false">IF(OR(NOT(AND(ISNUMBER(E121),ISNUMBER(F121))),$J$2=""),"",MIN(100,ROUND(SUM($G121:G121),1)))</f>
        <v/>
      </c>
      <c r="BE121" s="1" t="str">
        <f aca="false">IF(OR(NOT(AND(ISNUMBER(E121),ISNUMBER(F121))),$J$2=""),"",MIN(100,ROUND(SUM($G121:H121),1)))</f>
        <v/>
      </c>
      <c r="BF121" s="1" t="str">
        <f aca="false">IF(OR(NOT(AND(ISNUMBER(E121),ISNUMBER(F121))),$J$2=""),"",MIN(100,ROUND(SUM($G121:I121),1)))</f>
        <v/>
      </c>
      <c r="BG121" s="1" t="str">
        <f aca="false">IF(OR(NOT(AND(ISNUMBER(E121),ISNUMBER(F121))),$J$2=""),"",MIN(100,ROUND(SUM($G121:J121),1)))</f>
        <v/>
      </c>
      <c r="BH121" s="1" t="str">
        <f aca="false">IF(OR(NOT(AND(ISNUMBER(E121),ISNUMBER(F121))),$J$2=""),"",MIN(100,ROUND(SUM($G121:K121),1)))</f>
        <v/>
      </c>
      <c r="BI121" s="1" t="str">
        <f aca="false">IF(OR(NOT(AND(ISNUMBER(E121),ISNUMBER(F121))),$J$2=""),"",MIN(100,ROUND(SUM($G121:L121),1)))</f>
        <v/>
      </c>
      <c r="BJ121" s="1" t="str">
        <f aca="false">IF(OR(NOT(AND(ISNUMBER(E121),ISNUMBER(F121))),$J$2=""),"",MIN(100,ROUND(SUM($G121:M121),1)))</f>
        <v/>
      </c>
      <c r="BK121" s="1" t="str">
        <f aca="false">IF(OR(NOT(AND(ISNUMBER(E121),ISNUMBER(F121))),$J$2=""),"",MIN(100,ROUND(SUM($G121:N121),1)))</f>
        <v/>
      </c>
      <c r="BL121" s="1" t="str">
        <f aca="false">IF(OR(NOT(AND(ISNUMBER(E121),ISNUMBER(F121))),$J$2=""),"",MIN(100,ROUND(SUM($G121:O121),1)))</f>
        <v/>
      </c>
      <c r="BM121" s="1" t="str">
        <f aca="false">IF(OR(NOT(AND(ISNUMBER(E121),ISNUMBER(F121))),$J$2=""),"",MIN(100,ROUND(SUM($G121:P121),1)))</f>
        <v/>
      </c>
      <c r="BN121" s="1" t="str">
        <f aca="false">IF(OR(NOT(AND(ISNUMBER(E121),ISNUMBER(F121))),$J$2=""),"",MIN(100,ROUND(SUM($G121:P121),1)))</f>
        <v/>
      </c>
      <c r="BO121" s="1" t="str">
        <f aca="false">IF(OR(NOT(AND(ISNUMBER(E121),ISNUMBER(F121))),$J$2=""),"",MIN(100,ROUND(SUM($G121:P121),1)))</f>
        <v/>
      </c>
      <c r="BP121" s="1" t="str">
        <f aca="false">IF(OR(NOT(AND(ISNUMBER(E121),ISNUMBER(F121))),$J$2=""),"",MIN(100,ROUND(SUM($G121:P121),1)))</f>
        <v/>
      </c>
      <c r="BQ121" s="1" t="str">
        <f aca="false">IF(OR(NOT(AND(ISNUMBER(E121),ISNUMBER(F121))),$J$2=""),"",MIN(100,ROUND(SUM($G121:P121),1)))</f>
        <v/>
      </c>
      <c r="BR121" s="1" t="str">
        <f aca="false">IF(OR(NOT(AND(ISNUMBER(E121),ISNUMBER(F121))),$J$2=""),"",MIN(100,ROUND(SUM($G121:P121),1)))</f>
        <v/>
      </c>
      <c r="BS121" s="1" t="str">
        <f aca="false">IF(OR(NOT(AND(ISNUMBER(E121),ISNUMBER(F121))),$J$2=""),"",MIN(100,ROUND(SUM($G121:P121),1)))</f>
        <v/>
      </c>
      <c r="BT121" s="1" t="str">
        <f aca="false">IF(OR(NOT(AND(ISNUMBER(E121),ISNUMBER(F121))),$J$2=""),"",IF(Reprogramaciones!K$13&lt;Reprogramaciones!$T$15,0,IF(Reprogramaciones!K$14&gt;10,MIN(100,SUM($G121:$P121)),MIN(100,SUMPRODUCT((COLUMN($G121:$P121)-COLUMN($G121)+1&lt;Reprogramaciones!K$14)*$G121:$P121)+N(INDEX($G121:$P121,1,Reprogramaciones!K$14))*IF(Reprogramaciones!K$13&gt;=(Reprogramaciones!$T$15+7*(Reprogramaciones!K$14-1))+6,1,IF(MAX(0,NETWORKDAYS.INTL(MAX(E121,(Reprogramaciones!$T$15+7*(Reprogramaciones!K$14-1))),MIN(F121,(Reprogramaciones!$T$15+7*(Reprogramaciones!K$14-1))+6),11))=0,0,MAX(0,NETWORKDAYS.INTL(MAX(E121,(Reprogramaciones!$T$15+7*(Reprogramaciones!K$14-1))),MIN(F121,Reprogramaciones!K$13),11))/MAX(0,NETWORKDAYS.INTL(MAX(E121,(Reprogramaciones!$T$15+7*(Reprogramaciones!K$14-1))),MIN(F121,(Reprogramaciones!$T$15+7*(Reprogramaciones!K$14-1))+6),11))))))))</f>
        <v/>
      </c>
      <c r="BU121" s="1" t="str">
        <f aca="false">IF(OR(NOT(AND(ISNUMBER(E121),ISNUMBER(F121))),$J$2=""),"",IF(Reprogramaciones!L$13&lt;Reprogramaciones!$T$15,0,IF(Reprogramaciones!L$14&gt;10,MIN(100,SUM($G121:$P121)),MIN(100,SUMPRODUCT((COLUMN($G121:$P121)-COLUMN($G121)+1&lt;Reprogramaciones!L$14)*$G121:$P121)+N(INDEX($G121:$P121,1,Reprogramaciones!L$14))*IF(Reprogramaciones!L$13&gt;=(Reprogramaciones!$T$15+7*(Reprogramaciones!L$14-1))+6,1,IF(MAX(0,NETWORKDAYS.INTL(MAX(E121,(Reprogramaciones!$T$15+7*(Reprogramaciones!L$14-1))),MIN(F121,(Reprogramaciones!$T$15+7*(Reprogramaciones!L$14-1))+6),11))=0,0,MAX(0,NETWORKDAYS.INTL(MAX(E121,(Reprogramaciones!$T$15+7*(Reprogramaciones!L$14-1))),MIN(F121,Reprogramaciones!L$13),11))/MAX(0,NETWORKDAYS.INTL(MAX(E121,(Reprogramaciones!$T$15+7*(Reprogramaciones!L$14-1))),MIN(F121,(Reprogramaciones!$T$15+7*(Reprogramaciones!L$14-1))+6),11))))))))</f>
        <v/>
      </c>
      <c r="BV121" s="1" t="str">
        <f aca="false">IF(OR(NOT(AND(ISNUMBER(E121),ISNUMBER(F121))),$J$2=""),"",IF(Reprogramaciones!M$13&lt;Reprogramaciones!$T$15,0,IF(Reprogramaciones!M$14&gt;10,MIN(100,SUM($G121:$P121)),MIN(100,SUMPRODUCT((COLUMN($G121:$P121)-COLUMN($G121)+1&lt;Reprogramaciones!M$14)*$G121:$P121)+N(INDEX($G121:$P121,1,Reprogramaciones!M$14))*IF(Reprogramaciones!M$13&gt;=(Reprogramaciones!$T$15+7*(Reprogramaciones!M$14-1))+6,1,IF(MAX(0,NETWORKDAYS.INTL(MAX(E121,(Reprogramaciones!$T$15+7*(Reprogramaciones!M$14-1))),MIN(F121,(Reprogramaciones!$T$15+7*(Reprogramaciones!M$14-1))+6),11))=0,0,MAX(0,NETWORKDAYS.INTL(MAX(E121,(Reprogramaciones!$T$15+7*(Reprogramaciones!M$14-1))),MIN(F121,Reprogramaciones!M$13),11))/MAX(0,NETWORKDAYS.INTL(MAX(E121,(Reprogramaciones!$T$15+7*(Reprogramaciones!M$14-1))),MIN(F121,(Reprogramaciones!$T$15+7*(Reprogramaciones!M$14-1))+6),11))))))))</f>
        <v/>
      </c>
      <c r="BW121" s="1" t="str">
        <f aca="false">IF(OR(NOT(AND(ISNUMBER(E121),ISNUMBER(F121))),$J$2=""),"",IF(Reprogramaciones!N$13&lt;Reprogramaciones!$T$15,0,IF(Reprogramaciones!N$14&gt;10,MIN(100,SUM($G121:$P121)),MIN(100,SUMPRODUCT((COLUMN($G121:$P121)-COLUMN($G121)+1&lt;Reprogramaciones!N$14)*$G121:$P121)+N(INDEX($G121:$P121,1,Reprogramaciones!N$14))*IF(Reprogramaciones!N$13&gt;=(Reprogramaciones!$T$15+7*(Reprogramaciones!N$14-1))+6,1,IF(MAX(0,NETWORKDAYS.INTL(MAX(E121,(Reprogramaciones!$T$15+7*(Reprogramaciones!N$14-1))),MIN(F121,(Reprogramaciones!$T$15+7*(Reprogramaciones!N$14-1))+6),11))=0,0,MAX(0,NETWORKDAYS.INTL(MAX(E121,(Reprogramaciones!$T$15+7*(Reprogramaciones!N$14-1))),MIN(F121,Reprogramaciones!N$13),11))/MAX(0,NETWORKDAYS.INTL(MAX(E121,(Reprogramaciones!$T$15+7*(Reprogramaciones!N$14-1))),MIN(F121,(Reprogramaciones!$T$15+7*(Reprogramaciones!N$14-1))+6),11))))))))</f>
        <v/>
      </c>
      <c r="BX121" s="1" t="str">
        <f aca="false">IF(OR(NOT(AND(ISNUMBER(E121),ISNUMBER(F121))),$J$2=""),"",IF(Reprogramaciones!O$13&lt;Reprogramaciones!$T$15,0,IF(Reprogramaciones!O$14&gt;10,MIN(100,SUM($G121:$P121)),MIN(100,SUMPRODUCT((COLUMN($G121:$P121)-COLUMN($G121)+1&lt;Reprogramaciones!O$14)*$G121:$P121)+N(INDEX($G121:$P121,1,Reprogramaciones!O$14))*IF(Reprogramaciones!O$13&gt;=(Reprogramaciones!$T$15+7*(Reprogramaciones!O$14-1))+6,1,IF(MAX(0,NETWORKDAYS.INTL(MAX(E121,(Reprogramaciones!$T$15+7*(Reprogramaciones!O$14-1))),MIN(F121,(Reprogramaciones!$T$15+7*(Reprogramaciones!O$14-1))+6),11))=0,0,MAX(0,NETWORKDAYS.INTL(MAX(E121,(Reprogramaciones!$T$15+7*(Reprogramaciones!O$14-1))),MIN(F121,Reprogramaciones!O$13),11))/MAX(0,NETWORKDAYS.INTL(MAX(E121,(Reprogramaciones!$T$15+7*(Reprogramaciones!O$14-1))),MIN(F121,(Reprogramaciones!$T$15+7*(Reprogramaciones!O$14-1))+6),11))))))))</f>
        <v/>
      </c>
      <c r="BY121" s="1" t="str">
        <f aca="false">IF(OR(NOT(AND(ISNUMBER(E121),ISNUMBER(F121))),$J$2=""),"",IF(Reprogramaciones!P$13&lt;Reprogramaciones!$T$15,0,IF(Reprogramaciones!P$14&gt;10,MIN(100,SUM($G121:$P121)),MIN(100,SUMPRODUCT((COLUMN($G121:$P121)-COLUMN($G121)+1&lt;Reprogramaciones!P$14)*$G121:$P121)+N(INDEX($G121:$P121,1,Reprogramaciones!P$14))*IF(Reprogramaciones!P$13&gt;=(Reprogramaciones!$T$15+7*(Reprogramaciones!P$14-1))+6,1,IF(MAX(0,NETWORKDAYS.INTL(MAX(E121,(Reprogramaciones!$T$15+7*(Reprogramaciones!P$14-1))),MIN(F121,(Reprogramaciones!$T$15+7*(Reprogramaciones!P$14-1))+6),11))=0,0,MAX(0,NETWORKDAYS.INTL(MAX(E121,(Reprogramaciones!$T$15+7*(Reprogramaciones!P$14-1))),MIN(F121,Reprogramaciones!P$13),11))/MAX(0,NETWORKDAYS.INTL(MAX(E121,(Reprogramaciones!$T$15+7*(Reprogramaciones!P$14-1))),MIN(F121,(Reprogramaciones!$T$15+7*(Reprogramaciones!P$14-1))+6),11))))))))</f>
        <v/>
      </c>
      <c r="BZ121" s="1" t="str">
        <f aca="false">IF(OR(NOT(AND(ISNUMBER(E121),ISNUMBER(F121))),$J$2=""),"",IF(Reprogramaciones!Q$13&lt;Reprogramaciones!$T$15,0,IF(Reprogramaciones!Q$14&gt;10,MIN(100,SUM($G121:$P121)),MIN(100,SUMPRODUCT((COLUMN($G121:$P121)-COLUMN($G121)+1&lt;Reprogramaciones!Q$14)*$G121:$P121)+N(INDEX($G121:$P121,1,Reprogramaciones!Q$14))*IF(Reprogramaciones!Q$13&gt;=(Reprogramaciones!$T$15+7*(Reprogramaciones!Q$14-1))+6,1,IF(MAX(0,NETWORKDAYS.INTL(MAX(E121,(Reprogramaciones!$T$15+7*(Reprogramaciones!Q$14-1))),MIN(F121,(Reprogramaciones!$T$15+7*(Reprogramaciones!Q$14-1))+6),11))=0,0,MAX(0,NETWORKDAYS.INTL(MAX(E121,(Reprogramaciones!$T$15+7*(Reprogramaciones!Q$14-1))),MIN(F121,Reprogramaciones!Q$13),11))/MAX(0,NETWORKDAYS.INTL(MAX(E121,(Reprogramaciones!$T$15+7*(Reprogramaciones!Q$14-1))),MIN(F121,(Reprogramaciones!$T$15+7*(Reprogramaciones!Q$14-1))+6),11))))))))</f>
        <v/>
      </c>
      <c r="CA121" s="1" t="str">
        <f aca="false">IF(OR(NOT(AND(ISNUMBER(E121),ISNUMBER(F121))),$J$2=""),"",IF(Reprogramaciones!R$13&lt;Reprogramaciones!$T$15,0,IF(Reprogramaciones!R$14&gt;10,MIN(100,SUM($G121:$P121)),MIN(100,SUMPRODUCT((COLUMN($G121:$P121)-COLUMN($G121)+1&lt;Reprogramaciones!R$14)*$G121:$P121)+N(INDEX($G121:$P121,1,Reprogramaciones!R$14))*IF(Reprogramaciones!R$13&gt;=(Reprogramaciones!$T$15+7*(Reprogramaciones!R$14-1))+6,1,IF(MAX(0,NETWORKDAYS.INTL(MAX(E121,(Reprogramaciones!$T$15+7*(Reprogramaciones!R$14-1))),MIN(F121,(Reprogramaciones!$T$15+7*(Reprogramaciones!R$14-1))+6),11))=0,0,MAX(0,NETWORKDAYS.INTL(MAX(E121,(Reprogramaciones!$T$15+7*(Reprogramaciones!R$14-1))),MIN(F121,Reprogramaciones!R$13),11))/MAX(0,NETWORKDAYS.INTL(MAX(E121,(Reprogramaciones!$T$15+7*(Reprogramaciones!R$14-1))),MIN(F121,(Reprogramaciones!$T$15+7*(Reprogramaciones!R$14-1))+6),11))))))))</f>
        <v/>
      </c>
      <c r="CB121" s="1" t="str">
        <f aca="false">IF(OR(NOT(AND(ISNUMBER(E121),ISNUMBER(F121))),$J$2=""),"",IF(Reprogramaciones!S$13&lt;Reprogramaciones!$T$15,0,IF(Reprogramaciones!S$14&gt;10,MIN(100,SUM($G121:$P121)),MIN(100,SUMPRODUCT((COLUMN($G121:$P121)-COLUMN($G121)+1&lt;Reprogramaciones!S$14)*$G121:$P121)+N(INDEX($G121:$P121,1,Reprogramaciones!S$14))*IF(Reprogramaciones!S$13&gt;=(Reprogramaciones!$T$15+7*(Reprogramaciones!S$14-1))+6,1,IF(MAX(0,NETWORKDAYS.INTL(MAX(E121,(Reprogramaciones!$T$15+7*(Reprogramaciones!S$14-1))),MIN(F121,(Reprogramaciones!$T$15+7*(Reprogramaciones!S$14-1))+6),11))=0,0,MAX(0,NETWORKDAYS.INTL(MAX(E121,(Reprogramaciones!$T$15+7*(Reprogramaciones!S$14-1))),MIN(F121,Reprogramaciones!S$13),11))/MAX(0,NETWORKDAYS.INTL(MAX(E121,(Reprogramaciones!$T$15+7*(Reprogramaciones!S$14-1))),MIN(F121,(Reprogramaciones!$T$15+7*(Reprogramaciones!S$14-1))+6),11))))))))</f>
        <v/>
      </c>
      <c r="CC121" s="1" t="str">
        <f aca="false">IF(OR(NOT(AND(ISNUMBER(E121),ISNUMBER(F121))),$J$2=""),"",IF(Reprogramaciones!T$13&lt;Reprogramaciones!$T$15,0,IF(Reprogramaciones!T$14&gt;10,MIN(100,SUM($G121:$P121)),MIN(100,SUMPRODUCT((COLUMN($G121:$P121)-COLUMN($G121)+1&lt;Reprogramaciones!T$14)*$G121:$P121)+N(INDEX($G121:$P121,1,Reprogramaciones!T$14))*IF(Reprogramaciones!T$13&gt;=(Reprogramaciones!$T$15+7*(Reprogramaciones!T$14-1))+6,1,IF(MAX(0,NETWORKDAYS.INTL(MAX(E121,(Reprogramaciones!$T$15+7*(Reprogramaciones!T$14-1))),MIN(F121,(Reprogramaciones!$T$15+7*(Reprogramaciones!T$14-1))+6),11))=0,0,MAX(0,NETWORKDAYS.INTL(MAX(E121,(Reprogramaciones!$T$15+7*(Reprogramaciones!T$14-1))),MIN(F121,Reprogramaciones!T$13),11))/MAX(0,NETWORKDAYS.INTL(MAX(E121,(Reprogramaciones!$T$15+7*(Reprogramaciones!T$14-1))),MIN(F121,(Reprogramaciones!$T$15+7*(Reprogramaciones!T$14-1))+6),11))))))))</f>
        <v/>
      </c>
      <c r="CD121" s="1" t="str">
        <f aca="false">IF(OR(NOT(AND(ISNUMBER(E121),ISNUMBER(F121))),$J$2=""),"",IF(Reprogramaciones!U$13&lt;Reprogramaciones!$T$15,0,IF(Reprogramaciones!U$14&gt;10,MIN(100,SUM($G121:$P121)),MIN(100,SUMPRODUCT((COLUMN($G121:$P121)-COLUMN($G121)+1&lt;Reprogramaciones!U$14)*$G121:$P121)+N(INDEX($G121:$P121,1,Reprogramaciones!U$14))*IF(Reprogramaciones!U$13&gt;=(Reprogramaciones!$T$15+7*(Reprogramaciones!U$14-1))+6,1,IF(MAX(0,NETWORKDAYS.INTL(MAX(E121,(Reprogramaciones!$T$15+7*(Reprogramaciones!U$14-1))),MIN(F121,(Reprogramaciones!$T$15+7*(Reprogramaciones!U$14-1))+6),11))=0,0,MAX(0,NETWORKDAYS.INTL(MAX(E121,(Reprogramaciones!$T$15+7*(Reprogramaciones!U$14-1))),MIN(F121,Reprogramaciones!U$13),11))/MAX(0,NETWORKDAYS.INTL(MAX(E121,(Reprogramaciones!$T$15+7*(Reprogramaciones!U$14-1))),MIN(F121,(Reprogramaciones!$T$15+7*(Reprogramaciones!U$14-1))+6),11))))))))</f>
        <v/>
      </c>
      <c r="CE121" s="1" t="str">
        <f aca="false">IF(OR(NOT(AND(ISNUMBER(E121),ISNUMBER(F121))),$J$2=""),"",IF(Reprogramaciones!V$13&lt;Reprogramaciones!$T$15,0,IF(Reprogramaciones!V$14&gt;10,MIN(100,SUM($G121:$P121)),MIN(100,SUMPRODUCT((COLUMN($G121:$P121)-COLUMN($G121)+1&lt;Reprogramaciones!V$14)*$G121:$P121)+N(INDEX($G121:$P121,1,Reprogramaciones!V$14))*IF(Reprogramaciones!V$13&gt;=(Reprogramaciones!$T$15+7*(Reprogramaciones!V$14-1))+6,1,IF(MAX(0,NETWORKDAYS.INTL(MAX(E121,(Reprogramaciones!$T$15+7*(Reprogramaciones!V$14-1))),MIN(F121,(Reprogramaciones!$T$15+7*(Reprogramaciones!V$14-1))+6),11))=0,0,MAX(0,NETWORKDAYS.INTL(MAX(E121,(Reprogramaciones!$T$15+7*(Reprogramaciones!V$14-1))),MIN(F121,Reprogramaciones!V$13),11))/MAX(0,NETWORKDAYS.INTL(MAX(E121,(Reprogramaciones!$T$15+7*(Reprogramaciones!V$14-1))),MIN(F121,(Reprogramaciones!$T$15+7*(Reprogramaciones!V$14-1))+6),11))))))))</f>
        <v/>
      </c>
      <c r="CF121" s="1" t="str">
        <f aca="false">IF(OR(NOT(AND(ISNUMBER(E121),ISNUMBER(F121))),$J$2=""),"",IF(Reprogramaciones!W$13&lt;Reprogramaciones!$T$15,0,IF(Reprogramaciones!W$14&gt;10,MIN(100,SUM($G121:$P121)),MIN(100,SUMPRODUCT((COLUMN($G121:$P121)-COLUMN($G121)+1&lt;Reprogramaciones!W$14)*$G121:$P121)+N(INDEX($G121:$P121,1,Reprogramaciones!W$14))*IF(Reprogramaciones!W$13&gt;=(Reprogramaciones!$T$15+7*(Reprogramaciones!W$14-1))+6,1,IF(MAX(0,NETWORKDAYS.INTL(MAX(E121,(Reprogramaciones!$T$15+7*(Reprogramaciones!W$14-1))),MIN(F121,(Reprogramaciones!$T$15+7*(Reprogramaciones!W$14-1))+6),11))=0,0,MAX(0,NETWORKDAYS.INTL(MAX(E121,(Reprogramaciones!$T$15+7*(Reprogramaciones!W$14-1))),MIN(F121,Reprogramaciones!W$13),11))/MAX(0,NETWORKDAYS.INTL(MAX(E121,(Reprogramaciones!$T$15+7*(Reprogramaciones!W$14-1))),MIN(F121,(Reprogramaciones!$T$15+7*(Reprogramaciones!W$14-1))+6),11))))))))</f>
        <v/>
      </c>
      <c r="CG121" s="1" t="str">
        <f aca="false">IF(OR(NOT(AND(ISNUMBER(E121),ISNUMBER(F121))),$J$2=""),"",IF(Reprogramaciones!X$13&lt;Reprogramaciones!$T$15,0,IF(Reprogramaciones!X$14&gt;10,MIN(100,SUM($G121:$P121)),MIN(100,SUMPRODUCT((COLUMN($G121:$P121)-COLUMN($G121)+1&lt;Reprogramaciones!X$14)*$G121:$P121)+N(INDEX($G121:$P121,1,Reprogramaciones!X$14))*IF(Reprogramaciones!X$13&gt;=(Reprogramaciones!$T$15+7*(Reprogramaciones!X$14-1))+6,1,IF(MAX(0,NETWORKDAYS.INTL(MAX(E121,(Reprogramaciones!$T$15+7*(Reprogramaciones!X$14-1))),MIN(F121,(Reprogramaciones!$T$15+7*(Reprogramaciones!X$14-1))+6),11))=0,0,MAX(0,NETWORKDAYS.INTL(MAX(E121,(Reprogramaciones!$T$15+7*(Reprogramaciones!X$14-1))),MIN(F121,Reprogramaciones!X$13),11))/MAX(0,NETWORKDAYS.INTL(MAX(E121,(Reprogramaciones!$T$15+7*(Reprogramaciones!X$14-1))),MIN(F121,(Reprogramaciones!$T$15+7*(Reprogramaciones!X$14-1))+6),11))))))))</f>
        <v/>
      </c>
      <c r="CH121" s="1" t="str">
        <f aca="false">IF(OR(NOT(AND(ISNUMBER(E121),ISNUMBER(F121))),$J$2=""),"",IF(Reprogramaciones!Y$13&lt;Reprogramaciones!$T$15,0,IF(Reprogramaciones!Y$14&gt;10,MIN(100,SUM($G121:$P121)),MIN(100,SUMPRODUCT((COLUMN($G121:$P121)-COLUMN($G121)+1&lt;Reprogramaciones!Y$14)*$G121:$P121)+N(INDEX($G121:$P121,1,Reprogramaciones!Y$14))*IF(Reprogramaciones!Y$13&gt;=(Reprogramaciones!$T$15+7*(Reprogramaciones!Y$14-1))+6,1,IF(MAX(0,NETWORKDAYS.INTL(MAX(E121,(Reprogramaciones!$T$15+7*(Reprogramaciones!Y$14-1))),MIN(F121,(Reprogramaciones!$T$15+7*(Reprogramaciones!Y$14-1))+6),11))=0,0,MAX(0,NETWORKDAYS.INTL(MAX(E121,(Reprogramaciones!$T$15+7*(Reprogramaciones!Y$14-1))),MIN(F121,Reprogramaciones!Y$13),11))/MAX(0,NETWORKDAYS.INTL(MAX(E121,(Reprogramaciones!$T$15+7*(Reprogramaciones!Y$14-1))),MIN(F121,(Reprogramaciones!$T$15+7*(Reprogramaciones!Y$14-1))+6),11))))))))</f>
        <v/>
      </c>
      <c r="CI121" s="1" t="str">
        <f aca="false">IF(OR(NOT(AND(ISNUMBER(E121),ISNUMBER(F121))),$J$2=""),"",IF(Reprogramaciones!Z$13&lt;Reprogramaciones!$T$15,0,IF(Reprogramaciones!Z$14&gt;10,MIN(100,SUM($G121:$P121)),MIN(100,SUMPRODUCT((COLUMN($G121:$P121)-COLUMN($G121)+1&lt;Reprogramaciones!Z$14)*$G121:$P121)+N(INDEX($G121:$P121,1,Reprogramaciones!Z$14))*IF(Reprogramaciones!Z$13&gt;=(Reprogramaciones!$T$15+7*(Reprogramaciones!Z$14-1))+6,1,IF(MAX(0,NETWORKDAYS.INTL(MAX(E121,(Reprogramaciones!$T$15+7*(Reprogramaciones!Z$14-1))),MIN(F121,(Reprogramaciones!$T$15+7*(Reprogramaciones!Z$14-1))+6),11))=0,0,MAX(0,NETWORKDAYS.INTL(MAX(E121,(Reprogramaciones!$T$15+7*(Reprogramaciones!Z$14-1))),MIN(F121,Reprogramaciones!Z$13),11))/MAX(0,NETWORKDAYS.INTL(MAX(E121,(Reprogramaciones!$T$15+7*(Reprogramaciones!Z$14-1))),MIN(F121,(Reprogramaciones!$T$15+7*(Reprogramaciones!Z$14-1))+6),11))))))))</f>
        <v/>
      </c>
      <c r="CJ121" s="1" t="str">
        <f aca="false">IF(OR(OR(NOT(AND(ISNUMBER(E121),ISNUMBER(F121))),$J$2=""),1&gt;Reprogramaciones!$K$16),"",IF(ROUND(SUM($Q121:Q121),1)&gt;=99.5,100,MIN(100,ROUND(SUM($Q121:Q121),1))))</f>
        <v/>
      </c>
      <c r="CK121" s="1" t="str">
        <f aca="false">IF(OR(OR(NOT(AND(ISNUMBER(E121),ISNUMBER(F121))),$J$2=""),2&gt;Reprogramaciones!$K$16),"",IF(ROUND(SUM($Q121:R121),1)&gt;=99.5,100,MIN(100,ROUND(SUM($Q121:R121),1))))</f>
        <v/>
      </c>
      <c r="CL121" s="1" t="str">
        <f aca="false">IF(OR(OR(NOT(AND(ISNUMBER(E121),ISNUMBER(F121))),$J$2=""),3&gt;Reprogramaciones!$K$16),"",IF(ROUND(SUM($Q121:S121),1)&gt;=99.5,100,MIN(100,ROUND(SUM($Q121:S121),1))))</f>
        <v/>
      </c>
      <c r="CM121" s="1" t="str">
        <f aca="false">IF(OR(OR(NOT(AND(ISNUMBER(E121),ISNUMBER(F121))),$J$2=""),4&gt;Reprogramaciones!$K$16),"",IF(ROUND(SUM($Q121:T121),1)&gt;=99.5,100,MIN(100,ROUND(SUM($Q121:T121),1))))</f>
        <v/>
      </c>
      <c r="CN121" s="1" t="str">
        <f aca="false">IF(OR(OR(NOT(AND(ISNUMBER(E121),ISNUMBER(F121))),$J$2=""),5&gt;Reprogramaciones!$K$16),"",IF(ROUND(SUM($Q121:U121),1)&gt;=99.5,100,MIN(100,ROUND(SUM($Q121:U121),1))))</f>
        <v/>
      </c>
      <c r="CO121" s="1" t="str">
        <f aca="false">IF(OR(OR(NOT(AND(ISNUMBER(E121),ISNUMBER(F121))),$J$2=""),6&gt;Reprogramaciones!$K$16),"",IF(ROUND(SUM($Q121:V121),1)&gt;=99.5,100,MIN(100,ROUND(SUM($Q121:V121),1))))</f>
        <v/>
      </c>
      <c r="CP121" s="1" t="str">
        <f aca="false">IF(OR(OR(NOT(AND(ISNUMBER(E121),ISNUMBER(F121))),$J$2=""),7&gt;Reprogramaciones!$K$16),"",IF(ROUND(SUM($Q121:W121),1)&gt;=99.5,100,MIN(100,ROUND(SUM($Q121:W121),1))))</f>
        <v/>
      </c>
      <c r="CQ121" s="1" t="str">
        <f aca="false">IF(OR(OR(NOT(AND(ISNUMBER(E121),ISNUMBER(F121))),$J$2=""),8&gt;Reprogramaciones!$K$16),"",IF(ROUND(SUM($Q121:X121),1)&gt;=99.5,100,MIN(100,ROUND(SUM($Q121:X121),1))))</f>
        <v/>
      </c>
      <c r="CR121" s="1" t="str">
        <f aca="false">IF(OR(OR(NOT(AND(ISNUMBER(E121),ISNUMBER(F121))),$J$2=""),9&gt;Reprogramaciones!$K$16),"",IF(ROUND(SUM($Q121:Y121),1)&gt;=99.5,100,MIN(100,ROUND(SUM($Q121:Y121),1))))</f>
        <v/>
      </c>
      <c r="CS121" s="1" t="str">
        <f aca="false">IF(OR(OR(NOT(AND(ISNUMBER(E121),ISNUMBER(F121))),$J$2=""),10&gt;Reprogramaciones!$K$16),"",IF(ROUND(SUM($Q121:Z121),1)&gt;=99.5,100,MIN(100,ROUND(SUM($Q121:Z121),1))))</f>
        <v/>
      </c>
      <c r="CT121" s="1" t="str">
        <f aca="false">IF(OR(OR(NOT(AND(ISNUMBER(E121),ISNUMBER(F121))),$J$2=""),11&gt;Reprogramaciones!$K$16),"",IF(ROUND(SUM($Q121:AA121),1)&gt;=99.5,100,MIN(100,ROUND(SUM($Q121:AA121),1))))</f>
        <v/>
      </c>
      <c r="CU121" s="1" t="str">
        <f aca="false">IF(OR(OR(NOT(AND(ISNUMBER(E121),ISNUMBER(F121))),$J$2=""),12&gt;Reprogramaciones!$K$16),"",IF(ROUND(SUM($Q121:AB121),1)&gt;=99.5,100,MIN(100,ROUND(SUM($Q121:AB121),1))))</f>
        <v/>
      </c>
      <c r="CV121" s="1" t="str">
        <f aca="false">IF(OR(OR(NOT(AND(ISNUMBER(E121),ISNUMBER(F121))),$J$2=""),13&gt;Reprogramaciones!$K$16),"",IF(ROUND(SUM($Q121:AC121),1)&gt;=99.5,100,MIN(100,ROUND(SUM($Q121:AC121),1))))</f>
        <v/>
      </c>
      <c r="CW121" s="1" t="str">
        <f aca="false">IF(OR(OR(NOT(AND(ISNUMBER(E121),ISNUMBER(F121))),$J$2=""),14&gt;Reprogramaciones!$K$16),"",IF(ROUND(SUM($Q121:AD121),1)&gt;=99.5,100,MIN(100,ROUND(SUM($Q121:AD121),1))))</f>
        <v/>
      </c>
      <c r="CX121" s="1" t="str">
        <f aca="false">IF(OR(OR(NOT(AND(ISNUMBER(E121),ISNUMBER(F121))),$J$2=""),15&gt;Reprogramaciones!$K$16),"",IF(ROUND(SUM($Q121:AE121),1)&gt;=99.5,100,MIN(100,ROUND(SUM($Q121:AE121),1))))</f>
        <v/>
      </c>
      <c r="CY121" s="1" t="str">
        <f aca="false">IF(OR(OR(NOT(AND(ISNUMBER(E121),ISNUMBER(F121))),$J$2=""),16&gt;Reprogramaciones!$K$16),"",IF(ROUND(SUM($Q121:AF121),1)&gt;=99.5,100,MIN(100,ROUND(SUM($Q121:AF121),1))))</f>
        <v/>
      </c>
      <c r="CZ121" s="1" t="str">
        <f aca="false">IF(D121&lt;&gt;"",D121,IF(B121&lt;&gt;"","Contractual",CZ120))</f>
        <v>Contractual</v>
      </c>
      <c r="DA121" s="1" t="str">
        <f aca="false">IF(OR(NOT(AND(ISNUMBER(E121),ISNUMBER(F121))),$J$2=""),"",IF(Reprogramaciones!$Q$15&lt;Reprogramaciones!$T$15,0,IF(Reprogramaciones!$S$15&gt;10,MIN(100,SUM($G121:$P121)),MIN(100,SUMPRODUCT((COLUMN($G121:$P121)-COLUMN($G121)+1&lt;Reprogramaciones!$S$15)*$G121:$P121)+N(INDEX($G121:$P121,1,Reprogramaciones!$S$15))*IF(Reprogramaciones!$Q$15&gt;=(Reprogramaciones!$T$15+7*(Reprogramaciones!$S$15-1))+6,1,IF(MAX(0,NETWORKDAYS.INTL(MAX(E121,(Reprogramaciones!$T$15+7*(Reprogramaciones!$S$15-1))),MIN(F121,(Reprogramaciones!$T$15+7*(Reprogramaciones!$S$15-1))+6),11))=0,0,MAX(0,NETWORKDAYS.INTL(MAX(E121,(Reprogramaciones!$T$15+7*(Reprogramaciones!$S$15-1))),MIN(F121,Reprogramaciones!$Q$15),11))/MAX(0,NETWORKDAYS.INTL(MAX(E121,(Reprogramaciones!$T$15+7*(Reprogramaciones!$S$15-1))),MIN(F121,(Reprogramaciones!$T$15+7*(Reprogramaciones!$S$15-1))+6),11))))))))</f>
        <v/>
      </c>
    </row>
    <row r="122" customFormat="false" ht="15" hidden="false" customHeight="false" outlineLevel="0" collapsed="false">
      <c r="A122" s="32"/>
      <c r="B122" s="33"/>
      <c r="C122" s="33"/>
      <c r="D122" s="34"/>
      <c r="E122" s="35"/>
      <c r="F122" s="35"/>
      <c r="G122" s="36" t="str">
        <f aca="false">IF(OR(NOT(AND(ISNUMBER(E122),ISNUMBER(F122))),$J$2=""),"",IF(Reprogramaciones!K$9&lt;E122,0,IF(NETWORKDAYS.INTL(E122,F122,11)=0,IF(Reprogramaciones!K$9&gt;=F122,100,0),ROUND(NETWORKDAYS.INTL(E122,MIN(F122,Reprogramaciones!K$9),11)/NETWORKDAYS.INTL(E122,F122,11)*100,1)))-0)</f>
        <v/>
      </c>
      <c r="H122" s="36" t="str">
        <f aca="false">IF(OR(NOT(AND(ISNUMBER(E122),ISNUMBER(F122))),$J$2=""),"",IF(Reprogramaciones!L$9&lt;E122,0,IF(NETWORKDAYS.INTL(E122,F122,11)=0,IF(Reprogramaciones!L$9&gt;=F122,100,0),ROUND(NETWORKDAYS.INTL(E122,MIN(F122,Reprogramaciones!L$9),11)/NETWORKDAYS.INTL(E122,F122,11)*100,1)))-IF(Reprogramaciones!K$9&lt;E122,0,IF(NETWORKDAYS.INTL(E122,F122,11)=0,IF(Reprogramaciones!K$9&gt;=F122,100,0),ROUND(NETWORKDAYS.INTL(E122,MIN(F122,Reprogramaciones!K$9),11)/NETWORKDAYS.INTL(E122,F122,11)*100,1))))</f>
        <v/>
      </c>
      <c r="I122" s="36" t="str">
        <f aca="false">IF(OR(NOT(AND(ISNUMBER(E122),ISNUMBER(F122))),$J$2=""),"",IF(Reprogramaciones!M$9&lt;E122,0,IF(NETWORKDAYS.INTL(E122,F122,11)=0,IF(Reprogramaciones!M$9&gt;=F122,100,0),ROUND(NETWORKDAYS.INTL(E122,MIN(F122,Reprogramaciones!M$9),11)/NETWORKDAYS.INTL(E122,F122,11)*100,1)))-IF(Reprogramaciones!L$9&lt;E122,0,IF(NETWORKDAYS.INTL(E122,F122,11)=0,IF(Reprogramaciones!L$9&gt;=F122,100,0),ROUND(NETWORKDAYS.INTL(E122,MIN(F122,Reprogramaciones!L$9),11)/NETWORKDAYS.INTL(E122,F122,11)*100,1))))</f>
        <v/>
      </c>
      <c r="J122" s="36" t="str">
        <f aca="false">IF(OR(NOT(AND(ISNUMBER(E122),ISNUMBER(F122))),$J$2=""),"",IF(Reprogramaciones!N$9&lt;E122,0,IF(NETWORKDAYS.INTL(E122,F122,11)=0,IF(Reprogramaciones!N$9&gt;=F122,100,0),ROUND(NETWORKDAYS.INTL(E122,MIN(F122,Reprogramaciones!N$9),11)/NETWORKDAYS.INTL(E122,F122,11)*100,1)))-IF(Reprogramaciones!M$9&lt;E122,0,IF(NETWORKDAYS.INTL(E122,F122,11)=0,IF(Reprogramaciones!M$9&gt;=F122,100,0),ROUND(NETWORKDAYS.INTL(E122,MIN(F122,Reprogramaciones!M$9),11)/NETWORKDAYS.INTL(E122,F122,11)*100,1))))</f>
        <v/>
      </c>
      <c r="K122" s="36" t="str">
        <f aca="false">IF(OR(NOT(AND(ISNUMBER(E122),ISNUMBER(F122))),$J$2=""),"",IF(Reprogramaciones!O$9&lt;E122,0,IF(NETWORKDAYS.INTL(E122,F122,11)=0,IF(Reprogramaciones!O$9&gt;=F122,100,0),ROUND(NETWORKDAYS.INTL(E122,MIN(F122,Reprogramaciones!O$9),11)/NETWORKDAYS.INTL(E122,F122,11)*100,1)))-IF(Reprogramaciones!N$9&lt;E122,0,IF(NETWORKDAYS.INTL(E122,F122,11)=0,IF(Reprogramaciones!N$9&gt;=F122,100,0),ROUND(NETWORKDAYS.INTL(E122,MIN(F122,Reprogramaciones!N$9),11)/NETWORKDAYS.INTL(E122,F122,11)*100,1))))</f>
        <v/>
      </c>
      <c r="L122" s="36" t="str">
        <f aca="false">IF(OR(NOT(AND(ISNUMBER(E122),ISNUMBER(F122))),$J$2=""),"",IF(Reprogramaciones!P$9&lt;E122,0,IF(NETWORKDAYS.INTL(E122,F122,11)=0,IF(Reprogramaciones!P$9&gt;=F122,100,0),ROUND(NETWORKDAYS.INTL(E122,MIN(F122,Reprogramaciones!P$9),11)/NETWORKDAYS.INTL(E122,F122,11)*100,1)))-IF(Reprogramaciones!O$9&lt;E122,0,IF(NETWORKDAYS.INTL(E122,F122,11)=0,IF(Reprogramaciones!O$9&gt;=F122,100,0),ROUND(NETWORKDAYS.INTL(E122,MIN(F122,Reprogramaciones!O$9),11)/NETWORKDAYS.INTL(E122,F122,11)*100,1))))</f>
        <v/>
      </c>
      <c r="M122" s="36" t="str">
        <f aca="false">IF(OR(NOT(AND(ISNUMBER(E122),ISNUMBER(F122))),$J$2=""),"",IF(Reprogramaciones!Q$9&lt;E122,0,IF(NETWORKDAYS.INTL(E122,F122,11)=0,IF(Reprogramaciones!Q$9&gt;=F122,100,0),ROUND(NETWORKDAYS.INTL(E122,MIN(F122,Reprogramaciones!Q$9),11)/NETWORKDAYS.INTL(E122,F122,11)*100,1)))-IF(Reprogramaciones!P$9&lt;E122,0,IF(NETWORKDAYS.INTL(E122,F122,11)=0,IF(Reprogramaciones!P$9&gt;=F122,100,0),ROUND(NETWORKDAYS.INTL(E122,MIN(F122,Reprogramaciones!P$9),11)/NETWORKDAYS.INTL(E122,F122,11)*100,1))))</f>
        <v/>
      </c>
      <c r="N122" s="36" t="str">
        <f aca="false">IF(OR(NOT(AND(ISNUMBER(E122),ISNUMBER(F122))),$J$2=""),"",IF(Reprogramaciones!R$9&lt;E122,0,IF(NETWORKDAYS.INTL(E122,F122,11)=0,IF(Reprogramaciones!R$9&gt;=F122,100,0),ROUND(NETWORKDAYS.INTL(E122,MIN(F122,Reprogramaciones!R$9),11)/NETWORKDAYS.INTL(E122,F122,11)*100,1)))-IF(Reprogramaciones!Q$9&lt;E122,0,IF(NETWORKDAYS.INTL(E122,F122,11)=0,IF(Reprogramaciones!Q$9&gt;=F122,100,0),ROUND(NETWORKDAYS.INTL(E122,MIN(F122,Reprogramaciones!Q$9),11)/NETWORKDAYS.INTL(E122,F122,11)*100,1))))</f>
        <v/>
      </c>
      <c r="O122" s="36" t="str">
        <f aca="false">IF(OR(NOT(AND(ISNUMBER(E122),ISNUMBER(F122))),$J$2=""),"",IF(Reprogramaciones!S$9&lt;E122,0,IF(NETWORKDAYS.INTL(E122,F122,11)=0,IF(Reprogramaciones!S$9&gt;=F122,100,0),ROUND(NETWORKDAYS.INTL(E122,MIN(F122,Reprogramaciones!S$9),11)/NETWORKDAYS.INTL(E122,F122,11)*100,1)))-IF(Reprogramaciones!R$9&lt;E122,0,IF(NETWORKDAYS.INTL(E122,F122,11)=0,IF(Reprogramaciones!R$9&gt;=F122,100,0),ROUND(NETWORKDAYS.INTL(E122,MIN(F122,Reprogramaciones!R$9),11)/NETWORKDAYS.INTL(E122,F122,11)*100,1))))</f>
        <v/>
      </c>
      <c r="P122" s="36" t="str">
        <f aca="false">IF(OR(NOT(AND(ISNUMBER(E122),ISNUMBER(F122))),$J$2=""),"",IF(Reprogramaciones!T$9&lt;E122,0,IF(NETWORKDAYS.INTL(E122,F122,11)=0,IF(Reprogramaciones!T$9&gt;=F122,100,0),ROUND(NETWORKDAYS.INTL(E122,MIN(F122,Reprogramaciones!T$9),11)/NETWORKDAYS.INTL(E122,F122,11)*100,1)))-IF(Reprogramaciones!S$9&lt;E122,0,IF(NETWORKDAYS.INTL(E122,F122,11)=0,IF(Reprogramaciones!S$9&gt;=F122,100,0),ROUND(NETWORKDAYS.INTL(E122,MIN(F122,Reprogramaciones!S$9),11)/NETWORKDAYS.INTL(E122,F122,11)*100,1))))</f>
        <v/>
      </c>
      <c r="Q122" s="37"/>
      <c r="R122" s="37"/>
      <c r="S122" s="37"/>
      <c r="T122" s="37"/>
      <c r="U122" s="37"/>
      <c r="V122" s="37"/>
      <c r="W122" s="37"/>
      <c r="X122" s="37"/>
      <c r="Y122" s="37"/>
      <c r="Z122" s="37"/>
      <c r="AA122" s="37"/>
      <c r="AB122" s="37"/>
      <c r="AC122" s="37"/>
      <c r="AD122" s="37"/>
      <c r="AE122" s="37"/>
      <c r="AF122" s="37"/>
      <c r="AG122" s="38" t="str">
        <f aca="false">IF(AND(ISNUMBER(E122),ISNUMBER(F122)),NETWORKDAYS.INTL(E122,F122,11),"")</f>
        <v/>
      </c>
      <c r="AH122" s="38" t="str">
        <f aca="false">IF(OR(NOT(AND(ISNUMBER(E122),ISNUMBER(F122))),$J$2=""),"",IF(Reprogramaciones!$P$15&lt;Reprogramaciones!$T$15,0,IF(Reprogramaciones!$R$15&gt;10,MIN(100,SUM($G122:$P122)),MIN(100,SUMPRODUCT((COLUMN($G122:$P122)-COLUMN($G122)+1&lt;Reprogramaciones!$R$15)*$G122:$P122)+N(INDEX($G122:$P122,1,Reprogramaciones!$R$15))*IF(Reprogramaciones!$P$15&gt;=(Reprogramaciones!$T$15+7*(Reprogramaciones!$R$15-1))+6,1,IF(MAX(0,NETWORKDAYS.INTL(MAX(E122,(Reprogramaciones!$T$15+7*(Reprogramaciones!$R$15-1))),MIN(F122,(Reprogramaciones!$T$15+7*(Reprogramaciones!$R$15-1))+6),11))=0,0,MAX(0,NETWORKDAYS.INTL(MAX(E122,(Reprogramaciones!$T$15+7*(Reprogramaciones!$R$15-1))),MIN(F122,Reprogramaciones!$P$15),11))/MAX(0,NETWORKDAYS.INTL(MAX(E122,(Reprogramaciones!$T$15+7*(Reprogramaciones!$R$15-1))),MIN(F122,(Reprogramaciones!$T$15+7*(Reprogramaciones!$R$15-1))+6),11))))))))</f>
        <v/>
      </c>
      <c r="AI122" s="38" t="str">
        <f aca="false">IF(COUNT($Q122:$AF122)=0,"",IF(ROUND(SUM($Q122:$AF122),1)&gt;=99.5,100,MIN(100,ROUND(SUM($Q122:$AF122),1))))</f>
        <v/>
      </c>
      <c r="AJ122" s="38" t="str">
        <f aca="false">IF(OR(AH122="",AI122=""),"",AI122-AH122)</f>
        <v/>
      </c>
      <c r="AK122" s="39" t="str">
        <f aca="true">IF(AH122="","",IF(OR(Ficha!$C$10="Suspendida",Ficha!$C$10="Cancelada"),Ficha!$C$10,IF(AND(AI122&lt;&gt;"",N(AI122)&gt;=100),"Completada",IF(AND(E122&gt;TODAY(),N(AI122)=0),"Por iniciar",IF(N(AI122)+0.5&lt;AH122,"Retrasada",IF(N(AI122)+0.5&lt;DA122,IF(Reprogramaciones!$K$15&gt;0,"Al día · Sem "&amp;Reprogramaciones!$K$15&amp;" en curso","Al día · en curso"),"A tiempo"))))))</f>
        <v/>
      </c>
      <c r="AL122" s="39" t="str">
        <f aca="true">IF(AND(A122="",AND(B122="",C122="",E122="",F122="",COUNT(Q122:AF122)=0)),"",IF(AND(B122="",C122="",E122="",F122="",COUNT(Q122:AF122)=0),"Falta la partida o subpartida",IF(AND(A122&lt;&gt;"",COUNTIF($A$6:$A$305,A122)&gt;1),"Ítem repetido",IF(AND(C122="",E122="",F122="",COUNT(Q122:AF122)=0),"Título de partida",IF(OR(E122="",F122=""),"Faltan fechas",IF(OR(ISTEXT(E122),ISTEXT(F122)),"Fecha escrita como texto: usa dd/mm/aaaa",IF(F122&lt;E122,"Fin antes del inicio",IF(IF($J$2="",FALSE(),OR(E122&lt;$J$2,F122&gt;Reprogramaciones!$T$15+69)),"Fuera de las 10 semanas",IF(ABS(SUM(G122:P122)-100)&gt;0.5,"La meta no suma 100%",IF(ROUND(SUM(Q122:AF122),1)&gt;100.5,"El avance pasa de 100%",IF(MIN(Q122:AF122)&lt;0,"Avance negativo",IF(COUNTA(Q122:AF122)&gt;COUNT(Q122:AF122),"Avance escrito como texto",IF(SUMPRODUCT((Q122:AF122&gt;0)*(Q122:AF122&lt;1))&gt;0,"Avance menor a 1: escribe 50, no 50%",IF(SUMPRODUCT(ISNUMBER(Q122:AF122)*(Reprogramaciones!$K$8:$Z$8&gt;TODAY()))&gt;0,"Avance en semana que aún no llega",IF(AND(N(Reprogramaciones!$E$21)&gt;0,F122&gt;Reprogramaciones!$E$21),"Pasa el fin de la obra: registra una reprogramación",IF(AND(N(Reprogramaciones!$E$21)&gt;0,SUMPRODUCT(ISNUMBER(Q122:AF122)*(Reprogramaciones!$K$8:$Z$8&gt;Reprogramaciones!$E$21))&gt;0),"Avance después del fin de la obra: registra una reprogramación por atraso","OK"))))))))))))))))</f>
        <v/>
      </c>
      <c r="AM122" s="40" t="str">
        <f aca="false">IF(OR(OR(NOT(AND(ISNUMBER(E122),ISNUMBER(F122))),$J$2=""),1&gt;MAX(1,Reprogramaciones!$U$15)),"",IF(Reprogramaciones!K$12&gt;=7,"",IF(OR(BT122-N(0)&gt;0.05,N(Q122)&gt;0),ROUNDDOWN(ROUND(BT122,6),0)&amp;"%"&amp;IF(CJ122="",""," / "&amp;CJ122&amp;"%"),IF(AND(N(0)&gt;=99.95,CJ122&lt;&gt;"",N(CJ122)&lt;100),"Pend. "&amp;CJ122&amp;"%",""))))</f>
        <v/>
      </c>
      <c r="AN122" s="40" t="str">
        <f aca="false">IF(OR(OR(NOT(AND(ISNUMBER(E122),ISNUMBER(F122))),$J$2=""),2&gt;MAX(1,Reprogramaciones!$U$15)),"",IF(Reprogramaciones!L$12&gt;=7,"",IF(OR(BU122-N(BT122)&gt;0.05,N(R122)&gt;0),ROUNDDOWN(ROUND(BU122,6),0)&amp;"%"&amp;IF(CK122="",""," / "&amp;CK122&amp;"%"),IF(AND(N(BT122)&gt;=99.95,CK122&lt;&gt;"",N(CK122)&lt;100),"Pend. "&amp;CK122&amp;"%",""))))</f>
        <v/>
      </c>
      <c r="AO122" s="40" t="str">
        <f aca="false">IF(OR(OR(NOT(AND(ISNUMBER(E122),ISNUMBER(F122))),$J$2=""),3&gt;MAX(1,Reprogramaciones!$U$15)),"",IF(Reprogramaciones!M$12&gt;=7,"",IF(OR(BV122-N(BU122)&gt;0.05,N(S122)&gt;0),ROUNDDOWN(ROUND(BV122,6),0)&amp;"%"&amp;IF(CL122="",""," / "&amp;CL122&amp;"%"),IF(AND(N(BU122)&gt;=99.95,CL122&lt;&gt;"",N(CL122)&lt;100),"Pend. "&amp;CL122&amp;"%",""))))</f>
        <v/>
      </c>
      <c r="AP122" s="40" t="str">
        <f aca="false">IF(OR(OR(NOT(AND(ISNUMBER(E122),ISNUMBER(F122))),$J$2=""),4&gt;MAX(1,Reprogramaciones!$U$15)),"",IF(Reprogramaciones!N$12&gt;=7,"",IF(OR(BW122-N(BV122)&gt;0.05,N(T122)&gt;0),ROUNDDOWN(ROUND(BW122,6),0)&amp;"%"&amp;IF(CM122="",""," / "&amp;CM122&amp;"%"),IF(AND(N(BV122)&gt;=99.95,CM122&lt;&gt;"",N(CM122)&lt;100),"Pend. "&amp;CM122&amp;"%",""))))</f>
        <v/>
      </c>
      <c r="AQ122" s="40" t="str">
        <f aca="false">IF(OR(OR(NOT(AND(ISNUMBER(E122),ISNUMBER(F122))),$J$2=""),5&gt;MAX(1,Reprogramaciones!$U$15)),"",IF(Reprogramaciones!O$12&gt;=7,"",IF(OR(BX122-N(BW122)&gt;0.05,N(U122)&gt;0),ROUNDDOWN(ROUND(BX122,6),0)&amp;"%"&amp;IF(CN122="",""," / "&amp;CN122&amp;"%"),IF(AND(N(BW122)&gt;=99.95,CN122&lt;&gt;"",N(CN122)&lt;100),"Pend. "&amp;CN122&amp;"%",""))))</f>
        <v/>
      </c>
      <c r="AR122" s="40" t="str">
        <f aca="false">IF(OR(OR(NOT(AND(ISNUMBER(E122),ISNUMBER(F122))),$J$2=""),6&gt;MAX(1,Reprogramaciones!$U$15)),"",IF(Reprogramaciones!P$12&gt;=7,"",IF(OR(BY122-N(BX122)&gt;0.05,N(V122)&gt;0),ROUNDDOWN(ROUND(BY122,6),0)&amp;"%"&amp;IF(CO122="",""," / "&amp;CO122&amp;"%"),IF(AND(N(BX122)&gt;=99.95,CO122&lt;&gt;"",N(CO122)&lt;100),"Pend. "&amp;CO122&amp;"%",""))))</f>
        <v/>
      </c>
      <c r="AS122" s="40" t="str">
        <f aca="false">IF(OR(OR(NOT(AND(ISNUMBER(E122),ISNUMBER(F122))),$J$2=""),7&gt;MAX(1,Reprogramaciones!$U$15)),"",IF(Reprogramaciones!Q$12&gt;=7,"",IF(OR(BZ122-N(BY122)&gt;0.05,N(W122)&gt;0),ROUNDDOWN(ROUND(BZ122,6),0)&amp;"%"&amp;IF(CP122="",""," / "&amp;CP122&amp;"%"),IF(AND(N(BY122)&gt;=99.95,CP122&lt;&gt;"",N(CP122)&lt;100),"Pend. "&amp;CP122&amp;"%",""))))</f>
        <v/>
      </c>
      <c r="AT122" s="40" t="str">
        <f aca="false">IF(OR(OR(NOT(AND(ISNUMBER(E122),ISNUMBER(F122))),$J$2=""),8&gt;MAX(1,Reprogramaciones!$U$15)),"",IF(Reprogramaciones!R$12&gt;=7,"",IF(OR(CA122-N(BZ122)&gt;0.05,N(X122)&gt;0),ROUNDDOWN(ROUND(CA122,6),0)&amp;"%"&amp;IF(CQ122="",""," / "&amp;CQ122&amp;"%"),IF(AND(N(BZ122)&gt;=99.95,CQ122&lt;&gt;"",N(CQ122)&lt;100),"Pend. "&amp;CQ122&amp;"%",""))))</f>
        <v/>
      </c>
      <c r="AU122" s="40" t="str">
        <f aca="false">IF(OR(OR(NOT(AND(ISNUMBER(E122),ISNUMBER(F122))),$J$2=""),9&gt;MAX(1,Reprogramaciones!$U$15)),"",IF(Reprogramaciones!S$12&gt;=7,"",IF(OR(CB122-N(CA122)&gt;0.05,N(Y122)&gt;0),ROUNDDOWN(ROUND(CB122,6),0)&amp;"%"&amp;IF(CR122="",""," / "&amp;CR122&amp;"%"),IF(AND(N(CA122)&gt;=99.95,CR122&lt;&gt;"",N(CR122)&lt;100),"Pend. "&amp;CR122&amp;"%",""))))</f>
        <v/>
      </c>
      <c r="AV122" s="40" t="str">
        <f aca="false">IF(OR(OR(NOT(AND(ISNUMBER(E122),ISNUMBER(F122))),$J$2=""),10&gt;MAX(1,Reprogramaciones!$U$15)),"",IF(Reprogramaciones!T$12&gt;=7,"",IF(OR(CC122-N(CB122)&gt;0.05,N(Z122)&gt;0),ROUNDDOWN(ROUND(CC122,6),0)&amp;"%"&amp;IF(CS122="",""," / "&amp;CS122&amp;"%"),IF(AND(N(CB122)&gt;=99.95,CS122&lt;&gt;"",N(CS122)&lt;100),"Pend. "&amp;CS122&amp;"%",""))))</f>
        <v/>
      </c>
      <c r="AW122" s="40" t="str">
        <f aca="false">IF(OR(OR(NOT(AND(ISNUMBER(E122),ISNUMBER(F122))),$J$2=""),11&gt;MAX(1,Reprogramaciones!$U$15)),"",IF(Reprogramaciones!U$12&gt;=7,"",IF(OR(CD122-N(CC122)&gt;0.05,N(AA122)&gt;0),ROUNDDOWN(ROUND(CD122,6),0)&amp;"%"&amp;IF(CT122="",""," / "&amp;CT122&amp;"%"),IF(AND(N(CC122)&gt;=99.95,CT122&lt;&gt;"",N(CT122)&lt;100),"Pend. "&amp;CT122&amp;"%",""))))</f>
        <v/>
      </c>
      <c r="AX122" s="40" t="str">
        <f aca="false">IF(OR(OR(NOT(AND(ISNUMBER(E122),ISNUMBER(F122))),$J$2=""),12&gt;MAX(1,Reprogramaciones!$U$15)),"",IF(Reprogramaciones!V$12&gt;=7,"",IF(OR(CE122-N(CD122)&gt;0.05,N(AB122)&gt;0),ROUNDDOWN(ROUND(CE122,6),0)&amp;"%"&amp;IF(CU122="",""," / "&amp;CU122&amp;"%"),IF(AND(N(CD122)&gt;=99.95,CU122&lt;&gt;"",N(CU122)&lt;100),"Pend. "&amp;CU122&amp;"%",""))))</f>
        <v/>
      </c>
      <c r="AY122" s="40" t="str">
        <f aca="false">IF(OR(OR(NOT(AND(ISNUMBER(E122),ISNUMBER(F122))),$J$2=""),13&gt;MAX(1,Reprogramaciones!$U$15)),"",IF(Reprogramaciones!W$12&gt;=7,"",IF(OR(CF122-N(CE122)&gt;0.05,N(AC122)&gt;0),ROUNDDOWN(ROUND(CF122,6),0)&amp;"%"&amp;IF(CV122="",""," / "&amp;CV122&amp;"%"),IF(AND(N(CE122)&gt;=99.95,CV122&lt;&gt;"",N(CV122)&lt;100),"Pend. "&amp;CV122&amp;"%",""))))</f>
        <v/>
      </c>
      <c r="AZ122" s="40" t="str">
        <f aca="false">IF(OR(OR(NOT(AND(ISNUMBER(E122),ISNUMBER(F122))),$J$2=""),14&gt;MAX(1,Reprogramaciones!$U$15)),"",IF(Reprogramaciones!X$12&gt;=7,"",IF(OR(CG122-N(CF122)&gt;0.05,N(AD122)&gt;0),ROUNDDOWN(ROUND(CG122,6),0)&amp;"%"&amp;IF(CW122="",""," / "&amp;CW122&amp;"%"),IF(AND(N(CF122)&gt;=99.95,CW122&lt;&gt;"",N(CW122)&lt;100),"Pend. "&amp;CW122&amp;"%",""))))</f>
        <v/>
      </c>
      <c r="BA122" s="40" t="str">
        <f aca="false">IF(OR(OR(NOT(AND(ISNUMBER(E122),ISNUMBER(F122))),$J$2=""),15&gt;MAX(1,Reprogramaciones!$U$15)),"",IF(Reprogramaciones!Y$12&gt;=7,"",IF(OR(CH122-N(CG122)&gt;0.05,N(AE122)&gt;0),ROUNDDOWN(ROUND(CH122,6),0)&amp;"%"&amp;IF(CX122="",""," / "&amp;CX122&amp;"%"),IF(AND(N(CG122)&gt;=99.95,CX122&lt;&gt;"",N(CX122)&lt;100),"Pend. "&amp;CX122&amp;"%",""))))</f>
        <v/>
      </c>
      <c r="BB122" s="40" t="str">
        <f aca="false">IF(OR(OR(NOT(AND(ISNUMBER(E122),ISNUMBER(F122))),$J$2=""),16&gt;MAX(1,Reprogramaciones!$U$15)),"",IF(Reprogramaciones!Z$12&gt;=7,"",IF(OR(CI122-N(CH122)&gt;0.05,N(AF122)&gt;0),ROUNDDOWN(ROUND(CI122,6),0)&amp;"%"&amp;IF(CY122="",""," / "&amp;CY122&amp;"%"),IF(AND(N(CH122)&gt;=99.95,CY122&lt;&gt;"",N(CY122)&lt;100),"Pend. "&amp;CY122&amp;"%",""))))</f>
        <v/>
      </c>
      <c r="BC122" s="31" t="n">
        <f aca="false">IF(AND(ISNUMBER(E122),ISNUMBER(F122)),MAX(1,NETWORKDAYS.INTL(E122,F122,11)),0)</f>
        <v>0</v>
      </c>
      <c r="BD122" s="1" t="str">
        <f aca="false">IF(OR(NOT(AND(ISNUMBER(E122),ISNUMBER(F122))),$J$2=""),"",MIN(100,ROUND(SUM($G122:G122),1)))</f>
        <v/>
      </c>
      <c r="BE122" s="1" t="str">
        <f aca="false">IF(OR(NOT(AND(ISNUMBER(E122),ISNUMBER(F122))),$J$2=""),"",MIN(100,ROUND(SUM($G122:H122),1)))</f>
        <v/>
      </c>
      <c r="BF122" s="1" t="str">
        <f aca="false">IF(OR(NOT(AND(ISNUMBER(E122),ISNUMBER(F122))),$J$2=""),"",MIN(100,ROUND(SUM($G122:I122),1)))</f>
        <v/>
      </c>
      <c r="BG122" s="1" t="str">
        <f aca="false">IF(OR(NOT(AND(ISNUMBER(E122),ISNUMBER(F122))),$J$2=""),"",MIN(100,ROUND(SUM($G122:J122),1)))</f>
        <v/>
      </c>
      <c r="BH122" s="1" t="str">
        <f aca="false">IF(OR(NOT(AND(ISNUMBER(E122),ISNUMBER(F122))),$J$2=""),"",MIN(100,ROUND(SUM($G122:K122),1)))</f>
        <v/>
      </c>
      <c r="BI122" s="1" t="str">
        <f aca="false">IF(OR(NOT(AND(ISNUMBER(E122),ISNUMBER(F122))),$J$2=""),"",MIN(100,ROUND(SUM($G122:L122),1)))</f>
        <v/>
      </c>
      <c r="BJ122" s="1" t="str">
        <f aca="false">IF(OR(NOT(AND(ISNUMBER(E122),ISNUMBER(F122))),$J$2=""),"",MIN(100,ROUND(SUM($G122:M122),1)))</f>
        <v/>
      </c>
      <c r="BK122" s="1" t="str">
        <f aca="false">IF(OR(NOT(AND(ISNUMBER(E122),ISNUMBER(F122))),$J$2=""),"",MIN(100,ROUND(SUM($G122:N122),1)))</f>
        <v/>
      </c>
      <c r="BL122" s="1" t="str">
        <f aca="false">IF(OR(NOT(AND(ISNUMBER(E122),ISNUMBER(F122))),$J$2=""),"",MIN(100,ROUND(SUM($G122:O122),1)))</f>
        <v/>
      </c>
      <c r="BM122" s="1" t="str">
        <f aca="false">IF(OR(NOT(AND(ISNUMBER(E122),ISNUMBER(F122))),$J$2=""),"",MIN(100,ROUND(SUM($G122:P122),1)))</f>
        <v/>
      </c>
      <c r="BN122" s="1" t="str">
        <f aca="false">IF(OR(NOT(AND(ISNUMBER(E122),ISNUMBER(F122))),$J$2=""),"",MIN(100,ROUND(SUM($G122:P122),1)))</f>
        <v/>
      </c>
      <c r="BO122" s="1" t="str">
        <f aca="false">IF(OR(NOT(AND(ISNUMBER(E122),ISNUMBER(F122))),$J$2=""),"",MIN(100,ROUND(SUM($G122:P122),1)))</f>
        <v/>
      </c>
      <c r="BP122" s="1" t="str">
        <f aca="false">IF(OR(NOT(AND(ISNUMBER(E122),ISNUMBER(F122))),$J$2=""),"",MIN(100,ROUND(SUM($G122:P122),1)))</f>
        <v/>
      </c>
      <c r="BQ122" s="1" t="str">
        <f aca="false">IF(OR(NOT(AND(ISNUMBER(E122),ISNUMBER(F122))),$J$2=""),"",MIN(100,ROUND(SUM($G122:P122),1)))</f>
        <v/>
      </c>
      <c r="BR122" s="1" t="str">
        <f aca="false">IF(OR(NOT(AND(ISNUMBER(E122),ISNUMBER(F122))),$J$2=""),"",MIN(100,ROUND(SUM($G122:P122),1)))</f>
        <v/>
      </c>
      <c r="BS122" s="1" t="str">
        <f aca="false">IF(OR(NOT(AND(ISNUMBER(E122),ISNUMBER(F122))),$J$2=""),"",MIN(100,ROUND(SUM($G122:P122),1)))</f>
        <v/>
      </c>
      <c r="BT122" s="1" t="str">
        <f aca="false">IF(OR(NOT(AND(ISNUMBER(E122),ISNUMBER(F122))),$J$2=""),"",IF(Reprogramaciones!K$13&lt;Reprogramaciones!$T$15,0,IF(Reprogramaciones!K$14&gt;10,MIN(100,SUM($G122:$P122)),MIN(100,SUMPRODUCT((COLUMN($G122:$P122)-COLUMN($G122)+1&lt;Reprogramaciones!K$14)*$G122:$P122)+N(INDEX($G122:$P122,1,Reprogramaciones!K$14))*IF(Reprogramaciones!K$13&gt;=(Reprogramaciones!$T$15+7*(Reprogramaciones!K$14-1))+6,1,IF(MAX(0,NETWORKDAYS.INTL(MAX(E122,(Reprogramaciones!$T$15+7*(Reprogramaciones!K$14-1))),MIN(F122,(Reprogramaciones!$T$15+7*(Reprogramaciones!K$14-1))+6),11))=0,0,MAX(0,NETWORKDAYS.INTL(MAX(E122,(Reprogramaciones!$T$15+7*(Reprogramaciones!K$14-1))),MIN(F122,Reprogramaciones!K$13),11))/MAX(0,NETWORKDAYS.INTL(MAX(E122,(Reprogramaciones!$T$15+7*(Reprogramaciones!K$14-1))),MIN(F122,(Reprogramaciones!$T$15+7*(Reprogramaciones!K$14-1))+6),11))))))))</f>
        <v/>
      </c>
      <c r="BU122" s="1" t="str">
        <f aca="false">IF(OR(NOT(AND(ISNUMBER(E122),ISNUMBER(F122))),$J$2=""),"",IF(Reprogramaciones!L$13&lt;Reprogramaciones!$T$15,0,IF(Reprogramaciones!L$14&gt;10,MIN(100,SUM($G122:$P122)),MIN(100,SUMPRODUCT((COLUMN($G122:$P122)-COLUMN($G122)+1&lt;Reprogramaciones!L$14)*$G122:$P122)+N(INDEX($G122:$P122,1,Reprogramaciones!L$14))*IF(Reprogramaciones!L$13&gt;=(Reprogramaciones!$T$15+7*(Reprogramaciones!L$14-1))+6,1,IF(MAX(0,NETWORKDAYS.INTL(MAX(E122,(Reprogramaciones!$T$15+7*(Reprogramaciones!L$14-1))),MIN(F122,(Reprogramaciones!$T$15+7*(Reprogramaciones!L$14-1))+6),11))=0,0,MAX(0,NETWORKDAYS.INTL(MAX(E122,(Reprogramaciones!$T$15+7*(Reprogramaciones!L$14-1))),MIN(F122,Reprogramaciones!L$13),11))/MAX(0,NETWORKDAYS.INTL(MAX(E122,(Reprogramaciones!$T$15+7*(Reprogramaciones!L$14-1))),MIN(F122,(Reprogramaciones!$T$15+7*(Reprogramaciones!L$14-1))+6),11))))))))</f>
        <v/>
      </c>
      <c r="BV122" s="1" t="str">
        <f aca="false">IF(OR(NOT(AND(ISNUMBER(E122),ISNUMBER(F122))),$J$2=""),"",IF(Reprogramaciones!M$13&lt;Reprogramaciones!$T$15,0,IF(Reprogramaciones!M$14&gt;10,MIN(100,SUM($G122:$P122)),MIN(100,SUMPRODUCT((COLUMN($G122:$P122)-COLUMN($G122)+1&lt;Reprogramaciones!M$14)*$G122:$P122)+N(INDEX($G122:$P122,1,Reprogramaciones!M$14))*IF(Reprogramaciones!M$13&gt;=(Reprogramaciones!$T$15+7*(Reprogramaciones!M$14-1))+6,1,IF(MAX(0,NETWORKDAYS.INTL(MAX(E122,(Reprogramaciones!$T$15+7*(Reprogramaciones!M$14-1))),MIN(F122,(Reprogramaciones!$T$15+7*(Reprogramaciones!M$14-1))+6),11))=0,0,MAX(0,NETWORKDAYS.INTL(MAX(E122,(Reprogramaciones!$T$15+7*(Reprogramaciones!M$14-1))),MIN(F122,Reprogramaciones!M$13),11))/MAX(0,NETWORKDAYS.INTL(MAX(E122,(Reprogramaciones!$T$15+7*(Reprogramaciones!M$14-1))),MIN(F122,(Reprogramaciones!$T$15+7*(Reprogramaciones!M$14-1))+6),11))))))))</f>
        <v/>
      </c>
      <c r="BW122" s="1" t="str">
        <f aca="false">IF(OR(NOT(AND(ISNUMBER(E122),ISNUMBER(F122))),$J$2=""),"",IF(Reprogramaciones!N$13&lt;Reprogramaciones!$T$15,0,IF(Reprogramaciones!N$14&gt;10,MIN(100,SUM($G122:$P122)),MIN(100,SUMPRODUCT((COLUMN($G122:$P122)-COLUMN($G122)+1&lt;Reprogramaciones!N$14)*$G122:$P122)+N(INDEX($G122:$P122,1,Reprogramaciones!N$14))*IF(Reprogramaciones!N$13&gt;=(Reprogramaciones!$T$15+7*(Reprogramaciones!N$14-1))+6,1,IF(MAX(0,NETWORKDAYS.INTL(MAX(E122,(Reprogramaciones!$T$15+7*(Reprogramaciones!N$14-1))),MIN(F122,(Reprogramaciones!$T$15+7*(Reprogramaciones!N$14-1))+6),11))=0,0,MAX(0,NETWORKDAYS.INTL(MAX(E122,(Reprogramaciones!$T$15+7*(Reprogramaciones!N$14-1))),MIN(F122,Reprogramaciones!N$13),11))/MAX(0,NETWORKDAYS.INTL(MAX(E122,(Reprogramaciones!$T$15+7*(Reprogramaciones!N$14-1))),MIN(F122,(Reprogramaciones!$T$15+7*(Reprogramaciones!N$14-1))+6),11))))))))</f>
        <v/>
      </c>
      <c r="BX122" s="1" t="str">
        <f aca="false">IF(OR(NOT(AND(ISNUMBER(E122),ISNUMBER(F122))),$J$2=""),"",IF(Reprogramaciones!O$13&lt;Reprogramaciones!$T$15,0,IF(Reprogramaciones!O$14&gt;10,MIN(100,SUM($G122:$P122)),MIN(100,SUMPRODUCT((COLUMN($G122:$P122)-COLUMN($G122)+1&lt;Reprogramaciones!O$14)*$G122:$P122)+N(INDEX($G122:$P122,1,Reprogramaciones!O$14))*IF(Reprogramaciones!O$13&gt;=(Reprogramaciones!$T$15+7*(Reprogramaciones!O$14-1))+6,1,IF(MAX(0,NETWORKDAYS.INTL(MAX(E122,(Reprogramaciones!$T$15+7*(Reprogramaciones!O$14-1))),MIN(F122,(Reprogramaciones!$T$15+7*(Reprogramaciones!O$14-1))+6),11))=0,0,MAX(0,NETWORKDAYS.INTL(MAX(E122,(Reprogramaciones!$T$15+7*(Reprogramaciones!O$14-1))),MIN(F122,Reprogramaciones!O$13),11))/MAX(0,NETWORKDAYS.INTL(MAX(E122,(Reprogramaciones!$T$15+7*(Reprogramaciones!O$14-1))),MIN(F122,(Reprogramaciones!$T$15+7*(Reprogramaciones!O$14-1))+6),11))))))))</f>
        <v/>
      </c>
      <c r="BY122" s="1" t="str">
        <f aca="false">IF(OR(NOT(AND(ISNUMBER(E122),ISNUMBER(F122))),$J$2=""),"",IF(Reprogramaciones!P$13&lt;Reprogramaciones!$T$15,0,IF(Reprogramaciones!P$14&gt;10,MIN(100,SUM($G122:$P122)),MIN(100,SUMPRODUCT((COLUMN($G122:$P122)-COLUMN($G122)+1&lt;Reprogramaciones!P$14)*$G122:$P122)+N(INDEX($G122:$P122,1,Reprogramaciones!P$14))*IF(Reprogramaciones!P$13&gt;=(Reprogramaciones!$T$15+7*(Reprogramaciones!P$14-1))+6,1,IF(MAX(0,NETWORKDAYS.INTL(MAX(E122,(Reprogramaciones!$T$15+7*(Reprogramaciones!P$14-1))),MIN(F122,(Reprogramaciones!$T$15+7*(Reprogramaciones!P$14-1))+6),11))=0,0,MAX(0,NETWORKDAYS.INTL(MAX(E122,(Reprogramaciones!$T$15+7*(Reprogramaciones!P$14-1))),MIN(F122,Reprogramaciones!P$13),11))/MAX(0,NETWORKDAYS.INTL(MAX(E122,(Reprogramaciones!$T$15+7*(Reprogramaciones!P$14-1))),MIN(F122,(Reprogramaciones!$T$15+7*(Reprogramaciones!P$14-1))+6),11))))))))</f>
        <v/>
      </c>
      <c r="BZ122" s="1" t="str">
        <f aca="false">IF(OR(NOT(AND(ISNUMBER(E122),ISNUMBER(F122))),$J$2=""),"",IF(Reprogramaciones!Q$13&lt;Reprogramaciones!$T$15,0,IF(Reprogramaciones!Q$14&gt;10,MIN(100,SUM($G122:$P122)),MIN(100,SUMPRODUCT((COLUMN($G122:$P122)-COLUMN($G122)+1&lt;Reprogramaciones!Q$14)*$G122:$P122)+N(INDEX($G122:$P122,1,Reprogramaciones!Q$14))*IF(Reprogramaciones!Q$13&gt;=(Reprogramaciones!$T$15+7*(Reprogramaciones!Q$14-1))+6,1,IF(MAX(0,NETWORKDAYS.INTL(MAX(E122,(Reprogramaciones!$T$15+7*(Reprogramaciones!Q$14-1))),MIN(F122,(Reprogramaciones!$T$15+7*(Reprogramaciones!Q$14-1))+6),11))=0,0,MAX(0,NETWORKDAYS.INTL(MAX(E122,(Reprogramaciones!$T$15+7*(Reprogramaciones!Q$14-1))),MIN(F122,Reprogramaciones!Q$13),11))/MAX(0,NETWORKDAYS.INTL(MAX(E122,(Reprogramaciones!$T$15+7*(Reprogramaciones!Q$14-1))),MIN(F122,(Reprogramaciones!$T$15+7*(Reprogramaciones!Q$14-1))+6),11))))))))</f>
        <v/>
      </c>
      <c r="CA122" s="1" t="str">
        <f aca="false">IF(OR(NOT(AND(ISNUMBER(E122),ISNUMBER(F122))),$J$2=""),"",IF(Reprogramaciones!R$13&lt;Reprogramaciones!$T$15,0,IF(Reprogramaciones!R$14&gt;10,MIN(100,SUM($G122:$P122)),MIN(100,SUMPRODUCT((COLUMN($G122:$P122)-COLUMN($G122)+1&lt;Reprogramaciones!R$14)*$G122:$P122)+N(INDEX($G122:$P122,1,Reprogramaciones!R$14))*IF(Reprogramaciones!R$13&gt;=(Reprogramaciones!$T$15+7*(Reprogramaciones!R$14-1))+6,1,IF(MAX(0,NETWORKDAYS.INTL(MAX(E122,(Reprogramaciones!$T$15+7*(Reprogramaciones!R$14-1))),MIN(F122,(Reprogramaciones!$T$15+7*(Reprogramaciones!R$14-1))+6),11))=0,0,MAX(0,NETWORKDAYS.INTL(MAX(E122,(Reprogramaciones!$T$15+7*(Reprogramaciones!R$14-1))),MIN(F122,Reprogramaciones!R$13),11))/MAX(0,NETWORKDAYS.INTL(MAX(E122,(Reprogramaciones!$T$15+7*(Reprogramaciones!R$14-1))),MIN(F122,(Reprogramaciones!$T$15+7*(Reprogramaciones!R$14-1))+6),11))))))))</f>
        <v/>
      </c>
      <c r="CB122" s="1" t="str">
        <f aca="false">IF(OR(NOT(AND(ISNUMBER(E122),ISNUMBER(F122))),$J$2=""),"",IF(Reprogramaciones!S$13&lt;Reprogramaciones!$T$15,0,IF(Reprogramaciones!S$14&gt;10,MIN(100,SUM($G122:$P122)),MIN(100,SUMPRODUCT((COLUMN($G122:$P122)-COLUMN($G122)+1&lt;Reprogramaciones!S$14)*$G122:$P122)+N(INDEX($G122:$P122,1,Reprogramaciones!S$14))*IF(Reprogramaciones!S$13&gt;=(Reprogramaciones!$T$15+7*(Reprogramaciones!S$14-1))+6,1,IF(MAX(0,NETWORKDAYS.INTL(MAX(E122,(Reprogramaciones!$T$15+7*(Reprogramaciones!S$14-1))),MIN(F122,(Reprogramaciones!$T$15+7*(Reprogramaciones!S$14-1))+6),11))=0,0,MAX(0,NETWORKDAYS.INTL(MAX(E122,(Reprogramaciones!$T$15+7*(Reprogramaciones!S$14-1))),MIN(F122,Reprogramaciones!S$13),11))/MAX(0,NETWORKDAYS.INTL(MAX(E122,(Reprogramaciones!$T$15+7*(Reprogramaciones!S$14-1))),MIN(F122,(Reprogramaciones!$T$15+7*(Reprogramaciones!S$14-1))+6),11))))))))</f>
        <v/>
      </c>
      <c r="CC122" s="1" t="str">
        <f aca="false">IF(OR(NOT(AND(ISNUMBER(E122),ISNUMBER(F122))),$J$2=""),"",IF(Reprogramaciones!T$13&lt;Reprogramaciones!$T$15,0,IF(Reprogramaciones!T$14&gt;10,MIN(100,SUM($G122:$P122)),MIN(100,SUMPRODUCT((COLUMN($G122:$P122)-COLUMN($G122)+1&lt;Reprogramaciones!T$14)*$G122:$P122)+N(INDEX($G122:$P122,1,Reprogramaciones!T$14))*IF(Reprogramaciones!T$13&gt;=(Reprogramaciones!$T$15+7*(Reprogramaciones!T$14-1))+6,1,IF(MAX(0,NETWORKDAYS.INTL(MAX(E122,(Reprogramaciones!$T$15+7*(Reprogramaciones!T$14-1))),MIN(F122,(Reprogramaciones!$T$15+7*(Reprogramaciones!T$14-1))+6),11))=0,0,MAX(0,NETWORKDAYS.INTL(MAX(E122,(Reprogramaciones!$T$15+7*(Reprogramaciones!T$14-1))),MIN(F122,Reprogramaciones!T$13),11))/MAX(0,NETWORKDAYS.INTL(MAX(E122,(Reprogramaciones!$T$15+7*(Reprogramaciones!T$14-1))),MIN(F122,(Reprogramaciones!$T$15+7*(Reprogramaciones!T$14-1))+6),11))))))))</f>
        <v/>
      </c>
      <c r="CD122" s="1" t="str">
        <f aca="false">IF(OR(NOT(AND(ISNUMBER(E122),ISNUMBER(F122))),$J$2=""),"",IF(Reprogramaciones!U$13&lt;Reprogramaciones!$T$15,0,IF(Reprogramaciones!U$14&gt;10,MIN(100,SUM($G122:$P122)),MIN(100,SUMPRODUCT((COLUMN($G122:$P122)-COLUMN($G122)+1&lt;Reprogramaciones!U$14)*$G122:$P122)+N(INDEX($G122:$P122,1,Reprogramaciones!U$14))*IF(Reprogramaciones!U$13&gt;=(Reprogramaciones!$T$15+7*(Reprogramaciones!U$14-1))+6,1,IF(MAX(0,NETWORKDAYS.INTL(MAX(E122,(Reprogramaciones!$T$15+7*(Reprogramaciones!U$14-1))),MIN(F122,(Reprogramaciones!$T$15+7*(Reprogramaciones!U$14-1))+6),11))=0,0,MAX(0,NETWORKDAYS.INTL(MAX(E122,(Reprogramaciones!$T$15+7*(Reprogramaciones!U$14-1))),MIN(F122,Reprogramaciones!U$13),11))/MAX(0,NETWORKDAYS.INTL(MAX(E122,(Reprogramaciones!$T$15+7*(Reprogramaciones!U$14-1))),MIN(F122,(Reprogramaciones!$T$15+7*(Reprogramaciones!U$14-1))+6),11))))))))</f>
        <v/>
      </c>
      <c r="CE122" s="1" t="str">
        <f aca="false">IF(OR(NOT(AND(ISNUMBER(E122),ISNUMBER(F122))),$J$2=""),"",IF(Reprogramaciones!V$13&lt;Reprogramaciones!$T$15,0,IF(Reprogramaciones!V$14&gt;10,MIN(100,SUM($G122:$P122)),MIN(100,SUMPRODUCT((COLUMN($G122:$P122)-COLUMN($G122)+1&lt;Reprogramaciones!V$14)*$G122:$P122)+N(INDEX($G122:$P122,1,Reprogramaciones!V$14))*IF(Reprogramaciones!V$13&gt;=(Reprogramaciones!$T$15+7*(Reprogramaciones!V$14-1))+6,1,IF(MAX(0,NETWORKDAYS.INTL(MAX(E122,(Reprogramaciones!$T$15+7*(Reprogramaciones!V$14-1))),MIN(F122,(Reprogramaciones!$T$15+7*(Reprogramaciones!V$14-1))+6),11))=0,0,MAX(0,NETWORKDAYS.INTL(MAX(E122,(Reprogramaciones!$T$15+7*(Reprogramaciones!V$14-1))),MIN(F122,Reprogramaciones!V$13),11))/MAX(0,NETWORKDAYS.INTL(MAX(E122,(Reprogramaciones!$T$15+7*(Reprogramaciones!V$14-1))),MIN(F122,(Reprogramaciones!$T$15+7*(Reprogramaciones!V$14-1))+6),11))))))))</f>
        <v/>
      </c>
      <c r="CF122" s="1" t="str">
        <f aca="false">IF(OR(NOT(AND(ISNUMBER(E122),ISNUMBER(F122))),$J$2=""),"",IF(Reprogramaciones!W$13&lt;Reprogramaciones!$T$15,0,IF(Reprogramaciones!W$14&gt;10,MIN(100,SUM($G122:$P122)),MIN(100,SUMPRODUCT((COLUMN($G122:$P122)-COLUMN($G122)+1&lt;Reprogramaciones!W$14)*$G122:$P122)+N(INDEX($G122:$P122,1,Reprogramaciones!W$14))*IF(Reprogramaciones!W$13&gt;=(Reprogramaciones!$T$15+7*(Reprogramaciones!W$14-1))+6,1,IF(MAX(0,NETWORKDAYS.INTL(MAX(E122,(Reprogramaciones!$T$15+7*(Reprogramaciones!W$14-1))),MIN(F122,(Reprogramaciones!$T$15+7*(Reprogramaciones!W$14-1))+6),11))=0,0,MAX(0,NETWORKDAYS.INTL(MAX(E122,(Reprogramaciones!$T$15+7*(Reprogramaciones!W$14-1))),MIN(F122,Reprogramaciones!W$13),11))/MAX(0,NETWORKDAYS.INTL(MAX(E122,(Reprogramaciones!$T$15+7*(Reprogramaciones!W$14-1))),MIN(F122,(Reprogramaciones!$T$15+7*(Reprogramaciones!W$14-1))+6),11))))))))</f>
        <v/>
      </c>
      <c r="CG122" s="1" t="str">
        <f aca="false">IF(OR(NOT(AND(ISNUMBER(E122),ISNUMBER(F122))),$J$2=""),"",IF(Reprogramaciones!X$13&lt;Reprogramaciones!$T$15,0,IF(Reprogramaciones!X$14&gt;10,MIN(100,SUM($G122:$P122)),MIN(100,SUMPRODUCT((COLUMN($G122:$P122)-COLUMN($G122)+1&lt;Reprogramaciones!X$14)*$G122:$P122)+N(INDEX($G122:$P122,1,Reprogramaciones!X$14))*IF(Reprogramaciones!X$13&gt;=(Reprogramaciones!$T$15+7*(Reprogramaciones!X$14-1))+6,1,IF(MAX(0,NETWORKDAYS.INTL(MAX(E122,(Reprogramaciones!$T$15+7*(Reprogramaciones!X$14-1))),MIN(F122,(Reprogramaciones!$T$15+7*(Reprogramaciones!X$14-1))+6),11))=0,0,MAX(0,NETWORKDAYS.INTL(MAX(E122,(Reprogramaciones!$T$15+7*(Reprogramaciones!X$14-1))),MIN(F122,Reprogramaciones!X$13),11))/MAX(0,NETWORKDAYS.INTL(MAX(E122,(Reprogramaciones!$T$15+7*(Reprogramaciones!X$14-1))),MIN(F122,(Reprogramaciones!$T$15+7*(Reprogramaciones!X$14-1))+6),11))))))))</f>
        <v/>
      </c>
      <c r="CH122" s="1" t="str">
        <f aca="false">IF(OR(NOT(AND(ISNUMBER(E122),ISNUMBER(F122))),$J$2=""),"",IF(Reprogramaciones!Y$13&lt;Reprogramaciones!$T$15,0,IF(Reprogramaciones!Y$14&gt;10,MIN(100,SUM($G122:$P122)),MIN(100,SUMPRODUCT((COLUMN($G122:$P122)-COLUMN($G122)+1&lt;Reprogramaciones!Y$14)*$G122:$P122)+N(INDEX($G122:$P122,1,Reprogramaciones!Y$14))*IF(Reprogramaciones!Y$13&gt;=(Reprogramaciones!$T$15+7*(Reprogramaciones!Y$14-1))+6,1,IF(MAX(0,NETWORKDAYS.INTL(MAX(E122,(Reprogramaciones!$T$15+7*(Reprogramaciones!Y$14-1))),MIN(F122,(Reprogramaciones!$T$15+7*(Reprogramaciones!Y$14-1))+6),11))=0,0,MAX(0,NETWORKDAYS.INTL(MAX(E122,(Reprogramaciones!$T$15+7*(Reprogramaciones!Y$14-1))),MIN(F122,Reprogramaciones!Y$13),11))/MAX(0,NETWORKDAYS.INTL(MAX(E122,(Reprogramaciones!$T$15+7*(Reprogramaciones!Y$14-1))),MIN(F122,(Reprogramaciones!$T$15+7*(Reprogramaciones!Y$14-1))+6),11))))))))</f>
        <v/>
      </c>
      <c r="CI122" s="1" t="str">
        <f aca="false">IF(OR(NOT(AND(ISNUMBER(E122),ISNUMBER(F122))),$J$2=""),"",IF(Reprogramaciones!Z$13&lt;Reprogramaciones!$T$15,0,IF(Reprogramaciones!Z$14&gt;10,MIN(100,SUM($G122:$P122)),MIN(100,SUMPRODUCT((COLUMN($G122:$P122)-COLUMN($G122)+1&lt;Reprogramaciones!Z$14)*$G122:$P122)+N(INDEX($G122:$P122,1,Reprogramaciones!Z$14))*IF(Reprogramaciones!Z$13&gt;=(Reprogramaciones!$T$15+7*(Reprogramaciones!Z$14-1))+6,1,IF(MAX(0,NETWORKDAYS.INTL(MAX(E122,(Reprogramaciones!$T$15+7*(Reprogramaciones!Z$14-1))),MIN(F122,(Reprogramaciones!$T$15+7*(Reprogramaciones!Z$14-1))+6),11))=0,0,MAX(0,NETWORKDAYS.INTL(MAX(E122,(Reprogramaciones!$T$15+7*(Reprogramaciones!Z$14-1))),MIN(F122,Reprogramaciones!Z$13),11))/MAX(0,NETWORKDAYS.INTL(MAX(E122,(Reprogramaciones!$T$15+7*(Reprogramaciones!Z$14-1))),MIN(F122,(Reprogramaciones!$T$15+7*(Reprogramaciones!Z$14-1))+6),11))))))))</f>
        <v/>
      </c>
      <c r="CJ122" s="1" t="str">
        <f aca="false">IF(OR(OR(NOT(AND(ISNUMBER(E122),ISNUMBER(F122))),$J$2=""),1&gt;Reprogramaciones!$K$16),"",IF(ROUND(SUM($Q122:Q122),1)&gt;=99.5,100,MIN(100,ROUND(SUM($Q122:Q122),1))))</f>
        <v/>
      </c>
      <c r="CK122" s="1" t="str">
        <f aca="false">IF(OR(OR(NOT(AND(ISNUMBER(E122),ISNUMBER(F122))),$J$2=""),2&gt;Reprogramaciones!$K$16),"",IF(ROUND(SUM($Q122:R122),1)&gt;=99.5,100,MIN(100,ROUND(SUM($Q122:R122),1))))</f>
        <v/>
      </c>
      <c r="CL122" s="1" t="str">
        <f aca="false">IF(OR(OR(NOT(AND(ISNUMBER(E122),ISNUMBER(F122))),$J$2=""),3&gt;Reprogramaciones!$K$16),"",IF(ROUND(SUM($Q122:S122),1)&gt;=99.5,100,MIN(100,ROUND(SUM($Q122:S122),1))))</f>
        <v/>
      </c>
      <c r="CM122" s="1" t="str">
        <f aca="false">IF(OR(OR(NOT(AND(ISNUMBER(E122),ISNUMBER(F122))),$J$2=""),4&gt;Reprogramaciones!$K$16),"",IF(ROUND(SUM($Q122:T122),1)&gt;=99.5,100,MIN(100,ROUND(SUM($Q122:T122),1))))</f>
        <v/>
      </c>
      <c r="CN122" s="1" t="str">
        <f aca="false">IF(OR(OR(NOT(AND(ISNUMBER(E122),ISNUMBER(F122))),$J$2=""),5&gt;Reprogramaciones!$K$16),"",IF(ROUND(SUM($Q122:U122),1)&gt;=99.5,100,MIN(100,ROUND(SUM($Q122:U122),1))))</f>
        <v/>
      </c>
      <c r="CO122" s="1" t="str">
        <f aca="false">IF(OR(OR(NOT(AND(ISNUMBER(E122),ISNUMBER(F122))),$J$2=""),6&gt;Reprogramaciones!$K$16),"",IF(ROUND(SUM($Q122:V122),1)&gt;=99.5,100,MIN(100,ROUND(SUM($Q122:V122),1))))</f>
        <v/>
      </c>
      <c r="CP122" s="1" t="str">
        <f aca="false">IF(OR(OR(NOT(AND(ISNUMBER(E122),ISNUMBER(F122))),$J$2=""),7&gt;Reprogramaciones!$K$16),"",IF(ROUND(SUM($Q122:W122),1)&gt;=99.5,100,MIN(100,ROUND(SUM($Q122:W122),1))))</f>
        <v/>
      </c>
      <c r="CQ122" s="1" t="str">
        <f aca="false">IF(OR(OR(NOT(AND(ISNUMBER(E122),ISNUMBER(F122))),$J$2=""),8&gt;Reprogramaciones!$K$16),"",IF(ROUND(SUM($Q122:X122),1)&gt;=99.5,100,MIN(100,ROUND(SUM($Q122:X122),1))))</f>
        <v/>
      </c>
      <c r="CR122" s="1" t="str">
        <f aca="false">IF(OR(OR(NOT(AND(ISNUMBER(E122),ISNUMBER(F122))),$J$2=""),9&gt;Reprogramaciones!$K$16),"",IF(ROUND(SUM($Q122:Y122),1)&gt;=99.5,100,MIN(100,ROUND(SUM($Q122:Y122),1))))</f>
        <v/>
      </c>
      <c r="CS122" s="1" t="str">
        <f aca="false">IF(OR(OR(NOT(AND(ISNUMBER(E122),ISNUMBER(F122))),$J$2=""),10&gt;Reprogramaciones!$K$16),"",IF(ROUND(SUM($Q122:Z122),1)&gt;=99.5,100,MIN(100,ROUND(SUM($Q122:Z122),1))))</f>
        <v/>
      </c>
      <c r="CT122" s="1" t="str">
        <f aca="false">IF(OR(OR(NOT(AND(ISNUMBER(E122),ISNUMBER(F122))),$J$2=""),11&gt;Reprogramaciones!$K$16),"",IF(ROUND(SUM($Q122:AA122),1)&gt;=99.5,100,MIN(100,ROUND(SUM($Q122:AA122),1))))</f>
        <v/>
      </c>
      <c r="CU122" s="1" t="str">
        <f aca="false">IF(OR(OR(NOT(AND(ISNUMBER(E122),ISNUMBER(F122))),$J$2=""),12&gt;Reprogramaciones!$K$16),"",IF(ROUND(SUM($Q122:AB122),1)&gt;=99.5,100,MIN(100,ROUND(SUM($Q122:AB122),1))))</f>
        <v/>
      </c>
      <c r="CV122" s="1" t="str">
        <f aca="false">IF(OR(OR(NOT(AND(ISNUMBER(E122),ISNUMBER(F122))),$J$2=""),13&gt;Reprogramaciones!$K$16),"",IF(ROUND(SUM($Q122:AC122),1)&gt;=99.5,100,MIN(100,ROUND(SUM($Q122:AC122),1))))</f>
        <v/>
      </c>
      <c r="CW122" s="1" t="str">
        <f aca="false">IF(OR(OR(NOT(AND(ISNUMBER(E122),ISNUMBER(F122))),$J$2=""),14&gt;Reprogramaciones!$K$16),"",IF(ROUND(SUM($Q122:AD122),1)&gt;=99.5,100,MIN(100,ROUND(SUM($Q122:AD122),1))))</f>
        <v/>
      </c>
      <c r="CX122" s="1" t="str">
        <f aca="false">IF(OR(OR(NOT(AND(ISNUMBER(E122),ISNUMBER(F122))),$J$2=""),15&gt;Reprogramaciones!$K$16),"",IF(ROUND(SUM($Q122:AE122),1)&gt;=99.5,100,MIN(100,ROUND(SUM($Q122:AE122),1))))</f>
        <v/>
      </c>
      <c r="CY122" s="1" t="str">
        <f aca="false">IF(OR(OR(NOT(AND(ISNUMBER(E122),ISNUMBER(F122))),$J$2=""),16&gt;Reprogramaciones!$K$16),"",IF(ROUND(SUM($Q122:AF122),1)&gt;=99.5,100,MIN(100,ROUND(SUM($Q122:AF122),1))))</f>
        <v/>
      </c>
      <c r="CZ122" s="1" t="str">
        <f aca="false">IF(D122&lt;&gt;"",D122,IF(B122&lt;&gt;"","Contractual",CZ121))</f>
        <v>Contractual</v>
      </c>
      <c r="DA122" s="1" t="str">
        <f aca="false">IF(OR(NOT(AND(ISNUMBER(E122),ISNUMBER(F122))),$J$2=""),"",IF(Reprogramaciones!$Q$15&lt;Reprogramaciones!$T$15,0,IF(Reprogramaciones!$S$15&gt;10,MIN(100,SUM($G122:$P122)),MIN(100,SUMPRODUCT((COLUMN($G122:$P122)-COLUMN($G122)+1&lt;Reprogramaciones!$S$15)*$G122:$P122)+N(INDEX($G122:$P122,1,Reprogramaciones!$S$15))*IF(Reprogramaciones!$Q$15&gt;=(Reprogramaciones!$T$15+7*(Reprogramaciones!$S$15-1))+6,1,IF(MAX(0,NETWORKDAYS.INTL(MAX(E122,(Reprogramaciones!$T$15+7*(Reprogramaciones!$S$15-1))),MIN(F122,(Reprogramaciones!$T$15+7*(Reprogramaciones!$S$15-1))+6),11))=0,0,MAX(0,NETWORKDAYS.INTL(MAX(E122,(Reprogramaciones!$T$15+7*(Reprogramaciones!$S$15-1))),MIN(F122,Reprogramaciones!$Q$15),11))/MAX(0,NETWORKDAYS.INTL(MAX(E122,(Reprogramaciones!$T$15+7*(Reprogramaciones!$S$15-1))),MIN(F122,(Reprogramaciones!$T$15+7*(Reprogramaciones!$S$15-1))+6),11))))))))</f>
        <v/>
      </c>
    </row>
    <row r="123" customFormat="false" ht="15" hidden="false" customHeight="false" outlineLevel="0" collapsed="false">
      <c r="A123" s="32"/>
      <c r="B123" s="33"/>
      <c r="C123" s="33"/>
      <c r="D123" s="34"/>
      <c r="E123" s="35"/>
      <c r="F123" s="35"/>
      <c r="G123" s="36" t="str">
        <f aca="false">IF(OR(NOT(AND(ISNUMBER(E123),ISNUMBER(F123))),$J$2=""),"",IF(Reprogramaciones!K$9&lt;E123,0,IF(NETWORKDAYS.INTL(E123,F123,11)=0,IF(Reprogramaciones!K$9&gt;=F123,100,0),ROUND(NETWORKDAYS.INTL(E123,MIN(F123,Reprogramaciones!K$9),11)/NETWORKDAYS.INTL(E123,F123,11)*100,1)))-0)</f>
        <v/>
      </c>
      <c r="H123" s="36" t="str">
        <f aca="false">IF(OR(NOT(AND(ISNUMBER(E123),ISNUMBER(F123))),$J$2=""),"",IF(Reprogramaciones!L$9&lt;E123,0,IF(NETWORKDAYS.INTL(E123,F123,11)=0,IF(Reprogramaciones!L$9&gt;=F123,100,0),ROUND(NETWORKDAYS.INTL(E123,MIN(F123,Reprogramaciones!L$9),11)/NETWORKDAYS.INTL(E123,F123,11)*100,1)))-IF(Reprogramaciones!K$9&lt;E123,0,IF(NETWORKDAYS.INTL(E123,F123,11)=0,IF(Reprogramaciones!K$9&gt;=F123,100,0),ROUND(NETWORKDAYS.INTL(E123,MIN(F123,Reprogramaciones!K$9),11)/NETWORKDAYS.INTL(E123,F123,11)*100,1))))</f>
        <v/>
      </c>
      <c r="I123" s="36" t="str">
        <f aca="false">IF(OR(NOT(AND(ISNUMBER(E123),ISNUMBER(F123))),$J$2=""),"",IF(Reprogramaciones!M$9&lt;E123,0,IF(NETWORKDAYS.INTL(E123,F123,11)=0,IF(Reprogramaciones!M$9&gt;=F123,100,0),ROUND(NETWORKDAYS.INTL(E123,MIN(F123,Reprogramaciones!M$9),11)/NETWORKDAYS.INTL(E123,F123,11)*100,1)))-IF(Reprogramaciones!L$9&lt;E123,0,IF(NETWORKDAYS.INTL(E123,F123,11)=0,IF(Reprogramaciones!L$9&gt;=F123,100,0),ROUND(NETWORKDAYS.INTL(E123,MIN(F123,Reprogramaciones!L$9),11)/NETWORKDAYS.INTL(E123,F123,11)*100,1))))</f>
        <v/>
      </c>
      <c r="J123" s="36" t="str">
        <f aca="false">IF(OR(NOT(AND(ISNUMBER(E123),ISNUMBER(F123))),$J$2=""),"",IF(Reprogramaciones!N$9&lt;E123,0,IF(NETWORKDAYS.INTL(E123,F123,11)=0,IF(Reprogramaciones!N$9&gt;=F123,100,0),ROUND(NETWORKDAYS.INTL(E123,MIN(F123,Reprogramaciones!N$9),11)/NETWORKDAYS.INTL(E123,F123,11)*100,1)))-IF(Reprogramaciones!M$9&lt;E123,0,IF(NETWORKDAYS.INTL(E123,F123,11)=0,IF(Reprogramaciones!M$9&gt;=F123,100,0),ROUND(NETWORKDAYS.INTL(E123,MIN(F123,Reprogramaciones!M$9),11)/NETWORKDAYS.INTL(E123,F123,11)*100,1))))</f>
        <v/>
      </c>
      <c r="K123" s="36" t="str">
        <f aca="false">IF(OR(NOT(AND(ISNUMBER(E123),ISNUMBER(F123))),$J$2=""),"",IF(Reprogramaciones!O$9&lt;E123,0,IF(NETWORKDAYS.INTL(E123,F123,11)=0,IF(Reprogramaciones!O$9&gt;=F123,100,0),ROUND(NETWORKDAYS.INTL(E123,MIN(F123,Reprogramaciones!O$9),11)/NETWORKDAYS.INTL(E123,F123,11)*100,1)))-IF(Reprogramaciones!N$9&lt;E123,0,IF(NETWORKDAYS.INTL(E123,F123,11)=0,IF(Reprogramaciones!N$9&gt;=F123,100,0),ROUND(NETWORKDAYS.INTL(E123,MIN(F123,Reprogramaciones!N$9),11)/NETWORKDAYS.INTL(E123,F123,11)*100,1))))</f>
        <v/>
      </c>
      <c r="L123" s="36" t="str">
        <f aca="false">IF(OR(NOT(AND(ISNUMBER(E123),ISNUMBER(F123))),$J$2=""),"",IF(Reprogramaciones!P$9&lt;E123,0,IF(NETWORKDAYS.INTL(E123,F123,11)=0,IF(Reprogramaciones!P$9&gt;=F123,100,0),ROUND(NETWORKDAYS.INTL(E123,MIN(F123,Reprogramaciones!P$9),11)/NETWORKDAYS.INTL(E123,F123,11)*100,1)))-IF(Reprogramaciones!O$9&lt;E123,0,IF(NETWORKDAYS.INTL(E123,F123,11)=0,IF(Reprogramaciones!O$9&gt;=F123,100,0),ROUND(NETWORKDAYS.INTL(E123,MIN(F123,Reprogramaciones!O$9),11)/NETWORKDAYS.INTL(E123,F123,11)*100,1))))</f>
        <v/>
      </c>
      <c r="M123" s="36" t="str">
        <f aca="false">IF(OR(NOT(AND(ISNUMBER(E123),ISNUMBER(F123))),$J$2=""),"",IF(Reprogramaciones!Q$9&lt;E123,0,IF(NETWORKDAYS.INTL(E123,F123,11)=0,IF(Reprogramaciones!Q$9&gt;=F123,100,0),ROUND(NETWORKDAYS.INTL(E123,MIN(F123,Reprogramaciones!Q$9),11)/NETWORKDAYS.INTL(E123,F123,11)*100,1)))-IF(Reprogramaciones!P$9&lt;E123,0,IF(NETWORKDAYS.INTL(E123,F123,11)=0,IF(Reprogramaciones!P$9&gt;=F123,100,0),ROUND(NETWORKDAYS.INTL(E123,MIN(F123,Reprogramaciones!P$9),11)/NETWORKDAYS.INTL(E123,F123,11)*100,1))))</f>
        <v/>
      </c>
      <c r="N123" s="36" t="str">
        <f aca="false">IF(OR(NOT(AND(ISNUMBER(E123),ISNUMBER(F123))),$J$2=""),"",IF(Reprogramaciones!R$9&lt;E123,0,IF(NETWORKDAYS.INTL(E123,F123,11)=0,IF(Reprogramaciones!R$9&gt;=F123,100,0),ROUND(NETWORKDAYS.INTL(E123,MIN(F123,Reprogramaciones!R$9),11)/NETWORKDAYS.INTL(E123,F123,11)*100,1)))-IF(Reprogramaciones!Q$9&lt;E123,0,IF(NETWORKDAYS.INTL(E123,F123,11)=0,IF(Reprogramaciones!Q$9&gt;=F123,100,0),ROUND(NETWORKDAYS.INTL(E123,MIN(F123,Reprogramaciones!Q$9),11)/NETWORKDAYS.INTL(E123,F123,11)*100,1))))</f>
        <v/>
      </c>
      <c r="O123" s="36" t="str">
        <f aca="false">IF(OR(NOT(AND(ISNUMBER(E123),ISNUMBER(F123))),$J$2=""),"",IF(Reprogramaciones!S$9&lt;E123,0,IF(NETWORKDAYS.INTL(E123,F123,11)=0,IF(Reprogramaciones!S$9&gt;=F123,100,0),ROUND(NETWORKDAYS.INTL(E123,MIN(F123,Reprogramaciones!S$9),11)/NETWORKDAYS.INTL(E123,F123,11)*100,1)))-IF(Reprogramaciones!R$9&lt;E123,0,IF(NETWORKDAYS.INTL(E123,F123,11)=0,IF(Reprogramaciones!R$9&gt;=F123,100,0),ROUND(NETWORKDAYS.INTL(E123,MIN(F123,Reprogramaciones!R$9),11)/NETWORKDAYS.INTL(E123,F123,11)*100,1))))</f>
        <v/>
      </c>
      <c r="P123" s="36" t="str">
        <f aca="false">IF(OR(NOT(AND(ISNUMBER(E123),ISNUMBER(F123))),$J$2=""),"",IF(Reprogramaciones!T$9&lt;E123,0,IF(NETWORKDAYS.INTL(E123,F123,11)=0,IF(Reprogramaciones!T$9&gt;=F123,100,0),ROUND(NETWORKDAYS.INTL(E123,MIN(F123,Reprogramaciones!T$9),11)/NETWORKDAYS.INTL(E123,F123,11)*100,1)))-IF(Reprogramaciones!S$9&lt;E123,0,IF(NETWORKDAYS.INTL(E123,F123,11)=0,IF(Reprogramaciones!S$9&gt;=F123,100,0),ROUND(NETWORKDAYS.INTL(E123,MIN(F123,Reprogramaciones!S$9),11)/NETWORKDAYS.INTL(E123,F123,11)*100,1))))</f>
        <v/>
      </c>
      <c r="Q123" s="37"/>
      <c r="R123" s="37"/>
      <c r="S123" s="37"/>
      <c r="T123" s="37"/>
      <c r="U123" s="37"/>
      <c r="V123" s="37"/>
      <c r="W123" s="37"/>
      <c r="X123" s="37"/>
      <c r="Y123" s="37"/>
      <c r="Z123" s="37"/>
      <c r="AA123" s="37"/>
      <c r="AB123" s="37"/>
      <c r="AC123" s="37"/>
      <c r="AD123" s="37"/>
      <c r="AE123" s="37"/>
      <c r="AF123" s="37"/>
      <c r="AG123" s="38" t="str">
        <f aca="false">IF(AND(ISNUMBER(E123),ISNUMBER(F123)),NETWORKDAYS.INTL(E123,F123,11),"")</f>
        <v/>
      </c>
      <c r="AH123" s="38" t="str">
        <f aca="false">IF(OR(NOT(AND(ISNUMBER(E123),ISNUMBER(F123))),$J$2=""),"",IF(Reprogramaciones!$P$15&lt;Reprogramaciones!$T$15,0,IF(Reprogramaciones!$R$15&gt;10,MIN(100,SUM($G123:$P123)),MIN(100,SUMPRODUCT((COLUMN($G123:$P123)-COLUMN($G123)+1&lt;Reprogramaciones!$R$15)*$G123:$P123)+N(INDEX($G123:$P123,1,Reprogramaciones!$R$15))*IF(Reprogramaciones!$P$15&gt;=(Reprogramaciones!$T$15+7*(Reprogramaciones!$R$15-1))+6,1,IF(MAX(0,NETWORKDAYS.INTL(MAX(E123,(Reprogramaciones!$T$15+7*(Reprogramaciones!$R$15-1))),MIN(F123,(Reprogramaciones!$T$15+7*(Reprogramaciones!$R$15-1))+6),11))=0,0,MAX(0,NETWORKDAYS.INTL(MAX(E123,(Reprogramaciones!$T$15+7*(Reprogramaciones!$R$15-1))),MIN(F123,Reprogramaciones!$P$15),11))/MAX(0,NETWORKDAYS.INTL(MAX(E123,(Reprogramaciones!$T$15+7*(Reprogramaciones!$R$15-1))),MIN(F123,(Reprogramaciones!$T$15+7*(Reprogramaciones!$R$15-1))+6),11))))))))</f>
        <v/>
      </c>
      <c r="AI123" s="38" t="str">
        <f aca="false">IF(COUNT($Q123:$AF123)=0,"",IF(ROUND(SUM($Q123:$AF123),1)&gt;=99.5,100,MIN(100,ROUND(SUM($Q123:$AF123),1))))</f>
        <v/>
      </c>
      <c r="AJ123" s="38" t="str">
        <f aca="false">IF(OR(AH123="",AI123=""),"",AI123-AH123)</f>
        <v/>
      </c>
      <c r="AK123" s="39" t="str">
        <f aca="true">IF(AH123="","",IF(OR(Ficha!$C$10="Suspendida",Ficha!$C$10="Cancelada"),Ficha!$C$10,IF(AND(AI123&lt;&gt;"",N(AI123)&gt;=100),"Completada",IF(AND(E123&gt;TODAY(),N(AI123)=0),"Por iniciar",IF(N(AI123)+0.5&lt;AH123,"Retrasada",IF(N(AI123)+0.5&lt;DA123,IF(Reprogramaciones!$K$15&gt;0,"Al día · Sem "&amp;Reprogramaciones!$K$15&amp;" en curso","Al día · en curso"),"A tiempo"))))))</f>
        <v/>
      </c>
      <c r="AL123" s="39" t="str">
        <f aca="true">IF(AND(A123="",AND(B123="",C123="",E123="",F123="",COUNT(Q123:AF123)=0)),"",IF(AND(B123="",C123="",E123="",F123="",COUNT(Q123:AF123)=0),"Falta la partida o subpartida",IF(AND(A123&lt;&gt;"",COUNTIF($A$6:$A$305,A123)&gt;1),"Ítem repetido",IF(AND(C123="",E123="",F123="",COUNT(Q123:AF123)=0),"Título de partida",IF(OR(E123="",F123=""),"Faltan fechas",IF(OR(ISTEXT(E123),ISTEXT(F123)),"Fecha escrita como texto: usa dd/mm/aaaa",IF(F123&lt;E123,"Fin antes del inicio",IF(IF($J$2="",FALSE(),OR(E123&lt;$J$2,F123&gt;Reprogramaciones!$T$15+69)),"Fuera de las 10 semanas",IF(ABS(SUM(G123:P123)-100)&gt;0.5,"La meta no suma 100%",IF(ROUND(SUM(Q123:AF123),1)&gt;100.5,"El avance pasa de 100%",IF(MIN(Q123:AF123)&lt;0,"Avance negativo",IF(COUNTA(Q123:AF123)&gt;COUNT(Q123:AF123),"Avance escrito como texto",IF(SUMPRODUCT((Q123:AF123&gt;0)*(Q123:AF123&lt;1))&gt;0,"Avance menor a 1: escribe 50, no 50%",IF(SUMPRODUCT(ISNUMBER(Q123:AF123)*(Reprogramaciones!$K$8:$Z$8&gt;TODAY()))&gt;0,"Avance en semana que aún no llega",IF(AND(N(Reprogramaciones!$E$21)&gt;0,F123&gt;Reprogramaciones!$E$21),"Pasa el fin de la obra: registra una reprogramación",IF(AND(N(Reprogramaciones!$E$21)&gt;0,SUMPRODUCT(ISNUMBER(Q123:AF123)*(Reprogramaciones!$K$8:$Z$8&gt;Reprogramaciones!$E$21))&gt;0),"Avance después del fin de la obra: registra una reprogramación por atraso","OK"))))))))))))))))</f>
        <v/>
      </c>
      <c r="AM123" s="40" t="str">
        <f aca="false">IF(OR(OR(NOT(AND(ISNUMBER(E123),ISNUMBER(F123))),$J$2=""),1&gt;MAX(1,Reprogramaciones!$U$15)),"",IF(Reprogramaciones!K$12&gt;=7,"",IF(OR(BT123-N(0)&gt;0.05,N(Q123)&gt;0),ROUNDDOWN(ROUND(BT123,6),0)&amp;"%"&amp;IF(CJ123="",""," / "&amp;CJ123&amp;"%"),IF(AND(N(0)&gt;=99.95,CJ123&lt;&gt;"",N(CJ123)&lt;100),"Pend. "&amp;CJ123&amp;"%",""))))</f>
        <v/>
      </c>
      <c r="AN123" s="40" t="str">
        <f aca="false">IF(OR(OR(NOT(AND(ISNUMBER(E123),ISNUMBER(F123))),$J$2=""),2&gt;MAX(1,Reprogramaciones!$U$15)),"",IF(Reprogramaciones!L$12&gt;=7,"",IF(OR(BU123-N(BT123)&gt;0.05,N(R123)&gt;0),ROUNDDOWN(ROUND(BU123,6),0)&amp;"%"&amp;IF(CK123="",""," / "&amp;CK123&amp;"%"),IF(AND(N(BT123)&gt;=99.95,CK123&lt;&gt;"",N(CK123)&lt;100),"Pend. "&amp;CK123&amp;"%",""))))</f>
        <v/>
      </c>
      <c r="AO123" s="40" t="str">
        <f aca="false">IF(OR(OR(NOT(AND(ISNUMBER(E123),ISNUMBER(F123))),$J$2=""),3&gt;MAX(1,Reprogramaciones!$U$15)),"",IF(Reprogramaciones!M$12&gt;=7,"",IF(OR(BV123-N(BU123)&gt;0.05,N(S123)&gt;0),ROUNDDOWN(ROUND(BV123,6),0)&amp;"%"&amp;IF(CL123="",""," / "&amp;CL123&amp;"%"),IF(AND(N(BU123)&gt;=99.95,CL123&lt;&gt;"",N(CL123)&lt;100),"Pend. "&amp;CL123&amp;"%",""))))</f>
        <v/>
      </c>
      <c r="AP123" s="40" t="str">
        <f aca="false">IF(OR(OR(NOT(AND(ISNUMBER(E123),ISNUMBER(F123))),$J$2=""),4&gt;MAX(1,Reprogramaciones!$U$15)),"",IF(Reprogramaciones!N$12&gt;=7,"",IF(OR(BW123-N(BV123)&gt;0.05,N(T123)&gt;0),ROUNDDOWN(ROUND(BW123,6),0)&amp;"%"&amp;IF(CM123="",""," / "&amp;CM123&amp;"%"),IF(AND(N(BV123)&gt;=99.95,CM123&lt;&gt;"",N(CM123)&lt;100),"Pend. "&amp;CM123&amp;"%",""))))</f>
        <v/>
      </c>
      <c r="AQ123" s="40" t="str">
        <f aca="false">IF(OR(OR(NOT(AND(ISNUMBER(E123),ISNUMBER(F123))),$J$2=""),5&gt;MAX(1,Reprogramaciones!$U$15)),"",IF(Reprogramaciones!O$12&gt;=7,"",IF(OR(BX123-N(BW123)&gt;0.05,N(U123)&gt;0),ROUNDDOWN(ROUND(BX123,6),0)&amp;"%"&amp;IF(CN123="",""," / "&amp;CN123&amp;"%"),IF(AND(N(BW123)&gt;=99.95,CN123&lt;&gt;"",N(CN123)&lt;100),"Pend. "&amp;CN123&amp;"%",""))))</f>
        <v/>
      </c>
      <c r="AR123" s="40" t="str">
        <f aca="false">IF(OR(OR(NOT(AND(ISNUMBER(E123),ISNUMBER(F123))),$J$2=""),6&gt;MAX(1,Reprogramaciones!$U$15)),"",IF(Reprogramaciones!P$12&gt;=7,"",IF(OR(BY123-N(BX123)&gt;0.05,N(V123)&gt;0),ROUNDDOWN(ROUND(BY123,6),0)&amp;"%"&amp;IF(CO123="",""," / "&amp;CO123&amp;"%"),IF(AND(N(BX123)&gt;=99.95,CO123&lt;&gt;"",N(CO123)&lt;100),"Pend. "&amp;CO123&amp;"%",""))))</f>
        <v/>
      </c>
      <c r="AS123" s="40" t="str">
        <f aca="false">IF(OR(OR(NOT(AND(ISNUMBER(E123),ISNUMBER(F123))),$J$2=""),7&gt;MAX(1,Reprogramaciones!$U$15)),"",IF(Reprogramaciones!Q$12&gt;=7,"",IF(OR(BZ123-N(BY123)&gt;0.05,N(W123)&gt;0),ROUNDDOWN(ROUND(BZ123,6),0)&amp;"%"&amp;IF(CP123="",""," / "&amp;CP123&amp;"%"),IF(AND(N(BY123)&gt;=99.95,CP123&lt;&gt;"",N(CP123)&lt;100),"Pend. "&amp;CP123&amp;"%",""))))</f>
        <v/>
      </c>
      <c r="AT123" s="40" t="str">
        <f aca="false">IF(OR(OR(NOT(AND(ISNUMBER(E123),ISNUMBER(F123))),$J$2=""),8&gt;MAX(1,Reprogramaciones!$U$15)),"",IF(Reprogramaciones!R$12&gt;=7,"",IF(OR(CA123-N(BZ123)&gt;0.05,N(X123)&gt;0),ROUNDDOWN(ROUND(CA123,6),0)&amp;"%"&amp;IF(CQ123="",""," / "&amp;CQ123&amp;"%"),IF(AND(N(BZ123)&gt;=99.95,CQ123&lt;&gt;"",N(CQ123)&lt;100),"Pend. "&amp;CQ123&amp;"%",""))))</f>
        <v/>
      </c>
      <c r="AU123" s="40" t="str">
        <f aca="false">IF(OR(OR(NOT(AND(ISNUMBER(E123),ISNUMBER(F123))),$J$2=""),9&gt;MAX(1,Reprogramaciones!$U$15)),"",IF(Reprogramaciones!S$12&gt;=7,"",IF(OR(CB123-N(CA123)&gt;0.05,N(Y123)&gt;0),ROUNDDOWN(ROUND(CB123,6),0)&amp;"%"&amp;IF(CR123="",""," / "&amp;CR123&amp;"%"),IF(AND(N(CA123)&gt;=99.95,CR123&lt;&gt;"",N(CR123)&lt;100),"Pend. "&amp;CR123&amp;"%",""))))</f>
        <v/>
      </c>
      <c r="AV123" s="40" t="str">
        <f aca="false">IF(OR(OR(NOT(AND(ISNUMBER(E123),ISNUMBER(F123))),$J$2=""),10&gt;MAX(1,Reprogramaciones!$U$15)),"",IF(Reprogramaciones!T$12&gt;=7,"",IF(OR(CC123-N(CB123)&gt;0.05,N(Z123)&gt;0),ROUNDDOWN(ROUND(CC123,6),0)&amp;"%"&amp;IF(CS123="",""," / "&amp;CS123&amp;"%"),IF(AND(N(CB123)&gt;=99.95,CS123&lt;&gt;"",N(CS123)&lt;100),"Pend. "&amp;CS123&amp;"%",""))))</f>
        <v/>
      </c>
      <c r="AW123" s="40" t="str">
        <f aca="false">IF(OR(OR(NOT(AND(ISNUMBER(E123),ISNUMBER(F123))),$J$2=""),11&gt;MAX(1,Reprogramaciones!$U$15)),"",IF(Reprogramaciones!U$12&gt;=7,"",IF(OR(CD123-N(CC123)&gt;0.05,N(AA123)&gt;0),ROUNDDOWN(ROUND(CD123,6),0)&amp;"%"&amp;IF(CT123="",""," / "&amp;CT123&amp;"%"),IF(AND(N(CC123)&gt;=99.95,CT123&lt;&gt;"",N(CT123)&lt;100),"Pend. "&amp;CT123&amp;"%",""))))</f>
        <v/>
      </c>
      <c r="AX123" s="40" t="str">
        <f aca="false">IF(OR(OR(NOT(AND(ISNUMBER(E123),ISNUMBER(F123))),$J$2=""),12&gt;MAX(1,Reprogramaciones!$U$15)),"",IF(Reprogramaciones!V$12&gt;=7,"",IF(OR(CE123-N(CD123)&gt;0.05,N(AB123)&gt;0),ROUNDDOWN(ROUND(CE123,6),0)&amp;"%"&amp;IF(CU123="",""," / "&amp;CU123&amp;"%"),IF(AND(N(CD123)&gt;=99.95,CU123&lt;&gt;"",N(CU123)&lt;100),"Pend. "&amp;CU123&amp;"%",""))))</f>
        <v/>
      </c>
      <c r="AY123" s="40" t="str">
        <f aca="false">IF(OR(OR(NOT(AND(ISNUMBER(E123),ISNUMBER(F123))),$J$2=""),13&gt;MAX(1,Reprogramaciones!$U$15)),"",IF(Reprogramaciones!W$12&gt;=7,"",IF(OR(CF123-N(CE123)&gt;0.05,N(AC123)&gt;0),ROUNDDOWN(ROUND(CF123,6),0)&amp;"%"&amp;IF(CV123="",""," / "&amp;CV123&amp;"%"),IF(AND(N(CE123)&gt;=99.95,CV123&lt;&gt;"",N(CV123)&lt;100),"Pend. "&amp;CV123&amp;"%",""))))</f>
        <v/>
      </c>
      <c r="AZ123" s="40" t="str">
        <f aca="false">IF(OR(OR(NOT(AND(ISNUMBER(E123),ISNUMBER(F123))),$J$2=""),14&gt;MAX(1,Reprogramaciones!$U$15)),"",IF(Reprogramaciones!X$12&gt;=7,"",IF(OR(CG123-N(CF123)&gt;0.05,N(AD123)&gt;0),ROUNDDOWN(ROUND(CG123,6),0)&amp;"%"&amp;IF(CW123="",""," / "&amp;CW123&amp;"%"),IF(AND(N(CF123)&gt;=99.95,CW123&lt;&gt;"",N(CW123)&lt;100),"Pend. "&amp;CW123&amp;"%",""))))</f>
        <v/>
      </c>
      <c r="BA123" s="40" t="str">
        <f aca="false">IF(OR(OR(NOT(AND(ISNUMBER(E123),ISNUMBER(F123))),$J$2=""),15&gt;MAX(1,Reprogramaciones!$U$15)),"",IF(Reprogramaciones!Y$12&gt;=7,"",IF(OR(CH123-N(CG123)&gt;0.05,N(AE123)&gt;0),ROUNDDOWN(ROUND(CH123,6),0)&amp;"%"&amp;IF(CX123="",""," / "&amp;CX123&amp;"%"),IF(AND(N(CG123)&gt;=99.95,CX123&lt;&gt;"",N(CX123)&lt;100),"Pend. "&amp;CX123&amp;"%",""))))</f>
        <v/>
      </c>
      <c r="BB123" s="40" t="str">
        <f aca="false">IF(OR(OR(NOT(AND(ISNUMBER(E123),ISNUMBER(F123))),$J$2=""),16&gt;MAX(1,Reprogramaciones!$U$15)),"",IF(Reprogramaciones!Z$12&gt;=7,"",IF(OR(CI123-N(CH123)&gt;0.05,N(AF123)&gt;0),ROUNDDOWN(ROUND(CI123,6),0)&amp;"%"&amp;IF(CY123="",""," / "&amp;CY123&amp;"%"),IF(AND(N(CH123)&gt;=99.95,CY123&lt;&gt;"",N(CY123)&lt;100),"Pend. "&amp;CY123&amp;"%",""))))</f>
        <v/>
      </c>
      <c r="BC123" s="31" t="n">
        <f aca="false">IF(AND(ISNUMBER(E123),ISNUMBER(F123)),MAX(1,NETWORKDAYS.INTL(E123,F123,11)),0)</f>
        <v>0</v>
      </c>
      <c r="BD123" s="1" t="str">
        <f aca="false">IF(OR(NOT(AND(ISNUMBER(E123),ISNUMBER(F123))),$J$2=""),"",MIN(100,ROUND(SUM($G123:G123),1)))</f>
        <v/>
      </c>
      <c r="BE123" s="1" t="str">
        <f aca="false">IF(OR(NOT(AND(ISNUMBER(E123),ISNUMBER(F123))),$J$2=""),"",MIN(100,ROUND(SUM($G123:H123),1)))</f>
        <v/>
      </c>
      <c r="BF123" s="1" t="str">
        <f aca="false">IF(OR(NOT(AND(ISNUMBER(E123),ISNUMBER(F123))),$J$2=""),"",MIN(100,ROUND(SUM($G123:I123),1)))</f>
        <v/>
      </c>
      <c r="BG123" s="1" t="str">
        <f aca="false">IF(OR(NOT(AND(ISNUMBER(E123),ISNUMBER(F123))),$J$2=""),"",MIN(100,ROUND(SUM($G123:J123),1)))</f>
        <v/>
      </c>
      <c r="BH123" s="1" t="str">
        <f aca="false">IF(OR(NOT(AND(ISNUMBER(E123),ISNUMBER(F123))),$J$2=""),"",MIN(100,ROUND(SUM($G123:K123),1)))</f>
        <v/>
      </c>
      <c r="BI123" s="1" t="str">
        <f aca="false">IF(OR(NOT(AND(ISNUMBER(E123),ISNUMBER(F123))),$J$2=""),"",MIN(100,ROUND(SUM($G123:L123),1)))</f>
        <v/>
      </c>
      <c r="BJ123" s="1" t="str">
        <f aca="false">IF(OR(NOT(AND(ISNUMBER(E123),ISNUMBER(F123))),$J$2=""),"",MIN(100,ROUND(SUM($G123:M123),1)))</f>
        <v/>
      </c>
      <c r="BK123" s="1" t="str">
        <f aca="false">IF(OR(NOT(AND(ISNUMBER(E123),ISNUMBER(F123))),$J$2=""),"",MIN(100,ROUND(SUM($G123:N123),1)))</f>
        <v/>
      </c>
      <c r="BL123" s="1" t="str">
        <f aca="false">IF(OR(NOT(AND(ISNUMBER(E123),ISNUMBER(F123))),$J$2=""),"",MIN(100,ROUND(SUM($G123:O123),1)))</f>
        <v/>
      </c>
      <c r="BM123" s="1" t="str">
        <f aca="false">IF(OR(NOT(AND(ISNUMBER(E123),ISNUMBER(F123))),$J$2=""),"",MIN(100,ROUND(SUM($G123:P123),1)))</f>
        <v/>
      </c>
      <c r="BN123" s="1" t="str">
        <f aca="false">IF(OR(NOT(AND(ISNUMBER(E123),ISNUMBER(F123))),$J$2=""),"",MIN(100,ROUND(SUM($G123:P123),1)))</f>
        <v/>
      </c>
      <c r="BO123" s="1" t="str">
        <f aca="false">IF(OR(NOT(AND(ISNUMBER(E123),ISNUMBER(F123))),$J$2=""),"",MIN(100,ROUND(SUM($G123:P123),1)))</f>
        <v/>
      </c>
      <c r="BP123" s="1" t="str">
        <f aca="false">IF(OR(NOT(AND(ISNUMBER(E123),ISNUMBER(F123))),$J$2=""),"",MIN(100,ROUND(SUM($G123:P123),1)))</f>
        <v/>
      </c>
      <c r="BQ123" s="1" t="str">
        <f aca="false">IF(OR(NOT(AND(ISNUMBER(E123),ISNUMBER(F123))),$J$2=""),"",MIN(100,ROUND(SUM($G123:P123),1)))</f>
        <v/>
      </c>
      <c r="BR123" s="1" t="str">
        <f aca="false">IF(OR(NOT(AND(ISNUMBER(E123),ISNUMBER(F123))),$J$2=""),"",MIN(100,ROUND(SUM($G123:P123),1)))</f>
        <v/>
      </c>
      <c r="BS123" s="1" t="str">
        <f aca="false">IF(OR(NOT(AND(ISNUMBER(E123),ISNUMBER(F123))),$J$2=""),"",MIN(100,ROUND(SUM($G123:P123),1)))</f>
        <v/>
      </c>
      <c r="BT123" s="1" t="str">
        <f aca="false">IF(OR(NOT(AND(ISNUMBER(E123),ISNUMBER(F123))),$J$2=""),"",IF(Reprogramaciones!K$13&lt;Reprogramaciones!$T$15,0,IF(Reprogramaciones!K$14&gt;10,MIN(100,SUM($G123:$P123)),MIN(100,SUMPRODUCT((COLUMN($G123:$P123)-COLUMN($G123)+1&lt;Reprogramaciones!K$14)*$G123:$P123)+N(INDEX($G123:$P123,1,Reprogramaciones!K$14))*IF(Reprogramaciones!K$13&gt;=(Reprogramaciones!$T$15+7*(Reprogramaciones!K$14-1))+6,1,IF(MAX(0,NETWORKDAYS.INTL(MAX(E123,(Reprogramaciones!$T$15+7*(Reprogramaciones!K$14-1))),MIN(F123,(Reprogramaciones!$T$15+7*(Reprogramaciones!K$14-1))+6),11))=0,0,MAX(0,NETWORKDAYS.INTL(MAX(E123,(Reprogramaciones!$T$15+7*(Reprogramaciones!K$14-1))),MIN(F123,Reprogramaciones!K$13),11))/MAX(0,NETWORKDAYS.INTL(MAX(E123,(Reprogramaciones!$T$15+7*(Reprogramaciones!K$14-1))),MIN(F123,(Reprogramaciones!$T$15+7*(Reprogramaciones!K$14-1))+6),11))))))))</f>
        <v/>
      </c>
      <c r="BU123" s="1" t="str">
        <f aca="false">IF(OR(NOT(AND(ISNUMBER(E123),ISNUMBER(F123))),$J$2=""),"",IF(Reprogramaciones!L$13&lt;Reprogramaciones!$T$15,0,IF(Reprogramaciones!L$14&gt;10,MIN(100,SUM($G123:$P123)),MIN(100,SUMPRODUCT((COLUMN($G123:$P123)-COLUMN($G123)+1&lt;Reprogramaciones!L$14)*$G123:$P123)+N(INDEX($G123:$P123,1,Reprogramaciones!L$14))*IF(Reprogramaciones!L$13&gt;=(Reprogramaciones!$T$15+7*(Reprogramaciones!L$14-1))+6,1,IF(MAX(0,NETWORKDAYS.INTL(MAX(E123,(Reprogramaciones!$T$15+7*(Reprogramaciones!L$14-1))),MIN(F123,(Reprogramaciones!$T$15+7*(Reprogramaciones!L$14-1))+6),11))=0,0,MAX(0,NETWORKDAYS.INTL(MAX(E123,(Reprogramaciones!$T$15+7*(Reprogramaciones!L$14-1))),MIN(F123,Reprogramaciones!L$13),11))/MAX(0,NETWORKDAYS.INTL(MAX(E123,(Reprogramaciones!$T$15+7*(Reprogramaciones!L$14-1))),MIN(F123,(Reprogramaciones!$T$15+7*(Reprogramaciones!L$14-1))+6),11))))))))</f>
        <v/>
      </c>
      <c r="BV123" s="1" t="str">
        <f aca="false">IF(OR(NOT(AND(ISNUMBER(E123),ISNUMBER(F123))),$J$2=""),"",IF(Reprogramaciones!M$13&lt;Reprogramaciones!$T$15,0,IF(Reprogramaciones!M$14&gt;10,MIN(100,SUM($G123:$P123)),MIN(100,SUMPRODUCT((COLUMN($G123:$P123)-COLUMN($G123)+1&lt;Reprogramaciones!M$14)*$G123:$P123)+N(INDEX($G123:$P123,1,Reprogramaciones!M$14))*IF(Reprogramaciones!M$13&gt;=(Reprogramaciones!$T$15+7*(Reprogramaciones!M$14-1))+6,1,IF(MAX(0,NETWORKDAYS.INTL(MAX(E123,(Reprogramaciones!$T$15+7*(Reprogramaciones!M$14-1))),MIN(F123,(Reprogramaciones!$T$15+7*(Reprogramaciones!M$14-1))+6),11))=0,0,MAX(0,NETWORKDAYS.INTL(MAX(E123,(Reprogramaciones!$T$15+7*(Reprogramaciones!M$14-1))),MIN(F123,Reprogramaciones!M$13),11))/MAX(0,NETWORKDAYS.INTL(MAX(E123,(Reprogramaciones!$T$15+7*(Reprogramaciones!M$14-1))),MIN(F123,(Reprogramaciones!$T$15+7*(Reprogramaciones!M$14-1))+6),11))))))))</f>
        <v/>
      </c>
      <c r="BW123" s="1" t="str">
        <f aca="false">IF(OR(NOT(AND(ISNUMBER(E123),ISNUMBER(F123))),$J$2=""),"",IF(Reprogramaciones!N$13&lt;Reprogramaciones!$T$15,0,IF(Reprogramaciones!N$14&gt;10,MIN(100,SUM($G123:$P123)),MIN(100,SUMPRODUCT((COLUMN($G123:$P123)-COLUMN($G123)+1&lt;Reprogramaciones!N$14)*$G123:$P123)+N(INDEX($G123:$P123,1,Reprogramaciones!N$14))*IF(Reprogramaciones!N$13&gt;=(Reprogramaciones!$T$15+7*(Reprogramaciones!N$14-1))+6,1,IF(MAX(0,NETWORKDAYS.INTL(MAX(E123,(Reprogramaciones!$T$15+7*(Reprogramaciones!N$14-1))),MIN(F123,(Reprogramaciones!$T$15+7*(Reprogramaciones!N$14-1))+6),11))=0,0,MAX(0,NETWORKDAYS.INTL(MAX(E123,(Reprogramaciones!$T$15+7*(Reprogramaciones!N$14-1))),MIN(F123,Reprogramaciones!N$13),11))/MAX(0,NETWORKDAYS.INTL(MAX(E123,(Reprogramaciones!$T$15+7*(Reprogramaciones!N$14-1))),MIN(F123,(Reprogramaciones!$T$15+7*(Reprogramaciones!N$14-1))+6),11))))))))</f>
        <v/>
      </c>
      <c r="BX123" s="1" t="str">
        <f aca="false">IF(OR(NOT(AND(ISNUMBER(E123),ISNUMBER(F123))),$J$2=""),"",IF(Reprogramaciones!O$13&lt;Reprogramaciones!$T$15,0,IF(Reprogramaciones!O$14&gt;10,MIN(100,SUM($G123:$P123)),MIN(100,SUMPRODUCT((COLUMN($G123:$P123)-COLUMN($G123)+1&lt;Reprogramaciones!O$14)*$G123:$P123)+N(INDEX($G123:$P123,1,Reprogramaciones!O$14))*IF(Reprogramaciones!O$13&gt;=(Reprogramaciones!$T$15+7*(Reprogramaciones!O$14-1))+6,1,IF(MAX(0,NETWORKDAYS.INTL(MAX(E123,(Reprogramaciones!$T$15+7*(Reprogramaciones!O$14-1))),MIN(F123,(Reprogramaciones!$T$15+7*(Reprogramaciones!O$14-1))+6),11))=0,0,MAX(0,NETWORKDAYS.INTL(MAX(E123,(Reprogramaciones!$T$15+7*(Reprogramaciones!O$14-1))),MIN(F123,Reprogramaciones!O$13),11))/MAX(0,NETWORKDAYS.INTL(MAX(E123,(Reprogramaciones!$T$15+7*(Reprogramaciones!O$14-1))),MIN(F123,(Reprogramaciones!$T$15+7*(Reprogramaciones!O$14-1))+6),11))))))))</f>
        <v/>
      </c>
      <c r="BY123" s="1" t="str">
        <f aca="false">IF(OR(NOT(AND(ISNUMBER(E123),ISNUMBER(F123))),$J$2=""),"",IF(Reprogramaciones!P$13&lt;Reprogramaciones!$T$15,0,IF(Reprogramaciones!P$14&gt;10,MIN(100,SUM($G123:$P123)),MIN(100,SUMPRODUCT((COLUMN($G123:$P123)-COLUMN($G123)+1&lt;Reprogramaciones!P$14)*$G123:$P123)+N(INDEX($G123:$P123,1,Reprogramaciones!P$14))*IF(Reprogramaciones!P$13&gt;=(Reprogramaciones!$T$15+7*(Reprogramaciones!P$14-1))+6,1,IF(MAX(0,NETWORKDAYS.INTL(MAX(E123,(Reprogramaciones!$T$15+7*(Reprogramaciones!P$14-1))),MIN(F123,(Reprogramaciones!$T$15+7*(Reprogramaciones!P$14-1))+6),11))=0,0,MAX(0,NETWORKDAYS.INTL(MAX(E123,(Reprogramaciones!$T$15+7*(Reprogramaciones!P$14-1))),MIN(F123,Reprogramaciones!P$13),11))/MAX(0,NETWORKDAYS.INTL(MAX(E123,(Reprogramaciones!$T$15+7*(Reprogramaciones!P$14-1))),MIN(F123,(Reprogramaciones!$T$15+7*(Reprogramaciones!P$14-1))+6),11))))))))</f>
        <v/>
      </c>
      <c r="BZ123" s="1" t="str">
        <f aca="false">IF(OR(NOT(AND(ISNUMBER(E123),ISNUMBER(F123))),$J$2=""),"",IF(Reprogramaciones!Q$13&lt;Reprogramaciones!$T$15,0,IF(Reprogramaciones!Q$14&gt;10,MIN(100,SUM($G123:$P123)),MIN(100,SUMPRODUCT((COLUMN($G123:$P123)-COLUMN($G123)+1&lt;Reprogramaciones!Q$14)*$G123:$P123)+N(INDEX($G123:$P123,1,Reprogramaciones!Q$14))*IF(Reprogramaciones!Q$13&gt;=(Reprogramaciones!$T$15+7*(Reprogramaciones!Q$14-1))+6,1,IF(MAX(0,NETWORKDAYS.INTL(MAX(E123,(Reprogramaciones!$T$15+7*(Reprogramaciones!Q$14-1))),MIN(F123,(Reprogramaciones!$T$15+7*(Reprogramaciones!Q$14-1))+6),11))=0,0,MAX(0,NETWORKDAYS.INTL(MAX(E123,(Reprogramaciones!$T$15+7*(Reprogramaciones!Q$14-1))),MIN(F123,Reprogramaciones!Q$13),11))/MAX(0,NETWORKDAYS.INTL(MAX(E123,(Reprogramaciones!$T$15+7*(Reprogramaciones!Q$14-1))),MIN(F123,(Reprogramaciones!$T$15+7*(Reprogramaciones!Q$14-1))+6),11))))))))</f>
        <v/>
      </c>
      <c r="CA123" s="1" t="str">
        <f aca="false">IF(OR(NOT(AND(ISNUMBER(E123),ISNUMBER(F123))),$J$2=""),"",IF(Reprogramaciones!R$13&lt;Reprogramaciones!$T$15,0,IF(Reprogramaciones!R$14&gt;10,MIN(100,SUM($G123:$P123)),MIN(100,SUMPRODUCT((COLUMN($G123:$P123)-COLUMN($G123)+1&lt;Reprogramaciones!R$14)*$G123:$P123)+N(INDEX($G123:$P123,1,Reprogramaciones!R$14))*IF(Reprogramaciones!R$13&gt;=(Reprogramaciones!$T$15+7*(Reprogramaciones!R$14-1))+6,1,IF(MAX(0,NETWORKDAYS.INTL(MAX(E123,(Reprogramaciones!$T$15+7*(Reprogramaciones!R$14-1))),MIN(F123,(Reprogramaciones!$T$15+7*(Reprogramaciones!R$14-1))+6),11))=0,0,MAX(0,NETWORKDAYS.INTL(MAX(E123,(Reprogramaciones!$T$15+7*(Reprogramaciones!R$14-1))),MIN(F123,Reprogramaciones!R$13),11))/MAX(0,NETWORKDAYS.INTL(MAX(E123,(Reprogramaciones!$T$15+7*(Reprogramaciones!R$14-1))),MIN(F123,(Reprogramaciones!$T$15+7*(Reprogramaciones!R$14-1))+6),11))))))))</f>
        <v/>
      </c>
      <c r="CB123" s="1" t="str">
        <f aca="false">IF(OR(NOT(AND(ISNUMBER(E123),ISNUMBER(F123))),$J$2=""),"",IF(Reprogramaciones!S$13&lt;Reprogramaciones!$T$15,0,IF(Reprogramaciones!S$14&gt;10,MIN(100,SUM($G123:$P123)),MIN(100,SUMPRODUCT((COLUMN($G123:$P123)-COLUMN($G123)+1&lt;Reprogramaciones!S$14)*$G123:$P123)+N(INDEX($G123:$P123,1,Reprogramaciones!S$14))*IF(Reprogramaciones!S$13&gt;=(Reprogramaciones!$T$15+7*(Reprogramaciones!S$14-1))+6,1,IF(MAX(0,NETWORKDAYS.INTL(MAX(E123,(Reprogramaciones!$T$15+7*(Reprogramaciones!S$14-1))),MIN(F123,(Reprogramaciones!$T$15+7*(Reprogramaciones!S$14-1))+6),11))=0,0,MAX(0,NETWORKDAYS.INTL(MAX(E123,(Reprogramaciones!$T$15+7*(Reprogramaciones!S$14-1))),MIN(F123,Reprogramaciones!S$13),11))/MAX(0,NETWORKDAYS.INTL(MAX(E123,(Reprogramaciones!$T$15+7*(Reprogramaciones!S$14-1))),MIN(F123,(Reprogramaciones!$T$15+7*(Reprogramaciones!S$14-1))+6),11))))))))</f>
        <v/>
      </c>
      <c r="CC123" s="1" t="str">
        <f aca="false">IF(OR(NOT(AND(ISNUMBER(E123),ISNUMBER(F123))),$J$2=""),"",IF(Reprogramaciones!T$13&lt;Reprogramaciones!$T$15,0,IF(Reprogramaciones!T$14&gt;10,MIN(100,SUM($G123:$P123)),MIN(100,SUMPRODUCT((COLUMN($G123:$P123)-COLUMN($G123)+1&lt;Reprogramaciones!T$14)*$G123:$P123)+N(INDEX($G123:$P123,1,Reprogramaciones!T$14))*IF(Reprogramaciones!T$13&gt;=(Reprogramaciones!$T$15+7*(Reprogramaciones!T$14-1))+6,1,IF(MAX(0,NETWORKDAYS.INTL(MAX(E123,(Reprogramaciones!$T$15+7*(Reprogramaciones!T$14-1))),MIN(F123,(Reprogramaciones!$T$15+7*(Reprogramaciones!T$14-1))+6),11))=0,0,MAX(0,NETWORKDAYS.INTL(MAX(E123,(Reprogramaciones!$T$15+7*(Reprogramaciones!T$14-1))),MIN(F123,Reprogramaciones!T$13),11))/MAX(0,NETWORKDAYS.INTL(MAX(E123,(Reprogramaciones!$T$15+7*(Reprogramaciones!T$14-1))),MIN(F123,(Reprogramaciones!$T$15+7*(Reprogramaciones!T$14-1))+6),11))))))))</f>
        <v/>
      </c>
      <c r="CD123" s="1" t="str">
        <f aca="false">IF(OR(NOT(AND(ISNUMBER(E123),ISNUMBER(F123))),$J$2=""),"",IF(Reprogramaciones!U$13&lt;Reprogramaciones!$T$15,0,IF(Reprogramaciones!U$14&gt;10,MIN(100,SUM($G123:$P123)),MIN(100,SUMPRODUCT((COLUMN($G123:$P123)-COLUMN($G123)+1&lt;Reprogramaciones!U$14)*$G123:$P123)+N(INDEX($G123:$P123,1,Reprogramaciones!U$14))*IF(Reprogramaciones!U$13&gt;=(Reprogramaciones!$T$15+7*(Reprogramaciones!U$14-1))+6,1,IF(MAX(0,NETWORKDAYS.INTL(MAX(E123,(Reprogramaciones!$T$15+7*(Reprogramaciones!U$14-1))),MIN(F123,(Reprogramaciones!$T$15+7*(Reprogramaciones!U$14-1))+6),11))=0,0,MAX(0,NETWORKDAYS.INTL(MAX(E123,(Reprogramaciones!$T$15+7*(Reprogramaciones!U$14-1))),MIN(F123,Reprogramaciones!U$13),11))/MAX(0,NETWORKDAYS.INTL(MAX(E123,(Reprogramaciones!$T$15+7*(Reprogramaciones!U$14-1))),MIN(F123,(Reprogramaciones!$T$15+7*(Reprogramaciones!U$14-1))+6),11))))))))</f>
        <v/>
      </c>
      <c r="CE123" s="1" t="str">
        <f aca="false">IF(OR(NOT(AND(ISNUMBER(E123),ISNUMBER(F123))),$J$2=""),"",IF(Reprogramaciones!V$13&lt;Reprogramaciones!$T$15,0,IF(Reprogramaciones!V$14&gt;10,MIN(100,SUM($G123:$P123)),MIN(100,SUMPRODUCT((COLUMN($G123:$P123)-COLUMN($G123)+1&lt;Reprogramaciones!V$14)*$G123:$P123)+N(INDEX($G123:$P123,1,Reprogramaciones!V$14))*IF(Reprogramaciones!V$13&gt;=(Reprogramaciones!$T$15+7*(Reprogramaciones!V$14-1))+6,1,IF(MAX(0,NETWORKDAYS.INTL(MAX(E123,(Reprogramaciones!$T$15+7*(Reprogramaciones!V$14-1))),MIN(F123,(Reprogramaciones!$T$15+7*(Reprogramaciones!V$14-1))+6),11))=0,0,MAX(0,NETWORKDAYS.INTL(MAX(E123,(Reprogramaciones!$T$15+7*(Reprogramaciones!V$14-1))),MIN(F123,Reprogramaciones!V$13),11))/MAX(0,NETWORKDAYS.INTL(MAX(E123,(Reprogramaciones!$T$15+7*(Reprogramaciones!V$14-1))),MIN(F123,(Reprogramaciones!$T$15+7*(Reprogramaciones!V$14-1))+6),11))))))))</f>
        <v/>
      </c>
      <c r="CF123" s="1" t="str">
        <f aca="false">IF(OR(NOT(AND(ISNUMBER(E123),ISNUMBER(F123))),$J$2=""),"",IF(Reprogramaciones!W$13&lt;Reprogramaciones!$T$15,0,IF(Reprogramaciones!W$14&gt;10,MIN(100,SUM($G123:$P123)),MIN(100,SUMPRODUCT((COLUMN($G123:$P123)-COLUMN($G123)+1&lt;Reprogramaciones!W$14)*$G123:$P123)+N(INDEX($G123:$P123,1,Reprogramaciones!W$14))*IF(Reprogramaciones!W$13&gt;=(Reprogramaciones!$T$15+7*(Reprogramaciones!W$14-1))+6,1,IF(MAX(0,NETWORKDAYS.INTL(MAX(E123,(Reprogramaciones!$T$15+7*(Reprogramaciones!W$14-1))),MIN(F123,(Reprogramaciones!$T$15+7*(Reprogramaciones!W$14-1))+6),11))=0,0,MAX(0,NETWORKDAYS.INTL(MAX(E123,(Reprogramaciones!$T$15+7*(Reprogramaciones!W$14-1))),MIN(F123,Reprogramaciones!W$13),11))/MAX(0,NETWORKDAYS.INTL(MAX(E123,(Reprogramaciones!$T$15+7*(Reprogramaciones!W$14-1))),MIN(F123,(Reprogramaciones!$T$15+7*(Reprogramaciones!W$14-1))+6),11))))))))</f>
        <v/>
      </c>
      <c r="CG123" s="1" t="str">
        <f aca="false">IF(OR(NOT(AND(ISNUMBER(E123),ISNUMBER(F123))),$J$2=""),"",IF(Reprogramaciones!X$13&lt;Reprogramaciones!$T$15,0,IF(Reprogramaciones!X$14&gt;10,MIN(100,SUM($G123:$P123)),MIN(100,SUMPRODUCT((COLUMN($G123:$P123)-COLUMN($G123)+1&lt;Reprogramaciones!X$14)*$G123:$P123)+N(INDEX($G123:$P123,1,Reprogramaciones!X$14))*IF(Reprogramaciones!X$13&gt;=(Reprogramaciones!$T$15+7*(Reprogramaciones!X$14-1))+6,1,IF(MAX(0,NETWORKDAYS.INTL(MAX(E123,(Reprogramaciones!$T$15+7*(Reprogramaciones!X$14-1))),MIN(F123,(Reprogramaciones!$T$15+7*(Reprogramaciones!X$14-1))+6),11))=0,0,MAX(0,NETWORKDAYS.INTL(MAX(E123,(Reprogramaciones!$T$15+7*(Reprogramaciones!X$14-1))),MIN(F123,Reprogramaciones!X$13),11))/MAX(0,NETWORKDAYS.INTL(MAX(E123,(Reprogramaciones!$T$15+7*(Reprogramaciones!X$14-1))),MIN(F123,(Reprogramaciones!$T$15+7*(Reprogramaciones!X$14-1))+6),11))))))))</f>
        <v/>
      </c>
      <c r="CH123" s="1" t="str">
        <f aca="false">IF(OR(NOT(AND(ISNUMBER(E123),ISNUMBER(F123))),$J$2=""),"",IF(Reprogramaciones!Y$13&lt;Reprogramaciones!$T$15,0,IF(Reprogramaciones!Y$14&gt;10,MIN(100,SUM($G123:$P123)),MIN(100,SUMPRODUCT((COLUMN($G123:$P123)-COLUMN($G123)+1&lt;Reprogramaciones!Y$14)*$G123:$P123)+N(INDEX($G123:$P123,1,Reprogramaciones!Y$14))*IF(Reprogramaciones!Y$13&gt;=(Reprogramaciones!$T$15+7*(Reprogramaciones!Y$14-1))+6,1,IF(MAX(0,NETWORKDAYS.INTL(MAX(E123,(Reprogramaciones!$T$15+7*(Reprogramaciones!Y$14-1))),MIN(F123,(Reprogramaciones!$T$15+7*(Reprogramaciones!Y$14-1))+6),11))=0,0,MAX(0,NETWORKDAYS.INTL(MAX(E123,(Reprogramaciones!$T$15+7*(Reprogramaciones!Y$14-1))),MIN(F123,Reprogramaciones!Y$13),11))/MAX(0,NETWORKDAYS.INTL(MAX(E123,(Reprogramaciones!$T$15+7*(Reprogramaciones!Y$14-1))),MIN(F123,(Reprogramaciones!$T$15+7*(Reprogramaciones!Y$14-1))+6),11))))))))</f>
        <v/>
      </c>
      <c r="CI123" s="1" t="str">
        <f aca="false">IF(OR(NOT(AND(ISNUMBER(E123),ISNUMBER(F123))),$J$2=""),"",IF(Reprogramaciones!Z$13&lt;Reprogramaciones!$T$15,0,IF(Reprogramaciones!Z$14&gt;10,MIN(100,SUM($G123:$P123)),MIN(100,SUMPRODUCT((COLUMN($G123:$P123)-COLUMN($G123)+1&lt;Reprogramaciones!Z$14)*$G123:$P123)+N(INDEX($G123:$P123,1,Reprogramaciones!Z$14))*IF(Reprogramaciones!Z$13&gt;=(Reprogramaciones!$T$15+7*(Reprogramaciones!Z$14-1))+6,1,IF(MAX(0,NETWORKDAYS.INTL(MAX(E123,(Reprogramaciones!$T$15+7*(Reprogramaciones!Z$14-1))),MIN(F123,(Reprogramaciones!$T$15+7*(Reprogramaciones!Z$14-1))+6),11))=0,0,MAX(0,NETWORKDAYS.INTL(MAX(E123,(Reprogramaciones!$T$15+7*(Reprogramaciones!Z$14-1))),MIN(F123,Reprogramaciones!Z$13),11))/MAX(0,NETWORKDAYS.INTL(MAX(E123,(Reprogramaciones!$T$15+7*(Reprogramaciones!Z$14-1))),MIN(F123,(Reprogramaciones!$T$15+7*(Reprogramaciones!Z$14-1))+6),11))))))))</f>
        <v/>
      </c>
      <c r="CJ123" s="1" t="str">
        <f aca="false">IF(OR(OR(NOT(AND(ISNUMBER(E123),ISNUMBER(F123))),$J$2=""),1&gt;Reprogramaciones!$K$16),"",IF(ROUND(SUM($Q123:Q123),1)&gt;=99.5,100,MIN(100,ROUND(SUM($Q123:Q123),1))))</f>
        <v/>
      </c>
      <c r="CK123" s="1" t="str">
        <f aca="false">IF(OR(OR(NOT(AND(ISNUMBER(E123),ISNUMBER(F123))),$J$2=""),2&gt;Reprogramaciones!$K$16),"",IF(ROUND(SUM($Q123:R123),1)&gt;=99.5,100,MIN(100,ROUND(SUM($Q123:R123),1))))</f>
        <v/>
      </c>
      <c r="CL123" s="1" t="str">
        <f aca="false">IF(OR(OR(NOT(AND(ISNUMBER(E123),ISNUMBER(F123))),$J$2=""),3&gt;Reprogramaciones!$K$16),"",IF(ROUND(SUM($Q123:S123),1)&gt;=99.5,100,MIN(100,ROUND(SUM($Q123:S123),1))))</f>
        <v/>
      </c>
      <c r="CM123" s="1" t="str">
        <f aca="false">IF(OR(OR(NOT(AND(ISNUMBER(E123),ISNUMBER(F123))),$J$2=""),4&gt;Reprogramaciones!$K$16),"",IF(ROUND(SUM($Q123:T123),1)&gt;=99.5,100,MIN(100,ROUND(SUM($Q123:T123),1))))</f>
        <v/>
      </c>
      <c r="CN123" s="1" t="str">
        <f aca="false">IF(OR(OR(NOT(AND(ISNUMBER(E123),ISNUMBER(F123))),$J$2=""),5&gt;Reprogramaciones!$K$16),"",IF(ROUND(SUM($Q123:U123),1)&gt;=99.5,100,MIN(100,ROUND(SUM($Q123:U123),1))))</f>
        <v/>
      </c>
      <c r="CO123" s="1" t="str">
        <f aca="false">IF(OR(OR(NOT(AND(ISNUMBER(E123),ISNUMBER(F123))),$J$2=""),6&gt;Reprogramaciones!$K$16),"",IF(ROUND(SUM($Q123:V123),1)&gt;=99.5,100,MIN(100,ROUND(SUM($Q123:V123),1))))</f>
        <v/>
      </c>
      <c r="CP123" s="1" t="str">
        <f aca="false">IF(OR(OR(NOT(AND(ISNUMBER(E123),ISNUMBER(F123))),$J$2=""),7&gt;Reprogramaciones!$K$16),"",IF(ROUND(SUM($Q123:W123),1)&gt;=99.5,100,MIN(100,ROUND(SUM($Q123:W123),1))))</f>
        <v/>
      </c>
      <c r="CQ123" s="1" t="str">
        <f aca="false">IF(OR(OR(NOT(AND(ISNUMBER(E123),ISNUMBER(F123))),$J$2=""),8&gt;Reprogramaciones!$K$16),"",IF(ROUND(SUM($Q123:X123),1)&gt;=99.5,100,MIN(100,ROUND(SUM($Q123:X123),1))))</f>
        <v/>
      </c>
      <c r="CR123" s="1" t="str">
        <f aca="false">IF(OR(OR(NOT(AND(ISNUMBER(E123),ISNUMBER(F123))),$J$2=""),9&gt;Reprogramaciones!$K$16),"",IF(ROUND(SUM($Q123:Y123),1)&gt;=99.5,100,MIN(100,ROUND(SUM($Q123:Y123),1))))</f>
        <v/>
      </c>
      <c r="CS123" s="1" t="str">
        <f aca="false">IF(OR(OR(NOT(AND(ISNUMBER(E123),ISNUMBER(F123))),$J$2=""),10&gt;Reprogramaciones!$K$16),"",IF(ROUND(SUM($Q123:Z123),1)&gt;=99.5,100,MIN(100,ROUND(SUM($Q123:Z123),1))))</f>
        <v/>
      </c>
      <c r="CT123" s="1" t="str">
        <f aca="false">IF(OR(OR(NOT(AND(ISNUMBER(E123),ISNUMBER(F123))),$J$2=""),11&gt;Reprogramaciones!$K$16),"",IF(ROUND(SUM($Q123:AA123),1)&gt;=99.5,100,MIN(100,ROUND(SUM($Q123:AA123),1))))</f>
        <v/>
      </c>
      <c r="CU123" s="1" t="str">
        <f aca="false">IF(OR(OR(NOT(AND(ISNUMBER(E123),ISNUMBER(F123))),$J$2=""),12&gt;Reprogramaciones!$K$16),"",IF(ROUND(SUM($Q123:AB123),1)&gt;=99.5,100,MIN(100,ROUND(SUM($Q123:AB123),1))))</f>
        <v/>
      </c>
      <c r="CV123" s="1" t="str">
        <f aca="false">IF(OR(OR(NOT(AND(ISNUMBER(E123),ISNUMBER(F123))),$J$2=""),13&gt;Reprogramaciones!$K$16),"",IF(ROUND(SUM($Q123:AC123),1)&gt;=99.5,100,MIN(100,ROUND(SUM($Q123:AC123),1))))</f>
        <v/>
      </c>
      <c r="CW123" s="1" t="str">
        <f aca="false">IF(OR(OR(NOT(AND(ISNUMBER(E123),ISNUMBER(F123))),$J$2=""),14&gt;Reprogramaciones!$K$16),"",IF(ROUND(SUM($Q123:AD123),1)&gt;=99.5,100,MIN(100,ROUND(SUM($Q123:AD123),1))))</f>
        <v/>
      </c>
      <c r="CX123" s="1" t="str">
        <f aca="false">IF(OR(OR(NOT(AND(ISNUMBER(E123),ISNUMBER(F123))),$J$2=""),15&gt;Reprogramaciones!$K$16),"",IF(ROUND(SUM($Q123:AE123),1)&gt;=99.5,100,MIN(100,ROUND(SUM($Q123:AE123),1))))</f>
        <v/>
      </c>
      <c r="CY123" s="1" t="str">
        <f aca="false">IF(OR(OR(NOT(AND(ISNUMBER(E123),ISNUMBER(F123))),$J$2=""),16&gt;Reprogramaciones!$K$16),"",IF(ROUND(SUM($Q123:AF123),1)&gt;=99.5,100,MIN(100,ROUND(SUM($Q123:AF123),1))))</f>
        <v/>
      </c>
      <c r="CZ123" s="1" t="str">
        <f aca="false">IF(D123&lt;&gt;"",D123,IF(B123&lt;&gt;"","Contractual",CZ122))</f>
        <v>Contractual</v>
      </c>
      <c r="DA123" s="1" t="str">
        <f aca="false">IF(OR(NOT(AND(ISNUMBER(E123),ISNUMBER(F123))),$J$2=""),"",IF(Reprogramaciones!$Q$15&lt;Reprogramaciones!$T$15,0,IF(Reprogramaciones!$S$15&gt;10,MIN(100,SUM($G123:$P123)),MIN(100,SUMPRODUCT((COLUMN($G123:$P123)-COLUMN($G123)+1&lt;Reprogramaciones!$S$15)*$G123:$P123)+N(INDEX($G123:$P123,1,Reprogramaciones!$S$15))*IF(Reprogramaciones!$Q$15&gt;=(Reprogramaciones!$T$15+7*(Reprogramaciones!$S$15-1))+6,1,IF(MAX(0,NETWORKDAYS.INTL(MAX(E123,(Reprogramaciones!$T$15+7*(Reprogramaciones!$S$15-1))),MIN(F123,(Reprogramaciones!$T$15+7*(Reprogramaciones!$S$15-1))+6),11))=0,0,MAX(0,NETWORKDAYS.INTL(MAX(E123,(Reprogramaciones!$T$15+7*(Reprogramaciones!$S$15-1))),MIN(F123,Reprogramaciones!$Q$15),11))/MAX(0,NETWORKDAYS.INTL(MAX(E123,(Reprogramaciones!$T$15+7*(Reprogramaciones!$S$15-1))),MIN(F123,(Reprogramaciones!$T$15+7*(Reprogramaciones!$S$15-1))+6),11))))))))</f>
        <v/>
      </c>
    </row>
    <row r="124" customFormat="false" ht="15" hidden="false" customHeight="false" outlineLevel="0" collapsed="false">
      <c r="A124" s="32"/>
      <c r="B124" s="33"/>
      <c r="C124" s="33"/>
      <c r="D124" s="34"/>
      <c r="E124" s="35"/>
      <c r="F124" s="35"/>
      <c r="G124" s="36" t="str">
        <f aca="false">IF(OR(NOT(AND(ISNUMBER(E124),ISNUMBER(F124))),$J$2=""),"",IF(Reprogramaciones!K$9&lt;E124,0,IF(NETWORKDAYS.INTL(E124,F124,11)=0,IF(Reprogramaciones!K$9&gt;=F124,100,0),ROUND(NETWORKDAYS.INTL(E124,MIN(F124,Reprogramaciones!K$9),11)/NETWORKDAYS.INTL(E124,F124,11)*100,1)))-0)</f>
        <v/>
      </c>
      <c r="H124" s="36" t="str">
        <f aca="false">IF(OR(NOT(AND(ISNUMBER(E124),ISNUMBER(F124))),$J$2=""),"",IF(Reprogramaciones!L$9&lt;E124,0,IF(NETWORKDAYS.INTL(E124,F124,11)=0,IF(Reprogramaciones!L$9&gt;=F124,100,0),ROUND(NETWORKDAYS.INTL(E124,MIN(F124,Reprogramaciones!L$9),11)/NETWORKDAYS.INTL(E124,F124,11)*100,1)))-IF(Reprogramaciones!K$9&lt;E124,0,IF(NETWORKDAYS.INTL(E124,F124,11)=0,IF(Reprogramaciones!K$9&gt;=F124,100,0),ROUND(NETWORKDAYS.INTL(E124,MIN(F124,Reprogramaciones!K$9),11)/NETWORKDAYS.INTL(E124,F124,11)*100,1))))</f>
        <v/>
      </c>
      <c r="I124" s="36" t="str">
        <f aca="false">IF(OR(NOT(AND(ISNUMBER(E124),ISNUMBER(F124))),$J$2=""),"",IF(Reprogramaciones!M$9&lt;E124,0,IF(NETWORKDAYS.INTL(E124,F124,11)=0,IF(Reprogramaciones!M$9&gt;=F124,100,0),ROUND(NETWORKDAYS.INTL(E124,MIN(F124,Reprogramaciones!M$9),11)/NETWORKDAYS.INTL(E124,F124,11)*100,1)))-IF(Reprogramaciones!L$9&lt;E124,0,IF(NETWORKDAYS.INTL(E124,F124,11)=0,IF(Reprogramaciones!L$9&gt;=F124,100,0),ROUND(NETWORKDAYS.INTL(E124,MIN(F124,Reprogramaciones!L$9),11)/NETWORKDAYS.INTL(E124,F124,11)*100,1))))</f>
        <v/>
      </c>
      <c r="J124" s="36" t="str">
        <f aca="false">IF(OR(NOT(AND(ISNUMBER(E124),ISNUMBER(F124))),$J$2=""),"",IF(Reprogramaciones!N$9&lt;E124,0,IF(NETWORKDAYS.INTL(E124,F124,11)=0,IF(Reprogramaciones!N$9&gt;=F124,100,0),ROUND(NETWORKDAYS.INTL(E124,MIN(F124,Reprogramaciones!N$9),11)/NETWORKDAYS.INTL(E124,F124,11)*100,1)))-IF(Reprogramaciones!M$9&lt;E124,0,IF(NETWORKDAYS.INTL(E124,F124,11)=0,IF(Reprogramaciones!M$9&gt;=F124,100,0),ROUND(NETWORKDAYS.INTL(E124,MIN(F124,Reprogramaciones!M$9),11)/NETWORKDAYS.INTL(E124,F124,11)*100,1))))</f>
        <v/>
      </c>
      <c r="K124" s="36" t="str">
        <f aca="false">IF(OR(NOT(AND(ISNUMBER(E124),ISNUMBER(F124))),$J$2=""),"",IF(Reprogramaciones!O$9&lt;E124,0,IF(NETWORKDAYS.INTL(E124,F124,11)=0,IF(Reprogramaciones!O$9&gt;=F124,100,0),ROUND(NETWORKDAYS.INTL(E124,MIN(F124,Reprogramaciones!O$9),11)/NETWORKDAYS.INTL(E124,F124,11)*100,1)))-IF(Reprogramaciones!N$9&lt;E124,0,IF(NETWORKDAYS.INTL(E124,F124,11)=0,IF(Reprogramaciones!N$9&gt;=F124,100,0),ROUND(NETWORKDAYS.INTL(E124,MIN(F124,Reprogramaciones!N$9),11)/NETWORKDAYS.INTL(E124,F124,11)*100,1))))</f>
        <v/>
      </c>
      <c r="L124" s="36" t="str">
        <f aca="false">IF(OR(NOT(AND(ISNUMBER(E124),ISNUMBER(F124))),$J$2=""),"",IF(Reprogramaciones!P$9&lt;E124,0,IF(NETWORKDAYS.INTL(E124,F124,11)=0,IF(Reprogramaciones!P$9&gt;=F124,100,0),ROUND(NETWORKDAYS.INTL(E124,MIN(F124,Reprogramaciones!P$9),11)/NETWORKDAYS.INTL(E124,F124,11)*100,1)))-IF(Reprogramaciones!O$9&lt;E124,0,IF(NETWORKDAYS.INTL(E124,F124,11)=0,IF(Reprogramaciones!O$9&gt;=F124,100,0),ROUND(NETWORKDAYS.INTL(E124,MIN(F124,Reprogramaciones!O$9),11)/NETWORKDAYS.INTL(E124,F124,11)*100,1))))</f>
        <v/>
      </c>
      <c r="M124" s="36" t="str">
        <f aca="false">IF(OR(NOT(AND(ISNUMBER(E124),ISNUMBER(F124))),$J$2=""),"",IF(Reprogramaciones!Q$9&lt;E124,0,IF(NETWORKDAYS.INTL(E124,F124,11)=0,IF(Reprogramaciones!Q$9&gt;=F124,100,0),ROUND(NETWORKDAYS.INTL(E124,MIN(F124,Reprogramaciones!Q$9),11)/NETWORKDAYS.INTL(E124,F124,11)*100,1)))-IF(Reprogramaciones!P$9&lt;E124,0,IF(NETWORKDAYS.INTL(E124,F124,11)=0,IF(Reprogramaciones!P$9&gt;=F124,100,0),ROUND(NETWORKDAYS.INTL(E124,MIN(F124,Reprogramaciones!P$9),11)/NETWORKDAYS.INTL(E124,F124,11)*100,1))))</f>
        <v/>
      </c>
      <c r="N124" s="36" t="str">
        <f aca="false">IF(OR(NOT(AND(ISNUMBER(E124),ISNUMBER(F124))),$J$2=""),"",IF(Reprogramaciones!R$9&lt;E124,0,IF(NETWORKDAYS.INTL(E124,F124,11)=0,IF(Reprogramaciones!R$9&gt;=F124,100,0),ROUND(NETWORKDAYS.INTL(E124,MIN(F124,Reprogramaciones!R$9),11)/NETWORKDAYS.INTL(E124,F124,11)*100,1)))-IF(Reprogramaciones!Q$9&lt;E124,0,IF(NETWORKDAYS.INTL(E124,F124,11)=0,IF(Reprogramaciones!Q$9&gt;=F124,100,0),ROUND(NETWORKDAYS.INTL(E124,MIN(F124,Reprogramaciones!Q$9),11)/NETWORKDAYS.INTL(E124,F124,11)*100,1))))</f>
        <v/>
      </c>
      <c r="O124" s="36" t="str">
        <f aca="false">IF(OR(NOT(AND(ISNUMBER(E124),ISNUMBER(F124))),$J$2=""),"",IF(Reprogramaciones!S$9&lt;E124,0,IF(NETWORKDAYS.INTL(E124,F124,11)=0,IF(Reprogramaciones!S$9&gt;=F124,100,0),ROUND(NETWORKDAYS.INTL(E124,MIN(F124,Reprogramaciones!S$9),11)/NETWORKDAYS.INTL(E124,F124,11)*100,1)))-IF(Reprogramaciones!R$9&lt;E124,0,IF(NETWORKDAYS.INTL(E124,F124,11)=0,IF(Reprogramaciones!R$9&gt;=F124,100,0),ROUND(NETWORKDAYS.INTL(E124,MIN(F124,Reprogramaciones!R$9),11)/NETWORKDAYS.INTL(E124,F124,11)*100,1))))</f>
        <v/>
      </c>
      <c r="P124" s="36" t="str">
        <f aca="false">IF(OR(NOT(AND(ISNUMBER(E124),ISNUMBER(F124))),$J$2=""),"",IF(Reprogramaciones!T$9&lt;E124,0,IF(NETWORKDAYS.INTL(E124,F124,11)=0,IF(Reprogramaciones!T$9&gt;=F124,100,0),ROUND(NETWORKDAYS.INTL(E124,MIN(F124,Reprogramaciones!T$9),11)/NETWORKDAYS.INTL(E124,F124,11)*100,1)))-IF(Reprogramaciones!S$9&lt;E124,0,IF(NETWORKDAYS.INTL(E124,F124,11)=0,IF(Reprogramaciones!S$9&gt;=F124,100,0),ROUND(NETWORKDAYS.INTL(E124,MIN(F124,Reprogramaciones!S$9),11)/NETWORKDAYS.INTL(E124,F124,11)*100,1))))</f>
        <v/>
      </c>
      <c r="Q124" s="37"/>
      <c r="R124" s="37"/>
      <c r="S124" s="37"/>
      <c r="T124" s="37"/>
      <c r="U124" s="37"/>
      <c r="V124" s="37"/>
      <c r="W124" s="37"/>
      <c r="X124" s="37"/>
      <c r="Y124" s="37"/>
      <c r="Z124" s="37"/>
      <c r="AA124" s="37"/>
      <c r="AB124" s="37"/>
      <c r="AC124" s="37"/>
      <c r="AD124" s="37"/>
      <c r="AE124" s="37"/>
      <c r="AF124" s="37"/>
      <c r="AG124" s="38" t="str">
        <f aca="false">IF(AND(ISNUMBER(E124),ISNUMBER(F124)),NETWORKDAYS.INTL(E124,F124,11),"")</f>
        <v/>
      </c>
      <c r="AH124" s="38" t="str">
        <f aca="false">IF(OR(NOT(AND(ISNUMBER(E124),ISNUMBER(F124))),$J$2=""),"",IF(Reprogramaciones!$P$15&lt;Reprogramaciones!$T$15,0,IF(Reprogramaciones!$R$15&gt;10,MIN(100,SUM($G124:$P124)),MIN(100,SUMPRODUCT((COLUMN($G124:$P124)-COLUMN($G124)+1&lt;Reprogramaciones!$R$15)*$G124:$P124)+N(INDEX($G124:$P124,1,Reprogramaciones!$R$15))*IF(Reprogramaciones!$P$15&gt;=(Reprogramaciones!$T$15+7*(Reprogramaciones!$R$15-1))+6,1,IF(MAX(0,NETWORKDAYS.INTL(MAX(E124,(Reprogramaciones!$T$15+7*(Reprogramaciones!$R$15-1))),MIN(F124,(Reprogramaciones!$T$15+7*(Reprogramaciones!$R$15-1))+6),11))=0,0,MAX(0,NETWORKDAYS.INTL(MAX(E124,(Reprogramaciones!$T$15+7*(Reprogramaciones!$R$15-1))),MIN(F124,Reprogramaciones!$P$15),11))/MAX(0,NETWORKDAYS.INTL(MAX(E124,(Reprogramaciones!$T$15+7*(Reprogramaciones!$R$15-1))),MIN(F124,(Reprogramaciones!$T$15+7*(Reprogramaciones!$R$15-1))+6),11))))))))</f>
        <v/>
      </c>
      <c r="AI124" s="38" t="str">
        <f aca="false">IF(COUNT($Q124:$AF124)=0,"",IF(ROUND(SUM($Q124:$AF124),1)&gt;=99.5,100,MIN(100,ROUND(SUM($Q124:$AF124),1))))</f>
        <v/>
      </c>
      <c r="AJ124" s="38" t="str">
        <f aca="false">IF(OR(AH124="",AI124=""),"",AI124-AH124)</f>
        <v/>
      </c>
      <c r="AK124" s="39" t="str">
        <f aca="true">IF(AH124="","",IF(OR(Ficha!$C$10="Suspendida",Ficha!$C$10="Cancelada"),Ficha!$C$10,IF(AND(AI124&lt;&gt;"",N(AI124)&gt;=100),"Completada",IF(AND(E124&gt;TODAY(),N(AI124)=0),"Por iniciar",IF(N(AI124)+0.5&lt;AH124,"Retrasada",IF(N(AI124)+0.5&lt;DA124,IF(Reprogramaciones!$K$15&gt;0,"Al día · Sem "&amp;Reprogramaciones!$K$15&amp;" en curso","Al día · en curso"),"A tiempo"))))))</f>
        <v/>
      </c>
      <c r="AL124" s="39" t="str">
        <f aca="true">IF(AND(A124="",AND(B124="",C124="",E124="",F124="",COUNT(Q124:AF124)=0)),"",IF(AND(B124="",C124="",E124="",F124="",COUNT(Q124:AF124)=0),"Falta la partida o subpartida",IF(AND(A124&lt;&gt;"",COUNTIF($A$6:$A$305,A124)&gt;1),"Ítem repetido",IF(AND(C124="",E124="",F124="",COUNT(Q124:AF124)=0),"Título de partida",IF(OR(E124="",F124=""),"Faltan fechas",IF(OR(ISTEXT(E124),ISTEXT(F124)),"Fecha escrita como texto: usa dd/mm/aaaa",IF(F124&lt;E124,"Fin antes del inicio",IF(IF($J$2="",FALSE(),OR(E124&lt;$J$2,F124&gt;Reprogramaciones!$T$15+69)),"Fuera de las 10 semanas",IF(ABS(SUM(G124:P124)-100)&gt;0.5,"La meta no suma 100%",IF(ROUND(SUM(Q124:AF124),1)&gt;100.5,"El avance pasa de 100%",IF(MIN(Q124:AF124)&lt;0,"Avance negativo",IF(COUNTA(Q124:AF124)&gt;COUNT(Q124:AF124),"Avance escrito como texto",IF(SUMPRODUCT((Q124:AF124&gt;0)*(Q124:AF124&lt;1))&gt;0,"Avance menor a 1: escribe 50, no 50%",IF(SUMPRODUCT(ISNUMBER(Q124:AF124)*(Reprogramaciones!$K$8:$Z$8&gt;TODAY()))&gt;0,"Avance en semana que aún no llega",IF(AND(N(Reprogramaciones!$E$21)&gt;0,F124&gt;Reprogramaciones!$E$21),"Pasa el fin de la obra: registra una reprogramación",IF(AND(N(Reprogramaciones!$E$21)&gt;0,SUMPRODUCT(ISNUMBER(Q124:AF124)*(Reprogramaciones!$K$8:$Z$8&gt;Reprogramaciones!$E$21))&gt;0),"Avance después del fin de la obra: registra una reprogramación por atraso","OK"))))))))))))))))</f>
        <v/>
      </c>
      <c r="AM124" s="40" t="str">
        <f aca="false">IF(OR(OR(NOT(AND(ISNUMBER(E124),ISNUMBER(F124))),$J$2=""),1&gt;MAX(1,Reprogramaciones!$U$15)),"",IF(Reprogramaciones!K$12&gt;=7,"",IF(OR(BT124-N(0)&gt;0.05,N(Q124)&gt;0),ROUNDDOWN(ROUND(BT124,6),0)&amp;"%"&amp;IF(CJ124="",""," / "&amp;CJ124&amp;"%"),IF(AND(N(0)&gt;=99.95,CJ124&lt;&gt;"",N(CJ124)&lt;100),"Pend. "&amp;CJ124&amp;"%",""))))</f>
        <v/>
      </c>
      <c r="AN124" s="40" t="str">
        <f aca="false">IF(OR(OR(NOT(AND(ISNUMBER(E124),ISNUMBER(F124))),$J$2=""),2&gt;MAX(1,Reprogramaciones!$U$15)),"",IF(Reprogramaciones!L$12&gt;=7,"",IF(OR(BU124-N(BT124)&gt;0.05,N(R124)&gt;0),ROUNDDOWN(ROUND(BU124,6),0)&amp;"%"&amp;IF(CK124="",""," / "&amp;CK124&amp;"%"),IF(AND(N(BT124)&gt;=99.95,CK124&lt;&gt;"",N(CK124)&lt;100),"Pend. "&amp;CK124&amp;"%",""))))</f>
        <v/>
      </c>
      <c r="AO124" s="40" t="str">
        <f aca="false">IF(OR(OR(NOT(AND(ISNUMBER(E124),ISNUMBER(F124))),$J$2=""),3&gt;MAX(1,Reprogramaciones!$U$15)),"",IF(Reprogramaciones!M$12&gt;=7,"",IF(OR(BV124-N(BU124)&gt;0.05,N(S124)&gt;0),ROUNDDOWN(ROUND(BV124,6),0)&amp;"%"&amp;IF(CL124="",""," / "&amp;CL124&amp;"%"),IF(AND(N(BU124)&gt;=99.95,CL124&lt;&gt;"",N(CL124)&lt;100),"Pend. "&amp;CL124&amp;"%",""))))</f>
        <v/>
      </c>
      <c r="AP124" s="40" t="str">
        <f aca="false">IF(OR(OR(NOT(AND(ISNUMBER(E124),ISNUMBER(F124))),$J$2=""),4&gt;MAX(1,Reprogramaciones!$U$15)),"",IF(Reprogramaciones!N$12&gt;=7,"",IF(OR(BW124-N(BV124)&gt;0.05,N(T124)&gt;0),ROUNDDOWN(ROUND(BW124,6),0)&amp;"%"&amp;IF(CM124="",""," / "&amp;CM124&amp;"%"),IF(AND(N(BV124)&gt;=99.95,CM124&lt;&gt;"",N(CM124)&lt;100),"Pend. "&amp;CM124&amp;"%",""))))</f>
        <v/>
      </c>
      <c r="AQ124" s="40" t="str">
        <f aca="false">IF(OR(OR(NOT(AND(ISNUMBER(E124),ISNUMBER(F124))),$J$2=""),5&gt;MAX(1,Reprogramaciones!$U$15)),"",IF(Reprogramaciones!O$12&gt;=7,"",IF(OR(BX124-N(BW124)&gt;0.05,N(U124)&gt;0),ROUNDDOWN(ROUND(BX124,6),0)&amp;"%"&amp;IF(CN124="",""," / "&amp;CN124&amp;"%"),IF(AND(N(BW124)&gt;=99.95,CN124&lt;&gt;"",N(CN124)&lt;100),"Pend. "&amp;CN124&amp;"%",""))))</f>
        <v/>
      </c>
      <c r="AR124" s="40" t="str">
        <f aca="false">IF(OR(OR(NOT(AND(ISNUMBER(E124),ISNUMBER(F124))),$J$2=""),6&gt;MAX(1,Reprogramaciones!$U$15)),"",IF(Reprogramaciones!P$12&gt;=7,"",IF(OR(BY124-N(BX124)&gt;0.05,N(V124)&gt;0),ROUNDDOWN(ROUND(BY124,6),0)&amp;"%"&amp;IF(CO124="",""," / "&amp;CO124&amp;"%"),IF(AND(N(BX124)&gt;=99.95,CO124&lt;&gt;"",N(CO124)&lt;100),"Pend. "&amp;CO124&amp;"%",""))))</f>
        <v/>
      </c>
      <c r="AS124" s="40" t="str">
        <f aca="false">IF(OR(OR(NOT(AND(ISNUMBER(E124),ISNUMBER(F124))),$J$2=""),7&gt;MAX(1,Reprogramaciones!$U$15)),"",IF(Reprogramaciones!Q$12&gt;=7,"",IF(OR(BZ124-N(BY124)&gt;0.05,N(W124)&gt;0),ROUNDDOWN(ROUND(BZ124,6),0)&amp;"%"&amp;IF(CP124="",""," / "&amp;CP124&amp;"%"),IF(AND(N(BY124)&gt;=99.95,CP124&lt;&gt;"",N(CP124)&lt;100),"Pend. "&amp;CP124&amp;"%",""))))</f>
        <v/>
      </c>
      <c r="AT124" s="40" t="str">
        <f aca="false">IF(OR(OR(NOT(AND(ISNUMBER(E124),ISNUMBER(F124))),$J$2=""),8&gt;MAX(1,Reprogramaciones!$U$15)),"",IF(Reprogramaciones!R$12&gt;=7,"",IF(OR(CA124-N(BZ124)&gt;0.05,N(X124)&gt;0),ROUNDDOWN(ROUND(CA124,6),0)&amp;"%"&amp;IF(CQ124="",""," / "&amp;CQ124&amp;"%"),IF(AND(N(BZ124)&gt;=99.95,CQ124&lt;&gt;"",N(CQ124)&lt;100),"Pend. "&amp;CQ124&amp;"%",""))))</f>
        <v/>
      </c>
      <c r="AU124" s="40" t="str">
        <f aca="false">IF(OR(OR(NOT(AND(ISNUMBER(E124),ISNUMBER(F124))),$J$2=""),9&gt;MAX(1,Reprogramaciones!$U$15)),"",IF(Reprogramaciones!S$12&gt;=7,"",IF(OR(CB124-N(CA124)&gt;0.05,N(Y124)&gt;0),ROUNDDOWN(ROUND(CB124,6),0)&amp;"%"&amp;IF(CR124="",""," / "&amp;CR124&amp;"%"),IF(AND(N(CA124)&gt;=99.95,CR124&lt;&gt;"",N(CR124)&lt;100),"Pend. "&amp;CR124&amp;"%",""))))</f>
        <v/>
      </c>
      <c r="AV124" s="40" t="str">
        <f aca="false">IF(OR(OR(NOT(AND(ISNUMBER(E124),ISNUMBER(F124))),$J$2=""),10&gt;MAX(1,Reprogramaciones!$U$15)),"",IF(Reprogramaciones!T$12&gt;=7,"",IF(OR(CC124-N(CB124)&gt;0.05,N(Z124)&gt;0),ROUNDDOWN(ROUND(CC124,6),0)&amp;"%"&amp;IF(CS124="",""," / "&amp;CS124&amp;"%"),IF(AND(N(CB124)&gt;=99.95,CS124&lt;&gt;"",N(CS124)&lt;100),"Pend. "&amp;CS124&amp;"%",""))))</f>
        <v/>
      </c>
      <c r="AW124" s="40" t="str">
        <f aca="false">IF(OR(OR(NOT(AND(ISNUMBER(E124),ISNUMBER(F124))),$J$2=""),11&gt;MAX(1,Reprogramaciones!$U$15)),"",IF(Reprogramaciones!U$12&gt;=7,"",IF(OR(CD124-N(CC124)&gt;0.05,N(AA124)&gt;0),ROUNDDOWN(ROUND(CD124,6),0)&amp;"%"&amp;IF(CT124="",""," / "&amp;CT124&amp;"%"),IF(AND(N(CC124)&gt;=99.95,CT124&lt;&gt;"",N(CT124)&lt;100),"Pend. "&amp;CT124&amp;"%",""))))</f>
        <v/>
      </c>
      <c r="AX124" s="40" t="str">
        <f aca="false">IF(OR(OR(NOT(AND(ISNUMBER(E124),ISNUMBER(F124))),$J$2=""),12&gt;MAX(1,Reprogramaciones!$U$15)),"",IF(Reprogramaciones!V$12&gt;=7,"",IF(OR(CE124-N(CD124)&gt;0.05,N(AB124)&gt;0),ROUNDDOWN(ROUND(CE124,6),0)&amp;"%"&amp;IF(CU124="",""," / "&amp;CU124&amp;"%"),IF(AND(N(CD124)&gt;=99.95,CU124&lt;&gt;"",N(CU124)&lt;100),"Pend. "&amp;CU124&amp;"%",""))))</f>
        <v/>
      </c>
      <c r="AY124" s="40" t="str">
        <f aca="false">IF(OR(OR(NOT(AND(ISNUMBER(E124),ISNUMBER(F124))),$J$2=""),13&gt;MAX(1,Reprogramaciones!$U$15)),"",IF(Reprogramaciones!W$12&gt;=7,"",IF(OR(CF124-N(CE124)&gt;0.05,N(AC124)&gt;0),ROUNDDOWN(ROUND(CF124,6),0)&amp;"%"&amp;IF(CV124="",""," / "&amp;CV124&amp;"%"),IF(AND(N(CE124)&gt;=99.95,CV124&lt;&gt;"",N(CV124)&lt;100),"Pend. "&amp;CV124&amp;"%",""))))</f>
        <v/>
      </c>
      <c r="AZ124" s="40" t="str">
        <f aca="false">IF(OR(OR(NOT(AND(ISNUMBER(E124),ISNUMBER(F124))),$J$2=""),14&gt;MAX(1,Reprogramaciones!$U$15)),"",IF(Reprogramaciones!X$12&gt;=7,"",IF(OR(CG124-N(CF124)&gt;0.05,N(AD124)&gt;0),ROUNDDOWN(ROUND(CG124,6),0)&amp;"%"&amp;IF(CW124="",""," / "&amp;CW124&amp;"%"),IF(AND(N(CF124)&gt;=99.95,CW124&lt;&gt;"",N(CW124)&lt;100),"Pend. "&amp;CW124&amp;"%",""))))</f>
        <v/>
      </c>
      <c r="BA124" s="40" t="str">
        <f aca="false">IF(OR(OR(NOT(AND(ISNUMBER(E124),ISNUMBER(F124))),$J$2=""),15&gt;MAX(1,Reprogramaciones!$U$15)),"",IF(Reprogramaciones!Y$12&gt;=7,"",IF(OR(CH124-N(CG124)&gt;0.05,N(AE124)&gt;0),ROUNDDOWN(ROUND(CH124,6),0)&amp;"%"&amp;IF(CX124="",""," / "&amp;CX124&amp;"%"),IF(AND(N(CG124)&gt;=99.95,CX124&lt;&gt;"",N(CX124)&lt;100),"Pend. "&amp;CX124&amp;"%",""))))</f>
        <v/>
      </c>
      <c r="BB124" s="40" t="str">
        <f aca="false">IF(OR(OR(NOT(AND(ISNUMBER(E124),ISNUMBER(F124))),$J$2=""),16&gt;MAX(1,Reprogramaciones!$U$15)),"",IF(Reprogramaciones!Z$12&gt;=7,"",IF(OR(CI124-N(CH124)&gt;0.05,N(AF124)&gt;0),ROUNDDOWN(ROUND(CI124,6),0)&amp;"%"&amp;IF(CY124="",""," / "&amp;CY124&amp;"%"),IF(AND(N(CH124)&gt;=99.95,CY124&lt;&gt;"",N(CY124)&lt;100),"Pend. "&amp;CY124&amp;"%",""))))</f>
        <v/>
      </c>
      <c r="BC124" s="31" t="n">
        <f aca="false">IF(AND(ISNUMBER(E124),ISNUMBER(F124)),MAX(1,NETWORKDAYS.INTL(E124,F124,11)),0)</f>
        <v>0</v>
      </c>
      <c r="BD124" s="1" t="str">
        <f aca="false">IF(OR(NOT(AND(ISNUMBER(E124),ISNUMBER(F124))),$J$2=""),"",MIN(100,ROUND(SUM($G124:G124),1)))</f>
        <v/>
      </c>
      <c r="BE124" s="1" t="str">
        <f aca="false">IF(OR(NOT(AND(ISNUMBER(E124),ISNUMBER(F124))),$J$2=""),"",MIN(100,ROUND(SUM($G124:H124),1)))</f>
        <v/>
      </c>
      <c r="BF124" s="1" t="str">
        <f aca="false">IF(OR(NOT(AND(ISNUMBER(E124),ISNUMBER(F124))),$J$2=""),"",MIN(100,ROUND(SUM($G124:I124),1)))</f>
        <v/>
      </c>
      <c r="BG124" s="1" t="str">
        <f aca="false">IF(OR(NOT(AND(ISNUMBER(E124),ISNUMBER(F124))),$J$2=""),"",MIN(100,ROUND(SUM($G124:J124),1)))</f>
        <v/>
      </c>
      <c r="BH124" s="1" t="str">
        <f aca="false">IF(OR(NOT(AND(ISNUMBER(E124),ISNUMBER(F124))),$J$2=""),"",MIN(100,ROUND(SUM($G124:K124),1)))</f>
        <v/>
      </c>
      <c r="BI124" s="1" t="str">
        <f aca="false">IF(OR(NOT(AND(ISNUMBER(E124),ISNUMBER(F124))),$J$2=""),"",MIN(100,ROUND(SUM($G124:L124),1)))</f>
        <v/>
      </c>
      <c r="BJ124" s="1" t="str">
        <f aca="false">IF(OR(NOT(AND(ISNUMBER(E124),ISNUMBER(F124))),$J$2=""),"",MIN(100,ROUND(SUM($G124:M124),1)))</f>
        <v/>
      </c>
      <c r="BK124" s="1" t="str">
        <f aca="false">IF(OR(NOT(AND(ISNUMBER(E124),ISNUMBER(F124))),$J$2=""),"",MIN(100,ROUND(SUM($G124:N124),1)))</f>
        <v/>
      </c>
      <c r="BL124" s="1" t="str">
        <f aca="false">IF(OR(NOT(AND(ISNUMBER(E124),ISNUMBER(F124))),$J$2=""),"",MIN(100,ROUND(SUM($G124:O124),1)))</f>
        <v/>
      </c>
      <c r="BM124" s="1" t="str">
        <f aca="false">IF(OR(NOT(AND(ISNUMBER(E124),ISNUMBER(F124))),$J$2=""),"",MIN(100,ROUND(SUM($G124:P124),1)))</f>
        <v/>
      </c>
      <c r="BN124" s="1" t="str">
        <f aca="false">IF(OR(NOT(AND(ISNUMBER(E124),ISNUMBER(F124))),$J$2=""),"",MIN(100,ROUND(SUM($G124:P124),1)))</f>
        <v/>
      </c>
      <c r="BO124" s="1" t="str">
        <f aca="false">IF(OR(NOT(AND(ISNUMBER(E124),ISNUMBER(F124))),$J$2=""),"",MIN(100,ROUND(SUM($G124:P124),1)))</f>
        <v/>
      </c>
      <c r="BP124" s="1" t="str">
        <f aca="false">IF(OR(NOT(AND(ISNUMBER(E124),ISNUMBER(F124))),$J$2=""),"",MIN(100,ROUND(SUM($G124:P124),1)))</f>
        <v/>
      </c>
      <c r="BQ124" s="1" t="str">
        <f aca="false">IF(OR(NOT(AND(ISNUMBER(E124),ISNUMBER(F124))),$J$2=""),"",MIN(100,ROUND(SUM($G124:P124),1)))</f>
        <v/>
      </c>
      <c r="BR124" s="1" t="str">
        <f aca="false">IF(OR(NOT(AND(ISNUMBER(E124),ISNUMBER(F124))),$J$2=""),"",MIN(100,ROUND(SUM($G124:P124),1)))</f>
        <v/>
      </c>
      <c r="BS124" s="1" t="str">
        <f aca="false">IF(OR(NOT(AND(ISNUMBER(E124),ISNUMBER(F124))),$J$2=""),"",MIN(100,ROUND(SUM($G124:P124),1)))</f>
        <v/>
      </c>
      <c r="BT124" s="1" t="str">
        <f aca="false">IF(OR(NOT(AND(ISNUMBER(E124),ISNUMBER(F124))),$J$2=""),"",IF(Reprogramaciones!K$13&lt;Reprogramaciones!$T$15,0,IF(Reprogramaciones!K$14&gt;10,MIN(100,SUM($G124:$P124)),MIN(100,SUMPRODUCT((COLUMN($G124:$P124)-COLUMN($G124)+1&lt;Reprogramaciones!K$14)*$G124:$P124)+N(INDEX($G124:$P124,1,Reprogramaciones!K$14))*IF(Reprogramaciones!K$13&gt;=(Reprogramaciones!$T$15+7*(Reprogramaciones!K$14-1))+6,1,IF(MAX(0,NETWORKDAYS.INTL(MAX(E124,(Reprogramaciones!$T$15+7*(Reprogramaciones!K$14-1))),MIN(F124,(Reprogramaciones!$T$15+7*(Reprogramaciones!K$14-1))+6),11))=0,0,MAX(0,NETWORKDAYS.INTL(MAX(E124,(Reprogramaciones!$T$15+7*(Reprogramaciones!K$14-1))),MIN(F124,Reprogramaciones!K$13),11))/MAX(0,NETWORKDAYS.INTL(MAX(E124,(Reprogramaciones!$T$15+7*(Reprogramaciones!K$14-1))),MIN(F124,(Reprogramaciones!$T$15+7*(Reprogramaciones!K$14-1))+6),11))))))))</f>
        <v/>
      </c>
      <c r="BU124" s="1" t="str">
        <f aca="false">IF(OR(NOT(AND(ISNUMBER(E124),ISNUMBER(F124))),$J$2=""),"",IF(Reprogramaciones!L$13&lt;Reprogramaciones!$T$15,0,IF(Reprogramaciones!L$14&gt;10,MIN(100,SUM($G124:$P124)),MIN(100,SUMPRODUCT((COLUMN($G124:$P124)-COLUMN($G124)+1&lt;Reprogramaciones!L$14)*$G124:$P124)+N(INDEX($G124:$P124,1,Reprogramaciones!L$14))*IF(Reprogramaciones!L$13&gt;=(Reprogramaciones!$T$15+7*(Reprogramaciones!L$14-1))+6,1,IF(MAX(0,NETWORKDAYS.INTL(MAX(E124,(Reprogramaciones!$T$15+7*(Reprogramaciones!L$14-1))),MIN(F124,(Reprogramaciones!$T$15+7*(Reprogramaciones!L$14-1))+6),11))=0,0,MAX(0,NETWORKDAYS.INTL(MAX(E124,(Reprogramaciones!$T$15+7*(Reprogramaciones!L$14-1))),MIN(F124,Reprogramaciones!L$13),11))/MAX(0,NETWORKDAYS.INTL(MAX(E124,(Reprogramaciones!$T$15+7*(Reprogramaciones!L$14-1))),MIN(F124,(Reprogramaciones!$T$15+7*(Reprogramaciones!L$14-1))+6),11))))))))</f>
        <v/>
      </c>
      <c r="BV124" s="1" t="str">
        <f aca="false">IF(OR(NOT(AND(ISNUMBER(E124),ISNUMBER(F124))),$J$2=""),"",IF(Reprogramaciones!M$13&lt;Reprogramaciones!$T$15,0,IF(Reprogramaciones!M$14&gt;10,MIN(100,SUM($G124:$P124)),MIN(100,SUMPRODUCT((COLUMN($G124:$P124)-COLUMN($G124)+1&lt;Reprogramaciones!M$14)*$G124:$P124)+N(INDEX($G124:$P124,1,Reprogramaciones!M$14))*IF(Reprogramaciones!M$13&gt;=(Reprogramaciones!$T$15+7*(Reprogramaciones!M$14-1))+6,1,IF(MAX(0,NETWORKDAYS.INTL(MAX(E124,(Reprogramaciones!$T$15+7*(Reprogramaciones!M$14-1))),MIN(F124,(Reprogramaciones!$T$15+7*(Reprogramaciones!M$14-1))+6),11))=0,0,MAX(0,NETWORKDAYS.INTL(MAX(E124,(Reprogramaciones!$T$15+7*(Reprogramaciones!M$14-1))),MIN(F124,Reprogramaciones!M$13),11))/MAX(0,NETWORKDAYS.INTL(MAX(E124,(Reprogramaciones!$T$15+7*(Reprogramaciones!M$14-1))),MIN(F124,(Reprogramaciones!$T$15+7*(Reprogramaciones!M$14-1))+6),11))))))))</f>
        <v/>
      </c>
      <c r="BW124" s="1" t="str">
        <f aca="false">IF(OR(NOT(AND(ISNUMBER(E124),ISNUMBER(F124))),$J$2=""),"",IF(Reprogramaciones!N$13&lt;Reprogramaciones!$T$15,0,IF(Reprogramaciones!N$14&gt;10,MIN(100,SUM($G124:$P124)),MIN(100,SUMPRODUCT((COLUMN($G124:$P124)-COLUMN($G124)+1&lt;Reprogramaciones!N$14)*$G124:$P124)+N(INDEX($G124:$P124,1,Reprogramaciones!N$14))*IF(Reprogramaciones!N$13&gt;=(Reprogramaciones!$T$15+7*(Reprogramaciones!N$14-1))+6,1,IF(MAX(0,NETWORKDAYS.INTL(MAX(E124,(Reprogramaciones!$T$15+7*(Reprogramaciones!N$14-1))),MIN(F124,(Reprogramaciones!$T$15+7*(Reprogramaciones!N$14-1))+6),11))=0,0,MAX(0,NETWORKDAYS.INTL(MAX(E124,(Reprogramaciones!$T$15+7*(Reprogramaciones!N$14-1))),MIN(F124,Reprogramaciones!N$13),11))/MAX(0,NETWORKDAYS.INTL(MAX(E124,(Reprogramaciones!$T$15+7*(Reprogramaciones!N$14-1))),MIN(F124,(Reprogramaciones!$T$15+7*(Reprogramaciones!N$14-1))+6),11))))))))</f>
        <v/>
      </c>
      <c r="BX124" s="1" t="str">
        <f aca="false">IF(OR(NOT(AND(ISNUMBER(E124),ISNUMBER(F124))),$J$2=""),"",IF(Reprogramaciones!O$13&lt;Reprogramaciones!$T$15,0,IF(Reprogramaciones!O$14&gt;10,MIN(100,SUM($G124:$P124)),MIN(100,SUMPRODUCT((COLUMN($G124:$P124)-COLUMN($G124)+1&lt;Reprogramaciones!O$14)*$G124:$P124)+N(INDEX($G124:$P124,1,Reprogramaciones!O$14))*IF(Reprogramaciones!O$13&gt;=(Reprogramaciones!$T$15+7*(Reprogramaciones!O$14-1))+6,1,IF(MAX(0,NETWORKDAYS.INTL(MAX(E124,(Reprogramaciones!$T$15+7*(Reprogramaciones!O$14-1))),MIN(F124,(Reprogramaciones!$T$15+7*(Reprogramaciones!O$14-1))+6),11))=0,0,MAX(0,NETWORKDAYS.INTL(MAX(E124,(Reprogramaciones!$T$15+7*(Reprogramaciones!O$14-1))),MIN(F124,Reprogramaciones!O$13),11))/MAX(0,NETWORKDAYS.INTL(MAX(E124,(Reprogramaciones!$T$15+7*(Reprogramaciones!O$14-1))),MIN(F124,(Reprogramaciones!$T$15+7*(Reprogramaciones!O$14-1))+6),11))))))))</f>
        <v/>
      </c>
      <c r="BY124" s="1" t="str">
        <f aca="false">IF(OR(NOT(AND(ISNUMBER(E124),ISNUMBER(F124))),$J$2=""),"",IF(Reprogramaciones!P$13&lt;Reprogramaciones!$T$15,0,IF(Reprogramaciones!P$14&gt;10,MIN(100,SUM($G124:$P124)),MIN(100,SUMPRODUCT((COLUMN($G124:$P124)-COLUMN($G124)+1&lt;Reprogramaciones!P$14)*$G124:$P124)+N(INDEX($G124:$P124,1,Reprogramaciones!P$14))*IF(Reprogramaciones!P$13&gt;=(Reprogramaciones!$T$15+7*(Reprogramaciones!P$14-1))+6,1,IF(MAX(0,NETWORKDAYS.INTL(MAX(E124,(Reprogramaciones!$T$15+7*(Reprogramaciones!P$14-1))),MIN(F124,(Reprogramaciones!$T$15+7*(Reprogramaciones!P$14-1))+6),11))=0,0,MAX(0,NETWORKDAYS.INTL(MAX(E124,(Reprogramaciones!$T$15+7*(Reprogramaciones!P$14-1))),MIN(F124,Reprogramaciones!P$13),11))/MAX(0,NETWORKDAYS.INTL(MAX(E124,(Reprogramaciones!$T$15+7*(Reprogramaciones!P$14-1))),MIN(F124,(Reprogramaciones!$T$15+7*(Reprogramaciones!P$14-1))+6),11))))))))</f>
        <v/>
      </c>
      <c r="BZ124" s="1" t="str">
        <f aca="false">IF(OR(NOT(AND(ISNUMBER(E124),ISNUMBER(F124))),$J$2=""),"",IF(Reprogramaciones!Q$13&lt;Reprogramaciones!$T$15,0,IF(Reprogramaciones!Q$14&gt;10,MIN(100,SUM($G124:$P124)),MIN(100,SUMPRODUCT((COLUMN($G124:$P124)-COLUMN($G124)+1&lt;Reprogramaciones!Q$14)*$G124:$P124)+N(INDEX($G124:$P124,1,Reprogramaciones!Q$14))*IF(Reprogramaciones!Q$13&gt;=(Reprogramaciones!$T$15+7*(Reprogramaciones!Q$14-1))+6,1,IF(MAX(0,NETWORKDAYS.INTL(MAX(E124,(Reprogramaciones!$T$15+7*(Reprogramaciones!Q$14-1))),MIN(F124,(Reprogramaciones!$T$15+7*(Reprogramaciones!Q$14-1))+6),11))=0,0,MAX(0,NETWORKDAYS.INTL(MAX(E124,(Reprogramaciones!$T$15+7*(Reprogramaciones!Q$14-1))),MIN(F124,Reprogramaciones!Q$13),11))/MAX(0,NETWORKDAYS.INTL(MAX(E124,(Reprogramaciones!$T$15+7*(Reprogramaciones!Q$14-1))),MIN(F124,(Reprogramaciones!$T$15+7*(Reprogramaciones!Q$14-1))+6),11))))))))</f>
        <v/>
      </c>
      <c r="CA124" s="1" t="str">
        <f aca="false">IF(OR(NOT(AND(ISNUMBER(E124),ISNUMBER(F124))),$J$2=""),"",IF(Reprogramaciones!R$13&lt;Reprogramaciones!$T$15,0,IF(Reprogramaciones!R$14&gt;10,MIN(100,SUM($G124:$P124)),MIN(100,SUMPRODUCT((COLUMN($G124:$P124)-COLUMN($G124)+1&lt;Reprogramaciones!R$14)*$G124:$P124)+N(INDEX($G124:$P124,1,Reprogramaciones!R$14))*IF(Reprogramaciones!R$13&gt;=(Reprogramaciones!$T$15+7*(Reprogramaciones!R$14-1))+6,1,IF(MAX(0,NETWORKDAYS.INTL(MAX(E124,(Reprogramaciones!$T$15+7*(Reprogramaciones!R$14-1))),MIN(F124,(Reprogramaciones!$T$15+7*(Reprogramaciones!R$14-1))+6),11))=0,0,MAX(0,NETWORKDAYS.INTL(MAX(E124,(Reprogramaciones!$T$15+7*(Reprogramaciones!R$14-1))),MIN(F124,Reprogramaciones!R$13),11))/MAX(0,NETWORKDAYS.INTL(MAX(E124,(Reprogramaciones!$T$15+7*(Reprogramaciones!R$14-1))),MIN(F124,(Reprogramaciones!$T$15+7*(Reprogramaciones!R$14-1))+6),11))))))))</f>
        <v/>
      </c>
      <c r="CB124" s="1" t="str">
        <f aca="false">IF(OR(NOT(AND(ISNUMBER(E124),ISNUMBER(F124))),$J$2=""),"",IF(Reprogramaciones!S$13&lt;Reprogramaciones!$T$15,0,IF(Reprogramaciones!S$14&gt;10,MIN(100,SUM($G124:$P124)),MIN(100,SUMPRODUCT((COLUMN($G124:$P124)-COLUMN($G124)+1&lt;Reprogramaciones!S$14)*$G124:$P124)+N(INDEX($G124:$P124,1,Reprogramaciones!S$14))*IF(Reprogramaciones!S$13&gt;=(Reprogramaciones!$T$15+7*(Reprogramaciones!S$14-1))+6,1,IF(MAX(0,NETWORKDAYS.INTL(MAX(E124,(Reprogramaciones!$T$15+7*(Reprogramaciones!S$14-1))),MIN(F124,(Reprogramaciones!$T$15+7*(Reprogramaciones!S$14-1))+6),11))=0,0,MAX(0,NETWORKDAYS.INTL(MAX(E124,(Reprogramaciones!$T$15+7*(Reprogramaciones!S$14-1))),MIN(F124,Reprogramaciones!S$13),11))/MAX(0,NETWORKDAYS.INTL(MAX(E124,(Reprogramaciones!$T$15+7*(Reprogramaciones!S$14-1))),MIN(F124,(Reprogramaciones!$T$15+7*(Reprogramaciones!S$14-1))+6),11))))))))</f>
        <v/>
      </c>
      <c r="CC124" s="1" t="str">
        <f aca="false">IF(OR(NOT(AND(ISNUMBER(E124),ISNUMBER(F124))),$J$2=""),"",IF(Reprogramaciones!T$13&lt;Reprogramaciones!$T$15,0,IF(Reprogramaciones!T$14&gt;10,MIN(100,SUM($G124:$P124)),MIN(100,SUMPRODUCT((COLUMN($G124:$P124)-COLUMN($G124)+1&lt;Reprogramaciones!T$14)*$G124:$P124)+N(INDEX($G124:$P124,1,Reprogramaciones!T$14))*IF(Reprogramaciones!T$13&gt;=(Reprogramaciones!$T$15+7*(Reprogramaciones!T$14-1))+6,1,IF(MAX(0,NETWORKDAYS.INTL(MAX(E124,(Reprogramaciones!$T$15+7*(Reprogramaciones!T$14-1))),MIN(F124,(Reprogramaciones!$T$15+7*(Reprogramaciones!T$14-1))+6),11))=0,0,MAX(0,NETWORKDAYS.INTL(MAX(E124,(Reprogramaciones!$T$15+7*(Reprogramaciones!T$14-1))),MIN(F124,Reprogramaciones!T$13),11))/MAX(0,NETWORKDAYS.INTL(MAX(E124,(Reprogramaciones!$T$15+7*(Reprogramaciones!T$14-1))),MIN(F124,(Reprogramaciones!$T$15+7*(Reprogramaciones!T$14-1))+6),11))))))))</f>
        <v/>
      </c>
      <c r="CD124" s="1" t="str">
        <f aca="false">IF(OR(NOT(AND(ISNUMBER(E124),ISNUMBER(F124))),$J$2=""),"",IF(Reprogramaciones!U$13&lt;Reprogramaciones!$T$15,0,IF(Reprogramaciones!U$14&gt;10,MIN(100,SUM($G124:$P124)),MIN(100,SUMPRODUCT((COLUMN($G124:$P124)-COLUMN($G124)+1&lt;Reprogramaciones!U$14)*$G124:$P124)+N(INDEX($G124:$P124,1,Reprogramaciones!U$14))*IF(Reprogramaciones!U$13&gt;=(Reprogramaciones!$T$15+7*(Reprogramaciones!U$14-1))+6,1,IF(MAX(0,NETWORKDAYS.INTL(MAX(E124,(Reprogramaciones!$T$15+7*(Reprogramaciones!U$14-1))),MIN(F124,(Reprogramaciones!$T$15+7*(Reprogramaciones!U$14-1))+6),11))=0,0,MAX(0,NETWORKDAYS.INTL(MAX(E124,(Reprogramaciones!$T$15+7*(Reprogramaciones!U$14-1))),MIN(F124,Reprogramaciones!U$13),11))/MAX(0,NETWORKDAYS.INTL(MAX(E124,(Reprogramaciones!$T$15+7*(Reprogramaciones!U$14-1))),MIN(F124,(Reprogramaciones!$T$15+7*(Reprogramaciones!U$14-1))+6),11))))))))</f>
        <v/>
      </c>
      <c r="CE124" s="1" t="str">
        <f aca="false">IF(OR(NOT(AND(ISNUMBER(E124),ISNUMBER(F124))),$J$2=""),"",IF(Reprogramaciones!V$13&lt;Reprogramaciones!$T$15,0,IF(Reprogramaciones!V$14&gt;10,MIN(100,SUM($G124:$P124)),MIN(100,SUMPRODUCT((COLUMN($G124:$P124)-COLUMN($G124)+1&lt;Reprogramaciones!V$14)*$G124:$P124)+N(INDEX($G124:$P124,1,Reprogramaciones!V$14))*IF(Reprogramaciones!V$13&gt;=(Reprogramaciones!$T$15+7*(Reprogramaciones!V$14-1))+6,1,IF(MAX(0,NETWORKDAYS.INTL(MAX(E124,(Reprogramaciones!$T$15+7*(Reprogramaciones!V$14-1))),MIN(F124,(Reprogramaciones!$T$15+7*(Reprogramaciones!V$14-1))+6),11))=0,0,MAX(0,NETWORKDAYS.INTL(MAX(E124,(Reprogramaciones!$T$15+7*(Reprogramaciones!V$14-1))),MIN(F124,Reprogramaciones!V$13),11))/MAX(0,NETWORKDAYS.INTL(MAX(E124,(Reprogramaciones!$T$15+7*(Reprogramaciones!V$14-1))),MIN(F124,(Reprogramaciones!$T$15+7*(Reprogramaciones!V$14-1))+6),11))))))))</f>
        <v/>
      </c>
      <c r="CF124" s="1" t="str">
        <f aca="false">IF(OR(NOT(AND(ISNUMBER(E124),ISNUMBER(F124))),$J$2=""),"",IF(Reprogramaciones!W$13&lt;Reprogramaciones!$T$15,0,IF(Reprogramaciones!W$14&gt;10,MIN(100,SUM($G124:$P124)),MIN(100,SUMPRODUCT((COLUMN($G124:$P124)-COLUMN($G124)+1&lt;Reprogramaciones!W$14)*$G124:$P124)+N(INDEX($G124:$P124,1,Reprogramaciones!W$14))*IF(Reprogramaciones!W$13&gt;=(Reprogramaciones!$T$15+7*(Reprogramaciones!W$14-1))+6,1,IF(MAX(0,NETWORKDAYS.INTL(MAX(E124,(Reprogramaciones!$T$15+7*(Reprogramaciones!W$14-1))),MIN(F124,(Reprogramaciones!$T$15+7*(Reprogramaciones!W$14-1))+6),11))=0,0,MAX(0,NETWORKDAYS.INTL(MAX(E124,(Reprogramaciones!$T$15+7*(Reprogramaciones!W$14-1))),MIN(F124,Reprogramaciones!W$13),11))/MAX(0,NETWORKDAYS.INTL(MAX(E124,(Reprogramaciones!$T$15+7*(Reprogramaciones!W$14-1))),MIN(F124,(Reprogramaciones!$T$15+7*(Reprogramaciones!W$14-1))+6),11))))))))</f>
        <v/>
      </c>
      <c r="CG124" s="1" t="str">
        <f aca="false">IF(OR(NOT(AND(ISNUMBER(E124),ISNUMBER(F124))),$J$2=""),"",IF(Reprogramaciones!X$13&lt;Reprogramaciones!$T$15,0,IF(Reprogramaciones!X$14&gt;10,MIN(100,SUM($G124:$P124)),MIN(100,SUMPRODUCT((COLUMN($G124:$P124)-COLUMN($G124)+1&lt;Reprogramaciones!X$14)*$G124:$P124)+N(INDEX($G124:$P124,1,Reprogramaciones!X$14))*IF(Reprogramaciones!X$13&gt;=(Reprogramaciones!$T$15+7*(Reprogramaciones!X$14-1))+6,1,IF(MAX(0,NETWORKDAYS.INTL(MAX(E124,(Reprogramaciones!$T$15+7*(Reprogramaciones!X$14-1))),MIN(F124,(Reprogramaciones!$T$15+7*(Reprogramaciones!X$14-1))+6),11))=0,0,MAX(0,NETWORKDAYS.INTL(MAX(E124,(Reprogramaciones!$T$15+7*(Reprogramaciones!X$14-1))),MIN(F124,Reprogramaciones!X$13),11))/MAX(0,NETWORKDAYS.INTL(MAX(E124,(Reprogramaciones!$T$15+7*(Reprogramaciones!X$14-1))),MIN(F124,(Reprogramaciones!$T$15+7*(Reprogramaciones!X$14-1))+6),11))))))))</f>
        <v/>
      </c>
      <c r="CH124" s="1" t="str">
        <f aca="false">IF(OR(NOT(AND(ISNUMBER(E124),ISNUMBER(F124))),$J$2=""),"",IF(Reprogramaciones!Y$13&lt;Reprogramaciones!$T$15,0,IF(Reprogramaciones!Y$14&gt;10,MIN(100,SUM($G124:$P124)),MIN(100,SUMPRODUCT((COLUMN($G124:$P124)-COLUMN($G124)+1&lt;Reprogramaciones!Y$14)*$G124:$P124)+N(INDEX($G124:$P124,1,Reprogramaciones!Y$14))*IF(Reprogramaciones!Y$13&gt;=(Reprogramaciones!$T$15+7*(Reprogramaciones!Y$14-1))+6,1,IF(MAX(0,NETWORKDAYS.INTL(MAX(E124,(Reprogramaciones!$T$15+7*(Reprogramaciones!Y$14-1))),MIN(F124,(Reprogramaciones!$T$15+7*(Reprogramaciones!Y$14-1))+6),11))=0,0,MAX(0,NETWORKDAYS.INTL(MAX(E124,(Reprogramaciones!$T$15+7*(Reprogramaciones!Y$14-1))),MIN(F124,Reprogramaciones!Y$13),11))/MAX(0,NETWORKDAYS.INTL(MAX(E124,(Reprogramaciones!$T$15+7*(Reprogramaciones!Y$14-1))),MIN(F124,(Reprogramaciones!$T$15+7*(Reprogramaciones!Y$14-1))+6),11))))))))</f>
        <v/>
      </c>
      <c r="CI124" s="1" t="str">
        <f aca="false">IF(OR(NOT(AND(ISNUMBER(E124),ISNUMBER(F124))),$J$2=""),"",IF(Reprogramaciones!Z$13&lt;Reprogramaciones!$T$15,0,IF(Reprogramaciones!Z$14&gt;10,MIN(100,SUM($G124:$P124)),MIN(100,SUMPRODUCT((COLUMN($G124:$P124)-COLUMN($G124)+1&lt;Reprogramaciones!Z$14)*$G124:$P124)+N(INDEX($G124:$P124,1,Reprogramaciones!Z$14))*IF(Reprogramaciones!Z$13&gt;=(Reprogramaciones!$T$15+7*(Reprogramaciones!Z$14-1))+6,1,IF(MAX(0,NETWORKDAYS.INTL(MAX(E124,(Reprogramaciones!$T$15+7*(Reprogramaciones!Z$14-1))),MIN(F124,(Reprogramaciones!$T$15+7*(Reprogramaciones!Z$14-1))+6),11))=0,0,MAX(0,NETWORKDAYS.INTL(MAX(E124,(Reprogramaciones!$T$15+7*(Reprogramaciones!Z$14-1))),MIN(F124,Reprogramaciones!Z$13),11))/MAX(0,NETWORKDAYS.INTL(MAX(E124,(Reprogramaciones!$T$15+7*(Reprogramaciones!Z$14-1))),MIN(F124,(Reprogramaciones!$T$15+7*(Reprogramaciones!Z$14-1))+6),11))))))))</f>
        <v/>
      </c>
      <c r="CJ124" s="1" t="str">
        <f aca="false">IF(OR(OR(NOT(AND(ISNUMBER(E124),ISNUMBER(F124))),$J$2=""),1&gt;Reprogramaciones!$K$16),"",IF(ROUND(SUM($Q124:Q124),1)&gt;=99.5,100,MIN(100,ROUND(SUM($Q124:Q124),1))))</f>
        <v/>
      </c>
      <c r="CK124" s="1" t="str">
        <f aca="false">IF(OR(OR(NOT(AND(ISNUMBER(E124),ISNUMBER(F124))),$J$2=""),2&gt;Reprogramaciones!$K$16),"",IF(ROUND(SUM($Q124:R124),1)&gt;=99.5,100,MIN(100,ROUND(SUM($Q124:R124),1))))</f>
        <v/>
      </c>
      <c r="CL124" s="1" t="str">
        <f aca="false">IF(OR(OR(NOT(AND(ISNUMBER(E124),ISNUMBER(F124))),$J$2=""),3&gt;Reprogramaciones!$K$16),"",IF(ROUND(SUM($Q124:S124),1)&gt;=99.5,100,MIN(100,ROUND(SUM($Q124:S124),1))))</f>
        <v/>
      </c>
      <c r="CM124" s="1" t="str">
        <f aca="false">IF(OR(OR(NOT(AND(ISNUMBER(E124),ISNUMBER(F124))),$J$2=""),4&gt;Reprogramaciones!$K$16),"",IF(ROUND(SUM($Q124:T124),1)&gt;=99.5,100,MIN(100,ROUND(SUM($Q124:T124),1))))</f>
        <v/>
      </c>
      <c r="CN124" s="1" t="str">
        <f aca="false">IF(OR(OR(NOT(AND(ISNUMBER(E124),ISNUMBER(F124))),$J$2=""),5&gt;Reprogramaciones!$K$16),"",IF(ROUND(SUM($Q124:U124),1)&gt;=99.5,100,MIN(100,ROUND(SUM($Q124:U124),1))))</f>
        <v/>
      </c>
      <c r="CO124" s="1" t="str">
        <f aca="false">IF(OR(OR(NOT(AND(ISNUMBER(E124),ISNUMBER(F124))),$J$2=""),6&gt;Reprogramaciones!$K$16),"",IF(ROUND(SUM($Q124:V124),1)&gt;=99.5,100,MIN(100,ROUND(SUM($Q124:V124),1))))</f>
        <v/>
      </c>
      <c r="CP124" s="1" t="str">
        <f aca="false">IF(OR(OR(NOT(AND(ISNUMBER(E124),ISNUMBER(F124))),$J$2=""),7&gt;Reprogramaciones!$K$16),"",IF(ROUND(SUM($Q124:W124),1)&gt;=99.5,100,MIN(100,ROUND(SUM($Q124:W124),1))))</f>
        <v/>
      </c>
      <c r="CQ124" s="1" t="str">
        <f aca="false">IF(OR(OR(NOT(AND(ISNUMBER(E124),ISNUMBER(F124))),$J$2=""),8&gt;Reprogramaciones!$K$16),"",IF(ROUND(SUM($Q124:X124),1)&gt;=99.5,100,MIN(100,ROUND(SUM($Q124:X124),1))))</f>
        <v/>
      </c>
      <c r="CR124" s="1" t="str">
        <f aca="false">IF(OR(OR(NOT(AND(ISNUMBER(E124),ISNUMBER(F124))),$J$2=""),9&gt;Reprogramaciones!$K$16),"",IF(ROUND(SUM($Q124:Y124),1)&gt;=99.5,100,MIN(100,ROUND(SUM($Q124:Y124),1))))</f>
        <v/>
      </c>
      <c r="CS124" s="1" t="str">
        <f aca="false">IF(OR(OR(NOT(AND(ISNUMBER(E124),ISNUMBER(F124))),$J$2=""),10&gt;Reprogramaciones!$K$16),"",IF(ROUND(SUM($Q124:Z124),1)&gt;=99.5,100,MIN(100,ROUND(SUM($Q124:Z124),1))))</f>
        <v/>
      </c>
      <c r="CT124" s="1" t="str">
        <f aca="false">IF(OR(OR(NOT(AND(ISNUMBER(E124),ISNUMBER(F124))),$J$2=""),11&gt;Reprogramaciones!$K$16),"",IF(ROUND(SUM($Q124:AA124),1)&gt;=99.5,100,MIN(100,ROUND(SUM($Q124:AA124),1))))</f>
        <v/>
      </c>
      <c r="CU124" s="1" t="str">
        <f aca="false">IF(OR(OR(NOT(AND(ISNUMBER(E124),ISNUMBER(F124))),$J$2=""),12&gt;Reprogramaciones!$K$16),"",IF(ROUND(SUM($Q124:AB124),1)&gt;=99.5,100,MIN(100,ROUND(SUM($Q124:AB124),1))))</f>
        <v/>
      </c>
      <c r="CV124" s="1" t="str">
        <f aca="false">IF(OR(OR(NOT(AND(ISNUMBER(E124),ISNUMBER(F124))),$J$2=""),13&gt;Reprogramaciones!$K$16),"",IF(ROUND(SUM($Q124:AC124),1)&gt;=99.5,100,MIN(100,ROUND(SUM($Q124:AC124),1))))</f>
        <v/>
      </c>
      <c r="CW124" s="1" t="str">
        <f aca="false">IF(OR(OR(NOT(AND(ISNUMBER(E124),ISNUMBER(F124))),$J$2=""),14&gt;Reprogramaciones!$K$16),"",IF(ROUND(SUM($Q124:AD124),1)&gt;=99.5,100,MIN(100,ROUND(SUM($Q124:AD124),1))))</f>
        <v/>
      </c>
      <c r="CX124" s="1" t="str">
        <f aca="false">IF(OR(OR(NOT(AND(ISNUMBER(E124),ISNUMBER(F124))),$J$2=""),15&gt;Reprogramaciones!$K$16),"",IF(ROUND(SUM($Q124:AE124),1)&gt;=99.5,100,MIN(100,ROUND(SUM($Q124:AE124),1))))</f>
        <v/>
      </c>
      <c r="CY124" s="1" t="str">
        <f aca="false">IF(OR(OR(NOT(AND(ISNUMBER(E124),ISNUMBER(F124))),$J$2=""),16&gt;Reprogramaciones!$K$16),"",IF(ROUND(SUM($Q124:AF124),1)&gt;=99.5,100,MIN(100,ROUND(SUM($Q124:AF124),1))))</f>
        <v/>
      </c>
      <c r="CZ124" s="1" t="str">
        <f aca="false">IF(D124&lt;&gt;"",D124,IF(B124&lt;&gt;"","Contractual",CZ123))</f>
        <v>Contractual</v>
      </c>
      <c r="DA124" s="1" t="str">
        <f aca="false">IF(OR(NOT(AND(ISNUMBER(E124),ISNUMBER(F124))),$J$2=""),"",IF(Reprogramaciones!$Q$15&lt;Reprogramaciones!$T$15,0,IF(Reprogramaciones!$S$15&gt;10,MIN(100,SUM($G124:$P124)),MIN(100,SUMPRODUCT((COLUMN($G124:$P124)-COLUMN($G124)+1&lt;Reprogramaciones!$S$15)*$G124:$P124)+N(INDEX($G124:$P124,1,Reprogramaciones!$S$15))*IF(Reprogramaciones!$Q$15&gt;=(Reprogramaciones!$T$15+7*(Reprogramaciones!$S$15-1))+6,1,IF(MAX(0,NETWORKDAYS.INTL(MAX(E124,(Reprogramaciones!$T$15+7*(Reprogramaciones!$S$15-1))),MIN(F124,(Reprogramaciones!$T$15+7*(Reprogramaciones!$S$15-1))+6),11))=0,0,MAX(0,NETWORKDAYS.INTL(MAX(E124,(Reprogramaciones!$T$15+7*(Reprogramaciones!$S$15-1))),MIN(F124,Reprogramaciones!$Q$15),11))/MAX(0,NETWORKDAYS.INTL(MAX(E124,(Reprogramaciones!$T$15+7*(Reprogramaciones!$S$15-1))),MIN(F124,(Reprogramaciones!$T$15+7*(Reprogramaciones!$S$15-1))+6),11))))))))</f>
        <v/>
      </c>
    </row>
    <row r="125" customFormat="false" ht="15" hidden="false" customHeight="false" outlineLevel="0" collapsed="false">
      <c r="A125" s="32"/>
      <c r="B125" s="33"/>
      <c r="C125" s="33"/>
      <c r="D125" s="34"/>
      <c r="E125" s="35"/>
      <c r="F125" s="35"/>
      <c r="G125" s="36" t="str">
        <f aca="false">IF(OR(NOT(AND(ISNUMBER(E125),ISNUMBER(F125))),$J$2=""),"",IF(Reprogramaciones!K$9&lt;E125,0,IF(NETWORKDAYS.INTL(E125,F125,11)=0,IF(Reprogramaciones!K$9&gt;=F125,100,0),ROUND(NETWORKDAYS.INTL(E125,MIN(F125,Reprogramaciones!K$9),11)/NETWORKDAYS.INTL(E125,F125,11)*100,1)))-0)</f>
        <v/>
      </c>
      <c r="H125" s="36" t="str">
        <f aca="false">IF(OR(NOT(AND(ISNUMBER(E125),ISNUMBER(F125))),$J$2=""),"",IF(Reprogramaciones!L$9&lt;E125,0,IF(NETWORKDAYS.INTL(E125,F125,11)=0,IF(Reprogramaciones!L$9&gt;=F125,100,0),ROUND(NETWORKDAYS.INTL(E125,MIN(F125,Reprogramaciones!L$9),11)/NETWORKDAYS.INTL(E125,F125,11)*100,1)))-IF(Reprogramaciones!K$9&lt;E125,0,IF(NETWORKDAYS.INTL(E125,F125,11)=0,IF(Reprogramaciones!K$9&gt;=F125,100,0),ROUND(NETWORKDAYS.INTL(E125,MIN(F125,Reprogramaciones!K$9),11)/NETWORKDAYS.INTL(E125,F125,11)*100,1))))</f>
        <v/>
      </c>
      <c r="I125" s="36" t="str">
        <f aca="false">IF(OR(NOT(AND(ISNUMBER(E125),ISNUMBER(F125))),$J$2=""),"",IF(Reprogramaciones!M$9&lt;E125,0,IF(NETWORKDAYS.INTL(E125,F125,11)=0,IF(Reprogramaciones!M$9&gt;=F125,100,0),ROUND(NETWORKDAYS.INTL(E125,MIN(F125,Reprogramaciones!M$9),11)/NETWORKDAYS.INTL(E125,F125,11)*100,1)))-IF(Reprogramaciones!L$9&lt;E125,0,IF(NETWORKDAYS.INTL(E125,F125,11)=0,IF(Reprogramaciones!L$9&gt;=F125,100,0),ROUND(NETWORKDAYS.INTL(E125,MIN(F125,Reprogramaciones!L$9),11)/NETWORKDAYS.INTL(E125,F125,11)*100,1))))</f>
        <v/>
      </c>
      <c r="J125" s="36" t="str">
        <f aca="false">IF(OR(NOT(AND(ISNUMBER(E125),ISNUMBER(F125))),$J$2=""),"",IF(Reprogramaciones!N$9&lt;E125,0,IF(NETWORKDAYS.INTL(E125,F125,11)=0,IF(Reprogramaciones!N$9&gt;=F125,100,0),ROUND(NETWORKDAYS.INTL(E125,MIN(F125,Reprogramaciones!N$9),11)/NETWORKDAYS.INTL(E125,F125,11)*100,1)))-IF(Reprogramaciones!M$9&lt;E125,0,IF(NETWORKDAYS.INTL(E125,F125,11)=0,IF(Reprogramaciones!M$9&gt;=F125,100,0),ROUND(NETWORKDAYS.INTL(E125,MIN(F125,Reprogramaciones!M$9),11)/NETWORKDAYS.INTL(E125,F125,11)*100,1))))</f>
        <v/>
      </c>
      <c r="K125" s="36" t="str">
        <f aca="false">IF(OR(NOT(AND(ISNUMBER(E125),ISNUMBER(F125))),$J$2=""),"",IF(Reprogramaciones!O$9&lt;E125,0,IF(NETWORKDAYS.INTL(E125,F125,11)=0,IF(Reprogramaciones!O$9&gt;=F125,100,0),ROUND(NETWORKDAYS.INTL(E125,MIN(F125,Reprogramaciones!O$9),11)/NETWORKDAYS.INTL(E125,F125,11)*100,1)))-IF(Reprogramaciones!N$9&lt;E125,0,IF(NETWORKDAYS.INTL(E125,F125,11)=0,IF(Reprogramaciones!N$9&gt;=F125,100,0),ROUND(NETWORKDAYS.INTL(E125,MIN(F125,Reprogramaciones!N$9),11)/NETWORKDAYS.INTL(E125,F125,11)*100,1))))</f>
        <v/>
      </c>
      <c r="L125" s="36" t="str">
        <f aca="false">IF(OR(NOT(AND(ISNUMBER(E125),ISNUMBER(F125))),$J$2=""),"",IF(Reprogramaciones!P$9&lt;E125,0,IF(NETWORKDAYS.INTL(E125,F125,11)=0,IF(Reprogramaciones!P$9&gt;=F125,100,0),ROUND(NETWORKDAYS.INTL(E125,MIN(F125,Reprogramaciones!P$9),11)/NETWORKDAYS.INTL(E125,F125,11)*100,1)))-IF(Reprogramaciones!O$9&lt;E125,0,IF(NETWORKDAYS.INTL(E125,F125,11)=0,IF(Reprogramaciones!O$9&gt;=F125,100,0),ROUND(NETWORKDAYS.INTL(E125,MIN(F125,Reprogramaciones!O$9),11)/NETWORKDAYS.INTL(E125,F125,11)*100,1))))</f>
        <v/>
      </c>
      <c r="M125" s="36" t="str">
        <f aca="false">IF(OR(NOT(AND(ISNUMBER(E125),ISNUMBER(F125))),$J$2=""),"",IF(Reprogramaciones!Q$9&lt;E125,0,IF(NETWORKDAYS.INTL(E125,F125,11)=0,IF(Reprogramaciones!Q$9&gt;=F125,100,0),ROUND(NETWORKDAYS.INTL(E125,MIN(F125,Reprogramaciones!Q$9),11)/NETWORKDAYS.INTL(E125,F125,11)*100,1)))-IF(Reprogramaciones!P$9&lt;E125,0,IF(NETWORKDAYS.INTL(E125,F125,11)=0,IF(Reprogramaciones!P$9&gt;=F125,100,0),ROUND(NETWORKDAYS.INTL(E125,MIN(F125,Reprogramaciones!P$9),11)/NETWORKDAYS.INTL(E125,F125,11)*100,1))))</f>
        <v/>
      </c>
      <c r="N125" s="36" t="str">
        <f aca="false">IF(OR(NOT(AND(ISNUMBER(E125),ISNUMBER(F125))),$J$2=""),"",IF(Reprogramaciones!R$9&lt;E125,0,IF(NETWORKDAYS.INTL(E125,F125,11)=0,IF(Reprogramaciones!R$9&gt;=F125,100,0),ROUND(NETWORKDAYS.INTL(E125,MIN(F125,Reprogramaciones!R$9),11)/NETWORKDAYS.INTL(E125,F125,11)*100,1)))-IF(Reprogramaciones!Q$9&lt;E125,0,IF(NETWORKDAYS.INTL(E125,F125,11)=0,IF(Reprogramaciones!Q$9&gt;=F125,100,0),ROUND(NETWORKDAYS.INTL(E125,MIN(F125,Reprogramaciones!Q$9),11)/NETWORKDAYS.INTL(E125,F125,11)*100,1))))</f>
        <v/>
      </c>
      <c r="O125" s="36" t="str">
        <f aca="false">IF(OR(NOT(AND(ISNUMBER(E125),ISNUMBER(F125))),$J$2=""),"",IF(Reprogramaciones!S$9&lt;E125,0,IF(NETWORKDAYS.INTL(E125,F125,11)=0,IF(Reprogramaciones!S$9&gt;=F125,100,0),ROUND(NETWORKDAYS.INTL(E125,MIN(F125,Reprogramaciones!S$9),11)/NETWORKDAYS.INTL(E125,F125,11)*100,1)))-IF(Reprogramaciones!R$9&lt;E125,0,IF(NETWORKDAYS.INTL(E125,F125,11)=0,IF(Reprogramaciones!R$9&gt;=F125,100,0),ROUND(NETWORKDAYS.INTL(E125,MIN(F125,Reprogramaciones!R$9),11)/NETWORKDAYS.INTL(E125,F125,11)*100,1))))</f>
        <v/>
      </c>
      <c r="P125" s="36" t="str">
        <f aca="false">IF(OR(NOT(AND(ISNUMBER(E125),ISNUMBER(F125))),$J$2=""),"",IF(Reprogramaciones!T$9&lt;E125,0,IF(NETWORKDAYS.INTL(E125,F125,11)=0,IF(Reprogramaciones!T$9&gt;=F125,100,0),ROUND(NETWORKDAYS.INTL(E125,MIN(F125,Reprogramaciones!T$9),11)/NETWORKDAYS.INTL(E125,F125,11)*100,1)))-IF(Reprogramaciones!S$9&lt;E125,0,IF(NETWORKDAYS.INTL(E125,F125,11)=0,IF(Reprogramaciones!S$9&gt;=F125,100,0),ROUND(NETWORKDAYS.INTL(E125,MIN(F125,Reprogramaciones!S$9),11)/NETWORKDAYS.INTL(E125,F125,11)*100,1))))</f>
        <v/>
      </c>
      <c r="Q125" s="37"/>
      <c r="R125" s="37"/>
      <c r="S125" s="37"/>
      <c r="T125" s="37"/>
      <c r="U125" s="37"/>
      <c r="V125" s="37"/>
      <c r="W125" s="37"/>
      <c r="X125" s="37"/>
      <c r="Y125" s="37"/>
      <c r="Z125" s="37"/>
      <c r="AA125" s="37"/>
      <c r="AB125" s="37"/>
      <c r="AC125" s="37"/>
      <c r="AD125" s="37"/>
      <c r="AE125" s="37"/>
      <c r="AF125" s="37"/>
      <c r="AG125" s="38" t="str">
        <f aca="false">IF(AND(ISNUMBER(E125),ISNUMBER(F125)),NETWORKDAYS.INTL(E125,F125,11),"")</f>
        <v/>
      </c>
      <c r="AH125" s="38" t="str">
        <f aca="false">IF(OR(NOT(AND(ISNUMBER(E125),ISNUMBER(F125))),$J$2=""),"",IF(Reprogramaciones!$P$15&lt;Reprogramaciones!$T$15,0,IF(Reprogramaciones!$R$15&gt;10,MIN(100,SUM($G125:$P125)),MIN(100,SUMPRODUCT((COLUMN($G125:$P125)-COLUMN($G125)+1&lt;Reprogramaciones!$R$15)*$G125:$P125)+N(INDEX($G125:$P125,1,Reprogramaciones!$R$15))*IF(Reprogramaciones!$P$15&gt;=(Reprogramaciones!$T$15+7*(Reprogramaciones!$R$15-1))+6,1,IF(MAX(0,NETWORKDAYS.INTL(MAX(E125,(Reprogramaciones!$T$15+7*(Reprogramaciones!$R$15-1))),MIN(F125,(Reprogramaciones!$T$15+7*(Reprogramaciones!$R$15-1))+6),11))=0,0,MAX(0,NETWORKDAYS.INTL(MAX(E125,(Reprogramaciones!$T$15+7*(Reprogramaciones!$R$15-1))),MIN(F125,Reprogramaciones!$P$15),11))/MAX(0,NETWORKDAYS.INTL(MAX(E125,(Reprogramaciones!$T$15+7*(Reprogramaciones!$R$15-1))),MIN(F125,(Reprogramaciones!$T$15+7*(Reprogramaciones!$R$15-1))+6),11))))))))</f>
        <v/>
      </c>
      <c r="AI125" s="38" t="str">
        <f aca="false">IF(COUNT($Q125:$AF125)=0,"",IF(ROUND(SUM($Q125:$AF125),1)&gt;=99.5,100,MIN(100,ROUND(SUM($Q125:$AF125),1))))</f>
        <v/>
      </c>
      <c r="AJ125" s="38" t="str">
        <f aca="false">IF(OR(AH125="",AI125=""),"",AI125-AH125)</f>
        <v/>
      </c>
      <c r="AK125" s="39" t="str">
        <f aca="true">IF(AH125="","",IF(OR(Ficha!$C$10="Suspendida",Ficha!$C$10="Cancelada"),Ficha!$C$10,IF(AND(AI125&lt;&gt;"",N(AI125)&gt;=100),"Completada",IF(AND(E125&gt;TODAY(),N(AI125)=0),"Por iniciar",IF(N(AI125)+0.5&lt;AH125,"Retrasada",IF(N(AI125)+0.5&lt;DA125,IF(Reprogramaciones!$K$15&gt;0,"Al día · Sem "&amp;Reprogramaciones!$K$15&amp;" en curso","Al día · en curso"),"A tiempo"))))))</f>
        <v/>
      </c>
      <c r="AL125" s="39" t="str">
        <f aca="true">IF(AND(A125="",AND(B125="",C125="",E125="",F125="",COUNT(Q125:AF125)=0)),"",IF(AND(B125="",C125="",E125="",F125="",COUNT(Q125:AF125)=0),"Falta la partida o subpartida",IF(AND(A125&lt;&gt;"",COUNTIF($A$6:$A$305,A125)&gt;1),"Ítem repetido",IF(AND(C125="",E125="",F125="",COUNT(Q125:AF125)=0),"Título de partida",IF(OR(E125="",F125=""),"Faltan fechas",IF(OR(ISTEXT(E125),ISTEXT(F125)),"Fecha escrita como texto: usa dd/mm/aaaa",IF(F125&lt;E125,"Fin antes del inicio",IF(IF($J$2="",FALSE(),OR(E125&lt;$J$2,F125&gt;Reprogramaciones!$T$15+69)),"Fuera de las 10 semanas",IF(ABS(SUM(G125:P125)-100)&gt;0.5,"La meta no suma 100%",IF(ROUND(SUM(Q125:AF125),1)&gt;100.5,"El avance pasa de 100%",IF(MIN(Q125:AF125)&lt;0,"Avance negativo",IF(COUNTA(Q125:AF125)&gt;COUNT(Q125:AF125),"Avance escrito como texto",IF(SUMPRODUCT((Q125:AF125&gt;0)*(Q125:AF125&lt;1))&gt;0,"Avance menor a 1: escribe 50, no 50%",IF(SUMPRODUCT(ISNUMBER(Q125:AF125)*(Reprogramaciones!$K$8:$Z$8&gt;TODAY()))&gt;0,"Avance en semana que aún no llega",IF(AND(N(Reprogramaciones!$E$21)&gt;0,F125&gt;Reprogramaciones!$E$21),"Pasa el fin de la obra: registra una reprogramación",IF(AND(N(Reprogramaciones!$E$21)&gt;0,SUMPRODUCT(ISNUMBER(Q125:AF125)*(Reprogramaciones!$K$8:$Z$8&gt;Reprogramaciones!$E$21))&gt;0),"Avance después del fin de la obra: registra una reprogramación por atraso","OK"))))))))))))))))</f>
        <v/>
      </c>
      <c r="AM125" s="40" t="str">
        <f aca="false">IF(OR(OR(NOT(AND(ISNUMBER(E125),ISNUMBER(F125))),$J$2=""),1&gt;MAX(1,Reprogramaciones!$U$15)),"",IF(Reprogramaciones!K$12&gt;=7,"",IF(OR(BT125-N(0)&gt;0.05,N(Q125)&gt;0),ROUNDDOWN(ROUND(BT125,6),0)&amp;"%"&amp;IF(CJ125="",""," / "&amp;CJ125&amp;"%"),IF(AND(N(0)&gt;=99.95,CJ125&lt;&gt;"",N(CJ125)&lt;100),"Pend. "&amp;CJ125&amp;"%",""))))</f>
        <v/>
      </c>
      <c r="AN125" s="40" t="str">
        <f aca="false">IF(OR(OR(NOT(AND(ISNUMBER(E125),ISNUMBER(F125))),$J$2=""),2&gt;MAX(1,Reprogramaciones!$U$15)),"",IF(Reprogramaciones!L$12&gt;=7,"",IF(OR(BU125-N(BT125)&gt;0.05,N(R125)&gt;0),ROUNDDOWN(ROUND(BU125,6),0)&amp;"%"&amp;IF(CK125="",""," / "&amp;CK125&amp;"%"),IF(AND(N(BT125)&gt;=99.95,CK125&lt;&gt;"",N(CK125)&lt;100),"Pend. "&amp;CK125&amp;"%",""))))</f>
        <v/>
      </c>
      <c r="AO125" s="40" t="str">
        <f aca="false">IF(OR(OR(NOT(AND(ISNUMBER(E125),ISNUMBER(F125))),$J$2=""),3&gt;MAX(1,Reprogramaciones!$U$15)),"",IF(Reprogramaciones!M$12&gt;=7,"",IF(OR(BV125-N(BU125)&gt;0.05,N(S125)&gt;0),ROUNDDOWN(ROUND(BV125,6),0)&amp;"%"&amp;IF(CL125="",""," / "&amp;CL125&amp;"%"),IF(AND(N(BU125)&gt;=99.95,CL125&lt;&gt;"",N(CL125)&lt;100),"Pend. "&amp;CL125&amp;"%",""))))</f>
        <v/>
      </c>
      <c r="AP125" s="40" t="str">
        <f aca="false">IF(OR(OR(NOT(AND(ISNUMBER(E125),ISNUMBER(F125))),$J$2=""),4&gt;MAX(1,Reprogramaciones!$U$15)),"",IF(Reprogramaciones!N$12&gt;=7,"",IF(OR(BW125-N(BV125)&gt;0.05,N(T125)&gt;0),ROUNDDOWN(ROUND(BW125,6),0)&amp;"%"&amp;IF(CM125="",""," / "&amp;CM125&amp;"%"),IF(AND(N(BV125)&gt;=99.95,CM125&lt;&gt;"",N(CM125)&lt;100),"Pend. "&amp;CM125&amp;"%",""))))</f>
        <v/>
      </c>
      <c r="AQ125" s="40" t="str">
        <f aca="false">IF(OR(OR(NOT(AND(ISNUMBER(E125),ISNUMBER(F125))),$J$2=""),5&gt;MAX(1,Reprogramaciones!$U$15)),"",IF(Reprogramaciones!O$12&gt;=7,"",IF(OR(BX125-N(BW125)&gt;0.05,N(U125)&gt;0),ROUNDDOWN(ROUND(BX125,6),0)&amp;"%"&amp;IF(CN125="",""," / "&amp;CN125&amp;"%"),IF(AND(N(BW125)&gt;=99.95,CN125&lt;&gt;"",N(CN125)&lt;100),"Pend. "&amp;CN125&amp;"%",""))))</f>
        <v/>
      </c>
      <c r="AR125" s="40" t="str">
        <f aca="false">IF(OR(OR(NOT(AND(ISNUMBER(E125),ISNUMBER(F125))),$J$2=""),6&gt;MAX(1,Reprogramaciones!$U$15)),"",IF(Reprogramaciones!P$12&gt;=7,"",IF(OR(BY125-N(BX125)&gt;0.05,N(V125)&gt;0),ROUNDDOWN(ROUND(BY125,6),0)&amp;"%"&amp;IF(CO125="",""," / "&amp;CO125&amp;"%"),IF(AND(N(BX125)&gt;=99.95,CO125&lt;&gt;"",N(CO125)&lt;100),"Pend. "&amp;CO125&amp;"%",""))))</f>
        <v/>
      </c>
      <c r="AS125" s="40" t="str">
        <f aca="false">IF(OR(OR(NOT(AND(ISNUMBER(E125),ISNUMBER(F125))),$J$2=""),7&gt;MAX(1,Reprogramaciones!$U$15)),"",IF(Reprogramaciones!Q$12&gt;=7,"",IF(OR(BZ125-N(BY125)&gt;0.05,N(W125)&gt;0),ROUNDDOWN(ROUND(BZ125,6),0)&amp;"%"&amp;IF(CP125="",""," / "&amp;CP125&amp;"%"),IF(AND(N(BY125)&gt;=99.95,CP125&lt;&gt;"",N(CP125)&lt;100),"Pend. "&amp;CP125&amp;"%",""))))</f>
        <v/>
      </c>
      <c r="AT125" s="40" t="str">
        <f aca="false">IF(OR(OR(NOT(AND(ISNUMBER(E125),ISNUMBER(F125))),$J$2=""),8&gt;MAX(1,Reprogramaciones!$U$15)),"",IF(Reprogramaciones!R$12&gt;=7,"",IF(OR(CA125-N(BZ125)&gt;0.05,N(X125)&gt;0),ROUNDDOWN(ROUND(CA125,6),0)&amp;"%"&amp;IF(CQ125="",""," / "&amp;CQ125&amp;"%"),IF(AND(N(BZ125)&gt;=99.95,CQ125&lt;&gt;"",N(CQ125)&lt;100),"Pend. "&amp;CQ125&amp;"%",""))))</f>
        <v/>
      </c>
      <c r="AU125" s="40" t="str">
        <f aca="false">IF(OR(OR(NOT(AND(ISNUMBER(E125),ISNUMBER(F125))),$J$2=""),9&gt;MAX(1,Reprogramaciones!$U$15)),"",IF(Reprogramaciones!S$12&gt;=7,"",IF(OR(CB125-N(CA125)&gt;0.05,N(Y125)&gt;0),ROUNDDOWN(ROUND(CB125,6),0)&amp;"%"&amp;IF(CR125="",""," / "&amp;CR125&amp;"%"),IF(AND(N(CA125)&gt;=99.95,CR125&lt;&gt;"",N(CR125)&lt;100),"Pend. "&amp;CR125&amp;"%",""))))</f>
        <v/>
      </c>
      <c r="AV125" s="40" t="str">
        <f aca="false">IF(OR(OR(NOT(AND(ISNUMBER(E125),ISNUMBER(F125))),$J$2=""),10&gt;MAX(1,Reprogramaciones!$U$15)),"",IF(Reprogramaciones!T$12&gt;=7,"",IF(OR(CC125-N(CB125)&gt;0.05,N(Z125)&gt;0),ROUNDDOWN(ROUND(CC125,6),0)&amp;"%"&amp;IF(CS125="",""," / "&amp;CS125&amp;"%"),IF(AND(N(CB125)&gt;=99.95,CS125&lt;&gt;"",N(CS125)&lt;100),"Pend. "&amp;CS125&amp;"%",""))))</f>
        <v/>
      </c>
      <c r="AW125" s="40" t="str">
        <f aca="false">IF(OR(OR(NOT(AND(ISNUMBER(E125),ISNUMBER(F125))),$J$2=""),11&gt;MAX(1,Reprogramaciones!$U$15)),"",IF(Reprogramaciones!U$12&gt;=7,"",IF(OR(CD125-N(CC125)&gt;0.05,N(AA125)&gt;0),ROUNDDOWN(ROUND(CD125,6),0)&amp;"%"&amp;IF(CT125="",""," / "&amp;CT125&amp;"%"),IF(AND(N(CC125)&gt;=99.95,CT125&lt;&gt;"",N(CT125)&lt;100),"Pend. "&amp;CT125&amp;"%",""))))</f>
        <v/>
      </c>
      <c r="AX125" s="40" t="str">
        <f aca="false">IF(OR(OR(NOT(AND(ISNUMBER(E125),ISNUMBER(F125))),$J$2=""),12&gt;MAX(1,Reprogramaciones!$U$15)),"",IF(Reprogramaciones!V$12&gt;=7,"",IF(OR(CE125-N(CD125)&gt;0.05,N(AB125)&gt;0),ROUNDDOWN(ROUND(CE125,6),0)&amp;"%"&amp;IF(CU125="",""," / "&amp;CU125&amp;"%"),IF(AND(N(CD125)&gt;=99.95,CU125&lt;&gt;"",N(CU125)&lt;100),"Pend. "&amp;CU125&amp;"%",""))))</f>
        <v/>
      </c>
      <c r="AY125" s="40" t="str">
        <f aca="false">IF(OR(OR(NOT(AND(ISNUMBER(E125),ISNUMBER(F125))),$J$2=""),13&gt;MAX(1,Reprogramaciones!$U$15)),"",IF(Reprogramaciones!W$12&gt;=7,"",IF(OR(CF125-N(CE125)&gt;0.05,N(AC125)&gt;0),ROUNDDOWN(ROUND(CF125,6),0)&amp;"%"&amp;IF(CV125="",""," / "&amp;CV125&amp;"%"),IF(AND(N(CE125)&gt;=99.95,CV125&lt;&gt;"",N(CV125)&lt;100),"Pend. "&amp;CV125&amp;"%",""))))</f>
        <v/>
      </c>
      <c r="AZ125" s="40" t="str">
        <f aca="false">IF(OR(OR(NOT(AND(ISNUMBER(E125),ISNUMBER(F125))),$J$2=""),14&gt;MAX(1,Reprogramaciones!$U$15)),"",IF(Reprogramaciones!X$12&gt;=7,"",IF(OR(CG125-N(CF125)&gt;0.05,N(AD125)&gt;0),ROUNDDOWN(ROUND(CG125,6),0)&amp;"%"&amp;IF(CW125="",""," / "&amp;CW125&amp;"%"),IF(AND(N(CF125)&gt;=99.95,CW125&lt;&gt;"",N(CW125)&lt;100),"Pend. "&amp;CW125&amp;"%",""))))</f>
        <v/>
      </c>
      <c r="BA125" s="40" t="str">
        <f aca="false">IF(OR(OR(NOT(AND(ISNUMBER(E125),ISNUMBER(F125))),$J$2=""),15&gt;MAX(1,Reprogramaciones!$U$15)),"",IF(Reprogramaciones!Y$12&gt;=7,"",IF(OR(CH125-N(CG125)&gt;0.05,N(AE125)&gt;0),ROUNDDOWN(ROUND(CH125,6),0)&amp;"%"&amp;IF(CX125="",""," / "&amp;CX125&amp;"%"),IF(AND(N(CG125)&gt;=99.95,CX125&lt;&gt;"",N(CX125)&lt;100),"Pend. "&amp;CX125&amp;"%",""))))</f>
        <v/>
      </c>
      <c r="BB125" s="40" t="str">
        <f aca="false">IF(OR(OR(NOT(AND(ISNUMBER(E125),ISNUMBER(F125))),$J$2=""),16&gt;MAX(1,Reprogramaciones!$U$15)),"",IF(Reprogramaciones!Z$12&gt;=7,"",IF(OR(CI125-N(CH125)&gt;0.05,N(AF125)&gt;0),ROUNDDOWN(ROUND(CI125,6),0)&amp;"%"&amp;IF(CY125="",""," / "&amp;CY125&amp;"%"),IF(AND(N(CH125)&gt;=99.95,CY125&lt;&gt;"",N(CY125)&lt;100),"Pend. "&amp;CY125&amp;"%",""))))</f>
        <v/>
      </c>
      <c r="BC125" s="31" t="n">
        <f aca="false">IF(AND(ISNUMBER(E125),ISNUMBER(F125)),MAX(1,NETWORKDAYS.INTL(E125,F125,11)),0)</f>
        <v>0</v>
      </c>
      <c r="BD125" s="1" t="str">
        <f aca="false">IF(OR(NOT(AND(ISNUMBER(E125),ISNUMBER(F125))),$J$2=""),"",MIN(100,ROUND(SUM($G125:G125),1)))</f>
        <v/>
      </c>
      <c r="BE125" s="1" t="str">
        <f aca="false">IF(OR(NOT(AND(ISNUMBER(E125),ISNUMBER(F125))),$J$2=""),"",MIN(100,ROUND(SUM($G125:H125),1)))</f>
        <v/>
      </c>
      <c r="BF125" s="1" t="str">
        <f aca="false">IF(OR(NOT(AND(ISNUMBER(E125),ISNUMBER(F125))),$J$2=""),"",MIN(100,ROUND(SUM($G125:I125),1)))</f>
        <v/>
      </c>
      <c r="BG125" s="1" t="str">
        <f aca="false">IF(OR(NOT(AND(ISNUMBER(E125),ISNUMBER(F125))),$J$2=""),"",MIN(100,ROUND(SUM($G125:J125),1)))</f>
        <v/>
      </c>
      <c r="BH125" s="1" t="str">
        <f aca="false">IF(OR(NOT(AND(ISNUMBER(E125),ISNUMBER(F125))),$J$2=""),"",MIN(100,ROUND(SUM($G125:K125),1)))</f>
        <v/>
      </c>
      <c r="BI125" s="1" t="str">
        <f aca="false">IF(OR(NOT(AND(ISNUMBER(E125),ISNUMBER(F125))),$J$2=""),"",MIN(100,ROUND(SUM($G125:L125),1)))</f>
        <v/>
      </c>
      <c r="BJ125" s="1" t="str">
        <f aca="false">IF(OR(NOT(AND(ISNUMBER(E125),ISNUMBER(F125))),$J$2=""),"",MIN(100,ROUND(SUM($G125:M125),1)))</f>
        <v/>
      </c>
      <c r="BK125" s="1" t="str">
        <f aca="false">IF(OR(NOT(AND(ISNUMBER(E125),ISNUMBER(F125))),$J$2=""),"",MIN(100,ROUND(SUM($G125:N125),1)))</f>
        <v/>
      </c>
      <c r="BL125" s="1" t="str">
        <f aca="false">IF(OR(NOT(AND(ISNUMBER(E125),ISNUMBER(F125))),$J$2=""),"",MIN(100,ROUND(SUM($G125:O125),1)))</f>
        <v/>
      </c>
      <c r="BM125" s="1" t="str">
        <f aca="false">IF(OR(NOT(AND(ISNUMBER(E125),ISNUMBER(F125))),$J$2=""),"",MIN(100,ROUND(SUM($G125:P125),1)))</f>
        <v/>
      </c>
      <c r="BN125" s="1" t="str">
        <f aca="false">IF(OR(NOT(AND(ISNUMBER(E125),ISNUMBER(F125))),$J$2=""),"",MIN(100,ROUND(SUM($G125:P125),1)))</f>
        <v/>
      </c>
      <c r="BO125" s="1" t="str">
        <f aca="false">IF(OR(NOT(AND(ISNUMBER(E125),ISNUMBER(F125))),$J$2=""),"",MIN(100,ROUND(SUM($G125:P125),1)))</f>
        <v/>
      </c>
      <c r="BP125" s="1" t="str">
        <f aca="false">IF(OR(NOT(AND(ISNUMBER(E125),ISNUMBER(F125))),$J$2=""),"",MIN(100,ROUND(SUM($G125:P125),1)))</f>
        <v/>
      </c>
      <c r="BQ125" s="1" t="str">
        <f aca="false">IF(OR(NOT(AND(ISNUMBER(E125),ISNUMBER(F125))),$J$2=""),"",MIN(100,ROUND(SUM($G125:P125),1)))</f>
        <v/>
      </c>
      <c r="BR125" s="1" t="str">
        <f aca="false">IF(OR(NOT(AND(ISNUMBER(E125),ISNUMBER(F125))),$J$2=""),"",MIN(100,ROUND(SUM($G125:P125),1)))</f>
        <v/>
      </c>
      <c r="BS125" s="1" t="str">
        <f aca="false">IF(OR(NOT(AND(ISNUMBER(E125),ISNUMBER(F125))),$J$2=""),"",MIN(100,ROUND(SUM($G125:P125),1)))</f>
        <v/>
      </c>
      <c r="BT125" s="1" t="str">
        <f aca="false">IF(OR(NOT(AND(ISNUMBER(E125),ISNUMBER(F125))),$J$2=""),"",IF(Reprogramaciones!K$13&lt;Reprogramaciones!$T$15,0,IF(Reprogramaciones!K$14&gt;10,MIN(100,SUM($G125:$P125)),MIN(100,SUMPRODUCT((COLUMN($G125:$P125)-COLUMN($G125)+1&lt;Reprogramaciones!K$14)*$G125:$P125)+N(INDEX($G125:$P125,1,Reprogramaciones!K$14))*IF(Reprogramaciones!K$13&gt;=(Reprogramaciones!$T$15+7*(Reprogramaciones!K$14-1))+6,1,IF(MAX(0,NETWORKDAYS.INTL(MAX(E125,(Reprogramaciones!$T$15+7*(Reprogramaciones!K$14-1))),MIN(F125,(Reprogramaciones!$T$15+7*(Reprogramaciones!K$14-1))+6),11))=0,0,MAX(0,NETWORKDAYS.INTL(MAX(E125,(Reprogramaciones!$T$15+7*(Reprogramaciones!K$14-1))),MIN(F125,Reprogramaciones!K$13),11))/MAX(0,NETWORKDAYS.INTL(MAX(E125,(Reprogramaciones!$T$15+7*(Reprogramaciones!K$14-1))),MIN(F125,(Reprogramaciones!$T$15+7*(Reprogramaciones!K$14-1))+6),11))))))))</f>
        <v/>
      </c>
      <c r="BU125" s="1" t="str">
        <f aca="false">IF(OR(NOT(AND(ISNUMBER(E125),ISNUMBER(F125))),$J$2=""),"",IF(Reprogramaciones!L$13&lt;Reprogramaciones!$T$15,0,IF(Reprogramaciones!L$14&gt;10,MIN(100,SUM($G125:$P125)),MIN(100,SUMPRODUCT((COLUMN($G125:$P125)-COLUMN($G125)+1&lt;Reprogramaciones!L$14)*$G125:$P125)+N(INDEX($G125:$P125,1,Reprogramaciones!L$14))*IF(Reprogramaciones!L$13&gt;=(Reprogramaciones!$T$15+7*(Reprogramaciones!L$14-1))+6,1,IF(MAX(0,NETWORKDAYS.INTL(MAX(E125,(Reprogramaciones!$T$15+7*(Reprogramaciones!L$14-1))),MIN(F125,(Reprogramaciones!$T$15+7*(Reprogramaciones!L$14-1))+6),11))=0,0,MAX(0,NETWORKDAYS.INTL(MAX(E125,(Reprogramaciones!$T$15+7*(Reprogramaciones!L$14-1))),MIN(F125,Reprogramaciones!L$13),11))/MAX(0,NETWORKDAYS.INTL(MAX(E125,(Reprogramaciones!$T$15+7*(Reprogramaciones!L$14-1))),MIN(F125,(Reprogramaciones!$T$15+7*(Reprogramaciones!L$14-1))+6),11))))))))</f>
        <v/>
      </c>
      <c r="BV125" s="1" t="str">
        <f aca="false">IF(OR(NOT(AND(ISNUMBER(E125),ISNUMBER(F125))),$J$2=""),"",IF(Reprogramaciones!M$13&lt;Reprogramaciones!$T$15,0,IF(Reprogramaciones!M$14&gt;10,MIN(100,SUM($G125:$P125)),MIN(100,SUMPRODUCT((COLUMN($G125:$P125)-COLUMN($G125)+1&lt;Reprogramaciones!M$14)*$G125:$P125)+N(INDEX($G125:$P125,1,Reprogramaciones!M$14))*IF(Reprogramaciones!M$13&gt;=(Reprogramaciones!$T$15+7*(Reprogramaciones!M$14-1))+6,1,IF(MAX(0,NETWORKDAYS.INTL(MAX(E125,(Reprogramaciones!$T$15+7*(Reprogramaciones!M$14-1))),MIN(F125,(Reprogramaciones!$T$15+7*(Reprogramaciones!M$14-1))+6),11))=0,0,MAX(0,NETWORKDAYS.INTL(MAX(E125,(Reprogramaciones!$T$15+7*(Reprogramaciones!M$14-1))),MIN(F125,Reprogramaciones!M$13),11))/MAX(0,NETWORKDAYS.INTL(MAX(E125,(Reprogramaciones!$T$15+7*(Reprogramaciones!M$14-1))),MIN(F125,(Reprogramaciones!$T$15+7*(Reprogramaciones!M$14-1))+6),11))))))))</f>
        <v/>
      </c>
      <c r="BW125" s="1" t="str">
        <f aca="false">IF(OR(NOT(AND(ISNUMBER(E125),ISNUMBER(F125))),$J$2=""),"",IF(Reprogramaciones!N$13&lt;Reprogramaciones!$T$15,0,IF(Reprogramaciones!N$14&gt;10,MIN(100,SUM($G125:$P125)),MIN(100,SUMPRODUCT((COLUMN($G125:$P125)-COLUMN($G125)+1&lt;Reprogramaciones!N$14)*$G125:$P125)+N(INDEX($G125:$P125,1,Reprogramaciones!N$14))*IF(Reprogramaciones!N$13&gt;=(Reprogramaciones!$T$15+7*(Reprogramaciones!N$14-1))+6,1,IF(MAX(0,NETWORKDAYS.INTL(MAX(E125,(Reprogramaciones!$T$15+7*(Reprogramaciones!N$14-1))),MIN(F125,(Reprogramaciones!$T$15+7*(Reprogramaciones!N$14-1))+6),11))=0,0,MAX(0,NETWORKDAYS.INTL(MAX(E125,(Reprogramaciones!$T$15+7*(Reprogramaciones!N$14-1))),MIN(F125,Reprogramaciones!N$13),11))/MAX(0,NETWORKDAYS.INTL(MAX(E125,(Reprogramaciones!$T$15+7*(Reprogramaciones!N$14-1))),MIN(F125,(Reprogramaciones!$T$15+7*(Reprogramaciones!N$14-1))+6),11))))))))</f>
        <v/>
      </c>
      <c r="BX125" s="1" t="str">
        <f aca="false">IF(OR(NOT(AND(ISNUMBER(E125),ISNUMBER(F125))),$J$2=""),"",IF(Reprogramaciones!O$13&lt;Reprogramaciones!$T$15,0,IF(Reprogramaciones!O$14&gt;10,MIN(100,SUM($G125:$P125)),MIN(100,SUMPRODUCT((COLUMN($G125:$P125)-COLUMN($G125)+1&lt;Reprogramaciones!O$14)*$G125:$P125)+N(INDEX($G125:$P125,1,Reprogramaciones!O$14))*IF(Reprogramaciones!O$13&gt;=(Reprogramaciones!$T$15+7*(Reprogramaciones!O$14-1))+6,1,IF(MAX(0,NETWORKDAYS.INTL(MAX(E125,(Reprogramaciones!$T$15+7*(Reprogramaciones!O$14-1))),MIN(F125,(Reprogramaciones!$T$15+7*(Reprogramaciones!O$14-1))+6),11))=0,0,MAX(0,NETWORKDAYS.INTL(MAX(E125,(Reprogramaciones!$T$15+7*(Reprogramaciones!O$14-1))),MIN(F125,Reprogramaciones!O$13),11))/MAX(0,NETWORKDAYS.INTL(MAX(E125,(Reprogramaciones!$T$15+7*(Reprogramaciones!O$14-1))),MIN(F125,(Reprogramaciones!$T$15+7*(Reprogramaciones!O$14-1))+6),11))))))))</f>
        <v/>
      </c>
      <c r="BY125" s="1" t="str">
        <f aca="false">IF(OR(NOT(AND(ISNUMBER(E125),ISNUMBER(F125))),$J$2=""),"",IF(Reprogramaciones!P$13&lt;Reprogramaciones!$T$15,0,IF(Reprogramaciones!P$14&gt;10,MIN(100,SUM($G125:$P125)),MIN(100,SUMPRODUCT((COLUMN($G125:$P125)-COLUMN($G125)+1&lt;Reprogramaciones!P$14)*$G125:$P125)+N(INDEX($G125:$P125,1,Reprogramaciones!P$14))*IF(Reprogramaciones!P$13&gt;=(Reprogramaciones!$T$15+7*(Reprogramaciones!P$14-1))+6,1,IF(MAX(0,NETWORKDAYS.INTL(MAX(E125,(Reprogramaciones!$T$15+7*(Reprogramaciones!P$14-1))),MIN(F125,(Reprogramaciones!$T$15+7*(Reprogramaciones!P$14-1))+6),11))=0,0,MAX(0,NETWORKDAYS.INTL(MAX(E125,(Reprogramaciones!$T$15+7*(Reprogramaciones!P$14-1))),MIN(F125,Reprogramaciones!P$13),11))/MAX(0,NETWORKDAYS.INTL(MAX(E125,(Reprogramaciones!$T$15+7*(Reprogramaciones!P$14-1))),MIN(F125,(Reprogramaciones!$T$15+7*(Reprogramaciones!P$14-1))+6),11))))))))</f>
        <v/>
      </c>
      <c r="BZ125" s="1" t="str">
        <f aca="false">IF(OR(NOT(AND(ISNUMBER(E125),ISNUMBER(F125))),$J$2=""),"",IF(Reprogramaciones!Q$13&lt;Reprogramaciones!$T$15,0,IF(Reprogramaciones!Q$14&gt;10,MIN(100,SUM($G125:$P125)),MIN(100,SUMPRODUCT((COLUMN($G125:$P125)-COLUMN($G125)+1&lt;Reprogramaciones!Q$14)*$G125:$P125)+N(INDEX($G125:$P125,1,Reprogramaciones!Q$14))*IF(Reprogramaciones!Q$13&gt;=(Reprogramaciones!$T$15+7*(Reprogramaciones!Q$14-1))+6,1,IF(MAX(0,NETWORKDAYS.INTL(MAX(E125,(Reprogramaciones!$T$15+7*(Reprogramaciones!Q$14-1))),MIN(F125,(Reprogramaciones!$T$15+7*(Reprogramaciones!Q$14-1))+6),11))=0,0,MAX(0,NETWORKDAYS.INTL(MAX(E125,(Reprogramaciones!$T$15+7*(Reprogramaciones!Q$14-1))),MIN(F125,Reprogramaciones!Q$13),11))/MAX(0,NETWORKDAYS.INTL(MAX(E125,(Reprogramaciones!$T$15+7*(Reprogramaciones!Q$14-1))),MIN(F125,(Reprogramaciones!$T$15+7*(Reprogramaciones!Q$14-1))+6),11))))))))</f>
        <v/>
      </c>
      <c r="CA125" s="1" t="str">
        <f aca="false">IF(OR(NOT(AND(ISNUMBER(E125),ISNUMBER(F125))),$J$2=""),"",IF(Reprogramaciones!R$13&lt;Reprogramaciones!$T$15,0,IF(Reprogramaciones!R$14&gt;10,MIN(100,SUM($G125:$P125)),MIN(100,SUMPRODUCT((COLUMN($G125:$P125)-COLUMN($G125)+1&lt;Reprogramaciones!R$14)*$G125:$P125)+N(INDEX($G125:$P125,1,Reprogramaciones!R$14))*IF(Reprogramaciones!R$13&gt;=(Reprogramaciones!$T$15+7*(Reprogramaciones!R$14-1))+6,1,IF(MAX(0,NETWORKDAYS.INTL(MAX(E125,(Reprogramaciones!$T$15+7*(Reprogramaciones!R$14-1))),MIN(F125,(Reprogramaciones!$T$15+7*(Reprogramaciones!R$14-1))+6),11))=0,0,MAX(0,NETWORKDAYS.INTL(MAX(E125,(Reprogramaciones!$T$15+7*(Reprogramaciones!R$14-1))),MIN(F125,Reprogramaciones!R$13),11))/MAX(0,NETWORKDAYS.INTL(MAX(E125,(Reprogramaciones!$T$15+7*(Reprogramaciones!R$14-1))),MIN(F125,(Reprogramaciones!$T$15+7*(Reprogramaciones!R$14-1))+6),11))))))))</f>
        <v/>
      </c>
      <c r="CB125" s="1" t="str">
        <f aca="false">IF(OR(NOT(AND(ISNUMBER(E125),ISNUMBER(F125))),$J$2=""),"",IF(Reprogramaciones!S$13&lt;Reprogramaciones!$T$15,0,IF(Reprogramaciones!S$14&gt;10,MIN(100,SUM($G125:$P125)),MIN(100,SUMPRODUCT((COLUMN($G125:$P125)-COLUMN($G125)+1&lt;Reprogramaciones!S$14)*$G125:$P125)+N(INDEX($G125:$P125,1,Reprogramaciones!S$14))*IF(Reprogramaciones!S$13&gt;=(Reprogramaciones!$T$15+7*(Reprogramaciones!S$14-1))+6,1,IF(MAX(0,NETWORKDAYS.INTL(MAX(E125,(Reprogramaciones!$T$15+7*(Reprogramaciones!S$14-1))),MIN(F125,(Reprogramaciones!$T$15+7*(Reprogramaciones!S$14-1))+6),11))=0,0,MAX(0,NETWORKDAYS.INTL(MAX(E125,(Reprogramaciones!$T$15+7*(Reprogramaciones!S$14-1))),MIN(F125,Reprogramaciones!S$13),11))/MAX(0,NETWORKDAYS.INTL(MAX(E125,(Reprogramaciones!$T$15+7*(Reprogramaciones!S$14-1))),MIN(F125,(Reprogramaciones!$T$15+7*(Reprogramaciones!S$14-1))+6),11))))))))</f>
        <v/>
      </c>
      <c r="CC125" s="1" t="str">
        <f aca="false">IF(OR(NOT(AND(ISNUMBER(E125),ISNUMBER(F125))),$J$2=""),"",IF(Reprogramaciones!T$13&lt;Reprogramaciones!$T$15,0,IF(Reprogramaciones!T$14&gt;10,MIN(100,SUM($G125:$P125)),MIN(100,SUMPRODUCT((COLUMN($G125:$P125)-COLUMN($G125)+1&lt;Reprogramaciones!T$14)*$G125:$P125)+N(INDEX($G125:$P125,1,Reprogramaciones!T$14))*IF(Reprogramaciones!T$13&gt;=(Reprogramaciones!$T$15+7*(Reprogramaciones!T$14-1))+6,1,IF(MAX(0,NETWORKDAYS.INTL(MAX(E125,(Reprogramaciones!$T$15+7*(Reprogramaciones!T$14-1))),MIN(F125,(Reprogramaciones!$T$15+7*(Reprogramaciones!T$14-1))+6),11))=0,0,MAX(0,NETWORKDAYS.INTL(MAX(E125,(Reprogramaciones!$T$15+7*(Reprogramaciones!T$14-1))),MIN(F125,Reprogramaciones!T$13),11))/MAX(0,NETWORKDAYS.INTL(MAX(E125,(Reprogramaciones!$T$15+7*(Reprogramaciones!T$14-1))),MIN(F125,(Reprogramaciones!$T$15+7*(Reprogramaciones!T$14-1))+6),11))))))))</f>
        <v/>
      </c>
      <c r="CD125" s="1" t="str">
        <f aca="false">IF(OR(NOT(AND(ISNUMBER(E125),ISNUMBER(F125))),$J$2=""),"",IF(Reprogramaciones!U$13&lt;Reprogramaciones!$T$15,0,IF(Reprogramaciones!U$14&gt;10,MIN(100,SUM($G125:$P125)),MIN(100,SUMPRODUCT((COLUMN($G125:$P125)-COLUMN($G125)+1&lt;Reprogramaciones!U$14)*$G125:$P125)+N(INDEX($G125:$P125,1,Reprogramaciones!U$14))*IF(Reprogramaciones!U$13&gt;=(Reprogramaciones!$T$15+7*(Reprogramaciones!U$14-1))+6,1,IF(MAX(0,NETWORKDAYS.INTL(MAX(E125,(Reprogramaciones!$T$15+7*(Reprogramaciones!U$14-1))),MIN(F125,(Reprogramaciones!$T$15+7*(Reprogramaciones!U$14-1))+6),11))=0,0,MAX(0,NETWORKDAYS.INTL(MAX(E125,(Reprogramaciones!$T$15+7*(Reprogramaciones!U$14-1))),MIN(F125,Reprogramaciones!U$13),11))/MAX(0,NETWORKDAYS.INTL(MAX(E125,(Reprogramaciones!$T$15+7*(Reprogramaciones!U$14-1))),MIN(F125,(Reprogramaciones!$T$15+7*(Reprogramaciones!U$14-1))+6),11))))))))</f>
        <v/>
      </c>
      <c r="CE125" s="1" t="str">
        <f aca="false">IF(OR(NOT(AND(ISNUMBER(E125),ISNUMBER(F125))),$J$2=""),"",IF(Reprogramaciones!V$13&lt;Reprogramaciones!$T$15,0,IF(Reprogramaciones!V$14&gt;10,MIN(100,SUM($G125:$P125)),MIN(100,SUMPRODUCT((COLUMN($G125:$P125)-COLUMN($G125)+1&lt;Reprogramaciones!V$14)*$G125:$P125)+N(INDEX($G125:$P125,1,Reprogramaciones!V$14))*IF(Reprogramaciones!V$13&gt;=(Reprogramaciones!$T$15+7*(Reprogramaciones!V$14-1))+6,1,IF(MAX(0,NETWORKDAYS.INTL(MAX(E125,(Reprogramaciones!$T$15+7*(Reprogramaciones!V$14-1))),MIN(F125,(Reprogramaciones!$T$15+7*(Reprogramaciones!V$14-1))+6),11))=0,0,MAX(0,NETWORKDAYS.INTL(MAX(E125,(Reprogramaciones!$T$15+7*(Reprogramaciones!V$14-1))),MIN(F125,Reprogramaciones!V$13),11))/MAX(0,NETWORKDAYS.INTL(MAX(E125,(Reprogramaciones!$T$15+7*(Reprogramaciones!V$14-1))),MIN(F125,(Reprogramaciones!$T$15+7*(Reprogramaciones!V$14-1))+6),11))))))))</f>
        <v/>
      </c>
      <c r="CF125" s="1" t="str">
        <f aca="false">IF(OR(NOT(AND(ISNUMBER(E125),ISNUMBER(F125))),$J$2=""),"",IF(Reprogramaciones!W$13&lt;Reprogramaciones!$T$15,0,IF(Reprogramaciones!W$14&gt;10,MIN(100,SUM($G125:$P125)),MIN(100,SUMPRODUCT((COLUMN($G125:$P125)-COLUMN($G125)+1&lt;Reprogramaciones!W$14)*$G125:$P125)+N(INDEX($G125:$P125,1,Reprogramaciones!W$14))*IF(Reprogramaciones!W$13&gt;=(Reprogramaciones!$T$15+7*(Reprogramaciones!W$14-1))+6,1,IF(MAX(0,NETWORKDAYS.INTL(MAX(E125,(Reprogramaciones!$T$15+7*(Reprogramaciones!W$14-1))),MIN(F125,(Reprogramaciones!$T$15+7*(Reprogramaciones!W$14-1))+6),11))=0,0,MAX(0,NETWORKDAYS.INTL(MAX(E125,(Reprogramaciones!$T$15+7*(Reprogramaciones!W$14-1))),MIN(F125,Reprogramaciones!W$13),11))/MAX(0,NETWORKDAYS.INTL(MAX(E125,(Reprogramaciones!$T$15+7*(Reprogramaciones!W$14-1))),MIN(F125,(Reprogramaciones!$T$15+7*(Reprogramaciones!W$14-1))+6),11))))))))</f>
        <v/>
      </c>
      <c r="CG125" s="1" t="str">
        <f aca="false">IF(OR(NOT(AND(ISNUMBER(E125),ISNUMBER(F125))),$J$2=""),"",IF(Reprogramaciones!X$13&lt;Reprogramaciones!$T$15,0,IF(Reprogramaciones!X$14&gt;10,MIN(100,SUM($G125:$P125)),MIN(100,SUMPRODUCT((COLUMN($G125:$P125)-COLUMN($G125)+1&lt;Reprogramaciones!X$14)*$G125:$P125)+N(INDEX($G125:$P125,1,Reprogramaciones!X$14))*IF(Reprogramaciones!X$13&gt;=(Reprogramaciones!$T$15+7*(Reprogramaciones!X$14-1))+6,1,IF(MAX(0,NETWORKDAYS.INTL(MAX(E125,(Reprogramaciones!$T$15+7*(Reprogramaciones!X$14-1))),MIN(F125,(Reprogramaciones!$T$15+7*(Reprogramaciones!X$14-1))+6),11))=0,0,MAX(0,NETWORKDAYS.INTL(MAX(E125,(Reprogramaciones!$T$15+7*(Reprogramaciones!X$14-1))),MIN(F125,Reprogramaciones!X$13),11))/MAX(0,NETWORKDAYS.INTL(MAX(E125,(Reprogramaciones!$T$15+7*(Reprogramaciones!X$14-1))),MIN(F125,(Reprogramaciones!$T$15+7*(Reprogramaciones!X$14-1))+6),11))))))))</f>
        <v/>
      </c>
      <c r="CH125" s="1" t="str">
        <f aca="false">IF(OR(NOT(AND(ISNUMBER(E125),ISNUMBER(F125))),$J$2=""),"",IF(Reprogramaciones!Y$13&lt;Reprogramaciones!$T$15,0,IF(Reprogramaciones!Y$14&gt;10,MIN(100,SUM($G125:$P125)),MIN(100,SUMPRODUCT((COLUMN($G125:$P125)-COLUMN($G125)+1&lt;Reprogramaciones!Y$14)*$G125:$P125)+N(INDEX($G125:$P125,1,Reprogramaciones!Y$14))*IF(Reprogramaciones!Y$13&gt;=(Reprogramaciones!$T$15+7*(Reprogramaciones!Y$14-1))+6,1,IF(MAX(0,NETWORKDAYS.INTL(MAX(E125,(Reprogramaciones!$T$15+7*(Reprogramaciones!Y$14-1))),MIN(F125,(Reprogramaciones!$T$15+7*(Reprogramaciones!Y$14-1))+6),11))=0,0,MAX(0,NETWORKDAYS.INTL(MAX(E125,(Reprogramaciones!$T$15+7*(Reprogramaciones!Y$14-1))),MIN(F125,Reprogramaciones!Y$13),11))/MAX(0,NETWORKDAYS.INTL(MAX(E125,(Reprogramaciones!$T$15+7*(Reprogramaciones!Y$14-1))),MIN(F125,(Reprogramaciones!$T$15+7*(Reprogramaciones!Y$14-1))+6),11))))))))</f>
        <v/>
      </c>
      <c r="CI125" s="1" t="str">
        <f aca="false">IF(OR(NOT(AND(ISNUMBER(E125),ISNUMBER(F125))),$J$2=""),"",IF(Reprogramaciones!Z$13&lt;Reprogramaciones!$T$15,0,IF(Reprogramaciones!Z$14&gt;10,MIN(100,SUM($G125:$P125)),MIN(100,SUMPRODUCT((COLUMN($G125:$P125)-COLUMN($G125)+1&lt;Reprogramaciones!Z$14)*$G125:$P125)+N(INDEX($G125:$P125,1,Reprogramaciones!Z$14))*IF(Reprogramaciones!Z$13&gt;=(Reprogramaciones!$T$15+7*(Reprogramaciones!Z$14-1))+6,1,IF(MAX(0,NETWORKDAYS.INTL(MAX(E125,(Reprogramaciones!$T$15+7*(Reprogramaciones!Z$14-1))),MIN(F125,(Reprogramaciones!$T$15+7*(Reprogramaciones!Z$14-1))+6),11))=0,0,MAX(0,NETWORKDAYS.INTL(MAX(E125,(Reprogramaciones!$T$15+7*(Reprogramaciones!Z$14-1))),MIN(F125,Reprogramaciones!Z$13),11))/MAX(0,NETWORKDAYS.INTL(MAX(E125,(Reprogramaciones!$T$15+7*(Reprogramaciones!Z$14-1))),MIN(F125,(Reprogramaciones!$T$15+7*(Reprogramaciones!Z$14-1))+6),11))))))))</f>
        <v/>
      </c>
      <c r="CJ125" s="1" t="str">
        <f aca="false">IF(OR(OR(NOT(AND(ISNUMBER(E125),ISNUMBER(F125))),$J$2=""),1&gt;Reprogramaciones!$K$16),"",IF(ROUND(SUM($Q125:Q125),1)&gt;=99.5,100,MIN(100,ROUND(SUM($Q125:Q125),1))))</f>
        <v/>
      </c>
      <c r="CK125" s="1" t="str">
        <f aca="false">IF(OR(OR(NOT(AND(ISNUMBER(E125),ISNUMBER(F125))),$J$2=""),2&gt;Reprogramaciones!$K$16),"",IF(ROUND(SUM($Q125:R125),1)&gt;=99.5,100,MIN(100,ROUND(SUM($Q125:R125),1))))</f>
        <v/>
      </c>
      <c r="CL125" s="1" t="str">
        <f aca="false">IF(OR(OR(NOT(AND(ISNUMBER(E125),ISNUMBER(F125))),$J$2=""),3&gt;Reprogramaciones!$K$16),"",IF(ROUND(SUM($Q125:S125),1)&gt;=99.5,100,MIN(100,ROUND(SUM($Q125:S125),1))))</f>
        <v/>
      </c>
      <c r="CM125" s="1" t="str">
        <f aca="false">IF(OR(OR(NOT(AND(ISNUMBER(E125),ISNUMBER(F125))),$J$2=""),4&gt;Reprogramaciones!$K$16),"",IF(ROUND(SUM($Q125:T125),1)&gt;=99.5,100,MIN(100,ROUND(SUM($Q125:T125),1))))</f>
        <v/>
      </c>
      <c r="CN125" s="1" t="str">
        <f aca="false">IF(OR(OR(NOT(AND(ISNUMBER(E125),ISNUMBER(F125))),$J$2=""),5&gt;Reprogramaciones!$K$16),"",IF(ROUND(SUM($Q125:U125),1)&gt;=99.5,100,MIN(100,ROUND(SUM($Q125:U125),1))))</f>
        <v/>
      </c>
      <c r="CO125" s="1" t="str">
        <f aca="false">IF(OR(OR(NOT(AND(ISNUMBER(E125),ISNUMBER(F125))),$J$2=""),6&gt;Reprogramaciones!$K$16),"",IF(ROUND(SUM($Q125:V125),1)&gt;=99.5,100,MIN(100,ROUND(SUM($Q125:V125),1))))</f>
        <v/>
      </c>
      <c r="CP125" s="1" t="str">
        <f aca="false">IF(OR(OR(NOT(AND(ISNUMBER(E125),ISNUMBER(F125))),$J$2=""),7&gt;Reprogramaciones!$K$16),"",IF(ROUND(SUM($Q125:W125),1)&gt;=99.5,100,MIN(100,ROUND(SUM($Q125:W125),1))))</f>
        <v/>
      </c>
      <c r="CQ125" s="1" t="str">
        <f aca="false">IF(OR(OR(NOT(AND(ISNUMBER(E125),ISNUMBER(F125))),$J$2=""),8&gt;Reprogramaciones!$K$16),"",IF(ROUND(SUM($Q125:X125),1)&gt;=99.5,100,MIN(100,ROUND(SUM($Q125:X125),1))))</f>
        <v/>
      </c>
      <c r="CR125" s="1" t="str">
        <f aca="false">IF(OR(OR(NOT(AND(ISNUMBER(E125),ISNUMBER(F125))),$J$2=""),9&gt;Reprogramaciones!$K$16),"",IF(ROUND(SUM($Q125:Y125),1)&gt;=99.5,100,MIN(100,ROUND(SUM($Q125:Y125),1))))</f>
        <v/>
      </c>
      <c r="CS125" s="1" t="str">
        <f aca="false">IF(OR(OR(NOT(AND(ISNUMBER(E125),ISNUMBER(F125))),$J$2=""),10&gt;Reprogramaciones!$K$16),"",IF(ROUND(SUM($Q125:Z125),1)&gt;=99.5,100,MIN(100,ROUND(SUM($Q125:Z125),1))))</f>
        <v/>
      </c>
      <c r="CT125" s="1" t="str">
        <f aca="false">IF(OR(OR(NOT(AND(ISNUMBER(E125),ISNUMBER(F125))),$J$2=""),11&gt;Reprogramaciones!$K$16),"",IF(ROUND(SUM($Q125:AA125),1)&gt;=99.5,100,MIN(100,ROUND(SUM($Q125:AA125),1))))</f>
        <v/>
      </c>
      <c r="CU125" s="1" t="str">
        <f aca="false">IF(OR(OR(NOT(AND(ISNUMBER(E125),ISNUMBER(F125))),$J$2=""),12&gt;Reprogramaciones!$K$16),"",IF(ROUND(SUM($Q125:AB125),1)&gt;=99.5,100,MIN(100,ROUND(SUM($Q125:AB125),1))))</f>
        <v/>
      </c>
      <c r="CV125" s="1" t="str">
        <f aca="false">IF(OR(OR(NOT(AND(ISNUMBER(E125),ISNUMBER(F125))),$J$2=""),13&gt;Reprogramaciones!$K$16),"",IF(ROUND(SUM($Q125:AC125),1)&gt;=99.5,100,MIN(100,ROUND(SUM($Q125:AC125),1))))</f>
        <v/>
      </c>
      <c r="CW125" s="1" t="str">
        <f aca="false">IF(OR(OR(NOT(AND(ISNUMBER(E125),ISNUMBER(F125))),$J$2=""),14&gt;Reprogramaciones!$K$16),"",IF(ROUND(SUM($Q125:AD125),1)&gt;=99.5,100,MIN(100,ROUND(SUM($Q125:AD125),1))))</f>
        <v/>
      </c>
      <c r="CX125" s="1" t="str">
        <f aca="false">IF(OR(OR(NOT(AND(ISNUMBER(E125),ISNUMBER(F125))),$J$2=""),15&gt;Reprogramaciones!$K$16),"",IF(ROUND(SUM($Q125:AE125),1)&gt;=99.5,100,MIN(100,ROUND(SUM($Q125:AE125),1))))</f>
        <v/>
      </c>
      <c r="CY125" s="1" t="str">
        <f aca="false">IF(OR(OR(NOT(AND(ISNUMBER(E125),ISNUMBER(F125))),$J$2=""),16&gt;Reprogramaciones!$K$16),"",IF(ROUND(SUM($Q125:AF125),1)&gt;=99.5,100,MIN(100,ROUND(SUM($Q125:AF125),1))))</f>
        <v/>
      </c>
      <c r="CZ125" s="1" t="str">
        <f aca="false">IF(D125&lt;&gt;"",D125,IF(B125&lt;&gt;"","Contractual",CZ124))</f>
        <v>Contractual</v>
      </c>
      <c r="DA125" s="1" t="str">
        <f aca="false">IF(OR(NOT(AND(ISNUMBER(E125),ISNUMBER(F125))),$J$2=""),"",IF(Reprogramaciones!$Q$15&lt;Reprogramaciones!$T$15,0,IF(Reprogramaciones!$S$15&gt;10,MIN(100,SUM($G125:$P125)),MIN(100,SUMPRODUCT((COLUMN($G125:$P125)-COLUMN($G125)+1&lt;Reprogramaciones!$S$15)*$G125:$P125)+N(INDEX($G125:$P125,1,Reprogramaciones!$S$15))*IF(Reprogramaciones!$Q$15&gt;=(Reprogramaciones!$T$15+7*(Reprogramaciones!$S$15-1))+6,1,IF(MAX(0,NETWORKDAYS.INTL(MAX(E125,(Reprogramaciones!$T$15+7*(Reprogramaciones!$S$15-1))),MIN(F125,(Reprogramaciones!$T$15+7*(Reprogramaciones!$S$15-1))+6),11))=0,0,MAX(0,NETWORKDAYS.INTL(MAX(E125,(Reprogramaciones!$T$15+7*(Reprogramaciones!$S$15-1))),MIN(F125,Reprogramaciones!$Q$15),11))/MAX(0,NETWORKDAYS.INTL(MAX(E125,(Reprogramaciones!$T$15+7*(Reprogramaciones!$S$15-1))),MIN(F125,(Reprogramaciones!$T$15+7*(Reprogramaciones!$S$15-1))+6),11))))))))</f>
        <v/>
      </c>
    </row>
    <row r="126" customFormat="false" ht="15" hidden="false" customHeight="false" outlineLevel="0" collapsed="false">
      <c r="A126" s="32"/>
      <c r="B126" s="33"/>
      <c r="C126" s="33"/>
      <c r="D126" s="34"/>
      <c r="E126" s="35"/>
      <c r="F126" s="35"/>
      <c r="G126" s="36" t="str">
        <f aca="false">IF(OR(NOT(AND(ISNUMBER(E126),ISNUMBER(F126))),$J$2=""),"",IF(Reprogramaciones!K$9&lt;E126,0,IF(NETWORKDAYS.INTL(E126,F126,11)=0,IF(Reprogramaciones!K$9&gt;=F126,100,0),ROUND(NETWORKDAYS.INTL(E126,MIN(F126,Reprogramaciones!K$9),11)/NETWORKDAYS.INTL(E126,F126,11)*100,1)))-0)</f>
        <v/>
      </c>
      <c r="H126" s="36" t="str">
        <f aca="false">IF(OR(NOT(AND(ISNUMBER(E126),ISNUMBER(F126))),$J$2=""),"",IF(Reprogramaciones!L$9&lt;E126,0,IF(NETWORKDAYS.INTL(E126,F126,11)=0,IF(Reprogramaciones!L$9&gt;=F126,100,0),ROUND(NETWORKDAYS.INTL(E126,MIN(F126,Reprogramaciones!L$9),11)/NETWORKDAYS.INTL(E126,F126,11)*100,1)))-IF(Reprogramaciones!K$9&lt;E126,0,IF(NETWORKDAYS.INTL(E126,F126,11)=0,IF(Reprogramaciones!K$9&gt;=F126,100,0),ROUND(NETWORKDAYS.INTL(E126,MIN(F126,Reprogramaciones!K$9),11)/NETWORKDAYS.INTL(E126,F126,11)*100,1))))</f>
        <v/>
      </c>
      <c r="I126" s="36" t="str">
        <f aca="false">IF(OR(NOT(AND(ISNUMBER(E126),ISNUMBER(F126))),$J$2=""),"",IF(Reprogramaciones!M$9&lt;E126,0,IF(NETWORKDAYS.INTL(E126,F126,11)=0,IF(Reprogramaciones!M$9&gt;=F126,100,0),ROUND(NETWORKDAYS.INTL(E126,MIN(F126,Reprogramaciones!M$9),11)/NETWORKDAYS.INTL(E126,F126,11)*100,1)))-IF(Reprogramaciones!L$9&lt;E126,0,IF(NETWORKDAYS.INTL(E126,F126,11)=0,IF(Reprogramaciones!L$9&gt;=F126,100,0),ROUND(NETWORKDAYS.INTL(E126,MIN(F126,Reprogramaciones!L$9),11)/NETWORKDAYS.INTL(E126,F126,11)*100,1))))</f>
        <v/>
      </c>
      <c r="J126" s="36" t="str">
        <f aca="false">IF(OR(NOT(AND(ISNUMBER(E126),ISNUMBER(F126))),$J$2=""),"",IF(Reprogramaciones!N$9&lt;E126,0,IF(NETWORKDAYS.INTL(E126,F126,11)=0,IF(Reprogramaciones!N$9&gt;=F126,100,0),ROUND(NETWORKDAYS.INTL(E126,MIN(F126,Reprogramaciones!N$9),11)/NETWORKDAYS.INTL(E126,F126,11)*100,1)))-IF(Reprogramaciones!M$9&lt;E126,0,IF(NETWORKDAYS.INTL(E126,F126,11)=0,IF(Reprogramaciones!M$9&gt;=F126,100,0),ROUND(NETWORKDAYS.INTL(E126,MIN(F126,Reprogramaciones!M$9),11)/NETWORKDAYS.INTL(E126,F126,11)*100,1))))</f>
        <v/>
      </c>
      <c r="K126" s="36" t="str">
        <f aca="false">IF(OR(NOT(AND(ISNUMBER(E126),ISNUMBER(F126))),$J$2=""),"",IF(Reprogramaciones!O$9&lt;E126,0,IF(NETWORKDAYS.INTL(E126,F126,11)=0,IF(Reprogramaciones!O$9&gt;=F126,100,0),ROUND(NETWORKDAYS.INTL(E126,MIN(F126,Reprogramaciones!O$9),11)/NETWORKDAYS.INTL(E126,F126,11)*100,1)))-IF(Reprogramaciones!N$9&lt;E126,0,IF(NETWORKDAYS.INTL(E126,F126,11)=0,IF(Reprogramaciones!N$9&gt;=F126,100,0),ROUND(NETWORKDAYS.INTL(E126,MIN(F126,Reprogramaciones!N$9),11)/NETWORKDAYS.INTL(E126,F126,11)*100,1))))</f>
        <v/>
      </c>
      <c r="L126" s="36" t="str">
        <f aca="false">IF(OR(NOT(AND(ISNUMBER(E126),ISNUMBER(F126))),$J$2=""),"",IF(Reprogramaciones!P$9&lt;E126,0,IF(NETWORKDAYS.INTL(E126,F126,11)=0,IF(Reprogramaciones!P$9&gt;=F126,100,0),ROUND(NETWORKDAYS.INTL(E126,MIN(F126,Reprogramaciones!P$9),11)/NETWORKDAYS.INTL(E126,F126,11)*100,1)))-IF(Reprogramaciones!O$9&lt;E126,0,IF(NETWORKDAYS.INTL(E126,F126,11)=0,IF(Reprogramaciones!O$9&gt;=F126,100,0),ROUND(NETWORKDAYS.INTL(E126,MIN(F126,Reprogramaciones!O$9),11)/NETWORKDAYS.INTL(E126,F126,11)*100,1))))</f>
        <v/>
      </c>
      <c r="M126" s="36" t="str">
        <f aca="false">IF(OR(NOT(AND(ISNUMBER(E126),ISNUMBER(F126))),$J$2=""),"",IF(Reprogramaciones!Q$9&lt;E126,0,IF(NETWORKDAYS.INTL(E126,F126,11)=0,IF(Reprogramaciones!Q$9&gt;=F126,100,0),ROUND(NETWORKDAYS.INTL(E126,MIN(F126,Reprogramaciones!Q$9),11)/NETWORKDAYS.INTL(E126,F126,11)*100,1)))-IF(Reprogramaciones!P$9&lt;E126,0,IF(NETWORKDAYS.INTL(E126,F126,11)=0,IF(Reprogramaciones!P$9&gt;=F126,100,0),ROUND(NETWORKDAYS.INTL(E126,MIN(F126,Reprogramaciones!P$9),11)/NETWORKDAYS.INTL(E126,F126,11)*100,1))))</f>
        <v/>
      </c>
      <c r="N126" s="36" t="str">
        <f aca="false">IF(OR(NOT(AND(ISNUMBER(E126),ISNUMBER(F126))),$J$2=""),"",IF(Reprogramaciones!R$9&lt;E126,0,IF(NETWORKDAYS.INTL(E126,F126,11)=0,IF(Reprogramaciones!R$9&gt;=F126,100,0),ROUND(NETWORKDAYS.INTL(E126,MIN(F126,Reprogramaciones!R$9),11)/NETWORKDAYS.INTL(E126,F126,11)*100,1)))-IF(Reprogramaciones!Q$9&lt;E126,0,IF(NETWORKDAYS.INTL(E126,F126,11)=0,IF(Reprogramaciones!Q$9&gt;=F126,100,0),ROUND(NETWORKDAYS.INTL(E126,MIN(F126,Reprogramaciones!Q$9),11)/NETWORKDAYS.INTL(E126,F126,11)*100,1))))</f>
        <v/>
      </c>
      <c r="O126" s="36" t="str">
        <f aca="false">IF(OR(NOT(AND(ISNUMBER(E126),ISNUMBER(F126))),$J$2=""),"",IF(Reprogramaciones!S$9&lt;E126,0,IF(NETWORKDAYS.INTL(E126,F126,11)=0,IF(Reprogramaciones!S$9&gt;=F126,100,0),ROUND(NETWORKDAYS.INTL(E126,MIN(F126,Reprogramaciones!S$9),11)/NETWORKDAYS.INTL(E126,F126,11)*100,1)))-IF(Reprogramaciones!R$9&lt;E126,0,IF(NETWORKDAYS.INTL(E126,F126,11)=0,IF(Reprogramaciones!R$9&gt;=F126,100,0),ROUND(NETWORKDAYS.INTL(E126,MIN(F126,Reprogramaciones!R$9),11)/NETWORKDAYS.INTL(E126,F126,11)*100,1))))</f>
        <v/>
      </c>
      <c r="P126" s="36" t="str">
        <f aca="false">IF(OR(NOT(AND(ISNUMBER(E126),ISNUMBER(F126))),$J$2=""),"",IF(Reprogramaciones!T$9&lt;E126,0,IF(NETWORKDAYS.INTL(E126,F126,11)=0,IF(Reprogramaciones!T$9&gt;=F126,100,0),ROUND(NETWORKDAYS.INTL(E126,MIN(F126,Reprogramaciones!T$9),11)/NETWORKDAYS.INTL(E126,F126,11)*100,1)))-IF(Reprogramaciones!S$9&lt;E126,0,IF(NETWORKDAYS.INTL(E126,F126,11)=0,IF(Reprogramaciones!S$9&gt;=F126,100,0),ROUND(NETWORKDAYS.INTL(E126,MIN(F126,Reprogramaciones!S$9),11)/NETWORKDAYS.INTL(E126,F126,11)*100,1))))</f>
        <v/>
      </c>
      <c r="Q126" s="37"/>
      <c r="R126" s="37"/>
      <c r="S126" s="37"/>
      <c r="T126" s="37"/>
      <c r="U126" s="37"/>
      <c r="V126" s="37"/>
      <c r="W126" s="37"/>
      <c r="X126" s="37"/>
      <c r="Y126" s="37"/>
      <c r="Z126" s="37"/>
      <c r="AA126" s="37"/>
      <c r="AB126" s="37"/>
      <c r="AC126" s="37"/>
      <c r="AD126" s="37"/>
      <c r="AE126" s="37"/>
      <c r="AF126" s="37"/>
      <c r="AG126" s="38" t="str">
        <f aca="false">IF(AND(ISNUMBER(E126),ISNUMBER(F126)),NETWORKDAYS.INTL(E126,F126,11),"")</f>
        <v/>
      </c>
      <c r="AH126" s="38" t="str">
        <f aca="false">IF(OR(NOT(AND(ISNUMBER(E126),ISNUMBER(F126))),$J$2=""),"",IF(Reprogramaciones!$P$15&lt;Reprogramaciones!$T$15,0,IF(Reprogramaciones!$R$15&gt;10,MIN(100,SUM($G126:$P126)),MIN(100,SUMPRODUCT((COLUMN($G126:$P126)-COLUMN($G126)+1&lt;Reprogramaciones!$R$15)*$G126:$P126)+N(INDEX($G126:$P126,1,Reprogramaciones!$R$15))*IF(Reprogramaciones!$P$15&gt;=(Reprogramaciones!$T$15+7*(Reprogramaciones!$R$15-1))+6,1,IF(MAX(0,NETWORKDAYS.INTL(MAX(E126,(Reprogramaciones!$T$15+7*(Reprogramaciones!$R$15-1))),MIN(F126,(Reprogramaciones!$T$15+7*(Reprogramaciones!$R$15-1))+6),11))=0,0,MAX(0,NETWORKDAYS.INTL(MAX(E126,(Reprogramaciones!$T$15+7*(Reprogramaciones!$R$15-1))),MIN(F126,Reprogramaciones!$P$15),11))/MAX(0,NETWORKDAYS.INTL(MAX(E126,(Reprogramaciones!$T$15+7*(Reprogramaciones!$R$15-1))),MIN(F126,(Reprogramaciones!$T$15+7*(Reprogramaciones!$R$15-1))+6),11))))))))</f>
        <v/>
      </c>
      <c r="AI126" s="38" t="str">
        <f aca="false">IF(COUNT($Q126:$AF126)=0,"",IF(ROUND(SUM($Q126:$AF126),1)&gt;=99.5,100,MIN(100,ROUND(SUM($Q126:$AF126),1))))</f>
        <v/>
      </c>
      <c r="AJ126" s="38" t="str">
        <f aca="false">IF(OR(AH126="",AI126=""),"",AI126-AH126)</f>
        <v/>
      </c>
      <c r="AK126" s="39" t="str">
        <f aca="true">IF(AH126="","",IF(OR(Ficha!$C$10="Suspendida",Ficha!$C$10="Cancelada"),Ficha!$C$10,IF(AND(AI126&lt;&gt;"",N(AI126)&gt;=100),"Completada",IF(AND(E126&gt;TODAY(),N(AI126)=0),"Por iniciar",IF(N(AI126)+0.5&lt;AH126,"Retrasada",IF(N(AI126)+0.5&lt;DA126,IF(Reprogramaciones!$K$15&gt;0,"Al día · Sem "&amp;Reprogramaciones!$K$15&amp;" en curso","Al día · en curso"),"A tiempo"))))))</f>
        <v/>
      </c>
      <c r="AL126" s="39" t="str">
        <f aca="true">IF(AND(A126="",AND(B126="",C126="",E126="",F126="",COUNT(Q126:AF126)=0)),"",IF(AND(B126="",C126="",E126="",F126="",COUNT(Q126:AF126)=0),"Falta la partida o subpartida",IF(AND(A126&lt;&gt;"",COUNTIF($A$6:$A$305,A126)&gt;1),"Ítem repetido",IF(AND(C126="",E126="",F126="",COUNT(Q126:AF126)=0),"Título de partida",IF(OR(E126="",F126=""),"Faltan fechas",IF(OR(ISTEXT(E126),ISTEXT(F126)),"Fecha escrita como texto: usa dd/mm/aaaa",IF(F126&lt;E126,"Fin antes del inicio",IF(IF($J$2="",FALSE(),OR(E126&lt;$J$2,F126&gt;Reprogramaciones!$T$15+69)),"Fuera de las 10 semanas",IF(ABS(SUM(G126:P126)-100)&gt;0.5,"La meta no suma 100%",IF(ROUND(SUM(Q126:AF126),1)&gt;100.5,"El avance pasa de 100%",IF(MIN(Q126:AF126)&lt;0,"Avance negativo",IF(COUNTA(Q126:AF126)&gt;COUNT(Q126:AF126),"Avance escrito como texto",IF(SUMPRODUCT((Q126:AF126&gt;0)*(Q126:AF126&lt;1))&gt;0,"Avance menor a 1: escribe 50, no 50%",IF(SUMPRODUCT(ISNUMBER(Q126:AF126)*(Reprogramaciones!$K$8:$Z$8&gt;TODAY()))&gt;0,"Avance en semana que aún no llega",IF(AND(N(Reprogramaciones!$E$21)&gt;0,F126&gt;Reprogramaciones!$E$21),"Pasa el fin de la obra: registra una reprogramación",IF(AND(N(Reprogramaciones!$E$21)&gt;0,SUMPRODUCT(ISNUMBER(Q126:AF126)*(Reprogramaciones!$K$8:$Z$8&gt;Reprogramaciones!$E$21))&gt;0),"Avance después del fin de la obra: registra una reprogramación por atraso","OK"))))))))))))))))</f>
        <v/>
      </c>
      <c r="AM126" s="40" t="str">
        <f aca="false">IF(OR(OR(NOT(AND(ISNUMBER(E126),ISNUMBER(F126))),$J$2=""),1&gt;MAX(1,Reprogramaciones!$U$15)),"",IF(Reprogramaciones!K$12&gt;=7,"",IF(OR(BT126-N(0)&gt;0.05,N(Q126)&gt;0),ROUNDDOWN(ROUND(BT126,6),0)&amp;"%"&amp;IF(CJ126="",""," / "&amp;CJ126&amp;"%"),IF(AND(N(0)&gt;=99.95,CJ126&lt;&gt;"",N(CJ126)&lt;100),"Pend. "&amp;CJ126&amp;"%",""))))</f>
        <v/>
      </c>
      <c r="AN126" s="40" t="str">
        <f aca="false">IF(OR(OR(NOT(AND(ISNUMBER(E126),ISNUMBER(F126))),$J$2=""),2&gt;MAX(1,Reprogramaciones!$U$15)),"",IF(Reprogramaciones!L$12&gt;=7,"",IF(OR(BU126-N(BT126)&gt;0.05,N(R126)&gt;0),ROUNDDOWN(ROUND(BU126,6),0)&amp;"%"&amp;IF(CK126="",""," / "&amp;CK126&amp;"%"),IF(AND(N(BT126)&gt;=99.95,CK126&lt;&gt;"",N(CK126)&lt;100),"Pend. "&amp;CK126&amp;"%",""))))</f>
        <v/>
      </c>
      <c r="AO126" s="40" t="str">
        <f aca="false">IF(OR(OR(NOT(AND(ISNUMBER(E126),ISNUMBER(F126))),$J$2=""),3&gt;MAX(1,Reprogramaciones!$U$15)),"",IF(Reprogramaciones!M$12&gt;=7,"",IF(OR(BV126-N(BU126)&gt;0.05,N(S126)&gt;0),ROUNDDOWN(ROUND(BV126,6),0)&amp;"%"&amp;IF(CL126="",""," / "&amp;CL126&amp;"%"),IF(AND(N(BU126)&gt;=99.95,CL126&lt;&gt;"",N(CL126)&lt;100),"Pend. "&amp;CL126&amp;"%",""))))</f>
        <v/>
      </c>
      <c r="AP126" s="40" t="str">
        <f aca="false">IF(OR(OR(NOT(AND(ISNUMBER(E126),ISNUMBER(F126))),$J$2=""),4&gt;MAX(1,Reprogramaciones!$U$15)),"",IF(Reprogramaciones!N$12&gt;=7,"",IF(OR(BW126-N(BV126)&gt;0.05,N(T126)&gt;0),ROUNDDOWN(ROUND(BW126,6),0)&amp;"%"&amp;IF(CM126="",""," / "&amp;CM126&amp;"%"),IF(AND(N(BV126)&gt;=99.95,CM126&lt;&gt;"",N(CM126)&lt;100),"Pend. "&amp;CM126&amp;"%",""))))</f>
        <v/>
      </c>
      <c r="AQ126" s="40" t="str">
        <f aca="false">IF(OR(OR(NOT(AND(ISNUMBER(E126),ISNUMBER(F126))),$J$2=""),5&gt;MAX(1,Reprogramaciones!$U$15)),"",IF(Reprogramaciones!O$12&gt;=7,"",IF(OR(BX126-N(BW126)&gt;0.05,N(U126)&gt;0),ROUNDDOWN(ROUND(BX126,6),0)&amp;"%"&amp;IF(CN126="",""," / "&amp;CN126&amp;"%"),IF(AND(N(BW126)&gt;=99.95,CN126&lt;&gt;"",N(CN126)&lt;100),"Pend. "&amp;CN126&amp;"%",""))))</f>
        <v/>
      </c>
      <c r="AR126" s="40" t="str">
        <f aca="false">IF(OR(OR(NOT(AND(ISNUMBER(E126),ISNUMBER(F126))),$J$2=""),6&gt;MAX(1,Reprogramaciones!$U$15)),"",IF(Reprogramaciones!P$12&gt;=7,"",IF(OR(BY126-N(BX126)&gt;0.05,N(V126)&gt;0),ROUNDDOWN(ROUND(BY126,6),0)&amp;"%"&amp;IF(CO126="",""," / "&amp;CO126&amp;"%"),IF(AND(N(BX126)&gt;=99.95,CO126&lt;&gt;"",N(CO126)&lt;100),"Pend. "&amp;CO126&amp;"%",""))))</f>
        <v/>
      </c>
      <c r="AS126" s="40" t="str">
        <f aca="false">IF(OR(OR(NOT(AND(ISNUMBER(E126),ISNUMBER(F126))),$J$2=""),7&gt;MAX(1,Reprogramaciones!$U$15)),"",IF(Reprogramaciones!Q$12&gt;=7,"",IF(OR(BZ126-N(BY126)&gt;0.05,N(W126)&gt;0),ROUNDDOWN(ROUND(BZ126,6),0)&amp;"%"&amp;IF(CP126="",""," / "&amp;CP126&amp;"%"),IF(AND(N(BY126)&gt;=99.95,CP126&lt;&gt;"",N(CP126)&lt;100),"Pend. "&amp;CP126&amp;"%",""))))</f>
        <v/>
      </c>
      <c r="AT126" s="40" t="str">
        <f aca="false">IF(OR(OR(NOT(AND(ISNUMBER(E126),ISNUMBER(F126))),$J$2=""),8&gt;MAX(1,Reprogramaciones!$U$15)),"",IF(Reprogramaciones!R$12&gt;=7,"",IF(OR(CA126-N(BZ126)&gt;0.05,N(X126)&gt;0),ROUNDDOWN(ROUND(CA126,6),0)&amp;"%"&amp;IF(CQ126="",""," / "&amp;CQ126&amp;"%"),IF(AND(N(BZ126)&gt;=99.95,CQ126&lt;&gt;"",N(CQ126)&lt;100),"Pend. "&amp;CQ126&amp;"%",""))))</f>
        <v/>
      </c>
      <c r="AU126" s="40" t="str">
        <f aca="false">IF(OR(OR(NOT(AND(ISNUMBER(E126),ISNUMBER(F126))),$J$2=""),9&gt;MAX(1,Reprogramaciones!$U$15)),"",IF(Reprogramaciones!S$12&gt;=7,"",IF(OR(CB126-N(CA126)&gt;0.05,N(Y126)&gt;0),ROUNDDOWN(ROUND(CB126,6),0)&amp;"%"&amp;IF(CR126="",""," / "&amp;CR126&amp;"%"),IF(AND(N(CA126)&gt;=99.95,CR126&lt;&gt;"",N(CR126)&lt;100),"Pend. "&amp;CR126&amp;"%",""))))</f>
        <v/>
      </c>
      <c r="AV126" s="40" t="str">
        <f aca="false">IF(OR(OR(NOT(AND(ISNUMBER(E126),ISNUMBER(F126))),$J$2=""),10&gt;MAX(1,Reprogramaciones!$U$15)),"",IF(Reprogramaciones!T$12&gt;=7,"",IF(OR(CC126-N(CB126)&gt;0.05,N(Z126)&gt;0),ROUNDDOWN(ROUND(CC126,6),0)&amp;"%"&amp;IF(CS126="",""," / "&amp;CS126&amp;"%"),IF(AND(N(CB126)&gt;=99.95,CS126&lt;&gt;"",N(CS126)&lt;100),"Pend. "&amp;CS126&amp;"%",""))))</f>
        <v/>
      </c>
      <c r="AW126" s="40" t="str">
        <f aca="false">IF(OR(OR(NOT(AND(ISNUMBER(E126),ISNUMBER(F126))),$J$2=""),11&gt;MAX(1,Reprogramaciones!$U$15)),"",IF(Reprogramaciones!U$12&gt;=7,"",IF(OR(CD126-N(CC126)&gt;0.05,N(AA126)&gt;0),ROUNDDOWN(ROUND(CD126,6),0)&amp;"%"&amp;IF(CT126="",""," / "&amp;CT126&amp;"%"),IF(AND(N(CC126)&gt;=99.95,CT126&lt;&gt;"",N(CT126)&lt;100),"Pend. "&amp;CT126&amp;"%",""))))</f>
        <v/>
      </c>
      <c r="AX126" s="40" t="str">
        <f aca="false">IF(OR(OR(NOT(AND(ISNUMBER(E126),ISNUMBER(F126))),$J$2=""),12&gt;MAX(1,Reprogramaciones!$U$15)),"",IF(Reprogramaciones!V$12&gt;=7,"",IF(OR(CE126-N(CD126)&gt;0.05,N(AB126)&gt;0),ROUNDDOWN(ROUND(CE126,6),0)&amp;"%"&amp;IF(CU126="",""," / "&amp;CU126&amp;"%"),IF(AND(N(CD126)&gt;=99.95,CU126&lt;&gt;"",N(CU126)&lt;100),"Pend. "&amp;CU126&amp;"%",""))))</f>
        <v/>
      </c>
      <c r="AY126" s="40" t="str">
        <f aca="false">IF(OR(OR(NOT(AND(ISNUMBER(E126),ISNUMBER(F126))),$J$2=""),13&gt;MAX(1,Reprogramaciones!$U$15)),"",IF(Reprogramaciones!W$12&gt;=7,"",IF(OR(CF126-N(CE126)&gt;0.05,N(AC126)&gt;0),ROUNDDOWN(ROUND(CF126,6),0)&amp;"%"&amp;IF(CV126="",""," / "&amp;CV126&amp;"%"),IF(AND(N(CE126)&gt;=99.95,CV126&lt;&gt;"",N(CV126)&lt;100),"Pend. "&amp;CV126&amp;"%",""))))</f>
        <v/>
      </c>
      <c r="AZ126" s="40" t="str">
        <f aca="false">IF(OR(OR(NOT(AND(ISNUMBER(E126),ISNUMBER(F126))),$J$2=""),14&gt;MAX(1,Reprogramaciones!$U$15)),"",IF(Reprogramaciones!X$12&gt;=7,"",IF(OR(CG126-N(CF126)&gt;0.05,N(AD126)&gt;0),ROUNDDOWN(ROUND(CG126,6),0)&amp;"%"&amp;IF(CW126="",""," / "&amp;CW126&amp;"%"),IF(AND(N(CF126)&gt;=99.95,CW126&lt;&gt;"",N(CW126)&lt;100),"Pend. "&amp;CW126&amp;"%",""))))</f>
        <v/>
      </c>
      <c r="BA126" s="40" t="str">
        <f aca="false">IF(OR(OR(NOT(AND(ISNUMBER(E126),ISNUMBER(F126))),$J$2=""),15&gt;MAX(1,Reprogramaciones!$U$15)),"",IF(Reprogramaciones!Y$12&gt;=7,"",IF(OR(CH126-N(CG126)&gt;0.05,N(AE126)&gt;0),ROUNDDOWN(ROUND(CH126,6),0)&amp;"%"&amp;IF(CX126="",""," / "&amp;CX126&amp;"%"),IF(AND(N(CG126)&gt;=99.95,CX126&lt;&gt;"",N(CX126)&lt;100),"Pend. "&amp;CX126&amp;"%",""))))</f>
        <v/>
      </c>
      <c r="BB126" s="40" t="str">
        <f aca="false">IF(OR(OR(NOT(AND(ISNUMBER(E126),ISNUMBER(F126))),$J$2=""),16&gt;MAX(1,Reprogramaciones!$U$15)),"",IF(Reprogramaciones!Z$12&gt;=7,"",IF(OR(CI126-N(CH126)&gt;0.05,N(AF126)&gt;0),ROUNDDOWN(ROUND(CI126,6),0)&amp;"%"&amp;IF(CY126="",""," / "&amp;CY126&amp;"%"),IF(AND(N(CH126)&gt;=99.95,CY126&lt;&gt;"",N(CY126)&lt;100),"Pend. "&amp;CY126&amp;"%",""))))</f>
        <v/>
      </c>
      <c r="BC126" s="31" t="n">
        <f aca="false">IF(AND(ISNUMBER(E126),ISNUMBER(F126)),MAX(1,NETWORKDAYS.INTL(E126,F126,11)),0)</f>
        <v>0</v>
      </c>
      <c r="BD126" s="1" t="str">
        <f aca="false">IF(OR(NOT(AND(ISNUMBER(E126),ISNUMBER(F126))),$J$2=""),"",MIN(100,ROUND(SUM($G126:G126),1)))</f>
        <v/>
      </c>
      <c r="BE126" s="1" t="str">
        <f aca="false">IF(OR(NOT(AND(ISNUMBER(E126),ISNUMBER(F126))),$J$2=""),"",MIN(100,ROUND(SUM($G126:H126),1)))</f>
        <v/>
      </c>
      <c r="BF126" s="1" t="str">
        <f aca="false">IF(OR(NOT(AND(ISNUMBER(E126),ISNUMBER(F126))),$J$2=""),"",MIN(100,ROUND(SUM($G126:I126),1)))</f>
        <v/>
      </c>
      <c r="BG126" s="1" t="str">
        <f aca="false">IF(OR(NOT(AND(ISNUMBER(E126),ISNUMBER(F126))),$J$2=""),"",MIN(100,ROUND(SUM($G126:J126),1)))</f>
        <v/>
      </c>
      <c r="BH126" s="1" t="str">
        <f aca="false">IF(OR(NOT(AND(ISNUMBER(E126),ISNUMBER(F126))),$J$2=""),"",MIN(100,ROUND(SUM($G126:K126),1)))</f>
        <v/>
      </c>
      <c r="BI126" s="1" t="str">
        <f aca="false">IF(OR(NOT(AND(ISNUMBER(E126),ISNUMBER(F126))),$J$2=""),"",MIN(100,ROUND(SUM($G126:L126),1)))</f>
        <v/>
      </c>
      <c r="BJ126" s="1" t="str">
        <f aca="false">IF(OR(NOT(AND(ISNUMBER(E126),ISNUMBER(F126))),$J$2=""),"",MIN(100,ROUND(SUM($G126:M126),1)))</f>
        <v/>
      </c>
      <c r="BK126" s="1" t="str">
        <f aca="false">IF(OR(NOT(AND(ISNUMBER(E126),ISNUMBER(F126))),$J$2=""),"",MIN(100,ROUND(SUM($G126:N126),1)))</f>
        <v/>
      </c>
      <c r="BL126" s="1" t="str">
        <f aca="false">IF(OR(NOT(AND(ISNUMBER(E126),ISNUMBER(F126))),$J$2=""),"",MIN(100,ROUND(SUM($G126:O126),1)))</f>
        <v/>
      </c>
      <c r="BM126" s="1" t="str">
        <f aca="false">IF(OR(NOT(AND(ISNUMBER(E126),ISNUMBER(F126))),$J$2=""),"",MIN(100,ROUND(SUM($G126:P126),1)))</f>
        <v/>
      </c>
      <c r="BN126" s="1" t="str">
        <f aca="false">IF(OR(NOT(AND(ISNUMBER(E126),ISNUMBER(F126))),$J$2=""),"",MIN(100,ROUND(SUM($G126:P126),1)))</f>
        <v/>
      </c>
      <c r="BO126" s="1" t="str">
        <f aca="false">IF(OR(NOT(AND(ISNUMBER(E126),ISNUMBER(F126))),$J$2=""),"",MIN(100,ROUND(SUM($G126:P126),1)))</f>
        <v/>
      </c>
      <c r="BP126" s="1" t="str">
        <f aca="false">IF(OR(NOT(AND(ISNUMBER(E126),ISNUMBER(F126))),$J$2=""),"",MIN(100,ROUND(SUM($G126:P126),1)))</f>
        <v/>
      </c>
      <c r="BQ126" s="1" t="str">
        <f aca="false">IF(OR(NOT(AND(ISNUMBER(E126),ISNUMBER(F126))),$J$2=""),"",MIN(100,ROUND(SUM($G126:P126),1)))</f>
        <v/>
      </c>
      <c r="BR126" s="1" t="str">
        <f aca="false">IF(OR(NOT(AND(ISNUMBER(E126),ISNUMBER(F126))),$J$2=""),"",MIN(100,ROUND(SUM($G126:P126),1)))</f>
        <v/>
      </c>
      <c r="BS126" s="1" t="str">
        <f aca="false">IF(OR(NOT(AND(ISNUMBER(E126),ISNUMBER(F126))),$J$2=""),"",MIN(100,ROUND(SUM($G126:P126),1)))</f>
        <v/>
      </c>
      <c r="BT126" s="1" t="str">
        <f aca="false">IF(OR(NOT(AND(ISNUMBER(E126),ISNUMBER(F126))),$J$2=""),"",IF(Reprogramaciones!K$13&lt;Reprogramaciones!$T$15,0,IF(Reprogramaciones!K$14&gt;10,MIN(100,SUM($G126:$P126)),MIN(100,SUMPRODUCT((COLUMN($G126:$P126)-COLUMN($G126)+1&lt;Reprogramaciones!K$14)*$G126:$P126)+N(INDEX($G126:$P126,1,Reprogramaciones!K$14))*IF(Reprogramaciones!K$13&gt;=(Reprogramaciones!$T$15+7*(Reprogramaciones!K$14-1))+6,1,IF(MAX(0,NETWORKDAYS.INTL(MAX(E126,(Reprogramaciones!$T$15+7*(Reprogramaciones!K$14-1))),MIN(F126,(Reprogramaciones!$T$15+7*(Reprogramaciones!K$14-1))+6),11))=0,0,MAX(0,NETWORKDAYS.INTL(MAX(E126,(Reprogramaciones!$T$15+7*(Reprogramaciones!K$14-1))),MIN(F126,Reprogramaciones!K$13),11))/MAX(0,NETWORKDAYS.INTL(MAX(E126,(Reprogramaciones!$T$15+7*(Reprogramaciones!K$14-1))),MIN(F126,(Reprogramaciones!$T$15+7*(Reprogramaciones!K$14-1))+6),11))))))))</f>
        <v/>
      </c>
      <c r="BU126" s="1" t="str">
        <f aca="false">IF(OR(NOT(AND(ISNUMBER(E126),ISNUMBER(F126))),$J$2=""),"",IF(Reprogramaciones!L$13&lt;Reprogramaciones!$T$15,0,IF(Reprogramaciones!L$14&gt;10,MIN(100,SUM($G126:$P126)),MIN(100,SUMPRODUCT((COLUMN($G126:$P126)-COLUMN($G126)+1&lt;Reprogramaciones!L$14)*$G126:$P126)+N(INDEX($G126:$P126,1,Reprogramaciones!L$14))*IF(Reprogramaciones!L$13&gt;=(Reprogramaciones!$T$15+7*(Reprogramaciones!L$14-1))+6,1,IF(MAX(0,NETWORKDAYS.INTL(MAX(E126,(Reprogramaciones!$T$15+7*(Reprogramaciones!L$14-1))),MIN(F126,(Reprogramaciones!$T$15+7*(Reprogramaciones!L$14-1))+6),11))=0,0,MAX(0,NETWORKDAYS.INTL(MAX(E126,(Reprogramaciones!$T$15+7*(Reprogramaciones!L$14-1))),MIN(F126,Reprogramaciones!L$13),11))/MAX(0,NETWORKDAYS.INTL(MAX(E126,(Reprogramaciones!$T$15+7*(Reprogramaciones!L$14-1))),MIN(F126,(Reprogramaciones!$T$15+7*(Reprogramaciones!L$14-1))+6),11))))))))</f>
        <v/>
      </c>
      <c r="BV126" s="1" t="str">
        <f aca="false">IF(OR(NOT(AND(ISNUMBER(E126),ISNUMBER(F126))),$J$2=""),"",IF(Reprogramaciones!M$13&lt;Reprogramaciones!$T$15,0,IF(Reprogramaciones!M$14&gt;10,MIN(100,SUM($G126:$P126)),MIN(100,SUMPRODUCT((COLUMN($G126:$P126)-COLUMN($G126)+1&lt;Reprogramaciones!M$14)*$G126:$P126)+N(INDEX($G126:$P126,1,Reprogramaciones!M$14))*IF(Reprogramaciones!M$13&gt;=(Reprogramaciones!$T$15+7*(Reprogramaciones!M$14-1))+6,1,IF(MAX(0,NETWORKDAYS.INTL(MAX(E126,(Reprogramaciones!$T$15+7*(Reprogramaciones!M$14-1))),MIN(F126,(Reprogramaciones!$T$15+7*(Reprogramaciones!M$14-1))+6),11))=0,0,MAX(0,NETWORKDAYS.INTL(MAX(E126,(Reprogramaciones!$T$15+7*(Reprogramaciones!M$14-1))),MIN(F126,Reprogramaciones!M$13),11))/MAX(0,NETWORKDAYS.INTL(MAX(E126,(Reprogramaciones!$T$15+7*(Reprogramaciones!M$14-1))),MIN(F126,(Reprogramaciones!$T$15+7*(Reprogramaciones!M$14-1))+6),11))))))))</f>
        <v/>
      </c>
      <c r="BW126" s="1" t="str">
        <f aca="false">IF(OR(NOT(AND(ISNUMBER(E126),ISNUMBER(F126))),$J$2=""),"",IF(Reprogramaciones!N$13&lt;Reprogramaciones!$T$15,0,IF(Reprogramaciones!N$14&gt;10,MIN(100,SUM($G126:$P126)),MIN(100,SUMPRODUCT((COLUMN($G126:$P126)-COLUMN($G126)+1&lt;Reprogramaciones!N$14)*$G126:$P126)+N(INDEX($G126:$P126,1,Reprogramaciones!N$14))*IF(Reprogramaciones!N$13&gt;=(Reprogramaciones!$T$15+7*(Reprogramaciones!N$14-1))+6,1,IF(MAX(0,NETWORKDAYS.INTL(MAX(E126,(Reprogramaciones!$T$15+7*(Reprogramaciones!N$14-1))),MIN(F126,(Reprogramaciones!$T$15+7*(Reprogramaciones!N$14-1))+6),11))=0,0,MAX(0,NETWORKDAYS.INTL(MAX(E126,(Reprogramaciones!$T$15+7*(Reprogramaciones!N$14-1))),MIN(F126,Reprogramaciones!N$13),11))/MAX(0,NETWORKDAYS.INTL(MAX(E126,(Reprogramaciones!$T$15+7*(Reprogramaciones!N$14-1))),MIN(F126,(Reprogramaciones!$T$15+7*(Reprogramaciones!N$14-1))+6),11))))))))</f>
        <v/>
      </c>
      <c r="BX126" s="1" t="str">
        <f aca="false">IF(OR(NOT(AND(ISNUMBER(E126),ISNUMBER(F126))),$J$2=""),"",IF(Reprogramaciones!O$13&lt;Reprogramaciones!$T$15,0,IF(Reprogramaciones!O$14&gt;10,MIN(100,SUM($G126:$P126)),MIN(100,SUMPRODUCT((COLUMN($G126:$P126)-COLUMN($G126)+1&lt;Reprogramaciones!O$14)*$G126:$P126)+N(INDEX($G126:$P126,1,Reprogramaciones!O$14))*IF(Reprogramaciones!O$13&gt;=(Reprogramaciones!$T$15+7*(Reprogramaciones!O$14-1))+6,1,IF(MAX(0,NETWORKDAYS.INTL(MAX(E126,(Reprogramaciones!$T$15+7*(Reprogramaciones!O$14-1))),MIN(F126,(Reprogramaciones!$T$15+7*(Reprogramaciones!O$14-1))+6),11))=0,0,MAX(0,NETWORKDAYS.INTL(MAX(E126,(Reprogramaciones!$T$15+7*(Reprogramaciones!O$14-1))),MIN(F126,Reprogramaciones!O$13),11))/MAX(0,NETWORKDAYS.INTL(MAX(E126,(Reprogramaciones!$T$15+7*(Reprogramaciones!O$14-1))),MIN(F126,(Reprogramaciones!$T$15+7*(Reprogramaciones!O$14-1))+6),11))))))))</f>
        <v/>
      </c>
      <c r="BY126" s="1" t="str">
        <f aca="false">IF(OR(NOT(AND(ISNUMBER(E126),ISNUMBER(F126))),$J$2=""),"",IF(Reprogramaciones!P$13&lt;Reprogramaciones!$T$15,0,IF(Reprogramaciones!P$14&gt;10,MIN(100,SUM($G126:$P126)),MIN(100,SUMPRODUCT((COLUMN($G126:$P126)-COLUMN($G126)+1&lt;Reprogramaciones!P$14)*$G126:$P126)+N(INDEX($G126:$P126,1,Reprogramaciones!P$14))*IF(Reprogramaciones!P$13&gt;=(Reprogramaciones!$T$15+7*(Reprogramaciones!P$14-1))+6,1,IF(MAX(0,NETWORKDAYS.INTL(MAX(E126,(Reprogramaciones!$T$15+7*(Reprogramaciones!P$14-1))),MIN(F126,(Reprogramaciones!$T$15+7*(Reprogramaciones!P$14-1))+6),11))=0,0,MAX(0,NETWORKDAYS.INTL(MAX(E126,(Reprogramaciones!$T$15+7*(Reprogramaciones!P$14-1))),MIN(F126,Reprogramaciones!P$13),11))/MAX(0,NETWORKDAYS.INTL(MAX(E126,(Reprogramaciones!$T$15+7*(Reprogramaciones!P$14-1))),MIN(F126,(Reprogramaciones!$T$15+7*(Reprogramaciones!P$14-1))+6),11))))))))</f>
        <v/>
      </c>
      <c r="BZ126" s="1" t="str">
        <f aca="false">IF(OR(NOT(AND(ISNUMBER(E126),ISNUMBER(F126))),$J$2=""),"",IF(Reprogramaciones!Q$13&lt;Reprogramaciones!$T$15,0,IF(Reprogramaciones!Q$14&gt;10,MIN(100,SUM($G126:$P126)),MIN(100,SUMPRODUCT((COLUMN($G126:$P126)-COLUMN($G126)+1&lt;Reprogramaciones!Q$14)*$G126:$P126)+N(INDEX($G126:$P126,1,Reprogramaciones!Q$14))*IF(Reprogramaciones!Q$13&gt;=(Reprogramaciones!$T$15+7*(Reprogramaciones!Q$14-1))+6,1,IF(MAX(0,NETWORKDAYS.INTL(MAX(E126,(Reprogramaciones!$T$15+7*(Reprogramaciones!Q$14-1))),MIN(F126,(Reprogramaciones!$T$15+7*(Reprogramaciones!Q$14-1))+6),11))=0,0,MAX(0,NETWORKDAYS.INTL(MAX(E126,(Reprogramaciones!$T$15+7*(Reprogramaciones!Q$14-1))),MIN(F126,Reprogramaciones!Q$13),11))/MAX(0,NETWORKDAYS.INTL(MAX(E126,(Reprogramaciones!$T$15+7*(Reprogramaciones!Q$14-1))),MIN(F126,(Reprogramaciones!$T$15+7*(Reprogramaciones!Q$14-1))+6),11))))))))</f>
        <v/>
      </c>
      <c r="CA126" s="1" t="str">
        <f aca="false">IF(OR(NOT(AND(ISNUMBER(E126),ISNUMBER(F126))),$J$2=""),"",IF(Reprogramaciones!R$13&lt;Reprogramaciones!$T$15,0,IF(Reprogramaciones!R$14&gt;10,MIN(100,SUM($G126:$P126)),MIN(100,SUMPRODUCT((COLUMN($G126:$P126)-COLUMN($G126)+1&lt;Reprogramaciones!R$14)*$G126:$P126)+N(INDEX($G126:$P126,1,Reprogramaciones!R$14))*IF(Reprogramaciones!R$13&gt;=(Reprogramaciones!$T$15+7*(Reprogramaciones!R$14-1))+6,1,IF(MAX(0,NETWORKDAYS.INTL(MAX(E126,(Reprogramaciones!$T$15+7*(Reprogramaciones!R$14-1))),MIN(F126,(Reprogramaciones!$T$15+7*(Reprogramaciones!R$14-1))+6),11))=0,0,MAX(0,NETWORKDAYS.INTL(MAX(E126,(Reprogramaciones!$T$15+7*(Reprogramaciones!R$14-1))),MIN(F126,Reprogramaciones!R$13),11))/MAX(0,NETWORKDAYS.INTL(MAX(E126,(Reprogramaciones!$T$15+7*(Reprogramaciones!R$14-1))),MIN(F126,(Reprogramaciones!$T$15+7*(Reprogramaciones!R$14-1))+6),11))))))))</f>
        <v/>
      </c>
      <c r="CB126" s="1" t="str">
        <f aca="false">IF(OR(NOT(AND(ISNUMBER(E126),ISNUMBER(F126))),$J$2=""),"",IF(Reprogramaciones!S$13&lt;Reprogramaciones!$T$15,0,IF(Reprogramaciones!S$14&gt;10,MIN(100,SUM($G126:$P126)),MIN(100,SUMPRODUCT((COLUMN($G126:$P126)-COLUMN($G126)+1&lt;Reprogramaciones!S$14)*$G126:$P126)+N(INDEX($G126:$P126,1,Reprogramaciones!S$14))*IF(Reprogramaciones!S$13&gt;=(Reprogramaciones!$T$15+7*(Reprogramaciones!S$14-1))+6,1,IF(MAX(0,NETWORKDAYS.INTL(MAX(E126,(Reprogramaciones!$T$15+7*(Reprogramaciones!S$14-1))),MIN(F126,(Reprogramaciones!$T$15+7*(Reprogramaciones!S$14-1))+6),11))=0,0,MAX(0,NETWORKDAYS.INTL(MAX(E126,(Reprogramaciones!$T$15+7*(Reprogramaciones!S$14-1))),MIN(F126,Reprogramaciones!S$13),11))/MAX(0,NETWORKDAYS.INTL(MAX(E126,(Reprogramaciones!$T$15+7*(Reprogramaciones!S$14-1))),MIN(F126,(Reprogramaciones!$T$15+7*(Reprogramaciones!S$14-1))+6),11))))))))</f>
        <v/>
      </c>
      <c r="CC126" s="1" t="str">
        <f aca="false">IF(OR(NOT(AND(ISNUMBER(E126),ISNUMBER(F126))),$J$2=""),"",IF(Reprogramaciones!T$13&lt;Reprogramaciones!$T$15,0,IF(Reprogramaciones!T$14&gt;10,MIN(100,SUM($G126:$P126)),MIN(100,SUMPRODUCT((COLUMN($G126:$P126)-COLUMN($G126)+1&lt;Reprogramaciones!T$14)*$G126:$P126)+N(INDEX($G126:$P126,1,Reprogramaciones!T$14))*IF(Reprogramaciones!T$13&gt;=(Reprogramaciones!$T$15+7*(Reprogramaciones!T$14-1))+6,1,IF(MAX(0,NETWORKDAYS.INTL(MAX(E126,(Reprogramaciones!$T$15+7*(Reprogramaciones!T$14-1))),MIN(F126,(Reprogramaciones!$T$15+7*(Reprogramaciones!T$14-1))+6),11))=0,0,MAX(0,NETWORKDAYS.INTL(MAX(E126,(Reprogramaciones!$T$15+7*(Reprogramaciones!T$14-1))),MIN(F126,Reprogramaciones!T$13),11))/MAX(0,NETWORKDAYS.INTL(MAX(E126,(Reprogramaciones!$T$15+7*(Reprogramaciones!T$14-1))),MIN(F126,(Reprogramaciones!$T$15+7*(Reprogramaciones!T$14-1))+6),11))))))))</f>
        <v/>
      </c>
      <c r="CD126" s="1" t="str">
        <f aca="false">IF(OR(NOT(AND(ISNUMBER(E126),ISNUMBER(F126))),$J$2=""),"",IF(Reprogramaciones!U$13&lt;Reprogramaciones!$T$15,0,IF(Reprogramaciones!U$14&gt;10,MIN(100,SUM($G126:$P126)),MIN(100,SUMPRODUCT((COLUMN($G126:$P126)-COLUMN($G126)+1&lt;Reprogramaciones!U$14)*$G126:$P126)+N(INDEX($G126:$P126,1,Reprogramaciones!U$14))*IF(Reprogramaciones!U$13&gt;=(Reprogramaciones!$T$15+7*(Reprogramaciones!U$14-1))+6,1,IF(MAX(0,NETWORKDAYS.INTL(MAX(E126,(Reprogramaciones!$T$15+7*(Reprogramaciones!U$14-1))),MIN(F126,(Reprogramaciones!$T$15+7*(Reprogramaciones!U$14-1))+6),11))=0,0,MAX(0,NETWORKDAYS.INTL(MAX(E126,(Reprogramaciones!$T$15+7*(Reprogramaciones!U$14-1))),MIN(F126,Reprogramaciones!U$13),11))/MAX(0,NETWORKDAYS.INTL(MAX(E126,(Reprogramaciones!$T$15+7*(Reprogramaciones!U$14-1))),MIN(F126,(Reprogramaciones!$T$15+7*(Reprogramaciones!U$14-1))+6),11))))))))</f>
        <v/>
      </c>
      <c r="CE126" s="1" t="str">
        <f aca="false">IF(OR(NOT(AND(ISNUMBER(E126),ISNUMBER(F126))),$J$2=""),"",IF(Reprogramaciones!V$13&lt;Reprogramaciones!$T$15,0,IF(Reprogramaciones!V$14&gt;10,MIN(100,SUM($G126:$P126)),MIN(100,SUMPRODUCT((COLUMN($G126:$P126)-COLUMN($G126)+1&lt;Reprogramaciones!V$14)*$G126:$P126)+N(INDEX($G126:$P126,1,Reprogramaciones!V$14))*IF(Reprogramaciones!V$13&gt;=(Reprogramaciones!$T$15+7*(Reprogramaciones!V$14-1))+6,1,IF(MAX(0,NETWORKDAYS.INTL(MAX(E126,(Reprogramaciones!$T$15+7*(Reprogramaciones!V$14-1))),MIN(F126,(Reprogramaciones!$T$15+7*(Reprogramaciones!V$14-1))+6),11))=0,0,MAX(0,NETWORKDAYS.INTL(MAX(E126,(Reprogramaciones!$T$15+7*(Reprogramaciones!V$14-1))),MIN(F126,Reprogramaciones!V$13),11))/MAX(0,NETWORKDAYS.INTL(MAX(E126,(Reprogramaciones!$T$15+7*(Reprogramaciones!V$14-1))),MIN(F126,(Reprogramaciones!$T$15+7*(Reprogramaciones!V$14-1))+6),11))))))))</f>
        <v/>
      </c>
      <c r="CF126" s="1" t="str">
        <f aca="false">IF(OR(NOT(AND(ISNUMBER(E126),ISNUMBER(F126))),$J$2=""),"",IF(Reprogramaciones!W$13&lt;Reprogramaciones!$T$15,0,IF(Reprogramaciones!W$14&gt;10,MIN(100,SUM($G126:$P126)),MIN(100,SUMPRODUCT((COLUMN($G126:$P126)-COLUMN($G126)+1&lt;Reprogramaciones!W$14)*$G126:$P126)+N(INDEX($G126:$P126,1,Reprogramaciones!W$14))*IF(Reprogramaciones!W$13&gt;=(Reprogramaciones!$T$15+7*(Reprogramaciones!W$14-1))+6,1,IF(MAX(0,NETWORKDAYS.INTL(MAX(E126,(Reprogramaciones!$T$15+7*(Reprogramaciones!W$14-1))),MIN(F126,(Reprogramaciones!$T$15+7*(Reprogramaciones!W$14-1))+6),11))=0,0,MAX(0,NETWORKDAYS.INTL(MAX(E126,(Reprogramaciones!$T$15+7*(Reprogramaciones!W$14-1))),MIN(F126,Reprogramaciones!W$13),11))/MAX(0,NETWORKDAYS.INTL(MAX(E126,(Reprogramaciones!$T$15+7*(Reprogramaciones!W$14-1))),MIN(F126,(Reprogramaciones!$T$15+7*(Reprogramaciones!W$14-1))+6),11))))))))</f>
        <v/>
      </c>
      <c r="CG126" s="1" t="str">
        <f aca="false">IF(OR(NOT(AND(ISNUMBER(E126),ISNUMBER(F126))),$J$2=""),"",IF(Reprogramaciones!X$13&lt;Reprogramaciones!$T$15,0,IF(Reprogramaciones!X$14&gt;10,MIN(100,SUM($G126:$P126)),MIN(100,SUMPRODUCT((COLUMN($G126:$P126)-COLUMN($G126)+1&lt;Reprogramaciones!X$14)*$G126:$P126)+N(INDEX($G126:$P126,1,Reprogramaciones!X$14))*IF(Reprogramaciones!X$13&gt;=(Reprogramaciones!$T$15+7*(Reprogramaciones!X$14-1))+6,1,IF(MAX(0,NETWORKDAYS.INTL(MAX(E126,(Reprogramaciones!$T$15+7*(Reprogramaciones!X$14-1))),MIN(F126,(Reprogramaciones!$T$15+7*(Reprogramaciones!X$14-1))+6),11))=0,0,MAX(0,NETWORKDAYS.INTL(MAX(E126,(Reprogramaciones!$T$15+7*(Reprogramaciones!X$14-1))),MIN(F126,Reprogramaciones!X$13),11))/MAX(0,NETWORKDAYS.INTL(MAX(E126,(Reprogramaciones!$T$15+7*(Reprogramaciones!X$14-1))),MIN(F126,(Reprogramaciones!$T$15+7*(Reprogramaciones!X$14-1))+6),11))))))))</f>
        <v/>
      </c>
      <c r="CH126" s="1" t="str">
        <f aca="false">IF(OR(NOT(AND(ISNUMBER(E126),ISNUMBER(F126))),$J$2=""),"",IF(Reprogramaciones!Y$13&lt;Reprogramaciones!$T$15,0,IF(Reprogramaciones!Y$14&gt;10,MIN(100,SUM($G126:$P126)),MIN(100,SUMPRODUCT((COLUMN($G126:$P126)-COLUMN($G126)+1&lt;Reprogramaciones!Y$14)*$G126:$P126)+N(INDEX($G126:$P126,1,Reprogramaciones!Y$14))*IF(Reprogramaciones!Y$13&gt;=(Reprogramaciones!$T$15+7*(Reprogramaciones!Y$14-1))+6,1,IF(MAX(0,NETWORKDAYS.INTL(MAX(E126,(Reprogramaciones!$T$15+7*(Reprogramaciones!Y$14-1))),MIN(F126,(Reprogramaciones!$T$15+7*(Reprogramaciones!Y$14-1))+6),11))=0,0,MAX(0,NETWORKDAYS.INTL(MAX(E126,(Reprogramaciones!$T$15+7*(Reprogramaciones!Y$14-1))),MIN(F126,Reprogramaciones!Y$13),11))/MAX(0,NETWORKDAYS.INTL(MAX(E126,(Reprogramaciones!$T$15+7*(Reprogramaciones!Y$14-1))),MIN(F126,(Reprogramaciones!$T$15+7*(Reprogramaciones!Y$14-1))+6),11))))))))</f>
        <v/>
      </c>
      <c r="CI126" s="1" t="str">
        <f aca="false">IF(OR(NOT(AND(ISNUMBER(E126),ISNUMBER(F126))),$J$2=""),"",IF(Reprogramaciones!Z$13&lt;Reprogramaciones!$T$15,0,IF(Reprogramaciones!Z$14&gt;10,MIN(100,SUM($G126:$P126)),MIN(100,SUMPRODUCT((COLUMN($G126:$P126)-COLUMN($G126)+1&lt;Reprogramaciones!Z$14)*$G126:$P126)+N(INDEX($G126:$P126,1,Reprogramaciones!Z$14))*IF(Reprogramaciones!Z$13&gt;=(Reprogramaciones!$T$15+7*(Reprogramaciones!Z$14-1))+6,1,IF(MAX(0,NETWORKDAYS.INTL(MAX(E126,(Reprogramaciones!$T$15+7*(Reprogramaciones!Z$14-1))),MIN(F126,(Reprogramaciones!$T$15+7*(Reprogramaciones!Z$14-1))+6),11))=0,0,MAX(0,NETWORKDAYS.INTL(MAX(E126,(Reprogramaciones!$T$15+7*(Reprogramaciones!Z$14-1))),MIN(F126,Reprogramaciones!Z$13),11))/MAX(0,NETWORKDAYS.INTL(MAX(E126,(Reprogramaciones!$T$15+7*(Reprogramaciones!Z$14-1))),MIN(F126,(Reprogramaciones!$T$15+7*(Reprogramaciones!Z$14-1))+6),11))))))))</f>
        <v/>
      </c>
      <c r="CJ126" s="1" t="str">
        <f aca="false">IF(OR(OR(NOT(AND(ISNUMBER(E126),ISNUMBER(F126))),$J$2=""),1&gt;Reprogramaciones!$K$16),"",IF(ROUND(SUM($Q126:Q126),1)&gt;=99.5,100,MIN(100,ROUND(SUM($Q126:Q126),1))))</f>
        <v/>
      </c>
      <c r="CK126" s="1" t="str">
        <f aca="false">IF(OR(OR(NOT(AND(ISNUMBER(E126),ISNUMBER(F126))),$J$2=""),2&gt;Reprogramaciones!$K$16),"",IF(ROUND(SUM($Q126:R126),1)&gt;=99.5,100,MIN(100,ROUND(SUM($Q126:R126),1))))</f>
        <v/>
      </c>
      <c r="CL126" s="1" t="str">
        <f aca="false">IF(OR(OR(NOT(AND(ISNUMBER(E126),ISNUMBER(F126))),$J$2=""),3&gt;Reprogramaciones!$K$16),"",IF(ROUND(SUM($Q126:S126),1)&gt;=99.5,100,MIN(100,ROUND(SUM($Q126:S126),1))))</f>
        <v/>
      </c>
      <c r="CM126" s="1" t="str">
        <f aca="false">IF(OR(OR(NOT(AND(ISNUMBER(E126),ISNUMBER(F126))),$J$2=""),4&gt;Reprogramaciones!$K$16),"",IF(ROUND(SUM($Q126:T126),1)&gt;=99.5,100,MIN(100,ROUND(SUM($Q126:T126),1))))</f>
        <v/>
      </c>
      <c r="CN126" s="1" t="str">
        <f aca="false">IF(OR(OR(NOT(AND(ISNUMBER(E126),ISNUMBER(F126))),$J$2=""),5&gt;Reprogramaciones!$K$16),"",IF(ROUND(SUM($Q126:U126),1)&gt;=99.5,100,MIN(100,ROUND(SUM($Q126:U126),1))))</f>
        <v/>
      </c>
      <c r="CO126" s="1" t="str">
        <f aca="false">IF(OR(OR(NOT(AND(ISNUMBER(E126),ISNUMBER(F126))),$J$2=""),6&gt;Reprogramaciones!$K$16),"",IF(ROUND(SUM($Q126:V126),1)&gt;=99.5,100,MIN(100,ROUND(SUM($Q126:V126),1))))</f>
        <v/>
      </c>
      <c r="CP126" s="1" t="str">
        <f aca="false">IF(OR(OR(NOT(AND(ISNUMBER(E126),ISNUMBER(F126))),$J$2=""),7&gt;Reprogramaciones!$K$16),"",IF(ROUND(SUM($Q126:W126),1)&gt;=99.5,100,MIN(100,ROUND(SUM($Q126:W126),1))))</f>
        <v/>
      </c>
      <c r="CQ126" s="1" t="str">
        <f aca="false">IF(OR(OR(NOT(AND(ISNUMBER(E126),ISNUMBER(F126))),$J$2=""),8&gt;Reprogramaciones!$K$16),"",IF(ROUND(SUM($Q126:X126),1)&gt;=99.5,100,MIN(100,ROUND(SUM($Q126:X126),1))))</f>
        <v/>
      </c>
      <c r="CR126" s="1" t="str">
        <f aca="false">IF(OR(OR(NOT(AND(ISNUMBER(E126),ISNUMBER(F126))),$J$2=""),9&gt;Reprogramaciones!$K$16),"",IF(ROUND(SUM($Q126:Y126),1)&gt;=99.5,100,MIN(100,ROUND(SUM($Q126:Y126),1))))</f>
        <v/>
      </c>
      <c r="CS126" s="1" t="str">
        <f aca="false">IF(OR(OR(NOT(AND(ISNUMBER(E126),ISNUMBER(F126))),$J$2=""),10&gt;Reprogramaciones!$K$16),"",IF(ROUND(SUM($Q126:Z126),1)&gt;=99.5,100,MIN(100,ROUND(SUM($Q126:Z126),1))))</f>
        <v/>
      </c>
      <c r="CT126" s="1" t="str">
        <f aca="false">IF(OR(OR(NOT(AND(ISNUMBER(E126),ISNUMBER(F126))),$J$2=""),11&gt;Reprogramaciones!$K$16),"",IF(ROUND(SUM($Q126:AA126),1)&gt;=99.5,100,MIN(100,ROUND(SUM($Q126:AA126),1))))</f>
        <v/>
      </c>
      <c r="CU126" s="1" t="str">
        <f aca="false">IF(OR(OR(NOT(AND(ISNUMBER(E126),ISNUMBER(F126))),$J$2=""),12&gt;Reprogramaciones!$K$16),"",IF(ROUND(SUM($Q126:AB126),1)&gt;=99.5,100,MIN(100,ROUND(SUM($Q126:AB126),1))))</f>
        <v/>
      </c>
      <c r="CV126" s="1" t="str">
        <f aca="false">IF(OR(OR(NOT(AND(ISNUMBER(E126),ISNUMBER(F126))),$J$2=""),13&gt;Reprogramaciones!$K$16),"",IF(ROUND(SUM($Q126:AC126),1)&gt;=99.5,100,MIN(100,ROUND(SUM($Q126:AC126),1))))</f>
        <v/>
      </c>
      <c r="CW126" s="1" t="str">
        <f aca="false">IF(OR(OR(NOT(AND(ISNUMBER(E126),ISNUMBER(F126))),$J$2=""),14&gt;Reprogramaciones!$K$16),"",IF(ROUND(SUM($Q126:AD126),1)&gt;=99.5,100,MIN(100,ROUND(SUM($Q126:AD126),1))))</f>
        <v/>
      </c>
      <c r="CX126" s="1" t="str">
        <f aca="false">IF(OR(OR(NOT(AND(ISNUMBER(E126),ISNUMBER(F126))),$J$2=""),15&gt;Reprogramaciones!$K$16),"",IF(ROUND(SUM($Q126:AE126),1)&gt;=99.5,100,MIN(100,ROUND(SUM($Q126:AE126),1))))</f>
        <v/>
      </c>
      <c r="CY126" s="1" t="str">
        <f aca="false">IF(OR(OR(NOT(AND(ISNUMBER(E126),ISNUMBER(F126))),$J$2=""),16&gt;Reprogramaciones!$K$16),"",IF(ROUND(SUM($Q126:AF126),1)&gt;=99.5,100,MIN(100,ROUND(SUM($Q126:AF126),1))))</f>
        <v/>
      </c>
      <c r="CZ126" s="1" t="str">
        <f aca="false">IF(D126&lt;&gt;"",D126,IF(B126&lt;&gt;"","Contractual",CZ125))</f>
        <v>Contractual</v>
      </c>
      <c r="DA126" s="1" t="str">
        <f aca="false">IF(OR(NOT(AND(ISNUMBER(E126),ISNUMBER(F126))),$J$2=""),"",IF(Reprogramaciones!$Q$15&lt;Reprogramaciones!$T$15,0,IF(Reprogramaciones!$S$15&gt;10,MIN(100,SUM($G126:$P126)),MIN(100,SUMPRODUCT((COLUMN($G126:$P126)-COLUMN($G126)+1&lt;Reprogramaciones!$S$15)*$G126:$P126)+N(INDEX($G126:$P126,1,Reprogramaciones!$S$15))*IF(Reprogramaciones!$Q$15&gt;=(Reprogramaciones!$T$15+7*(Reprogramaciones!$S$15-1))+6,1,IF(MAX(0,NETWORKDAYS.INTL(MAX(E126,(Reprogramaciones!$T$15+7*(Reprogramaciones!$S$15-1))),MIN(F126,(Reprogramaciones!$T$15+7*(Reprogramaciones!$S$15-1))+6),11))=0,0,MAX(0,NETWORKDAYS.INTL(MAX(E126,(Reprogramaciones!$T$15+7*(Reprogramaciones!$S$15-1))),MIN(F126,Reprogramaciones!$Q$15),11))/MAX(0,NETWORKDAYS.INTL(MAX(E126,(Reprogramaciones!$T$15+7*(Reprogramaciones!$S$15-1))),MIN(F126,(Reprogramaciones!$T$15+7*(Reprogramaciones!$S$15-1))+6),11))))))))</f>
        <v/>
      </c>
    </row>
    <row r="127" customFormat="false" ht="15" hidden="false" customHeight="false" outlineLevel="0" collapsed="false">
      <c r="A127" s="32"/>
      <c r="B127" s="33"/>
      <c r="C127" s="33"/>
      <c r="D127" s="34"/>
      <c r="E127" s="35"/>
      <c r="F127" s="35"/>
      <c r="G127" s="36" t="str">
        <f aca="false">IF(OR(NOT(AND(ISNUMBER(E127),ISNUMBER(F127))),$J$2=""),"",IF(Reprogramaciones!K$9&lt;E127,0,IF(NETWORKDAYS.INTL(E127,F127,11)=0,IF(Reprogramaciones!K$9&gt;=F127,100,0),ROUND(NETWORKDAYS.INTL(E127,MIN(F127,Reprogramaciones!K$9),11)/NETWORKDAYS.INTL(E127,F127,11)*100,1)))-0)</f>
        <v/>
      </c>
      <c r="H127" s="36" t="str">
        <f aca="false">IF(OR(NOT(AND(ISNUMBER(E127),ISNUMBER(F127))),$J$2=""),"",IF(Reprogramaciones!L$9&lt;E127,0,IF(NETWORKDAYS.INTL(E127,F127,11)=0,IF(Reprogramaciones!L$9&gt;=F127,100,0),ROUND(NETWORKDAYS.INTL(E127,MIN(F127,Reprogramaciones!L$9),11)/NETWORKDAYS.INTL(E127,F127,11)*100,1)))-IF(Reprogramaciones!K$9&lt;E127,0,IF(NETWORKDAYS.INTL(E127,F127,11)=0,IF(Reprogramaciones!K$9&gt;=F127,100,0),ROUND(NETWORKDAYS.INTL(E127,MIN(F127,Reprogramaciones!K$9),11)/NETWORKDAYS.INTL(E127,F127,11)*100,1))))</f>
        <v/>
      </c>
      <c r="I127" s="36" t="str">
        <f aca="false">IF(OR(NOT(AND(ISNUMBER(E127),ISNUMBER(F127))),$J$2=""),"",IF(Reprogramaciones!M$9&lt;E127,0,IF(NETWORKDAYS.INTL(E127,F127,11)=0,IF(Reprogramaciones!M$9&gt;=F127,100,0),ROUND(NETWORKDAYS.INTL(E127,MIN(F127,Reprogramaciones!M$9),11)/NETWORKDAYS.INTL(E127,F127,11)*100,1)))-IF(Reprogramaciones!L$9&lt;E127,0,IF(NETWORKDAYS.INTL(E127,F127,11)=0,IF(Reprogramaciones!L$9&gt;=F127,100,0),ROUND(NETWORKDAYS.INTL(E127,MIN(F127,Reprogramaciones!L$9),11)/NETWORKDAYS.INTL(E127,F127,11)*100,1))))</f>
        <v/>
      </c>
      <c r="J127" s="36" t="str">
        <f aca="false">IF(OR(NOT(AND(ISNUMBER(E127),ISNUMBER(F127))),$J$2=""),"",IF(Reprogramaciones!N$9&lt;E127,0,IF(NETWORKDAYS.INTL(E127,F127,11)=0,IF(Reprogramaciones!N$9&gt;=F127,100,0),ROUND(NETWORKDAYS.INTL(E127,MIN(F127,Reprogramaciones!N$9),11)/NETWORKDAYS.INTL(E127,F127,11)*100,1)))-IF(Reprogramaciones!M$9&lt;E127,0,IF(NETWORKDAYS.INTL(E127,F127,11)=0,IF(Reprogramaciones!M$9&gt;=F127,100,0),ROUND(NETWORKDAYS.INTL(E127,MIN(F127,Reprogramaciones!M$9),11)/NETWORKDAYS.INTL(E127,F127,11)*100,1))))</f>
        <v/>
      </c>
      <c r="K127" s="36" t="str">
        <f aca="false">IF(OR(NOT(AND(ISNUMBER(E127),ISNUMBER(F127))),$J$2=""),"",IF(Reprogramaciones!O$9&lt;E127,0,IF(NETWORKDAYS.INTL(E127,F127,11)=0,IF(Reprogramaciones!O$9&gt;=F127,100,0),ROUND(NETWORKDAYS.INTL(E127,MIN(F127,Reprogramaciones!O$9),11)/NETWORKDAYS.INTL(E127,F127,11)*100,1)))-IF(Reprogramaciones!N$9&lt;E127,0,IF(NETWORKDAYS.INTL(E127,F127,11)=0,IF(Reprogramaciones!N$9&gt;=F127,100,0),ROUND(NETWORKDAYS.INTL(E127,MIN(F127,Reprogramaciones!N$9),11)/NETWORKDAYS.INTL(E127,F127,11)*100,1))))</f>
        <v/>
      </c>
      <c r="L127" s="36" t="str">
        <f aca="false">IF(OR(NOT(AND(ISNUMBER(E127),ISNUMBER(F127))),$J$2=""),"",IF(Reprogramaciones!P$9&lt;E127,0,IF(NETWORKDAYS.INTL(E127,F127,11)=0,IF(Reprogramaciones!P$9&gt;=F127,100,0),ROUND(NETWORKDAYS.INTL(E127,MIN(F127,Reprogramaciones!P$9),11)/NETWORKDAYS.INTL(E127,F127,11)*100,1)))-IF(Reprogramaciones!O$9&lt;E127,0,IF(NETWORKDAYS.INTL(E127,F127,11)=0,IF(Reprogramaciones!O$9&gt;=F127,100,0),ROUND(NETWORKDAYS.INTL(E127,MIN(F127,Reprogramaciones!O$9),11)/NETWORKDAYS.INTL(E127,F127,11)*100,1))))</f>
        <v/>
      </c>
      <c r="M127" s="36" t="str">
        <f aca="false">IF(OR(NOT(AND(ISNUMBER(E127),ISNUMBER(F127))),$J$2=""),"",IF(Reprogramaciones!Q$9&lt;E127,0,IF(NETWORKDAYS.INTL(E127,F127,11)=0,IF(Reprogramaciones!Q$9&gt;=F127,100,0),ROUND(NETWORKDAYS.INTL(E127,MIN(F127,Reprogramaciones!Q$9),11)/NETWORKDAYS.INTL(E127,F127,11)*100,1)))-IF(Reprogramaciones!P$9&lt;E127,0,IF(NETWORKDAYS.INTL(E127,F127,11)=0,IF(Reprogramaciones!P$9&gt;=F127,100,0),ROUND(NETWORKDAYS.INTL(E127,MIN(F127,Reprogramaciones!P$9),11)/NETWORKDAYS.INTL(E127,F127,11)*100,1))))</f>
        <v/>
      </c>
      <c r="N127" s="36" t="str">
        <f aca="false">IF(OR(NOT(AND(ISNUMBER(E127),ISNUMBER(F127))),$J$2=""),"",IF(Reprogramaciones!R$9&lt;E127,0,IF(NETWORKDAYS.INTL(E127,F127,11)=0,IF(Reprogramaciones!R$9&gt;=F127,100,0),ROUND(NETWORKDAYS.INTL(E127,MIN(F127,Reprogramaciones!R$9),11)/NETWORKDAYS.INTL(E127,F127,11)*100,1)))-IF(Reprogramaciones!Q$9&lt;E127,0,IF(NETWORKDAYS.INTL(E127,F127,11)=0,IF(Reprogramaciones!Q$9&gt;=F127,100,0),ROUND(NETWORKDAYS.INTL(E127,MIN(F127,Reprogramaciones!Q$9),11)/NETWORKDAYS.INTL(E127,F127,11)*100,1))))</f>
        <v/>
      </c>
      <c r="O127" s="36" t="str">
        <f aca="false">IF(OR(NOT(AND(ISNUMBER(E127),ISNUMBER(F127))),$J$2=""),"",IF(Reprogramaciones!S$9&lt;E127,0,IF(NETWORKDAYS.INTL(E127,F127,11)=0,IF(Reprogramaciones!S$9&gt;=F127,100,0),ROUND(NETWORKDAYS.INTL(E127,MIN(F127,Reprogramaciones!S$9),11)/NETWORKDAYS.INTL(E127,F127,11)*100,1)))-IF(Reprogramaciones!R$9&lt;E127,0,IF(NETWORKDAYS.INTL(E127,F127,11)=0,IF(Reprogramaciones!R$9&gt;=F127,100,0),ROUND(NETWORKDAYS.INTL(E127,MIN(F127,Reprogramaciones!R$9),11)/NETWORKDAYS.INTL(E127,F127,11)*100,1))))</f>
        <v/>
      </c>
      <c r="P127" s="36" t="str">
        <f aca="false">IF(OR(NOT(AND(ISNUMBER(E127),ISNUMBER(F127))),$J$2=""),"",IF(Reprogramaciones!T$9&lt;E127,0,IF(NETWORKDAYS.INTL(E127,F127,11)=0,IF(Reprogramaciones!T$9&gt;=F127,100,0),ROUND(NETWORKDAYS.INTL(E127,MIN(F127,Reprogramaciones!T$9),11)/NETWORKDAYS.INTL(E127,F127,11)*100,1)))-IF(Reprogramaciones!S$9&lt;E127,0,IF(NETWORKDAYS.INTL(E127,F127,11)=0,IF(Reprogramaciones!S$9&gt;=F127,100,0),ROUND(NETWORKDAYS.INTL(E127,MIN(F127,Reprogramaciones!S$9),11)/NETWORKDAYS.INTL(E127,F127,11)*100,1))))</f>
        <v/>
      </c>
      <c r="Q127" s="37"/>
      <c r="R127" s="37"/>
      <c r="S127" s="37"/>
      <c r="T127" s="37"/>
      <c r="U127" s="37"/>
      <c r="V127" s="37"/>
      <c r="W127" s="37"/>
      <c r="X127" s="37"/>
      <c r="Y127" s="37"/>
      <c r="Z127" s="37"/>
      <c r="AA127" s="37"/>
      <c r="AB127" s="37"/>
      <c r="AC127" s="37"/>
      <c r="AD127" s="37"/>
      <c r="AE127" s="37"/>
      <c r="AF127" s="37"/>
      <c r="AG127" s="38" t="str">
        <f aca="false">IF(AND(ISNUMBER(E127),ISNUMBER(F127)),NETWORKDAYS.INTL(E127,F127,11),"")</f>
        <v/>
      </c>
      <c r="AH127" s="38" t="str">
        <f aca="false">IF(OR(NOT(AND(ISNUMBER(E127),ISNUMBER(F127))),$J$2=""),"",IF(Reprogramaciones!$P$15&lt;Reprogramaciones!$T$15,0,IF(Reprogramaciones!$R$15&gt;10,MIN(100,SUM($G127:$P127)),MIN(100,SUMPRODUCT((COLUMN($G127:$P127)-COLUMN($G127)+1&lt;Reprogramaciones!$R$15)*$G127:$P127)+N(INDEX($G127:$P127,1,Reprogramaciones!$R$15))*IF(Reprogramaciones!$P$15&gt;=(Reprogramaciones!$T$15+7*(Reprogramaciones!$R$15-1))+6,1,IF(MAX(0,NETWORKDAYS.INTL(MAX(E127,(Reprogramaciones!$T$15+7*(Reprogramaciones!$R$15-1))),MIN(F127,(Reprogramaciones!$T$15+7*(Reprogramaciones!$R$15-1))+6),11))=0,0,MAX(0,NETWORKDAYS.INTL(MAX(E127,(Reprogramaciones!$T$15+7*(Reprogramaciones!$R$15-1))),MIN(F127,Reprogramaciones!$P$15),11))/MAX(0,NETWORKDAYS.INTL(MAX(E127,(Reprogramaciones!$T$15+7*(Reprogramaciones!$R$15-1))),MIN(F127,(Reprogramaciones!$T$15+7*(Reprogramaciones!$R$15-1))+6),11))))))))</f>
        <v/>
      </c>
      <c r="AI127" s="38" t="str">
        <f aca="false">IF(COUNT($Q127:$AF127)=0,"",IF(ROUND(SUM($Q127:$AF127),1)&gt;=99.5,100,MIN(100,ROUND(SUM($Q127:$AF127),1))))</f>
        <v/>
      </c>
      <c r="AJ127" s="38" t="str">
        <f aca="false">IF(OR(AH127="",AI127=""),"",AI127-AH127)</f>
        <v/>
      </c>
      <c r="AK127" s="39" t="str">
        <f aca="true">IF(AH127="","",IF(OR(Ficha!$C$10="Suspendida",Ficha!$C$10="Cancelada"),Ficha!$C$10,IF(AND(AI127&lt;&gt;"",N(AI127)&gt;=100),"Completada",IF(AND(E127&gt;TODAY(),N(AI127)=0),"Por iniciar",IF(N(AI127)+0.5&lt;AH127,"Retrasada",IF(N(AI127)+0.5&lt;DA127,IF(Reprogramaciones!$K$15&gt;0,"Al día · Sem "&amp;Reprogramaciones!$K$15&amp;" en curso","Al día · en curso"),"A tiempo"))))))</f>
        <v/>
      </c>
      <c r="AL127" s="39" t="str">
        <f aca="true">IF(AND(A127="",AND(B127="",C127="",E127="",F127="",COUNT(Q127:AF127)=0)),"",IF(AND(B127="",C127="",E127="",F127="",COUNT(Q127:AF127)=0),"Falta la partida o subpartida",IF(AND(A127&lt;&gt;"",COUNTIF($A$6:$A$305,A127)&gt;1),"Ítem repetido",IF(AND(C127="",E127="",F127="",COUNT(Q127:AF127)=0),"Título de partida",IF(OR(E127="",F127=""),"Faltan fechas",IF(OR(ISTEXT(E127),ISTEXT(F127)),"Fecha escrita como texto: usa dd/mm/aaaa",IF(F127&lt;E127,"Fin antes del inicio",IF(IF($J$2="",FALSE(),OR(E127&lt;$J$2,F127&gt;Reprogramaciones!$T$15+69)),"Fuera de las 10 semanas",IF(ABS(SUM(G127:P127)-100)&gt;0.5,"La meta no suma 100%",IF(ROUND(SUM(Q127:AF127),1)&gt;100.5,"El avance pasa de 100%",IF(MIN(Q127:AF127)&lt;0,"Avance negativo",IF(COUNTA(Q127:AF127)&gt;COUNT(Q127:AF127),"Avance escrito como texto",IF(SUMPRODUCT((Q127:AF127&gt;0)*(Q127:AF127&lt;1))&gt;0,"Avance menor a 1: escribe 50, no 50%",IF(SUMPRODUCT(ISNUMBER(Q127:AF127)*(Reprogramaciones!$K$8:$Z$8&gt;TODAY()))&gt;0,"Avance en semana que aún no llega",IF(AND(N(Reprogramaciones!$E$21)&gt;0,F127&gt;Reprogramaciones!$E$21),"Pasa el fin de la obra: registra una reprogramación",IF(AND(N(Reprogramaciones!$E$21)&gt;0,SUMPRODUCT(ISNUMBER(Q127:AF127)*(Reprogramaciones!$K$8:$Z$8&gt;Reprogramaciones!$E$21))&gt;0),"Avance después del fin de la obra: registra una reprogramación por atraso","OK"))))))))))))))))</f>
        <v/>
      </c>
      <c r="AM127" s="40" t="str">
        <f aca="false">IF(OR(OR(NOT(AND(ISNUMBER(E127),ISNUMBER(F127))),$J$2=""),1&gt;MAX(1,Reprogramaciones!$U$15)),"",IF(Reprogramaciones!K$12&gt;=7,"",IF(OR(BT127-N(0)&gt;0.05,N(Q127)&gt;0),ROUNDDOWN(ROUND(BT127,6),0)&amp;"%"&amp;IF(CJ127="",""," / "&amp;CJ127&amp;"%"),IF(AND(N(0)&gt;=99.95,CJ127&lt;&gt;"",N(CJ127)&lt;100),"Pend. "&amp;CJ127&amp;"%",""))))</f>
        <v/>
      </c>
      <c r="AN127" s="40" t="str">
        <f aca="false">IF(OR(OR(NOT(AND(ISNUMBER(E127),ISNUMBER(F127))),$J$2=""),2&gt;MAX(1,Reprogramaciones!$U$15)),"",IF(Reprogramaciones!L$12&gt;=7,"",IF(OR(BU127-N(BT127)&gt;0.05,N(R127)&gt;0),ROUNDDOWN(ROUND(BU127,6),0)&amp;"%"&amp;IF(CK127="",""," / "&amp;CK127&amp;"%"),IF(AND(N(BT127)&gt;=99.95,CK127&lt;&gt;"",N(CK127)&lt;100),"Pend. "&amp;CK127&amp;"%",""))))</f>
        <v/>
      </c>
      <c r="AO127" s="40" t="str">
        <f aca="false">IF(OR(OR(NOT(AND(ISNUMBER(E127),ISNUMBER(F127))),$J$2=""),3&gt;MAX(1,Reprogramaciones!$U$15)),"",IF(Reprogramaciones!M$12&gt;=7,"",IF(OR(BV127-N(BU127)&gt;0.05,N(S127)&gt;0),ROUNDDOWN(ROUND(BV127,6),0)&amp;"%"&amp;IF(CL127="",""," / "&amp;CL127&amp;"%"),IF(AND(N(BU127)&gt;=99.95,CL127&lt;&gt;"",N(CL127)&lt;100),"Pend. "&amp;CL127&amp;"%",""))))</f>
        <v/>
      </c>
      <c r="AP127" s="40" t="str">
        <f aca="false">IF(OR(OR(NOT(AND(ISNUMBER(E127),ISNUMBER(F127))),$J$2=""),4&gt;MAX(1,Reprogramaciones!$U$15)),"",IF(Reprogramaciones!N$12&gt;=7,"",IF(OR(BW127-N(BV127)&gt;0.05,N(T127)&gt;0),ROUNDDOWN(ROUND(BW127,6),0)&amp;"%"&amp;IF(CM127="",""," / "&amp;CM127&amp;"%"),IF(AND(N(BV127)&gt;=99.95,CM127&lt;&gt;"",N(CM127)&lt;100),"Pend. "&amp;CM127&amp;"%",""))))</f>
        <v/>
      </c>
      <c r="AQ127" s="40" t="str">
        <f aca="false">IF(OR(OR(NOT(AND(ISNUMBER(E127),ISNUMBER(F127))),$J$2=""),5&gt;MAX(1,Reprogramaciones!$U$15)),"",IF(Reprogramaciones!O$12&gt;=7,"",IF(OR(BX127-N(BW127)&gt;0.05,N(U127)&gt;0),ROUNDDOWN(ROUND(BX127,6),0)&amp;"%"&amp;IF(CN127="",""," / "&amp;CN127&amp;"%"),IF(AND(N(BW127)&gt;=99.95,CN127&lt;&gt;"",N(CN127)&lt;100),"Pend. "&amp;CN127&amp;"%",""))))</f>
        <v/>
      </c>
      <c r="AR127" s="40" t="str">
        <f aca="false">IF(OR(OR(NOT(AND(ISNUMBER(E127),ISNUMBER(F127))),$J$2=""),6&gt;MAX(1,Reprogramaciones!$U$15)),"",IF(Reprogramaciones!P$12&gt;=7,"",IF(OR(BY127-N(BX127)&gt;0.05,N(V127)&gt;0),ROUNDDOWN(ROUND(BY127,6),0)&amp;"%"&amp;IF(CO127="",""," / "&amp;CO127&amp;"%"),IF(AND(N(BX127)&gt;=99.95,CO127&lt;&gt;"",N(CO127)&lt;100),"Pend. "&amp;CO127&amp;"%",""))))</f>
        <v/>
      </c>
      <c r="AS127" s="40" t="str">
        <f aca="false">IF(OR(OR(NOT(AND(ISNUMBER(E127),ISNUMBER(F127))),$J$2=""),7&gt;MAX(1,Reprogramaciones!$U$15)),"",IF(Reprogramaciones!Q$12&gt;=7,"",IF(OR(BZ127-N(BY127)&gt;0.05,N(W127)&gt;0),ROUNDDOWN(ROUND(BZ127,6),0)&amp;"%"&amp;IF(CP127="",""," / "&amp;CP127&amp;"%"),IF(AND(N(BY127)&gt;=99.95,CP127&lt;&gt;"",N(CP127)&lt;100),"Pend. "&amp;CP127&amp;"%",""))))</f>
        <v/>
      </c>
      <c r="AT127" s="40" t="str">
        <f aca="false">IF(OR(OR(NOT(AND(ISNUMBER(E127),ISNUMBER(F127))),$J$2=""),8&gt;MAX(1,Reprogramaciones!$U$15)),"",IF(Reprogramaciones!R$12&gt;=7,"",IF(OR(CA127-N(BZ127)&gt;0.05,N(X127)&gt;0),ROUNDDOWN(ROUND(CA127,6),0)&amp;"%"&amp;IF(CQ127="",""," / "&amp;CQ127&amp;"%"),IF(AND(N(BZ127)&gt;=99.95,CQ127&lt;&gt;"",N(CQ127)&lt;100),"Pend. "&amp;CQ127&amp;"%",""))))</f>
        <v/>
      </c>
      <c r="AU127" s="40" t="str">
        <f aca="false">IF(OR(OR(NOT(AND(ISNUMBER(E127),ISNUMBER(F127))),$J$2=""),9&gt;MAX(1,Reprogramaciones!$U$15)),"",IF(Reprogramaciones!S$12&gt;=7,"",IF(OR(CB127-N(CA127)&gt;0.05,N(Y127)&gt;0),ROUNDDOWN(ROUND(CB127,6),0)&amp;"%"&amp;IF(CR127="",""," / "&amp;CR127&amp;"%"),IF(AND(N(CA127)&gt;=99.95,CR127&lt;&gt;"",N(CR127)&lt;100),"Pend. "&amp;CR127&amp;"%",""))))</f>
        <v/>
      </c>
      <c r="AV127" s="40" t="str">
        <f aca="false">IF(OR(OR(NOT(AND(ISNUMBER(E127),ISNUMBER(F127))),$J$2=""),10&gt;MAX(1,Reprogramaciones!$U$15)),"",IF(Reprogramaciones!T$12&gt;=7,"",IF(OR(CC127-N(CB127)&gt;0.05,N(Z127)&gt;0),ROUNDDOWN(ROUND(CC127,6),0)&amp;"%"&amp;IF(CS127="",""," / "&amp;CS127&amp;"%"),IF(AND(N(CB127)&gt;=99.95,CS127&lt;&gt;"",N(CS127)&lt;100),"Pend. "&amp;CS127&amp;"%",""))))</f>
        <v/>
      </c>
      <c r="AW127" s="40" t="str">
        <f aca="false">IF(OR(OR(NOT(AND(ISNUMBER(E127),ISNUMBER(F127))),$J$2=""),11&gt;MAX(1,Reprogramaciones!$U$15)),"",IF(Reprogramaciones!U$12&gt;=7,"",IF(OR(CD127-N(CC127)&gt;0.05,N(AA127)&gt;0),ROUNDDOWN(ROUND(CD127,6),0)&amp;"%"&amp;IF(CT127="",""," / "&amp;CT127&amp;"%"),IF(AND(N(CC127)&gt;=99.95,CT127&lt;&gt;"",N(CT127)&lt;100),"Pend. "&amp;CT127&amp;"%",""))))</f>
        <v/>
      </c>
      <c r="AX127" s="40" t="str">
        <f aca="false">IF(OR(OR(NOT(AND(ISNUMBER(E127),ISNUMBER(F127))),$J$2=""),12&gt;MAX(1,Reprogramaciones!$U$15)),"",IF(Reprogramaciones!V$12&gt;=7,"",IF(OR(CE127-N(CD127)&gt;0.05,N(AB127)&gt;0),ROUNDDOWN(ROUND(CE127,6),0)&amp;"%"&amp;IF(CU127="",""," / "&amp;CU127&amp;"%"),IF(AND(N(CD127)&gt;=99.95,CU127&lt;&gt;"",N(CU127)&lt;100),"Pend. "&amp;CU127&amp;"%",""))))</f>
        <v/>
      </c>
      <c r="AY127" s="40" t="str">
        <f aca="false">IF(OR(OR(NOT(AND(ISNUMBER(E127),ISNUMBER(F127))),$J$2=""),13&gt;MAX(1,Reprogramaciones!$U$15)),"",IF(Reprogramaciones!W$12&gt;=7,"",IF(OR(CF127-N(CE127)&gt;0.05,N(AC127)&gt;0),ROUNDDOWN(ROUND(CF127,6),0)&amp;"%"&amp;IF(CV127="",""," / "&amp;CV127&amp;"%"),IF(AND(N(CE127)&gt;=99.95,CV127&lt;&gt;"",N(CV127)&lt;100),"Pend. "&amp;CV127&amp;"%",""))))</f>
        <v/>
      </c>
      <c r="AZ127" s="40" t="str">
        <f aca="false">IF(OR(OR(NOT(AND(ISNUMBER(E127),ISNUMBER(F127))),$J$2=""),14&gt;MAX(1,Reprogramaciones!$U$15)),"",IF(Reprogramaciones!X$12&gt;=7,"",IF(OR(CG127-N(CF127)&gt;0.05,N(AD127)&gt;0),ROUNDDOWN(ROUND(CG127,6),0)&amp;"%"&amp;IF(CW127="",""," / "&amp;CW127&amp;"%"),IF(AND(N(CF127)&gt;=99.95,CW127&lt;&gt;"",N(CW127)&lt;100),"Pend. "&amp;CW127&amp;"%",""))))</f>
        <v/>
      </c>
      <c r="BA127" s="40" t="str">
        <f aca="false">IF(OR(OR(NOT(AND(ISNUMBER(E127),ISNUMBER(F127))),$J$2=""),15&gt;MAX(1,Reprogramaciones!$U$15)),"",IF(Reprogramaciones!Y$12&gt;=7,"",IF(OR(CH127-N(CG127)&gt;0.05,N(AE127)&gt;0),ROUNDDOWN(ROUND(CH127,6),0)&amp;"%"&amp;IF(CX127="",""," / "&amp;CX127&amp;"%"),IF(AND(N(CG127)&gt;=99.95,CX127&lt;&gt;"",N(CX127)&lt;100),"Pend. "&amp;CX127&amp;"%",""))))</f>
        <v/>
      </c>
      <c r="BB127" s="40" t="str">
        <f aca="false">IF(OR(OR(NOT(AND(ISNUMBER(E127),ISNUMBER(F127))),$J$2=""),16&gt;MAX(1,Reprogramaciones!$U$15)),"",IF(Reprogramaciones!Z$12&gt;=7,"",IF(OR(CI127-N(CH127)&gt;0.05,N(AF127)&gt;0),ROUNDDOWN(ROUND(CI127,6),0)&amp;"%"&amp;IF(CY127="",""," / "&amp;CY127&amp;"%"),IF(AND(N(CH127)&gt;=99.95,CY127&lt;&gt;"",N(CY127)&lt;100),"Pend. "&amp;CY127&amp;"%",""))))</f>
        <v/>
      </c>
      <c r="BC127" s="31" t="n">
        <f aca="false">IF(AND(ISNUMBER(E127),ISNUMBER(F127)),MAX(1,NETWORKDAYS.INTL(E127,F127,11)),0)</f>
        <v>0</v>
      </c>
      <c r="BD127" s="1" t="str">
        <f aca="false">IF(OR(NOT(AND(ISNUMBER(E127),ISNUMBER(F127))),$J$2=""),"",MIN(100,ROUND(SUM($G127:G127),1)))</f>
        <v/>
      </c>
      <c r="BE127" s="1" t="str">
        <f aca="false">IF(OR(NOT(AND(ISNUMBER(E127),ISNUMBER(F127))),$J$2=""),"",MIN(100,ROUND(SUM($G127:H127),1)))</f>
        <v/>
      </c>
      <c r="BF127" s="1" t="str">
        <f aca="false">IF(OR(NOT(AND(ISNUMBER(E127),ISNUMBER(F127))),$J$2=""),"",MIN(100,ROUND(SUM($G127:I127),1)))</f>
        <v/>
      </c>
      <c r="BG127" s="1" t="str">
        <f aca="false">IF(OR(NOT(AND(ISNUMBER(E127),ISNUMBER(F127))),$J$2=""),"",MIN(100,ROUND(SUM($G127:J127),1)))</f>
        <v/>
      </c>
      <c r="BH127" s="1" t="str">
        <f aca="false">IF(OR(NOT(AND(ISNUMBER(E127),ISNUMBER(F127))),$J$2=""),"",MIN(100,ROUND(SUM($G127:K127),1)))</f>
        <v/>
      </c>
      <c r="BI127" s="1" t="str">
        <f aca="false">IF(OR(NOT(AND(ISNUMBER(E127),ISNUMBER(F127))),$J$2=""),"",MIN(100,ROUND(SUM($G127:L127),1)))</f>
        <v/>
      </c>
      <c r="BJ127" s="1" t="str">
        <f aca="false">IF(OR(NOT(AND(ISNUMBER(E127),ISNUMBER(F127))),$J$2=""),"",MIN(100,ROUND(SUM($G127:M127),1)))</f>
        <v/>
      </c>
      <c r="BK127" s="1" t="str">
        <f aca="false">IF(OR(NOT(AND(ISNUMBER(E127),ISNUMBER(F127))),$J$2=""),"",MIN(100,ROUND(SUM($G127:N127),1)))</f>
        <v/>
      </c>
      <c r="BL127" s="1" t="str">
        <f aca="false">IF(OR(NOT(AND(ISNUMBER(E127),ISNUMBER(F127))),$J$2=""),"",MIN(100,ROUND(SUM($G127:O127),1)))</f>
        <v/>
      </c>
      <c r="BM127" s="1" t="str">
        <f aca="false">IF(OR(NOT(AND(ISNUMBER(E127),ISNUMBER(F127))),$J$2=""),"",MIN(100,ROUND(SUM($G127:P127),1)))</f>
        <v/>
      </c>
      <c r="BN127" s="1" t="str">
        <f aca="false">IF(OR(NOT(AND(ISNUMBER(E127),ISNUMBER(F127))),$J$2=""),"",MIN(100,ROUND(SUM($G127:P127),1)))</f>
        <v/>
      </c>
      <c r="BO127" s="1" t="str">
        <f aca="false">IF(OR(NOT(AND(ISNUMBER(E127),ISNUMBER(F127))),$J$2=""),"",MIN(100,ROUND(SUM($G127:P127),1)))</f>
        <v/>
      </c>
      <c r="BP127" s="1" t="str">
        <f aca="false">IF(OR(NOT(AND(ISNUMBER(E127),ISNUMBER(F127))),$J$2=""),"",MIN(100,ROUND(SUM($G127:P127),1)))</f>
        <v/>
      </c>
      <c r="BQ127" s="1" t="str">
        <f aca="false">IF(OR(NOT(AND(ISNUMBER(E127),ISNUMBER(F127))),$J$2=""),"",MIN(100,ROUND(SUM($G127:P127),1)))</f>
        <v/>
      </c>
      <c r="BR127" s="1" t="str">
        <f aca="false">IF(OR(NOT(AND(ISNUMBER(E127),ISNUMBER(F127))),$J$2=""),"",MIN(100,ROUND(SUM($G127:P127),1)))</f>
        <v/>
      </c>
      <c r="BS127" s="1" t="str">
        <f aca="false">IF(OR(NOT(AND(ISNUMBER(E127),ISNUMBER(F127))),$J$2=""),"",MIN(100,ROUND(SUM($G127:P127),1)))</f>
        <v/>
      </c>
      <c r="BT127" s="1" t="str">
        <f aca="false">IF(OR(NOT(AND(ISNUMBER(E127),ISNUMBER(F127))),$J$2=""),"",IF(Reprogramaciones!K$13&lt;Reprogramaciones!$T$15,0,IF(Reprogramaciones!K$14&gt;10,MIN(100,SUM($G127:$P127)),MIN(100,SUMPRODUCT((COLUMN($G127:$P127)-COLUMN($G127)+1&lt;Reprogramaciones!K$14)*$G127:$P127)+N(INDEX($G127:$P127,1,Reprogramaciones!K$14))*IF(Reprogramaciones!K$13&gt;=(Reprogramaciones!$T$15+7*(Reprogramaciones!K$14-1))+6,1,IF(MAX(0,NETWORKDAYS.INTL(MAX(E127,(Reprogramaciones!$T$15+7*(Reprogramaciones!K$14-1))),MIN(F127,(Reprogramaciones!$T$15+7*(Reprogramaciones!K$14-1))+6),11))=0,0,MAX(0,NETWORKDAYS.INTL(MAX(E127,(Reprogramaciones!$T$15+7*(Reprogramaciones!K$14-1))),MIN(F127,Reprogramaciones!K$13),11))/MAX(0,NETWORKDAYS.INTL(MAX(E127,(Reprogramaciones!$T$15+7*(Reprogramaciones!K$14-1))),MIN(F127,(Reprogramaciones!$T$15+7*(Reprogramaciones!K$14-1))+6),11))))))))</f>
        <v/>
      </c>
      <c r="BU127" s="1" t="str">
        <f aca="false">IF(OR(NOT(AND(ISNUMBER(E127),ISNUMBER(F127))),$J$2=""),"",IF(Reprogramaciones!L$13&lt;Reprogramaciones!$T$15,0,IF(Reprogramaciones!L$14&gt;10,MIN(100,SUM($G127:$P127)),MIN(100,SUMPRODUCT((COLUMN($G127:$P127)-COLUMN($G127)+1&lt;Reprogramaciones!L$14)*$G127:$P127)+N(INDEX($G127:$P127,1,Reprogramaciones!L$14))*IF(Reprogramaciones!L$13&gt;=(Reprogramaciones!$T$15+7*(Reprogramaciones!L$14-1))+6,1,IF(MAX(0,NETWORKDAYS.INTL(MAX(E127,(Reprogramaciones!$T$15+7*(Reprogramaciones!L$14-1))),MIN(F127,(Reprogramaciones!$T$15+7*(Reprogramaciones!L$14-1))+6),11))=0,0,MAX(0,NETWORKDAYS.INTL(MAX(E127,(Reprogramaciones!$T$15+7*(Reprogramaciones!L$14-1))),MIN(F127,Reprogramaciones!L$13),11))/MAX(0,NETWORKDAYS.INTL(MAX(E127,(Reprogramaciones!$T$15+7*(Reprogramaciones!L$14-1))),MIN(F127,(Reprogramaciones!$T$15+7*(Reprogramaciones!L$14-1))+6),11))))))))</f>
        <v/>
      </c>
      <c r="BV127" s="1" t="str">
        <f aca="false">IF(OR(NOT(AND(ISNUMBER(E127),ISNUMBER(F127))),$J$2=""),"",IF(Reprogramaciones!M$13&lt;Reprogramaciones!$T$15,0,IF(Reprogramaciones!M$14&gt;10,MIN(100,SUM($G127:$P127)),MIN(100,SUMPRODUCT((COLUMN($G127:$P127)-COLUMN($G127)+1&lt;Reprogramaciones!M$14)*$G127:$P127)+N(INDEX($G127:$P127,1,Reprogramaciones!M$14))*IF(Reprogramaciones!M$13&gt;=(Reprogramaciones!$T$15+7*(Reprogramaciones!M$14-1))+6,1,IF(MAX(0,NETWORKDAYS.INTL(MAX(E127,(Reprogramaciones!$T$15+7*(Reprogramaciones!M$14-1))),MIN(F127,(Reprogramaciones!$T$15+7*(Reprogramaciones!M$14-1))+6),11))=0,0,MAX(0,NETWORKDAYS.INTL(MAX(E127,(Reprogramaciones!$T$15+7*(Reprogramaciones!M$14-1))),MIN(F127,Reprogramaciones!M$13),11))/MAX(0,NETWORKDAYS.INTL(MAX(E127,(Reprogramaciones!$T$15+7*(Reprogramaciones!M$14-1))),MIN(F127,(Reprogramaciones!$T$15+7*(Reprogramaciones!M$14-1))+6),11))))))))</f>
        <v/>
      </c>
      <c r="BW127" s="1" t="str">
        <f aca="false">IF(OR(NOT(AND(ISNUMBER(E127),ISNUMBER(F127))),$J$2=""),"",IF(Reprogramaciones!N$13&lt;Reprogramaciones!$T$15,0,IF(Reprogramaciones!N$14&gt;10,MIN(100,SUM($G127:$P127)),MIN(100,SUMPRODUCT((COLUMN($G127:$P127)-COLUMN($G127)+1&lt;Reprogramaciones!N$14)*$G127:$P127)+N(INDEX($G127:$P127,1,Reprogramaciones!N$14))*IF(Reprogramaciones!N$13&gt;=(Reprogramaciones!$T$15+7*(Reprogramaciones!N$14-1))+6,1,IF(MAX(0,NETWORKDAYS.INTL(MAX(E127,(Reprogramaciones!$T$15+7*(Reprogramaciones!N$14-1))),MIN(F127,(Reprogramaciones!$T$15+7*(Reprogramaciones!N$14-1))+6),11))=0,0,MAX(0,NETWORKDAYS.INTL(MAX(E127,(Reprogramaciones!$T$15+7*(Reprogramaciones!N$14-1))),MIN(F127,Reprogramaciones!N$13),11))/MAX(0,NETWORKDAYS.INTL(MAX(E127,(Reprogramaciones!$T$15+7*(Reprogramaciones!N$14-1))),MIN(F127,(Reprogramaciones!$T$15+7*(Reprogramaciones!N$14-1))+6),11))))))))</f>
        <v/>
      </c>
      <c r="BX127" s="1" t="str">
        <f aca="false">IF(OR(NOT(AND(ISNUMBER(E127),ISNUMBER(F127))),$J$2=""),"",IF(Reprogramaciones!O$13&lt;Reprogramaciones!$T$15,0,IF(Reprogramaciones!O$14&gt;10,MIN(100,SUM($G127:$P127)),MIN(100,SUMPRODUCT((COLUMN($G127:$P127)-COLUMN($G127)+1&lt;Reprogramaciones!O$14)*$G127:$P127)+N(INDEX($G127:$P127,1,Reprogramaciones!O$14))*IF(Reprogramaciones!O$13&gt;=(Reprogramaciones!$T$15+7*(Reprogramaciones!O$14-1))+6,1,IF(MAX(0,NETWORKDAYS.INTL(MAX(E127,(Reprogramaciones!$T$15+7*(Reprogramaciones!O$14-1))),MIN(F127,(Reprogramaciones!$T$15+7*(Reprogramaciones!O$14-1))+6),11))=0,0,MAX(0,NETWORKDAYS.INTL(MAX(E127,(Reprogramaciones!$T$15+7*(Reprogramaciones!O$14-1))),MIN(F127,Reprogramaciones!O$13),11))/MAX(0,NETWORKDAYS.INTL(MAX(E127,(Reprogramaciones!$T$15+7*(Reprogramaciones!O$14-1))),MIN(F127,(Reprogramaciones!$T$15+7*(Reprogramaciones!O$14-1))+6),11))))))))</f>
        <v/>
      </c>
      <c r="BY127" s="1" t="str">
        <f aca="false">IF(OR(NOT(AND(ISNUMBER(E127),ISNUMBER(F127))),$J$2=""),"",IF(Reprogramaciones!P$13&lt;Reprogramaciones!$T$15,0,IF(Reprogramaciones!P$14&gt;10,MIN(100,SUM($G127:$P127)),MIN(100,SUMPRODUCT((COLUMN($G127:$P127)-COLUMN($G127)+1&lt;Reprogramaciones!P$14)*$G127:$P127)+N(INDEX($G127:$P127,1,Reprogramaciones!P$14))*IF(Reprogramaciones!P$13&gt;=(Reprogramaciones!$T$15+7*(Reprogramaciones!P$14-1))+6,1,IF(MAX(0,NETWORKDAYS.INTL(MAX(E127,(Reprogramaciones!$T$15+7*(Reprogramaciones!P$14-1))),MIN(F127,(Reprogramaciones!$T$15+7*(Reprogramaciones!P$14-1))+6),11))=0,0,MAX(0,NETWORKDAYS.INTL(MAX(E127,(Reprogramaciones!$T$15+7*(Reprogramaciones!P$14-1))),MIN(F127,Reprogramaciones!P$13),11))/MAX(0,NETWORKDAYS.INTL(MAX(E127,(Reprogramaciones!$T$15+7*(Reprogramaciones!P$14-1))),MIN(F127,(Reprogramaciones!$T$15+7*(Reprogramaciones!P$14-1))+6),11))))))))</f>
        <v/>
      </c>
      <c r="BZ127" s="1" t="str">
        <f aca="false">IF(OR(NOT(AND(ISNUMBER(E127),ISNUMBER(F127))),$J$2=""),"",IF(Reprogramaciones!Q$13&lt;Reprogramaciones!$T$15,0,IF(Reprogramaciones!Q$14&gt;10,MIN(100,SUM($G127:$P127)),MIN(100,SUMPRODUCT((COLUMN($G127:$P127)-COLUMN($G127)+1&lt;Reprogramaciones!Q$14)*$G127:$P127)+N(INDEX($G127:$P127,1,Reprogramaciones!Q$14))*IF(Reprogramaciones!Q$13&gt;=(Reprogramaciones!$T$15+7*(Reprogramaciones!Q$14-1))+6,1,IF(MAX(0,NETWORKDAYS.INTL(MAX(E127,(Reprogramaciones!$T$15+7*(Reprogramaciones!Q$14-1))),MIN(F127,(Reprogramaciones!$T$15+7*(Reprogramaciones!Q$14-1))+6),11))=0,0,MAX(0,NETWORKDAYS.INTL(MAX(E127,(Reprogramaciones!$T$15+7*(Reprogramaciones!Q$14-1))),MIN(F127,Reprogramaciones!Q$13),11))/MAX(0,NETWORKDAYS.INTL(MAX(E127,(Reprogramaciones!$T$15+7*(Reprogramaciones!Q$14-1))),MIN(F127,(Reprogramaciones!$T$15+7*(Reprogramaciones!Q$14-1))+6),11))))))))</f>
        <v/>
      </c>
      <c r="CA127" s="1" t="str">
        <f aca="false">IF(OR(NOT(AND(ISNUMBER(E127),ISNUMBER(F127))),$J$2=""),"",IF(Reprogramaciones!R$13&lt;Reprogramaciones!$T$15,0,IF(Reprogramaciones!R$14&gt;10,MIN(100,SUM($G127:$P127)),MIN(100,SUMPRODUCT((COLUMN($G127:$P127)-COLUMN($G127)+1&lt;Reprogramaciones!R$14)*$G127:$P127)+N(INDEX($G127:$P127,1,Reprogramaciones!R$14))*IF(Reprogramaciones!R$13&gt;=(Reprogramaciones!$T$15+7*(Reprogramaciones!R$14-1))+6,1,IF(MAX(0,NETWORKDAYS.INTL(MAX(E127,(Reprogramaciones!$T$15+7*(Reprogramaciones!R$14-1))),MIN(F127,(Reprogramaciones!$T$15+7*(Reprogramaciones!R$14-1))+6),11))=0,0,MAX(0,NETWORKDAYS.INTL(MAX(E127,(Reprogramaciones!$T$15+7*(Reprogramaciones!R$14-1))),MIN(F127,Reprogramaciones!R$13),11))/MAX(0,NETWORKDAYS.INTL(MAX(E127,(Reprogramaciones!$T$15+7*(Reprogramaciones!R$14-1))),MIN(F127,(Reprogramaciones!$T$15+7*(Reprogramaciones!R$14-1))+6),11))))))))</f>
        <v/>
      </c>
      <c r="CB127" s="1" t="str">
        <f aca="false">IF(OR(NOT(AND(ISNUMBER(E127),ISNUMBER(F127))),$J$2=""),"",IF(Reprogramaciones!S$13&lt;Reprogramaciones!$T$15,0,IF(Reprogramaciones!S$14&gt;10,MIN(100,SUM($G127:$P127)),MIN(100,SUMPRODUCT((COLUMN($G127:$P127)-COLUMN($G127)+1&lt;Reprogramaciones!S$14)*$G127:$P127)+N(INDEX($G127:$P127,1,Reprogramaciones!S$14))*IF(Reprogramaciones!S$13&gt;=(Reprogramaciones!$T$15+7*(Reprogramaciones!S$14-1))+6,1,IF(MAX(0,NETWORKDAYS.INTL(MAX(E127,(Reprogramaciones!$T$15+7*(Reprogramaciones!S$14-1))),MIN(F127,(Reprogramaciones!$T$15+7*(Reprogramaciones!S$14-1))+6),11))=0,0,MAX(0,NETWORKDAYS.INTL(MAX(E127,(Reprogramaciones!$T$15+7*(Reprogramaciones!S$14-1))),MIN(F127,Reprogramaciones!S$13),11))/MAX(0,NETWORKDAYS.INTL(MAX(E127,(Reprogramaciones!$T$15+7*(Reprogramaciones!S$14-1))),MIN(F127,(Reprogramaciones!$T$15+7*(Reprogramaciones!S$14-1))+6),11))))))))</f>
        <v/>
      </c>
      <c r="CC127" s="1" t="str">
        <f aca="false">IF(OR(NOT(AND(ISNUMBER(E127),ISNUMBER(F127))),$J$2=""),"",IF(Reprogramaciones!T$13&lt;Reprogramaciones!$T$15,0,IF(Reprogramaciones!T$14&gt;10,MIN(100,SUM($G127:$P127)),MIN(100,SUMPRODUCT((COLUMN($G127:$P127)-COLUMN($G127)+1&lt;Reprogramaciones!T$14)*$G127:$P127)+N(INDEX($G127:$P127,1,Reprogramaciones!T$14))*IF(Reprogramaciones!T$13&gt;=(Reprogramaciones!$T$15+7*(Reprogramaciones!T$14-1))+6,1,IF(MAX(0,NETWORKDAYS.INTL(MAX(E127,(Reprogramaciones!$T$15+7*(Reprogramaciones!T$14-1))),MIN(F127,(Reprogramaciones!$T$15+7*(Reprogramaciones!T$14-1))+6),11))=0,0,MAX(0,NETWORKDAYS.INTL(MAX(E127,(Reprogramaciones!$T$15+7*(Reprogramaciones!T$14-1))),MIN(F127,Reprogramaciones!T$13),11))/MAX(0,NETWORKDAYS.INTL(MAX(E127,(Reprogramaciones!$T$15+7*(Reprogramaciones!T$14-1))),MIN(F127,(Reprogramaciones!$T$15+7*(Reprogramaciones!T$14-1))+6),11))))))))</f>
        <v/>
      </c>
      <c r="CD127" s="1" t="str">
        <f aca="false">IF(OR(NOT(AND(ISNUMBER(E127),ISNUMBER(F127))),$J$2=""),"",IF(Reprogramaciones!U$13&lt;Reprogramaciones!$T$15,0,IF(Reprogramaciones!U$14&gt;10,MIN(100,SUM($G127:$P127)),MIN(100,SUMPRODUCT((COLUMN($G127:$P127)-COLUMN($G127)+1&lt;Reprogramaciones!U$14)*$G127:$P127)+N(INDEX($G127:$P127,1,Reprogramaciones!U$14))*IF(Reprogramaciones!U$13&gt;=(Reprogramaciones!$T$15+7*(Reprogramaciones!U$14-1))+6,1,IF(MAX(0,NETWORKDAYS.INTL(MAX(E127,(Reprogramaciones!$T$15+7*(Reprogramaciones!U$14-1))),MIN(F127,(Reprogramaciones!$T$15+7*(Reprogramaciones!U$14-1))+6),11))=0,0,MAX(0,NETWORKDAYS.INTL(MAX(E127,(Reprogramaciones!$T$15+7*(Reprogramaciones!U$14-1))),MIN(F127,Reprogramaciones!U$13),11))/MAX(0,NETWORKDAYS.INTL(MAX(E127,(Reprogramaciones!$T$15+7*(Reprogramaciones!U$14-1))),MIN(F127,(Reprogramaciones!$T$15+7*(Reprogramaciones!U$14-1))+6),11))))))))</f>
        <v/>
      </c>
      <c r="CE127" s="1" t="str">
        <f aca="false">IF(OR(NOT(AND(ISNUMBER(E127),ISNUMBER(F127))),$J$2=""),"",IF(Reprogramaciones!V$13&lt;Reprogramaciones!$T$15,0,IF(Reprogramaciones!V$14&gt;10,MIN(100,SUM($G127:$P127)),MIN(100,SUMPRODUCT((COLUMN($G127:$P127)-COLUMN($G127)+1&lt;Reprogramaciones!V$14)*$G127:$P127)+N(INDEX($G127:$P127,1,Reprogramaciones!V$14))*IF(Reprogramaciones!V$13&gt;=(Reprogramaciones!$T$15+7*(Reprogramaciones!V$14-1))+6,1,IF(MAX(0,NETWORKDAYS.INTL(MAX(E127,(Reprogramaciones!$T$15+7*(Reprogramaciones!V$14-1))),MIN(F127,(Reprogramaciones!$T$15+7*(Reprogramaciones!V$14-1))+6),11))=0,0,MAX(0,NETWORKDAYS.INTL(MAX(E127,(Reprogramaciones!$T$15+7*(Reprogramaciones!V$14-1))),MIN(F127,Reprogramaciones!V$13),11))/MAX(0,NETWORKDAYS.INTL(MAX(E127,(Reprogramaciones!$T$15+7*(Reprogramaciones!V$14-1))),MIN(F127,(Reprogramaciones!$T$15+7*(Reprogramaciones!V$14-1))+6),11))))))))</f>
        <v/>
      </c>
      <c r="CF127" s="1" t="str">
        <f aca="false">IF(OR(NOT(AND(ISNUMBER(E127),ISNUMBER(F127))),$J$2=""),"",IF(Reprogramaciones!W$13&lt;Reprogramaciones!$T$15,0,IF(Reprogramaciones!W$14&gt;10,MIN(100,SUM($G127:$P127)),MIN(100,SUMPRODUCT((COLUMN($G127:$P127)-COLUMN($G127)+1&lt;Reprogramaciones!W$14)*$G127:$P127)+N(INDEX($G127:$P127,1,Reprogramaciones!W$14))*IF(Reprogramaciones!W$13&gt;=(Reprogramaciones!$T$15+7*(Reprogramaciones!W$14-1))+6,1,IF(MAX(0,NETWORKDAYS.INTL(MAX(E127,(Reprogramaciones!$T$15+7*(Reprogramaciones!W$14-1))),MIN(F127,(Reprogramaciones!$T$15+7*(Reprogramaciones!W$14-1))+6),11))=0,0,MAX(0,NETWORKDAYS.INTL(MAX(E127,(Reprogramaciones!$T$15+7*(Reprogramaciones!W$14-1))),MIN(F127,Reprogramaciones!W$13),11))/MAX(0,NETWORKDAYS.INTL(MAX(E127,(Reprogramaciones!$T$15+7*(Reprogramaciones!W$14-1))),MIN(F127,(Reprogramaciones!$T$15+7*(Reprogramaciones!W$14-1))+6),11))))))))</f>
        <v/>
      </c>
      <c r="CG127" s="1" t="str">
        <f aca="false">IF(OR(NOT(AND(ISNUMBER(E127),ISNUMBER(F127))),$J$2=""),"",IF(Reprogramaciones!X$13&lt;Reprogramaciones!$T$15,0,IF(Reprogramaciones!X$14&gt;10,MIN(100,SUM($G127:$P127)),MIN(100,SUMPRODUCT((COLUMN($G127:$P127)-COLUMN($G127)+1&lt;Reprogramaciones!X$14)*$G127:$P127)+N(INDEX($G127:$P127,1,Reprogramaciones!X$14))*IF(Reprogramaciones!X$13&gt;=(Reprogramaciones!$T$15+7*(Reprogramaciones!X$14-1))+6,1,IF(MAX(0,NETWORKDAYS.INTL(MAX(E127,(Reprogramaciones!$T$15+7*(Reprogramaciones!X$14-1))),MIN(F127,(Reprogramaciones!$T$15+7*(Reprogramaciones!X$14-1))+6),11))=0,0,MAX(0,NETWORKDAYS.INTL(MAX(E127,(Reprogramaciones!$T$15+7*(Reprogramaciones!X$14-1))),MIN(F127,Reprogramaciones!X$13),11))/MAX(0,NETWORKDAYS.INTL(MAX(E127,(Reprogramaciones!$T$15+7*(Reprogramaciones!X$14-1))),MIN(F127,(Reprogramaciones!$T$15+7*(Reprogramaciones!X$14-1))+6),11))))))))</f>
        <v/>
      </c>
      <c r="CH127" s="1" t="str">
        <f aca="false">IF(OR(NOT(AND(ISNUMBER(E127),ISNUMBER(F127))),$J$2=""),"",IF(Reprogramaciones!Y$13&lt;Reprogramaciones!$T$15,0,IF(Reprogramaciones!Y$14&gt;10,MIN(100,SUM($G127:$P127)),MIN(100,SUMPRODUCT((COLUMN($G127:$P127)-COLUMN($G127)+1&lt;Reprogramaciones!Y$14)*$G127:$P127)+N(INDEX($G127:$P127,1,Reprogramaciones!Y$14))*IF(Reprogramaciones!Y$13&gt;=(Reprogramaciones!$T$15+7*(Reprogramaciones!Y$14-1))+6,1,IF(MAX(0,NETWORKDAYS.INTL(MAX(E127,(Reprogramaciones!$T$15+7*(Reprogramaciones!Y$14-1))),MIN(F127,(Reprogramaciones!$T$15+7*(Reprogramaciones!Y$14-1))+6),11))=0,0,MAX(0,NETWORKDAYS.INTL(MAX(E127,(Reprogramaciones!$T$15+7*(Reprogramaciones!Y$14-1))),MIN(F127,Reprogramaciones!Y$13),11))/MAX(0,NETWORKDAYS.INTL(MAX(E127,(Reprogramaciones!$T$15+7*(Reprogramaciones!Y$14-1))),MIN(F127,(Reprogramaciones!$T$15+7*(Reprogramaciones!Y$14-1))+6),11))))))))</f>
        <v/>
      </c>
      <c r="CI127" s="1" t="str">
        <f aca="false">IF(OR(NOT(AND(ISNUMBER(E127),ISNUMBER(F127))),$J$2=""),"",IF(Reprogramaciones!Z$13&lt;Reprogramaciones!$T$15,0,IF(Reprogramaciones!Z$14&gt;10,MIN(100,SUM($G127:$P127)),MIN(100,SUMPRODUCT((COLUMN($G127:$P127)-COLUMN($G127)+1&lt;Reprogramaciones!Z$14)*$G127:$P127)+N(INDEX($G127:$P127,1,Reprogramaciones!Z$14))*IF(Reprogramaciones!Z$13&gt;=(Reprogramaciones!$T$15+7*(Reprogramaciones!Z$14-1))+6,1,IF(MAX(0,NETWORKDAYS.INTL(MAX(E127,(Reprogramaciones!$T$15+7*(Reprogramaciones!Z$14-1))),MIN(F127,(Reprogramaciones!$T$15+7*(Reprogramaciones!Z$14-1))+6),11))=0,0,MAX(0,NETWORKDAYS.INTL(MAX(E127,(Reprogramaciones!$T$15+7*(Reprogramaciones!Z$14-1))),MIN(F127,Reprogramaciones!Z$13),11))/MAX(0,NETWORKDAYS.INTL(MAX(E127,(Reprogramaciones!$T$15+7*(Reprogramaciones!Z$14-1))),MIN(F127,(Reprogramaciones!$T$15+7*(Reprogramaciones!Z$14-1))+6),11))))))))</f>
        <v/>
      </c>
      <c r="CJ127" s="1" t="str">
        <f aca="false">IF(OR(OR(NOT(AND(ISNUMBER(E127),ISNUMBER(F127))),$J$2=""),1&gt;Reprogramaciones!$K$16),"",IF(ROUND(SUM($Q127:Q127),1)&gt;=99.5,100,MIN(100,ROUND(SUM($Q127:Q127),1))))</f>
        <v/>
      </c>
      <c r="CK127" s="1" t="str">
        <f aca="false">IF(OR(OR(NOT(AND(ISNUMBER(E127),ISNUMBER(F127))),$J$2=""),2&gt;Reprogramaciones!$K$16),"",IF(ROUND(SUM($Q127:R127),1)&gt;=99.5,100,MIN(100,ROUND(SUM($Q127:R127),1))))</f>
        <v/>
      </c>
      <c r="CL127" s="1" t="str">
        <f aca="false">IF(OR(OR(NOT(AND(ISNUMBER(E127),ISNUMBER(F127))),$J$2=""),3&gt;Reprogramaciones!$K$16),"",IF(ROUND(SUM($Q127:S127),1)&gt;=99.5,100,MIN(100,ROUND(SUM($Q127:S127),1))))</f>
        <v/>
      </c>
      <c r="CM127" s="1" t="str">
        <f aca="false">IF(OR(OR(NOT(AND(ISNUMBER(E127),ISNUMBER(F127))),$J$2=""),4&gt;Reprogramaciones!$K$16),"",IF(ROUND(SUM($Q127:T127),1)&gt;=99.5,100,MIN(100,ROUND(SUM($Q127:T127),1))))</f>
        <v/>
      </c>
      <c r="CN127" s="1" t="str">
        <f aca="false">IF(OR(OR(NOT(AND(ISNUMBER(E127),ISNUMBER(F127))),$J$2=""),5&gt;Reprogramaciones!$K$16),"",IF(ROUND(SUM($Q127:U127),1)&gt;=99.5,100,MIN(100,ROUND(SUM($Q127:U127),1))))</f>
        <v/>
      </c>
      <c r="CO127" s="1" t="str">
        <f aca="false">IF(OR(OR(NOT(AND(ISNUMBER(E127),ISNUMBER(F127))),$J$2=""),6&gt;Reprogramaciones!$K$16),"",IF(ROUND(SUM($Q127:V127),1)&gt;=99.5,100,MIN(100,ROUND(SUM($Q127:V127),1))))</f>
        <v/>
      </c>
      <c r="CP127" s="1" t="str">
        <f aca="false">IF(OR(OR(NOT(AND(ISNUMBER(E127),ISNUMBER(F127))),$J$2=""),7&gt;Reprogramaciones!$K$16),"",IF(ROUND(SUM($Q127:W127),1)&gt;=99.5,100,MIN(100,ROUND(SUM($Q127:W127),1))))</f>
        <v/>
      </c>
      <c r="CQ127" s="1" t="str">
        <f aca="false">IF(OR(OR(NOT(AND(ISNUMBER(E127),ISNUMBER(F127))),$J$2=""),8&gt;Reprogramaciones!$K$16),"",IF(ROUND(SUM($Q127:X127),1)&gt;=99.5,100,MIN(100,ROUND(SUM($Q127:X127),1))))</f>
        <v/>
      </c>
      <c r="CR127" s="1" t="str">
        <f aca="false">IF(OR(OR(NOT(AND(ISNUMBER(E127),ISNUMBER(F127))),$J$2=""),9&gt;Reprogramaciones!$K$16),"",IF(ROUND(SUM($Q127:Y127),1)&gt;=99.5,100,MIN(100,ROUND(SUM($Q127:Y127),1))))</f>
        <v/>
      </c>
      <c r="CS127" s="1" t="str">
        <f aca="false">IF(OR(OR(NOT(AND(ISNUMBER(E127),ISNUMBER(F127))),$J$2=""),10&gt;Reprogramaciones!$K$16),"",IF(ROUND(SUM($Q127:Z127),1)&gt;=99.5,100,MIN(100,ROUND(SUM($Q127:Z127),1))))</f>
        <v/>
      </c>
      <c r="CT127" s="1" t="str">
        <f aca="false">IF(OR(OR(NOT(AND(ISNUMBER(E127),ISNUMBER(F127))),$J$2=""),11&gt;Reprogramaciones!$K$16),"",IF(ROUND(SUM($Q127:AA127),1)&gt;=99.5,100,MIN(100,ROUND(SUM($Q127:AA127),1))))</f>
        <v/>
      </c>
      <c r="CU127" s="1" t="str">
        <f aca="false">IF(OR(OR(NOT(AND(ISNUMBER(E127),ISNUMBER(F127))),$J$2=""),12&gt;Reprogramaciones!$K$16),"",IF(ROUND(SUM($Q127:AB127),1)&gt;=99.5,100,MIN(100,ROUND(SUM($Q127:AB127),1))))</f>
        <v/>
      </c>
      <c r="CV127" s="1" t="str">
        <f aca="false">IF(OR(OR(NOT(AND(ISNUMBER(E127),ISNUMBER(F127))),$J$2=""),13&gt;Reprogramaciones!$K$16),"",IF(ROUND(SUM($Q127:AC127),1)&gt;=99.5,100,MIN(100,ROUND(SUM($Q127:AC127),1))))</f>
        <v/>
      </c>
      <c r="CW127" s="1" t="str">
        <f aca="false">IF(OR(OR(NOT(AND(ISNUMBER(E127),ISNUMBER(F127))),$J$2=""),14&gt;Reprogramaciones!$K$16),"",IF(ROUND(SUM($Q127:AD127),1)&gt;=99.5,100,MIN(100,ROUND(SUM($Q127:AD127),1))))</f>
        <v/>
      </c>
      <c r="CX127" s="1" t="str">
        <f aca="false">IF(OR(OR(NOT(AND(ISNUMBER(E127),ISNUMBER(F127))),$J$2=""),15&gt;Reprogramaciones!$K$16),"",IF(ROUND(SUM($Q127:AE127),1)&gt;=99.5,100,MIN(100,ROUND(SUM($Q127:AE127),1))))</f>
        <v/>
      </c>
      <c r="CY127" s="1" t="str">
        <f aca="false">IF(OR(OR(NOT(AND(ISNUMBER(E127),ISNUMBER(F127))),$J$2=""),16&gt;Reprogramaciones!$K$16),"",IF(ROUND(SUM($Q127:AF127),1)&gt;=99.5,100,MIN(100,ROUND(SUM($Q127:AF127),1))))</f>
        <v/>
      </c>
      <c r="CZ127" s="1" t="str">
        <f aca="false">IF(D127&lt;&gt;"",D127,IF(B127&lt;&gt;"","Contractual",CZ126))</f>
        <v>Contractual</v>
      </c>
      <c r="DA127" s="1" t="str">
        <f aca="false">IF(OR(NOT(AND(ISNUMBER(E127),ISNUMBER(F127))),$J$2=""),"",IF(Reprogramaciones!$Q$15&lt;Reprogramaciones!$T$15,0,IF(Reprogramaciones!$S$15&gt;10,MIN(100,SUM($G127:$P127)),MIN(100,SUMPRODUCT((COLUMN($G127:$P127)-COLUMN($G127)+1&lt;Reprogramaciones!$S$15)*$G127:$P127)+N(INDEX($G127:$P127,1,Reprogramaciones!$S$15))*IF(Reprogramaciones!$Q$15&gt;=(Reprogramaciones!$T$15+7*(Reprogramaciones!$S$15-1))+6,1,IF(MAX(0,NETWORKDAYS.INTL(MAX(E127,(Reprogramaciones!$T$15+7*(Reprogramaciones!$S$15-1))),MIN(F127,(Reprogramaciones!$T$15+7*(Reprogramaciones!$S$15-1))+6),11))=0,0,MAX(0,NETWORKDAYS.INTL(MAX(E127,(Reprogramaciones!$T$15+7*(Reprogramaciones!$S$15-1))),MIN(F127,Reprogramaciones!$Q$15),11))/MAX(0,NETWORKDAYS.INTL(MAX(E127,(Reprogramaciones!$T$15+7*(Reprogramaciones!$S$15-1))),MIN(F127,(Reprogramaciones!$T$15+7*(Reprogramaciones!$S$15-1))+6),11))))))))</f>
        <v/>
      </c>
    </row>
    <row r="128" customFormat="false" ht="15" hidden="false" customHeight="false" outlineLevel="0" collapsed="false">
      <c r="A128" s="32"/>
      <c r="B128" s="33"/>
      <c r="C128" s="33"/>
      <c r="D128" s="34"/>
      <c r="E128" s="35"/>
      <c r="F128" s="35"/>
      <c r="G128" s="36" t="str">
        <f aca="false">IF(OR(NOT(AND(ISNUMBER(E128),ISNUMBER(F128))),$J$2=""),"",IF(Reprogramaciones!K$9&lt;E128,0,IF(NETWORKDAYS.INTL(E128,F128,11)=0,IF(Reprogramaciones!K$9&gt;=F128,100,0),ROUND(NETWORKDAYS.INTL(E128,MIN(F128,Reprogramaciones!K$9),11)/NETWORKDAYS.INTL(E128,F128,11)*100,1)))-0)</f>
        <v/>
      </c>
      <c r="H128" s="36" t="str">
        <f aca="false">IF(OR(NOT(AND(ISNUMBER(E128),ISNUMBER(F128))),$J$2=""),"",IF(Reprogramaciones!L$9&lt;E128,0,IF(NETWORKDAYS.INTL(E128,F128,11)=0,IF(Reprogramaciones!L$9&gt;=F128,100,0),ROUND(NETWORKDAYS.INTL(E128,MIN(F128,Reprogramaciones!L$9),11)/NETWORKDAYS.INTL(E128,F128,11)*100,1)))-IF(Reprogramaciones!K$9&lt;E128,0,IF(NETWORKDAYS.INTL(E128,F128,11)=0,IF(Reprogramaciones!K$9&gt;=F128,100,0),ROUND(NETWORKDAYS.INTL(E128,MIN(F128,Reprogramaciones!K$9),11)/NETWORKDAYS.INTL(E128,F128,11)*100,1))))</f>
        <v/>
      </c>
      <c r="I128" s="36" t="str">
        <f aca="false">IF(OR(NOT(AND(ISNUMBER(E128),ISNUMBER(F128))),$J$2=""),"",IF(Reprogramaciones!M$9&lt;E128,0,IF(NETWORKDAYS.INTL(E128,F128,11)=0,IF(Reprogramaciones!M$9&gt;=F128,100,0),ROUND(NETWORKDAYS.INTL(E128,MIN(F128,Reprogramaciones!M$9),11)/NETWORKDAYS.INTL(E128,F128,11)*100,1)))-IF(Reprogramaciones!L$9&lt;E128,0,IF(NETWORKDAYS.INTL(E128,F128,11)=0,IF(Reprogramaciones!L$9&gt;=F128,100,0),ROUND(NETWORKDAYS.INTL(E128,MIN(F128,Reprogramaciones!L$9),11)/NETWORKDAYS.INTL(E128,F128,11)*100,1))))</f>
        <v/>
      </c>
      <c r="J128" s="36" t="str">
        <f aca="false">IF(OR(NOT(AND(ISNUMBER(E128),ISNUMBER(F128))),$J$2=""),"",IF(Reprogramaciones!N$9&lt;E128,0,IF(NETWORKDAYS.INTL(E128,F128,11)=0,IF(Reprogramaciones!N$9&gt;=F128,100,0),ROUND(NETWORKDAYS.INTL(E128,MIN(F128,Reprogramaciones!N$9),11)/NETWORKDAYS.INTL(E128,F128,11)*100,1)))-IF(Reprogramaciones!M$9&lt;E128,0,IF(NETWORKDAYS.INTL(E128,F128,11)=0,IF(Reprogramaciones!M$9&gt;=F128,100,0),ROUND(NETWORKDAYS.INTL(E128,MIN(F128,Reprogramaciones!M$9),11)/NETWORKDAYS.INTL(E128,F128,11)*100,1))))</f>
        <v/>
      </c>
      <c r="K128" s="36" t="str">
        <f aca="false">IF(OR(NOT(AND(ISNUMBER(E128),ISNUMBER(F128))),$J$2=""),"",IF(Reprogramaciones!O$9&lt;E128,0,IF(NETWORKDAYS.INTL(E128,F128,11)=0,IF(Reprogramaciones!O$9&gt;=F128,100,0),ROUND(NETWORKDAYS.INTL(E128,MIN(F128,Reprogramaciones!O$9),11)/NETWORKDAYS.INTL(E128,F128,11)*100,1)))-IF(Reprogramaciones!N$9&lt;E128,0,IF(NETWORKDAYS.INTL(E128,F128,11)=0,IF(Reprogramaciones!N$9&gt;=F128,100,0),ROUND(NETWORKDAYS.INTL(E128,MIN(F128,Reprogramaciones!N$9),11)/NETWORKDAYS.INTL(E128,F128,11)*100,1))))</f>
        <v/>
      </c>
      <c r="L128" s="36" t="str">
        <f aca="false">IF(OR(NOT(AND(ISNUMBER(E128),ISNUMBER(F128))),$J$2=""),"",IF(Reprogramaciones!P$9&lt;E128,0,IF(NETWORKDAYS.INTL(E128,F128,11)=0,IF(Reprogramaciones!P$9&gt;=F128,100,0),ROUND(NETWORKDAYS.INTL(E128,MIN(F128,Reprogramaciones!P$9),11)/NETWORKDAYS.INTL(E128,F128,11)*100,1)))-IF(Reprogramaciones!O$9&lt;E128,0,IF(NETWORKDAYS.INTL(E128,F128,11)=0,IF(Reprogramaciones!O$9&gt;=F128,100,0),ROUND(NETWORKDAYS.INTL(E128,MIN(F128,Reprogramaciones!O$9),11)/NETWORKDAYS.INTL(E128,F128,11)*100,1))))</f>
        <v/>
      </c>
      <c r="M128" s="36" t="str">
        <f aca="false">IF(OR(NOT(AND(ISNUMBER(E128),ISNUMBER(F128))),$J$2=""),"",IF(Reprogramaciones!Q$9&lt;E128,0,IF(NETWORKDAYS.INTL(E128,F128,11)=0,IF(Reprogramaciones!Q$9&gt;=F128,100,0),ROUND(NETWORKDAYS.INTL(E128,MIN(F128,Reprogramaciones!Q$9),11)/NETWORKDAYS.INTL(E128,F128,11)*100,1)))-IF(Reprogramaciones!P$9&lt;E128,0,IF(NETWORKDAYS.INTL(E128,F128,11)=0,IF(Reprogramaciones!P$9&gt;=F128,100,0),ROUND(NETWORKDAYS.INTL(E128,MIN(F128,Reprogramaciones!P$9),11)/NETWORKDAYS.INTL(E128,F128,11)*100,1))))</f>
        <v/>
      </c>
      <c r="N128" s="36" t="str">
        <f aca="false">IF(OR(NOT(AND(ISNUMBER(E128),ISNUMBER(F128))),$J$2=""),"",IF(Reprogramaciones!R$9&lt;E128,0,IF(NETWORKDAYS.INTL(E128,F128,11)=0,IF(Reprogramaciones!R$9&gt;=F128,100,0),ROUND(NETWORKDAYS.INTL(E128,MIN(F128,Reprogramaciones!R$9),11)/NETWORKDAYS.INTL(E128,F128,11)*100,1)))-IF(Reprogramaciones!Q$9&lt;E128,0,IF(NETWORKDAYS.INTL(E128,F128,11)=0,IF(Reprogramaciones!Q$9&gt;=F128,100,0),ROUND(NETWORKDAYS.INTL(E128,MIN(F128,Reprogramaciones!Q$9),11)/NETWORKDAYS.INTL(E128,F128,11)*100,1))))</f>
        <v/>
      </c>
      <c r="O128" s="36" t="str">
        <f aca="false">IF(OR(NOT(AND(ISNUMBER(E128),ISNUMBER(F128))),$J$2=""),"",IF(Reprogramaciones!S$9&lt;E128,0,IF(NETWORKDAYS.INTL(E128,F128,11)=0,IF(Reprogramaciones!S$9&gt;=F128,100,0),ROUND(NETWORKDAYS.INTL(E128,MIN(F128,Reprogramaciones!S$9),11)/NETWORKDAYS.INTL(E128,F128,11)*100,1)))-IF(Reprogramaciones!R$9&lt;E128,0,IF(NETWORKDAYS.INTL(E128,F128,11)=0,IF(Reprogramaciones!R$9&gt;=F128,100,0),ROUND(NETWORKDAYS.INTL(E128,MIN(F128,Reprogramaciones!R$9),11)/NETWORKDAYS.INTL(E128,F128,11)*100,1))))</f>
        <v/>
      </c>
      <c r="P128" s="36" t="str">
        <f aca="false">IF(OR(NOT(AND(ISNUMBER(E128),ISNUMBER(F128))),$J$2=""),"",IF(Reprogramaciones!T$9&lt;E128,0,IF(NETWORKDAYS.INTL(E128,F128,11)=0,IF(Reprogramaciones!T$9&gt;=F128,100,0),ROUND(NETWORKDAYS.INTL(E128,MIN(F128,Reprogramaciones!T$9),11)/NETWORKDAYS.INTL(E128,F128,11)*100,1)))-IF(Reprogramaciones!S$9&lt;E128,0,IF(NETWORKDAYS.INTL(E128,F128,11)=0,IF(Reprogramaciones!S$9&gt;=F128,100,0),ROUND(NETWORKDAYS.INTL(E128,MIN(F128,Reprogramaciones!S$9),11)/NETWORKDAYS.INTL(E128,F128,11)*100,1))))</f>
        <v/>
      </c>
      <c r="Q128" s="37"/>
      <c r="R128" s="37"/>
      <c r="S128" s="37"/>
      <c r="T128" s="37"/>
      <c r="U128" s="37"/>
      <c r="V128" s="37"/>
      <c r="W128" s="37"/>
      <c r="X128" s="37"/>
      <c r="Y128" s="37"/>
      <c r="Z128" s="37"/>
      <c r="AA128" s="37"/>
      <c r="AB128" s="37"/>
      <c r="AC128" s="37"/>
      <c r="AD128" s="37"/>
      <c r="AE128" s="37"/>
      <c r="AF128" s="37"/>
      <c r="AG128" s="38" t="str">
        <f aca="false">IF(AND(ISNUMBER(E128),ISNUMBER(F128)),NETWORKDAYS.INTL(E128,F128,11),"")</f>
        <v/>
      </c>
      <c r="AH128" s="38" t="str">
        <f aca="false">IF(OR(NOT(AND(ISNUMBER(E128),ISNUMBER(F128))),$J$2=""),"",IF(Reprogramaciones!$P$15&lt;Reprogramaciones!$T$15,0,IF(Reprogramaciones!$R$15&gt;10,MIN(100,SUM($G128:$P128)),MIN(100,SUMPRODUCT((COLUMN($G128:$P128)-COLUMN($G128)+1&lt;Reprogramaciones!$R$15)*$G128:$P128)+N(INDEX($G128:$P128,1,Reprogramaciones!$R$15))*IF(Reprogramaciones!$P$15&gt;=(Reprogramaciones!$T$15+7*(Reprogramaciones!$R$15-1))+6,1,IF(MAX(0,NETWORKDAYS.INTL(MAX(E128,(Reprogramaciones!$T$15+7*(Reprogramaciones!$R$15-1))),MIN(F128,(Reprogramaciones!$T$15+7*(Reprogramaciones!$R$15-1))+6),11))=0,0,MAX(0,NETWORKDAYS.INTL(MAX(E128,(Reprogramaciones!$T$15+7*(Reprogramaciones!$R$15-1))),MIN(F128,Reprogramaciones!$P$15),11))/MAX(0,NETWORKDAYS.INTL(MAX(E128,(Reprogramaciones!$T$15+7*(Reprogramaciones!$R$15-1))),MIN(F128,(Reprogramaciones!$T$15+7*(Reprogramaciones!$R$15-1))+6),11))))))))</f>
        <v/>
      </c>
      <c r="AI128" s="38" t="str">
        <f aca="false">IF(COUNT($Q128:$AF128)=0,"",IF(ROUND(SUM($Q128:$AF128),1)&gt;=99.5,100,MIN(100,ROUND(SUM($Q128:$AF128),1))))</f>
        <v/>
      </c>
      <c r="AJ128" s="38" t="str">
        <f aca="false">IF(OR(AH128="",AI128=""),"",AI128-AH128)</f>
        <v/>
      </c>
      <c r="AK128" s="39" t="str">
        <f aca="true">IF(AH128="","",IF(OR(Ficha!$C$10="Suspendida",Ficha!$C$10="Cancelada"),Ficha!$C$10,IF(AND(AI128&lt;&gt;"",N(AI128)&gt;=100),"Completada",IF(AND(E128&gt;TODAY(),N(AI128)=0),"Por iniciar",IF(N(AI128)+0.5&lt;AH128,"Retrasada",IF(N(AI128)+0.5&lt;DA128,IF(Reprogramaciones!$K$15&gt;0,"Al día · Sem "&amp;Reprogramaciones!$K$15&amp;" en curso","Al día · en curso"),"A tiempo"))))))</f>
        <v/>
      </c>
      <c r="AL128" s="39" t="str">
        <f aca="true">IF(AND(A128="",AND(B128="",C128="",E128="",F128="",COUNT(Q128:AF128)=0)),"",IF(AND(B128="",C128="",E128="",F128="",COUNT(Q128:AF128)=0),"Falta la partida o subpartida",IF(AND(A128&lt;&gt;"",COUNTIF($A$6:$A$305,A128)&gt;1),"Ítem repetido",IF(AND(C128="",E128="",F128="",COUNT(Q128:AF128)=0),"Título de partida",IF(OR(E128="",F128=""),"Faltan fechas",IF(OR(ISTEXT(E128),ISTEXT(F128)),"Fecha escrita como texto: usa dd/mm/aaaa",IF(F128&lt;E128,"Fin antes del inicio",IF(IF($J$2="",FALSE(),OR(E128&lt;$J$2,F128&gt;Reprogramaciones!$T$15+69)),"Fuera de las 10 semanas",IF(ABS(SUM(G128:P128)-100)&gt;0.5,"La meta no suma 100%",IF(ROUND(SUM(Q128:AF128),1)&gt;100.5,"El avance pasa de 100%",IF(MIN(Q128:AF128)&lt;0,"Avance negativo",IF(COUNTA(Q128:AF128)&gt;COUNT(Q128:AF128),"Avance escrito como texto",IF(SUMPRODUCT((Q128:AF128&gt;0)*(Q128:AF128&lt;1))&gt;0,"Avance menor a 1: escribe 50, no 50%",IF(SUMPRODUCT(ISNUMBER(Q128:AF128)*(Reprogramaciones!$K$8:$Z$8&gt;TODAY()))&gt;0,"Avance en semana que aún no llega",IF(AND(N(Reprogramaciones!$E$21)&gt;0,F128&gt;Reprogramaciones!$E$21),"Pasa el fin de la obra: registra una reprogramación",IF(AND(N(Reprogramaciones!$E$21)&gt;0,SUMPRODUCT(ISNUMBER(Q128:AF128)*(Reprogramaciones!$K$8:$Z$8&gt;Reprogramaciones!$E$21))&gt;0),"Avance después del fin de la obra: registra una reprogramación por atraso","OK"))))))))))))))))</f>
        <v/>
      </c>
      <c r="AM128" s="40" t="str">
        <f aca="false">IF(OR(OR(NOT(AND(ISNUMBER(E128),ISNUMBER(F128))),$J$2=""),1&gt;MAX(1,Reprogramaciones!$U$15)),"",IF(Reprogramaciones!K$12&gt;=7,"",IF(OR(BT128-N(0)&gt;0.05,N(Q128)&gt;0),ROUNDDOWN(ROUND(BT128,6),0)&amp;"%"&amp;IF(CJ128="",""," / "&amp;CJ128&amp;"%"),IF(AND(N(0)&gt;=99.95,CJ128&lt;&gt;"",N(CJ128)&lt;100),"Pend. "&amp;CJ128&amp;"%",""))))</f>
        <v/>
      </c>
      <c r="AN128" s="40" t="str">
        <f aca="false">IF(OR(OR(NOT(AND(ISNUMBER(E128),ISNUMBER(F128))),$J$2=""),2&gt;MAX(1,Reprogramaciones!$U$15)),"",IF(Reprogramaciones!L$12&gt;=7,"",IF(OR(BU128-N(BT128)&gt;0.05,N(R128)&gt;0),ROUNDDOWN(ROUND(BU128,6),0)&amp;"%"&amp;IF(CK128="",""," / "&amp;CK128&amp;"%"),IF(AND(N(BT128)&gt;=99.95,CK128&lt;&gt;"",N(CK128)&lt;100),"Pend. "&amp;CK128&amp;"%",""))))</f>
        <v/>
      </c>
      <c r="AO128" s="40" t="str">
        <f aca="false">IF(OR(OR(NOT(AND(ISNUMBER(E128),ISNUMBER(F128))),$J$2=""),3&gt;MAX(1,Reprogramaciones!$U$15)),"",IF(Reprogramaciones!M$12&gt;=7,"",IF(OR(BV128-N(BU128)&gt;0.05,N(S128)&gt;0),ROUNDDOWN(ROUND(BV128,6),0)&amp;"%"&amp;IF(CL128="",""," / "&amp;CL128&amp;"%"),IF(AND(N(BU128)&gt;=99.95,CL128&lt;&gt;"",N(CL128)&lt;100),"Pend. "&amp;CL128&amp;"%",""))))</f>
        <v/>
      </c>
      <c r="AP128" s="40" t="str">
        <f aca="false">IF(OR(OR(NOT(AND(ISNUMBER(E128),ISNUMBER(F128))),$J$2=""),4&gt;MAX(1,Reprogramaciones!$U$15)),"",IF(Reprogramaciones!N$12&gt;=7,"",IF(OR(BW128-N(BV128)&gt;0.05,N(T128)&gt;0),ROUNDDOWN(ROUND(BW128,6),0)&amp;"%"&amp;IF(CM128="",""," / "&amp;CM128&amp;"%"),IF(AND(N(BV128)&gt;=99.95,CM128&lt;&gt;"",N(CM128)&lt;100),"Pend. "&amp;CM128&amp;"%",""))))</f>
        <v/>
      </c>
      <c r="AQ128" s="40" t="str">
        <f aca="false">IF(OR(OR(NOT(AND(ISNUMBER(E128),ISNUMBER(F128))),$J$2=""),5&gt;MAX(1,Reprogramaciones!$U$15)),"",IF(Reprogramaciones!O$12&gt;=7,"",IF(OR(BX128-N(BW128)&gt;0.05,N(U128)&gt;0),ROUNDDOWN(ROUND(BX128,6),0)&amp;"%"&amp;IF(CN128="",""," / "&amp;CN128&amp;"%"),IF(AND(N(BW128)&gt;=99.95,CN128&lt;&gt;"",N(CN128)&lt;100),"Pend. "&amp;CN128&amp;"%",""))))</f>
        <v/>
      </c>
      <c r="AR128" s="40" t="str">
        <f aca="false">IF(OR(OR(NOT(AND(ISNUMBER(E128),ISNUMBER(F128))),$J$2=""),6&gt;MAX(1,Reprogramaciones!$U$15)),"",IF(Reprogramaciones!P$12&gt;=7,"",IF(OR(BY128-N(BX128)&gt;0.05,N(V128)&gt;0),ROUNDDOWN(ROUND(BY128,6),0)&amp;"%"&amp;IF(CO128="",""," / "&amp;CO128&amp;"%"),IF(AND(N(BX128)&gt;=99.95,CO128&lt;&gt;"",N(CO128)&lt;100),"Pend. "&amp;CO128&amp;"%",""))))</f>
        <v/>
      </c>
      <c r="AS128" s="40" t="str">
        <f aca="false">IF(OR(OR(NOT(AND(ISNUMBER(E128),ISNUMBER(F128))),$J$2=""),7&gt;MAX(1,Reprogramaciones!$U$15)),"",IF(Reprogramaciones!Q$12&gt;=7,"",IF(OR(BZ128-N(BY128)&gt;0.05,N(W128)&gt;0),ROUNDDOWN(ROUND(BZ128,6),0)&amp;"%"&amp;IF(CP128="",""," / "&amp;CP128&amp;"%"),IF(AND(N(BY128)&gt;=99.95,CP128&lt;&gt;"",N(CP128)&lt;100),"Pend. "&amp;CP128&amp;"%",""))))</f>
        <v/>
      </c>
      <c r="AT128" s="40" t="str">
        <f aca="false">IF(OR(OR(NOT(AND(ISNUMBER(E128),ISNUMBER(F128))),$J$2=""),8&gt;MAX(1,Reprogramaciones!$U$15)),"",IF(Reprogramaciones!R$12&gt;=7,"",IF(OR(CA128-N(BZ128)&gt;0.05,N(X128)&gt;0),ROUNDDOWN(ROUND(CA128,6),0)&amp;"%"&amp;IF(CQ128="",""," / "&amp;CQ128&amp;"%"),IF(AND(N(BZ128)&gt;=99.95,CQ128&lt;&gt;"",N(CQ128)&lt;100),"Pend. "&amp;CQ128&amp;"%",""))))</f>
        <v/>
      </c>
      <c r="AU128" s="40" t="str">
        <f aca="false">IF(OR(OR(NOT(AND(ISNUMBER(E128),ISNUMBER(F128))),$J$2=""),9&gt;MAX(1,Reprogramaciones!$U$15)),"",IF(Reprogramaciones!S$12&gt;=7,"",IF(OR(CB128-N(CA128)&gt;0.05,N(Y128)&gt;0),ROUNDDOWN(ROUND(CB128,6),0)&amp;"%"&amp;IF(CR128="",""," / "&amp;CR128&amp;"%"),IF(AND(N(CA128)&gt;=99.95,CR128&lt;&gt;"",N(CR128)&lt;100),"Pend. "&amp;CR128&amp;"%",""))))</f>
        <v/>
      </c>
      <c r="AV128" s="40" t="str">
        <f aca="false">IF(OR(OR(NOT(AND(ISNUMBER(E128),ISNUMBER(F128))),$J$2=""),10&gt;MAX(1,Reprogramaciones!$U$15)),"",IF(Reprogramaciones!T$12&gt;=7,"",IF(OR(CC128-N(CB128)&gt;0.05,N(Z128)&gt;0),ROUNDDOWN(ROUND(CC128,6),0)&amp;"%"&amp;IF(CS128="",""," / "&amp;CS128&amp;"%"),IF(AND(N(CB128)&gt;=99.95,CS128&lt;&gt;"",N(CS128)&lt;100),"Pend. "&amp;CS128&amp;"%",""))))</f>
        <v/>
      </c>
      <c r="AW128" s="40" t="str">
        <f aca="false">IF(OR(OR(NOT(AND(ISNUMBER(E128),ISNUMBER(F128))),$J$2=""),11&gt;MAX(1,Reprogramaciones!$U$15)),"",IF(Reprogramaciones!U$12&gt;=7,"",IF(OR(CD128-N(CC128)&gt;0.05,N(AA128)&gt;0),ROUNDDOWN(ROUND(CD128,6),0)&amp;"%"&amp;IF(CT128="",""," / "&amp;CT128&amp;"%"),IF(AND(N(CC128)&gt;=99.95,CT128&lt;&gt;"",N(CT128)&lt;100),"Pend. "&amp;CT128&amp;"%",""))))</f>
        <v/>
      </c>
      <c r="AX128" s="40" t="str">
        <f aca="false">IF(OR(OR(NOT(AND(ISNUMBER(E128),ISNUMBER(F128))),$J$2=""),12&gt;MAX(1,Reprogramaciones!$U$15)),"",IF(Reprogramaciones!V$12&gt;=7,"",IF(OR(CE128-N(CD128)&gt;0.05,N(AB128)&gt;0),ROUNDDOWN(ROUND(CE128,6),0)&amp;"%"&amp;IF(CU128="",""," / "&amp;CU128&amp;"%"),IF(AND(N(CD128)&gt;=99.95,CU128&lt;&gt;"",N(CU128)&lt;100),"Pend. "&amp;CU128&amp;"%",""))))</f>
        <v/>
      </c>
      <c r="AY128" s="40" t="str">
        <f aca="false">IF(OR(OR(NOT(AND(ISNUMBER(E128),ISNUMBER(F128))),$J$2=""),13&gt;MAX(1,Reprogramaciones!$U$15)),"",IF(Reprogramaciones!W$12&gt;=7,"",IF(OR(CF128-N(CE128)&gt;0.05,N(AC128)&gt;0),ROUNDDOWN(ROUND(CF128,6),0)&amp;"%"&amp;IF(CV128="",""," / "&amp;CV128&amp;"%"),IF(AND(N(CE128)&gt;=99.95,CV128&lt;&gt;"",N(CV128)&lt;100),"Pend. "&amp;CV128&amp;"%",""))))</f>
        <v/>
      </c>
      <c r="AZ128" s="40" t="str">
        <f aca="false">IF(OR(OR(NOT(AND(ISNUMBER(E128),ISNUMBER(F128))),$J$2=""),14&gt;MAX(1,Reprogramaciones!$U$15)),"",IF(Reprogramaciones!X$12&gt;=7,"",IF(OR(CG128-N(CF128)&gt;0.05,N(AD128)&gt;0),ROUNDDOWN(ROUND(CG128,6),0)&amp;"%"&amp;IF(CW128="",""," / "&amp;CW128&amp;"%"),IF(AND(N(CF128)&gt;=99.95,CW128&lt;&gt;"",N(CW128)&lt;100),"Pend. "&amp;CW128&amp;"%",""))))</f>
        <v/>
      </c>
      <c r="BA128" s="40" t="str">
        <f aca="false">IF(OR(OR(NOT(AND(ISNUMBER(E128),ISNUMBER(F128))),$J$2=""),15&gt;MAX(1,Reprogramaciones!$U$15)),"",IF(Reprogramaciones!Y$12&gt;=7,"",IF(OR(CH128-N(CG128)&gt;0.05,N(AE128)&gt;0),ROUNDDOWN(ROUND(CH128,6),0)&amp;"%"&amp;IF(CX128="",""," / "&amp;CX128&amp;"%"),IF(AND(N(CG128)&gt;=99.95,CX128&lt;&gt;"",N(CX128)&lt;100),"Pend. "&amp;CX128&amp;"%",""))))</f>
        <v/>
      </c>
      <c r="BB128" s="40" t="str">
        <f aca="false">IF(OR(OR(NOT(AND(ISNUMBER(E128),ISNUMBER(F128))),$J$2=""),16&gt;MAX(1,Reprogramaciones!$U$15)),"",IF(Reprogramaciones!Z$12&gt;=7,"",IF(OR(CI128-N(CH128)&gt;0.05,N(AF128)&gt;0),ROUNDDOWN(ROUND(CI128,6),0)&amp;"%"&amp;IF(CY128="",""," / "&amp;CY128&amp;"%"),IF(AND(N(CH128)&gt;=99.95,CY128&lt;&gt;"",N(CY128)&lt;100),"Pend. "&amp;CY128&amp;"%",""))))</f>
        <v/>
      </c>
      <c r="BC128" s="31" t="n">
        <f aca="false">IF(AND(ISNUMBER(E128),ISNUMBER(F128)),MAX(1,NETWORKDAYS.INTL(E128,F128,11)),0)</f>
        <v>0</v>
      </c>
      <c r="BD128" s="1" t="str">
        <f aca="false">IF(OR(NOT(AND(ISNUMBER(E128),ISNUMBER(F128))),$J$2=""),"",MIN(100,ROUND(SUM($G128:G128),1)))</f>
        <v/>
      </c>
      <c r="BE128" s="1" t="str">
        <f aca="false">IF(OR(NOT(AND(ISNUMBER(E128),ISNUMBER(F128))),$J$2=""),"",MIN(100,ROUND(SUM($G128:H128),1)))</f>
        <v/>
      </c>
      <c r="BF128" s="1" t="str">
        <f aca="false">IF(OR(NOT(AND(ISNUMBER(E128),ISNUMBER(F128))),$J$2=""),"",MIN(100,ROUND(SUM($G128:I128),1)))</f>
        <v/>
      </c>
      <c r="BG128" s="1" t="str">
        <f aca="false">IF(OR(NOT(AND(ISNUMBER(E128),ISNUMBER(F128))),$J$2=""),"",MIN(100,ROUND(SUM($G128:J128),1)))</f>
        <v/>
      </c>
      <c r="BH128" s="1" t="str">
        <f aca="false">IF(OR(NOT(AND(ISNUMBER(E128),ISNUMBER(F128))),$J$2=""),"",MIN(100,ROUND(SUM($G128:K128),1)))</f>
        <v/>
      </c>
      <c r="BI128" s="1" t="str">
        <f aca="false">IF(OR(NOT(AND(ISNUMBER(E128),ISNUMBER(F128))),$J$2=""),"",MIN(100,ROUND(SUM($G128:L128),1)))</f>
        <v/>
      </c>
      <c r="BJ128" s="1" t="str">
        <f aca="false">IF(OR(NOT(AND(ISNUMBER(E128),ISNUMBER(F128))),$J$2=""),"",MIN(100,ROUND(SUM($G128:M128),1)))</f>
        <v/>
      </c>
      <c r="BK128" s="1" t="str">
        <f aca="false">IF(OR(NOT(AND(ISNUMBER(E128),ISNUMBER(F128))),$J$2=""),"",MIN(100,ROUND(SUM($G128:N128),1)))</f>
        <v/>
      </c>
      <c r="BL128" s="1" t="str">
        <f aca="false">IF(OR(NOT(AND(ISNUMBER(E128),ISNUMBER(F128))),$J$2=""),"",MIN(100,ROUND(SUM($G128:O128),1)))</f>
        <v/>
      </c>
      <c r="BM128" s="1" t="str">
        <f aca="false">IF(OR(NOT(AND(ISNUMBER(E128),ISNUMBER(F128))),$J$2=""),"",MIN(100,ROUND(SUM($G128:P128),1)))</f>
        <v/>
      </c>
      <c r="BN128" s="1" t="str">
        <f aca="false">IF(OR(NOT(AND(ISNUMBER(E128),ISNUMBER(F128))),$J$2=""),"",MIN(100,ROUND(SUM($G128:P128),1)))</f>
        <v/>
      </c>
      <c r="BO128" s="1" t="str">
        <f aca="false">IF(OR(NOT(AND(ISNUMBER(E128),ISNUMBER(F128))),$J$2=""),"",MIN(100,ROUND(SUM($G128:P128),1)))</f>
        <v/>
      </c>
      <c r="BP128" s="1" t="str">
        <f aca="false">IF(OR(NOT(AND(ISNUMBER(E128),ISNUMBER(F128))),$J$2=""),"",MIN(100,ROUND(SUM($G128:P128),1)))</f>
        <v/>
      </c>
      <c r="BQ128" s="1" t="str">
        <f aca="false">IF(OR(NOT(AND(ISNUMBER(E128),ISNUMBER(F128))),$J$2=""),"",MIN(100,ROUND(SUM($G128:P128),1)))</f>
        <v/>
      </c>
      <c r="BR128" s="1" t="str">
        <f aca="false">IF(OR(NOT(AND(ISNUMBER(E128),ISNUMBER(F128))),$J$2=""),"",MIN(100,ROUND(SUM($G128:P128),1)))</f>
        <v/>
      </c>
      <c r="BS128" s="1" t="str">
        <f aca="false">IF(OR(NOT(AND(ISNUMBER(E128),ISNUMBER(F128))),$J$2=""),"",MIN(100,ROUND(SUM($G128:P128),1)))</f>
        <v/>
      </c>
      <c r="BT128" s="1" t="str">
        <f aca="false">IF(OR(NOT(AND(ISNUMBER(E128),ISNUMBER(F128))),$J$2=""),"",IF(Reprogramaciones!K$13&lt;Reprogramaciones!$T$15,0,IF(Reprogramaciones!K$14&gt;10,MIN(100,SUM($G128:$P128)),MIN(100,SUMPRODUCT((COLUMN($G128:$P128)-COLUMN($G128)+1&lt;Reprogramaciones!K$14)*$G128:$P128)+N(INDEX($G128:$P128,1,Reprogramaciones!K$14))*IF(Reprogramaciones!K$13&gt;=(Reprogramaciones!$T$15+7*(Reprogramaciones!K$14-1))+6,1,IF(MAX(0,NETWORKDAYS.INTL(MAX(E128,(Reprogramaciones!$T$15+7*(Reprogramaciones!K$14-1))),MIN(F128,(Reprogramaciones!$T$15+7*(Reprogramaciones!K$14-1))+6),11))=0,0,MAX(0,NETWORKDAYS.INTL(MAX(E128,(Reprogramaciones!$T$15+7*(Reprogramaciones!K$14-1))),MIN(F128,Reprogramaciones!K$13),11))/MAX(0,NETWORKDAYS.INTL(MAX(E128,(Reprogramaciones!$T$15+7*(Reprogramaciones!K$14-1))),MIN(F128,(Reprogramaciones!$T$15+7*(Reprogramaciones!K$14-1))+6),11))))))))</f>
        <v/>
      </c>
      <c r="BU128" s="1" t="str">
        <f aca="false">IF(OR(NOT(AND(ISNUMBER(E128),ISNUMBER(F128))),$J$2=""),"",IF(Reprogramaciones!L$13&lt;Reprogramaciones!$T$15,0,IF(Reprogramaciones!L$14&gt;10,MIN(100,SUM($G128:$P128)),MIN(100,SUMPRODUCT((COLUMN($G128:$P128)-COLUMN($G128)+1&lt;Reprogramaciones!L$14)*$G128:$P128)+N(INDEX($G128:$P128,1,Reprogramaciones!L$14))*IF(Reprogramaciones!L$13&gt;=(Reprogramaciones!$T$15+7*(Reprogramaciones!L$14-1))+6,1,IF(MAX(0,NETWORKDAYS.INTL(MAX(E128,(Reprogramaciones!$T$15+7*(Reprogramaciones!L$14-1))),MIN(F128,(Reprogramaciones!$T$15+7*(Reprogramaciones!L$14-1))+6),11))=0,0,MAX(0,NETWORKDAYS.INTL(MAX(E128,(Reprogramaciones!$T$15+7*(Reprogramaciones!L$14-1))),MIN(F128,Reprogramaciones!L$13),11))/MAX(0,NETWORKDAYS.INTL(MAX(E128,(Reprogramaciones!$T$15+7*(Reprogramaciones!L$14-1))),MIN(F128,(Reprogramaciones!$T$15+7*(Reprogramaciones!L$14-1))+6),11))))))))</f>
        <v/>
      </c>
      <c r="BV128" s="1" t="str">
        <f aca="false">IF(OR(NOT(AND(ISNUMBER(E128),ISNUMBER(F128))),$J$2=""),"",IF(Reprogramaciones!M$13&lt;Reprogramaciones!$T$15,0,IF(Reprogramaciones!M$14&gt;10,MIN(100,SUM($G128:$P128)),MIN(100,SUMPRODUCT((COLUMN($G128:$P128)-COLUMN($G128)+1&lt;Reprogramaciones!M$14)*$G128:$P128)+N(INDEX($G128:$P128,1,Reprogramaciones!M$14))*IF(Reprogramaciones!M$13&gt;=(Reprogramaciones!$T$15+7*(Reprogramaciones!M$14-1))+6,1,IF(MAX(0,NETWORKDAYS.INTL(MAX(E128,(Reprogramaciones!$T$15+7*(Reprogramaciones!M$14-1))),MIN(F128,(Reprogramaciones!$T$15+7*(Reprogramaciones!M$14-1))+6),11))=0,0,MAX(0,NETWORKDAYS.INTL(MAX(E128,(Reprogramaciones!$T$15+7*(Reprogramaciones!M$14-1))),MIN(F128,Reprogramaciones!M$13),11))/MAX(0,NETWORKDAYS.INTL(MAX(E128,(Reprogramaciones!$T$15+7*(Reprogramaciones!M$14-1))),MIN(F128,(Reprogramaciones!$T$15+7*(Reprogramaciones!M$14-1))+6),11))))))))</f>
        <v/>
      </c>
      <c r="BW128" s="1" t="str">
        <f aca="false">IF(OR(NOT(AND(ISNUMBER(E128),ISNUMBER(F128))),$J$2=""),"",IF(Reprogramaciones!N$13&lt;Reprogramaciones!$T$15,0,IF(Reprogramaciones!N$14&gt;10,MIN(100,SUM($G128:$P128)),MIN(100,SUMPRODUCT((COLUMN($G128:$P128)-COLUMN($G128)+1&lt;Reprogramaciones!N$14)*$G128:$P128)+N(INDEX($G128:$P128,1,Reprogramaciones!N$14))*IF(Reprogramaciones!N$13&gt;=(Reprogramaciones!$T$15+7*(Reprogramaciones!N$14-1))+6,1,IF(MAX(0,NETWORKDAYS.INTL(MAX(E128,(Reprogramaciones!$T$15+7*(Reprogramaciones!N$14-1))),MIN(F128,(Reprogramaciones!$T$15+7*(Reprogramaciones!N$14-1))+6),11))=0,0,MAX(0,NETWORKDAYS.INTL(MAX(E128,(Reprogramaciones!$T$15+7*(Reprogramaciones!N$14-1))),MIN(F128,Reprogramaciones!N$13),11))/MAX(0,NETWORKDAYS.INTL(MAX(E128,(Reprogramaciones!$T$15+7*(Reprogramaciones!N$14-1))),MIN(F128,(Reprogramaciones!$T$15+7*(Reprogramaciones!N$14-1))+6),11))))))))</f>
        <v/>
      </c>
      <c r="BX128" s="1" t="str">
        <f aca="false">IF(OR(NOT(AND(ISNUMBER(E128),ISNUMBER(F128))),$J$2=""),"",IF(Reprogramaciones!O$13&lt;Reprogramaciones!$T$15,0,IF(Reprogramaciones!O$14&gt;10,MIN(100,SUM($G128:$P128)),MIN(100,SUMPRODUCT((COLUMN($G128:$P128)-COLUMN($G128)+1&lt;Reprogramaciones!O$14)*$G128:$P128)+N(INDEX($G128:$P128,1,Reprogramaciones!O$14))*IF(Reprogramaciones!O$13&gt;=(Reprogramaciones!$T$15+7*(Reprogramaciones!O$14-1))+6,1,IF(MAX(0,NETWORKDAYS.INTL(MAX(E128,(Reprogramaciones!$T$15+7*(Reprogramaciones!O$14-1))),MIN(F128,(Reprogramaciones!$T$15+7*(Reprogramaciones!O$14-1))+6),11))=0,0,MAX(0,NETWORKDAYS.INTL(MAX(E128,(Reprogramaciones!$T$15+7*(Reprogramaciones!O$14-1))),MIN(F128,Reprogramaciones!O$13),11))/MAX(0,NETWORKDAYS.INTL(MAX(E128,(Reprogramaciones!$T$15+7*(Reprogramaciones!O$14-1))),MIN(F128,(Reprogramaciones!$T$15+7*(Reprogramaciones!O$14-1))+6),11))))))))</f>
        <v/>
      </c>
      <c r="BY128" s="1" t="str">
        <f aca="false">IF(OR(NOT(AND(ISNUMBER(E128),ISNUMBER(F128))),$J$2=""),"",IF(Reprogramaciones!P$13&lt;Reprogramaciones!$T$15,0,IF(Reprogramaciones!P$14&gt;10,MIN(100,SUM($G128:$P128)),MIN(100,SUMPRODUCT((COLUMN($G128:$P128)-COLUMN($G128)+1&lt;Reprogramaciones!P$14)*$G128:$P128)+N(INDEX($G128:$P128,1,Reprogramaciones!P$14))*IF(Reprogramaciones!P$13&gt;=(Reprogramaciones!$T$15+7*(Reprogramaciones!P$14-1))+6,1,IF(MAX(0,NETWORKDAYS.INTL(MAX(E128,(Reprogramaciones!$T$15+7*(Reprogramaciones!P$14-1))),MIN(F128,(Reprogramaciones!$T$15+7*(Reprogramaciones!P$14-1))+6),11))=0,0,MAX(0,NETWORKDAYS.INTL(MAX(E128,(Reprogramaciones!$T$15+7*(Reprogramaciones!P$14-1))),MIN(F128,Reprogramaciones!P$13),11))/MAX(0,NETWORKDAYS.INTL(MAX(E128,(Reprogramaciones!$T$15+7*(Reprogramaciones!P$14-1))),MIN(F128,(Reprogramaciones!$T$15+7*(Reprogramaciones!P$14-1))+6),11))))))))</f>
        <v/>
      </c>
      <c r="BZ128" s="1" t="str">
        <f aca="false">IF(OR(NOT(AND(ISNUMBER(E128),ISNUMBER(F128))),$J$2=""),"",IF(Reprogramaciones!Q$13&lt;Reprogramaciones!$T$15,0,IF(Reprogramaciones!Q$14&gt;10,MIN(100,SUM($G128:$P128)),MIN(100,SUMPRODUCT((COLUMN($G128:$P128)-COLUMN($G128)+1&lt;Reprogramaciones!Q$14)*$G128:$P128)+N(INDEX($G128:$P128,1,Reprogramaciones!Q$14))*IF(Reprogramaciones!Q$13&gt;=(Reprogramaciones!$T$15+7*(Reprogramaciones!Q$14-1))+6,1,IF(MAX(0,NETWORKDAYS.INTL(MAX(E128,(Reprogramaciones!$T$15+7*(Reprogramaciones!Q$14-1))),MIN(F128,(Reprogramaciones!$T$15+7*(Reprogramaciones!Q$14-1))+6),11))=0,0,MAX(0,NETWORKDAYS.INTL(MAX(E128,(Reprogramaciones!$T$15+7*(Reprogramaciones!Q$14-1))),MIN(F128,Reprogramaciones!Q$13),11))/MAX(0,NETWORKDAYS.INTL(MAX(E128,(Reprogramaciones!$T$15+7*(Reprogramaciones!Q$14-1))),MIN(F128,(Reprogramaciones!$T$15+7*(Reprogramaciones!Q$14-1))+6),11))))))))</f>
        <v/>
      </c>
      <c r="CA128" s="1" t="str">
        <f aca="false">IF(OR(NOT(AND(ISNUMBER(E128),ISNUMBER(F128))),$J$2=""),"",IF(Reprogramaciones!R$13&lt;Reprogramaciones!$T$15,0,IF(Reprogramaciones!R$14&gt;10,MIN(100,SUM($G128:$P128)),MIN(100,SUMPRODUCT((COLUMN($G128:$P128)-COLUMN($G128)+1&lt;Reprogramaciones!R$14)*$G128:$P128)+N(INDEX($G128:$P128,1,Reprogramaciones!R$14))*IF(Reprogramaciones!R$13&gt;=(Reprogramaciones!$T$15+7*(Reprogramaciones!R$14-1))+6,1,IF(MAX(0,NETWORKDAYS.INTL(MAX(E128,(Reprogramaciones!$T$15+7*(Reprogramaciones!R$14-1))),MIN(F128,(Reprogramaciones!$T$15+7*(Reprogramaciones!R$14-1))+6),11))=0,0,MAX(0,NETWORKDAYS.INTL(MAX(E128,(Reprogramaciones!$T$15+7*(Reprogramaciones!R$14-1))),MIN(F128,Reprogramaciones!R$13),11))/MAX(0,NETWORKDAYS.INTL(MAX(E128,(Reprogramaciones!$T$15+7*(Reprogramaciones!R$14-1))),MIN(F128,(Reprogramaciones!$T$15+7*(Reprogramaciones!R$14-1))+6),11))))))))</f>
        <v/>
      </c>
      <c r="CB128" s="1" t="str">
        <f aca="false">IF(OR(NOT(AND(ISNUMBER(E128),ISNUMBER(F128))),$J$2=""),"",IF(Reprogramaciones!S$13&lt;Reprogramaciones!$T$15,0,IF(Reprogramaciones!S$14&gt;10,MIN(100,SUM($G128:$P128)),MIN(100,SUMPRODUCT((COLUMN($G128:$P128)-COLUMN($G128)+1&lt;Reprogramaciones!S$14)*$G128:$P128)+N(INDEX($G128:$P128,1,Reprogramaciones!S$14))*IF(Reprogramaciones!S$13&gt;=(Reprogramaciones!$T$15+7*(Reprogramaciones!S$14-1))+6,1,IF(MAX(0,NETWORKDAYS.INTL(MAX(E128,(Reprogramaciones!$T$15+7*(Reprogramaciones!S$14-1))),MIN(F128,(Reprogramaciones!$T$15+7*(Reprogramaciones!S$14-1))+6),11))=0,0,MAX(0,NETWORKDAYS.INTL(MAX(E128,(Reprogramaciones!$T$15+7*(Reprogramaciones!S$14-1))),MIN(F128,Reprogramaciones!S$13),11))/MAX(0,NETWORKDAYS.INTL(MAX(E128,(Reprogramaciones!$T$15+7*(Reprogramaciones!S$14-1))),MIN(F128,(Reprogramaciones!$T$15+7*(Reprogramaciones!S$14-1))+6),11))))))))</f>
        <v/>
      </c>
      <c r="CC128" s="1" t="str">
        <f aca="false">IF(OR(NOT(AND(ISNUMBER(E128),ISNUMBER(F128))),$J$2=""),"",IF(Reprogramaciones!T$13&lt;Reprogramaciones!$T$15,0,IF(Reprogramaciones!T$14&gt;10,MIN(100,SUM($G128:$P128)),MIN(100,SUMPRODUCT((COLUMN($G128:$P128)-COLUMN($G128)+1&lt;Reprogramaciones!T$14)*$G128:$P128)+N(INDEX($G128:$P128,1,Reprogramaciones!T$14))*IF(Reprogramaciones!T$13&gt;=(Reprogramaciones!$T$15+7*(Reprogramaciones!T$14-1))+6,1,IF(MAX(0,NETWORKDAYS.INTL(MAX(E128,(Reprogramaciones!$T$15+7*(Reprogramaciones!T$14-1))),MIN(F128,(Reprogramaciones!$T$15+7*(Reprogramaciones!T$14-1))+6),11))=0,0,MAX(0,NETWORKDAYS.INTL(MAX(E128,(Reprogramaciones!$T$15+7*(Reprogramaciones!T$14-1))),MIN(F128,Reprogramaciones!T$13),11))/MAX(0,NETWORKDAYS.INTL(MAX(E128,(Reprogramaciones!$T$15+7*(Reprogramaciones!T$14-1))),MIN(F128,(Reprogramaciones!$T$15+7*(Reprogramaciones!T$14-1))+6),11))))))))</f>
        <v/>
      </c>
      <c r="CD128" s="1" t="str">
        <f aca="false">IF(OR(NOT(AND(ISNUMBER(E128),ISNUMBER(F128))),$J$2=""),"",IF(Reprogramaciones!U$13&lt;Reprogramaciones!$T$15,0,IF(Reprogramaciones!U$14&gt;10,MIN(100,SUM($G128:$P128)),MIN(100,SUMPRODUCT((COLUMN($G128:$P128)-COLUMN($G128)+1&lt;Reprogramaciones!U$14)*$G128:$P128)+N(INDEX($G128:$P128,1,Reprogramaciones!U$14))*IF(Reprogramaciones!U$13&gt;=(Reprogramaciones!$T$15+7*(Reprogramaciones!U$14-1))+6,1,IF(MAX(0,NETWORKDAYS.INTL(MAX(E128,(Reprogramaciones!$T$15+7*(Reprogramaciones!U$14-1))),MIN(F128,(Reprogramaciones!$T$15+7*(Reprogramaciones!U$14-1))+6),11))=0,0,MAX(0,NETWORKDAYS.INTL(MAX(E128,(Reprogramaciones!$T$15+7*(Reprogramaciones!U$14-1))),MIN(F128,Reprogramaciones!U$13),11))/MAX(0,NETWORKDAYS.INTL(MAX(E128,(Reprogramaciones!$T$15+7*(Reprogramaciones!U$14-1))),MIN(F128,(Reprogramaciones!$T$15+7*(Reprogramaciones!U$14-1))+6),11))))))))</f>
        <v/>
      </c>
      <c r="CE128" s="1" t="str">
        <f aca="false">IF(OR(NOT(AND(ISNUMBER(E128),ISNUMBER(F128))),$J$2=""),"",IF(Reprogramaciones!V$13&lt;Reprogramaciones!$T$15,0,IF(Reprogramaciones!V$14&gt;10,MIN(100,SUM($G128:$P128)),MIN(100,SUMPRODUCT((COLUMN($G128:$P128)-COLUMN($G128)+1&lt;Reprogramaciones!V$14)*$G128:$P128)+N(INDEX($G128:$P128,1,Reprogramaciones!V$14))*IF(Reprogramaciones!V$13&gt;=(Reprogramaciones!$T$15+7*(Reprogramaciones!V$14-1))+6,1,IF(MAX(0,NETWORKDAYS.INTL(MAX(E128,(Reprogramaciones!$T$15+7*(Reprogramaciones!V$14-1))),MIN(F128,(Reprogramaciones!$T$15+7*(Reprogramaciones!V$14-1))+6),11))=0,0,MAX(0,NETWORKDAYS.INTL(MAX(E128,(Reprogramaciones!$T$15+7*(Reprogramaciones!V$14-1))),MIN(F128,Reprogramaciones!V$13),11))/MAX(0,NETWORKDAYS.INTL(MAX(E128,(Reprogramaciones!$T$15+7*(Reprogramaciones!V$14-1))),MIN(F128,(Reprogramaciones!$T$15+7*(Reprogramaciones!V$14-1))+6),11))))))))</f>
        <v/>
      </c>
      <c r="CF128" s="1" t="str">
        <f aca="false">IF(OR(NOT(AND(ISNUMBER(E128),ISNUMBER(F128))),$J$2=""),"",IF(Reprogramaciones!W$13&lt;Reprogramaciones!$T$15,0,IF(Reprogramaciones!W$14&gt;10,MIN(100,SUM($G128:$P128)),MIN(100,SUMPRODUCT((COLUMN($G128:$P128)-COLUMN($G128)+1&lt;Reprogramaciones!W$14)*$G128:$P128)+N(INDEX($G128:$P128,1,Reprogramaciones!W$14))*IF(Reprogramaciones!W$13&gt;=(Reprogramaciones!$T$15+7*(Reprogramaciones!W$14-1))+6,1,IF(MAX(0,NETWORKDAYS.INTL(MAX(E128,(Reprogramaciones!$T$15+7*(Reprogramaciones!W$14-1))),MIN(F128,(Reprogramaciones!$T$15+7*(Reprogramaciones!W$14-1))+6),11))=0,0,MAX(0,NETWORKDAYS.INTL(MAX(E128,(Reprogramaciones!$T$15+7*(Reprogramaciones!W$14-1))),MIN(F128,Reprogramaciones!W$13),11))/MAX(0,NETWORKDAYS.INTL(MAX(E128,(Reprogramaciones!$T$15+7*(Reprogramaciones!W$14-1))),MIN(F128,(Reprogramaciones!$T$15+7*(Reprogramaciones!W$14-1))+6),11))))))))</f>
        <v/>
      </c>
      <c r="CG128" s="1" t="str">
        <f aca="false">IF(OR(NOT(AND(ISNUMBER(E128),ISNUMBER(F128))),$J$2=""),"",IF(Reprogramaciones!X$13&lt;Reprogramaciones!$T$15,0,IF(Reprogramaciones!X$14&gt;10,MIN(100,SUM($G128:$P128)),MIN(100,SUMPRODUCT((COLUMN($G128:$P128)-COLUMN($G128)+1&lt;Reprogramaciones!X$14)*$G128:$P128)+N(INDEX($G128:$P128,1,Reprogramaciones!X$14))*IF(Reprogramaciones!X$13&gt;=(Reprogramaciones!$T$15+7*(Reprogramaciones!X$14-1))+6,1,IF(MAX(0,NETWORKDAYS.INTL(MAX(E128,(Reprogramaciones!$T$15+7*(Reprogramaciones!X$14-1))),MIN(F128,(Reprogramaciones!$T$15+7*(Reprogramaciones!X$14-1))+6),11))=0,0,MAX(0,NETWORKDAYS.INTL(MAX(E128,(Reprogramaciones!$T$15+7*(Reprogramaciones!X$14-1))),MIN(F128,Reprogramaciones!X$13),11))/MAX(0,NETWORKDAYS.INTL(MAX(E128,(Reprogramaciones!$T$15+7*(Reprogramaciones!X$14-1))),MIN(F128,(Reprogramaciones!$T$15+7*(Reprogramaciones!X$14-1))+6),11))))))))</f>
        <v/>
      </c>
      <c r="CH128" s="1" t="str">
        <f aca="false">IF(OR(NOT(AND(ISNUMBER(E128),ISNUMBER(F128))),$J$2=""),"",IF(Reprogramaciones!Y$13&lt;Reprogramaciones!$T$15,0,IF(Reprogramaciones!Y$14&gt;10,MIN(100,SUM($G128:$P128)),MIN(100,SUMPRODUCT((COLUMN($G128:$P128)-COLUMN($G128)+1&lt;Reprogramaciones!Y$14)*$G128:$P128)+N(INDEX($G128:$P128,1,Reprogramaciones!Y$14))*IF(Reprogramaciones!Y$13&gt;=(Reprogramaciones!$T$15+7*(Reprogramaciones!Y$14-1))+6,1,IF(MAX(0,NETWORKDAYS.INTL(MAX(E128,(Reprogramaciones!$T$15+7*(Reprogramaciones!Y$14-1))),MIN(F128,(Reprogramaciones!$T$15+7*(Reprogramaciones!Y$14-1))+6),11))=0,0,MAX(0,NETWORKDAYS.INTL(MAX(E128,(Reprogramaciones!$T$15+7*(Reprogramaciones!Y$14-1))),MIN(F128,Reprogramaciones!Y$13),11))/MAX(0,NETWORKDAYS.INTL(MAX(E128,(Reprogramaciones!$T$15+7*(Reprogramaciones!Y$14-1))),MIN(F128,(Reprogramaciones!$T$15+7*(Reprogramaciones!Y$14-1))+6),11))))))))</f>
        <v/>
      </c>
      <c r="CI128" s="1" t="str">
        <f aca="false">IF(OR(NOT(AND(ISNUMBER(E128),ISNUMBER(F128))),$J$2=""),"",IF(Reprogramaciones!Z$13&lt;Reprogramaciones!$T$15,0,IF(Reprogramaciones!Z$14&gt;10,MIN(100,SUM($G128:$P128)),MIN(100,SUMPRODUCT((COLUMN($G128:$P128)-COLUMN($G128)+1&lt;Reprogramaciones!Z$14)*$G128:$P128)+N(INDEX($G128:$P128,1,Reprogramaciones!Z$14))*IF(Reprogramaciones!Z$13&gt;=(Reprogramaciones!$T$15+7*(Reprogramaciones!Z$14-1))+6,1,IF(MAX(0,NETWORKDAYS.INTL(MAX(E128,(Reprogramaciones!$T$15+7*(Reprogramaciones!Z$14-1))),MIN(F128,(Reprogramaciones!$T$15+7*(Reprogramaciones!Z$14-1))+6),11))=0,0,MAX(0,NETWORKDAYS.INTL(MAX(E128,(Reprogramaciones!$T$15+7*(Reprogramaciones!Z$14-1))),MIN(F128,Reprogramaciones!Z$13),11))/MAX(0,NETWORKDAYS.INTL(MAX(E128,(Reprogramaciones!$T$15+7*(Reprogramaciones!Z$14-1))),MIN(F128,(Reprogramaciones!$T$15+7*(Reprogramaciones!Z$14-1))+6),11))))))))</f>
        <v/>
      </c>
      <c r="CJ128" s="1" t="str">
        <f aca="false">IF(OR(OR(NOT(AND(ISNUMBER(E128),ISNUMBER(F128))),$J$2=""),1&gt;Reprogramaciones!$K$16),"",IF(ROUND(SUM($Q128:Q128),1)&gt;=99.5,100,MIN(100,ROUND(SUM($Q128:Q128),1))))</f>
        <v/>
      </c>
      <c r="CK128" s="1" t="str">
        <f aca="false">IF(OR(OR(NOT(AND(ISNUMBER(E128),ISNUMBER(F128))),$J$2=""),2&gt;Reprogramaciones!$K$16),"",IF(ROUND(SUM($Q128:R128),1)&gt;=99.5,100,MIN(100,ROUND(SUM($Q128:R128),1))))</f>
        <v/>
      </c>
      <c r="CL128" s="1" t="str">
        <f aca="false">IF(OR(OR(NOT(AND(ISNUMBER(E128),ISNUMBER(F128))),$J$2=""),3&gt;Reprogramaciones!$K$16),"",IF(ROUND(SUM($Q128:S128),1)&gt;=99.5,100,MIN(100,ROUND(SUM($Q128:S128),1))))</f>
        <v/>
      </c>
      <c r="CM128" s="1" t="str">
        <f aca="false">IF(OR(OR(NOT(AND(ISNUMBER(E128),ISNUMBER(F128))),$J$2=""),4&gt;Reprogramaciones!$K$16),"",IF(ROUND(SUM($Q128:T128),1)&gt;=99.5,100,MIN(100,ROUND(SUM($Q128:T128),1))))</f>
        <v/>
      </c>
      <c r="CN128" s="1" t="str">
        <f aca="false">IF(OR(OR(NOT(AND(ISNUMBER(E128),ISNUMBER(F128))),$J$2=""),5&gt;Reprogramaciones!$K$16),"",IF(ROUND(SUM($Q128:U128),1)&gt;=99.5,100,MIN(100,ROUND(SUM($Q128:U128),1))))</f>
        <v/>
      </c>
      <c r="CO128" s="1" t="str">
        <f aca="false">IF(OR(OR(NOT(AND(ISNUMBER(E128),ISNUMBER(F128))),$J$2=""),6&gt;Reprogramaciones!$K$16),"",IF(ROUND(SUM($Q128:V128),1)&gt;=99.5,100,MIN(100,ROUND(SUM($Q128:V128),1))))</f>
        <v/>
      </c>
      <c r="CP128" s="1" t="str">
        <f aca="false">IF(OR(OR(NOT(AND(ISNUMBER(E128),ISNUMBER(F128))),$J$2=""),7&gt;Reprogramaciones!$K$16),"",IF(ROUND(SUM($Q128:W128),1)&gt;=99.5,100,MIN(100,ROUND(SUM($Q128:W128),1))))</f>
        <v/>
      </c>
      <c r="CQ128" s="1" t="str">
        <f aca="false">IF(OR(OR(NOT(AND(ISNUMBER(E128),ISNUMBER(F128))),$J$2=""),8&gt;Reprogramaciones!$K$16),"",IF(ROUND(SUM($Q128:X128),1)&gt;=99.5,100,MIN(100,ROUND(SUM($Q128:X128),1))))</f>
        <v/>
      </c>
      <c r="CR128" s="1" t="str">
        <f aca="false">IF(OR(OR(NOT(AND(ISNUMBER(E128),ISNUMBER(F128))),$J$2=""),9&gt;Reprogramaciones!$K$16),"",IF(ROUND(SUM($Q128:Y128),1)&gt;=99.5,100,MIN(100,ROUND(SUM($Q128:Y128),1))))</f>
        <v/>
      </c>
      <c r="CS128" s="1" t="str">
        <f aca="false">IF(OR(OR(NOT(AND(ISNUMBER(E128),ISNUMBER(F128))),$J$2=""),10&gt;Reprogramaciones!$K$16),"",IF(ROUND(SUM($Q128:Z128),1)&gt;=99.5,100,MIN(100,ROUND(SUM($Q128:Z128),1))))</f>
        <v/>
      </c>
      <c r="CT128" s="1" t="str">
        <f aca="false">IF(OR(OR(NOT(AND(ISNUMBER(E128),ISNUMBER(F128))),$J$2=""),11&gt;Reprogramaciones!$K$16),"",IF(ROUND(SUM($Q128:AA128),1)&gt;=99.5,100,MIN(100,ROUND(SUM($Q128:AA128),1))))</f>
        <v/>
      </c>
      <c r="CU128" s="1" t="str">
        <f aca="false">IF(OR(OR(NOT(AND(ISNUMBER(E128),ISNUMBER(F128))),$J$2=""),12&gt;Reprogramaciones!$K$16),"",IF(ROUND(SUM($Q128:AB128),1)&gt;=99.5,100,MIN(100,ROUND(SUM($Q128:AB128),1))))</f>
        <v/>
      </c>
      <c r="CV128" s="1" t="str">
        <f aca="false">IF(OR(OR(NOT(AND(ISNUMBER(E128),ISNUMBER(F128))),$J$2=""),13&gt;Reprogramaciones!$K$16),"",IF(ROUND(SUM($Q128:AC128),1)&gt;=99.5,100,MIN(100,ROUND(SUM($Q128:AC128),1))))</f>
        <v/>
      </c>
      <c r="CW128" s="1" t="str">
        <f aca="false">IF(OR(OR(NOT(AND(ISNUMBER(E128),ISNUMBER(F128))),$J$2=""),14&gt;Reprogramaciones!$K$16),"",IF(ROUND(SUM($Q128:AD128),1)&gt;=99.5,100,MIN(100,ROUND(SUM($Q128:AD128),1))))</f>
        <v/>
      </c>
      <c r="CX128" s="1" t="str">
        <f aca="false">IF(OR(OR(NOT(AND(ISNUMBER(E128),ISNUMBER(F128))),$J$2=""),15&gt;Reprogramaciones!$K$16),"",IF(ROUND(SUM($Q128:AE128),1)&gt;=99.5,100,MIN(100,ROUND(SUM($Q128:AE128),1))))</f>
        <v/>
      </c>
      <c r="CY128" s="1" t="str">
        <f aca="false">IF(OR(OR(NOT(AND(ISNUMBER(E128),ISNUMBER(F128))),$J$2=""),16&gt;Reprogramaciones!$K$16),"",IF(ROUND(SUM($Q128:AF128),1)&gt;=99.5,100,MIN(100,ROUND(SUM($Q128:AF128),1))))</f>
        <v/>
      </c>
      <c r="CZ128" s="1" t="str">
        <f aca="false">IF(D128&lt;&gt;"",D128,IF(B128&lt;&gt;"","Contractual",CZ127))</f>
        <v>Contractual</v>
      </c>
      <c r="DA128" s="1" t="str">
        <f aca="false">IF(OR(NOT(AND(ISNUMBER(E128),ISNUMBER(F128))),$J$2=""),"",IF(Reprogramaciones!$Q$15&lt;Reprogramaciones!$T$15,0,IF(Reprogramaciones!$S$15&gt;10,MIN(100,SUM($G128:$P128)),MIN(100,SUMPRODUCT((COLUMN($G128:$P128)-COLUMN($G128)+1&lt;Reprogramaciones!$S$15)*$G128:$P128)+N(INDEX($G128:$P128,1,Reprogramaciones!$S$15))*IF(Reprogramaciones!$Q$15&gt;=(Reprogramaciones!$T$15+7*(Reprogramaciones!$S$15-1))+6,1,IF(MAX(0,NETWORKDAYS.INTL(MAX(E128,(Reprogramaciones!$T$15+7*(Reprogramaciones!$S$15-1))),MIN(F128,(Reprogramaciones!$T$15+7*(Reprogramaciones!$S$15-1))+6),11))=0,0,MAX(0,NETWORKDAYS.INTL(MAX(E128,(Reprogramaciones!$T$15+7*(Reprogramaciones!$S$15-1))),MIN(F128,Reprogramaciones!$Q$15),11))/MAX(0,NETWORKDAYS.INTL(MAX(E128,(Reprogramaciones!$T$15+7*(Reprogramaciones!$S$15-1))),MIN(F128,(Reprogramaciones!$T$15+7*(Reprogramaciones!$S$15-1))+6),11))))))))</f>
        <v/>
      </c>
    </row>
    <row r="129" customFormat="false" ht="15" hidden="false" customHeight="false" outlineLevel="0" collapsed="false">
      <c r="A129" s="32"/>
      <c r="B129" s="33"/>
      <c r="C129" s="33"/>
      <c r="D129" s="34"/>
      <c r="E129" s="35"/>
      <c r="F129" s="35"/>
      <c r="G129" s="36" t="str">
        <f aca="false">IF(OR(NOT(AND(ISNUMBER(E129),ISNUMBER(F129))),$J$2=""),"",IF(Reprogramaciones!K$9&lt;E129,0,IF(NETWORKDAYS.INTL(E129,F129,11)=0,IF(Reprogramaciones!K$9&gt;=F129,100,0),ROUND(NETWORKDAYS.INTL(E129,MIN(F129,Reprogramaciones!K$9),11)/NETWORKDAYS.INTL(E129,F129,11)*100,1)))-0)</f>
        <v/>
      </c>
      <c r="H129" s="36" t="str">
        <f aca="false">IF(OR(NOT(AND(ISNUMBER(E129),ISNUMBER(F129))),$J$2=""),"",IF(Reprogramaciones!L$9&lt;E129,0,IF(NETWORKDAYS.INTL(E129,F129,11)=0,IF(Reprogramaciones!L$9&gt;=F129,100,0),ROUND(NETWORKDAYS.INTL(E129,MIN(F129,Reprogramaciones!L$9),11)/NETWORKDAYS.INTL(E129,F129,11)*100,1)))-IF(Reprogramaciones!K$9&lt;E129,0,IF(NETWORKDAYS.INTL(E129,F129,11)=0,IF(Reprogramaciones!K$9&gt;=F129,100,0),ROUND(NETWORKDAYS.INTL(E129,MIN(F129,Reprogramaciones!K$9),11)/NETWORKDAYS.INTL(E129,F129,11)*100,1))))</f>
        <v/>
      </c>
      <c r="I129" s="36" t="str">
        <f aca="false">IF(OR(NOT(AND(ISNUMBER(E129),ISNUMBER(F129))),$J$2=""),"",IF(Reprogramaciones!M$9&lt;E129,0,IF(NETWORKDAYS.INTL(E129,F129,11)=0,IF(Reprogramaciones!M$9&gt;=F129,100,0),ROUND(NETWORKDAYS.INTL(E129,MIN(F129,Reprogramaciones!M$9),11)/NETWORKDAYS.INTL(E129,F129,11)*100,1)))-IF(Reprogramaciones!L$9&lt;E129,0,IF(NETWORKDAYS.INTL(E129,F129,11)=0,IF(Reprogramaciones!L$9&gt;=F129,100,0),ROUND(NETWORKDAYS.INTL(E129,MIN(F129,Reprogramaciones!L$9),11)/NETWORKDAYS.INTL(E129,F129,11)*100,1))))</f>
        <v/>
      </c>
      <c r="J129" s="36" t="str">
        <f aca="false">IF(OR(NOT(AND(ISNUMBER(E129),ISNUMBER(F129))),$J$2=""),"",IF(Reprogramaciones!N$9&lt;E129,0,IF(NETWORKDAYS.INTL(E129,F129,11)=0,IF(Reprogramaciones!N$9&gt;=F129,100,0),ROUND(NETWORKDAYS.INTL(E129,MIN(F129,Reprogramaciones!N$9),11)/NETWORKDAYS.INTL(E129,F129,11)*100,1)))-IF(Reprogramaciones!M$9&lt;E129,0,IF(NETWORKDAYS.INTL(E129,F129,11)=0,IF(Reprogramaciones!M$9&gt;=F129,100,0),ROUND(NETWORKDAYS.INTL(E129,MIN(F129,Reprogramaciones!M$9),11)/NETWORKDAYS.INTL(E129,F129,11)*100,1))))</f>
        <v/>
      </c>
      <c r="K129" s="36" t="str">
        <f aca="false">IF(OR(NOT(AND(ISNUMBER(E129),ISNUMBER(F129))),$J$2=""),"",IF(Reprogramaciones!O$9&lt;E129,0,IF(NETWORKDAYS.INTL(E129,F129,11)=0,IF(Reprogramaciones!O$9&gt;=F129,100,0),ROUND(NETWORKDAYS.INTL(E129,MIN(F129,Reprogramaciones!O$9),11)/NETWORKDAYS.INTL(E129,F129,11)*100,1)))-IF(Reprogramaciones!N$9&lt;E129,0,IF(NETWORKDAYS.INTL(E129,F129,11)=0,IF(Reprogramaciones!N$9&gt;=F129,100,0),ROUND(NETWORKDAYS.INTL(E129,MIN(F129,Reprogramaciones!N$9),11)/NETWORKDAYS.INTL(E129,F129,11)*100,1))))</f>
        <v/>
      </c>
      <c r="L129" s="36" t="str">
        <f aca="false">IF(OR(NOT(AND(ISNUMBER(E129),ISNUMBER(F129))),$J$2=""),"",IF(Reprogramaciones!P$9&lt;E129,0,IF(NETWORKDAYS.INTL(E129,F129,11)=0,IF(Reprogramaciones!P$9&gt;=F129,100,0),ROUND(NETWORKDAYS.INTL(E129,MIN(F129,Reprogramaciones!P$9),11)/NETWORKDAYS.INTL(E129,F129,11)*100,1)))-IF(Reprogramaciones!O$9&lt;E129,0,IF(NETWORKDAYS.INTL(E129,F129,11)=0,IF(Reprogramaciones!O$9&gt;=F129,100,0),ROUND(NETWORKDAYS.INTL(E129,MIN(F129,Reprogramaciones!O$9),11)/NETWORKDAYS.INTL(E129,F129,11)*100,1))))</f>
        <v/>
      </c>
      <c r="M129" s="36" t="str">
        <f aca="false">IF(OR(NOT(AND(ISNUMBER(E129),ISNUMBER(F129))),$J$2=""),"",IF(Reprogramaciones!Q$9&lt;E129,0,IF(NETWORKDAYS.INTL(E129,F129,11)=0,IF(Reprogramaciones!Q$9&gt;=F129,100,0),ROUND(NETWORKDAYS.INTL(E129,MIN(F129,Reprogramaciones!Q$9),11)/NETWORKDAYS.INTL(E129,F129,11)*100,1)))-IF(Reprogramaciones!P$9&lt;E129,0,IF(NETWORKDAYS.INTL(E129,F129,11)=0,IF(Reprogramaciones!P$9&gt;=F129,100,0),ROUND(NETWORKDAYS.INTL(E129,MIN(F129,Reprogramaciones!P$9),11)/NETWORKDAYS.INTL(E129,F129,11)*100,1))))</f>
        <v/>
      </c>
      <c r="N129" s="36" t="str">
        <f aca="false">IF(OR(NOT(AND(ISNUMBER(E129),ISNUMBER(F129))),$J$2=""),"",IF(Reprogramaciones!R$9&lt;E129,0,IF(NETWORKDAYS.INTL(E129,F129,11)=0,IF(Reprogramaciones!R$9&gt;=F129,100,0),ROUND(NETWORKDAYS.INTL(E129,MIN(F129,Reprogramaciones!R$9),11)/NETWORKDAYS.INTL(E129,F129,11)*100,1)))-IF(Reprogramaciones!Q$9&lt;E129,0,IF(NETWORKDAYS.INTL(E129,F129,11)=0,IF(Reprogramaciones!Q$9&gt;=F129,100,0),ROUND(NETWORKDAYS.INTL(E129,MIN(F129,Reprogramaciones!Q$9),11)/NETWORKDAYS.INTL(E129,F129,11)*100,1))))</f>
        <v/>
      </c>
      <c r="O129" s="36" t="str">
        <f aca="false">IF(OR(NOT(AND(ISNUMBER(E129),ISNUMBER(F129))),$J$2=""),"",IF(Reprogramaciones!S$9&lt;E129,0,IF(NETWORKDAYS.INTL(E129,F129,11)=0,IF(Reprogramaciones!S$9&gt;=F129,100,0),ROUND(NETWORKDAYS.INTL(E129,MIN(F129,Reprogramaciones!S$9),11)/NETWORKDAYS.INTL(E129,F129,11)*100,1)))-IF(Reprogramaciones!R$9&lt;E129,0,IF(NETWORKDAYS.INTL(E129,F129,11)=0,IF(Reprogramaciones!R$9&gt;=F129,100,0),ROUND(NETWORKDAYS.INTL(E129,MIN(F129,Reprogramaciones!R$9),11)/NETWORKDAYS.INTL(E129,F129,11)*100,1))))</f>
        <v/>
      </c>
      <c r="P129" s="36" t="str">
        <f aca="false">IF(OR(NOT(AND(ISNUMBER(E129),ISNUMBER(F129))),$J$2=""),"",IF(Reprogramaciones!T$9&lt;E129,0,IF(NETWORKDAYS.INTL(E129,F129,11)=0,IF(Reprogramaciones!T$9&gt;=F129,100,0),ROUND(NETWORKDAYS.INTL(E129,MIN(F129,Reprogramaciones!T$9),11)/NETWORKDAYS.INTL(E129,F129,11)*100,1)))-IF(Reprogramaciones!S$9&lt;E129,0,IF(NETWORKDAYS.INTL(E129,F129,11)=0,IF(Reprogramaciones!S$9&gt;=F129,100,0),ROUND(NETWORKDAYS.INTL(E129,MIN(F129,Reprogramaciones!S$9),11)/NETWORKDAYS.INTL(E129,F129,11)*100,1))))</f>
        <v/>
      </c>
      <c r="Q129" s="37"/>
      <c r="R129" s="37"/>
      <c r="S129" s="37"/>
      <c r="T129" s="37"/>
      <c r="U129" s="37"/>
      <c r="V129" s="37"/>
      <c r="W129" s="37"/>
      <c r="X129" s="37"/>
      <c r="Y129" s="37"/>
      <c r="Z129" s="37"/>
      <c r="AA129" s="37"/>
      <c r="AB129" s="37"/>
      <c r="AC129" s="37"/>
      <c r="AD129" s="37"/>
      <c r="AE129" s="37"/>
      <c r="AF129" s="37"/>
      <c r="AG129" s="38" t="str">
        <f aca="false">IF(AND(ISNUMBER(E129),ISNUMBER(F129)),NETWORKDAYS.INTL(E129,F129,11),"")</f>
        <v/>
      </c>
      <c r="AH129" s="38" t="str">
        <f aca="false">IF(OR(NOT(AND(ISNUMBER(E129),ISNUMBER(F129))),$J$2=""),"",IF(Reprogramaciones!$P$15&lt;Reprogramaciones!$T$15,0,IF(Reprogramaciones!$R$15&gt;10,MIN(100,SUM($G129:$P129)),MIN(100,SUMPRODUCT((COLUMN($G129:$P129)-COLUMN($G129)+1&lt;Reprogramaciones!$R$15)*$G129:$P129)+N(INDEX($G129:$P129,1,Reprogramaciones!$R$15))*IF(Reprogramaciones!$P$15&gt;=(Reprogramaciones!$T$15+7*(Reprogramaciones!$R$15-1))+6,1,IF(MAX(0,NETWORKDAYS.INTL(MAX(E129,(Reprogramaciones!$T$15+7*(Reprogramaciones!$R$15-1))),MIN(F129,(Reprogramaciones!$T$15+7*(Reprogramaciones!$R$15-1))+6),11))=0,0,MAX(0,NETWORKDAYS.INTL(MAX(E129,(Reprogramaciones!$T$15+7*(Reprogramaciones!$R$15-1))),MIN(F129,Reprogramaciones!$P$15),11))/MAX(0,NETWORKDAYS.INTL(MAX(E129,(Reprogramaciones!$T$15+7*(Reprogramaciones!$R$15-1))),MIN(F129,(Reprogramaciones!$T$15+7*(Reprogramaciones!$R$15-1))+6),11))))))))</f>
        <v/>
      </c>
      <c r="AI129" s="38" t="str">
        <f aca="false">IF(COUNT($Q129:$AF129)=0,"",IF(ROUND(SUM($Q129:$AF129),1)&gt;=99.5,100,MIN(100,ROUND(SUM($Q129:$AF129),1))))</f>
        <v/>
      </c>
      <c r="AJ129" s="38" t="str">
        <f aca="false">IF(OR(AH129="",AI129=""),"",AI129-AH129)</f>
        <v/>
      </c>
      <c r="AK129" s="39" t="str">
        <f aca="true">IF(AH129="","",IF(OR(Ficha!$C$10="Suspendida",Ficha!$C$10="Cancelada"),Ficha!$C$10,IF(AND(AI129&lt;&gt;"",N(AI129)&gt;=100),"Completada",IF(AND(E129&gt;TODAY(),N(AI129)=0),"Por iniciar",IF(N(AI129)+0.5&lt;AH129,"Retrasada",IF(N(AI129)+0.5&lt;DA129,IF(Reprogramaciones!$K$15&gt;0,"Al día · Sem "&amp;Reprogramaciones!$K$15&amp;" en curso","Al día · en curso"),"A tiempo"))))))</f>
        <v/>
      </c>
      <c r="AL129" s="39" t="str">
        <f aca="true">IF(AND(A129="",AND(B129="",C129="",E129="",F129="",COUNT(Q129:AF129)=0)),"",IF(AND(B129="",C129="",E129="",F129="",COUNT(Q129:AF129)=0),"Falta la partida o subpartida",IF(AND(A129&lt;&gt;"",COUNTIF($A$6:$A$305,A129)&gt;1),"Ítem repetido",IF(AND(C129="",E129="",F129="",COUNT(Q129:AF129)=0),"Título de partida",IF(OR(E129="",F129=""),"Faltan fechas",IF(OR(ISTEXT(E129),ISTEXT(F129)),"Fecha escrita como texto: usa dd/mm/aaaa",IF(F129&lt;E129,"Fin antes del inicio",IF(IF($J$2="",FALSE(),OR(E129&lt;$J$2,F129&gt;Reprogramaciones!$T$15+69)),"Fuera de las 10 semanas",IF(ABS(SUM(G129:P129)-100)&gt;0.5,"La meta no suma 100%",IF(ROUND(SUM(Q129:AF129),1)&gt;100.5,"El avance pasa de 100%",IF(MIN(Q129:AF129)&lt;0,"Avance negativo",IF(COUNTA(Q129:AF129)&gt;COUNT(Q129:AF129),"Avance escrito como texto",IF(SUMPRODUCT((Q129:AF129&gt;0)*(Q129:AF129&lt;1))&gt;0,"Avance menor a 1: escribe 50, no 50%",IF(SUMPRODUCT(ISNUMBER(Q129:AF129)*(Reprogramaciones!$K$8:$Z$8&gt;TODAY()))&gt;0,"Avance en semana que aún no llega",IF(AND(N(Reprogramaciones!$E$21)&gt;0,F129&gt;Reprogramaciones!$E$21),"Pasa el fin de la obra: registra una reprogramación",IF(AND(N(Reprogramaciones!$E$21)&gt;0,SUMPRODUCT(ISNUMBER(Q129:AF129)*(Reprogramaciones!$K$8:$Z$8&gt;Reprogramaciones!$E$21))&gt;0),"Avance después del fin de la obra: registra una reprogramación por atraso","OK"))))))))))))))))</f>
        <v/>
      </c>
      <c r="AM129" s="40" t="str">
        <f aca="false">IF(OR(OR(NOT(AND(ISNUMBER(E129),ISNUMBER(F129))),$J$2=""),1&gt;MAX(1,Reprogramaciones!$U$15)),"",IF(Reprogramaciones!K$12&gt;=7,"",IF(OR(BT129-N(0)&gt;0.05,N(Q129)&gt;0),ROUNDDOWN(ROUND(BT129,6),0)&amp;"%"&amp;IF(CJ129="",""," / "&amp;CJ129&amp;"%"),IF(AND(N(0)&gt;=99.95,CJ129&lt;&gt;"",N(CJ129)&lt;100),"Pend. "&amp;CJ129&amp;"%",""))))</f>
        <v/>
      </c>
      <c r="AN129" s="40" t="str">
        <f aca="false">IF(OR(OR(NOT(AND(ISNUMBER(E129),ISNUMBER(F129))),$J$2=""),2&gt;MAX(1,Reprogramaciones!$U$15)),"",IF(Reprogramaciones!L$12&gt;=7,"",IF(OR(BU129-N(BT129)&gt;0.05,N(R129)&gt;0),ROUNDDOWN(ROUND(BU129,6),0)&amp;"%"&amp;IF(CK129="",""," / "&amp;CK129&amp;"%"),IF(AND(N(BT129)&gt;=99.95,CK129&lt;&gt;"",N(CK129)&lt;100),"Pend. "&amp;CK129&amp;"%",""))))</f>
        <v/>
      </c>
      <c r="AO129" s="40" t="str">
        <f aca="false">IF(OR(OR(NOT(AND(ISNUMBER(E129),ISNUMBER(F129))),$J$2=""),3&gt;MAX(1,Reprogramaciones!$U$15)),"",IF(Reprogramaciones!M$12&gt;=7,"",IF(OR(BV129-N(BU129)&gt;0.05,N(S129)&gt;0),ROUNDDOWN(ROUND(BV129,6),0)&amp;"%"&amp;IF(CL129="",""," / "&amp;CL129&amp;"%"),IF(AND(N(BU129)&gt;=99.95,CL129&lt;&gt;"",N(CL129)&lt;100),"Pend. "&amp;CL129&amp;"%",""))))</f>
        <v/>
      </c>
      <c r="AP129" s="40" t="str">
        <f aca="false">IF(OR(OR(NOT(AND(ISNUMBER(E129),ISNUMBER(F129))),$J$2=""),4&gt;MAX(1,Reprogramaciones!$U$15)),"",IF(Reprogramaciones!N$12&gt;=7,"",IF(OR(BW129-N(BV129)&gt;0.05,N(T129)&gt;0),ROUNDDOWN(ROUND(BW129,6),0)&amp;"%"&amp;IF(CM129="",""," / "&amp;CM129&amp;"%"),IF(AND(N(BV129)&gt;=99.95,CM129&lt;&gt;"",N(CM129)&lt;100),"Pend. "&amp;CM129&amp;"%",""))))</f>
        <v/>
      </c>
      <c r="AQ129" s="40" t="str">
        <f aca="false">IF(OR(OR(NOT(AND(ISNUMBER(E129),ISNUMBER(F129))),$J$2=""),5&gt;MAX(1,Reprogramaciones!$U$15)),"",IF(Reprogramaciones!O$12&gt;=7,"",IF(OR(BX129-N(BW129)&gt;0.05,N(U129)&gt;0),ROUNDDOWN(ROUND(BX129,6),0)&amp;"%"&amp;IF(CN129="",""," / "&amp;CN129&amp;"%"),IF(AND(N(BW129)&gt;=99.95,CN129&lt;&gt;"",N(CN129)&lt;100),"Pend. "&amp;CN129&amp;"%",""))))</f>
        <v/>
      </c>
      <c r="AR129" s="40" t="str">
        <f aca="false">IF(OR(OR(NOT(AND(ISNUMBER(E129),ISNUMBER(F129))),$J$2=""),6&gt;MAX(1,Reprogramaciones!$U$15)),"",IF(Reprogramaciones!P$12&gt;=7,"",IF(OR(BY129-N(BX129)&gt;0.05,N(V129)&gt;0),ROUNDDOWN(ROUND(BY129,6),0)&amp;"%"&amp;IF(CO129="",""," / "&amp;CO129&amp;"%"),IF(AND(N(BX129)&gt;=99.95,CO129&lt;&gt;"",N(CO129)&lt;100),"Pend. "&amp;CO129&amp;"%",""))))</f>
        <v/>
      </c>
      <c r="AS129" s="40" t="str">
        <f aca="false">IF(OR(OR(NOT(AND(ISNUMBER(E129),ISNUMBER(F129))),$J$2=""),7&gt;MAX(1,Reprogramaciones!$U$15)),"",IF(Reprogramaciones!Q$12&gt;=7,"",IF(OR(BZ129-N(BY129)&gt;0.05,N(W129)&gt;0),ROUNDDOWN(ROUND(BZ129,6),0)&amp;"%"&amp;IF(CP129="",""," / "&amp;CP129&amp;"%"),IF(AND(N(BY129)&gt;=99.95,CP129&lt;&gt;"",N(CP129)&lt;100),"Pend. "&amp;CP129&amp;"%",""))))</f>
        <v/>
      </c>
      <c r="AT129" s="40" t="str">
        <f aca="false">IF(OR(OR(NOT(AND(ISNUMBER(E129),ISNUMBER(F129))),$J$2=""),8&gt;MAX(1,Reprogramaciones!$U$15)),"",IF(Reprogramaciones!R$12&gt;=7,"",IF(OR(CA129-N(BZ129)&gt;0.05,N(X129)&gt;0),ROUNDDOWN(ROUND(CA129,6),0)&amp;"%"&amp;IF(CQ129="",""," / "&amp;CQ129&amp;"%"),IF(AND(N(BZ129)&gt;=99.95,CQ129&lt;&gt;"",N(CQ129)&lt;100),"Pend. "&amp;CQ129&amp;"%",""))))</f>
        <v/>
      </c>
      <c r="AU129" s="40" t="str">
        <f aca="false">IF(OR(OR(NOT(AND(ISNUMBER(E129),ISNUMBER(F129))),$J$2=""),9&gt;MAX(1,Reprogramaciones!$U$15)),"",IF(Reprogramaciones!S$12&gt;=7,"",IF(OR(CB129-N(CA129)&gt;0.05,N(Y129)&gt;0),ROUNDDOWN(ROUND(CB129,6),0)&amp;"%"&amp;IF(CR129="",""," / "&amp;CR129&amp;"%"),IF(AND(N(CA129)&gt;=99.95,CR129&lt;&gt;"",N(CR129)&lt;100),"Pend. "&amp;CR129&amp;"%",""))))</f>
        <v/>
      </c>
      <c r="AV129" s="40" t="str">
        <f aca="false">IF(OR(OR(NOT(AND(ISNUMBER(E129),ISNUMBER(F129))),$J$2=""),10&gt;MAX(1,Reprogramaciones!$U$15)),"",IF(Reprogramaciones!T$12&gt;=7,"",IF(OR(CC129-N(CB129)&gt;0.05,N(Z129)&gt;0),ROUNDDOWN(ROUND(CC129,6),0)&amp;"%"&amp;IF(CS129="",""," / "&amp;CS129&amp;"%"),IF(AND(N(CB129)&gt;=99.95,CS129&lt;&gt;"",N(CS129)&lt;100),"Pend. "&amp;CS129&amp;"%",""))))</f>
        <v/>
      </c>
      <c r="AW129" s="40" t="str">
        <f aca="false">IF(OR(OR(NOT(AND(ISNUMBER(E129),ISNUMBER(F129))),$J$2=""),11&gt;MAX(1,Reprogramaciones!$U$15)),"",IF(Reprogramaciones!U$12&gt;=7,"",IF(OR(CD129-N(CC129)&gt;0.05,N(AA129)&gt;0),ROUNDDOWN(ROUND(CD129,6),0)&amp;"%"&amp;IF(CT129="",""," / "&amp;CT129&amp;"%"),IF(AND(N(CC129)&gt;=99.95,CT129&lt;&gt;"",N(CT129)&lt;100),"Pend. "&amp;CT129&amp;"%",""))))</f>
        <v/>
      </c>
      <c r="AX129" s="40" t="str">
        <f aca="false">IF(OR(OR(NOT(AND(ISNUMBER(E129),ISNUMBER(F129))),$J$2=""),12&gt;MAX(1,Reprogramaciones!$U$15)),"",IF(Reprogramaciones!V$12&gt;=7,"",IF(OR(CE129-N(CD129)&gt;0.05,N(AB129)&gt;0),ROUNDDOWN(ROUND(CE129,6),0)&amp;"%"&amp;IF(CU129="",""," / "&amp;CU129&amp;"%"),IF(AND(N(CD129)&gt;=99.95,CU129&lt;&gt;"",N(CU129)&lt;100),"Pend. "&amp;CU129&amp;"%",""))))</f>
        <v/>
      </c>
      <c r="AY129" s="40" t="str">
        <f aca="false">IF(OR(OR(NOT(AND(ISNUMBER(E129),ISNUMBER(F129))),$J$2=""),13&gt;MAX(1,Reprogramaciones!$U$15)),"",IF(Reprogramaciones!W$12&gt;=7,"",IF(OR(CF129-N(CE129)&gt;0.05,N(AC129)&gt;0),ROUNDDOWN(ROUND(CF129,6),0)&amp;"%"&amp;IF(CV129="",""," / "&amp;CV129&amp;"%"),IF(AND(N(CE129)&gt;=99.95,CV129&lt;&gt;"",N(CV129)&lt;100),"Pend. "&amp;CV129&amp;"%",""))))</f>
        <v/>
      </c>
      <c r="AZ129" s="40" t="str">
        <f aca="false">IF(OR(OR(NOT(AND(ISNUMBER(E129),ISNUMBER(F129))),$J$2=""),14&gt;MAX(1,Reprogramaciones!$U$15)),"",IF(Reprogramaciones!X$12&gt;=7,"",IF(OR(CG129-N(CF129)&gt;0.05,N(AD129)&gt;0),ROUNDDOWN(ROUND(CG129,6),0)&amp;"%"&amp;IF(CW129="",""," / "&amp;CW129&amp;"%"),IF(AND(N(CF129)&gt;=99.95,CW129&lt;&gt;"",N(CW129)&lt;100),"Pend. "&amp;CW129&amp;"%",""))))</f>
        <v/>
      </c>
      <c r="BA129" s="40" t="str">
        <f aca="false">IF(OR(OR(NOT(AND(ISNUMBER(E129),ISNUMBER(F129))),$J$2=""),15&gt;MAX(1,Reprogramaciones!$U$15)),"",IF(Reprogramaciones!Y$12&gt;=7,"",IF(OR(CH129-N(CG129)&gt;0.05,N(AE129)&gt;0),ROUNDDOWN(ROUND(CH129,6),0)&amp;"%"&amp;IF(CX129="",""," / "&amp;CX129&amp;"%"),IF(AND(N(CG129)&gt;=99.95,CX129&lt;&gt;"",N(CX129)&lt;100),"Pend. "&amp;CX129&amp;"%",""))))</f>
        <v/>
      </c>
      <c r="BB129" s="40" t="str">
        <f aca="false">IF(OR(OR(NOT(AND(ISNUMBER(E129),ISNUMBER(F129))),$J$2=""),16&gt;MAX(1,Reprogramaciones!$U$15)),"",IF(Reprogramaciones!Z$12&gt;=7,"",IF(OR(CI129-N(CH129)&gt;0.05,N(AF129)&gt;0),ROUNDDOWN(ROUND(CI129,6),0)&amp;"%"&amp;IF(CY129="",""," / "&amp;CY129&amp;"%"),IF(AND(N(CH129)&gt;=99.95,CY129&lt;&gt;"",N(CY129)&lt;100),"Pend. "&amp;CY129&amp;"%",""))))</f>
        <v/>
      </c>
      <c r="BC129" s="31" t="n">
        <f aca="false">IF(AND(ISNUMBER(E129),ISNUMBER(F129)),MAX(1,NETWORKDAYS.INTL(E129,F129,11)),0)</f>
        <v>0</v>
      </c>
      <c r="BD129" s="1" t="str">
        <f aca="false">IF(OR(NOT(AND(ISNUMBER(E129),ISNUMBER(F129))),$J$2=""),"",MIN(100,ROUND(SUM($G129:G129),1)))</f>
        <v/>
      </c>
      <c r="BE129" s="1" t="str">
        <f aca="false">IF(OR(NOT(AND(ISNUMBER(E129),ISNUMBER(F129))),$J$2=""),"",MIN(100,ROUND(SUM($G129:H129),1)))</f>
        <v/>
      </c>
      <c r="BF129" s="1" t="str">
        <f aca="false">IF(OR(NOT(AND(ISNUMBER(E129),ISNUMBER(F129))),$J$2=""),"",MIN(100,ROUND(SUM($G129:I129),1)))</f>
        <v/>
      </c>
      <c r="BG129" s="1" t="str">
        <f aca="false">IF(OR(NOT(AND(ISNUMBER(E129),ISNUMBER(F129))),$J$2=""),"",MIN(100,ROUND(SUM($G129:J129),1)))</f>
        <v/>
      </c>
      <c r="BH129" s="1" t="str">
        <f aca="false">IF(OR(NOT(AND(ISNUMBER(E129),ISNUMBER(F129))),$J$2=""),"",MIN(100,ROUND(SUM($G129:K129),1)))</f>
        <v/>
      </c>
      <c r="BI129" s="1" t="str">
        <f aca="false">IF(OR(NOT(AND(ISNUMBER(E129),ISNUMBER(F129))),$J$2=""),"",MIN(100,ROUND(SUM($G129:L129),1)))</f>
        <v/>
      </c>
      <c r="BJ129" s="1" t="str">
        <f aca="false">IF(OR(NOT(AND(ISNUMBER(E129),ISNUMBER(F129))),$J$2=""),"",MIN(100,ROUND(SUM($G129:M129),1)))</f>
        <v/>
      </c>
      <c r="BK129" s="1" t="str">
        <f aca="false">IF(OR(NOT(AND(ISNUMBER(E129),ISNUMBER(F129))),$J$2=""),"",MIN(100,ROUND(SUM($G129:N129),1)))</f>
        <v/>
      </c>
      <c r="BL129" s="1" t="str">
        <f aca="false">IF(OR(NOT(AND(ISNUMBER(E129),ISNUMBER(F129))),$J$2=""),"",MIN(100,ROUND(SUM($G129:O129),1)))</f>
        <v/>
      </c>
      <c r="BM129" s="1" t="str">
        <f aca="false">IF(OR(NOT(AND(ISNUMBER(E129),ISNUMBER(F129))),$J$2=""),"",MIN(100,ROUND(SUM($G129:P129),1)))</f>
        <v/>
      </c>
      <c r="BN129" s="1" t="str">
        <f aca="false">IF(OR(NOT(AND(ISNUMBER(E129),ISNUMBER(F129))),$J$2=""),"",MIN(100,ROUND(SUM($G129:P129),1)))</f>
        <v/>
      </c>
      <c r="BO129" s="1" t="str">
        <f aca="false">IF(OR(NOT(AND(ISNUMBER(E129),ISNUMBER(F129))),$J$2=""),"",MIN(100,ROUND(SUM($G129:P129),1)))</f>
        <v/>
      </c>
      <c r="BP129" s="1" t="str">
        <f aca="false">IF(OR(NOT(AND(ISNUMBER(E129),ISNUMBER(F129))),$J$2=""),"",MIN(100,ROUND(SUM($G129:P129),1)))</f>
        <v/>
      </c>
      <c r="BQ129" s="1" t="str">
        <f aca="false">IF(OR(NOT(AND(ISNUMBER(E129),ISNUMBER(F129))),$J$2=""),"",MIN(100,ROUND(SUM($G129:P129),1)))</f>
        <v/>
      </c>
      <c r="BR129" s="1" t="str">
        <f aca="false">IF(OR(NOT(AND(ISNUMBER(E129),ISNUMBER(F129))),$J$2=""),"",MIN(100,ROUND(SUM($G129:P129),1)))</f>
        <v/>
      </c>
      <c r="BS129" s="1" t="str">
        <f aca="false">IF(OR(NOT(AND(ISNUMBER(E129),ISNUMBER(F129))),$J$2=""),"",MIN(100,ROUND(SUM($G129:P129),1)))</f>
        <v/>
      </c>
      <c r="BT129" s="1" t="str">
        <f aca="false">IF(OR(NOT(AND(ISNUMBER(E129),ISNUMBER(F129))),$J$2=""),"",IF(Reprogramaciones!K$13&lt;Reprogramaciones!$T$15,0,IF(Reprogramaciones!K$14&gt;10,MIN(100,SUM($G129:$P129)),MIN(100,SUMPRODUCT((COLUMN($G129:$P129)-COLUMN($G129)+1&lt;Reprogramaciones!K$14)*$G129:$P129)+N(INDEX($G129:$P129,1,Reprogramaciones!K$14))*IF(Reprogramaciones!K$13&gt;=(Reprogramaciones!$T$15+7*(Reprogramaciones!K$14-1))+6,1,IF(MAX(0,NETWORKDAYS.INTL(MAX(E129,(Reprogramaciones!$T$15+7*(Reprogramaciones!K$14-1))),MIN(F129,(Reprogramaciones!$T$15+7*(Reprogramaciones!K$14-1))+6),11))=0,0,MAX(0,NETWORKDAYS.INTL(MAX(E129,(Reprogramaciones!$T$15+7*(Reprogramaciones!K$14-1))),MIN(F129,Reprogramaciones!K$13),11))/MAX(0,NETWORKDAYS.INTL(MAX(E129,(Reprogramaciones!$T$15+7*(Reprogramaciones!K$14-1))),MIN(F129,(Reprogramaciones!$T$15+7*(Reprogramaciones!K$14-1))+6),11))))))))</f>
        <v/>
      </c>
      <c r="BU129" s="1" t="str">
        <f aca="false">IF(OR(NOT(AND(ISNUMBER(E129),ISNUMBER(F129))),$J$2=""),"",IF(Reprogramaciones!L$13&lt;Reprogramaciones!$T$15,0,IF(Reprogramaciones!L$14&gt;10,MIN(100,SUM($G129:$P129)),MIN(100,SUMPRODUCT((COLUMN($G129:$P129)-COLUMN($G129)+1&lt;Reprogramaciones!L$14)*$G129:$P129)+N(INDEX($G129:$P129,1,Reprogramaciones!L$14))*IF(Reprogramaciones!L$13&gt;=(Reprogramaciones!$T$15+7*(Reprogramaciones!L$14-1))+6,1,IF(MAX(0,NETWORKDAYS.INTL(MAX(E129,(Reprogramaciones!$T$15+7*(Reprogramaciones!L$14-1))),MIN(F129,(Reprogramaciones!$T$15+7*(Reprogramaciones!L$14-1))+6),11))=0,0,MAX(0,NETWORKDAYS.INTL(MAX(E129,(Reprogramaciones!$T$15+7*(Reprogramaciones!L$14-1))),MIN(F129,Reprogramaciones!L$13),11))/MAX(0,NETWORKDAYS.INTL(MAX(E129,(Reprogramaciones!$T$15+7*(Reprogramaciones!L$14-1))),MIN(F129,(Reprogramaciones!$T$15+7*(Reprogramaciones!L$14-1))+6),11))))))))</f>
        <v/>
      </c>
      <c r="BV129" s="1" t="str">
        <f aca="false">IF(OR(NOT(AND(ISNUMBER(E129),ISNUMBER(F129))),$J$2=""),"",IF(Reprogramaciones!M$13&lt;Reprogramaciones!$T$15,0,IF(Reprogramaciones!M$14&gt;10,MIN(100,SUM($G129:$P129)),MIN(100,SUMPRODUCT((COLUMN($G129:$P129)-COLUMN($G129)+1&lt;Reprogramaciones!M$14)*$G129:$P129)+N(INDEX($G129:$P129,1,Reprogramaciones!M$14))*IF(Reprogramaciones!M$13&gt;=(Reprogramaciones!$T$15+7*(Reprogramaciones!M$14-1))+6,1,IF(MAX(0,NETWORKDAYS.INTL(MAX(E129,(Reprogramaciones!$T$15+7*(Reprogramaciones!M$14-1))),MIN(F129,(Reprogramaciones!$T$15+7*(Reprogramaciones!M$14-1))+6),11))=0,0,MAX(0,NETWORKDAYS.INTL(MAX(E129,(Reprogramaciones!$T$15+7*(Reprogramaciones!M$14-1))),MIN(F129,Reprogramaciones!M$13),11))/MAX(0,NETWORKDAYS.INTL(MAX(E129,(Reprogramaciones!$T$15+7*(Reprogramaciones!M$14-1))),MIN(F129,(Reprogramaciones!$T$15+7*(Reprogramaciones!M$14-1))+6),11))))))))</f>
        <v/>
      </c>
      <c r="BW129" s="1" t="str">
        <f aca="false">IF(OR(NOT(AND(ISNUMBER(E129),ISNUMBER(F129))),$J$2=""),"",IF(Reprogramaciones!N$13&lt;Reprogramaciones!$T$15,0,IF(Reprogramaciones!N$14&gt;10,MIN(100,SUM($G129:$P129)),MIN(100,SUMPRODUCT((COLUMN($G129:$P129)-COLUMN($G129)+1&lt;Reprogramaciones!N$14)*$G129:$P129)+N(INDEX($G129:$P129,1,Reprogramaciones!N$14))*IF(Reprogramaciones!N$13&gt;=(Reprogramaciones!$T$15+7*(Reprogramaciones!N$14-1))+6,1,IF(MAX(0,NETWORKDAYS.INTL(MAX(E129,(Reprogramaciones!$T$15+7*(Reprogramaciones!N$14-1))),MIN(F129,(Reprogramaciones!$T$15+7*(Reprogramaciones!N$14-1))+6),11))=0,0,MAX(0,NETWORKDAYS.INTL(MAX(E129,(Reprogramaciones!$T$15+7*(Reprogramaciones!N$14-1))),MIN(F129,Reprogramaciones!N$13),11))/MAX(0,NETWORKDAYS.INTL(MAX(E129,(Reprogramaciones!$T$15+7*(Reprogramaciones!N$14-1))),MIN(F129,(Reprogramaciones!$T$15+7*(Reprogramaciones!N$14-1))+6),11))))))))</f>
        <v/>
      </c>
      <c r="BX129" s="1" t="str">
        <f aca="false">IF(OR(NOT(AND(ISNUMBER(E129),ISNUMBER(F129))),$J$2=""),"",IF(Reprogramaciones!O$13&lt;Reprogramaciones!$T$15,0,IF(Reprogramaciones!O$14&gt;10,MIN(100,SUM($G129:$P129)),MIN(100,SUMPRODUCT((COLUMN($G129:$P129)-COLUMN($G129)+1&lt;Reprogramaciones!O$14)*$G129:$P129)+N(INDEX($G129:$P129,1,Reprogramaciones!O$14))*IF(Reprogramaciones!O$13&gt;=(Reprogramaciones!$T$15+7*(Reprogramaciones!O$14-1))+6,1,IF(MAX(0,NETWORKDAYS.INTL(MAX(E129,(Reprogramaciones!$T$15+7*(Reprogramaciones!O$14-1))),MIN(F129,(Reprogramaciones!$T$15+7*(Reprogramaciones!O$14-1))+6),11))=0,0,MAX(0,NETWORKDAYS.INTL(MAX(E129,(Reprogramaciones!$T$15+7*(Reprogramaciones!O$14-1))),MIN(F129,Reprogramaciones!O$13),11))/MAX(0,NETWORKDAYS.INTL(MAX(E129,(Reprogramaciones!$T$15+7*(Reprogramaciones!O$14-1))),MIN(F129,(Reprogramaciones!$T$15+7*(Reprogramaciones!O$14-1))+6),11))))))))</f>
        <v/>
      </c>
      <c r="BY129" s="1" t="str">
        <f aca="false">IF(OR(NOT(AND(ISNUMBER(E129),ISNUMBER(F129))),$J$2=""),"",IF(Reprogramaciones!P$13&lt;Reprogramaciones!$T$15,0,IF(Reprogramaciones!P$14&gt;10,MIN(100,SUM($G129:$P129)),MIN(100,SUMPRODUCT((COLUMN($G129:$P129)-COLUMN($G129)+1&lt;Reprogramaciones!P$14)*$G129:$P129)+N(INDEX($G129:$P129,1,Reprogramaciones!P$14))*IF(Reprogramaciones!P$13&gt;=(Reprogramaciones!$T$15+7*(Reprogramaciones!P$14-1))+6,1,IF(MAX(0,NETWORKDAYS.INTL(MAX(E129,(Reprogramaciones!$T$15+7*(Reprogramaciones!P$14-1))),MIN(F129,(Reprogramaciones!$T$15+7*(Reprogramaciones!P$14-1))+6),11))=0,0,MAX(0,NETWORKDAYS.INTL(MAX(E129,(Reprogramaciones!$T$15+7*(Reprogramaciones!P$14-1))),MIN(F129,Reprogramaciones!P$13),11))/MAX(0,NETWORKDAYS.INTL(MAX(E129,(Reprogramaciones!$T$15+7*(Reprogramaciones!P$14-1))),MIN(F129,(Reprogramaciones!$T$15+7*(Reprogramaciones!P$14-1))+6),11))))))))</f>
        <v/>
      </c>
      <c r="BZ129" s="1" t="str">
        <f aca="false">IF(OR(NOT(AND(ISNUMBER(E129),ISNUMBER(F129))),$J$2=""),"",IF(Reprogramaciones!Q$13&lt;Reprogramaciones!$T$15,0,IF(Reprogramaciones!Q$14&gt;10,MIN(100,SUM($G129:$P129)),MIN(100,SUMPRODUCT((COLUMN($G129:$P129)-COLUMN($G129)+1&lt;Reprogramaciones!Q$14)*$G129:$P129)+N(INDEX($G129:$P129,1,Reprogramaciones!Q$14))*IF(Reprogramaciones!Q$13&gt;=(Reprogramaciones!$T$15+7*(Reprogramaciones!Q$14-1))+6,1,IF(MAX(0,NETWORKDAYS.INTL(MAX(E129,(Reprogramaciones!$T$15+7*(Reprogramaciones!Q$14-1))),MIN(F129,(Reprogramaciones!$T$15+7*(Reprogramaciones!Q$14-1))+6),11))=0,0,MAX(0,NETWORKDAYS.INTL(MAX(E129,(Reprogramaciones!$T$15+7*(Reprogramaciones!Q$14-1))),MIN(F129,Reprogramaciones!Q$13),11))/MAX(0,NETWORKDAYS.INTL(MAX(E129,(Reprogramaciones!$T$15+7*(Reprogramaciones!Q$14-1))),MIN(F129,(Reprogramaciones!$T$15+7*(Reprogramaciones!Q$14-1))+6),11))))))))</f>
        <v/>
      </c>
      <c r="CA129" s="1" t="str">
        <f aca="false">IF(OR(NOT(AND(ISNUMBER(E129),ISNUMBER(F129))),$J$2=""),"",IF(Reprogramaciones!R$13&lt;Reprogramaciones!$T$15,0,IF(Reprogramaciones!R$14&gt;10,MIN(100,SUM($G129:$P129)),MIN(100,SUMPRODUCT((COLUMN($G129:$P129)-COLUMN($G129)+1&lt;Reprogramaciones!R$14)*$G129:$P129)+N(INDEX($G129:$P129,1,Reprogramaciones!R$14))*IF(Reprogramaciones!R$13&gt;=(Reprogramaciones!$T$15+7*(Reprogramaciones!R$14-1))+6,1,IF(MAX(0,NETWORKDAYS.INTL(MAX(E129,(Reprogramaciones!$T$15+7*(Reprogramaciones!R$14-1))),MIN(F129,(Reprogramaciones!$T$15+7*(Reprogramaciones!R$14-1))+6),11))=0,0,MAX(0,NETWORKDAYS.INTL(MAX(E129,(Reprogramaciones!$T$15+7*(Reprogramaciones!R$14-1))),MIN(F129,Reprogramaciones!R$13),11))/MAX(0,NETWORKDAYS.INTL(MAX(E129,(Reprogramaciones!$T$15+7*(Reprogramaciones!R$14-1))),MIN(F129,(Reprogramaciones!$T$15+7*(Reprogramaciones!R$14-1))+6),11))))))))</f>
        <v/>
      </c>
      <c r="CB129" s="1" t="str">
        <f aca="false">IF(OR(NOT(AND(ISNUMBER(E129),ISNUMBER(F129))),$J$2=""),"",IF(Reprogramaciones!S$13&lt;Reprogramaciones!$T$15,0,IF(Reprogramaciones!S$14&gt;10,MIN(100,SUM($G129:$P129)),MIN(100,SUMPRODUCT((COLUMN($G129:$P129)-COLUMN($G129)+1&lt;Reprogramaciones!S$14)*$G129:$P129)+N(INDEX($G129:$P129,1,Reprogramaciones!S$14))*IF(Reprogramaciones!S$13&gt;=(Reprogramaciones!$T$15+7*(Reprogramaciones!S$14-1))+6,1,IF(MAX(0,NETWORKDAYS.INTL(MAX(E129,(Reprogramaciones!$T$15+7*(Reprogramaciones!S$14-1))),MIN(F129,(Reprogramaciones!$T$15+7*(Reprogramaciones!S$14-1))+6),11))=0,0,MAX(0,NETWORKDAYS.INTL(MAX(E129,(Reprogramaciones!$T$15+7*(Reprogramaciones!S$14-1))),MIN(F129,Reprogramaciones!S$13),11))/MAX(0,NETWORKDAYS.INTL(MAX(E129,(Reprogramaciones!$T$15+7*(Reprogramaciones!S$14-1))),MIN(F129,(Reprogramaciones!$T$15+7*(Reprogramaciones!S$14-1))+6),11))))))))</f>
        <v/>
      </c>
      <c r="CC129" s="1" t="str">
        <f aca="false">IF(OR(NOT(AND(ISNUMBER(E129),ISNUMBER(F129))),$J$2=""),"",IF(Reprogramaciones!T$13&lt;Reprogramaciones!$T$15,0,IF(Reprogramaciones!T$14&gt;10,MIN(100,SUM($G129:$P129)),MIN(100,SUMPRODUCT((COLUMN($G129:$P129)-COLUMN($G129)+1&lt;Reprogramaciones!T$14)*$G129:$P129)+N(INDEX($G129:$P129,1,Reprogramaciones!T$14))*IF(Reprogramaciones!T$13&gt;=(Reprogramaciones!$T$15+7*(Reprogramaciones!T$14-1))+6,1,IF(MAX(0,NETWORKDAYS.INTL(MAX(E129,(Reprogramaciones!$T$15+7*(Reprogramaciones!T$14-1))),MIN(F129,(Reprogramaciones!$T$15+7*(Reprogramaciones!T$14-1))+6),11))=0,0,MAX(0,NETWORKDAYS.INTL(MAX(E129,(Reprogramaciones!$T$15+7*(Reprogramaciones!T$14-1))),MIN(F129,Reprogramaciones!T$13),11))/MAX(0,NETWORKDAYS.INTL(MAX(E129,(Reprogramaciones!$T$15+7*(Reprogramaciones!T$14-1))),MIN(F129,(Reprogramaciones!$T$15+7*(Reprogramaciones!T$14-1))+6),11))))))))</f>
        <v/>
      </c>
      <c r="CD129" s="1" t="str">
        <f aca="false">IF(OR(NOT(AND(ISNUMBER(E129),ISNUMBER(F129))),$J$2=""),"",IF(Reprogramaciones!U$13&lt;Reprogramaciones!$T$15,0,IF(Reprogramaciones!U$14&gt;10,MIN(100,SUM($G129:$P129)),MIN(100,SUMPRODUCT((COLUMN($G129:$P129)-COLUMN($G129)+1&lt;Reprogramaciones!U$14)*$G129:$P129)+N(INDEX($G129:$P129,1,Reprogramaciones!U$14))*IF(Reprogramaciones!U$13&gt;=(Reprogramaciones!$T$15+7*(Reprogramaciones!U$14-1))+6,1,IF(MAX(0,NETWORKDAYS.INTL(MAX(E129,(Reprogramaciones!$T$15+7*(Reprogramaciones!U$14-1))),MIN(F129,(Reprogramaciones!$T$15+7*(Reprogramaciones!U$14-1))+6),11))=0,0,MAX(0,NETWORKDAYS.INTL(MAX(E129,(Reprogramaciones!$T$15+7*(Reprogramaciones!U$14-1))),MIN(F129,Reprogramaciones!U$13),11))/MAX(0,NETWORKDAYS.INTL(MAX(E129,(Reprogramaciones!$T$15+7*(Reprogramaciones!U$14-1))),MIN(F129,(Reprogramaciones!$T$15+7*(Reprogramaciones!U$14-1))+6),11))))))))</f>
        <v/>
      </c>
      <c r="CE129" s="1" t="str">
        <f aca="false">IF(OR(NOT(AND(ISNUMBER(E129),ISNUMBER(F129))),$J$2=""),"",IF(Reprogramaciones!V$13&lt;Reprogramaciones!$T$15,0,IF(Reprogramaciones!V$14&gt;10,MIN(100,SUM($G129:$P129)),MIN(100,SUMPRODUCT((COLUMN($G129:$P129)-COLUMN($G129)+1&lt;Reprogramaciones!V$14)*$G129:$P129)+N(INDEX($G129:$P129,1,Reprogramaciones!V$14))*IF(Reprogramaciones!V$13&gt;=(Reprogramaciones!$T$15+7*(Reprogramaciones!V$14-1))+6,1,IF(MAX(0,NETWORKDAYS.INTL(MAX(E129,(Reprogramaciones!$T$15+7*(Reprogramaciones!V$14-1))),MIN(F129,(Reprogramaciones!$T$15+7*(Reprogramaciones!V$14-1))+6),11))=0,0,MAX(0,NETWORKDAYS.INTL(MAX(E129,(Reprogramaciones!$T$15+7*(Reprogramaciones!V$14-1))),MIN(F129,Reprogramaciones!V$13),11))/MAX(0,NETWORKDAYS.INTL(MAX(E129,(Reprogramaciones!$T$15+7*(Reprogramaciones!V$14-1))),MIN(F129,(Reprogramaciones!$T$15+7*(Reprogramaciones!V$14-1))+6),11))))))))</f>
        <v/>
      </c>
      <c r="CF129" s="1" t="str">
        <f aca="false">IF(OR(NOT(AND(ISNUMBER(E129),ISNUMBER(F129))),$J$2=""),"",IF(Reprogramaciones!W$13&lt;Reprogramaciones!$T$15,0,IF(Reprogramaciones!W$14&gt;10,MIN(100,SUM($G129:$P129)),MIN(100,SUMPRODUCT((COLUMN($G129:$P129)-COLUMN($G129)+1&lt;Reprogramaciones!W$14)*$G129:$P129)+N(INDEX($G129:$P129,1,Reprogramaciones!W$14))*IF(Reprogramaciones!W$13&gt;=(Reprogramaciones!$T$15+7*(Reprogramaciones!W$14-1))+6,1,IF(MAX(0,NETWORKDAYS.INTL(MAX(E129,(Reprogramaciones!$T$15+7*(Reprogramaciones!W$14-1))),MIN(F129,(Reprogramaciones!$T$15+7*(Reprogramaciones!W$14-1))+6),11))=0,0,MAX(0,NETWORKDAYS.INTL(MAX(E129,(Reprogramaciones!$T$15+7*(Reprogramaciones!W$14-1))),MIN(F129,Reprogramaciones!W$13),11))/MAX(0,NETWORKDAYS.INTL(MAX(E129,(Reprogramaciones!$T$15+7*(Reprogramaciones!W$14-1))),MIN(F129,(Reprogramaciones!$T$15+7*(Reprogramaciones!W$14-1))+6),11))))))))</f>
        <v/>
      </c>
      <c r="CG129" s="1" t="str">
        <f aca="false">IF(OR(NOT(AND(ISNUMBER(E129),ISNUMBER(F129))),$J$2=""),"",IF(Reprogramaciones!X$13&lt;Reprogramaciones!$T$15,0,IF(Reprogramaciones!X$14&gt;10,MIN(100,SUM($G129:$P129)),MIN(100,SUMPRODUCT((COLUMN($G129:$P129)-COLUMN($G129)+1&lt;Reprogramaciones!X$14)*$G129:$P129)+N(INDEX($G129:$P129,1,Reprogramaciones!X$14))*IF(Reprogramaciones!X$13&gt;=(Reprogramaciones!$T$15+7*(Reprogramaciones!X$14-1))+6,1,IF(MAX(0,NETWORKDAYS.INTL(MAX(E129,(Reprogramaciones!$T$15+7*(Reprogramaciones!X$14-1))),MIN(F129,(Reprogramaciones!$T$15+7*(Reprogramaciones!X$14-1))+6),11))=0,0,MAX(0,NETWORKDAYS.INTL(MAX(E129,(Reprogramaciones!$T$15+7*(Reprogramaciones!X$14-1))),MIN(F129,Reprogramaciones!X$13),11))/MAX(0,NETWORKDAYS.INTL(MAX(E129,(Reprogramaciones!$T$15+7*(Reprogramaciones!X$14-1))),MIN(F129,(Reprogramaciones!$T$15+7*(Reprogramaciones!X$14-1))+6),11))))))))</f>
        <v/>
      </c>
      <c r="CH129" s="1" t="str">
        <f aca="false">IF(OR(NOT(AND(ISNUMBER(E129),ISNUMBER(F129))),$J$2=""),"",IF(Reprogramaciones!Y$13&lt;Reprogramaciones!$T$15,0,IF(Reprogramaciones!Y$14&gt;10,MIN(100,SUM($G129:$P129)),MIN(100,SUMPRODUCT((COLUMN($G129:$P129)-COLUMN($G129)+1&lt;Reprogramaciones!Y$14)*$G129:$P129)+N(INDEX($G129:$P129,1,Reprogramaciones!Y$14))*IF(Reprogramaciones!Y$13&gt;=(Reprogramaciones!$T$15+7*(Reprogramaciones!Y$14-1))+6,1,IF(MAX(0,NETWORKDAYS.INTL(MAX(E129,(Reprogramaciones!$T$15+7*(Reprogramaciones!Y$14-1))),MIN(F129,(Reprogramaciones!$T$15+7*(Reprogramaciones!Y$14-1))+6),11))=0,0,MAX(0,NETWORKDAYS.INTL(MAX(E129,(Reprogramaciones!$T$15+7*(Reprogramaciones!Y$14-1))),MIN(F129,Reprogramaciones!Y$13),11))/MAX(0,NETWORKDAYS.INTL(MAX(E129,(Reprogramaciones!$T$15+7*(Reprogramaciones!Y$14-1))),MIN(F129,(Reprogramaciones!$T$15+7*(Reprogramaciones!Y$14-1))+6),11))))))))</f>
        <v/>
      </c>
      <c r="CI129" s="1" t="str">
        <f aca="false">IF(OR(NOT(AND(ISNUMBER(E129),ISNUMBER(F129))),$J$2=""),"",IF(Reprogramaciones!Z$13&lt;Reprogramaciones!$T$15,0,IF(Reprogramaciones!Z$14&gt;10,MIN(100,SUM($G129:$P129)),MIN(100,SUMPRODUCT((COLUMN($G129:$P129)-COLUMN($G129)+1&lt;Reprogramaciones!Z$14)*$G129:$P129)+N(INDEX($G129:$P129,1,Reprogramaciones!Z$14))*IF(Reprogramaciones!Z$13&gt;=(Reprogramaciones!$T$15+7*(Reprogramaciones!Z$14-1))+6,1,IF(MAX(0,NETWORKDAYS.INTL(MAX(E129,(Reprogramaciones!$T$15+7*(Reprogramaciones!Z$14-1))),MIN(F129,(Reprogramaciones!$T$15+7*(Reprogramaciones!Z$14-1))+6),11))=0,0,MAX(0,NETWORKDAYS.INTL(MAX(E129,(Reprogramaciones!$T$15+7*(Reprogramaciones!Z$14-1))),MIN(F129,Reprogramaciones!Z$13),11))/MAX(0,NETWORKDAYS.INTL(MAX(E129,(Reprogramaciones!$T$15+7*(Reprogramaciones!Z$14-1))),MIN(F129,(Reprogramaciones!$T$15+7*(Reprogramaciones!Z$14-1))+6),11))))))))</f>
        <v/>
      </c>
      <c r="CJ129" s="1" t="str">
        <f aca="false">IF(OR(OR(NOT(AND(ISNUMBER(E129),ISNUMBER(F129))),$J$2=""),1&gt;Reprogramaciones!$K$16),"",IF(ROUND(SUM($Q129:Q129),1)&gt;=99.5,100,MIN(100,ROUND(SUM($Q129:Q129),1))))</f>
        <v/>
      </c>
      <c r="CK129" s="1" t="str">
        <f aca="false">IF(OR(OR(NOT(AND(ISNUMBER(E129),ISNUMBER(F129))),$J$2=""),2&gt;Reprogramaciones!$K$16),"",IF(ROUND(SUM($Q129:R129),1)&gt;=99.5,100,MIN(100,ROUND(SUM($Q129:R129),1))))</f>
        <v/>
      </c>
      <c r="CL129" s="1" t="str">
        <f aca="false">IF(OR(OR(NOT(AND(ISNUMBER(E129),ISNUMBER(F129))),$J$2=""),3&gt;Reprogramaciones!$K$16),"",IF(ROUND(SUM($Q129:S129),1)&gt;=99.5,100,MIN(100,ROUND(SUM($Q129:S129),1))))</f>
        <v/>
      </c>
      <c r="CM129" s="1" t="str">
        <f aca="false">IF(OR(OR(NOT(AND(ISNUMBER(E129),ISNUMBER(F129))),$J$2=""),4&gt;Reprogramaciones!$K$16),"",IF(ROUND(SUM($Q129:T129),1)&gt;=99.5,100,MIN(100,ROUND(SUM($Q129:T129),1))))</f>
        <v/>
      </c>
      <c r="CN129" s="1" t="str">
        <f aca="false">IF(OR(OR(NOT(AND(ISNUMBER(E129),ISNUMBER(F129))),$J$2=""),5&gt;Reprogramaciones!$K$16),"",IF(ROUND(SUM($Q129:U129),1)&gt;=99.5,100,MIN(100,ROUND(SUM($Q129:U129),1))))</f>
        <v/>
      </c>
      <c r="CO129" s="1" t="str">
        <f aca="false">IF(OR(OR(NOT(AND(ISNUMBER(E129),ISNUMBER(F129))),$J$2=""),6&gt;Reprogramaciones!$K$16),"",IF(ROUND(SUM($Q129:V129),1)&gt;=99.5,100,MIN(100,ROUND(SUM($Q129:V129),1))))</f>
        <v/>
      </c>
      <c r="CP129" s="1" t="str">
        <f aca="false">IF(OR(OR(NOT(AND(ISNUMBER(E129),ISNUMBER(F129))),$J$2=""),7&gt;Reprogramaciones!$K$16),"",IF(ROUND(SUM($Q129:W129),1)&gt;=99.5,100,MIN(100,ROUND(SUM($Q129:W129),1))))</f>
        <v/>
      </c>
      <c r="CQ129" s="1" t="str">
        <f aca="false">IF(OR(OR(NOT(AND(ISNUMBER(E129),ISNUMBER(F129))),$J$2=""),8&gt;Reprogramaciones!$K$16),"",IF(ROUND(SUM($Q129:X129),1)&gt;=99.5,100,MIN(100,ROUND(SUM($Q129:X129),1))))</f>
        <v/>
      </c>
      <c r="CR129" s="1" t="str">
        <f aca="false">IF(OR(OR(NOT(AND(ISNUMBER(E129),ISNUMBER(F129))),$J$2=""),9&gt;Reprogramaciones!$K$16),"",IF(ROUND(SUM($Q129:Y129),1)&gt;=99.5,100,MIN(100,ROUND(SUM($Q129:Y129),1))))</f>
        <v/>
      </c>
      <c r="CS129" s="1" t="str">
        <f aca="false">IF(OR(OR(NOT(AND(ISNUMBER(E129),ISNUMBER(F129))),$J$2=""),10&gt;Reprogramaciones!$K$16),"",IF(ROUND(SUM($Q129:Z129),1)&gt;=99.5,100,MIN(100,ROUND(SUM($Q129:Z129),1))))</f>
        <v/>
      </c>
      <c r="CT129" s="1" t="str">
        <f aca="false">IF(OR(OR(NOT(AND(ISNUMBER(E129),ISNUMBER(F129))),$J$2=""),11&gt;Reprogramaciones!$K$16),"",IF(ROUND(SUM($Q129:AA129),1)&gt;=99.5,100,MIN(100,ROUND(SUM($Q129:AA129),1))))</f>
        <v/>
      </c>
      <c r="CU129" s="1" t="str">
        <f aca="false">IF(OR(OR(NOT(AND(ISNUMBER(E129),ISNUMBER(F129))),$J$2=""),12&gt;Reprogramaciones!$K$16),"",IF(ROUND(SUM($Q129:AB129),1)&gt;=99.5,100,MIN(100,ROUND(SUM($Q129:AB129),1))))</f>
        <v/>
      </c>
      <c r="CV129" s="1" t="str">
        <f aca="false">IF(OR(OR(NOT(AND(ISNUMBER(E129),ISNUMBER(F129))),$J$2=""),13&gt;Reprogramaciones!$K$16),"",IF(ROUND(SUM($Q129:AC129),1)&gt;=99.5,100,MIN(100,ROUND(SUM($Q129:AC129),1))))</f>
        <v/>
      </c>
      <c r="CW129" s="1" t="str">
        <f aca="false">IF(OR(OR(NOT(AND(ISNUMBER(E129),ISNUMBER(F129))),$J$2=""),14&gt;Reprogramaciones!$K$16),"",IF(ROUND(SUM($Q129:AD129),1)&gt;=99.5,100,MIN(100,ROUND(SUM($Q129:AD129),1))))</f>
        <v/>
      </c>
      <c r="CX129" s="1" t="str">
        <f aca="false">IF(OR(OR(NOT(AND(ISNUMBER(E129),ISNUMBER(F129))),$J$2=""),15&gt;Reprogramaciones!$K$16),"",IF(ROUND(SUM($Q129:AE129),1)&gt;=99.5,100,MIN(100,ROUND(SUM($Q129:AE129),1))))</f>
        <v/>
      </c>
      <c r="CY129" s="1" t="str">
        <f aca="false">IF(OR(OR(NOT(AND(ISNUMBER(E129),ISNUMBER(F129))),$J$2=""),16&gt;Reprogramaciones!$K$16),"",IF(ROUND(SUM($Q129:AF129),1)&gt;=99.5,100,MIN(100,ROUND(SUM($Q129:AF129),1))))</f>
        <v/>
      </c>
      <c r="CZ129" s="1" t="str">
        <f aca="false">IF(D129&lt;&gt;"",D129,IF(B129&lt;&gt;"","Contractual",CZ128))</f>
        <v>Contractual</v>
      </c>
      <c r="DA129" s="1" t="str">
        <f aca="false">IF(OR(NOT(AND(ISNUMBER(E129),ISNUMBER(F129))),$J$2=""),"",IF(Reprogramaciones!$Q$15&lt;Reprogramaciones!$T$15,0,IF(Reprogramaciones!$S$15&gt;10,MIN(100,SUM($G129:$P129)),MIN(100,SUMPRODUCT((COLUMN($G129:$P129)-COLUMN($G129)+1&lt;Reprogramaciones!$S$15)*$G129:$P129)+N(INDEX($G129:$P129,1,Reprogramaciones!$S$15))*IF(Reprogramaciones!$Q$15&gt;=(Reprogramaciones!$T$15+7*(Reprogramaciones!$S$15-1))+6,1,IF(MAX(0,NETWORKDAYS.INTL(MAX(E129,(Reprogramaciones!$T$15+7*(Reprogramaciones!$S$15-1))),MIN(F129,(Reprogramaciones!$T$15+7*(Reprogramaciones!$S$15-1))+6),11))=0,0,MAX(0,NETWORKDAYS.INTL(MAX(E129,(Reprogramaciones!$T$15+7*(Reprogramaciones!$S$15-1))),MIN(F129,Reprogramaciones!$Q$15),11))/MAX(0,NETWORKDAYS.INTL(MAX(E129,(Reprogramaciones!$T$15+7*(Reprogramaciones!$S$15-1))),MIN(F129,(Reprogramaciones!$T$15+7*(Reprogramaciones!$S$15-1))+6),11))))))))</f>
        <v/>
      </c>
    </row>
    <row r="130" customFormat="false" ht="15" hidden="false" customHeight="false" outlineLevel="0" collapsed="false">
      <c r="A130" s="32"/>
      <c r="B130" s="33"/>
      <c r="C130" s="33"/>
      <c r="D130" s="34"/>
      <c r="E130" s="35"/>
      <c r="F130" s="35"/>
      <c r="G130" s="36" t="str">
        <f aca="false">IF(OR(NOT(AND(ISNUMBER(E130),ISNUMBER(F130))),$J$2=""),"",IF(Reprogramaciones!K$9&lt;E130,0,IF(NETWORKDAYS.INTL(E130,F130,11)=0,IF(Reprogramaciones!K$9&gt;=F130,100,0),ROUND(NETWORKDAYS.INTL(E130,MIN(F130,Reprogramaciones!K$9),11)/NETWORKDAYS.INTL(E130,F130,11)*100,1)))-0)</f>
        <v/>
      </c>
      <c r="H130" s="36" t="str">
        <f aca="false">IF(OR(NOT(AND(ISNUMBER(E130),ISNUMBER(F130))),$J$2=""),"",IF(Reprogramaciones!L$9&lt;E130,0,IF(NETWORKDAYS.INTL(E130,F130,11)=0,IF(Reprogramaciones!L$9&gt;=F130,100,0),ROUND(NETWORKDAYS.INTL(E130,MIN(F130,Reprogramaciones!L$9),11)/NETWORKDAYS.INTL(E130,F130,11)*100,1)))-IF(Reprogramaciones!K$9&lt;E130,0,IF(NETWORKDAYS.INTL(E130,F130,11)=0,IF(Reprogramaciones!K$9&gt;=F130,100,0),ROUND(NETWORKDAYS.INTL(E130,MIN(F130,Reprogramaciones!K$9),11)/NETWORKDAYS.INTL(E130,F130,11)*100,1))))</f>
        <v/>
      </c>
      <c r="I130" s="36" t="str">
        <f aca="false">IF(OR(NOT(AND(ISNUMBER(E130),ISNUMBER(F130))),$J$2=""),"",IF(Reprogramaciones!M$9&lt;E130,0,IF(NETWORKDAYS.INTL(E130,F130,11)=0,IF(Reprogramaciones!M$9&gt;=F130,100,0),ROUND(NETWORKDAYS.INTL(E130,MIN(F130,Reprogramaciones!M$9),11)/NETWORKDAYS.INTL(E130,F130,11)*100,1)))-IF(Reprogramaciones!L$9&lt;E130,0,IF(NETWORKDAYS.INTL(E130,F130,11)=0,IF(Reprogramaciones!L$9&gt;=F130,100,0),ROUND(NETWORKDAYS.INTL(E130,MIN(F130,Reprogramaciones!L$9),11)/NETWORKDAYS.INTL(E130,F130,11)*100,1))))</f>
        <v/>
      </c>
      <c r="J130" s="36" t="str">
        <f aca="false">IF(OR(NOT(AND(ISNUMBER(E130),ISNUMBER(F130))),$J$2=""),"",IF(Reprogramaciones!N$9&lt;E130,0,IF(NETWORKDAYS.INTL(E130,F130,11)=0,IF(Reprogramaciones!N$9&gt;=F130,100,0),ROUND(NETWORKDAYS.INTL(E130,MIN(F130,Reprogramaciones!N$9),11)/NETWORKDAYS.INTL(E130,F130,11)*100,1)))-IF(Reprogramaciones!M$9&lt;E130,0,IF(NETWORKDAYS.INTL(E130,F130,11)=0,IF(Reprogramaciones!M$9&gt;=F130,100,0),ROUND(NETWORKDAYS.INTL(E130,MIN(F130,Reprogramaciones!M$9),11)/NETWORKDAYS.INTL(E130,F130,11)*100,1))))</f>
        <v/>
      </c>
      <c r="K130" s="36" t="str">
        <f aca="false">IF(OR(NOT(AND(ISNUMBER(E130),ISNUMBER(F130))),$J$2=""),"",IF(Reprogramaciones!O$9&lt;E130,0,IF(NETWORKDAYS.INTL(E130,F130,11)=0,IF(Reprogramaciones!O$9&gt;=F130,100,0),ROUND(NETWORKDAYS.INTL(E130,MIN(F130,Reprogramaciones!O$9),11)/NETWORKDAYS.INTL(E130,F130,11)*100,1)))-IF(Reprogramaciones!N$9&lt;E130,0,IF(NETWORKDAYS.INTL(E130,F130,11)=0,IF(Reprogramaciones!N$9&gt;=F130,100,0),ROUND(NETWORKDAYS.INTL(E130,MIN(F130,Reprogramaciones!N$9),11)/NETWORKDAYS.INTL(E130,F130,11)*100,1))))</f>
        <v/>
      </c>
      <c r="L130" s="36" t="str">
        <f aca="false">IF(OR(NOT(AND(ISNUMBER(E130),ISNUMBER(F130))),$J$2=""),"",IF(Reprogramaciones!P$9&lt;E130,0,IF(NETWORKDAYS.INTL(E130,F130,11)=0,IF(Reprogramaciones!P$9&gt;=F130,100,0),ROUND(NETWORKDAYS.INTL(E130,MIN(F130,Reprogramaciones!P$9),11)/NETWORKDAYS.INTL(E130,F130,11)*100,1)))-IF(Reprogramaciones!O$9&lt;E130,0,IF(NETWORKDAYS.INTL(E130,F130,11)=0,IF(Reprogramaciones!O$9&gt;=F130,100,0),ROUND(NETWORKDAYS.INTL(E130,MIN(F130,Reprogramaciones!O$9),11)/NETWORKDAYS.INTL(E130,F130,11)*100,1))))</f>
        <v/>
      </c>
      <c r="M130" s="36" t="str">
        <f aca="false">IF(OR(NOT(AND(ISNUMBER(E130),ISNUMBER(F130))),$J$2=""),"",IF(Reprogramaciones!Q$9&lt;E130,0,IF(NETWORKDAYS.INTL(E130,F130,11)=0,IF(Reprogramaciones!Q$9&gt;=F130,100,0),ROUND(NETWORKDAYS.INTL(E130,MIN(F130,Reprogramaciones!Q$9),11)/NETWORKDAYS.INTL(E130,F130,11)*100,1)))-IF(Reprogramaciones!P$9&lt;E130,0,IF(NETWORKDAYS.INTL(E130,F130,11)=0,IF(Reprogramaciones!P$9&gt;=F130,100,0),ROUND(NETWORKDAYS.INTL(E130,MIN(F130,Reprogramaciones!P$9),11)/NETWORKDAYS.INTL(E130,F130,11)*100,1))))</f>
        <v/>
      </c>
      <c r="N130" s="36" t="str">
        <f aca="false">IF(OR(NOT(AND(ISNUMBER(E130),ISNUMBER(F130))),$J$2=""),"",IF(Reprogramaciones!R$9&lt;E130,0,IF(NETWORKDAYS.INTL(E130,F130,11)=0,IF(Reprogramaciones!R$9&gt;=F130,100,0),ROUND(NETWORKDAYS.INTL(E130,MIN(F130,Reprogramaciones!R$9),11)/NETWORKDAYS.INTL(E130,F130,11)*100,1)))-IF(Reprogramaciones!Q$9&lt;E130,0,IF(NETWORKDAYS.INTL(E130,F130,11)=0,IF(Reprogramaciones!Q$9&gt;=F130,100,0),ROUND(NETWORKDAYS.INTL(E130,MIN(F130,Reprogramaciones!Q$9),11)/NETWORKDAYS.INTL(E130,F130,11)*100,1))))</f>
        <v/>
      </c>
      <c r="O130" s="36" t="str">
        <f aca="false">IF(OR(NOT(AND(ISNUMBER(E130),ISNUMBER(F130))),$J$2=""),"",IF(Reprogramaciones!S$9&lt;E130,0,IF(NETWORKDAYS.INTL(E130,F130,11)=0,IF(Reprogramaciones!S$9&gt;=F130,100,0),ROUND(NETWORKDAYS.INTL(E130,MIN(F130,Reprogramaciones!S$9),11)/NETWORKDAYS.INTL(E130,F130,11)*100,1)))-IF(Reprogramaciones!R$9&lt;E130,0,IF(NETWORKDAYS.INTL(E130,F130,11)=0,IF(Reprogramaciones!R$9&gt;=F130,100,0),ROUND(NETWORKDAYS.INTL(E130,MIN(F130,Reprogramaciones!R$9),11)/NETWORKDAYS.INTL(E130,F130,11)*100,1))))</f>
        <v/>
      </c>
      <c r="P130" s="36" t="str">
        <f aca="false">IF(OR(NOT(AND(ISNUMBER(E130),ISNUMBER(F130))),$J$2=""),"",IF(Reprogramaciones!T$9&lt;E130,0,IF(NETWORKDAYS.INTL(E130,F130,11)=0,IF(Reprogramaciones!T$9&gt;=F130,100,0),ROUND(NETWORKDAYS.INTL(E130,MIN(F130,Reprogramaciones!T$9),11)/NETWORKDAYS.INTL(E130,F130,11)*100,1)))-IF(Reprogramaciones!S$9&lt;E130,0,IF(NETWORKDAYS.INTL(E130,F130,11)=0,IF(Reprogramaciones!S$9&gt;=F130,100,0),ROUND(NETWORKDAYS.INTL(E130,MIN(F130,Reprogramaciones!S$9),11)/NETWORKDAYS.INTL(E130,F130,11)*100,1))))</f>
        <v/>
      </c>
      <c r="Q130" s="37"/>
      <c r="R130" s="37"/>
      <c r="S130" s="37"/>
      <c r="T130" s="37"/>
      <c r="U130" s="37"/>
      <c r="V130" s="37"/>
      <c r="W130" s="37"/>
      <c r="X130" s="37"/>
      <c r="Y130" s="37"/>
      <c r="Z130" s="37"/>
      <c r="AA130" s="37"/>
      <c r="AB130" s="37"/>
      <c r="AC130" s="37"/>
      <c r="AD130" s="37"/>
      <c r="AE130" s="37"/>
      <c r="AF130" s="37"/>
      <c r="AG130" s="38" t="str">
        <f aca="false">IF(AND(ISNUMBER(E130),ISNUMBER(F130)),NETWORKDAYS.INTL(E130,F130,11),"")</f>
        <v/>
      </c>
      <c r="AH130" s="38" t="str">
        <f aca="false">IF(OR(NOT(AND(ISNUMBER(E130),ISNUMBER(F130))),$J$2=""),"",IF(Reprogramaciones!$P$15&lt;Reprogramaciones!$T$15,0,IF(Reprogramaciones!$R$15&gt;10,MIN(100,SUM($G130:$P130)),MIN(100,SUMPRODUCT((COLUMN($G130:$P130)-COLUMN($G130)+1&lt;Reprogramaciones!$R$15)*$G130:$P130)+N(INDEX($G130:$P130,1,Reprogramaciones!$R$15))*IF(Reprogramaciones!$P$15&gt;=(Reprogramaciones!$T$15+7*(Reprogramaciones!$R$15-1))+6,1,IF(MAX(0,NETWORKDAYS.INTL(MAX(E130,(Reprogramaciones!$T$15+7*(Reprogramaciones!$R$15-1))),MIN(F130,(Reprogramaciones!$T$15+7*(Reprogramaciones!$R$15-1))+6),11))=0,0,MAX(0,NETWORKDAYS.INTL(MAX(E130,(Reprogramaciones!$T$15+7*(Reprogramaciones!$R$15-1))),MIN(F130,Reprogramaciones!$P$15),11))/MAX(0,NETWORKDAYS.INTL(MAX(E130,(Reprogramaciones!$T$15+7*(Reprogramaciones!$R$15-1))),MIN(F130,(Reprogramaciones!$T$15+7*(Reprogramaciones!$R$15-1))+6),11))))))))</f>
        <v/>
      </c>
      <c r="AI130" s="38" t="str">
        <f aca="false">IF(COUNT($Q130:$AF130)=0,"",IF(ROUND(SUM($Q130:$AF130),1)&gt;=99.5,100,MIN(100,ROUND(SUM($Q130:$AF130),1))))</f>
        <v/>
      </c>
      <c r="AJ130" s="38" t="str">
        <f aca="false">IF(OR(AH130="",AI130=""),"",AI130-AH130)</f>
        <v/>
      </c>
      <c r="AK130" s="39" t="str">
        <f aca="true">IF(AH130="","",IF(OR(Ficha!$C$10="Suspendida",Ficha!$C$10="Cancelada"),Ficha!$C$10,IF(AND(AI130&lt;&gt;"",N(AI130)&gt;=100),"Completada",IF(AND(E130&gt;TODAY(),N(AI130)=0),"Por iniciar",IF(N(AI130)+0.5&lt;AH130,"Retrasada",IF(N(AI130)+0.5&lt;DA130,IF(Reprogramaciones!$K$15&gt;0,"Al día · Sem "&amp;Reprogramaciones!$K$15&amp;" en curso","Al día · en curso"),"A tiempo"))))))</f>
        <v/>
      </c>
      <c r="AL130" s="39" t="str">
        <f aca="true">IF(AND(A130="",AND(B130="",C130="",E130="",F130="",COUNT(Q130:AF130)=0)),"",IF(AND(B130="",C130="",E130="",F130="",COUNT(Q130:AF130)=0),"Falta la partida o subpartida",IF(AND(A130&lt;&gt;"",COUNTIF($A$6:$A$305,A130)&gt;1),"Ítem repetido",IF(AND(C130="",E130="",F130="",COUNT(Q130:AF130)=0),"Título de partida",IF(OR(E130="",F130=""),"Faltan fechas",IF(OR(ISTEXT(E130),ISTEXT(F130)),"Fecha escrita como texto: usa dd/mm/aaaa",IF(F130&lt;E130,"Fin antes del inicio",IF(IF($J$2="",FALSE(),OR(E130&lt;$J$2,F130&gt;Reprogramaciones!$T$15+69)),"Fuera de las 10 semanas",IF(ABS(SUM(G130:P130)-100)&gt;0.5,"La meta no suma 100%",IF(ROUND(SUM(Q130:AF130),1)&gt;100.5,"El avance pasa de 100%",IF(MIN(Q130:AF130)&lt;0,"Avance negativo",IF(COUNTA(Q130:AF130)&gt;COUNT(Q130:AF130),"Avance escrito como texto",IF(SUMPRODUCT((Q130:AF130&gt;0)*(Q130:AF130&lt;1))&gt;0,"Avance menor a 1: escribe 50, no 50%",IF(SUMPRODUCT(ISNUMBER(Q130:AF130)*(Reprogramaciones!$K$8:$Z$8&gt;TODAY()))&gt;0,"Avance en semana que aún no llega",IF(AND(N(Reprogramaciones!$E$21)&gt;0,F130&gt;Reprogramaciones!$E$21),"Pasa el fin de la obra: registra una reprogramación",IF(AND(N(Reprogramaciones!$E$21)&gt;0,SUMPRODUCT(ISNUMBER(Q130:AF130)*(Reprogramaciones!$K$8:$Z$8&gt;Reprogramaciones!$E$21))&gt;0),"Avance después del fin de la obra: registra una reprogramación por atraso","OK"))))))))))))))))</f>
        <v/>
      </c>
      <c r="AM130" s="40" t="str">
        <f aca="false">IF(OR(OR(NOT(AND(ISNUMBER(E130),ISNUMBER(F130))),$J$2=""),1&gt;MAX(1,Reprogramaciones!$U$15)),"",IF(Reprogramaciones!K$12&gt;=7,"",IF(OR(BT130-N(0)&gt;0.05,N(Q130)&gt;0),ROUNDDOWN(ROUND(BT130,6),0)&amp;"%"&amp;IF(CJ130="",""," / "&amp;CJ130&amp;"%"),IF(AND(N(0)&gt;=99.95,CJ130&lt;&gt;"",N(CJ130)&lt;100),"Pend. "&amp;CJ130&amp;"%",""))))</f>
        <v/>
      </c>
      <c r="AN130" s="40" t="str">
        <f aca="false">IF(OR(OR(NOT(AND(ISNUMBER(E130),ISNUMBER(F130))),$J$2=""),2&gt;MAX(1,Reprogramaciones!$U$15)),"",IF(Reprogramaciones!L$12&gt;=7,"",IF(OR(BU130-N(BT130)&gt;0.05,N(R130)&gt;0),ROUNDDOWN(ROUND(BU130,6),0)&amp;"%"&amp;IF(CK130="",""," / "&amp;CK130&amp;"%"),IF(AND(N(BT130)&gt;=99.95,CK130&lt;&gt;"",N(CK130)&lt;100),"Pend. "&amp;CK130&amp;"%",""))))</f>
        <v/>
      </c>
      <c r="AO130" s="40" t="str">
        <f aca="false">IF(OR(OR(NOT(AND(ISNUMBER(E130),ISNUMBER(F130))),$J$2=""),3&gt;MAX(1,Reprogramaciones!$U$15)),"",IF(Reprogramaciones!M$12&gt;=7,"",IF(OR(BV130-N(BU130)&gt;0.05,N(S130)&gt;0),ROUNDDOWN(ROUND(BV130,6),0)&amp;"%"&amp;IF(CL130="",""," / "&amp;CL130&amp;"%"),IF(AND(N(BU130)&gt;=99.95,CL130&lt;&gt;"",N(CL130)&lt;100),"Pend. "&amp;CL130&amp;"%",""))))</f>
        <v/>
      </c>
      <c r="AP130" s="40" t="str">
        <f aca="false">IF(OR(OR(NOT(AND(ISNUMBER(E130),ISNUMBER(F130))),$J$2=""),4&gt;MAX(1,Reprogramaciones!$U$15)),"",IF(Reprogramaciones!N$12&gt;=7,"",IF(OR(BW130-N(BV130)&gt;0.05,N(T130)&gt;0),ROUNDDOWN(ROUND(BW130,6),0)&amp;"%"&amp;IF(CM130="",""," / "&amp;CM130&amp;"%"),IF(AND(N(BV130)&gt;=99.95,CM130&lt;&gt;"",N(CM130)&lt;100),"Pend. "&amp;CM130&amp;"%",""))))</f>
        <v/>
      </c>
      <c r="AQ130" s="40" t="str">
        <f aca="false">IF(OR(OR(NOT(AND(ISNUMBER(E130),ISNUMBER(F130))),$J$2=""),5&gt;MAX(1,Reprogramaciones!$U$15)),"",IF(Reprogramaciones!O$12&gt;=7,"",IF(OR(BX130-N(BW130)&gt;0.05,N(U130)&gt;0),ROUNDDOWN(ROUND(BX130,6),0)&amp;"%"&amp;IF(CN130="",""," / "&amp;CN130&amp;"%"),IF(AND(N(BW130)&gt;=99.95,CN130&lt;&gt;"",N(CN130)&lt;100),"Pend. "&amp;CN130&amp;"%",""))))</f>
        <v/>
      </c>
      <c r="AR130" s="40" t="str">
        <f aca="false">IF(OR(OR(NOT(AND(ISNUMBER(E130),ISNUMBER(F130))),$J$2=""),6&gt;MAX(1,Reprogramaciones!$U$15)),"",IF(Reprogramaciones!P$12&gt;=7,"",IF(OR(BY130-N(BX130)&gt;0.05,N(V130)&gt;0),ROUNDDOWN(ROUND(BY130,6),0)&amp;"%"&amp;IF(CO130="",""," / "&amp;CO130&amp;"%"),IF(AND(N(BX130)&gt;=99.95,CO130&lt;&gt;"",N(CO130)&lt;100),"Pend. "&amp;CO130&amp;"%",""))))</f>
        <v/>
      </c>
      <c r="AS130" s="40" t="str">
        <f aca="false">IF(OR(OR(NOT(AND(ISNUMBER(E130),ISNUMBER(F130))),$J$2=""),7&gt;MAX(1,Reprogramaciones!$U$15)),"",IF(Reprogramaciones!Q$12&gt;=7,"",IF(OR(BZ130-N(BY130)&gt;0.05,N(W130)&gt;0),ROUNDDOWN(ROUND(BZ130,6),0)&amp;"%"&amp;IF(CP130="",""," / "&amp;CP130&amp;"%"),IF(AND(N(BY130)&gt;=99.95,CP130&lt;&gt;"",N(CP130)&lt;100),"Pend. "&amp;CP130&amp;"%",""))))</f>
        <v/>
      </c>
      <c r="AT130" s="40" t="str">
        <f aca="false">IF(OR(OR(NOT(AND(ISNUMBER(E130),ISNUMBER(F130))),$J$2=""),8&gt;MAX(1,Reprogramaciones!$U$15)),"",IF(Reprogramaciones!R$12&gt;=7,"",IF(OR(CA130-N(BZ130)&gt;0.05,N(X130)&gt;0),ROUNDDOWN(ROUND(CA130,6),0)&amp;"%"&amp;IF(CQ130="",""," / "&amp;CQ130&amp;"%"),IF(AND(N(BZ130)&gt;=99.95,CQ130&lt;&gt;"",N(CQ130)&lt;100),"Pend. "&amp;CQ130&amp;"%",""))))</f>
        <v/>
      </c>
      <c r="AU130" s="40" t="str">
        <f aca="false">IF(OR(OR(NOT(AND(ISNUMBER(E130),ISNUMBER(F130))),$J$2=""),9&gt;MAX(1,Reprogramaciones!$U$15)),"",IF(Reprogramaciones!S$12&gt;=7,"",IF(OR(CB130-N(CA130)&gt;0.05,N(Y130)&gt;0),ROUNDDOWN(ROUND(CB130,6),0)&amp;"%"&amp;IF(CR130="",""," / "&amp;CR130&amp;"%"),IF(AND(N(CA130)&gt;=99.95,CR130&lt;&gt;"",N(CR130)&lt;100),"Pend. "&amp;CR130&amp;"%",""))))</f>
        <v/>
      </c>
      <c r="AV130" s="40" t="str">
        <f aca="false">IF(OR(OR(NOT(AND(ISNUMBER(E130),ISNUMBER(F130))),$J$2=""),10&gt;MAX(1,Reprogramaciones!$U$15)),"",IF(Reprogramaciones!T$12&gt;=7,"",IF(OR(CC130-N(CB130)&gt;0.05,N(Z130)&gt;0),ROUNDDOWN(ROUND(CC130,6),0)&amp;"%"&amp;IF(CS130="",""," / "&amp;CS130&amp;"%"),IF(AND(N(CB130)&gt;=99.95,CS130&lt;&gt;"",N(CS130)&lt;100),"Pend. "&amp;CS130&amp;"%",""))))</f>
        <v/>
      </c>
      <c r="AW130" s="40" t="str">
        <f aca="false">IF(OR(OR(NOT(AND(ISNUMBER(E130),ISNUMBER(F130))),$J$2=""),11&gt;MAX(1,Reprogramaciones!$U$15)),"",IF(Reprogramaciones!U$12&gt;=7,"",IF(OR(CD130-N(CC130)&gt;0.05,N(AA130)&gt;0),ROUNDDOWN(ROUND(CD130,6),0)&amp;"%"&amp;IF(CT130="",""," / "&amp;CT130&amp;"%"),IF(AND(N(CC130)&gt;=99.95,CT130&lt;&gt;"",N(CT130)&lt;100),"Pend. "&amp;CT130&amp;"%",""))))</f>
        <v/>
      </c>
      <c r="AX130" s="40" t="str">
        <f aca="false">IF(OR(OR(NOT(AND(ISNUMBER(E130),ISNUMBER(F130))),$J$2=""),12&gt;MAX(1,Reprogramaciones!$U$15)),"",IF(Reprogramaciones!V$12&gt;=7,"",IF(OR(CE130-N(CD130)&gt;0.05,N(AB130)&gt;0),ROUNDDOWN(ROUND(CE130,6),0)&amp;"%"&amp;IF(CU130="",""," / "&amp;CU130&amp;"%"),IF(AND(N(CD130)&gt;=99.95,CU130&lt;&gt;"",N(CU130)&lt;100),"Pend. "&amp;CU130&amp;"%",""))))</f>
        <v/>
      </c>
      <c r="AY130" s="40" t="str">
        <f aca="false">IF(OR(OR(NOT(AND(ISNUMBER(E130),ISNUMBER(F130))),$J$2=""),13&gt;MAX(1,Reprogramaciones!$U$15)),"",IF(Reprogramaciones!W$12&gt;=7,"",IF(OR(CF130-N(CE130)&gt;0.05,N(AC130)&gt;0),ROUNDDOWN(ROUND(CF130,6),0)&amp;"%"&amp;IF(CV130="",""," / "&amp;CV130&amp;"%"),IF(AND(N(CE130)&gt;=99.95,CV130&lt;&gt;"",N(CV130)&lt;100),"Pend. "&amp;CV130&amp;"%",""))))</f>
        <v/>
      </c>
      <c r="AZ130" s="40" t="str">
        <f aca="false">IF(OR(OR(NOT(AND(ISNUMBER(E130),ISNUMBER(F130))),$J$2=""),14&gt;MAX(1,Reprogramaciones!$U$15)),"",IF(Reprogramaciones!X$12&gt;=7,"",IF(OR(CG130-N(CF130)&gt;0.05,N(AD130)&gt;0),ROUNDDOWN(ROUND(CG130,6),0)&amp;"%"&amp;IF(CW130="",""," / "&amp;CW130&amp;"%"),IF(AND(N(CF130)&gt;=99.95,CW130&lt;&gt;"",N(CW130)&lt;100),"Pend. "&amp;CW130&amp;"%",""))))</f>
        <v/>
      </c>
      <c r="BA130" s="40" t="str">
        <f aca="false">IF(OR(OR(NOT(AND(ISNUMBER(E130),ISNUMBER(F130))),$J$2=""),15&gt;MAX(1,Reprogramaciones!$U$15)),"",IF(Reprogramaciones!Y$12&gt;=7,"",IF(OR(CH130-N(CG130)&gt;0.05,N(AE130)&gt;0),ROUNDDOWN(ROUND(CH130,6),0)&amp;"%"&amp;IF(CX130="",""," / "&amp;CX130&amp;"%"),IF(AND(N(CG130)&gt;=99.95,CX130&lt;&gt;"",N(CX130)&lt;100),"Pend. "&amp;CX130&amp;"%",""))))</f>
        <v/>
      </c>
      <c r="BB130" s="40" t="str">
        <f aca="false">IF(OR(OR(NOT(AND(ISNUMBER(E130),ISNUMBER(F130))),$J$2=""),16&gt;MAX(1,Reprogramaciones!$U$15)),"",IF(Reprogramaciones!Z$12&gt;=7,"",IF(OR(CI130-N(CH130)&gt;0.05,N(AF130)&gt;0),ROUNDDOWN(ROUND(CI130,6),0)&amp;"%"&amp;IF(CY130="",""," / "&amp;CY130&amp;"%"),IF(AND(N(CH130)&gt;=99.95,CY130&lt;&gt;"",N(CY130)&lt;100),"Pend. "&amp;CY130&amp;"%",""))))</f>
        <v/>
      </c>
      <c r="BC130" s="31" t="n">
        <f aca="false">IF(AND(ISNUMBER(E130),ISNUMBER(F130)),MAX(1,NETWORKDAYS.INTL(E130,F130,11)),0)</f>
        <v>0</v>
      </c>
      <c r="BD130" s="1" t="str">
        <f aca="false">IF(OR(NOT(AND(ISNUMBER(E130),ISNUMBER(F130))),$J$2=""),"",MIN(100,ROUND(SUM($G130:G130),1)))</f>
        <v/>
      </c>
      <c r="BE130" s="1" t="str">
        <f aca="false">IF(OR(NOT(AND(ISNUMBER(E130),ISNUMBER(F130))),$J$2=""),"",MIN(100,ROUND(SUM($G130:H130),1)))</f>
        <v/>
      </c>
      <c r="BF130" s="1" t="str">
        <f aca="false">IF(OR(NOT(AND(ISNUMBER(E130),ISNUMBER(F130))),$J$2=""),"",MIN(100,ROUND(SUM($G130:I130),1)))</f>
        <v/>
      </c>
      <c r="BG130" s="1" t="str">
        <f aca="false">IF(OR(NOT(AND(ISNUMBER(E130),ISNUMBER(F130))),$J$2=""),"",MIN(100,ROUND(SUM($G130:J130),1)))</f>
        <v/>
      </c>
      <c r="BH130" s="1" t="str">
        <f aca="false">IF(OR(NOT(AND(ISNUMBER(E130),ISNUMBER(F130))),$J$2=""),"",MIN(100,ROUND(SUM($G130:K130),1)))</f>
        <v/>
      </c>
      <c r="BI130" s="1" t="str">
        <f aca="false">IF(OR(NOT(AND(ISNUMBER(E130),ISNUMBER(F130))),$J$2=""),"",MIN(100,ROUND(SUM($G130:L130),1)))</f>
        <v/>
      </c>
      <c r="BJ130" s="1" t="str">
        <f aca="false">IF(OR(NOT(AND(ISNUMBER(E130),ISNUMBER(F130))),$J$2=""),"",MIN(100,ROUND(SUM($G130:M130),1)))</f>
        <v/>
      </c>
      <c r="BK130" s="1" t="str">
        <f aca="false">IF(OR(NOT(AND(ISNUMBER(E130),ISNUMBER(F130))),$J$2=""),"",MIN(100,ROUND(SUM($G130:N130),1)))</f>
        <v/>
      </c>
      <c r="BL130" s="1" t="str">
        <f aca="false">IF(OR(NOT(AND(ISNUMBER(E130),ISNUMBER(F130))),$J$2=""),"",MIN(100,ROUND(SUM($G130:O130),1)))</f>
        <v/>
      </c>
      <c r="BM130" s="1" t="str">
        <f aca="false">IF(OR(NOT(AND(ISNUMBER(E130),ISNUMBER(F130))),$J$2=""),"",MIN(100,ROUND(SUM($G130:P130),1)))</f>
        <v/>
      </c>
      <c r="BN130" s="1" t="str">
        <f aca="false">IF(OR(NOT(AND(ISNUMBER(E130),ISNUMBER(F130))),$J$2=""),"",MIN(100,ROUND(SUM($G130:P130),1)))</f>
        <v/>
      </c>
      <c r="BO130" s="1" t="str">
        <f aca="false">IF(OR(NOT(AND(ISNUMBER(E130),ISNUMBER(F130))),$J$2=""),"",MIN(100,ROUND(SUM($G130:P130),1)))</f>
        <v/>
      </c>
      <c r="BP130" s="1" t="str">
        <f aca="false">IF(OR(NOT(AND(ISNUMBER(E130),ISNUMBER(F130))),$J$2=""),"",MIN(100,ROUND(SUM($G130:P130),1)))</f>
        <v/>
      </c>
      <c r="BQ130" s="1" t="str">
        <f aca="false">IF(OR(NOT(AND(ISNUMBER(E130),ISNUMBER(F130))),$J$2=""),"",MIN(100,ROUND(SUM($G130:P130),1)))</f>
        <v/>
      </c>
      <c r="BR130" s="1" t="str">
        <f aca="false">IF(OR(NOT(AND(ISNUMBER(E130),ISNUMBER(F130))),$J$2=""),"",MIN(100,ROUND(SUM($G130:P130),1)))</f>
        <v/>
      </c>
      <c r="BS130" s="1" t="str">
        <f aca="false">IF(OR(NOT(AND(ISNUMBER(E130),ISNUMBER(F130))),$J$2=""),"",MIN(100,ROUND(SUM($G130:P130),1)))</f>
        <v/>
      </c>
      <c r="BT130" s="1" t="str">
        <f aca="false">IF(OR(NOT(AND(ISNUMBER(E130),ISNUMBER(F130))),$J$2=""),"",IF(Reprogramaciones!K$13&lt;Reprogramaciones!$T$15,0,IF(Reprogramaciones!K$14&gt;10,MIN(100,SUM($G130:$P130)),MIN(100,SUMPRODUCT((COLUMN($G130:$P130)-COLUMN($G130)+1&lt;Reprogramaciones!K$14)*$G130:$P130)+N(INDEX($G130:$P130,1,Reprogramaciones!K$14))*IF(Reprogramaciones!K$13&gt;=(Reprogramaciones!$T$15+7*(Reprogramaciones!K$14-1))+6,1,IF(MAX(0,NETWORKDAYS.INTL(MAX(E130,(Reprogramaciones!$T$15+7*(Reprogramaciones!K$14-1))),MIN(F130,(Reprogramaciones!$T$15+7*(Reprogramaciones!K$14-1))+6),11))=0,0,MAX(0,NETWORKDAYS.INTL(MAX(E130,(Reprogramaciones!$T$15+7*(Reprogramaciones!K$14-1))),MIN(F130,Reprogramaciones!K$13),11))/MAX(0,NETWORKDAYS.INTL(MAX(E130,(Reprogramaciones!$T$15+7*(Reprogramaciones!K$14-1))),MIN(F130,(Reprogramaciones!$T$15+7*(Reprogramaciones!K$14-1))+6),11))))))))</f>
        <v/>
      </c>
      <c r="BU130" s="1" t="str">
        <f aca="false">IF(OR(NOT(AND(ISNUMBER(E130),ISNUMBER(F130))),$J$2=""),"",IF(Reprogramaciones!L$13&lt;Reprogramaciones!$T$15,0,IF(Reprogramaciones!L$14&gt;10,MIN(100,SUM($G130:$P130)),MIN(100,SUMPRODUCT((COLUMN($G130:$P130)-COLUMN($G130)+1&lt;Reprogramaciones!L$14)*$G130:$P130)+N(INDEX($G130:$P130,1,Reprogramaciones!L$14))*IF(Reprogramaciones!L$13&gt;=(Reprogramaciones!$T$15+7*(Reprogramaciones!L$14-1))+6,1,IF(MAX(0,NETWORKDAYS.INTL(MAX(E130,(Reprogramaciones!$T$15+7*(Reprogramaciones!L$14-1))),MIN(F130,(Reprogramaciones!$T$15+7*(Reprogramaciones!L$14-1))+6),11))=0,0,MAX(0,NETWORKDAYS.INTL(MAX(E130,(Reprogramaciones!$T$15+7*(Reprogramaciones!L$14-1))),MIN(F130,Reprogramaciones!L$13),11))/MAX(0,NETWORKDAYS.INTL(MAX(E130,(Reprogramaciones!$T$15+7*(Reprogramaciones!L$14-1))),MIN(F130,(Reprogramaciones!$T$15+7*(Reprogramaciones!L$14-1))+6),11))))))))</f>
        <v/>
      </c>
      <c r="BV130" s="1" t="str">
        <f aca="false">IF(OR(NOT(AND(ISNUMBER(E130),ISNUMBER(F130))),$J$2=""),"",IF(Reprogramaciones!M$13&lt;Reprogramaciones!$T$15,0,IF(Reprogramaciones!M$14&gt;10,MIN(100,SUM($G130:$P130)),MIN(100,SUMPRODUCT((COLUMN($G130:$P130)-COLUMN($G130)+1&lt;Reprogramaciones!M$14)*$G130:$P130)+N(INDEX($G130:$P130,1,Reprogramaciones!M$14))*IF(Reprogramaciones!M$13&gt;=(Reprogramaciones!$T$15+7*(Reprogramaciones!M$14-1))+6,1,IF(MAX(0,NETWORKDAYS.INTL(MAX(E130,(Reprogramaciones!$T$15+7*(Reprogramaciones!M$14-1))),MIN(F130,(Reprogramaciones!$T$15+7*(Reprogramaciones!M$14-1))+6),11))=0,0,MAX(0,NETWORKDAYS.INTL(MAX(E130,(Reprogramaciones!$T$15+7*(Reprogramaciones!M$14-1))),MIN(F130,Reprogramaciones!M$13),11))/MAX(0,NETWORKDAYS.INTL(MAX(E130,(Reprogramaciones!$T$15+7*(Reprogramaciones!M$14-1))),MIN(F130,(Reprogramaciones!$T$15+7*(Reprogramaciones!M$14-1))+6),11))))))))</f>
        <v/>
      </c>
      <c r="BW130" s="1" t="str">
        <f aca="false">IF(OR(NOT(AND(ISNUMBER(E130),ISNUMBER(F130))),$J$2=""),"",IF(Reprogramaciones!N$13&lt;Reprogramaciones!$T$15,0,IF(Reprogramaciones!N$14&gt;10,MIN(100,SUM($G130:$P130)),MIN(100,SUMPRODUCT((COLUMN($G130:$P130)-COLUMN($G130)+1&lt;Reprogramaciones!N$14)*$G130:$P130)+N(INDEX($G130:$P130,1,Reprogramaciones!N$14))*IF(Reprogramaciones!N$13&gt;=(Reprogramaciones!$T$15+7*(Reprogramaciones!N$14-1))+6,1,IF(MAX(0,NETWORKDAYS.INTL(MAX(E130,(Reprogramaciones!$T$15+7*(Reprogramaciones!N$14-1))),MIN(F130,(Reprogramaciones!$T$15+7*(Reprogramaciones!N$14-1))+6),11))=0,0,MAX(0,NETWORKDAYS.INTL(MAX(E130,(Reprogramaciones!$T$15+7*(Reprogramaciones!N$14-1))),MIN(F130,Reprogramaciones!N$13),11))/MAX(0,NETWORKDAYS.INTL(MAX(E130,(Reprogramaciones!$T$15+7*(Reprogramaciones!N$14-1))),MIN(F130,(Reprogramaciones!$T$15+7*(Reprogramaciones!N$14-1))+6),11))))))))</f>
        <v/>
      </c>
      <c r="BX130" s="1" t="str">
        <f aca="false">IF(OR(NOT(AND(ISNUMBER(E130),ISNUMBER(F130))),$J$2=""),"",IF(Reprogramaciones!O$13&lt;Reprogramaciones!$T$15,0,IF(Reprogramaciones!O$14&gt;10,MIN(100,SUM($G130:$P130)),MIN(100,SUMPRODUCT((COLUMN($G130:$P130)-COLUMN($G130)+1&lt;Reprogramaciones!O$14)*$G130:$P130)+N(INDEX($G130:$P130,1,Reprogramaciones!O$14))*IF(Reprogramaciones!O$13&gt;=(Reprogramaciones!$T$15+7*(Reprogramaciones!O$14-1))+6,1,IF(MAX(0,NETWORKDAYS.INTL(MAX(E130,(Reprogramaciones!$T$15+7*(Reprogramaciones!O$14-1))),MIN(F130,(Reprogramaciones!$T$15+7*(Reprogramaciones!O$14-1))+6),11))=0,0,MAX(0,NETWORKDAYS.INTL(MAX(E130,(Reprogramaciones!$T$15+7*(Reprogramaciones!O$14-1))),MIN(F130,Reprogramaciones!O$13),11))/MAX(0,NETWORKDAYS.INTL(MAX(E130,(Reprogramaciones!$T$15+7*(Reprogramaciones!O$14-1))),MIN(F130,(Reprogramaciones!$T$15+7*(Reprogramaciones!O$14-1))+6),11))))))))</f>
        <v/>
      </c>
      <c r="BY130" s="1" t="str">
        <f aca="false">IF(OR(NOT(AND(ISNUMBER(E130),ISNUMBER(F130))),$J$2=""),"",IF(Reprogramaciones!P$13&lt;Reprogramaciones!$T$15,0,IF(Reprogramaciones!P$14&gt;10,MIN(100,SUM($G130:$P130)),MIN(100,SUMPRODUCT((COLUMN($G130:$P130)-COLUMN($G130)+1&lt;Reprogramaciones!P$14)*$G130:$P130)+N(INDEX($G130:$P130,1,Reprogramaciones!P$14))*IF(Reprogramaciones!P$13&gt;=(Reprogramaciones!$T$15+7*(Reprogramaciones!P$14-1))+6,1,IF(MAX(0,NETWORKDAYS.INTL(MAX(E130,(Reprogramaciones!$T$15+7*(Reprogramaciones!P$14-1))),MIN(F130,(Reprogramaciones!$T$15+7*(Reprogramaciones!P$14-1))+6),11))=0,0,MAX(0,NETWORKDAYS.INTL(MAX(E130,(Reprogramaciones!$T$15+7*(Reprogramaciones!P$14-1))),MIN(F130,Reprogramaciones!P$13),11))/MAX(0,NETWORKDAYS.INTL(MAX(E130,(Reprogramaciones!$T$15+7*(Reprogramaciones!P$14-1))),MIN(F130,(Reprogramaciones!$T$15+7*(Reprogramaciones!P$14-1))+6),11))))))))</f>
        <v/>
      </c>
      <c r="BZ130" s="1" t="str">
        <f aca="false">IF(OR(NOT(AND(ISNUMBER(E130),ISNUMBER(F130))),$J$2=""),"",IF(Reprogramaciones!Q$13&lt;Reprogramaciones!$T$15,0,IF(Reprogramaciones!Q$14&gt;10,MIN(100,SUM($G130:$P130)),MIN(100,SUMPRODUCT((COLUMN($G130:$P130)-COLUMN($G130)+1&lt;Reprogramaciones!Q$14)*$G130:$P130)+N(INDEX($G130:$P130,1,Reprogramaciones!Q$14))*IF(Reprogramaciones!Q$13&gt;=(Reprogramaciones!$T$15+7*(Reprogramaciones!Q$14-1))+6,1,IF(MAX(0,NETWORKDAYS.INTL(MAX(E130,(Reprogramaciones!$T$15+7*(Reprogramaciones!Q$14-1))),MIN(F130,(Reprogramaciones!$T$15+7*(Reprogramaciones!Q$14-1))+6),11))=0,0,MAX(0,NETWORKDAYS.INTL(MAX(E130,(Reprogramaciones!$T$15+7*(Reprogramaciones!Q$14-1))),MIN(F130,Reprogramaciones!Q$13),11))/MAX(0,NETWORKDAYS.INTL(MAX(E130,(Reprogramaciones!$T$15+7*(Reprogramaciones!Q$14-1))),MIN(F130,(Reprogramaciones!$T$15+7*(Reprogramaciones!Q$14-1))+6),11))))))))</f>
        <v/>
      </c>
      <c r="CA130" s="1" t="str">
        <f aca="false">IF(OR(NOT(AND(ISNUMBER(E130),ISNUMBER(F130))),$J$2=""),"",IF(Reprogramaciones!R$13&lt;Reprogramaciones!$T$15,0,IF(Reprogramaciones!R$14&gt;10,MIN(100,SUM($G130:$P130)),MIN(100,SUMPRODUCT((COLUMN($G130:$P130)-COLUMN($G130)+1&lt;Reprogramaciones!R$14)*$G130:$P130)+N(INDEX($G130:$P130,1,Reprogramaciones!R$14))*IF(Reprogramaciones!R$13&gt;=(Reprogramaciones!$T$15+7*(Reprogramaciones!R$14-1))+6,1,IF(MAX(0,NETWORKDAYS.INTL(MAX(E130,(Reprogramaciones!$T$15+7*(Reprogramaciones!R$14-1))),MIN(F130,(Reprogramaciones!$T$15+7*(Reprogramaciones!R$14-1))+6),11))=0,0,MAX(0,NETWORKDAYS.INTL(MAX(E130,(Reprogramaciones!$T$15+7*(Reprogramaciones!R$14-1))),MIN(F130,Reprogramaciones!R$13),11))/MAX(0,NETWORKDAYS.INTL(MAX(E130,(Reprogramaciones!$T$15+7*(Reprogramaciones!R$14-1))),MIN(F130,(Reprogramaciones!$T$15+7*(Reprogramaciones!R$14-1))+6),11))))))))</f>
        <v/>
      </c>
      <c r="CB130" s="1" t="str">
        <f aca="false">IF(OR(NOT(AND(ISNUMBER(E130),ISNUMBER(F130))),$J$2=""),"",IF(Reprogramaciones!S$13&lt;Reprogramaciones!$T$15,0,IF(Reprogramaciones!S$14&gt;10,MIN(100,SUM($G130:$P130)),MIN(100,SUMPRODUCT((COLUMN($G130:$P130)-COLUMN($G130)+1&lt;Reprogramaciones!S$14)*$G130:$P130)+N(INDEX($G130:$P130,1,Reprogramaciones!S$14))*IF(Reprogramaciones!S$13&gt;=(Reprogramaciones!$T$15+7*(Reprogramaciones!S$14-1))+6,1,IF(MAX(0,NETWORKDAYS.INTL(MAX(E130,(Reprogramaciones!$T$15+7*(Reprogramaciones!S$14-1))),MIN(F130,(Reprogramaciones!$T$15+7*(Reprogramaciones!S$14-1))+6),11))=0,0,MAX(0,NETWORKDAYS.INTL(MAX(E130,(Reprogramaciones!$T$15+7*(Reprogramaciones!S$14-1))),MIN(F130,Reprogramaciones!S$13),11))/MAX(0,NETWORKDAYS.INTL(MAX(E130,(Reprogramaciones!$T$15+7*(Reprogramaciones!S$14-1))),MIN(F130,(Reprogramaciones!$T$15+7*(Reprogramaciones!S$14-1))+6),11))))))))</f>
        <v/>
      </c>
      <c r="CC130" s="1" t="str">
        <f aca="false">IF(OR(NOT(AND(ISNUMBER(E130),ISNUMBER(F130))),$J$2=""),"",IF(Reprogramaciones!T$13&lt;Reprogramaciones!$T$15,0,IF(Reprogramaciones!T$14&gt;10,MIN(100,SUM($G130:$P130)),MIN(100,SUMPRODUCT((COLUMN($G130:$P130)-COLUMN($G130)+1&lt;Reprogramaciones!T$14)*$G130:$P130)+N(INDEX($G130:$P130,1,Reprogramaciones!T$14))*IF(Reprogramaciones!T$13&gt;=(Reprogramaciones!$T$15+7*(Reprogramaciones!T$14-1))+6,1,IF(MAX(0,NETWORKDAYS.INTL(MAX(E130,(Reprogramaciones!$T$15+7*(Reprogramaciones!T$14-1))),MIN(F130,(Reprogramaciones!$T$15+7*(Reprogramaciones!T$14-1))+6),11))=0,0,MAX(0,NETWORKDAYS.INTL(MAX(E130,(Reprogramaciones!$T$15+7*(Reprogramaciones!T$14-1))),MIN(F130,Reprogramaciones!T$13),11))/MAX(0,NETWORKDAYS.INTL(MAX(E130,(Reprogramaciones!$T$15+7*(Reprogramaciones!T$14-1))),MIN(F130,(Reprogramaciones!$T$15+7*(Reprogramaciones!T$14-1))+6),11))))))))</f>
        <v/>
      </c>
      <c r="CD130" s="1" t="str">
        <f aca="false">IF(OR(NOT(AND(ISNUMBER(E130),ISNUMBER(F130))),$J$2=""),"",IF(Reprogramaciones!U$13&lt;Reprogramaciones!$T$15,0,IF(Reprogramaciones!U$14&gt;10,MIN(100,SUM($G130:$P130)),MIN(100,SUMPRODUCT((COLUMN($G130:$P130)-COLUMN($G130)+1&lt;Reprogramaciones!U$14)*$G130:$P130)+N(INDEX($G130:$P130,1,Reprogramaciones!U$14))*IF(Reprogramaciones!U$13&gt;=(Reprogramaciones!$T$15+7*(Reprogramaciones!U$14-1))+6,1,IF(MAX(0,NETWORKDAYS.INTL(MAX(E130,(Reprogramaciones!$T$15+7*(Reprogramaciones!U$14-1))),MIN(F130,(Reprogramaciones!$T$15+7*(Reprogramaciones!U$14-1))+6),11))=0,0,MAX(0,NETWORKDAYS.INTL(MAX(E130,(Reprogramaciones!$T$15+7*(Reprogramaciones!U$14-1))),MIN(F130,Reprogramaciones!U$13),11))/MAX(0,NETWORKDAYS.INTL(MAX(E130,(Reprogramaciones!$T$15+7*(Reprogramaciones!U$14-1))),MIN(F130,(Reprogramaciones!$T$15+7*(Reprogramaciones!U$14-1))+6),11))))))))</f>
        <v/>
      </c>
      <c r="CE130" s="1" t="str">
        <f aca="false">IF(OR(NOT(AND(ISNUMBER(E130),ISNUMBER(F130))),$J$2=""),"",IF(Reprogramaciones!V$13&lt;Reprogramaciones!$T$15,0,IF(Reprogramaciones!V$14&gt;10,MIN(100,SUM($G130:$P130)),MIN(100,SUMPRODUCT((COLUMN($G130:$P130)-COLUMN($G130)+1&lt;Reprogramaciones!V$14)*$G130:$P130)+N(INDEX($G130:$P130,1,Reprogramaciones!V$14))*IF(Reprogramaciones!V$13&gt;=(Reprogramaciones!$T$15+7*(Reprogramaciones!V$14-1))+6,1,IF(MAX(0,NETWORKDAYS.INTL(MAX(E130,(Reprogramaciones!$T$15+7*(Reprogramaciones!V$14-1))),MIN(F130,(Reprogramaciones!$T$15+7*(Reprogramaciones!V$14-1))+6),11))=0,0,MAX(0,NETWORKDAYS.INTL(MAX(E130,(Reprogramaciones!$T$15+7*(Reprogramaciones!V$14-1))),MIN(F130,Reprogramaciones!V$13),11))/MAX(0,NETWORKDAYS.INTL(MAX(E130,(Reprogramaciones!$T$15+7*(Reprogramaciones!V$14-1))),MIN(F130,(Reprogramaciones!$T$15+7*(Reprogramaciones!V$14-1))+6),11))))))))</f>
        <v/>
      </c>
      <c r="CF130" s="1" t="str">
        <f aca="false">IF(OR(NOT(AND(ISNUMBER(E130),ISNUMBER(F130))),$J$2=""),"",IF(Reprogramaciones!W$13&lt;Reprogramaciones!$T$15,0,IF(Reprogramaciones!W$14&gt;10,MIN(100,SUM($G130:$P130)),MIN(100,SUMPRODUCT((COLUMN($G130:$P130)-COLUMN($G130)+1&lt;Reprogramaciones!W$14)*$G130:$P130)+N(INDEX($G130:$P130,1,Reprogramaciones!W$14))*IF(Reprogramaciones!W$13&gt;=(Reprogramaciones!$T$15+7*(Reprogramaciones!W$14-1))+6,1,IF(MAX(0,NETWORKDAYS.INTL(MAX(E130,(Reprogramaciones!$T$15+7*(Reprogramaciones!W$14-1))),MIN(F130,(Reprogramaciones!$T$15+7*(Reprogramaciones!W$14-1))+6),11))=0,0,MAX(0,NETWORKDAYS.INTL(MAX(E130,(Reprogramaciones!$T$15+7*(Reprogramaciones!W$14-1))),MIN(F130,Reprogramaciones!W$13),11))/MAX(0,NETWORKDAYS.INTL(MAX(E130,(Reprogramaciones!$T$15+7*(Reprogramaciones!W$14-1))),MIN(F130,(Reprogramaciones!$T$15+7*(Reprogramaciones!W$14-1))+6),11))))))))</f>
        <v/>
      </c>
      <c r="CG130" s="1" t="str">
        <f aca="false">IF(OR(NOT(AND(ISNUMBER(E130),ISNUMBER(F130))),$J$2=""),"",IF(Reprogramaciones!X$13&lt;Reprogramaciones!$T$15,0,IF(Reprogramaciones!X$14&gt;10,MIN(100,SUM($G130:$P130)),MIN(100,SUMPRODUCT((COLUMN($G130:$P130)-COLUMN($G130)+1&lt;Reprogramaciones!X$14)*$G130:$P130)+N(INDEX($G130:$P130,1,Reprogramaciones!X$14))*IF(Reprogramaciones!X$13&gt;=(Reprogramaciones!$T$15+7*(Reprogramaciones!X$14-1))+6,1,IF(MAX(0,NETWORKDAYS.INTL(MAX(E130,(Reprogramaciones!$T$15+7*(Reprogramaciones!X$14-1))),MIN(F130,(Reprogramaciones!$T$15+7*(Reprogramaciones!X$14-1))+6),11))=0,0,MAX(0,NETWORKDAYS.INTL(MAX(E130,(Reprogramaciones!$T$15+7*(Reprogramaciones!X$14-1))),MIN(F130,Reprogramaciones!X$13),11))/MAX(0,NETWORKDAYS.INTL(MAX(E130,(Reprogramaciones!$T$15+7*(Reprogramaciones!X$14-1))),MIN(F130,(Reprogramaciones!$T$15+7*(Reprogramaciones!X$14-1))+6),11))))))))</f>
        <v/>
      </c>
      <c r="CH130" s="1" t="str">
        <f aca="false">IF(OR(NOT(AND(ISNUMBER(E130),ISNUMBER(F130))),$J$2=""),"",IF(Reprogramaciones!Y$13&lt;Reprogramaciones!$T$15,0,IF(Reprogramaciones!Y$14&gt;10,MIN(100,SUM($G130:$P130)),MIN(100,SUMPRODUCT((COLUMN($G130:$P130)-COLUMN($G130)+1&lt;Reprogramaciones!Y$14)*$G130:$P130)+N(INDEX($G130:$P130,1,Reprogramaciones!Y$14))*IF(Reprogramaciones!Y$13&gt;=(Reprogramaciones!$T$15+7*(Reprogramaciones!Y$14-1))+6,1,IF(MAX(0,NETWORKDAYS.INTL(MAX(E130,(Reprogramaciones!$T$15+7*(Reprogramaciones!Y$14-1))),MIN(F130,(Reprogramaciones!$T$15+7*(Reprogramaciones!Y$14-1))+6),11))=0,0,MAX(0,NETWORKDAYS.INTL(MAX(E130,(Reprogramaciones!$T$15+7*(Reprogramaciones!Y$14-1))),MIN(F130,Reprogramaciones!Y$13),11))/MAX(0,NETWORKDAYS.INTL(MAX(E130,(Reprogramaciones!$T$15+7*(Reprogramaciones!Y$14-1))),MIN(F130,(Reprogramaciones!$T$15+7*(Reprogramaciones!Y$14-1))+6),11))))))))</f>
        <v/>
      </c>
      <c r="CI130" s="1" t="str">
        <f aca="false">IF(OR(NOT(AND(ISNUMBER(E130),ISNUMBER(F130))),$J$2=""),"",IF(Reprogramaciones!Z$13&lt;Reprogramaciones!$T$15,0,IF(Reprogramaciones!Z$14&gt;10,MIN(100,SUM($G130:$P130)),MIN(100,SUMPRODUCT((COLUMN($G130:$P130)-COLUMN($G130)+1&lt;Reprogramaciones!Z$14)*$G130:$P130)+N(INDEX($G130:$P130,1,Reprogramaciones!Z$14))*IF(Reprogramaciones!Z$13&gt;=(Reprogramaciones!$T$15+7*(Reprogramaciones!Z$14-1))+6,1,IF(MAX(0,NETWORKDAYS.INTL(MAX(E130,(Reprogramaciones!$T$15+7*(Reprogramaciones!Z$14-1))),MIN(F130,(Reprogramaciones!$T$15+7*(Reprogramaciones!Z$14-1))+6),11))=0,0,MAX(0,NETWORKDAYS.INTL(MAX(E130,(Reprogramaciones!$T$15+7*(Reprogramaciones!Z$14-1))),MIN(F130,Reprogramaciones!Z$13),11))/MAX(0,NETWORKDAYS.INTL(MAX(E130,(Reprogramaciones!$T$15+7*(Reprogramaciones!Z$14-1))),MIN(F130,(Reprogramaciones!$T$15+7*(Reprogramaciones!Z$14-1))+6),11))))))))</f>
        <v/>
      </c>
      <c r="CJ130" s="1" t="str">
        <f aca="false">IF(OR(OR(NOT(AND(ISNUMBER(E130),ISNUMBER(F130))),$J$2=""),1&gt;Reprogramaciones!$K$16),"",IF(ROUND(SUM($Q130:Q130),1)&gt;=99.5,100,MIN(100,ROUND(SUM($Q130:Q130),1))))</f>
        <v/>
      </c>
      <c r="CK130" s="1" t="str">
        <f aca="false">IF(OR(OR(NOT(AND(ISNUMBER(E130),ISNUMBER(F130))),$J$2=""),2&gt;Reprogramaciones!$K$16),"",IF(ROUND(SUM($Q130:R130),1)&gt;=99.5,100,MIN(100,ROUND(SUM($Q130:R130),1))))</f>
        <v/>
      </c>
      <c r="CL130" s="1" t="str">
        <f aca="false">IF(OR(OR(NOT(AND(ISNUMBER(E130),ISNUMBER(F130))),$J$2=""),3&gt;Reprogramaciones!$K$16),"",IF(ROUND(SUM($Q130:S130),1)&gt;=99.5,100,MIN(100,ROUND(SUM($Q130:S130),1))))</f>
        <v/>
      </c>
      <c r="CM130" s="1" t="str">
        <f aca="false">IF(OR(OR(NOT(AND(ISNUMBER(E130),ISNUMBER(F130))),$J$2=""),4&gt;Reprogramaciones!$K$16),"",IF(ROUND(SUM($Q130:T130),1)&gt;=99.5,100,MIN(100,ROUND(SUM($Q130:T130),1))))</f>
        <v/>
      </c>
      <c r="CN130" s="1" t="str">
        <f aca="false">IF(OR(OR(NOT(AND(ISNUMBER(E130),ISNUMBER(F130))),$J$2=""),5&gt;Reprogramaciones!$K$16),"",IF(ROUND(SUM($Q130:U130),1)&gt;=99.5,100,MIN(100,ROUND(SUM($Q130:U130),1))))</f>
        <v/>
      </c>
      <c r="CO130" s="1" t="str">
        <f aca="false">IF(OR(OR(NOT(AND(ISNUMBER(E130),ISNUMBER(F130))),$J$2=""),6&gt;Reprogramaciones!$K$16),"",IF(ROUND(SUM($Q130:V130),1)&gt;=99.5,100,MIN(100,ROUND(SUM($Q130:V130),1))))</f>
        <v/>
      </c>
      <c r="CP130" s="1" t="str">
        <f aca="false">IF(OR(OR(NOT(AND(ISNUMBER(E130),ISNUMBER(F130))),$J$2=""),7&gt;Reprogramaciones!$K$16),"",IF(ROUND(SUM($Q130:W130),1)&gt;=99.5,100,MIN(100,ROUND(SUM($Q130:W130),1))))</f>
        <v/>
      </c>
      <c r="CQ130" s="1" t="str">
        <f aca="false">IF(OR(OR(NOT(AND(ISNUMBER(E130),ISNUMBER(F130))),$J$2=""),8&gt;Reprogramaciones!$K$16),"",IF(ROUND(SUM($Q130:X130),1)&gt;=99.5,100,MIN(100,ROUND(SUM($Q130:X130),1))))</f>
        <v/>
      </c>
      <c r="CR130" s="1" t="str">
        <f aca="false">IF(OR(OR(NOT(AND(ISNUMBER(E130),ISNUMBER(F130))),$J$2=""),9&gt;Reprogramaciones!$K$16),"",IF(ROUND(SUM($Q130:Y130),1)&gt;=99.5,100,MIN(100,ROUND(SUM($Q130:Y130),1))))</f>
        <v/>
      </c>
      <c r="CS130" s="1" t="str">
        <f aca="false">IF(OR(OR(NOT(AND(ISNUMBER(E130),ISNUMBER(F130))),$J$2=""),10&gt;Reprogramaciones!$K$16),"",IF(ROUND(SUM($Q130:Z130),1)&gt;=99.5,100,MIN(100,ROUND(SUM($Q130:Z130),1))))</f>
        <v/>
      </c>
      <c r="CT130" s="1" t="str">
        <f aca="false">IF(OR(OR(NOT(AND(ISNUMBER(E130),ISNUMBER(F130))),$J$2=""),11&gt;Reprogramaciones!$K$16),"",IF(ROUND(SUM($Q130:AA130),1)&gt;=99.5,100,MIN(100,ROUND(SUM($Q130:AA130),1))))</f>
        <v/>
      </c>
      <c r="CU130" s="1" t="str">
        <f aca="false">IF(OR(OR(NOT(AND(ISNUMBER(E130),ISNUMBER(F130))),$J$2=""),12&gt;Reprogramaciones!$K$16),"",IF(ROUND(SUM($Q130:AB130),1)&gt;=99.5,100,MIN(100,ROUND(SUM($Q130:AB130),1))))</f>
        <v/>
      </c>
      <c r="CV130" s="1" t="str">
        <f aca="false">IF(OR(OR(NOT(AND(ISNUMBER(E130),ISNUMBER(F130))),$J$2=""),13&gt;Reprogramaciones!$K$16),"",IF(ROUND(SUM($Q130:AC130),1)&gt;=99.5,100,MIN(100,ROUND(SUM($Q130:AC130),1))))</f>
        <v/>
      </c>
      <c r="CW130" s="1" t="str">
        <f aca="false">IF(OR(OR(NOT(AND(ISNUMBER(E130),ISNUMBER(F130))),$J$2=""),14&gt;Reprogramaciones!$K$16),"",IF(ROUND(SUM($Q130:AD130),1)&gt;=99.5,100,MIN(100,ROUND(SUM($Q130:AD130),1))))</f>
        <v/>
      </c>
      <c r="CX130" s="1" t="str">
        <f aca="false">IF(OR(OR(NOT(AND(ISNUMBER(E130),ISNUMBER(F130))),$J$2=""),15&gt;Reprogramaciones!$K$16),"",IF(ROUND(SUM($Q130:AE130),1)&gt;=99.5,100,MIN(100,ROUND(SUM($Q130:AE130),1))))</f>
        <v/>
      </c>
      <c r="CY130" s="1" t="str">
        <f aca="false">IF(OR(OR(NOT(AND(ISNUMBER(E130),ISNUMBER(F130))),$J$2=""),16&gt;Reprogramaciones!$K$16),"",IF(ROUND(SUM($Q130:AF130),1)&gt;=99.5,100,MIN(100,ROUND(SUM($Q130:AF130),1))))</f>
        <v/>
      </c>
      <c r="CZ130" s="1" t="str">
        <f aca="false">IF(D130&lt;&gt;"",D130,IF(B130&lt;&gt;"","Contractual",CZ129))</f>
        <v>Contractual</v>
      </c>
      <c r="DA130" s="1" t="str">
        <f aca="false">IF(OR(NOT(AND(ISNUMBER(E130),ISNUMBER(F130))),$J$2=""),"",IF(Reprogramaciones!$Q$15&lt;Reprogramaciones!$T$15,0,IF(Reprogramaciones!$S$15&gt;10,MIN(100,SUM($G130:$P130)),MIN(100,SUMPRODUCT((COLUMN($G130:$P130)-COLUMN($G130)+1&lt;Reprogramaciones!$S$15)*$G130:$P130)+N(INDEX($G130:$P130,1,Reprogramaciones!$S$15))*IF(Reprogramaciones!$Q$15&gt;=(Reprogramaciones!$T$15+7*(Reprogramaciones!$S$15-1))+6,1,IF(MAX(0,NETWORKDAYS.INTL(MAX(E130,(Reprogramaciones!$T$15+7*(Reprogramaciones!$S$15-1))),MIN(F130,(Reprogramaciones!$T$15+7*(Reprogramaciones!$S$15-1))+6),11))=0,0,MAX(0,NETWORKDAYS.INTL(MAX(E130,(Reprogramaciones!$T$15+7*(Reprogramaciones!$S$15-1))),MIN(F130,Reprogramaciones!$Q$15),11))/MAX(0,NETWORKDAYS.INTL(MAX(E130,(Reprogramaciones!$T$15+7*(Reprogramaciones!$S$15-1))),MIN(F130,(Reprogramaciones!$T$15+7*(Reprogramaciones!$S$15-1))+6),11))))))))</f>
        <v/>
      </c>
    </row>
    <row r="131" customFormat="false" ht="15" hidden="false" customHeight="false" outlineLevel="0" collapsed="false">
      <c r="A131" s="32"/>
      <c r="B131" s="33"/>
      <c r="C131" s="33"/>
      <c r="D131" s="34"/>
      <c r="E131" s="35"/>
      <c r="F131" s="35"/>
      <c r="G131" s="36" t="str">
        <f aca="false">IF(OR(NOT(AND(ISNUMBER(E131),ISNUMBER(F131))),$J$2=""),"",IF(Reprogramaciones!K$9&lt;E131,0,IF(NETWORKDAYS.INTL(E131,F131,11)=0,IF(Reprogramaciones!K$9&gt;=F131,100,0),ROUND(NETWORKDAYS.INTL(E131,MIN(F131,Reprogramaciones!K$9),11)/NETWORKDAYS.INTL(E131,F131,11)*100,1)))-0)</f>
        <v/>
      </c>
      <c r="H131" s="36" t="str">
        <f aca="false">IF(OR(NOT(AND(ISNUMBER(E131),ISNUMBER(F131))),$J$2=""),"",IF(Reprogramaciones!L$9&lt;E131,0,IF(NETWORKDAYS.INTL(E131,F131,11)=0,IF(Reprogramaciones!L$9&gt;=F131,100,0),ROUND(NETWORKDAYS.INTL(E131,MIN(F131,Reprogramaciones!L$9),11)/NETWORKDAYS.INTL(E131,F131,11)*100,1)))-IF(Reprogramaciones!K$9&lt;E131,0,IF(NETWORKDAYS.INTL(E131,F131,11)=0,IF(Reprogramaciones!K$9&gt;=F131,100,0),ROUND(NETWORKDAYS.INTL(E131,MIN(F131,Reprogramaciones!K$9),11)/NETWORKDAYS.INTL(E131,F131,11)*100,1))))</f>
        <v/>
      </c>
      <c r="I131" s="36" t="str">
        <f aca="false">IF(OR(NOT(AND(ISNUMBER(E131),ISNUMBER(F131))),$J$2=""),"",IF(Reprogramaciones!M$9&lt;E131,0,IF(NETWORKDAYS.INTL(E131,F131,11)=0,IF(Reprogramaciones!M$9&gt;=F131,100,0),ROUND(NETWORKDAYS.INTL(E131,MIN(F131,Reprogramaciones!M$9),11)/NETWORKDAYS.INTL(E131,F131,11)*100,1)))-IF(Reprogramaciones!L$9&lt;E131,0,IF(NETWORKDAYS.INTL(E131,F131,11)=0,IF(Reprogramaciones!L$9&gt;=F131,100,0),ROUND(NETWORKDAYS.INTL(E131,MIN(F131,Reprogramaciones!L$9),11)/NETWORKDAYS.INTL(E131,F131,11)*100,1))))</f>
        <v/>
      </c>
      <c r="J131" s="36" t="str">
        <f aca="false">IF(OR(NOT(AND(ISNUMBER(E131),ISNUMBER(F131))),$J$2=""),"",IF(Reprogramaciones!N$9&lt;E131,0,IF(NETWORKDAYS.INTL(E131,F131,11)=0,IF(Reprogramaciones!N$9&gt;=F131,100,0),ROUND(NETWORKDAYS.INTL(E131,MIN(F131,Reprogramaciones!N$9),11)/NETWORKDAYS.INTL(E131,F131,11)*100,1)))-IF(Reprogramaciones!M$9&lt;E131,0,IF(NETWORKDAYS.INTL(E131,F131,11)=0,IF(Reprogramaciones!M$9&gt;=F131,100,0),ROUND(NETWORKDAYS.INTL(E131,MIN(F131,Reprogramaciones!M$9),11)/NETWORKDAYS.INTL(E131,F131,11)*100,1))))</f>
        <v/>
      </c>
      <c r="K131" s="36" t="str">
        <f aca="false">IF(OR(NOT(AND(ISNUMBER(E131),ISNUMBER(F131))),$J$2=""),"",IF(Reprogramaciones!O$9&lt;E131,0,IF(NETWORKDAYS.INTL(E131,F131,11)=0,IF(Reprogramaciones!O$9&gt;=F131,100,0),ROUND(NETWORKDAYS.INTL(E131,MIN(F131,Reprogramaciones!O$9),11)/NETWORKDAYS.INTL(E131,F131,11)*100,1)))-IF(Reprogramaciones!N$9&lt;E131,0,IF(NETWORKDAYS.INTL(E131,F131,11)=0,IF(Reprogramaciones!N$9&gt;=F131,100,0),ROUND(NETWORKDAYS.INTL(E131,MIN(F131,Reprogramaciones!N$9),11)/NETWORKDAYS.INTL(E131,F131,11)*100,1))))</f>
        <v/>
      </c>
      <c r="L131" s="36" t="str">
        <f aca="false">IF(OR(NOT(AND(ISNUMBER(E131),ISNUMBER(F131))),$J$2=""),"",IF(Reprogramaciones!P$9&lt;E131,0,IF(NETWORKDAYS.INTL(E131,F131,11)=0,IF(Reprogramaciones!P$9&gt;=F131,100,0),ROUND(NETWORKDAYS.INTL(E131,MIN(F131,Reprogramaciones!P$9),11)/NETWORKDAYS.INTL(E131,F131,11)*100,1)))-IF(Reprogramaciones!O$9&lt;E131,0,IF(NETWORKDAYS.INTL(E131,F131,11)=0,IF(Reprogramaciones!O$9&gt;=F131,100,0),ROUND(NETWORKDAYS.INTL(E131,MIN(F131,Reprogramaciones!O$9),11)/NETWORKDAYS.INTL(E131,F131,11)*100,1))))</f>
        <v/>
      </c>
      <c r="M131" s="36" t="str">
        <f aca="false">IF(OR(NOT(AND(ISNUMBER(E131),ISNUMBER(F131))),$J$2=""),"",IF(Reprogramaciones!Q$9&lt;E131,0,IF(NETWORKDAYS.INTL(E131,F131,11)=0,IF(Reprogramaciones!Q$9&gt;=F131,100,0),ROUND(NETWORKDAYS.INTL(E131,MIN(F131,Reprogramaciones!Q$9),11)/NETWORKDAYS.INTL(E131,F131,11)*100,1)))-IF(Reprogramaciones!P$9&lt;E131,0,IF(NETWORKDAYS.INTL(E131,F131,11)=0,IF(Reprogramaciones!P$9&gt;=F131,100,0),ROUND(NETWORKDAYS.INTL(E131,MIN(F131,Reprogramaciones!P$9),11)/NETWORKDAYS.INTL(E131,F131,11)*100,1))))</f>
        <v/>
      </c>
      <c r="N131" s="36" t="str">
        <f aca="false">IF(OR(NOT(AND(ISNUMBER(E131),ISNUMBER(F131))),$J$2=""),"",IF(Reprogramaciones!R$9&lt;E131,0,IF(NETWORKDAYS.INTL(E131,F131,11)=0,IF(Reprogramaciones!R$9&gt;=F131,100,0),ROUND(NETWORKDAYS.INTL(E131,MIN(F131,Reprogramaciones!R$9),11)/NETWORKDAYS.INTL(E131,F131,11)*100,1)))-IF(Reprogramaciones!Q$9&lt;E131,0,IF(NETWORKDAYS.INTL(E131,F131,11)=0,IF(Reprogramaciones!Q$9&gt;=F131,100,0),ROUND(NETWORKDAYS.INTL(E131,MIN(F131,Reprogramaciones!Q$9),11)/NETWORKDAYS.INTL(E131,F131,11)*100,1))))</f>
        <v/>
      </c>
      <c r="O131" s="36" t="str">
        <f aca="false">IF(OR(NOT(AND(ISNUMBER(E131),ISNUMBER(F131))),$J$2=""),"",IF(Reprogramaciones!S$9&lt;E131,0,IF(NETWORKDAYS.INTL(E131,F131,11)=0,IF(Reprogramaciones!S$9&gt;=F131,100,0),ROUND(NETWORKDAYS.INTL(E131,MIN(F131,Reprogramaciones!S$9),11)/NETWORKDAYS.INTL(E131,F131,11)*100,1)))-IF(Reprogramaciones!R$9&lt;E131,0,IF(NETWORKDAYS.INTL(E131,F131,11)=0,IF(Reprogramaciones!R$9&gt;=F131,100,0),ROUND(NETWORKDAYS.INTL(E131,MIN(F131,Reprogramaciones!R$9),11)/NETWORKDAYS.INTL(E131,F131,11)*100,1))))</f>
        <v/>
      </c>
      <c r="P131" s="36" t="str">
        <f aca="false">IF(OR(NOT(AND(ISNUMBER(E131),ISNUMBER(F131))),$J$2=""),"",IF(Reprogramaciones!T$9&lt;E131,0,IF(NETWORKDAYS.INTL(E131,F131,11)=0,IF(Reprogramaciones!T$9&gt;=F131,100,0),ROUND(NETWORKDAYS.INTL(E131,MIN(F131,Reprogramaciones!T$9),11)/NETWORKDAYS.INTL(E131,F131,11)*100,1)))-IF(Reprogramaciones!S$9&lt;E131,0,IF(NETWORKDAYS.INTL(E131,F131,11)=0,IF(Reprogramaciones!S$9&gt;=F131,100,0),ROUND(NETWORKDAYS.INTL(E131,MIN(F131,Reprogramaciones!S$9),11)/NETWORKDAYS.INTL(E131,F131,11)*100,1))))</f>
        <v/>
      </c>
      <c r="Q131" s="37"/>
      <c r="R131" s="37"/>
      <c r="S131" s="37"/>
      <c r="T131" s="37"/>
      <c r="U131" s="37"/>
      <c r="V131" s="37"/>
      <c r="W131" s="37"/>
      <c r="X131" s="37"/>
      <c r="Y131" s="37"/>
      <c r="Z131" s="37"/>
      <c r="AA131" s="37"/>
      <c r="AB131" s="37"/>
      <c r="AC131" s="37"/>
      <c r="AD131" s="37"/>
      <c r="AE131" s="37"/>
      <c r="AF131" s="37"/>
      <c r="AG131" s="38" t="str">
        <f aca="false">IF(AND(ISNUMBER(E131),ISNUMBER(F131)),NETWORKDAYS.INTL(E131,F131,11),"")</f>
        <v/>
      </c>
      <c r="AH131" s="38" t="str">
        <f aca="false">IF(OR(NOT(AND(ISNUMBER(E131),ISNUMBER(F131))),$J$2=""),"",IF(Reprogramaciones!$P$15&lt;Reprogramaciones!$T$15,0,IF(Reprogramaciones!$R$15&gt;10,MIN(100,SUM($G131:$P131)),MIN(100,SUMPRODUCT((COLUMN($G131:$P131)-COLUMN($G131)+1&lt;Reprogramaciones!$R$15)*$G131:$P131)+N(INDEX($G131:$P131,1,Reprogramaciones!$R$15))*IF(Reprogramaciones!$P$15&gt;=(Reprogramaciones!$T$15+7*(Reprogramaciones!$R$15-1))+6,1,IF(MAX(0,NETWORKDAYS.INTL(MAX(E131,(Reprogramaciones!$T$15+7*(Reprogramaciones!$R$15-1))),MIN(F131,(Reprogramaciones!$T$15+7*(Reprogramaciones!$R$15-1))+6),11))=0,0,MAX(0,NETWORKDAYS.INTL(MAX(E131,(Reprogramaciones!$T$15+7*(Reprogramaciones!$R$15-1))),MIN(F131,Reprogramaciones!$P$15),11))/MAX(0,NETWORKDAYS.INTL(MAX(E131,(Reprogramaciones!$T$15+7*(Reprogramaciones!$R$15-1))),MIN(F131,(Reprogramaciones!$T$15+7*(Reprogramaciones!$R$15-1))+6),11))))))))</f>
        <v/>
      </c>
      <c r="AI131" s="38" t="str">
        <f aca="false">IF(COUNT($Q131:$AF131)=0,"",IF(ROUND(SUM($Q131:$AF131),1)&gt;=99.5,100,MIN(100,ROUND(SUM($Q131:$AF131),1))))</f>
        <v/>
      </c>
      <c r="AJ131" s="38" t="str">
        <f aca="false">IF(OR(AH131="",AI131=""),"",AI131-AH131)</f>
        <v/>
      </c>
      <c r="AK131" s="39" t="str">
        <f aca="true">IF(AH131="","",IF(OR(Ficha!$C$10="Suspendida",Ficha!$C$10="Cancelada"),Ficha!$C$10,IF(AND(AI131&lt;&gt;"",N(AI131)&gt;=100),"Completada",IF(AND(E131&gt;TODAY(),N(AI131)=0),"Por iniciar",IF(N(AI131)+0.5&lt;AH131,"Retrasada",IF(N(AI131)+0.5&lt;DA131,IF(Reprogramaciones!$K$15&gt;0,"Al día · Sem "&amp;Reprogramaciones!$K$15&amp;" en curso","Al día · en curso"),"A tiempo"))))))</f>
        <v/>
      </c>
      <c r="AL131" s="39" t="str">
        <f aca="true">IF(AND(A131="",AND(B131="",C131="",E131="",F131="",COUNT(Q131:AF131)=0)),"",IF(AND(B131="",C131="",E131="",F131="",COUNT(Q131:AF131)=0),"Falta la partida o subpartida",IF(AND(A131&lt;&gt;"",COUNTIF($A$6:$A$305,A131)&gt;1),"Ítem repetido",IF(AND(C131="",E131="",F131="",COUNT(Q131:AF131)=0),"Título de partida",IF(OR(E131="",F131=""),"Faltan fechas",IF(OR(ISTEXT(E131),ISTEXT(F131)),"Fecha escrita como texto: usa dd/mm/aaaa",IF(F131&lt;E131,"Fin antes del inicio",IF(IF($J$2="",FALSE(),OR(E131&lt;$J$2,F131&gt;Reprogramaciones!$T$15+69)),"Fuera de las 10 semanas",IF(ABS(SUM(G131:P131)-100)&gt;0.5,"La meta no suma 100%",IF(ROUND(SUM(Q131:AF131),1)&gt;100.5,"El avance pasa de 100%",IF(MIN(Q131:AF131)&lt;0,"Avance negativo",IF(COUNTA(Q131:AF131)&gt;COUNT(Q131:AF131),"Avance escrito como texto",IF(SUMPRODUCT((Q131:AF131&gt;0)*(Q131:AF131&lt;1))&gt;0,"Avance menor a 1: escribe 50, no 50%",IF(SUMPRODUCT(ISNUMBER(Q131:AF131)*(Reprogramaciones!$K$8:$Z$8&gt;TODAY()))&gt;0,"Avance en semana que aún no llega",IF(AND(N(Reprogramaciones!$E$21)&gt;0,F131&gt;Reprogramaciones!$E$21),"Pasa el fin de la obra: registra una reprogramación",IF(AND(N(Reprogramaciones!$E$21)&gt;0,SUMPRODUCT(ISNUMBER(Q131:AF131)*(Reprogramaciones!$K$8:$Z$8&gt;Reprogramaciones!$E$21))&gt;0),"Avance después del fin de la obra: registra una reprogramación por atraso","OK"))))))))))))))))</f>
        <v/>
      </c>
      <c r="AM131" s="40" t="str">
        <f aca="false">IF(OR(OR(NOT(AND(ISNUMBER(E131),ISNUMBER(F131))),$J$2=""),1&gt;MAX(1,Reprogramaciones!$U$15)),"",IF(Reprogramaciones!K$12&gt;=7,"",IF(OR(BT131-N(0)&gt;0.05,N(Q131)&gt;0),ROUNDDOWN(ROUND(BT131,6),0)&amp;"%"&amp;IF(CJ131="",""," / "&amp;CJ131&amp;"%"),IF(AND(N(0)&gt;=99.95,CJ131&lt;&gt;"",N(CJ131)&lt;100),"Pend. "&amp;CJ131&amp;"%",""))))</f>
        <v/>
      </c>
      <c r="AN131" s="40" t="str">
        <f aca="false">IF(OR(OR(NOT(AND(ISNUMBER(E131),ISNUMBER(F131))),$J$2=""),2&gt;MAX(1,Reprogramaciones!$U$15)),"",IF(Reprogramaciones!L$12&gt;=7,"",IF(OR(BU131-N(BT131)&gt;0.05,N(R131)&gt;0),ROUNDDOWN(ROUND(BU131,6),0)&amp;"%"&amp;IF(CK131="",""," / "&amp;CK131&amp;"%"),IF(AND(N(BT131)&gt;=99.95,CK131&lt;&gt;"",N(CK131)&lt;100),"Pend. "&amp;CK131&amp;"%",""))))</f>
        <v/>
      </c>
      <c r="AO131" s="40" t="str">
        <f aca="false">IF(OR(OR(NOT(AND(ISNUMBER(E131),ISNUMBER(F131))),$J$2=""),3&gt;MAX(1,Reprogramaciones!$U$15)),"",IF(Reprogramaciones!M$12&gt;=7,"",IF(OR(BV131-N(BU131)&gt;0.05,N(S131)&gt;0),ROUNDDOWN(ROUND(BV131,6),0)&amp;"%"&amp;IF(CL131="",""," / "&amp;CL131&amp;"%"),IF(AND(N(BU131)&gt;=99.95,CL131&lt;&gt;"",N(CL131)&lt;100),"Pend. "&amp;CL131&amp;"%",""))))</f>
        <v/>
      </c>
      <c r="AP131" s="40" t="str">
        <f aca="false">IF(OR(OR(NOT(AND(ISNUMBER(E131),ISNUMBER(F131))),$J$2=""),4&gt;MAX(1,Reprogramaciones!$U$15)),"",IF(Reprogramaciones!N$12&gt;=7,"",IF(OR(BW131-N(BV131)&gt;0.05,N(T131)&gt;0),ROUNDDOWN(ROUND(BW131,6),0)&amp;"%"&amp;IF(CM131="",""," / "&amp;CM131&amp;"%"),IF(AND(N(BV131)&gt;=99.95,CM131&lt;&gt;"",N(CM131)&lt;100),"Pend. "&amp;CM131&amp;"%",""))))</f>
        <v/>
      </c>
      <c r="AQ131" s="40" t="str">
        <f aca="false">IF(OR(OR(NOT(AND(ISNUMBER(E131),ISNUMBER(F131))),$J$2=""),5&gt;MAX(1,Reprogramaciones!$U$15)),"",IF(Reprogramaciones!O$12&gt;=7,"",IF(OR(BX131-N(BW131)&gt;0.05,N(U131)&gt;0),ROUNDDOWN(ROUND(BX131,6),0)&amp;"%"&amp;IF(CN131="",""," / "&amp;CN131&amp;"%"),IF(AND(N(BW131)&gt;=99.95,CN131&lt;&gt;"",N(CN131)&lt;100),"Pend. "&amp;CN131&amp;"%",""))))</f>
        <v/>
      </c>
      <c r="AR131" s="40" t="str">
        <f aca="false">IF(OR(OR(NOT(AND(ISNUMBER(E131),ISNUMBER(F131))),$J$2=""),6&gt;MAX(1,Reprogramaciones!$U$15)),"",IF(Reprogramaciones!P$12&gt;=7,"",IF(OR(BY131-N(BX131)&gt;0.05,N(V131)&gt;0),ROUNDDOWN(ROUND(BY131,6),0)&amp;"%"&amp;IF(CO131="",""," / "&amp;CO131&amp;"%"),IF(AND(N(BX131)&gt;=99.95,CO131&lt;&gt;"",N(CO131)&lt;100),"Pend. "&amp;CO131&amp;"%",""))))</f>
        <v/>
      </c>
      <c r="AS131" s="40" t="str">
        <f aca="false">IF(OR(OR(NOT(AND(ISNUMBER(E131),ISNUMBER(F131))),$J$2=""),7&gt;MAX(1,Reprogramaciones!$U$15)),"",IF(Reprogramaciones!Q$12&gt;=7,"",IF(OR(BZ131-N(BY131)&gt;0.05,N(W131)&gt;0),ROUNDDOWN(ROUND(BZ131,6),0)&amp;"%"&amp;IF(CP131="",""," / "&amp;CP131&amp;"%"),IF(AND(N(BY131)&gt;=99.95,CP131&lt;&gt;"",N(CP131)&lt;100),"Pend. "&amp;CP131&amp;"%",""))))</f>
        <v/>
      </c>
      <c r="AT131" s="40" t="str">
        <f aca="false">IF(OR(OR(NOT(AND(ISNUMBER(E131),ISNUMBER(F131))),$J$2=""),8&gt;MAX(1,Reprogramaciones!$U$15)),"",IF(Reprogramaciones!R$12&gt;=7,"",IF(OR(CA131-N(BZ131)&gt;0.05,N(X131)&gt;0),ROUNDDOWN(ROUND(CA131,6),0)&amp;"%"&amp;IF(CQ131="",""," / "&amp;CQ131&amp;"%"),IF(AND(N(BZ131)&gt;=99.95,CQ131&lt;&gt;"",N(CQ131)&lt;100),"Pend. "&amp;CQ131&amp;"%",""))))</f>
        <v/>
      </c>
      <c r="AU131" s="40" t="str">
        <f aca="false">IF(OR(OR(NOT(AND(ISNUMBER(E131),ISNUMBER(F131))),$J$2=""),9&gt;MAX(1,Reprogramaciones!$U$15)),"",IF(Reprogramaciones!S$12&gt;=7,"",IF(OR(CB131-N(CA131)&gt;0.05,N(Y131)&gt;0),ROUNDDOWN(ROUND(CB131,6),0)&amp;"%"&amp;IF(CR131="",""," / "&amp;CR131&amp;"%"),IF(AND(N(CA131)&gt;=99.95,CR131&lt;&gt;"",N(CR131)&lt;100),"Pend. "&amp;CR131&amp;"%",""))))</f>
        <v/>
      </c>
      <c r="AV131" s="40" t="str">
        <f aca="false">IF(OR(OR(NOT(AND(ISNUMBER(E131),ISNUMBER(F131))),$J$2=""),10&gt;MAX(1,Reprogramaciones!$U$15)),"",IF(Reprogramaciones!T$12&gt;=7,"",IF(OR(CC131-N(CB131)&gt;0.05,N(Z131)&gt;0),ROUNDDOWN(ROUND(CC131,6),0)&amp;"%"&amp;IF(CS131="",""," / "&amp;CS131&amp;"%"),IF(AND(N(CB131)&gt;=99.95,CS131&lt;&gt;"",N(CS131)&lt;100),"Pend. "&amp;CS131&amp;"%",""))))</f>
        <v/>
      </c>
      <c r="AW131" s="40" t="str">
        <f aca="false">IF(OR(OR(NOT(AND(ISNUMBER(E131),ISNUMBER(F131))),$J$2=""),11&gt;MAX(1,Reprogramaciones!$U$15)),"",IF(Reprogramaciones!U$12&gt;=7,"",IF(OR(CD131-N(CC131)&gt;0.05,N(AA131)&gt;0),ROUNDDOWN(ROUND(CD131,6),0)&amp;"%"&amp;IF(CT131="",""," / "&amp;CT131&amp;"%"),IF(AND(N(CC131)&gt;=99.95,CT131&lt;&gt;"",N(CT131)&lt;100),"Pend. "&amp;CT131&amp;"%",""))))</f>
        <v/>
      </c>
      <c r="AX131" s="40" t="str">
        <f aca="false">IF(OR(OR(NOT(AND(ISNUMBER(E131),ISNUMBER(F131))),$J$2=""),12&gt;MAX(1,Reprogramaciones!$U$15)),"",IF(Reprogramaciones!V$12&gt;=7,"",IF(OR(CE131-N(CD131)&gt;0.05,N(AB131)&gt;0),ROUNDDOWN(ROUND(CE131,6),0)&amp;"%"&amp;IF(CU131="",""," / "&amp;CU131&amp;"%"),IF(AND(N(CD131)&gt;=99.95,CU131&lt;&gt;"",N(CU131)&lt;100),"Pend. "&amp;CU131&amp;"%",""))))</f>
        <v/>
      </c>
      <c r="AY131" s="40" t="str">
        <f aca="false">IF(OR(OR(NOT(AND(ISNUMBER(E131),ISNUMBER(F131))),$J$2=""),13&gt;MAX(1,Reprogramaciones!$U$15)),"",IF(Reprogramaciones!W$12&gt;=7,"",IF(OR(CF131-N(CE131)&gt;0.05,N(AC131)&gt;0),ROUNDDOWN(ROUND(CF131,6),0)&amp;"%"&amp;IF(CV131="",""," / "&amp;CV131&amp;"%"),IF(AND(N(CE131)&gt;=99.95,CV131&lt;&gt;"",N(CV131)&lt;100),"Pend. "&amp;CV131&amp;"%",""))))</f>
        <v/>
      </c>
      <c r="AZ131" s="40" t="str">
        <f aca="false">IF(OR(OR(NOT(AND(ISNUMBER(E131),ISNUMBER(F131))),$J$2=""),14&gt;MAX(1,Reprogramaciones!$U$15)),"",IF(Reprogramaciones!X$12&gt;=7,"",IF(OR(CG131-N(CF131)&gt;0.05,N(AD131)&gt;0),ROUNDDOWN(ROUND(CG131,6),0)&amp;"%"&amp;IF(CW131="",""," / "&amp;CW131&amp;"%"),IF(AND(N(CF131)&gt;=99.95,CW131&lt;&gt;"",N(CW131)&lt;100),"Pend. "&amp;CW131&amp;"%",""))))</f>
        <v/>
      </c>
      <c r="BA131" s="40" t="str">
        <f aca="false">IF(OR(OR(NOT(AND(ISNUMBER(E131),ISNUMBER(F131))),$J$2=""),15&gt;MAX(1,Reprogramaciones!$U$15)),"",IF(Reprogramaciones!Y$12&gt;=7,"",IF(OR(CH131-N(CG131)&gt;0.05,N(AE131)&gt;0),ROUNDDOWN(ROUND(CH131,6),0)&amp;"%"&amp;IF(CX131="",""," / "&amp;CX131&amp;"%"),IF(AND(N(CG131)&gt;=99.95,CX131&lt;&gt;"",N(CX131)&lt;100),"Pend. "&amp;CX131&amp;"%",""))))</f>
        <v/>
      </c>
      <c r="BB131" s="40" t="str">
        <f aca="false">IF(OR(OR(NOT(AND(ISNUMBER(E131),ISNUMBER(F131))),$J$2=""),16&gt;MAX(1,Reprogramaciones!$U$15)),"",IF(Reprogramaciones!Z$12&gt;=7,"",IF(OR(CI131-N(CH131)&gt;0.05,N(AF131)&gt;0),ROUNDDOWN(ROUND(CI131,6),0)&amp;"%"&amp;IF(CY131="",""," / "&amp;CY131&amp;"%"),IF(AND(N(CH131)&gt;=99.95,CY131&lt;&gt;"",N(CY131)&lt;100),"Pend. "&amp;CY131&amp;"%",""))))</f>
        <v/>
      </c>
      <c r="BC131" s="31" t="n">
        <f aca="false">IF(AND(ISNUMBER(E131),ISNUMBER(F131)),MAX(1,NETWORKDAYS.INTL(E131,F131,11)),0)</f>
        <v>0</v>
      </c>
      <c r="BD131" s="1" t="str">
        <f aca="false">IF(OR(NOT(AND(ISNUMBER(E131),ISNUMBER(F131))),$J$2=""),"",MIN(100,ROUND(SUM($G131:G131),1)))</f>
        <v/>
      </c>
      <c r="BE131" s="1" t="str">
        <f aca="false">IF(OR(NOT(AND(ISNUMBER(E131),ISNUMBER(F131))),$J$2=""),"",MIN(100,ROUND(SUM($G131:H131),1)))</f>
        <v/>
      </c>
      <c r="BF131" s="1" t="str">
        <f aca="false">IF(OR(NOT(AND(ISNUMBER(E131),ISNUMBER(F131))),$J$2=""),"",MIN(100,ROUND(SUM($G131:I131),1)))</f>
        <v/>
      </c>
      <c r="BG131" s="1" t="str">
        <f aca="false">IF(OR(NOT(AND(ISNUMBER(E131),ISNUMBER(F131))),$J$2=""),"",MIN(100,ROUND(SUM($G131:J131),1)))</f>
        <v/>
      </c>
      <c r="BH131" s="1" t="str">
        <f aca="false">IF(OR(NOT(AND(ISNUMBER(E131),ISNUMBER(F131))),$J$2=""),"",MIN(100,ROUND(SUM($G131:K131),1)))</f>
        <v/>
      </c>
      <c r="BI131" s="1" t="str">
        <f aca="false">IF(OR(NOT(AND(ISNUMBER(E131),ISNUMBER(F131))),$J$2=""),"",MIN(100,ROUND(SUM($G131:L131),1)))</f>
        <v/>
      </c>
      <c r="BJ131" s="1" t="str">
        <f aca="false">IF(OR(NOT(AND(ISNUMBER(E131),ISNUMBER(F131))),$J$2=""),"",MIN(100,ROUND(SUM($G131:M131),1)))</f>
        <v/>
      </c>
      <c r="BK131" s="1" t="str">
        <f aca="false">IF(OR(NOT(AND(ISNUMBER(E131),ISNUMBER(F131))),$J$2=""),"",MIN(100,ROUND(SUM($G131:N131),1)))</f>
        <v/>
      </c>
      <c r="BL131" s="1" t="str">
        <f aca="false">IF(OR(NOT(AND(ISNUMBER(E131),ISNUMBER(F131))),$J$2=""),"",MIN(100,ROUND(SUM($G131:O131),1)))</f>
        <v/>
      </c>
      <c r="BM131" s="1" t="str">
        <f aca="false">IF(OR(NOT(AND(ISNUMBER(E131),ISNUMBER(F131))),$J$2=""),"",MIN(100,ROUND(SUM($G131:P131),1)))</f>
        <v/>
      </c>
      <c r="BN131" s="1" t="str">
        <f aca="false">IF(OR(NOT(AND(ISNUMBER(E131),ISNUMBER(F131))),$J$2=""),"",MIN(100,ROUND(SUM($G131:P131),1)))</f>
        <v/>
      </c>
      <c r="BO131" s="1" t="str">
        <f aca="false">IF(OR(NOT(AND(ISNUMBER(E131),ISNUMBER(F131))),$J$2=""),"",MIN(100,ROUND(SUM($G131:P131),1)))</f>
        <v/>
      </c>
      <c r="BP131" s="1" t="str">
        <f aca="false">IF(OR(NOT(AND(ISNUMBER(E131),ISNUMBER(F131))),$J$2=""),"",MIN(100,ROUND(SUM($G131:P131),1)))</f>
        <v/>
      </c>
      <c r="BQ131" s="1" t="str">
        <f aca="false">IF(OR(NOT(AND(ISNUMBER(E131),ISNUMBER(F131))),$J$2=""),"",MIN(100,ROUND(SUM($G131:P131),1)))</f>
        <v/>
      </c>
      <c r="BR131" s="1" t="str">
        <f aca="false">IF(OR(NOT(AND(ISNUMBER(E131),ISNUMBER(F131))),$J$2=""),"",MIN(100,ROUND(SUM($G131:P131),1)))</f>
        <v/>
      </c>
      <c r="BS131" s="1" t="str">
        <f aca="false">IF(OR(NOT(AND(ISNUMBER(E131),ISNUMBER(F131))),$J$2=""),"",MIN(100,ROUND(SUM($G131:P131),1)))</f>
        <v/>
      </c>
      <c r="BT131" s="1" t="str">
        <f aca="false">IF(OR(NOT(AND(ISNUMBER(E131),ISNUMBER(F131))),$J$2=""),"",IF(Reprogramaciones!K$13&lt;Reprogramaciones!$T$15,0,IF(Reprogramaciones!K$14&gt;10,MIN(100,SUM($G131:$P131)),MIN(100,SUMPRODUCT((COLUMN($G131:$P131)-COLUMN($G131)+1&lt;Reprogramaciones!K$14)*$G131:$P131)+N(INDEX($G131:$P131,1,Reprogramaciones!K$14))*IF(Reprogramaciones!K$13&gt;=(Reprogramaciones!$T$15+7*(Reprogramaciones!K$14-1))+6,1,IF(MAX(0,NETWORKDAYS.INTL(MAX(E131,(Reprogramaciones!$T$15+7*(Reprogramaciones!K$14-1))),MIN(F131,(Reprogramaciones!$T$15+7*(Reprogramaciones!K$14-1))+6),11))=0,0,MAX(0,NETWORKDAYS.INTL(MAX(E131,(Reprogramaciones!$T$15+7*(Reprogramaciones!K$14-1))),MIN(F131,Reprogramaciones!K$13),11))/MAX(0,NETWORKDAYS.INTL(MAX(E131,(Reprogramaciones!$T$15+7*(Reprogramaciones!K$14-1))),MIN(F131,(Reprogramaciones!$T$15+7*(Reprogramaciones!K$14-1))+6),11))))))))</f>
        <v/>
      </c>
      <c r="BU131" s="1" t="str">
        <f aca="false">IF(OR(NOT(AND(ISNUMBER(E131),ISNUMBER(F131))),$J$2=""),"",IF(Reprogramaciones!L$13&lt;Reprogramaciones!$T$15,0,IF(Reprogramaciones!L$14&gt;10,MIN(100,SUM($G131:$P131)),MIN(100,SUMPRODUCT((COLUMN($G131:$P131)-COLUMN($G131)+1&lt;Reprogramaciones!L$14)*$G131:$P131)+N(INDEX($G131:$P131,1,Reprogramaciones!L$14))*IF(Reprogramaciones!L$13&gt;=(Reprogramaciones!$T$15+7*(Reprogramaciones!L$14-1))+6,1,IF(MAX(0,NETWORKDAYS.INTL(MAX(E131,(Reprogramaciones!$T$15+7*(Reprogramaciones!L$14-1))),MIN(F131,(Reprogramaciones!$T$15+7*(Reprogramaciones!L$14-1))+6),11))=0,0,MAX(0,NETWORKDAYS.INTL(MAX(E131,(Reprogramaciones!$T$15+7*(Reprogramaciones!L$14-1))),MIN(F131,Reprogramaciones!L$13),11))/MAX(0,NETWORKDAYS.INTL(MAX(E131,(Reprogramaciones!$T$15+7*(Reprogramaciones!L$14-1))),MIN(F131,(Reprogramaciones!$T$15+7*(Reprogramaciones!L$14-1))+6),11))))))))</f>
        <v/>
      </c>
      <c r="BV131" s="1" t="str">
        <f aca="false">IF(OR(NOT(AND(ISNUMBER(E131),ISNUMBER(F131))),$J$2=""),"",IF(Reprogramaciones!M$13&lt;Reprogramaciones!$T$15,0,IF(Reprogramaciones!M$14&gt;10,MIN(100,SUM($G131:$P131)),MIN(100,SUMPRODUCT((COLUMN($G131:$P131)-COLUMN($G131)+1&lt;Reprogramaciones!M$14)*$G131:$P131)+N(INDEX($G131:$P131,1,Reprogramaciones!M$14))*IF(Reprogramaciones!M$13&gt;=(Reprogramaciones!$T$15+7*(Reprogramaciones!M$14-1))+6,1,IF(MAX(0,NETWORKDAYS.INTL(MAX(E131,(Reprogramaciones!$T$15+7*(Reprogramaciones!M$14-1))),MIN(F131,(Reprogramaciones!$T$15+7*(Reprogramaciones!M$14-1))+6),11))=0,0,MAX(0,NETWORKDAYS.INTL(MAX(E131,(Reprogramaciones!$T$15+7*(Reprogramaciones!M$14-1))),MIN(F131,Reprogramaciones!M$13),11))/MAX(0,NETWORKDAYS.INTL(MAX(E131,(Reprogramaciones!$T$15+7*(Reprogramaciones!M$14-1))),MIN(F131,(Reprogramaciones!$T$15+7*(Reprogramaciones!M$14-1))+6),11))))))))</f>
        <v/>
      </c>
      <c r="BW131" s="1" t="str">
        <f aca="false">IF(OR(NOT(AND(ISNUMBER(E131),ISNUMBER(F131))),$J$2=""),"",IF(Reprogramaciones!N$13&lt;Reprogramaciones!$T$15,0,IF(Reprogramaciones!N$14&gt;10,MIN(100,SUM($G131:$P131)),MIN(100,SUMPRODUCT((COLUMN($G131:$P131)-COLUMN($G131)+1&lt;Reprogramaciones!N$14)*$G131:$P131)+N(INDEX($G131:$P131,1,Reprogramaciones!N$14))*IF(Reprogramaciones!N$13&gt;=(Reprogramaciones!$T$15+7*(Reprogramaciones!N$14-1))+6,1,IF(MAX(0,NETWORKDAYS.INTL(MAX(E131,(Reprogramaciones!$T$15+7*(Reprogramaciones!N$14-1))),MIN(F131,(Reprogramaciones!$T$15+7*(Reprogramaciones!N$14-1))+6),11))=0,0,MAX(0,NETWORKDAYS.INTL(MAX(E131,(Reprogramaciones!$T$15+7*(Reprogramaciones!N$14-1))),MIN(F131,Reprogramaciones!N$13),11))/MAX(0,NETWORKDAYS.INTL(MAX(E131,(Reprogramaciones!$T$15+7*(Reprogramaciones!N$14-1))),MIN(F131,(Reprogramaciones!$T$15+7*(Reprogramaciones!N$14-1))+6),11))))))))</f>
        <v/>
      </c>
      <c r="BX131" s="1" t="str">
        <f aca="false">IF(OR(NOT(AND(ISNUMBER(E131),ISNUMBER(F131))),$J$2=""),"",IF(Reprogramaciones!O$13&lt;Reprogramaciones!$T$15,0,IF(Reprogramaciones!O$14&gt;10,MIN(100,SUM($G131:$P131)),MIN(100,SUMPRODUCT((COLUMN($G131:$P131)-COLUMN($G131)+1&lt;Reprogramaciones!O$14)*$G131:$P131)+N(INDEX($G131:$P131,1,Reprogramaciones!O$14))*IF(Reprogramaciones!O$13&gt;=(Reprogramaciones!$T$15+7*(Reprogramaciones!O$14-1))+6,1,IF(MAX(0,NETWORKDAYS.INTL(MAX(E131,(Reprogramaciones!$T$15+7*(Reprogramaciones!O$14-1))),MIN(F131,(Reprogramaciones!$T$15+7*(Reprogramaciones!O$14-1))+6),11))=0,0,MAX(0,NETWORKDAYS.INTL(MAX(E131,(Reprogramaciones!$T$15+7*(Reprogramaciones!O$14-1))),MIN(F131,Reprogramaciones!O$13),11))/MAX(0,NETWORKDAYS.INTL(MAX(E131,(Reprogramaciones!$T$15+7*(Reprogramaciones!O$14-1))),MIN(F131,(Reprogramaciones!$T$15+7*(Reprogramaciones!O$14-1))+6),11))))))))</f>
        <v/>
      </c>
      <c r="BY131" s="1" t="str">
        <f aca="false">IF(OR(NOT(AND(ISNUMBER(E131),ISNUMBER(F131))),$J$2=""),"",IF(Reprogramaciones!P$13&lt;Reprogramaciones!$T$15,0,IF(Reprogramaciones!P$14&gt;10,MIN(100,SUM($G131:$P131)),MIN(100,SUMPRODUCT((COLUMN($G131:$P131)-COLUMN($G131)+1&lt;Reprogramaciones!P$14)*$G131:$P131)+N(INDEX($G131:$P131,1,Reprogramaciones!P$14))*IF(Reprogramaciones!P$13&gt;=(Reprogramaciones!$T$15+7*(Reprogramaciones!P$14-1))+6,1,IF(MAX(0,NETWORKDAYS.INTL(MAX(E131,(Reprogramaciones!$T$15+7*(Reprogramaciones!P$14-1))),MIN(F131,(Reprogramaciones!$T$15+7*(Reprogramaciones!P$14-1))+6),11))=0,0,MAX(0,NETWORKDAYS.INTL(MAX(E131,(Reprogramaciones!$T$15+7*(Reprogramaciones!P$14-1))),MIN(F131,Reprogramaciones!P$13),11))/MAX(0,NETWORKDAYS.INTL(MAX(E131,(Reprogramaciones!$T$15+7*(Reprogramaciones!P$14-1))),MIN(F131,(Reprogramaciones!$T$15+7*(Reprogramaciones!P$14-1))+6),11))))))))</f>
        <v/>
      </c>
      <c r="BZ131" s="1" t="str">
        <f aca="false">IF(OR(NOT(AND(ISNUMBER(E131),ISNUMBER(F131))),$J$2=""),"",IF(Reprogramaciones!Q$13&lt;Reprogramaciones!$T$15,0,IF(Reprogramaciones!Q$14&gt;10,MIN(100,SUM($G131:$P131)),MIN(100,SUMPRODUCT((COLUMN($G131:$P131)-COLUMN($G131)+1&lt;Reprogramaciones!Q$14)*$G131:$P131)+N(INDEX($G131:$P131,1,Reprogramaciones!Q$14))*IF(Reprogramaciones!Q$13&gt;=(Reprogramaciones!$T$15+7*(Reprogramaciones!Q$14-1))+6,1,IF(MAX(0,NETWORKDAYS.INTL(MAX(E131,(Reprogramaciones!$T$15+7*(Reprogramaciones!Q$14-1))),MIN(F131,(Reprogramaciones!$T$15+7*(Reprogramaciones!Q$14-1))+6),11))=0,0,MAX(0,NETWORKDAYS.INTL(MAX(E131,(Reprogramaciones!$T$15+7*(Reprogramaciones!Q$14-1))),MIN(F131,Reprogramaciones!Q$13),11))/MAX(0,NETWORKDAYS.INTL(MAX(E131,(Reprogramaciones!$T$15+7*(Reprogramaciones!Q$14-1))),MIN(F131,(Reprogramaciones!$T$15+7*(Reprogramaciones!Q$14-1))+6),11))))))))</f>
        <v/>
      </c>
      <c r="CA131" s="1" t="str">
        <f aca="false">IF(OR(NOT(AND(ISNUMBER(E131),ISNUMBER(F131))),$J$2=""),"",IF(Reprogramaciones!R$13&lt;Reprogramaciones!$T$15,0,IF(Reprogramaciones!R$14&gt;10,MIN(100,SUM($G131:$P131)),MIN(100,SUMPRODUCT((COLUMN($G131:$P131)-COLUMN($G131)+1&lt;Reprogramaciones!R$14)*$G131:$P131)+N(INDEX($G131:$P131,1,Reprogramaciones!R$14))*IF(Reprogramaciones!R$13&gt;=(Reprogramaciones!$T$15+7*(Reprogramaciones!R$14-1))+6,1,IF(MAX(0,NETWORKDAYS.INTL(MAX(E131,(Reprogramaciones!$T$15+7*(Reprogramaciones!R$14-1))),MIN(F131,(Reprogramaciones!$T$15+7*(Reprogramaciones!R$14-1))+6),11))=0,0,MAX(0,NETWORKDAYS.INTL(MAX(E131,(Reprogramaciones!$T$15+7*(Reprogramaciones!R$14-1))),MIN(F131,Reprogramaciones!R$13),11))/MAX(0,NETWORKDAYS.INTL(MAX(E131,(Reprogramaciones!$T$15+7*(Reprogramaciones!R$14-1))),MIN(F131,(Reprogramaciones!$T$15+7*(Reprogramaciones!R$14-1))+6),11))))))))</f>
        <v/>
      </c>
      <c r="CB131" s="1" t="str">
        <f aca="false">IF(OR(NOT(AND(ISNUMBER(E131),ISNUMBER(F131))),$J$2=""),"",IF(Reprogramaciones!S$13&lt;Reprogramaciones!$T$15,0,IF(Reprogramaciones!S$14&gt;10,MIN(100,SUM($G131:$P131)),MIN(100,SUMPRODUCT((COLUMN($G131:$P131)-COLUMN($G131)+1&lt;Reprogramaciones!S$14)*$G131:$P131)+N(INDEX($G131:$P131,1,Reprogramaciones!S$14))*IF(Reprogramaciones!S$13&gt;=(Reprogramaciones!$T$15+7*(Reprogramaciones!S$14-1))+6,1,IF(MAX(0,NETWORKDAYS.INTL(MAX(E131,(Reprogramaciones!$T$15+7*(Reprogramaciones!S$14-1))),MIN(F131,(Reprogramaciones!$T$15+7*(Reprogramaciones!S$14-1))+6),11))=0,0,MAX(0,NETWORKDAYS.INTL(MAX(E131,(Reprogramaciones!$T$15+7*(Reprogramaciones!S$14-1))),MIN(F131,Reprogramaciones!S$13),11))/MAX(0,NETWORKDAYS.INTL(MAX(E131,(Reprogramaciones!$T$15+7*(Reprogramaciones!S$14-1))),MIN(F131,(Reprogramaciones!$T$15+7*(Reprogramaciones!S$14-1))+6),11))))))))</f>
        <v/>
      </c>
      <c r="CC131" s="1" t="str">
        <f aca="false">IF(OR(NOT(AND(ISNUMBER(E131),ISNUMBER(F131))),$J$2=""),"",IF(Reprogramaciones!T$13&lt;Reprogramaciones!$T$15,0,IF(Reprogramaciones!T$14&gt;10,MIN(100,SUM($G131:$P131)),MIN(100,SUMPRODUCT((COLUMN($G131:$P131)-COLUMN($G131)+1&lt;Reprogramaciones!T$14)*$G131:$P131)+N(INDEX($G131:$P131,1,Reprogramaciones!T$14))*IF(Reprogramaciones!T$13&gt;=(Reprogramaciones!$T$15+7*(Reprogramaciones!T$14-1))+6,1,IF(MAX(0,NETWORKDAYS.INTL(MAX(E131,(Reprogramaciones!$T$15+7*(Reprogramaciones!T$14-1))),MIN(F131,(Reprogramaciones!$T$15+7*(Reprogramaciones!T$14-1))+6),11))=0,0,MAX(0,NETWORKDAYS.INTL(MAX(E131,(Reprogramaciones!$T$15+7*(Reprogramaciones!T$14-1))),MIN(F131,Reprogramaciones!T$13),11))/MAX(0,NETWORKDAYS.INTL(MAX(E131,(Reprogramaciones!$T$15+7*(Reprogramaciones!T$14-1))),MIN(F131,(Reprogramaciones!$T$15+7*(Reprogramaciones!T$14-1))+6),11))))))))</f>
        <v/>
      </c>
      <c r="CD131" s="1" t="str">
        <f aca="false">IF(OR(NOT(AND(ISNUMBER(E131),ISNUMBER(F131))),$J$2=""),"",IF(Reprogramaciones!U$13&lt;Reprogramaciones!$T$15,0,IF(Reprogramaciones!U$14&gt;10,MIN(100,SUM($G131:$P131)),MIN(100,SUMPRODUCT((COLUMN($G131:$P131)-COLUMN($G131)+1&lt;Reprogramaciones!U$14)*$G131:$P131)+N(INDEX($G131:$P131,1,Reprogramaciones!U$14))*IF(Reprogramaciones!U$13&gt;=(Reprogramaciones!$T$15+7*(Reprogramaciones!U$14-1))+6,1,IF(MAX(0,NETWORKDAYS.INTL(MAX(E131,(Reprogramaciones!$T$15+7*(Reprogramaciones!U$14-1))),MIN(F131,(Reprogramaciones!$T$15+7*(Reprogramaciones!U$14-1))+6),11))=0,0,MAX(0,NETWORKDAYS.INTL(MAX(E131,(Reprogramaciones!$T$15+7*(Reprogramaciones!U$14-1))),MIN(F131,Reprogramaciones!U$13),11))/MAX(0,NETWORKDAYS.INTL(MAX(E131,(Reprogramaciones!$T$15+7*(Reprogramaciones!U$14-1))),MIN(F131,(Reprogramaciones!$T$15+7*(Reprogramaciones!U$14-1))+6),11))))))))</f>
        <v/>
      </c>
      <c r="CE131" s="1" t="str">
        <f aca="false">IF(OR(NOT(AND(ISNUMBER(E131),ISNUMBER(F131))),$J$2=""),"",IF(Reprogramaciones!V$13&lt;Reprogramaciones!$T$15,0,IF(Reprogramaciones!V$14&gt;10,MIN(100,SUM($G131:$P131)),MIN(100,SUMPRODUCT((COLUMN($G131:$P131)-COLUMN($G131)+1&lt;Reprogramaciones!V$14)*$G131:$P131)+N(INDEX($G131:$P131,1,Reprogramaciones!V$14))*IF(Reprogramaciones!V$13&gt;=(Reprogramaciones!$T$15+7*(Reprogramaciones!V$14-1))+6,1,IF(MAX(0,NETWORKDAYS.INTL(MAX(E131,(Reprogramaciones!$T$15+7*(Reprogramaciones!V$14-1))),MIN(F131,(Reprogramaciones!$T$15+7*(Reprogramaciones!V$14-1))+6),11))=0,0,MAX(0,NETWORKDAYS.INTL(MAX(E131,(Reprogramaciones!$T$15+7*(Reprogramaciones!V$14-1))),MIN(F131,Reprogramaciones!V$13),11))/MAX(0,NETWORKDAYS.INTL(MAX(E131,(Reprogramaciones!$T$15+7*(Reprogramaciones!V$14-1))),MIN(F131,(Reprogramaciones!$T$15+7*(Reprogramaciones!V$14-1))+6),11))))))))</f>
        <v/>
      </c>
      <c r="CF131" s="1" t="str">
        <f aca="false">IF(OR(NOT(AND(ISNUMBER(E131),ISNUMBER(F131))),$J$2=""),"",IF(Reprogramaciones!W$13&lt;Reprogramaciones!$T$15,0,IF(Reprogramaciones!W$14&gt;10,MIN(100,SUM($G131:$P131)),MIN(100,SUMPRODUCT((COLUMN($G131:$P131)-COLUMN($G131)+1&lt;Reprogramaciones!W$14)*$G131:$P131)+N(INDEX($G131:$P131,1,Reprogramaciones!W$14))*IF(Reprogramaciones!W$13&gt;=(Reprogramaciones!$T$15+7*(Reprogramaciones!W$14-1))+6,1,IF(MAX(0,NETWORKDAYS.INTL(MAX(E131,(Reprogramaciones!$T$15+7*(Reprogramaciones!W$14-1))),MIN(F131,(Reprogramaciones!$T$15+7*(Reprogramaciones!W$14-1))+6),11))=0,0,MAX(0,NETWORKDAYS.INTL(MAX(E131,(Reprogramaciones!$T$15+7*(Reprogramaciones!W$14-1))),MIN(F131,Reprogramaciones!W$13),11))/MAX(0,NETWORKDAYS.INTL(MAX(E131,(Reprogramaciones!$T$15+7*(Reprogramaciones!W$14-1))),MIN(F131,(Reprogramaciones!$T$15+7*(Reprogramaciones!W$14-1))+6),11))))))))</f>
        <v/>
      </c>
      <c r="CG131" s="1" t="str">
        <f aca="false">IF(OR(NOT(AND(ISNUMBER(E131),ISNUMBER(F131))),$J$2=""),"",IF(Reprogramaciones!X$13&lt;Reprogramaciones!$T$15,0,IF(Reprogramaciones!X$14&gt;10,MIN(100,SUM($G131:$P131)),MIN(100,SUMPRODUCT((COLUMN($G131:$P131)-COLUMN($G131)+1&lt;Reprogramaciones!X$14)*$G131:$P131)+N(INDEX($G131:$P131,1,Reprogramaciones!X$14))*IF(Reprogramaciones!X$13&gt;=(Reprogramaciones!$T$15+7*(Reprogramaciones!X$14-1))+6,1,IF(MAX(0,NETWORKDAYS.INTL(MAX(E131,(Reprogramaciones!$T$15+7*(Reprogramaciones!X$14-1))),MIN(F131,(Reprogramaciones!$T$15+7*(Reprogramaciones!X$14-1))+6),11))=0,0,MAX(0,NETWORKDAYS.INTL(MAX(E131,(Reprogramaciones!$T$15+7*(Reprogramaciones!X$14-1))),MIN(F131,Reprogramaciones!X$13),11))/MAX(0,NETWORKDAYS.INTL(MAX(E131,(Reprogramaciones!$T$15+7*(Reprogramaciones!X$14-1))),MIN(F131,(Reprogramaciones!$T$15+7*(Reprogramaciones!X$14-1))+6),11))))))))</f>
        <v/>
      </c>
      <c r="CH131" s="1" t="str">
        <f aca="false">IF(OR(NOT(AND(ISNUMBER(E131),ISNUMBER(F131))),$J$2=""),"",IF(Reprogramaciones!Y$13&lt;Reprogramaciones!$T$15,0,IF(Reprogramaciones!Y$14&gt;10,MIN(100,SUM($G131:$P131)),MIN(100,SUMPRODUCT((COLUMN($G131:$P131)-COLUMN($G131)+1&lt;Reprogramaciones!Y$14)*$G131:$P131)+N(INDEX($G131:$P131,1,Reprogramaciones!Y$14))*IF(Reprogramaciones!Y$13&gt;=(Reprogramaciones!$T$15+7*(Reprogramaciones!Y$14-1))+6,1,IF(MAX(0,NETWORKDAYS.INTL(MAX(E131,(Reprogramaciones!$T$15+7*(Reprogramaciones!Y$14-1))),MIN(F131,(Reprogramaciones!$T$15+7*(Reprogramaciones!Y$14-1))+6),11))=0,0,MAX(0,NETWORKDAYS.INTL(MAX(E131,(Reprogramaciones!$T$15+7*(Reprogramaciones!Y$14-1))),MIN(F131,Reprogramaciones!Y$13),11))/MAX(0,NETWORKDAYS.INTL(MAX(E131,(Reprogramaciones!$T$15+7*(Reprogramaciones!Y$14-1))),MIN(F131,(Reprogramaciones!$T$15+7*(Reprogramaciones!Y$14-1))+6),11))))))))</f>
        <v/>
      </c>
      <c r="CI131" s="1" t="str">
        <f aca="false">IF(OR(NOT(AND(ISNUMBER(E131),ISNUMBER(F131))),$J$2=""),"",IF(Reprogramaciones!Z$13&lt;Reprogramaciones!$T$15,0,IF(Reprogramaciones!Z$14&gt;10,MIN(100,SUM($G131:$P131)),MIN(100,SUMPRODUCT((COLUMN($G131:$P131)-COLUMN($G131)+1&lt;Reprogramaciones!Z$14)*$G131:$P131)+N(INDEX($G131:$P131,1,Reprogramaciones!Z$14))*IF(Reprogramaciones!Z$13&gt;=(Reprogramaciones!$T$15+7*(Reprogramaciones!Z$14-1))+6,1,IF(MAX(0,NETWORKDAYS.INTL(MAX(E131,(Reprogramaciones!$T$15+7*(Reprogramaciones!Z$14-1))),MIN(F131,(Reprogramaciones!$T$15+7*(Reprogramaciones!Z$14-1))+6),11))=0,0,MAX(0,NETWORKDAYS.INTL(MAX(E131,(Reprogramaciones!$T$15+7*(Reprogramaciones!Z$14-1))),MIN(F131,Reprogramaciones!Z$13),11))/MAX(0,NETWORKDAYS.INTL(MAX(E131,(Reprogramaciones!$T$15+7*(Reprogramaciones!Z$14-1))),MIN(F131,(Reprogramaciones!$T$15+7*(Reprogramaciones!Z$14-1))+6),11))))))))</f>
        <v/>
      </c>
      <c r="CJ131" s="1" t="str">
        <f aca="false">IF(OR(OR(NOT(AND(ISNUMBER(E131),ISNUMBER(F131))),$J$2=""),1&gt;Reprogramaciones!$K$16),"",IF(ROUND(SUM($Q131:Q131),1)&gt;=99.5,100,MIN(100,ROUND(SUM($Q131:Q131),1))))</f>
        <v/>
      </c>
      <c r="CK131" s="1" t="str">
        <f aca="false">IF(OR(OR(NOT(AND(ISNUMBER(E131),ISNUMBER(F131))),$J$2=""),2&gt;Reprogramaciones!$K$16),"",IF(ROUND(SUM($Q131:R131),1)&gt;=99.5,100,MIN(100,ROUND(SUM($Q131:R131),1))))</f>
        <v/>
      </c>
      <c r="CL131" s="1" t="str">
        <f aca="false">IF(OR(OR(NOT(AND(ISNUMBER(E131),ISNUMBER(F131))),$J$2=""),3&gt;Reprogramaciones!$K$16),"",IF(ROUND(SUM($Q131:S131),1)&gt;=99.5,100,MIN(100,ROUND(SUM($Q131:S131),1))))</f>
        <v/>
      </c>
      <c r="CM131" s="1" t="str">
        <f aca="false">IF(OR(OR(NOT(AND(ISNUMBER(E131),ISNUMBER(F131))),$J$2=""),4&gt;Reprogramaciones!$K$16),"",IF(ROUND(SUM($Q131:T131),1)&gt;=99.5,100,MIN(100,ROUND(SUM($Q131:T131),1))))</f>
        <v/>
      </c>
      <c r="CN131" s="1" t="str">
        <f aca="false">IF(OR(OR(NOT(AND(ISNUMBER(E131),ISNUMBER(F131))),$J$2=""),5&gt;Reprogramaciones!$K$16),"",IF(ROUND(SUM($Q131:U131),1)&gt;=99.5,100,MIN(100,ROUND(SUM($Q131:U131),1))))</f>
        <v/>
      </c>
      <c r="CO131" s="1" t="str">
        <f aca="false">IF(OR(OR(NOT(AND(ISNUMBER(E131),ISNUMBER(F131))),$J$2=""),6&gt;Reprogramaciones!$K$16),"",IF(ROUND(SUM($Q131:V131),1)&gt;=99.5,100,MIN(100,ROUND(SUM($Q131:V131),1))))</f>
        <v/>
      </c>
      <c r="CP131" s="1" t="str">
        <f aca="false">IF(OR(OR(NOT(AND(ISNUMBER(E131),ISNUMBER(F131))),$J$2=""),7&gt;Reprogramaciones!$K$16),"",IF(ROUND(SUM($Q131:W131),1)&gt;=99.5,100,MIN(100,ROUND(SUM($Q131:W131),1))))</f>
        <v/>
      </c>
      <c r="CQ131" s="1" t="str">
        <f aca="false">IF(OR(OR(NOT(AND(ISNUMBER(E131),ISNUMBER(F131))),$J$2=""),8&gt;Reprogramaciones!$K$16),"",IF(ROUND(SUM($Q131:X131),1)&gt;=99.5,100,MIN(100,ROUND(SUM($Q131:X131),1))))</f>
        <v/>
      </c>
      <c r="CR131" s="1" t="str">
        <f aca="false">IF(OR(OR(NOT(AND(ISNUMBER(E131),ISNUMBER(F131))),$J$2=""),9&gt;Reprogramaciones!$K$16),"",IF(ROUND(SUM($Q131:Y131),1)&gt;=99.5,100,MIN(100,ROUND(SUM($Q131:Y131),1))))</f>
        <v/>
      </c>
      <c r="CS131" s="1" t="str">
        <f aca="false">IF(OR(OR(NOT(AND(ISNUMBER(E131),ISNUMBER(F131))),$J$2=""),10&gt;Reprogramaciones!$K$16),"",IF(ROUND(SUM($Q131:Z131),1)&gt;=99.5,100,MIN(100,ROUND(SUM($Q131:Z131),1))))</f>
        <v/>
      </c>
      <c r="CT131" s="1" t="str">
        <f aca="false">IF(OR(OR(NOT(AND(ISNUMBER(E131),ISNUMBER(F131))),$J$2=""),11&gt;Reprogramaciones!$K$16),"",IF(ROUND(SUM($Q131:AA131),1)&gt;=99.5,100,MIN(100,ROUND(SUM($Q131:AA131),1))))</f>
        <v/>
      </c>
      <c r="CU131" s="1" t="str">
        <f aca="false">IF(OR(OR(NOT(AND(ISNUMBER(E131),ISNUMBER(F131))),$J$2=""),12&gt;Reprogramaciones!$K$16),"",IF(ROUND(SUM($Q131:AB131),1)&gt;=99.5,100,MIN(100,ROUND(SUM($Q131:AB131),1))))</f>
        <v/>
      </c>
      <c r="CV131" s="1" t="str">
        <f aca="false">IF(OR(OR(NOT(AND(ISNUMBER(E131),ISNUMBER(F131))),$J$2=""),13&gt;Reprogramaciones!$K$16),"",IF(ROUND(SUM($Q131:AC131),1)&gt;=99.5,100,MIN(100,ROUND(SUM($Q131:AC131),1))))</f>
        <v/>
      </c>
      <c r="CW131" s="1" t="str">
        <f aca="false">IF(OR(OR(NOT(AND(ISNUMBER(E131),ISNUMBER(F131))),$J$2=""),14&gt;Reprogramaciones!$K$16),"",IF(ROUND(SUM($Q131:AD131),1)&gt;=99.5,100,MIN(100,ROUND(SUM($Q131:AD131),1))))</f>
        <v/>
      </c>
      <c r="CX131" s="1" t="str">
        <f aca="false">IF(OR(OR(NOT(AND(ISNUMBER(E131),ISNUMBER(F131))),$J$2=""),15&gt;Reprogramaciones!$K$16),"",IF(ROUND(SUM($Q131:AE131),1)&gt;=99.5,100,MIN(100,ROUND(SUM($Q131:AE131),1))))</f>
        <v/>
      </c>
      <c r="CY131" s="1" t="str">
        <f aca="false">IF(OR(OR(NOT(AND(ISNUMBER(E131),ISNUMBER(F131))),$J$2=""),16&gt;Reprogramaciones!$K$16),"",IF(ROUND(SUM($Q131:AF131),1)&gt;=99.5,100,MIN(100,ROUND(SUM($Q131:AF131),1))))</f>
        <v/>
      </c>
      <c r="CZ131" s="1" t="str">
        <f aca="false">IF(D131&lt;&gt;"",D131,IF(B131&lt;&gt;"","Contractual",CZ130))</f>
        <v>Contractual</v>
      </c>
      <c r="DA131" s="1" t="str">
        <f aca="false">IF(OR(NOT(AND(ISNUMBER(E131),ISNUMBER(F131))),$J$2=""),"",IF(Reprogramaciones!$Q$15&lt;Reprogramaciones!$T$15,0,IF(Reprogramaciones!$S$15&gt;10,MIN(100,SUM($G131:$P131)),MIN(100,SUMPRODUCT((COLUMN($G131:$P131)-COLUMN($G131)+1&lt;Reprogramaciones!$S$15)*$G131:$P131)+N(INDEX($G131:$P131,1,Reprogramaciones!$S$15))*IF(Reprogramaciones!$Q$15&gt;=(Reprogramaciones!$T$15+7*(Reprogramaciones!$S$15-1))+6,1,IF(MAX(0,NETWORKDAYS.INTL(MAX(E131,(Reprogramaciones!$T$15+7*(Reprogramaciones!$S$15-1))),MIN(F131,(Reprogramaciones!$T$15+7*(Reprogramaciones!$S$15-1))+6),11))=0,0,MAX(0,NETWORKDAYS.INTL(MAX(E131,(Reprogramaciones!$T$15+7*(Reprogramaciones!$S$15-1))),MIN(F131,Reprogramaciones!$Q$15),11))/MAX(0,NETWORKDAYS.INTL(MAX(E131,(Reprogramaciones!$T$15+7*(Reprogramaciones!$S$15-1))),MIN(F131,(Reprogramaciones!$T$15+7*(Reprogramaciones!$S$15-1))+6),11))))))))</f>
        <v/>
      </c>
    </row>
    <row r="132" customFormat="false" ht="15" hidden="false" customHeight="false" outlineLevel="0" collapsed="false">
      <c r="A132" s="32"/>
      <c r="B132" s="33"/>
      <c r="C132" s="33"/>
      <c r="D132" s="34"/>
      <c r="E132" s="35"/>
      <c r="F132" s="35"/>
      <c r="G132" s="36" t="str">
        <f aca="false">IF(OR(NOT(AND(ISNUMBER(E132),ISNUMBER(F132))),$J$2=""),"",IF(Reprogramaciones!K$9&lt;E132,0,IF(NETWORKDAYS.INTL(E132,F132,11)=0,IF(Reprogramaciones!K$9&gt;=F132,100,0),ROUND(NETWORKDAYS.INTL(E132,MIN(F132,Reprogramaciones!K$9),11)/NETWORKDAYS.INTL(E132,F132,11)*100,1)))-0)</f>
        <v/>
      </c>
      <c r="H132" s="36" t="str">
        <f aca="false">IF(OR(NOT(AND(ISNUMBER(E132),ISNUMBER(F132))),$J$2=""),"",IF(Reprogramaciones!L$9&lt;E132,0,IF(NETWORKDAYS.INTL(E132,F132,11)=0,IF(Reprogramaciones!L$9&gt;=F132,100,0),ROUND(NETWORKDAYS.INTL(E132,MIN(F132,Reprogramaciones!L$9),11)/NETWORKDAYS.INTL(E132,F132,11)*100,1)))-IF(Reprogramaciones!K$9&lt;E132,0,IF(NETWORKDAYS.INTL(E132,F132,11)=0,IF(Reprogramaciones!K$9&gt;=F132,100,0),ROUND(NETWORKDAYS.INTL(E132,MIN(F132,Reprogramaciones!K$9),11)/NETWORKDAYS.INTL(E132,F132,11)*100,1))))</f>
        <v/>
      </c>
      <c r="I132" s="36" t="str">
        <f aca="false">IF(OR(NOT(AND(ISNUMBER(E132),ISNUMBER(F132))),$J$2=""),"",IF(Reprogramaciones!M$9&lt;E132,0,IF(NETWORKDAYS.INTL(E132,F132,11)=0,IF(Reprogramaciones!M$9&gt;=F132,100,0),ROUND(NETWORKDAYS.INTL(E132,MIN(F132,Reprogramaciones!M$9),11)/NETWORKDAYS.INTL(E132,F132,11)*100,1)))-IF(Reprogramaciones!L$9&lt;E132,0,IF(NETWORKDAYS.INTL(E132,F132,11)=0,IF(Reprogramaciones!L$9&gt;=F132,100,0),ROUND(NETWORKDAYS.INTL(E132,MIN(F132,Reprogramaciones!L$9),11)/NETWORKDAYS.INTL(E132,F132,11)*100,1))))</f>
        <v/>
      </c>
      <c r="J132" s="36" t="str">
        <f aca="false">IF(OR(NOT(AND(ISNUMBER(E132),ISNUMBER(F132))),$J$2=""),"",IF(Reprogramaciones!N$9&lt;E132,0,IF(NETWORKDAYS.INTL(E132,F132,11)=0,IF(Reprogramaciones!N$9&gt;=F132,100,0),ROUND(NETWORKDAYS.INTL(E132,MIN(F132,Reprogramaciones!N$9),11)/NETWORKDAYS.INTL(E132,F132,11)*100,1)))-IF(Reprogramaciones!M$9&lt;E132,0,IF(NETWORKDAYS.INTL(E132,F132,11)=0,IF(Reprogramaciones!M$9&gt;=F132,100,0),ROUND(NETWORKDAYS.INTL(E132,MIN(F132,Reprogramaciones!M$9),11)/NETWORKDAYS.INTL(E132,F132,11)*100,1))))</f>
        <v/>
      </c>
      <c r="K132" s="36" t="str">
        <f aca="false">IF(OR(NOT(AND(ISNUMBER(E132),ISNUMBER(F132))),$J$2=""),"",IF(Reprogramaciones!O$9&lt;E132,0,IF(NETWORKDAYS.INTL(E132,F132,11)=0,IF(Reprogramaciones!O$9&gt;=F132,100,0),ROUND(NETWORKDAYS.INTL(E132,MIN(F132,Reprogramaciones!O$9),11)/NETWORKDAYS.INTL(E132,F132,11)*100,1)))-IF(Reprogramaciones!N$9&lt;E132,0,IF(NETWORKDAYS.INTL(E132,F132,11)=0,IF(Reprogramaciones!N$9&gt;=F132,100,0),ROUND(NETWORKDAYS.INTL(E132,MIN(F132,Reprogramaciones!N$9),11)/NETWORKDAYS.INTL(E132,F132,11)*100,1))))</f>
        <v/>
      </c>
      <c r="L132" s="36" t="str">
        <f aca="false">IF(OR(NOT(AND(ISNUMBER(E132),ISNUMBER(F132))),$J$2=""),"",IF(Reprogramaciones!P$9&lt;E132,0,IF(NETWORKDAYS.INTL(E132,F132,11)=0,IF(Reprogramaciones!P$9&gt;=F132,100,0),ROUND(NETWORKDAYS.INTL(E132,MIN(F132,Reprogramaciones!P$9),11)/NETWORKDAYS.INTL(E132,F132,11)*100,1)))-IF(Reprogramaciones!O$9&lt;E132,0,IF(NETWORKDAYS.INTL(E132,F132,11)=0,IF(Reprogramaciones!O$9&gt;=F132,100,0),ROUND(NETWORKDAYS.INTL(E132,MIN(F132,Reprogramaciones!O$9),11)/NETWORKDAYS.INTL(E132,F132,11)*100,1))))</f>
        <v/>
      </c>
      <c r="M132" s="36" t="str">
        <f aca="false">IF(OR(NOT(AND(ISNUMBER(E132),ISNUMBER(F132))),$J$2=""),"",IF(Reprogramaciones!Q$9&lt;E132,0,IF(NETWORKDAYS.INTL(E132,F132,11)=0,IF(Reprogramaciones!Q$9&gt;=F132,100,0),ROUND(NETWORKDAYS.INTL(E132,MIN(F132,Reprogramaciones!Q$9),11)/NETWORKDAYS.INTL(E132,F132,11)*100,1)))-IF(Reprogramaciones!P$9&lt;E132,0,IF(NETWORKDAYS.INTL(E132,F132,11)=0,IF(Reprogramaciones!P$9&gt;=F132,100,0),ROUND(NETWORKDAYS.INTL(E132,MIN(F132,Reprogramaciones!P$9),11)/NETWORKDAYS.INTL(E132,F132,11)*100,1))))</f>
        <v/>
      </c>
      <c r="N132" s="36" t="str">
        <f aca="false">IF(OR(NOT(AND(ISNUMBER(E132),ISNUMBER(F132))),$J$2=""),"",IF(Reprogramaciones!R$9&lt;E132,0,IF(NETWORKDAYS.INTL(E132,F132,11)=0,IF(Reprogramaciones!R$9&gt;=F132,100,0),ROUND(NETWORKDAYS.INTL(E132,MIN(F132,Reprogramaciones!R$9),11)/NETWORKDAYS.INTL(E132,F132,11)*100,1)))-IF(Reprogramaciones!Q$9&lt;E132,0,IF(NETWORKDAYS.INTL(E132,F132,11)=0,IF(Reprogramaciones!Q$9&gt;=F132,100,0),ROUND(NETWORKDAYS.INTL(E132,MIN(F132,Reprogramaciones!Q$9),11)/NETWORKDAYS.INTL(E132,F132,11)*100,1))))</f>
        <v/>
      </c>
      <c r="O132" s="36" t="str">
        <f aca="false">IF(OR(NOT(AND(ISNUMBER(E132),ISNUMBER(F132))),$J$2=""),"",IF(Reprogramaciones!S$9&lt;E132,0,IF(NETWORKDAYS.INTL(E132,F132,11)=0,IF(Reprogramaciones!S$9&gt;=F132,100,0),ROUND(NETWORKDAYS.INTL(E132,MIN(F132,Reprogramaciones!S$9),11)/NETWORKDAYS.INTL(E132,F132,11)*100,1)))-IF(Reprogramaciones!R$9&lt;E132,0,IF(NETWORKDAYS.INTL(E132,F132,11)=0,IF(Reprogramaciones!R$9&gt;=F132,100,0),ROUND(NETWORKDAYS.INTL(E132,MIN(F132,Reprogramaciones!R$9),11)/NETWORKDAYS.INTL(E132,F132,11)*100,1))))</f>
        <v/>
      </c>
      <c r="P132" s="36" t="str">
        <f aca="false">IF(OR(NOT(AND(ISNUMBER(E132),ISNUMBER(F132))),$J$2=""),"",IF(Reprogramaciones!T$9&lt;E132,0,IF(NETWORKDAYS.INTL(E132,F132,11)=0,IF(Reprogramaciones!T$9&gt;=F132,100,0),ROUND(NETWORKDAYS.INTL(E132,MIN(F132,Reprogramaciones!T$9),11)/NETWORKDAYS.INTL(E132,F132,11)*100,1)))-IF(Reprogramaciones!S$9&lt;E132,0,IF(NETWORKDAYS.INTL(E132,F132,11)=0,IF(Reprogramaciones!S$9&gt;=F132,100,0),ROUND(NETWORKDAYS.INTL(E132,MIN(F132,Reprogramaciones!S$9),11)/NETWORKDAYS.INTL(E132,F132,11)*100,1))))</f>
        <v/>
      </c>
      <c r="Q132" s="37"/>
      <c r="R132" s="37"/>
      <c r="S132" s="37"/>
      <c r="T132" s="37"/>
      <c r="U132" s="37"/>
      <c r="V132" s="37"/>
      <c r="W132" s="37"/>
      <c r="X132" s="37"/>
      <c r="Y132" s="37"/>
      <c r="Z132" s="37"/>
      <c r="AA132" s="37"/>
      <c r="AB132" s="37"/>
      <c r="AC132" s="37"/>
      <c r="AD132" s="37"/>
      <c r="AE132" s="37"/>
      <c r="AF132" s="37"/>
      <c r="AG132" s="38" t="str">
        <f aca="false">IF(AND(ISNUMBER(E132),ISNUMBER(F132)),NETWORKDAYS.INTL(E132,F132,11),"")</f>
        <v/>
      </c>
      <c r="AH132" s="38" t="str">
        <f aca="false">IF(OR(NOT(AND(ISNUMBER(E132),ISNUMBER(F132))),$J$2=""),"",IF(Reprogramaciones!$P$15&lt;Reprogramaciones!$T$15,0,IF(Reprogramaciones!$R$15&gt;10,MIN(100,SUM($G132:$P132)),MIN(100,SUMPRODUCT((COLUMN($G132:$P132)-COLUMN($G132)+1&lt;Reprogramaciones!$R$15)*$G132:$P132)+N(INDEX($G132:$P132,1,Reprogramaciones!$R$15))*IF(Reprogramaciones!$P$15&gt;=(Reprogramaciones!$T$15+7*(Reprogramaciones!$R$15-1))+6,1,IF(MAX(0,NETWORKDAYS.INTL(MAX(E132,(Reprogramaciones!$T$15+7*(Reprogramaciones!$R$15-1))),MIN(F132,(Reprogramaciones!$T$15+7*(Reprogramaciones!$R$15-1))+6),11))=0,0,MAX(0,NETWORKDAYS.INTL(MAX(E132,(Reprogramaciones!$T$15+7*(Reprogramaciones!$R$15-1))),MIN(F132,Reprogramaciones!$P$15),11))/MAX(0,NETWORKDAYS.INTL(MAX(E132,(Reprogramaciones!$T$15+7*(Reprogramaciones!$R$15-1))),MIN(F132,(Reprogramaciones!$T$15+7*(Reprogramaciones!$R$15-1))+6),11))))))))</f>
        <v/>
      </c>
      <c r="AI132" s="38" t="str">
        <f aca="false">IF(COUNT($Q132:$AF132)=0,"",IF(ROUND(SUM($Q132:$AF132),1)&gt;=99.5,100,MIN(100,ROUND(SUM($Q132:$AF132),1))))</f>
        <v/>
      </c>
      <c r="AJ132" s="38" t="str">
        <f aca="false">IF(OR(AH132="",AI132=""),"",AI132-AH132)</f>
        <v/>
      </c>
      <c r="AK132" s="39" t="str">
        <f aca="true">IF(AH132="","",IF(OR(Ficha!$C$10="Suspendida",Ficha!$C$10="Cancelada"),Ficha!$C$10,IF(AND(AI132&lt;&gt;"",N(AI132)&gt;=100),"Completada",IF(AND(E132&gt;TODAY(),N(AI132)=0),"Por iniciar",IF(N(AI132)+0.5&lt;AH132,"Retrasada",IF(N(AI132)+0.5&lt;DA132,IF(Reprogramaciones!$K$15&gt;0,"Al día · Sem "&amp;Reprogramaciones!$K$15&amp;" en curso","Al día · en curso"),"A tiempo"))))))</f>
        <v/>
      </c>
      <c r="AL132" s="39" t="str">
        <f aca="true">IF(AND(A132="",AND(B132="",C132="",E132="",F132="",COUNT(Q132:AF132)=0)),"",IF(AND(B132="",C132="",E132="",F132="",COUNT(Q132:AF132)=0),"Falta la partida o subpartida",IF(AND(A132&lt;&gt;"",COUNTIF($A$6:$A$305,A132)&gt;1),"Ítem repetido",IF(AND(C132="",E132="",F132="",COUNT(Q132:AF132)=0),"Título de partida",IF(OR(E132="",F132=""),"Faltan fechas",IF(OR(ISTEXT(E132),ISTEXT(F132)),"Fecha escrita como texto: usa dd/mm/aaaa",IF(F132&lt;E132,"Fin antes del inicio",IF(IF($J$2="",FALSE(),OR(E132&lt;$J$2,F132&gt;Reprogramaciones!$T$15+69)),"Fuera de las 10 semanas",IF(ABS(SUM(G132:P132)-100)&gt;0.5,"La meta no suma 100%",IF(ROUND(SUM(Q132:AF132),1)&gt;100.5,"El avance pasa de 100%",IF(MIN(Q132:AF132)&lt;0,"Avance negativo",IF(COUNTA(Q132:AF132)&gt;COUNT(Q132:AF132),"Avance escrito como texto",IF(SUMPRODUCT((Q132:AF132&gt;0)*(Q132:AF132&lt;1))&gt;0,"Avance menor a 1: escribe 50, no 50%",IF(SUMPRODUCT(ISNUMBER(Q132:AF132)*(Reprogramaciones!$K$8:$Z$8&gt;TODAY()))&gt;0,"Avance en semana que aún no llega",IF(AND(N(Reprogramaciones!$E$21)&gt;0,F132&gt;Reprogramaciones!$E$21),"Pasa el fin de la obra: registra una reprogramación",IF(AND(N(Reprogramaciones!$E$21)&gt;0,SUMPRODUCT(ISNUMBER(Q132:AF132)*(Reprogramaciones!$K$8:$Z$8&gt;Reprogramaciones!$E$21))&gt;0),"Avance después del fin de la obra: registra una reprogramación por atraso","OK"))))))))))))))))</f>
        <v/>
      </c>
      <c r="AM132" s="40" t="str">
        <f aca="false">IF(OR(OR(NOT(AND(ISNUMBER(E132),ISNUMBER(F132))),$J$2=""),1&gt;MAX(1,Reprogramaciones!$U$15)),"",IF(Reprogramaciones!K$12&gt;=7,"",IF(OR(BT132-N(0)&gt;0.05,N(Q132)&gt;0),ROUNDDOWN(ROUND(BT132,6),0)&amp;"%"&amp;IF(CJ132="",""," / "&amp;CJ132&amp;"%"),IF(AND(N(0)&gt;=99.95,CJ132&lt;&gt;"",N(CJ132)&lt;100),"Pend. "&amp;CJ132&amp;"%",""))))</f>
        <v/>
      </c>
      <c r="AN132" s="40" t="str">
        <f aca="false">IF(OR(OR(NOT(AND(ISNUMBER(E132),ISNUMBER(F132))),$J$2=""),2&gt;MAX(1,Reprogramaciones!$U$15)),"",IF(Reprogramaciones!L$12&gt;=7,"",IF(OR(BU132-N(BT132)&gt;0.05,N(R132)&gt;0),ROUNDDOWN(ROUND(BU132,6),0)&amp;"%"&amp;IF(CK132="",""," / "&amp;CK132&amp;"%"),IF(AND(N(BT132)&gt;=99.95,CK132&lt;&gt;"",N(CK132)&lt;100),"Pend. "&amp;CK132&amp;"%",""))))</f>
        <v/>
      </c>
      <c r="AO132" s="40" t="str">
        <f aca="false">IF(OR(OR(NOT(AND(ISNUMBER(E132),ISNUMBER(F132))),$J$2=""),3&gt;MAX(1,Reprogramaciones!$U$15)),"",IF(Reprogramaciones!M$12&gt;=7,"",IF(OR(BV132-N(BU132)&gt;0.05,N(S132)&gt;0),ROUNDDOWN(ROUND(BV132,6),0)&amp;"%"&amp;IF(CL132="",""," / "&amp;CL132&amp;"%"),IF(AND(N(BU132)&gt;=99.95,CL132&lt;&gt;"",N(CL132)&lt;100),"Pend. "&amp;CL132&amp;"%",""))))</f>
        <v/>
      </c>
      <c r="AP132" s="40" t="str">
        <f aca="false">IF(OR(OR(NOT(AND(ISNUMBER(E132),ISNUMBER(F132))),$J$2=""),4&gt;MAX(1,Reprogramaciones!$U$15)),"",IF(Reprogramaciones!N$12&gt;=7,"",IF(OR(BW132-N(BV132)&gt;0.05,N(T132)&gt;0),ROUNDDOWN(ROUND(BW132,6),0)&amp;"%"&amp;IF(CM132="",""," / "&amp;CM132&amp;"%"),IF(AND(N(BV132)&gt;=99.95,CM132&lt;&gt;"",N(CM132)&lt;100),"Pend. "&amp;CM132&amp;"%",""))))</f>
        <v/>
      </c>
      <c r="AQ132" s="40" t="str">
        <f aca="false">IF(OR(OR(NOT(AND(ISNUMBER(E132),ISNUMBER(F132))),$J$2=""),5&gt;MAX(1,Reprogramaciones!$U$15)),"",IF(Reprogramaciones!O$12&gt;=7,"",IF(OR(BX132-N(BW132)&gt;0.05,N(U132)&gt;0),ROUNDDOWN(ROUND(BX132,6),0)&amp;"%"&amp;IF(CN132="",""," / "&amp;CN132&amp;"%"),IF(AND(N(BW132)&gt;=99.95,CN132&lt;&gt;"",N(CN132)&lt;100),"Pend. "&amp;CN132&amp;"%",""))))</f>
        <v/>
      </c>
      <c r="AR132" s="40" t="str">
        <f aca="false">IF(OR(OR(NOT(AND(ISNUMBER(E132),ISNUMBER(F132))),$J$2=""),6&gt;MAX(1,Reprogramaciones!$U$15)),"",IF(Reprogramaciones!P$12&gt;=7,"",IF(OR(BY132-N(BX132)&gt;0.05,N(V132)&gt;0),ROUNDDOWN(ROUND(BY132,6),0)&amp;"%"&amp;IF(CO132="",""," / "&amp;CO132&amp;"%"),IF(AND(N(BX132)&gt;=99.95,CO132&lt;&gt;"",N(CO132)&lt;100),"Pend. "&amp;CO132&amp;"%",""))))</f>
        <v/>
      </c>
      <c r="AS132" s="40" t="str">
        <f aca="false">IF(OR(OR(NOT(AND(ISNUMBER(E132),ISNUMBER(F132))),$J$2=""),7&gt;MAX(1,Reprogramaciones!$U$15)),"",IF(Reprogramaciones!Q$12&gt;=7,"",IF(OR(BZ132-N(BY132)&gt;0.05,N(W132)&gt;0),ROUNDDOWN(ROUND(BZ132,6),0)&amp;"%"&amp;IF(CP132="",""," / "&amp;CP132&amp;"%"),IF(AND(N(BY132)&gt;=99.95,CP132&lt;&gt;"",N(CP132)&lt;100),"Pend. "&amp;CP132&amp;"%",""))))</f>
        <v/>
      </c>
      <c r="AT132" s="40" t="str">
        <f aca="false">IF(OR(OR(NOT(AND(ISNUMBER(E132),ISNUMBER(F132))),$J$2=""),8&gt;MAX(1,Reprogramaciones!$U$15)),"",IF(Reprogramaciones!R$12&gt;=7,"",IF(OR(CA132-N(BZ132)&gt;0.05,N(X132)&gt;0),ROUNDDOWN(ROUND(CA132,6),0)&amp;"%"&amp;IF(CQ132="",""," / "&amp;CQ132&amp;"%"),IF(AND(N(BZ132)&gt;=99.95,CQ132&lt;&gt;"",N(CQ132)&lt;100),"Pend. "&amp;CQ132&amp;"%",""))))</f>
        <v/>
      </c>
      <c r="AU132" s="40" t="str">
        <f aca="false">IF(OR(OR(NOT(AND(ISNUMBER(E132),ISNUMBER(F132))),$J$2=""),9&gt;MAX(1,Reprogramaciones!$U$15)),"",IF(Reprogramaciones!S$12&gt;=7,"",IF(OR(CB132-N(CA132)&gt;0.05,N(Y132)&gt;0),ROUNDDOWN(ROUND(CB132,6),0)&amp;"%"&amp;IF(CR132="",""," / "&amp;CR132&amp;"%"),IF(AND(N(CA132)&gt;=99.95,CR132&lt;&gt;"",N(CR132)&lt;100),"Pend. "&amp;CR132&amp;"%",""))))</f>
        <v/>
      </c>
      <c r="AV132" s="40" t="str">
        <f aca="false">IF(OR(OR(NOT(AND(ISNUMBER(E132),ISNUMBER(F132))),$J$2=""),10&gt;MAX(1,Reprogramaciones!$U$15)),"",IF(Reprogramaciones!T$12&gt;=7,"",IF(OR(CC132-N(CB132)&gt;0.05,N(Z132)&gt;0),ROUNDDOWN(ROUND(CC132,6),0)&amp;"%"&amp;IF(CS132="",""," / "&amp;CS132&amp;"%"),IF(AND(N(CB132)&gt;=99.95,CS132&lt;&gt;"",N(CS132)&lt;100),"Pend. "&amp;CS132&amp;"%",""))))</f>
        <v/>
      </c>
      <c r="AW132" s="40" t="str">
        <f aca="false">IF(OR(OR(NOT(AND(ISNUMBER(E132),ISNUMBER(F132))),$J$2=""),11&gt;MAX(1,Reprogramaciones!$U$15)),"",IF(Reprogramaciones!U$12&gt;=7,"",IF(OR(CD132-N(CC132)&gt;0.05,N(AA132)&gt;0),ROUNDDOWN(ROUND(CD132,6),0)&amp;"%"&amp;IF(CT132="",""," / "&amp;CT132&amp;"%"),IF(AND(N(CC132)&gt;=99.95,CT132&lt;&gt;"",N(CT132)&lt;100),"Pend. "&amp;CT132&amp;"%",""))))</f>
        <v/>
      </c>
      <c r="AX132" s="40" t="str">
        <f aca="false">IF(OR(OR(NOT(AND(ISNUMBER(E132),ISNUMBER(F132))),$J$2=""),12&gt;MAX(1,Reprogramaciones!$U$15)),"",IF(Reprogramaciones!V$12&gt;=7,"",IF(OR(CE132-N(CD132)&gt;0.05,N(AB132)&gt;0),ROUNDDOWN(ROUND(CE132,6),0)&amp;"%"&amp;IF(CU132="",""," / "&amp;CU132&amp;"%"),IF(AND(N(CD132)&gt;=99.95,CU132&lt;&gt;"",N(CU132)&lt;100),"Pend. "&amp;CU132&amp;"%",""))))</f>
        <v/>
      </c>
      <c r="AY132" s="40" t="str">
        <f aca="false">IF(OR(OR(NOT(AND(ISNUMBER(E132),ISNUMBER(F132))),$J$2=""),13&gt;MAX(1,Reprogramaciones!$U$15)),"",IF(Reprogramaciones!W$12&gt;=7,"",IF(OR(CF132-N(CE132)&gt;0.05,N(AC132)&gt;0),ROUNDDOWN(ROUND(CF132,6),0)&amp;"%"&amp;IF(CV132="",""," / "&amp;CV132&amp;"%"),IF(AND(N(CE132)&gt;=99.95,CV132&lt;&gt;"",N(CV132)&lt;100),"Pend. "&amp;CV132&amp;"%",""))))</f>
        <v/>
      </c>
      <c r="AZ132" s="40" t="str">
        <f aca="false">IF(OR(OR(NOT(AND(ISNUMBER(E132),ISNUMBER(F132))),$J$2=""),14&gt;MAX(1,Reprogramaciones!$U$15)),"",IF(Reprogramaciones!X$12&gt;=7,"",IF(OR(CG132-N(CF132)&gt;0.05,N(AD132)&gt;0),ROUNDDOWN(ROUND(CG132,6),0)&amp;"%"&amp;IF(CW132="",""," / "&amp;CW132&amp;"%"),IF(AND(N(CF132)&gt;=99.95,CW132&lt;&gt;"",N(CW132)&lt;100),"Pend. "&amp;CW132&amp;"%",""))))</f>
        <v/>
      </c>
      <c r="BA132" s="40" t="str">
        <f aca="false">IF(OR(OR(NOT(AND(ISNUMBER(E132),ISNUMBER(F132))),$J$2=""),15&gt;MAX(1,Reprogramaciones!$U$15)),"",IF(Reprogramaciones!Y$12&gt;=7,"",IF(OR(CH132-N(CG132)&gt;0.05,N(AE132)&gt;0),ROUNDDOWN(ROUND(CH132,6),0)&amp;"%"&amp;IF(CX132="",""," / "&amp;CX132&amp;"%"),IF(AND(N(CG132)&gt;=99.95,CX132&lt;&gt;"",N(CX132)&lt;100),"Pend. "&amp;CX132&amp;"%",""))))</f>
        <v/>
      </c>
      <c r="BB132" s="40" t="str">
        <f aca="false">IF(OR(OR(NOT(AND(ISNUMBER(E132),ISNUMBER(F132))),$J$2=""),16&gt;MAX(1,Reprogramaciones!$U$15)),"",IF(Reprogramaciones!Z$12&gt;=7,"",IF(OR(CI132-N(CH132)&gt;0.05,N(AF132)&gt;0),ROUNDDOWN(ROUND(CI132,6),0)&amp;"%"&amp;IF(CY132="",""," / "&amp;CY132&amp;"%"),IF(AND(N(CH132)&gt;=99.95,CY132&lt;&gt;"",N(CY132)&lt;100),"Pend. "&amp;CY132&amp;"%",""))))</f>
        <v/>
      </c>
      <c r="BC132" s="31" t="n">
        <f aca="false">IF(AND(ISNUMBER(E132),ISNUMBER(F132)),MAX(1,NETWORKDAYS.INTL(E132,F132,11)),0)</f>
        <v>0</v>
      </c>
      <c r="BD132" s="1" t="str">
        <f aca="false">IF(OR(NOT(AND(ISNUMBER(E132),ISNUMBER(F132))),$J$2=""),"",MIN(100,ROUND(SUM($G132:G132),1)))</f>
        <v/>
      </c>
      <c r="BE132" s="1" t="str">
        <f aca="false">IF(OR(NOT(AND(ISNUMBER(E132),ISNUMBER(F132))),$J$2=""),"",MIN(100,ROUND(SUM($G132:H132),1)))</f>
        <v/>
      </c>
      <c r="BF132" s="1" t="str">
        <f aca="false">IF(OR(NOT(AND(ISNUMBER(E132),ISNUMBER(F132))),$J$2=""),"",MIN(100,ROUND(SUM($G132:I132),1)))</f>
        <v/>
      </c>
      <c r="BG132" s="1" t="str">
        <f aca="false">IF(OR(NOT(AND(ISNUMBER(E132),ISNUMBER(F132))),$J$2=""),"",MIN(100,ROUND(SUM($G132:J132),1)))</f>
        <v/>
      </c>
      <c r="BH132" s="1" t="str">
        <f aca="false">IF(OR(NOT(AND(ISNUMBER(E132),ISNUMBER(F132))),$J$2=""),"",MIN(100,ROUND(SUM($G132:K132),1)))</f>
        <v/>
      </c>
      <c r="BI132" s="1" t="str">
        <f aca="false">IF(OR(NOT(AND(ISNUMBER(E132),ISNUMBER(F132))),$J$2=""),"",MIN(100,ROUND(SUM($G132:L132),1)))</f>
        <v/>
      </c>
      <c r="BJ132" s="1" t="str">
        <f aca="false">IF(OR(NOT(AND(ISNUMBER(E132),ISNUMBER(F132))),$J$2=""),"",MIN(100,ROUND(SUM($G132:M132),1)))</f>
        <v/>
      </c>
      <c r="BK132" s="1" t="str">
        <f aca="false">IF(OR(NOT(AND(ISNUMBER(E132),ISNUMBER(F132))),$J$2=""),"",MIN(100,ROUND(SUM($G132:N132),1)))</f>
        <v/>
      </c>
      <c r="BL132" s="1" t="str">
        <f aca="false">IF(OR(NOT(AND(ISNUMBER(E132),ISNUMBER(F132))),$J$2=""),"",MIN(100,ROUND(SUM($G132:O132),1)))</f>
        <v/>
      </c>
      <c r="BM132" s="1" t="str">
        <f aca="false">IF(OR(NOT(AND(ISNUMBER(E132),ISNUMBER(F132))),$J$2=""),"",MIN(100,ROUND(SUM($G132:P132),1)))</f>
        <v/>
      </c>
      <c r="BN132" s="1" t="str">
        <f aca="false">IF(OR(NOT(AND(ISNUMBER(E132),ISNUMBER(F132))),$J$2=""),"",MIN(100,ROUND(SUM($G132:P132),1)))</f>
        <v/>
      </c>
      <c r="BO132" s="1" t="str">
        <f aca="false">IF(OR(NOT(AND(ISNUMBER(E132),ISNUMBER(F132))),$J$2=""),"",MIN(100,ROUND(SUM($G132:P132),1)))</f>
        <v/>
      </c>
      <c r="BP132" s="1" t="str">
        <f aca="false">IF(OR(NOT(AND(ISNUMBER(E132),ISNUMBER(F132))),$J$2=""),"",MIN(100,ROUND(SUM($G132:P132),1)))</f>
        <v/>
      </c>
      <c r="BQ132" s="1" t="str">
        <f aca="false">IF(OR(NOT(AND(ISNUMBER(E132),ISNUMBER(F132))),$J$2=""),"",MIN(100,ROUND(SUM($G132:P132),1)))</f>
        <v/>
      </c>
      <c r="BR132" s="1" t="str">
        <f aca="false">IF(OR(NOT(AND(ISNUMBER(E132),ISNUMBER(F132))),$J$2=""),"",MIN(100,ROUND(SUM($G132:P132),1)))</f>
        <v/>
      </c>
      <c r="BS132" s="1" t="str">
        <f aca="false">IF(OR(NOT(AND(ISNUMBER(E132),ISNUMBER(F132))),$J$2=""),"",MIN(100,ROUND(SUM($G132:P132),1)))</f>
        <v/>
      </c>
      <c r="BT132" s="1" t="str">
        <f aca="false">IF(OR(NOT(AND(ISNUMBER(E132),ISNUMBER(F132))),$J$2=""),"",IF(Reprogramaciones!K$13&lt;Reprogramaciones!$T$15,0,IF(Reprogramaciones!K$14&gt;10,MIN(100,SUM($G132:$P132)),MIN(100,SUMPRODUCT((COLUMN($G132:$P132)-COLUMN($G132)+1&lt;Reprogramaciones!K$14)*$G132:$P132)+N(INDEX($G132:$P132,1,Reprogramaciones!K$14))*IF(Reprogramaciones!K$13&gt;=(Reprogramaciones!$T$15+7*(Reprogramaciones!K$14-1))+6,1,IF(MAX(0,NETWORKDAYS.INTL(MAX(E132,(Reprogramaciones!$T$15+7*(Reprogramaciones!K$14-1))),MIN(F132,(Reprogramaciones!$T$15+7*(Reprogramaciones!K$14-1))+6),11))=0,0,MAX(0,NETWORKDAYS.INTL(MAX(E132,(Reprogramaciones!$T$15+7*(Reprogramaciones!K$14-1))),MIN(F132,Reprogramaciones!K$13),11))/MAX(0,NETWORKDAYS.INTL(MAX(E132,(Reprogramaciones!$T$15+7*(Reprogramaciones!K$14-1))),MIN(F132,(Reprogramaciones!$T$15+7*(Reprogramaciones!K$14-1))+6),11))))))))</f>
        <v/>
      </c>
      <c r="BU132" s="1" t="str">
        <f aca="false">IF(OR(NOT(AND(ISNUMBER(E132),ISNUMBER(F132))),$J$2=""),"",IF(Reprogramaciones!L$13&lt;Reprogramaciones!$T$15,0,IF(Reprogramaciones!L$14&gt;10,MIN(100,SUM($G132:$P132)),MIN(100,SUMPRODUCT((COLUMN($G132:$P132)-COLUMN($G132)+1&lt;Reprogramaciones!L$14)*$G132:$P132)+N(INDEX($G132:$P132,1,Reprogramaciones!L$14))*IF(Reprogramaciones!L$13&gt;=(Reprogramaciones!$T$15+7*(Reprogramaciones!L$14-1))+6,1,IF(MAX(0,NETWORKDAYS.INTL(MAX(E132,(Reprogramaciones!$T$15+7*(Reprogramaciones!L$14-1))),MIN(F132,(Reprogramaciones!$T$15+7*(Reprogramaciones!L$14-1))+6),11))=0,0,MAX(0,NETWORKDAYS.INTL(MAX(E132,(Reprogramaciones!$T$15+7*(Reprogramaciones!L$14-1))),MIN(F132,Reprogramaciones!L$13),11))/MAX(0,NETWORKDAYS.INTL(MAX(E132,(Reprogramaciones!$T$15+7*(Reprogramaciones!L$14-1))),MIN(F132,(Reprogramaciones!$T$15+7*(Reprogramaciones!L$14-1))+6),11))))))))</f>
        <v/>
      </c>
      <c r="BV132" s="1" t="str">
        <f aca="false">IF(OR(NOT(AND(ISNUMBER(E132),ISNUMBER(F132))),$J$2=""),"",IF(Reprogramaciones!M$13&lt;Reprogramaciones!$T$15,0,IF(Reprogramaciones!M$14&gt;10,MIN(100,SUM($G132:$P132)),MIN(100,SUMPRODUCT((COLUMN($G132:$P132)-COLUMN($G132)+1&lt;Reprogramaciones!M$14)*$G132:$P132)+N(INDEX($G132:$P132,1,Reprogramaciones!M$14))*IF(Reprogramaciones!M$13&gt;=(Reprogramaciones!$T$15+7*(Reprogramaciones!M$14-1))+6,1,IF(MAX(0,NETWORKDAYS.INTL(MAX(E132,(Reprogramaciones!$T$15+7*(Reprogramaciones!M$14-1))),MIN(F132,(Reprogramaciones!$T$15+7*(Reprogramaciones!M$14-1))+6),11))=0,0,MAX(0,NETWORKDAYS.INTL(MAX(E132,(Reprogramaciones!$T$15+7*(Reprogramaciones!M$14-1))),MIN(F132,Reprogramaciones!M$13),11))/MAX(0,NETWORKDAYS.INTL(MAX(E132,(Reprogramaciones!$T$15+7*(Reprogramaciones!M$14-1))),MIN(F132,(Reprogramaciones!$T$15+7*(Reprogramaciones!M$14-1))+6),11))))))))</f>
        <v/>
      </c>
      <c r="BW132" s="1" t="str">
        <f aca="false">IF(OR(NOT(AND(ISNUMBER(E132),ISNUMBER(F132))),$J$2=""),"",IF(Reprogramaciones!N$13&lt;Reprogramaciones!$T$15,0,IF(Reprogramaciones!N$14&gt;10,MIN(100,SUM($G132:$P132)),MIN(100,SUMPRODUCT((COLUMN($G132:$P132)-COLUMN($G132)+1&lt;Reprogramaciones!N$14)*$G132:$P132)+N(INDEX($G132:$P132,1,Reprogramaciones!N$14))*IF(Reprogramaciones!N$13&gt;=(Reprogramaciones!$T$15+7*(Reprogramaciones!N$14-1))+6,1,IF(MAX(0,NETWORKDAYS.INTL(MAX(E132,(Reprogramaciones!$T$15+7*(Reprogramaciones!N$14-1))),MIN(F132,(Reprogramaciones!$T$15+7*(Reprogramaciones!N$14-1))+6),11))=0,0,MAX(0,NETWORKDAYS.INTL(MAX(E132,(Reprogramaciones!$T$15+7*(Reprogramaciones!N$14-1))),MIN(F132,Reprogramaciones!N$13),11))/MAX(0,NETWORKDAYS.INTL(MAX(E132,(Reprogramaciones!$T$15+7*(Reprogramaciones!N$14-1))),MIN(F132,(Reprogramaciones!$T$15+7*(Reprogramaciones!N$14-1))+6),11))))))))</f>
        <v/>
      </c>
      <c r="BX132" s="1" t="str">
        <f aca="false">IF(OR(NOT(AND(ISNUMBER(E132),ISNUMBER(F132))),$J$2=""),"",IF(Reprogramaciones!O$13&lt;Reprogramaciones!$T$15,0,IF(Reprogramaciones!O$14&gt;10,MIN(100,SUM($G132:$P132)),MIN(100,SUMPRODUCT((COLUMN($G132:$P132)-COLUMN($G132)+1&lt;Reprogramaciones!O$14)*$G132:$P132)+N(INDEX($G132:$P132,1,Reprogramaciones!O$14))*IF(Reprogramaciones!O$13&gt;=(Reprogramaciones!$T$15+7*(Reprogramaciones!O$14-1))+6,1,IF(MAX(0,NETWORKDAYS.INTL(MAX(E132,(Reprogramaciones!$T$15+7*(Reprogramaciones!O$14-1))),MIN(F132,(Reprogramaciones!$T$15+7*(Reprogramaciones!O$14-1))+6),11))=0,0,MAX(0,NETWORKDAYS.INTL(MAX(E132,(Reprogramaciones!$T$15+7*(Reprogramaciones!O$14-1))),MIN(F132,Reprogramaciones!O$13),11))/MAX(0,NETWORKDAYS.INTL(MAX(E132,(Reprogramaciones!$T$15+7*(Reprogramaciones!O$14-1))),MIN(F132,(Reprogramaciones!$T$15+7*(Reprogramaciones!O$14-1))+6),11))))))))</f>
        <v/>
      </c>
      <c r="BY132" s="1" t="str">
        <f aca="false">IF(OR(NOT(AND(ISNUMBER(E132),ISNUMBER(F132))),$J$2=""),"",IF(Reprogramaciones!P$13&lt;Reprogramaciones!$T$15,0,IF(Reprogramaciones!P$14&gt;10,MIN(100,SUM($G132:$P132)),MIN(100,SUMPRODUCT((COLUMN($G132:$P132)-COLUMN($G132)+1&lt;Reprogramaciones!P$14)*$G132:$P132)+N(INDEX($G132:$P132,1,Reprogramaciones!P$14))*IF(Reprogramaciones!P$13&gt;=(Reprogramaciones!$T$15+7*(Reprogramaciones!P$14-1))+6,1,IF(MAX(0,NETWORKDAYS.INTL(MAX(E132,(Reprogramaciones!$T$15+7*(Reprogramaciones!P$14-1))),MIN(F132,(Reprogramaciones!$T$15+7*(Reprogramaciones!P$14-1))+6),11))=0,0,MAX(0,NETWORKDAYS.INTL(MAX(E132,(Reprogramaciones!$T$15+7*(Reprogramaciones!P$14-1))),MIN(F132,Reprogramaciones!P$13),11))/MAX(0,NETWORKDAYS.INTL(MAX(E132,(Reprogramaciones!$T$15+7*(Reprogramaciones!P$14-1))),MIN(F132,(Reprogramaciones!$T$15+7*(Reprogramaciones!P$14-1))+6),11))))))))</f>
        <v/>
      </c>
      <c r="BZ132" s="1" t="str">
        <f aca="false">IF(OR(NOT(AND(ISNUMBER(E132),ISNUMBER(F132))),$J$2=""),"",IF(Reprogramaciones!Q$13&lt;Reprogramaciones!$T$15,0,IF(Reprogramaciones!Q$14&gt;10,MIN(100,SUM($G132:$P132)),MIN(100,SUMPRODUCT((COLUMN($G132:$P132)-COLUMN($G132)+1&lt;Reprogramaciones!Q$14)*$G132:$P132)+N(INDEX($G132:$P132,1,Reprogramaciones!Q$14))*IF(Reprogramaciones!Q$13&gt;=(Reprogramaciones!$T$15+7*(Reprogramaciones!Q$14-1))+6,1,IF(MAX(0,NETWORKDAYS.INTL(MAX(E132,(Reprogramaciones!$T$15+7*(Reprogramaciones!Q$14-1))),MIN(F132,(Reprogramaciones!$T$15+7*(Reprogramaciones!Q$14-1))+6),11))=0,0,MAX(0,NETWORKDAYS.INTL(MAX(E132,(Reprogramaciones!$T$15+7*(Reprogramaciones!Q$14-1))),MIN(F132,Reprogramaciones!Q$13),11))/MAX(0,NETWORKDAYS.INTL(MAX(E132,(Reprogramaciones!$T$15+7*(Reprogramaciones!Q$14-1))),MIN(F132,(Reprogramaciones!$T$15+7*(Reprogramaciones!Q$14-1))+6),11))))))))</f>
        <v/>
      </c>
      <c r="CA132" s="1" t="str">
        <f aca="false">IF(OR(NOT(AND(ISNUMBER(E132),ISNUMBER(F132))),$J$2=""),"",IF(Reprogramaciones!R$13&lt;Reprogramaciones!$T$15,0,IF(Reprogramaciones!R$14&gt;10,MIN(100,SUM($G132:$P132)),MIN(100,SUMPRODUCT((COLUMN($G132:$P132)-COLUMN($G132)+1&lt;Reprogramaciones!R$14)*$G132:$P132)+N(INDEX($G132:$P132,1,Reprogramaciones!R$14))*IF(Reprogramaciones!R$13&gt;=(Reprogramaciones!$T$15+7*(Reprogramaciones!R$14-1))+6,1,IF(MAX(0,NETWORKDAYS.INTL(MAX(E132,(Reprogramaciones!$T$15+7*(Reprogramaciones!R$14-1))),MIN(F132,(Reprogramaciones!$T$15+7*(Reprogramaciones!R$14-1))+6),11))=0,0,MAX(0,NETWORKDAYS.INTL(MAX(E132,(Reprogramaciones!$T$15+7*(Reprogramaciones!R$14-1))),MIN(F132,Reprogramaciones!R$13),11))/MAX(0,NETWORKDAYS.INTL(MAX(E132,(Reprogramaciones!$T$15+7*(Reprogramaciones!R$14-1))),MIN(F132,(Reprogramaciones!$T$15+7*(Reprogramaciones!R$14-1))+6),11))))))))</f>
        <v/>
      </c>
      <c r="CB132" s="1" t="str">
        <f aca="false">IF(OR(NOT(AND(ISNUMBER(E132),ISNUMBER(F132))),$J$2=""),"",IF(Reprogramaciones!S$13&lt;Reprogramaciones!$T$15,0,IF(Reprogramaciones!S$14&gt;10,MIN(100,SUM($G132:$P132)),MIN(100,SUMPRODUCT((COLUMN($G132:$P132)-COLUMN($G132)+1&lt;Reprogramaciones!S$14)*$G132:$P132)+N(INDEX($G132:$P132,1,Reprogramaciones!S$14))*IF(Reprogramaciones!S$13&gt;=(Reprogramaciones!$T$15+7*(Reprogramaciones!S$14-1))+6,1,IF(MAX(0,NETWORKDAYS.INTL(MAX(E132,(Reprogramaciones!$T$15+7*(Reprogramaciones!S$14-1))),MIN(F132,(Reprogramaciones!$T$15+7*(Reprogramaciones!S$14-1))+6),11))=0,0,MAX(0,NETWORKDAYS.INTL(MAX(E132,(Reprogramaciones!$T$15+7*(Reprogramaciones!S$14-1))),MIN(F132,Reprogramaciones!S$13),11))/MAX(0,NETWORKDAYS.INTL(MAX(E132,(Reprogramaciones!$T$15+7*(Reprogramaciones!S$14-1))),MIN(F132,(Reprogramaciones!$T$15+7*(Reprogramaciones!S$14-1))+6),11))))))))</f>
        <v/>
      </c>
      <c r="CC132" s="1" t="str">
        <f aca="false">IF(OR(NOT(AND(ISNUMBER(E132),ISNUMBER(F132))),$J$2=""),"",IF(Reprogramaciones!T$13&lt;Reprogramaciones!$T$15,0,IF(Reprogramaciones!T$14&gt;10,MIN(100,SUM($G132:$P132)),MIN(100,SUMPRODUCT((COLUMN($G132:$P132)-COLUMN($G132)+1&lt;Reprogramaciones!T$14)*$G132:$P132)+N(INDEX($G132:$P132,1,Reprogramaciones!T$14))*IF(Reprogramaciones!T$13&gt;=(Reprogramaciones!$T$15+7*(Reprogramaciones!T$14-1))+6,1,IF(MAX(0,NETWORKDAYS.INTL(MAX(E132,(Reprogramaciones!$T$15+7*(Reprogramaciones!T$14-1))),MIN(F132,(Reprogramaciones!$T$15+7*(Reprogramaciones!T$14-1))+6),11))=0,0,MAX(0,NETWORKDAYS.INTL(MAX(E132,(Reprogramaciones!$T$15+7*(Reprogramaciones!T$14-1))),MIN(F132,Reprogramaciones!T$13),11))/MAX(0,NETWORKDAYS.INTL(MAX(E132,(Reprogramaciones!$T$15+7*(Reprogramaciones!T$14-1))),MIN(F132,(Reprogramaciones!$T$15+7*(Reprogramaciones!T$14-1))+6),11))))))))</f>
        <v/>
      </c>
      <c r="CD132" s="1" t="str">
        <f aca="false">IF(OR(NOT(AND(ISNUMBER(E132),ISNUMBER(F132))),$J$2=""),"",IF(Reprogramaciones!U$13&lt;Reprogramaciones!$T$15,0,IF(Reprogramaciones!U$14&gt;10,MIN(100,SUM($G132:$P132)),MIN(100,SUMPRODUCT((COLUMN($G132:$P132)-COLUMN($G132)+1&lt;Reprogramaciones!U$14)*$G132:$P132)+N(INDEX($G132:$P132,1,Reprogramaciones!U$14))*IF(Reprogramaciones!U$13&gt;=(Reprogramaciones!$T$15+7*(Reprogramaciones!U$14-1))+6,1,IF(MAX(0,NETWORKDAYS.INTL(MAX(E132,(Reprogramaciones!$T$15+7*(Reprogramaciones!U$14-1))),MIN(F132,(Reprogramaciones!$T$15+7*(Reprogramaciones!U$14-1))+6),11))=0,0,MAX(0,NETWORKDAYS.INTL(MAX(E132,(Reprogramaciones!$T$15+7*(Reprogramaciones!U$14-1))),MIN(F132,Reprogramaciones!U$13),11))/MAX(0,NETWORKDAYS.INTL(MAX(E132,(Reprogramaciones!$T$15+7*(Reprogramaciones!U$14-1))),MIN(F132,(Reprogramaciones!$T$15+7*(Reprogramaciones!U$14-1))+6),11))))))))</f>
        <v/>
      </c>
      <c r="CE132" s="1" t="str">
        <f aca="false">IF(OR(NOT(AND(ISNUMBER(E132),ISNUMBER(F132))),$J$2=""),"",IF(Reprogramaciones!V$13&lt;Reprogramaciones!$T$15,0,IF(Reprogramaciones!V$14&gt;10,MIN(100,SUM($G132:$P132)),MIN(100,SUMPRODUCT((COLUMN($G132:$P132)-COLUMN($G132)+1&lt;Reprogramaciones!V$14)*$G132:$P132)+N(INDEX($G132:$P132,1,Reprogramaciones!V$14))*IF(Reprogramaciones!V$13&gt;=(Reprogramaciones!$T$15+7*(Reprogramaciones!V$14-1))+6,1,IF(MAX(0,NETWORKDAYS.INTL(MAX(E132,(Reprogramaciones!$T$15+7*(Reprogramaciones!V$14-1))),MIN(F132,(Reprogramaciones!$T$15+7*(Reprogramaciones!V$14-1))+6),11))=0,0,MAX(0,NETWORKDAYS.INTL(MAX(E132,(Reprogramaciones!$T$15+7*(Reprogramaciones!V$14-1))),MIN(F132,Reprogramaciones!V$13),11))/MAX(0,NETWORKDAYS.INTL(MAX(E132,(Reprogramaciones!$T$15+7*(Reprogramaciones!V$14-1))),MIN(F132,(Reprogramaciones!$T$15+7*(Reprogramaciones!V$14-1))+6),11))))))))</f>
        <v/>
      </c>
      <c r="CF132" s="1" t="str">
        <f aca="false">IF(OR(NOT(AND(ISNUMBER(E132),ISNUMBER(F132))),$J$2=""),"",IF(Reprogramaciones!W$13&lt;Reprogramaciones!$T$15,0,IF(Reprogramaciones!W$14&gt;10,MIN(100,SUM($G132:$P132)),MIN(100,SUMPRODUCT((COLUMN($G132:$P132)-COLUMN($G132)+1&lt;Reprogramaciones!W$14)*$G132:$P132)+N(INDEX($G132:$P132,1,Reprogramaciones!W$14))*IF(Reprogramaciones!W$13&gt;=(Reprogramaciones!$T$15+7*(Reprogramaciones!W$14-1))+6,1,IF(MAX(0,NETWORKDAYS.INTL(MAX(E132,(Reprogramaciones!$T$15+7*(Reprogramaciones!W$14-1))),MIN(F132,(Reprogramaciones!$T$15+7*(Reprogramaciones!W$14-1))+6),11))=0,0,MAX(0,NETWORKDAYS.INTL(MAX(E132,(Reprogramaciones!$T$15+7*(Reprogramaciones!W$14-1))),MIN(F132,Reprogramaciones!W$13),11))/MAX(0,NETWORKDAYS.INTL(MAX(E132,(Reprogramaciones!$T$15+7*(Reprogramaciones!W$14-1))),MIN(F132,(Reprogramaciones!$T$15+7*(Reprogramaciones!W$14-1))+6),11))))))))</f>
        <v/>
      </c>
      <c r="CG132" s="1" t="str">
        <f aca="false">IF(OR(NOT(AND(ISNUMBER(E132),ISNUMBER(F132))),$J$2=""),"",IF(Reprogramaciones!X$13&lt;Reprogramaciones!$T$15,0,IF(Reprogramaciones!X$14&gt;10,MIN(100,SUM($G132:$P132)),MIN(100,SUMPRODUCT((COLUMN($G132:$P132)-COLUMN($G132)+1&lt;Reprogramaciones!X$14)*$G132:$P132)+N(INDEX($G132:$P132,1,Reprogramaciones!X$14))*IF(Reprogramaciones!X$13&gt;=(Reprogramaciones!$T$15+7*(Reprogramaciones!X$14-1))+6,1,IF(MAX(0,NETWORKDAYS.INTL(MAX(E132,(Reprogramaciones!$T$15+7*(Reprogramaciones!X$14-1))),MIN(F132,(Reprogramaciones!$T$15+7*(Reprogramaciones!X$14-1))+6),11))=0,0,MAX(0,NETWORKDAYS.INTL(MAX(E132,(Reprogramaciones!$T$15+7*(Reprogramaciones!X$14-1))),MIN(F132,Reprogramaciones!X$13),11))/MAX(0,NETWORKDAYS.INTL(MAX(E132,(Reprogramaciones!$T$15+7*(Reprogramaciones!X$14-1))),MIN(F132,(Reprogramaciones!$T$15+7*(Reprogramaciones!X$14-1))+6),11))))))))</f>
        <v/>
      </c>
      <c r="CH132" s="1" t="str">
        <f aca="false">IF(OR(NOT(AND(ISNUMBER(E132),ISNUMBER(F132))),$J$2=""),"",IF(Reprogramaciones!Y$13&lt;Reprogramaciones!$T$15,0,IF(Reprogramaciones!Y$14&gt;10,MIN(100,SUM($G132:$P132)),MIN(100,SUMPRODUCT((COLUMN($G132:$P132)-COLUMN($G132)+1&lt;Reprogramaciones!Y$14)*$G132:$P132)+N(INDEX($G132:$P132,1,Reprogramaciones!Y$14))*IF(Reprogramaciones!Y$13&gt;=(Reprogramaciones!$T$15+7*(Reprogramaciones!Y$14-1))+6,1,IF(MAX(0,NETWORKDAYS.INTL(MAX(E132,(Reprogramaciones!$T$15+7*(Reprogramaciones!Y$14-1))),MIN(F132,(Reprogramaciones!$T$15+7*(Reprogramaciones!Y$14-1))+6),11))=0,0,MAX(0,NETWORKDAYS.INTL(MAX(E132,(Reprogramaciones!$T$15+7*(Reprogramaciones!Y$14-1))),MIN(F132,Reprogramaciones!Y$13),11))/MAX(0,NETWORKDAYS.INTL(MAX(E132,(Reprogramaciones!$T$15+7*(Reprogramaciones!Y$14-1))),MIN(F132,(Reprogramaciones!$T$15+7*(Reprogramaciones!Y$14-1))+6),11))))))))</f>
        <v/>
      </c>
      <c r="CI132" s="1" t="str">
        <f aca="false">IF(OR(NOT(AND(ISNUMBER(E132),ISNUMBER(F132))),$J$2=""),"",IF(Reprogramaciones!Z$13&lt;Reprogramaciones!$T$15,0,IF(Reprogramaciones!Z$14&gt;10,MIN(100,SUM($G132:$P132)),MIN(100,SUMPRODUCT((COLUMN($G132:$P132)-COLUMN($G132)+1&lt;Reprogramaciones!Z$14)*$G132:$P132)+N(INDEX($G132:$P132,1,Reprogramaciones!Z$14))*IF(Reprogramaciones!Z$13&gt;=(Reprogramaciones!$T$15+7*(Reprogramaciones!Z$14-1))+6,1,IF(MAX(0,NETWORKDAYS.INTL(MAX(E132,(Reprogramaciones!$T$15+7*(Reprogramaciones!Z$14-1))),MIN(F132,(Reprogramaciones!$T$15+7*(Reprogramaciones!Z$14-1))+6),11))=0,0,MAX(0,NETWORKDAYS.INTL(MAX(E132,(Reprogramaciones!$T$15+7*(Reprogramaciones!Z$14-1))),MIN(F132,Reprogramaciones!Z$13),11))/MAX(0,NETWORKDAYS.INTL(MAX(E132,(Reprogramaciones!$T$15+7*(Reprogramaciones!Z$14-1))),MIN(F132,(Reprogramaciones!$T$15+7*(Reprogramaciones!Z$14-1))+6),11))))))))</f>
        <v/>
      </c>
      <c r="CJ132" s="1" t="str">
        <f aca="false">IF(OR(OR(NOT(AND(ISNUMBER(E132),ISNUMBER(F132))),$J$2=""),1&gt;Reprogramaciones!$K$16),"",IF(ROUND(SUM($Q132:Q132),1)&gt;=99.5,100,MIN(100,ROUND(SUM($Q132:Q132),1))))</f>
        <v/>
      </c>
      <c r="CK132" s="1" t="str">
        <f aca="false">IF(OR(OR(NOT(AND(ISNUMBER(E132),ISNUMBER(F132))),$J$2=""),2&gt;Reprogramaciones!$K$16),"",IF(ROUND(SUM($Q132:R132),1)&gt;=99.5,100,MIN(100,ROUND(SUM($Q132:R132),1))))</f>
        <v/>
      </c>
      <c r="CL132" s="1" t="str">
        <f aca="false">IF(OR(OR(NOT(AND(ISNUMBER(E132),ISNUMBER(F132))),$J$2=""),3&gt;Reprogramaciones!$K$16),"",IF(ROUND(SUM($Q132:S132),1)&gt;=99.5,100,MIN(100,ROUND(SUM($Q132:S132),1))))</f>
        <v/>
      </c>
      <c r="CM132" s="1" t="str">
        <f aca="false">IF(OR(OR(NOT(AND(ISNUMBER(E132),ISNUMBER(F132))),$J$2=""),4&gt;Reprogramaciones!$K$16),"",IF(ROUND(SUM($Q132:T132),1)&gt;=99.5,100,MIN(100,ROUND(SUM($Q132:T132),1))))</f>
        <v/>
      </c>
      <c r="CN132" s="1" t="str">
        <f aca="false">IF(OR(OR(NOT(AND(ISNUMBER(E132),ISNUMBER(F132))),$J$2=""),5&gt;Reprogramaciones!$K$16),"",IF(ROUND(SUM($Q132:U132),1)&gt;=99.5,100,MIN(100,ROUND(SUM($Q132:U132),1))))</f>
        <v/>
      </c>
      <c r="CO132" s="1" t="str">
        <f aca="false">IF(OR(OR(NOT(AND(ISNUMBER(E132),ISNUMBER(F132))),$J$2=""),6&gt;Reprogramaciones!$K$16),"",IF(ROUND(SUM($Q132:V132),1)&gt;=99.5,100,MIN(100,ROUND(SUM($Q132:V132),1))))</f>
        <v/>
      </c>
      <c r="CP132" s="1" t="str">
        <f aca="false">IF(OR(OR(NOT(AND(ISNUMBER(E132),ISNUMBER(F132))),$J$2=""),7&gt;Reprogramaciones!$K$16),"",IF(ROUND(SUM($Q132:W132),1)&gt;=99.5,100,MIN(100,ROUND(SUM($Q132:W132),1))))</f>
        <v/>
      </c>
      <c r="CQ132" s="1" t="str">
        <f aca="false">IF(OR(OR(NOT(AND(ISNUMBER(E132),ISNUMBER(F132))),$J$2=""),8&gt;Reprogramaciones!$K$16),"",IF(ROUND(SUM($Q132:X132),1)&gt;=99.5,100,MIN(100,ROUND(SUM($Q132:X132),1))))</f>
        <v/>
      </c>
      <c r="CR132" s="1" t="str">
        <f aca="false">IF(OR(OR(NOT(AND(ISNUMBER(E132),ISNUMBER(F132))),$J$2=""),9&gt;Reprogramaciones!$K$16),"",IF(ROUND(SUM($Q132:Y132),1)&gt;=99.5,100,MIN(100,ROUND(SUM($Q132:Y132),1))))</f>
        <v/>
      </c>
      <c r="CS132" s="1" t="str">
        <f aca="false">IF(OR(OR(NOT(AND(ISNUMBER(E132),ISNUMBER(F132))),$J$2=""),10&gt;Reprogramaciones!$K$16),"",IF(ROUND(SUM($Q132:Z132),1)&gt;=99.5,100,MIN(100,ROUND(SUM($Q132:Z132),1))))</f>
        <v/>
      </c>
      <c r="CT132" s="1" t="str">
        <f aca="false">IF(OR(OR(NOT(AND(ISNUMBER(E132),ISNUMBER(F132))),$J$2=""),11&gt;Reprogramaciones!$K$16),"",IF(ROUND(SUM($Q132:AA132),1)&gt;=99.5,100,MIN(100,ROUND(SUM($Q132:AA132),1))))</f>
        <v/>
      </c>
      <c r="CU132" s="1" t="str">
        <f aca="false">IF(OR(OR(NOT(AND(ISNUMBER(E132),ISNUMBER(F132))),$J$2=""),12&gt;Reprogramaciones!$K$16),"",IF(ROUND(SUM($Q132:AB132),1)&gt;=99.5,100,MIN(100,ROUND(SUM($Q132:AB132),1))))</f>
        <v/>
      </c>
      <c r="CV132" s="1" t="str">
        <f aca="false">IF(OR(OR(NOT(AND(ISNUMBER(E132),ISNUMBER(F132))),$J$2=""),13&gt;Reprogramaciones!$K$16),"",IF(ROUND(SUM($Q132:AC132),1)&gt;=99.5,100,MIN(100,ROUND(SUM($Q132:AC132),1))))</f>
        <v/>
      </c>
      <c r="CW132" s="1" t="str">
        <f aca="false">IF(OR(OR(NOT(AND(ISNUMBER(E132),ISNUMBER(F132))),$J$2=""),14&gt;Reprogramaciones!$K$16),"",IF(ROUND(SUM($Q132:AD132),1)&gt;=99.5,100,MIN(100,ROUND(SUM($Q132:AD132),1))))</f>
        <v/>
      </c>
      <c r="CX132" s="1" t="str">
        <f aca="false">IF(OR(OR(NOT(AND(ISNUMBER(E132),ISNUMBER(F132))),$J$2=""),15&gt;Reprogramaciones!$K$16),"",IF(ROUND(SUM($Q132:AE132),1)&gt;=99.5,100,MIN(100,ROUND(SUM($Q132:AE132),1))))</f>
        <v/>
      </c>
      <c r="CY132" s="1" t="str">
        <f aca="false">IF(OR(OR(NOT(AND(ISNUMBER(E132),ISNUMBER(F132))),$J$2=""),16&gt;Reprogramaciones!$K$16),"",IF(ROUND(SUM($Q132:AF132),1)&gt;=99.5,100,MIN(100,ROUND(SUM($Q132:AF132),1))))</f>
        <v/>
      </c>
      <c r="CZ132" s="1" t="str">
        <f aca="false">IF(D132&lt;&gt;"",D132,IF(B132&lt;&gt;"","Contractual",CZ131))</f>
        <v>Contractual</v>
      </c>
      <c r="DA132" s="1" t="str">
        <f aca="false">IF(OR(NOT(AND(ISNUMBER(E132),ISNUMBER(F132))),$J$2=""),"",IF(Reprogramaciones!$Q$15&lt;Reprogramaciones!$T$15,0,IF(Reprogramaciones!$S$15&gt;10,MIN(100,SUM($G132:$P132)),MIN(100,SUMPRODUCT((COLUMN($G132:$P132)-COLUMN($G132)+1&lt;Reprogramaciones!$S$15)*$G132:$P132)+N(INDEX($G132:$P132,1,Reprogramaciones!$S$15))*IF(Reprogramaciones!$Q$15&gt;=(Reprogramaciones!$T$15+7*(Reprogramaciones!$S$15-1))+6,1,IF(MAX(0,NETWORKDAYS.INTL(MAX(E132,(Reprogramaciones!$T$15+7*(Reprogramaciones!$S$15-1))),MIN(F132,(Reprogramaciones!$T$15+7*(Reprogramaciones!$S$15-1))+6),11))=0,0,MAX(0,NETWORKDAYS.INTL(MAX(E132,(Reprogramaciones!$T$15+7*(Reprogramaciones!$S$15-1))),MIN(F132,Reprogramaciones!$Q$15),11))/MAX(0,NETWORKDAYS.INTL(MAX(E132,(Reprogramaciones!$T$15+7*(Reprogramaciones!$S$15-1))),MIN(F132,(Reprogramaciones!$T$15+7*(Reprogramaciones!$S$15-1))+6),11))))))))</f>
        <v/>
      </c>
    </row>
    <row r="133" customFormat="false" ht="15" hidden="false" customHeight="false" outlineLevel="0" collapsed="false">
      <c r="A133" s="32"/>
      <c r="B133" s="33"/>
      <c r="C133" s="33"/>
      <c r="D133" s="34"/>
      <c r="E133" s="35"/>
      <c r="F133" s="35"/>
      <c r="G133" s="36" t="str">
        <f aca="false">IF(OR(NOT(AND(ISNUMBER(E133),ISNUMBER(F133))),$J$2=""),"",IF(Reprogramaciones!K$9&lt;E133,0,IF(NETWORKDAYS.INTL(E133,F133,11)=0,IF(Reprogramaciones!K$9&gt;=F133,100,0),ROUND(NETWORKDAYS.INTL(E133,MIN(F133,Reprogramaciones!K$9),11)/NETWORKDAYS.INTL(E133,F133,11)*100,1)))-0)</f>
        <v/>
      </c>
      <c r="H133" s="36" t="str">
        <f aca="false">IF(OR(NOT(AND(ISNUMBER(E133),ISNUMBER(F133))),$J$2=""),"",IF(Reprogramaciones!L$9&lt;E133,0,IF(NETWORKDAYS.INTL(E133,F133,11)=0,IF(Reprogramaciones!L$9&gt;=F133,100,0),ROUND(NETWORKDAYS.INTL(E133,MIN(F133,Reprogramaciones!L$9),11)/NETWORKDAYS.INTL(E133,F133,11)*100,1)))-IF(Reprogramaciones!K$9&lt;E133,0,IF(NETWORKDAYS.INTL(E133,F133,11)=0,IF(Reprogramaciones!K$9&gt;=F133,100,0),ROUND(NETWORKDAYS.INTL(E133,MIN(F133,Reprogramaciones!K$9),11)/NETWORKDAYS.INTL(E133,F133,11)*100,1))))</f>
        <v/>
      </c>
      <c r="I133" s="36" t="str">
        <f aca="false">IF(OR(NOT(AND(ISNUMBER(E133),ISNUMBER(F133))),$J$2=""),"",IF(Reprogramaciones!M$9&lt;E133,0,IF(NETWORKDAYS.INTL(E133,F133,11)=0,IF(Reprogramaciones!M$9&gt;=F133,100,0),ROUND(NETWORKDAYS.INTL(E133,MIN(F133,Reprogramaciones!M$9),11)/NETWORKDAYS.INTL(E133,F133,11)*100,1)))-IF(Reprogramaciones!L$9&lt;E133,0,IF(NETWORKDAYS.INTL(E133,F133,11)=0,IF(Reprogramaciones!L$9&gt;=F133,100,0),ROUND(NETWORKDAYS.INTL(E133,MIN(F133,Reprogramaciones!L$9),11)/NETWORKDAYS.INTL(E133,F133,11)*100,1))))</f>
        <v/>
      </c>
      <c r="J133" s="36" t="str">
        <f aca="false">IF(OR(NOT(AND(ISNUMBER(E133),ISNUMBER(F133))),$J$2=""),"",IF(Reprogramaciones!N$9&lt;E133,0,IF(NETWORKDAYS.INTL(E133,F133,11)=0,IF(Reprogramaciones!N$9&gt;=F133,100,0),ROUND(NETWORKDAYS.INTL(E133,MIN(F133,Reprogramaciones!N$9),11)/NETWORKDAYS.INTL(E133,F133,11)*100,1)))-IF(Reprogramaciones!M$9&lt;E133,0,IF(NETWORKDAYS.INTL(E133,F133,11)=0,IF(Reprogramaciones!M$9&gt;=F133,100,0),ROUND(NETWORKDAYS.INTL(E133,MIN(F133,Reprogramaciones!M$9),11)/NETWORKDAYS.INTL(E133,F133,11)*100,1))))</f>
        <v/>
      </c>
      <c r="K133" s="36" t="str">
        <f aca="false">IF(OR(NOT(AND(ISNUMBER(E133),ISNUMBER(F133))),$J$2=""),"",IF(Reprogramaciones!O$9&lt;E133,0,IF(NETWORKDAYS.INTL(E133,F133,11)=0,IF(Reprogramaciones!O$9&gt;=F133,100,0),ROUND(NETWORKDAYS.INTL(E133,MIN(F133,Reprogramaciones!O$9),11)/NETWORKDAYS.INTL(E133,F133,11)*100,1)))-IF(Reprogramaciones!N$9&lt;E133,0,IF(NETWORKDAYS.INTL(E133,F133,11)=0,IF(Reprogramaciones!N$9&gt;=F133,100,0),ROUND(NETWORKDAYS.INTL(E133,MIN(F133,Reprogramaciones!N$9),11)/NETWORKDAYS.INTL(E133,F133,11)*100,1))))</f>
        <v/>
      </c>
      <c r="L133" s="36" t="str">
        <f aca="false">IF(OR(NOT(AND(ISNUMBER(E133),ISNUMBER(F133))),$J$2=""),"",IF(Reprogramaciones!P$9&lt;E133,0,IF(NETWORKDAYS.INTL(E133,F133,11)=0,IF(Reprogramaciones!P$9&gt;=F133,100,0),ROUND(NETWORKDAYS.INTL(E133,MIN(F133,Reprogramaciones!P$9),11)/NETWORKDAYS.INTL(E133,F133,11)*100,1)))-IF(Reprogramaciones!O$9&lt;E133,0,IF(NETWORKDAYS.INTL(E133,F133,11)=0,IF(Reprogramaciones!O$9&gt;=F133,100,0),ROUND(NETWORKDAYS.INTL(E133,MIN(F133,Reprogramaciones!O$9),11)/NETWORKDAYS.INTL(E133,F133,11)*100,1))))</f>
        <v/>
      </c>
      <c r="M133" s="36" t="str">
        <f aca="false">IF(OR(NOT(AND(ISNUMBER(E133),ISNUMBER(F133))),$J$2=""),"",IF(Reprogramaciones!Q$9&lt;E133,0,IF(NETWORKDAYS.INTL(E133,F133,11)=0,IF(Reprogramaciones!Q$9&gt;=F133,100,0),ROUND(NETWORKDAYS.INTL(E133,MIN(F133,Reprogramaciones!Q$9),11)/NETWORKDAYS.INTL(E133,F133,11)*100,1)))-IF(Reprogramaciones!P$9&lt;E133,0,IF(NETWORKDAYS.INTL(E133,F133,11)=0,IF(Reprogramaciones!P$9&gt;=F133,100,0),ROUND(NETWORKDAYS.INTL(E133,MIN(F133,Reprogramaciones!P$9),11)/NETWORKDAYS.INTL(E133,F133,11)*100,1))))</f>
        <v/>
      </c>
      <c r="N133" s="36" t="str">
        <f aca="false">IF(OR(NOT(AND(ISNUMBER(E133),ISNUMBER(F133))),$J$2=""),"",IF(Reprogramaciones!R$9&lt;E133,0,IF(NETWORKDAYS.INTL(E133,F133,11)=0,IF(Reprogramaciones!R$9&gt;=F133,100,0),ROUND(NETWORKDAYS.INTL(E133,MIN(F133,Reprogramaciones!R$9),11)/NETWORKDAYS.INTL(E133,F133,11)*100,1)))-IF(Reprogramaciones!Q$9&lt;E133,0,IF(NETWORKDAYS.INTL(E133,F133,11)=0,IF(Reprogramaciones!Q$9&gt;=F133,100,0),ROUND(NETWORKDAYS.INTL(E133,MIN(F133,Reprogramaciones!Q$9),11)/NETWORKDAYS.INTL(E133,F133,11)*100,1))))</f>
        <v/>
      </c>
      <c r="O133" s="36" t="str">
        <f aca="false">IF(OR(NOT(AND(ISNUMBER(E133),ISNUMBER(F133))),$J$2=""),"",IF(Reprogramaciones!S$9&lt;E133,0,IF(NETWORKDAYS.INTL(E133,F133,11)=0,IF(Reprogramaciones!S$9&gt;=F133,100,0),ROUND(NETWORKDAYS.INTL(E133,MIN(F133,Reprogramaciones!S$9),11)/NETWORKDAYS.INTL(E133,F133,11)*100,1)))-IF(Reprogramaciones!R$9&lt;E133,0,IF(NETWORKDAYS.INTL(E133,F133,11)=0,IF(Reprogramaciones!R$9&gt;=F133,100,0),ROUND(NETWORKDAYS.INTL(E133,MIN(F133,Reprogramaciones!R$9),11)/NETWORKDAYS.INTL(E133,F133,11)*100,1))))</f>
        <v/>
      </c>
      <c r="P133" s="36" t="str">
        <f aca="false">IF(OR(NOT(AND(ISNUMBER(E133),ISNUMBER(F133))),$J$2=""),"",IF(Reprogramaciones!T$9&lt;E133,0,IF(NETWORKDAYS.INTL(E133,F133,11)=0,IF(Reprogramaciones!T$9&gt;=F133,100,0),ROUND(NETWORKDAYS.INTL(E133,MIN(F133,Reprogramaciones!T$9),11)/NETWORKDAYS.INTL(E133,F133,11)*100,1)))-IF(Reprogramaciones!S$9&lt;E133,0,IF(NETWORKDAYS.INTL(E133,F133,11)=0,IF(Reprogramaciones!S$9&gt;=F133,100,0),ROUND(NETWORKDAYS.INTL(E133,MIN(F133,Reprogramaciones!S$9),11)/NETWORKDAYS.INTL(E133,F133,11)*100,1))))</f>
        <v/>
      </c>
      <c r="Q133" s="37"/>
      <c r="R133" s="37"/>
      <c r="S133" s="37"/>
      <c r="T133" s="37"/>
      <c r="U133" s="37"/>
      <c r="V133" s="37"/>
      <c r="W133" s="37"/>
      <c r="X133" s="37"/>
      <c r="Y133" s="37"/>
      <c r="Z133" s="37"/>
      <c r="AA133" s="37"/>
      <c r="AB133" s="37"/>
      <c r="AC133" s="37"/>
      <c r="AD133" s="37"/>
      <c r="AE133" s="37"/>
      <c r="AF133" s="37"/>
      <c r="AG133" s="38" t="str">
        <f aca="false">IF(AND(ISNUMBER(E133),ISNUMBER(F133)),NETWORKDAYS.INTL(E133,F133,11),"")</f>
        <v/>
      </c>
      <c r="AH133" s="38" t="str">
        <f aca="false">IF(OR(NOT(AND(ISNUMBER(E133),ISNUMBER(F133))),$J$2=""),"",IF(Reprogramaciones!$P$15&lt;Reprogramaciones!$T$15,0,IF(Reprogramaciones!$R$15&gt;10,MIN(100,SUM($G133:$P133)),MIN(100,SUMPRODUCT((COLUMN($G133:$P133)-COLUMN($G133)+1&lt;Reprogramaciones!$R$15)*$G133:$P133)+N(INDEX($G133:$P133,1,Reprogramaciones!$R$15))*IF(Reprogramaciones!$P$15&gt;=(Reprogramaciones!$T$15+7*(Reprogramaciones!$R$15-1))+6,1,IF(MAX(0,NETWORKDAYS.INTL(MAX(E133,(Reprogramaciones!$T$15+7*(Reprogramaciones!$R$15-1))),MIN(F133,(Reprogramaciones!$T$15+7*(Reprogramaciones!$R$15-1))+6),11))=0,0,MAX(0,NETWORKDAYS.INTL(MAX(E133,(Reprogramaciones!$T$15+7*(Reprogramaciones!$R$15-1))),MIN(F133,Reprogramaciones!$P$15),11))/MAX(0,NETWORKDAYS.INTL(MAX(E133,(Reprogramaciones!$T$15+7*(Reprogramaciones!$R$15-1))),MIN(F133,(Reprogramaciones!$T$15+7*(Reprogramaciones!$R$15-1))+6),11))))))))</f>
        <v/>
      </c>
      <c r="AI133" s="38" t="str">
        <f aca="false">IF(COUNT($Q133:$AF133)=0,"",IF(ROUND(SUM($Q133:$AF133),1)&gt;=99.5,100,MIN(100,ROUND(SUM($Q133:$AF133),1))))</f>
        <v/>
      </c>
      <c r="AJ133" s="38" t="str">
        <f aca="false">IF(OR(AH133="",AI133=""),"",AI133-AH133)</f>
        <v/>
      </c>
      <c r="AK133" s="39" t="str">
        <f aca="true">IF(AH133="","",IF(OR(Ficha!$C$10="Suspendida",Ficha!$C$10="Cancelada"),Ficha!$C$10,IF(AND(AI133&lt;&gt;"",N(AI133)&gt;=100),"Completada",IF(AND(E133&gt;TODAY(),N(AI133)=0),"Por iniciar",IF(N(AI133)+0.5&lt;AH133,"Retrasada",IF(N(AI133)+0.5&lt;DA133,IF(Reprogramaciones!$K$15&gt;0,"Al día · Sem "&amp;Reprogramaciones!$K$15&amp;" en curso","Al día · en curso"),"A tiempo"))))))</f>
        <v/>
      </c>
      <c r="AL133" s="39" t="str">
        <f aca="true">IF(AND(A133="",AND(B133="",C133="",E133="",F133="",COUNT(Q133:AF133)=0)),"",IF(AND(B133="",C133="",E133="",F133="",COUNT(Q133:AF133)=0),"Falta la partida o subpartida",IF(AND(A133&lt;&gt;"",COUNTIF($A$6:$A$305,A133)&gt;1),"Ítem repetido",IF(AND(C133="",E133="",F133="",COUNT(Q133:AF133)=0),"Título de partida",IF(OR(E133="",F133=""),"Faltan fechas",IF(OR(ISTEXT(E133),ISTEXT(F133)),"Fecha escrita como texto: usa dd/mm/aaaa",IF(F133&lt;E133,"Fin antes del inicio",IF(IF($J$2="",FALSE(),OR(E133&lt;$J$2,F133&gt;Reprogramaciones!$T$15+69)),"Fuera de las 10 semanas",IF(ABS(SUM(G133:P133)-100)&gt;0.5,"La meta no suma 100%",IF(ROUND(SUM(Q133:AF133),1)&gt;100.5,"El avance pasa de 100%",IF(MIN(Q133:AF133)&lt;0,"Avance negativo",IF(COUNTA(Q133:AF133)&gt;COUNT(Q133:AF133),"Avance escrito como texto",IF(SUMPRODUCT((Q133:AF133&gt;0)*(Q133:AF133&lt;1))&gt;0,"Avance menor a 1: escribe 50, no 50%",IF(SUMPRODUCT(ISNUMBER(Q133:AF133)*(Reprogramaciones!$K$8:$Z$8&gt;TODAY()))&gt;0,"Avance en semana que aún no llega",IF(AND(N(Reprogramaciones!$E$21)&gt;0,F133&gt;Reprogramaciones!$E$21),"Pasa el fin de la obra: registra una reprogramación",IF(AND(N(Reprogramaciones!$E$21)&gt;0,SUMPRODUCT(ISNUMBER(Q133:AF133)*(Reprogramaciones!$K$8:$Z$8&gt;Reprogramaciones!$E$21))&gt;0),"Avance después del fin de la obra: registra una reprogramación por atraso","OK"))))))))))))))))</f>
        <v/>
      </c>
      <c r="AM133" s="40" t="str">
        <f aca="false">IF(OR(OR(NOT(AND(ISNUMBER(E133),ISNUMBER(F133))),$J$2=""),1&gt;MAX(1,Reprogramaciones!$U$15)),"",IF(Reprogramaciones!K$12&gt;=7,"",IF(OR(BT133-N(0)&gt;0.05,N(Q133)&gt;0),ROUNDDOWN(ROUND(BT133,6),0)&amp;"%"&amp;IF(CJ133="",""," / "&amp;CJ133&amp;"%"),IF(AND(N(0)&gt;=99.95,CJ133&lt;&gt;"",N(CJ133)&lt;100),"Pend. "&amp;CJ133&amp;"%",""))))</f>
        <v/>
      </c>
      <c r="AN133" s="40" t="str">
        <f aca="false">IF(OR(OR(NOT(AND(ISNUMBER(E133),ISNUMBER(F133))),$J$2=""),2&gt;MAX(1,Reprogramaciones!$U$15)),"",IF(Reprogramaciones!L$12&gt;=7,"",IF(OR(BU133-N(BT133)&gt;0.05,N(R133)&gt;0),ROUNDDOWN(ROUND(BU133,6),0)&amp;"%"&amp;IF(CK133="",""," / "&amp;CK133&amp;"%"),IF(AND(N(BT133)&gt;=99.95,CK133&lt;&gt;"",N(CK133)&lt;100),"Pend. "&amp;CK133&amp;"%",""))))</f>
        <v/>
      </c>
      <c r="AO133" s="40" t="str">
        <f aca="false">IF(OR(OR(NOT(AND(ISNUMBER(E133),ISNUMBER(F133))),$J$2=""),3&gt;MAX(1,Reprogramaciones!$U$15)),"",IF(Reprogramaciones!M$12&gt;=7,"",IF(OR(BV133-N(BU133)&gt;0.05,N(S133)&gt;0),ROUNDDOWN(ROUND(BV133,6),0)&amp;"%"&amp;IF(CL133="",""," / "&amp;CL133&amp;"%"),IF(AND(N(BU133)&gt;=99.95,CL133&lt;&gt;"",N(CL133)&lt;100),"Pend. "&amp;CL133&amp;"%",""))))</f>
        <v/>
      </c>
      <c r="AP133" s="40" t="str">
        <f aca="false">IF(OR(OR(NOT(AND(ISNUMBER(E133),ISNUMBER(F133))),$J$2=""),4&gt;MAX(1,Reprogramaciones!$U$15)),"",IF(Reprogramaciones!N$12&gt;=7,"",IF(OR(BW133-N(BV133)&gt;0.05,N(T133)&gt;0),ROUNDDOWN(ROUND(BW133,6),0)&amp;"%"&amp;IF(CM133="",""," / "&amp;CM133&amp;"%"),IF(AND(N(BV133)&gt;=99.95,CM133&lt;&gt;"",N(CM133)&lt;100),"Pend. "&amp;CM133&amp;"%",""))))</f>
        <v/>
      </c>
      <c r="AQ133" s="40" t="str">
        <f aca="false">IF(OR(OR(NOT(AND(ISNUMBER(E133),ISNUMBER(F133))),$J$2=""),5&gt;MAX(1,Reprogramaciones!$U$15)),"",IF(Reprogramaciones!O$12&gt;=7,"",IF(OR(BX133-N(BW133)&gt;0.05,N(U133)&gt;0),ROUNDDOWN(ROUND(BX133,6),0)&amp;"%"&amp;IF(CN133="",""," / "&amp;CN133&amp;"%"),IF(AND(N(BW133)&gt;=99.95,CN133&lt;&gt;"",N(CN133)&lt;100),"Pend. "&amp;CN133&amp;"%",""))))</f>
        <v/>
      </c>
      <c r="AR133" s="40" t="str">
        <f aca="false">IF(OR(OR(NOT(AND(ISNUMBER(E133),ISNUMBER(F133))),$J$2=""),6&gt;MAX(1,Reprogramaciones!$U$15)),"",IF(Reprogramaciones!P$12&gt;=7,"",IF(OR(BY133-N(BX133)&gt;0.05,N(V133)&gt;0),ROUNDDOWN(ROUND(BY133,6),0)&amp;"%"&amp;IF(CO133="",""," / "&amp;CO133&amp;"%"),IF(AND(N(BX133)&gt;=99.95,CO133&lt;&gt;"",N(CO133)&lt;100),"Pend. "&amp;CO133&amp;"%",""))))</f>
        <v/>
      </c>
      <c r="AS133" s="40" t="str">
        <f aca="false">IF(OR(OR(NOT(AND(ISNUMBER(E133),ISNUMBER(F133))),$J$2=""),7&gt;MAX(1,Reprogramaciones!$U$15)),"",IF(Reprogramaciones!Q$12&gt;=7,"",IF(OR(BZ133-N(BY133)&gt;0.05,N(W133)&gt;0),ROUNDDOWN(ROUND(BZ133,6),0)&amp;"%"&amp;IF(CP133="",""," / "&amp;CP133&amp;"%"),IF(AND(N(BY133)&gt;=99.95,CP133&lt;&gt;"",N(CP133)&lt;100),"Pend. "&amp;CP133&amp;"%",""))))</f>
        <v/>
      </c>
      <c r="AT133" s="40" t="str">
        <f aca="false">IF(OR(OR(NOT(AND(ISNUMBER(E133),ISNUMBER(F133))),$J$2=""),8&gt;MAX(1,Reprogramaciones!$U$15)),"",IF(Reprogramaciones!R$12&gt;=7,"",IF(OR(CA133-N(BZ133)&gt;0.05,N(X133)&gt;0),ROUNDDOWN(ROUND(CA133,6),0)&amp;"%"&amp;IF(CQ133="",""," / "&amp;CQ133&amp;"%"),IF(AND(N(BZ133)&gt;=99.95,CQ133&lt;&gt;"",N(CQ133)&lt;100),"Pend. "&amp;CQ133&amp;"%",""))))</f>
        <v/>
      </c>
      <c r="AU133" s="40" t="str">
        <f aca="false">IF(OR(OR(NOT(AND(ISNUMBER(E133),ISNUMBER(F133))),$J$2=""),9&gt;MAX(1,Reprogramaciones!$U$15)),"",IF(Reprogramaciones!S$12&gt;=7,"",IF(OR(CB133-N(CA133)&gt;0.05,N(Y133)&gt;0),ROUNDDOWN(ROUND(CB133,6),0)&amp;"%"&amp;IF(CR133="",""," / "&amp;CR133&amp;"%"),IF(AND(N(CA133)&gt;=99.95,CR133&lt;&gt;"",N(CR133)&lt;100),"Pend. "&amp;CR133&amp;"%",""))))</f>
        <v/>
      </c>
      <c r="AV133" s="40" t="str">
        <f aca="false">IF(OR(OR(NOT(AND(ISNUMBER(E133),ISNUMBER(F133))),$J$2=""),10&gt;MAX(1,Reprogramaciones!$U$15)),"",IF(Reprogramaciones!T$12&gt;=7,"",IF(OR(CC133-N(CB133)&gt;0.05,N(Z133)&gt;0),ROUNDDOWN(ROUND(CC133,6),0)&amp;"%"&amp;IF(CS133="",""," / "&amp;CS133&amp;"%"),IF(AND(N(CB133)&gt;=99.95,CS133&lt;&gt;"",N(CS133)&lt;100),"Pend. "&amp;CS133&amp;"%",""))))</f>
        <v/>
      </c>
      <c r="AW133" s="40" t="str">
        <f aca="false">IF(OR(OR(NOT(AND(ISNUMBER(E133),ISNUMBER(F133))),$J$2=""),11&gt;MAX(1,Reprogramaciones!$U$15)),"",IF(Reprogramaciones!U$12&gt;=7,"",IF(OR(CD133-N(CC133)&gt;0.05,N(AA133)&gt;0),ROUNDDOWN(ROUND(CD133,6),0)&amp;"%"&amp;IF(CT133="",""," / "&amp;CT133&amp;"%"),IF(AND(N(CC133)&gt;=99.95,CT133&lt;&gt;"",N(CT133)&lt;100),"Pend. "&amp;CT133&amp;"%",""))))</f>
        <v/>
      </c>
      <c r="AX133" s="40" t="str">
        <f aca="false">IF(OR(OR(NOT(AND(ISNUMBER(E133),ISNUMBER(F133))),$J$2=""),12&gt;MAX(1,Reprogramaciones!$U$15)),"",IF(Reprogramaciones!V$12&gt;=7,"",IF(OR(CE133-N(CD133)&gt;0.05,N(AB133)&gt;0),ROUNDDOWN(ROUND(CE133,6),0)&amp;"%"&amp;IF(CU133="",""," / "&amp;CU133&amp;"%"),IF(AND(N(CD133)&gt;=99.95,CU133&lt;&gt;"",N(CU133)&lt;100),"Pend. "&amp;CU133&amp;"%",""))))</f>
        <v/>
      </c>
      <c r="AY133" s="40" t="str">
        <f aca="false">IF(OR(OR(NOT(AND(ISNUMBER(E133),ISNUMBER(F133))),$J$2=""),13&gt;MAX(1,Reprogramaciones!$U$15)),"",IF(Reprogramaciones!W$12&gt;=7,"",IF(OR(CF133-N(CE133)&gt;0.05,N(AC133)&gt;0),ROUNDDOWN(ROUND(CF133,6),0)&amp;"%"&amp;IF(CV133="",""," / "&amp;CV133&amp;"%"),IF(AND(N(CE133)&gt;=99.95,CV133&lt;&gt;"",N(CV133)&lt;100),"Pend. "&amp;CV133&amp;"%",""))))</f>
        <v/>
      </c>
      <c r="AZ133" s="40" t="str">
        <f aca="false">IF(OR(OR(NOT(AND(ISNUMBER(E133),ISNUMBER(F133))),$J$2=""),14&gt;MAX(1,Reprogramaciones!$U$15)),"",IF(Reprogramaciones!X$12&gt;=7,"",IF(OR(CG133-N(CF133)&gt;0.05,N(AD133)&gt;0),ROUNDDOWN(ROUND(CG133,6),0)&amp;"%"&amp;IF(CW133="",""," / "&amp;CW133&amp;"%"),IF(AND(N(CF133)&gt;=99.95,CW133&lt;&gt;"",N(CW133)&lt;100),"Pend. "&amp;CW133&amp;"%",""))))</f>
        <v/>
      </c>
      <c r="BA133" s="40" t="str">
        <f aca="false">IF(OR(OR(NOT(AND(ISNUMBER(E133),ISNUMBER(F133))),$J$2=""),15&gt;MAX(1,Reprogramaciones!$U$15)),"",IF(Reprogramaciones!Y$12&gt;=7,"",IF(OR(CH133-N(CG133)&gt;0.05,N(AE133)&gt;0),ROUNDDOWN(ROUND(CH133,6),0)&amp;"%"&amp;IF(CX133="",""," / "&amp;CX133&amp;"%"),IF(AND(N(CG133)&gt;=99.95,CX133&lt;&gt;"",N(CX133)&lt;100),"Pend. "&amp;CX133&amp;"%",""))))</f>
        <v/>
      </c>
      <c r="BB133" s="40" t="str">
        <f aca="false">IF(OR(OR(NOT(AND(ISNUMBER(E133),ISNUMBER(F133))),$J$2=""),16&gt;MAX(1,Reprogramaciones!$U$15)),"",IF(Reprogramaciones!Z$12&gt;=7,"",IF(OR(CI133-N(CH133)&gt;0.05,N(AF133)&gt;0),ROUNDDOWN(ROUND(CI133,6),0)&amp;"%"&amp;IF(CY133="",""," / "&amp;CY133&amp;"%"),IF(AND(N(CH133)&gt;=99.95,CY133&lt;&gt;"",N(CY133)&lt;100),"Pend. "&amp;CY133&amp;"%",""))))</f>
        <v/>
      </c>
      <c r="BC133" s="31" t="n">
        <f aca="false">IF(AND(ISNUMBER(E133),ISNUMBER(F133)),MAX(1,NETWORKDAYS.INTL(E133,F133,11)),0)</f>
        <v>0</v>
      </c>
      <c r="BD133" s="1" t="str">
        <f aca="false">IF(OR(NOT(AND(ISNUMBER(E133),ISNUMBER(F133))),$J$2=""),"",MIN(100,ROUND(SUM($G133:G133),1)))</f>
        <v/>
      </c>
      <c r="BE133" s="1" t="str">
        <f aca="false">IF(OR(NOT(AND(ISNUMBER(E133),ISNUMBER(F133))),$J$2=""),"",MIN(100,ROUND(SUM($G133:H133),1)))</f>
        <v/>
      </c>
      <c r="BF133" s="1" t="str">
        <f aca="false">IF(OR(NOT(AND(ISNUMBER(E133),ISNUMBER(F133))),$J$2=""),"",MIN(100,ROUND(SUM($G133:I133),1)))</f>
        <v/>
      </c>
      <c r="BG133" s="1" t="str">
        <f aca="false">IF(OR(NOT(AND(ISNUMBER(E133),ISNUMBER(F133))),$J$2=""),"",MIN(100,ROUND(SUM($G133:J133),1)))</f>
        <v/>
      </c>
      <c r="BH133" s="1" t="str">
        <f aca="false">IF(OR(NOT(AND(ISNUMBER(E133),ISNUMBER(F133))),$J$2=""),"",MIN(100,ROUND(SUM($G133:K133),1)))</f>
        <v/>
      </c>
      <c r="BI133" s="1" t="str">
        <f aca="false">IF(OR(NOT(AND(ISNUMBER(E133),ISNUMBER(F133))),$J$2=""),"",MIN(100,ROUND(SUM($G133:L133),1)))</f>
        <v/>
      </c>
      <c r="BJ133" s="1" t="str">
        <f aca="false">IF(OR(NOT(AND(ISNUMBER(E133),ISNUMBER(F133))),$J$2=""),"",MIN(100,ROUND(SUM($G133:M133),1)))</f>
        <v/>
      </c>
      <c r="BK133" s="1" t="str">
        <f aca="false">IF(OR(NOT(AND(ISNUMBER(E133),ISNUMBER(F133))),$J$2=""),"",MIN(100,ROUND(SUM($G133:N133),1)))</f>
        <v/>
      </c>
      <c r="BL133" s="1" t="str">
        <f aca="false">IF(OR(NOT(AND(ISNUMBER(E133),ISNUMBER(F133))),$J$2=""),"",MIN(100,ROUND(SUM($G133:O133),1)))</f>
        <v/>
      </c>
      <c r="BM133" s="1" t="str">
        <f aca="false">IF(OR(NOT(AND(ISNUMBER(E133),ISNUMBER(F133))),$J$2=""),"",MIN(100,ROUND(SUM($G133:P133),1)))</f>
        <v/>
      </c>
      <c r="BN133" s="1" t="str">
        <f aca="false">IF(OR(NOT(AND(ISNUMBER(E133),ISNUMBER(F133))),$J$2=""),"",MIN(100,ROUND(SUM($G133:P133),1)))</f>
        <v/>
      </c>
      <c r="BO133" s="1" t="str">
        <f aca="false">IF(OR(NOT(AND(ISNUMBER(E133),ISNUMBER(F133))),$J$2=""),"",MIN(100,ROUND(SUM($G133:P133),1)))</f>
        <v/>
      </c>
      <c r="BP133" s="1" t="str">
        <f aca="false">IF(OR(NOT(AND(ISNUMBER(E133),ISNUMBER(F133))),$J$2=""),"",MIN(100,ROUND(SUM($G133:P133),1)))</f>
        <v/>
      </c>
      <c r="BQ133" s="1" t="str">
        <f aca="false">IF(OR(NOT(AND(ISNUMBER(E133),ISNUMBER(F133))),$J$2=""),"",MIN(100,ROUND(SUM($G133:P133),1)))</f>
        <v/>
      </c>
      <c r="BR133" s="1" t="str">
        <f aca="false">IF(OR(NOT(AND(ISNUMBER(E133),ISNUMBER(F133))),$J$2=""),"",MIN(100,ROUND(SUM($G133:P133),1)))</f>
        <v/>
      </c>
      <c r="BS133" s="1" t="str">
        <f aca="false">IF(OR(NOT(AND(ISNUMBER(E133),ISNUMBER(F133))),$J$2=""),"",MIN(100,ROUND(SUM($G133:P133),1)))</f>
        <v/>
      </c>
      <c r="BT133" s="1" t="str">
        <f aca="false">IF(OR(NOT(AND(ISNUMBER(E133),ISNUMBER(F133))),$J$2=""),"",IF(Reprogramaciones!K$13&lt;Reprogramaciones!$T$15,0,IF(Reprogramaciones!K$14&gt;10,MIN(100,SUM($G133:$P133)),MIN(100,SUMPRODUCT((COLUMN($G133:$P133)-COLUMN($G133)+1&lt;Reprogramaciones!K$14)*$G133:$P133)+N(INDEX($G133:$P133,1,Reprogramaciones!K$14))*IF(Reprogramaciones!K$13&gt;=(Reprogramaciones!$T$15+7*(Reprogramaciones!K$14-1))+6,1,IF(MAX(0,NETWORKDAYS.INTL(MAX(E133,(Reprogramaciones!$T$15+7*(Reprogramaciones!K$14-1))),MIN(F133,(Reprogramaciones!$T$15+7*(Reprogramaciones!K$14-1))+6),11))=0,0,MAX(0,NETWORKDAYS.INTL(MAX(E133,(Reprogramaciones!$T$15+7*(Reprogramaciones!K$14-1))),MIN(F133,Reprogramaciones!K$13),11))/MAX(0,NETWORKDAYS.INTL(MAX(E133,(Reprogramaciones!$T$15+7*(Reprogramaciones!K$14-1))),MIN(F133,(Reprogramaciones!$T$15+7*(Reprogramaciones!K$14-1))+6),11))))))))</f>
        <v/>
      </c>
      <c r="BU133" s="1" t="str">
        <f aca="false">IF(OR(NOT(AND(ISNUMBER(E133),ISNUMBER(F133))),$J$2=""),"",IF(Reprogramaciones!L$13&lt;Reprogramaciones!$T$15,0,IF(Reprogramaciones!L$14&gt;10,MIN(100,SUM($G133:$P133)),MIN(100,SUMPRODUCT((COLUMN($G133:$P133)-COLUMN($G133)+1&lt;Reprogramaciones!L$14)*$G133:$P133)+N(INDEX($G133:$P133,1,Reprogramaciones!L$14))*IF(Reprogramaciones!L$13&gt;=(Reprogramaciones!$T$15+7*(Reprogramaciones!L$14-1))+6,1,IF(MAX(0,NETWORKDAYS.INTL(MAX(E133,(Reprogramaciones!$T$15+7*(Reprogramaciones!L$14-1))),MIN(F133,(Reprogramaciones!$T$15+7*(Reprogramaciones!L$14-1))+6),11))=0,0,MAX(0,NETWORKDAYS.INTL(MAX(E133,(Reprogramaciones!$T$15+7*(Reprogramaciones!L$14-1))),MIN(F133,Reprogramaciones!L$13),11))/MAX(0,NETWORKDAYS.INTL(MAX(E133,(Reprogramaciones!$T$15+7*(Reprogramaciones!L$14-1))),MIN(F133,(Reprogramaciones!$T$15+7*(Reprogramaciones!L$14-1))+6),11))))))))</f>
        <v/>
      </c>
      <c r="BV133" s="1" t="str">
        <f aca="false">IF(OR(NOT(AND(ISNUMBER(E133),ISNUMBER(F133))),$J$2=""),"",IF(Reprogramaciones!M$13&lt;Reprogramaciones!$T$15,0,IF(Reprogramaciones!M$14&gt;10,MIN(100,SUM($G133:$P133)),MIN(100,SUMPRODUCT((COLUMN($G133:$P133)-COLUMN($G133)+1&lt;Reprogramaciones!M$14)*$G133:$P133)+N(INDEX($G133:$P133,1,Reprogramaciones!M$14))*IF(Reprogramaciones!M$13&gt;=(Reprogramaciones!$T$15+7*(Reprogramaciones!M$14-1))+6,1,IF(MAX(0,NETWORKDAYS.INTL(MAX(E133,(Reprogramaciones!$T$15+7*(Reprogramaciones!M$14-1))),MIN(F133,(Reprogramaciones!$T$15+7*(Reprogramaciones!M$14-1))+6),11))=0,0,MAX(0,NETWORKDAYS.INTL(MAX(E133,(Reprogramaciones!$T$15+7*(Reprogramaciones!M$14-1))),MIN(F133,Reprogramaciones!M$13),11))/MAX(0,NETWORKDAYS.INTL(MAX(E133,(Reprogramaciones!$T$15+7*(Reprogramaciones!M$14-1))),MIN(F133,(Reprogramaciones!$T$15+7*(Reprogramaciones!M$14-1))+6),11))))))))</f>
        <v/>
      </c>
      <c r="BW133" s="1" t="str">
        <f aca="false">IF(OR(NOT(AND(ISNUMBER(E133),ISNUMBER(F133))),$J$2=""),"",IF(Reprogramaciones!N$13&lt;Reprogramaciones!$T$15,0,IF(Reprogramaciones!N$14&gt;10,MIN(100,SUM($G133:$P133)),MIN(100,SUMPRODUCT((COLUMN($G133:$P133)-COLUMN($G133)+1&lt;Reprogramaciones!N$14)*$G133:$P133)+N(INDEX($G133:$P133,1,Reprogramaciones!N$14))*IF(Reprogramaciones!N$13&gt;=(Reprogramaciones!$T$15+7*(Reprogramaciones!N$14-1))+6,1,IF(MAX(0,NETWORKDAYS.INTL(MAX(E133,(Reprogramaciones!$T$15+7*(Reprogramaciones!N$14-1))),MIN(F133,(Reprogramaciones!$T$15+7*(Reprogramaciones!N$14-1))+6),11))=0,0,MAX(0,NETWORKDAYS.INTL(MAX(E133,(Reprogramaciones!$T$15+7*(Reprogramaciones!N$14-1))),MIN(F133,Reprogramaciones!N$13),11))/MAX(0,NETWORKDAYS.INTL(MAX(E133,(Reprogramaciones!$T$15+7*(Reprogramaciones!N$14-1))),MIN(F133,(Reprogramaciones!$T$15+7*(Reprogramaciones!N$14-1))+6),11))))))))</f>
        <v/>
      </c>
      <c r="BX133" s="1" t="str">
        <f aca="false">IF(OR(NOT(AND(ISNUMBER(E133),ISNUMBER(F133))),$J$2=""),"",IF(Reprogramaciones!O$13&lt;Reprogramaciones!$T$15,0,IF(Reprogramaciones!O$14&gt;10,MIN(100,SUM($G133:$P133)),MIN(100,SUMPRODUCT((COLUMN($G133:$P133)-COLUMN($G133)+1&lt;Reprogramaciones!O$14)*$G133:$P133)+N(INDEX($G133:$P133,1,Reprogramaciones!O$14))*IF(Reprogramaciones!O$13&gt;=(Reprogramaciones!$T$15+7*(Reprogramaciones!O$14-1))+6,1,IF(MAX(0,NETWORKDAYS.INTL(MAX(E133,(Reprogramaciones!$T$15+7*(Reprogramaciones!O$14-1))),MIN(F133,(Reprogramaciones!$T$15+7*(Reprogramaciones!O$14-1))+6),11))=0,0,MAX(0,NETWORKDAYS.INTL(MAX(E133,(Reprogramaciones!$T$15+7*(Reprogramaciones!O$14-1))),MIN(F133,Reprogramaciones!O$13),11))/MAX(0,NETWORKDAYS.INTL(MAX(E133,(Reprogramaciones!$T$15+7*(Reprogramaciones!O$14-1))),MIN(F133,(Reprogramaciones!$T$15+7*(Reprogramaciones!O$14-1))+6),11))))))))</f>
        <v/>
      </c>
      <c r="BY133" s="1" t="str">
        <f aca="false">IF(OR(NOT(AND(ISNUMBER(E133),ISNUMBER(F133))),$J$2=""),"",IF(Reprogramaciones!P$13&lt;Reprogramaciones!$T$15,0,IF(Reprogramaciones!P$14&gt;10,MIN(100,SUM($G133:$P133)),MIN(100,SUMPRODUCT((COLUMN($G133:$P133)-COLUMN($G133)+1&lt;Reprogramaciones!P$14)*$G133:$P133)+N(INDEX($G133:$P133,1,Reprogramaciones!P$14))*IF(Reprogramaciones!P$13&gt;=(Reprogramaciones!$T$15+7*(Reprogramaciones!P$14-1))+6,1,IF(MAX(0,NETWORKDAYS.INTL(MAX(E133,(Reprogramaciones!$T$15+7*(Reprogramaciones!P$14-1))),MIN(F133,(Reprogramaciones!$T$15+7*(Reprogramaciones!P$14-1))+6),11))=0,0,MAX(0,NETWORKDAYS.INTL(MAX(E133,(Reprogramaciones!$T$15+7*(Reprogramaciones!P$14-1))),MIN(F133,Reprogramaciones!P$13),11))/MAX(0,NETWORKDAYS.INTL(MAX(E133,(Reprogramaciones!$T$15+7*(Reprogramaciones!P$14-1))),MIN(F133,(Reprogramaciones!$T$15+7*(Reprogramaciones!P$14-1))+6),11))))))))</f>
        <v/>
      </c>
      <c r="BZ133" s="1" t="str">
        <f aca="false">IF(OR(NOT(AND(ISNUMBER(E133),ISNUMBER(F133))),$J$2=""),"",IF(Reprogramaciones!Q$13&lt;Reprogramaciones!$T$15,0,IF(Reprogramaciones!Q$14&gt;10,MIN(100,SUM($G133:$P133)),MIN(100,SUMPRODUCT((COLUMN($G133:$P133)-COLUMN($G133)+1&lt;Reprogramaciones!Q$14)*$G133:$P133)+N(INDEX($G133:$P133,1,Reprogramaciones!Q$14))*IF(Reprogramaciones!Q$13&gt;=(Reprogramaciones!$T$15+7*(Reprogramaciones!Q$14-1))+6,1,IF(MAX(0,NETWORKDAYS.INTL(MAX(E133,(Reprogramaciones!$T$15+7*(Reprogramaciones!Q$14-1))),MIN(F133,(Reprogramaciones!$T$15+7*(Reprogramaciones!Q$14-1))+6),11))=0,0,MAX(0,NETWORKDAYS.INTL(MAX(E133,(Reprogramaciones!$T$15+7*(Reprogramaciones!Q$14-1))),MIN(F133,Reprogramaciones!Q$13),11))/MAX(0,NETWORKDAYS.INTL(MAX(E133,(Reprogramaciones!$T$15+7*(Reprogramaciones!Q$14-1))),MIN(F133,(Reprogramaciones!$T$15+7*(Reprogramaciones!Q$14-1))+6),11))))))))</f>
        <v/>
      </c>
      <c r="CA133" s="1" t="str">
        <f aca="false">IF(OR(NOT(AND(ISNUMBER(E133),ISNUMBER(F133))),$J$2=""),"",IF(Reprogramaciones!R$13&lt;Reprogramaciones!$T$15,0,IF(Reprogramaciones!R$14&gt;10,MIN(100,SUM($G133:$P133)),MIN(100,SUMPRODUCT((COLUMN($G133:$P133)-COLUMN($G133)+1&lt;Reprogramaciones!R$14)*$G133:$P133)+N(INDEX($G133:$P133,1,Reprogramaciones!R$14))*IF(Reprogramaciones!R$13&gt;=(Reprogramaciones!$T$15+7*(Reprogramaciones!R$14-1))+6,1,IF(MAX(0,NETWORKDAYS.INTL(MAX(E133,(Reprogramaciones!$T$15+7*(Reprogramaciones!R$14-1))),MIN(F133,(Reprogramaciones!$T$15+7*(Reprogramaciones!R$14-1))+6),11))=0,0,MAX(0,NETWORKDAYS.INTL(MAX(E133,(Reprogramaciones!$T$15+7*(Reprogramaciones!R$14-1))),MIN(F133,Reprogramaciones!R$13),11))/MAX(0,NETWORKDAYS.INTL(MAX(E133,(Reprogramaciones!$T$15+7*(Reprogramaciones!R$14-1))),MIN(F133,(Reprogramaciones!$T$15+7*(Reprogramaciones!R$14-1))+6),11))))))))</f>
        <v/>
      </c>
      <c r="CB133" s="1" t="str">
        <f aca="false">IF(OR(NOT(AND(ISNUMBER(E133),ISNUMBER(F133))),$J$2=""),"",IF(Reprogramaciones!S$13&lt;Reprogramaciones!$T$15,0,IF(Reprogramaciones!S$14&gt;10,MIN(100,SUM($G133:$P133)),MIN(100,SUMPRODUCT((COLUMN($G133:$P133)-COLUMN($G133)+1&lt;Reprogramaciones!S$14)*$G133:$P133)+N(INDEX($G133:$P133,1,Reprogramaciones!S$14))*IF(Reprogramaciones!S$13&gt;=(Reprogramaciones!$T$15+7*(Reprogramaciones!S$14-1))+6,1,IF(MAX(0,NETWORKDAYS.INTL(MAX(E133,(Reprogramaciones!$T$15+7*(Reprogramaciones!S$14-1))),MIN(F133,(Reprogramaciones!$T$15+7*(Reprogramaciones!S$14-1))+6),11))=0,0,MAX(0,NETWORKDAYS.INTL(MAX(E133,(Reprogramaciones!$T$15+7*(Reprogramaciones!S$14-1))),MIN(F133,Reprogramaciones!S$13),11))/MAX(0,NETWORKDAYS.INTL(MAX(E133,(Reprogramaciones!$T$15+7*(Reprogramaciones!S$14-1))),MIN(F133,(Reprogramaciones!$T$15+7*(Reprogramaciones!S$14-1))+6),11))))))))</f>
        <v/>
      </c>
      <c r="CC133" s="1" t="str">
        <f aca="false">IF(OR(NOT(AND(ISNUMBER(E133),ISNUMBER(F133))),$J$2=""),"",IF(Reprogramaciones!T$13&lt;Reprogramaciones!$T$15,0,IF(Reprogramaciones!T$14&gt;10,MIN(100,SUM($G133:$P133)),MIN(100,SUMPRODUCT((COLUMN($G133:$P133)-COLUMN($G133)+1&lt;Reprogramaciones!T$14)*$G133:$P133)+N(INDEX($G133:$P133,1,Reprogramaciones!T$14))*IF(Reprogramaciones!T$13&gt;=(Reprogramaciones!$T$15+7*(Reprogramaciones!T$14-1))+6,1,IF(MAX(0,NETWORKDAYS.INTL(MAX(E133,(Reprogramaciones!$T$15+7*(Reprogramaciones!T$14-1))),MIN(F133,(Reprogramaciones!$T$15+7*(Reprogramaciones!T$14-1))+6),11))=0,0,MAX(0,NETWORKDAYS.INTL(MAX(E133,(Reprogramaciones!$T$15+7*(Reprogramaciones!T$14-1))),MIN(F133,Reprogramaciones!T$13),11))/MAX(0,NETWORKDAYS.INTL(MAX(E133,(Reprogramaciones!$T$15+7*(Reprogramaciones!T$14-1))),MIN(F133,(Reprogramaciones!$T$15+7*(Reprogramaciones!T$14-1))+6),11))))))))</f>
        <v/>
      </c>
      <c r="CD133" s="1" t="str">
        <f aca="false">IF(OR(NOT(AND(ISNUMBER(E133),ISNUMBER(F133))),$J$2=""),"",IF(Reprogramaciones!U$13&lt;Reprogramaciones!$T$15,0,IF(Reprogramaciones!U$14&gt;10,MIN(100,SUM($G133:$P133)),MIN(100,SUMPRODUCT((COLUMN($G133:$P133)-COLUMN($G133)+1&lt;Reprogramaciones!U$14)*$G133:$P133)+N(INDEX($G133:$P133,1,Reprogramaciones!U$14))*IF(Reprogramaciones!U$13&gt;=(Reprogramaciones!$T$15+7*(Reprogramaciones!U$14-1))+6,1,IF(MAX(0,NETWORKDAYS.INTL(MAX(E133,(Reprogramaciones!$T$15+7*(Reprogramaciones!U$14-1))),MIN(F133,(Reprogramaciones!$T$15+7*(Reprogramaciones!U$14-1))+6),11))=0,0,MAX(0,NETWORKDAYS.INTL(MAX(E133,(Reprogramaciones!$T$15+7*(Reprogramaciones!U$14-1))),MIN(F133,Reprogramaciones!U$13),11))/MAX(0,NETWORKDAYS.INTL(MAX(E133,(Reprogramaciones!$T$15+7*(Reprogramaciones!U$14-1))),MIN(F133,(Reprogramaciones!$T$15+7*(Reprogramaciones!U$14-1))+6),11))))))))</f>
        <v/>
      </c>
      <c r="CE133" s="1" t="str">
        <f aca="false">IF(OR(NOT(AND(ISNUMBER(E133),ISNUMBER(F133))),$J$2=""),"",IF(Reprogramaciones!V$13&lt;Reprogramaciones!$T$15,0,IF(Reprogramaciones!V$14&gt;10,MIN(100,SUM($G133:$P133)),MIN(100,SUMPRODUCT((COLUMN($G133:$P133)-COLUMN($G133)+1&lt;Reprogramaciones!V$14)*$G133:$P133)+N(INDEX($G133:$P133,1,Reprogramaciones!V$14))*IF(Reprogramaciones!V$13&gt;=(Reprogramaciones!$T$15+7*(Reprogramaciones!V$14-1))+6,1,IF(MAX(0,NETWORKDAYS.INTL(MAX(E133,(Reprogramaciones!$T$15+7*(Reprogramaciones!V$14-1))),MIN(F133,(Reprogramaciones!$T$15+7*(Reprogramaciones!V$14-1))+6),11))=0,0,MAX(0,NETWORKDAYS.INTL(MAX(E133,(Reprogramaciones!$T$15+7*(Reprogramaciones!V$14-1))),MIN(F133,Reprogramaciones!V$13),11))/MAX(0,NETWORKDAYS.INTL(MAX(E133,(Reprogramaciones!$T$15+7*(Reprogramaciones!V$14-1))),MIN(F133,(Reprogramaciones!$T$15+7*(Reprogramaciones!V$14-1))+6),11))))))))</f>
        <v/>
      </c>
      <c r="CF133" s="1" t="str">
        <f aca="false">IF(OR(NOT(AND(ISNUMBER(E133),ISNUMBER(F133))),$J$2=""),"",IF(Reprogramaciones!W$13&lt;Reprogramaciones!$T$15,0,IF(Reprogramaciones!W$14&gt;10,MIN(100,SUM($G133:$P133)),MIN(100,SUMPRODUCT((COLUMN($G133:$P133)-COLUMN($G133)+1&lt;Reprogramaciones!W$14)*$G133:$P133)+N(INDEX($G133:$P133,1,Reprogramaciones!W$14))*IF(Reprogramaciones!W$13&gt;=(Reprogramaciones!$T$15+7*(Reprogramaciones!W$14-1))+6,1,IF(MAX(0,NETWORKDAYS.INTL(MAX(E133,(Reprogramaciones!$T$15+7*(Reprogramaciones!W$14-1))),MIN(F133,(Reprogramaciones!$T$15+7*(Reprogramaciones!W$14-1))+6),11))=0,0,MAX(0,NETWORKDAYS.INTL(MAX(E133,(Reprogramaciones!$T$15+7*(Reprogramaciones!W$14-1))),MIN(F133,Reprogramaciones!W$13),11))/MAX(0,NETWORKDAYS.INTL(MAX(E133,(Reprogramaciones!$T$15+7*(Reprogramaciones!W$14-1))),MIN(F133,(Reprogramaciones!$T$15+7*(Reprogramaciones!W$14-1))+6),11))))))))</f>
        <v/>
      </c>
      <c r="CG133" s="1" t="str">
        <f aca="false">IF(OR(NOT(AND(ISNUMBER(E133),ISNUMBER(F133))),$J$2=""),"",IF(Reprogramaciones!X$13&lt;Reprogramaciones!$T$15,0,IF(Reprogramaciones!X$14&gt;10,MIN(100,SUM($G133:$P133)),MIN(100,SUMPRODUCT((COLUMN($G133:$P133)-COLUMN($G133)+1&lt;Reprogramaciones!X$14)*$G133:$P133)+N(INDEX($G133:$P133,1,Reprogramaciones!X$14))*IF(Reprogramaciones!X$13&gt;=(Reprogramaciones!$T$15+7*(Reprogramaciones!X$14-1))+6,1,IF(MAX(0,NETWORKDAYS.INTL(MAX(E133,(Reprogramaciones!$T$15+7*(Reprogramaciones!X$14-1))),MIN(F133,(Reprogramaciones!$T$15+7*(Reprogramaciones!X$14-1))+6),11))=0,0,MAX(0,NETWORKDAYS.INTL(MAX(E133,(Reprogramaciones!$T$15+7*(Reprogramaciones!X$14-1))),MIN(F133,Reprogramaciones!X$13),11))/MAX(0,NETWORKDAYS.INTL(MAX(E133,(Reprogramaciones!$T$15+7*(Reprogramaciones!X$14-1))),MIN(F133,(Reprogramaciones!$T$15+7*(Reprogramaciones!X$14-1))+6),11))))))))</f>
        <v/>
      </c>
      <c r="CH133" s="1" t="str">
        <f aca="false">IF(OR(NOT(AND(ISNUMBER(E133),ISNUMBER(F133))),$J$2=""),"",IF(Reprogramaciones!Y$13&lt;Reprogramaciones!$T$15,0,IF(Reprogramaciones!Y$14&gt;10,MIN(100,SUM($G133:$P133)),MIN(100,SUMPRODUCT((COLUMN($G133:$P133)-COLUMN($G133)+1&lt;Reprogramaciones!Y$14)*$G133:$P133)+N(INDEX($G133:$P133,1,Reprogramaciones!Y$14))*IF(Reprogramaciones!Y$13&gt;=(Reprogramaciones!$T$15+7*(Reprogramaciones!Y$14-1))+6,1,IF(MAX(0,NETWORKDAYS.INTL(MAX(E133,(Reprogramaciones!$T$15+7*(Reprogramaciones!Y$14-1))),MIN(F133,(Reprogramaciones!$T$15+7*(Reprogramaciones!Y$14-1))+6),11))=0,0,MAX(0,NETWORKDAYS.INTL(MAX(E133,(Reprogramaciones!$T$15+7*(Reprogramaciones!Y$14-1))),MIN(F133,Reprogramaciones!Y$13),11))/MAX(0,NETWORKDAYS.INTL(MAX(E133,(Reprogramaciones!$T$15+7*(Reprogramaciones!Y$14-1))),MIN(F133,(Reprogramaciones!$T$15+7*(Reprogramaciones!Y$14-1))+6),11))))))))</f>
        <v/>
      </c>
      <c r="CI133" s="1" t="str">
        <f aca="false">IF(OR(NOT(AND(ISNUMBER(E133),ISNUMBER(F133))),$J$2=""),"",IF(Reprogramaciones!Z$13&lt;Reprogramaciones!$T$15,0,IF(Reprogramaciones!Z$14&gt;10,MIN(100,SUM($G133:$P133)),MIN(100,SUMPRODUCT((COLUMN($G133:$P133)-COLUMN($G133)+1&lt;Reprogramaciones!Z$14)*$G133:$P133)+N(INDEX($G133:$P133,1,Reprogramaciones!Z$14))*IF(Reprogramaciones!Z$13&gt;=(Reprogramaciones!$T$15+7*(Reprogramaciones!Z$14-1))+6,1,IF(MAX(0,NETWORKDAYS.INTL(MAX(E133,(Reprogramaciones!$T$15+7*(Reprogramaciones!Z$14-1))),MIN(F133,(Reprogramaciones!$T$15+7*(Reprogramaciones!Z$14-1))+6),11))=0,0,MAX(0,NETWORKDAYS.INTL(MAX(E133,(Reprogramaciones!$T$15+7*(Reprogramaciones!Z$14-1))),MIN(F133,Reprogramaciones!Z$13),11))/MAX(0,NETWORKDAYS.INTL(MAX(E133,(Reprogramaciones!$T$15+7*(Reprogramaciones!Z$14-1))),MIN(F133,(Reprogramaciones!$T$15+7*(Reprogramaciones!Z$14-1))+6),11))))))))</f>
        <v/>
      </c>
      <c r="CJ133" s="1" t="str">
        <f aca="false">IF(OR(OR(NOT(AND(ISNUMBER(E133),ISNUMBER(F133))),$J$2=""),1&gt;Reprogramaciones!$K$16),"",IF(ROUND(SUM($Q133:Q133),1)&gt;=99.5,100,MIN(100,ROUND(SUM($Q133:Q133),1))))</f>
        <v/>
      </c>
      <c r="CK133" s="1" t="str">
        <f aca="false">IF(OR(OR(NOT(AND(ISNUMBER(E133),ISNUMBER(F133))),$J$2=""),2&gt;Reprogramaciones!$K$16),"",IF(ROUND(SUM($Q133:R133),1)&gt;=99.5,100,MIN(100,ROUND(SUM($Q133:R133),1))))</f>
        <v/>
      </c>
      <c r="CL133" s="1" t="str">
        <f aca="false">IF(OR(OR(NOT(AND(ISNUMBER(E133),ISNUMBER(F133))),$J$2=""),3&gt;Reprogramaciones!$K$16),"",IF(ROUND(SUM($Q133:S133),1)&gt;=99.5,100,MIN(100,ROUND(SUM($Q133:S133),1))))</f>
        <v/>
      </c>
      <c r="CM133" s="1" t="str">
        <f aca="false">IF(OR(OR(NOT(AND(ISNUMBER(E133),ISNUMBER(F133))),$J$2=""),4&gt;Reprogramaciones!$K$16),"",IF(ROUND(SUM($Q133:T133),1)&gt;=99.5,100,MIN(100,ROUND(SUM($Q133:T133),1))))</f>
        <v/>
      </c>
      <c r="CN133" s="1" t="str">
        <f aca="false">IF(OR(OR(NOT(AND(ISNUMBER(E133),ISNUMBER(F133))),$J$2=""),5&gt;Reprogramaciones!$K$16),"",IF(ROUND(SUM($Q133:U133),1)&gt;=99.5,100,MIN(100,ROUND(SUM($Q133:U133),1))))</f>
        <v/>
      </c>
      <c r="CO133" s="1" t="str">
        <f aca="false">IF(OR(OR(NOT(AND(ISNUMBER(E133),ISNUMBER(F133))),$J$2=""),6&gt;Reprogramaciones!$K$16),"",IF(ROUND(SUM($Q133:V133),1)&gt;=99.5,100,MIN(100,ROUND(SUM($Q133:V133),1))))</f>
        <v/>
      </c>
      <c r="CP133" s="1" t="str">
        <f aca="false">IF(OR(OR(NOT(AND(ISNUMBER(E133),ISNUMBER(F133))),$J$2=""),7&gt;Reprogramaciones!$K$16),"",IF(ROUND(SUM($Q133:W133),1)&gt;=99.5,100,MIN(100,ROUND(SUM($Q133:W133),1))))</f>
        <v/>
      </c>
      <c r="CQ133" s="1" t="str">
        <f aca="false">IF(OR(OR(NOT(AND(ISNUMBER(E133),ISNUMBER(F133))),$J$2=""),8&gt;Reprogramaciones!$K$16),"",IF(ROUND(SUM($Q133:X133),1)&gt;=99.5,100,MIN(100,ROUND(SUM($Q133:X133),1))))</f>
        <v/>
      </c>
      <c r="CR133" s="1" t="str">
        <f aca="false">IF(OR(OR(NOT(AND(ISNUMBER(E133),ISNUMBER(F133))),$J$2=""),9&gt;Reprogramaciones!$K$16),"",IF(ROUND(SUM($Q133:Y133),1)&gt;=99.5,100,MIN(100,ROUND(SUM($Q133:Y133),1))))</f>
        <v/>
      </c>
      <c r="CS133" s="1" t="str">
        <f aca="false">IF(OR(OR(NOT(AND(ISNUMBER(E133),ISNUMBER(F133))),$J$2=""),10&gt;Reprogramaciones!$K$16),"",IF(ROUND(SUM($Q133:Z133),1)&gt;=99.5,100,MIN(100,ROUND(SUM($Q133:Z133),1))))</f>
        <v/>
      </c>
      <c r="CT133" s="1" t="str">
        <f aca="false">IF(OR(OR(NOT(AND(ISNUMBER(E133),ISNUMBER(F133))),$J$2=""),11&gt;Reprogramaciones!$K$16),"",IF(ROUND(SUM($Q133:AA133),1)&gt;=99.5,100,MIN(100,ROUND(SUM($Q133:AA133),1))))</f>
        <v/>
      </c>
      <c r="CU133" s="1" t="str">
        <f aca="false">IF(OR(OR(NOT(AND(ISNUMBER(E133),ISNUMBER(F133))),$J$2=""),12&gt;Reprogramaciones!$K$16),"",IF(ROUND(SUM($Q133:AB133),1)&gt;=99.5,100,MIN(100,ROUND(SUM($Q133:AB133),1))))</f>
        <v/>
      </c>
      <c r="CV133" s="1" t="str">
        <f aca="false">IF(OR(OR(NOT(AND(ISNUMBER(E133),ISNUMBER(F133))),$J$2=""),13&gt;Reprogramaciones!$K$16),"",IF(ROUND(SUM($Q133:AC133),1)&gt;=99.5,100,MIN(100,ROUND(SUM($Q133:AC133),1))))</f>
        <v/>
      </c>
      <c r="CW133" s="1" t="str">
        <f aca="false">IF(OR(OR(NOT(AND(ISNUMBER(E133),ISNUMBER(F133))),$J$2=""),14&gt;Reprogramaciones!$K$16),"",IF(ROUND(SUM($Q133:AD133),1)&gt;=99.5,100,MIN(100,ROUND(SUM($Q133:AD133),1))))</f>
        <v/>
      </c>
      <c r="CX133" s="1" t="str">
        <f aca="false">IF(OR(OR(NOT(AND(ISNUMBER(E133),ISNUMBER(F133))),$J$2=""),15&gt;Reprogramaciones!$K$16),"",IF(ROUND(SUM($Q133:AE133),1)&gt;=99.5,100,MIN(100,ROUND(SUM($Q133:AE133),1))))</f>
        <v/>
      </c>
      <c r="CY133" s="1" t="str">
        <f aca="false">IF(OR(OR(NOT(AND(ISNUMBER(E133),ISNUMBER(F133))),$J$2=""),16&gt;Reprogramaciones!$K$16),"",IF(ROUND(SUM($Q133:AF133),1)&gt;=99.5,100,MIN(100,ROUND(SUM($Q133:AF133),1))))</f>
        <v/>
      </c>
      <c r="CZ133" s="1" t="str">
        <f aca="false">IF(D133&lt;&gt;"",D133,IF(B133&lt;&gt;"","Contractual",CZ132))</f>
        <v>Contractual</v>
      </c>
      <c r="DA133" s="1" t="str">
        <f aca="false">IF(OR(NOT(AND(ISNUMBER(E133),ISNUMBER(F133))),$J$2=""),"",IF(Reprogramaciones!$Q$15&lt;Reprogramaciones!$T$15,0,IF(Reprogramaciones!$S$15&gt;10,MIN(100,SUM($G133:$P133)),MIN(100,SUMPRODUCT((COLUMN($G133:$P133)-COLUMN($G133)+1&lt;Reprogramaciones!$S$15)*$G133:$P133)+N(INDEX($G133:$P133,1,Reprogramaciones!$S$15))*IF(Reprogramaciones!$Q$15&gt;=(Reprogramaciones!$T$15+7*(Reprogramaciones!$S$15-1))+6,1,IF(MAX(0,NETWORKDAYS.INTL(MAX(E133,(Reprogramaciones!$T$15+7*(Reprogramaciones!$S$15-1))),MIN(F133,(Reprogramaciones!$T$15+7*(Reprogramaciones!$S$15-1))+6),11))=0,0,MAX(0,NETWORKDAYS.INTL(MAX(E133,(Reprogramaciones!$T$15+7*(Reprogramaciones!$S$15-1))),MIN(F133,Reprogramaciones!$Q$15),11))/MAX(0,NETWORKDAYS.INTL(MAX(E133,(Reprogramaciones!$T$15+7*(Reprogramaciones!$S$15-1))),MIN(F133,(Reprogramaciones!$T$15+7*(Reprogramaciones!$S$15-1))+6),11))))))))</f>
        <v/>
      </c>
    </row>
    <row r="134" customFormat="false" ht="15" hidden="false" customHeight="false" outlineLevel="0" collapsed="false">
      <c r="A134" s="32"/>
      <c r="B134" s="33"/>
      <c r="C134" s="33"/>
      <c r="D134" s="34"/>
      <c r="E134" s="35"/>
      <c r="F134" s="35"/>
      <c r="G134" s="36" t="str">
        <f aca="false">IF(OR(NOT(AND(ISNUMBER(E134),ISNUMBER(F134))),$J$2=""),"",IF(Reprogramaciones!K$9&lt;E134,0,IF(NETWORKDAYS.INTL(E134,F134,11)=0,IF(Reprogramaciones!K$9&gt;=F134,100,0),ROUND(NETWORKDAYS.INTL(E134,MIN(F134,Reprogramaciones!K$9),11)/NETWORKDAYS.INTL(E134,F134,11)*100,1)))-0)</f>
        <v/>
      </c>
      <c r="H134" s="36" t="str">
        <f aca="false">IF(OR(NOT(AND(ISNUMBER(E134),ISNUMBER(F134))),$J$2=""),"",IF(Reprogramaciones!L$9&lt;E134,0,IF(NETWORKDAYS.INTL(E134,F134,11)=0,IF(Reprogramaciones!L$9&gt;=F134,100,0),ROUND(NETWORKDAYS.INTL(E134,MIN(F134,Reprogramaciones!L$9),11)/NETWORKDAYS.INTL(E134,F134,11)*100,1)))-IF(Reprogramaciones!K$9&lt;E134,0,IF(NETWORKDAYS.INTL(E134,F134,11)=0,IF(Reprogramaciones!K$9&gt;=F134,100,0),ROUND(NETWORKDAYS.INTL(E134,MIN(F134,Reprogramaciones!K$9),11)/NETWORKDAYS.INTL(E134,F134,11)*100,1))))</f>
        <v/>
      </c>
      <c r="I134" s="36" t="str">
        <f aca="false">IF(OR(NOT(AND(ISNUMBER(E134),ISNUMBER(F134))),$J$2=""),"",IF(Reprogramaciones!M$9&lt;E134,0,IF(NETWORKDAYS.INTL(E134,F134,11)=0,IF(Reprogramaciones!M$9&gt;=F134,100,0),ROUND(NETWORKDAYS.INTL(E134,MIN(F134,Reprogramaciones!M$9),11)/NETWORKDAYS.INTL(E134,F134,11)*100,1)))-IF(Reprogramaciones!L$9&lt;E134,0,IF(NETWORKDAYS.INTL(E134,F134,11)=0,IF(Reprogramaciones!L$9&gt;=F134,100,0),ROUND(NETWORKDAYS.INTL(E134,MIN(F134,Reprogramaciones!L$9),11)/NETWORKDAYS.INTL(E134,F134,11)*100,1))))</f>
        <v/>
      </c>
      <c r="J134" s="36" t="str">
        <f aca="false">IF(OR(NOT(AND(ISNUMBER(E134),ISNUMBER(F134))),$J$2=""),"",IF(Reprogramaciones!N$9&lt;E134,0,IF(NETWORKDAYS.INTL(E134,F134,11)=0,IF(Reprogramaciones!N$9&gt;=F134,100,0),ROUND(NETWORKDAYS.INTL(E134,MIN(F134,Reprogramaciones!N$9),11)/NETWORKDAYS.INTL(E134,F134,11)*100,1)))-IF(Reprogramaciones!M$9&lt;E134,0,IF(NETWORKDAYS.INTL(E134,F134,11)=0,IF(Reprogramaciones!M$9&gt;=F134,100,0),ROUND(NETWORKDAYS.INTL(E134,MIN(F134,Reprogramaciones!M$9),11)/NETWORKDAYS.INTL(E134,F134,11)*100,1))))</f>
        <v/>
      </c>
      <c r="K134" s="36" t="str">
        <f aca="false">IF(OR(NOT(AND(ISNUMBER(E134),ISNUMBER(F134))),$J$2=""),"",IF(Reprogramaciones!O$9&lt;E134,0,IF(NETWORKDAYS.INTL(E134,F134,11)=0,IF(Reprogramaciones!O$9&gt;=F134,100,0),ROUND(NETWORKDAYS.INTL(E134,MIN(F134,Reprogramaciones!O$9),11)/NETWORKDAYS.INTL(E134,F134,11)*100,1)))-IF(Reprogramaciones!N$9&lt;E134,0,IF(NETWORKDAYS.INTL(E134,F134,11)=0,IF(Reprogramaciones!N$9&gt;=F134,100,0),ROUND(NETWORKDAYS.INTL(E134,MIN(F134,Reprogramaciones!N$9),11)/NETWORKDAYS.INTL(E134,F134,11)*100,1))))</f>
        <v/>
      </c>
      <c r="L134" s="36" t="str">
        <f aca="false">IF(OR(NOT(AND(ISNUMBER(E134),ISNUMBER(F134))),$J$2=""),"",IF(Reprogramaciones!P$9&lt;E134,0,IF(NETWORKDAYS.INTL(E134,F134,11)=0,IF(Reprogramaciones!P$9&gt;=F134,100,0),ROUND(NETWORKDAYS.INTL(E134,MIN(F134,Reprogramaciones!P$9),11)/NETWORKDAYS.INTL(E134,F134,11)*100,1)))-IF(Reprogramaciones!O$9&lt;E134,0,IF(NETWORKDAYS.INTL(E134,F134,11)=0,IF(Reprogramaciones!O$9&gt;=F134,100,0),ROUND(NETWORKDAYS.INTL(E134,MIN(F134,Reprogramaciones!O$9),11)/NETWORKDAYS.INTL(E134,F134,11)*100,1))))</f>
        <v/>
      </c>
      <c r="M134" s="36" t="str">
        <f aca="false">IF(OR(NOT(AND(ISNUMBER(E134),ISNUMBER(F134))),$J$2=""),"",IF(Reprogramaciones!Q$9&lt;E134,0,IF(NETWORKDAYS.INTL(E134,F134,11)=0,IF(Reprogramaciones!Q$9&gt;=F134,100,0),ROUND(NETWORKDAYS.INTL(E134,MIN(F134,Reprogramaciones!Q$9),11)/NETWORKDAYS.INTL(E134,F134,11)*100,1)))-IF(Reprogramaciones!P$9&lt;E134,0,IF(NETWORKDAYS.INTL(E134,F134,11)=0,IF(Reprogramaciones!P$9&gt;=F134,100,0),ROUND(NETWORKDAYS.INTL(E134,MIN(F134,Reprogramaciones!P$9),11)/NETWORKDAYS.INTL(E134,F134,11)*100,1))))</f>
        <v/>
      </c>
      <c r="N134" s="36" t="str">
        <f aca="false">IF(OR(NOT(AND(ISNUMBER(E134),ISNUMBER(F134))),$J$2=""),"",IF(Reprogramaciones!R$9&lt;E134,0,IF(NETWORKDAYS.INTL(E134,F134,11)=0,IF(Reprogramaciones!R$9&gt;=F134,100,0),ROUND(NETWORKDAYS.INTL(E134,MIN(F134,Reprogramaciones!R$9),11)/NETWORKDAYS.INTL(E134,F134,11)*100,1)))-IF(Reprogramaciones!Q$9&lt;E134,0,IF(NETWORKDAYS.INTL(E134,F134,11)=0,IF(Reprogramaciones!Q$9&gt;=F134,100,0),ROUND(NETWORKDAYS.INTL(E134,MIN(F134,Reprogramaciones!Q$9),11)/NETWORKDAYS.INTL(E134,F134,11)*100,1))))</f>
        <v/>
      </c>
      <c r="O134" s="36" t="str">
        <f aca="false">IF(OR(NOT(AND(ISNUMBER(E134),ISNUMBER(F134))),$J$2=""),"",IF(Reprogramaciones!S$9&lt;E134,0,IF(NETWORKDAYS.INTL(E134,F134,11)=0,IF(Reprogramaciones!S$9&gt;=F134,100,0),ROUND(NETWORKDAYS.INTL(E134,MIN(F134,Reprogramaciones!S$9),11)/NETWORKDAYS.INTL(E134,F134,11)*100,1)))-IF(Reprogramaciones!R$9&lt;E134,0,IF(NETWORKDAYS.INTL(E134,F134,11)=0,IF(Reprogramaciones!R$9&gt;=F134,100,0),ROUND(NETWORKDAYS.INTL(E134,MIN(F134,Reprogramaciones!R$9),11)/NETWORKDAYS.INTL(E134,F134,11)*100,1))))</f>
        <v/>
      </c>
      <c r="P134" s="36" t="str">
        <f aca="false">IF(OR(NOT(AND(ISNUMBER(E134),ISNUMBER(F134))),$J$2=""),"",IF(Reprogramaciones!T$9&lt;E134,0,IF(NETWORKDAYS.INTL(E134,F134,11)=0,IF(Reprogramaciones!T$9&gt;=F134,100,0),ROUND(NETWORKDAYS.INTL(E134,MIN(F134,Reprogramaciones!T$9),11)/NETWORKDAYS.INTL(E134,F134,11)*100,1)))-IF(Reprogramaciones!S$9&lt;E134,0,IF(NETWORKDAYS.INTL(E134,F134,11)=0,IF(Reprogramaciones!S$9&gt;=F134,100,0),ROUND(NETWORKDAYS.INTL(E134,MIN(F134,Reprogramaciones!S$9),11)/NETWORKDAYS.INTL(E134,F134,11)*100,1))))</f>
        <v/>
      </c>
      <c r="Q134" s="37"/>
      <c r="R134" s="37"/>
      <c r="S134" s="37"/>
      <c r="T134" s="37"/>
      <c r="U134" s="37"/>
      <c r="V134" s="37"/>
      <c r="W134" s="37"/>
      <c r="X134" s="37"/>
      <c r="Y134" s="37"/>
      <c r="Z134" s="37"/>
      <c r="AA134" s="37"/>
      <c r="AB134" s="37"/>
      <c r="AC134" s="37"/>
      <c r="AD134" s="37"/>
      <c r="AE134" s="37"/>
      <c r="AF134" s="37"/>
      <c r="AG134" s="38" t="str">
        <f aca="false">IF(AND(ISNUMBER(E134),ISNUMBER(F134)),NETWORKDAYS.INTL(E134,F134,11),"")</f>
        <v/>
      </c>
      <c r="AH134" s="38" t="str">
        <f aca="false">IF(OR(NOT(AND(ISNUMBER(E134),ISNUMBER(F134))),$J$2=""),"",IF(Reprogramaciones!$P$15&lt;Reprogramaciones!$T$15,0,IF(Reprogramaciones!$R$15&gt;10,MIN(100,SUM($G134:$P134)),MIN(100,SUMPRODUCT((COLUMN($G134:$P134)-COLUMN($G134)+1&lt;Reprogramaciones!$R$15)*$G134:$P134)+N(INDEX($G134:$P134,1,Reprogramaciones!$R$15))*IF(Reprogramaciones!$P$15&gt;=(Reprogramaciones!$T$15+7*(Reprogramaciones!$R$15-1))+6,1,IF(MAX(0,NETWORKDAYS.INTL(MAX(E134,(Reprogramaciones!$T$15+7*(Reprogramaciones!$R$15-1))),MIN(F134,(Reprogramaciones!$T$15+7*(Reprogramaciones!$R$15-1))+6),11))=0,0,MAX(0,NETWORKDAYS.INTL(MAX(E134,(Reprogramaciones!$T$15+7*(Reprogramaciones!$R$15-1))),MIN(F134,Reprogramaciones!$P$15),11))/MAX(0,NETWORKDAYS.INTL(MAX(E134,(Reprogramaciones!$T$15+7*(Reprogramaciones!$R$15-1))),MIN(F134,(Reprogramaciones!$T$15+7*(Reprogramaciones!$R$15-1))+6),11))))))))</f>
        <v/>
      </c>
      <c r="AI134" s="38" t="str">
        <f aca="false">IF(COUNT($Q134:$AF134)=0,"",IF(ROUND(SUM($Q134:$AF134),1)&gt;=99.5,100,MIN(100,ROUND(SUM($Q134:$AF134),1))))</f>
        <v/>
      </c>
      <c r="AJ134" s="38" t="str">
        <f aca="false">IF(OR(AH134="",AI134=""),"",AI134-AH134)</f>
        <v/>
      </c>
      <c r="AK134" s="39" t="str">
        <f aca="true">IF(AH134="","",IF(OR(Ficha!$C$10="Suspendida",Ficha!$C$10="Cancelada"),Ficha!$C$10,IF(AND(AI134&lt;&gt;"",N(AI134)&gt;=100),"Completada",IF(AND(E134&gt;TODAY(),N(AI134)=0),"Por iniciar",IF(N(AI134)+0.5&lt;AH134,"Retrasada",IF(N(AI134)+0.5&lt;DA134,IF(Reprogramaciones!$K$15&gt;0,"Al día · Sem "&amp;Reprogramaciones!$K$15&amp;" en curso","Al día · en curso"),"A tiempo"))))))</f>
        <v/>
      </c>
      <c r="AL134" s="39" t="str">
        <f aca="true">IF(AND(A134="",AND(B134="",C134="",E134="",F134="",COUNT(Q134:AF134)=0)),"",IF(AND(B134="",C134="",E134="",F134="",COUNT(Q134:AF134)=0),"Falta la partida o subpartida",IF(AND(A134&lt;&gt;"",COUNTIF($A$6:$A$305,A134)&gt;1),"Ítem repetido",IF(AND(C134="",E134="",F134="",COUNT(Q134:AF134)=0),"Título de partida",IF(OR(E134="",F134=""),"Faltan fechas",IF(OR(ISTEXT(E134),ISTEXT(F134)),"Fecha escrita como texto: usa dd/mm/aaaa",IF(F134&lt;E134,"Fin antes del inicio",IF(IF($J$2="",FALSE(),OR(E134&lt;$J$2,F134&gt;Reprogramaciones!$T$15+69)),"Fuera de las 10 semanas",IF(ABS(SUM(G134:P134)-100)&gt;0.5,"La meta no suma 100%",IF(ROUND(SUM(Q134:AF134),1)&gt;100.5,"El avance pasa de 100%",IF(MIN(Q134:AF134)&lt;0,"Avance negativo",IF(COUNTA(Q134:AF134)&gt;COUNT(Q134:AF134),"Avance escrito como texto",IF(SUMPRODUCT((Q134:AF134&gt;0)*(Q134:AF134&lt;1))&gt;0,"Avance menor a 1: escribe 50, no 50%",IF(SUMPRODUCT(ISNUMBER(Q134:AF134)*(Reprogramaciones!$K$8:$Z$8&gt;TODAY()))&gt;0,"Avance en semana que aún no llega",IF(AND(N(Reprogramaciones!$E$21)&gt;0,F134&gt;Reprogramaciones!$E$21),"Pasa el fin de la obra: registra una reprogramación",IF(AND(N(Reprogramaciones!$E$21)&gt;0,SUMPRODUCT(ISNUMBER(Q134:AF134)*(Reprogramaciones!$K$8:$Z$8&gt;Reprogramaciones!$E$21))&gt;0),"Avance después del fin de la obra: registra una reprogramación por atraso","OK"))))))))))))))))</f>
        <v/>
      </c>
      <c r="AM134" s="40" t="str">
        <f aca="false">IF(OR(OR(NOT(AND(ISNUMBER(E134),ISNUMBER(F134))),$J$2=""),1&gt;MAX(1,Reprogramaciones!$U$15)),"",IF(Reprogramaciones!K$12&gt;=7,"",IF(OR(BT134-N(0)&gt;0.05,N(Q134)&gt;0),ROUNDDOWN(ROUND(BT134,6),0)&amp;"%"&amp;IF(CJ134="",""," / "&amp;CJ134&amp;"%"),IF(AND(N(0)&gt;=99.95,CJ134&lt;&gt;"",N(CJ134)&lt;100),"Pend. "&amp;CJ134&amp;"%",""))))</f>
        <v/>
      </c>
      <c r="AN134" s="40" t="str">
        <f aca="false">IF(OR(OR(NOT(AND(ISNUMBER(E134),ISNUMBER(F134))),$J$2=""),2&gt;MAX(1,Reprogramaciones!$U$15)),"",IF(Reprogramaciones!L$12&gt;=7,"",IF(OR(BU134-N(BT134)&gt;0.05,N(R134)&gt;0),ROUNDDOWN(ROUND(BU134,6),0)&amp;"%"&amp;IF(CK134="",""," / "&amp;CK134&amp;"%"),IF(AND(N(BT134)&gt;=99.95,CK134&lt;&gt;"",N(CK134)&lt;100),"Pend. "&amp;CK134&amp;"%",""))))</f>
        <v/>
      </c>
      <c r="AO134" s="40" t="str">
        <f aca="false">IF(OR(OR(NOT(AND(ISNUMBER(E134),ISNUMBER(F134))),$J$2=""),3&gt;MAX(1,Reprogramaciones!$U$15)),"",IF(Reprogramaciones!M$12&gt;=7,"",IF(OR(BV134-N(BU134)&gt;0.05,N(S134)&gt;0),ROUNDDOWN(ROUND(BV134,6),0)&amp;"%"&amp;IF(CL134="",""," / "&amp;CL134&amp;"%"),IF(AND(N(BU134)&gt;=99.95,CL134&lt;&gt;"",N(CL134)&lt;100),"Pend. "&amp;CL134&amp;"%",""))))</f>
        <v/>
      </c>
      <c r="AP134" s="40" t="str">
        <f aca="false">IF(OR(OR(NOT(AND(ISNUMBER(E134),ISNUMBER(F134))),$J$2=""),4&gt;MAX(1,Reprogramaciones!$U$15)),"",IF(Reprogramaciones!N$12&gt;=7,"",IF(OR(BW134-N(BV134)&gt;0.05,N(T134)&gt;0),ROUNDDOWN(ROUND(BW134,6),0)&amp;"%"&amp;IF(CM134="",""," / "&amp;CM134&amp;"%"),IF(AND(N(BV134)&gt;=99.95,CM134&lt;&gt;"",N(CM134)&lt;100),"Pend. "&amp;CM134&amp;"%",""))))</f>
        <v/>
      </c>
      <c r="AQ134" s="40" t="str">
        <f aca="false">IF(OR(OR(NOT(AND(ISNUMBER(E134),ISNUMBER(F134))),$J$2=""),5&gt;MAX(1,Reprogramaciones!$U$15)),"",IF(Reprogramaciones!O$12&gt;=7,"",IF(OR(BX134-N(BW134)&gt;0.05,N(U134)&gt;0),ROUNDDOWN(ROUND(BX134,6),0)&amp;"%"&amp;IF(CN134="",""," / "&amp;CN134&amp;"%"),IF(AND(N(BW134)&gt;=99.95,CN134&lt;&gt;"",N(CN134)&lt;100),"Pend. "&amp;CN134&amp;"%",""))))</f>
        <v/>
      </c>
      <c r="AR134" s="40" t="str">
        <f aca="false">IF(OR(OR(NOT(AND(ISNUMBER(E134),ISNUMBER(F134))),$J$2=""),6&gt;MAX(1,Reprogramaciones!$U$15)),"",IF(Reprogramaciones!P$12&gt;=7,"",IF(OR(BY134-N(BX134)&gt;0.05,N(V134)&gt;0),ROUNDDOWN(ROUND(BY134,6),0)&amp;"%"&amp;IF(CO134="",""," / "&amp;CO134&amp;"%"),IF(AND(N(BX134)&gt;=99.95,CO134&lt;&gt;"",N(CO134)&lt;100),"Pend. "&amp;CO134&amp;"%",""))))</f>
        <v/>
      </c>
      <c r="AS134" s="40" t="str">
        <f aca="false">IF(OR(OR(NOT(AND(ISNUMBER(E134),ISNUMBER(F134))),$J$2=""),7&gt;MAX(1,Reprogramaciones!$U$15)),"",IF(Reprogramaciones!Q$12&gt;=7,"",IF(OR(BZ134-N(BY134)&gt;0.05,N(W134)&gt;0),ROUNDDOWN(ROUND(BZ134,6),0)&amp;"%"&amp;IF(CP134="",""," / "&amp;CP134&amp;"%"),IF(AND(N(BY134)&gt;=99.95,CP134&lt;&gt;"",N(CP134)&lt;100),"Pend. "&amp;CP134&amp;"%",""))))</f>
        <v/>
      </c>
      <c r="AT134" s="40" t="str">
        <f aca="false">IF(OR(OR(NOT(AND(ISNUMBER(E134),ISNUMBER(F134))),$J$2=""),8&gt;MAX(1,Reprogramaciones!$U$15)),"",IF(Reprogramaciones!R$12&gt;=7,"",IF(OR(CA134-N(BZ134)&gt;0.05,N(X134)&gt;0),ROUNDDOWN(ROUND(CA134,6),0)&amp;"%"&amp;IF(CQ134="",""," / "&amp;CQ134&amp;"%"),IF(AND(N(BZ134)&gt;=99.95,CQ134&lt;&gt;"",N(CQ134)&lt;100),"Pend. "&amp;CQ134&amp;"%",""))))</f>
        <v/>
      </c>
      <c r="AU134" s="40" t="str">
        <f aca="false">IF(OR(OR(NOT(AND(ISNUMBER(E134),ISNUMBER(F134))),$J$2=""),9&gt;MAX(1,Reprogramaciones!$U$15)),"",IF(Reprogramaciones!S$12&gt;=7,"",IF(OR(CB134-N(CA134)&gt;0.05,N(Y134)&gt;0),ROUNDDOWN(ROUND(CB134,6),0)&amp;"%"&amp;IF(CR134="",""," / "&amp;CR134&amp;"%"),IF(AND(N(CA134)&gt;=99.95,CR134&lt;&gt;"",N(CR134)&lt;100),"Pend. "&amp;CR134&amp;"%",""))))</f>
        <v/>
      </c>
      <c r="AV134" s="40" t="str">
        <f aca="false">IF(OR(OR(NOT(AND(ISNUMBER(E134),ISNUMBER(F134))),$J$2=""),10&gt;MAX(1,Reprogramaciones!$U$15)),"",IF(Reprogramaciones!T$12&gt;=7,"",IF(OR(CC134-N(CB134)&gt;0.05,N(Z134)&gt;0),ROUNDDOWN(ROUND(CC134,6),0)&amp;"%"&amp;IF(CS134="",""," / "&amp;CS134&amp;"%"),IF(AND(N(CB134)&gt;=99.95,CS134&lt;&gt;"",N(CS134)&lt;100),"Pend. "&amp;CS134&amp;"%",""))))</f>
        <v/>
      </c>
      <c r="AW134" s="40" t="str">
        <f aca="false">IF(OR(OR(NOT(AND(ISNUMBER(E134),ISNUMBER(F134))),$J$2=""),11&gt;MAX(1,Reprogramaciones!$U$15)),"",IF(Reprogramaciones!U$12&gt;=7,"",IF(OR(CD134-N(CC134)&gt;0.05,N(AA134)&gt;0),ROUNDDOWN(ROUND(CD134,6),0)&amp;"%"&amp;IF(CT134="",""," / "&amp;CT134&amp;"%"),IF(AND(N(CC134)&gt;=99.95,CT134&lt;&gt;"",N(CT134)&lt;100),"Pend. "&amp;CT134&amp;"%",""))))</f>
        <v/>
      </c>
      <c r="AX134" s="40" t="str">
        <f aca="false">IF(OR(OR(NOT(AND(ISNUMBER(E134),ISNUMBER(F134))),$J$2=""),12&gt;MAX(1,Reprogramaciones!$U$15)),"",IF(Reprogramaciones!V$12&gt;=7,"",IF(OR(CE134-N(CD134)&gt;0.05,N(AB134)&gt;0),ROUNDDOWN(ROUND(CE134,6),0)&amp;"%"&amp;IF(CU134="",""," / "&amp;CU134&amp;"%"),IF(AND(N(CD134)&gt;=99.95,CU134&lt;&gt;"",N(CU134)&lt;100),"Pend. "&amp;CU134&amp;"%",""))))</f>
        <v/>
      </c>
      <c r="AY134" s="40" t="str">
        <f aca="false">IF(OR(OR(NOT(AND(ISNUMBER(E134),ISNUMBER(F134))),$J$2=""),13&gt;MAX(1,Reprogramaciones!$U$15)),"",IF(Reprogramaciones!W$12&gt;=7,"",IF(OR(CF134-N(CE134)&gt;0.05,N(AC134)&gt;0),ROUNDDOWN(ROUND(CF134,6),0)&amp;"%"&amp;IF(CV134="",""," / "&amp;CV134&amp;"%"),IF(AND(N(CE134)&gt;=99.95,CV134&lt;&gt;"",N(CV134)&lt;100),"Pend. "&amp;CV134&amp;"%",""))))</f>
        <v/>
      </c>
      <c r="AZ134" s="40" t="str">
        <f aca="false">IF(OR(OR(NOT(AND(ISNUMBER(E134),ISNUMBER(F134))),$J$2=""),14&gt;MAX(1,Reprogramaciones!$U$15)),"",IF(Reprogramaciones!X$12&gt;=7,"",IF(OR(CG134-N(CF134)&gt;0.05,N(AD134)&gt;0),ROUNDDOWN(ROUND(CG134,6),0)&amp;"%"&amp;IF(CW134="",""," / "&amp;CW134&amp;"%"),IF(AND(N(CF134)&gt;=99.95,CW134&lt;&gt;"",N(CW134)&lt;100),"Pend. "&amp;CW134&amp;"%",""))))</f>
        <v/>
      </c>
      <c r="BA134" s="40" t="str">
        <f aca="false">IF(OR(OR(NOT(AND(ISNUMBER(E134),ISNUMBER(F134))),$J$2=""),15&gt;MAX(1,Reprogramaciones!$U$15)),"",IF(Reprogramaciones!Y$12&gt;=7,"",IF(OR(CH134-N(CG134)&gt;0.05,N(AE134)&gt;0),ROUNDDOWN(ROUND(CH134,6),0)&amp;"%"&amp;IF(CX134="",""," / "&amp;CX134&amp;"%"),IF(AND(N(CG134)&gt;=99.95,CX134&lt;&gt;"",N(CX134)&lt;100),"Pend. "&amp;CX134&amp;"%",""))))</f>
        <v/>
      </c>
      <c r="BB134" s="40" t="str">
        <f aca="false">IF(OR(OR(NOT(AND(ISNUMBER(E134),ISNUMBER(F134))),$J$2=""),16&gt;MAX(1,Reprogramaciones!$U$15)),"",IF(Reprogramaciones!Z$12&gt;=7,"",IF(OR(CI134-N(CH134)&gt;0.05,N(AF134)&gt;0),ROUNDDOWN(ROUND(CI134,6),0)&amp;"%"&amp;IF(CY134="",""," / "&amp;CY134&amp;"%"),IF(AND(N(CH134)&gt;=99.95,CY134&lt;&gt;"",N(CY134)&lt;100),"Pend. "&amp;CY134&amp;"%",""))))</f>
        <v/>
      </c>
      <c r="BC134" s="31" t="n">
        <f aca="false">IF(AND(ISNUMBER(E134),ISNUMBER(F134)),MAX(1,NETWORKDAYS.INTL(E134,F134,11)),0)</f>
        <v>0</v>
      </c>
      <c r="BD134" s="1" t="str">
        <f aca="false">IF(OR(NOT(AND(ISNUMBER(E134),ISNUMBER(F134))),$J$2=""),"",MIN(100,ROUND(SUM($G134:G134),1)))</f>
        <v/>
      </c>
      <c r="BE134" s="1" t="str">
        <f aca="false">IF(OR(NOT(AND(ISNUMBER(E134),ISNUMBER(F134))),$J$2=""),"",MIN(100,ROUND(SUM($G134:H134),1)))</f>
        <v/>
      </c>
      <c r="BF134" s="1" t="str">
        <f aca="false">IF(OR(NOT(AND(ISNUMBER(E134),ISNUMBER(F134))),$J$2=""),"",MIN(100,ROUND(SUM($G134:I134),1)))</f>
        <v/>
      </c>
      <c r="BG134" s="1" t="str">
        <f aca="false">IF(OR(NOT(AND(ISNUMBER(E134),ISNUMBER(F134))),$J$2=""),"",MIN(100,ROUND(SUM($G134:J134),1)))</f>
        <v/>
      </c>
      <c r="BH134" s="1" t="str">
        <f aca="false">IF(OR(NOT(AND(ISNUMBER(E134),ISNUMBER(F134))),$J$2=""),"",MIN(100,ROUND(SUM($G134:K134),1)))</f>
        <v/>
      </c>
      <c r="BI134" s="1" t="str">
        <f aca="false">IF(OR(NOT(AND(ISNUMBER(E134),ISNUMBER(F134))),$J$2=""),"",MIN(100,ROUND(SUM($G134:L134),1)))</f>
        <v/>
      </c>
      <c r="BJ134" s="1" t="str">
        <f aca="false">IF(OR(NOT(AND(ISNUMBER(E134),ISNUMBER(F134))),$J$2=""),"",MIN(100,ROUND(SUM($G134:M134),1)))</f>
        <v/>
      </c>
      <c r="BK134" s="1" t="str">
        <f aca="false">IF(OR(NOT(AND(ISNUMBER(E134),ISNUMBER(F134))),$J$2=""),"",MIN(100,ROUND(SUM($G134:N134),1)))</f>
        <v/>
      </c>
      <c r="BL134" s="1" t="str">
        <f aca="false">IF(OR(NOT(AND(ISNUMBER(E134),ISNUMBER(F134))),$J$2=""),"",MIN(100,ROUND(SUM($G134:O134),1)))</f>
        <v/>
      </c>
      <c r="BM134" s="1" t="str">
        <f aca="false">IF(OR(NOT(AND(ISNUMBER(E134),ISNUMBER(F134))),$J$2=""),"",MIN(100,ROUND(SUM($G134:P134),1)))</f>
        <v/>
      </c>
      <c r="BN134" s="1" t="str">
        <f aca="false">IF(OR(NOT(AND(ISNUMBER(E134),ISNUMBER(F134))),$J$2=""),"",MIN(100,ROUND(SUM($G134:P134),1)))</f>
        <v/>
      </c>
      <c r="BO134" s="1" t="str">
        <f aca="false">IF(OR(NOT(AND(ISNUMBER(E134),ISNUMBER(F134))),$J$2=""),"",MIN(100,ROUND(SUM($G134:P134),1)))</f>
        <v/>
      </c>
      <c r="BP134" s="1" t="str">
        <f aca="false">IF(OR(NOT(AND(ISNUMBER(E134),ISNUMBER(F134))),$J$2=""),"",MIN(100,ROUND(SUM($G134:P134),1)))</f>
        <v/>
      </c>
      <c r="BQ134" s="1" t="str">
        <f aca="false">IF(OR(NOT(AND(ISNUMBER(E134),ISNUMBER(F134))),$J$2=""),"",MIN(100,ROUND(SUM($G134:P134),1)))</f>
        <v/>
      </c>
      <c r="BR134" s="1" t="str">
        <f aca="false">IF(OR(NOT(AND(ISNUMBER(E134),ISNUMBER(F134))),$J$2=""),"",MIN(100,ROUND(SUM($G134:P134),1)))</f>
        <v/>
      </c>
      <c r="BS134" s="1" t="str">
        <f aca="false">IF(OR(NOT(AND(ISNUMBER(E134),ISNUMBER(F134))),$J$2=""),"",MIN(100,ROUND(SUM($G134:P134),1)))</f>
        <v/>
      </c>
      <c r="BT134" s="1" t="str">
        <f aca="false">IF(OR(NOT(AND(ISNUMBER(E134),ISNUMBER(F134))),$J$2=""),"",IF(Reprogramaciones!K$13&lt;Reprogramaciones!$T$15,0,IF(Reprogramaciones!K$14&gt;10,MIN(100,SUM($G134:$P134)),MIN(100,SUMPRODUCT((COLUMN($G134:$P134)-COLUMN($G134)+1&lt;Reprogramaciones!K$14)*$G134:$P134)+N(INDEX($G134:$P134,1,Reprogramaciones!K$14))*IF(Reprogramaciones!K$13&gt;=(Reprogramaciones!$T$15+7*(Reprogramaciones!K$14-1))+6,1,IF(MAX(0,NETWORKDAYS.INTL(MAX(E134,(Reprogramaciones!$T$15+7*(Reprogramaciones!K$14-1))),MIN(F134,(Reprogramaciones!$T$15+7*(Reprogramaciones!K$14-1))+6),11))=0,0,MAX(0,NETWORKDAYS.INTL(MAX(E134,(Reprogramaciones!$T$15+7*(Reprogramaciones!K$14-1))),MIN(F134,Reprogramaciones!K$13),11))/MAX(0,NETWORKDAYS.INTL(MAX(E134,(Reprogramaciones!$T$15+7*(Reprogramaciones!K$14-1))),MIN(F134,(Reprogramaciones!$T$15+7*(Reprogramaciones!K$14-1))+6),11))))))))</f>
        <v/>
      </c>
      <c r="BU134" s="1" t="str">
        <f aca="false">IF(OR(NOT(AND(ISNUMBER(E134),ISNUMBER(F134))),$J$2=""),"",IF(Reprogramaciones!L$13&lt;Reprogramaciones!$T$15,0,IF(Reprogramaciones!L$14&gt;10,MIN(100,SUM($G134:$P134)),MIN(100,SUMPRODUCT((COLUMN($G134:$P134)-COLUMN($G134)+1&lt;Reprogramaciones!L$14)*$G134:$P134)+N(INDEX($G134:$P134,1,Reprogramaciones!L$14))*IF(Reprogramaciones!L$13&gt;=(Reprogramaciones!$T$15+7*(Reprogramaciones!L$14-1))+6,1,IF(MAX(0,NETWORKDAYS.INTL(MAX(E134,(Reprogramaciones!$T$15+7*(Reprogramaciones!L$14-1))),MIN(F134,(Reprogramaciones!$T$15+7*(Reprogramaciones!L$14-1))+6),11))=0,0,MAX(0,NETWORKDAYS.INTL(MAX(E134,(Reprogramaciones!$T$15+7*(Reprogramaciones!L$14-1))),MIN(F134,Reprogramaciones!L$13),11))/MAX(0,NETWORKDAYS.INTL(MAX(E134,(Reprogramaciones!$T$15+7*(Reprogramaciones!L$14-1))),MIN(F134,(Reprogramaciones!$T$15+7*(Reprogramaciones!L$14-1))+6),11))))))))</f>
        <v/>
      </c>
      <c r="BV134" s="1" t="str">
        <f aca="false">IF(OR(NOT(AND(ISNUMBER(E134),ISNUMBER(F134))),$J$2=""),"",IF(Reprogramaciones!M$13&lt;Reprogramaciones!$T$15,0,IF(Reprogramaciones!M$14&gt;10,MIN(100,SUM($G134:$P134)),MIN(100,SUMPRODUCT((COLUMN($G134:$P134)-COLUMN($G134)+1&lt;Reprogramaciones!M$14)*$G134:$P134)+N(INDEX($G134:$P134,1,Reprogramaciones!M$14))*IF(Reprogramaciones!M$13&gt;=(Reprogramaciones!$T$15+7*(Reprogramaciones!M$14-1))+6,1,IF(MAX(0,NETWORKDAYS.INTL(MAX(E134,(Reprogramaciones!$T$15+7*(Reprogramaciones!M$14-1))),MIN(F134,(Reprogramaciones!$T$15+7*(Reprogramaciones!M$14-1))+6),11))=0,0,MAX(0,NETWORKDAYS.INTL(MAX(E134,(Reprogramaciones!$T$15+7*(Reprogramaciones!M$14-1))),MIN(F134,Reprogramaciones!M$13),11))/MAX(0,NETWORKDAYS.INTL(MAX(E134,(Reprogramaciones!$T$15+7*(Reprogramaciones!M$14-1))),MIN(F134,(Reprogramaciones!$T$15+7*(Reprogramaciones!M$14-1))+6),11))))))))</f>
        <v/>
      </c>
      <c r="BW134" s="1" t="str">
        <f aca="false">IF(OR(NOT(AND(ISNUMBER(E134),ISNUMBER(F134))),$J$2=""),"",IF(Reprogramaciones!N$13&lt;Reprogramaciones!$T$15,0,IF(Reprogramaciones!N$14&gt;10,MIN(100,SUM($G134:$P134)),MIN(100,SUMPRODUCT((COLUMN($G134:$P134)-COLUMN($G134)+1&lt;Reprogramaciones!N$14)*$G134:$P134)+N(INDEX($G134:$P134,1,Reprogramaciones!N$14))*IF(Reprogramaciones!N$13&gt;=(Reprogramaciones!$T$15+7*(Reprogramaciones!N$14-1))+6,1,IF(MAX(0,NETWORKDAYS.INTL(MAX(E134,(Reprogramaciones!$T$15+7*(Reprogramaciones!N$14-1))),MIN(F134,(Reprogramaciones!$T$15+7*(Reprogramaciones!N$14-1))+6),11))=0,0,MAX(0,NETWORKDAYS.INTL(MAX(E134,(Reprogramaciones!$T$15+7*(Reprogramaciones!N$14-1))),MIN(F134,Reprogramaciones!N$13),11))/MAX(0,NETWORKDAYS.INTL(MAX(E134,(Reprogramaciones!$T$15+7*(Reprogramaciones!N$14-1))),MIN(F134,(Reprogramaciones!$T$15+7*(Reprogramaciones!N$14-1))+6),11))))))))</f>
        <v/>
      </c>
      <c r="BX134" s="1" t="str">
        <f aca="false">IF(OR(NOT(AND(ISNUMBER(E134),ISNUMBER(F134))),$J$2=""),"",IF(Reprogramaciones!O$13&lt;Reprogramaciones!$T$15,0,IF(Reprogramaciones!O$14&gt;10,MIN(100,SUM($G134:$P134)),MIN(100,SUMPRODUCT((COLUMN($G134:$P134)-COLUMN($G134)+1&lt;Reprogramaciones!O$14)*$G134:$P134)+N(INDEX($G134:$P134,1,Reprogramaciones!O$14))*IF(Reprogramaciones!O$13&gt;=(Reprogramaciones!$T$15+7*(Reprogramaciones!O$14-1))+6,1,IF(MAX(0,NETWORKDAYS.INTL(MAX(E134,(Reprogramaciones!$T$15+7*(Reprogramaciones!O$14-1))),MIN(F134,(Reprogramaciones!$T$15+7*(Reprogramaciones!O$14-1))+6),11))=0,0,MAX(0,NETWORKDAYS.INTL(MAX(E134,(Reprogramaciones!$T$15+7*(Reprogramaciones!O$14-1))),MIN(F134,Reprogramaciones!O$13),11))/MAX(0,NETWORKDAYS.INTL(MAX(E134,(Reprogramaciones!$T$15+7*(Reprogramaciones!O$14-1))),MIN(F134,(Reprogramaciones!$T$15+7*(Reprogramaciones!O$14-1))+6),11))))))))</f>
        <v/>
      </c>
      <c r="BY134" s="1" t="str">
        <f aca="false">IF(OR(NOT(AND(ISNUMBER(E134),ISNUMBER(F134))),$J$2=""),"",IF(Reprogramaciones!P$13&lt;Reprogramaciones!$T$15,0,IF(Reprogramaciones!P$14&gt;10,MIN(100,SUM($G134:$P134)),MIN(100,SUMPRODUCT((COLUMN($G134:$P134)-COLUMN($G134)+1&lt;Reprogramaciones!P$14)*$G134:$P134)+N(INDEX($G134:$P134,1,Reprogramaciones!P$14))*IF(Reprogramaciones!P$13&gt;=(Reprogramaciones!$T$15+7*(Reprogramaciones!P$14-1))+6,1,IF(MAX(0,NETWORKDAYS.INTL(MAX(E134,(Reprogramaciones!$T$15+7*(Reprogramaciones!P$14-1))),MIN(F134,(Reprogramaciones!$T$15+7*(Reprogramaciones!P$14-1))+6),11))=0,0,MAX(0,NETWORKDAYS.INTL(MAX(E134,(Reprogramaciones!$T$15+7*(Reprogramaciones!P$14-1))),MIN(F134,Reprogramaciones!P$13),11))/MAX(0,NETWORKDAYS.INTL(MAX(E134,(Reprogramaciones!$T$15+7*(Reprogramaciones!P$14-1))),MIN(F134,(Reprogramaciones!$T$15+7*(Reprogramaciones!P$14-1))+6),11))))))))</f>
        <v/>
      </c>
      <c r="BZ134" s="1" t="str">
        <f aca="false">IF(OR(NOT(AND(ISNUMBER(E134),ISNUMBER(F134))),$J$2=""),"",IF(Reprogramaciones!Q$13&lt;Reprogramaciones!$T$15,0,IF(Reprogramaciones!Q$14&gt;10,MIN(100,SUM($G134:$P134)),MIN(100,SUMPRODUCT((COLUMN($G134:$P134)-COLUMN($G134)+1&lt;Reprogramaciones!Q$14)*$G134:$P134)+N(INDEX($G134:$P134,1,Reprogramaciones!Q$14))*IF(Reprogramaciones!Q$13&gt;=(Reprogramaciones!$T$15+7*(Reprogramaciones!Q$14-1))+6,1,IF(MAX(0,NETWORKDAYS.INTL(MAX(E134,(Reprogramaciones!$T$15+7*(Reprogramaciones!Q$14-1))),MIN(F134,(Reprogramaciones!$T$15+7*(Reprogramaciones!Q$14-1))+6),11))=0,0,MAX(0,NETWORKDAYS.INTL(MAX(E134,(Reprogramaciones!$T$15+7*(Reprogramaciones!Q$14-1))),MIN(F134,Reprogramaciones!Q$13),11))/MAX(0,NETWORKDAYS.INTL(MAX(E134,(Reprogramaciones!$T$15+7*(Reprogramaciones!Q$14-1))),MIN(F134,(Reprogramaciones!$T$15+7*(Reprogramaciones!Q$14-1))+6),11))))))))</f>
        <v/>
      </c>
      <c r="CA134" s="1" t="str">
        <f aca="false">IF(OR(NOT(AND(ISNUMBER(E134),ISNUMBER(F134))),$J$2=""),"",IF(Reprogramaciones!R$13&lt;Reprogramaciones!$T$15,0,IF(Reprogramaciones!R$14&gt;10,MIN(100,SUM($G134:$P134)),MIN(100,SUMPRODUCT((COLUMN($G134:$P134)-COLUMN($G134)+1&lt;Reprogramaciones!R$14)*$G134:$P134)+N(INDEX($G134:$P134,1,Reprogramaciones!R$14))*IF(Reprogramaciones!R$13&gt;=(Reprogramaciones!$T$15+7*(Reprogramaciones!R$14-1))+6,1,IF(MAX(0,NETWORKDAYS.INTL(MAX(E134,(Reprogramaciones!$T$15+7*(Reprogramaciones!R$14-1))),MIN(F134,(Reprogramaciones!$T$15+7*(Reprogramaciones!R$14-1))+6),11))=0,0,MAX(0,NETWORKDAYS.INTL(MAX(E134,(Reprogramaciones!$T$15+7*(Reprogramaciones!R$14-1))),MIN(F134,Reprogramaciones!R$13),11))/MAX(0,NETWORKDAYS.INTL(MAX(E134,(Reprogramaciones!$T$15+7*(Reprogramaciones!R$14-1))),MIN(F134,(Reprogramaciones!$T$15+7*(Reprogramaciones!R$14-1))+6),11))))))))</f>
        <v/>
      </c>
      <c r="CB134" s="1" t="str">
        <f aca="false">IF(OR(NOT(AND(ISNUMBER(E134),ISNUMBER(F134))),$J$2=""),"",IF(Reprogramaciones!S$13&lt;Reprogramaciones!$T$15,0,IF(Reprogramaciones!S$14&gt;10,MIN(100,SUM($G134:$P134)),MIN(100,SUMPRODUCT((COLUMN($G134:$P134)-COLUMN($G134)+1&lt;Reprogramaciones!S$14)*$G134:$P134)+N(INDEX($G134:$P134,1,Reprogramaciones!S$14))*IF(Reprogramaciones!S$13&gt;=(Reprogramaciones!$T$15+7*(Reprogramaciones!S$14-1))+6,1,IF(MAX(0,NETWORKDAYS.INTL(MAX(E134,(Reprogramaciones!$T$15+7*(Reprogramaciones!S$14-1))),MIN(F134,(Reprogramaciones!$T$15+7*(Reprogramaciones!S$14-1))+6),11))=0,0,MAX(0,NETWORKDAYS.INTL(MAX(E134,(Reprogramaciones!$T$15+7*(Reprogramaciones!S$14-1))),MIN(F134,Reprogramaciones!S$13),11))/MAX(0,NETWORKDAYS.INTL(MAX(E134,(Reprogramaciones!$T$15+7*(Reprogramaciones!S$14-1))),MIN(F134,(Reprogramaciones!$T$15+7*(Reprogramaciones!S$14-1))+6),11))))))))</f>
        <v/>
      </c>
      <c r="CC134" s="1" t="str">
        <f aca="false">IF(OR(NOT(AND(ISNUMBER(E134),ISNUMBER(F134))),$J$2=""),"",IF(Reprogramaciones!T$13&lt;Reprogramaciones!$T$15,0,IF(Reprogramaciones!T$14&gt;10,MIN(100,SUM($G134:$P134)),MIN(100,SUMPRODUCT((COLUMN($G134:$P134)-COLUMN($G134)+1&lt;Reprogramaciones!T$14)*$G134:$P134)+N(INDEX($G134:$P134,1,Reprogramaciones!T$14))*IF(Reprogramaciones!T$13&gt;=(Reprogramaciones!$T$15+7*(Reprogramaciones!T$14-1))+6,1,IF(MAX(0,NETWORKDAYS.INTL(MAX(E134,(Reprogramaciones!$T$15+7*(Reprogramaciones!T$14-1))),MIN(F134,(Reprogramaciones!$T$15+7*(Reprogramaciones!T$14-1))+6),11))=0,0,MAX(0,NETWORKDAYS.INTL(MAX(E134,(Reprogramaciones!$T$15+7*(Reprogramaciones!T$14-1))),MIN(F134,Reprogramaciones!T$13),11))/MAX(0,NETWORKDAYS.INTL(MAX(E134,(Reprogramaciones!$T$15+7*(Reprogramaciones!T$14-1))),MIN(F134,(Reprogramaciones!$T$15+7*(Reprogramaciones!T$14-1))+6),11))))))))</f>
        <v/>
      </c>
      <c r="CD134" s="1" t="str">
        <f aca="false">IF(OR(NOT(AND(ISNUMBER(E134),ISNUMBER(F134))),$J$2=""),"",IF(Reprogramaciones!U$13&lt;Reprogramaciones!$T$15,0,IF(Reprogramaciones!U$14&gt;10,MIN(100,SUM($G134:$P134)),MIN(100,SUMPRODUCT((COLUMN($G134:$P134)-COLUMN($G134)+1&lt;Reprogramaciones!U$14)*$G134:$P134)+N(INDEX($G134:$P134,1,Reprogramaciones!U$14))*IF(Reprogramaciones!U$13&gt;=(Reprogramaciones!$T$15+7*(Reprogramaciones!U$14-1))+6,1,IF(MAX(0,NETWORKDAYS.INTL(MAX(E134,(Reprogramaciones!$T$15+7*(Reprogramaciones!U$14-1))),MIN(F134,(Reprogramaciones!$T$15+7*(Reprogramaciones!U$14-1))+6),11))=0,0,MAX(0,NETWORKDAYS.INTL(MAX(E134,(Reprogramaciones!$T$15+7*(Reprogramaciones!U$14-1))),MIN(F134,Reprogramaciones!U$13),11))/MAX(0,NETWORKDAYS.INTL(MAX(E134,(Reprogramaciones!$T$15+7*(Reprogramaciones!U$14-1))),MIN(F134,(Reprogramaciones!$T$15+7*(Reprogramaciones!U$14-1))+6),11))))))))</f>
        <v/>
      </c>
      <c r="CE134" s="1" t="str">
        <f aca="false">IF(OR(NOT(AND(ISNUMBER(E134),ISNUMBER(F134))),$J$2=""),"",IF(Reprogramaciones!V$13&lt;Reprogramaciones!$T$15,0,IF(Reprogramaciones!V$14&gt;10,MIN(100,SUM($G134:$P134)),MIN(100,SUMPRODUCT((COLUMN($G134:$P134)-COLUMN($G134)+1&lt;Reprogramaciones!V$14)*$G134:$P134)+N(INDEX($G134:$P134,1,Reprogramaciones!V$14))*IF(Reprogramaciones!V$13&gt;=(Reprogramaciones!$T$15+7*(Reprogramaciones!V$14-1))+6,1,IF(MAX(0,NETWORKDAYS.INTL(MAX(E134,(Reprogramaciones!$T$15+7*(Reprogramaciones!V$14-1))),MIN(F134,(Reprogramaciones!$T$15+7*(Reprogramaciones!V$14-1))+6),11))=0,0,MAX(0,NETWORKDAYS.INTL(MAX(E134,(Reprogramaciones!$T$15+7*(Reprogramaciones!V$14-1))),MIN(F134,Reprogramaciones!V$13),11))/MAX(0,NETWORKDAYS.INTL(MAX(E134,(Reprogramaciones!$T$15+7*(Reprogramaciones!V$14-1))),MIN(F134,(Reprogramaciones!$T$15+7*(Reprogramaciones!V$14-1))+6),11))))))))</f>
        <v/>
      </c>
      <c r="CF134" s="1" t="str">
        <f aca="false">IF(OR(NOT(AND(ISNUMBER(E134),ISNUMBER(F134))),$J$2=""),"",IF(Reprogramaciones!W$13&lt;Reprogramaciones!$T$15,0,IF(Reprogramaciones!W$14&gt;10,MIN(100,SUM($G134:$P134)),MIN(100,SUMPRODUCT((COLUMN($G134:$P134)-COLUMN($G134)+1&lt;Reprogramaciones!W$14)*$G134:$P134)+N(INDEX($G134:$P134,1,Reprogramaciones!W$14))*IF(Reprogramaciones!W$13&gt;=(Reprogramaciones!$T$15+7*(Reprogramaciones!W$14-1))+6,1,IF(MAX(0,NETWORKDAYS.INTL(MAX(E134,(Reprogramaciones!$T$15+7*(Reprogramaciones!W$14-1))),MIN(F134,(Reprogramaciones!$T$15+7*(Reprogramaciones!W$14-1))+6),11))=0,0,MAX(0,NETWORKDAYS.INTL(MAX(E134,(Reprogramaciones!$T$15+7*(Reprogramaciones!W$14-1))),MIN(F134,Reprogramaciones!W$13),11))/MAX(0,NETWORKDAYS.INTL(MAX(E134,(Reprogramaciones!$T$15+7*(Reprogramaciones!W$14-1))),MIN(F134,(Reprogramaciones!$T$15+7*(Reprogramaciones!W$14-1))+6),11))))))))</f>
        <v/>
      </c>
      <c r="CG134" s="1" t="str">
        <f aca="false">IF(OR(NOT(AND(ISNUMBER(E134),ISNUMBER(F134))),$J$2=""),"",IF(Reprogramaciones!X$13&lt;Reprogramaciones!$T$15,0,IF(Reprogramaciones!X$14&gt;10,MIN(100,SUM($G134:$P134)),MIN(100,SUMPRODUCT((COLUMN($G134:$P134)-COLUMN($G134)+1&lt;Reprogramaciones!X$14)*$G134:$P134)+N(INDEX($G134:$P134,1,Reprogramaciones!X$14))*IF(Reprogramaciones!X$13&gt;=(Reprogramaciones!$T$15+7*(Reprogramaciones!X$14-1))+6,1,IF(MAX(0,NETWORKDAYS.INTL(MAX(E134,(Reprogramaciones!$T$15+7*(Reprogramaciones!X$14-1))),MIN(F134,(Reprogramaciones!$T$15+7*(Reprogramaciones!X$14-1))+6),11))=0,0,MAX(0,NETWORKDAYS.INTL(MAX(E134,(Reprogramaciones!$T$15+7*(Reprogramaciones!X$14-1))),MIN(F134,Reprogramaciones!X$13),11))/MAX(0,NETWORKDAYS.INTL(MAX(E134,(Reprogramaciones!$T$15+7*(Reprogramaciones!X$14-1))),MIN(F134,(Reprogramaciones!$T$15+7*(Reprogramaciones!X$14-1))+6),11))))))))</f>
        <v/>
      </c>
      <c r="CH134" s="1" t="str">
        <f aca="false">IF(OR(NOT(AND(ISNUMBER(E134),ISNUMBER(F134))),$J$2=""),"",IF(Reprogramaciones!Y$13&lt;Reprogramaciones!$T$15,0,IF(Reprogramaciones!Y$14&gt;10,MIN(100,SUM($G134:$P134)),MIN(100,SUMPRODUCT((COLUMN($G134:$P134)-COLUMN($G134)+1&lt;Reprogramaciones!Y$14)*$G134:$P134)+N(INDEX($G134:$P134,1,Reprogramaciones!Y$14))*IF(Reprogramaciones!Y$13&gt;=(Reprogramaciones!$T$15+7*(Reprogramaciones!Y$14-1))+6,1,IF(MAX(0,NETWORKDAYS.INTL(MAX(E134,(Reprogramaciones!$T$15+7*(Reprogramaciones!Y$14-1))),MIN(F134,(Reprogramaciones!$T$15+7*(Reprogramaciones!Y$14-1))+6),11))=0,0,MAX(0,NETWORKDAYS.INTL(MAX(E134,(Reprogramaciones!$T$15+7*(Reprogramaciones!Y$14-1))),MIN(F134,Reprogramaciones!Y$13),11))/MAX(0,NETWORKDAYS.INTL(MAX(E134,(Reprogramaciones!$T$15+7*(Reprogramaciones!Y$14-1))),MIN(F134,(Reprogramaciones!$T$15+7*(Reprogramaciones!Y$14-1))+6),11))))))))</f>
        <v/>
      </c>
      <c r="CI134" s="1" t="str">
        <f aca="false">IF(OR(NOT(AND(ISNUMBER(E134),ISNUMBER(F134))),$J$2=""),"",IF(Reprogramaciones!Z$13&lt;Reprogramaciones!$T$15,0,IF(Reprogramaciones!Z$14&gt;10,MIN(100,SUM($G134:$P134)),MIN(100,SUMPRODUCT((COLUMN($G134:$P134)-COLUMN($G134)+1&lt;Reprogramaciones!Z$14)*$G134:$P134)+N(INDEX($G134:$P134,1,Reprogramaciones!Z$14))*IF(Reprogramaciones!Z$13&gt;=(Reprogramaciones!$T$15+7*(Reprogramaciones!Z$14-1))+6,1,IF(MAX(0,NETWORKDAYS.INTL(MAX(E134,(Reprogramaciones!$T$15+7*(Reprogramaciones!Z$14-1))),MIN(F134,(Reprogramaciones!$T$15+7*(Reprogramaciones!Z$14-1))+6),11))=0,0,MAX(0,NETWORKDAYS.INTL(MAX(E134,(Reprogramaciones!$T$15+7*(Reprogramaciones!Z$14-1))),MIN(F134,Reprogramaciones!Z$13),11))/MAX(0,NETWORKDAYS.INTL(MAX(E134,(Reprogramaciones!$T$15+7*(Reprogramaciones!Z$14-1))),MIN(F134,(Reprogramaciones!$T$15+7*(Reprogramaciones!Z$14-1))+6),11))))))))</f>
        <v/>
      </c>
      <c r="CJ134" s="1" t="str">
        <f aca="false">IF(OR(OR(NOT(AND(ISNUMBER(E134),ISNUMBER(F134))),$J$2=""),1&gt;Reprogramaciones!$K$16),"",IF(ROUND(SUM($Q134:Q134),1)&gt;=99.5,100,MIN(100,ROUND(SUM($Q134:Q134),1))))</f>
        <v/>
      </c>
      <c r="CK134" s="1" t="str">
        <f aca="false">IF(OR(OR(NOT(AND(ISNUMBER(E134),ISNUMBER(F134))),$J$2=""),2&gt;Reprogramaciones!$K$16),"",IF(ROUND(SUM($Q134:R134),1)&gt;=99.5,100,MIN(100,ROUND(SUM($Q134:R134),1))))</f>
        <v/>
      </c>
      <c r="CL134" s="1" t="str">
        <f aca="false">IF(OR(OR(NOT(AND(ISNUMBER(E134),ISNUMBER(F134))),$J$2=""),3&gt;Reprogramaciones!$K$16),"",IF(ROUND(SUM($Q134:S134),1)&gt;=99.5,100,MIN(100,ROUND(SUM($Q134:S134),1))))</f>
        <v/>
      </c>
      <c r="CM134" s="1" t="str">
        <f aca="false">IF(OR(OR(NOT(AND(ISNUMBER(E134),ISNUMBER(F134))),$J$2=""),4&gt;Reprogramaciones!$K$16),"",IF(ROUND(SUM($Q134:T134),1)&gt;=99.5,100,MIN(100,ROUND(SUM($Q134:T134),1))))</f>
        <v/>
      </c>
      <c r="CN134" s="1" t="str">
        <f aca="false">IF(OR(OR(NOT(AND(ISNUMBER(E134),ISNUMBER(F134))),$J$2=""),5&gt;Reprogramaciones!$K$16),"",IF(ROUND(SUM($Q134:U134),1)&gt;=99.5,100,MIN(100,ROUND(SUM($Q134:U134),1))))</f>
        <v/>
      </c>
      <c r="CO134" s="1" t="str">
        <f aca="false">IF(OR(OR(NOT(AND(ISNUMBER(E134),ISNUMBER(F134))),$J$2=""),6&gt;Reprogramaciones!$K$16),"",IF(ROUND(SUM($Q134:V134),1)&gt;=99.5,100,MIN(100,ROUND(SUM($Q134:V134),1))))</f>
        <v/>
      </c>
      <c r="CP134" s="1" t="str">
        <f aca="false">IF(OR(OR(NOT(AND(ISNUMBER(E134),ISNUMBER(F134))),$J$2=""),7&gt;Reprogramaciones!$K$16),"",IF(ROUND(SUM($Q134:W134),1)&gt;=99.5,100,MIN(100,ROUND(SUM($Q134:W134),1))))</f>
        <v/>
      </c>
      <c r="CQ134" s="1" t="str">
        <f aca="false">IF(OR(OR(NOT(AND(ISNUMBER(E134),ISNUMBER(F134))),$J$2=""),8&gt;Reprogramaciones!$K$16),"",IF(ROUND(SUM($Q134:X134),1)&gt;=99.5,100,MIN(100,ROUND(SUM($Q134:X134),1))))</f>
        <v/>
      </c>
      <c r="CR134" s="1" t="str">
        <f aca="false">IF(OR(OR(NOT(AND(ISNUMBER(E134),ISNUMBER(F134))),$J$2=""),9&gt;Reprogramaciones!$K$16),"",IF(ROUND(SUM($Q134:Y134),1)&gt;=99.5,100,MIN(100,ROUND(SUM($Q134:Y134),1))))</f>
        <v/>
      </c>
      <c r="CS134" s="1" t="str">
        <f aca="false">IF(OR(OR(NOT(AND(ISNUMBER(E134),ISNUMBER(F134))),$J$2=""),10&gt;Reprogramaciones!$K$16),"",IF(ROUND(SUM($Q134:Z134),1)&gt;=99.5,100,MIN(100,ROUND(SUM($Q134:Z134),1))))</f>
        <v/>
      </c>
      <c r="CT134" s="1" t="str">
        <f aca="false">IF(OR(OR(NOT(AND(ISNUMBER(E134),ISNUMBER(F134))),$J$2=""),11&gt;Reprogramaciones!$K$16),"",IF(ROUND(SUM($Q134:AA134),1)&gt;=99.5,100,MIN(100,ROUND(SUM($Q134:AA134),1))))</f>
        <v/>
      </c>
      <c r="CU134" s="1" t="str">
        <f aca="false">IF(OR(OR(NOT(AND(ISNUMBER(E134),ISNUMBER(F134))),$J$2=""),12&gt;Reprogramaciones!$K$16),"",IF(ROUND(SUM($Q134:AB134),1)&gt;=99.5,100,MIN(100,ROUND(SUM($Q134:AB134),1))))</f>
        <v/>
      </c>
      <c r="CV134" s="1" t="str">
        <f aca="false">IF(OR(OR(NOT(AND(ISNUMBER(E134),ISNUMBER(F134))),$J$2=""),13&gt;Reprogramaciones!$K$16),"",IF(ROUND(SUM($Q134:AC134),1)&gt;=99.5,100,MIN(100,ROUND(SUM($Q134:AC134),1))))</f>
        <v/>
      </c>
      <c r="CW134" s="1" t="str">
        <f aca="false">IF(OR(OR(NOT(AND(ISNUMBER(E134),ISNUMBER(F134))),$J$2=""),14&gt;Reprogramaciones!$K$16),"",IF(ROUND(SUM($Q134:AD134),1)&gt;=99.5,100,MIN(100,ROUND(SUM($Q134:AD134),1))))</f>
        <v/>
      </c>
      <c r="CX134" s="1" t="str">
        <f aca="false">IF(OR(OR(NOT(AND(ISNUMBER(E134),ISNUMBER(F134))),$J$2=""),15&gt;Reprogramaciones!$K$16),"",IF(ROUND(SUM($Q134:AE134),1)&gt;=99.5,100,MIN(100,ROUND(SUM($Q134:AE134),1))))</f>
        <v/>
      </c>
      <c r="CY134" s="1" t="str">
        <f aca="false">IF(OR(OR(NOT(AND(ISNUMBER(E134),ISNUMBER(F134))),$J$2=""),16&gt;Reprogramaciones!$K$16),"",IF(ROUND(SUM($Q134:AF134),1)&gt;=99.5,100,MIN(100,ROUND(SUM($Q134:AF134),1))))</f>
        <v/>
      </c>
      <c r="CZ134" s="1" t="str">
        <f aca="false">IF(D134&lt;&gt;"",D134,IF(B134&lt;&gt;"","Contractual",CZ133))</f>
        <v>Contractual</v>
      </c>
      <c r="DA134" s="1" t="str">
        <f aca="false">IF(OR(NOT(AND(ISNUMBER(E134),ISNUMBER(F134))),$J$2=""),"",IF(Reprogramaciones!$Q$15&lt;Reprogramaciones!$T$15,0,IF(Reprogramaciones!$S$15&gt;10,MIN(100,SUM($G134:$P134)),MIN(100,SUMPRODUCT((COLUMN($G134:$P134)-COLUMN($G134)+1&lt;Reprogramaciones!$S$15)*$G134:$P134)+N(INDEX($G134:$P134,1,Reprogramaciones!$S$15))*IF(Reprogramaciones!$Q$15&gt;=(Reprogramaciones!$T$15+7*(Reprogramaciones!$S$15-1))+6,1,IF(MAX(0,NETWORKDAYS.INTL(MAX(E134,(Reprogramaciones!$T$15+7*(Reprogramaciones!$S$15-1))),MIN(F134,(Reprogramaciones!$T$15+7*(Reprogramaciones!$S$15-1))+6),11))=0,0,MAX(0,NETWORKDAYS.INTL(MAX(E134,(Reprogramaciones!$T$15+7*(Reprogramaciones!$S$15-1))),MIN(F134,Reprogramaciones!$Q$15),11))/MAX(0,NETWORKDAYS.INTL(MAX(E134,(Reprogramaciones!$T$15+7*(Reprogramaciones!$S$15-1))),MIN(F134,(Reprogramaciones!$T$15+7*(Reprogramaciones!$S$15-1))+6),11))))))))</f>
        <v/>
      </c>
    </row>
    <row r="135" customFormat="false" ht="15" hidden="false" customHeight="false" outlineLevel="0" collapsed="false">
      <c r="A135" s="32"/>
      <c r="B135" s="33"/>
      <c r="C135" s="33"/>
      <c r="D135" s="34"/>
      <c r="E135" s="35"/>
      <c r="F135" s="35"/>
      <c r="G135" s="36" t="str">
        <f aca="false">IF(OR(NOT(AND(ISNUMBER(E135),ISNUMBER(F135))),$J$2=""),"",IF(Reprogramaciones!K$9&lt;E135,0,IF(NETWORKDAYS.INTL(E135,F135,11)=0,IF(Reprogramaciones!K$9&gt;=F135,100,0),ROUND(NETWORKDAYS.INTL(E135,MIN(F135,Reprogramaciones!K$9),11)/NETWORKDAYS.INTL(E135,F135,11)*100,1)))-0)</f>
        <v/>
      </c>
      <c r="H135" s="36" t="str">
        <f aca="false">IF(OR(NOT(AND(ISNUMBER(E135),ISNUMBER(F135))),$J$2=""),"",IF(Reprogramaciones!L$9&lt;E135,0,IF(NETWORKDAYS.INTL(E135,F135,11)=0,IF(Reprogramaciones!L$9&gt;=F135,100,0),ROUND(NETWORKDAYS.INTL(E135,MIN(F135,Reprogramaciones!L$9),11)/NETWORKDAYS.INTL(E135,F135,11)*100,1)))-IF(Reprogramaciones!K$9&lt;E135,0,IF(NETWORKDAYS.INTL(E135,F135,11)=0,IF(Reprogramaciones!K$9&gt;=F135,100,0),ROUND(NETWORKDAYS.INTL(E135,MIN(F135,Reprogramaciones!K$9),11)/NETWORKDAYS.INTL(E135,F135,11)*100,1))))</f>
        <v/>
      </c>
      <c r="I135" s="36" t="str">
        <f aca="false">IF(OR(NOT(AND(ISNUMBER(E135),ISNUMBER(F135))),$J$2=""),"",IF(Reprogramaciones!M$9&lt;E135,0,IF(NETWORKDAYS.INTL(E135,F135,11)=0,IF(Reprogramaciones!M$9&gt;=F135,100,0),ROUND(NETWORKDAYS.INTL(E135,MIN(F135,Reprogramaciones!M$9),11)/NETWORKDAYS.INTL(E135,F135,11)*100,1)))-IF(Reprogramaciones!L$9&lt;E135,0,IF(NETWORKDAYS.INTL(E135,F135,11)=0,IF(Reprogramaciones!L$9&gt;=F135,100,0),ROUND(NETWORKDAYS.INTL(E135,MIN(F135,Reprogramaciones!L$9),11)/NETWORKDAYS.INTL(E135,F135,11)*100,1))))</f>
        <v/>
      </c>
      <c r="J135" s="36" t="str">
        <f aca="false">IF(OR(NOT(AND(ISNUMBER(E135),ISNUMBER(F135))),$J$2=""),"",IF(Reprogramaciones!N$9&lt;E135,0,IF(NETWORKDAYS.INTL(E135,F135,11)=0,IF(Reprogramaciones!N$9&gt;=F135,100,0),ROUND(NETWORKDAYS.INTL(E135,MIN(F135,Reprogramaciones!N$9),11)/NETWORKDAYS.INTL(E135,F135,11)*100,1)))-IF(Reprogramaciones!M$9&lt;E135,0,IF(NETWORKDAYS.INTL(E135,F135,11)=0,IF(Reprogramaciones!M$9&gt;=F135,100,0),ROUND(NETWORKDAYS.INTL(E135,MIN(F135,Reprogramaciones!M$9),11)/NETWORKDAYS.INTL(E135,F135,11)*100,1))))</f>
        <v/>
      </c>
      <c r="K135" s="36" t="str">
        <f aca="false">IF(OR(NOT(AND(ISNUMBER(E135),ISNUMBER(F135))),$J$2=""),"",IF(Reprogramaciones!O$9&lt;E135,0,IF(NETWORKDAYS.INTL(E135,F135,11)=0,IF(Reprogramaciones!O$9&gt;=F135,100,0),ROUND(NETWORKDAYS.INTL(E135,MIN(F135,Reprogramaciones!O$9),11)/NETWORKDAYS.INTL(E135,F135,11)*100,1)))-IF(Reprogramaciones!N$9&lt;E135,0,IF(NETWORKDAYS.INTL(E135,F135,11)=0,IF(Reprogramaciones!N$9&gt;=F135,100,0),ROUND(NETWORKDAYS.INTL(E135,MIN(F135,Reprogramaciones!N$9),11)/NETWORKDAYS.INTL(E135,F135,11)*100,1))))</f>
        <v/>
      </c>
      <c r="L135" s="36" t="str">
        <f aca="false">IF(OR(NOT(AND(ISNUMBER(E135),ISNUMBER(F135))),$J$2=""),"",IF(Reprogramaciones!P$9&lt;E135,0,IF(NETWORKDAYS.INTL(E135,F135,11)=0,IF(Reprogramaciones!P$9&gt;=F135,100,0),ROUND(NETWORKDAYS.INTL(E135,MIN(F135,Reprogramaciones!P$9),11)/NETWORKDAYS.INTL(E135,F135,11)*100,1)))-IF(Reprogramaciones!O$9&lt;E135,0,IF(NETWORKDAYS.INTL(E135,F135,11)=0,IF(Reprogramaciones!O$9&gt;=F135,100,0),ROUND(NETWORKDAYS.INTL(E135,MIN(F135,Reprogramaciones!O$9),11)/NETWORKDAYS.INTL(E135,F135,11)*100,1))))</f>
        <v/>
      </c>
      <c r="M135" s="36" t="str">
        <f aca="false">IF(OR(NOT(AND(ISNUMBER(E135),ISNUMBER(F135))),$J$2=""),"",IF(Reprogramaciones!Q$9&lt;E135,0,IF(NETWORKDAYS.INTL(E135,F135,11)=0,IF(Reprogramaciones!Q$9&gt;=F135,100,0),ROUND(NETWORKDAYS.INTL(E135,MIN(F135,Reprogramaciones!Q$9),11)/NETWORKDAYS.INTL(E135,F135,11)*100,1)))-IF(Reprogramaciones!P$9&lt;E135,0,IF(NETWORKDAYS.INTL(E135,F135,11)=0,IF(Reprogramaciones!P$9&gt;=F135,100,0),ROUND(NETWORKDAYS.INTL(E135,MIN(F135,Reprogramaciones!P$9),11)/NETWORKDAYS.INTL(E135,F135,11)*100,1))))</f>
        <v/>
      </c>
      <c r="N135" s="36" t="str">
        <f aca="false">IF(OR(NOT(AND(ISNUMBER(E135),ISNUMBER(F135))),$J$2=""),"",IF(Reprogramaciones!R$9&lt;E135,0,IF(NETWORKDAYS.INTL(E135,F135,11)=0,IF(Reprogramaciones!R$9&gt;=F135,100,0),ROUND(NETWORKDAYS.INTL(E135,MIN(F135,Reprogramaciones!R$9),11)/NETWORKDAYS.INTL(E135,F135,11)*100,1)))-IF(Reprogramaciones!Q$9&lt;E135,0,IF(NETWORKDAYS.INTL(E135,F135,11)=0,IF(Reprogramaciones!Q$9&gt;=F135,100,0),ROUND(NETWORKDAYS.INTL(E135,MIN(F135,Reprogramaciones!Q$9),11)/NETWORKDAYS.INTL(E135,F135,11)*100,1))))</f>
        <v/>
      </c>
      <c r="O135" s="36" t="str">
        <f aca="false">IF(OR(NOT(AND(ISNUMBER(E135),ISNUMBER(F135))),$J$2=""),"",IF(Reprogramaciones!S$9&lt;E135,0,IF(NETWORKDAYS.INTL(E135,F135,11)=0,IF(Reprogramaciones!S$9&gt;=F135,100,0),ROUND(NETWORKDAYS.INTL(E135,MIN(F135,Reprogramaciones!S$9),11)/NETWORKDAYS.INTL(E135,F135,11)*100,1)))-IF(Reprogramaciones!R$9&lt;E135,0,IF(NETWORKDAYS.INTL(E135,F135,11)=0,IF(Reprogramaciones!R$9&gt;=F135,100,0),ROUND(NETWORKDAYS.INTL(E135,MIN(F135,Reprogramaciones!R$9),11)/NETWORKDAYS.INTL(E135,F135,11)*100,1))))</f>
        <v/>
      </c>
      <c r="P135" s="36" t="str">
        <f aca="false">IF(OR(NOT(AND(ISNUMBER(E135),ISNUMBER(F135))),$J$2=""),"",IF(Reprogramaciones!T$9&lt;E135,0,IF(NETWORKDAYS.INTL(E135,F135,11)=0,IF(Reprogramaciones!T$9&gt;=F135,100,0),ROUND(NETWORKDAYS.INTL(E135,MIN(F135,Reprogramaciones!T$9),11)/NETWORKDAYS.INTL(E135,F135,11)*100,1)))-IF(Reprogramaciones!S$9&lt;E135,0,IF(NETWORKDAYS.INTL(E135,F135,11)=0,IF(Reprogramaciones!S$9&gt;=F135,100,0),ROUND(NETWORKDAYS.INTL(E135,MIN(F135,Reprogramaciones!S$9),11)/NETWORKDAYS.INTL(E135,F135,11)*100,1))))</f>
        <v/>
      </c>
      <c r="Q135" s="37"/>
      <c r="R135" s="37"/>
      <c r="S135" s="37"/>
      <c r="T135" s="37"/>
      <c r="U135" s="37"/>
      <c r="V135" s="37"/>
      <c r="W135" s="37"/>
      <c r="X135" s="37"/>
      <c r="Y135" s="37"/>
      <c r="Z135" s="37"/>
      <c r="AA135" s="37"/>
      <c r="AB135" s="37"/>
      <c r="AC135" s="37"/>
      <c r="AD135" s="37"/>
      <c r="AE135" s="37"/>
      <c r="AF135" s="37"/>
      <c r="AG135" s="38" t="str">
        <f aca="false">IF(AND(ISNUMBER(E135),ISNUMBER(F135)),NETWORKDAYS.INTL(E135,F135,11),"")</f>
        <v/>
      </c>
      <c r="AH135" s="38" t="str">
        <f aca="false">IF(OR(NOT(AND(ISNUMBER(E135),ISNUMBER(F135))),$J$2=""),"",IF(Reprogramaciones!$P$15&lt;Reprogramaciones!$T$15,0,IF(Reprogramaciones!$R$15&gt;10,MIN(100,SUM($G135:$P135)),MIN(100,SUMPRODUCT((COLUMN($G135:$P135)-COLUMN($G135)+1&lt;Reprogramaciones!$R$15)*$G135:$P135)+N(INDEX($G135:$P135,1,Reprogramaciones!$R$15))*IF(Reprogramaciones!$P$15&gt;=(Reprogramaciones!$T$15+7*(Reprogramaciones!$R$15-1))+6,1,IF(MAX(0,NETWORKDAYS.INTL(MAX(E135,(Reprogramaciones!$T$15+7*(Reprogramaciones!$R$15-1))),MIN(F135,(Reprogramaciones!$T$15+7*(Reprogramaciones!$R$15-1))+6),11))=0,0,MAX(0,NETWORKDAYS.INTL(MAX(E135,(Reprogramaciones!$T$15+7*(Reprogramaciones!$R$15-1))),MIN(F135,Reprogramaciones!$P$15),11))/MAX(0,NETWORKDAYS.INTL(MAX(E135,(Reprogramaciones!$T$15+7*(Reprogramaciones!$R$15-1))),MIN(F135,(Reprogramaciones!$T$15+7*(Reprogramaciones!$R$15-1))+6),11))))))))</f>
        <v/>
      </c>
      <c r="AI135" s="38" t="str">
        <f aca="false">IF(COUNT($Q135:$AF135)=0,"",IF(ROUND(SUM($Q135:$AF135),1)&gt;=99.5,100,MIN(100,ROUND(SUM($Q135:$AF135),1))))</f>
        <v/>
      </c>
      <c r="AJ135" s="38" t="str">
        <f aca="false">IF(OR(AH135="",AI135=""),"",AI135-AH135)</f>
        <v/>
      </c>
      <c r="AK135" s="39" t="str">
        <f aca="true">IF(AH135="","",IF(OR(Ficha!$C$10="Suspendida",Ficha!$C$10="Cancelada"),Ficha!$C$10,IF(AND(AI135&lt;&gt;"",N(AI135)&gt;=100),"Completada",IF(AND(E135&gt;TODAY(),N(AI135)=0),"Por iniciar",IF(N(AI135)+0.5&lt;AH135,"Retrasada",IF(N(AI135)+0.5&lt;DA135,IF(Reprogramaciones!$K$15&gt;0,"Al día · Sem "&amp;Reprogramaciones!$K$15&amp;" en curso","Al día · en curso"),"A tiempo"))))))</f>
        <v/>
      </c>
      <c r="AL135" s="39" t="str">
        <f aca="true">IF(AND(A135="",AND(B135="",C135="",E135="",F135="",COUNT(Q135:AF135)=0)),"",IF(AND(B135="",C135="",E135="",F135="",COUNT(Q135:AF135)=0),"Falta la partida o subpartida",IF(AND(A135&lt;&gt;"",COUNTIF($A$6:$A$305,A135)&gt;1),"Ítem repetido",IF(AND(C135="",E135="",F135="",COUNT(Q135:AF135)=0),"Título de partida",IF(OR(E135="",F135=""),"Faltan fechas",IF(OR(ISTEXT(E135),ISTEXT(F135)),"Fecha escrita como texto: usa dd/mm/aaaa",IF(F135&lt;E135,"Fin antes del inicio",IF(IF($J$2="",FALSE(),OR(E135&lt;$J$2,F135&gt;Reprogramaciones!$T$15+69)),"Fuera de las 10 semanas",IF(ABS(SUM(G135:P135)-100)&gt;0.5,"La meta no suma 100%",IF(ROUND(SUM(Q135:AF135),1)&gt;100.5,"El avance pasa de 100%",IF(MIN(Q135:AF135)&lt;0,"Avance negativo",IF(COUNTA(Q135:AF135)&gt;COUNT(Q135:AF135),"Avance escrito como texto",IF(SUMPRODUCT((Q135:AF135&gt;0)*(Q135:AF135&lt;1))&gt;0,"Avance menor a 1: escribe 50, no 50%",IF(SUMPRODUCT(ISNUMBER(Q135:AF135)*(Reprogramaciones!$K$8:$Z$8&gt;TODAY()))&gt;0,"Avance en semana que aún no llega",IF(AND(N(Reprogramaciones!$E$21)&gt;0,F135&gt;Reprogramaciones!$E$21),"Pasa el fin de la obra: registra una reprogramación",IF(AND(N(Reprogramaciones!$E$21)&gt;0,SUMPRODUCT(ISNUMBER(Q135:AF135)*(Reprogramaciones!$K$8:$Z$8&gt;Reprogramaciones!$E$21))&gt;0),"Avance después del fin de la obra: registra una reprogramación por atraso","OK"))))))))))))))))</f>
        <v/>
      </c>
      <c r="AM135" s="40" t="str">
        <f aca="false">IF(OR(OR(NOT(AND(ISNUMBER(E135),ISNUMBER(F135))),$J$2=""),1&gt;MAX(1,Reprogramaciones!$U$15)),"",IF(Reprogramaciones!K$12&gt;=7,"",IF(OR(BT135-N(0)&gt;0.05,N(Q135)&gt;0),ROUNDDOWN(ROUND(BT135,6),0)&amp;"%"&amp;IF(CJ135="",""," / "&amp;CJ135&amp;"%"),IF(AND(N(0)&gt;=99.95,CJ135&lt;&gt;"",N(CJ135)&lt;100),"Pend. "&amp;CJ135&amp;"%",""))))</f>
        <v/>
      </c>
      <c r="AN135" s="40" t="str">
        <f aca="false">IF(OR(OR(NOT(AND(ISNUMBER(E135),ISNUMBER(F135))),$J$2=""),2&gt;MAX(1,Reprogramaciones!$U$15)),"",IF(Reprogramaciones!L$12&gt;=7,"",IF(OR(BU135-N(BT135)&gt;0.05,N(R135)&gt;0),ROUNDDOWN(ROUND(BU135,6),0)&amp;"%"&amp;IF(CK135="",""," / "&amp;CK135&amp;"%"),IF(AND(N(BT135)&gt;=99.95,CK135&lt;&gt;"",N(CK135)&lt;100),"Pend. "&amp;CK135&amp;"%",""))))</f>
        <v/>
      </c>
      <c r="AO135" s="40" t="str">
        <f aca="false">IF(OR(OR(NOT(AND(ISNUMBER(E135),ISNUMBER(F135))),$J$2=""),3&gt;MAX(1,Reprogramaciones!$U$15)),"",IF(Reprogramaciones!M$12&gt;=7,"",IF(OR(BV135-N(BU135)&gt;0.05,N(S135)&gt;0),ROUNDDOWN(ROUND(BV135,6),0)&amp;"%"&amp;IF(CL135="",""," / "&amp;CL135&amp;"%"),IF(AND(N(BU135)&gt;=99.95,CL135&lt;&gt;"",N(CL135)&lt;100),"Pend. "&amp;CL135&amp;"%",""))))</f>
        <v/>
      </c>
      <c r="AP135" s="40" t="str">
        <f aca="false">IF(OR(OR(NOT(AND(ISNUMBER(E135),ISNUMBER(F135))),$J$2=""),4&gt;MAX(1,Reprogramaciones!$U$15)),"",IF(Reprogramaciones!N$12&gt;=7,"",IF(OR(BW135-N(BV135)&gt;0.05,N(T135)&gt;0),ROUNDDOWN(ROUND(BW135,6),0)&amp;"%"&amp;IF(CM135="",""," / "&amp;CM135&amp;"%"),IF(AND(N(BV135)&gt;=99.95,CM135&lt;&gt;"",N(CM135)&lt;100),"Pend. "&amp;CM135&amp;"%",""))))</f>
        <v/>
      </c>
      <c r="AQ135" s="40" t="str">
        <f aca="false">IF(OR(OR(NOT(AND(ISNUMBER(E135),ISNUMBER(F135))),$J$2=""),5&gt;MAX(1,Reprogramaciones!$U$15)),"",IF(Reprogramaciones!O$12&gt;=7,"",IF(OR(BX135-N(BW135)&gt;0.05,N(U135)&gt;0),ROUNDDOWN(ROUND(BX135,6),0)&amp;"%"&amp;IF(CN135="",""," / "&amp;CN135&amp;"%"),IF(AND(N(BW135)&gt;=99.95,CN135&lt;&gt;"",N(CN135)&lt;100),"Pend. "&amp;CN135&amp;"%",""))))</f>
        <v/>
      </c>
      <c r="AR135" s="40" t="str">
        <f aca="false">IF(OR(OR(NOT(AND(ISNUMBER(E135),ISNUMBER(F135))),$J$2=""),6&gt;MAX(1,Reprogramaciones!$U$15)),"",IF(Reprogramaciones!P$12&gt;=7,"",IF(OR(BY135-N(BX135)&gt;0.05,N(V135)&gt;0),ROUNDDOWN(ROUND(BY135,6),0)&amp;"%"&amp;IF(CO135="",""," / "&amp;CO135&amp;"%"),IF(AND(N(BX135)&gt;=99.95,CO135&lt;&gt;"",N(CO135)&lt;100),"Pend. "&amp;CO135&amp;"%",""))))</f>
        <v/>
      </c>
      <c r="AS135" s="40" t="str">
        <f aca="false">IF(OR(OR(NOT(AND(ISNUMBER(E135),ISNUMBER(F135))),$J$2=""),7&gt;MAX(1,Reprogramaciones!$U$15)),"",IF(Reprogramaciones!Q$12&gt;=7,"",IF(OR(BZ135-N(BY135)&gt;0.05,N(W135)&gt;0),ROUNDDOWN(ROUND(BZ135,6),0)&amp;"%"&amp;IF(CP135="",""," / "&amp;CP135&amp;"%"),IF(AND(N(BY135)&gt;=99.95,CP135&lt;&gt;"",N(CP135)&lt;100),"Pend. "&amp;CP135&amp;"%",""))))</f>
        <v/>
      </c>
      <c r="AT135" s="40" t="str">
        <f aca="false">IF(OR(OR(NOT(AND(ISNUMBER(E135),ISNUMBER(F135))),$J$2=""),8&gt;MAX(1,Reprogramaciones!$U$15)),"",IF(Reprogramaciones!R$12&gt;=7,"",IF(OR(CA135-N(BZ135)&gt;0.05,N(X135)&gt;0),ROUNDDOWN(ROUND(CA135,6),0)&amp;"%"&amp;IF(CQ135="",""," / "&amp;CQ135&amp;"%"),IF(AND(N(BZ135)&gt;=99.95,CQ135&lt;&gt;"",N(CQ135)&lt;100),"Pend. "&amp;CQ135&amp;"%",""))))</f>
        <v/>
      </c>
      <c r="AU135" s="40" t="str">
        <f aca="false">IF(OR(OR(NOT(AND(ISNUMBER(E135),ISNUMBER(F135))),$J$2=""),9&gt;MAX(1,Reprogramaciones!$U$15)),"",IF(Reprogramaciones!S$12&gt;=7,"",IF(OR(CB135-N(CA135)&gt;0.05,N(Y135)&gt;0),ROUNDDOWN(ROUND(CB135,6),0)&amp;"%"&amp;IF(CR135="",""," / "&amp;CR135&amp;"%"),IF(AND(N(CA135)&gt;=99.95,CR135&lt;&gt;"",N(CR135)&lt;100),"Pend. "&amp;CR135&amp;"%",""))))</f>
        <v/>
      </c>
      <c r="AV135" s="40" t="str">
        <f aca="false">IF(OR(OR(NOT(AND(ISNUMBER(E135),ISNUMBER(F135))),$J$2=""),10&gt;MAX(1,Reprogramaciones!$U$15)),"",IF(Reprogramaciones!T$12&gt;=7,"",IF(OR(CC135-N(CB135)&gt;0.05,N(Z135)&gt;0),ROUNDDOWN(ROUND(CC135,6),0)&amp;"%"&amp;IF(CS135="",""," / "&amp;CS135&amp;"%"),IF(AND(N(CB135)&gt;=99.95,CS135&lt;&gt;"",N(CS135)&lt;100),"Pend. "&amp;CS135&amp;"%",""))))</f>
        <v/>
      </c>
      <c r="AW135" s="40" t="str">
        <f aca="false">IF(OR(OR(NOT(AND(ISNUMBER(E135),ISNUMBER(F135))),$J$2=""),11&gt;MAX(1,Reprogramaciones!$U$15)),"",IF(Reprogramaciones!U$12&gt;=7,"",IF(OR(CD135-N(CC135)&gt;0.05,N(AA135)&gt;0),ROUNDDOWN(ROUND(CD135,6),0)&amp;"%"&amp;IF(CT135="",""," / "&amp;CT135&amp;"%"),IF(AND(N(CC135)&gt;=99.95,CT135&lt;&gt;"",N(CT135)&lt;100),"Pend. "&amp;CT135&amp;"%",""))))</f>
        <v/>
      </c>
      <c r="AX135" s="40" t="str">
        <f aca="false">IF(OR(OR(NOT(AND(ISNUMBER(E135),ISNUMBER(F135))),$J$2=""),12&gt;MAX(1,Reprogramaciones!$U$15)),"",IF(Reprogramaciones!V$12&gt;=7,"",IF(OR(CE135-N(CD135)&gt;0.05,N(AB135)&gt;0),ROUNDDOWN(ROUND(CE135,6),0)&amp;"%"&amp;IF(CU135="",""," / "&amp;CU135&amp;"%"),IF(AND(N(CD135)&gt;=99.95,CU135&lt;&gt;"",N(CU135)&lt;100),"Pend. "&amp;CU135&amp;"%",""))))</f>
        <v/>
      </c>
      <c r="AY135" s="40" t="str">
        <f aca="false">IF(OR(OR(NOT(AND(ISNUMBER(E135),ISNUMBER(F135))),$J$2=""),13&gt;MAX(1,Reprogramaciones!$U$15)),"",IF(Reprogramaciones!W$12&gt;=7,"",IF(OR(CF135-N(CE135)&gt;0.05,N(AC135)&gt;0),ROUNDDOWN(ROUND(CF135,6),0)&amp;"%"&amp;IF(CV135="",""," / "&amp;CV135&amp;"%"),IF(AND(N(CE135)&gt;=99.95,CV135&lt;&gt;"",N(CV135)&lt;100),"Pend. "&amp;CV135&amp;"%",""))))</f>
        <v/>
      </c>
      <c r="AZ135" s="40" t="str">
        <f aca="false">IF(OR(OR(NOT(AND(ISNUMBER(E135),ISNUMBER(F135))),$J$2=""),14&gt;MAX(1,Reprogramaciones!$U$15)),"",IF(Reprogramaciones!X$12&gt;=7,"",IF(OR(CG135-N(CF135)&gt;0.05,N(AD135)&gt;0),ROUNDDOWN(ROUND(CG135,6),0)&amp;"%"&amp;IF(CW135="",""," / "&amp;CW135&amp;"%"),IF(AND(N(CF135)&gt;=99.95,CW135&lt;&gt;"",N(CW135)&lt;100),"Pend. "&amp;CW135&amp;"%",""))))</f>
        <v/>
      </c>
      <c r="BA135" s="40" t="str">
        <f aca="false">IF(OR(OR(NOT(AND(ISNUMBER(E135),ISNUMBER(F135))),$J$2=""),15&gt;MAX(1,Reprogramaciones!$U$15)),"",IF(Reprogramaciones!Y$12&gt;=7,"",IF(OR(CH135-N(CG135)&gt;0.05,N(AE135)&gt;0),ROUNDDOWN(ROUND(CH135,6),0)&amp;"%"&amp;IF(CX135="",""," / "&amp;CX135&amp;"%"),IF(AND(N(CG135)&gt;=99.95,CX135&lt;&gt;"",N(CX135)&lt;100),"Pend. "&amp;CX135&amp;"%",""))))</f>
        <v/>
      </c>
      <c r="BB135" s="40" t="str">
        <f aca="false">IF(OR(OR(NOT(AND(ISNUMBER(E135),ISNUMBER(F135))),$J$2=""),16&gt;MAX(1,Reprogramaciones!$U$15)),"",IF(Reprogramaciones!Z$12&gt;=7,"",IF(OR(CI135-N(CH135)&gt;0.05,N(AF135)&gt;0),ROUNDDOWN(ROUND(CI135,6),0)&amp;"%"&amp;IF(CY135="",""," / "&amp;CY135&amp;"%"),IF(AND(N(CH135)&gt;=99.95,CY135&lt;&gt;"",N(CY135)&lt;100),"Pend. "&amp;CY135&amp;"%",""))))</f>
        <v/>
      </c>
      <c r="BC135" s="31" t="n">
        <f aca="false">IF(AND(ISNUMBER(E135),ISNUMBER(F135)),MAX(1,NETWORKDAYS.INTL(E135,F135,11)),0)</f>
        <v>0</v>
      </c>
      <c r="BD135" s="1" t="str">
        <f aca="false">IF(OR(NOT(AND(ISNUMBER(E135),ISNUMBER(F135))),$J$2=""),"",MIN(100,ROUND(SUM($G135:G135),1)))</f>
        <v/>
      </c>
      <c r="BE135" s="1" t="str">
        <f aca="false">IF(OR(NOT(AND(ISNUMBER(E135),ISNUMBER(F135))),$J$2=""),"",MIN(100,ROUND(SUM($G135:H135),1)))</f>
        <v/>
      </c>
      <c r="BF135" s="1" t="str">
        <f aca="false">IF(OR(NOT(AND(ISNUMBER(E135),ISNUMBER(F135))),$J$2=""),"",MIN(100,ROUND(SUM($G135:I135),1)))</f>
        <v/>
      </c>
      <c r="BG135" s="1" t="str">
        <f aca="false">IF(OR(NOT(AND(ISNUMBER(E135),ISNUMBER(F135))),$J$2=""),"",MIN(100,ROUND(SUM($G135:J135),1)))</f>
        <v/>
      </c>
      <c r="BH135" s="1" t="str">
        <f aca="false">IF(OR(NOT(AND(ISNUMBER(E135),ISNUMBER(F135))),$J$2=""),"",MIN(100,ROUND(SUM($G135:K135),1)))</f>
        <v/>
      </c>
      <c r="BI135" s="1" t="str">
        <f aca="false">IF(OR(NOT(AND(ISNUMBER(E135),ISNUMBER(F135))),$J$2=""),"",MIN(100,ROUND(SUM($G135:L135),1)))</f>
        <v/>
      </c>
      <c r="BJ135" s="1" t="str">
        <f aca="false">IF(OR(NOT(AND(ISNUMBER(E135),ISNUMBER(F135))),$J$2=""),"",MIN(100,ROUND(SUM($G135:M135),1)))</f>
        <v/>
      </c>
      <c r="BK135" s="1" t="str">
        <f aca="false">IF(OR(NOT(AND(ISNUMBER(E135),ISNUMBER(F135))),$J$2=""),"",MIN(100,ROUND(SUM($G135:N135),1)))</f>
        <v/>
      </c>
      <c r="BL135" s="1" t="str">
        <f aca="false">IF(OR(NOT(AND(ISNUMBER(E135),ISNUMBER(F135))),$J$2=""),"",MIN(100,ROUND(SUM($G135:O135),1)))</f>
        <v/>
      </c>
      <c r="BM135" s="1" t="str">
        <f aca="false">IF(OR(NOT(AND(ISNUMBER(E135),ISNUMBER(F135))),$J$2=""),"",MIN(100,ROUND(SUM($G135:P135),1)))</f>
        <v/>
      </c>
      <c r="BN135" s="1" t="str">
        <f aca="false">IF(OR(NOT(AND(ISNUMBER(E135),ISNUMBER(F135))),$J$2=""),"",MIN(100,ROUND(SUM($G135:P135),1)))</f>
        <v/>
      </c>
      <c r="BO135" s="1" t="str">
        <f aca="false">IF(OR(NOT(AND(ISNUMBER(E135),ISNUMBER(F135))),$J$2=""),"",MIN(100,ROUND(SUM($G135:P135),1)))</f>
        <v/>
      </c>
      <c r="BP135" s="1" t="str">
        <f aca="false">IF(OR(NOT(AND(ISNUMBER(E135),ISNUMBER(F135))),$J$2=""),"",MIN(100,ROUND(SUM($G135:P135),1)))</f>
        <v/>
      </c>
      <c r="BQ135" s="1" t="str">
        <f aca="false">IF(OR(NOT(AND(ISNUMBER(E135),ISNUMBER(F135))),$J$2=""),"",MIN(100,ROUND(SUM($G135:P135),1)))</f>
        <v/>
      </c>
      <c r="BR135" s="1" t="str">
        <f aca="false">IF(OR(NOT(AND(ISNUMBER(E135),ISNUMBER(F135))),$J$2=""),"",MIN(100,ROUND(SUM($G135:P135),1)))</f>
        <v/>
      </c>
      <c r="BS135" s="1" t="str">
        <f aca="false">IF(OR(NOT(AND(ISNUMBER(E135),ISNUMBER(F135))),$J$2=""),"",MIN(100,ROUND(SUM($G135:P135),1)))</f>
        <v/>
      </c>
      <c r="BT135" s="1" t="str">
        <f aca="false">IF(OR(NOT(AND(ISNUMBER(E135),ISNUMBER(F135))),$J$2=""),"",IF(Reprogramaciones!K$13&lt;Reprogramaciones!$T$15,0,IF(Reprogramaciones!K$14&gt;10,MIN(100,SUM($G135:$P135)),MIN(100,SUMPRODUCT((COLUMN($G135:$P135)-COLUMN($G135)+1&lt;Reprogramaciones!K$14)*$G135:$P135)+N(INDEX($G135:$P135,1,Reprogramaciones!K$14))*IF(Reprogramaciones!K$13&gt;=(Reprogramaciones!$T$15+7*(Reprogramaciones!K$14-1))+6,1,IF(MAX(0,NETWORKDAYS.INTL(MAX(E135,(Reprogramaciones!$T$15+7*(Reprogramaciones!K$14-1))),MIN(F135,(Reprogramaciones!$T$15+7*(Reprogramaciones!K$14-1))+6),11))=0,0,MAX(0,NETWORKDAYS.INTL(MAX(E135,(Reprogramaciones!$T$15+7*(Reprogramaciones!K$14-1))),MIN(F135,Reprogramaciones!K$13),11))/MAX(0,NETWORKDAYS.INTL(MAX(E135,(Reprogramaciones!$T$15+7*(Reprogramaciones!K$14-1))),MIN(F135,(Reprogramaciones!$T$15+7*(Reprogramaciones!K$14-1))+6),11))))))))</f>
        <v/>
      </c>
      <c r="BU135" s="1" t="str">
        <f aca="false">IF(OR(NOT(AND(ISNUMBER(E135),ISNUMBER(F135))),$J$2=""),"",IF(Reprogramaciones!L$13&lt;Reprogramaciones!$T$15,0,IF(Reprogramaciones!L$14&gt;10,MIN(100,SUM($G135:$P135)),MIN(100,SUMPRODUCT((COLUMN($G135:$P135)-COLUMN($G135)+1&lt;Reprogramaciones!L$14)*$G135:$P135)+N(INDEX($G135:$P135,1,Reprogramaciones!L$14))*IF(Reprogramaciones!L$13&gt;=(Reprogramaciones!$T$15+7*(Reprogramaciones!L$14-1))+6,1,IF(MAX(0,NETWORKDAYS.INTL(MAX(E135,(Reprogramaciones!$T$15+7*(Reprogramaciones!L$14-1))),MIN(F135,(Reprogramaciones!$T$15+7*(Reprogramaciones!L$14-1))+6),11))=0,0,MAX(0,NETWORKDAYS.INTL(MAX(E135,(Reprogramaciones!$T$15+7*(Reprogramaciones!L$14-1))),MIN(F135,Reprogramaciones!L$13),11))/MAX(0,NETWORKDAYS.INTL(MAX(E135,(Reprogramaciones!$T$15+7*(Reprogramaciones!L$14-1))),MIN(F135,(Reprogramaciones!$T$15+7*(Reprogramaciones!L$14-1))+6),11))))))))</f>
        <v/>
      </c>
      <c r="BV135" s="1" t="str">
        <f aca="false">IF(OR(NOT(AND(ISNUMBER(E135),ISNUMBER(F135))),$J$2=""),"",IF(Reprogramaciones!M$13&lt;Reprogramaciones!$T$15,0,IF(Reprogramaciones!M$14&gt;10,MIN(100,SUM($G135:$P135)),MIN(100,SUMPRODUCT((COLUMN($G135:$P135)-COLUMN($G135)+1&lt;Reprogramaciones!M$14)*$G135:$P135)+N(INDEX($G135:$P135,1,Reprogramaciones!M$14))*IF(Reprogramaciones!M$13&gt;=(Reprogramaciones!$T$15+7*(Reprogramaciones!M$14-1))+6,1,IF(MAX(0,NETWORKDAYS.INTL(MAX(E135,(Reprogramaciones!$T$15+7*(Reprogramaciones!M$14-1))),MIN(F135,(Reprogramaciones!$T$15+7*(Reprogramaciones!M$14-1))+6),11))=0,0,MAX(0,NETWORKDAYS.INTL(MAX(E135,(Reprogramaciones!$T$15+7*(Reprogramaciones!M$14-1))),MIN(F135,Reprogramaciones!M$13),11))/MAX(0,NETWORKDAYS.INTL(MAX(E135,(Reprogramaciones!$T$15+7*(Reprogramaciones!M$14-1))),MIN(F135,(Reprogramaciones!$T$15+7*(Reprogramaciones!M$14-1))+6),11))))))))</f>
        <v/>
      </c>
      <c r="BW135" s="1" t="str">
        <f aca="false">IF(OR(NOT(AND(ISNUMBER(E135),ISNUMBER(F135))),$J$2=""),"",IF(Reprogramaciones!N$13&lt;Reprogramaciones!$T$15,0,IF(Reprogramaciones!N$14&gt;10,MIN(100,SUM($G135:$P135)),MIN(100,SUMPRODUCT((COLUMN($G135:$P135)-COLUMN($G135)+1&lt;Reprogramaciones!N$14)*$G135:$P135)+N(INDEX($G135:$P135,1,Reprogramaciones!N$14))*IF(Reprogramaciones!N$13&gt;=(Reprogramaciones!$T$15+7*(Reprogramaciones!N$14-1))+6,1,IF(MAX(0,NETWORKDAYS.INTL(MAX(E135,(Reprogramaciones!$T$15+7*(Reprogramaciones!N$14-1))),MIN(F135,(Reprogramaciones!$T$15+7*(Reprogramaciones!N$14-1))+6),11))=0,0,MAX(0,NETWORKDAYS.INTL(MAX(E135,(Reprogramaciones!$T$15+7*(Reprogramaciones!N$14-1))),MIN(F135,Reprogramaciones!N$13),11))/MAX(0,NETWORKDAYS.INTL(MAX(E135,(Reprogramaciones!$T$15+7*(Reprogramaciones!N$14-1))),MIN(F135,(Reprogramaciones!$T$15+7*(Reprogramaciones!N$14-1))+6),11))))))))</f>
        <v/>
      </c>
      <c r="BX135" s="1" t="str">
        <f aca="false">IF(OR(NOT(AND(ISNUMBER(E135),ISNUMBER(F135))),$J$2=""),"",IF(Reprogramaciones!O$13&lt;Reprogramaciones!$T$15,0,IF(Reprogramaciones!O$14&gt;10,MIN(100,SUM($G135:$P135)),MIN(100,SUMPRODUCT((COLUMN($G135:$P135)-COLUMN($G135)+1&lt;Reprogramaciones!O$14)*$G135:$P135)+N(INDEX($G135:$P135,1,Reprogramaciones!O$14))*IF(Reprogramaciones!O$13&gt;=(Reprogramaciones!$T$15+7*(Reprogramaciones!O$14-1))+6,1,IF(MAX(0,NETWORKDAYS.INTL(MAX(E135,(Reprogramaciones!$T$15+7*(Reprogramaciones!O$14-1))),MIN(F135,(Reprogramaciones!$T$15+7*(Reprogramaciones!O$14-1))+6),11))=0,0,MAX(0,NETWORKDAYS.INTL(MAX(E135,(Reprogramaciones!$T$15+7*(Reprogramaciones!O$14-1))),MIN(F135,Reprogramaciones!O$13),11))/MAX(0,NETWORKDAYS.INTL(MAX(E135,(Reprogramaciones!$T$15+7*(Reprogramaciones!O$14-1))),MIN(F135,(Reprogramaciones!$T$15+7*(Reprogramaciones!O$14-1))+6),11))))))))</f>
        <v/>
      </c>
      <c r="BY135" s="1" t="str">
        <f aca="false">IF(OR(NOT(AND(ISNUMBER(E135),ISNUMBER(F135))),$J$2=""),"",IF(Reprogramaciones!P$13&lt;Reprogramaciones!$T$15,0,IF(Reprogramaciones!P$14&gt;10,MIN(100,SUM($G135:$P135)),MIN(100,SUMPRODUCT((COLUMN($G135:$P135)-COLUMN($G135)+1&lt;Reprogramaciones!P$14)*$G135:$P135)+N(INDEX($G135:$P135,1,Reprogramaciones!P$14))*IF(Reprogramaciones!P$13&gt;=(Reprogramaciones!$T$15+7*(Reprogramaciones!P$14-1))+6,1,IF(MAX(0,NETWORKDAYS.INTL(MAX(E135,(Reprogramaciones!$T$15+7*(Reprogramaciones!P$14-1))),MIN(F135,(Reprogramaciones!$T$15+7*(Reprogramaciones!P$14-1))+6),11))=0,0,MAX(0,NETWORKDAYS.INTL(MAX(E135,(Reprogramaciones!$T$15+7*(Reprogramaciones!P$14-1))),MIN(F135,Reprogramaciones!P$13),11))/MAX(0,NETWORKDAYS.INTL(MAX(E135,(Reprogramaciones!$T$15+7*(Reprogramaciones!P$14-1))),MIN(F135,(Reprogramaciones!$T$15+7*(Reprogramaciones!P$14-1))+6),11))))))))</f>
        <v/>
      </c>
      <c r="BZ135" s="1" t="str">
        <f aca="false">IF(OR(NOT(AND(ISNUMBER(E135),ISNUMBER(F135))),$J$2=""),"",IF(Reprogramaciones!Q$13&lt;Reprogramaciones!$T$15,0,IF(Reprogramaciones!Q$14&gt;10,MIN(100,SUM($G135:$P135)),MIN(100,SUMPRODUCT((COLUMN($G135:$P135)-COLUMN($G135)+1&lt;Reprogramaciones!Q$14)*$G135:$P135)+N(INDEX($G135:$P135,1,Reprogramaciones!Q$14))*IF(Reprogramaciones!Q$13&gt;=(Reprogramaciones!$T$15+7*(Reprogramaciones!Q$14-1))+6,1,IF(MAX(0,NETWORKDAYS.INTL(MAX(E135,(Reprogramaciones!$T$15+7*(Reprogramaciones!Q$14-1))),MIN(F135,(Reprogramaciones!$T$15+7*(Reprogramaciones!Q$14-1))+6),11))=0,0,MAX(0,NETWORKDAYS.INTL(MAX(E135,(Reprogramaciones!$T$15+7*(Reprogramaciones!Q$14-1))),MIN(F135,Reprogramaciones!Q$13),11))/MAX(0,NETWORKDAYS.INTL(MAX(E135,(Reprogramaciones!$T$15+7*(Reprogramaciones!Q$14-1))),MIN(F135,(Reprogramaciones!$T$15+7*(Reprogramaciones!Q$14-1))+6),11))))))))</f>
        <v/>
      </c>
      <c r="CA135" s="1" t="str">
        <f aca="false">IF(OR(NOT(AND(ISNUMBER(E135),ISNUMBER(F135))),$J$2=""),"",IF(Reprogramaciones!R$13&lt;Reprogramaciones!$T$15,0,IF(Reprogramaciones!R$14&gt;10,MIN(100,SUM($G135:$P135)),MIN(100,SUMPRODUCT((COLUMN($G135:$P135)-COLUMN($G135)+1&lt;Reprogramaciones!R$14)*$G135:$P135)+N(INDEX($G135:$P135,1,Reprogramaciones!R$14))*IF(Reprogramaciones!R$13&gt;=(Reprogramaciones!$T$15+7*(Reprogramaciones!R$14-1))+6,1,IF(MAX(0,NETWORKDAYS.INTL(MAX(E135,(Reprogramaciones!$T$15+7*(Reprogramaciones!R$14-1))),MIN(F135,(Reprogramaciones!$T$15+7*(Reprogramaciones!R$14-1))+6),11))=0,0,MAX(0,NETWORKDAYS.INTL(MAX(E135,(Reprogramaciones!$T$15+7*(Reprogramaciones!R$14-1))),MIN(F135,Reprogramaciones!R$13),11))/MAX(0,NETWORKDAYS.INTL(MAX(E135,(Reprogramaciones!$T$15+7*(Reprogramaciones!R$14-1))),MIN(F135,(Reprogramaciones!$T$15+7*(Reprogramaciones!R$14-1))+6),11))))))))</f>
        <v/>
      </c>
      <c r="CB135" s="1" t="str">
        <f aca="false">IF(OR(NOT(AND(ISNUMBER(E135),ISNUMBER(F135))),$J$2=""),"",IF(Reprogramaciones!S$13&lt;Reprogramaciones!$T$15,0,IF(Reprogramaciones!S$14&gt;10,MIN(100,SUM($G135:$P135)),MIN(100,SUMPRODUCT((COLUMN($G135:$P135)-COLUMN($G135)+1&lt;Reprogramaciones!S$14)*$G135:$P135)+N(INDEX($G135:$P135,1,Reprogramaciones!S$14))*IF(Reprogramaciones!S$13&gt;=(Reprogramaciones!$T$15+7*(Reprogramaciones!S$14-1))+6,1,IF(MAX(0,NETWORKDAYS.INTL(MAX(E135,(Reprogramaciones!$T$15+7*(Reprogramaciones!S$14-1))),MIN(F135,(Reprogramaciones!$T$15+7*(Reprogramaciones!S$14-1))+6),11))=0,0,MAX(0,NETWORKDAYS.INTL(MAX(E135,(Reprogramaciones!$T$15+7*(Reprogramaciones!S$14-1))),MIN(F135,Reprogramaciones!S$13),11))/MAX(0,NETWORKDAYS.INTL(MAX(E135,(Reprogramaciones!$T$15+7*(Reprogramaciones!S$14-1))),MIN(F135,(Reprogramaciones!$T$15+7*(Reprogramaciones!S$14-1))+6),11))))))))</f>
        <v/>
      </c>
      <c r="CC135" s="1" t="str">
        <f aca="false">IF(OR(NOT(AND(ISNUMBER(E135),ISNUMBER(F135))),$J$2=""),"",IF(Reprogramaciones!T$13&lt;Reprogramaciones!$T$15,0,IF(Reprogramaciones!T$14&gt;10,MIN(100,SUM($G135:$P135)),MIN(100,SUMPRODUCT((COLUMN($G135:$P135)-COLUMN($G135)+1&lt;Reprogramaciones!T$14)*$G135:$P135)+N(INDEX($G135:$P135,1,Reprogramaciones!T$14))*IF(Reprogramaciones!T$13&gt;=(Reprogramaciones!$T$15+7*(Reprogramaciones!T$14-1))+6,1,IF(MAX(0,NETWORKDAYS.INTL(MAX(E135,(Reprogramaciones!$T$15+7*(Reprogramaciones!T$14-1))),MIN(F135,(Reprogramaciones!$T$15+7*(Reprogramaciones!T$14-1))+6),11))=0,0,MAX(0,NETWORKDAYS.INTL(MAX(E135,(Reprogramaciones!$T$15+7*(Reprogramaciones!T$14-1))),MIN(F135,Reprogramaciones!T$13),11))/MAX(0,NETWORKDAYS.INTL(MAX(E135,(Reprogramaciones!$T$15+7*(Reprogramaciones!T$14-1))),MIN(F135,(Reprogramaciones!$T$15+7*(Reprogramaciones!T$14-1))+6),11))))))))</f>
        <v/>
      </c>
      <c r="CD135" s="1" t="str">
        <f aca="false">IF(OR(NOT(AND(ISNUMBER(E135),ISNUMBER(F135))),$J$2=""),"",IF(Reprogramaciones!U$13&lt;Reprogramaciones!$T$15,0,IF(Reprogramaciones!U$14&gt;10,MIN(100,SUM($G135:$P135)),MIN(100,SUMPRODUCT((COLUMN($G135:$P135)-COLUMN($G135)+1&lt;Reprogramaciones!U$14)*$G135:$P135)+N(INDEX($G135:$P135,1,Reprogramaciones!U$14))*IF(Reprogramaciones!U$13&gt;=(Reprogramaciones!$T$15+7*(Reprogramaciones!U$14-1))+6,1,IF(MAX(0,NETWORKDAYS.INTL(MAX(E135,(Reprogramaciones!$T$15+7*(Reprogramaciones!U$14-1))),MIN(F135,(Reprogramaciones!$T$15+7*(Reprogramaciones!U$14-1))+6),11))=0,0,MAX(0,NETWORKDAYS.INTL(MAX(E135,(Reprogramaciones!$T$15+7*(Reprogramaciones!U$14-1))),MIN(F135,Reprogramaciones!U$13),11))/MAX(0,NETWORKDAYS.INTL(MAX(E135,(Reprogramaciones!$T$15+7*(Reprogramaciones!U$14-1))),MIN(F135,(Reprogramaciones!$T$15+7*(Reprogramaciones!U$14-1))+6),11))))))))</f>
        <v/>
      </c>
      <c r="CE135" s="1" t="str">
        <f aca="false">IF(OR(NOT(AND(ISNUMBER(E135),ISNUMBER(F135))),$J$2=""),"",IF(Reprogramaciones!V$13&lt;Reprogramaciones!$T$15,0,IF(Reprogramaciones!V$14&gt;10,MIN(100,SUM($G135:$P135)),MIN(100,SUMPRODUCT((COLUMN($G135:$P135)-COLUMN($G135)+1&lt;Reprogramaciones!V$14)*$G135:$P135)+N(INDEX($G135:$P135,1,Reprogramaciones!V$14))*IF(Reprogramaciones!V$13&gt;=(Reprogramaciones!$T$15+7*(Reprogramaciones!V$14-1))+6,1,IF(MAX(0,NETWORKDAYS.INTL(MAX(E135,(Reprogramaciones!$T$15+7*(Reprogramaciones!V$14-1))),MIN(F135,(Reprogramaciones!$T$15+7*(Reprogramaciones!V$14-1))+6),11))=0,0,MAX(0,NETWORKDAYS.INTL(MAX(E135,(Reprogramaciones!$T$15+7*(Reprogramaciones!V$14-1))),MIN(F135,Reprogramaciones!V$13),11))/MAX(0,NETWORKDAYS.INTL(MAX(E135,(Reprogramaciones!$T$15+7*(Reprogramaciones!V$14-1))),MIN(F135,(Reprogramaciones!$T$15+7*(Reprogramaciones!V$14-1))+6),11))))))))</f>
        <v/>
      </c>
      <c r="CF135" s="1" t="str">
        <f aca="false">IF(OR(NOT(AND(ISNUMBER(E135),ISNUMBER(F135))),$J$2=""),"",IF(Reprogramaciones!W$13&lt;Reprogramaciones!$T$15,0,IF(Reprogramaciones!W$14&gt;10,MIN(100,SUM($G135:$P135)),MIN(100,SUMPRODUCT((COLUMN($G135:$P135)-COLUMN($G135)+1&lt;Reprogramaciones!W$14)*$G135:$P135)+N(INDEX($G135:$P135,1,Reprogramaciones!W$14))*IF(Reprogramaciones!W$13&gt;=(Reprogramaciones!$T$15+7*(Reprogramaciones!W$14-1))+6,1,IF(MAX(0,NETWORKDAYS.INTL(MAX(E135,(Reprogramaciones!$T$15+7*(Reprogramaciones!W$14-1))),MIN(F135,(Reprogramaciones!$T$15+7*(Reprogramaciones!W$14-1))+6),11))=0,0,MAX(0,NETWORKDAYS.INTL(MAX(E135,(Reprogramaciones!$T$15+7*(Reprogramaciones!W$14-1))),MIN(F135,Reprogramaciones!W$13),11))/MAX(0,NETWORKDAYS.INTL(MAX(E135,(Reprogramaciones!$T$15+7*(Reprogramaciones!W$14-1))),MIN(F135,(Reprogramaciones!$T$15+7*(Reprogramaciones!W$14-1))+6),11))))))))</f>
        <v/>
      </c>
      <c r="CG135" s="1" t="str">
        <f aca="false">IF(OR(NOT(AND(ISNUMBER(E135),ISNUMBER(F135))),$J$2=""),"",IF(Reprogramaciones!X$13&lt;Reprogramaciones!$T$15,0,IF(Reprogramaciones!X$14&gt;10,MIN(100,SUM($G135:$P135)),MIN(100,SUMPRODUCT((COLUMN($G135:$P135)-COLUMN($G135)+1&lt;Reprogramaciones!X$14)*$G135:$P135)+N(INDEX($G135:$P135,1,Reprogramaciones!X$14))*IF(Reprogramaciones!X$13&gt;=(Reprogramaciones!$T$15+7*(Reprogramaciones!X$14-1))+6,1,IF(MAX(0,NETWORKDAYS.INTL(MAX(E135,(Reprogramaciones!$T$15+7*(Reprogramaciones!X$14-1))),MIN(F135,(Reprogramaciones!$T$15+7*(Reprogramaciones!X$14-1))+6),11))=0,0,MAX(0,NETWORKDAYS.INTL(MAX(E135,(Reprogramaciones!$T$15+7*(Reprogramaciones!X$14-1))),MIN(F135,Reprogramaciones!X$13),11))/MAX(0,NETWORKDAYS.INTL(MAX(E135,(Reprogramaciones!$T$15+7*(Reprogramaciones!X$14-1))),MIN(F135,(Reprogramaciones!$T$15+7*(Reprogramaciones!X$14-1))+6),11))))))))</f>
        <v/>
      </c>
      <c r="CH135" s="1" t="str">
        <f aca="false">IF(OR(NOT(AND(ISNUMBER(E135),ISNUMBER(F135))),$J$2=""),"",IF(Reprogramaciones!Y$13&lt;Reprogramaciones!$T$15,0,IF(Reprogramaciones!Y$14&gt;10,MIN(100,SUM($G135:$P135)),MIN(100,SUMPRODUCT((COLUMN($G135:$P135)-COLUMN($G135)+1&lt;Reprogramaciones!Y$14)*$G135:$P135)+N(INDEX($G135:$P135,1,Reprogramaciones!Y$14))*IF(Reprogramaciones!Y$13&gt;=(Reprogramaciones!$T$15+7*(Reprogramaciones!Y$14-1))+6,1,IF(MAX(0,NETWORKDAYS.INTL(MAX(E135,(Reprogramaciones!$T$15+7*(Reprogramaciones!Y$14-1))),MIN(F135,(Reprogramaciones!$T$15+7*(Reprogramaciones!Y$14-1))+6),11))=0,0,MAX(0,NETWORKDAYS.INTL(MAX(E135,(Reprogramaciones!$T$15+7*(Reprogramaciones!Y$14-1))),MIN(F135,Reprogramaciones!Y$13),11))/MAX(0,NETWORKDAYS.INTL(MAX(E135,(Reprogramaciones!$T$15+7*(Reprogramaciones!Y$14-1))),MIN(F135,(Reprogramaciones!$T$15+7*(Reprogramaciones!Y$14-1))+6),11))))))))</f>
        <v/>
      </c>
      <c r="CI135" s="1" t="str">
        <f aca="false">IF(OR(NOT(AND(ISNUMBER(E135),ISNUMBER(F135))),$J$2=""),"",IF(Reprogramaciones!Z$13&lt;Reprogramaciones!$T$15,0,IF(Reprogramaciones!Z$14&gt;10,MIN(100,SUM($G135:$P135)),MIN(100,SUMPRODUCT((COLUMN($G135:$P135)-COLUMN($G135)+1&lt;Reprogramaciones!Z$14)*$G135:$P135)+N(INDEX($G135:$P135,1,Reprogramaciones!Z$14))*IF(Reprogramaciones!Z$13&gt;=(Reprogramaciones!$T$15+7*(Reprogramaciones!Z$14-1))+6,1,IF(MAX(0,NETWORKDAYS.INTL(MAX(E135,(Reprogramaciones!$T$15+7*(Reprogramaciones!Z$14-1))),MIN(F135,(Reprogramaciones!$T$15+7*(Reprogramaciones!Z$14-1))+6),11))=0,0,MAX(0,NETWORKDAYS.INTL(MAX(E135,(Reprogramaciones!$T$15+7*(Reprogramaciones!Z$14-1))),MIN(F135,Reprogramaciones!Z$13),11))/MAX(0,NETWORKDAYS.INTL(MAX(E135,(Reprogramaciones!$T$15+7*(Reprogramaciones!Z$14-1))),MIN(F135,(Reprogramaciones!$T$15+7*(Reprogramaciones!Z$14-1))+6),11))))))))</f>
        <v/>
      </c>
      <c r="CJ135" s="1" t="str">
        <f aca="false">IF(OR(OR(NOT(AND(ISNUMBER(E135),ISNUMBER(F135))),$J$2=""),1&gt;Reprogramaciones!$K$16),"",IF(ROUND(SUM($Q135:Q135),1)&gt;=99.5,100,MIN(100,ROUND(SUM($Q135:Q135),1))))</f>
        <v/>
      </c>
      <c r="CK135" s="1" t="str">
        <f aca="false">IF(OR(OR(NOT(AND(ISNUMBER(E135),ISNUMBER(F135))),$J$2=""),2&gt;Reprogramaciones!$K$16),"",IF(ROUND(SUM($Q135:R135),1)&gt;=99.5,100,MIN(100,ROUND(SUM($Q135:R135),1))))</f>
        <v/>
      </c>
      <c r="CL135" s="1" t="str">
        <f aca="false">IF(OR(OR(NOT(AND(ISNUMBER(E135),ISNUMBER(F135))),$J$2=""),3&gt;Reprogramaciones!$K$16),"",IF(ROUND(SUM($Q135:S135),1)&gt;=99.5,100,MIN(100,ROUND(SUM($Q135:S135),1))))</f>
        <v/>
      </c>
      <c r="CM135" s="1" t="str">
        <f aca="false">IF(OR(OR(NOT(AND(ISNUMBER(E135),ISNUMBER(F135))),$J$2=""),4&gt;Reprogramaciones!$K$16),"",IF(ROUND(SUM($Q135:T135),1)&gt;=99.5,100,MIN(100,ROUND(SUM($Q135:T135),1))))</f>
        <v/>
      </c>
      <c r="CN135" s="1" t="str">
        <f aca="false">IF(OR(OR(NOT(AND(ISNUMBER(E135),ISNUMBER(F135))),$J$2=""),5&gt;Reprogramaciones!$K$16),"",IF(ROUND(SUM($Q135:U135),1)&gt;=99.5,100,MIN(100,ROUND(SUM($Q135:U135),1))))</f>
        <v/>
      </c>
      <c r="CO135" s="1" t="str">
        <f aca="false">IF(OR(OR(NOT(AND(ISNUMBER(E135),ISNUMBER(F135))),$J$2=""),6&gt;Reprogramaciones!$K$16),"",IF(ROUND(SUM($Q135:V135),1)&gt;=99.5,100,MIN(100,ROUND(SUM($Q135:V135),1))))</f>
        <v/>
      </c>
      <c r="CP135" s="1" t="str">
        <f aca="false">IF(OR(OR(NOT(AND(ISNUMBER(E135),ISNUMBER(F135))),$J$2=""),7&gt;Reprogramaciones!$K$16),"",IF(ROUND(SUM($Q135:W135),1)&gt;=99.5,100,MIN(100,ROUND(SUM($Q135:W135),1))))</f>
        <v/>
      </c>
      <c r="CQ135" s="1" t="str">
        <f aca="false">IF(OR(OR(NOT(AND(ISNUMBER(E135),ISNUMBER(F135))),$J$2=""),8&gt;Reprogramaciones!$K$16),"",IF(ROUND(SUM($Q135:X135),1)&gt;=99.5,100,MIN(100,ROUND(SUM($Q135:X135),1))))</f>
        <v/>
      </c>
      <c r="CR135" s="1" t="str">
        <f aca="false">IF(OR(OR(NOT(AND(ISNUMBER(E135),ISNUMBER(F135))),$J$2=""),9&gt;Reprogramaciones!$K$16),"",IF(ROUND(SUM($Q135:Y135),1)&gt;=99.5,100,MIN(100,ROUND(SUM($Q135:Y135),1))))</f>
        <v/>
      </c>
      <c r="CS135" s="1" t="str">
        <f aca="false">IF(OR(OR(NOT(AND(ISNUMBER(E135),ISNUMBER(F135))),$J$2=""),10&gt;Reprogramaciones!$K$16),"",IF(ROUND(SUM($Q135:Z135),1)&gt;=99.5,100,MIN(100,ROUND(SUM($Q135:Z135),1))))</f>
        <v/>
      </c>
      <c r="CT135" s="1" t="str">
        <f aca="false">IF(OR(OR(NOT(AND(ISNUMBER(E135),ISNUMBER(F135))),$J$2=""),11&gt;Reprogramaciones!$K$16),"",IF(ROUND(SUM($Q135:AA135),1)&gt;=99.5,100,MIN(100,ROUND(SUM($Q135:AA135),1))))</f>
        <v/>
      </c>
      <c r="CU135" s="1" t="str">
        <f aca="false">IF(OR(OR(NOT(AND(ISNUMBER(E135),ISNUMBER(F135))),$J$2=""),12&gt;Reprogramaciones!$K$16),"",IF(ROUND(SUM($Q135:AB135),1)&gt;=99.5,100,MIN(100,ROUND(SUM($Q135:AB135),1))))</f>
        <v/>
      </c>
      <c r="CV135" s="1" t="str">
        <f aca="false">IF(OR(OR(NOT(AND(ISNUMBER(E135),ISNUMBER(F135))),$J$2=""),13&gt;Reprogramaciones!$K$16),"",IF(ROUND(SUM($Q135:AC135),1)&gt;=99.5,100,MIN(100,ROUND(SUM($Q135:AC135),1))))</f>
        <v/>
      </c>
      <c r="CW135" s="1" t="str">
        <f aca="false">IF(OR(OR(NOT(AND(ISNUMBER(E135),ISNUMBER(F135))),$J$2=""),14&gt;Reprogramaciones!$K$16),"",IF(ROUND(SUM($Q135:AD135),1)&gt;=99.5,100,MIN(100,ROUND(SUM($Q135:AD135),1))))</f>
        <v/>
      </c>
      <c r="CX135" s="1" t="str">
        <f aca="false">IF(OR(OR(NOT(AND(ISNUMBER(E135),ISNUMBER(F135))),$J$2=""),15&gt;Reprogramaciones!$K$16),"",IF(ROUND(SUM($Q135:AE135),1)&gt;=99.5,100,MIN(100,ROUND(SUM($Q135:AE135),1))))</f>
        <v/>
      </c>
      <c r="CY135" s="1" t="str">
        <f aca="false">IF(OR(OR(NOT(AND(ISNUMBER(E135),ISNUMBER(F135))),$J$2=""),16&gt;Reprogramaciones!$K$16),"",IF(ROUND(SUM($Q135:AF135),1)&gt;=99.5,100,MIN(100,ROUND(SUM($Q135:AF135),1))))</f>
        <v/>
      </c>
      <c r="CZ135" s="1" t="str">
        <f aca="false">IF(D135&lt;&gt;"",D135,IF(B135&lt;&gt;"","Contractual",CZ134))</f>
        <v>Contractual</v>
      </c>
      <c r="DA135" s="1" t="str">
        <f aca="false">IF(OR(NOT(AND(ISNUMBER(E135),ISNUMBER(F135))),$J$2=""),"",IF(Reprogramaciones!$Q$15&lt;Reprogramaciones!$T$15,0,IF(Reprogramaciones!$S$15&gt;10,MIN(100,SUM($G135:$P135)),MIN(100,SUMPRODUCT((COLUMN($G135:$P135)-COLUMN($G135)+1&lt;Reprogramaciones!$S$15)*$G135:$P135)+N(INDEX($G135:$P135,1,Reprogramaciones!$S$15))*IF(Reprogramaciones!$Q$15&gt;=(Reprogramaciones!$T$15+7*(Reprogramaciones!$S$15-1))+6,1,IF(MAX(0,NETWORKDAYS.INTL(MAX(E135,(Reprogramaciones!$T$15+7*(Reprogramaciones!$S$15-1))),MIN(F135,(Reprogramaciones!$T$15+7*(Reprogramaciones!$S$15-1))+6),11))=0,0,MAX(0,NETWORKDAYS.INTL(MAX(E135,(Reprogramaciones!$T$15+7*(Reprogramaciones!$S$15-1))),MIN(F135,Reprogramaciones!$Q$15),11))/MAX(0,NETWORKDAYS.INTL(MAX(E135,(Reprogramaciones!$T$15+7*(Reprogramaciones!$S$15-1))),MIN(F135,(Reprogramaciones!$T$15+7*(Reprogramaciones!$S$15-1))+6),11))))))))</f>
        <v/>
      </c>
    </row>
    <row r="136" customFormat="false" ht="15" hidden="false" customHeight="false" outlineLevel="0" collapsed="false">
      <c r="A136" s="32"/>
      <c r="B136" s="33"/>
      <c r="C136" s="33"/>
      <c r="D136" s="34"/>
      <c r="E136" s="35"/>
      <c r="F136" s="35"/>
      <c r="G136" s="36" t="str">
        <f aca="false">IF(OR(NOT(AND(ISNUMBER(E136),ISNUMBER(F136))),$J$2=""),"",IF(Reprogramaciones!K$9&lt;E136,0,IF(NETWORKDAYS.INTL(E136,F136,11)=0,IF(Reprogramaciones!K$9&gt;=F136,100,0),ROUND(NETWORKDAYS.INTL(E136,MIN(F136,Reprogramaciones!K$9),11)/NETWORKDAYS.INTL(E136,F136,11)*100,1)))-0)</f>
        <v/>
      </c>
      <c r="H136" s="36" t="str">
        <f aca="false">IF(OR(NOT(AND(ISNUMBER(E136),ISNUMBER(F136))),$J$2=""),"",IF(Reprogramaciones!L$9&lt;E136,0,IF(NETWORKDAYS.INTL(E136,F136,11)=0,IF(Reprogramaciones!L$9&gt;=F136,100,0),ROUND(NETWORKDAYS.INTL(E136,MIN(F136,Reprogramaciones!L$9),11)/NETWORKDAYS.INTL(E136,F136,11)*100,1)))-IF(Reprogramaciones!K$9&lt;E136,0,IF(NETWORKDAYS.INTL(E136,F136,11)=0,IF(Reprogramaciones!K$9&gt;=F136,100,0),ROUND(NETWORKDAYS.INTL(E136,MIN(F136,Reprogramaciones!K$9),11)/NETWORKDAYS.INTL(E136,F136,11)*100,1))))</f>
        <v/>
      </c>
      <c r="I136" s="36" t="str">
        <f aca="false">IF(OR(NOT(AND(ISNUMBER(E136),ISNUMBER(F136))),$J$2=""),"",IF(Reprogramaciones!M$9&lt;E136,0,IF(NETWORKDAYS.INTL(E136,F136,11)=0,IF(Reprogramaciones!M$9&gt;=F136,100,0),ROUND(NETWORKDAYS.INTL(E136,MIN(F136,Reprogramaciones!M$9),11)/NETWORKDAYS.INTL(E136,F136,11)*100,1)))-IF(Reprogramaciones!L$9&lt;E136,0,IF(NETWORKDAYS.INTL(E136,F136,11)=0,IF(Reprogramaciones!L$9&gt;=F136,100,0),ROUND(NETWORKDAYS.INTL(E136,MIN(F136,Reprogramaciones!L$9),11)/NETWORKDAYS.INTL(E136,F136,11)*100,1))))</f>
        <v/>
      </c>
      <c r="J136" s="36" t="str">
        <f aca="false">IF(OR(NOT(AND(ISNUMBER(E136),ISNUMBER(F136))),$J$2=""),"",IF(Reprogramaciones!N$9&lt;E136,0,IF(NETWORKDAYS.INTL(E136,F136,11)=0,IF(Reprogramaciones!N$9&gt;=F136,100,0),ROUND(NETWORKDAYS.INTL(E136,MIN(F136,Reprogramaciones!N$9),11)/NETWORKDAYS.INTL(E136,F136,11)*100,1)))-IF(Reprogramaciones!M$9&lt;E136,0,IF(NETWORKDAYS.INTL(E136,F136,11)=0,IF(Reprogramaciones!M$9&gt;=F136,100,0),ROUND(NETWORKDAYS.INTL(E136,MIN(F136,Reprogramaciones!M$9),11)/NETWORKDAYS.INTL(E136,F136,11)*100,1))))</f>
        <v/>
      </c>
      <c r="K136" s="36" t="str">
        <f aca="false">IF(OR(NOT(AND(ISNUMBER(E136),ISNUMBER(F136))),$J$2=""),"",IF(Reprogramaciones!O$9&lt;E136,0,IF(NETWORKDAYS.INTL(E136,F136,11)=0,IF(Reprogramaciones!O$9&gt;=F136,100,0),ROUND(NETWORKDAYS.INTL(E136,MIN(F136,Reprogramaciones!O$9),11)/NETWORKDAYS.INTL(E136,F136,11)*100,1)))-IF(Reprogramaciones!N$9&lt;E136,0,IF(NETWORKDAYS.INTL(E136,F136,11)=0,IF(Reprogramaciones!N$9&gt;=F136,100,0),ROUND(NETWORKDAYS.INTL(E136,MIN(F136,Reprogramaciones!N$9),11)/NETWORKDAYS.INTL(E136,F136,11)*100,1))))</f>
        <v/>
      </c>
      <c r="L136" s="36" t="str">
        <f aca="false">IF(OR(NOT(AND(ISNUMBER(E136),ISNUMBER(F136))),$J$2=""),"",IF(Reprogramaciones!P$9&lt;E136,0,IF(NETWORKDAYS.INTL(E136,F136,11)=0,IF(Reprogramaciones!P$9&gt;=F136,100,0),ROUND(NETWORKDAYS.INTL(E136,MIN(F136,Reprogramaciones!P$9),11)/NETWORKDAYS.INTL(E136,F136,11)*100,1)))-IF(Reprogramaciones!O$9&lt;E136,0,IF(NETWORKDAYS.INTL(E136,F136,11)=0,IF(Reprogramaciones!O$9&gt;=F136,100,0),ROUND(NETWORKDAYS.INTL(E136,MIN(F136,Reprogramaciones!O$9),11)/NETWORKDAYS.INTL(E136,F136,11)*100,1))))</f>
        <v/>
      </c>
      <c r="M136" s="36" t="str">
        <f aca="false">IF(OR(NOT(AND(ISNUMBER(E136),ISNUMBER(F136))),$J$2=""),"",IF(Reprogramaciones!Q$9&lt;E136,0,IF(NETWORKDAYS.INTL(E136,F136,11)=0,IF(Reprogramaciones!Q$9&gt;=F136,100,0),ROUND(NETWORKDAYS.INTL(E136,MIN(F136,Reprogramaciones!Q$9),11)/NETWORKDAYS.INTL(E136,F136,11)*100,1)))-IF(Reprogramaciones!P$9&lt;E136,0,IF(NETWORKDAYS.INTL(E136,F136,11)=0,IF(Reprogramaciones!P$9&gt;=F136,100,0),ROUND(NETWORKDAYS.INTL(E136,MIN(F136,Reprogramaciones!P$9),11)/NETWORKDAYS.INTL(E136,F136,11)*100,1))))</f>
        <v/>
      </c>
      <c r="N136" s="36" t="str">
        <f aca="false">IF(OR(NOT(AND(ISNUMBER(E136),ISNUMBER(F136))),$J$2=""),"",IF(Reprogramaciones!R$9&lt;E136,0,IF(NETWORKDAYS.INTL(E136,F136,11)=0,IF(Reprogramaciones!R$9&gt;=F136,100,0),ROUND(NETWORKDAYS.INTL(E136,MIN(F136,Reprogramaciones!R$9),11)/NETWORKDAYS.INTL(E136,F136,11)*100,1)))-IF(Reprogramaciones!Q$9&lt;E136,0,IF(NETWORKDAYS.INTL(E136,F136,11)=0,IF(Reprogramaciones!Q$9&gt;=F136,100,0),ROUND(NETWORKDAYS.INTL(E136,MIN(F136,Reprogramaciones!Q$9),11)/NETWORKDAYS.INTL(E136,F136,11)*100,1))))</f>
        <v/>
      </c>
      <c r="O136" s="36" t="str">
        <f aca="false">IF(OR(NOT(AND(ISNUMBER(E136),ISNUMBER(F136))),$J$2=""),"",IF(Reprogramaciones!S$9&lt;E136,0,IF(NETWORKDAYS.INTL(E136,F136,11)=0,IF(Reprogramaciones!S$9&gt;=F136,100,0),ROUND(NETWORKDAYS.INTL(E136,MIN(F136,Reprogramaciones!S$9),11)/NETWORKDAYS.INTL(E136,F136,11)*100,1)))-IF(Reprogramaciones!R$9&lt;E136,0,IF(NETWORKDAYS.INTL(E136,F136,11)=0,IF(Reprogramaciones!R$9&gt;=F136,100,0),ROUND(NETWORKDAYS.INTL(E136,MIN(F136,Reprogramaciones!R$9),11)/NETWORKDAYS.INTL(E136,F136,11)*100,1))))</f>
        <v/>
      </c>
      <c r="P136" s="36" t="str">
        <f aca="false">IF(OR(NOT(AND(ISNUMBER(E136),ISNUMBER(F136))),$J$2=""),"",IF(Reprogramaciones!T$9&lt;E136,0,IF(NETWORKDAYS.INTL(E136,F136,11)=0,IF(Reprogramaciones!T$9&gt;=F136,100,0),ROUND(NETWORKDAYS.INTL(E136,MIN(F136,Reprogramaciones!T$9),11)/NETWORKDAYS.INTL(E136,F136,11)*100,1)))-IF(Reprogramaciones!S$9&lt;E136,0,IF(NETWORKDAYS.INTL(E136,F136,11)=0,IF(Reprogramaciones!S$9&gt;=F136,100,0),ROUND(NETWORKDAYS.INTL(E136,MIN(F136,Reprogramaciones!S$9),11)/NETWORKDAYS.INTL(E136,F136,11)*100,1))))</f>
        <v/>
      </c>
      <c r="Q136" s="37"/>
      <c r="R136" s="37"/>
      <c r="S136" s="37"/>
      <c r="T136" s="37"/>
      <c r="U136" s="37"/>
      <c r="V136" s="37"/>
      <c r="W136" s="37"/>
      <c r="X136" s="37"/>
      <c r="Y136" s="37"/>
      <c r="Z136" s="37"/>
      <c r="AA136" s="37"/>
      <c r="AB136" s="37"/>
      <c r="AC136" s="37"/>
      <c r="AD136" s="37"/>
      <c r="AE136" s="37"/>
      <c r="AF136" s="37"/>
      <c r="AG136" s="38" t="str">
        <f aca="false">IF(AND(ISNUMBER(E136),ISNUMBER(F136)),NETWORKDAYS.INTL(E136,F136,11),"")</f>
        <v/>
      </c>
      <c r="AH136" s="38" t="str">
        <f aca="false">IF(OR(NOT(AND(ISNUMBER(E136),ISNUMBER(F136))),$J$2=""),"",IF(Reprogramaciones!$P$15&lt;Reprogramaciones!$T$15,0,IF(Reprogramaciones!$R$15&gt;10,MIN(100,SUM($G136:$P136)),MIN(100,SUMPRODUCT((COLUMN($G136:$P136)-COLUMN($G136)+1&lt;Reprogramaciones!$R$15)*$G136:$P136)+N(INDEX($G136:$P136,1,Reprogramaciones!$R$15))*IF(Reprogramaciones!$P$15&gt;=(Reprogramaciones!$T$15+7*(Reprogramaciones!$R$15-1))+6,1,IF(MAX(0,NETWORKDAYS.INTL(MAX(E136,(Reprogramaciones!$T$15+7*(Reprogramaciones!$R$15-1))),MIN(F136,(Reprogramaciones!$T$15+7*(Reprogramaciones!$R$15-1))+6),11))=0,0,MAX(0,NETWORKDAYS.INTL(MAX(E136,(Reprogramaciones!$T$15+7*(Reprogramaciones!$R$15-1))),MIN(F136,Reprogramaciones!$P$15),11))/MAX(0,NETWORKDAYS.INTL(MAX(E136,(Reprogramaciones!$T$15+7*(Reprogramaciones!$R$15-1))),MIN(F136,(Reprogramaciones!$T$15+7*(Reprogramaciones!$R$15-1))+6),11))))))))</f>
        <v/>
      </c>
      <c r="AI136" s="38" t="str">
        <f aca="false">IF(COUNT($Q136:$AF136)=0,"",IF(ROUND(SUM($Q136:$AF136),1)&gt;=99.5,100,MIN(100,ROUND(SUM($Q136:$AF136),1))))</f>
        <v/>
      </c>
      <c r="AJ136" s="38" t="str">
        <f aca="false">IF(OR(AH136="",AI136=""),"",AI136-AH136)</f>
        <v/>
      </c>
      <c r="AK136" s="39" t="str">
        <f aca="true">IF(AH136="","",IF(OR(Ficha!$C$10="Suspendida",Ficha!$C$10="Cancelada"),Ficha!$C$10,IF(AND(AI136&lt;&gt;"",N(AI136)&gt;=100),"Completada",IF(AND(E136&gt;TODAY(),N(AI136)=0),"Por iniciar",IF(N(AI136)+0.5&lt;AH136,"Retrasada",IF(N(AI136)+0.5&lt;DA136,IF(Reprogramaciones!$K$15&gt;0,"Al día · Sem "&amp;Reprogramaciones!$K$15&amp;" en curso","Al día · en curso"),"A tiempo"))))))</f>
        <v/>
      </c>
      <c r="AL136" s="39" t="str">
        <f aca="true">IF(AND(A136="",AND(B136="",C136="",E136="",F136="",COUNT(Q136:AF136)=0)),"",IF(AND(B136="",C136="",E136="",F136="",COUNT(Q136:AF136)=0),"Falta la partida o subpartida",IF(AND(A136&lt;&gt;"",COUNTIF($A$6:$A$305,A136)&gt;1),"Ítem repetido",IF(AND(C136="",E136="",F136="",COUNT(Q136:AF136)=0),"Título de partida",IF(OR(E136="",F136=""),"Faltan fechas",IF(OR(ISTEXT(E136),ISTEXT(F136)),"Fecha escrita como texto: usa dd/mm/aaaa",IF(F136&lt;E136,"Fin antes del inicio",IF(IF($J$2="",FALSE(),OR(E136&lt;$J$2,F136&gt;Reprogramaciones!$T$15+69)),"Fuera de las 10 semanas",IF(ABS(SUM(G136:P136)-100)&gt;0.5,"La meta no suma 100%",IF(ROUND(SUM(Q136:AF136),1)&gt;100.5,"El avance pasa de 100%",IF(MIN(Q136:AF136)&lt;0,"Avance negativo",IF(COUNTA(Q136:AF136)&gt;COUNT(Q136:AF136),"Avance escrito como texto",IF(SUMPRODUCT((Q136:AF136&gt;0)*(Q136:AF136&lt;1))&gt;0,"Avance menor a 1: escribe 50, no 50%",IF(SUMPRODUCT(ISNUMBER(Q136:AF136)*(Reprogramaciones!$K$8:$Z$8&gt;TODAY()))&gt;0,"Avance en semana que aún no llega",IF(AND(N(Reprogramaciones!$E$21)&gt;0,F136&gt;Reprogramaciones!$E$21),"Pasa el fin de la obra: registra una reprogramación",IF(AND(N(Reprogramaciones!$E$21)&gt;0,SUMPRODUCT(ISNUMBER(Q136:AF136)*(Reprogramaciones!$K$8:$Z$8&gt;Reprogramaciones!$E$21))&gt;0),"Avance después del fin de la obra: registra una reprogramación por atraso","OK"))))))))))))))))</f>
        <v/>
      </c>
      <c r="AM136" s="40" t="str">
        <f aca="false">IF(OR(OR(NOT(AND(ISNUMBER(E136),ISNUMBER(F136))),$J$2=""),1&gt;MAX(1,Reprogramaciones!$U$15)),"",IF(Reprogramaciones!K$12&gt;=7,"",IF(OR(BT136-N(0)&gt;0.05,N(Q136)&gt;0),ROUNDDOWN(ROUND(BT136,6),0)&amp;"%"&amp;IF(CJ136="",""," / "&amp;CJ136&amp;"%"),IF(AND(N(0)&gt;=99.95,CJ136&lt;&gt;"",N(CJ136)&lt;100),"Pend. "&amp;CJ136&amp;"%",""))))</f>
        <v/>
      </c>
      <c r="AN136" s="40" t="str">
        <f aca="false">IF(OR(OR(NOT(AND(ISNUMBER(E136),ISNUMBER(F136))),$J$2=""),2&gt;MAX(1,Reprogramaciones!$U$15)),"",IF(Reprogramaciones!L$12&gt;=7,"",IF(OR(BU136-N(BT136)&gt;0.05,N(R136)&gt;0),ROUNDDOWN(ROUND(BU136,6),0)&amp;"%"&amp;IF(CK136="",""," / "&amp;CK136&amp;"%"),IF(AND(N(BT136)&gt;=99.95,CK136&lt;&gt;"",N(CK136)&lt;100),"Pend. "&amp;CK136&amp;"%",""))))</f>
        <v/>
      </c>
      <c r="AO136" s="40" t="str">
        <f aca="false">IF(OR(OR(NOT(AND(ISNUMBER(E136),ISNUMBER(F136))),$J$2=""),3&gt;MAX(1,Reprogramaciones!$U$15)),"",IF(Reprogramaciones!M$12&gt;=7,"",IF(OR(BV136-N(BU136)&gt;0.05,N(S136)&gt;0),ROUNDDOWN(ROUND(BV136,6),0)&amp;"%"&amp;IF(CL136="",""," / "&amp;CL136&amp;"%"),IF(AND(N(BU136)&gt;=99.95,CL136&lt;&gt;"",N(CL136)&lt;100),"Pend. "&amp;CL136&amp;"%",""))))</f>
        <v/>
      </c>
      <c r="AP136" s="40" t="str">
        <f aca="false">IF(OR(OR(NOT(AND(ISNUMBER(E136),ISNUMBER(F136))),$J$2=""),4&gt;MAX(1,Reprogramaciones!$U$15)),"",IF(Reprogramaciones!N$12&gt;=7,"",IF(OR(BW136-N(BV136)&gt;0.05,N(T136)&gt;0),ROUNDDOWN(ROUND(BW136,6),0)&amp;"%"&amp;IF(CM136="",""," / "&amp;CM136&amp;"%"),IF(AND(N(BV136)&gt;=99.95,CM136&lt;&gt;"",N(CM136)&lt;100),"Pend. "&amp;CM136&amp;"%",""))))</f>
        <v/>
      </c>
      <c r="AQ136" s="40" t="str">
        <f aca="false">IF(OR(OR(NOT(AND(ISNUMBER(E136),ISNUMBER(F136))),$J$2=""),5&gt;MAX(1,Reprogramaciones!$U$15)),"",IF(Reprogramaciones!O$12&gt;=7,"",IF(OR(BX136-N(BW136)&gt;0.05,N(U136)&gt;0),ROUNDDOWN(ROUND(BX136,6),0)&amp;"%"&amp;IF(CN136="",""," / "&amp;CN136&amp;"%"),IF(AND(N(BW136)&gt;=99.95,CN136&lt;&gt;"",N(CN136)&lt;100),"Pend. "&amp;CN136&amp;"%",""))))</f>
        <v/>
      </c>
      <c r="AR136" s="40" t="str">
        <f aca="false">IF(OR(OR(NOT(AND(ISNUMBER(E136),ISNUMBER(F136))),$J$2=""),6&gt;MAX(1,Reprogramaciones!$U$15)),"",IF(Reprogramaciones!P$12&gt;=7,"",IF(OR(BY136-N(BX136)&gt;0.05,N(V136)&gt;0),ROUNDDOWN(ROUND(BY136,6),0)&amp;"%"&amp;IF(CO136="",""," / "&amp;CO136&amp;"%"),IF(AND(N(BX136)&gt;=99.95,CO136&lt;&gt;"",N(CO136)&lt;100),"Pend. "&amp;CO136&amp;"%",""))))</f>
        <v/>
      </c>
      <c r="AS136" s="40" t="str">
        <f aca="false">IF(OR(OR(NOT(AND(ISNUMBER(E136),ISNUMBER(F136))),$J$2=""),7&gt;MAX(1,Reprogramaciones!$U$15)),"",IF(Reprogramaciones!Q$12&gt;=7,"",IF(OR(BZ136-N(BY136)&gt;0.05,N(W136)&gt;0),ROUNDDOWN(ROUND(BZ136,6),0)&amp;"%"&amp;IF(CP136="",""," / "&amp;CP136&amp;"%"),IF(AND(N(BY136)&gt;=99.95,CP136&lt;&gt;"",N(CP136)&lt;100),"Pend. "&amp;CP136&amp;"%",""))))</f>
        <v/>
      </c>
      <c r="AT136" s="40" t="str">
        <f aca="false">IF(OR(OR(NOT(AND(ISNUMBER(E136),ISNUMBER(F136))),$J$2=""),8&gt;MAX(1,Reprogramaciones!$U$15)),"",IF(Reprogramaciones!R$12&gt;=7,"",IF(OR(CA136-N(BZ136)&gt;0.05,N(X136)&gt;0),ROUNDDOWN(ROUND(CA136,6),0)&amp;"%"&amp;IF(CQ136="",""," / "&amp;CQ136&amp;"%"),IF(AND(N(BZ136)&gt;=99.95,CQ136&lt;&gt;"",N(CQ136)&lt;100),"Pend. "&amp;CQ136&amp;"%",""))))</f>
        <v/>
      </c>
      <c r="AU136" s="40" t="str">
        <f aca="false">IF(OR(OR(NOT(AND(ISNUMBER(E136),ISNUMBER(F136))),$J$2=""),9&gt;MAX(1,Reprogramaciones!$U$15)),"",IF(Reprogramaciones!S$12&gt;=7,"",IF(OR(CB136-N(CA136)&gt;0.05,N(Y136)&gt;0),ROUNDDOWN(ROUND(CB136,6),0)&amp;"%"&amp;IF(CR136="",""," / "&amp;CR136&amp;"%"),IF(AND(N(CA136)&gt;=99.95,CR136&lt;&gt;"",N(CR136)&lt;100),"Pend. "&amp;CR136&amp;"%",""))))</f>
        <v/>
      </c>
      <c r="AV136" s="40" t="str">
        <f aca="false">IF(OR(OR(NOT(AND(ISNUMBER(E136),ISNUMBER(F136))),$J$2=""),10&gt;MAX(1,Reprogramaciones!$U$15)),"",IF(Reprogramaciones!T$12&gt;=7,"",IF(OR(CC136-N(CB136)&gt;0.05,N(Z136)&gt;0),ROUNDDOWN(ROUND(CC136,6),0)&amp;"%"&amp;IF(CS136="",""," / "&amp;CS136&amp;"%"),IF(AND(N(CB136)&gt;=99.95,CS136&lt;&gt;"",N(CS136)&lt;100),"Pend. "&amp;CS136&amp;"%",""))))</f>
        <v/>
      </c>
      <c r="AW136" s="40" t="str">
        <f aca="false">IF(OR(OR(NOT(AND(ISNUMBER(E136),ISNUMBER(F136))),$J$2=""),11&gt;MAX(1,Reprogramaciones!$U$15)),"",IF(Reprogramaciones!U$12&gt;=7,"",IF(OR(CD136-N(CC136)&gt;0.05,N(AA136)&gt;0),ROUNDDOWN(ROUND(CD136,6),0)&amp;"%"&amp;IF(CT136="",""," / "&amp;CT136&amp;"%"),IF(AND(N(CC136)&gt;=99.95,CT136&lt;&gt;"",N(CT136)&lt;100),"Pend. "&amp;CT136&amp;"%",""))))</f>
        <v/>
      </c>
      <c r="AX136" s="40" t="str">
        <f aca="false">IF(OR(OR(NOT(AND(ISNUMBER(E136),ISNUMBER(F136))),$J$2=""),12&gt;MAX(1,Reprogramaciones!$U$15)),"",IF(Reprogramaciones!V$12&gt;=7,"",IF(OR(CE136-N(CD136)&gt;0.05,N(AB136)&gt;0),ROUNDDOWN(ROUND(CE136,6),0)&amp;"%"&amp;IF(CU136="",""," / "&amp;CU136&amp;"%"),IF(AND(N(CD136)&gt;=99.95,CU136&lt;&gt;"",N(CU136)&lt;100),"Pend. "&amp;CU136&amp;"%",""))))</f>
        <v/>
      </c>
      <c r="AY136" s="40" t="str">
        <f aca="false">IF(OR(OR(NOT(AND(ISNUMBER(E136),ISNUMBER(F136))),$J$2=""),13&gt;MAX(1,Reprogramaciones!$U$15)),"",IF(Reprogramaciones!W$12&gt;=7,"",IF(OR(CF136-N(CE136)&gt;0.05,N(AC136)&gt;0),ROUNDDOWN(ROUND(CF136,6),0)&amp;"%"&amp;IF(CV136="",""," / "&amp;CV136&amp;"%"),IF(AND(N(CE136)&gt;=99.95,CV136&lt;&gt;"",N(CV136)&lt;100),"Pend. "&amp;CV136&amp;"%",""))))</f>
        <v/>
      </c>
      <c r="AZ136" s="40" t="str">
        <f aca="false">IF(OR(OR(NOT(AND(ISNUMBER(E136),ISNUMBER(F136))),$J$2=""),14&gt;MAX(1,Reprogramaciones!$U$15)),"",IF(Reprogramaciones!X$12&gt;=7,"",IF(OR(CG136-N(CF136)&gt;0.05,N(AD136)&gt;0),ROUNDDOWN(ROUND(CG136,6),0)&amp;"%"&amp;IF(CW136="",""," / "&amp;CW136&amp;"%"),IF(AND(N(CF136)&gt;=99.95,CW136&lt;&gt;"",N(CW136)&lt;100),"Pend. "&amp;CW136&amp;"%",""))))</f>
        <v/>
      </c>
      <c r="BA136" s="40" t="str">
        <f aca="false">IF(OR(OR(NOT(AND(ISNUMBER(E136),ISNUMBER(F136))),$J$2=""),15&gt;MAX(1,Reprogramaciones!$U$15)),"",IF(Reprogramaciones!Y$12&gt;=7,"",IF(OR(CH136-N(CG136)&gt;0.05,N(AE136)&gt;0),ROUNDDOWN(ROUND(CH136,6),0)&amp;"%"&amp;IF(CX136="",""," / "&amp;CX136&amp;"%"),IF(AND(N(CG136)&gt;=99.95,CX136&lt;&gt;"",N(CX136)&lt;100),"Pend. "&amp;CX136&amp;"%",""))))</f>
        <v/>
      </c>
      <c r="BB136" s="40" t="str">
        <f aca="false">IF(OR(OR(NOT(AND(ISNUMBER(E136),ISNUMBER(F136))),$J$2=""),16&gt;MAX(1,Reprogramaciones!$U$15)),"",IF(Reprogramaciones!Z$12&gt;=7,"",IF(OR(CI136-N(CH136)&gt;0.05,N(AF136)&gt;0),ROUNDDOWN(ROUND(CI136,6),0)&amp;"%"&amp;IF(CY136="",""," / "&amp;CY136&amp;"%"),IF(AND(N(CH136)&gt;=99.95,CY136&lt;&gt;"",N(CY136)&lt;100),"Pend. "&amp;CY136&amp;"%",""))))</f>
        <v/>
      </c>
      <c r="BC136" s="31" t="n">
        <f aca="false">IF(AND(ISNUMBER(E136),ISNUMBER(F136)),MAX(1,NETWORKDAYS.INTL(E136,F136,11)),0)</f>
        <v>0</v>
      </c>
      <c r="BD136" s="1" t="str">
        <f aca="false">IF(OR(NOT(AND(ISNUMBER(E136),ISNUMBER(F136))),$J$2=""),"",MIN(100,ROUND(SUM($G136:G136),1)))</f>
        <v/>
      </c>
      <c r="BE136" s="1" t="str">
        <f aca="false">IF(OR(NOT(AND(ISNUMBER(E136),ISNUMBER(F136))),$J$2=""),"",MIN(100,ROUND(SUM($G136:H136),1)))</f>
        <v/>
      </c>
      <c r="BF136" s="1" t="str">
        <f aca="false">IF(OR(NOT(AND(ISNUMBER(E136),ISNUMBER(F136))),$J$2=""),"",MIN(100,ROUND(SUM($G136:I136),1)))</f>
        <v/>
      </c>
      <c r="BG136" s="1" t="str">
        <f aca="false">IF(OR(NOT(AND(ISNUMBER(E136),ISNUMBER(F136))),$J$2=""),"",MIN(100,ROUND(SUM($G136:J136),1)))</f>
        <v/>
      </c>
      <c r="BH136" s="1" t="str">
        <f aca="false">IF(OR(NOT(AND(ISNUMBER(E136),ISNUMBER(F136))),$J$2=""),"",MIN(100,ROUND(SUM($G136:K136),1)))</f>
        <v/>
      </c>
      <c r="BI136" s="1" t="str">
        <f aca="false">IF(OR(NOT(AND(ISNUMBER(E136),ISNUMBER(F136))),$J$2=""),"",MIN(100,ROUND(SUM($G136:L136),1)))</f>
        <v/>
      </c>
      <c r="BJ136" s="1" t="str">
        <f aca="false">IF(OR(NOT(AND(ISNUMBER(E136),ISNUMBER(F136))),$J$2=""),"",MIN(100,ROUND(SUM($G136:M136),1)))</f>
        <v/>
      </c>
      <c r="BK136" s="1" t="str">
        <f aca="false">IF(OR(NOT(AND(ISNUMBER(E136),ISNUMBER(F136))),$J$2=""),"",MIN(100,ROUND(SUM($G136:N136),1)))</f>
        <v/>
      </c>
      <c r="BL136" s="1" t="str">
        <f aca="false">IF(OR(NOT(AND(ISNUMBER(E136),ISNUMBER(F136))),$J$2=""),"",MIN(100,ROUND(SUM($G136:O136),1)))</f>
        <v/>
      </c>
      <c r="BM136" s="1" t="str">
        <f aca="false">IF(OR(NOT(AND(ISNUMBER(E136),ISNUMBER(F136))),$J$2=""),"",MIN(100,ROUND(SUM($G136:P136),1)))</f>
        <v/>
      </c>
      <c r="BN136" s="1" t="str">
        <f aca="false">IF(OR(NOT(AND(ISNUMBER(E136),ISNUMBER(F136))),$J$2=""),"",MIN(100,ROUND(SUM($G136:P136),1)))</f>
        <v/>
      </c>
      <c r="BO136" s="1" t="str">
        <f aca="false">IF(OR(NOT(AND(ISNUMBER(E136),ISNUMBER(F136))),$J$2=""),"",MIN(100,ROUND(SUM($G136:P136),1)))</f>
        <v/>
      </c>
      <c r="BP136" s="1" t="str">
        <f aca="false">IF(OR(NOT(AND(ISNUMBER(E136),ISNUMBER(F136))),$J$2=""),"",MIN(100,ROUND(SUM($G136:P136),1)))</f>
        <v/>
      </c>
      <c r="BQ136" s="1" t="str">
        <f aca="false">IF(OR(NOT(AND(ISNUMBER(E136),ISNUMBER(F136))),$J$2=""),"",MIN(100,ROUND(SUM($G136:P136),1)))</f>
        <v/>
      </c>
      <c r="BR136" s="1" t="str">
        <f aca="false">IF(OR(NOT(AND(ISNUMBER(E136),ISNUMBER(F136))),$J$2=""),"",MIN(100,ROUND(SUM($G136:P136),1)))</f>
        <v/>
      </c>
      <c r="BS136" s="1" t="str">
        <f aca="false">IF(OR(NOT(AND(ISNUMBER(E136),ISNUMBER(F136))),$J$2=""),"",MIN(100,ROUND(SUM($G136:P136),1)))</f>
        <v/>
      </c>
      <c r="BT136" s="1" t="str">
        <f aca="false">IF(OR(NOT(AND(ISNUMBER(E136),ISNUMBER(F136))),$J$2=""),"",IF(Reprogramaciones!K$13&lt;Reprogramaciones!$T$15,0,IF(Reprogramaciones!K$14&gt;10,MIN(100,SUM($G136:$P136)),MIN(100,SUMPRODUCT((COLUMN($G136:$P136)-COLUMN($G136)+1&lt;Reprogramaciones!K$14)*$G136:$P136)+N(INDEX($G136:$P136,1,Reprogramaciones!K$14))*IF(Reprogramaciones!K$13&gt;=(Reprogramaciones!$T$15+7*(Reprogramaciones!K$14-1))+6,1,IF(MAX(0,NETWORKDAYS.INTL(MAX(E136,(Reprogramaciones!$T$15+7*(Reprogramaciones!K$14-1))),MIN(F136,(Reprogramaciones!$T$15+7*(Reprogramaciones!K$14-1))+6),11))=0,0,MAX(0,NETWORKDAYS.INTL(MAX(E136,(Reprogramaciones!$T$15+7*(Reprogramaciones!K$14-1))),MIN(F136,Reprogramaciones!K$13),11))/MAX(0,NETWORKDAYS.INTL(MAX(E136,(Reprogramaciones!$T$15+7*(Reprogramaciones!K$14-1))),MIN(F136,(Reprogramaciones!$T$15+7*(Reprogramaciones!K$14-1))+6),11))))))))</f>
        <v/>
      </c>
      <c r="BU136" s="1" t="str">
        <f aca="false">IF(OR(NOT(AND(ISNUMBER(E136),ISNUMBER(F136))),$J$2=""),"",IF(Reprogramaciones!L$13&lt;Reprogramaciones!$T$15,0,IF(Reprogramaciones!L$14&gt;10,MIN(100,SUM($G136:$P136)),MIN(100,SUMPRODUCT((COLUMN($G136:$P136)-COLUMN($G136)+1&lt;Reprogramaciones!L$14)*$G136:$P136)+N(INDEX($G136:$P136,1,Reprogramaciones!L$14))*IF(Reprogramaciones!L$13&gt;=(Reprogramaciones!$T$15+7*(Reprogramaciones!L$14-1))+6,1,IF(MAX(0,NETWORKDAYS.INTL(MAX(E136,(Reprogramaciones!$T$15+7*(Reprogramaciones!L$14-1))),MIN(F136,(Reprogramaciones!$T$15+7*(Reprogramaciones!L$14-1))+6),11))=0,0,MAX(0,NETWORKDAYS.INTL(MAX(E136,(Reprogramaciones!$T$15+7*(Reprogramaciones!L$14-1))),MIN(F136,Reprogramaciones!L$13),11))/MAX(0,NETWORKDAYS.INTL(MAX(E136,(Reprogramaciones!$T$15+7*(Reprogramaciones!L$14-1))),MIN(F136,(Reprogramaciones!$T$15+7*(Reprogramaciones!L$14-1))+6),11))))))))</f>
        <v/>
      </c>
      <c r="BV136" s="1" t="str">
        <f aca="false">IF(OR(NOT(AND(ISNUMBER(E136),ISNUMBER(F136))),$J$2=""),"",IF(Reprogramaciones!M$13&lt;Reprogramaciones!$T$15,0,IF(Reprogramaciones!M$14&gt;10,MIN(100,SUM($G136:$P136)),MIN(100,SUMPRODUCT((COLUMN($G136:$P136)-COLUMN($G136)+1&lt;Reprogramaciones!M$14)*$G136:$P136)+N(INDEX($G136:$P136,1,Reprogramaciones!M$14))*IF(Reprogramaciones!M$13&gt;=(Reprogramaciones!$T$15+7*(Reprogramaciones!M$14-1))+6,1,IF(MAX(0,NETWORKDAYS.INTL(MAX(E136,(Reprogramaciones!$T$15+7*(Reprogramaciones!M$14-1))),MIN(F136,(Reprogramaciones!$T$15+7*(Reprogramaciones!M$14-1))+6),11))=0,0,MAX(0,NETWORKDAYS.INTL(MAX(E136,(Reprogramaciones!$T$15+7*(Reprogramaciones!M$14-1))),MIN(F136,Reprogramaciones!M$13),11))/MAX(0,NETWORKDAYS.INTL(MAX(E136,(Reprogramaciones!$T$15+7*(Reprogramaciones!M$14-1))),MIN(F136,(Reprogramaciones!$T$15+7*(Reprogramaciones!M$14-1))+6),11))))))))</f>
        <v/>
      </c>
      <c r="BW136" s="1" t="str">
        <f aca="false">IF(OR(NOT(AND(ISNUMBER(E136),ISNUMBER(F136))),$J$2=""),"",IF(Reprogramaciones!N$13&lt;Reprogramaciones!$T$15,0,IF(Reprogramaciones!N$14&gt;10,MIN(100,SUM($G136:$P136)),MIN(100,SUMPRODUCT((COLUMN($G136:$P136)-COLUMN($G136)+1&lt;Reprogramaciones!N$14)*$G136:$P136)+N(INDEX($G136:$P136,1,Reprogramaciones!N$14))*IF(Reprogramaciones!N$13&gt;=(Reprogramaciones!$T$15+7*(Reprogramaciones!N$14-1))+6,1,IF(MAX(0,NETWORKDAYS.INTL(MAX(E136,(Reprogramaciones!$T$15+7*(Reprogramaciones!N$14-1))),MIN(F136,(Reprogramaciones!$T$15+7*(Reprogramaciones!N$14-1))+6),11))=0,0,MAX(0,NETWORKDAYS.INTL(MAX(E136,(Reprogramaciones!$T$15+7*(Reprogramaciones!N$14-1))),MIN(F136,Reprogramaciones!N$13),11))/MAX(0,NETWORKDAYS.INTL(MAX(E136,(Reprogramaciones!$T$15+7*(Reprogramaciones!N$14-1))),MIN(F136,(Reprogramaciones!$T$15+7*(Reprogramaciones!N$14-1))+6),11))))))))</f>
        <v/>
      </c>
      <c r="BX136" s="1" t="str">
        <f aca="false">IF(OR(NOT(AND(ISNUMBER(E136),ISNUMBER(F136))),$J$2=""),"",IF(Reprogramaciones!O$13&lt;Reprogramaciones!$T$15,0,IF(Reprogramaciones!O$14&gt;10,MIN(100,SUM($G136:$P136)),MIN(100,SUMPRODUCT((COLUMN($G136:$P136)-COLUMN($G136)+1&lt;Reprogramaciones!O$14)*$G136:$P136)+N(INDEX($G136:$P136,1,Reprogramaciones!O$14))*IF(Reprogramaciones!O$13&gt;=(Reprogramaciones!$T$15+7*(Reprogramaciones!O$14-1))+6,1,IF(MAX(0,NETWORKDAYS.INTL(MAX(E136,(Reprogramaciones!$T$15+7*(Reprogramaciones!O$14-1))),MIN(F136,(Reprogramaciones!$T$15+7*(Reprogramaciones!O$14-1))+6),11))=0,0,MAX(0,NETWORKDAYS.INTL(MAX(E136,(Reprogramaciones!$T$15+7*(Reprogramaciones!O$14-1))),MIN(F136,Reprogramaciones!O$13),11))/MAX(0,NETWORKDAYS.INTL(MAX(E136,(Reprogramaciones!$T$15+7*(Reprogramaciones!O$14-1))),MIN(F136,(Reprogramaciones!$T$15+7*(Reprogramaciones!O$14-1))+6),11))))))))</f>
        <v/>
      </c>
      <c r="BY136" s="1" t="str">
        <f aca="false">IF(OR(NOT(AND(ISNUMBER(E136),ISNUMBER(F136))),$J$2=""),"",IF(Reprogramaciones!P$13&lt;Reprogramaciones!$T$15,0,IF(Reprogramaciones!P$14&gt;10,MIN(100,SUM($G136:$P136)),MIN(100,SUMPRODUCT((COLUMN($G136:$P136)-COLUMN($G136)+1&lt;Reprogramaciones!P$14)*$G136:$P136)+N(INDEX($G136:$P136,1,Reprogramaciones!P$14))*IF(Reprogramaciones!P$13&gt;=(Reprogramaciones!$T$15+7*(Reprogramaciones!P$14-1))+6,1,IF(MAX(0,NETWORKDAYS.INTL(MAX(E136,(Reprogramaciones!$T$15+7*(Reprogramaciones!P$14-1))),MIN(F136,(Reprogramaciones!$T$15+7*(Reprogramaciones!P$14-1))+6),11))=0,0,MAX(0,NETWORKDAYS.INTL(MAX(E136,(Reprogramaciones!$T$15+7*(Reprogramaciones!P$14-1))),MIN(F136,Reprogramaciones!P$13),11))/MAX(0,NETWORKDAYS.INTL(MAX(E136,(Reprogramaciones!$T$15+7*(Reprogramaciones!P$14-1))),MIN(F136,(Reprogramaciones!$T$15+7*(Reprogramaciones!P$14-1))+6),11))))))))</f>
        <v/>
      </c>
      <c r="BZ136" s="1" t="str">
        <f aca="false">IF(OR(NOT(AND(ISNUMBER(E136),ISNUMBER(F136))),$J$2=""),"",IF(Reprogramaciones!Q$13&lt;Reprogramaciones!$T$15,0,IF(Reprogramaciones!Q$14&gt;10,MIN(100,SUM($G136:$P136)),MIN(100,SUMPRODUCT((COLUMN($G136:$P136)-COLUMN($G136)+1&lt;Reprogramaciones!Q$14)*$G136:$P136)+N(INDEX($G136:$P136,1,Reprogramaciones!Q$14))*IF(Reprogramaciones!Q$13&gt;=(Reprogramaciones!$T$15+7*(Reprogramaciones!Q$14-1))+6,1,IF(MAX(0,NETWORKDAYS.INTL(MAX(E136,(Reprogramaciones!$T$15+7*(Reprogramaciones!Q$14-1))),MIN(F136,(Reprogramaciones!$T$15+7*(Reprogramaciones!Q$14-1))+6),11))=0,0,MAX(0,NETWORKDAYS.INTL(MAX(E136,(Reprogramaciones!$T$15+7*(Reprogramaciones!Q$14-1))),MIN(F136,Reprogramaciones!Q$13),11))/MAX(0,NETWORKDAYS.INTL(MAX(E136,(Reprogramaciones!$T$15+7*(Reprogramaciones!Q$14-1))),MIN(F136,(Reprogramaciones!$T$15+7*(Reprogramaciones!Q$14-1))+6),11))))))))</f>
        <v/>
      </c>
      <c r="CA136" s="1" t="str">
        <f aca="false">IF(OR(NOT(AND(ISNUMBER(E136),ISNUMBER(F136))),$J$2=""),"",IF(Reprogramaciones!R$13&lt;Reprogramaciones!$T$15,0,IF(Reprogramaciones!R$14&gt;10,MIN(100,SUM($G136:$P136)),MIN(100,SUMPRODUCT((COLUMN($G136:$P136)-COLUMN($G136)+1&lt;Reprogramaciones!R$14)*$G136:$P136)+N(INDEX($G136:$P136,1,Reprogramaciones!R$14))*IF(Reprogramaciones!R$13&gt;=(Reprogramaciones!$T$15+7*(Reprogramaciones!R$14-1))+6,1,IF(MAX(0,NETWORKDAYS.INTL(MAX(E136,(Reprogramaciones!$T$15+7*(Reprogramaciones!R$14-1))),MIN(F136,(Reprogramaciones!$T$15+7*(Reprogramaciones!R$14-1))+6),11))=0,0,MAX(0,NETWORKDAYS.INTL(MAX(E136,(Reprogramaciones!$T$15+7*(Reprogramaciones!R$14-1))),MIN(F136,Reprogramaciones!R$13),11))/MAX(0,NETWORKDAYS.INTL(MAX(E136,(Reprogramaciones!$T$15+7*(Reprogramaciones!R$14-1))),MIN(F136,(Reprogramaciones!$T$15+7*(Reprogramaciones!R$14-1))+6),11))))))))</f>
        <v/>
      </c>
      <c r="CB136" s="1" t="str">
        <f aca="false">IF(OR(NOT(AND(ISNUMBER(E136),ISNUMBER(F136))),$J$2=""),"",IF(Reprogramaciones!S$13&lt;Reprogramaciones!$T$15,0,IF(Reprogramaciones!S$14&gt;10,MIN(100,SUM($G136:$P136)),MIN(100,SUMPRODUCT((COLUMN($G136:$P136)-COLUMN($G136)+1&lt;Reprogramaciones!S$14)*$G136:$P136)+N(INDEX($G136:$P136,1,Reprogramaciones!S$14))*IF(Reprogramaciones!S$13&gt;=(Reprogramaciones!$T$15+7*(Reprogramaciones!S$14-1))+6,1,IF(MAX(0,NETWORKDAYS.INTL(MAX(E136,(Reprogramaciones!$T$15+7*(Reprogramaciones!S$14-1))),MIN(F136,(Reprogramaciones!$T$15+7*(Reprogramaciones!S$14-1))+6),11))=0,0,MAX(0,NETWORKDAYS.INTL(MAX(E136,(Reprogramaciones!$T$15+7*(Reprogramaciones!S$14-1))),MIN(F136,Reprogramaciones!S$13),11))/MAX(0,NETWORKDAYS.INTL(MAX(E136,(Reprogramaciones!$T$15+7*(Reprogramaciones!S$14-1))),MIN(F136,(Reprogramaciones!$T$15+7*(Reprogramaciones!S$14-1))+6),11))))))))</f>
        <v/>
      </c>
      <c r="CC136" s="1" t="str">
        <f aca="false">IF(OR(NOT(AND(ISNUMBER(E136),ISNUMBER(F136))),$J$2=""),"",IF(Reprogramaciones!T$13&lt;Reprogramaciones!$T$15,0,IF(Reprogramaciones!T$14&gt;10,MIN(100,SUM($G136:$P136)),MIN(100,SUMPRODUCT((COLUMN($G136:$P136)-COLUMN($G136)+1&lt;Reprogramaciones!T$14)*$G136:$P136)+N(INDEX($G136:$P136,1,Reprogramaciones!T$14))*IF(Reprogramaciones!T$13&gt;=(Reprogramaciones!$T$15+7*(Reprogramaciones!T$14-1))+6,1,IF(MAX(0,NETWORKDAYS.INTL(MAX(E136,(Reprogramaciones!$T$15+7*(Reprogramaciones!T$14-1))),MIN(F136,(Reprogramaciones!$T$15+7*(Reprogramaciones!T$14-1))+6),11))=0,0,MAX(0,NETWORKDAYS.INTL(MAX(E136,(Reprogramaciones!$T$15+7*(Reprogramaciones!T$14-1))),MIN(F136,Reprogramaciones!T$13),11))/MAX(0,NETWORKDAYS.INTL(MAX(E136,(Reprogramaciones!$T$15+7*(Reprogramaciones!T$14-1))),MIN(F136,(Reprogramaciones!$T$15+7*(Reprogramaciones!T$14-1))+6),11))))))))</f>
        <v/>
      </c>
      <c r="CD136" s="1" t="str">
        <f aca="false">IF(OR(NOT(AND(ISNUMBER(E136),ISNUMBER(F136))),$J$2=""),"",IF(Reprogramaciones!U$13&lt;Reprogramaciones!$T$15,0,IF(Reprogramaciones!U$14&gt;10,MIN(100,SUM($G136:$P136)),MIN(100,SUMPRODUCT((COLUMN($G136:$P136)-COLUMN($G136)+1&lt;Reprogramaciones!U$14)*$G136:$P136)+N(INDEX($G136:$P136,1,Reprogramaciones!U$14))*IF(Reprogramaciones!U$13&gt;=(Reprogramaciones!$T$15+7*(Reprogramaciones!U$14-1))+6,1,IF(MAX(0,NETWORKDAYS.INTL(MAX(E136,(Reprogramaciones!$T$15+7*(Reprogramaciones!U$14-1))),MIN(F136,(Reprogramaciones!$T$15+7*(Reprogramaciones!U$14-1))+6),11))=0,0,MAX(0,NETWORKDAYS.INTL(MAX(E136,(Reprogramaciones!$T$15+7*(Reprogramaciones!U$14-1))),MIN(F136,Reprogramaciones!U$13),11))/MAX(0,NETWORKDAYS.INTL(MAX(E136,(Reprogramaciones!$T$15+7*(Reprogramaciones!U$14-1))),MIN(F136,(Reprogramaciones!$T$15+7*(Reprogramaciones!U$14-1))+6),11))))))))</f>
        <v/>
      </c>
      <c r="CE136" s="1" t="str">
        <f aca="false">IF(OR(NOT(AND(ISNUMBER(E136),ISNUMBER(F136))),$J$2=""),"",IF(Reprogramaciones!V$13&lt;Reprogramaciones!$T$15,0,IF(Reprogramaciones!V$14&gt;10,MIN(100,SUM($G136:$P136)),MIN(100,SUMPRODUCT((COLUMN($G136:$P136)-COLUMN($G136)+1&lt;Reprogramaciones!V$14)*$G136:$P136)+N(INDEX($G136:$P136,1,Reprogramaciones!V$14))*IF(Reprogramaciones!V$13&gt;=(Reprogramaciones!$T$15+7*(Reprogramaciones!V$14-1))+6,1,IF(MAX(0,NETWORKDAYS.INTL(MAX(E136,(Reprogramaciones!$T$15+7*(Reprogramaciones!V$14-1))),MIN(F136,(Reprogramaciones!$T$15+7*(Reprogramaciones!V$14-1))+6),11))=0,0,MAX(0,NETWORKDAYS.INTL(MAX(E136,(Reprogramaciones!$T$15+7*(Reprogramaciones!V$14-1))),MIN(F136,Reprogramaciones!V$13),11))/MAX(0,NETWORKDAYS.INTL(MAX(E136,(Reprogramaciones!$T$15+7*(Reprogramaciones!V$14-1))),MIN(F136,(Reprogramaciones!$T$15+7*(Reprogramaciones!V$14-1))+6),11))))))))</f>
        <v/>
      </c>
      <c r="CF136" s="1" t="str">
        <f aca="false">IF(OR(NOT(AND(ISNUMBER(E136),ISNUMBER(F136))),$J$2=""),"",IF(Reprogramaciones!W$13&lt;Reprogramaciones!$T$15,0,IF(Reprogramaciones!W$14&gt;10,MIN(100,SUM($G136:$P136)),MIN(100,SUMPRODUCT((COLUMN($G136:$P136)-COLUMN($G136)+1&lt;Reprogramaciones!W$14)*$G136:$P136)+N(INDEX($G136:$P136,1,Reprogramaciones!W$14))*IF(Reprogramaciones!W$13&gt;=(Reprogramaciones!$T$15+7*(Reprogramaciones!W$14-1))+6,1,IF(MAX(0,NETWORKDAYS.INTL(MAX(E136,(Reprogramaciones!$T$15+7*(Reprogramaciones!W$14-1))),MIN(F136,(Reprogramaciones!$T$15+7*(Reprogramaciones!W$14-1))+6),11))=0,0,MAX(0,NETWORKDAYS.INTL(MAX(E136,(Reprogramaciones!$T$15+7*(Reprogramaciones!W$14-1))),MIN(F136,Reprogramaciones!W$13),11))/MAX(0,NETWORKDAYS.INTL(MAX(E136,(Reprogramaciones!$T$15+7*(Reprogramaciones!W$14-1))),MIN(F136,(Reprogramaciones!$T$15+7*(Reprogramaciones!W$14-1))+6),11))))))))</f>
        <v/>
      </c>
      <c r="CG136" s="1" t="str">
        <f aca="false">IF(OR(NOT(AND(ISNUMBER(E136),ISNUMBER(F136))),$J$2=""),"",IF(Reprogramaciones!X$13&lt;Reprogramaciones!$T$15,0,IF(Reprogramaciones!X$14&gt;10,MIN(100,SUM($G136:$P136)),MIN(100,SUMPRODUCT((COLUMN($G136:$P136)-COLUMN($G136)+1&lt;Reprogramaciones!X$14)*$G136:$P136)+N(INDEX($G136:$P136,1,Reprogramaciones!X$14))*IF(Reprogramaciones!X$13&gt;=(Reprogramaciones!$T$15+7*(Reprogramaciones!X$14-1))+6,1,IF(MAX(0,NETWORKDAYS.INTL(MAX(E136,(Reprogramaciones!$T$15+7*(Reprogramaciones!X$14-1))),MIN(F136,(Reprogramaciones!$T$15+7*(Reprogramaciones!X$14-1))+6),11))=0,0,MAX(0,NETWORKDAYS.INTL(MAX(E136,(Reprogramaciones!$T$15+7*(Reprogramaciones!X$14-1))),MIN(F136,Reprogramaciones!X$13),11))/MAX(0,NETWORKDAYS.INTL(MAX(E136,(Reprogramaciones!$T$15+7*(Reprogramaciones!X$14-1))),MIN(F136,(Reprogramaciones!$T$15+7*(Reprogramaciones!X$14-1))+6),11))))))))</f>
        <v/>
      </c>
      <c r="CH136" s="1" t="str">
        <f aca="false">IF(OR(NOT(AND(ISNUMBER(E136),ISNUMBER(F136))),$J$2=""),"",IF(Reprogramaciones!Y$13&lt;Reprogramaciones!$T$15,0,IF(Reprogramaciones!Y$14&gt;10,MIN(100,SUM($G136:$P136)),MIN(100,SUMPRODUCT((COLUMN($G136:$P136)-COLUMN($G136)+1&lt;Reprogramaciones!Y$14)*$G136:$P136)+N(INDEX($G136:$P136,1,Reprogramaciones!Y$14))*IF(Reprogramaciones!Y$13&gt;=(Reprogramaciones!$T$15+7*(Reprogramaciones!Y$14-1))+6,1,IF(MAX(0,NETWORKDAYS.INTL(MAX(E136,(Reprogramaciones!$T$15+7*(Reprogramaciones!Y$14-1))),MIN(F136,(Reprogramaciones!$T$15+7*(Reprogramaciones!Y$14-1))+6),11))=0,0,MAX(0,NETWORKDAYS.INTL(MAX(E136,(Reprogramaciones!$T$15+7*(Reprogramaciones!Y$14-1))),MIN(F136,Reprogramaciones!Y$13),11))/MAX(0,NETWORKDAYS.INTL(MAX(E136,(Reprogramaciones!$T$15+7*(Reprogramaciones!Y$14-1))),MIN(F136,(Reprogramaciones!$T$15+7*(Reprogramaciones!Y$14-1))+6),11))))))))</f>
        <v/>
      </c>
      <c r="CI136" s="1" t="str">
        <f aca="false">IF(OR(NOT(AND(ISNUMBER(E136),ISNUMBER(F136))),$J$2=""),"",IF(Reprogramaciones!Z$13&lt;Reprogramaciones!$T$15,0,IF(Reprogramaciones!Z$14&gt;10,MIN(100,SUM($G136:$P136)),MIN(100,SUMPRODUCT((COLUMN($G136:$P136)-COLUMN($G136)+1&lt;Reprogramaciones!Z$14)*$G136:$P136)+N(INDEX($G136:$P136,1,Reprogramaciones!Z$14))*IF(Reprogramaciones!Z$13&gt;=(Reprogramaciones!$T$15+7*(Reprogramaciones!Z$14-1))+6,1,IF(MAX(0,NETWORKDAYS.INTL(MAX(E136,(Reprogramaciones!$T$15+7*(Reprogramaciones!Z$14-1))),MIN(F136,(Reprogramaciones!$T$15+7*(Reprogramaciones!Z$14-1))+6),11))=0,0,MAX(0,NETWORKDAYS.INTL(MAX(E136,(Reprogramaciones!$T$15+7*(Reprogramaciones!Z$14-1))),MIN(F136,Reprogramaciones!Z$13),11))/MAX(0,NETWORKDAYS.INTL(MAX(E136,(Reprogramaciones!$T$15+7*(Reprogramaciones!Z$14-1))),MIN(F136,(Reprogramaciones!$T$15+7*(Reprogramaciones!Z$14-1))+6),11))))))))</f>
        <v/>
      </c>
      <c r="CJ136" s="1" t="str">
        <f aca="false">IF(OR(OR(NOT(AND(ISNUMBER(E136),ISNUMBER(F136))),$J$2=""),1&gt;Reprogramaciones!$K$16),"",IF(ROUND(SUM($Q136:Q136),1)&gt;=99.5,100,MIN(100,ROUND(SUM($Q136:Q136),1))))</f>
        <v/>
      </c>
      <c r="CK136" s="1" t="str">
        <f aca="false">IF(OR(OR(NOT(AND(ISNUMBER(E136),ISNUMBER(F136))),$J$2=""),2&gt;Reprogramaciones!$K$16),"",IF(ROUND(SUM($Q136:R136),1)&gt;=99.5,100,MIN(100,ROUND(SUM($Q136:R136),1))))</f>
        <v/>
      </c>
      <c r="CL136" s="1" t="str">
        <f aca="false">IF(OR(OR(NOT(AND(ISNUMBER(E136),ISNUMBER(F136))),$J$2=""),3&gt;Reprogramaciones!$K$16),"",IF(ROUND(SUM($Q136:S136),1)&gt;=99.5,100,MIN(100,ROUND(SUM($Q136:S136),1))))</f>
        <v/>
      </c>
      <c r="CM136" s="1" t="str">
        <f aca="false">IF(OR(OR(NOT(AND(ISNUMBER(E136),ISNUMBER(F136))),$J$2=""),4&gt;Reprogramaciones!$K$16),"",IF(ROUND(SUM($Q136:T136),1)&gt;=99.5,100,MIN(100,ROUND(SUM($Q136:T136),1))))</f>
        <v/>
      </c>
      <c r="CN136" s="1" t="str">
        <f aca="false">IF(OR(OR(NOT(AND(ISNUMBER(E136),ISNUMBER(F136))),$J$2=""),5&gt;Reprogramaciones!$K$16),"",IF(ROUND(SUM($Q136:U136),1)&gt;=99.5,100,MIN(100,ROUND(SUM($Q136:U136),1))))</f>
        <v/>
      </c>
      <c r="CO136" s="1" t="str">
        <f aca="false">IF(OR(OR(NOT(AND(ISNUMBER(E136),ISNUMBER(F136))),$J$2=""),6&gt;Reprogramaciones!$K$16),"",IF(ROUND(SUM($Q136:V136),1)&gt;=99.5,100,MIN(100,ROUND(SUM($Q136:V136),1))))</f>
        <v/>
      </c>
      <c r="CP136" s="1" t="str">
        <f aca="false">IF(OR(OR(NOT(AND(ISNUMBER(E136),ISNUMBER(F136))),$J$2=""),7&gt;Reprogramaciones!$K$16),"",IF(ROUND(SUM($Q136:W136),1)&gt;=99.5,100,MIN(100,ROUND(SUM($Q136:W136),1))))</f>
        <v/>
      </c>
      <c r="CQ136" s="1" t="str">
        <f aca="false">IF(OR(OR(NOT(AND(ISNUMBER(E136),ISNUMBER(F136))),$J$2=""),8&gt;Reprogramaciones!$K$16),"",IF(ROUND(SUM($Q136:X136),1)&gt;=99.5,100,MIN(100,ROUND(SUM($Q136:X136),1))))</f>
        <v/>
      </c>
      <c r="CR136" s="1" t="str">
        <f aca="false">IF(OR(OR(NOT(AND(ISNUMBER(E136),ISNUMBER(F136))),$J$2=""),9&gt;Reprogramaciones!$K$16),"",IF(ROUND(SUM($Q136:Y136),1)&gt;=99.5,100,MIN(100,ROUND(SUM($Q136:Y136),1))))</f>
        <v/>
      </c>
      <c r="CS136" s="1" t="str">
        <f aca="false">IF(OR(OR(NOT(AND(ISNUMBER(E136),ISNUMBER(F136))),$J$2=""),10&gt;Reprogramaciones!$K$16),"",IF(ROUND(SUM($Q136:Z136),1)&gt;=99.5,100,MIN(100,ROUND(SUM($Q136:Z136),1))))</f>
        <v/>
      </c>
      <c r="CT136" s="1" t="str">
        <f aca="false">IF(OR(OR(NOT(AND(ISNUMBER(E136),ISNUMBER(F136))),$J$2=""),11&gt;Reprogramaciones!$K$16),"",IF(ROUND(SUM($Q136:AA136),1)&gt;=99.5,100,MIN(100,ROUND(SUM($Q136:AA136),1))))</f>
        <v/>
      </c>
      <c r="CU136" s="1" t="str">
        <f aca="false">IF(OR(OR(NOT(AND(ISNUMBER(E136),ISNUMBER(F136))),$J$2=""),12&gt;Reprogramaciones!$K$16),"",IF(ROUND(SUM($Q136:AB136),1)&gt;=99.5,100,MIN(100,ROUND(SUM($Q136:AB136),1))))</f>
        <v/>
      </c>
      <c r="CV136" s="1" t="str">
        <f aca="false">IF(OR(OR(NOT(AND(ISNUMBER(E136),ISNUMBER(F136))),$J$2=""),13&gt;Reprogramaciones!$K$16),"",IF(ROUND(SUM($Q136:AC136),1)&gt;=99.5,100,MIN(100,ROUND(SUM($Q136:AC136),1))))</f>
        <v/>
      </c>
      <c r="CW136" s="1" t="str">
        <f aca="false">IF(OR(OR(NOT(AND(ISNUMBER(E136),ISNUMBER(F136))),$J$2=""),14&gt;Reprogramaciones!$K$16),"",IF(ROUND(SUM($Q136:AD136),1)&gt;=99.5,100,MIN(100,ROUND(SUM($Q136:AD136),1))))</f>
        <v/>
      </c>
      <c r="CX136" s="1" t="str">
        <f aca="false">IF(OR(OR(NOT(AND(ISNUMBER(E136),ISNUMBER(F136))),$J$2=""),15&gt;Reprogramaciones!$K$16),"",IF(ROUND(SUM($Q136:AE136),1)&gt;=99.5,100,MIN(100,ROUND(SUM($Q136:AE136),1))))</f>
        <v/>
      </c>
      <c r="CY136" s="1" t="str">
        <f aca="false">IF(OR(OR(NOT(AND(ISNUMBER(E136),ISNUMBER(F136))),$J$2=""),16&gt;Reprogramaciones!$K$16),"",IF(ROUND(SUM($Q136:AF136),1)&gt;=99.5,100,MIN(100,ROUND(SUM($Q136:AF136),1))))</f>
        <v/>
      </c>
      <c r="CZ136" s="1" t="str">
        <f aca="false">IF(D136&lt;&gt;"",D136,IF(B136&lt;&gt;"","Contractual",CZ135))</f>
        <v>Contractual</v>
      </c>
      <c r="DA136" s="1" t="str">
        <f aca="false">IF(OR(NOT(AND(ISNUMBER(E136),ISNUMBER(F136))),$J$2=""),"",IF(Reprogramaciones!$Q$15&lt;Reprogramaciones!$T$15,0,IF(Reprogramaciones!$S$15&gt;10,MIN(100,SUM($G136:$P136)),MIN(100,SUMPRODUCT((COLUMN($G136:$P136)-COLUMN($G136)+1&lt;Reprogramaciones!$S$15)*$G136:$P136)+N(INDEX($G136:$P136,1,Reprogramaciones!$S$15))*IF(Reprogramaciones!$Q$15&gt;=(Reprogramaciones!$T$15+7*(Reprogramaciones!$S$15-1))+6,1,IF(MAX(0,NETWORKDAYS.INTL(MAX(E136,(Reprogramaciones!$T$15+7*(Reprogramaciones!$S$15-1))),MIN(F136,(Reprogramaciones!$T$15+7*(Reprogramaciones!$S$15-1))+6),11))=0,0,MAX(0,NETWORKDAYS.INTL(MAX(E136,(Reprogramaciones!$T$15+7*(Reprogramaciones!$S$15-1))),MIN(F136,Reprogramaciones!$Q$15),11))/MAX(0,NETWORKDAYS.INTL(MAX(E136,(Reprogramaciones!$T$15+7*(Reprogramaciones!$S$15-1))),MIN(F136,(Reprogramaciones!$T$15+7*(Reprogramaciones!$S$15-1))+6),11))))))))</f>
        <v/>
      </c>
    </row>
    <row r="137" customFormat="false" ht="15" hidden="false" customHeight="false" outlineLevel="0" collapsed="false">
      <c r="A137" s="32"/>
      <c r="B137" s="33"/>
      <c r="C137" s="33"/>
      <c r="D137" s="34"/>
      <c r="E137" s="35"/>
      <c r="F137" s="35"/>
      <c r="G137" s="36" t="str">
        <f aca="false">IF(OR(NOT(AND(ISNUMBER(E137),ISNUMBER(F137))),$J$2=""),"",IF(Reprogramaciones!K$9&lt;E137,0,IF(NETWORKDAYS.INTL(E137,F137,11)=0,IF(Reprogramaciones!K$9&gt;=F137,100,0),ROUND(NETWORKDAYS.INTL(E137,MIN(F137,Reprogramaciones!K$9),11)/NETWORKDAYS.INTL(E137,F137,11)*100,1)))-0)</f>
        <v/>
      </c>
      <c r="H137" s="36" t="str">
        <f aca="false">IF(OR(NOT(AND(ISNUMBER(E137),ISNUMBER(F137))),$J$2=""),"",IF(Reprogramaciones!L$9&lt;E137,0,IF(NETWORKDAYS.INTL(E137,F137,11)=0,IF(Reprogramaciones!L$9&gt;=F137,100,0),ROUND(NETWORKDAYS.INTL(E137,MIN(F137,Reprogramaciones!L$9),11)/NETWORKDAYS.INTL(E137,F137,11)*100,1)))-IF(Reprogramaciones!K$9&lt;E137,0,IF(NETWORKDAYS.INTL(E137,F137,11)=0,IF(Reprogramaciones!K$9&gt;=F137,100,0),ROUND(NETWORKDAYS.INTL(E137,MIN(F137,Reprogramaciones!K$9),11)/NETWORKDAYS.INTL(E137,F137,11)*100,1))))</f>
        <v/>
      </c>
      <c r="I137" s="36" t="str">
        <f aca="false">IF(OR(NOT(AND(ISNUMBER(E137),ISNUMBER(F137))),$J$2=""),"",IF(Reprogramaciones!M$9&lt;E137,0,IF(NETWORKDAYS.INTL(E137,F137,11)=0,IF(Reprogramaciones!M$9&gt;=F137,100,0),ROUND(NETWORKDAYS.INTL(E137,MIN(F137,Reprogramaciones!M$9),11)/NETWORKDAYS.INTL(E137,F137,11)*100,1)))-IF(Reprogramaciones!L$9&lt;E137,0,IF(NETWORKDAYS.INTL(E137,F137,11)=0,IF(Reprogramaciones!L$9&gt;=F137,100,0),ROUND(NETWORKDAYS.INTL(E137,MIN(F137,Reprogramaciones!L$9),11)/NETWORKDAYS.INTL(E137,F137,11)*100,1))))</f>
        <v/>
      </c>
      <c r="J137" s="36" t="str">
        <f aca="false">IF(OR(NOT(AND(ISNUMBER(E137),ISNUMBER(F137))),$J$2=""),"",IF(Reprogramaciones!N$9&lt;E137,0,IF(NETWORKDAYS.INTL(E137,F137,11)=0,IF(Reprogramaciones!N$9&gt;=F137,100,0),ROUND(NETWORKDAYS.INTL(E137,MIN(F137,Reprogramaciones!N$9),11)/NETWORKDAYS.INTL(E137,F137,11)*100,1)))-IF(Reprogramaciones!M$9&lt;E137,0,IF(NETWORKDAYS.INTL(E137,F137,11)=0,IF(Reprogramaciones!M$9&gt;=F137,100,0),ROUND(NETWORKDAYS.INTL(E137,MIN(F137,Reprogramaciones!M$9),11)/NETWORKDAYS.INTL(E137,F137,11)*100,1))))</f>
        <v/>
      </c>
      <c r="K137" s="36" t="str">
        <f aca="false">IF(OR(NOT(AND(ISNUMBER(E137),ISNUMBER(F137))),$J$2=""),"",IF(Reprogramaciones!O$9&lt;E137,0,IF(NETWORKDAYS.INTL(E137,F137,11)=0,IF(Reprogramaciones!O$9&gt;=F137,100,0),ROUND(NETWORKDAYS.INTL(E137,MIN(F137,Reprogramaciones!O$9),11)/NETWORKDAYS.INTL(E137,F137,11)*100,1)))-IF(Reprogramaciones!N$9&lt;E137,0,IF(NETWORKDAYS.INTL(E137,F137,11)=0,IF(Reprogramaciones!N$9&gt;=F137,100,0),ROUND(NETWORKDAYS.INTL(E137,MIN(F137,Reprogramaciones!N$9),11)/NETWORKDAYS.INTL(E137,F137,11)*100,1))))</f>
        <v/>
      </c>
      <c r="L137" s="36" t="str">
        <f aca="false">IF(OR(NOT(AND(ISNUMBER(E137),ISNUMBER(F137))),$J$2=""),"",IF(Reprogramaciones!P$9&lt;E137,0,IF(NETWORKDAYS.INTL(E137,F137,11)=0,IF(Reprogramaciones!P$9&gt;=F137,100,0),ROUND(NETWORKDAYS.INTL(E137,MIN(F137,Reprogramaciones!P$9),11)/NETWORKDAYS.INTL(E137,F137,11)*100,1)))-IF(Reprogramaciones!O$9&lt;E137,0,IF(NETWORKDAYS.INTL(E137,F137,11)=0,IF(Reprogramaciones!O$9&gt;=F137,100,0),ROUND(NETWORKDAYS.INTL(E137,MIN(F137,Reprogramaciones!O$9),11)/NETWORKDAYS.INTL(E137,F137,11)*100,1))))</f>
        <v/>
      </c>
      <c r="M137" s="36" t="str">
        <f aca="false">IF(OR(NOT(AND(ISNUMBER(E137),ISNUMBER(F137))),$J$2=""),"",IF(Reprogramaciones!Q$9&lt;E137,0,IF(NETWORKDAYS.INTL(E137,F137,11)=0,IF(Reprogramaciones!Q$9&gt;=F137,100,0),ROUND(NETWORKDAYS.INTL(E137,MIN(F137,Reprogramaciones!Q$9),11)/NETWORKDAYS.INTL(E137,F137,11)*100,1)))-IF(Reprogramaciones!P$9&lt;E137,0,IF(NETWORKDAYS.INTL(E137,F137,11)=0,IF(Reprogramaciones!P$9&gt;=F137,100,0),ROUND(NETWORKDAYS.INTL(E137,MIN(F137,Reprogramaciones!P$9),11)/NETWORKDAYS.INTL(E137,F137,11)*100,1))))</f>
        <v/>
      </c>
      <c r="N137" s="36" t="str">
        <f aca="false">IF(OR(NOT(AND(ISNUMBER(E137),ISNUMBER(F137))),$J$2=""),"",IF(Reprogramaciones!R$9&lt;E137,0,IF(NETWORKDAYS.INTL(E137,F137,11)=0,IF(Reprogramaciones!R$9&gt;=F137,100,0),ROUND(NETWORKDAYS.INTL(E137,MIN(F137,Reprogramaciones!R$9),11)/NETWORKDAYS.INTL(E137,F137,11)*100,1)))-IF(Reprogramaciones!Q$9&lt;E137,0,IF(NETWORKDAYS.INTL(E137,F137,11)=0,IF(Reprogramaciones!Q$9&gt;=F137,100,0),ROUND(NETWORKDAYS.INTL(E137,MIN(F137,Reprogramaciones!Q$9),11)/NETWORKDAYS.INTL(E137,F137,11)*100,1))))</f>
        <v/>
      </c>
      <c r="O137" s="36" t="str">
        <f aca="false">IF(OR(NOT(AND(ISNUMBER(E137),ISNUMBER(F137))),$J$2=""),"",IF(Reprogramaciones!S$9&lt;E137,0,IF(NETWORKDAYS.INTL(E137,F137,11)=0,IF(Reprogramaciones!S$9&gt;=F137,100,0),ROUND(NETWORKDAYS.INTL(E137,MIN(F137,Reprogramaciones!S$9),11)/NETWORKDAYS.INTL(E137,F137,11)*100,1)))-IF(Reprogramaciones!R$9&lt;E137,0,IF(NETWORKDAYS.INTL(E137,F137,11)=0,IF(Reprogramaciones!R$9&gt;=F137,100,0),ROUND(NETWORKDAYS.INTL(E137,MIN(F137,Reprogramaciones!R$9),11)/NETWORKDAYS.INTL(E137,F137,11)*100,1))))</f>
        <v/>
      </c>
      <c r="P137" s="36" t="str">
        <f aca="false">IF(OR(NOT(AND(ISNUMBER(E137),ISNUMBER(F137))),$J$2=""),"",IF(Reprogramaciones!T$9&lt;E137,0,IF(NETWORKDAYS.INTL(E137,F137,11)=0,IF(Reprogramaciones!T$9&gt;=F137,100,0),ROUND(NETWORKDAYS.INTL(E137,MIN(F137,Reprogramaciones!T$9),11)/NETWORKDAYS.INTL(E137,F137,11)*100,1)))-IF(Reprogramaciones!S$9&lt;E137,0,IF(NETWORKDAYS.INTL(E137,F137,11)=0,IF(Reprogramaciones!S$9&gt;=F137,100,0),ROUND(NETWORKDAYS.INTL(E137,MIN(F137,Reprogramaciones!S$9),11)/NETWORKDAYS.INTL(E137,F137,11)*100,1))))</f>
        <v/>
      </c>
      <c r="Q137" s="37"/>
      <c r="R137" s="37"/>
      <c r="S137" s="37"/>
      <c r="T137" s="37"/>
      <c r="U137" s="37"/>
      <c r="V137" s="37"/>
      <c r="W137" s="37"/>
      <c r="X137" s="37"/>
      <c r="Y137" s="37"/>
      <c r="Z137" s="37"/>
      <c r="AA137" s="37"/>
      <c r="AB137" s="37"/>
      <c r="AC137" s="37"/>
      <c r="AD137" s="37"/>
      <c r="AE137" s="37"/>
      <c r="AF137" s="37"/>
      <c r="AG137" s="38" t="str">
        <f aca="false">IF(AND(ISNUMBER(E137),ISNUMBER(F137)),NETWORKDAYS.INTL(E137,F137,11),"")</f>
        <v/>
      </c>
      <c r="AH137" s="38" t="str">
        <f aca="false">IF(OR(NOT(AND(ISNUMBER(E137),ISNUMBER(F137))),$J$2=""),"",IF(Reprogramaciones!$P$15&lt;Reprogramaciones!$T$15,0,IF(Reprogramaciones!$R$15&gt;10,MIN(100,SUM($G137:$P137)),MIN(100,SUMPRODUCT((COLUMN($G137:$P137)-COLUMN($G137)+1&lt;Reprogramaciones!$R$15)*$G137:$P137)+N(INDEX($G137:$P137,1,Reprogramaciones!$R$15))*IF(Reprogramaciones!$P$15&gt;=(Reprogramaciones!$T$15+7*(Reprogramaciones!$R$15-1))+6,1,IF(MAX(0,NETWORKDAYS.INTL(MAX(E137,(Reprogramaciones!$T$15+7*(Reprogramaciones!$R$15-1))),MIN(F137,(Reprogramaciones!$T$15+7*(Reprogramaciones!$R$15-1))+6),11))=0,0,MAX(0,NETWORKDAYS.INTL(MAX(E137,(Reprogramaciones!$T$15+7*(Reprogramaciones!$R$15-1))),MIN(F137,Reprogramaciones!$P$15),11))/MAX(0,NETWORKDAYS.INTL(MAX(E137,(Reprogramaciones!$T$15+7*(Reprogramaciones!$R$15-1))),MIN(F137,(Reprogramaciones!$T$15+7*(Reprogramaciones!$R$15-1))+6),11))))))))</f>
        <v/>
      </c>
      <c r="AI137" s="38" t="str">
        <f aca="false">IF(COUNT($Q137:$AF137)=0,"",IF(ROUND(SUM($Q137:$AF137),1)&gt;=99.5,100,MIN(100,ROUND(SUM($Q137:$AF137),1))))</f>
        <v/>
      </c>
      <c r="AJ137" s="38" t="str">
        <f aca="false">IF(OR(AH137="",AI137=""),"",AI137-AH137)</f>
        <v/>
      </c>
      <c r="AK137" s="39" t="str">
        <f aca="true">IF(AH137="","",IF(OR(Ficha!$C$10="Suspendida",Ficha!$C$10="Cancelada"),Ficha!$C$10,IF(AND(AI137&lt;&gt;"",N(AI137)&gt;=100),"Completada",IF(AND(E137&gt;TODAY(),N(AI137)=0),"Por iniciar",IF(N(AI137)+0.5&lt;AH137,"Retrasada",IF(N(AI137)+0.5&lt;DA137,IF(Reprogramaciones!$K$15&gt;0,"Al día · Sem "&amp;Reprogramaciones!$K$15&amp;" en curso","Al día · en curso"),"A tiempo"))))))</f>
        <v/>
      </c>
      <c r="AL137" s="39" t="str">
        <f aca="true">IF(AND(A137="",AND(B137="",C137="",E137="",F137="",COUNT(Q137:AF137)=0)),"",IF(AND(B137="",C137="",E137="",F137="",COUNT(Q137:AF137)=0),"Falta la partida o subpartida",IF(AND(A137&lt;&gt;"",COUNTIF($A$6:$A$305,A137)&gt;1),"Ítem repetido",IF(AND(C137="",E137="",F137="",COUNT(Q137:AF137)=0),"Título de partida",IF(OR(E137="",F137=""),"Faltan fechas",IF(OR(ISTEXT(E137),ISTEXT(F137)),"Fecha escrita como texto: usa dd/mm/aaaa",IF(F137&lt;E137,"Fin antes del inicio",IF(IF($J$2="",FALSE(),OR(E137&lt;$J$2,F137&gt;Reprogramaciones!$T$15+69)),"Fuera de las 10 semanas",IF(ABS(SUM(G137:P137)-100)&gt;0.5,"La meta no suma 100%",IF(ROUND(SUM(Q137:AF137),1)&gt;100.5,"El avance pasa de 100%",IF(MIN(Q137:AF137)&lt;0,"Avance negativo",IF(COUNTA(Q137:AF137)&gt;COUNT(Q137:AF137),"Avance escrito como texto",IF(SUMPRODUCT((Q137:AF137&gt;0)*(Q137:AF137&lt;1))&gt;0,"Avance menor a 1: escribe 50, no 50%",IF(SUMPRODUCT(ISNUMBER(Q137:AF137)*(Reprogramaciones!$K$8:$Z$8&gt;TODAY()))&gt;0,"Avance en semana que aún no llega",IF(AND(N(Reprogramaciones!$E$21)&gt;0,F137&gt;Reprogramaciones!$E$21),"Pasa el fin de la obra: registra una reprogramación",IF(AND(N(Reprogramaciones!$E$21)&gt;0,SUMPRODUCT(ISNUMBER(Q137:AF137)*(Reprogramaciones!$K$8:$Z$8&gt;Reprogramaciones!$E$21))&gt;0),"Avance después del fin de la obra: registra una reprogramación por atraso","OK"))))))))))))))))</f>
        <v/>
      </c>
      <c r="AM137" s="40" t="str">
        <f aca="false">IF(OR(OR(NOT(AND(ISNUMBER(E137),ISNUMBER(F137))),$J$2=""),1&gt;MAX(1,Reprogramaciones!$U$15)),"",IF(Reprogramaciones!K$12&gt;=7,"",IF(OR(BT137-N(0)&gt;0.05,N(Q137)&gt;0),ROUNDDOWN(ROUND(BT137,6),0)&amp;"%"&amp;IF(CJ137="",""," / "&amp;CJ137&amp;"%"),IF(AND(N(0)&gt;=99.95,CJ137&lt;&gt;"",N(CJ137)&lt;100),"Pend. "&amp;CJ137&amp;"%",""))))</f>
        <v/>
      </c>
      <c r="AN137" s="40" t="str">
        <f aca="false">IF(OR(OR(NOT(AND(ISNUMBER(E137),ISNUMBER(F137))),$J$2=""),2&gt;MAX(1,Reprogramaciones!$U$15)),"",IF(Reprogramaciones!L$12&gt;=7,"",IF(OR(BU137-N(BT137)&gt;0.05,N(R137)&gt;0),ROUNDDOWN(ROUND(BU137,6),0)&amp;"%"&amp;IF(CK137="",""," / "&amp;CK137&amp;"%"),IF(AND(N(BT137)&gt;=99.95,CK137&lt;&gt;"",N(CK137)&lt;100),"Pend. "&amp;CK137&amp;"%",""))))</f>
        <v/>
      </c>
      <c r="AO137" s="40" t="str">
        <f aca="false">IF(OR(OR(NOT(AND(ISNUMBER(E137),ISNUMBER(F137))),$J$2=""),3&gt;MAX(1,Reprogramaciones!$U$15)),"",IF(Reprogramaciones!M$12&gt;=7,"",IF(OR(BV137-N(BU137)&gt;0.05,N(S137)&gt;0),ROUNDDOWN(ROUND(BV137,6),0)&amp;"%"&amp;IF(CL137="",""," / "&amp;CL137&amp;"%"),IF(AND(N(BU137)&gt;=99.95,CL137&lt;&gt;"",N(CL137)&lt;100),"Pend. "&amp;CL137&amp;"%",""))))</f>
        <v/>
      </c>
      <c r="AP137" s="40" t="str">
        <f aca="false">IF(OR(OR(NOT(AND(ISNUMBER(E137),ISNUMBER(F137))),$J$2=""),4&gt;MAX(1,Reprogramaciones!$U$15)),"",IF(Reprogramaciones!N$12&gt;=7,"",IF(OR(BW137-N(BV137)&gt;0.05,N(T137)&gt;0),ROUNDDOWN(ROUND(BW137,6),0)&amp;"%"&amp;IF(CM137="",""," / "&amp;CM137&amp;"%"),IF(AND(N(BV137)&gt;=99.95,CM137&lt;&gt;"",N(CM137)&lt;100),"Pend. "&amp;CM137&amp;"%",""))))</f>
        <v/>
      </c>
      <c r="AQ137" s="40" t="str">
        <f aca="false">IF(OR(OR(NOT(AND(ISNUMBER(E137),ISNUMBER(F137))),$J$2=""),5&gt;MAX(1,Reprogramaciones!$U$15)),"",IF(Reprogramaciones!O$12&gt;=7,"",IF(OR(BX137-N(BW137)&gt;0.05,N(U137)&gt;0),ROUNDDOWN(ROUND(BX137,6),0)&amp;"%"&amp;IF(CN137="",""," / "&amp;CN137&amp;"%"),IF(AND(N(BW137)&gt;=99.95,CN137&lt;&gt;"",N(CN137)&lt;100),"Pend. "&amp;CN137&amp;"%",""))))</f>
        <v/>
      </c>
      <c r="AR137" s="40" t="str">
        <f aca="false">IF(OR(OR(NOT(AND(ISNUMBER(E137),ISNUMBER(F137))),$J$2=""),6&gt;MAX(1,Reprogramaciones!$U$15)),"",IF(Reprogramaciones!P$12&gt;=7,"",IF(OR(BY137-N(BX137)&gt;0.05,N(V137)&gt;0),ROUNDDOWN(ROUND(BY137,6),0)&amp;"%"&amp;IF(CO137="",""," / "&amp;CO137&amp;"%"),IF(AND(N(BX137)&gt;=99.95,CO137&lt;&gt;"",N(CO137)&lt;100),"Pend. "&amp;CO137&amp;"%",""))))</f>
        <v/>
      </c>
      <c r="AS137" s="40" t="str">
        <f aca="false">IF(OR(OR(NOT(AND(ISNUMBER(E137),ISNUMBER(F137))),$J$2=""),7&gt;MAX(1,Reprogramaciones!$U$15)),"",IF(Reprogramaciones!Q$12&gt;=7,"",IF(OR(BZ137-N(BY137)&gt;0.05,N(W137)&gt;0),ROUNDDOWN(ROUND(BZ137,6),0)&amp;"%"&amp;IF(CP137="",""," / "&amp;CP137&amp;"%"),IF(AND(N(BY137)&gt;=99.95,CP137&lt;&gt;"",N(CP137)&lt;100),"Pend. "&amp;CP137&amp;"%",""))))</f>
        <v/>
      </c>
      <c r="AT137" s="40" t="str">
        <f aca="false">IF(OR(OR(NOT(AND(ISNUMBER(E137),ISNUMBER(F137))),$J$2=""),8&gt;MAX(1,Reprogramaciones!$U$15)),"",IF(Reprogramaciones!R$12&gt;=7,"",IF(OR(CA137-N(BZ137)&gt;0.05,N(X137)&gt;0),ROUNDDOWN(ROUND(CA137,6),0)&amp;"%"&amp;IF(CQ137="",""," / "&amp;CQ137&amp;"%"),IF(AND(N(BZ137)&gt;=99.95,CQ137&lt;&gt;"",N(CQ137)&lt;100),"Pend. "&amp;CQ137&amp;"%",""))))</f>
        <v/>
      </c>
      <c r="AU137" s="40" t="str">
        <f aca="false">IF(OR(OR(NOT(AND(ISNUMBER(E137),ISNUMBER(F137))),$J$2=""),9&gt;MAX(1,Reprogramaciones!$U$15)),"",IF(Reprogramaciones!S$12&gt;=7,"",IF(OR(CB137-N(CA137)&gt;0.05,N(Y137)&gt;0),ROUNDDOWN(ROUND(CB137,6),0)&amp;"%"&amp;IF(CR137="",""," / "&amp;CR137&amp;"%"),IF(AND(N(CA137)&gt;=99.95,CR137&lt;&gt;"",N(CR137)&lt;100),"Pend. "&amp;CR137&amp;"%",""))))</f>
        <v/>
      </c>
      <c r="AV137" s="40" t="str">
        <f aca="false">IF(OR(OR(NOT(AND(ISNUMBER(E137),ISNUMBER(F137))),$J$2=""),10&gt;MAX(1,Reprogramaciones!$U$15)),"",IF(Reprogramaciones!T$12&gt;=7,"",IF(OR(CC137-N(CB137)&gt;0.05,N(Z137)&gt;0),ROUNDDOWN(ROUND(CC137,6),0)&amp;"%"&amp;IF(CS137="",""," / "&amp;CS137&amp;"%"),IF(AND(N(CB137)&gt;=99.95,CS137&lt;&gt;"",N(CS137)&lt;100),"Pend. "&amp;CS137&amp;"%",""))))</f>
        <v/>
      </c>
      <c r="AW137" s="40" t="str">
        <f aca="false">IF(OR(OR(NOT(AND(ISNUMBER(E137),ISNUMBER(F137))),$J$2=""),11&gt;MAX(1,Reprogramaciones!$U$15)),"",IF(Reprogramaciones!U$12&gt;=7,"",IF(OR(CD137-N(CC137)&gt;0.05,N(AA137)&gt;0),ROUNDDOWN(ROUND(CD137,6),0)&amp;"%"&amp;IF(CT137="",""," / "&amp;CT137&amp;"%"),IF(AND(N(CC137)&gt;=99.95,CT137&lt;&gt;"",N(CT137)&lt;100),"Pend. "&amp;CT137&amp;"%",""))))</f>
        <v/>
      </c>
      <c r="AX137" s="40" t="str">
        <f aca="false">IF(OR(OR(NOT(AND(ISNUMBER(E137),ISNUMBER(F137))),$J$2=""),12&gt;MAX(1,Reprogramaciones!$U$15)),"",IF(Reprogramaciones!V$12&gt;=7,"",IF(OR(CE137-N(CD137)&gt;0.05,N(AB137)&gt;0),ROUNDDOWN(ROUND(CE137,6),0)&amp;"%"&amp;IF(CU137="",""," / "&amp;CU137&amp;"%"),IF(AND(N(CD137)&gt;=99.95,CU137&lt;&gt;"",N(CU137)&lt;100),"Pend. "&amp;CU137&amp;"%",""))))</f>
        <v/>
      </c>
      <c r="AY137" s="40" t="str">
        <f aca="false">IF(OR(OR(NOT(AND(ISNUMBER(E137),ISNUMBER(F137))),$J$2=""),13&gt;MAX(1,Reprogramaciones!$U$15)),"",IF(Reprogramaciones!W$12&gt;=7,"",IF(OR(CF137-N(CE137)&gt;0.05,N(AC137)&gt;0),ROUNDDOWN(ROUND(CF137,6),0)&amp;"%"&amp;IF(CV137="",""," / "&amp;CV137&amp;"%"),IF(AND(N(CE137)&gt;=99.95,CV137&lt;&gt;"",N(CV137)&lt;100),"Pend. "&amp;CV137&amp;"%",""))))</f>
        <v/>
      </c>
      <c r="AZ137" s="40" t="str">
        <f aca="false">IF(OR(OR(NOT(AND(ISNUMBER(E137),ISNUMBER(F137))),$J$2=""),14&gt;MAX(1,Reprogramaciones!$U$15)),"",IF(Reprogramaciones!X$12&gt;=7,"",IF(OR(CG137-N(CF137)&gt;0.05,N(AD137)&gt;0),ROUNDDOWN(ROUND(CG137,6),0)&amp;"%"&amp;IF(CW137="",""," / "&amp;CW137&amp;"%"),IF(AND(N(CF137)&gt;=99.95,CW137&lt;&gt;"",N(CW137)&lt;100),"Pend. "&amp;CW137&amp;"%",""))))</f>
        <v/>
      </c>
      <c r="BA137" s="40" t="str">
        <f aca="false">IF(OR(OR(NOT(AND(ISNUMBER(E137),ISNUMBER(F137))),$J$2=""),15&gt;MAX(1,Reprogramaciones!$U$15)),"",IF(Reprogramaciones!Y$12&gt;=7,"",IF(OR(CH137-N(CG137)&gt;0.05,N(AE137)&gt;0),ROUNDDOWN(ROUND(CH137,6),0)&amp;"%"&amp;IF(CX137="",""," / "&amp;CX137&amp;"%"),IF(AND(N(CG137)&gt;=99.95,CX137&lt;&gt;"",N(CX137)&lt;100),"Pend. "&amp;CX137&amp;"%",""))))</f>
        <v/>
      </c>
      <c r="BB137" s="40" t="str">
        <f aca="false">IF(OR(OR(NOT(AND(ISNUMBER(E137),ISNUMBER(F137))),$J$2=""),16&gt;MAX(1,Reprogramaciones!$U$15)),"",IF(Reprogramaciones!Z$12&gt;=7,"",IF(OR(CI137-N(CH137)&gt;0.05,N(AF137)&gt;0),ROUNDDOWN(ROUND(CI137,6),0)&amp;"%"&amp;IF(CY137="",""," / "&amp;CY137&amp;"%"),IF(AND(N(CH137)&gt;=99.95,CY137&lt;&gt;"",N(CY137)&lt;100),"Pend. "&amp;CY137&amp;"%",""))))</f>
        <v/>
      </c>
      <c r="BC137" s="31" t="n">
        <f aca="false">IF(AND(ISNUMBER(E137),ISNUMBER(F137)),MAX(1,NETWORKDAYS.INTL(E137,F137,11)),0)</f>
        <v>0</v>
      </c>
      <c r="BD137" s="1" t="str">
        <f aca="false">IF(OR(NOT(AND(ISNUMBER(E137),ISNUMBER(F137))),$J$2=""),"",MIN(100,ROUND(SUM($G137:G137),1)))</f>
        <v/>
      </c>
      <c r="BE137" s="1" t="str">
        <f aca="false">IF(OR(NOT(AND(ISNUMBER(E137),ISNUMBER(F137))),$J$2=""),"",MIN(100,ROUND(SUM($G137:H137),1)))</f>
        <v/>
      </c>
      <c r="BF137" s="1" t="str">
        <f aca="false">IF(OR(NOT(AND(ISNUMBER(E137),ISNUMBER(F137))),$J$2=""),"",MIN(100,ROUND(SUM($G137:I137),1)))</f>
        <v/>
      </c>
      <c r="BG137" s="1" t="str">
        <f aca="false">IF(OR(NOT(AND(ISNUMBER(E137),ISNUMBER(F137))),$J$2=""),"",MIN(100,ROUND(SUM($G137:J137),1)))</f>
        <v/>
      </c>
      <c r="BH137" s="1" t="str">
        <f aca="false">IF(OR(NOT(AND(ISNUMBER(E137),ISNUMBER(F137))),$J$2=""),"",MIN(100,ROUND(SUM($G137:K137),1)))</f>
        <v/>
      </c>
      <c r="BI137" s="1" t="str">
        <f aca="false">IF(OR(NOT(AND(ISNUMBER(E137),ISNUMBER(F137))),$J$2=""),"",MIN(100,ROUND(SUM($G137:L137),1)))</f>
        <v/>
      </c>
      <c r="BJ137" s="1" t="str">
        <f aca="false">IF(OR(NOT(AND(ISNUMBER(E137),ISNUMBER(F137))),$J$2=""),"",MIN(100,ROUND(SUM($G137:M137),1)))</f>
        <v/>
      </c>
      <c r="BK137" s="1" t="str">
        <f aca="false">IF(OR(NOT(AND(ISNUMBER(E137),ISNUMBER(F137))),$J$2=""),"",MIN(100,ROUND(SUM($G137:N137),1)))</f>
        <v/>
      </c>
      <c r="BL137" s="1" t="str">
        <f aca="false">IF(OR(NOT(AND(ISNUMBER(E137),ISNUMBER(F137))),$J$2=""),"",MIN(100,ROUND(SUM($G137:O137),1)))</f>
        <v/>
      </c>
      <c r="BM137" s="1" t="str">
        <f aca="false">IF(OR(NOT(AND(ISNUMBER(E137),ISNUMBER(F137))),$J$2=""),"",MIN(100,ROUND(SUM($G137:P137),1)))</f>
        <v/>
      </c>
      <c r="BN137" s="1" t="str">
        <f aca="false">IF(OR(NOT(AND(ISNUMBER(E137),ISNUMBER(F137))),$J$2=""),"",MIN(100,ROUND(SUM($G137:P137),1)))</f>
        <v/>
      </c>
      <c r="BO137" s="1" t="str">
        <f aca="false">IF(OR(NOT(AND(ISNUMBER(E137),ISNUMBER(F137))),$J$2=""),"",MIN(100,ROUND(SUM($G137:P137),1)))</f>
        <v/>
      </c>
      <c r="BP137" s="1" t="str">
        <f aca="false">IF(OR(NOT(AND(ISNUMBER(E137),ISNUMBER(F137))),$J$2=""),"",MIN(100,ROUND(SUM($G137:P137),1)))</f>
        <v/>
      </c>
      <c r="BQ137" s="1" t="str">
        <f aca="false">IF(OR(NOT(AND(ISNUMBER(E137),ISNUMBER(F137))),$J$2=""),"",MIN(100,ROUND(SUM($G137:P137),1)))</f>
        <v/>
      </c>
      <c r="BR137" s="1" t="str">
        <f aca="false">IF(OR(NOT(AND(ISNUMBER(E137),ISNUMBER(F137))),$J$2=""),"",MIN(100,ROUND(SUM($G137:P137),1)))</f>
        <v/>
      </c>
      <c r="BS137" s="1" t="str">
        <f aca="false">IF(OR(NOT(AND(ISNUMBER(E137),ISNUMBER(F137))),$J$2=""),"",MIN(100,ROUND(SUM($G137:P137),1)))</f>
        <v/>
      </c>
      <c r="BT137" s="1" t="str">
        <f aca="false">IF(OR(NOT(AND(ISNUMBER(E137),ISNUMBER(F137))),$J$2=""),"",IF(Reprogramaciones!K$13&lt;Reprogramaciones!$T$15,0,IF(Reprogramaciones!K$14&gt;10,MIN(100,SUM($G137:$P137)),MIN(100,SUMPRODUCT((COLUMN($G137:$P137)-COLUMN($G137)+1&lt;Reprogramaciones!K$14)*$G137:$P137)+N(INDEX($G137:$P137,1,Reprogramaciones!K$14))*IF(Reprogramaciones!K$13&gt;=(Reprogramaciones!$T$15+7*(Reprogramaciones!K$14-1))+6,1,IF(MAX(0,NETWORKDAYS.INTL(MAX(E137,(Reprogramaciones!$T$15+7*(Reprogramaciones!K$14-1))),MIN(F137,(Reprogramaciones!$T$15+7*(Reprogramaciones!K$14-1))+6),11))=0,0,MAX(0,NETWORKDAYS.INTL(MAX(E137,(Reprogramaciones!$T$15+7*(Reprogramaciones!K$14-1))),MIN(F137,Reprogramaciones!K$13),11))/MAX(0,NETWORKDAYS.INTL(MAX(E137,(Reprogramaciones!$T$15+7*(Reprogramaciones!K$14-1))),MIN(F137,(Reprogramaciones!$T$15+7*(Reprogramaciones!K$14-1))+6),11))))))))</f>
        <v/>
      </c>
      <c r="BU137" s="1" t="str">
        <f aca="false">IF(OR(NOT(AND(ISNUMBER(E137),ISNUMBER(F137))),$J$2=""),"",IF(Reprogramaciones!L$13&lt;Reprogramaciones!$T$15,0,IF(Reprogramaciones!L$14&gt;10,MIN(100,SUM($G137:$P137)),MIN(100,SUMPRODUCT((COLUMN($G137:$P137)-COLUMN($G137)+1&lt;Reprogramaciones!L$14)*$G137:$P137)+N(INDEX($G137:$P137,1,Reprogramaciones!L$14))*IF(Reprogramaciones!L$13&gt;=(Reprogramaciones!$T$15+7*(Reprogramaciones!L$14-1))+6,1,IF(MAX(0,NETWORKDAYS.INTL(MAX(E137,(Reprogramaciones!$T$15+7*(Reprogramaciones!L$14-1))),MIN(F137,(Reprogramaciones!$T$15+7*(Reprogramaciones!L$14-1))+6),11))=0,0,MAX(0,NETWORKDAYS.INTL(MAX(E137,(Reprogramaciones!$T$15+7*(Reprogramaciones!L$14-1))),MIN(F137,Reprogramaciones!L$13),11))/MAX(0,NETWORKDAYS.INTL(MAX(E137,(Reprogramaciones!$T$15+7*(Reprogramaciones!L$14-1))),MIN(F137,(Reprogramaciones!$T$15+7*(Reprogramaciones!L$14-1))+6),11))))))))</f>
        <v/>
      </c>
      <c r="BV137" s="1" t="str">
        <f aca="false">IF(OR(NOT(AND(ISNUMBER(E137),ISNUMBER(F137))),$J$2=""),"",IF(Reprogramaciones!M$13&lt;Reprogramaciones!$T$15,0,IF(Reprogramaciones!M$14&gt;10,MIN(100,SUM($G137:$P137)),MIN(100,SUMPRODUCT((COLUMN($G137:$P137)-COLUMN($G137)+1&lt;Reprogramaciones!M$14)*$G137:$P137)+N(INDEX($G137:$P137,1,Reprogramaciones!M$14))*IF(Reprogramaciones!M$13&gt;=(Reprogramaciones!$T$15+7*(Reprogramaciones!M$14-1))+6,1,IF(MAX(0,NETWORKDAYS.INTL(MAX(E137,(Reprogramaciones!$T$15+7*(Reprogramaciones!M$14-1))),MIN(F137,(Reprogramaciones!$T$15+7*(Reprogramaciones!M$14-1))+6),11))=0,0,MAX(0,NETWORKDAYS.INTL(MAX(E137,(Reprogramaciones!$T$15+7*(Reprogramaciones!M$14-1))),MIN(F137,Reprogramaciones!M$13),11))/MAX(0,NETWORKDAYS.INTL(MAX(E137,(Reprogramaciones!$T$15+7*(Reprogramaciones!M$14-1))),MIN(F137,(Reprogramaciones!$T$15+7*(Reprogramaciones!M$14-1))+6),11))))))))</f>
        <v/>
      </c>
      <c r="BW137" s="1" t="str">
        <f aca="false">IF(OR(NOT(AND(ISNUMBER(E137),ISNUMBER(F137))),$J$2=""),"",IF(Reprogramaciones!N$13&lt;Reprogramaciones!$T$15,0,IF(Reprogramaciones!N$14&gt;10,MIN(100,SUM($G137:$P137)),MIN(100,SUMPRODUCT((COLUMN($G137:$P137)-COLUMN($G137)+1&lt;Reprogramaciones!N$14)*$G137:$P137)+N(INDEX($G137:$P137,1,Reprogramaciones!N$14))*IF(Reprogramaciones!N$13&gt;=(Reprogramaciones!$T$15+7*(Reprogramaciones!N$14-1))+6,1,IF(MAX(0,NETWORKDAYS.INTL(MAX(E137,(Reprogramaciones!$T$15+7*(Reprogramaciones!N$14-1))),MIN(F137,(Reprogramaciones!$T$15+7*(Reprogramaciones!N$14-1))+6),11))=0,0,MAX(0,NETWORKDAYS.INTL(MAX(E137,(Reprogramaciones!$T$15+7*(Reprogramaciones!N$14-1))),MIN(F137,Reprogramaciones!N$13),11))/MAX(0,NETWORKDAYS.INTL(MAX(E137,(Reprogramaciones!$T$15+7*(Reprogramaciones!N$14-1))),MIN(F137,(Reprogramaciones!$T$15+7*(Reprogramaciones!N$14-1))+6),11))))))))</f>
        <v/>
      </c>
      <c r="BX137" s="1" t="str">
        <f aca="false">IF(OR(NOT(AND(ISNUMBER(E137),ISNUMBER(F137))),$J$2=""),"",IF(Reprogramaciones!O$13&lt;Reprogramaciones!$T$15,0,IF(Reprogramaciones!O$14&gt;10,MIN(100,SUM($G137:$P137)),MIN(100,SUMPRODUCT((COLUMN($G137:$P137)-COLUMN($G137)+1&lt;Reprogramaciones!O$14)*$G137:$P137)+N(INDEX($G137:$P137,1,Reprogramaciones!O$14))*IF(Reprogramaciones!O$13&gt;=(Reprogramaciones!$T$15+7*(Reprogramaciones!O$14-1))+6,1,IF(MAX(0,NETWORKDAYS.INTL(MAX(E137,(Reprogramaciones!$T$15+7*(Reprogramaciones!O$14-1))),MIN(F137,(Reprogramaciones!$T$15+7*(Reprogramaciones!O$14-1))+6),11))=0,0,MAX(0,NETWORKDAYS.INTL(MAX(E137,(Reprogramaciones!$T$15+7*(Reprogramaciones!O$14-1))),MIN(F137,Reprogramaciones!O$13),11))/MAX(0,NETWORKDAYS.INTL(MAX(E137,(Reprogramaciones!$T$15+7*(Reprogramaciones!O$14-1))),MIN(F137,(Reprogramaciones!$T$15+7*(Reprogramaciones!O$14-1))+6),11))))))))</f>
        <v/>
      </c>
      <c r="BY137" s="1" t="str">
        <f aca="false">IF(OR(NOT(AND(ISNUMBER(E137),ISNUMBER(F137))),$J$2=""),"",IF(Reprogramaciones!P$13&lt;Reprogramaciones!$T$15,0,IF(Reprogramaciones!P$14&gt;10,MIN(100,SUM($G137:$P137)),MIN(100,SUMPRODUCT((COLUMN($G137:$P137)-COLUMN($G137)+1&lt;Reprogramaciones!P$14)*$G137:$P137)+N(INDEX($G137:$P137,1,Reprogramaciones!P$14))*IF(Reprogramaciones!P$13&gt;=(Reprogramaciones!$T$15+7*(Reprogramaciones!P$14-1))+6,1,IF(MAX(0,NETWORKDAYS.INTL(MAX(E137,(Reprogramaciones!$T$15+7*(Reprogramaciones!P$14-1))),MIN(F137,(Reprogramaciones!$T$15+7*(Reprogramaciones!P$14-1))+6),11))=0,0,MAX(0,NETWORKDAYS.INTL(MAX(E137,(Reprogramaciones!$T$15+7*(Reprogramaciones!P$14-1))),MIN(F137,Reprogramaciones!P$13),11))/MAX(0,NETWORKDAYS.INTL(MAX(E137,(Reprogramaciones!$T$15+7*(Reprogramaciones!P$14-1))),MIN(F137,(Reprogramaciones!$T$15+7*(Reprogramaciones!P$14-1))+6),11))))))))</f>
        <v/>
      </c>
      <c r="BZ137" s="1" t="str">
        <f aca="false">IF(OR(NOT(AND(ISNUMBER(E137),ISNUMBER(F137))),$J$2=""),"",IF(Reprogramaciones!Q$13&lt;Reprogramaciones!$T$15,0,IF(Reprogramaciones!Q$14&gt;10,MIN(100,SUM($G137:$P137)),MIN(100,SUMPRODUCT((COLUMN($G137:$P137)-COLUMN($G137)+1&lt;Reprogramaciones!Q$14)*$G137:$P137)+N(INDEX($G137:$P137,1,Reprogramaciones!Q$14))*IF(Reprogramaciones!Q$13&gt;=(Reprogramaciones!$T$15+7*(Reprogramaciones!Q$14-1))+6,1,IF(MAX(0,NETWORKDAYS.INTL(MAX(E137,(Reprogramaciones!$T$15+7*(Reprogramaciones!Q$14-1))),MIN(F137,(Reprogramaciones!$T$15+7*(Reprogramaciones!Q$14-1))+6),11))=0,0,MAX(0,NETWORKDAYS.INTL(MAX(E137,(Reprogramaciones!$T$15+7*(Reprogramaciones!Q$14-1))),MIN(F137,Reprogramaciones!Q$13),11))/MAX(0,NETWORKDAYS.INTL(MAX(E137,(Reprogramaciones!$T$15+7*(Reprogramaciones!Q$14-1))),MIN(F137,(Reprogramaciones!$T$15+7*(Reprogramaciones!Q$14-1))+6),11))))))))</f>
        <v/>
      </c>
      <c r="CA137" s="1" t="str">
        <f aca="false">IF(OR(NOT(AND(ISNUMBER(E137),ISNUMBER(F137))),$J$2=""),"",IF(Reprogramaciones!R$13&lt;Reprogramaciones!$T$15,0,IF(Reprogramaciones!R$14&gt;10,MIN(100,SUM($G137:$P137)),MIN(100,SUMPRODUCT((COLUMN($G137:$P137)-COLUMN($G137)+1&lt;Reprogramaciones!R$14)*$G137:$P137)+N(INDEX($G137:$P137,1,Reprogramaciones!R$14))*IF(Reprogramaciones!R$13&gt;=(Reprogramaciones!$T$15+7*(Reprogramaciones!R$14-1))+6,1,IF(MAX(0,NETWORKDAYS.INTL(MAX(E137,(Reprogramaciones!$T$15+7*(Reprogramaciones!R$14-1))),MIN(F137,(Reprogramaciones!$T$15+7*(Reprogramaciones!R$14-1))+6),11))=0,0,MAX(0,NETWORKDAYS.INTL(MAX(E137,(Reprogramaciones!$T$15+7*(Reprogramaciones!R$14-1))),MIN(F137,Reprogramaciones!R$13),11))/MAX(0,NETWORKDAYS.INTL(MAX(E137,(Reprogramaciones!$T$15+7*(Reprogramaciones!R$14-1))),MIN(F137,(Reprogramaciones!$T$15+7*(Reprogramaciones!R$14-1))+6),11))))))))</f>
        <v/>
      </c>
      <c r="CB137" s="1" t="str">
        <f aca="false">IF(OR(NOT(AND(ISNUMBER(E137),ISNUMBER(F137))),$J$2=""),"",IF(Reprogramaciones!S$13&lt;Reprogramaciones!$T$15,0,IF(Reprogramaciones!S$14&gt;10,MIN(100,SUM($G137:$P137)),MIN(100,SUMPRODUCT((COLUMN($G137:$P137)-COLUMN($G137)+1&lt;Reprogramaciones!S$14)*$G137:$P137)+N(INDEX($G137:$P137,1,Reprogramaciones!S$14))*IF(Reprogramaciones!S$13&gt;=(Reprogramaciones!$T$15+7*(Reprogramaciones!S$14-1))+6,1,IF(MAX(0,NETWORKDAYS.INTL(MAX(E137,(Reprogramaciones!$T$15+7*(Reprogramaciones!S$14-1))),MIN(F137,(Reprogramaciones!$T$15+7*(Reprogramaciones!S$14-1))+6),11))=0,0,MAX(0,NETWORKDAYS.INTL(MAX(E137,(Reprogramaciones!$T$15+7*(Reprogramaciones!S$14-1))),MIN(F137,Reprogramaciones!S$13),11))/MAX(0,NETWORKDAYS.INTL(MAX(E137,(Reprogramaciones!$T$15+7*(Reprogramaciones!S$14-1))),MIN(F137,(Reprogramaciones!$T$15+7*(Reprogramaciones!S$14-1))+6),11))))))))</f>
        <v/>
      </c>
      <c r="CC137" s="1" t="str">
        <f aca="false">IF(OR(NOT(AND(ISNUMBER(E137),ISNUMBER(F137))),$J$2=""),"",IF(Reprogramaciones!T$13&lt;Reprogramaciones!$T$15,0,IF(Reprogramaciones!T$14&gt;10,MIN(100,SUM($G137:$P137)),MIN(100,SUMPRODUCT((COLUMN($G137:$P137)-COLUMN($G137)+1&lt;Reprogramaciones!T$14)*$G137:$P137)+N(INDEX($G137:$P137,1,Reprogramaciones!T$14))*IF(Reprogramaciones!T$13&gt;=(Reprogramaciones!$T$15+7*(Reprogramaciones!T$14-1))+6,1,IF(MAX(0,NETWORKDAYS.INTL(MAX(E137,(Reprogramaciones!$T$15+7*(Reprogramaciones!T$14-1))),MIN(F137,(Reprogramaciones!$T$15+7*(Reprogramaciones!T$14-1))+6),11))=0,0,MAX(0,NETWORKDAYS.INTL(MAX(E137,(Reprogramaciones!$T$15+7*(Reprogramaciones!T$14-1))),MIN(F137,Reprogramaciones!T$13),11))/MAX(0,NETWORKDAYS.INTL(MAX(E137,(Reprogramaciones!$T$15+7*(Reprogramaciones!T$14-1))),MIN(F137,(Reprogramaciones!$T$15+7*(Reprogramaciones!T$14-1))+6),11))))))))</f>
        <v/>
      </c>
      <c r="CD137" s="1" t="str">
        <f aca="false">IF(OR(NOT(AND(ISNUMBER(E137),ISNUMBER(F137))),$J$2=""),"",IF(Reprogramaciones!U$13&lt;Reprogramaciones!$T$15,0,IF(Reprogramaciones!U$14&gt;10,MIN(100,SUM($G137:$P137)),MIN(100,SUMPRODUCT((COLUMN($G137:$P137)-COLUMN($G137)+1&lt;Reprogramaciones!U$14)*$G137:$P137)+N(INDEX($G137:$P137,1,Reprogramaciones!U$14))*IF(Reprogramaciones!U$13&gt;=(Reprogramaciones!$T$15+7*(Reprogramaciones!U$14-1))+6,1,IF(MAX(0,NETWORKDAYS.INTL(MAX(E137,(Reprogramaciones!$T$15+7*(Reprogramaciones!U$14-1))),MIN(F137,(Reprogramaciones!$T$15+7*(Reprogramaciones!U$14-1))+6),11))=0,0,MAX(0,NETWORKDAYS.INTL(MAX(E137,(Reprogramaciones!$T$15+7*(Reprogramaciones!U$14-1))),MIN(F137,Reprogramaciones!U$13),11))/MAX(0,NETWORKDAYS.INTL(MAX(E137,(Reprogramaciones!$T$15+7*(Reprogramaciones!U$14-1))),MIN(F137,(Reprogramaciones!$T$15+7*(Reprogramaciones!U$14-1))+6),11))))))))</f>
        <v/>
      </c>
      <c r="CE137" s="1" t="str">
        <f aca="false">IF(OR(NOT(AND(ISNUMBER(E137),ISNUMBER(F137))),$J$2=""),"",IF(Reprogramaciones!V$13&lt;Reprogramaciones!$T$15,0,IF(Reprogramaciones!V$14&gt;10,MIN(100,SUM($G137:$P137)),MIN(100,SUMPRODUCT((COLUMN($G137:$P137)-COLUMN($G137)+1&lt;Reprogramaciones!V$14)*$G137:$P137)+N(INDEX($G137:$P137,1,Reprogramaciones!V$14))*IF(Reprogramaciones!V$13&gt;=(Reprogramaciones!$T$15+7*(Reprogramaciones!V$14-1))+6,1,IF(MAX(0,NETWORKDAYS.INTL(MAX(E137,(Reprogramaciones!$T$15+7*(Reprogramaciones!V$14-1))),MIN(F137,(Reprogramaciones!$T$15+7*(Reprogramaciones!V$14-1))+6),11))=0,0,MAX(0,NETWORKDAYS.INTL(MAX(E137,(Reprogramaciones!$T$15+7*(Reprogramaciones!V$14-1))),MIN(F137,Reprogramaciones!V$13),11))/MAX(0,NETWORKDAYS.INTL(MAX(E137,(Reprogramaciones!$T$15+7*(Reprogramaciones!V$14-1))),MIN(F137,(Reprogramaciones!$T$15+7*(Reprogramaciones!V$14-1))+6),11))))))))</f>
        <v/>
      </c>
      <c r="CF137" s="1" t="str">
        <f aca="false">IF(OR(NOT(AND(ISNUMBER(E137),ISNUMBER(F137))),$J$2=""),"",IF(Reprogramaciones!W$13&lt;Reprogramaciones!$T$15,0,IF(Reprogramaciones!W$14&gt;10,MIN(100,SUM($G137:$P137)),MIN(100,SUMPRODUCT((COLUMN($G137:$P137)-COLUMN($G137)+1&lt;Reprogramaciones!W$14)*$G137:$P137)+N(INDEX($G137:$P137,1,Reprogramaciones!W$14))*IF(Reprogramaciones!W$13&gt;=(Reprogramaciones!$T$15+7*(Reprogramaciones!W$14-1))+6,1,IF(MAX(0,NETWORKDAYS.INTL(MAX(E137,(Reprogramaciones!$T$15+7*(Reprogramaciones!W$14-1))),MIN(F137,(Reprogramaciones!$T$15+7*(Reprogramaciones!W$14-1))+6),11))=0,0,MAX(0,NETWORKDAYS.INTL(MAX(E137,(Reprogramaciones!$T$15+7*(Reprogramaciones!W$14-1))),MIN(F137,Reprogramaciones!W$13),11))/MAX(0,NETWORKDAYS.INTL(MAX(E137,(Reprogramaciones!$T$15+7*(Reprogramaciones!W$14-1))),MIN(F137,(Reprogramaciones!$T$15+7*(Reprogramaciones!W$14-1))+6),11))))))))</f>
        <v/>
      </c>
      <c r="CG137" s="1" t="str">
        <f aca="false">IF(OR(NOT(AND(ISNUMBER(E137),ISNUMBER(F137))),$J$2=""),"",IF(Reprogramaciones!X$13&lt;Reprogramaciones!$T$15,0,IF(Reprogramaciones!X$14&gt;10,MIN(100,SUM($G137:$P137)),MIN(100,SUMPRODUCT((COLUMN($G137:$P137)-COLUMN($G137)+1&lt;Reprogramaciones!X$14)*$G137:$P137)+N(INDEX($G137:$P137,1,Reprogramaciones!X$14))*IF(Reprogramaciones!X$13&gt;=(Reprogramaciones!$T$15+7*(Reprogramaciones!X$14-1))+6,1,IF(MAX(0,NETWORKDAYS.INTL(MAX(E137,(Reprogramaciones!$T$15+7*(Reprogramaciones!X$14-1))),MIN(F137,(Reprogramaciones!$T$15+7*(Reprogramaciones!X$14-1))+6),11))=0,0,MAX(0,NETWORKDAYS.INTL(MAX(E137,(Reprogramaciones!$T$15+7*(Reprogramaciones!X$14-1))),MIN(F137,Reprogramaciones!X$13),11))/MAX(0,NETWORKDAYS.INTL(MAX(E137,(Reprogramaciones!$T$15+7*(Reprogramaciones!X$14-1))),MIN(F137,(Reprogramaciones!$T$15+7*(Reprogramaciones!X$14-1))+6),11))))))))</f>
        <v/>
      </c>
      <c r="CH137" s="1" t="str">
        <f aca="false">IF(OR(NOT(AND(ISNUMBER(E137),ISNUMBER(F137))),$J$2=""),"",IF(Reprogramaciones!Y$13&lt;Reprogramaciones!$T$15,0,IF(Reprogramaciones!Y$14&gt;10,MIN(100,SUM($G137:$P137)),MIN(100,SUMPRODUCT((COLUMN($G137:$P137)-COLUMN($G137)+1&lt;Reprogramaciones!Y$14)*$G137:$P137)+N(INDEX($G137:$P137,1,Reprogramaciones!Y$14))*IF(Reprogramaciones!Y$13&gt;=(Reprogramaciones!$T$15+7*(Reprogramaciones!Y$14-1))+6,1,IF(MAX(0,NETWORKDAYS.INTL(MAX(E137,(Reprogramaciones!$T$15+7*(Reprogramaciones!Y$14-1))),MIN(F137,(Reprogramaciones!$T$15+7*(Reprogramaciones!Y$14-1))+6),11))=0,0,MAX(0,NETWORKDAYS.INTL(MAX(E137,(Reprogramaciones!$T$15+7*(Reprogramaciones!Y$14-1))),MIN(F137,Reprogramaciones!Y$13),11))/MAX(0,NETWORKDAYS.INTL(MAX(E137,(Reprogramaciones!$T$15+7*(Reprogramaciones!Y$14-1))),MIN(F137,(Reprogramaciones!$T$15+7*(Reprogramaciones!Y$14-1))+6),11))))))))</f>
        <v/>
      </c>
      <c r="CI137" s="1" t="str">
        <f aca="false">IF(OR(NOT(AND(ISNUMBER(E137),ISNUMBER(F137))),$J$2=""),"",IF(Reprogramaciones!Z$13&lt;Reprogramaciones!$T$15,0,IF(Reprogramaciones!Z$14&gt;10,MIN(100,SUM($G137:$P137)),MIN(100,SUMPRODUCT((COLUMN($G137:$P137)-COLUMN($G137)+1&lt;Reprogramaciones!Z$14)*$G137:$P137)+N(INDEX($G137:$P137,1,Reprogramaciones!Z$14))*IF(Reprogramaciones!Z$13&gt;=(Reprogramaciones!$T$15+7*(Reprogramaciones!Z$14-1))+6,1,IF(MAX(0,NETWORKDAYS.INTL(MAX(E137,(Reprogramaciones!$T$15+7*(Reprogramaciones!Z$14-1))),MIN(F137,(Reprogramaciones!$T$15+7*(Reprogramaciones!Z$14-1))+6),11))=0,0,MAX(0,NETWORKDAYS.INTL(MAX(E137,(Reprogramaciones!$T$15+7*(Reprogramaciones!Z$14-1))),MIN(F137,Reprogramaciones!Z$13),11))/MAX(0,NETWORKDAYS.INTL(MAX(E137,(Reprogramaciones!$T$15+7*(Reprogramaciones!Z$14-1))),MIN(F137,(Reprogramaciones!$T$15+7*(Reprogramaciones!Z$14-1))+6),11))))))))</f>
        <v/>
      </c>
      <c r="CJ137" s="1" t="str">
        <f aca="false">IF(OR(OR(NOT(AND(ISNUMBER(E137),ISNUMBER(F137))),$J$2=""),1&gt;Reprogramaciones!$K$16),"",IF(ROUND(SUM($Q137:Q137),1)&gt;=99.5,100,MIN(100,ROUND(SUM($Q137:Q137),1))))</f>
        <v/>
      </c>
      <c r="CK137" s="1" t="str">
        <f aca="false">IF(OR(OR(NOT(AND(ISNUMBER(E137),ISNUMBER(F137))),$J$2=""),2&gt;Reprogramaciones!$K$16),"",IF(ROUND(SUM($Q137:R137),1)&gt;=99.5,100,MIN(100,ROUND(SUM($Q137:R137),1))))</f>
        <v/>
      </c>
      <c r="CL137" s="1" t="str">
        <f aca="false">IF(OR(OR(NOT(AND(ISNUMBER(E137),ISNUMBER(F137))),$J$2=""),3&gt;Reprogramaciones!$K$16),"",IF(ROUND(SUM($Q137:S137),1)&gt;=99.5,100,MIN(100,ROUND(SUM($Q137:S137),1))))</f>
        <v/>
      </c>
      <c r="CM137" s="1" t="str">
        <f aca="false">IF(OR(OR(NOT(AND(ISNUMBER(E137),ISNUMBER(F137))),$J$2=""),4&gt;Reprogramaciones!$K$16),"",IF(ROUND(SUM($Q137:T137),1)&gt;=99.5,100,MIN(100,ROUND(SUM($Q137:T137),1))))</f>
        <v/>
      </c>
      <c r="CN137" s="1" t="str">
        <f aca="false">IF(OR(OR(NOT(AND(ISNUMBER(E137),ISNUMBER(F137))),$J$2=""),5&gt;Reprogramaciones!$K$16),"",IF(ROUND(SUM($Q137:U137),1)&gt;=99.5,100,MIN(100,ROUND(SUM($Q137:U137),1))))</f>
        <v/>
      </c>
      <c r="CO137" s="1" t="str">
        <f aca="false">IF(OR(OR(NOT(AND(ISNUMBER(E137),ISNUMBER(F137))),$J$2=""),6&gt;Reprogramaciones!$K$16),"",IF(ROUND(SUM($Q137:V137),1)&gt;=99.5,100,MIN(100,ROUND(SUM($Q137:V137),1))))</f>
        <v/>
      </c>
      <c r="CP137" s="1" t="str">
        <f aca="false">IF(OR(OR(NOT(AND(ISNUMBER(E137),ISNUMBER(F137))),$J$2=""),7&gt;Reprogramaciones!$K$16),"",IF(ROUND(SUM($Q137:W137),1)&gt;=99.5,100,MIN(100,ROUND(SUM($Q137:W137),1))))</f>
        <v/>
      </c>
      <c r="CQ137" s="1" t="str">
        <f aca="false">IF(OR(OR(NOT(AND(ISNUMBER(E137),ISNUMBER(F137))),$J$2=""),8&gt;Reprogramaciones!$K$16),"",IF(ROUND(SUM($Q137:X137),1)&gt;=99.5,100,MIN(100,ROUND(SUM($Q137:X137),1))))</f>
        <v/>
      </c>
      <c r="CR137" s="1" t="str">
        <f aca="false">IF(OR(OR(NOT(AND(ISNUMBER(E137),ISNUMBER(F137))),$J$2=""),9&gt;Reprogramaciones!$K$16),"",IF(ROUND(SUM($Q137:Y137),1)&gt;=99.5,100,MIN(100,ROUND(SUM($Q137:Y137),1))))</f>
        <v/>
      </c>
      <c r="CS137" s="1" t="str">
        <f aca="false">IF(OR(OR(NOT(AND(ISNUMBER(E137),ISNUMBER(F137))),$J$2=""),10&gt;Reprogramaciones!$K$16),"",IF(ROUND(SUM($Q137:Z137),1)&gt;=99.5,100,MIN(100,ROUND(SUM($Q137:Z137),1))))</f>
        <v/>
      </c>
      <c r="CT137" s="1" t="str">
        <f aca="false">IF(OR(OR(NOT(AND(ISNUMBER(E137),ISNUMBER(F137))),$J$2=""),11&gt;Reprogramaciones!$K$16),"",IF(ROUND(SUM($Q137:AA137),1)&gt;=99.5,100,MIN(100,ROUND(SUM($Q137:AA137),1))))</f>
        <v/>
      </c>
      <c r="CU137" s="1" t="str">
        <f aca="false">IF(OR(OR(NOT(AND(ISNUMBER(E137),ISNUMBER(F137))),$J$2=""),12&gt;Reprogramaciones!$K$16),"",IF(ROUND(SUM($Q137:AB137),1)&gt;=99.5,100,MIN(100,ROUND(SUM($Q137:AB137),1))))</f>
        <v/>
      </c>
      <c r="CV137" s="1" t="str">
        <f aca="false">IF(OR(OR(NOT(AND(ISNUMBER(E137),ISNUMBER(F137))),$J$2=""),13&gt;Reprogramaciones!$K$16),"",IF(ROUND(SUM($Q137:AC137),1)&gt;=99.5,100,MIN(100,ROUND(SUM($Q137:AC137),1))))</f>
        <v/>
      </c>
      <c r="CW137" s="1" t="str">
        <f aca="false">IF(OR(OR(NOT(AND(ISNUMBER(E137),ISNUMBER(F137))),$J$2=""),14&gt;Reprogramaciones!$K$16),"",IF(ROUND(SUM($Q137:AD137),1)&gt;=99.5,100,MIN(100,ROUND(SUM($Q137:AD137),1))))</f>
        <v/>
      </c>
      <c r="CX137" s="1" t="str">
        <f aca="false">IF(OR(OR(NOT(AND(ISNUMBER(E137),ISNUMBER(F137))),$J$2=""),15&gt;Reprogramaciones!$K$16),"",IF(ROUND(SUM($Q137:AE137),1)&gt;=99.5,100,MIN(100,ROUND(SUM($Q137:AE137),1))))</f>
        <v/>
      </c>
      <c r="CY137" s="1" t="str">
        <f aca="false">IF(OR(OR(NOT(AND(ISNUMBER(E137),ISNUMBER(F137))),$J$2=""),16&gt;Reprogramaciones!$K$16),"",IF(ROUND(SUM($Q137:AF137),1)&gt;=99.5,100,MIN(100,ROUND(SUM($Q137:AF137),1))))</f>
        <v/>
      </c>
      <c r="CZ137" s="1" t="str">
        <f aca="false">IF(D137&lt;&gt;"",D137,IF(B137&lt;&gt;"","Contractual",CZ136))</f>
        <v>Contractual</v>
      </c>
      <c r="DA137" s="1" t="str">
        <f aca="false">IF(OR(NOT(AND(ISNUMBER(E137),ISNUMBER(F137))),$J$2=""),"",IF(Reprogramaciones!$Q$15&lt;Reprogramaciones!$T$15,0,IF(Reprogramaciones!$S$15&gt;10,MIN(100,SUM($G137:$P137)),MIN(100,SUMPRODUCT((COLUMN($G137:$P137)-COLUMN($G137)+1&lt;Reprogramaciones!$S$15)*$G137:$P137)+N(INDEX($G137:$P137,1,Reprogramaciones!$S$15))*IF(Reprogramaciones!$Q$15&gt;=(Reprogramaciones!$T$15+7*(Reprogramaciones!$S$15-1))+6,1,IF(MAX(0,NETWORKDAYS.INTL(MAX(E137,(Reprogramaciones!$T$15+7*(Reprogramaciones!$S$15-1))),MIN(F137,(Reprogramaciones!$T$15+7*(Reprogramaciones!$S$15-1))+6),11))=0,0,MAX(0,NETWORKDAYS.INTL(MAX(E137,(Reprogramaciones!$T$15+7*(Reprogramaciones!$S$15-1))),MIN(F137,Reprogramaciones!$Q$15),11))/MAX(0,NETWORKDAYS.INTL(MAX(E137,(Reprogramaciones!$T$15+7*(Reprogramaciones!$S$15-1))),MIN(F137,(Reprogramaciones!$T$15+7*(Reprogramaciones!$S$15-1))+6),11))))))))</f>
        <v/>
      </c>
    </row>
    <row r="138" customFormat="false" ht="15" hidden="false" customHeight="false" outlineLevel="0" collapsed="false">
      <c r="A138" s="32"/>
      <c r="B138" s="33"/>
      <c r="C138" s="33"/>
      <c r="D138" s="34"/>
      <c r="E138" s="35"/>
      <c r="F138" s="35"/>
      <c r="G138" s="36" t="str">
        <f aca="false">IF(OR(NOT(AND(ISNUMBER(E138),ISNUMBER(F138))),$J$2=""),"",IF(Reprogramaciones!K$9&lt;E138,0,IF(NETWORKDAYS.INTL(E138,F138,11)=0,IF(Reprogramaciones!K$9&gt;=F138,100,0),ROUND(NETWORKDAYS.INTL(E138,MIN(F138,Reprogramaciones!K$9),11)/NETWORKDAYS.INTL(E138,F138,11)*100,1)))-0)</f>
        <v/>
      </c>
      <c r="H138" s="36" t="str">
        <f aca="false">IF(OR(NOT(AND(ISNUMBER(E138),ISNUMBER(F138))),$J$2=""),"",IF(Reprogramaciones!L$9&lt;E138,0,IF(NETWORKDAYS.INTL(E138,F138,11)=0,IF(Reprogramaciones!L$9&gt;=F138,100,0),ROUND(NETWORKDAYS.INTL(E138,MIN(F138,Reprogramaciones!L$9),11)/NETWORKDAYS.INTL(E138,F138,11)*100,1)))-IF(Reprogramaciones!K$9&lt;E138,0,IF(NETWORKDAYS.INTL(E138,F138,11)=0,IF(Reprogramaciones!K$9&gt;=F138,100,0),ROUND(NETWORKDAYS.INTL(E138,MIN(F138,Reprogramaciones!K$9),11)/NETWORKDAYS.INTL(E138,F138,11)*100,1))))</f>
        <v/>
      </c>
      <c r="I138" s="36" t="str">
        <f aca="false">IF(OR(NOT(AND(ISNUMBER(E138),ISNUMBER(F138))),$J$2=""),"",IF(Reprogramaciones!M$9&lt;E138,0,IF(NETWORKDAYS.INTL(E138,F138,11)=0,IF(Reprogramaciones!M$9&gt;=F138,100,0),ROUND(NETWORKDAYS.INTL(E138,MIN(F138,Reprogramaciones!M$9),11)/NETWORKDAYS.INTL(E138,F138,11)*100,1)))-IF(Reprogramaciones!L$9&lt;E138,0,IF(NETWORKDAYS.INTL(E138,F138,11)=0,IF(Reprogramaciones!L$9&gt;=F138,100,0),ROUND(NETWORKDAYS.INTL(E138,MIN(F138,Reprogramaciones!L$9),11)/NETWORKDAYS.INTL(E138,F138,11)*100,1))))</f>
        <v/>
      </c>
      <c r="J138" s="36" t="str">
        <f aca="false">IF(OR(NOT(AND(ISNUMBER(E138),ISNUMBER(F138))),$J$2=""),"",IF(Reprogramaciones!N$9&lt;E138,0,IF(NETWORKDAYS.INTL(E138,F138,11)=0,IF(Reprogramaciones!N$9&gt;=F138,100,0),ROUND(NETWORKDAYS.INTL(E138,MIN(F138,Reprogramaciones!N$9),11)/NETWORKDAYS.INTL(E138,F138,11)*100,1)))-IF(Reprogramaciones!M$9&lt;E138,0,IF(NETWORKDAYS.INTL(E138,F138,11)=0,IF(Reprogramaciones!M$9&gt;=F138,100,0),ROUND(NETWORKDAYS.INTL(E138,MIN(F138,Reprogramaciones!M$9),11)/NETWORKDAYS.INTL(E138,F138,11)*100,1))))</f>
        <v/>
      </c>
      <c r="K138" s="36" t="str">
        <f aca="false">IF(OR(NOT(AND(ISNUMBER(E138),ISNUMBER(F138))),$J$2=""),"",IF(Reprogramaciones!O$9&lt;E138,0,IF(NETWORKDAYS.INTL(E138,F138,11)=0,IF(Reprogramaciones!O$9&gt;=F138,100,0),ROUND(NETWORKDAYS.INTL(E138,MIN(F138,Reprogramaciones!O$9),11)/NETWORKDAYS.INTL(E138,F138,11)*100,1)))-IF(Reprogramaciones!N$9&lt;E138,0,IF(NETWORKDAYS.INTL(E138,F138,11)=0,IF(Reprogramaciones!N$9&gt;=F138,100,0),ROUND(NETWORKDAYS.INTL(E138,MIN(F138,Reprogramaciones!N$9),11)/NETWORKDAYS.INTL(E138,F138,11)*100,1))))</f>
        <v/>
      </c>
      <c r="L138" s="36" t="str">
        <f aca="false">IF(OR(NOT(AND(ISNUMBER(E138),ISNUMBER(F138))),$J$2=""),"",IF(Reprogramaciones!P$9&lt;E138,0,IF(NETWORKDAYS.INTL(E138,F138,11)=0,IF(Reprogramaciones!P$9&gt;=F138,100,0),ROUND(NETWORKDAYS.INTL(E138,MIN(F138,Reprogramaciones!P$9),11)/NETWORKDAYS.INTL(E138,F138,11)*100,1)))-IF(Reprogramaciones!O$9&lt;E138,0,IF(NETWORKDAYS.INTL(E138,F138,11)=0,IF(Reprogramaciones!O$9&gt;=F138,100,0),ROUND(NETWORKDAYS.INTL(E138,MIN(F138,Reprogramaciones!O$9),11)/NETWORKDAYS.INTL(E138,F138,11)*100,1))))</f>
        <v/>
      </c>
      <c r="M138" s="36" t="str">
        <f aca="false">IF(OR(NOT(AND(ISNUMBER(E138),ISNUMBER(F138))),$J$2=""),"",IF(Reprogramaciones!Q$9&lt;E138,0,IF(NETWORKDAYS.INTL(E138,F138,11)=0,IF(Reprogramaciones!Q$9&gt;=F138,100,0),ROUND(NETWORKDAYS.INTL(E138,MIN(F138,Reprogramaciones!Q$9),11)/NETWORKDAYS.INTL(E138,F138,11)*100,1)))-IF(Reprogramaciones!P$9&lt;E138,0,IF(NETWORKDAYS.INTL(E138,F138,11)=0,IF(Reprogramaciones!P$9&gt;=F138,100,0),ROUND(NETWORKDAYS.INTL(E138,MIN(F138,Reprogramaciones!P$9),11)/NETWORKDAYS.INTL(E138,F138,11)*100,1))))</f>
        <v/>
      </c>
      <c r="N138" s="36" t="str">
        <f aca="false">IF(OR(NOT(AND(ISNUMBER(E138),ISNUMBER(F138))),$J$2=""),"",IF(Reprogramaciones!R$9&lt;E138,0,IF(NETWORKDAYS.INTL(E138,F138,11)=0,IF(Reprogramaciones!R$9&gt;=F138,100,0),ROUND(NETWORKDAYS.INTL(E138,MIN(F138,Reprogramaciones!R$9),11)/NETWORKDAYS.INTL(E138,F138,11)*100,1)))-IF(Reprogramaciones!Q$9&lt;E138,0,IF(NETWORKDAYS.INTL(E138,F138,11)=0,IF(Reprogramaciones!Q$9&gt;=F138,100,0),ROUND(NETWORKDAYS.INTL(E138,MIN(F138,Reprogramaciones!Q$9),11)/NETWORKDAYS.INTL(E138,F138,11)*100,1))))</f>
        <v/>
      </c>
      <c r="O138" s="36" t="str">
        <f aca="false">IF(OR(NOT(AND(ISNUMBER(E138),ISNUMBER(F138))),$J$2=""),"",IF(Reprogramaciones!S$9&lt;E138,0,IF(NETWORKDAYS.INTL(E138,F138,11)=0,IF(Reprogramaciones!S$9&gt;=F138,100,0),ROUND(NETWORKDAYS.INTL(E138,MIN(F138,Reprogramaciones!S$9),11)/NETWORKDAYS.INTL(E138,F138,11)*100,1)))-IF(Reprogramaciones!R$9&lt;E138,0,IF(NETWORKDAYS.INTL(E138,F138,11)=0,IF(Reprogramaciones!R$9&gt;=F138,100,0),ROUND(NETWORKDAYS.INTL(E138,MIN(F138,Reprogramaciones!R$9),11)/NETWORKDAYS.INTL(E138,F138,11)*100,1))))</f>
        <v/>
      </c>
      <c r="P138" s="36" t="str">
        <f aca="false">IF(OR(NOT(AND(ISNUMBER(E138),ISNUMBER(F138))),$J$2=""),"",IF(Reprogramaciones!T$9&lt;E138,0,IF(NETWORKDAYS.INTL(E138,F138,11)=0,IF(Reprogramaciones!T$9&gt;=F138,100,0),ROUND(NETWORKDAYS.INTL(E138,MIN(F138,Reprogramaciones!T$9),11)/NETWORKDAYS.INTL(E138,F138,11)*100,1)))-IF(Reprogramaciones!S$9&lt;E138,0,IF(NETWORKDAYS.INTL(E138,F138,11)=0,IF(Reprogramaciones!S$9&gt;=F138,100,0),ROUND(NETWORKDAYS.INTL(E138,MIN(F138,Reprogramaciones!S$9),11)/NETWORKDAYS.INTL(E138,F138,11)*100,1))))</f>
        <v/>
      </c>
      <c r="Q138" s="37"/>
      <c r="R138" s="37"/>
      <c r="S138" s="37"/>
      <c r="T138" s="37"/>
      <c r="U138" s="37"/>
      <c r="V138" s="37"/>
      <c r="W138" s="37"/>
      <c r="X138" s="37"/>
      <c r="Y138" s="37"/>
      <c r="Z138" s="37"/>
      <c r="AA138" s="37"/>
      <c r="AB138" s="37"/>
      <c r="AC138" s="37"/>
      <c r="AD138" s="37"/>
      <c r="AE138" s="37"/>
      <c r="AF138" s="37"/>
      <c r="AG138" s="38" t="str">
        <f aca="false">IF(AND(ISNUMBER(E138),ISNUMBER(F138)),NETWORKDAYS.INTL(E138,F138,11),"")</f>
        <v/>
      </c>
      <c r="AH138" s="38" t="str">
        <f aca="false">IF(OR(NOT(AND(ISNUMBER(E138),ISNUMBER(F138))),$J$2=""),"",IF(Reprogramaciones!$P$15&lt;Reprogramaciones!$T$15,0,IF(Reprogramaciones!$R$15&gt;10,MIN(100,SUM($G138:$P138)),MIN(100,SUMPRODUCT((COLUMN($G138:$P138)-COLUMN($G138)+1&lt;Reprogramaciones!$R$15)*$G138:$P138)+N(INDEX($G138:$P138,1,Reprogramaciones!$R$15))*IF(Reprogramaciones!$P$15&gt;=(Reprogramaciones!$T$15+7*(Reprogramaciones!$R$15-1))+6,1,IF(MAX(0,NETWORKDAYS.INTL(MAX(E138,(Reprogramaciones!$T$15+7*(Reprogramaciones!$R$15-1))),MIN(F138,(Reprogramaciones!$T$15+7*(Reprogramaciones!$R$15-1))+6),11))=0,0,MAX(0,NETWORKDAYS.INTL(MAX(E138,(Reprogramaciones!$T$15+7*(Reprogramaciones!$R$15-1))),MIN(F138,Reprogramaciones!$P$15),11))/MAX(0,NETWORKDAYS.INTL(MAX(E138,(Reprogramaciones!$T$15+7*(Reprogramaciones!$R$15-1))),MIN(F138,(Reprogramaciones!$T$15+7*(Reprogramaciones!$R$15-1))+6),11))))))))</f>
        <v/>
      </c>
      <c r="AI138" s="38" t="str">
        <f aca="false">IF(COUNT($Q138:$AF138)=0,"",IF(ROUND(SUM($Q138:$AF138),1)&gt;=99.5,100,MIN(100,ROUND(SUM($Q138:$AF138),1))))</f>
        <v/>
      </c>
      <c r="AJ138" s="38" t="str">
        <f aca="false">IF(OR(AH138="",AI138=""),"",AI138-AH138)</f>
        <v/>
      </c>
      <c r="AK138" s="39" t="str">
        <f aca="true">IF(AH138="","",IF(OR(Ficha!$C$10="Suspendida",Ficha!$C$10="Cancelada"),Ficha!$C$10,IF(AND(AI138&lt;&gt;"",N(AI138)&gt;=100),"Completada",IF(AND(E138&gt;TODAY(),N(AI138)=0),"Por iniciar",IF(N(AI138)+0.5&lt;AH138,"Retrasada",IF(N(AI138)+0.5&lt;DA138,IF(Reprogramaciones!$K$15&gt;0,"Al día · Sem "&amp;Reprogramaciones!$K$15&amp;" en curso","Al día · en curso"),"A tiempo"))))))</f>
        <v/>
      </c>
      <c r="AL138" s="39" t="str">
        <f aca="true">IF(AND(A138="",AND(B138="",C138="",E138="",F138="",COUNT(Q138:AF138)=0)),"",IF(AND(B138="",C138="",E138="",F138="",COUNT(Q138:AF138)=0),"Falta la partida o subpartida",IF(AND(A138&lt;&gt;"",COUNTIF($A$6:$A$305,A138)&gt;1),"Ítem repetido",IF(AND(C138="",E138="",F138="",COUNT(Q138:AF138)=0),"Título de partida",IF(OR(E138="",F138=""),"Faltan fechas",IF(OR(ISTEXT(E138),ISTEXT(F138)),"Fecha escrita como texto: usa dd/mm/aaaa",IF(F138&lt;E138,"Fin antes del inicio",IF(IF($J$2="",FALSE(),OR(E138&lt;$J$2,F138&gt;Reprogramaciones!$T$15+69)),"Fuera de las 10 semanas",IF(ABS(SUM(G138:P138)-100)&gt;0.5,"La meta no suma 100%",IF(ROUND(SUM(Q138:AF138),1)&gt;100.5,"El avance pasa de 100%",IF(MIN(Q138:AF138)&lt;0,"Avance negativo",IF(COUNTA(Q138:AF138)&gt;COUNT(Q138:AF138),"Avance escrito como texto",IF(SUMPRODUCT((Q138:AF138&gt;0)*(Q138:AF138&lt;1))&gt;0,"Avance menor a 1: escribe 50, no 50%",IF(SUMPRODUCT(ISNUMBER(Q138:AF138)*(Reprogramaciones!$K$8:$Z$8&gt;TODAY()))&gt;0,"Avance en semana que aún no llega",IF(AND(N(Reprogramaciones!$E$21)&gt;0,F138&gt;Reprogramaciones!$E$21),"Pasa el fin de la obra: registra una reprogramación",IF(AND(N(Reprogramaciones!$E$21)&gt;0,SUMPRODUCT(ISNUMBER(Q138:AF138)*(Reprogramaciones!$K$8:$Z$8&gt;Reprogramaciones!$E$21))&gt;0),"Avance después del fin de la obra: registra una reprogramación por atraso","OK"))))))))))))))))</f>
        <v/>
      </c>
      <c r="AM138" s="40" t="str">
        <f aca="false">IF(OR(OR(NOT(AND(ISNUMBER(E138),ISNUMBER(F138))),$J$2=""),1&gt;MAX(1,Reprogramaciones!$U$15)),"",IF(Reprogramaciones!K$12&gt;=7,"",IF(OR(BT138-N(0)&gt;0.05,N(Q138)&gt;0),ROUNDDOWN(ROUND(BT138,6),0)&amp;"%"&amp;IF(CJ138="",""," / "&amp;CJ138&amp;"%"),IF(AND(N(0)&gt;=99.95,CJ138&lt;&gt;"",N(CJ138)&lt;100),"Pend. "&amp;CJ138&amp;"%",""))))</f>
        <v/>
      </c>
      <c r="AN138" s="40" t="str">
        <f aca="false">IF(OR(OR(NOT(AND(ISNUMBER(E138),ISNUMBER(F138))),$J$2=""),2&gt;MAX(1,Reprogramaciones!$U$15)),"",IF(Reprogramaciones!L$12&gt;=7,"",IF(OR(BU138-N(BT138)&gt;0.05,N(R138)&gt;0),ROUNDDOWN(ROUND(BU138,6),0)&amp;"%"&amp;IF(CK138="",""," / "&amp;CK138&amp;"%"),IF(AND(N(BT138)&gt;=99.95,CK138&lt;&gt;"",N(CK138)&lt;100),"Pend. "&amp;CK138&amp;"%",""))))</f>
        <v/>
      </c>
      <c r="AO138" s="40" t="str">
        <f aca="false">IF(OR(OR(NOT(AND(ISNUMBER(E138),ISNUMBER(F138))),$J$2=""),3&gt;MAX(1,Reprogramaciones!$U$15)),"",IF(Reprogramaciones!M$12&gt;=7,"",IF(OR(BV138-N(BU138)&gt;0.05,N(S138)&gt;0),ROUNDDOWN(ROUND(BV138,6),0)&amp;"%"&amp;IF(CL138="",""," / "&amp;CL138&amp;"%"),IF(AND(N(BU138)&gt;=99.95,CL138&lt;&gt;"",N(CL138)&lt;100),"Pend. "&amp;CL138&amp;"%",""))))</f>
        <v/>
      </c>
      <c r="AP138" s="40" t="str">
        <f aca="false">IF(OR(OR(NOT(AND(ISNUMBER(E138),ISNUMBER(F138))),$J$2=""),4&gt;MAX(1,Reprogramaciones!$U$15)),"",IF(Reprogramaciones!N$12&gt;=7,"",IF(OR(BW138-N(BV138)&gt;0.05,N(T138)&gt;0),ROUNDDOWN(ROUND(BW138,6),0)&amp;"%"&amp;IF(CM138="",""," / "&amp;CM138&amp;"%"),IF(AND(N(BV138)&gt;=99.95,CM138&lt;&gt;"",N(CM138)&lt;100),"Pend. "&amp;CM138&amp;"%",""))))</f>
        <v/>
      </c>
      <c r="AQ138" s="40" t="str">
        <f aca="false">IF(OR(OR(NOT(AND(ISNUMBER(E138),ISNUMBER(F138))),$J$2=""),5&gt;MAX(1,Reprogramaciones!$U$15)),"",IF(Reprogramaciones!O$12&gt;=7,"",IF(OR(BX138-N(BW138)&gt;0.05,N(U138)&gt;0),ROUNDDOWN(ROUND(BX138,6),0)&amp;"%"&amp;IF(CN138="",""," / "&amp;CN138&amp;"%"),IF(AND(N(BW138)&gt;=99.95,CN138&lt;&gt;"",N(CN138)&lt;100),"Pend. "&amp;CN138&amp;"%",""))))</f>
        <v/>
      </c>
      <c r="AR138" s="40" t="str">
        <f aca="false">IF(OR(OR(NOT(AND(ISNUMBER(E138),ISNUMBER(F138))),$J$2=""),6&gt;MAX(1,Reprogramaciones!$U$15)),"",IF(Reprogramaciones!P$12&gt;=7,"",IF(OR(BY138-N(BX138)&gt;0.05,N(V138)&gt;0),ROUNDDOWN(ROUND(BY138,6),0)&amp;"%"&amp;IF(CO138="",""," / "&amp;CO138&amp;"%"),IF(AND(N(BX138)&gt;=99.95,CO138&lt;&gt;"",N(CO138)&lt;100),"Pend. "&amp;CO138&amp;"%",""))))</f>
        <v/>
      </c>
      <c r="AS138" s="40" t="str">
        <f aca="false">IF(OR(OR(NOT(AND(ISNUMBER(E138),ISNUMBER(F138))),$J$2=""),7&gt;MAX(1,Reprogramaciones!$U$15)),"",IF(Reprogramaciones!Q$12&gt;=7,"",IF(OR(BZ138-N(BY138)&gt;0.05,N(W138)&gt;0),ROUNDDOWN(ROUND(BZ138,6),0)&amp;"%"&amp;IF(CP138="",""," / "&amp;CP138&amp;"%"),IF(AND(N(BY138)&gt;=99.95,CP138&lt;&gt;"",N(CP138)&lt;100),"Pend. "&amp;CP138&amp;"%",""))))</f>
        <v/>
      </c>
      <c r="AT138" s="40" t="str">
        <f aca="false">IF(OR(OR(NOT(AND(ISNUMBER(E138),ISNUMBER(F138))),$J$2=""),8&gt;MAX(1,Reprogramaciones!$U$15)),"",IF(Reprogramaciones!R$12&gt;=7,"",IF(OR(CA138-N(BZ138)&gt;0.05,N(X138)&gt;0),ROUNDDOWN(ROUND(CA138,6),0)&amp;"%"&amp;IF(CQ138="",""," / "&amp;CQ138&amp;"%"),IF(AND(N(BZ138)&gt;=99.95,CQ138&lt;&gt;"",N(CQ138)&lt;100),"Pend. "&amp;CQ138&amp;"%",""))))</f>
        <v/>
      </c>
      <c r="AU138" s="40" t="str">
        <f aca="false">IF(OR(OR(NOT(AND(ISNUMBER(E138),ISNUMBER(F138))),$J$2=""),9&gt;MAX(1,Reprogramaciones!$U$15)),"",IF(Reprogramaciones!S$12&gt;=7,"",IF(OR(CB138-N(CA138)&gt;0.05,N(Y138)&gt;0),ROUNDDOWN(ROUND(CB138,6),0)&amp;"%"&amp;IF(CR138="",""," / "&amp;CR138&amp;"%"),IF(AND(N(CA138)&gt;=99.95,CR138&lt;&gt;"",N(CR138)&lt;100),"Pend. "&amp;CR138&amp;"%",""))))</f>
        <v/>
      </c>
      <c r="AV138" s="40" t="str">
        <f aca="false">IF(OR(OR(NOT(AND(ISNUMBER(E138),ISNUMBER(F138))),$J$2=""),10&gt;MAX(1,Reprogramaciones!$U$15)),"",IF(Reprogramaciones!T$12&gt;=7,"",IF(OR(CC138-N(CB138)&gt;0.05,N(Z138)&gt;0),ROUNDDOWN(ROUND(CC138,6),0)&amp;"%"&amp;IF(CS138="",""," / "&amp;CS138&amp;"%"),IF(AND(N(CB138)&gt;=99.95,CS138&lt;&gt;"",N(CS138)&lt;100),"Pend. "&amp;CS138&amp;"%",""))))</f>
        <v/>
      </c>
      <c r="AW138" s="40" t="str">
        <f aca="false">IF(OR(OR(NOT(AND(ISNUMBER(E138),ISNUMBER(F138))),$J$2=""),11&gt;MAX(1,Reprogramaciones!$U$15)),"",IF(Reprogramaciones!U$12&gt;=7,"",IF(OR(CD138-N(CC138)&gt;0.05,N(AA138)&gt;0),ROUNDDOWN(ROUND(CD138,6),0)&amp;"%"&amp;IF(CT138="",""," / "&amp;CT138&amp;"%"),IF(AND(N(CC138)&gt;=99.95,CT138&lt;&gt;"",N(CT138)&lt;100),"Pend. "&amp;CT138&amp;"%",""))))</f>
        <v/>
      </c>
      <c r="AX138" s="40" t="str">
        <f aca="false">IF(OR(OR(NOT(AND(ISNUMBER(E138),ISNUMBER(F138))),$J$2=""),12&gt;MAX(1,Reprogramaciones!$U$15)),"",IF(Reprogramaciones!V$12&gt;=7,"",IF(OR(CE138-N(CD138)&gt;0.05,N(AB138)&gt;0),ROUNDDOWN(ROUND(CE138,6),0)&amp;"%"&amp;IF(CU138="",""," / "&amp;CU138&amp;"%"),IF(AND(N(CD138)&gt;=99.95,CU138&lt;&gt;"",N(CU138)&lt;100),"Pend. "&amp;CU138&amp;"%",""))))</f>
        <v/>
      </c>
      <c r="AY138" s="40" t="str">
        <f aca="false">IF(OR(OR(NOT(AND(ISNUMBER(E138),ISNUMBER(F138))),$J$2=""),13&gt;MAX(1,Reprogramaciones!$U$15)),"",IF(Reprogramaciones!W$12&gt;=7,"",IF(OR(CF138-N(CE138)&gt;0.05,N(AC138)&gt;0),ROUNDDOWN(ROUND(CF138,6),0)&amp;"%"&amp;IF(CV138="",""," / "&amp;CV138&amp;"%"),IF(AND(N(CE138)&gt;=99.95,CV138&lt;&gt;"",N(CV138)&lt;100),"Pend. "&amp;CV138&amp;"%",""))))</f>
        <v/>
      </c>
      <c r="AZ138" s="40" t="str">
        <f aca="false">IF(OR(OR(NOT(AND(ISNUMBER(E138),ISNUMBER(F138))),$J$2=""),14&gt;MAX(1,Reprogramaciones!$U$15)),"",IF(Reprogramaciones!X$12&gt;=7,"",IF(OR(CG138-N(CF138)&gt;0.05,N(AD138)&gt;0),ROUNDDOWN(ROUND(CG138,6),0)&amp;"%"&amp;IF(CW138="",""," / "&amp;CW138&amp;"%"),IF(AND(N(CF138)&gt;=99.95,CW138&lt;&gt;"",N(CW138)&lt;100),"Pend. "&amp;CW138&amp;"%",""))))</f>
        <v/>
      </c>
      <c r="BA138" s="40" t="str">
        <f aca="false">IF(OR(OR(NOT(AND(ISNUMBER(E138),ISNUMBER(F138))),$J$2=""),15&gt;MAX(1,Reprogramaciones!$U$15)),"",IF(Reprogramaciones!Y$12&gt;=7,"",IF(OR(CH138-N(CG138)&gt;0.05,N(AE138)&gt;0),ROUNDDOWN(ROUND(CH138,6),0)&amp;"%"&amp;IF(CX138="",""," / "&amp;CX138&amp;"%"),IF(AND(N(CG138)&gt;=99.95,CX138&lt;&gt;"",N(CX138)&lt;100),"Pend. "&amp;CX138&amp;"%",""))))</f>
        <v/>
      </c>
      <c r="BB138" s="40" t="str">
        <f aca="false">IF(OR(OR(NOT(AND(ISNUMBER(E138),ISNUMBER(F138))),$J$2=""),16&gt;MAX(1,Reprogramaciones!$U$15)),"",IF(Reprogramaciones!Z$12&gt;=7,"",IF(OR(CI138-N(CH138)&gt;0.05,N(AF138)&gt;0),ROUNDDOWN(ROUND(CI138,6),0)&amp;"%"&amp;IF(CY138="",""," / "&amp;CY138&amp;"%"),IF(AND(N(CH138)&gt;=99.95,CY138&lt;&gt;"",N(CY138)&lt;100),"Pend. "&amp;CY138&amp;"%",""))))</f>
        <v/>
      </c>
      <c r="BC138" s="31" t="n">
        <f aca="false">IF(AND(ISNUMBER(E138),ISNUMBER(F138)),MAX(1,NETWORKDAYS.INTL(E138,F138,11)),0)</f>
        <v>0</v>
      </c>
      <c r="BD138" s="1" t="str">
        <f aca="false">IF(OR(NOT(AND(ISNUMBER(E138),ISNUMBER(F138))),$J$2=""),"",MIN(100,ROUND(SUM($G138:G138),1)))</f>
        <v/>
      </c>
      <c r="BE138" s="1" t="str">
        <f aca="false">IF(OR(NOT(AND(ISNUMBER(E138),ISNUMBER(F138))),$J$2=""),"",MIN(100,ROUND(SUM($G138:H138),1)))</f>
        <v/>
      </c>
      <c r="BF138" s="1" t="str">
        <f aca="false">IF(OR(NOT(AND(ISNUMBER(E138),ISNUMBER(F138))),$J$2=""),"",MIN(100,ROUND(SUM($G138:I138),1)))</f>
        <v/>
      </c>
      <c r="BG138" s="1" t="str">
        <f aca="false">IF(OR(NOT(AND(ISNUMBER(E138),ISNUMBER(F138))),$J$2=""),"",MIN(100,ROUND(SUM($G138:J138),1)))</f>
        <v/>
      </c>
      <c r="BH138" s="1" t="str">
        <f aca="false">IF(OR(NOT(AND(ISNUMBER(E138),ISNUMBER(F138))),$J$2=""),"",MIN(100,ROUND(SUM($G138:K138),1)))</f>
        <v/>
      </c>
      <c r="BI138" s="1" t="str">
        <f aca="false">IF(OR(NOT(AND(ISNUMBER(E138),ISNUMBER(F138))),$J$2=""),"",MIN(100,ROUND(SUM($G138:L138),1)))</f>
        <v/>
      </c>
      <c r="BJ138" s="1" t="str">
        <f aca="false">IF(OR(NOT(AND(ISNUMBER(E138),ISNUMBER(F138))),$J$2=""),"",MIN(100,ROUND(SUM($G138:M138),1)))</f>
        <v/>
      </c>
      <c r="BK138" s="1" t="str">
        <f aca="false">IF(OR(NOT(AND(ISNUMBER(E138),ISNUMBER(F138))),$J$2=""),"",MIN(100,ROUND(SUM($G138:N138),1)))</f>
        <v/>
      </c>
      <c r="BL138" s="1" t="str">
        <f aca="false">IF(OR(NOT(AND(ISNUMBER(E138),ISNUMBER(F138))),$J$2=""),"",MIN(100,ROUND(SUM($G138:O138),1)))</f>
        <v/>
      </c>
      <c r="BM138" s="1" t="str">
        <f aca="false">IF(OR(NOT(AND(ISNUMBER(E138),ISNUMBER(F138))),$J$2=""),"",MIN(100,ROUND(SUM($G138:P138),1)))</f>
        <v/>
      </c>
      <c r="BN138" s="1" t="str">
        <f aca="false">IF(OR(NOT(AND(ISNUMBER(E138),ISNUMBER(F138))),$J$2=""),"",MIN(100,ROUND(SUM($G138:P138),1)))</f>
        <v/>
      </c>
      <c r="BO138" s="1" t="str">
        <f aca="false">IF(OR(NOT(AND(ISNUMBER(E138),ISNUMBER(F138))),$J$2=""),"",MIN(100,ROUND(SUM($G138:P138),1)))</f>
        <v/>
      </c>
      <c r="BP138" s="1" t="str">
        <f aca="false">IF(OR(NOT(AND(ISNUMBER(E138),ISNUMBER(F138))),$J$2=""),"",MIN(100,ROUND(SUM($G138:P138),1)))</f>
        <v/>
      </c>
      <c r="BQ138" s="1" t="str">
        <f aca="false">IF(OR(NOT(AND(ISNUMBER(E138),ISNUMBER(F138))),$J$2=""),"",MIN(100,ROUND(SUM($G138:P138),1)))</f>
        <v/>
      </c>
      <c r="BR138" s="1" t="str">
        <f aca="false">IF(OR(NOT(AND(ISNUMBER(E138),ISNUMBER(F138))),$J$2=""),"",MIN(100,ROUND(SUM($G138:P138),1)))</f>
        <v/>
      </c>
      <c r="BS138" s="1" t="str">
        <f aca="false">IF(OR(NOT(AND(ISNUMBER(E138),ISNUMBER(F138))),$J$2=""),"",MIN(100,ROUND(SUM($G138:P138),1)))</f>
        <v/>
      </c>
      <c r="BT138" s="1" t="str">
        <f aca="false">IF(OR(NOT(AND(ISNUMBER(E138),ISNUMBER(F138))),$J$2=""),"",IF(Reprogramaciones!K$13&lt;Reprogramaciones!$T$15,0,IF(Reprogramaciones!K$14&gt;10,MIN(100,SUM($G138:$P138)),MIN(100,SUMPRODUCT((COLUMN($G138:$P138)-COLUMN($G138)+1&lt;Reprogramaciones!K$14)*$G138:$P138)+N(INDEX($G138:$P138,1,Reprogramaciones!K$14))*IF(Reprogramaciones!K$13&gt;=(Reprogramaciones!$T$15+7*(Reprogramaciones!K$14-1))+6,1,IF(MAX(0,NETWORKDAYS.INTL(MAX(E138,(Reprogramaciones!$T$15+7*(Reprogramaciones!K$14-1))),MIN(F138,(Reprogramaciones!$T$15+7*(Reprogramaciones!K$14-1))+6),11))=0,0,MAX(0,NETWORKDAYS.INTL(MAX(E138,(Reprogramaciones!$T$15+7*(Reprogramaciones!K$14-1))),MIN(F138,Reprogramaciones!K$13),11))/MAX(0,NETWORKDAYS.INTL(MAX(E138,(Reprogramaciones!$T$15+7*(Reprogramaciones!K$14-1))),MIN(F138,(Reprogramaciones!$T$15+7*(Reprogramaciones!K$14-1))+6),11))))))))</f>
        <v/>
      </c>
      <c r="BU138" s="1" t="str">
        <f aca="false">IF(OR(NOT(AND(ISNUMBER(E138),ISNUMBER(F138))),$J$2=""),"",IF(Reprogramaciones!L$13&lt;Reprogramaciones!$T$15,0,IF(Reprogramaciones!L$14&gt;10,MIN(100,SUM($G138:$P138)),MIN(100,SUMPRODUCT((COLUMN($G138:$P138)-COLUMN($G138)+1&lt;Reprogramaciones!L$14)*$G138:$P138)+N(INDEX($G138:$P138,1,Reprogramaciones!L$14))*IF(Reprogramaciones!L$13&gt;=(Reprogramaciones!$T$15+7*(Reprogramaciones!L$14-1))+6,1,IF(MAX(0,NETWORKDAYS.INTL(MAX(E138,(Reprogramaciones!$T$15+7*(Reprogramaciones!L$14-1))),MIN(F138,(Reprogramaciones!$T$15+7*(Reprogramaciones!L$14-1))+6),11))=0,0,MAX(0,NETWORKDAYS.INTL(MAX(E138,(Reprogramaciones!$T$15+7*(Reprogramaciones!L$14-1))),MIN(F138,Reprogramaciones!L$13),11))/MAX(0,NETWORKDAYS.INTL(MAX(E138,(Reprogramaciones!$T$15+7*(Reprogramaciones!L$14-1))),MIN(F138,(Reprogramaciones!$T$15+7*(Reprogramaciones!L$14-1))+6),11))))))))</f>
        <v/>
      </c>
      <c r="BV138" s="1" t="str">
        <f aca="false">IF(OR(NOT(AND(ISNUMBER(E138),ISNUMBER(F138))),$J$2=""),"",IF(Reprogramaciones!M$13&lt;Reprogramaciones!$T$15,0,IF(Reprogramaciones!M$14&gt;10,MIN(100,SUM($G138:$P138)),MIN(100,SUMPRODUCT((COLUMN($G138:$P138)-COLUMN($G138)+1&lt;Reprogramaciones!M$14)*$G138:$P138)+N(INDEX($G138:$P138,1,Reprogramaciones!M$14))*IF(Reprogramaciones!M$13&gt;=(Reprogramaciones!$T$15+7*(Reprogramaciones!M$14-1))+6,1,IF(MAX(0,NETWORKDAYS.INTL(MAX(E138,(Reprogramaciones!$T$15+7*(Reprogramaciones!M$14-1))),MIN(F138,(Reprogramaciones!$T$15+7*(Reprogramaciones!M$14-1))+6),11))=0,0,MAX(0,NETWORKDAYS.INTL(MAX(E138,(Reprogramaciones!$T$15+7*(Reprogramaciones!M$14-1))),MIN(F138,Reprogramaciones!M$13),11))/MAX(0,NETWORKDAYS.INTL(MAX(E138,(Reprogramaciones!$T$15+7*(Reprogramaciones!M$14-1))),MIN(F138,(Reprogramaciones!$T$15+7*(Reprogramaciones!M$14-1))+6),11))))))))</f>
        <v/>
      </c>
      <c r="BW138" s="1" t="str">
        <f aca="false">IF(OR(NOT(AND(ISNUMBER(E138),ISNUMBER(F138))),$J$2=""),"",IF(Reprogramaciones!N$13&lt;Reprogramaciones!$T$15,0,IF(Reprogramaciones!N$14&gt;10,MIN(100,SUM($G138:$P138)),MIN(100,SUMPRODUCT((COLUMN($G138:$P138)-COLUMN($G138)+1&lt;Reprogramaciones!N$14)*$G138:$P138)+N(INDEX($G138:$P138,1,Reprogramaciones!N$14))*IF(Reprogramaciones!N$13&gt;=(Reprogramaciones!$T$15+7*(Reprogramaciones!N$14-1))+6,1,IF(MAX(0,NETWORKDAYS.INTL(MAX(E138,(Reprogramaciones!$T$15+7*(Reprogramaciones!N$14-1))),MIN(F138,(Reprogramaciones!$T$15+7*(Reprogramaciones!N$14-1))+6),11))=0,0,MAX(0,NETWORKDAYS.INTL(MAX(E138,(Reprogramaciones!$T$15+7*(Reprogramaciones!N$14-1))),MIN(F138,Reprogramaciones!N$13),11))/MAX(0,NETWORKDAYS.INTL(MAX(E138,(Reprogramaciones!$T$15+7*(Reprogramaciones!N$14-1))),MIN(F138,(Reprogramaciones!$T$15+7*(Reprogramaciones!N$14-1))+6),11))))))))</f>
        <v/>
      </c>
      <c r="BX138" s="1" t="str">
        <f aca="false">IF(OR(NOT(AND(ISNUMBER(E138),ISNUMBER(F138))),$J$2=""),"",IF(Reprogramaciones!O$13&lt;Reprogramaciones!$T$15,0,IF(Reprogramaciones!O$14&gt;10,MIN(100,SUM($G138:$P138)),MIN(100,SUMPRODUCT((COLUMN($G138:$P138)-COLUMN($G138)+1&lt;Reprogramaciones!O$14)*$G138:$P138)+N(INDEX($G138:$P138,1,Reprogramaciones!O$14))*IF(Reprogramaciones!O$13&gt;=(Reprogramaciones!$T$15+7*(Reprogramaciones!O$14-1))+6,1,IF(MAX(0,NETWORKDAYS.INTL(MAX(E138,(Reprogramaciones!$T$15+7*(Reprogramaciones!O$14-1))),MIN(F138,(Reprogramaciones!$T$15+7*(Reprogramaciones!O$14-1))+6),11))=0,0,MAX(0,NETWORKDAYS.INTL(MAX(E138,(Reprogramaciones!$T$15+7*(Reprogramaciones!O$14-1))),MIN(F138,Reprogramaciones!O$13),11))/MAX(0,NETWORKDAYS.INTL(MAX(E138,(Reprogramaciones!$T$15+7*(Reprogramaciones!O$14-1))),MIN(F138,(Reprogramaciones!$T$15+7*(Reprogramaciones!O$14-1))+6),11))))))))</f>
        <v/>
      </c>
      <c r="BY138" s="1" t="str">
        <f aca="false">IF(OR(NOT(AND(ISNUMBER(E138),ISNUMBER(F138))),$J$2=""),"",IF(Reprogramaciones!P$13&lt;Reprogramaciones!$T$15,0,IF(Reprogramaciones!P$14&gt;10,MIN(100,SUM($G138:$P138)),MIN(100,SUMPRODUCT((COLUMN($G138:$P138)-COLUMN($G138)+1&lt;Reprogramaciones!P$14)*$G138:$P138)+N(INDEX($G138:$P138,1,Reprogramaciones!P$14))*IF(Reprogramaciones!P$13&gt;=(Reprogramaciones!$T$15+7*(Reprogramaciones!P$14-1))+6,1,IF(MAX(0,NETWORKDAYS.INTL(MAX(E138,(Reprogramaciones!$T$15+7*(Reprogramaciones!P$14-1))),MIN(F138,(Reprogramaciones!$T$15+7*(Reprogramaciones!P$14-1))+6),11))=0,0,MAX(0,NETWORKDAYS.INTL(MAX(E138,(Reprogramaciones!$T$15+7*(Reprogramaciones!P$14-1))),MIN(F138,Reprogramaciones!P$13),11))/MAX(0,NETWORKDAYS.INTL(MAX(E138,(Reprogramaciones!$T$15+7*(Reprogramaciones!P$14-1))),MIN(F138,(Reprogramaciones!$T$15+7*(Reprogramaciones!P$14-1))+6),11))))))))</f>
        <v/>
      </c>
      <c r="BZ138" s="1" t="str">
        <f aca="false">IF(OR(NOT(AND(ISNUMBER(E138),ISNUMBER(F138))),$J$2=""),"",IF(Reprogramaciones!Q$13&lt;Reprogramaciones!$T$15,0,IF(Reprogramaciones!Q$14&gt;10,MIN(100,SUM($G138:$P138)),MIN(100,SUMPRODUCT((COLUMN($G138:$P138)-COLUMN($G138)+1&lt;Reprogramaciones!Q$14)*$G138:$P138)+N(INDEX($G138:$P138,1,Reprogramaciones!Q$14))*IF(Reprogramaciones!Q$13&gt;=(Reprogramaciones!$T$15+7*(Reprogramaciones!Q$14-1))+6,1,IF(MAX(0,NETWORKDAYS.INTL(MAX(E138,(Reprogramaciones!$T$15+7*(Reprogramaciones!Q$14-1))),MIN(F138,(Reprogramaciones!$T$15+7*(Reprogramaciones!Q$14-1))+6),11))=0,0,MAX(0,NETWORKDAYS.INTL(MAX(E138,(Reprogramaciones!$T$15+7*(Reprogramaciones!Q$14-1))),MIN(F138,Reprogramaciones!Q$13),11))/MAX(0,NETWORKDAYS.INTL(MAX(E138,(Reprogramaciones!$T$15+7*(Reprogramaciones!Q$14-1))),MIN(F138,(Reprogramaciones!$T$15+7*(Reprogramaciones!Q$14-1))+6),11))))))))</f>
        <v/>
      </c>
      <c r="CA138" s="1" t="str">
        <f aca="false">IF(OR(NOT(AND(ISNUMBER(E138),ISNUMBER(F138))),$J$2=""),"",IF(Reprogramaciones!R$13&lt;Reprogramaciones!$T$15,0,IF(Reprogramaciones!R$14&gt;10,MIN(100,SUM($G138:$P138)),MIN(100,SUMPRODUCT((COLUMN($G138:$P138)-COLUMN($G138)+1&lt;Reprogramaciones!R$14)*$G138:$P138)+N(INDEX($G138:$P138,1,Reprogramaciones!R$14))*IF(Reprogramaciones!R$13&gt;=(Reprogramaciones!$T$15+7*(Reprogramaciones!R$14-1))+6,1,IF(MAX(0,NETWORKDAYS.INTL(MAX(E138,(Reprogramaciones!$T$15+7*(Reprogramaciones!R$14-1))),MIN(F138,(Reprogramaciones!$T$15+7*(Reprogramaciones!R$14-1))+6),11))=0,0,MAX(0,NETWORKDAYS.INTL(MAX(E138,(Reprogramaciones!$T$15+7*(Reprogramaciones!R$14-1))),MIN(F138,Reprogramaciones!R$13),11))/MAX(0,NETWORKDAYS.INTL(MAX(E138,(Reprogramaciones!$T$15+7*(Reprogramaciones!R$14-1))),MIN(F138,(Reprogramaciones!$T$15+7*(Reprogramaciones!R$14-1))+6),11))))))))</f>
        <v/>
      </c>
      <c r="CB138" s="1" t="str">
        <f aca="false">IF(OR(NOT(AND(ISNUMBER(E138),ISNUMBER(F138))),$J$2=""),"",IF(Reprogramaciones!S$13&lt;Reprogramaciones!$T$15,0,IF(Reprogramaciones!S$14&gt;10,MIN(100,SUM($G138:$P138)),MIN(100,SUMPRODUCT((COLUMN($G138:$P138)-COLUMN($G138)+1&lt;Reprogramaciones!S$14)*$G138:$P138)+N(INDEX($G138:$P138,1,Reprogramaciones!S$14))*IF(Reprogramaciones!S$13&gt;=(Reprogramaciones!$T$15+7*(Reprogramaciones!S$14-1))+6,1,IF(MAX(0,NETWORKDAYS.INTL(MAX(E138,(Reprogramaciones!$T$15+7*(Reprogramaciones!S$14-1))),MIN(F138,(Reprogramaciones!$T$15+7*(Reprogramaciones!S$14-1))+6),11))=0,0,MAX(0,NETWORKDAYS.INTL(MAX(E138,(Reprogramaciones!$T$15+7*(Reprogramaciones!S$14-1))),MIN(F138,Reprogramaciones!S$13),11))/MAX(0,NETWORKDAYS.INTL(MAX(E138,(Reprogramaciones!$T$15+7*(Reprogramaciones!S$14-1))),MIN(F138,(Reprogramaciones!$T$15+7*(Reprogramaciones!S$14-1))+6),11))))))))</f>
        <v/>
      </c>
      <c r="CC138" s="1" t="str">
        <f aca="false">IF(OR(NOT(AND(ISNUMBER(E138),ISNUMBER(F138))),$J$2=""),"",IF(Reprogramaciones!T$13&lt;Reprogramaciones!$T$15,0,IF(Reprogramaciones!T$14&gt;10,MIN(100,SUM($G138:$P138)),MIN(100,SUMPRODUCT((COLUMN($G138:$P138)-COLUMN($G138)+1&lt;Reprogramaciones!T$14)*$G138:$P138)+N(INDEX($G138:$P138,1,Reprogramaciones!T$14))*IF(Reprogramaciones!T$13&gt;=(Reprogramaciones!$T$15+7*(Reprogramaciones!T$14-1))+6,1,IF(MAX(0,NETWORKDAYS.INTL(MAX(E138,(Reprogramaciones!$T$15+7*(Reprogramaciones!T$14-1))),MIN(F138,(Reprogramaciones!$T$15+7*(Reprogramaciones!T$14-1))+6),11))=0,0,MAX(0,NETWORKDAYS.INTL(MAX(E138,(Reprogramaciones!$T$15+7*(Reprogramaciones!T$14-1))),MIN(F138,Reprogramaciones!T$13),11))/MAX(0,NETWORKDAYS.INTL(MAX(E138,(Reprogramaciones!$T$15+7*(Reprogramaciones!T$14-1))),MIN(F138,(Reprogramaciones!$T$15+7*(Reprogramaciones!T$14-1))+6),11))))))))</f>
        <v/>
      </c>
      <c r="CD138" s="1" t="str">
        <f aca="false">IF(OR(NOT(AND(ISNUMBER(E138),ISNUMBER(F138))),$J$2=""),"",IF(Reprogramaciones!U$13&lt;Reprogramaciones!$T$15,0,IF(Reprogramaciones!U$14&gt;10,MIN(100,SUM($G138:$P138)),MIN(100,SUMPRODUCT((COLUMN($G138:$P138)-COLUMN($G138)+1&lt;Reprogramaciones!U$14)*$G138:$P138)+N(INDEX($G138:$P138,1,Reprogramaciones!U$14))*IF(Reprogramaciones!U$13&gt;=(Reprogramaciones!$T$15+7*(Reprogramaciones!U$14-1))+6,1,IF(MAX(0,NETWORKDAYS.INTL(MAX(E138,(Reprogramaciones!$T$15+7*(Reprogramaciones!U$14-1))),MIN(F138,(Reprogramaciones!$T$15+7*(Reprogramaciones!U$14-1))+6),11))=0,0,MAX(0,NETWORKDAYS.INTL(MAX(E138,(Reprogramaciones!$T$15+7*(Reprogramaciones!U$14-1))),MIN(F138,Reprogramaciones!U$13),11))/MAX(0,NETWORKDAYS.INTL(MAX(E138,(Reprogramaciones!$T$15+7*(Reprogramaciones!U$14-1))),MIN(F138,(Reprogramaciones!$T$15+7*(Reprogramaciones!U$14-1))+6),11))))))))</f>
        <v/>
      </c>
      <c r="CE138" s="1" t="str">
        <f aca="false">IF(OR(NOT(AND(ISNUMBER(E138),ISNUMBER(F138))),$J$2=""),"",IF(Reprogramaciones!V$13&lt;Reprogramaciones!$T$15,0,IF(Reprogramaciones!V$14&gt;10,MIN(100,SUM($G138:$P138)),MIN(100,SUMPRODUCT((COLUMN($G138:$P138)-COLUMN($G138)+1&lt;Reprogramaciones!V$14)*$G138:$P138)+N(INDEX($G138:$P138,1,Reprogramaciones!V$14))*IF(Reprogramaciones!V$13&gt;=(Reprogramaciones!$T$15+7*(Reprogramaciones!V$14-1))+6,1,IF(MAX(0,NETWORKDAYS.INTL(MAX(E138,(Reprogramaciones!$T$15+7*(Reprogramaciones!V$14-1))),MIN(F138,(Reprogramaciones!$T$15+7*(Reprogramaciones!V$14-1))+6),11))=0,0,MAX(0,NETWORKDAYS.INTL(MAX(E138,(Reprogramaciones!$T$15+7*(Reprogramaciones!V$14-1))),MIN(F138,Reprogramaciones!V$13),11))/MAX(0,NETWORKDAYS.INTL(MAX(E138,(Reprogramaciones!$T$15+7*(Reprogramaciones!V$14-1))),MIN(F138,(Reprogramaciones!$T$15+7*(Reprogramaciones!V$14-1))+6),11))))))))</f>
        <v/>
      </c>
      <c r="CF138" s="1" t="str">
        <f aca="false">IF(OR(NOT(AND(ISNUMBER(E138),ISNUMBER(F138))),$J$2=""),"",IF(Reprogramaciones!W$13&lt;Reprogramaciones!$T$15,0,IF(Reprogramaciones!W$14&gt;10,MIN(100,SUM($G138:$P138)),MIN(100,SUMPRODUCT((COLUMN($G138:$P138)-COLUMN($G138)+1&lt;Reprogramaciones!W$14)*$G138:$P138)+N(INDEX($G138:$P138,1,Reprogramaciones!W$14))*IF(Reprogramaciones!W$13&gt;=(Reprogramaciones!$T$15+7*(Reprogramaciones!W$14-1))+6,1,IF(MAX(0,NETWORKDAYS.INTL(MAX(E138,(Reprogramaciones!$T$15+7*(Reprogramaciones!W$14-1))),MIN(F138,(Reprogramaciones!$T$15+7*(Reprogramaciones!W$14-1))+6),11))=0,0,MAX(0,NETWORKDAYS.INTL(MAX(E138,(Reprogramaciones!$T$15+7*(Reprogramaciones!W$14-1))),MIN(F138,Reprogramaciones!W$13),11))/MAX(0,NETWORKDAYS.INTL(MAX(E138,(Reprogramaciones!$T$15+7*(Reprogramaciones!W$14-1))),MIN(F138,(Reprogramaciones!$T$15+7*(Reprogramaciones!W$14-1))+6),11))))))))</f>
        <v/>
      </c>
      <c r="CG138" s="1" t="str">
        <f aca="false">IF(OR(NOT(AND(ISNUMBER(E138),ISNUMBER(F138))),$J$2=""),"",IF(Reprogramaciones!X$13&lt;Reprogramaciones!$T$15,0,IF(Reprogramaciones!X$14&gt;10,MIN(100,SUM($G138:$P138)),MIN(100,SUMPRODUCT((COLUMN($G138:$P138)-COLUMN($G138)+1&lt;Reprogramaciones!X$14)*$G138:$P138)+N(INDEX($G138:$P138,1,Reprogramaciones!X$14))*IF(Reprogramaciones!X$13&gt;=(Reprogramaciones!$T$15+7*(Reprogramaciones!X$14-1))+6,1,IF(MAX(0,NETWORKDAYS.INTL(MAX(E138,(Reprogramaciones!$T$15+7*(Reprogramaciones!X$14-1))),MIN(F138,(Reprogramaciones!$T$15+7*(Reprogramaciones!X$14-1))+6),11))=0,0,MAX(0,NETWORKDAYS.INTL(MAX(E138,(Reprogramaciones!$T$15+7*(Reprogramaciones!X$14-1))),MIN(F138,Reprogramaciones!X$13),11))/MAX(0,NETWORKDAYS.INTL(MAX(E138,(Reprogramaciones!$T$15+7*(Reprogramaciones!X$14-1))),MIN(F138,(Reprogramaciones!$T$15+7*(Reprogramaciones!X$14-1))+6),11))))))))</f>
        <v/>
      </c>
      <c r="CH138" s="1" t="str">
        <f aca="false">IF(OR(NOT(AND(ISNUMBER(E138),ISNUMBER(F138))),$J$2=""),"",IF(Reprogramaciones!Y$13&lt;Reprogramaciones!$T$15,0,IF(Reprogramaciones!Y$14&gt;10,MIN(100,SUM($G138:$P138)),MIN(100,SUMPRODUCT((COLUMN($G138:$P138)-COLUMN($G138)+1&lt;Reprogramaciones!Y$14)*$G138:$P138)+N(INDEX($G138:$P138,1,Reprogramaciones!Y$14))*IF(Reprogramaciones!Y$13&gt;=(Reprogramaciones!$T$15+7*(Reprogramaciones!Y$14-1))+6,1,IF(MAX(0,NETWORKDAYS.INTL(MAX(E138,(Reprogramaciones!$T$15+7*(Reprogramaciones!Y$14-1))),MIN(F138,(Reprogramaciones!$T$15+7*(Reprogramaciones!Y$14-1))+6),11))=0,0,MAX(0,NETWORKDAYS.INTL(MAX(E138,(Reprogramaciones!$T$15+7*(Reprogramaciones!Y$14-1))),MIN(F138,Reprogramaciones!Y$13),11))/MAX(0,NETWORKDAYS.INTL(MAX(E138,(Reprogramaciones!$T$15+7*(Reprogramaciones!Y$14-1))),MIN(F138,(Reprogramaciones!$T$15+7*(Reprogramaciones!Y$14-1))+6),11))))))))</f>
        <v/>
      </c>
      <c r="CI138" s="1" t="str">
        <f aca="false">IF(OR(NOT(AND(ISNUMBER(E138),ISNUMBER(F138))),$J$2=""),"",IF(Reprogramaciones!Z$13&lt;Reprogramaciones!$T$15,0,IF(Reprogramaciones!Z$14&gt;10,MIN(100,SUM($G138:$P138)),MIN(100,SUMPRODUCT((COLUMN($G138:$P138)-COLUMN($G138)+1&lt;Reprogramaciones!Z$14)*$G138:$P138)+N(INDEX($G138:$P138,1,Reprogramaciones!Z$14))*IF(Reprogramaciones!Z$13&gt;=(Reprogramaciones!$T$15+7*(Reprogramaciones!Z$14-1))+6,1,IF(MAX(0,NETWORKDAYS.INTL(MAX(E138,(Reprogramaciones!$T$15+7*(Reprogramaciones!Z$14-1))),MIN(F138,(Reprogramaciones!$T$15+7*(Reprogramaciones!Z$14-1))+6),11))=0,0,MAX(0,NETWORKDAYS.INTL(MAX(E138,(Reprogramaciones!$T$15+7*(Reprogramaciones!Z$14-1))),MIN(F138,Reprogramaciones!Z$13),11))/MAX(0,NETWORKDAYS.INTL(MAX(E138,(Reprogramaciones!$T$15+7*(Reprogramaciones!Z$14-1))),MIN(F138,(Reprogramaciones!$T$15+7*(Reprogramaciones!Z$14-1))+6),11))))))))</f>
        <v/>
      </c>
      <c r="CJ138" s="1" t="str">
        <f aca="false">IF(OR(OR(NOT(AND(ISNUMBER(E138),ISNUMBER(F138))),$J$2=""),1&gt;Reprogramaciones!$K$16),"",IF(ROUND(SUM($Q138:Q138),1)&gt;=99.5,100,MIN(100,ROUND(SUM($Q138:Q138),1))))</f>
        <v/>
      </c>
      <c r="CK138" s="1" t="str">
        <f aca="false">IF(OR(OR(NOT(AND(ISNUMBER(E138),ISNUMBER(F138))),$J$2=""),2&gt;Reprogramaciones!$K$16),"",IF(ROUND(SUM($Q138:R138),1)&gt;=99.5,100,MIN(100,ROUND(SUM($Q138:R138),1))))</f>
        <v/>
      </c>
      <c r="CL138" s="1" t="str">
        <f aca="false">IF(OR(OR(NOT(AND(ISNUMBER(E138),ISNUMBER(F138))),$J$2=""),3&gt;Reprogramaciones!$K$16),"",IF(ROUND(SUM($Q138:S138),1)&gt;=99.5,100,MIN(100,ROUND(SUM($Q138:S138),1))))</f>
        <v/>
      </c>
      <c r="CM138" s="1" t="str">
        <f aca="false">IF(OR(OR(NOT(AND(ISNUMBER(E138),ISNUMBER(F138))),$J$2=""),4&gt;Reprogramaciones!$K$16),"",IF(ROUND(SUM($Q138:T138),1)&gt;=99.5,100,MIN(100,ROUND(SUM($Q138:T138),1))))</f>
        <v/>
      </c>
      <c r="CN138" s="1" t="str">
        <f aca="false">IF(OR(OR(NOT(AND(ISNUMBER(E138),ISNUMBER(F138))),$J$2=""),5&gt;Reprogramaciones!$K$16),"",IF(ROUND(SUM($Q138:U138),1)&gt;=99.5,100,MIN(100,ROUND(SUM($Q138:U138),1))))</f>
        <v/>
      </c>
      <c r="CO138" s="1" t="str">
        <f aca="false">IF(OR(OR(NOT(AND(ISNUMBER(E138),ISNUMBER(F138))),$J$2=""),6&gt;Reprogramaciones!$K$16),"",IF(ROUND(SUM($Q138:V138),1)&gt;=99.5,100,MIN(100,ROUND(SUM($Q138:V138),1))))</f>
        <v/>
      </c>
      <c r="CP138" s="1" t="str">
        <f aca="false">IF(OR(OR(NOT(AND(ISNUMBER(E138),ISNUMBER(F138))),$J$2=""),7&gt;Reprogramaciones!$K$16),"",IF(ROUND(SUM($Q138:W138),1)&gt;=99.5,100,MIN(100,ROUND(SUM($Q138:W138),1))))</f>
        <v/>
      </c>
      <c r="CQ138" s="1" t="str">
        <f aca="false">IF(OR(OR(NOT(AND(ISNUMBER(E138),ISNUMBER(F138))),$J$2=""),8&gt;Reprogramaciones!$K$16),"",IF(ROUND(SUM($Q138:X138),1)&gt;=99.5,100,MIN(100,ROUND(SUM($Q138:X138),1))))</f>
        <v/>
      </c>
      <c r="CR138" s="1" t="str">
        <f aca="false">IF(OR(OR(NOT(AND(ISNUMBER(E138),ISNUMBER(F138))),$J$2=""),9&gt;Reprogramaciones!$K$16),"",IF(ROUND(SUM($Q138:Y138),1)&gt;=99.5,100,MIN(100,ROUND(SUM($Q138:Y138),1))))</f>
        <v/>
      </c>
      <c r="CS138" s="1" t="str">
        <f aca="false">IF(OR(OR(NOT(AND(ISNUMBER(E138),ISNUMBER(F138))),$J$2=""),10&gt;Reprogramaciones!$K$16),"",IF(ROUND(SUM($Q138:Z138),1)&gt;=99.5,100,MIN(100,ROUND(SUM($Q138:Z138),1))))</f>
        <v/>
      </c>
      <c r="CT138" s="1" t="str">
        <f aca="false">IF(OR(OR(NOT(AND(ISNUMBER(E138),ISNUMBER(F138))),$J$2=""),11&gt;Reprogramaciones!$K$16),"",IF(ROUND(SUM($Q138:AA138),1)&gt;=99.5,100,MIN(100,ROUND(SUM($Q138:AA138),1))))</f>
        <v/>
      </c>
      <c r="CU138" s="1" t="str">
        <f aca="false">IF(OR(OR(NOT(AND(ISNUMBER(E138),ISNUMBER(F138))),$J$2=""),12&gt;Reprogramaciones!$K$16),"",IF(ROUND(SUM($Q138:AB138),1)&gt;=99.5,100,MIN(100,ROUND(SUM($Q138:AB138),1))))</f>
        <v/>
      </c>
      <c r="CV138" s="1" t="str">
        <f aca="false">IF(OR(OR(NOT(AND(ISNUMBER(E138),ISNUMBER(F138))),$J$2=""),13&gt;Reprogramaciones!$K$16),"",IF(ROUND(SUM($Q138:AC138),1)&gt;=99.5,100,MIN(100,ROUND(SUM($Q138:AC138),1))))</f>
        <v/>
      </c>
      <c r="CW138" s="1" t="str">
        <f aca="false">IF(OR(OR(NOT(AND(ISNUMBER(E138),ISNUMBER(F138))),$J$2=""),14&gt;Reprogramaciones!$K$16),"",IF(ROUND(SUM($Q138:AD138),1)&gt;=99.5,100,MIN(100,ROUND(SUM($Q138:AD138),1))))</f>
        <v/>
      </c>
      <c r="CX138" s="1" t="str">
        <f aca="false">IF(OR(OR(NOT(AND(ISNUMBER(E138),ISNUMBER(F138))),$J$2=""),15&gt;Reprogramaciones!$K$16),"",IF(ROUND(SUM($Q138:AE138),1)&gt;=99.5,100,MIN(100,ROUND(SUM($Q138:AE138),1))))</f>
        <v/>
      </c>
      <c r="CY138" s="1" t="str">
        <f aca="false">IF(OR(OR(NOT(AND(ISNUMBER(E138),ISNUMBER(F138))),$J$2=""),16&gt;Reprogramaciones!$K$16),"",IF(ROUND(SUM($Q138:AF138),1)&gt;=99.5,100,MIN(100,ROUND(SUM($Q138:AF138),1))))</f>
        <v/>
      </c>
      <c r="CZ138" s="1" t="str">
        <f aca="false">IF(D138&lt;&gt;"",D138,IF(B138&lt;&gt;"","Contractual",CZ137))</f>
        <v>Contractual</v>
      </c>
      <c r="DA138" s="1" t="str">
        <f aca="false">IF(OR(NOT(AND(ISNUMBER(E138),ISNUMBER(F138))),$J$2=""),"",IF(Reprogramaciones!$Q$15&lt;Reprogramaciones!$T$15,0,IF(Reprogramaciones!$S$15&gt;10,MIN(100,SUM($G138:$P138)),MIN(100,SUMPRODUCT((COLUMN($G138:$P138)-COLUMN($G138)+1&lt;Reprogramaciones!$S$15)*$G138:$P138)+N(INDEX($G138:$P138,1,Reprogramaciones!$S$15))*IF(Reprogramaciones!$Q$15&gt;=(Reprogramaciones!$T$15+7*(Reprogramaciones!$S$15-1))+6,1,IF(MAX(0,NETWORKDAYS.INTL(MAX(E138,(Reprogramaciones!$T$15+7*(Reprogramaciones!$S$15-1))),MIN(F138,(Reprogramaciones!$T$15+7*(Reprogramaciones!$S$15-1))+6),11))=0,0,MAX(0,NETWORKDAYS.INTL(MAX(E138,(Reprogramaciones!$T$15+7*(Reprogramaciones!$S$15-1))),MIN(F138,Reprogramaciones!$Q$15),11))/MAX(0,NETWORKDAYS.INTL(MAX(E138,(Reprogramaciones!$T$15+7*(Reprogramaciones!$S$15-1))),MIN(F138,(Reprogramaciones!$T$15+7*(Reprogramaciones!$S$15-1))+6),11))))))))</f>
        <v/>
      </c>
    </row>
    <row r="139" customFormat="false" ht="15" hidden="false" customHeight="false" outlineLevel="0" collapsed="false">
      <c r="A139" s="32"/>
      <c r="B139" s="33"/>
      <c r="C139" s="33"/>
      <c r="D139" s="34"/>
      <c r="E139" s="35"/>
      <c r="F139" s="35"/>
      <c r="G139" s="36" t="str">
        <f aca="false">IF(OR(NOT(AND(ISNUMBER(E139),ISNUMBER(F139))),$J$2=""),"",IF(Reprogramaciones!K$9&lt;E139,0,IF(NETWORKDAYS.INTL(E139,F139,11)=0,IF(Reprogramaciones!K$9&gt;=F139,100,0),ROUND(NETWORKDAYS.INTL(E139,MIN(F139,Reprogramaciones!K$9),11)/NETWORKDAYS.INTL(E139,F139,11)*100,1)))-0)</f>
        <v/>
      </c>
      <c r="H139" s="36" t="str">
        <f aca="false">IF(OR(NOT(AND(ISNUMBER(E139),ISNUMBER(F139))),$J$2=""),"",IF(Reprogramaciones!L$9&lt;E139,0,IF(NETWORKDAYS.INTL(E139,F139,11)=0,IF(Reprogramaciones!L$9&gt;=F139,100,0),ROUND(NETWORKDAYS.INTL(E139,MIN(F139,Reprogramaciones!L$9),11)/NETWORKDAYS.INTL(E139,F139,11)*100,1)))-IF(Reprogramaciones!K$9&lt;E139,0,IF(NETWORKDAYS.INTL(E139,F139,11)=0,IF(Reprogramaciones!K$9&gt;=F139,100,0),ROUND(NETWORKDAYS.INTL(E139,MIN(F139,Reprogramaciones!K$9),11)/NETWORKDAYS.INTL(E139,F139,11)*100,1))))</f>
        <v/>
      </c>
      <c r="I139" s="36" t="str">
        <f aca="false">IF(OR(NOT(AND(ISNUMBER(E139),ISNUMBER(F139))),$J$2=""),"",IF(Reprogramaciones!M$9&lt;E139,0,IF(NETWORKDAYS.INTL(E139,F139,11)=0,IF(Reprogramaciones!M$9&gt;=F139,100,0),ROUND(NETWORKDAYS.INTL(E139,MIN(F139,Reprogramaciones!M$9),11)/NETWORKDAYS.INTL(E139,F139,11)*100,1)))-IF(Reprogramaciones!L$9&lt;E139,0,IF(NETWORKDAYS.INTL(E139,F139,11)=0,IF(Reprogramaciones!L$9&gt;=F139,100,0),ROUND(NETWORKDAYS.INTL(E139,MIN(F139,Reprogramaciones!L$9),11)/NETWORKDAYS.INTL(E139,F139,11)*100,1))))</f>
        <v/>
      </c>
      <c r="J139" s="36" t="str">
        <f aca="false">IF(OR(NOT(AND(ISNUMBER(E139),ISNUMBER(F139))),$J$2=""),"",IF(Reprogramaciones!N$9&lt;E139,0,IF(NETWORKDAYS.INTL(E139,F139,11)=0,IF(Reprogramaciones!N$9&gt;=F139,100,0),ROUND(NETWORKDAYS.INTL(E139,MIN(F139,Reprogramaciones!N$9),11)/NETWORKDAYS.INTL(E139,F139,11)*100,1)))-IF(Reprogramaciones!M$9&lt;E139,0,IF(NETWORKDAYS.INTL(E139,F139,11)=0,IF(Reprogramaciones!M$9&gt;=F139,100,0),ROUND(NETWORKDAYS.INTL(E139,MIN(F139,Reprogramaciones!M$9),11)/NETWORKDAYS.INTL(E139,F139,11)*100,1))))</f>
        <v/>
      </c>
      <c r="K139" s="36" t="str">
        <f aca="false">IF(OR(NOT(AND(ISNUMBER(E139),ISNUMBER(F139))),$J$2=""),"",IF(Reprogramaciones!O$9&lt;E139,0,IF(NETWORKDAYS.INTL(E139,F139,11)=0,IF(Reprogramaciones!O$9&gt;=F139,100,0),ROUND(NETWORKDAYS.INTL(E139,MIN(F139,Reprogramaciones!O$9),11)/NETWORKDAYS.INTL(E139,F139,11)*100,1)))-IF(Reprogramaciones!N$9&lt;E139,0,IF(NETWORKDAYS.INTL(E139,F139,11)=0,IF(Reprogramaciones!N$9&gt;=F139,100,0),ROUND(NETWORKDAYS.INTL(E139,MIN(F139,Reprogramaciones!N$9),11)/NETWORKDAYS.INTL(E139,F139,11)*100,1))))</f>
        <v/>
      </c>
      <c r="L139" s="36" t="str">
        <f aca="false">IF(OR(NOT(AND(ISNUMBER(E139),ISNUMBER(F139))),$J$2=""),"",IF(Reprogramaciones!P$9&lt;E139,0,IF(NETWORKDAYS.INTL(E139,F139,11)=0,IF(Reprogramaciones!P$9&gt;=F139,100,0),ROUND(NETWORKDAYS.INTL(E139,MIN(F139,Reprogramaciones!P$9),11)/NETWORKDAYS.INTL(E139,F139,11)*100,1)))-IF(Reprogramaciones!O$9&lt;E139,0,IF(NETWORKDAYS.INTL(E139,F139,11)=0,IF(Reprogramaciones!O$9&gt;=F139,100,0),ROUND(NETWORKDAYS.INTL(E139,MIN(F139,Reprogramaciones!O$9),11)/NETWORKDAYS.INTL(E139,F139,11)*100,1))))</f>
        <v/>
      </c>
      <c r="M139" s="36" t="str">
        <f aca="false">IF(OR(NOT(AND(ISNUMBER(E139),ISNUMBER(F139))),$J$2=""),"",IF(Reprogramaciones!Q$9&lt;E139,0,IF(NETWORKDAYS.INTL(E139,F139,11)=0,IF(Reprogramaciones!Q$9&gt;=F139,100,0),ROUND(NETWORKDAYS.INTL(E139,MIN(F139,Reprogramaciones!Q$9),11)/NETWORKDAYS.INTL(E139,F139,11)*100,1)))-IF(Reprogramaciones!P$9&lt;E139,0,IF(NETWORKDAYS.INTL(E139,F139,11)=0,IF(Reprogramaciones!P$9&gt;=F139,100,0),ROUND(NETWORKDAYS.INTL(E139,MIN(F139,Reprogramaciones!P$9),11)/NETWORKDAYS.INTL(E139,F139,11)*100,1))))</f>
        <v/>
      </c>
      <c r="N139" s="36" t="str">
        <f aca="false">IF(OR(NOT(AND(ISNUMBER(E139),ISNUMBER(F139))),$J$2=""),"",IF(Reprogramaciones!R$9&lt;E139,0,IF(NETWORKDAYS.INTL(E139,F139,11)=0,IF(Reprogramaciones!R$9&gt;=F139,100,0),ROUND(NETWORKDAYS.INTL(E139,MIN(F139,Reprogramaciones!R$9),11)/NETWORKDAYS.INTL(E139,F139,11)*100,1)))-IF(Reprogramaciones!Q$9&lt;E139,0,IF(NETWORKDAYS.INTL(E139,F139,11)=0,IF(Reprogramaciones!Q$9&gt;=F139,100,0),ROUND(NETWORKDAYS.INTL(E139,MIN(F139,Reprogramaciones!Q$9),11)/NETWORKDAYS.INTL(E139,F139,11)*100,1))))</f>
        <v/>
      </c>
      <c r="O139" s="36" t="str">
        <f aca="false">IF(OR(NOT(AND(ISNUMBER(E139),ISNUMBER(F139))),$J$2=""),"",IF(Reprogramaciones!S$9&lt;E139,0,IF(NETWORKDAYS.INTL(E139,F139,11)=0,IF(Reprogramaciones!S$9&gt;=F139,100,0),ROUND(NETWORKDAYS.INTL(E139,MIN(F139,Reprogramaciones!S$9),11)/NETWORKDAYS.INTL(E139,F139,11)*100,1)))-IF(Reprogramaciones!R$9&lt;E139,0,IF(NETWORKDAYS.INTL(E139,F139,11)=0,IF(Reprogramaciones!R$9&gt;=F139,100,0),ROUND(NETWORKDAYS.INTL(E139,MIN(F139,Reprogramaciones!R$9),11)/NETWORKDAYS.INTL(E139,F139,11)*100,1))))</f>
        <v/>
      </c>
      <c r="P139" s="36" t="str">
        <f aca="false">IF(OR(NOT(AND(ISNUMBER(E139),ISNUMBER(F139))),$J$2=""),"",IF(Reprogramaciones!T$9&lt;E139,0,IF(NETWORKDAYS.INTL(E139,F139,11)=0,IF(Reprogramaciones!T$9&gt;=F139,100,0),ROUND(NETWORKDAYS.INTL(E139,MIN(F139,Reprogramaciones!T$9),11)/NETWORKDAYS.INTL(E139,F139,11)*100,1)))-IF(Reprogramaciones!S$9&lt;E139,0,IF(NETWORKDAYS.INTL(E139,F139,11)=0,IF(Reprogramaciones!S$9&gt;=F139,100,0),ROUND(NETWORKDAYS.INTL(E139,MIN(F139,Reprogramaciones!S$9),11)/NETWORKDAYS.INTL(E139,F139,11)*100,1))))</f>
        <v/>
      </c>
      <c r="Q139" s="37"/>
      <c r="R139" s="37"/>
      <c r="S139" s="37"/>
      <c r="T139" s="37"/>
      <c r="U139" s="37"/>
      <c r="V139" s="37"/>
      <c r="W139" s="37"/>
      <c r="X139" s="37"/>
      <c r="Y139" s="37"/>
      <c r="Z139" s="37"/>
      <c r="AA139" s="37"/>
      <c r="AB139" s="37"/>
      <c r="AC139" s="37"/>
      <c r="AD139" s="37"/>
      <c r="AE139" s="37"/>
      <c r="AF139" s="37"/>
      <c r="AG139" s="38" t="str">
        <f aca="false">IF(AND(ISNUMBER(E139),ISNUMBER(F139)),NETWORKDAYS.INTL(E139,F139,11),"")</f>
        <v/>
      </c>
      <c r="AH139" s="38" t="str">
        <f aca="false">IF(OR(NOT(AND(ISNUMBER(E139),ISNUMBER(F139))),$J$2=""),"",IF(Reprogramaciones!$P$15&lt;Reprogramaciones!$T$15,0,IF(Reprogramaciones!$R$15&gt;10,MIN(100,SUM($G139:$P139)),MIN(100,SUMPRODUCT((COLUMN($G139:$P139)-COLUMN($G139)+1&lt;Reprogramaciones!$R$15)*$G139:$P139)+N(INDEX($G139:$P139,1,Reprogramaciones!$R$15))*IF(Reprogramaciones!$P$15&gt;=(Reprogramaciones!$T$15+7*(Reprogramaciones!$R$15-1))+6,1,IF(MAX(0,NETWORKDAYS.INTL(MAX(E139,(Reprogramaciones!$T$15+7*(Reprogramaciones!$R$15-1))),MIN(F139,(Reprogramaciones!$T$15+7*(Reprogramaciones!$R$15-1))+6),11))=0,0,MAX(0,NETWORKDAYS.INTL(MAX(E139,(Reprogramaciones!$T$15+7*(Reprogramaciones!$R$15-1))),MIN(F139,Reprogramaciones!$P$15),11))/MAX(0,NETWORKDAYS.INTL(MAX(E139,(Reprogramaciones!$T$15+7*(Reprogramaciones!$R$15-1))),MIN(F139,(Reprogramaciones!$T$15+7*(Reprogramaciones!$R$15-1))+6),11))))))))</f>
        <v/>
      </c>
      <c r="AI139" s="38" t="str">
        <f aca="false">IF(COUNT($Q139:$AF139)=0,"",IF(ROUND(SUM($Q139:$AF139),1)&gt;=99.5,100,MIN(100,ROUND(SUM($Q139:$AF139),1))))</f>
        <v/>
      </c>
      <c r="AJ139" s="38" t="str">
        <f aca="false">IF(OR(AH139="",AI139=""),"",AI139-AH139)</f>
        <v/>
      </c>
      <c r="AK139" s="39" t="str">
        <f aca="true">IF(AH139="","",IF(OR(Ficha!$C$10="Suspendida",Ficha!$C$10="Cancelada"),Ficha!$C$10,IF(AND(AI139&lt;&gt;"",N(AI139)&gt;=100),"Completada",IF(AND(E139&gt;TODAY(),N(AI139)=0),"Por iniciar",IF(N(AI139)+0.5&lt;AH139,"Retrasada",IF(N(AI139)+0.5&lt;DA139,IF(Reprogramaciones!$K$15&gt;0,"Al día · Sem "&amp;Reprogramaciones!$K$15&amp;" en curso","Al día · en curso"),"A tiempo"))))))</f>
        <v/>
      </c>
      <c r="AL139" s="39" t="str">
        <f aca="true">IF(AND(A139="",AND(B139="",C139="",E139="",F139="",COUNT(Q139:AF139)=0)),"",IF(AND(B139="",C139="",E139="",F139="",COUNT(Q139:AF139)=0),"Falta la partida o subpartida",IF(AND(A139&lt;&gt;"",COUNTIF($A$6:$A$305,A139)&gt;1),"Ítem repetido",IF(AND(C139="",E139="",F139="",COUNT(Q139:AF139)=0),"Título de partida",IF(OR(E139="",F139=""),"Faltan fechas",IF(OR(ISTEXT(E139),ISTEXT(F139)),"Fecha escrita como texto: usa dd/mm/aaaa",IF(F139&lt;E139,"Fin antes del inicio",IF(IF($J$2="",FALSE(),OR(E139&lt;$J$2,F139&gt;Reprogramaciones!$T$15+69)),"Fuera de las 10 semanas",IF(ABS(SUM(G139:P139)-100)&gt;0.5,"La meta no suma 100%",IF(ROUND(SUM(Q139:AF139),1)&gt;100.5,"El avance pasa de 100%",IF(MIN(Q139:AF139)&lt;0,"Avance negativo",IF(COUNTA(Q139:AF139)&gt;COUNT(Q139:AF139),"Avance escrito como texto",IF(SUMPRODUCT((Q139:AF139&gt;0)*(Q139:AF139&lt;1))&gt;0,"Avance menor a 1: escribe 50, no 50%",IF(SUMPRODUCT(ISNUMBER(Q139:AF139)*(Reprogramaciones!$K$8:$Z$8&gt;TODAY()))&gt;0,"Avance en semana que aún no llega",IF(AND(N(Reprogramaciones!$E$21)&gt;0,F139&gt;Reprogramaciones!$E$21),"Pasa el fin de la obra: registra una reprogramación",IF(AND(N(Reprogramaciones!$E$21)&gt;0,SUMPRODUCT(ISNUMBER(Q139:AF139)*(Reprogramaciones!$K$8:$Z$8&gt;Reprogramaciones!$E$21))&gt;0),"Avance después del fin de la obra: registra una reprogramación por atraso","OK"))))))))))))))))</f>
        <v/>
      </c>
      <c r="AM139" s="40" t="str">
        <f aca="false">IF(OR(OR(NOT(AND(ISNUMBER(E139),ISNUMBER(F139))),$J$2=""),1&gt;MAX(1,Reprogramaciones!$U$15)),"",IF(Reprogramaciones!K$12&gt;=7,"",IF(OR(BT139-N(0)&gt;0.05,N(Q139)&gt;0),ROUNDDOWN(ROUND(BT139,6),0)&amp;"%"&amp;IF(CJ139="",""," / "&amp;CJ139&amp;"%"),IF(AND(N(0)&gt;=99.95,CJ139&lt;&gt;"",N(CJ139)&lt;100),"Pend. "&amp;CJ139&amp;"%",""))))</f>
        <v/>
      </c>
      <c r="AN139" s="40" t="str">
        <f aca="false">IF(OR(OR(NOT(AND(ISNUMBER(E139),ISNUMBER(F139))),$J$2=""),2&gt;MAX(1,Reprogramaciones!$U$15)),"",IF(Reprogramaciones!L$12&gt;=7,"",IF(OR(BU139-N(BT139)&gt;0.05,N(R139)&gt;0),ROUNDDOWN(ROUND(BU139,6),0)&amp;"%"&amp;IF(CK139="",""," / "&amp;CK139&amp;"%"),IF(AND(N(BT139)&gt;=99.95,CK139&lt;&gt;"",N(CK139)&lt;100),"Pend. "&amp;CK139&amp;"%",""))))</f>
        <v/>
      </c>
      <c r="AO139" s="40" t="str">
        <f aca="false">IF(OR(OR(NOT(AND(ISNUMBER(E139),ISNUMBER(F139))),$J$2=""),3&gt;MAX(1,Reprogramaciones!$U$15)),"",IF(Reprogramaciones!M$12&gt;=7,"",IF(OR(BV139-N(BU139)&gt;0.05,N(S139)&gt;0),ROUNDDOWN(ROUND(BV139,6),0)&amp;"%"&amp;IF(CL139="",""," / "&amp;CL139&amp;"%"),IF(AND(N(BU139)&gt;=99.95,CL139&lt;&gt;"",N(CL139)&lt;100),"Pend. "&amp;CL139&amp;"%",""))))</f>
        <v/>
      </c>
      <c r="AP139" s="40" t="str">
        <f aca="false">IF(OR(OR(NOT(AND(ISNUMBER(E139),ISNUMBER(F139))),$J$2=""),4&gt;MAX(1,Reprogramaciones!$U$15)),"",IF(Reprogramaciones!N$12&gt;=7,"",IF(OR(BW139-N(BV139)&gt;0.05,N(T139)&gt;0),ROUNDDOWN(ROUND(BW139,6),0)&amp;"%"&amp;IF(CM139="",""," / "&amp;CM139&amp;"%"),IF(AND(N(BV139)&gt;=99.95,CM139&lt;&gt;"",N(CM139)&lt;100),"Pend. "&amp;CM139&amp;"%",""))))</f>
        <v/>
      </c>
      <c r="AQ139" s="40" t="str">
        <f aca="false">IF(OR(OR(NOT(AND(ISNUMBER(E139),ISNUMBER(F139))),$J$2=""),5&gt;MAX(1,Reprogramaciones!$U$15)),"",IF(Reprogramaciones!O$12&gt;=7,"",IF(OR(BX139-N(BW139)&gt;0.05,N(U139)&gt;0),ROUNDDOWN(ROUND(BX139,6),0)&amp;"%"&amp;IF(CN139="",""," / "&amp;CN139&amp;"%"),IF(AND(N(BW139)&gt;=99.95,CN139&lt;&gt;"",N(CN139)&lt;100),"Pend. "&amp;CN139&amp;"%",""))))</f>
        <v/>
      </c>
      <c r="AR139" s="40" t="str">
        <f aca="false">IF(OR(OR(NOT(AND(ISNUMBER(E139),ISNUMBER(F139))),$J$2=""),6&gt;MAX(1,Reprogramaciones!$U$15)),"",IF(Reprogramaciones!P$12&gt;=7,"",IF(OR(BY139-N(BX139)&gt;0.05,N(V139)&gt;0),ROUNDDOWN(ROUND(BY139,6),0)&amp;"%"&amp;IF(CO139="",""," / "&amp;CO139&amp;"%"),IF(AND(N(BX139)&gt;=99.95,CO139&lt;&gt;"",N(CO139)&lt;100),"Pend. "&amp;CO139&amp;"%",""))))</f>
        <v/>
      </c>
      <c r="AS139" s="40" t="str">
        <f aca="false">IF(OR(OR(NOT(AND(ISNUMBER(E139),ISNUMBER(F139))),$J$2=""),7&gt;MAX(1,Reprogramaciones!$U$15)),"",IF(Reprogramaciones!Q$12&gt;=7,"",IF(OR(BZ139-N(BY139)&gt;0.05,N(W139)&gt;0),ROUNDDOWN(ROUND(BZ139,6),0)&amp;"%"&amp;IF(CP139="",""," / "&amp;CP139&amp;"%"),IF(AND(N(BY139)&gt;=99.95,CP139&lt;&gt;"",N(CP139)&lt;100),"Pend. "&amp;CP139&amp;"%",""))))</f>
        <v/>
      </c>
      <c r="AT139" s="40" t="str">
        <f aca="false">IF(OR(OR(NOT(AND(ISNUMBER(E139),ISNUMBER(F139))),$J$2=""),8&gt;MAX(1,Reprogramaciones!$U$15)),"",IF(Reprogramaciones!R$12&gt;=7,"",IF(OR(CA139-N(BZ139)&gt;0.05,N(X139)&gt;0),ROUNDDOWN(ROUND(CA139,6),0)&amp;"%"&amp;IF(CQ139="",""," / "&amp;CQ139&amp;"%"),IF(AND(N(BZ139)&gt;=99.95,CQ139&lt;&gt;"",N(CQ139)&lt;100),"Pend. "&amp;CQ139&amp;"%",""))))</f>
        <v/>
      </c>
      <c r="AU139" s="40" t="str">
        <f aca="false">IF(OR(OR(NOT(AND(ISNUMBER(E139),ISNUMBER(F139))),$J$2=""),9&gt;MAX(1,Reprogramaciones!$U$15)),"",IF(Reprogramaciones!S$12&gt;=7,"",IF(OR(CB139-N(CA139)&gt;0.05,N(Y139)&gt;0),ROUNDDOWN(ROUND(CB139,6),0)&amp;"%"&amp;IF(CR139="",""," / "&amp;CR139&amp;"%"),IF(AND(N(CA139)&gt;=99.95,CR139&lt;&gt;"",N(CR139)&lt;100),"Pend. "&amp;CR139&amp;"%",""))))</f>
        <v/>
      </c>
      <c r="AV139" s="40" t="str">
        <f aca="false">IF(OR(OR(NOT(AND(ISNUMBER(E139),ISNUMBER(F139))),$J$2=""),10&gt;MAX(1,Reprogramaciones!$U$15)),"",IF(Reprogramaciones!T$12&gt;=7,"",IF(OR(CC139-N(CB139)&gt;0.05,N(Z139)&gt;0),ROUNDDOWN(ROUND(CC139,6),0)&amp;"%"&amp;IF(CS139="",""," / "&amp;CS139&amp;"%"),IF(AND(N(CB139)&gt;=99.95,CS139&lt;&gt;"",N(CS139)&lt;100),"Pend. "&amp;CS139&amp;"%",""))))</f>
        <v/>
      </c>
      <c r="AW139" s="40" t="str">
        <f aca="false">IF(OR(OR(NOT(AND(ISNUMBER(E139),ISNUMBER(F139))),$J$2=""),11&gt;MAX(1,Reprogramaciones!$U$15)),"",IF(Reprogramaciones!U$12&gt;=7,"",IF(OR(CD139-N(CC139)&gt;0.05,N(AA139)&gt;0),ROUNDDOWN(ROUND(CD139,6),0)&amp;"%"&amp;IF(CT139="",""," / "&amp;CT139&amp;"%"),IF(AND(N(CC139)&gt;=99.95,CT139&lt;&gt;"",N(CT139)&lt;100),"Pend. "&amp;CT139&amp;"%",""))))</f>
        <v/>
      </c>
      <c r="AX139" s="40" t="str">
        <f aca="false">IF(OR(OR(NOT(AND(ISNUMBER(E139),ISNUMBER(F139))),$J$2=""),12&gt;MAX(1,Reprogramaciones!$U$15)),"",IF(Reprogramaciones!V$12&gt;=7,"",IF(OR(CE139-N(CD139)&gt;0.05,N(AB139)&gt;0),ROUNDDOWN(ROUND(CE139,6),0)&amp;"%"&amp;IF(CU139="",""," / "&amp;CU139&amp;"%"),IF(AND(N(CD139)&gt;=99.95,CU139&lt;&gt;"",N(CU139)&lt;100),"Pend. "&amp;CU139&amp;"%",""))))</f>
        <v/>
      </c>
      <c r="AY139" s="40" t="str">
        <f aca="false">IF(OR(OR(NOT(AND(ISNUMBER(E139),ISNUMBER(F139))),$J$2=""),13&gt;MAX(1,Reprogramaciones!$U$15)),"",IF(Reprogramaciones!W$12&gt;=7,"",IF(OR(CF139-N(CE139)&gt;0.05,N(AC139)&gt;0),ROUNDDOWN(ROUND(CF139,6),0)&amp;"%"&amp;IF(CV139="",""," / "&amp;CV139&amp;"%"),IF(AND(N(CE139)&gt;=99.95,CV139&lt;&gt;"",N(CV139)&lt;100),"Pend. "&amp;CV139&amp;"%",""))))</f>
        <v/>
      </c>
      <c r="AZ139" s="40" t="str">
        <f aca="false">IF(OR(OR(NOT(AND(ISNUMBER(E139),ISNUMBER(F139))),$J$2=""),14&gt;MAX(1,Reprogramaciones!$U$15)),"",IF(Reprogramaciones!X$12&gt;=7,"",IF(OR(CG139-N(CF139)&gt;0.05,N(AD139)&gt;0),ROUNDDOWN(ROUND(CG139,6),0)&amp;"%"&amp;IF(CW139="",""," / "&amp;CW139&amp;"%"),IF(AND(N(CF139)&gt;=99.95,CW139&lt;&gt;"",N(CW139)&lt;100),"Pend. "&amp;CW139&amp;"%",""))))</f>
        <v/>
      </c>
      <c r="BA139" s="40" t="str">
        <f aca="false">IF(OR(OR(NOT(AND(ISNUMBER(E139),ISNUMBER(F139))),$J$2=""),15&gt;MAX(1,Reprogramaciones!$U$15)),"",IF(Reprogramaciones!Y$12&gt;=7,"",IF(OR(CH139-N(CG139)&gt;0.05,N(AE139)&gt;0),ROUNDDOWN(ROUND(CH139,6),0)&amp;"%"&amp;IF(CX139="",""," / "&amp;CX139&amp;"%"),IF(AND(N(CG139)&gt;=99.95,CX139&lt;&gt;"",N(CX139)&lt;100),"Pend. "&amp;CX139&amp;"%",""))))</f>
        <v/>
      </c>
      <c r="BB139" s="40" t="str">
        <f aca="false">IF(OR(OR(NOT(AND(ISNUMBER(E139),ISNUMBER(F139))),$J$2=""),16&gt;MAX(1,Reprogramaciones!$U$15)),"",IF(Reprogramaciones!Z$12&gt;=7,"",IF(OR(CI139-N(CH139)&gt;0.05,N(AF139)&gt;0),ROUNDDOWN(ROUND(CI139,6),0)&amp;"%"&amp;IF(CY139="",""," / "&amp;CY139&amp;"%"),IF(AND(N(CH139)&gt;=99.95,CY139&lt;&gt;"",N(CY139)&lt;100),"Pend. "&amp;CY139&amp;"%",""))))</f>
        <v/>
      </c>
      <c r="BC139" s="31" t="n">
        <f aca="false">IF(AND(ISNUMBER(E139),ISNUMBER(F139)),MAX(1,NETWORKDAYS.INTL(E139,F139,11)),0)</f>
        <v>0</v>
      </c>
      <c r="BD139" s="1" t="str">
        <f aca="false">IF(OR(NOT(AND(ISNUMBER(E139),ISNUMBER(F139))),$J$2=""),"",MIN(100,ROUND(SUM($G139:G139),1)))</f>
        <v/>
      </c>
      <c r="BE139" s="1" t="str">
        <f aca="false">IF(OR(NOT(AND(ISNUMBER(E139),ISNUMBER(F139))),$J$2=""),"",MIN(100,ROUND(SUM($G139:H139),1)))</f>
        <v/>
      </c>
      <c r="BF139" s="1" t="str">
        <f aca="false">IF(OR(NOT(AND(ISNUMBER(E139),ISNUMBER(F139))),$J$2=""),"",MIN(100,ROUND(SUM($G139:I139),1)))</f>
        <v/>
      </c>
      <c r="BG139" s="1" t="str">
        <f aca="false">IF(OR(NOT(AND(ISNUMBER(E139),ISNUMBER(F139))),$J$2=""),"",MIN(100,ROUND(SUM($G139:J139),1)))</f>
        <v/>
      </c>
      <c r="BH139" s="1" t="str">
        <f aca="false">IF(OR(NOT(AND(ISNUMBER(E139),ISNUMBER(F139))),$J$2=""),"",MIN(100,ROUND(SUM($G139:K139),1)))</f>
        <v/>
      </c>
      <c r="BI139" s="1" t="str">
        <f aca="false">IF(OR(NOT(AND(ISNUMBER(E139),ISNUMBER(F139))),$J$2=""),"",MIN(100,ROUND(SUM($G139:L139),1)))</f>
        <v/>
      </c>
      <c r="BJ139" s="1" t="str">
        <f aca="false">IF(OR(NOT(AND(ISNUMBER(E139),ISNUMBER(F139))),$J$2=""),"",MIN(100,ROUND(SUM($G139:M139),1)))</f>
        <v/>
      </c>
      <c r="BK139" s="1" t="str">
        <f aca="false">IF(OR(NOT(AND(ISNUMBER(E139),ISNUMBER(F139))),$J$2=""),"",MIN(100,ROUND(SUM($G139:N139),1)))</f>
        <v/>
      </c>
      <c r="BL139" s="1" t="str">
        <f aca="false">IF(OR(NOT(AND(ISNUMBER(E139),ISNUMBER(F139))),$J$2=""),"",MIN(100,ROUND(SUM($G139:O139),1)))</f>
        <v/>
      </c>
      <c r="BM139" s="1" t="str">
        <f aca="false">IF(OR(NOT(AND(ISNUMBER(E139),ISNUMBER(F139))),$J$2=""),"",MIN(100,ROUND(SUM($G139:P139),1)))</f>
        <v/>
      </c>
      <c r="BN139" s="1" t="str">
        <f aca="false">IF(OR(NOT(AND(ISNUMBER(E139),ISNUMBER(F139))),$J$2=""),"",MIN(100,ROUND(SUM($G139:P139),1)))</f>
        <v/>
      </c>
      <c r="BO139" s="1" t="str">
        <f aca="false">IF(OR(NOT(AND(ISNUMBER(E139),ISNUMBER(F139))),$J$2=""),"",MIN(100,ROUND(SUM($G139:P139),1)))</f>
        <v/>
      </c>
      <c r="BP139" s="1" t="str">
        <f aca="false">IF(OR(NOT(AND(ISNUMBER(E139),ISNUMBER(F139))),$J$2=""),"",MIN(100,ROUND(SUM($G139:P139),1)))</f>
        <v/>
      </c>
      <c r="BQ139" s="1" t="str">
        <f aca="false">IF(OR(NOT(AND(ISNUMBER(E139),ISNUMBER(F139))),$J$2=""),"",MIN(100,ROUND(SUM($G139:P139),1)))</f>
        <v/>
      </c>
      <c r="BR139" s="1" t="str">
        <f aca="false">IF(OR(NOT(AND(ISNUMBER(E139),ISNUMBER(F139))),$J$2=""),"",MIN(100,ROUND(SUM($G139:P139),1)))</f>
        <v/>
      </c>
      <c r="BS139" s="1" t="str">
        <f aca="false">IF(OR(NOT(AND(ISNUMBER(E139),ISNUMBER(F139))),$J$2=""),"",MIN(100,ROUND(SUM($G139:P139),1)))</f>
        <v/>
      </c>
      <c r="BT139" s="1" t="str">
        <f aca="false">IF(OR(NOT(AND(ISNUMBER(E139),ISNUMBER(F139))),$J$2=""),"",IF(Reprogramaciones!K$13&lt;Reprogramaciones!$T$15,0,IF(Reprogramaciones!K$14&gt;10,MIN(100,SUM($G139:$P139)),MIN(100,SUMPRODUCT((COLUMN($G139:$P139)-COLUMN($G139)+1&lt;Reprogramaciones!K$14)*$G139:$P139)+N(INDEX($G139:$P139,1,Reprogramaciones!K$14))*IF(Reprogramaciones!K$13&gt;=(Reprogramaciones!$T$15+7*(Reprogramaciones!K$14-1))+6,1,IF(MAX(0,NETWORKDAYS.INTL(MAX(E139,(Reprogramaciones!$T$15+7*(Reprogramaciones!K$14-1))),MIN(F139,(Reprogramaciones!$T$15+7*(Reprogramaciones!K$14-1))+6),11))=0,0,MAX(0,NETWORKDAYS.INTL(MAX(E139,(Reprogramaciones!$T$15+7*(Reprogramaciones!K$14-1))),MIN(F139,Reprogramaciones!K$13),11))/MAX(0,NETWORKDAYS.INTL(MAX(E139,(Reprogramaciones!$T$15+7*(Reprogramaciones!K$14-1))),MIN(F139,(Reprogramaciones!$T$15+7*(Reprogramaciones!K$14-1))+6),11))))))))</f>
        <v/>
      </c>
      <c r="BU139" s="1" t="str">
        <f aca="false">IF(OR(NOT(AND(ISNUMBER(E139),ISNUMBER(F139))),$J$2=""),"",IF(Reprogramaciones!L$13&lt;Reprogramaciones!$T$15,0,IF(Reprogramaciones!L$14&gt;10,MIN(100,SUM($G139:$P139)),MIN(100,SUMPRODUCT((COLUMN($G139:$P139)-COLUMN($G139)+1&lt;Reprogramaciones!L$14)*$G139:$P139)+N(INDEX($G139:$P139,1,Reprogramaciones!L$14))*IF(Reprogramaciones!L$13&gt;=(Reprogramaciones!$T$15+7*(Reprogramaciones!L$14-1))+6,1,IF(MAX(0,NETWORKDAYS.INTL(MAX(E139,(Reprogramaciones!$T$15+7*(Reprogramaciones!L$14-1))),MIN(F139,(Reprogramaciones!$T$15+7*(Reprogramaciones!L$14-1))+6),11))=0,0,MAX(0,NETWORKDAYS.INTL(MAX(E139,(Reprogramaciones!$T$15+7*(Reprogramaciones!L$14-1))),MIN(F139,Reprogramaciones!L$13),11))/MAX(0,NETWORKDAYS.INTL(MAX(E139,(Reprogramaciones!$T$15+7*(Reprogramaciones!L$14-1))),MIN(F139,(Reprogramaciones!$T$15+7*(Reprogramaciones!L$14-1))+6),11))))))))</f>
        <v/>
      </c>
      <c r="BV139" s="1" t="str">
        <f aca="false">IF(OR(NOT(AND(ISNUMBER(E139),ISNUMBER(F139))),$J$2=""),"",IF(Reprogramaciones!M$13&lt;Reprogramaciones!$T$15,0,IF(Reprogramaciones!M$14&gt;10,MIN(100,SUM($G139:$P139)),MIN(100,SUMPRODUCT((COLUMN($G139:$P139)-COLUMN($G139)+1&lt;Reprogramaciones!M$14)*$G139:$P139)+N(INDEX($G139:$P139,1,Reprogramaciones!M$14))*IF(Reprogramaciones!M$13&gt;=(Reprogramaciones!$T$15+7*(Reprogramaciones!M$14-1))+6,1,IF(MAX(0,NETWORKDAYS.INTL(MAX(E139,(Reprogramaciones!$T$15+7*(Reprogramaciones!M$14-1))),MIN(F139,(Reprogramaciones!$T$15+7*(Reprogramaciones!M$14-1))+6),11))=0,0,MAX(0,NETWORKDAYS.INTL(MAX(E139,(Reprogramaciones!$T$15+7*(Reprogramaciones!M$14-1))),MIN(F139,Reprogramaciones!M$13),11))/MAX(0,NETWORKDAYS.INTL(MAX(E139,(Reprogramaciones!$T$15+7*(Reprogramaciones!M$14-1))),MIN(F139,(Reprogramaciones!$T$15+7*(Reprogramaciones!M$14-1))+6),11))))))))</f>
        <v/>
      </c>
      <c r="BW139" s="1" t="str">
        <f aca="false">IF(OR(NOT(AND(ISNUMBER(E139),ISNUMBER(F139))),$J$2=""),"",IF(Reprogramaciones!N$13&lt;Reprogramaciones!$T$15,0,IF(Reprogramaciones!N$14&gt;10,MIN(100,SUM($G139:$P139)),MIN(100,SUMPRODUCT((COLUMN($G139:$P139)-COLUMN($G139)+1&lt;Reprogramaciones!N$14)*$G139:$P139)+N(INDEX($G139:$P139,1,Reprogramaciones!N$14))*IF(Reprogramaciones!N$13&gt;=(Reprogramaciones!$T$15+7*(Reprogramaciones!N$14-1))+6,1,IF(MAX(0,NETWORKDAYS.INTL(MAX(E139,(Reprogramaciones!$T$15+7*(Reprogramaciones!N$14-1))),MIN(F139,(Reprogramaciones!$T$15+7*(Reprogramaciones!N$14-1))+6),11))=0,0,MAX(0,NETWORKDAYS.INTL(MAX(E139,(Reprogramaciones!$T$15+7*(Reprogramaciones!N$14-1))),MIN(F139,Reprogramaciones!N$13),11))/MAX(0,NETWORKDAYS.INTL(MAX(E139,(Reprogramaciones!$T$15+7*(Reprogramaciones!N$14-1))),MIN(F139,(Reprogramaciones!$T$15+7*(Reprogramaciones!N$14-1))+6),11))))))))</f>
        <v/>
      </c>
      <c r="BX139" s="1" t="str">
        <f aca="false">IF(OR(NOT(AND(ISNUMBER(E139),ISNUMBER(F139))),$J$2=""),"",IF(Reprogramaciones!O$13&lt;Reprogramaciones!$T$15,0,IF(Reprogramaciones!O$14&gt;10,MIN(100,SUM($G139:$P139)),MIN(100,SUMPRODUCT((COLUMN($G139:$P139)-COLUMN($G139)+1&lt;Reprogramaciones!O$14)*$G139:$P139)+N(INDEX($G139:$P139,1,Reprogramaciones!O$14))*IF(Reprogramaciones!O$13&gt;=(Reprogramaciones!$T$15+7*(Reprogramaciones!O$14-1))+6,1,IF(MAX(0,NETWORKDAYS.INTL(MAX(E139,(Reprogramaciones!$T$15+7*(Reprogramaciones!O$14-1))),MIN(F139,(Reprogramaciones!$T$15+7*(Reprogramaciones!O$14-1))+6),11))=0,0,MAX(0,NETWORKDAYS.INTL(MAX(E139,(Reprogramaciones!$T$15+7*(Reprogramaciones!O$14-1))),MIN(F139,Reprogramaciones!O$13),11))/MAX(0,NETWORKDAYS.INTL(MAX(E139,(Reprogramaciones!$T$15+7*(Reprogramaciones!O$14-1))),MIN(F139,(Reprogramaciones!$T$15+7*(Reprogramaciones!O$14-1))+6),11))))))))</f>
        <v/>
      </c>
      <c r="BY139" s="1" t="str">
        <f aca="false">IF(OR(NOT(AND(ISNUMBER(E139),ISNUMBER(F139))),$J$2=""),"",IF(Reprogramaciones!P$13&lt;Reprogramaciones!$T$15,0,IF(Reprogramaciones!P$14&gt;10,MIN(100,SUM($G139:$P139)),MIN(100,SUMPRODUCT((COLUMN($G139:$P139)-COLUMN($G139)+1&lt;Reprogramaciones!P$14)*$G139:$P139)+N(INDEX($G139:$P139,1,Reprogramaciones!P$14))*IF(Reprogramaciones!P$13&gt;=(Reprogramaciones!$T$15+7*(Reprogramaciones!P$14-1))+6,1,IF(MAX(0,NETWORKDAYS.INTL(MAX(E139,(Reprogramaciones!$T$15+7*(Reprogramaciones!P$14-1))),MIN(F139,(Reprogramaciones!$T$15+7*(Reprogramaciones!P$14-1))+6),11))=0,0,MAX(0,NETWORKDAYS.INTL(MAX(E139,(Reprogramaciones!$T$15+7*(Reprogramaciones!P$14-1))),MIN(F139,Reprogramaciones!P$13),11))/MAX(0,NETWORKDAYS.INTL(MAX(E139,(Reprogramaciones!$T$15+7*(Reprogramaciones!P$14-1))),MIN(F139,(Reprogramaciones!$T$15+7*(Reprogramaciones!P$14-1))+6),11))))))))</f>
        <v/>
      </c>
      <c r="BZ139" s="1" t="str">
        <f aca="false">IF(OR(NOT(AND(ISNUMBER(E139),ISNUMBER(F139))),$J$2=""),"",IF(Reprogramaciones!Q$13&lt;Reprogramaciones!$T$15,0,IF(Reprogramaciones!Q$14&gt;10,MIN(100,SUM($G139:$P139)),MIN(100,SUMPRODUCT((COLUMN($G139:$P139)-COLUMN($G139)+1&lt;Reprogramaciones!Q$14)*$G139:$P139)+N(INDEX($G139:$P139,1,Reprogramaciones!Q$14))*IF(Reprogramaciones!Q$13&gt;=(Reprogramaciones!$T$15+7*(Reprogramaciones!Q$14-1))+6,1,IF(MAX(0,NETWORKDAYS.INTL(MAX(E139,(Reprogramaciones!$T$15+7*(Reprogramaciones!Q$14-1))),MIN(F139,(Reprogramaciones!$T$15+7*(Reprogramaciones!Q$14-1))+6),11))=0,0,MAX(0,NETWORKDAYS.INTL(MAX(E139,(Reprogramaciones!$T$15+7*(Reprogramaciones!Q$14-1))),MIN(F139,Reprogramaciones!Q$13),11))/MAX(0,NETWORKDAYS.INTL(MAX(E139,(Reprogramaciones!$T$15+7*(Reprogramaciones!Q$14-1))),MIN(F139,(Reprogramaciones!$T$15+7*(Reprogramaciones!Q$14-1))+6),11))))))))</f>
        <v/>
      </c>
      <c r="CA139" s="1" t="str">
        <f aca="false">IF(OR(NOT(AND(ISNUMBER(E139),ISNUMBER(F139))),$J$2=""),"",IF(Reprogramaciones!R$13&lt;Reprogramaciones!$T$15,0,IF(Reprogramaciones!R$14&gt;10,MIN(100,SUM($G139:$P139)),MIN(100,SUMPRODUCT((COLUMN($G139:$P139)-COLUMN($G139)+1&lt;Reprogramaciones!R$14)*$G139:$P139)+N(INDEX($G139:$P139,1,Reprogramaciones!R$14))*IF(Reprogramaciones!R$13&gt;=(Reprogramaciones!$T$15+7*(Reprogramaciones!R$14-1))+6,1,IF(MAX(0,NETWORKDAYS.INTL(MAX(E139,(Reprogramaciones!$T$15+7*(Reprogramaciones!R$14-1))),MIN(F139,(Reprogramaciones!$T$15+7*(Reprogramaciones!R$14-1))+6),11))=0,0,MAX(0,NETWORKDAYS.INTL(MAX(E139,(Reprogramaciones!$T$15+7*(Reprogramaciones!R$14-1))),MIN(F139,Reprogramaciones!R$13),11))/MAX(0,NETWORKDAYS.INTL(MAX(E139,(Reprogramaciones!$T$15+7*(Reprogramaciones!R$14-1))),MIN(F139,(Reprogramaciones!$T$15+7*(Reprogramaciones!R$14-1))+6),11))))))))</f>
        <v/>
      </c>
      <c r="CB139" s="1" t="str">
        <f aca="false">IF(OR(NOT(AND(ISNUMBER(E139),ISNUMBER(F139))),$J$2=""),"",IF(Reprogramaciones!S$13&lt;Reprogramaciones!$T$15,0,IF(Reprogramaciones!S$14&gt;10,MIN(100,SUM($G139:$P139)),MIN(100,SUMPRODUCT((COLUMN($G139:$P139)-COLUMN($G139)+1&lt;Reprogramaciones!S$14)*$G139:$P139)+N(INDEX($G139:$P139,1,Reprogramaciones!S$14))*IF(Reprogramaciones!S$13&gt;=(Reprogramaciones!$T$15+7*(Reprogramaciones!S$14-1))+6,1,IF(MAX(0,NETWORKDAYS.INTL(MAX(E139,(Reprogramaciones!$T$15+7*(Reprogramaciones!S$14-1))),MIN(F139,(Reprogramaciones!$T$15+7*(Reprogramaciones!S$14-1))+6),11))=0,0,MAX(0,NETWORKDAYS.INTL(MAX(E139,(Reprogramaciones!$T$15+7*(Reprogramaciones!S$14-1))),MIN(F139,Reprogramaciones!S$13),11))/MAX(0,NETWORKDAYS.INTL(MAX(E139,(Reprogramaciones!$T$15+7*(Reprogramaciones!S$14-1))),MIN(F139,(Reprogramaciones!$T$15+7*(Reprogramaciones!S$14-1))+6),11))))))))</f>
        <v/>
      </c>
      <c r="CC139" s="1" t="str">
        <f aca="false">IF(OR(NOT(AND(ISNUMBER(E139),ISNUMBER(F139))),$J$2=""),"",IF(Reprogramaciones!T$13&lt;Reprogramaciones!$T$15,0,IF(Reprogramaciones!T$14&gt;10,MIN(100,SUM($G139:$P139)),MIN(100,SUMPRODUCT((COLUMN($G139:$P139)-COLUMN($G139)+1&lt;Reprogramaciones!T$14)*$G139:$P139)+N(INDEX($G139:$P139,1,Reprogramaciones!T$14))*IF(Reprogramaciones!T$13&gt;=(Reprogramaciones!$T$15+7*(Reprogramaciones!T$14-1))+6,1,IF(MAX(0,NETWORKDAYS.INTL(MAX(E139,(Reprogramaciones!$T$15+7*(Reprogramaciones!T$14-1))),MIN(F139,(Reprogramaciones!$T$15+7*(Reprogramaciones!T$14-1))+6),11))=0,0,MAX(0,NETWORKDAYS.INTL(MAX(E139,(Reprogramaciones!$T$15+7*(Reprogramaciones!T$14-1))),MIN(F139,Reprogramaciones!T$13),11))/MAX(0,NETWORKDAYS.INTL(MAX(E139,(Reprogramaciones!$T$15+7*(Reprogramaciones!T$14-1))),MIN(F139,(Reprogramaciones!$T$15+7*(Reprogramaciones!T$14-1))+6),11))))))))</f>
        <v/>
      </c>
      <c r="CD139" s="1" t="str">
        <f aca="false">IF(OR(NOT(AND(ISNUMBER(E139),ISNUMBER(F139))),$J$2=""),"",IF(Reprogramaciones!U$13&lt;Reprogramaciones!$T$15,0,IF(Reprogramaciones!U$14&gt;10,MIN(100,SUM($G139:$P139)),MIN(100,SUMPRODUCT((COLUMN($G139:$P139)-COLUMN($G139)+1&lt;Reprogramaciones!U$14)*$G139:$P139)+N(INDEX($G139:$P139,1,Reprogramaciones!U$14))*IF(Reprogramaciones!U$13&gt;=(Reprogramaciones!$T$15+7*(Reprogramaciones!U$14-1))+6,1,IF(MAX(0,NETWORKDAYS.INTL(MAX(E139,(Reprogramaciones!$T$15+7*(Reprogramaciones!U$14-1))),MIN(F139,(Reprogramaciones!$T$15+7*(Reprogramaciones!U$14-1))+6),11))=0,0,MAX(0,NETWORKDAYS.INTL(MAX(E139,(Reprogramaciones!$T$15+7*(Reprogramaciones!U$14-1))),MIN(F139,Reprogramaciones!U$13),11))/MAX(0,NETWORKDAYS.INTL(MAX(E139,(Reprogramaciones!$T$15+7*(Reprogramaciones!U$14-1))),MIN(F139,(Reprogramaciones!$T$15+7*(Reprogramaciones!U$14-1))+6),11))))))))</f>
        <v/>
      </c>
      <c r="CE139" s="1" t="str">
        <f aca="false">IF(OR(NOT(AND(ISNUMBER(E139),ISNUMBER(F139))),$J$2=""),"",IF(Reprogramaciones!V$13&lt;Reprogramaciones!$T$15,0,IF(Reprogramaciones!V$14&gt;10,MIN(100,SUM($G139:$P139)),MIN(100,SUMPRODUCT((COLUMN($G139:$P139)-COLUMN($G139)+1&lt;Reprogramaciones!V$14)*$G139:$P139)+N(INDEX($G139:$P139,1,Reprogramaciones!V$14))*IF(Reprogramaciones!V$13&gt;=(Reprogramaciones!$T$15+7*(Reprogramaciones!V$14-1))+6,1,IF(MAX(0,NETWORKDAYS.INTL(MAX(E139,(Reprogramaciones!$T$15+7*(Reprogramaciones!V$14-1))),MIN(F139,(Reprogramaciones!$T$15+7*(Reprogramaciones!V$14-1))+6),11))=0,0,MAX(0,NETWORKDAYS.INTL(MAX(E139,(Reprogramaciones!$T$15+7*(Reprogramaciones!V$14-1))),MIN(F139,Reprogramaciones!V$13),11))/MAX(0,NETWORKDAYS.INTL(MAX(E139,(Reprogramaciones!$T$15+7*(Reprogramaciones!V$14-1))),MIN(F139,(Reprogramaciones!$T$15+7*(Reprogramaciones!V$14-1))+6),11))))))))</f>
        <v/>
      </c>
      <c r="CF139" s="1" t="str">
        <f aca="false">IF(OR(NOT(AND(ISNUMBER(E139),ISNUMBER(F139))),$J$2=""),"",IF(Reprogramaciones!W$13&lt;Reprogramaciones!$T$15,0,IF(Reprogramaciones!W$14&gt;10,MIN(100,SUM($G139:$P139)),MIN(100,SUMPRODUCT((COLUMN($G139:$P139)-COLUMN($G139)+1&lt;Reprogramaciones!W$14)*$G139:$P139)+N(INDEX($G139:$P139,1,Reprogramaciones!W$14))*IF(Reprogramaciones!W$13&gt;=(Reprogramaciones!$T$15+7*(Reprogramaciones!W$14-1))+6,1,IF(MAX(0,NETWORKDAYS.INTL(MAX(E139,(Reprogramaciones!$T$15+7*(Reprogramaciones!W$14-1))),MIN(F139,(Reprogramaciones!$T$15+7*(Reprogramaciones!W$14-1))+6),11))=0,0,MAX(0,NETWORKDAYS.INTL(MAX(E139,(Reprogramaciones!$T$15+7*(Reprogramaciones!W$14-1))),MIN(F139,Reprogramaciones!W$13),11))/MAX(0,NETWORKDAYS.INTL(MAX(E139,(Reprogramaciones!$T$15+7*(Reprogramaciones!W$14-1))),MIN(F139,(Reprogramaciones!$T$15+7*(Reprogramaciones!W$14-1))+6),11))))))))</f>
        <v/>
      </c>
      <c r="CG139" s="1" t="str">
        <f aca="false">IF(OR(NOT(AND(ISNUMBER(E139),ISNUMBER(F139))),$J$2=""),"",IF(Reprogramaciones!X$13&lt;Reprogramaciones!$T$15,0,IF(Reprogramaciones!X$14&gt;10,MIN(100,SUM($G139:$P139)),MIN(100,SUMPRODUCT((COLUMN($G139:$P139)-COLUMN($G139)+1&lt;Reprogramaciones!X$14)*$G139:$P139)+N(INDEX($G139:$P139,1,Reprogramaciones!X$14))*IF(Reprogramaciones!X$13&gt;=(Reprogramaciones!$T$15+7*(Reprogramaciones!X$14-1))+6,1,IF(MAX(0,NETWORKDAYS.INTL(MAX(E139,(Reprogramaciones!$T$15+7*(Reprogramaciones!X$14-1))),MIN(F139,(Reprogramaciones!$T$15+7*(Reprogramaciones!X$14-1))+6),11))=0,0,MAX(0,NETWORKDAYS.INTL(MAX(E139,(Reprogramaciones!$T$15+7*(Reprogramaciones!X$14-1))),MIN(F139,Reprogramaciones!X$13),11))/MAX(0,NETWORKDAYS.INTL(MAX(E139,(Reprogramaciones!$T$15+7*(Reprogramaciones!X$14-1))),MIN(F139,(Reprogramaciones!$T$15+7*(Reprogramaciones!X$14-1))+6),11))))))))</f>
        <v/>
      </c>
      <c r="CH139" s="1" t="str">
        <f aca="false">IF(OR(NOT(AND(ISNUMBER(E139),ISNUMBER(F139))),$J$2=""),"",IF(Reprogramaciones!Y$13&lt;Reprogramaciones!$T$15,0,IF(Reprogramaciones!Y$14&gt;10,MIN(100,SUM($G139:$P139)),MIN(100,SUMPRODUCT((COLUMN($G139:$P139)-COLUMN($G139)+1&lt;Reprogramaciones!Y$14)*$G139:$P139)+N(INDEX($G139:$P139,1,Reprogramaciones!Y$14))*IF(Reprogramaciones!Y$13&gt;=(Reprogramaciones!$T$15+7*(Reprogramaciones!Y$14-1))+6,1,IF(MAX(0,NETWORKDAYS.INTL(MAX(E139,(Reprogramaciones!$T$15+7*(Reprogramaciones!Y$14-1))),MIN(F139,(Reprogramaciones!$T$15+7*(Reprogramaciones!Y$14-1))+6),11))=0,0,MAX(0,NETWORKDAYS.INTL(MAX(E139,(Reprogramaciones!$T$15+7*(Reprogramaciones!Y$14-1))),MIN(F139,Reprogramaciones!Y$13),11))/MAX(0,NETWORKDAYS.INTL(MAX(E139,(Reprogramaciones!$T$15+7*(Reprogramaciones!Y$14-1))),MIN(F139,(Reprogramaciones!$T$15+7*(Reprogramaciones!Y$14-1))+6),11))))))))</f>
        <v/>
      </c>
      <c r="CI139" s="1" t="str">
        <f aca="false">IF(OR(NOT(AND(ISNUMBER(E139),ISNUMBER(F139))),$J$2=""),"",IF(Reprogramaciones!Z$13&lt;Reprogramaciones!$T$15,0,IF(Reprogramaciones!Z$14&gt;10,MIN(100,SUM($G139:$P139)),MIN(100,SUMPRODUCT((COLUMN($G139:$P139)-COLUMN($G139)+1&lt;Reprogramaciones!Z$14)*$G139:$P139)+N(INDEX($G139:$P139,1,Reprogramaciones!Z$14))*IF(Reprogramaciones!Z$13&gt;=(Reprogramaciones!$T$15+7*(Reprogramaciones!Z$14-1))+6,1,IF(MAX(0,NETWORKDAYS.INTL(MAX(E139,(Reprogramaciones!$T$15+7*(Reprogramaciones!Z$14-1))),MIN(F139,(Reprogramaciones!$T$15+7*(Reprogramaciones!Z$14-1))+6),11))=0,0,MAX(0,NETWORKDAYS.INTL(MAX(E139,(Reprogramaciones!$T$15+7*(Reprogramaciones!Z$14-1))),MIN(F139,Reprogramaciones!Z$13),11))/MAX(0,NETWORKDAYS.INTL(MAX(E139,(Reprogramaciones!$T$15+7*(Reprogramaciones!Z$14-1))),MIN(F139,(Reprogramaciones!$T$15+7*(Reprogramaciones!Z$14-1))+6),11))))))))</f>
        <v/>
      </c>
      <c r="CJ139" s="1" t="str">
        <f aca="false">IF(OR(OR(NOT(AND(ISNUMBER(E139),ISNUMBER(F139))),$J$2=""),1&gt;Reprogramaciones!$K$16),"",IF(ROUND(SUM($Q139:Q139),1)&gt;=99.5,100,MIN(100,ROUND(SUM($Q139:Q139),1))))</f>
        <v/>
      </c>
      <c r="CK139" s="1" t="str">
        <f aca="false">IF(OR(OR(NOT(AND(ISNUMBER(E139),ISNUMBER(F139))),$J$2=""),2&gt;Reprogramaciones!$K$16),"",IF(ROUND(SUM($Q139:R139),1)&gt;=99.5,100,MIN(100,ROUND(SUM($Q139:R139),1))))</f>
        <v/>
      </c>
      <c r="CL139" s="1" t="str">
        <f aca="false">IF(OR(OR(NOT(AND(ISNUMBER(E139),ISNUMBER(F139))),$J$2=""),3&gt;Reprogramaciones!$K$16),"",IF(ROUND(SUM($Q139:S139),1)&gt;=99.5,100,MIN(100,ROUND(SUM($Q139:S139),1))))</f>
        <v/>
      </c>
      <c r="CM139" s="1" t="str">
        <f aca="false">IF(OR(OR(NOT(AND(ISNUMBER(E139),ISNUMBER(F139))),$J$2=""),4&gt;Reprogramaciones!$K$16),"",IF(ROUND(SUM($Q139:T139),1)&gt;=99.5,100,MIN(100,ROUND(SUM($Q139:T139),1))))</f>
        <v/>
      </c>
      <c r="CN139" s="1" t="str">
        <f aca="false">IF(OR(OR(NOT(AND(ISNUMBER(E139),ISNUMBER(F139))),$J$2=""),5&gt;Reprogramaciones!$K$16),"",IF(ROUND(SUM($Q139:U139),1)&gt;=99.5,100,MIN(100,ROUND(SUM($Q139:U139),1))))</f>
        <v/>
      </c>
      <c r="CO139" s="1" t="str">
        <f aca="false">IF(OR(OR(NOT(AND(ISNUMBER(E139),ISNUMBER(F139))),$J$2=""),6&gt;Reprogramaciones!$K$16),"",IF(ROUND(SUM($Q139:V139),1)&gt;=99.5,100,MIN(100,ROUND(SUM($Q139:V139),1))))</f>
        <v/>
      </c>
      <c r="CP139" s="1" t="str">
        <f aca="false">IF(OR(OR(NOT(AND(ISNUMBER(E139),ISNUMBER(F139))),$J$2=""),7&gt;Reprogramaciones!$K$16),"",IF(ROUND(SUM($Q139:W139),1)&gt;=99.5,100,MIN(100,ROUND(SUM($Q139:W139),1))))</f>
        <v/>
      </c>
      <c r="CQ139" s="1" t="str">
        <f aca="false">IF(OR(OR(NOT(AND(ISNUMBER(E139),ISNUMBER(F139))),$J$2=""),8&gt;Reprogramaciones!$K$16),"",IF(ROUND(SUM($Q139:X139),1)&gt;=99.5,100,MIN(100,ROUND(SUM($Q139:X139),1))))</f>
        <v/>
      </c>
      <c r="CR139" s="1" t="str">
        <f aca="false">IF(OR(OR(NOT(AND(ISNUMBER(E139),ISNUMBER(F139))),$J$2=""),9&gt;Reprogramaciones!$K$16),"",IF(ROUND(SUM($Q139:Y139),1)&gt;=99.5,100,MIN(100,ROUND(SUM($Q139:Y139),1))))</f>
        <v/>
      </c>
      <c r="CS139" s="1" t="str">
        <f aca="false">IF(OR(OR(NOT(AND(ISNUMBER(E139),ISNUMBER(F139))),$J$2=""),10&gt;Reprogramaciones!$K$16),"",IF(ROUND(SUM($Q139:Z139),1)&gt;=99.5,100,MIN(100,ROUND(SUM($Q139:Z139),1))))</f>
        <v/>
      </c>
      <c r="CT139" s="1" t="str">
        <f aca="false">IF(OR(OR(NOT(AND(ISNUMBER(E139),ISNUMBER(F139))),$J$2=""),11&gt;Reprogramaciones!$K$16),"",IF(ROUND(SUM($Q139:AA139),1)&gt;=99.5,100,MIN(100,ROUND(SUM($Q139:AA139),1))))</f>
        <v/>
      </c>
      <c r="CU139" s="1" t="str">
        <f aca="false">IF(OR(OR(NOT(AND(ISNUMBER(E139),ISNUMBER(F139))),$J$2=""),12&gt;Reprogramaciones!$K$16),"",IF(ROUND(SUM($Q139:AB139),1)&gt;=99.5,100,MIN(100,ROUND(SUM($Q139:AB139),1))))</f>
        <v/>
      </c>
      <c r="CV139" s="1" t="str">
        <f aca="false">IF(OR(OR(NOT(AND(ISNUMBER(E139),ISNUMBER(F139))),$J$2=""),13&gt;Reprogramaciones!$K$16),"",IF(ROUND(SUM($Q139:AC139),1)&gt;=99.5,100,MIN(100,ROUND(SUM($Q139:AC139),1))))</f>
        <v/>
      </c>
      <c r="CW139" s="1" t="str">
        <f aca="false">IF(OR(OR(NOT(AND(ISNUMBER(E139),ISNUMBER(F139))),$J$2=""),14&gt;Reprogramaciones!$K$16),"",IF(ROUND(SUM($Q139:AD139),1)&gt;=99.5,100,MIN(100,ROUND(SUM($Q139:AD139),1))))</f>
        <v/>
      </c>
      <c r="CX139" s="1" t="str">
        <f aca="false">IF(OR(OR(NOT(AND(ISNUMBER(E139),ISNUMBER(F139))),$J$2=""),15&gt;Reprogramaciones!$K$16),"",IF(ROUND(SUM($Q139:AE139),1)&gt;=99.5,100,MIN(100,ROUND(SUM($Q139:AE139),1))))</f>
        <v/>
      </c>
      <c r="CY139" s="1" t="str">
        <f aca="false">IF(OR(OR(NOT(AND(ISNUMBER(E139),ISNUMBER(F139))),$J$2=""),16&gt;Reprogramaciones!$K$16),"",IF(ROUND(SUM($Q139:AF139),1)&gt;=99.5,100,MIN(100,ROUND(SUM($Q139:AF139),1))))</f>
        <v/>
      </c>
      <c r="CZ139" s="1" t="str">
        <f aca="false">IF(D139&lt;&gt;"",D139,IF(B139&lt;&gt;"","Contractual",CZ138))</f>
        <v>Contractual</v>
      </c>
      <c r="DA139" s="1" t="str">
        <f aca="false">IF(OR(NOT(AND(ISNUMBER(E139),ISNUMBER(F139))),$J$2=""),"",IF(Reprogramaciones!$Q$15&lt;Reprogramaciones!$T$15,0,IF(Reprogramaciones!$S$15&gt;10,MIN(100,SUM($G139:$P139)),MIN(100,SUMPRODUCT((COLUMN($G139:$P139)-COLUMN($G139)+1&lt;Reprogramaciones!$S$15)*$G139:$P139)+N(INDEX($G139:$P139,1,Reprogramaciones!$S$15))*IF(Reprogramaciones!$Q$15&gt;=(Reprogramaciones!$T$15+7*(Reprogramaciones!$S$15-1))+6,1,IF(MAX(0,NETWORKDAYS.INTL(MAX(E139,(Reprogramaciones!$T$15+7*(Reprogramaciones!$S$15-1))),MIN(F139,(Reprogramaciones!$T$15+7*(Reprogramaciones!$S$15-1))+6),11))=0,0,MAX(0,NETWORKDAYS.INTL(MAX(E139,(Reprogramaciones!$T$15+7*(Reprogramaciones!$S$15-1))),MIN(F139,Reprogramaciones!$Q$15),11))/MAX(0,NETWORKDAYS.INTL(MAX(E139,(Reprogramaciones!$T$15+7*(Reprogramaciones!$S$15-1))),MIN(F139,(Reprogramaciones!$T$15+7*(Reprogramaciones!$S$15-1))+6),11))))))))</f>
        <v/>
      </c>
    </row>
    <row r="140" customFormat="false" ht="15" hidden="false" customHeight="false" outlineLevel="0" collapsed="false">
      <c r="A140" s="32"/>
      <c r="B140" s="33"/>
      <c r="C140" s="33"/>
      <c r="D140" s="34"/>
      <c r="E140" s="35"/>
      <c r="F140" s="35"/>
      <c r="G140" s="36" t="str">
        <f aca="false">IF(OR(NOT(AND(ISNUMBER(E140),ISNUMBER(F140))),$J$2=""),"",IF(Reprogramaciones!K$9&lt;E140,0,IF(NETWORKDAYS.INTL(E140,F140,11)=0,IF(Reprogramaciones!K$9&gt;=F140,100,0),ROUND(NETWORKDAYS.INTL(E140,MIN(F140,Reprogramaciones!K$9),11)/NETWORKDAYS.INTL(E140,F140,11)*100,1)))-0)</f>
        <v/>
      </c>
      <c r="H140" s="36" t="str">
        <f aca="false">IF(OR(NOT(AND(ISNUMBER(E140),ISNUMBER(F140))),$J$2=""),"",IF(Reprogramaciones!L$9&lt;E140,0,IF(NETWORKDAYS.INTL(E140,F140,11)=0,IF(Reprogramaciones!L$9&gt;=F140,100,0),ROUND(NETWORKDAYS.INTL(E140,MIN(F140,Reprogramaciones!L$9),11)/NETWORKDAYS.INTL(E140,F140,11)*100,1)))-IF(Reprogramaciones!K$9&lt;E140,0,IF(NETWORKDAYS.INTL(E140,F140,11)=0,IF(Reprogramaciones!K$9&gt;=F140,100,0),ROUND(NETWORKDAYS.INTL(E140,MIN(F140,Reprogramaciones!K$9),11)/NETWORKDAYS.INTL(E140,F140,11)*100,1))))</f>
        <v/>
      </c>
      <c r="I140" s="36" t="str">
        <f aca="false">IF(OR(NOT(AND(ISNUMBER(E140),ISNUMBER(F140))),$J$2=""),"",IF(Reprogramaciones!M$9&lt;E140,0,IF(NETWORKDAYS.INTL(E140,F140,11)=0,IF(Reprogramaciones!M$9&gt;=F140,100,0),ROUND(NETWORKDAYS.INTL(E140,MIN(F140,Reprogramaciones!M$9),11)/NETWORKDAYS.INTL(E140,F140,11)*100,1)))-IF(Reprogramaciones!L$9&lt;E140,0,IF(NETWORKDAYS.INTL(E140,F140,11)=0,IF(Reprogramaciones!L$9&gt;=F140,100,0),ROUND(NETWORKDAYS.INTL(E140,MIN(F140,Reprogramaciones!L$9),11)/NETWORKDAYS.INTL(E140,F140,11)*100,1))))</f>
        <v/>
      </c>
      <c r="J140" s="36" t="str">
        <f aca="false">IF(OR(NOT(AND(ISNUMBER(E140),ISNUMBER(F140))),$J$2=""),"",IF(Reprogramaciones!N$9&lt;E140,0,IF(NETWORKDAYS.INTL(E140,F140,11)=0,IF(Reprogramaciones!N$9&gt;=F140,100,0),ROUND(NETWORKDAYS.INTL(E140,MIN(F140,Reprogramaciones!N$9),11)/NETWORKDAYS.INTL(E140,F140,11)*100,1)))-IF(Reprogramaciones!M$9&lt;E140,0,IF(NETWORKDAYS.INTL(E140,F140,11)=0,IF(Reprogramaciones!M$9&gt;=F140,100,0),ROUND(NETWORKDAYS.INTL(E140,MIN(F140,Reprogramaciones!M$9),11)/NETWORKDAYS.INTL(E140,F140,11)*100,1))))</f>
        <v/>
      </c>
      <c r="K140" s="36" t="str">
        <f aca="false">IF(OR(NOT(AND(ISNUMBER(E140),ISNUMBER(F140))),$J$2=""),"",IF(Reprogramaciones!O$9&lt;E140,0,IF(NETWORKDAYS.INTL(E140,F140,11)=0,IF(Reprogramaciones!O$9&gt;=F140,100,0),ROUND(NETWORKDAYS.INTL(E140,MIN(F140,Reprogramaciones!O$9),11)/NETWORKDAYS.INTL(E140,F140,11)*100,1)))-IF(Reprogramaciones!N$9&lt;E140,0,IF(NETWORKDAYS.INTL(E140,F140,11)=0,IF(Reprogramaciones!N$9&gt;=F140,100,0),ROUND(NETWORKDAYS.INTL(E140,MIN(F140,Reprogramaciones!N$9),11)/NETWORKDAYS.INTL(E140,F140,11)*100,1))))</f>
        <v/>
      </c>
      <c r="L140" s="36" t="str">
        <f aca="false">IF(OR(NOT(AND(ISNUMBER(E140),ISNUMBER(F140))),$J$2=""),"",IF(Reprogramaciones!P$9&lt;E140,0,IF(NETWORKDAYS.INTL(E140,F140,11)=0,IF(Reprogramaciones!P$9&gt;=F140,100,0),ROUND(NETWORKDAYS.INTL(E140,MIN(F140,Reprogramaciones!P$9),11)/NETWORKDAYS.INTL(E140,F140,11)*100,1)))-IF(Reprogramaciones!O$9&lt;E140,0,IF(NETWORKDAYS.INTL(E140,F140,11)=0,IF(Reprogramaciones!O$9&gt;=F140,100,0),ROUND(NETWORKDAYS.INTL(E140,MIN(F140,Reprogramaciones!O$9),11)/NETWORKDAYS.INTL(E140,F140,11)*100,1))))</f>
        <v/>
      </c>
      <c r="M140" s="36" t="str">
        <f aca="false">IF(OR(NOT(AND(ISNUMBER(E140),ISNUMBER(F140))),$J$2=""),"",IF(Reprogramaciones!Q$9&lt;E140,0,IF(NETWORKDAYS.INTL(E140,F140,11)=0,IF(Reprogramaciones!Q$9&gt;=F140,100,0),ROUND(NETWORKDAYS.INTL(E140,MIN(F140,Reprogramaciones!Q$9),11)/NETWORKDAYS.INTL(E140,F140,11)*100,1)))-IF(Reprogramaciones!P$9&lt;E140,0,IF(NETWORKDAYS.INTL(E140,F140,11)=0,IF(Reprogramaciones!P$9&gt;=F140,100,0),ROUND(NETWORKDAYS.INTL(E140,MIN(F140,Reprogramaciones!P$9),11)/NETWORKDAYS.INTL(E140,F140,11)*100,1))))</f>
        <v/>
      </c>
      <c r="N140" s="36" t="str">
        <f aca="false">IF(OR(NOT(AND(ISNUMBER(E140),ISNUMBER(F140))),$J$2=""),"",IF(Reprogramaciones!R$9&lt;E140,0,IF(NETWORKDAYS.INTL(E140,F140,11)=0,IF(Reprogramaciones!R$9&gt;=F140,100,0),ROUND(NETWORKDAYS.INTL(E140,MIN(F140,Reprogramaciones!R$9),11)/NETWORKDAYS.INTL(E140,F140,11)*100,1)))-IF(Reprogramaciones!Q$9&lt;E140,0,IF(NETWORKDAYS.INTL(E140,F140,11)=0,IF(Reprogramaciones!Q$9&gt;=F140,100,0),ROUND(NETWORKDAYS.INTL(E140,MIN(F140,Reprogramaciones!Q$9),11)/NETWORKDAYS.INTL(E140,F140,11)*100,1))))</f>
        <v/>
      </c>
      <c r="O140" s="36" t="str">
        <f aca="false">IF(OR(NOT(AND(ISNUMBER(E140),ISNUMBER(F140))),$J$2=""),"",IF(Reprogramaciones!S$9&lt;E140,0,IF(NETWORKDAYS.INTL(E140,F140,11)=0,IF(Reprogramaciones!S$9&gt;=F140,100,0),ROUND(NETWORKDAYS.INTL(E140,MIN(F140,Reprogramaciones!S$9),11)/NETWORKDAYS.INTL(E140,F140,11)*100,1)))-IF(Reprogramaciones!R$9&lt;E140,0,IF(NETWORKDAYS.INTL(E140,F140,11)=0,IF(Reprogramaciones!R$9&gt;=F140,100,0),ROUND(NETWORKDAYS.INTL(E140,MIN(F140,Reprogramaciones!R$9),11)/NETWORKDAYS.INTL(E140,F140,11)*100,1))))</f>
        <v/>
      </c>
      <c r="P140" s="36" t="str">
        <f aca="false">IF(OR(NOT(AND(ISNUMBER(E140),ISNUMBER(F140))),$J$2=""),"",IF(Reprogramaciones!T$9&lt;E140,0,IF(NETWORKDAYS.INTL(E140,F140,11)=0,IF(Reprogramaciones!T$9&gt;=F140,100,0),ROUND(NETWORKDAYS.INTL(E140,MIN(F140,Reprogramaciones!T$9),11)/NETWORKDAYS.INTL(E140,F140,11)*100,1)))-IF(Reprogramaciones!S$9&lt;E140,0,IF(NETWORKDAYS.INTL(E140,F140,11)=0,IF(Reprogramaciones!S$9&gt;=F140,100,0),ROUND(NETWORKDAYS.INTL(E140,MIN(F140,Reprogramaciones!S$9),11)/NETWORKDAYS.INTL(E140,F140,11)*100,1))))</f>
        <v/>
      </c>
      <c r="Q140" s="37"/>
      <c r="R140" s="37"/>
      <c r="S140" s="37"/>
      <c r="T140" s="37"/>
      <c r="U140" s="37"/>
      <c r="V140" s="37"/>
      <c r="W140" s="37"/>
      <c r="X140" s="37"/>
      <c r="Y140" s="37"/>
      <c r="Z140" s="37"/>
      <c r="AA140" s="37"/>
      <c r="AB140" s="37"/>
      <c r="AC140" s="37"/>
      <c r="AD140" s="37"/>
      <c r="AE140" s="37"/>
      <c r="AF140" s="37"/>
      <c r="AG140" s="38" t="str">
        <f aca="false">IF(AND(ISNUMBER(E140),ISNUMBER(F140)),NETWORKDAYS.INTL(E140,F140,11),"")</f>
        <v/>
      </c>
      <c r="AH140" s="38" t="str">
        <f aca="false">IF(OR(NOT(AND(ISNUMBER(E140),ISNUMBER(F140))),$J$2=""),"",IF(Reprogramaciones!$P$15&lt;Reprogramaciones!$T$15,0,IF(Reprogramaciones!$R$15&gt;10,MIN(100,SUM($G140:$P140)),MIN(100,SUMPRODUCT((COLUMN($G140:$P140)-COLUMN($G140)+1&lt;Reprogramaciones!$R$15)*$G140:$P140)+N(INDEX($G140:$P140,1,Reprogramaciones!$R$15))*IF(Reprogramaciones!$P$15&gt;=(Reprogramaciones!$T$15+7*(Reprogramaciones!$R$15-1))+6,1,IF(MAX(0,NETWORKDAYS.INTL(MAX(E140,(Reprogramaciones!$T$15+7*(Reprogramaciones!$R$15-1))),MIN(F140,(Reprogramaciones!$T$15+7*(Reprogramaciones!$R$15-1))+6),11))=0,0,MAX(0,NETWORKDAYS.INTL(MAX(E140,(Reprogramaciones!$T$15+7*(Reprogramaciones!$R$15-1))),MIN(F140,Reprogramaciones!$P$15),11))/MAX(0,NETWORKDAYS.INTL(MAX(E140,(Reprogramaciones!$T$15+7*(Reprogramaciones!$R$15-1))),MIN(F140,(Reprogramaciones!$T$15+7*(Reprogramaciones!$R$15-1))+6),11))))))))</f>
        <v/>
      </c>
      <c r="AI140" s="38" t="str">
        <f aca="false">IF(COUNT($Q140:$AF140)=0,"",IF(ROUND(SUM($Q140:$AF140),1)&gt;=99.5,100,MIN(100,ROUND(SUM($Q140:$AF140),1))))</f>
        <v/>
      </c>
      <c r="AJ140" s="38" t="str">
        <f aca="false">IF(OR(AH140="",AI140=""),"",AI140-AH140)</f>
        <v/>
      </c>
      <c r="AK140" s="39" t="str">
        <f aca="true">IF(AH140="","",IF(OR(Ficha!$C$10="Suspendida",Ficha!$C$10="Cancelada"),Ficha!$C$10,IF(AND(AI140&lt;&gt;"",N(AI140)&gt;=100),"Completada",IF(AND(E140&gt;TODAY(),N(AI140)=0),"Por iniciar",IF(N(AI140)+0.5&lt;AH140,"Retrasada",IF(N(AI140)+0.5&lt;DA140,IF(Reprogramaciones!$K$15&gt;0,"Al día · Sem "&amp;Reprogramaciones!$K$15&amp;" en curso","Al día · en curso"),"A tiempo"))))))</f>
        <v/>
      </c>
      <c r="AL140" s="39" t="str">
        <f aca="true">IF(AND(A140="",AND(B140="",C140="",E140="",F140="",COUNT(Q140:AF140)=0)),"",IF(AND(B140="",C140="",E140="",F140="",COUNT(Q140:AF140)=0),"Falta la partida o subpartida",IF(AND(A140&lt;&gt;"",COUNTIF($A$6:$A$305,A140)&gt;1),"Ítem repetido",IF(AND(C140="",E140="",F140="",COUNT(Q140:AF140)=0),"Título de partida",IF(OR(E140="",F140=""),"Faltan fechas",IF(OR(ISTEXT(E140),ISTEXT(F140)),"Fecha escrita como texto: usa dd/mm/aaaa",IF(F140&lt;E140,"Fin antes del inicio",IF(IF($J$2="",FALSE(),OR(E140&lt;$J$2,F140&gt;Reprogramaciones!$T$15+69)),"Fuera de las 10 semanas",IF(ABS(SUM(G140:P140)-100)&gt;0.5,"La meta no suma 100%",IF(ROUND(SUM(Q140:AF140),1)&gt;100.5,"El avance pasa de 100%",IF(MIN(Q140:AF140)&lt;0,"Avance negativo",IF(COUNTA(Q140:AF140)&gt;COUNT(Q140:AF140),"Avance escrito como texto",IF(SUMPRODUCT((Q140:AF140&gt;0)*(Q140:AF140&lt;1))&gt;0,"Avance menor a 1: escribe 50, no 50%",IF(SUMPRODUCT(ISNUMBER(Q140:AF140)*(Reprogramaciones!$K$8:$Z$8&gt;TODAY()))&gt;0,"Avance en semana que aún no llega",IF(AND(N(Reprogramaciones!$E$21)&gt;0,F140&gt;Reprogramaciones!$E$21),"Pasa el fin de la obra: registra una reprogramación",IF(AND(N(Reprogramaciones!$E$21)&gt;0,SUMPRODUCT(ISNUMBER(Q140:AF140)*(Reprogramaciones!$K$8:$Z$8&gt;Reprogramaciones!$E$21))&gt;0),"Avance después del fin de la obra: registra una reprogramación por atraso","OK"))))))))))))))))</f>
        <v/>
      </c>
      <c r="AM140" s="40" t="str">
        <f aca="false">IF(OR(OR(NOT(AND(ISNUMBER(E140),ISNUMBER(F140))),$J$2=""),1&gt;MAX(1,Reprogramaciones!$U$15)),"",IF(Reprogramaciones!K$12&gt;=7,"",IF(OR(BT140-N(0)&gt;0.05,N(Q140)&gt;0),ROUNDDOWN(ROUND(BT140,6),0)&amp;"%"&amp;IF(CJ140="",""," / "&amp;CJ140&amp;"%"),IF(AND(N(0)&gt;=99.95,CJ140&lt;&gt;"",N(CJ140)&lt;100),"Pend. "&amp;CJ140&amp;"%",""))))</f>
        <v/>
      </c>
      <c r="AN140" s="40" t="str">
        <f aca="false">IF(OR(OR(NOT(AND(ISNUMBER(E140),ISNUMBER(F140))),$J$2=""),2&gt;MAX(1,Reprogramaciones!$U$15)),"",IF(Reprogramaciones!L$12&gt;=7,"",IF(OR(BU140-N(BT140)&gt;0.05,N(R140)&gt;0),ROUNDDOWN(ROUND(BU140,6),0)&amp;"%"&amp;IF(CK140="",""," / "&amp;CK140&amp;"%"),IF(AND(N(BT140)&gt;=99.95,CK140&lt;&gt;"",N(CK140)&lt;100),"Pend. "&amp;CK140&amp;"%",""))))</f>
        <v/>
      </c>
      <c r="AO140" s="40" t="str">
        <f aca="false">IF(OR(OR(NOT(AND(ISNUMBER(E140),ISNUMBER(F140))),$J$2=""),3&gt;MAX(1,Reprogramaciones!$U$15)),"",IF(Reprogramaciones!M$12&gt;=7,"",IF(OR(BV140-N(BU140)&gt;0.05,N(S140)&gt;0),ROUNDDOWN(ROUND(BV140,6),0)&amp;"%"&amp;IF(CL140="",""," / "&amp;CL140&amp;"%"),IF(AND(N(BU140)&gt;=99.95,CL140&lt;&gt;"",N(CL140)&lt;100),"Pend. "&amp;CL140&amp;"%",""))))</f>
        <v/>
      </c>
      <c r="AP140" s="40" t="str">
        <f aca="false">IF(OR(OR(NOT(AND(ISNUMBER(E140),ISNUMBER(F140))),$J$2=""),4&gt;MAX(1,Reprogramaciones!$U$15)),"",IF(Reprogramaciones!N$12&gt;=7,"",IF(OR(BW140-N(BV140)&gt;0.05,N(T140)&gt;0),ROUNDDOWN(ROUND(BW140,6),0)&amp;"%"&amp;IF(CM140="",""," / "&amp;CM140&amp;"%"),IF(AND(N(BV140)&gt;=99.95,CM140&lt;&gt;"",N(CM140)&lt;100),"Pend. "&amp;CM140&amp;"%",""))))</f>
        <v/>
      </c>
      <c r="AQ140" s="40" t="str">
        <f aca="false">IF(OR(OR(NOT(AND(ISNUMBER(E140),ISNUMBER(F140))),$J$2=""),5&gt;MAX(1,Reprogramaciones!$U$15)),"",IF(Reprogramaciones!O$12&gt;=7,"",IF(OR(BX140-N(BW140)&gt;0.05,N(U140)&gt;0),ROUNDDOWN(ROUND(BX140,6),0)&amp;"%"&amp;IF(CN140="",""," / "&amp;CN140&amp;"%"),IF(AND(N(BW140)&gt;=99.95,CN140&lt;&gt;"",N(CN140)&lt;100),"Pend. "&amp;CN140&amp;"%",""))))</f>
        <v/>
      </c>
      <c r="AR140" s="40" t="str">
        <f aca="false">IF(OR(OR(NOT(AND(ISNUMBER(E140),ISNUMBER(F140))),$J$2=""),6&gt;MAX(1,Reprogramaciones!$U$15)),"",IF(Reprogramaciones!P$12&gt;=7,"",IF(OR(BY140-N(BX140)&gt;0.05,N(V140)&gt;0),ROUNDDOWN(ROUND(BY140,6),0)&amp;"%"&amp;IF(CO140="",""," / "&amp;CO140&amp;"%"),IF(AND(N(BX140)&gt;=99.95,CO140&lt;&gt;"",N(CO140)&lt;100),"Pend. "&amp;CO140&amp;"%",""))))</f>
        <v/>
      </c>
      <c r="AS140" s="40" t="str">
        <f aca="false">IF(OR(OR(NOT(AND(ISNUMBER(E140),ISNUMBER(F140))),$J$2=""),7&gt;MAX(1,Reprogramaciones!$U$15)),"",IF(Reprogramaciones!Q$12&gt;=7,"",IF(OR(BZ140-N(BY140)&gt;0.05,N(W140)&gt;0),ROUNDDOWN(ROUND(BZ140,6),0)&amp;"%"&amp;IF(CP140="",""," / "&amp;CP140&amp;"%"),IF(AND(N(BY140)&gt;=99.95,CP140&lt;&gt;"",N(CP140)&lt;100),"Pend. "&amp;CP140&amp;"%",""))))</f>
        <v/>
      </c>
      <c r="AT140" s="40" t="str">
        <f aca="false">IF(OR(OR(NOT(AND(ISNUMBER(E140),ISNUMBER(F140))),$J$2=""),8&gt;MAX(1,Reprogramaciones!$U$15)),"",IF(Reprogramaciones!R$12&gt;=7,"",IF(OR(CA140-N(BZ140)&gt;0.05,N(X140)&gt;0),ROUNDDOWN(ROUND(CA140,6),0)&amp;"%"&amp;IF(CQ140="",""," / "&amp;CQ140&amp;"%"),IF(AND(N(BZ140)&gt;=99.95,CQ140&lt;&gt;"",N(CQ140)&lt;100),"Pend. "&amp;CQ140&amp;"%",""))))</f>
        <v/>
      </c>
      <c r="AU140" s="40" t="str">
        <f aca="false">IF(OR(OR(NOT(AND(ISNUMBER(E140),ISNUMBER(F140))),$J$2=""),9&gt;MAX(1,Reprogramaciones!$U$15)),"",IF(Reprogramaciones!S$12&gt;=7,"",IF(OR(CB140-N(CA140)&gt;0.05,N(Y140)&gt;0),ROUNDDOWN(ROUND(CB140,6),0)&amp;"%"&amp;IF(CR140="",""," / "&amp;CR140&amp;"%"),IF(AND(N(CA140)&gt;=99.95,CR140&lt;&gt;"",N(CR140)&lt;100),"Pend. "&amp;CR140&amp;"%",""))))</f>
        <v/>
      </c>
      <c r="AV140" s="40" t="str">
        <f aca="false">IF(OR(OR(NOT(AND(ISNUMBER(E140),ISNUMBER(F140))),$J$2=""),10&gt;MAX(1,Reprogramaciones!$U$15)),"",IF(Reprogramaciones!T$12&gt;=7,"",IF(OR(CC140-N(CB140)&gt;0.05,N(Z140)&gt;0),ROUNDDOWN(ROUND(CC140,6),0)&amp;"%"&amp;IF(CS140="",""," / "&amp;CS140&amp;"%"),IF(AND(N(CB140)&gt;=99.95,CS140&lt;&gt;"",N(CS140)&lt;100),"Pend. "&amp;CS140&amp;"%",""))))</f>
        <v/>
      </c>
      <c r="AW140" s="40" t="str">
        <f aca="false">IF(OR(OR(NOT(AND(ISNUMBER(E140),ISNUMBER(F140))),$J$2=""),11&gt;MAX(1,Reprogramaciones!$U$15)),"",IF(Reprogramaciones!U$12&gt;=7,"",IF(OR(CD140-N(CC140)&gt;0.05,N(AA140)&gt;0),ROUNDDOWN(ROUND(CD140,6),0)&amp;"%"&amp;IF(CT140="",""," / "&amp;CT140&amp;"%"),IF(AND(N(CC140)&gt;=99.95,CT140&lt;&gt;"",N(CT140)&lt;100),"Pend. "&amp;CT140&amp;"%",""))))</f>
        <v/>
      </c>
      <c r="AX140" s="40" t="str">
        <f aca="false">IF(OR(OR(NOT(AND(ISNUMBER(E140),ISNUMBER(F140))),$J$2=""),12&gt;MAX(1,Reprogramaciones!$U$15)),"",IF(Reprogramaciones!V$12&gt;=7,"",IF(OR(CE140-N(CD140)&gt;0.05,N(AB140)&gt;0),ROUNDDOWN(ROUND(CE140,6),0)&amp;"%"&amp;IF(CU140="",""," / "&amp;CU140&amp;"%"),IF(AND(N(CD140)&gt;=99.95,CU140&lt;&gt;"",N(CU140)&lt;100),"Pend. "&amp;CU140&amp;"%",""))))</f>
        <v/>
      </c>
      <c r="AY140" s="40" t="str">
        <f aca="false">IF(OR(OR(NOT(AND(ISNUMBER(E140),ISNUMBER(F140))),$J$2=""),13&gt;MAX(1,Reprogramaciones!$U$15)),"",IF(Reprogramaciones!W$12&gt;=7,"",IF(OR(CF140-N(CE140)&gt;0.05,N(AC140)&gt;0),ROUNDDOWN(ROUND(CF140,6),0)&amp;"%"&amp;IF(CV140="",""," / "&amp;CV140&amp;"%"),IF(AND(N(CE140)&gt;=99.95,CV140&lt;&gt;"",N(CV140)&lt;100),"Pend. "&amp;CV140&amp;"%",""))))</f>
        <v/>
      </c>
      <c r="AZ140" s="40" t="str">
        <f aca="false">IF(OR(OR(NOT(AND(ISNUMBER(E140),ISNUMBER(F140))),$J$2=""),14&gt;MAX(1,Reprogramaciones!$U$15)),"",IF(Reprogramaciones!X$12&gt;=7,"",IF(OR(CG140-N(CF140)&gt;0.05,N(AD140)&gt;0),ROUNDDOWN(ROUND(CG140,6),0)&amp;"%"&amp;IF(CW140="",""," / "&amp;CW140&amp;"%"),IF(AND(N(CF140)&gt;=99.95,CW140&lt;&gt;"",N(CW140)&lt;100),"Pend. "&amp;CW140&amp;"%",""))))</f>
        <v/>
      </c>
      <c r="BA140" s="40" t="str">
        <f aca="false">IF(OR(OR(NOT(AND(ISNUMBER(E140),ISNUMBER(F140))),$J$2=""),15&gt;MAX(1,Reprogramaciones!$U$15)),"",IF(Reprogramaciones!Y$12&gt;=7,"",IF(OR(CH140-N(CG140)&gt;0.05,N(AE140)&gt;0),ROUNDDOWN(ROUND(CH140,6),0)&amp;"%"&amp;IF(CX140="",""," / "&amp;CX140&amp;"%"),IF(AND(N(CG140)&gt;=99.95,CX140&lt;&gt;"",N(CX140)&lt;100),"Pend. "&amp;CX140&amp;"%",""))))</f>
        <v/>
      </c>
      <c r="BB140" s="40" t="str">
        <f aca="false">IF(OR(OR(NOT(AND(ISNUMBER(E140),ISNUMBER(F140))),$J$2=""),16&gt;MAX(1,Reprogramaciones!$U$15)),"",IF(Reprogramaciones!Z$12&gt;=7,"",IF(OR(CI140-N(CH140)&gt;0.05,N(AF140)&gt;0),ROUNDDOWN(ROUND(CI140,6),0)&amp;"%"&amp;IF(CY140="",""," / "&amp;CY140&amp;"%"),IF(AND(N(CH140)&gt;=99.95,CY140&lt;&gt;"",N(CY140)&lt;100),"Pend. "&amp;CY140&amp;"%",""))))</f>
        <v/>
      </c>
      <c r="BC140" s="31" t="n">
        <f aca="false">IF(AND(ISNUMBER(E140),ISNUMBER(F140)),MAX(1,NETWORKDAYS.INTL(E140,F140,11)),0)</f>
        <v>0</v>
      </c>
      <c r="BD140" s="1" t="str">
        <f aca="false">IF(OR(NOT(AND(ISNUMBER(E140),ISNUMBER(F140))),$J$2=""),"",MIN(100,ROUND(SUM($G140:G140),1)))</f>
        <v/>
      </c>
      <c r="BE140" s="1" t="str">
        <f aca="false">IF(OR(NOT(AND(ISNUMBER(E140),ISNUMBER(F140))),$J$2=""),"",MIN(100,ROUND(SUM($G140:H140),1)))</f>
        <v/>
      </c>
      <c r="BF140" s="1" t="str">
        <f aca="false">IF(OR(NOT(AND(ISNUMBER(E140),ISNUMBER(F140))),$J$2=""),"",MIN(100,ROUND(SUM($G140:I140),1)))</f>
        <v/>
      </c>
      <c r="BG140" s="1" t="str">
        <f aca="false">IF(OR(NOT(AND(ISNUMBER(E140),ISNUMBER(F140))),$J$2=""),"",MIN(100,ROUND(SUM($G140:J140),1)))</f>
        <v/>
      </c>
      <c r="BH140" s="1" t="str">
        <f aca="false">IF(OR(NOT(AND(ISNUMBER(E140),ISNUMBER(F140))),$J$2=""),"",MIN(100,ROUND(SUM($G140:K140),1)))</f>
        <v/>
      </c>
      <c r="BI140" s="1" t="str">
        <f aca="false">IF(OR(NOT(AND(ISNUMBER(E140),ISNUMBER(F140))),$J$2=""),"",MIN(100,ROUND(SUM($G140:L140),1)))</f>
        <v/>
      </c>
      <c r="BJ140" s="1" t="str">
        <f aca="false">IF(OR(NOT(AND(ISNUMBER(E140),ISNUMBER(F140))),$J$2=""),"",MIN(100,ROUND(SUM($G140:M140),1)))</f>
        <v/>
      </c>
      <c r="BK140" s="1" t="str">
        <f aca="false">IF(OR(NOT(AND(ISNUMBER(E140),ISNUMBER(F140))),$J$2=""),"",MIN(100,ROUND(SUM($G140:N140),1)))</f>
        <v/>
      </c>
      <c r="BL140" s="1" t="str">
        <f aca="false">IF(OR(NOT(AND(ISNUMBER(E140),ISNUMBER(F140))),$J$2=""),"",MIN(100,ROUND(SUM($G140:O140),1)))</f>
        <v/>
      </c>
      <c r="BM140" s="1" t="str">
        <f aca="false">IF(OR(NOT(AND(ISNUMBER(E140),ISNUMBER(F140))),$J$2=""),"",MIN(100,ROUND(SUM($G140:P140),1)))</f>
        <v/>
      </c>
      <c r="BN140" s="1" t="str">
        <f aca="false">IF(OR(NOT(AND(ISNUMBER(E140),ISNUMBER(F140))),$J$2=""),"",MIN(100,ROUND(SUM($G140:P140),1)))</f>
        <v/>
      </c>
      <c r="BO140" s="1" t="str">
        <f aca="false">IF(OR(NOT(AND(ISNUMBER(E140),ISNUMBER(F140))),$J$2=""),"",MIN(100,ROUND(SUM($G140:P140),1)))</f>
        <v/>
      </c>
      <c r="BP140" s="1" t="str">
        <f aca="false">IF(OR(NOT(AND(ISNUMBER(E140),ISNUMBER(F140))),$J$2=""),"",MIN(100,ROUND(SUM($G140:P140),1)))</f>
        <v/>
      </c>
      <c r="BQ140" s="1" t="str">
        <f aca="false">IF(OR(NOT(AND(ISNUMBER(E140),ISNUMBER(F140))),$J$2=""),"",MIN(100,ROUND(SUM($G140:P140),1)))</f>
        <v/>
      </c>
      <c r="BR140" s="1" t="str">
        <f aca="false">IF(OR(NOT(AND(ISNUMBER(E140),ISNUMBER(F140))),$J$2=""),"",MIN(100,ROUND(SUM($G140:P140),1)))</f>
        <v/>
      </c>
      <c r="BS140" s="1" t="str">
        <f aca="false">IF(OR(NOT(AND(ISNUMBER(E140),ISNUMBER(F140))),$J$2=""),"",MIN(100,ROUND(SUM($G140:P140),1)))</f>
        <v/>
      </c>
      <c r="BT140" s="1" t="str">
        <f aca="false">IF(OR(NOT(AND(ISNUMBER(E140),ISNUMBER(F140))),$J$2=""),"",IF(Reprogramaciones!K$13&lt;Reprogramaciones!$T$15,0,IF(Reprogramaciones!K$14&gt;10,MIN(100,SUM($G140:$P140)),MIN(100,SUMPRODUCT((COLUMN($G140:$P140)-COLUMN($G140)+1&lt;Reprogramaciones!K$14)*$G140:$P140)+N(INDEX($G140:$P140,1,Reprogramaciones!K$14))*IF(Reprogramaciones!K$13&gt;=(Reprogramaciones!$T$15+7*(Reprogramaciones!K$14-1))+6,1,IF(MAX(0,NETWORKDAYS.INTL(MAX(E140,(Reprogramaciones!$T$15+7*(Reprogramaciones!K$14-1))),MIN(F140,(Reprogramaciones!$T$15+7*(Reprogramaciones!K$14-1))+6),11))=0,0,MAX(0,NETWORKDAYS.INTL(MAX(E140,(Reprogramaciones!$T$15+7*(Reprogramaciones!K$14-1))),MIN(F140,Reprogramaciones!K$13),11))/MAX(0,NETWORKDAYS.INTL(MAX(E140,(Reprogramaciones!$T$15+7*(Reprogramaciones!K$14-1))),MIN(F140,(Reprogramaciones!$T$15+7*(Reprogramaciones!K$14-1))+6),11))))))))</f>
        <v/>
      </c>
      <c r="BU140" s="1" t="str">
        <f aca="false">IF(OR(NOT(AND(ISNUMBER(E140),ISNUMBER(F140))),$J$2=""),"",IF(Reprogramaciones!L$13&lt;Reprogramaciones!$T$15,0,IF(Reprogramaciones!L$14&gt;10,MIN(100,SUM($G140:$P140)),MIN(100,SUMPRODUCT((COLUMN($G140:$P140)-COLUMN($G140)+1&lt;Reprogramaciones!L$14)*$G140:$P140)+N(INDEX($G140:$P140,1,Reprogramaciones!L$14))*IF(Reprogramaciones!L$13&gt;=(Reprogramaciones!$T$15+7*(Reprogramaciones!L$14-1))+6,1,IF(MAX(0,NETWORKDAYS.INTL(MAX(E140,(Reprogramaciones!$T$15+7*(Reprogramaciones!L$14-1))),MIN(F140,(Reprogramaciones!$T$15+7*(Reprogramaciones!L$14-1))+6),11))=0,0,MAX(0,NETWORKDAYS.INTL(MAX(E140,(Reprogramaciones!$T$15+7*(Reprogramaciones!L$14-1))),MIN(F140,Reprogramaciones!L$13),11))/MAX(0,NETWORKDAYS.INTL(MAX(E140,(Reprogramaciones!$T$15+7*(Reprogramaciones!L$14-1))),MIN(F140,(Reprogramaciones!$T$15+7*(Reprogramaciones!L$14-1))+6),11))))))))</f>
        <v/>
      </c>
      <c r="BV140" s="1" t="str">
        <f aca="false">IF(OR(NOT(AND(ISNUMBER(E140),ISNUMBER(F140))),$J$2=""),"",IF(Reprogramaciones!M$13&lt;Reprogramaciones!$T$15,0,IF(Reprogramaciones!M$14&gt;10,MIN(100,SUM($G140:$P140)),MIN(100,SUMPRODUCT((COLUMN($G140:$P140)-COLUMN($G140)+1&lt;Reprogramaciones!M$14)*$G140:$P140)+N(INDEX($G140:$P140,1,Reprogramaciones!M$14))*IF(Reprogramaciones!M$13&gt;=(Reprogramaciones!$T$15+7*(Reprogramaciones!M$14-1))+6,1,IF(MAX(0,NETWORKDAYS.INTL(MAX(E140,(Reprogramaciones!$T$15+7*(Reprogramaciones!M$14-1))),MIN(F140,(Reprogramaciones!$T$15+7*(Reprogramaciones!M$14-1))+6),11))=0,0,MAX(0,NETWORKDAYS.INTL(MAX(E140,(Reprogramaciones!$T$15+7*(Reprogramaciones!M$14-1))),MIN(F140,Reprogramaciones!M$13),11))/MAX(0,NETWORKDAYS.INTL(MAX(E140,(Reprogramaciones!$T$15+7*(Reprogramaciones!M$14-1))),MIN(F140,(Reprogramaciones!$T$15+7*(Reprogramaciones!M$14-1))+6),11))))))))</f>
        <v/>
      </c>
      <c r="BW140" s="1" t="str">
        <f aca="false">IF(OR(NOT(AND(ISNUMBER(E140),ISNUMBER(F140))),$J$2=""),"",IF(Reprogramaciones!N$13&lt;Reprogramaciones!$T$15,0,IF(Reprogramaciones!N$14&gt;10,MIN(100,SUM($G140:$P140)),MIN(100,SUMPRODUCT((COLUMN($G140:$P140)-COLUMN($G140)+1&lt;Reprogramaciones!N$14)*$G140:$P140)+N(INDEX($G140:$P140,1,Reprogramaciones!N$14))*IF(Reprogramaciones!N$13&gt;=(Reprogramaciones!$T$15+7*(Reprogramaciones!N$14-1))+6,1,IF(MAX(0,NETWORKDAYS.INTL(MAX(E140,(Reprogramaciones!$T$15+7*(Reprogramaciones!N$14-1))),MIN(F140,(Reprogramaciones!$T$15+7*(Reprogramaciones!N$14-1))+6),11))=0,0,MAX(0,NETWORKDAYS.INTL(MAX(E140,(Reprogramaciones!$T$15+7*(Reprogramaciones!N$14-1))),MIN(F140,Reprogramaciones!N$13),11))/MAX(0,NETWORKDAYS.INTL(MAX(E140,(Reprogramaciones!$T$15+7*(Reprogramaciones!N$14-1))),MIN(F140,(Reprogramaciones!$T$15+7*(Reprogramaciones!N$14-1))+6),11))))))))</f>
        <v/>
      </c>
      <c r="BX140" s="1" t="str">
        <f aca="false">IF(OR(NOT(AND(ISNUMBER(E140),ISNUMBER(F140))),$J$2=""),"",IF(Reprogramaciones!O$13&lt;Reprogramaciones!$T$15,0,IF(Reprogramaciones!O$14&gt;10,MIN(100,SUM($G140:$P140)),MIN(100,SUMPRODUCT((COLUMN($G140:$P140)-COLUMN($G140)+1&lt;Reprogramaciones!O$14)*$G140:$P140)+N(INDEX($G140:$P140,1,Reprogramaciones!O$14))*IF(Reprogramaciones!O$13&gt;=(Reprogramaciones!$T$15+7*(Reprogramaciones!O$14-1))+6,1,IF(MAX(0,NETWORKDAYS.INTL(MAX(E140,(Reprogramaciones!$T$15+7*(Reprogramaciones!O$14-1))),MIN(F140,(Reprogramaciones!$T$15+7*(Reprogramaciones!O$14-1))+6),11))=0,0,MAX(0,NETWORKDAYS.INTL(MAX(E140,(Reprogramaciones!$T$15+7*(Reprogramaciones!O$14-1))),MIN(F140,Reprogramaciones!O$13),11))/MAX(0,NETWORKDAYS.INTL(MAX(E140,(Reprogramaciones!$T$15+7*(Reprogramaciones!O$14-1))),MIN(F140,(Reprogramaciones!$T$15+7*(Reprogramaciones!O$14-1))+6),11))))))))</f>
        <v/>
      </c>
      <c r="BY140" s="1" t="str">
        <f aca="false">IF(OR(NOT(AND(ISNUMBER(E140),ISNUMBER(F140))),$J$2=""),"",IF(Reprogramaciones!P$13&lt;Reprogramaciones!$T$15,0,IF(Reprogramaciones!P$14&gt;10,MIN(100,SUM($G140:$P140)),MIN(100,SUMPRODUCT((COLUMN($G140:$P140)-COLUMN($G140)+1&lt;Reprogramaciones!P$14)*$G140:$P140)+N(INDEX($G140:$P140,1,Reprogramaciones!P$14))*IF(Reprogramaciones!P$13&gt;=(Reprogramaciones!$T$15+7*(Reprogramaciones!P$14-1))+6,1,IF(MAX(0,NETWORKDAYS.INTL(MAX(E140,(Reprogramaciones!$T$15+7*(Reprogramaciones!P$14-1))),MIN(F140,(Reprogramaciones!$T$15+7*(Reprogramaciones!P$14-1))+6),11))=0,0,MAX(0,NETWORKDAYS.INTL(MAX(E140,(Reprogramaciones!$T$15+7*(Reprogramaciones!P$14-1))),MIN(F140,Reprogramaciones!P$13),11))/MAX(0,NETWORKDAYS.INTL(MAX(E140,(Reprogramaciones!$T$15+7*(Reprogramaciones!P$14-1))),MIN(F140,(Reprogramaciones!$T$15+7*(Reprogramaciones!P$14-1))+6),11))))))))</f>
        <v/>
      </c>
      <c r="BZ140" s="1" t="str">
        <f aca="false">IF(OR(NOT(AND(ISNUMBER(E140),ISNUMBER(F140))),$J$2=""),"",IF(Reprogramaciones!Q$13&lt;Reprogramaciones!$T$15,0,IF(Reprogramaciones!Q$14&gt;10,MIN(100,SUM($G140:$P140)),MIN(100,SUMPRODUCT((COLUMN($G140:$P140)-COLUMN($G140)+1&lt;Reprogramaciones!Q$14)*$G140:$P140)+N(INDEX($G140:$P140,1,Reprogramaciones!Q$14))*IF(Reprogramaciones!Q$13&gt;=(Reprogramaciones!$T$15+7*(Reprogramaciones!Q$14-1))+6,1,IF(MAX(0,NETWORKDAYS.INTL(MAX(E140,(Reprogramaciones!$T$15+7*(Reprogramaciones!Q$14-1))),MIN(F140,(Reprogramaciones!$T$15+7*(Reprogramaciones!Q$14-1))+6),11))=0,0,MAX(0,NETWORKDAYS.INTL(MAX(E140,(Reprogramaciones!$T$15+7*(Reprogramaciones!Q$14-1))),MIN(F140,Reprogramaciones!Q$13),11))/MAX(0,NETWORKDAYS.INTL(MAX(E140,(Reprogramaciones!$T$15+7*(Reprogramaciones!Q$14-1))),MIN(F140,(Reprogramaciones!$T$15+7*(Reprogramaciones!Q$14-1))+6),11))))))))</f>
        <v/>
      </c>
      <c r="CA140" s="1" t="str">
        <f aca="false">IF(OR(NOT(AND(ISNUMBER(E140),ISNUMBER(F140))),$J$2=""),"",IF(Reprogramaciones!R$13&lt;Reprogramaciones!$T$15,0,IF(Reprogramaciones!R$14&gt;10,MIN(100,SUM($G140:$P140)),MIN(100,SUMPRODUCT((COLUMN($G140:$P140)-COLUMN($G140)+1&lt;Reprogramaciones!R$14)*$G140:$P140)+N(INDEX($G140:$P140,1,Reprogramaciones!R$14))*IF(Reprogramaciones!R$13&gt;=(Reprogramaciones!$T$15+7*(Reprogramaciones!R$14-1))+6,1,IF(MAX(0,NETWORKDAYS.INTL(MAX(E140,(Reprogramaciones!$T$15+7*(Reprogramaciones!R$14-1))),MIN(F140,(Reprogramaciones!$T$15+7*(Reprogramaciones!R$14-1))+6),11))=0,0,MAX(0,NETWORKDAYS.INTL(MAX(E140,(Reprogramaciones!$T$15+7*(Reprogramaciones!R$14-1))),MIN(F140,Reprogramaciones!R$13),11))/MAX(0,NETWORKDAYS.INTL(MAX(E140,(Reprogramaciones!$T$15+7*(Reprogramaciones!R$14-1))),MIN(F140,(Reprogramaciones!$T$15+7*(Reprogramaciones!R$14-1))+6),11))))))))</f>
        <v/>
      </c>
      <c r="CB140" s="1" t="str">
        <f aca="false">IF(OR(NOT(AND(ISNUMBER(E140),ISNUMBER(F140))),$J$2=""),"",IF(Reprogramaciones!S$13&lt;Reprogramaciones!$T$15,0,IF(Reprogramaciones!S$14&gt;10,MIN(100,SUM($G140:$P140)),MIN(100,SUMPRODUCT((COLUMN($G140:$P140)-COLUMN($G140)+1&lt;Reprogramaciones!S$14)*$G140:$P140)+N(INDEX($G140:$P140,1,Reprogramaciones!S$14))*IF(Reprogramaciones!S$13&gt;=(Reprogramaciones!$T$15+7*(Reprogramaciones!S$14-1))+6,1,IF(MAX(0,NETWORKDAYS.INTL(MAX(E140,(Reprogramaciones!$T$15+7*(Reprogramaciones!S$14-1))),MIN(F140,(Reprogramaciones!$T$15+7*(Reprogramaciones!S$14-1))+6),11))=0,0,MAX(0,NETWORKDAYS.INTL(MAX(E140,(Reprogramaciones!$T$15+7*(Reprogramaciones!S$14-1))),MIN(F140,Reprogramaciones!S$13),11))/MAX(0,NETWORKDAYS.INTL(MAX(E140,(Reprogramaciones!$T$15+7*(Reprogramaciones!S$14-1))),MIN(F140,(Reprogramaciones!$T$15+7*(Reprogramaciones!S$14-1))+6),11))))))))</f>
        <v/>
      </c>
      <c r="CC140" s="1" t="str">
        <f aca="false">IF(OR(NOT(AND(ISNUMBER(E140),ISNUMBER(F140))),$J$2=""),"",IF(Reprogramaciones!T$13&lt;Reprogramaciones!$T$15,0,IF(Reprogramaciones!T$14&gt;10,MIN(100,SUM($G140:$P140)),MIN(100,SUMPRODUCT((COLUMN($G140:$P140)-COLUMN($G140)+1&lt;Reprogramaciones!T$14)*$G140:$P140)+N(INDEX($G140:$P140,1,Reprogramaciones!T$14))*IF(Reprogramaciones!T$13&gt;=(Reprogramaciones!$T$15+7*(Reprogramaciones!T$14-1))+6,1,IF(MAX(0,NETWORKDAYS.INTL(MAX(E140,(Reprogramaciones!$T$15+7*(Reprogramaciones!T$14-1))),MIN(F140,(Reprogramaciones!$T$15+7*(Reprogramaciones!T$14-1))+6),11))=0,0,MAX(0,NETWORKDAYS.INTL(MAX(E140,(Reprogramaciones!$T$15+7*(Reprogramaciones!T$14-1))),MIN(F140,Reprogramaciones!T$13),11))/MAX(0,NETWORKDAYS.INTL(MAX(E140,(Reprogramaciones!$T$15+7*(Reprogramaciones!T$14-1))),MIN(F140,(Reprogramaciones!$T$15+7*(Reprogramaciones!T$14-1))+6),11))))))))</f>
        <v/>
      </c>
      <c r="CD140" s="1" t="str">
        <f aca="false">IF(OR(NOT(AND(ISNUMBER(E140),ISNUMBER(F140))),$J$2=""),"",IF(Reprogramaciones!U$13&lt;Reprogramaciones!$T$15,0,IF(Reprogramaciones!U$14&gt;10,MIN(100,SUM($G140:$P140)),MIN(100,SUMPRODUCT((COLUMN($G140:$P140)-COLUMN($G140)+1&lt;Reprogramaciones!U$14)*$G140:$P140)+N(INDEX($G140:$P140,1,Reprogramaciones!U$14))*IF(Reprogramaciones!U$13&gt;=(Reprogramaciones!$T$15+7*(Reprogramaciones!U$14-1))+6,1,IF(MAX(0,NETWORKDAYS.INTL(MAX(E140,(Reprogramaciones!$T$15+7*(Reprogramaciones!U$14-1))),MIN(F140,(Reprogramaciones!$T$15+7*(Reprogramaciones!U$14-1))+6),11))=0,0,MAX(0,NETWORKDAYS.INTL(MAX(E140,(Reprogramaciones!$T$15+7*(Reprogramaciones!U$14-1))),MIN(F140,Reprogramaciones!U$13),11))/MAX(0,NETWORKDAYS.INTL(MAX(E140,(Reprogramaciones!$T$15+7*(Reprogramaciones!U$14-1))),MIN(F140,(Reprogramaciones!$T$15+7*(Reprogramaciones!U$14-1))+6),11))))))))</f>
        <v/>
      </c>
      <c r="CE140" s="1" t="str">
        <f aca="false">IF(OR(NOT(AND(ISNUMBER(E140),ISNUMBER(F140))),$J$2=""),"",IF(Reprogramaciones!V$13&lt;Reprogramaciones!$T$15,0,IF(Reprogramaciones!V$14&gt;10,MIN(100,SUM($G140:$P140)),MIN(100,SUMPRODUCT((COLUMN($G140:$P140)-COLUMN($G140)+1&lt;Reprogramaciones!V$14)*$G140:$P140)+N(INDEX($G140:$P140,1,Reprogramaciones!V$14))*IF(Reprogramaciones!V$13&gt;=(Reprogramaciones!$T$15+7*(Reprogramaciones!V$14-1))+6,1,IF(MAX(0,NETWORKDAYS.INTL(MAX(E140,(Reprogramaciones!$T$15+7*(Reprogramaciones!V$14-1))),MIN(F140,(Reprogramaciones!$T$15+7*(Reprogramaciones!V$14-1))+6),11))=0,0,MAX(0,NETWORKDAYS.INTL(MAX(E140,(Reprogramaciones!$T$15+7*(Reprogramaciones!V$14-1))),MIN(F140,Reprogramaciones!V$13),11))/MAX(0,NETWORKDAYS.INTL(MAX(E140,(Reprogramaciones!$T$15+7*(Reprogramaciones!V$14-1))),MIN(F140,(Reprogramaciones!$T$15+7*(Reprogramaciones!V$14-1))+6),11))))))))</f>
        <v/>
      </c>
      <c r="CF140" s="1" t="str">
        <f aca="false">IF(OR(NOT(AND(ISNUMBER(E140),ISNUMBER(F140))),$J$2=""),"",IF(Reprogramaciones!W$13&lt;Reprogramaciones!$T$15,0,IF(Reprogramaciones!W$14&gt;10,MIN(100,SUM($G140:$P140)),MIN(100,SUMPRODUCT((COLUMN($G140:$P140)-COLUMN($G140)+1&lt;Reprogramaciones!W$14)*$G140:$P140)+N(INDEX($G140:$P140,1,Reprogramaciones!W$14))*IF(Reprogramaciones!W$13&gt;=(Reprogramaciones!$T$15+7*(Reprogramaciones!W$14-1))+6,1,IF(MAX(0,NETWORKDAYS.INTL(MAX(E140,(Reprogramaciones!$T$15+7*(Reprogramaciones!W$14-1))),MIN(F140,(Reprogramaciones!$T$15+7*(Reprogramaciones!W$14-1))+6),11))=0,0,MAX(0,NETWORKDAYS.INTL(MAX(E140,(Reprogramaciones!$T$15+7*(Reprogramaciones!W$14-1))),MIN(F140,Reprogramaciones!W$13),11))/MAX(0,NETWORKDAYS.INTL(MAX(E140,(Reprogramaciones!$T$15+7*(Reprogramaciones!W$14-1))),MIN(F140,(Reprogramaciones!$T$15+7*(Reprogramaciones!W$14-1))+6),11))))))))</f>
        <v/>
      </c>
      <c r="CG140" s="1" t="str">
        <f aca="false">IF(OR(NOT(AND(ISNUMBER(E140),ISNUMBER(F140))),$J$2=""),"",IF(Reprogramaciones!X$13&lt;Reprogramaciones!$T$15,0,IF(Reprogramaciones!X$14&gt;10,MIN(100,SUM($G140:$P140)),MIN(100,SUMPRODUCT((COLUMN($G140:$P140)-COLUMN($G140)+1&lt;Reprogramaciones!X$14)*$G140:$P140)+N(INDEX($G140:$P140,1,Reprogramaciones!X$14))*IF(Reprogramaciones!X$13&gt;=(Reprogramaciones!$T$15+7*(Reprogramaciones!X$14-1))+6,1,IF(MAX(0,NETWORKDAYS.INTL(MAX(E140,(Reprogramaciones!$T$15+7*(Reprogramaciones!X$14-1))),MIN(F140,(Reprogramaciones!$T$15+7*(Reprogramaciones!X$14-1))+6),11))=0,0,MAX(0,NETWORKDAYS.INTL(MAX(E140,(Reprogramaciones!$T$15+7*(Reprogramaciones!X$14-1))),MIN(F140,Reprogramaciones!X$13),11))/MAX(0,NETWORKDAYS.INTL(MAX(E140,(Reprogramaciones!$T$15+7*(Reprogramaciones!X$14-1))),MIN(F140,(Reprogramaciones!$T$15+7*(Reprogramaciones!X$14-1))+6),11))))))))</f>
        <v/>
      </c>
      <c r="CH140" s="1" t="str">
        <f aca="false">IF(OR(NOT(AND(ISNUMBER(E140),ISNUMBER(F140))),$J$2=""),"",IF(Reprogramaciones!Y$13&lt;Reprogramaciones!$T$15,0,IF(Reprogramaciones!Y$14&gt;10,MIN(100,SUM($G140:$P140)),MIN(100,SUMPRODUCT((COLUMN($G140:$P140)-COLUMN($G140)+1&lt;Reprogramaciones!Y$14)*$G140:$P140)+N(INDEX($G140:$P140,1,Reprogramaciones!Y$14))*IF(Reprogramaciones!Y$13&gt;=(Reprogramaciones!$T$15+7*(Reprogramaciones!Y$14-1))+6,1,IF(MAX(0,NETWORKDAYS.INTL(MAX(E140,(Reprogramaciones!$T$15+7*(Reprogramaciones!Y$14-1))),MIN(F140,(Reprogramaciones!$T$15+7*(Reprogramaciones!Y$14-1))+6),11))=0,0,MAX(0,NETWORKDAYS.INTL(MAX(E140,(Reprogramaciones!$T$15+7*(Reprogramaciones!Y$14-1))),MIN(F140,Reprogramaciones!Y$13),11))/MAX(0,NETWORKDAYS.INTL(MAX(E140,(Reprogramaciones!$T$15+7*(Reprogramaciones!Y$14-1))),MIN(F140,(Reprogramaciones!$T$15+7*(Reprogramaciones!Y$14-1))+6),11))))))))</f>
        <v/>
      </c>
      <c r="CI140" s="1" t="str">
        <f aca="false">IF(OR(NOT(AND(ISNUMBER(E140),ISNUMBER(F140))),$J$2=""),"",IF(Reprogramaciones!Z$13&lt;Reprogramaciones!$T$15,0,IF(Reprogramaciones!Z$14&gt;10,MIN(100,SUM($G140:$P140)),MIN(100,SUMPRODUCT((COLUMN($G140:$P140)-COLUMN($G140)+1&lt;Reprogramaciones!Z$14)*$G140:$P140)+N(INDEX($G140:$P140,1,Reprogramaciones!Z$14))*IF(Reprogramaciones!Z$13&gt;=(Reprogramaciones!$T$15+7*(Reprogramaciones!Z$14-1))+6,1,IF(MAX(0,NETWORKDAYS.INTL(MAX(E140,(Reprogramaciones!$T$15+7*(Reprogramaciones!Z$14-1))),MIN(F140,(Reprogramaciones!$T$15+7*(Reprogramaciones!Z$14-1))+6),11))=0,0,MAX(0,NETWORKDAYS.INTL(MAX(E140,(Reprogramaciones!$T$15+7*(Reprogramaciones!Z$14-1))),MIN(F140,Reprogramaciones!Z$13),11))/MAX(0,NETWORKDAYS.INTL(MAX(E140,(Reprogramaciones!$T$15+7*(Reprogramaciones!Z$14-1))),MIN(F140,(Reprogramaciones!$T$15+7*(Reprogramaciones!Z$14-1))+6),11))))))))</f>
        <v/>
      </c>
      <c r="CJ140" s="1" t="str">
        <f aca="false">IF(OR(OR(NOT(AND(ISNUMBER(E140),ISNUMBER(F140))),$J$2=""),1&gt;Reprogramaciones!$K$16),"",IF(ROUND(SUM($Q140:Q140),1)&gt;=99.5,100,MIN(100,ROUND(SUM($Q140:Q140),1))))</f>
        <v/>
      </c>
      <c r="CK140" s="1" t="str">
        <f aca="false">IF(OR(OR(NOT(AND(ISNUMBER(E140),ISNUMBER(F140))),$J$2=""),2&gt;Reprogramaciones!$K$16),"",IF(ROUND(SUM($Q140:R140),1)&gt;=99.5,100,MIN(100,ROUND(SUM($Q140:R140),1))))</f>
        <v/>
      </c>
      <c r="CL140" s="1" t="str">
        <f aca="false">IF(OR(OR(NOT(AND(ISNUMBER(E140),ISNUMBER(F140))),$J$2=""),3&gt;Reprogramaciones!$K$16),"",IF(ROUND(SUM($Q140:S140),1)&gt;=99.5,100,MIN(100,ROUND(SUM($Q140:S140),1))))</f>
        <v/>
      </c>
      <c r="CM140" s="1" t="str">
        <f aca="false">IF(OR(OR(NOT(AND(ISNUMBER(E140),ISNUMBER(F140))),$J$2=""),4&gt;Reprogramaciones!$K$16),"",IF(ROUND(SUM($Q140:T140),1)&gt;=99.5,100,MIN(100,ROUND(SUM($Q140:T140),1))))</f>
        <v/>
      </c>
      <c r="CN140" s="1" t="str">
        <f aca="false">IF(OR(OR(NOT(AND(ISNUMBER(E140),ISNUMBER(F140))),$J$2=""),5&gt;Reprogramaciones!$K$16),"",IF(ROUND(SUM($Q140:U140),1)&gt;=99.5,100,MIN(100,ROUND(SUM($Q140:U140),1))))</f>
        <v/>
      </c>
      <c r="CO140" s="1" t="str">
        <f aca="false">IF(OR(OR(NOT(AND(ISNUMBER(E140),ISNUMBER(F140))),$J$2=""),6&gt;Reprogramaciones!$K$16),"",IF(ROUND(SUM($Q140:V140),1)&gt;=99.5,100,MIN(100,ROUND(SUM($Q140:V140),1))))</f>
        <v/>
      </c>
      <c r="CP140" s="1" t="str">
        <f aca="false">IF(OR(OR(NOT(AND(ISNUMBER(E140),ISNUMBER(F140))),$J$2=""),7&gt;Reprogramaciones!$K$16),"",IF(ROUND(SUM($Q140:W140),1)&gt;=99.5,100,MIN(100,ROUND(SUM($Q140:W140),1))))</f>
        <v/>
      </c>
      <c r="CQ140" s="1" t="str">
        <f aca="false">IF(OR(OR(NOT(AND(ISNUMBER(E140),ISNUMBER(F140))),$J$2=""),8&gt;Reprogramaciones!$K$16),"",IF(ROUND(SUM($Q140:X140),1)&gt;=99.5,100,MIN(100,ROUND(SUM($Q140:X140),1))))</f>
        <v/>
      </c>
      <c r="CR140" s="1" t="str">
        <f aca="false">IF(OR(OR(NOT(AND(ISNUMBER(E140),ISNUMBER(F140))),$J$2=""),9&gt;Reprogramaciones!$K$16),"",IF(ROUND(SUM($Q140:Y140),1)&gt;=99.5,100,MIN(100,ROUND(SUM($Q140:Y140),1))))</f>
        <v/>
      </c>
      <c r="CS140" s="1" t="str">
        <f aca="false">IF(OR(OR(NOT(AND(ISNUMBER(E140),ISNUMBER(F140))),$J$2=""),10&gt;Reprogramaciones!$K$16),"",IF(ROUND(SUM($Q140:Z140),1)&gt;=99.5,100,MIN(100,ROUND(SUM($Q140:Z140),1))))</f>
        <v/>
      </c>
      <c r="CT140" s="1" t="str">
        <f aca="false">IF(OR(OR(NOT(AND(ISNUMBER(E140),ISNUMBER(F140))),$J$2=""),11&gt;Reprogramaciones!$K$16),"",IF(ROUND(SUM($Q140:AA140),1)&gt;=99.5,100,MIN(100,ROUND(SUM($Q140:AA140),1))))</f>
        <v/>
      </c>
      <c r="CU140" s="1" t="str">
        <f aca="false">IF(OR(OR(NOT(AND(ISNUMBER(E140),ISNUMBER(F140))),$J$2=""),12&gt;Reprogramaciones!$K$16),"",IF(ROUND(SUM($Q140:AB140),1)&gt;=99.5,100,MIN(100,ROUND(SUM($Q140:AB140),1))))</f>
        <v/>
      </c>
      <c r="CV140" s="1" t="str">
        <f aca="false">IF(OR(OR(NOT(AND(ISNUMBER(E140),ISNUMBER(F140))),$J$2=""),13&gt;Reprogramaciones!$K$16),"",IF(ROUND(SUM($Q140:AC140),1)&gt;=99.5,100,MIN(100,ROUND(SUM($Q140:AC140),1))))</f>
        <v/>
      </c>
      <c r="CW140" s="1" t="str">
        <f aca="false">IF(OR(OR(NOT(AND(ISNUMBER(E140),ISNUMBER(F140))),$J$2=""),14&gt;Reprogramaciones!$K$16),"",IF(ROUND(SUM($Q140:AD140),1)&gt;=99.5,100,MIN(100,ROUND(SUM($Q140:AD140),1))))</f>
        <v/>
      </c>
      <c r="CX140" s="1" t="str">
        <f aca="false">IF(OR(OR(NOT(AND(ISNUMBER(E140),ISNUMBER(F140))),$J$2=""),15&gt;Reprogramaciones!$K$16),"",IF(ROUND(SUM($Q140:AE140),1)&gt;=99.5,100,MIN(100,ROUND(SUM($Q140:AE140),1))))</f>
        <v/>
      </c>
      <c r="CY140" s="1" t="str">
        <f aca="false">IF(OR(OR(NOT(AND(ISNUMBER(E140),ISNUMBER(F140))),$J$2=""),16&gt;Reprogramaciones!$K$16),"",IF(ROUND(SUM($Q140:AF140),1)&gt;=99.5,100,MIN(100,ROUND(SUM($Q140:AF140),1))))</f>
        <v/>
      </c>
      <c r="CZ140" s="1" t="str">
        <f aca="false">IF(D140&lt;&gt;"",D140,IF(B140&lt;&gt;"","Contractual",CZ139))</f>
        <v>Contractual</v>
      </c>
      <c r="DA140" s="1" t="str">
        <f aca="false">IF(OR(NOT(AND(ISNUMBER(E140),ISNUMBER(F140))),$J$2=""),"",IF(Reprogramaciones!$Q$15&lt;Reprogramaciones!$T$15,0,IF(Reprogramaciones!$S$15&gt;10,MIN(100,SUM($G140:$P140)),MIN(100,SUMPRODUCT((COLUMN($G140:$P140)-COLUMN($G140)+1&lt;Reprogramaciones!$S$15)*$G140:$P140)+N(INDEX($G140:$P140,1,Reprogramaciones!$S$15))*IF(Reprogramaciones!$Q$15&gt;=(Reprogramaciones!$T$15+7*(Reprogramaciones!$S$15-1))+6,1,IF(MAX(0,NETWORKDAYS.INTL(MAX(E140,(Reprogramaciones!$T$15+7*(Reprogramaciones!$S$15-1))),MIN(F140,(Reprogramaciones!$T$15+7*(Reprogramaciones!$S$15-1))+6),11))=0,0,MAX(0,NETWORKDAYS.INTL(MAX(E140,(Reprogramaciones!$T$15+7*(Reprogramaciones!$S$15-1))),MIN(F140,Reprogramaciones!$Q$15),11))/MAX(0,NETWORKDAYS.INTL(MAX(E140,(Reprogramaciones!$T$15+7*(Reprogramaciones!$S$15-1))),MIN(F140,(Reprogramaciones!$T$15+7*(Reprogramaciones!$S$15-1))+6),11))))))))</f>
        <v/>
      </c>
    </row>
    <row r="141" customFormat="false" ht="15" hidden="false" customHeight="false" outlineLevel="0" collapsed="false">
      <c r="A141" s="32"/>
      <c r="B141" s="33"/>
      <c r="C141" s="33"/>
      <c r="D141" s="34"/>
      <c r="E141" s="35"/>
      <c r="F141" s="35"/>
      <c r="G141" s="36" t="str">
        <f aca="false">IF(OR(NOT(AND(ISNUMBER(E141),ISNUMBER(F141))),$J$2=""),"",IF(Reprogramaciones!K$9&lt;E141,0,IF(NETWORKDAYS.INTL(E141,F141,11)=0,IF(Reprogramaciones!K$9&gt;=F141,100,0),ROUND(NETWORKDAYS.INTL(E141,MIN(F141,Reprogramaciones!K$9),11)/NETWORKDAYS.INTL(E141,F141,11)*100,1)))-0)</f>
        <v/>
      </c>
      <c r="H141" s="36" t="str">
        <f aca="false">IF(OR(NOT(AND(ISNUMBER(E141),ISNUMBER(F141))),$J$2=""),"",IF(Reprogramaciones!L$9&lt;E141,0,IF(NETWORKDAYS.INTL(E141,F141,11)=0,IF(Reprogramaciones!L$9&gt;=F141,100,0),ROUND(NETWORKDAYS.INTL(E141,MIN(F141,Reprogramaciones!L$9),11)/NETWORKDAYS.INTL(E141,F141,11)*100,1)))-IF(Reprogramaciones!K$9&lt;E141,0,IF(NETWORKDAYS.INTL(E141,F141,11)=0,IF(Reprogramaciones!K$9&gt;=F141,100,0),ROUND(NETWORKDAYS.INTL(E141,MIN(F141,Reprogramaciones!K$9),11)/NETWORKDAYS.INTL(E141,F141,11)*100,1))))</f>
        <v/>
      </c>
      <c r="I141" s="36" t="str">
        <f aca="false">IF(OR(NOT(AND(ISNUMBER(E141),ISNUMBER(F141))),$J$2=""),"",IF(Reprogramaciones!M$9&lt;E141,0,IF(NETWORKDAYS.INTL(E141,F141,11)=0,IF(Reprogramaciones!M$9&gt;=F141,100,0),ROUND(NETWORKDAYS.INTL(E141,MIN(F141,Reprogramaciones!M$9),11)/NETWORKDAYS.INTL(E141,F141,11)*100,1)))-IF(Reprogramaciones!L$9&lt;E141,0,IF(NETWORKDAYS.INTL(E141,F141,11)=0,IF(Reprogramaciones!L$9&gt;=F141,100,0),ROUND(NETWORKDAYS.INTL(E141,MIN(F141,Reprogramaciones!L$9),11)/NETWORKDAYS.INTL(E141,F141,11)*100,1))))</f>
        <v/>
      </c>
      <c r="J141" s="36" t="str">
        <f aca="false">IF(OR(NOT(AND(ISNUMBER(E141),ISNUMBER(F141))),$J$2=""),"",IF(Reprogramaciones!N$9&lt;E141,0,IF(NETWORKDAYS.INTL(E141,F141,11)=0,IF(Reprogramaciones!N$9&gt;=F141,100,0),ROUND(NETWORKDAYS.INTL(E141,MIN(F141,Reprogramaciones!N$9),11)/NETWORKDAYS.INTL(E141,F141,11)*100,1)))-IF(Reprogramaciones!M$9&lt;E141,0,IF(NETWORKDAYS.INTL(E141,F141,11)=0,IF(Reprogramaciones!M$9&gt;=F141,100,0),ROUND(NETWORKDAYS.INTL(E141,MIN(F141,Reprogramaciones!M$9),11)/NETWORKDAYS.INTL(E141,F141,11)*100,1))))</f>
        <v/>
      </c>
      <c r="K141" s="36" t="str">
        <f aca="false">IF(OR(NOT(AND(ISNUMBER(E141),ISNUMBER(F141))),$J$2=""),"",IF(Reprogramaciones!O$9&lt;E141,0,IF(NETWORKDAYS.INTL(E141,F141,11)=0,IF(Reprogramaciones!O$9&gt;=F141,100,0),ROUND(NETWORKDAYS.INTL(E141,MIN(F141,Reprogramaciones!O$9),11)/NETWORKDAYS.INTL(E141,F141,11)*100,1)))-IF(Reprogramaciones!N$9&lt;E141,0,IF(NETWORKDAYS.INTL(E141,F141,11)=0,IF(Reprogramaciones!N$9&gt;=F141,100,0),ROUND(NETWORKDAYS.INTL(E141,MIN(F141,Reprogramaciones!N$9),11)/NETWORKDAYS.INTL(E141,F141,11)*100,1))))</f>
        <v/>
      </c>
      <c r="L141" s="36" t="str">
        <f aca="false">IF(OR(NOT(AND(ISNUMBER(E141),ISNUMBER(F141))),$J$2=""),"",IF(Reprogramaciones!P$9&lt;E141,0,IF(NETWORKDAYS.INTL(E141,F141,11)=0,IF(Reprogramaciones!P$9&gt;=F141,100,0),ROUND(NETWORKDAYS.INTL(E141,MIN(F141,Reprogramaciones!P$9),11)/NETWORKDAYS.INTL(E141,F141,11)*100,1)))-IF(Reprogramaciones!O$9&lt;E141,0,IF(NETWORKDAYS.INTL(E141,F141,11)=0,IF(Reprogramaciones!O$9&gt;=F141,100,0),ROUND(NETWORKDAYS.INTL(E141,MIN(F141,Reprogramaciones!O$9),11)/NETWORKDAYS.INTL(E141,F141,11)*100,1))))</f>
        <v/>
      </c>
      <c r="M141" s="36" t="str">
        <f aca="false">IF(OR(NOT(AND(ISNUMBER(E141),ISNUMBER(F141))),$J$2=""),"",IF(Reprogramaciones!Q$9&lt;E141,0,IF(NETWORKDAYS.INTL(E141,F141,11)=0,IF(Reprogramaciones!Q$9&gt;=F141,100,0),ROUND(NETWORKDAYS.INTL(E141,MIN(F141,Reprogramaciones!Q$9),11)/NETWORKDAYS.INTL(E141,F141,11)*100,1)))-IF(Reprogramaciones!P$9&lt;E141,0,IF(NETWORKDAYS.INTL(E141,F141,11)=0,IF(Reprogramaciones!P$9&gt;=F141,100,0),ROUND(NETWORKDAYS.INTL(E141,MIN(F141,Reprogramaciones!P$9),11)/NETWORKDAYS.INTL(E141,F141,11)*100,1))))</f>
        <v/>
      </c>
      <c r="N141" s="36" t="str">
        <f aca="false">IF(OR(NOT(AND(ISNUMBER(E141),ISNUMBER(F141))),$J$2=""),"",IF(Reprogramaciones!R$9&lt;E141,0,IF(NETWORKDAYS.INTL(E141,F141,11)=0,IF(Reprogramaciones!R$9&gt;=F141,100,0),ROUND(NETWORKDAYS.INTL(E141,MIN(F141,Reprogramaciones!R$9),11)/NETWORKDAYS.INTL(E141,F141,11)*100,1)))-IF(Reprogramaciones!Q$9&lt;E141,0,IF(NETWORKDAYS.INTL(E141,F141,11)=0,IF(Reprogramaciones!Q$9&gt;=F141,100,0),ROUND(NETWORKDAYS.INTL(E141,MIN(F141,Reprogramaciones!Q$9),11)/NETWORKDAYS.INTL(E141,F141,11)*100,1))))</f>
        <v/>
      </c>
      <c r="O141" s="36" t="str">
        <f aca="false">IF(OR(NOT(AND(ISNUMBER(E141),ISNUMBER(F141))),$J$2=""),"",IF(Reprogramaciones!S$9&lt;E141,0,IF(NETWORKDAYS.INTL(E141,F141,11)=0,IF(Reprogramaciones!S$9&gt;=F141,100,0),ROUND(NETWORKDAYS.INTL(E141,MIN(F141,Reprogramaciones!S$9),11)/NETWORKDAYS.INTL(E141,F141,11)*100,1)))-IF(Reprogramaciones!R$9&lt;E141,0,IF(NETWORKDAYS.INTL(E141,F141,11)=0,IF(Reprogramaciones!R$9&gt;=F141,100,0),ROUND(NETWORKDAYS.INTL(E141,MIN(F141,Reprogramaciones!R$9),11)/NETWORKDAYS.INTL(E141,F141,11)*100,1))))</f>
        <v/>
      </c>
      <c r="P141" s="36" t="str">
        <f aca="false">IF(OR(NOT(AND(ISNUMBER(E141),ISNUMBER(F141))),$J$2=""),"",IF(Reprogramaciones!T$9&lt;E141,0,IF(NETWORKDAYS.INTL(E141,F141,11)=0,IF(Reprogramaciones!T$9&gt;=F141,100,0),ROUND(NETWORKDAYS.INTL(E141,MIN(F141,Reprogramaciones!T$9),11)/NETWORKDAYS.INTL(E141,F141,11)*100,1)))-IF(Reprogramaciones!S$9&lt;E141,0,IF(NETWORKDAYS.INTL(E141,F141,11)=0,IF(Reprogramaciones!S$9&gt;=F141,100,0),ROUND(NETWORKDAYS.INTL(E141,MIN(F141,Reprogramaciones!S$9),11)/NETWORKDAYS.INTL(E141,F141,11)*100,1))))</f>
        <v/>
      </c>
      <c r="Q141" s="37"/>
      <c r="R141" s="37"/>
      <c r="S141" s="37"/>
      <c r="T141" s="37"/>
      <c r="U141" s="37"/>
      <c r="V141" s="37"/>
      <c r="W141" s="37"/>
      <c r="X141" s="37"/>
      <c r="Y141" s="37"/>
      <c r="Z141" s="37"/>
      <c r="AA141" s="37"/>
      <c r="AB141" s="37"/>
      <c r="AC141" s="37"/>
      <c r="AD141" s="37"/>
      <c r="AE141" s="37"/>
      <c r="AF141" s="37"/>
      <c r="AG141" s="38" t="str">
        <f aca="false">IF(AND(ISNUMBER(E141),ISNUMBER(F141)),NETWORKDAYS.INTL(E141,F141,11),"")</f>
        <v/>
      </c>
      <c r="AH141" s="38" t="str">
        <f aca="false">IF(OR(NOT(AND(ISNUMBER(E141),ISNUMBER(F141))),$J$2=""),"",IF(Reprogramaciones!$P$15&lt;Reprogramaciones!$T$15,0,IF(Reprogramaciones!$R$15&gt;10,MIN(100,SUM($G141:$P141)),MIN(100,SUMPRODUCT((COLUMN($G141:$P141)-COLUMN($G141)+1&lt;Reprogramaciones!$R$15)*$G141:$P141)+N(INDEX($G141:$P141,1,Reprogramaciones!$R$15))*IF(Reprogramaciones!$P$15&gt;=(Reprogramaciones!$T$15+7*(Reprogramaciones!$R$15-1))+6,1,IF(MAX(0,NETWORKDAYS.INTL(MAX(E141,(Reprogramaciones!$T$15+7*(Reprogramaciones!$R$15-1))),MIN(F141,(Reprogramaciones!$T$15+7*(Reprogramaciones!$R$15-1))+6),11))=0,0,MAX(0,NETWORKDAYS.INTL(MAX(E141,(Reprogramaciones!$T$15+7*(Reprogramaciones!$R$15-1))),MIN(F141,Reprogramaciones!$P$15),11))/MAX(0,NETWORKDAYS.INTL(MAX(E141,(Reprogramaciones!$T$15+7*(Reprogramaciones!$R$15-1))),MIN(F141,(Reprogramaciones!$T$15+7*(Reprogramaciones!$R$15-1))+6),11))))))))</f>
        <v/>
      </c>
      <c r="AI141" s="38" t="str">
        <f aca="false">IF(COUNT($Q141:$AF141)=0,"",IF(ROUND(SUM($Q141:$AF141),1)&gt;=99.5,100,MIN(100,ROUND(SUM($Q141:$AF141),1))))</f>
        <v/>
      </c>
      <c r="AJ141" s="38" t="str">
        <f aca="false">IF(OR(AH141="",AI141=""),"",AI141-AH141)</f>
        <v/>
      </c>
      <c r="AK141" s="39" t="str">
        <f aca="true">IF(AH141="","",IF(OR(Ficha!$C$10="Suspendida",Ficha!$C$10="Cancelada"),Ficha!$C$10,IF(AND(AI141&lt;&gt;"",N(AI141)&gt;=100),"Completada",IF(AND(E141&gt;TODAY(),N(AI141)=0),"Por iniciar",IF(N(AI141)+0.5&lt;AH141,"Retrasada",IF(N(AI141)+0.5&lt;DA141,IF(Reprogramaciones!$K$15&gt;0,"Al día · Sem "&amp;Reprogramaciones!$K$15&amp;" en curso","Al día · en curso"),"A tiempo"))))))</f>
        <v/>
      </c>
      <c r="AL141" s="39" t="str">
        <f aca="true">IF(AND(A141="",AND(B141="",C141="",E141="",F141="",COUNT(Q141:AF141)=0)),"",IF(AND(B141="",C141="",E141="",F141="",COUNT(Q141:AF141)=0),"Falta la partida o subpartida",IF(AND(A141&lt;&gt;"",COUNTIF($A$6:$A$305,A141)&gt;1),"Ítem repetido",IF(AND(C141="",E141="",F141="",COUNT(Q141:AF141)=0),"Título de partida",IF(OR(E141="",F141=""),"Faltan fechas",IF(OR(ISTEXT(E141),ISTEXT(F141)),"Fecha escrita como texto: usa dd/mm/aaaa",IF(F141&lt;E141,"Fin antes del inicio",IF(IF($J$2="",FALSE(),OR(E141&lt;$J$2,F141&gt;Reprogramaciones!$T$15+69)),"Fuera de las 10 semanas",IF(ABS(SUM(G141:P141)-100)&gt;0.5,"La meta no suma 100%",IF(ROUND(SUM(Q141:AF141),1)&gt;100.5,"El avance pasa de 100%",IF(MIN(Q141:AF141)&lt;0,"Avance negativo",IF(COUNTA(Q141:AF141)&gt;COUNT(Q141:AF141),"Avance escrito como texto",IF(SUMPRODUCT((Q141:AF141&gt;0)*(Q141:AF141&lt;1))&gt;0,"Avance menor a 1: escribe 50, no 50%",IF(SUMPRODUCT(ISNUMBER(Q141:AF141)*(Reprogramaciones!$K$8:$Z$8&gt;TODAY()))&gt;0,"Avance en semana que aún no llega",IF(AND(N(Reprogramaciones!$E$21)&gt;0,F141&gt;Reprogramaciones!$E$21),"Pasa el fin de la obra: registra una reprogramación",IF(AND(N(Reprogramaciones!$E$21)&gt;0,SUMPRODUCT(ISNUMBER(Q141:AF141)*(Reprogramaciones!$K$8:$Z$8&gt;Reprogramaciones!$E$21))&gt;0),"Avance después del fin de la obra: registra una reprogramación por atraso","OK"))))))))))))))))</f>
        <v/>
      </c>
      <c r="AM141" s="40" t="str">
        <f aca="false">IF(OR(OR(NOT(AND(ISNUMBER(E141),ISNUMBER(F141))),$J$2=""),1&gt;MAX(1,Reprogramaciones!$U$15)),"",IF(Reprogramaciones!K$12&gt;=7,"",IF(OR(BT141-N(0)&gt;0.05,N(Q141)&gt;0),ROUNDDOWN(ROUND(BT141,6),0)&amp;"%"&amp;IF(CJ141="",""," / "&amp;CJ141&amp;"%"),IF(AND(N(0)&gt;=99.95,CJ141&lt;&gt;"",N(CJ141)&lt;100),"Pend. "&amp;CJ141&amp;"%",""))))</f>
        <v/>
      </c>
      <c r="AN141" s="40" t="str">
        <f aca="false">IF(OR(OR(NOT(AND(ISNUMBER(E141),ISNUMBER(F141))),$J$2=""),2&gt;MAX(1,Reprogramaciones!$U$15)),"",IF(Reprogramaciones!L$12&gt;=7,"",IF(OR(BU141-N(BT141)&gt;0.05,N(R141)&gt;0),ROUNDDOWN(ROUND(BU141,6),0)&amp;"%"&amp;IF(CK141="",""," / "&amp;CK141&amp;"%"),IF(AND(N(BT141)&gt;=99.95,CK141&lt;&gt;"",N(CK141)&lt;100),"Pend. "&amp;CK141&amp;"%",""))))</f>
        <v/>
      </c>
      <c r="AO141" s="40" t="str">
        <f aca="false">IF(OR(OR(NOT(AND(ISNUMBER(E141),ISNUMBER(F141))),$J$2=""),3&gt;MAX(1,Reprogramaciones!$U$15)),"",IF(Reprogramaciones!M$12&gt;=7,"",IF(OR(BV141-N(BU141)&gt;0.05,N(S141)&gt;0),ROUNDDOWN(ROUND(BV141,6),0)&amp;"%"&amp;IF(CL141="",""," / "&amp;CL141&amp;"%"),IF(AND(N(BU141)&gt;=99.95,CL141&lt;&gt;"",N(CL141)&lt;100),"Pend. "&amp;CL141&amp;"%",""))))</f>
        <v/>
      </c>
      <c r="AP141" s="40" t="str">
        <f aca="false">IF(OR(OR(NOT(AND(ISNUMBER(E141),ISNUMBER(F141))),$J$2=""),4&gt;MAX(1,Reprogramaciones!$U$15)),"",IF(Reprogramaciones!N$12&gt;=7,"",IF(OR(BW141-N(BV141)&gt;0.05,N(T141)&gt;0),ROUNDDOWN(ROUND(BW141,6),0)&amp;"%"&amp;IF(CM141="",""," / "&amp;CM141&amp;"%"),IF(AND(N(BV141)&gt;=99.95,CM141&lt;&gt;"",N(CM141)&lt;100),"Pend. "&amp;CM141&amp;"%",""))))</f>
        <v/>
      </c>
      <c r="AQ141" s="40" t="str">
        <f aca="false">IF(OR(OR(NOT(AND(ISNUMBER(E141),ISNUMBER(F141))),$J$2=""),5&gt;MAX(1,Reprogramaciones!$U$15)),"",IF(Reprogramaciones!O$12&gt;=7,"",IF(OR(BX141-N(BW141)&gt;0.05,N(U141)&gt;0),ROUNDDOWN(ROUND(BX141,6),0)&amp;"%"&amp;IF(CN141="",""," / "&amp;CN141&amp;"%"),IF(AND(N(BW141)&gt;=99.95,CN141&lt;&gt;"",N(CN141)&lt;100),"Pend. "&amp;CN141&amp;"%",""))))</f>
        <v/>
      </c>
      <c r="AR141" s="40" t="str">
        <f aca="false">IF(OR(OR(NOT(AND(ISNUMBER(E141),ISNUMBER(F141))),$J$2=""),6&gt;MAX(1,Reprogramaciones!$U$15)),"",IF(Reprogramaciones!P$12&gt;=7,"",IF(OR(BY141-N(BX141)&gt;0.05,N(V141)&gt;0),ROUNDDOWN(ROUND(BY141,6),0)&amp;"%"&amp;IF(CO141="",""," / "&amp;CO141&amp;"%"),IF(AND(N(BX141)&gt;=99.95,CO141&lt;&gt;"",N(CO141)&lt;100),"Pend. "&amp;CO141&amp;"%",""))))</f>
        <v/>
      </c>
      <c r="AS141" s="40" t="str">
        <f aca="false">IF(OR(OR(NOT(AND(ISNUMBER(E141),ISNUMBER(F141))),$J$2=""),7&gt;MAX(1,Reprogramaciones!$U$15)),"",IF(Reprogramaciones!Q$12&gt;=7,"",IF(OR(BZ141-N(BY141)&gt;0.05,N(W141)&gt;0),ROUNDDOWN(ROUND(BZ141,6),0)&amp;"%"&amp;IF(CP141="",""," / "&amp;CP141&amp;"%"),IF(AND(N(BY141)&gt;=99.95,CP141&lt;&gt;"",N(CP141)&lt;100),"Pend. "&amp;CP141&amp;"%",""))))</f>
        <v/>
      </c>
      <c r="AT141" s="40" t="str">
        <f aca="false">IF(OR(OR(NOT(AND(ISNUMBER(E141),ISNUMBER(F141))),$J$2=""),8&gt;MAX(1,Reprogramaciones!$U$15)),"",IF(Reprogramaciones!R$12&gt;=7,"",IF(OR(CA141-N(BZ141)&gt;0.05,N(X141)&gt;0),ROUNDDOWN(ROUND(CA141,6),0)&amp;"%"&amp;IF(CQ141="",""," / "&amp;CQ141&amp;"%"),IF(AND(N(BZ141)&gt;=99.95,CQ141&lt;&gt;"",N(CQ141)&lt;100),"Pend. "&amp;CQ141&amp;"%",""))))</f>
        <v/>
      </c>
      <c r="AU141" s="40" t="str">
        <f aca="false">IF(OR(OR(NOT(AND(ISNUMBER(E141),ISNUMBER(F141))),$J$2=""),9&gt;MAX(1,Reprogramaciones!$U$15)),"",IF(Reprogramaciones!S$12&gt;=7,"",IF(OR(CB141-N(CA141)&gt;0.05,N(Y141)&gt;0),ROUNDDOWN(ROUND(CB141,6),0)&amp;"%"&amp;IF(CR141="",""," / "&amp;CR141&amp;"%"),IF(AND(N(CA141)&gt;=99.95,CR141&lt;&gt;"",N(CR141)&lt;100),"Pend. "&amp;CR141&amp;"%",""))))</f>
        <v/>
      </c>
      <c r="AV141" s="40" t="str">
        <f aca="false">IF(OR(OR(NOT(AND(ISNUMBER(E141),ISNUMBER(F141))),$J$2=""),10&gt;MAX(1,Reprogramaciones!$U$15)),"",IF(Reprogramaciones!T$12&gt;=7,"",IF(OR(CC141-N(CB141)&gt;0.05,N(Z141)&gt;0),ROUNDDOWN(ROUND(CC141,6),0)&amp;"%"&amp;IF(CS141="",""," / "&amp;CS141&amp;"%"),IF(AND(N(CB141)&gt;=99.95,CS141&lt;&gt;"",N(CS141)&lt;100),"Pend. "&amp;CS141&amp;"%",""))))</f>
        <v/>
      </c>
      <c r="AW141" s="40" t="str">
        <f aca="false">IF(OR(OR(NOT(AND(ISNUMBER(E141),ISNUMBER(F141))),$J$2=""),11&gt;MAX(1,Reprogramaciones!$U$15)),"",IF(Reprogramaciones!U$12&gt;=7,"",IF(OR(CD141-N(CC141)&gt;0.05,N(AA141)&gt;0),ROUNDDOWN(ROUND(CD141,6),0)&amp;"%"&amp;IF(CT141="",""," / "&amp;CT141&amp;"%"),IF(AND(N(CC141)&gt;=99.95,CT141&lt;&gt;"",N(CT141)&lt;100),"Pend. "&amp;CT141&amp;"%",""))))</f>
        <v/>
      </c>
      <c r="AX141" s="40" t="str">
        <f aca="false">IF(OR(OR(NOT(AND(ISNUMBER(E141),ISNUMBER(F141))),$J$2=""),12&gt;MAX(1,Reprogramaciones!$U$15)),"",IF(Reprogramaciones!V$12&gt;=7,"",IF(OR(CE141-N(CD141)&gt;0.05,N(AB141)&gt;0),ROUNDDOWN(ROUND(CE141,6),0)&amp;"%"&amp;IF(CU141="",""," / "&amp;CU141&amp;"%"),IF(AND(N(CD141)&gt;=99.95,CU141&lt;&gt;"",N(CU141)&lt;100),"Pend. "&amp;CU141&amp;"%",""))))</f>
        <v/>
      </c>
      <c r="AY141" s="40" t="str">
        <f aca="false">IF(OR(OR(NOT(AND(ISNUMBER(E141),ISNUMBER(F141))),$J$2=""),13&gt;MAX(1,Reprogramaciones!$U$15)),"",IF(Reprogramaciones!W$12&gt;=7,"",IF(OR(CF141-N(CE141)&gt;0.05,N(AC141)&gt;0),ROUNDDOWN(ROUND(CF141,6),0)&amp;"%"&amp;IF(CV141="",""," / "&amp;CV141&amp;"%"),IF(AND(N(CE141)&gt;=99.95,CV141&lt;&gt;"",N(CV141)&lt;100),"Pend. "&amp;CV141&amp;"%",""))))</f>
        <v/>
      </c>
      <c r="AZ141" s="40" t="str">
        <f aca="false">IF(OR(OR(NOT(AND(ISNUMBER(E141),ISNUMBER(F141))),$J$2=""),14&gt;MAX(1,Reprogramaciones!$U$15)),"",IF(Reprogramaciones!X$12&gt;=7,"",IF(OR(CG141-N(CF141)&gt;0.05,N(AD141)&gt;0),ROUNDDOWN(ROUND(CG141,6),0)&amp;"%"&amp;IF(CW141="",""," / "&amp;CW141&amp;"%"),IF(AND(N(CF141)&gt;=99.95,CW141&lt;&gt;"",N(CW141)&lt;100),"Pend. "&amp;CW141&amp;"%",""))))</f>
        <v/>
      </c>
      <c r="BA141" s="40" t="str">
        <f aca="false">IF(OR(OR(NOT(AND(ISNUMBER(E141),ISNUMBER(F141))),$J$2=""),15&gt;MAX(1,Reprogramaciones!$U$15)),"",IF(Reprogramaciones!Y$12&gt;=7,"",IF(OR(CH141-N(CG141)&gt;0.05,N(AE141)&gt;0),ROUNDDOWN(ROUND(CH141,6),0)&amp;"%"&amp;IF(CX141="",""," / "&amp;CX141&amp;"%"),IF(AND(N(CG141)&gt;=99.95,CX141&lt;&gt;"",N(CX141)&lt;100),"Pend. "&amp;CX141&amp;"%",""))))</f>
        <v/>
      </c>
      <c r="BB141" s="40" t="str">
        <f aca="false">IF(OR(OR(NOT(AND(ISNUMBER(E141),ISNUMBER(F141))),$J$2=""),16&gt;MAX(1,Reprogramaciones!$U$15)),"",IF(Reprogramaciones!Z$12&gt;=7,"",IF(OR(CI141-N(CH141)&gt;0.05,N(AF141)&gt;0),ROUNDDOWN(ROUND(CI141,6),0)&amp;"%"&amp;IF(CY141="",""," / "&amp;CY141&amp;"%"),IF(AND(N(CH141)&gt;=99.95,CY141&lt;&gt;"",N(CY141)&lt;100),"Pend. "&amp;CY141&amp;"%",""))))</f>
        <v/>
      </c>
      <c r="BC141" s="31" t="n">
        <f aca="false">IF(AND(ISNUMBER(E141),ISNUMBER(F141)),MAX(1,NETWORKDAYS.INTL(E141,F141,11)),0)</f>
        <v>0</v>
      </c>
      <c r="BD141" s="1" t="str">
        <f aca="false">IF(OR(NOT(AND(ISNUMBER(E141),ISNUMBER(F141))),$J$2=""),"",MIN(100,ROUND(SUM($G141:G141),1)))</f>
        <v/>
      </c>
      <c r="BE141" s="1" t="str">
        <f aca="false">IF(OR(NOT(AND(ISNUMBER(E141),ISNUMBER(F141))),$J$2=""),"",MIN(100,ROUND(SUM($G141:H141),1)))</f>
        <v/>
      </c>
      <c r="BF141" s="1" t="str">
        <f aca="false">IF(OR(NOT(AND(ISNUMBER(E141),ISNUMBER(F141))),$J$2=""),"",MIN(100,ROUND(SUM($G141:I141),1)))</f>
        <v/>
      </c>
      <c r="BG141" s="1" t="str">
        <f aca="false">IF(OR(NOT(AND(ISNUMBER(E141),ISNUMBER(F141))),$J$2=""),"",MIN(100,ROUND(SUM($G141:J141),1)))</f>
        <v/>
      </c>
      <c r="BH141" s="1" t="str">
        <f aca="false">IF(OR(NOT(AND(ISNUMBER(E141),ISNUMBER(F141))),$J$2=""),"",MIN(100,ROUND(SUM($G141:K141),1)))</f>
        <v/>
      </c>
      <c r="BI141" s="1" t="str">
        <f aca="false">IF(OR(NOT(AND(ISNUMBER(E141),ISNUMBER(F141))),$J$2=""),"",MIN(100,ROUND(SUM($G141:L141),1)))</f>
        <v/>
      </c>
      <c r="BJ141" s="1" t="str">
        <f aca="false">IF(OR(NOT(AND(ISNUMBER(E141),ISNUMBER(F141))),$J$2=""),"",MIN(100,ROUND(SUM($G141:M141),1)))</f>
        <v/>
      </c>
      <c r="BK141" s="1" t="str">
        <f aca="false">IF(OR(NOT(AND(ISNUMBER(E141),ISNUMBER(F141))),$J$2=""),"",MIN(100,ROUND(SUM($G141:N141),1)))</f>
        <v/>
      </c>
      <c r="BL141" s="1" t="str">
        <f aca="false">IF(OR(NOT(AND(ISNUMBER(E141),ISNUMBER(F141))),$J$2=""),"",MIN(100,ROUND(SUM($G141:O141),1)))</f>
        <v/>
      </c>
      <c r="BM141" s="1" t="str">
        <f aca="false">IF(OR(NOT(AND(ISNUMBER(E141),ISNUMBER(F141))),$J$2=""),"",MIN(100,ROUND(SUM($G141:P141),1)))</f>
        <v/>
      </c>
      <c r="BN141" s="1" t="str">
        <f aca="false">IF(OR(NOT(AND(ISNUMBER(E141),ISNUMBER(F141))),$J$2=""),"",MIN(100,ROUND(SUM($G141:P141),1)))</f>
        <v/>
      </c>
      <c r="BO141" s="1" t="str">
        <f aca="false">IF(OR(NOT(AND(ISNUMBER(E141),ISNUMBER(F141))),$J$2=""),"",MIN(100,ROUND(SUM($G141:P141),1)))</f>
        <v/>
      </c>
      <c r="BP141" s="1" t="str">
        <f aca="false">IF(OR(NOT(AND(ISNUMBER(E141),ISNUMBER(F141))),$J$2=""),"",MIN(100,ROUND(SUM($G141:P141),1)))</f>
        <v/>
      </c>
      <c r="BQ141" s="1" t="str">
        <f aca="false">IF(OR(NOT(AND(ISNUMBER(E141),ISNUMBER(F141))),$J$2=""),"",MIN(100,ROUND(SUM($G141:P141),1)))</f>
        <v/>
      </c>
      <c r="BR141" s="1" t="str">
        <f aca="false">IF(OR(NOT(AND(ISNUMBER(E141),ISNUMBER(F141))),$J$2=""),"",MIN(100,ROUND(SUM($G141:P141),1)))</f>
        <v/>
      </c>
      <c r="BS141" s="1" t="str">
        <f aca="false">IF(OR(NOT(AND(ISNUMBER(E141),ISNUMBER(F141))),$J$2=""),"",MIN(100,ROUND(SUM($G141:P141),1)))</f>
        <v/>
      </c>
      <c r="BT141" s="1" t="str">
        <f aca="false">IF(OR(NOT(AND(ISNUMBER(E141),ISNUMBER(F141))),$J$2=""),"",IF(Reprogramaciones!K$13&lt;Reprogramaciones!$T$15,0,IF(Reprogramaciones!K$14&gt;10,MIN(100,SUM($G141:$P141)),MIN(100,SUMPRODUCT((COLUMN($G141:$P141)-COLUMN($G141)+1&lt;Reprogramaciones!K$14)*$G141:$P141)+N(INDEX($G141:$P141,1,Reprogramaciones!K$14))*IF(Reprogramaciones!K$13&gt;=(Reprogramaciones!$T$15+7*(Reprogramaciones!K$14-1))+6,1,IF(MAX(0,NETWORKDAYS.INTL(MAX(E141,(Reprogramaciones!$T$15+7*(Reprogramaciones!K$14-1))),MIN(F141,(Reprogramaciones!$T$15+7*(Reprogramaciones!K$14-1))+6),11))=0,0,MAX(0,NETWORKDAYS.INTL(MAX(E141,(Reprogramaciones!$T$15+7*(Reprogramaciones!K$14-1))),MIN(F141,Reprogramaciones!K$13),11))/MAX(0,NETWORKDAYS.INTL(MAX(E141,(Reprogramaciones!$T$15+7*(Reprogramaciones!K$14-1))),MIN(F141,(Reprogramaciones!$T$15+7*(Reprogramaciones!K$14-1))+6),11))))))))</f>
        <v/>
      </c>
      <c r="BU141" s="1" t="str">
        <f aca="false">IF(OR(NOT(AND(ISNUMBER(E141),ISNUMBER(F141))),$J$2=""),"",IF(Reprogramaciones!L$13&lt;Reprogramaciones!$T$15,0,IF(Reprogramaciones!L$14&gt;10,MIN(100,SUM($G141:$P141)),MIN(100,SUMPRODUCT((COLUMN($G141:$P141)-COLUMN($G141)+1&lt;Reprogramaciones!L$14)*$G141:$P141)+N(INDEX($G141:$P141,1,Reprogramaciones!L$14))*IF(Reprogramaciones!L$13&gt;=(Reprogramaciones!$T$15+7*(Reprogramaciones!L$14-1))+6,1,IF(MAX(0,NETWORKDAYS.INTL(MAX(E141,(Reprogramaciones!$T$15+7*(Reprogramaciones!L$14-1))),MIN(F141,(Reprogramaciones!$T$15+7*(Reprogramaciones!L$14-1))+6),11))=0,0,MAX(0,NETWORKDAYS.INTL(MAX(E141,(Reprogramaciones!$T$15+7*(Reprogramaciones!L$14-1))),MIN(F141,Reprogramaciones!L$13),11))/MAX(0,NETWORKDAYS.INTL(MAX(E141,(Reprogramaciones!$T$15+7*(Reprogramaciones!L$14-1))),MIN(F141,(Reprogramaciones!$T$15+7*(Reprogramaciones!L$14-1))+6),11))))))))</f>
        <v/>
      </c>
      <c r="BV141" s="1" t="str">
        <f aca="false">IF(OR(NOT(AND(ISNUMBER(E141),ISNUMBER(F141))),$J$2=""),"",IF(Reprogramaciones!M$13&lt;Reprogramaciones!$T$15,0,IF(Reprogramaciones!M$14&gt;10,MIN(100,SUM($G141:$P141)),MIN(100,SUMPRODUCT((COLUMN($G141:$P141)-COLUMN($G141)+1&lt;Reprogramaciones!M$14)*$G141:$P141)+N(INDEX($G141:$P141,1,Reprogramaciones!M$14))*IF(Reprogramaciones!M$13&gt;=(Reprogramaciones!$T$15+7*(Reprogramaciones!M$14-1))+6,1,IF(MAX(0,NETWORKDAYS.INTL(MAX(E141,(Reprogramaciones!$T$15+7*(Reprogramaciones!M$14-1))),MIN(F141,(Reprogramaciones!$T$15+7*(Reprogramaciones!M$14-1))+6),11))=0,0,MAX(0,NETWORKDAYS.INTL(MAX(E141,(Reprogramaciones!$T$15+7*(Reprogramaciones!M$14-1))),MIN(F141,Reprogramaciones!M$13),11))/MAX(0,NETWORKDAYS.INTL(MAX(E141,(Reprogramaciones!$T$15+7*(Reprogramaciones!M$14-1))),MIN(F141,(Reprogramaciones!$T$15+7*(Reprogramaciones!M$14-1))+6),11))))))))</f>
        <v/>
      </c>
      <c r="BW141" s="1" t="str">
        <f aca="false">IF(OR(NOT(AND(ISNUMBER(E141),ISNUMBER(F141))),$J$2=""),"",IF(Reprogramaciones!N$13&lt;Reprogramaciones!$T$15,0,IF(Reprogramaciones!N$14&gt;10,MIN(100,SUM($G141:$P141)),MIN(100,SUMPRODUCT((COLUMN($G141:$P141)-COLUMN($G141)+1&lt;Reprogramaciones!N$14)*$G141:$P141)+N(INDEX($G141:$P141,1,Reprogramaciones!N$14))*IF(Reprogramaciones!N$13&gt;=(Reprogramaciones!$T$15+7*(Reprogramaciones!N$14-1))+6,1,IF(MAX(0,NETWORKDAYS.INTL(MAX(E141,(Reprogramaciones!$T$15+7*(Reprogramaciones!N$14-1))),MIN(F141,(Reprogramaciones!$T$15+7*(Reprogramaciones!N$14-1))+6),11))=0,0,MAX(0,NETWORKDAYS.INTL(MAX(E141,(Reprogramaciones!$T$15+7*(Reprogramaciones!N$14-1))),MIN(F141,Reprogramaciones!N$13),11))/MAX(0,NETWORKDAYS.INTL(MAX(E141,(Reprogramaciones!$T$15+7*(Reprogramaciones!N$14-1))),MIN(F141,(Reprogramaciones!$T$15+7*(Reprogramaciones!N$14-1))+6),11))))))))</f>
        <v/>
      </c>
      <c r="BX141" s="1" t="str">
        <f aca="false">IF(OR(NOT(AND(ISNUMBER(E141),ISNUMBER(F141))),$J$2=""),"",IF(Reprogramaciones!O$13&lt;Reprogramaciones!$T$15,0,IF(Reprogramaciones!O$14&gt;10,MIN(100,SUM($G141:$P141)),MIN(100,SUMPRODUCT((COLUMN($G141:$P141)-COLUMN($G141)+1&lt;Reprogramaciones!O$14)*$G141:$P141)+N(INDEX($G141:$P141,1,Reprogramaciones!O$14))*IF(Reprogramaciones!O$13&gt;=(Reprogramaciones!$T$15+7*(Reprogramaciones!O$14-1))+6,1,IF(MAX(0,NETWORKDAYS.INTL(MAX(E141,(Reprogramaciones!$T$15+7*(Reprogramaciones!O$14-1))),MIN(F141,(Reprogramaciones!$T$15+7*(Reprogramaciones!O$14-1))+6),11))=0,0,MAX(0,NETWORKDAYS.INTL(MAX(E141,(Reprogramaciones!$T$15+7*(Reprogramaciones!O$14-1))),MIN(F141,Reprogramaciones!O$13),11))/MAX(0,NETWORKDAYS.INTL(MAX(E141,(Reprogramaciones!$T$15+7*(Reprogramaciones!O$14-1))),MIN(F141,(Reprogramaciones!$T$15+7*(Reprogramaciones!O$14-1))+6),11))))))))</f>
        <v/>
      </c>
      <c r="BY141" s="1" t="str">
        <f aca="false">IF(OR(NOT(AND(ISNUMBER(E141),ISNUMBER(F141))),$J$2=""),"",IF(Reprogramaciones!P$13&lt;Reprogramaciones!$T$15,0,IF(Reprogramaciones!P$14&gt;10,MIN(100,SUM($G141:$P141)),MIN(100,SUMPRODUCT((COLUMN($G141:$P141)-COLUMN($G141)+1&lt;Reprogramaciones!P$14)*$G141:$P141)+N(INDEX($G141:$P141,1,Reprogramaciones!P$14))*IF(Reprogramaciones!P$13&gt;=(Reprogramaciones!$T$15+7*(Reprogramaciones!P$14-1))+6,1,IF(MAX(0,NETWORKDAYS.INTL(MAX(E141,(Reprogramaciones!$T$15+7*(Reprogramaciones!P$14-1))),MIN(F141,(Reprogramaciones!$T$15+7*(Reprogramaciones!P$14-1))+6),11))=0,0,MAX(0,NETWORKDAYS.INTL(MAX(E141,(Reprogramaciones!$T$15+7*(Reprogramaciones!P$14-1))),MIN(F141,Reprogramaciones!P$13),11))/MAX(0,NETWORKDAYS.INTL(MAX(E141,(Reprogramaciones!$T$15+7*(Reprogramaciones!P$14-1))),MIN(F141,(Reprogramaciones!$T$15+7*(Reprogramaciones!P$14-1))+6),11))))))))</f>
        <v/>
      </c>
      <c r="BZ141" s="1" t="str">
        <f aca="false">IF(OR(NOT(AND(ISNUMBER(E141),ISNUMBER(F141))),$J$2=""),"",IF(Reprogramaciones!Q$13&lt;Reprogramaciones!$T$15,0,IF(Reprogramaciones!Q$14&gt;10,MIN(100,SUM($G141:$P141)),MIN(100,SUMPRODUCT((COLUMN($G141:$P141)-COLUMN($G141)+1&lt;Reprogramaciones!Q$14)*$G141:$P141)+N(INDEX($G141:$P141,1,Reprogramaciones!Q$14))*IF(Reprogramaciones!Q$13&gt;=(Reprogramaciones!$T$15+7*(Reprogramaciones!Q$14-1))+6,1,IF(MAX(0,NETWORKDAYS.INTL(MAX(E141,(Reprogramaciones!$T$15+7*(Reprogramaciones!Q$14-1))),MIN(F141,(Reprogramaciones!$T$15+7*(Reprogramaciones!Q$14-1))+6),11))=0,0,MAX(0,NETWORKDAYS.INTL(MAX(E141,(Reprogramaciones!$T$15+7*(Reprogramaciones!Q$14-1))),MIN(F141,Reprogramaciones!Q$13),11))/MAX(0,NETWORKDAYS.INTL(MAX(E141,(Reprogramaciones!$T$15+7*(Reprogramaciones!Q$14-1))),MIN(F141,(Reprogramaciones!$T$15+7*(Reprogramaciones!Q$14-1))+6),11))))))))</f>
        <v/>
      </c>
      <c r="CA141" s="1" t="str">
        <f aca="false">IF(OR(NOT(AND(ISNUMBER(E141),ISNUMBER(F141))),$J$2=""),"",IF(Reprogramaciones!R$13&lt;Reprogramaciones!$T$15,0,IF(Reprogramaciones!R$14&gt;10,MIN(100,SUM($G141:$P141)),MIN(100,SUMPRODUCT((COLUMN($G141:$P141)-COLUMN($G141)+1&lt;Reprogramaciones!R$14)*$G141:$P141)+N(INDEX($G141:$P141,1,Reprogramaciones!R$14))*IF(Reprogramaciones!R$13&gt;=(Reprogramaciones!$T$15+7*(Reprogramaciones!R$14-1))+6,1,IF(MAX(0,NETWORKDAYS.INTL(MAX(E141,(Reprogramaciones!$T$15+7*(Reprogramaciones!R$14-1))),MIN(F141,(Reprogramaciones!$T$15+7*(Reprogramaciones!R$14-1))+6),11))=0,0,MAX(0,NETWORKDAYS.INTL(MAX(E141,(Reprogramaciones!$T$15+7*(Reprogramaciones!R$14-1))),MIN(F141,Reprogramaciones!R$13),11))/MAX(0,NETWORKDAYS.INTL(MAX(E141,(Reprogramaciones!$T$15+7*(Reprogramaciones!R$14-1))),MIN(F141,(Reprogramaciones!$T$15+7*(Reprogramaciones!R$14-1))+6),11))))))))</f>
        <v/>
      </c>
      <c r="CB141" s="1" t="str">
        <f aca="false">IF(OR(NOT(AND(ISNUMBER(E141),ISNUMBER(F141))),$J$2=""),"",IF(Reprogramaciones!S$13&lt;Reprogramaciones!$T$15,0,IF(Reprogramaciones!S$14&gt;10,MIN(100,SUM($G141:$P141)),MIN(100,SUMPRODUCT((COLUMN($G141:$P141)-COLUMN($G141)+1&lt;Reprogramaciones!S$14)*$G141:$P141)+N(INDEX($G141:$P141,1,Reprogramaciones!S$14))*IF(Reprogramaciones!S$13&gt;=(Reprogramaciones!$T$15+7*(Reprogramaciones!S$14-1))+6,1,IF(MAX(0,NETWORKDAYS.INTL(MAX(E141,(Reprogramaciones!$T$15+7*(Reprogramaciones!S$14-1))),MIN(F141,(Reprogramaciones!$T$15+7*(Reprogramaciones!S$14-1))+6),11))=0,0,MAX(0,NETWORKDAYS.INTL(MAX(E141,(Reprogramaciones!$T$15+7*(Reprogramaciones!S$14-1))),MIN(F141,Reprogramaciones!S$13),11))/MAX(0,NETWORKDAYS.INTL(MAX(E141,(Reprogramaciones!$T$15+7*(Reprogramaciones!S$14-1))),MIN(F141,(Reprogramaciones!$T$15+7*(Reprogramaciones!S$14-1))+6),11))))))))</f>
        <v/>
      </c>
      <c r="CC141" s="1" t="str">
        <f aca="false">IF(OR(NOT(AND(ISNUMBER(E141),ISNUMBER(F141))),$J$2=""),"",IF(Reprogramaciones!T$13&lt;Reprogramaciones!$T$15,0,IF(Reprogramaciones!T$14&gt;10,MIN(100,SUM($G141:$P141)),MIN(100,SUMPRODUCT((COLUMN($G141:$P141)-COLUMN($G141)+1&lt;Reprogramaciones!T$14)*$G141:$P141)+N(INDEX($G141:$P141,1,Reprogramaciones!T$14))*IF(Reprogramaciones!T$13&gt;=(Reprogramaciones!$T$15+7*(Reprogramaciones!T$14-1))+6,1,IF(MAX(0,NETWORKDAYS.INTL(MAX(E141,(Reprogramaciones!$T$15+7*(Reprogramaciones!T$14-1))),MIN(F141,(Reprogramaciones!$T$15+7*(Reprogramaciones!T$14-1))+6),11))=0,0,MAX(0,NETWORKDAYS.INTL(MAX(E141,(Reprogramaciones!$T$15+7*(Reprogramaciones!T$14-1))),MIN(F141,Reprogramaciones!T$13),11))/MAX(0,NETWORKDAYS.INTL(MAX(E141,(Reprogramaciones!$T$15+7*(Reprogramaciones!T$14-1))),MIN(F141,(Reprogramaciones!$T$15+7*(Reprogramaciones!T$14-1))+6),11))))))))</f>
        <v/>
      </c>
      <c r="CD141" s="1" t="str">
        <f aca="false">IF(OR(NOT(AND(ISNUMBER(E141),ISNUMBER(F141))),$J$2=""),"",IF(Reprogramaciones!U$13&lt;Reprogramaciones!$T$15,0,IF(Reprogramaciones!U$14&gt;10,MIN(100,SUM($G141:$P141)),MIN(100,SUMPRODUCT((COLUMN($G141:$P141)-COLUMN($G141)+1&lt;Reprogramaciones!U$14)*$G141:$P141)+N(INDEX($G141:$P141,1,Reprogramaciones!U$14))*IF(Reprogramaciones!U$13&gt;=(Reprogramaciones!$T$15+7*(Reprogramaciones!U$14-1))+6,1,IF(MAX(0,NETWORKDAYS.INTL(MAX(E141,(Reprogramaciones!$T$15+7*(Reprogramaciones!U$14-1))),MIN(F141,(Reprogramaciones!$T$15+7*(Reprogramaciones!U$14-1))+6),11))=0,0,MAX(0,NETWORKDAYS.INTL(MAX(E141,(Reprogramaciones!$T$15+7*(Reprogramaciones!U$14-1))),MIN(F141,Reprogramaciones!U$13),11))/MAX(0,NETWORKDAYS.INTL(MAX(E141,(Reprogramaciones!$T$15+7*(Reprogramaciones!U$14-1))),MIN(F141,(Reprogramaciones!$T$15+7*(Reprogramaciones!U$14-1))+6),11))))))))</f>
        <v/>
      </c>
      <c r="CE141" s="1" t="str">
        <f aca="false">IF(OR(NOT(AND(ISNUMBER(E141),ISNUMBER(F141))),$J$2=""),"",IF(Reprogramaciones!V$13&lt;Reprogramaciones!$T$15,0,IF(Reprogramaciones!V$14&gt;10,MIN(100,SUM($G141:$P141)),MIN(100,SUMPRODUCT((COLUMN($G141:$P141)-COLUMN($G141)+1&lt;Reprogramaciones!V$14)*$G141:$P141)+N(INDEX($G141:$P141,1,Reprogramaciones!V$14))*IF(Reprogramaciones!V$13&gt;=(Reprogramaciones!$T$15+7*(Reprogramaciones!V$14-1))+6,1,IF(MAX(0,NETWORKDAYS.INTL(MAX(E141,(Reprogramaciones!$T$15+7*(Reprogramaciones!V$14-1))),MIN(F141,(Reprogramaciones!$T$15+7*(Reprogramaciones!V$14-1))+6),11))=0,0,MAX(0,NETWORKDAYS.INTL(MAX(E141,(Reprogramaciones!$T$15+7*(Reprogramaciones!V$14-1))),MIN(F141,Reprogramaciones!V$13),11))/MAX(0,NETWORKDAYS.INTL(MAX(E141,(Reprogramaciones!$T$15+7*(Reprogramaciones!V$14-1))),MIN(F141,(Reprogramaciones!$T$15+7*(Reprogramaciones!V$14-1))+6),11))))))))</f>
        <v/>
      </c>
      <c r="CF141" s="1" t="str">
        <f aca="false">IF(OR(NOT(AND(ISNUMBER(E141),ISNUMBER(F141))),$J$2=""),"",IF(Reprogramaciones!W$13&lt;Reprogramaciones!$T$15,0,IF(Reprogramaciones!W$14&gt;10,MIN(100,SUM($G141:$P141)),MIN(100,SUMPRODUCT((COLUMN($G141:$P141)-COLUMN($G141)+1&lt;Reprogramaciones!W$14)*$G141:$P141)+N(INDEX($G141:$P141,1,Reprogramaciones!W$14))*IF(Reprogramaciones!W$13&gt;=(Reprogramaciones!$T$15+7*(Reprogramaciones!W$14-1))+6,1,IF(MAX(0,NETWORKDAYS.INTL(MAX(E141,(Reprogramaciones!$T$15+7*(Reprogramaciones!W$14-1))),MIN(F141,(Reprogramaciones!$T$15+7*(Reprogramaciones!W$14-1))+6),11))=0,0,MAX(0,NETWORKDAYS.INTL(MAX(E141,(Reprogramaciones!$T$15+7*(Reprogramaciones!W$14-1))),MIN(F141,Reprogramaciones!W$13),11))/MAX(0,NETWORKDAYS.INTL(MAX(E141,(Reprogramaciones!$T$15+7*(Reprogramaciones!W$14-1))),MIN(F141,(Reprogramaciones!$T$15+7*(Reprogramaciones!W$14-1))+6),11))))))))</f>
        <v/>
      </c>
      <c r="CG141" s="1" t="str">
        <f aca="false">IF(OR(NOT(AND(ISNUMBER(E141),ISNUMBER(F141))),$J$2=""),"",IF(Reprogramaciones!X$13&lt;Reprogramaciones!$T$15,0,IF(Reprogramaciones!X$14&gt;10,MIN(100,SUM($G141:$P141)),MIN(100,SUMPRODUCT((COLUMN($G141:$P141)-COLUMN($G141)+1&lt;Reprogramaciones!X$14)*$G141:$P141)+N(INDEX($G141:$P141,1,Reprogramaciones!X$14))*IF(Reprogramaciones!X$13&gt;=(Reprogramaciones!$T$15+7*(Reprogramaciones!X$14-1))+6,1,IF(MAX(0,NETWORKDAYS.INTL(MAX(E141,(Reprogramaciones!$T$15+7*(Reprogramaciones!X$14-1))),MIN(F141,(Reprogramaciones!$T$15+7*(Reprogramaciones!X$14-1))+6),11))=0,0,MAX(0,NETWORKDAYS.INTL(MAX(E141,(Reprogramaciones!$T$15+7*(Reprogramaciones!X$14-1))),MIN(F141,Reprogramaciones!X$13),11))/MAX(0,NETWORKDAYS.INTL(MAX(E141,(Reprogramaciones!$T$15+7*(Reprogramaciones!X$14-1))),MIN(F141,(Reprogramaciones!$T$15+7*(Reprogramaciones!X$14-1))+6),11))))))))</f>
        <v/>
      </c>
      <c r="CH141" s="1" t="str">
        <f aca="false">IF(OR(NOT(AND(ISNUMBER(E141),ISNUMBER(F141))),$J$2=""),"",IF(Reprogramaciones!Y$13&lt;Reprogramaciones!$T$15,0,IF(Reprogramaciones!Y$14&gt;10,MIN(100,SUM($G141:$P141)),MIN(100,SUMPRODUCT((COLUMN($G141:$P141)-COLUMN($G141)+1&lt;Reprogramaciones!Y$14)*$G141:$P141)+N(INDEX($G141:$P141,1,Reprogramaciones!Y$14))*IF(Reprogramaciones!Y$13&gt;=(Reprogramaciones!$T$15+7*(Reprogramaciones!Y$14-1))+6,1,IF(MAX(0,NETWORKDAYS.INTL(MAX(E141,(Reprogramaciones!$T$15+7*(Reprogramaciones!Y$14-1))),MIN(F141,(Reprogramaciones!$T$15+7*(Reprogramaciones!Y$14-1))+6),11))=0,0,MAX(0,NETWORKDAYS.INTL(MAX(E141,(Reprogramaciones!$T$15+7*(Reprogramaciones!Y$14-1))),MIN(F141,Reprogramaciones!Y$13),11))/MAX(0,NETWORKDAYS.INTL(MAX(E141,(Reprogramaciones!$T$15+7*(Reprogramaciones!Y$14-1))),MIN(F141,(Reprogramaciones!$T$15+7*(Reprogramaciones!Y$14-1))+6),11))))))))</f>
        <v/>
      </c>
      <c r="CI141" s="1" t="str">
        <f aca="false">IF(OR(NOT(AND(ISNUMBER(E141),ISNUMBER(F141))),$J$2=""),"",IF(Reprogramaciones!Z$13&lt;Reprogramaciones!$T$15,0,IF(Reprogramaciones!Z$14&gt;10,MIN(100,SUM($G141:$P141)),MIN(100,SUMPRODUCT((COLUMN($G141:$P141)-COLUMN($G141)+1&lt;Reprogramaciones!Z$14)*$G141:$P141)+N(INDEX($G141:$P141,1,Reprogramaciones!Z$14))*IF(Reprogramaciones!Z$13&gt;=(Reprogramaciones!$T$15+7*(Reprogramaciones!Z$14-1))+6,1,IF(MAX(0,NETWORKDAYS.INTL(MAX(E141,(Reprogramaciones!$T$15+7*(Reprogramaciones!Z$14-1))),MIN(F141,(Reprogramaciones!$T$15+7*(Reprogramaciones!Z$14-1))+6),11))=0,0,MAX(0,NETWORKDAYS.INTL(MAX(E141,(Reprogramaciones!$T$15+7*(Reprogramaciones!Z$14-1))),MIN(F141,Reprogramaciones!Z$13),11))/MAX(0,NETWORKDAYS.INTL(MAX(E141,(Reprogramaciones!$T$15+7*(Reprogramaciones!Z$14-1))),MIN(F141,(Reprogramaciones!$T$15+7*(Reprogramaciones!Z$14-1))+6),11))))))))</f>
        <v/>
      </c>
      <c r="CJ141" s="1" t="str">
        <f aca="false">IF(OR(OR(NOT(AND(ISNUMBER(E141),ISNUMBER(F141))),$J$2=""),1&gt;Reprogramaciones!$K$16),"",IF(ROUND(SUM($Q141:Q141),1)&gt;=99.5,100,MIN(100,ROUND(SUM($Q141:Q141),1))))</f>
        <v/>
      </c>
      <c r="CK141" s="1" t="str">
        <f aca="false">IF(OR(OR(NOT(AND(ISNUMBER(E141),ISNUMBER(F141))),$J$2=""),2&gt;Reprogramaciones!$K$16),"",IF(ROUND(SUM($Q141:R141),1)&gt;=99.5,100,MIN(100,ROUND(SUM($Q141:R141),1))))</f>
        <v/>
      </c>
      <c r="CL141" s="1" t="str">
        <f aca="false">IF(OR(OR(NOT(AND(ISNUMBER(E141),ISNUMBER(F141))),$J$2=""),3&gt;Reprogramaciones!$K$16),"",IF(ROUND(SUM($Q141:S141),1)&gt;=99.5,100,MIN(100,ROUND(SUM($Q141:S141),1))))</f>
        <v/>
      </c>
      <c r="CM141" s="1" t="str">
        <f aca="false">IF(OR(OR(NOT(AND(ISNUMBER(E141),ISNUMBER(F141))),$J$2=""),4&gt;Reprogramaciones!$K$16),"",IF(ROUND(SUM($Q141:T141),1)&gt;=99.5,100,MIN(100,ROUND(SUM($Q141:T141),1))))</f>
        <v/>
      </c>
      <c r="CN141" s="1" t="str">
        <f aca="false">IF(OR(OR(NOT(AND(ISNUMBER(E141),ISNUMBER(F141))),$J$2=""),5&gt;Reprogramaciones!$K$16),"",IF(ROUND(SUM($Q141:U141),1)&gt;=99.5,100,MIN(100,ROUND(SUM($Q141:U141),1))))</f>
        <v/>
      </c>
      <c r="CO141" s="1" t="str">
        <f aca="false">IF(OR(OR(NOT(AND(ISNUMBER(E141),ISNUMBER(F141))),$J$2=""),6&gt;Reprogramaciones!$K$16),"",IF(ROUND(SUM($Q141:V141),1)&gt;=99.5,100,MIN(100,ROUND(SUM($Q141:V141),1))))</f>
        <v/>
      </c>
      <c r="CP141" s="1" t="str">
        <f aca="false">IF(OR(OR(NOT(AND(ISNUMBER(E141),ISNUMBER(F141))),$J$2=""),7&gt;Reprogramaciones!$K$16),"",IF(ROUND(SUM($Q141:W141),1)&gt;=99.5,100,MIN(100,ROUND(SUM($Q141:W141),1))))</f>
        <v/>
      </c>
      <c r="CQ141" s="1" t="str">
        <f aca="false">IF(OR(OR(NOT(AND(ISNUMBER(E141),ISNUMBER(F141))),$J$2=""),8&gt;Reprogramaciones!$K$16),"",IF(ROUND(SUM($Q141:X141),1)&gt;=99.5,100,MIN(100,ROUND(SUM($Q141:X141),1))))</f>
        <v/>
      </c>
      <c r="CR141" s="1" t="str">
        <f aca="false">IF(OR(OR(NOT(AND(ISNUMBER(E141),ISNUMBER(F141))),$J$2=""),9&gt;Reprogramaciones!$K$16),"",IF(ROUND(SUM($Q141:Y141),1)&gt;=99.5,100,MIN(100,ROUND(SUM($Q141:Y141),1))))</f>
        <v/>
      </c>
      <c r="CS141" s="1" t="str">
        <f aca="false">IF(OR(OR(NOT(AND(ISNUMBER(E141),ISNUMBER(F141))),$J$2=""),10&gt;Reprogramaciones!$K$16),"",IF(ROUND(SUM($Q141:Z141),1)&gt;=99.5,100,MIN(100,ROUND(SUM($Q141:Z141),1))))</f>
        <v/>
      </c>
      <c r="CT141" s="1" t="str">
        <f aca="false">IF(OR(OR(NOT(AND(ISNUMBER(E141),ISNUMBER(F141))),$J$2=""),11&gt;Reprogramaciones!$K$16),"",IF(ROUND(SUM($Q141:AA141),1)&gt;=99.5,100,MIN(100,ROUND(SUM($Q141:AA141),1))))</f>
        <v/>
      </c>
      <c r="CU141" s="1" t="str">
        <f aca="false">IF(OR(OR(NOT(AND(ISNUMBER(E141),ISNUMBER(F141))),$J$2=""),12&gt;Reprogramaciones!$K$16),"",IF(ROUND(SUM($Q141:AB141),1)&gt;=99.5,100,MIN(100,ROUND(SUM($Q141:AB141),1))))</f>
        <v/>
      </c>
      <c r="CV141" s="1" t="str">
        <f aca="false">IF(OR(OR(NOT(AND(ISNUMBER(E141),ISNUMBER(F141))),$J$2=""),13&gt;Reprogramaciones!$K$16),"",IF(ROUND(SUM($Q141:AC141),1)&gt;=99.5,100,MIN(100,ROUND(SUM($Q141:AC141),1))))</f>
        <v/>
      </c>
      <c r="CW141" s="1" t="str">
        <f aca="false">IF(OR(OR(NOT(AND(ISNUMBER(E141),ISNUMBER(F141))),$J$2=""),14&gt;Reprogramaciones!$K$16),"",IF(ROUND(SUM($Q141:AD141),1)&gt;=99.5,100,MIN(100,ROUND(SUM($Q141:AD141),1))))</f>
        <v/>
      </c>
      <c r="CX141" s="1" t="str">
        <f aca="false">IF(OR(OR(NOT(AND(ISNUMBER(E141),ISNUMBER(F141))),$J$2=""),15&gt;Reprogramaciones!$K$16),"",IF(ROUND(SUM($Q141:AE141),1)&gt;=99.5,100,MIN(100,ROUND(SUM($Q141:AE141),1))))</f>
        <v/>
      </c>
      <c r="CY141" s="1" t="str">
        <f aca="false">IF(OR(OR(NOT(AND(ISNUMBER(E141),ISNUMBER(F141))),$J$2=""),16&gt;Reprogramaciones!$K$16),"",IF(ROUND(SUM($Q141:AF141),1)&gt;=99.5,100,MIN(100,ROUND(SUM($Q141:AF141),1))))</f>
        <v/>
      </c>
      <c r="CZ141" s="1" t="str">
        <f aca="false">IF(D141&lt;&gt;"",D141,IF(B141&lt;&gt;"","Contractual",CZ140))</f>
        <v>Contractual</v>
      </c>
      <c r="DA141" s="1" t="str">
        <f aca="false">IF(OR(NOT(AND(ISNUMBER(E141),ISNUMBER(F141))),$J$2=""),"",IF(Reprogramaciones!$Q$15&lt;Reprogramaciones!$T$15,0,IF(Reprogramaciones!$S$15&gt;10,MIN(100,SUM($G141:$P141)),MIN(100,SUMPRODUCT((COLUMN($G141:$P141)-COLUMN($G141)+1&lt;Reprogramaciones!$S$15)*$G141:$P141)+N(INDEX($G141:$P141,1,Reprogramaciones!$S$15))*IF(Reprogramaciones!$Q$15&gt;=(Reprogramaciones!$T$15+7*(Reprogramaciones!$S$15-1))+6,1,IF(MAX(0,NETWORKDAYS.INTL(MAX(E141,(Reprogramaciones!$T$15+7*(Reprogramaciones!$S$15-1))),MIN(F141,(Reprogramaciones!$T$15+7*(Reprogramaciones!$S$15-1))+6),11))=0,0,MAX(0,NETWORKDAYS.INTL(MAX(E141,(Reprogramaciones!$T$15+7*(Reprogramaciones!$S$15-1))),MIN(F141,Reprogramaciones!$Q$15),11))/MAX(0,NETWORKDAYS.INTL(MAX(E141,(Reprogramaciones!$T$15+7*(Reprogramaciones!$S$15-1))),MIN(F141,(Reprogramaciones!$T$15+7*(Reprogramaciones!$S$15-1))+6),11))))))))</f>
        <v/>
      </c>
    </row>
    <row r="142" customFormat="false" ht="15" hidden="false" customHeight="false" outlineLevel="0" collapsed="false">
      <c r="A142" s="32"/>
      <c r="B142" s="33"/>
      <c r="C142" s="33"/>
      <c r="D142" s="34"/>
      <c r="E142" s="35"/>
      <c r="F142" s="35"/>
      <c r="G142" s="36" t="str">
        <f aca="false">IF(OR(NOT(AND(ISNUMBER(E142),ISNUMBER(F142))),$J$2=""),"",IF(Reprogramaciones!K$9&lt;E142,0,IF(NETWORKDAYS.INTL(E142,F142,11)=0,IF(Reprogramaciones!K$9&gt;=F142,100,0),ROUND(NETWORKDAYS.INTL(E142,MIN(F142,Reprogramaciones!K$9),11)/NETWORKDAYS.INTL(E142,F142,11)*100,1)))-0)</f>
        <v/>
      </c>
      <c r="H142" s="36" t="str">
        <f aca="false">IF(OR(NOT(AND(ISNUMBER(E142),ISNUMBER(F142))),$J$2=""),"",IF(Reprogramaciones!L$9&lt;E142,0,IF(NETWORKDAYS.INTL(E142,F142,11)=0,IF(Reprogramaciones!L$9&gt;=F142,100,0),ROUND(NETWORKDAYS.INTL(E142,MIN(F142,Reprogramaciones!L$9),11)/NETWORKDAYS.INTL(E142,F142,11)*100,1)))-IF(Reprogramaciones!K$9&lt;E142,0,IF(NETWORKDAYS.INTL(E142,F142,11)=0,IF(Reprogramaciones!K$9&gt;=F142,100,0),ROUND(NETWORKDAYS.INTL(E142,MIN(F142,Reprogramaciones!K$9),11)/NETWORKDAYS.INTL(E142,F142,11)*100,1))))</f>
        <v/>
      </c>
      <c r="I142" s="36" t="str">
        <f aca="false">IF(OR(NOT(AND(ISNUMBER(E142),ISNUMBER(F142))),$J$2=""),"",IF(Reprogramaciones!M$9&lt;E142,0,IF(NETWORKDAYS.INTL(E142,F142,11)=0,IF(Reprogramaciones!M$9&gt;=F142,100,0),ROUND(NETWORKDAYS.INTL(E142,MIN(F142,Reprogramaciones!M$9),11)/NETWORKDAYS.INTL(E142,F142,11)*100,1)))-IF(Reprogramaciones!L$9&lt;E142,0,IF(NETWORKDAYS.INTL(E142,F142,11)=0,IF(Reprogramaciones!L$9&gt;=F142,100,0),ROUND(NETWORKDAYS.INTL(E142,MIN(F142,Reprogramaciones!L$9),11)/NETWORKDAYS.INTL(E142,F142,11)*100,1))))</f>
        <v/>
      </c>
      <c r="J142" s="36" t="str">
        <f aca="false">IF(OR(NOT(AND(ISNUMBER(E142),ISNUMBER(F142))),$J$2=""),"",IF(Reprogramaciones!N$9&lt;E142,0,IF(NETWORKDAYS.INTL(E142,F142,11)=0,IF(Reprogramaciones!N$9&gt;=F142,100,0),ROUND(NETWORKDAYS.INTL(E142,MIN(F142,Reprogramaciones!N$9),11)/NETWORKDAYS.INTL(E142,F142,11)*100,1)))-IF(Reprogramaciones!M$9&lt;E142,0,IF(NETWORKDAYS.INTL(E142,F142,11)=0,IF(Reprogramaciones!M$9&gt;=F142,100,0),ROUND(NETWORKDAYS.INTL(E142,MIN(F142,Reprogramaciones!M$9),11)/NETWORKDAYS.INTL(E142,F142,11)*100,1))))</f>
        <v/>
      </c>
      <c r="K142" s="36" t="str">
        <f aca="false">IF(OR(NOT(AND(ISNUMBER(E142),ISNUMBER(F142))),$J$2=""),"",IF(Reprogramaciones!O$9&lt;E142,0,IF(NETWORKDAYS.INTL(E142,F142,11)=0,IF(Reprogramaciones!O$9&gt;=F142,100,0),ROUND(NETWORKDAYS.INTL(E142,MIN(F142,Reprogramaciones!O$9),11)/NETWORKDAYS.INTL(E142,F142,11)*100,1)))-IF(Reprogramaciones!N$9&lt;E142,0,IF(NETWORKDAYS.INTL(E142,F142,11)=0,IF(Reprogramaciones!N$9&gt;=F142,100,0),ROUND(NETWORKDAYS.INTL(E142,MIN(F142,Reprogramaciones!N$9),11)/NETWORKDAYS.INTL(E142,F142,11)*100,1))))</f>
        <v/>
      </c>
      <c r="L142" s="36" t="str">
        <f aca="false">IF(OR(NOT(AND(ISNUMBER(E142),ISNUMBER(F142))),$J$2=""),"",IF(Reprogramaciones!P$9&lt;E142,0,IF(NETWORKDAYS.INTL(E142,F142,11)=0,IF(Reprogramaciones!P$9&gt;=F142,100,0),ROUND(NETWORKDAYS.INTL(E142,MIN(F142,Reprogramaciones!P$9),11)/NETWORKDAYS.INTL(E142,F142,11)*100,1)))-IF(Reprogramaciones!O$9&lt;E142,0,IF(NETWORKDAYS.INTL(E142,F142,11)=0,IF(Reprogramaciones!O$9&gt;=F142,100,0),ROUND(NETWORKDAYS.INTL(E142,MIN(F142,Reprogramaciones!O$9),11)/NETWORKDAYS.INTL(E142,F142,11)*100,1))))</f>
        <v/>
      </c>
      <c r="M142" s="36" t="str">
        <f aca="false">IF(OR(NOT(AND(ISNUMBER(E142),ISNUMBER(F142))),$J$2=""),"",IF(Reprogramaciones!Q$9&lt;E142,0,IF(NETWORKDAYS.INTL(E142,F142,11)=0,IF(Reprogramaciones!Q$9&gt;=F142,100,0),ROUND(NETWORKDAYS.INTL(E142,MIN(F142,Reprogramaciones!Q$9),11)/NETWORKDAYS.INTL(E142,F142,11)*100,1)))-IF(Reprogramaciones!P$9&lt;E142,0,IF(NETWORKDAYS.INTL(E142,F142,11)=0,IF(Reprogramaciones!P$9&gt;=F142,100,0),ROUND(NETWORKDAYS.INTL(E142,MIN(F142,Reprogramaciones!P$9),11)/NETWORKDAYS.INTL(E142,F142,11)*100,1))))</f>
        <v/>
      </c>
      <c r="N142" s="36" t="str">
        <f aca="false">IF(OR(NOT(AND(ISNUMBER(E142),ISNUMBER(F142))),$J$2=""),"",IF(Reprogramaciones!R$9&lt;E142,0,IF(NETWORKDAYS.INTL(E142,F142,11)=0,IF(Reprogramaciones!R$9&gt;=F142,100,0),ROUND(NETWORKDAYS.INTL(E142,MIN(F142,Reprogramaciones!R$9),11)/NETWORKDAYS.INTL(E142,F142,11)*100,1)))-IF(Reprogramaciones!Q$9&lt;E142,0,IF(NETWORKDAYS.INTL(E142,F142,11)=0,IF(Reprogramaciones!Q$9&gt;=F142,100,0),ROUND(NETWORKDAYS.INTL(E142,MIN(F142,Reprogramaciones!Q$9),11)/NETWORKDAYS.INTL(E142,F142,11)*100,1))))</f>
        <v/>
      </c>
      <c r="O142" s="36" t="str">
        <f aca="false">IF(OR(NOT(AND(ISNUMBER(E142),ISNUMBER(F142))),$J$2=""),"",IF(Reprogramaciones!S$9&lt;E142,0,IF(NETWORKDAYS.INTL(E142,F142,11)=0,IF(Reprogramaciones!S$9&gt;=F142,100,0),ROUND(NETWORKDAYS.INTL(E142,MIN(F142,Reprogramaciones!S$9),11)/NETWORKDAYS.INTL(E142,F142,11)*100,1)))-IF(Reprogramaciones!R$9&lt;E142,0,IF(NETWORKDAYS.INTL(E142,F142,11)=0,IF(Reprogramaciones!R$9&gt;=F142,100,0),ROUND(NETWORKDAYS.INTL(E142,MIN(F142,Reprogramaciones!R$9),11)/NETWORKDAYS.INTL(E142,F142,11)*100,1))))</f>
        <v/>
      </c>
      <c r="P142" s="36" t="str">
        <f aca="false">IF(OR(NOT(AND(ISNUMBER(E142),ISNUMBER(F142))),$J$2=""),"",IF(Reprogramaciones!T$9&lt;E142,0,IF(NETWORKDAYS.INTL(E142,F142,11)=0,IF(Reprogramaciones!T$9&gt;=F142,100,0),ROUND(NETWORKDAYS.INTL(E142,MIN(F142,Reprogramaciones!T$9),11)/NETWORKDAYS.INTL(E142,F142,11)*100,1)))-IF(Reprogramaciones!S$9&lt;E142,0,IF(NETWORKDAYS.INTL(E142,F142,11)=0,IF(Reprogramaciones!S$9&gt;=F142,100,0),ROUND(NETWORKDAYS.INTL(E142,MIN(F142,Reprogramaciones!S$9),11)/NETWORKDAYS.INTL(E142,F142,11)*100,1))))</f>
        <v/>
      </c>
      <c r="Q142" s="37"/>
      <c r="R142" s="37"/>
      <c r="S142" s="37"/>
      <c r="T142" s="37"/>
      <c r="U142" s="37"/>
      <c r="V142" s="37"/>
      <c r="W142" s="37"/>
      <c r="X142" s="37"/>
      <c r="Y142" s="37"/>
      <c r="Z142" s="37"/>
      <c r="AA142" s="37"/>
      <c r="AB142" s="37"/>
      <c r="AC142" s="37"/>
      <c r="AD142" s="37"/>
      <c r="AE142" s="37"/>
      <c r="AF142" s="37"/>
      <c r="AG142" s="38" t="str">
        <f aca="false">IF(AND(ISNUMBER(E142),ISNUMBER(F142)),NETWORKDAYS.INTL(E142,F142,11),"")</f>
        <v/>
      </c>
      <c r="AH142" s="38" t="str">
        <f aca="false">IF(OR(NOT(AND(ISNUMBER(E142),ISNUMBER(F142))),$J$2=""),"",IF(Reprogramaciones!$P$15&lt;Reprogramaciones!$T$15,0,IF(Reprogramaciones!$R$15&gt;10,MIN(100,SUM($G142:$P142)),MIN(100,SUMPRODUCT((COLUMN($G142:$P142)-COLUMN($G142)+1&lt;Reprogramaciones!$R$15)*$G142:$P142)+N(INDEX($G142:$P142,1,Reprogramaciones!$R$15))*IF(Reprogramaciones!$P$15&gt;=(Reprogramaciones!$T$15+7*(Reprogramaciones!$R$15-1))+6,1,IF(MAX(0,NETWORKDAYS.INTL(MAX(E142,(Reprogramaciones!$T$15+7*(Reprogramaciones!$R$15-1))),MIN(F142,(Reprogramaciones!$T$15+7*(Reprogramaciones!$R$15-1))+6),11))=0,0,MAX(0,NETWORKDAYS.INTL(MAX(E142,(Reprogramaciones!$T$15+7*(Reprogramaciones!$R$15-1))),MIN(F142,Reprogramaciones!$P$15),11))/MAX(0,NETWORKDAYS.INTL(MAX(E142,(Reprogramaciones!$T$15+7*(Reprogramaciones!$R$15-1))),MIN(F142,(Reprogramaciones!$T$15+7*(Reprogramaciones!$R$15-1))+6),11))))))))</f>
        <v/>
      </c>
      <c r="AI142" s="38" t="str">
        <f aca="false">IF(COUNT($Q142:$AF142)=0,"",IF(ROUND(SUM($Q142:$AF142),1)&gt;=99.5,100,MIN(100,ROUND(SUM($Q142:$AF142),1))))</f>
        <v/>
      </c>
      <c r="AJ142" s="38" t="str">
        <f aca="false">IF(OR(AH142="",AI142=""),"",AI142-AH142)</f>
        <v/>
      </c>
      <c r="AK142" s="39" t="str">
        <f aca="true">IF(AH142="","",IF(OR(Ficha!$C$10="Suspendida",Ficha!$C$10="Cancelada"),Ficha!$C$10,IF(AND(AI142&lt;&gt;"",N(AI142)&gt;=100),"Completada",IF(AND(E142&gt;TODAY(),N(AI142)=0),"Por iniciar",IF(N(AI142)+0.5&lt;AH142,"Retrasada",IF(N(AI142)+0.5&lt;DA142,IF(Reprogramaciones!$K$15&gt;0,"Al día · Sem "&amp;Reprogramaciones!$K$15&amp;" en curso","Al día · en curso"),"A tiempo"))))))</f>
        <v/>
      </c>
      <c r="AL142" s="39" t="str">
        <f aca="true">IF(AND(A142="",AND(B142="",C142="",E142="",F142="",COUNT(Q142:AF142)=0)),"",IF(AND(B142="",C142="",E142="",F142="",COUNT(Q142:AF142)=0),"Falta la partida o subpartida",IF(AND(A142&lt;&gt;"",COUNTIF($A$6:$A$305,A142)&gt;1),"Ítem repetido",IF(AND(C142="",E142="",F142="",COUNT(Q142:AF142)=0),"Título de partida",IF(OR(E142="",F142=""),"Faltan fechas",IF(OR(ISTEXT(E142),ISTEXT(F142)),"Fecha escrita como texto: usa dd/mm/aaaa",IF(F142&lt;E142,"Fin antes del inicio",IF(IF($J$2="",FALSE(),OR(E142&lt;$J$2,F142&gt;Reprogramaciones!$T$15+69)),"Fuera de las 10 semanas",IF(ABS(SUM(G142:P142)-100)&gt;0.5,"La meta no suma 100%",IF(ROUND(SUM(Q142:AF142),1)&gt;100.5,"El avance pasa de 100%",IF(MIN(Q142:AF142)&lt;0,"Avance negativo",IF(COUNTA(Q142:AF142)&gt;COUNT(Q142:AF142),"Avance escrito como texto",IF(SUMPRODUCT((Q142:AF142&gt;0)*(Q142:AF142&lt;1))&gt;0,"Avance menor a 1: escribe 50, no 50%",IF(SUMPRODUCT(ISNUMBER(Q142:AF142)*(Reprogramaciones!$K$8:$Z$8&gt;TODAY()))&gt;0,"Avance en semana que aún no llega",IF(AND(N(Reprogramaciones!$E$21)&gt;0,F142&gt;Reprogramaciones!$E$21),"Pasa el fin de la obra: registra una reprogramación",IF(AND(N(Reprogramaciones!$E$21)&gt;0,SUMPRODUCT(ISNUMBER(Q142:AF142)*(Reprogramaciones!$K$8:$Z$8&gt;Reprogramaciones!$E$21))&gt;0),"Avance después del fin de la obra: registra una reprogramación por atraso","OK"))))))))))))))))</f>
        <v/>
      </c>
      <c r="AM142" s="40" t="str">
        <f aca="false">IF(OR(OR(NOT(AND(ISNUMBER(E142),ISNUMBER(F142))),$J$2=""),1&gt;MAX(1,Reprogramaciones!$U$15)),"",IF(Reprogramaciones!K$12&gt;=7,"",IF(OR(BT142-N(0)&gt;0.05,N(Q142)&gt;0),ROUNDDOWN(ROUND(BT142,6),0)&amp;"%"&amp;IF(CJ142="",""," / "&amp;CJ142&amp;"%"),IF(AND(N(0)&gt;=99.95,CJ142&lt;&gt;"",N(CJ142)&lt;100),"Pend. "&amp;CJ142&amp;"%",""))))</f>
        <v/>
      </c>
      <c r="AN142" s="40" t="str">
        <f aca="false">IF(OR(OR(NOT(AND(ISNUMBER(E142),ISNUMBER(F142))),$J$2=""),2&gt;MAX(1,Reprogramaciones!$U$15)),"",IF(Reprogramaciones!L$12&gt;=7,"",IF(OR(BU142-N(BT142)&gt;0.05,N(R142)&gt;0),ROUNDDOWN(ROUND(BU142,6),0)&amp;"%"&amp;IF(CK142="",""," / "&amp;CK142&amp;"%"),IF(AND(N(BT142)&gt;=99.95,CK142&lt;&gt;"",N(CK142)&lt;100),"Pend. "&amp;CK142&amp;"%",""))))</f>
        <v/>
      </c>
      <c r="AO142" s="40" t="str">
        <f aca="false">IF(OR(OR(NOT(AND(ISNUMBER(E142),ISNUMBER(F142))),$J$2=""),3&gt;MAX(1,Reprogramaciones!$U$15)),"",IF(Reprogramaciones!M$12&gt;=7,"",IF(OR(BV142-N(BU142)&gt;0.05,N(S142)&gt;0),ROUNDDOWN(ROUND(BV142,6),0)&amp;"%"&amp;IF(CL142="",""," / "&amp;CL142&amp;"%"),IF(AND(N(BU142)&gt;=99.95,CL142&lt;&gt;"",N(CL142)&lt;100),"Pend. "&amp;CL142&amp;"%",""))))</f>
        <v/>
      </c>
      <c r="AP142" s="40" t="str">
        <f aca="false">IF(OR(OR(NOT(AND(ISNUMBER(E142),ISNUMBER(F142))),$J$2=""),4&gt;MAX(1,Reprogramaciones!$U$15)),"",IF(Reprogramaciones!N$12&gt;=7,"",IF(OR(BW142-N(BV142)&gt;0.05,N(T142)&gt;0),ROUNDDOWN(ROUND(BW142,6),0)&amp;"%"&amp;IF(CM142="",""," / "&amp;CM142&amp;"%"),IF(AND(N(BV142)&gt;=99.95,CM142&lt;&gt;"",N(CM142)&lt;100),"Pend. "&amp;CM142&amp;"%",""))))</f>
        <v/>
      </c>
      <c r="AQ142" s="40" t="str">
        <f aca="false">IF(OR(OR(NOT(AND(ISNUMBER(E142),ISNUMBER(F142))),$J$2=""),5&gt;MAX(1,Reprogramaciones!$U$15)),"",IF(Reprogramaciones!O$12&gt;=7,"",IF(OR(BX142-N(BW142)&gt;0.05,N(U142)&gt;0),ROUNDDOWN(ROUND(BX142,6),0)&amp;"%"&amp;IF(CN142="",""," / "&amp;CN142&amp;"%"),IF(AND(N(BW142)&gt;=99.95,CN142&lt;&gt;"",N(CN142)&lt;100),"Pend. "&amp;CN142&amp;"%",""))))</f>
        <v/>
      </c>
      <c r="AR142" s="40" t="str">
        <f aca="false">IF(OR(OR(NOT(AND(ISNUMBER(E142),ISNUMBER(F142))),$J$2=""),6&gt;MAX(1,Reprogramaciones!$U$15)),"",IF(Reprogramaciones!P$12&gt;=7,"",IF(OR(BY142-N(BX142)&gt;0.05,N(V142)&gt;0),ROUNDDOWN(ROUND(BY142,6),0)&amp;"%"&amp;IF(CO142="",""," / "&amp;CO142&amp;"%"),IF(AND(N(BX142)&gt;=99.95,CO142&lt;&gt;"",N(CO142)&lt;100),"Pend. "&amp;CO142&amp;"%",""))))</f>
        <v/>
      </c>
      <c r="AS142" s="40" t="str">
        <f aca="false">IF(OR(OR(NOT(AND(ISNUMBER(E142),ISNUMBER(F142))),$J$2=""),7&gt;MAX(1,Reprogramaciones!$U$15)),"",IF(Reprogramaciones!Q$12&gt;=7,"",IF(OR(BZ142-N(BY142)&gt;0.05,N(W142)&gt;0),ROUNDDOWN(ROUND(BZ142,6),0)&amp;"%"&amp;IF(CP142="",""," / "&amp;CP142&amp;"%"),IF(AND(N(BY142)&gt;=99.95,CP142&lt;&gt;"",N(CP142)&lt;100),"Pend. "&amp;CP142&amp;"%",""))))</f>
        <v/>
      </c>
      <c r="AT142" s="40" t="str">
        <f aca="false">IF(OR(OR(NOT(AND(ISNUMBER(E142),ISNUMBER(F142))),$J$2=""),8&gt;MAX(1,Reprogramaciones!$U$15)),"",IF(Reprogramaciones!R$12&gt;=7,"",IF(OR(CA142-N(BZ142)&gt;0.05,N(X142)&gt;0),ROUNDDOWN(ROUND(CA142,6),0)&amp;"%"&amp;IF(CQ142="",""," / "&amp;CQ142&amp;"%"),IF(AND(N(BZ142)&gt;=99.95,CQ142&lt;&gt;"",N(CQ142)&lt;100),"Pend. "&amp;CQ142&amp;"%",""))))</f>
        <v/>
      </c>
      <c r="AU142" s="40" t="str">
        <f aca="false">IF(OR(OR(NOT(AND(ISNUMBER(E142),ISNUMBER(F142))),$J$2=""),9&gt;MAX(1,Reprogramaciones!$U$15)),"",IF(Reprogramaciones!S$12&gt;=7,"",IF(OR(CB142-N(CA142)&gt;0.05,N(Y142)&gt;0),ROUNDDOWN(ROUND(CB142,6),0)&amp;"%"&amp;IF(CR142="",""," / "&amp;CR142&amp;"%"),IF(AND(N(CA142)&gt;=99.95,CR142&lt;&gt;"",N(CR142)&lt;100),"Pend. "&amp;CR142&amp;"%",""))))</f>
        <v/>
      </c>
      <c r="AV142" s="40" t="str">
        <f aca="false">IF(OR(OR(NOT(AND(ISNUMBER(E142),ISNUMBER(F142))),$J$2=""),10&gt;MAX(1,Reprogramaciones!$U$15)),"",IF(Reprogramaciones!T$12&gt;=7,"",IF(OR(CC142-N(CB142)&gt;0.05,N(Z142)&gt;0),ROUNDDOWN(ROUND(CC142,6),0)&amp;"%"&amp;IF(CS142="",""," / "&amp;CS142&amp;"%"),IF(AND(N(CB142)&gt;=99.95,CS142&lt;&gt;"",N(CS142)&lt;100),"Pend. "&amp;CS142&amp;"%",""))))</f>
        <v/>
      </c>
      <c r="AW142" s="40" t="str">
        <f aca="false">IF(OR(OR(NOT(AND(ISNUMBER(E142),ISNUMBER(F142))),$J$2=""),11&gt;MAX(1,Reprogramaciones!$U$15)),"",IF(Reprogramaciones!U$12&gt;=7,"",IF(OR(CD142-N(CC142)&gt;0.05,N(AA142)&gt;0),ROUNDDOWN(ROUND(CD142,6),0)&amp;"%"&amp;IF(CT142="",""," / "&amp;CT142&amp;"%"),IF(AND(N(CC142)&gt;=99.95,CT142&lt;&gt;"",N(CT142)&lt;100),"Pend. "&amp;CT142&amp;"%",""))))</f>
        <v/>
      </c>
      <c r="AX142" s="40" t="str">
        <f aca="false">IF(OR(OR(NOT(AND(ISNUMBER(E142),ISNUMBER(F142))),$J$2=""),12&gt;MAX(1,Reprogramaciones!$U$15)),"",IF(Reprogramaciones!V$12&gt;=7,"",IF(OR(CE142-N(CD142)&gt;0.05,N(AB142)&gt;0),ROUNDDOWN(ROUND(CE142,6),0)&amp;"%"&amp;IF(CU142="",""," / "&amp;CU142&amp;"%"),IF(AND(N(CD142)&gt;=99.95,CU142&lt;&gt;"",N(CU142)&lt;100),"Pend. "&amp;CU142&amp;"%",""))))</f>
        <v/>
      </c>
      <c r="AY142" s="40" t="str">
        <f aca="false">IF(OR(OR(NOT(AND(ISNUMBER(E142),ISNUMBER(F142))),$J$2=""),13&gt;MAX(1,Reprogramaciones!$U$15)),"",IF(Reprogramaciones!W$12&gt;=7,"",IF(OR(CF142-N(CE142)&gt;0.05,N(AC142)&gt;0),ROUNDDOWN(ROUND(CF142,6),0)&amp;"%"&amp;IF(CV142="",""," / "&amp;CV142&amp;"%"),IF(AND(N(CE142)&gt;=99.95,CV142&lt;&gt;"",N(CV142)&lt;100),"Pend. "&amp;CV142&amp;"%",""))))</f>
        <v/>
      </c>
      <c r="AZ142" s="40" t="str">
        <f aca="false">IF(OR(OR(NOT(AND(ISNUMBER(E142),ISNUMBER(F142))),$J$2=""),14&gt;MAX(1,Reprogramaciones!$U$15)),"",IF(Reprogramaciones!X$12&gt;=7,"",IF(OR(CG142-N(CF142)&gt;0.05,N(AD142)&gt;0),ROUNDDOWN(ROUND(CG142,6),0)&amp;"%"&amp;IF(CW142="",""," / "&amp;CW142&amp;"%"),IF(AND(N(CF142)&gt;=99.95,CW142&lt;&gt;"",N(CW142)&lt;100),"Pend. "&amp;CW142&amp;"%",""))))</f>
        <v/>
      </c>
      <c r="BA142" s="40" t="str">
        <f aca="false">IF(OR(OR(NOT(AND(ISNUMBER(E142),ISNUMBER(F142))),$J$2=""),15&gt;MAX(1,Reprogramaciones!$U$15)),"",IF(Reprogramaciones!Y$12&gt;=7,"",IF(OR(CH142-N(CG142)&gt;0.05,N(AE142)&gt;0),ROUNDDOWN(ROUND(CH142,6),0)&amp;"%"&amp;IF(CX142="",""," / "&amp;CX142&amp;"%"),IF(AND(N(CG142)&gt;=99.95,CX142&lt;&gt;"",N(CX142)&lt;100),"Pend. "&amp;CX142&amp;"%",""))))</f>
        <v/>
      </c>
      <c r="BB142" s="40" t="str">
        <f aca="false">IF(OR(OR(NOT(AND(ISNUMBER(E142),ISNUMBER(F142))),$J$2=""),16&gt;MAX(1,Reprogramaciones!$U$15)),"",IF(Reprogramaciones!Z$12&gt;=7,"",IF(OR(CI142-N(CH142)&gt;0.05,N(AF142)&gt;0),ROUNDDOWN(ROUND(CI142,6),0)&amp;"%"&amp;IF(CY142="",""," / "&amp;CY142&amp;"%"),IF(AND(N(CH142)&gt;=99.95,CY142&lt;&gt;"",N(CY142)&lt;100),"Pend. "&amp;CY142&amp;"%",""))))</f>
        <v/>
      </c>
      <c r="BC142" s="31" t="n">
        <f aca="false">IF(AND(ISNUMBER(E142),ISNUMBER(F142)),MAX(1,NETWORKDAYS.INTL(E142,F142,11)),0)</f>
        <v>0</v>
      </c>
      <c r="BD142" s="1" t="str">
        <f aca="false">IF(OR(NOT(AND(ISNUMBER(E142),ISNUMBER(F142))),$J$2=""),"",MIN(100,ROUND(SUM($G142:G142),1)))</f>
        <v/>
      </c>
      <c r="BE142" s="1" t="str">
        <f aca="false">IF(OR(NOT(AND(ISNUMBER(E142),ISNUMBER(F142))),$J$2=""),"",MIN(100,ROUND(SUM($G142:H142),1)))</f>
        <v/>
      </c>
      <c r="BF142" s="1" t="str">
        <f aca="false">IF(OR(NOT(AND(ISNUMBER(E142),ISNUMBER(F142))),$J$2=""),"",MIN(100,ROUND(SUM($G142:I142),1)))</f>
        <v/>
      </c>
      <c r="BG142" s="1" t="str">
        <f aca="false">IF(OR(NOT(AND(ISNUMBER(E142),ISNUMBER(F142))),$J$2=""),"",MIN(100,ROUND(SUM($G142:J142),1)))</f>
        <v/>
      </c>
      <c r="BH142" s="1" t="str">
        <f aca="false">IF(OR(NOT(AND(ISNUMBER(E142),ISNUMBER(F142))),$J$2=""),"",MIN(100,ROUND(SUM($G142:K142),1)))</f>
        <v/>
      </c>
      <c r="BI142" s="1" t="str">
        <f aca="false">IF(OR(NOT(AND(ISNUMBER(E142),ISNUMBER(F142))),$J$2=""),"",MIN(100,ROUND(SUM($G142:L142),1)))</f>
        <v/>
      </c>
      <c r="BJ142" s="1" t="str">
        <f aca="false">IF(OR(NOT(AND(ISNUMBER(E142),ISNUMBER(F142))),$J$2=""),"",MIN(100,ROUND(SUM($G142:M142),1)))</f>
        <v/>
      </c>
      <c r="BK142" s="1" t="str">
        <f aca="false">IF(OR(NOT(AND(ISNUMBER(E142),ISNUMBER(F142))),$J$2=""),"",MIN(100,ROUND(SUM($G142:N142),1)))</f>
        <v/>
      </c>
      <c r="BL142" s="1" t="str">
        <f aca="false">IF(OR(NOT(AND(ISNUMBER(E142),ISNUMBER(F142))),$J$2=""),"",MIN(100,ROUND(SUM($G142:O142),1)))</f>
        <v/>
      </c>
      <c r="BM142" s="1" t="str">
        <f aca="false">IF(OR(NOT(AND(ISNUMBER(E142),ISNUMBER(F142))),$J$2=""),"",MIN(100,ROUND(SUM($G142:P142),1)))</f>
        <v/>
      </c>
      <c r="BN142" s="1" t="str">
        <f aca="false">IF(OR(NOT(AND(ISNUMBER(E142),ISNUMBER(F142))),$J$2=""),"",MIN(100,ROUND(SUM($G142:P142),1)))</f>
        <v/>
      </c>
      <c r="BO142" s="1" t="str">
        <f aca="false">IF(OR(NOT(AND(ISNUMBER(E142),ISNUMBER(F142))),$J$2=""),"",MIN(100,ROUND(SUM($G142:P142),1)))</f>
        <v/>
      </c>
      <c r="BP142" s="1" t="str">
        <f aca="false">IF(OR(NOT(AND(ISNUMBER(E142),ISNUMBER(F142))),$J$2=""),"",MIN(100,ROUND(SUM($G142:P142),1)))</f>
        <v/>
      </c>
      <c r="BQ142" s="1" t="str">
        <f aca="false">IF(OR(NOT(AND(ISNUMBER(E142),ISNUMBER(F142))),$J$2=""),"",MIN(100,ROUND(SUM($G142:P142),1)))</f>
        <v/>
      </c>
      <c r="BR142" s="1" t="str">
        <f aca="false">IF(OR(NOT(AND(ISNUMBER(E142),ISNUMBER(F142))),$J$2=""),"",MIN(100,ROUND(SUM($G142:P142),1)))</f>
        <v/>
      </c>
      <c r="BS142" s="1" t="str">
        <f aca="false">IF(OR(NOT(AND(ISNUMBER(E142),ISNUMBER(F142))),$J$2=""),"",MIN(100,ROUND(SUM($G142:P142),1)))</f>
        <v/>
      </c>
      <c r="BT142" s="1" t="str">
        <f aca="false">IF(OR(NOT(AND(ISNUMBER(E142),ISNUMBER(F142))),$J$2=""),"",IF(Reprogramaciones!K$13&lt;Reprogramaciones!$T$15,0,IF(Reprogramaciones!K$14&gt;10,MIN(100,SUM($G142:$P142)),MIN(100,SUMPRODUCT((COLUMN($G142:$P142)-COLUMN($G142)+1&lt;Reprogramaciones!K$14)*$G142:$P142)+N(INDEX($G142:$P142,1,Reprogramaciones!K$14))*IF(Reprogramaciones!K$13&gt;=(Reprogramaciones!$T$15+7*(Reprogramaciones!K$14-1))+6,1,IF(MAX(0,NETWORKDAYS.INTL(MAX(E142,(Reprogramaciones!$T$15+7*(Reprogramaciones!K$14-1))),MIN(F142,(Reprogramaciones!$T$15+7*(Reprogramaciones!K$14-1))+6),11))=0,0,MAX(0,NETWORKDAYS.INTL(MAX(E142,(Reprogramaciones!$T$15+7*(Reprogramaciones!K$14-1))),MIN(F142,Reprogramaciones!K$13),11))/MAX(0,NETWORKDAYS.INTL(MAX(E142,(Reprogramaciones!$T$15+7*(Reprogramaciones!K$14-1))),MIN(F142,(Reprogramaciones!$T$15+7*(Reprogramaciones!K$14-1))+6),11))))))))</f>
        <v/>
      </c>
      <c r="BU142" s="1" t="str">
        <f aca="false">IF(OR(NOT(AND(ISNUMBER(E142),ISNUMBER(F142))),$J$2=""),"",IF(Reprogramaciones!L$13&lt;Reprogramaciones!$T$15,0,IF(Reprogramaciones!L$14&gt;10,MIN(100,SUM($G142:$P142)),MIN(100,SUMPRODUCT((COLUMN($G142:$P142)-COLUMN($G142)+1&lt;Reprogramaciones!L$14)*$G142:$P142)+N(INDEX($G142:$P142,1,Reprogramaciones!L$14))*IF(Reprogramaciones!L$13&gt;=(Reprogramaciones!$T$15+7*(Reprogramaciones!L$14-1))+6,1,IF(MAX(0,NETWORKDAYS.INTL(MAX(E142,(Reprogramaciones!$T$15+7*(Reprogramaciones!L$14-1))),MIN(F142,(Reprogramaciones!$T$15+7*(Reprogramaciones!L$14-1))+6),11))=0,0,MAX(0,NETWORKDAYS.INTL(MAX(E142,(Reprogramaciones!$T$15+7*(Reprogramaciones!L$14-1))),MIN(F142,Reprogramaciones!L$13),11))/MAX(0,NETWORKDAYS.INTL(MAX(E142,(Reprogramaciones!$T$15+7*(Reprogramaciones!L$14-1))),MIN(F142,(Reprogramaciones!$T$15+7*(Reprogramaciones!L$14-1))+6),11))))))))</f>
        <v/>
      </c>
      <c r="BV142" s="1" t="str">
        <f aca="false">IF(OR(NOT(AND(ISNUMBER(E142),ISNUMBER(F142))),$J$2=""),"",IF(Reprogramaciones!M$13&lt;Reprogramaciones!$T$15,0,IF(Reprogramaciones!M$14&gt;10,MIN(100,SUM($G142:$P142)),MIN(100,SUMPRODUCT((COLUMN($G142:$P142)-COLUMN($G142)+1&lt;Reprogramaciones!M$14)*$G142:$P142)+N(INDEX($G142:$P142,1,Reprogramaciones!M$14))*IF(Reprogramaciones!M$13&gt;=(Reprogramaciones!$T$15+7*(Reprogramaciones!M$14-1))+6,1,IF(MAX(0,NETWORKDAYS.INTL(MAX(E142,(Reprogramaciones!$T$15+7*(Reprogramaciones!M$14-1))),MIN(F142,(Reprogramaciones!$T$15+7*(Reprogramaciones!M$14-1))+6),11))=0,0,MAX(0,NETWORKDAYS.INTL(MAX(E142,(Reprogramaciones!$T$15+7*(Reprogramaciones!M$14-1))),MIN(F142,Reprogramaciones!M$13),11))/MAX(0,NETWORKDAYS.INTL(MAX(E142,(Reprogramaciones!$T$15+7*(Reprogramaciones!M$14-1))),MIN(F142,(Reprogramaciones!$T$15+7*(Reprogramaciones!M$14-1))+6),11))))))))</f>
        <v/>
      </c>
      <c r="BW142" s="1" t="str">
        <f aca="false">IF(OR(NOT(AND(ISNUMBER(E142),ISNUMBER(F142))),$J$2=""),"",IF(Reprogramaciones!N$13&lt;Reprogramaciones!$T$15,0,IF(Reprogramaciones!N$14&gt;10,MIN(100,SUM($G142:$P142)),MIN(100,SUMPRODUCT((COLUMN($G142:$P142)-COLUMN($G142)+1&lt;Reprogramaciones!N$14)*$G142:$P142)+N(INDEX($G142:$P142,1,Reprogramaciones!N$14))*IF(Reprogramaciones!N$13&gt;=(Reprogramaciones!$T$15+7*(Reprogramaciones!N$14-1))+6,1,IF(MAX(0,NETWORKDAYS.INTL(MAX(E142,(Reprogramaciones!$T$15+7*(Reprogramaciones!N$14-1))),MIN(F142,(Reprogramaciones!$T$15+7*(Reprogramaciones!N$14-1))+6),11))=0,0,MAX(0,NETWORKDAYS.INTL(MAX(E142,(Reprogramaciones!$T$15+7*(Reprogramaciones!N$14-1))),MIN(F142,Reprogramaciones!N$13),11))/MAX(0,NETWORKDAYS.INTL(MAX(E142,(Reprogramaciones!$T$15+7*(Reprogramaciones!N$14-1))),MIN(F142,(Reprogramaciones!$T$15+7*(Reprogramaciones!N$14-1))+6),11))))))))</f>
        <v/>
      </c>
      <c r="BX142" s="1" t="str">
        <f aca="false">IF(OR(NOT(AND(ISNUMBER(E142),ISNUMBER(F142))),$J$2=""),"",IF(Reprogramaciones!O$13&lt;Reprogramaciones!$T$15,0,IF(Reprogramaciones!O$14&gt;10,MIN(100,SUM($G142:$P142)),MIN(100,SUMPRODUCT((COLUMN($G142:$P142)-COLUMN($G142)+1&lt;Reprogramaciones!O$14)*$G142:$P142)+N(INDEX($G142:$P142,1,Reprogramaciones!O$14))*IF(Reprogramaciones!O$13&gt;=(Reprogramaciones!$T$15+7*(Reprogramaciones!O$14-1))+6,1,IF(MAX(0,NETWORKDAYS.INTL(MAX(E142,(Reprogramaciones!$T$15+7*(Reprogramaciones!O$14-1))),MIN(F142,(Reprogramaciones!$T$15+7*(Reprogramaciones!O$14-1))+6),11))=0,0,MAX(0,NETWORKDAYS.INTL(MAX(E142,(Reprogramaciones!$T$15+7*(Reprogramaciones!O$14-1))),MIN(F142,Reprogramaciones!O$13),11))/MAX(0,NETWORKDAYS.INTL(MAX(E142,(Reprogramaciones!$T$15+7*(Reprogramaciones!O$14-1))),MIN(F142,(Reprogramaciones!$T$15+7*(Reprogramaciones!O$14-1))+6),11))))))))</f>
        <v/>
      </c>
      <c r="BY142" s="1" t="str">
        <f aca="false">IF(OR(NOT(AND(ISNUMBER(E142),ISNUMBER(F142))),$J$2=""),"",IF(Reprogramaciones!P$13&lt;Reprogramaciones!$T$15,0,IF(Reprogramaciones!P$14&gt;10,MIN(100,SUM($G142:$P142)),MIN(100,SUMPRODUCT((COLUMN($G142:$P142)-COLUMN($G142)+1&lt;Reprogramaciones!P$14)*$G142:$P142)+N(INDEX($G142:$P142,1,Reprogramaciones!P$14))*IF(Reprogramaciones!P$13&gt;=(Reprogramaciones!$T$15+7*(Reprogramaciones!P$14-1))+6,1,IF(MAX(0,NETWORKDAYS.INTL(MAX(E142,(Reprogramaciones!$T$15+7*(Reprogramaciones!P$14-1))),MIN(F142,(Reprogramaciones!$T$15+7*(Reprogramaciones!P$14-1))+6),11))=0,0,MAX(0,NETWORKDAYS.INTL(MAX(E142,(Reprogramaciones!$T$15+7*(Reprogramaciones!P$14-1))),MIN(F142,Reprogramaciones!P$13),11))/MAX(0,NETWORKDAYS.INTL(MAX(E142,(Reprogramaciones!$T$15+7*(Reprogramaciones!P$14-1))),MIN(F142,(Reprogramaciones!$T$15+7*(Reprogramaciones!P$14-1))+6),11))))))))</f>
        <v/>
      </c>
      <c r="BZ142" s="1" t="str">
        <f aca="false">IF(OR(NOT(AND(ISNUMBER(E142),ISNUMBER(F142))),$J$2=""),"",IF(Reprogramaciones!Q$13&lt;Reprogramaciones!$T$15,0,IF(Reprogramaciones!Q$14&gt;10,MIN(100,SUM($G142:$P142)),MIN(100,SUMPRODUCT((COLUMN($G142:$P142)-COLUMN($G142)+1&lt;Reprogramaciones!Q$14)*$G142:$P142)+N(INDEX($G142:$P142,1,Reprogramaciones!Q$14))*IF(Reprogramaciones!Q$13&gt;=(Reprogramaciones!$T$15+7*(Reprogramaciones!Q$14-1))+6,1,IF(MAX(0,NETWORKDAYS.INTL(MAX(E142,(Reprogramaciones!$T$15+7*(Reprogramaciones!Q$14-1))),MIN(F142,(Reprogramaciones!$T$15+7*(Reprogramaciones!Q$14-1))+6),11))=0,0,MAX(0,NETWORKDAYS.INTL(MAX(E142,(Reprogramaciones!$T$15+7*(Reprogramaciones!Q$14-1))),MIN(F142,Reprogramaciones!Q$13),11))/MAX(0,NETWORKDAYS.INTL(MAX(E142,(Reprogramaciones!$T$15+7*(Reprogramaciones!Q$14-1))),MIN(F142,(Reprogramaciones!$T$15+7*(Reprogramaciones!Q$14-1))+6),11))))))))</f>
        <v/>
      </c>
      <c r="CA142" s="1" t="str">
        <f aca="false">IF(OR(NOT(AND(ISNUMBER(E142),ISNUMBER(F142))),$J$2=""),"",IF(Reprogramaciones!R$13&lt;Reprogramaciones!$T$15,0,IF(Reprogramaciones!R$14&gt;10,MIN(100,SUM($G142:$P142)),MIN(100,SUMPRODUCT((COLUMN($G142:$P142)-COLUMN($G142)+1&lt;Reprogramaciones!R$14)*$G142:$P142)+N(INDEX($G142:$P142,1,Reprogramaciones!R$14))*IF(Reprogramaciones!R$13&gt;=(Reprogramaciones!$T$15+7*(Reprogramaciones!R$14-1))+6,1,IF(MAX(0,NETWORKDAYS.INTL(MAX(E142,(Reprogramaciones!$T$15+7*(Reprogramaciones!R$14-1))),MIN(F142,(Reprogramaciones!$T$15+7*(Reprogramaciones!R$14-1))+6),11))=0,0,MAX(0,NETWORKDAYS.INTL(MAX(E142,(Reprogramaciones!$T$15+7*(Reprogramaciones!R$14-1))),MIN(F142,Reprogramaciones!R$13),11))/MAX(0,NETWORKDAYS.INTL(MAX(E142,(Reprogramaciones!$T$15+7*(Reprogramaciones!R$14-1))),MIN(F142,(Reprogramaciones!$T$15+7*(Reprogramaciones!R$14-1))+6),11))))))))</f>
        <v/>
      </c>
      <c r="CB142" s="1" t="str">
        <f aca="false">IF(OR(NOT(AND(ISNUMBER(E142),ISNUMBER(F142))),$J$2=""),"",IF(Reprogramaciones!S$13&lt;Reprogramaciones!$T$15,0,IF(Reprogramaciones!S$14&gt;10,MIN(100,SUM($G142:$P142)),MIN(100,SUMPRODUCT((COLUMN($G142:$P142)-COLUMN($G142)+1&lt;Reprogramaciones!S$14)*$G142:$P142)+N(INDEX($G142:$P142,1,Reprogramaciones!S$14))*IF(Reprogramaciones!S$13&gt;=(Reprogramaciones!$T$15+7*(Reprogramaciones!S$14-1))+6,1,IF(MAX(0,NETWORKDAYS.INTL(MAX(E142,(Reprogramaciones!$T$15+7*(Reprogramaciones!S$14-1))),MIN(F142,(Reprogramaciones!$T$15+7*(Reprogramaciones!S$14-1))+6),11))=0,0,MAX(0,NETWORKDAYS.INTL(MAX(E142,(Reprogramaciones!$T$15+7*(Reprogramaciones!S$14-1))),MIN(F142,Reprogramaciones!S$13),11))/MAX(0,NETWORKDAYS.INTL(MAX(E142,(Reprogramaciones!$T$15+7*(Reprogramaciones!S$14-1))),MIN(F142,(Reprogramaciones!$T$15+7*(Reprogramaciones!S$14-1))+6),11))))))))</f>
        <v/>
      </c>
      <c r="CC142" s="1" t="str">
        <f aca="false">IF(OR(NOT(AND(ISNUMBER(E142),ISNUMBER(F142))),$J$2=""),"",IF(Reprogramaciones!T$13&lt;Reprogramaciones!$T$15,0,IF(Reprogramaciones!T$14&gt;10,MIN(100,SUM($G142:$P142)),MIN(100,SUMPRODUCT((COLUMN($G142:$P142)-COLUMN($G142)+1&lt;Reprogramaciones!T$14)*$G142:$P142)+N(INDEX($G142:$P142,1,Reprogramaciones!T$14))*IF(Reprogramaciones!T$13&gt;=(Reprogramaciones!$T$15+7*(Reprogramaciones!T$14-1))+6,1,IF(MAX(0,NETWORKDAYS.INTL(MAX(E142,(Reprogramaciones!$T$15+7*(Reprogramaciones!T$14-1))),MIN(F142,(Reprogramaciones!$T$15+7*(Reprogramaciones!T$14-1))+6),11))=0,0,MAX(0,NETWORKDAYS.INTL(MAX(E142,(Reprogramaciones!$T$15+7*(Reprogramaciones!T$14-1))),MIN(F142,Reprogramaciones!T$13),11))/MAX(0,NETWORKDAYS.INTL(MAX(E142,(Reprogramaciones!$T$15+7*(Reprogramaciones!T$14-1))),MIN(F142,(Reprogramaciones!$T$15+7*(Reprogramaciones!T$14-1))+6),11))))))))</f>
        <v/>
      </c>
      <c r="CD142" s="1" t="str">
        <f aca="false">IF(OR(NOT(AND(ISNUMBER(E142),ISNUMBER(F142))),$J$2=""),"",IF(Reprogramaciones!U$13&lt;Reprogramaciones!$T$15,0,IF(Reprogramaciones!U$14&gt;10,MIN(100,SUM($G142:$P142)),MIN(100,SUMPRODUCT((COLUMN($G142:$P142)-COLUMN($G142)+1&lt;Reprogramaciones!U$14)*$G142:$P142)+N(INDEX($G142:$P142,1,Reprogramaciones!U$14))*IF(Reprogramaciones!U$13&gt;=(Reprogramaciones!$T$15+7*(Reprogramaciones!U$14-1))+6,1,IF(MAX(0,NETWORKDAYS.INTL(MAX(E142,(Reprogramaciones!$T$15+7*(Reprogramaciones!U$14-1))),MIN(F142,(Reprogramaciones!$T$15+7*(Reprogramaciones!U$14-1))+6),11))=0,0,MAX(0,NETWORKDAYS.INTL(MAX(E142,(Reprogramaciones!$T$15+7*(Reprogramaciones!U$14-1))),MIN(F142,Reprogramaciones!U$13),11))/MAX(0,NETWORKDAYS.INTL(MAX(E142,(Reprogramaciones!$T$15+7*(Reprogramaciones!U$14-1))),MIN(F142,(Reprogramaciones!$T$15+7*(Reprogramaciones!U$14-1))+6),11))))))))</f>
        <v/>
      </c>
      <c r="CE142" s="1" t="str">
        <f aca="false">IF(OR(NOT(AND(ISNUMBER(E142),ISNUMBER(F142))),$J$2=""),"",IF(Reprogramaciones!V$13&lt;Reprogramaciones!$T$15,0,IF(Reprogramaciones!V$14&gt;10,MIN(100,SUM($G142:$P142)),MIN(100,SUMPRODUCT((COLUMN($G142:$P142)-COLUMN($G142)+1&lt;Reprogramaciones!V$14)*$G142:$P142)+N(INDEX($G142:$P142,1,Reprogramaciones!V$14))*IF(Reprogramaciones!V$13&gt;=(Reprogramaciones!$T$15+7*(Reprogramaciones!V$14-1))+6,1,IF(MAX(0,NETWORKDAYS.INTL(MAX(E142,(Reprogramaciones!$T$15+7*(Reprogramaciones!V$14-1))),MIN(F142,(Reprogramaciones!$T$15+7*(Reprogramaciones!V$14-1))+6),11))=0,0,MAX(0,NETWORKDAYS.INTL(MAX(E142,(Reprogramaciones!$T$15+7*(Reprogramaciones!V$14-1))),MIN(F142,Reprogramaciones!V$13),11))/MAX(0,NETWORKDAYS.INTL(MAX(E142,(Reprogramaciones!$T$15+7*(Reprogramaciones!V$14-1))),MIN(F142,(Reprogramaciones!$T$15+7*(Reprogramaciones!V$14-1))+6),11))))))))</f>
        <v/>
      </c>
      <c r="CF142" s="1" t="str">
        <f aca="false">IF(OR(NOT(AND(ISNUMBER(E142),ISNUMBER(F142))),$J$2=""),"",IF(Reprogramaciones!W$13&lt;Reprogramaciones!$T$15,0,IF(Reprogramaciones!W$14&gt;10,MIN(100,SUM($G142:$P142)),MIN(100,SUMPRODUCT((COLUMN($G142:$P142)-COLUMN($G142)+1&lt;Reprogramaciones!W$14)*$G142:$P142)+N(INDEX($G142:$P142,1,Reprogramaciones!W$14))*IF(Reprogramaciones!W$13&gt;=(Reprogramaciones!$T$15+7*(Reprogramaciones!W$14-1))+6,1,IF(MAX(0,NETWORKDAYS.INTL(MAX(E142,(Reprogramaciones!$T$15+7*(Reprogramaciones!W$14-1))),MIN(F142,(Reprogramaciones!$T$15+7*(Reprogramaciones!W$14-1))+6),11))=0,0,MAX(0,NETWORKDAYS.INTL(MAX(E142,(Reprogramaciones!$T$15+7*(Reprogramaciones!W$14-1))),MIN(F142,Reprogramaciones!W$13),11))/MAX(0,NETWORKDAYS.INTL(MAX(E142,(Reprogramaciones!$T$15+7*(Reprogramaciones!W$14-1))),MIN(F142,(Reprogramaciones!$T$15+7*(Reprogramaciones!W$14-1))+6),11))))))))</f>
        <v/>
      </c>
      <c r="CG142" s="1" t="str">
        <f aca="false">IF(OR(NOT(AND(ISNUMBER(E142),ISNUMBER(F142))),$J$2=""),"",IF(Reprogramaciones!X$13&lt;Reprogramaciones!$T$15,0,IF(Reprogramaciones!X$14&gt;10,MIN(100,SUM($G142:$P142)),MIN(100,SUMPRODUCT((COLUMN($G142:$P142)-COLUMN($G142)+1&lt;Reprogramaciones!X$14)*$G142:$P142)+N(INDEX($G142:$P142,1,Reprogramaciones!X$14))*IF(Reprogramaciones!X$13&gt;=(Reprogramaciones!$T$15+7*(Reprogramaciones!X$14-1))+6,1,IF(MAX(0,NETWORKDAYS.INTL(MAX(E142,(Reprogramaciones!$T$15+7*(Reprogramaciones!X$14-1))),MIN(F142,(Reprogramaciones!$T$15+7*(Reprogramaciones!X$14-1))+6),11))=0,0,MAX(0,NETWORKDAYS.INTL(MAX(E142,(Reprogramaciones!$T$15+7*(Reprogramaciones!X$14-1))),MIN(F142,Reprogramaciones!X$13),11))/MAX(0,NETWORKDAYS.INTL(MAX(E142,(Reprogramaciones!$T$15+7*(Reprogramaciones!X$14-1))),MIN(F142,(Reprogramaciones!$T$15+7*(Reprogramaciones!X$14-1))+6),11))))))))</f>
        <v/>
      </c>
      <c r="CH142" s="1" t="str">
        <f aca="false">IF(OR(NOT(AND(ISNUMBER(E142),ISNUMBER(F142))),$J$2=""),"",IF(Reprogramaciones!Y$13&lt;Reprogramaciones!$T$15,0,IF(Reprogramaciones!Y$14&gt;10,MIN(100,SUM($G142:$P142)),MIN(100,SUMPRODUCT((COLUMN($G142:$P142)-COLUMN($G142)+1&lt;Reprogramaciones!Y$14)*$G142:$P142)+N(INDEX($G142:$P142,1,Reprogramaciones!Y$14))*IF(Reprogramaciones!Y$13&gt;=(Reprogramaciones!$T$15+7*(Reprogramaciones!Y$14-1))+6,1,IF(MAX(0,NETWORKDAYS.INTL(MAX(E142,(Reprogramaciones!$T$15+7*(Reprogramaciones!Y$14-1))),MIN(F142,(Reprogramaciones!$T$15+7*(Reprogramaciones!Y$14-1))+6),11))=0,0,MAX(0,NETWORKDAYS.INTL(MAX(E142,(Reprogramaciones!$T$15+7*(Reprogramaciones!Y$14-1))),MIN(F142,Reprogramaciones!Y$13),11))/MAX(0,NETWORKDAYS.INTL(MAX(E142,(Reprogramaciones!$T$15+7*(Reprogramaciones!Y$14-1))),MIN(F142,(Reprogramaciones!$T$15+7*(Reprogramaciones!Y$14-1))+6),11))))))))</f>
        <v/>
      </c>
      <c r="CI142" s="1" t="str">
        <f aca="false">IF(OR(NOT(AND(ISNUMBER(E142),ISNUMBER(F142))),$J$2=""),"",IF(Reprogramaciones!Z$13&lt;Reprogramaciones!$T$15,0,IF(Reprogramaciones!Z$14&gt;10,MIN(100,SUM($G142:$P142)),MIN(100,SUMPRODUCT((COLUMN($G142:$P142)-COLUMN($G142)+1&lt;Reprogramaciones!Z$14)*$G142:$P142)+N(INDEX($G142:$P142,1,Reprogramaciones!Z$14))*IF(Reprogramaciones!Z$13&gt;=(Reprogramaciones!$T$15+7*(Reprogramaciones!Z$14-1))+6,1,IF(MAX(0,NETWORKDAYS.INTL(MAX(E142,(Reprogramaciones!$T$15+7*(Reprogramaciones!Z$14-1))),MIN(F142,(Reprogramaciones!$T$15+7*(Reprogramaciones!Z$14-1))+6),11))=0,0,MAX(0,NETWORKDAYS.INTL(MAX(E142,(Reprogramaciones!$T$15+7*(Reprogramaciones!Z$14-1))),MIN(F142,Reprogramaciones!Z$13),11))/MAX(0,NETWORKDAYS.INTL(MAX(E142,(Reprogramaciones!$T$15+7*(Reprogramaciones!Z$14-1))),MIN(F142,(Reprogramaciones!$T$15+7*(Reprogramaciones!Z$14-1))+6),11))))))))</f>
        <v/>
      </c>
      <c r="CJ142" s="1" t="str">
        <f aca="false">IF(OR(OR(NOT(AND(ISNUMBER(E142),ISNUMBER(F142))),$J$2=""),1&gt;Reprogramaciones!$K$16),"",IF(ROUND(SUM($Q142:Q142),1)&gt;=99.5,100,MIN(100,ROUND(SUM($Q142:Q142),1))))</f>
        <v/>
      </c>
      <c r="CK142" s="1" t="str">
        <f aca="false">IF(OR(OR(NOT(AND(ISNUMBER(E142),ISNUMBER(F142))),$J$2=""),2&gt;Reprogramaciones!$K$16),"",IF(ROUND(SUM($Q142:R142),1)&gt;=99.5,100,MIN(100,ROUND(SUM($Q142:R142),1))))</f>
        <v/>
      </c>
      <c r="CL142" s="1" t="str">
        <f aca="false">IF(OR(OR(NOT(AND(ISNUMBER(E142),ISNUMBER(F142))),$J$2=""),3&gt;Reprogramaciones!$K$16),"",IF(ROUND(SUM($Q142:S142),1)&gt;=99.5,100,MIN(100,ROUND(SUM($Q142:S142),1))))</f>
        <v/>
      </c>
      <c r="CM142" s="1" t="str">
        <f aca="false">IF(OR(OR(NOT(AND(ISNUMBER(E142),ISNUMBER(F142))),$J$2=""),4&gt;Reprogramaciones!$K$16),"",IF(ROUND(SUM($Q142:T142),1)&gt;=99.5,100,MIN(100,ROUND(SUM($Q142:T142),1))))</f>
        <v/>
      </c>
      <c r="CN142" s="1" t="str">
        <f aca="false">IF(OR(OR(NOT(AND(ISNUMBER(E142),ISNUMBER(F142))),$J$2=""),5&gt;Reprogramaciones!$K$16),"",IF(ROUND(SUM($Q142:U142),1)&gt;=99.5,100,MIN(100,ROUND(SUM($Q142:U142),1))))</f>
        <v/>
      </c>
      <c r="CO142" s="1" t="str">
        <f aca="false">IF(OR(OR(NOT(AND(ISNUMBER(E142),ISNUMBER(F142))),$J$2=""),6&gt;Reprogramaciones!$K$16),"",IF(ROUND(SUM($Q142:V142),1)&gt;=99.5,100,MIN(100,ROUND(SUM($Q142:V142),1))))</f>
        <v/>
      </c>
      <c r="CP142" s="1" t="str">
        <f aca="false">IF(OR(OR(NOT(AND(ISNUMBER(E142),ISNUMBER(F142))),$J$2=""),7&gt;Reprogramaciones!$K$16),"",IF(ROUND(SUM($Q142:W142),1)&gt;=99.5,100,MIN(100,ROUND(SUM($Q142:W142),1))))</f>
        <v/>
      </c>
      <c r="CQ142" s="1" t="str">
        <f aca="false">IF(OR(OR(NOT(AND(ISNUMBER(E142),ISNUMBER(F142))),$J$2=""),8&gt;Reprogramaciones!$K$16),"",IF(ROUND(SUM($Q142:X142),1)&gt;=99.5,100,MIN(100,ROUND(SUM($Q142:X142),1))))</f>
        <v/>
      </c>
      <c r="CR142" s="1" t="str">
        <f aca="false">IF(OR(OR(NOT(AND(ISNUMBER(E142),ISNUMBER(F142))),$J$2=""),9&gt;Reprogramaciones!$K$16),"",IF(ROUND(SUM($Q142:Y142),1)&gt;=99.5,100,MIN(100,ROUND(SUM($Q142:Y142),1))))</f>
        <v/>
      </c>
      <c r="CS142" s="1" t="str">
        <f aca="false">IF(OR(OR(NOT(AND(ISNUMBER(E142),ISNUMBER(F142))),$J$2=""),10&gt;Reprogramaciones!$K$16),"",IF(ROUND(SUM($Q142:Z142),1)&gt;=99.5,100,MIN(100,ROUND(SUM($Q142:Z142),1))))</f>
        <v/>
      </c>
      <c r="CT142" s="1" t="str">
        <f aca="false">IF(OR(OR(NOT(AND(ISNUMBER(E142),ISNUMBER(F142))),$J$2=""),11&gt;Reprogramaciones!$K$16),"",IF(ROUND(SUM($Q142:AA142),1)&gt;=99.5,100,MIN(100,ROUND(SUM($Q142:AA142),1))))</f>
        <v/>
      </c>
      <c r="CU142" s="1" t="str">
        <f aca="false">IF(OR(OR(NOT(AND(ISNUMBER(E142),ISNUMBER(F142))),$J$2=""),12&gt;Reprogramaciones!$K$16),"",IF(ROUND(SUM($Q142:AB142),1)&gt;=99.5,100,MIN(100,ROUND(SUM($Q142:AB142),1))))</f>
        <v/>
      </c>
      <c r="CV142" s="1" t="str">
        <f aca="false">IF(OR(OR(NOT(AND(ISNUMBER(E142),ISNUMBER(F142))),$J$2=""),13&gt;Reprogramaciones!$K$16),"",IF(ROUND(SUM($Q142:AC142),1)&gt;=99.5,100,MIN(100,ROUND(SUM($Q142:AC142),1))))</f>
        <v/>
      </c>
      <c r="CW142" s="1" t="str">
        <f aca="false">IF(OR(OR(NOT(AND(ISNUMBER(E142),ISNUMBER(F142))),$J$2=""),14&gt;Reprogramaciones!$K$16),"",IF(ROUND(SUM($Q142:AD142),1)&gt;=99.5,100,MIN(100,ROUND(SUM($Q142:AD142),1))))</f>
        <v/>
      </c>
      <c r="CX142" s="1" t="str">
        <f aca="false">IF(OR(OR(NOT(AND(ISNUMBER(E142),ISNUMBER(F142))),$J$2=""),15&gt;Reprogramaciones!$K$16),"",IF(ROUND(SUM($Q142:AE142),1)&gt;=99.5,100,MIN(100,ROUND(SUM($Q142:AE142),1))))</f>
        <v/>
      </c>
      <c r="CY142" s="1" t="str">
        <f aca="false">IF(OR(OR(NOT(AND(ISNUMBER(E142),ISNUMBER(F142))),$J$2=""),16&gt;Reprogramaciones!$K$16),"",IF(ROUND(SUM($Q142:AF142),1)&gt;=99.5,100,MIN(100,ROUND(SUM($Q142:AF142),1))))</f>
        <v/>
      </c>
      <c r="CZ142" s="1" t="str">
        <f aca="false">IF(D142&lt;&gt;"",D142,IF(B142&lt;&gt;"","Contractual",CZ141))</f>
        <v>Contractual</v>
      </c>
      <c r="DA142" s="1" t="str">
        <f aca="false">IF(OR(NOT(AND(ISNUMBER(E142),ISNUMBER(F142))),$J$2=""),"",IF(Reprogramaciones!$Q$15&lt;Reprogramaciones!$T$15,0,IF(Reprogramaciones!$S$15&gt;10,MIN(100,SUM($G142:$P142)),MIN(100,SUMPRODUCT((COLUMN($G142:$P142)-COLUMN($G142)+1&lt;Reprogramaciones!$S$15)*$G142:$P142)+N(INDEX($G142:$P142,1,Reprogramaciones!$S$15))*IF(Reprogramaciones!$Q$15&gt;=(Reprogramaciones!$T$15+7*(Reprogramaciones!$S$15-1))+6,1,IF(MAX(0,NETWORKDAYS.INTL(MAX(E142,(Reprogramaciones!$T$15+7*(Reprogramaciones!$S$15-1))),MIN(F142,(Reprogramaciones!$T$15+7*(Reprogramaciones!$S$15-1))+6),11))=0,0,MAX(0,NETWORKDAYS.INTL(MAX(E142,(Reprogramaciones!$T$15+7*(Reprogramaciones!$S$15-1))),MIN(F142,Reprogramaciones!$Q$15),11))/MAX(0,NETWORKDAYS.INTL(MAX(E142,(Reprogramaciones!$T$15+7*(Reprogramaciones!$S$15-1))),MIN(F142,(Reprogramaciones!$T$15+7*(Reprogramaciones!$S$15-1))+6),11))))))))</f>
        <v/>
      </c>
    </row>
    <row r="143" customFormat="false" ht="15" hidden="false" customHeight="false" outlineLevel="0" collapsed="false">
      <c r="A143" s="32"/>
      <c r="B143" s="33"/>
      <c r="C143" s="33"/>
      <c r="D143" s="34"/>
      <c r="E143" s="35"/>
      <c r="F143" s="35"/>
      <c r="G143" s="36" t="str">
        <f aca="false">IF(OR(NOT(AND(ISNUMBER(E143),ISNUMBER(F143))),$J$2=""),"",IF(Reprogramaciones!K$9&lt;E143,0,IF(NETWORKDAYS.INTL(E143,F143,11)=0,IF(Reprogramaciones!K$9&gt;=F143,100,0),ROUND(NETWORKDAYS.INTL(E143,MIN(F143,Reprogramaciones!K$9),11)/NETWORKDAYS.INTL(E143,F143,11)*100,1)))-0)</f>
        <v/>
      </c>
      <c r="H143" s="36" t="str">
        <f aca="false">IF(OR(NOT(AND(ISNUMBER(E143),ISNUMBER(F143))),$J$2=""),"",IF(Reprogramaciones!L$9&lt;E143,0,IF(NETWORKDAYS.INTL(E143,F143,11)=0,IF(Reprogramaciones!L$9&gt;=F143,100,0),ROUND(NETWORKDAYS.INTL(E143,MIN(F143,Reprogramaciones!L$9),11)/NETWORKDAYS.INTL(E143,F143,11)*100,1)))-IF(Reprogramaciones!K$9&lt;E143,0,IF(NETWORKDAYS.INTL(E143,F143,11)=0,IF(Reprogramaciones!K$9&gt;=F143,100,0),ROUND(NETWORKDAYS.INTL(E143,MIN(F143,Reprogramaciones!K$9),11)/NETWORKDAYS.INTL(E143,F143,11)*100,1))))</f>
        <v/>
      </c>
      <c r="I143" s="36" t="str">
        <f aca="false">IF(OR(NOT(AND(ISNUMBER(E143),ISNUMBER(F143))),$J$2=""),"",IF(Reprogramaciones!M$9&lt;E143,0,IF(NETWORKDAYS.INTL(E143,F143,11)=0,IF(Reprogramaciones!M$9&gt;=F143,100,0),ROUND(NETWORKDAYS.INTL(E143,MIN(F143,Reprogramaciones!M$9),11)/NETWORKDAYS.INTL(E143,F143,11)*100,1)))-IF(Reprogramaciones!L$9&lt;E143,0,IF(NETWORKDAYS.INTL(E143,F143,11)=0,IF(Reprogramaciones!L$9&gt;=F143,100,0),ROUND(NETWORKDAYS.INTL(E143,MIN(F143,Reprogramaciones!L$9),11)/NETWORKDAYS.INTL(E143,F143,11)*100,1))))</f>
        <v/>
      </c>
      <c r="J143" s="36" t="str">
        <f aca="false">IF(OR(NOT(AND(ISNUMBER(E143),ISNUMBER(F143))),$J$2=""),"",IF(Reprogramaciones!N$9&lt;E143,0,IF(NETWORKDAYS.INTL(E143,F143,11)=0,IF(Reprogramaciones!N$9&gt;=F143,100,0),ROUND(NETWORKDAYS.INTL(E143,MIN(F143,Reprogramaciones!N$9),11)/NETWORKDAYS.INTL(E143,F143,11)*100,1)))-IF(Reprogramaciones!M$9&lt;E143,0,IF(NETWORKDAYS.INTL(E143,F143,11)=0,IF(Reprogramaciones!M$9&gt;=F143,100,0),ROUND(NETWORKDAYS.INTL(E143,MIN(F143,Reprogramaciones!M$9),11)/NETWORKDAYS.INTL(E143,F143,11)*100,1))))</f>
        <v/>
      </c>
      <c r="K143" s="36" t="str">
        <f aca="false">IF(OR(NOT(AND(ISNUMBER(E143),ISNUMBER(F143))),$J$2=""),"",IF(Reprogramaciones!O$9&lt;E143,0,IF(NETWORKDAYS.INTL(E143,F143,11)=0,IF(Reprogramaciones!O$9&gt;=F143,100,0),ROUND(NETWORKDAYS.INTL(E143,MIN(F143,Reprogramaciones!O$9),11)/NETWORKDAYS.INTL(E143,F143,11)*100,1)))-IF(Reprogramaciones!N$9&lt;E143,0,IF(NETWORKDAYS.INTL(E143,F143,11)=0,IF(Reprogramaciones!N$9&gt;=F143,100,0),ROUND(NETWORKDAYS.INTL(E143,MIN(F143,Reprogramaciones!N$9),11)/NETWORKDAYS.INTL(E143,F143,11)*100,1))))</f>
        <v/>
      </c>
      <c r="L143" s="36" t="str">
        <f aca="false">IF(OR(NOT(AND(ISNUMBER(E143),ISNUMBER(F143))),$J$2=""),"",IF(Reprogramaciones!P$9&lt;E143,0,IF(NETWORKDAYS.INTL(E143,F143,11)=0,IF(Reprogramaciones!P$9&gt;=F143,100,0),ROUND(NETWORKDAYS.INTL(E143,MIN(F143,Reprogramaciones!P$9),11)/NETWORKDAYS.INTL(E143,F143,11)*100,1)))-IF(Reprogramaciones!O$9&lt;E143,0,IF(NETWORKDAYS.INTL(E143,F143,11)=0,IF(Reprogramaciones!O$9&gt;=F143,100,0),ROUND(NETWORKDAYS.INTL(E143,MIN(F143,Reprogramaciones!O$9),11)/NETWORKDAYS.INTL(E143,F143,11)*100,1))))</f>
        <v/>
      </c>
      <c r="M143" s="36" t="str">
        <f aca="false">IF(OR(NOT(AND(ISNUMBER(E143),ISNUMBER(F143))),$J$2=""),"",IF(Reprogramaciones!Q$9&lt;E143,0,IF(NETWORKDAYS.INTL(E143,F143,11)=0,IF(Reprogramaciones!Q$9&gt;=F143,100,0),ROUND(NETWORKDAYS.INTL(E143,MIN(F143,Reprogramaciones!Q$9),11)/NETWORKDAYS.INTL(E143,F143,11)*100,1)))-IF(Reprogramaciones!P$9&lt;E143,0,IF(NETWORKDAYS.INTL(E143,F143,11)=0,IF(Reprogramaciones!P$9&gt;=F143,100,0),ROUND(NETWORKDAYS.INTL(E143,MIN(F143,Reprogramaciones!P$9),11)/NETWORKDAYS.INTL(E143,F143,11)*100,1))))</f>
        <v/>
      </c>
      <c r="N143" s="36" t="str">
        <f aca="false">IF(OR(NOT(AND(ISNUMBER(E143),ISNUMBER(F143))),$J$2=""),"",IF(Reprogramaciones!R$9&lt;E143,0,IF(NETWORKDAYS.INTL(E143,F143,11)=0,IF(Reprogramaciones!R$9&gt;=F143,100,0),ROUND(NETWORKDAYS.INTL(E143,MIN(F143,Reprogramaciones!R$9),11)/NETWORKDAYS.INTL(E143,F143,11)*100,1)))-IF(Reprogramaciones!Q$9&lt;E143,0,IF(NETWORKDAYS.INTL(E143,F143,11)=0,IF(Reprogramaciones!Q$9&gt;=F143,100,0),ROUND(NETWORKDAYS.INTL(E143,MIN(F143,Reprogramaciones!Q$9),11)/NETWORKDAYS.INTL(E143,F143,11)*100,1))))</f>
        <v/>
      </c>
      <c r="O143" s="36" t="str">
        <f aca="false">IF(OR(NOT(AND(ISNUMBER(E143),ISNUMBER(F143))),$J$2=""),"",IF(Reprogramaciones!S$9&lt;E143,0,IF(NETWORKDAYS.INTL(E143,F143,11)=0,IF(Reprogramaciones!S$9&gt;=F143,100,0),ROUND(NETWORKDAYS.INTL(E143,MIN(F143,Reprogramaciones!S$9),11)/NETWORKDAYS.INTL(E143,F143,11)*100,1)))-IF(Reprogramaciones!R$9&lt;E143,0,IF(NETWORKDAYS.INTL(E143,F143,11)=0,IF(Reprogramaciones!R$9&gt;=F143,100,0),ROUND(NETWORKDAYS.INTL(E143,MIN(F143,Reprogramaciones!R$9),11)/NETWORKDAYS.INTL(E143,F143,11)*100,1))))</f>
        <v/>
      </c>
      <c r="P143" s="36" t="str">
        <f aca="false">IF(OR(NOT(AND(ISNUMBER(E143),ISNUMBER(F143))),$J$2=""),"",IF(Reprogramaciones!T$9&lt;E143,0,IF(NETWORKDAYS.INTL(E143,F143,11)=0,IF(Reprogramaciones!T$9&gt;=F143,100,0),ROUND(NETWORKDAYS.INTL(E143,MIN(F143,Reprogramaciones!T$9),11)/NETWORKDAYS.INTL(E143,F143,11)*100,1)))-IF(Reprogramaciones!S$9&lt;E143,0,IF(NETWORKDAYS.INTL(E143,F143,11)=0,IF(Reprogramaciones!S$9&gt;=F143,100,0),ROUND(NETWORKDAYS.INTL(E143,MIN(F143,Reprogramaciones!S$9),11)/NETWORKDAYS.INTL(E143,F143,11)*100,1))))</f>
        <v/>
      </c>
      <c r="Q143" s="37"/>
      <c r="R143" s="37"/>
      <c r="S143" s="37"/>
      <c r="T143" s="37"/>
      <c r="U143" s="37"/>
      <c r="V143" s="37"/>
      <c r="W143" s="37"/>
      <c r="X143" s="37"/>
      <c r="Y143" s="37"/>
      <c r="Z143" s="37"/>
      <c r="AA143" s="37"/>
      <c r="AB143" s="37"/>
      <c r="AC143" s="37"/>
      <c r="AD143" s="37"/>
      <c r="AE143" s="37"/>
      <c r="AF143" s="37"/>
      <c r="AG143" s="38" t="str">
        <f aca="false">IF(AND(ISNUMBER(E143),ISNUMBER(F143)),NETWORKDAYS.INTL(E143,F143,11),"")</f>
        <v/>
      </c>
      <c r="AH143" s="38" t="str">
        <f aca="false">IF(OR(NOT(AND(ISNUMBER(E143),ISNUMBER(F143))),$J$2=""),"",IF(Reprogramaciones!$P$15&lt;Reprogramaciones!$T$15,0,IF(Reprogramaciones!$R$15&gt;10,MIN(100,SUM($G143:$P143)),MIN(100,SUMPRODUCT((COLUMN($G143:$P143)-COLUMN($G143)+1&lt;Reprogramaciones!$R$15)*$G143:$P143)+N(INDEX($G143:$P143,1,Reprogramaciones!$R$15))*IF(Reprogramaciones!$P$15&gt;=(Reprogramaciones!$T$15+7*(Reprogramaciones!$R$15-1))+6,1,IF(MAX(0,NETWORKDAYS.INTL(MAX(E143,(Reprogramaciones!$T$15+7*(Reprogramaciones!$R$15-1))),MIN(F143,(Reprogramaciones!$T$15+7*(Reprogramaciones!$R$15-1))+6),11))=0,0,MAX(0,NETWORKDAYS.INTL(MAX(E143,(Reprogramaciones!$T$15+7*(Reprogramaciones!$R$15-1))),MIN(F143,Reprogramaciones!$P$15),11))/MAX(0,NETWORKDAYS.INTL(MAX(E143,(Reprogramaciones!$T$15+7*(Reprogramaciones!$R$15-1))),MIN(F143,(Reprogramaciones!$T$15+7*(Reprogramaciones!$R$15-1))+6),11))))))))</f>
        <v/>
      </c>
      <c r="AI143" s="38" t="str">
        <f aca="false">IF(COUNT($Q143:$AF143)=0,"",IF(ROUND(SUM($Q143:$AF143),1)&gt;=99.5,100,MIN(100,ROUND(SUM($Q143:$AF143),1))))</f>
        <v/>
      </c>
      <c r="AJ143" s="38" t="str">
        <f aca="false">IF(OR(AH143="",AI143=""),"",AI143-AH143)</f>
        <v/>
      </c>
      <c r="AK143" s="39" t="str">
        <f aca="true">IF(AH143="","",IF(OR(Ficha!$C$10="Suspendida",Ficha!$C$10="Cancelada"),Ficha!$C$10,IF(AND(AI143&lt;&gt;"",N(AI143)&gt;=100),"Completada",IF(AND(E143&gt;TODAY(),N(AI143)=0),"Por iniciar",IF(N(AI143)+0.5&lt;AH143,"Retrasada",IF(N(AI143)+0.5&lt;DA143,IF(Reprogramaciones!$K$15&gt;0,"Al día · Sem "&amp;Reprogramaciones!$K$15&amp;" en curso","Al día · en curso"),"A tiempo"))))))</f>
        <v/>
      </c>
      <c r="AL143" s="39" t="str">
        <f aca="true">IF(AND(A143="",AND(B143="",C143="",E143="",F143="",COUNT(Q143:AF143)=0)),"",IF(AND(B143="",C143="",E143="",F143="",COUNT(Q143:AF143)=0),"Falta la partida o subpartida",IF(AND(A143&lt;&gt;"",COUNTIF($A$6:$A$305,A143)&gt;1),"Ítem repetido",IF(AND(C143="",E143="",F143="",COUNT(Q143:AF143)=0),"Título de partida",IF(OR(E143="",F143=""),"Faltan fechas",IF(OR(ISTEXT(E143),ISTEXT(F143)),"Fecha escrita como texto: usa dd/mm/aaaa",IF(F143&lt;E143,"Fin antes del inicio",IF(IF($J$2="",FALSE(),OR(E143&lt;$J$2,F143&gt;Reprogramaciones!$T$15+69)),"Fuera de las 10 semanas",IF(ABS(SUM(G143:P143)-100)&gt;0.5,"La meta no suma 100%",IF(ROUND(SUM(Q143:AF143),1)&gt;100.5,"El avance pasa de 100%",IF(MIN(Q143:AF143)&lt;0,"Avance negativo",IF(COUNTA(Q143:AF143)&gt;COUNT(Q143:AF143),"Avance escrito como texto",IF(SUMPRODUCT((Q143:AF143&gt;0)*(Q143:AF143&lt;1))&gt;0,"Avance menor a 1: escribe 50, no 50%",IF(SUMPRODUCT(ISNUMBER(Q143:AF143)*(Reprogramaciones!$K$8:$Z$8&gt;TODAY()))&gt;0,"Avance en semana que aún no llega",IF(AND(N(Reprogramaciones!$E$21)&gt;0,F143&gt;Reprogramaciones!$E$21),"Pasa el fin de la obra: registra una reprogramación",IF(AND(N(Reprogramaciones!$E$21)&gt;0,SUMPRODUCT(ISNUMBER(Q143:AF143)*(Reprogramaciones!$K$8:$Z$8&gt;Reprogramaciones!$E$21))&gt;0),"Avance después del fin de la obra: registra una reprogramación por atraso","OK"))))))))))))))))</f>
        <v/>
      </c>
      <c r="AM143" s="40" t="str">
        <f aca="false">IF(OR(OR(NOT(AND(ISNUMBER(E143),ISNUMBER(F143))),$J$2=""),1&gt;MAX(1,Reprogramaciones!$U$15)),"",IF(Reprogramaciones!K$12&gt;=7,"",IF(OR(BT143-N(0)&gt;0.05,N(Q143)&gt;0),ROUNDDOWN(ROUND(BT143,6),0)&amp;"%"&amp;IF(CJ143="",""," / "&amp;CJ143&amp;"%"),IF(AND(N(0)&gt;=99.95,CJ143&lt;&gt;"",N(CJ143)&lt;100),"Pend. "&amp;CJ143&amp;"%",""))))</f>
        <v/>
      </c>
      <c r="AN143" s="40" t="str">
        <f aca="false">IF(OR(OR(NOT(AND(ISNUMBER(E143),ISNUMBER(F143))),$J$2=""),2&gt;MAX(1,Reprogramaciones!$U$15)),"",IF(Reprogramaciones!L$12&gt;=7,"",IF(OR(BU143-N(BT143)&gt;0.05,N(R143)&gt;0),ROUNDDOWN(ROUND(BU143,6),0)&amp;"%"&amp;IF(CK143="",""," / "&amp;CK143&amp;"%"),IF(AND(N(BT143)&gt;=99.95,CK143&lt;&gt;"",N(CK143)&lt;100),"Pend. "&amp;CK143&amp;"%",""))))</f>
        <v/>
      </c>
      <c r="AO143" s="40" t="str">
        <f aca="false">IF(OR(OR(NOT(AND(ISNUMBER(E143),ISNUMBER(F143))),$J$2=""),3&gt;MAX(1,Reprogramaciones!$U$15)),"",IF(Reprogramaciones!M$12&gt;=7,"",IF(OR(BV143-N(BU143)&gt;0.05,N(S143)&gt;0),ROUNDDOWN(ROUND(BV143,6),0)&amp;"%"&amp;IF(CL143="",""," / "&amp;CL143&amp;"%"),IF(AND(N(BU143)&gt;=99.95,CL143&lt;&gt;"",N(CL143)&lt;100),"Pend. "&amp;CL143&amp;"%",""))))</f>
        <v/>
      </c>
      <c r="AP143" s="40" t="str">
        <f aca="false">IF(OR(OR(NOT(AND(ISNUMBER(E143),ISNUMBER(F143))),$J$2=""),4&gt;MAX(1,Reprogramaciones!$U$15)),"",IF(Reprogramaciones!N$12&gt;=7,"",IF(OR(BW143-N(BV143)&gt;0.05,N(T143)&gt;0),ROUNDDOWN(ROUND(BW143,6),0)&amp;"%"&amp;IF(CM143="",""," / "&amp;CM143&amp;"%"),IF(AND(N(BV143)&gt;=99.95,CM143&lt;&gt;"",N(CM143)&lt;100),"Pend. "&amp;CM143&amp;"%",""))))</f>
        <v/>
      </c>
      <c r="AQ143" s="40" t="str">
        <f aca="false">IF(OR(OR(NOT(AND(ISNUMBER(E143),ISNUMBER(F143))),$J$2=""),5&gt;MAX(1,Reprogramaciones!$U$15)),"",IF(Reprogramaciones!O$12&gt;=7,"",IF(OR(BX143-N(BW143)&gt;0.05,N(U143)&gt;0),ROUNDDOWN(ROUND(BX143,6),0)&amp;"%"&amp;IF(CN143="",""," / "&amp;CN143&amp;"%"),IF(AND(N(BW143)&gt;=99.95,CN143&lt;&gt;"",N(CN143)&lt;100),"Pend. "&amp;CN143&amp;"%",""))))</f>
        <v/>
      </c>
      <c r="AR143" s="40" t="str">
        <f aca="false">IF(OR(OR(NOT(AND(ISNUMBER(E143),ISNUMBER(F143))),$J$2=""),6&gt;MAX(1,Reprogramaciones!$U$15)),"",IF(Reprogramaciones!P$12&gt;=7,"",IF(OR(BY143-N(BX143)&gt;0.05,N(V143)&gt;0),ROUNDDOWN(ROUND(BY143,6),0)&amp;"%"&amp;IF(CO143="",""," / "&amp;CO143&amp;"%"),IF(AND(N(BX143)&gt;=99.95,CO143&lt;&gt;"",N(CO143)&lt;100),"Pend. "&amp;CO143&amp;"%",""))))</f>
        <v/>
      </c>
      <c r="AS143" s="40" t="str">
        <f aca="false">IF(OR(OR(NOT(AND(ISNUMBER(E143),ISNUMBER(F143))),$J$2=""),7&gt;MAX(1,Reprogramaciones!$U$15)),"",IF(Reprogramaciones!Q$12&gt;=7,"",IF(OR(BZ143-N(BY143)&gt;0.05,N(W143)&gt;0),ROUNDDOWN(ROUND(BZ143,6),0)&amp;"%"&amp;IF(CP143="",""," / "&amp;CP143&amp;"%"),IF(AND(N(BY143)&gt;=99.95,CP143&lt;&gt;"",N(CP143)&lt;100),"Pend. "&amp;CP143&amp;"%",""))))</f>
        <v/>
      </c>
      <c r="AT143" s="40" t="str">
        <f aca="false">IF(OR(OR(NOT(AND(ISNUMBER(E143),ISNUMBER(F143))),$J$2=""),8&gt;MAX(1,Reprogramaciones!$U$15)),"",IF(Reprogramaciones!R$12&gt;=7,"",IF(OR(CA143-N(BZ143)&gt;0.05,N(X143)&gt;0),ROUNDDOWN(ROUND(CA143,6),0)&amp;"%"&amp;IF(CQ143="",""," / "&amp;CQ143&amp;"%"),IF(AND(N(BZ143)&gt;=99.95,CQ143&lt;&gt;"",N(CQ143)&lt;100),"Pend. "&amp;CQ143&amp;"%",""))))</f>
        <v/>
      </c>
      <c r="AU143" s="40" t="str">
        <f aca="false">IF(OR(OR(NOT(AND(ISNUMBER(E143),ISNUMBER(F143))),$J$2=""),9&gt;MAX(1,Reprogramaciones!$U$15)),"",IF(Reprogramaciones!S$12&gt;=7,"",IF(OR(CB143-N(CA143)&gt;0.05,N(Y143)&gt;0),ROUNDDOWN(ROUND(CB143,6),0)&amp;"%"&amp;IF(CR143="",""," / "&amp;CR143&amp;"%"),IF(AND(N(CA143)&gt;=99.95,CR143&lt;&gt;"",N(CR143)&lt;100),"Pend. "&amp;CR143&amp;"%",""))))</f>
        <v/>
      </c>
      <c r="AV143" s="40" t="str">
        <f aca="false">IF(OR(OR(NOT(AND(ISNUMBER(E143),ISNUMBER(F143))),$J$2=""),10&gt;MAX(1,Reprogramaciones!$U$15)),"",IF(Reprogramaciones!T$12&gt;=7,"",IF(OR(CC143-N(CB143)&gt;0.05,N(Z143)&gt;0),ROUNDDOWN(ROUND(CC143,6),0)&amp;"%"&amp;IF(CS143="",""," / "&amp;CS143&amp;"%"),IF(AND(N(CB143)&gt;=99.95,CS143&lt;&gt;"",N(CS143)&lt;100),"Pend. "&amp;CS143&amp;"%",""))))</f>
        <v/>
      </c>
      <c r="AW143" s="40" t="str">
        <f aca="false">IF(OR(OR(NOT(AND(ISNUMBER(E143),ISNUMBER(F143))),$J$2=""),11&gt;MAX(1,Reprogramaciones!$U$15)),"",IF(Reprogramaciones!U$12&gt;=7,"",IF(OR(CD143-N(CC143)&gt;0.05,N(AA143)&gt;0),ROUNDDOWN(ROUND(CD143,6),0)&amp;"%"&amp;IF(CT143="",""," / "&amp;CT143&amp;"%"),IF(AND(N(CC143)&gt;=99.95,CT143&lt;&gt;"",N(CT143)&lt;100),"Pend. "&amp;CT143&amp;"%",""))))</f>
        <v/>
      </c>
      <c r="AX143" s="40" t="str">
        <f aca="false">IF(OR(OR(NOT(AND(ISNUMBER(E143),ISNUMBER(F143))),$J$2=""),12&gt;MAX(1,Reprogramaciones!$U$15)),"",IF(Reprogramaciones!V$12&gt;=7,"",IF(OR(CE143-N(CD143)&gt;0.05,N(AB143)&gt;0),ROUNDDOWN(ROUND(CE143,6),0)&amp;"%"&amp;IF(CU143="",""," / "&amp;CU143&amp;"%"),IF(AND(N(CD143)&gt;=99.95,CU143&lt;&gt;"",N(CU143)&lt;100),"Pend. "&amp;CU143&amp;"%",""))))</f>
        <v/>
      </c>
      <c r="AY143" s="40" t="str">
        <f aca="false">IF(OR(OR(NOT(AND(ISNUMBER(E143),ISNUMBER(F143))),$J$2=""),13&gt;MAX(1,Reprogramaciones!$U$15)),"",IF(Reprogramaciones!W$12&gt;=7,"",IF(OR(CF143-N(CE143)&gt;0.05,N(AC143)&gt;0),ROUNDDOWN(ROUND(CF143,6),0)&amp;"%"&amp;IF(CV143="",""," / "&amp;CV143&amp;"%"),IF(AND(N(CE143)&gt;=99.95,CV143&lt;&gt;"",N(CV143)&lt;100),"Pend. "&amp;CV143&amp;"%",""))))</f>
        <v/>
      </c>
      <c r="AZ143" s="40" t="str">
        <f aca="false">IF(OR(OR(NOT(AND(ISNUMBER(E143),ISNUMBER(F143))),$J$2=""),14&gt;MAX(1,Reprogramaciones!$U$15)),"",IF(Reprogramaciones!X$12&gt;=7,"",IF(OR(CG143-N(CF143)&gt;0.05,N(AD143)&gt;0),ROUNDDOWN(ROUND(CG143,6),0)&amp;"%"&amp;IF(CW143="",""," / "&amp;CW143&amp;"%"),IF(AND(N(CF143)&gt;=99.95,CW143&lt;&gt;"",N(CW143)&lt;100),"Pend. "&amp;CW143&amp;"%",""))))</f>
        <v/>
      </c>
      <c r="BA143" s="40" t="str">
        <f aca="false">IF(OR(OR(NOT(AND(ISNUMBER(E143),ISNUMBER(F143))),$J$2=""),15&gt;MAX(1,Reprogramaciones!$U$15)),"",IF(Reprogramaciones!Y$12&gt;=7,"",IF(OR(CH143-N(CG143)&gt;0.05,N(AE143)&gt;0),ROUNDDOWN(ROUND(CH143,6),0)&amp;"%"&amp;IF(CX143="",""," / "&amp;CX143&amp;"%"),IF(AND(N(CG143)&gt;=99.95,CX143&lt;&gt;"",N(CX143)&lt;100),"Pend. "&amp;CX143&amp;"%",""))))</f>
        <v/>
      </c>
      <c r="BB143" s="40" t="str">
        <f aca="false">IF(OR(OR(NOT(AND(ISNUMBER(E143),ISNUMBER(F143))),$J$2=""),16&gt;MAX(1,Reprogramaciones!$U$15)),"",IF(Reprogramaciones!Z$12&gt;=7,"",IF(OR(CI143-N(CH143)&gt;0.05,N(AF143)&gt;0),ROUNDDOWN(ROUND(CI143,6),0)&amp;"%"&amp;IF(CY143="",""," / "&amp;CY143&amp;"%"),IF(AND(N(CH143)&gt;=99.95,CY143&lt;&gt;"",N(CY143)&lt;100),"Pend. "&amp;CY143&amp;"%",""))))</f>
        <v/>
      </c>
      <c r="BC143" s="31" t="n">
        <f aca="false">IF(AND(ISNUMBER(E143),ISNUMBER(F143)),MAX(1,NETWORKDAYS.INTL(E143,F143,11)),0)</f>
        <v>0</v>
      </c>
      <c r="BD143" s="1" t="str">
        <f aca="false">IF(OR(NOT(AND(ISNUMBER(E143),ISNUMBER(F143))),$J$2=""),"",MIN(100,ROUND(SUM($G143:G143),1)))</f>
        <v/>
      </c>
      <c r="BE143" s="1" t="str">
        <f aca="false">IF(OR(NOT(AND(ISNUMBER(E143),ISNUMBER(F143))),$J$2=""),"",MIN(100,ROUND(SUM($G143:H143),1)))</f>
        <v/>
      </c>
      <c r="BF143" s="1" t="str">
        <f aca="false">IF(OR(NOT(AND(ISNUMBER(E143),ISNUMBER(F143))),$J$2=""),"",MIN(100,ROUND(SUM($G143:I143),1)))</f>
        <v/>
      </c>
      <c r="BG143" s="1" t="str">
        <f aca="false">IF(OR(NOT(AND(ISNUMBER(E143),ISNUMBER(F143))),$J$2=""),"",MIN(100,ROUND(SUM($G143:J143),1)))</f>
        <v/>
      </c>
      <c r="BH143" s="1" t="str">
        <f aca="false">IF(OR(NOT(AND(ISNUMBER(E143),ISNUMBER(F143))),$J$2=""),"",MIN(100,ROUND(SUM($G143:K143),1)))</f>
        <v/>
      </c>
      <c r="BI143" s="1" t="str">
        <f aca="false">IF(OR(NOT(AND(ISNUMBER(E143),ISNUMBER(F143))),$J$2=""),"",MIN(100,ROUND(SUM($G143:L143),1)))</f>
        <v/>
      </c>
      <c r="BJ143" s="1" t="str">
        <f aca="false">IF(OR(NOT(AND(ISNUMBER(E143),ISNUMBER(F143))),$J$2=""),"",MIN(100,ROUND(SUM($G143:M143),1)))</f>
        <v/>
      </c>
      <c r="BK143" s="1" t="str">
        <f aca="false">IF(OR(NOT(AND(ISNUMBER(E143),ISNUMBER(F143))),$J$2=""),"",MIN(100,ROUND(SUM($G143:N143),1)))</f>
        <v/>
      </c>
      <c r="BL143" s="1" t="str">
        <f aca="false">IF(OR(NOT(AND(ISNUMBER(E143),ISNUMBER(F143))),$J$2=""),"",MIN(100,ROUND(SUM($G143:O143),1)))</f>
        <v/>
      </c>
      <c r="BM143" s="1" t="str">
        <f aca="false">IF(OR(NOT(AND(ISNUMBER(E143),ISNUMBER(F143))),$J$2=""),"",MIN(100,ROUND(SUM($G143:P143),1)))</f>
        <v/>
      </c>
      <c r="BN143" s="1" t="str">
        <f aca="false">IF(OR(NOT(AND(ISNUMBER(E143),ISNUMBER(F143))),$J$2=""),"",MIN(100,ROUND(SUM($G143:P143),1)))</f>
        <v/>
      </c>
      <c r="BO143" s="1" t="str">
        <f aca="false">IF(OR(NOT(AND(ISNUMBER(E143),ISNUMBER(F143))),$J$2=""),"",MIN(100,ROUND(SUM($G143:P143),1)))</f>
        <v/>
      </c>
      <c r="BP143" s="1" t="str">
        <f aca="false">IF(OR(NOT(AND(ISNUMBER(E143),ISNUMBER(F143))),$J$2=""),"",MIN(100,ROUND(SUM($G143:P143),1)))</f>
        <v/>
      </c>
      <c r="BQ143" s="1" t="str">
        <f aca="false">IF(OR(NOT(AND(ISNUMBER(E143),ISNUMBER(F143))),$J$2=""),"",MIN(100,ROUND(SUM($G143:P143),1)))</f>
        <v/>
      </c>
      <c r="BR143" s="1" t="str">
        <f aca="false">IF(OR(NOT(AND(ISNUMBER(E143),ISNUMBER(F143))),$J$2=""),"",MIN(100,ROUND(SUM($G143:P143),1)))</f>
        <v/>
      </c>
      <c r="BS143" s="1" t="str">
        <f aca="false">IF(OR(NOT(AND(ISNUMBER(E143),ISNUMBER(F143))),$J$2=""),"",MIN(100,ROUND(SUM($G143:P143),1)))</f>
        <v/>
      </c>
      <c r="BT143" s="1" t="str">
        <f aca="false">IF(OR(NOT(AND(ISNUMBER(E143),ISNUMBER(F143))),$J$2=""),"",IF(Reprogramaciones!K$13&lt;Reprogramaciones!$T$15,0,IF(Reprogramaciones!K$14&gt;10,MIN(100,SUM($G143:$P143)),MIN(100,SUMPRODUCT((COLUMN($G143:$P143)-COLUMN($G143)+1&lt;Reprogramaciones!K$14)*$G143:$P143)+N(INDEX($G143:$P143,1,Reprogramaciones!K$14))*IF(Reprogramaciones!K$13&gt;=(Reprogramaciones!$T$15+7*(Reprogramaciones!K$14-1))+6,1,IF(MAX(0,NETWORKDAYS.INTL(MAX(E143,(Reprogramaciones!$T$15+7*(Reprogramaciones!K$14-1))),MIN(F143,(Reprogramaciones!$T$15+7*(Reprogramaciones!K$14-1))+6),11))=0,0,MAX(0,NETWORKDAYS.INTL(MAX(E143,(Reprogramaciones!$T$15+7*(Reprogramaciones!K$14-1))),MIN(F143,Reprogramaciones!K$13),11))/MAX(0,NETWORKDAYS.INTL(MAX(E143,(Reprogramaciones!$T$15+7*(Reprogramaciones!K$14-1))),MIN(F143,(Reprogramaciones!$T$15+7*(Reprogramaciones!K$14-1))+6),11))))))))</f>
        <v/>
      </c>
      <c r="BU143" s="1" t="str">
        <f aca="false">IF(OR(NOT(AND(ISNUMBER(E143),ISNUMBER(F143))),$J$2=""),"",IF(Reprogramaciones!L$13&lt;Reprogramaciones!$T$15,0,IF(Reprogramaciones!L$14&gt;10,MIN(100,SUM($G143:$P143)),MIN(100,SUMPRODUCT((COLUMN($G143:$P143)-COLUMN($G143)+1&lt;Reprogramaciones!L$14)*$G143:$P143)+N(INDEX($G143:$P143,1,Reprogramaciones!L$14))*IF(Reprogramaciones!L$13&gt;=(Reprogramaciones!$T$15+7*(Reprogramaciones!L$14-1))+6,1,IF(MAX(0,NETWORKDAYS.INTL(MAX(E143,(Reprogramaciones!$T$15+7*(Reprogramaciones!L$14-1))),MIN(F143,(Reprogramaciones!$T$15+7*(Reprogramaciones!L$14-1))+6),11))=0,0,MAX(0,NETWORKDAYS.INTL(MAX(E143,(Reprogramaciones!$T$15+7*(Reprogramaciones!L$14-1))),MIN(F143,Reprogramaciones!L$13),11))/MAX(0,NETWORKDAYS.INTL(MAX(E143,(Reprogramaciones!$T$15+7*(Reprogramaciones!L$14-1))),MIN(F143,(Reprogramaciones!$T$15+7*(Reprogramaciones!L$14-1))+6),11))))))))</f>
        <v/>
      </c>
      <c r="BV143" s="1" t="str">
        <f aca="false">IF(OR(NOT(AND(ISNUMBER(E143),ISNUMBER(F143))),$J$2=""),"",IF(Reprogramaciones!M$13&lt;Reprogramaciones!$T$15,0,IF(Reprogramaciones!M$14&gt;10,MIN(100,SUM($G143:$P143)),MIN(100,SUMPRODUCT((COLUMN($G143:$P143)-COLUMN($G143)+1&lt;Reprogramaciones!M$14)*$G143:$P143)+N(INDEX($G143:$P143,1,Reprogramaciones!M$14))*IF(Reprogramaciones!M$13&gt;=(Reprogramaciones!$T$15+7*(Reprogramaciones!M$14-1))+6,1,IF(MAX(0,NETWORKDAYS.INTL(MAX(E143,(Reprogramaciones!$T$15+7*(Reprogramaciones!M$14-1))),MIN(F143,(Reprogramaciones!$T$15+7*(Reprogramaciones!M$14-1))+6),11))=0,0,MAX(0,NETWORKDAYS.INTL(MAX(E143,(Reprogramaciones!$T$15+7*(Reprogramaciones!M$14-1))),MIN(F143,Reprogramaciones!M$13),11))/MAX(0,NETWORKDAYS.INTL(MAX(E143,(Reprogramaciones!$T$15+7*(Reprogramaciones!M$14-1))),MIN(F143,(Reprogramaciones!$T$15+7*(Reprogramaciones!M$14-1))+6),11))))))))</f>
        <v/>
      </c>
      <c r="BW143" s="1" t="str">
        <f aca="false">IF(OR(NOT(AND(ISNUMBER(E143),ISNUMBER(F143))),$J$2=""),"",IF(Reprogramaciones!N$13&lt;Reprogramaciones!$T$15,0,IF(Reprogramaciones!N$14&gt;10,MIN(100,SUM($G143:$P143)),MIN(100,SUMPRODUCT((COLUMN($G143:$P143)-COLUMN($G143)+1&lt;Reprogramaciones!N$14)*$G143:$P143)+N(INDEX($G143:$P143,1,Reprogramaciones!N$14))*IF(Reprogramaciones!N$13&gt;=(Reprogramaciones!$T$15+7*(Reprogramaciones!N$14-1))+6,1,IF(MAX(0,NETWORKDAYS.INTL(MAX(E143,(Reprogramaciones!$T$15+7*(Reprogramaciones!N$14-1))),MIN(F143,(Reprogramaciones!$T$15+7*(Reprogramaciones!N$14-1))+6),11))=0,0,MAX(0,NETWORKDAYS.INTL(MAX(E143,(Reprogramaciones!$T$15+7*(Reprogramaciones!N$14-1))),MIN(F143,Reprogramaciones!N$13),11))/MAX(0,NETWORKDAYS.INTL(MAX(E143,(Reprogramaciones!$T$15+7*(Reprogramaciones!N$14-1))),MIN(F143,(Reprogramaciones!$T$15+7*(Reprogramaciones!N$14-1))+6),11))))))))</f>
        <v/>
      </c>
      <c r="BX143" s="1" t="str">
        <f aca="false">IF(OR(NOT(AND(ISNUMBER(E143),ISNUMBER(F143))),$J$2=""),"",IF(Reprogramaciones!O$13&lt;Reprogramaciones!$T$15,0,IF(Reprogramaciones!O$14&gt;10,MIN(100,SUM($G143:$P143)),MIN(100,SUMPRODUCT((COLUMN($G143:$P143)-COLUMN($G143)+1&lt;Reprogramaciones!O$14)*$G143:$P143)+N(INDEX($G143:$P143,1,Reprogramaciones!O$14))*IF(Reprogramaciones!O$13&gt;=(Reprogramaciones!$T$15+7*(Reprogramaciones!O$14-1))+6,1,IF(MAX(0,NETWORKDAYS.INTL(MAX(E143,(Reprogramaciones!$T$15+7*(Reprogramaciones!O$14-1))),MIN(F143,(Reprogramaciones!$T$15+7*(Reprogramaciones!O$14-1))+6),11))=0,0,MAX(0,NETWORKDAYS.INTL(MAX(E143,(Reprogramaciones!$T$15+7*(Reprogramaciones!O$14-1))),MIN(F143,Reprogramaciones!O$13),11))/MAX(0,NETWORKDAYS.INTL(MAX(E143,(Reprogramaciones!$T$15+7*(Reprogramaciones!O$14-1))),MIN(F143,(Reprogramaciones!$T$15+7*(Reprogramaciones!O$14-1))+6),11))))))))</f>
        <v/>
      </c>
      <c r="BY143" s="1" t="str">
        <f aca="false">IF(OR(NOT(AND(ISNUMBER(E143),ISNUMBER(F143))),$J$2=""),"",IF(Reprogramaciones!P$13&lt;Reprogramaciones!$T$15,0,IF(Reprogramaciones!P$14&gt;10,MIN(100,SUM($G143:$P143)),MIN(100,SUMPRODUCT((COLUMN($G143:$P143)-COLUMN($G143)+1&lt;Reprogramaciones!P$14)*$G143:$P143)+N(INDEX($G143:$P143,1,Reprogramaciones!P$14))*IF(Reprogramaciones!P$13&gt;=(Reprogramaciones!$T$15+7*(Reprogramaciones!P$14-1))+6,1,IF(MAX(0,NETWORKDAYS.INTL(MAX(E143,(Reprogramaciones!$T$15+7*(Reprogramaciones!P$14-1))),MIN(F143,(Reprogramaciones!$T$15+7*(Reprogramaciones!P$14-1))+6),11))=0,0,MAX(0,NETWORKDAYS.INTL(MAX(E143,(Reprogramaciones!$T$15+7*(Reprogramaciones!P$14-1))),MIN(F143,Reprogramaciones!P$13),11))/MAX(0,NETWORKDAYS.INTL(MAX(E143,(Reprogramaciones!$T$15+7*(Reprogramaciones!P$14-1))),MIN(F143,(Reprogramaciones!$T$15+7*(Reprogramaciones!P$14-1))+6),11))))))))</f>
        <v/>
      </c>
      <c r="BZ143" s="1" t="str">
        <f aca="false">IF(OR(NOT(AND(ISNUMBER(E143),ISNUMBER(F143))),$J$2=""),"",IF(Reprogramaciones!Q$13&lt;Reprogramaciones!$T$15,0,IF(Reprogramaciones!Q$14&gt;10,MIN(100,SUM($G143:$P143)),MIN(100,SUMPRODUCT((COLUMN($G143:$P143)-COLUMN($G143)+1&lt;Reprogramaciones!Q$14)*$G143:$P143)+N(INDEX($G143:$P143,1,Reprogramaciones!Q$14))*IF(Reprogramaciones!Q$13&gt;=(Reprogramaciones!$T$15+7*(Reprogramaciones!Q$14-1))+6,1,IF(MAX(0,NETWORKDAYS.INTL(MAX(E143,(Reprogramaciones!$T$15+7*(Reprogramaciones!Q$14-1))),MIN(F143,(Reprogramaciones!$T$15+7*(Reprogramaciones!Q$14-1))+6),11))=0,0,MAX(0,NETWORKDAYS.INTL(MAX(E143,(Reprogramaciones!$T$15+7*(Reprogramaciones!Q$14-1))),MIN(F143,Reprogramaciones!Q$13),11))/MAX(0,NETWORKDAYS.INTL(MAX(E143,(Reprogramaciones!$T$15+7*(Reprogramaciones!Q$14-1))),MIN(F143,(Reprogramaciones!$T$15+7*(Reprogramaciones!Q$14-1))+6),11))))))))</f>
        <v/>
      </c>
      <c r="CA143" s="1" t="str">
        <f aca="false">IF(OR(NOT(AND(ISNUMBER(E143),ISNUMBER(F143))),$J$2=""),"",IF(Reprogramaciones!R$13&lt;Reprogramaciones!$T$15,0,IF(Reprogramaciones!R$14&gt;10,MIN(100,SUM($G143:$P143)),MIN(100,SUMPRODUCT((COLUMN($G143:$P143)-COLUMN($G143)+1&lt;Reprogramaciones!R$14)*$G143:$P143)+N(INDEX($G143:$P143,1,Reprogramaciones!R$14))*IF(Reprogramaciones!R$13&gt;=(Reprogramaciones!$T$15+7*(Reprogramaciones!R$14-1))+6,1,IF(MAX(0,NETWORKDAYS.INTL(MAX(E143,(Reprogramaciones!$T$15+7*(Reprogramaciones!R$14-1))),MIN(F143,(Reprogramaciones!$T$15+7*(Reprogramaciones!R$14-1))+6),11))=0,0,MAX(0,NETWORKDAYS.INTL(MAX(E143,(Reprogramaciones!$T$15+7*(Reprogramaciones!R$14-1))),MIN(F143,Reprogramaciones!R$13),11))/MAX(0,NETWORKDAYS.INTL(MAX(E143,(Reprogramaciones!$T$15+7*(Reprogramaciones!R$14-1))),MIN(F143,(Reprogramaciones!$T$15+7*(Reprogramaciones!R$14-1))+6),11))))))))</f>
        <v/>
      </c>
      <c r="CB143" s="1" t="str">
        <f aca="false">IF(OR(NOT(AND(ISNUMBER(E143),ISNUMBER(F143))),$J$2=""),"",IF(Reprogramaciones!S$13&lt;Reprogramaciones!$T$15,0,IF(Reprogramaciones!S$14&gt;10,MIN(100,SUM($G143:$P143)),MIN(100,SUMPRODUCT((COLUMN($G143:$P143)-COLUMN($G143)+1&lt;Reprogramaciones!S$14)*$G143:$P143)+N(INDEX($G143:$P143,1,Reprogramaciones!S$14))*IF(Reprogramaciones!S$13&gt;=(Reprogramaciones!$T$15+7*(Reprogramaciones!S$14-1))+6,1,IF(MAX(0,NETWORKDAYS.INTL(MAX(E143,(Reprogramaciones!$T$15+7*(Reprogramaciones!S$14-1))),MIN(F143,(Reprogramaciones!$T$15+7*(Reprogramaciones!S$14-1))+6),11))=0,0,MAX(0,NETWORKDAYS.INTL(MAX(E143,(Reprogramaciones!$T$15+7*(Reprogramaciones!S$14-1))),MIN(F143,Reprogramaciones!S$13),11))/MAX(0,NETWORKDAYS.INTL(MAX(E143,(Reprogramaciones!$T$15+7*(Reprogramaciones!S$14-1))),MIN(F143,(Reprogramaciones!$T$15+7*(Reprogramaciones!S$14-1))+6),11))))))))</f>
        <v/>
      </c>
      <c r="CC143" s="1" t="str">
        <f aca="false">IF(OR(NOT(AND(ISNUMBER(E143),ISNUMBER(F143))),$J$2=""),"",IF(Reprogramaciones!T$13&lt;Reprogramaciones!$T$15,0,IF(Reprogramaciones!T$14&gt;10,MIN(100,SUM($G143:$P143)),MIN(100,SUMPRODUCT((COLUMN($G143:$P143)-COLUMN($G143)+1&lt;Reprogramaciones!T$14)*$G143:$P143)+N(INDEX($G143:$P143,1,Reprogramaciones!T$14))*IF(Reprogramaciones!T$13&gt;=(Reprogramaciones!$T$15+7*(Reprogramaciones!T$14-1))+6,1,IF(MAX(0,NETWORKDAYS.INTL(MAX(E143,(Reprogramaciones!$T$15+7*(Reprogramaciones!T$14-1))),MIN(F143,(Reprogramaciones!$T$15+7*(Reprogramaciones!T$14-1))+6),11))=0,0,MAX(0,NETWORKDAYS.INTL(MAX(E143,(Reprogramaciones!$T$15+7*(Reprogramaciones!T$14-1))),MIN(F143,Reprogramaciones!T$13),11))/MAX(0,NETWORKDAYS.INTL(MAX(E143,(Reprogramaciones!$T$15+7*(Reprogramaciones!T$14-1))),MIN(F143,(Reprogramaciones!$T$15+7*(Reprogramaciones!T$14-1))+6),11))))))))</f>
        <v/>
      </c>
      <c r="CD143" s="1" t="str">
        <f aca="false">IF(OR(NOT(AND(ISNUMBER(E143),ISNUMBER(F143))),$J$2=""),"",IF(Reprogramaciones!U$13&lt;Reprogramaciones!$T$15,0,IF(Reprogramaciones!U$14&gt;10,MIN(100,SUM($G143:$P143)),MIN(100,SUMPRODUCT((COLUMN($G143:$P143)-COLUMN($G143)+1&lt;Reprogramaciones!U$14)*$G143:$P143)+N(INDEX($G143:$P143,1,Reprogramaciones!U$14))*IF(Reprogramaciones!U$13&gt;=(Reprogramaciones!$T$15+7*(Reprogramaciones!U$14-1))+6,1,IF(MAX(0,NETWORKDAYS.INTL(MAX(E143,(Reprogramaciones!$T$15+7*(Reprogramaciones!U$14-1))),MIN(F143,(Reprogramaciones!$T$15+7*(Reprogramaciones!U$14-1))+6),11))=0,0,MAX(0,NETWORKDAYS.INTL(MAX(E143,(Reprogramaciones!$T$15+7*(Reprogramaciones!U$14-1))),MIN(F143,Reprogramaciones!U$13),11))/MAX(0,NETWORKDAYS.INTL(MAX(E143,(Reprogramaciones!$T$15+7*(Reprogramaciones!U$14-1))),MIN(F143,(Reprogramaciones!$T$15+7*(Reprogramaciones!U$14-1))+6),11))))))))</f>
        <v/>
      </c>
      <c r="CE143" s="1" t="str">
        <f aca="false">IF(OR(NOT(AND(ISNUMBER(E143),ISNUMBER(F143))),$J$2=""),"",IF(Reprogramaciones!V$13&lt;Reprogramaciones!$T$15,0,IF(Reprogramaciones!V$14&gt;10,MIN(100,SUM($G143:$P143)),MIN(100,SUMPRODUCT((COLUMN($G143:$P143)-COLUMN($G143)+1&lt;Reprogramaciones!V$14)*$G143:$P143)+N(INDEX($G143:$P143,1,Reprogramaciones!V$14))*IF(Reprogramaciones!V$13&gt;=(Reprogramaciones!$T$15+7*(Reprogramaciones!V$14-1))+6,1,IF(MAX(0,NETWORKDAYS.INTL(MAX(E143,(Reprogramaciones!$T$15+7*(Reprogramaciones!V$14-1))),MIN(F143,(Reprogramaciones!$T$15+7*(Reprogramaciones!V$14-1))+6),11))=0,0,MAX(0,NETWORKDAYS.INTL(MAX(E143,(Reprogramaciones!$T$15+7*(Reprogramaciones!V$14-1))),MIN(F143,Reprogramaciones!V$13),11))/MAX(0,NETWORKDAYS.INTL(MAX(E143,(Reprogramaciones!$T$15+7*(Reprogramaciones!V$14-1))),MIN(F143,(Reprogramaciones!$T$15+7*(Reprogramaciones!V$14-1))+6),11))))))))</f>
        <v/>
      </c>
      <c r="CF143" s="1" t="str">
        <f aca="false">IF(OR(NOT(AND(ISNUMBER(E143),ISNUMBER(F143))),$J$2=""),"",IF(Reprogramaciones!W$13&lt;Reprogramaciones!$T$15,0,IF(Reprogramaciones!W$14&gt;10,MIN(100,SUM($G143:$P143)),MIN(100,SUMPRODUCT((COLUMN($G143:$P143)-COLUMN($G143)+1&lt;Reprogramaciones!W$14)*$G143:$P143)+N(INDEX($G143:$P143,1,Reprogramaciones!W$14))*IF(Reprogramaciones!W$13&gt;=(Reprogramaciones!$T$15+7*(Reprogramaciones!W$14-1))+6,1,IF(MAX(0,NETWORKDAYS.INTL(MAX(E143,(Reprogramaciones!$T$15+7*(Reprogramaciones!W$14-1))),MIN(F143,(Reprogramaciones!$T$15+7*(Reprogramaciones!W$14-1))+6),11))=0,0,MAX(0,NETWORKDAYS.INTL(MAX(E143,(Reprogramaciones!$T$15+7*(Reprogramaciones!W$14-1))),MIN(F143,Reprogramaciones!W$13),11))/MAX(0,NETWORKDAYS.INTL(MAX(E143,(Reprogramaciones!$T$15+7*(Reprogramaciones!W$14-1))),MIN(F143,(Reprogramaciones!$T$15+7*(Reprogramaciones!W$14-1))+6),11))))))))</f>
        <v/>
      </c>
      <c r="CG143" s="1" t="str">
        <f aca="false">IF(OR(NOT(AND(ISNUMBER(E143),ISNUMBER(F143))),$J$2=""),"",IF(Reprogramaciones!X$13&lt;Reprogramaciones!$T$15,0,IF(Reprogramaciones!X$14&gt;10,MIN(100,SUM($G143:$P143)),MIN(100,SUMPRODUCT((COLUMN($G143:$P143)-COLUMN($G143)+1&lt;Reprogramaciones!X$14)*$G143:$P143)+N(INDEX($G143:$P143,1,Reprogramaciones!X$14))*IF(Reprogramaciones!X$13&gt;=(Reprogramaciones!$T$15+7*(Reprogramaciones!X$14-1))+6,1,IF(MAX(0,NETWORKDAYS.INTL(MAX(E143,(Reprogramaciones!$T$15+7*(Reprogramaciones!X$14-1))),MIN(F143,(Reprogramaciones!$T$15+7*(Reprogramaciones!X$14-1))+6),11))=0,0,MAX(0,NETWORKDAYS.INTL(MAX(E143,(Reprogramaciones!$T$15+7*(Reprogramaciones!X$14-1))),MIN(F143,Reprogramaciones!X$13),11))/MAX(0,NETWORKDAYS.INTL(MAX(E143,(Reprogramaciones!$T$15+7*(Reprogramaciones!X$14-1))),MIN(F143,(Reprogramaciones!$T$15+7*(Reprogramaciones!X$14-1))+6),11))))))))</f>
        <v/>
      </c>
      <c r="CH143" s="1" t="str">
        <f aca="false">IF(OR(NOT(AND(ISNUMBER(E143),ISNUMBER(F143))),$J$2=""),"",IF(Reprogramaciones!Y$13&lt;Reprogramaciones!$T$15,0,IF(Reprogramaciones!Y$14&gt;10,MIN(100,SUM($G143:$P143)),MIN(100,SUMPRODUCT((COLUMN($G143:$P143)-COLUMN($G143)+1&lt;Reprogramaciones!Y$14)*$G143:$P143)+N(INDEX($G143:$P143,1,Reprogramaciones!Y$14))*IF(Reprogramaciones!Y$13&gt;=(Reprogramaciones!$T$15+7*(Reprogramaciones!Y$14-1))+6,1,IF(MAX(0,NETWORKDAYS.INTL(MAX(E143,(Reprogramaciones!$T$15+7*(Reprogramaciones!Y$14-1))),MIN(F143,(Reprogramaciones!$T$15+7*(Reprogramaciones!Y$14-1))+6),11))=0,0,MAX(0,NETWORKDAYS.INTL(MAX(E143,(Reprogramaciones!$T$15+7*(Reprogramaciones!Y$14-1))),MIN(F143,Reprogramaciones!Y$13),11))/MAX(0,NETWORKDAYS.INTL(MAX(E143,(Reprogramaciones!$T$15+7*(Reprogramaciones!Y$14-1))),MIN(F143,(Reprogramaciones!$T$15+7*(Reprogramaciones!Y$14-1))+6),11))))))))</f>
        <v/>
      </c>
      <c r="CI143" s="1" t="str">
        <f aca="false">IF(OR(NOT(AND(ISNUMBER(E143),ISNUMBER(F143))),$J$2=""),"",IF(Reprogramaciones!Z$13&lt;Reprogramaciones!$T$15,0,IF(Reprogramaciones!Z$14&gt;10,MIN(100,SUM($G143:$P143)),MIN(100,SUMPRODUCT((COLUMN($G143:$P143)-COLUMN($G143)+1&lt;Reprogramaciones!Z$14)*$G143:$P143)+N(INDEX($G143:$P143,1,Reprogramaciones!Z$14))*IF(Reprogramaciones!Z$13&gt;=(Reprogramaciones!$T$15+7*(Reprogramaciones!Z$14-1))+6,1,IF(MAX(0,NETWORKDAYS.INTL(MAX(E143,(Reprogramaciones!$T$15+7*(Reprogramaciones!Z$14-1))),MIN(F143,(Reprogramaciones!$T$15+7*(Reprogramaciones!Z$14-1))+6),11))=0,0,MAX(0,NETWORKDAYS.INTL(MAX(E143,(Reprogramaciones!$T$15+7*(Reprogramaciones!Z$14-1))),MIN(F143,Reprogramaciones!Z$13),11))/MAX(0,NETWORKDAYS.INTL(MAX(E143,(Reprogramaciones!$T$15+7*(Reprogramaciones!Z$14-1))),MIN(F143,(Reprogramaciones!$T$15+7*(Reprogramaciones!Z$14-1))+6),11))))))))</f>
        <v/>
      </c>
      <c r="CJ143" s="1" t="str">
        <f aca="false">IF(OR(OR(NOT(AND(ISNUMBER(E143),ISNUMBER(F143))),$J$2=""),1&gt;Reprogramaciones!$K$16),"",IF(ROUND(SUM($Q143:Q143),1)&gt;=99.5,100,MIN(100,ROUND(SUM($Q143:Q143),1))))</f>
        <v/>
      </c>
      <c r="CK143" s="1" t="str">
        <f aca="false">IF(OR(OR(NOT(AND(ISNUMBER(E143),ISNUMBER(F143))),$J$2=""),2&gt;Reprogramaciones!$K$16),"",IF(ROUND(SUM($Q143:R143),1)&gt;=99.5,100,MIN(100,ROUND(SUM($Q143:R143),1))))</f>
        <v/>
      </c>
      <c r="CL143" s="1" t="str">
        <f aca="false">IF(OR(OR(NOT(AND(ISNUMBER(E143),ISNUMBER(F143))),$J$2=""),3&gt;Reprogramaciones!$K$16),"",IF(ROUND(SUM($Q143:S143),1)&gt;=99.5,100,MIN(100,ROUND(SUM($Q143:S143),1))))</f>
        <v/>
      </c>
      <c r="CM143" s="1" t="str">
        <f aca="false">IF(OR(OR(NOT(AND(ISNUMBER(E143),ISNUMBER(F143))),$J$2=""),4&gt;Reprogramaciones!$K$16),"",IF(ROUND(SUM($Q143:T143),1)&gt;=99.5,100,MIN(100,ROUND(SUM($Q143:T143),1))))</f>
        <v/>
      </c>
      <c r="CN143" s="1" t="str">
        <f aca="false">IF(OR(OR(NOT(AND(ISNUMBER(E143),ISNUMBER(F143))),$J$2=""),5&gt;Reprogramaciones!$K$16),"",IF(ROUND(SUM($Q143:U143),1)&gt;=99.5,100,MIN(100,ROUND(SUM($Q143:U143),1))))</f>
        <v/>
      </c>
      <c r="CO143" s="1" t="str">
        <f aca="false">IF(OR(OR(NOT(AND(ISNUMBER(E143),ISNUMBER(F143))),$J$2=""),6&gt;Reprogramaciones!$K$16),"",IF(ROUND(SUM($Q143:V143),1)&gt;=99.5,100,MIN(100,ROUND(SUM($Q143:V143),1))))</f>
        <v/>
      </c>
      <c r="CP143" s="1" t="str">
        <f aca="false">IF(OR(OR(NOT(AND(ISNUMBER(E143),ISNUMBER(F143))),$J$2=""),7&gt;Reprogramaciones!$K$16),"",IF(ROUND(SUM($Q143:W143),1)&gt;=99.5,100,MIN(100,ROUND(SUM($Q143:W143),1))))</f>
        <v/>
      </c>
      <c r="CQ143" s="1" t="str">
        <f aca="false">IF(OR(OR(NOT(AND(ISNUMBER(E143),ISNUMBER(F143))),$J$2=""),8&gt;Reprogramaciones!$K$16),"",IF(ROUND(SUM($Q143:X143),1)&gt;=99.5,100,MIN(100,ROUND(SUM($Q143:X143),1))))</f>
        <v/>
      </c>
      <c r="CR143" s="1" t="str">
        <f aca="false">IF(OR(OR(NOT(AND(ISNUMBER(E143),ISNUMBER(F143))),$J$2=""),9&gt;Reprogramaciones!$K$16),"",IF(ROUND(SUM($Q143:Y143),1)&gt;=99.5,100,MIN(100,ROUND(SUM($Q143:Y143),1))))</f>
        <v/>
      </c>
      <c r="CS143" s="1" t="str">
        <f aca="false">IF(OR(OR(NOT(AND(ISNUMBER(E143),ISNUMBER(F143))),$J$2=""),10&gt;Reprogramaciones!$K$16),"",IF(ROUND(SUM($Q143:Z143),1)&gt;=99.5,100,MIN(100,ROUND(SUM($Q143:Z143),1))))</f>
        <v/>
      </c>
      <c r="CT143" s="1" t="str">
        <f aca="false">IF(OR(OR(NOT(AND(ISNUMBER(E143),ISNUMBER(F143))),$J$2=""),11&gt;Reprogramaciones!$K$16),"",IF(ROUND(SUM($Q143:AA143),1)&gt;=99.5,100,MIN(100,ROUND(SUM($Q143:AA143),1))))</f>
        <v/>
      </c>
      <c r="CU143" s="1" t="str">
        <f aca="false">IF(OR(OR(NOT(AND(ISNUMBER(E143),ISNUMBER(F143))),$J$2=""),12&gt;Reprogramaciones!$K$16),"",IF(ROUND(SUM($Q143:AB143),1)&gt;=99.5,100,MIN(100,ROUND(SUM($Q143:AB143),1))))</f>
        <v/>
      </c>
      <c r="CV143" s="1" t="str">
        <f aca="false">IF(OR(OR(NOT(AND(ISNUMBER(E143),ISNUMBER(F143))),$J$2=""),13&gt;Reprogramaciones!$K$16),"",IF(ROUND(SUM($Q143:AC143),1)&gt;=99.5,100,MIN(100,ROUND(SUM($Q143:AC143),1))))</f>
        <v/>
      </c>
      <c r="CW143" s="1" t="str">
        <f aca="false">IF(OR(OR(NOT(AND(ISNUMBER(E143),ISNUMBER(F143))),$J$2=""),14&gt;Reprogramaciones!$K$16),"",IF(ROUND(SUM($Q143:AD143),1)&gt;=99.5,100,MIN(100,ROUND(SUM($Q143:AD143),1))))</f>
        <v/>
      </c>
      <c r="CX143" s="1" t="str">
        <f aca="false">IF(OR(OR(NOT(AND(ISNUMBER(E143),ISNUMBER(F143))),$J$2=""),15&gt;Reprogramaciones!$K$16),"",IF(ROUND(SUM($Q143:AE143),1)&gt;=99.5,100,MIN(100,ROUND(SUM($Q143:AE143),1))))</f>
        <v/>
      </c>
      <c r="CY143" s="1" t="str">
        <f aca="false">IF(OR(OR(NOT(AND(ISNUMBER(E143),ISNUMBER(F143))),$J$2=""),16&gt;Reprogramaciones!$K$16),"",IF(ROUND(SUM($Q143:AF143),1)&gt;=99.5,100,MIN(100,ROUND(SUM($Q143:AF143),1))))</f>
        <v/>
      </c>
      <c r="CZ143" s="1" t="str">
        <f aca="false">IF(D143&lt;&gt;"",D143,IF(B143&lt;&gt;"","Contractual",CZ142))</f>
        <v>Contractual</v>
      </c>
      <c r="DA143" s="1" t="str">
        <f aca="false">IF(OR(NOT(AND(ISNUMBER(E143),ISNUMBER(F143))),$J$2=""),"",IF(Reprogramaciones!$Q$15&lt;Reprogramaciones!$T$15,0,IF(Reprogramaciones!$S$15&gt;10,MIN(100,SUM($G143:$P143)),MIN(100,SUMPRODUCT((COLUMN($G143:$P143)-COLUMN($G143)+1&lt;Reprogramaciones!$S$15)*$G143:$P143)+N(INDEX($G143:$P143,1,Reprogramaciones!$S$15))*IF(Reprogramaciones!$Q$15&gt;=(Reprogramaciones!$T$15+7*(Reprogramaciones!$S$15-1))+6,1,IF(MAX(0,NETWORKDAYS.INTL(MAX(E143,(Reprogramaciones!$T$15+7*(Reprogramaciones!$S$15-1))),MIN(F143,(Reprogramaciones!$T$15+7*(Reprogramaciones!$S$15-1))+6),11))=0,0,MAX(0,NETWORKDAYS.INTL(MAX(E143,(Reprogramaciones!$T$15+7*(Reprogramaciones!$S$15-1))),MIN(F143,Reprogramaciones!$Q$15),11))/MAX(0,NETWORKDAYS.INTL(MAX(E143,(Reprogramaciones!$T$15+7*(Reprogramaciones!$S$15-1))),MIN(F143,(Reprogramaciones!$T$15+7*(Reprogramaciones!$S$15-1))+6),11))))))))</f>
        <v/>
      </c>
    </row>
    <row r="144" customFormat="false" ht="15" hidden="false" customHeight="false" outlineLevel="0" collapsed="false">
      <c r="A144" s="32"/>
      <c r="B144" s="33"/>
      <c r="C144" s="33"/>
      <c r="D144" s="34"/>
      <c r="E144" s="35"/>
      <c r="F144" s="35"/>
      <c r="G144" s="36" t="str">
        <f aca="false">IF(OR(NOT(AND(ISNUMBER(E144),ISNUMBER(F144))),$J$2=""),"",IF(Reprogramaciones!K$9&lt;E144,0,IF(NETWORKDAYS.INTL(E144,F144,11)=0,IF(Reprogramaciones!K$9&gt;=F144,100,0),ROUND(NETWORKDAYS.INTL(E144,MIN(F144,Reprogramaciones!K$9),11)/NETWORKDAYS.INTL(E144,F144,11)*100,1)))-0)</f>
        <v/>
      </c>
      <c r="H144" s="36" t="str">
        <f aca="false">IF(OR(NOT(AND(ISNUMBER(E144),ISNUMBER(F144))),$J$2=""),"",IF(Reprogramaciones!L$9&lt;E144,0,IF(NETWORKDAYS.INTL(E144,F144,11)=0,IF(Reprogramaciones!L$9&gt;=F144,100,0),ROUND(NETWORKDAYS.INTL(E144,MIN(F144,Reprogramaciones!L$9),11)/NETWORKDAYS.INTL(E144,F144,11)*100,1)))-IF(Reprogramaciones!K$9&lt;E144,0,IF(NETWORKDAYS.INTL(E144,F144,11)=0,IF(Reprogramaciones!K$9&gt;=F144,100,0),ROUND(NETWORKDAYS.INTL(E144,MIN(F144,Reprogramaciones!K$9),11)/NETWORKDAYS.INTL(E144,F144,11)*100,1))))</f>
        <v/>
      </c>
      <c r="I144" s="36" t="str">
        <f aca="false">IF(OR(NOT(AND(ISNUMBER(E144),ISNUMBER(F144))),$J$2=""),"",IF(Reprogramaciones!M$9&lt;E144,0,IF(NETWORKDAYS.INTL(E144,F144,11)=0,IF(Reprogramaciones!M$9&gt;=F144,100,0),ROUND(NETWORKDAYS.INTL(E144,MIN(F144,Reprogramaciones!M$9),11)/NETWORKDAYS.INTL(E144,F144,11)*100,1)))-IF(Reprogramaciones!L$9&lt;E144,0,IF(NETWORKDAYS.INTL(E144,F144,11)=0,IF(Reprogramaciones!L$9&gt;=F144,100,0),ROUND(NETWORKDAYS.INTL(E144,MIN(F144,Reprogramaciones!L$9),11)/NETWORKDAYS.INTL(E144,F144,11)*100,1))))</f>
        <v/>
      </c>
      <c r="J144" s="36" t="str">
        <f aca="false">IF(OR(NOT(AND(ISNUMBER(E144),ISNUMBER(F144))),$J$2=""),"",IF(Reprogramaciones!N$9&lt;E144,0,IF(NETWORKDAYS.INTL(E144,F144,11)=0,IF(Reprogramaciones!N$9&gt;=F144,100,0),ROUND(NETWORKDAYS.INTL(E144,MIN(F144,Reprogramaciones!N$9),11)/NETWORKDAYS.INTL(E144,F144,11)*100,1)))-IF(Reprogramaciones!M$9&lt;E144,0,IF(NETWORKDAYS.INTL(E144,F144,11)=0,IF(Reprogramaciones!M$9&gt;=F144,100,0),ROUND(NETWORKDAYS.INTL(E144,MIN(F144,Reprogramaciones!M$9),11)/NETWORKDAYS.INTL(E144,F144,11)*100,1))))</f>
        <v/>
      </c>
      <c r="K144" s="36" t="str">
        <f aca="false">IF(OR(NOT(AND(ISNUMBER(E144),ISNUMBER(F144))),$J$2=""),"",IF(Reprogramaciones!O$9&lt;E144,0,IF(NETWORKDAYS.INTL(E144,F144,11)=0,IF(Reprogramaciones!O$9&gt;=F144,100,0),ROUND(NETWORKDAYS.INTL(E144,MIN(F144,Reprogramaciones!O$9),11)/NETWORKDAYS.INTL(E144,F144,11)*100,1)))-IF(Reprogramaciones!N$9&lt;E144,0,IF(NETWORKDAYS.INTL(E144,F144,11)=0,IF(Reprogramaciones!N$9&gt;=F144,100,0),ROUND(NETWORKDAYS.INTL(E144,MIN(F144,Reprogramaciones!N$9),11)/NETWORKDAYS.INTL(E144,F144,11)*100,1))))</f>
        <v/>
      </c>
      <c r="L144" s="36" t="str">
        <f aca="false">IF(OR(NOT(AND(ISNUMBER(E144),ISNUMBER(F144))),$J$2=""),"",IF(Reprogramaciones!P$9&lt;E144,0,IF(NETWORKDAYS.INTL(E144,F144,11)=0,IF(Reprogramaciones!P$9&gt;=F144,100,0),ROUND(NETWORKDAYS.INTL(E144,MIN(F144,Reprogramaciones!P$9),11)/NETWORKDAYS.INTL(E144,F144,11)*100,1)))-IF(Reprogramaciones!O$9&lt;E144,0,IF(NETWORKDAYS.INTL(E144,F144,11)=0,IF(Reprogramaciones!O$9&gt;=F144,100,0),ROUND(NETWORKDAYS.INTL(E144,MIN(F144,Reprogramaciones!O$9),11)/NETWORKDAYS.INTL(E144,F144,11)*100,1))))</f>
        <v/>
      </c>
      <c r="M144" s="36" t="str">
        <f aca="false">IF(OR(NOT(AND(ISNUMBER(E144),ISNUMBER(F144))),$J$2=""),"",IF(Reprogramaciones!Q$9&lt;E144,0,IF(NETWORKDAYS.INTL(E144,F144,11)=0,IF(Reprogramaciones!Q$9&gt;=F144,100,0),ROUND(NETWORKDAYS.INTL(E144,MIN(F144,Reprogramaciones!Q$9),11)/NETWORKDAYS.INTL(E144,F144,11)*100,1)))-IF(Reprogramaciones!P$9&lt;E144,0,IF(NETWORKDAYS.INTL(E144,F144,11)=0,IF(Reprogramaciones!P$9&gt;=F144,100,0),ROUND(NETWORKDAYS.INTL(E144,MIN(F144,Reprogramaciones!P$9),11)/NETWORKDAYS.INTL(E144,F144,11)*100,1))))</f>
        <v/>
      </c>
      <c r="N144" s="36" t="str">
        <f aca="false">IF(OR(NOT(AND(ISNUMBER(E144),ISNUMBER(F144))),$J$2=""),"",IF(Reprogramaciones!R$9&lt;E144,0,IF(NETWORKDAYS.INTL(E144,F144,11)=0,IF(Reprogramaciones!R$9&gt;=F144,100,0),ROUND(NETWORKDAYS.INTL(E144,MIN(F144,Reprogramaciones!R$9),11)/NETWORKDAYS.INTL(E144,F144,11)*100,1)))-IF(Reprogramaciones!Q$9&lt;E144,0,IF(NETWORKDAYS.INTL(E144,F144,11)=0,IF(Reprogramaciones!Q$9&gt;=F144,100,0),ROUND(NETWORKDAYS.INTL(E144,MIN(F144,Reprogramaciones!Q$9),11)/NETWORKDAYS.INTL(E144,F144,11)*100,1))))</f>
        <v/>
      </c>
      <c r="O144" s="36" t="str">
        <f aca="false">IF(OR(NOT(AND(ISNUMBER(E144),ISNUMBER(F144))),$J$2=""),"",IF(Reprogramaciones!S$9&lt;E144,0,IF(NETWORKDAYS.INTL(E144,F144,11)=0,IF(Reprogramaciones!S$9&gt;=F144,100,0),ROUND(NETWORKDAYS.INTL(E144,MIN(F144,Reprogramaciones!S$9),11)/NETWORKDAYS.INTL(E144,F144,11)*100,1)))-IF(Reprogramaciones!R$9&lt;E144,0,IF(NETWORKDAYS.INTL(E144,F144,11)=0,IF(Reprogramaciones!R$9&gt;=F144,100,0),ROUND(NETWORKDAYS.INTL(E144,MIN(F144,Reprogramaciones!R$9),11)/NETWORKDAYS.INTL(E144,F144,11)*100,1))))</f>
        <v/>
      </c>
      <c r="P144" s="36" t="str">
        <f aca="false">IF(OR(NOT(AND(ISNUMBER(E144),ISNUMBER(F144))),$J$2=""),"",IF(Reprogramaciones!T$9&lt;E144,0,IF(NETWORKDAYS.INTL(E144,F144,11)=0,IF(Reprogramaciones!T$9&gt;=F144,100,0),ROUND(NETWORKDAYS.INTL(E144,MIN(F144,Reprogramaciones!T$9),11)/NETWORKDAYS.INTL(E144,F144,11)*100,1)))-IF(Reprogramaciones!S$9&lt;E144,0,IF(NETWORKDAYS.INTL(E144,F144,11)=0,IF(Reprogramaciones!S$9&gt;=F144,100,0),ROUND(NETWORKDAYS.INTL(E144,MIN(F144,Reprogramaciones!S$9),11)/NETWORKDAYS.INTL(E144,F144,11)*100,1))))</f>
        <v/>
      </c>
      <c r="Q144" s="37"/>
      <c r="R144" s="37"/>
      <c r="S144" s="37"/>
      <c r="T144" s="37"/>
      <c r="U144" s="37"/>
      <c r="V144" s="37"/>
      <c r="W144" s="37"/>
      <c r="X144" s="37"/>
      <c r="Y144" s="37"/>
      <c r="Z144" s="37"/>
      <c r="AA144" s="37"/>
      <c r="AB144" s="37"/>
      <c r="AC144" s="37"/>
      <c r="AD144" s="37"/>
      <c r="AE144" s="37"/>
      <c r="AF144" s="37"/>
      <c r="AG144" s="38" t="str">
        <f aca="false">IF(AND(ISNUMBER(E144),ISNUMBER(F144)),NETWORKDAYS.INTL(E144,F144,11),"")</f>
        <v/>
      </c>
      <c r="AH144" s="38" t="str">
        <f aca="false">IF(OR(NOT(AND(ISNUMBER(E144),ISNUMBER(F144))),$J$2=""),"",IF(Reprogramaciones!$P$15&lt;Reprogramaciones!$T$15,0,IF(Reprogramaciones!$R$15&gt;10,MIN(100,SUM($G144:$P144)),MIN(100,SUMPRODUCT((COLUMN($G144:$P144)-COLUMN($G144)+1&lt;Reprogramaciones!$R$15)*$G144:$P144)+N(INDEX($G144:$P144,1,Reprogramaciones!$R$15))*IF(Reprogramaciones!$P$15&gt;=(Reprogramaciones!$T$15+7*(Reprogramaciones!$R$15-1))+6,1,IF(MAX(0,NETWORKDAYS.INTL(MAX(E144,(Reprogramaciones!$T$15+7*(Reprogramaciones!$R$15-1))),MIN(F144,(Reprogramaciones!$T$15+7*(Reprogramaciones!$R$15-1))+6),11))=0,0,MAX(0,NETWORKDAYS.INTL(MAX(E144,(Reprogramaciones!$T$15+7*(Reprogramaciones!$R$15-1))),MIN(F144,Reprogramaciones!$P$15),11))/MAX(0,NETWORKDAYS.INTL(MAX(E144,(Reprogramaciones!$T$15+7*(Reprogramaciones!$R$15-1))),MIN(F144,(Reprogramaciones!$T$15+7*(Reprogramaciones!$R$15-1))+6),11))))))))</f>
        <v/>
      </c>
      <c r="AI144" s="38" t="str">
        <f aca="false">IF(COUNT($Q144:$AF144)=0,"",IF(ROUND(SUM($Q144:$AF144),1)&gt;=99.5,100,MIN(100,ROUND(SUM($Q144:$AF144),1))))</f>
        <v/>
      </c>
      <c r="AJ144" s="38" t="str">
        <f aca="false">IF(OR(AH144="",AI144=""),"",AI144-AH144)</f>
        <v/>
      </c>
      <c r="AK144" s="39" t="str">
        <f aca="true">IF(AH144="","",IF(OR(Ficha!$C$10="Suspendida",Ficha!$C$10="Cancelada"),Ficha!$C$10,IF(AND(AI144&lt;&gt;"",N(AI144)&gt;=100),"Completada",IF(AND(E144&gt;TODAY(),N(AI144)=0),"Por iniciar",IF(N(AI144)+0.5&lt;AH144,"Retrasada",IF(N(AI144)+0.5&lt;DA144,IF(Reprogramaciones!$K$15&gt;0,"Al día · Sem "&amp;Reprogramaciones!$K$15&amp;" en curso","Al día · en curso"),"A tiempo"))))))</f>
        <v/>
      </c>
      <c r="AL144" s="39" t="str">
        <f aca="true">IF(AND(A144="",AND(B144="",C144="",E144="",F144="",COUNT(Q144:AF144)=0)),"",IF(AND(B144="",C144="",E144="",F144="",COUNT(Q144:AF144)=0),"Falta la partida o subpartida",IF(AND(A144&lt;&gt;"",COUNTIF($A$6:$A$305,A144)&gt;1),"Ítem repetido",IF(AND(C144="",E144="",F144="",COUNT(Q144:AF144)=0),"Título de partida",IF(OR(E144="",F144=""),"Faltan fechas",IF(OR(ISTEXT(E144),ISTEXT(F144)),"Fecha escrita como texto: usa dd/mm/aaaa",IF(F144&lt;E144,"Fin antes del inicio",IF(IF($J$2="",FALSE(),OR(E144&lt;$J$2,F144&gt;Reprogramaciones!$T$15+69)),"Fuera de las 10 semanas",IF(ABS(SUM(G144:P144)-100)&gt;0.5,"La meta no suma 100%",IF(ROUND(SUM(Q144:AF144),1)&gt;100.5,"El avance pasa de 100%",IF(MIN(Q144:AF144)&lt;0,"Avance negativo",IF(COUNTA(Q144:AF144)&gt;COUNT(Q144:AF144),"Avance escrito como texto",IF(SUMPRODUCT((Q144:AF144&gt;0)*(Q144:AF144&lt;1))&gt;0,"Avance menor a 1: escribe 50, no 50%",IF(SUMPRODUCT(ISNUMBER(Q144:AF144)*(Reprogramaciones!$K$8:$Z$8&gt;TODAY()))&gt;0,"Avance en semana que aún no llega",IF(AND(N(Reprogramaciones!$E$21)&gt;0,F144&gt;Reprogramaciones!$E$21),"Pasa el fin de la obra: registra una reprogramación",IF(AND(N(Reprogramaciones!$E$21)&gt;0,SUMPRODUCT(ISNUMBER(Q144:AF144)*(Reprogramaciones!$K$8:$Z$8&gt;Reprogramaciones!$E$21))&gt;0),"Avance después del fin de la obra: registra una reprogramación por atraso","OK"))))))))))))))))</f>
        <v/>
      </c>
      <c r="AM144" s="40" t="str">
        <f aca="false">IF(OR(OR(NOT(AND(ISNUMBER(E144),ISNUMBER(F144))),$J$2=""),1&gt;MAX(1,Reprogramaciones!$U$15)),"",IF(Reprogramaciones!K$12&gt;=7,"",IF(OR(BT144-N(0)&gt;0.05,N(Q144)&gt;0),ROUNDDOWN(ROUND(BT144,6),0)&amp;"%"&amp;IF(CJ144="",""," / "&amp;CJ144&amp;"%"),IF(AND(N(0)&gt;=99.95,CJ144&lt;&gt;"",N(CJ144)&lt;100),"Pend. "&amp;CJ144&amp;"%",""))))</f>
        <v/>
      </c>
      <c r="AN144" s="40" t="str">
        <f aca="false">IF(OR(OR(NOT(AND(ISNUMBER(E144),ISNUMBER(F144))),$J$2=""),2&gt;MAX(1,Reprogramaciones!$U$15)),"",IF(Reprogramaciones!L$12&gt;=7,"",IF(OR(BU144-N(BT144)&gt;0.05,N(R144)&gt;0),ROUNDDOWN(ROUND(BU144,6),0)&amp;"%"&amp;IF(CK144="",""," / "&amp;CK144&amp;"%"),IF(AND(N(BT144)&gt;=99.95,CK144&lt;&gt;"",N(CK144)&lt;100),"Pend. "&amp;CK144&amp;"%",""))))</f>
        <v/>
      </c>
      <c r="AO144" s="40" t="str">
        <f aca="false">IF(OR(OR(NOT(AND(ISNUMBER(E144),ISNUMBER(F144))),$J$2=""),3&gt;MAX(1,Reprogramaciones!$U$15)),"",IF(Reprogramaciones!M$12&gt;=7,"",IF(OR(BV144-N(BU144)&gt;0.05,N(S144)&gt;0),ROUNDDOWN(ROUND(BV144,6),0)&amp;"%"&amp;IF(CL144="",""," / "&amp;CL144&amp;"%"),IF(AND(N(BU144)&gt;=99.95,CL144&lt;&gt;"",N(CL144)&lt;100),"Pend. "&amp;CL144&amp;"%",""))))</f>
        <v/>
      </c>
      <c r="AP144" s="40" t="str">
        <f aca="false">IF(OR(OR(NOT(AND(ISNUMBER(E144),ISNUMBER(F144))),$J$2=""),4&gt;MAX(1,Reprogramaciones!$U$15)),"",IF(Reprogramaciones!N$12&gt;=7,"",IF(OR(BW144-N(BV144)&gt;0.05,N(T144)&gt;0),ROUNDDOWN(ROUND(BW144,6),0)&amp;"%"&amp;IF(CM144="",""," / "&amp;CM144&amp;"%"),IF(AND(N(BV144)&gt;=99.95,CM144&lt;&gt;"",N(CM144)&lt;100),"Pend. "&amp;CM144&amp;"%",""))))</f>
        <v/>
      </c>
      <c r="AQ144" s="40" t="str">
        <f aca="false">IF(OR(OR(NOT(AND(ISNUMBER(E144),ISNUMBER(F144))),$J$2=""),5&gt;MAX(1,Reprogramaciones!$U$15)),"",IF(Reprogramaciones!O$12&gt;=7,"",IF(OR(BX144-N(BW144)&gt;0.05,N(U144)&gt;0),ROUNDDOWN(ROUND(BX144,6),0)&amp;"%"&amp;IF(CN144="",""," / "&amp;CN144&amp;"%"),IF(AND(N(BW144)&gt;=99.95,CN144&lt;&gt;"",N(CN144)&lt;100),"Pend. "&amp;CN144&amp;"%",""))))</f>
        <v/>
      </c>
      <c r="AR144" s="40" t="str">
        <f aca="false">IF(OR(OR(NOT(AND(ISNUMBER(E144),ISNUMBER(F144))),$J$2=""),6&gt;MAX(1,Reprogramaciones!$U$15)),"",IF(Reprogramaciones!P$12&gt;=7,"",IF(OR(BY144-N(BX144)&gt;0.05,N(V144)&gt;0),ROUNDDOWN(ROUND(BY144,6),0)&amp;"%"&amp;IF(CO144="",""," / "&amp;CO144&amp;"%"),IF(AND(N(BX144)&gt;=99.95,CO144&lt;&gt;"",N(CO144)&lt;100),"Pend. "&amp;CO144&amp;"%",""))))</f>
        <v/>
      </c>
      <c r="AS144" s="40" t="str">
        <f aca="false">IF(OR(OR(NOT(AND(ISNUMBER(E144),ISNUMBER(F144))),$J$2=""),7&gt;MAX(1,Reprogramaciones!$U$15)),"",IF(Reprogramaciones!Q$12&gt;=7,"",IF(OR(BZ144-N(BY144)&gt;0.05,N(W144)&gt;0),ROUNDDOWN(ROUND(BZ144,6),0)&amp;"%"&amp;IF(CP144="",""," / "&amp;CP144&amp;"%"),IF(AND(N(BY144)&gt;=99.95,CP144&lt;&gt;"",N(CP144)&lt;100),"Pend. "&amp;CP144&amp;"%",""))))</f>
        <v/>
      </c>
      <c r="AT144" s="40" t="str">
        <f aca="false">IF(OR(OR(NOT(AND(ISNUMBER(E144),ISNUMBER(F144))),$J$2=""),8&gt;MAX(1,Reprogramaciones!$U$15)),"",IF(Reprogramaciones!R$12&gt;=7,"",IF(OR(CA144-N(BZ144)&gt;0.05,N(X144)&gt;0),ROUNDDOWN(ROUND(CA144,6),0)&amp;"%"&amp;IF(CQ144="",""," / "&amp;CQ144&amp;"%"),IF(AND(N(BZ144)&gt;=99.95,CQ144&lt;&gt;"",N(CQ144)&lt;100),"Pend. "&amp;CQ144&amp;"%",""))))</f>
        <v/>
      </c>
      <c r="AU144" s="40" t="str">
        <f aca="false">IF(OR(OR(NOT(AND(ISNUMBER(E144),ISNUMBER(F144))),$J$2=""),9&gt;MAX(1,Reprogramaciones!$U$15)),"",IF(Reprogramaciones!S$12&gt;=7,"",IF(OR(CB144-N(CA144)&gt;0.05,N(Y144)&gt;0),ROUNDDOWN(ROUND(CB144,6),0)&amp;"%"&amp;IF(CR144="",""," / "&amp;CR144&amp;"%"),IF(AND(N(CA144)&gt;=99.95,CR144&lt;&gt;"",N(CR144)&lt;100),"Pend. "&amp;CR144&amp;"%",""))))</f>
        <v/>
      </c>
      <c r="AV144" s="40" t="str">
        <f aca="false">IF(OR(OR(NOT(AND(ISNUMBER(E144),ISNUMBER(F144))),$J$2=""),10&gt;MAX(1,Reprogramaciones!$U$15)),"",IF(Reprogramaciones!T$12&gt;=7,"",IF(OR(CC144-N(CB144)&gt;0.05,N(Z144)&gt;0),ROUNDDOWN(ROUND(CC144,6),0)&amp;"%"&amp;IF(CS144="",""," / "&amp;CS144&amp;"%"),IF(AND(N(CB144)&gt;=99.95,CS144&lt;&gt;"",N(CS144)&lt;100),"Pend. "&amp;CS144&amp;"%",""))))</f>
        <v/>
      </c>
      <c r="AW144" s="40" t="str">
        <f aca="false">IF(OR(OR(NOT(AND(ISNUMBER(E144),ISNUMBER(F144))),$J$2=""),11&gt;MAX(1,Reprogramaciones!$U$15)),"",IF(Reprogramaciones!U$12&gt;=7,"",IF(OR(CD144-N(CC144)&gt;0.05,N(AA144)&gt;0),ROUNDDOWN(ROUND(CD144,6),0)&amp;"%"&amp;IF(CT144="",""," / "&amp;CT144&amp;"%"),IF(AND(N(CC144)&gt;=99.95,CT144&lt;&gt;"",N(CT144)&lt;100),"Pend. "&amp;CT144&amp;"%",""))))</f>
        <v/>
      </c>
      <c r="AX144" s="40" t="str">
        <f aca="false">IF(OR(OR(NOT(AND(ISNUMBER(E144),ISNUMBER(F144))),$J$2=""),12&gt;MAX(1,Reprogramaciones!$U$15)),"",IF(Reprogramaciones!V$12&gt;=7,"",IF(OR(CE144-N(CD144)&gt;0.05,N(AB144)&gt;0),ROUNDDOWN(ROUND(CE144,6),0)&amp;"%"&amp;IF(CU144="",""," / "&amp;CU144&amp;"%"),IF(AND(N(CD144)&gt;=99.95,CU144&lt;&gt;"",N(CU144)&lt;100),"Pend. "&amp;CU144&amp;"%",""))))</f>
        <v/>
      </c>
      <c r="AY144" s="40" t="str">
        <f aca="false">IF(OR(OR(NOT(AND(ISNUMBER(E144),ISNUMBER(F144))),$J$2=""),13&gt;MAX(1,Reprogramaciones!$U$15)),"",IF(Reprogramaciones!W$12&gt;=7,"",IF(OR(CF144-N(CE144)&gt;0.05,N(AC144)&gt;0),ROUNDDOWN(ROUND(CF144,6),0)&amp;"%"&amp;IF(CV144="",""," / "&amp;CV144&amp;"%"),IF(AND(N(CE144)&gt;=99.95,CV144&lt;&gt;"",N(CV144)&lt;100),"Pend. "&amp;CV144&amp;"%",""))))</f>
        <v/>
      </c>
      <c r="AZ144" s="40" t="str">
        <f aca="false">IF(OR(OR(NOT(AND(ISNUMBER(E144),ISNUMBER(F144))),$J$2=""),14&gt;MAX(1,Reprogramaciones!$U$15)),"",IF(Reprogramaciones!X$12&gt;=7,"",IF(OR(CG144-N(CF144)&gt;0.05,N(AD144)&gt;0),ROUNDDOWN(ROUND(CG144,6),0)&amp;"%"&amp;IF(CW144="",""," / "&amp;CW144&amp;"%"),IF(AND(N(CF144)&gt;=99.95,CW144&lt;&gt;"",N(CW144)&lt;100),"Pend. "&amp;CW144&amp;"%",""))))</f>
        <v/>
      </c>
      <c r="BA144" s="40" t="str">
        <f aca="false">IF(OR(OR(NOT(AND(ISNUMBER(E144),ISNUMBER(F144))),$J$2=""),15&gt;MAX(1,Reprogramaciones!$U$15)),"",IF(Reprogramaciones!Y$12&gt;=7,"",IF(OR(CH144-N(CG144)&gt;0.05,N(AE144)&gt;0),ROUNDDOWN(ROUND(CH144,6),0)&amp;"%"&amp;IF(CX144="",""," / "&amp;CX144&amp;"%"),IF(AND(N(CG144)&gt;=99.95,CX144&lt;&gt;"",N(CX144)&lt;100),"Pend. "&amp;CX144&amp;"%",""))))</f>
        <v/>
      </c>
      <c r="BB144" s="40" t="str">
        <f aca="false">IF(OR(OR(NOT(AND(ISNUMBER(E144),ISNUMBER(F144))),$J$2=""),16&gt;MAX(1,Reprogramaciones!$U$15)),"",IF(Reprogramaciones!Z$12&gt;=7,"",IF(OR(CI144-N(CH144)&gt;0.05,N(AF144)&gt;0),ROUNDDOWN(ROUND(CI144,6),0)&amp;"%"&amp;IF(CY144="",""," / "&amp;CY144&amp;"%"),IF(AND(N(CH144)&gt;=99.95,CY144&lt;&gt;"",N(CY144)&lt;100),"Pend. "&amp;CY144&amp;"%",""))))</f>
        <v/>
      </c>
      <c r="BC144" s="31" t="n">
        <f aca="false">IF(AND(ISNUMBER(E144),ISNUMBER(F144)),MAX(1,NETWORKDAYS.INTL(E144,F144,11)),0)</f>
        <v>0</v>
      </c>
      <c r="BD144" s="1" t="str">
        <f aca="false">IF(OR(NOT(AND(ISNUMBER(E144),ISNUMBER(F144))),$J$2=""),"",MIN(100,ROUND(SUM($G144:G144),1)))</f>
        <v/>
      </c>
      <c r="BE144" s="1" t="str">
        <f aca="false">IF(OR(NOT(AND(ISNUMBER(E144),ISNUMBER(F144))),$J$2=""),"",MIN(100,ROUND(SUM($G144:H144),1)))</f>
        <v/>
      </c>
      <c r="BF144" s="1" t="str">
        <f aca="false">IF(OR(NOT(AND(ISNUMBER(E144),ISNUMBER(F144))),$J$2=""),"",MIN(100,ROUND(SUM($G144:I144),1)))</f>
        <v/>
      </c>
      <c r="BG144" s="1" t="str">
        <f aca="false">IF(OR(NOT(AND(ISNUMBER(E144),ISNUMBER(F144))),$J$2=""),"",MIN(100,ROUND(SUM($G144:J144),1)))</f>
        <v/>
      </c>
      <c r="BH144" s="1" t="str">
        <f aca="false">IF(OR(NOT(AND(ISNUMBER(E144),ISNUMBER(F144))),$J$2=""),"",MIN(100,ROUND(SUM($G144:K144),1)))</f>
        <v/>
      </c>
      <c r="BI144" s="1" t="str">
        <f aca="false">IF(OR(NOT(AND(ISNUMBER(E144),ISNUMBER(F144))),$J$2=""),"",MIN(100,ROUND(SUM($G144:L144),1)))</f>
        <v/>
      </c>
      <c r="BJ144" s="1" t="str">
        <f aca="false">IF(OR(NOT(AND(ISNUMBER(E144),ISNUMBER(F144))),$J$2=""),"",MIN(100,ROUND(SUM($G144:M144),1)))</f>
        <v/>
      </c>
      <c r="BK144" s="1" t="str">
        <f aca="false">IF(OR(NOT(AND(ISNUMBER(E144),ISNUMBER(F144))),$J$2=""),"",MIN(100,ROUND(SUM($G144:N144),1)))</f>
        <v/>
      </c>
      <c r="BL144" s="1" t="str">
        <f aca="false">IF(OR(NOT(AND(ISNUMBER(E144),ISNUMBER(F144))),$J$2=""),"",MIN(100,ROUND(SUM($G144:O144),1)))</f>
        <v/>
      </c>
      <c r="BM144" s="1" t="str">
        <f aca="false">IF(OR(NOT(AND(ISNUMBER(E144),ISNUMBER(F144))),$J$2=""),"",MIN(100,ROUND(SUM($G144:P144),1)))</f>
        <v/>
      </c>
      <c r="BN144" s="1" t="str">
        <f aca="false">IF(OR(NOT(AND(ISNUMBER(E144),ISNUMBER(F144))),$J$2=""),"",MIN(100,ROUND(SUM($G144:P144),1)))</f>
        <v/>
      </c>
      <c r="BO144" s="1" t="str">
        <f aca="false">IF(OR(NOT(AND(ISNUMBER(E144),ISNUMBER(F144))),$J$2=""),"",MIN(100,ROUND(SUM($G144:P144),1)))</f>
        <v/>
      </c>
      <c r="BP144" s="1" t="str">
        <f aca="false">IF(OR(NOT(AND(ISNUMBER(E144),ISNUMBER(F144))),$J$2=""),"",MIN(100,ROUND(SUM($G144:P144),1)))</f>
        <v/>
      </c>
      <c r="BQ144" s="1" t="str">
        <f aca="false">IF(OR(NOT(AND(ISNUMBER(E144),ISNUMBER(F144))),$J$2=""),"",MIN(100,ROUND(SUM($G144:P144),1)))</f>
        <v/>
      </c>
      <c r="BR144" s="1" t="str">
        <f aca="false">IF(OR(NOT(AND(ISNUMBER(E144),ISNUMBER(F144))),$J$2=""),"",MIN(100,ROUND(SUM($G144:P144),1)))</f>
        <v/>
      </c>
      <c r="BS144" s="1" t="str">
        <f aca="false">IF(OR(NOT(AND(ISNUMBER(E144),ISNUMBER(F144))),$J$2=""),"",MIN(100,ROUND(SUM($G144:P144),1)))</f>
        <v/>
      </c>
      <c r="BT144" s="1" t="str">
        <f aca="false">IF(OR(NOT(AND(ISNUMBER(E144),ISNUMBER(F144))),$J$2=""),"",IF(Reprogramaciones!K$13&lt;Reprogramaciones!$T$15,0,IF(Reprogramaciones!K$14&gt;10,MIN(100,SUM($G144:$P144)),MIN(100,SUMPRODUCT((COLUMN($G144:$P144)-COLUMN($G144)+1&lt;Reprogramaciones!K$14)*$G144:$P144)+N(INDEX($G144:$P144,1,Reprogramaciones!K$14))*IF(Reprogramaciones!K$13&gt;=(Reprogramaciones!$T$15+7*(Reprogramaciones!K$14-1))+6,1,IF(MAX(0,NETWORKDAYS.INTL(MAX(E144,(Reprogramaciones!$T$15+7*(Reprogramaciones!K$14-1))),MIN(F144,(Reprogramaciones!$T$15+7*(Reprogramaciones!K$14-1))+6),11))=0,0,MAX(0,NETWORKDAYS.INTL(MAX(E144,(Reprogramaciones!$T$15+7*(Reprogramaciones!K$14-1))),MIN(F144,Reprogramaciones!K$13),11))/MAX(0,NETWORKDAYS.INTL(MAX(E144,(Reprogramaciones!$T$15+7*(Reprogramaciones!K$14-1))),MIN(F144,(Reprogramaciones!$T$15+7*(Reprogramaciones!K$14-1))+6),11))))))))</f>
        <v/>
      </c>
      <c r="BU144" s="1" t="str">
        <f aca="false">IF(OR(NOT(AND(ISNUMBER(E144),ISNUMBER(F144))),$J$2=""),"",IF(Reprogramaciones!L$13&lt;Reprogramaciones!$T$15,0,IF(Reprogramaciones!L$14&gt;10,MIN(100,SUM($G144:$P144)),MIN(100,SUMPRODUCT((COLUMN($G144:$P144)-COLUMN($G144)+1&lt;Reprogramaciones!L$14)*$G144:$P144)+N(INDEX($G144:$P144,1,Reprogramaciones!L$14))*IF(Reprogramaciones!L$13&gt;=(Reprogramaciones!$T$15+7*(Reprogramaciones!L$14-1))+6,1,IF(MAX(0,NETWORKDAYS.INTL(MAX(E144,(Reprogramaciones!$T$15+7*(Reprogramaciones!L$14-1))),MIN(F144,(Reprogramaciones!$T$15+7*(Reprogramaciones!L$14-1))+6),11))=0,0,MAX(0,NETWORKDAYS.INTL(MAX(E144,(Reprogramaciones!$T$15+7*(Reprogramaciones!L$14-1))),MIN(F144,Reprogramaciones!L$13),11))/MAX(0,NETWORKDAYS.INTL(MAX(E144,(Reprogramaciones!$T$15+7*(Reprogramaciones!L$14-1))),MIN(F144,(Reprogramaciones!$T$15+7*(Reprogramaciones!L$14-1))+6),11))))))))</f>
        <v/>
      </c>
      <c r="BV144" s="1" t="str">
        <f aca="false">IF(OR(NOT(AND(ISNUMBER(E144),ISNUMBER(F144))),$J$2=""),"",IF(Reprogramaciones!M$13&lt;Reprogramaciones!$T$15,0,IF(Reprogramaciones!M$14&gt;10,MIN(100,SUM($G144:$P144)),MIN(100,SUMPRODUCT((COLUMN($G144:$P144)-COLUMN($G144)+1&lt;Reprogramaciones!M$14)*$G144:$P144)+N(INDEX($G144:$P144,1,Reprogramaciones!M$14))*IF(Reprogramaciones!M$13&gt;=(Reprogramaciones!$T$15+7*(Reprogramaciones!M$14-1))+6,1,IF(MAX(0,NETWORKDAYS.INTL(MAX(E144,(Reprogramaciones!$T$15+7*(Reprogramaciones!M$14-1))),MIN(F144,(Reprogramaciones!$T$15+7*(Reprogramaciones!M$14-1))+6),11))=0,0,MAX(0,NETWORKDAYS.INTL(MAX(E144,(Reprogramaciones!$T$15+7*(Reprogramaciones!M$14-1))),MIN(F144,Reprogramaciones!M$13),11))/MAX(0,NETWORKDAYS.INTL(MAX(E144,(Reprogramaciones!$T$15+7*(Reprogramaciones!M$14-1))),MIN(F144,(Reprogramaciones!$T$15+7*(Reprogramaciones!M$14-1))+6),11))))))))</f>
        <v/>
      </c>
      <c r="BW144" s="1" t="str">
        <f aca="false">IF(OR(NOT(AND(ISNUMBER(E144),ISNUMBER(F144))),$J$2=""),"",IF(Reprogramaciones!N$13&lt;Reprogramaciones!$T$15,0,IF(Reprogramaciones!N$14&gt;10,MIN(100,SUM($G144:$P144)),MIN(100,SUMPRODUCT((COLUMN($G144:$P144)-COLUMN($G144)+1&lt;Reprogramaciones!N$14)*$G144:$P144)+N(INDEX($G144:$P144,1,Reprogramaciones!N$14))*IF(Reprogramaciones!N$13&gt;=(Reprogramaciones!$T$15+7*(Reprogramaciones!N$14-1))+6,1,IF(MAX(0,NETWORKDAYS.INTL(MAX(E144,(Reprogramaciones!$T$15+7*(Reprogramaciones!N$14-1))),MIN(F144,(Reprogramaciones!$T$15+7*(Reprogramaciones!N$14-1))+6),11))=0,0,MAX(0,NETWORKDAYS.INTL(MAX(E144,(Reprogramaciones!$T$15+7*(Reprogramaciones!N$14-1))),MIN(F144,Reprogramaciones!N$13),11))/MAX(0,NETWORKDAYS.INTL(MAX(E144,(Reprogramaciones!$T$15+7*(Reprogramaciones!N$14-1))),MIN(F144,(Reprogramaciones!$T$15+7*(Reprogramaciones!N$14-1))+6),11))))))))</f>
        <v/>
      </c>
      <c r="BX144" s="1" t="str">
        <f aca="false">IF(OR(NOT(AND(ISNUMBER(E144),ISNUMBER(F144))),$J$2=""),"",IF(Reprogramaciones!O$13&lt;Reprogramaciones!$T$15,0,IF(Reprogramaciones!O$14&gt;10,MIN(100,SUM($G144:$P144)),MIN(100,SUMPRODUCT((COLUMN($G144:$P144)-COLUMN($G144)+1&lt;Reprogramaciones!O$14)*$G144:$P144)+N(INDEX($G144:$P144,1,Reprogramaciones!O$14))*IF(Reprogramaciones!O$13&gt;=(Reprogramaciones!$T$15+7*(Reprogramaciones!O$14-1))+6,1,IF(MAX(0,NETWORKDAYS.INTL(MAX(E144,(Reprogramaciones!$T$15+7*(Reprogramaciones!O$14-1))),MIN(F144,(Reprogramaciones!$T$15+7*(Reprogramaciones!O$14-1))+6),11))=0,0,MAX(0,NETWORKDAYS.INTL(MAX(E144,(Reprogramaciones!$T$15+7*(Reprogramaciones!O$14-1))),MIN(F144,Reprogramaciones!O$13),11))/MAX(0,NETWORKDAYS.INTL(MAX(E144,(Reprogramaciones!$T$15+7*(Reprogramaciones!O$14-1))),MIN(F144,(Reprogramaciones!$T$15+7*(Reprogramaciones!O$14-1))+6),11))))))))</f>
        <v/>
      </c>
      <c r="BY144" s="1" t="str">
        <f aca="false">IF(OR(NOT(AND(ISNUMBER(E144),ISNUMBER(F144))),$J$2=""),"",IF(Reprogramaciones!P$13&lt;Reprogramaciones!$T$15,0,IF(Reprogramaciones!P$14&gt;10,MIN(100,SUM($G144:$P144)),MIN(100,SUMPRODUCT((COLUMN($G144:$P144)-COLUMN($G144)+1&lt;Reprogramaciones!P$14)*$G144:$P144)+N(INDEX($G144:$P144,1,Reprogramaciones!P$14))*IF(Reprogramaciones!P$13&gt;=(Reprogramaciones!$T$15+7*(Reprogramaciones!P$14-1))+6,1,IF(MAX(0,NETWORKDAYS.INTL(MAX(E144,(Reprogramaciones!$T$15+7*(Reprogramaciones!P$14-1))),MIN(F144,(Reprogramaciones!$T$15+7*(Reprogramaciones!P$14-1))+6),11))=0,0,MAX(0,NETWORKDAYS.INTL(MAX(E144,(Reprogramaciones!$T$15+7*(Reprogramaciones!P$14-1))),MIN(F144,Reprogramaciones!P$13),11))/MAX(0,NETWORKDAYS.INTL(MAX(E144,(Reprogramaciones!$T$15+7*(Reprogramaciones!P$14-1))),MIN(F144,(Reprogramaciones!$T$15+7*(Reprogramaciones!P$14-1))+6),11))))))))</f>
        <v/>
      </c>
      <c r="BZ144" s="1" t="str">
        <f aca="false">IF(OR(NOT(AND(ISNUMBER(E144),ISNUMBER(F144))),$J$2=""),"",IF(Reprogramaciones!Q$13&lt;Reprogramaciones!$T$15,0,IF(Reprogramaciones!Q$14&gt;10,MIN(100,SUM($G144:$P144)),MIN(100,SUMPRODUCT((COLUMN($G144:$P144)-COLUMN($G144)+1&lt;Reprogramaciones!Q$14)*$G144:$P144)+N(INDEX($G144:$P144,1,Reprogramaciones!Q$14))*IF(Reprogramaciones!Q$13&gt;=(Reprogramaciones!$T$15+7*(Reprogramaciones!Q$14-1))+6,1,IF(MAX(0,NETWORKDAYS.INTL(MAX(E144,(Reprogramaciones!$T$15+7*(Reprogramaciones!Q$14-1))),MIN(F144,(Reprogramaciones!$T$15+7*(Reprogramaciones!Q$14-1))+6),11))=0,0,MAX(0,NETWORKDAYS.INTL(MAX(E144,(Reprogramaciones!$T$15+7*(Reprogramaciones!Q$14-1))),MIN(F144,Reprogramaciones!Q$13),11))/MAX(0,NETWORKDAYS.INTL(MAX(E144,(Reprogramaciones!$T$15+7*(Reprogramaciones!Q$14-1))),MIN(F144,(Reprogramaciones!$T$15+7*(Reprogramaciones!Q$14-1))+6),11))))))))</f>
        <v/>
      </c>
      <c r="CA144" s="1" t="str">
        <f aca="false">IF(OR(NOT(AND(ISNUMBER(E144),ISNUMBER(F144))),$J$2=""),"",IF(Reprogramaciones!R$13&lt;Reprogramaciones!$T$15,0,IF(Reprogramaciones!R$14&gt;10,MIN(100,SUM($G144:$P144)),MIN(100,SUMPRODUCT((COLUMN($G144:$P144)-COLUMN($G144)+1&lt;Reprogramaciones!R$14)*$G144:$P144)+N(INDEX($G144:$P144,1,Reprogramaciones!R$14))*IF(Reprogramaciones!R$13&gt;=(Reprogramaciones!$T$15+7*(Reprogramaciones!R$14-1))+6,1,IF(MAX(0,NETWORKDAYS.INTL(MAX(E144,(Reprogramaciones!$T$15+7*(Reprogramaciones!R$14-1))),MIN(F144,(Reprogramaciones!$T$15+7*(Reprogramaciones!R$14-1))+6),11))=0,0,MAX(0,NETWORKDAYS.INTL(MAX(E144,(Reprogramaciones!$T$15+7*(Reprogramaciones!R$14-1))),MIN(F144,Reprogramaciones!R$13),11))/MAX(0,NETWORKDAYS.INTL(MAX(E144,(Reprogramaciones!$T$15+7*(Reprogramaciones!R$14-1))),MIN(F144,(Reprogramaciones!$T$15+7*(Reprogramaciones!R$14-1))+6),11))))))))</f>
        <v/>
      </c>
      <c r="CB144" s="1" t="str">
        <f aca="false">IF(OR(NOT(AND(ISNUMBER(E144),ISNUMBER(F144))),$J$2=""),"",IF(Reprogramaciones!S$13&lt;Reprogramaciones!$T$15,0,IF(Reprogramaciones!S$14&gt;10,MIN(100,SUM($G144:$P144)),MIN(100,SUMPRODUCT((COLUMN($G144:$P144)-COLUMN($G144)+1&lt;Reprogramaciones!S$14)*$G144:$P144)+N(INDEX($G144:$P144,1,Reprogramaciones!S$14))*IF(Reprogramaciones!S$13&gt;=(Reprogramaciones!$T$15+7*(Reprogramaciones!S$14-1))+6,1,IF(MAX(0,NETWORKDAYS.INTL(MAX(E144,(Reprogramaciones!$T$15+7*(Reprogramaciones!S$14-1))),MIN(F144,(Reprogramaciones!$T$15+7*(Reprogramaciones!S$14-1))+6),11))=0,0,MAX(0,NETWORKDAYS.INTL(MAX(E144,(Reprogramaciones!$T$15+7*(Reprogramaciones!S$14-1))),MIN(F144,Reprogramaciones!S$13),11))/MAX(0,NETWORKDAYS.INTL(MAX(E144,(Reprogramaciones!$T$15+7*(Reprogramaciones!S$14-1))),MIN(F144,(Reprogramaciones!$T$15+7*(Reprogramaciones!S$14-1))+6),11))))))))</f>
        <v/>
      </c>
      <c r="CC144" s="1" t="str">
        <f aca="false">IF(OR(NOT(AND(ISNUMBER(E144),ISNUMBER(F144))),$J$2=""),"",IF(Reprogramaciones!T$13&lt;Reprogramaciones!$T$15,0,IF(Reprogramaciones!T$14&gt;10,MIN(100,SUM($G144:$P144)),MIN(100,SUMPRODUCT((COLUMN($G144:$P144)-COLUMN($G144)+1&lt;Reprogramaciones!T$14)*$G144:$P144)+N(INDEX($G144:$P144,1,Reprogramaciones!T$14))*IF(Reprogramaciones!T$13&gt;=(Reprogramaciones!$T$15+7*(Reprogramaciones!T$14-1))+6,1,IF(MAX(0,NETWORKDAYS.INTL(MAX(E144,(Reprogramaciones!$T$15+7*(Reprogramaciones!T$14-1))),MIN(F144,(Reprogramaciones!$T$15+7*(Reprogramaciones!T$14-1))+6),11))=0,0,MAX(0,NETWORKDAYS.INTL(MAX(E144,(Reprogramaciones!$T$15+7*(Reprogramaciones!T$14-1))),MIN(F144,Reprogramaciones!T$13),11))/MAX(0,NETWORKDAYS.INTL(MAX(E144,(Reprogramaciones!$T$15+7*(Reprogramaciones!T$14-1))),MIN(F144,(Reprogramaciones!$T$15+7*(Reprogramaciones!T$14-1))+6),11))))))))</f>
        <v/>
      </c>
      <c r="CD144" s="1" t="str">
        <f aca="false">IF(OR(NOT(AND(ISNUMBER(E144),ISNUMBER(F144))),$J$2=""),"",IF(Reprogramaciones!U$13&lt;Reprogramaciones!$T$15,0,IF(Reprogramaciones!U$14&gt;10,MIN(100,SUM($G144:$P144)),MIN(100,SUMPRODUCT((COLUMN($G144:$P144)-COLUMN($G144)+1&lt;Reprogramaciones!U$14)*$G144:$P144)+N(INDEX($G144:$P144,1,Reprogramaciones!U$14))*IF(Reprogramaciones!U$13&gt;=(Reprogramaciones!$T$15+7*(Reprogramaciones!U$14-1))+6,1,IF(MAX(0,NETWORKDAYS.INTL(MAX(E144,(Reprogramaciones!$T$15+7*(Reprogramaciones!U$14-1))),MIN(F144,(Reprogramaciones!$T$15+7*(Reprogramaciones!U$14-1))+6),11))=0,0,MAX(0,NETWORKDAYS.INTL(MAX(E144,(Reprogramaciones!$T$15+7*(Reprogramaciones!U$14-1))),MIN(F144,Reprogramaciones!U$13),11))/MAX(0,NETWORKDAYS.INTL(MAX(E144,(Reprogramaciones!$T$15+7*(Reprogramaciones!U$14-1))),MIN(F144,(Reprogramaciones!$T$15+7*(Reprogramaciones!U$14-1))+6),11))))))))</f>
        <v/>
      </c>
      <c r="CE144" s="1" t="str">
        <f aca="false">IF(OR(NOT(AND(ISNUMBER(E144),ISNUMBER(F144))),$J$2=""),"",IF(Reprogramaciones!V$13&lt;Reprogramaciones!$T$15,0,IF(Reprogramaciones!V$14&gt;10,MIN(100,SUM($G144:$P144)),MIN(100,SUMPRODUCT((COLUMN($G144:$P144)-COLUMN($G144)+1&lt;Reprogramaciones!V$14)*$G144:$P144)+N(INDEX($G144:$P144,1,Reprogramaciones!V$14))*IF(Reprogramaciones!V$13&gt;=(Reprogramaciones!$T$15+7*(Reprogramaciones!V$14-1))+6,1,IF(MAX(0,NETWORKDAYS.INTL(MAX(E144,(Reprogramaciones!$T$15+7*(Reprogramaciones!V$14-1))),MIN(F144,(Reprogramaciones!$T$15+7*(Reprogramaciones!V$14-1))+6),11))=0,0,MAX(0,NETWORKDAYS.INTL(MAX(E144,(Reprogramaciones!$T$15+7*(Reprogramaciones!V$14-1))),MIN(F144,Reprogramaciones!V$13),11))/MAX(0,NETWORKDAYS.INTL(MAX(E144,(Reprogramaciones!$T$15+7*(Reprogramaciones!V$14-1))),MIN(F144,(Reprogramaciones!$T$15+7*(Reprogramaciones!V$14-1))+6),11))))))))</f>
        <v/>
      </c>
      <c r="CF144" s="1" t="str">
        <f aca="false">IF(OR(NOT(AND(ISNUMBER(E144),ISNUMBER(F144))),$J$2=""),"",IF(Reprogramaciones!W$13&lt;Reprogramaciones!$T$15,0,IF(Reprogramaciones!W$14&gt;10,MIN(100,SUM($G144:$P144)),MIN(100,SUMPRODUCT((COLUMN($G144:$P144)-COLUMN($G144)+1&lt;Reprogramaciones!W$14)*$G144:$P144)+N(INDEX($G144:$P144,1,Reprogramaciones!W$14))*IF(Reprogramaciones!W$13&gt;=(Reprogramaciones!$T$15+7*(Reprogramaciones!W$14-1))+6,1,IF(MAX(0,NETWORKDAYS.INTL(MAX(E144,(Reprogramaciones!$T$15+7*(Reprogramaciones!W$14-1))),MIN(F144,(Reprogramaciones!$T$15+7*(Reprogramaciones!W$14-1))+6),11))=0,0,MAX(0,NETWORKDAYS.INTL(MAX(E144,(Reprogramaciones!$T$15+7*(Reprogramaciones!W$14-1))),MIN(F144,Reprogramaciones!W$13),11))/MAX(0,NETWORKDAYS.INTL(MAX(E144,(Reprogramaciones!$T$15+7*(Reprogramaciones!W$14-1))),MIN(F144,(Reprogramaciones!$T$15+7*(Reprogramaciones!W$14-1))+6),11))))))))</f>
        <v/>
      </c>
      <c r="CG144" s="1" t="str">
        <f aca="false">IF(OR(NOT(AND(ISNUMBER(E144),ISNUMBER(F144))),$J$2=""),"",IF(Reprogramaciones!X$13&lt;Reprogramaciones!$T$15,0,IF(Reprogramaciones!X$14&gt;10,MIN(100,SUM($G144:$P144)),MIN(100,SUMPRODUCT((COLUMN($G144:$P144)-COLUMN($G144)+1&lt;Reprogramaciones!X$14)*$G144:$P144)+N(INDEX($G144:$P144,1,Reprogramaciones!X$14))*IF(Reprogramaciones!X$13&gt;=(Reprogramaciones!$T$15+7*(Reprogramaciones!X$14-1))+6,1,IF(MAX(0,NETWORKDAYS.INTL(MAX(E144,(Reprogramaciones!$T$15+7*(Reprogramaciones!X$14-1))),MIN(F144,(Reprogramaciones!$T$15+7*(Reprogramaciones!X$14-1))+6),11))=0,0,MAX(0,NETWORKDAYS.INTL(MAX(E144,(Reprogramaciones!$T$15+7*(Reprogramaciones!X$14-1))),MIN(F144,Reprogramaciones!X$13),11))/MAX(0,NETWORKDAYS.INTL(MAX(E144,(Reprogramaciones!$T$15+7*(Reprogramaciones!X$14-1))),MIN(F144,(Reprogramaciones!$T$15+7*(Reprogramaciones!X$14-1))+6),11))))))))</f>
        <v/>
      </c>
      <c r="CH144" s="1" t="str">
        <f aca="false">IF(OR(NOT(AND(ISNUMBER(E144),ISNUMBER(F144))),$J$2=""),"",IF(Reprogramaciones!Y$13&lt;Reprogramaciones!$T$15,0,IF(Reprogramaciones!Y$14&gt;10,MIN(100,SUM($G144:$P144)),MIN(100,SUMPRODUCT((COLUMN($G144:$P144)-COLUMN($G144)+1&lt;Reprogramaciones!Y$14)*$G144:$P144)+N(INDEX($G144:$P144,1,Reprogramaciones!Y$14))*IF(Reprogramaciones!Y$13&gt;=(Reprogramaciones!$T$15+7*(Reprogramaciones!Y$14-1))+6,1,IF(MAX(0,NETWORKDAYS.INTL(MAX(E144,(Reprogramaciones!$T$15+7*(Reprogramaciones!Y$14-1))),MIN(F144,(Reprogramaciones!$T$15+7*(Reprogramaciones!Y$14-1))+6),11))=0,0,MAX(0,NETWORKDAYS.INTL(MAX(E144,(Reprogramaciones!$T$15+7*(Reprogramaciones!Y$14-1))),MIN(F144,Reprogramaciones!Y$13),11))/MAX(0,NETWORKDAYS.INTL(MAX(E144,(Reprogramaciones!$T$15+7*(Reprogramaciones!Y$14-1))),MIN(F144,(Reprogramaciones!$T$15+7*(Reprogramaciones!Y$14-1))+6),11))))))))</f>
        <v/>
      </c>
      <c r="CI144" s="1" t="str">
        <f aca="false">IF(OR(NOT(AND(ISNUMBER(E144),ISNUMBER(F144))),$J$2=""),"",IF(Reprogramaciones!Z$13&lt;Reprogramaciones!$T$15,0,IF(Reprogramaciones!Z$14&gt;10,MIN(100,SUM($G144:$P144)),MIN(100,SUMPRODUCT((COLUMN($G144:$P144)-COLUMN($G144)+1&lt;Reprogramaciones!Z$14)*$G144:$P144)+N(INDEX($G144:$P144,1,Reprogramaciones!Z$14))*IF(Reprogramaciones!Z$13&gt;=(Reprogramaciones!$T$15+7*(Reprogramaciones!Z$14-1))+6,1,IF(MAX(0,NETWORKDAYS.INTL(MAX(E144,(Reprogramaciones!$T$15+7*(Reprogramaciones!Z$14-1))),MIN(F144,(Reprogramaciones!$T$15+7*(Reprogramaciones!Z$14-1))+6),11))=0,0,MAX(0,NETWORKDAYS.INTL(MAX(E144,(Reprogramaciones!$T$15+7*(Reprogramaciones!Z$14-1))),MIN(F144,Reprogramaciones!Z$13),11))/MAX(0,NETWORKDAYS.INTL(MAX(E144,(Reprogramaciones!$T$15+7*(Reprogramaciones!Z$14-1))),MIN(F144,(Reprogramaciones!$T$15+7*(Reprogramaciones!Z$14-1))+6),11))))))))</f>
        <v/>
      </c>
      <c r="CJ144" s="1" t="str">
        <f aca="false">IF(OR(OR(NOT(AND(ISNUMBER(E144),ISNUMBER(F144))),$J$2=""),1&gt;Reprogramaciones!$K$16),"",IF(ROUND(SUM($Q144:Q144),1)&gt;=99.5,100,MIN(100,ROUND(SUM($Q144:Q144),1))))</f>
        <v/>
      </c>
      <c r="CK144" s="1" t="str">
        <f aca="false">IF(OR(OR(NOT(AND(ISNUMBER(E144),ISNUMBER(F144))),$J$2=""),2&gt;Reprogramaciones!$K$16),"",IF(ROUND(SUM($Q144:R144),1)&gt;=99.5,100,MIN(100,ROUND(SUM($Q144:R144),1))))</f>
        <v/>
      </c>
      <c r="CL144" s="1" t="str">
        <f aca="false">IF(OR(OR(NOT(AND(ISNUMBER(E144),ISNUMBER(F144))),$J$2=""),3&gt;Reprogramaciones!$K$16),"",IF(ROUND(SUM($Q144:S144),1)&gt;=99.5,100,MIN(100,ROUND(SUM($Q144:S144),1))))</f>
        <v/>
      </c>
      <c r="CM144" s="1" t="str">
        <f aca="false">IF(OR(OR(NOT(AND(ISNUMBER(E144),ISNUMBER(F144))),$J$2=""),4&gt;Reprogramaciones!$K$16),"",IF(ROUND(SUM($Q144:T144),1)&gt;=99.5,100,MIN(100,ROUND(SUM($Q144:T144),1))))</f>
        <v/>
      </c>
      <c r="CN144" s="1" t="str">
        <f aca="false">IF(OR(OR(NOT(AND(ISNUMBER(E144),ISNUMBER(F144))),$J$2=""),5&gt;Reprogramaciones!$K$16),"",IF(ROUND(SUM($Q144:U144),1)&gt;=99.5,100,MIN(100,ROUND(SUM($Q144:U144),1))))</f>
        <v/>
      </c>
      <c r="CO144" s="1" t="str">
        <f aca="false">IF(OR(OR(NOT(AND(ISNUMBER(E144),ISNUMBER(F144))),$J$2=""),6&gt;Reprogramaciones!$K$16),"",IF(ROUND(SUM($Q144:V144),1)&gt;=99.5,100,MIN(100,ROUND(SUM($Q144:V144),1))))</f>
        <v/>
      </c>
      <c r="CP144" s="1" t="str">
        <f aca="false">IF(OR(OR(NOT(AND(ISNUMBER(E144),ISNUMBER(F144))),$J$2=""),7&gt;Reprogramaciones!$K$16),"",IF(ROUND(SUM($Q144:W144),1)&gt;=99.5,100,MIN(100,ROUND(SUM($Q144:W144),1))))</f>
        <v/>
      </c>
      <c r="CQ144" s="1" t="str">
        <f aca="false">IF(OR(OR(NOT(AND(ISNUMBER(E144),ISNUMBER(F144))),$J$2=""),8&gt;Reprogramaciones!$K$16),"",IF(ROUND(SUM($Q144:X144),1)&gt;=99.5,100,MIN(100,ROUND(SUM($Q144:X144),1))))</f>
        <v/>
      </c>
      <c r="CR144" s="1" t="str">
        <f aca="false">IF(OR(OR(NOT(AND(ISNUMBER(E144),ISNUMBER(F144))),$J$2=""),9&gt;Reprogramaciones!$K$16),"",IF(ROUND(SUM($Q144:Y144),1)&gt;=99.5,100,MIN(100,ROUND(SUM($Q144:Y144),1))))</f>
        <v/>
      </c>
      <c r="CS144" s="1" t="str">
        <f aca="false">IF(OR(OR(NOT(AND(ISNUMBER(E144),ISNUMBER(F144))),$J$2=""),10&gt;Reprogramaciones!$K$16),"",IF(ROUND(SUM($Q144:Z144),1)&gt;=99.5,100,MIN(100,ROUND(SUM($Q144:Z144),1))))</f>
        <v/>
      </c>
      <c r="CT144" s="1" t="str">
        <f aca="false">IF(OR(OR(NOT(AND(ISNUMBER(E144),ISNUMBER(F144))),$J$2=""),11&gt;Reprogramaciones!$K$16),"",IF(ROUND(SUM($Q144:AA144),1)&gt;=99.5,100,MIN(100,ROUND(SUM($Q144:AA144),1))))</f>
        <v/>
      </c>
      <c r="CU144" s="1" t="str">
        <f aca="false">IF(OR(OR(NOT(AND(ISNUMBER(E144),ISNUMBER(F144))),$J$2=""),12&gt;Reprogramaciones!$K$16),"",IF(ROUND(SUM($Q144:AB144),1)&gt;=99.5,100,MIN(100,ROUND(SUM($Q144:AB144),1))))</f>
        <v/>
      </c>
      <c r="CV144" s="1" t="str">
        <f aca="false">IF(OR(OR(NOT(AND(ISNUMBER(E144),ISNUMBER(F144))),$J$2=""),13&gt;Reprogramaciones!$K$16),"",IF(ROUND(SUM($Q144:AC144),1)&gt;=99.5,100,MIN(100,ROUND(SUM($Q144:AC144),1))))</f>
        <v/>
      </c>
      <c r="CW144" s="1" t="str">
        <f aca="false">IF(OR(OR(NOT(AND(ISNUMBER(E144),ISNUMBER(F144))),$J$2=""),14&gt;Reprogramaciones!$K$16),"",IF(ROUND(SUM($Q144:AD144),1)&gt;=99.5,100,MIN(100,ROUND(SUM($Q144:AD144),1))))</f>
        <v/>
      </c>
      <c r="CX144" s="1" t="str">
        <f aca="false">IF(OR(OR(NOT(AND(ISNUMBER(E144),ISNUMBER(F144))),$J$2=""),15&gt;Reprogramaciones!$K$16),"",IF(ROUND(SUM($Q144:AE144),1)&gt;=99.5,100,MIN(100,ROUND(SUM($Q144:AE144),1))))</f>
        <v/>
      </c>
      <c r="CY144" s="1" t="str">
        <f aca="false">IF(OR(OR(NOT(AND(ISNUMBER(E144),ISNUMBER(F144))),$J$2=""),16&gt;Reprogramaciones!$K$16),"",IF(ROUND(SUM($Q144:AF144),1)&gt;=99.5,100,MIN(100,ROUND(SUM($Q144:AF144),1))))</f>
        <v/>
      </c>
      <c r="CZ144" s="1" t="str">
        <f aca="false">IF(D144&lt;&gt;"",D144,IF(B144&lt;&gt;"","Contractual",CZ143))</f>
        <v>Contractual</v>
      </c>
      <c r="DA144" s="1" t="str">
        <f aca="false">IF(OR(NOT(AND(ISNUMBER(E144),ISNUMBER(F144))),$J$2=""),"",IF(Reprogramaciones!$Q$15&lt;Reprogramaciones!$T$15,0,IF(Reprogramaciones!$S$15&gt;10,MIN(100,SUM($G144:$P144)),MIN(100,SUMPRODUCT((COLUMN($G144:$P144)-COLUMN($G144)+1&lt;Reprogramaciones!$S$15)*$G144:$P144)+N(INDEX($G144:$P144,1,Reprogramaciones!$S$15))*IF(Reprogramaciones!$Q$15&gt;=(Reprogramaciones!$T$15+7*(Reprogramaciones!$S$15-1))+6,1,IF(MAX(0,NETWORKDAYS.INTL(MAX(E144,(Reprogramaciones!$T$15+7*(Reprogramaciones!$S$15-1))),MIN(F144,(Reprogramaciones!$T$15+7*(Reprogramaciones!$S$15-1))+6),11))=0,0,MAX(0,NETWORKDAYS.INTL(MAX(E144,(Reprogramaciones!$T$15+7*(Reprogramaciones!$S$15-1))),MIN(F144,Reprogramaciones!$Q$15),11))/MAX(0,NETWORKDAYS.INTL(MAX(E144,(Reprogramaciones!$T$15+7*(Reprogramaciones!$S$15-1))),MIN(F144,(Reprogramaciones!$T$15+7*(Reprogramaciones!$S$15-1))+6),11))))))))</f>
        <v/>
      </c>
    </row>
    <row r="145" customFormat="false" ht="15" hidden="false" customHeight="false" outlineLevel="0" collapsed="false">
      <c r="A145" s="32"/>
      <c r="B145" s="33"/>
      <c r="C145" s="33"/>
      <c r="D145" s="34"/>
      <c r="E145" s="35"/>
      <c r="F145" s="35"/>
      <c r="G145" s="36" t="str">
        <f aca="false">IF(OR(NOT(AND(ISNUMBER(E145),ISNUMBER(F145))),$J$2=""),"",IF(Reprogramaciones!K$9&lt;E145,0,IF(NETWORKDAYS.INTL(E145,F145,11)=0,IF(Reprogramaciones!K$9&gt;=F145,100,0),ROUND(NETWORKDAYS.INTL(E145,MIN(F145,Reprogramaciones!K$9),11)/NETWORKDAYS.INTL(E145,F145,11)*100,1)))-0)</f>
        <v/>
      </c>
      <c r="H145" s="36" t="str">
        <f aca="false">IF(OR(NOT(AND(ISNUMBER(E145),ISNUMBER(F145))),$J$2=""),"",IF(Reprogramaciones!L$9&lt;E145,0,IF(NETWORKDAYS.INTL(E145,F145,11)=0,IF(Reprogramaciones!L$9&gt;=F145,100,0),ROUND(NETWORKDAYS.INTL(E145,MIN(F145,Reprogramaciones!L$9),11)/NETWORKDAYS.INTL(E145,F145,11)*100,1)))-IF(Reprogramaciones!K$9&lt;E145,0,IF(NETWORKDAYS.INTL(E145,F145,11)=0,IF(Reprogramaciones!K$9&gt;=F145,100,0),ROUND(NETWORKDAYS.INTL(E145,MIN(F145,Reprogramaciones!K$9),11)/NETWORKDAYS.INTL(E145,F145,11)*100,1))))</f>
        <v/>
      </c>
      <c r="I145" s="36" t="str">
        <f aca="false">IF(OR(NOT(AND(ISNUMBER(E145),ISNUMBER(F145))),$J$2=""),"",IF(Reprogramaciones!M$9&lt;E145,0,IF(NETWORKDAYS.INTL(E145,F145,11)=0,IF(Reprogramaciones!M$9&gt;=F145,100,0),ROUND(NETWORKDAYS.INTL(E145,MIN(F145,Reprogramaciones!M$9),11)/NETWORKDAYS.INTL(E145,F145,11)*100,1)))-IF(Reprogramaciones!L$9&lt;E145,0,IF(NETWORKDAYS.INTL(E145,F145,11)=0,IF(Reprogramaciones!L$9&gt;=F145,100,0),ROUND(NETWORKDAYS.INTL(E145,MIN(F145,Reprogramaciones!L$9),11)/NETWORKDAYS.INTL(E145,F145,11)*100,1))))</f>
        <v/>
      </c>
      <c r="J145" s="36" t="str">
        <f aca="false">IF(OR(NOT(AND(ISNUMBER(E145),ISNUMBER(F145))),$J$2=""),"",IF(Reprogramaciones!N$9&lt;E145,0,IF(NETWORKDAYS.INTL(E145,F145,11)=0,IF(Reprogramaciones!N$9&gt;=F145,100,0),ROUND(NETWORKDAYS.INTL(E145,MIN(F145,Reprogramaciones!N$9),11)/NETWORKDAYS.INTL(E145,F145,11)*100,1)))-IF(Reprogramaciones!M$9&lt;E145,0,IF(NETWORKDAYS.INTL(E145,F145,11)=0,IF(Reprogramaciones!M$9&gt;=F145,100,0),ROUND(NETWORKDAYS.INTL(E145,MIN(F145,Reprogramaciones!M$9),11)/NETWORKDAYS.INTL(E145,F145,11)*100,1))))</f>
        <v/>
      </c>
      <c r="K145" s="36" t="str">
        <f aca="false">IF(OR(NOT(AND(ISNUMBER(E145),ISNUMBER(F145))),$J$2=""),"",IF(Reprogramaciones!O$9&lt;E145,0,IF(NETWORKDAYS.INTL(E145,F145,11)=0,IF(Reprogramaciones!O$9&gt;=F145,100,0),ROUND(NETWORKDAYS.INTL(E145,MIN(F145,Reprogramaciones!O$9),11)/NETWORKDAYS.INTL(E145,F145,11)*100,1)))-IF(Reprogramaciones!N$9&lt;E145,0,IF(NETWORKDAYS.INTL(E145,F145,11)=0,IF(Reprogramaciones!N$9&gt;=F145,100,0),ROUND(NETWORKDAYS.INTL(E145,MIN(F145,Reprogramaciones!N$9),11)/NETWORKDAYS.INTL(E145,F145,11)*100,1))))</f>
        <v/>
      </c>
      <c r="L145" s="36" t="str">
        <f aca="false">IF(OR(NOT(AND(ISNUMBER(E145),ISNUMBER(F145))),$J$2=""),"",IF(Reprogramaciones!P$9&lt;E145,0,IF(NETWORKDAYS.INTL(E145,F145,11)=0,IF(Reprogramaciones!P$9&gt;=F145,100,0),ROUND(NETWORKDAYS.INTL(E145,MIN(F145,Reprogramaciones!P$9),11)/NETWORKDAYS.INTL(E145,F145,11)*100,1)))-IF(Reprogramaciones!O$9&lt;E145,0,IF(NETWORKDAYS.INTL(E145,F145,11)=0,IF(Reprogramaciones!O$9&gt;=F145,100,0),ROUND(NETWORKDAYS.INTL(E145,MIN(F145,Reprogramaciones!O$9),11)/NETWORKDAYS.INTL(E145,F145,11)*100,1))))</f>
        <v/>
      </c>
      <c r="M145" s="36" t="str">
        <f aca="false">IF(OR(NOT(AND(ISNUMBER(E145),ISNUMBER(F145))),$J$2=""),"",IF(Reprogramaciones!Q$9&lt;E145,0,IF(NETWORKDAYS.INTL(E145,F145,11)=0,IF(Reprogramaciones!Q$9&gt;=F145,100,0),ROUND(NETWORKDAYS.INTL(E145,MIN(F145,Reprogramaciones!Q$9),11)/NETWORKDAYS.INTL(E145,F145,11)*100,1)))-IF(Reprogramaciones!P$9&lt;E145,0,IF(NETWORKDAYS.INTL(E145,F145,11)=0,IF(Reprogramaciones!P$9&gt;=F145,100,0),ROUND(NETWORKDAYS.INTL(E145,MIN(F145,Reprogramaciones!P$9),11)/NETWORKDAYS.INTL(E145,F145,11)*100,1))))</f>
        <v/>
      </c>
      <c r="N145" s="36" t="str">
        <f aca="false">IF(OR(NOT(AND(ISNUMBER(E145),ISNUMBER(F145))),$J$2=""),"",IF(Reprogramaciones!R$9&lt;E145,0,IF(NETWORKDAYS.INTL(E145,F145,11)=0,IF(Reprogramaciones!R$9&gt;=F145,100,0),ROUND(NETWORKDAYS.INTL(E145,MIN(F145,Reprogramaciones!R$9),11)/NETWORKDAYS.INTL(E145,F145,11)*100,1)))-IF(Reprogramaciones!Q$9&lt;E145,0,IF(NETWORKDAYS.INTL(E145,F145,11)=0,IF(Reprogramaciones!Q$9&gt;=F145,100,0),ROUND(NETWORKDAYS.INTL(E145,MIN(F145,Reprogramaciones!Q$9),11)/NETWORKDAYS.INTL(E145,F145,11)*100,1))))</f>
        <v/>
      </c>
      <c r="O145" s="36" t="str">
        <f aca="false">IF(OR(NOT(AND(ISNUMBER(E145),ISNUMBER(F145))),$J$2=""),"",IF(Reprogramaciones!S$9&lt;E145,0,IF(NETWORKDAYS.INTL(E145,F145,11)=0,IF(Reprogramaciones!S$9&gt;=F145,100,0),ROUND(NETWORKDAYS.INTL(E145,MIN(F145,Reprogramaciones!S$9),11)/NETWORKDAYS.INTL(E145,F145,11)*100,1)))-IF(Reprogramaciones!R$9&lt;E145,0,IF(NETWORKDAYS.INTL(E145,F145,11)=0,IF(Reprogramaciones!R$9&gt;=F145,100,0),ROUND(NETWORKDAYS.INTL(E145,MIN(F145,Reprogramaciones!R$9),11)/NETWORKDAYS.INTL(E145,F145,11)*100,1))))</f>
        <v/>
      </c>
      <c r="P145" s="36" t="str">
        <f aca="false">IF(OR(NOT(AND(ISNUMBER(E145),ISNUMBER(F145))),$J$2=""),"",IF(Reprogramaciones!T$9&lt;E145,0,IF(NETWORKDAYS.INTL(E145,F145,11)=0,IF(Reprogramaciones!T$9&gt;=F145,100,0),ROUND(NETWORKDAYS.INTL(E145,MIN(F145,Reprogramaciones!T$9),11)/NETWORKDAYS.INTL(E145,F145,11)*100,1)))-IF(Reprogramaciones!S$9&lt;E145,0,IF(NETWORKDAYS.INTL(E145,F145,11)=0,IF(Reprogramaciones!S$9&gt;=F145,100,0),ROUND(NETWORKDAYS.INTL(E145,MIN(F145,Reprogramaciones!S$9),11)/NETWORKDAYS.INTL(E145,F145,11)*100,1))))</f>
        <v/>
      </c>
      <c r="Q145" s="37"/>
      <c r="R145" s="37"/>
      <c r="S145" s="37"/>
      <c r="T145" s="37"/>
      <c r="U145" s="37"/>
      <c r="V145" s="37"/>
      <c r="W145" s="37"/>
      <c r="X145" s="37"/>
      <c r="Y145" s="37"/>
      <c r="Z145" s="37"/>
      <c r="AA145" s="37"/>
      <c r="AB145" s="37"/>
      <c r="AC145" s="37"/>
      <c r="AD145" s="37"/>
      <c r="AE145" s="37"/>
      <c r="AF145" s="37"/>
      <c r="AG145" s="38" t="str">
        <f aca="false">IF(AND(ISNUMBER(E145),ISNUMBER(F145)),NETWORKDAYS.INTL(E145,F145,11),"")</f>
        <v/>
      </c>
      <c r="AH145" s="38" t="str">
        <f aca="false">IF(OR(NOT(AND(ISNUMBER(E145),ISNUMBER(F145))),$J$2=""),"",IF(Reprogramaciones!$P$15&lt;Reprogramaciones!$T$15,0,IF(Reprogramaciones!$R$15&gt;10,MIN(100,SUM($G145:$P145)),MIN(100,SUMPRODUCT((COLUMN($G145:$P145)-COLUMN($G145)+1&lt;Reprogramaciones!$R$15)*$G145:$P145)+N(INDEX($G145:$P145,1,Reprogramaciones!$R$15))*IF(Reprogramaciones!$P$15&gt;=(Reprogramaciones!$T$15+7*(Reprogramaciones!$R$15-1))+6,1,IF(MAX(0,NETWORKDAYS.INTL(MAX(E145,(Reprogramaciones!$T$15+7*(Reprogramaciones!$R$15-1))),MIN(F145,(Reprogramaciones!$T$15+7*(Reprogramaciones!$R$15-1))+6),11))=0,0,MAX(0,NETWORKDAYS.INTL(MAX(E145,(Reprogramaciones!$T$15+7*(Reprogramaciones!$R$15-1))),MIN(F145,Reprogramaciones!$P$15),11))/MAX(0,NETWORKDAYS.INTL(MAX(E145,(Reprogramaciones!$T$15+7*(Reprogramaciones!$R$15-1))),MIN(F145,(Reprogramaciones!$T$15+7*(Reprogramaciones!$R$15-1))+6),11))))))))</f>
        <v/>
      </c>
      <c r="AI145" s="38" t="str">
        <f aca="false">IF(COUNT($Q145:$AF145)=0,"",IF(ROUND(SUM($Q145:$AF145),1)&gt;=99.5,100,MIN(100,ROUND(SUM($Q145:$AF145),1))))</f>
        <v/>
      </c>
      <c r="AJ145" s="38" t="str">
        <f aca="false">IF(OR(AH145="",AI145=""),"",AI145-AH145)</f>
        <v/>
      </c>
      <c r="AK145" s="39" t="str">
        <f aca="true">IF(AH145="","",IF(OR(Ficha!$C$10="Suspendida",Ficha!$C$10="Cancelada"),Ficha!$C$10,IF(AND(AI145&lt;&gt;"",N(AI145)&gt;=100),"Completada",IF(AND(E145&gt;TODAY(),N(AI145)=0),"Por iniciar",IF(N(AI145)+0.5&lt;AH145,"Retrasada",IF(N(AI145)+0.5&lt;DA145,IF(Reprogramaciones!$K$15&gt;0,"Al día · Sem "&amp;Reprogramaciones!$K$15&amp;" en curso","Al día · en curso"),"A tiempo"))))))</f>
        <v/>
      </c>
      <c r="AL145" s="39" t="str">
        <f aca="true">IF(AND(A145="",AND(B145="",C145="",E145="",F145="",COUNT(Q145:AF145)=0)),"",IF(AND(B145="",C145="",E145="",F145="",COUNT(Q145:AF145)=0),"Falta la partida o subpartida",IF(AND(A145&lt;&gt;"",COUNTIF($A$6:$A$305,A145)&gt;1),"Ítem repetido",IF(AND(C145="",E145="",F145="",COUNT(Q145:AF145)=0),"Título de partida",IF(OR(E145="",F145=""),"Faltan fechas",IF(OR(ISTEXT(E145),ISTEXT(F145)),"Fecha escrita como texto: usa dd/mm/aaaa",IF(F145&lt;E145,"Fin antes del inicio",IF(IF($J$2="",FALSE(),OR(E145&lt;$J$2,F145&gt;Reprogramaciones!$T$15+69)),"Fuera de las 10 semanas",IF(ABS(SUM(G145:P145)-100)&gt;0.5,"La meta no suma 100%",IF(ROUND(SUM(Q145:AF145),1)&gt;100.5,"El avance pasa de 100%",IF(MIN(Q145:AF145)&lt;0,"Avance negativo",IF(COUNTA(Q145:AF145)&gt;COUNT(Q145:AF145),"Avance escrito como texto",IF(SUMPRODUCT((Q145:AF145&gt;0)*(Q145:AF145&lt;1))&gt;0,"Avance menor a 1: escribe 50, no 50%",IF(SUMPRODUCT(ISNUMBER(Q145:AF145)*(Reprogramaciones!$K$8:$Z$8&gt;TODAY()))&gt;0,"Avance en semana que aún no llega",IF(AND(N(Reprogramaciones!$E$21)&gt;0,F145&gt;Reprogramaciones!$E$21),"Pasa el fin de la obra: registra una reprogramación",IF(AND(N(Reprogramaciones!$E$21)&gt;0,SUMPRODUCT(ISNUMBER(Q145:AF145)*(Reprogramaciones!$K$8:$Z$8&gt;Reprogramaciones!$E$21))&gt;0),"Avance después del fin de la obra: registra una reprogramación por atraso","OK"))))))))))))))))</f>
        <v/>
      </c>
      <c r="AM145" s="40" t="str">
        <f aca="false">IF(OR(OR(NOT(AND(ISNUMBER(E145),ISNUMBER(F145))),$J$2=""),1&gt;MAX(1,Reprogramaciones!$U$15)),"",IF(Reprogramaciones!K$12&gt;=7,"",IF(OR(BT145-N(0)&gt;0.05,N(Q145)&gt;0),ROUNDDOWN(ROUND(BT145,6),0)&amp;"%"&amp;IF(CJ145="",""," / "&amp;CJ145&amp;"%"),IF(AND(N(0)&gt;=99.95,CJ145&lt;&gt;"",N(CJ145)&lt;100),"Pend. "&amp;CJ145&amp;"%",""))))</f>
        <v/>
      </c>
      <c r="AN145" s="40" t="str">
        <f aca="false">IF(OR(OR(NOT(AND(ISNUMBER(E145),ISNUMBER(F145))),$J$2=""),2&gt;MAX(1,Reprogramaciones!$U$15)),"",IF(Reprogramaciones!L$12&gt;=7,"",IF(OR(BU145-N(BT145)&gt;0.05,N(R145)&gt;0),ROUNDDOWN(ROUND(BU145,6),0)&amp;"%"&amp;IF(CK145="",""," / "&amp;CK145&amp;"%"),IF(AND(N(BT145)&gt;=99.95,CK145&lt;&gt;"",N(CK145)&lt;100),"Pend. "&amp;CK145&amp;"%",""))))</f>
        <v/>
      </c>
      <c r="AO145" s="40" t="str">
        <f aca="false">IF(OR(OR(NOT(AND(ISNUMBER(E145),ISNUMBER(F145))),$J$2=""),3&gt;MAX(1,Reprogramaciones!$U$15)),"",IF(Reprogramaciones!M$12&gt;=7,"",IF(OR(BV145-N(BU145)&gt;0.05,N(S145)&gt;0),ROUNDDOWN(ROUND(BV145,6),0)&amp;"%"&amp;IF(CL145="",""," / "&amp;CL145&amp;"%"),IF(AND(N(BU145)&gt;=99.95,CL145&lt;&gt;"",N(CL145)&lt;100),"Pend. "&amp;CL145&amp;"%",""))))</f>
        <v/>
      </c>
      <c r="AP145" s="40" t="str">
        <f aca="false">IF(OR(OR(NOT(AND(ISNUMBER(E145),ISNUMBER(F145))),$J$2=""),4&gt;MAX(1,Reprogramaciones!$U$15)),"",IF(Reprogramaciones!N$12&gt;=7,"",IF(OR(BW145-N(BV145)&gt;0.05,N(T145)&gt;0),ROUNDDOWN(ROUND(BW145,6),0)&amp;"%"&amp;IF(CM145="",""," / "&amp;CM145&amp;"%"),IF(AND(N(BV145)&gt;=99.95,CM145&lt;&gt;"",N(CM145)&lt;100),"Pend. "&amp;CM145&amp;"%",""))))</f>
        <v/>
      </c>
      <c r="AQ145" s="40" t="str">
        <f aca="false">IF(OR(OR(NOT(AND(ISNUMBER(E145),ISNUMBER(F145))),$J$2=""),5&gt;MAX(1,Reprogramaciones!$U$15)),"",IF(Reprogramaciones!O$12&gt;=7,"",IF(OR(BX145-N(BW145)&gt;0.05,N(U145)&gt;0),ROUNDDOWN(ROUND(BX145,6),0)&amp;"%"&amp;IF(CN145="",""," / "&amp;CN145&amp;"%"),IF(AND(N(BW145)&gt;=99.95,CN145&lt;&gt;"",N(CN145)&lt;100),"Pend. "&amp;CN145&amp;"%",""))))</f>
        <v/>
      </c>
      <c r="AR145" s="40" t="str">
        <f aca="false">IF(OR(OR(NOT(AND(ISNUMBER(E145),ISNUMBER(F145))),$J$2=""),6&gt;MAX(1,Reprogramaciones!$U$15)),"",IF(Reprogramaciones!P$12&gt;=7,"",IF(OR(BY145-N(BX145)&gt;0.05,N(V145)&gt;0),ROUNDDOWN(ROUND(BY145,6),0)&amp;"%"&amp;IF(CO145="",""," / "&amp;CO145&amp;"%"),IF(AND(N(BX145)&gt;=99.95,CO145&lt;&gt;"",N(CO145)&lt;100),"Pend. "&amp;CO145&amp;"%",""))))</f>
        <v/>
      </c>
      <c r="AS145" s="40" t="str">
        <f aca="false">IF(OR(OR(NOT(AND(ISNUMBER(E145),ISNUMBER(F145))),$J$2=""),7&gt;MAX(1,Reprogramaciones!$U$15)),"",IF(Reprogramaciones!Q$12&gt;=7,"",IF(OR(BZ145-N(BY145)&gt;0.05,N(W145)&gt;0),ROUNDDOWN(ROUND(BZ145,6),0)&amp;"%"&amp;IF(CP145="",""," / "&amp;CP145&amp;"%"),IF(AND(N(BY145)&gt;=99.95,CP145&lt;&gt;"",N(CP145)&lt;100),"Pend. "&amp;CP145&amp;"%",""))))</f>
        <v/>
      </c>
      <c r="AT145" s="40" t="str">
        <f aca="false">IF(OR(OR(NOT(AND(ISNUMBER(E145),ISNUMBER(F145))),$J$2=""),8&gt;MAX(1,Reprogramaciones!$U$15)),"",IF(Reprogramaciones!R$12&gt;=7,"",IF(OR(CA145-N(BZ145)&gt;0.05,N(X145)&gt;0),ROUNDDOWN(ROUND(CA145,6),0)&amp;"%"&amp;IF(CQ145="",""," / "&amp;CQ145&amp;"%"),IF(AND(N(BZ145)&gt;=99.95,CQ145&lt;&gt;"",N(CQ145)&lt;100),"Pend. "&amp;CQ145&amp;"%",""))))</f>
        <v/>
      </c>
      <c r="AU145" s="40" t="str">
        <f aca="false">IF(OR(OR(NOT(AND(ISNUMBER(E145),ISNUMBER(F145))),$J$2=""),9&gt;MAX(1,Reprogramaciones!$U$15)),"",IF(Reprogramaciones!S$12&gt;=7,"",IF(OR(CB145-N(CA145)&gt;0.05,N(Y145)&gt;0),ROUNDDOWN(ROUND(CB145,6),0)&amp;"%"&amp;IF(CR145="",""," / "&amp;CR145&amp;"%"),IF(AND(N(CA145)&gt;=99.95,CR145&lt;&gt;"",N(CR145)&lt;100),"Pend. "&amp;CR145&amp;"%",""))))</f>
        <v/>
      </c>
      <c r="AV145" s="40" t="str">
        <f aca="false">IF(OR(OR(NOT(AND(ISNUMBER(E145),ISNUMBER(F145))),$J$2=""),10&gt;MAX(1,Reprogramaciones!$U$15)),"",IF(Reprogramaciones!T$12&gt;=7,"",IF(OR(CC145-N(CB145)&gt;0.05,N(Z145)&gt;0),ROUNDDOWN(ROUND(CC145,6),0)&amp;"%"&amp;IF(CS145="",""," / "&amp;CS145&amp;"%"),IF(AND(N(CB145)&gt;=99.95,CS145&lt;&gt;"",N(CS145)&lt;100),"Pend. "&amp;CS145&amp;"%",""))))</f>
        <v/>
      </c>
      <c r="AW145" s="40" t="str">
        <f aca="false">IF(OR(OR(NOT(AND(ISNUMBER(E145),ISNUMBER(F145))),$J$2=""),11&gt;MAX(1,Reprogramaciones!$U$15)),"",IF(Reprogramaciones!U$12&gt;=7,"",IF(OR(CD145-N(CC145)&gt;0.05,N(AA145)&gt;0),ROUNDDOWN(ROUND(CD145,6),0)&amp;"%"&amp;IF(CT145="",""," / "&amp;CT145&amp;"%"),IF(AND(N(CC145)&gt;=99.95,CT145&lt;&gt;"",N(CT145)&lt;100),"Pend. "&amp;CT145&amp;"%",""))))</f>
        <v/>
      </c>
      <c r="AX145" s="40" t="str">
        <f aca="false">IF(OR(OR(NOT(AND(ISNUMBER(E145),ISNUMBER(F145))),$J$2=""),12&gt;MAX(1,Reprogramaciones!$U$15)),"",IF(Reprogramaciones!V$12&gt;=7,"",IF(OR(CE145-N(CD145)&gt;0.05,N(AB145)&gt;0),ROUNDDOWN(ROUND(CE145,6),0)&amp;"%"&amp;IF(CU145="",""," / "&amp;CU145&amp;"%"),IF(AND(N(CD145)&gt;=99.95,CU145&lt;&gt;"",N(CU145)&lt;100),"Pend. "&amp;CU145&amp;"%",""))))</f>
        <v/>
      </c>
      <c r="AY145" s="40" t="str">
        <f aca="false">IF(OR(OR(NOT(AND(ISNUMBER(E145),ISNUMBER(F145))),$J$2=""),13&gt;MAX(1,Reprogramaciones!$U$15)),"",IF(Reprogramaciones!W$12&gt;=7,"",IF(OR(CF145-N(CE145)&gt;0.05,N(AC145)&gt;0),ROUNDDOWN(ROUND(CF145,6),0)&amp;"%"&amp;IF(CV145="",""," / "&amp;CV145&amp;"%"),IF(AND(N(CE145)&gt;=99.95,CV145&lt;&gt;"",N(CV145)&lt;100),"Pend. "&amp;CV145&amp;"%",""))))</f>
        <v/>
      </c>
      <c r="AZ145" s="40" t="str">
        <f aca="false">IF(OR(OR(NOT(AND(ISNUMBER(E145),ISNUMBER(F145))),$J$2=""),14&gt;MAX(1,Reprogramaciones!$U$15)),"",IF(Reprogramaciones!X$12&gt;=7,"",IF(OR(CG145-N(CF145)&gt;0.05,N(AD145)&gt;0),ROUNDDOWN(ROUND(CG145,6),0)&amp;"%"&amp;IF(CW145="",""," / "&amp;CW145&amp;"%"),IF(AND(N(CF145)&gt;=99.95,CW145&lt;&gt;"",N(CW145)&lt;100),"Pend. "&amp;CW145&amp;"%",""))))</f>
        <v/>
      </c>
      <c r="BA145" s="40" t="str">
        <f aca="false">IF(OR(OR(NOT(AND(ISNUMBER(E145),ISNUMBER(F145))),$J$2=""),15&gt;MAX(1,Reprogramaciones!$U$15)),"",IF(Reprogramaciones!Y$12&gt;=7,"",IF(OR(CH145-N(CG145)&gt;0.05,N(AE145)&gt;0),ROUNDDOWN(ROUND(CH145,6),0)&amp;"%"&amp;IF(CX145="",""," / "&amp;CX145&amp;"%"),IF(AND(N(CG145)&gt;=99.95,CX145&lt;&gt;"",N(CX145)&lt;100),"Pend. "&amp;CX145&amp;"%",""))))</f>
        <v/>
      </c>
      <c r="BB145" s="40" t="str">
        <f aca="false">IF(OR(OR(NOT(AND(ISNUMBER(E145),ISNUMBER(F145))),$J$2=""),16&gt;MAX(1,Reprogramaciones!$U$15)),"",IF(Reprogramaciones!Z$12&gt;=7,"",IF(OR(CI145-N(CH145)&gt;0.05,N(AF145)&gt;0),ROUNDDOWN(ROUND(CI145,6),0)&amp;"%"&amp;IF(CY145="",""," / "&amp;CY145&amp;"%"),IF(AND(N(CH145)&gt;=99.95,CY145&lt;&gt;"",N(CY145)&lt;100),"Pend. "&amp;CY145&amp;"%",""))))</f>
        <v/>
      </c>
      <c r="BC145" s="31" t="n">
        <f aca="false">IF(AND(ISNUMBER(E145),ISNUMBER(F145)),MAX(1,NETWORKDAYS.INTL(E145,F145,11)),0)</f>
        <v>0</v>
      </c>
      <c r="BD145" s="1" t="str">
        <f aca="false">IF(OR(NOT(AND(ISNUMBER(E145),ISNUMBER(F145))),$J$2=""),"",MIN(100,ROUND(SUM($G145:G145),1)))</f>
        <v/>
      </c>
      <c r="BE145" s="1" t="str">
        <f aca="false">IF(OR(NOT(AND(ISNUMBER(E145),ISNUMBER(F145))),$J$2=""),"",MIN(100,ROUND(SUM($G145:H145),1)))</f>
        <v/>
      </c>
      <c r="BF145" s="1" t="str">
        <f aca="false">IF(OR(NOT(AND(ISNUMBER(E145),ISNUMBER(F145))),$J$2=""),"",MIN(100,ROUND(SUM($G145:I145),1)))</f>
        <v/>
      </c>
      <c r="BG145" s="1" t="str">
        <f aca="false">IF(OR(NOT(AND(ISNUMBER(E145),ISNUMBER(F145))),$J$2=""),"",MIN(100,ROUND(SUM($G145:J145),1)))</f>
        <v/>
      </c>
      <c r="BH145" s="1" t="str">
        <f aca="false">IF(OR(NOT(AND(ISNUMBER(E145),ISNUMBER(F145))),$J$2=""),"",MIN(100,ROUND(SUM($G145:K145),1)))</f>
        <v/>
      </c>
      <c r="BI145" s="1" t="str">
        <f aca="false">IF(OR(NOT(AND(ISNUMBER(E145),ISNUMBER(F145))),$J$2=""),"",MIN(100,ROUND(SUM($G145:L145),1)))</f>
        <v/>
      </c>
      <c r="BJ145" s="1" t="str">
        <f aca="false">IF(OR(NOT(AND(ISNUMBER(E145),ISNUMBER(F145))),$J$2=""),"",MIN(100,ROUND(SUM($G145:M145),1)))</f>
        <v/>
      </c>
      <c r="BK145" s="1" t="str">
        <f aca="false">IF(OR(NOT(AND(ISNUMBER(E145),ISNUMBER(F145))),$J$2=""),"",MIN(100,ROUND(SUM($G145:N145),1)))</f>
        <v/>
      </c>
      <c r="BL145" s="1" t="str">
        <f aca="false">IF(OR(NOT(AND(ISNUMBER(E145),ISNUMBER(F145))),$J$2=""),"",MIN(100,ROUND(SUM($G145:O145),1)))</f>
        <v/>
      </c>
      <c r="BM145" s="1" t="str">
        <f aca="false">IF(OR(NOT(AND(ISNUMBER(E145),ISNUMBER(F145))),$J$2=""),"",MIN(100,ROUND(SUM($G145:P145),1)))</f>
        <v/>
      </c>
      <c r="BN145" s="1" t="str">
        <f aca="false">IF(OR(NOT(AND(ISNUMBER(E145),ISNUMBER(F145))),$J$2=""),"",MIN(100,ROUND(SUM($G145:P145),1)))</f>
        <v/>
      </c>
      <c r="BO145" s="1" t="str">
        <f aca="false">IF(OR(NOT(AND(ISNUMBER(E145),ISNUMBER(F145))),$J$2=""),"",MIN(100,ROUND(SUM($G145:P145),1)))</f>
        <v/>
      </c>
      <c r="BP145" s="1" t="str">
        <f aca="false">IF(OR(NOT(AND(ISNUMBER(E145),ISNUMBER(F145))),$J$2=""),"",MIN(100,ROUND(SUM($G145:P145),1)))</f>
        <v/>
      </c>
      <c r="BQ145" s="1" t="str">
        <f aca="false">IF(OR(NOT(AND(ISNUMBER(E145),ISNUMBER(F145))),$J$2=""),"",MIN(100,ROUND(SUM($G145:P145),1)))</f>
        <v/>
      </c>
      <c r="BR145" s="1" t="str">
        <f aca="false">IF(OR(NOT(AND(ISNUMBER(E145),ISNUMBER(F145))),$J$2=""),"",MIN(100,ROUND(SUM($G145:P145),1)))</f>
        <v/>
      </c>
      <c r="BS145" s="1" t="str">
        <f aca="false">IF(OR(NOT(AND(ISNUMBER(E145),ISNUMBER(F145))),$J$2=""),"",MIN(100,ROUND(SUM($G145:P145),1)))</f>
        <v/>
      </c>
      <c r="BT145" s="1" t="str">
        <f aca="false">IF(OR(NOT(AND(ISNUMBER(E145),ISNUMBER(F145))),$J$2=""),"",IF(Reprogramaciones!K$13&lt;Reprogramaciones!$T$15,0,IF(Reprogramaciones!K$14&gt;10,MIN(100,SUM($G145:$P145)),MIN(100,SUMPRODUCT((COLUMN($G145:$P145)-COLUMN($G145)+1&lt;Reprogramaciones!K$14)*$G145:$P145)+N(INDEX($G145:$P145,1,Reprogramaciones!K$14))*IF(Reprogramaciones!K$13&gt;=(Reprogramaciones!$T$15+7*(Reprogramaciones!K$14-1))+6,1,IF(MAX(0,NETWORKDAYS.INTL(MAX(E145,(Reprogramaciones!$T$15+7*(Reprogramaciones!K$14-1))),MIN(F145,(Reprogramaciones!$T$15+7*(Reprogramaciones!K$14-1))+6),11))=0,0,MAX(0,NETWORKDAYS.INTL(MAX(E145,(Reprogramaciones!$T$15+7*(Reprogramaciones!K$14-1))),MIN(F145,Reprogramaciones!K$13),11))/MAX(0,NETWORKDAYS.INTL(MAX(E145,(Reprogramaciones!$T$15+7*(Reprogramaciones!K$14-1))),MIN(F145,(Reprogramaciones!$T$15+7*(Reprogramaciones!K$14-1))+6),11))))))))</f>
        <v/>
      </c>
      <c r="BU145" s="1" t="str">
        <f aca="false">IF(OR(NOT(AND(ISNUMBER(E145),ISNUMBER(F145))),$J$2=""),"",IF(Reprogramaciones!L$13&lt;Reprogramaciones!$T$15,0,IF(Reprogramaciones!L$14&gt;10,MIN(100,SUM($G145:$P145)),MIN(100,SUMPRODUCT((COLUMN($G145:$P145)-COLUMN($G145)+1&lt;Reprogramaciones!L$14)*$G145:$P145)+N(INDEX($G145:$P145,1,Reprogramaciones!L$14))*IF(Reprogramaciones!L$13&gt;=(Reprogramaciones!$T$15+7*(Reprogramaciones!L$14-1))+6,1,IF(MAX(0,NETWORKDAYS.INTL(MAX(E145,(Reprogramaciones!$T$15+7*(Reprogramaciones!L$14-1))),MIN(F145,(Reprogramaciones!$T$15+7*(Reprogramaciones!L$14-1))+6),11))=0,0,MAX(0,NETWORKDAYS.INTL(MAX(E145,(Reprogramaciones!$T$15+7*(Reprogramaciones!L$14-1))),MIN(F145,Reprogramaciones!L$13),11))/MAX(0,NETWORKDAYS.INTL(MAX(E145,(Reprogramaciones!$T$15+7*(Reprogramaciones!L$14-1))),MIN(F145,(Reprogramaciones!$T$15+7*(Reprogramaciones!L$14-1))+6),11))))))))</f>
        <v/>
      </c>
      <c r="BV145" s="1" t="str">
        <f aca="false">IF(OR(NOT(AND(ISNUMBER(E145),ISNUMBER(F145))),$J$2=""),"",IF(Reprogramaciones!M$13&lt;Reprogramaciones!$T$15,0,IF(Reprogramaciones!M$14&gt;10,MIN(100,SUM($G145:$P145)),MIN(100,SUMPRODUCT((COLUMN($G145:$P145)-COLUMN($G145)+1&lt;Reprogramaciones!M$14)*$G145:$P145)+N(INDEX($G145:$P145,1,Reprogramaciones!M$14))*IF(Reprogramaciones!M$13&gt;=(Reprogramaciones!$T$15+7*(Reprogramaciones!M$14-1))+6,1,IF(MAX(0,NETWORKDAYS.INTL(MAX(E145,(Reprogramaciones!$T$15+7*(Reprogramaciones!M$14-1))),MIN(F145,(Reprogramaciones!$T$15+7*(Reprogramaciones!M$14-1))+6),11))=0,0,MAX(0,NETWORKDAYS.INTL(MAX(E145,(Reprogramaciones!$T$15+7*(Reprogramaciones!M$14-1))),MIN(F145,Reprogramaciones!M$13),11))/MAX(0,NETWORKDAYS.INTL(MAX(E145,(Reprogramaciones!$T$15+7*(Reprogramaciones!M$14-1))),MIN(F145,(Reprogramaciones!$T$15+7*(Reprogramaciones!M$14-1))+6),11))))))))</f>
        <v/>
      </c>
      <c r="BW145" s="1" t="str">
        <f aca="false">IF(OR(NOT(AND(ISNUMBER(E145),ISNUMBER(F145))),$J$2=""),"",IF(Reprogramaciones!N$13&lt;Reprogramaciones!$T$15,0,IF(Reprogramaciones!N$14&gt;10,MIN(100,SUM($G145:$P145)),MIN(100,SUMPRODUCT((COLUMN($G145:$P145)-COLUMN($G145)+1&lt;Reprogramaciones!N$14)*$G145:$P145)+N(INDEX($G145:$P145,1,Reprogramaciones!N$14))*IF(Reprogramaciones!N$13&gt;=(Reprogramaciones!$T$15+7*(Reprogramaciones!N$14-1))+6,1,IF(MAX(0,NETWORKDAYS.INTL(MAX(E145,(Reprogramaciones!$T$15+7*(Reprogramaciones!N$14-1))),MIN(F145,(Reprogramaciones!$T$15+7*(Reprogramaciones!N$14-1))+6),11))=0,0,MAX(0,NETWORKDAYS.INTL(MAX(E145,(Reprogramaciones!$T$15+7*(Reprogramaciones!N$14-1))),MIN(F145,Reprogramaciones!N$13),11))/MAX(0,NETWORKDAYS.INTL(MAX(E145,(Reprogramaciones!$T$15+7*(Reprogramaciones!N$14-1))),MIN(F145,(Reprogramaciones!$T$15+7*(Reprogramaciones!N$14-1))+6),11))))))))</f>
        <v/>
      </c>
      <c r="BX145" s="1" t="str">
        <f aca="false">IF(OR(NOT(AND(ISNUMBER(E145),ISNUMBER(F145))),$J$2=""),"",IF(Reprogramaciones!O$13&lt;Reprogramaciones!$T$15,0,IF(Reprogramaciones!O$14&gt;10,MIN(100,SUM($G145:$P145)),MIN(100,SUMPRODUCT((COLUMN($G145:$P145)-COLUMN($G145)+1&lt;Reprogramaciones!O$14)*$G145:$P145)+N(INDEX($G145:$P145,1,Reprogramaciones!O$14))*IF(Reprogramaciones!O$13&gt;=(Reprogramaciones!$T$15+7*(Reprogramaciones!O$14-1))+6,1,IF(MAX(0,NETWORKDAYS.INTL(MAX(E145,(Reprogramaciones!$T$15+7*(Reprogramaciones!O$14-1))),MIN(F145,(Reprogramaciones!$T$15+7*(Reprogramaciones!O$14-1))+6),11))=0,0,MAX(0,NETWORKDAYS.INTL(MAX(E145,(Reprogramaciones!$T$15+7*(Reprogramaciones!O$14-1))),MIN(F145,Reprogramaciones!O$13),11))/MAX(0,NETWORKDAYS.INTL(MAX(E145,(Reprogramaciones!$T$15+7*(Reprogramaciones!O$14-1))),MIN(F145,(Reprogramaciones!$T$15+7*(Reprogramaciones!O$14-1))+6),11))))))))</f>
        <v/>
      </c>
      <c r="BY145" s="1" t="str">
        <f aca="false">IF(OR(NOT(AND(ISNUMBER(E145),ISNUMBER(F145))),$J$2=""),"",IF(Reprogramaciones!P$13&lt;Reprogramaciones!$T$15,0,IF(Reprogramaciones!P$14&gt;10,MIN(100,SUM($G145:$P145)),MIN(100,SUMPRODUCT((COLUMN($G145:$P145)-COLUMN($G145)+1&lt;Reprogramaciones!P$14)*$G145:$P145)+N(INDEX($G145:$P145,1,Reprogramaciones!P$14))*IF(Reprogramaciones!P$13&gt;=(Reprogramaciones!$T$15+7*(Reprogramaciones!P$14-1))+6,1,IF(MAX(0,NETWORKDAYS.INTL(MAX(E145,(Reprogramaciones!$T$15+7*(Reprogramaciones!P$14-1))),MIN(F145,(Reprogramaciones!$T$15+7*(Reprogramaciones!P$14-1))+6),11))=0,0,MAX(0,NETWORKDAYS.INTL(MAX(E145,(Reprogramaciones!$T$15+7*(Reprogramaciones!P$14-1))),MIN(F145,Reprogramaciones!P$13),11))/MAX(0,NETWORKDAYS.INTL(MAX(E145,(Reprogramaciones!$T$15+7*(Reprogramaciones!P$14-1))),MIN(F145,(Reprogramaciones!$T$15+7*(Reprogramaciones!P$14-1))+6),11))))))))</f>
        <v/>
      </c>
      <c r="BZ145" s="1" t="str">
        <f aca="false">IF(OR(NOT(AND(ISNUMBER(E145),ISNUMBER(F145))),$J$2=""),"",IF(Reprogramaciones!Q$13&lt;Reprogramaciones!$T$15,0,IF(Reprogramaciones!Q$14&gt;10,MIN(100,SUM($G145:$P145)),MIN(100,SUMPRODUCT((COLUMN($G145:$P145)-COLUMN($G145)+1&lt;Reprogramaciones!Q$14)*$G145:$P145)+N(INDEX($G145:$P145,1,Reprogramaciones!Q$14))*IF(Reprogramaciones!Q$13&gt;=(Reprogramaciones!$T$15+7*(Reprogramaciones!Q$14-1))+6,1,IF(MAX(0,NETWORKDAYS.INTL(MAX(E145,(Reprogramaciones!$T$15+7*(Reprogramaciones!Q$14-1))),MIN(F145,(Reprogramaciones!$T$15+7*(Reprogramaciones!Q$14-1))+6),11))=0,0,MAX(0,NETWORKDAYS.INTL(MAX(E145,(Reprogramaciones!$T$15+7*(Reprogramaciones!Q$14-1))),MIN(F145,Reprogramaciones!Q$13),11))/MAX(0,NETWORKDAYS.INTL(MAX(E145,(Reprogramaciones!$T$15+7*(Reprogramaciones!Q$14-1))),MIN(F145,(Reprogramaciones!$T$15+7*(Reprogramaciones!Q$14-1))+6),11))))))))</f>
        <v/>
      </c>
      <c r="CA145" s="1" t="str">
        <f aca="false">IF(OR(NOT(AND(ISNUMBER(E145),ISNUMBER(F145))),$J$2=""),"",IF(Reprogramaciones!R$13&lt;Reprogramaciones!$T$15,0,IF(Reprogramaciones!R$14&gt;10,MIN(100,SUM($G145:$P145)),MIN(100,SUMPRODUCT((COLUMN($G145:$P145)-COLUMN($G145)+1&lt;Reprogramaciones!R$14)*$G145:$P145)+N(INDEX($G145:$P145,1,Reprogramaciones!R$14))*IF(Reprogramaciones!R$13&gt;=(Reprogramaciones!$T$15+7*(Reprogramaciones!R$14-1))+6,1,IF(MAX(0,NETWORKDAYS.INTL(MAX(E145,(Reprogramaciones!$T$15+7*(Reprogramaciones!R$14-1))),MIN(F145,(Reprogramaciones!$T$15+7*(Reprogramaciones!R$14-1))+6),11))=0,0,MAX(0,NETWORKDAYS.INTL(MAX(E145,(Reprogramaciones!$T$15+7*(Reprogramaciones!R$14-1))),MIN(F145,Reprogramaciones!R$13),11))/MAX(0,NETWORKDAYS.INTL(MAX(E145,(Reprogramaciones!$T$15+7*(Reprogramaciones!R$14-1))),MIN(F145,(Reprogramaciones!$T$15+7*(Reprogramaciones!R$14-1))+6),11))))))))</f>
        <v/>
      </c>
      <c r="CB145" s="1" t="str">
        <f aca="false">IF(OR(NOT(AND(ISNUMBER(E145),ISNUMBER(F145))),$J$2=""),"",IF(Reprogramaciones!S$13&lt;Reprogramaciones!$T$15,0,IF(Reprogramaciones!S$14&gt;10,MIN(100,SUM($G145:$P145)),MIN(100,SUMPRODUCT((COLUMN($G145:$P145)-COLUMN($G145)+1&lt;Reprogramaciones!S$14)*$G145:$P145)+N(INDEX($G145:$P145,1,Reprogramaciones!S$14))*IF(Reprogramaciones!S$13&gt;=(Reprogramaciones!$T$15+7*(Reprogramaciones!S$14-1))+6,1,IF(MAX(0,NETWORKDAYS.INTL(MAX(E145,(Reprogramaciones!$T$15+7*(Reprogramaciones!S$14-1))),MIN(F145,(Reprogramaciones!$T$15+7*(Reprogramaciones!S$14-1))+6),11))=0,0,MAX(0,NETWORKDAYS.INTL(MAX(E145,(Reprogramaciones!$T$15+7*(Reprogramaciones!S$14-1))),MIN(F145,Reprogramaciones!S$13),11))/MAX(0,NETWORKDAYS.INTL(MAX(E145,(Reprogramaciones!$T$15+7*(Reprogramaciones!S$14-1))),MIN(F145,(Reprogramaciones!$T$15+7*(Reprogramaciones!S$14-1))+6),11))))))))</f>
        <v/>
      </c>
      <c r="CC145" s="1" t="str">
        <f aca="false">IF(OR(NOT(AND(ISNUMBER(E145),ISNUMBER(F145))),$J$2=""),"",IF(Reprogramaciones!T$13&lt;Reprogramaciones!$T$15,0,IF(Reprogramaciones!T$14&gt;10,MIN(100,SUM($G145:$P145)),MIN(100,SUMPRODUCT((COLUMN($G145:$P145)-COLUMN($G145)+1&lt;Reprogramaciones!T$14)*$G145:$P145)+N(INDEX($G145:$P145,1,Reprogramaciones!T$14))*IF(Reprogramaciones!T$13&gt;=(Reprogramaciones!$T$15+7*(Reprogramaciones!T$14-1))+6,1,IF(MAX(0,NETWORKDAYS.INTL(MAX(E145,(Reprogramaciones!$T$15+7*(Reprogramaciones!T$14-1))),MIN(F145,(Reprogramaciones!$T$15+7*(Reprogramaciones!T$14-1))+6),11))=0,0,MAX(0,NETWORKDAYS.INTL(MAX(E145,(Reprogramaciones!$T$15+7*(Reprogramaciones!T$14-1))),MIN(F145,Reprogramaciones!T$13),11))/MAX(0,NETWORKDAYS.INTL(MAX(E145,(Reprogramaciones!$T$15+7*(Reprogramaciones!T$14-1))),MIN(F145,(Reprogramaciones!$T$15+7*(Reprogramaciones!T$14-1))+6),11))))))))</f>
        <v/>
      </c>
      <c r="CD145" s="1" t="str">
        <f aca="false">IF(OR(NOT(AND(ISNUMBER(E145),ISNUMBER(F145))),$J$2=""),"",IF(Reprogramaciones!U$13&lt;Reprogramaciones!$T$15,0,IF(Reprogramaciones!U$14&gt;10,MIN(100,SUM($G145:$P145)),MIN(100,SUMPRODUCT((COLUMN($G145:$P145)-COLUMN($G145)+1&lt;Reprogramaciones!U$14)*$G145:$P145)+N(INDEX($G145:$P145,1,Reprogramaciones!U$14))*IF(Reprogramaciones!U$13&gt;=(Reprogramaciones!$T$15+7*(Reprogramaciones!U$14-1))+6,1,IF(MAX(0,NETWORKDAYS.INTL(MAX(E145,(Reprogramaciones!$T$15+7*(Reprogramaciones!U$14-1))),MIN(F145,(Reprogramaciones!$T$15+7*(Reprogramaciones!U$14-1))+6),11))=0,0,MAX(0,NETWORKDAYS.INTL(MAX(E145,(Reprogramaciones!$T$15+7*(Reprogramaciones!U$14-1))),MIN(F145,Reprogramaciones!U$13),11))/MAX(0,NETWORKDAYS.INTL(MAX(E145,(Reprogramaciones!$T$15+7*(Reprogramaciones!U$14-1))),MIN(F145,(Reprogramaciones!$T$15+7*(Reprogramaciones!U$14-1))+6),11))))))))</f>
        <v/>
      </c>
      <c r="CE145" s="1" t="str">
        <f aca="false">IF(OR(NOT(AND(ISNUMBER(E145),ISNUMBER(F145))),$J$2=""),"",IF(Reprogramaciones!V$13&lt;Reprogramaciones!$T$15,0,IF(Reprogramaciones!V$14&gt;10,MIN(100,SUM($G145:$P145)),MIN(100,SUMPRODUCT((COLUMN($G145:$P145)-COLUMN($G145)+1&lt;Reprogramaciones!V$14)*$G145:$P145)+N(INDEX($G145:$P145,1,Reprogramaciones!V$14))*IF(Reprogramaciones!V$13&gt;=(Reprogramaciones!$T$15+7*(Reprogramaciones!V$14-1))+6,1,IF(MAX(0,NETWORKDAYS.INTL(MAX(E145,(Reprogramaciones!$T$15+7*(Reprogramaciones!V$14-1))),MIN(F145,(Reprogramaciones!$T$15+7*(Reprogramaciones!V$14-1))+6),11))=0,0,MAX(0,NETWORKDAYS.INTL(MAX(E145,(Reprogramaciones!$T$15+7*(Reprogramaciones!V$14-1))),MIN(F145,Reprogramaciones!V$13),11))/MAX(0,NETWORKDAYS.INTL(MAX(E145,(Reprogramaciones!$T$15+7*(Reprogramaciones!V$14-1))),MIN(F145,(Reprogramaciones!$T$15+7*(Reprogramaciones!V$14-1))+6),11))))))))</f>
        <v/>
      </c>
      <c r="CF145" s="1" t="str">
        <f aca="false">IF(OR(NOT(AND(ISNUMBER(E145),ISNUMBER(F145))),$J$2=""),"",IF(Reprogramaciones!W$13&lt;Reprogramaciones!$T$15,0,IF(Reprogramaciones!W$14&gt;10,MIN(100,SUM($G145:$P145)),MIN(100,SUMPRODUCT((COLUMN($G145:$P145)-COLUMN($G145)+1&lt;Reprogramaciones!W$14)*$G145:$P145)+N(INDEX($G145:$P145,1,Reprogramaciones!W$14))*IF(Reprogramaciones!W$13&gt;=(Reprogramaciones!$T$15+7*(Reprogramaciones!W$14-1))+6,1,IF(MAX(0,NETWORKDAYS.INTL(MAX(E145,(Reprogramaciones!$T$15+7*(Reprogramaciones!W$14-1))),MIN(F145,(Reprogramaciones!$T$15+7*(Reprogramaciones!W$14-1))+6),11))=0,0,MAX(0,NETWORKDAYS.INTL(MAX(E145,(Reprogramaciones!$T$15+7*(Reprogramaciones!W$14-1))),MIN(F145,Reprogramaciones!W$13),11))/MAX(0,NETWORKDAYS.INTL(MAX(E145,(Reprogramaciones!$T$15+7*(Reprogramaciones!W$14-1))),MIN(F145,(Reprogramaciones!$T$15+7*(Reprogramaciones!W$14-1))+6),11))))))))</f>
        <v/>
      </c>
      <c r="CG145" s="1" t="str">
        <f aca="false">IF(OR(NOT(AND(ISNUMBER(E145),ISNUMBER(F145))),$J$2=""),"",IF(Reprogramaciones!X$13&lt;Reprogramaciones!$T$15,0,IF(Reprogramaciones!X$14&gt;10,MIN(100,SUM($G145:$P145)),MIN(100,SUMPRODUCT((COLUMN($G145:$P145)-COLUMN($G145)+1&lt;Reprogramaciones!X$14)*$G145:$P145)+N(INDEX($G145:$P145,1,Reprogramaciones!X$14))*IF(Reprogramaciones!X$13&gt;=(Reprogramaciones!$T$15+7*(Reprogramaciones!X$14-1))+6,1,IF(MAX(0,NETWORKDAYS.INTL(MAX(E145,(Reprogramaciones!$T$15+7*(Reprogramaciones!X$14-1))),MIN(F145,(Reprogramaciones!$T$15+7*(Reprogramaciones!X$14-1))+6),11))=0,0,MAX(0,NETWORKDAYS.INTL(MAX(E145,(Reprogramaciones!$T$15+7*(Reprogramaciones!X$14-1))),MIN(F145,Reprogramaciones!X$13),11))/MAX(0,NETWORKDAYS.INTL(MAX(E145,(Reprogramaciones!$T$15+7*(Reprogramaciones!X$14-1))),MIN(F145,(Reprogramaciones!$T$15+7*(Reprogramaciones!X$14-1))+6),11))))))))</f>
        <v/>
      </c>
      <c r="CH145" s="1" t="str">
        <f aca="false">IF(OR(NOT(AND(ISNUMBER(E145),ISNUMBER(F145))),$J$2=""),"",IF(Reprogramaciones!Y$13&lt;Reprogramaciones!$T$15,0,IF(Reprogramaciones!Y$14&gt;10,MIN(100,SUM($G145:$P145)),MIN(100,SUMPRODUCT((COLUMN($G145:$P145)-COLUMN($G145)+1&lt;Reprogramaciones!Y$14)*$G145:$P145)+N(INDEX($G145:$P145,1,Reprogramaciones!Y$14))*IF(Reprogramaciones!Y$13&gt;=(Reprogramaciones!$T$15+7*(Reprogramaciones!Y$14-1))+6,1,IF(MAX(0,NETWORKDAYS.INTL(MAX(E145,(Reprogramaciones!$T$15+7*(Reprogramaciones!Y$14-1))),MIN(F145,(Reprogramaciones!$T$15+7*(Reprogramaciones!Y$14-1))+6),11))=0,0,MAX(0,NETWORKDAYS.INTL(MAX(E145,(Reprogramaciones!$T$15+7*(Reprogramaciones!Y$14-1))),MIN(F145,Reprogramaciones!Y$13),11))/MAX(0,NETWORKDAYS.INTL(MAX(E145,(Reprogramaciones!$T$15+7*(Reprogramaciones!Y$14-1))),MIN(F145,(Reprogramaciones!$T$15+7*(Reprogramaciones!Y$14-1))+6),11))))))))</f>
        <v/>
      </c>
      <c r="CI145" s="1" t="str">
        <f aca="false">IF(OR(NOT(AND(ISNUMBER(E145),ISNUMBER(F145))),$J$2=""),"",IF(Reprogramaciones!Z$13&lt;Reprogramaciones!$T$15,0,IF(Reprogramaciones!Z$14&gt;10,MIN(100,SUM($G145:$P145)),MIN(100,SUMPRODUCT((COLUMN($G145:$P145)-COLUMN($G145)+1&lt;Reprogramaciones!Z$14)*$G145:$P145)+N(INDEX($G145:$P145,1,Reprogramaciones!Z$14))*IF(Reprogramaciones!Z$13&gt;=(Reprogramaciones!$T$15+7*(Reprogramaciones!Z$14-1))+6,1,IF(MAX(0,NETWORKDAYS.INTL(MAX(E145,(Reprogramaciones!$T$15+7*(Reprogramaciones!Z$14-1))),MIN(F145,(Reprogramaciones!$T$15+7*(Reprogramaciones!Z$14-1))+6),11))=0,0,MAX(0,NETWORKDAYS.INTL(MAX(E145,(Reprogramaciones!$T$15+7*(Reprogramaciones!Z$14-1))),MIN(F145,Reprogramaciones!Z$13),11))/MAX(0,NETWORKDAYS.INTL(MAX(E145,(Reprogramaciones!$T$15+7*(Reprogramaciones!Z$14-1))),MIN(F145,(Reprogramaciones!$T$15+7*(Reprogramaciones!Z$14-1))+6),11))))))))</f>
        <v/>
      </c>
      <c r="CJ145" s="1" t="str">
        <f aca="false">IF(OR(OR(NOT(AND(ISNUMBER(E145),ISNUMBER(F145))),$J$2=""),1&gt;Reprogramaciones!$K$16),"",IF(ROUND(SUM($Q145:Q145),1)&gt;=99.5,100,MIN(100,ROUND(SUM($Q145:Q145),1))))</f>
        <v/>
      </c>
      <c r="CK145" s="1" t="str">
        <f aca="false">IF(OR(OR(NOT(AND(ISNUMBER(E145),ISNUMBER(F145))),$J$2=""),2&gt;Reprogramaciones!$K$16),"",IF(ROUND(SUM($Q145:R145),1)&gt;=99.5,100,MIN(100,ROUND(SUM($Q145:R145),1))))</f>
        <v/>
      </c>
      <c r="CL145" s="1" t="str">
        <f aca="false">IF(OR(OR(NOT(AND(ISNUMBER(E145),ISNUMBER(F145))),$J$2=""),3&gt;Reprogramaciones!$K$16),"",IF(ROUND(SUM($Q145:S145),1)&gt;=99.5,100,MIN(100,ROUND(SUM($Q145:S145),1))))</f>
        <v/>
      </c>
      <c r="CM145" s="1" t="str">
        <f aca="false">IF(OR(OR(NOT(AND(ISNUMBER(E145),ISNUMBER(F145))),$J$2=""),4&gt;Reprogramaciones!$K$16),"",IF(ROUND(SUM($Q145:T145),1)&gt;=99.5,100,MIN(100,ROUND(SUM($Q145:T145),1))))</f>
        <v/>
      </c>
      <c r="CN145" s="1" t="str">
        <f aca="false">IF(OR(OR(NOT(AND(ISNUMBER(E145),ISNUMBER(F145))),$J$2=""),5&gt;Reprogramaciones!$K$16),"",IF(ROUND(SUM($Q145:U145),1)&gt;=99.5,100,MIN(100,ROUND(SUM($Q145:U145),1))))</f>
        <v/>
      </c>
      <c r="CO145" s="1" t="str">
        <f aca="false">IF(OR(OR(NOT(AND(ISNUMBER(E145),ISNUMBER(F145))),$J$2=""),6&gt;Reprogramaciones!$K$16),"",IF(ROUND(SUM($Q145:V145),1)&gt;=99.5,100,MIN(100,ROUND(SUM($Q145:V145),1))))</f>
        <v/>
      </c>
      <c r="CP145" s="1" t="str">
        <f aca="false">IF(OR(OR(NOT(AND(ISNUMBER(E145),ISNUMBER(F145))),$J$2=""),7&gt;Reprogramaciones!$K$16),"",IF(ROUND(SUM($Q145:W145),1)&gt;=99.5,100,MIN(100,ROUND(SUM($Q145:W145),1))))</f>
        <v/>
      </c>
      <c r="CQ145" s="1" t="str">
        <f aca="false">IF(OR(OR(NOT(AND(ISNUMBER(E145),ISNUMBER(F145))),$J$2=""),8&gt;Reprogramaciones!$K$16),"",IF(ROUND(SUM($Q145:X145),1)&gt;=99.5,100,MIN(100,ROUND(SUM($Q145:X145),1))))</f>
        <v/>
      </c>
      <c r="CR145" s="1" t="str">
        <f aca="false">IF(OR(OR(NOT(AND(ISNUMBER(E145),ISNUMBER(F145))),$J$2=""),9&gt;Reprogramaciones!$K$16),"",IF(ROUND(SUM($Q145:Y145),1)&gt;=99.5,100,MIN(100,ROUND(SUM($Q145:Y145),1))))</f>
        <v/>
      </c>
      <c r="CS145" s="1" t="str">
        <f aca="false">IF(OR(OR(NOT(AND(ISNUMBER(E145),ISNUMBER(F145))),$J$2=""),10&gt;Reprogramaciones!$K$16),"",IF(ROUND(SUM($Q145:Z145),1)&gt;=99.5,100,MIN(100,ROUND(SUM($Q145:Z145),1))))</f>
        <v/>
      </c>
      <c r="CT145" s="1" t="str">
        <f aca="false">IF(OR(OR(NOT(AND(ISNUMBER(E145),ISNUMBER(F145))),$J$2=""),11&gt;Reprogramaciones!$K$16),"",IF(ROUND(SUM($Q145:AA145),1)&gt;=99.5,100,MIN(100,ROUND(SUM($Q145:AA145),1))))</f>
        <v/>
      </c>
      <c r="CU145" s="1" t="str">
        <f aca="false">IF(OR(OR(NOT(AND(ISNUMBER(E145),ISNUMBER(F145))),$J$2=""),12&gt;Reprogramaciones!$K$16),"",IF(ROUND(SUM($Q145:AB145),1)&gt;=99.5,100,MIN(100,ROUND(SUM($Q145:AB145),1))))</f>
        <v/>
      </c>
      <c r="CV145" s="1" t="str">
        <f aca="false">IF(OR(OR(NOT(AND(ISNUMBER(E145),ISNUMBER(F145))),$J$2=""),13&gt;Reprogramaciones!$K$16),"",IF(ROUND(SUM($Q145:AC145),1)&gt;=99.5,100,MIN(100,ROUND(SUM($Q145:AC145),1))))</f>
        <v/>
      </c>
      <c r="CW145" s="1" t="str">
        <f aca="false">IF(OR(OR(NOT(AND(ISNUMBER(E145),ISNUMBER(F145))),$J$2=""),14&gt;Reprogramaciones!$K$16),"",IF(ROUND(SUM($Q145:AD145),1)&gt;=99.5,100,MIN(100,ROUND(SUM($Q145:AD145),1))))</f>
        <v/>
      </c>
      <c r="CX145" s="1" t="str">
        <f aca="false">IF(OR(OR(NOT(AND(ISNUMBER(E145),ISNUMBER(F145))),$J$2=""),15&gt;Reprogramaciones!$K$16),"",IF(ROUND(SUM($Q145:AE145),1)&gt;=99.5,100,MIN(100,ROUND(SUM($Q145:AE145),1))))</f>
        <v/>
      </c>
      <c r="CY145" s="1" t="str">
        <f aca="false">IF(OR(OR(NOT(AND(ISNUMBER(E145),ISNUMBER(F145))),$J$2=""),16&gt;Reprogramaciones!$K$16),"",IF(ROUND(SUM($Q145:AF145),1)&gt;=99.5,100,MIN(100,ROUND(SUM($Q145:AF145),1))))</f>
        <v/>
      </c>
      <c r="CZ145" s="1" t="str">
        <f aca="false">IF(D145&lt;&gt;"",D145,IF(B145&lt;&gt;"","Contractual",CZ144))</f>
        <v>Contractual</v>
      </c>
      <c r="DA145" s="1" t="str">
        <f aca="false">IF(OR(NOT(AND(ISNUMBER(E145),ISNUMBER(F145))),$J$2=""),"",IF(Reprogramaciones!$Q$15&lt;Reprogramaciones!$T$15,0,IF(Reprogramaciones!$S$15&gt;10,MIN(100,SUM($G145:$P145)),MIN(100,SUMPRODUCT((COLUMN($G145:$P145)-COLUMN($G145)+1&lt;Reprogramaciones!$S$15)*$G145:$P145)+N(INDEX($G145:$P145,1,Reprogramaciones!$S$15))*IF(Reprogramaciones!$Q$15&gt;=(Reprogramaciones!$T$15+7*(Reprogramaciones!$S$15-1))+6,1,IF(MAX(0,NETWORKDAYS.INTL(MAX(E145,(Reprogramaciones!$T$15+7*(Reprogramaciones!$S$15-1))),MIN(F145,(Reprogramaciones!$T$15+7*(Reprogramaciones!$S$15-1))+6),11))=0,0,MAX(0,NETWORKDAYS.INTL(MAX(E145,(Reprogramaciones!$T$15+7*(Reprogramaciones!$S$15-1))),MIN(F145,Reprogramaciones!$Q$15),11))/MAX(0,NETWORKDAYS.INTL(MAX(E145,(Reprogramaciones!$T$15+7*(Reprogramaciones!$S$15-1))),MIN(F145,(Reprogramaciones!$T$15+7*(Reprogramaciones!$S$15-1))+6),11))))))))</f>
        <v/>
      </c>
    </row>
    <row r="146" customFormat="false" ht="15" hidden="false" customHeight="false" outlineLevel="0" collapsed="false">
      <c r="A146" s="32"/>
      <c r="B146" s="33"/>
      <c r="C146" s="33"/>
      <c r="D146" s="34"/>
      <c r="E146" s="35"/>
      <c r="F146" s="35"/>
      <c r="G146" s="36" t="str">
        <f aca="false">IF(OR(NOT(AND(ISNUMBER(E146),ISNUMBER(F146))),$J$2=""),"",IF(Reprogramaciones!K$9&lt;E146,0,IF(NETWORKDAYS.INTL(E146,F146,11)=0,IF(Reprogramaciones!K$9&gt;=F146,100,0),ROUND(NETWORKDAYS.INTL(E146,MIN(F146,Reprogramaciones!K$9),11)/NETWORKDAYS.INTL(E146,F146,11)*100,1)))-0)</f>
        <v/>
      </c>
      <c r="H146" s="36" t="str">
        <f aca="false">IF(OR(NOT(AND(ISNUMBER(E146),ISNUMBER(F146))),$J$2=""),"",IF(Reprogramaciones!L$9&lt;E146,0,IF(NETWORKDAYS.INTL(E146,F146,11)=0,IF(Reprogramaciones!L$9&gt;=F146,100,0),ROUND(NETWORKDAYS.INTL(E146,MIN(F146,Reprogramaciones!L$9),11)/NETWORKDAYS.INTL(E146,F146,11)*100,1)))-IF(Reprogramaciones!K$9&lt;E146,0,IF(NETWORKDAYS.INTL(E146,F146,11)=0,IF(Reprogramaciones!K$9&gt;=F146,100,0),ROUND(NETWORKDAYS.INTL(E146,MIN(F146,Reprogramaciones!K$9),11)/NETWORKDAYS.INTL(E146,F146,11)*100,1))))</f>
        <v/>
      </c>
      <c r="I146" s="36" t="str">
        <f aca="false">IF(OR(NOT(AND(ISNUMBER(E146),ISNUMBER(F146))),$J$2=""),"",IF(Reprogramaciones!M$9&lt;E146,0,IF(NETWORKDAYS.INTL(E146,F146,11)=0,IF(Reprogramaciones!M$9&gt;=F146,100,0),ROUND(NETWORKDAYS.INTL(E146,MIN(F146,Reprogramaciones!M$9),11)/NETWORKDAYS.INTL(E146,F146,11)*100,1)))-IF(Reprogramaciones!L$9&lt;E146,0,IF(NETWORKDAYS.INTL(E146,F146,11)=0,IF(Reprogramaciones!L$9&gt;=F146,100,0),ROUND(NETWORKDAYS.INTL(E146,MIN(F146,Reprogramaciones!L$9),11)/NETWORKDAYS.INTL(E146,F146,11)*100,1))))</f>
        <v/>
      </c>
      <c r="J146" s="36" t="str">
        <f aca="false">IF(OR(NOT(AND(ISNUMBER(E146),ISNUMBER(F146))),$J$2=""),"",IF(Reprogramaciones!N$9&lt;E146,0,IF(NETWORKDAYS.INTL(E146,F146,11)=0,IF(Reprogramaciones!N$9&gt;=F146,100,0),ROUND(NETWORKDAYS.INTL(E146,MIN(F146,Reprogramaciones!N$9),11)/NETWORKDAYS.INTL(E146,F146,11)*100,1)))-IF(Reprogramaciones!M$9&lt;E146,0,IF(NETWORKDAYS.INTL(E146,F146,11)=0,IF(Reprogramaciones!M$9&gt;=F146,100,0),ROUND(NETWORKDAYS.INTL(E146,MIN(F146,Reprogramaciones!M$9),11)/NETWORKDAYS.INTL(E146,F146,11)*100,1))))</f>
        <v/>
      </c>
      <c r="K146" s="36" t="str">
        <f aca="false">IF(OR(NOT(AND(ISNUMBER(E146),ISNUMBER(F146))),$J$2=""),"",IF(Reprogramaciones!O$9&lt;E146,0,IF(NETWORKDAYS.INTL(E146,F146,11)=0,IF(Reprogramaciones!O$9&gt;=F146,100,0),ROUND(NETWORKDAYS.INTL(E146,MIN(F146,Reprogramaciones!O$9),11)/NETWORKDAYS.INTL(E146,F146,11)*100,1)))-IF(Reprogramaciones!N$9&lt;E146,0,IF(NETWORKDAYS.INTL(E146,F146,11)=0,IF(Reprogramaciones!N$9&gt;=F146,100,0),ROUND(NETWORKDAYS.INTL(E146,MIN(F146,Reprogramaciones!N$9),11)/NETWORKDAYS.INTL(E146,F146,11)*100,1))))</f>
        <v/>
      </c>
      <c r="L146" s="36" t="str">
        <f aca="false">IF(OR(NOT(AND(ISNUMBER(E146),ISNUMBER(F146))),$J$2=""),"",IF(Reprogramaciones!P$9&lt;E146,0,IF(NETWORKDAYS.INTL(E146,F146,11)=0,IF(Reprogramaciones!P$9&gt;=F146,100,0),ROUND(NETWORKDAYS.INTL(E146,MIN(F146,Reprogramaciones!P$9),11)/NETWORKDAYS.INTL(E146,F146,11)*100,1)))-IF(Reprogramaciones!O$9&lt;E146,0,IF(NETWORKDAYS.INTL(E146,F146,11)=0,IF(Reprogramaciones!O$9&gt;=F146,100,0),ROUND(NETWORKDAYS.INTL(E146,MIN(F146,Reprogramaciones!O$9),11)/NETWORKDAYS.INTL(E146,F146,11)*100,1))))</f>
        <v/>
      </c>
      <c r="M146" s="36" t="str">
        <f aca="false">IF(OR(NOT(AND(ISNUMBER(E146),ISNUMBER(F146))),$J$2=""),"",IF(Reprogramaciones!Q$9&lt;E146,0,IF(NETWORKDAYS.INTL(E146,F146,11)=0,IF(Reprogramaciones!Q$9&gt;=F146,100,0),ROUND(NETWORKDAYS.INTL(E146,MIN(F146,Reprogramaciones!Q$9),11)/NETWORKDAYS.INTL(E146,F146,11)*100,1)))-IF(Reprogramaciones!P$9&lt;E146,0,IF(NETWORKDAYS.INTL(E146,F146,11)=0,IF(Reprogramaciones!P$9&gt;=F146,100,0),ROUND(NETWORKDAYS.INTL(E146,MIN(F146,Reprogramaciones!P$9),11)/NETWORKDAYS.INTL(E146,F146,11)*100,1))))</f>
        <v/>
      </c>
      <c r="N146" s="36" t="str">
        <f aca="false">IF(OR(NOT(AND(ISNUMBER(E146),ISNUMBER(F146))),$J$2=""),"",IF(Reprogramaciones!R$9&lt;E146,0,IF(NETWORKDAYS.INTL(E146,F146,11)=0,IF(Reprogramaciones!R$9&gt;=F146,100,0),ROUND(NETWORKDAYS.INTL(E146,MIN(F146,Reprogramaciones!R$9),11)/NETWORKDAYS.INTL(E146,F146,11)*100,1)))-IF(Reprogramaciones!Q$9&lt;E146,0,IF(NETWORKDAYS.INTL(E146,F146,11)=0,IF(Reprogramaciones!Q$9&gt;=F146,100,0),ROUND(NETWORKDAYS.INTL(E146,MIN(F146,Reprogramaciones!Q$9),11)/NETWORKDAYS.INTL(E146,F146,11)*100,1))))</f>
        <v/>
      </c>
      <c r="O146" s="36" t="str">
        <f aca="false">IF(OR(NOT(AND(ISNUMBER(E146),ISNUMBER(F146))),$J$2=""),"",IF(Reprogramaciones!S$9&lt;E146,0,IF(NETWORKDAYS.INTL(E146,F146,11)=0,IF(Reprogramaciones!S$9&gt;=F146,100,0),ROUND(NETWORKDAYS.INTL(E146,MIN(F146,Reprogramaciones!S$9),11)/NETWORKDAYS.INTL(E146,F146,11)*100,1)))-IF(Reprogramaciones!R$9&lt;E146,0,IF(NETWORKDAYS.INTL(E146,F146,11)=0,IF(Reprogramaciones!R$9&gt;=F146,100,0),ROUND(NETWORKDAYS.INTL(E146,MIN(F146,Reprogramaciones!R$9),11)/NETWORKDAYS.INTL(E146,F146,11)*100,1))))</f>
        <v/>
      </c>
      <c r="P146" s="36" t="str">
        <f aca="false">IF(OR(NOT(AND(ISNUMBER(E146),ISNUMBER(F146))),$J$2=""),"",IF(Reprogramaciones!T$9&lt;E146,0,IF(NETWORKDAYS.INTL(E146,F146,11)=0,IF(Reprogramaciones!T$9&gt;=F146,100,0),ROUND(NETWORKDAYS.INTL(E146,MIN(F146,Reprogramaciones!T$9),11)/NETWORKDAYS.INTL(E146,F146,11)*100,1)))-IF(Reprogramaciones!S$9&lt;E146,0,IF(NETWORKDAYS.INTL(E146,F146,11)=0,IF(Reprogramaciones!S$9&gt;=F146,100,0),ROUND(NETWORKDAYS.INTL(E146,MIN(F146,Reprogramaciones!S$9),11)/NETWORKDAYS.INTL(E146,F146,11)*100,1))))</f>
        <v/>
      </c>
      <c r="Q146" s="37"/>
      <c r="R146" s="37"/>
      <c r="S146" s="37"/>
      <c r="T146" s="37"/>
      <c r="U146" s="37"/>
      <c r="V146" s="37"/>
      <c r="W146" s="37"/>
      <c r="X146" s="37"/>
      <c r="Y146" s="37"/>
      <c r="Z146" s="37"/>
      <c r="AA146" s="37"/>
      <c r="AB146" s="37"/>
      <c r="AC146" s="37"/>
      <c r="AD146" s="37"/>
      <c r="AE146" s="37"/>
      <c r="AF146" s="37"/>
      <c r="AG146" s="38" t="str">
        <f aca="false">IF(AND(ISNUMBER(E146),ISNUMBER(F146)),NETWORKDAYS.INTL(E146,F146,11),"")</f>
        <v/>
      </c>
      <c r="AH146" s="38" t="str">
        <f aca="false">IF(OR(NOT(AND(ISNUMBER(E146),ISNUMBER(F146))),$J$2=""),"",IF(Reprogramaciones!$P$15&lt;Reprogramaciones!$T$15,0,IF(Reprogramaciones!$R$15&gt;10,MIN(100,SUM($G146:$P146)),MIN(100,SUMPRODUCT((COLUMN($G146:$P146)-COLUMN($G146)+1&lt;Reprogramaciones!$R$15)*$G146:$P146)+N(INDEX($G146:$P146,1,Reprogramaciones!$R$15))*IF(Reprogramaciones!$P$15&gt;=(Reprogramaciones!$T$15+7*(Reprogramaciones!$R$15-1))+6,1,IF(MAX(0,NETWORKDAYS.INTL(MAX(E146,(Reprogramaciones!$T$15+7*(Reprogramaciones!$R$15-1))),MIN(F146,(Reprogramaciones!$T$15+7*(Reprogramaciones!$R$15-1))+6),11))=0,0,MAX(0,NETWORKDAYS.INTL(MAX(E146,(Reprogramaciones!$T$15+7*(Reprogramaciones!$R$15-1))),MIN(F146,Reprogramaciones!$P$15),11))/MAX(0,NETWORKDAYS.INTL(MAX(E146,(Reprogramaciones!$T$15+7*(Reprogramaciones!$R$15-1))),MIN(F146,(Reprogramaciones!$T$15+7*(Reprogramaciones!$R$15-1))+6),11))))))))</f>
        <v/>
      </c>
      <c r="AI146" s="38" t="str">
        <f aca="false">IF(COUNT($Q146:$AF146)=0,"",IF(ROUND(SUM($Q146:$AF146),1)&gt;=99.5,100,MIN(100,ROUND(SUM($Q146:$AF146),1))))</f>
        <v/>
      </c>
      <c r="AJ146" s="38" t="str">
        <f aca="false">IF(OR(AH146="",AI146=""),"",AI146-AH146)</f>
        <v/>
      </c>
      <c r="AK146" s="39" t="str">
        <f aca="true">IF(AH146="","",IF(OR(Ficha!$C$10="Suspendida",Ficha!$C$10="Cancelada"),Ficha!$C$10,IF(AND(AI146&lt;&gt;"",N(AI146)&gt;=100),"Completada",IF(AND(E146&gt;TODAY(),N(AI146)=0),"Por iniciar",IF(N(AI146)+0.5&lt;AH146,"Retrasada",IF(N(AI146)+0.5&lt;DA146,IF(Reprogramaciones!$K$15&gt;0,"Al día · Sem "&amp;Reprogramaciones!$K$15&amp;" en curso","Al día · en curso"),"A tiempo"))))))</f>
        <v/>
      </c>
      <c r="AL146" s="39" t="str">
        <f aca="true">IF(AND(A146="",AND(B146="",C146="",E146="",F146="",COUNT(Q146:AF146)=0)),"",IF(AND(B146="",C146="",E146="",F146="",COUNT(Q146:AF146)=0),"Falta la partida o subpartida",IF(AND(A146&lt;&gt;"",COUNTIF($A$6:$A$305,A146)&gt;1),"Ítem repetido",IF(AND(C146="",E146="",F146="",COUNT(Q146:AF146)=0),"Título de partida",IF(OR(E146="",F146=""),"Faltan fechas",IF(OR(ISTEXT(E146),ISTEXT(F146)),"Fecha escrita como texto: usa dd/mm/aaaa",IF(F146&lt;E146,"Fin antes del inicio",IF(IF($J$2="",FALSE(),OR(E146&lt;$J$2,F146&gt;Reprogramaciones!$T$15+69)),"Fuera de las 10 semanas",IF(ABS(SUM(G146:P146)-100)&gt;0.5,"La meta no suma 100%",IF(ROUND(SUM(Q146:AF146),1)&gt;100.5,"El avance pasa de 100%",IF(MIN(Q146:AF146)&lt;0,"Avance negativo",IF(COUNTA(Q146:AF146)&gt;COUNT(Q146:AF146),"Avance escrito como texto",IF(SUMPRODUCT((Q146:AF146&gt;0)*(Q146:AF146&lt;1))&gt;0,"Avance menor a 1: escribe 50, no 50%",IF(SUMPRODUCT(ISNUMBER(Q146:AF146)*(Reprogramaciones!$K$8:$Z$8&gt;TODAY()))&gt;0,"Avance en semana que aún no llega",IF(AND(N(Reprogramaciones!$E$21)&gt;0,F146&gt;Reprogramaciones!$E$21),"Pasa el fin de la obra: registra una reprogramación",IF(AND(N(Reprogramaciones!$E$21)&gt;0,SUMPRODUCT(ISNUMBER(Q146:AF146)*(Reprogramaciones!$K$8:$Z$8&gt;Reprogramaciones!$E$21))&gt;0),"Avance después del fin de la obra: registra una reprogramación por atraso","OK"))))))))))))))))</f>
        <v/>
      </c>
      <c r="AM146" s="40" t="str">
        <f aca="false">IF(OR(OR(NOT(AND(ISNUMBER(E146),ISNUMBER(F146))),$J$2=""),1&gt;MAX(1,Reprogramaciones!$U$15)),"",IF(Reprogramaciones!K$12&gt;=7,"",IF(OR(BT146-N(0)&gt;0.05,N(Q146)&gt;0),ROUNDDOWN(ROUND(BT146,6),0)&amp;"%"&amp;IF(CJ146="",""," / "&amp;CJ146&amp;"%"),IF(AND(N(0)&gt;=99.95,CJ146&lt;&gt;"",N(CJ146)&lt;100),"Pend. "&amp;CJ146&amp;"%",""))))</f>
        <v/>
      </c>
      <c r="AN146" s="40" t="str">
        <f aca="false">IF(OR(OR(NOT(AND(ISNUMBER(E146),ISNUMBER(F146))),$J$2=""),2&gt;MAX(1,Reprogramaciones!$U$15)),"",IF(Reprogramaciones!L$12&gt;=7,"",IF(OR(BU146-N(BT146)&gt;0.05,N(R146)&gt;0),ROUNDDOWN(ROUND(BU146,6),0)&amp;"%"&amp;IF(CK146="",""," / "&amp;CK146&amp;"%"),IF(AND(N(BT146)&gt;=99.95,CK146&lt;&gt;"",N(CK146)&lt;100),"Pend. "&amp;CK146&amp;"%",""))))</f>
        <v/>
      </c>
      <c r="AO146" s="40" t="str">
        <f aca="false">IF(OR(OR(NOT(AND(ISNUMBER(E146),ISNUMBER(F146))),$J$2=""),3&gt;MAX(1,Reprogramaciones!$U$15)),"",IF(Reprogramaciones!M$12&gt;=7,"",IF(OR(BV146-N(BU146)&gt;0.05,N(S146)&gt;0),ROUNDDOWN(ROUND(BV146,6),0)&amp;"%"&amp;IF(CL146="",""," / "&amp;CL146&amp;"%"),IF(AND(N(BU146)&gt;=99.95,CL146&lt;&gt;"",N(CL146)&lt;100),"Pend. "&amp;CL146&amp;"%",""))))</f>
        <v/>
      </c>
      <c r="AP146" s="40" t="str">
        <f aca="false">IF(OR(OR(NOT(AND(ISNUMBER(E146),ISNUMBER(F146))),$J$2=""),4&gt;MAX(1,Reprogramaciones!$U$15)),"",IF(Reprogramaciones!N$12&gt;=7,"",IF(OR(BW146-N(BV146)&gt;0.05,N(T146)&gt;0),ROUNDDOWN(ROUND(BW146,6),0)&amp;"%"&amp;IF(CM146="",""," / "&amp;CM146&amp;"%"),IF(AND(N(BV146)&gt;=99.95,CM146&lt;&gt;"",N(CM146)&lt;100),"Pend. "&amp;CM146&amp;"%",""))))</f>
        <v/>
      </c>
      <c r="AQ146" s="40" t="str">
        <f aca="false">IF(OR(OR(NOT(AND(ISNUMBER(E146),ISNUMBER(F146))),$J$2=""),5&gt;MAX(1,Reprogramaciones!$U$15)),"",IF(Reprogramaciones!O$12&gt;=7,"",IF(OR(BX146-N(BW146)&gt;0.05,N(U146)&gt;0),ROUNDDOWN(ROUND(BX146,6),0)&amp;"%"&amp;IF(CN146="",""," / "&amp;CN146&amp;"%"),IF(AND(N(BW146)&gt;=99.95,CN146&lt;&gt;"",N(CN146)&lt;100),"Pend. "&amp;CN146&amp;"%",""))))</f>
        <v/>
      </c>
      <c r="AR146" s="40" t="str">
        <f aca="false">IF(OR(OR(NOT(AND(ISNUMBER(E146),ISNUMBER(F146))),$J$2=""),6&gt;MAX(1,Reprogramaciones!$U$15)),"",IF(Reprogramaciones!P$12&gt;=7,"",IF(OR(BY146-N(BX146)&gt;0.05,N(V146)&gt;0),ROUNDDOWN(ROUND(BY146,6),0)&amp;"%"&amp;IF(CO146="",""," / "&amp;CO146&amp;"%"),IF(AND(N(BX146)&gt;=99.95,CO146&lt;&gt;"",N(CO146)&lt;100),"Pend. "&amp;CO146&amp;"%",""))))</f>
        <v/>
      </c>
      <c r="AS146" s="40" t="str">
        <f aca="false">IF(OR(OR(NOT(AND(ISNUMBER(E146),ISNUMBER(F146))),$J$2=""),7&gt;MAX(1,Reprogramaciones!$U$15)),"",IF(Reprogramaciones!Q$12&gt;=7,"",IF(OR(BZ146-N(BY146)&gt;0.05,N(W146)&gt;0),ROUNDDOWN(ROUND(BZ146,6),0)&amp;"%"&amp;IF(CP146="",""," / "&amp;CP146&amp;"%"),IF(AND(N(BY146)&gt;=99.95,CP146&lt;&gt;"",N(CP146)&lt;100),"Pend. "&amp;CP146&amp;"%",""))))</f>
        <v/>
      </c>
      <c r="AT146" s="40" t="str">
        <f aca="false">IF(OR(OR(NOT(AND(ISNUMBER(E146),ISNUMBER(F146))),$J$2=""),8&gt;MAX(1,Reprogramaciones!$U$15)),"",IF(Reprogramaciones!R$12&gt;=7,"",IF(OR(CA146-N(BZ146)&gt;0.05,N(X146)&gt;0),ROUNDDOWN(ROUND(CA146,6),0)&amp;"%"&amp;IF(CQ146="",""," / "&amp;CQ146&amp;"%"),IF(AND(N(BZ146)&gt;=99.95,CQ146&lt;&gt;"",N(CQ146)&lt;100),"Pend. "&amp;CQ146&amp;"%",""))))</f>
        <v/>
      </c>
      <c r="AU146" s="40" t="str">
        <f aca="false">IF(OR(OR(NOT(AND(ISNUMBER(E146),ISNUMBER(F146))),$J$2=""),9&gt;MAX(1,Reprogramaciones!$U$15)),"",IF(Reprogramaciones!S$12&gt;=7,"",IF(OR(CB146-N(CA146)&gt;0.05,N(Y146)&gt;0),ROUNDDOWN(ROUND(CB146,6),0)&amp;"%"&amp;IF(CR146="",""," / "&amp;CR146&amp;"%"),IF(AND(N(CA146)&gt;=99.95,CR146&lt;&gt;"",N(CR146)&lt;100),"Pend. "&amp;CR146&amp;"%",""))))</f>
        <v/>
      </c>
      <c r="AV146" s="40" t="str">
        <f aca="false">IF(OR(OR(NOT(AND(ISNUMBER(E146),ISNUMBER(F146))),$J$2=""),10&gt;MAX(1,Reprogramaciones!$U$15)),"",IF(Reprogramaciones!T$12&gt;=7,"",IF(OR(CC146-N(CB146)&gt;0.05,N(Z146)&gt;0),ROUNDDOWN(ROUND(CC146,6),0)&amp;"%"&amp;IF(CS146="",""," / "&amp;CS146&amp;"%"),IF(AND(N(CB146)&gt;=99.95,CS146&lt;&gt;"",N(CS146)&lt;100),"Pend. "&amp;CS146&amp;"%",""))))</f>
        <v/>
      </c>
      <c r="AW146" s="40" t="str">
        <f aca="false">IF(OR(OR(NOT(AND(ISNUMBER(E146),ISNUMBER(F146))),$J$2=""),11&gt;MAX(1,Reprogramaciones!$U$15)),"",IF(Reprogramaciones!U$12&gt;=7,"",IF(OR(CD146-N(CC146)&gt;0.05,N(AA146)&gt;0),ROUNDDOWN(ROUND(CD146,6),0)&amp;"%"&amp;IF(CT146="",""," / "&amp;CT146&amp;"%"),IF(AND(N(CC146)&gt;=99.95,CT146&lt;&gt;"",N(CT146)&lt;100),"Pend. "&amp;CT146&amp;"%",""))))</f>
        <v/>
      </c>
      <c r="AX146" s="40" t="str">
        <f aca="false">IF(OR(OR(NOT(AND(ISNUMBER(E146),ISNUMBER(F146))),$J$2=""),12&gt;MAX(1,Reprogramaciones!$U$15)),"",IF(Reprogramaciones!V$12&gt;=7,"",IF(OR(CE146-N(CD146)&gt;0.05,N(AB146)&gt;0),ROUNDDOWN(ROUND(CE146,6),0)&amp;"%"&amp;IF(CU146="",""," / "&amp;CU146&amp;"%"),IF(AND(N(CD146)&gt;=99.95,CU146&lt;&gt;"",N(CU146)&lt;100),"Pend. "&amp;CU146&amp;"%",""))))</f>
        <v/>
      </c>
      <c r="AY146" s="40" t="str">
        <f aca="false">IF(OR(OR(NOT(AND(ISNUMBER(E146),ISNUMBER(F146))),$J$2=""),13&gt;MAX(1,Reprogramaciones!$U$15)),"",IF(Reprogramaciones!W$12&gt;=7,"",IF(OR(CF146-N(CE146)&gt;0.05,N(AC146)&gt;0),ROUNDDOWN(ROUND(CF146,6),0)&amp;"%"&amp;IF(CV146="",""," / "&amp;CV146&amp;"%"),IF(AND(N(CE146)&gt;=99.95,CV146&lt;&gt;"",N(CV146)&lt;100),"Pend. "&amp;CV146&amp;"%",""))))</f>
        <v/>
      </c>
      <c r="AZ146" s="40" t="str">
        <f aca="false">IF(OR(OR(NOT(AND(ISNUMBER(E146),ISNUMBER(F146))),$J$2=""),14&gt;MAX(1,Reprogramaciones!$U$15)),"",IF(Reprogramaciones!X$12&gt;=7,"",IF(OR(CG146-N(CF146)&gt;0.05,N(AD146)&gt;0),ROUNDDOWN(ROUND(CG146,6),0)&amp;"%"&amp;IF(CW146="",""," / "&amp;CW146&amp;"%"),IF(AND(N(CF146)&gt;=99.95,CW146&lt;&gt;"",N(CW146)&lt;100),"Pend. "&amp;CW146&amp;"%",""))))</f>
        <v/>
      </c>
      <c r="BA146" s="40" t="str">
        <f aca="false">IF(OR(OR(NOT(AND(ISNUMBER(E146),ISNUMBER(F146))),$J$2=""),15&gt;MAX(1,Reprogramaciones!$U$15)),"",IF(Reprogramaciones!Y$12&gt;=7,"",IF(OR(CH146-N(CG146)&gt;0.05,N(AE146)&gt;0),ROUNDDOWN(ROUND(CH146,6),0)&amp;"%"&amp;IF(CX146="",""," / "&amp;CX146&amp;"%"),IF(AND(N(CG146)&gt;=99.95,CX146&lt;&gt;"",N(CX146)&lt;100),"Pend. "&amp;CX146&amp;"%",""))))</f>
        <v/>
      </c>
      <c r="BB146" s="40" t="str">
        <f aca="false">IF(OR(OR(NOT(AND(ISNUMBER(E146),ISNUMBER(F146))),$J$2=""),16&gt;MAX(1,Reprogramaciones!$U$15)),"",IF(Reprogramaciones!Z$12&gt;=7,"",IF(OR(CI146-N(CH146)&gt;0.05,N(AF146)&gt;0),ROUNDDOWN(ROUND(CI146,6),0)&amp;"%"&amp;IF(CY146="",""," / "&amp;CY146&amp;"%"),IF(AND(N(CH146)&gt;=99.95,CY146&lt;&gt;"",N(CY146)&lt;100),"Pend. "&amp;CY146&amp;"%",""))))</f>
        <v/>
      </c>
      <c r="BC146" s="31" t="n">
        <f aca="false">IF(AND(ISNUMBER(E146),ISNUMBER(F146)),MAX(1,NETWORKDAYS.INTL(E146,F146,11)),0)</f>
        <v>0</v>
      </c>
      <c r="BD146" s="1" t="str">
        <f aca="false">IF(OR(NOT(AND(ISNUMBER(E146),ISNUMBER(F146))),$J$2=""),"",MIN(100,ROUND(SUM($G146:G146),1)))</f>
        <v/>
      </c>
      <c r="BE146" s="1" t="str">
        <f aca="false">IF(OR(NOT(AND(ISNUMBER(E146),ISNUMBER(F146))),$J$2=""),"",MIN(100,ROUND(SUM($G146:H146),1)))</f>
        <v/>
      </c>
      <c r="BF146" s="1" t="str">
        <f aca="false">IF(OR(NOT(AND(ISNUMBER(E146),ISNUMBER(F146))),$J$2=""),"",MIN(100,ROUND(SUM($G146:I146),1)))</f>
        <v/>
      </c>
      <c r="BG146" s="1" t="str">
        <f aca="false">IF(OR(NOT(AND(ISNUMBER(E146),ISNUMBER(F146))),$J$2=""),"",MIN(100,ROUND(SUM($G146:J146),1)))</f>
        <v/>
      </c>
      <c r="BH146" s="1" t="str">
        <f aca="false">IF(OR(NOT(AND(ISNUMBER(E146),ISNUMBER(F146))),$J$2=""),"",MIN(100,ROUND(SUM($G146:K146),1)))</f>
        <v/>
      </c>
      <c r="BI146" s="1" t="str">
        <f aca="false">IF(OR(NOT(AND(ISNUMBER(E146),ISNUMBER(F146))),$J$2=""),"",MIN(100,ROUND(SUM($G146:L146),1)))</f>
        <v/>
      </c>
      <c r="BJ146" s="1" t="str">
        <f aca="false">IF(OR(NOT(AND(ISNUMBER(E146),ISNUMBER(F146))),$J$2=""),"",MIN(100,ROUND(SUM($G146:M146),1)))</f>
        <v/>
      </c>
      <c r="BK146" s="1" t="str">
        <f aca="false">IF(OR(NOT(AND(ISNUMBER(E146),ISNUMBER(F146))),$J$2=""),"",MIN(100,ROUND(SUM($G146:N146),1)))</f>
        <v/>
      </c>
      <c r="BL146" s="1" t="str">
        <f aca="false">IF(OR(NOT(AND(ISNUMBER(E146),ISNUMBER(F146))),$J$2=""),"",MIN(100,ROUND(SUM($G146:O146),1)))</f>
        <v/>
      </c>
      <c r="BM146" s="1" t="str">
        <f aca="false">IF(OR(NOT(AND(ISNUMBER(E146),ISNUMBER(F146))),$J$2=""),"",MIN(100,ROUND(SUM($G146:P146),1)))</f>
        <v/>
      </c>
      <c r="BN146" s="1" t="str">
        <f aca="false">IF(OR(NOT(AND(ISNUMBER(E146),ISNUMBER(F146))),$J$2=""),"",MIN(100,ROUND(SUM($G146:P146),1)))</f>
        <v/>
      </c>
      <c r="BO146" s="1" t="str">
        <f aca="false">IF(OR(NOT(AND(ISNUMBER(E146),ISNUMBER(F146))),$J$2=""),"",MIN(100,ROUND(SUM($G146:P146),1)))</f>
        <v/>
      </c>
      <c r="BP146" s="1" t="str">
        <f aca="false">IF(OR(NOT(AND(ISNUMBER(E146),ISNUMBER(F146))),$J$2=""),"",MIN(100,ROUND(SUM($G146:P146),1)))</f>
        <v/>
      </c>
      <c r="BQ146" s="1" t="str">
        <f aca="false">IF(OR(NOT(AND(ISNUMBER(E146),ISNUMBER(F146))),$J$2=""),"",MIN(100,ROUND(SUM($G146:P146),1)))</f>
        <v/>
      </c>
      <c r="BR146" s="1" t="str">
        <f aca="false">IF(OR(NOT(AND(ISNUMBER(E146),ISNUMBER(F146))),$J$2=""),"",MIN(100,ROUND(SUM($G146:P146),1)))</f>
        <v/>
      </c>
      <c r="BS146" s="1" t="str">
        <f aca="false">IF(OR(NOT(AND(ISNUMBER(E146),ISNUMBER(F146))),$J$2=""),"",MIN(100,ROUND(SUM($G146:P146),1)))</f>
        <v/>
      </c>
      <c r="BT146" s="1" t="str">
        <f aca="false">IF(OR(NOT(AND(ISNUMBER(E146),ISNUMBER(F146))),$J$2=""),"",IF(Reprogramaciones!K$13&lt;Reprogramaciones!$T$15,0,IF(Reprogramaciones!K$14&gt;10,MIN(100,SUM($G146:$P146)),MIN(100,SUMPRODUCT((COLUMN($G146:$P146)-COLUMN($G146)+1&lt;Reprogramaciones!K$14)*$G146:$P146)+N(INDEX($G146:$P146,1,Reprogramaciones!K$14))*IF(Reprogramaciones!K$13&gt;=(Reprogramaciones!$T$15+7*(Reprogramaciones!K$14-1))+6,1,IF(MAX(0,NETWORKDAYS.INTL(MAX(E146,(Reprogramaciones!$T$15+7*(Reprogramaciones!K$14-1))),MIN(F146,(Reprogramaciones!$T$15+7*(Reprogramaciones!K$14-1))+6),11))=0,0,MAX(0,NETWORKDAYS.INTL(MAX(E146,(Reprogramaciones!$T$15+7*(Reprogramaciones!K$14-1))),MIN(F146,Reprogramaciones!K$13),11))/MAX(0,NETWORKDAYS.INTL(MAX(E146,(Reprogramaciones!$T$15+7*(Reprogramaciones!K$14-1))),MIN(F146,(Reprogramaciones!$T$15+7*(Reprogramaciones!K$14-1))+6),11))))))))</f>
        <v/>
      </c>
      <c r="BU146" s="1" t="str">
        <f aca="false">IF(OR(NOT(AND(ISNUMBER(E146),ISNUMBER(F146))),$J$2=""),"",IF(Reprogramaciones!L$13&lt;Reprogramaciones!$T$15,0,IF(Reprogramaciones!L$14&gt;10,MIN(100,SUM($G146:$P146)),MIN(100,SUMPRODUCT((COLUMN($G146:$P146)-COLUMN($G146)+1&lt;Reprogramaciones!L$14)*$G146:$P146)+N(INDEX($G146:$P146,1,Reprogramaciones!L$14))*IF(Reprogramaciones!L$13&gt;=(Reprogramaciones!$T$15+7*(Reprogramaciones!L$14-1))+6,1,IF(MAX(0,NETWORKDAYS.INTL(MAX(E146,(Reprogramaciones!$T$15+7*(Reprogramaciones!L$14-1))),MIN(F146,(Reprogramaciones!$T$15+7*(Reprogramaciones!L$14-1))+6),11))=0,0,MAX(0,NETWORKDAYS.INTL(MAX(E146,(Reprogramaciones!$T$15+7*(Reprogramaciones!L$14-1))),MIN(F146,Reprogramaciones!L$13),11))/MAX(0,NETWORKDAYS.INTL(MAX(E146,(Reprogramaciones!$T$15+7*(Reprogramaciones!L$14-1))),MIN(F146,(Reprogramaciones!$T$15+7*(Reprogramaciones!L$14-1))+6),11))))))))</f>
        <v/>
      </c>
      <c r="BV146" s="1" t="str">
        <f aca="false">IF(OR(NOT(AND(ISNUMBER(E146),ISNUMBER(F146))),$J$2=""),"",IF(Reprogramaciones!M$13&lt;Reprogramaciones!$T$15,0,IF(Reprogramaciones!M$14&gt;10,MIN(100,SUM($G146:$P146)),MIN(100,SUMPRODUCT((COLUMN($G146:$P146)-COLUMN($G146)+1&lt;Reprogramaciones!M$14)*$G146:$P146)+N(INDEX($G146:$P146,1,Reprogramaciones!M$14))*IF(Reprogramaciones!M$13&gt;=(Reprogramaciones!$T$15+7*(Reprogramaciones!M$14-1))+6,1,IF(MAX(0,NETWORKDAYS.INTL(MAX(E146,(Reprogramaciones!$T$15+7*(Reprogramaciones!M$14-1))),MIN(F146,(Reprogramaciones!$T$15+7*(Reprogramaciones!M$14-1))+6),11))=0,0,MAX(0,NETWORKDAYS.INTL(MAX(E146,(Reprogramaciones!$T$15+7*(Reprogramaciones!M$14-1))),MIN(F146,Reprogramaciones!M$13),11))/MAX(0,NETWORKDAYS.INTL(MAX(E146,(Reprogramaciones!$T$15+7*(Reprogramaciones!M$14-1))),MIN(F146,(Reprogramaciones!$T$15+7*(Reprogramaciones!M$14-1))+6),11))))))))</f>
        <v/>
      </c>
      <c r="BW146" s="1" t="str">
        <f aca="false">IF(OR(NOT(AND(ISNUMBER(E146),ISNUMBER(F146))),$J$2=""),"",IF(Reprogramaciones!N$13&lt;Reprogramaciones!$T$15,0,IF(Reprogramaciones!N$14&gt;10,MIN(100,SUM($G146:$P146)),MIN(100,SUMPRODUCT((COLUMN($G146:$P146)-COLUMN($G146)+1&lt;Reprogramaciones!N$14)*$G146:$P146)+N(INDEX($G146:$P146,1,Reprogramaciones!N$14))*IF(Reprogramaciones!N$13&gt;=(Reprogramaciones!$T$15+7*(Reprogramaciones!N$14-1))+6,1,IF(MAX(0,NETWORKDAYS.INTL(MAX(E146,(Reprogramaciones!$T$15+7*(Reprogramaciones!N$14-1))),MIN(F146,(Reprogramaciones!$T$15+7*(Reprogramaciones!N$14-1))+6),11))=0,0,MAX(0,NETWORKDAYS.INTL(MAX(E146,(Reprogramaciones!$T$15+7*(Reprogramaciones!N$14-1))),MIN(F146,Reprogramaciones!N$13),11))/MAX(0,NETWORKDAYS.INTL(MAX(E146,(Reprogramaciones!$T$15+7*(Reprogramaciones!N$14-1))),MIN(F146,(Reprogramaciones!$T$15+7*(Reprogramaciones!N$14-1))+6),11))))))))</f>
        <v/>
      </c>
      <c r="BX146" s="1" t="str">
        <f aca="false">IF(OR(NOT(AND(ISNUMBER(E146),ISNUMBER(F146))),$J$2=""),"",IF(Reprogramaciones!O$13&lt;Reprogramaciones!$T$15,0,IF(Reprogramaciones!O$14&gt;10,MIN(100,SUM($G146:$P146)),MIN(100,SUMPRODUCT((COLUMN($G146:$P146)-COLUMN($G146)+1&lt;Reprogramaciones!O$14)*$G146:$P146)+N(INDEX($G146:$P146,1,Reprogramaciones!O$14))*IF(Reprogramaciones!O$13&gt;=(Reprogramaciones!$T$15+7*(Reprogramaciones!O$14-1))+6,1,IF(MAX(0,NETWORKDAYS.INTL(MAX(E146,(Reprogramaciones!$T$15+7*(Reprogramaciones!O$14-1))),MIN(F146,(Reprogramaciones!$T$15+7*(Reprogramaciones!O$14-1))+6),11))=0,0,MAX(0,NETWORKDAYS.INTL(MAX(E146,(Reprogramaciones!$T$15+7*(Reprogramaciones!O$14-1))),MIN(F146,Reprogramaciones!O$13),11))/MAX(0,NETWORKDAYS.INTL(MAX(E146,(Reprogramaciones!$T$15+7*(Reprogramaciones!O$14-1))),MIN(F146,(Reprogramaciones!$T$15+7*(Reprogramaciones!O$14-1))+6),11))))))))</f>
        <v/>
      </c>
      <c r="BY146" s="1" t="str">
        <f aca="false">IF(OR(NOT(AND(ISNUMBER(E146),ISNUMBER(F146))),$J$2=""),"",IF(Reprogramaciones!P$13&lt;Reprogramaciones!$T$15,0,IF(Reprogramaciones!P$14&gt;10,MIN(100,SUM($G146:$P146)),MIN(100,SUMPRODUCT((COLUMN($G146:$P146)-COLUMN($G146)+1&lt;Reprogramaciones!P$14)*$G146:$P146)+N(INDEX($G146:$P146,1,Reprogramaciones!P$14))*IF(Reprogramaciones!P$13&gt;=(Reprogramaciones!$T$15+7*(Reprogramaciones!P$14-1))+6,1,IF(MAX(0,NETWORKDAYS.INTL(MAX(E146,(Reprogramaciones!$T$15+7*(Reprogramaciones!P$14-1))),MIN(F146,(Reprogramaciones!$T$15+7*(Reprogramaciones!P$14-1))+6),11))=0,0,MAX(0,NETWORKDAYS.INTL(MAX(E146,(Reprogramaciones!$T$15+7*(Reprogramaciones!P$14-1))),MIN(F146,Reprogramaciones!P$13),11))/MAX(0,NETWORKDAYS.INTL(MAX(E146,(Reprogramaciones!$T$15+7*(Reprogramaciones!P$14-1))),MIN(F146,(Reprogramaciones!$T$15+7*(Reprogramaciones!P$14-1))+6),11))))))))</f>
        <v/>
      </c>
      <c r="BZ146" s="1" t="str">
        <f aca="false">IF(OR(NOT(AND(ISNUMBER(E146),ISNUMBER(F146))),$J$2=""),"",IF(Reprogramaciones!Q$13&lt;Reprogramaciones!$T$15,0,IF(Reprogramaciones!Q$14&gt;10,MIN(100,SUM($G146:$P146)),MIN(100,SUMPRODUCT((COLUMN($G146:$P146)-COLUMN($G146)+1&lt;Reprogramaciones!Q$14)*$G146:$P146)+N(INDEX($G146:$P146,1,Reprogramaciones!Q$14))*IF(Reprogramaciones!Q$13&gt;=(Reprogramaciones!$T$15+7*(Reprogramaciones!Q$14-1))+6,1,IF(MAX(0,NETWORKDAYS.INTL(MAX(E146,(Reprogramaciones!$T$15+7*(Reprogramaciones!Q$14-1))),MIN(F146,(Reprogramaciones!$T$15+7*(Reprogramaciones!Q$14-1))+6),11))=0,0,MAX(0,NETWORKDAYS.INTL(MAX(E146,(Reprogramaciones!$T$15+7*(Reprogramaciones!Q$14-1))),MIN(F146,Reprogramaciones!Q$13),11))/MAX(0,NETWORKDAYS.INTL(MAX(E146,(Reprogramaciones!$T$15+7*(Reprogramaciones!Q$14-1))),MIN(F146,(Reprogramaciones!$T$15+7*(Reprogramaciones!Q$14-1))+6),11))))))))</f>
        <v/>
      </c>
      <c r="CA146" s="1" t="str">
        <f aca="false">IF(OR(NOT(AND(ISNUMBER(E146),ISNUMBER(F146))),$J$2=""),"",IF(Reprogramaciones!R$13&lt;Reprogramaciones!$T$15,0,IF(Reprogramaciones!R$14&gt;10,MIN(100,SUM($G146:$P146)),MIN(100,SUMPRODUCT((COLUMN($G146:$P146)-COLUMN($G146)+1&lt;Reprogramaciones!R$14)*$G146:$P146)+N(INDEX($G146:$P146,1,Reprogramaciones!R$14))*IF(Reprogramaciones!R$13&gt;=(Reprogramaciones!$T$15+7*(Reprogramaciones!R$14-1))+6,1,IF(MAX(0,NETWORKDAYS.INTL(MAX(E146,(Reprogramaciones!$T$15+7*(Reprogramaciones!R$14-1))),MIN(F146,(Reprogramaciones!$T$15+7*(Reprogramaciones!R$14-1))+6),11))=0,0,MAX(0,NETWORKDAYS.INTL(MAX(E146,(Reprogramaciones!$T$15+7*(Reprogramaciones!R$14-1))),MIN(F146,Reprogramaciones!R$13),11))/MAX(0,NETWORKDAYS.INTL(MAX(E146,(Reprogramaciones!$T$15+7*(Reprogramaciones!R$14-1))),MIN(F146,(Reprogramaciones!$T$15+7*(Reprogramaciones!R$14-1))+6),11))))))))</f>
        <v/>
      </c>
      <c r="CB146" s="1" t="str">
        <f aca="false">IF(OR(NOT(AND(ISNUMBER(E146),ISNUMBER(F146))),$J$2=""),"",IF(Reprogramaciones!S$13&lt;Reprogramaciones!$T$15,0,IF(Reprogramaciones!S$14&gt;10,MIN(100,SUM($G146:$P146)),MIN(100,SUMPRODUCT((COLUMN($G146:$P146)-COLUMN($G146)+1&lt;Reprogramaciones!S$14)*$G146:$P146)+N(INDEX($G146:$P146,1,Reprogramaciones!S$14))*IF(Reprogramaciones!S$13&gt;=(Reprogramaciones!$T$15+7*(Reprogramaciones!S$14-1))+6,1,IF(MAX(0,NETWORKDAYS.INTL(MAX(E146,(Reprogramaciones!$T$15+7*(Reprogramaciones!S$14-1))),MIN(F146,(Reprogramaciones!$T$15+7*(Reprogramaciones!S$14-1))+6),11))=0,0,MAX(0,NETWORKDAYS.INTL(MAX(E146,(Reprogramaciones!$T$15+7*(Reprogramaciones!S$14-1))),MIN(F146,Reprogramaciones!S$13),11))/MAX(0,NETWORKDAYS.INTL(MAX(E146,(Reprogramaciones!$T$15+7*(Reprogramaciones!S$14-1))),MIN(F146,(Reprogramaciones!$T$15+7*(Reprogramaciones!S$14-1))+6),11))))))))</f>
        <v/>
      </c>
      <c r="CC146" s="1" t="str">
        <f aca="false">IF(OR(NOT(AND(ISNUMBER(E146),ISNUMBER(F146))),$J$2=""),"",IF(Reprogramaciones!T$13&lt;Reprogramaciones!$T$15,0,IF(Reprogramaciones!T$14&gt;10,MIN(100,SUM($G146:$P146)),MIN(100,SUMPRODUCT((COLUMN($G146:$P146)-COLUMN($G146)+1&lt;Reprogramaciones!T$14)*$G146:$P146)+N(INDEX($G146:$P146,1,Reprogramaciones!T$14))*IF(Reprogramaciones!T$13&gt;=(Reprogramaciones!$T$15+7*(Reprogramaciones!T$14-1))+6,1,IF(MAX(0,NETWORKDAYS.INTL(MAX(E146,(Reprogramaciones!$T$15+7*(Reprogramaciones!T$14-1))),MIN(F146,(Reprogramaciones!$T$15+7*(Reprogramaciones!T$14-1))+6),11))=0,0,MAX(0,NETWORKDAYS.INTL(MAX(E146,(Reprogramaciones!$T$15+7*(Reprogramaciones!T$14-1))),MIN(F146,Reprogramaciones!T$13),11))/MAX(0,NETWORKDAYS.INTL(MAX(E146,(Reprogramaciones!$T$15+7*(Reprogramaciones!T$14-1))),MIN(F146,(Reprogramaciones!$T$15+7*(Reprogramaciones!T$14-1))+6),11))))))))</f>
        <v/>
      </c>
      <c r="CD146" s="1" t="str">
        <f aca="false">IF(OR(NOT(AND(ISNUMBER(E146),ISNUMBER(F146))),$J$2=""),"",IF(Reprogramaciones!U$13&lt;Reprogramaciones!$T$15,0,IF(Reprogramaciones!U$14&gt;10,MIN(100,SUM($G146:$P146)),MIN(100,SUMPRODUCT((COLUMN($G146:$P146)-COLUMN($G146)+1&lt;Reprogramaciones!U$14)*$G146:$P146)+N(INDEX($G146:$P146,1,Reprogramaciones!U$14))*IF(Reprogramaciones!U$13&gt;=(Reprogramaciones!$T$15+7*(Reprogramaciones!U$14-1))+6,1,IF(MAX(0,NETWORKDAYS.INTL(MAX(E146,(Reprogramaciones!$T$15+7*(Reprogramaciones!U$14-1))),MIN(F146,(Reprogramaciones!$T$15+7*(Reprogramaciones!U$14-1))+6),11))=0,0,MAX(0,NETWORKDAYS.INTL(MAX(E146,(Reprogramaciones!$T$15+7*(Reprogramaciones!U$14-1))),MIN(F146,Reprogramaciones!U$13),11))/MAX(0,NETWORKDAYS.INTL(MAX(E146,(Reprogramaciones!$T$15+7*(Reprogramaciones!U$14-1))),MIN(F146,(Reprogramaciones!$T$15+7*(Reprogramaciones!U$14-1))+6),11))))))))</f>
        <v/>
      </c>
      <c r="CE146" s="1" t="str">
        <f aca="false">IF(OR(NOT(AND(ISNUMBER(E146),ISNUMBER(F146))),$J$2=""),"",IF(Reprogramaciones!V$13&lt;Reprogramaciones!$T$15,0,IF(Reprogramaciones!V$14&gt;10,MIN(100,SUM($G146:$P146)),MIN(100,SUMPRODUCT((COLUMN($G146:$P146)-COLUMN($G146)+1&lt;Reprogramaciones!V$14)*$G146:$P146)+N(INDEX($G146:$P146,1,Reprogramaciones!V$14))*IF(Reprogramaciones!V$13&gt;=(Reprogramaciones!$T$15+7*(Reprogramaciones!V$14-1))+6,1,IF(MAX(0,NETWORKDAYS.INTL(MAX(E146,(Reprogramaciones!$T$15+7*(Reprogramaciones!V$14-1))),MIN(F146,(Reprogramaciones!$T$15+7*(Reprogramaciones!V$14-1))+6),11))=0,0,MAX(0,NETWORKDAYS.INTL(MAX(E146,(Reprogramaciones!$T$15+7*(Reprogramaciones!V$14-1))),MIN(F146,Reprogramaciones!V$13),11))/MAX(0,NETWORKDAYS.INTL(MAX(E146,(Reprogramaciones!$T$15+7*(Reprogramaciones!V$14-1))),MIN(F146,(Reprogramaciones!$T$15+7*(Reprogramaciones!V$14-1))+6),11))))))))</f>
        <v/>
      </c>
      <c r="CF146" s="1" t="str">
        <f aca="false">IF(OR(NOT(AND(ISNUMBER(E146),ISNUMBER(F146))),$J$2=""),"",IF(Reprogramaciones!W$13&lt;Reprogramaciones!$T$15,0,IF(Reprogramaciones!W$14&gt;10,MIN(100,SUM($G146:$P146)),MIN(100,SUMPRODUCT((COLUMN($G146:$P146)-COLUMN($G146)+1&lt;Reprogramaciones!W$14)*$G146:$P146)+N(INDEX($G146:$P146,1,Reprogramaciones!W$14))*IF(Reprogramaciones!W$13&gt;=(Reprogramaciones!$T$15+7*(Reprogramaciones!W$14-1))+6,1,IF(MAX(0,NETWORKDAYS.INTL(MAX(E146,(Reprogramaciones!$T$15+7*(Reprogramaciones!W$14-1))),MIN(F146,(Reprogramaciones!$T$15+7*(Reprogramaciones!W$14-1))+6),11))=0,0,MAX(0,NETWORKDAYS.INTL(MAX(E146,(Reprogramaciones!$T$15+7*(Reprogramaciones!W$14-1))),MIN(F146,Reprogramaciones!W$13),11))/MAX(0,NETWORKDAYS.INTL(MAX(E146,(Reprogramaciones!$T$15+7*(Reprogramaciones!W$14-1))),MIN(F146,(Reprogramaciones!$T$15+7*(Reprogramaciones!W$14-1))+6),11))))))))</f>
        <v/>
      </c>
      <c r="CG146" s="1" t="str">
        <f aca="false">IF(OR(NOT(AND(ISNUMBER(E146),ISNUMBER(F146))),$J$2=""),"",IF(Reprogramaciones!X$13&lt;Reprogramaciones!$T$15,0,IF(Reprogramaciones!X$14&gt;10,MIN(100,SUM($G146:$P146)),MIN(100,SUMPRODUCT((COLUMN($G146:$P146)-COLUMN($G146)+1&lt;Reprogramaciones!X$14)*$G146:$P146)+N(INDEX($G146:$P146,1,Reprogramaciones!X$14))*IF(Reprogramaciones!X$13&gt;=(Reprogramaciones!$T$15+7*(Reprogramaciones!X$14-1))+6,1,IF(MAX(0,NETWORKDAYS.INTL(MAX(E146,(Reprogramaciones!$T$15+7*(Reprogramaciones!X$14-1))),MIN(F146,(Reprogramaciones!$T$15+7*(Reprogramaciones!X$14-1))+6),11))=0,0,MAX(0,NETWORKDAYS.INTL(MAX(E146,(Reprogramaciones!$T$15+7*(Reprogramaciones!X$14-1))),MIN(F146,Reprogramaciones!X$13),11))/MAX(0,NETWORKDAYS.INTL(MAX(E146,(Reprogramaciones!$T$15+7*(Reprogramaciones!X$14-1))),MIN(F146,(Reprogramaciones!$T$15+7*(Reprogramaciones!X$14-1))+6),11))))))))</f>
        <v/>
      </c>
      <c r="CH146" s="1" t="str">
        <f aca="false">IF(OR(NOT(AND(ISNUMBER(E146),ISNUMBER(F146))),$J$2=""),"",IF(Reprogramaciones!Y$13&lt;Reprogramaciones!$T$15,0,IF(Reprogramaciones!Y$14&gt;10,MIN(100,SUM($G146:$P146)),MIN(100,SUMPRODUCT((COLUMN($G146:$P146)-COLUMN($G146)+1&lt;Reprogramaciones!Y$14)*$G146:$P146)+N(INDEX($G146:$P146,1,Reprogramaciones!Y$14))*IF(Reprogramaciones!Y$13&gt;=(Reprogramaciones!$T$15+7*(Reprogramaciones!Y$14-1))+6,1,IF(MAX(0,NETWORKDAYS.INTL(MAX(E146,(Reprogramaciones!$T$15+7*(Reprogramaciones!Y$14-1))),MIN(F146,(Reprogramaciones!$T$15+7*(Reprogramaciones!Y$14-1))+6),11))=0,0,MAX(0,NETWORKDAYS.INTL(MAX(E146,(Reprogramaciones!$T$15+7*(Reprogramaciones!Y$14-1))),MIN(F146,Reprogramaciones!Y$13),11))/MAX(0,NETWORKDAYS.INTL(MAX(E146,(Reprogramaciones!$T$15+7*(Reprogramaciones!Y$14-1))),MIN(F146,(Reprogramaciones!$T$15+7*(Reprogramaciones!Y$14-1))+6),11))))))))</f>
        <v/>
      </c>
      <c r="CI146" s="1" t="str">
        <f aca="false">IF(OR(NOT(AND(ISNUMBER(E146),ISNUMBER(F146))),$J$2=""),"",IF(Reprogramaciones!Z$13&lt;Reprogramaciones!$T$15,0,IF(Reprogramaciones!Z$14&gt;10,MIN(100,SUM($G146:$P146)),MIN(100,SUMPRODUCT((COLUMN($G146:$P146)-COLUMN($G146)+1&lt;Reprogramaciones!Z$14)*$G146:$P146)+N(INDEX($G146:$P146,1,Reprogramaciones!Z$14))*IF(Reprogramaciones!Z$13&gt;=(Reprogramaciones!$T$15+7*(Reprogramaciones!Z$14-1))+6,1,IF(MAX(0,NETWORKDAYS.INTL(MAX(E146,(Reprogramaciones!$T$15+7*(Reprogramaciones!Z$14-1))),MIN(F146,(Reprogramaciones!$T$15+7*(Reprogramaciones!Z$14-1))+6),11))=0,0,MAX(0,NETWORKDAYS.INTL(MAX(E146,(Reprogramaciones!$T$15+7*(Reprogramaciones!Z$14-1))),MIN(F146,Reprogramaciones!Z$13),11))/MAX(0,NETWORKDAYS.INTL(MAX(E146,(Reprogramaciones!$T$15+7*(Reprogramaciones!Z$14-1))),MIN(F146,(Reprogramaciones!$T$15+7*(Reprogramaciones!Z$14-1))+6),11))))))))</f>
        <v/>
      </c>
      <c r="CJ146" s="1" t="str">
        <f aca="false">IF(OR(OR(NOT(AND(ISNUMBER(E146),ISNUMBER(F146))),$J$2=""),1&gt;Reprogramaciones!$K$16),"",IF(ROUND(SUM($Q146:Q146),1)&gt;=99.5,100,MIN(100,ROUND(SUM($Q146:Q146),1))))</f>
        <v/>
      </c>
      <c r="CK146" s="1" t="str">
        <f aca="false">IF(OR(OR(NOT(AND(ISNUMBER(E146),ISNUMBER(F146))),$J$2=""),2&gt;Reprogramaciones!$K$16),"",IF(ROUND(SUM($Q146:R146),1)&gt;=99.5,100,MIN(100,ROUND(SUM($Q146:R146),1))))</f>
        <v/>
      </c>
      <c r="CL146" s="1" t="str">
        <f aca="false">IF(OR(OR(NOT(AND(ISNUMBER(E146),ISNUMBER(F146))),$J$2=""),3&gt;Reprogramaciones!$K$16),"",IF(ROUND(SUM($Q146:S146),1)&gt;=99.5,100,MIN(100,ROUND(SUM($Q146:S146),1))))</f>
        <v/>
      </c>
      <c r="CM146" s="1" t="str">
        <f aca="false">IF(OR(OR(NOT(AND(ISNUMBER(E146),ISNUMBER(F146))),$J$2=""),4&gt;Reprogramaciones!$K$16),"",IF(ROUND(SUM($Q146:T146),1)&gt;=99.5,100,MIN(100,ROUND(SUM($Q146:T146),1))))</f>
        <v/>
      </c>
      <c r="CN146" s="1" t="str">
        <f aca="false">IF(OR(OR(NOT(AND(ISNUMBER(E146),ISNUMBER(F146))),$J$2=""),5&gt;Reprogramaciones!$K$16),"",IF(ROUND(SUM($Q146:U146),1)&gt;=99.5,100,MIN(100,ROUND(SUM($Q146:U146),1))))</f>
        <v/>
      </c>
      <c r="CO146" s="1" t="str">
        <f aca="false">IF(OR(OR(NOT(AND(ISNUMBER(E146),ISNUMBER(F146))),$J$2=""),6&gt;Reprogramaciones!$K$16),"",IF(ROUND(SUM($Q146:V146),1)&gt;=99.5,100,MIN(100,ROUND(SUM($Q146:V146),1))))</f>
        <v/>
      </c>
      <c r="CP146" s="1" t="str">
        <f aca="false">IF(OR(OR(NOT(AND(ISNUMBER(E146),ISNUMBER(F146))),$J$2=""),7&gt;Reprogramaciones!$K$16),"",IF(ROUND(SUM($Q146:W146),1)&gt;=99.5,100,MIN(100,ROUND(SUM($Q146:W146),1))))</f>
        <v/>
      </c>
      <c r="CQ146" s="1" t="str">
        <f aca="false">IF(OR(OR(NOT(AND(ISNUMBER(E146),ISNUMBER(F146))),$J$2=""),8&gt;Reprogramaciones!$K$16),"",IF(ROUND(SUM($Q146:X146),1)&gt;=99.5,100,MIN(100,ROUND(SUM($Q146:X146),1))))</f>
        <v/>
      </c>
      <c r="CR146" s="1" t="str">
        <f aca="false">IF(OR(OR(NOT(AND(ISNUMBER(E146),ISNUMBER(F146))),$J$2=""),9&gt;Reprogramaciones!$K$16),"",IF(ROUND(SUM($Q146:Y146),1)&gt;=99.5,100,MIN(100,ROUND(SUM($Q146:Y146),1))))</f>
        <v/>
      </c>
      <c r="CS146" s="1" t="str">
        <f aca="false">IF(OR(OR(NOT(AND(ISNUMBER(E146),ISNUMBER(F146))),$J$2=""),10&gt;Reprogramaciones!$K$16),"",IF(ROUND(SUM($Q146:Z146),1)&gt;=99.5,100,MIN(100,ROUND(SUM($Q146:Z146),1))))</f>
        <v/>
      </c>
      <c r="CT146" s="1" t="str">
        <f aca="false">IF(OR(OR(NOT(AND(ISNUMBER(E146),ISNUMBER(F146))),$J$2=""),11&gt;Reprogramaciones!$K$16),"",IF(ROUND(SUM($Q146:AA146),1)&gt;=99.5,100,MIN(100,ROUND(SUM($Q146:AA146),1))))</f>
        <v/>
      </c>
      <c r="CU146" s="1" t="str">
        <f aca="false">IF(OR(OR(NOT(AND(ISNUMBER(E146),ISNUMBER(F146))),$J$2=""),12&gt;Reprogramaciones!$K$16),"",IF(ROUND(SUM($Q146:AB146),1)&gt;=99.5,100,MIN(100,ROUND(SUM($Q146:AB146),1))))</f>
        <v/>
      </c>
      <c r="CV146" s="1" t="str">
        <f aca="false">IF(OR(OR(NOT(AND(ISNUMBER(E146),ISNUMBER(F146))),$J$2=""),13&gt;Reprogramaciones!$K$16),"",IF(ROUND(SUM($Q146:AC146),1)&gt;=99.5,100,MIN(100,ROUND(SUM($Q146:AC146),1))))</f>
        <v/>
      </c>
      <c r="CW146" s="1" t="str">
        <f aca="false">IF(OR(OR(NOT(AND(ISNUMBER(E146),ISNUMBER(F146))),$J$2=""),14&gt;Reprogramaciones!$K$16),"",IF(ROUND(SUM($Q146:AD146),1)&gt;=99.5,100,MIN(100,ROUND(SUM($Q146:AD146),1))))</f>
        <v/>
      </c>
      <c r="CX146" s="1" t="str">
        <f aca="false">IF(OR(OR(NOT(AND(ISNUMBER(E146),ISNUMBER(F146))),$J$2=""),15&gt;Reprogramaciones!$K$16),"",IF(ROUND(SUM($Q146:AE146),1)&gt;=99.5,100,MIN(100,ROUND(SUM($Q146:AE146),1))))</f>
        <v/>
      </c>
      <c r="CY146" s="1" t="str">
        <f aca="false">IF(OR(OR(NOT(AND(ISNUMBER(E146),ISNUMBER(F146))),$J$2=""),16&gt;Reprogramaciones!$K$16),"",IF(ROUND(SUM($Q146:AF146),1)&gt;=99.5,100,MIN(100,ROUND(SUM($Q146:AF146),1))))</f>
        <v/>
      </c>
      <c r="CZ146" s="1" t="str">
        <f aca="false">IF(D146&lt;&gt;"",D146,IF(B146&lt;&gt;"","Contractual",CZ145))</f>
        <v>Contractual</v>
      </c>
      <c r="DA146" s="1" t="str">
        <f aca="false">IF(OR(NOT(AND(ISNUMBER(E146),ISNUMBER(F146))),$J$2=""),"",IF(Reprogramaciones!$Q$15&lt;Reprogramaciones!$T$15,0,IF(Reprogramaciones!$S$15&gt;10,MIN(100,SUM($G146:$P146)),MIN(100,SUMPRODUCT((COLUMN($G146:$P146)-COLUMN($G146)+1&lt;Reprogramaciones!$S$15)*$G146:$P146)+N(INDEX($G146:$P146,1,Reprogramaciones!$S$15))*IF(Reprogramaciones!$Q$15&gt;=(Reprogramaciones!$T$15+7*(Reprogramaciones!$S$15-1))+6,1,IF(MAX(0,NETWORKDAYS.INTL(MAX(E146,(Reprogramaciones!$T$15+7*(Reprogramaciones!$S$15-1))),MIN(F146,(Reprogramaciones!$T$15+7*(Reprogramaciones!$S$15-1))+6),11))=0,0,MAX(0,NETWORKDAYS.INTL(MAX(E146,(Reprogramaciones!$T$15+7*(Reprogramaciones!$S$15-1))),MIN(F146,Reprogramaciones!$Q$15),11))/MAX(0,NETWORKDAYS.INTL(MAX(E146,(Reprogramaciones!$T$15+7*(Reprogramaciones!$S$15-1))),MIN(F146,(Reprogramaciones!$T$15+7*(Reprogramaciones!$S$15-1))+6),11))))))))</f>
        <v/>
      </c>
    </row>
    <row r="147" customFormat="false" ht="15" hidden="false" customHeight="false" outlineLevel="0" collapsed="false">
      <c r="A147" s="32"/>
      <c r="B147" s="33"/>
      <c r="C147" s="33"/>
      <c r="D147" s="34"/>
      <c r="E147" s="35"/>
      <c r="F147" s="35"/>
      <c r="G147" s="36" t="str">
        <f aca="false">IF(OR(NOT(AND(ISNUMBER(E147),ISNUMBER(F147))),$J$2=""),"",IF(Reprogramaciones!K$9&lt;E147,0,IF(NETWORKDAYS.INTL(E147,F147,11)=0,IF(Reprogramaciones!K$9&gt;=F147,100,0),ROUND(NETWORKDAYS.INTL(E147,MIN(F147,Reprogramaciones!K$9),11)/NETWORKDAYS.INTL(E147,F147,11)*100,1)))-0)</f>
        <v/>
      </c>
      <c r="H147" s="36" t="str">
        <f aca="false">IF(OR(NOT(AND(ISNUMBER(E147),ISNUMBER(F147))),$J$2=""),"",IF(Reprogramaciones!L$9&lt;E147,0,IF(NETWORKDAYS.INTL(E147,F147,11)=0,IF(Reprogramaciones!L$9&gt;=F147,100,0),ROUND(NETWORKDAYS.INTL(E147,MIN(F147,Reprogramaciones!L$9),11)/NETWORKDAYS.INTL(E147,F147,11)*100,1)))-IF(Reprogramaciones!K$9&lt;E147,0,IF(NETWORKDAYS.INTL(E147,F147,11)=0,IF(Reprogramaciones!K$9&gt;=F147,100,0),ROUND(NETWORKDAYS.INTL(E147,MIN(F147,Reprogramaciones!K$9),11)/NETWORKDAYS.INTL(E147,F147,11)*100,1))))</f>
        <v/>
      </c>
      <c r="I147" s="36" t="str">
        <f aca="false">IF(OR(NOT(AND(ISNUMBER(E147),ISNUMBER(F147))),$J$2=""),"",IF(Reprogramaciones!M$9&lt;E147,0,IF(NETWORKDAYS.INTL(E147,F147,11)=0,IF(Reprogramaciones!M$9&gt;=F147,100,0),ROUND(NETWORKDAYS.INTL(E147,MIN(F147,Reprogramaciones!M$9),11)/NETWORKDAYS.INTL(E147,F147,11)*100,1)))-IF(Reprogramaciones!L$9&lt;E147,0,IF(NETWORKDAYS.INTL(E147,F147,11)=0,IF(Reprogramaciones!L$9&gt;=F147,100,0),ROUND(NETWORKDAYS.INTL(E147,MIN(F147,Reprogramaciones!L$9),11)/NETWORKDAYS.INTL(E147,F147,11)*100,1))))</f>
        <v/>
      </c>
      <c r="J147" s="36" t="str">
        <f aca="false">IF(OR(NOT(AND(ISNUMBER(E147),ISNUMBER(F147))),$J$2=""),"",IF(Reprogramaciones!N$9&lt;E147,0,IF(NETWORKDAYS.INTL(E147,F147,11)=0,IF(Reprogramaciones!N$9&gt;=F147,100,0),ROUND(NETWORKDAYS.INTL(E147,MIN(F147,Reprogramaciones!N$9),11)/NETWORKDAYS.INTL(E147,F147,11)*100,1)))-IF(Reprogramaciones!M$9&lt;E147,0,IF(NETWORKDAYS.INTL(E147,F147,11)=0,IF(Reprogramaciones!M$9&gt;=F147,100,0),ROUND(NETWORKDAYS.INTL(E147,MIN(F147,Reprogramaciones!M$9),11)/NETWORKDAYS.INTL(E147,F147,11)*100,1))))</f>
        <v/>
      </c>
      <c r="K147" s="36" t="str">
        <f aca="false">IF(OR(NOT(AND(ISNUMBER(E147),ISNUMBER(F147))),$J$2=""),"",IF(Reprogramaciones!O$9&lt;E147,0,IF(NETWORKDAYS.INTL(E147,F147,11)=0,IF(Reprogramaciones!O$9&gt;=F147,100,0),ROUND(NETWORKDAYS.INTL(E147,MIN(F147,Reprogramaciones!O$9),11)/NETWORKDAYS.INTL(E147,F147,11)*100,1)))-IF(Reprogramaciones!N$9&lt;E147,0,IF(NETWORKDAYS.INTL(E147,F147,11)=0,IF(Reprogramaciones!N$9&gt;=F147,100,0),ROUND(NETWORKDAYS.INTL(E147,MIN(F147,Reprogramaciones!N$9),11)/NETWORKDAYS.INTL(E147,F147,11)*100,1))))</f>
        <v/>
      </c>
      <c r="L147" s="36" t="str">
        <f aca="false">IF(OR(NOT(AND(ISNUMBER(E147),ISNUMBER(F147))),$J$2=""),"",IF(Reprogramaciones!P$9&lt;E147,0,IF(NETWORKDAYS.INTL(E147,F147,11)=0,IF(Reprogramaciones!P$9&gt;=F147,100,0),ROUND(NETWORKDAYS.INTL(E147,MIN(F147,Reprogramaciones!P$9),11)/NETWORKDAYS.INTL(E147,F147,11)*100,1)))-IF(Reprogramaciones!O$9&lt;E147,0,IF(NETWORKDAYS.INTL(E147,F147,11)=0,IF(Reprogramaciones!O$9&gt;=F147,100,0),ROUND(NETWORKDAYS.INTL(E147,MIN(F147,Reprogramaciones!O$9),11)/NETWORKDAYS.INTL(E147,F147,11)*100,1))))</f>
        <v/>
      </c>
      <c r="M147" s="36" t="str">
        <f aca="false">IF(OR(NOT(AND(ISNUMBER(E147),ISNUMBER(F147))),$J$2=""),"",IF(Reprogramaciones!Q$9&lt;E147,0,IF(NETWORKDAYS.INTL(E147,F147,11)=0,IF(Reprogramaciones!Q$9&gt;=F147,100,0),ROUND(NETWORKDAYS.INTL(E147,MIN(F147,Reprogramaciones!Q$9),11)/NETWORKDAYS.INTL(E147,F147,11)*100,1)))-IF(Reprogramaciones!P$9&lt;E147,0,IF(NETWORKDAYS.INTL(E147,F147,11)=0,IF(Reprogramaciones!P$9&gt;=F147,100,0),ROUND(NETWORKDAYS.INTL(E147,MIN(F147,Reprogramaciones!P$9),11)/NETWORKDAYS.INTL(E147,F147,11)*100,1))))</f>
        <v/>
      </c>
      <c r="N147" s="36" t="str">
        <f aca="false">IF(OR(NOT(AND(ISNUMBER(E147),ISNUMBER(F147))),$J$2=""),"",IF(Reprogramaciones!R$9&lt;E147,0,IF(NETWORKDAYS.INTL(E147,F147,11)=0,IF(Reprogramaciones!R$9&gt;=F147,100,0),ROUND(NETWORKDAYS.INTL(E147,MIN(F147,Reprogramaciones!R$9),11)/NETWORKDAYS.INTL(E147,F147,11)*100,1)))-IF(Reprogramaciones!Q$9&lt;E147,0,IF(NETWORKDAYS.INTL(E147,F147,11)=0,IF(Reprogramaciones!Q$9&gt;=F147,100,0),ROUND(NETWORKDAYS.INTL(E147,MIN(F147,Reprogramaciones!Q$9),11)/NETWORKDAYS.INTL(E147,F147,11)*100,1))))</f>
        <v/>
      </c>
      <c r="O147" s="36" t="str">
        <f aca="false">IF(OR(NOT(AND(ISNUMBER(E147),ISNUMBER(F147))),$J$2=""),"",IF(Reprogramaciones!S$9&lt;E147,0,IF(NETWORKDAYS.INTL(E147,F147,11)=0,IF(Reprogramaciones!S$9&gt;=F147,100,0),ROUND(NETWORKDAYS.INTL(E147,MIN(F147,Reprogramaciones!S$9),11)/NETWORKDAYS.INTL(E147,F147,11)*100,1)))-IF(Reprogramaciones!R$9&lt;E147,0,IF(NETWORKDAYS.INTL(E147,F147,11)=0,IF(Reprogramaciones!R$9&gt;=F147,100,0),ROUND(NETWORKDAYS.INTL(E147,MIN(F147,Reprogramaciones!R$9),11)/NETWORKDAYS.INTL(E147,F147,11)*100,1))))</f>
        <v/>
      </c>
      <c r="P147" s="36" t="str">
        <f aca="false">IF(OR(NOT(AND(ISNUMBER(E147),ISNUMBER(F147))),$J$2=""),"",IF(Reprogramaciones!T$9&lt;E147,0,IF(NETWORKDAYS.INTL(E147,F147,11)=0,IF(Reprogramaciones!T$9&gt;=F147,100,0),ROUND(NETWORKDAYS.INTL(E147,MIN(F147,Reprogramaciones!T$9),11)/NETWORKDAYS.INTL(E147,F147,11)*100,1)))-IF(Reprogramaciones!S$9&lt;E147,0,IF(NETWORKDAYS.INTL(E147,F147,11)=0,IF(Reprogramaciones!S$9&gt;=F147,100,0),ROUND(NETWORKDAYS.INTL(E147,MIN(F147,Reprogramaciones!S$9),11)/NETWORKDAYS.INTL(E147,F147,11)*100,1))))</f>
        <v/>
      </c>
      <c r="Q147" s="37"/>
      <c r="R147" s="37"/>
      <c r="S147" s="37"/>
      <c r="T147" s="37"/>
      <c r="U147" s="37"/>
      <c r="V147" s="37"/>
      <c r="W147" s="37"/>
      <c r="X147" s="37"/>
      <c r="Y147" s="37"/>
      <c r="Z147" s="37"/>
      <c r="AA147" s="37"/>
      <c r="AB147" s="37"/>
      <c r="AC147" s="37"/>
      <c r="AD147" s="37"/>
      <c r="AE147" s="37"/>
      <c r="AF147" s="37"/>
      <c r="AG147" s="38" t="str">
        <f aca="false">IF(AND(ISNUMBER(E147),ISNUMBER(F147)),NETWORKDAYS.INTL(E147,F147,11),"")</f>
        <v/>
      </c>
      <c r="AH147" s="38" t="str">
        <f aca="false">IF(OR(NOT(AND(ISNUMBER(E147),ISNUMBER(F147))),$J$2=""),"",IF(Reprogramaciones!$P$15&lt;Reprogramaciones!$T$15,0,IF(Reprogramaciones!$R$15&gt;10,MIN(100,SUM($G147:$P147)),MIN(100,SUMPRODUCT((COLUMN($G147:$P147)-COLUMN($G147)+1&lt;Reprogramaciones!$R$15)*$G147:$P147)+N(INDEX($G147:$P147,1,Reprogramaciones!$R$15))*IF(Reprogramaciones!$P$15&gt;=(Reprogramaciones!$T$15+7*(Reprogramaciones!$R$15-1))+6,1,IF(MAX(0,NETWORKDAYS.INTL(MAX(E147,(Reprogramaciones!$T$15+7*(Reprogramaciones!$R$15-1))),MIN(F147,(Reprogramaciones!$T$15+7*(Reprogramaciones!$R$15-1))+6),11))=0,0,MAX(0,NETWORKDAYS.INTL(MAX(E147,(Reprogramaciones!$T$15+7*(Reprogramaciones!$R$15-1))),MIN(F147,Reprogramaciones!$P$15),11))/MAX(0,NETWORKDAYS.INTL(MAX(E147,(Reprogramaciones!$T$15+7*(Reprogramaciones!$R$15-1))),MIN(F147,(Reprogramaciones!$T$15+7*(Reprogramaciones!$R$15-1))+6),11))))))))</f>
        <v/>
      </c>
      <c r="AI147" s="38" t="str">
        <f aca="false">IF(COUNT($Q147:$AF147)=0,"",IF(ROUND(SUM($Q147:$AF147),1)&gt;=99.5,100,MIN(100,ROUND(SUM($Q147:$AF147),1))))</f>
        <v/>
      </c>
      <c r="AJ147" s="38" t="str">
        <f aca="false">IF(OR(AH147="",AI147=""),"",AI147-AH147)</f>
        <v/>
      </c>
      <c r="AK147" s="39" t="str">
        <f aca="true">IF(AH147="","",IF(OR(Ficha!$C$10="Suspendida",Ficha!$C$10="Cancelada"),Ficha!$C$10,IF(AND(AI147&lt;&gt;"",N(AI147)&gt;=100),"Completada",IF(AND(E147&gt;TODAY(),N(AI147)=0),"Por iniciar",IF(N(AI147)+0.5&lt;AH147,"Retrasada",IF(N(AI147)+0.5&lt;DA147,IF(Reprogramaciones!$K$15&gt;0,"Al día · Sem "&amp;Reprogramaciones!$K$15&amp;" en curso","Al día · en curso"),"A tiempo"))))))</f>
        <v/>
      </c>
      <c r="AL147" s="39" t="str">
        <f aca="true">IF(AND(A147="",AND(B147="",C147="",E147="",F147="",COUNT(Q147:AF147)=0)),"",IF(AND(B147="",C147="",E147="",F147="",COUNT(Q147:AF147)=0),"Falta la partida o subpartida",IF(AND(A147&lt;&gt;"",COUNTIF($A$6:$A$305,A147)&gt;1),"Ítem repetido",IF(AND(C147="",E147="",F147="",COUNT(Q147:AF147)=0),"Título de partida",IF(OR(E147="",F147=""),"Faltan fechas",IF(OR(ISTEXT(E147),ISTEXT(F147)),"Fecha escrita como texto: usa dd/mm/aaaa",IF(F147&lt;E147,"Fin antes del inicio",IF(IF($J$2="",FALSE(),OR(E147&lt;$J$2,F147&gt;Reprogramaciones!$T$15+69)),"Fuera de las 10 semanas",IF(ABS(SUM(G147:P147)-100)&gt;0.5,"La meta no suma 100%",IF(ROUND(SUM(Q147:AF147),1)&gt;100.5,"El avance pasa de 100%",IF(MIN(Q147:AF147)&lt;0,"Avance negativo",IF(COUNTA(Q147:AF147)&gt;COUNT(Q147:AF147),"Avance escrito como texto",IF(SUMPRODUCT((Q147:AF147&gt;0)*(Q147:AF147&lt;1))&gt;0,"Avance menor a 1: escribe 50, no 50%",IF(SUMPRODUCT(ISNUMBER(Q147:AF147)*(Reprogramaciones!$K$8:$Z$8&gt;TODAY()))&gt;0,"Avance en semana que aún no llega",IF(AND(N(Reprogramaciones!$E$21)&gt;0,F147&gt;Reprogramaciones!$E$21),"Pasa el fin de la obra: registra una reprogramación",IF(AND(N(Reprogramaciones!$E$21)&gt;0,SUMPRODUCT(ISNUMBER(Q147:AF147)*(Reprogramaciones!$K$8:$Z$8&gt;Reprogramaciones!$E$21))&gt;0),"Avance después del fin de la obra: registra una reprogramación por atraso","OK"))))))))))))))))</f>
        <v/>
      </c>
      <c r="AM147" s="40" t="str">
        <f aca="false">IF(OR(OR(NOT(AND(ISNUMBER(E147),ISNUMBER(F147))),$J$2=""),1&gt;MAX(1,Reprogramaciones!$U$15)),"",IF(Reprogramaciones!K$12&gt;=7,"",IF(OR(BT147-N(0)&gt;0.05,N(Q147)&gt;0),ROUNDDOWN(ROUND(BT147,6),0)&amp;"%"&amp;IF(CJ147="",""," / "&amp;CJ147&amp;"%"),IF(AND(N(0)&gt;=99.95,CJ147&lt;&gt;"",N(CJ147)&lt;100),"Pend. "&amp;CJ147&amp;"%",""))))</f>
        <v/>
      </c>
      <c r="AN147" s="40" t="str">
        <f aca="false">IF(OR(OR(NOT(AND(ISNUMBER(E147),ISNUMBER(F147))),$J$2=""),2&gt;MAX(1,Reprogramaciones!$U$15)),"",IF(Reprogramaciones!L$12&gt;=7,"",IF(OR(BU147-N(BT147)&gt;0.05,N(R147)&gt;0),ROUNDDOWN(ROUND(BU147,6),0)&amp;"%"&amp;IF(CK147="",""," / "&amp;CK147&amp;"%"),IF(AND(N(BT147)&gt;=99.95,CK147&lt;&gt;"",N(CK147)&lt;100),"Pend. "&amp;CK147&amp;"%",""))))</f>
        <v/>
      </c>
      <c r="AO147" s="40" t="str">
        <f aca="false">IF(OR(OR(NOT(AND(ISNUMBER(E147),ISNUMBER(F147))),$J$2=""),3&gt;MAX(1,Reprogramaciones!$U$15)),"",IF(Reprogramaciones!M$12&gt;=7,"",IF(OR(BV147-N(BU147)&gt;0.05,N(S147)&gt;0),ROUNDDOWN(ROUND(BV147,6),0)&amp;"%"&amp;IF(CL147="",""," / "&amp;CL147&amp;"%"),IF(AND(N(BU147)&gt;=99.95,CL147&lt;&gt;"",N(CL147)&lt;100),"Pend. "&amp;CL147&amp;"%",""))))</f>
        <v/>
      </c>
      <c r="AP147" s="40" t="str">
        <f aca="false">IF(OR(OR(NOT(AND(ISNUMBER(E147),ISNUMBER(F147))),$J$2=""),4&gt;MAX(1,Reprogramaciones!$U$15)),"",IF(Reprogramaciones!N$12&gt;=7,"",IF(OR(BW147-N(BV147)&gt;0.05,N(T147)&gt;0),ROUNDDOWN(ROUND(BW147,6),0)&amp;"%"&amp;IF(CM147="",""," / "&amp;CM147&amp;"%"),IF(AND(N(BV147)&gt;=99.95,CM147&lt;&gt;"",N(CM147)&lt;100),"Pend. "&amp;CM147&amp;"%",""))))</f>
        <v/>
      </c>
      <c r="AQ147" s="40" t="str">
        <f aca="false">IF(OR(OR(NOT(AND(ISNUMBER(E147),ISNUMBER(F147))),$J$2=""),5&gt;MAX(1,Reprogramaciones!$U$15)),"",IF(Reprogramaciones!O$12&gt;=7,"",IF(OR(BX147-N(BW147)&gt;0.05,N(U147)&gt;0),ROUNDDOWN(ROUND(BX147,6),0)&amp;"%"&amp;IF(CN147="",""," / "&amp;CN147&amp;"%"),IF(AND(N(BW147)&gt;=99.95,CN147&lt;&gt;"",N(CN147)&lt;100),"Pend. "&amp;CN147&amp;"%",""))))</f>
        <v/>
      </c>
      <c r="AR147" s="40" t="str">
        <f aca="false">IF(OR(OR(NOT(AND(ISNUMBER(E147),ISNUMBER(F147))),$J$2=""),6&gt;MAX(1,Reprogramaciones!$U$15)),"",IF(Reprogramaciones!P$12&gt;=7,"",IF(OR(BY147-N(BX147)&gt;0.05,N(V147)&gt;0),ROUNDDOWN(ROUND(BY147,6),0)&amp;"%"&amp;IF(CO147="",""," / "&amp;CO147&amp;"%"),IF(AND(N(BX147)&gt;=99.95,CO147&lt;&gt;"",N(CO147)&lt;100),"Pend. "&amp;CO147&amp;"%",""))))</f>
        <v/>
      </c>
      <c r="AS147" s="40" t="str">
        <f aca="false">IF(OR(OR(NOT(AND(ISNUMBER(E147),ISNUMBER(F147))),$J$2=""),7&gt;MAX(1,Reprogramaciones!$U$15)),"",IF(Reprogramaciones!Q$12&gt;=7,"",IF(OR(BZ147-N(BY147)&gt;0.05,N(W147)&gt;0),ROUNDDOWN(ROUND(BZ147,6),0)&amp;"%"&amp;IF(CP147="",""," / "&amp;CP147&amp;"%"),IF(AND(N(BY147)&gt;=99.95,CP147&lt;&gt;"",N(CP147)&lt;100),"Pend. "&amp;CP147&amp;"%",""))))</f>
        <v/>
      </c>
      <c r="AT147" s="40" t="str">
        <f aca="false">IF(OR(OR(NOT(AND(ISNUMBER(E147),ISNUMBER(F147))),$J$2=""),8&gt;MAX(1,Reprogramaciones!$U$15)),"",IF(Reprogramaciones!R$12&gt;=7,"",IF(OR(CA147-N(BZ147)&gt;0.05,N(X147)&gt;0),ROUNDDOWN(ROUND(CA147,6),0)&amp;"%"&amp;IF(CQ147="",""," / "&amp;CQ147&amp;"%"),IF(AND(N(BZ147)&gt;=99.95,CQ147&lt;&gt;"",N(CQ147)&lt;100),"Pend. "&amp;CQ147&amp;"%",""))))</f>
        <v/>
      </c>
      <c r="AU147" s="40" t="str">
        <f aca="false">IF(OR(OR(NOT(AND(ISNUMBER(E147),ISNUMBER(F147))),$J$2=""),9&gt;MAX(1,Reprogramaciones!$U$15)),"",IF(Reprogramaciones!S$12&gt;=7,"",IF(OR(CB147-N(CA147)&gt;0.05,N(Y147)&gt;0),ROUNDDOWN(ROUND(CB147,6),0)&amp;"%"&amp;IF(CR147="",""," / "&amp;CR147&amp;"%"),IF(AND(N(CA147)&gt;=99.95,CR147&lt;&gt;"",N(CR147)&lt;100),"Pend. "&amp;CR147&amp;"%",""))))</f>
        <v/>
      </c>
      <c r="AV147" s="40" t="str">
        <f aca="false">IF(OR(OR(NOT(AND(ISNUMBER(E147),ISNUMBER(F147))),$J$2=""),10&gt;MAX(1,Reprogramaciones!$U$15)),"",IF(Reprogramaciones!T$12&gt;=7,"",IF(OR(CC147-N(CB147)&gt;0.05,N(Z147)&gt;0),ROUNDDOWN(ROUND(CC147,6),0)&amp;"%"&amp;IF(CS147="",""," / "&amp;CS147&amp;"%"),IF(AND(N(CB147)&gt;=99.95,CS147&lt;&gt;"",N(CS147)&lt;100),"Pend. "&amp;CS147&amp;"%",""))))</f>
        <v/>
      </c>
      <c r="AW147" s="40" t="str">
        <f aca="false">IF(OR(OR(NOT(AND(ISNUMBER(E147),ISNUMBER(F147))),$J$2=""),11&gt;MAX(1,Reprogramaciones!$U$15)),"",IF(Reprogramaciones!U$12&gt;=7,"",IF(OR(CD147-N(CC147)&gt;0.05,N(AA147)&gt;0),ROUNDDOWN(ROUND(CD147,6),0)&amp;"%"&amp;IF(CT147="",""," / "&amp;CT147&amp;"%"),IF(AND(N(CC147)&gt;=99.95,CT147&lt;&gt;"",N(CT147)&lt;100),"Pend. "&amp;CT147&amp;"%",""))))</f>
        <v/>
      </c>
      <c r="AX147" s="40" t="str">
        <f aca="false">IF(OR(OR(NOT(AND(ISNUMBER(E147),ISNUMBER(F147))),$J$2=""),12&gt;MAX(1,Reprogramaciones!$U$15)),"",IF(Reprogramaciones!V$12&gt;=7,"",IF(OR(CE147-N(CD147)&gt;0.05,N(AB147)&gt;0),ROUNDDOWN(ROUND(CE147,6),0)&amp;"%"&amp;IF(CU147="",""," / "&amp;CU147&amp;"%"),IF(AND(N(CD147)&gt;=99.95,CU147&lt;&gt;"",N(CU147)&lt;100),"Pend. "&amp;CU147&amp;"%",""))))</f>
        <v/>
      </c>
      <c r="AY147" s="40" t="str">
        <f aca="false">IF(OR(OR(NOT(AND(ISNUMBER(E147),ISNUMBER(F147))),$J$2=""),13&gt;MAX(1,Reprogramaciones!$U$15)),"",IF(Reprogramaciones!W$12&gt;=7,"",IF(OR(CF147-N(CE147)&gt;0.05,N(AC147)&gt;0),ROUNDDOWN(ROUND(CF147,6),0)&amp;"%"&amp;IF(CV147="",""," / "&amp;CV147&amp;"%"),IF(AND(N(CE147)&gt;=99.95,CV147&lt;&gt;"",N(CV147)&lt;100),"Pend. "&amp;CV147&amp;"%",""))))</f>
        <v/>
      </c>
      <c r="AZ147" s="40" t="str">
        <f aca="false">IF(OR(OR(NOT(AND(ISNUMBER(E147),ISNUMBER(F147))),$J$2=""),14&gt;MAX(1,Reprogramaciones!$U$15)),"",IF(Reprogramaciones!X$12&gt;=7,"",IF(OR(CG147-N(CF147)&gt;0.05,N(AD147)&gt;0),ROUNDDOWN(ROUND(CG147,6),0)&amp;"%"&amp;IF(CW147="",""," / "&amp;CW147&amp;"%"),IF(AND(N(CF147)&gt;=99.95,CW147&lt;&gt;"",N(CW147)&lt;100),"Pend. "&amp;CW147&amp;"%",""))))</f>
        <v/>
      </c>
      <c r="BA147" s="40" t="str">
        <f aca="false">IF(OR(OR(NOT(AND(ISNUMBER(E147),ISNUMBER(F147))),$J$2=""),15&gt;MAX(1,Reprogramaciones!$U$15)),"",IF(Reprogramaciones!Y$12&gt;=7,"",IF(OR(CH147-N(CG147)&gt;0.05,N(AE147)&gt;0),ROUNDDOWN(ROUND(CH147,6),0)&amp;"%"&amp;IF(CX147="",""," / "&amp;CX147&amp;"%"),IF(AND(N(CG147)&gt;=99.95,CX147&lt;&gt;"",N(CX147)&lt;100),"Pend. "&amp;CX147&amp;"%",""))))</f>
        <v/>
      </c>
      <c r="BB147" s="40" t="str">
        <f aca="false">IF(OR(OR(NOT(AND(ISNUMBER(E147),ISNUMBER(F147))),$J$2=""),16&gt;MAX(1,Reprogramaciones!$U$15)),"",IF(Reprogramaciones!Z$12&gt;=7,"",IF(OR(CI147-N(CH147)&gt;0.05,N(AF147)&gt;0),ROUNDDOWN(ROUND(CI147,6),0)&amp;"%"&amp;IF(CY147="",""," / "&amp;CY147&amp;"%"),IF(AND(N(CH147)&gt;=99.95,CY147&lt;&gt;"",N(CY147)&lt;100),"Pend. "&amp;CY147&amp;"%",""))))</f>
        <v/>
      </c>
      <c r="BC147" s="31" t="n">
        <f aca="false">IF(AND(ISNUMBER(E147),ISNUMBER(F147)),MAX(1,NETWORKDAYS.INTL(E147,F147,11)),0)</f>
        <v>0</v>
      </c>
      <c r="BD147" s="1" t="str">
        <f aca="false">IF(OR(NOT(AND(ISNUMBER(E147),ISNUMBER(F147))),$J$2=""),"",MIN(100,ROUND(SUM($G147:G147),1)))</f>
        <v/>
      </c>
      <c r="BE147" s="1" t="str">
        <f aca="false">IF(OR(NOT(AND(ISNUMBER(E147),ISNUMBER(F147))),$J$2=""),"",MIN(100,ROUND(SUM($G147:H147),1)))</f>
        <v/>
      </c>
      <c r="BF147" s="1" t="str">
        <f aca="false">IF(OR(NOT(AND(ISNUMBER(E147),ISNUMBER(F147))),$J$2=""),"",MIN(100,ROUND(SUM($G147:I147),1)))</f>
        <v/>
      </c>
      <c r="BG147" s="1" t="str">
        <f aca="false">IF(OR(NOT(AND(ISNUMBER(E147),ISNUMBER(F147))),$J$2=""),"",MIN(100,ROUND(SUM($G147:J147),1)))</f>
        <v/>
      </c>
      <c r="BH147" s="1" t="str">
        <f aca="false">IF(OR(NOT(AND(ISNUMBER(E147),ISNUMBER(F147))),$J$2=""),"",MIN(100,ROUND(SUM($G147:K147),1)))</f>
        <v/>
      </c>
      <c r="BI147" s="1" t="str">
        <f aca="false">IF(OR(NOT(AND(ISNUMBER(E147),ISNUMBER(F147))),$J$2=""),"",MIN(100,ROUND(SUM($G147:L147),1)))</f>
        <v/>
      </c>
      <c r="BJ147" s="1" t="str">
        <f aca="false">IF(OR(NOT(AND(ISNUMBER(E147),ISNUMBER(F147))),$J$2=""),"",MIN(100,ROUND(SUM($G147:M147),1)))</f>
        <v/>
      </c>
      <c r="BK147" s="1" t="str">
        <f aca="false">IF(OR(NOT(AND(ISNUMBER(E147),ISNUMBER(F147))),$J$2=""),"",MIN(100,ROUND(SUM($G147:N147),1)))</f>
        <v/>
      </c>
      <c r="BL147" s="1" t="str">
        <f aca="false">IF(OR(NOT(AND(ISNUMBER(E147),ISNUMBER(F147))),$J$2=""),"",MIN(100,ROUND(SUM($G147:O147),1)))</f>
        <v/>
      </c>
      <c r="BM147" s="1" t="str">
        <f aca="false">IF(OR(NOT(AND(ISNUMBER(E147),ISNUMBER(F147))),$J$2=""),"",MIN(100,ROUND(SUM($G147:P147),1)))</f>
        <v/>
      </c>
      <c r="BN147" s="1" t="str">
        <f aca="false">IF(OR(NOT(AND(ISNUMBER(E147),ISNUMBER(F147))),$J$2=""),"",MIN(100,ROUND(SUM($G147:P147),1)))</f>
        <v/>
      </c>
      <c r="BO147" s="1" t="str">
        <f aca="false">IF(OR(NOT(AND(ISNUMBER(E147),ISNUMBER(F147))),$J$2=""),"",MIN(100,ROUND(SUM($G147:P147),1)))</f>
        <v/>
      </c>
      <c r="BP147" s="1" t="str">
        <f aca="false">IF(OR(NOT(AND(ISNUMBER(E147),ISNUMBER(F147))),$J$2=""),"",MIN(100,ROUND(SUM($G147:P147),1)))</f>
        <v/>
      </c>
      <c r="BQ147" s="1" t="str">
        <f aca="false">IF(OR(NOT(AND(ISNUMBER(E147),ISNUMBER(F147))),$J$2=""),"",MIN(100,ROUND(SUM($G147:P147),1)))</f>
        <v/>
      </c>
      <c r="BR147" s="1" t="str">
        <f aca="false">IF(OR(NOT(AND(ISNUMBER(E147),ISNUMBER(F147))),$J$2=""),"",MIN(100,ROUND(SUM($G147:P147),1)))</f>
        <v/>
      </c>
      <c r="BS147" s="1" t="str">
        <f aca="false">IF(OR(NOT(AND(ISNUMBER(E147),ISNUMBER(F147))),$J$2=""),"",MIN(100,ROUND(SUM($G147:P147),1)))</f>
        <v/>
      </c>
      <c r="BT147" s="1" t="str">
        <f aca="false">IF(OR(NOT(AND(ISNUMBER(E147),ISNUMBER(F147))),$J$2=""),"",IF(Reprogramaciones!K$13&lt;Reprogramaciones!$T$15,0,IF(Reprogramaciones!K$14&gt;10,MIN(100,SUM($G147:$P147)),MIN(100,SUMPRODUCT((COLUMN($G147:$P147)-COLUMN($G147)+1&lt;Reprogramaciones!K$14)*$G147:$P147)+N(INDEX($G147:$P147,1,Reprogramaciones!K$14))*IF(Reprogramaciones!K$13&gt;=(Reprogramaciones!$T$15+7*(Reprogramaciones!K$14-1))+6,1,IF(MAX(0,NETWORKDAYS.INTL(MAX(E147,(Reprogramaciones!$T$15+7*(Reprogramaciones!K$14-1))),MIN(F147,(Reprogramaciones!$T$15+7*(Reprogramaciones!K$14-1))+6),11))=0,0,MAX(0,NETWORKDAYS.INTL(MAX(E147,(Reprogramaciones!$T$15+7*(Reprogramaciones!K$14-1))),MIN(F147,Reprogramaciones!K$13),11))/MAX(0,NETWORKDAYS.INTL(MAX(E147,(Reprogramaciones!$T$15+7*(Reprogramaciones!K$14-1))),MIN(F147,(Reprogramaciones!$T$15+7*(Reprogramaciones!K$14-1))+6),11))))))))</f>
        <v/>
      </c>
      <c r="BU147" s="1" t="str">
        <f aca="false">IF(OR(NOT(AND(ISNUMBER(E147),ISNUMBER(F147))),$J$2=""),"",IF(Reprogramaciones!L$13&lt;Reprogramaciones!$T$15,0,IF(Reprogramaciones!L$14&gt;10,MIN(100,SUM($G147:$P147)),MIN(100,SUMPRODUCT((COLUMN($G147:$P147)-COLUMN($G147)+1&lt;Reprogramaciones!L$14)*$G147:$P147)+N(INDEX($G147:$P147,1,Reprogramaciones!L$14))*IF(Reprogramaciones!L$13&gt;=(Reprogramaciones!$T$15+7*(Reprogramaciones!L$14-1))+6,1,IF(MAX(0,NETWORKDAYS.INTL(MAX(E147,(Reprogramaciones!$T$15+7*(Reprogramaciones!L$14-1))),MIN(F147,(Reprogramaciones!$T$15+7*(Reprogramaciones!L$14-1))+6),11))=0,0,MAX(0,NETWORKDAYS.INTL(MAX(E147,(Reprogramaciones!$T$15+7*(Reprogramaciones!L$14-1))),MIN(F147,Reprogramaciones!L$13),11))/MAX(0,NETWORKDAYS.INTL(MAX(E147,(Reprogramaciones!$T$15+7*(Reprogramaciones!L$14-1))),MIN(F147,(Reprogramaciones!$T$15+7*(Reprogramaciones!L$14-1))+6),11))))))))</f>
        <v/>
      </c>
      <c r="BV147" s="1" t="str">
        <f aca="false">IF(OR(NOT(AND(ISNUMBER(E147),ISNUMBER(F147))),$J$2=""),"",IF(Reprogramaciones!M$13&lt;Reprogramaciones!$T$15,0,IF(Reprogramaciones!M$14&gt;10,MIN(100,SUM($G147:$P147)),MIN(100,SUMPRODUCT((COLUMN($G147:$P147)-COLUMN($G147)+1&lt;Reprogramaciones!M$14)*$G147:$P147)+N(INDEX($G147:$P147,1,Reprogramaciones!M$14))*IF(Reprogramaciones!M$13&gt;=(Reprogramaciones!$T$15+7*(Reprogramaciones!M$14-1))+6,1,IF(MAX(0,NETWORKDAYS.INTL(MAX(E147,(Reprogramaciones!$T$15+7*(Reprogramaciones!M$14-1))),MIN(F147,(Reprogramaciones!$T$15+7*(Reprogramaciones!M$14-1))+6),11))=0,0,MAX(0,NETWORKDAYS.INTL(MAX(E147,(Reprogramaciones!$T$15+7*(Reprogramaciones!M$14-1))),MIN(F147,Reprogramaciones!M$13),11))/MAX(0,NETWORKDAYS.INTL(MAX(E147,(Reprogramaciones!$T$15+7*(Reprogramaciones!M$14-1))),MIN(F147,(Reprogramaciones!$T$15+7*(Reprogramaciones!M$14-1))+6),11))))))))</f>
        <v/>
      </c>
      <c r="BW147" s="1" t="str">
        <f aca="false">IF(OR(NOT(AND(ISNUMBER(E147),ISNUMBER(F147))),$J$2=""),"",IF(Reprogramaciones!N$13&lt;Reprogramaciones!$T$15,0,IF(Reprogramaciones!N$14&gt;10,MIN(100,SUM($G147:$P147)),MIN(100,SUMPRODUCT((COLUMN($G147:$P147)-COLUMN($G147)+1&lt;Reprogramaciones!N$14)*$G147:$P147)+N(INDEX($G147:$P147,1,Reprogramaciones!N$14))*IF(Reprogramaciones!N$13&gt;=(Reprogramaciones!$T$15+7*(Reprogramaciones!N$14-1))+6,1,IF(MAX(0,NETWORKDAYS.INTL(MAX(E147,(Reprogramaciones!$T$15+7*(Reprogramaciones!N$14-1))),MIN(F147,(Reprogramaciones!$T$15+7*(Reprogramaciones!N$14-1))+6),11))=0,0,MAX(0,NETWORKDAYS.INTL(MAX(E147,(Reprogramaciones!$T$15+7*(Reprogramaciones!N$14-1))),MIN(F147,Reprogramaciones!N$13),11))/MAX(0,NETWORKDAYS.INTL(MAX(E147,(Reprogramaciones!$T$15+7*(Reprogramaciones!N$14-1))),MIN(F147,(Reprogramaciones!$T$15+7*(Reprogramaciones!N$14-1))+6),11))))))))</f>
        <v/>
      </c>
      <c r="BX147" s="1" t="str">
        <f aca="false">IF(OR(NOT(AND(ISNUMBER(E147),ISNUMBER(F147))),$J$2=""),"",IF(Reprogramaciones!O$13&lt;Reprogramaciones!$T$15,0,IF(Reprogramaciones!O$14&gt;10,MIN(100,SUM($G147:$P147)),MIN(100,SUMPRODUCT((COLUMN($G147:$P147)-COLUMN($G147)+1&lt;Reprogramaciones!O$14)*$G147:$P147)+N(INDEX($G147:$P147,1,Reprogramaciones!O$14))*IF(Reprogramaciones!O$13&gt;=(Reprogramaciones!$T$15+7*(Reprogramaciones!O$14-1))+6,1,IF(MAX(0,NETWORKDAYS.INTL(MAX(E147,(Reprogramaciones!$T$15+7*(Reprogramaciones!O$14-1))),MIN(F147,(Reprogramaciones!$T$15+7*(Reprogramaciones!O$14-1))+6),11))=0,0,MAX(0,NETWORKDAYS.INTL(MAX(E147,(Reprogramaciones!$T$15+7*(Reprogramaciones!O$14-1))),MIN(F147,Reprogramaciones!O$13),11))/MAX(0,NETWORKDAYS.INTL(MAX(E147,(Reprogramaciones!$T$15+7*(Reprogramaciones!O$14-1))),MIN(F147,(Reprogramaciones!$T$15+7*(Reprogramaciones!O$14-1))+6),11))))))))</f>
        <v/>
      </c>
      <c r="BY147" s="1" t="str">
        <f aca="false">IF(OR(NOT(AND(ISNUMBER(E147),ISNUMBER(F147))),$J$2=""),"",IF(Reprogramaciones!P$13&lt;Reprogramaciones!$T$15,0,IF(Reprogramaciones!P$14&gt;10,MIN(100,SUM($G147:$P147)),MIN(100,SUMPRODUCT((COLUMN($G147:$P147)-COLUMN($G147)+1&lt;Reprogramaciones!P$14)*$G147:$P147)+N(INDEX($G147:$P147,1,Reprogramaciones!P$14))*IF(Reprogramaciones!P$13&gt;=(Reprogramaciones!$T$15+7*(Reprogramaciones!P$14-1))+6,1,IF(MAX(0,NETWORKDAYS.INTL(MAX(E147,(Reprogramaciones!$T$15+7*(Reprogramaciones!P$14-1))),MIN(F147,(Reprogramaciones!$T$15+7*(Reprogramaciones!P$14-1))+6),11))=0,0,MAX(0,NETWORKDAYS.INTL(MAX(E147,(Reprogramaciones!$T$15+7*(Reprogramaciones!P$14-1))),MIN(F147,Reprogramaciones!P$13),11))/MAX(0,NETWORKDAYS.INTL(MAX(E147,(Reprogramaciones!$T$15+7*(Reprogramaciones!P$14-1))),MIN(F147,(Reprogramaciones!$T$15+7*(Reprogramaciones!P$14-1))+6),11))))))))</f>
        <v/>
      </c>
      <c r="BZ147" s="1" t="str">
        <f aca="false">IF(OR(NOT(AND(ISNUMBER(E147),ISNUMBER(F147))),$J$2=""),"",IF(Reprogramaciones!Q$13&lt;Reprogramaciones!$T$15,0,IF(Reprogramaciones!Q$14&gt;10,MIN(100,SUM($G147:$P147)),MIN(100,SUMPRODUCT((COLUMN($G147:$P147)-COLUMN($G147)+1&lt;Reprogramaciones!Q$14)*$G147:$P147)+N(INDEX($G147:$P147,1,Reprogramaciones!Q$14))*IF(Reprogramaciones!Q$13&gt;=(Reprogramaciones!$T$15+7*(Reprogramaciones!Q$14-1))+6,1,IF(MAX(0,NETWORKDAYS.INTL(MAX(E147,(Reprogramaciones!$T$15+7*(Reprogramaciones!Q$14-1))),MIN(F147,(Reprogramaciones!$T$15+7*(Reprogramaciones!Q$14-1))+6),11))=0,0,MAX(0,NETWORKDAYS.INTL(MAX(E147,(Reprogramaciones!$T$15+7*(Reprogramaciones!Q$14-1))),MIN(F147,Reprogramaciones!Q$13),11))/MAX(0,NETWORKDAYS.INTL(MAX(E147,(Reprogramaciones!$T$15+7*(Reprogramaciones!Q$14-1))),MIN(F147,(Reprogramaciones!$T$15+7*(Reprogramaciones!Q$14-1))+6),11))))))))</f>
        <v/>
      </c>
      <c r="CA147" s="1" t="str">
        <f aca="false">IF(OR(NOT(AND(ISNUMBER(E147),ISNUMBER(F147))),$J$2=""),"",IF(Reprogramaciones!R$13&lt;Reprogramaciones!$T$15,0,IF(Reprogramaciones!R$14&gt;10,MIN(100,SUM($G147:$P147)),MIN(100,SUMPRODUCT((COLUMN($G147:$P147)-COLUMN($G147)+1&lt;Reprogramaciones!R$14)*$G147:$P147)+N(INDEX($G147:$P147,1,Reprogramaciones!R$14))*IF(Reprogramaciones!R$13&gt;=(Reprogramaciones!$T$15+7*(Reprogramaciones!R$14-1))+6,1,IF(MAX(0,NETWORKDAYS.INTL(MAX(E147,(Reprogramaciones!$T$15+7*(Reprogramaciones!R$14-1))),MIN(F147,(Reprogramaciones!$T$15+7*(Reprogramaciones!R$14-1))+6),11))=0,0,MAX(0,NETWORKDAYS.INTL(MAX(E147,(Reprogramaciones!$T$15+7*(Reprogramaciones!R$14-1))),MIN(F147,Reprogramaciones!R$13),11))/MAX(0,NETWORKDAYS.INTL(MAX(E147,(Reprogramaciones!$T$15+7*(Reprogramaciones!R$14-1))),MIN(F147,(Reprogramaciones!$T$15+7*(Reprogramaciones!R$14-1))+6),11))))))))</f>
        <v/>
      </c>
      <c r="CB147" s="1" t="str">
        <f aca="false">IF(OR(NOT(AND(ISNUMBER(E147),ISNUMBER(F147))),$J$2=""),"",IF(Reprogramaciones!S$13&lt;Reprogramaciones!$T$15,0,IF(Reprogramaciones!S$14&gt;10,MIN(100,SUM($G147:$P147)),MIN(100,SUMPRODUCT((COLUMN($G147:$P147)-COLUMN($G147)+1&lt;Reprogramaciones!S$14)*$G147:$P147)+N(INDEX($G147:$P147,1,Reprogramaciones!S$14))*IF(Reprogramaciones!S$13&gt;=(Reprogramaciones!$T$15+7*(Reprogramaciones!S$14-1))+6,1,IF(MAX(0,NETWORKDAYS.INTL(MAX(E147,(Reprogramaciones!$T$15+7*(Reprogramaciones!S$14-1))),MIN(F147,(Reprogramaciones!$T$15+7*(Reprogramaciones!S$14-1))+6),11))=0,0,MAX(0,NETWORKDAYS.INTL(MAX(E147,(Reprogramaciones!$T$15+7*(Reprogramaciones!S$14-1))),MIN(F147,Reprogramaciones!S$13),11))/MAX(0,NETWORKDAYS.INTL(MAX(E147,(Reprogramaciones!$T$15+7*(Reprogramaciones!S$14-1))),MIN(F147,(Reprogramaciones!$T$15+7*(Reprogramaciones!S$14-1))+6),11))))))))</f>
        <v/>
      </c>
      <c r="CC147" s="1" t="str">
        <f aca="false">IF(OR(NOT(AND(ISNUMBER(E147),ISNUMBER(F147))),$J$2=""),"",IF(Reprogramaciones!T$13&lt;Reprogramaciones!$T$15,0,IF(Reprogramaciones!T$14&gt;10,MIN(100,SUM($G147:$P147)),MIN(100,SUMPRODUCT((COLUMN($G147:$P147)-COLUMN($G147)+1&lt;Reprogramaciones!T$14)*$G147:$P147)+N(INDEX($G147:$P147,1,Reprogramaciones!T$14))*IF(Reprogramaciones!T$13&gt;=(Reprogramaciones!$T$15+7*(Reprogramaciones!T$14-1))+6,1,IF(MAX(0,NETWORKDAYS.INTL(MAX(E147,(Reprogramaciones!$T$15+7*(Reprogramaciones!T$14-1))),MIN(F147,(Reprogramaciones!$T$15+7*(Reprogramaciones!T$14-1))+6),11))=0,0,MAX(0,NETWORKDAYS.INTL(MAX(E147,(Reprogramaciones!$T$15+7*(Reprogramaciones!T$14-1))),MIN(F147,Reprogramaciones!T$13),11))/MAX(0,NETWORKDAYS.INTL(MAX(E147,(Reprogramaciones!$T$15+7*(Reprogramaciones!T$14-1))),MIN(F147,(Reprogramaciones!$T$15+7*(Reprogramaciones!T$14-1))+6),11))))))))</f>
        <v/>
      </c>
      <c r="CD147" s="1" t="str">
        <f aca="false">IF(OR(NOT(AND(ISNUMBER(E147),ISNUMBER(F147))),$J$2=""),"",IF(Reprogramaciones!U$13&lt;Reprogramaciones!$T$15,0,IF(Reprogramaciones!U$14&gt;10,MIN(100,SUM($G147:$P147)),MIN(100,SUMPRODUCT((COLUMN($G147:$P147)-COLUMN($G147)+1&lt;Reprogramaciones!U$14)*$G147:$P147)+N(INDEX($G147:$P147,1,Reprogramaciones!U$14))*IF(Reprogramaciones!U$13&gt;=(Reprogramaciones!$T$15+7*(Reprogramaciones!U$14-1))+6,1,IF(MAX(0,NETWORKDAYS.INTL(MAX(E147,(Reprogramaciones!$T$15+7*(Reprogramaciones!U$14-1))),MIN(F147,(Reprogramaciones!$T$15+7*(Reprogramaciones!U$14-1))+6),11))=0,0,MAX(0,NETWORKDAYS.INTL(MAX(E147,(Reprogramaciones!$T$15+7*(Reprogramaciones!U$14-1))),MIN(F147,Reprogramaciones!U$13),11))/MAX(0,NETWORKDAYS.INTL(MAX(E147,(Reprogramaciones!$T$15+7*(Reprogramaciones!U$14-1))),MIN(F147,(Reprogramaciones!$T$15+7*(Reprogramaciones!U$14-1))+6),11))))))))</f>
        <v/>
      </c>
      <c r="CE147" s="1" t="str">
        <f aca="false">IF(OR(NOT(AND(ISNUMBER(E147),ISNUMBER(F147))),$J$2=""),"",IF(Reprogramaciones!V$13&lt;Reprogramaciones!$T$15,0,IF(Reprogramaciones!V$14&gt;10,MIN(100,SUM($G147:$P147)),MIN(100,SUMPRODUCT((COLUMN($G147:$P147)-COLUMN($G147)+1&lt;Reprogramaciones!V$14)*$G147:$P147)+N(INDEX($G147:$P147,1,Reprogramaciones!V$14))*IF(Reprogramaciones!V$13&gt;=(Reprogramaciones!$T$15+7*(Reprogramaciones!V$14-1))+6,1,IF(MAX(0,NETWORKDAYS.INTL(MAX(E147,(Reprogramaciones!$T$15+7*(Reprogramaciones!V$14-1))),MIN(F147,(Reprogramaciones!$T$15+7*(Reprogramaciones!V$14-1))+6),11))=0,0,MAX(0,NETWORKDAYS.INTL(MAX(E147,(Reprogramaciones!$T$15+7*(Reprogramaciones!V$14-1))),MIN(F147,Reprogramaciones!V$13),11))/MAX(0,NETWORKDAYS.INTL(MAX(E147,(Reprogramaciones!$T$15+7*(Reprogramaciones!V$14-1))),MIN(F147,(Reprogramaciones!$T$15+7*(Reprogramaciones!V$14-1))+6),11))))))))</f>
        <v/>
      </c>
      <c r="CF147" s="1" t="str">
        <f aca="false">IF(OR(NOT(AND(ISNUMBER(E147),ISNUMBER(F147))),$J$2=""),"",IF(Reprogramaciones!W$13&lt;Reprogramaciones!$T$15,0,IF(Reprogramaciones!W$14&gt;10,MIN(100,SUM($G147:$P147)),MIN(100,SUMPRODUCT((COLUMN($G147:$P147)-COLUMN($G147)+1&lt;Reprogramaciones!W$14)*$G147:$P147)+N(INDEX($G147:$P147,1,Reprogramaciones!W$14))*IF(Reprogramaciones!W$13&gt;=(Reprogramaciones!$T$15+7*(Reprogramaciones!W$14-1))+6,1,IF(MAX(0,NETWORKDAYS.INTL(MAX(E147,(Reprogramaciones!$T$15+7*(Reprogramaciones!W$14-1))),MIN(F147,(Reprogramaciones!$T$15+7*(Reprogramaciones!W$14-1))+6),11))=0,0,MAX(0,NETWORKDAYS.INTL(MAX(E147,(Reprogramaciones!$T$15+7*(Reprogramaciones!W$14-1))),MIN(F147,Reprogramaciones!W$13),11))/MAX(0,NETWORKDAYS.INTL(MAX(E147,(Reprogramaciones!$T$15+7*(Reprogramaciones!W$14-1))),MIN(F147,(Reprogramaciones!$T$15+7*(Reprogramaciones!W$14-1))+6),11))))))))</f>
        <v/>
      </c>
      <c r="CG147" s="1" t="str">
        <f aca="false">IF(OR(NOT(AND(ISNUMBER(E147),ISNUMBER(F147))),$J$2=""),"",IF(Reprogramaciones!X$13&lt;Reprogramaciones!$T$15,0,IF(Reprogramaciones!X$14&gt;10,MIN(100,SUM($G147:$P147)),MIN(100,SUMPRODUCT((COLUMN($G147:$P147)-COLUMN($G147)+1&lt;Reprogramaciones!X$14)*$G147:$P147)+N(INDEX($G147:$P147,1,Reprogramaciones!X$14))*IF(Reprogramaciones!X$13&gt;=(Reprogramaciones!$T$15+7*(Reprogramaciones!X$14-1))+6,1,IF(MAX(0,NETWORKDAYS.INTL(MAX(E147,(Reprogramaciones!$T$15+7*(Reprogramaciones!X$14-1))),MIN(F147,(Reprogramaciones!$T$15+7*(Reprogramaciones!X$14-1))+6),11))=0,0,MAX(0,NETWORKDAYS.INTL(MAX(E147,(Reprogramaciones!$T$15+7*(Reprogramaciones!X$14-1))),MIN(F147,Reprogramaciones!X$13),11))/MAX(0,NETWORKDAYS.INTL(MAX(E147,(Reprogramaciones!$T$15+7*(Reprogramaciones!X$14-1))),MIN(F147,(Reprogramaciones!$T$15+7*(Reprogramaciones!X$14-1))+6),11))))))))</f>
        <v/>
      </c>
      <c r="CH147" s="1" t="str">
        <f aca="false">IF(OR(NOT(AND(ISNUMBER(E147),ISNUMBER(F147))),$J$2=""),"",IF(Reprogramaciones!Y$13&lt;Reprogramaciones!$T$15,0,IF(Reprogramaciones!Y$14&gt;10,MIN(100,SUM($G147:$P147)),MIN(100,SUMPRODUCT((COLUMN($G147:$P147)-COLUMN($G147)+1&lt;Reprogramaciones!Y$14)*$G147:$P147)+N(INDEX($G147:$P147,1,Reprogramaciones!Y$14))*IF(Reprogramaciones!Y$13&gt;=(Reprogramaciones!$T$15+7*(Reprogramaciones!Y$14-1))+6,1,IF(MAX(0,NETWORKDAYS.INTL(MAX(E147,(Reprogramaciones!$T$15+7*(Reprogramaciones!Y$14-1))),MIN(F147,(Reprogramaciones!$T$15+7*(Reprogramaciones!Y$14-1))+6),11))=0,0,MAX(0,NETWORKDAYS.INTL(MAX(E147,(Reprogramaciones!$T$15+7*(Reprogramaciones!Y$14-1))),MIN(F147,Reprogramaciones!Y$13),11))/MAX(0,NETWORKDAYS.INTL(MAX(E147,(Reprogramaciones!$T$15+7*(Reprogramaciones!Y$14-1))),MIN(F147,(Reprogramaciones!$T$15+7*(Reprogramaciones!Y$14-1))+6),11))))))))</f>
        <v/>
      </c>
      <c r="CI147" s="1" t="str">
        <f aca="false">IF(OR(NOT(AND(ISNUMBER(E147),ISNUMBER(F147))),$J$2=""),"",IF(Reprogramaciones!Z$13&lt;Reprogramaciones!$T$15,0,IF(Reprogramaciones!Z$14&gt;10,MIN(100,SUM($G147:$P147)),MIN(100,SUMPRODUCT((COLUMN($G147:$P147)-COLUMN($G147)+1&lt;Reprogramaciones!Z$14)*$G147:$P147)+N(INDEX($G147:$P147,1,Reprogramaciones!Z$14))*IF(Reprogramaciones!Z$13&gt;=(Reprogramaciones!$T$15+7*(Reprogramaciones!Z$14-1))+6,1,IF(MAX(0,NETWORKDAYS.INTL(MAX(E147,(Reprogramaciones!$T$15+7*(Reprogramaciones!Z$14-1))),MIN(F147,(Reprogramaciones!$T$15+7*(Reprogramaciones!Z$14-1))+6),11))=0,0,MAX(0,NETWORKDAYS.INTL(MAX(E147,(Reprogramaciones!$T$15+7*(Reprogramaciones!Z$14-1))),MIN(F147,Reprogramaciones!Z$13),11))/MAX(0,NETWORKDAYS.INTL(MAX(E147,(Reprogramaciones!$T$15+7*(Reprogramaciones!Z$14-1))),MIN(F147,(Reprogramaciones!$T$15+7*(Reprogramaciones!Z$14-1))+6),11))))))))</f>
        <v/>
      </c>
      <c r="CJ147" s="1" t="str">
        <f aca="false">IF(OR(OR(NOT(AND(ISNUMBER(E147),ISNUMBER(F147))),$J$2=""),1&gt;Reprogramaciones!$K$16),"",IF(ROUND(SUM($Q147:Q147),1)&gt;=99.5,100,MIN(100,ROUND(SUM($Q147:Q147),1))))</f>
        <v/>
      </c>
      <c r="CK147" s="1" t="str">
        <f aca="false">IF(OR(OR(NOT(AND(ISNUMBER(E147),ISNUMBER(F147))),$J$2=""),2&gt;Reprogramaciones!$K$16),"",IF(ROUND(SUM($Q147:R147),1)&gt;=99.5,100,MIN(100,ROUND(SUM($Q147:R147),1))))</f>
        <v/>
      </c>
      <c r="CL147" s="1" t="str">
        <f aca="false">IF(OR(OR(NOT(AND(ISNUMBER(E147),ISNUMBER(F147))),$J$2=""),3&gt;Reprogramaciones!$K$16),"",IF(ROUND(SUM($Q147:S147),1)&gt;=99.5,100,MIN(100,ROUND(SUM($Q147:S147),1))))</f>
        <v/>
      </c>
      <c r="CM147" s="1" t="str">
        <f aca="false">IF(OR(OR(NOT(AND(ISNUMBER(E147),ISNUMBER(F147))),$J$2=""),4&gt;Reprogramaciones!$K$16),"",IF(ROUND(SUM($Q147:T147),1)&gt;=99.5,100,MIN(100,ROUND(SUM($Q147:T147),1))))</f>
        <v/>
      </c>
      <c r="CN147" s="1" t="str">
        <f aca="false">IF(OR(OR(NOT(AND(ISNUMBER(E147),ISNUMBER(F147))),$J$2=""),5&gt;Reprogramaciones!$K$16),"",IF(ROUND(SUM($Q147:U147),1)&gt;=99.5,100,MIN(100,ROUND(SUM($Q147:U147),1))))</f>
        <v/>
      </c>
      <c r="CO147" s="1" t="str">
        <f aca="false">IF(OR(OR(NOT(AND(ISNUMBER(E147),ISNUMBER(F147))),$J$2=""),6&gt;Reprogramaciones!$K$16),"",IF(ROUND(SUM($Q147:V147),1)&gt;=99.5,100,MIN(100,ROUND(SUM($Q147:V147),1))))</f>
        <v/>
      </c>
      <c r="CP147" s="1" t="str">
        <f aca="false">IF(OR(OR(NOT(AND(ISNUMBER(E147),ISNUMBER(F147))),$J$2=""),7&gt;Reprogramaciones!$K$16),"",IF(ROUND(SUM($Q147:W147),1)&gt;=99.5,100,MIN(100,ROUND(SUM($Q147:W147),1))))</f>
        <v/>
      </c>
      <c r="CQ147" s="1" t="str">
        <f aca="false">IF(OR(OR(NOT(AND(ISNUMBER(E147),ISNUMBER(F147))),$J$2=""),8&gt;Reprogramaciones!$K$16),"",IF(ROUND(SUM($Q147:X147),1)&gt;=99.5,100,MIN(100,ROUND(SUM($Q147:X147),1))))</f>
        <v/>
      </c>
      <c r="CR147" s="1" t="str">
        <f aca="false">IF(OR(OR(NOT(AND(ISNUMBER(E147),ISNUMBER(F147))),$J$2=""),9&gt;Reprogramaciones!$K$16),"",IF(ROUND(SUM($Q147:Y147),1)&gt;=99.5,100,MIN(100,ROUND(SUM($Q147:Y147),1))))</f>
        <v/>
      </c>
      <c r="CS147" s="1" t="str">
        <f aca="false">IF(OR(OR(NOT(AND(ISNUMBER(E147),ISNUMBER(F147))),$J$2=""),10&gt;Reprogramaciones!$K$16),"",IF(ROUND(SUM($Q147:Z147),1)&gt;=99.5,100,MIN(100,ROUND(SUM($Q147:Z147),1))))</f>
        <v/>
      </c>
      <c r="CT147" s="1" t="str">
        <f aca="false">IF(OR(OR(NOT(AND(ISNUMBER(E147),ISNUMBER(F147))),$J$2=""),11&gt;Reprogramaciones!$K$16),"",IF(ROUND(SUM($Q147:AA147),1)&gt;=99.5,100,MIN(100,ROUND(SUM($Q147:AA147),1))))</f>
        <v/>
      </c>
      <c r="CU147" s="1" t="str">
        <f aca="false">IF(OR(OR(NOT(AND(ISNUMBER(E147),ISNUMBER(F147))),$J$2=""),12&gt;Reprogramaciones!$K$16),"",IF(ROUND(SUM($Q147:AB147),1)&gt;=99.5,100,MIN(100,ROUND(SUM($Q147:AB147),1))))</f>
        <v/>
      </c>
      <c r="CV147" s="1" t="str">
        <f aca="false">IF(OR(OR(NOT(AND(ISNUMBER(E147),ISNUMBER(F147))),$J$2=""),13&gt;Reprogramaciones!$K$16),"",IF(ROUND(SUM($Q147:AC147),1)&gt;=99.5,100,MIN(100,ROUND(SUM($Q147:AC147),1))))</f>
        <v/>
      </c>
      <c r="CW147" s="1" t="str">
        <f aca="false">IF(OR(OR(NOT(AND(ISNUMBER(E147),ISNUMBER(F147))),$J$2=""),14&gt;Reprogramaciones!$K$16),"",IF(ROUND(SUM($Q147:AD147),1)&gt;=99.5,100,MIN(100,ROUND(SUM($Q147:AD147),1))))</f>
        <v/>
      </c>
      <c r="CX147" s="1" t="str">
        <f aca="false">IF(OR(OR(NOT(AND(ISNUMBER(E147),ISNUMBER(F147))),$J$2=""),15&gt;Reprogramaciones!$K$16),"",IF(ROUND(SUM($Q147:AE147),1)&gt;=99.5,100,MIN(100,ROUND(SUM($Q147:AE147),1))))</f>
        <v/>
      </c>
      <c r="CY147" s="1" t="str">
        <f aca="false">IF(OR(OR(NOT(AND(ISNUMBER(E147),ISNUMBER(F147))),$J$2=""),16&gt;Reprogramaciones!$K$16),"",IF(ROUND(SUM($Q147:AF147),1)&gt;=99.5,100,MIN(100,ROUND(SUM($Q147:AF147),1))))</f>
        <v/>
      </c>
      <c r="CZ147" s="1" t="str">
        <f aca="false">IF(D147&lt;&gt;"",D147,IF(B147&lt;&gt;"","Contractual",CZ146))</f>
        <v>Contractual</v>
      </c>
      <c r="DA147" s="1" t="str">
        <f aca="false">IF(OR(NOT(AND(ISNUMBER(E147),ISNUMBER(F147))),$J$2=""),"",IF(Reprogramaciones!$Q$15&lt;Reprogramaciones!$T$15,0,IF(Reprogramaciones!$S$15&gt;10,MIN(100,SUM($G147:$P147)),MIN(100,SUMPRODUCT((COLUMN($G147:$P147)-COLUMN($G147)+1&lt;Reprogramaciones!$S$15)*$G147:$P147)+N(INDEX($G147:$P147,1,Reprogramaciones!$S$15))*IF(Reprogramaciones!$Q$15&gt;=(Reprogramaciones!$T$15+7*(Reprogramaciones!$S$15-1))+6,1,IF(MAX(0,NETWORKDAYS.INTL(MAX(E147,(Reprogramaciones!$T$15+7*(Reprogramaciones!$S$15-1))),MIN(F147,(Reprogramaciones!$T$15+7*(Reprogramaciones!$S$15-1))+6),11))=0,0,MAX(0,NETWORKDAYS.INTL(MAX(E147,(Reprogramaciones!$T$15+7*(Reprogramaciones!$S$15-1))),MIN(F147,Reprogramaciones!$Q$15),11))/MAX(0,NETWORKDAYS.INTL(MAX(E147,(Reprogramaciones!$T$15+7*(Reprogramaciones!$S$15-1))),MIN(F147,(Reprogramaciones!$T$15+7*(Reprogramaciones!$S$15-1))+6),11))))))))</f>
        <v/>
      </c>
    </row>
    <row r="148" customFormat="false" ht="15" hidden="false" customHeight="false" outlineLevel="0" collapsed="false">
      <c r="A148" s="32"/>
      <c r="B148" s="33"/>
      <c r="C148" s="33"/>
      <c r="D148" s="34"/>
      <c r="E148" s="35"/>
      <c r="F148" s="35"/>
      <c r="G148" s="36" t="str">
        <f aca="false">IF(OR(NOT(AND(ISNUMBER(E148),ISNUMBER(F148))),$J$2=""),"",IF(Reprogramaciones!K$9&lt;E148,0,IF(NETWORKDAYS.INTL(E148,F148,11)=0,IF(Reprogramaciones!K$9&gt;=F148,100,0),ROUND(NETWORKDAYS.INTL(E148,MIN(F148,Reprogramaciones!K$9),11)/NETWORKDAYS.INTL(E148,F148,11)*100,1)))-0)</f>
        <v/>
      </c>
      <c r="H148" s="36" t="str">
        <f aca="false">IF(OR(NOT(AND(ISNUMBER(E148),ISNUMBER(F148))),$J$2=""),"",IF(Reprogramaciones!L$9&lt;E148,0,IF(NETWORKDAYS.INTL(E148,F148,11)=0,IF(Reprogramaciones!L$9&gt;=F148,100,0),ROUND(NETWORKDAYS.INTL(E148,MIN(F148,Reprogramaciones!L$9),11)/NETWORKDAYS.INTL(E148,F148,11)*100,1)))-IF(Reprogramaciones!K$9&lt;E148,0,IF(NETWORKDAYS.INTL(E148,F148,11)=0,IF(Reprogramaciones!K$9&gt;=F148,100,0),ROUND(NETWORKDAYS.INTL(E148,MIN(F148,Reprogramaciones!K$9),11)/NETWORKDAYS.INTL(E148,F148,11)*100,1))))</f>
        <v/>
      </c>
      <c r="I148" s="36" t="str">
        <f aca="false">IF(OR(NOT(AND(ISNUMBER(E148),ISNUMBER(F148))),$J$2=""),"",IF(Reprogramaciones!M$9&lt;E148,0,IF(NETWORKDAYS.INTL(E148,F148,11)=0,IF(Reprogramaciones!M$9&gt;=F148,100,0),ROUND(NETWORKDAYS.INTL(E148,MIN(F148,Reprogramaciones!M$9),11)/NETWORKDAYS.INTL(E148,F148,11)*100,1)))-IF(Reprogramaciones!L$9&lt;E148,0,IF(NETWORKDAYS.INTL(E148,F148,11)=0,IF(Reprogramaciones!L$9&gt;=F148,100,0),ROUND(NETWORKDAYS.INTL(E148,MIN(F148,Reprogramaciones!L$9),11)/NETWORKDAYS.INTL(E148,F148,11)*100,1))))</f>
        <v/>
      </c>
      <c r="J148" s="36" t="str">
        <f aca="false">IF(OR(NOT(AND(ISNUMBER(E148),ISNUMBER(F148))),$J$2=""),"",IF(Reprogramaciones!N$9&lt;E148,0,IF(NETWORKDAYS.INTL(E148,F148,11)=0,IF(Reprogramaciones!N$9&gt;=F148,100,0),ROUND(NETWORKDAYS.INTL(E148,MIN(F148,Reprogramaciones!N$9),11)/NETWORKDAYS.INTL(E148,F148,11)*100,1)))-IF(Reprogramaciones!M$9&lt;E148,0,IF(NETWORKDAYS.INTL(E148,F148,11)=0,IF(Reprogramaciones!M$9&gt;=F148,100,0),ROUND(NETWORKDAYS.INTL(E148,MIN(F148,Reprogramaciones!M$9),11)/NETWORKDAYS.INTL(E148,F148,11)*100,1))))</f>
        <v/>
      </c>
      <c r="K148" s="36" t="str">
        <f aca="false">IF(OR(NOT(AND(ISNUMBER(E148),ISNUMBER(F148))),$J$2=""),"",IF(Reprogramaciones!O$9&lt;E148,0,IF(NETWORKDAYS.INTL(E148,F148,11)=0,IF(Reprogramaciones!O$9&gt;=F148,100,0),ROUND(NETWORKDAYS.INTL(E148,MIN(F148,Reprogramaciones!O$9),11)/NETWORKDAYS.INTL(E148,F148,11)*100,1)))-IF(Reprogramaciones!N$9&lt;E148,0,IF(NETWORKDAYS.INTL(E148,F148,11)=0,IF(Reprogramaciones!N$9&gt;=F148,100,0),ROUND(NETWORKDAYS.INTL(E148,MIN(F148,Reprogramaciones!N$9),11)/NETWORKDAYS.INTL(E148,F148,11)*100,1))))</f>
        <v/>
      </c>
      <c r="L148" s="36" t="str">
        <f aca="false">IF(OR(NOT(AND(ISNUMBER(E148),ISNUMBER(F148))),$J$2=""),"",IF(Reprogramaciones!P$9&lt;E148,0,IF(NETWORKDAYS.INTL(E148,F148,11)=0,IF(Reprogramaciones!P$9&gt;=F148,100,0),ROUND(NETWORKDAYS.INTL(E148,MIN(F148,Reprogramaciones!P$9),11)/NETWORKDAYS.INTL(E148,F148,11)*100,1)))-IF(Reprogramaciones!O$9&lt;E148,0,IF(NETWORKDAYS.INTL(E148,F148,11)=0,IF(Reprogramaciones!O$9&gt;=F148,100,0),ROUND(NETWORKDAYS.INTL(E148,MIN(F148,Reprogramaciones!O$9),11)/NETWORKDAYS.INTL(E148,F148,11)*100,1))))</f>
        <v/>
      </c>
      <c r="M148" s="36" t="str">
        <f aca="false">IF(OR(NOT(AND(ISNUMBER(E148),ISNUMBER(F148))),$J$2=""),"",IF(Reprogramaciones!Q$9&lt;E148,0,IF(NETWORKDAYS.INTL(E148,F148,11)=0,IF(Reprogramaciones!Q$9&gt;=F148,100,0),ROUND(NETWORKDAYS.INTL(E148,MIN(F148,Reprogramaciones!Q$9),11)/NETWORKDAYS.INTL(E148,F148,11)*100,1)))-IF(Reprogramaciones!P$9&lt;E148,0,IF(NETWORKDAYS.INTL(E148,F148,11)=0,IF(Reprogramaciones!P$9&gt;=F148,100,0),ROUND(NETWORKDAYS.INTL(E148,MIN(F148,Reprogramaciones!P$9),11)/NETWORKDAYS.INTL(E148,F148,11)*100,1))))</f>
        <v/>
      </c>
      <c r="N148" s="36" t="str">
        <f aca="false">IF(OR(NOT(AND(ISNUMBER(E148),ISNUMBER(F148))),$J$2=""),"",IF(Reprogramaciones!R$9&lt;E148,0,IF(NETWORKDAYS.INTL(E148,F148,11)=0,IF(Reprogramaciones!R$9&gt;=F148,100,0),ROUND(NETWORKDAYS.INTL(E148,MIN(F148,Reprogramaciones!R$9),11)/NETWORKDAYS.INTL(E148,F148,11)*100,1)))-IF(Reprogramaciones!Q$9&lt;E148,0,IF(NETWORKDAYS.INTL(E148,F148,11)=0,IF(Reprogramaciones!Q$9&gt;=F148,100,0),ROUND(NETWORKDAYS.INTL(E148,MIN(F148,Reprogramaciones!Q$9),11)/NETWORKDAYS.INTL(E148,F148,11)*100,1))))</f>
        <v/>
      </c>
      <c r="O148" s="36" t="str">
        <f aca="false">IF(OR(NOT(AND(ISNUMBER(E148),ISNUMBER(F148))),$J$2=""),"",IF(Reprogramaciones!S$9&lt;E148,0,IF(NETWORKDAYS.INTL(E148,F148,11)=0,IF(Reprogramaciones!S$9&gt;=F148,100,0),ROUND(NETWORKDAYS.INTL(E148,MIN(F148,Reprogramaciones!S$9),11)/NETWORKDAYS.INTL(E148,F148,11)*100,1)))-IF(Reprogramaciones!R$9&lt;E148,0,IF(NETWORKDAYS.INTL(E148,F148,11)=0,IF(Reprogramaciones!R$9&gt;=F148,100,0),ROUND(NETWORKDAYS.INTL(E148,MIN(F148,Reprogramaciones!R$9),11)/NETWORKDAYS.INTL(E148,F148,11)*100,1))))</f>
        <v/>
      </c>
      <c r="P148" s="36" t="str">
        <f aca="false">IF(OR(NOT(AND(ISNUMBER(E148),ISNUMBER(F148))),$J$2=""),"",IF(Reprogramaciones!T$9&lt;E148,0,IF(NETWORKDAYS.INTL(E148,F148,11)=0,IF(Reprogramaciones!T$9&gt;=F148,100,0),ROUND(NETWORKDAYS.INTL(E148,MIN(F148,Reprogramaciones!T$9),11)/NETWORKDAYS.INTL(E148,F148,11)*100,1)))-IF(Reprogramaciones!S$9&lt;E148,0,IF(NETWORKDAYS.INTL(E148,F148,11)=0,IF(Reprogramaciones!S$9&gt;=F148,100,0),ROUND(NETWORKDAYS.INTL(E148,MIN(F148,Reprogramaciones!S$9),11)/NETWORKDAYS.INTL(E148,F148,11)*100,1))))</f>
        <v/>
      </c>
      <c r="Q148" s="37"/>
      <c r="R148" s="37"/>
      <c r="S148" s="37"/>
      <c r="T148" s="37"/>
      <c r="U148" s="37"/>
      <c r="V148" s="37"/>
      <c r="W148" s="37"/>
      <c r="X148" s="37"/>
      <c r="Y148" s="37"/>
      <c r="Z148" s="37"/>
      <c r="AA148" s="37"/>
      <c r="AB148" s="37"/>
      <c r="AC148" s="37"/>
      <c r="AD148" s="37"/>
      <c r="AE148" s="37"/>
      <c r="AF148" s="37"/>
      <c r="AG148" s="38" t="str">
        <f aca="false">IF(AND(ISNUMBER(E148),ISNUMBER(F148)),NETWORKDAYS.INTL(E148,F148,11),"")</f>
        <v/>
      </c>
      <c r="AH148" s="38" t="str">
        <f aca="false">IF(OR(NOT(AND(ISNUMBER(E148),ISNUMBER(F148))),$J$2=""),"",IF(Reprogramaciones!$P$15&lt;Reprogramaciones!$T$15,0,IF(Reprogramaciones!$R$15&gt;10,MIN(100,SUM($G148:$P148)),MIN(100,SUMPRODUCT((COLUMN($G148:$P148)-COLUMN($G148)+1&lt;Reprogramaciones!$R$15)*$G148:$P148)+N(INDEX($G148:$P148,1,Reprogramaciones!$R$15))*IF(Reprogramaciones!$P$15&gt;=(Reprogramaciones!$T$15+7*(Reprogramaciones!$R$15-1))+6,1,IF(MAX(0,NETWORKDAYS.INTL(MAX(E148,(Reprogramaciones!$T$15+7*(Reprogramaciones!$R$15-1))),MIN(F148,(Reprogramaciones!$T$15+7*(Reprogramaciones!$R$15-1))+6),11))=0,0,MAX(0,NETWORKDAYS.INTL(MAX(E148,(Reprogramaciones!$T$15+7*(Reprogramaciones!$R$15-1))),MIN(F148,Reprogramaciones!$P$15),11))/MAX(0,NETWORKDAYS.INTL(MAX(E148,(Reprogramaciones!$T$15+7*(Reprogramaciones!$R$15-1))),MIN(F148,(Reprogramaciones!$T$15+7*(Reprogramaciones!$R$15-1))+6),11))))))))</f>
        <v/>
      </c>
      <c r="AI148" s="38" t="str">
        <f aca="false">IF(COUNT($Q148:$AF148)=0,"",IF(ROUND(SUM($Q148:$AF148),1)&gt;=99.5,100,MIN(100,ROUND(SUM($Q148:$AF148),1))))</f>
        <v/>
      </c>
      <c r="AJ148" s="38" t="str">
        <f aca="false">IF(OR(AH148="",AI148=""),"",AI148-AH148)</f>
        <v/>
      </c>
      <c r="AK148" s="39" t="str">
        <f aca="true">IF(AH148="","",IF(OR(Ficha!$C$10="Suspendida",Ficha!$C$10="Cancelada"),Ficha!$C$10,IF(AND(AI148&lt;&gt;"",N(AI148)&gt;=100),"Completada",IF(AND(E148&gt;TODAY(),N(AI148)=0),"Por iniciar",IF(N(AI148)+0.5&lt;AH148,"Retrasada",IF(N(AI148)+0.5&lt;DA148,IF(Reprogramaciones!$K$15&gt;0,"Al día · Sem "&amp;Reprogramaciones!$K$15&amp;" en curso","Al día · en curso"),"A tiempo"))))))</f>
        <v/>
      </c>
      <c r="AL148" s="39" t="str">
        <f aca="true">IF(AND(A148="",AND(B148="",C148="",E148="",F148="",COUNT(Q148:AF148)=0)),"",IF(AND(B148="",C148="",E148="",F148="",COUNT(Q148:AF148)=0),"Falta la partida o subpartida",IF(AND(A148&lt;&gt;"",COUNTIF($A$6:$A$305,A148)&gt;1),"Ítem repetido",IF(AND(C148="",E148="",F148="",COUNT(Q148:AF148)=0),"Título de partida",IF(OR(E148="",F148=""),"Faltan fechas",IF(OR(ISTEXT(E148),ISTEXT(F148)),"Fecha escrita como texto: usa dd/mm/aaaa",IF(F148&lt;E148,"Fin antes del inicio",IF(IF($J$2="",FALSE(),OR(E148&lt;$J$2,F148&gt;Reprogramaciones!$T$15+69)),"Fuera de las 10 semanas",IF(ABS(SUM(G148:P148)-100)&gt;0.5,"La meta no suma 100%",IF(ROUND(SUM(Q148:AF148),1)&gt;100.5,"El avance pasa de 100%",IF(MIN(Q148:AF148)&lt;0,"Avance negativo",IF(COUNTA(Q148:AF148)&gt;COUNT(Q148:AF148),"Avance escrito como texto",IF(SUMPRODUCT((Q148:AF148&gt;0)*(Q148:AF148&lt;1))&gt;0,"Avance menor a 1: escribe 50, no 50%",IF(SUMPRODUCT(ISNUMBER(Q148:AF148)*(Reprogramaciones!$K$8:$Z$8&gt;TODAY()))&gt;0,"Avance en semana que aún no llega",IF(AND(N(Reprogramaciones!$E$21)&gt;0,F148&gt;Reprogramaciones!$E$21),"Pasa el fin de la obra: registra una reprogramación",IF(AND(N(Reprogramaciones!$E$21)&gt;0,SUMPRODUCT(ISNUMBER(Q148:AF148)*(Reprogramaciones!$K$8:$Z$8&gt;Reprogramaciones!$E$21))&gt;0),"Avance después del fin de la obra: registra una reprogramación por atraso","OK"))))))))))))))))</f>
        <v/>
      </c>
      <c r="AM148" s="40" t="str">
        <f aca="false">IF(OR(OR(NOT(AND(ISNUMBER(E148),ISNUMBER(F148))),$J$2=""),1&gt;MAX(1,Reprogramaciones!$U$15)),"",IF(Reprogramaciones!K$12&gt;=7,"",IF(OR(BT148-N(0)&gt;0.05,N(Q148)&gt;0),ROUNDDOWN(ROUND(BT148,6),0)&amp;"%"&amp;IF(CJ148="",""," / "&amp;CJ148&amp;"%"),IF(AND(N(0)&gt;=99.95,CJ148&lt;&gt;"",N(CJ148)&lt;100),"Pend. "&amp;CJ148&amp;"%",""))))</f>
        <v/>
      </c>
      <c r="AN148" s="40" t="str">
        <f aca="false">IF(OR(OR(NOT(AND(ISNUMBER(E148),ISNUMBER(F148))),$J$2=""),2&gt;MAX(1,Reprogramaciones!$U$15)),"",IF(Reprogramaciones!L$12&gt;=7,"",IF(OR(BU148-N(BT148)&gt;0.05,N(R148)&gt;0),ROUNDDOWN(ROUND(BU148,6),0)&amp;"%"&amp;IF(CK148="",""," / "&amp;CK148&amp;"%"),IF(AND(N(BT148)&gt;=99.95,CK148&lt;&gt;"",N(CK148)&lt;100),"Pend. "&amp;CK148&amp;"%",""))))</f>
        <v/>
      </c>
      <c r="AO148" s="40" t="str">
        <f aca="false">IF(OR(OR(NOT(AND(ISNUMBER(E148),ISNUMBER(F148))),$J$2=""),3&gt;MAX(1,Reprogramaciones!$U$15)),"",IF(Reprogramaciones!M$12&gt;=7,"",IF(OR(BV148-N(BU148)&gt;0.05,N(S148)&gt;0),ROUNDDOWN(ROUND(BV148,6),0)&amp;"%"&amp;IF(CL148="",""," / "&amp;CL148&amp;"%"),IF(AND(N(BU148)&gt;=99.95,CL148&lt;&gt;"",N(CL148)&lt;100),"Pend. "&amp;CL148&amp;"%",""))))</f>
        <v/>
      </c>
      <c r="AP148" s="40" t="str">
        <f aca="false">IF(OR(OR(NOT(AND(ISNUMBER(E148),ISNUMBER(F148))),$J$2=""),4&gt;MAX(1,Reprogramaciones!$U$15)),"",IF(Reprogramaciones!N$12&gt;=7,"",IF(OR(BW148-N(BV148)&gt;0.05,N(T148)&gt;0),ROUNDDOWN(ROUND(BW148,6),0)&amp;"%"&amp;IF(CM148="",""," / "&amp;CM148&amp;"%"),IF(AND(N(BV148)&gt;=99.95,CM148&lt;&gt;"",N(CM148)&lt;100),"Pend. "&amp;CM148&amp;"%",""))))</f>
        <v/>
      </c>
      <c r="AQ148" s="40" t="str">
        <f aca="false">IF(OR(OR(NOT(AND(ISNUMBER(E148),ISNUMBER(F148))),$J$2=""),5&gt;MAX(1,Reprogramaciones!$U$15)),"",IF(Reprogramaciones!O$12&gt;=7,"",IF(OR(BX148-N(BW148)&gt;0.05,N(U148)&gt;0),ROUNDDOWN(ROUND(BX148,6),0)&amp;"%"&amp;IF(CN148="",""," / "&amp;CN148&amp;"%"),IF(AND(N(BW148)&gt;=99.95,CN148&lt;&gt;"",N(CN148)&lt;100),"Pend. "&amp;CN148&amp;"%",""))))</f>
        <v/>
      </c>
      <c r="AR148" s="40" t="str">
        <f aca="false">IF(OR(OR(NOT(AND(ISNUMBER(E148),ISNUMBER(F148))),$J$2=""),6&gt;MAX(1,Reprogramaciones!$U$15)),"",IF(Reprogramaciones!P$12&gt;=7,"",IF(OR(BY148-N(BX148)&gt;0.05,N(V148)&gt;0),ROUNDDOWN(ROUND(BY148,6),0)&amp;"%"&amp;IF(CO148="",""," / "&amp;CO148&amp;"%"),IF(AND(N(BX148)&gt;=99.95,CO148&lt;&gt;"",N(CO148)&lt;100),"Pend. "&amp;CO148&amp;"%",""))))</f>
        <v/>
      </c>
      <c r="AS148" s="40" t="str">
        <f aca="false">IF(OR(OR(NOT(AND(ISNUMBER(E148),ISNUMBER(F148))),$J$2=""),7&gt;MAX(1,Reprogramaciones!$U$15)),"",IF(Reprogramaciones!Q$12&gt;=7,"",IF(OR(BZ148-N(BY148)&gt;0.05,N(W148)&gt;0),ROUNDDOWN(ROUND(BZ148,6),0)&amp;"%"&amp;IF(CP148="",""," / "&amp;CP148&amp;"%"),IF(AND(N(BY148)&gt;=99.95,CP148&lt;&gt;"",N(CP148)&lt;100),"Pend. "&amp;CP148&amp;"%",""))))</f>
        <v/>
      </c>
      <c r="AT148" s="40" t="str">
        <f aca="false">IF(OR(OR(NOT(AND(ISNUMBER(E148),ISNUMBER(F148))),$J$2=""),8&gt;MAX(1,Reprogramaciones!$U$15)),"",IF(Reprogramaciones!R$12&gt;=7,"",IF(OR(CA148-N(BZ148)&gt;0.05,N(X148)&gt;0),ROUNDDOWN(ROUND(CA148,6),0)&amp;"%"&amp;IF(CQ148="",""," / "&amp;CQ148&amp;"%"),IF(AND(N(BZ148)&gt;=99.95,CQ148&lt;&gt;"",N(CQ148)&lt;100),"Pend. "&amp;CQ148&amp;"%",""))))</f>
        <v/>
      </c>
      <c r="AU148" s="40" t="str">
        <f aca="false">IF(OR(OR(NOT(AND(ISNUMBER(E148),ISNUMBER(F148))),$J$2=""),9&gt;MAX(1,Reprogramaciones!$U$15)),"",IF(Reprogramaciones!S$12&gt;=7,"",IF(OR(CB148-N(CA148)&gt;0.05,N(Y148)&gt;0),ROUNDDOWN(ROUND(CB148,6),0)&amp;"%"&amp;IF(CR148="",""," / "&amp;CR148&amp;"%"),IF(AND(N(CA148)&gt;=99.95,CR148&lt;&gt;"",N(CR148)&lt;100),"Pend. "&amp;CR148&amp;"%",""))))</f>
        <v/>
      </c>
      <c r="AV148" s="40" t="str">
        <f aca="false">IF(OR(OR(NOT(AND(ISNUMBER(E148),ISNUMBER(F148))),$J$2=""),10&gt;MAX(1,Reprogramaciones!$U$15)),"",IF(Reprogramaciones!T$12&gt;=7,"",IF(OR(CC148-N(CB148)&gt;0.05,N(Z148)&gt;0),ROUNDDOWN(ROUND(CC148,6),0)&amp;"%"&amp;IF(CS148="",""," / "&amp;CS148&amp;"%"),IF(AND(N(CB148)&gt;=99.95,CS148&lt;&gt;"",N(CS148)&lt;100),"Pend. "&amp;CS148&amp;"%",""))))</f>
        <v/>
      </c>
      <c r="AW148" s="40" t="str">
        <f aca="false">IF(OR(OR(NOT(AND(ISNUMBER(E148),ISNUMBER(F148))),$J$2=""),11&gt;MAX(1,Reprogramaciones!$U$15)),"",IF(Reprogramaciones!U$12&gt;=7,"",IF(OR(CD148-N(CC148)&gt;0.05,N(AA148)&gt;0),ROUNDDOWN(ROUND(CD148,6),0)&amp;"%"&amp;IF(CT148="",""," / "&amp;CT148&amp;"%"),IF(AND(N(CC148)&gt;=99.95,CT148&lt;&gt;"",N(CT148)&lt;100),"Pend. "&amp;CT148&amp;"%",""))))</f>
        <v/>
      </c>
      <c r="AX148" s="40" t="str">
        <f aca="false">IF(OR(OR(NOT(AND(ISNUMBER(E148),ISNUMBER(F148))),$J$2=""),12&gt;MAX(1,Reprogramaciones!$U$15)),"",IF(Reprogramaciones!V$12&gt;=7,"",IF(OR(CE148-N(CD148)&gt;0.05,N(AB148)&gt;0),ROUNDDOWN(ROUND(CE148,6),0)&amp;"%"&amp;IF(CU148="",""," / "&amp;CU148&amp;"%"),IF(AND(N(CD148)&gt;=99.95,CU148&lt;&gt;"",N(CU148)&lt;100),"Pend. "&amp;CU148&amp;"%",""))))</f>
        <v/>
      </c>
      <c r="AY148" s="40" t="str">
        <f aca="false">IF(OR(OR(NOT(AND(ISNUMBER(E148),ISNUMBER(F148))),$J$2=""),13&gt;MAX(1,Reprogramaciones!$U$15)),"",IF(Reprogramaciones!W$12&gt;=7,"",IF(OR(CF148-N(CE148)&gt;0.05,N(AC148)&gt;0),ROUNDDOWN(ROUND(CF148,6),0)&amp;"%"&amp;IF(CV148="",""," / "&amp;CV148&amp;"%"),IF(AND(N(CE148)&gt;=99.95,CV148&lt;&gt;"",N(CV148)&lt;100),"Pend. "&amp;CV148&amp;"%",""))))</f>
        <v/>
      </c>
      <c r="AZ148" s="40" t="str">
        <f aca="false">IF(OR(OR(NOT(AND(ISNUMBER(E148),ISNUMBER(F148))),$J$2=""),14&gt;MAX(1,Reprogramaciones!$U$15)),"",IF(Reprogramaciones!X$12&gt;=7,"",IF(OR(CG148-N(CF148)&gt;0.05,N(AD148)&gt;0),ROUNDDOWN(ROUND(CG148,6),0)&amp;"%"&amp;IF(CW148="",""," / "&amp;CW148&amp;"%"),IF(AND(N(CF148)&gt;=99.95,CW148&lt;&gt;"",N(CW148)&lt;100),"Pend. "&amp;CW148&amp;"%",""))))</f>
        <v/>
      </c>
      <c r="BA148" s="40" t="str">
        <f aca="false">IF(OR(OR(NOT(AND(ISNUMBER(E148),ISNUMBER(F148))),$J$2=""),15&gt;MAX(1,Reprogramaciones!$U$15)),"",IF(Reprogramaciones!Y$12&gt;=7,"",IF(OR(CH148-N(CG148)&gt;0.05,N(AE148)&gt;0),ROUNDDOWN(ROUND(CH148,6),0)&amp;"%"&amp;IF(CX148="",""," / "&amp;CX148&amp;"%"),IF(AND(N(CG148)&gt;=99.95,CX148&lt;&gt;"",N(CX148)&lt;100),"Pend. "&amp;CX148&amp;"%",""))))</f>
        <v/>
      </c>
      <c r="BB148" s="40" t="str">
        <f aca="false">IF(OR(OR(NOT(AND(ISNUMBER(E148),ISNUMBER(F148))),$J$2=""),16&gt;MAX(1,Reprogramaciones!$U$15)),"",IF(Reprogramaciones!Z$12&gt;=7,"",IF(OR(CI148-N(CH148)&gt;0.05,N(AF148)&gt;0),ROUNDDOWN(ROUND(CI148,6),0)&amp;"%"&amp;IF(CY148="",""," / "&amp;CY148&amp;"%"),IF(AND(N(CH148)&gt;=99.95,CY148&lt;&gt;"",N(CY148)&lt;100),"Pend. "&amp;CY148&amp;"%",""))))</f>
        <v/>
      </c>
      <c r="BC148" s="31" t="n">
        <f aca="false">IF(AND(ISNUMBER(E148),ISNUMBER(F148)),MAX(1,NETWORKDAYS.INTL(E148,F148,11)),0)</f>
        <v>0</v>
      </c>
      <c r="BD148" s="1" t="str">
        <f aca="false">IF(OR(NOT(AND(ISNUMBER(E148),ISNUMBER(F148))),$J$2=""),"",MIN(100,ROUND(SUM($G148:G148),1)))</f>
        <v/>
      </c>
      <c r="BE148" s="1" t="str">
        <f aca="false">IF(OR(NOT(AND(ISNUMBER(E148),ISNUMBER(F148))),$J$2=""),"",MIN(100,ROUND(SUM($G148:H148),1)))</f>
        <v/>
      </c>
      <c r="BF148" s="1" t="str">
        <f aca="false">IF(OR(NOT(AND(ISNUMBER(E148),ISNUMBER(F148))),$J$2=""),"",MIN(100,ROUND(SUM($G148:I148),1)))</f>
        <v/>
      </c>
      <c r="BG148" s="1" t="str">
        <f aca="false">IF(OR(NOT(AND(ISNUMBER(E148),ISNUMBER(F148))),$J$2=""),"",MIN(100,ROUND(SUM($G148:J148),1)))</f>
        <v/>
      </c>
      <c r="BH148" s="1" t="str">
        <f aca="false">IF(OR(NOT(AND(ISNUMBER(E148),ISNUMBER(F148))),$J$2=""),"",MIN(100,ROUND(SUM($G148:K148),1)))</f>
        <v/>
      </c>
      <c r="BI148" s="1" t="str">
        <f aca="false">IF(OR(NOT(AND(ISNUMBER(E148),ISNUMBER(F148))),$J$2=""),"",MIN(100,ROUND(SUM($G148:L148),1)))</f>
        <v/>
      </c>
      <c r="BJ148" s="1" t="str">
        <f aca="false">IF(OR(NOT(AND(ISNUMBER(E148),ISNUMBER(F148))),$J$2=""),"",MIN(100,ROUND(SUM($G148:M148),1)))</f>
        <v/>
      </c>
      <c r="BK148" s="1" t="str">
        <f aca="false">IF(OR(NOT(AND(ISNUMBER(E148),ISNUMBER(F148))),$J$2=""),"",MIN(100,ROUND(SUM($G148:N148),1)))</f>
        <v/>
      </c>
      <c r="BL148" s="1" t="str">
        <f aca="false">IF(OR(NOT(AND(ISNUMBER(E148),ISNUMBER(F148))),$J$2=""),"",MIN(100,ROUND(SUM($G148:O148),1)))</f>
        <v/>
      </c>
      <c r="BM148" s="1" t="str">
        <f aca="false">IF(OR(NOT(AND(ISNUMBER(E148),ISNUMBER(F148))),$J$2=""),"",MIN(100,ROUND(SUM($G148:P148),1)))</f>
        <v/>
      </c>
      <c r="BN148" s="1" t="str">
        <f aca="false">IF(OR(NOT(AND(ISNUMBER(E148),ISNUMBER(F148))),$J$2=""),"",MIN(100,ROUND(SUM($G148:P148),1)))</f>
        <v/>
      </c>
      <c r="BO148" s="1" t="str">
        <f aca="false">IF(OR(NOT(AND(ISNUMBER(E148),ISNUMBER(F148))),$J$2=""),"",MIN(100,ROUND(SUM($G148:P148),1)))</f>
        <v/>
      </c>
      <c r="BP148" s="1" t="str">
        <f aca="false">IF(OR(NOT(AND(ISNUMBER(E148),ISNUMBER(F148))),$J$2=""),"",MIN(100,ROUND(SUM($G148:P148),1)))</f>
        <v/>
      </c>
      <c r="BQ148" s="1" t="str">
        <f aca="false">IF(OR(NOT(AND(ISNUMBER(E148),ISNUMBER(F148))),$J$2=""),"",MIN(100,ROUND(SUM($G148:P148),1)))</f>
        <v/>
      </c>
      <c r="BR148" s="1" t="str">
        <f aca="false">IF(OR(NOT(AND(ISNUMBER(E148),ISNUMBER(F148))),$J$2=""),"",MIN(100,ROUND(SUM($G148:P148),1)))</f>
        <v/>
      </c>
      <c r="BS148" s="1" t="str">
        <f aca="false">IF(OR(NOT(AND(ISNUMBER(E148),ISNUMBER(F148))),$J$2=""),"",MIN(100,ROUND(SUM($G148:P148),1)))</f>
        <v/>
      </c>
      <c r="BT148" s="1" t="str">
        <f aca="false">IF(OR(NOT(AND(ISNUMBER(E148),ISNUMBER(F148))),$J$2=""),"",IF(Reprogramaciones!K$13&lt;Reprogramaciones!$T$15,0,IF(Reprogramaciones!K$14&gt;10,MIN(100,SUM($G148:$P148)),MIN(100,SUMPRODUCT((COLUMN($G148:$P148)-COLUMN($G148)+1&lt;Reprogramaciones!K$14)*$G148:$P148)+N(INDEX($G148:$P148,1,Reprogramaciones!K$14))*IF(Reprogramaciones!K$13&gt;=(Reprogramaciones!$T$15+7*(Reprogramaciones!K$14-1))+6,1,IF(MAX(0,NETWORKDAYS.INTL(MAX(E148,(Reprogramaciones!$T$15+7*(Reprogramaciones!K$14-1))),MIN(F148,(Reprogramaciones!$T$15+7*(Reprogramaciones!K$14-1))+6),11))=0,0,MAX(0,NETWORKDAYS.INTL(MAX(E148,(Reprogramaciones!$T$15+7*(Reprogramaciones!K$14-1))),MIN(F148,Reprogramaciones!K$13),11))/MAX(0,NETWORKDAYS.INTL(MAX(E148,(Reprogramaciones!$T$15+7*(Reprogramaciones!K$14-1))),MIN(F148,(Reprogramaciones!$T$15+7*(Reprogramaciones!K$14-1))+6),11))))))))</f>
        <v/>
      </c>
      <c r="BU148" s="1" t="str">
        <f aca="false">IF(OR(NOT(AND(ISNUMBER(E148),ISNUMBER(F148))),$J$2=""),"",IF(Reprogramaciones!L$13&lt;Reprogramaciones!$T$15,0,IF(Reprogramaciones!L$14&gt;10,MIN(100,SUM($G148:$P148)),MIN(100,SUMPRODUCT((COLUMN($G148:$P148)-COLUMN($G148)+1&lt;Reprogramaciones!L$14)*$G148:$P148)+N(INDEX($G148:$P148,1,Reprogramaciones!L$14))*IF(Reprogramaciones!L$13&gt;=(Reprogramaciones!$T$15+7*(Reprogramaciones!L$14-1))+6,1,IF(MAX(0,NETWORKDAYS.INTL(MAX(E148,(Reprogramaciones!$T$15+7*(Reprogramaciones!L$14-1))),MIN(F148,(Reprogramaciones!$T$15+7*(Reprogramaciones!L$14-1))+6),11))=0,0,MAX(0,NETWORKDAYS.INTL(MAX(E148,(Reprogramaciones!$T$15+7*(Reprogramaciones!L$14-1))),MIN(F148,Reprogramaciones!L$13),11))/MAX(0,NETWORKDAYS.INTL(MAX(E148,(Reprogramaciones!$T$15+7*(Reprogramaciones!L$14-1))),MIN(F148,(Reprogramaciones!$T$15+7*(Reprogramaciones!L$14-1))+6),11))))))))</f>
        <v/>
      </c>
      <c r="BV148" s="1" t="str">
        <f aca="false">IF(OR(NOT(AND(ISNUMBER(E148),ISNUMBER(F148))),$J$2=""),"",IF(Reprogramaciones!M$13&lt;Reprogramaciones!$T$15,0,IF(Reprogramaciones!M$14&gt;10,MIN(100,SUM($G148:$P148)),MIN(100,SUMPRODUCT((COLUMN($G148:$P148)-COLUMN($G148)+1&lt;Reprogramaciones!M$14)*$G148:$P148)+N(INDEX($G148:$P148,1,Reprogramaciones!M$14))*IF(Reprogramaciones!M$13&gt;=(Reprogramaciones!$T$15+7*(Reprogramaciones!M$14-1))+6,1,IF(MAX(0,NETWORKDAYS.INTL(MAX(E148,(Reprogramaciones!$T$15+7*(Reprogramaciones!M$14-1))),MIN(F148,(Reprogramaciones!$T$15+7*(Reprogramaciones!M$14-1))+6),11))=0,0,MAX(0,NETWORKDAYS.INTL(MAX(E148,(Reprogramaciones!$T$15+7*(Reprogramaciones!M$14-1))),MIN(F148,Reprogramaciones!M$13),11))/MAX(0,NETWORKDAYS.INTL(MAX(E148,(Reprogramaciones!$T$15+7*(Reprogramaciones!M$14-1))),MIN(F148,(Reprogramaciones!$T$15+7*(Reprogramaciones!M$14-1))+6),11))))))))</f>
        <v/>
      </c>
      <c r="BW148" s="1" t="str">
        <f aca="false">IF(OR(NOT(AND(ISNUMBER(E148),ISNUMBER(F148))),$J$2=""),"",IF(Reprogramaciones!N$13&lt;Reprogramaciones!$T$15,0,IF(Reprogramaciones!N$14&gt;10,MIN(100,SUM($G148:$P148)),MIN(100,SUMPRODUCT((COLUMN($G148:$P148)-COLUMN($G148)+1&lt;Reprogramaciones!N$14)*$G148:$P148)+N(INDEX($G148:$P148,1,Reprogramaciones!N$14))*IF(Reprogramaciones!N$13&gt;=(Reprogramaciones!$T$15+7*(Reprogramaciones!N$14-1))+6,1,IF(MAX(0,NETWORKDAYS.INTL(MAX(E148,(Reprogramaciones!$T$15+7*(Reprogramaciones!N$14-1))),MIN(F148,(Reprogramaciones!$T$15+7*(Reprogramaciones!N$14-1))+6),11))=0,0,MAX(0,NETWORKDAYS.INTL(MAX(E148,(Reprogramaciones!$T$15+7*(Reprogramaciones!N$14-1))),MIN(F148,Reprogramaciones!N$13),11))/MAX(0,NETWORKDAYS.INTL(MAX(E148,(Reprogramaciones!$T$15+7*(Reprogramaciones!N$14-1))),MIN(F148,(Reprogramaciones!$T$15+7*(Reprogramaciones!N$14-1))+6),11))))))))</f>
        <v/>
      </c>
      <c r="BX148" s="1" t="str">
        <f aca="false">IF(OR(NOT(AND(ISNUMBER(E148),ISNUMBER(F148))),$J$2=""),"",IF(Reprogramaciones!O$13&lt;Reprogramaciones!$T$15,0,IF(Reprogramaciones!O$14&gt;10,MIN(100,SUM($G148:$P148)),MIN(100,SUMPRODUCT((COLUMN($G148:$P148)-COLUMN($G148)+1&lt;Reprogramaciones!O$14)*$G148:$P148)+N(INDEX($G148:$P148,1,Reprogramaciones!O$14))*IF(Reprogramaciones!O$13&gt;=(Reprogramaciones!$T$15+7*(Reprogramaciones!O$14-1))+6,1,IF(MAX(0,NETWORKDAYS.INTL(MAX(E148,(Reprogramaciones!$T$15+7*(Reprogramaciones!O$14-1))),MIN(F148,(Reprogramaciones!$T$15+7*(Reprogramaciones!O$14-1))+6),11))=0,0,MAX(0,NETWORKDAYS.INTL(MAX(E148,(Reprogramaciones!$T$15+7*(Reprogramaciones!O$14-1))),MIN(F148,Reprogramaciones!O$13),11))/MAX(0,NETWORKDAYS.INTL(MAX(E148,(Reprogramaciones!$T$15+7*(Reprogramaciones!O$14-1))),MIN(F148,(Reprogramaciones!$T$15+7*(Reprogramaciones!O$14-1))+6),11))))))))</f>
        <v/>
      </c>
      <c r="BY148" s="1" t="str">
        <f aca="false">IF(OR(NOT(AND(ISNUMBER(E148),ISNUMBER(F148))),$J$2=""),"",IF(Reprogramaciones!P$13&lt;Reprogramaciones!$T$15,0,IF(Reprogramaciones!P$14&gt;10,MIN(100,SUM($G148:$P148)),MIN(100,SUMPRODUCT((COLUMN($G148:$P148)-COLUMN($G148)+1&lt;Reprogramaciones!P$14)*$G148:$P148)+N(INDEX($G148:$P148,1,Reprogramaciones!P$14))*IF(Reprogramaciones!P$13&gt;=(Reprogramaciones!$T$15+7*(Reprogramaciones!P$14-1))+6,1,IF(MAX(0,NETWORKDAYS.INTL(MAX(E148,(Reprogramaciones!$T$15+7*(Reprogramaciones!P$14-1))),MIN(F148,(Reprogramaciones!$T$15+7*(Reprogramaciones!P$14-1))+6),11))=0,0,MAX(0,NETWORKDAYS.INTL(MAX(E148,(Reprogramaciones!$T$15+7*(Reprogramaciones!P$14-1))),MIN(F148,Reprogramaciones!P$13),11))/MAX(0,NETWORKDAYS.INTL(MAX(E148,(Reprogramaciones!$T$15+7*(Reprogramaciones!P$14-1))),MIN(F148,(Reprogramaciones!$T$15+7*(Reprogramaciones!P$14-1))+6),11))))))))</f>
        <v/>
      </c>
      <c r="BZ148" s="1" t="str">
        <f aca="false">IF(OR(NOT(AND(ISNUMBER(E148),ISNUMBER(F148))),$J$2=""),"",IF(Reprogramaciones!Q$13&lt;Reprogramaciones!$T$15,0,IF(Reprogramaciones!Q$14&gt;10,MIN(100,SUM($G148:$P148)),MIN(100,SUMPRODUCT((COLUMN($G148:$P148)-COLUMN($G148)+1&lt;Reprogramaciones!Q$14)*$G148:$P148)+N(INDEX($G148:$P148,1,Reprogramaciones!Q$14))*IF(Reprogramaciones!Q$13&gt;=(Reprogramaciones!$T$15+7*(Reprogramaciones!Q$14-1))+6,1,IF(MAX(0,NETWORKDAYS.INTL(MAX(E148,(Reprogramaciones!$T$15+7*(Reprogramaciones!Q$14-1))),MIN(F148,(Reprogramaciones!$T$15+7*(Reprogramaciones!Q$14-1))+6),11))=0,0,MAX(0,NETWORKDAYS.INTL(MAX(E148,(Reprogramaciones!$T$15+7*(Reprogramaciones!Q$14-1))),MIN(F148,Reprogramaciones!Q$13),11))/MAX(0,NETWORKDAYS.INTL(MAX(E148,(Reprogramaciones!$T$15+7*(Reprogramaciones!Q$14-1))),MIN(F148,(Reprogramaciones!$T$15+7*(Reprogramaciones!Q$14-1))+6),11))))))))</f>
        <v/>
      </c>
      <c r="CA148" s="1" t="str">
        <f aca="false">IF(OR(NOT(AND(ISNUMBER(E148),ISNUMBER(F148))),$J$2=""),"",IF(Reprogramaciones!R$13&lt;Reprogramaciones!$T$15,0,IF(Reprogramaciones!R$14&gt;10,MIN(100,SUM($G148:$P148)),MIN(100,SUMPRODUCT((COLUMN($G148:$P148)-COLUMN($G148)+1&lt;Reprogramaciones!R$14)*$G148:$P148)+N(INDEX($G148:$P148,1,Reprogramaciones!R$14))*IF(Reprogramaciones!R$13&gt;=(Reprogramaciones!$T$15+7*(Reprogramaciones!R$14-1))+6,1,IF(MAX(0,NETWORKDAYS.INTL(MAX(E148,(Reprogramaciones!$T$15+7*(Reprogramaciones!R$14-1))),MIN(F148,(Reprogramaciones!$T$15+7*(Reprogramaciones!R$14-1))+6),11))=0,0,MAX(0,NETWORKDAYS.INTL(MAX(E148,(Reprogramaciones!$T$15+7*(Reprogramaciones!R$14-1))),MIN(F148,Reprogramaciones!R$13),11))/MAX(0,NETWORKDAYS.INTL(MAX(E148,(Reprogramaciones!$T$15+7*(Reprogramaciones!R$14-1))),MIN(F148,(Reprogramaciones!$T$15+7*(Reprogramaciones!R$14-1))+6),11))))))))</f>
        <v/>
      </c>
      <c r="CB148" s="1" t="str">
        <f aca="false">IF(OR(NOT(AND(ISNUMBER(E148),ISNUMBER(F148))),$J$2=""),"",IF(Reprogramaciones!S$13&lt;Reprogramaciones!$T$15,0,IF(Reprogramaciones!S$14&gt;10,MIN(100,SUM($G148:$P148)),MIN(100,SUMPRODUCT((COLUMN($G148:$P148)-COLUMN($G148)+1&lt;Reprogramaciones!S$14)*$G148:$P148)+N(INDEX($G148:$P148,1,Reprogramaciones!S$14))*IF(Reprogramaciones!S$13&gt;=(Reprogramaciones!$T$15+7*(Reprogramaciones!S$14-1))+6,1,IF(MAX(0,NETWORKDAYS.INTL(MAX(E148,(Reprogramaciones!$T$15+7*(Reprogramaciones!S$14-1))),MIN(F148,(Reprogramaciones!$T$15+7*(Reprogramaciones!S$14-1))+6),11))=0,0,MAX(0,NETWORKDAYS.INTL(MAX(E148,(Reprogramaciones!$T$15+7*(Reprogramaciones!S$14-1))),MIN(F148,Reprogramaciones!S$13),11))/MAX(0,NETWORKDAYS.INTL(MAX(E148,(Reprogramaciones!$T$15+7*(Reprogramaciones!S$14-1))),MIN(F148,(Reprogramaciones!$T$15+7*(Reprogramaciones!S$14-1))+6),11))))))))</f>
        <v/>
      </c>
      <c r="CC148" s="1" t="str">
        <f aca="false">IF(OR(NOT(AND(ISNUMBER(E148),ISNUMBER(F148))),$J$2=""),"",IF(Reprogramaciones!T$13&lt;Reprogramaciones!$T$15,0,IF(Reprogramaciones!T$14&gt;10,MIN(100,SUM($G148:$P148)),MIN(100,SUMPRODUCT((COLUMN($G148:$P148)-COLUMN($G148)+1&lt;Reprogramaciones!T$14)*$G148:$P148)+N(INDEX($G148:$P148,1,Reprogramaciones!T$14))*IF(Reprogramaciones!T$13&gt;=(Reprogramaciones!$T$15+7*(Reprogramaciones!T$14-1))+6,1,IF(MAX(0,NETWORKDAYS.INTL(MAX(E148,(Reprogramaciones!$T$15+7*(Reprogramaciones!T$14-1))),MIN(F148,(Reprogramaciones!$T$15+7*(Reprogramaciones!T$14-1))+6),11))=0,0,MAX(0,NETWORKDAYS.INTL(MAX(E148,(Reprogramaciones!$T$15+7*(Reprogramaciones!T$14-1))),MIN(F148,Reprogramaciones!T$13),11))/MAX(0,NETWORKDAYS.INTL(MAX(E148,(Reprogramaciones!$T$15+7*(Reprogramaciones!T$14-1))),MIN(F148,(Reprogramaciones!$T$15+7*(Reprogramaciones!T$14-1))+6),11))))))))</f>
        <v/>
      </c>
      <c r="CD148" s="1" t="str">
        <f aca="false">IF(OR(NOT(AND(ISNUMBER(E148),ISNUMBER(F148))),$J$2=""),"",IF(Reprogramaciones!U$13&lt;Reprogramaciones!$T$15,0,IF(Reprogramaciones!U$14&gt;10,MIN(100,SUM($G148:$P148)),MIN(100,SUMPRODUCT((COLUMN($G148:$P148)-COLUMN($G148)+1&lt;Reprogramaciones!U$14)*$G148:$P148)+N(INDEX($G148:$P148,1,Reprogramaciones!U$14))*IF(Reprogramaciones!U$13&gt;=(Reprogramaciones!$T$15+7*(Reprogramaciones!U$14-1))+6,1,IF(MAX(0,NETWORKDAYS.INTL(MAX(E148,(Reprogramaciones!$T$15+7*(Reprogramaciones!U$14-1))),MIN(F148,(Reprogramaciones!$T$15+7*(Reprogramaciones!U$14-1))+6),11))=0,0,MAX(0,NETWORKDAYS.INTL(MAX(E148,(Reprogramaciones!$T$15+7*(Reprogramaciones!U$14-1))),MIN(F148,Reprogramaciones!U$13),11))/MAX(0,NETWORKDAYS.INTL(MAX(E148,(Reprogramaciones!$T$15+7*(Reprogramaciones!U$14-1))),MIN(F148,(Reprogramaciones!$T$15+7*(Reprogramaciones!U$14-1))+6),11))))))))</f>
        <v/>
      </c>
      <c r="CE148" s="1" t="str">
        <f aca="false">IF(OR(NOT(AND(ISNUMBER(E148),ISNUMBER(F148))),$J$2=""),"",IF(Reprogramaciones!V$13&lt;Reprogramaciones!$T$15,0,IF(Reprogramaciones!V$14&gt;10,MIN(100,SUM($G148:$P148)),MIN(100,SUMPRODUCT((COLUMN($G148:$P148)-COLUMN($G148)+1&lt;Reprogramaciones!V$14)*$G148:$P148)+N(INDEX($G148:$P148,1,Reprogramaciones!V$14))*IF(Reprogramaciones!V$13&gt;=(Reprogramaciones!$T$15+7*(Reprogramaciones!V$14-1))+6,1,IF(MAX(0,NETWORKDAYS.INTL(MAX(E148,(Reprogramaciones!$T$15+7*(Reprogramaciones!V$14-1))),MIN(F148,(Reprogramaciones!$T$15+7*(Reprogramaciones!V$14-1))+6),11))=0,0,MAX(0,NETWORKDAYS.INTL(MAX(E148,(Reprogramaciones!$T$15+7*(Reprogramaciones!V$14-1))),MIN(F148,Reprogramaciones!V$13),11))/MAX(0,NETWORKDAYS.INTL(MAX(E148,(Reprogramaciones!$T$15+7*(Reprogramaciones!V$14-1))),MIN(F148,(Reprogramaciones!$T$15+7*(Reprogramaciones!V$14-1))+6),11))))))))</f>
        <v/>
      </c>
      <c r="CF148" s="1" t="str">
        <f aca="false">IF(OR(NOT(AND(ISNUMBER(E148),ISNUMBER(F148))),$J$2=""),"",IF(Reprogramaciones!W$13&lt;Reprogramaciones!$T$15,0,IF(Reprogramaciones!W$14&gt;10,MIN(100,SUM($G148:$P148)),MIN(100,SUMPRODUCT((COLUMN($G148:$P148)-COLUMN($G148)+1&lt;Reprogramaciones!W$14)*$G148:$P148)+N(INDEX($G148:$P148,1,Reprogramaciones!W$14))*IF(Reprogramaciones!W$13&gt;=(Reprogramaciones!$T$15+7*(Reprogramaciones!W$14-1))+6,1,IF(MAX(0,NETWORKDAYS.INTL(MAX(E148,(Reprogramaciones!$T$15+7*(Reprogramaciones!W$14-1))),MIN(F148,(Reprogramaciones!$T$15+7*(Reprogramaciones!W$14-1))+6),11))=0,0,MAX(0,NETWORKDAYS.INTL(MAX(E148,(Reprogramaciones!$T$15+7*(Reprogramaciones!W$14-1))),MIN(F148,Reprogramaciones!W$13),11))/MAX(0,NETWORKDAYS.INTL(MAX(E148,(Reprogramaciones!$T$15+7*(Reprogramaciones!W$14-1))),MIN(F148,(Reprogramaciones!$T$15+7*(Reprogramaciones!W$14-1))+6),11))))))))</f>
        <v/>
      </c>
      <c r="CG148" s="1" t="str">
        <f aca="false">IF(OR(NOT(AND(ISNUMBER(E148),ISNUMBER(F148))),$J$2=""),"",IF(Reprogramaciones!X$13&lt;Reprogramaciones!$T$15,0,IF(Reprogramaciones!X$14&gt;10,MIN(100,SUM($G148:$P148)),MIN(100,SUMPRODUCT((COLUMN($G148:$P148)-COLUMN($G148)+1&lt;Reprogramaciones!X$14)*$G148:$P148)+N(INDEX($G148:$P148,1,Reprogramaciones!X$14))*IF(Reprogramaciones!X$13&gt;=(Reprogramaciones!$T$15+7*(Reprogramaciones!X$14-1))+6,1,IF(MAX(0,NETWORKDAYS.INTL(MAX(E148,(Reprogramaciones!$T$15+7*(Reprogramaciones!X$14-1))),MIN(F148,(Reprogramaciones!$T$15+7*(Reprogramaciones!X$14-1))+6),11))=0,0,MAX(0,NETWORKDAYS.INTL(MAX(E148,(Reprogramaciones!$T$15+7*(Reprogramaciones!X$14-1))),MIN(F148,Reprogramaciones!X$13),11))/MAX(0,NETWORKDAYS.INTL(MAX(E148,(Reprogramaciones!$T$15+7*(Reprogramaciones!X$14-1))),MIN(F148,(Reprogramaciones!$T$15+7*(Reprogramaciones!X$14-1))+6),11))))))))</f>
        <v/>
      </c>
      <c r="CH148" s="1" t="str">
        <f aca="false">IF(OR(NOT(AND(ISNUMBER(E148),ISNUMBER(F148))),$J$2=""),"",IF(Reprogramaciones!Y$13&lt;Reprogramaciones!$T$15,0,IF(Reprogramaciones!Y$14&gt;10,MIN(100,SUM($G148:$P148)),MIN(100,SUMPRODUCT((COLUMN($G148:$P148)-COLUMN($G148)+1&lt;Reprogramaciones!Y$14)*$G148:$P148)+N(INDEX($G148:$P148,1,Reprogramaciones!Y$14))*IF(Reprogramaciones!Y$13&gt;=(Reprogramaciones!$T$15+7*(Reprogramaciones!Y$14-1))+6,1,IF(MAX(0,NETWORKDAYS.INTL(MAX(E148,(Reprogramaciones!$T$15+7*(Reprogramaciones!Y$14-1))),MIN(F148,(Reprogramaciones!$T$15+7*(Reprogramaciones!Y$14-1))+6),11))=0,0,MAX(0,NETWORKDAYS.INTL(MAX(E148,(Reprogramaciones!$T$15+7*(Reprogramaciones!Y$14-1))),MIN(F148,Reprogramaciones!Y$13),11))/MAX(0,NETWORKDAYS.INTL(MAX(E148,(Reprogramaciones!$T$15+7*(Reprogramaciones!Y$14-1))),MIN(F148,(Reprogramaciones!$T$15+7*(Reprogramaciones!Y$14-1))+6),11))))))))</f>
        <v/>
      </c>
      <c r="CI148" s="1" t="str">
        <f aca="false">IF(OR(NOT(AND(ISNUMBER(E148),ISNUMBER(F148))),$J$2=""),"",IF(Reprogramaciones!Z$13&lt;Reprogramaciones!$T$15,0,IF(Reprogramaciones!Z$14&gt;10,MIN(100,SUM($G148:$P148)),MIN(100,SUMPRODUCT((COLUMN($G148:$P148)-COLUMN($G148)+1&lt;Reprogramaciones!Z$14)*$G148:$P148)+N(INDEX($G148:$P148,1,Reprogramaciones!Z$14))*IF(Reprogramaciones!Z$13&gt;=(Reprogramaciones!$T$15+7*(Reprogramaciones!Z$14-1))+6,1,IF(MAX(0,NETWORKDAYS.INTL(MAX(E148,(Reprogramaciones!$T$15+7*(Reprogramaciones!Z$14-1))),MIN(F148,(Reprogramaciones!$T$15+7*(Reprogramaciones!Z$14-1))+6),11))=0,0,MAX(0,NETWORKDAYS.INTL(MAX(E148,(Reprogramaciones!$T$15+7*(Reprogramaciones!Z$14-1))),MIN(F148,Reprogramaciones!Z$13),11))/MAX(0,NETWORKDAYS.INTL(MAX(E148,(Reprogramaciones!$T$15+7*(Reprogramaciones!Z$14-1))),MIN(F148,(Reprogramaciones!$T$15+7*(Reprogramaciones!Z$14-1))+6),11))))))))</f>
        <v/>
      </c>
      <c r="CJ148" s="1" t="str">
        <f aca="false">IF(OR(OR(NOT(AND(ISNUMBER(E148),ISNUMBER(F148))),$J$2=""),1&gt;Reprogramaciones!$K$16),"",IF(ROUND(SUM($Q148:Q148),1)&gt;=99.5,100,MIN(100,ROUND(SUM($Q148:Q148),1))))</f>
        <v/>
      </c>
      <c r="CK148" s="1" t="str">
        <f aca="false">IF(OR(OR(NOT(AND(ISNUMBER(E148),ISNUMBER(F148))),$J$2=""),2&gt;Reprogramaciones!$K$16),"",IF(ROUND(SUM($Q148:R148),1)&gt;=99.5,100,MIN(100,ROUND(SUM($Q148:R148),1))))</f>
        <v/>
      </c>
      <c r="CL148" s="1" t="str">
        <f aca="false">IF(OR(OR(NOT(AND(ISNUMBER(E148),ISNUMBER(F148))),$J$2=""),3&gt;Reprogramaciones!$K$16),"",IF(ROUND(SUM($Q148:S148),1)&gt;=99.5,100,MIN(100,ROUND(SUM($Q148:S148),1))))</f>
        <v/>
      </c>
      <c r="CM148" s="1" t="str">
        <f aca="false">IF(OR(OR(NOT(AND(ISNUMBER(E148),ISNUMBER(F148))),$J$2=""),4&gt;Reprogramaciones!$K$16),"",IF(ROUND(SUM($Q148:T148),1)&gt;=99.5,100,MIN(100,ROUND(SUM($Q148:T148),1))))</f>
        <v/>
      </c>
      <c r="CN148" s="1" t="str">
        <f aca="false">IF(OR(OR(NOT(AND(ISNUMBER(E148),ISNUMBER(F148))),$J$2=""),5&gt;Reprogramaciones!$K$16),"",IF(ROUND(SUM($Q148:U148),1)&gt;=99.5,100,MIN(100,ROUND(SUM($Q148:U148),1))))</f>
        <v/>
      </c>
      <c r="CO148" s="1" t="str">
        <f aca="false">IF(OR(OR(NOT(AND(ISNUMBER(E148),ISNUMBER(F148))),$J$2=""),6&gt;Reprogramaciones!$K$16),"",IF(ROUND(SUM($Q148:V148),1)&gt;=99.5,100,MIN(100,ROUND(SUM($Q148:V148),1))))</f>
        <v/>
      </c>
      <c r="CP148" s="1" t="str">
        <f aca="false">IF(OR(OR(NOT(AND(ISNUMBER(E148),ISNUMBER(F148))),$J$2=""),7&gt;Reprogramaciones!$K$16),"",IF(ROUND(SUM($Q148:W148),1)&gt;=99.5,100,MIN(100,ROUND(SUM($Q148:W148),1))))</f>
        <v/>
      </c>
      <c r="CQ148" s="1" t="str">
        <f aca="false">IF(OR(OR(NOT(AND(ISNUMBER(E148),ISNUMBER(F148))),$J$2=""),8&gt;Reprogramaciones!$K$16),"",IF(ROUND(SUM($Q148:X148),1)&gt;=99.5,100,MIN(100,ROUND(SUM($Q148:X148),1))))</f>
        <v/>
      </c>
      <c r="CR148" s="1" t="str">
        <f aca="false">IF(OR(OR(NOT(AND(ISNUMBER(E148),ISNUMBER(F148))),$J$2=""),9&gt;Reprogramaciones!$K$16),"",IF(ROUND(SUM($Q148:Y148),1)&gt;=99.5,100,MIN(100,ROUND(SUM($Q148:Y148),1))))</f>
        <v/>
      </c>
      <c r="CS148" s="1" t="str">
        <f aca="false">IF(OR(OR(NOT(AND(ISNUMBER(E148),ISNUMBER(F148))),$J$2=""),10&gt;Reprogramaciones!$K$16),"",IF(ROUND(SUM($Q148:Z148),1)&gt;=99.5,100,MIN(100,ROUND(SUM($Q148:Z148),1))))</f>
        <v/>
      </c>
      <c r="CT148" s="1" t="str">
        <f aca="false">IF(OR(OR(NOT(AND(ISNUMBER(E148),ISNUMBER(F148))),$J$2=""),11&gt;Reprogramaciones!$K$16),"",IF(ROUND(SUM($Q148:AA148),1)&gt;=99.5,100,MIN(100,ROUND(SUM($Q148:AA148),1))))</f>
        <v/>
      </c>
      <c r="CU148" s="1" t="str">
        <f aca="false">IF(OR(OR(NOT(AND(ISNUMBER(E148),ISNUMBER(F148))),$J$2=""),12&gt;Reprogramaciones!$K$16),"",IF(ROUND(SUM($Q148:AB148),1)&gt;=99.5,100,MIN(100,ROUND(SUM($Q148:AB148),1))))</f>
        <v/>
      </c>
      <c r="CV148" s="1" t="str">
        <f aca="false">IF(OR(OR(NOT(AND(ISNUMBER(E148),ISNUMBER(F148))),$J$2=""),13&gt;Reprogramaciones!$K$16),"",IF(ROUND(SUM($Q148:AC148),1)&gt;=99.5,100,MIN(100,ROUND(SUM($Q148:AC148),1))))</f>
        <v/>
      </c>
      <c r="CW148" s="1" t="str">
        <f aca="false">IF(OR(OR(NOT(AND(ISNUMBER(E148),ISNUMBER(F148))),$J$2=""),14&gt;Reprogramaciones!$K$16),"",IF(ROUND(SUM($Q148:AD148),1)&gt;=99.5,100,MIN(100,ROUND(SUM($Q148:AD148),1))))</f>
        <v/>
      </c>
      <c r="CX148" s="1" t="str">
        <f aca="false">IF(OR(OR(NOT(AND(ISNUMBER(E148),ISNUMBER(F148))),$J$2=""),15&gt;Reprogramaciones!$K$16),"",IF(ROUND(SUM($Q148:AE148),1)&gt;=99.5,100,MIN(100,ROUND(SUM($Q148:AE148),1))))</f>
        <v/>
      </c>
      <c r="CY148" s="1" t="str">
        <f aca="false">IF(OR(OR(NOT(AND(ISNUMBER(E148),ISNUMBER(F148))),$J$2=""),16&gt;Reprogramaciones!$K$16),"",IF(ROUND(SUM($Q148:AF148),1)&gt;=99.5,100,MIN(100,ROUND(SUM($Q148:AF148),1))))</f>
        <v/>
      </c>
      <c r="CZ148" s="1" t="str">
        <f aca="false">IF(D148&lt;&gt;"",D148,IF(B148&lt;&gt;"","Contractual",CZ147))</f>
        <v>Contractual</v>
      </c>
      <c r="DA148" s="1" t="str">
        <f aca="false">IF(OR(NOT(AND(ISNUMBER(E148),ISNUMBER(F148))),$J$2=""),"",IF(Reprogramaciones!$Q$15&lt;Reprogramaciones!$T$15,0,IF(Reprogramaciones!$S$15&gt;10,MIN(100,SUM($G148:$P148)),MIN(100,SUMPRODUCT((COLUMN($G148:$P148)-COLUMN($G148)+1&lt;Reprogramaciones!$S$15)*$G148:$P148)+N(INDEX($G148:$P148,1,Reprogramaciones!$S$15))*IF(Reprogramaciones!$Q$15&gt;=(Reprogramaciones!$T$15+7*(Reprogramaciones!$S$15-1))+6,1,IF(MAX(0,NETWORKDAYS.INTL(MAX(E148,(Reprogramaciones!$T$15+7*(Reprogramaciones!$S$15-1))),MIN(F148,(Reprogramaciones!$T$15+7*(Reprogramaciones!$S$15-1))+6),11))=0,0,MAX(0,NETWORKDAYS.INTL(MAX(E148,(Reprogramaciones!$T$15+7*(Reprogramaciones!$S$15-1))),MIN(F148,Reprogramaciones!$Q$15),11))/MAX(0,NETWORKDAYS.INTL(MAX(E148,(Reprogramaciones!$T$15+7*(Reprogramaciones!$S$15-1))),MIN(F148,(Reprogramaciones!$T$15+7*(Reprogramaciones!$S$15-1))+6),11))))))))</f>
        <v/>
      </c>
    </row>
    <row r="149" customFormat="false" ht="15" hidden="false" customHeight="false" outlineLevel="0" collapsed="false">
      <c r="A149" s="32"/>
      <c r="B149" s="33"/>
      <c r="C149" s="33"/>
      <c r="D149" s="34"/>
      <c r="E149" s="35"/>
      <c r="F149" s="35"/>
      <c r="G149" s="36" t="str">
        <f aca="false">IF(OR(NOT(AND(ISNUMBER(E149),ISNUMBER(F149))),$J$2=""),"",IF(Reprogramaciones!K$9&lt;E149,0,IF(NETWORKDAYS.INTL(E149,F149,11)=0,IF(Reprogramaciones!K$9&gt;=F149,100,0),ROUND(NETWORKDAYS.INTL(E149,MIN(F149,Reprogramaciones!K$9),11)/NETWORKDAYS.INTL(E149,F149,11)*100,1)))-0)</f>
        <v/>
      </c>
      <c r="H149" s="36" t="str">
        <f aca="false">IF(OR(NOT(AND(ISNUMBER(E149),ISNUMBER(F149))),$J$2=""),"",IF(Reprogramaciones!L$9&lt;E149,0,IF(NETWORKDAYS.INTL(E149,F149,11)=0,IF(Reprogramaciones!L$9&gt;=F149,100,0),ROUND(NETWORKDAYS.INTL(E149,MIN(F149,Reprogramaciones!L$9),11)/NETWORKDAYS.INTL(E149,F149,11)*100,1)))-IF(Reprogramaciones!K$9&lt;E149,0,IF(NETWORKDAYS.INTL(E149,F149,11)=0,IF(Reprogramaciones!K$9&gt;=F149,100,0),ROUND(NETWORKDAYS.INTL(E149,MIN(F149,Reprogramaciones!K$9),11)/NETWORKDAYS.INTL(E149,F149,11)*100,1))))</f>
        <v/>
      </c>
      <c r="I149" s="36" t="str">
        <f aca="false">IF(OR(NOT(AND(ISNUMBER(E149),ISNUMBER(F149))),$J$2=""),"",IF(Reprogramaciones!M$9&lt;E149,0,IF(NETWORKDAYS.INTL(E149,F149,11)=0,IF(Reprogramaciones!M$9&gt;=F149,100,0),ROUND(NETWORKDAYS.INTL(E149,MIN(F149,Reprogramaciones!M$9),11)/NETWORKDAYS.INTL(E149,F149,11)*100,1)))-IF(Reprogramaciones!L$9&lt;E149,0,IF(NETWORKDAYS.INTL(E149,F149,11)=0,IF(Reprogramaciones!L$9&gt;=F149,100,0),ROUND(NETWORKDAYS.INTL(E149,MIN(F149,Reprogramaciones!L$9),11)/NETWORKDAYS.INTL(E149,F149,11)*100,1))))</f>
        <v/>
      </c>
      <c r="J149" s="36" t="str">
        <f aca="false">IF(OR(NOT(AND(ISNUMBER(E149),ISNUMBER(F149))),$J$2=""),"",IF(Reprogramaciones!N$9&lt;E149,0,IF(NETWORKDAYS.INTL(E149,F149,11)=0,IF(Reprogramaciones!N$9&gt;=F149,100,0),ROUND(NETWORKDAYS.INTL(E149,MIN(F149,Reprogramaciones!N$9),11)/NETWORKDAYS.INTL(E149,F149,11)*100,1)))-IF(Reprogramaciones!M$9&lt;E149,0,IF(NETWORKDAYS.INTL(E149,F149,11)=0,IF(Reprogramaciones!M$9&gt;=F149,100,0),ROUND(NETWORKDAYS.INTL(E149,MIN(F149,Reprogramaciones!M$9),11)/NETWORKDAYS.INTL(E149,F149,11)*100,1))))</f>
        <v/>
      </c>
      <c r="K149" s="36" t="str">
        <f aca="false">IF(OR(NOT(AND(ISNUMBER(E149),ISNUMBER(F149))),$J$2=""),"",IF(Reprogramaciones!O$9&lt;E149,0,IF(NETWORKDAYS.INTL(E149,F149,11)=0,IF(Reprogramaciones!O$9&gt;=F149,100,0),ROUND(NETWORKDAYS.INTL(E149,MIN(F149,Reprogramaciones!O$9),11)/NETWORKDAYS.INTL(E149,F149,11)*100,1)))-IF(Reprogramaciones!N$9&lt;E149,0,IF(NETWORKDAYS.INTL(E149,F149,11)=0,IF(Reprogramaciones!N$9&gt;=F149,100,0),ROUND(NETWORKDAYS.INTL(E149,MIN(F149,Reprogramaciones!N$9),11)/NETWORKDAYS.INTL(E149,F149,11)*100,1))))</f>
        <v/>
      </c>
      <c r="L149" s="36" t="str">
        <f aca="false">IF(OR(NOT(AND(ISNUMBER(E149),ISNUMBER(F149))),$J$2=""),"",IF(Reprogramaciones!P$9&lt;E149,0,IF(NETWORKDAYS.INTL(E149,F149,11)=0,IF(Reprogramaciones!P$9&gt;=F149,100,0),ROUND(NETWORKDAYS.INTL(E149,MIN(F149,Reprogramaciones!P$9),11)/NETWORKDAYS.INTL(E149,F149,11)*100,1)))-IF(Reprogramaciones!O$9&lt;E149,0,IF(NETWORKDAYS.INTL(E149,F149,11)=0,IF(Reprogramaciones!O$9&gt;=F149,100,0),ROUND(NETWORKDAYS.INTL(E149,MIN(F149,Reprogramaciones!O$9),11)/NETWORKDAYS.INTL(E149,F149,11)*100,1))))</f>
        <v/>
      </c>
      <c r="M149" s="36" t="str">
        <f aca="false">IF(OR(NOT(AND(ISNUMBER(E149),ISNUMBER(F149))),$J$2=""),"",IF(Reprogramaciones!Q$9&lt;E149,0,IF(NETWORKDAYS.INTL(E149,F149,11)=0,IF(Reprogramaciones!Q$9&gt;=F149,100,0),ROUND(NETWORKDAYS.INTL(E149,MIN(F149,Reprogramaciones!Q$9),11)/NETWORKDAYS.INTL(E149,F149,11)*100,1)))-IF(Reprogramaciones!P$9&lt;E149,0,IF(NETWORKDAYS.INTL(E149,F149,11)=0,IF(Reprogramaciones!P$9&gt;=F149,100,0),ROUND(NETWORKDAYS.INTL(E149,MIN(F149,Reprogramaciones!P$9),11)/NETWORKDAYS.INTL(E149,F149,11)*100,1))))</f>
        <v/>
      </c>
      <c r="N149" s="36" t="str">
        <f aca="false">IF(OR(NOT(AND(ISNUMBER(E149),ISNUMBER(F149))),$J$2=""),"",IF(Reprogramaciones!R$9&lt;E149,0,IF(NETWORKDAYS.INTL(E149,F149,11)=0,IF(Reprogramaciones!R$9&gt;=F149,100,0),ROUND(NETWORKDAYS.INTL(E149,MIN(F149,Reprogramaciones!R$9),11)/NETWORKDAYS.INTL(E149,F149,11)*100,1)))-IF(Reprogramaciones!Q$9&lt;E149,0,IF(NETWORKDAYS.INTL(E149,F149,11)=0,IF(Reprogramaciones!Q$9&gt;=F149,100,0),ROUND(NETWORKDAYS.INTL(E149,MIN(F149,Reprogramaciones!Q$9),11)/NETWORKDAYS.INTL(E149,F149,11)*100,1))))</f>
        <v/>
      </c>
      <c r="O149" s="36" t="str">
        <f aca="false">IF(OR(NOT(AND(ISNUMBER(E149),ISNUMBER(F149))),$J$2=""),"",IF(Reprogramaciones!S$9&lt;E149,0,IF(NETWORKDAYS.INTL(E149,F149,11)=0,IF(Reprogramaciones!S$9&gt;=F149,100,0),ROUND(NETWORKDAYS.INTL(E149,MIN(F149,Reprogramaciones!S$9),11)/NETWORKDAYS.INTL(E149,F149,11)*100,1)))-IF(Reprogramaciones!R$9&lt;E149,0,IF(NETWORKDAYS.INTL(E149,F149,11)=0,IF(Reprogramaciones!R$9&gt;=F149,100,0),ROUND(NETWORKDAYS.INTL(E149,MIN(F149,Reprogramaciones!R$9),11)/NETWORKDAYS.INTL(E149,F149,11)*100,1))))</f>
        <v/>
      </c>
      <c r="P149" s="36" t="str">
        <f aca="false">IF(OR(NOT(AND(ISNUMBER(E149),ISNUMBER(F149))),$J$2=""),"",IF(Reprogramaciones!T$9&lt;E149,0,IF(NETWORKDAYS.INTL(E149,F149,11)=0,IF(Reprogramaciones!T$9&gt;=F149,100,0),ROUND(NETWORKDAYS.INTL(E149,MIN(F149,Reprogramaciones!T$9),11)/NETWORKDAYS.INTL(E149,F149,11)*100,1)))-IF(Reprogramaciones!S$9&lt;E149,0,IF(NETWORKDAYS.INTL(E149,F149,11)=0,IF(Reprogramaciones!S$9&gt;=F149,100,0),ROUND(NETWORKDAYS.INTL(E149,MIN(F149,Reprogramaciones!S$9),11)/NETWORKDAYS.INTL(E149,F149,11)*100,1))))</f>
        <v/>
      </c>
      <c r="Q149" s="37"/>
      <c r="R149" s="37"/>
      <c r="S149" s="37"/>
      <c r="T149" s="37"/>
      <c r="U149" s="37"/>
      <c r="V149" s="37"/>
      <c r="W149" s="37"/>
      <c r="X149" s="37"/>
      <c r="Y149" s="37"/>
      <c r="Z149" s="37"/>
      <c r="AA149" s="37"/>
      <c r="AB149" s="37"/>
      <c r="AC149" s="37"/>
      <c r="AD149" s="37"/>
      <c r="AE149" s="37"/>
      <c r="AF149" s="37"/>
      <c r="AG149" s="38" t="str">
        <f aca="false">IF(AND(ISNUMBER(E149),ISNUMBER(F149)),NETWORKDAYS.INTL(E149,F149,11),"")</f>
        <v/>
      </c>
      <c r="AH149" s="38" t="str">
        <f aca="false">IF(OR(NOT(AND(ISNUMBER(E149),ISNUMBER(F149))),$J$2=""),"",IF(Reprogramaciones!$P$15&lt;Reprogramaciones!$T$15,0,IF(Reprogramaciones!$R$15&gt;10,MIN(100,SUM($G149:$P149)),MIN(100,SUMPRODUCT((COLUMN($G149:$P149)-COLUMN($G149)+1&lt;Reprogramaciones!$R$15)*$G149:$P149)+N(INDEX($G149:$P149,1,Reprogramaciones!$R$15))*IF(Reprogramaciones!$P$15&gt;=(Reprogramaciones!$T$15+7*(Reprogramaciones!$R$15-1))+6,1,IF(MAX(0,NETWORKDAYS.INTL(MAX(E149,(Reprogramaciones!$T$15+7*(Reprogramaciones!$R$15-1))),MIN(F149,(Reprogramaciones!$T$15+7*(Reprogramaciones!$R$15-1))+6),11))=0,0,MAX(0,NETWORKDAYS.INTL(MAX(E149,(Reprogramaciones!$T$15+7*(Reprogramaciones!$R$15-1))),MIN(F149,Reprogramaciones!$P$15),11))/MAX(0,NETWORKDAYS.INTL(MAX(E149,(Reprogramaciones!$T$15+7*(Reprogramaciones!$R$15-1))),MIN(F149,(Reprogramaciones!$T$15+7*(Reprogramaciones!$R$15-1))+6),11))))))))</f>
        <v/>
      </c>
      <c r="AI149" s="38" t="str">
        <f aca="false">IF(COUNT($Q149:$AF149)=0,"",IF(ROUND(SUM($Q149:$AF149),1)&gt;=99.5,100,MIN(100,ROUND(SUM($Q149:$AF149),1))))</f>
        <v/>
      </c>
      <c r="AJ149" s="38" t="str">
        <f aca="false">IF(OR(AH149="",AI149=""),"",AI149-AH149)</f>
        <v/>
      </c>
      <c r="AK149" s="39" t="str">
        <f aca="true">IF(AH149="","",IF(OR(Ficha!$C$10="Suspendida",Ficha!$C$10="Cancelada"),Ficha!$C$10,IF(AND(AI149&lt;&gt;"",N(AI149)&gt;=100),"Completada",IF(AND(E149&gt;TODAY(),N(AI149)=0),"Por iniciar",IF(N(AI149)+0.5&lt;AH149,"Retrasada",IF(N(AI149)+0.5&lt;DA149,IF(Reprogramaciones!$K$15&gt;0,"Al día · Sem "&amp;Reprogramaciones!$K$15&amp;" en curso","Al día · en curso"),"A tiempo"))))))</f>
        <v/>
      </c>
      <c r="AL149" s="39" t="str">
        <f aca="true">IF(AND(A149="",AND(B149="",C149="",E149="",F149="",COUNT(Q149:AF149)=0)),"",IF(AND(B149="",C149="",E149="",F149="",COUNT(Q149:AF149)=0),"Falta la partida o subpartida",IF(AND(A149&lt;&gt;"",COUNTIF($A$6:$A$305,A149)&gt;1),"Ítem repetido",IF(AND(C149="",E149="",F149="",COUNT(Q149:AF149)=0),"Título de partida",IF(OR(E149="",F149=""),"Faltan fechas",IF(OR(ISTEXT(E149),ISTEXT(F149)),"Fecha escrita como texto: usa dd/mm/aaaa",IF(F149&lt;E149,"Fin antes del inicio",IF(IF($J$2="",FALSE(),OR(E149&lt;$J$2,F149&gt;Reprogramaciones!$T$15+69)),"Fuera de las 10 semanas",IF(ABS(SUM(G149:P149)-100)&gt;0.5,"La meta no suma 100%",IF(ROUND(SUM(Q149:AF149),1)&gt;100.5,"El avance pasa de 100%",IF(MIN(Q149:AF149)&lt;0,"Avance negativo",IF(COUNTA(Q149:AF149)&gt;COUNT(Q149:AF149),"Avance escrito como texto",IF(SUMPRODUCT((Q149:AF149&gt;0)*(Q149:AF149&lt;1))&gt;0,"Avance menor a 1: escribe 50, no 50%",IF(SUMPRODUCT(ISNUMBER(Q149:AF149)*(Reprogramaciones!$K$8:$Z$8&gt;TODAY()))&gt;0,"Avance en semana que aún no llega",IF(AND(N(Reprogramaciones!$E$21)&gt;0,F149&gt;Reprogramaciones!$E$21),"Pasa el fin de la obra: registra una reprogramación",IF(AND(N(Reprogramaciones!$E$21)&gt;0,SUMPRODUCT(ISNUMBER(Q149:AF149)*(Reprogramaciones!$K$8:$Z$8&gt;Reprogramaciones!$E$21))&gt;0),"Avance después del fin de la obra: registra una reprogramación por atraso","OK"))))))))))))))))</f>
        <v/>
      </c>
      <c r="AM149" s="40" t="str">
        <f aca="false">IF(OR(OR(NOT(AND(ISNUMBER(E149),ISNUMBER(F149))),$J$2=""),1&gt;MAX(1,Reprogramaciones!$U$15)),"",IF(Reprogramaciones!K$12&gt;=7,"",IF(OR(BT149-N(0)&gt;0.05,N(Q149)&gt;0),ROUNDDOWN(ROUND(BT149,6),0)&amp;"%"&amp;IF(CJ149="",""," / "&amp;CJ149&amp;"%"),IF(AND(N(0)&gt;=99.95,CJ149&lt;&gt;"",N(CJ149)&lt;100),"Pend. "&amp;CJ149&amp;"%",""))))</f>
        <v/>
      </c>
      <c r="AN149" s="40" t="str">
        <f aca="false">IF(OR(OR(NOT(AND(ISNUMBER(E149),ISNUMBER(F149))),$J$2=""),2&gt;MAX(1,Reprogramaciones!$U$15)),"",IF(Reprogramaciones!L$12&gt;=7,"",IF(OR(BU149-N(BT149)&gt;0.05,N(R149)&gt;0),ROUNDDOWN(ROUND(BU149,6),0)&amp;"%"&amp;IF(CK149="",""," / "&amp;CK149&amp;"%"),IF(AND(N(BT149)&gt;=99.95,CK149&lt;&gt;"",N(CK149)&lt;100),"Pend. "&amp;CK149&amp;"%",""))))</f>
        <v/>
      </c>
      <c r="AO149" s="40" t="str">
        <f aca="false">IF(OR(OR(NOT(AND(ISNUMBER(E149),ISNUMBER(F149))),$J$2=""),3&gt;MAX(1,Reprogramaciones!$U$15)),"",IF(Reprogramaciones!M$12&gt;=7,"",IF(OR(BV149-N(BU149)&gt;0.05,N(S149)&gt;0),ROUNDDOWN(ROUND(BV149,6),0)&amp;"%"&amp;IF(CL149="",""," / "&amp;CL149&amp;"%"),IF(AND(N(BU149)&gt;=99.95,CL149&lt;&gt;"",N(CL149)&lt;100),"Pend. "&amp;CL149&amp;"%",""))))</f>
        <v/>
      </c>
      <c r="AP149" s="40" t="str">
        <f aca="false">IF(OR(OR(NOT(AND(ISNUMBER(E149),ISNUMBER(F149))),$J$2=""),4&gt;MAX(1,Reprogramaciones!$U$15)),"",IF(Reprogramaciones!N$12&gt;=7,"",IF(OR(BW149-N(BV149)&gt;0.05,N(T149)&gt;0),ROUNDDOWN(ROUND(BW149,6),0)&amp;"%"&amp;IF(CM149="",""," / "&amp;CM149&amp;"%"),IF(AND(N(BV149)&gt;=99.95,CM149&lt;&gt;"",N(CM149)&lt;100),"Pend. "&amp;CM149&amp;"%",""))))</f>
        <v/>
      </c>
      <c r="AQ149" s="40" t="str">
        <f aca="false">IF(OR(OR(NOT(AND(ISNUMBER(E149),ISNUMBER(F149))),$J$2=""),5&gt;MAX(1,Reprogramaciones!$U$15)),"",IF(Reprogramaciones!O$12&gt;=7,"",IF(OR(BX149-N(BW149)&gt;0.05,N(U149)&gt;0),ROUNDDOWN(ROUND(BX149,6),0)&amp;"%"&amp;IF(CN149="",""," / "&amp;CN149&amp;"%"),IF(AND(N(BW149)&gt;=99.95,CN149&lt;&gt;"",N(CN149)&lt;100),"Pend. "&amp;CN149&amp;"%",""))))</f>
        <v/>
      </c>
      <c r="AR149" s="40" t="str">
        <f aca="false">IF(OR(OR(NOT(AND(ISNUMBER(E149),ISNUMBER(F149))),$J$2=""),6&gt;MAX(1,Reprogramaciones!$U$15)),"",IF(Reprogramaciones!P$12&gt;=7,"",IF(OR(BY149-N(BX149)&gt;0.05,N(V149)&gt;0),ROUNDDOWN(ROUND(BY149,6),0)&amp;"%"&amp;IF(CO149="",""," / "&amp;CO149&amp;"%"),IF(AND(N(BX149)&gt;=99.95,CO149&lt;&gt;"",N(CO149)&lt;100),"Pend. "&amp;CO149&amp;"%",""))))</f>
        <v/>
      </c>
      <c r="AS149" s="40" t="str">
        <f aca="false">IF(OR(OR(NOT(AND(ISNUMBER(E149),ISNUMBER(F149))),$J$2=""),7&gt;MAX(1,Reprogramaciones!$U$15)),"",IF(Reprogramaciones!Q$12&gt;=7,"",IF(OR(BZ149-N(BY149)&gt;0.05,N(W149)&gt;0),ROUNDDOWN(ROUND(BZ149,6),0)&amp;"%"&amp;IF(CP149="",""," / "&amp;CP149&amp;"%"),IF(AND(N(BY149)&gt;=99.95,CP149&lt;&gt;"",N(CP149)&lt;100),"Pend. "&amp;CP149&amp;"%",""))))</f>
        <v/>
      </c>
      <c r="AT149" s="40" t="str">
        <f aca="false">IF(OR(OR(NOT(AND(ISNUMBER(E149),ISNUMBER(F149))),$J$2=""),8&gt;MAX(1,Reprogramaciones!$U$15)),"",IF(Reprogramaciones!R$12&gt;=7,"",IF(OR(CA149-N(BZ149)&gt;0.05,N(X149)&gt;0),ROUNDDOWN(ROUND(CA149,6),0)&amp;"%"&amp;IF(CQ149="",""," / "&amp;CQ149&amp;"%"),IF(AND(N(BZ149)&gt;=99.95,CQ149&lt;&gt;"",N(CQ149)&lt;100),"Pend. "&amp;CQ149&amp;"%",""))))</f>
        <v/>
      </c>
      <c r="AU149" s="40" t="str">
        <f aca="false">IF(OR(OR(NOT(AND(ISNUMBER(E149),ISNUMBER(F149))),$J$2=""),9&gt;MAX(1,Reprogramaciones!$U$15)),"",IF(Reprogramaciones!S$12&gt;=7,"",IF(OR(CB149-N(CA149)&gt;0.05,N(Y149)&gt;0),ROUNDDOWN(ROUND(CB149,6),0)&amp;"%"&amp;IF(CR149="",""," / "&amp;CR149&amp;"%"),IF(AND(N(CA149)&gt;=99.95,CR149&lt;&gt;"",N(CR149)&lt;100),"Pend. "&amp;CR149&amp;"%",""))))</f>
        <v/>
      </c>
      <c r="AV149" s="40" t="str">
        <f aca="false">IF(OR(OR(NOT(AND(ISNUMBER(E149),ISNUMBER(F149))),$J$2=""),10&gt;MAX(1,Reprogramaciones!$U$15)),"",IF(Reprogramaciones!T$12&gt;=7,"",IF(OR(CC149-N(CB149)&gt;0.05,N(Z149)&gt;0),ROUNDDOWN(ROUND(CC149,6),0)&amp;"%"&amp;IF(CS149="",""," / "&amp;CS149&amp;"%"),IF(AND(N(CB149)&gt;=99.95,CS149&lt;&gt;"",N(CS149)&lt;100),"Pend. "&amp;CS149&amp;"%",""))))</f>
        <v/>
      </c>
      <c r="AW149" s="40" t="str">
        <f aca="false">IF(OR(OR(NOT(AND(ISNUMBER(E149),ISNUMBER(F149))),$J$2=""),11&gt;MAX(1,Reprogramaciones!$U$15)),"",IF(Reprogramaciones!U$12&gt;=7,"",IF(OR(CD149-N(CC149)&gt;0.05,N(AA149)&gt;0),ROUNDDOWN(ROUND(CD149,6),0)&amp;"%"&amp;IF(CT149="",""," / "&amp;CT149&amp;"%"),IF(AND(N(CC149)&gt;=99.95,CT149&lt;&gt;"",N(CT149)&lt;100),"Pend. "&amp;CT149&amp;"%",""))))</f>
        <v/>
      </c>
      <c r="AX149" s="40" t="str">
        <f aca="false">IF(OR(OR(NOT(AND(ISNUMBER(E149),ISNUMBER(F149))),$J$2=""),12&gt;MAX(1,Reprogramaciones!$U$15)),"",IF(Reprogramaciones!V$12&gt;=7,"",IF(OR(CE149-N(CD149)&gt;0.05,N(AB149)&gt;0),ROUNDDOWN(ROUND(CE149,6),0)&amp;"%"&amp;IF(CU149="",""," / "&amp;CU149&amp;"%"),IF(AND(N(CD149)&gt;=99.95,CU149&lt;&gt;"",N(CU149)&lt;100),"Pend. "&amp;CU149&amp;"%",""))))</f>
        <v/>
      </c>
      <c r="AY149" s="40" t="str">
        <f aca="false">IF(OR(OR(NOT(AND(ISNUMBER(E149),ISNUMBER(F149))),$J$2=""),13&gt;MAX(1,Reprogramaciones!$U$15)),"",IF(Reprogramaciones!W$12&gt;=7,"",IF(OR(CF149-N(CE149)&gt;0.05,N(AC149)&gt;0),ROUNDDOWN(ROUND(CF149,6),0)&amp;"%"&amp;IF(CV149="",""," / "&amp;CV149&amp;"%"),IF(AND(N(CE149)&gt;=99.95,CV149&lt;&gt;"",N(CV149)&lt;100),"Pend. "&amp;CV149&amp;"%",""))))</f>
        <v/>
      </c>
      <c r="AZ149" s="40" t="str">
        <f aca="false">IF(OR(OR(NOT(AND(ISNUMBER(E149),ISNUMBER(F149))),$J$2=""),14&gt;MAX(1,Reprogramaciones!$U$15)),"",IF(Reprogramaciones!X$12&gt;=7,"",IF(OR(CG149-N(CF149)&gt;0.05,N(AD149)&gt;0),ROUNDDOWN(ROUND(CG149,6),0)&amp;"%"&amp;IF(CW149="",""," / "&amp;CW149&amp;"%"),IF(AND(N(CF149)&gt;=99.95,CW149&lt;&gt;"",N(CW149)&lt;100),"Pend. "&amp;CW149&amp;"%",""))))</f>
        <v/>
      </c>
      <c r="BA149" s="40" t="str">
        <f aca="false">IF(OR(OR(NOT(AND(ISNUMBER(E149),ISNUMBER(F149))),$J$2=""),15&gt;MAX(1,Reprogramaciones!$U$15)),"",IF(Reprogramaciones!Y$12&gt;=7,"",IF(OR(CH149-N(CG149)&gt;0.05,N(AE149)&gt;0),ROUNDDOWN(ROUND(CH149,6),0)&amp;"%"&amp;IF(CX149="",""," / "&amp;CX149&amp;"%"),IF(AND(N(CG149)&gt;=99.95,CX149&lt;&gt;"",N(CX149)&lt;100),"Pend. "&amp;CX149&amp;"%",""))))</f>
        <v/>
      </c>
      <c r="BB149" s="40" t="str">
        <f aca="false">IF(OR(OR(NOT(AND(ISNUMBER(E149),ISNUMBER(F149))),$J$2=""),16&gt;MAX(1,Reprogramaciones!$U$15)),"",IF(Reprogramaciones!Z$12&gt;=7,"",IF(OR(CI149-N(CH149)&gt;0.05,N(AF149)&gt;0),ROUNDDOWN(ROUND(CI149,6),0)&amp;"%"&amp;IF(CY149="",""," / "&amp;CY149&amp;"%"),IF(AND(N(CH149)&gt;=99.95,CY149&lt;&gt;"",N(CY149)&lt;100),"Pend. "&amp;CY149&amp;"%",""))))</f>
        <v/>
      </c>
      <c r="BC149" s="31" t="n">
        <f aca="false">IF(AND(ISNUMBER(E149),ISNUMBER(F149)),MAX(1,NETWORKDAYS.INTL(E149,F149,11)),0)</f>
        <v>0</v>
      </c>
      <c r="BD149" s="1" t="str">
        <f aca="false">IF(OR(NOT(AND(ISNUMBER(E149),ISNUMBER(F149))),$J$2=""),"",MIN(100,ROUND(SUM($G149:G149),1)))</f>
        <v/>
      </c>
      <c r="BE149" s="1" t="str">
        <f aca="false">IF(OR(NOT(AND(ISNUMBER(E149),ISNUMBER(F149))),$J$2=""),"",MIN(100,ROUND(SUM($G149:H149),1)))</f>
        <v/>
      </c>
      <c r="BF149" s="1" t="str">
        <f aca="false">IF(OR(NOT(AND(ISNUMBER(E149),ISNUMBER(F149))),$J$2=""),"",MIN(100,ROUND(SUM($G149:I149),1)))</f>
        <v/>
      </c>
      <c r="BG149" s="1" t="str">
        <f aca="false">IF(OR(NOT(AND(ISNUMBER(E149),ISNUMBER(F149))),$J$2=""),"",MIN(100,ROUND(SUM($G149:J149),1)))</f>
        <v/>
      </c>
      <c r="BH149" s="1" t="str">
        <f aca="false">IF(OR(NOT(AND(ISNUMBER(E149),ISNUMBER(F149))),$J$2=""),"",MIN(100,ROUND(SUM($G149:K149),1)))</f>
        <v/>
      </c>
      <c r="BI149" s="1" t="str">
        <f aca="false">IF(OR(NOT(AND(ISNUMBER(E149),ISNUMBER(F149))),$J$2=""),"",MIN(100,ROUND(SUM($G149:L149),1)))</f>
        <v/>
      </c>
      <c r="BJ149" s="1" t="str">
        <f aca="false">IF(OR(NOT(AND(ISNUMBER(E149),ISNUMBER(F149))),$J$2=""),"",MIN(100,ROUND(SUM($G149:M149),1)))</f>
        <v/>
      </c>
      <c r="BK149" s="1" t="str">
        <f aca="false">IF(OR(NOT(AND(ISNUMBER(E149),ISNUMBER(F149))),$J$2=""),"",MIN(100,ROUND(SUM($G149:N149),1)))</f>
        <v/>
      </c>
      <c r="BL149" s="1" t="str">
        <f aca="false">IF(OR(NOT(AND(ISNUMBER(E149),ISNUMBER(F149))),$J$2=""),"",MIN(100,ROUND(SUM($G149:O149),1)))</f>
        <v/>
      </c>
      <c r="BM149" s="1" t="str">
        <f aca="false">IF(OR(NOT(AND(ISNUMBER(E149),ISNUMBER(F149))),$J$2=""),"",MIN(100,ROUND(SUM($G149:P149),1)))</f>
        <v/>
      </c>
      <c r="BN149" s="1" t="str">
        <f aca="false">IF(OR(NOT(AND(ISNUMBER(E149),ISNUMBER(F149))),$J$2=""),"",MIN(100,ROUND(SUM($G149:P149),1)))</f>
        <v/>
      </c>
      <c r="BO149" s="1" t="str">
        <f aca="false">IF(OR(NOT(AND(ISNUMBER(E149),ISNUMBER(F149))),$J$2=""),"",MIN(100,ROUND(SUM($G149:P149),1)))</f>
        <v/>
      </c>
      <c r="BP149" s="1" t="str">
        <f aca="false">IF(OR(NOT(AND(ISNUMBER(E149),ISNUMBER(F149))),$J$2=""),"",MIN(100,ROUND(SUM($G149:P149),1)))</f>
        <v/>
      </c>
      <c r="BQ149" s="1" t="str">
        <f aca="false">IF(OR(NOT(AND(ISNUMBER(E149),ISNUMBER(F149))),$J$2=""),"",MIN(100,ROUND(SUM($G149:P149),1)))</f>
        <v/>
      </c>
      <c r="BR149" s="1" t="str">
        <f aca="false">IF(OR(NOT(AND(ISNUMBER(E149),ISNUMBER(F149))),$J$2=""),"",MIN(100,ROUND(SUM($G149:P149),1)))</f>
        <v/>
      </c>
      <c r="BS149" s="1" t="str">
        <f aca="false">IF(OR(NOT(AND(ISNUMBER(E149),ISNUMBER(F149))),$J$2=""),"",MIN(100,ROUND(SUM($G149:P149),1)))</f>
        <v/>
      </c>
      <c r="BT149" s="1" t="str">
        <f aca="false">IF(OR(NOT(AND(ISNUMBER(E149),ISNUMBER(F149))),$J$2=""),"",IF(Reprogramaciones!K$13&lt;Reprogramaciones!$T$15,0,IF(Reprogramaciones!K$14&gt;10,MIN(100,SUM($G149:$P149)),MIN(100,SUMPRODUCT((COLUMN($G149:$P149)-COLUMN($G149)+1&lt;Reprogramaciones!K$14)*$G149:$P149)+N(INDEX($G149:$P149,1,Reprogramaciones!K$14))*IF(Reprogramaciones!K$13&gt;=(Reprogramaciones!$T$15+7*(Reprogramaciones!K$14-1))+6,1,IF(MAX(0,NETWORKDAYS.INTL(MAX(E149,(Reprogramaciones!$T$15+7*(Reprogramaciones!K$14-1))),MIN(F149,(Reprogramaciones!$T$15+7*(Reprogramaciones!K$14-1))+6),11))=0,0,MAX(0,NETWORKDAYS.INTL(MAX(E149,(Reprogramaciones!$T$15+7*(Reprogramaciones!K$14-1))),MIN(F149,Reprogramaciones!K$13),11))/MAX(0,NETWORKDAYS.INTL(MAX(E149,(Reprogramaciones!$T$15+7*(Reprogramaciones!K$14-1))),MIN(F149,(Reprogramaciones!$T$15+7*(Reprogramaciones!K$14-1))+6),11))))))))</f>
        <v/>
      </c>
      <c r="BU149" s="1" t="str">
        <f aca="false">IF(OR(NOT(AND(ISNUMBER(E149),ISNUMBER(F149))),$J$2=""),"",IF(Reprogramaciones!L$13&lt;Reprogramaciones!$T$15,0,IF(Reprogramaciones!L$14&gt;10,MIN(100,SUM($G149:$P149)),MIN(100,SUMPRODUCT((COLUMN($G149:$P149)-COLUMN($G149)+1&lt;Reprogramaciones!L$14)*$G149:$P149)+N(INDEX($G149:$P149,1,Reprogramaciones!L$14))*IF(Reprogramaciones!L$13&gt;=(Reprogramaciones!$T$15+7*(Reprogramaciones!L$14-1))+6,1,IF(MAX(0,NETWORKDAYS.INTL(MAX(E149,(Reprogramaciones!$T$15+7*(Reprogramaciones!L$14-1))),MIN(F149,(Reprogramaciones!$T$15+7*(Reprogramaciones!L$14-1))+6),11))=0,0,MAX(0,NETWORKDAYS.INTL(MAX(E149,(Reprogramaciones!$T$15+7*(Reprogramaciones!L$14-1))),MIN(F149,Reprogramaciones!L$13),11))/MAX(0,NETWORKDAYS.INTL(MAX(E149,(Reprogramaciones!$T$15+7*(Reprogramaciones!L$14-1))),MIN(F149,(Reprogramaciones!$T$15+7*(Reprogramaciones!L$14-1))+6),11))))))))</f>
        <v/>
      </c>
      <c r="BV149" s="1" t="str">
        <f aca="false">IF(OR(NOT(AND(ISNUMBER(E149),ISNUMBER(F149))),$J$2=""),"",IF(Reprogramaciones!M$13&lt;Reprogramaciones!$T$15,0,IF(Reprogramaciones!M$14&gt;10,MIN(100,SUM($G149:$P149)),MIN(100,SUMPRODUCT((COLUMN($G149:$P149)-COLUMN($G149)+1&lt;Reprogramaciones!M$14)*$G149:$P149)+N(INDEX($G149:$P149,1,Reprogramaciones!M$14))*IF(Reprogramaciones!M$13&gt;=(Reprogramaciones!$T$15+7*(Reprogramaciones!M$14-1))+6,1,IF(MAX(0,NETWORKDAYS.INTL(MAX(E149,(Reprogramaciones!$T$15+7*(Reprogramaciones!M$14-1))),MIN(F149,(Reprogramaciones!$T$15+7*(Reprogramaciones!M$14-1))+6),11))=0,0,MAX(0,NETWORKDAYS.INTL(MAX(E149,(Reprogramaciones!$T$15+7*(Reprogramaciones!M$14-1))),MIN(F149,Reprogramaciones!M$13),11))/MAX(0,NETWORKDAYS.INTL(MAX(E149,(Reprogramaciones!$T$15+7*(Reprogramaciones!M$14-1))),MIN(F149,(Reprogramaciones!$T$15+7*(Reprogramaciones!M$14-1))+6),11))))))))</f>
        <v/>
      </c>
      <c r="BW149" s="1" t="str">
        <f aca="false">IF(OR(NOT(AND(ISNUMBER(E149),ISNUMBER(F149))),$J$2=""),"",IF(Reprogramaciones!N$13&lt;Reprogramaciones!$T$15,0,IF(Reprogramaciones!N$14&gt;10,MIN(100,SUM($G149:$P149)),MIN(100,SUMPRODUCT((COLUMN($G149:$P149)-COLUMN($G149)+1&lt;Reprogramaciones!N$14)*$G149:$P149)+N(INDEX($G149:$P149,1,Reprogramaciones!N$14))*IF(Reprogramaciones!N$13&gt;=(Reprogramaciones!$T$15+7*(Reprogramaciones!N$14-1))+6,1,IF(MAX(0,NETWORKDAYS.INTL(MAX(E149,(Reprogramaciones!$T$15+7*(Reprogramaciones!N$14-1))),MIN(F149,(Reprogramaciones!$T$15+7*(Reprogramaciones!N$14-1))+6),11))=0,0,MAX(0,NETWORKDAYS.INTL(MAX(E149,(Reprogramaciones!$T$15+7*(Reprogramaciones!N$14-1))),MIN(F149,Reprogramaciones!N$13),11))/MAX(0,NETWORKDAYS.INTL(MAX(E149,(Reprogramaciones!$T$15+7*(Reprogramaciones!N$14-1))),MIN(F149,(Reprogramaciones!$T$15+7*(Reprogramaciones!N$14-1))+6),11))))))))</f>
        <v/>
      </c>
      <c r="BX149" s="1" t="str">
        <f aca="false">IF(OR(NOT(AND(ISNUMBER(E149),ISNUMBER(F149))),$J$2=""),"",IF(Reprogramaciones!O$13&lt;Reprogramaciones!$T$15,0,IF(Reprogramaciones!O$14&gt;10,MIN(100,SUM($G149:$P149)),MIN(100,SUMPRODUCT((COLUMN($G149:$P149)-COLUMN($G149)+1&lt;Reprogramaciones!O$14)*$G149:$P149)+N(INDEX($G149:$P149,1,Reprogramaciones!O$14))*IF(Reprogramaciones!O$13&gt;=(Reprogramaciones!$T$15+7*(Reprogramaciones!O$14-1))+6,1,IF(MAX(0,NETWORKDAYS.INTL(MAX(E149,(Reprogramaciones!$T$15+7*(Reprogramaciones!O$14-1))),MIN(F149,(Reprogramaciones!$T$15+7*(Reprogramaciones!O$14-1))+6),11))=0,0,MAX(0,NETWORKDAYS.INTL(MAX(E149,(Reprogramaciones!$T$15+7*(Reprogramaciones!O$14-1))),MIN(F149,Reprogramaciones!O$13),11))/MAX(0,NETWORKDAYS.INTL(MAX(E149,(Reprogramaciones!$T$15+7*(Reprogramaciones!O$14-1))),MIN(F149,(Reprogramaciones!$T$15+7*(Reprogramaciones!O$14-1))+6),11))))))))</f>
        <v/>
      </c>
      <c r="BY149" s="1" t="str">
        <f aca="false">IF(OR(NOT(AND(ISNUMBER(E149),ISNUMBER(F149))),$J$2=""),"",IF(Reprogramaciones!P$13&lt;Reprogramaciones!$T$15,0,IF(Reprogramaciones!P$14&gt;10,MIN(100,SUM($G149:$P149)),MIN(100,SUMPRODUCT((COLUMN($G149:$P149)-COLUMN($G149)+1&lt;Reprogramaciones!P$14)*$G149:$P149)+N(INDEX($G149:$P149,1,Reprogramaciones!P$14))*IF(Reprogramaciones!P$13&gt;=(Reprogramaciones!$T$15+7*(Reprogramaciones!P$14-1))+6,1,IF(MAX(0,NETWORKDAYS.INTL(MAX(E149,(Reprogramaciones!$T$15+7*(Reprogramaciones!P$14-1))),MIN(F149,(Reprogramaciones!$T$15+7*(Reprogramaciones!P$14-1))+6),11))=0,0,MAX(0,NETWORKDAYS.INTL(MAX(E149,(Reprogramaciones!$T$15+7*(Reprogramaciones!P$14-1))),MIN(F149,Reprogramaciones!P$13),11))/MAX(0,NETWORKDAYS.INTL(MAX(E149,(Reprogramaciones!$T$15+7*(Reprogramaciones!P$14-1))),MIN(F149,(Reprogramaciones!$T$15+7*(Reprogramaciones!P$14-1))+6),11))))))))</f>
        <v/>
      </c>
      <c r="BZ149" s="1" t="str">
        <f aca="false">IF(OR(NOT(AND(ISNUMBER(E149),ISNUMBER(F149))),$J$2=""),"",IF(Reprogramaciones!Q$13&lt;Reprogramaciones!$T$15,0,IF(Reprogramaciones!Q$14&gt;10,MIN(100,SUM($G149:$P149)),MIN(100,SUMPRODUCT((COLUMN($G149:$P149)-COLUMN($G149)+1&lt;Reprogramaciones!Q$14)*$G149:$P149)+N(INDEX($G149:$P149,1,Reprogramaciones!Q$14))*IF(Reprogramaciones!Q$13&gt;=(Reprogramaciones!$T$15+7*(Reprogramaciones!Q$14-1))+6,1,IF(MAX(0,NETWORKDAYS.INTL(MAX(E149,(Reprogramaciones!$T$15+7*(Reprogramaciones!Q$14-1))),MIN(F149,(Reprogramaciones!$T$15+7*(Reprogramaciones!Q$14-1))+6),11))=0,0,MAX(0,NETWORKDAYS.INTL(MAX(E149,(Reprogramaciones!$T$15+7*(Reprogramaciones!Q$14-1))),MIN(F149,Reprogramaciones!Q$13),11))/MAX(0,NETWORKDAYS.INTL(MAX(E149,(Reprogramaciones!$T$15+7*(Reprogramaciones!Q$14-1))),MIN(F149,(Reprogramaciones!$T$15+7*(Reprogramaciones!Q$14-1))+6),11))))))))</f>
        <v/>
      </c>
      <c r="CA149" s="1" t="str">
        <f aca="false">IF(OR(NOT(AND(ISNUMBER(E149),ISNUMBER(F149))),$J$2=""),"",IF(Reprogramaciones!R$13&lt;Reprogramaciones!$T$15,0,IF(Reprogramaciones!R$14&gt;10,MIN(100,SUM($G149:$P149)),MIN(100,SUMPRODUCT((COLUMN($G149:$P149)-COLUMN($G149)+1&lt;Reprogramaciones!R$14)*$G149:$P149)+N(INDEX($G149:$P149,1,Reprogramaciones!R$14))*IF(Reprogramaciones!R$13&gt;=(Reprogramaciones!$T$15+7*(Reprogramaciones!R$14-1))+6,1,IF(MAX(0,NETWORKDAYS.INTL(MAX(E149,(Reprogramaciones!$T$15+7*(Reprogramaciones!R$14-1))),MIN(F149,(Reprogramaciones!$T$15+7*(Reprogramaciones!R$14-1))+6),11))=0,0,MAX(0,NETWORKDAYS.INTL(MAX(E149,(Reprogramaciones!$T$15+7*(Reprogramaciones!R$14-1))),MIN(F149,Reprogramaciones!R$13),11))/MAX(0,NETWORKDAYS.INTL(MAX(E149,(Reprogramaciones!$T$15+7*(Reprogramaciones!R$14-1))),MIN(F149,(Reprogramaciones!$T$15+7*(Reprogramaciones!R$14-1))+6),11))))))))</f>
        <v/>
      </c>
      <c r="CB149" s="1" t="str">
        <f aca="false">IF(OR(NOT(AND(ISNUMBER(E149),ISNUMBER(F149))),$J$2=""),"",IF(Reprogramaciones!S$13&lt;Reprogramaciones!$T$15,0,IF(Reprogramaciones!S$14&gt;10,MIN(100,SUM($G149:$P149)),MIN(100,SUMPRODUCT((COLUMN($G149:$P149)-COLUMN($G149)+1&lt;Reprogramaciones!S$14)*$G149:$P149)+N(INDEX($G149:$P149,1,Reprogramaciones!S$14))*IF(Reprogramaciones!S$13&gt;=(Reprogramaciones!$T$15+7*(Reprogramaciones!S$14-1))+6,1,IF(MAX(0,NETWORKDAYS.INTL(MAX(E149,(Reprogramaciones!$T$15+7*(Reprogramaciones!S$14-1))),MIN(F149,(Reprogramaciones!$T$15+7*(Reprogramaciones!S$14-1))+6),11))=0,0,MAX(0,NETWORKDAYS.INTL(MAX(E149,(Reprogramaciones!$T$15+7*(Reprogramaciones!S$14-1))),MIN(F149,Reprogramaciones!S$13),11))/MAX(0,NETWORKDAYS.INTL(MAX(E149,(Reprogramaciones!$T$15+7*(Reprogramaciones!S$14-1))),MIN(F149,(Reprogramaciones!$T$15+7*(Reprogramaciones!S$14-1))+6),11))))))))</f>
        <v/>
      </c>
      <c r="CC149" s="1" t="str">
        <f aca="false">IF(OR(NOT(AND(ISNUMBER(E149),ISNUMBER(F149))),$J$2=""),"",IF(Reprogramaciones!T$13&lt;Reprogramaciones!$T$15,0,IF(Reprogramaciones!T$14&gt;10,MIN(100,SUM($G149:$P149)),MIN(100,SUMPRODUCT((COLUMN($G149:$P149)-COLUMN($G149)+1&lt;Reprogramaciones!T$14)*$G149:$P149)+N(INDEX($G149:$P149,1,Reprogramaciones!T$14))*IF(Reprogramaciones!T$13&gt;=(Reprogramaciones!$T$15+7*(Reprogramaciones!T$14-1))+6,1,IF(MAX(0,NETWORKDAYS.INTL(MAX(E149,(Reprogramaciones!$T$15+7*(Reprogramaciones!T$14-1))),MIN(F149,(Reprogramaciones!$T$15+7*(Reprogramaciones!T$14-1))+6),11))=0,0,MAX(0,NETWORKDAYS.INTL(MAX(E149,(Reprogramaciones!$T$15+7*(Reprogramaciones!T$14-1))),MIN(F149,Reprogramaciones!T$13),11))/MAX(0,NETWORKDAYS.INTL(MAX(E149,(Reprogramaciones!$T$15+7*(Reprogramaciones!T$14-1))),MIN(F149,(Reprogramaciones!$T$15+7*(Reprogramaciones!T$14-1))+6),11))))))))</f>
        <v/>
      </c>
      <c r="CD149" s="1" t="str">
        <f aca="false">IF(OR(NOT(AND(ISNUMBER(E149),ISNUMBER(F149))),$J$2=""),"",IF(Reprogramaciones!U$13&lt;Reprogramaciones!$T$15,0,IF(Reprogramaciones!U$14&gt;10,MIN(100,SUM($G149:$P149)),MIN(100,SUMPRODUCT((COLUMN($G149:$P149)-COLUMN($G149)+1&lt;Reprogramaciones!U$14)*$G149:$P149)+N(INDEX($G149:$P149,1,Reprogramaciones!U$14))*IF(Reprogramaciones!U$13&gt;=(Reprogramaciones!$T$15+7*(Reprogramaciones!U$14-1))+6,1,IF(MAX(0,NETWORKDAYS.INTL(MAX(E149,(Reprogramaciones!$T$15+7*(Reprogramaciones!U$14-1))),MIN(F149,(Reprogramaciones!$T$15+7*(Reprogramaciones!U$14-1))+6),11))=0,0,MAX(0,NETWORKDAYS.INTL(MAX(E149,(Reprogramaciones!$T$15+7*(Reprogramaciones!U$14-1))),MIN(F149,Reprogramaciones!U$13),11))/MAX(0,NETWORKDAYS.INTL(MAX(E149,(Reprogramaciones!$T$15+7*(Reprogramaciones!U$14-1))),MIN(F149,(Reprogramaciones!$T$15+7*(Reprogramaciones!U$14-1))+6),11))))))))</f>
        <v/>
      </c>
      <c r="CE149" s="1" t="str">
        <f aca="false">IF(OR(NOT(AND(ISNUMBER(E149),ISNUMBER(F149))),$J$2=""),"",IF(Reprogramaciones!V$13&lt;Reprogramaciones!$T$15,0,IF(Reprogramaciones!V$14&gt;10,MIN(100,SUM($G149:$P149)),MIN(100,SUMPRODUCT((COLUMN($G149:$P149)-COLUMN($G149)+1&lt;Reprogramaciones!V$14)*$G149:$P149)+N(INDEX($G149:$P149,1,Reprogramaciones!V$14))*IF(Reprogramaciones!V$13&gt;=(Reprogramaciones!$T$15+7*(Reprogramaciones!V$14-1))+6,1,IF(MAX(0,NETWORKDAYS.INTL(MAX(E149,(Reprogramaciones!$T$15+7*(Reprogramaciones!V$14-1))),MIN(F149,(Reprogramaciones!$T$15+7*(Reprogramaciones!V$14-1))+6),11))=0,0,MAX(0,NETWORKDAYS.INTL(MAX(E149,(Reprogramaciones!$T$15+7*(Reprogramaciones!V$14-1))),MIN(F149,Reprogramaciones!V$13),11))/MAX(0,NETWORKDAYS.INTL(MAX(E149,(Reprogramaciones!$T$15+7*(Reprogramaciones!V$14-1))),MIN(F149,(Reprogramaciones!$T$15+7*(Reprogramaciones!V$14-1))+6),11))))))))</f>
        <v/>
      </c>
      <c r="CF149" s="1" t="str">
        <f aca="false">IF(OR(NOT(AND(ISNUMBER(E149),ISNUMBER(F149))),$J$2=""),"",IF(Reprogramaciones!W$13&lt;Reprogramaciones!$T$15,0,IF(Reprogramaciones!W$14&gt;10,MIN(100,SUM($G149:$P149)),MIN(100,SUMPRODUCT((COLUMN($G149:$P149)-COLUMN($G149)+1&lt;Reprogramaciones!W$14)*$G149:$P149)+N(INDEX($G149:$P149,1,Reprogramaciones!W$14))*IF(Reprogramaciones!W$13&gt;=(Reprogramaciones!$T$15+7*(Reprogramaciones!W$14-1))+6,1,IF(MAX(0,NETWORKDAYS.INTL(MAX(E149,(Reprogramaciones!$T$15+7*(Reprogramaciones!W$14-1))),MIN(F149,(Reprogramaciones!$T$15+7*(Reprogramaciones!W$14-1))+6),11))=0,0,MAX(0,NETWORKDAYS.INTL(MAX(E149,(Reprogramaciones!$T$15+7*(Reprogramaciones!W$14-1))),MIN(F149,Reprogramaciones!W$13),11))/MAX(0,NETWORKDAYS.INTL(MAX(E149,(Reprogramaciones!$T$15+7*(Reprogramaciones!W$14-1))),MIN(F149,(Reprogramaciones!$T$15+7*(Reprogramaciones!W$14-1))+6),11))))))))</f>
        <v/>
      </c>
      <c r="CG149" s="1" t="str">
        <f aca="false">IF(OR(NOT(AND(ISNUMBER(E149),ISNUMBER(F149))),$J$2=""),"",IF(Reprogramaciones!X$13&lt;Reprogramaciones!$T$15,0,IF(Reprogramaciones!X$14&gt;10,MIN(100,SUM($G149:$P149)),MIN(100,SUMPRODUCT((COLUMN($G149:$P149)-COLUMN($G149)+1&lt;Reprogramaciones!X$14)*$G149:$P149)+N(INDEX($G149:$P149,1,Reprogramaciones!X$14))*IF(Reprogramaciones!X$13&gt;=(Reprogramaciones!$T$15+7*(Reprogramaciones!X$14-1))+6,1,IF(MAX(0,NETWORKDAYS.INTL(MAX(E149,(Reprogramaciones!$T$15+7*(Reprogramaciones!X$14-1))),MIN(F149,(Reprogramaciones!$T$15+7*(Reprogramaciones!X$14-1))+6),11))=0,0,MAX(0,NETWORKDAYS.INTL(MAX(E149,(Reprogramaciones!$T$15+7*(Reprogramaciones!X$14-1))),MIN(F149,Reprogramaciones!X$13),11))/MAX(0,NETWORKDAYS.INTL(MAX(E149,(Reprogramaciones!$T$15+7*(Reprogramaciones!X$14-1))),MIN(F149,(Reprogramaciones!$T$15+7*(Reprogramaciones!X$14-1))+6),11))))))))</f>
        <v/>
      </c>
      <c r="CH149" s="1" t="str">
        <f aca="false">IF(OR(NOT(AND(ISNUMBER(E149),ISNUMBER(F149))),$J$2=""),"",IF(Reprogramaciones!Y$13&lt;Reprogramaciones!$T$15,0,IF(Reprogramaciones!Y$14&gt;10,MIN(100,SUM($G149:$P149)),MIN(100,SUMPRODUCT((COLUMN($G149:$P149)-COLUMN($G149)+1&lt;Reprogramaciones!Y$14)*$G149:$P149)+N(INDEX($G149:$P149,1,Reprogramaciones!Y$14))*IF(Reprogramaciones!Y$13&gt;=(Reprogramaciones!$T$15+7*(Reprogramaciones!Y$14-1))+6,1,IF(MAX(0,NETWORKDAYS.INTL(MAX(E149,(Reprogramaciones!$T$15+7*(Reprogramaciones!Y$14-1))),MIN(F149,(Reprogramaciones!$T$15+7*(Reprogramaciones!Y$14-1))+6),11))=0,0,MAX(0,NETWORKDAYS.INTL(MAX(E149,(Reprogramaciones!$T$15+7*(Reprogramaciones!Y$14-1))),MIN(F149,Reprogramaciones!Y$13),11))/MAX(0,NETWORKDAYS.INTL(MAX(E149,(Reprogramaciones!$T$15+7*(Reprogramaciones!Y$14-1))),MIN(F149,(Reprogramaciones!$T$15+7*(Reprogramaciones!Y$14-1))+6),11))))))))</f>
        <v/>
      </c>
      <c r="CI149" s="1" t="str">
        <f aca="false">IF(OR(NOT(AND(ISNUMBER(E149),ISNUMBER(F149))),$J$2=""),"",IF(Reprogramaciones!Z$13&lt;Reprogramaciones!$T$15,0,IF(Reprogramaciones!Z$14&gt;10,MIN(100,SUM($G149:$P149)),MIN(100,SUMPRODUCT((COLUMN($G149:$P149)-COLUMN($G149)+1&lt;Reprogramaciones!Z$14)*$G149:$P149)+N(INDEX($G149:$P149,1,Reprogramaciones!Z$14))*IF(Reprogramaciones!Z$13&gt;=(Reprogramaciones!$T$15+7*(Reprogramaciones!Z$14-1))+6,1,IF(MAX(0,NETWORKDAYS.INTL(MAX(E149,(Reprogramaciones!$T$15+7*(Reprogramaciones!Z$14-1))),MIN(F149,(Reprogramaciones!$T$15+7*(Reprogramaciones!Z$14-1))+6),11))=0,0,MAX(0,NETWORKDAYS.INTL(MAX(E149,(Reprogramaciones!$T$15+7*(Reprogramaciones!Z$14-1))),MIN(F149,Reprogramaciones!Z$13),11))/MAX(0,NETWORKDAYS.INTL(MAX(E149,(Reprogramaciones!$T$15+7*(Reprogramaciones!Z$14-1))),MIN(F149,(Reprogramaciones!$T$15+7*(Reprogramaciones!Z$14-1))+6),11))))))))</f>
        <v/>
      </c>
      <c r="CJ149" s="1" t="str">
        <f aca="false">IF(OR(OR(NOT(AND(ISNUMBER(E149),ISNUMBER(F149))),$J$2=""),1&gt;Reprogramaciones!$K$16),"",IF(ROUND(SUM($Q149:Q149),1)&gt;=99.5,100,MIN(100,ROUND(SUM($Q149:Q149),1))))</f>
        <v/>
      </c>
      <c r="CK149" s="1" t="str">
        <f aca="false">IF(OR(OR(NOT(AND(ISNUMBER(E149),ISNUMBER(F149))),$J$2=""),2&gt;Reprogramaciones!$K$16),"",IF(ROUND(SUM($Q149:R149),1)&gt;=99.5,100,MIN(100,ROUND(SUM($Q149:R149),1))))</f>
        <v/>
      </c>
      <c r="CL149" s="1" t="str">
        <f aca="false">IF(OR(OR(NOT(AND(ISNUMBER(E149),ISNUMBER(F149))),$J$2=""),3&gt;Reprogramaciones!$K$16),"",IF(ROUND(SUM($Q149:S149),1)&gt;=99.5,100,MIN(100,ROUND(SUM($Q149:S149),1))))</f>
        <v/>
      </c>
      <c r="CM149" s="1" t="str">
        <f aca="false">IF(OR(OR(NOT(AND(ISNUMBER(E149),ISNUMBER(F149))),$J$2=""),4&gt;Reprogramaciones!$K$16),"",IF(ROUND(SUM($Q149:T149),1)&gt;=99.5,100,MIN(100,ROUND(SUM($Q149:T149),1))))</f>
        <v/>
      </c>
      <c r="CN149" s="1" t="str">
        <f aca="false">IF(OR(OR(NOT(AND(ISNUMBER(E149),ISNUMBER(F149))),$J$2=""),5&gt;Reprogramaciones!$K$16),"",IF(ROUND(SUM($Q149:U149),1)&gt;=99.5,100,MIN(100,ROUND(SUM($Q149:U149),1))))</f>
        <v/>
      </c>
      <c r="CO149" s="1" t="str">
        <f aca="false">IF(OR(OR(NOT(AND(ISNUMBER(E149),ISNUMBER(F149))),$J$2=""),6&gt;Reprogramaciones!$K$16),"",IF(ROUND(SUM($Q149:V149),1)&gt;=99.5,100,MIN(100,ROUND(SUM($Q149:V149),1))))</f>
        <v/>
      </c>
      <c r="CP149" s="1" t="str">
        <f aca="false">IF(OR(OR(NOT(AND(ISNUMBER(E149),ISNUMBER(F149))),$J$2=""),7&gt;Reprogramaciones!$K$16),"",IF(ROUND(SUM($Q149:W149),1)&gt;=99.5,100,MIN(100,ROUND(SUM($Q149:W149),1))))</f>
        <v/>
      </c>
      <c r="CQ149" s="1" t="str">
        <f aca="false">IF(OR(OR(NOT(AND(ISNUMBER(E149),ISNUMBER(F149))),$J$2=""),8&gt;Reprogramaciones!$K$16),"",IF(ROUND(SUM($Q149:X149),1)&gt;=99.5,100,MIN(100,ROUND(SUM($Q149:X149),1))))</f>
        <v/>
      </c>
      <c r="CR149" s="1" t="str">
        <f aca="false">IF(OR(OR(NOT(AND(ISNUMBER(E149),ISNUMBER(F149))),$J$2=""),9&gt;Reprogramaciones!$K$16),"",IF(ROUND(SUM($Q149:Y149),1)&gt;=99.5,100,MIN(100,ROUND(SUM($Q149:Y149),1))))</f>
        <v/>
      </c>
      <c r="CS149" s="1" t="str">
        <f aca="false">IF(OR(OR(NOT(AND(ISNUMBER(E149),ISNUMBER(F149))),$J$2=""),10&gt;Reprogramaciones!$K$16),"",IF(ROUND(SUM($Q149:Z149),1)&gt;=99.5,100,MIN(100,ROUND(SUM($Q149:Z149),1))))</f>
        <v/>
      </c>
      <c r="CT149" s="1" t="str">
        <f aca="false">IF(OR(OR(NOT(AND(ISNUMBER(E149),ISNUMBER(F149))),$J$2=""),11&gt;Reprogramaciones!$K$16),"",IF(ROUND(SUM($Q149:AA149),1)&gt;=99.5,100,MIN(100,ROUND(SUM($Q149:AA149),1))))</f>
        <v/>
      </c>
      <c r="CU149" s="1" t="str">
        <f aca="false">IF(OR(OR(NOT(AND(ISNUMBER(E149),ISNUMBER(F149))),$J$2=""),12&gt;Reprogramaciones!$K$16),"",IF(ROUND(SUM($Q149:AB149),1)&gt;=99.5,100,MIN(100,ROUND(SUM($Q149:AB149),1))))</f>
        <v/>
      </c>
      <c r="CV149" s="1" t="str">
        <f aca="false">IF(OR(OR(NOT(AND(ISNUMBER(E149),ISNUMBER(F149))),$J$2=""),13&gt;Reprogramaciones!$K$16),"",IF(ROUND(SUM($Q149:AC149),1)&gt;=99.5,100,MIN(100,ROUND(SUM($Q149:AC149),1))))</f>
        <v/>
      </c>
      <c r="CW149" s="1" t="str">
        <f aca="false">IF(OR(OR(NOT(AND(ISNUMBER(E149),ISNUMBER(F149))),$J$2=""),14&gt;Reprogramaciones!$K$16),"",IF(ROUND(SUM($Q149:AD149),1)&gt;=99.5,100,MIN(100,ROUND(SUM($Q149:AD149),1))))</f>
        <v/>
      </c>
      <c r="CX149" s="1" t="str">
        <f aca="false">IF(OR(OR(NOT(AND(ISNUMBER(E149),ISNUMBER(F149))),$J$2=""),15&gt;Reprogramaciones!$K$16),"",IF(ROUND(SUM($Q149:AE149),1)&gt;=99.5,100,MIN(100,ROUND(SUM($Q149:AE149),1))))</f>
        <v/>
      </c>
      <c r="CY149" s="1" t="str">
        <f aca="false">IF(OR(OR(NOT(AND(ISNUMBER(E149),ISNUMBER(F149))),$J$2=""),16&gt;Reprogramaciones!$K$16),"",IF(ROUND(SUM($Q149:AF149),1)&gt;=99.5,100,MIN(100,ROUND(SUM($Q149:AF149),1))))</f>
        <v/>
      </c>
      <c r="CZ149" s="1" t="str">
        <f aca="false">IF(D149&lt;&gt;"",D149,IF(B149&lt;&gt;"","Contractual",CZ148))</f>
        <v>Contractual</v>
      </c>
      <c r="DA149" s="1" t="str">
        <f aca="false">IF(OR(NOT(AND(ISNUMBER(E149),ISNUMBER(F149))),$J$2=""),"",IF(Reprogramaciones!$Q$15&lt;Reprogramaciones!$T$15,0,IF(Reprogramaciones!$S$15&gt;10,MIN(100,SUM($G149:$P149)),MIN(100,SUMPRODUCT((COLUMN($G149:$P149)-COLUMN($G149)+1&lt;Reprogramaciones!$S$15)*$G149:$P149)+N(INDEX($G149:$P149,1,Reprogramaciones!$S$15))*IF(Reprogramaciones!$Q$15&gt;=(Reprogramaciones!$T$15+7*(Reprogramaciones!$S$15-1))+6,1,IF(MAX(0,NETWORKDAYS.INTL(MAX(E149,(Reprogramaciones!$T$15+7*(Reprogramaciones!$S$15-1))),MIN(F149,(Reprogramaciones!$T$15+7*(Reprogramaciones!$S$15-1))+6),11))=0,0,MAX(0,NETWORKDAYS.INTL(MAX(E149,(Reprogramaciones!$T$15+7*(Reprogramaciones!$S$15-1))),MIN(F149,Reprogramaciones!$Q$15),11))/MAX(0,NETWORKDAYS.INTL(MAX(E149,(Reprogramaciones!$T$15+7*(Reprogramaciones!$S$15-1))),MIN(F149,(Reprogramaciones!$T$15+7*(Reprogramaciones!$S$15-1))+6),11))))))))</f>
        <v/>
      </c>
    </row>
    <row r="150" customFormat="false" ht="15" hidden="false" customHeight="false" outlineLevel="0" collapsed="false">
      <c r="A150" s="32"/>
      <c r="B150" s="33"/>
      <c r="C150" s="33"/>
      <c r="D150" s="34"/>
      <c r="E150" s="35"/>
      <c r="F150" s="35"/>
      <c r="G150" s="36" t="str">
        <f aca="false">IF(OR(NOT(AND(ISNUMBER(E150),ISNUMBER(F150))),$J$2=""),"",IF(Reprogramaciones!K$9&lt;E150,0,IF(NETWORKDAYS.INTL(E150,F150,11)=0,IF(Reprogramaciones!K$9&gt;=F150,100,0),ROUND(NETWORKDAYS.INTL(E150,MIN(F150,Reprogramaciones!K$9),11)/NETWORKDAYS.INTL(E150,F150,11)*100,1)))-0)</f>
        <v/>
      </c>
      <c r="H150" s="36" t="str">
        <f aca="false">IF(OR(NOT(AND(ISNUMBER(E150),ISNUMBER(F150))),$J$2=""),"",IF(Reprogramaciones!L$9&lt;E150,0,IF(NETWORKDAYS.INTL(E150,F150,11)=0,IF(Reprogramaciones!L$9&gt;=F150,100,0),ROUND(NETWORKDAYS.INTL(E150,MIN(F150,Reprogramaciones!L$9),11)/NETWORKDAYS.INTL(E150,F150,11)*100,1)))-IF(Reprogramaciones!K$9&lt;E150,0,IF(NETWORKDAYS.INTL(E150,F150,11)=0,IF(Reprogramaciones!K$9&gt;=F150,100,0),ROUND(NETWORKDAYS.INTL(E150,MIN(F150,Reprogramaciones!K$9),11)/NETWORKDAYS.INTL(E150,F150,11)*100,1))))</f>
        <v/>
      </c>
      <c r="I150" s="36" t="str">
        <f aca="false">IF(OR(NOT(AND(ISNUMBER(E150),ISNUMBER(F150))),$J$2=""),"",IF(Reprogramaciones!M$9&lt;E150,0,IF(NETWORKDAYS.INTL(E150,F150,11)=0,IF(Reprogramaciones!M$9&gt;=F150,100,0),ROUND(NETWORKDAYS.INTL(E150,MIN(F150,Reprogramaciones!M$9),11)/NETWORKDAYS.INTL(E150,F150,11)*100,1)))-IF(Reprogramaciones!L$9&lt;E150,0,IF(NETWORKDAYS.INTL(E150,F150,11)=0,IF(Reprogramaciones!L$9&gt;=F150,100,0),ROUND(NETWORKDAYS.INTL(E150,MIN(F150,Reprogramaciones!L$9),11)/NETWORKDAYS.INTL(E150,F150,11)*100,1))))</f>
        <v/>
      </c>
      <c r="J150" s="36" t="str">
        <f aca="false">IF(OR(NOT(AND(ISNUMBER(E150),ISNUMBER(F150))),$J$2=""),"",IF(Reprogramaciones!N$9&lt;E150,0,IF(NETWORKDAYS.INTL(E150,F150,11)=0,IF(Reprogramaciones!N$9&gt;=F150,100,0),ROUND(NETWORKDAYS.INTL(E150,MIN(F150,Reprogramaciones!N$9),11)/NETWORKDAYS.INTL(E150,F150,11)*100,1)))-IF(Reprogramaciones!M$9&lt;E150,0,IF(NETWORKDAYS.INTL(E150,F150,11)=0,IF(Reprogramaciones!M$9&gt;=F150,100,0),ROUND(NETWORKDAYS.INTL(E150,MIN(F150,Reprogramaciones!M$9),11)/NETWORKDAYS.INTL(E150,F150,11)*100,1))))</f>
        <v/>
      </c>
      <c r="K150" s="36" t="str">
        <f aca="false">IF(OR(NOT(AND(ISNUMBER(E150),ISNUMBER(F150))),$J$2=""),"",IF(Reprogramaciones!O$9&lt;E150,0,IF(NETWORKDAYS.INTL(E150,F150,11)=0,IF(Reprogramaciones!O$9&gt;=F150,100,0),ROUND(NETWORKDAYS.INTL(E150,MIN(F150,Reprogramaciones!O$9),11)/NETWORKDAYS.INTL(E150,F150,11)*100,1)))-IF(Reprogramaciones!N$9&lt;E150,0,IF(NETWORKDAYS.INTL(E150,F150,11)=0,IF(Reprogramaciones!N$9&gt;=F150,100,0),ROUND(NETWORKDAYS.INTL(E150,MIN(F150,Reprogramaciones!N$9),11)/NETWORKDAYS.INTL(E150,F150,11)*100,1))))</f>
        <v/>
      </c>
      <c r="L150" s="36" t="str">
        <f aca="false">IF(OR(NOT(AND(ISNUMBER(E150),ISNUMBER(F150))),$J$2=""),"",IF(Reprogramaciones!P$9&lt;E150,0,IF(NETWORKDAYS.INTL(E150,F150,11)=0,IF(Reprogramaciones!P$9&gt;=F150,100,0),ROUND(NETWORKDAYS.INTL(E150,MIN(F150,Reprogramaciones!P$9),11)/NETWORKDAYS.INTL(E150,F150,11)*100,1)))-IF(Reprogramaciones!O$9&lt;E150,0,IF(NETWORKDAYS.INTL(E150,F150,11)=0,IF(Reprogramaciones!O$9&gt;=F150,100,0),ROUND(NETWORKDAYS.INTL(E150,MIN(F150,Reprogramaciones!O$9),11)/NETWORKDAYS.INTL(E150,F150,11)*100,1))))</f>
        <v/>
      </c>
      <c r="M150" s="36" t="str">
        <f aca="false">IF(OR(NOT(AND(ISNUMBER(E150),ISNUMBER(F150))),$J$2=""),"",IF(Reprogramaciones!Q$9&lt;E150,0,IF(NETWORKDAYS.INTL(E150,F150,11)=0,IF(Reprogramaciones!Q$9&gt;=F150,100,0),ROUND(NETWORKDAYS.INTL(E150,MIN(F150,Reprogramaciones!Q$9),11)/NETWORKDAYS.INTL(E150,F150,11)*100,1)))-IF(Reprogramaciones!P$9&lt;E150,0,IF(NETWORKDAYS.INTL(E150,F150,11)=0,IF(Reprogramaciones!P$9&gt;=F150,100,0),ROUND(NETWORKDAYS.INTL(E150,MIN(F150,Reprogramaciones!P$9),11)/NETWORKDAYS.INTL(E150,F150,11)*100,1))))</f>
        <v/>
      </c>
      <c r="N150" s="36" t="str">
        <f aca="false">IF(OR(NOT(AND(ISNUMBER(E150),ISNUMBER(F150))),$J$2=""),"",IF(Reprogramaciones!R$9&lt;E150,0,IF(NETWORKDAYS.INTL(E150,F150,11)=0,IF(Reprogramaciones!R$9&gt;=F150,100,0),ROUND(NETWORKDAYS.INTL(E150,MIN(F150,Reprogramaciones!R$9),11)/NETWORKDAYS.INTL(E150,F150,11)*100,1)))-IF(Reprogramaciones!Q$9&lt;E150,0,IF(NETWORKDAYS.INTL(E150,F150,11)=0,IF(Reprogramaciones!Q$9&gt;=F150,100,0),ROUND(NETWORKDAYS.INTL(E150,MIN(F150,Reprogramaciones!Q$9),11)/NETWORKDAYS.INTL(E150,F150,11)*100,1))))</f>
        <v/>
      </c>
      <c r="O150" s="36" t="str">
        <f aca="false">IF(OR(NOT(AND(ISNUMBER(E150),ISNUMBER(F150))),$J$2=""),"",IF(Reprogramaciones!S$9&lt;E150,0,IF(NETWORKDAYS.INTL(E150,F150,11)=0,IF(Reprogramaciones!S$9&gt;=F150,100,0),ROUND(NETWORKDAYS.INTL(E150,MIN(F150,Reprogramaciones!S$9),11)/NETWORKDAYS.INTL(E150,F150,11)*100,1)))-IF(Reprogramaciones!R$9&lt;E150,0,IF(NETWORKDAYS.INTL(E150,F150,11)=0,IF(Reprogramaciones!R$9&gt;=F150,100,0),ROUND(NETWORKDAYS.INTL(E150,MIN(F150,Reprogramaciones!R$9),11)/NETWORKDAYS.INTL(E150,F150,11)*100,1))))</f>
        <v/>
      </c>
      <c r="P150" s="36" t="str">
        <f aca="false">IF(OR(NOT(AND(ISNUMBER(E150),ISNUMBER(F150))),$J$2=""),"",IF(Reprogramaciones!T$9&lt;E150,0,IF(NETWORKDAYS.INTL(E150,F150,11)=0,IF(Reprogramaciones!T$9&gt;=F150,100,0),ROUND(NETWORKDAYS.INTL(E150,MIN(F150,Reprogramaciones!T$9),11)/NETWORKDAYS.INTL(E150,F150,11)*100,1)))-IF(Reprogramaciones!S$9&lt;E150,0,IF(NETWORKDAYS.INTL(E150,F150,11)=0,IF(Reprogramaciones!S$9&gt;=F150,100,0),ROUND(NETWORKDAYS.INTL(E150,MIN(F150,Reprogramaciones!S$9),11)/NETWORKDAYS.INTL(E150,F150,11)*100,1))))</f>
        <v/>
      </c>
      <c r="Q150" s="37"/>
      <c r="R150" s="37"/>
      <c r="S150" s="37"/>
      <c r="T150" s="37"/>
      <c r="U150" s="37"/>
      <c r="V150" s="37"/>
      <c r="W150" s="37"/>
      <c r="X150" s="37"/>
      <c r="Y150" s="37"/>
      <c r="Z150" s="37"/>
      <c r="AA150" s="37"/>
      <c r="AB150" s="37"/>
      <c r="AC150" s="37"/>
      <c r="AD150" s="37"/>
      <c r="AE150" s="37"/>
      <c r="AF150" s="37"/>
      <c r="AG150" s="38" t="str">
        <f aca="false">IF(AND(ISNUMBER(E150),ISNUMBER(F150)),NETWORKDAYS.INTL(E150,F150,11),"")</f>
        <v/>
      </c>
      <c r="AH150" s="38" t="str">
        <f aca="false">IF(OR(NOT(AND(ISNUMBER(E150),ISNUMBER(F150))),$J$2=""),"",IF(Reprogramaciones!$P$15&lt;Reprogramaciones!$T$15,0,IF(Reprogramaciones!$R$15&gt;10,MIN(100,SUM($G150:$P150)),MIN(100,SUMPRODUCT((COLUMN($G150:$P150)-COLUMN($G150)+1&lt;Reprogramaciones!$R$15)*$G150:$P150)+N(INDEX($G150:$P150,1,Reprogramaciones!$R$15))*IF(Reprogramaciones!$P$15&gt;=(Reprogramaciones!$T$15+7*(Reprogramaciones!$R$15-1))+6,1,IF(MAX(0,NETWORKDAYS.INTL(MAX(E150,(Reprogramaciones!$T$15+7*(Reprogramaciones!$R$15-1))),MIN(F150,(Reprogramaciones!$T$15+7*(Reprogramaciones!$R$15-1))+6),11))=0,0,MAX(0,NETWORKDAYS.INTL(MAX(E150,(Reprogramaciones!$T$15+7*(Reprogramaciones!$R$15-1))),MIN(F150,Reprogramaciones!$P$15),11))/MAX(0,NETWORKDAYS.INTL(MAX(E150,(Reprogramaciones!$T$15+7*(Reprogramaciones!$R$15-1))),MIN(F150,(Reprogramaciones!$T$15+7*(Reprogramaciones!$R$15-1))+6),11))))))))</f>
        <v/>
      </c>
      <c r="AI150" s="38" t="str">
        <f aca="false">IF(COUNT($Q150:$AF150)=0,"",IF(ROUND(SUM($Q150:$AF150),1)&gt;=99.5,100,MIN(100,ROUND(SUM($Q150:$AF150),1))))</f>
        <v/>
      </c>
      <c r="AJ150" s="38" t="str">
        <f aca="false">IF(OR(AH150="",AI150=""),"",AI150-AH150)</f>
        <v/>
      </c>
      <c r="AK150" s="39" t="str">
        <f aca="true">IF(AH150="","",IF(OR(Ficha!$C$10="Suspendida",Ficha!$C$10="Cancelada"),Ficha!$C$10,IF(AND(AI150&lt;&gt;"",N(AI150)&gt;=100),"Completada",IF(AND(E150&gt;TODAY(),N(AI150)=0),"Por iniciar",IF(N(AI150)+0.5&lt;AH150,"Retrasada",IF(N(AI150)+0.5&lt;DA150,IF(Reprogramaciones!$K$15&gt;0,"Al día · Sem "&amp;Reprogramaciones!$K$15&amp;" en curso","Al día · en curso"),"A tiempo"))))))</f>
        <v/>
      </c>
      <c r="AL150" s="39" t="str">
        <f aca="true">IF(AND(A150="",AND(B150="",C150="",E150="",F150="",COUNT(Q150:AF150)=0)),"",IF(AND(B150="",C150="",E150="",F150="",COUNT(Q150:AF150)=0),"Falta la partida o subpartida",IF(AND(A150&lt;&gt;"",COUNTIF($A$6:$A$305,A150)&gt;1),"Ítem repetido",IF(AND(C150="",E150="",F150="",COUNT(Q150:AF150)=0),"Título de partida",IF(OR(E150="",F150=""),"Faltan fechas",IF(OR(ISTEXT(E150),ISTEXT(F150)),"Fecha escrita como texto: usa dd/mm/aaaa",IF(F150&lt;E150,"Fin antes del inicio",IF(IF($J$2="",FALSE(),OR(E150&lt;$J$2,F150&gt;Reprogramaciones!$T$15+69)),"Fuera de las 10 semanas",IF(ABS(SUM(G150:P150)-100)&gt;0.5,"La meta no suma 100%",IF(ROUND(SUM(Q150:AF150),1)&gt;100.5,"El avance pasa de 100%",IF(MIN(Q150:AF150)&lt;0,"Avance negativo",IF(COUNTA(Q150:AF150)&gt;COUNT(Q150:AF150),"Avance escrito como texto",IF(SUMPRODUCT((Q150:AF150&gt;0)*(Q150:AF150&lt;1))&gt;0,"Avance menor a 1: escribe 50, no 50%",IF(SUMPRODUCT(ISNUMBER(Q150:AF150)*(Reprogramaciones!$K$8:$Z$8&gt;TODAY()))&gt;0,"Avance en semana que aún no llega",IF(AND(N(Reprogramaciones!$E$21)&gt;0,F150&gt;Reprogramaciones!$E$21),"Pasa el fin de la obra: registra una reprogramación",IF(AND(N(Reprogramaciones!$E$21)&gt;0,SUMPRODUCT(ISNUMBER(Q150:AF150)*(Reprogramaciones!$K$8:$Z$8&gt;Reprogramaciones!$E$21))&gt;0),"Avance después del fin de la obra: registra una reprogramación por atraso","OK"))))))))))))))))</f>
        <v/>
      </c>
      <c r="AM150" s="40" t="str">
        <f aca="false">IF(OR(OR(NOT(AND(ISNUMBER(E150),ISNUMBER(F150))),$J$2=""),1&gt;MAX(1,Reprogramaciones!$U$15)),"",IF(Reprogramaciones!K$12&gt;=7,"",IF(OR(BT150-N(0)&gt;0.05,N(Q150)&gt;0),ROUNDDOWN(ROUND(BT150,6),0)&amp;"%"&amp;IF(CJ150="",""," / "&amp;CJ150&amp;"%"),IF(AND(N(0)&gt;=99.95,CJ150&lt;&gt;"",N(CJ150)&lt;100),"Pend. "&amp;CJ150&amp;"%",""))))</f>
        <v/>
      </c>
      <c r="AN150" s="40" t="str">
        <f aca="false">IF(OR(OR(NOT(AND(ISNUMBER(E150),ISNUMBER(F150))),$J$2=""),2&gt;MAX(1,Reprogramaciones!$U$15)),"",IF(Reprogramaciones!L$12&gt;=7,"",IF(OR(BU150-N(BT150)&gt;0.05,N(R150)&gt;0),ROUNDDOWN(ROUND(BU150,6),0)&amp;"%"&amp;IF(CK150="",""," / "&amp;CK150&amp;"%"),IF(AND(N(BT150)&gt;=99.95,CK150&lt;&gt;"",N(CK150)&lt;100),"Pend. "&amp;CK150&amp;"%",""))))</f>
        <v/>
      </c>
      <c r="AO150" s="40" t="str">
        <f aca="false">IF(OR(OR(NOT(AND(ISNUMBER(E150),ISNUMBER(F150))),$J$2=""),3&gt;MAX(1,Reprogramaciones!$U$15)),"",IF(Reprogramaciones!M$12&gt;=7,"",IF(OR(BV150-N(BU150)&gt;0.05,N(S150)&gt;0),ROUNDDOWN(ROUND(BV150,6),0)&amp;"%"&amp;IF(CL150="",""," / "&amp;CL150&amp;"%"),IF(AND(N(BU150)&gt;=99.95,CL150&lt;&gt;"",N(CL150)&lt;100),"Pend. "&amp;CL150&amp;"%",""))))</f>
        <v/>
      </c>
      <c r="AP150" s="40" t="str">
        <f aca="false">IF(OR(OR(NOT(AND(ISNUMBER(E150),ISNUMBER(F150))),$J$2=""),4&gt;MAX(1,Reprogramaciones!$U$15)),"",IF(Reprogramaciones!N$12&gt;=7,"",IF(OR(BW150-N(BV150)&gt;0.05,N(T150)&gt;0),ROUNDDOWN(ROUND(BW150,6),0)&amp;"%"&amp;IF(CM150="",""," / "&amp;CM150&amp;"%"),IF(AND(N(BV150)&gt;=99.95,CM150&lt;&gt;"",N(CM150)&lt;100),"Pend. "&amp;CM150&amp;"%",""))))</f>
        <v/>
      </c>
      <c r="AQ150" s="40" t="str">
        <f aca="false">IF(OR(OR(NOT(AND(ISNUMBER(E150),ISNUMBER(F150))),$J$2=""),5&gt;MAX(1,Reprogramaciones!$U$15)),"",IF(Reprogramaciones!O$12&gt;=7,"",IF(OR(BX150-N(BW150)&gt;0.05,N(U150)&gt;0),ROUNDDOWN(ROUND(BX150,6),0)&amp;"%"&amp;IF(CN150="",""," / "&amp;CN150&amp;"%"),IF(AND(N(BW150)&gt;=99.95,CN150&lt;&gt;"",N(CN150)&lt;100),"Pend. "&amp;CN150&amp;"%",""))))</f>
        <v/>
      </c>
      <c r="AR150" s="40" t="str">
        <f aca="false">IF(OR(OR(NOT(AND(ISNUMBER(E150),ISNUMBER(F150))),$J$2=""),6&gt;MAX(1,Reprogramaciones!$U$15)),"",IF(Reprogramaciones!P$12&gt;=7,"",IF(OR(BY150-N(BX150)&gt;0.05,N(V150)&gt;0),ROUNDDOWN(ROUND(BY150,6),0)&amp;"%"&amp;IF(CO150="",""," / "&amp;CO150&amp;"%"),IF(AND(N(BX150)&gt;=99.95,CO150&lt;&gt;"",N(CO150)&lt;100),"Pend. "&amp;CO150&amp;"%",""))))</f>
        <v/>
      </c>
      <c r="AS150" s="40" t="str">
        <f aca="false">IF(OR(OR(NOT(AND(ISNUMBER(E150),ISNUMBER(F150))),$J$2=""),7&gt;MAX(1,Reprogramaciones!$U$15)),"",IF(Reprogramaciones!Q$12&gt;=7,"",IF(OR(BZ150-N(BY150)&gt;0.05,N(W150)&gt;0),ROUNDDOWN(ROUND(BZ150,6),0)&amp;"%"&amp;IF(CP150="",""," / "&amp;CP150&amp;"%"),IF(AND(N(BY150)&gt;=99.95,CP150&lt;&gt;"",N(CP150)&lt;100),"Pend. "&amp;CP150&amp;"%",""))))</f>
        <v/>
      </c>
      <c r="AT150" s="40" t="str">
        <f aca="false">IF(OR(OR(NOT(AND(ISNUMBER(E150),ISNUMBER(F150))),$J$2=""),8&gt;MAX(1,Reprogramaciones!$U$15)),"",IF(Reprogramaciones!R$12&gt;=7,"",IF(OR(CA150-N(BZ150)&gt;0.05,N(X150)&gt;0),ROUNDDOWN(ROUND(CA150,6),0)&amp;"%"&amp;IF(CQ150="",""," / "&amp;CQ150&amp;"%"),IF(AND(N(BZ150)&gt;=99.95,CQ150&lt;&gt;"",N(CQ150)&lt;100),"Pend. "&amp;CQ150&amp;"%",""))))</f>
        <v/>
      </c>
      <c r="AU150" s="40" t="str">
        <f aca="false">IF(OR(OR(NOT(AND(ISNUMBER(E150),ISNUMBER(F150))),$J$2=""),9&gt;MAX(1,Reprogramaciones!$U$15)),"",IF(Reprogramaciones!S$12&gt;=7,"",IF(OR(CB150-N(CA150)&gt;0.05,N(Y150)&gt;0),ROUNDDOWN(ROUND(CB150,6),0)&amp;"%"&amp;IF(CR150="",""," / "&amp;CR150&amp;"%"),IF(AND(N(CA150)&gt;=99.95,CR150&lt;&gt;"",N(CR150)&lt;100),"Pend. "&amp;CR150&amp;"%",""))))</f>
        <v/>
      </c>
      <c r="AV150" s="40" t="str">
        <f aca="false">IF(OR(OR(NOT(AND(ISNUMBER(E150),ISNUMBER(F150))),$J$2=""),10&gt;MAX(1,Reprogramaciones!$U$15)),"",IF(Reprogramaciones!T$12&gt;=7,"",IF(OR(CC150-N(CB150)&gt;0.05,N(Z150)&gt;0),ROUNDDOWN(ROUND(CC150,6),0)&amp;"%"&amp;IF(CS150="",""," / "&amp;CS150&amp;"%"),IF(AND(N(CB150)&gt;=99.95,CS150&lt;&gt;"",N(CS150)&lt;100),"Pend. "&amp;CS150&amp;"%",""))))</f>
        <v/>
      </c>
      <c r="AW150" s="40" t="str">
        <f aca="false">IF(OR(OR(NOT(AND(ISNUMBER(E150),ISNUMBER(F150))),$J$2=""),11&gt;MAX(1,Reprogramaciones!$U$15)),"",IF(Reprogramaciones!U$12&gt;=7,"",IF(OR(CD150-N(CC150)&gt;0.05,N(AA150)&gt;0),ROUNDDOWN(ROUND(CD150,6),0)&amp;"%"&amp;IF(CT150="",""," / "&amp;CT150&amp;"%"),IF(AND(N(CC150)&gt;=99.95,CT150&lt;&gt;"",N(CT150)&lt;100),"Pend. "&amp;CT150&amp;"%",""))))</f>
        <v/>
      </c>
      <c r="AX150" s="40" t="str">
        <f aca="false">IF(OR(OR(NOT(AND(ISNUMBER(E150),ISNUMBER(F150))),$J$2=""),12&gt;MAX(1,Reprogramaciones!$U$15)),"",IF(Reprogramaciones!V$12&gt;=7,"",IF(OR(CE150-N(CD150)&gt;0.05,N(AB150)&gt;0),ROUNDDOWN(ROUND(CE150,6),0)&amp;"%"&amp;IF(CU150="",""," / "&amp;CU150&amp;"%"),IF(AND(N(CD150)&gt;=99.95,CU150&lt;&gt;"",N(CU150)&lt;100),"Pend. "&amp;CU150&amp;"%",""))))</f>
        <v/>
      </c>
      <c r="AY150" s="40" t="str">
        <f aca="false">IF(OR(OR(NOT(AND(ISNUMBER(E150),ISNUMBER(F150))),$J$2=""),13&gt;MAX(1,Reprogramaciones!$U$15)),"",IF(Reprogramaciones!W$12&gt;=7,"",IF(OR(CF150-N(CE150)&gt;0.05,N(AC150)&gt;0),ROUNDDOWN(ROUND(CF150,6),0)&amp;"%"&amp;IF(CV150="",""," / "&amp;CV150&amp;"%"),IF(AND(N(CE150)&gt;=99.95,CV150&lt;&gt;"",N(CV150)&lt;100),"Pend. "&amp;CV150&amp;"%",""))))</f>
        <v/>
      </c>
      <c r="AZ150" s="40" t="str">
        <f aca="false">IF(OR(OR(NOT(AND(ISNUMBER(E150),ISNUMBER(F150))),$J$2=""),14&gt;MAX(1,Reprogramaciones!$U$15)),"",IF(Reprogramaciones!X$12&gt;=7,"",IF(OR(CG150-N(CF150)&gt;0.05,N(AD150)&gt;0),ROUNDDOWN(ROUND(CG150,6),0)&amp;"%"&amp;IF(CW150="",""," / "&amp;CW150&amp;"%"),IF(AND(N(CF150)&gt;=99.95,CW150&lt;&gt;"",N(CW150)&lt;100),"Pend. "&amp;CW150&amp;"%",""))))</f>
        <v/>
      </c>
      <c r="BA150" s="40" t="str">
        <f aca="false">IF(OR(OR(NOT(AND(ISNUMBER(E150),ISNUMBER(F150))),$J$2=""),15&gt;MAX(1,Reprogramaciones!$U$15)),"",IF(Reprogramaciones!Y$12&gt;=7,"",IF(OR(CH150-N(CG150)&gt;0.05,N(AE150)&gt;0),ROUNDDOWN(ROUND(CH150,6),0)&amp;"%"&amp;IF(CX150="",""," / "&amp;CX150&amp;"%"),IF(AND(N(CG150)&gt;=99.95,CX150&lt;&gt;"",N(CX150)&lt;100),"Pend. "&amp;CX150&amp;"%",""))))</f>
        <v/>
      </c>
      <c r="BB150" s="40" t="str">
        <f aca="false">IF(OR(OR(NOT(AND(ISNUMBER(E150),ISNUMBER(F150))),$J$2=""),16&gt;MAX(1,Reprogramaciones!$U$15)),"",IF(Reprogramaciones!Z$12&gt;=7,"",IF(OR(CI150-N(CH150)&gt;0.05,N(AF150)&gt;0),ROUNDDOWN(ROUND(CI150,6),0)&amp;"%"&amp;IF(CY150="",""," / "&amp;CY150&amp;"%"),IF(AND(N(CH150)&gt;=99.95,CY150&lt;&gt;"",N(CY150)&lt;100),"Pend. "&amp;CY150&amp;"%",""))))</f>
        <v/>
      </c>
      <c r="BC150" s="31" t="n">
        <f aca="false">IF(AND(ISNUMBER(E150),ISNUMBER(F150)),MAX(1,NETWORKDAYS.INTL(E150,F150,11)),0)</f>
        <v>0</v>
      </c>
      <c r="BD150" s="1" t="str">
        <f aca="false">IF(OR(NOT(AND(ISNUMBER(E150),ISNUMBER(F150))),$J$2=""),"",MIN(100,ROUND(SUM($G150:G150),1)))</f>
        <v/>
      </c>
      <c r="BE150" s="1" t="str">
        <f aca="false">IF(OR(NOT(AND(ISNUMBER(E150),ISNUMBER(F150))),$J$2=""),"",MIN(100,ROUND(SUM($G150:H150),1)))</f>
        <v/>
      </c>
      <c r="BF150" s="1" t="str">
        <f aca="false">IF(OR(NOT(AND(ISNUMBER(E150),ISNUMBER(F150))),$J$2=""),"",MIN(100,ROUND(SUM($G150:I150),1)))</f>
        <v/>
      </c>
      <c r="BG150" s="1" t="str">
        <f aca="false">IF(OR(NOT(AND(ISNUMBER(E150),ISNUMBER(F150))),$J$2=""),"",MIN(100,ROUND(SUM($G150:J150),1)))</f>
        <v/>
      </c>
      <c r="BH150" s="1" t="str">
        <f aca="false">IF(OR(NOT(AND(ISNUMBER(E150),ISNUMBER(F150))),$J$2=""),"",MIN(100,ROUND(SUM($G150:K150),1)))</f>
        <v/>
      </c>
      <c r="BI150" s="1" t="str">
        <f aca="false">IF(OR(NOT(AND(ISNUMBER(E150),ISNUMBER(F150))),$J$2=""),"",MIN(100,ROUND(SUM($G150:L150),1)))</f>
        <v/>
      </c>
      <c r="BJ150" s="1" t="str">
        <f aca="false">IF(OR(NOT(AND(ISNUMBER(E150),ISNUMBER(F150))),$J$2=""),"",MIN(100,ROUND(SUM($G150:M150),1)))</f>
        <v/>
      </c>
      <c r="BK150" s="1" t="str">
        <f aca="false">IF(OR(NOT(AND(ISNUMBER(E150),ISNUMBER(F150))),$J$2=""),"",MIN(100,ROUND(SUM($G150:N150),1)))</f>
        <v/>
      </c>
      <c r="BL150" s="1" t="str">
        <f aca="false">IF(OR(NOT(AND(ISNUMBER(E150),ISNUMBER(F150))),$J$2=""),"",MIN(100,ROUND(SUM($G150:O150),1)))</f>
        <v/>
      </c>
      <c r="BM150" s="1" t="str">
        <f aca="false">IF(OR(NOT(AND(ISNUMBER(E150),ISNUMBER(F150))),$J$2=""),"",MIN(100,ROUND(SUM($G150:P150),1)))</f>
        <v/>
      </c>
      <c r="BN150" s="1" t="str">
        <f aca="false">IF(OR(NOT(AND(ISNUMBER(E150),ISNUMBER(F150))),$J$2=""),"",MIN(100,ROUND(SUM($G150:P150),1)))</f>
        <v/>
      </c>
      <c r="BO150" s="1" t="str">
        <f aca="false">IF(OR(NOT(AND(ISNUMBER(E150),ISNUMBER(F150))),$J$2=""),"",MIN(100,ROUND(SUM($G150:P150),1)))</f>
        <v/>
      </c>
      <c r="BP150" s="1" t="str">
        <f aca="false">IF(OR(NOT(AND(ISNUMBER(E150),ISNUMBER(F150))),$J$2=""),"",MIN(100,ROUND(SUM($G150:P150),1)))</f>
        <v/>
      </c>
      <c r="BQ150" s="1" t="str">
        <f aca="false">IF(OR(NOT(AND(ISNUMBER(E150),ISNUMBER(F150))),$J$2=""),"",MIN(100,ROUND(SUM($G150:P150),1)))</f>
        <v/>
      </c>
      <c r="BR150" s="1" t="str">
        <f aca="false">IF(OR(NOT(AND(ISNUMBER(E150),ISNUMBER(F150))),$J$2=""),"",MIN(100,ROUND(SUM($G150:P150),1)))</f>
        <v/>
      </c>
      <c r="BS150" s="1" t="str">
        <f aca="false">IF(OR(NOT(AND(ISNUMBER(E150),ISNUMBER(F150))),$J$2=""),"",MIN(100,ROUND(SUM($G150:P150),1)))</f>
        <v/>
      </c>
      <c r="BT150" s="1" t="str">
        <f aca="false">IF(OR(NOT(AND(ISNUMBER(E150),ISNUMBER(F150))),$J$2=""),"",IF(Reprogramaciones!K$13&lt;Reprogramaciones!$T$15,0,IF(Reprogramaciones!K$14&gt;10,MIN(100,SUM($G150:$P150)),MIN(100,SUMPRODUCT((COLUMN($G150:$P150)-COLUMN($G150)+1&lt;Reprogramaciones!K$14)*$G150:$P150)+N(INDEX($G150:$P150,1,Reprogramaciones!K$14))*IF(Reprogramaciones!K$13&gt;=(Reprogramaciones!$T$15+7*(Reprogramaciones!K$14-1))+6,1,IF(MAX(0,NETWORKDAYS.INTL(MAX(E150,(Reprogramaciones!$T$15+7*(Reprogramaciones!K$14-1))),MIN(F150,(Reprogramaciones!$T$15+7*(Reprogramaciones!K$14-1))+6),11))=0,0,MAX(0,NETWORKDAYS.INTL(MAX(E150,(Reprogramaciones!$T$15+7*(Reprogramaciones!K$14-1))),MIN(F150,Reprogramaciones!K$13),11))/MAX(0,NETWORKDAYS.INTL(MAX(E150,(Reprogramaciones!$T$15+7*(Reprogramaciones!K$14-1))),MIN(F150,(Reprogramaciones!$T$15+7*(Reprogramaciones!K$14-1))+6),11))))))))</f>
        <v/>
      </c>
      <c r="BU150" s="1" t="str">
        <f aca="false">IF(OR(NOT(AND(ISNUMBER(E150),ISNUMBER(F150))),$J$2=""),"",IF(Reprogramaciones!L$13&lt;Reprogramaciones!$T$15,0,IF(Reprogramaciones!L$14&gt;10,MIN(100,SUM($G150:$P150)),MIN(100,SUMPRODUCT((COLUMN($G150:$P150)-COLUMN($G150)+1&lt;Reprogramaciones!L$14)*$G150:$P150)+N(INDEX($G150:$P150,1,Reprogramaciones!L$14))*IF(Reprogramaciones!L$13&gt;=(Reprogramaciones!$T$15+7*(Reprogramaciones!L$14-1))+6,1,IF(MAX(0,NETWORKDAYS.INTL(MAX(E150,(Reprogramaciones!$T$15+7*(Reprogramaciones!L$14-1))),MIN(F150,(Reprogramaciones!$T$15+7*(Reprogramaciones!L$14-1))+6),11))=0,0,MAX(0,NETWORKDAYS.INTL(MAX(E150,(Reprogramaciones!$T$15+7*(Reprogramaciones!L$14-1))),MIN(F150,Reprogramaciones!L$13),11))/MAX(0,NETWORKDAYS.INTL(MAX(E150,(Reprogramaciones!$T$15+7*(Reprogramaciones!L$14-1))),MIN(F150,(Reprogramaciones!$T$15+7*(Reprogramaciones!L$14-1))+6),11))))))))</f>
        <v/>
      </c>
      <c r="BV150" s="1" t="str">
        <f aca="false">IF(OR(NOT(AND(ISNUMBER(E150),ISNUMBER(F150))),$J$2=""),"",IF(Reprogramaciones!M$13&lt;Reprogramaciones!$T$15,0,IF(Reprogramaciones!M$14&gt;10,MIN(100,SUM($G150:$P150)),MIN(100,SUMPRODUCT((COLUMN($G150:$P150)-COLUMN($G150)+1&lt;Reprogramaciones!M$14)*$G150:$P150)+N(INDEX($G150:$P150,1,Reprogramaciones!M$14))*IF(Reprogramaciones!M$13&gt;=(Reprogramaciones!$T$15+7*(Reprogramaciones!M$14-1))+6,1,IF(MAX(0,NETWORKDAYS.INTL(MAX(E150,(Reprogramaciones!$T$15+7*(Reprogramaciones!M$14-1))),MIN(F150,(Reprogramaciones!$T$15+7*(Reprogramaciones!M$14-1))+6),11))=0,0,MAX(0,NETWORKDAYS.INTL(MAX(E150,(Reprogramaciones!$T$15+7*(Reprogramaciones!M$14-1))),MIN(F150,Reprogramaciones!M$13),11))/MAX(0,NETWORKDAYS.INTL(MAX(E150,(Reprogramaciones!$T$15+7*(Reprogramaciones!M$14-1))),MIN(F150,(Reprogramaciones!$T$15+7*(Reprogramaciones!M$14-1))+6),11))))))))</f>
        <v/>
      </c>
      <c r="BW150" s="1" t="str">
        <f aca="false">IF(OR(NOT(AND(ISNUMBER(E150),ISNUMBER(F150))),$J$2=""),"",IF(Reprogramaciones!N$13&lt;Reprogramaciones!$T$15,0,IF(Reprogramaciones!N$14&gt;10,MIN(100,SUM($G150:$P150)),MIN(100,SUMPRODUCT((COLUMN($G150:$P150)-COLUMN($G150)+1&lt;Reprogramaciones!N$14)*$G150:$P150)+N(INDEX($G150:$P150,1,Reprogramaciones!N$14))*IF(Reprogramaciones!N$13&gt;=(Reprogramaciones!$T$15+7*(Reprogramaciones!N$14-1))+6,1,IF(MAX(0,NETWORKDAYS.INTL(MAX(E150,(Reprogramaciones!$T$15+7*(Reprogramaciones!N$14-1))),MIN(F150,(Reprogramaciones!$T$15+7*(Reprogramaciones!N$14-1))+6),11))=0,0,MAX(0,NETWORKDAYS.INTL(MAX(E150,(Reprogramaciones!$T$15+7*(Reprogramaciones!N$14-1))),MIN(F150,Reprogramaciones!N$13),11))/MAX(0,NETWORKDAYS.INTL(MAX(E150,(Reprogramaciones!$T$15+7*(Reprogramaciones!N$14-1))),MIN(F150,(Reprogramaciones!$T$15+7*(Reprogramaciones!N$14-1))+6),11))))))))</f>
        <v/>
      </c>
      <c r="BX150" s="1" t="str">
        <f aca="false">IF(OR(NOT(AND(ISNUMBER(E150),ISNUMBER(F150))),$J$2=""),"",IF(Reprogramaciones!O$13&lt;Reprogramaciones!$T$15,0,IF(Reprogramaciones!O$14&gt;10,MIN(100,SUM($G150:$P150)),MIN(100,SUMPRODUCT((COLUMN($G150:$P150)-COLUMN($G150)+1&lt;Reprogramaciones!O$14)*$G150:$P150)+N(INDEX($G150:$P150,1,Reprogramaciones!O$14))*IF(Reprogramaciones!O$13&gt;=(Reprogramaciones!$T$15+7*(Reprogramaciones!O$14-1))+6,1,IF(MAX(0,NETWORKDAYS.INTL(MAX(E150,(Reprogramaciones!$T$15+7*(Reprogramaciones!O$14-1))),MIN(F150,(Reprogramaciones!$T$15+7*(Reprogramaciones!O$14-1))+6),11))=0,0,MAX(0,NETWORKDAYS.INTL(MAX(E150,(Reprogramaciones!$T$15+7*(Reprogramaciones!O$14-1))),MIN(F150,Reprogramaciones!O$13),11))/MAX(0,NETWORKDAYS.INTL(MAX(E150,(Reprogramaciones!$T$15+7*(Reprogramaciones!O$14-1))),MIN(F150,(Reprogramaciones!$T$15+7*(Reprogramaciones!O$14-1))+6),11))))))))</f>
        <v/>
      </c>
      <c r="BY150" s="1" t="str">
        <f aca="false">IF(OR(NOT(AND(ISNUMBER(E150),ISNUMBER(F150))),$J$2=""),"",IF(Reprogramaciones!P$13&lt;Reprogramaciones!$T$15,0,IF(Reprogramaciones!P$14&gt;10,MIN(100,SUM($G150:$P150)),MIN(100,SUMPRODUCT((COLUMN($G150:$P150)-COLUMN($G150)+1&lt;Reprogramaciones!P$14)*$G150:$P150)+N(INDEX($G150:$P150,1,Reprogramaciones!P$14))*IF(Reprogramaciones!P$13&gt;=(Reprogramaciones!$T$15+7*(Reprogramaciones!P$14-1))+6,1,IF(MAX(0,NETWORKDAYS.INTL(MAX(E150,(Reprogramaciones!$T$15+7*(Reprogramaciones!P$14-1))),MIN(F150,(Reprogramaciones!$T$15+7*(Reprogramaciones!P$14-1))+6),11))=0,0,MAX(0,NETWORKDAYS.INTL(MAX(E150,(Reprogramaciones!$T$15+7*(Reprogramaciones!P$14-1))),MIN(F150,Reprogramaciones!P$13),11))/MAX(0,NETWORKDAYS.INTL(MAX(E150,(Reprogramaciones!$T$15+7*(Reprogramaciones!P$14-1))),MIN(F150,(Reprogramaciones!$T$15+7*(Reprogramaciones!P$14-1))+6),11))))))))</f>
        <v/>
      </c>
      <c r="BZ150" s="1" t="str">
        <f aca="false">IF(OR(NOT(AND(ISNUMBER(E150),ISNUMBER(F150))),$J$2=""),"",IF(Reprogramaciones!Q$13&lt;Reprogramaciones!$T$15,0,IF(Reprogramaciones!Q$14&gt;10,MIN(100,SUM($G150:$P150)),MIN(100,SUMPRODUCT((COLUMN($G150:$P150)-COLUMN($G150)+1&lt;Reprogramaciones!Q$14)*$G150:$P150)+N(INDEX($G150:$P150,1,Reprogramaciones!Q$14))*IF(Reprogramaciones!Q$13&gt;=(Reprogramaciones!$T$15+7*(Reprogramaciones!Q$14-1))+6,1,IF(MAX(0,NETWORKDAYS.INTL(MAX(E150,(Reprogramaciones!$T$15+7*(Reprogramaciones!Q$14-1))),MIN(F150,(Reprogramaciones!$T$15+7*(Reprogramaciones!Q$14-1))+6),11))=0,0,MAX(0,NETWORKDAYS.INTL(MAX(E150,(Reprogramaciones!$T$15+7*(Reprogramaciones!Q$14-1))),MIN(F150,Reprogramaciones!Q$13),11))/MAX(0,NETWORKDAYS.INTL(MAX(E150,(Reprogramaciones!$T$15+7*(Reprogramaciones!Q$14-1))),MIN(F150,(Reprogramaciones!$T$15+7*(Reprogramaciones!Q$14-1))+6),11))))))))</f>
        <v/>
      </c>
      <c r="CA150" s="1" t="str">
        <f aca="false">IF(OR(NOT(AND(ISNUMBER(E150),ISNUMBER(F150))),$J$2=""),"",IF(Reprogramaciones!R$13&lt;Reprogramaciones!$T$15,0,IF(Reprogramaciones!R$14&gt;10,MIN(100,SUM($G150:$P150)),MIN(100,SUMPRODUCT((COLUMN($G150:$P150)-COLUMN($G150)+1&lt;Reprogramaciones!R$14)*$G150:$P150)+N(INDEX($G150:$P150,1,Reprogramaciones!R$14))*IF(Reprogramaciones!R$13&gt;=(Reprogramaciones!$T$15+7*(Reprogramaciones!R$14-1))+6,1,IF(MAX(0,NETWORKDAYS.INTL(MAX(E150,(Reprogramaciones!$T$15+7*(Reprogramaciones!R$14-1))),MIN(F150,(Reprogramaciones!$T$15+7*(Reprogramaciones!R$14-1))+6),11))=0,0,MAX(0,NETWORKDAYS.INTL(MAX(E150,(Reprogramaciones!$T$15+7*(Reprogramaciones!R$14-1))),MIN(F150,Reprogramaciones!R$13),11))/MAX(0,NETWORKDAYS.INTL(MAX(E150,(Reprogramaciones!$T$15+7*(Reprogramaciones!R$14-1))),MIN(F150,(Reprogramaciones!$T$15+7*(Reprogramaciones!R$14-1))+6),11))))))))</f>
        <v/>
      </c>
      <c r="CB150" s="1" t="str">
        <f aca="false">IF(OR(NOT(AND(ISNUMBER(E150),ISNUMBER(F150))),$J$2=""),"",IF(Reprogramaciones!S$13&lt;Reprogramaciones!$T$15,0,IF(Reprogramaciones!S$14&gt;10,MIN(100,SUM($G150:$P150)),MIN(100,SUMPRODUCT((COLUMN($G150:$P150)-COLUMN($G150)+1&lt;Reprogramaciones!S$14)*$G150:$P150)+N(INDEX($G150:$P150,1,Reprogramaciones!S$14))*IF(Reprogramaciones!S$13&gt;=(Reprogramaciones!$T$15+7*(Reprogramaciones!S$14-1))+6,1,IF(MAX(0,NETWORKDAYS.INTL(MAX(E150,(Reprogramaciones!$T$15+7*(Reprogramaciones!S$14-1))),MIN(F150,(Reprogramaciones!$T$15+7*(Reprogramaciones!S$14-1))+6),11))=0,0,MAX(0,NETWORKDAYS.INTL(MAX(E150,(Reprogramaciones!$T$15+7*(Reprogramaciones!S$14-1))),MIN(F150,Reprogramaciones!S$13),11))/MAX(0,NETWORKDAYS.INTL(MAX(E150,(Reprogramaciones!$T$15+7*(Reprogramaciones!S$14-1))),MIN(F150,(Reprogramaciones!$T$15+7*(Reprogramaciones!S$14-1))+6),11))))))))</f>
        <v/>
      </c>
      <c r="CC150" s="1" t="str">
        <f aca="false">IF(OR(NOT(AND(ISNUMBER(E150),ISNUMBER(F150))),$J$2=""),"",IF(Reprogramaciones!T$13&lt;Reprogramaciones!$T$15,0,IF(Reprogramaciones!T$14&gt;10,MIN(100,SUM($G150:$P150)),MIN(100,SUMPRODUCT((COLUMN($G150:$P150)-COLUMN($G150)+1&lt;Reprogramaciones!T$14)*$G150:$P150)+N(INDEX($G150:$P150,1,Reprogramaciones!T$14))*IF(Reprogramaciones!T$13&gt;=(Reprogramaciones!$T$15+7*(Reprogramaciones!T$14-1))+6,1,IF(MAX(0,NETWORKDAYS.INTL(MAX(E150,(Reprogramaciones!$T$15+7*(Reprogramaciones!T$14-1))),MIN(F150,(Reprogramaciones!$T$15+7*(Reprogramaciones!T$14-1))+6),11))=0,0,MAX(0,NETWORKDAYS.INTL(MAX(E150,(Reprogramaciones!$T$15+7*(Reprogramaciones!T$14-1))),MIN(F150,Reprogramaciones!T$13),11))/MAX(0,NETWORKDAYS.INTL(MAX(E150,(Reprogramaciones!$T$15+7*(Reprogramaciones!T$14-1))),MIN(F150,(Reprogramaciones!$T$15+7*(Reprogramaciones!T$14-1))+6),11))))))))</f>
        <v/>
      </c>
      <c r="CD150" s="1" t="str">
        <f aca="false">IF(OR(NOT(AND(ISNUMBER(E150),ISNUMBER(F150))),$J$2=""),"",IF(Reprogramaciones!U$13&lt;Reprogramaciones!$T$15,0,IF(Reprogramaciones!U$14&gt;10,MIN(100,SUM($G150:$P150)),MIN(100,SUMPRODUCT((COLUMN($G150:$P150)-COLUMN($G150)+1&lt;Reprogramaciones!U$14)*$G150:$P150)+N(INDEX($G150:$P150,1,Reprogramaciones!U$14))*IF(Reprogramaciones!U$13&gt;=(Reprogramaciones!$T$15+7*(Reprogramaciones!U$14-1))+6,1,IF(MAX(0,NETWORKDAYS.INTL(MAX(E150,(Reprogramaciones!$T$15+7*(Reprogramaciones!U$14-1))),MIN(F150,(Reprogramaciones!$T$15+7*(Reprogramaciones!U$14-1))+6),11))=0,0,MAX(0,NETWORKDAYS.INTL(MAX(E150,(Reprogramaciones!$T$15+7*(Reprogramaciones!U$14-1))),MIN(F150,Reprogramaciones!U$13),11))/MAX(0,NETWORKDAYS.INTL(MAX(E150,(Reprogramaciones!$T$15+7*(Reprogramaciones!U$14-1))),MIN(F150,(Reprogramaciones!$T$15+7*(Reprogramaciones!U$14-1))+6),11))))))))</f>
        <v/>
      </c>
      <c r="CE150" s="1" t="str">
        <f aca="false">IF(OR(NOT(AND(ISNUMBER(E150),ISNUMBER(F150))),$J$2=""),"",IF(Reprogramaciones!V$13&lt;Reprogramaciones!$T$15,0,IF(Reprogramaciones!V$14&gt;10,MIN(100,SUM($G150:$P150)),MIN(100,SUMPRODUCT((COLUMN($G150:$P150)-COLUMN($G150)+1&lt;Reprogramaciones!V$14)*$G150:$P150)+N(INDEX($G150:$P150,1,Reprogramaciones!V$14))*IF(Reprogramaciones!V$13&gt;=(Reprogramaciones!$T$15+7*(Reprogramaciones!V$14-1))+6,1,IF(MAX(0,NETWORKDAYS.INTL(MAX(E150,(Reprogramaciones!$T$15+7*(Reprogramaciones!V$14-1))),MIN(F150,(Reprogramaciones!$T$15+7*(Reprogramaciones!V$14-1))+6),11))=0,0,MAX(0,NETWORKDAYS.INTL(MAX(E150,(Reprogramaciones!$T$15+7*(Reprogramaciones!V$14-1))),MIN(F150,Reprogramaciones!V$13),11))/MAX(0,NETWORKDAYS.INTL(MAX(E150,(Reprogramaciones!$T$15+7*(Reprogramaciones!V$14-1))),MIN(F150,(Reprogramaciones!$T$15+7*(Reprogramaciones!V$14-1))+6),11))))))))</f>
        <v/>
      </c>
      <c r="CF150" s="1" t="str">
        <f aca="false">IF(OR(NOT(AND(ISNUMBER(E150),ISNUMBER(F150))),$J$2=""),"",IF(Reprogramaciones!W$13&lt;Reprogramaciones!$T$15,0,IF(Reprogramaciones!W$14&gt;10,MIN(100,SUM($G150:$P150)),MIN(100,SUMPRODUCT((COLUMN($G150:$P150)-COLUMN($G150)+1&lt;Reprogramaciones!W$14)*$G150:$P150)+N(INDEX($G150:$P150,1,Reprogramaciones!W$14))*IF(Reprogramaciones!W$13&gt;=(Reprogramaciones!$T$15+7*(Reprogramaciones!W$14-1))+6,1,IF(MAX(0,NETWORKDAYS.INTL(MAX(E150,(Reprogramaciones!$T$15+7*(Reprogramaciones!W$14-1))),MIN(F150,(Reprogramaciones!$T$15+7*(Reprogramaciones!W$14-1))+6),11))=0,0,MAX(0,NETWORKDAYS.INTL(MAX(E150,(Reprogramaciones!$T$15+7*(Reprogramaciones!W$14-1))),MIN(F150,Reprogramaciones!W$13),11))/MAX(0,NETWORKDAYS.INTL(MAX(E150,(Reprogramaciones!$T$15+7*(Reprogramaciones!W$14-1))),MIN(F150,(Reprogramaciones!$T$15+7*(Reprogramaciones!W$14-1))+6),11))))))))</f>
        <v/>
      </c>
      <c r="CG150" s="1" t="str">
        <f aca="false">IF(OR(NOT(AND(ISNUMBER(E150),ISNUMBER(F150))),$J$2=""),"",IF(Reprogramaciones!X$13&lt;Reprogramaciones!$T$15,0,IF(Reprogramaciones!X$14&gt;10,MIN(100,SUM($G150:$P150)),MIN(100,SUMPRODUCT((COLUMN($G150:$P150)-COLUMN($G150)+1&lt;Reprogramaciones!X$14)*$G150:$P150)+N(INDEX($G150:$P150,1,Reprogramaciones!X$14))*IF(Reprogramaciones!X$13&gt;=(Reprogramaciones!$T$15+7*(Reprogramaciones!X$14-1))+6,1,IF(MAX(0,NETWORKDAYS.INTL(MAX(E150,(Reprogramaciones!$T$15+7*(Reprogramaciones!X$14-1))),MIN(F150,(Reprogramaciones!$T$15+7*(Reprogramaciones!X$14-1))+6),11))=0,0,MAX(0,NETWORKDAYS.INTL(MAX(E150,(Reprogramaciones!$T$15+7*(Reprogramaciones!X$14-1))),MIN(F150,Reprogramaciones!X$13),11))/MAX(0,NETWORKDAYS.INTL(MAX(E150,(Reprogramaciones!$T$15+7*(Reprogramaciones!X$14-1))),MIN(F150,(Reprogramaciones!$T$15+7*(Reprogramaciones!X$14-1))+6),11))))))))</f>
        <v/>
      </c>
      <c r="CH150" s="1" t="str">
        <f aca="false">IF(OR(NOT(AND(ISNUMBER(E150),ISNUMBER(F150))),$J$2=""),"",IF(Reprogramaciones!Y$13&lt;Reprogramaciones!$T$15,0,IF(Reprogramaciones!Y$14&gt;10,MIN(100,SUM($G150:$P150)),MIN(100,SUMPRODUCT((COLUMN($G150:$P150)-COLUMN($G150)+1&lt;Reprogramaciones!Y$14)*$G150:$P150)+N(INDEX($G150:$P150,1,Reprogramaciones!Y$14))*IF(Reprogramaciones!Y$13&gt;=(Reprogramaciones!$T$15+7*(Reprogramaciones!Y$14-1))+6,1,IF(MAX(0,NETWORKDAYS.INTL(MAX(E150,(Reprogramaciones!$T$15+7*(Reprogramaciones!Y$14-1))),MIN(F150,(Reprogramaciones!$T$15+7*(Reprogramaciones!Y$14-1))+6),11))=0,0,MAX(0,NETWORKDAYS.INTL(MAX(E150,(Reprogramaciones!$T$15+7*(Reprogramaciones!Y$14-1))),MIN(F150,Reprogramaciones!Y$13),11))/MAX(0,NETWORKDAYS.INTL(MAX(E150,(Reprogramaciones!$T$15+7*(Reprogramaciones!Y$14-1))),MIN(F150,(Reprogramaciones!$T$15+7*(Reprogramaciones!Y$14-1))+6),11))))))))</f>
        <v/>
      </c>
      <c r="CI150" s="1" t="str">
        <f aca="false">IF(OR(NOT(AND(ISNUMBER(E150),ISNUMBER(F150))),$J$2=""),"",IF(Reprogramaciones!Z$13&lt;Reprogramaciones!$T$15,0,IF(Reprogramaciones!Z$14&gt;10,MIN(100,SUM($G150:$P150)),MIN(100,SUMPRODUCT((COLUMN($G150:$P150)-COLUMN($G150)+1&lt;Reprogramaciones!Z$14)*$G150:$P150)+N(INDEX($G150:$P150,1,Reprogramaciones!Z$14))*IF(Reprogramaciones!Z$13&gt;=(Reprogramaciones!$T$15+7*(Reprogramaciones!Z$14-1))+6,1,IF(MAX(0,NETWORKDAYS.INTL(MAX(E150,(Reprogramaciones!$T$15+7*(Reprogramaciones!Z$14-1))),MIN(F150,(Reprogramaciones!$T$15+7*(Reprogramaciones!Z$14-1))+6),11))=0,0,MAX(0,NETWORKDAYS.INTL(MAX(E150,(Reprogramaciones!$T$15+7*(Reprogramaciones!Z$14-1))),MIN(F150,Reprogramaciones!Z$13),11))/MAX(0,NETWORKDAYS.INTL(MAX(E150,(Reprogramaciones!$T$15+7*(Reprogramaciones!Z$14-1))),MIN(F150,(Reprogramaciones!$T$15+7*(Reprogramaciones!Z$14-1))+6),11))))))))</f>
        <v/>
      </c>
      <c r="CJ150" s="1" t="str">
        <f aca="false">IF(OR(OR(NOT(AND(ISNUMBER(E150),ISNUMBER(F150))),$J$2=""),1&gt;Reprogramaciones!$K$16),"",IF(ROUND(SUM($Q150:Q150),1)&gt;=99.5,100,MIN(100,ROUND(SUM($Q150:Q150),1))))</f>
        <v/>
      </c>
      <c r="CK150" s="1" t="str">
        <f aca="false">IF(OR(OR(NOT(AND(ISNUMBER(E150),ISNUMBER(F150))),$J$2=""),2&gt;Reprogramaciones!$K$16),"",IF(ROUND(SUM($Q150:R150),1)&gt;=99.5,100,MIN(100,ROUND(SUM($Q150:R150),1))))</f>
        <v/>
      </c>
      <c r="CL150" s="1" t="str">
        <f aca="false">IF(OR(OR(NOT(AND(ISNUMBER(E150),ISNUMBER(F150))),$J$2=""),3&gt;Reprogramaciones!$K$16),"",IF(ROUND(SUM($Q150:S150),1)&gt;=99.5,100,MIN(100,ROUND(SUM($Q150:S150),1))))</f>
        <v/>
      </c>
      <c r="CM150" s="1" t="str">
        <f aca="false">IF(OR(OR(NOT(AND(ISNUMBER(E150),ISNUMBER(F150))),$J$2=""),4&gt;Reprogramaciones!$K$16),"",IF(ROUND(SUM($Q150:T150),1)&gt;=99.5,100,MIN(100,ROUND(SUM($Q150:T150),1))))</f>
        <v/>
      </c>
      <c r="CN150" s="1" t="str">
        <f aca="false">IF(OR(OR(NOT(AND(ISNUMBER(E150),ISNUMBER(F150))),$J$2=""),5&gt;Reprogramaciones!$K$16),"",IF(ROUND(SUM($Q150:U150),1)&gt;=99.5,100,MIN(100,ROUND(SUM($Q150:U150),1))))</f>
        <v/>
      </c>
      <c r="CO150" s="1" t="str">
        <f aca="false">IF(OR(OR(NOT(AND(ISNUMBER(E150),ISNUMBER(F150))),$J$2=""),6&gt;Reprogramaciones!$K$16),"",IF(ROUND(SUM($Q150:V150),1)&gt;=99.5,100,MIN(100,ROUND(SUM($Q150:V150),1))))</f>
        <v/>
      </c>
      <c r="CP150" s="1" t="str">
        <f aca="false">IF(OR(OR(NOT(AND(ISNUMBER(E150),ISNUMBER(F150))),$J$2=""),7&gt;Reprogramaciones!$K$16),"",IF(ROUND(SUM($Q150:W150),1)&gt;=99.5,100,MIN(100,ROUND(SUM($Q150:W150),1))))</f>
        <v/>
      </c>
      <c r="CQ150" s="1" t="str">
        <f aca="false">IF(OR(OR(NOT(AND(ISNUMBER(E150),ISNUMBER(F150))),$J$2=""),8&gt;Reprogramaciones!$K$16),"",IF(ROUND(SUM($Q150:X150),1)&gt;=99.5,100,MIN(100,ROUND(SUM($Q150:X150),1))))</f>
        <v/>
      </c>
      <c r="CR150" s="1" t="str">
        <f aca="false">IF(OR(OR(NOT(AND(ISNUMBER(E150),ISNUMBER(F150))),$J$2=""),9&gt;Reprogramaciones!$K$16),"",IF(ROUND(SUM($Q150:Y150),1)&gt;=99.5,100,MIN(100,ROUND(SUM($Q150:Y150),1))))</f>
        <v/>
      </c>
      <c r="CS150" s="1" t="str">
        <f aca="false">IF(OR(OR(NOT(AND(ISNUMBER(E150),ISNUMBER(F150))),$J$2=""),10&gt;Reprogramaciones!$K$16),"",IF(ROUND(SUM($Q150:Z150),1)&gt;=99.5,100,MIN(100,ROUND(SUM($Q150:Z150),1))))</f>
        <v/>
      </c>
      <c r="CT150" s="1" t="str">
        <f aca="false">IF(OR(OR(NOT(AND(ISNUMBER(E150),ISNUMBER(F150))),$J$2=""),11&gt;Reprogramaciones!$K$16),"",IF(ROUND(SUM($Q150:AA150),1)&gt;=99.5,100,MIN(100,ROUND(SUM($Q150:AA150),1))))</f>
        <v/>
      </c>
      <c r="CU150" s="1" t="str">
        <f aca="false">IF(OR(OR(NOT(AND(ISNUMBER(E150),ISNUMBER(F150))),$J$2=""),12&gt;Reprogramaciones!$K$16),"",IF(ROUND(SUM($Q150:AB150),1)&gt;=99.5,100,MIN(100,ROUND(SUM($Q150:AB150),1))))</f>
        <v/>
      </c>
      <c r="CV150" s="1" t="str">
        <f aca="false">IF(OR(OR(NOT(AND(ISNUMBER(E150),ISNUMBER(F150))),$J$2=""),13&gt;Reprogramaciones!$K$16),"",IF(ROUND(SUM($Q150:AC150),1)&gt;=99.5,100,MIN(100,ROUND(SUM($Q150:AC150),1))))</f>
        <v/>
      </c>
      <c r="CW150" s="1" t="str">
        <f aca="false">IF(OR(OR(NOT(AND(ISNUMBER(E150),ISNUMBER(F150))),$J$2=""),14&gt;Reprogramaciones!$K$16),"",IF(ROUND(SUM($Q150:AD150),1)&gt;=99.5,100,MIN(100,ROUND(SUM($Q150:AD150),1))))</f>
        <v/>
      </c>
      <c r="CX150" s="1" t="str">
        <f aca="false">IF(OR(OR(NOT(AND(ISNUMBER(E150),ISNUMBER(F150))),$J$2=""),15&gt;Reprogramaciones!$K$16),"",IF(ROUND(SUM($Q150:AE150),1)&gt;=99.5,100,MIN(100,ROUND(SUM($Q150:AE150),1))))</f>
        <v/>
      </c>
      <c r="CY150" s="1" t="str">
        <f aca="false">IF(OR(OR(NOT(AND(ISNUMBER(E150),ISNUMBER(F150))),$J$2=""),16&gt;Reprogramaciones!$K$16),"",IF(ROUND(SUM($Q150:AF150),1)&gt;=99.5,100,MIN(100,ROUND(SUM($Q150:AF150),1))))</f>
        <v/>
      </c>
      <c r="CZ150" s="1" t="str">
        <f aca="false">IF(D150&lt;&gt;"",D150,IF(B150&lt;&gt;"","Contractual",CZ149))</f>
        <v>Contractual</v>
      </c>
      <c r="DA150" s="1" t="str">
        <f aca="false">IF(OR(NOT(AND(ISNUMBER(E150),ISNUMBER(F150))),$J$2=""),"",IF(Reprogramaciones!$Q$15&lt;Reprogramaciones!$T$15,0,IF(Reprogramaciones!$S$15&gt;10,MIN(100,SUM($G150:$P150)),MIN(100,SUMPRODUCT((COLUMN($G150:$P150)-COLUMN($G150)+1&lt;Reprogramaciones!$S$15)*$G150:$P150)+N(INDEX($G150:$P150,1,Reprogramaciones!$S$15))*IF(Reprogramaciones!$Q$15&gt;=(Reprogramaciones!$T$15+7*(Reprogramaciones!$S$15-1))+6,1,IF(MAX(0,NETWORKDAYS.INTL(MAX(E150,(Reprogramaciones!$T$15+7*(Reprogramaciones!$S$15-1))),MIN(F150,(Reprogramaciones!$T$15+7*(Reprogramaciones!$S$15-1))+6),11))=0,0,MAX(0,NETWORKDAYS.INTL(MAX(E150,(Reprogramaciones!$T$15+7*(Reprogramaciones!$S$15-1))),MIN(F150,Reprogramaciones!$Q$15),11))/MAX(0,NETWORKDAYS.INTL(MAX(E150,(Reprogramaciones!$T$15+7*(Reprogramaciones!$S$15-1))),MIN(F150,(Reprogramaciones!$T$15+7*(Reprogramaciones!$S$15-1))+6),11))))))))</f>
        <v/>
      </c>
    </row>
    <row r="151" customFormat="false" ht="15" hidden="false" customHeight="false" outlineLevel="0" collapsed="false">
      <c r="A151" s="32"/>
      <c r="B151" s="33"/>
      <c r="C151" s="33"/>
      <c r="D151" s="34"/>
      <c r="E151" s="35"/>
      <c r="F151" s="35"/>
      <c r="G151" s="36" t="str">
        <f aca="false">IF(OR(NOT(AND(ISNUMBER(E151),ISNUMBER(F151))),$J$2=""),"",IF(Reprogramaciones!K$9&lt;E151,0,IF(NETWORKDAYS.INTL(E151,F151,11)=0,IF(Reprogramaciones!K$9&gt;=F151,100,0),ROUND(NETWORKDAYS.INTL(E151,MIN(F151,Reprogramaciones!K$9),11)/NETWORKDAYS.INTL(E151,F151,11)*100,1)))-0)</f>
        <v/>
      </c>
      <c r="H151" s="36" t="str">
        <f aca="false">IF(OR(NOT(AND(ISNUMBER(E151),ISNUMBER(F151))),$J$2=""),"",IF(Reprogramaciones!L$9&lt;E151,0,IF(NETWORKDAYS.INTL(E151,F151,11)=0,IF(Reprogramaciones!L$9&gt;=F151,100,0),ROUND(NETWORKDAYS.INTL(E151,MIN(F151,Reprogramaciones!L$9),11)/NETWORKDAYS.INTL(E151,F151,11)*100,1)))-IF(Reprogramaciones!K$9&lt;E151,0,IF(NETWORKDAYS.INTL(E151,F151,11)=0,IF(Reprogramaciones!K$9&gt;=F151,100,0),ROUND(NETWORKDAYS.INTL(E151,MIN(F151,Reprogramaciones!K$9),11)/NETWORKDAYS.INTL(E151,F151,11)*100,1))))</f>
        <v/>
      </c>
      <c r="I151" s="36" t="str">
        <f aca="false">IF(OR(NOT(AND(ISNUMBER(E151),ISNUMBER(F151))),$J$2=""),"",IF(Reprogramaciones!M$9&lt;E151,0,IF(NETWORKDAYS.INTL(E151,F151,11)=0,IF(Reprogramaciones!M$9&gt;=F151,100,0),ROUND(NETWORKDAYS.INTL(E151,MIN(F151,Reprogramaciones!M$9),11)/NETWORKDAYS.INTL(E151,F151,11)*100,1)))-IF(Reprogramaciones!L$9&lt;E151,0,IF(NETWORKDAYS.INTL(E151,F151,11)=0,IF(Reprogramaciones!L$9&gt;=F151,100,0),ROUND(NETWORKDAYS.INTL(E151,MIN(F151,Reprogramaciones!L$9),11)/NETWORKDAYS.INTL(E151,F151,11)*100,1))))</f>
        <v/>
      </c>
      <c r="J151" s="36" t="str">
        <f aca="false">IF(OR(NOT(AND(ISNUMBER(E151),ISNUMBER(F151))),$J$2=""),"",IF(Reprogramaciones!N$9&lt;E151,0,IF(NETWORKDAYS.INTL(E151,F151,11)=0,IF(Reprogramaciones!N$9&gt;=F151,100,0),ROUND(NETWORKDAYS.INTL(E151,MIN(F151,Reprogramaciones!N$9),11)/NETWORKDAYS.INTL(E151,F151,11)*100,1)))-IF(Reprogramaciones!M$9&lt;E151,0,IF(NETWORKDAYS.INTL(E151,F151,11)=0,IF(Reprogramaciones!M$9&gt;=F151,100,0),ROUND(NETWORKDAYS.INTL(E151,MIN(F151,Reprogramaciones!M$9),11)/NETWORKDAYS.INTL(E151,F151,11)*100,1))))</f>
        <v/>
      </c>
      <c r="K151" s="36" t="str">
        <f aca="false">IF(OR(NOT(AND(ISNUMBER(E151),ISNUMBER(F151))),$J$2=""),"",IF(Reprogramaciones!O$9&lt;E151,0,IF(NETWORKDAYS.INTL(E151,F151,11)=0,IF(Reprogramaciones!O$9&gt;=F151,100,0),ROUND(NETWORKDAYS.INTL(E151,MIN(F151,Reprogramaciones!O$9),11)/NETWORKDAYS.INTL(E151,F151,11)*100,1)))-IF(Reprogramaciones!N$9&lt;E151,0,IF(NETWORKDAYS.INTL(E151,F151,11)=0,IF(Reprogramaciones!N$9&gt;=F151,100,0),ROUND(NETWORKDAYS.INTL(E151,MIN(F151,Reprogramaciones!N$9),11)/NETWORKDAYS.INTL(E151,F151,11)*100,1))))</f>
        <v/>
      </c>
      <c r="L151" s="36" t="str">
        <f aca="false">IF(OR(NOT(AND(ISNUMBER(E151),ISNUMBER(F151))),$J$2=""),"",IF(Reprogramaciones!P$9&lt;E151,0,IF(NETWORKDAYS.INTL(E151,F151,11)=0,IF(Reprogramaciones!P$9&gt;=F151,100,0),ROUND(NETWORKDAYS.INTL(E151,MIN(F151,Reprogramaciones!P$9),11)/NETWORKDAYS.INTL(E151,F151,11)*100,1)))-IF(Reprogramaciones!O$9&lt;E151,0,IF(NETWORKDAYS.INTL(E151,F151,11)=0,IF(Reprogramaciones!O$9&gt;=F151,100,0),ROUND(NETWORKDAYS.INTL(E151,MIN(F151,Reprogramaciones!O$9),11)/NETWORKDAYS.INTL(E151,F151,11)*100,1))))</f>
        <v/>
      </c>
      <c r="M151" s="36" t="str">
        <f aca="false">IF(OR(NOT(AND(ISNUMBER(E151),ISNUMBER(F151))),$J$2=""),"",IF(Reprogramaciones!Q$9&lt;E151,0,IF(NETWORKDAYS.INTL(E151,F151,11)=0,IF(Reprogramaciones!Q$9&gt;=F151,100,0),ROUND(NETWORKDAYS.INTL(E151,MIN(F151,Reprogramaciones!Q$9),11)/NETWORKDAYS.INTL(E151,F151,11)*100,1)))-IF(Reprogramaciones!P$9&lt;E151,0,IF(NETWORKDAYS.INTL(E151,F151,11)=0,IF(Reprogramaciones!P$9&gt;=F151,100,0),ROUND(NETWORKDAYS.INTL(E151,MIN(F151,Reprogramaciones!P$9),11)/NETWORKDAYS.INTL(E151,F151,11)*100,1))))</f>
        <v/>
      </c>
      <c r="N151" s="36" t="str">
        <f aca="false">IF(OR(NOT(AND(ISNUMBER(E151),ISNUMBER(F151))),$J$2=""),"",IF(Reprogramaciones!R$9&lt;E151,0,IF(NETWORKDAYS.INTL(E151,F151,11)=0,IF(Reprogramaciones!R$9&gt;=F151,100,0),ROUND(NETWORKDAYS.INTL(E151,MIN(F151,Reprogramaciones!R$9),11)/NETWORKDAYS.INTL(E151,F151,11)*100,1)))-IF(Reprogramaciones!Q$9&lt;E151,0,IF(NETWORKDAYS.INTL(E151,F151,11)=0,IF(Reprogramaciones!Q$9&gt;=F151,100,0),ROUND(NETWORKDAYS.INTL(E151,MIN(F151,Reprogramaciones!Q$9),11)/NETWORKDAYS.INTL(E151,F151,11)*100,1))))</f>
        <v/>
      </c>
      <c r="O151" s="36" t="str">
        <f aca="false">IF(OR(NOT(AND(ISNUMBER(E151),ISNUMBER(F151))),$J$2=""),"",IF(Reprogramaciones!S$9&lt;E151,0,IF(NETWORKDAYS.INTL(E151,F151,11)=0,IF(Reprogramaciones!S$9&gt;=F151,100,0),ROUND(NETWORKDAYS.INTL(E151,MIN(F151,Reprogramaciones!S$9),11)/NETWORKDAYS.INTL(E151,F151,11)*100,1)))-IF(Reprogramaciones!R$9&lt;E151,0,IF(NETWORKDAYS.INTL(E151,F151,11)=0,IF(Reprogramaciones!R$9&gt;=F151,100,0),ROUND(NETWORKDAYS.INTL(E151,MIN(F151,Reprogramaciones!R$9),11)/NETWORKDAYS.INTL(E151,F151,11)*100,1))))</f>
        <v/>
      </c>
      <c r="P151" s="36" t="str">
        <f aca="false">IF(OR(NOT(AND(ISNUMBER(E151),ISNUMBER(F151))),$J$2=""),"",IF(Reprogramaciones!T$9&lt;E151,0,IF(NETWORKDAYS.INTL(E151,F151,11)=0,IF(Reprogramaciones!T$9&gt;=F151,100,0),ROUND(NETWORKDAYS.INTL(E151,MIN(F151,Reprogramaciones!T$9),11)/NETWORKDAYS.INTL(E151,F151,11)*100,1)))-IF(Reprogramaciones!S$9&lt;E151,0,IF(NETWORKDAYS.INTL(E151,F151,11)=0,IF(Reprogramaciones!S$9&gt;=F151,100,0),ROUND(NETWORKDAYS.INTL(E151,MIN(F151,Reprogramaciones!S$9),11)/NETWORKDAYS.INTL(E151,F151,11)*100,1))))</f>
        <v/>
      </c>
      <c r="Q151" s="37"/>
      <c r="R151" s="37"/>
      <c r="S151" s="37"/>
      <c r="T151" s="37"/>
      <c r="U151" s="37"/>
      <c r="V151" s="37"/>
      <c r="W151" s="37"/>
      <c r="X151" s="37"/>
      <c r="Y151" s="37"/>
      <c r="Z151" s="37"/>
      <c r="AA151" s="37"/>
      <c r="AB151" s="37"/>
      <c r="AC151" s="37"/>
      <c r="AD151" s="37"/>
      <c r="AE151" s="37"/>
      <c r="AF151" s="37"/>
      <c r="AG151" s="38" t="str">
        <f aca="false">IF(AND(ISNUMBER(E151),ISNUMBER(F151)),NETWORKDAYS.INTL(E151,F151,11),"")</f>
        <v/>
      </c>
      <c r="AH151" s="38" t="str">
        <f aca="false">IF(OR(NOT(AND(ISNUMBER(E151),ISNUMBER(F151))),$J$2=""),"",IF(Reprogramaciones!$P$15&lt;Reprogramaciones!$T$15,0,IF(Reprogramaciones!$R$15&gt;10,MIN(100,SUM($G151:$P151)),MIN(100,SUMPRODUCT((COLUMN($G151:$P151)-COLUMN($G151)+1&lt;Reprogramaciones!$R$15)*$G151:$P151)+N(INDEX($G151:$P151,1,Reprogramaciones!$R$15))*IF(Reprogramaciones!$P$15&gt;=(Reprogramaciones!$T$15+7*(Reprogramaciones!$R$15-1))+6,1,IF(MAX(0,NETWORKDAYS.INTL(MAX(E151,(Reprogramaciones!$T$15+7*(Reprogramaciones!$R$15-1))),MIN(F151,(Reprogramaciones!$T$15+7*(Reprogramaciones!$R$15-1))+6),11))=0,0,MAX(0,NETWORKDAYS.INTL(MAX(E151,(Reprogramaciones!$T$15+7*(Reprogramaciones!$R$15-1))),MIN(F151,Reprogramaciones!$P$15),11))/MAX(0,NETWORKDAYS.INTL(MAX(E151,(Reprogramaciones!$T$15+7*(Reprogramaciones!$R$15-1))),MIN(F151,(Reprogramaciones!$T$15+7*(Reprogramaciones!$R$15-1))+6),11))))))))</f>
        <v/>
      </c>
      <c r="AI151" s="38" t="str">
        <f aca="false">IF(COUNT($Q151:$AF151)=0,"",IF(ROUND(SUM($Q151:$AF151),1)&gt;=99.5,100,MIN(100,ROUND(SUM($Q151:$AF151),1))))</f>
        <v/>
      </c>
      <c r="AJ151" s="38" t="str">
        <f aca="false">IF(OR(AH151="",AI151=""),"",AI151-AH151)</f>
        <v/>
      </c>
      <c r="AK151" s="39" t="str">
        <f aca="true">IF(AH151="","",IF(OR(Ficha!$C$10="Suspendida",Ficha!$C$10="Cancelada"),Ficha!$C$10,IF(AND(AI151&lt;&gt;"",N(AI151)&gt;=100),"Completada",IF(AND(E151&gt;TODAY(),N(AI151)=0),"Por iniciar",IF(N(AI151)+0.5&lt;AH151,"Retrasada",IF(N(AI151)+0.5&lt;DA151,IF(Reprogramaciones!$K$15&gt;0,"Al día · Sem "&amp;Reprogramaciones!$K$15&amp;" en curso","Al día · en curso"),"A tiempo"))))))</f>
        <v/>
      </c>
      <c r="AL151" s="39" t="str">
        <f aca="true">IF(AND(A151="",AND(B151="",C151="",E151="",F151="",COUNT(Q151:AF151)=0)),"",IF(AND(B151="",C151="",E151="",F151="",COUNT(Q151:AF151)=0),"Falta la partida o subpartida",IF(AND(A151&lt;&gt;"",COUNTIF($A$6:$A$305,A151)&gt;1),"Ítem repetido",IF(AND(C151="",E151="",F151="",COUNT(Q151:AF151)=0),"Título de partida",IF(OR(E151="",F151=""),"Faltan fechas",IF(OR(ISTEXT(E151),ISTEXT(F151)),"Fecha escrita como texto: usa dd/mm/aaaa",IF(F151&lt;E151,"Fin antes del inicio",IF(IF($J$2="",FALSE(),OR(E151&lt;$J$2,F151&gt;Reprogramaciones!$T$15+69)),"Fuera de las 10 semanas",IF(ABS(SUM(G151:P151)-100)&gt;0.5,"La meta no suma 100%",IF(ROUND(SUM(Q151:AF151),1)&gt;100.5,"El avance pasa de 100%",IF(MIN(Q151:AF151)&lt;0,"Avance negativo",IF(COUNTA(Q151:AF151)&gt;COUNT(Q151:AF151),"Avance escrito como texto",IF(SUMPRODUCT((Q151:AF151&gt;0)*(Q151:AF151&lt;1))&gt;0,"Avance menor a 1: escribe 50, no 50%",IF(SUMPRODUCT(ISNUMBER(Q151:AF151)*(Reprogramaciones!$K$8:$Z$8&gt;TODAY()))&gt;0,"Avance en semana que aún no llega",IF(AND(N(Reprogramaciones!$E$21)&gt;0,F151&gt;Reprogramaciones!$E$21),"Pasa el fin de la obra: registra una reprogramación",IF(AND(N(Reprogramaciones!$E$21)&gt;0,SUMPRODUCT(ISNUMBER(Q151:AF151)*(Reprogramaciones!$K$8:$Z$8&gt;Reprogramaciones!$E$21))&gt;0),"Avance después del fin de la obra: registra una reprogramación por atraso","OK"))))))))))))))))</f>
        <v/>
      </c>
      <c r="AM151" s="40" t="str">
        <f aca="false">IF(OR(OR(NOT(AND(ISNUMBER(E151),ISNUMBER(F151))),$J$2=""),1&gt;MAX(1,Reprogramaciones!$U$15)),"",IF(Reprogramaciones!K$12&gt;=7,"",IF(OR(BT151-N(0)&gt;0.05,N(Q151)&gt;0),ROUNDDOWN(ROUND(BT151,6),0)&amp;"%"&amp;IF(CJ151="",""," / "&amp;CJ151&amp;"%"),IF(AND(N(0)&gt;=99.95,CJ151&lt;&gt;"",N(CJ151)&lt;100),"Pend. "&amp;CJ151&amp;"%",""))))</f>
        <v/>
      </c>
      <c r="AN151" s="40" t="str">
        <f aca="false">IF(OR(OR(NOT(AND(ISNUMBER(E151),ISNUMBER(F151))),$J$2=""),2&gt;MAX(1,Reprogramaciones!$U$15)),"",IF(Reprogramaciones!L$12&gt;=7,"",IF(OR(BU151-N(BT151)&gt;0.05,N(R151)&gt;0),ROUNDDOWN(ROUND(BU151,6),0)&amp;"%"&amp;IF(CK151="",""," / "&amp;CK151&amp;"%"),IF(AND(N(BT151)&gt;=99.95,CK151&lt;&gt;"",N(CK151)&lt;100),"Pend. "&amp;CK151&amp;"%",""))))</f>
        <v/>
      </c>
      <c r="AO151" s="40" t="str">
        <f aca="false">IF(OR(OR(NOT(AND(ISNUMBER(E151),ISNUMBER(F151))),$J$2=""),3&gt;MAX(1,Reprogramaciones!$U$15)),"",IF(Reprogramaciones!M$12&gt;=7,"",IF(OR(BV151-N(BU151)&gt;0.05,N(S151)&gt;0),ROUNDDOWN(ROUND(BV151,6),0)&amp;"%"&amp;IF(CL151="",""," / "&amp;CL151&amp;"%"),IF(AND(N(BU151)&gt;=99.95,CL151&lt;&gt;"",N(CL151)&lt;100),"Pend. "&amp;CL151&amp;"%",""))))</f>
        <v/>
      </c>
      <c r="AP151" s="40" t="str">
        <f aca="false">IF(OR(OR(NOT(AND(ISNUMBER(E151),ISNUMBER(F151))),$J$2=""),4&gt;MAX(1,Reprogramaciones!$U$15)),"",IF(Reprogramaciones!N$12&gt;=7,"",IF(OR(BW151-N(BV151)&gt;0.05,N(T151)&gt;0),ROUNDDOWN(ROUND(BW151,6),0)&amp;"%"&amp;IF(CM151="",""," / "&amp;CM151&amp;"%"),IF(AND(N(BV151)&gt;=99.95,CM151&lt;&gt;"",N(CM151)&lt;100),"Pend. "&amp;CM151&amp;"%",""))))</f>
        <v/>
      </c>
      <c r="AQ151" s="40" t="str">
        <f aca="false">IF(OR(OR(NOT(AND(ISNUMBER(E151),ISNUMBER(F151))),$J$2=""),5&gt;MAX(1,Reprogramaciones!$U$15)),"",IF(Reprogramaciones!O$12&gt;=7,"",IF(OR(BX151-N(BW151)&gt;0.05,N(U151)&gt;0),ROUNDDOWN(ROUND(BX151,6),0)&amp;"%"&amp;IF(CN151="",""," / "&amp;CN151&amp;"%"),IF(AND(N(BW151)&gt;=99.95,CN151&lt;&gt;"",N(CN151)&lt;100),"Pend. "&amp;CN151&amp;"%",""))))</f>
        <v/>
      </c>
      <c r="AR151" s="40" t="str">
        <f aca="false">IF(OR(OR(NOT(AND(ISNUMBER(E151),ISNUMBER(F151))),$J$2=""),6&gt;MAX(1,Reprogramaciones!$U$15)),"",IF(Reprogramaciones!P$12&gt;=7,"",IF(OR(BY151-N(BX151)&gt;0.05,N(V151)&gt;0),ROUNDDOWN(ROUND(BY151,6),0)&amp;"%"&amp;IF(CO151="",""," / "&amp;CO151&amp;"%"),IF(AND(N(BX151)&gt;=99.95,CO151&lt;&gt;"",N(CO151)&lt;100),"Pend. "&amp;CO151&amp;"%",""))))</f>
        <v/>
      </c>
      <c r="AS151" s="40" t="str">
        <f aca="false">IF(OR(OR(NOT(AND(ISNUMBER(E151),ISNUMBER(F151))),$J$2=""),7&gt;MAX(1,Reprogramaciones!$U$15)),"",IF(Reprogramaciones!Q$12&gt;=7,"",IF(OR(BZ151-N(BY151)&gt;0.05,N(W151)&gt;0),ROUNDDOWN(ROUND(BZ151,6),0)&amp;"%"&amp;IF(CP151="",""," / "&amp;CP151&amp;"%"),IF(AND(N(BY151)&gt;=99.95,CP151&lt;&gt;"",N(CP151)&lt;100),"Pend. "&amp;CP151&amp;"%",""))))</f>
        <v/>
      </c>
      <c r="AT151" s="40" t="str">
        <f aca="false">IF(OR(OR(NOT(AND(ISNUMBER(E151),ISNUMBER(F151))),$J$2=""),8&gt;MAX(1,Reprogramaciones!$U$15)),"",IF(Reprogramaciones!R$12&gt;=7,"",IF(OR(CA151-N(BZ151)&gt;0.05,N(X151)&gt;0),ROUNDDOWN(ROUND(CA151,6),0)&amp;"%"&amp;IF(CQ151="",""," / "&amp;CQ151&amp;"%"),IF(AND(N(BZ151)&gt;=99.95,CQ151&lt;&gt;"",N(CQ151)&lt;100),"Pend. "&amp;CQ151&amp;"%",""))))</f>
        <v/>
      </c>
      <c r="AU151" s="40" t="str">
        <f aca="false">IF(OR(OR(NOT(AND(ISNUMBER(E151),ISNUMBER(F151))),$J$2=""),9&gt;MAX(1,Reprogramaciones!$U$15)),"",IF(Reprogramaciones!S$12&gt;=7,"",IF(OR(CB151-N(CA151)&gt;0.05,N(Y151)&gt;0),ROUNDDOWN(ROUND(CB151,6),0)&amp;"%"&amp;IF(CR151="",""," / "&amp;CR151&amp;"%"),IF(AND(N(CA151)&gt;=99.95,CR151&lt;&gt;"",N(CR151)&lt;100),"Pend. "&amp;CR151&amp;"%",""))))</f>
        <v/>
      </c>
      <c r="AV151" s="40" t="str">
        <f aca="false">IF(OR(OR(NOT(AND(ISNUMBER(E151),ISNUMBER(F151))),$J$2=""),10&gt;MAX(1,Reprogramaciones!$U$15)),"",IF(Reprogramaciones!T$12&gt;=7,"",IF(OR(CC151-N(CB151)&gt;0.05,N(Z151)&gt;0),ROUNDDOWN(ROUND(CC151,6),0)&amp;"%"&amp;IF(CS151="",""," / "&amp;CS151&amp;"%"),IF(AND(N(CB151)&gt;=99.95,CS151&lt;&gt;"",N(CS151)&lt;100),"Pend. "&amp;CS151&amp;"%",""))))</f>
        <v/>
      </c>
      <c r="AW151" s="40" t="str">
        <f aca="false">IF(OR(OR(NOT(AND(ISNUMBER(E151),ISNUMBER(F151))),$J$2=""),11&gt;MAX(1,Reprogramaciones!$U$15)),"",IF(Reprogramaciones!U$12&gt;=7,"",IF(OR(CD151-N(CC151)&gt;0.05,N(AA151)&gt;0),ROUNDDOWN(ROUND(CD151,6),0)&amp;"%"&amp;IF(CT151="",""," / "&amp;CT151&amp;"%"),IF(AND(N(CC151)&gt;=99.95,CT151&lt;&gt;"",N(CT151)&lt;100),"Pend. "&amp;CT151&amp;"%",""))))</f>
        <v/>
      </c>
      <c r="AX151" s="40" t="str">
        <f aca="false">IF(OR(OR(NOT(AND(ISNUMBER(E151),ISNUMBER(F151))),$J$2=""),12&gt;MAX(1,Reprogramaciones!$U$15)),"",IF(Reprogramaciones!V$12&gt;=7,"",IF(OR(CE151-N(CD151)&gt;0.05,N(AB151)&gt;0),ROUNDDOWN(ROUND(CE151,6),0)&amp;"%"&amp;IF(CU151="",""," / "&amp;CU151&amp;"%"),IF(AND(N(CD151)&gt;=99.95,CU151&lt;&gt;"",N(CU151)&lt;100),"Pend. "&amp;CU151&amp;"%",""))))</f>
        <v/>
      </c>
      <c r="AY151" s="40" t="str">
        <f aca="false">IF(OR(OR(NOT(AND(ISNUMBER(E151),ISNUMBER(F151))),$J$2=""),13&gt;MAX(1,Reprogramaciones!$U$15)),"",IF(Reprogramaciones!W$12&gt;=7,"",IF(OR(CF151-N(CE151)&gt;0.05,N(AC151)&gt;0),ROUNDDOWN(ROUND(CF151,6),0)&amp;"%"&amp;IF(CV151="",""," / "&amp;CV151&amp;"%"),IF(AND(N(CE151)&gt;=99.95,CV151&lt;&gt;"",N(CV151)&lt;100),"Pend. "&amp;CV151&amp;"%",""))))</f>
        <v/>
      </c>
      <c r="AZ151" s="40" t="str">
        <f aca="false">IF(OR(OR(NOT(AND(ISNUMBER(E151),ISNUMBER(F151))),$J$2=""),14&gt;MAX(1,Reprogramaciones!$U$15)),"",IF(Reprogramaciones!X$12&gt;=7,"",IF(OR(CG151-N(CF151)&gt;0.05,N(AD151)&gt;0),ROUNDDOWN(ROUND(CG151,6),0)&amp;"%"&amp;IF(CW151="",""," / "&amp;CW151&amp;"%"),IF(AND(N(CF151)&gt;=99.95,CW151&lt;&gt;"",N(CW151)&lt;100),"Pend. "&amp;CW151&amp;"%",""))))</f>
        <v/>
      </c>
      <c r="BA151" s="40" t="str">
        <f aca="false">IF(OR(OR(NOT(AND(ISNUMBER(E151),ISNUMBER(F151))),$J$2=""),15&gt;MAX(1,Reprogramaciones!$U$15)),"",IF(Reprogramaciones!Y$12&gt;=7,"",IF(OR(CH151-N(CG151)&gt;0.05,N(AE151)&gt;0),ROUNDDOWN(ROUND(CH151,6),0)&amp;"%"&amp;IF(CX151="",""," / "&amp;CX151&amp;"%"),IF(AND(N(CG151)&gt;=99.95,CX151&lt;&gt;"",N(CX151)&lt;100),"Pend. "&amp;CX151&amp;"%",""))))</f>
        <v/>
      </c>
      <c r="BB151" s="40" t="str">
        <f aca="false">IF(OR(OR(NOT(AND(ISNUMBER(E151),ISNUMBER(F151))),$J$2=""),16&gt;MAX(1,Reprogramaciones!$U$15)),"",IF(Reprogramaciones!Z$12&gt;=7,"",IF(OR(CI151-N(CH151)&gt;0.05,N(AF151)&gt;0),ROUNDDOWN(ROUND(CI151,6),0)&amp;"%"&amp;IF(CY151="",""," / "&amp;CY151&amp;"%"),IF(AND(N(CH151)&gt;=99.95,CY151&lt;&gt;"",N(CY151)&lt;100),"Pend. "&amp;CY151&amp;"%",""))))</f>
        <v/>
      </c>
      <c r="BC151" s="31" t="n">
        <f aca="false">IF(AND(ISNUMBER(E151),ISNUMBER(F151)),MAX(1,NETWORKDAYS.INTL(E151,F151,11)),0)</f>
        <v>0</v>
      </c>
      <c r="BD151" s="1" t="str">
        <f aca="false">IF(OR(NOT(AND(ISNUMBER(E151),ISNUMBER(F151))),$J$2=""),"",MIN(100,ROUND(SUM($G151:G151),1)))</f>
        <v/>
      </c>
      <c r="BE151" s="1" t="str">
        <f aca="false">IF(OR(NOT(AND(ISNUMBER(E151),ISNUMBER(F151))),$J$2=""),"",MIN(100,ROUND(SUM($G151:H151),1)))</f>
        <v/>
      </c>
      <c r="BF151" s="1" t="str">
        <f aca="false">IF(OR(NOT(AND(ISNUMBER(E151),ISNUMBER(F151))),$J$2=""),"",MIN(100,ROUND(SUM($G151:I151),1)))</f>
        <v/>
      </c>
      <c r="BG151" s="1" t="str">
        <f aca="false">IF(OR(NOT(AND(ISNUMBER(E151),ISNUMBER(F151))),$J$2=""),"",MIN(100,ROUND(SUM($G151:J151),1)))</f>
        <v/>
      </c>
      <c r="BH151" s="1" t="str">
        <f aca="false">IF(OR(NOT(AND(ISNUMBER(E151),ISNUMBER(F151))),$J$2=""),"",MIN(100,ROUND(SUM($G151:K151),1)))</f>
        <v/>
      </c>
      <c r="BI151" s="1" t="str">
        <f aca="false">IF(OR(NOT(AND(ISNUMBER(E151),ISNUMBER(F151))),$J$2=""),"",MIN(100,ROUND(SUM($G151:L151),1)))</f>
        <v/>
      </c>
      <c r="BJ151" s="1" t="str">
        <f aca="false">IF(OR(NOT(AND(ISNUMBER(E151),ISNUMBER(F151))),$J$2=""),"",MIN(100,ROUND(SUM($G151:M151),1)))</f>
        <v/>
      </c>
      <c r="BK151" s="1" t="str">
        <f aca="false">IF(OR(NOT(AND(ISNUMBER(E151),ISNUMBER(F151))),$J$2=""),"",MIN(100,ROUND(SUM($G151:N151),1)))</f>
        <v/>
      </c>
      <c r="BL151" s="1" t="str">
        <f aca="false">IF(OR(NOT(AND(ISNUMBER(E151),ISNUMBER(F151))),$J$2=""),"",MIN(100,ROUND(SUM($G151:O151),1)))</f>
        <v/>
      </c>
      <c r="BM151" s="1" t="str">
        <f aca="false">IF(OR(NOT(AND(ISNUMBER(E151),ISNUMBER(F151))),$J$2=""),"",MIN(100,ROUND(SUM($G151:P151),1)))</f>
        <v/>
      </c>
      <c r="BN151" s="1" t="str">
        <f aca="false">IF(OR(NOT(AND(ISNUMBER(E151),ISNUMBER(F151))),$J$2=""),"",MIN(100,ROUND(SUM($G151:P151),1)))</f>
        <v/>
      </c>
      <c r="BO151" s="1" t="str">
        <f aca="false">IF(OR(NOT(AND(ISNUMBER(E151),ISNUMBER(F151))),$J$2=""),"",MIN(100,ROUND(SUM($G151:P151),1)))</f>
        <v/>
      </c>
      <c r="BP151" s="1" t="str">
        <f aca="false">IF(OR(NOT(AND(ISNUMBER(E151),ISNUMBER(F151))),$J$2=""),"",MIN(100,ROUND(SUM($G151:P151),1)))</f>
        <v/>
      </c>
      <c r="BQ151" s="1" t="str">
        <f aca="false">IF(OR(NOT(AND(ISNUMBER(E151),ISNUMBER(F151))),$J$2=""),"",MIN(100,ROUND(SUM($G151:P151),1)))</f>
        <v/>
      </c>
      <c r="BR151" s="1" t="str">
        <f aca="false">IF(OR(NOT(AND(ISNUMBER(E151),ISNUMBER(F151))),$J$2=""),"",MIN(100,ROUND(SUM($G151:P151),1)))</f>
        <v/>
      </c>
      <c r="BS151" s="1" t="str">
        <f aca="false">IF(OR(NOT(AND(ISNUMBER(E151),ISNUMBER(F151))),$J$2=""),"",MIN(100,ROUND(SUM($G151:P151),1)))</f>
        <v/>
      </c>
      <c r="BT151" s="1" t="str">
        <f aca="false">IF(OR(NOT(AND(ISNUMBER(E151),ISNUMBER(F151))),$J$2=""),"",IF(Reprogramaciones!K$13&lt;Reprogramaciones!$T$15,0,IF(Reprogramaciones!K$14&gt;10,MIN(100,SUM($G151:$P151)),MIN(100,SUMPRODUCT((COLUMN($G151:$P151)-COLUMN($G151)+1&lt;Reprogramaciones!K$14)*$G151:$P151)+N(INDEX($G151:$P151,1,Reprogramaciones!K$14))*IF(Reprogramaciones!K$13&gt;=(Reprogramaciones!$T$15+7*(Reprogramaciones!K$14-1))+6,1,IF(MAX(0,NETWORKDAYS.INTL(MAX(E151,(Reprogramaciones!$T$15+7*(Reprogramaciones!K$14-1))),MIN(F151,(Reprogramaciones!$T$15+7*(Reprogramaciones!K$14-1))+6),11))=0,0,MAX(0,NETWORKDAYS.INTL(MAX(E151,(Reprogramaciones!$T$15+7*(Reprogramaciones!K$14-1))),MIN(F151,Reprogramaciones!K$13),11))/MAX(0,NETWORKDAYS.INTL(MAX(E151,(Reprogramaciones!$T$15+7*(Reprogramaciones!K$14-1))),MIN(F151,(Reprogramaciones!$T$15+7*(Reprogramaciones!K$14-1))+6),11))))))))</f>
        <v/>
      </c>
      <c r="BU151" s="1" t="str">
        <f aca="false">IF(OR(NOT(AND(ISNUMBER(E151),ISNUMBER(F151))),$J$2=""),"",IF(Reprogramaciones!L$13&lt;Reprogramaciones!$T$15,0,IF(Reprogramaciones!L$14&gt;10,MIN(100,SUM($G151:$P151)),MIN(100,SUMPRODUCT((COLUMN($G151:$P151)-COLUMN($G151)+1&lt;Reprogramaciones!L$14)*$G151:$P151)+N(INDEX($G151:$P151,1,Reprogramaciones!L$14))*IF(Reprogramaciones!L$13&gt;=(Reprogramaciones!$T$15+7*(Reprogramaciones!L$14-1))+6,1,IF(MAX(0,NETWORKDAYS.INTL(MAX(E151,(Reprogramaciones!$T$15+7*(Reprogramaciones!L$14-1))),MIN(F151,(Reprogramaciones!$T$15+7*(Reprogramaciones!L$14-1))+6),11))=0,0,MAX(0,NETWORKDAYS.INTL(MAX(E151,(Reprogramaciones!$T$15+7*(Reprogramaciones!L$14-1))),MIN(F151,Reprogramaciones!L$13),11))/MAX(0,NETWORKDAYS.INTL(MAX(E151,(Reprogramaciones!$T$15+7*(Reprogramaciones!L$14-1))),MIN(F151,(Reprogramaciones!$T$15+7*(Reprogramaciones!L$14-1))+6),11))))))))</f>
        <v/>
      </c>
      <c r="BV151" s="1" t="str">
        <f aca="false">IF(OR(NOT(AND(ISNUMBER(E151),ISNUMBER(F151))),$J$2=""),"",IF(Reprogramaciones!M$13&lt;Reprogramaciones!$T$15,0,IF(Reprogramaciones!M$14&gt;10,MIN(100,SUM($G151:$P151)),MIN(100,SUMPRODUCT((COLUMN($G151:$P151)-COLUMN($G151)+1&lt;Reprogramaciones!M$14)*$G151:$P151)+N(INDEX($G151:$P151,1,Reprogramaciones!M$14))*IF(Reprogramaciones!M$13&gt;=(Reprogramaciones!$T$15+7*(Reprogramaciones!M$14-1))+6,1,IF(MAX(0,NETWORKDAYS.INTL(MAX(E151,(Reprogramaciones!$T$15+7*(Reprogramaciones!M$14-1))),MIN(F151,(Reprogramaciones!$T$15+7*(Reprogramaciones!M$14-1))+6),11))=0,0,MAX(0,NETWORKDAYS.INTL(MAX(E151,(Reprogramaciones!$T$15+7*(Reprogramaciones!M$14-1))),MIN(F151,Reprogramaciones!M$13),11))/MAX(0,NETWORKDAYS.INTL(MAX(E151,(Reprogramaciones!$T$15+7*(Reprogramaciones!M$14-1))),MIN(F151,(Reprogramaciones!$T$15+7*(Reprogramaciones!M$14-1))+6),11))))))))</f>
        <v/>
      </c>
      <c r="BW151" s="1" t="str">
        <f aca="false">IF(OR(NOT(AND(ISNUMBER(E151),ISNUMBER(F151))),$J$2=""),"",IF(Reprogramaciones!N$13&lt;Reprogramaciones!$T$15,0,IF(Reprogramaciones!N$14&gt;10,MIN(100,SUM($G151:$P151)),MIN(100,SUMPRODUCT((COLUMN($G151:$P151)-COLUMN($G151)+1&lt;Reprogramaciones!N$14)*$G151:$P151)+N(INDEX($G151:$P151,1,Reprogramaciones!N$14))*IF(Reprogramaciones!N$13&gt;=(Reprogramaciones!$T$15+7*(Reprogramaciones!N$14-1))+6,1,IF(MAX(0,NETWORKDAYS.INTL(MAX(E151,(Reprogramaciones!$T$15+7*(Reprogramaciones!N$14-1))),MIN(F151,(Reprogramaciones!$T$15+7*(Reprogramaciones!N$14-1))+6),11))=0,0,MAX(0,NETWORKDAYS.INTL(MAX(E151,(Reprogramaciones!$T$15+7*(Reprogramaciones!N$14-1))),MIN(F151,Reprogramaciones!N$13),11))/MAX(0,NETWORKDAYS.INTL(MAX(E151,(Reprogramaciones!$T$15+7*(Reprogramaciones!N$14-1))),MIN(F151,(Reprogramaciones!$T$15+7*(Reprogramaciones!N$14-1))+6),11))))))))</f>
        <v/>
      </c>
      <c r="BX151" s="1" t="str">
        <f aca="false">IF(OR(NOT(AND(ISNUMBER(E151),ISNUMBER(F151))),$J$2=""),"",IF(Reprogramaciones!O$13&lt;Reprogramaciones!$T$15,0,IF(Reprogramaciones!O$14&gt;10,MIN(100,SUM($G151:$P151)),MIN(100,SUMPRODUCT((COLUMN($G151:$P151)-COLUMN($G151)+1&lt;Reprogramaciones!O$14)*$G151:$P151)+N(INDEX($G151:$P151,1,Reprogramaciones!O$14))*IF(Reprogramaciones!O$13&gt;=(Reprogramaciones!$T$15+7*(Reprogramaciones!O$14-1))+6,1,IF(MAX(0,NETWORKDAYS.INTL(MAX(E151,(Reprogramaciones!$T$15+7*(Reprogramaciones!O$14-1))),MIN(F151,(Reprogramaciones!$T$15+7*(Reprogramaciones!O$14-1))+6),11))=0,0,MAX(0,NETWORKDAYS.INTL(MAX(E151,(Reprogramaciones!$T$15+7*(Reprogramaciones!O$14-1))),MIN(F151,Reprogramaciones!O$13),11))/MAX(0,NETWORKDAYS.INTL(MAX(E151,(Reprogramaciones!$T$15+7*(Reprogramaciones!O$14-1))),MIN(F151,(Reprogramaciones!$T$15+7*(Reprogramaciones!O$14-1))+6),11))))))))</f>
        <v/>
      </c>
      <c r="BY151" s="1" t="str">
        <f aca="false">IF(OR(NOT(AND(ISNUMBER(E151),ISNUMBER(F151))),$J$2=""),"",IF(Reprogramaciones!P$13&lt;Reprogramaciones!$T$15,0,IF(Reprogramaciones!P$14&gt;10,MIN(100,SUM($G151:$P151)),MIN(100,SUMPRODUCT((COLUMN($G151:$P151)-COLUMN($G151)+1&lt;Reprogramaciones!P$14)*$G151:$P151)+N(INDEX($G151:$P151,1,Reprogramaciones!P$14))*IF(Reprogramaciones!P$13&gt;=(Reprogramaciones!$T$15+7*(Reprogramaciones!P$14-1))+6,1,IF(MAX(0,NETWORKDAYS.INTL(MAX(E151,(Reprogramaciones!$T$15+7*(Reprogramaciones!P$14-1))),MIN(F151,(Reprogramaciones!$T$15+7*(Reprogramaciones!P$14-1))+6),11))=0,0,MAX(0,NETWORKDAYS.INTL(MAX(E151,(Reprogramaciones!$T$15+7*(Reprogramaciones!P$14-1))),MIN(F151,Reprogramaciones!P$13),11))/MAX(0,NETWORKDAYS.INTL(MAX(E151,(Reprogramaciones!$T$15+7*(Reprogramaciones!P$14-1))),MIN(F151,(Reprogramaciones!$T$15+7*(Reprogramaciones!P$14-1))+6),11))))))))</f>
        <v/>
      </c>
      <c r="BZ151" s="1" t="str">
        <f aca="false">IF(OR(NOT(AND(ISNUMBER(E151),ISNUMBER(F151))),$J$2=""),"",IF(Reprogramaciones!Q$13&lt;Reprogramaciones!$T$15,0,IF(Reprogramaciones!Q$14&gt;10,MIN(100,SUM($G151:$P151)),MIN(100,SUMPRODUCT((COLUMN($G151:$P151)-COLUMN($G151)+1&lt;Reprogramaciones!Q$14)*$G151:$P151)+N(INDEX($G151:$P151,1,Reprogramaciones!Q$14))*IF(Reprogramaciones!Q$13&gt;=(Reprogramaciones!$T$15+7*(Reprogramaciones!Q$14-1))+6,1,IF(MAX(0,NETWORKDAYS.INTL(MAX(E151,(Reprogramaciones!$T$15+7*(Reprogramaciones!Q$14-1))),MIN(F151,(Reprogramaciones!$T$15+7*(Reprogramaciones!Q$14-1))+6),11))=0,0,MAX(0,NETWORKDAYS.INTL(MAX(E151,(Reprogramaciones!$T$15+7*(Reprogramaciones!Q$14-1))),MIN(F151,Reprogramaciones!Q$13),11))/MAX(0,NETWORKDAYS.INTL(MAX(E151,(Reprogramaciones!$T$15+7*(Reprogramaciones!Q$14-1))),MIN(F151,(Reprogramaciones!$T$15+7*(Reprogramaciones!Q$14-1))+6),11))))))))</f>
        <v/>
      </c>
      <c r="CA151" s="1" t="str">
        <f aca="false">IF(OR(NOT(AND(ISNUMBER(E151),ISNUMBER(F151))),$J$2=""),"",IF(Reprogramaciones!R$13&lt;Reprogramaciones!$T$15,0,IF(Reprogramaciones!R$14&gt;10,MIN(100,SUM($G151:$P151)),MIN(100,SUMPRODUCT((COLUMN($G151:$P151)-COLUMN($G151)+1&lt;Reprogramaciones!R$14)*$G151:$P151)+N(INDEX($G151:$P151,1,Reprogramaciones!R$14))*IF(Reprogramaciones!R$13&gt;=(Reprogramaciones!$T$15+7*(Reprogramaciones!R$14-1))+6,1,IF(MAX(0,NETWORKDAYS.INTL(MAX(E151,(Reprogramaciones!$T$15+7*(Reprogramaciones!R$14-1))),MIN(F151,(Reprogramaciones!$T$15+7*(Reprogramaciones!R$14-1))+6),11))=0,0,MAX(0,NETWORKDAYS.INTL(MAX(E151,(Reprogramaciones!$T$15+7*(Reprogramaciones!R$14-1))),MIN(F151,Reprogramaciones!R$13),11))/MAX(0,NETWORKDAYS.INTL(MAX(E151,(Reprogramaciones!$T$15+7*(Reprogramaciones!R$14-1))),MIN(F151,(Reprogramaciones!$T$15+7*(Reprogramaciones!R$14-1))+6),11))))))))</f>
        <v/>
      </c>
      <c r="CB151" s="1" t="str">
        <f aca="false">IF(OR(NOT(AND(ISNUMBER(E151),ISNUMBER(F151))),$J$2=""),"",IF(Reprogramaciones!S$13&lt;Reprogramaciones!$T$15,0,IF(Reprogramaciones!S$14&gt;10,MIN(100,SUM($G151:$P151)),MIN(100,SUMPRODUCT((COLUMN($G151:$P151)-COLUMN($G151)+1&lt;Reprogramaciones!S$14)*$G151:$P151)+N(INDEX($G151:$P151,1,Reprogramaciones!S$14))*IF(Reprogramaciones!S$13&gt;=(Reprogramaciones!$T$15+7*(Reprogramaciones!S$14-1))+6,1,IF(MAX(0,NETWORKDAYS.INTL(MAX(E151,(Reprogramaciones!$T$15+7*(Reprogramaciones!S$14-1))),MIN(F151,(Reprogramaciones!$T$15+7*(Reprogramaciones!S$14-1))+6),11))=0,0,MAX(0,NETWORKDAYS.INTL(MAX(E151,(Reprogramaciones!$T$15+7*(Reprogramaciones!S$14-1))),MIN(F151,Reprogramaciones!S$13),11))/MAX(0,NETWORKDAYS.INTL(MAX(E151,(Reprogramaciones!$T$15+7*(Reprogramaciones!S$14-1))),MIN(F151,(Reprogramaciones!$T$15+7*(Reprogramaciones!S$14-1))+6),11))))))))</f>
        <v/>
      </c>
      <c r="CC151" s="1" t="str">
        <f aca="false">IF(OR(NOT(AND(ISNUMBER(E151),ISNUMBER(F151))),$J$2=""),"",IF(Reprogramaciones!T$13&lt;Reprogramaciones!$T$15,0,IF(Reprogramaciones!T$14&gt;10,MIN(100,SUM($G151:$P151)),MIN(100,SUMPRODUCT((COLUMN($G151:$P151)-COLUMN($G151)+1&lt;Reprogramaciones!T$14)*$G151:$P151)+N(INDEX($G151:$P151,1,Reprogramaciones!T$14))*IF(Reprogramaciones!T$13&gt;=(Reprogramaciones!$T$15+7*(Reprogramaciones!T$14-1))+6,1,IF(MAX(0,NETWORKDAYS.INTL(MAX(E151,(Reprogramaciones!$T$15+7*(Reprogramaciones!T$14-1))),MIN(F151,(Reprogramaciones!$T$15+7*(Reprogramaciones!T$14-1))+6),11))=0,0,MAX(0,NETWORKDAYS.INTL(MAX(E151,(Reprogramaciones!$T$15+7*(Reprogramaciones!T$14-1))),MIN(F151,Reprogramaciones!T$13),11))/MAX(0,NETWORKDAYS.INTL(MAX(E151,(Reprogramaciones!$T$15+7*(Reprogramaciones!T$14-1))),MIN(F151,(Reprogramaciones!$T$15+7*(Reprogramaciones!T$14-1))+6),11))))))))</f>
        <v/>
      </c>
      <c r="CD151" s="1" t="str">
        <f aca="false">IF(OR(NOT(AND(ISNUMBER(E151),ISNUMBER(F151))),$J$2=""),"",IF(Reprogramaciones!U$13&lt;Reprogramaciones!$T$15,0,IF(Reprogramaciones!U$14&gt;10,MIN(100,SUM($G151:$P151)),MIN(100,SUMPRODUCT((COLUMN($G151:$P151)-COLUMN($G151)+1&lt;Reprogramaciones!U$14)*$G151:$P151)+N(INDEX($G151:$P151,1,Reprogramaciones!U$14))*IF(Reprogramaciones!U$13&gt;=(Reprogramaciones!$T$15+7*(Reprogramaciones!U$14-1))+6,1,IF(MAX(0,NETWORKDAYS.INTL(MAX(E151,(Reprogramaciones!$T$15+7*(Reprogramaciones!U$14-1))),MIN(F151,(Reprogramaciones!$T$15+7*(Reprogramaciones!U$14-1))+6),11))=0,0,MAX(0,NETWORKDAYS.INTL(MAX(E151,(Reprogramaciones!$T$15+7*(Reprogramaciones!U$14-1))),MIN(F151,Reprogramaciones!U$13),11))/MAX(0,NETWORKDAYS.INTL(MAX(E151,(Reprogramaciones!$T$15+7*(Reprogramaciones!U$14-1))),MIN(F151,(Reprogramaciones!$T$15+7*(Reprogramaciones!U$14-1))+6),11))))))))</f>
        <v/>
      </c>
      <c r="CE151" s="1" t="str">
        <f aca="false">IF(OR(NOT(AND(ISNUMBER(E151),ISNUMBER(F151))),$J$2=""),"",IF(Reprogramaciones!V$13&lt;Reprogramaciones!$T$15,0,IF(Reprogramaciones!V$14&gt;10,MIN(100,SUM($G151:$P151)),MIN(100,SUMPRODUCT((COLUMN($G151:$P151)-COLUMN($G151)+1&lt;Reprogramaciones!V$14)*$G151:$P151)+N(INDEX($G151:$P151,1,Reprogramaciones!V$14))*IF(Reprogramaciones!V$13&gt;=(Reprogramaciones!$T$15+7*(Reprogramaciones!V$14-1))+6,1,IF(MAX(0,NETWORKDAYS.INTL(MAX(E151,(Reprogramaciones!$T$15+7*(Reprogramaciones!V$14-1))),MIN(F151,(Reprogramaciones!$T$15+7*(Reprogramaciones!V$14-1))+6),11))=0,0,MAX(0,NETWORKDAYS.INTL(MAX(E151,(Reprogramaciones!$T$15+7*(Reprogramaciones!V$14-1))),MIN(F151,Reprogramaciones!V$13),11))/MAX(0,NETWORKDAYS.INTL(MAX(E151,(Reprogramaciones!$T$15+7*(Reprogramaciones!V$14-1))),MIN(F151,(Reprogramaciones!$T$15+7*(Reprogramaciones!V$14-1))+6),11))))))))</f>
        <v/>
      </c>
      <c r="CF151" s="1" t="str">
        <f aca="false">IF(OR(NOT(AND(ISNUMBER(E151),ISNUMBER(F151))),$J$2=""),"",IF(Reprogramaciones!W$13&lt;Reprogramaciones!$T$15,0,IF(Reprogramaciones!W$14&gt;10,MIN(100,SUM($G151:$P151)),MIN(100,SUMPRODUCT((COLUMN($G151:$P151)-COLUMN($G151)+1&lt;Reprogramaciones!W$14)*$G151:$P151)+N(INDEX($G151:$P151,1,Reprogramaciones!W$14))*IF(Reprogramaciones!W$13&gt;=(Reprogramaciones!$T$15+7*(Reprogramaciones!W$14-1))+6,1,IF(MAX(0,NETWORKDAYS.INTL(MAX(E151,(Reprogramaciones!$T$15+7*(Reprogramaciones!W$14-1))),MIN(F151,(Reprogramaciones!$T$15+7*(Reprogramaciones!W$14-1))+6),11))=0,0,MAX(0,NETWORKDAYS.INTL(MAX(E151,(Reprogramaciones!$T$15+7*(Reprogramaciones!W$14-1))),MIN(F151,Reprogramaciones!W$13),11))/MAX(0,NETWORKDAYS.INTL(MAX(E151,(Reprogramaciones!$T$15+7*(Reprogramaciones!W$14-1))),MIN(F151,(Reprogramaciones!$T$15+7*(Reprogramaciones!W$14-1))+6),11))))))))</f>
        <v/>
      </c>
      <c r="CG151" s="1" t="str">
        <f aca="false">IF(OR(NOT(AND(ISNUMBER(E151),ISNUMBER(F151))),$J$2=""),"",IF(Reprogramaciones!X$13&lt;Reprogramaciones!$T$15,0,IF(Reprogramaciones!X$14&gt;10,MIN(100,SUM($G151:$P151)),MIN(100,SUMPRODUCT((COLUMN($G151:$P151)-COLUMN($G151)+1&lt;Reprogramaciones!X$14)*$G151:$P151)+N(INDEX($G151:$P151,1,Reprogramaciones!X$14))*IF(Reprogramaciones!X$13&gt;=(Reprogramaciones!$T$15+7*(Reprogramaciones!X$14-1))+6,1,IF(MAX(0,NETWORKDAYS.INTL(MAX(E151,(Reprogramaciones!$T$15+7*(Reprogramaciones!X$14-1))),MIN(F151,(Reprogramaciones!$T$15+7*(Reprogramaciones!X$14-1))+6),11))=0,0,MAX(0,NETWORKDAYS.INTL(MAX(E151,(Reprogramaciones!$T$15+7*(Reprogramaciones!X$14-1))),MIN(F151,Reprogramaciones!X$13),11))/MAX(0,NETWORKDAYS.INTL(MAX(E151,(Reprogramaciones!$T$15+7*(Reprogramaciones!X$14-1))),MIN(F151,(Reprogramaciones!$T$15+7*(Reprogramaciones!X$14-1))+6),11))))))))</f>
        <v/>
      </c>
      <c r="CH151" s="1" t="str">
        <f aca="false">IF(OR(NOT(AND(ISNUMBER(E151),ISNUMBER(F151))),$J$2=""),"",IF(Reprogramaciones!Y$13&lt;Reprogramaciones!$T$15,0,IF(Reprogramaciones!Y$14&gt;10,MIN(100,SUM($G151:$P151)),MIN(100,SUMPRODUCT((COLUMN($G151:$P151)-COLUMN($G151)+1&lt;Reprogramaciones!Y$14)*$G151:$P151)+N(INDEX($G151:$P151,1,Reprogramaciones!Y$14))*IF(Reprogramaciones!Y$13&gt;=(Reprogramaciones!$T$15+7*(Reprogramaciones!Y$14-1))+6,1,IF(MAX(0,NETWORKDAYS.INTL(MAX(E151,(Reprogramaciones!$T$15+7*(Reprogramaciones!Y$14-1))),MIN(F151,(Reprogramaciones!$T$15+7*(Reprogramaciones!Y$14-1))+6),11))=0,0,MAX(0,NETWORKDAYS.INTL(MAX(E151,(Reprogramaciones!$T$15+7*(Reprogramaciones!Y$14-1))),MIN(F151,Reprogramaciones!Y$13),11))/MAX(0,NETWORKDAYS.INTL(MAX(E151,(Reprogramaciones!$T$15+7*(Reprogramaciones!Y$14-1))),MIN(F151,(Reprogramaciones!$T$15+7*(Reprogramaciones!Y$14-1))+6),11))))))))</f>
        <v/>
      </c>
      <c r="CI151" s="1" t="str">
        <f aca="false">IF(OR(NOT(AND(ISNUMBER(E151),ISNUMBER(F151))),$J$2=""),"",IF(Reprogramaciones!Z$13&lt;Reprogramaciones!$T$15,0,IF(Reprogramaciones!Z$14&gt;10,MIN(100,SUM($G151:$P151)),MIN(100,SUMPRODUCT((COLUMN($G151:$P151)-COLUMN($G151)+1&lt;Reprogramaciones!Z$14)*$G151:$P151)+N(INDEX($G151:$P151,1,Reprogramaciones!Z$14))*IF(Reprogramaciones!Z$13&gt;=(Reprogramaciones!$T$15+7*(Reprogramaciones!Z$14-1))+6,1,IF(MAX(0,NETWORKDAYS.INTL(MAX(E151,(Reprogramaciones!$T$15+7*(Reprogramaciones!Z$14-1))),MIN(F151,(Reprogramaciones!$T$15+7*(Reprogramaciones!Z$14-1))+6),11))=0,0,MAX(0,NETWORKDAYS.INTL(MAX(E151,(Reprogramaciones!$T$15+7*(Reprogramaciones!Z$14-1))),MIN(F151,Reprogramaciones!Z$13),11))/MAX(0,NETWORKDAYS.INTL(MAX(E151,(Reprogramaciones!$T$15+7*(Reprogramaciones!Z$14-1))),MIN(F151,(Reprogramaciones!$T$15+7*(Reprogramaciones!Z$14-1))+6),11))))))))</f>
        <v/>
      </c>
      <c r="CJ151" s="1" t="str">
        <f aca="false">IF(OR(OR(NOT(AND(ISNUMBER(E151),ISNUMBER(F151))),$J$2=""),1&gt;Reprogramaciones!$K$16),"",IF(ROUND(SUM($Q151:Q151),1)&gt;=99.5,100,MIN(100,ROUND(SUM($Q151:Q151),1))))</f>
        <v/>
      </c>
      <c r="CK151" s="1" t="str">
        <f aca="false">IF(OR(OR(NOT(AND(ISNUMBER(E151),ISNUMBER(F151))),$J$2=""),2&gt;Reprogramaciones!$K$16),"",IF(ROUND(SUM($Q151:R151),1)&gt;=99.5,100,MIN(100,ROUND(SUM($Q151:R151),1))))</f>
        <v/>
      </c>
      <c r="CL151" s="1" t="str">
        <f aca="false">IF(OR(OR(NOT(AND(ISNUMBER(E151),ISNUMBER(F151))),$J$2=""),3&gt;Reprogramaciones!$K$16),"",IF(ROUND(SUM($Q151:S151),1)&gt;=99.5,100,MIN(100,ROUND(SUM($Q151:S151),1))))</f>
        <v/>
      </c>
      <c r="CM151" s="1" t="str">
        <f aca="false">IF(OR(OR(NOT(AND(ISNUMBER(E151),ISNUMBER(F151))),$J$2=""),4&gt;Reprogramaciones!$K$16),"",IF(ROUND(SUM($Q151:T151),1)&gt;=99.5,100,MIN(100,ROUND(SUM($Q151:T151),1))))</f>
        <v/>
      </c>
      <c r="CN151" s="1" t="str">
        <f aca="false">IF(OR(OR(NOT(AND(ISNUMBER(E151),ISNUMBER(F151))),$J$2=""),5&gt;Reprogramaciones!$K$16),"",IF(ROUND(SUM($Q151:U151),1)&gt;=99.5,100,MIN(100,ROUND(SUM($Q151:U151),1))))</f>
        <v/>
      </c>
      <c r="CO151" s="1" t="str">
        <f aca="false">IF(OR(OR(NOT(AND(ISNUMBER(E151),ISNUMBER(F151))),$J$2=""),6&gt;Reprogramaciones!$K$16),"",IF(ROUND(SUM($Q151:V151),1)&gt;=99.5,100,MIN(100,ROUND(SUM($Q151:V151),1))))</f>
        <v/>
      </c>
      <c r="CP151" s="1" t="str">
        <f aca="false">IF(OR(OR(NOT(AND(ISNUMBER(E151),ISNUMBER(F151))),$J$2=""),7&gt;Reprogramaciones!$K$16),"",IF(ROUND(SUM($Q151:W151),1)&gt;=99.5,100,MIN(100,ROUND(SUM($Q151:W151),1))))</f>
        <v/>
      </c>
      <c r="CQ151" s="1" t="str">
        <f aca="false">IF(OR(OR(NOT(AND(ISNUMBER(E151),ISNUMBER(F151))),$J$2=""),8&gt;Reprogramaciones!$K$16),"",IF(ROUND(SUM($Q151:X151),1)&gt;=99.5,100,MIN(100,ROUND(SUM($Q151:X151),1))))</f>
        <v/>
      </c>
      <c r="CR151" s="1" t="str">
        <f aca="false">IF(OR(OR(NOT(AND(ISNUMBER(E151),ISNUMBER(F151))),$J$2=""),9&gt;Reprogramaciones!$K$16),"",IF(ROUND(SUM($Q151:Y151),1)&gt;=99.5,100,MIN(100,ROUND(SUM($Q151:Y151),1))))</f>
        <v/>
      </c>
      <c r="CS151" s="1" t="str">
        <f aca="false">IF(OR(OR(NOT(AND(ISNUMBER(E151),ISNUMBER(F151))),$J$2=""),10&gt;Reprogramaciones!$K$16),"",IF(ROUND(SUM($Q151:Z151),1)&gt;=99.5,100,MIN(100,ROUND(SUM($Q151:Z151),1))))</f>
        <v/>
      </c>
      <c r="CT151" s="1" t="str">
        <f aca="false">IF(OR(OR(NOT(AND(ISNUMBER(E151),ISNUMBER(F151))),$J$2=""),11&gt;Reprogramaciones!$K$16),"",IF(ROUND(SUM($Q151:AA151),1)&gt;=99.5,100,MIN(100,ROUND(SUM($Q151:AA151),1))))</f>
        <v/>
      </c>
      <c r="CU151" s="1" t="str">
        <f aca="false">IF(OR(OR(NOT(AND(ISNUMBER(E151),ISNUMBER(F151))),$J$2=""),12&gt;Reprogramaciones!$K$16),"",IF(ROUND(SUM($Q151:AB151),1)&gt;=99.5,100,MIN(100,ROUND(SUM($Q151:AB151),1))))</f>
        <v/>
      </c>
      <c r="CV151" s="1" t="str">
        <f aca="false">IF(OR(OR(NOT(AND(ISNUMBER(E151),ISNUMBER(F151))),$J$2=""),13&gt;Reprogramaciones!$K$16),"",IF(ROUND(SUM($Q151:AC151),1)&gt;=99.5,100,MIN(100,ROUND(SUM($Q151:AC151),1))))</f>
        <v/>
      </c>
      <c r="CW151" s="1" t="str">
        <f aca="false">IF(OR(OR(NOT(AND(ISNUMBER(E151),ISNUMBER(F151))),$J$2=""),14&gt;Reprogramaciones!$K$16),"",IF(ROUND(SUM($Q151:AD151),1)&gt;=99.5,100,MIN(100,ROUND(SUM($Q151:AD151),1))))</f>
        <v/>
      </c>
      <c r="CX151" s="1" t="str">
        <f aca="false">IF(OR(OR(NOT(AND(ISNUMBER(E151),ISNUMBER(F151))),$J$2=""),15&gt;Reprogramaciones!$K$16),"",IF(ROUND(SUM($Q151:AE151),1)&gt;=99.5,100,MIN(100,ROUND(SUM($Q151:AE151),1))))</f>
        <v/>
      </c>
      <c r="CY151" s="1" t="str">
        <f aca="false">IF(OR(OR(NOT(AND(ISNUMBER(E151),ISNUMBER(F151))),$J$2=""),16&gt;Reprogramaciones!$K$16),"",IF(ROUND(SUM($Q151:AF151),1)&gt;=99.5,100,MIN(100,ROUND(SUM($Q151:AF151),1))))</f>
        <v/>
      </c>
      <c r="CZ151" s="1" t="str">
        <f aca="false">IF(D151&lt;&gt;"",D151,IF(B151&lt;&gt;"","Contractual",CZ150))</f>
        <v>Contractual</v>
      </c>
      <c r="DA151" s="1" t="str">
        <f aca="false">IF(OR(NOT(AND(ISNUMBER(E151),ISNUMBER(F151))),$J$2=""),"",IF(Reprogramaciones!$Q$15&lt;Reprogramaciones!$T$15,0,IF(Reprogramaciones!$S$15&gt;10,MIN(100,SUM($G151:$P151)),MIN(100,SUMPRODUCT((COLUMN($G151:$P151)-COLUMN($G151)+1&lt;Reprogramaciones!$S$15)*$G151:$P151)+N(INDEX($G151:$P151,1,Reprogramaciones!$S$15))*IF(Reprogramaciones!$Q$15&gt;=(Reprogramaciones!$T$15+7*(Reprogramaciones!$S$15-1))+6,1,IF(MAX(0,NETWORKDAYS.INTL(MAX(E151,(Reprogramaciones!$T$15+7*(Reprogramaciones!$S$15-1))),MIN(F151,(Reprogramaciones!$T$15+7*(Reprogramaciones!$S$15-1))+6),11))=0,0,MAX(0,NETWORKDAYS.INTL(MAX(E151,(Reprogramaciones!$T$15+7*(Reprogramaciones!$S$15-1))),MIN(F151,Reprogramaciones!$Q$15),11))/MAX(0,NETWORKDAYS.INTL(MAX(E151,(Reprogramaciones!$T$15+7*(Reprogramaciones!$S$15-1))),MIN(F151,(Reprogramaciones!$T$15+7*(Reprogramaciones!$S$15-1))+6),11))))))))</f>
        <v/>
      </c>
    </row>
    <row r="152" customFormat="false" ht="15" hidden="false" customHeight="false" outlineLevel="0" collapsed="false">
      <c r="A152" s="32"/>
      <c r="B152" s="33"/>
      <c r="C152" s="33"/>
      <c r="D152" s="34"/>
      <c r="E152" s="35"/>
      <c r="F152" s="35"/>
      <c r="G152" s="36" t="str">
        <f aca="false">IF(OR(NOT(AND(ISNUMBER(E152),ISNUMBER(F152))),$J$2=""),"",IF(Reprogramaciones!K$9&lt;E152,0,IF(NETWORKDAYS.INTL(E152,F152,11)=0,IF(Reprogramaciones!K$9&gt;=F152,100,0),ROUND(NETWORKDAYS.INTL(E152,MIN(F152,Reprogramaciones!K$9),11)/NETWORKDAYS.INTL(E152,F152,11)*100,1)))-0)</f>
        <v/>
      </c>
      <c r="H152" s="36" t="str">
        <f aca="false">IF(OR(NOT(AND(ISNUMBER(E152),ISNUMBER(F152))),$J$2=""),"",IF(Reprogramaciones!L$9&lt;E152,0,IF(NETWORKDAYS.INTL(E152,F152,11)=0,IF(Reprogramaciones!L$9&gt;=F152,100,0),ROUND(NETWORKDAYS.INTL(E152,MIN(F152,Reprogramaciones!L$9),11)/NETWORKDAYS.INTL(E152,F152,11)*100,1)))-IF(Reprogramaciones!K$9&lt;E152,0,IF(NETWORKDAYS.INTL(E152,F152,11)=0,IF(Reprogramaciones!K$9&gt;=F152,100,0),ROUND(NETWORKDAYS.INTL(E152,MIN(F152,Reprogramaciones!K$9),11)/NETWORKDAYS.INTL(E152,F152,11)*100,1))))</f>
        <v/>
      </c>
      <c r="I152" s="36" t="str">
        <f aca="false">IF(OR(NOT(AND(ISNUMBER(E152),ISNUMBER(F152))),$J$2=""),"",IF(Reprogramaciones!M$9&lt;E152,0,IF(NETWORKDAYS.INTL(E152,F152,11)=0,IF(Reprogramaciones!M$9&gt;=F152,100,0),ROUND(NETWORKDAYS.INTL(E152,MIN(F152,Reprogramaciones!M$9),11)/NETWORKDAYS.INTL(E152,F152,11)*100,1)))-IF(Reprogramaciones!L$9&lt;E152,0,IF(NETWORKDAYS.INTL(E152,F152,11)=0,IF(Reprogramaciones!L$9&gt;=F152,100,0),ROUND(NETWORKDAYS.INTL(E152,MIN(F152,Reprogramaciones!L$9),11)/NETWORKDAYS.INTL(E152,F152,11)*100,1))))</f>
        <v/>
      </c>
      <c r="J152" s="36" t="str">
        <f aca="false">IF(OR(NOT(AND(ISNUMBER(E152),ISNUMBER(F152))),$J$2=""),"",IF(Reprogramaciones!N$9&lt;E152,0,IF(NETWORKDAYS.INTL(E152,F152,11)=0,IF(Reprogramaciones!N$9&gt;=F152,100,0),ROUND(NETWORKDAYS.INTL(E152,MIN(F152,Reprogramaciones!N$9),11)/NETWORKDAYS.INTL(E152,F152,11)*100,1)))-IF(Reprogramaciones!M$9&lt;E152,0,IF(NETWORKDAYS.INTL(E152,F152,11)=0,IF(Reprogramaciones!M$9&gt;=F152,100,0),ROUND(NETWORKDAYS.INTL(E152,MIN(F152,Reprogramaciones!M$9),11)/NETWORKDAYS.INTL(E152,F152,11)*100,1))))</f>
        <v/>
      </c>
      <c r="K152" s="36" t="str">
        <f aca="false">IF(OR(NOT(AND(ISNUMBER(E152),ISNUMBER(F152))),$J$2=""),"",IF(Reprogramaciones!O$9&lt;E152,0,IF(NETWORKDAYS.INTL(E152,F152,11)=0,IF(Reprogramaciones!O$9&gt;=F152,100,0),ROUND(NETWORKDAYS.INTL(E152,MIN(F152,Reprogramaciones!O$9),11)/NETWORKDAYS.INTL(E152,F152,11)*100,1)))-IF(Reprogramaciones!N$9&lt;E152,0,IF(NETWORKDAYS.INTL(E152,F152,11)=0,IF(Reprogramaciones!N$9&gt;=F152,100,0),ROUND(NETWORKDAYS.INTL(E152,MIN(F152,Reprogramaciones!N$9),11)/NETWORKDAYS.INTL(E152,F152,11)*100,1))))</f>
        <v/>
      </c>
      <c r="L152" s="36" t="str">
        <f aca="false">IF(OR(NOT(AND(ISNUMBER(E152),ISNUMBER(F152))),$J$2=""),"",IF(Reprogramaciones!P$9&lt;E152,0,IF(NETWORKDAYS.INTL(E152,F152,11)=0,IF(Reprogramaciones!P$9&gt;=F152,100,0),ROUND(NETWORKDAYS.INTL(E152,MIN(F152,Reprogramaciones!P$9),11)/NETWORKDAYS.INTL(E152,F152,11)*100,1)))-IF(Reprogramaciones!O$9&lt;E152,0,IF(NETWORKDAYS.INTL(E152,F152,11)=0,IF(Reprogramaciones!O$9&gt;=F152,100,0),ROUND(NETWORKDAYS.INTL(E152,MIN(F152,Reprogramaciones!O$9),11)/NETWORKDAYS.INTL(E152,F152,11)*100,1))))</f>
        <v/>
      </c>
      <c r="M152" s="36" t="str">
        <f aca="false">IF(OR(NOT(AND(ISNUMBER(E152),ISNUMBER(F152))),$J$2=""),"",IF(Reprogramaciones!Q$9&lt;E152,0,IF(NETWORKDAYS.INTL(E152,F152,11)=0,IF(Reprogramaciones!Q$9&gt;=F152,100,0),ROUND(NETWORKDAYS.INTL(E152,MIN(F152,Reprogramaciones!Q$9),11)/NETWORKDAYS.INTL(E152,F152,11)*100,1)))-IF(Reprogramaciones!P$9&lt;E152,0,IF(NETWORKDAYS.INTL(E152,F152,11)=0,IF(Reprogramaciones!P$9&gt;=F152,100,0),ROUND(NETWORKDAYS.INTL(E152,MIN(F152,Reprogramaciones!P$9),11)/NETWORKDAYS.INTL(E152,F152,11)*100,1))))</f>
        <v/>
      </c>
      <c r="N152" s="36" t="str">
        <f aca="false">IF(OR(NOT(AND(ISNUMBER(E152),ISNUMBER(F152))),$J$2=""),"",IF(Reprogramaciones!R$9&lt;E152,0,IF(NETWORKDAYS.INTL(E152,F152,11)=0,IF(Reprogramaciones!R$9&gt;=F152,100,0),ROUND(NETWORKDAYS.INTL(E152,MIN(F152,Reprogramaciones!R$9),11)/NETWORKDAYS.INTL(E152,F152,11)*100,1)))-IF(Reprogramaciones!Q$9&lt;E152,0,IF(NETWORKDAYS.INTL(E152,F152,11)=0,IF(Reprogramaciones!Q$9&gt;=F152,100,0),ROUND(NETWORKDAYS.INTL(E152,MIN(F152,Reprogramaciones!Q$9),11)/NETWORKDAYS.INTL(E152,F152,11)*100,1))))</f>
        <v/>
      </c>
      <c r="O152" s="36" t="str">
        <f aca="false">IF(OR(NOT(AND(ISNUMBER(E152),ISNUMBER(F152))),$J$2=""),"",IF(Reprogramaciones!S$9&lt;E152,0,IF(NETWORKDAYS.INTL(E152,F152,11)=0,IF(Reprogramaciones!S$9&gt;=F152,100,0),ROUND(NETWORKDAYS.INTL(E152,MIN(F152,Reprogramaciones!S$9),11)/NETWORKDAYS.INTL(E152,F152,11)*100,1)))-IF(Reprogramaciones!R$9&lt;E152,0,IF(NETWORKDAYS.INTL(E152,F152,11)=0,IF(Reprogramaciones!R$9&gt;=F152,100,0),ROUND(NETWORKDAYS.INTL(E152,MIN(F152,Reprogramaciones!R$9),11)/NETWORKDAYS.INTL(E152,F152,11)*100,1))))</f>
        <v/>
      </c>
      <c r="P152" s="36" t="str">
        <f aca="false">IF(OR(NOT(AND(ISNUMBER(E152),ISNUMBER(F152))),$J$2=""),"",IF(Reprogramaciones!T$9&lt;E152,0,IF(NETWORKDAYS.INTL(E152,F152,11)=0,IF(Reprogramaciones!T$9&gt;=F152,100,0),ROUND(NETWORKDAYS.INTL(E152,MIN(F152,Reprogramaciones!T$9),11)/NETWORKDAYS.INTL(E152,F152,11)*100,1)))-IF(Reprogramaciones!S$9&lt;E152,0,IF(NETWORKDAYS.INTL(E152,F152,11)=0,IF(Reprogramaciones!S$9&gt;=F152,100,0),ROUND(NETWORKDAYS.INTL(E152,MIN(F152,Reprogramaciones!S$9),11)/NETWORKDAYS.INTL(E152,F152,11)*100,1))))</f>
        <v/>
      </c>
      <c r="Q152" s="37"/>
      <c r="R152" s="37"/>
      <c r="S152" s="37"/>
      <c r="T152" s="37"/>
      <c r="U152" s="37"/>
      <c r="V152" s="37"/>
      <c r="W152" s="37"/>
      <c r="X152" s="37"/>
      <c r="Y152" s="37"/>
      <c r="Z152" s="37"/>
      <c r="AA152" s="37"/>
      <c r="AB152" s="37"/>
      <c r="AC152" s="37"/>
      <c r="AD152" s="37"/>
      <c r="AE152" s="37"/>
      <c r="AF152" s="37"/>
      <c r="AG152" s="38" t="str">
        <f aca="false">IF(AND(ISNUMBER(E152),ISNUMBER(F152)),NETWORKDAYS.INTL(E152,F152,11),"")</f>
        <v/>
      </c>
      <c r="AH152" s="38" t="str">
        <f aca="false">IF(OR(NOT(AND(ISNUMBER(E152),ISNUMBER(F152))),$J$2=""),"",IF(Reprogramaciones!$P$15&lt;Reprogramaciones!$T$15,0,IF(Reprogramaciones!$R$15&gt;10,MIN(100,SUM($G152:$P152)),MIN(100,SUMPRODUCT((COLUMN($G152:$P152)-COLUMN($G152)+1&lt;Reprogramaciones!$R$15)*$G152:$P152)+N(INDEX($G152:$P152,1,Reprogramaciones!$R$15))*IF(Reprogramaciones!$P$15&gt;=(Reprogramaciones!$T$15+7*(Reprogramaciones!$R$15-1))+6,1,IF(MAX(0,NETWORKDAYS.INTL(MAX(E152,(Reprogramaciones!$T$15+7*(Reprogramaciones!$R$15-1))),MIN(F152,(Reprogramaciones!$T$15+7*(Reprogramaciones!$R$15-1))+6),11))=0,0,MAX(0,NETWORKDAYS.INTL(MAX(E152,(Reprogramaciones!$T$15+7*(Reprogramaciones!$R$15-1))),MIN(F152,Reprogramaciones!$P$15),11))/MAX(0,NETWORKDAYS.INTL(MAX(E152,(Reprogramaciones!$T$15+7*(Reprogramaciones!$R$15-1))),MIN(F152,(Reprogramaciones!$T$15+7*(Reprogramaciones!$R$15-1))+6),11))))))))</f>
        <v/>
      </c>
      <c r="AI152" s="38" t="str">
        <f aca="false">IF(COUNT($Q152:$AF152)=0,"",IF(ROUND(SUM($Q152:$AF152),1)&gt;=99.5,100,MIN(100,ROUND(SUM($Q152:$AF152),1))))</f>
        <v/>
      </c>
      <c r="AJ152" s="38" t="str">
        <f aca="false">IF(OR(AH152="",AI152=""),"",AI152-AH152)</f>
        <v/>
      </c>
      <c r="AK152" s="39" t="str">
        <f aca="true">IF(AH152="","",IF(OR(Ficha!$C$10="Suspendida",Ficha!$C$10="Cancelada"),Ficha!$C$10,IF(AND(AI152&lt;&gt;"",N(AI152)&gt;=100),"Completada",IF(AND(E152&gt;TODAY(),N(AI152)=0),"Por iniciar",IF(N(AI152)+0.5&lt;AH152,"Retrasada",IF(N(AI152)+0.5&lt;DA152,IF(Reprogramaciones!$K$15&gt;0,"Al día · Sem "&amp;Reprogramaciones!$K$15&amp;" en curso","Al día · en curso"),"A tiempo"))))))</f>
        <v/>
      </c>
      <c r="AL152" s="39" t="str">
        <f aca="true">IF(AND(A152="",AND(B152="",C152="",E152="",F152="",COUNT(Q152:AF152)=0)),"",IF(AND(B152="",C152="",E152="",F152="",COUNT(Q152:AF152)=0),"Falta la partida o subpartida",IF(AND(A152&lt;&gt;"",COUNTIF($A$6:$A$305,A152)&gt;1),"Ítem repetido",IF(AND(C152="",E152="",F152="",COUNT(Q152:AF152)=0),"Título de partida",IF(OR(E152="",F152=""),"Faltan fechas",IF(OR(ISTEXT(E152),ISTEXT(F152)),"Fecha escrita como texto: usa dd/mm/aaaa",IF(F152&lt;E152,"Fin antes del inicio",IF(IF($J$2="",FALSE(),OR(E152&lt;$J$2,F152&gt;Reprogramaciones!$T$15+69)),"Fuera de las 10 semanas",IF(ABS(SUM(G152:P152)-100)&gt;0.5,"La meta no suma 100%",IF(ROUND(SUM(Q152:AF152),1)&gt;100.5,"El avance pasa de 100%",IF(MIN(Q152:AF152)&lt;0,"Avance negativo",IF(COUNTA(Q152:AF152)&gt;COUNT(Q152:AF152),"Avance escrito como texto",IF(SUMPRODUCT((Q152:AF152&gt;0)*(Q152:AF152&lt;1))&gt;0,"Avance menor a 1: escribe 50, no 50%",IF(SUMPRODUCT(ISNUMBER(Q152:AF152)*(Reprogramaciones!$K$8:$Z$8&gt;TODAY()))&gt;0,"Avance en semana que aún no llega",IF(AND(N(Reprogramaciones!$E$21)&gt;0,F152&gt;Reprogramaciones!$E$21),"Pasa el fin de la obra: registra una reprogramación",IF(AND(N(Reprogramaciones!$E$21)&gt;0,SUMPRODUCT(ISNUMBER(Q152:AF152)*(Reprogramaciones!$K$8:$Z$8&gt;Reprogramaciones!$E$21))&gt;0),"Avance después del fin de la obra: registra una reprogramación por atraso","OK"))))))))))))))))</f>
        <v/>
      </c>
      <c r="AM152" s="40" t="str">
        <f aca="false">IF(OR(OR(NOT(AND(ISNUMBER(E152),ISNUMBER(F152))),$J$2=""),1&gt;MAX(1,Reprogramaciones!$U$15)),"",IF(Reprogramaciones!K$12&gt;=7,"",IF(OR(BT152-N(0)&gt;0.05,N(Q152)&gt;0),ROUNDDOWN(ROUND(BT152,6),0)&amp;"%"&amp;IF(CJ152="",""," / "&amp;CJ152&amp;"%"),IF(AND(N(0)&gt;=99.95,CJ152&lt;&gt;"",N(CJ152)&lt;100),"Pend. "&amp;CJ152&amp;"%",""))))</f>
        <v/>
      </c>
      <c r="AN152" s="40" t="str">
        <f aca="false">IF(OR(OR(NOT(AND(ISNUMBER(E152),ISNUMBER(F152))),$J$2=""),2&gt;MAX(1,Reprogramaciones!$U$15)),"",IF(Reprogramaciones!L$12&gt;=7,"",IF(OR(BU152-N(BT152)&gt;0.05,N(R152)&gt;0),ROUNDDOWN(ROUND(BU152,6),0)&amp;"%"&amp;IF(CK152="",""," / "&amp;CK152&amp;"%"),IF(AND(N(BT152)&gt;=99.95,CK152&lt;&gt;"",N(CK152)&lt;100),"Pend. "&amp;CK152&amp;"%",""))))</f>
        <v/>
      </c>
      <c r="AO152" s="40" t="str">
        <f aca="false">IF(OR(OR(NOT(AND(ISNUMBER(E152),ISNUMBER(F152))),$J$2=""),3&gt;MAX(1,Reprogramaciones!$U$15)),"",IF(Reprogramaciones!M$12&gt;=7,"",IF(OR(BV152-N(BU152)&gt;0.05,N(S152)&gt;0),ROUNDDOWN(ROUND(BV152,6),0)&amp;"%"&amp;IF(CL152="",""," / "&amp;CL152&amp;"%"),IF(AND(N(BU152)&gt;=99.95,CL152&lt;&gt;"",N(CL152)&lt;100),"Pend. "&amp;CL152&amp;"%",""))))</f>
        <v/>
      </c>
      <c r="AP152" s="40" t="str">
        <f aca="false">IF(OR(OR(NOT(AND(ISNUMBER(E152),ISNUMBER(F152))),$J$2=""),4&gt;MAX(1,Reprogramaciones!$U$15)),"",IF(Reprogramaciones!N$12&gt;=7,"",IF(OR(BW152-N(BV152)&gt;0.05,N(T152)&gt;0),ROUNDDOWN(ROUND(BW152,6),0)&amp;"%"&amp;IF(CM152="",""," / "&amp;CM152&amp;"%"),IF(AND(N(BV152)&gt;=99.95,CM152&lt;&gt;"",N(CM152)&lt;100),"Pend. "&amp;CM152&amp;"%",""))))</f>
        <v/>
      </c>
      <c r="AQ152" s="40" t="str">
        <f aca="false">IF(OR(OR(NOT(AND(ISNUMBER(E152),ISNUMBER(F152))),$J$2=""),5&gt;MAX(1,Reprogramaciones!$U$15)),"",IF(Reprogramaciones!O$12&gt;=7,"",IF(OR(BX152-N(BW152)&gt;0.05,N(U152)&gt;0),ROUNDDOWN(ROUND(BX152,6),0)&amp;"%"&amp;IF(CN152="",""," / "&amp;CN152&amp;"%"),IF(AND(N(BW152)&gt;=99.95,CN152&lt;&gt;"",N(CN152)&lt;100),"Pend. "&amp;CN152&amp;"%",""))))</f>
        <v/>
      </c>
      <c r="AR152" s="40" t="str">
        <f aca="false">IF(OR(OR(NOT(AND(ISNUMBER(E152),ISNUMBER(F152))),$J$2=""),6&gt;MAX(1,Reprogramaciones!$U$15)),"",IF(Reprogramaciones!P$12&gt;=7,"",IF(OR(BY152-N(BX152)&gt;0.05,N(V152)&gt;0),ROUNDDOWN(ROUND(BY152,6),0)&amp;"%"&amp;IF(CO152="",""," / "&amp;CO152&amp;"%"),IF(AND(N(BX152)&gt;=99.95,CO152&lt;&gt;"",N(CO152)&lt;100),"Pend. "&amp;CO152&amp;"%",""))))</f>
        <v/>
      </c>
      <c r="AS152" s="40" t="str">
        <f aca="false">IF(OR(OR(NOT(AND(ISNUMBER(E152),ISNUMBER(F152))),$J$2=""),7&gt;MAX(1,Reprogramaciones!$U$15)),"",IF(Reprogramaciones!Q$12&gt;=7,"",IF(OR(BZ152-N(BY152)&gt;0.05,N(W152)&gt;0),ROUNDDOWN(ROUND(BZ152,6),0)&amp;"%"&amp;IF(CP152="",""," / "&amp;CP152&amp;"%"),IF(AND(N(BY152)&gt;=99.95,CP152&lt;&gt;"",N(CP152)&lt;100),"Pend. "&amp;CP152&amp;"%",""))))</f>
        <v/>
      </c>
      <c r="AT152" s="40" t="str">
        <f aca="false">IF(OR(OR(NOT(AND(ISNUMBER(E152),ISNUMBER(F152))),$J$2=""),8&gt;MAX(1,Reprogramaciones!$U$15)),"",IF(Reprogramaciones!R$12&gt;=7,"",IF(OR(CA152-N(BZ152)&gt;0.05,N(X152)&gt;0),ROUNDDOWN(ROUND(CA152,6),0)&amp;"%"&amp;IF(CQ152="",""," / "&amp;CQ152&amp;"%"),IF(AND(N(BZ152)&gt;=99.95,CQ152&lt;&gt;"",N(CQ152)&lt;100),"Pend. "&amp;CQ152&amp;"%",""))))</f>
        <v/>
      </c>
      <c r="AU152" s="40" t="str">
        <f aca="false">IF(OR(OR(NOT(AND(ISNUMBER(E152),ISNUMBER(F152))),$J$2=""),9&gt;MAX(1,Reprogramaciones!$U$15)),"",IF(Reprogramaciones!S$12&gt;=7,"",IF(OR(CB152-N(CA152)&gt;0.05,N(Y152)&gt;0),ROUNDDOWN(ROUND(CB152,6),0)&amp;"%"&amp;IF(CR152="",""," / "&amp;CR152&amp;"%"),IF(AND(N(CA152)&gt;=99.95,CR152&lt;&gt;"",N(CR152)&lt;100),"Pend. "&amp;CR152&amp;"%",""))))</f>
        <v/>
      </c>
      <c r="AV152" s="40" t="str">
        <f aca="false">IF(OR(OR(NOT(AND(ISNUMBER(E152),ISNUMBER(F152))),$J$2=""),10&gt;MAX(1,Reprogramaciones!$U$15)),"",IF(Reprogramaciones!T$12&gt;=7,"",IF(OR(CC152-N(CB152)&gt;0.05,N(Z152)&gt;0),ROUNDDOWN(ROUND(CC152,6),0)&amp;"%"&amp;IF(CS152="",""," / "&amp;CS152&amp;"%"),IF(AND(N(CB152)&gt;=99.95,CS152&lt;&gt;"",N(CS152)&lt;100),"Pend. "&amp;CS152&amp;"%",""))))</f>
        <v/>
      </c>
      <c r="AW152" s="40" t="str">
        <f aca="false">IF(OR(OR(NOT(AND(ISNUMBER(E152),ISNUMBER(F152))),$J$2=""),11&gt;MAX(1,Reprogramaciones!$U$15)),"",IF(Reprogramaciones!U$12&gt;=7,"",IF(OR(CD152-N(CC152)&gt;0.05,N(AA152)&gt;0),ROUNDDOWN(ROUND(CD152,6),0)&amp;"%"&amp;IF(CT152="",""," / "&amp;CT152&amp;"%"),IF(AND(N(CC152)&gt;=99.95,CT152&lt;&gt;"",N(CT152)&lt;100),"Pend. "&amp;CT152&amp;"%",""))))</f>
        <v/>
      </c>
      <c r="AX152" s="40" t="str">
        <f aca="false">IF(OR(OR(NOT(AND(ISNUMBER(E152),ISNUMBER(F152))),$J$2=""),12&gt;MAX(1,Reprogramaciones!$U$15)),"",IF(Reprogramaciones!V$12&gt;=7,"",IF(OR(CE152-N(CD152)&gt;0.05,N(AB152)&gt;0),ROUNDDOWN(ROUND(CE152,6),0)&amp;"%"&amp;IF(CU152="",""," / "&amp;CU152&amp;"%"),IF(AND(N(CD152)&gt;=99.95,CU152&lt;&gt;"",N(CU152)&lt;100),"Pend. "&amp;CU152&amp;"%",""))))</f>
        <v/>
      </c>
      <c r="AY152" s="40" t="str">
        <f aca="false">IF(OR(OR(NOT(AND(ISNUMBER(E152),ISNUMBER(F152))),$J$2=""),13&gt;MAX(1,Reprogramaciones!$U$15)),"",IF(Reprogramaciones!W$12&gt;=7,"",IF(OR(CF152-N(CE152)&gt;0.05,N(AC152)&gt;0),ROUNDDOWN(ROUND(CF152,6),0)&amp;"%"&amp;IF(CV152="",""," / "&amp;CV152&amp;"%"),IF(AND(N(CE152)&gt;=99.95,CV152&lt;&gt;"",N(CV152)&lt;100),"Pend. "&amp;CV152&amp;"%",""))))</f>
        <v/>
      </c>
      <c r="AZ152" s="40" t="str">
        <f aca="false">IF(OR(OR(NOT(AND(ISNUMBER(E152),ISNUMBER(F152))),$J$2=""),14&gt;MAX(1,Reprogramaciones!$U$15)),"",IF(Reprogramaciones!X$12&gt;=7,"",IF(OR(CG152-N(CF152)&gt;0.05,N(AD152)&gt;0),ROUNDDOWN(ROUND(CG152,6),0)&amp;"%"&amp;IF(CW152="",""," / "&amp;CW152&amp;"%"),IF(AND(N(CF152)&gt;=99.95,CW152&lt;&gt;"",N(CW152)&lt;100),"Pend. "&amp;CW152&amp;"%",""))))</f>
        <v/>
      </c>
      <c r="BA152" s="40" t="str">
        <f aca="false">IF(OR(OR(NOT(AND(ISNUMBER(E152),ISNUMBER(F152))),$J$2=""),15&gt;MAX(1,Reprogramaciones!$U$15)),"",IF(Reprogramaciones!Y$12&gt;=7,"",IF(OR(CH152-N(CG152)&gt;0.05,N(AE152)&gt;0),ROUNDDOWN(ROUND(CH152,6),0)&amp;"%"&amp;IF(CX152="",""," / "&amp;CX152&amp;"%"),IF(AND(N(CG152)&gt;=99.95,CX152&lt;&gt;"",N(CX152)&lt;100),"Pend. "&amp;CX152&amp;"%",""))))</f>
        <v/>
      </c>
      <c r="BB152" s="40" t="str">
        <f aca="false">IF(OR(OR(NOT(AND(ISNUMBER(E152),ISNUMBER(F152))),$J$2=""),16&gt;MAX(1,Reprogramaciones!$U$15)),"",IF(Reprogramaciones!Z$12&gt;=7,"",IF(OR(CI152-N(CH152)&gt;0.05,N(AF152)&gt;0),ROUNDDOWN(ROUND(CI152,6),0)&amp;"%"&amp;IF(CY152="",""," / "&amp;CY152&amp;"%"),IF(AND(N(CH152)&gt;=99.95,CY152&lt;&gt;"",N(CY152)&lt;100),"Pend. "&amp;CY152&amp;"%",""))))</f>
        <v/>
      </c>
      <c r="BC152" s="31" t="n">
        <f aca="false">IF(AND(ISNUMBER(E152),ISNUMBER(F152)),MAX(1,NETWORKDAYS.INTL(E152,F152,11)),0)</f>
        <v>0</v>
      </c>
      <c r="BD152" s="1" t="str">
        <f aca="false">IF(OR(NOT(AND(ISNUMBER(E152),ISNUMBER(F152))),$J$2=""),"",MIN(100,ROUND(SUM($G152:G152),1)))</f>
        <v/>
      </c>
      <c r="BE152" s="1" t="str">
        <f aca="false">IF(OR(NOT(AND(ISNUMBER(E152),ISNUMBER(F152))),$J$2=""),"",MIN(100,ROUND(SUM($G152:H152),1)))</f>
        <v/>
      </c>
      <c r="BF152" s="1" t="str">
        <f aca="false">IF(OR(NOT(AND(ISNUMBER(E152),ISNUMBER(F152))),$J$2=""),"",MIN(100,ROUND(SUM($G152:I152),1)))</f>
        <v/>
      </c>
      <c r="BG152" s="1" t="str">
        <f aca="false">IF(OR(NOT(AND(ISNUMBER(E152),ISNUMBER(F152))),$J$2=""),"",MIN(100,ROUND(SUM($G152:J152),1)))</f>
        <v/>
      </c>
      <c r="BH152" s="1" t="str">
        <f aca="false">IF(OR(NOT(AND(ISNUMBER(E152),ISNUMBER(F152))),$J$2=""),"",MIN(100,ROUND(SUM($G152:K152),1)))</f>
        <v/>
      </c>
      <c r="BI152" s="1" t="str">
        <f aca="false">IF(OR(NOT(AND(ISNUMBER(E152),ISNUMBER(F152))),$J$2=""),"",MIN(100,ROUND(SUM($G152:L152),1)))</f>
        <v/>
      </c>
      <c r="BJ152" s="1" t="str">
        <f aca="false">IF(OR(NOT(AND(ISNUMBER(E152),ISNUMBER(F152))),$J$2=""),"",MIN(100,ROUND(SUM($G152:M152),1)))</f>
        <v/>
      </c>
      <c r="BK152" s="1" t="str">
        <f aca="false">IF(OR(NOT(AND(ISNUMBER(E152),ISNUMBER(F152))),$J$2=""),"",MIN(100,ROUND(SUM($G152:N152),1)))</f>
        <v/>
      </c>
      <c r="BL152" s="1" t="str">
        <f aca="false">IF(OR(NOT(AND(ISNUMBER(E152),ISNUMBER(F152))),$J$2=""),"",MIN(100,ROUND(SUM($G152:O152),1)))</f>
        <v/>
      </c>
      <c r="BM152" s="1" t="str">
        <f aca="false">IF(OR(NOT(AND(ISNUMBER(E152),ISNUMBER(F152))),$J$2=""),"",MIN(100,ROUND(SUM($G152:P152),1)))</f>
        <v/>
      </c>
      <c r="BN152" s="1" t="str">
        <f aca="false">IF(OR(NOT(AND(ISNUMBER(E152),ISNUMBER(F152))),$J$2=""),"",MIN(100,ROUND(SUM($G152:P152),1)))</f>
        <v/>
      </c>
      <c r="BO152" s="1" t="str">
        <f aca="false">IF(OR(NOT(AND(ISNUMBER(E152),ISNUMBER(F152))),$J$2=""),"",MIN(100,ROUND(SUM($G152:P152),1)))</f>
        <v/>
      </c>
      <c r="BP152" s="1" t="str">
        <f aca="false">IF(OR(NOT(AND(ISNUMBER(E152),ISNUMBER(F152))),$J$2=""),"",MIN(100,ROUND(SUM($G152:P152),1)))</f>
        <v/>
      </c>
      <c r="BQ152" s="1" t="str">
        <f aca="false">IF(OR(NOT(AND(ISNUMBER(E152),ISNUMBER(F152))),$J$2=""),"",MIN(100,ROUND(SUM($G152:P152),1)))</f>
        <v/>
      </c>
      <c r="BR152" s="1" t="str">
        <f aca="false">IF(OR(NOT(AND(ISNUMBER(E152),ISNUMBER(F152))),$J$2=""),"",MIN(100,ROUND(SUM($G152:P152),1)))</f>
        <v/>
      </c>
      <c r="BS152" s="1" t="str">
        <f aca="false">IF(OR(NOT(AND(ISNUMBER(E152),ISNUMBER(F152))),$J$2=""),"",MIN(100,ROUND(SUM($G152:P152),1)))</f>
        <v/>
      </c>
      <c r="BT152" s="1" t="str">
        <f aca="false">IF(OR(NOT(AND(ISNUMBER(E152),ISNUMBER(F152))),$J$2=""),"",IF(Reprogramaciones!K$13&lt;Reprogramaciones!$T$15,0,IF(Reprogramaciones!K$14&gt;10,MIN(100,SUM($G152:$P152)),MIN(100,SUMPRODUCT((COLUMN($G152:$P152)-COLUMN($G152)+1&lt;Reprogramaciones!K$14)*$G152:$P152)+N(INDEX($G152:$P152,1,Reprogramaciones!K$14))*IF(Reprogramaciones!K$13&gt;=(Reprogramaciones!$T$15+7*(Reprogramaciones!K$14-1))+6,1,IF(MAX(0,NETWORKDAYS.INTL(MAX(E152,(Reprogramaciones!$T$15+7*(Reprogramaciones!K$14-1))),MIN(F152,(Reprogramaciones!$T$15+7*(Reprogramaciones!K$14-1))+6),11))=0,0,MAX(0,NETWORKDAYS.INTL(MAX(E152,(Reprogramaciones!$T$15+7*(Reprogramaciones!K$14-1))),MIN(F152,Reprogramaciones!K$13),11))/MAX(0,NETWORKDAYS.INTL(MAX(E152,(Reprogramaciones!$T$15+7*(Reprogramaciones!K$14-1))),MIN(F152,(Reprogramaciones!$T$15+7*(Reprogramaciones!K$14-1))+6),11))))))))</f>
        <v/>
      </c>
      <c r="BU152" s="1" t="str">
        <f aca="false">IF(OR(NOT(AND(ISNUMBER(E152),ISNUMBER(F152))),$J$2=""),"",IF(Reprogramaciones!L$13&lt;Reprogramaciones!$T$15,0,IF(Reprogramaciones!L$14&gt;10,MIN(100,SUM($G152:$P152)),MIN(100,SUMPRODUCT((COLUMN($G152:$P152)-COLUMN($G152)+1&lt;Reprogramaciones!L$14)*$G152:$P152)+N(INDEX($G152:$P152,1,Reprogramaciones!L$14))*IF(Reprogramaciones!L$13&gt;=(Reprogramaciones!$T$15+7*(Reprogramaciones!L$14-1))+6,1,IF(MAX(0,NETWORKDAYS.INTL(MAX(E152,(Reprogramaciones!$T$15+7*(Reprogramaciones!L$14-1))),MIN(F152,(Reprogramaciones!$T$15+7*(Reprogramaciones!L$14-1))+6),11))=0,0,MAX(0,NETWORKDAYS.INTL(MAX(E152,(Reprogramaciones!$T$15+7*(Reprogramaciones!L$14-1))),MIN(F152,Reprogramaciones!L$13),11))/MAX(0,NETWORKDAYS.INTL(MAX(E152,(Reprogramaciones!$T$15+7*(Reprogramaciones!L$14-1))),MIN(F152,(Reprogramaciones!$T$15+7*(Reprogramaciones!L$14-1))+6),11))))))))</f>
        <v/>
      </c>
      <c r="BV152" s="1" t="str">
        <f aca="false">IF(OR(NOT(AND(ISNUMBER(E152),ISNUMBER(F152))),$J$2=""),"",IF(Reprogramaciones!M$13&lt;Reprogramaciones!$T$15,0,IF(Reprogramaciones!M$14&gt;10,MIN(100,SUM($G152:$P152)),MIN(100,SUMPRODUCT((COLUMN($G152:$P152)-COLUMN($G152)+1&lt;Reprogramaciones!M$14)*$G152:$P152)+N(INDEX($G152:$P152,1,Reprogramaciones!M$14))*IF(Reprogramaciones!M$13&gt;=(Reprogramaciones!$T$15+7*(Reprogramaciones!M$14-1))+6,1,IF(MAX(0,NETWORKDAYS.INTL(MAX(E152,(Reprogramaciones!$T$15+7*(Reprogramaciones!M$14-1))),MIN(F152,(Reprogramaciones!$T$15+7*(Reprogramaciones!M$14-1))+6),11))=0,0,MAX(0,NETWORKDAYS.INTL(MAX(E152,(Reprogramaciones!$T$15+7*(Reprogramaciones!M$14-1))),MIN(F152,Reprogramaciones!M$13),11))/MAX(0,NETWORKDAYS.INTL(MAX(E152,(Reprogramaciones!$T$15+7*(Reprogramaciones!M$14-1))),MIN(F152,(Reprogramaciones!$T$15+7*(Reprogramaciones!M$14-1))+6),11))))))))</f>
        <v/>
      </c>
      <c r="BW152" s="1" t="str">
        <f aca="false">IF(OR(NOT(AND(ISNUMBER(E152),ISNUMBER(F152))),$J$2=""),"",IF(Reprogramaciones!N$13&lt;Reprogramaciones!$T$15,0,IF(Reprogramaciones!N$14&gt;10,MIN(100,SUM($G152:$P152)),MIN(100,SUMPRODUCT((COLUMN($G152:$P152)-COLUMN($G152)+1&lt;Reprogramaciones!N$14)*$G152:$P152)+N(INDEX($G152:$P152,1,Reprogramaciones!N$14))*IF(Reprogramaciones!N$13&gt;=(Reprogramaciones!$T$15+7*(Reprogramaciones!N$14-1))+6,1,IF(MAX(0,NETWORKDAYS.INTL(MAX(E152,(Reprogramaciones!$T$15+7*(Reprogramaciones!N$14-1))),MIN(F152,(Reprogramaciones!$T$15+7*(Reprogramaciones!N$14-1))+6),11))=0,0,MAX(0,NETWORKDAYS.INTL(MAX(E152,(Reprogramaciones!$T$15+7*(Reprogramaciones!N$14-1))),MIN(F152,Reprogramaciones!N$13),11))/MAX(0,NETWORKDAYS.INTL(MAX(E152,(Reprogramaciones!$T$15+7*(Reprogramaciones!N$14-1))),MIN(F152,(Reprogramaciones!$T$15+7*(Reprogramaciones!N$14-1))+6),11))))))))</f>
        <v/>
      </c>
      <c r="BX152" s="1" t="str">
        <f aca="false">IF(OR(NOT(AND(ISNUMBER(E152),ISNUMBER(F152))),$J$2=""),"",IF(Reprogramaciones!O$13&lt;Reprogramaciones!$T$15,0,IF(Reprogramaciones!O$14&gt;10,MIN(100,SUM($G152:$P152)),MIN(100,SUMPRODUCT((COLUMN($G152:$P152)-COLUMN($G152)+1&lt;Reprogramaciones!O$14)*$G152:$P152)+N(INDEX($G152:$P152,1,Reprogramaciones!O$14))*IF(Reprogramaciones!O$13&gt;=(Reprogramaciones!$T$15+7*(Reprogramaciones!O$14-1))+6,1,IF(MAX(0,NETWORKDAYS.INTL(MAX(E152,(Reprogramaciones!$T$15+7*(Reprogramaciones!O$14-1))),MIN(F152,(Reprogramaciones!$T$15+7*(Reprogramaciones!O$14-1))+6),11))=0,0,MAX(0,NETWORKDAYS.INTL(MAX(E152,(Reprogramaciones!$T$15+7*(Reprogramaciones!O$14-1))),MIN(F152,Reprogramaciones!O$13),11))/MAX(0,NETWORKDAYS.INTL(MAX(E152,(Reprogramaciones!$T$15+7*(Reprogramaciones!O$14-1))),MIN(F152,(Reprogramaciones!$T$15+7*(Reprogramaciones!O$14-1))+6),11))))))))</f>
        <v/>
      </c>
      <c r="BY152" s="1" t="str">
        <f aca="false">IF(OR(NOT(AND(ISNUMBER(E152),ISNUMBER(F152))),$J$2=""),"",IF(Reprogramaciones!P$13&lt;Reprogramaciones!$T$15,0,IF(Reprogramaciones!P$14&gt;10,MIN(100,SUM($G152:$P152)),MIN(100,SUMPRODUCT((COLUMN($G152:$P152)-COLUMN($G152)+1&lt;Reprogramaciones!P$14)*$G152:$P152)+N(INDEX($G152:$P152,1,Reprogramaciones!P$14))*IF(Reprogramaciones!P$13&gt;=(Reprogramaciones!$T$15+7*(Reprogramaciones!P$14-1))+6,1,IF(MAX(0,NETWORKDAYS.INTL(MAX(E152,(Reprogramaciones!$T$15+7*(Reprogramaciones!P$14-1))),MIN(F152,(Reprogramaciones!$T$15+7*(Reprogramaciones!P$14-1))+6),11))=0,0,MAX(0,NETWORKDAYS.INTL(MAX(E152,(Reprogramaciones!$T$15+7*(Reprogramaciones!P$14-1))),MIN(F152,Reprogramaciones!P$13),11))/MAX(0,NETWORKDAYS.INTL(MAX(E152,(Reprogramaciones!$T$15+7*(Reprogramaciones!P$14-1))),MIN(F152,(Reprogramaciones!$T$15+7*(Reprogramaciones!P$14-1))+6),11))))))))</f>
        <v/>
      </c>
      <c r="BZ152" s="1" t="str">
        <f aca="false">IF(OR(NOT(AND(ISNUMBER(E152),ISNUMBER(F152))),$J$2=""),"",IF(Reprogramaciones!Q$13&lt;Reprogramaciones!$T$15,0,IF(Reprogramaciones!Q$14&gt;10,MIN(100,SUM($G152:$P152)),MIN(100,SUMPRODUCT((COLUMN($G152:$P152)-COLUMN($G152)+1&lt;Reprogramaciones!Q$14)*$G152:$P152)+N(INDEX($G152:$P152,1,Reprogramaciones!Q$14))*IF(Reprogramaciones!Q$13&gt;=(Reprogramaciones!$T$15+7*(Reprogramaciones!Q$14-1))+6,1,IF(MAX(0,NETWORKDAYS.INTL(MAX(E152,(Reprogramaciones!$T$15+7*(Reprogramaciones!Q$14-1))),MIN(F152,(Reprogramaciones!$T$15+7*(Reprogramaciones!Q$14-1))+6),11))=0,0,MAX(0,NETWORKDAYS.INTL(MAX(E152,(Reprogramaciones!$T$15+7*(Reprogramaciones!Q$14-1))),MIN(F152,Reprogramaciones!Q$13),11))/MAX(0,NETWORKDAYS.INTL(MAX(E152,(Reprogramaciones!$T$15+7*(Reprogramaciones!Q$14-1))),MIN(F152,(Reprogramaciones!$T$15+7*(Reprogramaciones!Q$14-1))+6),11))))))))</f>
        <v/>
      </c>
      <c r="CA152" s="1" t="str">
        <f aca="false">IF(OR(NOT(AND(ISNUMBER(E152),ISNUMBER(F152))),$J$2=""),"",IF(Reprogramaciones!R$13&lt;Reprogramaciones!$T$15,0,IF(Reprogramaciones!R$14&gt;10,MIN(100,SUM($G152:$P152)),MIN(100,SUMPRODUCT((COLUMN($G152:$P152)-COLUMN($G152)+1&lt;Reprogramaciones!R$14)*$G152:$P152)+N(INDEX($G152:$P152,1,Reprogramaciones!R$14))*IF(Reprogramaciones!R$13&gt;=(Reprogramaciones!$T$15+7*(Reprogramaciones!R$14-1))+6,1,IF(MAX(0,NETWORKDAYS.INTL(MAX(E152,(Reprogramaciones!$T$15+7*(Reprogramaciones!R$14-1))),MIN(F152,(Reprogramaciones!$T$15+7*(Reprogramaciones!R$14-1))+6),11))=0,0,MAX(0,NETWORKDAYS.INTL(MAX(E152,(Reprogramaciones!$T$15+7*(Reprogramaciones!R$14-1))),MIN(F152,Reprogramaciones!R$13),11))/MAX(0,NETWORKDAYS.INTL(MAX(E152,(Reprogramaciones!$T$15+7*(Reprogramaciones!R$14-1))),MIN(F152,(Reprogramaciones!$T$15+7*(Reprogramaciones!R$14-1))+6),11))))))))</f>
        <v/>
      </c>
      <c r="CB152" s="1" t="str">
        <f aca="false">IF(OR(NOT(AND(ISNUMBER(E152),ISNUMBER(F152))),$J$2=""),"",IF(Reprogramaciones!S$13&lt;Reprogramaciones!$T$15,0,IF(Reprogramaciones!S$14&gt;10,MIN(100,SUM($G152:$P152)),MIN(100,SUMPRODUCT((COLUMN($G152:$P152)-COLUMN($G152)+1&lt;Reprogramaciones!S$14)*$G152:$P152)+N(INDEX($G152:$P152,1,Reprogramaciones!S$14))*IF(Reprogramaciones!S$13&gt;=(Reprogramaciones!$T$15+7*(Reprogramaciones!S$14-1))+6,1,IF(MAX(0,NETWORKDAYS.INTL(MAX(E152,(Reprogramaciones!$T$15+7*(Reprogramaciones!S$14-1))),MIN(F152,(Reprogramaciones!$T$15+7*(Reprogramaciones!S$14-1))+6),11))=0,0,MAX(0,NETWORKDAYS.INTL(MAX(E152,(Reprogramaciones!$T$15+7*(Reprogramaciones!S$14-1))),MIN(F152,Reprogramaciones!S$13),11))/MAX(0,NETWORKDAYS.INTL(MAX(E152,(Reprogramaciones!$T$15+7*(Reprogramaciones!S$14-1))),MIN(F152,(Reprogramaciones!$T$15+7*(Reprogramaciones!S$14-1))+6),11))))))))</f>
        <v/>
      </c>
      <c r="CC152" s="1" t="str">
        <f aca="false">IF(OR(NOT(AND(ISNUMBER(E152),ISNUMBER(F152))),$J$2=""),"",IF(Reprogramaciones!T$13&lt;Reprogramaciones!$T$15,0,IF(Reprogramaciones!T$14&gt;10,MIN(100,SUM($G152:$P152)),MIN(100,SUMPRODUCT((COLUMN($G152:$P152)-COLUMN($G152)+1&lt;Reprogramaciones!T$14)*$G152:$P152)+N(INDEX($G152:$P152,1,Reprogramaciones!T$14))*IF(Reprogramaciones!T$13&gt;=(Reprogramaciones!$T$15+7*(Reprogramaciones!T$14-1))+6,1,IF(MAX(0,NETWORKDAYS.INTL(MAX(E152,(Reprogramaciones!$T$15+7*(Reprogramaciones!T$14-1))),MIN(F152,(Reprogramaciones!$T$15+7*(Reprogramaciones!T$14-1))+6),11))=0,0,MAX(0,NETWORKDAYS.INTL(MAX(E152,(Reprogramaciones!$T$15+7*(Reprogramaciones!T$14-1))),MIN(F152,Reprogramaciones!T$13),11))/MAX(0,NETWORKDAYS.INTL(MAX(E152,(Reprogramaciones!$T$15+7*(Reprogramaciones!T$14-1))),MIN(F152,(Reprogramaciones!$T$15+7*(Reprogramaciones!T$14-1))+6),11))))))))</f>
        <v/>
      </c>
      <c r="CD152" s="1" t="str">
        <f aca="false">IF(OR(NOT(AND(ISNUMBER(E152),ISNUMBER(F152))),$J$2=""),"",IF(Reprogramaciones!U$13&lt;Reprogramaciones!$T$15,0,IF(Reprogramaciones!U$14&gt;10,MIN(100,SUM($G152:$P152)),MIN(100,SUMPRODUCT((COLUMN($G152:$P152)-COLUMN($G152)+1&lt;Reprogramaciones!U$14)*$G152:$P152)+N(INDEX($G152:$P152,1,Reprogramaciones!U$14))*IF(Reprogramaciones!U$13&gt;=(Reprogramaciones!$T$15+7*(Reprogramaciones!U$14-1))+6,1,IF(MAX(0,NETWORKDAYS.INTL(MAX(E152,(Reprogramaciones!$T$15+7*(Reprogramaciones!U$14-1))),MIN(F152,(Reprogramaciones!$T$15+7*(Reprogramaciones!U$14-1))+6),11))=0,0,MAX(0,NETWORKDAYS.INTL(MAX(E152,(Reprogramaciones!$T$15+7*(Reprogramaciones!U$14-1))),MIN(F152,Reprogramaciones!U$13),11))/MAX(0,NETWORKDAYS.INTL(MAX(E152,(Reprogramaciones!$T$15+7*(Reprogramaciones!U$14-1))),MIN(F152,(Reprogramaciones!$T$15+7*(Reprogramaciones!U$14-1))+6),11))))))))</f>
        <v/>
      </c>
      <c r="CE152" s="1" t="str">
        <f aca="false">IF(OR(NOT(AND(ISNUMBER(E152),ISNUMBER(F152))),$J$2=""),"",IF(Reprogramaciones!V$13&lt;Reprogramaciones!$T$15,0,IF(Reprogramaciones!V$14&gt;10,MIN(100,SUM($G152:$P152)),MIN(100,SUMPRODUCT((COLUMN($G152:$P152)-COLUMN($G152)+1&lt;Reprogramaciones!V$14)*$G152:$P152)+N(INDEX($G152:$P152,1,Reprogramaciones!V$14))*IF(Reprogramaciones!V$13&gt;=(Reprogramaciones!$T$15+7*(Reprogramaciones!V$14-1))+6,1,IF(MAX(0,NETWORKDAYS.INTL(MAX(E152,(Reprogramaciones!$T$15+7*(Reprogramaciones!V$14-1))),MIN(F152,(Reprogramaciones!$T$15+7*(Reprogramaciones!V$14-1))+6),11))=0,0,MAX(0,NETWORKDAYS.INTL(MAX(E152,(Reprogramaciones!$T$15+7*(Reprogramaciones!V$14-1))),MIN(F152,Reprogramaciones!V$13),11))/MAX(0,NETWORKDAYS.INTL(MAX(E152,(Reprogramaciones!$T$15+7*(Reprogramaciones!V$14-1))),MIN(F152,(Reprogramaciones!$T$15+7*(Reprogramaciones!V$14-1))+6),11))))))))</f>
        <v/>
      </c>
      <c r="CF152" s="1" t="str">
        <f aca="false">IF(OR(NOT(AND(ISNUMBER(E152),ISNUMBER(F152))),$J$2=""),"",IF(Reprogramaciones!W$13&lt;Reprogramaciones!$T$15,0,IF(Reprogramaciones!W$14&gt;10,MIN(100,SUM($G152:$P152)),MIN(100,SUMPRODUCT((COLUMN($G152:$P152)-COLUMN($G152)+1&lt;Reprogramaciones!W$14)*$G152:$P152)+N(INDEX($G152:$P152,1,Reprogramaciones!W$14))*IF(Reprogramaciones!W$13&gt;=(Reprogramaciones!$T$15+7*(Reprogramaciones!W$14-1))+6,1,IF(MAX(0,NETWORKDAYS.INTL(MAX(E152,(Reprogramaciones!$T$15+7*(Reprogramaciones!W$14-1))),MIN(F152,(Reprogramaciones!$T$15+7*(Reprogramaciones!W$14-1))+6),11))=0,0,MAX(0,NETWORKDAYS.INTL(MAX(E152,(Reprogramaciones!$T$15+7*(Reprogramaciones!W$14-1))),MIN(F152,Reprogramaciones!W$13),11))/MAX(0,NETWORKDAYS.INTL(MAX(E152,(Reprogramaciones!$T$15+7*(Reprogramaciones!W$14-1))),MIN(F152,(Reprogramaciones!$T$15+7*(Reprogramaciones!W$14-1))+6),11))))))))</f>
        <v/>
      </c>
      <c r="CG152" s="1" t="str">
        <f aca="false">IF(OR(NOT(AND(ISNUMBER(E152),ISNUMBER(F152))),$J$2=""),"",IF(Reprogramaciones!X$13&lt;Reprogramaciones!$T$15,0,IF(Reprogramaciones!X$14&gt;10,MIN(100,SUM($G152:$P152)),MIN(100,SUMPRODUCT((COLUMN($G152:$P152)-COLUMN($G152)+1&lt;Reprogramaciones!X$14)*$G152:$P152)+N(INDEX($G152:$P152,1,Reprogramaciones!X$14))*IF(Reprogramaciones!X$13&gt;=(Reprogramaciones!$T$15+7*(Reprogramaciones!X$14-1))+6,1,IF(MAX(0,NETWORKDAYS.INTL(MAX(E152,(Reprogramaciones!$T$15+7*(Reprogramaciones!X$14-1))),MIN(F152,(Reprogramaciones!$T$15+7*(Reprogramaciones!X$14-1))+6),11))=0,0,MAX(0,NETWORKDAYS.INTL(MAX(E152,(Reprogramaciones!$T$15+7*(Reprogramaciones!X$14-1))),MIN(F152,Reprogramaciones!X$13),11))/MAX(0,NETWORKDAYS.INTL(MAX(E152,(Reprogramaciones!$T$15+7*(Reprogramaciones!X$14-1))),MIN(F152,(Reprogramaciones!$T$15+7*(Reprogramaciones!X$14-1))+6),11))))))))</f>
        <v/>
      </c>
      <c r="CH152" s="1" t="str">
        <f aca="false">IF(OR(NOT(AND(ISNUMBER(E152),ISNUMBER(F152))),$J$2=""),"",IF(Reprogramaciones!Y$13&lt;Reprogramaciones!$T$15,0,IF(Reprogramaciones!Y$14&gt;10,MIN(100,SUM($G152:$P152)),MIN(100,SUMPRODUCT((COLUMN($G152:$P152)-COLUMN($G152)+1&lt;Reprogramaciones!Y$14)*$G152:$P152)+N(INDEX($G152:$P152,1,Reprogramaciones!Y$14))*IF(Reprogramaciones!Y$13&gt;=(Reprogramaciones!$T$15+7*(Reprogramaciones!Y$14-1))+6,1,IF(MAX(0,NETWORKDAYS.INTL(MAX(E152,(Reprogramaciones!$T$15+7*(Reprogramaciones!Y$14-1))),MIN(F152,(Reprogramaciones!$T$15+7*(Reprogramaciones!Y$14-1))+6),11))=0,0,MAX(0,NETWORKDAYS.INTL(MAX(E152,(Reprogramaciones!$T$15+7*(Reprogramaciones!Y$14-1))),MIN(F152,Reprogramaciones!Y$13),11))/MAX(0,NETWORKDAYS.INTL(MAX(E152,(Reprogramaciones!$T$15+7*(Reprogramaciones!Y$14-1))),MIN(F152,(Reprogramaciones!$T$15+7*(Reprogramaciones!Y$14-1))+6),11))))))))</f>
        <v/>
      </c>
      <c r="CI152" s="1" t="str">
        <f aca="false">IF(OR(NOT(AND(ISNUMBER(E152),ISNUMBER(F152))),$J$2=""),"",IF(Reprogramaciones!Z$13&lt;Reprogramaciones!$T$15,0,IF(Reprogramaciones!Z$14&gt;10,MIN(100,SUM($G152:$P152)),MIN(100,SUMPRODUCT((COLUMN($G152:$P152)-COLUMN($G152)+1&lt;Reprogramaciones!Z$14)*$G152:$P152)+N(INDEX($G152:$P152,1,Reprogramaciones!Z$14))*IF(Reprogramaciones!Z$13&gt;=(Reprogramaciones!$T$15+7*(Reprogramaciones!Z$14-1))+6,1,IF(MAX(0,NETWORKDAYS.INTL(MAX(E152,(Reprogramaciones!$T$15+7*(Reprogramaciones!Z$14-1))),MIN(F152,(Reprogramaciones!$T$15+7*(Reprogramaciones!Z$14-1))+6),11))=0,0,MAX(0,NETWORKDAYS.INTL(MAX(E152,(Reprogramaciones!$T$15+7*(Reprogramaciones!Z$14-1))),MIN(F152,Reprogramaciones!Z$13),11))/MAX(0,NETWORKDAYS.INTL(MAX(E152,(Reprogramaciones!$T$15+7*(Reprogramaciones!Z$14-1))),MIN(F152,(Reprogramaciones!$T$15+7*(Reprogramaciones!Z$14-1))+6),11))))))))</f>
        <v/>
      </c>
      <c r="CJ152" s="1" t="str">
        <f aca="false">IF(OR(OR(NOT(AND(ISNUMBER(E152),ISNUMBER(F152))),$J$2=""),1&gt;Reprogramaciones!$K$16),"",IF(ROUND(SUM($Q152:Q152),1)&gt;=99.5,100,MIN(100,ROUND(SUM($Q152:Q152),1))))</f>
        <v/>
      </c>
      <c r="CK152" s="1" t="str">
        <f aca="false">IF(OR(OR(NOT(AND(ISNUMBER(E152),ISNUMBER(F152))),$J$2=""),2&gt;Reprogramaciones!$K$16),"",IF(ROUND(SUM($Q152:R152),1)&gt;=99.5,100,MIN(100,ROUND(SUM($Q152:R152),1))))</f>
        <v/>
      </c>
      <c r="CL152" s="1" t="str">
        <f aca="false">IF(OR(OR(NOT(AND(ISNUMBER(E152),ISNUMBER(F152))),$J$2=""),3&gt;Reprogramaciones!$K$16),"",IF(ROUND(SUM($Q152:S152),1)&gt;=99.5,100,MIN(100,ROUND(SUM($Q152:S152),1))))</f>
        <v/>
      </c>
      <c r="CM152" s="1" t="str">
        <f aca="false">IF(OR(OR(NOT(AND(ISNUMBER(E152),ISNUMBER(F152))),$J$2=""),4&gt;Reprogramaciones!$K$16),"",IF(ROUND(SUM($Q152:T152),1)&gt;=99.5,100,MIN(100,ROUND(SUM($Q152:T152),1))))</f>
        <v/>
      </c>
      <c r="CN152" s="1" t="str">
        <f aca="false">IF(OR(OR(NOT(AND(ISNUMBER(E152),ISNUMBER(F152))),$J$2=""),5&gt;Reprogramaciones!$K$16),"",IF(ROUND(SUM($Q152:U152),1)&gt;=99.5,100,MIN(100,ROUND(SUM($Q152:U152),1))))</f>
        <v/>
      </c>
      <c r="CO152" s="1" t="str">
        <f aca="false">IF(OR(OR(NOT(AND(ISNUMBER(E152),ISNUMBER(F152))),$J$2=""),6&gt;Reprogramaciones!$K$16),"",IF(ROUND(SUM($Q152:V152),1)&gt;=99.5,100,MIN(100,ROUND(SUM($Q152:V152),1))))</f>
        <v/>
      </c>
      <c r="CP152" s="1" t="str">
        <f aca="false">IF(OR(OR(NOT(AND(ISNUMBER(E152),ISNUMBER(F152))),$J$2=""),7&gt;Reprogramaciones!$K$16),"",IF(ROUND(SUM($Q152:W152),1)&gt;=99.5,100,MIN(100,ROUND(SUM($Q152:W152),1))))</f>
        <v/>
      </c>
      <c r="CQ152" s="1" t="str">
        <f aca="false">IF(OR(OR(NOT(AND(ISNUMBER(E152),ISNUMBER(F152))),$J$2=""),8&gt;Reprogramaciones!$K$16),"",IF(ROUND(SUM($Q152:X152),1)&gt;=99.5,100,MIN(100,ROUND(SUM($Q152:X152),1))))</f>
        <v/>
      </c>
      <c r="CR152" s="1" t="str">
        <f aca="false">IF(OR(OR(NOT(AND(ISNUMBER(E152),ISNUMBER(F152))),$J$2=""),9&gt;Reprogramaciones!$K$16),"",IF(ROUND(SUM($Q152:Y152),1)&gt;=99.5,100,MIN(100,ROUND(SUM($Q152:Y152),1))))</f>
        <v/>
      </c>
      <c r="CS152" s="1" t="str">
        <f aca="false">IF(OR(OR(NOT(AND(ISNUMBER(E152),ISNUMBER(F152))),$J$2=""),10&gt;Reprogramaciones!$K$16),"",IF(ROUND(SUM($Q152:Z152),1)&gt;=99.5,100,MIN(100,ROUND(SUM($Q152:Z152),1))))</f>
        <v/>
      </c>
      <c r="CT152" s="1" t="str">
        <f aca="false">IF(OR(OR(NOT(AND(ISNUMBER(E152),ISNUMBER(F152))),$J$2=""),11&gt;Reprogramaciones!$K$16),"",IF(ROUND(SUM($Q152:AA152),1)&gt;=99.5,100,MIN(100,ROUND(SUM($Q152:AA152),1))))</f>
        <v/>
      </c>
      <c r="CU152" s="1" t="str">
        <f aca="false">IF(OR(OR(NOT(AND(ISNUMBER(E152),ISNUMBER(F152))),$J$2=""),12&gt;Reprogramaciones!$K$16),"",IF(ROUND(SUM($Q152:AB152),1)&gt;=99.5,100,MIN(100,ROUND(SUM($Q152:AB152),1))))</f>
        <v/>
      </c>
      <c r="CV152" s="1" t="str">
        <f aca="false">IF(OR(OR(NOT(AND(ISNUMBER(E152),ISNUMBER(F152))),$J$2=""),13&gt;Reprogramaciones!$K$16),"",IF(ROUND(SUM($Q152:AC152),1)&gt;=99.5,100,MIN(100,ROUND(SUM($Q152:AC152),1))))</f>
        <v/>
      </c>
      <c r="CW152" s="1" t="str">
        <f aca="false">IF(OR(OR(NOT(AND(ISNUMBER(E152),ISNUMBER(F152))),$J$2=""),14&gt;Reprogramaciones!$K$16),"",IF(ROUND(SUM($Q152:AD152),1)&gt;=99.5,100,MIN(100,ROUND(SUM($Q152:AD152),1))))</f>
        <v/>
      </c>
      <c r="CX152" s="1" t="str">
        <f aca="false">IF(OR(OR(NOT(AND(ISNUMBER(E152),ISNUMBER(F152))),$J$2=""),15&gt;Reprogramaciones!$K$16),"",IF(ROUND(SUM($Q152:AE152),1)&gt;=99.5,100,MIN(100,ROUND(SUM($Q152:AE152),1))))</f>
        <v/>
      </c>
      <c r="CY152" s="1" t="str">
        <f aca="false">IF(OR(OR(NOT(AND(ISNUMBER(E152),ISNUMBER(F152))),$J$2=""),16&gt;Reprogramaciones!$K$16),"",IF(ROUND(SUM($Q152:AF152),1)&gt;=99.5,100,MIN(100,ROUND(SUM($Q152:AF152),1))))</f>
        <v/>
      </c>
      <c r="CZ152" s="1" t="str">
        <f aca="false">IF(D152&lt;&gt;"",D152,IF(B152&lt;&gt;"","Contractual",CZ151))</f>
        <v>Contractual</v>
      </c>
      <c r="DA152" s="1" t="str">
        <f aca="false">IF(OR(NOT(AND(ISNUMBER(E152),ISNUMBER(F152))),$J$2=""),"",IF(Reprogramaciones!$Q$15&lt;Reprogramaciones!$T$15,0,IF(Reprogramaciones!$S$15&gt;10,MIN(100,SUM($G152:$P152)),MIN(100,SUMPRODUCT((COLUMN($G152:$P152)-COLUMN($G152)+1&lt;Reprogramaciones!$S$15)*$G152:$P152)+N(INDEX($G152:$P152,1,Reprogramaciones!$S$15))*IF(Reprogramaciones!$Q$15&gt;=(Reprogramaciones!$T$15+7*(Reprogramaciones!$S$15-1))+6,1,IF(MAX(0,NETWORKDAYS.INTL(MAX(E152,(Reprogramaciones!$T$15+7*(Reprogramaciones!$S$15-1))),MIN(F152,(Reprogramaciones!$T$15+7*(Reprogramaciones!$S$15-1))+6),11))=0,0,MAX(0,NETWORKDAYS.INTL(MAX(E152,(Reprogramaciones!$T$15+7*(Reprogramaciones!$S$15-1))),MIN(F152,Reprogramaciones!$Q$15),11))/MAX(0,NETWORKDAYS.INTL(MAX(E152,(Reprogramaciones!$T$15+7*(Reprogramaciones!$S$15-1))),MIN(F152,(Reprogramaciones!$T$15+7*(Reprogramaciones!$S$15-1))+6),11))))))))</f>
        <v/>
      </c>
    </row>
    <row r="153" customFormat="false" ht="15" hidden="false" customHeight="false" outlineLevel="0" collapsed="false">
      <c r="A153" s="32"/>
      <c r="B153" s="33"/>
      <c r="C153" s="33"/>
      <c r="D153" s="34"/>
      <c r="E153" s="35"/>
      <c r="F153" s="35"/>
      <c r="G153" s="36" t="str">
        <f aca="false">IF(OR(NOT(AND(ISNUMBER(E153),ISNUMBER(F153))),$J$2=""),"",IF(Reprogramaciones!K$9&lt;E153,0,IF(NETWORKDAYS.INTL(E153,F153,11)=0,IF(Reprogramaciones!K$9&gt;=F153,100,0),ROUND(NETWORKDAYS.INTL(E153,MIN(F153,Reprogramaciones!K$9),11)/NETWORKDAYS.INTL(E153,F153,11)*100,1)))-0)</f>
        <v/>
      </c>
      <c r="H153" s="36" t="str">
        <f aca="false">IF(OR(NOT(AND(ISNUMBER(E153),ISNUMBER(F153))),$J$2=""),"",IF(Reprogramaciones!L$9&lt;E153,0,IF(NETWORKDAYS.INTL(E153,F153,11)=0,IF(Reprogramaciones!L$9&gt;=F153,100,0),ROUND(NETWORKDAYS.INTL(E153,MIN(F153,Reprogramaciones!L$9),11)/NETWORKDAYS.INTL(E153,F153,11)*100,1)))-IF(Reprogramaciones!K$9&lt;E153,0,IF(NETWORKDAYS.INTL(E153,F153,11)=0,IF(Reprogramaciones!K$9&gt;=F153,100,0),ROUND(NETWORKDAYS.INTL(E153,MIN(F153,Reprogramaciones!K$9),11)/NETWORKDAYS.INTL(E153,F153,11)*100,1))))</f>
        <v/>
      </c>
      <c r="I153" s="36" t="str">
        <f aca="false">IF(OR(NOT(AND(ISNUMBER(E153),ISNUMBER(F153))),$J$2=""),"",IF(Reprogramaciones!M$9&lt;E153,0,IF(NETWORKDAYS.INTL(E153,F153,11)=0,IF(Reprogramaciones!M$9&gt;=F153,100,0),ROUND(NETWORKDAYS.INTL(E153,MIN(F153,Reprogramaciones!M$9),11)/NETWORKDAYS.INTL(E153,F153,11)*100,1)))-IF(Reprogramaciones!L$9&lt;E153,0,IF(NETWORKDAYS.INTL(E153,F153,11)=0,IF(Reprogramaciones!L$9&gt;=F153,100,0),ROUND(NETWORKDAYS.INTL(E153,MIN(F153,Reprogramaciones!L$9),11)/NETWORKDAYS.INTL(E153,F153,11)*100,1))))</f>
        <v/>
      </c>
      <c r="J153" s="36" t="str">
        <f aca="false">IF(OR(NOT(AND(ISNUMBER(E153),ISNUMBER(F153))),$J$2=""),"",IF(Reprogramaciones!N$9&lt;E153,0,IF(NETWORKDAYS.INTL(E153,F153,11)=0,IF(Reprogramaciones!N$9&gt;=F153,100,0),ROUND(NETWORKDAYS.INTL(E153,MIN(F153,Reprogramaciones!N$9),11)/NETWORKDAYS.INTL(E153,F153,11)*100,1)))-IF(Reprogramaciones!M$9&lt;E153,0,IF(NETWORKDAYS.INTL(E153,F153,11)=0,IF(Reprogramaciones!M$9&gt;=F153,100,0),ROUND(NETWORKDAYS.INTL(E153,MIN(F153,Reprogramaciones!M$9),11)/NETWORKDAYS.INTL(E153,F153,11)*100,1))))</f>
        <v/>
      </c>
      <c r="K153" s="36" t="str">
        <f aca="false">IF(OR(NOT(AND(ISNUMBER(E153),ISNUMBER(F153))),$J$2=""),"",IF(Reprogramaciones!O$9&lt;E153,0,IF(NETWORKDAYS.INTL(E153,F153,11)=0,IF(Reprogramaciones!O$9&gt;=F153,100,0),ROUND(NETWORKDAYS.INTL(E153,MIN(F153,Reprogramaciones!O$9),11)/NETWORKDAYS.INTL(E153,F153,11)*100,1)))-IF(Reprogramaciones!N$9&lt;E153,0,IF(NETWORKDAYS.INTL(E153,F153,11)=0,IF(Reprogramaciones!N$9&gt;=F153,100,0),ROUND(NETWORKDAYS.INTL(E153,MIN(F153,Reprogramaciones!N$9),11)/NETWORKDAYS.INTL(E153,F153,11)*100,1))))</f>
        <v/>
      </c>
      <c r="L153" s="36" t="str">
        <f aca="false">IF(OR(NOT(AND(ISNUMBER(E153),ISNUMBER(F153))),$J$2=""),"",IF(Reprogramaciones!P$9&lt;E153,0,IF(NETWORKDAYS.INTL(E153,F153,11)=0,IF(Reprogramaciones!P$9&gt;=F153,100,0),ROUND(NETWORKDAYS.INTL(E153,MIN(F153,Reprogramaciones!P$9),11)/NETWORKDAYS.INTL(E153,F153,11)*100,1)))-IF(Reprogramaciones!O$9&lt;E153,0,IF(NETWORKDAYS.INTL(E153,F153,11)=0,IF(Reprogramaciones!O$9&gt;=F153,100,0),ROUND(NETWORKDAYS.INTL(E153,MIN(F153,Reprogramaciones!O$9),11)/NETWORKDAYS.INTL(E153,F153,11)*100,1))))</f>
        <v/>
      </c>
      <c r="M153" s="36" t="str">
        <f aca="false">IF(OR(NOT(AND(ISNUMBER(E153),ISNUMBER(F153))),$J$2=""),"",IF(Reprogramaciones!Q$9&lt;E153,0,IF(NETWORKDAYS.INTL(E153,F153,11)=0,IF(Reprogramaciones!Q$9&gt;=F153,100,0),ROUND(NETWORKDAYS.INTL(E153,MIN(F153,Reprogramaciones!Q$9),11)/NETWORKDAYS.INTL(E153,F153,11)*100,1)))-IF(Reprogramaciones!P$9&lt;E153,0,IF(NETWORKDAYS.INTL(E153,F153,11)=0,IF(Reprogramaciones!P$9&gt;=F153,100,0),ROUND(NETWORKDAYS.INTL(E153,MIN(F153,Reprogramaciones!P$9),11)/NETWORKDAYS.INTL(E153,F153,11)*100,1))))</f>
        <v/>
      </c>
      <c r="N153" s="36" t="str">
        <f aca="false">IF(OR(NOT(AND(ISNUMBER(E153),ISNUMBER(F153))),$J$2=""),"",IF(Reprogramaciones!R$9&lt;E153,0,IF(NETWORKDAYS.INTL(E153,F153,11)=0,IF(Reprogramaciones!R$9&gt;=F153,100,0),ROUND(NETWORKDAYS.INTL(E153,MIN(F153,Reprogramaciones!R$9),11)/NETWORKDAYS.INTL(E153,F153,11)*100,1)))-IF(Reprogramaciones!Q$9&lt;E153,0,IF(NETWORKDAYS.INTL(E153,F153,11)=0,IF(Reprogramaciones!Q$9&gt;=F153,100,0),ROUND(NETWORKDAYS.INTL(E153,MIN(F153,Reprogramaciones!Q$9),11)/NETWORKDAYS.INTL(E153,F153,11)*100,1))))</f>
        <v/>
      </c>
      <c r="O153" s="36" t="str">
        <f aca="false">IF(OR(NOT(AND(ISNUMBER(E153),ISNUMBER(F153))),$J$2=""),"",IF(Reprogramaciones!S$9&lt;E153,0,IF(NETWORKDAYS.INTL(E153,F153,11)=0,IF(Reprogramaciones!S$9&gt;=F153,100,0),ROUND(NETWORKDAYS.INTL(E153,MIN(F153,Reprogramaciones!S$9),11)/NETWORKDAYS.INTL(E153,F153,11)*100,1)))-IF(Reprogramaciones!R$9&lt;E153,0,IF(NETWORKDAYS.INTL(E153,F153,11)=0,IF(Reprogramaciones!R$9&gt;=F153,100,0),ROUND(NETWORKDAYS.INTL(E153,MIN(F153,Reprogramaciones!R$9),11)/NETWORKDAYS.INTL(E153,F153,11)*100,1))))</f>
        <v/>
      </c>
      <c r="P153" s="36" t="str">
        <f aca="false">IF(OR(NOT(AND(ISNUMBER(E153),ISNUMBER(F153))),$J$2=""),"",IF(Reprogramaciones!T$9&lt;E153,0,IF(NETWORKDAYS.INTL(E153,F153,11)=0,IF(Reprogramaciones!T$9&gt;=F153,100,0),ROUND(NETWORKDAYS.INTL(E153,MIN(F153,Reprogramaciones!T$9),11)/NETWORKDAYS.INTL(E153,F153,11)*100,1)))-IF(Reprogramaciones!S$9&lt;E153,0,IF(NETWORKDAYS.INTL(E153,F153,11)=0,IF(Reprogramaciones!S$9&gt;=F153,100,0),ROUND(NETWORKDAYS.INTL(E153,MIN(F153,Reprogramaciones!S$9),11)/NETWORKDAYS.INTL(E153,F153,11)*100,1))))</f>
        <v/>
      </c>
      <c r="Q153" s="37"/>
      <c r="R153" s="37"/>
      <c r="S153" s="37"/>
      <c r="T153" s="37"/>
      <c r="U153" s="37"/>
      <c r="V153" s="37"/>
      <c r="W153" s="37"/>
      <c r="X153" s="37"/>
      <c r="Y153" s="37"/>
      <c r="Z153" s="37"/>
      <c r="AA153" s="37"/>
      <c r="AB153" s="37"/>
      <c r="AC153" s="37"/>
      <c r="AD153" s="37"/>
      <c r="AE153" s="37"/>
      <c r="AF153" s="37"/>
      <c r="AG153" s="38" t="str">
        <f aca="false">IF(AND(ISNUMBER(E153),ISNUMBER(F153)),NETWORKDAYS.INTL(E153,F153,11),"")</f>
        <v/>
      </c>
      <c r="AH153" s="38" t="str">
        <f aca="false">IF(OR(NOT(AND(ISNUMBER(E153),ISNUMBER(F153))),$J$2=""),"",IF(Reprogramaciones!$P$15&lt;Reprogramaciones!$T$15,0,IF(Reprogramaciones!$R$15&gt;10,MIN(100,SUM($G153:$P153)),MIN(100,SUMPRODUCT((COLUMN($G153:$P153)-COLUMN($G153)+1&lt;Reprogramaciones!$R$15)*$G153:$P153)+N(INDEX($G153:$P153,1,Reprogramaciones!$R$15))*IF(Reprogramaciones!$P$15&gt;=(Reprogramaciones!$T$15+7*(Reprogramaciones!$R$15-1))+6,1,IF(MAX(0,NETWORKDAYS.INTL(MAX(E153,(Reprogramaciones!$T$15+7*(Reprogramaciones!$R$15-1))),MIN(F153,(Reprogramaciones!$T$15+7*(Reprogramaciones!$R$15-1))+6),11))=0,0,MAX(0,NETWORKDAYS.INTL(MAX(E153,(Reprogramaciones!$T$15+7*(Reprogramaciones!$R$15-1))),MIN(F153,Reprogramaciones!$P$15),11))/MAX(0,NETWORKDAYS.INTL(MAX(E153,(Reprogramaciones!$T$15+7*(Reprogramaciones!$R$15-1))),MIN(F153,(Reprogramaciones!$T$15+7*(Reprogramaciones!$R$15-1))+6),11))))))))</f>
        <v/>
      </c>
      <c r="AI153" s="38" t="str">
        <f aca="false">IF(COUNT($Q153:$AF153)=0,"",IF(ROUND(SUM($Q153:$AF153),1)&gt;=99.5,100,MIN(100,ROUND(SUM($Q153:$AF153),1))))</f>
        <v/>
      </c>
      <c r="AJ153" s="38" t="str">
        <f aca="false">IF(OR(AH153="",AI153=""),"",AI153-AH153)</f>
        <v/>
      </c>
      <c r="AK153" s="39" t="str">
        <f aca="true">IF(AH153="","",IF(OR(Ficha!$C$10="Suspendida",Ficha!$C$10="Cancelada"),Ficha!$C$10,IF(AND(AI153&lt;&gt;"",N(AI153)&gt;=100),"Completada",IF(AND(E153&gt;TODAY(),N(AI153)=0),"Por iniciar",IF(N(AI153)+0.5&lt;AH153,"Retrasada",IF(N(AI153)+0.5&lt;DA153,IF(Reprogramaciones!$K$15&gt;0,"Al día · Sem "&amp;Reprogramaciones!$K$15&amp;" en curso","Al día · en curso"),"A tiempo"))))))</f>
        <v/>
      </c>
      <c r="AL153" s="39" t="str">
        <f aca="true">IF(AND(A153="",AND(B153="",C153="",E153="",F153="",COUNT(Q153:AF153)=0)),"",IF(AND(B153="",C153="",E153="",F153="",COUNT(Q153:AF153)=0),"Falta la partida o subpartida",IF(AND(A153&lt;&gt;"",COUNTIF($A$6:$A$305,A153)&gt;1),"Ítem repetido",IF(AND(C153="",E153="",F153="",COUNT(Q153:AF153)=0),"Título de partida",IF(OR(E153="",F153=""),"Faltan fechas",IF(OR(ISTEXT(E153),ISTEXT(F153)),"Fecha escrita como texto: usa dd/mm/aaaa",IF(F153&lt;E153,"Fin antes del inicio",IF(IF($J$2="",FALSE(),OR(E153&lt;$J$2,F153&gt;Reprogramaciones!$T$15+69)),"Fuera de las 10 semanas",IF(ABS(SUM(G153:P153)-100)&gt;0.5,"La meta no suma 100%",IF(ROUND(SUM(Q153:AF153),1)&gt;100.5,"El avance pasa de 100%",IF(MIN(Q153:AF153)&lt;0,"Avance negativo",IF(COUNTA(Q153:AF153)&gt;COUNT(Q153:AF153),"Avance escrito como texto",IF(SUMPRODUCT((Q153:AF153&gt;0)*(Q153:AF153&lt;1))&gt;0,"Avance menor a 1: escribe 50, no 50%",IF(SUMPRODUCT(ISNUMBER(Q153:AF153)*(Reprogramaciones!$K$8:$Z$8&gt;TODAY()))&gt;0,"Avance en semana que aún no llega",IF(AND(N(Reprogramaciones!$E$21)&gt;0,F153&gt;Reprogramaciones!$E$21),"Pasa el fin de la obra: registra una reprogramación",IF(AND(N(Reprogramaciones!$E$21)&gt;0,SUMPRODUCT(ISNUMBER(Q153:AF153)*(Reprogramaciones!$K$8:$Z$8&gt;Reprogramaciones!$E$21))&gt;0),"Avance después del fin de la obra: registra una reprogramación por atraso","OK"))))))))))))))))</f>
        <v/>
      </c>
      <c r="AM153" s="40" t="str">
        <f aca="false">IF(OR(OR(NOT(AND(ISNUMBER(E153),ISNUMBER(F153))),$J$2=""),1&gt;MAX(1,Reprogramaciones!$U$15)),"",IF(Reprogramaciones!K$12&gt;=7,"",IF(OR(BT153-N(0)&gt;0.05,N(Q153)&gt;0),ROUNDDOWN(ROUND(BT153,6),0)&amp;"%"&amp;IF(CJ153="",""," / "&amp;CJ153&amp;"%"),IF(AND(N(0)&gt;=99.95,CJ153&lt;&gt;"",N(CJ153)&lt;100),"Pend. "&amp;CJ153&amp;"%",""))))</f>
        <v/>
      </c>
      <c r="AN153" s="40" t="str">
        <f aca="false">IF(OR(OR(NOT(AND(ISNUMBER(E153),ISNUMBER(F153))),$J$2=""),2&gt;MAX(1,Reprogramaciones!$U$15)),"",IF(Reprogramaciones!L$12&gt;=7,"",IF(OR(BU153-N(BT153)&gt;0.05,N(R153)&gt;0),ROUNDDOWN(ROUND(BU153,6),0)&amp;"%"&amp;IF(CK153="",""," / "&amp;CK153&amp;"%"),IF(AND(N(BT153)&gt;=99.95,CK153&lt;&gt;"",N(CK153)&lt;100),"Pend. "&amp;CK153&amp;"%",""))))</f>
        <v/>
      </c>
      <c r="AO153" s="40" t="str">
        <f aca="false">IF(OR(OR(NOT(AND(ISNUMBER(E153),ISNUMBER(F153))),$J$2=""),3&gt;MAX(1,Reprogramaciones!$U$15)),"",IF(Reprogramaciones!M$12&gt;=7,"",IF(OR(BV153-N(BU153)&gt;0.05,N(S153)&gt;0),ROUNDDOWN(ROUND(BV153,6),0)&amp;"%"&amp;IF(CL153="",""," / "&amp;CL153&amp;"%"),IF(AND(N(BU153)&gt;=99.95,CL153&lt;&gt;"",N(CL153)&lt;100),"Pend. "&amp;CL153&amp;"%",""))))</f>
        <v/>
      </c>
      <c r="AP153" s="40" t="str">
        <f aca="false">IF(OR(OR(NOT(AND(ISNUMBER(E153),ISNUMBER(F153))),$J$2=""),4&gt;MAX(1,Reprogramaciones!$U$15)),"",IF(Reprogramaciones!N$12&gt;=7,"",IF(OR(BW153-N(BV153)&gt;0.05,N(T153)&gt;0),ROUNDDOWN(ROUND(BW153,6),0)&amp;"%"&amp;IF(CM153="",""," / "&amp;CM153&amp;"%"),IF(AND(N(BV153)&gt;=99.95,CM153&lt;&gt;"",N(CM153)&lt;100),"Pend. "&amp;CM153&amp;"%",""))))</f>
        <v/>
      </c>
      <c r="AQ153" s="40" t="str">
        <f aca="false">IF(OR(OR(NOT(AND(ISNUMBER(E153),ISNUMBER(F153))),$J$2=""),5&gt;MAX(1,Reprogramaciones!$U$15)),"",IF(Reprogramaciones!O$12&gt;=7,"",IF(OR(BX153-N(BW153)&gt;0.05,N(U153)&gt;0),ROUNDDOWN(ROUND(BX153,6),0)&amp;"%"&amp;IF(CN153="",""," / "&amp;CN153&amp;"%"),IF(AND(N(BW153)&gt;=99.95,CN153&lt;&gt;"",N(CN153)&lt;100),"Pend. "&amp;CN153&amp;"%",""))))</f>
        <v/>
      </c>
      <c r="AR153" s="40" t="str">
        <f aca="false">IF(OR(OR(NOT(AND(ISNUMBER(E153),ISNUMBER(F153))),$J$2=""),6&gt;MAX(1,Reprogramaciones!$U$15)),"",IF(Reprogramaciones!P$12&gt;=7,"",IF(OR(BY153-N(BX153)&gt;0.05,N(V153)&gt;0),ROUNDDOWN(ROUND(BY153,6),0)&amp;"%"&amp;IF(CO153="",""," / "&amp;CO153&amp;"%"),IF(AND(N(BX153)&gt;=99.95,CO153&lt;&gt;"",N(CO153)&lt;100),"Pend. "&amp;CO153&amp;"%",""))))</f>
        <v/>
      </c>
      <c r="AS153" s="40" t="str">
        <f aca="false">IF(OR(OR(NOT(AND(ISNUMBER(E153),ISNUMBER(F153))),$J$2=""),7&gt;MAX(1,Reprogramaciones!$U$15)),"",IF(Reprogramaciones!Q$12&gt;=7,"",IF(OR(BZ153-N(BY153)&gt;0.05,N(W153)&gt;0),ROUNDDOWN(ROUND(BZ153,6),0)&amp;"%"&amp;IF(CP153="",""," / "&amp;CP153&amp;"%"),IF(AND(N(BY153)&gt;=99.95,CP153&lt;&gt;"",N(CP153)&lt;100),"Pend. "&amp;CP153&amp;"%",""))))</f>
        <v/>
      </c>
      <c r="AT153" s="40" t="str">
        <f aca="false">IF(OR(OR(NOT(AND(ISNUMBER(E153),ISNUMBER(F153))),$J$2=""),8&gt;MAX(1,Reprogramaciones!$U$15)),"",IF(Reprogramaciones!R$12&gt;=7,"",IF(OR(CA153-N(BZ153)&gt;0.05,N(X153)&gt;0),ROUNDDOWN(ROUND(CA153,6),0)&amp;"%"&amp;IF(CQ153="",""," / "&amp;CQ153&amp;"%"),IF(AND(N(BZ153)&gt;=99.95,CQ153&lt;&gt;"",N(CQ153)&lt;100),"Pend. "&amp;CQ153&amp;"%",""))))</f>
        <v/>
      </c>
      <c r="AU153" s="40" t="str">
        <f aca="false">IF(OR(OR(NOT(AND(ISNUMBER(E153),ISNUMBER(F153))),$J$2=""),9&gt;MAX(1,Reprogramaciones!$U$15)),"",IF(Reprogramaciones!S$12&gt;=7,"",IF(OR(CB153-N(CA153)&gt;0.05,N(Y153)&gt;0),ROUNDDOWN(ROUND(CB153,6),0)&amp;"%"&amp;IF(CR153="",""," / "&amp;CR153&amp;"%"),IF(AND(N(CA153)&gt;=99.95,CR153&lt;&gt;"",N(CR153)&lt;100),"Pend. "&amp;CR153&amp;"%",""))))</f>
        <v/>
      </c>
      <c r="AV153" s="40" t="str">
        <f aca="false">IF(OR(OR(NOT(AND(ISNUMBER(E153),ISNUMBER(F153))),$J$2=""),10&gt;MAX(1,Reprogramaciones!$U$15)),"",IF(Reprogramaciones!T$12&gt;=7,"",IF(OR(CC153-N(CB153)&gt;0.05,N(Z153)&gt;0),ROUNDDOWN(ROUND(CC153,6),0)&amp;"%"&amp;IF(CS153="",""," / "&amp;CS153&amp;"%"),IF(AND(N(CB153)&gt;=99.95,CS153&lt;&gt;"",N(CS153)&lt;100),"Pend. "&amp;CS153&amp;"%",""))))</f>
        <v/>
      </c>
      <c r="AW153" s="40" t="str">
        <f aca="false">IF(OR(OR(NOT(AND(ISNUMBER(E153),ISNUMBER(F153))),$J$2=""),11&gt;MAX(1,Reprogramaciones!$U$15)),"",IF(Reprogramaciones!U$12&gt;=7,"",IF(OR(CD153-N(CC153)&gt;0.05,N(AA153)&gt;0),ROUNDDOWN(ROUND(CD153,6),0)&amp;"%"&amp;IF(CT153="",""," / "&amp;CT153&amp;"%"),IF(AND(N(CC153)&gt;=99.95,CT153&lt;&gt;"",N(CT153)&lt;100),"Pend. "&amp;CT153&amp;"%",""))))</f>
        <v/>
      </c>
      <c r="AX153" s="40" t="str">
        <f aca="false">IF(OR(OR(NOT(AND(ISNUMBER(E153),ISNUMBER(F153))),$J$2=""),12&gt;MAX(1,Reprogramaciones!$U$15)),"",IF(Reprogramaciones!V$12&gt;=7,"",IF(OR(CE153-N(CD153)&gt;0.05,N(AB153)&gt;0),ROUNDDOWN(ROUND(CE153,6),0)&amp;"%"&amp;IF(CU153="",""," / "&amp;CU153&amp;"%"),IF(AND(N(CD153)&gt;=99.95,CU153&lt;&gt;"",N(CU153)&lt;100),"Pend. "&amp;CU153&amp;"%",""))))</f>
        <v/>
      </c>
      <c r="AY153" s="40" t="str">
        <f aca="false">IF(OR(OR(NOT(AND(ISNUMBER(E153),ISNUMBER(F153))),$J$2=""),13&gt;MAX(1,Reprogramaciones!$U$15)),"",IF(Reprogramaciones!W$12&gt;=7,"",IF(OR(CF153-N(CE153)&gt;0.05,N(AC153)&gt;0),ROUNDDOWN(ROUND(CF153,6),0)&amp;"%"&amp;IF(CV153="",""," / "&amp;CV153&amp;"%"),IF(AND(N(CE153)&gt;=99.95,CV153&lt;&gt;"",N(CV153)&lt;100),"Pend. "&amp;CV153&amp;"%",""))))</f>
        <v/>
      </c>
      <c r="AZ153" s="40" t="str">
        <f aca="false">IF(OR(OR(NOT(AND(ISNUMBER(E153),ISNUMBER(F153))),$J$2=""),14&gt;MAX(1,Reprogramaciones!$U$15)),"",IF(Reprogramaciones!X$12&gt;=7,"",IF(OR(CG153-N(CF153)&gt;0.05,N(AD153)&gt;0),ROUNDDOWN(ROUND(CG153,6),0)&amp;"%"&amp;IF(CW153="",""," / "&amp;CW153&amp;"%"),IF(AND(N(CF153)&gt;=99.95,CW153&lt;&gt;"",N(CW153)&lt;100),"Pend. "&amp;CW153&amp;"%",""))))</f>
        <v/>
      </c>
      <c r="BA153" s="40" t="str">
        <f aca="false">IF(OR(OR(NOT(AND(ISNUMBER(E153),ISNUMBER(F153))),$J$2=""),15&gt;MAX(1,Reprogramaciones!$U$15)),"",IF(Reprogramaciones!Y$12&gt;=7,"",IF(OR(CH153-N(CG153)&gt;0.05,N(AE153)&gt;0),ROUNDDOWN(ROUND(CH153,6),0)&amp;"%"&amp;IF(CX153="",""," / "&amp;CX153&amp;"%"),IF(AND(N(CG153)&gt;=99.95,CX153&lt;&gt;"",N(CX153)&lt;100),"Pend. "&amp;CX153&amp;"%",""))))</f>
        <v/>
      </c>
      <c r="BB153" s="40" t="str">
        <f aca="false">IF(OR(OR(NOT(AND(ISNUMBER(E153),ISNUMBER(F153))),$J$2=""),16&gt;MAX(1,Reprogramaciones!$U$15)),"",IF(Reprogramaciones!Z$12&gt;=7,"",IF(OR(CI153-N(CH153)&gt;0.05,N(AF153)&gt;0),ROUNDDOWN(ROUND(CI153,6),0)&amp;"%"&amp;IF(CY153="",""," / "&amp;CY153&amp;"%"),IF(AND(N(CH153)&gt;=99.95,CY153&lt;&gt;"",N(CY153)&lt;100),"Pend. "&amp;CY153&amp;"%",""))))</f>
        <v/>
      </c>
      <c r="BC153" s="31" t="n">
        <f aca="false">IF(AND(ISNUMBER(E153),ISNUMBER(F153)),MAX(1,NETWORKDAYS.INTL(E153,F153,11)),0)</f>
        <v>0</v>
      </c>
      <c r="BD153" s="1" t="str">
        <f aca="false">IF(OR(NOT(AND(ISNUMBER(E153),ISNUMBER(F153))),$J$2=""),"",MIN(100,ROUND(SUM($G153:G153),1)))</f>
        <v/>
      </c>
      <c r="BE153" s="1" t="str">
        <f aca="false">IF(OR(NOT(AND(ISNUMBER(E153),ISNUMBER(F153))),$J$2=""),"",MIN(100,ROUND(SUM($G153:H153),1)))</f>
        <v/>
      </c>
      <c r="BF153" s="1" t="str">
        <f aca="false">IF(OR(NOT(AND(ISNUMBER(E153),ISNUMBER(F153))),$J$2=""),"",MIN(100,ROUND(SUM($G153:I153),1)))</f>
        <v/>
      </c>
      <c r="BG153" s="1" t="str">
        <f aca="false">IF(OR(NOT(AND(ISNUMBER(E153),ISNUMBER(F153))),$J$2=""),"",MIN(100,ROUND(SUM($G153:J153),1)))</f>
        <v/>
      </c>
      <c r="BH153" s="1" t="str">
        <f aca="false">IF(OR(NOT(AND(ISNUMBER(E153),ISNUMBER(F153))),$J$2=""),"",MIN(100,ROUND(SUM($G153:K153),1)))</f>
        <v/>
      </c>
      <c r="BI153" s="1" t="str">
        <f aca="false">IF(OR(NOT(AND(ISNUMBER(E153),ISNUMBER(F153))),$J$2=""),"",MIN(100,ROUND(SUM($G153:L153),1)))</f>
        <v/>
      </c>
      <c r="BJ153" s="1" t="str">
        <f aca="false">IF(OR(NOT(AND(ISNUMBER(E153),ISNUMBER(F153))),$J$2=""),"",MIN(100,ROUND(SUM($G153:M153),1)))</f>
        <v/>
      </c>
      <c r="BK153" s="1" t="str">
        <f aca="false">IF(OR(NOT(AND(ISNUMBER(E153),ISNUMBER(F153))),$J$2=""),"",MIN(100,ROUND(SUM($G153:N153),1)))</f>
        <v/>
      </c>
      <c r="BL153" s="1" t="str">
        <f aca="false">IF(OR(NOT(AND(ISNUMBER(E153),ISNUMBER(F153))),$J$2=""),"",MIN(100,ROUND(SUM($G153:O153),1)))</f>
        <v/>
      </c>
      <c r="BM153" s="1" t="str">
        <f aca="false">IF(OR(NOT(AND(ISNUMBER(E153),ISNUMBER(F153))),$J$2=""),"",MIN(100,ROUND(SUM($G153:P153),1)))</f>
        <v/>
      </c>
      <c r="BN153" s="1" t="str">
        <f aca="false">IF(OR(NOT(AND(ISNUMBER(E153),ISNUMBER(F153))),$J$2=""),"",MIN(100,ROUND(SUM($G153:P153),1)))</f>
        <v/>
      </c>
      <c r="BO153" s="1" t="str">
        <f aca="false">IF(OR(NOT(AND(ISNUMBER(E153),ISNUMBER(F153))),$J$2=""),"",MIN(100,ROUND(SUM($G153:P153),1)))</f>
        <v/>
      </c>
      <c r="BP153" s="1" t="str">
        <f aca="false">IF(OR(NOT(AND(ISNUMBER(E153),ISNUMBER(F153))),$J$2=""),"",MIN(100,ROUND(SUM($G153:P153),1)))</f>
        <v/>
      </c>
      <c r="BQ153" s="1" t="str">
        <f aca="false">IF(OR(NOT(AND(ISNUMBER(E153),ISNUMBER(F153))),$J$2=""),"",MIN(100,ROUND(SUM($G153:P153),1)))</f>
        <v/>
      </c>
      <c r="BR153" s="1" t="str">
        <f aca="false">IF(OR(NOT(AND(ISNUMBER(E153),ISNUMBER(F153))),$J$2=""),"",MIN(100,ROUND(SUM($G153:P153),1)))</f>
        <v/>
      </c>
      <c r="BS153" s="1" t="str">
        <f aca="false">IF(OR(NOT(AND(ISNUMBER(E153),ISNUMBER(F153))),$J$2=""),"",MIN(100,ROUND(SUM($G153:P153),1)))</f>
        <v/>
      </c>
      <c r="BT153" s="1" t="str">
        <f aca="false">IF(OR(NOT(AND(ISNUMBER(E153),ISNUMBER(F153))),$J$2=""),"",IF(Reprogramaciones!K$13&lt;Reprogramaciones!$T$15,0,IF(Reprogramaciones!K$14&gt;10,MIN(100,SUM($G153:$P153)),MIN(100,SUMPRODUCT((COLUMN($G153:$P153)-COLUMN($G153)+1&lt;Reprogramaciones!K$14)*$G153:$P153)+N(INDEX($G153:$P153,1,Reprogramaciones!K$14))*IF(Reprogramaciones!K$13&gt;=(Reprogramaciones!$T$15+7*(Reprogramaciones!K$14-1))+6,1,IF(MAX(0,NETWORKDAYS.INTL(MAX(E153,(Reprogramaciones!$T$15+7*(Reprogramaciones!K$14-1))),MIN(F153,(Reprogramaciones!$T$15+7*(Reprogramaciones!K$14-1))+6),11))=0,0,MAX(0,NETWORKDAYS.INTL(MAX(E153,(Reprogramaciones!$T$15+7*(Reprogramaciones!K$14-1))),MIN(F153,Reprogramaciones!K$13),11))/MAX(0,NETWORKDAYS.INTL(MAX(E153,(Reprogramaciones!$T$15+7*(Reprogramaciones!K$14-1))),MIN(F153,(Reprogramaciones!$T$15+7*(Reprogramaciones!K$14-1))+6),11))))))))</f>
        <v/>
      </c>
      <c r="BU153" s="1" t="str">
        <f aca="false">IF(OR(NOT(AND(ISNUMBER(E153),ISNUMBER(F153))),$J$2=""),"",IF(Reprogramaciones!L$13&lt;Reprogramaciones!$T$15,0,IF(Reprogramaciones!L$14&gt;10,MIN(100,SUM($G153:$P153)),MIN(100,SUMPRODUCT((COLUMN($G153:$P153)-COLUMN($G153)+1&lt;Reprogramaciones!L$14)*$G153:$P153)+N(INDEX($G153:$P153,1,Reprogramaciones!L$14))*IF(Reprogramaciones!L$13&gt;=(Reprogramaciones!$T$15+7*(Reprogramaciones!L$14-1))+6,1,IF(MAX(0,NETWORKDAYS.INTL(MAX(E153,(Reprogramaciones!$T$15+7*(Reprogramaciones!L$14-1))),MIN(F153,(Reprogramaciones!$T$15+7*(Reprogramaciones!L$14-1))+6),11))=0,0,MAX(0,NETWORKDAYS.INTL(MAX(E153,(Reprogramaciones!$T$15+7*(Reprogramaciones!L$14-1))),MIN(F153,Reprogramaciones!L$13),11))/MAX(0,NETWORKDAYS.INTL(MAX(E153,(Reprogramaciones!$T$15+7*(Reprogramaciones!L$14-1))),MIN(F153,(Reprogramaciones!$T$15+7*(Reprogramaciones!L$14-1))+6),11))))))))</f>
        <v/>
      </c>
      <c r="BV153" s="1" t="str">
        <f aca="false">IF(OR(NOT(AND(ISNUMBER(E153),ISNUMBER(F153))),$J$2=""),"",IF(Reprogramaciones!M$13&lt;Reprogramaciones!$T$15,0,IF(Reprogramaciones!M$14&gt;10,MIN(100,SUM($G153:$P153)),MIN(100,SUMPRODUCT((COLUMN($G153:$P153)-COLUMN($G153)+1&lt;Reprogramaciones!M$14)*$G153:$P153)+N(INDEX($G153:$P153,1,Reprogramaciones!M$14))*IF(Reprogramaciones!M$13&gt;=(Reprogramaciones!$T$15+7*(Reprogramaciones!M$14-1))+6,1,IF(MAX(0,NETWORKDAYS.INTL(MAX(E153,(Reprogramaciones!$T$15+7*(Reprogramaciones!M$14-1))),MIN(F153,(Reprogramaciones!$T$15+7*(Reprogramaciones!M$14-1))+6),11))=0,0,MAX(0,NETWORKDAYS.INTL(MAX(E153,(Reprogramaciones!$T$15+7*(Reprogramaciones!M$14-1))),MIN(F153,Reprogramaciones!M$13),11))/MAX(0,NETWORKDAYS.INTL(MAX(E153,(Reprogramaciones!$T$15+7*(Reprogramaciones!M$14-1))),MIN(F153,(Reprogramaciones!$T$15+7*(Reprogramaciones!M$14-1))+6),11))))))))</f>
        <v/>
      </c>
      <c r="BW153" s="1" t="str">
        <f aca="false">IF(OR(NOT(AND(ISNUMBER(E153),ISNUMBER(F153))),$J$2=""),"",IF(Reprogramaciones!N$13&lt;Reprogramaciones!$T$15,0,IF(Reprogramaciones!N$14&gt;10,MIN(100,SUM($G153:$P153)),MIN(100,SUMPRODUCT((COLUMN($G153:$P153)-COLUMN($G153)+1&lt;Reprogramaciones!N$14)*$G153:$P153)+N(INDEX($G153:$P153,1,Reprogramaciones!N$14))*IF(Reprogramaciones!N$13&gt;=(Reprogramaciones!$T$15+7*(Reprogramaciones!N$14-1))+6,1,IF(MAX(0,NETWORKDAYS.INTL(MAX(E153,(Reprogramaciones!$T$15+7*(Reprogramaciones!N$14-1))),MIN(F153,(Reprogramaciones!$T$15+7*(Reprogramaciones!N$14-1))+6),11))=0,0,MAX(0,NETWORKDAYS.INTL(MAX(E153,(Reprogramaciones!$T$15+7*(Reprogramaciones!N$14-1))),MIN(F153,Reprogramaciones!N$13),11))/MAX(0,NETWORKDAYS.INTL(MAX(E153,(Reprogramaciones!$T$15+7*(Reprogramaciones!N$14-1))),MIN(F153,(Reprogramaciones!$T$15+7*(Reprogramaciones!N$14-1))+6),11))))))))</f>
        <v/>
      </c>
      <c r="BX153" s="1" t="str">
        <f aca="false">IF(OR(NOT(AND(ISNUMBER(E153),ISNUMBER(F153))),$J$2=""),"",IF(Reprogramaciones!O$13&lt;Reprogramaciones!$T$15,0,IF(Reprogramaciones!O$14&gt;10,MIN(100,SUM($G153:$P153)),MIN(100,SUMPRODUCT((COLUMN($G153:$P153)-COLUMN($G153)+1&lt;Reprogramaciones!O$14)*$G153:$P153)+N(INDEX($G153:$P153,1,Reprogramaciones!O$14))*IF(Reprogramaciones!O$13&gt;=(Reprogramaciones!$T$15+7*(Reprogramaciones!O$14-1))+6,1,IF(MAX(0,NETWORKDAYS.INTL(MAX(E153,(Reprogramaciones!$T$15+7*(Reprogramaciones!O$14-1))),MIN(F153,(Reprogramaciones!$T$15+7*(Reprogramaciones!O$14-1))+6),11))=0,0,MAX(0,NETWORKDAYS.INTL(MAX(E153,(Reprogramaciones!$T$15+7*(Reprogramaciones!O$14-1))),MIN(F153,Reprogramaciones!O$13),11))/MAX(0,NETWORKDAYS.INTL(MAX(E153,(Reprogramaciones!$T$15+7*(Reprogramaciones!O$14-1))),MIN(F153,(Reprogramaciones!$T$15+7*(Reprogramaciones!O$14-1))+6),11))))))))</f>
        <v/>
      </c>
      <c r="BY153" s="1" t="str">
        <f aca="false">IF(OR(NOT(AND(ISNUMBER(E153),ISNUMBER(F153))),$J$2=""),"",IF(Reprogramaciones!P$13&lt;Reprogramaciones!$T$15,0,IF(Reprogramaciones!P$14&gt;10,MIN(100,SUM($G153:$P153)),MIN(100,SUMPRODUCT((COLUMN($G153:$P153)-COLUMN($G153)+1&lt;Reprogramaciones!P$14)*$G153:$P153)+N(INDEX($G153:$P153,1,Reprogramaciones!P$14))*IF(Reprogramaciones!P$13&gt;=(Reprogramaciones!$T$15+7*(Reprogramaciones!P$14-1))+6,1,IF(MAX(0,NETWORKDAYS.INTL(MAX(E153,(Reprogramaciones!$T$15+7*(Reprogramaciones!P$14-1))),MIN(F153,(Reprogramaciones!$T$15+7*(Reprogramaciones!P$14-1))+6),11))=0,0,MAX(0,NETWORKDAYS.INTL(MAX(E153,(Reprogramaciones!$T$15+7*(Reprogramaciones!P$14-1))),MIN(F153,Reprogramaciones!P$13),11))/MAX(0,NETWORKDAYS.INTL(MAX(E153,(Reprogramaciones!$T$15+7*(Reprogramaciones!P$14-1))),MIN(F153,(Reprogramaciones!$T$15+7*(Reprogramaciones!P$14-1))+6),11))))))))</f>
        <v/>
      </c>
      <c r="BZ153" s="1" t="str">
        <f aca="false">IF(OR(NOT(AND(ISNUMBER(E153),ISNUMBER(F153))),$J$2=""),"",IF(Reprogramaciones!Q$13&lt;Reprogramaciones!$T$15,0,IF(Reprogramaciones!Q$14&gt;10,MIN(100,SUM($G153:$P153)),MIN(100,SUMPRODUCT((COLUMN($G153:$P153)-COLUMN($G153)+1&lt;Reprogramaciones!Q$14)*$G153:$P153)+N(INDEX($G153:$P153,1,Reprogramaciones!Q$14))*IF(Reprogramaciones!Q$13&gt;=(Reprogramaciones!$T$15+7*(Reprogramaciones!Q$14-1))+6,1,IF(MAX(0,NETWORKDAYS.INTL(MAX(E153,(Reprogramaciones!$T$15+7*(Reprogramaciones!Q$14-1))),MIN(F153,(Reprogramaciones!$T$15+7*(Reprogramaciones!Q$14-1))+6),11))=0,0,MAX(0,NETWORKDAYS.INTL(MAX(E153,(Reprogramaciones!$T$15+7*(Reprogramaciones!Q$14-1))),MIN(F153,Reprogramaciones!Q$13),11))/MAX(0,NETWORKDAYS.INTL(MAX(E153,(Reprogramaciones!$T$15+7*(Reprogramaciones!Q$14-1))),MIN(F153,(Reprogramaciones!$T$15+7*(Reprogramaciones!Q$14-1))+6),11))))))))</f>
        <v/>
      </c>
      <c r="CA153" s="1" t="str">
        <f aca="false">IF(OR(NOT(AND(ISNUMBER(E153),ISNUMBER(F153))),$J$2=""),"",IF(Reprogramaciones!R$13&lt;Reprogramaciones!$T$15,0,IF(Reprogramaciones!R$14&gt;10,MIN(100,SUM($G153:$P153)),MIN(100,SUMPRODUCT((COLUMN($G153:$P153)-COLUMN($G153)+1&lt;Reprogramaciones!R$14)*$G153:$P153)+N(INDEX($G153:$P153,1,Reprogramaciones!R$14))*IF(Reprogramaciones!R$13&gt;=(Reprogramaciones!$T$15+7*(Reprogramaciones!R$14-1))+6,1,IF(MAX(0,NETWORKDAYS.INTL(MAX(E153,(Reprogramaciones!$T$15+7*(Reprogramaciones!R$14-1))),MIN(F153,(Reprogramaciones!$T$15+7*(Reprogramaciones!R$14-1))+6),11))=0,0,MAX(0,NETWORKDAYS.INTL(MAX(E153,(Reprogramaciones!$T$15+7*(Reprogramaciones!R$14-1))),MIN(F153,Reprogramaciones!R$13),11))/MAX(0,NETWORKDAYS.INTL(MAX(E153,(Reprogramaciones!$T$15+7*(Reprogramaciones!R$14-1))),MIN(F153,(Reprogramaciones!$T$15+7*(Reprogramaciones!R$14-1))+6),11))))))))</f>
        <v/>
      </c>
      <c r="CB153" s="1" t="str">
        <f aca="false">IF(OR(NOT(AND(ISNUMBER(E153),ISNUMBER(F153))),$J$2=""),"",IF(Reprogramaciones!S$13&lt;Reprogramaciones!$T$15,0,IF(Reprogramaciones!S$14&gt;10,MIN(100,SUM($G153:$P153)),MIN(100,SUMPRODUCT((COLUMN($G153:$P153)-COLUMN($G153)+1&lt;Reprogramaciones!S$14)*$G153:$P153)+N(INDEX($G153:$P153,1,Reprogramaciones!S$14))*IF(Reprogramaciones!S$13&gt;=(Reprogramaciones!$T$15+7*(Reprogramaciones!S$14-1))+6,1,IF(MAX(0,NETWORKDAYS.INTL(MAX(E153,(Reprogramaciones!$T$15+7*(Reprogramaciones!S$14-1))),MIN(F153,(Reprogramaciones!$T$15+7*(Reprogramaciones!S$14-1))+6),11))=0,0,MAX(0,NETWORKDAYS.INTL(MAX(E153,(Reprogramaciones!$T$15+7*(Reprogramaciones!S$14-1))),MIN(F153,Reprogramaciones!S$13),11))/MAX(0,NETWORKDAYS.INTL(MAX(E153,(Reprogramaciones!$T$15+7*(Reprogramaciones!S$14-1))),MIN(F153,(Reprogramaciones!$T$15+7*(Reprogramaciones!S$14-1))+6),11))))))))</f>
        <v/>
      </c>
      <c r="CC153" s="1" t="str">
        <f aca="false">IF(OR(NOT(AND(ISNUMBER(E153),ISNUMBER(F153))),$J$2=""),"",IF(Reprogramaciones!T$13&lt;Reprogramaciones!$T$15,0,IF(Reprogramaciones!T$14&gt;10,MIN(100,SUM($G153:$P153)),MIN(100,SUMPRODUCT((COLUMN($G153:$P153)-COLUMN($G153)+1&lt;Reprogramaciones!T$14)*$G153:$P153)+N(INDEX($G153:$P153,1,Reprogramaciones!T$14))*IF(Reprogramaciones!T$13&gt;=(Reprogramaciones!$T$15+7*(Reprogramaciones!T$14-1))+6,1,IF(MAX(0,NETWORKDAYS.INTL(MAX(E153,(Reprogramaciones!$T$15+7*(Reprogramaciones!T$14-1))),MIN(F153,(Reprogramaciones!$T$15+7*(Reprogramaciones!T$14-1))+6),11))=0,0,MAX(0,NETWORKDAYS.INTL(MAX(E153,(Reprogramaciones!$T$15+7*(Reprogramaciones!T$14-1))),MIN(F153,Reprogramaciones!T$13),11))/MAX(0,NETWORKDAYS.INTL(MAX(E153,(Reprogramaciones!$T$15+7*(Reprogramaciones!T$14-1))),MIN(F153,(Reprogramaciones!$T$15+7*(Reprogramaciones!T$14-1))+6),11))))))))</f>
        <v/>
      </c>
      <c r="CD153" s="1" t="str">
        <f aca="false">IF(OR(NOT(AND(ISNUMBER(E153),ISNUMBER(F153))),$J$2=""),"",IF(Reprogramaciones!U$13&lt;Reprogramaciones!$T$15,0,IF(Reprogramaciones!U$14&gt;10,MIN(100,SUM($G153:$P153)),MIN(100,SUMPRODUCT((COLUMN($G153:$P153)-COLUMN($G153)+1&lt;Reprogramaciones!U$14)*$G153:$P153)+N(INDEX($G153:$P153,1,Reprogramaciones!U$14))*IF(Reprogramaciones!U$13&gt;=(Reprogramaciones!$T$15+7*(Reprogramaciones!U$14-1))+6,1,IF(MAX(0,NETWORKDAYS.INTL(MAX(E153,(Reprogramaciones!$T$15+7*(Reprogramaciones!U$14-1))),MIN(F153,(Reprogramaciones!$T$15+7*(Reprogramaciones!U$14-1))+6),11))=0,0,MAX(0,NETWORKDAYS.INTL(MAX(E153,(Reprogramaciones!$T$15+7*(Reprogramaciones!U$14-1))),MIN(F153,Reprogramaciones!U$13),11))/MAX(0,NETWORKDAYS.INTL(MAX(E153,(Reprogramaciones!$T$15+7*(Reprogramaciones!U$14-1))),MIN(F153,(Reprogramaciones!$T$15+7*(Reprogramaciones!U$14-1))+6),11))))))))</f>
        <v/>
      </c>
      <c r="CE153" s="1" t="str">
        <f aca="false">IF(OR(NOT(AND(ISNUMBER(E153),ISNUMBER(F153))),$J$2=""),"",IF(Reprogramaciones!V$13&lt;Reprogramaciones!$T$15,0,IF(Reprogramaciones!V$14&gt;10,MIN(100,SUM($G153:$P153)),MIN(100,SUMPRODUCT((COLUMN($G153:$P153)-COLUMN($G153)+1&lt;Reprogramaciones!V$14)*$G153:$P153)+N(INDEX($G153:$P153,1,Reprogramaciones!V$14))*IF(Reprogramaciones!V$13&gt;=(Reprogramaciones!$T$15+7*(Reprogramaciones!V$14-1))+6,1,IF(MAX(0,NETWORKDAYS.INTL(MAX(E153,(Reprogramaciones!$T$15+7*(Reprogramaciones!V$14-1))),MIN(F153,(Reprogramaciones!$T$15+7*(Reprogramaciones!V$14-1))+6),11))=0,0,MAX(0,NETWORKDAYS.INTL(MAX(E153,(Reprogramaciones!$T$15+7*(Reprogramaciones!V$14-1))),MIN(F153,Reprogramaciones!V$13),11))/MAX(0,NETWORKDAYS.INTL(MAX(E153,(Reprogramaciones!$T$15+7*(Reprogramaciones!V$14-1))),MIN(F153,(Reprogramaciones!$T$15+7*(Reprogramaciones!V$14-1))+6),11))))))))</f>
        <v/>
      </c>
      <c r="CF153" s="1" t="str">
        <f aca="false">IF(OR(NOT(AND(ISNUMBER(E153),ISNUMBER(F153))),$J$2=""),"",IF(Reprogramaciones!W$13&lt;Reprogramaciones!$T$15,0,IF(Reprogramaciones!W$14&gt;10,MIN(100,SUM($G153:$P153)),MIN(100,SUMPRODUCT((COLUMN($G153:$P153)-COLUMN($G153)+1&lt;Reprogramaciones!W$14)*$G153:$P153)+N(INDEX($G153:$P153,1,Reprogramaciones!W$14))*IF(Reprogramaciones!W$13&gt;=(Reprogramaciones!$T$15+7*(Reprogramaciones!W$14-1))+6,1,IF(MAX(0,NETWORKDAYS.INTL(MAX(E153,(Reprogramaciones!$T$15+7*(Reprogramaciones!W$14-1))),MIN(F153,(Reprogramaciones!$T$15+7*(Reprogramaciones!W$14-1))+6),11))=0,0,MAX(0,NETWORKDAYS.INTL(MAX(E153,(Reprogramaciones!$T$15+7*(Reprogramaciones!W$14-1))),MIN(F153,Reprogramaciones!W$13),11))/MAX(0,NETWORKDAYS.INTL(MAX(E153,(Reprogramaciones!$T$15+7*(Reprogramaciones!W$14-1))),MIN(F153,(Reprogramaciones!$T$15+7*(Reprogramaciones!W$14-1))+6),11))))))))</f>
        <v/>
      </c>
      <c r="CG153" s="1" t="str">
        <f aca="false">IF(OR(NOT(AND(ISNUMBER(E153),ISNUMBER(F153))),$J$2=""),"",IF(Reprogramaciones!X$13&lt;Reprogramaciones!$T$15,0,IF(Reprogramaciones!X$14&gt;10,MIN(100,SUM($G153:$P153)),MIN(100,SUMPRODUCT((COLUMN($G153:$P153)-COLUMN($G153)+1&lt;Reprogramaciones!X$14)*$G153:$P153)+N(INDEX($G153:$P153,1,Reprogramaciones!X$14))*IF(Reprogramaciones!X$13&gt;=(Reprogramaciones!$T$15+7*(Reprogramaciones!X$14-1))+6,1,IF(MAX(0,NETWORKDAYS.INTL(MAX(E153,(Reprogramaciones!$T$15+7*(Reprogramaciones!X$14-1))),MIN(F153,(Reprogramaciones!$T$15+7*(Reprogramaciones!X$14-1))+6),11))=0,0,MAX(0,NETWORKDAYS.INTL(MAX(E153,(Reprogramaciones!$T$15+7*(Reprogramaciones!X$14-1))),MIN(F153,Reprogramaciones!X$13),11))/MAX(0,NETWORKDAYS.INTL(MAX(E153,(Reprogramaciones!$T$15+7*(Reprogramaciones!X$14-1))),MIN(F153,(Reprogramaciones!$T$15+7*(Reprogramaciones!X$14-1))+6),11))))))))</f>
        <v/>
      </c>
      <c r="CH153" s="1" t="str">
        <f aca="false">IF(OR(NOT(AND(ISNUMBER(E153),ISNUMBER(F153))),$J$2=""),"",IF(Reprogramaciones!Y$13&lt;Reprogramaciones!$T$15,0,IF(Reprogramaciones!Y$14&gt;10,MIN(100,SUM($G153:$P153)),MIN(100,SUMPRODUCT((COLUMN($G153:$P153)-COLUMN($G153)+1&lt;Reprogramaciones!Y$14)*$G153:$P153)+N(INDEX($G153:$P153,1,Reprogramaciones!Y$14))*IF(Reprogramaciones!Y$13&gt;=(Reprogramaciones!$T$15+7*(Reprogramaciones!Y$14-1))+6,1,IF(MAX(0,NETWORKDAYS.INTL(MAX(E153,(Reprogramaciones!$T$15+7*(Reprogramaciones!Y$14-1))),MIN(F153,(Reprogramaciones!$T$15+7*(Reprogramaciones!Y$14-1))+6),11))=0,0,MAX(0,NETWORKDAYS.INTL(MAX(E153,(Reprogramaciones!$T$15+7*(Reprogramaciones!Y$14-1))),MIN(F153,Reprogramaciones!Y$13),11))/MAX(0,NETWORKDAYS.INTL(MAX(E153,(Reprogramaciones!$T$15+7*(Reprogramaciones!Y$14-1))),MIN(F153,(Reprogramaciones!$T$15+7*(Reprogramaciones!Y$14-1))+6),11))))))))</f>
        <v/>
      </c>
      <c r="CI153" s="1" t="str">
        <f aca="false">IF(OR(NOT(AND(ISNUMBER(E153),ISNUMBER(F153))),$J$2=""),"",IF(Reprogramaciones!Z$13&lt;Reprogramaciones!$T$15,0,IF(Reprogramaciones!Z$14&gt;10,MIN(100,SUM($G153:$P153)),MIN(100,SUMPRODUCT((COLUMN($G153:$P153)-COLUMN($G153)+1&lt;Reprogramaciones!Z$14)*$G153:$P153)+N(INDEX($G153:$P153,1,Reprogramaciones!Z$14))*IF(Reprogramaciones!Z$13&gt;=(Reprogramaciones!$T$15+7*(Reprogramaciones!Z$14-1))+6,1,IF(MAX(0,NETWORKDAYS.INTL(MAX(E153,(Reprogramaciones!$T$15+7*(Reprogramaciones!Z$14-1))),MIN(F153,(Reprogramaciones!$T$15+7*(Reprogramaciones!Z$14-1))+6),11))=0,0,MAX(0,NETWORKDAYS.INTL(MAX(E153,(Reprogramaciones!$T$15+7*(Reprogramaciones!Z$14-1))),MIN(F153,Reprogramaciones!Z$13),11))/MAX(0,NETWORKDAYS.INTL(MAX(E153,(Reprogramaciones!$T$15+7*(Reprogramaciones!Z$14-1))),MIN(F153,(Reprogramaciones!$T$15+7*(Reprogramaciones!Z$14-1))+6),11))))))))</f>
        <v/>
      </c>
      <c r="CJ153" s="1" t="str">
        <f aca="false">IF(OR(OR(NOT(AND(ISNUMBER(E153),ISNUMBER(F153))),$J$2=""),1&gt;Reprogramaciones!$K$16),"",IF(ROUND(SUM($Q153:Q153),1)&gt;=99.5,100,MIN(100,ROUND(SUM($Q153:Q153),1))))</f>
        <v/>
      </c>
      <c r="CK153" s="1" t="str">
        <f aca="false">IF(OR(OR(NOT(AND(ISNUMBER(E153),ISNUMBER(F153))),$J$2=""),2&gt;Reprogramaciones!$K$16),"",IF(ROUND(SUM($Q153:R153),1)&gt;=99.5,100,MIN(100,ROUND(SUM($Q153:R153),1))))</f>
        <v/>
      </c>
      <c r="CL153" s="1" t="str">
        <f aca="false">IF(OR(OR(NOT(AND(ISNUMBER(E153),ISNUMBER(F153))),$J$2=""),3&gt;Reprogramaciones!$K$16),"",IF(ROUND(SUM($Q153:S153),1)&gt;=99.5,100,MIN(100,ROUND(SUM($Q153:S153),1))))</f>
        <v/>
      </c>
      <c r="CM153" s="1" t="str">
        <f aca="false">IF(OR(OR(NOT(AND(ISNUMBER(E153),ISNUMBER(F153))),$J$2=""),4&gt;Reprogramaciones!$K$16),"",IF(ROUND(SUM($Q153:T153),1)&gt;=99.5,100,MIN(100,ROUND(SUM($Q153:T153),1))))</f>
        <v/>
      </c>
      <c r="CN153" s="1" t="str">
        <f aca="false">IF(OR(OR(NOT(AND(ISNUMBER(E153),ISNUMBER(F153))),$J$2=""),5&gt;Reprogramaciones!$K$16),"",IF(ROUND(SUM($Q153:U153),1)&gt;=99.5,100,MIN(100,ROUND(SUM($Q153:U153),1))))</f>
        <v/>
      </c>
      <c r="CO153" s="1" t="str">
        <f aca="false">IF(OR(OR(NOT(AND(ISNUMBER(E153),ISNUMBER(F153))),$J$2=""),6&gt;Reprogramaciones!$K$16),"",IF(ROUND(SUM($Q153:V153),1)&gt;=99.5,100,MIN(100,ROUND(SUM($Q153:V153),1))))</f>
        <v/>
      </c>
      <c r="CP153" s="1" t="str">
        <f aca="false">IF(OR(OR(NOT(AND(ISNUMBER(E153),ISNUMBER(F153))),$J$2=""),7&gt;Reprogramaciones!$K$16),"",IF(ROUND(SUM($Q153:W153),1)&gt;=99.5,100,MIN(100,ROUND(SUM($Q153:W153),1))))</f>
        <v/>
      </c>
      <c r="CQ153" s="1" t="str">
        <f aca="false">IF(OR(OR(NOT(AND(ISNUMBER(E153),ISNUMBER(F153))),$J$2=""),8&gt;Reprogramaciones!$K$16),"",IF(ROUND(SUM($Q153:X153),1)&gt;=99.5,100,MIN(100,ROUND(SUM($Q153:X153),1))))</f>
        <v/>
      </c>
      <c r="CR153" s="1" t="str">
        <f aca="false">IF(OR(OR(NOT(AND(ISNUMBER(E153),ISNUMBER(F153))),$J$2=""),9&gt;Reprogramaciones!$K$16),"",IF(ROUND(SUM($Q153:Y153),1)&gt;=99.5,100,MIN(100,ROUND(SUM($Q153:Y153),1))))</f>
        <v/>
      </c>
      <c r="CS153" s="1" t="str">
        <f aca="false">IF(OR(OR(NOT(AND(ISNUMBER(E153),ISNUMBER(F153))),$J$2=""),10&gt;Reprogramaciones!$K$16),"",IF(ROUND(SUM($Q153:Z153),1)&gt;=99.5,100,MIN(100,ROUND(SUM($Q153:Z153),1))))</f>
        <v/>
      </c>
      <c r="CT153" s="1" t="str">
        <f aca="false">IF(OR(OR(NOT(AND(ISNUMBER(E153),ISNUMBER(F153))),$J$2=""),11&gt;Reprogramaciones!$K$16),"",IF(ROUND(SUM($Q153:AA153),1)&gt;=99.5,100,MIN(100,ROUND(SUM($Q153:AA153),1))))</f>
        <v/>
      </c>
      <c r="CU153" s="1" t="str">
        <f aca="false">IF(OR(OR(NOT(AND(ISNUMBER(E153),ISNUMBER(F153))),$J$2=""),12&gt;Reprogramaciones!$K$16),"",IF(ROUND(SUM($Q153:AB153),1)&gt;=99.5,100,MIN(100,ROUND(SUM($Q153:AB153),1))))</f>
        <v/>
      </c>
      <c r="CV153" s="1" t="str">
        <f aca="false">IF(OR(OR(NOT(AND(ISNUMBER(E153),ISNUMBER(F153))),$J$2=""),13&gt;Reprogramaciones!$K$16),"",IF(ROUND(SUM($Q153:AC153),1)&gt;=99.5,100,MIN(100,ROUND(SUM($Q153:AC153),1))))</f>
        <v/>
      </c>
      <c r="CW153" s="1" t="str">
        <f aca="false">IF(OR(OR(NOT(AND(ISNUMBER(E153),ISNUMBER(F153))),$J$2=""),14&gt;Reprogramaciones!$K$16),"",IF(ROUND(SUM($Q153:AD153),1)&gt;=99.5,100,MIN(100,ROUND(SUM($Q153:AD153),1))))</f>
        <v/>
      </c>
      <c r="CX153" s="1" t="str">
        <f aca="false">IF(OR(OR(NOT(AND(ISNUMBER(E153),ISNUMBER(F153))),$J$2=""),15&gt;Reprogramaciones!$K$16),"",IF(ROUND(SUM($Q153:AE153),1)&gt;=99.5,100,MIN(100,ROUND(SUM($Q153:AE153),1))))</f>
        <v/>
      </c>
      <c r="CY153" s="1" t="str">
        <f aca="false">IF(OR(OR(NOT(AND(ISNUMBER(E153),ISNUMBER(F153))),$J$2=""),16&gt;Reprogramaciones!$K$16),"",IF(ROUND(SUM($Q153:AF153),1)&gt;=99.5,100,MIN(100,ROUND(SUM($Q153:AF153),1))))</f>
        <v/>
      </c>
      <c r="CZ153" s="1" t="str">
        <f aca="false">IF(D153&lt;&gt;"",D153,IF(B153&lt;&gt;"","Contractual",CZ152))</f>
        <v>Contractual</v>
      </c>
      <c r="DA153" s="1" t="str">
        <f aca="false">IF(OR(NOT(AND(ISNUMBER(E153),ISNUMBER(F153))),$J$2=""),"",IF(Reprogramaciones!$Q$15&lt;Reprogramaciones!$T$15,0,IF(Reprogramaciones!$S$15&gt;10,MIN(100,SUM($G153:$P153)),MIN(100,SUMPRODUCT((COLUMN($G153:$P153)-COLUMN($G153)+1&lt;Reprogramaciones!$S$15)*$G153:$P153)+N(INDEX($G153:$P153,1,Reprogramaciones!$S$15))*IF(Reprogramaciones!$Q$15&gt;=(Reprogramaciones!$T$15+7*(Reprogramaciones!$S$15-1))+6,1,IF(MAX(0,NETWORKDAYS.INTL(MAX(E153,(Reprogramaciones!$T$15+7*(Reprogramaciones!$S$15-1))),MIN(F153,(Reprogramaciones!$T$15+7*(Reprogramaciones!$S$15-1))+6),11))=0,0,MAX(0,NETWORKDAYS.INTL(MAX(E153,(Reprogramaciones!$T$15+7*(Reprogramaciones!$S$15-1))),MIN(F153,Reprogramaciones!$Q$15),11))/MAX(0,NETWORKDAYS.INTL(MAX(E153,(Reprogramaciones!$T$15+7*(Reprogramaciones!$S$15-1))),MIN(F153,(Reprogramaciones!$T$15+7*(Reprogramaciones!$S$15-1))+6),11))))))))</f>
        <v/>
      </c>
    </row>
    <row r="154" customFormat="false" ht="15" hidden="false" customHeight="false" outlineLevel="0" collapsed="false">
      <c r="A154" s="32"/>
      <c r="B154" s="33"/>
      <c r="C154" s="33"/>
      <c r="D154" s="34"/>
      <c r="E154" s="35"/>
      <c r="F154" s="35"/>
      <c r="G154" s="36" t="str">
        <f aca="false">IF(OR(NOT(AND(ISNUMBER(E154),ISNUMBER(F154))),$J$2=""),"",IF(Reprogramaciones!K$9&lt;E154,0,IF(NETWORKDAYS.INTL(E154,F154,11)=0,IF(Reprogramaciones!K$9&gt;=F154,100,0),ROUND(NETWORKDAYS.INTL(E154,MIN(F154,Reprogramaciones!K$9),11)/NETWORKDAYS.INTL(E154,F154,11)*100,1)))-0)</f>
        <v/>
      </c>
      <c r="H154" s="36" t="str">
        <f aca="false">IF(OR(NOT(AND(ISNUMBER(E154),ISNUMBER(F154))),$J$2=""),"",IF(Reprogramaciones!L$9&lt;E154,0,IF(NETWORKDAYS.INTL(E154,F154,11)=0,IF(Reprogramaciones!L$9&gt;=F154,100,0),ROUND(NETWORKDAYS.INTL(E154,MIN(F154,Reprogramaciones!L$9),11)/NETWORKDAYS.INTL(E154,F154,11)*100,1)))-IF(Reprogramaciones!K$9&lt;E154,0,IF(NETWORKDAYS.INTL(E154,F154,11)=0,IF(Reprogramaciones!K$9&gt;=F154,100,0),ROUND(NETWORKDAYS.INTL(E154,MIN(F154,Reprogramaciones!K$9),11)/NETWORKDAYS.INTL(E154,F154,11)*100,1))))</f>
        <v/>
      </c>
      <c r="I154" s="36" t="str">
        <f aca="false">IF(OR(NOT(AND(ISNUMBER(E154),ISNUMBER(F154))),$J$2=""),"",IF(Reprogramaciones!M$9&lt;E154,0,IF(NETWORKDAYS.INTL(E154,F154,11)=0,IF(Reprogramaciones!M$9&gt;=F154,100,0),ROUND(NETWORKDAYS.INTL(E154,MIN(F154,Reprogramaciones!M$9),11)/NETWORKDAYS.INTL(E154,F154,11)*100,1)))-IF(Reprogramaciones!L$9&lt;E154,0,IF(NETWORKDAYS.INTL(E154,F154,11)=0,IF(Reprogramaciones!L$9&gt;=F154,100,0),ROUND(NETWORKDAYS.INTL(E154,MIN(F154,Reprogramaciones!L$9),11)/NETWORKDAYS.INTL(E154,F154,11)*100,1))))</f>
        <v/>
      </c>
      <c r="J154" s="36" t="str">
        <f aca="false">IF(OR(NOT(AND(ISNUMBER(E154),ISNUMBER(F154))),$J$2=""),"",IF(Reprogramaciones!N$9&lt;E154,0,IF(NETWORKDAYS.INTL(E154,F154,11)=0,IF(Reprogramaciones!N$9&gt;=F154,100,0),ROUND(NETWORKDAYS.INTL(E154,MIN(F154,Reprogramaciones!N$9),11)/NETWORKDAYS.INTL(E154,F154,11)*100,1)))-IF(Reprogramaciones!M$9&lt;E154,0,IF(NETWORKDAYS.INTL(E154,F154,11)=0,IF(Reprogramaciones!M$9&gt;=F154,100,0),ROUND(NETWORKDAYS.INTL(E154,MIN(F154,Reprogramaciones!M$9),11)/NETWORKDAYS.INTL(E154,F154,11)*100,1))))</f>
        <v/>
      </c>
      <c r="K154" s="36" t="str">
        <f aca="false">IF(OR(NOT(AND(ISNUMBER(E154),ISNUMBER(F154))),$J$2=""),"",IF(Reprogramaciones!O$9&lt;E154,0,IF(NETWORKDAYS.INTL(E154,F154,11)=0,IF(Reprogramaciones!O$9&gt;=F154,100,0),ROUND(NETWORKDAYS.INTL(E154,MIN(F154,Reprogramaciones!O$9),11)/NETWORKDAYS.INTL(E154,F154,11)*100,1)))-IF(Reprogramaciones!N$9&lt;E154,0,IF(NETWORKDAYS.INTL(E154,F154,11)=0,IF(Reprogramaciones!N$9&gt;=F154,100,0),ROUND(NETWORKDAYS.INTL(E154,MIN(F154,Reprogramaciones!N$9),11)/NETWORKDAYS.INTL(E154,F154,11)*100,1))))</f>
        <v/>
      </c>
      <c r="L154" s="36" t="str">
        <f aca="false">IF(OR(NOT(AND(ISNUMBER(E154),ISNUMBER(F154))),$J$2=""),"",IF(Reprogramaciones!P$9&lt;E154,0,IF(NETWORKDAYS.INTL(E154,F154,11)=0,IF(Reprogramaciones!P$9&gt;=F154,100,0),ROUND(NETWORKDAYS.INTL(E154,MIN(F154,Reprogramaciones!P$9),11)/NETWORKDAYS.INTL(E154,F154,11)*100,1)))-IF(Reprogramaciones!O$9&lt;E154,0,IF(NETWORKDAYS.INTL(E154,F154,11)=0,IF(Reprogramaciones!O$9&gt;=F154,100,0),ROUND(NETWORKDAYS.INTL(E154,MIN(F154,Reprogramaciones!O$9),11)/NETWORKDAYS.INTL(E154,F154,11)*100,1))))</f>
        <v/>
      </c>
      <c r="M154" s="36" t="str">
        <f aca="false">IF(OR(NOT(AND(ISNUMBER(E154),ISNUMBER(F154))),$J$2=""),"",IF(Reprogramaciones!Q$9&lt;E154,0,IF(NETWORKDAYS.INTL(E154,F154,11)=0,IF(Reprogramaciones!Q$9&gt;=F154,100,0),ROUND(NETWORKDAYS.INTL(E154,MIN(F154,Reprogramaciones!Q$9),11)/NETWORKDAYS.INTL(E154,F154,11)*100,1)))-IF(Reprogramaciones!P$9&lt;E154,0,IF(NETWORKDAYS.INTL(E154,F154,11)=0,IF(Reprogramaciones!P$9&gt;=F154,100,0),ROUND(NETWORKDAYS.INTL(E154,MIN(F154,Reprogramaciones!P$9),11)/NETWORKDAYS.INTL(E154,F154,11)*100,1))))</f>
        <v/>
      </c>
      <c r="N154" s="36" t="str">
        <f aca="false">IF(OR(NOT(AND(ISNUMBER(E154),ISNUMBER(F154))),$J$2=""),"",IF(Reprogramaciones!R$9&lt;E154,0,IF(NETWORKDAYS.INTL(E154,F154,11)=0,IF(Reprogramaciones!R$9&gt;=F154,100,0),ROUND(NETWORKDAYS.INTL(E154,MIN(F154,Reprogramaciones!R$9),11)/NETWORKDAYS.INTL(E154,F154,11)*100,1)))-IF(Reprogramaciones!Q$9&lt;E154,0,IF(NETWORKDAYS.INTL(E154,F154,11)=0,IF(Reprogramaciones!Q$9&gt;=F154,100,0),ROUND(NETWORKDAYS.INTL(E154,MIN(F154,Reprogramaciones!Q$9),11)/NETWORKDAYS.INTL(E154,F154,11)*100,1))))</f>
        <v/>
      </c>
      <c r="O154" s="36" t="str">
        <f aca="false">IF(OR(NOT(AND(ISNUMBER(E154),ISNUMBER(F154))),$J$2=""),"",IF(Reprogramaciones!S$9&lt;E154,0,IF(NETWORKDAYS.INTL(E154,F154,11)=0,IF(Reprogramaciones!S$9&gt;=F154,100,0),ROUND(NETWORKDAYS.INTL(E154,MIN(F154,Reprogramaciones!S$9),11)/NETWORKDAYS.INTL(E154,F154,11)*100,1)))-IF(Reprogramaciones!R$9&lt;E154,0,IF(NETWORKDAYS.INTL(E154,F154,11)=0,IF(Reprogramaciones!R$9&gt;=F154,100,0),ROUND(NETWORKDAYS.INTL(E154,MIN(F154,Reprogramaciones!R$9),11)/NETWORKDAYS.INTL(E154,F154,11)*100,1))))</f>
        <v/>
      </c>
      <c r="P154" s="36" t="str">
        <f aca="false">IF(OR(NOT(AND(ISNUMBER(E154),ISNUMBER(F154))),$J$2=""),"",IF(Reprogramaciones!T$9&lt;E154,0,IF(NETWORKDAYS.INTL(E154,F154,11)=0,IF(Reprogramaciones!T$9&gt;=F154,100,0),ROUND(NETWORKDAYS.INTL(E154,MIN(F154,Reprogramaciones!T$9),11)/NETWORKDAYS.INTL(E154,F154,11)*100,1)))-IF(Reprogramaciones!S$9&lt;E154,0,IF(NETWORKDAYS.INTL(E154,F154,11)=0,IF(Reprogramaciones!S$9&gt;=F154,100,0),ROUND(NETWORKDAYS.INTL(E154,MIN(F154,Reprogramaciones!S$9),11)/NETWORKDAYS.INTL(E154,F154,11)*100,1))))</f>
        <v/>
      </c>
      <c r="Q154" s="37"/>
      <c r="R154" s="37"/>
      <c r="S154" s="37"/>
      <c r="T154" s="37"/>
      <c r="U154" s="37"/>
      <c r="V154" s="37"/>
      <c r="W154" s="37"/>
      <c r="X154" s="37"/>
      <c r="Y154" s="37"/>
      <c r="Z154" s="37"/>
      <c r="AA154" s="37"/>
      <c r="AB154" s="37"/>
      <c r="AC154" s="37"/>
      <c r="AD154" s="37"/>
      <c r="AE154" s="37"/>
      <c r="AF154" s="37"/>
      <c r="AG154" s="38" t="str">
        <f aca="false">IF(AND(ISNUMBER(E154),ISNUMBER(F154)),NETWORKDAYS.INTL(E154,F154,11),"")</f>
        <v/>
      </c>
      <c r="AH154" s="38" t="str">
        <f aca="false">IF(OR(NOT(AND(ISNUMBER(E154),ISNUMBER(F154))),$J$2=""),"",IF(Reprogramaciones!$P$15&lt;Reprogramaciones!$T$15,0,IF(Reprogramaciones!$R$15&gt;10,MIN(100,SUM($G154:$P154)),MIN(100,SUMPRODUCT((COLUMN($G154:$P154)-COLUMN($G154)+1&lt;Reprogramaciones!$R$15)*$G154:$P154)+N(INDEX($G154:$P154,1,Reprogramaciones!$R$15))*IF(Reprogramaciones!$P$15&gt;=(Reprogramaciones!$T$15+7*(Reprogramaciones!$R$15-1))+6,1,IF(MAX(0,NETWORKDAYS.INTL(MAX(E154,(Reprogramaciones!$T$15+7*(Reprogramaciones!$R$15-1))),MIN(F154,(Reprogramaciones!$T$15+7*(Reprogramaciones!$R$15-1))+6),11))=0,0,MAX(0,NETWORKDAYS.INTL(MAX(E154,(Reprogramaciones!$T$15+7*(Reprogramaciones!$R$15-1))),MIN(F154,Reprogramaciones!$P$15),11))/MAX(0,NETWORKDAYS.INTL(MAX(E154,(Reprogramaciones!$T$15+7*(Reprogramaciones!$R$15-1))),MIN(F154,(Reprogramaciones!$T$15+7*(Reprogramaciones!$R$15-1))+6),11))))))))</f>
        <v/>
      </c>
      <c r="AI154" s="38" t="str">
        <f aca="false">IF(COUNT($Q154:$AF154)=0,"",IF(ROUND(SUM($Q154:$AF154),1)&gt;=99.5,100,MIN(100,ROUND(SUM($Q154:$AF154),1))))</f>
        <v/>
      </c>
      <c r="AJ154" s="38" t="str">
        <f aca="false">IF(OR(AH154="",AI154=""),"",AI154-AH154)</f>
        <v/>
      </c>
      <c r="AK154" s="39" t="str">
        <f aca="true">IF(AH154="","",IF(OR(Ficha!$C$10="Suspendida",Ficha!$C$10="Cancelada"),Ficha!$C$10,IF(AND(AI154&lt;&gt;"",N(AI154)&gt;=100),"Completada",IF(AND(E154&gt;TODAY(),N(AI154)=0),"Por iniciar",IF(N(AI154)+0.5&lt;AH154,"Retrasada",IF(N(AI154)+0.5&lt;DA154,IF(Reprogramaciones!$K$15&gt;0,"Al día · Sem "&amp;Reprogramaciones!$K$15&amp;" en curso","Al día · en curso"),"A tiempo"))))))</f>
        <v/>
      </c>
      <c r="AL154" s="39" t="str">
        <f aca="true">IF(AND(A154="",AND(B154="",C154="",E154="",F154="",COUNT(Q154:AF154)=0)),"",IF(AND(B154="",C154="",E154="",F154="",COUNT(Q154:AF154)=0),"Falta la partida o subpartida",IF(AND(A154&lt;&gt;"",COUNTIF($A$6:$A$305,A154)&gt;1),"Ítem repetido",IF(AND(C154="",E154="",F154="",COUNT(Q154:AF154)=0),"Título de partida",IF(OR(E154="",F154=""),"Faltan fechas",IF(OR(ISTEXT(E154),ISTEXT(F154)),"Fecha escrita como texto: usa dd/mm/aaaa",IF(F154&lt;E154,"Fin antes del inicio",IF(IF($J$2="",FALSE(),OR(E154&lt;$J$2,F154&gt;Reprogramaciones!$T$15+69)),"Fuera de las 10 semanas",IF(ABS(SUM(G154:P154)-100)&gt;0.5,"La meta no suma 100%",IF(ROUND(SUM(Q154:AF154),1)&gt;100.5,"El avance pasa de 100%",IF(MIN(Q154:AF154)&lt;0,"Avance negativo",IF(COUNTA(Q154:AF154)&gt;COUNT(Q154:AF154),"Avance escrito como texto",IF(SUMPRODUCT((Q154:AF154&gt;0)*(Q154:AF154&lt;1))&gt;0,"Avance menor a 1: escribe 50, no 50%",IF(SUMPRODUCT(ISNUMBER(Q154:AF154)*(Reprogramaciones!$K$8:$Z$8&gt;TODAY()))&gt;0,"Avance en semana que aún no llega",IF(AND(N(Reprogramaciones!$E$21)&gt;0,F154&gt;Reprogramaciones!$E$21),"Pasa el fin de la obra: registra una reprogramación",IF(AND(N(Reprogramaciones!$E$21)&gt;0,SUMPRODUCT(ISNUMBER(Q154:AF154)*(Reprogramaciones!$K$8:$Z$8&gt;Reprogramaciones!$E$21))&gt;0),"Avance después del fin de la obra: registra una reprogramación por atraso","OK"))))))))))))))))</f>
        <v/>
      </c>
      <c r="AM154" s="40" t="str">
        <f aca="false">IF(OR(OR(NOT(AND(ISNUMBER(E154),ISNUMBER(F154))),$J$2=""),1&gt;MAX(1,Reprogramaciones!$U$15)),"",IF(Reprogramaciones!K$12&gt;=7,"",IF(OR(BT154-N(0)&gt;0.05,N(Q154)&gt;0),ROUNDDOWN(ROUND(BT154,6),0)&amp;"%"&amp;IF(CJ154="",""," / "&amp;CJ154&amp;"%"),IF(AND(N(0)&gt;=99.95,CJ154&lt;&gt;"",N(CJ154)&lt;100),"Pend. "&amp;CJ154&amp;"%",""))))</f>
        <v/>
      </c>
      <c r="AN154" s="40" t="str">
        <f aca="false">IF(OR(OR(NOT(AND(ISNUMBER(E154),ISNUMBER(F154))),$J$2=""),2&gt;MAX(1,Reprogramaciones!$U$15)),"",IF(Reprogramaciones!L$12&gt;=7,"",IF(OR(BU154-N(BT154)&gt;0.05,N(R154)&gt;0),ROUNDDOWN(ROUND(BU154,6),0)&amp;"%"&amp;IF(CK154="",""," / "&amp;CK154&amp;"%"),IF(AND(N(BT154)&gt;=99.95,CK154&lt;&gt;"",N(CK154)&lt;100),"Pend. "&amp;CK154&amp;"%",""))))</f>
        <v/>
      </c>
      <c r="AO154" s="40" t="str">
        <f aca="false">IF(OR(OR(NOT(AND(ISNUMBER(E154),ISNUMBER(F154))),$J$2=""),3&gt;MAX(1,Reprogramaciones!$U$15)),"",IF(Reprogramaciones!M$12&gt;=7,"",IF(OR(BV154-N(BU154)&gt;0.05,N(S154)&gt;0),ROUNDDOWN(ROUND(BV154,6),0)&amp;"%"&amp;IF(CL154="",""," / "&amp;CL154&amp;"%"),IF(AND(N(BU154)&gt;=99.95,CL154&lt;&gt;"",N(CL154)&lt;100),"Pend. "&amp;CL154&amp;"%",""))))</f>
        <v/>
      </c>
      <c r="AP154" s="40" t="str">
        <f aca="false">IF(OR(OR(NOT(AND(ISNUMBER(E154),ISNUMBER(F154))),$J$2=""),4&gt;MAX(1,Reprogramaciones!$U$15)),"",IF(Reprogramaciones!N$12&gt;=7,"",IF(OR(BW154-N(BV154)&gt;0.05,N(T154)&gt;0),ROUNDDOWN(ROUND(BW154,6),0)&amp;"%"&amp;IF(CM154="",""," / "&amp;CM154&amp;"%"),IF(AND(N(BV154)&gt;=99.95,CM154&lt;&gt;"",N(CM154)&lt;100),"Pend. "&amp;CM154&amp;"%",""))))</f>
        <v/>
      </c>
      <c r="AQ154" s="40" t="str">
        <f aca="false">IF(OR(OR(NOT(AND(ISNUMBER(E154),ISNUMBER(F154))),$J$2=""),5&gt;MAX(1,Reprogramaciones!$U$15)),"",IF(Reprogramaciones!O$12&gt;=7,"",IF(OR(BX154-N(BW154)&gt;0.05,N(U154)&gt;0),ROUNDDOWN(ROUND(BX154,6),0)&amp;"%"&amp;IF(CN154="",""," / "&amp;CN154&amp;"%"),IF(AND(N(BW154)&gt;=99.95,CN154&lt;&gt;"",N(CN154)&lt;100),"Pend. "&amp;CN154&amp;"%",""))))</f>
        <v/>
      </c>
      <c r="AR154" s="40" t="str">
        <f aca="false">IF(OR(OR(NOT(AND(ISNUMBER(E154),ISNUMBER(F154))),$J$2=""),6&gt;MAX(1,Reprogramaciones!$U$15)),"",IF(Reprogramaciones!P$12&gt;=7,"",IF(OR(BY154-N(BX154)&gt;0.05,N(V154)&gt;0),ROUNDDOWN(ROUND(BY154,6),0)&amp;"%"&amp;IF(CO154="",""," / "&amp;CO154&amp;"%"),IF(AND(N(BX154)&gt;=99.95,CO154&lt;&gt;"",N(CO154)&lt;100),"Pend. "&amp;CO154&amp;"%",""))))</f>
        <v/>
      </c>
      <c r="AS154" s="40" t="str">
        <f aca="false">IF(OR(OR(NOT(AND(ISNUMBER(E154),ISNUMBER(F154))),$J$2=""),7&gt;MAX(1,Reprogramaciones!$U$15)),"",IF(Reprogramaciones!Q$12&gt;=7,"",IF(OR(BZ154-N(BY154)&gt;0.05,N(W154)&gt;0),ROUNDDOWN(ROUND(BZ154,6),0)&amp;"%"&amp;IF(CP154="",""," / "&amp;CP154&amp;"%"),IF(AND(N(BY154)&gt;=99.95,CP154&lt;&gt;"",N(CP154)&lt;100),"Pend. "&amp;CP154&amp;"%",""))))</f>
        <v/>
      </c>
      <c r="AT154" s="40" t="str">
        <f aca="false">IF(OR(OR(NOT(AND(ISNUMBER(E154),ISNUMBER(F154))),$J$2=""),8&gt;MAX(1,Reprogramaciones!$U$15)),"",IF(Reprogramaciones!R$12&gt;=7,"",IF(OR(CA154-N(BZ154)&gt;0.05,N(X154)&gt;0),ROUNDDOWN(ROUND(CA154,6),0)&amp;"%"&amp;IF(CQ154="",""," / "&amp;CQ154&amp;"%"),IF(AND(N(BZ154)&gt;=99.95,CQ154&lt;&gt;"",N(CQ154)&lt;100),"Pend. "&amp;CQ154&amp;"%",""))))</f>
        <v/>
      </c>
      <c r="AU154" s="40" t="str">
        <f aca="false">IF(OR(OR(NOT(AND(ISNUMBER(E154),ISNUMBER(F154))),$J$2=""),9&gt;MAX(1,Reprogramaciones!$U$15)),"",IF(Reprogramaciones!S$12&gt;=7,"",IF(OR(CB154-N(CA154)&gt;0.05,N(Y154)&gt;0),ROUNDDOWN(ROUND(CB154,6),0)&amp;"%"&amp;IF(CR154="",""," / "&amp;CR154&amp;"%"),IF(AND(N(CA154)&gt;=99.95,CR154&lt;&gt;"",N(CR154)&lt;100),"Pend. "&amp;CR154&amp;"%",""))))</f>
        <v/>
      </c>
      <c r="AV154" s="40" t="str">
        <f aca="false">IF(OR(OR(NOT(AND(ISNUMBER(E154),ISNUMBER(F154))),$J$2=""),10&gt;MAX(1,Reprogramaciones!$U$15)),"",IF(Reprogramaciones!T$12&gt;=7,"",IF(OR(CC154-N(CB154)&gt;0.05,N(Z154)&gt;0),ROUNDDOWN(ROUND(CC154,6),0)&amp;"%"&amp;IF(CS154="",""," / "&amp;CS154&amp;"%"),IF(AND(N(CB154)&gt;=99.95,CS154&lt;&gt;"",N(CS154)&lt;100),"Pend. "&amp;CS154&amp;"%",""))))</f>
        <v/>
      </c>
      <c r="AW154" s="40" t="str">
        <f aca="false">IF(OR(OR(NOT(AND(ISNUMBER(E154),ISNUMBER(F154))),$J$2=""),11&gt;MAX(1,Reprogramaciones!$U$15)),"",IF(Reprogramaciones!U$12&gt;=7,"",IF(OR(CD154-N(CC154)&gt;0.05,N(AA154)&gt;0),ROUNDDOWN(ROUND(CD154,6),0)&amp;"%"&amp;IF(CT154="",""," / "&amp;CT154&amp;"%"),IF(AND(N(CC154)&gt;=99.95,CT154&lt;&gt;"",N(CT154)&lt;100),"Pend. "&amp;CT154&amp;"%",""))))</f>
        <v/>
      </c>
      <c r="AX154" s="40" t="str">
        <f aca="false">IF(OR(OR(NOT(AND(ISNUMBER(E154),ISNUMBER(F154))),$J$2=""),12&gt;MAX(1,Reprogramaciones!$U$15)),"",IF(Reprogramaciones!V$12&gt;=7,"",IF(OR(CE154-N(CD154)&gt;0.05,N(AB154)&gt;0),ROUNDDOWN(ROUND(CE154,6),0)&amp;"%"&amp;IF(CU154="",""," / "&amp;CU154&amp;"%"),IF(AND(N(CD154)&gt;=99.95,CU154&lt;&gt;"",N(CU154)&lt;100),"Pend. "&amp;CU154&amp;"%",""))))</f>
        <v/>
      </c>
      <c r="AY154" s="40" t="str">
        <f aca="false">IF(OR(OR(NOT(AND(ISNUMBER(E154),ISNUMBER(F154))),$J$2=""),13&gt;MAX(1,Reprogramaciones!$U$15)),"",IF(Reprogramaciones!W$12&gt;=7,"",IF(OR(CF154-N(CE154)&gt;0.05,N(AC154)&gt;0),ROUNDDOWN(ROUND(CF154,6),0)&amp;"%"&amp;IF(CV154="",""," / "&amp;CV154&amp;"%"),IF(AND(N(CE154)&gt;=99.95,CV154&lt;&gt;"",N(CV154)&lt;100),"Pend. "&amp;CV154&amp;"%",""))))</f>
        <v/>
      </c>
      <c r="AZ154" s="40" t="str">
        <f aca="false">IF(OR(OR(NOT(AND(ISNUMBER(E154),ISNUMBER(F154))),$J$2=""),14&gt;MAX(1,Reprogramaciones!$U$15)),"",IF(Reprogramaciones!X$12&gt;=7,"",IF(OR(CG154-N(CF154)&gt;0.05,N(AD154)&gt;0),ROUNDDOWN(ROUND(CG154,6),0)&amp;"%"&amp;IF(CW154="",""," / "&amp;CW154&amp;"%"),IF(AND(N(CF154)&gt;=99.95,CW154&lt;&gt;"",N(CW154)&lt;100),"Pend. "&amp;CW154&amp;"%",""))))</f>
        <v/>
      </c>
      <c r="BA154" s="40" t="str">
        <f aca="false">IF(OR(OR(NOT(AND(ISNUMBER(E154),ISNUMBER(F154))),$J$2=""),15&gt;MAX(1,Reprogramaciones!$U$15)),"",IF(Reprogramaciones!Y$12&gt;=7,"",IF(OR(CH154-N(CG154)&gt;0.05,N(AE154)&gt;0),ROUNDDOWN(ROUND(CH154,6),0)&amp;"%"&amp;IF(CX154="",""," / "&amp;CX154&amp;"%"),IF(AND(N(CG154)&gt;=99.95,CX154&lt;&gt;"",N(CX154)&lt;100),"Pend. "&amp;CX154&amp;"%",""))))</f>
        <v/>
      </c>
      <c r="BB154" s="40" t="str">
        <f aca="false">IF(OR(OR(NOT(AND(ISNUMBER(E154),ISNUMBER(F154))),$J$2=""),16&gt;MAX(1,Reprogramaciones!$U$15)),"",IF(Reprogramaciones!Z$12&gt;=7,"",IF(OR(CI154-N(CH154)&gt;0.05,N(AF154)&gt;0),ROUNDDOWN(ROUND(CI154,6),0)&amp;"%"&amp;IF(CY154="",""," / "&amp;CY154&amp;"%"),IF(AND(N(CH154)&gt;=99.95,CY154&lt;&gt;"",N(CY154)&lt;100),"Pend. "&amp;CY154&amp;"%",""))))</f>
        <v/>
      </c>
      <c r="BC154" s="31" t="n">
        <f aca="false">IF(AND(ISNUMBER(E154),ISNUMBER(F154)),MAX(1,NETWORKDAYS.INTL(E154,F154,11)),0)</f>
        <v>0</v>
      </c>
      <c r="BD154" s="1" t="str">
        <f aca="false">IF(OR(NOT(AND(ISNUMBER(E154),ISNUMBER(F154))),$J$2=""),"",MIN(100,ROUND(SUM($G154:G154),1)))</f>
        <v/>
      </c>
      <c r="BE154" s="1" t="str">
        <f aca="false">IF(OR(NOT(AND(ISNUMBER(E154),ISNUMBER(F154))),$J$2=""),"",MIN(100,ROUND(SUM($G154:H154),1)))</f>
        <v/>
      </c>
      <c r="BF154" s="1" t="str">
        <f aca="false">IF(OR(NOT(AND(ISNUMBER(E154),ISNUMBER(F154))),$J$2=""),"",MIN(100,ROUND(SUM($G154:I154),1)))</f>
        <v/>
      </c>
      <c r="BG154" s="1" t="str">
        <f aca="false">IF(OR(NOT(AND(ISNUMBER(E154),ISNUMBER(F154))),$J$2=""),"",MIN(100,ROUND(SUM($G154:J154),1)))</f>
        <v/>
      </c>
      <c r="BH154" s="1" t="str">
        <f aca="false">IF(OR(NOT(AND(ISNUMBER(E154),ISNUMBER(F154))),$J$2=""),"",MIN(100,ROUND(SUM($G154:K154),1)))</f>
        <v/>
      </c>
      <c r="BI154" s="1" t="str">
        <f aca="false">IF(OR(NOT(AND(ISNUMBER(E154),ISNUMBER(F154))),$J$2=""),"",MIN(100,ROUND(SUM($G154:L154),1)))</f>
        <v/>
      </c>
      <c r="BJ154" s="1" t="str">
        <f aca="false">IF(OR(NOT(AND(ISNUMBER(E154),ISNUMBER(F154))),$J$2=""),"",MIN(100,ROUND(SUM($G154:M154),1)))</f>
        <v/>
      </c>
      <c r="BK154" s="1" t="str">
        <f aca="false">IF(OR(NOT(AND(ISNUMBER(E154),ISNUMBER(F154))),$J$2=""),"",MIN(100,ROUND(SUM($G154:N154),1)))</f>
        <v/>
      </c>
      <c r="BL154" s="1" t="str">
        <f aca="false">IF(OR(NOT(AND(ISNUMBER(E154),ISNUMBER(F154))),$J$2=""),"",MIN(100,ROUND(SUM($G154:O154),1)))</f>
        <v/>
      </c>
      <c r="BM154" s="1" t="str">
        <f aca="false">IF(OR(NOT(AND(ISNUMBER(E154),ISNUMBER(F154))),$J$2=""),"",MIN(100,ROUND(SUM($G154:P154),1)))</f>
        <v/>
      </c>
      <c r="BN154" s="1" t="str">
        <f aca="false">IF(OR(NOT(AND(ISNUMBER(E154),ISNUMBER(F154))),$J$2=""),"",MIN(100,ROUND(SUM($G154:P154),1)))</f>
        <v/>
      </c>
      <c r="BO154" s="1" t="str">
        <f aca="false">IF(OR(NOT(AND(ISNUMBER(E154),ISNUMBER(F154))),$J$2=""),"",MIN(100,ROUND(SUM($G154:P154),1)))</f>
        <v/>
      </c>
      <c r="BP154" s="1" t="str">
        <f aca="false">IF(OR(NOT(AND(ISNUMBER(E154),ISNUMBER(F154))),$J$2=""),"",MIN(100,ROUND(SUM($G154:P154),1)))</f>
        <v/>
      </c>
      <c r="BQ154" s="1" t="str">
        <f aca="false">IF(OR(NOT(AND(ISNUMBER(E154),ISNUMBER(F154))),$J$2=""),"",MIN(100,ROUND(SUM($G154:P154),1)))</f>
        <v/>
      </c>
      <c r="BR154" s="1" t="str">
        <f aca="false">IF(OR(NOT(AND(ISNUMBER(E154),ISNUMBER(F154))),$J$2=""),"",MIN(100,ROUND(SUM($G154:P154),1)))</f>
        <v/>
      </c>
      <c r="BS154" s="1" t="str">
        <f aca="false">IF(OR(NOT(AND(ISNUMBER(E154),ISNUMBER(F154))),$J$2=""),"",MIN(100,ROUND(SUM($G154:P154),1)))</f>
        <v/>
      </c>
      <c r="BT154" s="1" t="str">
        <f aca="false">IF(OR(NOT(AND(ISNUMBER(E154),ISNUMBER(F154))),$J$2=""),"",IF(Reprogramaciones!K$13&lt;Reprogramaciones!$T$15,0,IF(Reprogramaciones!K$14&gt;10,MIN(100,SUM($G154:$P154)),MIN(100,SUMPRODUCT((COLUMN($G154:$P154)-COLUMN($G154)+1&lt;Reprogramaciones!K$14)*$G154:$P154)+N(INDEX($G154:$P154,1,Reprogramaciones!K$14))*IF(Reprogramaciones!K$13&gt;=(Reprogramaciones!$T$15+7*(Reprogramaciones!K$14-1))+6,1,IF(MAX(0,NETWORKDAYS.INTL(MAX(E154,(Reprogramaciones!$T$15+7*(Reprogramaciones!K$14-1))),MIN(F154,(Reprogramaciones!$T$15+7*(Reprogramaciones!K$14-1))+6),11))=0,0,MAX(0,NETWORKDAYS.INTL(MAX(E154,(Reprogramaciones!$T$15+7*(Reprogramaciones!K$14-1))),MIN(F154,Reprogramaciones!K$13),11))/MAX(0,NETWORKDAYS.INTL(MAX(E154,(Reprogramaciones!$T$15+7*(Reprogramaciones!K$14-1))),MIN(F154,(Reprogramaciones!$T$15+7*(Reprogramaciones!K$14-1))+6),11))))))))</f>
        <v/>
      </c>
      <c r="BU154" s="1" t="str">
        <f aca="false">IF(OR(NOT(AND(ISNUMBER(E154),ISNUMBER(F154))),$J$2=""),"",IF(Reprogramaciones!L$13&lt;Reprogramaciones!$T$15,0,IF(Reprogramaciones!L$14&gt;10,MIN(100,SUM($G154:$P154)),MIN(100,SUMPRODUCT((COLUMN($G154:$P154)-COLUMN($G154)+1&lt;Reprogramaciones!L$14)*$G154:$P154)+N(INDEX($G154:$P154,1,Reprogramaciones!L$14))*IF(Reprogramaciones!L$13&gt;=(Reprogramaciones!$T$15+7*(Reprogramaciones!L$14-1))+6,1,IF(MAX(0,NETWORKDAYS.INTL(MAX(E154,(Reprogramaciones!$T$15+7*(Reprogramaciones!L$14-1))),MIN(F154,(Reprogramaciones!$T$15+7*(Reprogramaciones!L$14-1))+6),11))=0,0,MAX(0,NETWORKDAYS.INTL(MAX(E154,(Reprogramaciones!$T$15+7*(Reprogramaciones!L$14-1))),MIN(F154,Reprogramaciones!L$13),11))/MAX(0,NETWORKDAYS.INTL(MAX(E154,(Reprogramaciones!$T$15+7*(Reprogramaciones!L$14-1))),MIN(F154,(Reprogramaciones!$T$15+7*(Reprogramaciones!L$14-1))+6),11))))))))</f>
        <v/>
      </c>
      <c r="BV154" s="1" t="str">
        <f aca="false">IF(OR(NOT(AND(ISNUMBER(E154),ISNUMBER(F154))),$J$2=""),"",IF(Reprogramaciones!M$13&lt;Reprogramaciones!$T$15,0,IF(Reprogramaciones!M$14&gt;10,MIN(100,SUM($G154:$P154)),MIN(100,SUMPRODUCT((COLUMN($G154:$P154)-COLUMN($G154)+1&lt;Reprogramaciones!M$14)*$G154:$P154)+N(INDEX($G154:$P154,1,Reprogramaciones!M$14))*IF(Reprogramaciones!M$13&gt;=(Reprogramaciones!$T$15+7*(Reprogramaciones!M$14-1))+6,1,IF(MAX(0,NETWORKDAYS.INTL(MAX(E154,(Reprogramaciones!$T$15+7*(Reprogramaciones!M$14-1))),MIN(F154,(Reprogramaciones!$T$15+7*(Reprogramaciones!M$14-1))+6),11))=0,0,MAX(0,NETWORKDAYS.INTL(MAX(E154,(Reprogramaciones!$T$15+7*(Reprogramaciones!M$14-1))),MIN(F154,Reprogramaciones!M$13),11))/MAX(0,NETWORKDAYS.INTL(MAX(E154,(Reprogramaciones!$T$15+7*(Reprogramaciones!M$14-1))),MIN(F154,(Reprogramaciones!$T$15+7*(Reprogramaciones!M$14-1))+6),11))))))))</f>
        <v/>
      </c>
      <c r="BW154" s="1" t="str">
        <f aca="false">IF(OR(NOT(AND(ISNUMBER(E154),ISNUMBER(F154))),$J$2=""),"",IF(Reprogramaciones!N$13&lt;Reprogramaciones!$T$15,0,IF(Reprogramaciones!N$14&gt;10,MIN(100,SUM($G154:$P154)),MIN(100,SUMPRODUCT((COLUMN($G154:$P154)-COLUMN($G154)+1&lt;Reprogramaciones!N$14)*$G154:$P154)+N(INDEX($G154:$P154,1,Reprogramaciones!N$14))*IF(Reprogramaciones!N$13&gt;=(Reprogramaciones!$T$15+7*(Reprogramaciones!N$14-1))+6,1,IF(MAX(0,NETWORKDAYS.INTL(MAX(E154,(Reprogramaciones!$T$15+7*(Reprogramaciones!N$14-1))),MIN(F154,(Reprogramaciones!$T$15+7*(Reprogramaciones!N$14-1))+6),11))=0,0,MAX(0,NETWORKDAYS.INTL(MAX(E154,(Reprogramaciones!$T$15+7*(Reprogramaciones!N$14-1))),MIN(F154,Reprogramaciones!N$13),11))/MAX(0,NETWORKDAYS.INTL(MAX(E154,(Reprogramaciones!$T$15+7*(Reprogramaciones!N$14-1))),MIN(F154,(Reprogramaciones!$T$15+7*(Reprogramaciones!N$14-1))+6),11))))))))</f>
        <v/>
      </c>
      <c r="BX154" s="1" t="str">
        <f aca="false">IF(OR(NOT(AND(ISNUMBER(E154),ISNUMBER(F154))),$J$2=""),"",IF(Reprogramaciones!O$13&lt;Reprogramaciones!$T$15,0,IF(Reprogramaciones!O$14&gt;10,MIN(100,SUM($G154:$P154)),MIN(100,SUMPRODUCT((COLUMN($G154:$P154)-COLUMN($G154)+1&lt;Reprogramaciones!O$14)*$G154:$P154)+N(INDEX($G154:$P154,1,Reprogramaciones!O$14))*IF(Reprogramaciones!O$13&gt;=(Reprogramaciones!$T$15+7*(Reprogramaciones!O$14-1))+6,1,IF(MAX(0,NETWORKDAYS.INTL(MAX(E154,(Reprogramaciones!$T$15+7*(Reprogramaciones!O$14-1))),MIN(F154,(Reprogramaciones!$T$15+7*(Reprogramaciones!O$14-1))+6),11))=0,0,MAX(0,NETWORKDAYS.INTL(MAX(E154,(Reprogramaciones!$T$15+7*(Reprogramaciones!O$14-1))),MIN(F154,Reprogramaciones!O$13),11))/MAX(0,NETWORKDAYS.INTL(MAX(E154,(Reprogramaciones!$T$15+7*(Reprogramaciones!O$14-1))),MIN(F154,(Reprogramaciones!$T$15+7*(Reprogramaciones!O$14-1))+6),11))))))))</f>
        <v/>
      </c>
      <c r="BY154" s="1" t="str">
        <f aca="false">IF(OR(NOT(AND(ISNUMBER(E154),ISNUMBER(F154))),$J$2=""),"",IF(Reprogramaciones!P$13&lt;Reprogramaciones!$T$15,0,IF(Reprogramaciones!P$14&gt;10,MIN(100,SUM($G154:$P154)),MIN(100,SUMPRODUCT((COLUMN($G154:$P154)-COLUMN($G154)+1&lt;Reprogramaciones!P$14)*$G154:$P154)+N(INDEX($G154:$P154,1,Reprogramaciones!P$14))*IF(Reprogramaciones!P$13&gt;=(Reprogramaciones!$T$15+7*(Reprogramaciones!P$14-1))+6,1,IF(MAX(0,NETWORKDAYS.INTL(MAX(E154,(Reprogramaciones!$T$15+7*(Reprogramaciones!P$14-1))),MIN(F154,(Reprogramaciones!$T$15+7*(Reprogramaciones!P$14-1))+6),11))=0,0,MAX(0,NETWORKDAYS.INTL(MAX(E154,(Reprogramaciones!$T$15+7*(Reprogramaciones!P$14-1))),MIN(F154,Reprogramaciones!P$13),11))/MAX(0,NETWORKDAYS.INTL(MAX(E154,(Reprogramaciones!$T$15+7*(Reprogramaciones!P$14-1))),MIN(F154,(Reprogramaciones!$T$15+7*(Reprogramaciones!P$14-1))+6),11))))))))</f>
        <v/>
      </c>
      <c r="BZ154" s="1" t="str">
        <f aca="false">IF(OR(NOT(AND(ISNUMBER(E154),ISNUMBER(F154))),$J$2=""),"",IF(Reprogramaciones!Q$13&lt;Reprogramaciones!$T$15,0,IF(Reprogramaciones!Q$14&gt;10,MIN(100,SUM($G154:$P154)),MIN(100,SUMPRODUCT((COLUMN($G154:$P154)-COLUMN($G154)+1&lt;Reprogramaciones!Q$14)*$G154:$P154)+N(INDEX($G154:$P154,1,Reprogramaciones!Q$14))*IF(Reprogramaciones!Q$13&gt;=(Reprogramaciones!$T$15+7*(Reprogramaciones!Q$14-1))+6,1,IF(MAX(0,NETWORKDAYS.INTL(MAX(E154,(Reprogramaciones!$T$15+7*(Reprogramaciones!Q$14-1))),MIN(F154,(Reprogramaciones!$T$15+7*(Reprogramaciones!Q$14-1))+6),11))=0,0,MAX(0,NETWORKDAYS.INTL(MAX(E154,(Reprogramaciones!$T$15+7*(Reprogramaciones!Q$14-1))),MIN(F154,Reprogramaciones!Q$13),11))/MAX(0,NETWORKDAYS.INTL(MAX(E154,(Reprogramaciones!$T$15+7*(Reprogramaciones!Q$14-1))),MIN(F154,(Reprogramaciones!$T$15+7*(Reprogramaciones!Q$14-1))+6),11))))))))</f>
        <v/>
      </c>
      <c r="CA154" s="1" t="str">
        <f aca="false">IF(OR(NOT(AND(ISNUMBER(E154),ISNUMBER(F154))),$J$2=""),"",IF(Reprogramaciones!R$13&lt;Reprogramaciones!$T$15,0,IF(Reprogramaciones!R$14&gt;10,MIN(100,SUM($G154:$P154)),MIN(100,SUMPRODUCT((COLUMN($G154:$P154)-COLUMN($G154)+1&lt;Reprogramaciones!R$14)*$G154:$P154)+N(INDEX($G154:$P154,1,Reprogramaciones!R$14))*IF(Reprogramaciones!R$13&gt;=(Reprogramaciones!$T$15+7*(Reprogramaciones!R$14-1))+6,1,IF(MAX(0,NETWORKDAYS.INTL(MAX(E154,(Reprogramaciones!$T$15+7*(Reprogramaciones!R$14-1))),MIN(F154,(Reprogramaciones!$T$15+7*(Reprogramaciones!R$14-1))+6),11))=0,0,MAX(0,NETWORKDAYS.INTL(MAX(E154,(Reprogramaciones!$T$15+7*(Reprogramaciones!R$14-1))),MIN(F154,Reprogramaciones!R$13),11))/MAX(0,NETWORKDAYS.INTL(MAX(E154,(Reprogramaciones!$T$15+7*(Reprogramaciones!R$14-1))),MIN(F154,(Reprogramaciones!$T$15+7*(Reprogramaciones!R$14-1))+6),11))))))))</f>
        <v/>
      </c>
      <c r="CB154" s="1" t="str">
        <f aca="false">IF(OR(NOT(AND(ISNUMBER(E154),ISNUMBER(F154))),$J$2=""),"",IF(Reprogramaciones!S$13&lt;Reprogramaciones!$T$15,0,IF(Reprogramaciones!S$14&gt;10,MIN(100,SUM($G154:$P154)),MIN(100,SUMPRODUCT((COLUMN($G154:$P154)-COLUMN($G154)+1&lt;Reprogramaciones!S$14)*$G154:$P154)+N(INDEX($G154:$P154,1,Reprogramaciones!S$14))*IF(Reprogramaciones!S$13&gt;=(Reprogramaciones!$T$15+7*(Reprogramaciones!S$14-1))+6,1,IF(MAX(0,NETWORKDAYS.INTL(MAX(E154,(Reprogramaciones!$T$15+7*(Reprogramaciones!S$14-1))),MIN(F154,(Reprogramaciones!$T$15+7*(Reprogramaciones!S$14-1))+6),11))=0,0,MAX(0,NETWORKDAYS.INTL(MAX(E154,(Reprogramaciones!$T$15+7*(Reprogramaciones!S$14-1))),MIN(F154,Reprogramaciones!S$13),11))/MAX(0,NETWORKDAYS.INTL(MAX(E154,(Reprogramaciones!$T$15+7*(Reprogramaciones!S$14-1))),MIN(F154,(Reprogramaciones!$T$15+7*(Reprogramaciones!S$14-1))+6),11))))))))</f>
        <v/>
      </c>
      <c r="CC154" s="1" t="str">
        <f aca="false">IF(OR(NOT(AND(ISNUMBER(E154),ISNUMBER(F154))),$J$2=""),"",IF(Reprogramaciones!T$13&lt;Reprogramaciones!$T$15,0,IF(Reprogramaciones!T$14&gt;10,MIN(100,SUM($G154:$P154)),MIN(100,SUMPRODUCT((COLUMN($G154:$P154)-COLUMN($G154)+1&lt;Reprogramaciones!T$14)*$G154:$P154)+N(INDEX($G154:$P154,1,Reprogramaciones!T$14))*IF(Reprogramaciones!T$13&gt;=(Reprogramaciones!$T$15+7*(Reprogramaciones!T$14-1))+6,1,IF(MAX(0,NETWORKDAYS.INTL(MAX(E154,(Reprogramaciones!$T$15+7*(Reprogramaciones!T$14-1))),MIN(F154,(Reprogramaciones!$T$15+7*(Reprogramaciones!T$14-1))+6),11))=0,0,MAX(0,NETWORKDAYS.INTL(MAX(E154,(Reprogramaciones!$T$15+7*(Reprogramaciones!T$14-1))),MIN(F154,Reprogramaciones!T$13),11))/MAX(0,NETWORKDAYS.INTL(MAX(E154,(Reprogramaciones!$T$15+7*(Reprogramaciones!T$14-1))),MIN(F154,(Reprogramaciones!$T$15+7*(Reprogramaciones!T$14-1))+6),11))))))))</f>
        <v/>
      </c>
      <c r="CD154" s="1" t="str">
        <f aca="false">IF(OR(NOT(AND(ISNUMBER(E154),ISNUMBER(F154))),$J$2=""),"",IF(Reprogramaciones!U$13&lt;Reprogramaciones!$T$15,0,IF(Reprogramaciones!U$14&gt;10,MIN(100,SUM($G154:$P154)),MIN(100,SUMPRODUCT((COLUMN($G154:$P154)-COLUMN($G154)+1&lt;Reprogramaciones!U$14)*$G154:$P154)+N(INDEX($G154:$P154,1,Reprogramaciones!U$14))*IF(Reprogramaciones!U$13&gt;=(Reprogramaciones!$T$15+7*(Reprogramaciones!U$14-1))+6,1,IF(MAX(0,NETWORKDAYS.INTL(MAX(E154,(Reprogramaciones!$T$15+7*(Reprogramaciones!U$14-1))),MIN(F154,(Reprogramaciones!$T$15+7*(Reprogramaciones!U$14-1))+6),11))=0,0,MAX(0,NETWORKDAYS.INTL(MAX(E154,(Reprogramaciones!$T$15+7*(Reprogramaciones!U$14-1))),MIN(F154,Reprogramaciones!U$13),11))/MAX(0,NETWORKDAYS.INTL(MAX(E154,(Reprogramaciones!$T$15+7*(Reprogramaciones!U$14-1))),MIN(F154,(Reprogramaciones!$T$15+7*(Reprogramaciones!U$14-1))+6),11))))))))</f>
        <v/>
      </c>
      <c r="CE154" s="1" t="str">
        <f aca="false">IF(OR(NOT(AND(ISNUMBER(E154),ISNUMBER(F154))),$J$2=""),"",IF(Reprogramaciones!V$13&lt;Reprogramaciones!$T$15,0,IF(Reprogramaciones!V$14&gt;10,MIN(100,SUM($G154:$P154)),MIN(100,SUMPRODUCT((COLUMN($G154:$P154)-COLUMN($G154)+1&lt;Reprogramaciones!V$14)*$G154:$P154)+N(INDEX($G154:$P154,1,Reprogramaciones!V$14))*IF(Reprogramaciones!V$13&gt;=(Reprogramaciones!$T$15+7*(Reprogramaciones!V$14-1))+6,1,IF(MAX(0,NETWORKDAYS.INTL(MAX(E154,(Reprogramaciones!$T$15+7*(Reprogramaciones!V$14-1))),MIN(F154,(Reprogramaciones!$T$15+7*(Reprogramaciones!V$14-1))+6),11))=0,0,MAX(0,NETWORKDAYS.INTL(MAX(E154,(Reprogramaciones!$T$15+7*(Reprogramaciones!V$14-1))),MIN(F154,Reprogramaciones!V$13),11))/MAX(0,NETWORKDAYS.INTL(MAX(E154,(Reprogramaciones!$T$15+7*(Reprogramaciones!V$14-1))),MIN(F154,(Reprogramaciones!$T$15+7*(Reprogramaciones!V$14-1))+6),11))))))))</f>
        <v/>
      </c>
      <c r="CF154" s="1" t="str">
        <f aca="false">IF(OR(NOT(AND(ISNUMBER(E154),ISNUMBER(F154))),$J$2=""),"",IF(Reprogramaciones!W$13&lt;Reprogramaciones!$T$15,0,IF(Reprogramaciones!W$14&gt;10,MIN(100,SUM($G154:$P154)),MIN(100,SUMPRODUCT((COLUMN($G154:$P154)-COLUMN($G154)+1&lt;Reprogramaciones!W$14)*$G154:$P154)+N(INDEX($G154:$P154,1,Reprogramaciones!W$14))*IF(Reprogramaciones!W$13&gt;=(Reprogramaciones!$T$15+7*(Reprogramaciones!W$14-1))+6,1,IF(MAX(0,NETWORKDAYS.INTL(MAX(E154,(Reprogramaciones!$T$15+7*(Reprogramaciones!W$14-1))),MIN(F154,(Reprogramaciones!$T$15+7*(Reprogramaciones!W$14-1))+6),11))=0,0,MAX(0,NETWORKDAYS.INTL(MAX(E154,(Reprogramaciones!$T$15+7*(Reprogramaciones!W$14-1))),MIN(F154,Reprogramaciones!W$13),11))/MAX(0,NETWORKDAYS.INTL(MAX(E154,(Reprogramaciones!$T$15+7*(Reprogramaciones!W$14-1))),MIN(F154,(Reprogramaciones!$T$15+7*(Reprogramaciones!W$14-1))+6),11))))))))</f>
        <v/>
      </c>
      <c r="CG154" s="1" t="str">
        <f aca="false">IF(OR(NOT(AND(ISNUMBER(E154),ISNUMBER(F154))),$J$2=""),"",IF(Reprogramaciones!X$13&lt;Reprogramaciones!$T$15,0,IF(Reprogramaciones!X$14&gt;10,MIN(100,SUM($G154:$P154)),MIN(100,SUMPRODUCT((COLUMN($G154:$P154)-COLUMN($G154)+1&lt;Reprogramaciones!X$14)*$G154:$P154)+N(INDEX($G154:$P154,1,Reprogramaciones!X$14))*IF(Reprogramaciones!X$13&gt;=(Reprogramaciones!$T$15+7*(Reprogramaciones!X$14-1))+6,1,IF(MAX(0,NETWORKDAYS.INTL(MAX(E154,(Reprogramaciones!$T$15+7*(Reprogramaciones!X$14-1))),MIN(F154,(Reprogramaciones!$T$15+7*(Reprogramaciones!X$14-1))+6),11))=0,0,MAX(0,NETWORKDAYS.INTL(MAX(E154,(Reprogramaciones!$T$15+7*(Reprogramaciones!X$14-1))),MIN(F154,Reprogramaciones!X$13),11))/MAX(0,NETWORKDAYS.INTL(MAX(E154,(Reprogramaciones!$T$15+7*(Reprogramaciones!X$14-1))),MIN(F154,(Reprogramaciones!$T$15+7*(Reprogramaciones!X$14-1))+6),11))))))))</f>
        <v/>
      </c>
      <c r="CH154" s="1" t="str">
        <f aca="false">IF(OR(NOT(AND(ISNUMBER(E154),ISNUMBER(F154))),$J$2=""),"",IF(Reprogramaciones!Y$13&lt;Reprogramaciones!$T$15,0,IF(Reprogramaciones!Y$14&gt;10,MIN(100,SUM($G154:$P154)),MIN(100,SUMPRODUCT((COLUMN($G154:$P154)-COLUMN($G154)+1&lt;Reprogramaciones!Y$14)*$G154:$P154)+N(INDEX($G154:$P154,1,Reprogramaciones!Y$14))*IF(Reprogramaciones!Y$13&gt;=(Reprogramaciones!$T$15+7*(Reprogramaciones!Y$14-1))+6,1,IF(MAX(0,NETWORKDAYS.INTL(MAX(E154,(Reprogramaciones!$T$15+7*(Reprogramaciones!Y$14-1))),MIN(F154,(Reprogramaciones!$T$15+7*(Reprogramaciones!Y$14-1))+6),11))=0,0,MAX(0,NETWORKDAYS.INTL(MAX(E154,(Reprogramaciones!$T$15+7*(Reprogramaciones!Y$14-1))),MIN(F154,Reprogramaciones!Y$13),11))/MAX(0,NETWORKDAYS.INTL(MAX(E154,(Reprogramaciones!$T$15+7*(Reprogramaciones!Y$14-1))),MIN(F154,(Reprogramaciones!$T$15+7*(Reprogramaciones!Y$14-1))+6),11))))))))</f>
        <v/>
      </c>
      <c r="CI154" s="1" t="str">
        <f aca="false">IF(OR(NOT(AND(ISNUMBER(E154),ISNUMBER(F154))),$J$2=""),"",IF(Reprogramaciones!Z$13&lt;Reprogramaciones!$T$15,0,IF(Reprogramaciones!Z$14&gt;10,MIN(100,SUM($G154:$P154)),MIN(100,SUMPRODUCT((COLUMN($G154:$P154)-COLUMN($G154)+1&lt;Reprogramaciones!Z$14)*$G154:$P154)+N(INDEX($G154:$P154,1,Reprogramaciones!Z$14))*IF(Reprogramaciones!Z$13&gt;=(Reprogramaciones!$T$15+7*(Reprogramaciones!Z$14-1))+6,1,IF(MAX(0,NETWORKDAYS.INTL(MAX(E154,(Reprogramaciones!$T$15+7*(Reprogramaciones!Z$14-1))),MIN(F154,(Reprogramaciones!$T$15+7*(Reprogramaciones!Z$14-1))+6),11))=0,0,MAX(0,NETWORKDAYS.INTL(MAX(E154,(Reprogramaciones!$T$15+7*(Reprogramaciones!Z$14-1))),MIN(F154,Reprogramaciones!Z$13),11))/MAX(0,NETWORKDAYS.INTL(MAX(E154,(Reprogramaciones!$T$15+7*(Reprogramaciones!Z$14-1))),MIN(F154,(Reprogramaciones!$T$15+7*(Reprogramaciones!Z$14-1))+6),11))))))))</f>
        <v/>
      </c>
      <c r="CJ154" s="1" t="str">
        <f aca="false">IF(OR(OR(NOT(AND(ISNUMBER(E154),ISNUMBER(F154))),$J$2=""),1&gt;Reprogramaciones!$K$16),"",IF(ROUND(SUM($Q154:Q154),1)&gt;=99.5,100,MIN(100,ROUND(SUM($Q154:Q154),1))))</f>
        <v/>
      </c>
      <c r="CK154" s="1" t="str">
        <f aca="false">IF(OR(OR(NOT(AND(ISNUMBER(E154),ISNUMBER(F154))),$J$2=""),2&gt;Reprogramaciones!$K$16),"",IF(ROUND(SUM($Q154:R154),1)&gt;=99.5,100,MIN(100,ROUND(SUM($Q154:R154),1))))</f>
        <v/>
      </c>
      <c r="CL154" s="1" t="str">
        <f aca="false">IF(OR(OR(NOT(AND(ISNUMBER(E154),ISNUMBER(F154))),$J$2=""),3&gt;Reprogramaciones!$K$16),"",IF(ROUND(SUM($Q154:S154),1)&gt;=99.5,100,MIN(100,ROUND(SUM($Q154:S154),1))))</f>
        <v/>
      </c>
      <c r="CM154" s="1" t="str">
        <f aca="false">IF(OR(OR(NOT(AND(ISNUMBER(E154),ISNUMBER(F154))),$J$2=""),4&gt;Reprogramaciones!$K$16),"",IF(ROUND(SUM($Q154:T154),1)&gt;=99.5,100,MIN(100,ROUND(SUM($Q154:T154),1))))</f>
        <v/>
      </c>
      <c r="CN154" s="1" t="str">
        <f aca="false">IF(OR(OR(NOT(AND(ISNUMBER(E154),ISNUMBER(F154))),$J$2=""),5&gt;Reprogramaciones!$K$16),"",IF(ROUND(SUM($Q154:U154),1)&gt;=99.5,100,MIN(100,ROUND(SUM($Q154:U154),1))))</f>
        <v/>
      </c>
      <c r="CO154" s="1" t="str">
        <f aca="false">IF(OR(OR(NOT(AND(ISNUMBER(E154),ISNUMBER(F154))),$J$2=""),6&gt;Reprogramaciones!$K$16),"",IF(ROUND(SUM($Q154:V154),1)&gt;=99.5,100,MIN(100,ROUND(SUM($Q154:V154),1))))</f>
        <v/>
      </c>
      <c r="CP154" s="1" t="str">
        <f aca="false">IF(OR(OR(NOT(AND(ISNUMBER(E154),ISNUMBER(F154))),$J$2=""),7&gt;Reprogramaciones!$K$16),"",IF(ROUND(SUM($Q154:W154),1)&gt;=99.5,100,MIN(100,ROUND(SUM($Q154:W154),1))))</f>
        <v/>
      </c>
      <c r="CQ154" s="1" t="str">
        <f aca="false">IF(OR(OR(NOT(AND(ISNUMBER(E154),ISNUMBER(F154))),$J$2=""),8&gt;Reprogramaciones!$K$16),"",IF(ROUND(SUM($Q154:X154),1)&gt;=99.5,100,MIN(100,ROUND(SUM($Q154:X154),1))))</f>
        <v/>
      </c>
      <c r="CR154" s="1" t="str">
        <f aca="false">IF(OR(OR(NOT(AND(ISNUMBER(E154),ISNUMBER(F154))),$J$2=""),9&gt;Reprogramaciones!$K$16),"",IF(ROUND(SUM($Q154:Y154),1)&gt;=99.5,100,MIN(100,ROUND(SUM($Q154:Y154),1))))</f>
        <v/>
      </c>
      <c r="CS154" s="1" t="str">
        <f aca="false">IF(OR(OR(NOT(AND(ISNUMBER(E154),ISNUMBER(F154))),$J$2=""),10&gt;Reprogramaciones!$K$16),"",IF(ROUND(SUM($Q154:Z154),1)&gt;=99.5,100,MIN(100,ROUND(SUM($Q154:Z154),1))))</f>
        <v/>
      </c>
      <c r="CT154" s="1" t="str">
        <f aca="false">IF(OR(OR(NOT(AND(ISNUMBER(E154),ISNUMBER(F154))),$J$2=""),11&gt;Reprogramaciones!$K$16),"",IF(ROUND(SUM($Q154:AA154),1)&gt;=99.5,100,MIN(100,ROUND(SUM($Q154:AA154),1))))</f>
        <v/>
      </c>
      <c r="CU154" s="1" t="str">
        <f aca="false">IF(OR(OR(NOT(AND(ISNUMBER(E154),ISNUMBER(F154))),$J$2=""),12&gt;Reprogramaciones!$K$16),"",IF(ROUND(SUM($Q154:AB154),1)&gt;=99.5,100,MIN(100,ROUND(SUM($Q154:AB154),1))))</f>
        <v/>
      </c>
      <c r="CV154" s="1" t="str">
        <f aca="false">IF(OR(OR(NOT(AND(ISNUMBER(E154),ISNUMBER(F154))),$J$2=""),13&gt;Reprogramaciones!$K$16),"",IF(ROUND(SUM($Q154:AC154),1)&gt;=99.5,100,MIN(100,ROUND(SUM($Q154:AC154),1))))</f>
        <v/>
      </c>
      <c r="CW154" s="1" t="str">
        <f aca="false">IF(OR(OR(NOT(AND(ISNUMBER(E154),ISNUMBER(F154))),$J$2=""),14&gt;Reprogramaciones!$K$16),"",IF(ROUND(SUM($Q154:AD154),1)&gt;=99.5,100,MIN(100,ROUND(SUM($Q154:AD154),1))))</f>
        <v/>
      </c>
      <c r="CX154" s="1" t="str">
        <f aca="false">IF(OR(OR(NOT(AND(ISNUMBER(E154),ISNUMBER(F154))),$J$2=""),15&gt;Reprogramaciones!$K$16),"",IF(ROUND(SUM($Q154:AE154),1)&gt;=99.5,100,MIN(100,ROUND(SUM($Q154:AE154),1))))</f>
        <v/>
      </c>
      <c r="CY154" s="1" t="str">
        <f aca="false">IF(OR(OR(NOT(AND(ISNUMBER(E154),ISNUMBER(F154))),$J$2=""),16&gt;Reprogramaciones!$K$16),"",IF(ROUND(SUM($Q154:AF154),1)&gt;=99.5,100,MIN(100,ROUND(SUM($Q154:AF154),1))))</f>
        <v/>
      </c>
      <c r="CZ154" s="1" t="str">
        <f aca="false">IF(D154&lt;&gt;"",D154,IF(B154&lt;&gt;"","Contractual",CZ153))</f>
        <v>Contractual</v>
      </c>
      <c r="DA154" s="1" t="str">
        <f aca="false">IF(OR(NOT(AND(ISNUMBER(E154),ISNUMBER(F154))),$J$2=""),"",IF(Reprogramaciones!$Q$15&lt;Reprogramaciones!$T$15,0,IF(Reprogramaciones!$S$15&gt;10,MIN(100,SUM($G154:$P154)),MIN(100,SUMPRODUCT((COLUMN($G154:$P154)-COLUMN($G154)+1&lt;Reprogramaciones!$S$15)*$G154:$P154)+N(INDEX($G154:$P154,1,Reprogramaciones!$S$15))*IF(Reprogramaciones!$Q$15&gt;=(Reprogramaciones!$T$15+7*(Reprogramaciones!$S$15-1))+6,1,IF(MAX(0,NETWORKDAYS.INTL(MAX(E154,(Reprogramaciones!$T$15+7*(Reprogramaciones!$S$15-1))),MIN(F154,(Reprogramaciones!$T$15+7*(Reprogramaciones!$S$15-1))+6),11))=0,0,MAX(0,NETWORKDAYS.INTL(MAX(E154,(Reprogramaciones!$T$15+7*(Reprogramaciones!$S$15-1))),MIN(F154,Reprogramaciones!$Q$15),11))/MAX(0,NETWORKDAYS.INTL(MAX(E154,(Reprogramaciones!$T$15+7*(Reprogramaciones!$S$15-1))),MIN(F154,(Reprogramaciones!$T$15+7*(Reprogramaciones!$S$15-1))+6),11))))))))</f>
        <v/>
      </c>
    </row>
    <row r="155" customFormat="false" ht="15" hidden="false" customHeight="false" outlineLevel="0" collapsed="false">
      <c r="A155" s="32"/>
      <c r="B155" s="33"/>
      <c r="C155" s="33"/>
      <c r="D155" s="34"/>
      <c r="E155" s="35"/>
      <c r="F155" s="35"/>
      <c r="G155" s="36" t="str">
        <f aca="false">IF(OR(NOT(AND(ISNUMBER(E155),ISNUMBER(F155))),$J$2=""),"",IF(Reprogramaciones!K$9&lt;E155,0,IF(NETWORKDAYS.INTL(E155,F155,11)=0,IF(Reprogramaciones!K$9&gt;=F155,100,0),ROUND(NETWORKDAYS.INTL(E155,MIN(F155,Reprogramaciones!K$9),11)/NETWORKDAYS.INTL(E155,F155,11)*100,1)))-0)</f>
        <v/>
      </c>
      <c r="H155" s="36" t="str">
        <f aca="false">IF(OR(NOT(AND(ISNUMBER(E155),ISNUMBER(F155))),$J$2=""),"",IF(Reprogramaciones!L$9&lt;E155,0,IF(NETWORKDAYS.INTL(E155,F155,11)=0,IF(Reprogramaciones!L$9&gt;=F155,100,0),ROUND(NETWORKDAYS.INTL(E155,MIN(F155,Reprogramaciones!L$9),11)/NETWORKDAYS.INTL(E155,F155,11)*100,1)))-IF(Reprogramaciones!K$9&lt;E155,0,IF(NETWORKDAYS.INTL(E155,F155,11)=0,IF(Reprogramaciones!K$9&gt;=F155,100,0),ROUND(NETWORKDAYS.INTL(E155,MIN(F155,Reprogramaciones!K$9),11)/NETWORKDAYS.INTL(E155,F155,11)*100,1))))</f>
        <v/>
      </c>
      <c r="I155" s="36" t="str">
        <f aca="false">IF(OR(NOT(AND(ISNUMBER(E155),ISNUMBER(F155))),$J$2=""),"",IF(Reprogramaciones!M$9&lt;E155,0,IF(NETWORKDAYS.INTL(E155,F155,11)=0,IF(Reprogramaciones!M$9&gt;=F155,100,0),ROUND(NETWORKDAYS.INTL(E155,MIN(F155,Reprogramaciones!M$9),11)/NETWORKDAYS.INTL(E155,F155,11)*100,1)))-IF(Reprogramaciones!L$9&lt;E155,0,IF(NETWORKDAYS.INTL(E155,F155,11)=0,IF(Reprogramaciones!L$9&gt;=F155,100,0),ROUND(NETWORKDAYS.INTL(E155,MIN(F155,Reprogramaciones!L$9),11)/NETWORKDAYS.INTL(E155,F155,11)*100,1))))</f>
        <v/>
      </c>
      <c r="J155" s="36" t="str">
        <f aca="false">IF(OR(NOT(AND(ISNUMBER(E155),ISNUMBER(F155))),$J$2=""),"",IF(Reprogramaciones!N$9&lt;E155,0,IF(NETWORKDAYS.INTL(E155,F155,11)=0,IF(Reprogramaciones!N$9&gt;=F155,100,0),ROUND(NETWORKDAYS.INTL(E155,MIN(F155,Reprogramaciones!N$9),11)/NETWORKDAYS.INTL(E155,F155,11)*100,1)))-IF(Reprogramaciones!M$9&lt;E155,0,IF(NETWORKDAYS.INTL(E155,F155,11)=0,IF(Reprogramaciones!M$9&gt;=F155,100,0),ROUND(NETWORKDAYS.INTL(E155,MIN(F155,Reprogramaciones!M$9),11)/NETWORKDAYS.INTL(E155,F155,11)*100,1))))</f>
        <v/>
      </c>
      <c r="K155" s="36" t="str">
        <f aca="false">IF(OR(NOT(AND(ISNUMBER(E155),ISNUMBER(F155))),$J$2=""),"",IF(Reprogramaciones!O$9&lt;E155,0,IF(NETWORKDAYS.INTL(E155,F155,11)=0,IF(Reprogramaciones!O$9&gt;=F155,100,0),ROUND(NETWORKDAYS.INTL(E155,MIN(F155,Reprogramaciones!O$9),11)/NETWORKDAYS.INTL(E155,F155,11)*100,1)))-IF(Reprogramaciones!N$9&lt;E155,0,IF(NETWORKDAYS.INTL(E155,F155,11)=0,IF(Reprogramaciones!N$9&gt;=F155,100,0),ROUND(NETWORKDAYS.INTL(E155,MIN(F155,Reprogramaciones!N$9),11)/NETWORKDAYS.INTL(E155,F155,11)*100,1))))</f>
        <v/>
      </c>
      <c r="L155" s="36" t="str">
        <f aca="false">IF(OR(NOT(AND(ISNUMBER(E155),ISNUMBER(F155))),$J$2=""),"",IF(Reprogramaciones!P$9&lt;E155,0,IF(NETWORKDAYS.INTL(E155,F155,11)=0,IF(Reprogramaciones!P$9&gt;=F155,100,0),ROUND(NETWORKDAYS.INTL(E155,MIN(F155,Reprogramaciones!P$9),11)/NETWORKDAYS.INTL(E155,F155,11)*100,1)))-IF(Reprogramaciones!O$9&lt;E155,0,IF(NETWORKDAYS.INTL(E155,F155,11)=0,IF(Reprogramaciones!O$9&gt;=F155,100,0),ROUND(NETWORKDAYS.INTL(E155,MIN(F155,Reprogramaciones!O$9),11)/NETWORKDAYS.INTL(E155,F155,11)*100,1))))</f>
        <v/>
      </c>
      <c r="M155" s="36" t="str">
        <f aca="false">IF(OR(NOT(AND(ISNUMBER(E155),ISNUMBER(F155))),$J$2=""),"",IF(Reprogramaciones!Q$9&lt;E155,0,IF(NETWORKDAYS.INTL(E155,F155,11)=0,IF(Reprogramaciones!Q$9&gt;=F155,100,0),ROUND(NETWORKDAYS.INTL(E155,MIN(F155,Reprogramaciones!Q$9),11)/NETWORKDAYS.INTL(E155,F155,11)*100,1)))-IF(Reprogramaciones!P$9&lt;E155,0,IF(NETWORKDAYS.INTL(E155,F155,11)=0,IF(Reprogramaciones!P$9&gt;=F155,100,0),ROUND(NETWORKDAYS.INTL(E155,MIN(F155,Reprogramaciones!P$9),11)/NETWORKDAYS.INTL(E155,F155,11)*100,1))))</f>
        <v/>
      </c>
      <c r="N155" s="36" t="str">
        <f aca="false">IF(OR(NOT(AND(ISNUMBER(E155),ISNUMBER(F155))),$J$2=""),"",IF(Reprogramaciones!R$9&lt;E155,0,IF(NETWORKDAYS.INTL(E155,F155,11)=0,IF(Reprogramaciones!R$9&gt;=F155,100,0),ROUND(NETWORKDAYS.INTL(E155,MIN(F155,Reprogramaciones!R$9),11)/NETWORKDAYS.INTL(E155,F155,11)*100,1)))-IF(Reprogramaciones!Q$9&lt;E155,0,IF(NETWORKDAYS.INTL(E155,F155,11)=0,IF(Reprogramaciones!Q$9&gt;=F155,100,0),ROUND(NETWORKDAYS.INTL(E155,MIN(F155,Reprogramaciones!Q$9),11)/NETWORKDAYS.INTL(E155,F155,11)*100,1))))</f>
        <v/>
      </c>
      <c r="O155" s="36" t="str">
        <f aca="false">IF(OR(NOT(AND(ISNUMBER(E155),ISNUMBER(F155))),$J$2=""),"",IF(Reprogramaciones!S$9&lt;E155,0,IF(NETWORKDAYS.INTL(E155,F155,11)=0,IF(Reprogramaciones!S$9&gt;=F155,100,0),ROUND(NETWORKDAYS.INTL(E155,MIN(F155,Reprogramaciones!S$9),11)/NETWORKDAYS.INTL(E155,F155,11)*100,1)))-IF(Reprogramaciones!R$9&lt;E155,0,IF(NETWORKDAYS.INTL(E155,F155,11)=0,IF(Reprogramaciones!R$9&gt;=F155,100,0),ROUND(NETWORKDAYS.INTL(E155,MIN(F155,Reprogramaciones!R$9),11)/NETWORKDAYS.INTL(E155,F155,11)*100,1))))</f>
        <v/>
      </c>
      <c r="P155" s="36" t="str">
        <f aca="false">IF(OR(NOT(AND(ISNUMBER(E155),ISNUMBER(F155))),$J$2=""),"",IF(Reprogramaciones!T$9&lt;E155,0,IF(NETWORKDAYS.INTL(E155,F155,11)=0,IF(Reprogramaciones!T$9&gt;=F155,100,0),ROUND(NETWORKDAYS.INTL(E155,MIN(F155,Reprogramaciones!T$9),11)/NETWORKDAYS.INTL(E155,F155,11)*100,1)))-IF(Reprogramaciones!S$9&lt;E155,0,IF(NETWORKDAYS.INTL(E155,F155,11)=0,IF(Reprogramaciones!S$9&gt;=F155,100,0),ROUND(NETWORKDAYS.INTL(E155,MIN(F155,Reprogramaciones!S$9),11)/NETWORKDAYS.INTL(E155,F155,11)*100,1))))</f>
        <v/>
      </c>
      <c r="Q155" s="37"/>
      <c r="R155" s="37"/>
      <c r="S155" s="37"/>
      <c r="T155" s="37"/>
      <c r="U155" s="37"/>
      <c r="V155" s="37"/>
      <c r="W155" s="37"/>
      <c r="X155" s="37"/>
      <c r="Y155" s="37"/>
      <c r="Z155" s="37"/>
      <c r="AA155" s="37"/>
      <c r="AB155" s="37"/>
      <c r="AC155" s="37"/>
      <c r="AD155" s="37"/>
      <c r="AE155" s="37"/>
      <c r="AF155" s="37"/>
      <c r="AG155" s="38" t="str">
        <f aca="false">IF(AND(ISNUMBER(E155),ISNUMBER(F155)),NETWORKDAYS.INTL(E155,F155,11),"")</f>
        <v/>
      </c>
      <c r="AH155" s="38" t="str">
        <f aca="false">IF(OR(NOT(AND(ISNUMBER(E155),ISNUMBER(F155))),$J$2=""),"",IF(Reprogramaciones!$P$15&lt;Reprogramaciones!$T$15,0,IF(Reprogramaciones!$R$15&gt;10,MIN(100,SUM($G155:$P155)),MIN(100,SUMPRODUCT((COLUMN($G155:$P155)-COLUMN($G155)+1&lt;Reprogramaciones!$R$15)*$G155:$P155)+N(INDEX($G155:$P155,1,Reprogramaciones!$R$15))*IF(Reprogramaciones!$P$15&gt;=(Reprogramaciones!$T$15+7*(Reprogramaciones!$R$15-1))+6,1,IF(MAX(0,NETWORKDAYS.INTL(MAX(E155,(Reprogramaciones!$T$15+7*(Reprogramaciones!$R$15-1))),MIN(F155,(Reprogramaciones!$T$15+7*(Reprogramaciones!$R$15-1))+6),11))=0,0,MAX(0,NETWORKDAYS.INTL(MAX(E155,(Reprogramaciones!$T$15+7*(Reprogramaciones!$R$15-1))),MIN(F155,Reprogramaciones!$P$15),11))/MAX(0,NETWORKDAYS.INTL(MAX(E155,(Reprogramaciones!$T$15+7*(Reprogramaciones!$R$15-1))),MIN(F155,(Reprogramaciones!$T$15+7*(Reprogramaciones!$R$15-1))+6),11))))))))</f>
        <v/>
      </c>
      <c r="AI155" s="38" t="str">
        <f aca="false">IF(COUNT($Q155:$AF155)=0,"",IF(ROUND(SUM($Q155:$AF155),1)&gt;=99.5,100,MIN(100,ROUND(SUM($Q155:$AF155),1))))</f>
        <v/>
      </c>
      <c r="AJ155" s="38" t="str">
        <f aca="false">IF(OR(AH155="",AI155=""),"",AI155-AH155)</f>
        <v/>
      </c>
      <c r="AK155" s="39" t="str">
        <f aca="true">IF(AH155="","",IF(OR(Ficha!$C$10="Suspendida",Ficha!$C$10="Cancelada"),Ficha!$C$10,IF(AND(AI155&lt;&gt;"",N(AI155)&gt;=100),"Completada",IF(AND(E155&gt;TODAY(),N(AI155)=0),"Por iniciar",IF(N(AI155)+0.5&lt;AH155,"Retrasada",IF(N(AI155)+0.5&lt;DA155,IF(Reprogramaciones!$K$15&gt;0,"Al día · Sem "&amp;Reprogramaciones!$K$15&amp;" en curso","Al día · en curso"),"A tiempo"))))))</f>
        <v/>
      </c>
      <c r="AL155" s="39" t="str">
        <f aca="true">IF(AND(A155="",AND(B155="",C155="",E155="",F155="",COUNT(Q155:AF155)=0)),"",IF(AND(B155="",C155="",E155="",F155="",COUNT(Q155:AF155)=0),"Falta la partida o subpartida",IF(AND(A155&lt;&gt;"",COUNTIF($A$6:$A$305,A155)&gt;1),"Ítem repetido",IF(AND(C155="",E155="",F155="",COUNT(Q155:AF155)=0),"Título de partida",IF(OR(E155="",F155=""),"Faltan fechas",IF(OR(ISTEXT(E155),ISTEXT(F155)),"Fecha escrita como texto: usa dd/mm/aaaa",IF(F155&lt;E155,"Fin antes del inicio",IF(IF($J$2="",FALSE(),OR(E155&lt;$J$2,F155&gt;Reprogramaciones!$T$15+69)),"Fuera de las 10 semanas",IF(ABS(SUM(G155:P155)-100)&gt;0.5,"La meta no suma 100%",IF(ROUND(SUM(Q155:AF155),1)&gt;100.5,"El avance pasa de 100%",IF(MIN(Q155:AF155)&lt;0,"Avance negativo",IF(COUNTA(Q155:AF155)&gt;COUNT(Q155:AF155),"Avance escrito como texto",IF(SUMPRODUCT((Q155:AF155&gt;0)*(Q155:AF155&lt;1))&gt;0,"Avance menor a 1: escribe 50, no 50%",IF(SUMPRODUCT(ISNUMBER(Q155:AF155)*(Reprogramaciones!$K$8:$Z$8&gt;TODAY()))&gt;0,"Avance en semana que aún no llega",IF(AND(N(Reprogramaciones!$E$21)&gt;0,F155&gt;Reprogramaciones!$E$21),"Pasa el fin de la obra: registra una reprogramación",IF(AND(N(Reprogramaciones!$E$21)&gt;0,SUMPRODUCT(ISNUMBER(Q155:AF155)*(Reprogramaciones!$K$8:$Z$8&gt;Reprogramaciones!$E$21))&gt;0),"Avance después del fin de la obra: registra una reprogramación por atraso","OK"))))))))))))))))</f>
        <v/>
      </c>
      <c r="AM155" s="40" t="str">
        <f aca="false">IF(OR(OR(NOT(AND(ISNUMBER(E155),ISNUMBER(F155))),$J$2=""),1&gt;MAX(1,Reprogramaciones!$U$15)),"",IF(Reprogramaciones!K$12&gt;=7,"",IF(OR(BT155-N(0)&gt;0.05,N(Q155)&gt;0),ROUNDDOWN(ROUND(BT155,6),0)&amp;"%"&amp;IF(CJ155="",""," / "&amp;CJ155&amp;"%"),IF(AND(N(0)&gt;=99.95,CJ155&lt;&gt;"",N(CJ155)&lt;100),"Pend. "&amp;CJ155&amp;"%",""))))</f>
        <v/>
      </c>
      <c r="AN155" s="40" t="str">
        <f aca="false">IF(OR(OR(NOT(AND(ISNUMBER(E155),ISNUMBER(F155))),$J$2=""),2&gt;MAX(1,Reprogramaciones!$U$15)),"",IF(Reprogramaciones!L$12&gt;=7,"",IF(OR(BU155-N(BT155)&gt;0.05,N(R155)&gt;0),ROUNDDOWN(ROUND(BU155,6),0)&amp;"%"&amp;IF(CK155="",""," / "&amp;CK155&amp;"%"),IF(AND(N(BT155)&gt;=99.95,CK155&lt;&gt;"",N(CK155)&lt;100),"Pend. "&amp;CK155&amp;"%",""))))</f>
        <v/>
      </c>
      <c r="AO155" s="40" t="str">
        <f aca="false">IF(OR(OR(NOT(AND(ISNUMBER(E155),ISNUMBER(F155))),$J$2=""),3&gt;MAX(1,Reprogramaciones!$U$15)),"",IF(Reprogramaciones!M$12&gt;=7,"",IF(OR(BV155-N(BU155)&gt;0.05,N(S155)&gt;0),ROUNDDOWN(ROUND(BV155,6),0)&amp;"%"&amp;IF(CL155="",""," / "&amp;CL155&amp;"%"),IF(AND(N(BU155)&gt;=99.95,CL155&lt;&gt;"",N(CL155)&lt;100),"Pend. "&amp;CL155&amp;"%",""))))</f>
        <v/>
      </c>
      <c r="AP155" s="40" t="str">
        <f aca="false">IF(OR(OR(NOT(AND(ISNUMBER(E155),ISNUMBER(F155))),$J$2=""),4&gt;MAX(1,Reprogramaciones!$U$15)),"",IF(Reprogramaciones!N$12&gt;=7,"",IF(OR(BW155-N(BV155)&gt;0.05,N(T155)&gt;0),ROUNDDOWN(ROUND(BW155,6),0)&amp;"%"&amp;IF(CM155="",""," / "&amp;CM155&amp;"%"),IF(AND(N(BV155)&gt;=99.95,CM155&lt;&gt;"",N(CM155)&lt;100),"Pend. "&amp;CM155&amp;"%",""))))</f>
        <v/>
      </c>
      <c r="AQ155" s="40" t="str">
        <f aca="false">IF(OR(OR(NOT(AND(ISNUMBER(E155),ISNUMBER(F155))),$J$2=""),5&gt;MAX(1,Reprogramaciones!$U$15)),"",IF(Reprogramaciones!O$12&gt;=7,"",IF(OR(BX155-N(BW155)&gt;0.05,N(U155)&gt;0),ROUNDDOWN(ROUND(BX155,6),0)&amp;"%"&amp;IF(CN155="",""," / "&amp;CN155&amp;"%"),IF(AND(N(BW155)&gt;=99.95,CN155&lt;&gt;"",N(CN155)&lt;100),"Pend. "&amp;CN155&amp;"%",""))))</f>
        <v/>
      </c>
      <c r="AR155" s="40" t="str">
        <f aca="false">IF(OR(OR(NOT(AND(ISNUMBER(E155),ISNUMBER(F155))),$J$2=""),6&gt;MAX(1,Reprogramaciones!$U$15)),"",IF(Reprogramaciones!P$12&gt;=7,"",IF(OR(BY155-N(BX155)&gt;0.05,N(V155)&gt;0),ROUNDDOWN(ROUND(BY155,6),0)&amp;"%"&amp;IF(CO155="",""," / "&amp;CO155&amp;"%"),IF(AND(N(BX155)&gt;=99.95,CO155&lt;&gt;"",N(CO155)&lt;100),"Pend. "&amp;CO155&amp;"%",""))))</f>
        <v/>
      </c>
      <c r="AS155" s="40" t="str">
        <f aca="false">IF(OR(OR(NOT(AND(ISNUMBER(E155),ISNUMBER(F155))),$J$2=""),7&gt;MAX(1,Reprogramaciones!$U$15)),"",IF(Reprogramaciones!Q$12&gt;=7,"",IF(OR(BZ155-N(BY155)&gt;0.05,N(W155)&gt;0),ROUNDDOWN(ROUND(BZ155,6),0)&amp;"%"&amp;IF(CP155="",""," / "&amp;CP155&amp;"%"),IF(AND(N(BY155)&gt;=99.95,CP155&lt;&gt;"",N(CP155)&lt;100),"Pend. "&amp;CP155&amp;"%",""))))</f>
        <v/>
      </c>
      <c r="AT155" s="40" t="str">
        <f aca="false">IF(OR(OR(NOT(AND(ISNUMBER(E155),ISNUMBER(F155))),$J$2=""),8&gt;MAX(1,Reprogramaciones!$U$15)),"",IF(Reprogramaciones!R$12&gt;=7,"",IF(OR(CA155-N(BZ155)&gt;0.05,N(X155)&gt;0),ROUNDDOWN(ROUND(CA155,6),0)&amp;"%"&amp;IF(CQ155="",""," / "&amp;CQ155&amp;"%"),IF(AND(N(BZ155)&gt;=99.95,CQ155&lt;&gt;"",N(CQ155)&lt;100),"Pend. "&amp;CQ155&amp;"%",""))))</f>
        <v/>
      </c>
      <c r="AU155" s="40" t="str">
        <f aca="false">IF(OR(OR(NOT(AND(ISNUMBER(E155),ISNUMBER(F155))),$J$2=""),9&gt;MAX(1,Reprogramaciones!$U$15)),"",IF(Reprogramaciones!S$12&gt;=7,"",IF(OR(CB155-N(CA155)&gt;0.05,N(Y155)&gt;0),ROUNDDOWN(ROUND(CB155,6),0)&amp;"%"&amp;IF(CR155="",""," / "&amp;CR155&amp;"%"),IF(AND(N(CA155)&gt;=99.95,CR155&lt;&gt;"",N(CR155)&lt;100),"Pend. "&amp;CR155&amp;"%",""))))</f>
        <v/>
      </c>
      <c r="AV155" s="40" t="str">
        <f aca="false">IF(OR(OR(NOT(AND(ISNUMBER(E155),ISNUMBER(F155))),$J$2=""),10&gt;MAX(1,Reprogramaciones!$U$15)),"",IF(Reprogramaciones!T$12&gt;=7,"",IF(OR(CC155-N(CB155)&gt;0.05,N(Z155)&gt;0),ROUNDDOWN(ROUND(CC155,6),0)&amp;"%"&amp;IF(CS155="",""," / "&amp;CS155&amp;"%"),IF(AND(N(CB155)&gt;=99.95,CS155&lt;&gt;"",N(CS155)&lt;100),"Pend. "&amp;CS155&amp;"%",""))))</f>
        <v/>
      </c>
      <c r="AW155" s="40" t="str">
        <f aca="false">IF(OR(OR(NOT(AND(ISNUMBER(E155),ISNUMBER(F155))),$J$2=""),11&gt;MAX(1,Reprogramaciones!$U$15)),"",IF(Reprogramaciones!U$12&gt;=7,"",IF(OR(CD155-N(CC155)&gt;0.05,N(AA155)&gt;0),ROUNDDOWN(ROUND(CD155,6),0)&amp;"%"&amp;IF(CT155="",""," / "&amp;CT155&amp;"%"),IF(AND(N(CC155)&gt;=99.95,CT155&lt;&gt;"",N(CT155)&lt;100),"Pend. "&amp;CT155&amp;"%",""))))</f>
        <v/>
      </c>
      <c r="AX155" s="40" t="str">
        <f aca="false">IF(OR(OR(NOT(AND(ISNUMBER(E155),ISNUMBER(F155))),$J$2=""),12&gt;MAX(1,Reprogramaciones!$U$15)),"",IF(Reprogramaciones!V$12&gt;=7,"",IF(OR(CE155-N(CD155)&gt;0.05,N(AB155)&gt;0),ROUNDDOWN(ROUND(CE155,6),0)&amp;"%"&amp;IF(CU155="",""," / "&amp;CU155&amp;"%"),IF(AND(N(CD155)&gt;=99.95,CU155&lt;&gt;"",N(CU155)&lt;100),"Pend. "&amp;CU155&amp;"%",""))))</f>
        <v/>
      </c>
      <c r="AY155" s="40" t="str">
        <f aca="false">IF(OR(OR(NOT(AND(ISNUMBER(E155),ISNUMBER(F155))),$J$2=""),13&gt;MAX(1,Reprogramaciones!$U$15)),"",IF(Reprogramaciones!W$12&gt;=7,"",IF(OR(CF155-N(CE155)&gt;0.05,N(AC155)&gt;0),ROUNDDOWN(ROUND(CF155,6),0)&amp;"%"&amp;IF(CV155="",""," / "&amp;CV155&amp;"%"),IF(AND(N(CE155)&gt;=99.95,CV155&lt;&gt;"",N(CV155)&lt;100),"Pend. "&amp;CV155&amp;"%",""))))</f>
        <v/>
      </c>
      <c r="AZ155" s="40" t="str">
        <f aca="false">IF(OR(OR(NOT(AND(ISNUMBER(E155),ISNUMBER(F155))),$J$2=""),14&gt;MAX(1,Reprogramaciones!$U$15)),"",IF(Reprogramaciones!X$12&gt;=7,"",IF(OR(CG155-N(CF155)&gt;0.05,N(AD155)&gt;0),ROUNDDOWN(ROUND(CG155,6),0)&amp;"%"&amp;IF(CW155="",""," / "&amp;CW155&amp;"%"),IF(AND(N(CF155)&gt;=99.95,CW155&lt;&gt;"",N(CW155)&lt;100),"Pend. "&amp;CW155&amp;"%",""))))</f>
        <v/>
      </c>
      <c r="BA155" s="40" t="str">
        <f aca="false">IF(OR(OR(NOT(AND(ISNUMBER(E155),ISNUMBER(F155))),$J$2=""),15&gt;MAX(1,Reprogramaciones!$U$15)),"",IF(Reprogramaciones!Y$12&gt;=7,"",IF(OR(CH155-N(CG155)&gt;0.05,N(AE155)&gt;0),ROUNDDOWN(ROUND(CH155,6),0)&amp;"%"&amp;IF(CX155="",""," / "&amp;CX155&amp;"%"),IF(AND(N(CG155)&gt;=99.95,CX155&lt;&gt;"",N(CX155)&lt;100),"Pend. "&amp;CX155&amp;"%",""))))</f>
        <v/>
      </c>
      <c r="BB155" s="40" t="str">
        <f aca="false">IF(OR(OR(NOT(AND(ISNUMBER(E155),ISNUMBER(F155))),$J$2=""),16&gt;MAX(1,Reprogramaciones!$U$15)),"",IF(Reprogramaciones!Z$12&gt;=7,"",IF(OR(CI155-N(CH155)&gt;0.05,N(AF155)&gt;0),ROUNDDOWN(ROUND(CI155,6),0)&amp;"%"&amp;IF(CY155="",""," / "&amp;CY155&amp;"%"),IF(AND(N(CH155)&gt;=99.95,CY155&lt;&gt;"",N(CY155)&lt;100),"Pend. "&amp;CY155&amp;"%",""))))</f>
        <v/>
      </c>
      <c r="BC155" s="31" t="n">
        <f aca="false">IF(AND(ISNUMBER(E155),ISNUMBER(F155)),MAX(1,NETWORKDAYS.INTL(E155,F155,11)),0)</f>
        <v>0</v>
      </c>
      <c r="BD155" s="1" t="str">
        <f aca="false">IF(OR(NOT(AND(ISNUMBER(E155),ISNUMBER(F155))),$J$2=""),"",MIN(100,ROUND(SUM($G155:G155),1)))</f>
        <v/>
      </c>
      <c r="BE155" s="1" t="str">
        <f aca="false">IF(OR(NOT(AND(ISNUMBER(E155),ISNUMBER(F155))),$J$2=""),"",MIN(100,ROUND(SUM($G155:H155),1)))</f>
        <v/>
      </c>
      <c r="BF155" s="1" t="str">
        <f aca="false">IF(OR(NOT(AND(ISNUMBER(E155),ISNUMBER(F155))),$J$2=""),"",MIN(100,ROUND(SUM($G155:I155),1)))</f>
        <v/>
      </c>
      <c r="BG155" s="1" t="str">
        <f aca="false">IF(OR(NOT(AND(ISNUMBER(E155),ISNUMBER(F155))),$J$2=""),"",MIN(100,ROUND(SUM($G155:J155),1)))</f>
        <v/>
      </c>
      <c r="BH155" s="1" t="str">
        <f aca="false">IF(OR(NOT(AND(ISNUMBER(E155),ISNUMBER(F155))),$J$2=""),"",MIN(100,ROUND(SUM($G155:K155),1)))</f>
        <v/>
      </c>
      <c r="BI155" s="1" t="str">
        <f aca="false">IF(OR(NOT(AND(ISNUMBER(E155),ISNUMBER(F155))),$J$2=""),"",MIN(100,ROUND(SUM($G155:L155),1)))</f>
        <v/>
      </c>
      <c r="BJ155" s="1" t="str">
        <f aca="false">IF(OR(NOT(AND(ISNUMBER(E155),ISNUMBER(F155))),$J$2=""),"",MIN(100,ROUND(SUM($G155:M155),1)))</f>
        <v/>
      </c>
      <c r="BK155" s="1" t="str">
        <f aca="false">IF(OR(NOT(AND(ISNUMBER(E155),ISNUMBER(F155))),$J$2=""),"",MIN(100,ROUND(SUM($G155:N155),1)))</f>
        <v/>
      </c>
      <c r="BL155" s="1" t="str">
        <f aca="false">IF(OR(NOT(AND(ISNUMBER(E155),ISNUMBER(F155))),$J$2=""),"",MIN(100,ROUND(SUM($G155:O155),1)))</f>
        <v/>
      </c>
      <c r="BM155" s="1" t="str">
        <f aca="false">IF(OR(NOT(AND(ISNUMBER(E155),ISNUMBER(F155))),$J$2=""),"",MIN(100,ROUND(SUM($G155:P155),1)))</f>
        <v/>
      </c>
      <c r="BN155" s="1" t="str">
        <f aca="false">IF(OR(NOT(AND(ISNUMBER(E155),ISNUMBER(F155))),$J$2=""),"",MIN(100,ROUND(SUM($G155:P155),1)))</f>
        <v/>
      </c>
      <c r="BO155" s="1" t="str">
        <f aca="false">IF(OR(NOT(AND(ISNUMBER(E155),ISNUMBER(F155))),$J$2=""),"",MIN(100,ROUND(SUM($G155:P155),1)))</f>
        <v/>
      </c>
      <c r="BP155" s="1" t="str">
        <f aca="false">IF(OR(NOT(AND(ISNUMBER(E155),ISNUMBER(F155))),$J$2=""),"",MIN(100,ROUND(SUM($G155:P155),1)))</f>
        <v/>
      </c>
      <c r="BQ155" s="1" t="str">
        <f aca="false">IF(OR(NOT(AND(ISNUMBER(E155),ISNUMBER(F155))),$J$2=""),"",MIN(100,ROUND(SUM($G155:P155),1)))</f>
        <v/>
      </c>
      <c r="BR155" s="1" t="str">
        <f aca="false">IF(OR(NOT(AND(ISNUMBER(E155),ISNUMBER(F155))),$J$2=""),"",MIN(100,ROUND(SUM($G155:P155),1)))</f>
        <v/>
      </c>
      <c r="BS155" s="1" t="str">
        <f aca="false">IF(OR(NOT(AND(ISNUMBER(E155),ISNUMBER(F155))),$J$2=""),"",MIN(100,ROUND(SUM($G155:P155),1)))</f>
        <v/>
      </c>
      <c r="BT155" s="1" t="str">
        <f aca="false">IF(OR(NOT(AND(ISNUMBER(E155),ISNUMBER(F155))),$J$2=""),"",IF(Reprogramaciones!K$13&lt;Reprogramaciones!$T$15,0,IF(Reprogramaciones!K$14&gt;10,MIN(100,SUM($G155:$P155)),MIN(100,SUMPRODUCT((COLUMN($G155:$P155)-COLUMN($G155)+1&lt;Reprogramaciones!K$14)*$G155:$P155)+N(INDEX($G155:$P155,1,Reprogramaciones!K$14))*IF(Reprogramaciones!K$13&gt;=(Reprogramaciones!$T$15+7*(Reprogramaciones!K$14-1))+6,1,IF(MAX(0,NETWORKDAYS.INTL(MAX(E155,(Reprogramaciones!$T$15+7*(Reprogramaciones!K$14-1))),MIN(F155,(Reprogramaciones!$T$15+7*(Reprogramaciones!K$14-1))+6),11))=0,0,MAX(0,NETWORKDAYS.INTL(MAX(E155,(Reprogramaciones!$T$15+7*(Reprogramaciones!K$14-1))),MIN(F155,Reprogramaciones!K$13),11))/MAX(0,NETWORKDAYS.INTL(MAX(E155,(Reprogramaciones!$T$15+7*(Reprogramaciones!K$14-1))),MIN(F155,(Reprogramaciones!$T$15+7*(Reprogramaciones!K$14-1))+6),11))))))))</f>
        <v/>
      </c>
      <c r="BU155" s="1" t="str">
        <f aca="false">IF(OR(NOT(AND(ISNUMBER(E155),ISNUMBER(F155))),$J$2=""),"",IF(Reprogramaciones!L$13&lt;Reprogramaciones!$T$15,0,IF(Reprogramaciones!L$14&gt;10,MIN(100,SUM($G155:$P155)),MIN(100,SUMPRODUCT((COLUMN($G155:$P155)-COLUMN($G155)+1&lt;Reprogramaciones!L$14)*$G155:$P155)+N(INDEX($G155:$P155,1,Reprogramaciones!L$14))*IF(Reprogramaciones!L$13&gt;=(Reprogramaciones!$T$15+7*(Reprogramaciones!L$14-1))+6,1,IF(MAX(0,NETWORKDAYS.INTL(MAX(E155,(Reprogramaciones!$T$15+7*(Reprogramaciones!L$14-1))),MIN(F155,(Reprogramaciones!$T$15+7*(Reprogramaciones!L$14-1))+6),11))=0,0,MAX(0,NETWORKDAYS.INTL(MAX(E155,(Reprogramaciones!$T$15+7*(Reprogramaciones!L$14-1))),MIN(F155,Reprogramaciones!L$13),11))/MAX(0,NETWORKDAYS.INTL(MAX(E155,(Reprogramaciones!$T$15+7*(Reprogramaciones!L$14-1))),MIN(F155,(Reprogramaciones!$T$15+7*(Reprogramaciones!L$14-1))+6),11))))))))</f>
        <v/>
      </c>
      <c r="BV155" s="1" t="str">
        <f aca="false">IF(OR(NOT(AND(ISNUMBER(E155),ISNUMBER(F155))),$J$2=""),"",IF(Reprogramaciones!M$13&lt;Reprogramaciones!$T$15,0,IF(Reprogramaciones!M$14&gt;10,MIN(100,SUM($G155:$P155)),MIN(100,SUMPRODUCT((COLUMN($G155:$P155)-COLUMN($G155)+1&lt;Reprogramaciones!M$14)*$G155:$P155)+N(INDEX($G155:$P155,1,Reprogramaciones!M$14))*IF(Reprogramaciones!M$13&gt;=(Reprogramaciones!$T$15+7*(Reprogramaciones!M$14-1))+6,1,IF(MAX(0,NETWORKDAYS.INTL(MAX(E155,(Reprogramaciones!$T$15+7*(Reprogramaciones!M$14-1))),MIN(F155,(Reprogramaciones!$T$15+7*(Reprogramaciones!M$14-1))+6),11))=0,0,MAX(0,NETWORKDAYS.INTL(MAX(E155,(Reprogramaciones!$T$15+7*(Reprogramaciones!M$14-1))),MIN(F155,Reprogramaciones!M$13),11))/MAX(0,NETWORKDAYS.INTL(MAX(E155,(Reprogramaciones!$T$15+7*(Reprogramaciones!M$14-1))),MIN(F155,(Reprogramaciones!$T$15+7*(Reprogramaciones!M$14-1))+6),11))))))))</f>
        <v/>
      </c>
      <c r="BW155" s="1" t="str">
        <f aca="false">IF(OR(NOT(AND(ISNUMBER(E155),ISNUMBER(F155))),$J$2=""),"",IF(Reprogramaciones!N$13&lt;Reprogramaciones!$T$15,0,IF(Reprogramaciones!N$14&gt;10,MIN(100,SUM($G155:$P155)),MIN(100,SUMPRODUCT((COLUMN($G155:$P155)-COLUMN($G155)+1&lt;Reprogramaciones!N$14)*$G155:$P155)+N(INDEX($G155:$P155,1,Reprogramaciones!N$14))*IF(Reprogramaciones!N$13&gt;=(Reprogramaciones!$T$15+7*(Reprogramaciones!N$14-1))+6,1,IF(MAX(0,NETWORKDAYS.INTL(MAX(E155,(Reprogramaciones!$T$15+7*(Reprogramaciones!N$14-1))),MIN(F155,(Reprogramaciones!$T$15+7*(Reprogramaciones!N$14-1))+6),11))=0,0,MAX(0,NETWORKDAYS.INTL(MAX(E155,(Reprogramaciones!$T$15+7*(Reprogramaciones!N$14-1))),MIN(F155,Reprogramaciones!N$13),11))/MAX(0,NETWORKDAYS.INTL(MAX(E155,(Reprogramaciones!$T$15+7*(Reprogramaciones!N$14-1))),MIN(F155,(Reprogramaciones!$T$15+7*(Reprogramaciones!N$14-1))+6),11))))))))</f>
        <v/>
      </c>
      <c r="BX155" s="1" t="str">
        <f aca="false">IF(OR(NOT(AND(ISNUMBER(E155),ISNUMBER(F155))),$J$2=""),"",IF(Reprogramaciones!O$13&lt;Reprogramaciones!$T$15,0,IF(Reprogramaciones!O$14&gt;10,MIN(100,SUM($G155:$P155)),MIN(100,SUMPRODUCT((COLUMN($G155:$P155)-COLUMN($G155)+1&lt;Reprogramaciones!O$14)*$G155:$P155)+N(INDEX($G155:$P155,1,Reprogramaciones!O$14))*IF(Reprogramaciones!O$13&gt;=(Reprogramaciones!$T$15+7*(Reprogramaciones!O$14-1))+6,1,IF(MAX(0,NETWORKDAYS.INTL(MAX(E155,(Reprogramaciones!$T$15+7*(Reprogramaciones!O$14-1))),MIN(F155,(Reprogramaciones!$T$15+7*(Reprogramaciones!O$14-1))+6),11))=0,0,MAX(0,NETWORKDAYS.INTL(MAX(E155,(Reprogramaciones!$T$15+7*(Reprogramaciones!O$14-1))),MIN(F155,Reprogramaciones!O$13),11))/MAX(0,NETWORKDAYS.INTL(MAX(E155,(Reprogramaciones!$T$15+7*(Reprogramaciones!O$14-1))),MIN(F155,(Reprogramaciones!$T$15+7*(Reprogramaciones!O$14-1))+6),11))))))))</f>
        <v/>
      </c>
      <c r="BY155" s="1" t="str">
        <f aca="false">IF(OR(NOT(AND(ISNUMBER(E155),ISNUMBER(F155))),$J$2=""),"",IF(Reprogramaciones!P$13&lt;Reprogramaciones!$T$15,0,IF(Reprogramaciones!P$14&gt;10,MIN(100,SUM($G155:$P155)),MIN(100,SUMPRODUCT((COLUMN($G155:$P155)-COLUMN($G155)+1&lt;Reprogramaciones!P$14)*$G155:$P155)+N(INDEX($G155:$P155,1,Reprogramaciones!P$14))*IF(Reprogramaciones!P$13&gt;=(Reprogramaciones!$T$15+7*(Reprogramaciones!P$14-1))+6,1,IF(MAX(0,NETWORKDAYS.INTL(MAX(E155,(Reprogramaciones!$T$15+7*(Reprogramaciones!P$14-1))),MIN(F155,(Reprogramaciones!$T$15+7*(Reprogramaciones!P$14-1))+6),11))=0,0,MAX(0,NETWORKDAYS.INTL(MAX(E155,(Reprogramaciones!$T$15+7*(Reprogramaciones!P$14-1))),MIN(F155,Reprogramaciones!P$13),11))/MAX(0,NETWORKDAYS.INTL(MAX(E155,(Reprogramaciones!$T$15+7*(Reprogramaciones!P$14-1))),MIN(F155,(Reprogramaciones!$T$15+7*(Reprogramaciones!P$14-1))+6),11))))))))</f>
        <v/>
      </c>
      <c r="BZ155" s="1" t="str">
        <f aca="false">IF(OR(NOT(AND(ISNUMBER(E155),ISNUMBER(F155))),$J$2=""),"",IF(Reprogramaciones!Q$13&lt;Reprogramaciones!$T$15,0,IF(Reprogramaciones!Q$14&gt;10,MIN(100,SUM($G155:$P155)),MIN(100,SUMPRODUCT((COLUMN($G155:$P155)-COLUMN($G155)+1&lt;Reprogramaciones!Q$14)*$G155:$P155)+N(INDEX($G155:$P155,1,Reprogramaciones!Q$14))*IF(Reprogramaciones!Q$13&gt;=(Reprogramaciones!$T$15+7*(Reprogramaciones!Q$14-1))+6,1,IF(MAX(0,NETWORKDAYS.INTL(MAX(E155,(Reprogramaciones!$T$15+7*(Reprogramaciones!Q$14-1))),MIN(F155,(Reprogramaciones!$T$15+7*(Reprogramaciones!Q$14-1))+6),11))=0,0,MAX(0,NETWORKDAYS.INTL(MAX(E155,(Reprogramaciones!$T$15+7*(Reprogramaciones!Q$14-1))),MIN(F155,Reprogramaciones!Q$13),11))/MAX(0,NETWORKDAYS.INTL(MAX(E155,(Reprogramaciones!$T$15+7*(Reprogramaciones!Q$14-1))),MIN(F155,(Reprogramaciones!$T$15+7*(Reprogramaciones!Q$14-1))+6),11))))))))</f>
        <v/>
      </c>
      <c r="CA155" s="1" t="str">
        <f aca="false">IF(OR(NOT(AND(ISNUMBER(E155),ISNUMBER(F155))),$J$2=""),"",IF(Reprogramaciones!R$13&lt;Reprogramaciones!$T$15,0,IF(Reprogramaciones!R$14&gt;10,MIN(100,SUM($G155:$P155)),MIN(100,SUMPRODUCT((COLUMN($G155:$P155)-COLUMN($G155)+1&lt;Reprogramaciones!R$14)*$G155:$P155)+N(INDEX($G155:$P155,1,Reprogramaciones!R$14))*IF(Reprogramaciones!R$13&gt;=(Reprogramaciones!$T$15+7*(Reprogramaciones!R$14-1))+6,1,IF(MAX(0,NETWORKDAYS.INTL(MAX(E155,(Reprogramaciones!$T$15+7*(Reprogramaciones!R$14-1))),MIN(F155,(Reprogramaciones!$T$15+7*(Reprogramaciones!R$14-1))+6),11))=0,0,MAX(0,NETWORKDAYS.INTL(MAX(E155,(Reprogramaciones!$T$15+7*(Reprogramaciones!R$14-1))),MIN(F155,Reprogramaciones!R$13),11))/MAX(0,NETWORKDAYS.INTL(MAX(E155,(Reprogramaciones!$T$15+7*(Reprogramaciones!R$14-1))),MIN(F155,(Reprogramaciones!$T$15+7*(Reprogramaciones!R$14-1))+6),11))))))))</f>
        <v/>
      </c>
      <c r="CB155" s="1" t="str">
        <f aca="false">IF(OR(NOT(AND(ISNUMBER(E155),ISNUMBER(F155))),$J$2=""),"",IF(Reprogramaciones!S$13&lt;Reprogramaciones!$T$15,0,IF(Reprogramaciones!S$14&gt;10,MIN(100,SUM($G155:$P155)),MIN(100,SUMPRODUCT((COLUMN($G155:$P155)-COLUMN($G155)+1&lt;Reprogramaciones!S$14)*$G155:$P155)+N(INDEX($G155:$P155,1,Reprogramaciones!S$14))*IF(Reprogramaciones!S$13&gt;=(Reprogramaciones!$T$15+7*(Reprogramaciones!S$14-1))+6,1,IF(MAX(0,NETWORKDAYS.INTL(MAX(E155,(Reprogramaciones!$T$15+7*(Reprogramaciones!S$14-1))),MIN(F155,(Reprogramaciones!$T$15+7*(Reprogramaciones!S$14-1))+6),11))=0,0,MAX(0,NETWORKDAYS.INTL(MAX(E155,(Reprogramaciones!$T$15+7*(Reprogramaciones!S$14-1))),MIN(F155,Reprogramaciones!S$13),11))/MAX(0,NETWORKDAYS.INTL(MAX(E155,(Reprogramaciones!$T$15+7*(Reprogramaciones!S$14-1))),MIN(F155,(Reprogramaciones!$T$15+7*(Reprogramaciones!S$14-1))+6),11))))))))</f>
        <v/>
      </c>
      <c r="CC155" s="1" t="str">
        <f aca="false">IF(OR(NOT(AND(ISNUMBER(E155),ISNUMBER(F155))),$J$2=""),"",IF(Reprogramaciones!T$13&lt;Reprogramaciones!$T$15,0,IF(Reprogramaciones!T$14&gt;10,MIN(100,SUM($G155:$P155)),MIN(100,SUMPRODUCT((COLUMN($G155:$P155)-COLUMN($G155)+1&lt;Reprogramaciones!T$14)*$G155:$P155)+N(INDEX($G155:$P155,1,Reprogramaciones!T$14))*IF(Reprogramaciones!T$13&gt;=(Reprogramaciones!$T$15+7*(Reprogramaciones!T$14-1))+6,1,IF(MAX(0,NETWORKDAYS.INTL(MAX(E155,(Reprogramaciones!$T$15+7*(Reprogramaciones!T$14-1))),MIN(F155,(Reprogramaciones!$T$15+7*(Reprogramaciones!T$14-1))+6),11))=0,0,MAX(0,NETWORKDAYS.INTL(MAX(E155,(Reprogramaciones!$T$15+7*(Reprogramaciones!T$14-1))),MIN(F155,Reprogramaciones!T$13),11))/MAX(0,NETWORKDAYS.INTL(MAX(E155,(Reprogramaciones!$T$15+7*(Reprogramaciones!T$14-1))),MIN(F155,(Reprogramaciones!$T$15+7*(Reprogramaciones!T$14-1))+6),11))))))))</f>
        <v/>
      </c>
      <c r="CD155" s="1" t="str">
        <f aca="false">IF(OR(NOT(AND(ISNUMBER(E155),ISNUMBER(F155))),$J$2=""),"",IF(Reprogramaciones!U$13&lt;Reprogramaciones!$T$15,0,IF(Reprogramaciones!U$14&gt;10,MIN(100,SUM($G155:$P155)),MIN(100,SUMPRODUCT((COLUMN($G155:$P155)-COLUMN($G155)+1&lt;Reprogramaciones!U$14)*$G155:$P155)+N(INDEX($G155:$P155,1,Reprogramaciones!U$14))*IF(Reprogramaciones!U$13&gt;=(Reprogramaciones!$T$15+7*(Reprogramaciones!U$14-1))+6,1,IF(MAX(0,NETWORKDAYS.INTL(MAX(E155,(Reprogramaciones!$T$15+7*(Reprogramaciones!U$14-1))),MIN(F155,(Reprogramaciones!$T$15+7*(Reprogramaciones!U$14-1))+6),11))=0,0,MAX(0,NETWORKDAYS.INTL(MAX(E155,(Reprogramaciones!$T$15+7*(Reprogramaciones!U$14-1))),MIN(F155,Reprogramaciones!U$13),11))/MAX(0,NETWORKDAYS.INTL(MAX(E155,(Reprogramaciones!$T$15+7*(Reprogramaciones!U$14-1))),MIN(F155,(Reprogramaciones!$T$15+7*(Reprogramaciones!U$14-1))+6),11))))))))</f>
        <v/>
      </c>
      <c r="CE155" s="1" t="str">
        <f aca="false">IF(OR(NOT(AND(ISNUMBER(E155),ISNUMBER(F155))),$J$2=""),"",IF(Reprogramaciones!V$13&lt;Reprogramaciones!$T$15,0,IF(Reprogramaciones!V$14&gt;10,MIN(100,SUM($G155:$P155)),MIN(100,SUMPRODUCT((COLUMN($G155:$P155)-COLUMN($G155)+1&lt;Reprogramaciones!V$14)*$G155:$P155)+N(INDEX($G155:$P155,1,Reprogramaciones!V$14))*IF(Reprogramaciones!V$13&gt;=(Reprogramaciones!$T$15+7*(Reprogramaciones!V$14-1))+6,1,IF(MAX(0,NETWORKDAYS.INTL(MAX(E155,(Reprogramaciones!$T$15+7*(Reprogramaciones!V$14-1))),MIN(F155,(Reprogramaciones!$T$15+7*(Reprogramaciones!V$14-1))+6),11))=0,0,MAX(0,NETWORKDAYS.INTL(MAX(E155,(Reprogramaciones!$T$15+7*(Reprogramaciones!V$14-1))),MIN(F155,Reprogramaciones!V$13),11))/MAX(0,NETWORKDAYS.INTL(MAX(E155,(Reprogramaciones!$T$15+7*(Reprogramaciones!V$14-1))),MIN(F155,(Reprogramaciones!$T$15+7*(Reprogramaciones!V$14-1))+6),11))))))))</f>
        <v/>
      </c>
      <c r="CF155" s="1" t="str">
        <f aca="false">IF(OR(NOT(AND(ISNUMBER(E155),ISNUMBER(F155))),$J$2=""),"",IF(Reprogramaciones!W$13&lt;Reprogramaciones!$T$15,0,IF(Reprogramaciones!W$14&gt;10,MIN(100,SUM($G155:$P155)),MIN(100,SUMPRODUCT((COLUMN($G155:$P155)-COLUMN($G155)+1&lt;Reprogramaciones!W$14)*$G155:$P155)+N(INDEX($G155:$P155,1,Reprogramaciones!W$14))*IF(Reprogramaciones!W$13&gt;=(Reprogramaciones!$T$15+7*(Reprogramaciones!W$14-1))+6,1,IF(MAX(0,NETWORKDAYS.INTL(MAX(E155,(Reprogramaciones!$T$15+7*(Reprogramaciones!W$14-1))),MIN(F155,(Reprogramaciones!$T$15+7*(Reprogramaciones!W$14-1))+6),11))=0,0,MAX(0,NETWORKDAYS.INTL(MAX(E155,(Reprogramaciones!$T$15+7*(Reprogramaciones!W$14-1))),MIN(F155,Reprogramaciones!W$13),11))/MAX(0,NETWORKDAYS.INTL(MAX(E155,(Reprogramaciones!$T$15+7*(Reprogramaciones!W$14-1))),MIN(F155,(Reprogramaciones!$T$15+7*(Reprogramaciones!W$14-1))+6),11))))))))</f>
        <v/>
      </c>
      <c r="CG155" s="1" t="str">
        <f aca="false">IF(OR(NOT(AND(ISNUMBER(E155),ISNUMBER(F155))),$J$2=""),"",IF(Reprogramaciones!X$13&lt;Reprogramaciones!$T$15,0,IF(Reprogramaciones!X$14&gt;10,MIN(100,SUM($G155:$P155)),MIN(100,SUMPRODUCT((COLUMN($G155:$P155)-COLUMN($G155)+1&lt;Reprogramaciones!X$14)*$G155:$P155)+N(INDEX($G155:$P155,1,Reprogramaciones!X$14))*IF(Reprogramaciones!X$13&gt;=(Reprogramaciones!$T$15+7*(Reprogramaciones!X$14-1))+6,1,IF(MAX(0,NETWORKDAYS.INTL(MAX(E155,(Reprogramaciones!$T$15+7*(Reprogramaciones!X$14-1))),MIN(F155,(Reprogramaciones!$T$15+7*(Reprogramaciones!X$14-1))+6),11))=0,0,MAX(0,NETWORKDAYS.INTL(MAX(E155,(Reprogramaciones!$T$15+7*(Reprogramaciones!X$14-1))),MIN(F155,Reprogramaciones!X$13),11))/MAX(0,NETWORKDAYS.INTL(MAX(E155,(Reprogramaciones!$T$15+7*(Reprogramaciones!X$14-1))),MIN(F155,(Reprogramaciones!$T$15+7*(Reprogramaciones!X$14-1))+6),11))))))))</f>
        <v/>
      </c>
      <c r="CH155" s="1" t="str">
        <f aca="false">IF(OR(NOT(AND(ISNUMBER(E155),ISNUMBER(F155))),$J$2=""),"",IF(Reprogramaciones!Y$13&lt;Reprogramaciones!$T$15,0,IF(Reprogramaciones!Y$14&gt;10,MIN(100,SUM($G155:$P155)),MIN(100,SUMPRODUCT((COLUMN($G155:$P155)-COLUMN($G155)+1&lt;Reprogramaciones!Y$14)*$G155:$P155)+N(INDEX($G155:$P155,1,Reprogramaciones!Y$14))*IF(Reprogramaciones!Y$13&gt;=(Reprogramaciones!$T$15+7*(Reprogramaciones!Y$14-1))+6,1,IF(MAX(0,NETWORKDAYS.INTL(MAX(E155,(Reprogramaciones!$T$15+7*(Reprogramaciones!Y$14-1))),MIN(F155,(Reprogramaciones!$T$15+7*(Reprogramaciones!Y$14-1))+6),11))=0,0,MAX(0,NETWORKDAYS.INTL(MAX(E155,(Reprogramaciones!$T$15+7*(Reprogramaciones!Y$14-1))),MIN(F155,Reprogramaciones!Y$13),11))/MAX(0,NETWORKDAYS.INTL(MAX(E155,(Reprogramaciones!$T$15+7*(Reprogramaciones!Y$14-1))),MIN(F155,(Reprogramaciones!$T$15+7*(Reprogramaciones!Y$14-1))+6),11))))))))</f>
        <v/>
      </c>
      <c r="CI155" s="1" t="str">
        <f aca="false">IF(OR(NOT(AND(ISNUMBER(E155),ISNUMBER(F155))),$J$2=""),"",IF(Reprogramaciones!Z$13&lt;Reprogramaciones!$T$15,0,IF(Reprogramaciones!Z$14&gt;10,MIN(100,SUM($G155:$P155)),MIN(100,SUMPRODUCT((COLUMN($G155:$P155)-COLUMN($G155)+1&lt;Reprogramaciones!Z$14)*$G155:$P155)+N(INDEX($G155:$P155,1,Reprogramaciones!Z$14))*IF(Reprogramaciones!Z$13&gt;=(Reprogramaciones!$T$15+7*(Reprogramaciones!Z$14-1))+6,1,IF(MAX(0,NETWORKDAYS.INTL(MAX(E155,(Reprogramaciones!$T$15+7*(Reprogramaciones!Z$14-1))),MIN(F155,(Reprogramaciones!$T$15+7*(Reprogramaciones!Z$14-1))+6),11))=0,0,MAX(0,NETWORKDAYS.INTL(MAX(E155,(Reprogramaciones!$T$15+7*(Reprogramaciones!Z$14-1))),MIN(F155,Reprogramaciones!Z$13),11))/MAX(0,NETWORKDAYS.INTL(MAX(E155,(Reprogramaciones!$T$15+7*(Reprogramaciones!Z$14-1))),MIN(F155,(Reprogramaciones!$T$15+7*(Reprogramaciones!Z$14-1))+6),11))))))))</f>
        <v/>
      </c>
      <c r="CJ155" s="1" t="str">
        <f aca="false">IF(OR(OR(NOT(AND(ISNUMBER(E155),ISNUMBER(F155))),$J$2=""),1&gt;Reprogramaciones!$K$16),"",IF(ROUND(SUM($Q155:Q155),1)&gt;=99.5,100,MIN(100,ROUND(SUM($Q155:Q155),1))))</f>
        <v/>
      </c>
      <c r="CK155" s="1" t="str">
        <f aca="false">IF(OR(OR(NOT(AND(ISNUMBER(E155),ISNUMBER(F155))),$J$2=""),2&gt;Reprogramaciones!$K$16),"",IF(ROUND(SUM($Q155:R155),1)&gt;=99.5,100,MIN(100,ROUND(SUM($Q155:R155),1))))</f>
        <v/>
      </c>
      <c r="CL155" s="1" t="str">
        <f aca="false">IF(OR(OR(NOT(AND(ISNUMBER(E155),ISNUMBER(F155))),$J$2=""),3&gt;Reprogramaciones!$K$16),"",IF(ROUND(SUM($Q155:S155),1)&gt;=99.5,100,MIN(100,ROUND(SUM($Q155:S155),1))))</f>
        <v/>
      </c>
      <c r="CM155" s="1" t="str">
        <f aca="false">IF(OR(OR(NOT(AND(ISNUMBER(E155),ISNUMBER(F155))),$J$2=""),4&gt;Reprogramaciones!$K$16),"",IF(ROUND(SUM($Q155:T155),1)&gt;=99.5,100,MIN(100,ROUND(SUM($Q155:T155),1))))</f>
        <v/>
      </c>
      <c r="CN155" s="1" t="str">
        <f aca="false">IF(OR(OR(NOT(AND(ISNUMBER(E155),ISNUMBER(F155))),$J$2=""),5&gt;Reprogramaciones!$K$16),"",IF(ROUND(SUM($Q155:U155),1)&gt;=99.5,100,MIN(100,ROUND(SUM($Q155:U155),1))))</f>
        <v/>
      </c>
      <c r="CO155" s="1" t="str">
        <f aca="false">IF(OR(OR(NOT(AND(ISNUMBER(E155),ISNUMBER(F155))),$J$2=""),6&gt;Reprogramaciones!$K$16),"",IF(ROUND(SUM($Q155:V155),1)&gt;=99.5,100,MIN(100,ROUND(SUM($Q155:V155),1))))</f>
        <v/>
      </c>
      <c r="CP155" s="1" t="str">
        <f aca="false">IF(OR(OR(NOT(AND(ISNUMBER(E155),ISNUMBER(F155))),$J$2=""),7&gt;Reprogramaciones!$K$16),"",IF(ROUND(SUM($Q155:W155),1)&gt;=99.5,100,MIN(100,ROUND(SUM($Q155:W155),1))))</f>
        <v/>
      </c>
      <c r="CQ155" s="1" t="str">
        <f aca="false">IF(OR(OR(NOT(AND(ISNUMBER(E155),ISNUMBER(F155))),$J$2=""),8&gt;Reprogramaciones!$K$16),"",IF(ROUND(SUM($Q155:X155),1)&gt;=99.5,100,MIN(100,ROUND(SUM($Q155:X155),1))))</f>
        <v/>
      </c>
      <c r="CR155" s="1" t="str">
        <f aca="false">IF(OR(OR(NOT(AND(ISNUMBER(E155),ISNUMBER(F155))),$J$2=""),9&gt;Reprogramaciones!$K$16),"",IF(ROUND(SUM($Q155:Y155),1)&gt;=99.5,100,MIN(100,ROUND(SUM($Q155:Y155),1))))</f>
        <v/>
      </c>
      <c r="CS155" s="1" t="str">
        <f aca="false">IF(OR(OR(NOT(AND(ISNUMBER(E155),ISNUMBER(F155))),$J$2=""),10&gt;Reprogramaciones!$K$16),"",IF(ROUND(SUM($Q155:Z155),1)&gt;=99.5,100,MIN(100,ROUND(SUM($Q155:Z155),1))))</f>
        <v/>
      </c>
      <c r="CT155" s="1" t="str">
        <f aca="false">IF(OR(OR(NOT(AND(ISNUMBER(E155),ISNUMBER(F155))),$J$2=""),11&gt;Reprogramaciones!$K$16),"",IF(ROUND(SUM($Q155:AA155),1)&gt;=99.5,100,MIN(100,ROUND(SUM($Q155:AA155),1))))</f>
        <v/>
      </c>
      <c r="CU155" s="1" t="str">
        <f aca="false">IF(OR(OR(NOT(AND(ISNUMBER(E155),ISNUMBER(F155))),$J$2=""),12&gt;Reprogramaciones!$K$16),"",IF(ROUND(SUM($Q155:AB155),1)&gt;=99.5,100,MIN(100,ROUND(SUM($Q155:AB155),1))))</f>
        <v/>
      </c>
      <c r="CV155" s="1" t="str">
        <f aca="false">IF(OR(OR(NOT(AND(ISNUMBER(E155),ISNUMBER(F155))),$J$2=""),13&gt;Reprogramaciones!$K$16),"",IF(ROUND(SUM($Q155:AC155),1)&gt;=99.5,100,MIN(100,ROUND(SUM($Q155:AC155),1))))</f>
        <v/>
      </c>
      <c r="CW155" s="1" t="str">
        <f aca="false">IF(OR(OR(NOT(AND(ISNUMBER(E155),ISNUMBER(F155))),$J$2=""),14&gt;Reprogramaciones!$K$16),"",IF(ROUND(SUM($Q155:AD155),1)&gt;=99.5,100,MIN(100,ROUND(SUM($Q155:AD155),1))))</f>
        <v/>
      </c>
      <c r="CX155" s="1" t="str">
        <f aca="false">IF(OR(OR(NOT(AND(ISNUMBER(E155),ISNUMBER(F155))),$J$2=""),15&gt;Reprogramaciones!$K$16),"",IF(ROUND(SUM($Q155:AE155),1)&gt;=99.5,100,MIN(100,ROUND(SUM($Q155:AE155),1))))</f>
        <v/>
      </c>
      <c r="CY155" s="1" t="str">
        <f aca="false">IF(OR(OR(NOT(AND(ISNUMBER(E155),ISNUMBER(F155))),$J$2=""),16&gt;Reprogramaciones!$K$16),"",IF(ROUND(SUM($Q155:AF155),1)&gt;=99.5,100,MIN(100,ROUND(SUM($Q155:AF155),1))))</f>
        <v/>
      </c>
      <c r="CZ155" s="1" t="str">
        <f aca="false">IF(D155&lt;&gt;"",D155,IF(B155&lt;&gt;"","Contractual",CZ154))</f>
        <v>Contractual</v>
      </c>
      <c r="DA155" s="1" t="str">
        <f aca="false">IF(OR(NOT(AND(ISNUMBER(E155),ISNUMBER(F155))),$J$2=""),"",IF(Reprogramaciones!$Q$15&lt;Reprogramaciones!$T$15,0,IF(Reprogramaciones!$S$15&gt;10,MIN(100,SUM($G155:$P155)),MIN(100,SUMPRODUCT((COLUMN($G155:$P155)-COLUMN($G155)+1&lt;Reprogramaciones!$S$15)*$G155:$P155)+N(INDEX($G155:$P155,1,Reprogramaciones!$S$15))*IF(Reprogramaciones!$Q$15&gt;=(Reprogramaciones!$T$15+7*(Reprogramaciones!$S$15-1))+6,1,IF(MAX(0,NETWORKDAYS.INTL(MAX(E155,(Reprogramaciones!$T$15+7*(Reprogramaciones!$S$15-1))),MIN(F155,(Reprogramaciones!$T$15+7*(Reprogramaciones!$S$15-1))+6),11))=0,0,MAX(0,NETWORKDAYS.INTL(MAX(E155,(Reprogramaciones!$T$15+7*(Reprogramaciones!$S$15-1))),MIN(F155,Reprogramaciones!$Q$15),11))/MAX(0,NETWORKDAYS.INTL(MAX(E155,(Reprogramaciones!$T$15+7*(Reprogramaciones!$S$15-1))),MIN(F155,(Reprogramaciones!$T$15+7*(Reprogramaciones!$S$15-1))+6),11))))))))</f>
        <v/>
      </c>
    </row>
    <row r="156" customFormat="false" ht="15" hidden="false" customHeight="false" outlineLevel="0" collapsed="false">
      <c r="A156" s="32"/>
      <c r="B156" s="33"/>
      <c r="C156" s="33"/>
      <c r="D156" s="34"/>
      <c r="E156" s="35"/>
      <c r="F156" s="35"/>
      <c r="G156" s="36" t="str">
        <f aca="false">IF(OR(NOT(AND(ISNUMBER(E156),ISNUMBER(F156))),$J$2=""),"",IF(Reprogramaciones!K$9&lt;E156,0,IF(NETWORKDAYS.INTL(E156,F156,11)=0,IF(Reprogramaciones!K$9&gt;=F156,100,0),ROUND(NETWORKDAYS.INTL(E156,MIN(F156,Reprogramaciones!K$9),11)/NETWORKDAYS.INTL(E156,F156,11)*100,1)))-0)</f>
        <v/>
      </c>
      <c r="H156" s="36" t="str">
        <f aca="false">IF(OR(NOT(AND(ISNUMBER(E156),ISNUMBER(F156))),$J$2=""),"",IF(Reprogramaciones!L$9&lt;E156,0,IF(NETWORKDAYS.INTL(E156,F156,11)=0,IF(Reprogramaciones!L$9&gt;=F156,100,0),ROUND(NETWORKDAYS.INTL(E156,MIN(F156,Reprogramaciones!L$9),11)/NETWORKDAYS.INTL(E156,F156,11)*100,1)))-IF(Reprogramaciones!K$9&lt;E156,0,IF(NETWORKDAYS.INTL(E156,F156,11)=0,IF(Reprogramaciones!K$9&gt;=F156,100,0),ROUND(NETWORKDAYS.INTL(E156,MIN(F156,Reprogramaciones!K$9),11)/NETWORKDAYS.INTL(E156,F156,11)*100,1))))</f>
        <v/>
      </c>
      <c r="I156" s="36" t="str">
        <f aca="false">IF(OR(NOT(AND(ISNUMBER(E156),ISNUMBER(F156))),$J$2=""),"",IF(Reprogramaciones!M$9&lt;E156,0,IF(NETWORKDAYS.INTL(E156,F156,11)=0,IF(Reprogramaciones!M$9&gt;=F156,100,0),ROUND(NETWORKDAYS.INTL(E156,MIN(F156,Reprogramaciones!M$9),11)/NETWORKDAYS.INTL(E156,F156,11)*100,1)))-IF(Reprogramaciones!L$9&lt;E156,0,IF(NETWORKDAYS.INTL(E156,F156,11)=0,IF(Reprogramaciones!L$9&gt;=F156,100,0),ROUND(NETWORKDAYS.INTL(E156,MIN(F156,Reprogramaciones!L$9),11)/NETWORKDAYS.INTL(E156,F156,11)*100,1))))</f>
        <v/>
      </c>
      <c r="J156" s="36" t="str">
        <f aca="false">IF(OR(NOT(AND(ISNUMBER(E156),ISNUMBER(F156))),$J$2=""),"",IF(Reprogramaciones!N$9&lt;E156,0,IF(NETWORKDAYS.INTL(E156,F156,11)=0,IF(Reprogramaciones!N$9&gt;=F156,100,0),ROUND(NETWORKDAYS.INTL(E156,MIN(F156,Reprogramaciones!N$9),11)/NETWORKDAYS.INTL(E156,F156,11)*100,1)))-IF(Reprogramaciones!M$9&lt;E156,0,IF(NETWORKDAYS.INTL(E156,F156,11)=0,IF(Reprogramaciones!M$9&gt;=F156,100,0),ROUND(NETWORKDAYS.INTL(E156,MIN(F156,Reprogramaciones!M$9),11)/NETWORKDAYS.INTL(E156,F156,11)*100,1))))</f>
        <v/>
      </c>
      <c r="K156" s="36" t="str">
        <f aca="false">IF(OR(NOT(AND(ISNUMBER(E156),ISNUMBER(F156))),$J$2=""),"",IF(Reprogramaciones!O$9&lt;E156,0,IF(NETWORKDAYS.INTL(E156,F156,11)=0,IF(Reprogramaciones!O$9&gt;=F156,100,0),ROUND(NETWORKDAYS.INTL(E156,MIN(F156,Reprogramaciones!O$9),11)/NETWORKDAYS.INTL(E156,F156,11)*100,1)))-IF(Reprogramaciones!N$9&lt;E156,0,IF(NETWORKDAYS.INTL(E156,F156,11)=0,IF(Reprogramaciones!N$9&gt;=F156,100,0),ROUND(NETWORKDAYS.INTL(E156,MIN(F156,Reprogramaciones!N$9),11)/NETWORKDAYS.INTL(E156,F156,11)*100,1))))</f>
        <v/>
      </c>
      <c r="L156" s="36" t="str">
        <f aca="false">IF(OR(NOT(AND(ISNUMBER(E156),ISNUMBER(F156))),$J$2=""),"",IF(Reprogramaciones!P$9&lt;E156,0,IF(NETWORKDAYS.INTL(E156,F156,11)=0,IF(Reprogramaciones!P$9&gt;=F156,100,0),ROUND(NETWORKDAYS.INTL(E156,MIN(F156,Reprogramaciones!P$9),11)/NETWORKDAYS.INTL(E156,F156,11)*100,1)))-IF(Reprogramaciones!O$9&lt;E156,0,IF(NETWORKDAYS.INTL(E156,F156,11)=0,IF(Reprogramaciones!O$9&gt;=F156,100,0),ROUND(NETWORKDAYS.INTL(E156,MIN(F156,Reprogramaciones!O$9),11)/NETWORKDAYS.INTL(E156,F156,11)*100,1))))</f>
        <v/>
      </c>
      <c r="M156" s="36" t="str">
        <f aca="false">IF(OR(NOT(AND(ISNUMBER(E156),ISNUMBER(F156))),$J$2=""),"",IF(Reprogramaciones!Q$9&lt;E156,0,IF(NETWORKDAYS.INTL(E156,F156,11)=0,IF(Reprogramaciones!Q$9&gt;=F156,100,0),ROUND(NETWORKDAYS.INTL(E156,MIN(F156,Reprogramaciones!Q$9),11)/NETWORKDAYS.INTL(E156,F156,11)*100,1)))-IF(Reprogramaciones!P$9&lt;E156,0,IF(NETWORKDAYS.INTL(E156,F156,11)=0,IF(Reprogramaciones!P$9&gt;=F156,100,0),ROUND(NETWORKDAYS.INTL(E156,MIN(F156,Reprogramaciones!P$9),11)/NETWORKDAYS.INTL(E156,F156,11)*100,1))))</f>
        <v/>
      </c>
      <c r="N156" s="36" t="str">
        <f aca="false">IF(OR(NOT(AND(ISNUMBER(E156),ISNUMBER(F156))),$J$2=""),"",IF(Reprogramaciones!R$9&lt;E156,0,IF(NETWORKDAYS.INTL(E156,F156,11)=0,IF(Reprogramaciones!R$9&gt;=F156,100,0),ROUND(NETWORKDAYS.INTL(E156,MIN(F156,Reprogramaciones!R$9),11)/NETWORKDAYS.INTL(E156,F156,11)*100,1)))-IF(Reprogramaciones!Q$9&lt;E156,0,IF(NETWORKDAYS.INTL(E156,F156,11)=0,IF(Reprogramaciones!Q$9&gt;=F156,100,0),ROUND(NETWORKDAYS.INTL(E156,MIN(F156,Reprogramaciones!Q$9),11)/NETWORKDAYS.INTL(E156,F156,11)*100,1))))</f>
        <v/>
      </c>
      <c r="O156" s="36" t="str">
        <f aca="false">IF(OR(NOT(AND(ISNUMBER(E156),ISNUMBER(F156))),$J$2=""),"",IF(Reprogramaciones!S$9&lt;E156,0,IF(NETWORKDAYS.INTL(E156,F156,11)=0,IF(Reprogramaciones!S$9&gt;=F156,100,0),ROUND(NETWORKDAYS.INTL(E156,MIN(F156,Reprogramaciones!S$9),11)/NETWORKDAYS.INTL(E156,F156,11)*100,1)))-IF(Reprogramaciones!R$9&lt;E156,0,IF(NETWORKDAYS.INTL(E156,F156,11)=0,IF(Reprogramaciones!R$9&gt;=F156,100,0),ROUND(NETWORKDAYS.INTL(E156,MIN(F156,Reprogramaciones!R$9),11)/NETWORKDAYS.INTL(E156,F156,11)*100,1))))</f>
        <v/>
      </c>
      <c r="P156" s="36" t="str">
        <f aca="false">IF(OR(NOT(AND(ISNUMBER(E156),ISNUMBER(F156))),$J$2=""),"",IF(Reprogramaciones!T$9&lt;E156,0,IF(NETWORKDAYS.INTL(E156,F156,11)=0,IF(Reprogramaciones!T$9&gt;=F156,100,0),ROUND(NETWORKDAYS.INTL(E156,MIN(F156,Reprogramaciones!T$9),11)/NETWORKDAYS.INTL(E156,F156,11)*100,1)))-IF(Reprogramaciones!S$9&lt;E156,0,IF(NETWORKDAYS.INTL(E156,F156,11)=0,IF(Reprogramaciones!S$9&gt;=F156,100,0),ROUND(NETWORKDAYS.INTL(E156,MIN(F156,Reprogramaciones!S$9),11)/NETWORKDAYS.INTL(E156,F156,11)*100,1))))</f>
        <v/>
      </c>
      <c r="Q156" s="37"/>
      <c r="R156" s="37"/>
      <c r="S156" s="37"/>
      <c r="T156" s="37"/>
      <c r="U156" s="37"/>
      <c r="V156" s="37"/>
      <c r="W156" s="37"/>
      <c r="X156" s="37"/>
      <c r="Y156" s="37"/>
      <c r="Z156" s="37"/>
      <c r="AA156" s="37"/>
      <c r="AB156" s="37"/>
      <c r="AC156" s="37"/>
      <c r="AD156" s="37"/>
      <c r="AE156" s="37"/>
      <c r="AF156" s="37"/>
      <c r="AG156" s="38" t="str">
        <f aca="false">IF(AND(ISNUMBER(E156),ISNUMBER(F156)),NETWORKDAYS.INTL(E156,F156,11),"")</f>
        <v/>
      </c>
      <c r="AH156" s="38" t="str">
        <f aca="false">IF(OR(NOT(AND(ISNUMBER(E156),ISNUMBER(F156))),$J$2=""),"",IF(Reprogramaciones!$P$15&lt;Reprogramaciones!$T$15,0,IF(Reprogramaciones!$R$15&gt;10,MIN(100,SUM($G156:$P156)),MIN(100,SUMPRODUCT((COLUMN($G156:$P156)-COLUMN($G156)+1&lt;Reprogramaciones!$R$15)*$G156:$P156)+N(INDEX($G156:$P156,1,Reprogramaciones!$R$15))*IF(Reprogramaciones!$P$15&gt;=(Reprogramaciones!$T$15+7*(Reprogramaciones!$R$15-1))+6,1,IF(MAX(0,NETWORKDAYS.INTL(MAX(E156,(Reprogramaciones!$T$15+7*(Reprogramaciones!$R$15-1))),MIN(F156,(Reprogramaciones!$T$15+7*(Reprogramaciones!$R$15-1))+6),11))=0,0,MAX(0,NETWORKDAYS.INTL(MAX(E156,(Reprogramaciones!$T$15+7*(Reprogramaciones!$R$15-1))),MIN(F156,Reprogramaciones!$P$15),11))/MAX(0,NETWORKDAYS.INTL(MAX(E156,(Reprogramaciones!$T$15+7*(Reprogramaciones!$R$15-1))),MIN(F156,(Reprogramaciones!$T$15+7*(Reprogramaciones!$R$15-1))+6),11))))))))</f>
        <v/>
      </c>
      <c r="AI156" s="38" t="str">
        <f aca="false">IF(COUNT($Q156:$AF156)=0,"",IF(ROUND(SUM($Q156:$AF156),1)&gt;=99.5,100,MIN(100,ROUND(SUM($Q156:$AF156),1))))</f>
        <v/>
      </c>
      <c r="AJ156" s="38" t="str">
        <f aca="false">IF(OR(AH156="",AI156=""),"",AI156-AH156)</f>
        <v/>
      </c>
      <c r="AK156" s="39" t="str">
        <f aca="true">IF(AH156="","",IF(OR(Ficha!$C$10="Suspendida",Ficha!$C$10="Cancelada"),Ficha!$C$10,IF(AND(AI156&lt;&gt;"",N(AI156)&gt;=100),"Completada",IF(AND(E156&gt;TODAY(),N(AI156)=0),"Por iniciar",IF(N(AI156)+0.5&lt;AH156,"Retrasada",IF(N(AI156)+0.5&lt;DA156,IF(Reprogramaciones!$K$15&gt;0,"Al día · Sem "&amp;Reprogramaciones!$K$15&amp;" en curso","Al día · en curso"),"A tiempo"))))))</f>
        <v/>
      </c>
      <c r="AL156" s="39" t="str">
        <f aca="true">IF(AND(A156="",AND(B156="",C156="",E156="",F156="",COUNT(Q156:AF156)=0)),"",IF(AND(B156="",C156="",E156="",F156="",COUNT(Q156:AF156)=0),"Falta la partida o subpartida",IF(AND(A156&lt;&gt;"",COUNTIF($A$6:$A$305,A156)&gt;1),"Ítem repetido",IF(AND(C156="",E156="",F156="",COUNT(Q156:AF156)=0),"Título de partida",IF(OR(E156="",F156=""),"Faltan fechas",IF(OR(ISTEXT(E156),ISTEXT(F156)),"Fecha escrita como texto: usa dd/mm/aaaa",IF(F156&lt;E156,"Fin antes del inicio",IF(IF($J$2="",FALSE(),OR(E156&lt;$J$2,F156&gt;Reprogramaciones!$T$15+69)),"Fuera de las 10 semanas",IF(ABS(SUM(G156:P156)-100)&gt;0.5,"La meta no suma 100%",IF(ROUND(SUM(Q156:AF156),1)&gt;100.5,"El avance pasa de 100%",IF(MIN(Q156:AF156)&lt;0,"Avance negativo",IF(COUNTA(Q156:AF156)&gt;COUNT(Q156:AF156),"Avance escrito como texto",IF(SUMPRODUCT((Q156:AF156&gt;0)*(Q156:AF156&lt;1))&gt;0,"Avance menor a 1: escribe 50, no 50%",IF(SUMPRODUCT(ISNUMBER(Q156:AF156)*(Reprogramaciones!$K$8:$Z$8&gt;TODAY()))&gt;0,"Avance en semana que aún no llega",IF(AND(N(Reprogramaciones!$E$21)&gt;0,F156&gt;Reprogramaciones!$E$21),"Pasa el fin de la obra: registra una reprogramación",IF(AND(N(Reprogramaciones!$E$21)&gt;0,SUMPRODUCT(ISNUMBER(Q156:AF156)*(Reprogramaciones!$K$8:$Z$8&gt;Reprogramaciones!$E$21))&gt;0),"Avance después del fin de la obra: registra una reprogramación por atraso","OK"))))))))))))))))</f>
        <v/>
      </c>
      <c r="AM156" s="40" t="str">
        <f aca="false">IF(OR(OR(NOT(AND(ISNUMBER(E156),ISNUMBER(F156))),$J$2=""),1&gt;MAX(1,Reprogramaciones!$U$15)),"",IF(Reprogramaciones!K$12&gt;=7,"",IF(OR(BT156-N(0)&gt;0.05,N(Q156)&gt;0),ROUNDDOWN(ROUND(BT156,6),0)&amp;"%"&amp;IF(CJ156="",""," / "&amp;CJ156&amp;"%"),IF(AND(N(0)&gt;=99.95,CJ156&lt;&gt;"",N(CJ156)&lt;100),"Pend. "&amp;CJ156&amp;"%",""))))</f>
        <v/>
      </c>
      <c r="AN156" s="40" t="str">
        <f aca="false">IF(OR(OR(NOT(AND(ISNUMBER(E156),ISNUMBER(F156))),$J$2=""),2&gt;MAX(1,Reprogramaciones!$U$15)),"",IF(Reprogramaciones!L$12&gt;=7,"",IF(OR(BU156-N(BT156)&gt;0.05,N(R156)&gt;0),ROUNDDOWN(ROUND(BU156,6),0)&amp;"%"&amp;IF(CK156="",""," / "&amp;CK156&amp;"%"),IF(AND(N(BT156)&gt;=99.95,CK156&lt;&gt;"",N(CK156)&lt;100),"Pend. "&amp;CK156&amp;"%",""))))</f>
        <v/>
      </c>
      <c r="AO156" s="40" t="str">
        <f aca="false">IF(OR(OR(NOT(AND(ISNUMBER(E156),ISNUMBER(F156))),$J$2=""),3&gt;MAX(1,Reprogramaciones!$U$15)),"",IF(Reprogramaciones!M$12&gt;=7,"",IF(OR(BV156-N(BU156)&gt;0.05,N(S156)&gt;0),ROUNDDOWN(ROUND(BV156,6),0)&amp;"%"&amp;IF(CL156="",""," / "&amp;CL156&amp;"%"),IF(AND(N(BU156)&gt;=99.95,CL156&lt;&gt;"",N(CL156)&lt;100),"Pend. "&amp;CL156&amp;"%",""))))</f>
        <v/>
      </c>
      <c r="AP156" s="40" t="str">
        <f aca="false">IF(OR(OR(NOT(AND(ISNUMBER(E156),ISNUMBER(F156))),$J$2=""),4&gt;MAX(1,Reprogramaciones!$U$15)),"",IF(Reprogramaciones!N$12&gt;=7,"",IF(OR(BW156-N(BV156)&gt;0.05,N(T156)&gt;0),ROUNDDOWN(ROUND(BW156,6),0)&amp;"%"&amp;IF(CM156="",""," / "&amp;CM156&amp;"%"),IF(AND(N(BV156)&gt;=99.95,CM156&lt;&gt;"",N(CM156)&lt;100),"Pend. "&amp;CM156&amp;"%",""))))</f>
        <v/>
      </c>
      <c r="AQ156" s="40" t="str">
        <f aca="false">IF(OR(OR(NOT(AND(ISNUMBER(E156),ISNUMBER(F156))),$J$2=""),5&gt;MAX(1,Reprogramaciones!$U$15)),"",IF(Reprogramaciones!O$12&gt;=7,"",IF(OR(BX156-N(BW156)&gt;0.05,N(U156)&gt;0),ROUNDDOWN(ROUND(BX156,6),0)&amp;"%"&amp;IF(CN156="",""," / "&amp;CN156&amp;"%"),IF(AND(N(BW156)&gt;=99.95,CN156&lt;&gt;"",N(CN156)&lt;100),"Pend. "&amp;CN156&amp;"%",""))))</f>
        <v/>
      </c>
      <c r="AR156" s="40" t="str">
        <f aca="false">IF(OR(OR(NOT(AND(ISNUMBER(E156),ISNUMBER(F156))),$J$2=""),6&gt;MAX(1,Reprogramaciones!$U$15)),"",IF(Reprogramaciones!P$12&gt;=7,"",IF(OR(BY156-N(BX156)&gt;0.05,N(V156)&gt;0),ROUNDDOWN(ROUND(BY156,6),0)&amp;"%"&amp;IF(CO156="",""," / "&amp;CO156&amp;"%"),IF(AND(N(BX156)&gt;=99.95,CO156&lt;&gt;"",N(CO156)&lt;100),"Pend. "&amp;CO156&amp;"%",""))))</f>
        <v/>
      </c>
      <c r="AS156" s="40" t="str">
        <f aca="false">IF(OR(OR(NOT(AND(ISNUMBER(E156),ISNUMBER(F156))),$J$2=""),7&gt;MAX(1,Reprogramaciones!$U$15)),"",IF(Reprogramaciones!Q$12&gt;=7,"",IF(OR(BZ156-N(BY156)&gt;0.05,N(W156)&gt;0),ROUNDDOWN(ROUND(BZ156,6),0)&amp;"%"&amp;IF(CP156="",""," / "&amp;CP156&amp;"%"),IF(AND(N(BY156)&gt;=99.95,CP156&lt;&gt;"",N(CP156)&lt;100),"Pend. "&amp;CP156&amp;"%",""))))</f>
        <v/>
      </c>
      <c r="AT156" s="40" t="str">
        <f aca="false">IF(OR(OR(NOT(AND(ISNUMBER(E156),ISNUMBER(F156))),$J$2=""),8&gt;MAX(1,Reprogramaciones!$U$15)),"",IF(Reprogramaciones!R$12&gt;=7,"",IF(OR(CA156-N(BZ156)&gt;0.05,N(X156)&gt;0),ROUNDDOWN(ROUND(CA156,6),0)&amp;"%"&amp;IF(CQ156="",""," / "&amp;CQ156&amp;"%"),IF(AND(N(BZ156)&gt;=99.95,CQ156&lt;&gt;"",N(CQ156)&lt;100),"Pend. "&amp;CQ156&amp;"%",""))))</f>
        <v/>
      </c>
      <c r="AU156" s="40" t="str">
        <f aca="false">IF(OR(OR(NOT(AND(ISNUMBER(E156),ISNUMBER(F156))),$J$2=""),9&gt;MAX(1,Reprogramaciones!$U$15)),"",IF(Reprogramaciones!S$12&gt;=7,"",IF(OR(CB156-N(CA156)&gt;0.05,N(Y156)&gt;0),ROUNDDOWN(ROUND(CB156,6),0)&amp;"%"&amp;IF(CR156="",""," / "&amp;CR156&amp;"%"),IF(AND(N(CA156)&gt;=99.95,CR156&lt;&gt;"",N(CR156)&lt;100),"Pend. "&amp;CR156&amp;"%",""))))</f>
        <v/>
      </c>
      <c r="AV156" s="40" t="str">
        <f aca="false">IF(OR(OR(NOT(AND(ISNUMBER(E156),ISNUMBER(F156))),$J$2=""),10&gt;MAX(1,Reprogramaciones!$U$15)),"",IF(Reprogramaciones!T$12&gt;=7,"",IF(OR(CC156-N(CB156)&gt;0.05,N(Z156)&gt;0),ROUNDDOWN(ROUND(CC156,6),0)&amp;"%"&amp;IF(CS156="",""," / "&amp;CS156&amp;"%"),IF(AND(N(CB156)&gt;=99.95,CS156&lt;&gt;"",N(CS156)&lt;100),"Pend. "&amp;CS156&amp;"%",""))))</f>
        <v/>
      </c>
      <c r="AW156" s="40" t="str">
        <f aca="false">IF(OR(OR(NOT(AND(ISNUMBER(E156),ISNUMBER(F156))),$J$2=""),11&gt;MAX(1,Reprogramaciones!$U$15)),"",IF(Reprogramaciones!U$12&gt;=7,"",IF(OR(CD156-N(CC156)&gt;0.05,N(AA156)&gt;0),ROUNDDOWN(ROUND(CD156,6),0)&amp;"%"&amp;IF(CT156="",""," / "&amp;CT156&amp;"%"),IF(AND(N(CC156)&gt;=99.95,CT156&lt;&gt;"",N(CT156)&lt;100),"Pend. "&amp;CT156&amp;"%",""))))</f>
        <v/>
      </c>
      <c r="AX156" s="40" t="str">
        <f aca="false">IF(OR(OR(NOT(AND(ISNUMBER(E156),ISNUMBER(F156))),$J$2=""),12&gt;MAX(1,Reprogramaciones!$U$15)),"",IF(Reprogramaciones!V$12&gt;=7,"",IF(OR(CE156-N(CD156)&gt;0.05,N(AB156)&gt;0),ROUNDDOWN(ROUND(CE156,6),0)&amp;"%"&amp;IF(CU156="",""," / "&amp;CU156&amp;"%"),IF(AND(N(CD156)&gt;=99.95,CU156&lt;&gt;"",N(CU156)&lt;100),"Pend. "&amp;CU156&amp;"%",""))))</f>
        <v/>
      </c>
      <c r="AY156" s="40" t="str">
        <f aca="false">IF(OR(OR(NOT(AND(ISNUMBER(E156),ISNUMBER(F156))),$J$2=""),13&gt;MAX(1,Reprogramaciones!$U$15)),"",IF(Reprogramaciones!W$12&gt;=7,"",IF(OR(CF156-N(CE156)&gt;0.05,N(AC156)&gt;0),ROUNDDOWN(ROUND(CF156,6),0)&amp;"%"&amp;IF(CV156="",""," / "&amp;CV156&amp;"%"),IF(AND(N(CE156)&gt;=99.95,CV156&lt;&gt;"",N(CV156)&lt;100),"Pend. "&amp;CV156&amp;"%",""))))</f>
        <v/>
      </c>
      <c r="AZ156" s="40" t="str">
        <f aca="false">IF(OR(OR(NOT(AND(ISNUMBER(E156),ISNUMBER(F156))),$J$2=""),14&gt;MAX(1,Reprogramaciones!$U$15)),"",IF(Reprogramaciones!X$12&gt;=7,"",IF(OR(CG156-N(CF156)&gt;0.05,N(AD156)&gt;0),ROUNDDOWN(ROUND(CG156,6),0)&amp;"%"&amp;IF(CW156="",""," / "&amp;CW156&amp;"%"),IF(AND(N(CF156)&gt;=99.95,CW156&lt;&gt;"",N(CW156)&lt;100),"Pend. "&amp;CW156&amp;"%",""))))</f>
        <v/>
      </c>
      <c r="BA156" s="40" t="str">
        <f aca="false">IF(OR(OR(NOT(AND(ISNUMBER(E156),ISNUMBER(F156))),$J$2=""),15&gt;MAX(1,Reprogramaciones!$U$15)),"",IF(Reprogramaciones!Y$12&gt;=7,"",IF(OR(CH156-N(CG156)&gt;0.05,N(AE156)&gt;0),ROUNDDOWN(ROUND(CH156,6),0)&amp;"%"&amp;IF(CX156="",""," / "&amp;CX156&amp;"%"),IF(AND(N(CG156)&gt;=99.95,CX156&lt;&gt;"",N(CX156)&lt;100),"Pend. "&amp;CX156&amp;"%",""))))</f>
        <v/>
      </c>
      <c r="BB156" s="40" t="str">
        <f aca="false">IF(OR(OR(NOT(AND(ISNUMBER(E156),ISNUMBER(F156))),$J$2=""),16&gt;MAX(1,Reprogramaciones!$U$15)),"",IF(Reprogramaciones!Z$12&gt;=7,"",IF(OR(CI156-N(CH156)&gt;0.05,N(AF156)&gt;0),ROUNDDOWN(ROUND(CI156,6),0)&amp;"%"&amp;IF(CY156="",""," / "&amp;CY156&amp;"%"),IF(AND(N(CH156)&gt;=99.95,CY156&lt;&gt;"",N(CY156)&lt;100),"Pend. "&amp;CY156&amp;"%",""))))</f>
        <v/>
      </c>
      <c r="BC156" s="31" t="n">
        <f aca="false">IF(AND(ISNUMBER(E156),ISNUMBER(F156)),MAX(1,NETWORKDAYS.INTL(E156,F156,11)),0)</f>
        <v>0</v>
      </c>
      <c r="BD156" s="1" t="str">
        <f aca="false">IF(OR(NOT(AND(ISNUMBER(E156),ISNUMBER(F156))),$J$2=""),"",MIN(100,ROUND(SUM($G156:G156),1)))</f>
        <v/>
      </c>
      <c r="BE156" s="1" t="str">
        <f aca="false">IF(OR(NOT(AND(ISNUMBER(E156),ISNUMBER(F156))),$J$2=""),"",MIN(100,ROUND(SUM($G156:H156),1)))</f>
        <v/>
      </c>
      <c r="BF156" s="1" t="str">
        <f aca="false">IF(OR(NOT(AND(ISNUMBER(E156),ISNUMBER(F156))),$J$2=""),"",MIN(100,ROUND(SUM($G156:I156),1)))</f>
        <v/>
      </c>
      <c r="BG156" s="1" t="str">
        <f aca="false">IF(OR(NOT(AND(ISNUMBER(E156),ISNUMBER(F156))),$J$2=""),"",MIN(100,ROUND(SUM($G156:J156),1)))</f>
        <v/>
      </c>
      <c r="BH156" s="1" t="str">
        <f aca="false">IF(OR(NOT(AND(ISNUMBER(E156),ISNUMBER(F156))),$J$2=""),"",MIN(100,ROUND(SUM($G156:K156),1)))</f>
        <v/>
      </c>
      <c r="BI156" s="1" t="str">
        <f aca="false">IF(OR(NOT(AND(ISNUMBER(E156),ISNUMBER(F156))),$J$2=""),"",MIN(100,ROUND(SUM($G156:L156),1)))</f>
        <v/>
      </c>
      <c r="BJ156" s="1" t="str">
        <f aca="false">IF(OR(NOT(AND(ISNUMBER(E156),ISNUMBER(F156))),$J$2=""),"",MIN(100,ROUND(SUM($G156:M156),1)))</f>
        <v/>
      </c>
      <c r="BK156" s="1" t="str">
        <f aca="false">IF(OR(NOT(AND(ISNUMBER(E156),ISNUMBER(F156))),$J$2=""),"",MIN(100,ROUND(SUM($G156:N156),1)))</f>
        <v/>
      </c>
      <c r="BL156" s="1" t="str">
        <f aca="false">IF(OR(NOT(AND(ISNUMBER(E156),ISNUMBER(F156))),$J$2=""),"",MIN(100,ROUND(SUM($G156:O156),1)))</f>
        <v/>
      </c>
      <c r="BM156" s="1" t="str">
        <f aca="false">IF(OR(NOT(AND(ISNUMBER(E156),ISNUMBER(F156))),$J$2=""),"",MIN(100,ROUND(SUM($G156:P156),1)))</f>
        <v/>
      </c>
      <c r="BN156" s="1" t="str">
        <f aca="false">IF(OR(NOT(AND(ISNUMBER(E156),ISNUMBER(F156))),$J$2=""),"",MIN(100,ROUND(SUM($G156:P156),1)))</f>
        <v/>
      </c>
      <c r="BO156" s="1" t="str">
        <f aca="false">IF(OR(NOT(AND(ISNUMBER(E156),ISNUMBER(F156))),$J$2=""),"",MIN(100,ROUND(SUM($G156:P156),1)))</f>
        <v/>
      </c>
      <c r="BP156" s="1" t="str">
        <f aca="false">IF(OR(NOT(AND(ISNUMBER(E156),ISNUMBER(F156))),$J$2=""),"",MIN(100,ROUND(SUM($G156:P156),1)))</f>
        <v/>
      </c>
      <c r="BQ156" s="1" t="str">
        <f aca="false">IF(OR(NOT(AND(ISNUMBER(E156),ISNUMBER(F156))),$J$2=""),"",MIN(100,ROUND(SUM($G156:P156),1)))</f>
        <v/>
      </c>
      <c r="BR156" s="1" t="str">
        <f aca="false">IF(OR(NOT(AND(ISNUMBER(E156),ISNUMBER(F156))),$J$2=""),"",MIN(100,ROUND(SUM($G156:P156),1)))</f>
        <v/>
      </c>
      <c r="BS156" s="1" t="str">
        <f aca="false">IF(OR(NOT(AND(ISNUMBER(E156),ISNUMBER(F156))),$J$2=""),"",MIN(100,ROUND(SUM($G156:P156),1)))</f>
        <v/>
      </c>
      <c r="BT156" s="1" t="str">
        <f aca="false">IF(OR(NOT(AND(ISNUMBER(E156),ISNUMBER(F156))),$J$2=""),"",IF(Reprogramaciones!K$13&lt;Reprogramaciones!$T$15,0,IF(Reprogramaciones!K$14&gt;10,MIN(100,SUM($G156:$P156)),MIN(100,SUMPRODUCT((COLUMN($G156:$P156)-COLUMN($G156)+1&lt;Reprogramaciones!K$14)*$G156:$P156)+N(INDEX($G156:$P156,1,Reprogramaciones!K$14))*IF(Reprogramaciones!K$13&gt;=(Reprogramaciones!$T$15+7*(Reprogramaciones!K$14-1))+6,1,IF(MAX(0,NETWORKDAYS.INTL(MAX(E156,(Reprogramaciones!$T$15+7*(Reprogramaciones!K$14-1))),MIN(F156,(Reprogramaciones!$T$15+7*(Reprogramaciones!K$14-1))+6),11))=0,0,MAX(0,NETWORKDAYS.INTL(MAX(E156,(Reprogramaciones!$T$15+7*(Reprogramaciones!K$14-1))),MIN(F156,Reprogramaciones!K$13),11))/MAX(0,NETWORKDAYS.INTL(MAX(E156,(Reprogramaciones!$T$15+7*(Reprogramaciones!K$14-1))),MIN(F156,(Reprogramaciones!$T$15+7*(Reprogramaciones!K$14-1))+6),11))))))))</f>
        <v/>
      </c>
      <c r="BU156" s="1" t="str">
        <f aca="false">IF(OR(NOT(AND(ISNUMBER(E156),ISNUMBER(F156))),$J$2=""),"",IF(Reprogramaciones!L$13&lt;Reprogramaciones!$T$15,0,IF(Reprogramaciones!L$14&gt;10,MIN(100,SUM($G156:$P156)),MIN(100,SUMPRODUCT((COLUMN($G156:$P156)-COLUMN($G156)+1&lt;Reprogramaciones!L$14)*$G156:$P156)+N(INDEX($G156:$P156,1,Reprogramaciones!L$14))*IF(Reprogramaciones!L$13&gt;=(Reprogramaciones!$T$15+7*(Reprogramaciones!L$14-1))+6,1,IF(MAX(0,NETWORKDAYS.INTL(MAX(E156,(Reprogramaciones!$T$15+7*(Reprogramaciones!L$14-1))),MIN(F156,(Reprogramaciones!$T$15+7*(Reprogramaciones!L$14-1))+6),11))=0,0,MAX(0,NETWORKDAYS.INTL(MAX(E156,(Reprogramaciones!$T$15+7*(Reprogramaciones!L$14-1))),MIN(F156,Reprogramaciones!L$13),11))/MAX(0,NETWORKDAYS.INTL(MAX(E156,(Reprogramaciones!$T$15+7*(Reprogramaciones!L$14-1))),MIN(F156,(Reprogramaciones!$T$15+7*(Reprogramaciones!L$14-1))+6),11))))))))</f>
        <v/>
      </c>
      <c r="BV156" s="1" t="str">
        <f aca="false">IF(OR(NOT(AND(ISNUMBER(E156),ISNUMBER(F156))),$J$2=""),"",IF(Reprogramaciones!M$13&lt;Reprogramaciones!$T$15,0,IF(Reprogramaciones!M$14&gt;10,MIN(100,SUM($G156:$P156)),MIN(100,SUMPRODUCT((COLUMN($G156:$P156)-COLUMN($G156)+1&lt;Reprogramaciones!M$14)*$G156:$P156)+N(INDEX($G156:$P156,1,Reprogramaciones!M$14))*IF(Reprogramaciones!M$13&gt;=(Reprogramaciones!$T$15+7*(Reprogramaciones!M$14-1))+6,1,IF(MAX(0,NETWORKDAYS.INTL(MAX(E156,(Reprogramaciones!$T$15+7*(Reprogramaciones!M$14-1))),MIN(F156,(Reprogramaciones!$T$15+7*(Reprogramaciones!M$14-1))+6),11))=0,0,MAX(0,NETWORKDAYS.INTL(MAX(E156,(Reprogramaciones!$T$15+7*(Reprogramaciones!M$14-1))),MIN(F156,Reprogramaciones!M$13),11))/MAX(0,NETWORKDAYS.INTL(MAX(E156,(Reprogramaciones!$T$15+7*(Reprogramaciones!M$14-1))),MIN(F156,(Reprogramaciones!$T$15+7*(Reprogramaciones!M$14-1))+6),11))))))))</f>
        <v/>
      </c>
      <c r="BW156" s="1" t="str">
        <f aca="false">IF(OR(NOT(AND(ISNUMBER(E156),ISNUMBER(F156))),$J$2=""),"",IF(Reprogramaciones!N$13&lt;Reprogramaciones!$T$15,0,IF(Reprogramaciones!N$14&gt;10,MIN(100,SUM($G156:$P156)),MIN(100,SUMPRODUCT((COLUMN($G156:$P156)-COLUMN($G156)+1&lt;Reprogramaciones!N$14)*$G156:$P156)+N(INDEX($G156:$P156,1,Reprogramaciones!N$14))*IF(Reprogramaciones!N$13&gt;=(Reprogramaciones!$T$15+7*(Reprogramaciones!N$14-1))+6,1,IF(MAX(0,NETWORKDAYS.INTL(MAX(E156,(Reprogramaciones!$T$15+7*(Reprogramaciones!N$14-1))),MIN(F156,(Reprogramaciones!$T$15+7*(Reprogramaciones!N$14-1))+6),11))=0,0,MAX(0,NETWORKDAYS.INTL(MAX(E156,(Reprogramaciones!$T$15+7*(Reprogramaciones!N$14-1))),MIN(F156,Reprogramaciones!N$13),11))/MAX(0,NETWORKDAYS.INTL(MAX(E156,(Reprogramaciones!$T$15+7*(Reprogramaciones!N$14-1))),MIN(F156,(Reprogramaciones!$T$15+7*(Reprogramaciones!N$14-1))+6),11))))))))</f>
        <v/>
      </c>
      <c r="BX156" s="1" t="str">
        <f aca="false">IF(OR(NOT(AND(ISNUMBER(E156),ISNUMBER(F156))),$J$2=""),"",IF(Reprogramaciones!O$13&lt;Reprogramaciones!$T$15,0,IF(Reprogramaciones!O$14&gt;10,MIN(100,SUM($G156:$P156)),MIN(100,SUMPRODUCT((COLUMN($G156:$P156)-COLUMN($G156)+1&lt;Reprogramaciones!O$14)*$G156:$P156)+N(INDEX($G156:$P156,1,Reprogramaciones!O$14))*IF(Reprogramaciones!O$13&gt;=(Reprogramaciones!$T$15+7*(Reprogramaciones!O$14-1))+6,1,IF(MAX(0,NETWORKDAYS.INTL(MAX(E156,(Reprogramaciones!$T$15+7*(Reprogramaciones!O$14-1))),MIN(F156,(Reprogramaciones!$T$15+7*(Reprogramaciones!O$14-1))+6),11))=0,0,MAX(0,NETWORKDAYS.INTL(MAX(E156,(Reprogramaciones!$T$15+7*(Reprogramaciones!O$14-1))),MIN(F156,Reprogramaciones!O$13),11))/MAX(0,NETWORKDAYS.INTL(MAX(E156,(Reprogramaciones!$T$15+7*(Reprogramaciones!O$14-1))),MIN(F156,(Reprogramaciones!$T$15+7*(Reprogramaciones!O$14-1))+6),11))))))))</f>
        <v/>
      </c>
      <c r="BY156" s="1" t="str">
        <f aca="false">IF(OR(NOT(AND(ISNUMBER(E156),ISNUMBER(F156))),$J$2=""),"",IF(Reprogramaciones!P$13&lt;Reprogramaciones!$T$15,0,IF(Reprogramaciones!P$14&gt;10,MIN(100,SUM($G156:$P156)),MIN(100,SUMPRODUCT((COLUMN($G156:$P156)-COLUMN($G156)+1&lt;Reprogramaciones!P$14)*$G156:$P156)+N(INDEX($G156:$P156,1,Reprogramaciones!P$14))*IF(Reprogramaciones!P$13&gt;=(Reprogramaciones!$T$15+7*(Reprogramaciones!P$14-1))+6,1,IF(MAX(0,NETWORKDAYS.INTL(MAX(E156,(Reprogramaciones!$T$15+7*(Reprogramaciones!P$14-1))),MIN(F156,(Reprogramaciones!$T$15+7*(Reprogramaciones!P$14-1))+6),11))=0,0,MAX(0,NETWORKDAYS.INTL(MAX(E156,(Reprogramaciones!$T$15+7*(Reprogramaciones!P$14-1))),MIN(F156,Reprogramaciones!P$13),11))/MAX(0,NETWORKDAYS.INTL(MAX(E156,(Reprogramaciones!$T$15+7*(Reprogramaciones!P$14-1))),MIN(F156,(Reprogramaciones!$T$15+7*(Reprogramaciones!P$14-1))+6),11))))))))</f>
        <v/>
      </c>
      <c r="BZ156" s="1" t="str">
        <f aca="false">IF(OR(NOT(AND(ISNUMBER(E156),ISNUMBER(F156))),$J$2=""),"",IF(Reprogramaciones!Q$13&lt;Reprogramaciones!$T$15,0,IF(Reprogramaciones!Q$14&gt;10,MIN(100,SUM($G156:$P156)),MIN(100,SUMPRODUCT((COLUMN($G156:$P156)-COLUMN($G156)+1&lt;Reprogramaciones!Q$14)*$G156:$P156)+N(INDEX($G156:$P156,1,Reprogramaciones!Q$14))*IF(Reprogramaciones!Q$13&gt;=(Reprogramaciones!$T$15+7*(Reprogramaciones!Q$14-1))+6,1,IF(MAX(0,NETWORKDAYS.INTL(MAX(E156,(Reprogramaciones!$T$15+7*(Reprogramaciones!Q$14-1))),MIN(F156,(Reprogramaciones!$T$15+7*(Reprogramaciones!Q$14-1))+6),11))=0,0,MAX(0,NETWORKDAYS.INTL(MAX(E156,(Reprogramaciones!$T$15+7*(Reprogramaciones!Q$14-1))),MIN(F156,Reprogramaciones!Q$13),11))/MAX(0,NETWORKDAYS.INTL(MAX(E156,(Reprogramaciones!$T$15+7*(Reprogramaciones!Q$14-1))),MIN(F156,(Reprogramaciones!$T$15+7*(Reprogramaciones!Q$14-1))+6),11))))))))</f>
        <v/>
      </c>
      <c r="CA156" s="1" t="str">
        <f aca="false">IF(OR(NOT(AND(ISNUMBER(E156),ISNUMBER(F156))),$J$2=""),"",IF(Reprogramaciones!R$13&lt;Reprogramaciones!$T$15,0,IF(Reprogramaciones!R$14&gt;10,MIN(100,SUM($G156:$P156)),MIN(100,SUMPRODUCT((COLUMN($G156:$P156)-COLUMN($G156)+1&lt;Reprogramaciones!R$14)*$G156:$P156)+N(INDEX($G156:$P156,1,Reprogramaciones!R$14))*IF(Reprogramaciones!R$13&gt;=(Reprogramaciones!$T$15+7*(Reprogramaciones!R$14-1))+6,1,IF(MAX(0,NETWORKDAYS.INTL(MAX(E156,(Reprogramaciones!$T$15+7*(Reprogramaciones!R$14-1))),MIN(F156,(Reprogramaciones!$T$15+7*(Reprogramaciones!R$14-1))+6),11))=0,0,MAX(0,NETWORKDAYS.INTL(MAX(E156,(Reprogramaciones!$T$15+7*(Reprogramaciones!R$14-1))),MIN(F156,Reprogramaciones!R$13),11))/MAX(0,NETWORKDAYS.INTL(MAX(E156,(Reprogramaciones!$T$15+7*(Reprogramaciones!R$14-1))),MIN(F156,(Reprogramaciones!$T$15+7*(Reprogramaciones!R$14-1))+6),11))))))))</f>
        <v/>
      </c>
      <c r="CB156" s="1" t="str">
        <f aca="false">IF(OR(NOT(AND(ISNUMBER(E156),ISNUMBER(F156))),$J$2=""),"",IF(Reprogramaciones!S$13&lt;Reprogramaciones!$T$15,0,IF(Reprogramaciones!S$14&gt;10,MIN(100,SUM($G156:$P156)),MIN(100,SUMPRODUCT((COLUMN($G156:$P156)-COLUMN($G156)+1&lt;Reprogramaciones!S$14)*$G156:$P156)+N(INDEX($G156:$P156,1,Reprogramaciones!S$14))*IF(Reprogramaciones!S$13&gt;=(Reprogramaciones!$T$15+7*(Reprogramaciones!S$14-1))+6,1,IF(MAX(0,NETWORKDAYS.INTL(MAX(E156,(Reprogramaciones!$T$15+7*(Reprogramaciones!S$14-1))),MIN(F156,(Reprogramaciones!$T$15+7*(Reprogramaciones!S$14-1))+6),11))=0,0,MAX(0,NETWORKDAYS.INTL(MAX(E156,(Reprogramaciones!$T$15+7*(Reprogramaciones!S$14-1))),MIN(F156,Reprogramaciones!S$13),11))/MAX(0,NETWORKDAYS.INTL(MAX(E156,(Reprogramaciones!$T$15+7*(Reprogramaciones!S$14-1))),MIN(F156,(Reprogramaciones!$T$15+7*(Reprogramaciones!S$14-1))+6),11))))))))</f>
        <v/>
      </c>
      <c r="CC156" s="1" t="str">
        <f aca="false">IF(OR(NOT(AND(ISNUMBER(E156),ISNUMBER(F156))),$J$2=""),"",IF(Reprogramaciones!T$13&lt;Reprogramaciones!$T$15,0,IF(Reprogramaciones!T$14&gt;10,MIN(100,SUM($G156:$P156)),MIN(100,SUMPRODUCT((COLUMN($G156:$P156)-COLUMN($G156)+1&lt;Reprogramaciones!T$14)*$G156:$P156)+N(INDEX($G156:$P156,1,Reprogramaciones!T$14))*IF(Reprogramaciones!T$13&gt;=(Reprogramaciones!$T$15+7*(Reprogramaciones!T$14-1))+6,1,IF(MAX(0,NETWORKDAYS.INTL(MAX(E156,(Reprogramaciones!$T$15+7*(Reprogramaciones!T$14-1))),MIN(F156,(Reprogramaciones!$T$15+7*(Reprogramaciones!T$14-1))+6),11))=0,0,MAX(0,NETWORKDAYS.INTL(MAX(E156,(Reprogramaciones!$T$15+7*(Reprogramaciones!T$14-1))),MIN(F156,Reprogramaciones!T$13),11))/MAX(0,NETWORKDAYS.INTL(MAX(E156,(Reprogramaciones!$T$15+7*(Reprogramaciones!T$14-1))),MIN(F156,(Reprogramaciones!$T$15+7*(Reprogramaciones!T$14-1))+6),11))))))))</f>
        <v/>
      </c>
      <c r="CD156" s="1" t="str">
        <f aca="false">IF(OR(NOT(AND(ISNUMBER(E156),ISNUMBER(F156))),$J$2=""),"",IF(Reprogramaciones!U$13&lt;Reprogramaciones!$T$15,0,IF(Reprogramaciones!U$14&gt;10,MIN(100,SUM($G156:$P156)),MIN(100,SUMPRODUCT((COLUMN($G156:$P156)-COLUMN($G156)+1&lt;Reprogramaciones!U$14)*$G156:$P156)+N(INDEX($G156:$P156,1,Reprogramaciones!U$14))*IF(Reprogramaciones!U$13&gt;=(Reprogramaciones!$T$15+7*(Reprogramaciones!U$14-1))+6,1,IF(MAX(0,NETWORKDAYS.INTL(MAX(E156,(Reprogramaciones!$T$15+7*(Reprogramaciones!U$14-1))),MIN(F156,(Reprogramaciones!$T$15+7*(Reprogramaciones!U$14-1))+6),11))=0,0,MAX(0,NETWORKDAYS.INTL(MAX(E156,(Reprogramaciones!$T$15+7*(Reprogramaciones!U$14-1))),MIN(F156,Reprogramaciones!U$13),11))/MAX(0,NETWORKDAYS.INTL(MAX(E156,(Reprogramaciones!$T$15+7*(Reprogramaciones!U$14-1))),MIN(F156,(Reprogramaciones!$T$15+7*(Reprogramaciones!U$14-1))+6),11))))))))</f>
        <v/>
      </c>
      <c r="CE156" s="1" t="str">
        <f aca="false">IF(OR(NOT(AND(ISNUMBER(E156),ISNUMBER(F156))),$J$2=""),"",IF(Reprogramaciones!V$13&lt;Reprogramaciones!$T$15,0,IF(Reprogramaciones!V$14&gt;10,MIN(100,SUM($G156:$P156)),MIN(100,SUMPRODUCT((COLUMN($G156:$P156)-COLUMN($G156)+1&lt;Reprogramaciones!V$14)*$G156:$P156)+N(INDEX($G156:$P156,1,Reprogramaciones!V$14))*IF(Reprogramaciones!V$13&gt;=(Reprogramaciones!$T$15+7*(Reprogramaciones!V$14-1))+6,1,IF(MAX(0,NETWORKDAYS.INTL(MAX(E156,(Reprogramaciones!$T$15+7*(Reprogramaciones!V$14-1))),MIN(F156,(Reprogramaciones!$T$15+7*(Reprogramaciones!V$14-1))+6),11))=0,0,MAX(0,NETWORKDAYS.INTL(MAX(E156,(Reprogramaciones!$T$15+7*(Reprogramaciones!V$14-1))),MIN(F156,Reprogramaciones!V$13),11))/MAX(0,NETWORKDAYS.INTL(MAX(E156,(Reprogramaciones!$T$15+7*(Reprogramaciones!V$14-1))),MIN(F156,(Reprogramaciones!$T$15+7*(Reprogramaciones!V$14-1))+6),11))))))))</f>
        <v/>
      </c>
      <c r="CF156" s="1" t="str">
        <f aca="false">IF(OR(NOT(AND(ISNUMBER(E156),ISNUMBER(F156))),$J$2=""),"",IF(Reprogramaciones!W$13&lt;Reprogramaciones!$T$15,0,IF(Reprogramaciones!W$14&gt;10,MIN(100,SUM($G156:$P156)),MIN(100,SUMPRODUCT((COLUMN($G156:$P156)-COLUMN($G156)+1&lt;Reprogramaciones!W$14)*$G156:$P156)+N(INDEX($G156:$P156,1,Reprogramaciones!W$14))*IF(Reprogramaciones!W$13&gt;=(Reprogramaciones!$T$15+7*(Reprogramaciones!W$14-1))+6,1,IF(MAX(0,NETWORKDAYS.INTL(MAX(E156,(Reprogramaciones!$T$15+7*(Reprogramaciones!W$14-1))),MIN(F156,(Reprogramaciones!$T$15+7*(Reprogramaciones!W$14-1))+6),11))=0,0,MAX(0,NETWORKDAYS.INTL(MAX(E156,(Reprogramaciones!$T$15+7*(Reprogramaciones!W$14-1))),MIN(F156,Reprogramaciones!W$13),11))/MAX(0,NETWORKDAYS.INTL(MAX(E156,(Reprogramaciones!$T$15+7*(Reprogramaciones!W$14-1))),MIN(F156,(Reprogramaciones!$T$15+7*(Reprogramaciones!W$14-1))+6),11))))))))</f>
        <v/>
      </c>
      <c r="CG156" s="1" t="str">
        <f aca="false">IF(OR(NOT(AND(ISNUMBER(E156),ISNUMBER(F156))),$J$2=""),"",IF(Reprogramaciones!X$13&lt;Reprogramaciones!$T$15,0,IF(Reprogramaciones!X$14&gt;10,MIN(100,SUM($G156:$P156)),MIN(100,SUMPRODUCT((COLUMN($G156:$P156)-COLUMN($G156)+1&lt;Reprogramaciones!X$14)*$G156:$P156)+N(INDEX($G156:$P156,1,Reprogramaciones!X$14))*IF(Reprogramaciones!X$13&gt;=(Reprogramaciones!$T$15+7*(Reprogramaciones!X$14-1))+6,1,IF(MAX(0,NETWORKDAYS.INTL(MAX(E156,(Reprogramaciones!$T$15+7*(Reprogramaciones!X$14-1))),MIN(F156,(Reprogramaciones!$T$15+7*(Reprogramaciones!X$14-1))+6),11))=0,0,MAX(0,NETWORKDAYS.INTL(MAX(E156,(Reprogramaciones!$T$15+7*(Reprogramaciones!X$14-1))),MIN(F156,Reprogramaciones!X$13),11))/MAX(0,NETWORKDAYS.INTL(MAX(E156,(Reprogramaciones!$T$15+7*(Reprogramaciones!X$14-1))),MIN(F156,(Reprogramaciones!$T$15+7*(Reprogramaciones!X$14-1))+6),11))))))))</f>
        <v/>
      </c>
      <c r="CH156" s="1" t="str">
        <f aca="false">IF(OR(NOT(AND(ISNUMBER(E156),ISNUMBER(F156))),$J$2=""),"",IF(Reprogramaciones!Y$13&lt;Reprogramaciones!$T$15,0,IF(Reprogramaciones!Y$14&gt;10,MIN(100,SUM($G156:$P156)),MIN(100,SUMPRODUCT((COLUMN($G156:$P156)-COLUMN($G156)+1&lt;Reprogramaciones!Y$14)*$G156:$P156)+N(INDEX($G156:$P156,1,Reprogramaciones!Y$14))*IF(Reprogramaciones!Y$13&gt;=(Reprogramaciones!$T$15+7*(Reprogramaciones!Y$14-1))+6,1,IF(MAX(0,NETWORKDAYS.INTL(MAX(E156,(Reprogramaciones!$T$15+7*(Reprogramaciones!Y$14-1))),MIN(F156,(Reprogramaciones!$T$15+7*(Reprogramaciones!Y$14-1))+6),11))=0,0,MAX(0,NETWORKDAYS.INTL(MAX(E156,(Reprogramaciones!$T$15+7*(Reprogramaciones!Y$14-1))),MIN(F156,Reprogramaciones!Y$13),11))/MAX(0,NETWORKDAYS.INTL(MAX(E156,(Reprogramaciones!$T$15+7*(Reprogramaciones!Y$14-1))),MIN(F156,(Reprogramaciones!$T$15+7*(Reprogramaciones!Y$14-1))+6),11))))))))</f>
        <v/>
      </c>
      <c r="CI156" s="1" t="str">
        <f aca="false">IF(OR(NOT(AND(ISNUMBER(E156),ISNUMBER(F156))),$J$2=""),"",IF(Reprogramaciones!Z$13&lt;Reprogramaciones!$T$15,0,IF(Reprogramaciones!Z$14&gt;10,MIN(100,SUM($G156:$P156)),MIN(100,SUMPRODUCT((COLUMN($G156:$P156)-COLUMN($G156)+1&lt;Reprogramaciones!Z$14)*$G156:$P156)+N(INDEX($G156:$P156,1,Reprogramaciones!Z$14))*IF(Reprogramaciones!Z$13&gt;=(Reprogramaciones!$T$15+7*(Reprogramaciones!Z$14-1))+6,1,IF(MAX(0,NETWORKDAYS.INTL(MAX(E156,(Reprogramaciones!$T$15+7*(Reprogramaciones!Z$14-1))),MIN(F156,(Reprogramaciones!$T$15+7*(Reprogramaciones!Z$14-1))+6),11))=0,0,MAX(0,NETWORKDAYS.INTL(MAX(E156,(Reprogramaciones!$T$15+7*(Reprogramaciones!Z$14-1))),MIN(F156,Reprogramaciones!Z$13),11))/MAX(0,NETWORKDAYS.INTL(MAX(E156,(Reprogramaciones!$T$15+7*(Reprogramaciones!Z$14-1))),MIN(F156,(Reprogramaciones!$T$15+7*(Reprogramaciones!Z$14-1))+6),11))))))))</f>
        <v/>
      </c>
      <c r="CJ156" s="1" t="str">
        <f aca="false">IF(OR(OR(NOT(AND(ISNUMBER(E156),ISNUMBER(F156))),$J$2=""),1&gt;Reprogramaciones!$K$16),"",IF(ROUND(SUM($Q156:Q156),1)&gt;=99.5,100,MIN(100,ROUND(SUM($Q156:Q156),1))))</f>
        <v/>
      </c>
      <c r="CK156" s="1" t="str">
        <f aca="false">IF(OR(OR(NOT(AND(ISNUMBER(E156),ISNUMBER(F156))),$J$2=""),2&gt;Reprogramaciones!$K$16),"",IF(ROUND(SUM($Q156:R156),1)&gt;=99.5,100,MIN(100,ROUND(SUM($Q156:R156),1))))</f>
        <v/>
      </c>
      <c r="CL156" s="1" t="str">
        <f aca="false">IF(OR(OR(NOT(AND(ISNUMBER(E156),ISNUMBER(F156))),$J$2=""),3&gt;Reprogramaciones!$K$16),"",IF(ROUND(SUM($Q156:S156),1)&gt;=99.5,100,MIN(100,ROUND(SUM($Q156:S156),1))))</f>
        <v/>
      </c>
      <c r="CM156" s="1" t="str">
        <f aca="false">IF(OR(OR(NOT(AND(ISNUMBER(E156),ISNUMBER(F156))),$J$2=""),4&gt;Reprogramaciones!$K$16),"",IF(ROUND(SUM($Q156:T156),1)&gt;=99.5,100,MIN(100,ROUND(SUM($Q156:T156),1))))</f>
        <v/>
      </c>
      <c r="CN156" s="1" t="str">
        <f aca="false">IF(OR(OR(NOT(AND(ISNUMBER(E156),ISNUMBER(F156))),$J$2=""),5&gt;Reprogramaciones!$K$16),"",IF(ROUND(SUM($Q156:U156),1)&gt;=99.5,100,MIN(100,ROUND(SUM($Q156:U156),1))))</f>
        <v/>
      </c>
      <c r="CO156" s="1" t="str">
        <f aca="false">IF(OR(OR(NOT(AND(ISNUMBER(E156),ISNUMBER(F156))),$J$2=""),6&gt;Reprogramaciones!$K$16),"",IF(ROUND(SUM($Q156:V156),1)&gt;=99.5,100,MIN(100,ROUND(SUM($Q156:V156),1))))</f>
        <v/>
      </c>
      <c r="CP156" s="1" t="str">
        <f aca="false">IF(OR(OR(NOT(AND(ISNUMBER(E156),ISNUMBER(F156))),$J$2=""),7&gt;Reprogramaciones!$K$16),"",IF(ROUND(SUM($Q156:W156),1)&gt;=99.5,100,MIN(100,ROUND(SUM($Q156:W156),1))))</f>
        <v/>
      </c>
      <c r="CQ156" s="1" t="str">
        <f aca="false">IF(OR(OR(NOT(AND(ISNUMBER(E156),ISNUMBER(F156))),$J$2=""),8&gt;Reprogramaciones!$K$16),"",IF(ROUND(SUM($Q156:X156),1)&gt;=99.5,100,MIN(100,ROUND(SUM($Q156:X156),1))))</f>
        <v/>
      </c>
      <c r="CR156" s="1" t="str">
        <f aca="false">IF(OR(OR(NOT(AND(ISNUMBER(E156),ISNUMBER(F156))),$J$2=""),9&gt;Reprogramaciones!$K$16),"",IF(ROUND(SUM($Q156:Y156),1)&gt;=99.5,100,MIN(100,ROUND(SUM($Q156:Y156),1))))</f>
        <v/>
      </c>
      <c r="CS156" s="1" t="str">
        <f aca="false">IF(OR(OR(NOT(AND(ISNUMBER(E156),ISNUMBER(F156))),$J$2=""),10&gt;Reprogramaciones!$K$16),"",IF(ROUND(SUM($Q156:Z156),1)&gt;=99.5,100,MIN(100,ROUND(SUM($Q156:Z156),1))))</f>
        <v/>
      </c>
      <c r="CT156" s="1" t="str">
        <f aca="false">IF(OR(OR(NOT(AND(ISNUMBER(E156),ISNUMBER(F156))),$J$2=""),11&gt;Reprogramaciones!$K$16),"",IF(ROUND(SUM($Q156:AA156),1)&gt;=99.5,100,MIN(100,ROUND(SUM($Q156:AA156),1))))</f>
        <v/>
      </c>
      <c r="CU156" s="1" t="str">
        <f aca="false">IF(OR(OR(NOT(AND(ISNUMBER(E156),ISNUMBER(F156))),$J$2=""),12&gt;Reprogramaciones!$K$16),"",IF(ROUND(SUM($Q156:AB156),1)&gt;=99.5,100,MIN(100,ROUND(SUM($Q156:AB156),1))))</f>
        <v/>
      </c>
      <c r="CV156" s="1" t="str">
        <f aca="false">IF(OR(OR(NOT(AND(ISNUMBER(E156),ISNUMBER(F156))),$J$2=""),13&gt;Reprogramaciones!$K$16),"",IF(ROUND(SUM($Q156:AC156),1)&gt;=99.5,100,MIN(100,ROUND(SUM($Q156:AC156),1))))</f>
        <v/>
      </c>
      <c r="CW156" s="1" t="str">
        <f aca="false">IF(OR(OR(NOT(AND(ISNUMBER(E156),ISNUMBER(F156))),$J$2=""),14&gt;Reprogramaciones!$K$16),"",IF(ROUND(SUM($Q156:AD156),1)&gt;=99.5,100,MIN(100,ROUND(SUM($Q156:AD156),1))))</f>
        <v/>
      </c>
      <c r="CX156" s="1" t="str">
        <f aca="false">IF(OR(OR(NOT(AND(ISNUMBER(E156),ISNUMBER(F156))),$J$2=""),15&gt;Reprogramaciones!$K$16),"",IF(ROUND(SUM($Q156:AE156),1)&gt;=99.5,100,MIN(100,ROUND(SUM($Q156:AE156),1))))</f>
        <v/>
      </c>
      <c r="CY156" s="1" t="str">
        <f aca="false">IF(OR(OR(NOT(AND(ISNUMBER(E156),ISNUMBER(F156))),$J$2=""),16&gt;Reprogramaciones!$K$16),"",IF(ROUND(SUM($Q156:AF156),1)&gt;=99.5,100,MIN(100,ROUND(SUM($Q156:AF156),1))))</f>
        <v/>
      </c>
      <c r="CZ156" s="1" t="str">
        <f aca="false">IF(D156&lt;&gt;"",D156,IF(B156&lt;&gt;"","Contractual",CZ155))</f>
        <v>Contractual</v>
      </c>
      <c r="DA156" s="1" t="str">
        <f aca="false">IF(OR(NOT(AND(ISNUMBER(E156),ISNUMBER(F156))),$J$2=""),"",IF(Reprogramaciones!$Q$15&lt;Reprogramaciones!$T$15,0,IF(Reprogramaciones!$S$15&gt;10,MIN(100,SUM($G156:$P156)),MIN(100,SUMPRODUCT((COLUMN($G156:$P156)-COLUMN($G156)+1&lt;Reprogramaciones!$S$15)*$G156:$P156)+N(INDEX($G156:$P156,1,Reprogramaciones!$S$15))*IF(Reprogramaciones!$Q$15&gt;=(Reprogramaciones!$T$15+7*(Reprogramaciones!$S$15-1))+6,1,IF(MAX(0,NETWORKDAYS.INTL(MAX(E156,(Reprogramaciones!$T$15+7*(Reprogramaciones!$S$15-1))),MIN(F156,(Reprogramaciones!$T$15+7*(Reprogramaciones!$S$15-1))+6),11))=0,0,MAX(0,NETWORKDAYS.INTL(MAX(E156,(Reprogramaciones!$T$15+7*(Reprogramaciones!$S$15-1))),MIN(F156,Reprogramaciones!$Q$15),11))/MAX(0,NETWORKDAYS.INTL(MAX(E156,(Reprogramaciones!$T$15+7*(Reprogramaciones!$S$15-1))),MIN(F156,(Reprogramaciones!$T$15+7*(Reprogramaciones!$S$15-1))+6),11))))))))</f>
        <v/>
      </c>
    </row>
    <row r="157" customFormat="false" ht="15" hidden="false" customHeight="false" outlineLevel="0" collapsed="false">
      <c r="A157" s="32"/>
      <c r="B157" s="33"/>
      <c r="C157" s="33"/>
      <c r="D157" s="34"/>
      <c r="E157" s="35"/>
      <c r="F157" s="35"/>
      <c r="G157" s="36" t="str">
        <f aca="false">IF(OR(NOT(AND(ISNUMBER(E157),ISNUMBER(F157))),$J$2=""),"",IF(Reprogramaciones!K$9&lt;E157,0,IF(NETWORKDAYS.INTL(E157,F157,11)=0,IF(Reprogramaciones!K$9&gt;=F157,100,0),ROUND(NETWORKDAYS.INTL(E157,MIN(F157,Reprogramaciones!K$9),11)/NETWORKDAYS.INTL(E157,F157,11)*100,1)))-0)</f>
        <v/>
      </c>
      <c r="H157" s="36" t="str">
        <f aca="false">IF(OR(NOT(AND(ISNUMBER(E157),ISNUMBER(F157))),$J$2=""),"",IF(Reprogramaciones!L$9&lt;E157,0,IF(NETWORKDAYS.INTL(E157,F157,11)=0,IF(Reprogramaciones!L$9&gt;=F157,100,0),ROUND(NETWORKDAYS.INTL(E157,MIN(F157,Reprogramaciones!L$9),11)/NETWORKDAYS.INTL(E157,F157,11)*100,1)))-IF(Reprogramaciones!K$9&lt;E157,0,IF(NETWORKDAYS.INTL(E157,F157,11)=0,IF(Reprogramaciones!K$9&gt;=F157,100,0),ROUND(NETWORKDAYS.INTL(E157,MIN(F157,Reprogramaciones!K$9),11)/NETWORKDAYS.INTL(E157,F157,11)*100,1))))</f>
        <v/>
      </c>
      <c r="I157" s="36" t="str">
        <f aca="false">IF(OR(NOT(AND(ISNUMBER(E157),ISNUMBER(F157))),$J$2=""),"",IF(Reprogramaciones!M$9&lt;E157,0,IF(NETWORKDAYS.INTL(E157,F157,11)=0,IF(Reprogramaciones!M$9&gt;=F157,100,0),ROUND(NETWORKDAYS.INTL(E157,MIN(F157,Reprogramaciones!M$9),11)/NETWORKDAYS.INTL(E157,F157,11)*100,1)))-IF(Reprogramaciones!L$9&lt;E157,0,IF(NETWORKDAYS.INTL(E157,F157,11)=0,IF(Reprogramaciones!L$9&gt;=F157,100,0),ROUND(NETWORKDAYS.INTL(E157,MIN(F157,Reprogramaciones!L$9),11)/NETWORKDAYS.INTL(E157,F157,11)*100,1))))</f>
        <v/>
      </c>
      <c r="J157" s="36" t="str">
        <f aca="false">IF(OR(NOT(AND(ISNUMBER(E157),ISNUMBER(F157))),$J$2=""),"",IF(Reprogramaciones!N$9&lt;E157,0,IF(NETWORKDAYS.INTL(E157,F157,11)=0,IF(Reprogramaciones!N$9&gt;=F157,100,0),ROUND(NETWORKDAYS.INTL(E157,MIN(F157,Reprogramaciones!N$9),11)/NETWORKDAYS.INTL(E157,F157,11)*100,1)))-IF(Reprogramaciones!M$9&lt;E157,0,IF(NETWORKDAYS.INTL(E157,F157,11)=0,IF(Reprogramaciones!M$9&gt;=F157,100,0),ROUND(NETWORKDAYS.INTL(E157,MIN(F157,Reprogramaciones!M$9),11)/NETWORKDAYS.INTL(E157,F157,11)*100,1))))</f>
        <v/>
      </c>
      <c r="K157" s="36" t="str">
        <f aca="false">IF(OR(NOT(AND(ISNUMBER(E157),ISNUMBER(F157))),$J$2=""),"",IF(Reprogramaciones!O$9&lt;E157,0,IF(NETWORKDAYS.INTL(E157,F157,11)=0,IF(Reprogramaciones!O$9&gt;=F157,100,0),ROUND(NETWORKDAYS.INTL(E157,MIN(F157,Reprogramaciones!O$9),11)/NETWORKDAYS.INTL(E157,F157,11)*100,1)))-IF(Reprogramaciones!N$9&lt;E157,0,IF(NETWORKDAYS.INTL(E157,F157,11)=0,IF(Reprogramaciones!N$9&gt;=F157,100,0),ROUND(NETWORKDAYS.INTL(E157,MIN(F157,Reprogramaciones!N$9),11)/NETWORKDAYS.INTL(E157,F157,11)*100,1))))</f>
        <v/>
      </c>
      <c r="L157" s="36" t="str">
        <f aca="false">IF(OR(NOT(AND(ISNUMBER(E157),ISNUMBER(F157))),$J$2=""),"",IF(Reprogramaciones!P$9&lt;E157,0,IF(NETWORKDAYS.INTL(E157,F157,11)=0,IF(Reprogramaciones!P$9&gt;=F157,100,0),ROUND(NETWORKDAYS.INTL(E157,MIN(F157,Reprogramaciones!P$9),11)/NETWORKDAYS.INTL(E157,F157,11)*100,1)))-IF(Reprogramaciones!O$9&lt;E157,0,IF(NETWORKDAYS.INTL(E157,F157,11)=0,IF(Reprogramaciones!O$9&gt;=F157,100,0),ROUND(NETWORKDAYS.INTL(E157,MIN(F157,Reprogramaciones!O$9),11)/NETWORKDAYS.INTL(E157,F157,11)*100,1))))</f>
        <v/>
      </c>
      <c r="M157" s="36" t="str">
        <f aca="false">IF(OR(NOT(AND(ISNUMBER(E157),ISNUMBER(F157))),$J$2=""),"",IF(Reprogramaciones!Q$9&lt;E157,0,IF(NETWORKDAYS.INTL(E157,F157,11)=0,IF(Reprogramaciones!Q$9&gt;=F157,100,0),ROUND(NETWORKDAYS.INTL(E157,MIN(F157,Reprogramaciones!Q$9),11)/NETWORKDAYS.INTL(E157,F157,11)*100,1)))-IF(Reprogramaciones!P$9&lt;E157,0,IF(NETWORKDAYS.INTL(E157,F157,11)=0,IF(Reprogramaciones!P$9&gt;=F157,100,0),ROUND(NETWORKDAYS.INTL(E157,MIN(F157,Reprogramaciones!P$9),11)/NETWORKDAYS.INTL(E157,F157,11)*100,1))))</f>
        <v/>
      </c>
      <c r="N157" s="36" t="str">
        <f aca="false">IF(OR(NOT(AND(ISNUMBER(E157),ISNUMBER(F157))),$J$2=""),"",IF(Reprogramaciones!R$9&lt;E157,0,IF(NETWORKDAYS.INTL(E157,F157,11)=0,IF(Reprogramaciones!R$9&gt;=F157,100,0),ROUND(NETWORKDAYS.INTL(E157,MIN(F157,Reprogramaciones!R$9),11)/NETWORKDAYS.INTL(E157,F157,11)*100,1)))-IF(Reprogramaciones!Q$9&lt;E157,0,IF(NETWORKDAYS.INTL(E157,F157,11)=0,IF(Reprogramaciones!Q$9&gt;=F157,100,0),ROUND(NETWORKDAYS.INTL(E157,MIN(F157,Reprogramaciones!Q$9),11)/NETWORKDAYS.INTL(E157,F157,11)*100,1))))</f>
        <v/>
      </c>
      <c r="O157" s="36" t="str">
        <f aca="false">IF(OR(NOT(AND(ISNUMBER(E157),ISNUMBER(F157))),$J$2=""),"",IF(Reprogramaciones!S$9&lt;E157,0,IF(NETWORKDAYS.INTL(E157,F157,11)=0,IF(Reprogramaciones!S$9&gt;=F157,100,0),ROUND(NETWORKDAYS.INTL(E157,MIN(F157,Reprogramaciones!S$9),11)/NETWORKDAYS.INTL(E157,F157,11)*100,1)))-IF(Reprogramaciones!R$9&lt;E157,0,IF(NETWORKDAYS.INTL(E157,F157,11)=0,IF(Reprogramaciones!R$9&gt;=F157,100,0),ROUND(NETWORKDAYS.INTL(E157,MIN(F157,Reprogramaciones!R$9),11)/NETWORKDAYS.INTL(E157,F157,11)*100,1))))</f>
        <v/>
      </c>
      <c r="P157" s="36" t="str">
        <f aca="false">IF(OR(NOT(AND(ISNUMBER(E157),ISNUMBER(F157))),$J$2=""),"",IF(Reprogramaciones!T$9&lt;E157,0,IF(NETWORKDAYS.INTL(E157,F157,11)=0,IF(Reprogramaciones!T$9&gt;=F157,100,0),ROUND(NETWORKDAYS.INTL(E157,MIN(F157,Reprogramaciones!T$9),11)/NETWORKDAYS.INTL(E157,F157,11)*100,1)))-IF(Reprogramaciones!S$9&lt;E157,0,IF(NETWORKDAYS.INTL(E157,F157,11)=0,IF(Reprogramaciones!S$9&gt;=F157,100,0),ROUND(NETWORKDAYS.INTL(E157,MIN(F157,Reprogramaciones!S$9),11)/NETWORKDAYS.INTL(E157,F157,11)*100,1))))</f>
        <v/>
      </c>
      <c r="Q157" s="37"/>
      <c r="R157" s="37"/>
      <c r="S157" s="37"/>
      <c r="T157" s="37"/>
      <c r="U157" s="37"/>
      <c r="V157" s="37"/>
      <c r="W157" s="37"/>
      <c r="X157" s="37"/>
      <c r="Y157" s="37"/>
      <c r="Z157" s="37"/>
      <c r="AA157" s="37"/>
      <c r="AB157" s="37"/>
      <c r="AC157" s="37"/>
      <c r="AD157" s="37"/>
      <c r="AE157" s="37"/>
      <c r="AF157" s="37"/>
      <c r="AG157" s="38" t="str">
        <f aca="false">IF(AND(ISNUMBER(E157),ISNUMBER(F157)),NETWORKDAYS.INTL(E157,F157,11),"")</f>
        <v/>
      </c>
      <c r="AH157" s="38" t="str">
        <f aca="false">IF(OR(NOT(AND(ISNUMBER(E157),ISNUMBER(F157))),$J$2=""),"",IF(Reprogramaciones!$P$15&lt;Reprogramaciones!$T$15,0,IF(Reprogramaciones!$R$15&gt;10,MIN(100,SUM($G157:$P157)),MIN(100,SUMPRODUCT((COLUMN($G157:$P157)-COLUMN($G157)+1&lt;Reprogramaciones!$R$15)*$G157:$P157)+N(INDEX($G157:$P157,1,Reprogramaciones!$R$15))*IF(Reprogramaciones!$P$15&gt;=(Reprogramaciones!$T$15+7*(Reprogramaciones!$R$15-1))+6,1,IF(MAX(0,NETWORKDAYS.INTL(MAX(E157,(Reprogramaciones!$T$15+7*(Reprogramaciones!$R$15-1))),MIN(F157,(Reprogramaciones!$T$15+7*(Reprogramaciones!$R$15-1))+6),11))=0,0,MAX(0,NETWORKDAYS.INTL(MAX(E157,(Reprogramaciones!$T$15+7*(Reprogramaciones!$R$15-1))),MIN(F157,Reprogramaciones!$P$15),11))/MAX(0,NETWORKDAYS.INTL(MAX(E157,(Reprogramaciones!$T$15+7*(Reprogramaciones!$R$15-1))),MIN(F157,(Reprogramaciones!$T$15+7*(Reprogramaciones!$R$15-1))+6),11))))))))</f>
        <v/>
      </c>
      <c r="AI157" s="38" t="str">
        <f aca="false">IF(COUNT($Q157:$AF157)=0,"",IF(ROUND(SUM($Q157:$AF157),1)&gt;=99.5,100,MIN(100,ROUND(SUM($Q157:$AF157),1))))</f>
        <v/>
      </c>
      <c r="AJ157" s="38" t="str">
        <f aca="false">IF(OR(AH157="",AI157=""),"",AI157-AH157)</f>
        <v/>
      </c>
      <c r="AK157" s="39" t="str">
        <f aca="true">IF(AH157="","",IF(OR(Ficha!$C$10="Suspendida",Ficha!$C$10="Cancelada"),Ficha!$C$10,IF(AND(AI157&lt;&gt;"",N(AI157)&gt;=100),"Completada",IF(AND(E157&gt;TODAY(),N(AI157)=0),"Por iniciar",IF(N(AI157)+0.5&lt;AH157,"Retrasada",IF(N(AI157)+0.5&lt;DA157,IF(Reprogramaciones!$K$15&gt;0,"Al día · Sem "&amp;Reprogramaciones!$K$15&amp;" en curso","Al día · en curso"),"A tiempo"))))))</f>
        <v/>
      </c>
      <c r="AL157" s="39" t="str">
        <f aca="true">IF(AND(A157="",AND(B157="",C157="",E157="",F157="",COUNT(Q157:AF157)=0)),"",IF(AND(B157="",C157="",E157="",F157="",COUNT(Q157:AF157)=0),"Falta la partida o subpartida",IF(AND(A157&lt;&gt;"",COUNTIF($A$6:$A$305,A157)&gt;1),"Ítem repetido",IF(AND(C157="",E157="",F157="",COUNT(Q157:AF157)=0),"Título de partida",IF(OR(E157="",F157=""),"Faltan fechas",IF(OR(ISTEXT(E157),ISTEXT(F157)),"Fecha escrita como texto: usa dd/mm/aaaa",IF(F157&lt;E157,"Fin antes del inicio",IF(IF($J$2="",FALSE(),OR(E157&lt;$J$2,F157&gt;Reprogramaciones!$T$15+69)),"Fuera de las 10 semanas",IF(ABS(SUM(G157:P157)-100)&gt;0.5,"La meta no suma 100%",IF(ROUND(SUM(Q157:AF157),1)&gt;100.5,"El avance pasa de 100%",IF(MIN(Q157:AF157)&lt;0,"Avance negativo",IF(COUNTA(Q157:AF157)&gt;COUNT(Q157:AF157),"Avance escrito como texto",IF(SUMPRODUCT((Q157:AF157&gt;0)*(Q157:AF157&lt;1))&gt;0,"Avance menor a 1: escribe 50, no 50%",IF(SUMPRODUCT(ISNUMBER(Q157:AF157)*(Reprogramaciones!$K$8:$Z$8&gt;TODAY()))&gt;0,"Avance en semana que aún no llega",IF(AND(N(Reprogramaciones!$E$21)&gt;0,F157&gt;Reprogramaciones!$E$21),"Pasa el fin de la obra: registra una reprogramación",IF(AND(N(Reprogramaciones!$E$21)&gt;0,SUMPRODUCT(ISNUMBER(Q157:AF157)*(Reprogramaciones!$K$8:$Z$8&gt;Reprogramaciones!$E$21))&gt;0),"Avance después del fin de la obra: registra una reprogramación por atraso","OK"))))))))))))))))</f>
        <v/>
      </c>
      <c r="AM157" s="40" t="str">
        <f aca="false">IF(OR(OR(NOT(AND(ISNUMBER(E157),ISNUMBER(F157))),$J$2=""),1&gt;MAX(1,Reprogramaciones!$U$15)),"",IF(Reprogramaciones!K$12&gt;=7,"",IF(OR(BT157-N(0)&gt;0.05,N(Q157)&gt;0),ROUNDDOWN(ROUND(BT157,6),0)&amp;"%"&amp;IF(CJ157="",""," / "&amp;CJ157&amp;"%"),IF(AND(N(0)&gt;=99.95,CJ157&lt;&gt;"",N(CJ157)&lt;100),"Pend. "&amp;CJ157&amp;"%",""))))</f>
        <v/>
      </c>
      <c r="AN157" s="40" t="str">
        <f aca="false">IF(OR(OR(NOT(AND(ISNUMBER(E157),ISNUMBER(F157))),$J$2=""),2&gt;MAX(1,Reprogramaciones!$U$15)),"",IF(Reprogramaciones!L$12&gt;=7,"",IF(OR(BU157-N(BT157)&gt;0.05,N(R157)&gt;0),ROUNDDOWN(ROUND(BU157,6),0)&amp;"%"&amp;IF(CK157="",""," / "&amp;CK157&amp;"%"),IF(AND(N(BT157)&gt;=99.95,CK157&lt;&gt;"",N(CK157)&lt;100),"Pend. "&amp;CK157&amp;"%",""))))</f>
        <v/>
      </c>
      <c r="AO157" s="40" t="str">
        <f aca="false">IF(OR(OR(NOT(AND(ISNUMBER(E157),ISNUMBER(F157))),$J$2=""),3&gt;MAX(1,Reprogramaciones!$U$15)),"",IF(Reprogramaciones!M$12&gt;=7,"",IF(OR(BV157-N(BU157)&gt;0.05,N(S157)&gt;0),ROUNDDOWN(ROUND(BV157,6),0)&amp;"%"&amp;IF(CL157="",""," / "&amp;CL157&amp;"%"),IF(AND(N(BU157)&gt;=99.95,CL157&lt;&gt;"",N(CL157)&lt;100),"Pend. "&amp;CL157&amp;"%",""))))</f>
        <v/>
      </c>
      <c r="AP157" s="40" t="str">
        <f aca="false">IF(OR(OR(NOT(AND(ISNUMBER(E157),ISNUMBER(F157))),$J$2=""),4&gt;MAX(1,Reprogramaciones!$U$15)),"",IF(Reprogramaciones!N$12&gt;=7,"",IF(OR(BW157-N(BV157)&gt;0.05,N(T157)&gt;0),ROUNDDOWN(ROUND(BW157,6),0)&amp;"%"&amp;IF(CM157="",""," / "&amp;CM157&amp;"%"),IF(AND(N(BV157)&gt;=99.95,CM157&lt;&gt;"",N(CM157)&lt;100),"Pend. "&amp;CM157&amp;"%",""))))</f>
        <v/>
      </c>
      <c r="AQ157" s="40" t="str">
        <f aca="false">IF(OR(OR(NOT(AND(ISNUMBER(E157),ISNUMBER(F157))),$J$2=""),5&gt;MAX(1,Reprogramaciones!$U$15)),"",IF(Reprogramaciones!O$12&gt;=7,"",IF(OR(BX157-N(BW157)&gt;0.05,N(U157)&gt;0),ROUNDDOWN(ROUND(BX157,6),0)&amp;"%"&amp;IF(CN157="",""," / "&amp;CN157&amp;"%"),IF(AND(N(BW157)&gt;=99.95,CN157&lt;&gt;"",N(CN157)&lt;100),"Pend. "&amp;CN157&amp;"%",""))))</f>
        <v/>
      </c>
      <c r="AR157" s="40" t="str">
        <f aca="false">IF(OR(OR(NOT(AND(ISNUMBER(E157),ISNUMBER(F157))),$J$2=""),6&gt;MAX(1,Reprogramaciones!$U$15)),"",IF(Reprogramaciones!P$12&gt;=7,"",IF(OR(BY157-N(BX157)&gt;0.05,N(V157)&gt;0),ROUNDDOWN(ROUND(BY157,6),0)&amp;"%"&amp;IF(CO157="",""," / "&amp;CO157&amp;"%"),IF(AND(N(BX157)&gt;=99.95,CO157&lt;&gt;"",N(CO157)&lt;100),"Pend. "&amp;CO157&amp;"%",""))))</f>
        <v/>
      </c>
      <c r="AS157" s="40" t="str">
        <f aca="false">IF(OR(OR(NOT(AND(ISNUMBER(E157),ISNUMBER(F157))),$J$2=""),7&gt;MAX(1,Reprogramaciones!$U$15)),"",IF(Reprogramaciones!Q$12&gt;=7,"",IF(OR(BZ157-N(BY157)&gt;0.05,N(W157)&gt;0),ROUNDDOWN(ROUND(BZ157,6),0)&amp;"%"&amp;IF(CP157="",""," / "&amp;CP157&amp;"%"),IF(AND(N(BY157)&gt;=99.95,CP157&lt;&gt;"",N(CP157)&lt;100),"Pend. "&amp;CP157&amp;"%",""))))</f>
        <v/>
      </c>
      <c r="AT157" s="40" t="str">
        <f aca="false">IF(OR(OR(NOT(AND(ISNUMBER(E157),ISNUMBER(F157))),$J$2=""),8&gt;MAX(1,Reprogramaciones!$U$15)),"",IF(Reprogramaciones!R$12&gt;=7,"",IF(OR(CA157-N(BZ157)&gt;0.05,N(X157)&gt;0),ROUNDDOWN(ROUND(CA157,6),0)&amp;"%"&amp;IF(CQ157="",""," / "&amp;CQ157&amp;"%"),IF(AND(N(BZ157)&gt;=99.95,CQ157&lt;&gt;"",N(CQ157)&lt;100),"Pend. "&amp;CQ157&amp;"%",""))))</f>
        <v/>
      </c>
      <c r="AU157" s="40" t="str">
        <f aca="false">IF(OR(OR(NOT(AND(ISNUMBER(E157),ISNUMBER(F157))),$J$2=""),9&gt;MAX(1,Reprogramaciones!$U$15)),"",IF(Reprogramaciones!S$12&gt;=7,"",IF(OR(CB157-N(CA157)&gt;0.05,N(Y157)&gt;0),ROUNDDOWN(ROUND(CB157,6),0)&amp;"%"&amp;IF(CR157="",""," / "&amp;CR157&amp;"%"),IF(AND(N(CA157)&gt;=99.95,CR157&lt;&gt;"",N(CR157)&lt;100),"Pend. "&amp;CR157&amp;"%",""))))</f>
        <v/>
      </c>
      <c r="AV157" s="40" t="str">
        <f aca="false">IF(OR(OR(NOT(AND(ISNUMBER(E157),ISNUMBER(F157))),$J$2=""),10&gt;MAX(1,Reprogramaciones!$U$15)),"",IF(Reprogramaciones!T$12&gt;=7,"",IF(OR(CC157-N(CB157)&gt;0.05,N(Z157)&gt;0),ROUNDDOWN(ROUND(CC157,6),0)&amp;"%"&amp;IF(CS157="",""," / "&amp;CS157&amp;"%"),IF(AND(N(CB157)&gt;=99.95,CS157&lt;&gt;"",N(CS157)&lt;100),"Pend. "&amp;CS157&amp;"%",""))))</f>
        <v/>
      </c>
      <c r="AW157" s="40" t="str">
        <f aca="false">IF(OR(OR(NOT(AND(ISNUMBER(E157),ISNUMBER(F157))),$J$2=""),11&gt;MAX(1,Reprogramaciones!$U$15)),"",IF(Reprogramaciones!U$12&gt;=7,"",IF(OR(CD157-N(CC157)&gt;0.05,N(AA157)&gt;0),ROUNDDOWN(ROUND(CD157,6),0)&amp;"%"&amp;IF(CT157="",""," / "&amp;CT157&amp;"%"),IF(AND(N(CC157)&gt;=99.95,CT157&lt;&gt;"",N(CT157)&lt;100),"Pend. "&amp;CT157&amp;"%",""))))</f>
        <v/>
      </c>
      <c r="AX157" s="40" t="str">
        <f aca="false">IF(OR(OR(NOT(AND(ISNUMBER(E157),ISNUMBER(F157))),$J$2=""),12&gt;MAX(1,Reprogramaciones!$U$15)),"",IF(Reprogramaciones!V$12&gt;=7,"",IF(OR(CE157-N(CD157)&gt;0.05,N(AB157)&gt;0),ROUNDDOWN(ROUND(CE157,6),0)&amp;"%"&amp;IF(CU157="",""," / "&amp;CU157&amp;"%"),IF(AND(N(CD157)&gt;=99.95,CU157&lt;&gt;"",N(CU157)&lt;100),"Pend. "&amp;CU157&amp;"%",""))))</f>
        <v/>
      </c>
      <c r="AY157" s="40" t="str">
        <f aca="false">IF(OR(OR(NOT(AND(ISNUMBER(E157),ISNUMBER(F157))),$J$2=""),13&gt;MAX(1,Reprogramaciones!$U$15)),"",IF(Reprogramaciones!W$12&gt;=7,"",IF(OR(CF157-N(CE157)&gt;0.05,N(AC157)&gt;0),ROUNDDOWN(ROUND(CF157,6),0)&amp;"%"&amp;IF(CV157="",""," / "&amp;CV157&amp;"%"),IF(AND(N(CE157)&gt;=99.95,CV157&lt;&gt;"",N(CV157)&lt;100),"Pend. "&amp;CV157&amp;"%",""))))</f>
        <v/>
      </c>
      <c r="AZ157" s="40" t="str">
        <f aca="false">IF(OR(OR(NOT(AND(ISNUMBER(E157),ISNUMBER(F157))),$J$2=""),14&gt;MAX(1,Reprogramaciones!$U$15)),"",IF(Reprogramaciones!X$12&gt;=7,"",IF(OR(CG157-N(CF157)&gt;0.05,N(AD157)&gt;0),ROUNDDOWN(ROUND(CG157,6),0)&amp;"%"&amp;IF(CW157="",""," / "&amp;CW157&amp;"%"),IF(AND(N(CF157)&gt;=99.95,CW157&lt;&gt;"",N(CW157)&lt;100),"Pend. "&amp;CW157&amp;"%",""))))</f>
        <v/>
      </c>
      <c r="BA157" s="40" t="str">
        <f aca="false">IF(OR(OR(NOT(AND(ISNUMBER(E157),ISNUMBER(F157))),$J$2=""),15&gt;MAX(1,Reprogramaciones!$U$15)),"",IF(Reprogramaciones!Y$12&gt;=7,"",IF(OR(CH157-N(CG157)&gt;0.05,N(AE157)&gt;0),ROUNDDOWN(ROUND(CH157,6),0)&amp;"%"&amp;IF(CX157="",""," / "&amp;CX157&amp;"%"),IF(AND(N(CG157)&gt;=99.95,CX157&lt;&gt;"",N(CX157)&lt;100),"Pend. "&amp;CX157&amp;"%",""))))</f>
        <v/>
      </c>
      <c r="BB157" s="40" t="str">
        <f aca="false">IF(OR(OR(NOT(AND(ISNUMBER(E157),ISNUMBER(F157))),$J$2=""),16&gt;MAX(1,Reprogramaciones!$U$15)),"",IF(Reprogramaciones!Z$12&gt;=7,"",IF(OR(CI157-N(CH157)&gt;0.05,N(AF157)&gt;0),ROUNDDOWN(ROUND(CI157,6),0)&amp;"%"&amp;IF(CY157="",""," / "&amp;CY157&amp;"%"),IF(AND(N(CH157)&gt;=99.95,CY157&lt;&gt;"",N(CY157)&lt;100),"Pend. "&amp;CY157&amp;"%",""))))</f>
        <v/>
      </c>
      <c r="BC157" s="31" t="n">
        <f aca="false">IF(AND(ISNUMBER(E157),ISNUMBER(F157)),MAX(1,NETWORKDAYS.INTL(E157,F157,11)),0)</f>
        <v>0</v>
      </c>
      <c r="BD157" s="1" t="str">
        <f aca="false">IF(OR(NOT(AND(ISNUMBER(E157),ISNUMBER(F157))),$J$2=""),"",MIN(100,ROUND(SUM($G157:G157),1)))</f>
        <v/>
      </c>
      <c r="BE157" s="1" t="str">
        <f aca="false">IF(OR(NOT(AND(ISNUMBER(E157),ISNUMBER(F157))),$J$2=""),"",MIN(100,ROUND(SUM($G157:H157),1)))</f>
        <v/>
      </c>
      <c r="BF157" s="1" t="str">
        <f aca="false">IF(OR(NOT(AND(ISNUMBER(E157),ISNUMBER(F157))),$J$2=""),"",MIN(100,ROUND(SUM($G157:I157),1)))</f>
        <v/>
      </c>
      <c r="BG157" s="1" t="str">
        <f aca="false">IF(OR(NOT(AND(ISNUMBER(E157),ISNUMBER(F157))),$J$2=""),"",MIN(100,ROUND(SUM($G157:J157),1)))</f>
        <v/>
      </c>
      <c r="BH157" s="1" t="str">
        <f aca="false">IF(OR(NOT(AND(ISNUMBER(E157),ISNUMBER(F157))),$J$2=""),"",MIN(100,ROUND(SUM($G157:K157),1)))</f>
        <v/>
      </c>
      <c r="BI157" s="1" t="str">
        <f aca="false">IF(OR(NOT(AND(ISNUMBER(E157),ISNUMBER(F157))),$J$2=""),"",MIN(100,ROUND(SUM($G157:L157),1)))</f>
        <v/>
      </c>
      <c r="BJ157" s="1" t="str">
        <f aca="false">IF(OR(NOT(AND(ISNUMBER(E157),ISNUMBER(F157))),$J$2=""),"",MIN(100,ROUND(SUM($G157:M157),1)))</f>
        <v/>
      </c>
      <c r="BK157" s="1" t="str">
        <f aca="false">IF(OR(NOT(AND(ISNUMBER(E157),ISNUMBER(F157))),$J$2=""),"",MIN(100,ROUND(SUM($G157:N157),1)))</f>
        <v/>
      </c>
      <c r="BL157" s="1" t="str">
        <f aca="false">IF(OR(NOT(AND(ISNUMBER(E157),ISNUMBER(F157))),$J$2=""),"",MIN(100,ROUND(SUM($G157:O157),1)))</f>
        <v/>
      </c>
      <c r="BM157" s="1" t="str">
        <f aca="false">IF(OR(NOT(AND(ISNUMBER(E157),ISNUMBER(F157))),$J$2=""),"",MIN(100,ROUND(SUM($G157:P157),1)))</f>
        <v/>
      </c>
      <c r="BN157" s="1" t="str">
        <f aca="false">IF(OR(NOT(AND(ISNUMBER(E157),ISNUMBER(F157))),$J$2=""),"",MIN(100,ROUND(SUM($G157:P157),1)))</f>
        <v/>
      </c>
      <c r="BO157" s="1" t="str">
        <f aca="false">IF(OR(NOT(AND(ISNUMBER(E157),ISNUMBER(F157))),$J$2=""),"",MIN(100,ROUND(SUM($G157:P157),1)))</f>
        <v/>
      </c>
      <c r="BP157" s="1" t="str">
        <f aca="false">IF(OR(NOT(AND(ISNUMBER(E157),ISNUMBER(F157))),$J$2=""),"",MIN(100,ROUND(SUM($G157:P157),1)))</f>
        <v/>
      </c>
      <c r="BQ157" s="1" t="str">
        <f aca="false">IF(OR(NOT(AND(ISNUMBER(E157),ISNUMBER(F157))),$J$2=""),"",MIN(100,ROUND(SUM($G157:P157),1)))</f>
        <v/>
      </c>
      <c r="BR157" s="1" t="str">
        <f aca="false">IF(OR(NOT(AND(ISNUMBER(E157),ISNUMBER(F157))),$J$2=""),"",MIN(100,ROUND(SUM($G157:P157),1)))</f>
        <v/>
      </c>
      <c r="BS157" s="1" t="str">
        <f aca="false">IF(OR(NOT(AND(ISNUMBER(E157),ISNUMBER(F157))),$J$2=""),"",MIN(100,ROUND(SUM($G157:P157),1)))</f>
        <v/>
      </c>
      <c r="BT157" s="1" t="str">
        <f aca="false">IF(OR(NOT(AND(ISNUMBER(E157),ISNUMBER(F157))),$J$2=""),"",IF(Reprogramaciones!K$13&lt;Reprogramaciones!$T$15,0,IF(Reprogramaciones!K$14&gt;10,MIN(100,SUM($G157:$P157)),MIN(100,SUMPRODUCT((COLUMN($G157:$P157)-COLUMN($G157)+1&lt;Reprogramaciones!K$14)*$G157:$P157)+N(INDEX($G157:$P157,1,Reprogramaciones!K$14))*IF(Reprogramaciones!K$13&gt;=(Reprogramaciones!$T$15+7*(Reprogramaciones!K$14-1))+6,1,IF(MAX(0,NETWORKDAYS.INTL(MAX(E157,(Reprogramaciones!$T$15+7*(Reprogramaciones!K$14-1))),MIN(F157,(Reprogramaciones!$T$15+7*(Reprogramaciones!K$14-1))+6),11))=0,0,MAX(0,NETWORKDAYS.INTL(MAX(E157,(Reprogramaciones!$T$15+7*(Reprogramaciones!K$14-1))),MIN(F157,Reprogramaciones!K$13),11))/MAX(0,NETWORKDAYS.INTL(MAX(E157,(Reprogramaciones!$T$15+7*(Reprogramaciones!K$14-1))),MIN(F157,(Reprogramaciones!$T$15+7*(Reprogramaciones!K$14-1))+6),11))))))))</f>
        <v/>
      </c>
      <c r="BU157" s="1" t="str">
        <f aca="false">IF(OR(NOT(AND(ISNUMBER(E157),ISNUMBER(F157))),$J$2=""),"",IF(Reprogramaciones!L$13&lt;Reprogramaciones!$T$15,0,IF(Reprogramaciones!L$14&gt;10,MIN(100,SUM($G157:$P157)),MIN(100,SUMPRODUCT((COLUMN($G157:$P157)-COLUMN($G157)+1&lt;Reprogramaciones!L$14)*$G157:$P157)+N(INDEX($G157:$P157,1,Reprogramaciones!L$14))*IF(Reprogramaciones!L$13&gt;=(Reprogramaciones!$T$15+7*(Reprogramaciones!L$14-1))+6,1,IF(MAX(0,NETWORKDAYS.INTL(MAX(E157,(Reprogramaciones!$T$15+7*(Reprogramaciones!L$14-1))),MIN(F157,(Reprogramaciones!$T$15+7*(Reprogramaciones!L$14-1))+6),11))=0,0,MAX(0,NETWORKDAYS.INTL(MAX(E157,(Reprogramaciones!$T$15+7*(Reprogramaciones!L$14-1))),MIN(F157,Reprogramaciones!L$13),11))/MAX(0,NETWORKDAYS.INTL(MAX(E157,(Reprogramaciones!$T$15+7*(Reprogramaciones!L$14-1))),MIN(F157,(Reprogramaciones!$T$15+7*(Reprogramaciones!L$14-1))+6),11))))))))</f>
        <v/>
      </c>
      <c r="BV157" s="1" t="str">
        <f aca="false">IF(OR(NOT(AND(ISNUMBER(E157),ISNUMBER(F157))),$J$2=""),"",IF(Reprogramaciones!M$13&lt;Reprogramaciones!$T$15,0,IF(Reprogramaciones!M$14&gt;10,MIN(100,SUM($G157:$P157)),MIN(100,SUMPRODUCT((COLUMN($G157:$P157)-COLUMN($G157)+1&lt;Reprogramaciones!M$14)*$G157:$P157)+N(INDEX($G157:$P157,1,Reprogramaciones!M$14))*IF(Reprogramaciones!M$13&gt;=(Reprogramaciones!$T$15+7*(Reprogramaciones!M$14-1))+6,1,IF(MAX(0,NETWORKDAYS.INTL(MAX(E157,(Reprogramaciones!$T$15+7*(Reprogramaciones!M$14-1))),MIN(F157,(Reprogramaciones!$T$15+7*(Reprogramaciones!M$14-1))+6),11))=0,0,MAX(0,NETWORKDAYS.INTL(MAX(E157,(Reprogramaciones!$T$15+7*(Reprogramaciones!M$14-1))),MIN(F157,Reprogramaciones!M$13),11))/MAX(0,NETWORKDAYS.INTL(MAX(E157,(Reprogramaciones!$T$15+7*(Reprogramaciones!M$14-1))),MIN(F157,(Reprogramaciones!$T$15+7*(Reprogramaciones!M$14-1))+6),11))))))))</f>
        <v/>
      </c>
      <c r="BW157" s="1" t="str">
        <f aca="false">IF(OR(NOT(AND(ISNUMBER(E157),ISNUMBER(F157))),$J$2=""),"",IF(Reprogramaciones!N$13&lt;Reprogramaciones!$T$15,0,IF(Reprogramaciones!N$14&gt;10,MIN(100,SUM($G157:$P157)),MIN(100,SUMPRODUCT((COLUMN($G157:$P157)-COLUMN($G157)+1&lt;Reprogramaciones!N$14)*$G157:$P157)+N(INDEX($G157:$P157,1,Reprogramaciones!N$14))*IF(Reprogramaciones!N$13&gt;=(Reprogramaciones!$T$15+7*(Reprogramaciones!N$14-1))+6,1,IF(MAX(0,NETWORKDAYS.INTL(MAX(E157,(Reprogramaciones!$T$15+7*(Reprogramaciones!N$14-1))),MIN(F157,(Reprogramaciones!$T$15+7*(Reprogramaciones!N$14-1))+6),11))=0,0,MAX(0,NETWORKDAYS.INTL(MAX(E157,(Reprogramaciones!$T$15+7*(Reprogramaciones!N$14-1))),MIN(F157,Reprogramaciones!N$13),11))/MAX(0,NETWORKDAYS.INTL(MAX(E157,(Reprogramaciones!$T$15+7*(Reprogramaciones!N$14-1))),MIN(F157,(Reprogramaciones!$T$15+7*(Reprogramaciones!N$14-1))+6),11))))))))</f>
        <v/>
      </c>
      <c r="BX157" s="1" t="str">
        <f aca="false">IF(OR(NOT(AND(ISNUMBER(E157),ISNUMBER(F157))),$J$2=""),"",IF(Reprogramaciones!O$13&lt;Reprogramaciones!$T$15,0,IF(Reprogramaciones!O$14&gt;10,MIN(100,SUM($G157:$P157)),MIN(100,SUMPRODUCT((COLUMN($G157:$P157)-COLUMN($G157)+1&lt;Reprogramaciones!O$14)*$G157:$P157)+N(INDEX($G157:$P157,1,Reprogramaciones!O$14))*IF(Reprogramaciones!O$13&gt;=(Reprogramaciones!$T$15+7*(Reprogramaciones!O$14-1))+6,1,IF(MAX(0,NETWORKDAYS.INTL(MAX(E157,(Reprogramaciones!$T$15+7*(Reprogramaciones!O$14-1))),MIN(F157,(Reprogramaciones!$T$15+7*(Reprogramaciones!O$14-1))+6),11))=0,0,MAX(0,NETWORKDAYS.INTL(MAX(E157,(Reprogramaciones!$T$15+7*(Reprogramaciones!O$14-1))),MIN(F157,Reprogramaciones!O$13),11))/MAX(0,NETWORKDAYS.INTL(MAX(E157,(Reprogramaciones!$T$15+7*(Reprogramaciones!O$14-1))),MIN(F157,(Reprogramaciones!$T$15+7*(Reprogramaciones!O$14-1))+6),11))))))))</f>
        <v/>
      </c>
      <c r="BY157" s="1" t="str">
        <f aca="false">IF(OR(NOT(AND(ISNUMBER(E157),ISNUMBER(F157))),$J$2=""),"",IF(Reprogramaciones!P$13&lt;Reprogramaciones!$T$15,0,IF(Reprogramaciones!P$14&gt;10,MIN(100,SUM($G157:$P157)),MIN(100,SUMPRODUCT((COLUMN($G157:$P157)-COLUMN($G157)+1&lt;Reprogramaciones!P$14)*$G157:$P157)+N(INDEX($G157:$P157,1,Reprogramaciones!P$14))*IF(Reprogramaciones!P$13&gt;=(Reprogramaciones!$T$15+7*(Reprogramaciones!P$14-1))+6,1,IF(MAX(0,NETWORKDAYS.INTL(MAX(E157,(Reprogramaciones!$T$15+7*(Reprogramaciones!P$14-1))),MIN(F157,(Reprogramaciones!$T$15+7*(Reprogramaciones!P$14-1))+6),11))=0,0,MAX(0,NETWORKDAYS.INTL(MAX(E157,(Reprogramaciones!$T$15+7*(Reprogramaciones!P$14-1))),MIN(F157,Reprogramaciones!P$13),11))/MAX(0,NETWORKDAYS.INTL(MAX(E157,(Reprogramaciones!$T$15+7*(Reprogramaciones!P$14-1))),MIN(F157,(Reprogramaciones!$T$15+7*(Reprogramaciones!P$14-1))+6),11))))))))</f>
        <v/>
      </c>
      <c r="BZ157" s="1" t="str">
        <f aca="false">IF(OR(NOT(AND(ISNUMBER(E157),ISNUMBER(F157))),$J$2=""),"",IF(Reprogramaciones!Q$13&lt;Reprogramaciones!$T$15,0,IF(Reprogramaciones!Q$14&gt;10,MIN(100,SUM($G157:$P157)),MIN(100,SUMPRODUCT((COLUMN($G157:$P157)-COLUMN($G157)+1&lt;Reprogramaciones!Q$14)*$G157:$P157)+N(INDEX($G157:$P157,1,Reprogramaciones!Q$14))*IF(Reprogramaciones!Q$13&gt;=(Reprogramaciones!$T$15+7*(Reprogramaciones!Q$14-1))+6,1,IF(MAX(0,NETWORKDAYS.INTL(MAX(E157,(Reprogramaciones!$T$15+7*(Reprogramaciones!Q$14-1))),MIN(F157,(Reprogramaciones!$T$15+7*(Reprogramaciones!Q$14-1))+6),11))=0,0,MAX(0,NETWORKDAYS.INTL(MAX(E157,(Reprogramaciones!$T$15+7*(Reprogramaciones!Q$14-1))),MIN(F157,Reprogramaciones!Q$13),11))/MAX(0,NETWORKDAYS.INTL(MAX(E157,(Reprogramaciones!$T$15+7*(Reprogramaciones!Q$14-1))),MIN(F157,(Reprogramaciones!$T$15+7*(Reprogramaciones!Q$14-1))+6),11))))))))</f>
        <v/>
      </c>
      <c r="CA157" s="1" t="str">
        <f aca="false">IF(OR(NOT(AND(ISNUMBER(E157),ISNUMBER(F157))),$J$2=""),"",IF(Reprogramaciones!R$13&lt;Reprogramaciones!$T$15,0,IF(Reprogramaciones!R$14&gt;10,MIN(100,SUM($G157:$P157)),MIN(100,SUMPRODUCT((COLUMN($G157:$P157)-COLUMN($G157)+1&lt;Reprogramaciones!R$14)*$G157:$P157)+N(INDEX($G157:$P157,1,Reprogramaciones!R$14))*IF(Reprogramaciones!R$13&gt;=(Reprogramaciones!$T$15+7*(Reprogramaciones!R$14-1))+6,1,IF(MAX(0,NETWORKDAYS.INTL(MAX(E157,(Reprogramaciones!$T$15+7*(Reprogramaciones!R$14-1))),MIN(F157,(Reprogramaciones!$T$15+7*(Reprogramaciones!R$14-1))+6),11))=0,0,MAX(0,NETWORKDAYS.INTL(MAX(E157,(Reprogramaciones!$T$15+7*(Reprogramaciones!R$14-1))),MIN(F157,Reprogramaciones!R$13),11))/MAX(0,NETWORKDAYS.INTL(MAX(E157,(Reprogramaciones!$T$15+7*(Reprogramaciones!R$14-1))),MIN(F157,(Reprogramaciones!$T$15+7*(Reprogramaciones!R$14-1))+6),11))))))))</f>
        <v/>
      </c>
      <c r="CB157" s="1" t="str">
        <f aca="false">IF(OR(NOT(AND(ISNUMBER(E157),ISNUMBER(F157))),$J$2=""),"",IF(Reprogramaciones!S$13&lt;Reprogramaciones!$T$15,0,IF(Reprogramaciones!S$14&gt;10,MIN(100,SUM($G157:$P157)),MIN(100,SUMPRODUCT((COLUMN($G157:$P157)-COLUMN($G157)+1&lt;Reprogramaciones!S$14)*$G157:$P157)+N(INDEX($G157:$P157,1,Reprogramaciones!S$14))*IF(Reprogramaciones!S$13&gt;=(Reprogramaciones!$T$15+7*(Reprogramaciones!S$14-1))+6,1,IF(MAX(0,NETWORKDAYS.INTL(MAX(E157,(Reprogramaciones!$T$15+7*(Reprogramaciones!S$14-1))),MIN(F157,(Reprogramaciones!$T$15+7*(Reprogramaciones!S$14-1))+6),11))=0,0,MAX(0,NETWORKDAYS.INTL(MAX(E157,(Reprogramaciones!$T$15+7*(Reprogramaciones!S$14-1))),MIN(F157,Reprogramaciones!S$13),11))/MAX(0,NETWORKDAYS.INTL(MAX(E157,(Reprogramaciones!$T$15+7*(Reprogramaciones!S$14-1))),MIN(F157,(Reprogramaciones!$T$15+7*(Reprogramaciones!S$14-1))+6),11))))))))</f>
        <v/>
      </c>
      <c r="CC157" s="1" t="str">
        <f aca="false">IF(OR(NOT(AND(ISNUMBER(E157),ISNUMBER(F157))),$J$2=""),"",IF(Reprogramaciones!T$13&lt;Reprogramaciones!$T$15,0,IF(Reprogramaciones!T$14&gt;10,MIN(100,SUM($G157:$P157)),MIN(100,SUMPRODUCT((COLUMN($G157:$P157)-COLUMN($G157)+1&lt;Reprogramaciones!T$14)*$G157:$P157)+N(INDEX($G157:$P157,1,Reprogramaciones!T$14))*IF(Reprogramaciones!T$13&gt;=(Reprogramaciones!$T$15+7*(Reprogramaciones!T$14-1))+6,1,IF(MAX(0,NETWORKDAYS.INTL(MAX(E157,(Reprogramaciones!$T$15+7*(Reprogramaciones!T$14-1))),MIN(F157,(Reprogramaciones!$T$15+7*(Reprogramaciones!T$14-1))+6),11))=0,0,MAX(0,NETWORKDAYS.INTL(MAX(E157,(Reprogramaciones!$T$15+7*(Reprogramaciones!T$14-1))),MIN(F157,Reprogramaciones!T$13),11))/MAX(0,NETWORKDAYS.INTL(MAX(E157,(Reprogramaciones!$T$15+7*(Reprogramaciones!T$14-1))),MIN(F157,(Reprogramaciones!$T$15+7*(Reprogramaciones!T$14-1))+6),11))))))))</f>
        <v/>
      </c>
      <c r="CD157" s="1" t="str">
        <f aca="false">IF(OR(NOT(AND(ISNUMBER(E157),ISNUMBER(F157))),$J$2=""),"",IF(Reprogramaciones!U$13&lt;Reprogramaciones!$T$15,0,IF(Reprogramaciones!U$14&gt;10,MIN(100,SUM($G157:$P157)),MIN(100,SUMPRODUCT((COLUMN($G157:$P157)-COLUMN($G157)+1&lt;Reprogramaciones!U$14)*$G157:$P157)+N(INDEX($G157:$P157,1,Reprogramaciones!U$14))*IF(Reprogramaciones!U$13&gt;=(Reprogramaciones!$T$15+7*(Reprogramaciones!U$14-1))+6,1,IF(MAX(0,NETWORKDAYS.INTL(MAX(E157,(Reprogramaciones!$T$15+7*(Reprogramaciones!U$14-1))),MIN(F157,(Reprogramaciones!$T$15+7*(Reprogramaciones!U$14-1))+6),11))=0,0,MAX(0,NETWORKDAYS.INTL(MAX(E157,(Reprogramaciones!$T$15+7*(Reprogramaciones!U$14-1))),MIN(F157,Reprogramaciones!U$13),11))/MAX(0,NETWORKDAYS.INTL(MAX(E157,(Reprogramaciones!$T$15+7*(Reprogramaciones!U$14-1))),MIN(F157,(Reprogramaciones!$T$15+7*(Reprogramaciones!U$14-1))+6),11))))))))</f>
        <v/>
      </c>
      <c r="CE157" s="1" t="str">
        <f aca="false">IF(OR(NOT(AND(ISNUMBER(E157),ISNUMBER(F157))),$J$2=""),"",IF(Reprogramaciones!V$13&lt;Reprogramaciones!$T$15,0,IF(Reprogramaciones!V$14&gt;10,MIN(100,SUM($G157:$P157)),MIN(100,SUMPRODUCT((COLUMN($G157:$P157)-COLUMN($G157)+1&lt;Reprogramaciones!V$14)*$G157:$P157)+N(INDEX($G157:$P157,1,Reprogramaciones!V$14))*IF(Reprogramaciones!V$13&gt;=(Reprogramaciones!$T$15+7*(Reprogramaciones!V$14-1))+6,1,IF(MAX(0,NETWORKDAYS.INTL(MAX(E157,(Reprogramaciones!$T$15+7*(Reprogramaciones!V$14-1))),MIN(F157,(Reprogramaciones!$T$15+7*(Reprogramaciones!V$14-1))+6),11))=0,0,MAX(0,NETWORKDAYS.INTL(MAX(E157,(Reprogramaciones!$T$15+7*(Reprogramaciones!V$14-1))),MIN(F157,Reprogramaciones!V$13),11))/MAX(0,NETWORKDAYS.INTL(MAX(E157,(Reprogramaciones!$T$15+7*(Reprogramaciones!V$14-1))),MIN(F157,(Reprogramaciones!$T$15+7*(Reprogramaciones!V$14-1))+6),11))))))))</f>
        <v/>
      </c>
      <c r="CF157" s="1" t="str">
        <f aca="false">IF(OR(NOT(AND(ISNUMBER(E157),ISNUMBER(F157))),$J$2=""),"",IF(Reprogramaciones!W$13&lt;Reprogramaciones!$T$15,0,IF(Reprogramaciones!W$14&gt;10,MIN(100,SUM($G157:$P157)),MIN(100,SUMPRODUCT((COLUMN($G157:$P157)-COLUMN($G157)+1&lt;Reprogramaciones!W$14)*$G157:$P157)+N(INDEX($G157:$P157,1,Reprogramaciones!W$14))*IF(Reprogramaciones!W$13&gt;=(Reprogramaciones!$T$15+7*(Reprogramaciones!W$14-1))+6,1,IF(MAX(0,NETWORKDAYS.INTL(MAX(E157,(Reprogramaciones!$T$15+7*(Reprogramaciones!W$14-1))),MIN(F157,(Reprogramaciones!$T$15+7*(Reprogramaciones!W$14-1))+6),11))=0,0,MAX(0,NETWORKDAYS.INTL(MAX(E157,(Reprogramaciones!$T$15+7*(Reprogramaciones!W$14-1))),MIN(F157,Reprogramaciones!W$13),11))/MAX(0,NETWORKDAYS.INTL(MAX(E157,(Reprogramaciones!$T$15+7*(Reprogramaciones!W$14-1))),MIN(F157,(Reprogramaciones!$T$15+7*(Reprogramaciones!W$14-1))+6),11))))))))</f>
        <v/>
      </c>
      <c r="CG157" s="1" t="str">
        <f aca="false">IF(OR(NOT(AND(ISNUMBER(E157),ISNUMBER(F157))),$J$2=""),"",IF(Reprogramaciones!X$13&lt;Reprogramaciones!$T$15,0,IF(Reprogramaciones!X$14&gt;10,MIN(100,SUM($G157:$P157)),MIN(100,SUMPRODUCT((COLUMN($G157:$P157)-COLUMN($G157)+1&lt;Reprogramaciones!X$14)*$G157:$P157)+N(INDEX($G157:$P157,1,Reprogramaciones!X$14))*IF(Reprogramaciones!X$13&gt;=(Reprogramaciones!$T$15+7*(Reprogramaciones!X$14-1))+6,1,IF(MAX(0,NETWORKDAYS.INTL(MAX(E157,(Reprogramaciones!$T$15+7*(Reprogramaciones!X$14-1))),MIN(F157,(Reprogramaciones!$T$15+7*(Reprogramaciones!X$14-1))+6),11))=0,0,MAX(0,NETWORKDAYS.INTL(MAX(E157,(Reprogramaciones!$T$15+7*(Reprogramaciones!X$14-1))),MIN(F157,Reprogramaciones!X$13),11))/MAX(0,NETWORKDAYS.INTL(MAX(E157,(Reprogramaciones!$T$15+7*(Reprogramaciones!X$14-1))),MIN(F157,(Reprogramaciones!$T$15+7*(Reprogramaciones!X$14-1))+6),11))))))))</f>
        <v/>
      </c>
      <c r="CH157" s="1" t="str">
        <f aca="false">IF(OR(NOT(AND(ISNUMBER(E157),ISNUMBER(F157))),$J$2=""),"",IF(Reprogramaciones!Y$13&lt;Reprogramaciones!$T$15,0,IF(Reprogramaciones!Y$14&gt;10,MIN(100,SUM($G157:$P157)),MIN(100,SUMPRODUCT((COLUMN($G157:$P157)-COLUMN($G157)+1&lt;Reprogramaciones!Y$14)*$G157:$P157)+N(INDEX($G157:$P157,1,Reprogramaciones!Y$14))*IF(Reprogramaciones!Y$13&gt;=(Reprogramaciones!$T$15+7*(Reprogramaciones!Y$14-1))+6,1,IF(MAX(0,NETWORKDAYS.INTL(MAX(E157,(Reprogramaciones!$T$15+7*(Reprogramaciones!Y$14-1))),MIN(F157,(Reprogramaciones!$T$15+7*(Reprogramaciones!Y$14-1))+6),11))=0,0,MAX(0,NETWORKDAYS.INTL(MAX(E157,(Reprogramaciones!$T$15+7*(Reprogramaciones!Y$14-1))),MIN(F157,Reprogramaciones!Y$13),11))/MAX(0,NETWORKDAYS.INTL(MAX(E157,(Reprogramaciones!$T$15+7*(Reprogramaciones!Y$14-1))),MIN(F157,(Reprogramaciones!$T$15+7*(Reprogramaciones!Y$14-1))+6),11))))))))</f>
        <v/>
      </c>
      <c r="CI157" s="1" t="str">
        <f aca="false">IF(OR(NOT(AND(ISNUMBER(E157),ISNUMBER(F157))),$J$2=""),"",IF(Reprogramaciones!Z$13&lt;Reprogramaciones!$T$15,0,IF(Reprogramaciones!Z$14&gt;10,MIN(100,SUM($G157:$P157)),MIN(100,SUMPRODUCT((COLUMN($G157:$P157)-COLUMN($G157)+1&lt;Reprogramaciones!Z$14)*$G157:$P157)+N(INDEX($G157:$P157,1,Reprogramaciones!Z$14))*IF(Reprogramaciones!Z$13&gt;=(Reprogramaciones!$T$15+7*(Reprogramaciones!Z$14-1))+6,1,IF(MAX(0,NETWORKDAYS.INTL(MAX(E157,(Reprogramaciones!$T$15+7*(Reprogramaciones!Z$14-1))),MIN(F157,(Reprogramaciones!$T$15+7*(Reprogramaciones!Z$14-1))+6),11))=0,0,MAX(0,NETWORKDAYS.INTL(MAX(E157,(Reprogramaciones!$T$15+7*(Reprogramaciones!Z$14-1))),MIN(F157,Reprogramaciones!Z$13),11))/MAX(0,NETWORKDAYS.INTL(MAX(E157,(Reprogramaciones!$T$15+7*(Reprogramaciones!Z$14-1))),MIN(F157,(Reprogramaciones!$T$15+7*(Reprogramaciones!Z$14-1))+6),11))))))))</f>
        <v/>
      </c>
      <c r="CJ157" s="1" t="str">
        <f aca="false">IF(OR(OR(NOT(AND(ISNUMBER(E157),ISNUMBER(F157))),$J$2=""),1&gt;Reprogramaciones!$K$16),"",IF(ROUND(SUM($Q157:Q157),1)&gt;=99.5,100,MIN(100,ROUND(SUM($Q157:Q157),1))))</f>
        <v/>
      </c>
      <c r="CK157" s="1" t="str">
        <f aca="false">IF(OR(OR(NOT(AND(ISNUMBER(E157),ISNUMBER(F157))),$J$2=""),2&gt;Reprogramaciones!$K$16),"",IF(ROUND(SUM($Q157:R157),1)&gt;=99.5,100,MIN(100,ROUND(SUM($Q157:R157),1))))</f>
        <v/>
      </c>
      <c r="CL157" s="1" t="str">
        <f aca="false">IF(OR(OR(NOT(AND(ISNUMBER(E157),ISNUMBER(F157))),$J$2=""),3&gt;Reprogramaciones!$K$16),"",IF(ROUND(SUM($Q157:S157),1)&gt;=99.5,100,MIN(100,ROUND(SUM($Q157:S157),1))))</f>
        <v/>
      </c>
      <c r="CM157" s="1" t="str">
        <f aca="false">IF(OR(OR(NOT(AND(ISNUMBER(E157),ISNUMBER(F157))),$J$2=""),4&gt;Reprogramaciones!$K$16),"",IF(ROUND(SUM($Q157:T157),1)&gt;=99.5,100,MIN(100,ROUND(SUM($Q157:T157),1))))</f>
        <v/>
      </c>
      <c r="CN157" s="1" t="str">
        <f aca="false">IF(OR(OR(NOT(AND(ISNUMBER(E157),ISNUMBER(F157))),$J$2=""),5&gt;Reprogramaciones!$K$16),"",IF(ROUND(SUM($Q157:U157),1)&gt;=99.5,100,MIN(100,ROUND(SUM($Q157:U157),1))))</f>
        <v/>
      </c>
      <c r="CO157" s="1" t="str">
        <f aca="false">IF(OR(OR(NOT(AND(ISNUMBER(E157),ISNUMBER(F157))),$J$2=""),6&gt;Reprogramaciones!$K$16),"",IF(ROUND(SUM($Q157:V157),1)&gt;=99.5,100,MIN(100,ROUND(SUM($Q157:V157),1))))</f>
        <v/>
      </c>
      <c r="CP157" s="1" t="str">
        <f aca="false">IF(OR(OR(NOT(AND(ISNUMBER(E157),ISNUMBER(F157))),$J$2=""),7&gt;Reprogramaciones!$K$16),"",IF(ROUND(SUM($Q157:W157),1)&gt;=99.5,100,MIN(100,ROUND(SUM($Q157:W157),1))))</f>
        <v/>
      </c>
      <c r="CQ157" s="1" t="str">
        <f aca="false">IF(OR(OR(NOT(AND(ISNUMBER(E157),ISNUMBER(F157))),$J$2=""),8&gt;Reprogramaciones!$K$16),"",IF(ROUND(SUM($Q157:X157),1)&gt;=99.5,100,MIN(100,ROUND(SUM($Q157:X157),1))))</f>
        <v/>
      </c>
      <c r="CR157" s="1" t="str">
        <f aca="false">IF(OR(OR(NOT(AND(ISNUMBER(E157),ISNUMBER(F157))),$J$2=""),9&gt;Reprogramaciones!$K$16),"",IF(ROUND(SUM($Q157:Y157),1)&gt;=99.5,100,MIN(100,ROUND(SUM($Q157:Y157),1))))</f>
        <v/>
      </c>
      <c r="CS157" s="1" t="str">
        <f aca="false">IF(OR(OR(NOT(AND(ISNUMBER(E157),ISNUMBER(F157))),$J$2=""),10&gt;Reprogramaciones!$K$16),"",IF(ROUND(SUM($Q157:Z157),1)&gt;=99.5,100,MIN(100,ROUND(SUM($Q157:Z157),1))))</f>
        <v/>
      </c>
      <c r="CT157" s="1" t="str">
        <f aca="false">IF(OR(OR(NOT(AND(ISNUMBER(E157),ISNUMBER(F157))),$J$2=""),11&gt;Reprogramaciones!$K$16),"",IF(ROUND(SUM($Q157:AA157),1)&gt;=99.5,100,MIN(100,ROUND(SUM($Q157:AA157),1))))</f>
        <v/>
      </c>
      <c r="CU157" s="1" t="str">
        <f aca="false">IF(OR(OR(NOT(AND(ISNUMBER(E157),ISNUMBER(F157))),$J$2=""),12&gt;Reprogramaciones!$K$16),"",IF(ROUND(SUM($Q157:AB157),1)&gt;=99.5,100,MIN(100,ROUND(SUM($Q157:AB157),1))))</f>
        <v/>
      </c>
      <c r="CV157" s="1" t="str">
        <f aca="false">IF(OR(OR(NOT(AND(ISNUMBER(E157),ISNUMBER(F157))),$J$2=""),13&gt;Reprogramaciones!$K$16),"",IF(ROUND(SUM($Q157:AC157),1)&gt;=99.5,100,MIN(100,ROUND(SUM($Q157:AC157),1))))</f>
        <v/>
      </c>
      <c r="CW157" s="1" t="str">
        <f aca="false">IF(OR(OR(NOT(AND(ISNUMBER(E157),ISNUMBER(F157))),$J$2=""),14&gt;Reprogramaciones!$K$16),"",IF(ROUND(SUM($Q157:AD157),1)&gt;=99.5,100,MIN(100,ROUND(SUM($Q157:AD157),1))))</f>
        <v/>
      </c>
      <c r="CX157" s="1" t="str">
        <f aca="false">IF(OR(OR(NOT(AND(ISNUMBER(E157),ISNUMBER(F157))),$J$2=""),15&gt;Reprogramaciones!$K$16),"",IF(ROUND(SUM($Q157:AE157),1)&gt;=99.5,100,MIN(100,ROUND(SUM($Q157:AE157),1))))</f>
        <v/>
      </c>
      <c r="CY157" s="1" t="str">
        <f aca="false">IF(OR(OR(NOT(AND(ISNUMBER(E157),ISNUMBER(F157))),$J$2=""),16&gt;Reprogramaciones!$K$16),"",IF(ROUND(SUM($Q157:AF157),1)&gt;=99.5,100,MIN(100,ROUND(SUM($Q157:AF157),1))))</f>
        <v/>
      </c>
      <c r="CZ157" s="1" t="str">
        <f aca="false">IF(D157&lt;&gt;"",D157,IF(B157&lt;&gt;"","Contractual",CZ156))</f>
        <v>Contractual</v>
      </c>
      <c r="DA157" s="1" t="str">
        <f aca="false">IF(OR(NOT(AND(ISNUMBER(E157),ISNUMBER(F157))),$J$2=""),"",IF(Reprogramaciones!$Q$15&lt;Reprogramaciones!$T$15,0,IF(Reprogramaciones!$S$15&gt;10,MIN(100,SUM($G157:$P157)),MIN(100,SUMPRODUCT((COLUMN($G157:$P157)-COLUMN($G157)+1&lt;Reprogramaciones!$S$15)*$G157:$P157)+N(INDEX($G157:$P157,1,Reprogramaciones!$S$15))*IF(Reprogramaciones!$Q$15&gt;=(Reprogramaciones!$T$15+7*(Reprogramaciones!$S$15-1))+6,1,IF(MAX(0,NETWORKDAYS.INTL(MAX(E157,(Reprogramaciones!$T$15+7*(Reprogramaciones!$S$15-1))),MIN(F157,(Reprogramaciones!$T$15+7*(Reprogramaciones!$S$15-1))+6),11))=0,0,MAX(0,NETWORKDAYS.INTL(MAX(E157,(Reprogramaciones!$T$15+7*(Reprogramaciones!$S$15-1))),MIN(F157,Reprogramaciones!$Q$15),11))/MAX(0,NETWORKDAYS.INTL(MAX(E157,(Reprogramaciones!$T$15+7*(Reprogramaciones!$S$15-1))),MIN(F157,(Reprogramaciones!$T$15+7*(Reprogramaciones!$S$15-1))+6),11))))))))</f>
        <v/>
      </c>
    </row>
    <row r="158" customFormat="false" ht="15" hidden="false" customHeight="false" outlineLevel="0" collapsed="false">
      <c r="A158" s="32"/>
      <c r="B158" s="33"/>
      <c r="C158" s="33"/>
      <c r="D158" s="34"/>
      <c r="E158" s="35"/>
      <c r="F158" s="35"/>
      <c r="G158" s="36" t="str">
        <f aca="false">IF(OR(NOT(AND(ISNUMBER(E158),ISNUMBER(F158))),$J$2=""),"",IF(Reprogramaciones!K$9&lt;E158,0,IF(NETWORKDAYS.INTL(E158,F158,11)=0,IF(Reprogramaciones!K$9&gt;=F158,100,0),ROUND(NETWORKDAYS.INTL(E158,MIN(F158,Reprogramaciones!K$9),11)/NETWORKDAYS.INTL(E158,F158,11)*100,1)))-0)</f>
        <v/>
      </c>
      <c r="H158" s="36" t="str">
        <f aca="false">IF(OR(NOT(AND(ISNUMBER(E158),ISNUMBER(F158))),$J$2=""),"",IF(Reprogramaciones!L$9&lt;E158,0,IF(NETWORKDAYS.INTL(E158,F158,11)=0,IF(Reprogramaciones!L$9&gt;=F158,100,0),ROUND(NETWORKDAYS.INTL(E158,MIN(F158,Reprogramaciones!L$9),11)/NETWORKDAYS.INTL(E158,F158,11)*100,1)))-IF(Reprogramaciones!K$9&lt;E158,0,IF(NETWORKDAYS.INTL(E158,F158,11)=0,IF(Reprogramaciones!K$9&gt;=F158,100,0),ROUND(NETWORKDAYS.INTL(E158,MIN(F158,Reprogramaciones!K$9),11)/NETWORKDAYS.INTL(E158,F158,11)*100,1))))</f>
        <v/>
      </c>
      <c r="I158" s="36" t="str">
        <f aca="false">IF(OR(NOT(AND(ISNUMBER(E158),ISNUMBER(F158))),$J$2=""),"",IF(Reprogramaciones!M$9&lt;E158,0,IF(NETWORKDAYS.INTL(E158,F158,11)=0,IF(Reprogramaciones!M$9&gt;=F158,100,0),ROUND(NETWORKDAYS.INTL(E158,MIN(F158,Reprogramaciones!M$9),11)/NETWORKDAYS.INTL(E158,F158,11)*100,1)))-IF(Reprogramaciones!L$9&lt;E158,0,IF(NETWORKDAYS.INTL(E158,F158,11)=0,IF(Reprogramaciones!L$9&gt;=F158,100,0),ROUND(NETWORKDAYS.INTL(E158,MIN(F158,Reprogramaciones!L$9),11)/NETWORKDAYS.INTL(E158,F158,11)*100,1))))</f>
        <v/>
      </c>
      <c r="J158" s="36" t="str">
        <f aca="false">IF(OR(NOT(AND(ISNUMBER(E158),ISNUMBER(F158))),$J$2=""),"",IF(Reprogramaciones!N$9&lt;E158,0,IF(NETWORKDAYS.INTL(E158,F158,11)=0,IF(Reprogramaciones!N$9&gt;=F158,100,0),ROUND(NETWORKDAYS.INTL(E158,MIN(F158,Reprogramaciones!N$9),11)/NETWORKDAYS.INTL(E158,F158,11)*100,1)))-IF(Reprogramaciones!M$9&lt;E158,0,IF(NETWORKDAYS.INTL(E158,F158,11)=0,IF(Reprogramaciones!M$9&gt;=F158,100,0),ROUND(NETWORKDAYS.INTL(E158,MIN(F158,Reprogramaciones!M$9),11)/NETWORKDAYS.INTL(E158,F158,11)*100,1))))</f>
        <v/>
      </c>
      <c r="K158" s="36" t="str">
        <f aca="false">IF(OR(NOT(AND(ISNUMBER(E158),ISNUMBER(F158))),$J$2=""),"",IF(Reprogramaciones!O$9&lt;E158,0,IF(NETWORKDAYS.INTL(E158,F158,11)=0,IF(Reprogramaciones!O$9&gt;=F158,100,0),ROUND(NETWORKDAYS.INTL(E158,MIN(F158,Reprogramaciones!O$9),11)/NETWORKDAYS.INTL(E158,F158,11)*100,1)))-IF(Reprogramaciones!N$9&lt;E158,0,IF(NETWORKDAYS.INTL(E158,F158,11)=0,IF(Reprogramaciones!N$9&gt;=F158,100,0),ROUND(NETWORKDAYS.INTL(E158,MIN(F158,Reprogramaciones!N$9),11)/NETWORKDAYS.INTL(E158,F158,11)*100,1))))</f>
        <v/>
      </c>
      <c r="L158" s="36" t="str">
        <f aca="false">IF(OR(NOT(AND(ISNUMBER(E158),ISNUMBER(F158))),$J$2=""),"",IF(Reprogramaciones!P$9&lt;E158,0,IF(NETWORKDAYS.INTL(E158,F158,11)=0,IF(Reprogramaciones!P$9&gt;=F158,100,0),ROUND(NETWORKDAYS.INTL(E158,MIN(F158,Reprogramaciones!P$9),11)/NETWORKDAYS.INTL(E158,F158,11)*100,1)))-IF(Reprogramaciones!O$9&lt;E158,0,IF(NETWORKDAYS.INTL(E158,F158,11)=0,IF(Reprogramaciones!O$9&gt;=F158,100,0),ROUND(NETWORKDAYS.INTL(E158,MIN(F158,Reprogramaciones!O$9),11)/NETWORKDAYS.INTL(E158,F158,11)*100,1))))</f>
        <v/>
      </c>
      <c r="M158" s="36" t="str">
        <f aca="false">IF(OR(NOT(AND(ISNUMBER(E158),ISNUMBER(F158))),$J$2=""),"",IF(Reprogramaciones!Q$9&lt;E158,0,IF(NETWORKDAYS.INTL(E158,F158,11)=0,IF(Reprogramaciones!Q$9&gt;=F158,100,0),ROUND(NETWORKDAYS.INTL(E158,MIN(F158,Reprogramaciones!Q$9),11)/NETWORKDAYS.INTL(E158,F158,11)*100,1)))-IF(Reprogramaciones!P$9&lt;E158,0,IF(NETWORKDAYS.INTL(E158,F158,11)=0,IF(Reprogramaciones!P$9&gt;=F158,100,0),ROUND(NETWORKDAYS.INTL(E158,MIN(F158,Reprogramaciones!P$9),11)/NETWORKDAYS.INTL(E158,F158,11)*100,1))))</f>
        <v/>
      </c>
      <c r="N158" s="36" t="str">
        <f aca="false">IF(OR(NOT(AND(ISNUMBER(E158),ISNUMBER(F158))),$J$2=""),"",IF(Reprogramaciones!R$9&lt;E158,0,IF(NETWORKDAYS.INTL(E158,F158,11)=0,IF(Reprogramaciones!R$9&gt;=F158,100,0),ROUND(NETWORKDAYS.INTL(E158,MIN(F158,Reprogramaciones!R$9),11)/NETWORKDAYS.INTL(E158,F158,11)*100,1)))-IF(Reprogramaciones!Q$9&lt;E158,0,IF(NETWORKDAYS.INTL(E158,F158,11)=0,IF(Reprogramaciones!Q$9&gt;=F158,100,0),ROUND(NETWORKDAYS.INTL(E158,MIN(F158,Reprogramaciones!Q$9),11)/NETWORKDAYS.INTL(E158,F158,11)*100,1))))</f>
        <v/>
      </c>
      <c r="O158" s="36" t="str">
        <f aca="false">IF(OR(NOT(AND(ISNUMBER(E158),ISNUMBER(F158))),$J$2=""),"",IF(Reprogramaciones!S$9&lt;E158,0,IF(NETWORKDAYS.INTL(E158,F158,11)=0,IF(Reprogramaciones!S$9&gt;=F158,100,0),ROUND(NETWORKDAYS.INTL(E158,MIN(F158,Reprogramaciones!S$9),11)/NETWORKDAYS.INTL(E158,F158,11)*100,1)))-IF(Reprogramaciones!R$9&lt;E158,0,IF(NETWORKDAYS.INTL(E158,F158,11)=0,IF(Reprogramaciones!R$9&gt;=F158,100,0),ROUND(NETWORKDAYS.INTL(E158,MIN(F158,Reprogramaciones!R$9),11)/NETWORKDAYS.INTL(E158,F158,11)*100,1))))</f>
        <v/>
      </c>
      <c r="P158" s="36" t="str">
        <f aca="false">IF(OR(NOT(AND(ISNUMBER(E158),ISNUMBER(F158))),$J$2=""),"",IF(Reprogramaciones!T$9&lt;E158,0,IF(NETWORKDAYS.INTL(E158,F158,11)=0,IF(Reprogramaciones!T$9&gt;=F158,100,0),ROUND(NETWORKDAYS.INTL(E158,MIN(F158,Reprogramaciones!T$9),11)/NETWORKDAYS.INTL(E158,F158,11)*100,1)))-IF(Reprogramaciones!S$9&lt;E158,0,IF(NETWORKDAYS.INTL(E158,F158,11)=0,IF(Reprogramaciones!S$9&gt;=F158,100,0),ROUND(NETWORKDAYS.INTL(E158,MIN(F158,Reprogramaciones!S$9),11)/NETWORKDAYS.INTL(E158,F158,11)*100,1))))</f>
        <v/>
      </c>
      <c r="Q158" s="37"/>
      <c r="R158" s="37"/>
      <c r="S158" s="37"/>
      <c r="T158" s="37"/>
      <c r="U158" s="37"/>
      <c r="V158" s="37"/>
      <c r="W158" s="37"/>
      <c r="X158" s="37"/>
      <c r="Y158" s="37"/>
      <c r="Z158" s="37"/>
      <c r="AA158" s="37"/>
      <c r="AB158" s="37"/>
      <c r="AC158" s="37"/>
      <c r="AD158" s="37"/>
      <c r="AE158" s="37"/>
      <c r="AF158" s="37"/>
      <c r="AG158" s="38" t="str">
        <f aca="false">IF(AND(ISNUMBER(E158),ISNUMBER(F158)),NETWORKDAYS.INTL(E158,F158,11),"")</f>
        <v/>
      </c>
      <c r="AH158" s="38" t="str">
        <f aca="false">IF(OR(NOT(AND(ISNUMBER(E158),ISNUMBER(F158))),$J$2=""),"",IF(Reprogramaciones!$P$15&lt;Reprogramaciones!$T$15,0,IF(Reprogramaciones!$R$15&gt;10,MIN(100,SUM($G158:$P158)),MIN(100,SUMPRODUCT((COLUMN($G158:$P158)-COLUMN($G158)+1&lt;Reprogramaciones!$R$15)*$G158:$P158)+N(INDEX($G158:$P158,1,Reprogramaciones!$R$15))*IF(Reprogramaciones!$P$15&gt;=(Reprogramaciones!$T$15+7*(Reprogramaciones!$R$15-1))+6,1,IF(MAX(0,NETWORKDAYS.INTL(MAX(E158,(Reprogramaciones!$T$15+7*(Reprogramaciones!$R$15-1))),MIN(F158,(Reprogramaciones!$T$15+7*(Reprogramaciones!$R$15-1))+6),11))=0,0,MAX(0,NETWORKDAYS.INTL(MAX(E158,(Reprogramaciones!$T$15+7*(Reprogramaciones!$R$15-1))),MIN(F158,Reprogramaciones!$P$15),11))/MAX(0,NETWORKDAYS.INTL(MAX(E158,(Reprogramaciones!$T$15+7*(Reprogramaciones!$R$15-1))),MIN(F158,(Reprogramaciones!$T$15+7*(Reprogramaciones!$R$15-1))+6),11))))))))</f>
        <v/>
      </c>
      <c r="AI158" s="38" t="str">
        <f aca="false">IF(COUNT($Q158:$AF158)=0,"",IF(ROUND(SUM($Q158:$AF158),1)&gt;=99.5,100,MIN(100,ROUND(SUM($Q158:$AF158),1))))</f>
        <v/>
      </c>
      <c r="AJ158" s="38" t="str">
        <f aca="false">IF(OR(AH158="",AI158=""),"",AI158-AH158)</f>
        <v/>
      </c>
      <c r="AK158" s="39" t="str">
        <f aca="true">IF(AH158="","",IF(OR(Ficha!$C$10="Suspendida",Ficha!$C$10="Cancelada"),Ficha!$C$10,IF(AND(AI158&lt;&gt;"",N(AI158)&gt;=100),"Completada",IF(AND(E158&gt;TODAY(),N(AI158)=0),"Por iniciar",IF(N(AI158)+0.5&lt;AH158,"Retrasada",IF(N(AI158)+0.5&lt;DA158,IF(Reprogramaciones!$K$15&gt;0,"Al día · Sem "&amp;Reprogramaciones!$K$15&amp;" en curso","Al día · en curso"),"A tiempo"))))))</f>
        <v/>
      </c>
      <c r="AL158" s="39" t="str">
        <f aca="true">IF(AND(A158="",AND(B158="",C158="",E158="",F158="",COUNT(Q158:AF158)=0)),"",IF(AND(B158="",C158="",E158="",F158="",COUNT(Q158:AF158)=0),"Falta la partida o subpartida",IF(AND(A158&lt;&gt;"",COUNTIF($A$6:$A$305,A158)&gt;1),"Ítem repetido",IF(AND(C158="",E158="",F158="",COUNT(Q158:AF158)=0),"Título de partida",IF(OR(E158="",F158=""),"Faltan fechas",IF(OR(ISTEXT(E158),ISTEXT(F158)),"Fecha escrita como texto: usa dd/mm/aaaa",IF(F158&lt;E158,"Fin antes del inicio",IF(IF($J$2="",FALSE(),OR(E158&lt;$J$2,F158&gt;Reprogramaciones!$T$15+69)),"Fuera de las 10 semanas",IF(ABS(SUM(G158:P158)-100)&gt;0.5,"La meta no suma 100%",IF(ROUND(SUM(Q158:AF158),1)&gt;100.5,"El avance pasa de 100%",IF(MIN(Q158:AF158)&lt;0,"Avance negativo",IF(COUNTA(Q158:AF158)&gt;COUNT(Q158:AF158),"Avance escrito como texto",IF(SUMPRODUCT((Q158:AF158&gt;0)*(Q158:AF158&lt;1))&gt;0,"Avance menor a 1: escribe 50, no 50%",IF(SUMPRODUCT(ISNUMBER(Q158:AF158)*(Reprogramaciones!$K$8:$Z$8&gt;TODAY()))&gt;0,"Avance en semana que aún no llega",IF(AND(N(Reprogramaciones!$E$21)&gt;0,F158&gt;Reprogramaciones!$E$21),"Pasa el fin de la obra: registra una reprogramación",IF(AND(N(Reprogramaciones!$E$21)&gt;0,SUMPRODUCT(ISNUMBER(Q158:AF158)*(Reprogramaciones!$K$8:$Z$8&gt;Reprogramaciones!$E$21))&gt;0),"Avance después del fin de la obra: registra una reprogramación por atraso","OK"))))))))))))))))</f>
        <v/>
      </c>
      <c r="AM158" s="40" t="str">
        <f aca="false">IF(OR(OR(NOT(AND(ISNUMBER(E158),ISNUMBER(F158))),$J$2=""),1&gt;MAX(1,Reprogramaciones!$U$15)),"",IF(Reprogramaciones!K$12&gt;=7,"",IF(OR(BT158-N(0)&gt;0.05,N(Q158)&gt;0),ROUNDDOWN(ROUND(BT158,6),0)&amp;"%"&amp;IF(CJ158="",""," / "&amp;CJ158&amp;"%"),IF(AND(N(0)&gt;=99.95,CJ158&lt;&gt;"",N(CJ158)&lt;100),"Pend. "&amp;CJ158&amp;"%",""))))</f>
        <v/>
      </c>
      <c r="AN158" s="40" t="str">
        <f aca="false">IF(OR(OR(NOT(AND(ISNUMBER(E158),ISNUMBER(F158))),$J$2=""),2&gt;MAX(1,Reprogramaciones!$U$15)),"",IF(Reprogramaciones!L$12&gt;=7,"",IF(OR(BU158-N(BT158)&gt;0.05,N(R158)&gt;0),ROUNDDOWN(ROUND(BU158,6),0)&amp;"%"&amp;IF(CK158="",""," / "&amp;CK158&amp;"%"),IF(AND(N(BT158)&gt;=99.95,CK158&lt;&gt;"",N(CK158)&lt;100),"Pend. "&amp;CK158&amp;"%",""))))</f>
        <v/>
      </c>
      <c r="AO158" s="40" t="str">
        <f aca="false">IF(OR(OR(NOT(AND(ISNUMBER(E158),ISNUMBER(F158))),$J$2=""),3&gt;MAX(1,Reprogramaciones!$U$15)),"",IF(Reprogramaciones!M$12&gt;=7,"",IF(OR(BV158-N(BU158)&gt;0.05,N(S158)&gt;0),ROUNDDOWN(ROUND(BV158,6),0)&amp;"%"&amp;IF(CL158="",""," / "&amp;CL158&amp;"%"),IF(AND(N(BU158)&gt;=99.95,CL158&lt;&gt;"",N(CL158)&lt;100),"Pend. "&amp;CL158&amp;"%",""))))</f>
        <v/>
      </c>
      <c r="AP158" s="40" t="str">
        <f aca="false">IF(OR(OR(NOT(AND(ISNUMBER(E158),ISNUMBER(F158))),$J$2=""),4&gt;MAX(1,Reprogramaciones!$U$15)),"",IF(Reprogramaciones!N$12&gt;=7,"",IF(OR(BW158-N(BV158)&gt;0.05,N(T158)&gt;0),ROUNDDOWN(ROUND(BW158,6),0)&amp;"%"&amp;IF(CM158="",""," / "&amp;CM158&amp;"%"),IF(AND(N(BV158)&gt;=99.95,CM158&lt;&gt;"",N(CM158)&lt;100),"Pend. "&amp;CM158&amp;"%",""))))</f>
        <v/>
      </c>
      <c r="AQ158" s="40" t="str">
        <f aca="false">IF(OR(OR(NOT(AND(ISNUMBER(E158),ISNUMBER(F158))),$J$2=""),5&gt;MAX(1,Reprogramaciones!$U$15)),"",IF(Reprogramaciones!O$12&gt;=7,"",IF(OR(BX158-N(BW158)&gt;0.05,N(U158)&gt;0),ROUNDDOWN(ROUND(BX158,6),0)&amp;"%"&amp;IF(CN158="",""," / "&amp;CN158&amp;"%"),IF(AND(N(BW158)&gt;=99.95,CN158&lt;&gt;"",N(CN158)&lt;100),"Pend. "&amp;CN158&amp;"%",""))))</f>
        <v/>
      </c>
      <c r="AR158" s="40" t="str">
        <f aca="false">IF(OR(OR(NOT(AND(ISNUMBER(E158),ISNUMBER(F158))),$J$2=""),6&gt;MAX(1,Reprogramaciones!$U$15)),"",IF(Reprogramaciones!P$12&gt;=7,"",IF(OR(BY158-N(BX158)&gt;0.05,N(V158)&gt;0),ROUNDDOWN(ROUND(BY158,6),0)&amp;"%"&amp;IF(CO158="",""," / "&amp;CO158&amp;"%"),IF(AND(N(BX158)&gt;=99.95,CO158&lt;&gt;"",N(CO158)&lt;100),"Pend. "&amp;CO158&amp;"%",""))))</f>
        <v/>
      </c>
      <c r="AS158" s="40" t="str">
        <f aca="false">IF(OR(OR(NOT(AND(ISNUMBER(E158),ISNUMBER(F158))),$J$2=""),7&gt;MAX(1,Reprogramaciones!$U$15)),"",IF(Reprogramaciones!Q$12&gt;=7,"",IF(OR(BZ158-N(BY158)&gt;0.05,N(W158)&gt;0),ROUNDDOWN(ROUND(BZ158,6),0)&amp;"%"&amp;IF(CP158="",""," / "&amp;CP158&amp;"%"),IF(AND(N(BY158)&gt;=99.95,CP158&lt;&gt;"",N(CP158)&lt;100),"Pend. "&amp;CP158&amp;"%",""))))</f>
        <v/>
      </c>
      <c r="AT158" s="40" t="str">
        <f aca="false">IF(OR(OR(NOT(AND(ISNUMBER(E158),ISNUMBER(F158))),$J$2=""),8&gt;MAX(1,Reprogramaciones!$U$15)),"",IF(Reprogramaciones!R$12&gt;=7,"",IF(OR(CA158-N(BZ158)&gt;0.05,N(X158)&gt;0),ROUNDDOWN(ROUND(CA158,6),0)&amp;"%"&amp;IF(CQ158="",""," / "&amp;CQ158&amp;"%"),IF(AND(N(BZ158)&gt;=99.95,CQ158&lt;&gt;"",N(CQ158)&lt;100),"Pend. "&amp;CQ158&amp;"%",""))))</f>
        <v/>
      </c>
      <c r="AU158" s="40" t="str">
        <f aca="false">IF(OR(OR(NOT(AND(ISNUMBER(E158),ISNUMBER(F158))),$J$2=""),9&gt;MAX(1,Reprogramaciones!$U$15)),"",IF(Reprogramaciones!S$12&gt;=7,"",IF(OR(CB158-N(CA158)&gt;0.05,N(Y158)&gt;0),ROUNDDOWN(ROUND(CB158,6),0)&amp;"%"&amp;IF(CR158="",""," / "&amp;CR158&amp;"%"),IF(AND(N(CA158)&gt;=99.95,CR158&lt;&gt;"",N(CR158)&lt;100),"Pend. "&amp;CR158&amp;"%",""))))</f>
        <v/>
      </c>
      <c r="AV158" s="40" t="str">
        <f aca="false">IF(OR(OR(NOT(AND(ISNUMBER(E158),ISNUMBER(F158))),$J$2=""),10&gt;MAX(1,Reprogramaciones!$U$15)),"",IF(Reprogramaciones!T$12&gt;=7,"",IF(OR(CC158-N(CB158)&gt;0.05,N(Z158)&gt;0),ROUNDDOWN(ROUND(CC158,6),0)&amp;"%"&amp;IF(CS158="",""," / "&amp;CS158&amp;"%"),IF(AND(N(CB158)&gt;=99.95,CS158&lt;&gt;"",N(CS158)&lt;100),"Pend. "&amp;CS158&amp;"%",""))))</f>
        <v/>
      </c>
      <c r="AW158" s="40" t="str">
        <f aca="false">IF(OR(OR(NOT(AND(ISNUMBER(E158),ISNUMBER(F158))),$J$2=""),11&gt;MAX(1,Reprogramaciones!$U$15)),"",IF(Reprogramaciones!U$12&gt;=7,"",IF(OR(CD158-N(CC158)&gt;0.05,N(AA158)&gt;0),ROUNDDOWN(ROUND(CD158,6),0)&amp;"%"&amp;IF(CT158="",""," / "&amp;CT158&amp;"%"),IF(AND(N(CC158)&gt;=99.95,CT158&lt;&gt;"",N(CT158)&lt;100),"Pend. "&amp;CT158&amp;"%",""))))</f>
        <v/>
      </c>
      <c r="AX158" s="40" t="str">
        <f aca="false">IF(OR(OR(NOT(AND(ISNUMBER(E158),ISNUMBER(F158))),$J$2=""),12&gt;MAX(1,Reprogramaciones!$U$15)),"",IF(Reprogramaciones!V$12&gt;=7,"",IF(OR(CE158-N(CD158)&gt;0.05,N(AB158)&gt;0),ROUNDDOWN(ROUND(CE158,6),0)&amp;"%"&amp;IF(CU158="",""," / "&amp;CU158&amp;"%"),IF(AND(N(CD158)&gt;=99.95,CU158&lt;&gt;"",N(CU158)&lt;100),"Pend. "&amp;CU158&amp;"%",""))))</f>
        <v/>
      </c>
      <c r="AY158" s="40" t="str">
        <f aca="false">IF(OR(OR(NOT(AND(ISNUMBER(E158),ISNUMBER(F158))),$J$2=""),13&gt;MAX(1,Reprogramaciones!$U$15)),"",IF(Reprogramaciones!W$12&gt;=7,"",IF(OR(CF158-N(CE158)&gt;0.05,N(AC158)&gt;0),ROUNDDOWN(ROUND(CF158,6),0)&amp;"%"&amp;IF(CV158="",""," / "&amp;CV158&amp;"%"),IF(AND(N(CE158)&gt;=99.95,CV158&lt;&gt;"",N(CV158)&lt;100),"Pend. "&amp;CV158&amp;"%",""))))</f>
        <v/>
      </c>
      <c r="AZ158" s="40" t="str">
        <f aca="false">IF(OR(OR(NOT(AND(ISNUMBER(E158),ISNUMBER(F158))),$J$2=""),14&gt;MAX(1,Reprogramaciones!$U$15)),"",IF(Reprogramaciones!X$12&gt;=7,"",IF(OR(CG158-N(CF158)&gt;0.05,N(AD158)&gt;0),ROUNDDOWN(ROUND(CG158,6),0)&amp;"%"&amp;IF(CW158="",""," / "&amp;CW158&amp;"%"),IF(AND(N(CF158)&gt;=99.95,CW158&lt;&gt;"",N(CW158)&lt;100),"Pend. "&amp;CW158&amp;"%",""))))</f>
        <v/>
      </c>
      <c r="BA158" s="40" t="str">
        <f aca="false">IF(OR(OR(NOT(AND(ISNUMBER(E158),ISNUMBER(F158))),$J$2=""),15&gt;MAX(1,Reprogramaciones!$U$15)),"",IF(Reprogramaciones!Y$12&gt;=7,"",IF(OR(CH158-N(CG158)&gt;0.05,N(AE158)&gt;0),ROUNDDOWN(ROUND(CH158,6),0)&amp;"%"&amp;IF(CX158="",""," / "&amp;CX158&amp;"%"),IF(AND(N(CG158)&gt;=99.95,CX158&lt;&gt;"",N(CX158)&lt;100),"Pend. "&amp;CX158&amp;"%",""))))</f>
        <v/>
      </c>
      <c r="BB158" s="40" t="str">
        <f aca="false">IF(OR(OR(NOT(AND(ISNUMBER(E158),ISNUMBER(F158))),$J$2=""),16&gt;MAX(1,Reprogramaciones!$U$15)),"",IF(Reprogramaciones!Z$12&gt;=7,"",IF(OR(CI158-N(CH158)&gt;0.05,N(AF158)&gt;0),ROUNDDOWN(ROUND(CI158,6),0)&amp;"%"&amp;IF(CY158="",""," / "&amp;CY158&amp;"%"),IF(AND(N(CH158)&gt;=99.95,CY158&lt;&gt;"",N(CY158)&lt;100),"Pend. "&amp;CY158&amp;"%",""))))</f>
        <v/>
      </c>
      <c r="BC158" s="31" t="n">
        <f aca="false">IF(AND(ISNUMBER(E158),ISNUMBER(F158)),MAX(1,NETWORKDAYS.INTL(E158,F158,11)),0)</f>
        <v>0</v>
      </c>
      <c r="BD158" s="1" t="str">
        <f aca="false">IF(OR(NOT(AND(ISNUMBER(E158),ISNUMBER(F158))),$J$2=""),"",MIN(100,ROUND(SUM($G158:G158),1)))</f>
        <v/>
      </c>
      <c r="BE158" s="1" t="str">
        <f aca="false">IF(OR(NOT(AND(ISNUMBER(E158),ISNUMBER(F158))),$J$2=""),"",MIN(100,ROUND(SUM($G158:H158),1)))</f>
        <v/>
      </c>
      <c r="BF158" s="1" t="str">
        <f aca="false">IF(OR(NOT(AND(ISNUMBER(E158),ISNUMBER(F158))),$J$2=""),"",MIN(100,ROUND(SUM($G158:I158),1)))</f>
        <v/>
      </c>
      <c r="BG158" s="1" t="str">
        <f aca="false">IF(OR(NOT(AND(ISNUMBER(E158),ISNUMBER(F158))),$J$2=""),"",MIN(100,ROUND(SUM($G158:J158),1)))</f>
        <v/>
      </c>
      <c r="BH158" s="1" t="str">
        <f aca="false">IF(OR(NOT(AND(ISNUMBER(E158),ISNUMBER(F158))),$J$2=""),"",MIN(100,ROUND(SUM($G158:K158),1)))</f>
        <v/>
      </c>
      <c r="BI158" s="1" t="str">
        <f aca="false">IF(OR(NOT(AND(ISNUMBER(E158),ISNUMBER(F158))),$J$2=""),"",MIN(100,ROUND(SUM($G158:L158),1)))</f>
        <v/>
      </c>
      <c r="BJ158" s="1" t="str">
        <f aca="false">IF(OR(NOT(AND(ISNUMBER(E158),ISNUMBER(F158))),$J$2=""),"",MIN(100,ROUND(SUM($G158:M158),1)))</f>
        <v/>
      </c>
      <c r="BK158" s="1" t="str">
        <f aca="false">IF(OR(NOT(AND(ISNUMBER(E158),ISNUMBER(F158))),$J$2=""),"",MIN(100,ROUND(SUM($G158:N158),1)))</f>
        <v/>
      </c>
      <c r="BL158" s="1" t="str">
        <f aca="false">IF(OR(NOT(AND(ISNUMBER(E158),ISNUMBER(F158))),$J$2=""),"",MIN(100,ROUND(SUM($G158:O158),1)))</f>
        <v/>
      </c>
      <c r="BM158" s="1" t="str">
        <f aca="false">IF(OR(NOT(AND(ISNUMBER(E158),ISNUMBER(F158))),$J$2=""),"",MIN(100,ROUND(SUM($G158:P158),1)))</f>
        <v/>
      </c>
      <c r="BN158" s="1" t="str">
        <f aca="false">IF(OR(NOT(AND(ISNUMBER(E158),ISNUMBER(F158))),$J$2=""),"",MIN(100,ROUND(SUM($G158:P158),1)))</f>
        <v/>
      </c>
      <c r="BO158" s="1" t="str">
        <f aca="false">IF(OR(NOT(AND(ISNUMBER(E158),ISNUMBER(F158))),$J$2=""),"",MIN(100,ROUND(SUM($G158:P158),1)))</f>
        <v/>
      </c>
      <c r="BP158" s="1" t="str">
        <f aca="false">IF(OR(NOT(AND(ISNUMBER(E158),ISNUMBER(F158))),$J$2=""),"",MIN(100,ROUND(SUM($G158:P158),1)))</f>
        <v/>
      </c>
      <c r="BQ158" s="1" t="str">
        <f aca="false">IF(OR(NOT(AND(ISNUMBER(E158),ISNUMBER(F158))),$J$2=""),"",MIN(100,ROUND(SUM($G158:P158),1)))</f>
        <v/>
      </c>
      <c r="BR158" s="1" t="str">
        <f aca="false">IF(OR(NOT(AND(ISNUMBER(E158),ISNUMBER(F158))),$J$2=""),"",MIN(100,ROUND(SUM($G158:P158),1)))</f>
        <v/>
      </c>
      <c r="BS158" s="1" t="str">
        <f aca="false">IF(OR(NOT(AND(ISNUMBER(E158),ISNUMBER(F158))),$J$2=""),"",MIN(100,ROUND(SUM($G158:P158),1)))</f>
        <v/>
      </c>
      <c r="BT158" s="1" t="str">
        <f aca="false">IF(OR(NOT(AND(ISNUMBER(E158),ISNUMBER(F158))),$J$2=""),"",IF(Reprogramaciones!K$13&lt;Reprogramaciones!$T$15,0,IF(Reprogramaciones!K$14&gt;10,MIN(100,SUM($G158:$P158)),MIN(100,SUMPRODUCT((COLUMN($G158:$P158)-COLUMN($G158)+1&lt;Reprogramaciones!K$14)*$G158:$P158)+N(INDEX($G158:$P158,1,Reprogramaciones!K$14))*IF(Reprogramaciones!K$13&gt;=(Reprogramaciones!$T$15+7*(Reprogramaciones!K$14-1))+6,1,IF(MAX(0,NETWORKDAYS.INTL(MAX(E158,(Reprogramaciones!$T$15+7*(Reprogramaciones!K$14-1))),MIN(F158,(Reprogramaciones!$T$15+7*(Reprogramaciones!K$14-1))+6),11))=0,0,MAX(0,NETWORKDAYS.INTL(MAX(E158,(Reprogramaciones!$T$15+7*(Reprogramaciones!K$14-1))),MIN(F158,Reprogramaciones!K$13),11))/MAX(0,NETWORKDAYS.INTL(MAX(E158,(Reprogramaciones!$T$15+7*(Reprogramaciones!K$14-1))),MIN(F158,(Reprogramaciones!$T$15+7*(Reprogramaciones!K$14-1))+6),11))))))))</f>
        <v/>
      </c>
      <c r="BU158" s="1" t="str">
        <f aca="false">IF(OR(NOT(AND(ISNUMBER(E158),ISNUMBER(F158))),$J$2=""),"",IF(Reprogramaciones!L$13&lt;Reprogramaciones!$T$15,0,IF(Reprogramaciones!L$14&gt;10,MIN(100,SUM($G158:$P158)),MIN(100,SUMPRODUCT((COLUMN($G158:$P158)-COLUMN($G158)+1&lt;Reprogramaciones!L$14)*$G158:$P158)+N(INDEX($G158:$P158,1,Reprogramaciones!L$14))*IF(Reprogramaciones!L$13&gt;=(Reprogramaciones!$T$15+7*(Reprogramaciones!L$14-1))+6,1,IF(MAX(0,NETWORKDAYS.INTL(MAX(E158,(Reprogramaciones!$T$15+7*(Reprogramaciones!L$14-1))),MIN(F158,(Reprogramaciones!$T$15+7*(Reprogramaciones!L$14-1))+6),11))=0,0,MAX(0,NETWORKDAYS.INTL(MAX(E158,(Reprogramaciones!$T$15+7*(Reprogramaciones!L$14-1))),MIN(F158,Reprogramaciones!L$13),11))/MAX(0,NETWORKDAYS.INTL(MAX(E158,(Reprogramaciones!$T$15+7*(Reprogramaciones!L$14-1))),MIN(F158,(Reprogramaciones!$T$15+7*(Reprogramaciones!L$14-1))+6),11))))))))</f>
        <v/>
      </c>
      <c r="BV158" s="1" t="str">
        <f aca="false">IF(OR(NOT(AND(ISNUMBER(E158),ISNUMBER(F158))),$J$2=""),"",IF(Reprogramaciones!M$13&lt;Reprogramaciones!$T$15,0,IF(Reprogramaciones!M$14&gt;10,MIN(100,SUM($G158:$P158)),MIN(100,SUMPRODUCT((COLUMN($G158:$P158)-COLUMN($G158)+1&lt;Reprogramaciones!M$14)*$G158:$P158)+N(INDEX($G158:$P158,1,Reprogramaciones!M$14))*IF(Reprogramaciones!M$13&gt;=(Reprogramaciones!$T$15+7*(Reprogramaciones!M$14-1))+6,1,IF(MAX(0,NETWORKDAYS.INTL(MAX(E158,(Reprogramaciones!$T$15+7*(Reprogramaciones!M$14-1))),MIN(F158,(Reprogramaciones!$T$15+7*(Reprogramaciones!M$14-1))+6),11))=0,0,MAX(0,NETWORKDAYS.INTL(MAX(E158,(Reprogramaciones!$T$15+7*(Reprogramaciones!M$14-1))),MIN(F158,Reprogramaciones!M$13),11))/MAX(0,NETWORKDAYS.INTL(MAX(E158,(Reprogramaciones!$T$15+7*(Reprogramaciones!M$14-1))),MIN(F158,(Reprogramaciones!$T$15+7*(Reprogramaciones!M$14-1))+6),11))))))))</f>
        <v/>
      </c>
      <c r="BW158" s="1" t="str">
        <f aca="false">IF(OR(NOT(AND(ISNUMBER(E158),ISNUMBER(F158))),$J$2=""),"",IF(Reprogramaciones!N$13&lt;Reprogramaciones!$T$15,0,IF(Reprogramaciones!N$14&gt;10,MIN(100,SUM($G158:$P158)),MIN(100,SUMPRODUCT((COLUMN($G158:$P158)-COLUMN($G158)+1&lt;Reprogramaciones!N$14)*$G158:$P158)+N(INDEX($G158:$P158,1,Reprogramaciones!N$14))*IF(Reprogramaciones!N$13&gt;=(Reprogramaciones!$T$15+7*(Reprogramaciones!N$14-1))+6,1,IF(MAX(0,NETWORKDAYS.INTL(MAX(E158,(Reprogramaciones!$T$15+7*(Reprogramaciones!N$14-1))),MIN(F158,(Reprogramaciones!$T$15+7*(Reprogramaciones!N$14-1))+6),11))=0,0,MAX(0,NETWORKDAYS.INTL(MAX(E158,(Reprogramaciones!$T$15+7*(Reprogramaciones!N$14-1))),MIN(F158,Reprogramaciones!N$13),11))/MAX(0,NETWORKDAYS.INTL(MAX(E158,(Reprogramaciones!$T$15+7*(Reprogramaciones!N$14-1))),MIN(F158,(Reprogramaciones!$T$15+7*(Reprogramaciones!N$14-1))+6),11))))))))</f>
        <v/>
      </c>
      <c r="BX158" s="1" t="str">
        <f aca="false">IF(OR(NOT(AND(ISNUMBER(E158),ISNUMBER(F158))),$J$2=""),"",IF(Reprogramaciones!O$13&lt;Reprogramaciones!$T$15,0,IF(Reprogramaciones!O$14&gt;10,MIN(100,SUM($G158:$P158)),MIN(100,SUMPRODUCT((COLUMN($G158:$P158)-COLUMN($G158)+1&lt;Reprogramaciones!O$14)*$G158:$P158)+N(INDEX($G158:$P158,1,Reprogramaciones!O$14))*IF(Reprogramaciones!O$13&gt;=(Reprogramaciones!$T$15+7*(Reprogramaciones!O$14-1))+6,1,IF(MAX(0,NETWORKDAYS.INTL(MAX(E158,(Reprogramaciones!$T$15+7*(Reprogramaciones!O$14-1))),MIN(F158,(Reprogramaciones!$T$15+7*(Reprogramaciones!O$14-1))+6),11))=0,0,MAX(0,NETWORKDAYS.INTL(MAX(E158,(Reprogramaciones!$T$15+7*(Reprogramaciones!O$14-1))),MIN(F158,Reprogramaciones!O$13),11))/MAX(0,NETWORKDAYS.INTL(MAX(E158,(Reprogramaciones!$T$15+7*(Reprogramaciones!O$14-1))),MIN(F158,(Reprogramaciones!$T$15+7*(Reprogramaciones!O$14-1))+6),11))))))))</f>
        <v/>
      </c>
      <c r="BY158" s="1" t="str">
        <f aca="false">IF(OR(NOT(AND(ISNUMBER(E158),ISNUMBER(F158))),$J$2=""),"",IF(Reprogramaciones!P$13&lt;Reprogramaciones!$T$15,0,IF(Reprogramaciones!P$14&gt;10,MIN(100,SUM($G158:$P158)),MIN(100,SUMPRODUCT((COLUMN($G158:$P158)-COLUMN($G158)+1&lt;Reprogramaciones!P$14)*$G158:$P158)+N(INDEX($G158:$P158,1,Reprogramaciones!P$14))*IF(Reprogramaciones!P$13&gt;=(Reprogramaciones!$T$15+7*(Reprogramaciones!P$14-1))+6,1,IF(MAX(0,NETWORKDAYS.INTL(MAX(E158,(Reprogramaciones!$T$15+7*(Reprogramaciones!P$14-1))),MIN(F158,(Reprogramaciones!$T$15+7*(Reprogramaciones!P$14-1))+6),11))=0,0,MAX(0,NETWORKDAYS.INTL(MAX(E158,(Reprogramaciones!$T$15+7*(Reprogramaciones!P$14-1))),MIN(F158,Reprogramaciones!P$13),11))/MAX(0,NETWORKDAYS.INTL(MAX(E158,(Reprogramaciones!$T$15+7*(Reprogramaciones!P$14-1))),MIN(F158,(Reprogramaciones!$T$15+7*(Reprogramaciones!P$14-1))+6),11))))))))</f>
        <v/>
      </c>
      <c r="BZ158" s="1" t="str">
        <f aca="false">IF(OR(NOT(AND(ISNUMBER(E158),ISNUMBER(F158))),$J$2=""),"",IF(Reprogramaciones!Q$13&lt;Reprogramaciones!$T$15,0,IF(Reprogramaciones!Q$14&gt;10,MIN(100,SUM($G158:$P158)),MIN(100,SUMPRODUCT((COLUMN($G158:$P158)-COLUMN($G158)+1&lt;Reprogramaciones!Q$14)*$G158:$P158)+N(INDEX($G158:$P158,1,Reprogramaciones!Q$14))*IF(Reprogramaciones!Q$13&gt;=(Reprogramaciones!$T$15+7*(Reprogramaciones!Q$14-1))+6,1,IF(MAX(0,NETWORKDAYS.INTL(MAX(E158,(Reprogramaciones!$T$15+7*(Reprogramaciones!Q$14-1))),MIN(F158,(Reprogramaciones!$T$15+7*(Reprogramaciones!Q$14-1))+6),11))=0,0,MAX(0,NETWORKDAYS.INTL(MAX(E158,(Reprogramaciones!$T$15+7*(Reprogramaciones!Q$14-1))),MIN(F158,Reprogramaciones!Q$13),11))/MAX(0,NETWORKDAYS.INTL(MAX(E158,(Reprogramaciones!$T$15+7*(Reprogramaciones!Q$14-1))),MIN(F158,(Reprogramaciones!$T$15+7*(Reprogramaciones!Q$14-1))+6),11))))))))</f>
        <v/>
      </c>
      <c r="CA158" s="1" t="str">
        <f aca="false">IF(OR(NOT(AND(ISNUMBER(E158),ISNUMBER(F158))),$J$2=""),"",IF(Reprogramaciones!R$13&lt;Reprogramaciones!$T$15,0,IF(Reprogramaciones!R$14&gt;10,MIN(100,SUM($G158:$P158)),MIN(100,SUMPRODUCT((COLUMN($G158:$P158)-COLUMN($G158)+1&lt;Reprogramaciones!R$14)*$G158:$P158)+N(INDEX($G158:$P158,1,Reprogramaciones!R$14))*IF(Reprogramaciones!R$13&gt;=(Reprogramaciones!$T$15+7*(Reprogramaciones!R$14-1))+6,1,IF(MAX(0,NETWORKDAYS.INTL(MAX(E158,(Reprogramaciones!$T$15+7*(Reprogramaciones!R$14-1))),MIN(F158,(Reprogramaciones!$T$15+7*(Reprogramaciones!R$14-1))+6),11))=0,0,MAX(0,NETWORKDAYS.INTL(MAX(E158,(Reprogramaciones!$T$15+7*(Reprogramaciones!R$14-1))),MIN(F158,Reprogramaciones!R$13),11))/MAX(0,NETWORKDAYS.INTL(MAX(E158,(Reprogramaciones!$T$15+7*(Reprogramaciones!R$14-1))),MIN(F158,(Reprogramaciones!$T$15+7*(Reprogramaciones!R$14-1))+6),11))))))))</f>
        <v/>
      </c>
      <c r="CB158" s="1" t="str">
        <f aca="false">IF(OR(NOT(AND(ISNUMBER(E158),ISNUMBER(F158))),$J$2=""),"",IF(Reprogramaciones!S$13&lt;Reprogramaciones!$T$15,0,IF(Reprogramaciones!S$14&gt;10,MIN(100,SUM($G158:$P158)),MIN(100,SUMPRODUCT((COLUMN($G158:$P158)-COLUMN($G158)+1&lt;Reprogramaciones!S$14)*$G158:$P158)+N(INDEX($G158:$P158,1,Reprogramaciones!S$14))*IF(Reprogramaciones!S$13&gt;=(Reprogramaciones!$T$15+7*(Reprogramaciones!S$14-1))+6,1,IF(MAX(0,NETWORKDAYS.INTL(MAX(E158,(Reprogramaciones!$T$15+7*(Reprogramaciones!S$14-1))),MIN(F158,(Reprogramaciones!$T$15+7*(Reprogramaciones!S$14-1))+6),11))=0,0,MAX(0,NETWORKDAYS.INTL(MAX(E158,(Reprogramaciones!$T$15+7*(Reprogramaciones!S$14-1))),MIN(F158,Reprogramaciones!S$13),11))/MAX(0,NETWORKDAYS.INTL(MAX(E158,(Reprogramaciones!$T$15+7*(Reprogramaciones!S$14-1))),MIN(F158,(Reprogramaciones!$T$15+7*(Reprogramaciones!S$14-1))+6),11))))))))</f>
        <v/>
      </c>
      <c r="CC158" s="1" t="str">
        <f aca="false">IF(OR(NOT(AND(ISNUMBER(E158),ISNUMBER(F158))),$J$2=""),"",IF(Reprogramaciones!T$13&lt;Reprogramaciones!$T$15,0,IF(Reprogramaciones!T$14&gt;10,MIN(100,SUM($G158:$P158)),MIN(100,SUMPRODUCT((COLUMN($G158:$P158)-COLUMN($G158)+1&lt;Reprogramaciones!T$14)*$G158:$P158)+N(INDEX($G158:$P158,1,Reprogramaciones!T$14))*IF(Reprogramaciones!T$13&gt;=(Reprogramaciones!$T$15+7*(Reprogramaciones!T$14-1))+6,1,IF(MAX(0,NETWORKDAYS.INTL(MAX(E158,(Reprogramaciones!$T$15+7*(Reprogramaciones!T$14-1))),MIN(F158,(Reprogramaciones!$T$15+7*(Reprogramaciones!T$14-1))+6),11))=0,0,MAX(0,NETWORKDAYS.INTL(MAX(E158,(Reprogramaciones!$T$15+7*(Reprogramaciones!T$14-1))),MIN(F158,Reprogramaciones!T$13),11))/MAX(0,NETWORKDAYS.INTL(MAX(E158,(Reprogramaciones!$T$15+7*(Reprogramaciones!T$14-1))),MIN(F158,(Reprogramaciones!$T$15+7*(Reprogramaciones!T$14-1))+6),11))))))))</f>
        <v/>
      </c>
      <c r="CD158" s="1" t="str">
        <f aca="false">IF(OR(NOT(AND(ISNUMBER(E158),ISNUMBER(F158))),$J$2=""),"",IF(Reprogramaciones!U$13&lt;Reprogramaciones!$T$15,0,IF(Reprogramaciones!U$14&gt;10,MIN(100,SUM($G158:$P158)),MIN(100,SUMPRODUCT((COLUMN($G158:$P158)-COLUMN($G158)+1&lt;Reprogramaciones!U$14)*$G158:$P158)+N(INDEX($G158:$P158,1,Reprogramaciones!U$14))*IF(Reprogramaciones!U$13&gt;=(Reprogramaciones!$T$15+7*(Reprogramaciones!U$14-1))+6,1,IF(MAX(0,NETWORKDAYS.INTL(MAX(E158,(Reprogramaciones!$T$15+7*(Reprogramaciones!U$14-1))),MIN(F158,(Reprogramaciones!$T$15+7*(Reprogramaciones!U$14-1))+6),11))=0,0,MAX(0,NETWORKDAYS.INTL(MAX(E158,(Reprogramaciones!$T$15+7*(Reprogramaciones!U$14-1))),MIN(F158,Reprogramaciones!U$13),11))/MAX(0,NETWORKDAYS.INTL(MAX(E158,(Reprogramaciones!$T$15+7*(Reprogramaciones!U$14-1))),MIN(F158,(Reprogramaciones!$T$15+7*(Reprogramaciones!U$14-1))+6),11))))))))</f>
        <v/>
      </c>
      <c r="CE158" s="1" t="str">
        <f aca="false">IF(OR(NOT(AND(ISNUMBER(E158),ISNUMBER(F158))),$J$2=""),"",IF(Reprogramaciones!V$13&lt;Reprogramaciones!$T$15,0,IF(Reprogramaciones!V$14&gt;10,MIN(100,SUM($G158:$P158)),MIN(100,SUMPRODUCT((COLUMN($G158:$P158)-COLUMN($G158)+1&lt;Reprogramaciones!V$14)*$G158:$P158)+N(INDEX($G158:$P158,1,Reprogramaciones!V$14))*IF(Reprogramaciones!V$13&gt;=(Reprogramaciones!$T$15+7*(Reprogramaciones!V$14-1))+6,1,IF(MAX(0,NETWORKDAYS.INTL(MAX(E158,(Reprogramaciones!$T$15+7*(Reprogramaciones!V$14-1))),MIN(F158,(Reprogramaciones!$T$15+7*(Reprogramaciones!V$14-1))+6),11))=0,0,MAX(0,NETWORKDAYS.INTL(MAX(E158,(Reprogramaciones!$T$15+7*(Reprogramaciones!V$14-1))),MIN(F158,Reprogramaciones!V$13),11))/MAX(0,NETWORKDAYS.INTL(MAX(E158,(Reprogramaciones!$T$15+7*(Reprogramaciones!V$14-1))),MIN(F158,(Reprogramaciones!$T$15+7*(Reprogramaciones!V$14-1))+6),11))))))))</f>
        <v/>
      </c>
      <c r="CF158" s="1" t="str">
        <f aca="false">IF(OR(NOT(AND(ISNUMBER(E158),ISNUMBER(F158))),$J$2=""),"",IF(Reprogramaciones!W$13&lt;Reprogramaciones!$T$15,0,IF(Reprogramaciones!W$14&gt;10,MIN(100,SUM($G158:$P158)),MIN(100,SUMPRODUCT((COLUMN($G158:$P158)-COLUMN($G158)+1&lt;Reprogramaciones!W$14)*$G158:$P158)+N(INDEX($G158:$P158,1,Reprogramaciones!W$14))*IF(Reprogramaciones!W$13&gt;=(Reprogramaciones!$T$15+7*(Reprogramaciones!W$14-1))+6,1,IF(MAX(0,NETWORKDAYS.INTL(MAX(E158,(Reprogramaciones!$T$15+7*(Reprogramaciones!W$14-1))),MIN(F158,(Reprogramaciones!$T$15+7*(Reprogramaciones!W$14-1))+6),11))=0,0,MAX(0,NETWORKDAYS.INTL(MAX(E158,(Reprogramaciones!$T$15+7*(Reprogramaciones!W$14-1))),MIN(F158,Reprogramaciones!W$13),11))/MAX(0,NETWORKDAYS.INTL(MAX(E158,(Reprogramaciones!$T$15+7*(Reprogramaciones!W$14-1))),MIN(F158,(Reprogramaciones!$T$15+7*(Reprogramaciones!W$14-1))+6),11))))))))</f>
        <v/>
      </c>
      <c r="CG158" s="1" t="str">
        <f aca="false">IF(OR(NOT(AND(ISNUMBER(E158),ISNUMBER(F158))),$J$2=""),"",IF(Reprogramaciones!X$13&lt;Reprogramaciones!$T$15,0,IF(Reprogramaciones!X$14&gt;10,MIN(100,SUM($G158:$P158)),MIN(100,SUMPRODUCT((COLUMN($G158:$P158)-COLUMN($G158)+1&lt;Reprogramaciones!X$14)*$G158:$P158)+N(INDEX($G158:$P158,1,Reprogramaciones!X$14))*IF(Reprogramaciones!X$13&gt;=(Reprogramaciones!$T$15+7*(Reprogramaciones!X$14-1))+6,1,IF(MAX(0,NETWORKDAYS.INTL(MAX(E158,(Reprogramaciones!$T$15+7*(Reprogramaciones!X$14-1))),MIN(F158,(Reprogramaciones!$T$15+7*(Reprogramaciones!X$14-1))+6),11))=0,0,MAX(0,NETWORKDAYS.INTL(MAX(E158,(Reprogramaciones!$T$15+7*(Reprogramaciones!X$14-1))),MIN(F158,Reprogramaciones!X$13),11))/MAX(0,NETWORKDAYS.INTL(MAX(E158,(Reprogramaciones!$T$15+7*(Reprogramaciones!X$14-1))),MIN(F158,(Reprogramaciones!$T$15+7*(Reprogramaciones!X$14-1))+6),11))))))))</f>
        <v/>
      </c>
      <c r="CH158" s="1" t="str">
        <f aca="false">IF(OR(NOT(AND(ISNUMBER(E158),ISNUMBER(F158))),$J$2=""),"",IF(Reprogramaciones!Y$13&lt;Reprogramaciones!$T$15,0,IF(Reprogramaciones!Y$14&gt;10,MIN(100,SUM($G158:$P158)),MIN(100,SUMPRODUCT((COLUMN($G158:$P158)-COLUMN($G158)+1&lt;Reprogramaciones!Y$14)*$G158:$P158)+N(INDEX($G158:$P158,1,Reprogramaciones!Y$14))*IF(Reprogramaciones!Y$13&gt;=(Reprogramaciones!$T$15+7*(Reprogramaciones!Y$14-1))+6,1,IF(MAX(0,NETWORKDAYS.INTL(MAX(E158,(Reprogramaciones!$T$15+7*(Reprogramaciones!Y$14-1))),MIN(F158,(Reprogramaciones!$T$15+7*(Reprogramaciones!Y$14-1))+6),11))=0,0,MAX(0,NETWORKDAYS.INTL(MAX(E158,(Reprogramaciones!$T$15+7*(Reprogramaciones!Y$14-1))),MIN(F158,Reprogramaciones!Y$13),11))/MAX(0,NETWORKDAYS.INTL(MAX(E158,(Reprogramaciones!$T$15+7*(Reprogramaciones!Y$14-1))),MIN(F158,(Reprogramaciones!$T$15+7*(Reprogramaciones!Y$14-1))+6),11))))))))</f>
        <v/>
      </c>
      <c r="CI158" s="1" t="str">
        <f aca="false">IF(OR(NOT(AND(ISNUMBER(E158),ISNUMBER(F158))),$J$2=""),"",IF(Reprogramaciones!Z$13&lt;Reprogramaciones!$T$15,0,IF(Reprogramaciones!Z$14&gt;10,MIN(100,SUM($G158:$P158)),MIN(100,SUMPRODUCT((COLUMN($G158:$P158)-COLUMN($G158)+1&lt;Reprogramaciones!Z$14)*$G158:$P158)+N(INDEX($G158:$P158,1,Reprogramaciones!Z$14))*IF(Reprogramaciones!Z$13&gt;=(Reprogramaciones!$T$15+7*(Reprogramaciones!Z$14-1))+6,1,IF(MAX(0,NETWORKDAYS.INTL(MAX(E158,(Reprogramaciones!$T$15+7*(Reprogramaciones!Z$14-1))),MIN(F158,(Reprogramaciones!$T$15+7*(Reprogramaciones!Z$14-1))+6),11))=0,0,MAX(0,NETWORKDAYS.INTL(MAX(E158,(Reprogramaciones!$T$15+7*(Reprogramaciones!Z$14-1))),MIN(F158,Reprogramaciones!Z$13),11))/MAX(0,NETWORKDAYS.INTL(MAX(E158,(Reprogramaciones!$T$15+7*(Reprogramaciones!Z$14-1))),MIN(F158,(Reprogramaciones!$T$15+7*(Reprogramaciones!Z$14-1))+6),11))))))))</f>
        <v/>
      </c>
      <c r="CJ158" s="1" t="str">
        <f aca="false">IF(OR(OR(NOT(AND(ISNUMBER(E158),ISNUMBER(F158))),$J$2=""),1&gt;Reprogramaciones!$K$16),"",IF(ROUND(SUM($Q158:Q158),1)&gt;=99.5,100,MIN(100,ROUND(SUM($Q158:Q158),1))))</f>
        <v/>
      </c>
      <c r="CK158" s="1" t="str">
        <f aca="false">IF(OR(OR(NOT(AND(ISNUMBER(E158),ISNUMBER(F158))),$J$2=""),2&gt;Reprogramaciones!$K$16),"",IF(ROUND(SUM($Q158:R158),1)&gt;=99.5,100,MIN(100,ROUND(SUM($Q158:R158),1))))</f>
        <v/>
      </c>
      <c r="CL158" s="1" t="str">
        <f aca="false">IF(OR(OR(NOT(AND(ISNUMBER(E158),ISNUMBER(F158))),$J$2=""),3&gt;Reprogramaciones!$K$16),"",IF(ROUND(SUM($Q158:S158),1)&gt;=99.5,100,MIN(100,ROUND(SUM($Q158:S158),1))))</f>
        <v/>
      </c>
      <c r="CM158" s="1" t="str">
        <f aca="false">IF(OR(OR(NOT(AND(ISNUMBER(E158),ISNUMBER(F158))),$J$2=""),4&gt;Reprogramaciones!$K$16),"",IF(ROUND(SUM($Q158:T158),1)&gt;=99.5,100,MIN(100,ROUND(SUM($Q158:T158),1))))</f>
        <v/>
      </c>
      <c r="CN158" s="1" t="str">
        <f aca="false">IF(OR(OR(NOT(AND(ISNUMBER(E158),ISNUMBER(F158))),$J$2=""),5&gt;Reprogramaciones!$K$16),"",IF(ROUND(SUM($Q158:U158),1)&gt;=99.5,100,MIN(100,ROUND(SUM($Q158:U158),1))))</f>
        <v/>
      </c>
      <c r="CO158" s="1" t="str">
        <f aca="false">IF(OR(OR(NOT(AND(ISNUMBER(E158),ISNUMBER(F158))),$J$2=""),6&gt;Reprogramaciones!$K$16),"",IF(ROUND(SUM($Q158:V158),1)&gt;=99.5,100,MIN(100,ROUND(SUM($Q158:V158),1))))</f>
        <v/>
      </c>
      <c r="CP158" s="1" t="str">
        <f aca="false">IF(OR(OR(NOT(AND(ISNUMBER(E158),ISNUMBER(F158))),$J$2=""),7&gt;Reprogramaciones!$K$16),"",IF(ROUND(SUM($Q158:W158),1)&gt;=99.5,100,MIN(100,ROUND(SUM($Q158:W158),1))))</f>
        <v/>
      </c>
      <c r="CQ158" s="1" t="str">
        <f aca="false">IF(OR(OR(NOT(AND(ISNUMBER(E158),ISNUMBER(F158))),$J$2=""),8&gt;Reprogramaciones!$K$16),"",IF(ROUND(SUM($Q158:X158),1)&gt;=99.5,100,MIN(100,ROUND(SUM($Q158:X158),1))))</f>
        <v/>
      </c>
      <c r="CR158" s="1" t="str">
        <f aca="false">IF(OR(OR(NOT(AND(ISNUMBER(E158),ISNUMBER(F158))),$J$2=""),9&gt;Reprogramaciones!$K$16),"",IF(ROUND(SUM($Q158:Y158),1)&gt;=99.5,100,MIN(100,ROUND(SUM($Q158:Y158),1))))</f>
        <v/>
      </c>
      <c r="CS158" s="1" t="str">
        <f aca="false">IF(OR(OR(NOT(AND(ISNUMBER(E158),ISNUMBER(F158))),$J$2=""),10&gt;Reprogramaciones!$K$16),"",IF(ROUND(SUM($Q158:Z158),1)&gt;=99.5,100,MIN(100,ROUND(SUM($Q158:Z158),1))))</f>
        <v/>
      </c>
      <c r="CT158" s="1" t="str">
        <f aca="false">IF(OR(OR(NOT(AND(ISNUMBER(E158),ISNUMBER(F158))),$J$2=""),11&gt;Reprogramaciones!$K$16),"",IF(ROUND(SUM($Q158:AA158),1)&gt;=99.5,100,MIN(100,ROUND(SUM($Q158:AA158),1))))</f>
        <v/>
      </c>
      <c r="CU158" s="1" t="str">
        <f aca="false">IF(OR(OR(NOT(AND(ISNUMBER(E158),ISNUMBER(F158))),$J$2=""),12&gt;Reprogramaciones!$K$16),"",IF(ROUND(SUM($Q158:AB158),1)&gt;=99.5,100,MIN(100,ROUND(SUM($Q158:AB158),1))))</f>
        <v/>
      </c>
      <c r="CV158" s="1" t="str">
        <f aca="false">IF(OR(OR(NOT(AND(ISNUMBER(E158),ISNUMBER(F158))),$J$2=""),13&gt;Reprogramaciones!$K$16),"",IF(ROUND(SUM($Q158:AC158),1)&gt;=99.5,100,MIN(100,ROUND(SUM($Q158:AC158),1))))</f>
        <v/>
      </c>
      <c r="CW158" s="1" t="str">
        <f aca="false">IF(OR(OR(NOT(AND(ISNUMBER(E158),ISNUMBER(F158))),$J$2=""),14&gt;Reprogramaciones!$K$16),"",IF(ROUND(SUM($Q158:AD158),1)&gt;=99.5,100,MIN(100,ROUND(SUM($Q158:AD158),1))))</f>
        <v/>
      </c>
      <c r="CX158" s="1" t="str">
        <f aca="false">IF(OR(OR(NOT(AND(ISNUMBER(E158),ISNUMBER(F158))),$J$2=""),15&gt;Reprogramaciones!$K$16),"",IF(ROUND(SUM($Q158:AE158),1)&gt;=99.5,100,MIN(100,ROUND(SUM($Q158:AE158),1))))</f>
        <v/>
      </c>
      <c r="CY158" s="1" t="str">
        <f aca="false">IF(OR(OR(NOT(AND(ISNUMBER(E158),ISNUMBER(F158))),$J$2=""),16&gt;Reprogramaciones!$K$16),"",IF(ROUND(SUM($Q158:AF158),1)&gt;=99.5,100,MIN(100,ROUND(SUM($Q158:AF158),1))))</f>
        <v/>
      </c>
      <c r="CZ158" s="1" t="str">
        <f aca="false">IF(D158&lt;&gt;"",D158,IF(B158&lt;&gt;"","Contractual",CZ157))</f>
        <v>Contractual</v>
      </c>
      <c r="DA158" s="1" t="str">
        <f aca="false">IF(OR(NOT(AND(ISNUMBER(E158),ISNUMBER(F158))),$J$2=""),"",IF(Reprogramaciones!$Q$15&lt;Reprogramaciones!$T$15,0,IF(Reprogramaciones!$S$15&gt;10,MIN(100,SUM($G158:$P158)),MIN(100,SUMPRODUCT((COLUMN($G158:$P158)-COLUMN($G158)+1&lt;Reprogramaciones!$S$15)*$G158:$P158)+N(INDEX($G158:$P158,1,Reprogramaciones!$S$15))*IF(Reprogramaciones!$Q$15&gt;=(Reprogramaciones!$T$15+7*(Reprogramaciones!$S$15-1))+6,1,IF(MAX(0,NETWORKDAYS.INTL(MAX(E158,(Reprogramaciones!$T$15+7*(Reprogramaciones!$S$15-1))),MIN(F158,(Reprogramaciones!$T$15+7*(Reprogramaciones!$S$15-1))+6),11))=0,0,MAX(0,NETWORKDAYS.INTL(MAX(E158,(Reprogramaciones!$T$15+7*(Reprogramaciones!$S$15-1))),MIN(F158,Reprogramaciones!$Q$15),11))/MAX(0,NETWORKDAYS.INTL(MAX(E158,(Reprogramaciones!$T$15+7*(Reprogramaciones!$S$15-1))),MIN(F158,(Reprogramaciones!$T$15+7*(Reprogramaciones!$S$15-1))+6),11))))))))</f>
        <v/>
      </c>
    </row>
    <row r="159" customFormat="false" ht="15" hidden="false" customHeight="false" outlineLevel="0" collapsed="false">
      <c r="A159" s="32"/>
      <c r="B159" s="33"/>
      <c r="C159" s="33"/>
      <c r="D159" s="34"/>
      <c r="E159" s="35"/>
      <c r="F159" s="35"/>
      <c r="G159" s="36" t="str">
        <f aca="false">IF(OR(NOT(AND(ISNUMBER(E159),ISNUMBER(F159))),$J$2=""),"",IF(Reprogramaciones!K$9&lt;E159,0,IF(NETWORKDAYS.INTL(E159,F159,11)=0,IF(Reprogramaciones!K$9&gt;=F159,100,0),ROUND(NETWORKDAYS.INTL(E159,MIN(F159,Reprogramaciones!K$9),11)/NETWORKDAYS.INTL(E159,F159,11)*100,1)))-0)</f>
        <v/>
      </c>
      <c r="H159" s="36" t="str">
        <f aca="false">IF(OR(NOT(AND(ISNUMBER(E159),ISNUMBER(F159))),$J$2=""),"",IF(Reprogramaciones!L$9&lt;E159,0,IF(NETWORKDAYS.INTL(E159,F159,11)=0,IF(Reprogramaciones!L$9&gt;=F159,100,0),ROUND(NETWORKDAYS.INTL(E159,MIN(F159,Reprogramaciones!L$9),11)/NETWORKDAYS.INTL(E159,F159,11)*100,1)))-IF(Reprogramaciones!K$9&lt;E159,0,IF(NETWORKDAYS.INTL(E159,F159,11)=0,IF(Reprogramaciones!K$9&gt;=F159,100,0),ROUND(NETWORKDAYS.INTL(E159,MIN(F159,Reprogramaciones!K$9),11)/NETWORKDAYS.INTL(E159,F159,11)*100,1))))</f>
        <v/>
      </c>
      <c r="I159" s="36" t="str">
        <f aca="false">IF(OR(NOT(AND(ISNUMBER(E159),ISNUMBER(F159))),$J$2=""),"",IF(Reprogramaciones!M$9&lt;E159,0,IF(NETWORKDAYS.INTL(E159,F159,11)=0,IF(Reprogramaciones!M$9&gt;=F159,100,0),ROUND(NETWORKDAYS.INTL(E159,MIN(F159,Reprogramaciones!M$9),11)/NETWORKDAYS.INTL(E159,F159,11)*100,1)))-IF(Reprogramaciones!L$9&lt;E159,0,IF(NETWORKDAYS.INTL(E159,F159,11)=0,IF(Reprogramaciones!L$9&gt;=F159,100,0),ROUND(NETWORKDAYS.INTL(E159,MIN(F159,Reprogramaciones!L$9),11)/NETWORKDAYS.INTL(E159,F159,11)*100,1))))</f>
        <v/>
      </c>
      <c r="J159" s="36" t="str">
        <f aca="false">IF(OR(NOT(AND(ISNUMBER(E159),ISNUMBER(F159))),$J$2=""),"",IF(Reprogramaciones!N$9&lt;E159,0,IF(NETWORKDAYS.INTL(E159,F159,11)=0,IF(Reprogramaciones!N$9&gt;=F159,100,0),ROUND(NETWORKDAYS.INTL(E159,MIN(F159,Reprogramaciones!N$9),11)/NETWORKDAYS.INTL(E159,F159,11)*100,1)))-IF(Reprogramaciones!M$9&lt;E159,0,IF(NETWORKDAYS.INTL(E159,F159,11)=0,IF(Reprogramaciones!M$9&gt;=F159,100,0),ROUND(NETWORKDAYS.INTL(E159,MIN(F159,Reprogramaciones!M$9),11)/NETWORKDAYS.INTL(E159,F159,11)*100,1))))</f>
        <v/>
      </c>
      <c r="K159" s="36" t="str">
        <f aca="false">IF(OR(NOT(AND(ISNUMBER(E159),ISNUMBER(F159))),$J$2=""),"",IF(Reprogramaciones!O$9&lt;E159,0,IF(NETWORKDAYS.INTL(E159,F159,11)=0,IF(Reprogramaciones!O$9&gt;=F159,100,0),ROUND(NETWORKDAYS.INTL(E159,MIN(F159,Reprogramaciones!O$9),11)/NETWORKDAYS.INTL(E159,F159,11)*100,1)))-IF(Reprogramaciones!N$9&lt;E159,0,IF(NETWORKDAYS.INTL(E159,F159,11)=0,IF(Reprogramaciones!N$9&gt;=F159,100,0),ROUND(NETWORKDAYS.INTL(E159,MIN(F159,Reprogramaciones!N$9),11)/NETWORKDAYS.INTL(E159,F159,11)*100,1))))</f>
        <v/>
      </c>
      <c r="L159" s="36" t="str">
        <f aca="false">IF(OR(NOT(AND(ISNUMBER(E159),ISNUMBER(F159))),$J$2=""),"",IF(Reprogramaciones!P$9&lt;E159,0,IF(NETWORKDAYS.INTL(E159,F159,11)=0,IF(Reprogramaciones!P$9&gt;=F159,100,0),ROUND(NETWORKDAYS.INTL(E159,MIN(F159,Reprogramaciones!P$9),11)/NETWORKDAYS.INTL(E159,F159,11)*100,1)))-IF(Reprogramaciones!O$9&lt;E159,0,IF(NETWORKDAYS.INTL(E159,F159,11)=0,IF(Reprogramaciones!O$9&gt;=F159,100,0),ROUND(NETWORKDAYS.INTL(E159,MIN(F159,Reprogramaciones!O$9),11)/NETWORKDAYS.INTL(E159,F159,11)*100,1))))</f>
        <v/>
      </c>
      <c r="M159" s="36" t="str">
        <f aca="false">IF(OR(NOT(AND(ISNUMBER(E159),ISNUMBER(F159))),$J$2=""),"",IF(Reprogramaciones!Q$9&lt;E159,0,IF(NETWORKDAYS.INTL(E159,F159,11)=0,IF(Reprogramaciones!Q$9&gt;=F159,100,0),ROUND(NETWORKDAYS.INTL(E159,MIN(F159,Reprogramaciones!Q$9),11)/NETWORKDAYS.INTL(E159,F159,11)*100,1)))-IF(Reprogramaciones!P$9&lt;E159,0,IF(NETWORKDAYS.INTL(E159,F159,11)=0,IF(Reprogramaciones!P$9&gt;=F159,100,0),ROUND(NETWORKDAYS.INTL(E159,MIN(F159,Reprogramaciones!P$9),11)/NETWORKDAYS.INTL(E159,F159,11)*100,1))))</f>
        <v/>
      </c>
      <c r="N159" s="36" t="str">
        <f aca="false">IF(OR(NOT(AND(ISNUMBER(E159),ISNUMBER(F159))),$J$2=""),"",IF(Reprogramaciones!R$9&lt;E159,0,IF(NETWORKDAYS.INTL(E159,F159,11)=0,IF(Reprogramaciones!R$9&gt;=F159,100,0),ROUND(NETWORKDAYS.INTL(E159,MIN(F159,Reprogramaciones!R$9),11)/NETWORKDAYS.INTL(E159,F159,11)*100,1)))-IF(Reprogramaciones!Q$9&lt;E159,0,IF(NETWORKDAYS.INTL(E159,F159,11)=0,IF(Reprogramaciones!Q$9&gt;=F159,100,0),ROUND(NETWORKDAYS.INTL(E159,MIN(F159,Reprogramaciones!Q$9),11)/NETWORKDAYS.INTL(E159,F159,11)*100,1))))</f>
        <v/>
      </c>
      <c r="O159" s="36" t="str">
        <f aca="false">IF(OR(NOT(AND(ISNUMBER(E159),ISNUMBER(F159))),$J$2=""),"",IF(Reprogramaciones!S$9&lt;E159,0,IF(NETWORKDAYS.INTL(E159,F159,11)=0,IF(Reprogramaciones!S$9&gt;=F159,100,0),ROUND(NETWORKDAYS.INTL(E159,MIN(F159,Reprogramaciones!S$9),11)/NETWORKDAYS.INTL(E159,F159,11)*100,1)))-IF(Reprogramaciones!R$9&lt;E159,0,IF(NETWORKDAYS.INTL(E159,F159,11)=0,IF(Reprogramaciones!R$9&gt;=F159,100,0),ROUND(NETWORKDAYS.INTL(E159,MIN(F159,Reprogramaciones!R$9),11)/NETWORKDAYS.INTL(E159,F159,11)*100,1))))</f>
        <v/>
      </c>
      <c r="P159" s="36" t="str">
        <f aca="false">IF(OR(NOT(AND(ISNUMBER(E159),ISNUMBER(F159))),$J$2=""),"",IF(Reprogramaciones!T$9&lt;E159,0,IF(NETWORKDAYS.INTL(E159,F159,11)=0,IF(Reprogramaciones!T$9&gt;=F159,100,0),ROUND(NETWORKDAYS.INTL(E159,MIN(F159,Reprogramaciones!T$9),11)/NETWORKDAYS.INTL(E159,F159,11)*100,1)))-IF(Reprogramaciones!S$9&lt;E159,0,IF(NETWORKDAYS.INTL(E159,F159,11)=0,IF(Reprogramaciones!S$9&gt;=F159,100,0),ROUND(NETWORKDAYS.INTL(E159,MIN(F159,Reprogramaciones!S$9),11)/NETWORKDAYS.INTL(E159,F159,11)*100,1))))</f>
        <v/>
      </c>
      <c r="Q159" s="37"/>
      <c r="R159" s="37"/>
      <c r="S159" s="37"/>
      <c r="T159" s="37"/>
      <c r="U159" s="37"/>
      <c r="V159" s="37"/>
      <c r="W159" s="37"/>
      <c r="X159" s="37"/>
      <c r="Y159" s="37"/>
      <c r="Z159" s="37"/>
      <c r="AA159" s="37"/>
      <c r="AB159" s="37"/>
      <c r="AC159" s="37"/>
      <c r="AD159" s="37"/>
      <c r="AE159" s="37"/>
      <c r="AF159" s="37"/>
      <c r="AG159" s="38" t="str">
        <f aca="false">IF(AND(ISNUMBER(E159),ISNUMBER(F159)),NETWORKDAYS.INTL(E159,F159,11),"")</f>
        <v/>
      </c>
      <c r="AH159" s="38" t="str">
        <f aca="false">IF(OR(NOT(AND(ISNUMBER(E159),ISNUMBER(F159))),$J$2=""),"",IF(Reprogramaciones!$P$15&lt;Reprogramaciones!$T$15,0,IF(Reprogramaciones!$R$15&gt;10,MIN(100,SUM($G159:$P159)),MIN(100,SUMPRODUCT((COLUMN($G159:$P159)-COLUMN($G159)+1&lt;Reprogramaciones!$R$15)*$G159:$P159)+N(INDEX($G159:$P159,1,Reprogramaciones!$R$15))*IF(Reprogramaciones!$P$15&gt;=(Reprogramaciones!$T$15+7*(Reprogramaciones!$R$15-1))+6,1,IF(MAX(0,NETWORKDAYS.INTL(MAX(E159,(Reprogramaciones!$T$15+7*(Reprogramaciones!$R$15-1))),MIN(F159,(Reprogramaciones!$T$15+7*(Reprogramaciones!$R$15-1))+6),11))=0,0,MAX(0,NETWORKDAYS.INTL(MAX(E159,(Reprogramaciones!$T$15+7*(Reprogramaciones!$R$15-1))),MIN(F159,Reprogramaciones!$P$15),11))/MAX(0,NETWORKDAYS.INTL(MAX(E159,(Reprogramaciones!$T$15+7*(Reprogramaciones!$R$15-1))),MIN(F159,(Reprogramaciones!$T$15+7*(Reprogramaciones!$R$15-1))+6),11))))))))</f>
        <v/>
      </c>
      <c r="AI159" s="38" t="str">
        <f aca="false">IF(COUNT($Q159:$AF159)=0,"",IF(ROUND(SUM($Q159:$AF159),1)&gt;=99.5,100,MIN(100,ROUND(SUM($Q159:$AF159),1))))</f>
        <v/>
      </c>
      <c r="AJ159" s="38" t="str">
        <f aca="false">IF(OR(AH159="",AI159=""),"",AI159-AH159)</f>
        <v/>
      </c>
      <c r="AK159" s="39" t="str">
        <f aca="true">IF(AH159="","",IF(OR(Ficha!$C$10="Suspendida",Ficha!$C$10="Cancelada"),Ficha!$C$10,IF(AND(AI159&lt;&gt;"",N(AI159)&gt;=100),"Completada",IF(AND(E159&gt;TODAY(),N(AI159)=0),"Por iniciar",IF(N(AI159)+0.5&lt;AH159,"Retrasada",IF(N(AI159)+0.5&lt;DA159,IF(Reprogramaciones!$K$15&gt;0,"Al día · Sem "&amp;Reprogramaciones!$K$15&amp;" en curso","Al día · en curso"),"A tiempo"))))))</f>
        <v/>
      </c>
      <c r="AL159" s="39" t="str">
        <f aca="true">IF(AND(A159="",AND(B159="",C159="",E159="",F159="",COUNT(Q159:AF159)=0)),"",IF(AND(B159="",C159="",E159="",F159="",COUNT(Q159:AF159)=0),"Falta la partida o subpartida",IF(AND(A159&lt;&gt;"",COUNTIF($A$6:$A$305,A159)&gt;1),"Ítem repetido",IF(AND(C159="",E159="",F159="",COUNT(Q159:AF159)=0),"Título de partida",IF(OR(E159="",F159=""),"Faltan fechas",IF(OR(ISTEXT(E159),ISTEXT(F159)),"Fecha escrita como texto: usa dd/mm/aaaa",IF(F159&lt;E159,"Fin antes del inicio",IF(IF($J$2="",FALSE(),OR(E159&lt;$J$2,F159&gt;Reprogramaciones!$T$15+69)),"Fuera de las 10 semanas",IF(ABS(SUM(G159:P159)-100)&gt;0.5,"La meta no suma 100%",IF(ROUND(SUM(Q159:AF159),1)&gt;100.5,"El avance pasa de 100%",IF(MIN(Q159:AF159)&lt;0,"Avance negativo",IF(COUNTA(Q159:AF159)&gt;COUNT(Q159:AF159),"Avance escrito como texto",IF(SUMPRODUCT((Q159:AF159&gt;0)*(Q159:AF159&lt;1))&gt;0,"Avance menor a 1: escribe 50, no 50%",IF(SUMPRODUCT(ISNUMBER(Q159:AF159)*(Reprogramaciones!$K$8:$Z$8&gt;TODAY()))&gt;0,"Avance en semana que aún no llega",IF(AND(N(Reprogramaciones!$E$21)&gt;0,F159&gt;Reprogramaciones!$E$21),"Pasa el fin de la obra: registra una reprogramación",IF(AND(N(Reprogramaciones!$E$21)&gt;0,SUMPRODUCT(ISNUMBER(Q159:AF159)*(Reprogramaciones!$K$8:$Z$8&gt;Reprogramaciones!$E$21))&gt;0),"Avance después del fin de la obra: registra una reprogramación por atraso","OK"))))))))))))))))</f>
        <v/>
      </c>
      <c r="AM159" s="40" t="str">
        <f aca="false">IF(OR(OR(NOT(AND(ISNUMBER(E159),ISNUMBER(F159))),$J$2=""),1&gt;MAX(1,Reprogramaciones!$U$15)),"",IF(Reprogramaciones!K$12&gt;=7,"",IF(OR(BT159-N(0)&gt;0.05,N(Q159)&gt;0),ROUNDDOWN(ROUND(BT159,6),0)&amp;"%"&amp;IF(CJ159="",""," / "&amp;CJ159&amp;"%"),IF(AND(N(0)&gt;=99.95,CJ159&lt;&gt;"",N(CJ159)&lt;100),"Pend. "&amp;CJ159&amp;"%",""))))</f>
        <v/>
      </c>
      <c r="AN159" s="40" t="str">
        <f aca="false">IF(OR(OR(NOT(AND(ISNUMBER(E159),ISNUMBER(F159))),$J$2=""),2&gt;MAX(1,Reprogramaciones!$U$15)),"",IF(Reprogramaciones!L$12&gt;=7,"",IF(OR(BU159-N(BT159)&gt;0.05,N(R159)&gt;0),ROUNDDOWN(ROUND(BU159,6),0)&amp;"%"&amp;IF(CK159="",""," / "&amp;CK159&amp;"%"),IF(AND(N(BT159)&gt;=99.95,CK159&lt;&gt;"",N(CK159)&lt;100),"Pend. "&amp;CK159&amp;"%",""))))</f>
        <v/>
      </c>
      <c r="AO159" s="40" t="str">
        <f aca="false">IF(OR(OR(NOT(AND(ISNUMBER(E159),ISNUMBER(F159))),$J$2=""),3&gt;MAX(1,Reprogramaciones!$U$15)),"",IF(Reprogramaciones!M$12&gt;=7,"",IF(OR(BV159-N(BU159)&gt;0.05,N(S159)&gt;0),ROUNDDOWN(ROUND(BV159,6),0)&amp;"%"&amp;IF(CL159="",""," / "&amp;CL159&amp;"%"),IF(AND(N(BU159)&gt;=99.95,CL159&lt;&gt;"",N(CL159)&lt;100),"Pend. "&amp;CL159&amp;"%",""))))</f>
        <v/>
      </c>
      <c r="AP159" s="40" t="str">
        <f aca="false">IF(OR(OR(NOT(AND(ISNUMBER(E159),ISNUMBER(F159))),$J$2=""),4&gt;MAX(1,Reprogramaciones!$U$15)),"",IF(Reprogramaciones!N$12&gt;=7,"",IF(OR(BW159-N(BV159)&gt;0.05,N(T159)&gt;0),ROUNDDOWN(ROUND(BW159,6),0)&amp;"%"&amp;IF(CM159="",""," / "&amp;CM159&amp;"%"),IF(AND(N(BV159)&gt;=99.95,CM159&lt;&gt;"",N(CM159)&lt;100),"Pend. "&amp;CM159&amp;"%",""))))</f>
        <v/>
      </c>
      <c r="AQ159" s="40" t="str">
        <f aca="false">IF(OR(OR(NOT(AND(ISNUMBER(E159),ISNUMBER(F159))),$J$2=""),5&gt;MAX(1,Reprogramaciones!$U$15)),"",IF(Reprogramaciones!O$12&gt;=7,"",IF(OR(BX159-N(BW159)&gt;0.05,N(U159)&gt;0),ROUNDDOWN(ROUND(BX159,6),0)&amp;"%"&amp;IF(CN159="",""," / "&amp;CN159&amp;"%"),IF(AND(N(BW159)&gt;=99.95,CN159&lt;&gt;"",N(CN159)&lt;100),"Pend. "&amp;CN159&amp;"%",""))))</f>
        <v/>
      </c>
      <c r="AR159" s="40" t="str">
        <f aca="false">IF(OR(OR(NOT(AND(ISNUMBER(E159),ISNUMBER(F159))),$J$2=""),6&gt;MAX(1,Reprogramaciones!$U$15)),"",IF(Reprogramaciones!P$12&gt;=7,"",IF(OR(BY159-N(BX159)&gt;0.05,N(V159)&gt;0),ROUNDDOWN(ROUND(BY159,6),0)&amp;"%"&amp;IF(CO159="",""," / "&amp;CO159&amp;"%"),IF(AND(N(BX159)&gt;=99.95,CO159&lt;&gt;"",N(CO159)&lt;100),"Pend. "&amp;CO159&amp;"%",""))))</f>
        <v/>
      </c>
      <c r="AS159" s="40" t="str">
        <f aca="false">IF(OR(OR(NOT(AND(ISNUMBER(E159),ISNUMBER(F159))),$J$2=""),7&gt;MAX(1,Reprogramaciones!$U$15)),"",IF(Reprogramaciones!Q$12&gt;=7,"",IF(OR(BZ159-N(BY159)&gt;0.05,N(W159)&gt;0),ROUNDDOWN(ROUND(BZ159,6),0)&amp;"%"&amp;IF(CP159="",""," / "&amp;CP159&amp;"%"),IF(AND(N(BY159)&gt;=99.95,CP159&lt;&gt;"",N(CP159)&lt;100),"Pend. "&amp;CP159&amp;"%",""))))</f>
        <v/>
      </c>
      <c r="AT159" s="40" t="str">
        <f aca="false">IF(OR(OR(NOT(AND(ISNUMBER(E159),ISNUMBER(F159))),$J$2=""),8&gt;MAX(1,Reprogramaciones!$U$15)),"",IF(Reprogramaciones!R$12&gt;=7,"",IF(OR(CA159-N(BZ159)&gt;0.05,N(X159)&gt;0),ROUNDDOWN(ROUND(CA159,6),0)&amp;"%"&amp;IF(CQ159="",""," / "&amp;CQ159&amp;"%"),IF(AND(N(BZ159)&gt;=99.95,CQ159&lt;&gt;"",N(CQ159)&lt;100),"Pend. "&amp;CQ159&amp;"%",""))))</f>
        <v/>
      </c>
      <c r="AU159" s="40" t="str">
        <f aca="false">IF(OR(OR(NOT(AND(ISNUMBER(E159),ISNUMBER(F159))),$J$2=""),9&gt;MAX(1,Reprogramaciones!$U$15)),"",IF(Reprogramaciones!S$12&gt;=7,"",IF(OR(CB159-N(CA159)&gt;0.05,N(Y159)&gt;0),ROUNDDOWN(ROUND(CB159,6),0)&amp;"%"&amp;IF(CR159="",""," / "&amp;CR159&amp;"%"),IF(AND(N(CA159)&gt;=99.95,CR159&lt;&gt;"",N(CR159)&lt;100),"Pend. "&amp;CR159&amp;"%",""))))</f>
        <v/>
      </c>
      <c r="AV159" s="40" t="str">
        <f aca="false">IF(OR(OR(NOT(AND(ISNUMBER(E159),ISNUMBER(F159))),$J$2=""),10&gt;MAX(1,Reprogramaciones!$U$15)),"",IF(Reprogramaciones!T$12&gt;=7,"",IF(OR(CC159-N(CB159)&gt;0.05,N(Z159)&gt;0),ROUNDDOWN(ROUND(CC159,6),0)&amp;"%"&amp;IF(CS159="",""," / "&amp;CS159&amp;"%"),IF(AND(N(CB159)&gt;=99.95,CS159&lt;&gt;"",N(CS159)&lt;100),"Pend. "&amp;CS159&amp;"%",""))))</f>
        <v/>
      </c>
      <c r="AW159" s="40" t="str">
        <f aca="false">IF(OR(OR(NOT(AND(ISNUMBER(E159),ISNUMBER(F159))),$J$2=""),11&gt;MAX(1,Reprogramaciones!$U$15)),"",IF(Reprogramaciones!U$12&gt;=7,"",IF(OR(CD159-N(CC159)&gt;0.05,N(AA159)&gt;0),ROUNDDOWN(ROUND(CD159,6),0)&amp;"%"&amp;IF(CT159="",""," / "&amp;CT159&amp;"%"),IF(AND(N(CC159)&gt;=99.95,CT159&lt;&gt;"",N(CT159)&lt;100),"Pend. "&amp;CT159&amp;"%",""))))</f>
        <v/>
      </c>
      <c r="AX159" s="40" t="str">
        <f aca="false">IF(OR(OR(NOT(AND(ISNUMBER(E159),ISNUMBER(F159))),$J$2=""),12&gt;MAX(1,Reprogramaciones!$U$15)),"",IF(Reprogramaciones!V$12&gt;=7,"",IF(OR(CE159-N(CD159)&gt;0.05,N(AB159)&gt;0),ROUNDDOWN(ROUND(CE159,6),0)&amp;"%"&amp;IF(CU159="",""," / "&amp;CU159&amp;"%"),IF(AND(N(CD159)&gt;=99.95,CU159&lt;&gt;"",N(CU159)&lt;100),"Pend. "&amp;CU159&amp;"%",""))))</f>
        <v/>
      </c>
      <c r="AY159" s="40" t="str">
        <f aca="false">IF(OR(OR(NOT(AND(ISNUMBER(E159),ISNUMBER(F159))),$J$2=""),13&gt;MAX(1,Reprogramaciones!$U$15)),"",IF(Reprogramaciones!W$12&gt;=7,"",IF(OR(CF159-N(CE159)&gt;0.05,N(AC159)&gt;0),ROUNDDOWN(ROUND(CF159,6),0)&amp;"%"&amp;IF(CV159="",""," / "&amp;CV159&amp;"%"),IF(AND(N(CE159)&gt;=99.95,CV159&lt;&gt;"",N(CV159)&lt;100),"Pend. "&amp;CV159&amp;"%",""))))</f>
        <v/>
      </c>
      <c r="AZ159" s="40" t="str">
        <f aca="false">IF(OR(OR(NOT(AND(ISNUMBER(E159),ISNUMBER(F159))),$J$2=""),14&gt;MAX(1,Reprogramaciones!$U$15)),"",IF(Reprogramaciones!X$12&gt;=7,"",IF(OR(CG159-N(CF159)&gt;0.05,N(AD159)&gt;0),ROUNDDOWN(ROUND(CG159,6),0)&amp;"%"&amp;IF(CW159="",""," / "&amp;CW159&amp;"%"),IF(AND(N(CF159)&gt;=99.95,CW159&lt;&gt;"",N(CW159)&lt;100),"Pend. "&amp;CW159&amp;"%",""))))</f>
        <v/>
      </c>
      <c r="BA159" s="40" t="str">
        <f aca="false">IF(OR(OR(NOT(AND(ISNUMBER(E159),ISNUMBER(F159))),$J$2=""),15&gt;MAX(1,Reprogramaciones!$U$15)),"",IF(Reprogramaciones!Y$12&gt;=7,"",IF(OR(CH159-N(CG159)&gt;0.05,N(AE159)&gt;0),ROUNDDOWN(ROUND(CH159,6),0)&amp;"%"&amp;IF(CX159="",""," / "&amp;CX159&amp;"%"),IF(AND(N(CG159)&gt;=99.95,CX159&lt;&gt;"",N(CX159)&lt;100),"Pend. "&amp;CX159&amp;"%",""))))</f>
        <v/>
      </c>
      <c r="BB159" s="40" t="str">
        <f aca="false">IF(OR(OR(NOT(AND(ISNUMBER(E159),ISNUMBER(F159))),$J$2=""),16&gt;MAX(1,Reprogramaciones!$U$15)),"",IF(Reprogramaciones!Z$12&gt;=7,"",IF(OR(CI159-N(CH159)&gt;0.05,N(AF159)&gt;0),ROUNDDOWN(ROUND(CI159,6),0)&amp;"%"&amp;IF(CY159="",""," / "&amp;CY159&amp;"%"),IF(AND(N(CH159)&gt;=99.95,CY159&lt;&gt;"",N(CY159)&lt;100),"Pend. "&amp;CY159&amp;"%",""))))</f>
        <v/>
      </c>
      <c r="BC159" s="31" t="n">
        <f aca="false">IF(AND(ISNUMBER(E159),ISNUMBER(F159)),MAX(1,NETWORKDAYS.INTL(E159,F159,11)),0)</f>
        <v>0</v>
      </c>
      <c r="BD159" s="1" t="str">
        <f aca="false">IF(OR(NOT(AND(ISNUMBER(E159),ISNUMBER(F159))),$J$2=""),"",MIN(100,ROUND(SUM($G159:G159),1)))</f>
        <v/>
      </c>
      <c r="BE159" s="1" t="str">
        <f aca="false">IF(OR(NOT(AND(ISNUMBER(E159),ISNUMBER(F159))),$J$2=""),"",MIN(100,ROUND(SUM($G159:H159),1)))</f>
        <v/>
      </c>
      <c r="BF159" s="1" t="str">
        <f aca="false">IF(OR(NOT(AND(ISNUMBER(E159),ISNUMBER(F159))),$J$2=""),"",MIN(100,ROUND(SUM($G159:I159),1)))</f>
        <v/>
      </c>
      <c r="BG159" s="1" t="str">
        <f aca="false">IF(OR(NOT(AND(ISNUMBER(E159),ISNUMBER(F159))),$J$2=""),"",MIN(100,ROUND(SUM($G159:J159),1)))</f>
        <v/>
      </c>
      <c r="BH159" s="1" t="str">
        <f aca="false">IF(OR(NOT(AND(ISNUMBER(E159),ISNUMBER(F159))),$J$2=""),"",MIN(100,ROUND(SUM($G159:K159),1)))</f>
        <v/>
      </c>
      <c r="BI159" s="1" t="str">
        <f aca="false">IF(OR(NOT(AND(ISNUMBER(E159),ISNUMBER(F159))),$J$2=""),"",MIN(100,ROUND(SUM($G159:L159),1)))</f>
        <v/>
      </c>
      <c r="BJ159" s="1" t="str">
        <f aca="false">IF(OR(NOT(AND(ISNUMBER(E159),ISNUMBER(F159))),$J$2=""),"",MIN(100,ROUND(SUM($G159:M159),1)))</f>
        <v/>
      </c>
      <c r="BK159" s="1" t="str">
        <f aca="false">IF(OR(NOT(AND(ISNUMBER(E159),ISNUMBER(F159))),$J$2=""),"",MIN(100,ROUND(SUM($G159:N159),1)))</f>
        <v/>
      </c>
      <c r="BL159" s="1" t="str">
        <f aca="false">IF(OR(NOT(AND(ISNUMBER(E159),ISNUMBER(F159))),$J$2=""),"",MIN(100,ROUND(SUM($G159:O159),1)))</f>
        <v/>
      </c>
      <c r="BM159" s="1" t="str">
        <f aca="false">IF(OR(NOT(AND(ISNUMBER(E159),ISNUMBER(F159))),$J$2=""),"",MIN(100,ROUND(SUM($G159:P159),1)))</f>
        <v/>
      </c>
      <c r="BN159" s="1" t="str">
        <f aca="false">IF(OR(NOT(AND(ISNUMBER(E159),ISNUMBER(F159))),$J$2=""),"",MIN(100,ROUND(SUM($G159:P159),1)))</f>
        <v/>
      </c>
      <c r="BO159" s="1" t="str">
        <f aca="false">IF(OR(NOT(AND(ISNUMBER(E159),ISNUMBER(F159))),$J$2=""),"",MIN(100,ROUND(SUM($G159:P159),1)))</f>
        <v/>
      </c>
      <c r="BP159" s="1" t="str">
        <f aca="false">IF(OR(NOT(AND(ISNUMBER(E159),ISNUMBER(F159))),$J$2=""),"",MIN(100,ROUND(SUM($G159:P159),1)))</f>
        <v/>
      </c>
      <c r="BQ159" s="1" t="str">
        <f aca="false">IF(OR(NOT(AND(ISNUMBER(E159),ISNUMBER(F159))),$J$2=""),"",MIN(100,ROUND(SUM($G159:P159),1)))</f>
        <v/>
      </c>
      <c r="BR159" s="1" t="str">
        <f aca="false">IF(OR(NOT(AND(ISNUMBER(E159),ISNUMBER(F159))),$J$2=""),"",MIN(100,ROUND(SUM($G159:P159),1)))</f>
        <v/>
      </c>
      <c r="BS159" s="1" t="str">
        <f aca="false">IF(OR(NOT(AND(ISNUMBER(E159),ISNUMBER(F159))),$J$2=""),"",MIN(100,ROUND(SUM($G159:P159),1)))</f>
        <v/>
      </c>
      <c r="BT159" s="1" t="str">
        <f aca="false">IF(OR(NOT(AND(ISNUMBER(E159),ISNUMBER(F159))),$J$2=""),"",IF(Reprogramaciones!K$13&lt;Reprogramaciones!$T$15,0,IF(Reprogramaciones!K$14&gt;10,MIN(100,SUM($G159:$P159)),MIN(100,SUMPRODUCT((COLUMN($G159:$P159)-COLUMN($G159)+1&lt;Reprogramaciones!K$14)*$G159:$P159)+N(INDEX($G159:$P159,1,Reprogramaciones!K$14))*IF(Reprogramaciones!K$13&gt;=(Reprogramaciones!$T$15+7*(Reprogramaciones!K$14-1))+6,1,IF(MAX(0,NETWORKDAYS.INTL(MAX(E159,(Reprogramaciones!$T$15+7*(Reprogramaciones!K$14-1))),MIN(F159,(Reprogramaciones!$T$15+7*(Reprogramaciones!K$14-1))+6),11))=0,0,MAX(0,NETWORKDAYS.INTL(MAX(E159,(Reprogramaciones!$T$15+7*(Reprogramaciones!K$14-1))),MIN(F159,Reprogramaciones!K$13),11))/MAX(0,NETWORKDAYS.INTL(MAX(E159,(Reprogramaciones!$T$15+7*(Reprogramaciones!K$14-1))),MIN(F159,(Reprogramaciones!$T$15+7*(Reprogramaciones!K$14-1))+6),11))))))))</f>
        <v/>
      </c>
      <c r="BU159" s="1" t="str">
        <f aca="false">IF(OR(NOT(AND(ISNUMBER(E159),ISNUMBER(F159))),$J$2=""),"",IF(Reprogramaciones!L$13&lt;Reprogramaciones!$T$15,0,IF(Reprogramaciones!L$14&gt;10,MIN(100,SUM($G159:$P159)),MIN(100,SUMPRODUCT((COLUMN($G159:$P159)-COLUMN($G159)+1&lt;Reprogramaciones!L$14)*$G159:$P159)+N(INDEX($G159:$P159,1,Reprogramaciones!L$14))*IF(Reprogramaciones!L$13&gt;=(Reprogramaciones!$T$15+7*(Reprogramaciones!L$14-1))+6,1,IF(MAX(0,NETWORKDAYS.INTL(MAX(E159,(Reprogramaciones!$T$15+7*(Reprogramaciones!L$14-1))),MIN(F159,(Reprogramaciones!$T$15+7*(Reprogramaciones!L$14-1))+6),11))=0,0,MAX(0,NETWORKDAYS.INTL(MAX(E159,(Reprogramaciones!$T$15+7*(Reprogramaciones!L$14-1))),MIN(F159,Reprogramaciones!L$13),11))/MAX(0,NETWORKDAYS.INTL(MAX(E159,(Reprogramaciones!$T$15+7*(Reprogramaciones!L$14-1))),MIN(F159,(Reprogramaciones!$T$15+7*(Reprogramaciones!L$14-1))+6),11))))))))</f>
        <v/>
      </c>
      <c r="BV159" s="1" t="str">
        <f aca="false">IF(OR(NOT(AND(ISNUMBER(E159),ISNUMBER(F159))),$J$2=""),"",IF(Reprogramaciones!M$13&lt;Reprogramaciones!$T$15,0,IF(Reprogramaciones!M$14&gt;10,MIN(100,SUM($G159:$P159)),MIN(100,SUMPRODUCT((COLUMN($G159:$P159)-COLUMN($G159)+1&lt;Reprogramaciones!M$14)*$G159:$P159)+N(INDEX($G159:$P159,1,Reprogramaciones!M$14))*IF(Reprogramaciones!M$13&gt;=(Reprogramaciones!$T$15+7*(Reprogramaciones!M$14-1))+6,1,IF(MAX(0,NETWORKDAYS.INTL(MAX(E159,(Reprogramaciones!$T$15+7*(Reprogramaciones!M$14-1))),MIN(F159,(Reprogramaciones!$T$15+7*(Reprogramaciones!M$14-1))+6),11))=0,0,MAX(0,NETWORKDAYS.INTL(MAX(E159,(Reprogramaciones!$T$15+7*(Reprogramaciones!M$14-1))),MIN(F159,Reprogramaciones!M$13),11))/MAX(0,NETWORKDAYS.INTL(MAX(E159,(Reprogramaciones!$T$15+7*(Reprogramaciones!M$14-1))),MIN(F159,(Reprogramaciones!$T$15+7*(Reprogramaciones!M$14-1))+6),11))))))))</f>
        <v/>
      </c>
      <c r="BW159" s="1" t="str">
        <f aca="false">IF(OR(NOT(AND(ISNUMBER(E159),ISNUMBER(F159))),$J$2=""),"",IF(Reprogramaciones!N$13&lt;Reprogramaciones!$T$15,0,IF(Reprogramaciones!N$14&gt;10,MIN(100,SUM($G159:$P159)),MIN(100,SUMPRODUCT((COLUMN($G159:$P159)-COLUMN($G159)+1&lt;Reprogramaciones!N$14)*$G159:$P159)+N(INDEX($G159:$P159,1,Reprogramaciones!N$14))*IF(Reprogramaciones!N$13&gt;=(Reprogramaciones!$T$15+7*(Reprogramaciones!N$14-1))+6,1,IF(MAX(0,NETWORKDAYS.INTL(MAX(E159,(Reprogramaciones!$T$15+7*(Reprogramaciones!N$14-1))),MIN(F159,(Reprogramaciones!$T$15+7*(Reprogramaciones!N$14-1))+6),11))=0,0,MAX(0,NETWORKDAYS.INTL(MAX(E159,(Reprogramaciones!$T$15+7*(Reprogramaciones!N$14-1))),MIN(F159,Reprogramaciones!N$13),11))/MAX(0,NETWORKDAYS.INTL(MAX(E159,(Reprogramaciones!$T$15+7*(Reprogramaciones!N$14-1))),MIN(F159,(Reprogramaciones!$T$15+7*(Reprogramaciones!N$14-1))+6),11))))))))</f>
        <v/>
      </c>
      <c r="BX159" s="1" t="str">
        <f aca="false">IF(OR(NOT(AND(ISNUMBER(E159),ISNUMBER(F159))),$J$2=""),"",IF(Reprogramaciones!O$13&lt;Reprogramaciones!$T$15,0,IF(Reprogramaciones!O$14&gt;10,MIN(100,SUM($G159:$P159)),MIN(100,SUMPRODUCT((COLUMN($G159:$P159)-COLUMN($G159)+1&lt;Reprogramaciones!O$14)*$G159:$P159)+N(INDEX($G159:$P159,1,Reprogramaciones!O$14))*IF(Reprogramaciones!O$13&gt;=(Reprogramaciones!$T$15+7*(Reprogramaciones!O$14-1))+6,1,IF(MAX(0,NETWORKDAYS.INTL(MAX(E159,(Reprogramaciones!$T$15+7*(Reprogramaciones!O$14-1))),MIN(F159,(Reprogramaciones!$T$15+7*(Reprogramaciones!O$14-1))+6),11))=0,0,MAX(0,NETWORKDAYS.INTL(MAX(E159,(Reprogramaciones!$T$15+7*(Reprogramaciones!O$14-1))),MIN(F159,Reprogramaciones!O$13),11))/MAX(0,NETWORKDAYS.INTL(MAX(E159,(Reprogramaciones!$T$15+7*(Reprogramaciones!O$14-1))),MIN(F159,(Reprogramaciones!$T$15+7*(Reprogramaciones!O$14-1))+6),11))))))))</f>
        <v/>
      </c>
      <c r="BY159" s="1" t="str">
        <f aca="false">IF(OR(NOT(AND(ISNUMBER(E159),ISNUMBER(F159))),$J$2=""),"",IF(Reprogramaciones!P$13&lt;Reprogramaciones!$T$15,0,IF(Reprogramaciones!P$14&gt;10,MIN(100,SUM($G159:$P159)),MIN(100,SUMPRODUCT((COLUMN($G159:$P159)-COLUMN($G159)+1&lt;Reprogramaciones!P$14)*$G159:$P159)+N(INDEX($G159:$P159,1,Reprogramaciones!P$14))*IF(Reprogramaciones!P$13&gt;=(Reprogramaciones!$T$15+7*(Reprogramaciones!P$14-1))+6,1,IF(MAX(0,NETWORKDAYS.INTL(MAX(E159,(Reprogramaciones!$T$15+7*(Reprogramaciones!P$14-1))),MIN(F159,(Reprogramaciones!$T$15+7*(Reprogramaciones!P$14-1))+6),11))=0,0,MAX(0,NETWORKDAYS.INTL(MAX(E159,(Reprogramaciones!$T$15+7*(Reprogramaciones!P$14-1))),MIN(F159,Reprogramaciones!P$13),11))/MAX(0,NETWORKDAYS.INTL(MAX(E159,(Reprogramaciones!$T$15+7*(Reprogramaciones!P$14-1))),MIN(F159,(Reprogramaciones!$T$15+7*(Reprogramaciones!P$14-1))+6),11))))))))</f>
        <v/>
      </c>
      <c r="BZ159" s="1" t="str">
        <f aca="false">IF(OR(NOT(AND(ISNUMBER(E159),ISNUMBER(F159))),$J$2=""),"",IF(Reprogramaciones!Q$13&lt;Reprogramaciones!$T$15,0,IF(Reprogramaciones!Q$14&gt;10,MIN(100,SUM($G159:$P159)),MIN(100,SUMPRODUCT((COLUMN($G159:$P159)-COLUMN($G159)+1&lt;Reprogramaciones!Q$14)*$G159:$P159)+N(INDEX($G159:$P159,1,Reprogramaciones!Q$14))*IF(Reprogramaciones!Q$13&gt;=(Reprogramaciones!$T$15+7*(Reprogramaciones!Q$14-1))+6,1,IF(MAX(0,NETWORKDAYS.INTL(MAX(E159,(Reprogramaciones!$T$15+7*(Reprogramaciones!Q$14-1))),MIN(F159,(Reprogramaciones!$T$15+7*(Reprogramaciones!Q$14-1))+6),11))=0,0,MAX(0,NETWORKDAYS.INTL(MAX(E159,(Reprogramaciones!$T$15+7*(Reprogramaciones!Q$14-1))),MIN(F159,Reprogramaciones!Q$13),11))/MAX(0,NETWORKDAYS.INTL(MAX(E159,(Reprogramaciones!$T$15+7*(Reprogramaciones!Q$14-1))),MIN(F159,(Reprogramaciones!$T$15+7*(Reprogramaciones!Q$14-1))+6),11))))))))</f>
        <v/>
      </c>
      <c r="CA159" s="1" t="str">
        <f aca="false">IF(OR(NOT(AND(ISNUMBER(E159),ISNUMBER(F159))),$J$2=""),"",IF(Reprogramaciones!R$13&lt;Reprogramaciones!$T$15,0,IF(Reprogramaciones!R$14&gt;10,MIN(100,SUM($G159:$P159)),MIN(100,SUMPRODUCT((COLUMN($G159:$P159)-COLUMN($G159)+1&lt;Reprogramaciones!R$14)*$G159:$P159)+N(INDEX($G159:$P159,1,Reprogramaciones!R$14))*IF(Reprogramaciones!R$13&gt;=(Reprogramaciones!$T$15+7*(Reprogramaciones!R$14-1))+6,1,IF(MAX(0,NETWORKDAYS.INTL(MAX(E159,(Reprogramaciones!$T$15+7*(Reprogramaciones!R$14-1))),MIN(F159,(Reprogramaciones!$T$15+7*(Reprogramaciones!R$14-1))+6),11))=0,0,MAX(0,NETWORKDAYS.INTL(MAX(E159,(Reprogramaciones!$T$15+7*(Reprogramaciones!R$14-1))),MIN(F159,Reprogramaciones!R$13),11))/MAX(0,NETWORKDAYS.INTL(MAX(E159,(Reprogramaciones!$T$15+7*(Reprogramaciones!R$14-1))),MIN(F159,(Reprogramaciones!$T$15+7*(Reprogramaciones!R$14-1))+6),11))))))))</f>
        <v/>
      </c>
      <c r="CB159" s="1" t="str">
        <f aca="false">IF(OR(NOT(AND(ISNUMBER(E159),ISNUMBER(F159))),$J$2=""),"",IF(Reprogramaciones!S$13&lt;Reprogramaciones!$T$15,0,IF(Reprogramaciones!S$14&gt;10,MIN(100,SUM($G159:$P159)),MIN(100,SUMPRODUCT((COLUMN($G159:$P159)-COLUMN($G159)+1&lt;Reprogramaciones!S$14)*$G159:$P159)+N(INDEX($G159:$P159,1,Reprogramaciones!S$14))*IF(Reprogramaciones!S$13&gt;=(Reprogramaciones!$T$15+7*(Reprogramaciones!S$14-1))+6,1,IF(MAX(0,NETWORKDAYS.INTL(MAX(E159,(Reprogramaciones!$T$15+7*(Reprogramaciones!S$14-1))),MIN(F159,(Reprogramaciones!$T$15+7*(Reprogramaciones!S$14-1))+6),11))=0,0,MAX(0,NETWORKDAYS.INTL(MAX(E159,(Reprogramaciones!$T$15+7*(Reprogramaciones!S$14-1))),MIN(F159,Reprogramaciones!S$13),11))/MAX(0,NETWORKDAYS.INTL(MAX(E159,(Reprogramaciones!$T$15+7*(Reprogramaciones!S$14-1))),MIN(F159,(Reprogramaciones!$T$15+7*(Reprogramaciones!S$14-1))+6),11))))))))</f>
        <v/>
      </c>
      <c r="CC159" s="1" t="str">
        <f aca="false">IF(OR(NOT(AND(ISNUMBER(E159),ISNUMBER(F159))),$J$2=""),"",IF(Reprogramaciones!T$13&lt;Reprogramaciones!$T$15,0,IF(Reprogramaciones!T$14&gt;10,MIN(100,SUM($G159:$P159)),MIN(100,SUMPRODUCT((COLUMN($G159:$P159)-COLUMN($G159)+1&lt;Reprogramaciones!T$14)*$G159:$P159)+N(INDEX($G159:$P159,1,Reprogramaciones!T$14))*IF(Reprogramaciones!T$13&gt;=(Reprogramaciones!$T$15+7*(Reprogramaciones!T$14-1))+6,1,IF(MAX(0,NETWORKDAYS.INTL(MAX(E159,(Reprogramaciones!$T$15+7*(Reprogramaciones!T$14-1))),MIN(F159,(Reprogramaciones!$T$15+7*(Reprogramaciones!T$14-1))+6),11))=0,0,MAX(0,NETWORKDAYS.INTL(MAX(E159,(Reprogramaciones!$T$15+7*(Reprogramaciones!T$14-1))),MIN(F159,Reprogramaciones!T$13),11))/MAX(0,NETWORKDAYS.INTL(MAX(E159,(Reprogramaciones!$T$15+7*(Reprogramaciones!T$14-1))),MIN(F159,(Reprogramaciones!$T$15+7*(Reprogramaciones!T$14-1))+6),11))))))))</f>
        <v/>
      </c>
      <c r="CD159" s="1" t="str">
        <f aca="false">IF(OR(NOT(AND(ISNUMBER(E159),ISNUMBER(F159))),$J$2=""),"",IF(Reprogramaciones!U$13&lt;Reprogramaciones!$T$15,0,IF(Reprogramaciones!U$14&gt;10,MIN(100,SUM($G159:$P159)),MIN(100,SUMPRODUCT((COLUMN($G159:$P159)-COLUMN($G159)+1&lt;Reprogramaciones!U$14)*$G159:$P159)+N(INDEX($G159:$P159,1,Reprogramaciones!U$14))*IF(Reprogramaciones!U$13&gt;=(Reprogramaciones!$T$15+7*(Reprogramaciones!U$14-1))+6,1,IF(MAX(0,NETWORKDAYS.INTL(MAX(E159,(Reprogramaciones!$T$15+7*(Reprogramaciones!U$14-1))),MIN(F159,(Reprogramaciones!$T$15+7*(Reprogramaciones!U$14-1))+6),11))=0,0,MAX(0,NETWORKDAYS.INTL(MAX(E159,(Reprogramaciones!$T$15+7*(Reprogramaciones!U$14-1))),MIN(F159,Reprogramaciones!U$13),11))/MAX(0,NETWORKDAYS.INTL(MAX(E159,(Reprogramaciones!$T$15+7*(Reprogramaciones!U$14-1))),MIN(F159,(Reprogramaciones!$T$15+7*(Reprogramaciones!U$14-1))+6),11))))))))</f>
        <v/>
      </c>
      <c r="CE159" s="1" t="str">
        <f aca="false">IF(OR(NOT(AND(ISNUMBER(E159),ISNUMBER(F159))),$J$2=""),"",IF(Reprogramaciones!V$13&lt;Reprogramaciones!$T$15,0,IF(Reprogramaciones!V$14&gt;10,MIN(100,SUM($G159:$P159)),MIN(100,SUMPRODUCT((COLUMN($G159:$P159)-COLUMN($G159)+1&lt;Reprogramaciones!V$14)*$G159:$P159)+N(INDEX($G159:$P159,1,Reprogramaciones!V$14))*IF(Reprogramaciones!V$13&gt;=(Reprogramaciones!$T$15+7*(Reprogramaciones!V$14-1))+6,1,IF(MAX(0,NETWORKDAYS.INTL(MAX(E159,(Reprogramaciones!$T$15+7*(Reprogramaciones!V$14-1))),MIN(F159,(Reprogramaciones!$T$15+7*(Reprogramaciones!V$14-1))+6),11))=0,0,MAX(0,NETWORKDAYS.INTL(MAX(E159,(Reprogramaciones!$T$15+7*(Reprogramaciones!V$14-1))),MIN(F159,Reprogramaciones!V$13),11))/MAX(0,NETWORKDAYS.INTL(MAX(E159,(Reprogramaciones!$T$15+7*(Reprogramaciones!V$14-1))),MIN(F159,(Reprogramaciones!$T$15+7*(Reprogramaciones!V$14-1))+6),11))))))))</f>
        <v/>
      </c>
      <c r="CF159" s="1" t="str">
        <f aca="false">IF(OR(NOT(AND(ISNUMBER(E159),ISNUMBER(F159))),$J$2=""),"",IF(Reprogramaciones!W$13&lt;Reprogramaciones!$T$15,0,IF(Reprogramaciones!W$14&gt;10,MIN(100,SUM($G159:$P159)),MIN(100,SUMPRODUCT((COLUMN($G159:$P159)-COLUMN($G159)+1&lt;Reprogramaciones!W$14)*$G159:$P159)+N(INDEX($G159:$P159,1,Reprogramaciones!W$14))*IF(Reprogramaciones!W$13&gt;=(Reprogramaciones!$T$15+7*(Reprogramaciones!W$14-1))+6,1,IF(MAX(0,NETWORKDAYS.INTL(MAX(E159,(Reprogramaciones!$T$15+7*(Reprogramaciones!W$14-1))),MIN(F159,(Reprogramaciones!$T$15+7*(Reprogramaciones!W$14-1))+6),11))=0,0,MAX(0,NETWORKDAYS.INTL(MAX(E159,(Reprogramaciones!$T$15+7*(Reprogramaciones!W$14-1))),MIN(F159,Reprogramaciones!W$13),11))/MAX(0,NETWORKDAYS.INTL(MAX(E159,(Reprogramaciones!$T$15+7*(Reprogramaciones!W$14-1))),MIN(F159,(Reprogramaciones!$T$15+7*(Reprogramaciones!W$14-1))+6),11))))))))</f>
        <v/>
      </c>
      <c r="CG159" s="1" t="str">
        <f aca="false">IF(OR(NOT(AND(ISNUMBER(E159),ISNUMBER(F159))),$J$2=""),"",IF(Reprogramaciones!X$13&lt;Reprogramaciones!$T$15,0,IF(Reprogramaciones!X$14&gt;10,MIN(100,SUM($G159:$P159)),MIN(100,SUMPRODUCT((COLUMN($G159:$P159)-COLUMN($G159)+1&lt;Reprogramaciones!X$14)*$G159:$P159)+N(INDEX($G159:$P159,1,Reprogramaciones!X$14))*IF(Reprogramaciones!X$13&gt;=(Reprogramaciones!$T$15+7*(Reprogramaciones!X$14-1))+6,1,IF(MAX(0,NETWORKDAYS.INTL(MAX(E159,(Reprogramaciones!$T$15+7*(Reprogramaciones!X$14-1))),MIN(F159,(Reprogramaciones!$T$15+7*(Reprogramaciones!X$14-1))+6),11))=0,0,MAX(0,NETWORKDAYS.INTL(MAX(E159,(Reprogramaciones!$T$15+7*(Reprogramaciones!X$14-1))),MIN(F159,Reprogramaciones!X$13),11))/MAX(0,NETWORKDAYS.INTL(MAX(E159,(Reprogramaciones!$T$15+7*(Reprogramaciones!X$14-1))),MIN(F159,(Reprogramaciones!$T$15+7*(Reprogramaciones!X$14-1))+6),11))))))))</f>
        <v/>
      </c>
      <c r="CH159" s="1" t="str">
        <f aca="false">IF(OR(NOT(AND(ISNUMBER(E159),ISNUMBER(F159))),$J$2=""),"",IF(Reprogramaciones!Y$13&lt;Reprogramaciones!$T$15,0,IF(Reprogramaciones!Y$14&gt;10,MIN(100,SUM($G159:$P159)),MIN(100,SUMPRODUCT((COLUMN($G159:$P159)-COLUMN($G159)+1&lt;Reprogramaciones!Y$14)*$G159:$P159)+N(INDEX($G159:$P159,1,Reprogramaciones!Y$14))*IF(Reprogramaciones!Y$13&gt;=(Reprogramaciones!$T$15+7*(Reprogramaciones!Y$14-1))+6,1,IF(MAX(0,NETWORKDAYS.INTL(MAX(E159,(Reprogramaciones!$T$15+7*(Reprogramaciones!Y$14-1))),MIN(F159,(Reprogramaciones!$T$15+7*(Reprogramaciones!Y$14-1))+6),11))=0,0,MAX(0,NETWORKDAYS.INTL(MAX(E159,(Reprogramaciones!$T$15+7*(Reprogramaciones!Y$14-1))),MIN(F159,Reprogramaciones!Y$13),11))/MAX(0,NETWORKDAYS.INTL(MAX(E159,(Reprogramaciones!$T$15+7*(Reprogramaciones!Y$14-1))),MIN(F159,(Reprogramaciones!$T$15+7*(Reprogramaciones!Y$14-1))+6),11))))))))</f>
        <v/>
      </c>
      <c r="CI159" s="1" t="str">
        <f aca="false">IF(OR(NOT(AND(ISNUMBER(E159),ISNUMBER(F159))),$J$2=""),"",IF(Reprogramaciones!Z$13&lt;Reprogramaciones!$T$15,0,IF(Reprogramaciones!Z$14&gt;10,MIN(100,SUM($G159:$P159)),MIN(100,SUMPRODUCT((COLUMN($G159:$P159)-COLUMN($G159)+1&lt;Reprogramaciones!Z$14)*$G159:$P159)+N(INDEX($G159:$P159,1,Reprogramaciones!Z$14))*IF(Reprogramaciones!Z$13&gt;=(Reprogramaciones!$T$15+7*(Reprogramaciones!Z$14-1))+6,1,IF(MAX(0,NETWORKDAYS.INTL(MAX(E159,(Reprogramaciones!$T$15+7*(Reprogramaciones!Z$14-1))),MIN(F159,(Reprogramaciones!$T$15+7*(Reprogramaciones!Z$14-1))+6),11))=0,0,MAX(0,NETWORKDAYS.INTL(MAX(E159,(Reprogramaciones!$T$15+7*(Reprogramaciones!Z$14-1))),MIN(F159,Reprogramaciones!Z$13),11))/MAX(0,NETWORKDAYS.INTL(MAX(E159,(Reprogramaciones!$T$15+7*(Reprogramaciones!Z$14-1))),MIN(F159,(Reprogramaciones!$T$15+7*(Reprogramaciones!Z$14-1))+6),11))))))))</f>
        <v/>
      </c>
      <c r="CJ159" s="1" t="str">
        <f aca="false">IF(OR(OR(NOT(AND(ISNUMBER(E159),ISNUMBER(F159))),$J$2=""),1&gt;Reprogramaciones!$K$16),"",IF(ROUND(SUM($Q159:Q159),1)&gt;=99.5,100,MIN(100,ROUND(SUM($Q159:Q159),1))))</f>
        <v/>
      </c>
      <c r="CK159" s="1" t="str">
        <f aca="false">IF(OR(OR(NOT(AND(ISNUMBER(E159),ISNUMBER(F159))),$J$2=""),2&gt;Reprogramaciones!$K$16),"",IF(ROUND(SUM($Q159:R159),1)&gt;=99.5,100,MIN(100,ROUND(SUM($Q159:R159),1))))</f>
        <v/>
      </c>
      <c r="CL159" s="1" t="str">
        <f aca="false">IF(OR(OR(NOT(AND(ISNUMBER(E159),ISNUMBER(F159))),$J$2=""),3&gt;Reprogramaciones!$K$16),"",IF(ROUND(SUM($Q159:S159),1)&gt;=99.5,100,MIN(100,ROUND(SUM($Q159:S159),1))))</f>
        <v/>
      </c>
      <c r="CM159" s="1" t="str">
        <f aca="false">IF(OR(OR(NOT(AND(ISNUMBER(E159),ISNUMBER(F159))),$J$2=""),4&gt;Reprogramaciones!$K$16),"",IF(ROUND(SUM($Q159:T159),1)&gt;=99.5,100,MIN(100,ROUND(SUM($Q159:T159),1))))</f>
        <v/>
      </c>
      <c r="CN159" s="1" t="str">
        <f aca="false">IF(OR(OR(NOT(AND(ISNUMBER(E159),ISNUMBER(F159))),$J$2=""),5&gt;Reprogramaciones!$K$16),"",IF(ROUND(SUM($Q159:U159),1)&gt;=99.5,100,MIN(100,ROUND(SUM($Q159:U159),1))))</f>
        <v/>
      </c>
      <c r="CO159" s="1" t="str">
        <f aca="false">IF(OR(OR(NOT(AND(ISNUMBER(E159),ISNUMBER(F159))),$J$2=""),6&gt;Reprogramaciones!$K$16),"",IF(ROUND(SUM($Q159:V159),1)&gt;=99.5,100,MIN(100,ROUND(SUM($Q159:V159),1))))</f>
        <v/>
      </c>
      <c r="CP159" s="1" t="str">
        <f aca="false">IF(OR(OR(NOT(AND(ISNUMBER(E159),ISNUMBER(F159))),$J$2=""),7&gt;Reprogramaciones!$K$16),"",IF(ROUND(SUM($Q159:W159),1)&gt;=99.5,100,MIN(100,ROUND(SUM($Q159:W159),1))))</f>
        <v/>
      </c>
      <c r="CQ159" s="1" t="str">
        <f aca="false">IF(OR(OR(NOT(AND(ISNUMBER(E159),ISNUMBER(F159))),$J$2=""),8&gt;Reprogramaciones!$K$16),"",IF(ROUND(SUM($Q159:X159),1)&gt;=99.5,100,MIN(100,ROUND(SUM($Q159:X159),1))))</f>
        <v/>
      </c>
      <c r="CR159" s="1" t="str">
        <f aca="false">IF(OR(OR(NOT(AND(ISNUMBER(E159),ISNUMBER(F159))),$J$2=""),9&gt;Reprogramaciones!$K$16),"",IF(ROUND(SUM($Q159:Y159),1)&gt;=99.5,100,MIN(100,ROUND(SUM($Q159:Y159),1))))</f>
        <v/>
      </c>
      <c r="CS159" s="1" t="str">
        <f aca="false">IF(OR(OR(NOT(AND(ISNUMBER(E159),ISNUMBER(F159))),$J$2=""),10&gt;Reprogramaciones!$K$16),"",IF(ROUND(SUM($Q159:Z159),1)&gt;=99.5,100,MIN(100,ROUND(SUM($Q159:Z159),1))))</f>
        <v/>
      </c>
      <c r="CT159" s="1" t="str">
        <f aca="false">IF(OR(OR(NOT(AND(ISNUMBER(E159),ISNUMBER(F159))),$J$2=""),11&gt;Reprogramaciones!$K$16),"",IF(ROUND(SUM($Q159:AA159),1)&gt;=99.5,100,MIN(100,ROUND(SUM($Q159:AA159),1))))</f>
        <v/>
      </c>
      <c r="CU159" s="1" t="str">
        <f aca="false">IF(OR(OR(NOT(AND(ISNUMBER(E159),ISNUMBER(F159))),$J$2=""),12&gt;Reprogramaciones!$K$16),"",IF(ROUND(SUM($Q159:AB159),1)&gt;=99.5,100,MIN(100,ROUND(SUM($Q159:AB159),1))))</f>
        <v/>
      </c>
      <c r="CV159" s="1" t="str">
        <f aca="false">IF(OR(OR(NOT(AND(ISNUMBER(E159),ISNUMBER(F159))),$J$2=""),13&gt;Reprogramaciones!$K$16),"",IF(ROUND(SUM($Q159:AC159),1)&gt;=99.5,100,MIN(100,ROUND(SUM($Q159:AC159),1))))</f>
        <v/>
      </c>
      <c r="CW159" s="1" t="str">
        <f aca="false">IF(OR(OR(NOT(AND(ISNUMBER(E159),ISNUMBER(F159))),$J$2=""),14&gt;Reprogramaciones!$K$16),"",IF(ROUND(SUM($Q159:AD159),1)&gt;=99.5,100,MIN(100,ROUND(SUM($Q159:AD159),1))))</f>
        <v/>
      </c>
      <c r="CX159" s="1" t="str">
        <f aca="false">IF(OR(OR(NOT(AND(ISNUMBER(E159),ISNUMBER(F159))),$J$2=""),15&gt;Reprogramaciones!$K$16),"",IF(ROUND(SUM($Q159:AE159),1)&gt;=99.5,100,MIN(100,ROUND(SUM($Q159:AE159),1))))</f>
        <v/>
      </c>
      <c r="CY159" s="1" t="str">
        <f aca="false">IF(OR(OR(NOT(AND(ISNUMBER(E159),ISNUMBER(F159))),$J$2=""),16&gt;Reprogramaciones!$K$16),"",IF(ROUND(SUM($Q159:AF159),1)&gt;=99.5,100,MIN(100,ROUND(SUM($Q159:AF159),1))))</f>
        <v/>
      </c>
      <c r="CZ159" s="1" t="str">
        <f aca="false">IF(D159&lt;&gt;"",D159,IF(B159&lt;&gt;"","Contractual",CZ158))</f>
        <v>Contractual</v>
      </c>
      <c r="DA159" s="1" t="str">
        <f aca="false">IF(OR(NOT(AND(ISNUMBER(E159),ISNUMBER(F159))),$J$2=""),"",IF(Reprogramaciones!$Q$15&lt;Reprogramaciones!$T$15,0,IF(Reprogramaciones!$S$15&gt;10,MIN(100,SUM($G159:$P159)),MIN(100,SUMPRODUCT((COLUMN($G159:$P159)-COLUMN($G159)+1&lt;Reprogramaciones!$S$15)*$G159:$P159)+N(INDEX($G159:$P159,1,Reprogramaciones!$S$15))*IF(Reprogramaciones!$Q$15&gt;=(Reprogramaciones!$T$15+7*(Reprogramaciones!$S$15-1))+6,1,IF(MAX(0,NETWORKDAYS.INTL(MAX(E159,(Reprogramaciones!$T$15+7*(Reprogramaciones!$S$15-1))),MIN(F159,(Reprogramaciones!$T$15+7*(Reprogramaciones!$S$15-1))+6),11))=0,0,MAX(0,NETWORKDAYS.INTL(MAX(E159,(Reprogramaciones!$T$15+7*(Reprogramaciones!$S$15-1))),MIN(F159,Reprogramaciones!$Q$15),11))/MAX(0,NETWORKDAYS.INTL(MAX(E159,(Reprogramaciones!$T$15+7*(Reprogramaciones!$S$15-1))),MIN(F159,(Reprogramaciones!$T$15+7*(Reprogramaciones!$S$15-1))+6),11))))))))</f>
        <v/>
      </c>
    </row>
    <row r="160" customFormat="false" ht="15" hidden="false" customHeight="false" outlineLevel="0" collapsed="false">
      <c r="A160" s="32"/>
      <c r="B160" s="33"/>
      <c r="C160" s="33"/>
      <c r="D160" s="34"/>
      <c r="E160" s="35"/>
      <c r="F160" s="35"/>
      <c r="G160" s="36" t="str">
        <f aca="false">IF(OR(NOT(AND(ISNUMBER(E160),ISNUMBER(F160))),$J$2=""),"",IF(Reprogramaciones!K$9&lt;E160,0,IF(NETWORKDAYS.INTL(E160,F160,11)=0,IF(Reprogramaciones!K$9&gt;=F160,100,0),ROUND(NETWORKDAYS.INTL(E160,MIN(F160,Reprogramaciones!K$9),11)/NETWORKDAYS.INTL(E160,F160,11)*100,1)))-0)</f>
        <v/>
      </c>
      <c r="H160" s="36" t="str">
        <f aca="false">IF(OR(NOT(AND(ISNUMBER(E160),ISNUMBER(F160))),$J$2=""),"",IF(Reprogramaciones!L$9&lt;E160,0,IF(NETWORKDAYS.INTL(E160,F160,11)=0,IF(Reprogramaciones!L$9&gt;=F160,100,0),ROUND(NETWORKDAYS.INTL(E160,MIN(F160,Reprogramaciones!L$9),11)/NETWORKDAYS.INTL(E160,F160,11)*100,1)))-IF(Reprogramaciones!K$9&lt;E160,0,IF(NETWORKDAYS.INTL(E160,F160,11)=0,IF(Reprogramaciones!K$9&gt;=F160,100,0),ROUND(NETWORKDAYS.INTL(E160,MIN(F160,Reprogramaciones!K$9),11)/NETWORKDAYS.INTL(E160,F160,11)*100,1))))</f>
        <v/>
      </c>
      <c r="I160" s="36" t="str">
        <f aca="false">IF(OR(NOT(AND(ISNUMBER(E160),ISNUMBER(F160))),$J$2=""),"",IF(Reprogramaciones!M$9&lt;E160,0,IF(NETWORKDAYS.INTL(E160,F160,11)=0,IF(Reprogramaciones!M$9&gt;=F160,100,0),ROUND(NETWORKDAYS.INTL(E160,MIN(F160,Reprogramaciones!M$9),11)/NETWORKDAYS.INTL(E160,F160,11)*100,1)))-IF(Reprogramaciones!L$9&lt;E160,0,IF(NETWORKDAYS.INTL(E160,F160,11)=0,IF(Reprogramaciones!L$9&gt;=F160,100,0),ROUND(NETWORKDAYS.INTL(E160,MIN(F160,Reprogramaciones!L$9),11)/NETWORKDAYS.INTL(E160,F160,11)*100,1))))</f>
        <v/>
      </c>
      <c r="J160" s="36" t="str">
        <f aca="false">IF(OR(NOT(AND(ISNUMBER(E160),ISNUMBER(F160))),$J$2=""),"",IF(Reprogramaciones!N$9&lt;E160,0,IF(NETWORKDAYS.INTL(E160,F160,11)=0,IF(Reprogramaciones!N$9&gt;=F160,100,0),ROUND(NETWORKDAYS.INTL(E160,MIN(F160,Reprogramaciones!N$9),11)/NETWORKDAYS.INTL(E160,F160,11)*100,1)))-IF(Reprogramaciones!M$9&lt;E160,0,IF(NETWORKDAYS.INTL(E160,F160,11)=0,IF(Reprogramaciones!M$9&gt;=F160,100,0),ROUND(NETWORKDAYS.INTL(E160,MIN(F160,Reprogramaciones!M$9),11)/NETWORKDAYS.INTL(E160,F160,11)*100,1))))</f>
        <v/>
      </c>
      <c r="K160" s="36" t="str">
        <f aca="false">IF(OR(NOT(AND(ISNUMBER(E160),ISNUMBER(F160))),$J$2=""),"",IF(Reprogramaciones!O$9&lt;E160,0,IF(NETWORKDAYS.INTL(E160,F160,11)=0,IF(Reprogramaciones!O$9&gt;=F160,100,0),ROUND(NETWORKDAYS.INTL(E160,MIN(F160,Reprogramaciones!O$9),11)/NETWORKDAYS.INTL(E160,F160,11)*100,1)))-IF(Reprogramaciones!N$9&lt;E160,0,IF(NETWORKDAYS.INTL(E160,F160,11)=0,IF(Reprogramaciones!N$9&gt;=F160,100,0),ROUND(NETWORKDAYS.INTL(E160,MIN(F160,Reprogramaciones!N$9),11)/NETWORKDAYS.INTL(E160,F160,11)*100,1))))</f>
        <v/>
      </c>
      <c r="L160" s="36" t="str">
        <f aca="false">IF(OR(NOT(AND(ISNUMBER(E160),ISNUMBER(F160))),$J$2=""),"",IF(Reprogramaciones!P$9&lt;E160,0,IF(NETWORKDAYS.INTL(E160,F160,11)=0,IF(Reprogramaciones!P$9&gt;=F160,100,0),ROUND(NETWORKDAYS.INTL(E160,MIN(F160,Reprogramaciones!P$9),11)/NETWORKDAYS.INTL(E160,F160,11)*100,1)))-IF(Reprogramaciones!O$9&lt;E160,0,IF(NETWORKDAYS.INTL(E160,F160,11)=0,IF(Reprogramaciones!O$9&gt;=F160,100,0),ROUND(NETWORKDAYS.INTL(E160,MIN(F160,Reprogramaciones!O$9),11)/NETWORKDAYS.INTL(E160,F160,11)*100,1))))</f>
        <v/>
      </c>
      <c r="M160" s="36" t="str">
        <f aca="false">IF(OR(NOT(AND(ISNUMBER(E160),ISNUMBER(F160))),$J$2=""),"",IF(Reprogramaciones!Q$9&lt;E160,0,IF(NETWORKDAYS.INTL(E160,F160,11)=0,IF(Reprogramaciones!Q$9&gt;=F160,100,0),ROUND(NETWORKDAYS.INTL(E160,MIN(F160,Reprogramaciones!Q$9),11)/NETWORKDAYS.INTL(E160,F160,11)*100,1)))-IF(Reprogramaciones!P$9&lt;E160,0,IF(NETWORKDAYS.INTL(E160,F160,11)=0,IF(Reprogramaciones!P$9&gt;=F160,100,0),ROUND(NETWORKDAYS.INTL(E160,MIN(F160,Reprogramaciones!P$9),11)/NETWORKDAYS.INTL(E160,F160,11)*100,1))))</f>
        <v/>
      </c>
      <c r="N160" s="36" t="str">
        <f aca="false">IF(OR(NOT(AND(ISNUMBER(E160),ISNUMBER(F160))),$J$2=""),"",IF(Reprogramaciones!R$9&lt;E160,0,IF(NETWORKDAYS.INTL(E160,F160,11)=0,IF(Reprogramaciones!R$9&gt;=F160,100,0),ROUND(NETWORKDAYS.INTL(E160,MIN(F160,Reprogramaciones!R$9),11)/NETWORKDAYS.INTL(E160,F160,11)*100,1)))-IF(Reprogramaciones!Q$9&lt;E160,0,IF(NETWORKDAYS.INTL(E160,F160,11)=0,IF(Reprogramaciones!Q$9&gt;=F160,100,0),ROUND(NETWORKDAYS.INTL(E160,MIN(F160,Reprogramaciones!Q$9),11)/NETWORKDAYS.INTL(E160,F160,11)*100,1))))</f>
        <v/>
      </c>
      <c r="O160" s="36" t="str">
        <f aca="false">IF(OR(NOT(AND(ISNUMBER(E160),ISNUMBER(F160))),$J$2=""),"",IF(Reprogramaciones!S$9&lt;E160,0,IF(NETWORKDAYS.INTL(E160,F160,11)=0,IF(Reprogramaciones!S$9&gt;=F160,100,0),ROUND(NETWORKDAYS.INTL(E160,MIN(F160,Reprogramaciones!S$9),11)/NETWORKDAYS.INTL(E160,F160,11)*100,1)))-IF(Reprogramaciones!R$9&lt;E160,0,IF(NETWORKDAYS.INTL(E160,F160,11)=0,IF(Reprogramaciones!R$9&gt;=F160,100,0),ROUND(NETWORKDAYS.INTL(E160,MIN(F160,Reprogramaciones!R$9),11)/NETWORKDAYS.INTL(E160,F160,11)*100,1))))</f>
        <v/>
      </c>
      <c r="P160" s="36" t="str">
        <f aca="false">IF(OR(NOT(AND(ISNUMBER(E160),ISNUMBER(F160))),$J$2=""),"",IF(Reprogramaciones!T$9&lt;E160,0,IF(NETWORKDAYS.INTL(E160,F160,11)=0,IF(Reprogramaciones!T$9&gt;=F160,100,0),ROUND(NETWORKDAYS.INTL(E160,MIN(F160,Reprogramaciones!T$9),11)/NETWORKDAYS.INTL(E160,F160,11)*100,1)))-IF(Reprogramaciones!S$9&lt;E160,0,IF(NETWORKDAYS.INTL(E160,F160,11)=0,IF(Reprogramaciones!S$9&gt;=F160,100,0),ROUND(NETWORKDAYS.INTL(E160,MIN(F160,Reprogramaciones!S$9),11)/NETWORKDAYS.INTL(E160,F160,11)*100,1))))</f>
        <v/>
      </c>
      <c r="Q160" s="37"/>
      <c r="R160" s="37"/>
      <c r="S160" s="37"/>
      <c r="T160" s="37"/>
      <c r="U160" s="37"/>
      <c r="V160" s="37"/>
      <c r="W160" s="37"/>
      <c r="X160" s="37"/>
      <c r="Y160" s="37"/>
      <c r="Z160" s="37"/>
      <c r="AA160" s="37"/>
      <c r="AB160" s="37"/>
      <c r="AC160" s="37"/>
      <c r="AD160" s="37"/>
      <c r="AE160" s="37"/>
      <c r="AF160" s="37"/>
      <c r="AG160" s="38" t="str">
        <f aca="false">IF(AND(ISNUMBER(E160),ISNUMBER(F160)),NETWORKDAYS.INTL(E160,F160,11),"")</f>
        <v/>
      </c>
      <c r="AH160" s="38" t="str">
        <f aca="false">IF(OR(NOT(AND(ISNUMBER(E160),ISNUMBER(F160))),$J$2=""),"",IF(Reprogramaciones!$P$15&lt;Reprogramaciones!$T$15,0,IF(Reprogramaciones!$R$15&gt;10,MIN(100,SUM($G160:$P160)),MIN(100,SUMPRODUCT((COLUMN($G160:$P160)-COLUMN($G160)+1&lt;Reprogramaciones!$R$15)*$G160:$P160)+N(INDEX($G160:$P160,1,Reprogramaciones!$R$15))*IF(Reprogramaciones!$P$15&gt;=(Reprogramaciones!$T$15+7*(Reprogramaciones!$R$15-1))+6,1,IF(MAX(0,NETWORKDAYS.INTL(MAX(E160,(Reprogramaciones!$T$15+7*(Reprogramaciones!$R$15-1))),MIN(F160,(Reprogramaciones!$T$15+7*(Reprogramaciones!$R$15-1))+6),11))=0,0,MAX(0,NETWORKDAYS.INTL(MAX(E160,(Reprogramaciones!$T$15+7*(Reprogramaciones!$R$15-1))),MIN(F160,Reprogramaciones!$P$15),11))/MAX(0,NETWORKDAYS.INTL(MAX(E160,(Reprogramaciones!$T$15+7*(Reprogramaciones!$R$15-1))),MIN(F160,(Reprogramaciones!$T$15+7*(Reprogramaciones!$R$15-1))+6),11))))))))</f>
        <v/>
      </c>
      <c r="AI160" s="38" t="str">
        <f aca="false">IF(COUNT($Q160:$AF160)=0,"",IF(ROUND(SUM($Q160:$AF160),1)&gt;=99.5,100,MIN(100,ROUND(SUM($Q160:$AF160),1))))</f>
        <v/>
      </c>
      <c r="AJ160" s="38" t="str">
        <f aca="false">IF(OR(AH160="",AI160=""),"",AI160-AH160)</f>
        <v/>
      </c>
      <c r="AK160" s="39" t="str">
        <f aca="true">IF(AH160="","",IF(OR(Ficha!$C$10="Suspendida",Ficha!$C$10="Cancelada"),Ficha!$C$10,IF(AND(AI160&lt;&gt;"",N(AI160)&gt;=100),"Completada",IF(AND(E160&gt;TODAY(),N(AI160)=0),"Por iniciar",IF(N(AI160)+0.5&lt;AH160,"Retrasada",IF(N(AI160)+0.5&lt;DA160,IF(Reprogramaciones!$K$15&gt;0,"Al día · Sem "&amp;Reprogramaciones!$K$15&amp;" en curso","Al día · en curso"),"A tiempo"))))))</f>
        <v/>
      </c>
      <c r="AL160" s="39" t="str">
        <f aca="true">IF(AND(A160="",AND(B160="",C160="",E160="",F160="",COUNT(Q160:AF160)=0)),"",IF(AND(B160="",C160="",E160="",F160="",COUNT(Q160:AF160)=0),"Falta la partida o subpartida",IF(AND(A160&lt;&gt;"",COUNTIF($A$6:$A$305,A160)&gt;1),"Ítem repetido",IF(AND(C160="",E160="",F160="",COUNT(Q160:AF160)=0),"Título de partida",IF(OR(E160="",F160=""),"Faltan fechas",IF(OR(ISTEXT(E160),ISTEXT(F160)),"Fecha escrita como texto: usa dd/mm/aaaa",IF(F160&lt;E160,"Fin antes del inicio",IF(IF($J$2="",FALSE(),OR(E160&lt;$J$2,F160&gt;Reprogramaciones!$T$15+69)),"Fuera de las 10 semanas",IF(ABS(SUM(G160:P160)-100)&gt;0.5,"La meta no suma 100%",IF(ROUND(SUM(Q160:AF160),1)&gt;100.5,"El avance pasa de 100%",IF(MIN(Q160:AF160)&lt;0,"Avance negativo",IF(COUNTA(Q160:AF160)&gt;COUNT(Q160:AF160),"Avance escrito como texto",IF(SUMPRODUCT((Q160:AF160&gt;0)*(Q160:AF160&lt;1))&gt;0,"Avance menor a 1: escribe 50, no 50%",IF(SUMPRODUCT(ISNUMBER(Q160:AF160)*(Reprogramaciones!$K$8:$Z$8&gt;TODAY()))&gt;0,"Avance en semana que aún no llega",IF(AND(N(Reprogramaciones!$E$21)&gt;0,F160&gt;Reprogramaciones!$E$21),"Pasa el fin de la obra: registra una reprogramación",IF(AND(N(Reprogramaciones!$E$21)&gt;0,SUMPRODUCT(ISNUMBER(Q160:AF160)*(Reprogramaciones!$K$8:$Z$8&gt;Reprogramaciones!$E$21))&gt;0),"Avance después del fin de la obra: registra una reprogramación por atraso","OK"))))))))))))))))</f>
        <v/>
      </c>
      <c r="AM160" s="40" t="str">
        <f aca="false">IF(OR(OR(NOT(AND(ISNUMBER(E160),ISNUMBER(F160))),$J$2=""),1&gt;MAX(1,Reprogramaciones!$U$15)),"",IF(Reprogramaciones!K$12&gt;=7,"",IF(OR(BT160-N(0)&gt;0.05,N(Q160)&gt;0),ROUNDDOWN(ROUND(BT160,6),0)&amp;"%"&amp;IF(CJ160="",""," / "&amp;CJ160&amp;"%"),IF(AND(N(0)&gt;=99.95,CJ160&lt;&gt;"",N(CJ160)&lt;100),"Pend. "&amp;CJ160&amp;"%",""))))</f>
        <v/>
      </c>
      <c r="AN160" s="40" t="str">
        <f aca="false">IF(OR(OR(NOT(AND(ISNUMBER(E160),ISNUMBER(F160))),$J$2=""),2&gt;MAX(1,Reprogramaciones!$U$15)),"",IF(Reprogramaciones!L$12&gt;=7,"",IF(OR(BU160-N(BT160)&gt;0.05,N(R160)&gt;0),ROUNDDOWN(ROUND(BU160,6),0)&amp;"%"&amp;IF(CK160="",""," / "&amp;CK160&amp;"%"),IF(AND(N(BT160)&gt;=99.95,CK160&lt;&gt;"",N(CK160)&lt;100),"Pend. "&amp;CK160&amp;"%",""))))</f>
        <v/>
      </c>
      <c r="AO160" s="40" t="str">
        <f aca="false">IF(OR(OR(NOT(AND(ISNUMBER(E160),ISNUMBER(F160))),$J$2=""),3&gt;MAX(1,Reprogramaciones!$U$15)),"",IF(Reprogramaciones!M$12&gt;=7,"",IF(OR(BV160-N(BU160)&gt;0.05,N(S160)&gt;0),ROUNDDOWN(ROUND(BV160,6),0)&amp;"%"&amp;IF(CL160="",""," / "&amp;CL160&amp;"%"),IF(AND(N(BU160)&gt;=99.95,CL160&lt;&gt;"",N(CL160)&lt;100),"Pend. "&amp;CL160&amp;"%",""))))</f>
        <v/>
      </c>
      <c r="AP160" s="40" t="str">
        <f aca="false">IF(OR(OR(NOT(AND(ISNUMBER(E160),ISNUMBER(F160))),$J$2=""),4&gt;MAX(1,Reprogramaciones!$U$15)),"",IF(Reprogramaciones!N$12&gt;=7,"",IF(OR(BW160-N(BV160)&gt;0.05,N(T160)&gt;0),ROUNDDOWN(ROUND(BW160,6),0)&amp;"%"&amp;IF(CM160="",""," / "&amp;CM160&amp;"%"),IF(AND(N(BV160)&gt;=99.95,CM160&lt;&gt;"",N(CM160)&lt;100),"Pend. "&amp;CM160&amp;"%",""))))</f>
        <v/>
      </c>
      <c r="AQ160" s="40" t="str">
        <f aca="false">IF(OR(OR(NOT(AND(ISNUMBER(E160),ISNUMBER(F160))),$J$2=""),5&gt;MAX(1,Reprogramaciones!$U$15)),"",IF(Reprogramaciones!O$12&gt;=7,"",IF(OR(BX160-N(BW160)&gt;0.05,N(U160)&gt;0),ROUNDDOWN(ROUND(BX160,6),0)&amp;"%"&amp;IF(CN160="",""," / "&amp;CN160&amp;"%"),IF(AND(N(BW160)&gt;=99.95,CN160&lt;&gt;"",N(CN160)&lt;100),"Pend. "&amp;CN160&amp;"%",""))))</f>
        <v/>
      </c>
      <c r="AR160" s="40" t="str">
        <f aca="false">IF(OR(OR(NOT(AND(ISNUMBER(E160),ISNUMBER(F160))),$J$2=""),6&gt;MAX(1,Reprogramaciones!$U$15)),"",IF(Reprogramaciones!P$12&gt;=7,"",IF(OR(BY160-N(BX160)&gt;0.05,N(V160)&gt;0),ROUNDDOWN(ROUND(BY160,6),0)&amp;"%"&amp;IF(CO160="",""," / "&amp;CO160&amp;"%"),IF(AND(N(BX160)&gt;=99.95,CO160&lt;&gt;"",N(CO160)&lt;100),"Pend. "&amp;CO160&amp;"%",""))))</f>
        <v/>
      </c>
      <c r="AS160" s="40" t="str">
        <f aca="false">IF(OR(OR(NOT(AND(ISNUMBER(E160),ISNUMBER(F160))),$J$2=""),7&gt;MAX(1,Reprogramaciones!$U$15)),"",IF(Reprogramaciones!Q$12&gt;=7,"",IF(OR(BZ160-N(BY160)&gt;0.05,N(W160)&gt;0),ROUNDDOWN(ROUND(BZ160,6),0)&amp;"%"&amp;IF(CP160="",""," / "&amp;CP160&amp;"%"),IF(AND(N(BY160)&gt;=99.95,CP160&lt;&gt;"",N(CP160)&lt;100),"Pend. "&amp;CP160&amp;"%",""))))</f>
        <v/>
      </c>
      <c r="AT160" s="40" t="str">
        <f aca="false">IF(OR(OR(NOT(AND(ISNUMBER(E160),ISNUMBER(F160))),$J$2=""),8&gt;MAX(1,Reprogramaciones!$U$15)),"",IF(Reprogramaciones!R$12&gt;=7,"",IF(OR(CA160-N(BZ160)&gt;0.05,N(X160)&gt;0),ROUNDDOWN(ROUND(CA160,6),0)&amp;"%"&amp;IF(CQ160="",""," / "&amp;CQ160&amp;"%"),IF(AND(N(BZ160)&gt;=99.95,CQ160&lt;&gt;"",N(CQ160)&lt;100),"Pend. "&amp;CQ160&amp;"%",""))))</f>
        <v/>
      </c>
      <c r="AU160" s="40" t="str">
        <f aca="false">IF(OR(OR(NOT(AND(ISNUMBER(E160),ISNUMBER(F160))),$J$2=""),9&gt;MAX(1,Reprogramaciones!$U$15)),"",IF(Reprogramaciones!S$12&gt;=7,"",IF(OR(CB160-N(CA160)&gt;0.05,N(Y160)&gt;0),ROUNDDOWN(ROUND(CB160,6),0)&amp;"%"&amp;IF(CR160="",""," / "&amp;CR160&amp;"%"),IF(AND(N(CA160)&gt;=99.95,CR160&lt;&gt;"",N(CR160)&lt;100),"Pend. "&amp;CR160&amp;"%",""))))</f>
        <v/>
      </c>
      <c r="AV160" s="40" t="str">
        <f aca="false">IF(OR(OR(NOT(AND(ISNUMBER(E160),ISNUMBER(F160))),$J$2=""),10&gt;MAX(1,Reprogramaciones!$U$15)),"",IF(Reprogramaciones!T$12&gt;=7,"",IF(OR(CC160-N(CB160)&gt;0.05,N(Z160)&gt;0),ROUNDDOWN(ROUND(CC160,6),0)&amp;"%"&amp;IF(CS160="",""," / "&amp;CS160&amp;"%"),IF(AND(N(CB160)&gt;=99.95,CS160&lt;&gt;"",N(CS160)&lt;100),"Pend. "&amp;CS160&amp;"%",""))))</f>
        <v/>
      </c>
      <c r="AW160" s="40" t="str">
        <f aca="false">IF(OR(OR(NOT(AND(ISNUMBER(E160),ISNUMBER(F160))),$J$2=""),11&gt;MAX(1,Reprogramaciones!$U$15)),"",IF(Reprogramaciones!U$12&gt;=7,"",IF(OR(CD160-N(CC160)&gt;0.05,N(AA160)&gt;0),ROUNDDOWN(ROUND(CD160,6),0)&amp;"%"&amp;IF(CT160="",""," / "&amp;CT160&amp;"%"),IF(AND(N(CC160)&gt;=99.95,CT160&lt;&gt;"",N(CT160)&lt;100),"Pend. "&amp;CT160&amp;"%",""))))</f>
        <v/>
      </c>
      <c r="AX160" s="40" t="str">
        <f aca="false">IF(OR(OR(NOT(AND(ISNUMBER(E160),ISNUMBER(F160))),$J$2=""),12&gt;MAX(1,Reprogramaciones!$U$15)),"",IF(Reprogramaciones!V$12&gt;=7,"",IF(OR(CE160-N(CD160)&gt;0.05,N(AB160)&gt;0),ROUNDDOWN(ROUND(CE160,6),0)&amp;"%"&amp;IF(CU160="",""," / "&amp;CU160&amp;"%"),IF(AND(N(CD160)&gt;=99.95,CU160&lt;&gt;"",N(CU160)&lt;100),"Pend. "&amp;CU160&amp;"%",""))))</f>
        <v/>
      </c>
      <c r="AY160" s="40" t="str">
        <f aca="false">IF(OR(OR(NOT(AND(ISNUMBER(E160),ISNUMBER(F160))),$J$2=""),13&gt;MAX(1,Reprogramaciones!$U$15)),"",IF(Reprogramaciones!W$12&gt;=7,"",IF(OR(CF160-N(CE160)&gt;0.05,N(AC160)&gt;0),ROUNDDOWN(ROUND(CF160,6),0)&amp;"%"&amp;IF(CV160="",""," / "&amp;CV160&amp;"%"),IF(AND(N(CE160)&gt;=99.95,CV160&lt;&gt;"",N(CV160)&lt;100),"Pend. "&amp;CV160&amp;"%",""))))</f>
        <v/>
      </c>
      <c r="AZ160" s="40" t="str">
        <f aca="false">IF(OR(OR(NOT(AND(ISNUMBER(E160),ISNUMBER(F160))),$J$2=""),14&gt;MAX(1,Reprogramaciones!$U$15)),"",IF(Reprogramaciones!X$12&gt;=7,"",IF(OR(CG160-N(CF160)&gt;0.05,N(AD160)&gt;0),ROUNDDOWN(ROUND(CG160,6),0)&amp;"%"&amp;IF(CW160="",""," / "&amp;CW160&amp;"%"),IF(AND(N(CF160)&gt;=99.95,CW160&lt;&gt;"",N(CW160)&lt;100),"Pend. "&amp;CW160&amp;"%",""))))</f>
        <v/>
      </c>
      <c r="BA160" s="40" t="str">
        <f aca="false">IF(OR(OR(NOT(AND(ISNUMBER(E160),ISNUMBER(F160))),$J$2=""),15&gt;MAX(1,Reprogramaciones!$U$15)),"",IF(Reprogramaciones!Y$12&gt;=7,"",IF(OR(CH160-N(CG160)&gt;0.05,N(AE160)&gt;0),ROUNDDOWN(ROUND(CH160,6),0)&amp;"%"&amp;IF(CX160="",""," / "&amp;CX160&amp;"%"),IF(AND(N(CG160)&gt;=99.95,CX160&lt;&gt;"",N(CX160)&lt;100),"Pend. "&amp;CX160&amp;"%",""))))</f>
        <v/>
      </c>
      <c r="BB160" s="40" t="str">
        <f aca="false">IF(OR(OR(NOT(AND(ISNUMBER(E160),ISNUMBER(F160))),$J$2=""),16&gt;MAX(1,Reprogramaciones!$U$15)),"",IF(Reprogramaciones!Z$12&gt;=7,"",IF(OR(CI160-N(CH160)&gt;0.05,N(AF160)&gt;0),ROUNDDOWN(ROUND(CI160,6),0)&amp;"%"&amp;IF(CY160="",""," / "&amp;CY160&amp;"%"),IF(AND(N(CH160)&gt;=99.95,CY160&lt;&gt;"",N(CY160)&lt;100),"Pend. "&amp;CY160&amp;"%",""))))</f>
        <v/>
      </c>
      <c r="BC160" s="31" t="n">
        <f aca="false">IF(AND(ISNUMBER(E160),ISNUMBER(F160)),MAX(1,NETWORKDAYS.INTL(E160,F160,11)),0)</f>
        <v>0</v>
      </c>
      <c r="BD160" s="1" t="str">
        <f aca="false">IF(OR(NOT(AND(ISNUMBER(E160),ISNUMBER(F160))),$J$2=""),"",MIN(100,ROUND(SUM($G160:G160),1)))</f>
        <v/>
      </c>
      <c r="BE160" s="1" t="str">
        <f aca="false">IF(OR(NOT(AND(ISNUMBER(E160),ISNUMBER(F160))),$J$2=""),"",MIN(100,ROUND(SUM($G160:H160),1)))</f>
        <v/>
      </c>
      <c r="BF160" s="1" t="str">
        <f aca="false">IF(OR(NOT(AND(ISNUMBER(E160),ISNUMBER(F160))),$J$2=""),"",MIN(100,ROUND(SUM($G160:I160),1)))</f>
        <v/>
      </c>
      <c r="BG160" s="1" t="str">
        <f aca="false">IF(OR(NOT(AND(ISNUMBER(E160),ISNUMBER(F160))),$J$2=""),"",MIN(100,ROUND(SUM($G160:J160),1)))</f>
        <v/>
      </c>
      <c r="BH160" s="1" t="str">
        <f aca="false">IF(OR(NOT(AND(ISNUMBER(E160),ISNUMBER(F160))),$J$2=""),"",MIN(100,ROUND(SUM($G160:K160),1)))</f>
        <v/>
      </c>
      <c r="BI160" s="1" t="str">
        <f aca="false">IF(OR(NOT(AND(ISNUMBER(E160),ISNUMBER(F160))),$J$2=""),"",MIN(100,ROUND(SUM($G160:L160),1)))</f>
        <v/>
      </c>
      <c r="BJ160" s="1" t="str">
        <f aca="false">IF(OR(NOT(AND(ISNUMBER(E160),ISNUMBER(F160))),$J$2=""),"",MIN(100,ROUND(SUM($G160:M160),1)))</f>
        <v/>
      </c>
      <c r="BK160" s="1" t="str">
        <f aca="false">IF(OR(NOT(AND(ISNUMBER(E160),ISNUMBER(F160))),$J$2=""),"",MIN(100,ROUND(SUM($G160:N160),1)))</f>
        <v/>
      </c>
      <c r="BL160" s="1" t="str">
        <f aca="false">IF(OR(NOT(AND(ISNUMBER(E160),ISNUMBER(F160))),$J$2=""),"",MIN(100,ROUND(SUM($G160:O160),1)))</f>
        <v/>
      </c>
      <c r="BM160" s="1" t="str">
        <f aca="false">IF(OR(NOT(AND(ISNUMBER(E160),ISNUMBER(F160))),$J$2=""),"",MIN(100,ROUND(SUM($G160:P160),1)))</f>
        <v/>
      </c>
      <c r="BN160" s="1" t="str">
        <f aca="false">IF(OR(NOT(AND(ISNUMBER(E160),ISNUMBER(F160))),$J$2=""),"",MIN(100,ROUND(SUM($G160:P160),1)))</f>
        <v/>
      </c>
      <c r="BO160" s="1" t="str">
        <f aca="false">IF(OR(NOT(AND(ISNUMBER(E160),ISNUMBER(F160))),$J$2=""),"",MIN(100,ROUND(SUM($G160:P160),1)))</f>
        <v/>
      </c>
      <c r="BP160" s="1" t="str">
        <f aca="false">IF(OR(NOT(AND(ISNUMBER(E160),ISNUMBER(F160))),$J$2=""),"",MIN(100,ROUND(SUM($G160:P160),1)))</f>
        <v/>
      </c>
      <c r="BQ160" s="1" t="str">
        <f aca="false">IF(OR(NOT(AND(ISNUMBER(E160),ISNUMBER(F160))),$J$2=""),"",MIN(100,ROUND(SUM($G160:P160),1)))</f>
        <v/>
      </c>
      <c r="BR160" s="1" t="str">
        <f aca="false">IF(OR(NOT(AND(ISNUMBER(E160),ISNUMBER(F160))),$J$2=""),"",MIN(100,ROUND(SUM($G160:P160),1)))</f>
        <v/>
      </c>
      <c r="BS160" s="1" t="str">
        <f aca="false">IF(OR(NOT(AND(ISNUMBER(E160),ISNUMBER(F160))),$J$2=""),"",MIN(100,ROUND(SUM($G160:P160),1)))</f>
        <v/>
      </c>
      <c r="BT160" s="1" t="str">
        <f aca="false">IF(OR(NOT(AND(ISNUMBER(E160),ISNUMBER(F160))),$J$2=""),"",IF(Reprogramaciones!K$13&lt;Reprogramaciones!$T$15,0,IF(Reprogramaciones!K$14&gt;10,MIN(100,SUM($G160:$P160)),MIN(100,SUMPRODUCT((COLUMN($G160:$P160)-COLUMN($G160)+1&lt;Reprogramaciones!K$14)*$G160:$P160)+N(INDEX($G160:$P160,1,Reprogramaciones!K$14))*IF(Reprogramaciones!K$13&gt;=(Reprogramaciones!$T$15+7*(Reprogramaciones!K$14-1))+6,1,IF(MAX(0,NETWORKDAYS.INTL(MAX(E160,(Reprogramaciones!$T$15+7*(Reprogramaciones!K$14-1))),MIN(F160,(Reprogramaciones!$T$15+7*(Reprogramaciones!K$14-1))+6),11))=0,0,MAX(0,NETWORKDAYS.INTL(MAX(E160,(Reprogramaciones!$T$15+7*(Reprogramaciones!K$14-1))),MIN(F160,Reprogramaciones!K$13),11))/MAX(0,NETWORKDAYS.INTL(MAX(E160,(Reprogramaciones!$T$15+7*(Reprogramaciones!K$14-1))),MIN(F160,(Reprogramaciones!$T$15+7*(Reprogramaciones!K$14-1))+6),11))))))))</f>
        <v/>
      </c>
      <c r="BU160" s="1" t="str">
        <f aca="false">IF(OR(NOT(AND(ISNUMBER(E160),ISNUMBER(F160))),$J$2=""),"",IF(Reprogramaciones!L$13&lt;Reprogramaciones!$T$15,0,IF(Reprogramaciones!L$14&gt;10,MIN(100,SUM($G160:$P160)),MIN(100,SUMPRODUCT((COLUMN($G160:$P160)-COLUMN($G160)+1&lt;Reprogramaciones!L$14)*$G160:$P160)+N(INDEX($G160:$P160,1,Reprogramaciones!L$14))*IF(Reprogramaciones!L$13&gt;=(Reprogramaciones!$T$15+7*(Reprogramaciones!L$14-1))+6,1,IF(MAX(0,NETWORKDAYS.INTL(MAX(E160,(Reprogramaciones!$T$15+7*(Reprogramaciones!L$14-1))),MIN(F160,(Reprogramaciones!$T$15+7*(Reprogramaciones!L$14-1))+6),11))=0,0,MAX(0,NETWORKDAYS.INTL(MAX(E160,(Reprogramaciones!$T$15+7*(Reprogramaciones!L$14-1))),MIN(F160,Reprogramaciones!L$13),11))/MAX(0,NETWORKDAYS.INTL(MAX(E160,(Reprogramaciones!$T$15+7*(Reprogramaciones!L$14-1))),MIN(F160,(Reprogramaciones!$T$15+7*(Reprogramaciones!L$14-1))+6),11))))))))</f>
        <v/>
      </c>
      <c r="BV160" s="1" t="str">
        <f aca="false">IF(OR(NOT(AND(ISNUMBER(E160),ISNUMBER(F160))),$J$2=""),"",IF(Reprogramaciones!M$13&lt;Reprogramaciones!$T$15,0,IF(Reprogramaciones!M$14&gt;10,MIN(100,SUM($G160:$P160)),MIN(100,SUMPRODUCT((COLUMN($G160:$P160)-COLUMN($G160)+1&lt;Reprogramaciones!M$14)*$G160:$P160)+N(INDEX($G160:$P160,1,Reprogramaciones!M$14))*IF(Reprogramaciones!M$13&gt;=(Reprogramaciones!$T$15+7*(Reprogramaciones!M$14-1))+6,1,IF(MAX(0,NETWORKDAYS.INTL(MAX(E160,(Reprogramaciones!$T$15+7*(Reprogramaciones!M$14-1))),MIN(F160,(Reprogramaciones!$T$15+7*(Reprogramaciones!M$14-1))+6),11))=0,0,MAX(0,NETWORKDAYS.INTL(MAX(E160,(Reprogramaciones!$T$15+7*(Reprogramaciones!M$14-1))),MIN(F160,Reprogramaciones!M$13),11))/MAX(0,NETWORKDAYS.INTL(MAX(E160,(Reprogramaciones!$T$15+7*(Reprogramaciones!M$14-1))),MIN(F160,(Reprogramaciones!$T$15+7*(Reprogramaciones!M$14-1))+6),11))))))))</f>
        <v/>
      </c>
      <c r="BW160" s="1" t="str">
        <f aca="false">IF(OR(NOT(AND(ISNUMBER(E160),ISNUMBER(F160))),$J$2=""),"",IF(Reprogramaciones!N$13&lt;Reprogramaciones!$T$15,0,IF(Reprogramaciones!N$14&gt;10,MIN(100,SUM($G160:$P160)),MIN(100,SUMPRODUCT((COLUMN($G160:$P160)-COLUMN($G160)+1&lt;Reprogramaciones!N$14)*$G160:$P160)+N(INDEX($G160:$P160,1,Reprogramaciones!N$14))*IF(Reprogramaciones!N$13&gt;=(Reprogramaciones!$T$15+7*(Reprogramaciones!N$14-1))+6,1,IF(MAX(0,NETWORKDAYS.INTL(MAX(E160,(Reprogramaciones!$T$15+7*(Reprogramaciones!N$14-1))),MIN(F160,(Reprogramaciones!$T$15+7*(Reprogramaciones!N$14-1))+6),11))=0,0,MAX(0,NETWORKDAYS.INTL(MAX(E160,(Reprogramaciones!$T$15+7*(Reprogramaciones!N$14-1))),MIN(F160,Reprogramaciones!N$13),11))/MAX(0,NETWORKDAYS.INTL(MAX(E160,(Reprogramaciones!$T$15+7*(Reprogramaciones!N$14-1))),MIN(F160,(Reprogramaciones!$T$15+7*(Reprogramaciones!N$14-1))+6),11))))))))</f>
        <v/>
      </c>
      <c r="BX160" s="1" t="str">
        <f aca="false">IF(OR(NOT(AND(ISNUMBER(E160),ISNUMBER(F160))),$J$2=""),"",IF(Reprogramaciones!O$13&lt;Reprogramaciones!$T$15,0,IF(Reprogramaciones!O$14&gt;10,MIN(100,SUM($G160:$P160)),MIN(100,SUMPRODUCT((COLUMN($G160:$P160)-COLUMN($G160)+1&lt;Reprogramaciones!O$14)*$G160:$P160)+N(INDEX($G160:$P160,1,Reprogramaciones!O$14))*IF(Reprogramaciones!O$13&gt;=(Reprogramaciones!$T$15+7*(Reprogramaciones!O$14-1))+6,1,IF(MAX(0,NETWORKDAYS.INTL(MAX(E160,(Reprogramaciones!$T$15+7*(Reprogramaciones!O$14-1))),MIN(F160,(Reprogramaciones!$T$15+7*(Reprogramaciones!O$14-1))+6),11))=0,0,MAX(0,NETWORKDAYS.INTL(MAX(E160,(Reprogramaciones!$T$15+7*(Reprogramaciones!O$14-1))),MIN(F160,Reprogramaciones!O$13),11))/MAX(0,NETWORKDAYS.INTL(MAX(E160,(Reprogramaciones!$T$15+7*(Reprogramaciones!O$14-1))),MIN(F160,(Reprogramaciones!$T$15+7*(Reprogramaciones!O$14-1))+6),11))))))))</f>
        <v/>
      </c>
      <c r="BY160" s="1" t="str">
        <f aca="false">IF(OR(NOT(AND(ISNUMBER(E160),ISNUMBER(F160))),$J$2=""),"",IF(Reprogramaciones!P$13&lt;Reprogramaciones!$T$15,0,IF(Reprogramaciones!P$14&gt;10,MIN(100,SUM($G160:$P160)),MIN(100,SUMPRODUCT((COLUMN($G160:$P160)-COLUMN($G160)+1&lt;Reprogramaciones!P$14)*$G160:$P160)+N(INDEX($G160:$P160,1,Reprogramaciones!P$14))*IF(Reprogramaciones!P$13&gt;=(Reprogramaciones!$T$15+7*(Reprogramaciones!P$14-1))+6,1,IF(MAX(0,NETWORKDAYS.INTL(MAX(E160,(Reprogramaciones!$T$15+7*(Reprogramaciones!P$14-1))),MIN(F160,(Reprogramaciones!$T$15+7*(Reprogramaciones!P$14-1))+6),11))=0,0,MAX(0,NETWORKDAYS.INTL(MAX(E160,(Reprogramaciones!$T$15+7*(Reprogramaciones!P$14-1))),MIN(F160,Reprogramaciones!P$13),11))/MAX(0,NETWORKDAYS.INTL(MAX(E160,(Reprogramaciones!$T$15+7*(Reprogramaciones!P$14-1))),MIN(F160,(Reprogramaciones!$T$15+7*(Reprogramaciones!P$14-1))+6),11))))))))</f>
        <v/>
      </c>
      <c r="BZ160" s="1" t="str">
        <f aca="false">IF(OR(NOT(AND(ISNUMBER(E160),ISNUMBER(F160))),$J$2=""),"",IF(Reprogramaciones!Q$13&lt;Reprogramaciones!$T$15,0,IF(Reprogramaciones!Q$14&gt;10,MIN(100,SUM($G160:$P160)),MIN(100,SUMPRODUCT((COLUMN($G160:$P160)-COLUMN($G160)+1&lt;Reprogramaciones!Q$14)*$G160:$P160)+N(INDEX($G160:$P160,1,Reprogramaciones!Q$14))*IF(Reprogramaciones!Q$13&gt;=(Reprogramaciones!$T$15+7*(Reprogramaciones!Q$14-1))+6,1,IF(MAX(0,NETWORKDAYS.INTL(MAX(E160,(Reprogramaciones!$T$15+7*(Reprogramaciones!Q$14-1))),MIN(F160,(Reprogramaciones!$T$15+7*(Reprogramaciones!Q$14-1))+6),11))=0,0,MAX(0,NETWORKDAYS.INTL(MAX(E160,(Reprogramaciones!$T$15+7*(Reprogramaciones!Q$14-1))),MIN(F160,Reprogramaciones!Q$13),11))/MAX(0,NETWORKDAYS.INTL(MAX(E160,(Reprogramaciones!$T$15+7*(Reprogramaciones!Q$14-1))),MIN(F160,(Reprogramaciones!$T$15+7*(Reprogramaciones!Q$14-1))+6),11))))))))</f>
        <v/>
      </c>
      <c r="CA160" s="1" t="str">
        <f aca="false">IF(OR(NOT(AND(ISNUMBER(E160),ISNUMBER(F160))),$J$2=""),"",IF(Reprogramaciones!R$13&lt;Reprogramaciones!$T$15,0,IF(Reprogramaciones!R$14&gt;10,MIN(100,SUM($G160:$P160)),MIN(100,SUMPRODUCT((COLUMN($G160:$P160)-COLUMN($G160)+1&lt;Reprogramaciones!R$14)*$G160:$P160)+N(INDEX($G160:$P160,1,Reprogramaciones!R$14))*IF(Reprogramaciones!R$13&gt;=(Reprogramaciones!$T$15+7*(Reprogramaciones!R$14-1))+6,1,IF(MAX(0,NETWORKDAYS.INTL(MAX(E160,(Reprogramaciones!$T$15+7*(Reprogramaciones!R$14-1))),MIN(F160,(Reprogramaciones!$T$15+7*(Reprogramaciones!R$14-1))+6),11))=0,0,MAX(0,NETWORKDAYS.INTL(MAX(E160,(Reprogramaciones!$T$15+7*(Reprogramaciones!R$14-1))),MIN(F160,Reprogramaciones!R$13),11))/MAX(0,NETWORKDAYS.INTL(MAX(E160,(Reprogramaciones!$T$15+7*(Reprogramaciones!R$14-1))),MIN(F160,(Reprogramaciones!$T$15+7*(Reprogramaciones!R$14-1))+6),11))))))))</f>
        <v/>
      </c>
      <c r="CB160" s="1" t="str">
        <f aca="false">IF(OR(NOT(AND(ISNUMBER(E160),ISNUMBER(F160))),$J$2=""),"",IF(Reprogramaciones!S$13&lt;Reprogramaciones!$T$15,0,IF(Reprogramaciones!S$14&gt;10,MIN(100,SUM($G160:$P160)),MIN(100,SUMPRODUCT((COLUMN($G160:$P160)-COLUMN($G160)+1&lt;Reprogramaciones!S$14)*$G160:$P160)+N(INDEX($G160:$P160,1,Reprogramaciones!S$14))*IF(Reprogramaciones!S$13&gt;=(Reprogramaciones!$T$15+7*(Reprogramaciones!S$14-1))+6,1,IF(MAX(0,NETWORKDAYS.INTL(MAX(E160,(Reprogramaciones!$T$15+7*(Reprogramaciones!S$14-1))),MIN(F160,(Reprogramaciones!$T$15+7*(Reprogramaciones!S$14-1))+6),11))=0,0,MAX(0,NETWORKDAYS.INTL(MAX(E160,(Reprogramaciones!$T$15+7*(Reprogramaciones!S$14-1))),MIN(F160,Reprogramaciones!S$13),11))/MAX(0,NETWORKDAYS.INTL(MAX(E160,(Reprogramaciones!$T$15+7*(Reprogramaciones!S$14-1))),MIN(F160,(Reprogramaciones!$T$15+7*(Reprogramaciones!S$14-1))+6),11))))))))</f>
        <v/>
      </c>
      <c r="CC160" s="1" t="str">
        <f aca="false">IF(OR(NOT(AND(ISNUMBER(E160),ISNUMBER(F160))),$J$2=""),"",IF(Reprogramaciones!T$13&lt;Reprogramaciones!$T$15,0,IF(Reprogramaciones!T$14&gt;10,MIN(100,SUM($G160:$P160)),MIN(100,SUMPRODUCT((COLUMN($G160:$P160)-COLUMN($G160)+1&lt;Reprogramaciones!T$14)*$G160:$P160)+N(INDEX($G160:$P160,1,Reprogramaciones!T$14))*IF(Reprogramaciones!T$13&gt;=(Reprogramaciones!$T$15+7*(Reprogramaciones!T$14-1))+6,1,IF(MAX(0,NETWORKDAYS.INTL(MAX(E160,(Reprogramaciones!$T$15+7*(Reprogramaciones!T$14-1))),MIN(F160,(Reprogramaciones!$T$15+7*(Reprogramaciones!T$14-1))+6),11))=0,0,MAX(0,NETWORKDAYS.INTL(MAX(E160,(Reprogramaciones!$T$15+7*(Reprogramaciones!T$14-1))),MIN(F160,Reprogramaciones!T$13),11))/MAX(0,NETWORKDAYS.INTL(MAX(E160,(Reprogramaciones!$T$15+7*(Reprogramaciones!T$14-1))),MIN(F160,(Reprogramaciones!$T$15+7*(Reprogramaciones!T$14-1))+6),11))))))))</f>
        <v/>
      </c>
      <c r="CD160" s="1" t="str">
        <f aca="false">IF(OR(NOT(AND(ISNUMBER(E160),ISNUMBER(F160))),$J$2=""),"",IF(Reprogramaciones!U$13&lt;Reprogramaciones!$T$15,0,IF(Reprogramaciones!U$14&gt;10,MIN(100,SUM($G160:$P160)),MIN(100,SUMPRODUCT((COLUMN($G160:$P160)-COLUMN($G160)+1&lt;Reprogramaciones!U$14)*$G160:$P160)+N(INDEX($G160:$P160,1,Reprogramaciones!U$14))*IF(Reprogramaciones!U$13&gt;=(Reprogramaciones!$T$15+7*(Reprogramaciones!U$14-1))+6,1,IF(MAX(0,NETWORKDAYS.INTL(MAX(E160,(Reprogramaciones!$T$15+7*(Reprogramaciones!U$14-1))),MIN(F160,(Reprogramaciones!$T$15+7*(Reprogramaciones!U$14-1))+6),11))=0,0,MAX(0,NETWORKDAYS.INTL(MAX(E160,(Reprogramaciones!$T$15+7*(Reprogramaciones!U$14-1))),MIN(F160,Reprogramaciones!U$13),11))/MAX(0,NETWORKDAYS.INTL(MAX(E160,(Reprogramaciones!$T$15+7*(Reprogramaciones!U$14-1))),MIN(F160,(Reprogramaciones!$T$15+7*(Reprogramaciones!U$14-1))+6),11))))))))</f>
        <v/>
      </c>
      <c r="CE160" s="1" t="str">
        <f aca="false">IF(OR(NOT(AND(ISNUMBER(E160),ISNUMBER(F160))),$J$2=""),"",IF(Reprogramaciones!V$13&lt;Reprogramaciones!$T$15,0,IF(Reprogramaciones!V$14&gt;10,MIN(100,SUM($G160:$P160)),MIN(100,SUMPRODUCT((COLUMN($G160:$P160)-COLUMN($G160)+1&lt;Reprogramaciones!V$14)*$G160:$P160)+N(INDEX($G160:$P160,1,Reprogramaciones!V$14))*IF(Reprogramaciones!V$13&gt;=(Reprogramaciones!$T$15+7*(Reprogramaciones!V$14-1))+6,1,IF(MAX(0,NETWORKDAYS.INTL(MAX(E160,(Reprogramaciones!$T$15+7*(Reprogramaciones!V$14-1))),MIN(F160,(Reprogramaciones!$T$15+7*(Reprogramaciones!V$14-1))+6),11))=0,0,MAX(0,NETWORKDAYS.INTL(MAX(E160,(Reprogramaciones!$T$15+7*(Reprogramaciones!V$14-1))),MIN(F160,Reprogramaciones!V$13),11))/MAX(0,NETWORKDAYS.INTL(MAX(E160,(Reprogramaciones!$T$15+7*(Reprogramaciones!V$14-1))),MIN(F160,(Reprogramaciones!$T$15+7*(Reprogramaciones!V$14-1))+6),11))))))))</f>
        <v/>
      </c>
      <c r="CF160" s="1" t="str">
        <f aca="false">IF(OR(NOT(AND(ISNUMBER(E160),ISNUMBER(F160))),$J$2=""),"",IF(Reprogramaciones!W$13&lt;Reprogramaciones!$T$15,0,IF(Reprogramaciones!W$14&gt;10,MIN(100,SUM($G160:$P160)),MIN(100,SUMPRODUCT((COLUMN($G160:$P160)-COLUMN($G160)+1&lt;Reprogramaciones!W$14)*$G160:$P160)+N(INDEX($G160:$P160,1,Reprogramaciones!W$14))*IF(Reprogramaciones!W$13&gt;=(Reprogramaciones!$T$15+7*(Reprogramaciones!W$14-1))+6,1,IF(MAX(0,NETWORKDAYS.INTL(MAX(E160,(Reprogramaciones!$T$15+7*(Reprogramaciones!W$14-1))),MIN(F160,(Reprogramaciones!$T$15+7*(Reprogramaciones!W$14-1))+6),11))=0,0,MAX(0,NETWORKDAYS.INTL(MAX(E160,(Reprogramaciones!$T$15+7*(Reprogramaciones!W$14-1))),MIN(F160,Reprogramaciones!W$13),11))/MAX(0,NETWORKDAYS.INTL(MAX(E160,(Reprogramaciones!$T$15+7*(Reprogramaciones!W$14-1))),MIN(F160,(Reprogramaciones!$T$15+7*(Reprogramaciones!W$14-1))+6),11))))))))</f>
        <v/>
      </c>
      <c r="CG160" s="1" t="str">
        <f aca="false">IF(OR(NOT(AND(ISNUMBER(E160),ISNUMBER(F160))),$J$2=""),"",IF(Reprogramaciones!X$13&lt;Reprogramaciones!$T$15,0,IF(Reprogramaciones!X$14&gt;10,MIN(100,SUM($G160:$P160)),MIN(100,SUMPRODUCT((COLUMN($G160:$P160)-COLUMN($G160)+1&lt;Reprogramaciones!X$14)*$G160:$P160)+N(INDEX($G160:$P160,1,Reprogramaciones!X$14))*IF(Reprogramaciones!X$13&gt;=(Reprogramaciones!$T$15+7*(Reprogramaciones!X$14-1))+6,1,IF(MAX(0,NETWORKDAYS.INTL(MAX(E160,(Reprogramaciones!$T$15+7*(Reprogramaciones!X$14-1))),MIN(F160,(Reprogramaciones!$T$15+7*(Reprogramaciones!X$14-1))+6),11))=0,0,MAX(0,NETWORKDAYS.INTL(MAX(E160,(Reprogramaciones!$T$15+7*(Reprogramaciones!X$14-1))),MIN(F160,Reprogramaciones!X$13),11))/MAX(0,NETWORKDAYS.INTL(MAX(E160,(Reprogramaciones!$T$15+7*(Reprogramaciones!X$14-1))),MIN(F160,(Reprogramaciones!$T$15+7*(Reprogramaciones!X$14-1))+6),11))))))))</f>
        <v/>
      </c>
      <c r="CH160" s="1" t="str">
        <f aca="false">IF(OR(NOT(AND(ISNUMBER(E160),ISNUMBER(F160))),$J$2=""),"",IF(Reprogramaciones!Y$13&lt;Reprogramaciones!$T$15,0,IF(Reprogramaciones!Y$14&gt;10,MIN(100,SUM($G160:$P160)),MIN(100,SUMPRODUCT((COLUMN($G160:$P160)-COLUMN($G160)+1&lt;Reprogramaciones!Y$14)*$G160:$P160)+N(INDEX($G160:$P160,1,Reprogramaciones!Y$14))*IF(Reprogramaciones!Y$13&gt;=(Reprogramaciones!$T$15+7*(Reprogramaciones!Y$14-1))+6,1,IF(MAX(0,NETWORKDAYS.INTL(MAX(E160,(Reprogramaciones!$T$15+7*(Reprogramaciones!Y$14-1))),MIN(F160,(Reprogramaciones!$T$15+7*(Reprogramaciones!Y$14-1))+6),11))=0,0,MAX(0,NETWORKDAYS.INTL(MAX(E160,(Reprogramaciones!$T$15+7*(Reprogramaciones!Y$14-1))),MIN(F160,Reprogramaciones!Y$13),11))/MAX(0,NETWORKDAYS.INTL(MAX(E160,(Reprogramaciones!$T$15+7*(Reprogramaciones!Y$14-1))),MIN(F160,(Reprogramaciones!$T$15+7*(Reprogramaciones!Y$14-1))+6),11))))))))</f>
        <v/>
      </c>
      <c r="CI160" s="1" t="str">
        <f aca="false">IF(OR(NOT(AND(ISNUMBER(E160),ISNUMBER(F160))),$J$2=""),"",IF(Reprogramaciones!Z$13&lt;Reprogramaciones!$T$15,0,IF(Reprogramaciones!Z$14&gt;10,MIN(100,SUM($G160:$P160)),MIN(100,SUMPRODUCT((COLUMN($G160:$P160)-COLUMN($G160)+1&lt;Reprogramaciones!Z$14)*$G160:$P160)+N(INDEX($G160:$P160,1,Reprogramaciones!Z$14))*IF(Reprogramaciones!Z$13&gt;=(Reprogramaciones!$T$15+7*(Reprogramaciones!Z$14-1))+6,1,IF(MAX(0,NETWORKDAYS.INTL(MAX(E160,(Reprogramaciones!$T$15+7*(Reprogramaciones!Z$14-1))),MIN(F160,(Reprogramaciones!$T$15+7*(Reprogramaciones!Z$14-1))+6),11))=0,0,MAX(0,NETWORKDAYS.INTL(MAX(E160,(Reprogramaciones!$T$15+7*(Reprogramaciones!Z$14-1))),MIN(F160,Reprogramaciones!Z$13),11))/MAX(0,NETWORKDAYS.INTL(MAX(E160,(Reprogramaciones!$T$15+7*(Reprogramaciones!Z$14-1))),MIN(F160,(Reprogramaciones!$T$15+7*(Reprogramaciones!Z$14-1))+6),11))))))))</f>
        <v/>
      </c>
      <c r="CJ160" s="1" t="str">
        <f aca="false">IF(OR(OR(NOT(AND(ISNUMBER(E160),ISNUMBER(F160))),$J$2=""),1&gt;Reprogramaciones!$K$16),"",IF(ROUND(SUM($Q160:Q160),1)&gt;=99.5,100,MIN(100,ROUND(SUM($Q160:Q160),1))))</f>
        <v/>
      </c>
      <c r="CK160" s="1" t="str">
        <f aca="false">IF(OR(OR(NOT(AND(ISNUMBER(E160),ISNUMBER(F160))),$J$2=""),2&gt;Reprogramaciones!$K$16),"",IF(ROUND(SUM($Q160:R160),1)&gt;=99.5,100,MIN(100,ROUND(SUM($Q160:R160),1))))</f>
        <v/>
      </c>
      <c r="CL160" s="1" t="str">
        <f aca="false">IF(OR(OR(NOT(AND(ISNUMBER(E160),ISNUMBER(F160))),$J$2=""),3&gt;Reprogramaciones!$K$16),"",IF(ROUND(SUM($Q160:S160),1)&gt;=99.5,100,MIN(100,ROUND(SUM($Q160:S160),1))))</f>
        <v/>
      </c>
      <c r="CM160" s="1" t="str">
        <f aca="false">IF(OR(OR(NOT(AND(ISNUMBER(E160),ISNUMBER(F160))),$J$2=""),4&gt;Reprogramaciones!$K$16),"",IF(ROUND(SUM($Q160:T160),1)&gt;=99.5,100,MIN(100,ROUND(SUM($Q160:T160),1))))</f>
        <v/>
      </c>
      <c r="CN160" s="1" t="str">
        <f aca="false">IF(OR(OR(NOT(AND(ISNUMBER(E160),ISNUMBER(F160))),$J$2=""),5&gt;Reprogramaciones!$K$16),"",IF(ROUND(SUM($Q160:U160),1)&gt;=99.5,100,MIN(100,ROUND(SUM($Q160:U160),1))))</f>
        <v/>
      </c>
      <c r="CO160" s="1" t="str">
        <f aca="false">IF(OR(OR(NOT(AND(ISNUMBER(E160),ISNUMBER(F160))),$J$2=""),6&gt;Reprogramaciones!$K$16),"",IF(ROUND(SUM($Q160:V160),1)&gt;=99.5,100,MIN(100,ROUND(SUM($Q160:V160),1))))</f>
        <v/>
      </c>
      <c r="CP160" s="1" t="str">
        <f aca="false">IF(OR(OR(NOT(AND(ISNUMBER(E160),ISNUMBER(F160))),$J$2=""),7&gt;Reprogramaciones!$K$16),"",IF(ROUND(SUM($Q160:W160),1)&gt;=99.5,100,MIN(100,ROUND(SUM($Q160:W160),1))))</f>
        <v/>
      </c>
      <c r="CQ160" s="1" t="str">
        <f aca="false">IF(OR(OR(NOT(AND(ISNUMBER(E160),ISNUMBER(F160))),$J$2=""),8&gt;Reprogramaciones!$K$16),"",IF(ROUND(SUM($Q160:X160),1)&gt;=99.5,100,MIN(100,ROUND(SUM($Q160:X160),1))))</f>
        <v/>
      </c>
      <c r="CR160" s="1" t="str">
        <f aca="false">IF(OR(OR(NOT(AND(ISNUMBER(E160),ISNUMBER(F160))),$J$2=""),9&gt;Reprogramaciones!$K$16),"",IF(ROUND(SUM($Q160:Y160),1)&gt;=99.5,100,MIN(100,ROUND(SUM($Q160:Y160),1))))</f>
        <v/>
      </c>
      <c r="CS160" s="1" t="str">
        <f aca="false">IF(OR(OR(NOT(AND(ISNUMBER(E160),ISNUMBER(F160))),$J$2=""),10&gt;Reprogramaciones!$K$16),"",IF(ROUND(SUM($Q160:Z160),1)&gt;=99.5,100,MIN(100,ROUND(SUM($Q160:Z160),1))))</f>
        <v/>
      </c>
      <c r="CT160" s="1" t="str">
        <f aca="false">IF(OR(OR(NOT(AND(ISNUMBER(E160),ISNUMBER(F160))),$J$2=""),11&gt;Reprogramaciones!$K$16),"",IF(ROUND(SUM($Q160:AA160),1)&gt;=99.5,100,MIN(100,ROUND(SUM($Q160:AA160),1))))</f>
        <v/>
      </c>
      <c r="CU160" s="1" t="str">
        <f aca="false">IF(OR(OR(NOT(AND(ISNUMBER(E160),ISNUMBER(F160))),$J$2=""),12&gt;Reprogramaciones!$K$16),"",IF(ROUND(SUM($Q160:AB160),1)&gt;=99.5,100,MIN(100,ROUND(SUM($Q160:AB160),1))))</f>
        <v/>
      </c>
      <c r="CV160" s="1" t="str">
        <f aca="false">IF(OR(OR(NOT(AND(ISNUMBER(E160),ISNUMBER(F160))),$J$2=""),13&gt;Reprogramaciones!$K$16),"",IF(ROUND(SUM($Q160:AC160),1)&gt;=99.5,100,MIN(100,ROUND(SUM($Q160:AC160),1))))</f>
        <v/>
      </c>
      <c r="CW160" s="1" t="str">
        <f aca="false">IF(OR(OR(NOT(AND(ISNUMBER(E160),ISNUMBER(F160))),$J$2=""),14&gt;Reprogramaciones!$K$16),"",IF(ROUND(SUM($Q160:AD160),1)&gt;=99.5,100,MIN(100,ROUND(SUM($Q160:AD160),1))))</f>
        <v/>
      </c>
      <c r="CX160" s="1" t="str">
        <f aca="false">IF(OR(OR(NOT(AND(ISNUMBER(E160),ISNUMBER(F160))),$J$2=""),15&gt;Reprogramaciones!$K$16),"",IF(ROUND(SUM($Q160:AE160),1)&gt;=99.5,100,MIN(100,ROUND(SUM($Q160:AE160),1))))</f>
        <v/>
      </c>
      <c r="CY160" s="1" t="str">
        <f aca="false">IF(OR(OR(NOT(AND(ISNUMBER(E160),ISNUMBER(F160))),$J$2=""),16&gt;Reprogramaciones!$K$16),"",IF(ROUND(SUM($Q160:AF160),1)&gt;=99.5,100,MIN(100,ROUND(SUM($Q160:AF160),1))))</f>
        <v/>
      </c>
      <c r="CZ160" s="1" t="str">
        <f aca="false">IF(D160&lt;&gt;"",D160,IF(B160&lt;&gt;"","Contractual",CZ159))</f>
        <v>Contractual</v>
      </c>
      <c r="DA160" s="1" t="str">
        <f aca="false">IF(OR(NOT(AND(ISNUMBER(E160),ISNUMBER(F160))),$J$2=""),"",IF(Reprogramaciones!$Q$15&lt;Reprogramaciones!$T$15,0,IF(Reprogramaciones!$S$15&gt;10,MIN(100,SUM($G160:$P160)),MIN(100,SUMPRODUCT((COLUMN($G160:$P160)-COLUMN($G160)+1&lt;Reprogramaciones!$S$15)*$G160:$P160)+N(INDEX($G160:$P160,1,Reprogramaciones!$S$15))*IF(Reprogramaciones!$Q$15&gt;=(Reprogramaciones!$T$15+7*(Reprogramaciones!$S$15-1))+6,1,IF(MAX(0,NETWORKDAYS.INTL(MAX(E160,(Reprogramaciones!$T$15+7*(Reprogramaciones!$S$15-1))),MIN(F160,(Reprogramaciones!$T$15+7*(Reprogramaciones!$S$15-1))+6),11))=0,0,MAX(0,NETWORKDAYS.INTL(MAX(E160,(Reprogramaciones!$T$15+7*(Reprogramaciones!$S$15-1))),MIN(F160,Reprogramaciones!$Q$15),11))/MAX(0,NETWORKDAYS.INTL(MAX(E160,(Reprogramaciones!$T$15+7*(Reprogramaciones!$S$15-1))),MIN(F160,(Reprogramaciones!$T$15+7*(Reprogramaciones!$S$15-1))+6),11))))))))</f>
        <v/>
      </c>
    </row>
    <row r="161" customFormat="false" ht="15" hidden="false" customHeight="false" outlineLevel="0" collapsed="false">
      <c r="A161" s="32"/>
      <c r="B161" s="33"/>
      <c r="C161" s="33"/>
      <c r="D161" s="34"/>
      <c r="E161" s="35"/>
      <c r="F161" s="35"/>
      <c r="G161" s="36" t="str">
        <f aca="false">IF(OR(NOT(AND(ISNUMBER(E161),ISNUMBER(F161))),$J$2=""),"",IF(Reprogramaciones!K$9&lt;E161,0,IF(NETWORKDAYS.INTL(E161,F161,11)=0,IF(Reprogramaciones!K$9&gt;=F161,100,0),ROUND(NETWORKDAYS.INTL(E161,MIN(F161,Reprogramaciones!K$9),11)/NETWORKDAYS.INTL(E161,F161,11)*100,1)))-0)</f>
        <v/>
      </c>
      <c r="H161" s="36" t="str">
        <f aca="false">IF(OR(NOT(AND(ISNUMBER(E161),ISNUMBER(F161))),$J$2=""),"",IF(Reprogramaciones!L$9&lt;E161,0,IF(NETWORKDAYS.INTL(E161,F161,11)=0,IF(Reprogramaciones!L$9&gt;=F161,100,0),ROUND(NETWORKDAYS.INTL(E161,MIN(F161,Reprogramaciones!L$9),11)/NETWORKDAYS.INTL(E161,F161,11)*100,1)))-IF(Reprogramaciones!K$9&lt;E161,0,IF(NETWORKDAYS.INTL(E161,F161,11)=0,IF(Reprogramaciones!K$9&gt;=F161,100,0),ROUND(NETWORKDAYS.INTL(E161,MIN(F161,Reprogramaciones!K$9),11)/NETWORKDAYS.INTL(E161,F161,11)*100,1))))</f>
        <v/>
      </c>
      <c r="I161" s="36" t="str">
        <f aca="false">IF(OR(NOT(AND(ISNUMBER(E161),ISNUMBER(F161))),$J$2=""),"",IF(Reprogramaciones!M$9&lt;E161,0,IF(NETWORKDAYS.INTL(E161,F161,11)=0,IF(Reprogramaciones!M$9&gt;=F161,100,0),ROUND(NETWORKDAYS.INTL(E161,MIN(F161,Reprogramaciones!M$9),11)/NETWORKDAYS.INTL(E161,F161,11)*100,1)))-IF(Reprogramaciones!L$9&lt;E161,0,IF(NETWORKDAYS.INTL(E161,F161,11)=0,IF(Reprogramaciones!L$9&gt;=F161,100,0),ROUND(NETWORKDAYS.INTL(E161,MIN(F161,Reprogramaciones!L$9),11)/NETWORKDAYS.INTL(E161,F161,11)*100,1))))</f>
        <v/>
      </c>
      <c r="J161" s="36" t="str">
        <f aca="false">IF(OR(NOT(AND(ISNUMBER(E161),ISNUMBER(F161))),$J$2=""),"",IF(Reprogramaciones!N$9&lt;E161,0,IF(NETWORKDAYS.INTL(E161,F161,11)=0,IF(Reprogramaciones!N$9&gt;=F161,100,0),ROUND(NETWORKDAYS.INTL(E161,MIN(F161,Reprogramaciones!N$9),11)/NETWORKDAYS.INTL(E161,F161,11)*100,1)))-IF(Reprogramaciones!M$9&lt;E161,0,IF(NETWORKDAYS.INTL(E161,F161,11)=0,IF(Reprogramaciones!M$9&gt;=F161,100,0),ROUND(NETWORKDAYS.INTL(E161,MIN(F161,Reprogramaciones!M$9),11)/NETWORKDAYS.INTL(E161,F161,11)*100,1))))</f>
        <v/>
      </c>
      <c r="K161" s="36" t="str">
        <f aca="false">IF(OR(NOT(AND(ISNUMBER(E161),ISNUMBER(F161))),$J$2=""),"",IF(Reprogramaciones!O$9&lt;E161,0,IF(NETWORKDAYS.INTL(E161,F161,11)=0,IF(Reprogramaciones!O$9&gt;=F161,100,0),ROUND(NETWORKDAYS.INTL(E161,MIN(F161,Reprogramaciones!O$9),11)/NETWORKDAYS.INTL(E161,F161,11)*100,1)))-IF(Reprogramaciones!N$9&lt;E161,0,IF(NETWORKDAYS.INTL(E161,F161,11)=0,IF(Reprogramaciones!N$9&gt;=F161,100,0),ROUND(NETWORKDAYS.INTL(E161,MIN(F161,Reprogramaciones!N$9),11)/NETWORKDAYS.INTL(E161,F161,11)*100,1))))</f>
        <v/>
      </c>
      <c r="L161" s="36" t="str">
        <f aca="false">IF(OR(NOT(AND(ISNUMBER(E161),ISNUMBER(F161))),$J$2=""),"",IF(Reprogramaciones!P$9&lt;E161,0,IF(NETWORKDAYS.INTL(E161,F161,11)=0,IF(Reprogramaciones!P$9&gt;=F161,100,0),ROUND(NETWORKDAYS.INTL(E161,MIN(F161,Reprogramaciones!P$9),11)/NETWORKDAYS.INTL(E161,F161,11)*100,1)))-IF(Reprogramaciones!O$9&lt;E161,0,IF(NETWORKDAYS.INTL(E161,F161,11)=0,IF(Reprogramaciones!O$9&gt;=F161,100,0),ROUND(NETWORKDAYS.INTL(E161,MIN(F161,Reprogramaciones!O$9),11)/NETWORKDAYS.INTL(E161,F161,11)*100,1))))</f>
        <v/>
      </c>
      <c r="M161" s="36" t="str">
        <f aca="false">IF(OR(NOT(AND(ISNUMBER(E161),ISNUMBER(F161))),$J$2=""),"",IF(Reprogramaciones!Q$9&lt;E161,0,IF(NETWORKDAYS.INTL(E161,F161,11)=0,IF(Reprogramaciones!Q$9&gt;=F161,100,0),ROUND(NETWORKDAYS.INTL(E161,MIN(F161,Reprogramaciones!Q$9),11)/NETWORKDAYS.INTL(E161,F161,11)*100,1)))-IF(Reprogramaciones!P$9&lt;E161,0,IF(NETWORKDAYS.INTL(E161,F161,11)=0,IF(Reprogramaciones!P$9&gt;=F161,100,0),ROUND(NETWORKDAYS.INTL(E161,MIN(F161,Reprogramaciones!P$9),11)/NETWORKDAYS.INTL(E161,F161,11)*100,1))))</f>
        <v/>
      </c>
      <c r="N161" s="36" t="str">
        <f aca="false">IF(OR(NOT(AND(ISNUMBER(E161),ISNUMBER(F161))),$J$2=""),"",IF(Reprogramaciones!R$9&lt;E161,0,IF(NETWORKDAYS.INTL(E161,F161,11)=0,IF(Reprogramaciones!R$9&gt;=F161,100,0),ROUND(NETWORKDAYS.INTL(E161,MIN(F161,Reprogramaciones!R$9),11)/NETWORKDAYS.INTL(E161,F161,11)*100,1)))-IF(Reprogramaciones!Q$9&lt;E161,0,IF(NETWORKDAYS.INTL(E161,F161,11)=0,IF(Reprogramaciones!Q$9&gt;=F161,100,0),ROUND(NETWORKDAYS.INTL(E161,MIN(F161,Reprogramaciones!Q$9),11)/NETWORKDAYS.INTL(E161,F161,11)*100,1))))</f>
        <v/>
      </c>
      <c r="O161" s="36" t="str">
        <f aca="false">IF(OR(NOT(AND(ISNUMBER(E161),ISNUMBER(F161))),$J$2=""),"",IF(Reprogramaciones!S$9&lt;E161,0,IF(NETWORKDAYS.INTL(E161,F161,11)=0,IF(Reprogramaciones!S$9&gt;=F161,100,0),ROUND(NETWORKDAYS.INTL(E161,MIN(F161,Reprogramaciones!S$9),11)/NETWORKDAYS.INTL(E161,F161,11)*100,1)))-IF(Reprogramaciones!R$9&lt;E161,0,IF(NETWORKDAYS.INTL(E161,F161,11)=0,IF(Reprogramaciones!R$9&gt;=F161,100,0),ROUND(NETWORKDAYS.INTL(E161,MIN(F161,Reprogramaciones!R$9),11)/NETWORKDAYS.INTL(E161,F161,11)*100,1))))</f>
        <v/>
      </c>
      <c r="P161" s="36" t="str">
        <f aca="false">IF(OR(NOT(AND(ISNUMBER(E161),ISNUMBER(F161))),$J$2=""),"",IF(Reprogramaciones!T$9&lt;E161,0,IF(NETWORKDAYS.INTL(E161,F161,11)=0,IF(Reprogramaciones!T$9&gt;=F161,100,0),ROUND(NETWORKDAYS.INTL(E161,MIN(F161,Reprogramaciones!T$9),11)/NETWORKDAYS.INTL(E161,F161,11)*100,1)))-IF(Reprogramaciones!S$9&lt;E161,0,IF(NETWORKDAYS.INTL(E161,F161,11)=0,IF(Reprogramaciones!S$9&gt;=F161,100,0),ROUND(NETWORKDAYS.INTL(E161,MIN(F161,Reprogramaciones!S$9),11)/NETWORKDAYS.INTL(E161,F161,11)*100,1))))</f>
        <v/>
      </c>
      <c r="Q161" s="37"/>
      <c r="R161" s="37"/>
      <c r="S161" s="37"/>
      <c r="T161" s="37"/>
      <c r="U161" s="37"/>
      <c r="V161" s="37"/>
      <c r="W161" s="37"/>
      <c r="X161" s="37"/>
      <c r="Y161" s="37"/>
      <c r="Z161" s="37"/>
      <c r="AA161" s="37"/>
      <c r="AB161" s="37"/>
      <c r="AC161" s="37"/>
      <c r="AD161" s="37"/>
      <c r="AE161" s="37"/>
      <c r="AF161" s="37"/>
      <c r="AG161" s="38" t="str">
        <f aca="false">IF(AND(ISNUMBER(E161),ISNUMBER(F161)),NETWORKDAYS.INTL(E161,F161,11),"")</f>
        <v/>
      </c>
      <c r="AH161" s="38" t="str">
        <f aca="false">IF(OR(NOT(AND(ISNUMBER(E161),ISNUMBER(F161))),$J$2=""),"",IF(Reprogramaciones!$P$15&lt;Reprogramaciones!$T$15,0,IF(Reprogramaciones!$R$15&gt;10,MIN(100,SUM($G161:$P161)),MIN(100,SUMPRODUCT((COLUMN($G161:$P161)-COLUMN($G161)+1&lt;Reprogramaciones!$R$15)*$G161:$P161)+N(INDEX($G161:$P161,1,Reprogramaciones!$R$15))*IF(Reprogramaciones!$P$15&gt;=(Reprogramaciones!$T$15+7*(Reprogramaciones!$R$15-1))+6,1,IF(MAX(0,NETWORKDAYS.INTL(MAX(E161,(Reprogramaciones!$T$15+7*(Reprogramaciones!$R$15-1))),MIN(F161,(Reprogramaciones!$T$15+7*(Reprogramaciones!$R$15-1))+6),11))=0,0,MAX(0,NETWORKDAYS.INTL(MAX(E161,(Reprogramaciones!$T$15+7*(Reprogramaciones!$R$15-1))),MIN(F161,Reprogramaciones!$P$15),11))/MAX(0,NETWORKDAYS.INTL(MAX(E161,(Reprogramaciones!$T$15+7*(Reprogramaciones!$R$15-1))),MIN(F161,(Reprogramaciones!$T$15+7*(Reprogramaciones!$R$15-1))+6),11))))))))</f>
        <v/>
      </c>
      <c r="AI161" s="38" t="str">
        <f aca="false">IF(COUNT($Q161:$AF161)=0,"",IF(ROUND(SUM($Q161:$AF161),1)&gt;=99.5,100,MIN(100,ROUND(SUM($Q161:$AF161),1))))</f>
        <v/>
      </c>
      <c r="AJ161" s="38" t="str">
        <f aca="false">IF(OR(AH161="",AI161=""),"",AI161-AH161)</f>
        <v/>
      </c>
      <c r="AK161" s="39" t="str">
        <f aca="true">IF(AH161="","",IF(OR(Ficha!$C$10="Suspendida",Ficha!$C$10="Cancelada"),Ficha!$C$10,IF(AND(AI161&lt;&gt;"",N(AI161)&gt;=100),"Completada",IF(AND(E161&gt;TODAY(),N(AI161)=0),"Por iniciar",IF(N(AI161)+0.5&lt;AH161,"Retrasada",IF(N(AI161)+0.5&lt;DA161,IF(Reprogramaciones!$K$15&gt;0,"Al día · Sem "&amp;Reprogramaciones!$K$15&amp;" en curso","Al día · en curso"),"A tiempo"))))))</f>
        <v/>
      </c>
      <c r="AL161" s="39" t="str">
        <f aca="true">IF(AND(A161="",AND(B161="",C161="",E161="",F161="",COUNT(Q161:AF161)=0)),"",IF(AND(B161="",C161="",E161="",F161="",COUNT(Q161:AF161)=0),"Falta la partida o subpartida",IF(AND(A161&lt;&gt;"",COUNTIF($A$6:$A$305,A161)&gt;1),"Ítem repetido",IF(AND(C161="",E161="",F161="",COUNT(Q161:AF161)=0),"Título de partida",IF(OR(E161="",F161=""),"Faltan fechas",IF(OR(ISTEXT(E161),ISTEXT(F161)),"Fecha escrita como texto: usa dd/mm/aaaa",IF(F161&lt;E161,"Fin antes del inicio",IF(IF($J$2="",FALSE(),OR(E161&lt;$J$2,F161&gt;Reprogramaciones!$T$15+69)),"Fuera de las 10 semanas",IF(ABS(SUM(G161:P161)-100)&gt;0.5,"La meta no suma 100%",IF(ROUND(SUM(Q161:AF161),1)&gt;100.5,"El avance pasa de 100%",IF(MIN(Q161:AF161)&lt;0,"Avance negativo",IF(COUNTA(Q161:AF161)&gt;COUNT(Q161:AF161),"Avance escrito como texto",IF(SUMPRODUCT((Q161:AF161&gt;0)*(Q161:AF161&lt;1))&gt;0,"Avance menor a 1: escribe 50, no 50%",IF(SUMPRODUCT(ISNUMBER(Q161:AF161)*(Reprogramaciones!$K$8:$Z$8&gt;TODAY()))&gt;0,"Avance en semana que aún no llega",IF(AND(N(Reprogramaciones!$E$21)&gt;0,F161&gt;Reprogramaciones!$E$21),"Pasa el fin de la obra: registra una reprogramación",IF(AND(N(Reprogramaciones!$E$21)&gt;0,SUMPRODUCT(ISNUMBER(Q161:AF161)*(Reprogramaciones!$K$8:$Z$8&gt;Reprogramaciones!$E$21))&gt;0),"Avance después del fin de la obra: registra una reprogramación por atraso","OK"))))))))))))))))</f>
        <v/>
      </c>
      <c r="AM161" s="40" t="str">
        <f aca="false">IF(OR(OR(NOT(AND(ISNUMBER(E161),ISNUMBER(F161))),$J$2=""),1&gt;MAX(1,Reprogramaciones!$U$15)),"",IF(Reprogramaciones!K$12&gt;=7,"",IF(OR(BT161-N(0)&gt;0.05,N(Q161)&gt;0),ROUNDDOWN(ROUND(BT161,6),0)&amp;"%"&amp;IF(CJ161="",""," / "&amp;CJ161&amp;"%"),IF(AND(N(0)&gt;=99.95,CJ161&lt;&gt;"",N(CJ161)&lt;100),"Pend. "&amp;CJ161&amp;"%",""))))</f>
        <v/>
      </c>
      <c r="AN161" s="40" t="str">
        <f aca="false">IF(OR(OR(NOT(AND(ISNUMBER(E161),ISNUMBER(F161))),$J$2=""),2&gt;MAX(1,Reprogramaciones!$U$15)),"",IF(Reprogramaciones!L$12&gt;=7,"",IF(OR(BU161-N(BT161)&gt;0.05,N(R161)&gt;0),ROUNDDOWN(ROUND(BU161,6),0)&amp;"%"&amp;IF(CK161="",""," / "&amp;CK161&amp;"%"),IF(AND(N(BT161)&gt;=99.95,CK161&lt;&gt;"",N(CK161)&lt;100),"Pend. "&amp;CK161&amp;"%",""))))</f>
        <v/>
      </c>
      <c r="AO161" s="40" t="str">
        <f aca="false">IF(OR(OR(NOT(AND(ISNUMBER(E161),ISNUMBER(F161))),$J$2=""),3&gt;MAX(1,Reprogramaciones!$U$15)),"",IF(Reprogramaciones!M$12&gt;=7,"",IF(OR(BV161-N(BU161)&gt;0.05,N(S161)&gt;0),ROUNDDOWN(ROUND(BV161,6),0)&amp;"%"&amp;IF(CL161="",""," / "&amp;CL161&amp;"%"),IF(AND(N(BU161)&gt;=99.95,CL161&lt;&gt;"",N(CL161)&lt;100),"Pend. "&amp;CL161&amp;"%",""))))</f>
        <v/>
      </c>
      <c r="AP161" s="40" t="str">
        <f aca="false">IF(OR(OR(NOT(AND(ISNUMBER(E161),ISNUMBER(F161))),$J$2=""),4&gt;MAX(1,Reprogramaciones!$U$15)),"",IF(Reprogramaciones!N$12&gt;=7,"",IF(OR(BW161-N(BV161)&gt;0.05,N(T161)&gt;0),ROUNDDOWN(ROUND(BW161,6),0)&amp;"%"&amp;IF(CM161="",""," / "&amp;CM161&amp;"%"),IF(AND(N(BV161)&gt;=99.95,CM161&lt;&gt;"",N(CM161)&lt;100),"Pend. "&amp;CM161&amp;"%",""))))</f>
        <v/>
      </c>
      <c r="AQ161" s="40" t="str">
        <f aca="false">IF(OR(OR(NOT(AND(ISNUMBER(E161),ISNUMBER(F161))),$J$2=""),5&gt;MAX(1,Reprogramaciones!$U$15)),"",IF(Reprogramaciones!O$12&gt;=7,"",IF(OR(BX161-N(BW161)&gt;0.05,N(U161)&gt;0),ROUNDDOWN(ROUND(BX161,6),0)&amp;"%"&amp;IF(CN161="",""," / "&amp;CN161&amp;"%"),IF(AND(N(BW161)&gt;=99.95,CN161&lt;&gt;"",N(CN161)&lt;100),"Pend. "&amp;CN161&amp;"%",""))))</f>
        <v/>
      </c>
      <c r="AR161" s="40" t="str">
        <f aca="false">IF(OR(OR(NOT(AND(ISNUMBER(E161),ISNUMBER(F161))),$J$2=""),6&gt;MAX(1,Reprogramaciones!$U$15)),"",IF(Reprogramaciones!P$12&gt;=7,"",IF(OR(BY161-N(BX161)&gt;0.05,N(V161)&gt;0),ROUNDDOWN(ROUND(BY161,6),0)&amp;"%"&amp;IF(CO161="",""," / "&amp;CO161&amp;"%"),IF(AND(N(BX161)&gt;=99.95,CO161&lt;&gt;"",N(CO161)&lt;100),"Pend. "&amp;CO161&amp;"%",""))))</f>
        <v/>
      </c>
      <c r="AS161" s="40" t="str">
        <f aca="false">IF(OR(OR(NOT(AND(ISNUMBER(E161),ISNUMBER(F161))),$J$2=""),7&gt;MAX(1,Reprogramaciones!$U$15)),"",IF(Reprogramaciones!Q$12&gt;=7,"",IF(OR(BZ161-N(BY161)&gt;0.05,N(W161)&gt;0),ROUNDDOWN(ROUND(BZ161,6),0)&amp;"%"&amp;IF(CP161="",""," / "&amp;CP161&amp;"%"),IF(AND(N(BY161)&gt;=99.95,CP161&lt;&gt;"",N(CP161)&lt;100),"Pend. "&amp;CP161&amp;"%",""))))</f>
        <v/>
      </c>
      <c r="AT161" s="40" t="str">
        <f aca="false">IF(OR(OR(NOT(AND(ISNUMBER(E161),ISNUMBER(F161))),$J$2=""),8&gt;MAX(1,Reprogramaciones!$U$15)),"",IF(Reprogramaciones!R$12&gt;=7,"",IF(OR(CA161-N(BZ161)&gt;0.05,N(X161)&gt;0),ROUNDDOWN(ROUND(CA161,6),0)&amp;"%"&amp;IF(CQ161="",""," / "&amp;CQ161&amp;"%"),IF(AND(N(BZ161)&gt;=99.95,CQ161&lt;&gt;"",N(CQ161)&lt;100),"Pend. "&amp;CQ161&amp;"%",""))))</f>
        <v/>
      </c>
      <c r="AU161" s="40" t="str">
        <f aca="false">IF(OR(OR(NOT(AND(ISNUMBER(E161),ISNUMBER(F161))),$J$2=""),9&gt;MAX(1,Reprogramaciones!$U$15)),"",IF(Reprogramaciones!S$12&gt;=7,"",IF(OR(CB161-N(CA161)&gt;0.05,N(Y161)&gt;0),ROUNDDOWN(ROUND(CB161,6),0)&amp;"%"&amp;IF(CR161="",""," / "&amp;CR161&amp;"%"),IF(AND(N(CA161)&gt;=99.95,CR161&lt;&gt;"",N(CR161)&lt;100),"Pend. "&amp;CR161&amp;"%",""))))</f>
        <v/>
      </c>
      <c r="AV161" s="40" t="str">
        <f aca="false">IF(OR(OR(NOT(AND(ISNUMBER(E161),ISNUMBER(F161))),$J$2=""),10&gt;MAX(1,Reprogramaciones!$U$15)),"",IF(Reprogramaciones!T$12&gt;=7,"",IF(OR(CC161-N(CB161)&gt;0.05,N(Z161)&gt;0),ROUNDDOWN(ROUND(CC161,6),0)&amp;"%"&amp;IF(CS161="",""," / "&amp;CS161&amp;"%"),IF(AND(N(CB161)&gt;=99.95,CS161&lt;&gt;"",N(CS161)&lt;100),"Pend. "&amp;CS161&amp;"%",""))))</f>
        <v/>
      </c>
      <c r="AW161" s="40" t="str">
        <f aca="false">IF(OR(OR(NOT(AND(ISNUMBER(E161),ISNUMBER(F161))),$J$2=""),11&gt;MAX(1,Reprogramaciones!$U$15)),"",IF(Reprogramaciones!U$12&gt;=7,"",IF(OR(CD161-N(CC161)&gt;0.05,N(AA161)&gt;0),ROUNDDOWN(ROUND(CD161,6),0)&amp;"%"&amp;IF(CT161="",""," / "&amp;CT161&amp;"%"),IF(AND(N(CC161)&gt;=99.95,CT161&lt;&gt;"",N(CT161)&lt;100),"Pend. "&amp;CT161&amp;"%",""))))</f>
        <v/>
      </c>
      <c r="AX161" s="40" t="str">
        <f aca="false">IF(OR(OR(NOT(AND(ISNUMBER(E161),ISNUMBER(F161))),$J$2=""),12&gt;MAX(1,Reprogramaciones!$U$15)),"",IF(Reprogramaciones!V$12&gt;=7,"",IF(OR(CE161-N(CD161)&gt;0.05,N(AB161)&gt;0),ROUNDDOWN(ROUND(CE161,6),0)&amp;"%"&amp;IF(CU161="",""," / "&amp;CU161&amp;"%"),IF(AND(N(CD161)&gt;=99.95,CU161&lt;&gt;"",N(CU161)&lt;100),"Pend. "&amp;CU161&amp;"%",""))))</f>
        <v/>
      </c>
      <c r="AY161" s="40" t="str">
        <f aca="false">IF(OR(OR(NOT(AND(ISNUMBER(E161),ISNUMBER(F161))),$J$2=""),13&gt;MAX(1,Reprogramaciones!$U$15)),"",IF(Reprogramaciones!W$12&gt;=7,"",IF(OR(CF161-N(CE161)&gt;0.05,N(AC161)&gt;0),ROUNDDOWN(ROUND(CF161,6),0)&amp;"%"&amp;IF(CV161="",""," / "&amp;CV161&amp;"%"),IF(AND(N(CE161)&gt;=99.95,CV161&lt;&gt;"",N(CV161)&lt;100),"Pend. "&amp;CV161&amp;"%",""))))</f>
        <v/>
      </c>
      <c r="AZ161" s="40" t="str">
        <f aca="false">IF(OR(OR(NOT(AND(ISNUMBER(E161),ISNUMBER(F161))),$J$2=""),14&gt;MAX(1,Reprogramaciones!$U$15)),"",IF(Reprogramaciones!X$12&gt;=7,"",IF(OR(CG161-N(CF161)&gt;0.05,N(AD161)&gt;0),ROUNDDOWN(ROUND(CG161,6),0)&amp;"%"&amp;IF(CW161="",""," / "&amp;CW161&amp;"%"),IF(AND(N(CF161)&gt;=99.95,CW161&lt;&gt;"",N(CW161)&lt;100),"Pend. "&amp;CW161&amp;"%",""))))</f>
        <v/>
      </c>
      <c r="BA161" s="40" t="str">
        <f aca="false">IF(OR(OR(NOT(AND(ISNUMBER(E161),ISNUMBER(F161))),$J$2=""),15&gt;MAX(1,Reprogramaciones!$U$15)),"",IF(Reprogramaciones!Y$12&gt;=7,"",IF(OR(CH161-N(CG161)&gt;0.05,N(AE161)&gt;0),ROUNDDOWN(ROUND(CH161,6),0)&amp;"%"&amp;IF(CX161="",""," / "&amp;CX161&amp;"%"),IF(AND(N(CG161)&gt;=99.95,CX161&lt;&gt;"",N(CX161)&lt;100),"Pend. "&amp;CX161&amp;"%",""))))</f>
        <v/>
      </c>
      <c r="BB161" s="40" t="str">
        <f aca="false">IF(OR(OR(NOT(AND(ISNUMBER(E161),ISNUMBER(F161))),$J$2=""),16&gt;MAX(1,Reprogramaciones!$U$15)),"",IF(Reprogramaciones!Z$12&gt;=7,"",IF(OR(CI161-N(CH161)&gt;0.05,N(AF161)&gt;0),ROUNDDOWN(ROUND(CI161,6),0)&amp;"%"&amp;IF(CY161="",""," / "&amp;CY161&amp;"%"),IF(AND(N(CH161)&gt;=99.95,CY161&lt;&gt;"",N(CY161)&lt;100),"Pend. "&amp;CY161&amp;"%",""))))</f>
        <v/>
      </c>
      <c r="BC161" s="31" t="n">
        <f aca="false">IF(AND(ISNUMBER(E161),ISNUMBER(F161)),MAX(1,NETWORKDAYS.INTL(E161,F161,11)),0)</f>
        <v>0</v>
      </c>
      <c r="BD161" s="1" t="str">
        <f aca="false">IF(OR(NOT(AND(ISNUMBER(E161),ISNUMBER(F161))),$J$2=""),"",MIN(100,ROUND(SUM($G161:G161),1)))</f>
        <v/>
      </c>
      <c r="BE161" s="1" t="str">
        <f aca="false">IF(OR(NOT(AND(ISNUMBER(E161),ISNUMBER(F161))),$J$2=""),"",MIN(100,ROUND(SUM($G161:H161),1)))</f>
        <v/>
      </c>
      <c r="BF161" s="1" t="str">
        <f aca="false">IF(OR(NOT(AND(ISNUMBER(E161),ISNUMBER(F161))),$J$2=""),"",MIN(100,ROUND(SUM($G161:I161),1)))</f>
        <v/>
      </c>
      <c r="BG161" s="1" t="str">
        <f aca="false">IF(OR(NOT(AND(ISNUMBER(E161),ISNUMBER(F161))),$J$2=""),"",MIN(100,ROUND(SUM($G161:J161),1)))</f>
        <v/>
      </c>
      <c r="BH161" s="1" t="str">
        <f aca="false">IF(OR(NOT(AND(ISNUMBER(E161),ISNUMBER(F161))),$J$2=""),"",MIN(100,ROUND(SUM($G161:K161),1)))</f>
        <v/>
      </c>
      <c r="BI161" s="1" t="str">
        <f aca="false">IF(OR(NOT(AND(ISNUMBER(E161),ISNUMBER(F161))),$J$2=""),"",MIN(100,ROUND(SUM($G161:L161),1)))</f>
        <v/>
      </c>
      <c r="BJ161" s="1" t="str">
        <f aca="false">IF(OR(NOT(AND(ISNUMBER(E161),ISNUMBER(F161))),$J$2=""),"",MIN(100,ROUND(SUM($G161:M161),1)))</f>
        <v/>
      </c>
      <c r="BK161" s="1" t="str">
        <f aca="false">IF(OR(NOT(AND(ISNUMBER(E161),ISNUMBER(F161))),$J$2=""),"",MIN(100,ROUND(SUM($G161:N161),1)))</f>
        <v/>
      </c>
      <c r="BL161" s="1" t="str">
        <f aca="false">IF(OR(NOT(AND(ISNUMBER(E161),ISNUMBER(F161))),$J$2=""),"",MIN(100,ROUND(SUM($G161:O161),1)))</f>
        <v/>
      </c>
      <c r="BM161" s="1" t="str">
        <f aca="false">IF(OR(NOT(AND(ISNUMBER(E161),ISNUMBER(F161))),$J$2=""),"",MIN(100,ROUND(SUM($G161:P161),1)))</f>
        <v/>
      </c>
      <c r="BN161" s="1" t="str">
        <f aca="false">IF(OR(NOT(AND(ISNUMBER(E161),ISNUMBER(F161))),$J$2=""),"",MIN(100,ROUND(SUM($G161:P161),1)))</f>
        <v/>
      </c>
      <c r="BO161" s="1" t="str">
        <f aca="false">IF(OR(NOT(AND(ISNUMBER(E161),ISNUMBER(F161))),$J$2=""),"",MIN(100,ROUND(SUM($G161:P161),1)))</f>
        <v/>
      </c>
      <c r="BP161" s="1" t="str">
        <f aca="false">IF(OR(NOT(AND(ISNUMBER(E161),ISNUMBER(F161))),$J$2=""),"",MIN(100,ROUND(SUM($G161:P161),1)))</f>
        <v/>
      </c>
      <c r="BQ161" s="1" t="str">
        <f aca="false">IF(OR(NOT(AND(ISNUMBER(E161),ISNUMBER(F161))),$J$2=""),"",MIN(100,ROUND(SUM($G161:P161),1)))</f>
        <v/>
      </c>
      <c r="BR161" s="1" t="str">
        <f aca="false">IF(OR(NOT(AND(ISNUMBER(E161),ISNUMBER(F161))),$J$2=""),"",MIN(100,ROUND(SUM($G161:P161),1)))</f>
        <v/>
      </c>
      <c r="BS161" s="1" t="str">
        <f aca="false">IF(OR(NOT(AND(ISNUMBER(E161),ISNUMBER(F161))),$J$2=""),"",MIN(100,ROUND(SUM($G161:P161),1)))</f>
        <v/>
      </c>
      <c r="BT161" s="1" t="str">
        <f aca="false">IF(OR(NOT(AND(ISNUMBER(E161),ISNUMBER(F161))),$J$2=""),"",IF(Reprogramaciones!K$13&lt;Reprogramaciones!$T$15,0,IF(Reprogramaciones!K$14&gt;10,MIN(100,SUM($G161:$P161)),MIN(100,SUMPRODUCT((COLUMN($G161:$P161)-COLUMN($G161)+1&lt;Reprogramaciones!K$14)*$G161:$P161)+N(INDEX($G161:$P161,1,Reprogramaciones!K$14))*IF(Reprogramaciones!K$13&gt;=(Reprogramaciones!$T$15+7*(Reprogramaciones!K$14-1))+6,1,IF(MAX(0,NETWORKDAYS.INTL(MAX(E161,(Reprogramaciones!$T$15+7*(Reprogramaciones!K$14-1))),MIN(F161,(Reprogramaciones!$T$15+7*(Reprogramaciones!K$14-1))+6),11))=0,0,MAX(0,NETWORKDAYS.INTL(MAX(E161,(Reprogramaciones!$T$15+7*(Reprogramaciones!K$14-1))),MIN(F161,Reprogramaciones!K$13),11))/MAX(0,NETWORKDAYS.INTL(MAX(E161,(Reprogramaciones!$T$15+7*(Reprogramaciones!K$14-1))),MIN(F161,(Reprogramaciones!$T$15+7*(Reprogramaciones!K$14-1))+6),11))))))))</f>
        <v/>
      </c>
      <c r="BU161" s="1" t="str">
        <f aca="false">IF(OR(NOT(AND(ISNUMBER(E161),ISNUMBER(F161))),$J$2=""),"",IF(Reprogramaciones!L$13&lt;Reprogramaciones!$T$15,0,IF(Reprogramaciones!L$14&gt;10,MIN(100,SUM($G161:$P161)),MIN(100,SUMPRODUCT((COLUMN($G161:$P161)-COLUMN($G161)+1&lt;Reprogramaciones!L$14)*$G161:$P161)+N(INDEX($G161:$P161,1,Reprogramaciones!L$14))*IF(Reprogramaciones!L$13&gt;=(Reprogramaciones!$T$15+7*(Reprogramaciones!L$14-1))+6,1,IF(MAX(0,NETWORKDAYS.INTL(MAX(E161,(Reprogramaciones!$T$15+7*(Reprogramaciones!L$14-1))),MIN(F161,(Reprogramaciones!$T$15+7*(Reprogramaciones!L$14-1))+6),11))=0,0,MAX(0,NETWORKDAYS.INTL(MAX(E161,(Reprogramaciones!$T$15+7*(Reprogramaciones!L$14-1))),MIN(F161,Reprogramaciones!L$13),11))/MAX(0,NETWORKDAYS.INTL(MAX(E161,(Reprogramaciones!$T$15+7*(Reprogramaciones!L$14-1))),MIN(F161,(Reprogramaciones!$T$15+7*(Reprogramaciones!L$14-1))+6),11))))))))</f>
        <v/>
      </c>
      <c r="BV161" s="1" t="str">
        <f aca="false">IF(OR(NOT(AND(ISNUMBER(E161),ISNUMBER(F161))),$J$2=""),"",IF(Reprogramaciones!M$13&lt;Reprogramaciones!$T$15,0,IF(Reprogramaciones!M$14&gt;10,MIN(100,SUM($G161:$P161)),MIN(100,SUMPRODUCT((COLUMN($G161:$P161)-COLUMN($G161)+1&lt;Reprogramaciones!M$14)*$G161:$P161)+N(INDEX($G161:$P161,1,Reprogramaciones!M$14))*IF(Reprogramaciones!M$13&gt;=(Reprogramaciones!$T$15+7*(Reprogramaciones!M$14-1))+6,1,IF(MAX(0,NETWORKDAYS.INTL(MAX(E161,(Reprogramaciones!$T$15+7*(Reprogramaciones!M$14-1))),MIN(F161,(Reprogramaciones!$T$15+7*(Reprogramaciones!M$14-1))+6),11))=0,0,MAX(0,NETWORKDAYS.INTL(MAX(E161,(Reprogramaciones!$T$15+7*(Reprogramaciones!M$14-1))),MIN(F161,Reprogramaciones!M$13),11))/MAX(0,NETWORKDAYS.INTL(MAX(E161,(Reprogramaciones!$T$15+7*(Reprogramaciones!M$14-1))),MIN(F161,(Reprogramaciones!$T$15+7*(Reprogramaciones!M$14-1))+6),11))))))))</f>
        <v/>
      </c>
      <c r="BW161" s="1" t="str">
        <f aca="false">IF(OR(NOT(AND(ISNUMBER(E161),ISNUMBER(F161))),$J$2=""),"",IF(Reprogramaciones!N$13&lt;Reprogramaciones!$T$15,0,IF(Reprogramaciones!N$14&gt;10,MIN(100,SUM($G161:$P161)),MIN(100,SUMPRODUCT((COLUMN($G161:$P161)-COLUMN($G161)+1&lt;Reprogramaciones!N$14)*$G161:$P161)+N(INDEX($G161:$P161,1,Reprogramaciones!N$14))*IF(Reprogramaciones!N$13&gt;=(Reprogramaciones!$T$15+7*(Reprogramaciones!N$14-1))+6,1,IF(MAX(0,NETWORKDAYS.INTL(MAX(E161,(Reprogramaciones!$T$15+7*(Reprogramaciones!N$14-1))),MIN(F161,(Reprogramaciones!$T$15+7*(Reprogramaciones!N$14-1))+6),11))=0,0,MAX(0,NETWORKDAYS.INTL(MAX(E161,(Reprogramaciones!$T$15+7*(Reprogramaciones!N$14-1))),MIN(F161,Reprogramaciones!N$13),11))/MAX(0,NETWORKDAYS.INTL(MAX(E161,(Reprogramaciones!$T$15+7*(Reprogramaciones!N$14-1))),MIN(F161,(Reprogramaciones!$T$15+7*(Reprogramaciones!N$14-1))+6),11))))))))</f>
        <v/>
      </c>
      <c r="BX161" s="1" t="str">
        <f aca="false">IF(OR(NOT(AND(ISNUMBER(E161),ISNUMBER(F161))),$J$2=""),"",IF(Reprogramaciones!O$13&lt;Reprogramaciones!$T$15,0,IF(Reprogramaciones!O$14&gt;10,MIN(100,SUM($G161:$P161)),MIN(100,SUMPRODUCT((COLUMN($G161:$P161)-COLUMN($G161)+1&lt;Reprogramaciones!O$14)*$G161:$P161)+N(INDEX($G161:$P161,1,Reprogramaciones!O$14))*IF(Reprogramaciones!O$13&gt;=(Reprogramaciones!$T$15+7*(Reprogramaciones!O$14-1))+6,1,IF(MAX(0,NETWORKDAYS.INTL(MAX(E161,(Reprogramaciones!$T$15+7*(Reprogramaciones!O$14-1))),MIN(F161,(Reprogramaciones!$T$15+7*(Reprogramaciones!O$14-1))+6),11))=0,0,MAX(0,NETWORKDAYS.INTL(MAX(E161,(Reprogramaciones!$T$15+7*(Reprogramaciones!O$14-1))),MIN(F161,Reprogramaciones!O$13),11))/MAX(0,NETWORKDAYS.INTL(MAX(E161,(Reprogramaciones!$T$15+7*(Reprogramaciones!O$14-1))),MIN(F161,(Reprogramaciones!$T$15+7*(Reprogramaciones!O$14-1))+6),11))))))))</f>
        <v/>
      </c>
      <c r="BY161" s="1" t="str">
        <f aca="false">IF(OR(NOT(AND(ISNUMBER(E161),ISNUMBER(F161))),$J$2=""),"",IF(Reprogramaciones!P$13&lt;Reprogramaciones!$T$15,0,IF(Reprogramaciones!P$14&gt;10,MIN(100,SUM($G161:$P161)),MIN(100,SUMPRODUCT((COLUMN($G161:$P161)-COLUMN($G161)+1&lt;Reprogramaciones!P$14)*$G161:$P161)+N(INDEX($G161:$P161,1,Reprogramaciones!P$14))*IF(Reprogramaciones!P$13&gt;=(Reprogramaciones!$T$15+7*(Reprogramaciones!P$14-1))+6,1,IF(MAX(0,NETWORKDAYS.INTL(MAX(E161,(Reprogramaciones!$T$15+7*(Reprogramaciones!P$14-1))),MIN(F161,(Reprogramaciones!$T$15+7*(Reprogramaciones!P$14-1))+6),11))=0,0,MAX(0,NETWORKDAYS.INTL(MAX(E161,(Reprogramaciones!$T$15+7*(Reprogramaciones!P$14-1))),MIN(F161,Reprogramaciones!P$13),11))/MAX(0,NETWORKDAYS.INTL(MAX(E161,(Reprogramaciones!$T$15+7*(Reprogramaciones!P$14-1))),MIN(F161,(Reprogramaciones!$T$15+7*(Reprogramaciones!P$14-1))+6),11))))))))</f>
        <v/>
      </c>
      <c r="BZ161" s="1" t="str">
        <f aca="false">IF(OR(NOT(AND(ISNUMBER(E161),ISNUMBER(F161))),$J$2=""),"",IF(Reprogramaciones!Q$13&lt;Reprogramaciones!$T$15,0,IF(Reprogramaciones!Q$14&gt;10,MIN(100,SUM($G161:$P161)),MIN(100,SUMPRODUCT((COLUMN($G161:$P161)-COLUMN($G161)+1&lt;Reprogramaciones!Q$14)*$G161:$P161)+N(INDEX($G161:$P161,1,Reprogramaciones!Q$14))*IF(Reprogramaciones!Q$13&gt;=(Reprogramaciones!$T$15+7*(Reprogramaciones!Q$14-1))+6,1,IF(MAX(0,NETWORKDAYS.INTL(MAX(E161,(Reprogramaciones!$T$15+7*(Reprogramaciones!Q$14-1))),MIN(F161,(Reprogramaciones!$T$15+7*(Reprogramaciones!Q$14-1))+6),11))=0,0,MAX(0,NETWORKDAYS.INTL(MAX(E161,(Reprogramaciones!$T$15+7*(Reprogramaciones!Q$14-1))),MIN(F161,Reprogramaciones!Q$13),11))/MAX(0,NETWORKDAYS.INTL(MAX(E161,(Reprogramaciones!$T$15+7*(Reprogramaciones!Q$14-1))),MIN(F161,(Reprogramaciones!$T$15+7*(Reprogramaciones!Q$14-1))+6),11))))))))</f>
        <v/>
      </c>
      <c r="CA161" s="1" t="str">
        <f aca="false">IF(OR(NOT(AND(ISNUMBER(E161),ISNUMBER(F161))),$J$2=""),"",IF(Reprogramaciones!R$13&lt;Reprogramaciones!$T$15,0,IF(Reprogramaciones!R$14&gt;10,MIN(100,SUM($G161:$P161)),MIN(100,SUMPRODUCT((COLUMN($G161:$P161)-COLUMN($G161)+1&lt;Reprogramaciones!R$14)*$G161:$P161)+N(INDEX($G161:$P161,1,Reprogramaciones!R$14))*IF(Reprogramaciones!R$13&gt;=(Reprogramaciones!$T$15+7*(Reprogramaciones!R$14-1))+6,1,IF(MAX(0,NETWORKDAYS.INTL(MAX(E161,(Reprogramaciones!$T$15+7*(Reprogramaciones!R$14-1))),MIN(F161,(Reprogramaciones!$T$15+7*(Reprogramaciones!R$14-1))+6),11))=0,0,MAX(0,NETWORKDAYS.INTL(MAX(E161,(Reprogramaciones!$T$15+7*(Reprogramaciones!R$14-1))),MIN(F161,Reprogramaciones!R$13),11))/MAX(0,NETWORKDAYS.INTL(MAX(E161,(Reprogramaciones!$T$15+7*(Reprogramaciones!R$14-1))),MIN(F161,(Reprogramaciones!$T$15+7*(Reprogramaciones!R$14-1))+6),11))))))))</f>
        <v/>
      </c>
      <c r="CB161" s="1" t="str">
        <f aca="false">IF(OR(NOT(AND(ISNUMBER(E161),ISNUMBER(F161))),$J$2=""),"",IF(Reprogramaciones!S$13&lt;Reprogramaciones!$T$15,0,IF(Reprogramaciones!S$14&gt;10,MIN(100,SUM($G161:$P161)),MIN(100,SUMPRODUCT((COLUMN($G161:$P161)-COLUMN($G161)+1&lt;Reprogramaciones!S$14)*$G161:$P161)+N(INDEX($G161:$P161,1,Reprogramaciones!S$14))*IF(Reprogramaciones!S$13&gt;=(Reprogramaciones!$T$15+7*(Reprogramaciones!S$14-1))+6,1,IF(MAX(0,NETWORKDAYS.INTL(MAX(E161,(Reprogramaciones!$T$15+7*(Reprogramaciones!S$14-1))),MIN(F161,(Reprogramaciones!$T$15+7*(Reprogramaciones!S$14-1))+6),11))=0,0,MAX(0,NETWORKDAYS.INTL(MAX(E161,(Reprogramaciones!$T$15+7*(Reprogramaciones!S$14-1))),MIN(F161,Reprogramaciones!S$13),11))/MAX(0,NETWORKDAYS.INTL(MAX(E161,(Reprogramaciones!$T$15+7*(Reprogramaciones!S$14-1))),MIN(F161,(Reprogramaciones!$T$15+7*(Reprogramaciones!S$14-1))+6),11))))))))</f>
        <v/>
      </c>
      <c r="CC161" s="1" t="str">
        <f aca="false">IF(OR(NOT(AND(ISNUMBER(E161),ISNUMBER(F161))),$J$2=""),"",IF(Reprogramaciones!T$13&lt;Reprogramaciones!$T$15,0,IF(Reprogramaciones!T$14&gt;10,MIN(100,SUM($G161:$P161)),MIN(100,SUMPRODUCT((COLUMN($G161:$P161)-COLUMN($G161)+1&lt;Reprogramaciones!T$14)*$G161:$P161)+N(INDEX($G161:$P161,1,Reprogramaciones!T$14))*IF(Reprogramaciones!T$13&gt;=(Reprogramaciones!$T$15+7*(Reprogramaciones!T$14-1))+6,1,IF(MAX(0,NETWORKDAYS.INTL(MAX(E161,(Reprogramaciones!$T$15+7*(Reprogramaciones!T$14-1))),MIN(F161,(Reprogramaciones!$T$15+7*(Reprogramaciones!T$14-1))+6),11))=0,0,MAX(0,NETWORKDAYS.INTL(MAX(E161,(Reprogramaciones!$T$15+7*(Reprogramaciones!T$14-1))),MIN(F161,Reprogramaciones!T$13),11))/MAX(0,NETWORKDAYS.INTL(MAX(E161,(Reprogramaciones!$T$15+7*(Reprogramaciones!T$14-1))),MIN(F161,(Reprogramaciones!$T$15+7*(Reprogramaciones!T$14-1))+6),11))))))))</f>
        <v/>
      </c>
      <c r="CD161" s="1" t="str">
        <f aca="false">IF(OR(NOT(AND(ISNUMBER(E161),ISNUMBER(F161))),$J$2=""),"",IF(Reprogramaciones!U$13&lt;Reprogramaciones!$T$15,0,IF(Reprogramaciones!U$14&gt;10,MIN(100,SUM($G161:$P161)),MIN(100,SUMPRODUCT((COLUMN($G161:$P161)-COLUMN($G161)+1&lt;Reprogramaciones!U$14)*$G161:$P161)+N(INDEX($G161:$P161,1,Reprogramaciones!U$14))*IF(Reprogramaciones!U$13&gt;=(Reprogramaciones!$T$15+7*(Reprogramaciones!U$14-1))+6,1,IF(MAX(0,NETWORKDAYS.INTL(MAX(E161,(Reprogramaciones!$T$15+7*(Reprogramaciones!U$14-1))),MIN(F161,(Reprogramaciones!$T$15+7*(Reprogramaciones!U$14-1))+6),11))=0,0,MAX(0,NETWORKDAYS.INTL(MAX(E161,(Reprogramaciones!$T$15+7*(Reprogramaciones!U$14-1))),MIN(F161,Reprogramaciones!U$13),11))/MAX(0,NETWORKDAYS.INTL(MAX(E161,(Reprogramaciones!$T$15+7*(Reprogramaciones!U$14-1))),MIN(F161,(Reprogramaciones!$T$15+7*(Reprogramaciones!U$14-1))+6),11))))))))</f>
        <v/>
      </c>
      <c r="CE161" s="1" t="str">
        <f aca="false">IF(OR(NOT(AND(ISNUMBER(E161),ISNUMBER(F161))),$J$2=""),"",IF(Reprogramaciones!V$13&lt;Reprogramaciones!$T$15,0,IF(Reprogramaciones!V$14&gt;10,MIN(100,SUM($G161:$P161)),MIN(100,SUMPRODUCT((COLUMN($G161:$P161)-COLUMN($G161)+1&lt;Reprogramaciones!V$14)*$G161:$P161)+N(INDEX($G161:$P161,1,Reprogramaciones!V$14))*IF(Reprogramaciones!V$13&gt;=(Reprogramaciones!$T$15+7*(Reprogramaciones!V$14-1))+6,1,IF(MAX(0,NETWORKDAYS.INTL(MAX(E161,(Reprogramaciones!$T$15+7*(Reprogramaciones!V$14-1))),MIN(F161,(Reprogramaciones!$T$15+7*(Reprogramaciones!V$14-1))+6),11))=0,0,MAX(0,NETWORKDAYS.INTL(MAX(E161,(Reprogramaciones!$T$15+7*(Reprogramaciones!V$14-1))),MIN(F161,Reprogramaciones!V$13),11))/MAX(0,NETWORKDAYS.INTL(MAX(E161,(Reprogramaciones!$T$15+7*(Reprogramaciones!V$14-1))),MIN(F161,(Reprogramaciones!$T$15+7*(Reprogramaciones!V$14-1))+6),11))))))))</f>
        <v/>
      </c>
      <c r="CF161" s="1" t="str">
        <f aca="false">IF(OR(NOT(AND(ISNUMBER(E161),ISNUMBER(F161))),$J$2=""),"",IF(Reprogramaciones!W$13&lt;Reprogramaciones!$T$15,0,IF(Reprogramaciones!W$14&gt;10,MIN(100,SUM($G161:$P161)),MIN(100,SUMPRODUCT((COLUMN($G161:$P161)-COLUMN($G161)+1&lt;Reprogramaciones!W$14)*$G161:$P161)+N(INDEX($G161:$P161,1,Reprogramaciones!W$14))*IF(Reprogramaciones!W$13&gt;=(Reprogramaciones!$T$15+7*(Reprogramaciones!W$14-1))+6,1,IF(MAX(0,NETWORKDAYS.INTL(MAX(E161,(Reprogramaciones!$T$15+7*(Reprogramaciones!W$14-1))),MIN(F161,(Reprogramaciones!$T$15+7*(Reprogramaciones!W$14-1))+6),11))=0,0,MAX(0,NETWORKDAYS.INTL(MAX(E161,(Reprogramaciones!$T$15+7*(Reprogramaciones!W$14-1))),MIN(F161,Reprogramaciones!W$13),11))/MAX(0,NETWORKDAYS.INTL(MAX(E161,(Reprogramaciones!$T$15+7*(Reprogramaciones!W$14-1))),MIN(F161,(Reprogramaciones!$T$15+7*(Reprogramaciones!W$14-1))+6),11))))))))</f>
        <v/>
      </c>
      <c r="CG161" s="1" t="str">
        <f aca="false">IF(OR(NOT(AND(ISNUMBER(E161),ISNUMBER(F161))),$J$2=""),"",IF(Reprogramaciones!X$13&lt;Reprogramaciones!$T$15,0,IF(Reprogramaciones!X$14&gt;10,MIN(100,SUM($G161:$P161)),MIN(100,SUMPRODUCT((COLUMN($G161:$P161)-COLUMN($G161)+1&lt;Reprogramaciones!X$14)*$G161:$P161)+N(INDEX($G161:$P161,1,Reprogramaciones!X$14))*IF(Reprogramaciones!X$13&gt;=(Reprogramaciones!$T$15+7*(Reprogramaciones!X$14-1))+6,1,IF(MAX(0,NETWORKDAYS.INTL(MAX(E161,(Reprogramaciones!$T$15+7*(Reprogramaciones!X$14-1))),MIN(F161,(Reprogramaciones!$T$15+7*(Reprogramaciones!X$14-1))+6),11))=0,0,MAX(0,NETWORKDAYS.INTL(MAX(E161,(Reprogramaciones!$T$15+7*(Reprogramaciones!X$14-1))),MIN(F161,Reprogramaciones!X$13),11))/MAX(0,NETWORKDAYS.INTL(MAX(E161,(Reprogramaciones!$T$15+7*(Reprogramaciones!X$14-1))),MIN(F161,(Reprogramaciones!$T$15+7*(Reprogramaciones!X$14-1))+6),11))))))))</f>
        <v/>
      </c>
      <c r="CH161" s="1" t="str">
        <f aca="false">IF(OR(NOT(AND(ISNUMBER(E161),ISNUMBER(F161))),$J$2=""),"",IF(Reprogramaciones!Y$13&lt;Reprogramaciones!$T$15,0,IF(Reprogramaciones!Y$14&gt;10,MIN(100,SUM($G161:$P161)),MIN(100,SUMPRODUCT((COLUMN($G161:$P161)-COLUMN($G161)+1&lt;Reprogramaciones!Y$14)*$G161:$P161)+N(INDEX($G161:$P161,1,Reprogramaciones!Y$14))*IF(Reprogramaciones!Y$13&gt;=(Reprogramaciones!$T$15+7*(Reprogramaciones!Y$14-1))+6,1,IF(MAX(0,NETWORKDAYS.INTL(MAX(E161,(Reprogramaciones!$T$15+7*(Reprogramaciones!Y$14-1))),MIN(F161,(Reprogramaciones!$T$15+7*(Reprogramaciones!Y$14-1))+6),11))=0,0,MAX(0,NETWORKDAYS.INTL(MAX(E161,(Reprogramaciones!$T$15+7*(Reprogramaciones!Y$14-1))),MIN(F161,Reprogramaciones!Y$13),11))/MAX(0,NETWORKDAYS.INTL(MAX(E161,(Reprogramaciones!$T$15+7*(Reprogramaciones!Y$14-1))),MIN(F161,(Reprogramaciones!$T$15+7*(Reprogramaciones!Y$14-1))+6),11))))))))</f>
        <v/>
      </c>
      <c r="CI161" s="1" t="str">
        <f aca="false">IF(OR(NOT(AND(ISNUMBER(E161),ISNUMBER(F161))),$J$2=""),"",IF(Reprogramaciones!Z$13&lt;Reprogramaciones!$T$15,0,IF(Reprogramaciones!Z$14&gt;10,MIN(100,SUM($G161:$P161)),MIN(100,SUMPRODUCT((COLUMN($G161:$P161)-COLUMN($G161)+1&lt;Reprogramaciones!Z$14)*$G161:$P161)+N(INDEX($G161:$P161,1,Reprogramaciones!Z$14))*IF(Reprogramaciones!Z$13&gt;=(Reprogramaciones!$T$15+7*(Reprogramaciones!Z$14-1))+6,1,IF(MAX(0,NETWORKDAYS.INTL(MAX(E161,(Reprogramaciones!$T$15+7*(Reprogramaciones!Z$14-1))),MIN(F161,(Reprogramaciones!$T$15+7*(Reprogramaciones!Z$14-1))+6),11))=0,0,MAX(0,NETWORKDAYS.INTL(MAX(E161,(Reprogramaciones!$T$15+7*(Reprogramaciones!Z$14-1))),MIN(F161,Reprogramaciones!Z$13),11))/MAX(0,NETWORKDAYS.INTL(MAX(E161,(Reprogramaciones!$T$15+7*(Reprogramaciones!Z$14-1))),MIN(F161,(Reprogramaciones!$T$15+7*(Reprogramaciones!Z$14-1))+6),11))))))))</f>
        <v/>
      </c>
      <c r="CJ161" s="1" t="str">
        <f aca="false">IF(OR(OR(NOT(AND(ISNUMBER(E161),ISNUMBER(F161))),$J$2=""),1&gt;Reprogramaciones!$K$16),"",IF(ROUND(SUM($Q161:Q161),1)&gt;=99.5,100,MIN(100,ROUND(SUM($Q161:Q161),1))))</f>
        <v/>
      </c>
      <c r="CK161" s="1" t="str">
        <f aca="false">IF(OR(OR(NOT(AND(ISNUMBER(E161),ISNUMBER(F161))),$J$2=""),2&gt;Reprogramaciones!$K$16),"",IF(ROUND(SUM($Q161:R161),1)&gt;=99.5,100,MIN(100,ROUND(SUM($Q161:R161),1))))</f>
        <v/>
      </c>
      <c r="CL161" s="1" t="str">
        <f aca="false">IF(OR(OR(NOT(AND(ISNUMBER(E161),ISNUMBER(F161))),$J$2=""),3&gt;Reprogramaciones!$K$16),"",IF(ROUND(SUM($Q161:S161),1)&gt;=99.5,100,MIN(100,ROUND(SUM($Q161:S161),1))))</f>
        <v/>
      </c>
      <c r="CM161" s="1" t="str">
        <f aca="false">IF(OR(OR(NOT(AND(ISNUMBER(E161),ISNUMBER(F161))),$J$2=""),4&gt;Reprogramaciones!$K$16),"",IF(ROUND(SUM($Q161:T161),1)&gt;=99.5,100,MIN(100,ROUND(SUM($Q161:T161),1))))</f>
        <v/>
      </c>
      <c r="CN161" s="1" t="str">
        <f aca="false">IF(OR(OR(NOT(AND(ISNUMBER(E161),ISNUMBER(F161))),$J$2=""),5&gt;Reprogramaciones!$K$16),"",IF(ROUND(SUM($Q161:U161),1)&gt;=99.5,100,MIN(100,ROUND(SUM($Q161:U161),1))))</f>
        <v/>
      </c>
      <c r="CO161" s="1" t="str">
        <f aca="false">IF(OR(OR(NOT(AND(ISNUMBER(E161),ISNUMBER(F161))),$J$2=""),6&gt;Reprogramaciones!$K$16),"",IF(ROUND(SUM($Q161:V161),1)&gt;=99.5,100,MIN(100,ROUND(SUM($Q161:V161),1))))</f>
        <v/>
      </c>
      <c r="CP161" s="1" t="str">
        <f aca="false">IF(OR(OR(NOT(AND(ISNUMBER(E161),ISNUMBER(F161))),$J$2=""),7&gt;Reprogramaciones!$K$16),"",IF(ROUND(SUM($Q161:W161),1)&gt;=99.5,100,MIN(100,ROUND(SUM($Q161:W161),1))))</f>
        <v/>
      </c>
      <c r="CQ161" s="1" t="str">
        <f aca="false">IF(OR(OR(NOT(AND(ISNUMBER(E161),ISNUMBER(F161))),$J$2=""),8&gt;Reprogramaciones!$K$16),"",IF(ROUND(SUM($Q161:X161),1)&gt;=99.5,100,MIN(100,ROUND(SUM($Q161:X161),1))))</f>
        <v/>
      </c>
      <c r="CR161" s="1" t="str">
        <f aca="false">IF(OR(OR(NOT(AND(ISNUMBER(E161),ISNUMBER(F161))),$J$2=""),9&gt;Reprogramaciones!$K$16),"",IF(ROUND(SUM($Q161:Y161),1)&gt;=99.5,100,MIN(100,ROUND(SUM($Q161:Y161),1))))</f>
        <v/>
      </c>
      <c r="CS161" s="1" t="str">
        <f aca="false">IF(OR(OR(NOT(AND(ISNUMBER(E161),ISNUMBER(F161))),$J$2=""),10&gt;Reprogramaciones!$K$16),"",IF(ROUND(SUM($Q161:Z161),1)&gt;=99.5,100,MIN(100,ROUND(SUM($Q161:Z161),1))))</f>
        <v/>
      </c>
      <c r="CT161" s="1" t="str">
        <f aca="false">IF(OR(OR(NOT(AND(ISNUMBER(E161),ISNUMBER(F161))),$J$2=""),11&gt;Reprogramaciones!$K$16),"",IF(ROUND(SUM($Q161:AA161),1)&gt;=99.5,100,MIN(100,ROUND(SUM($Q161:AA161),1))))</f>
        <v/>
      </c>
      <c r="CU161" s="1" t="str">
        <f aca="false">IF(OR(OR(NOT(AND(ISNUMBER(E161),ISNUMBER(F161))),$J$2=""),12&gt;Reprogramaciones!$K$16),"",IF(ROUND(SUM($Q161:AB161),1)&gt;=99.5,100,MIN(100,ROUND(SUM($Q161:AB161),1))))</f>
        <v/>
      </c>
      <c r="CV161" s="1" t="str">
        <f aca="false">IF(OR(OR(NOT(AND(ISNUMBER(E161),ISNUMBER(F161))),$J$2=""),13&gt;Reprogramaciones!$K$16),"",IF(ROUND(SUM($Q161:AC161),1)&gt;=99.5,100,MIN(100,ROUND(SUM($Q161:AC161),1))))</f>
        <v/>
      </c>
      <c r="CW161" s="1" t="str">
        <f aca="false">IF(OR(OR(NOT(AND(ISNUMBER(E161),ISNUMBER(F161))),$J$2=""),14&gt;Reprogramaciones!$K$16),"",IF(ROUND(SUM($Q161:AD161),1)&gt;=99.5,100,MIN(100,ROUND(SUM($Q161:AD161),1))))</f>
        <v/>
      </c>
      <c r="CX161" s="1" t="str">
        <f aca="false">IF(OR(OR(NOT(AND(ISNUMBER(E161),ISNUMBER(F161))),$J$2=""),15&gt;Reprogramaciones!$K$16),"",IF(ROUND(SUM($Q161:AE161),1)&gt;=99.5,100,MIN(100,ROUND(SUM($Q161:AE161),1))))</f>
        <v/>
      </c>
      <c r="CY161" s="1" t="str">
        <f aca="false">IF(OR(OR(NOT(AND(ISNUMBER(E161),ISNUMBER(F161))),$J$2=""),16&gt;Reprogramaciones!$K$16),"",IF(ROUND(SUM($Q161:AF161),1)&gt;=99.5,100,MIN(100,ROUND(SUM($Q161:AF161),1))))</f>
        <v/>
      </c>
      <c r="CZ161" s="1" t="str">
        <f aca="false">IF(D161&lt;&gt;"",D161,IF(B161&lt;&gt;"","Contractual",CZ160))</f>
        <v>Contractual</v>
      </c>
      <c r="DA161" s="1" t="str">
        <f aca="false">IF(OR(NOT(AND(ISNUMBER(E161),ISNUMBER(F161))),$J$2=""),"",IF(Reprogramaciones!$Q$15&lt;Reprogramaciones!$T$15,0,IF(Reprogramaciones!$S$15&gt;10,MIN(100,SUM($G161:$P161)),MIN(100,SUMPRODUCT((COLUMN($G161:$P161)-COLUMN($G161)+1&lt;Reprogramaciones!$S$15)*$G161:$P161)+N(INDEX($G161:$P161,1,Reprogramaciones!$S$15))*IF(Reprogramaciones!$Q$15&gt;=(Reprogramaciones!$T$15+7*(Reprogramaciones!$S$15-1))+6,1,IF(MAX(0,NETWORKDAYS.INTL(MAX(E161,(Reprogramaciones!$T$15+7*(Reprogramaciones!$S$15-1))),MIN(F161,(Reprogramaciones!$T$15+7*(Reprogramaciones!$S$15-1))+6),11))=0,0,MAX(0,NETWORKDAYS.INTL(MAX(E161,(Reprogramaciones!$T$15+7*(Reprogramaciones!$S$15-1))),MIN(F161,Reprogramaciones!$Q$15),11))/MAX(0,NETWORKDAYS.INTL(MAX(E161,(Reprogramaciones!$T$15+7*(Reprogramaciones!$S$15-1))),MIN(F161,(Reprogramaciones!$T$15+7*(Reprogramaciones!$S$15-1))+6),11))))))))</f>
        <v/>
      </c>
    </row>
    <row r="162" customFormat="false" ht="15" hidden="false" customHeight="false" outlineLevel="0" collapsed="false">
      <c r="A162" s="32"/>
      <c r="B162" s="33"/>
      <c r="C162" s="33"/>
      <c r="D162" s="34"/>
      <c r="E162" s="35"/>
      <c r="F162" s="35"/>
      <c r="G162" s="36" t="str">
        <f aca="false">IF(OR(NOT(AND(ISNUMBER(E162),ISNUMBER(F162))),$J$2=""),"",IF(Reprogramaciones!K$9&lt;E162,0,IF(NETWORKDAYS.INTL(E162,F162,11)=0,IF(Reprogramaciones!K$9&gt;=F162,100,0),ROUND(NETWORKDAYS.INTL(E162,MIN(F162,Reprogramaciones!K$9),11)/NETWORKDAYS.INTL(E162,F162,11)*100,1)))-0)</f>
        <v/>
      </c>
      <c r="H162" s="36" t="str">
        <f aca="false">IF(OR(NOT(AND(ISNUMBER(E162),ISNUMBER(F162))),$J$2=""),"",IF(Reprogramaciones!L$9&lt;E162,0,IF(NETWORKDAYS.INTL(E162,F162,11)=0,IF(Reprogramaciones!L$9&gt;=F162,100,0),ROUND(NETWORKDAYS.INTL(E162,MIN(F162,Reprogramaciones!L$9),11)/NETWORKDAYS.INTL(E162,F162,11)*100,1)))-IF(Reprogramaciones!K$9&lt;E162,0,IF(NETWORKDAYS.INTL(E162,F162,11)=0,IF(Reprogramaciones!K$9&gt;=F162,100,0),ROUND(NETWORKDAYS.INTL(E162,MIN(F162,Reprogramaciones!K$9),11)/NETWORKDAYS.INTL(E162,F162,11)*100,1))))</f>
        <v/>
      </c>
      <c r="I162" s="36" t="str">
        <f aca="false">IF(OR(NOT(AND(ISNUMBER(E162),ISNUMBER(F162))),$J$2=""),"",IF(Reprogramaciones!M$9&lt;E162,0,IF(NETWORKDAYS.INTL(E162,F162,11)=0,IF(Reprogramaciones!M$9&gt;=F162,100,0),ROUND(NETWORKDAYS.INTL(E162,MIN(F162,Reprogramaciones!M$9),11)/NETWORKDAYS.INTL(E162,F162,11)*100,1)))-IF(Reprogramaciones!L$9&lt;E162,0,IF(NETWORKDAYS.INTL(E162,F162,11)=0,IF(Reprogramaciones!L$9&gt;=F162,100,0),ROUND(NETWORKDAYS.INTL(E162,MIN(F162,Reprogramaciones!L$9),11)/NETWORKDAYS.INTL(E162,F162,11)*100,1))))</f>
        <v/>
      </c>
      <c r="J162" s="36" t="str">
        <f aca="false">IF(OR(NOT(AND(ISNUMBER(E162),ISNUMBER(F162))),$J$2=""),"",IF(Reprogramaciones!N$9&lt;E162,0,IF(NETWORKDAYS.INTL(E162,F162,11)=0,IF(Reprogramaciones!N$9&gt;=F162,100,0),ROUND(NETWORKDAYS.INTL(E162,MIN(F162,Reprogramaciones!N$9),11)/NETWORKDAYS.INTL(E162,F162,11)*100,1)))-IF(Reprogramaciones!M$9&lt;E162,0,IF(NETWORKDAYS.INTL(E162,F162,11)=0,IF(Reprogramaciones!M$9&gt;=F162,100,0),ROUND(NETWORKDAYS.INTL(E162,MIN(F162,Reprogramaciones!M$9),11)/NETWORKDAYS.INTL(E162,F162,11)*100,1))))</f>
        <v/>
      </c>
      <c r="K162" s="36" t="str">
        <f aca="false">IF(OR(NOT(AND(ISNUMBER(E162),ISNUMBER(F162))),$J$2=""),"",IF(Reprogramaciones!O$9&lt;E162,0,IF(NETWORKDAYS.INTL(E162,F162,11)=0,IF(Reprogramaciones!O$9&gt;=F162,100,0),ROUND(NETWORKDAYS.INTL(E162,MIN(F162,Reprogramaciones!O$9),11)/NETWORKDAYS.INTL(E162,F162,11)*100,1)))-IF(Reprogramaciones!N$9&lt;E162,0,IF(NETWORKDAYS.INTL(E162,F162,11)=0,IF(Reprogramaciones!N$9&gt;=F162,100,0),ROUND(NETWORKDAYS.INTL(E162,MIN(F162,Reprogramaciones!N$9),11)/NETWORKDAYS.INTL(E162,F162,11)*100,1))))</f>
        <v/>
      </c>
      <c r="L162" s="36" t="str">
        <f aca="false">IF(OR(NOT(AND(ISNUMBER(E162),ISNUMBER(F162))),$J$2=""),"",IF(Reprogramaciones!P$9&lt;E162,0,IF(NETWORKDAYS.INTL(E162,F162,11)=0,IF(Reprogramaciones!P$9&gt;=F162,100,0),ROUND(NETWORKDAYS.INTL(E162,MIN(F162,Reprogramaciones!P$9),11)/NETWORKDAYS.INTL(E162,F162,11)*100,1)))-IF(Reprogramaciones!O$9&lt;E162,0,IF(NETWORKDAYS.INTL(E162,F162,11)=0,IF(Reprogramaciones!O$9&gt;=F162,100,0),ROUND(NETWORKDAYS.INTL(E162,MIN(F162,Reprogramaciones!O$9),11)/NETWORKDAYS.INTL(E162,F162,11)*100,1))))</f>
        <v/>
      </c>
      <c r="M162" s="36" t="str">
        <f aca="false">IF(OR(NOT(AND(ISNUMBER(E162),ISNUMBER(F162))),$J$2=""),"",IF(Reprogramaciones!Q$9&lt;E162,0,IF(NETWORKDAYS.INTL(E162,F162,11)=0,IF(Reprogramaciones!Q$9&gt;=F162,100,0),ROUND(NETWORKDAYS.INTL(E162,MIN(F162,Reprogramaciones!Q$9),11)/NETWORKDAYS.INTL(E162,F162,11)*100,1)))-IF(Reprogramaciones!P$9&lt;E162,0,IF(NETWORKDAYS.INTL(E162,F162,11)=0,IF(Reprogramaciones!P$9&gt;=F162,100,0),ROUND(NETWORKDAYS.INTL(E162,MIN(F162,Reprogramaciones!P$9),11)/NETWORKDAYS.INTL(E162,F162,11)*100,1))))</f>
        <v/>
      </c>
      <c r="N162" s="36" t="str">
        <f aca="false">IF(OR(NOT(AND(ISNUMBER(E162),ISNUMBER(F162))),$J$2=""),"",IF(Reprogramaciones!R$9&lt;E162,0,IF(NETWORKDAYS.INTL(E162,F162,11)=0,IF(Reprogramaciones!R$9&gt;=F162,100,0),ROUND(NETWORKDAYS.INTL(E162,MIN(F162,Reprogramaciones!R$9),11)/NETWORKDAYS.INTL(E162,F162,11)*100,1)))-IF(Reprogramaciones!Q$9&lt;E162,0,IF(NETWORKDAYS.INTL(E162,F162,11)=0,IF(Reprogramaciones!Q$9&gt;=F162,100,0),ROUND(NETWORKDAYS.INTL(E162,MIN(F162,Reprogramaciones!Q$9),11)/NETWORKDAYS.INTL(E162,F162,11)*100,1))))</f>
        <v/>
      </c>
      <c r="O162" s="36" t="str">
        <f aca="false">IF(OR(NOT(AND(ISNUMBER(E162),ISNUMBER(F162))),$J$2=""),"",IF(Reprogramaciones!S$9&lt;E162,0,IF(NETWORKDAYS.INTL(E162,F162,11)=0,IF(Reprogramaciones!S$9&gt;=F162,100,0),ROUND(NETWORKDAYS.INTL(E162,MIN(F162,Reprogramaciones!S$9),11)/NETWORKDAYS.INTL(E162,F162,11)*100,1)))-IF(Reprogramaciones!R$9&lt;E162,0,IF(NETWORKDAYS.INTL(E162,F162,11)=0,IF(Reprogramaciones!R$9&gt;=F162,100,0),ROUND(NETWORKDAYS.INTL(E162,MIN(F162,Reprogramaciones!R$9),11)/NETWORKDAYS.INTL(E162,F162,11)*100,1))))</f>
        <v/>
      </c>
      <c r="P162" s="36" t="str">
        <f aca="false">IF(OR(NOT(AND(ISNUMBER(E162),ISNUMBER(F162))),$J$2=""),"",IF(Reprogramaciones!T$9&lt;E162,0,IF(NETWORKDAYS.INTL(E162,F162,11)=0,IF(Reprogramaciones!T$9&gt;=F162,100,0),ROUND(NETWORKDAYS.INTL(E162,MIN(F162,Reprogramaciones!T$9),11)/NETWORKDAYS.INTL(E162,F162,11)*100,1)))-IF(Reprogramaciones!S$9&lt;E162,0,IF(NETWORKDAYS.INTL(E162,F162,11)=0,IF(Reprogramaciones!S$9&gt;=F162,100,0),ROUND(NETWORKDAYS.INTL(E162,MIN(F162,Reprogramaciones!S$9),11)/NETWORKDAYS.INTL(E162,F162,11)*100,1))))</f>
        <v/>
      </c>
      <c r="Q162" s="37"/>
      <c r="R162" s="37"/>
      <c r="S162" s="37"/>
      <c r="T162" s="37"/>
      <c r="U162" s="37"/>
      <c r="V162" s="37"/>
      <c r="W162" s="37"/>
      <c r="X162" s="37"/>
      <c r="Y162" s="37"/>
      <c r="Z162" s="37"/>
      <c r="AA162" s="37"/>
      <c r="AB162" s="37"/>
      <c r="AC162" s="37"/>
      <c r="AD162" s="37"/>
      <c r="AE162" s="37"/>
      <c r="AF162" s="37"/>
      <c r="AG162" s="38" t="str">
        <f aca="false">IF(AND(ISNUMBER(E162),ISNUMBER(F162)),NETWORKDAYS.INTL(E162,F162,11),"")</f>
        <v/>
      </c>
      <c r="AH162" s="38" t="str">
        <f aca="false">IF(OR(NOT(AND(ISNUMBER(E162),ISNUMBER(F162))),$J$2=""),"",IF(Reprogramaciones!$P$15&lt;Reprogramaciones!$T$15,0,IF(Reprogramaciones!$R$15&gt;10,MIN(100,SUM($G162:$P162)),MIN(100,SUMPRODUCT((COLUMN($G162:$P162)-COLUMN($G162)+1&lt;Reprogramaciones!$R$15)*$G162:$P162)+N(INDEX($G162:$P162,1,Reprogramaciones!$R$15))*IF(Reprogramaciones!$P$15&gt;=(Reprogramaciones!$T$15+7*(Reprogramaciones!$R$15-1))+6,1,IF(MAX(0,NETWORKDAYS.INTL(MAX(E162,(Reprogramaciones!$T$15+7*(Reprogramaciones!$R$15-1))),MIN(F162,(Reprogramaciones!$T$15+7*(Reprogramaciones!$R$15-1))+6),11))=0,0,MAX(0,NETWORKDAYS.INTL(MAX(E162,(Reprogramaciones!$T$15+7*(Reprogramaciones!$R$15-1))),MIN(F162,Reprogramaciones!$P$15),11))/MAX(0,NETWORKDAYS.INTL(MAX(E162,(Reprogramaciones!$T$15+7*(Reprogramaciones!$R$15-1))),MIN(F162,(Reprogramaciones!$T$15+7*(Reprogramaciones!$R$15-1))+6),11))))))))</f>
        <v/>
      </c>
      <c r="AI162" s="38" t="str">
        <f aca="false">IF(COUNT($Q162:$AF162)=0,"",IF(ROUND(SUM($Q162:$AF162),1)&gt;=99.5,100,MIN(100,ROUND(SUM($Q162:$AF162),1))))</f>
        <v/>
      </c>
      <c r="AJ162" s="38" t="str">
        <f aca="false">IF(OR(AH162="",AI162=""),"",AI162-AH162)</f>
        <v/>
      </c>
      <c r="AK162" s="39" t="str">
        <f aca="true">IF(AH162="","",IF(OR(Ficha!$C$10="Suspendida",Ficha!$C$10="Cancelada"),Ficha!$C$10,IF(AND(AI162&lt;&gt;"",N(AI162)&gt;=100),"Completada",IF(AND(E162&gt;TODAY(),N(AI162)=0),"Por iniciar",IF(N(AI162)+0.5&lt;AH162,"Retrasada",IF(N(AI162)+0.5&lt;DA162,IF(Reprogramaciones!$K$15&gt;0,"Al día · Sem "&amp;Reprogramaciones!$K$15&amp;" en curso","Al día · en curso"),"A tiempo"))))))</f>
        <v/>
      </c>
      <c r="AL162" s="39" t="str">
        <f aca="true">IF(AND(A162="",AND(B162="",C162="",E162="",F162="",COUNT(Q162:AF162)=0)),"",IF(AND(B162="",C162="",E162="",F162="",COUNT(Q162:AF162)=0),"Falta la partida o subpartida",IF(AND(A162&lt;&gt;"",COUNTIF($A$6:$A$305,A162)&gt;1),"Ítem repetido",IF(AND(C162="",E162="",F162="",COUNT(Q162:AF162)=0),"Título de partida",IF(OR(E162="",F162=""),"Faltan fechas",IF(OR(ISTEXT(E162),ISTEXT(F162)),"Fecha escrita como texto: usa dd/mm/aaaa",IF(F162&lt;E162,"Fin antes del inicio",IF(IF($J$2="",FALSE(),OR(E162&lt;$J$2,F162&gt;Reprogramaciones!$T$15+69)),"Fuera de las 10 semanas",IF(ABS(SUM(G162:P162)-100)&gt;0.5,"La meta no suma 100%",IF(ROUND(SUM(Q162:AF162),1)&gt;100.5,"El avance pasa de 100%",IF(MIN(Q162:AF162)&lt;0,"Avance negativo",IF(COUNTA(Q162:AF162)&gt;COUNT(Q162:AF162),"Avance escrito como texto",IF(SUMPRODUCT((Q162:AF162&gt;0)*(Q162:AF162&lt;1))&gt;0,"Avance menor a 1: escribe 50, no 50%",IF(SUMPRODUCT(ISNUMBER(Q162:AF162)*(Reprogramaciones!$K$8:$Z$8&gt;TODAY()))&gt;0,"Avance en semana que aún no llega",IF(AND(N(Reprogramaciones!$E$21)&gt;0,F162&gt;Reprogramaciones!$E$21),"Pasa el fin de la obra: registra una reprogramación",IF(AND(N(Reprogramaciones!$E$21)&gt;0,SUMPRODUCT(ISNUMBER(Q162:AF162)*(Reprogramaciones!$K$8:$Z$8&gt;Reprogramaciones!$E$21))&gt;0),"Avance después del fin de la obra: registra una reprogramación por atraso","OK"))))))))))))))))</f>
        <v/>
      </c>
      <c r="AM162" s="40" t="str">
        <f aca="false">IF(OR(OR(NOT(AND(ISNUMBER(E162),ISNUMBER(F162))),$J$2=""),1&gt;MAX(1,Reprogramaciones!$U$15)),"",IF(Reprogramaciones!K$12&gt;=7,"",IF(OR(BT162-N(0)&gt;0.05,N(Q162)&gt;0),ROUNDDOWN(ROUND(BT162,6),0)&amp;"%"&amp;IF(CJ162="",""," / "&amp;CJ162&amp;"%"),IF(AND(N(0)&gt;=99.95,CJ162&lt;&gt;"",N(CJ162)&lt;100),"Pend. "&amp;CJ162&amp;"%",""))))</f>
        <v/>
      </c>
      <c r="AN162" s="40" t="str">
        <f aca="false">IF(OR(OR(NOT(AND(ISNUMBER(E162),ISNUMBER(F162))),$J$2=""),2&gt;MAX(1,Reprogramaciones!$U$15)),"",IF(Reprogramaciones!L$12&gt;=7,"",IF(OR(BU162-N(BT162)&gt;0.05,N(R162)&gt;0),ROUNDDOWN(ROUND(BU162,6),0)&amp;"%"&amp;IF(CK162="",""," / "&amp;CK162&amp;"%"),IF(AND(N(BT162)&gt;=99.95,CK162&lt;&gt;"",N(CK162)&lt;100),"Pend. "&amp;CK162&amp;"%",""))))</f>
        <v/>
      </c>
      <c r="AO162" s="40" t="str">
        <f aca="false">IF(OR(OR(NOT(AND(ISNUMBER(E162),ISNUMBER(F162))),$J$2=""),3&gt;MAX(1,Reprogramaciones!$U$15)),"",IF(Reprogramaciones!M$12&gt;=7,"",IF(OR(BV162-N(BU162)&gt;0.05,N(S162)&gt;0),ROUNDDOWN(ROUND(BV162,6),0)&amp;"%"&amp;IF(CL162="",""," / "&amp;CL162&amp;"%"),IF(AND(N(BU162)&gt;=99.95,CL162&lt;&gt;"",N(CL162)&lt;100),"Pend. "&amp;CL162&amp;"%",""))))</f>
        <v/>
      </c>
      <c r="AP162" s="40" t="str">
        <f aca="false">IF(OR(OR(NOT(AND(ISNUMBER(E162),ISNUMBER(F162))),$J$2=""),4&gt;MAX(1,Reprogramaciones!$U$15)),"",IF(Reprogramaciones!N$12&gt;=7,"",IF(OR(BW162-N(BV162)&gt;0.05,N(T162)&gt;0),ROUNDDOWN(ROUND(BW162,6),0)&amp;"%"&amp;IF(CM162="",""," / "&amp;CM162&amp;"%"),IF(AND(N(BV162)&gt;=99.95,CM162&lt;&gt;"",N(CM162)&lt;100),"Pend. "&amp;CM162&amp;"%",""))))</f>
        <v/>
      </c>
      <c r="AQ162" s="40" t="str">
        <f aca="false">IF(OR(OR(NOT(AND(ISNUMBER(E162),ISNUMBER(F162))),$J$2=""),5&gt;MAX(1,Reprogramaciones!$U$15)),"",IF(Reprogramaciones!O$12&gt;=7,"",IF(OR(BX162-N(BW162)&gt;0.05,N(U162)&gt;0),ROUNDDOWN(ROUND(BX162,6),0)&amp;"%"&amp;IF(CN162="",""," / "&amp;CN162&amp;"%"),IF(AND(N(BW162)&gt;=99.95,CN162&lt;&gt;"",N(CN162)&lt;100),"Pend. "&amp;CN162&amp;"%",""))))</f>
        <v/>
      </c>
      <c r="AR162" s="40" t="str">
        <f aca="false">IF(OR(OR(NOT(AND(ISNUMBER(E162),ISNUMBER(F162))),$J$2=""),6&gt;MAX(1,Reprogramaciones!$U$15)),"",IF(Reprogramaciones!P$12&gt;=7,"",IF(OR(BY162-N(BX162)&gt;0.05,N(V162)&gt;0),ROUNDDOWN(ROUND(BY162,6),0)&amp;"%"&amp;IF(CO162="",""," / "&amp;CO162&amp;"%"),IF(AND(N(BX162)&gt;=99.95,CO162&lt;&gt;"",N(CO162)&lt;100),"Pend. "&amp;CO162&amp;"%",""))))</f>
        <v/>
      </c>
      <c r="AS162" s="40" t="str">
        <f aca="false">IF(OR(OR(NOT(AND(ISNUMBER(E162),ISNUMBER(F162))),$J$2=""),7&gt;MAX(1,Reprogramaciones!$U$15)),"",IF(Reprogramaciones!Q$12&gt;=7,"",IF(OR(BZ162-N(BY162)&gt;0.05,N(W162)&gt;0),ROUNDDOWN(ROUND(BZ162,6),0)&amp;"%"&amp;IF(CP162="",""," / "&amp;CP162&amp;"%"),IF(AND(N(BY162)&gt;=99.95,CP162&lt;&gt;"",N(CP162)&lt;100),"Pend. "&amp;CP162&amp;"%",""))))</f>
        <v/>
      </c>
      <c r="AT162" s="40" t="str">
        <f aca="false">IF(OR(OR(NOT(AND(ISNUMBER(E162),ISNUMBER(F162))),$J$2=""),8&gt;MAX(1,Reprogramaciones!$U$15)),"",IF(Reprogramaciones!R$12&gt;=7,"",IF(OR(CA162-N(BZ162)&gt;0.05,N(X162)&gt;0),ROUNDDOWN(ROUND(CA162,6),0)&amp;"%"&amp;IF(CQ162="",""," / "&amp;CQ162&amp;"%"),IF(AND(N(BZ162)&gt;=99.95,CQ162&lt;&gt;"",N(CQ162)&lt;100),"Pend. "&amp;CQ162&amp;"%",""))))</f>
        <v/>
      </c>
      <c r="AU162" s="40" t="str">
        <f aca="false">IF(OR(OR(NOT(AND(ISNUMBER(E162),ISNUMBER(F162))),$J$2=""),9&gt;MAX(1,Reprogramaciones!$U$15)),"",IF(Reprogramaciones!S$12&gt;=7,"",IF(OR(CB162-N(CA162)&gt;0.05,N(Y162)&gt;0),ROUNDDOWN(ROUND(CB162,6),0)&amp;"%"&amp;IF(CR162="",""," / "&amp;CR162&amp;"%"),IF(AND(N(CA162)&gt;=99.95,CR162&lt;&gt;"",N(CR162)&lt;100),"Pend. "&amp;CR162&amp;"%",""))))</f>
        <v/>
      </c>
      <c r="AV162" s="40" t="str">
        <f aca="false">IF(OR(OR(NOT(AND(ISNUMBER(E162),ISNUMBER(F162))),$J$2=""),10&gt;MAX(1,Reprogramaciones!$U$15)),"",IF(Reprogramaciones!T$12&gt;=7,"",IF(OR(CC162-N(CB162)&gt;0.05,N(Z162)&gt;0),ROUNDDOWN(ROUND(CC162,6),0)&amp;"%"&amp;IF(CS162="",""," / "&amp;CS162&amp;"%"),IF(AND(N(CB162)&gt;=99.95,CS162&lt;&gt;"",N(CS162)&lt;100),"Pend. "&amp;CS162&amp;"%",""))))</f>
        <v/>
      </c>
      <c r="AW162" s="40" t="str">
        <f aca="false">IF(OR(OR(NOT(AND(ISNUMBER(E162),ISNUMBER(F162))),$J$2=""),11&gt;MAX(1,Reprogramaciones!$U$15)),"",IF(Reprogramaciones!U$12&gt;=7,"",IF(OR(CD162-N(CC162)&gt;0.05,N(AA162)&gt;0),ROUNDDOWN(ROUND(CD162,6),0)&amp;"%"&amp;IF(CT162="",""," / "&amp;CT162&amp;"%"),IF(AND(N(CC162)&gt;=99.95,CT162&lt;&gt;"",N(CT162)&lt;100),"Pend. "&amp;CT162&amp;"%",""))))</f>
        <v/>
      </c>
      <c r="AX162" s="40" t="str">
        <f aca="false">IF(OR(OR(NOT(AND(ISNUMBER(E162),ISNUMBER(F162))),$J$2=""),12&gt;MAX(1,Reprogramaciones!$U$15)),"",IF(Reprogramaciones!V$12&gt;=7,"",IF(OR(CE162-N(CD162)&gt;0.05,N(AB162)&gt;0),ROUNDDOWN(ROUND(CE162,6),0)&amp;"%"&amp;IF(CU162="",""," / "&amp;CU162&amp;"%"),IF(AND(N(CD162)&gt;=99.95,CU162&lt;&gt;"",N(CU162)&lt;100),"Pend. "&amp;CU162&amp;"%",""))))</f>
        <v/>
      </c>
      <c r="AY162" s="40" t="str">
        <f aca="false">IF(OR(OR(NOT(AND(ISNUMBER(E162),ISNUMBER(F162))),$J$2=""),13&gt;MAX(1,Reprogramaciones!$U$15)),"",IF(Reprogramaciones!W$12&gt;=7,"",IF(OR(CF162-N(CE162)&gt;0.05,N(AC162)&gt;0),ROUNDDOWN(ROUND(CF162,6),0)&amp;"%"&amp;IF(CV162="",""," / "&amp;CV162&amp;"%"),IF(AND(N(CE162)&gt;=99.95,CV162&lt;&gt;"",N(CV162)&lt;100),"Pend. "&amp;CV162&amp;"%",""))))</f>
        <v/>
      </c>
      <c r="AZ162" s="40" t="str">
        <f aca="false">IF(OR(OR(NOT(AND(ISNUMBER(E162),ISNUMBER(F162))),$J$2=""),14&gt;MAX(1,Reprogramaciones!$U$15)),"",IF(Reprogramaciones!X$12&gt;=7,"",IF(OR(CG162-N(CF162)&gt;0.05,N(AD162)&gt;0),ROUNDDOWN(ROUND(CG162,6),0)&amp;"%"&amp;IF(CW162="",""," / "&amp;CW162&amp;"%"),IF(AND(N(CF162)&gt;=99.95,CW162&lt;&gt;"",N(CW162)&lt;100),"Pend. "&amp;CW162&amp;"%",""))))</f>
        <v/>
      </c>
      <c r="BA162" s="40" t="str">
        <f aca="false">IF(OR(OR(NOT(AND(ISNUMBER(E162),ISNUMBER(F162))),$J$2=""),15&gt;MAX(1,Reprogramaciones!$U$15)),"",IF(Reprogramaciones!Y$12&gt;=7,"",IF(OR(CH162-N(CG162)&gt;0.05,N(AE162)&gt;0),ROUNDDOWN(ROUND(CH162,6),0)&amp;"%"&amp;IF(CX162="",""," / "&amp;CX162&amp;"%"),IF(AND(N(CG162)&gt;=99.95,CX162&lt;&gt;"",N(CX162)&lt;100),"Pend. "&amp;CX162&amp;"%",""))))</f>
        <v/>
      </c>
      <c r="BB162" s="40" t="str">
        <f aca="false">IF(OR(OR(NOT(AND(ISNUMBER(E162),ISNUMBER(F162))),$J$2=""),16&gt;MAX(1,Reprogramaciones!$U$15)),"",IF(Reprogramaciones!Z$12&gt;=7,"",IF(OR(CI162-N(CH162)&gt;0.05,N(AF162)&gt;0),ROUNDDOWN(ROUND(CI162,6),0)&amp;"%"&amp;IF(CY162="",""," / "&amp;CY162&amp;"%"),IF(AND(N(CH162)&gt;=99.95,CY162&lt;&gt;"",N(CY162)&lt;100),"Pend. "&amp;CY162&amp;"%",""))))</f>
        <v/>
      </c>
      <c r="BC162" s="31" t="n">
        <f aca="false">IF(AND(ISNUMBER(E162),ISNUMBER(F162)),MAX(1,NETWORKDAYS.INTL(E162,F162,11)),0)</f>
        <v>0</v>
      </c>
      <c r="BD162" s="1" t="str">
        <f aca="false">IF(OR(NOT(AND(ISNUMBER(E162),ISNUMBER(F162))),$J$2=""),"",MIN(100,ROUND(SUM($G162:G162),1)))</f>
        <v/>
      </c>
      <c r="BE162" s="1" t="str">
        <f aca="false">IF(OR(NOT(AND(ISNUMBER(E162),ISNUMBER(F162))),$J$2=""),"",MIN(100,ROUND(SUM($G162:H162),1)))</f>
        <v/>
      </c>
      <c r="BF162" s="1" t="str">
        <f aca="false">IF(OR(NOT(AND(ISNUMBER(E162),ISNUMBER(F162))),$J$2=""),"",MIN(100,ROUND(SUM($G162:I162),1)))</f>
        <v/>
      </c>
      <c r="BG162" s="1" t="str">
        <f aca="false">IF(OR(NOT(AND(ISNUMBER(E162),ISNUMBER(F162))),$J$2=""),"",MIN(100,ROUND(SUM($G162:J162),1)))</f>
        <v/>
      </c>
      <c r="BH162" s="1" t="str">
        <f aca="false">IF(OR(NOT(AND(ISNUMBER(E162),ISNUMBER(F162))),$J$2=""),"",MIN(100,ROUND(SUM($G162:K162),1)))</f>
        <v/>
      </c>
      <c r="BI162" s="1" t="str">
        <f aca="false">IF(OR(NOT(AND(ISNUMBER(E162),ISNUMBER(F162))),$J$2=""),"",MIN(100,ROUND(SUM($G162:L162),1)))</f>
        <v/>
      </c>
      <c r="BJ162" s="1" t="str">
        <f aca="false">IF(OR(NOT(AND(ISNUMBER(E162),ISNUMBER(F162))),$J$2=""),"",MIN(100,ROUND(SUM($G162:M162),1)))</f>
        <v/>
      </c>
      <c r="BK162" s="1" t="str">
        <f aca="false">IF(OR(NOT(AND(ISNUMBER(E162),ISNUMBER(F162))),$J$2=""),"",MIN(100,ROUND(SUM($G162:N162),1)))</f>
        <v/>
      </c>
      <c r="BL162" s="1" t="str">
        <f aca="false">IF(OR(NOT(AND(ISNUMBER(E162),ISNUMBER(F162))),$J$2=""),"",MIN(100,ROUND(SUM($G162:O162),1)))</f>
        <v/>
      </c>
      <c r="BM162" s="1" t="str">
        <f aca="false">IF(OR(NOT(AND(ISNUMBER(E162),ISNUMBER(F162))),$J$2=""),"",MIN(100,ROUND(SUM($G162:P162),1)))</f>
        <v/>
      </c>
      <c r="BN162" s="1" t="str">
        <f aca="false">IF(OR(NOT(AND(ISNUMBER(E162),ISNUMBER(F162))),$J$2=""),"",MIN(100,ROUND(SUM($G162:P162),1)))</f>
        <v/>
      </c>
      <c r="BO162" s="1" t="str">
        <f aca="false">IF(OR(NOT(AND(ISNUMBER(E162),ISNUMBER(F162))),$J$2=""),"",MIN(100,ROUND(SUM($G162:P162),1)))</f>
        <v/>
      </c>
      <c r="BP162" s="1" t="str">
        <f aca="false">IF(OR(NOT(AND(ISNUMBER(E162),ISNUMBER(F162))),$J$2=""),"",MIN(100,ROUND(SUM($G162:P162),1)))</f>
        <v/>
      </c>
      <c r="BQ162" s="1" t="str">
        <f aca="false">IF(OR(NOT(AND(ISNUMBER(E162),ISNUMBER(F162))),$J$2=""),"",MIN(100,ROUND(SUM($G162:P162),1)))</f>
        <v/>
      </c>
      <c r="BR162" s="1" t="str">
        <f aca="false">IF(OR(NOT(AND(ISNUMBER(E162),ISNUMBER(F162))),$J$2=""),"",MIN(100,ROUND(SUM($G162:P162),1)))</f>
        <v/>
      </c>
      <c r="BS162" s="1" t="str">
        <f aca="false">IF(OR(NOT(AND(ISNUMBER(E162),ISNUMBER(F162))),$J$2=""),"",MIN(100,ROUND(SUM($G162:P162),1)))</f>
        <v/>
      </c>
      <c r="BT162" s="1" t="str">
        <f aca="false">IF(OR(NOT(AND(ISNUMBER(E162),ISNUMBER(F162))),$J$2=""),"",IF(Reprogramaciones!K$13&lt;Reprogramaciones!$T$15,0,IF(Reprogramaciones!K$14&gt;10,MIN(100,SUM($G162:$P162)),MIN(100,SUMPRODUCT((COLUMN($G162:$P162)-COLUMN($G162)+1&lt;Reprogramaciones!K$14)*$G162:$P162)+N(INDEX($G162:$P162,1,Reprogramaciones!K$14))*IF(Reprogramaciones!K$13&gt;=(Reprogramaciones!$T$15+7*(Reprogramaciones!K$14-1))+6,1,IF(MAX(0,NETWORKDAYS.INTL(MAX(E162,(Reprogramaciones!$T$15+7*(Reprogramaciones!K$14-1))),MIN(F162,(Reprogramaciones!$T$15+7*(Reprogramaciones!K$14-1))+6),11))=0,0,MAX(0,NETWORKDAYS.INTL(MAX(E162,(Reprogramaciones!$T$15+7*(Reprogramaciones!K$14-1))),MIN(F162,Reprogramaciones!K$13),11))/MAX(0,NETWORKDAYS.INTL(MAX(E162,(Reprogramaciones!$T$15+7*(Reprogramaciones!K$14-1))),MIN(F162,(Reprogramaciones!$T$15+7*(Reprogramaciones!K$14-1))+6),11))))))))</f>
        <v/>
      </c>
      <c r="BU162" s="1" t="str">
        <f aca="false">IF(OR(NOT(AND(ISNUMBER(E162),ISNUMBER(F162))),$J$2=""),"",IF(Reprogramaciones!L$13&lt;Reprogramaciones!$T$15,0,IF(Reprogramaciones!L$14&gt;10,MIN(100,SUM($G162:$P162)),MIN(100,SUMPRODUCT((COLUMN($G162:$P162)-COLUMN($G162)+1&lt;Reprogramaciones!L$14)*$G162:$P162)+N(INDEX($G162:$P162,1,Reprogramaciones!L$14))*IF(Reprogramaciones!L$13&gt;=(Reprogramaciones!$T$15+7*(Reprogramaciones!L$14-1))+6,1,IF(MAX(0,NETWORKDAYS.INTL(MAX(E162,(Reprogramaciones!$T$15+7*(Reprogramaciones!L$14-1))),MIN(F162,(Reprogramaciones!$T$15+7*(Reprogramaciones!L$14-1))+6),11))=0,0,MAX(0,NETWORKDAYS.INTL(MAX(E162,(Reprogramaciones!$T$15+7*(Reprogramaciones!L$14-1))),MIN(F162,Reprogramaciones!L$13),11))/MAX(0,NETWORKDAYS.INTL(MAX(E162,(Reprogramaciones!$T$15+7*(Reprogramaciones!L$14-1))),MIN(F162,(Reprogramaciones!$T$15+7*(Reprogramaciones!L$14-1))+6),11))))))))</f>
        <v/>
      </c>
      <c r="BV162" s="1" t="str">
        <f aca="false">IF(OR(NOT(AND(ISNUMBER(E162),ISNUMBER(F162))),$J$2=""),"",IF(Reprogramaciones!M$13&lt;Reprogramaciones!$T$15,0,IF(Reprogramaciones!M$14&gt;10,MIN(100,SUM($G162:$P162)),MIN(100,SUMPRODUCT((COLUMN($G162:$P162)-COLUMN($G162)+1&lt;Reprogramaciones!M$14)*$G162:$P162)+N(INDEX($G162:$P162,1,Reprogramaciones!M$14))*IF(Reprogramaciones!M$13&gt;=(Reprogramaciones!$T$15+7*(Reprogramaciones!M$14-1))+6,1,IF(MAX(0,NETWORKDAYS.INTL(MAX(E162,(Reprogramaciones!$T$15+7*(Reprogramaciones!M$14-1))),MIN(F162,(Reprogramaciones!$T$15+7*(Reprogramaciones!M$14-1))+6),11))=0,0,MAX(0,NETWORKDAYS.INTL(MAX(E162,(Reprogramaciones!$T$15+7*(Reprogramaciones!M$14-1))),MIN(F162,Reprogramaciones!M$13),11))/MAX(0,NETWORKDAYS.INTL(MAX(E162,(Reprogramaciones!$T$15+7*(Reprogramaciones!M$14-1))),MIN(F162,(Reprogramaciones!$T$15+7*(Reprogramaciones!M$14-1))+6),11))))))))</f>
        <v/>
      </c>
      <c r="BW162" s="1" t="str">
        <f aca="false">IF(OR(NOT(AND(ISNUMBER(E162),ISNUMBER(F162))),$J$2=""),"",IF(Reprogramaciones!N$13&lt;Reprogramaciones!$T$15,0,IF(Reprogramaciones!N$14&gt;10,MIN(100,SUM($G162:$P162)),MIN(100,SUMPRODUCT((COLUMN($G162:$P162)-COLUMN($G162)+1&lt;Reprogramaciones!N$14)*$G162:$P162)+N(INDEX($G162:$P162,1,Reprogramaciones!N$14))*IF(Reprogramaciones!N$13&gt;=(Reprogramaciones!$T$15+7*(Reprogramaciones!N$14-1))+6,1,IF(MAX(0,NETWORKDAYS.INTL(MAX(E162,(Reprogramaciones!$T$15+7*(Reprogramaciones!N$14-1))),MIN(F162,(Reprogramaciones!$T$15+7*(Reprogramaciones!N$14-1))+6),11))=0,0,MAX(0,NETWORKDAYS.INTL(MAX(E162,(Reprogramaciones!$T$15+7*(Reprogramaciones!N$14-1))),MIN(F162,Reprogramaciones!N$13),11))/MAX(0,NETWORKDAYS.INTL(MAX(E162,(Reprogramaciones!$T$15+7*(Reprogramaciones!N$14-1))),MIN(F162,(Reprogramaciones!$T$15+7*(Reprogramaciones!N$14-1))+6),11))))))))</f>
        <v/>
      </c>
      <c r="BX162" s="1" t="str">
        <f aca="false">IF(OR(NOT(AND(ISNUMBER(E162),ISNUMBER(F162))),$J$2=""),"",IF(Reprogramaciones!O$13&lt;Reprogramaciones!$T$15,0,IF(Reprogramaciones!O$14&gt;10,MIN(100,SUM($G162:$P162)),MIN(100,SUMPRODUCT((COLUMN($G162:$P162)-COLUMN($G162)+1&lt;Reprogramaciones!O$14)*$G162:$P162)+N(INDEX($G162:$P162,1,Reprogramaciones!O$14))*IF(Reprogramaciones!O$13&gt;=(Reprogramaciones!$T$15+7*(Reprogramaciones!O$14-1))+6,1,IF(MAX(0,NETWORKDAYS.INTL(MAX(E162,(Reprogramaciones!$T$15+7*(Reprogramaciones!O$14-1))),MIN(F162,(Reprogramaciones!$T$15+7*(Reprogramaciones!O$14-1))+6),11))=0,0,MAX(0,NETWORKDAYS.INTL(MAX(E162,(Reprogramaciones!$T$15+7*(Reprogramaciones!O$14-1))),MIN(F162,Reprogramaciones!O$13),11))/MAX(0,NETWORKDAYS.INTL(MAX(E162,(Reprogramaciones!$T$15+7*(Reprogramaciones!O$14-1))),MIN(F162,(Reprogramaciones!$T$15+7*(Reprogramaciones!O$14-1))+6),11))))))))</f>
        <v/>
      </c>
      <c r="BY162" s="1" t="str">
        <f aca="false">IF(OR(NOT(AND(ISNUMBER(E162),ISNUMBER(F162))),$J$2=""),"",IF(Reprogramaciones!P$13&lt;Reprogramaciones!$T$15,0,IF(Reprogramaciones!P$14&gt;10,MIN(100,SUM($G162:$P162)),MIN(100,SUMPRODUCT((COLUMN($G162:$P162)-COLUMN($G162)+1&lt;Reprogramaciones!P$14)*$G162:$P162)+N(INDEX($G162:$P162,1,Reprogramaciones!P$14))*IF(Reprogramaciones!P$13&gt;=(Reprogramaciones!$T$15+7*(Reprogramaciones!P$14-1))+6,1,IF(MAX(0,NETWORKDAYS.INTL(MAX(E162,(Reprogramaciones!$T$15+7*(Reprogramaciones!P$14-1))),MIN(F162,(Reprogramaciones!$T$15+7*(Reprogramaciones!P$14-1))+6),11))=0,0,MAX(0,NETWORKDAYS.INTL(MAX(E162,(Reprogramaciones!$T$15+7*(Reprogramaciones!P$14-1))),MIN(F162,Reprogramaciones!P$13),11))/MAX(0,NETWORKDAYS.INTL(MAX(E162,(Reprogramaciones!$T$15+7*(Reprogramaciones!P$14-1))),MIN(F162,(Reprogramaciones!$T$15+7*(Reprogramaciones!P$14-1))+6),11))))))))</f>
        <v/>
      </c>
      <c r="BZ162" s="1" t="str">
        <f aca="false">IF(OR(NOT(AND(ISNUMBER(E162),ISNUMBER(F162))),$J$2=""),"",IF(Reprogramaciones!Q$13&lt;Reprogramaciones!$T$15,0,IF(Reprogramaciones!Q$14&gt;10,MIN(100,SUM($G162:$P162)),MIN(100,SUMPRODUCT((COLUMN($G162:$P162)-COLUMN($G162)+1&lt;Reprogramaciones!Q$14)*$G162:$P162)+N(INDEX($G162:$P162,1,Reprogramaciones!Q$14))*IF(Reprogramaciones!Q$13&gt;=(Reprogramaciones!$T$15+7*(Reprogramaciones!Q$14-1))+6,1,IF(MAX(0,NETWORKDAYS.INTL(MAX(E162,(Reprogramaciones!$T$15+7*(Reprogramaciones!Q$14-1))),MIN(F162,(Reprogramaciones!$T$15+7*(Reprogramaciones!Q$14-1))+6),11))=0,0,MAX(0,NETWORKDAYS.INTL(MAX(E162,(Reprogramaciones!$T$15+7*(Reprogramaciones!Q$14-1))),MIN(F162,Reprogramaciones!Q$13),11))/MAX(0,NETWORKDAYS.INTL(MAX(E162,(Reprogramaciones!$T$15+7*(Reprogramaciones!Q$14-1))),MIN(F162,(Reprogramaciones!$T$15+7*(Reprogramaciones!Q$14-1))+6),11))))))))</f>
        <v/>
      </c>
      <c r="CA162" s="1" t="str">
        <f aca="false">IF(OR(NOT(AND(ISNUMBER(E162),ISNUMBER(F162))),$J$2=""),"",IF(Reprogramaciones!R$13&lt;Reprogramaciones!$T$15,0,IF(Reprogramaciones!R$14&gt;10,MIN(100,SUM($G162:$P162)),MIN(100,SUMPRODUCT((COLUMN($G162:$P162)-COLUMN($G162)+1&lt;Reprogramaciones!R$14)*$G162:$P162)+N(INDEX($G162:$P162,1,Reprogramaciones!R$14))*IF(Reprogramaciones!R$13&gt;=(Reprogramaciones!$T$15+7*(Reprogramaciones!R$14-1))+6,1,IF(MAX(0,NETWORKDAYS.INTL(MAX(E162,(Reprogramaciones!$T$15+7*(Reprogramaciones!R$14-1))),MIN(F162,(Reprogramaciones!$T$15+7*(Reprogramaciones!R$14-1))+6),11))=0,0,MAX(0,NETWORKDAYS.INTL(MAX(E162,(Reprogramaciones!$T$15+7*(Reprogramaciones!R$14-1))),MIN(F162,Reprogramaciones!R$13),11))/MAX(0,NETWORKDAYS.INTL(MAX(E162,(Reprogramaciones!$T$15+7*(Reprogramaciones!R$14-1))),MIN(F162,(Reprogramaciones!$T$15+7*(Reprogramaciones!R$14-1))+6),11))))))))</f>
        <v/>
      </c>
      <c r="CB162" s="1" t="str">
        <f aca="false">IF(OR(NOT(AND(ISNUMBER(E162),ISNUMBER(F162))),$J$2=""),"",IF(Reprogramaciones!S$13&lt;Reprogramaciones!$T$15,0,IF(Reprogramaciones!S$14&gt;10,MIN(100,SUM($G162:$P162)),MIN(100,SUMPRODUCT((COLUMN($G162:$P162)-COLUMN($G162)+1&lt;Reprogramaciones!S$14)*$G162:$P162)+N(INDEX($G162:$P162,1,Reprogramaciones!S$14))*IF(Reprogramaciones!S$13&gt;=(Reprogramaciones!$T$15+7*(Reprogramaciones!S$14-1))+6,1,IF(MAX(0,NETWORKDAYS.INTL(MAX(E162,(Reprogramaciones!$T$15+7*(Reprogramaciones!S$14-1))),MIN(F162,(Reprogramaciones!$T$15+7*(Reprogramaciones!S$14-1))+6),11))=0,0,MAX(0,NETWORKDAYS.INTL(MAX(E162,(Reprogramaciones!$T$15+7*(Reprogramaciones!S$14-1))),MIN(F162,Reprogramaciones!S$13),11))/MAX(0,NETWORKDAYS.INTL(MAX(E162,(Reprogramaciones!$T$15+7*(Reprogramaciones!S$14-1))),MIN(F162,(Reprogramaciones!$T$15+7*(Reprogramaciones!S$14-1))+6),11))))))))</f>
        <v/>
      </c>
      <c r="CC162" s="1" t="str">
        <f aca="false">IF(OR(NOT(AND(ISNUMBER(E162),ISNUMBER(F162))),$J$2=""),"",IF(Reprogramaciones!T$13&lt;Reprogramaciones!$T$15,0,IF(Reprogramaciones!T$14&gt;10,MIN(100,SUM($G162:$P162)),MIN(100,SUMPRODUCT((COLUMN($G162:$P162)-COLUMN($G162)+1&lt;Reprogramaciones!T$14)*$G162:$P162)+N(INDEX($G162:$P162,1,Reprogramaciones!T$14))*IF(Reprogramaciones!T$13&gt;=(Reprogramaciones!$T$15+7*(Reprogramaciones!T$14-1))+6,1,IF(MAX(0,NETWORKDAYS.INTL(MAX(E162,(Reprogramaciones!$T$15+7*(Reprogramaciones!T$14-1))),MIN(F162,(Reprogramaciones!$T$15+7*(Reprogramaciones!T$14-1))+6),11))=0,0,MAX(0,NETWORKDAYS.INTL(MAX(E162,(Reprogramaciones!$T$15+7*(Reprogramaciones!T$14-1))),MIN(F162,Reprogramaciones!T$13),11))/MAX(0,NETWORKDAYS.INTL(MAX(E162,(Reprogramaciones!$T$15+7*(Reprogramaciones!T$14-1))),MIN(F162,(Reprogramaciones!$T$15+7*(Reprogramaciones!T$14-1))+6),11))))))))</f>
        <v/>
      </c>
      <c r="CD162" s="1" t="str">
        <f aca="false">IF(OR(NOT(AND(ISNUMBER(E162),ISNUMBER(F162))),$J$2=""),"",IF(Reprogramaciones!U$13&lt;Reprogramaciones!$T$15,0,IF(Reprogramaciones!U$14&gt;10,MIN(100,SUM($G162:$P162)),MIN(100,SUMPRODUCT((COLUMN($G162:$P162)-COLUMN($G162)+1&lt;Reprogramaciones!U$14)*$G162:$P162)+N(INDEX($G162:$P162,1,Reprogramaciones!U$14))*IF(Reprogramaciones!U$13&gt;=(Reprogramaciones!$T$15+7*(Reprogramaciones!U$14-1))+6,1,IF(MAX(0,NETWORKDAYS.INTL(MAX(E162,(Reprogramaciones!$T$15+7*(Reprogramaciones!U$14-1))),MIN(F162,(Reprogramaciones!$T$15+7*(Reprogramaciones!U$14-1))+6),11))=0,0,MAX(0,NETWORKDAYS.INTL(MAX(E162,(Reprogramaciones!$T$15+7*(Reprogramaciones!U$14-1))),MIN(F162,Reprogramaciones!U$13),11))/MAX(0,NETWORKDAYS.INTL(MAX(E162,(Reprogramaciones!$T$15+7*(Reprogramaciones!U$14-1))),MIN(F162,(Reprogramaciones!$T$15+7*(Reprogramaciones!U$14-1))+6),11))))))))</f>
        <v/>
      </c>
      <c r="CE162" s="1" t="str">
        <f aca="false">IF(OR(NOT(AND(ISNUMBER(E162),ISNUMBER(F162))),$J$2=""),"",IF(Reprogramaciones!V$13&lt;Reprogramaciones!$T$15,0,IF(Reprogramaciones!V$14&gt;10,MIN(100,SUM($G162:$P162)),MIN(100,SUMPRODUCT((COLUMN($G162:$P162)-COLUMN($G162)+1&lt;Reprogramaciones!V$14)*$G162:$P162)+N(INDEX($G162:$P162,1,Reprogramaciones!V$14))*IF(Reprogramaciones!V$13&gt;=(Reprogramaciones!$T$15+7*(Reprogramaciones!V$14-1))+6,1,IF(MAX(0,NETWORKDAYS.INTL(MAX(E162,(Reprogramaciones!$T$15+7*(Reprogramaciones!V$14-1))),MIN(F162,(Reprogramaciones!$T$15+7*(Reprogramaciones!V$14-1))+6),11))=0,0,MAX(0,NETWORKDAYS.INTL(MAX(E162,(Reprogramaciones!$T$15+7*(Reprogramaciones!V$14-1))),MIN(F162,Reprogramaciones!V$13),11))/MAX(0,NETWORKDAYS.INTL(MAX(E162,(Reprogramaciones!$T$15+7*(Reprogramaciones!V$14-1))),MIN(F162,(Reprogramaciones!$T$15+7*(Reprogramaciones!V$14-1))+6),11))))))))</f>
        <v/>
      </c>
      <c r="CF162" s="1" t="str">
        <f aca="false">IF(OR(NOT(AND(ISNUMBER(E162),ISNUMBER(F162))),$J$2=""),"",IF(Reprogramaciones!W$13&lt;Reprogramaciones!$T$15,0,IF(Reprogramaciones!W$14&gt;10,MIN(100,SUM($G162:$P162)),MIN(100,SUMPRODUCT((COLUMN($G162:$P162)-COLUMN($G162)+1&lt;Reprogramaciones!W$14)*$G162:$P162)+N(INDEX($G162:$P162,1,Reprogramaciones!W$14))*IF(Reprogramaciones!W$13&gt;=(Reprogramaciones!$T$15+7*(Reprogramaciones!W$14-1))+6,1,IF(MAX(0,NETWORKDAYS.INTL(MAX(E162,(Reprogramaciones!$T$15+7*(Reprogramaciones!W$14-1))),MIN(F162,(Reprogramaciones!$T$15+7*(Reprogramaciones!W$14-1))+6),11))=0,0,MAX(0,NETWORKDAYS.INTL(MAX(E162,(Reprogramaciones!$T$15+7*(Reprogramaciones!W$14-1))),MIN(F162,Reprogramaciones!W$13),11))/MAX(0,NETWORKDAYS.INTL(MAX(E162,(Reprogramaciones!$T$15+7*(Reprogramaciones!W$14-1))),MIN(F162,(Reprogramaciones!$T$15+7*(Reprogramaciones!W$14-1))+6),11))))))))</f>
        <v/>
      </c>
      <c r="CG162" s="1" t="str">
        <f aca="false">IF(OR(NOT(AND(ISNUMBER(E162),ISNUMBER(F162))),$J$2=""),"",IF(Reprogramaciones!X$13&lt;Reprogramaciones!$T$15,0,IF(Reprogramaciones!X$14&gt;10,MIN(100,SUM($G162:$P162)),MIN(100,SUMPRODUCT((COLUMN($G162:$P162)-COLUMN($G162)+1&lt;Reprogramaciones!X$14)*$G162:$P162)+N(INDEX($G162:$P162,1,Reprogramaciones!X$14))*IF(Reprogramaciones!X$13&gt;=(Reprogramaciones!$T$15+7*(Reprogramaciones!X$14-1))+6,1,IF(MAX(0,NETWORKDAYS.INTL(MAX(E162,(Reprogramaciones!$T$15+7*(Reprogramaciones!X$14-1))),MIN(F162,(Reprogramaciones!$T$15+7*(Reprogramaciones!X$14-1))+6),11))=0,0,MAX(0,NETWORKDAYS.INTL(MAX(E162,(Reprogramaciones!$T$15+7*(Reprogramaciones!X$14-1))),MIN(F162,Reprogramaciones!X$13),11))/MAX(0,NETWORKDAYS.INTL(MAX(E162,(Reprogramaciones!$T$15+7*(Reprogramaciones!X$14-1))),MIN(F162,(Reprogramaciones!$T$15+7*(Reprogramaciones!X$14-1))+6),11))))))))</f>
        <v/>
      </c>
      <c r="CH162" s="1" t="str">
        <f aca="false">IF(OR(NOT(AND(ISNUMBER(E162),ISNUMBER(F162))),$J$2=""),"",IF(Reprogramaciones!Y$13&lt;Reprogramaciones!$T$15,0,IF(Reprogramaciones!Y$14&gt;10,MIN(100,SUM($G162:$P162)),MIN(100,SUMPRODUCT((COLUMN($G162:$P162)-COLUMN($G162)+1&lt;Reprogramaciones!Y$14)*$G162:$P162)+N(INDEX($G162:$P162,1,Reprogramaciones!Y$14))*IF(Reprogramaciones!Y$13&gt;=(Reprogramaciones!$T$15+7*(Reprogramaciones!Y$14-1))+6,1,IF(MAX(0,NETWORKDAYS.INTL(MAX(E162,(Reprogramaciones!$T$15+7*(Reprogramaciones!Y$14-1))),MIN(F162,(Reprogramaciones!$T$15+7*(Reprogramaciones!Y$14-1))+6),11))=0,0,MAX(0,NETWORKDAYS.INTL(MAX(E162,(Reprogramaciones!$T$15+7*(Reprogramaciones!Y$14-1))),MIN(F162,Reprogramaciones!Y$13),11))/MAX(0,NETWORKDAYS.INTL(MAX(E162,(Reprogramaciones!$T$15+7*(Reprogramaciones!Y$14-1))),MIN(F162,(Reprogramaciones!$T$15+7*(Reprogramaciones!Y$14-1))+6),11))))))))</f>
        <v/>
      </c>
      <c r="CI162" s="1" t="str">
        <f aca="false">IF(OR(NOT(AND(ISNUMBER(E162),ISNUMBER(F162))),$J$2=""),"",IF(Reprogramaciones!Z$13&lt;Reprogramaciones!$T$15,0,IF(Reprogramaciones!Z$14&gt;10,MIN(100,SUM($G162:$P162)),MIN(100,SUMPRODUCT((COLUMN($G162:$P162)-COLUMN($G162)+1&lt;Reprogramaciones!Z$14)*$G162:$P162)+N(INDEX($G162:$P162,1,Reprogramaciones!Z$14))*IF(Reprogramaciones!Z$13&gt;=(Reprogramaciones!$T$15+7*(Reprogramaciones!Z$14-1))+6,1,IF(MAX(0,NETWORKDAYS.INTL(MAX(E162,(Reprogramaciones!$T$15+7*(Reprogramaciones!Z$14-1))),MIN(F162,(Reprogramaciones!$T$15+7*(Reprogramaciones!Z$14-1))+6),11))=0,0,MAX(0,NETWORKDAYS.INTL(MAX(E162,(Reprogramaciones!$T$15+7*(Reprogramaciones!Z$14-1))),MIN(F162,Reprogramaciones!Z$13),11))/MAX(0,NETWORKDAYS.INTL(MAX(E162,(Reprogramaciones!$T$15+7*(Reprogramaciones!Z$14-1))),MIN(F162,(Reprogramaciones!$T$15+7*(Reprogramaciones!Z$14-1))+6),11))))))))</f>
        <v/>
      </c>
      <c r="CJ162" s="1" t="str">
        <f aca="false">IF(OR(OR(NOT(AND(ISNUMBER(E162),ISNUMBER(F162))),$J$2=""),1&gt;Reprogramaciones!$K$16),"",IF(ROUND(SUM($Q162:Q162),1)&gt;=99.5,100,MIN(100,ROUND(SUM($Q162:Q162),1))))</f>
        <v/>
      </c>
      <c r="CK162" s="1" t="str">
        <f aca="false">IF(OR(OR(NOT(AND(ISNUMBER(E162),ISNUMBER(F162))),$J$2=""),2&gt;Reprogramaciones!$K$16),"",IF(ROUND(SUM($Q162:R162),1)&gt;=99.5,100,MIN(100,ROUND(SUM($Q162:R162),1))))</f>
        <v/>
      </c>
      <c r="CL162" s="1" t="str">
        <f aca="false">IF(OR(OR(NOT(AND(ISNUMBER(E162),ISNUMBER(F162))),$J$2=""),3&gt;Reprogramaciones!$K$16),"",IF(ROUND(SUM($Q162:S162),1)&gt;=99.5,100,MIN(100,ROUND(SUM($Q162:S162),1))))</f>
        <v/>
      </c>
      <c r="CM162" s="1" t="str">
        <f aca="false">IF(OR(OR(NOT(AND(ISNUMBER(E162),ISNUMBER(F162))),$J$2=""),4&gt;Reprogramaciones!$K$16),"",IF(ROUND(SUM($Q162:T162),1)&gt;=99.5,100,MIN(100,ROUND(SUM($Q162:T162),1))))</f>
        <v/>
      </c>
      <c r="CN162" s="1" t="str">
        <f aca="false">IF(OR(OR(NOT(AND(ISNUMBER(E162),ISNUMBER(F162))),$J$2=""),5&gt;Reprogramaciones!$K$16),"",IF(ROUND(SUM($Q162:U162),1)&gt;=99.5,100,MIN(100,ROUND(SUM($Q162:U162),1))))</f>
        <v/>
      </c>
      <c r="CO162" s="1" t="str">
        <f aca="false">IF(OR(OR(NOT(AND(ISNUMBER(E162),ISNUMBER(F162))),$J$2=""),6&gt;Reprogramaciones!$K$16),"",IF(ROUND(SUM($Q162:V162),1)&gt;=99.5,100,MIN(100,ROUND(SUM($Q162:V162),1))))</f>
        <v/>
      </c>
      <c r="CP162" s="1" t="str">
        <f aca="false">IF(OR(OR(NOT(AND(ISNUMBER(E162),ISNUMBER(F162))),$J$2=""),7&gt;Reprogramaciones!$K$16),"",IF(ROUND(SUM($Q162:W162),1)&gt;=99.5,100,MIN(100,ROUND(SUM($Q162:W162),1))))</f>
        <v/>
      </c>
      <c r="CQ162" s="1" t="str">
        <f aca="false">IF(OR(OR(NOT(AND(ISNUMBER(E162),ISNUMBER(F162))),$J$2=""),8&gt;Reprogramaciones!$K$16),"",IF(ROUND(SUM($Q162:X162),1)&gt;=99.5,100,MIN(100,ROUND(SUM($Q162:X162),1))))</f>
        <v/>
      </c>
      <c r="CR162" s="1" t="str">
        <f aca="false">IF(OR(OR(NOT(AND(ISNUMBER(E162),ISNUMBER(F162))),$J$2=""),9&gt;Reprogramaciones!$K$16),"",IF(ROUND(SUM($Q162:Y162),1)&gt;=99.5,100,MIN(100,ROUND(SUM($Q162:Y162),1))))</f>
        <v/>
      </c>
      <c r="CS162" s="1" t="str">
        <f aca="false">IF(OR(OR(NOT(AND(ISNUMBER(E162),ISNUMBER(F162))),$J$2=""),10&gt;Reprogramaciones!$K$16),"",IF(ROUND(SUM($Q162:Z162),1)&gt;=99.5,100,MIN(100,ROUND(SUM($Q162:Z162),1))))</f>
        <v/>
      </c>
      <c r="CT162" s="1" t="str">
        <f aca="false">IF(OR(OR(NOT(AND(ISNUMBER(E162),ISNUMBER(F162))),$J$2=""),11&gt;Reprogramaciones!$K$16),"",IF(ROUND(SUM($Q162:AA162),1)&gt;=99.5,100,MIN(100,ROUND(SUM($Q162:AA162),1))))</f>
        <v/>
      </c>
      <c r="CU162" s="1" t="str">
        <f aca="false">IF(OR(OR(NOT(AND(ISNUMBER(E162),ISNUMBER(F162))),$J$2=""),12&gt;Reprogramaciones!$K$16),"",IF(ROUND(SUM($Q162:AB162),1)&gt;=99.5,100,MIN(100,ROUND(SUM($Q162:AB162),1))))</f>
        <v/>
      </c>
      <c r="CV162" s="1" t="str">
        <f aca="false">IF(OR(OR(NOT(AND(ISNUMBER(E162),ISNUMBER(F162))),$J$2=""),13&gt;Reprogramaciones!$K$16),"",IF(ROUND(SUM($Q162:AC162),1)&gt;=99.5,100,MIN(100,ROUND(SUM($Q162:AC162),1))))</f>
        <v/>
      </c>
      <c r="CW162" s="1" t="str">
        <f aca="false">IF(OR(OR(NOT(AND(ISNUMBER(E162),ISNUMBER(F162))),$J$2=""),14&gt;Reprogramaciones!$K$16),"",IF(ROUND(SUM($Q162:AD162),1)&gt;=99.5,100,MIN(100,ROUND(SUM($Q162:AD162),1))))</f>
        <v/>
      </c>
      <c r="CX162" s="1" t="str">
        <f aca="false">IF(OR(OR(NOT(AND(ISNUMBER(E162),ISNUMBER(F162))),$J$2=""),15&gt;Reprogramaciones!$K$16),"",IF(ROUND(SUM($Q162:AE162),1)&gt;=99.5,100,MIN(100,ROUND(SUM($Q162:AE162),1))))</f>
        <v/>
      </c>
      <c r="CY162" s="1" t="str">
        <f aca="false">IF(OR(OR(NOT(AND(ISNUMBER(E162),ISNUMBER(F162))),$J$2=""),16&gt;Reprogramaciones!$K$16),"",IF(ROUND(SUM($Q162:AF162),1)&gt;=99.5,100,MIN(100,ROUND(SUM($Q162:AF162),1))))</f>
        <v/>
      </c>
      <c r="CZ162" s="1" t="str">
        <f aca="false">IF(D162&lt;&gt;"",D162,IF(B162&lt;&gt;"","Contractual",CZ161))</f>
        <v>Contractual</v>
      </c>
      <c r="DA162" s="1" t="str">
        <f aca="false">IF(OR(NOT(AND(ISNUMBER(E162),ISNUMBER(F162))),$J$2=""),"",IF(Reprogramaciones!$Q$15&lt;Reprogramaciones!$T$15,0,IF(Reprogramaciones!$S$15&gt;10,MIN(100,SUM($G162:$P162)),MIN(100,SUMPRODUCT((COLUMN($G162:$P162)-COLUMN($G162)+1&lt;Reprogramaciones!$S$15)*$G162:$P162)+N(INDEX($G162:$P162,1,Reprogramaciones!$S$15))*IF(Reprogramaciones!$Q$15&gt;=(Reprogramaciones!$T$15+7*(Reprogramaciones!$S$15-1))+6,1,IF(MAX(0,NETWORKDAYS.INTL(MAX(E162,(Reprogramaciones!$T$15+7*(Reprogramaciones!$S$15-1))),MIN(F162,(Reprogramaciones!$T$15+7*(Reprogramaciones!$S$15-1))+6),11))=0,0,MAX(0,NETWORKDAYS.INTL(MAX(E162,(Reprogramaciones!$T$15+7*(Reprogramaciones!$S$15-1))),MIN(F162,Reprogramaciones!$Q$15),11))/MAX(0,NETWORKDAYS.INTL(MAX(E162,(Reprogramaciones!$T$15+7*(Reprogramaciones!$S$15-1))),MIN(F162,(Reprogramaciones!$T$15+7*(Reprogramaciones!$S$15-1))+6),11))))))))</f>
        <v/>
      </c>
    </row>
    <row r="163" customFormat="false" ht="15" hidden="false" customHeight="false" outlineLevel="0" collapsed="false">
      <c r="A163" s="32"/>
      <c r="B163" s="33"/>
      <c r="C163" s="33"/>
      <c r="D163" s="34"/>
      <c r="E163" s="35"/>
      <c r="F163" s="35"/>
      <c r="G163" s="36" t="str">
        <f aca="false">IF(OR(NOT(AND(ISNUMBER(E163),ISNUMBER(F163))),$J$2=""),"",IF(Reprogramaciones!K$9&lt;E163,0,IF(NETWORKDAYS.INTL(E163,F163,11)=0,IF(Reprogramaciones!K$9&gt;=F163,100,0),ROUND(NETWORKDAYS.INTL(E163,MIN(F163,Reprogramaciones!K$9),11)/NETWORKDAYS.INTL(E163,F163,11)*100,1)))-0)</f>
        <v/>
      </c>
      <c r="H163" s="36" t="str">
        <f aca="false">IF(OR(NOT(AND(ISNUMBER(E163),ISNUMBER(F163))),$J$2=""),"",IF(Reprogramaciones!L$9&lt;E163,0,IF(NETWORKDAYS.INTL(E163,F163,11)=0,IF(Reprogramaciones!L$9&gt;=F163,100,0),ROUND(NETWORKDAYS.INTL(E163,MIN(F163,Reprogramaciones!L$9),11)/NETWORKDAYS.INTL(E163,F163,11)*100,1)))-IF(Reprogramaciones!K$9&lt;E163,0,IF(NETWORKDAYS.INTL(E163,F163,11)=0,IF(Reprogramaciones!K$9&gt;=F163,100,0),ROUND(NETWORKDAYS.INTL(E163,MIN(F163,Reprogramaciones!K$9),11)/NETWORKDAYS.INTL(E163,F163,11)*100,1))))</f>
        <v/>
      </c>
      <c r="I163" s="36" t="str">
        <f aca="false">IF(OR(NOT(AND(ISNUMBER(E163),ISNUMBER(F163))),$J$2=""),"",IF(Reprogramaciones!M$9&lt;E163,0,IF(NETWORKDAYS.INTL(E163,F163,11)=0,IF(Reprogramaciones!M$9&gt;=F163,100,0),ROUND(NETWORKDAYS.INTL(E163,MIN(F163,Reprogramaciones!M$9),11)/NETWORKDAYS.INTL(E163,F163,11)*100,1)))-IF(Reprogramaciones!L$9&lt;E163,0,IF(NETWORKDAYS.INTL(E163,F163,11)=0,IF(Reprogramaciones!L$9&gt;=F163,100,0),ROUND(NETWORKDAYS.INTL(E163,MIN(F163,Reprogramaciones!L$9),11)/NETWORKDAYS.INTL(E163,F163,11)*100,1))))</f>
        <v/>
      </c>
      <c r="J163" s="36" t="str">
        <f aca="false">IF(OR(NOT(AND(ISNUMBER(E163),ISNUMBER(F163))),$J$2=""),"",IF(Reprogramaciones!N$9&lt;E163,0,IF(NETWORKDAYS.INTL(E163,F163,11)=0,IF(Reprogramaciones!N$9&gt;=F163,100,0),ROUND(NETWORKDAYS.INTL(E163,MIN(F163,Reprogramaciones!N$9),11)/NETWORKDAYS.INTL(E163,F163,11)*100,1)))-IF(Reprogramaciones!M$9&lt;E163,0,IF(NETWORKDAYS.INTL(E163,F163,11)=0,IF(Reprogramaciones!M$9&gt;=F163,100,0),ROUND(NETWORKDAYS.INTL(E163,MIN(F163,Reprogramaciones!M$9),11)/NETWORKDAYS.INTL(E163,F163,11)*100,1))))</f>
        <v/>
      </c>
      <c r="K163" s="36" t="str">
        <f aca="false">IF(OR(NOT(AND(ISNUMBER(E163),ISNUMBER(F163))),$J$2=""),"",IF(Reprogramaciones!O$9&lt;E163,0,IF(NETWORKDAYS.INTL(E163,F163,11)=0,IF(Reprogramaciones!O$9&gt;=F163,100,0),ROUND(NETWORKDAYS.INTL(E163,MIN(F163,Reprogramaciones!O$9),11)/NETWORKDAYS.INTL(E163,F163,11)*100,1)))-IF(Reprogramaciones!N$9&lt;E163,0,IF(NETWORKDAYS.INTL(E163,F163,11)=0,IF(Reprogramaciones!N$9&gt;=F163,100,0),ROUND(NETWORKDAYS.INTL(E163,MIN(F163,Reprogramaciones!N$9),11)/NETWORKDAYS.INTL(E163,F163,11)*100,1))))</f>
        <v/>
      </c>
      <c r="L163" s="36" t="str">
        <f aca="false">IF(OR(NOT(AND(ISNUMBER(E163),ISNUMBER(F163))),$J$2=""),"",IF(Reprogramaciones!P$9&lt;E163,0,IF(NETWORKDAYS.INTL(E163,F163,11)=0,IF(Reprogramaciones!P$9&gt;=F163,100,0),ROUND(NETWORKDAYS.INTL(E163,MIN(F163,Reprogramaciones!P$9),11)/NETWORKDAYS.INTL(E163,F163,11)*100,1)))-IF(Reprogramaciones!O$9&lt;E163,0,IF(NETWORKDAYS.INTL(E163,F163,11)=0,IF(Reprogramaciones!O$9&gt;=F163,100,0),ROUND(NETWORKDAYS.INTL(E163,MIN(F163,Reprogramaciones!O$9),11)/NETWORKDAYS.INTL(E163,F163,11)*100,1))))</f>
        <v/>
      </c>
      <c r="M163" s="36" t="str">
        <f aca="false">IF(OR(NOT(AND(ISNUMBER(E163),ISNUMBER(F163))),$J$2=""),"",IF(Reprogramaciones!Q$9&lt;E163,0,IF(NETWORKDAYS.INTL(E163,F163,11)=0,IF(Reprogramaciones!Q$9&gt;=F163,100,0),ROUND(NETWORKDAYS.INTL(E163,MIN(F163,Reprogramaciones!Q$9),11)/NETWORKDAYS.INTL(E163,F163,11)*100,1)))-IF(Reprogramaciones!P$9&lt;E163,0,IF(NETWORKDAYS.INTL(E163,F163,11)=0,IF(Reprogramaciones!P$9&gt;=F163,100,0),ROUND(NETWORKDAYS.INTL(E163,MIN(F163,Reprogramaciones!P$9),11)/NETWORKDAYS.INTL(E163,F163,11)*100,1))))</f>
        <v/>
      </c>
      <c r="N163" s="36" t="str">
        <f aca="false">IF(OR(NOT(AND(ISNUMBER(E163),ISNUMBER(F163))),$J$2=""),"",IF(Reprogramaciones!R$9&lt;E163,0,IF(NETWORKDAYS.INTL(E163,F163,11)=0,IF(Reprogramaciones!R$9&gt;=F163,100,0),ROUND(NETWORKDAYS.INTL(E163,MIN(F163,Reprogramaciones!R$9),11)/NETWORKDAYS.INTL(E163,F163,11)*100,1)))-IF(Reprogramaciones!Q$9&lt;E163,0,IF(NETWORKDAYS.INTL(E163,F163,11)=0,IF(Reprogramaciones!Q$9&gt;=F163,100,0),ROUND(NETWORKDAYS.INTL(E163,MIN(F163,Reprogramaciones!Q$9),11)/NETWORKDAYS.INTL(E163,F163,11)*100,1))))</f>
        <v/>
      </c>
      <c r="O163" s="36" t="str">
        <f aca="false">IF(OR(NOT(AND(ISNUMBER(E163),ISNUMBER(F163))),$J$2=""),"",IF(Reprogramaciones!S$9&lt;E163,0,IF(NETWORKDAYS.INTL(E163,F163,11)=0,IF(Reprogramaciones!S$9&gt;=F163,100,0),ROUND(NETWORKDAYS.INTL(E163,MIN(F163,Reprogramaciones!S$9),11)/NETWORKDAYS.INTL(E163,F163,11)*100,1)))-IF(Reprogramaciones!R$9&lt;E163,0,IF(NETWORKDAYS.INTL(E163,F163,11)=0,IF(Reprogramaciones!R$9&gt;=F163,100,0),ROUND(NETWORKDAYS.INTL(E163,MIN(F163,Reprogramaciones!R$9),11)/NETWORKDAYS.INTL(E163,F163,11)*100,1))))</f>
        <v/>
      </c>
      <c r="P163" s="36" t="str">
        <f aca="false">IF(OR(NOT(AND(ISNUMBER(E163),ISNUMBER(F163))),$J$2=""),"",IF(Reprogramaciones!T$9&lt;E163,0,IF(NETWORKDAYS.INTL(E163,F163,11)=0,IF(Reprogramaciones!T$9&gt;=F163,100,0),ROUND(NETWORKDAYS.INTL(E163,MIN(F163,Reprogramaciones!T$9),11)/NETWORKDAYS.INTL(E163,F163,11)*100,1)))-IF(Reprogramaciones!S$9&lt;E163,0,IF(NETWORKDAYS.INTL(E163,F163,11)=0,IF(Reprogramaciones!S$9&gt;=F163,100,0),ROUND(NETWORKDAYS.INTL(E163,MIN(F163,Reprogramaciones!S$9),11)/NETWORKDAYS.INTL(E163,F163,11)*100,1))))</f>
        <v/>
      </c>
      <c r="Q163" s="37"/>
      <c r="R163" s="37"/>
      <c r="S163" s="37"/>
      <c r="T163" s="37"/>
      <c r="U163" s="37"/>
      <c r="V163" s="37"/>
      <c r="W163" s="37"/>
      <c r="X163" s="37"/>
      <c r="Y163" s="37"/>
      <c r="Z163" s="37"/>
      <c r="AA163" s="37"/>
      <c r="AB163" s="37"/>
      <c r="AC163" s="37"/>
      <c r="AD163" s="37"/>
      <c r="AE163" s="37"/>
      <c r="AF163" s="37"/>
      <c r="AG163" s="38" t="str">
        <f aca="false">IF(AND(ISNUMBER(E163),ISNUMBER(F163)),NETWORKDAYS.INTL(E163,F163,11),"")</f>
        <v/>
      </c>
      <c r="AH163" s="38" t="str">
        <f aca="false">IF(OR(NOT(AND(ISNUMBER(E163),ISNUMBER(F163))),$J$2=""),"",IF(Reprogramaciones!$P$15&lt;Reprogramaciones!$T$15,0,IF(Reprogramaciones!$R$15&gt;10,MIN(100,SUM($G163:$P163)),MIN(100,SUMPRODUCT((COLUMN($G163:$P163)-COLUMN($G163)+1&lt;Reprogramaciones!$R$15)*$G163:$P163)+N(INDEX($G163:$P163,1,Reprogramaciones!$R$15))*IF(Reprogramaciones!$P$15&gt;=(Reprogramaciones!$T$15+7*(Reprogramaciones!$R$15-1))+6,1,IF(MAX(0,NETWORKDAYS.INTL(MAX(E163,(Reprogramaciones!$T$15+7*(Reprogramaciones!$R$15-1))),MIN(F163,(Reprogramaciones!$T$15+7*(Reprogramaciones!$R$15-1))+6),11))=0,0,MAX(0,NETWORKDAYS.INTL(MAX(E163,(Reprogramaciones!$T$15+7*(Reprogramaciones!$R$15-1))),MIN(F163,Reprogramaciones!$P$15),11))/MAX(0,NETWORKDAYS.INTL(MAX(E163,(Reprogramaciones!$T$15+7*(Reprogramaciones!$R$15-1))),MIN(F163,(Reprogramaciones!$T$15+7*(Reprogramaciones!$R$15-1))+6),11))))))))</f>
        <v/>
      </c>
      <c r="AI163" s="38" t="str">
        <f aca="false">IF(COUNT($Q163:$AF163)=0,"",IF(ROUND(SUM($Q163:$AF163),1)&gt;=99.5,100,MIN(100,ROUND(SUM($Q163:$AF163),1))))</f>
        <v/>
      </c>
      <c r="AJ163" s="38" t="str">
        <f aca="false">IF(OR(AH163="",AI163=""),"",AI163-AH163)</f>
        <v/>
      </c>
      <c r="AK163" s="39" t="str">
        <f aca="true">IF(AH163="","",IF(OR(Ficha!$C$10="Suspendida",Ficha!$C$10="Cancelada"),Ficha!$C$10,IF(AND(AI163&lt;&gt;"",N(AI163)&gt;=100),"Completada",IF(AND(E163&gt;TODAY(),N(AI163)=0),"Por iniciar",IF(N(AI163)+0.5&lt;AH163,"Retrasada",IF(N(AI163)+0.5&lt;DA163,IF(Reprogramaciones!$K$15&gt;0,"Al día · Sem "&amp;Reprogramaciones!$K$15&amp;" en curso","Al día · en curso"),"A tiempo"))))))</f>
        <v/>
      </c>
      <c r="AL163" s="39" t="str">
        <f aca="true">IF(AND(A163="",AND(B163="",C163="",E163="",F163="",COUNT(Q163:AF163)=0)),"",IF(AND(B163="",C163="",E163="",F163="",COUNT(Q163:AF163)=0),"Falta la partida o subpartida",IF(AND(A163&lt;&gt;"",COUNTIF($A$6:$A$305,A163)&gt;1),"Ítem repetido",IF(AND(C163="",E163="",F163="",COUNT(Q163:AF163)=0),"Título de partida",IF(OR(E163="",F163=""),"Faltan fechas",IF(OR(ISTEXT(E163),ISTEXT(F163)),"Fecha escrita como texto: usa dd/mm/aaaa",IF(F163&lt;E163,"Fin antes del inicio",IF(IF($J$2="",FALSE(),OR(E163&lt;$J$2,F163&gt;Reprogramaciones!$T$15+69)),"Fuera de las 10 semanas",IF(ABS(SUM(G163:P163)-100)&gt;0.5,"La meta no suma 100%",IF(ROUND(SUM(Q163:AF163),1)&gt;100.5,"El avance pasa de 100%",IF(MIN(Q163:AF163)&lt;0,"Avance negativo",IF(COUNTA(Q163:AF163)&gt;COUNT(Q163:AF163),"Avance escrito como texto",IF(SUMPRODUCT((Q163:AF163&gt;0)*(Q163:AF163&lt;1))&gt;0,"Avance menor a 1: escribe 50, no 50%",IF(SUMPRODUCT(ISNUMBER(Q163:AF163)*(Reprogramaciones!$K$8:$Z$8&gt;TODAY()))&gt;0,"Avance en semana que aún no llega",IF(AND(N(Reprogramaciones!$E$21)&gt;0,F163&gt;Reprogramaciones!$E$21),"Pasa el fin de la obra: registra una reprogramación",IF(AND(N(Reprogramaciones!$E$21)&gt;0,SUMPRODUCT(ISNUMBER(Q163:AF163)*(Reprogramaciones!$K$8:$Z$8&gt;Reprogramaciones!$E$21))&gt;0),"Avance después del fin de la obra: registra una reprogramación por atraso","OK"))))))))))))))))</f>
        <v/>
      </c>
      <c r="AM163" s="40" t="str">
        <f aca="false">IF(OR(OR(NOT(AND(ISNUMBER(E163),ISNUMBER(F163))),$J$2=""),1&gt;MAX(1,Reprogramaciones!$U$15)),"",IF(Reprogramaciones!K$12&gt;=7,"",IF(OR(BT163-N(0)&gt;0.05,N(Q163)&gt;0),ROUNDDOWN(ROUND(BT163,6),0)&amp;"%"&amp;IF(CJ163="",""," / "&amp;CJ163&amp;"%"),IF(AND(N(0)&gt;=99.95,CJ163&lt;&gt;"",N(CJ163)&lt;100),"Pend. "&amp;CJ163&amp;"%",""))))</f>
        <v/>
      </c>
      <c r="AN163" s="40" t="str">
        <f aca="false">IF(OR(OR(NOT(AND(ISNUMBER(E163),ISNUMBER(F163))),$J$2=""),2&gt;MAX(1,Reprogramaciones!$U$15)),"",IF(Reprogramaciones!L$12&gt;=7,"",IF(OR(BU163-N(BT163)&gt;0.05,N(R163)&gt;0),ROUNDDOWN(ROUND(BU163,6),0)&amp;"%"&amp;IF(CK163="",""," / "&amp;CK163&amp;"%"),IF(AND(N(BT163)&gt;=99.95,CK163&lt;&gt;"",N(CK163)&lt;100),"Pend. "&amp;CK163&amp;"%",""))))</f>
        <v/>
      </c>
      <c r="AO163" s="40" t="str">
        <f aca="false">IF(OR(OR(NOT(AND(ISNUMBER(E163),ISNUMBER(F163))),$J$2=""),3&gt;MAX(1,Reprogramaciones!$U$15)),"",IF(Reprogramaciones!M$12&gt;=7,"",IF(OR(BV163-N(BU163)&gt;0.05,N(S163)&gt;0),ROUNDDOWN(ROUND(BV163,6),0)&amp;"%"&amp;IF(CL163="",""," / "&amp;CL163&amp;"%"),IF(AND(N(BU163)&gt;=99.95,CL163&lt;&gt;"",N(CL163)&lt;100),"Pend. "&amp;CL163&amp;"%",""))))</f>
        <v/>
      </c>
      <c r="AP163" s="40" t="str">
        <f aca="false">IF(OR(OR(NOT(AND(ISNUMBER(E163),ISNUMBER(F163))),$J$2=""),4&gt;MAX(1,Reprogramaciones!$U$15)),"",IF(Reprogramaciones!N$12&gt;=7,"",IF(OR(BW163-N(BV163)&gt;0.05,N(T163)&gt;0),ROUNDDOWN(ROUND(BW163,6),0)&amp;"%"&amp;IF(CM163="",""," / "&amp;CM163&amp;"%"),IF(AND(N(BV163)&gt;=99.95,CM163&lt;&gt;"",N(CM163)&lt;100),"Pend. "&amp;CM163&amp;"%",""))))</f>
        <v/>
      </c>
      <c r="AQ163" s="40" t="str">
        <f aca="false">IF(OR(OR(NOT(AND(ISNUMBER(E163),ISNUMBER(F163))),$J$2=""),5&gt;MAX(1,Reprogramaciones!$U$15)),"",IF(Reprogramaciones!O$12&gt;=7,"",IF(OR(BX163-N(BW163)&gt;0.05,N(U163)&gt;0),ROUNDDOWN(ROUND(BX163,6),0)&amp;"%"&amp;IF(CN163="",""," / "&amp;CN163&amp;"%"),IF(AND(N(BW163)&gt;=99.95,CN163&lt;&gt;"",N(CN163)&lt;100),"Pend. "&amp;CN163&amp;"%",""))))</f>
        <v/>
      </c>
      <c r="AR163" s="40" t="str">
        <f aca="false">IF(OR(OR(NOT(AND(ISNUMBER(E163),ISNUMBER(F163))),$J$2=""),6&gt;MAX(1,Reprogramaciones!$U$15)),"",IF(Reprogramaciones!P$12&gt;=7,"",IF(OR(BY163-N(BX163)&gt;0.05,N(V163)&gt;0),ROUNDDOWN(ROUND(BY163,6),0)&amp;"%"&amp;IF(CO163="",""," / "&amp;CO163&amp;"%"),IF(AND(N(BX163)&gt;=99.95,CO163&lt;&gt;"",N(CO163)&lt;100),"Pend. "&amp;CO163&amp;"%",""))))</f>
        <v/>
      </c>
      <c r="AS163" s="40" t="str">
        <f aca="false">IF(OR(OR(NOT(AND(ISNUMBER(E163),ISNUMBER(F163))),$J$2=""),7&gt;MAX(1,Reprogramaciones!$U$15)),"",IF(Reprogramaciones!Q$12&gt;=7,"",IF(OR(BZ163-N(BY163)&gt;0.05,N(W163)&gt;0),ROUNDDOWN(ROUND(BZ163,6),0)&amp;"%"&amp;IF(CP163="",""," / "&amp;CP163&amp;"%"),IF(AND(N(BY163)&gt;=99.95,CP163&lt;&gt;"",N(CP163)&lt;100),"Pend. "&amp;CP163&amp;"%",""))))</f>
        <v/>
      </c>
      <c r="AT163" s="40" t="str">
        <f aca="false">IF(OR(OR(NOT(AND(ISNUMBER(E163),ISNUMBER(F163))),$J$2=""),8&gt;MAX(1,Reprogramaciones!$U$15)),"",IF(Reprogramaciones!R$12&gt;=7,"",IF(OR(CA163-N(BZ163)&gt;0.05,N(X163)&gt;0),ROUNDDOWN(ROUND(CA163,6),0)&amp;"%"&amp;IF(CQ163="",""," / "&amp;CQ163&amp;"%"),IF(AND(N(BZ163)&gt;=99.95,CQ163&lt;&gt;"",N(CQ163)&lt;100),"Pend. "&amp;CQ163&amp;"%",""))))</f>
        <v/>
      </c>
      <c r="AU163" s="40" t="str">
        <f aca="false">IF(OR(OR(NOT(AND(ISNUMBER(E163),ISNUMBER(F163))),$J$2=""),9&gt;MAX(1,Reprogramaciones!$U$15)),"",IF(Reprogramaciones!S$12&gt;=7,"",IF(OR(CB163-N(CA163)&gt;0.05,N(Y163)&gt;0),ROUNDDOWN(ROUND(CB163,6),0)&amp;"%"&amp;IF(CR163="",""," / "&amp;CR163&amp;"%"),IF(AND(N(CA163)&gt;=99.95,CR163&lt;&gt;"",N(CR163)&lt;100),"Pend. "&amp;CR163&amp;"%",""))))</f>
        <v/>
      </c>
      <c r="AV163" s="40" t="str">
        <f aca="false">IF(OR(OR(NOT(AND(ISNUMBER(E163),ISNUMBER(F163))),$J$2=""),10&gt;MAX(1,Reprogramaciones!$U$15)),"",IF(Reprogramaciones!T$12&gt;=7,"",IF(OR(CC163-N(CB163)&gt;0.05,N(Z163)&gt;0),ROUNDDOWN(ROUND(CC163,6),0)&amp;"%"&amp;IF(CS163="",""," / "&amp;CS163&amp;"%"),IF(AND(N(CB163)&gt;=99.95,CS163&lt;&gt;"",N(CS163)&lt;100),"Pend. "&amp;CS163&amp;"%",""))))</f>
        <v/>
      </c>
      <c r="AW163" s="40" t="str">
        <f aca="false">IF(OR(OR(NOT(AND(ISNUMBER(E163),ISNUMBER(F163))),$J$2=""),11&gt;MAX(1,Reprogramaciones!$U$15)),"",IF(Reprogramaciones!U$12&gt;=7,"",IF(OR(CD163-N(CC163)&gt;0.05,N(AA163)&gt;0),ROUNDDOWN(ROUND(CD163,6),0)&amp;"%"&amp;IF(CT163="",""," / "&amp;CT163&amp;"%"),IF(AND(N(CC163)&gt;=99.95,CT163&lt;&gt;"",N(CT163)&lt;100),"Pend. "&amp;CT163&amp;"%",""))))</f>
        <v/>
      </c>
      <c r="AX163" s="40" t="str">
        <f aca="false">IF(OR(OR(NOT(AND(ISNUMBER(E163),ISNUMBER(F163))),$J$2=""),12&gt;MAX(1,Reprogramaciones!$U$15)),"",IF(Reprogramaciones!V$12&gt;=7,"",IF(OR(CE163-N(CD163)&gt;0.05,N(AB163)&gt;0),ROUNDDOWN(ROUND(CE163,6),0)&amp;"%"&amp;IF(CU163="",""," / "&amp;CU163&amp;"%"),IF(AND(N(CD163)&gt;=99.95,CU163&lt;&gt;"",N(CU163)&lt;100),"Pend. "&amp;CU163&amp;"%",""))))</f>
        <v/>
      </c>
      <c r="AY163" s="40" t="str">
        <f aca="false">IF(OR(OR(NOT(AND(ISNUMBER(E163),ISNUMBER(F163))),$J$2=""),13&gt;MAX(1,Reprogramaciones!$U$15)),"",IF(Reprogramaciones!W$12&gt;=7,"",IF(OR(CF163-N(CE163)&gt;0.05,N(AC163)&gt;0),ROUNDDOWN(ROUND(CF163,6),0)&amp;"%"&amp;IF(CV163="",""," / "&amp;CV163&amp;"%"),IF(AND(N(CE163)&gt;=99.95,CV163&lt;&gt;"",N(CV163)&lt;100),"Pend. "&amp;CV163&amp;"%",""))))</f>
        <v/>
      </c>
      <c r="AZ163" s="40" t="str">
        <f aca="false">IF(OR(OR(NOT(AND(ISNUMBER(E163),ISNUMBER(F163))),$J$2=""),14&gt;MAX(1,Reprogramaciones!$U$15)),"",IF(Reprogramaciones!X$12&gt;=7,"",IF(OR(CG163-N(CF163)&gt;0.05,N(AD163)&gt;0),ROUNDDOWN(ROUND(CG163,6),0)&amp;"%"&amp;IF(CW163="",""," / "&amp;CW163&amp;"%"),IF(AND(N(CF163)&gt;=99.95,CW163&lt;&gt;"",N(CW163)&lt;100),"Pend. "&amp;CW163&amp;"%",""))))</f>
        <v/>
      </c>
      <c r="BA163" s="40" t="str">
        <f aca="false">IF(OR(OR(NOT(AND(ISNUMBER(E163),ISNUMBER(F163))),$J$2=""),15&gt;MAX(1,Reprogramaciones!$U$15)),"",IF(Reprogramaciones!Y$12&gt;=7,"",IF(OR(CH163-N(CG163)&gt;0.05,N(AE163)&gt;0),ROUNDDOWN(ROUND(CH163,6),0)&amp;"%"&amp;IF(CX163="",""," / "&amp;CX163&amp;"%"),IF(AND(N(CG163)&gt;=99.95,CX163&lt;&gt;"",N(CX163)&lt;100),"Pend. "&amp;CX163&amp;"%",""))))</f>
        <v/>
      </c>
      <c r="BB163" s="40" t="str">
        <f aca="false">IF(OR(OR(NOT(AND(ISNUMBER(E163),ISNUMBER(F163))),$J$2=""),16&gt;MAX(1,Reprogramaciones!$U$15)),"",IF(Reprogramaciones!Z$12&gt;=7,"",IF(OR(CI163-N(CH163)&gt;0.05,N(AF163)&gt;0),ROUNDDOWN(ROUND(CI163,6),0)&amp;"%"&amp;IF(CY163="",""," / "&amp;CY163&amp;"%"),IF(AND(N(CH163)&gt;=99.95,CY163&lt;&gt;"",N(CY163)&lt;100),"Pend. "&amp;CY163&amp;"%",""))))</f>
        <v/>
      </c>
      <c r="BC163" s="31" t="n">
        <f aca="false">IF(AND(ISNUMBER(E163),ISNUMBER(F163)),MAX(1,NETWORKDAYS.INTL(E163,F163,11)),0)</f>
        <v>0</v>
      </c>
      <c r="BD163" s="1" t="str">
        <f aca="false">IF(OR(NOT(AND(ISNUMBER(E163),ISNUMBER(F163))),$J$2=""),"",MIN(100,ROUND(SUM($G163:G163),1)))</f>
        <v/>
      </c>
      <c r="BE163" s="1" t="str">
        <f aca="false">IF(OR(NOT(AND(ISNUMBER(E163),ISNUMBER(F163))),$J$2=""),"",MIN(100,ROUND(SUM($G163:H163),1)))</f>
        <v/>
      </c>
      <c r="BF163" s="1" t="str">
        <f aca="false">IF(OR(NOT(AND(ISNUMBER(E163),ISNUMBER(F163))),$J$2=""),"",MIN(100,ROUND(SUM($G163:I163),1)))</f>
        <v/>
      </c>
      <c r="BG163" s="1" t="str">
        <f aca="false">IF(OR(NOT(AND(ISNUMBER(E163),ISNUMBER(F163))),$J$2=""),"",MIN(100,ROUND(SUM($G163:J163),1)))</f>
        <v/>
      </c>
      <c r="BH163" s="1" t="str">
        <f aca="false">IF(OR(NOT(AND(ISNUMBER(E163),ISNUMBER(F163))),$J$2=""),"",MIN(100,ROUND(SUM($G163:K163),1)))</f>
        <v/>
      </c>
      <c r="BI163" s="1" t="str">
        <f aca="false">IF(OR(NOT(AND(ISNUMBER(E163),ISNUMBER(F163))),$J$2=""),"",MIN(100,ROUND(SUM($G163:L163),1)))</f>
        <v/>
      </c>
      <c r="BJ163" s="1" t="str">
        <f aca="false">IF(OR(NOT(AND(ISNUMBER(E163),ISNUMBER(F163))),$J$2=""),"",MIN(100,ROUND(SUM($G163:M163),1)))</f>
        <v/>
      </c>
      <c r="BK163" s="1" t="str">
        <f aca="false">IF(OR(NOT(AND(ISNUMBER(E163),ISNUMBER(F163))),$J$2=""),"",MIN(100,ROUND(SUM($G163:N163),1)))</f>
        <v/>
      </c>
      <c r="BL163" s="1" t="str">
        <f aca="false">IF(OR(NOT(AND(ISNUMBER(E163),ISNUMBER(F163))),$J$2=""),"",MIN(100,ROUND(SUM($G163:O163),1)))</f>
        <v/>
      </c>
      <c r="BM163" s="1" t="str">
        <f aca="false">IF(OR(NOT(AND(ISNUMBER(E163),ISNUMBER(F163))),$J$2=""),"",MIN(100,ROUND(SUM($G163:P163),1)))</f>
        <v/>
      </c>
      <c r="BN163" s="1" t="str">
        <f aca="false">IF(OR(NOT(AND(ISNUMBER(E163),ISNUMBER(F163))),$J$2=""),"",MIN(100,ROUND(SUM($G163:P163),1)))</f>
        <v/>
      </c>
      <c r="BO163" s="1" t="str">
        <f aca="false">IF(OR(NOT(AND(ISNUMBER(E163),ISNUMBER(F163))),$J$2=""),"",MIN(100,ROUND(SUM($G163:P163),1)))</f>
        <v/>
      </c>
      <c r="BP163" s="1" t="str">
        <f aca="false">IF(OR(NOT(AND(ISNUMBER(E163),ISNUMBER(F163))),$J$2=""),"",MIN(100,ROUND(SUM($G163:P163),1)))</f>
        <v/>
      </c>
      <c r="BQ163" s="1" t="str">
        <f aca="false">IF(OR(NOT(AND(ISNUMBER(E163),ISNUMBER(F163))),$J$2=""),"",MIN(100,ROUND(SUM($G163:P163),1)))</f>
        <v/>
      </c>
      <c r="BR163" s="1" t="str">
        <f aca="false">IF(OR(NOT(AND(ISNUMBER(E163),ISNUMBER(F163))),$J$2=""),"",MIN(100,ROUND(SUM($G163:P163),1)))</f>
        <v/>
      </c>
      <c r="BS163" s="1" t="str">
        <f aca="false">IF(OR(NOT(AND(ISNUMBER(E163),ISNUMBER(F163))),$J$2=""),"",MIN(100,ROUND(SUM($G163:P163),1)))</f>
        <v/>
      </c>
      <c r="BT163" s="1" t="str">
        <f aca="false">IF(OR(NOT(AND(ISNUMBER(E163),ISNUMBER(F163))),$J$2=""),"",IF(Reprogramaciones!K$13&lt;Reprogramaciones!$T$15,0,IF(Reprogramaciones!K$14&gt;10,MIN(100,SUM($G163:$P163)),MIN(100,SUMPRODUCT((COLUMN($G163:$P163)-COLUMN($G163)+1&lt;Reprogramaciones!K$14)*$G163:$P163)+N(INDEX($G163:$P163,1,Reprogramaciones!K$14))*IF(Reprogramaciones!K$13&gt;=(Reprogramaciones!$T$15+7*(Reprogramaciones!K$14-1))+6,1,IF(MAX(0,NETWORKDAYS.INTL(MAX(E163,(Reprogramaciones!$T$15+7*(Reprogramaciones!K$14-1))),MIN(F163,(Reprogramaciones!$T$15+7*(Reprogramaciones!K$14-1))+6),11))=0,0,MAX(0,NETWORKDAYS.INTL(MAX(E163,(Reprogramaciones!$T$15+7*(Reprogramaciones!K$14-1))),MIN(F163,Reprogramaciones!K$13),11))/MAX(0,NETWORKDAYS.INTL(MAX(E163,(Reprogramaciones!$T$15+7*(Reprogramaciones!K$14-1))),MIN(F163,(Reprogramaciones!$T$15+7*(Reprogramaciones!K$14-1))+6),11))))))))</f>
        <v/>
      </c>
      <c r="BU163" s="1" t="str">
        <f aca="false">IF(OR(NOT(AND(ISNUMBER(E163),ISNUMBER(F163))),$J$2=""),"",IF(Reprogramaciones!L$13&lt;Reprogramaciones!$T$15,0,IF(Reprogramaciones!L$14&gt;10,MIN(100,SUM($G163:$P163)),MIN(100,SUMPRODUCT((COLUMN($G163:$P163)-COLUMN($G163)+1&lt;Reprogramaciones!L$14)*$G163:$P163)+N(INDEX($G163:$P163,1,Reprogramaciones!L$14))*IF(Reprogramaciones!L$13&gt;=(Reprogramaciones!$T$15+7*(Reprogramaciones!L$14-1))+6,1,IF(MAX(0,NETWORKDAYS.INTL(MAX(E163,(Reprogramaciones!$T$15+7*(Reprogramaciones!L$14-1))),MIN(F163,(Reprogramaciones!$T$15+7*(Reprogramaciones!L$14-1))+6),11))=0,0,MAX(0,NETWORKDAYS.INTL(MAX(E163,(Reprogramaciones!$T$15+7*(Reprogramaciones!L$14-1))),MIN(F163,Reprogramaciones!L$13),11))/MAX(0,NETWORKDAYS.INTL(MAX(E163,(Reprogramaciones!$T$15+7*(Reprogramaciones!L$14-1))),MIN(F163,(Reprogramaciones!$T$15+7*(Reprogramaciones!L$14-1))+6),11))))))))</f>
        <v/>
      </c>
      <c r="BV163" s="1" t="str">
        <f aca="false">IF(OR(NOT(AND(ISNUMBER(E163),ISNUMBER(F163))),$J$2=""),"",IF(Reprogramaciones!M$13&lt;Reprogramaciones!$T$15,0,IF(Reprogramaciones!M$14&gt;10,MIN(100,SUM($G163:$P163)),MIN(100,SUMPRODUCT((COLUMN($G163:$P163)-COLUMN($G163)+1&lt;Reprogramaciones!M$14)*$G163:$P163)+N(INDEX($G163:$P163,1,Reprogramaciones!M$14))*IF(Reprogramaciones!M$13&gt;=(Reprogramaciones!$T$15+7*(Reprogramaciones!M$14-1))+6,1,IF(MAX(0,NETWORKDAYS.INTL(MAX(E163,(Reprogramaciones!$T$15+7*(Reprogramaciones!M$14-1))),MIN(F163,(Reprogramaciones!$T$15+7*(Reprogramaciones!M$14-1))+6),11))=0,0,MAX(0,NETWORKDAYS.INTL(MAX(E163,(Reprogramaciones!$T$15+7*(Reprogramaciones!M$14-1))),MIN(F163,Reprogramaciones!M$13),11))/MAX(0,NETWORKDAYS.INTL(MAX(E163,(Reprogramaciones!$T$15+7*(Reprogramaciones!M$14-1))),MIN(F163,(Reprogramaciones!$T$15+7*(Reprogramaciones!M$14-1))+6),11))))))))</f>
        <v/>
      </c>
      <c r="BW163" s="1" t="str">
        <f aca="false">IF(OR(NOT(AND(ISNUMBER(E163),ISNUMBER(F163))),$J$2=""),"",IF(Reprogramaciones!N$13&lt;Reprogramaciones!$T$15,0,IF(Reprogramaciones!N$14&gt;10,MIN(100,SUM($G163:$P163)),MIN(100,SUMPRODUCT((COLUMN($G163:$P163)-COLUMN($G163)+1&lt;Reprogramaciones!N$14)*$G163:$P163)+N(INDEX($G163:$P163,1,Reprogramaciones!N$14))*IF(Reprogramaciones!N$13&gt;=(Reprogramaciones!$T$15+7*(Reprogramaciones!N$14-1))+6,1,IF(MAX(0,NETWORKDAYS.INTL(MAX(E163,(Reprogramaciones!$T$15+7*(Reprogramaciones!N$14-1))),MIN(F163,(Reprogramaciones!$T$15+7*(Reprogramaciones!N$14-1))+6),11))=0,0,MAX(0,NETWORKDAYS.INTL(MAX(E163,(Reprogramaciones!$T$15+7*(Reprogramaciones!N$14-1))),MIN(F163,Reprogramaciones!N$13),11))/MAX(0,NETWORKDAYS.INTL(MAX(E163,(Reprogramaciones!$T$15+7*(Reprogramaciones!N$14-1))),MIN(F163,(Reprogramaciones!$T$15+7*(Reprogramaciones!N$14-1))+6),11))))))))</f>
        <v/>
      </c>
      <c r="BX163" s="1" t="str">
        <f aca="false">IF(OR(NOT(AND(ISNUMBER(E163),ISNUMBER(F163))),$J$2=""),"",IF(Reprogramaciones!O$13&lt;Reprogramaciones!$T$15,0,IF(Reprogramaciones!O$14&gt;10,MIN(100,SUM($G163:$P163)),MIN(100,SUMPRODUCT((COLUMN($G163:$P163)-COLUMN($G163)+1&lt;Reprogramaciones!O$14)*$G163:$P163)+N(INDEX($G163:$P163,1,Reprogramaciones!O$14))*IF(Reprogramaciones!O$13&gt;=(Reprogramaciones!$T$15+7*(Reprogramaciones!O$14-1))+6,1,IF(MAX(0,NETWORKDAYS.INTL(MAX(E163,(Reprogramaciones!$T$15+7*(Reprogramaciones!O$14-1))),MIN(F163,(Reprogramaciones!$T$15+7*(Reprogramaciones!O$14-1))+6),11))=0,0,MAX(0,NETWORKDAYS.INTL(MAX(E163,(Reprogramaciones!$T$15+7*(Reprogramaciones!O$14-1))),MIN(F163,Reprogramaciones!O$13),11))/MAX(0,NETWORKDAYS.INTL(MAX(E163,(Reprogramaciones!$T$15+7*(Reprogramaciones!O$14-1))),MIN(F163,(Reprogramaciones!$T$15+7*(Reprogramaciones!O$14-1))+6),11))))))))</f>
        <v/>
      </c>
      <c r="BY163" s="1" t="str">
        <f aca="false">IF(OR(NOT(AND(ISNUMBER(E163),ISNUMBER(F163))),$J$2=""),"",IF(Reprogramaciones!P$13&lt;Reprogramaciones!$T$15,0,IF(Reprogramaciones!P$14&gt;10,MIN(100,SUM($G163:$P163)),MIN(100,SUMPRODUCT((COLUMN($G163:$P163)-COLUMN($G163)+1&lt;Reprogramaciones!P$14)*$G163:$P163)+N(INDEX($G163:$P163,1,Reprogramaciones!P$14))*IF(Reprogramaciones!P$13&gt;=(Reprogramaciones!$T$15+7*(Reprogramaciones!P$14-1))+6,1,IF(MAX(0,NETWORKDAYS.INTL(MAX(E163,(Reprogramaciones!$T$15+7*(Reprogramaciones!P$14-1))),MIN(F163,(Reprogramaciones!$T$15+7*(Reprogramaciones!P$14-1))+6),11))=0,0,MAX(0,NETWORKDAYS.INTL(MAX(E163,(Reprogramaciones!$T$15+7*(Reprogramaciones!P$14-1))),MIN(F163,Reprogramaciones!P$13),11))/MAX(0,NETWORKDAYS.INTL(MAX(E163,(Reprogramaciones!$T$15+7*(Reprogramaciones!P$14-1))),MIN(F163,(Reprogramaciones!$T$15+7*(Reprogramaciones!P$14-1))+6),11))))))))</f>
        <v/>
      </c>
      <c r="BZ163" s="1" t="str">
        <f aca="false">IF(OR(NOT(AND(ISNUMBER(E163),ISNUMBER(F163))),$J$2=""),"",IF(Reprogramaciones!Q$13&lt;Reprogramaciones!$T$15,0,IF(Reprogramaciones!Q$14&gt;10,MIN(100,SUM($G163:$P163)),MIN(100,SUMPRODUCT((COLUMN($G163:$P163)-COLUMN($G163)+1&lt;Reprogramaciones!Q$14)*$G163:$P163)+N(INDEX($G163:$P163,1,Reprogramaciones!Q$14))*IF(Reprogramaciones!Q$13&gt;=(Reprogramaciones!$T$15+7*(Reprogramaciones!Q$14-1))+6,1,IF(MAX(0,NETWORKDAYS.INTL(MAX(E163,(Reprogramaciones!$T$15+7*(Reprogramaciones!Q$14-1))),MIN(F163,(Reprogramaciones!$T$15+7*(Reprogramaciones!Q$14-1))+6),11))=0,0,MAX(0,NETWORKDAYS.INTL(MAX(E163,(Reprogramaciones!$T$15+7*(Reprogramaciones!Q$14-1))),MIN(F163,Reprogramaciones!Q$13),11))/MAX(0,NETWORKDAYS.INTL(MAX(E163,(Reprogramaciones!$T$15+7*(Reprogramaciones!Q$14-1))),MIN(F163,(Reprogramaciones!$T$15+7*(Reprogramaciones!Q$14-1))+6),11))))))))</f>
        <v/>
      </c>
      <c r="CA163" s="1" t="str">
        <f aca="false">IF(OR(NOT(AND(ISNUMBER(E163),ISNUMBER(F163))),$J$2=""),"",IF(Reprogramaciones!R$13&lt;Reprogramaciones!$T$15,0,IF(Reprogramaciones!R$14&gt;10,MIN(100,SUM($G163:$P163)),MIN(100,SUMPRODUCT((COLUMN($G163:$P163)-COLUMN($G163)+1&lt;Reprogramaciones!R$14)*$G163:$P163)+N(INDEX($G163:$P163,1,Reprogramaciones!R$14))*IF(Reprogramaciones!R$13&gt;=(Reprogramaciones!$T$15+7*(Reprogramaciones!R$14-1))+6,1,IF(MAX(0,NETWORKDAYS.INTL(MAX(E163,(Reprogramaciones!$T$15+7*(Reprogramaciones!R$14-1))),MIN(F163,(Reprogramaciones!$T$15+7*(Reprogramaciones!R$14-1))+6),11))=0,0,MAX(0,NETWORKDAYS.INTL(MAX(E163,(Reprogramaciones!$T$15+7*(Reprogramaciones!R$14-1))),MIN(F163,Reprogramaciones!R$13),11))/MAX(0,NETWORKDAYS.INTL(MAX(E163,(Reprogramaciones!$T$15+7*(Reprogramaciones!R$14-1))),MIN(F163,(Reprogramaciones!$T$15+7*(Reprogramaciones!R$14-1))+6),11))))))))</f>
        <v/>
      </c>
      <c r="CB163" s="1" t="str">
        <f aca="false">IF(OR(NOT(AND(ISNUMBER(E163),ISNUMBER(F163))),$J$2=""),"",IF(Reprogramaciones!S$13&lt;Reprogramaciones!$T$15,0,IF(Reprogramaciones!S$14&gt;10,MIN(100,SUM($G163:$P163)),MIN(100,SUMPRODUCT((COLUMN($G163:$P163)-COLUMN($G163)+1&lt;Reprogramaciones!S$14)*$G163:$P163)+N(INDEX($G163:$P163,1,Reprogramaciones!S$14))*IF(Reprogramaciones!S$13&gt;=(Reprogramaciones!$T$15+7*(Reprogramaciones!S$14-1))+6,1,IF(MAX(0,NETWORKDAYS.INTL(MAX(E163,(Reprogramaciones!$T$15+7*(Reprogramaciones!S$14-1))),MIN(F163,(Reprogramaciones!$T$15+7*(Reprogramaciones!S$14-1))+6),11))=0,0,MAX(0,NETWORKDAYS.INTL(MAX(E163,(Reprogramaciones!$T$15+7*(Reprogramaciones!S$14-1))),MIN(F163,Reprogramaciones!S$13),11))/MAX(0,NETWORKDAYS.INTL(MAX(E163,(Reprogramaciones!$T$15+7*(Reprogramaciones!S$14-1))),MIN(F163,(Reprogramaciones!$T$15+7*(Reprogramaciones!S$14-1))+6),11))))))))</f>
        <v/>
      </c>
      <c r="CC163" s="1" t="str">
        <f aca="false">IF(OR(NOT(AND(ISNUMBER(E163),ISNUMBER(F163))),$J$2=""),"",IF(Reprogramaciones!T$13&lt;Reprogramaciones!$T$15,0,IF(Reprogramaciones!T$14&gt;10,MIN(100,SUM($G163:$P163)),MIN(100,SUMPRODUCT((COLUMN($G163:$P163)-COLUMN($G163)+1&lt;Reprogramaciones!T$14)*$G163:$P163)+N(INDEX($G163:$P163,1,Reprogramaciones!T$14))*IF(Reprogramaciones!T$13&gt;=(Reprogramaciones!$T$15+7*(Reprogramaciones!T$14-1))+6,1,IF(MAX(0,NETWORKDAYS.INTL(MAX(E163,(Reprogramaciones!$T$15+7*(Reprogramaciones!T$14-1))),MIN(F163,(Reprogramaciones!$T$15+7*(Reprogramaciones!T$14-1))+6),11))=0,0,MAX(0,NETWORKDAYS.INTL(MAX(E163,(Reprogramaciones!$T$15+7*(Reprogramaciones!T$14-1))),MIN(F163,Reprogramaciones!T$13),11))/MAX(0,NETWORKDAYS.INTL(MAX(E163,(Reprogramaciones!$T$15+7*(Reprogramaciones!T$14-1))),MIN(F163,(Reprogramaciones!$T$15+7*(Reprogramaciones!T$14-1))+6),11))))))))</f>
        <v/>
      </c>
      <c r="CD163" s="1" t="str">
        <f aca="false">IF(OR(NOT(AND(ISNUMBER(E163),ISNUMBER(F163))),$J$2=""),"",IF(Reprogramaciones!U$13&lt;Reprogramaciones!$T$15,0,IF(Reprogramaciones!U$14&gt;10,MIN(100,SUM($G163:$P163)),MIN(100,SUMPRODUCT((COLUMN($G163:$P163)-COLUMN($G163)+1&lt;Reprogramaciones!U$14)*$G163:$P163)+N(INDEX($G163:$P163,1,Reprogramaciones!U$14))*IF(Reprogramaciones!U$13&gt;=(Reprogramaciones!$T$15+7*(Reprogramaciones!U$14-1))+6,1,IF(MAX(0,NETWORKDAYS.INTL(MAX(E163,(Reprogramaciones!$T$15+7*(Reprogramaciones!U$14-1))),MIN(F163,(Reprogramaciones!$T$15+7*(Reprogramaciones!U$14-1))+6),11))=0,0,MAX(0,NETWORKDAYS.INTL(MAX(E163,(Reprogramaciones!$T$15+7*(Reprogramaciones!U$14-1))),MIN(F163,Reprogramaciones!U$13),11))/MAX(0,NETWORKDAYS.INTL(MAX(E163,(Reprogramaciones!$T$15+7*(Reprogramaciones!U$14-1))),MIN(F163,(Reprogramaciones!$T$15+7*(Reprogramaciones!U$14-1))+6),11))))))))</f>
        <v/>
      </c>
      <c r="CE163" s="1" t="str">
        <f aca="false">IF(OR(NOT(AND(ISNUMBER(E163),ISNUMBER(F163))),$J$2=""),"",IF(Reprogramaciones!V$13&lt;Reprogramaciones!$T$15,0,IF(Reprogramaciones!V$14&gt;10,MIN(100,SUM($G163:$P163)),MIN(100,SUMPRODUCT((COLUMN($G163:$P163)-COLUMN($G163)+1&lt;Reprogramaciones!V$14)*$G163:$P163)+N(INDEX($G163:$P163,1,Reprogramaciones!V$14))*IF(Reprogramaciones!V$13&gt;=(Reprogramaciones!$T$15+7*(Reprogramaciones!V$14-1))+6,1,IF(MAX(0,NETWORKDAYS.INTL(MAX(E163,(Reprogramaciones!$T$15+7*(Reprogramaciones!V$14-1))),MIN(F163,(Reprogramaciones!$T$15+7*(Reprogramaciones!V$14-1))+6),11))=0,0,MAX(0,NETWORKDAYS.INTL(MAX(E163,(Reprogramaciones!$T$15+7*(Reprogramaciones!V$14-1))),MIN(F163,Reprogramaciones!V$13),11))/MAX(0,NETWORKDAYS.INTL(MAX(E163,(Reprogramaciones!$T$15+7*(Reprogramaciones!V$14-1))),MIN(F163,(Reprogramaciones!$T$15+7*(Reprogramaciones!V$14-1))+6),11))))))))</f>
        <v/>
      </c>
      <c r="CF163" s="1" t="str">
        <f aca="false">IF(OR(NOT(AND(ISNUMBER(E163),ISNUMBER(F163))),$J$2=""),"",IF(Reprogramaciones!W$13&lt;Reprogramaciones!$T$15,0,IF(Reprogramaciones!W$14&gt;10,MIN(100,SUM($G163:$P163)),MIN(100,SUMPRODUCT((COLUMN($G163:$P163)-COLUMN($G163)+1&lt;Reprogramaciones!W$14)*$G163:$P163)+N(INDEX($G163:$P163,1,Reprogramaciones!W$14))*IF(Reprogramaciones!W$13&gt;=(Reprogramaciones!$T$15+7*(Reprogramaciones!W$14-1))+6,1,IF(MAX(0,NETWORKDAYS.INTL(MAX(E163,(Reprogramaciones!$T$15+7*(Reprogramaciones!W$14-1))),MIN(F163,(Reprogramaciones!$T$15+7*(Reprogramaciones!W$14-1))+6),11))=0,0,MAX(0,NETWORKDAYS.INTL(MAX(E163,(Reprogramaciones!$T$15+7*(Reprogramaciones!W$14-1))),MIN(F163,Reprogramaciones!W$13),11))/MAX(0,NETWORKDAYS.INTL(MAX(E163,(Reprogramaciones!$T$15+7*(Reprogramaciones!W$14-1))),MIN(F163,(Reprogramaciones!$T$15+7*(Reprogramaciones!W$14-1))+6),11))))))))</f>
        <v/>
      </c>
      <c r="CG163" s="1" t="str">
        <f aca="false">IF(OR(NOT(AND(ISNUMBER(E163),ISNUMBER(F163))),$J$2=""),"",IF(Reprogramaciones!X$13&lt;Reprogramaciones!$T$15,0,IF(Reprogramaciones!X$14&gt;10,MIN(100,SUM($G163:$P163)),MIN(100,SUMPRODUCT((COLUMN($G163:$P163)-COLUMN($G163)+1&lt;Reprogramaciones!X$14)*$G163:$P163)+N(INDEX($G163:$P163,1,Reprogramaciones!X$14))*IF(Reprogramaciones!X$13&gt;=(Reprogramaciones!$T$15+7*(Reprogramaciones!X$14-1))+6,1,IF(MAX(0,NETWORKDAYS.INTL(MAX(E163,(Reprogramaciones!$T$15+7*(Reprogramaciones!X$14-1))),MIN(F163,(Reprogramaciones!$T$15+7*(Reprogramaciones!X$14-1))+6),11))=0,0,MAX(0,NETWORKDAYS.INTL(MAX(E163,(Reprogramaciones!$T$15+7*(Reprogramaciones!X$14-1))),MIN(F163,Reprogramaciones!X$13),11))/MAX(0,NETWORKDAYS.INTL(MAX(E163,(Reprogramaciones!$T$15+7*(Reprogramaciones!X$14-1))),MIN(F163,(Reprogramaciones!$T$15+7*(Reprogramaciones!X$14-1))+6),11))))))))</f>
        <v/>
      </c>
      <c r="CH163" s="1" t="str">
        <f aca="false">IF(OR(NOT(AND(ISNUMBER(E163),ISNUMBER(F163))),$J$2=""),"",IF(Reprogramaciones!Y$13&lt;Reprogramaciones!$T$15,0,IF(Reprogramaciones!Y$14&gt;10,MIN(100,SUM($G163:$P163)),MIN(100,SUMPRODUCT((COLUMN($G163:$P163)-COLUMN($G163)+1&lt;Reprogramaciones!Y$14)*$G163:$P163)+N(INDEX($G163:$P163,1,Reprogramaciones!Y$14))*IF(Reprogramaciones!Y$13&gt;=(Reprogramaciones!$T$15+7*(Reprogramaciones!Y$14-1))+6,1,IF(MAX(0,NETWORKDAYS.INTL(MAX(E163,(Reprogramaciones!$T$15+7*(Reprogramaciones!Y$14-1))),MIN(F163,(Reprogramaciones!$T$15+7*(Reprogramaciones!Y$14-1))+6),11))=0,0,MAX(0,NETWORKDAYS.INTL(MAX(E163,(Reprogramaciones!$T$15+7*(Reprogramaciones!Y$14-1))),MIN(F163,Reprogramaciones!Y$13),11))/MAX(0,NETWORKDAYS.INTL(MAX(E163,(Reprogramaciones!$T$15+7*(Reprogramaciones!Y$14-1))),MIN(F163,(Reprogramaciones!$T$15+7*(Reprogramaciones!Y$14-1))+6),11))))))))</f>
        <v/>
      </c>
      <c r="CI163" s="1" t="str">
        <f aca="false">IF(OR(NOT(AND(ISNUMBER(E163),ISNUMBER(F163))),$J$2=""),"",IF(Reprogramaciones!Z$13&lt;Reprogramaciones!$T$15,0,IF(Reprogramaciones!Z$14&gt;10,MIN(100,SUM($G163:$P163)),MIN(100,SUMPRODUCT((COLUMN($G163:$P163)-COLUMN($G163)+1&lt;Reprogramaciones!Z$14)*$G163:$P163)+N(INDEX($G163:$P163,1,Reprogramaciones!Z$14))*IF(Reprogramaciones!Z$13&gt;=(Reprogramaciones!$T$15+7*(Reprogramaciones!Z$14-1))+6,1,IF(MAX(0,NETWORKDAYS.INTL(MAX(E163,(Reprogramaciones!$T$15+7*(Reprogramaciones!Z$14-1))),MIN(F163,(Reprogramaciones!$T$15+7*(Reprogramaciones!Z$14-1))+6),11))=0,0,MAX(0,NETWORKDAYS.INTL(MAX(E163,(Reprogramaciones!$T$15+7*(Reprogramaciones!Z$14-1))),MIN(F163,Reprogramaciones!Z$13),11))/MAX(0,NETWORKDAYS.INTL(MAX(E163,(Reprogramaciones!$T$15+7*(Reprogramaciones!Z$14-1))),MIN(F163,(Reprogramaciones!$T$15+7*(Reprogramaciones!Z$14-1))+6),11))))))))</f>
        <v/>
      </c>
      <c r="CJ163" s="1" t="str">
        <f aca="false">IF(OR(OR(NOT(AND(ISNUMBER(E163),ISNUMBER(F163))),$J$2=""),1&gt;Reprogramaciones!$K$16),"",IF(ROUND(SUM($Q163:Q163),1)&gt;=99.5,100,MIN(100,ROUND(SUM($Q163:Q163),1))))</f>
        <v/>
      </c>
      <c r="CK163" s="1" t="str">
        <f aca="false">IF(OR(OR(NOT(AND(ISNUMBER(E163),ISNUMBER(F163))),$J$2=""),2&gt;Reprogramaciones!$K$16),"",IF(ROUND(SUM($Q163:R163),1)&gt;=99.5,100,MIN(100,ROUND(SUM($Q163:R163),1))))</f>
        <v/>
      </c>
      <c r="CL163" s="1" t="str">
        <f aca="false">IF(OR(OR(NOT(AND(ISNUMBER(E163),ISNUMBER(F163))),$J$2=""),3&gt;Reprogramaciones!$K$16),"",IF(ROUND(SUM($Q163:S163),1)&gt;=99.5,100,MIN(100,ROUND(SUM($Q163:S163),1))))</f>
        <v/>
      </c>
      <c r="CM163" s="1" t="str">
        <f aca="false">IF(OR(OR(NOT(AND(ISNUMBER(E163),ISNUMBER(F163))),$J$2=""),4&gt;Reprogramaciones!$K$16),"",IF(ROUND(SUM($Q163:T163),1)&gt;=99.5,100,MIN(100,ROUND(SUM($Q163:T163),1))))</f>
        <v/>
      </c>
      <c r="CN163" s="1" t="str">
        <f aca="false">IF(OR(OR(NOT(AND(ISNUMBER(E163),ISNUMBER(F163))),$J$2=""),5&gt;Reprogramaciones!$K$16),"",IF(ROUND(SUM($Q163:U163),1)&gt;=99.5,100,MIN(100,ROUND(SUM($Q163:U163),1))))</f>
        <v/>
      </c>
      <c r="CO163" s="1" t="str">
        <f aca="false">IF(OR(OR(NOT(AND(ISNUMBER(E163),ISNUMBER(F163))),$J$2=""),6&gt;Reprogramaciones!$K$16),"",IF(ROUND(SUM($Q163:V163),1)&gt;=99.5,100,MIN(100,ROUND(SUM($Q163:V163),1))))</f>
        <v/>
      </c>
      <c r="CP163" s="1" t="str">
        <f aca="false">IF(OR(OR(NOT(AND(ISNUMBER(E163),ISNUMBER(F163))),$J$2=""),7&gt;Reprogramaciones!$K$16),"",IF(ROUND(SUM($Q163:W163),1)&gt;=99.5,100,MIN(100,ROUND(SUM($Q163:W163),1))))</f>
        <v/>
      </c>
      <c r="CQ163" s="1" t="str">
        <f aca="false">IF(OR(OR(NOT(AND(ISNUMBER(E163),ISNUMBER(F163))),$J$2=""),8&gt;Reprogramaciones!$K$16),"",IF(ROUND(SUM($Q163:X163),1)&gt;=99.5,100,MIN(100,ROUND(SUM($Q163:X163),1))))</f>
        <v/>
      </c>
      <c r="CR163" s="1" t="str">
        <f aca="false">IF(OR(OR(NOT(AND(ISNUMBER(E163),ISNUMBER(F163))),$J$2=""),9&gt;Reprogramaciones!$K$16),"",IF(ROUND(SUM($Q163:Y163),1)&gt;=99.5,100,MIN(100,ROUND(SUM($Q163:Y163),1))))</f>
        <v/>
      </c>
      <c r="CS163" s="1" t="str">
        <f aca="false">IF(OR(OR(NOT(AND(ISNUMBER(E163),ISNUMBER(F163))),$J$2=""),10&gt;Reprogramaciones!$K$16),"",IF(ROUND(SUM($Q163:Z163),1)&gt;=99.5,100,MIN(100,ROUND(SUM($Q163:Z163),1))))</f>
        <v/>
      </c>
      <c r="CT163" s="1" t="str">
        <f aca="false">IF(OR(OR(NOT(AND(ISNUMBER(E163),ISNUMBER(F163))),$J$2=""),11&gt;Reprogramaciones!$K$16),"",IF(ROUND(SUM($Q163:AA163),1)&gt;=99.5,100,MIN(100,ROUND(SUM($Q163:AA163),1))))</f>
        <v/>
      </c>
      <c r="CU163" s="1" t="str">
        <f aca="false">IF(OR(OR(NOT(AND(ISNUMBER(E163),ISNUMBER(F163))),$J$2=""),12&gt;Reprogramaciones!$K$16),"",IF(ROUND(SUM($Q163:AB163),1)&gt;=99.5,100,MIN(100,ROUND(SUM($Q163:AB163),1))))</f>
        <v/>
      </c>
      <c r="CV163" s="1" t="str">
        <f aca="false">IF(OR(OR(NOT(AND(ISNUMBER(E163),ISNUMBER(F163))),$J$2=""),13&gt;Reprogramaciones!$K$16),"",IF(ROUND(SUM($Q163:AC163),1)&gt;=99.5,100,MIN(100,ROUND(SUM($Q163:AC163),1))))</f>
        <v/>
      </c>
      <c r="CW163" s="1" t="str">
        <f aca="false">IF(OR(OR(NOT(AND(ISNUMBER(E163),ISNUMBER(F163))),$J$2=""),14&gt;Reprogramaciones!$K$16),"",IF(ROUND(SUM($Q163:AD163),1)&gt;=99.5,100,MIN(100,ROUND(SUM($Q163:AD163),1))))</f>
        <v/>
      </c>
      <c r="CX163" s="1" t="str">
        <f aca="false">IF(OR(OR(NOT(AND(ISNUMBER(E163),ISNUMBER(F163))),$J$2=""),15&gt;Reprogramaciones!$K$16),"",IF(ROUND(SUM($Q163:AE163),1)&gt;=99.5,100,MIN(100,ROUND(SUM($Q163:AE163),1))))</f>
        <v/>
      </c>
      <c r="CY163" s="1" t="str">
        <f aca="false">IF(OR(OR(NOT(AND(ISNUMBER(E163),ISNUMBER(F163))),$J$2=""),16&gt;Reprogramaciones!$K$16),"",IF(ROUND(SUM($Q163:AF163),1)&gt;=99.5,100,MIN(100,ROUND(SUM($Q163:AF163),1))))</f>
        <v/>
      </c>
      <c r="CZ163" s="1" t="str">
        <f aca="false">IF(D163&lt;&gt;"",D163,IF(B163&lt;&gt;"","Contractual",CZ162))</f>
        <v>Contractual</v>
      </c>
      <c r="DA163" s="1" t="str">
        <f aca="false">IF(OR(NOT(AND(ISNUMBER(E163),ISNUMBER(F163))),$J$2=""),"",IF(Reprogramaciones!$Q$15&lt;Reprogramaciones!$T$15,0,IF(Reprogramaciones!$S$15&gt;10,MIN(100,SUM($G163:$P163)),MIN(100,SUMPRODUCT((COLUMN($G163:$P163)-COLUMN($G163)+1&lt;Reprogramaciones!$S$15)*$G163:$P163)+N(INDEX($G163:$P163,1,Reprogramaciones!$S$15))*IF(Reprogramaciones!$Q$15&gt;=(Reprogramaciones!$T$15+7*(Reprogramaciones!$S$15-1))+6,1,IF(MAX(0,NETWORKDAYS.INTL(MAX(E163,(Reprogramaciones!$T$15+7*(Reprogramaciones!$S$15-1))),MIN(F163,(Reprogramaciones!$T$15+7*(Reprogramaciones!$S$15-1))+6),11))=0,0,MAX(0,NETWORKDAYS.INTL(MAX(E163,(Reprogramaciones!$T$15+7*(Reprogramaciones!$S$15-1))),MIN(F163,Reprogramaciones!$Q$15),11))/MAX(0,NETWORKDAYS.INTL(MAX(E163,(Reprogramaciones!$T$15+7*(Reprogramaciones!$S$15-1))),MIN(F163,(Reprogramaciones!$T$15+7*(Reprogramaciones!$S$15-1))+6),11))))))))</f>
        <v/>
      </c>
    </row>
    <row r="164" customFormat="false" ht="15" hidden="false" customHeight="false" outlineLevel="0" collapsed="false">
      <c r="A164" s="32"/>
      <c r="B164" s="33"/>
      <c r="C164" s="33"/>
      <c r="D164" s="34"/>
      <c r="E164" s="35"/>
      <c r="F164" s="35"/>
      <c r="G164" s="36" t="str">
        <f aca="false">IF(OR(NOT(AND(ISNUMBER(E164),ISNUMBER(F164))),$J$2=""),"",IF(Reprogramaciones!K$9&lt;E164,0,IF(NETWORKDAYS.INTL(E164,F164,11)=0,IF(Reprogramaciones!K$9&gt;=F164,100,0),ROUND(NETWORKDAYS.INTL(E164,MIN(F164,Reprogramaciones!K$9),11)/NETWORKDAYS.INTL(E164,F164,11)*100,1)))-0)</f>
        <v/>
      </c>
      <c r="H164" s="36" t="str">
        <f aca="false">IF(OR(NOT(AND(ISNUMBER(E164),ISNUMBER(F164))),$J$2=""),"",IF(Reprogramaciones!L$9&lt;E164,0,IF(NETWORKDAYS.INTL(E164,F164,11)=0,IF(Reprogramaciones!L$9&gt;=F164,100,0),ROUND(NETWORKDAYS.INTL(E164,MIN(F164,Reprogramaciones!L$9),11)/NETWORKDAYS.INTL(E164,F164,11)*100,1)))-IF(Reprogramaciones!K$9&lt;E164,0,IF(NETWORKDAYS.INTL(E164,F164,11)=0,IF(Reprogramaciones!K$9&gt;=F164,100,0),ROUND(NETWORKDAYS.INTL(E164,MIN(F164,Reprogramaciones!K$9),11)/NETWORKDAYS.INTL(E164,F164,11)*100,1))))</f>
        <v/>
      </c>
      <c r="I164" s="36" t="str">
        <f aca="false">IF(OR(NOT(AND(ISNUMBER(E164),ISNUMBER(F164))),$J$2=""),"",IF(Reprogramaciones!M$9&lt;E164,0,IF(NETWORKDAYS.INTL(E164,F164,11)=0,IF(Reprogramaciones!M$9&gt;=F164,100,0),ROUND(NETWORKDAYS.INTL(E164,MIN(F164,Reprogramaciones!M$9),11)/NETWORKDAYS.INTL(E164,F164,11)*100,1)))-IF(Reprogramaciones!L$9&lt;E164,0,IF(NETWORKDAYS.INTL(E164,F164,11)=0,IF(Reprogramaciones!L$9&gt;=F164,100,0),ROUND(NETWORKDAYS.INTL(E164,MIN(F164,Reprogramaciones!L$9),11)/NETWORKDAYS.INTL(E164,F164,11)*100,1))))</f>
        <v/>
      </c>
      <c r="J164" s="36" t="str">
        <f aca="false">IF(OR(NOT(AND(ISNUMBER(E164),ISNUMBER(F164))),$J$2=""),"",IF(Reprogramaciones!N$9&lt;E164,0,IF(NETWORKDAYS.INTL(E164,F164,11)=0,IF(Reprogramaciones!N$9&gt;=F164,100,0),ROUND(NETWORKDAYS.INTL(E164,MIN(F164,Reprogramaciones!N$9),11)/NETWORKDAYS.INTL(E164,F164,11)*100,1)))-IF(Reprogramaciones!M$9&lt;E164,0,IF(NETWORKDAYS.INTL(E164,F164,11)=0,IF(Reprogramaciones!M$9&gt;=F164,100,0),ROUND(NETWORKDAYS.INTL(E164,MIN(F164,Reprogramaciones!M$9),11)/NETWORKDAYS.INTL(E164,F164,11)*100,1))))</f>
        <v/>
      </c>
      <c r="K164" s="36" t="str">
        <f aca="false">IF(OR(NOT(AND(ISNUMBER(E164),ISNUMBER(F164))),$J$2=""),"",IF(Reprogramaciones!O$9&lt;E164,0,IF(NETWORKDAYS.INTL(E164,F164,11)=0,IF(Reprogramaciones!O$9&gt;=F164,100,0),ROUND(NETWORKDAYS.INTL(E164,MIN(F164,Reprogramaciones!O$9),11)/NETWORKDAYS.INTL(E164,F164,11)*100,1)))-IF(Reprogramaciones!N$9&lt;E164,0,IF(NETWORKDAYS.INTL(E164,F164,11)=0,IF(Reprogramaciones!N$9&gt;=F164,100,0),ROUND(NETWORKDAYS.INTL(E164,MIN(F164,Reprogramaciones!N$9),11)/NETWORKDAYS.INTL(E164,F164,11)*100,1))))</f>
        <v/>
      </c>
      <c r="L164" s="36" t="str">
        <f aca="false">IF(OR(NOT(AND(ISNUMBER(E164),ISNUMBER(F164))),$J$2=""),"",IF(Reprogramaciones!P$9&lt;E164,0,IF(NETWORKDAYS.INTL(E164,F164,11)=0,IF(Reprogramaciones!P$9&gt;=F164,100,0),ROUND(NETWORKDAYS.INTL(E164,MIN(F164,Reprogramaciones!P$9),11)/NETWORKDAYS.INTL(E164,F164,11)*100,1)))-IF(Reprogramaciones!O$9&lt;E164,0,IF(NETWORKDAYS.INTL(E164,F164,11)=0,IF(Reprogramaciones!O$9&gt;=F164,100,0),ROUND(NETWORKDAYS.INTL(E164,MIN(F164,Reprogramaciones!O$9),11)/NETWORKDAYS.INTL(E164,F164,11)*100,1))))</f>
        <v/>
      </c>
      <c r="M164" s="36" t="str">
        <f aca="false">IF(OR(NOT(AND(ISNUMBER(E164),ISNUMBER(F164))),$J$2=""),"",IF(Reprogramaciones!Q$9&lt;E164,0,IF(NETWORKDAYS.INTL(E164,F164,11)=0,IF(Reprogramaciones!Q$9&gt;=F164,100,0),ROUND(NETWORKDAYS.INTL(E164,MIN(F164,Reprogramaciones!Q$9),11)/NETWORKDAYS.INTL(E164,F164,11)*100,1)))-IF(Reprogramaciones!P$9&lt;E164,0,IF(NETWORKDAYS.INTL(E164,F164,11)=0,IF(Reprogramaciones!P$9&gt;=F164,100,0),ROUND(NETWORKDAYS.INTL(E164,MIN(F164,Reprogramaciones!P$9),11)/NETWORKDAYS.INTL(E164,F164,11)*100,1))))</f>
        <v/>
      </c>
      <c r="N164" s="36" t="str">
        <f aca="false">IF(OR(NOT(AND(ISNUMBER(E164),ISNUMBER(F164))),$J$2=""),"",IF(Reprogramaciones!R$9&lt;E164,0,IF(NETWORKDAYS.INTL(E164,F164,11)=0,IF(Reprogramaciones!R$9&gt;=F164,100,0),ROUND(NETWORKDAYS.INTL(E164,MIN(F164,Reprogramaciones!R$9),11)/NETWORKDAYS.INTL(E164,F164,11)*100,1)))-IF(Reprogramaciones!Q$9&lt;E164,0,IF(NETWORKDAYS.INTL(E164,F164,11)=0,IF(Reprogramaciones!Q$9&gt;=F164,100,0),ROUND(NETWORKDAYS.INTL(E164,MIN(F164,Reprogramaciones!Q$9),11)/NETWORKDAYS.INTL(E164,F164,11)*100,1))))</f>
        <v/>
      </c>
      <c r="O164" s="36" t="str">
        <f aca="false">IF(OR(NOT(AND(ISNUMBER(E164),ISNUMBER(F164))),$J$2=""),"",IF(Reprogramaciones!S$9&lt;E164,0,IF(NETWORKDAYS.INTL(E164,F164,11)=0,IF(Reprogramaciones!S$9&gt;=F164,100,0),ROUND(NETWORKDAYS.INTL(E164,MIN(F164,Reprogramaciones!S$9),11)/NETWORKDAYS.INTL(E164,F164,11)*100,1)))-IF(Reprogramaciones!R$9&lt;E164,0,IF(NETWORKDAYS.INTL(E164,F164,11)=0,IF(Reprogramaciones!R$9&gt;=F164,100,0),ROUND(NETWORKDAYS.INTL(E164,MIN(F164,Reprogramaciones!R$9),11)/NETWORKDAYS.INTL(E164,F164,11)*100,1))))</f>
        <v/>
      </c>
      <c r="P164" s="36" t="str">
        <f aca="false">IF(OR(NOT(AND(ISNUMBER(E164),ISNUMBER(F164))),$J$2=""),"",IF(Reprogramaciones!T$9&lt;E164,0,IF(NETWORKDAYS.INTL(E164,F164,11)=0,IF(Reprogramaciones!T$9&gt;=F164,100,0),ROUND(NETWORKDAYS.INTL(E164,MIN(F164,Reprogramaciones!T$9),11)/NETWORKDAYS.INTL(E164,F164,11)*100,1)))-IF(Reprogramaciones!S$9&lt;E164,0,IF(NETWORKDAYS.INTL(E164,F164,11)=0,IF(Reprogramaciones!S$9&gt;=F164,100,0),ROUND(NETWORKDAYS.INTL(E164,MIN(F164,Reprogramaciones!S$9),11)/NETWORKDAYS.INTL(E164,F164,11)*100,1))))</f>
        <v/>
      </c>
      <c r="Q164" s="37"/>
      <c r="R164" s="37"/>
      <c r="S164" s="37"/>
      <c r="T164" s="37"/>
      <c r="U164" s="37"/>
      <c r="V164" s="37"/>
      <c r="W164" s="37"/>
      <c r="X164" s="37"/>
      <c r="Y164" s="37"/>
      <c r="Z164" s="37"/>
      <c r="AA164" s="37"/>
      <c r="AB164" s="37"/>
      <c r="AC164" s="37"/>
      <c r="AD164" s="37"/>
      <c r="AE164" s="37"/>
      <c r="AF164" s="37"/>
      <c r="AG164" s="38" t="str">
        <f aca="false">IF(AND(ISNUMBER(E164),ISNUMBER(F164)),NETWORKDAYS.INTL(E164,F164,11),"")</f>
        <v/>
      </c>
      <c r="AH164" s="38" t="str">
        <f aca="false">IF(OR(NOT(AND(ISNUMBER(E164),ISNUMBER(F164))),$J$2=""),"",IF(Reprogramaciones!$P$15&lt;Reprogramaciones!$T$15,0,IF(Reprogramaciones!$R$15&gt;10,MIN(100,SUM($G164:$P164)),MIN(100,SUMPRODUCT((COLUMN($G164:$P164)-COLUMN($G164)+1&lt;Reprogramaciones!$R$15)*$G164:$P164)+N(INDEX($G164:$P164,1,Reprogramaciones!$R$15))*IF(Reprogramaciones!$P$15&gt;=(Reprogramaciones!$T$15+7*(Reprogramaciones!$R$15-1))+6,1,IF(MAX(0,NETWORKDAYS.INTL(MAX(E164,(Reprogramaciones!$T$15+7*(Reprogramaciones!$R$15-1))),MIN(F164,(Reprogramaciones!$T$15+7*(Reprogramaciones!$R$15-1))+6),11))=0,0,MAX(0,NETWORKDAYS.INTL(MAX(E164,(Reprogramaciones!$T$15+7*(Reprogramaciones!$R$15-1))),MIN(F164,Reprogramaciones!$P$15),11))/MAX(0,NETWORKDAYS.INTL(MAX(E164,(Reprogramaciones!$T$15+7*(Reprogramaciones!$R$15-1))),MIN(F164,(Reprogramaciones!$T$15+7*(Reprogramaciones!$R$15-1))+6),11))))))))</f>
        <v/>
      </c>
      <c r="AI164" s="38" t="str">
        <f aca="false">IF(COUNT($Q164:$AF164)=0,"",IF(ROUND(SUM($Q164:$AF164),1)&gt;=99.5,100,MIN(100,ROUND(SUM($Q164:$AF164),1))))</f>
        <v/>
      </c>
      <c r="AJ164" s="38" t="str">
        <f aca="false">IF(OR(AH164="",AI164=""),"",AI164-AH164)</f>
        <v/>
      </c>
      <c r="AK164" s="39" t="str">
        <f aca="true">IF(AH164="","",IF(OR(Ficha!$C$10="Suspendida",Ficha!$C$10="Cancelada"),Ficha!$C$10,IF(AND(AI164&lt;&gt;"",N(AI164)&gt;=100),"Completada",IF(AND(E164&gt;TODAY(),N(AI164)=0),"Por iniciar",IF(N(AI164)+0.5&lt;AH164,"Retrasada",IF(N(AI164)+0.5&lt;DA164,IF(Reprogramaciones!$K$15&gt;0,"Al día · Sem "&amp;Reprogramaciones!$K$15&amp;" en curso","Al día · en curso"),"A tiempo"))))))</f>
        <v/>
      </c>
      <c r="AL164" s="39" t="str">
        <f aca="true">IF(AND(A164="",AND(B164="",C164="",E164="",F164="",COUNT(Q164:AF164)=0)),"",IF(AND(B164="",C164="",E164="",F164="",COUNT(Q164:AF164)=0),"Falta la partida o subpartida",IF(AND(A164&lt;&gt;"",COUNTIF($A$6:$A$305,A164)&gt;1),"Ítem repetido",IF(AND(C164="",E164="",F164="",COUNT(Q164:AF164)=0),"Título de partida",IF(OR(E164="",F164=""),"Faltan fechas",IF(OR(ISTEXT(E164),ISTEXT(F164)),"Fecha escrita como texto: usa dd/mm/aaaa",IF(F164&lt;E164,"Fin antes del inicio",IF(IF($J$2="",FALSE(),OR(E164&lt;$J$2,F164&gt;Reprogramaciones!$T$15+69)),"Fuera de las 10 semanas",IF(ABS(SUM(G164:P164)-100)&gt;0.5,"La meta no suma 100%",IF(ROUND(SUM(Q164:AF164),1)&gt;100.5,"El avance pasa de 100%",IF(MIN(Q164:AF164)&lt;0,"Avance negativo",IF(COUNTA(Q164:AF164)&gt;COUNT(Q164:AF164),"Avance escrito como texto",IF(SUMPRODUCT((Q164:AF164&gt;0)*(Q164:AF164&lt;1))&gt;0,"Avance menor a 1: escribe 50, no 50%",IF(SUMPRODUCT(ISNUMBER(Q164:AF164)*(Reprogramaciones!$K$8:$Z$8&gt;TODAY()))&gt;0,"Avance en semana que aún no llega",IF(AND(N(Reprogramaciones!$E$21)&gt;0,F164&gt;Reprogramaciones!$E$21),"Pasa el fin de la obra: registra una reprogramación",IF(AND(N(Reprogramaciones!$E$21)&gt;0,SUMPRODUCT(ISNUMBER(Q164:AF164)*(Reprogramaciones!$K$8:$Z$8&gt;Reprogramaciones!$E$21))&gt;0),"Avance después del fin de la obra: registra una reprogramación por atraso","OK"))))))))))))))))</f>
        <v/>
      </c>
      <c r="AM164" s="40" t="str">
        <f aca="false">IF(OR(OR(NOT(AND(ISNUMBER(E164),ISNUMBER(F164))),$J$2=""),1&gt;MAX(1,Reprogramaciones!$U$15)),"",IF(Reprogramaciones!K$12&gt;=7,"",IF(OR(BT164-N(0)&gt;0.05,N(Q164)&gt;0),ROUNDDOWN(ROUND(BT164,6),0)&amp;"%"&amp;IF(CJ164="",""," / "&amp;CJ164&amp;"%"),IF(AND(N(0)&gt;=99.95,CJ164&lt;&gt;"",N(CJ164)&lt;100),"Pend. "&amp;CJ164&amp;"%",""))))</f>
        <v/>
      </c>
      <c r="AN164" s="40" t="str">
        <f aca="false">IF(OR(OR(NOT(AND(ISNUMBER(E164),ISNUMBER(F164))),$J$2=""),2&gt;MAX(1,Reprogramaciones!$U$15)),"",IF(Reprogramaciones!L$12&gt;=7,"",IF(OR(BU164-N(BT164)&gt;0.05,N(R164)&gt;0),ROUNDDOWN(ROUND(BU164,6),0)&amp;"%"&amp;IF(CK164="",""," / "&amp;CK164&amp;"%"),IF(AND(N(BT164)&gt;=99.95,CK164&lt;&gt;"",N(CK164)&lt;100),"Pend. "&amp;CK164&amp;"%",""))))</f>
        <v/>
      </c>
      <c r="AO164" s="40" t="str">
        <f aca="false">IF(OR(OR(NOT(AND(ISNUMBER(E164),ISNUMBER(F164))),$J$2=""),3&gt;MAX(1,Reprogramaciones!$U$15)),"",IF(Reprogramaciones!M$12&gt;=7,"",IF(OR(BV164-N(BU164)&gt;0.05,N(S164)&gt;0),ROUNDDOWN(ROUND(BV164,6),0)&amp;"%"&amp;IF(CL164="",""," / "&amp;CL164&amp;"%"),IF(AND(N(BU164)&gt;=99.95,CL164&lt;&gt;"",N(CL164)&lt;100),"Pend. "&amp;CL164&amp;"%",""))))</f>
        <v/>
      </c>
      <c r="AP164" s="40" t="str">
        <f aca="false">IF(OR(OR(NOT(AND(ISNUMBER(E164),ISNUMBER(F164))),$J$2=""),4&gt;MAX(1,Reprogramaciones!$U$15)),"",IF(Reprogramaciones!N$12&gt;=7,"",IF(OR(BW164-N(BV164)&gt;0.05,N(T164)&gt;0),ROUNDDOWN(ROUND(BW164,6),0)&amp;"%"&amp;IF(CM164="",""," / "&amp;CM164&amp;"%"),IF(AND(N(BV164)&gt;=99.95,CM164&lt;&gt;"",N(CM164)&lt;100),"Pend. "&amp;CM164&amp;"%",""))))</f>
        <v/>
      </c>
      <c r="AQ164" s="40" t="str">
        <f aca="false">IF(OR(OR(NOT(AND(ISNUMBER(E164),ISNUMBER(F164))),$J$2=""),5&gt;MAX(1,Reprogramaciones!$U$15)),"",IF(Reprogramaciones!O$12&gt;=7,"",IF(OR(BX164-N(BW164)&gt;0.05,N(U164)&gt;0),ROUNDDOWN(ROUND(BX164,6),0)&amp;"%"&amp;IF(CN164="",""," / "&amp;CN164&amp;"%"),IF(AND(N(BW164)&gt;=99.95,CN164&lt;&gt;"",N(CN164)&lt;100),"Pend. "&amp;CN164&amp;"%",""))))</f>
        <v/>
      </c>
      <c r="AR164" s="40" t="str">
        <f aca="false">IF(OR(OR(NOT(AND(ISNUMBER(E164),ISNUMBER(F164))),$J$2=""),6&gt;MAX(1,Reprogramaciones!$U$15)),"",IF(Reprogramaciones!P$12&gt;=7,"",IF(OR(BY164-N(BX164)&gt;0.05,N(V164)&gt;0),ROUNDDOWN(ROUND(BY164,6),0)&amp;"%"&amp;IF(CO164="",""," / "&amp;CO164&amp;"%"),IF(AND(N(BX164)&gt;=99.95,CO164&lt;&gt;"",N(CO164)&lt;100),"Pend. "&amp;CO164&amp;"%",""))))</f>
        <v/>
      </c>
      <c r="AS164" s="40" t="str">
        <f aca="false">IF(OR(OR(NOT(AND(ISNUMBER(E164),ISNUMBER(F164))),$J$2=""),7&gt;MAX(1,Reprogramaciones!$U$15)),"",IF(Reprogramaciones!Q$12&gt;=7,"",IF(OR(BZ164-N(BY164)&gt;0.05,N(W164)&gt;0),ROUNDDOWN(ROUND(BZ164,6),0)&amp;"%"&amp;IF(CP164="",""," / "&amp;CP164&amp;"%"),IF(AND(N(BY164)&gt;=99.95,CP164&lt;&gt;"",N(CP164)&lt;100),"Pend. "&amp;CP164&amp;"%",""))))</f>
        <v/>
      </c>
      <c r="AT164" s="40" t="str">
        <f aca="false">IF(OR(OR(NOT(AND(ISNUMBER(E164),ISNUMBER(F164))),$J$2=""),8&gt;MAX(1,Reprogramaciones!$U$15)),"",IF(Reprogramaciones!R$12&gt;=7,"",IF(OR(CA164-N(BZ164)&gt;0.05,N(X164)&gt;0),ROUNDDOWN(ROUND(CA164,6),0)&amp;"%"&amp;IF(CQ164="",""," / "&amp;CQ164&amp;"%"),IF(AND(N(BZ164)&gt;=99.95,CQ164&lt;&gt;"",N(CQ164)&lt;100),"Pend. "&amp;CQ164&amp;"%",""))))</f>
        <v/>
      </c>
      <c r="AU164" s="40" t="str">
        <f aca="false">IF(OR(OR(NOT(AND(ISNUMBER(E164),ISNUMBER(F164))),$J$2=""),9&gt;MAX(1,Reprogramaciones!$U$15)),"",IF(Reprogramaciones!S$12&gt;=7,"",IF(OR(CB164-N(CA164)&gt;0.05,N(Y164)&gt;0),ROUNDDOWN(ROUND(CB164,6),0)&amp;"%"&amp;IF(CR164="",""," / "&amp;CR164&amp;"%"),IF(AND(N(CA164)&gt;=99.95,CR164&lt;&gt;"",N(CR164)&lt;100),"Pend. "&amp;CR164&amp;"%",""))))</f>
        <v/>
      </c>
      <c r="AV164" s="40" t="str">
        <f aca="false">IF(OR(OR(NOT(AND(ISNUMBER(E164),ISNUMBER(F164))),$J$2=""),10&gt;MAX(1,Reprogramaciones!$U$15)),"",IF(Reprogramaciones!T$12&gt;=7,"",IF(OR(CC164-N(CB164)&gt;0.05,N(Z164)&gt;0),ROUNDDOWN(ROUND(CC164,6),0)&amp;"%"&amp;IF(CS164="",""," / "&amp;CS164&amp;"%"),IF(AND(N(CB164)&gt;=99.95,CS164&lt;&gt;"",N(CS164)&lt;100),"Pend. "&amp;CS164&amp;"%",""))))</f>
        <v/>
      </c>
      <c r="AW164" s="40" t="str">
        <f aca="false">IF(OR(OR(NOT(AND(ISNUMBER(E164),ISNUMBER(F164))),$J$2=""),11&gt;MAX(1,Reprogramaciones!$U$15)),"",IF(Reprogramaciones!U$12&gt;=7,"",IF(OR(CD164-N(CC164)&gt;0.05,N(AA164)&gt;0),ROUNDDOWN(ROUND(CD164,6),0)&amp;"%"&amp;IF(CT164="",""," / "&amp;CT164&amp;"%"),IF(AND(N(CC164)&gt;=99.95,CT164&lt;&gt;"",N(CT164)&lt;100),"Pend. "&amp;CT164&amp;"%",""))))</f>
        <v/>
      </c>
      <c r="AX164" s="40" t="str">
        <f aca="false">IF(OR(OR(NOT(AND(ISNUMBER(E164),ISNUMBER(F164))),$J$2=""),12&gt;MAX(1,Reprogramaciones!$U$15)),"",IF(Reprogramaciones!V$12&gt;=7,"",IF(OR(CE164-N(CD164)&gt;0.05,N(AB164)&gt;0),ROUNDDOWN(ROUND(CE164,6),0)&amp;"%"&amp;IF(CU164="",""," / "&amp;CU164&amp;"%"),IF(AND(N(CD164)&gt;=99.95,CU164&lt;&gt;"",N(CU164)&lt;100),"Pend. "&amp;CU164&amp;"%",""))))</f>
        <v/>
      </c>
      <c r="AY164" s="40" t="str">
        <f aca="false">IF(OR(OR(NOT(AND(ISNUMBER(E164),ISNUMBER(F164))),$J$2=""),13&gt;MAX(1,Reprogramaciones!$U$15)),"",IF(Reprogramaciones!W$12&gt;=7,"",IF(OR(CF164-N(CE164)&gt;0.05,N(AC164)&gt;0),ROUNDDOWN(ROUND(CF164,6),0)&amp;"%"&amp;IF(CV164="",""," / "&amp;CV164&amp;"%"),IF(AND(N(CE164)&gt;=99.95,CV164&lt;&gt;"",N(CV164)&lt;100),"Pend. "&amp;CV164&amp;"%",""))))</f>
        <v/>
      </c>
      <c r="AZ164" s="40" t="str">
        <f aca="false">IF(OR(OR(NOT(AND(ISNUMBER(E164),ISNUMBER(F164))),$J$2=""),14&gt;MAX(1,Reprogramaciones!$U$15)),"",IF(Reprogramaciones!X$12&gt;=7,"",IF(OR(CG164-N(CF164)&gt;0.05,N(AD164)&gt;0),ROUNDDOWN(ROUND(CG164,6),0)&amp;"%"&amp;IF(CW164="",""," / "&amp;CW164&amp;"%"),IF(AND(N(CF164)&gt;=99.95,CW164&lt;&gt;"",N(CW164)&lt;100),"Pend. "&amp;CW164&amp;"%",""))))</f>
        <v/>
      </c>
      <c r="BA164" s="40" t="str">
        <f aca="false">IF(OR(OR(NOT(AND(ISNUMBER(E164),ISNUMBER(F164))),$J$2=""),15&gt;MAX(1,Reprogramaciones!$U$15)),"",IF(Reprogramaciones!Y$12&gt;=7,"",IF(OR(CH164-N(CG164)&gt;0.05,N(AE164)&gt;0),ROUNDDOWN(ROUND(CH164,6),0)&amp;"%"&amp;IF(CX164="",""," / "&amp;CX164&amp;"%"),IF(AND(N(CG164)&gt;=99.95,CX164&lt;&gt;"",N(CX164)&lt;100),"Pend. "&amp;CX164&amp;"%",""))))</f>
        <v/>
      </c>
      <c r="BB164" s="40" t="str">
        <f aca="false">IF(OR(OR(NOT(AND(ISNUMBER(E164),ISNUMBER(F164))),$J$2=""),16&gt;MAX(1,Reprogramaciones!$U$15)),"",IF(Reprogramaciones!Z$12&gt;=7,"",IF(OR(CI164-N(CH164)&gt;0.05,N(AF164)&gt;0),ROUNDDOWN(ROUND(CI164,6),0)&amp;"%"&amp;IF(CY164="",""," / "&amp;CY164&amp;"%"),IF(AND(N(CH164)&gt;=99.95,CY164&lt;&gt;"",N(CY164)&lt;100),"Pend. "&amp;CY164&amp;"%",""))))</f>
        <v/>
      </c>
      <c r="BC164" s="31" t="n">
        <f aca="false">IF(AND(ISNUMBER(E164),ISNUMBER(F164)),MAX(1,NETWORKDAYS.INTL(E164,F164,11)),0)</f>
        <v>0</v>
      </c>
      <c r="BD164" s="1" t="str">
        <f aca="false">IF(OR(NOT(AND(ISNUMBER(E164),ISNUMBER(F164))),$J$2=""),"",MIN(100,ROUND(SUM($G164:G164),1)))</f>
        <v/>
      </c>
      <c r="BE164" s="1" t="str">
        <f aca="false">IF(OR(NOT(AND(ISNUMBER(E164),ISNUMBER(F164))),$J$2=""),"",MIN(100,ROUND(SUM($G164:H164),1)))</f>
        <v/>
      </c>
      <c r="BF164" s="1" t="str">
        <f aca="false">IF(OR(NOT(AND(ISNUMBER(E164),ISNUMBER(F164))),$J$2=""),"",MIN(100,ROUND(SUM($G164:I164),1)))</f>
        <v/>
      </c>
      <c r="BG164" s="1" t="str">
        <f aca="false">IF(OR(NOT(AND(ISNUMBER(E164),ISNUMBER(F164))),$J$2=""),"",MIN(100,ROUND(SUM($G164:J164),1)))</f>
        <v/>
      </c>
      <c r="BH164" s="1" t="str">
        <f aca="false">IF(OR(NOT(AND(ISNUMBER(E164),ISNUMBER(F164))),$J$2=""),"",MIN(100,ROUND(SUM($G164:K164),1)))</f>
        <v/>
      </c>
      <c r="BI164" s="1" t="str">
        <f aca="false">IF(OR(NOT(AND(ISNUMBER(E164),ISNUMBER(F164))),$J$2=""),"",MIN(100,ROUND(SUM($G164:L164),1)))</f>
        <v/>
      </c>
      <c r="BJ164" s="1" t="str">
        <f aca="false">IF(OR(NOT(AND(ISNUMBER(E164),ISNUMBER(F164))),$J$2=""),"",MIN(100,ROUND(SUM($G164:M164),1)))</f>
        <v/>
      </c>
      <c r="BK164" s="1" t="str">
        <f aca="false">IF(OR(NOT(AND(ISNUMBER(E164),ISNUMBER(F164))),$J$2=""),"",MIN(100,ROUND(SUM($G164:N164),1)))</f>
        <v/>
      </c>
      <c r="BL164" s="1" t="str">
        <f aca="false">IF(OR(NOT(AND(ISNUMBER(E164),ISNUMBER(F164))),$J$2=""),"",MIN(100,ROUND(SUM($G164:O164),1)))</f>
        <v/>
      </c>
      <c r="BM164" s="1" t="str">
        <f aca="false">IF(OR(NOT(AND(ISNUMBER(E164),ISNUMBER(F164))),$J$2=""),"",MIN(100,ROUND(SUM($G164:P164),1)))</f>
        <v/>
      </c>
      <c r="BN164" s="1" t="str">
        <f aca="false">IF(OR(NOT(AND(ISNUMBER(E164),ISNUMBER(F164))),$J$2=""),"",MIN(100,ROUND(SUM($G164:P164),1)))</f>
        <v/>
      </c>
      <c r="BO164" s="1" t="str">
        <f aca="false">IF(OR(NOT(AND(ISNUMBER(E164),ISNUMBER(F164))),$J$2=""),"",MIN(100,ROUND(SUM($G164:P164),1)))</f>
        <v/>
      </c>
      <c r="BP164" s="1" t="str">
        <f aca="false">IF(OR(NOT(AND(ISNUMBER(E164),ISNUMBER(F164))),$J$2=""),"",MIN(100,ROUND(SUM($G164:P164),1)))</f>
        <v/>
      </c>
      <c r="BQ164" s="1" t="str">
        <f aca="false">IF(OR(NOT(AND(ISNUMBER(E164),ISNUMBER(F164))),$J$2=""),"",MIN(100,ROUND(SUM($G164:P164),1)))</f>
        <v/>
      </c>
      <c r="BR164" s="1" t="str">
        <f aca="false">IF(OR(NOT(AND(ISNUMBER(E164),ISNUMBER(F164))),$J$2=""),"",MIN(100,ROUND(SUM($G164:P164),1)))</f>
        <v/>
      </c>
      <c r="BS164" s="1" t="str">
        <f aca="false">IF(OR(NOT(AND(ISNUMBER(E164),ISNUMBER(F164))),$J$2=""),"",MIN(100,ROUND(SUM($G164:P164),1)))</f>
        <v/>
      </c>
      <c r="BT164" s="1" t="str">
        <f aca="false">IF(OR(NOT(AND(ISNUMBER(E164),ISNUMBER(F164))),$J$2=""),"",IF(Reprogramaciones!K$13&lt;Reprogramaciones!$T$15,0,IF(Reprogramaciones!K$14&gt;10,MIN(100,SUM($G164:$P164)),MIN(100,SUMPRODUCT((COLUMN($G164:$P164)-COLUMN($G164)+1&lt;Reprogramaciones!K$14)*$G164:$P164)+N(INDEX($G164:$P164,1,Reprogramaciones!K$14))*IF(Reprogramaciones!K$13&gt;=(Reprogramaciones!$T$15+7*(Reprogramaciones!K$14-1))+6,1,IF(MAX(0,NETWORKDAYS.INTL(MAX(E164,(Reprogramaciones!$T$15+7*(Reprogramaciones!K$14-1))),MIN(F164,(Reprogramaciones!$T$15+7*(Reprogramaciones!K$14-1))+6),11))=0,0,MAX(0,NETWORKDAYS.INTL(MAX(E164,(Reprogramaciones!$T$15+7*(Reprogramaciones!K$14-1))),MIN(F164,Reprogramaciones!K$13),11))/MAX(0,NETWORKDAYS.INTL(MAX(E164,(Reprogramaciones!$T$15+7*(Reprogramaciones!K$14-1))),MIN(F164,(Reprogramaciones!$T$15+7*(Reprogramaciones!K$14-1))+6),11))))))))</f>
        <v/>
      </c>
      <c r="BU164" s="1" t="str">
        <f aca="false">IF(OR(NOT(AND(ISNUMBER(E164),ISNUMBER(F164))),$J$2=""),"",IF(Reprogramaciones!L$13&lt;Reprogramaciones!$T$15,0,IF(Reprogramaciones!L$14&gt;10,MIN(100,SUM($G164:$P164)),MIN(100,SUMPRODUCT((COLUMN($G164:$P164)-COLUMN($G164)+1&lt;Reprogramaciones!L$14)*$G164:$P164)+N(INDEX($G164:$P164,1,Reprogramaciones!L$14))*IF(Reprogramaciones!L$13&gt;=(Reprogramaciones!$T$15+7*(Reprogramaciones!L$14-1))+6,1,IF(MAX(0,NETWORKDAYS.INTL(MAX(E164,(Reprogramaciones!$T$15+7*(Reprogramaciones!L$14-1))),MIN(F164,(Reprogramaciones!$T$15+7*(Reprogramaciones!L$14-1))+6),11))=0,0,MAX(0,NETWORKDAYS.INTL(MAX(E164,(Reprogramaciones!$T$15+7*(Reprogramaciones!L$14-1))),MIN(F164,Reprogramaciones!L$13),11))/MAX(0,NETWORKDAYS.INTL(MAX(E164,(Reprogramaciones!$T$15+7*(Reprogramaciones!L$14-1))),MIN(F164,(Reprogramaciones!$T$15+7*(Reprogramaciones!L$14-1))+6),11))))))))</f>
        <v/>
      </c>
      <c r="BV164" s="1" t="str">
        <f aca="false">IF(OR(NOT(AND(ISNUMBER(E164),ISNUMBER(F164))),$J$2=""),"",IF(Reprogramaciones!M$13&lt;Reprogramaciones!$T$15,0,IF(Reprogramaciones!M$14&gt;10,MIN(100,SUM($G164:$P164)),MIN(100,SUMPRODUCT((COLUMN($G164:$P164)-COLUMN($G164)+1&lt;Reprogramaciones!M$14)*$G164:$P164)+N(INDEX($G164:$P164,1,Reprogramaciones!M$14))*IF(Reprogramaciones!M$13&gt;=(Reprogramaciones!$T$15+7*(Reprogramaciones!M$14-1))+6,1,IF(MAX(0,NETWORKDAYS.INTL(MAX(E164,(Reprogramaciones!$T$15+7*(Reprogramaciones!M$14-1))),MIN(F164,(Reprogramaciones!$T$15+7*(Reprogramaciones!M$14-1))+6),11))=0,0,MAX(0,NETWORKDAYS.INTL(MAX(E164,(Reprogramaciones!$T$15+7*(Reprogramaciones!M$14-1))),MIN(F164,Reprogramaciones!M$13),11))/MAX(0,NETWORKDAYS.INTL(MAX(E164,(Reprogramaciones!$T$15+7*(Reprogramaciones!M$14-1))),MIN(F164,(Reprogramaciones!$T$15+7*(Reprogramaciones!M$14-1))+6),11))))))))</f>
        <v/>
      </c>
      <c r="BW164" s="1" t="str">
        <f aca="false">IF(OR(NOT(AND(ISNUMBER(E164),ISNUMBER(F164))),$J$2=""),"",IF(Reprogramaciones!N$13&lt;Reprogramaciones!$T$15,0,IF(Reprogramaciones!N$14&gt;10,MIN(100,SUM($G164:$P164)),MIN(100,SUMPRODUCT((COLUMN($G164:$P164)-COLUMN($G164)+1&lt;Reprogramaciones!N$14)*$G164:$P164)+N(INDEX($G164:$P164,1,Reprogramaciones!N$14))*IF(Reprogramaciones!N$13&gt;=(Reprogramaciones!$T$15+7*(Reprogramaciones!N$14-1))+6,1,IF(MAX(0,NETWORKDAYS.INTL(MAX(E164,(Reprogramaciones!$T$15+7*(Reprogramaciones!N$14-1))),MIN(F164,(Reprogramaciones!$T$15+7*(Reprogramaciones!N$14-1))+6),11))=0,0,MAX(0,NETWORKDAYS.INTL(MAX(E164,(Reprogramaciones!$T$15+7*(Reprogramaciones!N$14-1))),MIN(F164,Reprogramaciones!N$13),11))/MAX(0,NETWORKDAYS.INTL(MAX(E164,(Reprogramaciones!$T$15+7*(Reprogramaciones!N$14-1))),MIN(F164,(Reprogramaciones!$T$15+7*(Reprogramaciones!N$14-1))+6),11))))))))</f>
        <v/>
      </c>
      <c r="BX164" s="1" t="str">
        <f aca="false">IF(OR(NOT(AND(ISNUMBER(E164),ISNUMBER(F164))),$J$2=""),"",IF(Reprogramaciones!O$13&lt;Reprogramaciones!$T$15,0,IF(Reprogramaciones!O$14&gt;10,MIN(100,SUM($G164:$P164)),MIN(100,SUMPRODUCT((COLUMN($G164:$P164)-COLUMN($G164)+1&lt;Reprogramaciones!O$14)*$G164:$P164)+N(INDEX($G164:$P164,1,Reprogramaciones!O$14))*IF(Reprogramaciones!O$13&gt;=(Reprogramaciones!$T$15+7*(Reprogramaciones!O$14-1))+6,1,IF(MAX(0,NETWORKDAYS.INTL(MAX(E164,(Reprogramaciones!$T$15+7*(Reprogramaciones!O$14-1))),MIN(F164,(Reprogramaciones!$T$15+7*(Reprogramaciones!O$14-1))+6),11))=0,0,MAX(0,NETWORKDAYS.INTL(MAX(E164,(Reprogramaciones!$T$15+7*(Reprogramaciones!O$14-1))),MIN(F164,Reprogramaciones!O$13),11))/MAX(0,NETWORKDAYS.INTL(MAX(E164,(Reprogramaciones!$T$15+7*(Reprogramaciones!O$14-1))),MIN(F164,(Reprogramaciones!$T$15+7*(Reprogramaciones!O$14-1))+6),11))))))))</f>
        <v/>
      </c>
      <c r="BY164" s="1" t="str">
        <f aca="false">IF(OR(NOT(AND(ISNUMBER(E164),ISNUMBER(F164))),$J$2=""),"",IF(Reprogramaciones!P$13&lt;Reprogramaciones!$T$15,0,IF(Reprogramaciones!P$14&gt;10,MIN(100,SUM($G164:$P164)),MIN(100,SUMPRODUCT((COLUMN($G164:$P164)-COLUMN($G164)+1&lt;Reprogramaciones!P$14)*$G164:$P164)+N(INDEX($G164:$P164,1,Reprogramaciones!P$14))*IF(Reprogramaciones!P$13&gt;=(Reprogramaciones!$T$15+7*(Reprogramaciones!P$14-1))+6,1,IF(MAX(0,NETWORKDAYS.INTL(MAX(E164,(Reprogramaciones!$T$15+7*(Reprogramaciones!P$14-1))),MIN(F164,(Reprogramaciones!$T$15+7*(Reprogramaciones!P$14-1))+6),11))=0,0,MAX(0,NETWORKDAYS.INTL(MAX(E164,(Reprogramaciones!$T$15+7*(Reprogramaciones!P$14-1))),MIN(F164,Reprogramaciones!P$13),11))/MAX(0,NETWORKDAYS.INTL(MAX(E164,(Reprogramaciones!$T$15+7*(Reprogramaciones!P$14-1))),MIN(F164,(Reprogramaciones!$T$15+7*(Reprogramaciones!P$14-1))+6),11))))))))</f>
        <v/>
      </c>
      <c r="BZ164" s="1" t="str">
        <f aca="false">IF(OR(NOT(AND(ISNUMBER(E164),ISNUMBER(F164))),$J$2=""),"",IF(Reprogramaciones!Q$13&lt;Reprogramaciones!$T$15,0,IF(Reprogramaciones!Q$14&gt;10,MIN(100,SUM($G164:$P164)),MIN(100,SUMPRODUCT((COLUMN($G164:$P164)-COLUMN($G164)+1&lt;Reprogramaciones!Q$14)*$G164:$P164)+N(INDEX($G164:$P164,1,Reprogramaciones!Q$14))*IF(Reprogramaciones!Q$13&gt;=(Reprogramaciones!$T$15+7*(Reprogramaciones!Q$14-1))+6,1,IF(MAX(0,NETWORKDAYS.INTL(MAX(E164,(Reprogramaciones!$T$15+7*(Reprogramaciones!Q$14-1))),MIN(F164,(Reprogramaciones!$T$15+7*(Reprogramaciones!Q$14-1))+6),11))=0,0,MAX(0,NETWORKDAYS.INTL(MAX(E164,(Reprogramaciones!$T$15+7*(Reprogramaciones!Q$14-1))),MIN(F164,Reprogramaciones!Q$13),11))/MAX(0,NETWORKDAYS.INTL(MAX(E164,(Reprogramaciones!$T$15+7*(Reprogramaciones!Q$14-1))),MIN(F164,(Reprogramaciones!$T$15+7*(Reprogramaciones!Q$14-1))+6),11))))))))</f>
        <v/>
      </c>
      <c r="CA164" s="1" t="str">
        <f aca="false">IF(OR(NOT(AND(ISNUMBER(E164),ISNUMBER(F164))),$J$2=""),"",IF(Reprogramaciones!R$13&lt;Reprogramaciones!$T$15,0,IF(Reprogramaciones!R$14&gt;10,MIN(100,SUM($G164:$P164)),MIN(100,SUMPRODUCT((COLUMN($G164:$P164)-COLUMN($G164)+1&lt;Reprogramaciones!R$14)*$G164:$P164)+N(INDEX($G164:$P164,1,Reprogramaciones!R$14))*IF(Reprogramaciones!R$13&gt;=(Reprogramaciones!$T$15+7*(Reprogramaciones!R$14-1))+6,1,IF(MAX(0,NETWORKDAYS.INTL(MAX(E164,(Reprogramaciones!$T$15+7*(Reprogramaciones!R$14-1))),MIN(F164,(Reprogramaciones!$T$15+7*(Reprogramaciones!R$14-1))+6),11))=0,0,MAX(0,NETWORKDAYS.INTL(MAX(E164,(Reprogramaciones!$T$15+7*(Reprogramaciones!R$14-1))),MIN(F164,Reprogramaciones!R$13),11))/MAX(0,NETWORKDAYS.INTL(MAX(E164,(Reprogramaciones!$T$15+7*(Reprogramaciones!R$14-1))),MIN(F164,(Reprogramaciones!$T$15+7*(Reprogramaciones!R$14-1))+6),11))))))))</f>
        <v/>
      </c>
      <c r="CB164" s="1" t="str">
        <f aca="false">IF(OR(NOT(AND(ISNUMBER(E164),ISNUMBER(F164))),$J$2=""),"",IF(Reprogramaciones!S$13&lt;Reprogramaciones!$T$15,0,IF(Reprogramaciones!S$14&gt;10,MIN(100,SUM($G164:$P164)),MIN(100,SUMPRODUCT((COLUMN($G164:$P164)-COLUMN($G164)+1&lt;Reprogramaciones!S$14)*$G164:$P164)+N(INDEX($G164:$P164,1,Reprogramaciones!S$14))*IF(Reprogramaciones!S$13&gt;=(Reprogramaciones!$T$15+7*(Reprogramaciones!S$14-1))+6,1,IF(MAX(0,NETWORKDAYS.INTL(MAX(E164,(Reprogramaciones!$T$15+7*(Reprogramaciones!S$14-1))),MIN(F164,(Reprogramaciones!$T$15+7*(Reprogramaciones!S$14-1))+6),11))=0,0,MAX(0,NETWORKDAYS.INTL(MAX(E164,(Reprogramaciones!$T$15+7*(Reprogramaciones!S$14-1))),MIN(F164,Reprogramaciones!S$13),11))/MAX(0,NETWORKDAYS.INTL(MAX(E164,(Reprogramaciones!$T$15+7*(Reprogramaciones!S$14-1))),MIN(F164,(Reprogramaciones!$T$15+7*(Reprogramaciones!S$14-1))+6),11))))))))</f>
        <v/>
      </c>
      <c r="CC164" s="1" t="str">
        <f aca="false">IF(OR(NOT(AND(ISNUMBER(E164),ISNUMBER(F164))),$J$2=""),"",IF(Reprogramaciones!T$13&lt;Reprogramaciones!$T$15,0,IF(Reprogramaciones!T$14&gt;10,MIN(100,SUM($G164:$P164)),MIN(100,SUMPRODUCT((COLUMN($G164:$P164)-COLUMN($G164)+1&lt;Reprogramaciones!T$14)*$G164:$P164)+N(INDEX($G164:$P164,1,Reprogramaciones!T$14))*IF(Reprogramaciones!T$13&gt;=(Reprogramaciones!$T$15+7*(Reprogramaciones!T$14-1))+6,1,IF(MAX(0,NETWORKDAYS.INTL(MAX(E164,(Reprogramaciones!$T$15+7*(Reprogramaciones!T$14-1))),MIN(F164,(Reprogramaciones!$T$15+7*(Reprogramaciones!T$14-1))+6),11))=0,0,MAX(0,NETWORKDAYS.INTL(MAX(E164,(Reprogramaciones!$T$15+7*(Reprogramaciones!T$14-1))),MIN(F164,Reprogramaciones!T$13),11))/MAX(0,NETWORKDAYS.INTL(MAX(E164,(Reprogramaciones!$T$15+7*(Reprogramaciones!T$14-1))),MIN(F164,(Reprogramaciones!$T$15+7*(Reprogramaciones!T$14-1))+6),11))))))))</f>
        <v/>
      </c>
      <c r="CD164" s="1" t="str">
        <f aca="false">IF(OR(NOT(AND(ISNUMBER(E164),ISNUMBER(F164))),$J$2=""),"",IF(Reprogramaciones!U$13&lt;Reprogramaciones!$T$15,0,IF(Reprogramaciones!U$14&gt;10,MIN(100,SUM($G164:$P164)),MIN(100,SUMPRODUCT((COLUMN($G164:$P164)-COLUMN($G164)+1&lt;Reprogramaciones!U$14)*$G164:$P164)+N(INDEX($G164:$P164,1,Reprogramaciones!U$14))*IF(Reprogramaciones!U$13&gt;=(Reprogramaciones!$T$15+7*(Reprogramaciones!U$14-1))+6,1,IF(MAX(0,NETWORKDAYS.INTL(MAX(E164,(Reprogramaciones!$T$15+7*(Reprogramaciones!U$14-1))),MIN(F164,(Reprogramaciones!$T$15+7*(Reprogramaciones!U$14-1))+6),11))=0,0,MAX(0,NETWORKDAYS.INTL(MAX(E164,(Reprogramaciones!$T$15+7*(Reprogramaciones!U$14-1))),MIN(F164,Reprogramaciones!U$13),11))/MAX(0,NETWORKDAYS.INTL(MAX(E164,(Reprogramaciones!$T$15+7*(Reprogramaciones!U$14-1))),MIN(F164,(Reprogramaciones!$T$15+7*(Reprogramaciones!U$14-1))+6),11))))))))</f>
        <v/>
      </c>
      <c r="CE164" s="1" t="str">
        <f aca="false">IF(OR(NOT(AND(ISNUMBER(E164),ISNUMBER(F164))),$J$2=""),"",IF(Reprogramaciones!V$13&lt;Reprogramaciones!$T$15,0,IF(Reprogramaciones!V$14&gt;10,MIN(100,SUM($G164:$P164)),MIN(100,SUMPRODUCT((COLUMN($G164:$P164)-COLUMN($G164)+1&lt;Reprogramaciones!V$14)*$G164:$P164)+N(INDEX($G164:$P164,1,Reprogramaciones!V$14))*IF(Reprogramaciones!V$13&gt;=(Reprogramaciones!$T$15+7*(Reprogramaciones!V$14-1))+6,1,IF(MAX(0,NETWORKDAYS.INTL(MAX(E164,(Reprogramaciones!$T$15+7*(Reprogramaciones!V$14-1))),MIN(F164,(Reprogramaciones!$T$15+7*(Reprogramaciones!V$14-1))+6),11))=0,0,MAX(0,NETWORKDAYS.INTL(MAX(E164,(Reprogramaciones!$T$15+7*(Reprogramaciones!V$14-1))),MIN(F164,Reprogramaciones!V$13),11))/MAX(0,NETWORKDAYS.INTL(MAX(E164,(Reprogramaciones!$T$15+7*(Reprogramaciones!V$14-1))),MIN(F164,(Reprogramaciones!$T$15+7*(Reprogramaciones!V$14-1))+6),11))))))))</f>
        <v/>
      </c>
      <c r="CF164" s="1" t="str">
        <f aca="false">IF(OR(NOT(AND(ISNUMBER(E164),ISNUMBER(F164))),$J$2=""),"",IF(Reprogramaciones!W$13&lt;Reprogramaciones!$T$15,0,IF(Reprogramaciones!W$14&gt;10,MIN(100,SUM($G164:$P164)),MIN(100,SUMPRODUCT((COLUMN($G164:$P164)-COLUMN($G164)+1&lt;Reprogramaciones!W$14)*$G164:$P164)+N(INDEX($G164:$P164,1,Reprogramaciones!W$14))*IF(Reprogramaciones!W$13&gt;=(Reprogramaciones!$T$15+7*(Reprogramaciones!W$14-1))+6,1,IF(MAX(0,NETWORKDAYS.INTL(MAX(E164,(Reprogramaciones!$T$15+7*(Reprogramaciones!W$14-1))),MIN(F164,(Reprogramaciones!$T$15+7*(Reprogramaciones!W$14-1))+6),11))=0,0,MAX(0,NETWORKDAYS.INTL(MAX(E164,(Reprogramaciones!$T$15+7*(Reprogramaciones!W$14-1))),MIN(F164,Reprogramaciones!W$13),11))/MAX(0,NETWORKDAYS.INTL(MAX(E164,(Reprogramaciones!$T$15+7*(Reprogramaciones!W$14-1))),MIN(F164,(Reprogramaciones!$T$15+7*(Reprogramaciones!W$14-1))+6),11))))))))</f>
        <v/>
      </c>
      <c r="CG164" s="1" t="str">
        <f aca="false">IF(OR(NOT(AND(ISNUMBER(E164),ISNUMBER(F164))),$J$2=""),"",IF(Reprogramaciones!X$13&lt;Reprogramaciones!$T$15,0,IF(Reprogramaciones!X$14&gt;10,MIN(100,SUM($G164:$P164)),MIN(100,SUMPRODUCT((COLUMN($G164:$P164)-COLUMN($G164)+1&lt;Reprogramaciones!X$14)*$G164:$P164)+N(INDEX($G164:$P164,1,Reprogramaciones!X$14))*IF(Reprogramaciones!X$13&gt;=(Reprogramaciones!$T$15+7*(Reprogramaciones!X$14-1))+6,1,IF(MAX(0,NETWORKDAYS.INTL(MAX(E164,(Reprogramaciones!$T$15+7*(Reprogramaciones!X$14-1))),MIN(F164,(Reprogramaciones!$T$15+7*(Reprogramaciones!X$14-1))+6),11))=0,0,MAX(0,NETWORKDAYS.INTL(MAX(E164,(Reprogramaciones!$T$15+7*(Reprogramaciones!X$14-1))),MIN(F164,Reprogramaciones!X$13),11))/MAX(0,NETWORKDAYS.INTL(MAX(E164,(Reprogramaciones!$T$15+7*(Reprogramaciones!X$14-1))),MIN(F164,(Reprogramaciones!$T$15+7*(Reprogramaciones!X$14-1))+6),11))))))))</f>
        <v/>
      </c>
      <c r="CH164" s="1" t="str">
        <f aca="false">IF(OR(NOT(AND(ISNUMBER(E164),ISNUMBER(F164))),$J$2=""),"",IF(Reprogramaciones!Y$13&lt;Reprogramaciones!$T$15,0,IF(Reprogramaciones!Y$14&gt;10,MIN(100,SUM($G164:$P164)),MIN(100,SUMPRODUCT((COLUMN($G164:$P164)-COLUMN($G164)+1&lt;Reprogramaciones!Y$14)*$G164:$P164)+N(INDEX($G164:$P164,1,Reprogramaciones!Y$14))*IF(Reprogramaciones!Y$13&gt;=(Reprogramaciones!$T$15+7*(Reprogramaciones!Y$14-1))+6,1,IF(MAX(0,NETWORKDAYS.INTL(MAX(E164,(Reprogramaciones!$T$15+7*(Reprogramaciones!Y$14-1))),MIN(F164,(Reprogramaciones!$T$15+7*(Reprogramaciones!Y$14-1))+6),11))=0,0,MAX(0,NETWORKDAYS.INTL(MAX(E164,(Reprogramaciones!$T$15+7*(Reprogramaciones!Y$14-1))),MIN(F164,Reprogramaciones!Y$13),11))/MAX(0,NETWORKDAYS.INTL(MAX(E164,(Reprogramaciones!$T$15+7*(Reprogramaciones!Y$14-1))),MIN(F164,(Reprogramaciones!$T$15+7*(Reprogramaciones!Y$14-1))+6),11))))))))</f>
        <v/>
      </c>
      <c r="CI164" s="1" t="str">
        <f aca="false">IF(OR(NOT(AND(ISNUMBER(E164),ISNUMBER(F164))),$J$2=""),"",IF(Reprogramaciones!Z$13&lt;Reprogramaciones!$T$15,0,IF(Reprogramaciones!Z$14&gt;10,MIN(100,SUM($G164:$P164)),MIN(100,SUMPRODUCT((COLUMN($G164:$P164)-COLUMN($G164)+1&lt;Reprogramaciones!Z$14)*$G164:$P164)+N(INDEX($G164:$P164,1,Reprogramaciones!Z$14))*IF(Reprogramaciones!Z$13&gt;=(Reprogramaciones!$T$15+7*(Reprogramaciones!Z$14-1))+6,1,IF(MAX(0,NETWORKDAYS.INTL(MAX(E164,(Reprogramaciones!$T$15+7*(Reprogramaciones!Z$14-1))),MIN(F164,(Reprogramaciones!$T$15+7*(Reprogramaciones!Z$14-1))+6),11))=0,0,MAX(0,NETWORKDAYS.INTL(MAX(E164,(Reprogramaciones!$T$15+7*(Reprogramaciones!Z$14-1))),MIN(F164,Reprogramaciones!Z$13),11))/MAX(0,NETWORKDAYS.INTL(MAX(E164,(Reprogramaciones!$T$15+7*(Reprogramaciones!Z$14-1))),MIN(F164,(Reprogramaciones!$T$15+7*(Reprogramaciones!Z$14-1))+6),11))))))))</f>
        <v/>
      </c>
      <c r="CJ164" s="1" t="str">
        <f aca="false">IF(OR(OR(NOT(AND(ISNUMBER(E164),ISNUMBER(F164))),$J$2=""),1&gt;Reprogramaciones!$K$16),"",IF(ROUND(SUM($Q164:Q164),1)&gt;=99.5,100,MIN(100,ROUND(SUM($Q164:Q164),1))))</f>
        <v/>
      </c>
      <c r="CK164" s="1" t="str">
        <f aca="false">IF(OR(OR(NOT(AND(ISNUMBER(E164),ISNUMBER(F164))),$J$2=""),2&gt;Reprogramaciones!$K$16),"",IF(ROUND(SUM($Q164:R164),1)&gt;=99.5,100,MIN(100,ROUND(SUM($Q164:R164),1))))</f>
        <v/>
      </c>
      <c r="CL164" s="1" t="str">
        <f aca="false">IF(OR(OR(NOT(AND(ISNUMBER(E164),ISNUMBER(F164))),$J$2=""),3&gt;Reprogramaciones!$K$16),"",IF(ROUND(SUM($Q164:S164),1)&gt;=99.5,100,MIN(100,ROUND(SUM($Q164:S164),1))))</f>
        <v/>
      </c>
      <c r="CM164" s="1" t="str">
        <f aca="false">IF(OR(OR(NOT(AND(ISNUMBER(E164),ISNUMBER(F164))),$J$2=""),4&gt;Reprogramaciones!$K$16),"",IF(ROUND(SUM($Q164:T164),1)&gt;=99.5,100,MIN(100,ROUND(SUM($Q164:T164),1))))</f>
        <v/>
      </c>
      <c r="CN164" s="1" t="str">
        <f aca="false">IF(OR(OR(NOT(AND(ISNUMBER(E164),ISNUMBER(F164))),$J$2=""),5&gt;Reprogramaciones!$K$16),"",IF(ROUND(SUM($Q164:U164),1)&gt;=99.5,100,MIN(100,ROUND(SUM($Q164:U164),1))))</f>
        <v/>
      </c>
      <c r="CO164" s="1" t="str">
        <f aca="false">IF(OR(OR(NOT(AND(ISNUMBER(E164),ISNUMBER(F164))),$J$2=""),6&gt;Reprogramaciones!$K$16),"",IF(ROUND(SUM($Q164:V164),1)&gt;=99.5,100,MIN(100,ROUND(SUM($Q164:V164),1))))</f>
        <v/>
      </c>
      <c r="CP164" s="1" t="str">
        <f aca="false">IF(OR(OR(NOT(AND(ISNUMBER(E164),ISNUMBER(F164))),$J$2=""),7&gt;Reprogramaciones!$K$16),"",IF(ROUND(SUM($Q164:W164),1)&gt;=99.5,100,MIN(100,ROUND(SUM($Q164:W164),1))))</f>
        <v/>
      </c>
      <c r="CQ164" s="1" t="str">
        <f aca="false">IF(OR(OR(NOT(AND(ISNUMBER(E164),ISNUMBER(F164))),$J$2=""),8&gt;Reprogramaciones!$K$16),"",IF(ROUND(SUM($Q164:X164),1)&gt;=99.5,100,MIN(100,ROUND(SUM($Q164:X164),1))))</f>
        <v/>
      </c>
      <c r="CR164" s="1" t="str">
        <f aca="false">IF(OR(OR(NOT(AND(ISNUMBER(E164),ISNUMBER(F164))),$J$2=""),9&gt;Reprogramaciones!$K$16),"",IF(ROUND(SUM($Q164:Y164),1)&gt;=99.5,100,MIN(100,ROUND(SUM($Q164:Y164),1))))</f>
        <v/>
      </c>
      <c r="CS164" s="1" t="str">
        <f aca="false">IF(OR(OR(NOT(AND(ISNUMBER(E164),ISNUMBER(F164))),$J$2=""),10&gt;Reprogramaciones!$K$16),"",IF(ROUND(SUM($Q164:Z164),1)&gt;=99.5,100,MIN(100,ROUND(SUM($Q164:Z164),1))))</f>
        <v/>
      </c>
      <c r="CT164" s="1" t="str">
        <f aca="false">IF(OR(OR(NOT(AND(ISNUMBER(E164),ISNUMBER(F164))),$J$2=""),11&gt;Reprogramaciones!$K$16),"",IF(ROUND(SUM($Q164:AA164),1)&gt;=99.5,100,MIN(100,ROUND(SUM($Q164:AA164),1))))</f>
        <v/>
      </c>
      <c r="CU164" s="1" t="str">
        <f aca="false">IF(OR(OR(NOT(AND(ISNUMBER(E164),ISNUMBER(F164))),$J$2=""),12&gt;Reprogramaciones!$K$16),"",IF(ROUND(SUM($Q164:AB164),1)&gt;=99.5,100,MIN(100,ROUND(SUM($Q164:AB164),1))))</f>
        <v/>
      </c>
      <c r="CV164" s="1" t="str">
        <f aca="false">IF(OR(OR(NOT(AND(ISNUMBER(E164),ISNUMBER(F164))),$J$2=""),13&gt;Reprogramaciones!$K$16),"",IF(ROUND(SUM($Q164:AC164),1)&gt;=99.5,100,MIN(100,ROUND(SUM($Q164:AC164),1))))</f>
        <v/>
      </c>
      <c r="CW164" s="1" t="str">
        <f aca="false">IF(OR(OR(NOT(AND(ISNUMBER(E164),ISNUMBER(F164))),$J$2=""),14&gt;Reprogramaciones!$K$16),"",IF(ROUND(SUM($Q164:AD164),1)&gt;=99.5,100,MIN(100,ROUND(SUM($Q164:AD164),1))))</f>
        <v/>
      </c>
      <c r="CX164" s="1" t="str">
        <f aca="false">IF(OR(OR(NOT(AND(ISNUMBER(E164),ISNUMBER(F164))),$J$2=""),15&gt;Reprogramaciones!$K$16),"",IF(ROUND(SUM($Q164:AE164),1)&gt;=99.5,100,MIN(100,ROUND(SUM($Q164:AE164),1))))</f>
        <v/>
      </c>
      <c r="CY164" s="1" t="str">
        <f aca="false">IF(OR(OR(NOT(AND(ISNUMBER(E164),ISNUMBER(F164))),$J$2=""),16&gt;Reprogramaciones!$K$16),"",IF(ROUND(SUM($Q164:AF164),1)&gt;=99.5,100,MIN(100,ROUND(SUM($Q164:AF164),1))))</f>
        <v/>
      </c>
      <c r="CZ164" s="1" t="str">
        <f aca="false">IF(D164&lt;&gt;"",D164,IF(B164&lt;&gt;"","Contractual",CZ163))</f>
        <v>Contractual</v>
      </c>
      <c r="DA164" s="1" t="str">
        <f aca="false">IF(OR(NOT(AND(ISNUMBER(E164),ISNUMBER(F164))),$J$2=""),"",IF(Reprogramaciones!$Q$15&lt;Reprogramaciones!$T$15,0,IF(Reprogramaciones!$S$15&gt;10,MIN(100,SUM($G164:$P164)),MIN(100,SUMPRODUCT((COLUMN($G164:$P164)-COLUMN($G164)+1&lt;Reprogramaciones!$S$15)*$G164:$P164)+N(INDEX($G164:$P164,1,Reprogramaciones!$S$15))*IF(Reprogramaciones!$Q$15&gt;=(Reprogramaciones!$T$15+7*(Reprogramaciones!$S$15-1))+6,1,IF(MAX(0,NETWORKDAYS.INTL(MAX(E164,(Reprogramaciones!$T$15+7*(Reprogramaciones!$S$15-1))),MIN(F164,(Reprogramaciones!$T$15+7*(Reprogramaciones!$S$15-1))+6),11))=0,0,MAX(0,NETWORKDAYS.INTL(MAX(E164,(Reprogramaciones!$T$15+7*(Reprogramaciones!$S$15-1))),MIN(F164,Reprogramaciones!$Q$15),11))/MAX(0,NETWORKDAYS.INTL(MAX(E164,(Reprogramaciones!$T$15+7*(Reprogramaciones!$S$15-1))),MIN(F164,(Reprogramaciones!$T$15+7*(Reprogramaciones!$S$15-1))+6),11))))))))</f>
        <v/>
      </c>
    </row>
    <row r="165" customFormat="false" ht="15" hidden="false" customHeight="false" outlineLevel="0" collapsed="false">
      <c r="A165" s="32"/>
      <c r="B165" s="33"/>
      <c r="C165" s="33"/>
      <c r="D165" s="34"/>
      <c r="E165" s="35"/>
      <c r="F165" s="35"/>
      <c r="G165" s="36" t="str">
        <f aca="false">IF(OR(NOT(AND(ISNUMBER(E165),ISNUMBER(F165))),$J$2=""),"",IF(Reprogramaciones!K$9&lt;E165,0,IF(NETWORKDAYS.INTL(E165,F165,11)=0,IF(Reprogramaciones!K$9&gt;=F165,100,0),ROUND(NETWORKDAYS.INTL(E165,MIN(F165,Reprogramaciones!K$9),11)/NETWORKDAYS.INTL(E165,F165,11)*100,1)))-0)</f>
        <v/>
      </c>
      <c r="H165" s="36" t="str">
        <f aca="false">IF(OR(NOT(AND(ISNUMBER(E165),ISNUMBER(F165))),$J$2=""),"",IF(Reprogramaciones!L$9&lt;E165,0,IF(NETWORKDAYS.INTL(E165,F165,11)=0,IF(Reprogramaciones!L$9&gt;=F165,100,0),ROUND(NETWORKDAYS.INTL(E165,MIN(F165,Reprogramaciones!L$9),11)/NETWORKDAYS.INTL(E165,F165,11)*100,1)))-IF(Reprogramaciones!K$9&lt;E165,0,IF(NETWORKDAYS.INTL(E165,F165,11)=0,IF(Reprogramaciones!K$9&gt;=F165,100,0),ROUND(NETWORKDAYS.INTL(E165,MIN(F165,Reprogramaciones!K$9),11)/NETWORKDAYS.INTL(E165,F165,11)*100,1))))</f>
        <v/>
      </c>
      <c r="I165" s="36" t="str">
        <f aca="false">IF(OR(NOT(AND(ISNUMBER(E165),ISNUMBER(F165))),$J$2=""),"",IF(Reprogramaciones!M$9&lt;E165,0,IF(NETWORKDAYS.INTL(E165,F165,11)=0,IF(Reprogramaciones!M$9&gt;=F165,100,0),ROUND(NETWORKDAYS.INTL(E165,MIN(F165,Reprogramaciones!M$9),11)/NETWORKDAYS.INTL(E165,F165,11)*100,1)))-IF(Reprogramaciones!L$9&lt;E165,0,IF(NETWORKDAYS.INTL(E165,F165,11)=0,IF(Reprogramaciones!L$9&gt;=F165,100,0),ROUND(NETWORKDAYS.INTL(E165,MIN(F165,Reprogramaciones!L$9),11)/NETWORKDAYS.INTL(E165,F165,11)*100,1))))</f>
        <v/>
      </c>
      <c r="J165" s="36" t="str">
        <f aca="false">IF(OR(NOT(AND(ISNUMBER(E165),ISNUMBER(F165))),$J$2=""),"",IF(Reprogramaciones!N$9&lt;E165,0,IF(NETWORKDAYS.INTL(E165,F165,11)=0,IF(Reprogramaciones!N$9&gt;=F165,100,0),ROUND(NETWORKDAYS.INTL(E165,MIN(F165,Reprogramaciones!N$9),11)/NETWORKDAYS.INTL(E165,F165,11)*100,1)))-IF(Reprogramaciones!M$9&lt;E165,0,IF(NETWORKDAYS.INTL(E165,F165,11)=0,IF(Reprogramaciones!M$9&gt;=F165,100,0),ROUND(NETWORKDAYS.INTL(E165,MIN(F165,Reprogramaciones!M$9),11)/NETWORKDAYS.INTL(E165,F165,11)*100,1))))</f>
        <v/>
      </c>
      <c r="K165" s="36" t="str">
        <f aca="false">IF(OR(NOT(AND(ISNUMBER(E165),ISNUMBER(F165))),$J$2=""),"",IF(Reprogramaciones!O$9&lt;E165,0,IF(NETWORKDAYS.INTL(E165,F165,11)=0,IF(Reprogramaciones!O$9&gt;=F165,100,0),ROUND(NETWORKDAYS.INTL(E165,MIN(F165,Reprogramaciones!O$9),11)/NETWORKDAYS.INTL(E165,F165,11)*100,1)))-IF(Reprogramaciones!N$9&lt;E165,0,IF(NETWORKDAYS.INTL(E165,F165,11)=0,IF(Reprogramaciones!N$9&gt;=F165,100,0),ROUND(NETWORKDAYS.INTL(E165,MIN(F165,Reprogramaciones!N$9),11)/NETWORKDAYS.INTL(E165,F165,11)*100,1))))</f>
        <v/>
      </c>
      <c r="L165" s="36" t="str">
        <f aca="false">IF(OR(NOT(AND(ISNUMBER(E165),ISNUMBER(F165))),$J$2=""),"",IF(Reprogramaciones!P$9&lt;E165,0,IF(NETWORKDAYS.INTL(E165,F165,11)=0,IF(Reprogramaciones!P$9&gt;=F165,100,0),ROUND(NETWORKDAYS.INTL(E165,MIN(F165,Reprogramaciones!P$9),11)/NETWORKDAYS.INTL(E165,F165,11)*100,1)))-IF(Reprogramaciones!O$9&lt;E165,0,IF(NETWORKDAYS.INTL(E165,F165,11)=0,IF(Reprogramaciones!O$9&gt;=F165,100,0),ROUND(NETWORKDAYS.INTL(E165,MIN(F165,Reprogramaciones!O$9),11)/NETWORKDAYS.INTL(E165,F165,11)*100,1))))</f>
        <v/>
      </c>
      <c r="M165" s="36" t="str">
        <f aca="false">IF(OR(NOT(AND(ISNUMBER(E165),ISNUMBER(F165))),$J$2=""),"",IF(Reprogramaciones!Q$9&lt;E165,0,IF(NETWORKDAYS.INTL(E165,F165,11)=0,IF(Reprogramaciones!Q$9&gt;=F165,100,0),ROUND(NETWORKDAYS.INTL(E165,MIN(F165,Reprogramaciones!Q$9),11)/NETWORKDAYS.INTL(E165,F165,11)*100,1)))-IF(Reprogramaciones!P$9&lt;E165,0,IF(NETWORKDAYS.INTL(E165,F165,11)=0,IF(Reprogramaciones!P$9&gt;=F165,100,0),ROUND(NETWORKDAYS.INTL(E165,MIN(F165,Reprogramaciones!P$9),11)/NETWORKDAYS.INTL(E165,F165,11)*100,1))))</f>
        <v/>
      </c>
      <c r="N165" s="36" t="str">
        <f aca="false">IF(OR(NOT(AND(ISNUMBER(E165),ISNUMBER(F165))),$J$2=""),"",IF(Reprogramaciones!R$9&lt;E165,0,IF(NETWORKDAYS.INTL(E165,F165,11)=0,IF(Reprogramaciones!R$9&gt;=F165,100,0),ROUND(NETWORKDAYS.INTL(E165,MIN(F165,Reprogramaciones!R$9),11)/NETWORKDAYS.INTL(E165,F165,11)*100,1)))-IF(Reprogramaciones!Q$9&lt;E165,0,IF(NETWORKDAYS.INTL(E165,F165,11)=0,IF(Reprogramaciones!Q$9&gt;=F165,100,0),ROUND(NETWORKDAYS.INTL(E165,MIN(F165,Reprogramaciones!Q$9),11)/NETWORKDAYS.INTL(E165,F165,11)*100,1))))</f>
        <v/>
      </c>
      <c r="O165" s="36" t="str">
        <f aca="false">IF(OR(NOT(AND(ISNUMBER(E165),ISNUMBER(F165))),$J$2=""),"",IF(Reprogramaciones!S$9&lt;E165,0,IF(NETWORKDAYS.INTL(E165,F165,11)=0,IF(Reprogramaciones!S$9&gt;=F165,100,0),ROUND(NETWORKDAYS.INTL(E165,MIN(F165,Reprogramaciones!S$9),11)/NETWORKDAYS.INTL(E165,F165,11)*100,1)))-IF(Reprogramaciones!R$9&lt;E165,0,IF(NETWORKDAYS.INTL(E165,F165,11)=0,IF(Reprogramaciones!R$9&gt;=F165,100,0),ROUND(NETWORKDAYS.INTL(E165,MIN(F165,Reprogramaciones!R$9),11)/NETWORKDAYS.INTL(E165,F165,11)*100,1))))</f>
        <v/>
      </c>
      <c r="P165" s="36" t="str">
        <f aca="false">IF(OR(NOT(AND(ISNUMBER(E165),ISNUMBER(F165))),$J$2=""),"",IF(Reprogramaciones!T$9&lt;E165,0,IF(NETWORKDAYS.INTL(E165,F165,11)=0,IF(Reprogramaciones!T$9&gt;=F165,100,0),ROUND(NETWORKDAYS.INTL(E165,MIN(F165,Reprogramaciones!T$9),11)/NETWORKDAYS.INTL(E165,F165,11)*100,1)))-IF(Reprogramaciones!S$9&lt;E165,0,IF(NETWORKDAYS.INTL(E165,F165,11)=0,IF(Reprogramaciones!S$9&gt;=F165,100,0),ROUND(NETWORKDAYS.INTL(E165,MIN(F165,Reprogramaciones!S$9),11)/NETWORKDAYS.INTL(E165,F165,11)*100,1))))</f>
        <v/>
      </c>
      <c r="Q165" s="37"/>
      <c r="R165" s="37"/>
      <c r="S165" s="37"/>
      <c r="T165" s="37"/>
      <c r="U165" s="37"/>
      <c r="V165" s="37"/>
      <c r="W165" s="37"/>
      <c r="X165" s="37"/>
      <c r="Y165" s="37"/>
      <c r="Z165" s="37"/>
      <c r="AA165" s="37"/>
      <c r="AB165" s="37"/>
      <c r="AC165" s="37"/>
      <c r="AD165" s="37"/>
      <c r="AE165" s="37"/>
      <c r="AF165" s="37"/>
      <c r="AG165" s="38" t="str">
        <f aca="false">IF(AND(ISNUMBER(E165),ISNUMBER(F165)),NETWORKDAYS.INTL(E165,F165,11),"")</f>
        <v/>
      </c>
      <c r="AH165" s="38" t="str">
        <f aca="false">IF(OR(NOT(AND(ISNUMBER(E165),ISNUMBER(F165))),$J$2=""),"",IF(Reprogramaciones!$P$15&lt;Reprogramaciones!$T$15,0,IF(Reprogramaciones!$R$15&gt;10,MIN(100,SUM($G165:$P165)),MIN(100,SUMPRODUCT((COLUMN($G165:$P165)-COLUMN($G165)+1&lt;Reprogramaciones!$R$15)*$G165:$P165)+N(INDEX($G165:$P165,1,Reprogramaciones!$R$15))*IF(Reprogramaciones!$P$15&gt;=(Reprogramaciones!$T$15+7*(Reprogramaciones!$R$15-1))+6,1,IF(MAX(0,NETWORKDAYS.INTL(MAX(E165,(Reprogramaciones!$T$15+7*(Reprogramaciones!$R$15-1))),MIN(F165,(Reprogramaciones!$T$15+7*(Reprogramaciones!$R$15-1))+6),11))=0,0,MAX(0,NETWORKDAYS.INTL(MAX(E165,(Reprogramaciones!$T$15+7*(Reprogramaciones!$R$15-1))),MIN(F165,Reprogramaciones!$P$15),11))/MAX(0,NETWORKDAYS.INTL(MAX(E165,(Reprogramaciones!$T$15+7*(Reprogramaciones!$R$15-1))),MIN(F165,(Reprogramaciones!$T$15+7*(Reprogramaciones!$R$15-1))+6),11))))))))</f>
        <v/>
      </c>
      <c r="AI165" s="38" t="str">
        <f aca="false">IF(COUNT($Q165:$AF165)=0,"",IF(ROUND(SUM($Q165:$AF165),1)&gt;=99.5,100,MIN(100,ROUND(SUM($Q165:$AF165),1))))</f>
        <v/>
      </c>
      <c r="AJ165" s="38" t="str">
        <f aca="false">IF(OR(AH165="",AI165=""),"",AI165-AH165)</f>
        <v/>
      </c>
      <c r="AK165" s="39" t="str">
        <f aca="true">IF(AH165="","",IF(OR(Ficha!$C$10="Suspendida",Ficha!$C$10="Cancelada"),Ficha!$C$10,IF(AND(AI165&lt;&gt;"",N(AI165)&gt;=100),"Completada",IF(AND(E165&gt;TODAY(),N(AI165)=0),"Por iniciar",IF(N(AI165)+0.5&lt;AH165,"Retrasada",IF(N(AI165)+0.5&lt;DA165,IF(Reprogramaciones!$K$15&gt;0,"Al día · Sem "&amp;Reprogramaciones!$K$15&amp;" en curso","Al día · en curso"),"A tiempo"))))))</f>
        <v/>
      </c>
      <c r="AL165" s="39" t="str">
        <f aca="true">IF(AND(A165="",AND(B165="",C165="",E165="",F165="",COUNT(Q165:AF165)=0)),"",IF(AND(B165="",C165="",E165="",F165="",COUNT(Q165:AF165)=0),"Falta la partida o subpartida",IF(AND(A165&lt;&gt;"",COUNTIF($A$6:$A$305,A165)&gt;1),"Ítem repetido",IF(AND(C165="",E165="",F165="",COUNT(Q165:AF165)=0),"Título de partida",IF(OR(E165="",F165=""),"Faltan fechas",IF(OR(ISTEXT(E165),ISTEXT(F165)),"Fecha escrita como texto: usa dd/mm/aaaa",IF(F165&lt;E165,"Fin antes del inicio",IF(IF($J$2="",FALSE(),OR(E165&lt;$J$2,F165&gt;Reprogramaciones!$T$15+69)),"Fuera de las 10 semanas",IF(ABS(SUM(G165:P165)-100)&gt;0.5,"La meta no suma 100%",IF(ROUND(SUM(Q165:AF165),1)&gt;100.5,"El avance pasa de 100%",IF(MIN(Q165:AF165)&lt;0,"Avance negativo",IF(COUNTA(Q165:AF165)&gt;COUNT(Q165:AF165),"Avance escrito como texto",IF(SUMPRODUCT((Q165:AF165&gt;0)*(Q165:AF165&lt;1))&gt;0,"Avance menor a 1: escribe 50, no 50%",IF(SUMPRODUCT(ISNUMBER(Q165:AF165)*(Reprogramaciones!$K$8:$Z$8&gt;TODAY()))&gt;0,"Avance en semana que aún no llega",IF(AND(N(Reprogramaciones!$E$21)&gt;0,F165&gt;Reprogramaciones!$E$21),"Pasa el fin de la obra: registra una reprogramación",IF(AND(N(Reprogramaciones!$E$21)&gt;0,SUMPRODUCT(ISNUMBER(Q165:AF165)*(Reprogramaciones!$K$8:$Z$8&gt;Reprogramaciones!$E$21))&gt;0),"Avance después del fin de la obra: registra una reprogramación por atraso","OK"))))))))))))))))</f>
        <v/>
      </c>
      <c r="AM165" s="40" t="str">
        <f aca="false">IF(OR(OR(NOT(AND(ISNUMBER(E165),ISNUMBER(F165))),$J$2=""),1&gt;MAX(1,Reprogramaciones!$U$15)),"",IF(Reprogramaciones!K$12&gt;=7,"",IF(OR(BT165-N(0)&gt;0.05,N(Q165)&gt;0),ROUNDDOWN(ROUND(BT165,6),0)&amp;"%"&amp;IF(CJ165="",""," / "&amp;CJ165&amp;"%"),IF(AND(N(0)&gt;=99.95,CJ165&lt;&gt;"",N(CJ165)&lt;100),"Pend. "&amp;CJ165&amp;"%",""))))</f>
        <v/>
      </c>
      <c r="AN165" s="40" t="str">
        <f aca="false">IF(OR(OR(NOT(AND(ISNUMBER(E165),ISNUMBER(F165))),$J$2=""),2&gt;MAX(1,Reprogramaciones!$U$15)),"",IF(Reprogramaciones!L$12&gt;=7,"",IF(OR(BU165-N(BT165)&gt;0.05,N(R165)&gt;0),ROUNDDOWN(ROUND(BU165,6),0)&amp;"%"&amp;IF(CK165="",""," / "&amp;CK165&amp;"%"),IF(AND(N(BT165)&gt;=99.95,CK165&lt;&gt;"",N(CK165)&lt;100),"Pend. "&amp;CK165&amp;"%",""))))</f>
        <v/>
      </c>
      <c r="AO165" s="40" t="str">
        <f aca="false">IF(OR(OR(NOT(AND(ISNUMBER(E165),ISNUMBER(F165))),$J$2=""),3&gt;MAX(1,Reprogramaciones!$U$15)),"",IF(Reprogramaciones!M$12&gt;=7,"",IF(OR(BV165-N(BU165)&gt;0.05,N(S165)&gt;0),ROUNDDOWN(ROUND(BV165,6),0)&amp;"%"&amp;IF(CL165="",""," / "&amp;CL165&amp;"%"),IF(AND(N(BU165)&gt;=99.95,CL165&lt;&gt;"",N(CL165)&lt;100),"Pend. "&amp;CL165&amp;"%",""))))</f>
        <v/>
      </c>
      <c r="AP165" s="40" t="str">
        <f aca="false">IF(OR(OR(NOT(AND(ISNUMBER(E165),ISNUMBER(F165))),$J$2=""),4&gt;MAX(1,Reprogramaciones!$U$15)),"",IF(Reprogramaciones!N$12&gt;=7,"",IF(OR(BW165-N(BV165)&gt;0.05,N(T165)&gt;0),ROUNDDOWN(ROUND(BW165,6),0)&amp;"%"&amp;IF(CM165="",""," / "&amp;CM165&amp;"%"),IF(AND(N(BV165)&gt;=99.95,CM165&lt;&gt;"",N(CM165)&lt;100),"Pend. "&amp;CM165&amp;"%",""))))</f>
        <v/>
      </c>
      <c r="AQ165" s="40" t="str">
        <f aca="false">IF(OR(OR(NOT(AND(ISNUMBER(E165),ISNUMBER(F165))),$J$2=""),5&gt;MAX(1,Reprogramaciones!$U$15)),"",IF(Reprogramaciones!O$12&gt;=7,"",IF(OR(BX165-N(BW165)&gt;0.05,N(U165)&gt;0),ROUNDDOWN(ROUND(BX165,6),0)&amp;"%"&amp;IF(CN165="",""," / "&amp;CN165&amp;"%"),IF(AND(N(BW165)&gt;=99.95,CN165&lt;&gt;"",N(CN165)&lt;100),"Pend. "&amp;CN165&amp;"%",""))))</f>
        <v/>
      </c>
      <c r="AR165" s="40" t="str">
        <f aca="false">IF(OR(OR(NOT(AND(ISNUMBER(E165),ISNUMBER(F165))),$J$2=""),6&gt;MAX(1,Reprogramaciones!$U$15)),"",IF(Reprogramaciones!P$12&gt;=7,"",IF(OR(BY165-N(BX165)&gt;0.05,N(V165)&gt;0),ROUNDDOWN(ROUND(BY165,6),0)&amp;"%"&amp;IF(CO165="",""," / "&amp;CO165&amp;"%"),IF(AND(N(BX165)&gt;=99.95,CO165&lt;&gt;"",N(CO165)&lt;100),"Pend. "&amp;CO165&amp;"%",""))))</f>
        <v/>
      </c>
      <c r="AS165" s="40" t="str">
        <f aca="false">IF(OR(OR(NOT(AND(ISNUMBER(E165),ISNUMBER(F165))),$J$2=""),7&gt;MAX(1,Reprogramaciones!$U$15)),"",IF(Reprogramaciones!Q$12&gt;=7,"",IF(OR(BZ165-N(BY165)&gt;0.05,N(W165)&gt;0),ROUNDDOWN(ROUND(BZ165,6),0)&amp;"%"&amp;IF(CP165="",""," / "&amp;CP165&amp;"%"),IF(AND(N(BY165)&gt;=99.95,CP165&lt;&gt;"",N(CP165)&lt;100),"Pend. "&amp;CP165&amp;"%",""))))</f>
        <v/>
      </c>
      <c r="AT165" s="40" t="str">
        <f aca="false">IF(OR(OR(NOT(AND(ISNUMBER(E165),ISNUMBER(F165))),$J$2=""),8&gt;MAX(1,Reprogramaciones!$U$15)),"",IF(Reprogramaciones!R$12&gt;=7,"",IF(OR(CA165-N(BZ165)&gt;0.05,N(X165)&gt;0),ROUNDDOWN(ROUND(CA165,6),0)&amp;"%"&amp;IF(CQ165="",""," / "&amp;CQ165&amp;"%"),IF(AND(N(BZ165)&gt;=99.95,CQ165&lt;&gt;"",N(CQ165)&lt;100),"Pend. "&amp;CQ165&amp;"%",""))))</f>
        <v/>
      </c>
      <c r="AU165" s="40" t="str">
        <f aca="false">IF(OR(OR(NOT(AND(ISNUMBER(E165),ISNUMBER(F165))),$J$2=""),9&gt;MAX(1,Reprogramaciones!$U$15)),"",IF(Reprogramaciones!S$12&gt;=7,"",IF(OR(CB165-N(CA165)&gt;0.05,N(Y165)&gt;0),ROUNDDOWN(ROUND(CB165,6),0)&amp;"%"&amp;IF(CR165="",""," / "&amp;CR165&amp;"%"),IF(AND(N(CA165)&gt;=99.95,CR165&lt;&gt;"",N(CR165)&lt;100),"Pend. "&amp;CR165&amp;"%",""))))</f>
        <v/>
      </c>
      <c r="AV165" s="40" t="str">
        <f aca="false">IF(OR(OR(NOT(AND(ISNUMBER(E165),ISNUMBER(F165))),$J$2=""),10&gt;MAX(1,Reprogramaciones!$U$15)),"",IF(Reprogramaciones!T$12&gt;=7,"",IF(OR(CC165-N(CB165)&gt;0.05,N(Z165)&gt;0),ROUNDDOWN(ROUND(CC165,6),0)&amp;"%"&amp;IF(CS165="",""," / "&amp;CS165&amp;"%"),IF(AND(N(CB165)&gt;=99.95,CS165&lt;&gt;"",N(CS165)&lt;100),"Pend. "&amp;CS165&amp;"%",""))))</f>
        <v/>
      </c>
      <c r="AW165" s="40" t="str">
        <f aca="false">IF(OR(OR(NOT(AND(ISNUMBER(E165),ISNUMBER(F165))),$J$2=""),11&gt;MAX(1,Reprogramaciones!$U$15)),"",IF(Reprogramaciones!U$12&gt;=7,"",IF(OR(CD165-N(CC165)&gt;0.05,N(AA165)&gt;0),ROUNDDOWN(ROUND(CD165,6),0)&amp;"%"&amp;IF(CT165="",""," / "&amp;CT165&amp;"%"),IF(AND(N(CC165)&gt;=99.95,CT165&lt;&gt;"",N(CT165)&lt;100),"Pend. "&amp;CT165&amp;"%",""))))</f>
        <v/>
      </c>
      <c r="AX165" s="40" t="str">
        <f aca="false">IF(OR(OR(NOT(AND(ISNUMBER(E165),ISNUMBER(F165))),$J$2=""),12&gt;MAX(1,Reprogramaciones!$U$15)),"",IF(Reprogramaciones!V$12&gt;=7,"",IF(OR(CE165-N(CD165)&gt;0.05,N(AB165)&gt;0),ROUNDDOWN(ROUND(CE165,6),0)&amp;"%"&amp;IF(CU165="",""," / "&amp;CU165&amp;"%"),IF(AND(N(CD165)&gt;=99.95,CU165&lt;&gt;"",N(CU165)&lt;100),"Pend. "&amp;CU165&amp;"%",""))))</f>
        <v/>
      </c>
      <c r="AY165" s="40" t="str">
        <f aca="false">IF(OR(OR(NOT(AND(ISNUMBER(E165),ISNUMBER(F165))),$J$2=""),13&gt;MAX(1,Reprogramaciones!$U$15)),"",IF(Reprogramaciones!W$12&gt;=7,"",IF(OR(CF165-N(CE165)&gt;0.05,N(AC165)&gt;0),ROUNDDOWN(ROUND(CF165,6),0)&amp;"%"&amp;IF(CV165="",""," / "&amp;CV165&amp;"%"),IF(AND(N(CE165)&gt;=99.95,CV165&lt;&gt;"",N(CV165)&lt;100),"Pend. "&amp;CV165&amp;"%",""))))</f>
        <v/>
      </c>
      <c r="AZ165" s="40" t="str">
        <f aca="false">IF(OR(OR(NOT(AND(ISNUMBER(E165),ISNUMBER(F165))),$J$2=""),14&gt;MAX(1,Reprogramaciones!$U$15)),"",IF(Reprogramaciones!X$12&gt;=7,"",IF(OR(CG165-N(CF165)&gt;0.05,N(AD165)&gt;0),ROUNDDOWN(ROUND(CG165,6),0)&amp;"%"&amp;IF(CW165="",""," / "&amp;CW165&amp;"%"),IF(AND(N(CF165)&gt;=99.95,CW165&lt;&gt;"",N(CW165)&lt;100),"Pend. "&amp;CW165&amp;"%",""))))</f>
        <v/>
      </c>
      <c r="BA165" s="40" t="str">
        <f aca="false">IF(OR(OR(NOT(AND(ISNUMBER(E165),ISNUMBER(F165))),$J$2=""),15&gt;MAX(1,Reprogramaciones!$U$15)),"",IF(Reprogramaciones!Y$12&gt;=7,"",IF(OR(CH165-N(CG165)&gt;0.05,N(AE165)&gt;0),ROUNDDOWN(ROUND(CH165,6),0)&amp;"%"&amp;IF(CX165="",""," / "&amp;CX165&amp;"%"),IF(AND(N(CG165)&gt;=99.95,CX165&lt;&gt;"",N(CX165)&lt;100),"Pend. "&amp;CX165&amp;"%",""))))</f>
        <v/>
      </c>
      <c r="BB165" s="40" t="str">
        <f aca="false">IF(OR(OR(NOT(AND(ISNUMBER(E165),ISNUMBER(F165))),$J$2=""),16&gt;MAX(1,Reprogramaciones!$U$15)),"",IF(Reprogramaciones!Z$12&gt;=7,"",IF(OR(CI165-N(CH165)&gt;0.05,N(AF165)&gt;0),ROUNDDOWN(ROUND(CI165,6),0)&amp;"%"&amp;IF(CY165="",""," / "&amp;CY165&amp;"%"),IF(AND(N(CH165)&gt;=99.95,CY165&lt;&gt;"",N(CY165)&lt;100),"Pend. "&amp;CY165&amp;"%",""))))</f>
        <v/>
      </c>
      <c r="BC165" s="31" t="n">
        <f aca="false">IF(AND(ISNUMBER(E165),ISNUMBER(F165)),MAX(1,NETWORKDAYS.INTL(E165,F165,11)),0)</f>
        <v>0</v>
      </c>
      <c r="BD165" s="1" t="str">
        <f aca="false">IF(OR(NOT(AND(ISNUMBER(E165),ISNUMBER(F165))),$J$2=""),"",MIN(100,ROUND(SUM($G165:G165),1)))</f>
        <v/>
      </c>
      <c r="BE165" s="1" t="str">
        <f aca="false">IF(OR(NOT(AND(ISNUMBER(E165),ISNUMBER(F165))),$J$2=""),"",MIN(100,ROUND(SUM($G165:H165),1)))</f>
        <v/>
      </c>
      <c r="BF165" s="1" t="str">
        <f aca="false">IF(OR(NOT(AND(ISNUMBER(E165),ISNUMBER(F165))),$J$2=""),"",MIN(100,ROUND(SUM($G165:I165),1)))</f>
        <v/>
      </c>
      <c r="BG165" s="1" t="str">
        <f aca="false">IF(OR(NOT(AND(ISNUMBER(E165),ISNUMBER(F165))),$J$2=""),"",MIN(100,ROUND(SUM($G165:J165),1)))</f>
        <v/>
      </c>
      <c r="BH165" s="1" t="str">
        <f aca="false">IF(OR(NOT(AND(ISNUMBER(E165),ISNUMBER(F165))),$J$2=""),"",MIN(100,ROUND(SUM($G165:K165),1)))</f>
        <v/>
      </c>
      <c r="BI165" s="1" t="str">
        <f aca="false">IF(OR(NOT(AND(ISNUMBER(E165),ISNUMBER(F165))),$J$2=""),"",MIN(100,ROUND(SUM($G165:L165),1)))</f>
        <v/>
      </c>
      <c r="BJ165" s="1" t="str">
        <f aca="false">IF(OR(NOT(AND(ISNUMBER(E165),ISNUMBER(F165))),$J$2=""),"",MIN(100,ROUND(SUM($G165:M165),1)))</f>
        <v/>
      </c>
      <c r="BK165" s="1" t="str">
        <f aca="false">IF(OR(NOT(AND(ISNUMBER(E165),ISNUMBER(F165))),$J$2=""),"",MIN(100,ROUND(SUM($G165:N165),1)))</f>
        <v/>
      </c>
      <c r="BL165" s="1" t="str">
        <f aca="false">IF(OR(NOT(AND(ISNUMBER(E165),ISNUMBER(F165))),$J$2=""),"",MIN(100,ROUND(SUM($G165:O165),1)))</f>
        <v/>
      </c>
      <c r="BM165" s="1" t="str">
        <f aca="false">IF(OR(NOT(AND(ISNUMBER(E165),ISNUMBER(F165))),$J$2=""),"",MIN(100,ROUND(SUM($G165:P165),1)))</f>
        <v/>
      </c>
      <c r="BN165" s="1" t="str">
        <f aca="false">IF(OR(NOT(AND(ISNUMBER(E165),ISNUMBER(F165))),$J$2=""),"",MIN(100,ROUND(SUM($G165:P165),1)))</f>
        <v/>
      </c>
      <c r="BO165" s="1" t="str">
        <f aca="false">IF(OR(NOT(AND(ISNUMBER(E165),ISNUMBER(F165))),$J$2=""),"",MIN(100,ROUND(SUM($G165:P165),1)))</f>
        <v/>
      </c>
      <c r="BP165" s="1" t="str">
        <f aca="false">IF(OR(NOT(AND(ISNUMBER(E165),ISNUMBER(F165))),$J$2=""),"",MIN(100,ROUND(SUM($G165:P165),1)))</f>
        <v/>
      </c>
      <c r="BQ165" s="1" t="str">
        <f aca="false">IF(OR(NOT(AND(ISNUMBER(E165),ISNUMBER(F165))),$J$2=""),"",MIN(100,ROUND(SUM($G165:P165),1)))</f>
        <v/>
      </c>
      <c r="BR165" s="1" t="str">
        <f aca="false">IF(OR(NOT(AND(ISNUMBER(E165),ISNUMBER(F165))),$J$2=""),"",MIN(100,ROUND(SUM($G165:P165),1)))</f>
        <v/>
      </c>
      <c r="BS165" s="1" t="str">
        <f aca="false">IF(OR(NOT(AND(ISNUMBER(E165),ISNUMBER(F165))),$J$2=""),"",MIN(100,ROUND(SUM($G165:P165),1)))</f>
        <v/>
      </c>
      <c r="BT165" s="1" t="str">
        <f aca="false">IF(OR(NOT(AND(ISNUMBER(E165),ISNUMBER(F165))),$J$2=""),"",IF(Reprogramaciones!K$13&lt;Reprogramaciones!$T$15,0,IF(Reprogramaciones!K$14&gt;10,MIN(100,SUM($G165:$P165)),MIN(100,SUMPRODUCT((COLUMN($G165:$P165)-COLUMN($G165)+1&lt;Reprogramaciones!K$14)*$G165:$P165)+N(INDEX($G165:$P165,1,Reprogramaciones!K$14))*IF(Reprogramaciones!K$13&gt;=(Reprogramaciones!$T$15+7*(Reprogramaciones!K$14-1))+6,1,IF(MAX(0,NETWORKDAYS.INTL(MAX(E165,(Reprogramaciones!$T$15+7*(Reprogramaciones!K$14-1))),MIN(F165,(Reprogramaciones!$T$15+7*(Reprogramaciones!K$14-1))+6),11))=0,0,MAX(0,NETWORKDAYS.INTL(MAX(E165,(Reprogramaciones!$T$15+7*(Reprogramaciones!K$14-1))),MIN(F165,Reprogramaciones!K$13),11))/MAX(0,NETWORKDAYS.INTL(MAX(E165,(Reprogramaciones!$T$15+7*(Reprogramaciones!K$14-1))),MIN(F165,(Reprogramaciones!$T$15+7*(Reprogramaciones!K$14-1))+6),11))))))))</f>
        <v/>
      </c>
      <c r="BU165" s="1" t="str">
        <f aca="false">IF(OR(NOT(AND(ISNUMBER(E165),ISNUMBER(F165))),$J$2=""),"",IF(Reprogramaciones!L$13&lt;Reprogramaciones!$T$15,0,IF(Reprogramaciones!L$14&gt;10,MIN(100,SUM($G165:$P165)),MIN(100,SUMPRODUCT((COLUMN($G165:$P165)-COLUMN($G165)+1&lt;Reprogramaciones!L$14)*$G165:$P165)+N(INDEX($G165:$P165,1,Reprogramaciones!L$14))*IF(Reprogramaciones!L$13&gt;=(Reprogramaciones!$T$15+7*(Reprogramaciones!L$14-1))+6,1,IF(MAX(0,NETWORKDAYS.INTL(MAX(E165,(Reprogramaciones!$T$15+7*(Reprogramaciones!L$14-1))),MIN(F165,(Reprogramaciones!$T$15+7*(Reprogramaciones!L$14-1))+6),11))=0,0,MAX(0,NETWORKDAYS.INTL(MAX(E165,(Reprogramaciones!$T$15+7*(Reprogramaciones!L$14-1))),MIN(F165,Reprogramaciones!L$13),11))/MAX(0,NETWORKDAYS.INTL(MAX(E165,(Reprogramaciones!$T$15+7*(Reprogramaciones!L$14-1))),MIN(F165,(Reprogramaciones!$T$15+7*(Reprogramaciones!L$14-1))+6),11))))))))</f>
        <v/>
      </c>
      <c r="BV165" s="1" t="str">
        <f aca="false">IF(OR(NOT(AND(ISNUMBER(E165),ISNUMBER(F165))),$J$2=""),"",IF(Reprogramaciones!M$13&lt;Reprogramaciones!$T$15,0,IF(Reprogramaciones!M$14&gt;10,MIN(100,SUM($G165:$P165)),MIN(100,SUMPRODUCT((COLUMN($G165:$P165)-COLUMN($G165)+1&lt;Reprogramaciones!M$14)*$G165:$P165)+N(INDEX($G165:$P165,1,Reprogramaciones!M$14))*IF(Reprogramaciones!M$13&gt;=(Reprogramaciones!$T$15+7*(Reprogramaciones!M$14-1))+6,1,IF(MAX(0,NETWORKDAYS.INTL(MAX(E165,(Reprogramaciones!$T$15+7*(Reprogramaciones!M$14-1))),MIN(F165,(Reprogramaciones!$T$15+7*(Reprogramaciones!M$14-1))+6),11))=0,0,MAX(0,NETWORKDAYS.INTL(MAX(E165,(Reprogramaciones!$T$15+7*(Reprogramaciones!M$14-1))),MIN(F165,Reprogramaciones!M$13),11))/MAX(0,NETWORKDAYS.INTL(MAX(E165,(Reprogramaciones!$T$15+7*(Reprogramaciones!M$14-1))),MIN(F165,(Reprogramaciones!$T$15+7*(Reprogramaciones!M$14-1))+6),11))))))))</f>
        <v/>
      </c>
      <c r="BW165" s="1" t="str">
        <f aca="false">IF(OR(NOT(AND(ISNUMBER(E165),ISNUMBER(F165))),$J$2=""),"",IF(Reprogramaciones!N$13&lt;Reprogramaciones!$T$15,0,IF(Reprogramaciones!N$14&gt;10,MIN(100,SUM($G165:$P165)),MIN(100,SUMPRODUCT((COLUMN($G165:$P165)-COLUMN($G165)+1&lt;Reprogramaciones!N$14)*$G165:$P165)+N(INDEX($G165:$P165,1,Reprogramaciones!N$14))*IF(Reprogramaciones!N$13&gt;=(Reprogramaciones!$T$15+7*(Reprogramaciones!N$14-1))+6,1,IF(MAX(0,NETWORKDAYS.INTL(MAX(E165,(Reprogramaciones!$T$15+7*(Reprogramaciones!N$14-1))),MIN(F165,(Reprogramaciones!$T$15+7*(Reprogramaciones!N$14-1))+6),11))=0,0,MAX(0,NETWORKDAYS.INTL(MAX(E165,(Reprogramaciones!$T$15+7*(Reprogramaciones!N$14-1))),MIN(F165,Reprogramaciones!N$13),11))/MAX(0,NETWORKDAYS.INTL(MAX(E165,(Reprogramaciones!$T$15+7*(Reprogramaciones!N$14-1))),MIN(F165,(Reprogramaciones!$T$15+7*(Reprogramaciones!N$14-1))+6),11))))))))</f>
        <v/>
      </c>
      <c r="BX165" s="1" t="str">
        <f aca="false">IF(OR(NOT(AND(ISNUMBER(E165),ISNUMBER(F165))),$J$2=""),"",IF(Reprogramaciones!O$13&lt;Reprogramaciones!$T$15,0,IF(Reprogramaciones!O$14&gt;10,MIN(100,SUM($G165:$P165)),MIN(100,SUMPRODUCT((COLUMN($G165:$P165)-COLUMN($G165)+1&lt;Reprogramaciones!O$14)*$G165:$P165)+N(INDEX($G165:$P165,1,Reprogramaciones!O$14))*IF(Reprogramaciones!O$13&gt;=(Reprogramaciones!$T$15+7*(Reprogramaciones!O$14-1))+6,1,IF(MAX(0,NETWORKDAYS.INTL(MAX(E165,(Reprogramaciones!$T$15+7*(Reprogramaciones!O$14-1))),MIN(F165,(Reprogramaciones!$T$15+7*(Reprogramaciones!O$14-1))+6),11))=0,0,MAX(0,NETWORKDAYS.INTL(MAX(E165,(Reprogramaciones!$T$15+7*(Reprogramaciones!O$14-1))),MIN(F165,Reprogramaciones!O$13),11))/MAX(0,NETWORKDAYS.INTL(MAX(E165,(Reprogramaciones!$T$15+7*(Reprogramaciones!O$14-1))),MIN(F165,(Reprogramaciones!$T$15+7*(Reprogramaciones!O$14-1))+6),11))))))))</f>
        <v/>
      </c>
      <c r="BY165" s="1" t="str">
        <f aca="false">IF(OR(NOT(AND(ISNUMBER(E165),ISNUMBER(F165))),$J$2=""),"",IF(Reprogramaciones!P$13&lt;Reprogramaciones!$T$15,0,IF(Reprogramaciones!P$14&gt;10,MIN(100,SUM($G165:$P165)),MIN(100,SUMPRODUCT((COLUMN($G165:$P165)-COLUMN($G165)+1&lt;Reprogramaciones!P$14)*$G165:$P165)+N(INDEX($G165:$P165,1,Reprogramaciones!P$14))*IF(Reprogramaciones!P$13&gt;=(Reprogramaciones!$T$15+7*(Reprogramaciones!P$14-1))+6,1,IF(MAX(0,NETWORKDAYS.INTL(MAX(E165,(Reprogramaciones!$T$15+7*(Reprogramaciones!P$14-1))),MIN(F165,(Reprogramaciones!$T$15+7*(Reprogramaciones!P$14-1))+6),11))=0,0,MAX(0,NETWORKDAYS.INTL(MAX(E165,(Reprogramaciones!$T$15+7*(Reprogramaciones!P$14-1))),MIN(F165,Reprogramaciones!P$13),11))/MAX(0,NETWORKDAYS.INTL(MAX(E165,(Reprogramaciones!$T$15+7*(Reprogramaciones!P$14-1))),MIN(F165,(Reprogramaciones!$T$15+7*(Reprogramaciones!P$14-1))+6),11))))))))</f>
        <v/>
      </c>
      <c r="BZ165" s="1" t="str">
        <f aca="false">IF(OR(NOT(AND(ISNUMBER(E165),ISNUMBER(F165))),$J$2=""),"",IF(Reprogramaciones!Q$13&lt;Reprogramaciones!$T$15,0,IF(Reprogramaciones!Q$14&gt;10,MIN(100,SUM($G165:$P165)),MIN(100,SUMPRODUCT((COLUMN($G165:$P165)-COLUMN($G165)+1&lt;Reprogramaciones!Q$14)*$G165:$P165)+N(INDEX($G165:$P165,1,Reprogramaciones!Q$14))*IF(Reprogramaciones!Q$13&gt;=(Reprogramaciones!$T$15+7*(Reprogramaciones!Q$14-1))+6,1,IF(MAX(0,NETWORKDAYS.INTL(MAX(E165,(Reprogramaciones!$T$15+7*(Reprogramaciones!Q$14-1))),MIN(F165,(Reprogramaciones!$T$15+7*(Reprogramaciones!Q$14-1))+6),11))=0,0,MAX(0,NETWORKDAYS.INTL(MAX(E165,(Reprogramaciones!$T$15+7*(Reprogramaciones!Q$14-1))),MIN(F165,Reprogramaciones!Q$13),11))/MAX(0,NETWORKDAYS.INTL(MAX(E165,(Reprogramaciones!$T$15+7*(Reprogramaciones!Q$14-1))),MIN(F165,(Reprogramaciones!$T$15+7*(Reprogramaciones!Q$14-1))+6),11))))))))</f>
        <v/>
      </c>
      <c r="CA165" s="1" t="str">
        <f aca="false">IF(OR(NOT(AND(ISNUMBER(E165),ISNUMBER(F165))),$J$2=""),"",IF(Reprogramaciones!R$13&lt;Reprogramaciones!$T$15,0,IF(Reprogramaciones!R$14&gt;10,MIN(100,SUM($G165:$P165)),MIN(100,SUMPRODUCT((COLUMN($G165:$P165)-COLUMN($G165)+1&lt;Reprogramaciones!R$14)*$G165:$P165)+N(INDEX($G165:$P165,1,Reprogramaciones!R$14))*IF(Reprogramaciones!R$13&gt;=(Reprogramaciones!$T$15+7*(Reprogramaciones!R$14-1))+6,1,IF(MAX(0,NETWORKDAYS.INTL(MAX(E165,(Reprogramaciones!$T$15+7*(Reprogramaciones!R$14-1))),MIN(F165,(Reprogramaciones!$T$15+7*(Reprogramaciones!R$14-1))+6),11))=0,0,MAX(0,NETWORKDAYS.INTL(MAX(E165,(Reprogramaciones!$T$15+7*(Reprogramaciones!R$14-1))),MIN(F165,Reprogramaciones!R$13),11))/MAX(0,NETWORKDAYS.INTL(MAX(E165,(Reprogramaciones!$T$15+7*(Reprogramaciones!R$14-1))),MIN(F165,(Reprogramaciones!$T$15+7*(Reprogramaciones!R$14-1))+6),11))))))))</f>
        <v/>
      </c>
      <c r="CB165" s="1" t="str">
        <f aca="false">IF(OR(NOT(AND(ISNUMBER(E165),ISNUMBER(F165))),$J$2=""),"",IF(Reprogramaciones!S$13&lt;Reprogramaciones!$T$15,0,IF(Reprogramaciones!S$14&gt;10,MIN(100,SUM($G165:$P165)),MIN(100,SUMPRODUCT((COLUMN($G165:$P165)-COLUMN($G165)+1&lt;Reprogramaciones!S$14)*$G165:$P165)+N(INDEX($G165:$P165,1,Reprogramaciones!S$14))*IF(Reprogramaciones!S$13&gt;=(Reprogramaciones!$T$15+7*(Reprogramaciones!S$14-1))+6,1,IF(MAX(0,NETWORKDAYS.INTL(MAX(E165,(Reprogramaciones!$T$15+7*(Reprogramaciones!S$14-1))),MIN(F165,(Reprogramaciones!$T$15+7*(Reprogramaciones!S$14-1))+6),11))=0,0,MAX(0,NETWORKDAYS.INTL(MAX(E165,(Reprogramaciones!$T$15+7*(Reprogramaciones!S$14-1))),MIN(F165,Reprogramaciones!S$13),11))/MAX(0,NETWORKDAYS.INTL(MAX(E165,(Reprogramaciones!$T$15+7*(Reprogramaciones!S$14-1))),MIN(F165,(Reprogramaciones!$T$15+7*(Reprogramaciones!S$14-1))+6),11))))))))</f>
        <v/>
      </c>
      <c r="CC165" s="1" t="str">
        <f aca="false">IF(OR(NOT(AND(ISNUMBER(E165),ISNUMBER(F165))),$J$2=""),"",IF(Reprogramaciones!T$13&lt;Reprogramaciones!$T$15,0,IF(Reprogramaciones!T$14&gt;10,MIN(100,SUM($G165:$P165)),MIN(100,SUMPRODUCT((COLUMN($G165:$P165)-COLUMN($G165)+1&lt;Reprogramaciones!T$14)*$G165:$P165)+N(INDEX($G165:$P165,1,Reprogramaciones!T$14))*IF(Reprogramaciones!T$13&gt;=(Reprogramaciones!$T$15+7*(Reprogramaciones!T$14-1))+6,1,IF(MAX(0,NETWORKDAYS.INTL(MAX(E165,(Reprogramaciones!$T$15+7*(Reprogramaciones!T$14-1))),MIN(F165,(Reprogramaciones!$T$15+7*(Reprogramaciones!T$14-1))+6),11))=0,0,MAX(0,NETWORKDAYS.INTL(MAX(E165,(Reprogramaciones!$T$15+7*(Reprogramaciones!T$14-1))),MIN(F165,Reprogramaciones!T$13),11))/MAX(0,NETWORKDAYS.INTL(MAX(E165,(Reprogramaciones!$T$15+7*(Reprogramaciones!T$14-1))),MIN(F165,(Reprogramaciones!$T$15+7*(Reprogramaciones!T$14-1))+6),11))))))))</f>
        <v/>
      </c>
      <c r="CD165" s="1" t="str">
        <f aca="false">IF(OR(NOT(AND(ISNUMBER(E165),ISNUMBER(F165))),$J$2=""),"",IF(Reprogramaciones!U$13&lt;Reprogramaciones!$T$15,0,IF(Reprogramaciones!U$14&gt;10,MIN(100,SUM($G165:$P165)),MIN(100,SUMPRODUCT((COLUMN($G165:$P165)-COLUMN($G165)+1&lt;Reprogramaciones!U$14)*$G165:$P165)+N(INDEX($G165:$P165,1,Reprogramaciones!U$14))*IF(Reprogramaciones!U$13&gt;=(Reprogramaciones!$T$15+7*(Reprogramaciones!U$14-1))+6,1,IF(MAX(0,NETWORKDAYS.INTL(MAX(E165,(Reprogramaciones!$T$15+7*(Reprogramaciones!U$14-1))),MIN(F165,(Reprogramaciones!$T$15+7*(Reprogramaciones!U$14-1))+6),11))=0,0,MAX(0,NETWORKDAYS.INTL(MAX(E165,(Reprogramaciones!$T$15+7*(Reprogramaciones!U$14-1))),MIN(F165,Reprogramaciones!U$13),11))/MAX(0,NETWORKDAYS.INTL(MAX(E165,(Reprogramaciones!$T$15+7*(Reprogramaciones!U$14-1))),MIN(F165,(Reprogramaciones!$T$15+7*(Reprogramaciones!U$14-1))+6),11))))))))</f>
        <v/>
      </c>
      <c r="CE165" s="1" t="str">
        <f aca="false">IF(OR(NOT(AND(ISNUMBER(E165),ISNUMBER(F165))),$J$2=""),"",IF(Reprogramaciones!V$13&lt;Reprogramaciones!$T$15,0,IF(Reprogramaciones!V$14&gt;10,MIN(100,SUM($G165:$P165)),MIN(100,SUMPRODUCT((COLUMN($G165:$P165)-COLUMN($G165)+1&lt;Reprogramaciones!V$14)*$G165:$P165)+N(INDEX($G165:$P165,1,Reprogramaciones!V$14))*IF(Reprogramaciones!V$13&gt;=(Reprogramaciones!$T$15+7*(Reprogramaciones!V$14-1))+6,1,IF(MAX(0,NETWORKDAYS.INTL(MAX(E165,(Reprogramaciones!$T$15+7*(Reprogramaciones!V$14-1))),MIN(F165,(Reprogramaciones!$T$15+7*(Reprogramaciones!V$14-1))+6),11))=0,0,MAX(0,NETWORKDAYS.INTL(MAX(E165,(Reprogramaciones!$T$15+7*(Reprogramaciones!V$14-1))),MIN(F165,Reprogramaciones!V$13),11))/MAX(0,NETWORKDAYS.INTL(MAX(E165,(Reprogramaciones!$T$15+7*(Reprogramaciones!V$14-1))),MIN(F165,(Reprogramaciones!$T$15+7*(Reprogramaciones!V$14-1))+6),11))))))))</f>
        <v/>
      </c>
      <c r="CF165" s="1" t="str">
        <f aca="false">IF(OR(NOT(AND(ISNUMBER(E165),ISNUMBER(F165))),$J$2=""),"",IF(Reprogramaciones!W$13&lt;Reprogramaciones!$T$15,0,IF(Reprogramaciones!W$14&gt;10,MIN(100,SUM($G165:$P165)),MIN(100,SUMPRODUCT((COLUMN($G165:$P165)-COLUMN($G165)+1&lt;Reprogramaciones!W$14)*$G165:$P165)+N(INDEX($G165:$P165,1,Reprogramaciones!W$14))*IF(Reprogramaciones!W$13&gt;=(Reprogramaciones!$T$15+7*(Reprogramaciones!W$14-1))+6,1,IF(MAX(0,NETWORKDAYS.INTL(MAX(E165,(Reprogramaciones!$T$15+7*(Reprogramaciones!W$14-1))),MIN(F165,(Reprogramaciones!$T$15+7*(Reprogramaciones!W$14-1))+6),11))=0,0,MAX(0,NETWORKDAYS.INTL(MAX(E165,(Reprogramaciones!$T$15+7*(Reprogramaciones!W$14-1))),MIN(F165,Reprogramaciones!W$13),11))/MAX(0,NETWORKDAYS.INTL(MAX(E165,(Reprogramaciones!$T$15+7*(Reprogramaciones!W$14-1))),MIN(F165,(Reprogramaciones!$T$15+7*(Reprogramaciones!W$14-1))+6),11))))))))</f>
        <v/>
      </c>
      <c r="CG165" s="1" t="str">
        <f aca="false">IF(OR(NOT(AND(ISNUMBER(E165),ISNUMBER(F165))),$J$2=""),"",IF(Reprogramaciones!X$13&lt;Reprogramaciones!$T$15,0,IF(Reprogramaciones!X$14&gt;10,MIN(100,SUM($G165:$P165)),MIN(100,SUMPRODUCT((COLUMN($G165:$P165)-COLUMN($G165)+1&lt;Reprogramaciones!X$14)*$G165:$P165)+N(INDEX($G165:$P165,1,Reprogramaciones!X$14))*IF(Reprogramaciones!X$13&gt;=(Reprogramaciones!$T$15+7*(Reprogramaciones!X$14-1))+6,1,IF(MAX(0,NETWORKDAYS.INTL(MAX(E165,(Reprogramaciones!$T$15+7*(Reprogramaciones!X$14-1))),MIN(F165,(Reprogramaciones!$T$15+7*(Reprogramaciones!X$14-1))+6),11))=0,0,MAX(0,NETWORKDAYS.INTL(MAX(E165,(Reprogramaciones!$T$15+7*(Reprogramaciones!X$14-1))),MIN(F165,Reprogramaciones!X$13),11))/MAX(0,NETWORKDAYS.INTL(MAX(E165,(Reprogramaciones!$T$15+7*(Reprogramaciones!X$14-1))),MIN(F165,(Reprogramaciones!$T$15+7*(Reprogramaciones!X$14-1))+6),11))))))))</f>
        <v/>
      </c>
      <c r="CH165" s="1" t="str">
        <f aca="false">IF(OR(NOT(AND(ISNUMBER(E165),ISNUMBER(F165))),$J$2=""),"",IF(Reprogramaciones!Y$13&lt;Reprogramaciones!$T$15,0,IF(Reprogramaciones!Y$14&gt;10,MIN(100,SUM($G165:$P165)),MIN(100,SUMPRODUCT((COLUMN($G165:$P165)-COLUMN($G165)+1&lt;Reprogramaciones!Y$14)*$G165:$P165)+N(INDEX($G165:$P165,1,Reprogramaciones!Y$14))*IF(Reprogramaciones!Y$13&gt;=(Reprogramaciones!$T$15+7*(Reprogramaciones!Y$14-1))+6,1,IF(MAX(0,NETWORKDAYS.INTL(MAX(E165,(Reprogramaciones!$T$15+7*(Reprogramaciones!Y$14-1))),MIN(F165,(Reprogramaciones!$T$15+7*(Reprogramaciones!Y$14-1))+6),11))=0,0,MAX(0,NETWORKDAYS.INTL(MAX(E165,(Reprogramaciones!$T$15+7*(Reprogramaciones!Y$14-1))),MIN(F165,Reprogramaciones!Y$13),11))/MAX(0,NETWORKDAYS.INTL(MAX(E165,(Reprogramaciones!$T$15+7*(Reprogramaciones!Y$14-1))),MIN(F165,(Reprogramaciones!$T$15+7*(Reprogramaciones!Y$14-1))+6),11))))))))</f>
        <v/>
      </c>
      <c r="CI165" s="1" t="str">
        <f aca="false">IF(OR(NOT(AND(ISNUMBER(E165),ISNUMBER(F165))),$J$2=""),"",IF(Reprogramaciones!Z$13&lt;Reprogramaciones!$T$15,0,IF(Reprogramaciones!Z$14&gt;10,MIN(100,SUM($G165:$P165)),MIN(100,SUMPRODUCT((COLUMN($G165:$P165)-COLUMN($G165)+1&lt;Reprogramaciones!Z$14)*$G165:$P165)+N(INDEX($G165:$P165,1,Reprogramaciones!Z$14))*IF(Reprogramaciones!Z$13&gt;=(Reprogramaciones!$T$15+7*(Reprogramaciones!Z$14-1))+6,1,IF(MAX(0,NETWORKDAYS.INTL(MAX(E165,(Reprogramaciones!$T$15+7*(Reprogramaciones!Z$14-1))),MIN(F165,(Reprogramaciones!$T$15+7*(Reprogramaciones!Z$14-1))+6),11))=0,0,MAX(0,NETWORKDAYS.INTL(MAX(E165,(Reprogramaciones!$T$15+7*(Reprogramaciones!Z$14-1))),MIN(F165,Reprogramaciones!Z$13),11))/MAX(0,NETWORKDAYS.INTL(MAX(E165,(Reprogramaciones!$T$15+7*(Reprogramaciones!Z$14-1))),MIN(F165,(Reprogramaciones!$T$15+7*(Reprogramaciones!Z$14-1))+6),11))))))))</f>
        <v/>
      </c>
      <c r="CJ165" s="1" t="str">
        <f aca="false">IF(OR(OR(NOT(AND(ISNUMBER(E165),ISNUMBER(F165))),$J$2=""),1&gt;Reprogramaciones!$K$16),"",IF(ROUND(SUM($Q165:Q165),1)&gt;=99.5,100,MIN(100,ROUND(SUM($Q165:Q165),1))))</f>
        <v/>
      </c>
      <c r="CK165" s="1" t="str">
        <f aca="false">IF(OR(OR(NOT(AND(ISNUMBER(E165),ISNUMBER(F165))),$J$2=""),2&gt;Reprogramaciones!$K$16),"",IF(ROUND(SUM($Q165:R165),1)&gt;=99.5,100,MIN(100,ROUND(SUM($Q165:R165),1))))</f>
        <v/>
      </c>
      <c r="CL165" s="1" t="str">
        <f aca="false">IF(OR(OR(NOT(AND(ISNUMBER(E165),ISNUMBER(F165))),$J$2=""),3&gt;Reprogramaciones!$K$16),"",IF(ROUND(SUM($Q165:S165),1)&gt;=99.5,100,MIN(100,ROUND(SUM($Q165:S165),1))))</f>
        <v/>
      </c>
      <c r="CM165" s="1" t="str">
        <f aca="false">IF(OR(OR(NOT(AND(ISNUMBER(E165),ISNUMBER(F165))),$J$2=""),4&gt;Reprogramaciones!$K$16),"",IF(ROUND(SUM($Q165:T165),1)&gt;=99.5,100,MIN(100,ROUND(SUM($Q165:T165),1))))</f>
        <v/>
      </c>
      <c r="CN165" s="1" t="str">
        <f aca="false">IF(OR(OR(NOT(AND(ISNUMBER(E165),ISNUMBER(F165))),$J$2=""),5&gt;Reprogramaciones!$K$16),"",IF(ROUND(SUM($Q165:U165),1)&gt;=99.5,100,MIN(100,ROUND(SUM($Q165:U165),1))))</f>
        <v/>
      </c>
      <c r="CO165" s="1" t="str">
        <f aca="false">IF(OR(OR(NOT(AND(ISNUMBER(E165),ISNUMBER(F165))),$J$2=""),6&gt;Reprogramaciones!$K$16),"",IF(ROUND(SUM($Q165:V165),1)&gt;=99.5,100,MIN(100,ROUND(SUM($Q165:V165),1))))</f>
        <v/>
      </c>
      <c r="CP165" s="1" t="str">
        <f aca="false">IF(OR(OR(NOT(AND(ISNUMBER(E165),ISNUMBER(F165))),$J$2=""),7&gt;Reprogramaciones!$K$16),"",IF(ROUND(SUM($Q165:W165),1)&gt;=99.5,100,MIN(100,ROUND(SUM($Q165:W165),1))))</f>
        <v/>
      </c>
      <c r="CQ165" s="1" t="str">
        <f aca="false">IF(OR(OR(NOT(AND(ISNUMBER(E165),ISNUMBER(F165))),$J$2=""),8&gt;Reprogramaciones!$K$16),"",IF(ROUND(SUM($Q165:X165),1)&gt;=99.5,100,MIN(100,ROUND(SUM($Q165:X165),1))))</f>
        <v/>
      </c>
      <c r="CR165" s="1" t="str">
        <f aca="false">IF(OR(OR(NOT(AND(ISNUMBER(E165),ISNUMBER(F165))),$J$2=""),9&gt;Reprogramaciones!$K$16),"",IF(ROUND(SUM($Q165:Y165),1)&gt;=99.5,100,MIN(100,ROUND(SUM($Q165:Y165),1))))</f>
        <v/>
      </c>
      <c r="CS165" s="1" t="str">
        <f aca="false">IF(OR(OR(NOT(AND(ISNUMBER(E165),ISNUMBER(F165))),$J$2=""),10&gt;Reprogramaciones!$K$16),"",IF(ROUND(SUM($Q165:Z165),1)&gt;=99.5,100,MIN(100,ROUND(SUM($Q165:Z165),1))))</f>
        <v/>
      </c>
      <c r="CT165" s="1" t="str">
        <f aca="false">IF(OR(OR(NOT(AND(ISNUMBER(E165),ISNUMBER(F165))),$J$2=""),11&gt;Reprogramaciones!$K$16),"",IF(ROUND(SUM($Q165:AA165),1)&gt;=99.5,100,MIN(100,ROUND(SUM($Q165:AA165),1))))</f>
        <v/>
      </c>
      <c r="CU165" s="1" t="str">
        <f aca="false">IF(OR(OR(NOT(AND(ISNUMBER(E165),ISNUMBER(F165))),$J$2=""),12&gt;Reprogramaciones!$K$16),"",IF(ROUND(SUM($Q165:AB165),1)&gt;=99.5,100,MIN(100,ROUND(SUM($Q165:AB165),1))))</f>
        <v/>
      </c>
      <c r="CV165" s="1" t="str">
        <f aca="false">IF(OR(OR(NOT(AND(ISNUMBER(E165),ISNUMBER(F165))),$J$2=""),13&gt;Reprogramaciones!$K$16),"",IF(ROUND(SUM($Q165:AC165),1)&gt;=99.5,100,MIN(100,ROUND(SUM($Q165:AC165),1))))</f>
        <v/>
      </c>
      <c r="CW165" s="1" t="str">
        <f aca="false">IF(OR(OR(NOT(AND(ISNUMBER(E165),ISNUMBER(F165))),$J$2=""),14&gt;Reprogramaciones!$K$16),"",IF(ROUND(SUM($Q165:AD165),1)&gt;=99.5,100,MIN(100,ROUND(SUM($Q165:AD165),1))))</f>
        <v/>
      </c>
      <c r="CX165" s="1" t="str">
        <f aca="false">IF(OR(OR(NOT(AND(ISNUMBER(E165),ISNUMBER(F165))),$J$2=""),15&gt;Reprogramaciones!$K$16),"",IF(ROUND(SUM($Q165:AE165),1)&gt;=99.5,100,MIN(100,ROUND(SUM($Q165:AE165),1))))</f>
        <v/>
      </c>
      <c r="CY165" s="1" t="str">
        <f aca="false">IF(OR(OR(NOT(AND(ISNUMBER(E165),ISNUMBER(F165))),$J$2=""),16&gt;Reprogramaciones!$K$16),"",IF(ROUND(SUM($Q165:AF165),1)&gt;=99.5,100,MIN(100,ROUND(SUM($Q165:AF165),1))))</f>
        <v/>
      </c>
      <c r="CZ165" s="1" t="str">
        <f aca="false">IF(D165&lt;&gt;"",D165,IF(B165&lt;&gt;"","Contractual",CZ164))</f>
        <v>Contractual</v>
      </c>
      <c r="DA165" s="1" t="str">
        <f aca="false">IF(OR(NOT(AND(ISNUMBER(E165),ISNUMBER(F165))),$J$2=""),"",IF(Reprogramaciones!$Q$15&lt;Reprogramaciones!$T$15,0,IF(Reprogramaciones!$S$15&gt;10,MIN(100,SUM($G165:$P165)),MIN(100,SUMPRODUCT((COLUMN($G165:$P165)-COLUMN($G165)+1&lt;Reprogramaciones!$S$15)*$G165:$P165)+N(INDEX($G165:$P165,1,Reprogramaciones!$S$15))*IF(Reprogramaciones!$Q$15&gt;=(Reprogramaciones!$T$15+7*(Reprogramaciones!$S$15-1))+6,1,IF(MAX(0,NETWORKDAYS.INTL(MAX(E165,(Reprogramaciones!$T$15+7*(Reprogramaciones!$S$15-1))),MIN(F165,(Reprogramaciones!$T$15+7*(Reprogramaciones!$S$15-1))+6),11))=0,0,MAX(0,NETWORKDAYS.INTL(MAX(E165,(Reprogramaciones!$T$15+7*(Reprogramaciones!$S$15-1))),MIN(F165,Reprogramaciones!$Q$15),11))/MAX(0,NETWORKDAYS.INTL(MAX(E165,(Reprogramaciones!$T$15+7*(Reprogramaciones!$S$15-1))),MIN(F165,(Reprogramaciones!$T$15+7*(Reprogramaciones!$S$15-1))+6),11))))))))</f>
        <v/>
      </c>
    </row>
    <row r="166" customFormat="false" ht="15" hidden="false" customHeight="false" outlineLevel="0" collapsed="false">
      <c r="A166" s="32"/>
      <c r="B166" s="33"/>
      <c r="C166" s="33"/>
      <c r="D166" s="34"/>
      <c r="E166" s="35"/>
      <c r="F166" s="35"/>
      <c r="G166" s="36" t="str">
        <f aca="false">IF(OR(NOT(AND(ISNUMBER(E166),ISNUMBER(F166))),$J$2=""),"",IF(Reprogramaciones!K$9&lt;E166,0,IF(NETWORKDAYS.INTL(E166,F166,11)=0,IF(Reprogramaciones!K$9&gt;=F166,100,0),ROUND(NETWORKDAYS.INTL(E166,MIN(F166,Reprogramaciones!K$9),11)/NETWORKDAYS.INTL(E166,F166,11)*100,1)))-0)</f>
        <v/>
      </c>
      <c r="H166" s="36" t="str">
        <f aca="false">IF(OR(NOT(AND(ISNUMBER(E166),ISNUMBER(F166))),$J$2=""),"",IF(Reprogramaciones!L$9&lt;E166,0,IF(NETWORKDAYS.INTL(E166,F166,11)=0,IF(Reprogramaciones!L$9&gt;=F166,100,0),ROUND(NETWORKDAYS.INTL(E166,MIN(F166,Reprogramaciones!L$9),11)/NETWORKDAYS.INTL(E166,F166,11)*100,1)))-IF(Reprogramaciones!K$9&lt;E166,0,IF(NETWORKDAYS.INTL(E166,F166,11)=0,IF(Reprogramaciones!K$9&gt;=F166,100,0),ROUND(NETWORKDAYS.INTL(E166,MIN(F166,Reprogramaciones!K$9),11)/NETWORKDAYS.INTL(E166,F166,11)*100,1))))</f>
        <v/>
      </c>
      <c r="I166" s="36" t="str">
        <f aca="false">IF(OR(NOT(AND(ISNUMBER(E166),ISNUMBER(F166))),$J$2=""),"",IF(Reprogramaciones!M$9&lt;E166,0,IF(NETWORKDAYS.INTL(E166,F166,11)=0,IF(Reprogramaciones!M$9&gt;=F166,100,0),ROUND(NETWORKDAYS.INTL(E166,MIN(F166,Reprogramaciones!M$9),11)/NETWORKDAYS.INTL(E166,F166,11)*100,1)))-IF(Reprogramaciones!L$9&lt;E166,0,IF(NETWORKDAYS.INTL(E166,F166,11)=0,IF(Reprogramaciones!L$9&gt;=F166,100,0),ROUND(NETWORKDAYS.INTL(E166,MIN(F166,Reprogramaciones!L$9),11)/NETWORKDAYS.INTL(E166,F166,11)*100,1))))</f>
        <v/>
      </c>
      <c r="J166" s="36" t="str">
        <f aca="false">IF(OR(NOT(AND(ISNUMBER(E166),ISNUMBER(F166))),$J$2=""),"",IF(Reprogramaciones!N$9&lt;E166,0,IF(NETWORKDAYS.INTL(E166,F166,11)=0,IF(Reprogramaciones!N$9&gt;=F166,100,0),ROUND(NETWORKDAYS.INTL(E166,MIN(F166,Reprogramaciones!N$9),11)/NETWORKDAYS.INTL(E166,F166,11)*100,1)))-IF(Reprogramaciones!M$9&lt;E166,0,IF(NETWORKDAYS.INTL(E166,F166,11)=0,IF(Reprogramaciones!M$9&gt;=F166,100,0),ROUND(NETWORKDAYS.INTL(E166,MIN(F166,Reprogramaciones!M$9),11)/NETWORKDAYS.INTL(E166,F166,11)*100,1))))</f>
        <v/>
      </c>
      <c r="K166" s="36" t="str">
        <f aca="false">IF(OR(NOT(AND(ISNUMBER(E166),ISNUMBER(F166))),$J$2=""),"",IF(Reprogramaciones!O$9&lt;E166,0,IF(NETWORKDAYS.INTL(E166,F166,11)=0,IF(Reprogramaciones!O$9&gt;=F166,100,0),ROUND(NETWORKDAYS.INTL(E166,MIN(F166,Reprogramaciones!O$9),11)/NETWORKDAYS.INTL(E166,F166,11)*100,1)))-IF(Reprogramaciones!N$9&lt;E166,0,IF(NETWORKDAYS.INTL(E166,F166,11)=0,IF(Reprogramaciones!N$9&gt;=F166,100,0),ROUND(NETWORKDAYS.INTL(E166,MIN(F166,Reprogramaciones!N$9),11)/NETWORKDAYS.INTL(E166,F166,11)*100,1))))</f>
        <v/>
      </c>
      <c r="L166" s="36" t="str">
        <f aca="false">IF(OR(NOT(AND(ISNUMBER(E166),ISNUMBER(F166))),$J$2=""),"",IF(Reprogramaciones!P$9&lt;E166,0,IF(NETWORKDAYS.INTL(E166,F166,11)=0,IF(Reprogramaciones!P$9&gt;=F166,100,0),ROUND(NETWORKDAYS.INTL(E166,MIN(F166,Reprogramaciones!P$9),11)/NETWORKDAYS.INTL(E166,F166,11)*100,1)))-IF(Reprogramaciones!O$9&lt;E166,0,IF(NETWORKDAYS.INTL(E166,F166,11)=0,IF(Reprogramaciones!O$9&gt;=F166,100,0),ROUND(NETWORKDAYS.INTL(E166,MIN(F166,Reprogramaciones!O$9),11)/NETWORKDAYS.INTL(E166,F166,11)*100,1))))</f>
        <v/>
      </c>
      <c r="M166" s="36" t="str">
        <f aca="false">IF(OR(NOT(AND(ISNUMBER(E166),ISNUMBER(F166))),$J$2=""),"",IF(Reprogramaciones!Q$9&lt;E166,0,IF(NETWORKDAYS.INTL(E166,F166,11)=0,IF(Reprogramaciones!Q$9&gt;=F166,100,0),ROUND(NETWORKDAYS.INTL(E166,MIN(F166,Reprogramaciones!Q$9),11)/NETWORKDAYS.INTL(E166,F166,11)*100,1)))-IF(Reprogramaciones!P$9&lt;E166,0,IF(NETWORKDAYS.INTL(E166,F166,11)=0,IF(Reprogramaciones!P$9&gt;=F166,100,0),ROUND(NETWORKDAYS.INTL(E166,MIN(F166,Reprogramaciones!P$9),11)/NETWORKDAYS.INTL(E166,F166,11)*100,1))))</f>
        <v/>
      </c>
      <c r="N166" s="36" t="str">
        <f aca="false">IF(OR(NOT(AND(ISNUMBER(E166),ISNUMBER(F166))),$J$2=""),"",IF(Reprogramaciones!R$9&lt;E166,0,IF(NETWORKDAYS.INTL(E166,F166,11)=0,IF(Reprogramaciones!R$9&gt;=F166,100,0),ROUND(NETWORKDAYS.INTL(E166,MIN(F166,Reprogramaciones!R$9),11)/NETWORKDAYS.INTL(E166,F166,11)*100,1)))-IF(Reprogramaciones!Q$9&lt;E166,0,IF(NETWORKDAYS.INTL(E166,F166,11)=0,IF(Reprogramaciones!Q$9&gt;=F166,100,0),ROUND(NETWORKDAYS.INTL(E166,MIN(F166,Reprogramaciones!Q$9),11)/NETWORKDAYS.INTL(E166,F166,11)*100,1))))</f>
        <v/>
      </c>
      <c r="O166" s="36" t="str">
        <f aca="false">IF(OR(NOT(AND(ISNUMBER(E166),ISNUMBER(F166))),$J$2=""),"",IF(Reprogramaciones!S$9&lt;E166,0,IF(NETWORKDAYS.INTL(E166,F166,11)=0,IF(Reprogramaciones!S$9&gt;=F166,100,0),ROUND(NETWORKDAYS.INTL(E166,MIN(F166,Reprogramaciones!S$9),11)/NETWORKDAYS.INTL(E166,F166,11)*100,1)))-IF(Reprogramaciones!R$9&lt;E166,0,IF(NETWORKDAYS.INTL(E166,F166,11)=0,IF(Reprogramaciones!R$9&gt;=F166,100,0),ROUND(NETWORKDAYS.INTL(E166,MIN(F166,Reprogramaciones!R$9),11)/NETWORKDAYS.INTL(E166,F166,11)*100,1))))</f>
        <v/>
      </c>
      <c r="P166" s="36" t="str">
        <f aca="false">IF(OR(NOT(AND(ISNUMBER(E166),ISNUMBER(F166))),$J$2=""),"",IF(Reprogramaciones!T$9&lt;E166,0,IF(NETWORKDAYS.INTL(E166,F166,11)=0,IF(Reprogramaciones!T$9&gt;=F166,100,0),ROUND(NETWORKDAYS.INTL(E166,MIN(F166,Reprogramaciones!T$9),11)/NETWORKDAYS.INTL(E166,F166,11)*100,1)))-IF(Reprogramaciones!S$9&lt;E166,0,IF(NETWORKDAYS.INTL(E166,F166,11)=0,IF(Reprogramaciones!S$9&gt;=F166,100,0),ROUND(NETWORKDAYS.INTL(E166,MIN(F166,Reprogramaciones!S$9),11)/NETWORKDAYS.INTL(E166,F166,11)*100,1))))</f>
        <v/>
      </c>
      <c r="Q166" s="37"/>
      <c r="R166" s="37"/>
      <c r="S166" s="37"/>
      <c r="T166" s="37"/>
      <c r="U166" s="37"/>
      <c r="V166" s="37"/>
      <c r="W166" s="37"/>
      <c r="X166" s="37"/>
      <c r="Y166" s="37"/>
      <c r="Z166" s="37"/>
      <c r="AA166" s="37"/>
      <c r="AB166" s="37"/>
      <c r="AC166" s="37"/>
      <c r="AD166" s="37"/>
      <c r="AE166" s="37"/>
      <c r="AF166" s="37"/>
      <c r="AG166" s="38" t="str">
        <f aca="false">IF(AND(ISNUMBER(E166),ISNUMBER(F166)),NETWORKDAYS.INTL(E166,F166,11),"")</f>
        <v/>
      </c>
      <c r="AH166" s="38" t="str">
        <f aca="false">IF(OR(NOT(AND(ISNUMBER(E166),ISNUMBER(F166))),$J$2=""),"",IF(Reprogramaciones!$P$15&lt;Reprogramaciones!$T$15,0,IF(Reprogramaciones!$R$15&gt;10,MIN(100,SUM($G166:$P166)),MIN(100,SUMPRODUCT((COLUMN($G166:$P166)-COLUMN($G166)+1&lt;Reprogramaciones!$R$15)*$G166:$P166)+N(INDEX($G166:$P166,1,Reprogramaciones!$R$15))*IF(Reprogramaciones!$P$15&gt;=(Reprogramaciones!$T$15+7*(Reprogramaciones!$R$15-1))+6,1,IF(MAX(0,NETWORKDAYS.INTL(MAX(E166,(Reprogramaciones!$T$15+7*(Reprogramaciones!$R$15-1))),MIN(F166,(Reprogramaciones!$T$15+7*(Reprogramaciones!$R$15-1))+6),11))=0,0,MAX(0,NETWORKDAYS.INTL(MAX(E166,(Reprogramaciones!$T$15+7*(Reprogramaciones!$R$15-1))),MIN(F166,Reprogramaciones!$P$15),11))/MAX(0,NETWORKDAYS.INTL(MAX(E166,(Reprogramaciones!$T$15+7*(Reprogramaciones!$R$15-1))),MIN(F166,(Reprogramaciones!$T$15+7*(Reprogramaciones!$R$15-1))+6),11))))))))</f>
        <v/>
      </c>
      <c r="AI166" s="38" t="str">
        <f aca="false">IF(COUNT($Q166:$AF166)=0,"",IF(ROUND(SUM($Q166:$AF166),1)&gt;=99.5,100,MIN(100,ROUND(SUM($Q166:$AF166),1))))</f>
        <v/>
      </c>
      <c r="AJ166" s="38" t="str">
        <f aca="false">IF(OR(AH166="",AI166=""),"",AI166-AH166)</f>
        <v/>
      </c>
      <c r="AK166" s="39" t="str">
        <f aca="true">IF(AH166="","",IF(OR(Ficha!$C$10="Suspendida",Ficha!$C$10="Cancelada"),Ficha!$C$10,IF(AND(AI166&lt;&gt;"",N(AI166)&gt;=100),"Completada",IF(AND(E166&gt;TODAY(),N(AI166)=0),"Por iniciar",IF(N(AI166)+0.5&lt;AH166,"Retrasada",IF(N(AI166)+0.5&lt;DA166,IF(Reprogramaciones!$K$15&gt;0,"Al día · Sem "&amp;Reprogramaciones!$K$15&amp;" en curso","Al día · en curso"),"A tiempo"))))))</f>
        <v/>
      </c>
      <c r="AL166" s="39" t="str">
        <f aca="true">IF(AND(A166="",AND(B166="",C166="",E166="",F166="",COUNT(Q166:AF166)=0)),"",IF(AND(B166="",C166="",E166="",F166="",COUNT(Q166:AF166)=0),"Falta la partida o subpartida",IF(AND(A166&lt;&gt;"",COUNTIF($A$6:$A$305,A166)&gt;1),"Ítem repetido",IF(AND(C166="",E166="",F166="",COUNT(Q166:AF166)=0),"Título de partida",IF(OR(E166="",F166=""),"Faltan fechas",IF(OR(ISTEXT(E166),ISTEXT(F166)),"Fecha escrita como texto: usa dd/mm/aaaa",IF(F166&lt;E166,"Fin antes del inicio",IF(IF($J$2="",FALSE(),OR(E166&lt;$J$2,F166&gt;Reprogramaciones!$T$15+69)),"Fuera de las 10 semanas",IF(ABS(SUM(G166:P166)-100)&gt;0.5,"La meta no suma 100%",IF(ROUND(SUM(Q166:AF166),1)&gt;100.5,"El avance pasa de 100%",IF(MIN(Q166:AF166)&lt;0,"Avance negativo",IF(COUNTA(Q166:AF166)&gt;COUNT(Q166:AF166),"Avance escrito como texto",IF(SUMPRODUCT((Q166:AF166&gt;0)*(Q166:AF166&lt;1))&gt;0,"Avance menor a 1: escribe 50, no 50%",IF(SUMPRODUCT(ISNUMBER(Q166:AF166)*(Reprogramaciones!$K$8:$Z$8&gt;TODAY()))&gt;0,"Avance en semana que aún no llega",IF(AND(N(Reprogramaciones!$E$21)&gt;0,F166&gt;Reprogramaciones!$E$21),"Pasa el fin de la obra: registra una reprogramación",IF(AND(N(Reprogramaciones!$E$21)&gt;0,SUMPRODUCT(ISNUMBER(Q166:AF166)*(Reprogramaciones!$K$8:$Z$8&gt;Reprogramaciones!$E$21))&gt;0),"Avance después del fin de la obra: registra una reprogramación por atraso","OK"))))))))))))))))</f>
        <v/>
      </c>
      <c r="AM166" s="40" t="str">
        <f aca="false">IF(OR(OR(NOT(AND(ISNUMBER(E166),ISNUMBER(F166))),$J$2=""),1&gt;MAX(1,Reprogramaciones!$U$15)),"",IF(Reprogramaciones!K$12&gt;=7,"",IF(OR(BT166-N(0)&gt;0.05,N(Q166)&gt;0),ROUNDDOWN(ROUND(BT166,6),0)&amp;"%"&amp;IF(CJ166="",""," / "&amp;CJ166&amp;"%"),IF(AND(N(0)&gt;=99.95,CJ166&lt;&gt;"",N(CJ166)&lt;100),"Pend. "&amp;CJ166&amp;"%",""))))</f>
        <v/>
      </c>
      <c r="AN166" s="40" t="str">
        <f aca="false">IF(OR(OR(NOT(AND(ISNUMBER(E166),ISNUMBER(F166))),$J$2=""),2&gt;MAX(1,Reprogramaciones!$U$15)),"",IF(Reprogramaciones!L$12&gt;=7,"",IF(OR(BU166-N(BT166)&gt;0.05,N(R166)&gt;0),ROUNDDOWN(ROUND(BU166,6),0)&amp;"%"&amp;IF(CK166="",""," / "&amp;CK166&amp;"%"),IF(AND(N(BT166)&gt;=99.95,CK166&lt;&gt;"",N(CK166)&lt;100),"Pend. "&amp;CK166&amp;"%",""))))</f>
        <v/>
      </c>
      <c r="AO166" s="40" t="str">
        <f aca="false">IF(OR(OR(NOT(AND(ISNUMBER(E166),ISNUMBER(F166))),$J$2=""),3&gt;MAX(1,Reprogramaciones!$U$15)),"",IF(Reprogramaciones!M$12&gt;=7,"",IF(OR(BV166-N(BU166)&gt;0.05,N(S166)&gt;0),ROUNDDOWN(ROUND(BV166,6),0)&amp;"%"&amp;IF(CL166="",""," / "&amp;CL166&amp;"%"),IF(AND(N(BU166)&gt;=99.95,CL166&lt;&gt;"",N(CL166)&lt;100),"Pend. "&amp;CL166&amp;"%",""))))</f>
        <v/>
      </c>
      <c r="AP166" s="40" t="str">
        <f aca="false">IF(OR(OR(NOT(AND(ISNUMBER(E166),ISNUMBER(F166))),$J$2=""),4&gt;MAX(1,Reprogramaciones!$U$15)),"",IF(Reprogramaciones!N$12&gt;=7,"",IF(OR(BW166-N(BV166)&gt;0.05,N(T166)&gt;0),ROUNDDOWN(ROUND(BW166,6),0)&amp;"%"&amp;IF(CM166="",""," / "&amp;CM166&amp;"%"),IF(AND(N(BV166)&gt;=99.95,CM166&lt;&gt;"",N(CM166)&lt;100),"Pend. "&amp;CM166&amp;"%",""))))</f>
        <v/>
      </c>
      <c r="AQ166" s="40" t="str">
        <f aca="false">IF(OR(OR(NOT(AND(ISNUMBER(E166),ISNUMBER(F166))),$J$2=""),5&gt;MAX(1,Reprogramaciones!$U$15)),"",IF(Reprogramaciones!O$12&gt;=7,"",IF(OR(BX166-N(BW166)&gt;0.05,N(U166)&gt;0),ROUNDDOWN(ROUND(BX166,6),0)&amp;"%"&amp;IF(CN166="",""," / "&amp;CN166&amp;"%"),IF(AND(N(BW166)&gt;=99.95,CN166&lt;&gt;"",N(CN166)&lt;100),"Pend. "&amp;CN166&amp;"%",""))))</f>
        <v/>
      </c>
      <c r="AR166" s="40" t="str">
        <f aca="false">IF(OR(OR(NOT(AND(ISNUMBER(E166),ISNUMBER(F166))),$J$2=""),6&gt;MAX(1,Reprogramaciones!$U$15)),"",IF(Reprogramaciones!P$12&gt;=7,"",IF(OR(BY166-N(BX166)&gt;0.05,N(V166)&gt;0),ROUNDDOWN(ROUND(BY166,6),0)&amp;"%"&amp;IF(CO166="",""," / "&amp;CO166&amp;"%"),IF(AND(N(BX166)&gt;=99.95,CO166&lt;&gt;"",N(CO166)&lt;100),"Pend. "&amp;CO166&amp;"%",""))))</f>
        <v/>
      </c>
      <c r="AS166" s="40" t="str">
        <f aca="false">IF(OR(OR(NOT(AND(ISNUMBER(E166),ISNUMBER(F166))),$J$2=""),7&gt;MAX(1,Reprogramaciones!$U$15)),"",IF(Reprogramaciones!Q$12&gt;=7,"",IF(OR(BZ166-N(BY166)&gt;0.05,N(W166)&gt;0),ROUNDDOWN(ROUND(BZ166,6),0)&amp;"%"&amp;IF(CP166="",""," / "&amp;CP166&amp;"%"),IF(AND(N(BY166)&gt;=99.95,CP166&lt;&gt;"",N(CP166)&lt;100),"Pend. "&amp;CP166&amp;"%",""))))</f>
        <v/>
      </c>
      <c r="AT166" s="40" t="str">
        <f aca="false">IF(OR(OR(NOT(AND(ISNUMBER(E166),ISNUMBER(F166))),$J$2=""),8&gt;MAX(1,Reprogramaciones!$U$15)),"",IF(Reprogramaciones!R$12&gt;=7,"",IF(OR(CA166-N(BZ166)&gt;0.05,N(X166)&gt;0),ROUNDDOWN(ROUND(CA166,6),0)&amp;"%"&amp;IF(CQ166="",""," / "&amp;CQ166&amp;"%"),IF(AND(N(BZ166)&gt;=99.95,CQ166&lt;&gt;"",N(CQ166)&lt;100),"Pend. "&amp;CQ166&amp;"%",""))))</f>
        <v/>
      </c>
      <c r="AU166" s="40" t="str">
        <f aca="false">IF(OR(OR(NOT(AND(ISNUMBER(E166),ISNUMBER(F166))),$J$2=""),9&gt;MAX(1,Reprogramaciones!$U$15)),"",IF(Reprogramaciones!S$12&gt;=7,"",IF(OR(CB166-N(CA166)&gt;0.05,N(Y166)&gt;0),ROUNDDOWN(ROUND(CB166,6),0)&amp;"%"&amp;IF(CR166="",""," / "&amp;CR166&amp;"%"),IF(AND(N(CA166)&gt;=99.95,CR166&lt;&gt;"",N(CR166)&lt;100),"Pend. "&amp;CR166&amp;"%",""))))</f>
        <v/>
      </c>
      <c r="AV166" s="40" t="str">
        <f aca="false">IF(OR(OR(NOT(AND(ISNUMBER(E166),ISNUMBER(F166))),$J$2=""),10&gt;MAX(1,Reprogramaciones!$U$15)),"",IF(Reprogramaciones!T$12&gt;=7,"",IF(OR(CC166-N(CB166)&gt;0.05,N(Z166)&gt;0),ROUNDDOWN(ROUND(CC166,6),0)&amp;"%"&amp;IF(CS166="",""," / "&amp;CS166&amp;"%"),IF(AND(N(CB166)&gt;=99.95,CS166&lt;&gt;"",N(CS166)&lt;100),"Pend. "&amp;CS166&amp;"%",""))))</f>
        <v/>
      </c>
      <c r="AW166" s="40" t="str">
        <f aca="false">IF(OR(OR(NOT(AND(ISNUMBER(E166),ISNUMBER(F166))),$J$2=""),11&gt;MAX(1,Reprogramaciones!$U$15)),"",IF(Reprogramaciones!U$12&gt;=7,"",IF(OR(CD166-N(CC166)&gt;0.05,N(AA166)&gt;0),ROUNDDOWN(ROUND(CD166,6),0)&amp;"%"&amp;IF(CT166="",""," / "&amp;CT166&amp;"%"),IF(AND(N(CC166)&gt;=99.95,CT166&lt;&gt;"",N(CT166)&lt;100),"Pend. "&amp;CT166&amp;"%",""))))</f>
        <v/>
      </c>
      <c r="AX166" s="40" t="str">
        <f aca="false">IF(OR(OR(NOT(AND(ISNUMBER(E166),ISNUMBER(F166))),$J$2=""),12&gt;MAX(1,Reprogramaciones!$U$15)),"",IF(Reprogramaciones!V$12&gt;=7,"",IF(OR(CE166-N(CD166)&gt;0.05,N(AB166)&gt;0),ROUNDDOWN(ROUND(CE166,6),0)&amp;"%"&amp;IF(CU166="",""," / "&amp;CU166&amp;"%"),IF(AND(N(CD166)&gt;=99.95,CU166&lt;&gt;"",N(CU166)&lt;100),"Pend. "&amp;CU166&amp;"%",""))))</f>
        <v/>
      </c>
      <c r="AY166" s="40" t="str">
        <f aca="false">IF(OR(OR(NOT(AND(ISNUMBER(E166),ISNUMBER(F166))),$J$2=""),13&gt;MAX(1,Reprogramaciones!$U$15)),"",IF(Reprogramaciones!W$12&gt;=7,"",IF(OR(CF166-N(CE166)&gt;0.05,N(AC166)&gt;0),ROUNDDOWN(ROUND(CF166,6),0)&amp;"%"&amp;IF(CV166="",""," / "&amp;CV166&amp;"%"),IF(AND(N(CE166)&gt;=99.95,CV166&lt;&gt;"",N(CV166)&lt;100),"Pend. "&amp;CV166&amp;"%",""))))</f>
        <v/>
      </c>
      <c r="AZ166" s="40" t="str">
        <f aca="false">IF(OR(OR(NOT(AND(ISNUMBER(E166),ISNUMBER(F166))),$J$2=""),14&gt;MAX(1,Reprogramaciones!$U$15)),"",IF(Reprogramaciones!X$12&gt;=7,"",IF(OR(CG166-N(CF166)&gt;0.05,N(AD166)&gt;0),ROUNDDOWN(ROUND(CG166,6),0)&amp;"%"&amp;IF(CW166="",""," / "&amp;CW166&amp;"%"),IF(AND(N(CF166)&gt;=99.95,CW166&lt;&gt;"",N(CW166)&lt;100),"Pend. "&amp;CW166&amp;"%",""))))</f>
        <v/>
      </c>
      <c r="BA166" s="40" t="str">
        <f aca="false">IF(OR(OR(NOT(AND(ISNUMBER(E166),ISNUMBER(F166))),$J$2=""),15&gt;MAX(1,Reprogramaciones!$U$15)),"",IF(Reprogramaciones!Y$12&gt;=7,"",IF(OR(CH166-N(CG166)&gt;0.05,N(AE166)&gt;0),ROUNDDOWN(ROUND(CH166,6),0)&amp;"%"&amp;IF(CX166="",""," / "&amp;CX166&amp;"%"),IF(AND(N(CG166)&gt;=99.95,CX166&lt;&gt;"",N(CX166)&lt;100),"Pend. "&amp;CX166&amp;"%",""))))</f>
        <v/>
      </c>
      <c r="BB166" s="40" t="str">
        <f aca="false">IF(OR(OR(NOT(AND(ISNUMBER(E166),ISNUMBER(F166))),$J$2=""),16&gt;MAX(1,Reprogramaciones!$U$15)),"",IF(Reprogramaciones!Z$12&gt;=7,"",IF(OR(CI166-N(CH166)&gt;0.05,N(AF166)&gt;0),ROUNDDOWN(ROUND(CI166,6),0)&amp;"%"&amp;IF(CY166="",""," / "&amp;CY166&amp;"%"),IF(AND(N(CH166)&gt;=99.95,CY166&lt;&gt;"",N(CY166)&lt;100),"Pend. "&amp;CY166&amp;"%",""))))</f>
        <v/>
      </c>
      <c r="BC166" s="31" t="n">
        <f aca="false">IF(AND(ISNUMBER(E166),ISNUMBER(F166)),MAX(1,NETWORKDAYS.INTL(E166,F166,11)),0)</f>
        <v>0</v>
      </c>
      <c r="BD166" s="1" t="str">
        <f aca="false">IF(OR(NOT(AND(ISNUMBER(E166),ISNUMBER(F166))),$J$2=""),"",MIN(100,ROUND(SUM($G166:G166),1)))</f>
        <v/>
      </c>
      <c r="BE166" s="1" t="str">
        <f aca="false">IF(OR(NOT(AND(ISNUMBER(E166),ISNUMBER(F166))),$J$2=""),"",MIN(100,ROUND(SUM($G166:H166),1)))</f>
        <v/>
      </c>
      <c r="BF166" s="1" t="str">
        <f aca="false">IF(OR(NOT(AND(ISNUMBER(E166),ISNUMBER(F166))),$J$2=""),"",MIN(100,ROUND(SUM($G166:I166),1)))</f>
        <v/>
      </c>
      <c r="BG166" s="1" t="str">
        <f aca="false">IF(OR(NOT(AND(ISNUMBER(E166),ISNUMBER(F166))),$J$2=""),"",MIN(100,ROUND(SUM($G166:J166),1)))</f>
        <v/>
      </c>
      <c r="BH166" s="1" t="str">
        <f aca="false">IF(OR(NOT(AND(ISNUMBER(E166),ISNUMBER(F166))),$J$2=""),"",MIN(100,ROUND(SUM($G166:K166),1)))</f>
        <v/>
      </c>
      <c r="BI166" s="1" t="str">
        <f aca="false">IF(OR(NOT(AND(ISNUMBER(E166),ISNUMBER(F166))),$J$2=""),"",MIN(100,ROUND(SUM($G166:L166),1)))</f>
        <v/>
      </c>
      <c r="BJ166" s="1" t="str">
        <f aca="false">IF(OR(NOT(AND(ISNUMBER(E166),ISNUMBER(F166))),$J$2=""),"",MIN(100,ROUND(SUM($G166:M166),1)))</f>
        <v/>
      </c>
      <c r="BK166" s="1" t="str">
        <f aca="false">IF(OR(NOT(AND(ISNUMBER(E166),ISNUMBER(F166))),$J$2=""),"",MIN(100,ROUND(SUM($G166:N166),1)))</f>
        <v/>
      </c>
      <c r="BL166" s="1" t="str">
        <f aca="false">IF(OR(NOT(AND(ISNUMBER(E166),ISNUMBER(F166))),$J$2=""),"",MIN(100,ROUND(SUM($G166:O166),1)))</f>
        <v/>
      </c>
      <c r="BM166" s="1" t="str">
        <f aca="false">IF(OR(NOT(AND(ISNUMBER(E166),ISNUMBER(F166))),$J$2=""),"",MIN(100,ROUND(SUM($G166:P166),1)))</f>
        <v/>
      </c>
      <c r="BN166" s="1" t="str">
        <f aca="false">IF(OR(NOT(AND(ISNUMBER(E166),ISNUMBER(F166))),$J$2=""),"",MIN(100,ROUND(SUM($G166:P166),1)))</f>
        <v/>
      </c>
      <c r="BO166" s="1" t="str">
        <f aca="false">IF(OR(NOT(AND(ISNUMBER(E166),ISNUMBER(F166))),$J$2=""),"",MIN(100,ROUND(SUM($G166:P166),1)))</f>
        <v/>
      </c>
      <c r="BP166" s="1" t="str">
        <f aca="false">IF(OR(NOT(AND(ISNUMBER(E166),ISNUMBER(F166))),$J$2=""),"",MIN(100,ROUND(SUM($G166:P166),1)))</f>
        <v/>
      </c>
      <c r="BQ166" s="1" t="str">
        <f aca="false">IF(OR(NOT(AND(ISNUMBER(E166),ISNUMBER(F166))),$J$2=""),"",MIN(100,ROUND(SUM($G166:P166),1)))</f>
        <v/>
      </c>
      <c r="BR166" s="1" t="str">
        <f aca="false">IF(OR(NOT(AND(ISNUMBER(E166),ISNUMBER(F166))),$J$2=""),"",MIN(100,ROUND(SUM($G166:P166),1)))</f>
        <v/>
      </c>
      <c r="BS166" s="1" t="str">
        <f aca="false">IF(OR(NOT(AND(ISNUMBER(E166),ISNUMBER(F166))),$J$2=""),"",MIN(100,ROUND(SUM($G166:P166),1)))</f>
        <v/>
      </c>
      <c r="BT166" s="1" t="str">
        <f aca="false">IF(OR(NOT(AND(ISNUMBER(E166),ISNUMBER(F166))),$J$2=""),"",IF(Reprogramaciones!K$13&lt;Reprogramaciones!$T$15,0,IF(Reprogramaciones!K$14&gt;10,MIN(100,SUM($G166:$P166)),MIN(100,SUMPRODUCT((COLUMN($G166:$P166)-COLUMN($G166)+1&lt;Reprogramaciones!K$14)*$G166:$P166)+N(INDEX($G166:$P166,1,Reprogramaciones!K$14))*IF(Reprogramaciones!K$13&gt;=(Reprogramaciones!$T$15+7*(Reprogramaciones!K$14-1))+6,1,IF(MAX(0,NETWORKDAYS.INTL(MAX(E166,(Reprogramaciones!$T$15+7*(Reprogramaciones!K$14-1))),MIN(F166,(Reprogramaciones!$T$15+7*(Reprogramaciones!K$14-1))+6),11))=0,0,MAX(0,NETWORKDAYS.INTL(MAX(E166,(Reprogramaciones!$T$15+7*(Reprogramaciones!K$14-1))),MIN(F166,Reprogramaciones!K$13),11))/MAX(0,NETWORKDAYS.INTL(MAX(E166,(Reprogramaciones!$T$15+7*(Reprogramaciones!K$14-1))),MIN(F166,(Reprogramaciones!$T$15+7*(Reprogramaciones!K$14-1))+6),11))))))))</f>
        <v/>
      </c>
      <c r="BU166" s="1" t="str">
        <f aca="false">IF(OR(NOT(AND(ISNUMBER(E166),ISNUMBER(F166))),$J$2=""),"",IF(Reprogramaciones!L$13&lt;Reprogramaciones!$T$15,0,IF(Reprogramaciones!L$14&gt;10,MIN(100,SUM($G166:$P166)),MIN(100,SUMPRODUCT((COLUMN($G166:$P166)-COLUMN($G166)+1&lt;Reprogramaciones!L$14)*$G166:$P166)+N(INDEX($G166:$P166,1,Reprogramaciones!L$14))*IF(Reprogramaciones!L$13&gt;=(Reprogramaciones!$T$15+7*(Reprogramaciones!L$14-1))+6,1,IF(MAX(0,NETWORKDAYS.INTL(MAX(E166,(Reprogramaciones!$T$15+7*(Reprogramaciones!L$14-1))),MIN(F166,(Reprogramaciones!$T$15+7*(Reprogramaciones!L$14-1))+6),11))=0,0,MAX(0,NETWORKDAYS.INTL(MAX(E166,(Reprogramaciones!$T$15+7*(Reprogramaciones!L$14-1))),MIN(F166,Reprogramaciones!L$13),11))/MAX(0,NETWORKDAYS.INTL(MAX(E166,(Reprogramaciones!$T$15+7*(Reprogramaciones!L$14-1))),MIN(F166,(Reprogramaciones!$T$15+7*(Reprogramaciones!L$14-1))+6),11))))))))</f>
        <v/>
      </c>
      <c r="BV166" s="1" t="str">
        <f aca="false">IF(OR(NOT(AND(ISNUMBER(E166),ISNUMBER(F166))),$J$2=""),"",IF(Reprogramaciones!M$13&lt;Reprogramaciones!$T$15,0,IF(Reprogramaciones!M$14&gt;10,MIN(100,SUM($G166:$P166)),MIN(100,SUMPRODUCT((COLUMN($G166:$P166)-COLUMN($G166)+1&lt;Reprogramaciones!M$14)*$G166:$P166)+N(INDEX($G166:$P166,1,Reprogramaciones!M$14))*IF(Reprogramaciones!M$13&gt;=(Reprogramaciones!$T$15+7*(Reprogramaciones!M$14-1))+6,1,IF(MAX(0,NETWORKDAYS.INTL(MAX(E166,(Reprogramaciones!$T$15+7*(Reprogramaciones!M$14-1))),MIN(F166,(Reprogramaciones!$T$15+7*(Reprogramaciones!M$14-1))+6),11))=0,0,MAX(0,NETWORKDAYS.INTL(MAX(E166,(Reprogramaciones!$T$15+7*(Reprogramaciones!M$14-1))),MIN(F166,Reprogramaciones!M$13),11))/MAX(0,NETWORKDAYS.INTL(MAX(E166,(Reprogramaciones!$T$15+7*(Reprogramaciones!M$14-1))),MIN(F166,(Reprogramaciones!$T$15+7*(Reprogramaciones!M$14-1))+6),11))))))))</f>
        <v/>
      </c>
      <c r="BW166" s="1" t="str">
        <f aca="false">IF(OR(NOT(AND(ISNUMBER(E166),ISNUMBER(F166))),$J$2=""),"",IF(Reprogramaciones!N$13&lt;Reprogramaciones!$T$15,0,IF(Reprogramaciones!N$14&gt;10,MIN(100,SUM($G166:$P166)),MIN(100,SUMPRODUCT((COLUMN($G166:$P166)-COLUMN($G166)+1&lt;Reprogramaciones!N$14)*$G166:$P166)+N(INDEX($G166:$P166,1,Reprogramaciones!N$14))*IF(Reprogramaciones!N$13&gt;=(Reprogramaciones!$T$15+7*(Reprogramaciones!N$14-1))+6,1,IF(MAX(0,NETWORKDAYS.INTL(MAX(E166,(Reprogramaciones!$T$15+7*(Reprogramaciones!N$14-1))),MIN(F166,(Reprogramaciones!$T$15+7*(Reprogramaciones!N$14-1))+6),11))=0,0,MAX(0,NETWORKDAYS.INTL(MAX(E166,(Reprogramaciones!$T$15+7*(Reprogramaciones!N$14-1))),MIN(F166,Reprogramaciones!N$13),11))/MAX(0,NETWORKDAYS.INTL(MAX(E166,(Reprogramaciones!$T$15+7*(Reprogramaciones!N$14-1))),MIN(F166,(Reprogramaciones!$T$15+7*(Reprogramaciones!N$14-1))+6),11))))))))</f>
        <v/>
      </c>
      <c r="BX166" s="1" t="str">
        <f aca="false">IF(OR(NOT(AND(ISNUMBER(E166),ISNUMBER(F166))),$J$2=""),"",IF(Reprogramaciones!O$13&lt;Reprogramaciones!$T$15,0,IF(Reprogramaciones!O$14&gt;10,MIN(100,SUM($G166:$P166)),MIN(100,SUMPRODUCT((COLUMN($G166:$P166)-COLUMN($G166)+1&lt;Reprogramaciones!O$14)*$G166:$P166)+N(INDEX($G166:$P166,1,Reprogramaciones!O$14))*IF(Reprogramaciones!O$13&gt;=(Reprogramaciones!$T$15+7*(Reprogramaciones!O$14-1))+6,1,IF(MAX(0,NETWORKDAYS.INTL(MAX(E166,(Reprogramaciones!$T$15+7*(Reprogramaciones!O$14-1))),MIN(F166,(Reprogramaciones!$T$15+7*(Reprogramaciones!O$14-1))+6),11))=0,0,MAX(0,NETWORKDAYS.INTL(MAX(E166,(Reprogramaciones!$T$15+7*(Reprogramaciones!O$14-1))),MIN(F166,Reprogramaciones!O$13),11))/MAX(0,NETWORKDAYS.INTL(MAX(E166,(Reprogramaciones!$T$15+7*(Reprogramaciones!O$14-1))),MIN(F166,(Reprogramaciones!$T$15+7*(Reprogramaciones!O$14-1))+6),11))))))))</f>
        <v/>
      </c>
      <c r="BY166" s="1" t="str">
        <f aca="false">IF(OR(NOT(AND(ISNUMBER(E166),ISNUMBER(F166))),$J$2=""),"",IF(Reprogramaciones!P$13&lt;Reprogramaciones!$T$15,0,IF(Reprogramaciones!P$14&gt;10,MIN(100,SUM($G166:$P166)),MIN(100,SUMPRODUCT((COLUMN($G166:$P166)-COLUMN($G166)+1&lt;Reprogramaciones!P$14)*$G166:$P166)+N(INDEX($G166:$P166,1,Reprogramaciones!P$14))*IF(Reprogramaciones!P$13&gt;=(Reprogramaciones!$T$15+7*(Reprogramaciones!P$14-1))+6,1,IF(MAX(0,NETWORKDAYS.INTL(MAX(E166,(Reprogramaciones!$T$15+7*(Reprogramaciones!P$14-1))),MIN(F166,(Reprogramaciones!$T$15+7*(Reprogramaciones!P$14-1))+6),11))=0,0,MAX(0,NETWORKDAYS.INTL(MAX(E166,(Reprogramaciones!$T$15+7*(Reprogramaciones!P$14-1))),MIN(F166,Reprogramaciones!P$13),11))/MAX(0,NETWORKDAYS.INTL(MAX(E166,(Reprogramaciones!$T$15+7*(Reprogramaciones!P$14-1))),MIN(F166,(Reprogramaciones!$T$15+7*(Reprogramaciones!P$14-1))+6),11))))))))</f>
        <v/>
      </c>
      <c r="BZ166" s="1" t="str">
        <f aca="false">IF(OR(NOT(AND(ISNUMBER(E166),ISNUMBER(F166))),$J$2=""),"",IF(Reprogramaciones!Q$13&lt;Reprogramaciones!$T$15,0,IF(Reprogramaciones!Q$14&gt;10,MIN(100,SUM($G166:$P166)),MIN(100,SUMPRODUCT((COLUMN($G166:$P166)-COLUMN($G166)+1&lt;Reprogramaciones!Q$14)*$G166:$P166)+N(INDEX($G166:$P166,1,Reprogramaciones!Q$14))*IF(Reprogramaciones!Q$13&gt;=(Reprogramaciones!$T$15+7*(Reprogramaciones!Q$14-1))+6,1,IF(MAX(0,NETWORKDAYS.INTL(MAX(E166,(Reprogramaciones!$T$15+7*(Reprogramaciones!Q$14-1))),MIN(F166,(Reprogramaciones!$T$15+7*(Reprogramaciones!Q$14-1))+6),11))=0,0,MAX(0,NETWORKDAYS.INTL(MAX(E166,(Reprogramaciones!$T$15+7*(Reprogramaciones!Q$14-1))),MIN(F166,Reprogramaciones!Q$13),11))/MAX(0,NETWORKDAYS.INTL(MAX(E166,(Reprogramaciones!$T$15+7*(Reprogramaciones!Q$14-1))),MIN(F166,(Reprogramaciones!$T$15+7*(Reprogramaciones!Q$14-1))+6),11))))))))</f>
        <v/>
      </c>
      <c r="CA166" s="1" t="str">
        <f aca="false">IF(OR(NOT(AND(ISNUMBER(E166),ISNUMBER(F166))),$J$2=""),"",IF(Reprogramaciones!R$13&lt;Reprogramaciones!$T$15,0,IF(Reprogramaciones!R$14&gt;10,MIN(100,SUM($G166:$P166)),MIN(100,SUMPRODUCT((COLUMN($G166:$P166)-COLUMN($G166)+1&lt;Reprogramaciones!R$14)*$G166:$P166)+N(INDEX($G166:$P166,1,Reprogramaciones!R$14))*IF(Reprogramaciones!R$13&gt;=(Reprogramaciones!$T$15+7*(Reprogramaciones!R$14-1))+6,1,IF(MAX(0,NETWORKDAYS.INTL(MAX(E166,(Reprogramaciones!$T$15+7*(Reprogramaciones!R$14-1))),MIN(F166,(Reprogramaciones!$T$15+7*(Reprogramaciones!R$14-1))+6),11))=0,0,MAX(0,NETWORKDAYS.INTL(MAX(E166,(Reprogramaciones!$T$15+7*(Reprogramaciones!R$14-1))),MIN(F166,Reprogramaciones!R$13),11))/MAX(0,NETWORKDAYS.INTL(MAX(E166,(Reprogramaciones!$T$15+7*(Reprogramaciones!R$14-1))),MIN(F166,(Reprogramaciones!$T$15+7*(Reprogramaciones!R$14-1))+6),11))))))))</f>
        <v/>
      </c>
      <c r="CB166" s="1" t="str">
        <f aca="false">IF(OR(NOT(AND(ISNUMBER(E166),ISNUMBER(F166))),$J$2=""),"",IF(Reprogramaciones!S$13&lt;Reprogramaciones!$T$15,0,IF(Reprogramaciones!S$14&gt;10,MIN(100,SUM($G166:$P166)),MIN(100,SUMPRODUCT((COLUMN($G166:$P166)-COLUMN($G166)+1&lt;Reprogramaciones!S$14)*$G166:$P166)+N(INDEX($G166:$P166,1,Reprogramaciones!S$14))*IF(Reprogramaciones!S$13&gt;=(Reprogramaciones!$T$15+7*(Reprogramaciones!S$14-1))+6,1,IF(MAX(0,NETWORKDAYS.INTL(MAX(E166,(Reprogramaciones!$T$15+7*(Reprogramaciones!S$14-1))),MIN(F166,(Reprogramaciones!$T$15+7*(Reprogramaciones!S$14-1))+6),11))=0,0,MAX(0,NETWORKDAYS.INTL(MAX(E166,(Reprogramaciones!$T$15+7*(Reprogramaciones!S$14-1))),MIN(F166,Reprogramaciones!S$13),11))/MAX(0,NETWORKDAYS.INTL(MAX(E166,(Reprogramaciones!$T$15+7*(Reprogramaciones!S$14-1))),MIN(F166,(Reprogramaciones!$T$15+7*(Reprogramaciones!S$14-1))+6),11))))))))</f>
        <v/>
      </c>
      <c r="CC166" s="1" t="str">
        <f aca="false">IF(OR(NOT(AND(ISNUMBER(E166),ISNUMBER(F166))),$J$2=""),"",IF(Reprogramaciones!T$13&lt;Reprogramaciones!$T$15,0,IF(Reprogramaciones!T$14&gt;10,MIN(100,SUM($G166:$P166)),MIN(100,SUMPRODUCT((COLUMN($G166:$P166)-COLUMN($G166)+1&lt;Reprogramaciones!T$14)*$G166:$P166)+N(INDEX($G166:$P166,1,Reprogramaciones!T$14))*IF(Reprogramaciones!T$13&gt;=(Reprogramaciones!$T$15+7*(Reprogramaciones!T$14-1))+6,1,IF(MAX(0,NETWORKDAYS.INTL(MAX(E166,(Reprogramaciones!$T$15+7*(Reprogramaciones!T$14-1))),MIN(F166,(Reprogramaciones!$T$15+7*(Reprogramaciones!T$14-1))+6),11))=0,0,MAX(0,NETWORKDAYS.INTL(MAX(E166,(Reprogramaciones!$T$15+7*(Reprogramaciones!T$14-1))),MIN(F166,Reprogramaciones!T$13),11))/MAX(0,NETWORKDAYS.INTL(MAX(E166,(Reprogramaciones!$T$15+7*(Reprogramaciones!T$14-1))),MIN(F166,(Reprogramaciones!$T$15+7*(Reprogramaciones!T$14-1))+6),11))))))))</f>
        <v/>
      </c>
      <c r="CD166" s="1" t="str">
        <f aca="false">IF(OR(NOT(AND(ISNUMBER(E166),ISNUMBER(F166))),$J$2=""),"",IF(Reprogramaciones!U$13&lt;Reprogramaciones!$T$15,0,IF(Reprogramaciones!U$14&gt;10,MIN(100,SUM($G166:$P166)),MIN(100,SUMPRODUCT((COLUMN($G166:$P166)-COLUMN($G166)+1&lt;Reprogramaciones!U$14)*$G166:$P166)+N(INDEX($G166:$P166,1,Reprogramaciones!U$14))*IF(Reprogramaciones!U$13&gt;=(Reprogramaciones!$T$15+7*(Reprogramaciones!U$14-1))+6,1,IF(MAX(0,NETWORKDAYS.INTL(MAX(E166,(Reprogramaciones!$T$15+7*(Reprogramaciones!U$14-1))),MIN(F166,(Reprogramaciones!$T$15+7*(Reprogramaciones!U$14-1))+6),11))=0,0,MAX(0,NETWORKDAYS.INTL(MAX(E166,(Reprogramaciones!$T$15+7*(Reprogramaciones!U$14-1))),MIN(F166,Reprogramaciones!U$13),11))/MAX(0,NETWORKDAYS.INTL(MAX(E166,(Reprogramaciones!$T$15+7*(Reprogramaciones!U$14-1))),MIN(F166,(Reprogramaciones!$T$15+7*(Reprogramaciones!U$14-1))+6),11))))))))</f>
        <v/>
      </c>
      <c r="CE166" s="1" t="str">
        <f aca="false">IF(OR(NOT(AND(ISNUMBER(E166),ISNUMBER(F166))),$J$2=""),"",IF(Reprogramaciones!V$13&lt;Reprogramaciones!$T$15,0,IF(Reprogramaciones!V$14&gt;10,MIN(100,SUM($G166:$P166)),MIN(100,SUMPRODUCT((COLUMN($G166:$P166)-COLUMN($G166)+1&lt;Reprogramaciones!V$14)*$G166:$P166)+N(INDEX($G166:$P166,1,Reprogramaciones!V$14))*IF(Reprogramaciones!V$13&gt;=(Reprogramaciones!$T$15+7*(Reprogramaciones!V$14-1))+6,1,IF(MAX(0,NETWORKDAYS.INTL(MAX(E166,(Reprogramaciones!$T$15+7*(Reprogramaciones!V$14-1))),MIN(F166,(Reprogramaciones!$T$15+7*(Reprogramaciones!V$14-1))+6),11))=0,0,MAX(0,NETWORKDAYS.INTL(MAX(E166,(Reprogramaciones!$T$15+7*(Reprogramaciones!V$14-1))),MIN(F166,Reprogramaciones!V$13),11))/MAX(0,NETWORKDAYS.INTL(MAX(E166,(Reprogramaciones!$T$15+7*(Reprogramaciones!V$14-1))),MIN(F166,(Reprogramaciones!$T$15+7*(Reprogramaciones!V$14-1))+6),11))))))))</f>
        <v/>
      </c>
      <c r="CF166" s="1" t="str">
        <f aca="false">IF(OR(NOT(AND(ISNUMBER(E166),ISNUMBER(F166))),$J$2=""),"",IF(Reprogramaciones!W$13&lt;Reprogramaciones!$T$15,0,IF(Reprogramaciones!W$14&gt;10,MIN(100,SUM($G166:$P166)),MIN(100,SUMPRODUCT((COLUMN($G166:$P166)-COLUMN($G166)+1&lt;Reprogramaciones!W$14)*$G166:$P166)+N(INDEX($G166:$P166,1,Reprogramaciones!W$14))*IF(Reprogramaciones!W$13&gt;=(Reprogramaciones!$T$15+7*(Reprogramaciones!W$14-1))+6,1,IF(MAX(0,NETWORKDAYS.INTL(MAX(E166,(Reprogramaciones!$T$15+7*(Reprogramaciones!W$14-1))),MIN(F166,(Reprogramaciones!$T$15+7*(Reprogramaciones!W$14-1))+6),11))=0,0,MAX(0,NETWORKDAYS.INTL(MAX(E166,(Reprogramaciones!$T$15+7*(Reprogramaciones!W$14-1))),MIN(F166,Reprogramaciones!W$13),11))/MAX(0,NETWORKDAYS.INTL(MAX(E166,(Reprogramaciones!$T$15+7*(Reprogramaciones!W$14-1))),MIN(F166,(Reprogramaciones!$T$15+7*(Reprogramaciones!W$14-1))+6),11))))))))</f>
        <v/>
      </c>
      <c r="CG166" s="1" t="str">
        <f aca="false">IF(OR(NOT(AND(ISNUMBER(E166),ISNUMBER(F166))),$J$2=""),"",IF(Reprogramaciones!X$13&lt;Reprogramaciones!$T$15,0,IF(Reprogramaciones!X$14&gt;10,MIN(100,SUM($G166:$P166)),MIN(100,SUMPRODUCT((COLUMN($G166:$P166)-COLUMN($G166)+1&lt;Reprogramaciones!X$14)*$G166:$P166)+N(INDEX($G166:$P166,1,Reprogramaciones!X$14))*IF(Reprogramaciones!X$13&gt;=(Reprogramaciones!$T$15+7*(Reprogramaciones!X$14-1))+6,1,IF(MAX(0,NETWORKDAYS.INTL(MAX(E166,(Reprogramaciones!$T$15+7*(Reprogramaciones!X$14-1))),MIN(F166,(Reprogramaciones!$T$15+7*(Reprogramaciones!X$14-1))+6),11))=0,0,MAX(0,NETWORKDAYS.INTL(MAX(E166,(Reprogramaciones!$T$15+7*(Reprogramaciones!X$14-1))),MIN(F166,Reprogramaciones!X$13),11))/MAX(0,NETWORKDAYS.INTL(MAX(E166,(Reprogramaciones!$T$15+7*(Reprogramaciones!X$14-1))),MIN(F166,(Reprogramaciones!$T$15+7*(Reprogramaciones!X$14-1))+6),11))))))))</f>
        <v/>
      </c>
      <c r="CH166" s="1" t="str">
        <f aca="false">IF(OR(NOT(AND(ISNUMBER(E166),ISNUMBER(F166))),$J$2=""),"",IF(Reprogramaciones!Y$13&lt;Reprogramaciones!$T$15,0,IF(Reprogramaciones!Y$14&gt;10,MIN(100,SUM($G166:$P166)),MIN(100,SUMPRODUCT((COLUMN($G166:$P166)-COLUMN($G166)+1&lt;Reprogramaciones!Y$14)*$G166:$P166)+N(INDEX($G166:$P166,1,Reprogramaciones!Y$14))*IF(Reprogramaciones!Y$13&gt;=(Reprogramaciones!$T$15+7*(Reprogramaciones!Y$14-1))+6,1,IF(MAX(0,NETWORKDAYS.INTL(MAX(E166,(Reprogramaciones!$T$15+7*(Reprogramaciones!Y$14-1))),MIN(F166,(Reprogramaciones!$T$15+7*(Reprogramaciones!Y$14-1))+6),11))=0,0,MAX(0,NETWORKDAYS.INTL(MAX(E166,(Reprogramaciones!$T$15+7*(Reprogramaciones!Y$14-1))),MIN(F166,Reprogramaciones!Y$13),11))/MAX(0,NETWORKDAYS.INTL(MAX(E166,(Reprogramaciones!$T$15+7*(Reprogramaciones!Y$14-1))),MIN(F166,(Reprogramaciones!$T$15+7*(Reprogramaciones!Y$14-1))+6),11))))))))</f>
        <v/>
      </c>
      <c r="CI166" s="1" t="str">
        <f aca="false">IF(OR(NOT(AND(ISNUMBER(E166),ISNUMBER(F166))),$J$2=""),"",IF(Reprogramaciones!Z$13&lt;Reprogramaciones!$T$15,0,IF(Reprogramaciones!Z$14&gt;10,MIN(100,SUM($G166:$P166)),MIN(100,SUMPRODUCT((COLUMN($G166:$P166)-COLUMN($G166)+1&lt;Reprogramaciones!Z$14)*$G166:$P166)+N(INDEX($G166:$P166,1,Reprogramaciones!Z$14))*IF(Reprogramaciones!Z$13&gt;=(Reprogramaciones!$T$15+7*(Reprogramaciones!Z$14-1))+6,1,IF(MAX(0,NETWORKDAYS.INTL(MAX(E166,(Reprogramaciones!$T$15+7*(Reprogramaciones!Z$14-1))),MIN(F166,(Reprogramaciones!$T$15+7*(Reprogramaciones!Z$14-1))+6),11))=0,0,MAX(0,NETWORKDAYS.INTL(MAX(E166,(Reprogramaciones!$T$15+7*(Reprogramaciones!Z$14-1))),MIN(F166,Reprogramaciones!Z$13),11))/MAX(0,NETWORKDAYS.INTL(MAX(E166,(Reprogramaciones!$T$15+7*(Reprogramaciones!Z$14-1))),MIN(F166,(Reprogramaciones!$T$15+7*(Reprogramaciones!Z$14-1))+6),11))))))))</f>
        <v/>
      </c>
      <c r="CJ166" s="1" t="str">
        <f aca="false">IF(OR(OR(NOT(AND(ISNUMBER(E166),ISNUMBER(F166))),$J$2=""),1&gt;Reprogramaciones!$K$16),"",IF(ROUND(SUM($Q166:Q166),1)&gt;=99.5,100,MIN(100,ROUND(SUM($Q166:Q166),1))))</f>
        <v/>
      </c>
      <c r="CK166" s="1" t="str">
        <f aca="false">IF(OR(OR(NOT(AND(ISNUMBER(E166),ISNUMBER(F166))),$J$2=""),2&gt;Reprogramaciones!$K$16),"",IF(ROUND(SUM($Q166:R166),1)&gt;=99.5,100,MIN(100,ROUND(SUM($Q166:R166),1))))</f>
        <v/>
      </c>
      <c r="CL166" s="1" t="str">
        <f aca="false">IF(OR(OR(NOT(AND(ISNUMBER(E166),ISNUMBER(F166))),$J$2=""),3&gt;Reprogramaciones!$K$16),"",IF(ROUND(SUM($Q166:S166),1)&gt;=99.5,100,MIN(100,ROUND(SUM($Q166:S166),1))))</f>
        <v/>
      </c>
      <c r="CM166" s="1" t="str">
        <f aca="false">IF(OR(OR(NOT(AND(ISNUMBER(E166),ISNUMBER(F166))),$J$2=""),4&gt;Reprogramaciones!$K$16),"",IF(ROUND(SUM($Q166:T166),1)&gt;=99.5,100,MIN(100,ROUND(SUM($Q166:T166),1))))</f>
        <v/>
      </c>
      <c r="CN166" s="1" t="str">
        <f aca="false">IF(OR(OR(NOT(AND(ISNUMBER(E166),ISNUMBER(F166))),$J$2=""),5&gt;Reprogramaciones!$K$16),"",IF(ROUND(SUM($Q166:U166),1)&gt;=99.5,100,MIN(100,ROUND(SUM($Q166:U166),1))))</f>
        <v/>
      </c>
      <c r="CO166" s="1" t="str">
        <f aca="false">IF(OR(OR(NOT(AND(ISNUMBER(E166),ISNUMBER(F166))),$J$2=""),6&gt;Reprogramaciones!$K$16),"",IF(ROUND(SUM($Q166:V166),1)&gt;=99.5,100,MIN(100,ROUND(SUM($Q166:V166),1))))</f>
        <v/>
      </c>
      <c r="CP166" s="1" t="str">
        <f aca="false">IF(OR(OR(NOT(AND(ISNUMBER(E166),ISNUMBER(F166))),$J$2=""),7&gt;Reprogramaciones!$K$16),"",IF(ROUND(SUM($Q166:W166),1)&gt;=99.5,100,MIN(100,ROUND(SUM($Q166:W166),1))))</f>
        <v/>
      </c>
      <c r="CQ166" s="1" t="str">
        <f aca="false">IF(OR(OR(NOT(AND(ISNUMBER(E166),ISNUMBER(F166))),$J$2=""),8&gt;Reprogramaciones!$K$16),"",IF(ROUND(SUM($Q166:X166),1)&gt;=99.5,100,MIN(100,ROUND(SUM($Q166:X166),1))))</f>
        <v/>
      </c>
      <c r="CR166" s="1" t="str">
        <f aca="false">IF(OR(OR(NOT(AND(ISNUMBER(E166),ISNUMBER(F166))),$J$2=""),9&gt;Reprogramaciones!$K$16),"",IF(ROUND(SUM($Q166:Y166),1)&gt;=99.5,100,MIN(100,ROUND(SUM($Q166:Y166),1))))</f>
        <v/>
      </c>
      <c r="CS166" s="1" t="str">
        <f aca="false">IF(OR(OR(NOT(AND(ISNUMBER(E166),ISNUMBER(F166))),$J$2=""),10&gt;Reprogramaciones!$K$16),"",IF(ROUND(SUM($Q166:Z166),1)&gt;=99.5,100,MIN(100,ROUND(SUM($Q166:Z166),1))))</f>
        <v/>
      </c>
      <c r="CT166" s="1" t="str">
        <f aca="false">IF(OR(OR(NOT(AND(ISNUMBER(E166),ISNUMBER(F166))),$J$2=""),11&gt;Reprogramaciones!$K$16),"",IF(ROUND(SUM($Q166:AA166),1)&gt;=99.5,100,MIN(100,ROUND(SUM($Q166:AA166),1))))</f>
        <v/>
      </c>
      <c r="CU166" s="1" t="str">
        <f aca="false">IF(OR(OR(NOT(AND(ISNUMBER(E166),ISNUMBER(F166))),$J$2=""),12&gt;Reprogramaciones!$K$16),"",IF(ROUND(SUM($Q166:AB166),1)&gt;=99.5,100,MIN(100,ROUND(SUM($Q166:AB166),1))))</f>
        <v/>
      </c>
      <c r="CV166" s="1" t="str">
        <f aca="false">IF(OR(OR(NOT(AND(ISNUMBER(E166),ISNUMBER(F166))),$J$2=""),13&gt;Reprogramaciones!$K$16),"",IF(ROUND(SUM($Q166:AC166),1)&gt;=99.5,100,MIN(100,ROUND(SUM($Q166:AC166),1))))</f>
        <v/>
      </c>
      <c r="CW166" s="1" t="str">
        <f aca="false">IF(OR(OR(NOT(AND(ISNUMBER(E166),ISNUMBER(F166))),$J$2=""),14&gt;Reprogramaciones!$K$16),"",IF(ROUND(SUM($Q166:AD166),1)&gt;=99.5,100,MIN(100,ROUND(SUM($Q166:AD166),1))))</f>
        <v/>
      </c>
      <c r="CX166" s="1" t="str">
        <f aca="false">IF(OR(OR(NOT(AND(ISNUMBER(E166),ISNUMBER(F166))),$J$2=""),15&gt;Reprogramaciones!$K$16),"",IF(ROUND(SUM($Q166:AE166),1)&gt;=99.5,100,MIN(100,ROUND(SUM($Q166:AE166),1))))</f>
        <v/>
      </c>
      <c r="CY166" s="1" t="str">
        <f aca="false">IF(OR(OR(NOT(AND(ISNUMBER(E166),ISNUMBER(F166))),$J$2=""),16&gt;Reprogramaciones!$K$16),"",IF(ROUND(SUM($Q166:AF166),1)&gt;=99.5,100,MIN(100,ROUND(SUM($Q166:AF166),1))))</f>
        <v/>
      </c>
      <c r="CZ166" s="1" t="str">
        <f aca="false">IF(D166&lt;&gt;"",D166,IF(B166&lt;&gt;"","Contractual",CZ165))</f>
        <v>Contractual</v>
      </c>
      <c r="DA166" s="1" t="str">
        <f aca="false">IF(OR(NOT(AND(ISNUMBER(E166),ISNUMBER(F166))),$J$2=""),"",IF(Reprogramaciones!$Q$15&lt;Reprogramaciones!$T$15,0,IF(Reprogramaciones!$S$15&gt;10,MIN(100,SUM($G166:$P166)),MIN(100,SUMPRODUCT((COLUMN($G166:$P166)-COLUMN($G166)+1&lt;Reprogramaciones!$S$15)*$G166:$P166)+N(INDEX($G166:$P166,1,Reprogramaciones!$S$15))*IF(Reprogramaciones!$Q$15&gt;=(Reprogramaciones!$T$15+7*(Reprogramaciones!$S$15-1))+6,1,IF(MAX(0,NETWORKDAYS.INTL(MAX(E166,(Reprogramaciones!$T$15+7*(Reprogramaciones!$S$15-1))),MIN(F166,(Reprogramaciones!$T$15+7*(Reprogramaciones!$S$15-1))+6),11))=0,0,MAX(0,NETWORKDAYS.INTL(MAX(E166,(Reprogramaciones!$T$15+7*(Reprogramaciones!$S$15-1))),MIN(F166,Reprogramaciones!$Q$15),11))/MAX(0,NETWORKDAYS.INTL(MAX(E166,(Reprogramaciones!$T$15+7*(Reprogramaciones!$S$15-1))),MIN(F166,(Reprogramaciones!$T$15+7*(Reprogramaciones!$S$15-1))+6),11))))))))</f>
        <v/>
      </c>
    </row>
    <row r="167" customFormat="false" ht="15" hidden="false" customHeight="false" outlineLevel="0" collapsed="false">
      <c r="A167" s="32"/>
      <c r="B167" s="33"/>
      <c r="C167" s="33"/>
      <c r="D167" s="34"/>
      <c r="E167" s="35"/>
      <c r="F167" s="35"/>
      <c r="G167" s="36" t="str">
        <f aca="false">IF(OR(NOT(AND(ISNUMBER(E167),ISNUMBER(F167))),$J$2=""),"",IF(Reprogramaciones!K$9&lt;E167,0,IF(NETWORKDAYS.INTL(E167,F167,11)=0,IF(Reprogramaciones!K$9&gt;=F167,100,0),ROUND(NETWORKDAYS.INTL(E167,MIN(F167,Reprogramaciones!K$9),11)/NETWORKDAYS.INTL(E167,F167,11)*100,1)))-0)</f>
        <v/>
      </c>
      <c r="H167" s="36" t="str">
        <f aca="false">IF(OR(NOT(AND(ISNUMBER(E167),ISNUMBER(F167))),$J$2=""),"",IF(Reprogramaciones!L$9&lt;E167,0,IF(NETWORKDAYS.INTL(E167,F167,11)=0,IF(Reprogramaciones!L$9&gt;=F167,100,0),ROUND(NETWORKDAYS.INTL(E167,MIN(F167,Reprogramaciones!L$9),11)/NETWORKDAYS.INTL(E167,F167,11)*100,1)))-IF(Reprogramaciones!K$9&lt;E167,0,IF(NETWORKDAYS.INTL(E167,F167,11)=0,IF(Reprogramaciones!K$9&gt;=F167,100,0),ROUND(NETWORKDAYS.INTL(E167,MIN(F167,Reprogramaciones!K$9),11)/NETWORKDAYS.INTL(E167,F167,11)*100,1))))</f>
        <v/>
      </c>
      <c r="I167" s="36" t="str">
        <f aca="false">IF(OR(NOT(AND(ISNUMBER(E167),ISNUMBER(F167))),$J$2=""),"",IF(Reprogramaciones!M$9&lt;E167,0,IF(NETWORKDAYS.INTL(E167,F167,11)=0,IF(Reprogramaciones!M$9&gt;=F167,100,0),ROUND(NETWORKDAYS.INTL(E167,MIN(F167,Reprogramaciones!M$9),11)/NETWORKDAYS.INTL(E167,F167,11)*100,1)))-IF(Reprogramaciones!L$9&lt;E167,0,IF(NETWORKDAYS.INTL(E167,F167,11)=0,IF(Reprogramaciones!L$9&gt;=F167,100,0),ROUND(NETWORKDAYS.INTL(E167,MIN(F167,Reprogramaciones!L$9),11)/NETWORKDAYS.INTL(E167,F167,11)*100,1))))</f>
        <v/>
      </c>
      <c r="J167" s="36" t="str">
        <f aca="false">IF(OR(NOT(AND(ISNUMBER(E167),ISNUMBER(F167))),$J$2=""),"",IF(Reprogramaciones!N$9&lt;E167,0,IF(NETWORKDAYS.INTL(E167,F167,11)=0,IF(Reprogramaciones!N$9&gt;=F167,100,0),ROUND(NETWORKDAYS.INTL(E167,MIN(F167,Reprogramaciones!N$9),11)/NETWORKDAYS.INTL(E167,F167,11)*100,1)))-IF(Reprogramaciones!M$9&lt;E167,0,IF(NETWORKDAYS.INTL(E167,F167,11)=0,IF(Reprogramaciones!M$9&gt;=F167,100,0),ROUND(NETWORKDAYS.INTL(E167,MIN(F167,Reprogramaciones!M$9),11)/NETWORKDAYS.INTL(E167,F167,11)*100,1))))</f>
        <v/>
      </c>
      <c r="K167" s="36" t="str">
        <f aca="false">IF(OR(NOT(AND(ISNUMBER(E167),ISNUMBER(F167))),$J$2=""),"",IF(Reprogramaciones!O$9&lt;E167,0,IF(NETWORKDAYS.INTL(E167,F167,11)=0,IF(Reprogramaciones!O$9&gt;=F167,100,0),ROUND(NETWORKDAYS.INTL(E167,MIN(F167,Reprogramaciones!O$9),11)/NETWORKDAYS.INTL(E167,F167,11)*100,1)))-IF(Reprogramaciones!N$9&lt;E167,0,IF(NETWORKDAYS.INTL(E167,F167,11)=0,IF(Reprogramaciones!N$9&gt;=F167,100,0),ROUND(NETWORKDAYS.INTL(E167,MIN(F167,Reprogramaciones!N$9),11)/NETWORKDAYS.INTL(E167,F167,11)*100,1))))</f>
        <v/>
      </c>
      <c r="L167" s="36" t="str">
        <f aca="false">IF(OR(NOT(AND(ISNUMBER(E167),ISNUMBER(F167))),$J$2=""),"",IF(Reprogramaciones!P$9&lt;E167,0,IF(NETWORKDAYS.INTL(E167,F167,11)=0,IF(Reprogramaciones!P$9&gt;=F167,100,0),ROUND(NETWORKDAYS.INTL(E167,MIN(F167,Reprogramaciones!P$9),11)/NETWORKDAYS.INTL(E167,F167,11)*100,1)))-IF(Reprogramaciones!O$9&lt;E167,0,IF(NETWORKDAYS.INTL(E167,F167,11)=0,IF(Reprogramaciones!O$9&gt;=F167,100,0),ROUND(NETWORKDAYS.INTL(E167,MIN(F167,Reprogramaciones!O$9),11)/NETWORKDAYS.INTL(E167,F167,11)*100,1))))</f>
        <v/>
      </c>
      <c r="M167" s="36" t="str">
        <f aca="false">IF(OR(NOT(AND(ISNUMBER(E167),ISNUMBER(F167))),$J$2=""),"",IF(Reprogramaciones!Q$9&lt;E167,0,IF(NETWORKDAYS.INTL(E167,F167,11)=0,IF(Reprogramaciones!Q$9&gt;=F167,100,0),ROUND(NETWORKDAYS.INTL(E167,MIN(F167,Reprogramaciones!Q$9),11)/NETWORKDAYS.INTL(E167,F167,11)*100,1)))-IF(Reprogramaciones!P$9&lt;E167,0,IF(NETWORKDAYS.INTL(E167,F167,11)=0,IF(Reprogramaciones!P$9&gt;=F167,100,0),ROUND(NETWORKDAYS.INTL(E167,MIN(F167,Reprogramaciones!P$9),11)/NETWORKDAYS.INTL(E167,F167,11)*100,1))))</f>
        <v/>
      </c>
      <c r="N167" s="36" t="str">
        <f aca="false">IF(OR(NOT(AND(ISNUMBER(E167),ISNUMBER(F167))),$J$2=""),"",IF(Reprogramaciones!R$9&lt;E167,0,IF(NETWORKDAYS.INTL(E167,F167,11)=0,IF(Reprogramaciones!R$9&gt;=F167,100,0),ROUND(NETWORKDAYS.INTL(E167,MIN(F167,Reprogramaciones!R$9),11)/NETWORKDAYS.INTL(E167,F167,11)*100,1)))-IF(Reprogramaciones!Q$9&lt;E167,0,IF(NETWORKDAYS.INTL(E167,F167,11)=0,IF(Reprogramaciones!Q$9&gt;=F167,100,0),ROUND(NETWORKDAYS.INTL(E167,MIN(F167,Reprogramaciones!Q$9),11)/NETWORKDAYS.INTL(E167,F167,11)*100,1))))</f>
        <v/>
      </c>
      <c r="O167" s="36" t="str">
        <f aca="false">IF(OR(NOT(AND(ISNUMBER(E167),ISNUMBER(F167))),$J$2=""),"",IF(Reprogramaciones!S$9&lt;E167,0,IF(NETWORKDAYS.INTL(E167,F167,11)=0,IF(Reprogramaciones!S$9&gt;=F167,100,0),ROUND(NETWORKDAYS.INTL(E167,MIN(F167,Reprogramaciones!S$9),11)/NETWORKDAYS.INTL(E167,F167,11)*100,1)))-IF(Reprogramaciones!R$9&lt;E167,0,IF(NETWORKDAYS.INTL(E167,F167,11)=0,IF(Reprogramaciones!R$9&gt;=F167,100,0),ROUND(NETWORKDAYS.INTL(E167,MIN(F167,Reprogramaciones!R$9),11)/NETWORKDAYS.INTL(E167,F167,11)*100,1))))</f>
        <v/>
      </c>
      <c r="P167" s="36" t="str">
        <f aca="false">IF(OR(NOT(AND(ISNUMBER(E167),ISNUMBER(F167))),$J$2=""),"",IF(Reprogramaciones!T$9&lt;E167,0,IF(NETWORKDAYS.INTL(E167,F167,11)=0,IF(Reprogramaciones!T$9&gt;=F167,100,0),ROUND(NETWORKDAYS.INTL(E167,MIN(F167,Reprogramaciones!T$9),11)/NETWORKDAYS.INTL(E167,F167,11)*100,1)))-IF(Reprogramaciones!S$9&lt;E167,0,IF(NETWORKDAYS.INTL(E167,F167,11)=0,IF(Reprogramaciones!S$9&gt;=F167,100,0),ROUND(NETWORKDAYS.INTL(E167,MIN(F167,Reprogramaciones!S$9),11)/NETWORKDAYS.INTL(E167,F167,11)*100,1))))</f>
        <v/>
      </c>
      <c r="Q167" s="37"/>
      <c r="R167" s="37"/>
      <c r="S167" s="37"/>
      <c r="T167" s="37"/>
      <c r="U167" s="37"/>
      <c r="V167" s="37"/>
      <c r="W167" s="37"/>
      <c r="X167" s="37"/>
      <c r="Y167" s="37"/>
      <c r="Z167" s="37"/>
      <c r="AA167" s="37"/>
      <c r="AB167" s="37"/>
      <c r="AC167" s="37"/>
      <c r="AD167" s="37"/>
      <c r="AE167" s="37"/>
      <c r="AF167" s="37"/>
      <c r="AG167" s="38" t="str">
        <f aca="false">IF(AND(ISNUMBER(E167),ISNUMBER(F167)),NETWORKDAYS.INTL(E167,F167,11),"")</f>
        <v/>
      </c>
      <c r="AH167" s="38" t="str">
        <f aca="false">IF(OR(NOT(AND(ISNUMBER(E167),ISNUMBER(F167))),$J$2=""),"",IF(Reprogramaciones!$P$15&lt;Reprogramaciones!$T$15,0,IF(Reprogramaciones!$R$15&gt;10,MIN(100,SUM($G167:$P167)),MIN(100,SUMPRODUCT((COLUMN($G167:$P167)-COLUMN($G167)+1&lt;Reprogramaciones!$R$15)*$G167:$P167)+N(INDEX($G167:$P167,1,Reprogramaciones!$R$15))*IF(Reprogramaciones!$P$15&gt;=(Reprogramaciones!$T$15+7*(Reprogramaciones!$R$15-1))+6,1,IF(MAX(0,NETWORKDAYS.INTL(MAX(E167,(Reprogramaciones!$T$15+7*(Reprogramaciones!$R$15-1))),MIN(F167,(Reprogramaciones!$T$15+7*(Reprogramaciones!$R$15-1))+6),11))=0,0,MAX(0,NETWORKDAYS.INTL(MAX(E167,(Reprogramaciones!$T$15+7*(Reprogramaciones!$R$15-1))),MIN(F167,Reprogramaciones!$P$15),11))/MAX(0,NETWORKDAYS.INTL(MAX(E167,(Reprogramaciones!$T$15+7*(Reprogramaciones!$R$15-1))),MIN(F167,(Reprogramaciones!$T$15+7*(Reprogramaciones!$R$15-1))+6),11))))))))</f>
        <v/>
      </c>
      <c r="AI167" s="38" t="str">
        <f aca="false">IF(COUNT($Q167:$AF167)=0,"",IF(ROUND(SUM($Q167:$AF167),1)&gt;=99.5,100,MIN(100,ROUND(SUM($Q167:$AF167),1))))</f>
        <v/>
      </c>
      <c r="AJ167" s="38" t="str">
        <f aca="false">IF(OR(AH167="",AI167=""),"",AI167-AH167)</f>
        <v/>
      </c>
      <c r="AK167" s="39" t="str">
        <f aca="true">IF(AH167="","",IF(OR(Ficha!$C$10="Suspendida",Ficha!$C$10="Cancelada"),Ficha!$C$10,IF(AND(AI167&lt;&gt;"",N(AI167)&gt;=100),"Completada",IF(AND(E167&gt;TODAY(),N(AI167)=0),"Por iniciar",IF(N(AI167)+0.5&lt;AH167,"Retrasada",IF(N(AI167)+0.5&lt;DA167,IF(Reprogramaciones!$K$15&gt;0,"Al día · Sem "&amp;Reprogramaciones!$K$15&amp;" en curso","Al día · en curso"),"A tiempo"))))))</f>
        <v/>
      </c>
      <c r="AL167" s="39" t="str">
        <f aca="true">IF(AND(A167="",AND(B167="",C167="",E167="",F167="",COUNT(Q167:AF167)=0)),"",IF(AND(B167="",C167="",E167="",F167="",COUNT(Q167:AF167)=0),"Falta la partida o subpartida",IF(AND(A167&lt;&gt;"",COUNTIF($A$6:$A$305,A167)&gt;1),"Ítem repetido",IF(AND(C167="",E167="",F167="",COUNT(Q167:AF167)=0),"Título de partida",IF(OR(E167="",F167=""),"Faltan fechas",IF(OR(ISTEXT(E167),ISTEXT(F167)),"Fecha escrita como texto: usa dd/mm/aaaa",IF(F167&lt;E167,"Fin antes del inicio",IF(IF($J$2="",FALSE(),OR(E167&lt;$J$2,F167&gt;Reprogramaciones!$T$15+69)),"Fuera de las 10 semanas",IF(ABS(SUM(G167:P167)-100)&gt;0.5,"La meta no suma 100%",IF(ROUND(SUM(Q167:AF167),1)&gt;100.5,"El avance pasa de 100%",IF(MIN(Q167:AF167)&lt;0,"Avance negativo",IF(COUNTA(Q167:AF167)&gt;COUNT(Q167:AF167),"Avance escrito como texto",IF(SUMPRODUCT((Q167:AF167&gt;0)*(Q167:AF167&lt;1))&gt;0,"Avance menor a 1: escribe 50, no 50%",IF(SUMPRODUCT(ISNUMBER(Q167:AF167)*(Reprogramaciones!$K$8:$Z$8&gt;TODAY()))&gt;0,"Avance en semana que aún no llega",IF(AND(N(Reprogramaciones!$E$21)&gt;0,F167&gt;Reprogramaciones!$E$21),"Pasa el fin de la obra: registra una reprogramación",IF(AND(N(Reprogramaciones!$E$21)&gt;0,SUMPRODUCT(ISNUMBER(Q167:AF167)*(Reprogramaciones!$K$8:$Z$8&gt;Reprogramaciones!$E$21))&gt;0),"Avance después del fin de la obra: registra una reprogramación por atraso","OK"))))))))))))))))</f>
        <v/>
      </c>
      <c r="AM167" s="40" t="str">
        <f aca="false">IF(OR(OR(NOT(AND(ISNUMBER(E167),ISNUMBER(F167))),$J$2=""),1&gt;MAX(1,Reprogramaciones!$U$15)),"",IF(Reprogramaciones!K$12&gt;=7,"",IF(OR(BT167-N(0)&gt;0.05,N(Q167)&gt;0),ROUNDDOWN(ROUND(BT167,6),0)&amp;"%"&amp;IF(CJ167="",""," / "&amp;CJ167&amp;"%"),IF(AND(N(0)&gt;=99.95,CJ167&lt;&gt;"",N(CJ167)&lt;100),"Pend. "&amp;CJ167&amp;"%",""))))</f>
        <v/>
      </c>
      <c r="AN167" s="40" t="str">
        <f aca="false">IF(OR(OR(NOT(AND(ISNUMBER(E167),ISNUMBER(F167))),$J$2=""),2&gt;MAX(1,Reprogramaciones!$U$15)),"",IF(Reprogramaciones!L$12&gt;=7,"",IF(OR(BU167-N(BT167)&gt;0.05,N(R167)&gt;0),ROUNDDOWN(ROUND(BU167,6),0)&amp;"%"&amp;IF(CK167="",""," / "&amp;CK167&amp;"%"),IF(AND(N(BT167)&gt;=99.95,CK167&lt;&gt;"",N(CK167)&lt;100),"Pend. "&amp;CK167&amp;"%",""))))</f>
        <v/>
      </c>
      <c r="AO167" s="40" t="str">
        <f aca="false">IF(OR(OR(NOT(AND(ISNUMBER(E167),ISNUMBER(F167))),$J$2=""),3&gt;MAX(1,Reprogramaciones!$U$15)),"",IF(Reprogramaciones!M$12&gt;=7,"",IF(OR(BV167-N(BU167)&gt;0.05,N(S167)&gt;0),ROUNDDOWN(ROUND(BV167,6),0)&amp;"%"&amp;IF(CL167="",""," / "&amp;CL167&amp;"%"),IF(AND(N(BU167)&gt;=99.95,CL167&lt;&gt;"",N(CL167)&lt;100),"Pend. "&amp;CL167&amp;"%",""))))</f>
        <v/>
      </c>
      <c r="AP167" s="40" t="str">
        <f aca="false">IF(OR(OR(NOT(AND(ISNUMBER(E167),ISNUMBER(F167))),$J$2=""),4&gt;MAX(1,Reprogramaciones!$U$15)),"",IF(Reprogramaciones!N$12&gt;=7,"",IF(OR(BW167-N(BV167)&gt;0.05,N(T167)&gt;0),ROUNDDOWN(ROUND(BW167,6),0)&amp;"%"&amp;IF(CM167="",""," / "&amp;CM167&amp;"%"),IF(AND(N(BV167)&gt;=99.95,CM167&lt;&gt;"",N(CM167)&lt;100),"Pend. "&amp;CM167&amp;"%",""))))</f>
        <v/>
      </c>
      <c r="AQ167" s="40" t="str">
        <f aca="false">IF(OR(OR(NOT(AND(ISNUMBER(E167),ISNUMBER(F167))),$J$2=""),5&gt;MAX(1,Reprogramaciones!$U$15)),"",IF(Reprogramaciones!O$12&gt;=7,"",IF(OR(BX167-N(BW167)&gt;0.05,N(U167)&gt;0),ROUNDDOWN(ROUND(BX167,6),0)&amp;"%"&amp;IF(CN167="",""," / "&amp;CN167&amp;"%"),IF(AND(N(BW167)&gt;=99.95,CN167&lt;&gt;"",N(CN167)&lt;100),"Pend. "&amp;CN167&amp;"%",""))))</f>
        <v/>
      </c>
      <c r="AR167" s="40" t="str">
        <f aca="false">IF(OR(OR(NOT(AND(ISNUMBER(E167),ISNUMBER(F167))),$J$2=""),6&gt;MAX(1,Reprogramaciones!$U$15)),"",IF(Reprogramaciones!P$12&gt;=7,"",IF(OR(BY167-N(BX167)&gt;0.05,N(V167)&gt;0),ROUNDDOWN(ROUND(BY167,6),0)&amp;"%"&amp;IF(CO167="",""," / "&amp;CO167&amp;"%"),IF(AND(N(BX167)&gt;=99.95,CO167&lt;&gt;"",N(CO167)&lt;100),"Pend. "&amp;CO167&amp;"%",""))))</f>
        <v/>
      </c>
      <c r="AS167" s="40" t="str">
        <f aca="false">IF(OR(OR(NOT(AND(ISNUMBER(E167),ISNUMBER(F167))),$J$2=""),7&gt;MAX(1,Reprogramaciones!$U$15)),"",IF(Reprogramaciones!Q$12&gt;=7,"",IF(OR(BZ167-N(BY167)&gt;0.05,N(W167)&gt;0),ROUNDDOWN(ROUND(BZ167,6),0)&amp;"%"&amp;IF(CP167="",""," / "&amp;CP167&amp;"%"),IF(AND(N(BY167)&gt;=99.95,CP167&lt;&gt;"",N(CP167)&lt;100),"Pend. "&amp;CP167&amp;"%",""))))</f>
        <v/>
      </c>
      <c r="AT167" s="40" t="str">
        <f aca="false">IF(OR(OR(NOT(AND(ISNUMBER(E167),ISNUMBER(F167))),$J$2=""),8&gt;MAX(1,Reprogramaciones!$U$15)),"",IF(Reprogramaciones!R$12&gt;=7,"",IF(OR(CA167-N(BZ167)&gt;0.05,N(X167)&gt;0),ROUNDDOWN(ROUND(CA167,6),0)&amp;"%"&amp;IF(CQ167="",""," / "&amp;CQ167&amp;"%"),IF(AND(N(BZ167)&gt;=99.95,CQ167&lt;&gt;"",N(CQ167)&lt;100),"Pend. "&amp;CQ167&amp;"%",""))))</f>
        <v/>
      </c>
      <c r="AU167" s="40" t="str">
        <f aca="false">IF(OR(OR(NOT(AND(ISNUMBER(E167),ISNUMBER(F167))),$J$2=""),9&gt;MAX(1,Reprogramaciones!$U$15)),"",IF(Reprogramaciones!S$12&gt;=7,"",IF(OR(CB167-N(CA167)&gt;0.05,N(Y167)&gt;0),ROUNDDOWN(ROUND(CB167,6),0)&amp;"%"&amp;IF(CR167="",""," / "&amp;CR167&amp;"%"),IF(AND(N(CA167)&gt;=99.95,CR167&lt;&gt;"",N(CR167)&lt;100),"Pend. "&amp;CR167&amp;"%",""))))</f>
        <v/>
      </c>
      <c r="AV167" s="40" t="str">
        <f aca="false">IF(OR(OR(NOT(AND(ISNUMBER(E167),ISNUMBER(F167))),$J$2=""),10&gt;MAX(1,Reprogramaciones!$U$15)),"",IF(Reprogramaciones!T$12&gt;=7,"",IF(OR(CC167-N(CB167)&gt;0.05,N(Z167)&gt;0),ROUNDDOWN(ROUND(CC167,6),0)&amp;"%"&amp;IF(CS167="",""," / "&amp;CS167&amp;"%"),IF(AND(N(CB167)&gt;=99.95,CS167&lt;&gt;"",N(CS167)&lt;100),"Pend. "&amp;CS167&amp;"%",""))))</f>
        <v/>
      </c>
      <c r="AW167" s="40" t="str">
        <f aca="false">IF(OR(OR(NOT(AND(ISNUMBER(E167),ISNUMBER(F167))),$J$2=""),11&gt;MAX(1,Reprogramaciones!$U$15)),"",IF(Reprogramaciones!U$12&gt;=7,"",IF(OR(CD167-N(CC167)&gt;0.05,N(AA167)&gt;0),ROUNDDOWN(ROUND(CD167,6),0)&amp;"%"&amp;IF(CT167="",""," / "&amp;CT167&amp;"%"),IF(AND(N(CC167)&gt;=99.95,CT167&lt;&gt;"",N(CT167)&lt;100),"Pend. "&amp;CT167&amp;"%",""))))</f>
        <v/>
      </c>
      <c r="AX167" s="40" t="str">
        <f aca="false">IF(OR(OR(NOT(AND(ISNUMBER(E167),ISNUMBER(F167))),$J$2=""),12&gt;MAX(1,Reprogramaciones!$U$15)),"",IF(Reprogramaciones!V$12&gt;=7,"",IF(OR(CE167-N(CD167)&gt;0.05,N(AB167)&gt;0),ROUNDDOWN(ROUND(CE167,6),0)&amp;"%"&amp;IF(CU167="",""," / "&amp;CU167&amp;"%"),IF(AND(N(CD167)&gt;=99.95,CU167&lt;&gt;"",N(CU167)&lt;100),"Pend. "&amp;CU167&amp;"%",""))))</f>
        <v/>
      </c>
      <c r="AY167" s="40" t="str">
        <f aca="false">IF(OR(OR(NOT(AND(ISNUMBER(E167),ISNUMBER(F167))),$J$2=""),13&gt;MAX(1,Reprogramaciones!$U$15)),"",IF(Reprogramaciones!W$12&gt;=7,"",IF(OR(CF167-N(CE167)&gt;0.05,N(AC167)&gt;0),ROUNDDOWN(ROUND(CF167,6),0)&amp;"%"&amp;IF(CV167="",""," / "&amp;CV167&amp;"%"),IF(AND(N(CE167)&gt;=99.95,CV167&lt;&gt;"",N(CV167)&lt;100),"Pend. "&amp;CV167&amp;"%",""))))</f>
        <v/>
      </c>
      <c r="AZ167" s="40" t="str">
        <f aca="false">IF(OR(OR(NOT(AND(ISNUMBER(E167),ISNUMBER(F167))),$J$2=""),14&gt;MAX(1,Reprogramaciones!$U$15)),"",IF(Reprogramaciones!X$12&gt;=7,"",IF(OR(CG167-N(CF167)&gt;0.05,N(AD167)&gt;0),ROUNDDOWN(ROUND(CG167,6),0)&amp;"%"&amp;IF(CW167="",""," / "&amp;CW167&amp;"%"),IF(AND(N(CF167)&gt;=99.95,CW167&lt;&gt;"",N(CW167)&lt;100),"Pend. "&amp;CW167&amp;"%",""))))</f>
        <v/>
      </c>
      <c r="BA167" s="40" t="str">
        <f aca="false">IF(OR(OR(NOT(AND(ISNUMBER(E167),ISNUMBER(F167))),$J$2=""),15&gt;MAX(1,Reprogramaciones!$U$15)),"",IF(Reprogramaciones!Y$12&gt;=7,"",IF(OR(CH167-N(CG167)&gt;0.05,N(AE167)&gt;0),ROUNDDOWN(ROUND(CH167,6),0)&amp;"%"&amp;IF(CX167="",""," / "&amp;CX167&amp;"%"),IF(AND(N(CG167)&gt;=99.95,CX167&lt;&gt;"",N(CX167)&lt;100),"Pend. "&amp;CX167&amp;"%",""))))</f>
        <v/>
      </c>
      <c r="BB167" s="40" t="str">
        <f aca="false">IF(OR(OR(NOT(AND(ISNUMBER(E167),ISNUMBER(F167))),$J$2=""),16&gt;MAX(1,Reprogramaciones!$U$15)),"",IF(Reprogramaciones!Z$12&gt;=7,"",IF(OR(CI167-N(CH167)&gt;0.05,N(AF167)&gt;0),ROUNDDOWN(ROUND(CI167,6),0)&amp;"%"&amp;IF(CY167="",""," / "&amp;CY167&amp;"%"),IF(AND(N(CH167)&gt;=99.95,CY167&lt;&gt;"",N(CY167)&lt;100),"Pend. "&amp;CY167&amp;"%",""))))</f>
        <v/>
      </c>
      <c r="BC167" s="31" t="n">
        <f aca="false">IF(AND(ISNUMBER(E167),ISNUMBER(F167)),MAX(1,NETWORKDAYS.INTL(E167,F167,11)),0)</f>
        <v>0</v>
      </c>
      <c r="BD167" s="1" t="str">
        <f aca="false">IF(OR(NOT(AND(ISNUMBER(E167),ISNUMBER(F167))),$J$2=""),"",MIN(100,ROUND(SUM($G167:G167),1)))</f>
        <v/>
      </c>
      <c r="BE167" s="1" t="str">
        <f aca="false">IF(OR(NOT(AND(ISNUMBER(E167),ISNUMBER(F167))),$J$2=""),"",MIN(100,ROUND(SUM($G167:H167),1)))</f>
        <v/>
      </c>
      <c r="BF167" s="1" t="str">
        <f aca="false">IF(OR(NOT(AND(ISNUMBER(E167),ISNUMBER(F167))),$J$2=""),"",MIN(100,ROUND(SUM($G167:I167),1)))</f>
        <v/>
      </c>
      <c r="BG167" s="1" t="str">
        <f aca="false">IF(OR(NOT(AND(ISNUMBER(E167),ISNUMBER(F167))),$J$2=""),"",MIN(100,ROUND(SUM($G167:J167),1)))</f>
        <v/>
      </c>
      <c r="BH167" s="1" t="str">
        <f aca="false">IF(OR(NOT(AND(ISNUMBER(E167),ISNUMBER(F167))),$J$2=""),"",MIN(100,ROUND(SUM($G167:K167),1)))</f>
        <v/>
      </c>
      <c r="BI167" s="1" t="str">
        <f aca="false">IF(OR(NOT(AND(ISNUMBER(E167),ISNUMBER(F167))),$J$2=""),"",MIN(100,ROUND(SUM($G167:L167),1)))</f>
        <v/>
      </c>
      <c r="BJ167" s="1" t="str">
        <f aca="false">IF(OR(NOT(AND(ISNUMBER(E167),ISNUMBER(F167))),$J$2=""),"",MIN(100,ROUND(SUM($G167:M167),1)))</f>
        <v/>
      </c>
      <c r="BK167" s="1" t="str">
        <f aca="false">IF(OR(NOT(AND(ISNUMBER(E167),ISNUMBER(F167))),$J$2=""),"",MIN(100,ROUND(SUM($G167:N167),1)))</f>
        <v/>
      </c>
      <c r="BL167" s="1" t="str">
        <f aca="false">IF(OR(NOT(AND(ISNUMBER(E167),ISNUMBER(F167))),$J$2=""),"",MIN(100,ROUND(SUM($G167:O167),1)))</f>
        <v/>
      </c>
      <c r="BM167" s="1" t="str">
        <f aca="false">IF(OR(NOT(AND(ISNUMBER(E167),ISNUMBER(F167))),$J$2=""),"",MIN(100,ROUND(SUM($G167:P167),1)))</f>
        <v/>
      </c>
      <c r="BN167" s="1" t="str">
        <f aca="false">IF(OR(NOT(AND(ISNUMBER(E167),ISNUMBER(F167))),$J$2=""),"",MIN(100,ROUND(SUM($G167:P167),1)))</f>
        <v/>
      </c>
      <c r="BO167" s="1" t="str">
        <f aca="false">IF(OR(NOT(AND(ISNUMBER(E167),ISNUMBER(F167))),$J$2=""),"",MIN(100,ROUND(SUM($G167:P167),1)))</f>
        <v/>
      </c>
      <c r="BP167" s="1" t="str">
        <f aca="false">IF(OR(NOT(AND(ISNUMBER(E167),ISNUMBER(F167))),$J$2=""),"",MIN(100,ROUND(SUM($G167:P167),1)))</f>
        <v/>
      </c>
      <c r="BQ167" s="1" t="str">
        <f aca="false">IF(OR(NOT(AND(ISNUMBER(E167),ISNUMBER(F167))),$J$2=""),"",MIN(100,ROUND(SUM($G167:P167),1)))</f>
        <v/>
      </c>
      <c r="BR167" s="1" t="str">
        <f aca="false">IF(OR(NOT(AND(ISNUMBER(E167),ISNUMBER(F167))),$J$2=""),"",MIN(100,ROUND(SUM($G167:P167),1)))</f>
        <v/>
      </c>
      <c r="BS167" s="1" t="str">
        <f aca="false">IF(OR(NOT(AND(ISNUMBER(E167),ISNUMBER(F167))),$J$2=""),"",MIN(100,ROUND(SUM($G167:P167),1)))</f>
        <v/>
      </c>
      <c r="BT167" s="1" t="str">
        <f aca="false">IF(OR(NOT(AND(ISNUMBER(E167),ISNUMBER(F167))),$J$2=""),"",IF(Reprogramaciones!K$13&lt;Reprogramaciones!$T$15,0,IF(Reprogramaciones!K$14&gt;10,MIN(100,SUM($G167:$P167)),MIN(100,SUMPRODUCT((COLUMN($G167:$P167)-COLUMN($G167)+1&lt;Reprogramaciones!K$14)*$G167:$P167)+N(INDEX($G167:$P167,1,Reprogramaciones!K$14))*IF(Reprogramaciones!K$13&gt;=(Reprogramaciones!$T$15+7*(Reprogramaciones!K$14-1))+6,1,IF(MAX(0,NETWORKDAYS.INTL(MAX(E167,(Reprogramaciones!$T$15+7*(Reprogramaciones!K$14-1))),MIN(F167,(Reprogramaciones!$T$15+7*(Reprogramaciones!K$14-1))+6),11))=0,0,MAX(0,NETWORKDAYS.INTL(MAX(E167,(Reprogramaciones!$T$15+7*(Reprogramaciones!K$14-1))),MIN(F167,Reprogramaciones!K$13),11))/MAX(0,NETWORKDAYS.INTL(MAX(E167,(Reprogramaciones!$T$15+7*(Reprogramaciones!K$14-1))),MIN(F167,(Reprogramaciones!$T$15+7*(Reprogramaciones!K$14-1))+6),11))))))))</f>
        <v/>
      </c>
      <c r="BU167" s="1" t="str">
        <f aca="false">IF(OR(NOT(AND(ISNUMBER(E167),ISNUMBER(F167))),$J$2=""),"",IF(Reprogramaciones!L$13&lt;Reprogramaciones!$T$15,0,IF(Reprogramaciones!L$14&gt;10,MIN(100,SUM($G167:$P167)),MIN(100,SUMPRODUCT((COLUMN($G167:$P167)-COLUMN($G167)+1&lt;Reprogramaciones!L$14)*$G167:$P167)+N(INDEX($G167:$P167,1,Reprogramaciones!L$14))*IF(Reprogramaciones!L$13&gt;=(Reprogramaciones!$T$15+7*(Reprogramaciones!L$14-1))+6,1,IF(MAX(0,NETWORKDAYS.INTL(MAX(E167,(Reprogramaciones!$T$15+7*(Reprogramaciones!L$14-1))),MIN(F167,(Reprogramaciones!$T$15+7*(Reprogramaciones!L$14-1))+6),11))=0,0,MAX(0,NETWORKDAYS.INTL(MAX(E167,(Reprogramaciones!$T$15+7*(Reprogramaciones!L$14-1))),MIN(F167,Reprogramaciones!L$13),11))/MAX(0,NETWORKDAYS.INTL(MAX(E167,(Reprogramaciones!$T$15+7*(Reprogramaciones!L$14-1))),MIN(F167,(Reprogramaciones!$T$15+7*(Reprogramaciones!L$14-1))+6),11))))))))</f>
        <v/>
      </c>
      <c r="BV167" s="1" t="str">
        <f aca="false">IF(OR(NOT(AND(ISNUMBER(E167),ISNUMBER(F167))),$J$2=""),"",IF(Reprogramaciones!M$13&lt;Reprogramaciones!$T$15,0,IF(Reprogramaciones!M$14&gt;10,MIN(100,SUM($G167:$P167)),MIN(100,SUMPRODUCT((COLUMN($G167:$P167)-COLUMN($G167)+1&lt;Reprogramaciones!M$14)*$G167:$P167)+N(INDEX($G167:$P167,1,Reprogramaciones!M$14))*IF(Reprogramaciones!M$13&gt;=(Reprogramaciones!$T$15+7*(Reprogramaciones!M$14-1))+6,1,IF(MAX(0,NETWORKDAYS.INTL(MAX(E167,(Reprogramaciones!$T$15+7*(Reprogramaciones!M$14-1))),MIN(F167,(Reprogramaciones!$T$15+7*(Reprogramaciones!M$14-1))+6),11))=0,0,MAX(0,NETWORKDAYS.INTL(MAX(E167,(Reprogramaciones!$T$15+7*(Reprogramaciones!M$14-1))),MIN(F167,Reprogramaciones!M$13),11))/MAX(0,NETWORKDAYS.INTL(MAX(E167,(Reprogramaciones!$T$15+7*(Reprogramaciones!M$14-1))),MIN(F167,(Reprogramaciones!$T$15+7*(Reprogramaciones!M$14-1))+6),11))))))))</f>
        <v/>
      </c>
      <c r="BW167" s="1" t="str">
        <f aca="false">IF(OR(NOT(AND(ISNUMBER(E167),ISNUMBER(F167))),$J$2=""),"",IF(Reprogramaciones!N$13&lt;Reprogramaciones!$T$15,0,IF(Reprogramaciones!N$14&gt;10,MIN(100,SUM($G167:$P167)),MIN(100,SUMPRODUCT((COLUMN($G167:$P167)-COLUMN($G167)+1&lt;Reprogramaciones!N$14)*$G167:$P167)+N(INDEX($G167:$P167,1,Reprogramaciones!N$14))*IF(Reprogramaciones!N$13&gt;=(Reprogramaciones!$T$15+7*(Reprogramaciones!N$14-1))+6,1,IF(MAX(0,NETWORKDAYS.INTL(MAX(E167,(Reprogramaciones!$T$15+7*(Reprogramaciones!N$14-1))),MIN(F167,(Reprogramaciones!$T$15+7*(Reprogramaciones!N$14-1))+6),11))=0,0,MAX(0,NETWORKDAYS.INTL(MAX(E167,(Reprogramaciones!$T$15+7*(Reprogramaciones!N$14-1))),MIN(F167,Reprogramaciones!N$13),11))/MAX(0,NETWORKDAYS.INTL(MAX(E167,(Reprogramaciones!$T$15+7*(Reprogramaciones!N$14-1))),MIN(F167,(Reprogramaciones!$T$15+7*(Reprogramaciones!N$14-1))+6),11))))))))</f>
        <v/>
      </c>
      <c r="BX167" s="1" t="str">
        <f aca="false">IF(OR(NOT(AND(ISNUMBER(E167),ISNUMBER(F167))),$J$2=""),"",IF(Reprogramaciones!O$13&lt;Reprogramaciones!$T$15,0,IF(Reprogramaciones!O$14&gt;10,MIN(100,SUM($G167:$P167)),MIN(100,SUMPRODUCT((COLUMN($G167:$P167)-COLUMN($G167)+1&lt;Reprogramaciones!O$14)*$G167:$P167)+N(INDEX($G167:$P167,1,Reprogramaciones!O$14))*IF(Reprogramaciones!O$13&gt;=(Reprogramaciones!$T$15+7*(Reprogramaciones!O$14-1))+6,1,IF(MAX(0,NETWORKDAYS.INTL(MAX(E167,(Reprogramaciones!$T$15+7*(Reprogramaciones!O$14-1))),MIN(F167,(Reprogramaciones!$T$15+7*(Reprogramaciones!O$14-1))+6),11))=0,0,MAX(0,NETWORKDAYS.INTL(MAX(E167,(Reprogramaciones!$T$15+7*(Reprogramaciones!O$14-1))),MIN(F167,Reprogramaciones!O$13),11))/MAX(0,NETWORKDAYS.INTL(MAX(E167,(Reprogramaciones!$T$15+7*(Reprogramaciones!O$14-1))),MIN(F167,(Reprogramaciones!$T$15+7*(Reprogramaciones!O$14-1))+6),11))))))))</f>
        <v/>
      </c>
      <c r="BY167" s="1" t="str">
        <f aca="false">IF(OR(NOT(AND(ISNUMBER(E167),ISNUMBER(F167))),$J$2=""),"",IF(Reprogramaciones!P$13&lt;Reprogramaciones!$T$15,0,IF(Reprogramaciones!P$14&gt;10,MIN(100,SUM($G167:$P167)),MIN(100,SUMPRODUCT((COLUMN($G167:$P167)-COLUMN($G167)+1&lt;Reprogramaciones!P$14)*$G167:$P167)+N(INDEX($G167:$P167,1,Reprogramaciones!P$14))*IF(Reprogramaciones!P$13&gt;=(Reprogramaciones!$T$15+7*(Reprogramaciones!P$14-1))+6,1,IF(MAX(0,NETWORKDAYS.INTL(MAX(E167,(Reprogramaciones!$T$15+7*(Reprogramaciones!P$14-1))),MIN(F167,(Reprogramaciones!$T$15+7*(Reprogramaciones!P$14-1))+6),11))=0,0,MAX(0,NETWORKDAYS.INTL(MAX(E167,(Reprogramaciones!$T$15+7*(Reprogramaciones!P$14-1))),MIN(F167,Reprogramaciones!P$13),11))/MAX(0,NETWORKDAYS.INTL(MAX(E167,(Reprogramaciones!$T$15+7*(Reprogramaciones!P$14-1))),MIN(F167,(Reprogramaciones!$T$15+7*(Reprogramaciones!P$14-1))+6),11))))))))</f>
        <v/>
      </c>
      <c r="BZ167" s="1" t="str">
        <f aca="false">IF(OR(NOT(AND(ISNUMBER(E167),ISNUMBER(F167))),$J$2=""),"",IF(Reprogramaciones!Q$13&lt;Reprogramaciones!$T$15,0,IF(Reprogramaciones!Q$14&gt;10,MIN(100,SUM($G167:$P167)),MIN(100,SUMPRODUCT((COLUMN($G167:$P167)-COLUMN($G167)+1&lt;Reprogramaciones!Q$14)*$G167:$P167)+N(INDEX($G167:$P167,1,Reprogramaciones!Q$14))*IF(Reprogramaciones!Q$13&gt;=(Reprogramaciones!$T$15+7*(Reprogramaciones!Q$14-1))+6,1,IF(MAX(0,NETWORKDAYS.INTL(MAX(E167,(Reprogramaciones!$T$15+7*(Reprogramaciones!Q$14-1))),MIN(F167,(Reprogramaciones!$T$15+7*(Reprogramaciones!Q$14-1))+6),11))=0,0,MAX(0,NETWORKDAYS.INTL(MAX(E167,(Reprogramaciones!$T$15+7*(Reprogramaciones!Q$14-1))),MIN(F167,Reprogramaciones!Q$13),11))/MAX(0,NETWORKDAYS.INTL(MAX(E167,(Reprogramaciones!$T$15+7*(Reprogramaciones!Q$14-1))),MIN(F167,(Reprogramaciones!$T$15+7*(Reprogramaciones!Q$14-1))+6),11))))))))</f>
        <v/>
      </c>
      <c r="CA167" s="1" t="str">
        <f aca="false">IF(OR(NOT(AND(ISNUMBER(E167),ISNUMBER(F167))),$J$2=""),"",IF(Reprogramaciones!R$13&lt;Reprogramaciones!$T$15,0,IF(Reprogramaciones!R$14&gt;10,MIN(100,SUM($G167:$P167)),MIN(100,SUMPRODUCT((COLUMN($G167:$P167)-COLUMN($G167)+1&lt;Reprogramaciones!R$14)*$G167:$P167)+N(INDEX($G167:$P167,1,Reprogramaciones!R$14))*IF(Reprogramaciones!R$13&gt;=(Reprogramaciones!$T$15+7*(Reprogramaciones!R$14-1))+6,1,IF(MAX(0,NETWORKDAYS.INTL(MAX(E167,(Reprogramaciones!$T$15+7*(Reprogramaciones!R$14-1))),MIN(F167,(Reprogramaciones!$T$15+7*(Reprogramaciones!R$14-1))+6),11))=0,0,MAX(0,NETWORKDAYS.INTL(MAX(E167,(Reprogramaciones!$T$15+7*(Reprogramaciones!R$14-1))),MIN(F167,Reprogramaciones!R$13),11))/MAX(0,NETWORKDAYS.INTL(MAX(E167,(Reprogramaciones!$T$15+7*(Reprogramaciones!R$14-1))),MIN(F167,(Reprogramaciones!$T$15+7*(Reprogramaciones!R$14-1))+6),11))))))))</f>
        <v/>
      </c>
      <c r="CB167" s="1" t="str">
        <f aca="false">IF(OR(NOT(AND(ISNUMBER(E167),ISNUMBER(F167))),$J$2=""),"",IF(Reprogramaciones!S$13&lt;Reprogramaciones!$T$15,0,IF(Reprogramaciones!S$14&gt;10,MIN(100,SUM($G167:$P167)),MIN(100,SUMPRODUCT((COLUMN($G167:$P167)-COLUMN($G167)+1&lt;Reprogramaciones!S$14)*$G167:$P167)+N(INDEX($G167:$P167,1,Reprogramaciones!S$14))*IF(Reprogramaciones!S$13&gt;=(Reprogramaciones!$T$15+7*(Reprogramaciones!S$14-1))+6,1,IF(MAX(0,NETWORKDAYS.INTL(MAX(E167,(Reprogramaciones!$T$15+7*(Reprogramaciones!S$14-1))),MIN(F167,(Reprogramaciones!$T$15+7*(Reprogramaciones!S$14-1))+6),11))=0,0,MAX(0,NETWORKDAYS.INTL(MAX(E167,(Reprogramaciones!$T$15+7*(Reprogramaciones!S$14-1))),MIN(F167,Reprogramaciones!S$13),11))/MAX(0,NETWORKDAYS.INTL(MAX(E167,(Reprogramaciones!$T$15+7*(Reprogramaciones!S$14-1))),MIN(F167,(Reprogramaciones!$T$15+7*(Reprogramaciones!S$14-1))+6),11))))))))</f>
        <v/>
      </c>
      <c r="CC167" s="1" t="str">
        <f aca="false">IF(OR(NOT(AND(ISNUMBER(E167),ISNUMBER(F167))),$J$2=""),"",IF(Reprogramaciones!T$13&lt;Reprogramaciones!$T$15,0,IF(Reprogramaciones!T$14&gt;10,MIN(100,SUM($G167:$P167)),MIN(100,SUMPRODUCT((COLUMN($G167:$P167)-COLUMN($G167)+1&lt;Reprogramaciones!T$14)*$G167:$P167)+N(INDEX($G167:$P167,1,Reprogramaciones!T$14))*IF(Reprogramaciones!T$13&gt;=(Reprogramaciones!$T$15+7*(Reprogramaciones!T$14-1))+6,1,IF(MAX(0,NETWORKDAYS.INTL(MAX(E167,(Reprogramaciones!$T$15+7*(Reprogramaciones!T$14-1))),MIN(F167,(Reprogramaciones!$T$15+7*(Reprogramaciones!T$14-1))+6),11))=0,0,MAX(0,NETWORKDAYS.INTL(MAX(E167,(Reprogramaciones!$T$15+7*(Reprogramaciones!T$14-1))),MIN(F167,Reprogramaciones!T$13),11))/MAX(0,NETWORKDAYS.INTL(MAX(E167,(Reprogramaciones!$T$15+7*(Reprogramaciones!T$14-1))),MIN(F167,(Reprogramaciones!$T$15+7*(Reprogramaciones!T$14-1))+6),11))))))))</f>
        <v/>
      </c>
      <c r="CD167" s="1" t="str">
        <f aca="false">IF(OR(NOT(AND(ISNUMBER(E167),ISNUMBER(F167))),$J$2=""),"",IF(Reprogramaciones!U$13&lt;Reprogramaciones!$T$15,0,IF(Reprogramaciones!U$14&gt;10,MIN(100,SUM($G167:$P167)),MIN(100,SUMPRODUCT((COLUMN($G167:$P167)-COLUMN($G167)+1&lt;Reprogramaciones!U$14)*$G167:$P167)+N(INDEX($G167:$P167,1,Reprogramaciones!U$14))*IF(Reprogramaciones!U$13&gt;=(Reprogramaciones!$T$15+7*(Reprogramaciones!U$14-1))+6,1,IF(MAX(0,NETWORKDAYS.INTL(MAX(E167,(Reprogramaciones!$T$15+7*(Reprogramaciones!U$14-1))),MIN(F167,(Reprogramaciones!$T$15+7*(Reprogramaciones!U$14-1))+6),11))=0,0,MAX(0,NETWORKDAYS.INTL(MAX(E167,(Reprogramaciones!$T$15+7*(Reprogramaciones!U$14-1))),MIN(F167,Reprogramaciones!U$13),11))/MAX(0,NETWORKDAYS.INTL(MAX(E167,(Reprogramaciones!$T$15+7*(Reprogramaciones!U$14-1))),MIN(F167,(Reprogramaciones!$T$15+7*(Reprogramaciones!U$14-1))+6),11))))))))</f>
        <v/>
      </c>
      <c r="CE167" s="1" t="str">
        <f aca="false">IF(OR(NOT(AND(ISNUMBER(E167),ISNUMBER(F167))),$J$2=""),"",IF(Reprogramaciones!V$13&lt;Reprogramaciones!$T$15,0,IF(Reprogramaciones!V$14&gt;10,MIN(100,SUM($G167:$P167)),MIN(100,SUMPRODUCT((COLUMN($G167:$P167)-COLUMN($G167)+1&lt;Reprogramaciones!V$14)*$G167:$P167)+N(INDEX($G167:$P167,1,Reprogramaciones!V$14))*IF(Reprogramaciones!V$13&gt;=(Reprogramaciones!$T$15+7*(Reprogramaciones!V$14-1))+6,1,IF(MAX(0,NETWORKDAYS.INTL(MAX(E167,(Reprogramaciones!$T$15+7*(Reprogramaciones!V$14-1))),MIN(F167,(Reprogramaciones!$T$15+7*(Reprogramaciones!V$14-1))+6),11))=0,0,MAX(0,NETWORKDAYS.INTL(MAX(E167,(Reprogramaciones!$T$15+7*(Reprogramaciones!V$14-1))),MIN(F167,Reprogramaciones!V$13),11))/MAX(0,NETWORKDAYS.INTL(MAX(E167,(Reprogramaciones!$T$15+7*(Reprogramaciones!V$14-1))),MIN(F167,(Reprogramaciones!$T$15+7*(Reprogramaciones!V$14-1))+6),11))))))))</f>
        <v/>
      </c>
      <c r="CF167" s="1" t="str">
        <f aca="false">IF(OR(NOT(AND(ISNUMBER(E167),ISNUMBER(F167))),$J$2=""),"",IF(Reprogramaciones!W$13&lt;Reprogramaciones!$T$15,0,IF(Reprogramaciones!W$14&gt;10,MIN(100,SUM($G167:$P167)),MIN(100,SUMPRODUCT((COLUMN($G167:$P167)-COLUMN($G167)+1&lt;Reprogramaciones!W$14)*$G167:$P167)+N(INDEX($G167:$P167,1,Reprogramaciones!W$14))*IF(Reprogramaciones!W$13&gt;=(Reprogramaciones!$T$15+7*(Reprogramaciones!W$14-1))+6,1,IF(MAX(0,NETWORKDAYS.INTL(MAX(E167,(Reprogramaciones!$T$15+7*(Reprogramaciones!W$14-1))),MIN(F167,(Reprogramaciones!$T$15+7*(Reprogramaciones!W$14-1))+6),11))=0,0,MAX(0,NETWORKDAYS.INTL(MAX(E167,(Reprogramaciones!$T$15+7*(Reprogramaciones!W$14-1))),MIN(F167,Reprogramaciones!W$13),11))/MAX(0,NETWORKDAYS.INTL(MAX(E167,(Reprogramaciones!$T$15+7*(Reprogramaciones!W$14-1))),MIN(F167,(Reprogramaciones!$T$15+7*(Reprogramaciones!W$14-1))+6),11))))))))</f>
        <v/>
      </c>
      <c r="CG167" s="1" t="str">
        <f aca="false">IF(OR(NOT(AND(ISNUMBER(E167),ISNUMBER(F167))),$J$2=""),"",IF(Reprogramaciones!X$13&lt;Reprogramaciones!$T$15,0,IF(Reprogramaciones!X$14&gt;10,MIN(100,SUM($G167:$P167)),MIN(100,SUMPRODUCT((COLUMN($G167:$P167)-COLUMN($G167)+1&lt;Reprogramaciones!X$14)*$G167:$P167)+N(INDEX($G167:$P167,1,Reprogramaciones!X$14))*IF(Reprogramaciones!X$13&gt;=(Reprogramaciones!$T$15+7*(Reprogramaciones!X$14-1))+6,1,IF(MAX(0,NETWORKDAYS.INTL(MAX(E167,(Reprogramaciones!$T$15+7*(Reprogramaciones!X$14-1))),MIN(F167,(Reprogramaciones!$T$15+7*(Reprogramaciones!X$14-1))+6),11))=0,0,MAX(0,NETWORKDAYS.INTL(MAX(E167,(Reprogramaciones!$T$15+7*(Reprogramaciones!X$14-1))),MIN(F167,Reprogramaciones!X$13),11))/MAX(0,NETWORKDAYS.INTL(MAX(E167,(Reprogramaciones!$T$15+7*(Reprogramaciones!X$14-1))),MIN(F167,(Reprogramaciones!$T$15+7*(Reprogramaciones!X$14-1))+6),11))))))))</f>
        <v/>
      </c>
      <c r="CH167" s="1" t="str">
        <f aca="false">IF(OR(NOT(AND(ISNUMBER(E167),ISNUMBER(F167))),$J$2=""),"",IF(Reprogramaciones!Y$13&lt;Reprogramaciones!$T$15,0,IF(Reprogramaciones!Y$14&gt;10,MIN(100,SUM($G167:$P167)),MIN(100,SUMPRODUCT((COLUMN($G167:$P167)-COLUMN($G167)+1&lt;Reprogramaciones!Y$14)*$G167:$P167)+N(INDEX($G167:$P167,1,Reprogramaciones!Y$14))*IF(Reprogramaciones!Y$13&gt;=(Reprogramaciones!$T$15+7*(Reprogramaciones!Y$14-1))+6,1,IF(MAX(0,NETWORKDAYS.INTL(MAX(E167,(Reprogramaciones!$T$15+7*(Reprogramaciones!Y$14-1))),MIN(F167,(Reprogramaciones!$T$15+7*(Reprogramaciones!Y$14-1))+6),11))=0,0,MAX(0,NETWORKDAYS.INTL(MAX(E167,(Reprogramaciones!$T$15+7*(Reprogramaciones!Y$14-1))),MIN(F167,Reprogramaciones!Y$13),11))/MAX(0,NETWORKDAYS.INTL(MAX(E167,(Reprogramaciones!$T$15+7*(Reprogramaciones!Y$14-1))),MIN(F167,(Reprogramaciones!$T$15+7*(Reprogramaciones!Y$14-1))+6),11))))))))</f>
        <v/>
      </c>
      <c r="CI167" s="1" t="str">
        <f aca="false">IF(OR(NOT(AND(ISNUMBER(E167),ISNUMBER(F167))),$J$2=""),"",IF(Reprogramaciones!Z$13&lt;Reprogramaciones!$T$15,0,IF(Reprogramaciones!Z$14&gt;10,MIN(100,SUM($G167:$P167)),MIN(100,SUMPRODUCT((COLUMN($G167:$P167)-COLUMN($G167)+1&lt;Reprogramaciones!Z$14)*$G167:$P167)+N(INDEX($G167:$P167,1,Reprogramaciones!Z$14))*IF(Reprogramaciones!Z$13&gt;=(Reprogramaciones!$T$15+7*(Reprogramaciones!Z$14-1))+6,1,IF(MAX(0,NETWORKDAYS.INTL(MAX(E167,(Reprogramaciones!$T$15+7*(Reprogramaciones!Z$14-1))),MIN(F167,(Reprogramaciones!$T$15+7*(Reprogramaciones!Z$14-1))+6),11))=0,0,MAX(0,NETWORKDAYS.INTL(MAX(E167,(Reprogramaciones!$T$15+7*(Reprogramaciones!Z$14-1))),MIN(F167,Reprogramaciones!Z$13),11))/MAX(0,NETWORKDAYS.INTL(MAX(E167,(Reprogramaciones!$T$15+7*(Reprogramaciones!Z$14-1))),MIN(F167,(Reprogramaciones!$T$15+7*(Reprogramaciones!Z$14-1))+6),11))))))))</f>
        <v/>
      </c>
      <c r="CJ167" s="1" t="str">
        <f aca="false">IF(OR(OR(NOT(AND(ISNUMBER(E167),ISNUMBER(F167))),$J$2=""),1&gt;Reprogramaciones!$K$16),"",IF(ROUND(SUM($Q167:Q167),1)&gt;=99.5,100,MIN(100,ROUND(SUM($Q167:Q167),1))))</f>
        <v/>
      </c>
      <c r="CK167" s="1" t="str">
        <f aca="false">IF(OR(OR(NOT(AND(ISNUMBER(E167),ISNUMBER(F167))),$J$2=""),2&gt;Reprogramaciones!$K$16),"",IF(ROUND(SUM($Q167:R167),1)&gt;=99.5,100,MIN(100,ROUND(SUM($Q167:R167),1))))</f>
        <v/>
      </c>
      <c r="CL167" s="1" t="str">
        <f aca="false">IF(OR(OR(NOT(AND(ISNUMBER(E167),ISNUMBER(F167))),$J$2=""),3&gt;Reprogramaciones!$K$16),"",IF(ROUND(SUM($Q167:S167),1)&gt;=99.5,100,MIN(100,ROUND(SUM($Q167:S167),1))))</f>
        <v/>
      </c>
      <c r="CM167" s="1" t="str">
        <f aca="false">IF(OR(OR(NOT(AND(ISNUMBER(E167),ISNUMBER(F167))),$J$2=""),4&gt;Reprogramaciones!$K$16),"",IF(ROUND(SUM($Q167:T167),1)&gt;=99.5,100,MIN(100,ROUND(SUM($Q167:T167),1))))</f>
        <v/>
      </c>
      <c r="CN167" s="1" t="str">
        <f aca="false">IF(OR(OR(NOT(AND(ISNUMBER(E167),ISNUMBER(F167))),$J$2=""),5&gt;Reprogramaciones!$K$16),"",IF(ROUND(SUM($Q167:U167),1)&gt;=99.5,100,MIN(100,ROUND(SUM($Q167:U167),1))))</f>
        <v/>
      </c>
      <c r="CO167" s="1" t="str">
        <f aca="false">IF(OR(OR(NOT(AND(ISNUMBER(E167),ISNUMBER(F167))),$J$2=""),6&gt;Reprogramaciones!$K$16),"",IF(ROUND(SUM($Q167:V167),1)&gt;=99.5,100,MIN(100,ROUND(SUM($Q167:V167),1))))</f>
        <v/>
      </c>
      <c r="CP167" s="1" t="str">
        <f aca="false">IF(OR(OR(NOT(AND(ISNUMBER(E167),ISNUMBER(F167))),$J$2=""),7&gt;Reprogramaciones!$K$16),"",IF(ROUND(SUM($Q167:W167),1)&gt;=99.5,100,MIN(100,ROUND(SUM($Q167:W167),1))))</f>
        <v/>
      </c>
      <c r="CQ167" s="1" t="str">
        <f aca="false">IF(OR(OR(NOT(AND(ISNUMBER(E167),ISNUMBER(F167))),$J$2=""),8&gt;Reprogramaciones!$K$16),"",IF(ROUND(SUM($Q167:X167),1)&gt;=99.5,100,MIN(100,ROUND(SUM($Q167:X167),1))))</f>
        <v/>
      </c>
      <c r="CR167" s="1" t="str">
        <f aca="false">IF(OR(OR(NOT(AND(ISNUMBER(E167),ISNUMBER(F167))),$J$2=""),9&gt;Reprogramaciones!$K$16),"",IF(ROUND(SUM($Q167:Y167),1)&gt;=99.5,100,MIN(100,ROUND(SUM($Q167:Y167),1))))</f>
        <v/>
      </c>
      <c r="CS167" s="1" t="str">
        <f aca="false">IF(OR(OR(NOT(AND(ISNUMBER(E167),ISNUMBER(F167))),$J$2=""),10&gt;Reprogramaciones!$K$16),"",IF(ROUND(SUM($Q167:Z167),1)&gt;=99.5,100,MIN(100,ROUND(SUM($Q167:Z167),1))))</f>
        <v/>
      </c>
      <c r="CT167" s="1" t="str">
        <f aca="false">IF(OR(OR(NOT(AND(ISNUMBER(E167),ISNUMBER(F167))),$J$2=""),11&gt;Reprogramaciones!$K$16),"",IF(ROUND(SUM($Q167:AA167),1)&gt;=99.5,100,MIN(100,ROUND(SUM($Q167:AA167),1))))</f>
        <v/>
      </c>
      <c r="CU167" s="1" t="str">
        <f aca="false">IF(OR(OR(NOT(AND(ISNUMBER(E167),ISNUMBER(F167))),$J$2=""),12&gt;Reprogramaciones!$K$16),"",IF(ROUND(SUM($Q167:AB167),1)&gt;=99.5,100,MIN(100,ROUND(SUM($Q167:AB167),1))))</f>
        <v/>
      </c>
      <c r="CV167" s="1" t="str">
        <f aca="false">IF(OR(OR(NOT(AND(ISNUMBER(E167),ISNUMBER(F167))),$J$2=""),13&gt;Reprogramaciones!$K$16),"",IF(ROUND(SUM($Q167:AC167),1)&gt;=99.5,100,MIN(100,ROUND(SUM($Q167:AC167),1))))</f>
        <v/>
      </c>
      <c r="CW167" s="1" t="str">
        <f aca="false">IF(OR(OR(NOT(AND(ISNUMBER(E167),ISNUMBER(F167))),$J$2=""),14&gt;Reprogramaciones!$K$16),"",IF(ROUND(SUM($Q167:AD167),1)&gt;=99.5,100,MIN(100,ROUND(SUM($Q167:AD167),1))))</f>
        <v/>
      </c>
      <c r="CX167" s="1" t="str">
        <f aca="false">IF(OR(OR(NOT(AND(ISNUMBER(E167),ISNUMBER(F167))),$J$2=""),15&gt;Reprogramaciones!$K$16),"",IF(ROUND(SUM($Q167:AE167),1)&gt;=99.5,100,MIN(100,ROUND(SUM($Q167:AE167),1))))</f>
        <v/>
      </c>
      <c r="CY167" s="1" t="str">
        <f aca="false">IF(OR(OR(NOT(AND(ISNUMBER(E167),ISNUMBER(F167))),$J$2=""),16&gt;Reprogramaciones!$K$16),"",IF(ROUND(SUM($Q167:AF167),1)&gt;=99.5,100,MIN(100,ROUND(SUM($Q167:AF167),1))))</f>
        <v/>
      </c>
      <c r="CZ167" s="1" t="str">
        <f aca="false">IF(D167&lt;&gt;"",D167,IF(B167&lt;&gt;"","Contractual",CZ166))</f>
        <v>Contractual</v>
      </c>
      <c r="DA167" s="1" t="str">
        <f aca="false">IF(OR(NOT(AND(ISNUMBER(E167),ISNUMBER(F167))),$J$2=""),"",IF(Reprogramaciones!$Q$15&lt;Reprogramaciones!$T$15,0,IF(Reprogramaciones!$S$15&gt;10,MIN(100,SUM($G167:$P167)),MIN(100,SUMPRODUCT((COLUMN($G167:$P167)-COLUMN($G167)+1&lt;Reprogramaciones!$S$15)*$G167:$P167)+N(INDEX($G167:$P167,1,Reprogramaciones!$S$15))*IF(Reprogramaciones!$Q$15&gt;=(Reprogramaciones!$T$15+7*(Reprogramaciones!$S$15-1))+6,1,IF(MAX(0,NETWORKDAYS.INTL(MAX(E167,(Reprogramaciones!$T$15+7*(Reprogramaciones!$S$15-1))),MIN(F167,(Reprogramaciones!$T$15+7*(Reprogramaciones!$S$15-1))+6),11))=0,0,MAX(0,NETWORKDAYS.INTL(MAX(E167,(Reprogramaciones!$T$15+7*(Reprogramaciones!$S$15-1))),MIN(F167,Reprogramaciones!$Q$15),11))/MAX(0,NETWORKDAYS.INTL(MAX(E167,(Reprogramaciones!$T$15+7*(Reprogramaciones!$S$15-1))),MIN(F167,(Reprogramaciones!$T$15+7*(Reprogramaciones!$S$15-1))+6),11))))))))</f>
        <v/>
      </c>
    </row>
    <row r="168" customFormat="false" ht="15" hidden="false" customHeight="false" outlineLevel="0" collapsed="false">
      <c r="A168" s="32"/>
      <c r="B168" s="33"/>
      <c r="C168" s="33"/>
      <c r="D168" s="34"/>
      <c r="E168" s="35"/>
      <c r="F168" s="35"/>
      <c r="G168" s="36" t="str">
        <f aca="false">IF(OR(NOT(AND(ISNUMBER(E168),ISNUMBER(F168))),$J$2=""),"",IF(Reprogramaciones!K$9&lt;E168,0,IF(NETWORKDAYS.INTL(E168,F168,11)=0,IF(Reprogramaciones!K$9&gt;=F168,100,0),ROUND(NETWORKDAYS.INTL(E168,MIN(F168,Reprogramaciones!K$9),11)/NETWORKDAYS.INTL(E168,F168,11)*100,1)))-0)</f>
        <v/>
      </c>
      <c r="H168" s="36" t="str">
        <f aca="false">IF(OR(NOT(AND(ISNUMBER(E168),ISNUMBER(F168))),$J$2=""),"",IF(Reprogramaciones!L$9&lt;E168,0,IF(NETWORKDAYS.INTL(E168,F168,11)=0,IF(Reprogramaciones!L$9&gt;=F168,100,0),ROUND(NETWORKDAYS.INTL(E168,MIN(F168,Reprogramaciones!L$9),11)/NETWORKDAYS.INTL(E168,F168,11)*100,1)))-IF(Reprogramaciones!K$9&lt;E168,0,IF(NETWORKDAYS.INTL(E168,F168,11)=0,IF(Reprogramaciones!K$9&gt;=F168,100,0),ROUND(NETWORKDAYS.INTL(E168,MIN(F168,Reprogramaciones!K$9),11)/NETWORKDAYS.INTL(E168,F168,11)*100,1))))</f>
        <v/>
      </c>
      <c r="I168" s="36" t="str">
        <f aca="false">IF(OR(NOT(AND(ISNUMBER(E168),ISNUMBER(F168))),$J$2=""),"",IF(Reprogramaciones!M$9&lt;E168,0,IF(NETWORKDAYS.INTL(E168,F168,11)=0,IF(Reprogramaciones!M$9&gt;=F168,100,0),ROUND(NETWORKDAYS.INTL(E168,MIN(F168,Reprogramaciones!M$9),11)/NETWORKDAYS.INTL(E168,F168,11)*100,1)))-IF(Reprogramaciones!L$9&lt;E168,0,IF(NETWORKDAYS.INTL(E168,F168,11)=0,IF(Reprogramaciones!L$9&gt;=F168,100,0),ROUND(NETWORKDAYS.INTL(E168,MIN(F168,Reprogramaciones!L$9),11)/NETWORKDAYS.INTL(E168,F168,11)*100,1))))</f>
        <v/>
      </c>
      <c r="J168" s="36" t="str">
        <f aca="false">IF(OR(NOT(AND(ISNUMBER(E168),ISNUMBER(F168))),$J$2=""),"",IF(Reprogramaciones!N$9&lt;E168,0,IF(NETWORKDAYS.INTL(E168,F168,11)=0,IF(Reprogramaciones!N$9&gt;=F168,100,0),ROUND(NETWORKDAYS.INTL(E168,MIN(F168,Reprogramaciones!N$9),11)/NETWORKDAYS.INTL(E168,F168,11)*100,1)))-IF(Reprogramaciones!M$9&lt;E168,0,IF(NETWORKDAYS.INTL(E168,F168,11)=0,IF(Reprogramaciones!M$9&gt;=F168,100,0),ROUND(NETWORKDAYS.INTL(E168,MIN(F168,Reprogramaciones!M$9),11)/NETWORKDAYS.INTL(E168,F168,11)*100,1))))</f>
        <v/>
      </c>
      <c r="K168" s="36" t="str">
        <f aca="false">IF(OR(NOT(AND(ISNUMBER(E168),ISNUMBER(F168))),$J$2=""),"",IF(Reprogramaciones!O$9&lt;E168,0,IF(NETWORKDAYS.INTL(E168,F168,11)=0,IF(Reprogramaciones!O$9&gt;=F168,100,0),ROUND(NETWORKDAYS.INTL(E168,MIN(F168,Reprogramaciones!O$9),11)/NETWORKDAYS.INTL(E168,F168,11)*100,1)))-IF(Reprogramaciones!N$9&lt;E168,0,IF(NETWORKDAYS.INTL(E168,F168,11)=0,IF(Reprogramaciones!N$9&gt;=F168,100,0),ROUND(NETWORKDAYS.INTL(E168,MIN(F168,Reprogramaciones!N$9),11)/NETWORKDAYS.INTL(E168,F168,11)*100,1))))</f>
        <v/>
      </c>
      <c r="L168" s="36" t="str">
        <f aca="false">IF(OR(NOT(AND(ISNUMBER(E168),ISNUMBER(F168))),$J$2=""),"",IF(Reprogramaciones!P$9&lt;E168,0,IF(NETWORKDAYS.INTL(E168,F168,11)=0,IF(Reprogramaciones!P$9&gt;=F168,100,0),ROUND(NETWORKDAYS.INTL(E168,MIN(F168,Reprogramaciones!P$9),11)/NETWORKDAYS.INTL(E168,F168,11)*100,1)))-IF(Reprogramaciones!O$9&lt;E168,0,IF(NETWORKDAYS.INTL(E168,F168,11)=0,IF(Reprogramaciones!O$9&gt;=F168,100,0),ROUND(NETWORKDAYS.INTL(E168,MIN(F168,Reprogramaciones!O$9),11)/NETWORKDAYS.INTL(E168,F168,11)*100,1))))</f>
        <v/>
      </c>
      <c r="M168" s="36" t="str">
        <f aca="false">IF(OR(NOT(AND(ISNUMBER(E168),ISNUMBER(F168))),$J$2=""),"",IF(Reprogramaciones!Q$9&lt;E168,0,IF(NETWORKDAYS.INTL(E168,F168,11)=0,IF(Reprogramaciones!Q$9&gt;=F168,100,0),ROUND(NETWORKDAYS.INTL(E168,MIN(F168,Reprogramaciones!Q$9),11)/NETWORKDAYS.INTL(E168,F168,11)*100,1)))-IF(Reprogramaciones!P$9&lt;E168,0,IF(NETWORKDAYS.INTL(E168,F168,11)=0,IF(Reprogramaciones!P$9&gt;=F168,100,0),ROUND(NETWORKDAYS.INTL(E168,MIN(F168,Reprogramaciones!P$9),11)/NETWORKDAYS.INTL(E168,F168,11)*100,1))))</f>
        <v/>
      </c>
      <c r="N168" s="36" t="str">
        <f aca="false">IF(OR(NOT(AND(ISNUMBER(E168),ISNUMBER(F168))),$J$2=""),"",IF(Reprogramaciones!R$9&lt;E168,0,IF(NETWORKDAYS.INTL(E168,F168,11)=0,IF(Reprogramaciones!R$9&gt;=F168,100,0),ROUND(NETWORKDAYS.INTL(E168,MIN(F168,Reprogramaciones!R$9),11)/NETWORKDAYS.INTL(E168,F168,11)*100,1)))-IF(Reprogramaciones!Q$9&lt;E168,0,IF(NETWORKDAYS.INTL(E168,F168,11)=0,IF(Reprogramaciones!Q$9&gt;=F168,100,0),ROUND(NETWORKDAYS.INTL(E168,MIN(F168,Reprogramaciones!Q$9),11)/NETWORKDAYS.INTL(E168,F168,11)*100,1))))</f>
        <v/>
      </c>
      <c r="O168" s="36" t="str">
        <f aca="false">IF(OR(NOT(AND(ISNUMBER(E168),ISNUMBER(F168))),$J$2=""),"",IF(Reprogramaciones!S$9&lt;E168,0,IF(NETWORKDAYS.INTL(E168,F168,11)=0,IF(Reprogramaciones!S$9&gt;=F168,100,0),ROUND(NETWORKDAYS.INTL(E168,MIN(F168,Reprogramaciones!S$9),11)/NETWORKDAYS.INTL(E168,F168,11)*100,1)))-IF(Reprogramaciones!R$9&lt;E168,0,IF(NETWORKDAYS.INTL(E168,F168,11)=0,IF(Reprogramaciones!R$9&gt;=F168,100,0),ROUND(NETWORKDAYS.INTL(E168,MIN(F168,Reprogramaciones!R$9),11)/NETWORKDAYS.INTL(E168,F168,11)*100,1))))</f>
        <v/>
      </c>
      <c r="P168" s="36" t="str">
        <f aca="false">IF(OR(NOT(AND(ISNUMBER(E168),ISNUMBER(F168))),$J$2=""),"",IF(Reprogramaciones!T$9&lt;E168,0,IF(NETWORKDAYS.INTL(E168,F168,11)=0,IF(Reprogramaciones!T$9&gt;=F168,100,0),ROUND(NETWORKDAYS.INTL(E168,MIN(F168,Reprogramaciones!T$9),11)/NETWORKDAYS.INTL(E168,F168,11)*100,1)))-IF(Reprogramaciones!S$9&lt;E168,0,IF(NETWORKDAYS.INTL(E168,F168,11)=0,IF(Reprogramaciones!S$9&gt;=F168,100,0),ROUND(NETWORKDAYS.INTL(E168,MIN(F168,Reprogramaciones!S$9),11)/NETWORKDAYS.INTL(E168,F168,11)*100,1))))</f>
        <v/>
      </c>
      <c r="Q168" s="37"/>
      <c r="R168" s="37"/>
      <c r="S168" s="37"/>
      <c r="T168" s="37"/>
      <c r="U168" s="37"/>
      <c r="V168" s="37"/>
      <c r="W168" s="37"/>
      <c r="X168" s="37"/>
      <c r="Y168" s="37"/>
      <c r="Z168" s="37"/>
      <c r="AA168" s="37"/>
      <c r="AB168" s="37"/>
      <c r="AC168" s="37"/>
      <c r="AD168" s="37"/>
      <c r="AE168" s="37"/>
      <c r="AF168" s="37"/>
      <c r="AG168" s="38" t="str">
        <f aca="false">IF(AND(ISNUMBER(E168),ISNUMBER(F168)),NETWORKDAYS.INTL(E168,F168,11),"")</f>
        <v/>
      </c>
      <c r="AH168" s="38" t="str">
        <f aca="false">IF(OR(NOT(AND(ISNUMBER(E168),ISNUMBER(F168))),$J$2=""),"",IF(Reprogramaciones!$P$15&lt;Reprogramaciones!$T$15,0,IF(Reprogramaciones!$R$15&gt;10,MIN(100,SUM($G168:$P168)),MIN(100,SUMPRODUCT((COLUMN($G168:$P168)-COLUMN($G168)+1&lt;Reprogramaciones!$R$15)*$G168:$P168)+N(INDEX($G168:$P168,1,Reprogramaciones!$R$15))*IF(Reprogramaciones!$P$15&gt;=(Reprogramaciones!$T$15+7*(Reprogramaciones!$R$15-1))+6,1,IF(MAX(0,NETWORKDAYS.INTL(MAX(E168,(Reprogramaciones!$T$15+7*(Reprogramaciones!$R$15-1))),MIN(F168,(Reprogramaciones!$T$15+7*(Reprogramaciones!$R$15-1))+6),11))=0,0,MAX(0,NETWORKDAYS.INTL(MAX(E168,(Reprogramaciones!$T$15+7*(Reprogramaciones!$R$15-1))),MIN(F168,Reprogramaciones!$P$15),11))/MAX(0,NETWORKDAYS.INTL(MAX(E168,(Reprogramaciones!$T$15+7*(Reprogramaciones!$R$15-1))),MIN(F168,(Reprogramaciones!$T$15+7*(Reprogramaciones!$R$15-1))+6),11))))))))</f>
        <v/>
      </c>
      <c r="AI168" s="38" t="str">
        <f aca="false">IF(COUNT($Q168:$AF168)=0,"",IF(ROUND(SUM($Q168:$AF168),1)&gt;=99.5,100,MIN(100,ROUND(SUM($Q168:$AF168),1))))</f>
        <v/>
      </c>
      <c r="AJ168" s="38" t="str">
        <f aca="false">IF(OR(AH168="",AI168=""),"",AI168-AH168)</f>
        <v/>
      </c>
      <c r="AK168" s="39" t="str">
        <f aca="true">IF(AH168="","",IF(OR(Ficha!$C$10="Suspendida",Ficha!$C$10="Cancelada"),Ficha!$C$10,IF(AND(AI168&lt;&gt;"",N(AI168)&gt;=100),"Completada",IF(AND(E168&gt;TODAY(),N(AI168)=0),"Por iniciar",IF(N(AI168)+0.5&lt;AH168,"Retrasada",IF(N(AI168)+0.5&lt;DA168,IF(Reprogramaciones!$K$15&gt;0,"Al día · Sem "&amp;Reprogramaciones!$K$15&amp;" en curso","Al día · en curso"),"A tiempo"))))))</f>
        <v/>
      </c>
      <c r="AL168" s="39" t="str">
        <f aca="true">IF(AND(A168="",AND(B168="",C168="",E168="",F168="",COUNT(Q168:AF168)=0)),"",IF(AND(B168="",C168="",E168="",F168="",COUNT(Q168:AF168)=0),"Falta la partida o subpartida",IF(AND(A168&lt;&gt;"",COUNTIF($A$6:$A$305,A168)&gt;1),"Ítem repetido",IF(AND(C168="",E168="",F168="",COUNT(Q168:AF168)=0),"Título de partida",IF(OR(E168="",F168=""),"Faltan fechas",IF(OR(ISTEXT(E168),ISTEXT(F168)),"Fecha escrita como texto: usa dd/mm/aaaa",IF(F168&lt;E168,"Fin antes del inicio",IF(IF($J$2="",FALSE(),OR(E168&lt;$J$2,F168&gt;Reprogramaciones!$T$15+69)),"Fuera de las 10 semanas",IF(ABS(SUM(G168:P168)-100)&gt;0.5,"La meta no suma 100%",IF(ROUND(SUM(Q168:AF168),1)&gt;100.5,"El avance pasa de 100%",IF(MIN(Q168:AF168)&lt;0,"Avance negativo",IF(COUNTA(Q168:AF168)&gt;COUNT(Q168:AF168),"Avance escrito como texto",IF(SUMPRODUCT((Q168:AF168&gt;0)*(Q168:AF168&lt;1))&gt;0,"Avance menor a 1: escribe 50, no 50%",IF(SUMPRODUCT(ISNUMBER(Q168:AF168)*(Reprogramaciones!$K$8:$Z$8&gt;TODAY()))&gt;0,"Avance en semana que aún no llega",IF(AND(N(Reprogramaciones!$E$21)&gt;0,F168&gt;Reprogramaciones!$E$21),"Pasa el fin de la obra: registra una reprogramación",IF(AND(N(Reprogramaciones!$E$21)&gt;0,SUMPRODUCT(ISNUMBER(Q168:AF168)*(Reprogramaciones!$K$8:$Z$8&gt;Reprogramaciones!$E$21))&gt;0),"Avance después del fin de la obra: registra una reprogramación por atraso","OK"))))))))))))))))</f>
        <v/>
      </c>
      <c r="AM168" s="40" t="str">
        <f aca="false">IF(OR(OR(NOT(AND(ISNUMBER(E168),ISNUMBER(F168))),$J$2=""),1&gt;MAX(1,Reprogramaciones!$U$15)),"",IF(Reprogramaciones!K$12&gt;=7,"",IF(OR(BT168-N(0)&gt;0.05,N(Q168)&gt;0),ROUNDDOWN(ROUND(BT168,6),0)&amp;"%"&amp;IF(CJ168="",""," / "&amp;CJ168&amp;"%"),IF(AND(N(0)&gt;=99.95,CJ168&lt;&gt;"",N(CJ168)&lt;100),"Pend. "&amp;CJ168&amp;"%",""))))</f>
        <v/>
      </c>
      <c r="AN168" s="40" t="str">
        <f aca="false">IF(OR(OR(NOT(AND(ISNUMBER(E168),ISNUMBER(F168))),$J$2=""),2&gt;MAX(1,Reprogramaciones!$U$15)),"",IF(Reprogramaciones!L$12&gt;=7,"",IF(OR(BU168-N(BT168)&gt;0.05,N(R168)&gt;0),ROUNDDOWN(ROUND(BU168,6),0)&amp;"%"&amp;IF(CK168="",""," / "&amp;CK168&amp;"%"),IF(AND(N(BT168)&gt;=99.95,CK168&lt;&gt;"",N(CK168)&lt;100),"Pend. "&amp;CK168&amp;"%",""))))</f>
        <v/>
      </c>
      <c r="AO168" s="40" t="str">
        <f aca="false">IF(OR(OR(NOT(AND(ISNUMBER(E168),ISNUMBER(F168))),$J$2=""),3&gt;MAX(1,Reprogramaciones!$U$15)),"",IF(Reprogramaciones!M$12&gt;=7,"",IF(OR(BV168-N(BU168)&gt;0.05,N(S168)&gt;0),ROUNDDOWN(ROUND(BV168,6),0)&amp;"%"&amp;IF(CL168="",""," / "&amp;CL168&amp;"%"),IF(AND(N(BU168)&gt;=99.95,CL168&lt;&gt;"",N(CL168)&lt;100),"Pend. "&amp;CL168&amp;"%",""))))</f>
        <v/>
      </c>
      <c r="AP168" s="40" t="str">
        <f aca="false">IF(OR(OR(NOT(AND(ISNUMBER(E168),ISNUMBER(F168))),$J$2=""),4&gt;MAX(1,Reprogramaciones!$U$15)),"",IF(Reprogramaciones!N$12&gt;=7,"",IF(OR(BW168-N(BV168)&gt;0.05,N(T168)&gt;0),ROUNDDOWN(ROUND(BW168,6),0)&amp;"%"&amp;IF(CM168="",""," / "&amp;CM168&amp;"%"),IF(AND(N(BV168)&gt;=99.95,CM168&lt;&gt;"",N(CM168)&lt;100),"Pend. "&amp;CM168&amp;"%",""))))</f>
        <v/>
      </c>
      <c r="AQ168" s="40" t="str">
        <f aca="false">IF(OR(OR(NOT(AND(ISNUMBER(E168),ISNUMBER(F168))),$J$2=""),5&gt;MAX(1,Reprogramaciones!$U$15)),"",IF(Reprogramaciones!O$12&gt;=7,"",IF(OR(BX168-N(BW168)&gt;0.05,N(U168)&gt;0),ROUNDDOWN(ROUND(BX168,6),0)&amp;"%"&amp;IF(CN168="",""," / "&amp;CN168&amp;"%"),IF(AND(N(BW168)&gt;=99.95,CN168&lt;&gt;"",N(CN168)&lt;100),"Pend. "&amp;CN168&amp;"%",""))))</f>
        <v/>
      </c>
      <c r="AR168" s="40" t="str">
        <f aca="false">IF(OR(OR(NOT(AND(ISNUMBER(E168),ISNUMBER(F168))),$J$2=""),6&gt;MAX(1,Reprogramaciones!$U$15)),"",IF(Reprogramaciones!P$12&gt;=7,"",IF(OR(BY168-N(BX168)&gt;0.05,N(V168)&gt;0),ROUNDDOWN(ROUND(BY168,6),0)&amp;"%"&amp;IF(CO168="",""," / "&amp;CO168&amp;"%"),IF(AND(N(BX168)&gt;=99.95,CO168&lt;&gt;"",N(CO168)&lt;100),"Pend. "&amp;CO168&amp;"%",""))))</f>
        <v/>
      </c>
      <c r="AS168" s="40" t="str">
        <f aca="false">IF(OR(OR(NOT(AND(ISNUMBER(E168),ISNUMBER(F168))),$J$2=""),7&gt;MAX(1,Reprogramaciones!$U$15)),"",IF(Reprogramaciones!Q$12&gt;=7,"",IF(OR(BZ168-N(BY168)&gt;0.05,N(W168)&gt;0),ROUNDDOWN(ROUND(BZ168,6),0)&amp;"%"&amp;IF(CP168="",""," / "&amp;CP168&amp;"%"),IF(AND(N(BY168)&gt;=99.95,CP168&lt;&gt;"",N(CP168)&lt;100),"Pend. "&amp;CP168&amp;"%",""))))</f>
        <v/>
      </c>
      <c r="AT168" s="40" t="str">
        <f aca="false">IF(OR(OR(NOT(AND(ISNUMBER(E168),ISNUMBER(F168))),$J$2=""),8&gt;MAX(1,Reprogramaciones!$U$15)),"",IF(Reprogramaciones!R$12&gt;=7,"",IF(OR(CA168-N(BZ168)&gt;0.05,N(X168)&gt;0),ROUNDDOWN(ROUND(CA168,6),0)&amp;"%"&amp;IF(CQ168="",""," / "&amp;CQ168&amp;"%"),IF(AND(N(BZ168)&gt;=99.95,CQ168&lt;&gt;"",N(CQ168)&lt;100),"Pend. "&amp;CQ168&amp;"%",""))))</f>
        <v/>
      </c>
      <c r="AU168" s="40" t="str">
        <f aca="false">IF(OR(OR(NOT(AND(ISNUMBER(E168),ISNUMBER(F168))),$J$2=""),9&gt;MAX(1,Reprogramaciones!$U$15)),"",IF(Reprogramaciones!S$12&gt;=7,"",IF(OR(CB168-N(CA168)&gt;0.05,N(Y168)&gt;0),ROUNDDOWN(ROUND(CB168,6),0)&amp;"%"&amp;IF(CR168="",""," / "&amp;CR168&amp;"%"),IF(AND(N(CA168)&gt;=99.95,CR168&lt;&gt;"",N(CR168)&lt;100),"Pend. "&amp;CR168&amp;"%",""))))</f>
        <v/>
      </c>
      <c r="AV168" s="40" t="str">
        <f aca="false">IF(OR(OR(NOT(AND(ISNUMBER(E168),ISNUMBER(F168))),$J$2=""),10&gt;MAX(1,Reprogramaciones!$U$15)),"",IF(Reprogramaciones!T$12&gt;=7,"",IF(OR(CC168-N(CB168)&gt;0.05,N(Z168)&gt;0),ROUNDDOWN(ROUND(CC168,6),0)&amp;"%"&amp;IF(CS168="",""," / "&amp;CS168&amp;"%"),IF(AND(N(CB168)&gt;=99.95,CS168&lt;&gt;"",N(CS168)&lt;100),"Pend. "&amp;CS168&amp;"%",""))))</f>
        <v/>
      </c>
      <c r="AW168" s="40" t="str">
        <f aca="false">IF(OR(OR(NOT(AND(ISNUMBER(E168),ISNUMBER(F168))),$J$2=""),11&gt;MAX(1,Reprogramaciones!$U$15)),"",IF(Reprogramaciones!U$12&gt;=7,"",IF(OR(CD168-N(CC168)&gt;0.05,N(AA168)&gt;0),ROUNDDOWN(ROUND(CD168,6),0)&amp;"%"&amp;IF(CT168="",""," / "&amp;CT168&amp;"%"),IF(AND(N(CC168)&gt;=99.95,CT168&lt;&gt;"",N(CT168)&lt;100),"Pend. "&amp;CT168&amp;"%",""))))</f>
        <v/>
      </c>
      <c r="AX168" s="40" t="str">
        <f aca="false">IF(OR(OR(NOT(AND(ISNUMBER(E168),ISNUMBER(F168))),$J$2=""),12&gt;MAX(1,Reprogramaciones!$U$15)),"",IF(Reprogramaciones!V$12&gt;=7,"",IF(OR(CE168-N(CD168)&gt;0.05,N(AB168)&gt;0),ROUNDDOWN(ROUND(CE168,6),0)&amp;"%"&amp;IF(CU168="",""," / "&amp;CU168&amp;"%"),IF(AND(N(CD168)&gt;=99.95,CU168&lt;&gt;"",N(CU168)&lt;100),"Pend. "&amp;CU168&amp;"%",""))))</f>
        <v/>
      </c>
      <c r="AY168" s="40" t="str">
        <f aca="false">IF(OR(OR(NOT(AND(ISNUMBER(E168),ISNUMBER(F168))),$J$2=""),13&gt;MAX(1,Reprogramaciones!$U$15)),"",IF(Reprogramaciones!W$12&gt;=7,"",IF(OR(CF168-N(CE168)&gt;0.05,N(AC168)&gt;0),ROUNDDOWN(ROUND(CF168,6),0)&amp;"%"&amp;IF(CV168="",""," / "&amp;CV168&amp;"%"),IF(AND(N(CE168)&gt;=99.95,CV168&lt;&gt;"",N(CV168)&lt;100),"Pend. "&amp;CV168&amp;"%",""))))</f>
        <v/>
      </c>
      <c r="AZ168" s="40" t="str">
        <f aca="false">IF(OR(OR(NOT(AND(ISNUMBER(E168),ISNUMBER(F168))),$J$2=""),14&gt;MAX(1,Reprogramaciones!$U$15)),"",IF(Reprogramaciones!X$12&gt;=7,"",IF(OR(CG168-N(CF168)&gt;0.05,N(AD168)&gt;0),ROUNDDOWN(ROUND(CG168,6),0)&amp;"%"&amp;IF(CW168="",""," / "&amp;CW168&amp;"%"),IF(AND(N(CF168)&gt;=99.95,CW168&lt;&gt;"",N(CW168)&lt;100),"Pend. "&amp;CW168&amp;"%",""))))</f>
        <v/>
      </c>
      <c r="BA168" s="40" t="str">
        <f aca="false">IF(OR(OR(NOT(AND(ISNUMBER(E168),ISNUMBER(F168))),$J$2=""),15&gt;MAX(1,Reprogramaciones!$U$15)),"",IF(Reprogramaciones!Y$12&gt;=7,"",IF(OR(CH168-N(CG168)&gt;0.05,N(AE168)&gt;0),ROUNDDOWN(ROUND(CH168,6),0)&amp;"%"&amp;IF(CX168="",""," / "&amp;CX168&amp;"%"),IF(AND(N(CG168)&gt;=99.95,CX168&lt;&gt;"",N(CX168)&lt;100),"Pend. "&amp;CX168&amp;"%",""))))</f>
        <v/>
      </c>
      <c r="BB168" s="40" t="str">
        <f aca="false">IF(OR(OR(NOT(AND(ISNUMBER(E168),ISNUMBER(F168))),$J$2=""),16&gt;MAX(1,Reprogramaciones!$U$15)),"",IF(Reprogramaciones!Z$12&gt;=7,"",IF(OR(CI168-N(CH168)&gt;0.05,N(AF168)&gt;0),ROUNDDOWN(ROUND(CI168,6),0)&amp;"%"&amp;IF(CY168="",""," / "&amp;CY168&amp;"%"),IF(AND(N(CH168)&gt;=99.95,CY168&lt;&gt;"",N(CY168)&lt;100),"Pend. "&amp;CY168&amp;"%",""))))</f>
        <v/>
      </c>
      <c r="BC168" s="31" t="n">
        <f aca="false">IF(AND(ISNUMBER(E168),ISNUMBER(F168)),MAX(1,NETWORKDAYS.INTL(E168,F168,11)),0)</f>
        <v>0</v>
      </c>
      <c r="BD168" s="1" t="str">
        <f aca="false">IF(OR(NOT(AND(ISNUMBER(E168),ISNUMBER(F168))),$J$2=""),"",MIN(100,ROUND(SUM($G168:G168),1)))</f>
        <v/>
      </c>
      <c r="BE168" s="1" t="str">
        <f aca="false">IF(OR(NOT(AND(ISNUMBER(E168),ISNUMBER(F168))),$J$2=""),"",MIN(100,ROUND(SUM($G168:H168),1)))</f>
        <v/>
      </c>
      <c r="BF168" s="1" t="str">
        <f aca="false">IF(OR(NOT(AND(ISNUMBER(E168),ISNUMBER(F168))),$J$2=""),"",MIN(100,ROUND(SUM($G168:I168),1)))</f>
        <v/>
      </c>
      <c r="BG168" s="1" t="str">
        <f aca="false">IF(OR(NOT(AND(ISNUMBER(E168),ISNUMBER(F168))),$J$2=""),"",MIN(100,ROUND(SUM($G168:J168),1)))</f>
        <v/>
      </c>
      <c r="BH168" s="1" t="str">
        <f aca="false">IF(OR(NOT(AND(ISNUMBER(E168),ISNUMBER(F168))),$J$2=""),"",MIN(100,ROUND(SUM($G168:K168),1)))</f>
        <v/>
      </c>
      <c r="BI168" s="1" t="str">
        <f aca="false">IF(OR(NOT(AND(ISNUMBER(E168),ISNUMBER(F168))),$J$2=""),"",MIN(100,ROUND(SUM($G168:L168),1)))</f>
        <v/>
      </c>
      <c r="BJ168" s="1" t="str">
        <f aca="false">IF(OR(NOT(AND(ISNUMBER(E168),ISNUMBER(F168))),$J$2=""),"",MIN(100,ROUND(SUM($G168:M168),1)))</f>
        <v/>
      </c>
      <c r="BK168" s="1" t="str">
        <f aca="false">IF(OR(NOT(AND(ISNUMBER(E168),ISNUMBER(F168))),$J$2=""),"",MIN(100,ROUND(SUM($G168:N168),1)))</f>
        <v/>
      </c>
      <c r="BL168" s="1" t="str">
        <f aca="false">IF(OR(NOT(AND(ISNUMBER(E168),ISNUMBER(F168))),$J$2=""),"",MIN(100,ROUND(SUM($G168:O168),1)))</f>
        <v/>
      </c>
      <c r="BM168" s="1" t="str">
        <f aca="false">IF(OR(NOT(AND(ISNUMBER(E168),ISNUMBER(F168))),$J$2=""),"",MIN(100,ROUND(SUM($G168:P168),1)))</f>
        <v/>
      </c>
      <c r="BN168" s="1" t="str">
        <f aca="false">IF(OR(NOT(AND(ISNUMBER(E168),ISNUMBER(F168))),$J$2=""),"",MIN(100,ROUND(SUM($G168:P168),1)))</f>
        <v/>
      </c>
      <c r="BO168" s="1" t="str">
        <f aca="false">IF(OR(NOT(AND(ISNUMBER(E168),ISNUMBER(F168))),$J$2=""),"",MIN(100,ROUND(SUM($G168:P168),1)))</f>
        <v/>
      </c>
      <c r="BP168" s="1" t="str">
        <f aca="false">IF(OR(NOT(AND(ISNUMBER(E168),ISNUMBER(F168))),$J$2=""),"",MIN(100,ROUND(SUM($G168:P168),1)))</f>
        <v/>
      </c>
      <c r="BQ168" s="1" t="str">
        <f aca="false">IF(OR(NOT(AND(ISNUMBER(E168),ISNUMBER(F168))),$J$2=""),"",MIN(100,ROUND(SUM($G168:P168),1)))</f>
        <v/>
      </c>
      <c r="BR168" s="1" t="str">
        <f aca="false">IF(OR(NOT(AND(ISNUMBER(E168),ISNUMBER(F168))),$J$2=""),"",MIN(100,ROUND(SUM($G168:P168),1)))</f>
        <v/>
      </c>
      <c r="BS168" s="1" t="str">
        <f aca="false">IF(OR(NOT(AND(ISNUMBER(E168),ISNUMBER(F168))),$J$2=""),"",MIN(100,ROUND(SUM($G168:P168),1)))</f>
        <v/>
      </c>
      <c r="BT168" s="1" t="str">
        <f aca="false">IF(OR(NOT(AND(ISNUMBER(E168),ISNUMBER(F168))),$J$2=""),"",IF(Reprogramaciones!K$13&lt;Reprogramaciones!$T$15,0,IF(Reprogramaciones!K$14&gt;10,MIN(100,SUM($G168:$P168)),MIN(100,SUMPRODUCT((COLUMN($G168:$P168)-COLUMN($G168)+1&lt;Reprogramaciones!K$14)*$G168:$P168)+N(INDEX($G168:$P168,1,Reprogramaciones!K$14))*IF(Reprogramaciones!K$13&gt;=(Reprogramaciones!$T$15+7*(Reprogramaciones!K$14-1))+6,1,IF(MAX(0,NETWORKDAYS.INTL(MAX(E168,(Reprogramaciones!$T$15+7*(Reprogramaciones!K$14-1))),MIN(F168,(Reprogramaciones!$T$15+7*(Reprogramaciones!K$14-1))+6),11))=0,0,MAX(0,NETWORKDAYS.INTL(MAX(E168,(Reprogramaciones!$T$15+7*(Reprogramaciones!K$14-1))),MIN(F168,Reprogramaciones!K$13),11))/MAX(0,NETWORKDAYS.INTL(MAX(E168,(Reprogramaciones!$T$15+7*(Reprogramaciones!K$14-1))),MIN(F168,(Reprogramaciones!$T$15+7*(Reprogramaciones!K$14-1))+6),11))))))))</f>
        <v/>
      </c>
      <c r="BU168" s="1" t="str">
        <f aca="false">IF(OR(NOT(AND(ISNUMBER(E168),ISNUMBER(F168))),$J$2=""),"",IF(Reprogramaciones!L$13&lt;Reprogramaciones!$T$15,0,IF(Reprogramaciones!L$14&gt;10,MIN(100,SUM($G168:$P168)),MIN(100,SUMPRODUCT((COLUMN($G168:$P168)-COLUMN($G168)+1&lt;Reprogramaciones!L$14)*$G168:$P168)+N(INDEX($G168:$P168,1,Reprogramaciones!L$14))*IF(Reprogramaciones!L$13&gt;=(Reprogramaciones!$T$15+7*(Reprogramaciones!L$14-1))+6,1,IF(MAX(0,NETWORKDAYS.INTL(MAX(E168,(Reprogramaciones!$T$15+7*(Reprogramaciones!L$14-1))),MIN(F168,(Reprogramaciones!$T$15+7*(Reprogramaciones!L$14-1))+6),11))=0,0,MAX(0,NETWORKDAYS.INTL(MAX(E168,(Reprogramaciones!$T$15+7*(Reprogramaciones!L$14-1))),MIN(F168,Reprogramaciones!L$13),11))/MAX(0,NETWORKDAYS.INTL(MAX(E168,(Reprogramaciones!$T$15+7*(Reprogramaciones!L$14-1))),MIN(F168,(Reprogramaciones!$T$15+7*(Reprogramaciones!L$14-1))+6),11))))))))</f>
        <v/>
      </c>
      <c r="BV168" s="1" t="str">
        <f aca="false">IF(OR(NOT(AND(ISNUMBER(E168),ISNUMBER(F168))),$J$2=""),"",IF(Reprogramaciones!M$13&lt;Reprogramaciones!$T$15,0,IF(Reprogramaciones!M$14&gt;10,MIN(100,SUM($G168:$P168)),MIN(100,SUMPRODUCT((COLUMN($G168:$P168)-COLUMN($G168)+1&lt;Reprogramaciones!M$14)*$G168:$P168)+N(INDEX($G168:$P168,1,Reprogramaciones!M$14))*IF(Reprogramaciones!M$13&gt;=(Reprogramaciones!$T$15+7*(Reprogramaciones!M$14-1))+6,1,IF(MAX(0,NETWORKDAYS.INTL(MAX(E168,(Reprogramaciones!$T$15+7*(Reprogramaciones!M$14-1))),MIN(F168,(Reprogramaciones!$T$15+7*(Reprogramaciones!M$14-1))+6),11))=0,0,MAX(0,NETWORKDAYS.INTL(MAX(E168,(Reprogramaciones!$T$15+7*(Reprogramaciones!M$14-1))),MIN(F168,Reprogramaciones!M$13),11))/MAX(0,NETWORKDAYS.INTL(MAX(E168,(Reprogramaciones!$T$15+7*(Reprogramaciones!M$14-1))),MIN(F168,(Reprogramaciones!$T$15+7*(Reprogramaciones!M$14-1))+6),11))))))))</f>
        <v/>
      </c>
      <c r="BW168" s="1" t="str">
        <f aca="false">IF(OR(NOT(AND(ISNUMBER(E168),ISNUMBER(F168))),$J$2=""),"",IF(Reprogramaciones!N$13&lt;Reprogramaciones!$T$15,0,IF(Reprogramaciones!N$14&gt;10,MIN(100,SUM($G168:$P168)),MIN(100,SUMPRODUCT((COLUMN($G168:$P168)-COLUMN($G168)+1&lt;Reprogramaciones!N$14)*$G168:$P168)+N(INDEX($G168:$P168,1,Reprogramaciones!N$14))*IF(Reprogramaciones!N$13&gt;=(Reprogramaciones!$T$15+7*(Reprogramaciones!N$14-1))+6,1,IF(MAX(0,NETWORKDAYS.INTL(MAX(E168,(Reprogramaciones!$T$15+7*(Reprogramaciones!N$14-1))),MIN(F168,(Reprogramaciones!$T$15+7*(Reprogramaciones!N$14-1))+6),11))=0,0,MAX(0,NETWORKDAYS.INTL(MAX(E168,(Reprogramaciones!$T$15+7*(Reprogramaciones!N$14-1))),MIN(F168,Reprogramaciones!N$13),11))/MAX(0,NETWORKDAYS.INTL(MAX(E168,(Reprogramaciones!$T$15+7*(Reprogramaciones!N$14-1))),MIN(F168,(Reprogramaciones!$T$15+7*(Reprogramaciones!N$14-1))+6),11))))))))</f>
        <v/>
      </c>
      <c r="BX168" s="1" t="str">
        <f aca="false">IF(OR(NOT(AND(ISNUMBER(E168),ISNUMBER(F168))),$J$2=""),"",IF(Reprogramaciones!O$13&lt;Reprogramaciones!$T$15,0,IF(Reprogramaciones!O$14&gt;10,MIN(100,SUM($G168:$P168)),MIN(100,SUMPRODUCT((COLUMN($G168:$P168)-COLUMN($G168)+1&lt;Reprogramaciones!O$14)*$G168:$P168)+N(INDEX($G168:$P168,1,Reprogramaciones!O$14))*IF(Reprogramaciones!O$13&gt;=(Reprogramaciones!$T$15+7*(Reprogramaciones!O$14-1))+6,1,IF(MAX(0,NETWORKDAYS.INTL(MAX(E168,(Reprogramaciones!$T$15+7*(Reprogramaciones!O$14-1))),MIN(F168,(Reprogramaciones!$T$15+7*(Reprogramaciones!O$14-1))+6),11))=0,0,MAX(0,NETWORKDAYS.INTL(MAX(E168,(Reprogramaciones!$T$15+7*(Reprogramaciones!O$14-1))),MIN(F168,Reprogramaciones!O$13),11))/MAX(0,NETWORKDAYS.INTL(MAX(E168,(Reprogramaciones!$T$15+7*(Reprogramaciones!O$14-1))),MIN(F168,(Reprogramaciones!$T$15+7*(Reprogramaciones!O$14-1))+6),11))))))))</f>
        <v/>
      </c>
      <c r="BY168" s="1" t="str">
        <f aca="false">IF(OR(NOT(AND(ISNUMBER(E168),ISNUMBER(F168))),$J$2=""),"",IF(Reprogramaciones!P$13&lt;Reprogramaciones!$T$15,0,IF(Reprogramaciones!P$14&gt;10,MIN(100,SUM($G168:$P168)),MIN(100,SUMPRODUCT((COLUMN($G168:$P168)-COLUMN($G168)+1&lt;Reprogramaciones!P$14)*$G168:$P168)+N(INDEX($G168:$P168,1,Reprogramaciones!P$14))*IF(Reprogramaciones!P$13&gt;=(Reprogramaciones!$T$15+7*(Reprogramaciones!P$14-1))+6,1,IF(MAX(0,NETWORKDAYS.INTL(MAX(E168,(Reprogramaciones!$T$15+7*(Reprogramaciones!P$14-1))),MIN(F168,(Reprogramaciones!$T$15+7*(Reprogramaciones!P$14-1))+6),11))=0,0,MAX(0,NETWORKDAYS.INTL(MAX(E168,(Reprogramaciones!$T$15+7*(Reprogramaciones!P$14-1))),MIN(F168,Reprogramaciones!P$13),11))/MAX(0,NETWORKDAYS.INTL(MAX(E168,(Reprogramaciones!$T$15+7*(Reprogramaciones!P$14-1))),MIN(F168,(Reprogramaciones!$T$15+7*(Reprogramaciones!P$14-1))+6),11))))))))</f>
        <v/>
      </c>
      <c r="BZ168" s="1" t="str">
        <f aca="false">IF(OR(NOT(AND(ISNUMBER(E168),ISNUMBER(F168))),$J$2=""),"",IF(Reprogramaciones!Q$13&lt;Reprogramaciones!$T$15,0,IF(Reprogramaciones!Q$14&gt;10,MIN(100,SUM($G168:$P168)),MIN(100,SUMPRODUCT((COLUMN($G168:$P168)-COLUMN($G168)+1&lt;Reprogramaciones!Q$14)*$G168:$P168)+N(INDEX($G168:$P168,1,Reprogramaciones!Q$14))*IF(Reprogramaciones!Q$13&gt;=(Reprogramaciones!$T$15+7*(Reprogramaciones!Q$14-1))+6,1,IF(MAX(0,NETWORKDAYS.INTL(MAX(E168,(Reprogramaciones!$T$15+7*(Reprogramaciones!Q$14-1))),MIN(F168,(Reprogramaciones!$T$15+7*(Reprogramaciones!Q$14-1))+6),11))=0,0,MAX(0,NETWORKDAYS.INTL(MAX(E168,(Reprogramaciones!$T$15+7*(Reprogramaciones!Q$14-1))),MIN(F168,Reprogramaciones!Q$13),11))/MAX(0,NETWORKDAYS.INTL(MAX(E168,(Reprogramaciones!$T$15+7*(Reprogramaciones!Q$14-1))),MIN(F168,(Reprogramaciones!$T$15+7*(Reprogramaciones!Q$14-1))+6),11))))))))</f>
        <v/>
      </c>
      <c r="CA168" s="1" t="str">
        <f aca="false">IF(OR(NOT(AND(ISNUMBER(E168),ISNUMBER(F168))),$J$2=""),"",IF(Reprogramaciones!R$13&lt;Reprogramaciones!$T$15,0,IF(Reprogramaciones!R$14&gt;10,MIN(100,SUM($G168:$P168)),MIN(100,SUMPRODUCT((COLUMN($G168:$P168)-COLUMN($G168)+1&lt;Reprogramaciones!R$14)*$G168:$P168)+N(INDEX($G168:$P168,1,Reprogramaciones!R$14))*IF(Reprogramaciones!R$13&gt;=(Reprogramaciones!$T$15+7*(Reprogramaciones!R$14-1))+6,1,IF(MAX(0,NETWORKDAYS.INTL(MAX(E168,(Reprogramaciones!$T$15+7*(Reprogramaciones!R$14-1))),MIN(F168,(Reprogramaciones!$T$15+7*(Reprogramaciones!R$14-1))+6),11))=0,0,MAX(0,NETWORKDAYS.INTL(MAX(E168,(Reprogramaciones!$T$15+7*(Reprogramaciones!R$14-1))),MIN(F168,Reprogramaciones!R$13),11))/MAX(0,NETWORKDAYS.INTL(MAX(E168,(Reprogramaciones!$T$15+7*(Reprogramaciones!R$14-1))),MIN(F168,(Reprogramaciones!$T$15+7*(Reprogramaciones!R$14-1))+6),11))))))))</f>
        <v/>
      </c>
      <c r="CB168" s="1" t="str">
        <f aca="false">IF(OR(NOT(AND(ISNUMBER(E168),ISNUMBER(F168))),$J$2=""),"",IF(Reprogramaciones!S$13&lt;Reprogramaciones!$T$15,0,IF(Reprogramaciones!S$14&gt;10,MIN(100,SUM($G168:$P168)),MIN(100,SUMPRODUCT((COLUMN($G168:$P168)-COLUMN($G168)+1&lt;Reprogramaciones!S$14)*$G168:$P168)+N(INDEX($G168:$P168,1,Reprogramaciones!S$14))*IF(Reprogramaciones!S$13&gt;=(Reprogramaciones!$T$15+7*(Reprogramaciones!S$14-1))+6,1,IF(MAX(0,NETWORKDAYS.INTL(MAX(E168,(Reprogramaciones!$T$15+7*(Reprogramaciones!S$14-1))),MIN(F168,(Reprogramaciones!$T$15+7*(Reprogramaciones!S$14-1))+6),11))=0,0,MAX(0,NETWORKDAYS.INTL(MAX(E168,(Reprogramaciones!$T$15+7*(Reprogramaciones!S$14-1))),MIN(F168,Reprogramaciones!S$13),11))/MAX(0,NETWORKDAYS.INTL(MAX(E168,(Reprogramaciones!$T$15+7*(Reprogramaciones!S$14-1))),MIN(F168,(Reprogramaciones!$T$15+7*(Reprogramaciones!S$14-1))+6),11))))))))</f>
        <v/>
      </c>
      <c r="CC168" s="1" t="str">
        <f aca="false">IF(OR(NOT(AND(ISNUMBER(E168),ISNUMBER(F168))),$J$2=""),"",IF(Reprogramaciones!T$13&lt;Reprogramaciones!$T$15,0,IF(Reprogramaciones!T$14&gt;10,MIN(100,SUM($G168:$P168)),MIN(100,SUMPRODUCT((COLUMN($G168:$P168)-COLUMN($G168)+1&lt;Reprogramaciones!T$14)*$G168:$P168)+N(INDEX($G168:$P168,1,Reprogramaciones!T$14))*IF(Reprogramaciones!T$13&gt;=(Reprogramaciones!$T$15+7*(Reprogramaciones!T$14-1))+6,1,IF(MAX(0,NETWORKDAYS.INTL(MAX(E168,(Reprogramaciones!$T$15+7*(Reprogramaciones!T$14-1))),MIN(F168,(Reprogramaciones!$T$15+7*(Reprogramaciones!T$14-1))+6),11))=0,0,MAX(0,NETWORKDAYS.INTL(MAX(E168,(Reprogramaciones!$T$15+7*(Reprogramaciones!T$14-1))),MIN(F168,Reprogramaciones!T$13),11))/MAX(0,NETWORKDAYS.INTL(MAX(E168,(Reprogramaciones!$T$15+7*(Reprogramaciones!T$14-1))),MIN(F168,(Reprogramaciones!$T$15+7*(Reprogramaciones!T$14-1))+6),11))))))))</f>
        <v/>
      </c>
      <c r="CD168" s="1" t="str">
        <f aca="false">IF(OR(NOT(AND(ISNUMBER(E168),ISNUMBER(F168))),$J$2=""),"",IF(Reprogramaciones!U$13&lt;Reprogramaciones!$T$15,0,IF(Reprogramaciones!U$14&gt;10,MIN(100,SUM($G168:$P168)),MIN(100,SUMPRODUCT((COLUMN($G168:$P168)-COLUMN($G168)+1&lt;Reprogramaciones!U$14)*$G168:$P168)+N(INDEX($G168:$P168,1,Reprogramaciones!U$14))*IF(Reprogramaciones!U$13&gt;=(Reprogramaciones!$T$15+7*(Reprogramaciones!U$14-1))+6,1,IF(MAX(0,NETWORKDAYS.INTL(MAX(E168,(Reprogramaciones!$T$15+7*(Reprogramaciones!U$14-1))),MIN(F168,(Reprogramaciones!$T$15+7*(Reprogramaciones!U$14-1))+6),11))=0,0,MAX(0,NETWORKDAYS.INTL(MAX(E168,(Reprogramaciones!$T$15+7*(Reprogramaciones!U$14-1))),MIN(F168,Reprogramaciones!U$13),11))/MAX(0,NETWORKDAYS.INTL(MAX(E168,(Reprogramaciones!$T$15+7*(Reprogramaciones!U$14-1))),MIN(F168,(Reprogramaciones!$T$15+7*(Reprogramaciones!U$14-1))+6),11))))))))</f>
        <v/>
      </c>
      <c r="CE168" s="1" t="str">
        <f aca="false">IF(OR(NOT(AND(ISNUMBER(E168),ISNUMBER(F168))),$J$2=""),"",IF(Reprogramaciones!V$13&lt;Reprogramaciones!$T$15,0,IF(Reprogramaciones!V$14&gt;10,MIN(100,SUM($G168:$P168)),MIN(100,SUMPRODUCT((COLUMN($G168:$P168)-COLUMN($G168)+1&lt;Reprogramaciones!V$14)*$G168:$P168)+N(INDEX($G168:$P168,1,Reprogramaciones!V$14))*IF(Reprogramaciones!V$13&gt;=(Reprogramaciones!$T$15+7*(Reprogramaciones!V$14-1))+6,1,IF(MAX(0,NETWORKDAYS.INTL(MAX(E168,(Reprogramaciones!$T$15+7*(Reprogramaciones!V$14-1))),MIN(F168,(Reprogramaciones!$T$15+7*(Reprogramaciones!V$14-1))+6),11))=0,0,MAX(0,NETWORKDAYS.INTL(MAX(E168,(Reprogramaciones!$T$15+7*(Reprogramaciones!V$14-1))),MIN(F168,Reprogramaciones!V$13),11))/MAX(0,NETWORKDAYS.INTL(MAX(E168,(Reprogramaciones!$T$15+7*(Reprogramaciones!V$14-1))),MIN(F168,(Reprogramaciones!$T$15+7*(Reprogramaciones!V$14-1))+6),11))))))))</f>
        <v/>
      </c>
      <c r="CF168" s="1" t="str">
        <f aca="false">IF(OR(NOT(AND(ISNUMBER(E168),ISNUMBER(F168))),$J$2=""),"",IF(Reprogramaciones!W$13&lt;Reprogramaciones!$T$15,0,IF(Reprogramaciones!W$14&gt;10,MIN(100,SUM($G168:$P168)),MIN(100,SUMPRODUCT((COLUMN($G168:$P168)-COLUMN($G168)+1&lt;Reprogramaciones!W$14)*$G168:$P168)+N(INDEX($G168:$P168,1,Reprogramaciones!W$14))*IF(Reprogramaciones!W$13&gt;=(Reprogramaciones!$T$15+7*(Reprogramaciones!W$14-1))+6,1,IF(MAX(0,NETWORKDAYS.INTL(MAX(E168,(Reprogramaciones!$T$15+7*(Reprogramaciones!W$14-1))),MIN(F168,(Reprogramaciones!$T$15+7*(Reprogramaciones!W$14-1))+6),11))=0,0,MAX(0,NETWORKDAYS.INTL(MAX(E168,(Reprogramaciones!$T$15+7*(Reprogramaciones!W$14-1))),MIN(F168,Reprogramaciones!W$13),11))/MAX(0,NETWORKDAYS.INTL(MAX(E168,(Reprogramaciones!$T$15+7*(Reprogramaciones!W$14-1))),MIN(F168,(Reprogramaciones!$T$15+7*(Reprogramaciones!W$14-1))+6),11))))))))</f>
        <v/>
      </c>
      <c r="CG168" s="1" t="str">
        <f aca="false">IF(OR(NOT(AND(ISNUMBER(E168),ISNUMBER(F168))),$J$2=""),"",IF(Reprogramaciones!X$13&lt;Reprogramaciones!$T$15,0,IF(Reprogramaciones!X$14&gt;10,MIN(100,SUM($G168:$P168)),MIN(100,SUMPRODUCT((COLUMN($G168:$P168)-COLUMN($G168)+1&lt;Reprogramaciones!X$14)*$G168:$P168)+N(INDEX($G168:$P168,1,Reprogramaciones!X$14))*IF(Reprogramaciones!X$13&gt;=(Reprogramaciones!$T$15+7*(Reprogramaciones!X$14-1))+6,1,IF(MAX(0,NETWORKDAYS.INTL(MAX(E168,(Reprogramaciones!$T$15+7*(Reprogramaciones!X$14-1))),MIN(F168,(Reprogramaciones!$T$15+7*(Reprogramaciones!X$14-1))+6),11))=0,0,MAX(0,NETWORKDAYS.INTL(MAX(E168,(Reprogramaciones!$T$15+7*(Reprogramaciones!X$14-1))),MIN(F168,Reprogramaciones!X$13),11))/MAX(0,NETWORKDAYS.INTL(MAX(E168,(Reprogramaciones!$T$15+7*(Reprogramaciones!X$14-1))),MIN(F168,(Reprogramaciones!$T$15+7*(Reprogramaciones!X$14-1))+6),11))))))))</f>
        <v/>
      </c>
      <c r="CH168" s="1" t="str">
        <f aca="false">IF(OR(NOT(AND(ISNUMBER(E168),ISNUMBER(F168))),$J$2=""),"",IF(Reprogramaciones!Y$13&lt;Reprogramaciones!$T$15,0,IF(Reprogramaciones!Y$14&gt;10,MIN(100,SUM($G168:$P168)),MIN(100,SUMPRODUCT((COLUMN($G168:$P168)-COLUMN($G168)+1&lt;Reprogramaciones!Y$14)*$G168:$P168)+N(INDEX($G168:$P168,1,Reprogramaciones!Y$14))*IF(Reprogramaciones!Y$13&gt;=(Reprogramaciones!$T$15+7*(Reprogramaciones!Y$14-1))+6,1,IF(MAX(0,NETWORKDAYS.INTL(MAX(E168,(Reprogramaciones!$T$15+7*(Reprogramaciones!Y$14-1))),MIN(F168,(Reprogramaciones!$T$15+7*(Reprogramaciones!Y$14-1))+6),11))=0,0,MAX(0,NETWORKDAYS.INTL(MAX(E168,(Reprogramaciones!$T$15+7*(Reprogramaciones!Y$14-1))),MIN(F168,Reprogramaciones!Y$13),11))/MAX(0,NETWORKDAYS.INTL(MAX(E168,(Reprogramaciones!$T$15+7*(Reprogramaciones!Y$14-1))),MIN(F168,(Reprogramaciones!$T$15+7*(Reprogramaciones!Y$14-1))+6),11))))))))</f>
        <v/>
      </c>
      <c r="CI168" s="1" t="str">
        <f aca="false">IF(OR(NOT(AND(ISNUMBER(E168),ISNUMBER(F168))),$J$2=""),"",IF(Reprogramaciones!Z$13&lt;Reprogramaciones!$T$15,0,IF(Reprogramaciones!Z$14&gt;10,MIN(100,SUM($G168:$P168)),MIN(100,SUMPRODUCT((COLUMN($G168:$P168)-COLUMN($G168)+1&lt;Reprogramaciones!Z$14)*$G168:$P168)+N(INDEX($G168:$P168,1,Reprogramaciones!Z$14))*IF(Reprogramaciones!Z$13&gt;=(Reprogramaciones!$T$15+7*(Reprogramaciones!Z$14-1))+6,1,IF(MAX(0,NETWORKDAYS.INTL(MAX(E168,(Reprogramaciones!$T$15+7*(Reprogramaciones!Z$14-1))),MIN(F168,(Reprogramaciones!$T$15+7*(Reprogramaciones!Z$14-1))+6),11))=0,0,MAX(0,NETWORKDAYS.INTL(MAX(E168,(Reprogramaciones!$T$15+7*(Reprogramaciones!Z$14-1))),MIN(F168,Reprogramaciones!Z$13),11))/MAX(0,NETWORKDAYS.INTL(MAX(E168,(Reprogramaciones!$T$15+7*(Reprogramaciones!Z$14-1))),MIN(F168,(Reprogramaciones!$T$15+7*(Reprogramaciones!Z$14-1))+6),11))))))))</f>
        <v/>
      </c>
      <c r="CJ168" s="1" t="str">
        <f aca="false">IF(OR(OR(NOT(AND(ISNUMBER(E168),ISNUMBER(F168))),$J$2=""),1&gt;Reprogramaciones!$K$16),"",IF(ROUND(SUM($Q168:Q168),1)&gt;=99.5,100,MIN(100,ROUND(SUM($Q168:Q168),1))))</f>
        <v/>
      </c>
      <c r="CK168" s="1" t="str">
        <f aca="false">IF(OR(OR(NOT(AND(ISNUMBER(E168),ISNUMBER(F168))),$J$2=""),2&gt;Reprogramaciones!$K$16),"",IF(ROUND(SUM($Q168:R168),1)&gt;=99.5,100,MIN(100,ROUND(SUM($Q168:R168),1))))</f>
        <v/>
      </c>
      <c r="CL168" s="1" t="str">
        <f aca="false">IF(OR(OR(NOT(AND(ISNUMBER(E168),ISNUMBER(F168))),$J$2=""),3&gt;Reprogramaciones!$K$16),"",IF(ROUND(SUM($Q168:S168),1)&gt;=99.5,100,MIN(100,ROUND(SUM($Q168:S168),1))))</f>
        <v/>
      </c>
      <c r="CM168" s="1" t="str">
        <f aca="false">IF(OR(OR(NOT(AND(ISNUMBER(E168),ISNUMBER(F168))),$J$2=""),4&gt;Reprogramaciones!$K$16),"",IF(ROUND(SUM($Q168:T168),1)&gt;=99.5,100,MIN(100,ROUND(SUM($Q168:T168),1))))</f>
        <v/>
      </c>
      <c r="CN168" s="1" t="str">
        <f aca="false">IF(OR(OR(NOT(AND(ISNUMBER(E168),ISNUMBER(F168))),$J$2=""),5&gt;Reprogramaciones!$K$16),"",IF(ROUND(SUM($Q168:U168),1)&gt;=99.5,100,MIN(100,ROUND(SUM($Q168:U168),1))))</f>
        <v/>
      </c>
      <c r="CO168" s="1" t="str">
        <f aca="false">IF(OR(OR(NOT(AND(ISNUMBER(E168),ISNUMBER(F168))),$J$2=""),6&gt;Reprogramaciones!$K$16),"",IF(ROUND(SUM($Q168:V168),1)&gt;=99.5,100,MIN(100,ROUND(SUM($Q168:V168),1))))</f>
        <v/>
      </c>
      <c r="CP168" s="1" t="str">
        <f aca="false">IF(OR(OR(NOT(AND(ISNUMBER(E168),ISNUMBER(F168))),$J$2=""),7&gt;Reprogramaciones!$K$16),"",IF(ROUND(SUM($Q168:W168),1)&gt;=99.5,100,MIN(100,ROUND(SUM($Q168:W168),1))))</f>
        <v/>
      </c>
      <c r="CQ168" s="1" t="str">
        <f aca="false">IF(OR(OR(NOT(AND(ISNUMBER(E168),ISNUMBER(F168))),$J$2=""),8&gt;Reprogramaciones!$K$16),"",IF(ROUND(SUM($Q168:X168),1)&gt;=99.5,100,MIN(100,ROUND(SUM($Q168:X168),1))))</f>
        <v/>
      </c>
      <c r="CR168" s="1" t="str">
        <f aca="false">IF(OR(OR(NOT(AND(ISNUMBER(E168),ISNUMBER(F168))),$J$2=""),9&gt;Reprogramaciones!$K$16),"",IF(ROUND(SUM($Q168:Y168),1)&gt;=99.5,100,MIN(100,ROUND(SUM($Q168:Y168),1))))</f>
        <v/>
      </c>
      <c r="CS168" s="1" t="str">
        <f aca="false">IF(OR(OR(NOT(AND(ISNUMBER(E168),ISNUMBER(F168))),$J$2=""),10&gt;Reprogramaciones!$K$16),"",IF(ROUND(SUM($Q168:Z168),1)&gt;=99.5,100,MIN(100,ROUND(SUM($Q168:Z168),1))))</f>
        <v/>
      </c>
      <c r="CT168" s="1" t="str">
        <f aca="false">IF(OR(OR(NOT(AND(ISNUMBER(E168),ISNUMBER(F168))),$J$2=""),11&gt;Reprogramaciones!$K$16),"",IF(ROUND(SUM($Q168:AA168),1)&gt;=99.5,100,MIN(100,ROUND(SUM($Q168:AA168),1))))</f>
        <v/>
      </c>
      <c r="CU168" s="1" t="str">
        <f aca="false">IF(OR(OR(NOT(AND(ISNUMBER(E168),ISNUMBER(F168))),$J$2=""),12&gt;Reprogramaciones!$K$16),"",IF(ROUND(SUM($Q168:AB168),1)&gt;=99.5,100,MIN(100,ROUND(SUM($Q168:AB168),1))))</f>
        <v/>
      </c>
      <c r="CV168" s="1" t="str">
        <f aca="false">IF(OR(OR(NOT(AND(ISNUMBER(E168),ISNUMBER(F168))),$J$2=""),13&gt;Reprogramaciones!$K$16),"",IF(ROUND(SUM($Q168:AC168),1)&gt;=99.5,100,MIN(100,ROUND(SUM($Q168:AC168),1))))</f>
        <v/>
      </c>
      <c r="CW168" s="1" t="str">
        <f aca="false">IF(OR(OR(NOT(AND(ISNUMBER(E168),ISNUMBER(F168))),$J$2=""),14&gt;Reprogramaciones!$K$16),"",IF(ROUND(SUM($Q168:AD168),1)&gt;=99.5,100,MIN(100,ROUND(SUM($Q168:AD168),1))))</f>
        <v/>
      </c>
      <c r="CX168" s="1" t="str">
        <f aca="false">IF(OR(OR(NOT(AND(ISNUMBER(E168),ISNUMBER(F168))),$J$2=""),15&gt;Reprogramaciones!$K$16),"",IF(ROUND(SUM($Q168:AE168),1)&gt;=99.5,100,MIN(100,ROUND(SUM($Q168:AE168),1))))</f>
        <v/>
      </c>
      <c r="CY168" s="1" t="str">
        <f aca="false">IF(OR(OR(NOT(AND(ISNUMBER(E168),ISNUMBER(F168))),$J$2=""),16&gt;Reprogramaciones!$K$16),"",IF(ROUND(SUM($Q168:AF168),1)&gt;=99.5,100,MIN(100,ROUND(SUM($Q168:AF168),1))))</f>
        <v/>
      </c>
      <c r="CZ168" s="1" t="str">
        <f aca="false">IF(D168&lt;&gt;"",D168,IF(B168&lt;&gt;"","Contractual",CZ167))</f>
        <v>Contractual</v>
      </c>
      <c r="DA168" s="1" t="str">
        <f aca="false">IF(OR(NOT(AND(ISNUMBER(E168),ISNUMBER(F168))),$J$2=""),"",IF(Reprogramaciones!$Q$15&lt;Reprogramaciones!$T$15,0,IF(Reprogramaciones!$S$15&gt;10,MIN(100,SUM($G168:$P168)),MIN(100,SUMPRODUCT((COLUMN($G168:$P168)-COLUMN($G168)+1&lt;Reprogramaciones!$S$15)*$G168:$P168)+N(INDEX($G168:$P168,1,Reprogramaciones!$S$15))*IF(Reprogramaciones!$Q$15&gt;=(Reprogramaciones!$T$15+7*(Reprogramaciones!$S$15-1))+6,1,IF(MAX(0,NETWORKDAYS.INTL(MAX(E168,(Reprogramaciones!$T$15+7*(Reprogramaciones!$S$15-1))),MIN(F168,(Reprogramaciones!$T$15+7*(Reprogramaciones!$S$15-1))+6),11))=0,0,MAX(0,NETWORKDAYS.INTL(MAX(E168,(Reprogramaciones!$T$15+7*(Reprogramaciones!$S$15-1))),MIN(F168,Reprogramaciones!$Q$15),11))/MAX(0,NETWORKDAYS.INTL(MAX(E168,(Reprogramaciones!$T$15+7*(Reprogramaciones!$S$15-1))),MIN(F168,(Reprogramaciones!$T$15+7*(Reprogramaciones!$S$15-1))+6),11))))))))</f>
        <v/>
      </c>
    </row>
    <row r="169" customFormat="false" ht="15" hidden="false" customHeight="false" outlineLevel="0" collapsed="false">
      <c r="A169" s="32"/>
      <c r="B169" s="33"/>
      <c r="C169" s="33"/>
      <c r="D169" s="34"/>
      <c r="E169" s="35"/>
      <c r="F169" s="35"/>
      <c r="G169" s="36" t="str">
        <f aca="false">IF(OR(NOT(AND(ISNUMBER(E169),ISNUMBER(F169))),$J$2=""),"",IF(Reprogramaciones!K$9&lt;E169,0,IF(NETWORKDAYS.INTL(E169,F169,11)=0,IF(Reprogramaciones!K$9&gt;=F169,100,0),ROUND(NETWORKDAYS.INTL(E169,MIN(F169,Reprogramaciones!K$9),11)/NETWORKDAYS.INTL(E169,F169,11)*100,1)))-0)</f>
        <v/>
      </c>
      <c r="H169" s="36" t="str">
        <f aca="false">IF(OR(NOT(AND(ISNUMBER(E169),ISNUMBER(F169))),$J$2=""),"",IF(Reprogramaciones!L$9&lt;E169,0,IF(NETWORKDAYS.INTL(E169,F169,11)=0,IF(Reprogramaciones!L$9&gt;=F169,100,0),ROUND(NETWORKDAYS.INTL(E169,MIN(F169,Reprogramaciones!L$9),11)/NETWORKDAYS.INTL(E169,F169,11)*100,1)))-IF(Reprogramaciones!K$9&lt;E169,0,IF(NETWORKDAYS.INTL(E169,F169,11)=0,IF(Reprogramaciones!K$9&gt;=F169,100,0),ROUND(NETWORKDAYS.INTL(E169,MIN(F169,Reprogramaciones!K$9),11)/NETWORKDAYS.INTL(E169,F169,11)*100,1))))</f>
        <v/>
      </c>
      <c r="I169" s="36" t="str">
        <f aca="false">IF(OR(NOT(AND(ISNUMBER(E169),ISNUMBER(F169))),$J$2=""),"",IF(Reprogramaciones!M$9&lt;E169,0,IF(NETWORKDAYS.INTL(E169,F169,11)=0,IF(Reprogramaciones!M$9&gt;=F169,100,0),ROUND(NETWORKDAYS.INTL(E169,MIN(F169,Reprogramaciones!M$9),11)/NETWORKDAYS.INTL(E169,F169,11)*100,1)))-IF(Reprogramaciones!L$9&lt;E169,0,IF(NETWORKDAYS.INTL(E169,F169,11)=0,IF(Reprogramaciones!L$9&gt;=F169,100,0),ROUND(NETWORKDAYS.INTL(E169,MIN(F169,Reprogramaciones!L$9),11)/NETWORKDAYS.INTL(E169,F169,11)*100,1))))</f>
        <v/>
      </c>
      <c r="J169" s="36" t="str">
        <f aca="false">IF(OR(NOT(AND(ISNUMBER(E169),ISNUMBER(F169))),$J$2=""),"",IF(Reprogramaciones!N$9&lt;E169,0,IF(NETWORKDAYS.INTL(E169,F169,11)=0,IF(Reprogramaciones!N$9&gt;=F169,100,0),ROUND(NETWORKDAYS.INTL(E169,MIN(F169,Reprogramaciones!N$9),11)/NETWORKDAYS.INTL(E169,F169,11)*100,1)))-IF(Reprogramaciones!M$9&lt;E169,0,IF(NETWORKDAYS.INTL(E169,F169,11)=0,IF(Reprogramaciones!M$9&gt;=F169,100,0),ROUND(NETWORKDAYS.INTL(E169,MIN(F169,Reprogramaciones!M$9),11)/NETWORKDAYS.INTL(E169,F169,11)*100,1))))</f>
        <v/>
      </c>
      <c r="K169" s="36" t="str">
        <f aca="false">IF(OR(NOT(AND(ISNUMBER(E169),ISNUMBER(F169))),$J$2=""),"",IF(Reprogramaciones!O$9&lt;E169,0,IF(NETWORKDAYS.INTL(E169,F169,11)=0,IF(Reprogramaciones!O$9&gt;=F169,100,0),ROUND(NETWORKDAYS.INTL(E169,MIN(F169,Reprogramaciones!O$9),11)/NETWORKDAYS.INTL(E169,F169,11)*100,1)))-IF(Reprogramaciones!N$9&lt;E169,0,IF(NETWORKDAYS.INTL(E169,F169,11)=0,IF(Reprogramaciones!N$9&gt;=F169,100,0),ROUND(NETWORKDAYS.INTL(E169,MIN(F169,Reprogramaciones!N$9),11)/NETWORKDAYS.INTL(E169,F169,11)*100,1))))</f>
        <v/>
      </c>
      <c r="L169" s="36" t="str">
        <f aca="false">IF(OR(NOT(AND(ISNUMBER(E169),ISNUMBER(F169))),$J$2=""),"",IF(Reprogramaciones!P$9&lt;E169,0,IF(NETWORKDAYS.INTL(E169,F169,11)=0,IF(Reprogramaciones!P$9&gt;=F169,100,0),ROUND(NETWORKDAYS.INTL(E169,MIN(F169,Reprogramaciones!P$9),11)/NETWORKDAYS.INTL(E169,F169,11)*100,1)))-IF(Reprogramaciones!O$9&lt;E169,0,IF(NETWORKDAYS.INTL(E169,F169,11)=0,IF(Reprogramaciones!O$9&gt;=F169,100,0),ROUND(NETWORKDAYS.INTL(E169,MIN(F169,Reprogramaciones!O$9),11)/NETWORKDAYS.INTL(E169,F169,11)*100,1))))</f>
        <v/>
      </c>
      <c r="M169" s="36" t="str">
        <f aca="false">IF(OR(NOT(AND(ISNUMBER(E169),ISNUMBER(F169))),$J$2=""),"",IF(Reprogramaciones!Q$9&lt;E169,0,IF(NETWORKDAYS.INTL(E169,F169,11)=0,IF(Reprogramaciones!Q$9&gt;=F169,100,0),ROUND(NETWORKDAYS.INTL(E169,MIN(F169,Reprogramaciones!Q$9),11)/NETWORKDAYS.INTL(E169,F169,11)*100,1)))-IF(Reprogramaciones!P$9&lt;E169,0,IF(NETWORKDAYS.INTL(E169,F169,11)=0,IF(Reprogramaciones!P$9&gt;=F169,100,0),ROUND(NETWORKDAYS.INTL(E169,MIN(F169,Reprogramaciones!P$9),11)/NETWORKDAYS.INTL(E169,F169,11)*100,1))))</f>
        <v/>
      </c>
      <c r="N169" s="36" t="str">
        <f aca="false">IF(OR(NOT(AND(ISNUMBER(E169),ISNUMBER(F169))),$J$2=""),"",IF(Reprogramaciones!R$9&lt;E169,0,IF(NETWORKDAYS.INTL(E169,F169,11)=0,IF(Reprogramaciones!R$9&gt;=F169,100,0),ROUND(NETWORKDAYS.INTL(E169,MIN(F169,Reprogramaciones!R$9),11)/NETWORKDAYS.INTL(E169,F169,11)*100,1)))-IF(Reprogramaciones!Q$9&lt;E169,0,IF(NETWORKDAYS.INTL(E169,F169,11)=0,IF(Reprogramaciones!Q$9&gt;=F169,100,0),ROUND(NETWORKDAYS.INTL(E169,MIN(F169,Reprogramaciones!Q$9),11)/NETWORKDAYS.INTL(E169,F169,11)*100,1))))</f>
        <v/>
      </c>
      <c r="O169" s="36" t="str">
        <f aca="false">IF(OR(NOT(AND(ISNUMBER(E169),ISNUMBER(F169))),$J$2=""),"",IF(Reprogramaciones!S$9&lt;E169,0,IF(NETWORKDAYS.INTL(E169,F169,11)=0,IF(Reprogramaciones!S$9&gt;=F169,100,0),ROUND(NETWORKDAYS.INTL(E169,MIN(F169,Reprogramaciones!S$9),11)/NETWORKDAYS.INTL(E169,F169,11)*100,1)))-IF(Reprogramaciones!R$9&lt;E169,0,IF(NETWORKDAYS.INTL(E169,F169,11)=0,IF(Reprogramaciones!R$9&gt;=F169,100,0),ROUND(NETWORKDAYS.INTL(E169,MIN(F169,Reprogramaciones!R$9),11)/NETWORKDAYS.INTL(E169,F169,11)*100,1))))</f>
        <v/>
      </c>
      <c r="P169" s="36" t="str">
        <f aca="false">IF(OR(NOT(AND(ISNUMBER(E169),ISNUMBER(F169))),$J$2=""),"",IF(Reprogramaciones!T$9&lt;E169,0,IF(NETWORKDAYS.INTL(E169,F169,11)=0,IF(Reprogramaciones!T$9&gt;=F169,100,0),ROUND(NETWORKDAYS.INTL(E169,MIN(F169,Reprogramaciones!T$9),11)/NETWORKDAYS.INTL(E169,F169,11)*100,1)))-IF(Reprogramaciones!S$9&lt;E169,0,IF(NETWORKDAYS.INTL(E169,F169,11)=0,IF(Reprogramaciones!S$9&gt;=F169,100,0),ROUND(NETWORKDAYS.INTL(E169,MIN(F169,Reprogramaciones!S$9),11)/NETWORKDAYS.INTL(E169,F169,11)*100,1))))</f>
        <v/>
      </c>
      <c r="Q169" s="37"/>
      <c r="R169" s="37"/>
      <c r="S169" s="37"/>
      <c r="T169" s="37"/>
      <c r="U169" s="37"/>
      <c r="V169" s="37"/>
      <c r="W169" s="37"/>
      <c r="X169" s="37"/>
      <c r="Y169" s="37"/>
      <c r="Z169" s="37"/>
      <c r="AA169" s="37"/>
      <c r="AB169" s="37"/>
      <c r="AC169" s="37"/>
      <c r="AD169" s="37"/>
      <c r="AE169" s="37"/>
      <c r="AF169" s="37"/>
      <c r="AG169" s="38" t="str">
        <f aca="false">IF(AND(ISNUMBER(E169),ISNUMBER(F169)),NETWORKDAYS.INTL(E169,F169,11),"")</f>
        <v/>
      </c>
      <c r="AH169" s="38" t="str">
        <f aca="false">IF(OR(NOT(AND(ISNUMBER(E169),ISNUMBER(F169))),$J$2=""),"",IF(Reprogramaciones!$P$15&lt;Reprogramaciones!$T$15,0,IF(Reprogramaciones!$R$15&gt;10,MIN(100,SUM($G169:$P169)),MIN(100,SUMPRODUCT((COLUMN($G169:$P169)-COLUMN($G169)+1&lt;Reprogramaciones!$R$15)*$G169:$P169)+N(INDEX($G169:$P169,1,Reprogramaciones!$R$15))*IF(Reprogramaciones!$P$15&gt;=(Reprogramaciones!$T$15+7*(Reprogramaciones!$R$15-1))+6,1,IF(MAX(0,NETWORKDAYS.INTL(MAX(E169,(Reprogramaciones!$T$15+7*(Reprogramaciones!$R$15-1))),MIN(F169,(Reprogramaciones!$T$15+7*(Reprogramaciones!$R$15-1))+6),11))=0,0,MAX(0,NETWORKDAYS.INTL(MAX(E169,(Reprogramaciones!$T$15+7*(Reprogramaciones!$R$15-1))),MIN(F169,Reprogramaciones!$P$15),11))/MAX(0,NETWORKDAYS.INTL(MAX(E169,(Reprogramaciones!$T$15+7*(Reprogramaciones!$R$15-1))),MIN(F169,(Reprogramaciones!$T$15+7*(Reprogramaciones!$R$15-1))+6),11))))))))</f>
        <v/>
      </c>
      <c r="AI169" s="38" t="str">
        <f aca="false">IF(COUNT($Q169:$AF169)=0,"",IF(ROUND(SUM($Q169:$AF169),1)&gt;=99.5,100,MIN(100,ROUND(SUM($Q169:$AF169),1))))</f>
        <v/>
      </c>
      <c r="AJ169" s="38" t="str">
        <f aca="false">IF(OR(AH169="",AI169=""),"",AI169-AH169)</f>
        <v/>
      </c>
      <c r="AK169" s="39" t="str">
        <f aca="true">IF(AH169="","",IF(OR(Ficha!$C$10="Suspendida",Ficha!$C$10="Cancelada"),Ficha!$C$10,IF(AND(AI169&lt;&gt;"",N(AI169)&gt;=100),"Completada",IF(AND(E169&gt;TODAY(),N(AI169)=0),"Por iniciar",IF(N(AI169)+0.5&lt;AH169,"Retrasada",IF(N(AI169)+0.5&lt;DA169,IF(Reprogramaciones!$K$15&gt;0,"Al día · Sem "&amp;Reprogramaciones!$K$15&amp;" en curso","Al día · en curso"),"A tiempo"))))))</f>
        <v/>
      </c>
      <c r="AL169" s="39" t="str">
        <f aca="true">IF(AND(A169="",AND(B169="",C169="",E169="",F169="",COUNT(Q169:AF169)=0)),"",IF(AND(B169="",C169="",E169="",F169="",COUNT(Q169:AF169)=0),"Falta la partida o subpartida",IF(AND(A169&lt;&gt;"",COUNTIF($A$6:$A$305,A169)&gt;1),"Ítem repetido",IF(AND(C169="",E169="",F169="",COUNT(Q169:AF169)=0),"Título de partida",IF(OR(E169="",F169=""),"Faltan fechas",IF(OR(ISTEXT(E169),ISTEXT(F169)),"Fecha escrita como texto: usa dd/mm/aaaa",IF(F169&lt;E169,"Fin antes del inicio",IF(IF($J$2="",FALSE(),OR(E169&lt;$J$2,F169&gt;Reprogramaciones!$T$15+69)),"Fuera de las 10 semanas",IF(ABS(SUM(G169:P169)-100)&gt;0.5,"La meta no suma 100%",IF(ROUND(SUM(Q169:AF169),1)&gt;100.5,"El avance pasa de 100%",IF(MIN(Q169:AF169)&lt;0,"Avance negativo",IF(COUNTA(Q169:AF169)&gt;COUNT(Q169:AF169),"Avance escrito como texto",IF(SUMPRODUCT((Q169:AF169&gt;0)*(Q169:AF169&lt;1))&gt;0,"Avance menor a 1: escribe 50, no 50%",IF(SUMPRODUCT(ISNUMBER(Q169:AF169)*(Reprogramaciones!$K$8:$Z$8&gt;TODAY()))&gt;0,"Avance en semana que aún no llega",IF(AND(N(Reprogramaciones!$E$21)&gt;0,F169&gt;Reprogramaciones!$E$21),"Pasa el fin de la obra: registra una reprogramación",IF(AND(N(Reprogramaciones!$E$21)&gt;0,SUMPRODUCT(ISNUMBER(Q169:AF169)*(Reprogramaciones!$K$8:$Z$8&gt;Reprogramaciones!$E$21))&gt;0),"Avance después del fin de la obra: registra una reprogramación por atraso","OK"))))))))))))))))</f>
        <v/>
      </c>
      <c r="AM169" s="40" t="str">
        <f aca="false">IF(OR(OR(NOT(AND(ISNUMBER(E169),ISNUMBER(F169))),$J$2=""),1&gt;MAX(1,Reprogramaciones!$U$15)),"",IF(Reprogramaciones!K$12&gt;=7,"",IF(OR(BT169-N(0)&gt;0.05,N(Q169)&gt;0),ROUNDDOWN(ROUND(BT169,6),0)&amp;"%"&amp;IF(CJ169="",""," / "&amp;CJ169&amp;"%"),IF(AND(N(0)&gt;=99.95,CJ169&lt;&gt;"",N(CJ169)&lt;100),"Pend. "&amp;CJ169&amp;"%",""))))</f>
        <v/>
      </c>
      <c r="AN169" s="40" t="str">
        <f aca="false">IF(OR(OR(NOT(AND(ISNUMBER(E169),ISNUMBER(F169))),$J$2=""),2&gt;MAX(1,Reprogramaciones!$U$15)),"",IF(Reprogramaciones!L$12&gt;=7,"",IF(OR(BU169-N(BT169)&gt;0.05,N(R169)&gt;0),ROUNDDOWN(ROUND(BU169,6),0)&amp;"%"&amp;IF(CK169="",""," / "&amp;CK169&amp;"%"),IF(AND(N(BT169)&gt;=99.95,CK169&lt;&gt;"",N(CK169)&lt;100),"Pend. "&amp;CK169&amp;"%",""))))</f>
        <v/>
      </c>
      <c r="AO169" s="40" t="str">
        <f aca="false">IF(OR(OR(NOT(AND(ISNUMBER(E169),ISNUMBER(F169))),$J$2=""),3&gt;MAX(1,Reprogramaciones!$U$15)),"",IF(Reprogramaciones!M$12&gt;=7,"",IF(OR(BV169-N(BU169)&gt;0.05,N(S169)&gt;0),ROUNDDOWN(ROUND(BV169,6),0)&amp;"%"&amp;IF(CL169="",""," / "&amp;CL169&amp;"%"),IF(AND(N(BU169)&gt;=99.95,CL169&lt;&gt;"",N(CL169)&lt;100),"Pend. "&amp;CL169&amp;"%",""))))</f>
        <v/>
      </c>
      <c r="AP169" s="40" t="str">
        <f aca="false">IF(OR(OR(NOT(AND(ISNUMBER(E169),ISNUMBER(F169))),$J$2=""),4&gt;MAX(1,Reprogramaciones!$U$15)),"",IF(Reprogramaciones!N$12&gt;=7,"",IF(OR(BW169-N(BV169)&gt;0.05,N(T169)&gt;0),ROUNDDOWN(ROUND(BW169,6),0)&amp;"%"&amp;IF(CM169="",""," / "&amp;CM169&amp;"%"),IF(AND(N(BV169)&gt;=99.95,CM169&lt;&gt;"",N(CM169)&lt;100),"Pend. "&amp;CM169&amp;"%",""))))</f>
        <v/>
      </c>
      <c r="AQ169" s="40" t="str">
        <f aca="false">IF(OR(OR(NOT(AND(ISNUMBER(E169),ISNUMBER(F169))),$J$2=""),5&gt;MAX(1,Reprogramaciones!$U$15)),"",IF(Reprogramaciones!O$12&gt;=7,"",IF(OR(BX169-N(BW169)&gt;0.05,N(U169)&gt;0),ROUNDDOWN(ROUND(BX169,6),0)&amp;"%"&amp;IF(CN169="",""," / "&amp;CN169&amp;"%"),IF(AND(N(BW169)&gt;=99.95,CN169&lt;&gt;"",N(CN169)&lt;100),"Pend. "&amp;CN169&amp;"%",""))))</f>
        <v/>
      </c>
      <c r="AR169" s="40" t="str">
        <f aca="false">IF(OR(OR(NOT(AND(ISNUMBER(E169),ISNUMBER(F169))),$J$2=""),6&gt;MAX(1,Reprogramaciones!$U$15)),"",IF(Reprogramaciones!P$12&gt;=7,"",IF(OR(BY169-N(BX169)&gt;0.05,N(V169)&gt;0),ROUNDDOWN(ROUND(BY169,6),0)&amp;"%"&amp;IF(CO169="",""," / "&amp;CO169&amp;"%"),IF(AND(N(BX169)&gt;=99.95,CO169&lt;&gt;"",N(CO169)&lt;100),"Pend. "&amp;CO169&amp;"%",""))))</f>
        <v/>
      </c>
      <c r="AS169" s="40" t="str">
        <f aca="false">IF(OR(OR(NOT(AND(ISNUMBER(E169),ISNUMBER(F169))),$J$2=""),7&gt;MAX(1,Reprogramaciones!$U$15)),"",IF(Reprogramaciones!Q$12&gt;=7,"",IF(OR(BZ169-N(BY169)&gt;0.05,N(W169)&gt;0),ROUNDDOWN(ROUND(BZ169,6),0)&amp;"%"&amp;IF(CP169="",""," / "&amp;CP169&amp;"%"),IF(AND(N(BY169)&gt;=99.95,CP169&lt;&gt;"",N(CP169)&lt;100),"Pend. "&amp;CP169&amp;"%",""))))</f>
        <v/>
      </c>
      <c r="AT169" s="40" t="str">
        <f aca="false">IF(OR(OR(NOT(AND(ISNUMBER(E169),ISNUMBER(F169))),$J$2=""),8&gt;MAX(1,Reprogramaciones!$U$15)),"",IF(Reprogramaciones!R$12&gt;=7,"",IF(OR(CA169-N(BZ169)&gt;0.05,N(X169)&gt;0),ROUNDDOWN(ROUND(CA169,6),0)&amp;"%"&amp;IF(CQ169="",""," / "&amp;CQ169&amp;"%"),IF(AND(N(BZ169)&gt;=99.95,CQ169&lt;&gt;"",N(CQ169)&lt;100),"Pend. "&amp;CQ169&amp;"%",""))))</f>
        <v/>
      </c>
      <c r="AU169" s="40" t="str">
        <f aca="false">IF(OR(OR(NOT(AND(ISNUMBER(E169),ISNUMBER(F169))),$J$2=""),9&gt;MAX(1,Reprogramaciones!$U$15)),"",IF(Reprogramaciones!S$12&gt;=7,"",IF(OR(CB169-N(CA169)&gt;0.05,N(Y169)&gt;0),ROUNDDOWN(ROUND(CB169,6),0)&amp;"%"&amp;IF(CR169="",""," / "&amp;CR169&amp;"%"),IF(AND(N(CA169)&gt;=99.95,CR169&lt;&gt;"",N(CR169)&lt;100),"Pend. "&amp;CR169&amp;"%",""))))</f>
        <v/>
      </c>
      <c r="AV169" s="40" t="str">
        <f aca="false">IF(OR(OR(NOT(AND(ISNUMBER(E169),ISNUMBER(F169))),$J$2=""),10&gt;MAX(1,Reprogramaciones!$U$15)),"",IF(Reprogramaciones!T$12&gt;=7,"",IF(OR(CC169-N(CB169)&gt;0.05,N(Z169)&gt;0),ROUNDDOWN(ROUND(CC169,6),0)&amp;"%"&amp;IF(CS169="",""," / "&amp;CS169&amp;"%"),IF(AND(N(CB169)&gt;=99.95,CS169&lt;&gt;"",N(CS169)&lt;100),"Pend. "&amp;CS169&amp;"%",""))))</f>
        <v/>
      </c>
      <c r="AW169" s="40" t="str">
        <f aca="false">IF(OR(OR(NOT(AND(ISNUMBER(E169),ISNUMBER(F169))),$J$2=""),11&gt;MAX(1,Reprogramaciones!$U$15)),"",IF(Reprogramaciones!U$12&gt;=7,"",IF(OR(CD169-N(CC169)&gt;0.05,N(AA169)&gt;0),ROUNDDOWN(ROUND(CD169,6),0)&amp;"%"&amp;IF(CT169="",""," / "&amp;CT169&amp;"%"),IF(AND(N(CC169)&gt;=99.95,CT169&lt;&gt;"",N(CT169)&lt;100),"Pend. "&amp;CT169&amp;"%",""))))</f>
        <v/>
      </c>
      <c r="AX169" s="40" t="str">
        <f aca="false">IF(OR(OR(NOT(AND(ISNUMBER(E169),ISNUMBER(F169))),$J$2=""),12&gt;MAX(1,Reprogramaciones!$U$15)),"",IF(Reprogramaciones!V$12&gt;=7,"",IF(OR(CE169-N(CD169)&gt;0.05,N(AB169)&gt;0),ROUNDDOWN(ROUND(CE169,6),0)&amp;"%"&amp;IF(CU169="",""," / "&amp;CU169&amp;"%"),IF(AND(N(CD169)&gt;=99.95,CU169&lt;&gt;"",N(CU169)&lt;100),"Pend. "&amp;CU169&amp;"%",""))))</f>
        <v/>
      </c>
      <c r="AY169" s="40" t="str">
        <f aca="false">IF(OR(OR(NOT(AND(ISNUMBER(E169),ISNUMBER(F169))),$J$2=""),13&gt;MAX(1,Reprogramaciones!$U$15)),"",IF(Reprogramaciones!W$12&gt;=7,"",IF(OR(CF169-N(CE169)&gt;0.05,N(AC169)&gt;0),ROUNDDOWN(ROUND(CF169,6),0)&amp;"%"&amp;IF(CV169="",""," / "&amp;CV169&amp;"%"),IF(AND(N(CE169)&gt;=99.95,CV169&lt;&gt;"",N(CV169)&lt;100),"Pend. "&amp;CV169&amp;"%",""))))</f>
        <v/>
      </c>
      <c r="AZ169" s="40" t="str">
        <f aca="false">IF(OR(OR(NOT(AND(ISNUMBER(E169),ISNUMBER(F169))),$J$2=""),14&gt;MAX(1,Reprogramaciones!$U$15)),"",IF(Reprogramaciones!X$12&gt;=7,"",IF(OR(CG169-N(CF169)&gt;0.05,N(AD169)&gt;0),ROUNDDOWN(ROUND(CG169,6),0)&amp;"%"&amp;IF(CW169="",""," / "&amp;CW169&amp;"%"),IF(AND(N(CF169)&gt;=99.95,CW169&lt;&gt;"",N(CW169)&lt;100),"Pend. "&amp;CW169&amp;"%",""))))</f>
        <v/>
      </c>
      <c r="BA169" s="40" t="str">
        <f aca="false">IF(OR(OR(NOT(AND(ISNUMBER(E169),ISNUMBER(F169))),$J$2=""),15&gt;MAX(1,Reprogramaciones!$U$15)),"",IF(Reprogramaciones!Y$12&gt;=7,"",IF(OR(CH169-N(CG169)&gt;0.05,N(AE169)&gt;0),ROUNDDOWN(ROUND(CH169,6),0)&amp;"%"&amp;IF(CX169="",""," / "&amp;CX169&amp;"%"),IF(AND(N(CG169)&gt;=99.95,CX169&lt;&gt;"",N(CX169)&lt;100),"Pend. "&amp;CX169&amp;"%",""))))</f>
        <v/>
      </c>
      <c r="BB169" s="40" t="str">
        <f aca="false">IF(OR(OR(NOT(AND(ISNUMBER(E169),ISNUMBER(F169))),$J$2=""),16&gt;MAX(1,Reprogramaciones!$U$15)),"",IF(Reprogramaciones!Z$12&gt;=7,"",IF(OR(CI169-N(CH169)&gt;0.05,N(AF169)&gt;0),ROUNDDOWN(ROUND(CI169,6),0)&amp;"%"&amp;IF(CY169="",""," / "&amp;CY169&amp;"%"),IF(AND(N(CH169)&gt;=99.95,CY169&lt;&gt;"",N(CY169)&lt;100),"Pend. "&amp;CY169&amp;"%",""))))</f>
        <v/>
      </c>
      <c r="BC169" s="31" t="n">
        <f aca="false">IF(AND(ISNUMBER(E169),ISNUMBER(F169)),MAX(1,NETWORKDAYS.INTL(E169,F169,11)),0)</f>
        <v>0</v>
      </c>
      <c r="BD169" s="1" t="str">
        <f aca="false">IF(OR(NOT(AND(ISNUMBER(E169),ISNUMBER(F169))),$J$2=""),"",MIN(100,ROUND(SUM($G169:G169),1)))</f>
        <v/>
      </c>
      <c r="BE169" s="1" t="str">
        <f aca="false">IF(OR(NOT(AND(ISNUMBER(E169),ISNUMBER(F169))),$J$2=""),"",MIN(100,ROUND(SUM($G169:H169),1)))</f>
        <v/>
      </c>
      <c r="BF169" s="1" t="str">
        <f aca="false">IF(OR(NOT(AND(ISNUMBER(E169),ISNUMBER(F169))),$J$2=""),"",MIN(100,ROUND(SUM($G169:I169),1)))</f>
        <v/>
      </c>
      <c r="BG169" s="1" t="str">
        <f aca="false">IF(OR(NOT(AND(ISNUMBER(E169),ISNUMBER(F169))),$J$2=""),"",MIN(100,ROUND(SUM($G169:J169),1)))</f>
        <v/>
      </c>
      <c r="BH169" s="1" t="str">
        <f aca="false">IF(OR(NOT(AND(ISNUMBER(E169),ISNUMBER(F169))),$J$2=""),"",MIN(100,ROUND(SUM($G169:K169),1)))</f>
        <v/>
      </c>
      <c r="BI169" s="1" t="str">
        <f aca="false">IF(OR(NOT(AND(ISNUMBER(E169),ISNUMBER(F169))),$J$2=""),"",MIN(100,ROUND(SUM($G169:L169),1)))</f>
        <v/>
      </c>
      <c r="BJ169" s="1" t="str">
        <f aca="false">IF(OR(NOT(AND(ISNUMBER(E169),ISNUMBER(F169))),$J$2=""),"",MIN(100,ROUND(SUM($G169:M169),1)))</f>
        <v/>
      </c>
      <c r="BK169" s="1" t="str">
        <f aca="false">IF(OR(NOT(AND(ISNUMBER(E169),ISNUMBER(F169))),$J$2=""),"",MIN(100,ROUND(SUM($G169:N169),1)))</f>
        <v/>
      </c>
      <c r="BL169" s="1" t="str">
        <f aca="false">IF(OR(NOT(AND(ISNUMBER(E169),ISNUMBER(F169))),$J$2=""),"",MIN(100,ROUND(SUM($G169:O169),1)))</f>
        <v/>
      </c>
      <c r="BM169" s="1" t="str">
        <f aca="false">IF(OR(NOT(AND(ISNUMBER(E169),ISNUMBER(F169))),$J$2=""),"",MIN(100,ROUND(SUM($G169:P169),1)))</f>
        <v/>
      </c>
      <c r="BN169" s="1" t="str">
        <f aca="false">IF(OR(NOT(AND(ISNUMBER(E169),ISNUMBER(F169))),$J$2=""),"",MIN(100,ROUND(SUM($G169:P169),1)))</f>
        <v/>
      </c>
      <c r="BO169" s="1" t="str">
        <f aca="false">IF(OR(NOT(AND(ISNUMBER(E169),ISNUMBER(F169))),$J$2=""),"",MIN(100,ROUND(SUM($G169:P169),1)))</f>
        <v/>
      </c>
      <c r="BP169" s="1" t="str">
        <f aca="false">IF(OR(NOT(AND(ISNUMBER(E169),ISNUMBER(F169))),$J$2=""),"",MIN(100,ROUND(SUM($G169:P169),1)))</f>
        <v/>
      </c>
      <c r="BQ169" s="1" t="str">
        <f aca="false">IF(OR(NOT(AND(ISNUMBER(E169),ISNUMBER(F169))),$J$2=""),"",MIN(100,ROUND(SUM($G169:P169),1)))</f>
        <v/>
      </c>
      <c r="BR169" s="1" t="str">
        <f aca="false">IF(OR(NOT(AND(ISNUMBER(E169),ISNUMBER(F169))),$J$2=""),"",MIN(100,ROUND(SUM($G169:P169),1)))</f>
        <v/>
      </c>
      <c r="BS169" s="1" t="str">
        <f aca="false">IF(OR(NOT(AND(ISNUMBER(E169),ISNUMBER(F169))),$J$2=""),"",MIN(100,ROUND(SUM($G169:P169),1)))</f>
        <v/>
      </c>
      <c r="BT169" s="1" t="str">
        <f aca="false">IF(OR(NOT(AND(ISNUMBER(E169),ISNUMBER(F169))),$J$2=""),"",IF(Reprogramaciones!K$13&lt;Reprogramaciones!$T$15,0,IF(Reprogramaciones!K$14&gt;10,MIN(100,SUM($G169:$P169)),MIN(100,SUMPRODUCT((COLUMN($G169:$P169)-COLUMN($G169)+1&lt;Reprogramaciones!K$14)*$G169:$P169)+N(INDEX($G169:$P169,1,Reprogramaciones!K$14))*IF(Reprogramaciones!K$13&gt;=(Reprogramaciones!$T$15+7*(Reprogramaciones!K$14-1))+6,1,IF(MAX(0,NETWORKDAYS.INTL(MAX(E169,(Reprogramaciones!$T$15+7*(Reprogramaciones!K$14-1))),MIN(F169,(Reprogramaciones!$T$15+7*(Reprogramaciones!K$14-1))+6),11))=0,0,MAX(0,NETWORKDAYS.INTL(MAX(E169,(Reprogramaciones!$T$15+7*(Reprogramaciones!K$14-1))),MIN(F169,Reprogramaciones!K$13),11))/MAX(0,NETWORKDAYS.INTL(MAX(E169,(Reprogramaciones!$T$15+7*(Reprogramaciones!K$14-1))),MIN(F169,(Reprogramaciones!$T$15+7*(Reprogramaciones!K$14-1))+6),11))))))))</f>
        <v/>
      </c>
      <c r="BU169" s="1" t="str">
        <f aca="false">IF(OR(NOT(AND(ISNUMBER(E169),ISNUMBER(F169))),$J$2=""),"",IF(Reprogramaciones!L$13&lt;Reprogramaciones!$T$15,0,IF(Reprogramaciones!L$14&gt;10,MIN(100,SUM($G169:$P169)),MIN(100,SUMPRODUCT((COLUMN($G169:$P169)-COLUMN($G169)+1&lt;Reprogramaciones!L$14)*$G169:$P169)+N(INDEX($G169:$P169,1,Reprogramaciones!L$14))*IF(Reprogramaciones!L$13&gt;=(Reprogramaciones!$T$15+7*(Reprogramaciones!L$14-1))+6,1,IF(MAX(0,NETWORKDAYS.INTL(MAX(E169,(Reprogramaciones!$T$15+7*(Reprogramaciones!L$14-1))),MIN(F169,(Reprogramaciones!$T$15+7*(Reprogramaciones!L$14-1))+6),11))=0,0,MAX(0,NETWORKDAYS.INTL(MAX(E169,(Reprogramaciones!$T$15+7*(Reprogramaciones!L$14-1))),MIN(F169,Reprogramaciones!L$13),11))/MAX(0,NETWORKDAYS.INTL(MAX(E169,(Reprogramaciones!$T$15+7*(Reprogramaciones!L$14-1))),MIN(F169,(Reprogramaciones!$T$15+7*(Reprogramaciones!L$14-1))+6),11))))))))</f>
        <v/>
      </c>
      <c r="BV169" s="1" t="str">
        <f aca="false">IF(OR(NOT(AND(ISNUMBER(E169),ISNUMBER(F169))),$J$2=""),"",IF(Reprogramaciones!M$13&lt;Reprogramaciones!$T$15,0,IF(Reprogramaciones!M$14&gt;10,MIN(100,SUM($G169:$P169)),MIN(100,SUMPRODUCT((COLUMN($G169:$P169)-COLUMN($G169)+1&lt;Reprogramaciones!M$14)*$G169:$P169)+N(INDEX($G169:$P169,1,Reprogramaciones!M$14))*IF(Reprogramaciones!M$13&gt;=(Reprogramaciones!$T$15+7*(Reprogramaciones!M$14-1))+6,1,IF(MAX(0,NETWORKDAYS.INTL(MAX(E169,(Reprogramaciones!$T$15+7*(Reprogramaciones!M$14-1))),MIN(F169,(Reprogramaciones!$T$15+7*(Reprogramaciones!M$14-1))+6),11))=0,0,MAX(0,NETWORKDAYS.INTL(MAX(E169,(Reprogramaciones!$T$15+7*(Reprogramaciones!M$14-1))),MIN(F169,Reprogramaciones!M$13),11))/MAX(0,NETWORKDAYS.INTL(MAX(E169,(Reprogramaciones!$T$15+7*(Reprogramaciones!M$14-1))),MIN(F169,(Reprogramaciones!$T$15+7*(Reprogramaciones!M$14-1))+6),11))))))))</f>
        <v/>
      </c>
      <c r="BW169" s="1" t="str">
        <f aca="false">IF(OR(NOT(AND(ISNUMBER(E169),ISNUMBER(F169))),$J$2=""),"",IF(Reprogramaciones!N$13&lt;Reprogramaciones!$T$15,0,IF(Reprogramaciones!N$14&gt;10,MIN(100,SUM($G169:$P169)),MIN(100,SUMPRODUCT((COLUMN($G169:$P169)-COLUMN($G169)+1&lt;Reprogramaciones!N$14)*$G169:$P169)+N(INDEX($G169:$P169,1,Reprogramaciones!N$14))*IF(Reprogramaciones!N$13&gt;=(Reprogramaciones!$T$15+7*(Reprogramaciones!N$14-1))+6,1,IF(MAX(0,NETWORKDAYS.INTL(MAX(E169,(Reprogramaciones!$T$15+7*(Reprogramaciones!N$14-1))),MIN(F169,(Reprogramaciones!$T$15+7*(Reprogramaciones!N$14-1))+6),11))=0,0,MAX(0,NETWORKDAYS.INTL(MAX(E169,(Reprogramaciones!$T$15+7*(Reprogramaciones!N$14-1))),MIN(F169,Reprogramaciones!N$13),11))/MAX(0,NETWORKDAYS.INTL(MAX(E169,(Reprogramaciones!$T$15+7*(Reprogramaciones!N$14-1))),MIN(F169,(Reprogramaciones!$T$15+7*(Reprogramaciones!N$14-1))+6),11))))))))</f>
        <v/>
      </c>
      <c r="BX169" s="1" t="str">
        <f aca="false">IF(OR(NOT(AND(ISNUMBER(E169),ISNUMBER(F169))),$J$2=""),"",IF(Reprogramaciones!O$13&lt;Reprogramaciones!$T$15,0,IF(Reprogramaciones!O$14&gt;10,MIN(100,SUM($G169:$P169)),MIN(100,SUMPRODUCT((COLUMN($G169:$P169)-COLUMN($G169)+1&lt;Reprogramaciones!O$14)*$G169:$P169)+N(INDEX($G169:$P169,1,Reprogramaciones!O$14))*IF(Reprogramaciones!O$13&gt;=(Reprogramaciones!$T$15+7*(Reprogramaciones!O$14-1))+6,1,IF(MAX(0,NETWORKDAYS.INTL(MAX(E169,(Reprogramaciones!$T$15+7*(Reprogramaciones!O$14-1))),MIN(F169,(Reprogramaciones!$T$15+7*(Reprogramaciones!O$14-1))+6),11))=0,0,MAX(0,NETWORKDAYS.INTL(MAX(E169,(Reprogramaciones!$T$15+7*(Reprogramaciones!O$14-1))),MIN(F169,Reprogramaciones!O$13),11))/MAX(0,NETWORKDAYS.INTL(MAX(E169,(Reprogramaciones!$T$15+7*(Reprogramaciones!O$14-1))),MIN(F169,(Reprogramaciones!$T$15+7*(Reprogramaciones!O$14-1))+6),11))))))))</f>
        <v/>
      </c>
      <c r="BY169" s="1" t="str">
        <f aca="false">IF(OR(NOT(AND(ISNUMBER(E169),ISNUMBER(F169))),$J$2=""),"",IF(Reprogramaciones!P$13&lt;Reprogramaciones!$T$15,0,IF(Reprogramaciones!P$14&gt;10,MIN(100,SUM($G169:$P169)),MIN(100,SUMPRODUCT((COLUMN($G169:$P169)-COLUMN($G169)+1&lt;Reprogramaciones!P$14)*$G169:$P169)+N(INDEX($G169:$P169,1,Reprogramaciones!P$14))*IF(Reprogramaciones!P$13&gt;=(Reprogramaciones!$T$15+7*(Reprogramaciones!P$14-1))+6,1,IF(MAX(0,NETWORKDAYS.INTL(MAX(E169,(Reprogramaciones!$T$15+7*(Reprogramaciones!P$14-1))),MIN(F169,(Reprogramaciones!$T$15+7*(Reprogramaciones!P$14-1))+6),11))=0,0,MAX(0,NETWORKDAYS.INTL(MAX(E169,(Reprogramaciones!$T$15+7*(Reprogramaciones!P$14-1))),MIN(F169,Reprogramaciones!P$13),11))/MAX(0,NETWORKDAYS.INTL(MAX(E169,(Reprogramaciones!$T$15+7*(Reprogramaciones!P$14-1))),MIN(F169,(Reprogramaciones!$T$15+7*(Reprogramaciones!P$14-1))+6),11))))))))</f>
        <v/>
      </c>
      <c r="BZ169" s="1" t="str">
        <f aca="false">IF(OR(NOT(AND(ISNUMBER(E169),ISNUMBER(F169))),$J$2=""),"",IF(Reprogramaciones!Q$13&lt;Reprogramaciones!$T$15,0,IF(Reprogramaciones!Q$14&gt;10,MIN(100,SUM($G169:$P169)),MIN(100,SUMPRODUCT((COLUMN($G169:$P169)-COLUMN($G169)+1&lt;Reprogramaciones!Q$14)*$G169:$P169)+N(INDEX($G169:$P169,1,Reprogramaciones!Q$14))*IF(Reprogramaciones!Q$13&gt;=(Reprogramaciones!$T$15+7*(Reprogramaciones!Q$14-1))+6,1,IF(MAX(0,NETWORKDAYS.INTL(MAX(E169,(Reprogramaciones!$T$15+7*(Reprogramaciones!Q$14-1))),MIN(F169,(Reprogramaciones!$T$15+7*(Reprogramaciones!Q$14-1))+6),11))=0,0,MAX(0,NETWORKDAYS.INTL(MAX(E169,(Reprogramaciones!$T$15+7*(Reprogramaciones!Q$14-1))),MIN(F169,Reprogramaciones!Q$13),11))/MAX(0,NETWORKDAYS.INTL(MAX(E169,(Reprogramaciones!$T$15+7*(Reprogramaciones!Q$14-1))),MIN(F169,(Reprogramaciones!$T$15+7*(Reprogramaciones!Q$14-1))+6),11))))))))</f>
        <v/>
      </c>
      <c r="CA169" s="1" t="str">
        <f aca="false">IF(OR(NOT(AND(ISNUMBER(E169),ISNUMBER(F169))),$J$2=""),"",IF(Reprogramaciones!R$13&lt;Reprogramaciones!$T$15,0,IF(Reprogramaciones!R$14&gt;10,MIN(100,SUM($G169:$P169)),MIN(100,SUMPRODUCT((COLUMN($G169:$P169)-COLUMN($G169)+1&lt;Reprogramaciones!R$14)*$G169:$P169)+N(INDEX($G169:$P169,1,Reprogramaciones!R$14))*IF(Reprogramaciones!R$13&gt;=(Reprogramaciones!$T$15+7*(Reprogramaciones!R$14-1))+6,1,IF(MAX(0,NETWORKDAYS.INTL(MAX(E169,(Reprogramaciones!$T$15+7*(Reprogramaciones!R$14-1))),MIN(F169,(Reprogramaciones!$T$15+7*(Reprogramaciones!R$14-1))+6),11))=0,0,MAX(0,NETWORKDAYS.INTL(MAX(E169,(Reprogramaciones!$T$15+7*(Reprogramaciones!R$14-1))),MIN(F169,Reprogramaciones!R$13),11))/MAX(0,NETWORKDAYS.INTL(MAX(E169,(Reprogramaciones!$T$15+7*(Reprogramaciones!R$14-1))),MIN(F169,(Reprogramaciones!$T$15+7*(Reprogramaciones!R$14-1))+6),11))))))))</f>
        <v/>
      </c>
      <c r="CB169" s="1" t="str">
        <f aca="false">IF(OR(NOT(AND(ISNUMBER(E169),ISNUMBER(F169))),$J$2=""),"",IF(Reprogramaciones!S$13&lt;Reprogramaciones!$T$15,0,IF(Reprogramaciones!S$14&gt;10,MIN(100,SUM($G169:$P169)),MIN(100,SUMPRODUCT((COLUMN($G169:$P169)-COLUMN($G169)+1&lt;Reprogramaciones!S$14)*$G169:$P169)+N(INDEX($G169:$P169,1,Reprogramaciones!S$14))*IF(Reprogramaciones!S$13&gt;=(Reprogramaciones!$T$15+7*(Reprogramaciones!S$14-1))+6,1,IF(MAX(0,NETWORKDAYS.INTL(MAX(E169,(Reprogramaciones!$T$15+7*(Reprogramaciones!S$14-1))),MIN(F169,(Reprogramaciones!$T$15+7*(Reprogramaciones!S$14-1))+6),11))=0,0,MAX(0,NETWORKDAYS.INTL(MAX(E169,(Reprogramaciones!$T$15+7*(Reprogramaciones!S$14-1))),MIN(F169,Reprogramaciones!S$13),11))/MAX(0,NETWORKDAYS.INTL(MAX(E169,(Reprogramaciones!$T$15+7*(Reprogramaciones!S$14-1))),MIN(F169,(Reprogramaciones!$T$15+7*(Reprogramaciones!S$14-1))+6),11))))))))</f>
        <v/>
      </c>
      <c r="CC169" s="1" t="str">
        <f aca="false">IF(OR(NOT(AND(ISNUMBER(E169),ISNUMBER(F169))),$J$2=""),"",IF(Reprogramaciones!T$13&lt;Reprogramaciones!$T$15,0,IF(Reprogramaciones!T$14&gt;10,MIN(100,SUM($G169:$P169)),MIN(100,SUMPRODUCT((COLUMN($G169:$P169)-COLUMN($G169)+1&lt;Reprogramaciones!T$14)*$G169:$P169)+N(INDEX($G169:$P169,1,Reprogramaciones!T$14))*IF(Reprogramaciones!T$13&gt;=(Reprogramaciones!$T$15+7*(Reprogramaciones!T$14-1))+6,1,IF(MAX(0,NETWORKDAYS.INTL(MAX(E169,(Reprogramaciones!$T$15+7*(Reprogramaciones!T$14-1))),MIN(F169,(Reprogramaciones!$T$15+7*(Reprogramaciones!T$14-1))+6),11))=0,0,MAX(0,NETWORKDAYS.INTL(MAX(E169,(Reprogramaciones!$T$15+7*(Reprogramaciones!T$14-1))),MIN(F169,Reprogramaciones!T$13),11))/MAX(0,NETWORKDAYS.INTL(MAX(E169,(Reprogramaciones!$T$15+7*(Reprogramaciones!T$14-1))),MIN(F169,(Reprogramaciones!$T$15+7*(Reprogramaciones!T$14-1))+6),11))))))))</f>
        <v/>
      </c>
      <c r="CD169" s="1" t="str">
        <f aca="false">IF(OR(NOT(AND(ISNUMBER(E169),ISNUMBER(F169))),$J$2=""),"",IF(Reprogramaciones!U$13&lt;Reprogramaciones!$T$15,0,IF(Reprogramaciones!U$14&gt;10,MIN(100,SUM($G169:$P169)),MIN(100,SUMPRODUCT((COLUMN($G169:$P169)-COLUMN($G169)+1&lt;Reprogramaciones!U$14)*$G169:$P169)+N(INDEX($G169:$P169,1,Reprogramaciones!U$14))*IF(Reprogramaciones!U$13&gt;=(Reprogramaciones!$T$15+7*(Reprogramaciones!U$14-1))+6,1,IF(MAX(0,NETWORKDAYS.INTL(MAX(E169,(Reprogramaciones!$T$15+7*(Reprogramaciones!U$14-1))),MIN(F169,(Reprogramaciones!$T$15+7*(Reprogramaciones!U$14-1))+6),11))=0,0,MAX(0,NETWORKDAYS.INTL(MAX(E169,(Reprogramaciones!$T$15+7*(Reprogramaciones!U$14-1))),MIN(F169,Reprogramaciones!U$13),11))/MAX(0,NETWORKDAYS.INTL(MAX(E169,(Reprogramaciones!$T$15+7*(Reprogramaciones!U$14-1))),MIN(F169,(Reprogramaciones!$T$15+7*(Reprogramaciones!U$14-1))+6),11))))))))</f>
        <v/>
      </c>
      <c r="CE169" s="1" t="str">
        <f aca="false">IF(OR(NOT(AND(ISNUMBER(E169),ISNUMBER(F169))),$J$2=""),"",IF(Reprogramaciones!V$13&lt;Reprogramaciones!$T$15,0,IF(Reprogramaciones!V$14&gt;10,MIN(100,SUM($G169:$P169)),MIN(100,SUMPRODUCT((COLUMN($G169:$P169)-COLUMN($G169)+1&lt;Reprogramaciones!V$14)*$G169:$P169)+N(INDEX($G169:$P169,1,Reprogramaciones!V$14))*IF(Reprogramaciones!V$13&gt;=(Reprogramaciones!$T$15+7*(Reprogramaciones!V$14-1))+6,1,IF(MAX(0,NETWORKDAYS.INTL(MAX(E169,(Reprogramaciones!$T$15+7*(Reprogramaciones!V$14-1))),MIN(F169,(Reprogramaciones!$T$15+7*(Reprogramaciones!V$14-1))+6),11))=0,0,MAX(0,NETWORKDAYS.INTL(MAX(E169,(Reprogramaciones!$T$15+7*(Reprogramaciones!V$14-1))),MIN(F169,Reprogramaciones!V$13),11))/MAX(0,NETWORKDAYS.INTL(MAX(E169,(Reprogramaciones!$T$15+7*(Reprogramaciones!V$14-1))),MIN(F169,(Reprogramaciones!$T$15+7*(Reprogramaciones!V$14-1))+6),11))))))))</f>
        <v/>
      </c>
      <c r="CF169" s="1" t="str">
        <f aca="false">IF(OR(NOT(AND(ISNUMBER(E169),ISNUMBER(F169))),$J$2=""),"",IF(Reprogramaciones!W$13&lt;Reprogramaciones!$T$15,0,IF(Reprogramaciones!W$14&gt;10,MIN(100,SUM($G169:$P169)),MIN(100,SUMPRODUCT((COLUMN($G169:$P169)-COLUMN($G169)+1&lt;Reprogramaciones!W$14)*$G169:$P169)+N(INDEX($G169:$P169,1,Reprogramaciones!W$14))*IF(Reprogramaciones!W$13&gt;=(Reprogramaciones!$T$15+7*(Reprogramaciones!W$14-1))+6,1,IF(MAX(0,NETWORKDAYS.INTL(MAX(E169,(Reprogramaciones!$T$15+7*(Reprogramaciones!W$14-1))),MIN(F169,(Reprogramaciones!$T$15+7*(Reprogramaciones!W$14-1))+6),11))=0,0,MAX(0,NETWORKDAYS.INTL(MAX(E169,(Reprogramaciones!$T$15+7*(Reprogramaciones!W$14-1))),MIN(F169,Reprogramaciones!W$13),11))/MAX(0,NETWORKDAYS.INTL(MAX(E169,(Reprogramaciones!$T$15+7*(Reprogramaciones!W$14-1))),MIN(F169,(Reprogramaciones!$T$15+7*(Reprogramaciones!W$14-1))+6),11))))))))</f>
        <v/>
      </c>
      <c r="CG169" s="1" t="str">
        <f aca="false">IF(OR(NOT(AND(ISNUMBER(E169),ISNUMBER(F169))),$J$2=""),"",IF(Reprogramaciones!X$13&lt;Reprogramaciones!$T$15,0,IF(Reprogramaciones!X$14&gt;10,MIN(100,SUM($G169:$P169)),MIN(100,SUMPRODUCT((COLUMN($G169:$P169)-COLUMN($G169)+1&lt;Reprogramaciones!X$14)*$G169:$P169)+N(INDEX($G169:$P169,1,Reprogramaciones!X$14))*IF(Reprogramaciones!X$13&gt;=(Reprogramaciones!$T$15+7*(Reprogramaciones!X$14-1))+6,1,IF(MAX(0,NETWORKDAYS.INTL(MAX(E169,(Reprogramaciones!$T$15+7*(Reprogramaciones!X$14-1))),MIN(F169,(Reprogramaciones!$T$15+7*(Reprogramaciones!X$14-1))+6),11))=0,0,MAX(0,NETWORKDAYS.INTL(MAX(E169,(Reprogramaciones!$T$15+7*(Reprogramaciones!X$14-1))),MIN(F169,Reprogramaciones!X$13),11))/MAX(0,NETWORKDAYS.INTL(MAX(E169,(Reprogramaciones!$T$15+7*(Reprogramaciones!X$14-1))),MIN(F169,(Reprogramaciones!$T$15+7*(Reprogramaciones!X$14-1))+6),11))))))))</f>
        <v/>
      </c>
      <c r="CH169" s="1" t="str">
        <f aca="false">IF(OR(NOT(AND(ISNUMBER(E169),ISNUMBER(F169))),$J$2=""),"",IF(Reprogramaciones!Y$13&lt;Reprogramaciones!$T$15,0,IF(Reprogramaciones!Y$14&gt;10,MIN(100,SUM($G169:$P169)),MIN(100,SUMPRODUCT((COLUMN($G169:$P169)-COLUMN($G169)+1&lt;Reprogramaciones!Y$14)*$G169:$P169)+N(INDEX($G169:$P169,1,Reprogramaciones!Y$14))*IF(Reprogramaciones!Y$13&gt;=(Reprogramaciones!$T$15+7*(Reprogramaciones!Y$14-1))+6,1,IF(MAX(0,NETWORKDAYS.INTL(MAX(E169,(Reprogramaciones!$T$15+7*(Reprogramaciones!Y$14-1))),MIN(F169,(Reprogramaciones!$T$15+7*(Reprogramaciones!Y$14-1))+6),11))=0,0,MAX(0,NETWORKDAYS.INTL(MAX(E169,(Reprogramaciones!$T$15+7*(Reprogramaciones!Y$14-1))),MIN(F169,Reprogramaciones!Y$13),11))/MAX(0,NETWORKDAYS.INTL(MAX(E169,(Reprogramaciones!$T$15+7*(Reprogramaciones!Y$14-1))),MIN(F169,(Reprogramaciones!$T$15+7*(Reprogramaciones!Y$14-1))+6),11))))))))</f>
        <v/>
      </c>
      <c r="CI169" s="1" t="str">
        <f aca="false">IF(OR(NOT(AND(ISNUMBER(E169),ISNUMBER(F169))),$J$2=""),"",IF(Reprogramaciones!Z$13&lt;Reprogramaciones!$T$15,0,IF(Reprogramaciones!Z$14&gt;10,MIN(100,SUM($G169:$P169)),MIN(100,SUMPRODUCT((COLUMN($G169:$P169)-COLUMN($G169)+1&lt;Reprogramaciones!Z$14)*$G169:$P169)+N(INDEX($G169:$P169,1,Reprogramaciones!Z$14))*IF(Reprogramaciones!Z$13&gt;=(Reprogramaciones!$T$15+7*(Reprogramaciones!Z$14-1))+6,1,IF(MAX(0,NETWORKDAYS.INTL(MAX(E169,(Reprogramaciones!$T$15+7*(Reprogramaciones!Z$14-1))),MIN(F169,(Reprogramaciones!$T$15+7*(Reprogramaciones!Z$14-1))+6),11))=0,0,MAX(0,NETWORKDAYS.INTL(MAX(E169,(Reprogramaciones!$T$15+7*(Reprogramaciones!Z$14-1))),MIN(F169,Reprogramaciones!Z$13),11))/MAX(0,NETWORKDAYS.INTL(MAX(E169,(Reprogramaciones!$T$15+7*(Reprogramaciones!Z$14-1))),MIN(F169,(Reprogramaciones!$T$15+7*(Reprogramaciones!Z$14-1))+6),11))))))))</f>
        <v/>
      </c>
      <c r="CJ169" s="1" t="str">
        <f aca="false">IF(OR(OR(NOT(AND(ISNUMBER(E169),ISNUMBER(F169))),$J$2=""),1&gt;Reprogramaciones!$K$16),"",IF(ROUND(SUM($Q169:Q169),1)&gt;=99.5,100,MIN(100,ROUND(SUM($Q169:Q169),1))))</f>
        <v/>
      </c>
      <c r="CK169" s="1" t="str">
        <f aca="false">IF(OR(OR(NOT(AND(ISNUMBER(E169),ISNUMBER(F169))),$J$2=""),2&gt;Reprogramaciones!$K$16),"",IF(ROUND(SUM($Q169:R169),1)&gt;=99.5,100,MIN(100,ROUND(SUM($Q169:R169),1))))</f>
        <v/>
      </c>
      <c r="CL169" s="1" t="str">
        <f aca="false">IF(OR(OR(NOT(AND(ISNUMBER(E169),ISNUMBER(F169))),$J$2=""),3&gt;Reprogramaciones!$K$16),"",IF(ROUND(SUM($Q169:S169),1)&gt;=99.5,100,MIN(100,ROUND(SUM($Q169:S169),1))))</f>
        <v/>
      </c>
      <c r="CM169" s="1" t="str">
        <f aca="false">IF(OR(OR(NOT(AND(ISNUMBER(E169),ISNUMBER(F169))),$J$2=""),4&gt;Reprogramaciones!$K$16),"",IF(ROUND(SUM($Q169:T169),1)&gt;=99.5,100,MIN(100,ROUND(SUM($Q169:T169),1))))</f>
        <v/>
      </c>
      <c r="CN169" s="1" t="str">
        <f aca="false">IF(OR(OR(NOT(AND(ISNUMBER(E169),ISNUMBER(F169))),$J$2=""),5&gt;Reprogramaciones!$K$16),"",IF(ROUND(SUM($Q169:U169),1)&gt;=99.5,100,MIN(100,ROUND(SUM($Q169:U169),1))))</f>
        <v/>
      </c>
      <c r="CO169" s="1" t="str">
        <f aca="false">IF(OR(OR(NOT(AND(ISNUMBER(E169),ISNUMBER(F169))),$J$2=""),6&gt;Reprogramaciones!$K$16),"",IF(ROUND(SUM($Q169:V169),1)&gt;=99.5,100,MIN(100,ROUND(SUM($Q169:V169),1))))</f>
        <v/>
      </c>
      <c r="CP169" s="1" t="str">
        <f aca="false">IF(OR(OR(NOT(AND(ISNUMBER(E169),ISNUMBER(F169))),$J$2=""),7&gt;Reprogramaciones!$K$16),"",IF(ROUND(SUM($Q169:W169),1)&gt;=99.5,100,MIN(100,ROUND(SUM($Q169:W169),1))))</f>
        <v/>
      </c>
      <c r="CQ169" s="1" t="str">
        <f aca="false">IF(OR(OR(NOT(AND(ISNUMBER(E169),ISNUMBER(F169))),$J$2=""),8&gt;Reprogramaciones!$K$16),"",IF(ROUND(SUM($Q169:X169),1)&gt;=99.5,100,MIN(100,ROUND(SUM($Q169:X169),1))))</f>
        <v/>
      </c>
      <c r="CR169" s="1" t="str">
        <f aca="false">IF(OR(OR(NOT(AND(ISNUMBER(E169),ISNUMBER(F169))),$J$2=""),9&gt;Reprogramaciones!$K$16),"",IF(ROUND(SUM($Q169:Y169),1)&gt;=99.5,100,MIN(100,ROUND(SUM($Q169:Y169),1))))</f>
        <v/>
      </c>
      <c r="CS169" s="1" t="str">
        <f aca="false">IF(OR(OR(NOT(AND(ISNUMBER(E169),ISNUMBER(F169))),$J$2=""),10&gt;Reprogramaciones!$K$16),"",IF(ROUND(SUM($Q169:Z169),1)&gt;=99.5,100,MIN(100,ROUND(SUM($Q169:Z169),1))))</f>
        <v/>
      </c>
      <c r="CT169" s="1" t="str">
        <f aca="false">IF(OR(OR(NOT(AND(ISNUMBER(E169),ISNUMBER(F169))),$J$2=""),11&gt;Reprogramaciones!$K$16),"",IF(ROUND(SUM($Q169:AA169),1)&gt;=99.5,100,MIN(100,ROUND(SUM($Q169:AA169),1))))</f>
        <v/>
      </c>
      <c r="CU169" s="1" t="str">
        <f aca="false">IF(OR(OR(NOT(AND(ISNUMBER(E169),ISNUMBER(F169))),$J$2=""),12&gt;Reprogramaciones!$K$16),"",IF(ROUND(SUM($Q169:AB169),1)&gt;=99.5,100,MIN(100,ROUND(SUM($Q169:AB169),1))))</f>
        <v/>
      </c>
      <c r="CV169" s="1" t="str">
        <f aca="false">IF(OR(OR(NOT(AND(ISNUMBER(E169),ISNUMBER(F169))),$J$2=""),13&gt;Reprogramaciones!$K$16),"",IF(ROUND(SUM($Q169:AC169),1)&gt;=99.5,100,MIN(100,ROUND(SUM($Q169:AC169),1))))</f>
        <v/>
      </c>
      <c r="CW169" s="1" t="str">
        <f aca="false">IF(OR(OR(NOT(AND(ISNUMBER(E169),ISNUMBER(F169))),$J$2=""),14&gt;Reprogramaciones!$K$16),"",IF(ROUND(SUM($Q169:AD169),1)&gt;=99.5,100,MIN(100,ROUND(SUM($Q169:AD169),1))))</f>
        <v/>
      </c>
      <c r="CX169" s="1" t="str">
        <f aca="false">IF(OR(OR(NOT(AND(ISNUMBER(E169),ISNUMBER(F169))),$J$2=""),15&gt;Reprogramaciones!$K$16),"",IF(ROUND(SUM($Q169:AE169),1)&gt;=99.5,100,MIN(100,ROUND(SUM($Q169:AE169),1))))</f>
        <v/>
      </c>
      <c r="CY169" s="1" t="str">
        <f aca="false">IF(OR(OR(NOT(AND(ISNUMBER(E169),ISNUMBER(F169))),$J$2=""),16&gt;Reprogramaciones!$K$16),"",IF(ROUND(SUM($Q169:AF169),1)&gt;=99.5,100,MIN(100,ROUND(SUM($Q169:AF169),1))))</f>
        <v/>
      </c>
      <c r="CZ169" s="1" t="str">
        <f aca="false">IF(D169&lt;&gt;"",D169,IF(B169&lt;&gt;"","Contractual",CZ168))</f>
        <v>Contractual</v>
      </c>
      <c r="DA169" s="1" t="str">
        <f aca="false">IF(OR(NOT(AND(ISNUMBER(E169),ISNUMBER(F169))),$J$2=""),"",IF(Reprogramaciones!$Q$15&lt;Reprogramaciones!$T$15,0,IF(Reprogramaciones!$S$15&gt;10,MIN(100,SUM($G169:$P169)),MIN(100,SUMPRODUCT((COLUMN($G169:$P169)-COLUMN($G169)+1&lt;Reprogramaciones!$S$15)*$G169:$P169)+N(INDEX($G169:$P169,1,Reprogramaciones!$S$15))*IF(Reprogramaciones!$Q$15&gt;=(Reprogramaciones!$T$15+7*(Reprogramaciones!$S$15-1))+6,1,IF(MAX(0,NETWORKDAYS.INTL(MAX(E169,(Reprogramaciones!$T$15+7*(Reprogramaciones!$S$15-1))),MIN(F169,(Reprogramaciones!$T$15+7*(Reprogramaciones!$S$15-1))+6),11))=0,0,MAX(0,NETWORKDAYS.INTL(MAX(E169,(Reprogramaciones!$T$15+7*(Reprogramaciones!$S$15-1))),MIN(F169,Reprogramaciones!$Q$15),11))/MAX(0,NETWORKDAYS.INTL(MAX(E169,(Reprogramaciones!$T$15+7*(Reprogramaciones!$S$15-1))),MIN(F169,(Reprogramaciones!$T$15+7*(Reprogramaciones!$S$15-1))+6),11))))))))</f>
        <v/>
      </c>
    </row>
    <row r="170" customFormat="false" ht="15" hidden="false" customHeight="false" outlineLevel="0" collapsed="false">
      <c r="A170" s="32"/>
      <c r="B170" s="33"/>
      <c r="C170" s="33"/>
      <c r="D170" s="34"/>
      <c r="E170" s="35"/>
      <c r="F170" s="35"/>
      <c r="G170" s="36" t="str">
        <f aca="false">IF(OR(NOT(AND(ISNUMBER(E170),ISNUMBER(F170))),$J$2=""),"",IF(Reprogramaciones!K$9&lt;E170,0,IF(NETWORKDAYS.INTL(E170,F170,11)=0,IF(Reprogramaciones!K$9&gt;=F170,100,0),ROUND(NETWORKDAYS.INTL(E170,MIN(F170,Reprogramaciones!K$9),11)/NETWORKDAYS.INTL(E170,F170,11)*100,1)))-0)</f>
        <v/>
      </c>
      <c r="H170" s="36" t="str">
        <f aca="false">IF(OR(NOT(AND(ISNUMBER(E170),ISNUMBER(F170))),$J$2=""),"",IF(Reprogramaciones!L$9&lt;E170,0,IF(NETWORKDAYS.INTL(E170,F170,11)=0,IF(Reprogramaciones!L$9&gt;=F170,100,0),ROUND(NETWORKDAYS.INTL(E170,MIN(F170,Reprogramaciones!L$9),11)/NETWORKDAYS.INTL(E170,F170,11)*100,1)))-IF(Reprogramaciones!K$9&lt;E170,0,IF(NETWORKDAYS.INTL(E170,F170,11)=0,IF(Reprogramaciones!K$9&gt;=F170,100,0),ROUND(NETWORKDAYS.INTL(E170,MIN(F170,Reprogramaciones!K$9),11)/NETWORKDAYS.INTL(E170,F170,11)*100,1))))</f>
        <v/>
      </c>
      <c r="I170" s="36" t="str">
        <f aca="false">IF(OR(NOT(AND(ISNUMBER(E170),ISNUMBER(F170))),$J$2=""),"",IF(Reprogramaciones!M$9&lt;E170,0,IF(NETWORKDAYS.INTL(E170,F170,11)=0,IF(Reprogramaciones!M$9&gt;=F170,100,0),ROUND(NETWORKDAYS.INTL(E170,MIN(F170,Reprogramaciones!M$9),11)/NETWORKDAYS.INTL(E170,F170,11)*100,1)))-IF(Reprogramaciones!L$9&lt;E170,0,IF(NETWORKDAYS.INTL(E170,F170,11)=0,IF(Reprogramaciones!L$9&gt;=F170,100,0),ROUND(NETWORKDAYS.INTL(E170,MIN(F170,Reprogramaciones!L$9),11)/NETWORKDAYS.INTL(E170,F170,11)*100,1))))</f>
        <v/>
      </c>
      <c r="J170" s="36" t="str">
        <f aca="false">IF(OR(NOT(AND(ISNUMBER(E170),ISNUMBER(F170))),$J$2=""),"",IF(Reprogramaciones!N$9&lt;E170,0,IF(NETWORKDAYS.INTL(E170,F170,11)=0,IF(Reprogramaciones!N$9&gt;=F170,100,0),ROUND(NETWORKDAYS.INTL(E170,MIN(F170,Reprogramaciones!N$9),11)/NETWORKDAYS.INTL(E170,F170,11)*100,1)))-IF(Reprogramaciones!M$9&lt;E170,0,IF(NETWORKDAYS.INTL(E170,F170,11)=0,IF(Reprogramaciones!M$9&gt;=F170,100,0),ROUND(NETWORKDAYS.INTL(E170,MIN(F170,Reprogramaciones!M$9),11)/NETWORKDAYS.INTL(E170,F170,11)*100,1))))</f>
        <v/>
      </c>
      <c r="K170" s="36" t="str">
        <f aca="false">IF(OR(NOT(AND(ISNUMBER(E170),ISNUMBER(F170))),$J$2=""),"",IF(Reprogramaciones!O$9&lt;E170,0,IF(NETWORKDAYS.INTL(E170,F170,11)=0,IF(Reprogramaciones!O$9&gt;=F170,100,0),ROUND(NETWORKDAYS.INTL(E170,MIN(F170,Reprogramaciones!O$9),11)/NETWORKDAYS.INTL(E170,F170,11)*100,1)))-IF(Reprogramaciones!N$9&lt;E170,0,IF(NETWORKDAYS.INTL(E170,F170,11)=0,IF(Reprogramaciones!N$9&gt;=F170,100,0),ROUND(NETWORKDAYS.INTL(E170,MIN(F170,Reprogramaciones!N$9),11)/NETWORKDAYS.INTL(E170,F170,11)*100,1))))</f>
        <v/>
      </c>
      <c r="L170" s="36" t="str">
        <f aca="false">IF(OR(NOT(AND(ISNUMBER(E170),ISNUMBER(F170))),$J$2=""),"",IF(Reprogramaciones!P$9&lt;E170,0,IF(NETWORKDAYS.INTL(E170,F170,11)=0,IF(Reprogramaciones!P$9&gt;=F170,100,0),ROUND(NETWORKDAYS.INTL(E170,MIN(F170,Reprogramaciones!P$9),11)/NETWORKDAYS.INTL(E170,F170,11)*100,1)))-IF(Reprogramaciones!O$9&lt;E170,0,IF(NETWORKDAYS.INTL(E170,F170,11)=0,IF(Reprogramaciones!O$9&gt;=F170,100,0),ROUND(NETWORKDAYS.INTL(E170,MIN(F170,Reprogramaciones!O$9),11)/NETWORKDAYS.INTL(E170,F170,11)*100,1))))</f>
        <v/>
      </c>
      <c r="M170" s="36" t="str">
        <f aca="false">IF(OR(NOT(AND(ISNUMBER(E170),ISNUMBER(F170))),$J$2=""),"",IF(Reprogramaciones!Q$9&lt;E170,0,IF(NETWORKDAYS.INTL(E170,F170,11)=0,IF(Reprogramaciones!Q$9&gt;=F170,100,0),ROUND(NETWORKDAYS.INTL(E170,MIN(F170,Reprogramaciones!Q$9),11)/NETWORKDAYS.INTL(E170,F170,11)*100,1)))-IF(Reprogramaciones!P$9&lt;E170,0,IF(NETWORKDAYS.INTL(E170,F170,11)=0,IF(Reprogramaciones!P$9&gt;=F170,100,0),ROUND(NETWORKDAYS.INTL(E170,MIN(F170,Reprogramaciones!P$9),11)/NETWORKDAYS.INTL(E170,F170,11)*100,1))))</f>
        <v/>
      </c>
      <c r="N170" s="36" t="str">
        <f aca="false">IF(OR(NOT(AND(ISNUMBER(E170),ISNUMBER(F170))),$J$2=""),"",IF(Reprogramaciones!R$9&lt;E170,0,IF(NETWORKDAYS.INTL(E170,F170,11)=0,IF(Reprogramaciones!R$9&gt;=F170,100,0),ROUND(NETWORKDAYS.INTL(E170,MIN(F170,Reprogramaciones!R$9),11)/NETWORKDAYS.INTL(E170,F170,11)*100,1)))-IF(Reprogramaciones!Q$9&lt;E170,0,IF(NETWORKDAYS.INTL(E170,F170,11)=0,IF(Reprogramaciones!Q$9&gt;=F170,100,0),ROUND(NETWORKDAYS.INTL(E170,MIN(F170,Reprogramaciones!Q$9),11)/NETWORKDAYS.INTL(E170,F170,11)*100,1))))</f>
        <v/>
      </c>
      <c r="O170" s="36" t="str">
        <f aca="false">IF(OR(NOT(AND(ISNUMBER(E170),ISNUMBER(F170))),$J$2=""),"",IF(Reprogramaciones!S$9&lt;E170,0,IF(NETWORKDAYS.INTL(E170,F170,11)=0,IF(Reprogramaciones!S$9&gt;=F170,100,0),ROUND(NETWORKDAYS.INTL(E170,MIN(F170,Reprogramaciones!S$9),11)/NETWORKDAYS.INTL(E170,F170,11)*100,1)))-IF(Reprogramaciones!R$9&lt;E170,0,IF(NETWORKDAYS.INTL(E170,F170,11)=0,IF(Reprogramaciones!R$9&gt;=F170,100,0),ROUND(NETWORKDAYS.INTL(E170,MIN(F170,Reprogramaciones!R$9),11)/NETWORKDAYS.INTL(E170,F170,11)*100,1))))</f>
        <v/>
      </c>
      <c r="P170" s="36" t="str">
        <f aca="false">IF(OR(NOT(AND(ISNUMBER(E170),ISNUMBER(F170))),$J$2=""),"",IF(Reprogramaciones!T$9&lt;E170,0,IF(NETWORKDAYS.INTL(E170,F170,11)=0,IF(Reprogramaciones!T$9&gt;=F170,100,0),ROUND(NETWORKDAYS.INTL(E170,MIN(F170,Reprogramaciones!T$9),11)/NETWORKDAYS.INTL(E170,F170,11)*100,1)))-IF(Reprogramaciones!S$9&lt;E170,0,IF(NETWORKDAYS.INTL(E170,F170,11)=0,IF(Reprogramaciones!S$9&gt;=F170,100,0),ROUND(NETWORKDAYS.INTL(E170,MIN(F170,Reprogramaciones!S$9),11)/NETWORKDAYS.INTL(E170,F170,11)*100,1))))</f>
        <v/>
      </c>
      <c r="Q170" s="37"/>
      <c r="R170" s="37"/>
      <c r="S170" s="37"/>
      <c r="T170" s="37"/>
      <c r="U170" s="37"/>
      <c r="V170" s="37"/>
      <c r="W170" s="37"/>
      <c r="X170" s="37"/>
      <c r="Y170" s="37"/>
      <c r="Z170" s="37"/>
      <c r="AA170" s="37"/>
      <c r="AB170" s="37"/>
      <c r="AC170" s="37"/>
      <c r="AD170" s="37"/>
      <c r="AE170" s="37"/>
      <c r="AF170" s="37"/>
      <c r="AG170" s="38" t="str">
        <f aca="false">IF(AND(ISNUMBER(E170),ISNUMBER(F170)),NETWORKDAYS.INTL(E170,F170,11),"")</f>
        <v/>
      </c>
      <c r="AH170" s="38" t="str">
        <f aca="false">IF(OR(NOT(AND(ISNUMBER(E170),ISNUMBER(F170))),$J$2=""),"",IF(Reprogramaciones!$P$15&lt;Reprogramaciones!$T$15,0,IF(Reprogramaciones!$R$15&gt;10,MIN(100,SUM($G170:$P170)),MIN(100,SUMPRODUCT((COLUMN($G170:$P170)-COLUMN($G170)+1&lt;Reprogramaciones!$R$15)*$G170:$P170)+N(INDEX($G170:$P170,1,Reprogramaciones!$R$15))*IF(Reprogramaciones!$P$15&gt;=(Reprogramaciones!$T$15+7*(Reprogramaciones!$R$15-1))+6,1,IF(MAX(0,NETWORKDAYS.INTL(MAX(E170,(Reprogramaciones!$T$15+7*(Reprogramaciones!$R$15-1))),MIN(F170,(Reprogramaciones!$T$15+7*(Reprogramaciones!$R$15-1))+6),11))=0,0,MAX(0,NETWORKDAYS.INTL(MAX(E170,(Reprogramaciones!$T$15+7*(Reprogramaciones!$R$15-1))),MIN(F170,Reprogramaciones!$P$15),11))/MAX(0,NETWORKDAYS.INTL(MAX(E170,(Reprogramaciones!$T$15+7*(Reprogramaciones!$R$15-1))),MIN(F170,(Reprogramaciones!$T$15+7*(Reprogramaciones!$R$15-1))+6),11))))))))</f>
        <v/>
      </c>
      <c r="AI170" s="38" t="str">
        <f aca="false">IF(COUNT($Q170:$AF170)=0,"",IF(ROUND(SUM($Q170:$AF170),1)&gt;=99.5,100,MIN(100,ROUND(SUM($Q170:$AF170),1))))</f>
        <v/>
      </c>
      <c r="AJ170" s="38" t="str">
        <f aca="false">IF(OR(AH170="",AI170=""),"",AI170-AH170)</f>
        <v/>
      </c>
      <c r="AK170" s="39" t="str">
        <f aca="true">IF(AH170="","",IF(OR(Ficha!$C$10="Suspendida",Ficha!$C$10="Cancelada"),Ficha!$C$10,IF(AND(AI170&lt;&gt;"",N(AI170)&gt;=100),"Completada",IF(AND(E170&gt;TODAY(),N(AI170)=0),"Por iniciar",IF(N(AI170)+0.5&lt;AH170,"Retrasada",IF(N(AI170)+0.5&lt;DA170,IF(Reprogramaciones!$K$15&gt;0,"Al día · Sem "&amp;Reprogramaciones!$K$15&amp;" en curso","Al día · en curso"),"A tiempo"))))))</f>
        <v/>
      </c>
      <c r="AL170" s="39" t="str">
        <f aca="true">IF(AND(A170="",AND(B170="",C170="",E170="",F170="",COUNT(Q170:AF170)=0)),"",IF(AND(B170="",C170="",E170="",F170="",COUNT(Q170:AF170)=0),"Falta la partida o subpartida",IF(AND(A170&lt;&gt;"",COUNTIF($A$6:$A$305,A170)&gt;1),"Ítem repetido",IF(AND(C170="",E170="",F170="",COUNT(Q170:AF170)=0),"Título de partida",IF(OR(E170="",F170=""),"Faltan fechas",IF(OR(ISTEXT(E170),ISTEXT(F170)),"Fecha escrita como texto: usa dd/mm/aaaa",IF(F170&lt;E170,"Fin antes del inicio",IF(IF($J$2="",FALSE(),OR(E170&lt;$J$2,F170&gt;Reprogramaciones!$T$15+69)),"Fuera de las 10 semanas",IF(ABS(SUM(G170:P170)-100)&gt;0.5,"La meta no suma 100%",IF(ROUND(SUM(Q170:AF170),1)&gt;100.5,"El avance pasa de 100%",IF(MIN(Q170:AF170)&lt;0,"Avance negativo",IF(COUNTA(Q170:AF170)&gt;COUNT(Q170:AF170),"Avance escrito como texto",IF(SUMPRODUCT((Q170:AF170&gt;0)*(Q170:AF170&lt;1))&gt;0,"Avance menor a 1: escribe 50, no 50%",IF(SUMPRODUCT(ISNUMBER(Q170:AF170)*(Reprogramaciones!$K$8:$Z$8&gt;TODAY()))&gt;0,"Avance en semana que aún no llega",IF(AND(N(Reprogramaciones!$E$21)&gt;0,F170&gt;Reprogramaciones!$E$21),"Pasa el fin de la obra: registra una reprogramación",IF(AND(N(Reprogramaciones!$E$21)&gt;0,SUMPRODUCT(ISNUMBER(Q170:AF170)*(Reprogramaciones!$K$8:$Z$8&gt;Reprogramaciones!$E$21))&gt;0),"Avance después del fin de la obra: registra una reprogramación por atraso","OK"))))))))))))))))</f>
        <v/>
      </c>
      <c r="AM170" s="40" t="str">
        <f aca="false">IF(OR(OR(NOT(AND(ISNUMBER(E170),ISNUMBER(F170))),$J$2=""),1&gt;MAX(1,Reprogramaciones!$U$15)),"",IF(Reprogramaciones!K$12&gt;=7,"",IF(OR(BT170-N(0)&gt;0.05,N(Q170)&gt;0),ROUNDDOWN(ROUND(BT170,6),0)&amp;"%"&amp;IF(CJ170="",""," / "&amp;CJ170&amp;"%"),IF(AND(N(0)&gt;=99.95,CJ170&lt;&gt;"",N(CJ170)&lt;100),"Pend. "&amp;CJ170&amp;"%",""))))</f>
        <v/>
      </c>
      <c r="AN170" s="40" t="str">
        <f aca="false">IF(OR(OR(NOT(AND(ISNUMBER(E170),ISNUMBER(F170))),$J$2=""),2&gt;MAX(1,Reprogramaciones!$U$15)),"",IF(Reprogramaciones!L$12&gt;=7,"",IF(OR(BU170-N(BT170)&gt;0.05,N(R170)&gt;0),ROUNDDOWN(ROUND(BU170,6),0)&amp;"%"&amp;IF(CK170="",""," / "&amp;CK170&amp;"%"),IF(AND(N(BT170)&gt;=99.95,CK170&lt;&gt;"",N(CK170)&lt;100),"Pend. "&amp;CK170&amp;"%",""))))</f>
        <v/>
      </c>
      <c r="AO170" s="40" t="str">
        <f aca="false">IF(OR(OR(NOT(AND(ISNUMBER(E170),ISNUMBER(F170))),$J$2=""),3&gt;MAX(1,Reprogramaciones!$U$15)),"",IF(Reprogramaciones!M$12&gt;=7,"",IF(OR(BV170-N(BU170)&gt;0.05,N(S170)&gt;0),ROUNDDOWN(ROUND(BV170,6),0)&amp;"%"&amp;IF(CL170="",""," / "&amp;CL170&amp;"%"),IF(AND(N(BU170)&gt;=99.95,CL170&lt;&gt;"",N(CL170)&lt;100),"Pend. "&amp;CL170&amp;"%",""))))</f>
        <v/>
      </c>
      <c r="AP170" s="40" t="str">
        <f aca="false">IF(OR(OR(NOT(AND(ISNUMBER(E170),ISNUMBER(F170))),$J$2=""),4&gt;MAX(1,Reprogramaciones!$U$15)),"",IF(Reprogramaciones!N$12&gt;=7,"",IF(OR(BW170-N(BV170)&gt;0.05,N(T170)&gt;0),ROUNDDOWN(ROUND(BW170,6),0)&amp;"%"&amp;IF(CM170="",""," / "&amp;CM170&amp;"%"),IF(AND(N(BV170)&gt;=99.95,CM170&lt;&gt;"",N(CM170)&lt;100),"Pend. "&amp;CM170&amp;"%",""))))</f>
        <v/>
      </c>
      <c r="AQ170" s="40" t="str">
        <f aca="false">IF(OR(OR(NOT(AND(ISNUMBER(E170),ISNUMBER(F170))),$J$2=""),5&gt;MAX(1,Reprogramaciones!$U$15)),"",IF(Reprogramaciones!O$12&gt;=7,"",IF(OR(BX170-N(BW170)&gt;0.05,N(U170)&gt;0),ROUNDDOWN(ROUND(BX170,6),0)&amp;"%"&amp;IF(CN170="",""," / "&amp;CN170&amp;"%"),IF(AND(N(BW170)&gt;=99.95,CN170&lt;&gt;"",N(CN170)&lt;100),"Pend. "&amp;CN170&amp;"%",""))))</f>
        <v/>
      </c>
      <c r="AR170" s="40" t="str">
        <f aca="false">IF(OR(OR(NOT(AND(ISNUMBER(E170),ISNUMBER(F170))),$J$2=""),6&gt;MAX(1,Reprogramaciones!$U$15)),"",IF(Reprogramaciones!P$12&gt;=7,"",IF(OR(BY170-N(BX170)&gt;0.05,N(V170)&gt;0),ROUNDDOWN(ROUND(BY170,6),0)&amp;"%"&amp;IF(CO170="",""," / "&amp;CO170&amp;"%"),IF(AND(N(BX170)&gt;=99.95,CO170&lt;&gt;"",N(CO170)&lt;100),"Pend. "&amp;CO170&amp;"%",""))))</f>
        <v/>
      </c>
      <c r="AS170" s="40" t="str">
        <f aca="false">IF(OR(OR(NOT(AND(ISNUMBER(E170),ISNUMBER(F170))),$J$2=""),7&gt;MAX(1,Reprogramaciones!$U$15)),"",IF(Reprogramaciones!Q$12&gt;=7,"",IF(OR(BZ170-N(BY170)&gt;0.05,N(W170)&gt;0),ROUNDDOWN(ROUND(BZ170,6),0)&amp;"%"&amp;IF(CP170="",""," / "&amp;CP170&amp;"%"),IF(AND(N(BY170)&gt;=99.95,CP170&lt;&gt;"",N(CP170)&lt;100),"Pend. "&amp;CP170&amp;"%",""))))</f>
        <v/>
      </c>
      <c r="AT170" s="40" t="str">
        <f aca="false">IF(OR(OR(NOT(AND(ISNUMBER(E170),ISNUMBER(F170))),$J$2=""),8&gt;MAX(1,Reprogramaciones!$U$15)),"",IF(Reprogramaciones!R$12&gt;=7,"",IF(OR(CA170-N(BZ170)&gt;0.05,N(X170)&gt;0),ROUNDDOWN(ROUND(CA170,6),0)&amp;"%"&amp;IF(CQ170="",""," / "&amp;CQ170&amp;"%"),IF(AND(N(BZ170)&gt;=99.95,CQ170&lt;&gt;"",N(CQ170)&lt;100),"Pend. "&amp;CQ170&amp;"%",""))))</f>
        <v/>
      </c>
      <c r="AU170" s="40" t="str">
        <f aca="false">IF(OR(OR(NOT(AND(ISNUMBER(E170),ISNUMBER(F170))),$J$2=""),9&gt;MAX(1,Reprogramaciones!$U$15)),"",IF(Reprogramaciones!S$12&gt;=7,"",IF(OR(CB170-N(CA170)&gt;0.05,N(Y170)&gt;0),ROUNDDOWN(ROUND(CB170,6),0)&amp;"%"&amp;IF(CR170="",""," / "&amp;CR170&amp;"%"),IF(AND(N(CA170)&gt;=99.95,CR170&lt;&gt;"",N(CR170)&lt;100),"Pend. "&amp;CR170&amp;"%",""))))</f>
        <v/>
      </c>
      <c r="AV170" s="40" t="str">
        <f aca="false">IF(OR(OR(NOT(AND(ISNUMBER(E170),ISNUMBER(F170))),$J$2=""),10&gt;MAX(1,Reprogramaciones!$U$15)),"",IF(Reprogramaciones!T$12&gt;=7,"",IF(OR(CC170-N(CB170)&gt;0.05,N(Z170)&gt;0),ROUNDDOWN(ROUND(CC170,6),0)&amp;"%"&amp;IF(CS170="",""," / "&amp;CS170&amp;"%"),IF(AND(N(CB170)&gt;=99.95,CS170&lt;&gt;"",N(CS170)&lt;100),"Pend. "&amp;CS170&amp;"%",""))))</f>
        <v/>
      </c>
      <c r="AW170" s="40" t="str">
        <f aca="false">IF(OR(OR(NOT(AND(ISNUMBER(E170),ISNUMBER(F170))),$J$2=""),11&gt;MAX(1,Reprogramaciones!$U$15)),"",IF(Reprogramaciones!U$12&gt;=7,"",IF(OR(CD170-N(CC170)&gt;0.05,N(AA170)&gt;0),ROUNDDOWN(ROUND(CD170,6),0)&amp;"%"&amp;IF(CT170="",""," / "&amp;CT170&amp;"%"),IF(AND(N(CC170)&gt;=99.95,CT170&lt;&gt;"",N(CT170)&lt;100),"Pend. "&amp;CT170&amp;"%",""))))</f>
        <v/>
      </c>
      <c r="AX170" s="40" t="str">
        <f aca="false">IF(OR(OR(NOT(AND(ISNUMBER(E170),ISNUMBER(F170))),$J$2=""),12&gt;MAX(1,Reprogramaciones!$U$15)),"",IF(Reprogramaciones!V$12&gt;=7,"",IF(OR(CE170-N(CD170)&gt;0.05,N(AB170)&gt;0),ROUNDDOWN(ROUND(CE170,6),0)&amp;"%"&amp;IF(CU170="",""," / "&amp;CU170&amp;"%"),IF(AND(N(CD170)&gt;=99.95,CU170&lt;&gt;"",N(CU170)&lt;100),"Pend. "&amp;CU170&amp;"%",""))))</f>
        <v/>
      </c>
      <c r="AY170" s="40" t="str">
        <f aca="false">IF(OR(OR(NOT(AND(ISNUMBER(E170),ISNUMBER(F170))),$J$2=""),13&gt;MAX(1,Reprogramaciones!$U$15)),"",IF(Reprogramaciones!W$12&gt;=7,"",IF(OR(CF170-N(CE170)&gt;0.05,N(AC170)&gt;0),ROUNDDOWN(ROUND(CF170,6),0)&amp;"%"&amp;IF(CV170="",""," / "&amp;CV170&amp;"%"),IF(AND(N(CE170)&gt;=99.95,CV170&lt;&gt;"",N(CV170)&lt;100),"Pend. "&amp;CV170&amp;"%",""))))</f>
        <v/>
      </c>
      <c r="AZ170" s="40" t="str">
        <f aca="false">IF(OR(OR(NOT(AND(ISNUMBER(E170),ISNUMBER(F170))),$J$2=""),14&gt;MAX(1,Reprogramaciones!$U$15)),"",IF(Reprogramaciones!X$12&gt;=7,"",IF(OR(CG170-N(CF170)&gt;0.05,N(AD170)&gt;0),ROUNDDOWN(ROUND(CG170,6),0)&amp;"%"&amp;IF(CW170="",""," / "&amp;CW170&amp;"%"),IF(AND(N(CF170)&gt;=99.95,CW170&lt;&gt;"",N(CW170)&lt;100),"Pend. "&amp;CW170&amp;"%",""))))</f>
        <v/>
      </c>
      <c r="BA170" s="40" t="str">
        <f aca="false">IF(OR(OR(NOT(AND(ISNUMBER(E170),ISNUMBER(F170))),$J$2=""),15&gt;MAX(1,Reprogramaciones!$U$15)),"",IF(Reprogramaciones!Y$12&gt;=7,"",IF(OR(CH170-N(CG170)&gt;0.05,N(AE170)&gt;0),ROUNDDOWN(ROUND(CH170,6),0)&amp;"%"&amp;IF(CX170="",""," / "&amp;CX170&amp;"%"),IF(AND(N(CG170)&gt;=99.95,CX170&lt;&gt;"",N(CX170)&lt;100),"Pend. "&amp;CX170&amp;"%",""))))</f>
        <v/>
      </c>
      <c r="BB170" s="40" t="str">
        <f aca="false">IF(OR(OR(NOT(AND(ISNUMBER(E170),ISNUMBER(F170))),$J$2=""),16&gt;MAX(1,Reprogramaciones!$U$15)),"",IF(Reprogramaciones!Z$12&gt;=7,"",IF(OR(CI170-N(CH170)&gt;0.05,N(AF170)&gt;0),ROUNDDOWN(ROUND(CI170,6),0)&amp;"%"&amp;IF(CY170="",""," / "&amp;CY170&amp;"%"),IF(AND(N(CH170)&gt;=99.95,CY170&lt;&gt;"",N(CY170)&lt;100),"Pend. "&amp;CY170&amp;"%",""))))</f>
        <v/>
      </c>
      <c r="BC170" s="31" t="n">
        <f aca="false">IF(AND(ISNUMBER(E170),ISNUMBER(F170)),MAX(1,NETWORKDAYS.INTL(E170,F170,11)),0)</f>
        <v>0</v>
      </c>
      <c r="BD170" s="1" t="str">
        <f aca="false">IF(OR(NOT(AND(ISNUMBER(E170),ISNUMBER(F170))),$J$2=""),"",MIN(100,ROUND(SUM($G170:G170),1)))</f>
        <v/>
      </c>
      <c r="BE170" s="1" t="str">
        <f aca="false">IF(OR(NOT(AND(ISNUMBER(E170),ISNUMBER(F170))),$J$2=""),"",MIN(100,ROUND(SUM($G170:H170),1)))</f>
        <v/>
      </c>
      <c r="BF170" s="1" t="str">
        <f aca="false">IF(OR(NOT(AND(ISNUMBER(E170),ISNUMBER(F170))),$J$2=""),"",MIN(100,ROUND(SUM($G170:I170),1)))</f>
        <v/>
      </c>
      <c r="BG170" s="1" t="str">
        <f aca="false">IF(OR(NOT(AND(ISNUMBER(E170),ISNUMBER(F170))),$J$2=""),"",MIN(100,ROUND(SUM($G170:J170),1)))</f>
        <v/>
      </c>
      <c r="BH170" s="1" t="str">
        <f aca="false">IF(OR(NOT(AND(ISNUMBER(E170),ISNUMBER(F170))),$J$2=""),"",MIN(100,ROUND(SUM($G170:K170),1)))</f>
        <v/>
      </c>
      <c r="BI170" s="1" t="str">
        <f aca="false">IF(OR(NOT(AND(ISNUMBER(E170),ISNUMBER(F170))),$J$2=""),"",MIN(100,ROUND(SUM($G170:L170),1)))</f>
        <v/>
      </c>
      <c r="BJ170" s="1" t="str">
        <f aca="false">IF(OR(NOT(AND(ISNUMBER(E170),ISNUMBER(F170))),$J$2=""),"",MIN(100,ROUND(SUM($G170:M170),1)))</f>
        <v/>
      </c>
      <c r="BK170" s="1" t="str">
        <f aca="false">IF(OR(NOT(AND(ISNUMBER(E170),ISNUMBER(F170))),$J$2=""),"",MIN(100,ROUND(SUM($G170:N170),1)))</f>
        <v/>
      </c>
      <c r="BL170" s="1" t="str">
        <f aca="false">IF(OR(NOT(AND(ISNUMBER(E170),ISNUMBER(F170))),$J$2=""),"",MIN(100,ROUND(SUM($G170:O170),1)))</f>
        <v/>
      </c>
      <c r="BM170" s="1" t="str">
        <f aca="false">IF(OR(NOT(AND(ISNUMBER(E170),ISNUMBER(F170))),$J$2=""),"",MIN(100,ROUND(SUM($G170:P170),1)))</f>
        <v/>
      </c>
      <c r="BN170" s="1" t="str">
        <f aca="false">IF(OR(NOT(AND(ISNUMBER(E170),ISNUMBER(F170))),$J$2=""),"",MIN(100,ROUND(SUM($G170:P170),1)))</f>
        <v/>
      </c>
      <c r="BO170" s="1" t="str">
        <f aca="false">IF(OR(NOT(AND(ISNUMBER(E170),ISNUMBER(F170))),$J$2=""),"",MIN(100,ROUND(SUM($G170:P170),1)))</f>
        <v/>
      </c>
      <c r="BP170" s="1" t="str">
        <f aca="false">IF(OR(NOT(AND(ISNUMBER(E170),ISNUMBER(F170))),$J$2=""),"",MIN(100,ROUND(SUM($G170:P170),1)))</f>
        <v/>
      </c>
      <c r="BQ170" s="1" t="str">
        <f aca="false">IF(OR(NOT(AND(ISNUMBER(E170),ISNUMBER(F170))),$J$2=""),"",MIN(100,ROUND(SUM($G170:P170),1)))</f>
        <v/>
      </c>
      <c r="BR170" s="1" t="str">
        <f aca="false">IF(OR(NOT(AND(ISNUMBER(E170),ISNUMBER(F170))),$J$2=""),"",MIN(100,ROUND(SUM($G170:P170),1)))</f>
        <v/>
      </c>
      <c r="BS170" s="1" t="str">
        <f aca="false">IF(OR(NOT(AND(ISNUMBER(E170),ISNUMBER(F170))),$J$2=""),"",MIN(100,ROUND(SUM($G170:P170),1)))</f>
        <v/>
      </c>
      <c r="BT170" s="1" t="str">
        <f aca="false">IF(OR(NOT(AND(ISNUMBER(E170),ISNUMBER(F170))),$J$2=""),"",IF(Reprogramaciones!K$13&lt;Reprogramaciones!$T$15,0,IF(Reprogramaciones!K$14&gt;10,MIN(100,SUM($G170:$P170)),MIN(100,SUMPRODUCT((COLUMN($G170:$P170)-COLUMN($G170)+1&lt;Reprogramaciones!K$14)*$G170:$P170)+N(INDEX($G170:$P170,1,Reprogramaciones!K$14))*IF(Reprogramaciones!K$13&gt;=(Reprogramaciones!$T$15+7*(Reprogramaciones!K$14-1))+6,1,IF(MAX(0,NETWORKDAYS.INTL(MAX(E170,(Reprogramaciones!$T$15+7*(Reprogramaciones!K$14-1))),MIN(F170,(Reprogramaciones!$T$15+7*(Reprogramaciones!K$14-1))+6),11))=0,0,MAX(0,NETWORKDAYS.INTL(MAX(E170,(Reprogramaciones!$T$15+7*(Reprogramaciones!K$14-1))),MIN(F170,Reprogramaciones!K$13),11))/MAX(0,NETWORKDAYS.INTL(MAX(E170,(Reprogramaciones!$T$15+7*(Reprogramaciones!K$14-1))),MIN(F170,(Reprogramaciones!$T$15+7*(Reprogramaciones!K$14-1))+6),11))))))))</f>
        <v/>
      </c>
      <c r="BU170" s="1" t="str">
        <f aca="false">IF(OR(NOT(AND(ISNUMBER(E170),ISNUMBER(F170))),$J$2=""),"",IF(Reprogramaciones!L$13&lt;Reprogramaciones!$T$15,0,IF(Reprogramaciones!L$14&gt;10,MIN(100,SUM($G170:$P170)),MIN(100,SUMPRODUCT((COLUMN($G170:$P170)-COLUMN($G170)+1&lt;Reprogramaciones!L$14)*$G170:$P170)+N(INDEX($G170:$P170,1,Reprogramaciones!L$14))*IF(Reprogramaciones!L$13&gt;=(Reprogramaciones!$T$15+7*(Reprogramaciones!L$14-1))+6,1,IF(MAX(0,NETWORKDAYS.INTL(MAX(E170,(Reprogramaciones!$T$15+7*(Reprogramaciones!L$14-1))),MIN(F170,(Reprogramaciones!$T$15+7*(Reprogramaciones!L$14-1))+6),11))=0,0,MAX(0,NETWORKDAYS.INTL(MAX(E170,(Reprogramaciones!$T$15+7*(Reprogramaciones!L$14-1))),MIN(F170,Reprogramaciones!L$13),11))/MAX(0,NETWORKDAYS.INTL(MAX(E170,(Reprogramaciones!$T$15+7*(Reprogramaciones!L$14-1))),MIN(F170,(Reprogramaciones!$T$15+7*(Reprogramaciones!L$14-1))+6),11))))))))</f>
        <v/>
      </c>
      <c r="BV170" s="1" t="str">
        <f aca="false">IF(OR(NOT(AND(ISNUMBER(E170),ISNUMBER(F170))),$J$2=""),"",IF(Reprogramaciones!M$13&lt;Reprogramaciones!$T$15,0,IF(Reprogramaciones!M$14&gt;10,MIN(100,SUM($G170:$P170)),MIN(100,SUMPRODUCT((COLUMN($G170:$P170)-COLUMN($G170)+1&lt;Reprogramaciones!M$14)*$G170:$P170)+N(INDEX($G170:$P170,1,Reprogramaciones!M$14))*IF(Reprogramaciones!M$13&gt;=(Reprogramaciones!$T$15+7*(Reprogramaciones!M$14-1))+6,1,IF(MAX(0,NETWORKDAYS.INTL(MAX(E170,(Reprogramaciones!$T$15+7*(Reprogramaciones!M$14-1))),MIN(F170,(Reprogramaciones!$T$15+7*(Reprogramaciones!M$14-1))+6),11))=0,0,MAX(0,NETWORKDAYS.INTL(MAX(E170,(Reprogramaciones!$T$15+7*(Reprogramaciones!M$14-1))),MIN(F170,Reprogramaciones!M$13),11))/MAX(0,NETWORKDAYS.INTL(MAX(E170,(Reprogramaciones!$T$15+7*(Reprogramaciones!M$14-1))),MIN(F170,(Reprogramaciones!$T$15+7*(Reprogramaciones!M$14-1))+6),11))))))))</f>
        <v/>
      </c>
      <c r="BW170" s="1" t="str">
        <f aca="false">IF(OR(NOT(AND(ISNUMBER(E170),ISNUMBER(F170))),$J$2=""),"",IF(Reprogramaciones!N$13&lt;Reprogramaciones!$T$15,0,IF(Reprogramaciones!N$14&gt;10,MIN(100,SUM($G170:$P170)),MIN(100,SUMPRODUCT((COLUMN($G170:$P170)-COLUMN($G170)+1&lt;Reprogramaciones!N$14)*$G170:$P170)+N(INDEX($G170:$P170,1,Reprogramaciones!N$14))*IF(Reprogramaciones!N$13&gt;=(Reprogramaciones!$T$15+7*(Reprogramaciones!N$14-1))+6,1,IF(MAX(0,NETWORKDAYS.INTL(MAX(E170,(Reprogramaciones!$T$15+7*(Reprogramaciones!N$14-1))),MIN(F170,(Reprogramaciones!$T$15+7*(Reprogramaciones!N$14-1))+6),11))=0,0,MAX(0,NETWORKDAYS.INTL(MAX(E170,(Reprogramaciones!$T$15+7*(Reprogramaciones!N$14-1))),MIN(F170,Reprogramaciones!N$13),11))/MAX(0,NETWORKDAYS.INTL(MAX(E170,(Reprogramaciones!$T$15+7*(Reprogramaciones!N$14-1))),MIN(F170,(Reprogramaciones!$T$15+7*(Reprogramaciones!N$14-1))+6),11))))))))</f>
        <v/>
      </c>
      <c r="BX170" s="1" t="str">
        <f aca="false">IF(OR(NOT(AND(ISNUMBER(E170),ISNUMBER(F170))),$J$2=""),"",IF(Reprogramaciones!O$13&lt;Reprogramaciones!$T$15,0,IF(Reprogramaciones!O$14&gt;10,MIN(100,SUM($G170:$P170)),MIN(100,SUMPRODUCT((COLUMN($G170:$P170)-COLUMN($G170)+1&lt;Reprogramaciones!O$14)*$G170:$P170)+N(INDEX($G170:$P170,1,Reprogramaciones!O$14))*IF(Reprogramaciones!O$13&gt;=(Reprogramaciones!$T$15+7*(Reprogramaciones!O$14-1))+6,1,IF(MAX(0,NETWORKDAYS.INTL(MAX(E170,(Reprogramaciones!$T$15+7*(Reprogramaciones!O$14-1))),MIN(F170,(Reprogramaciones!$T$15+7*(Reprogramaciones!O$14-1))+6),11))=0,0,MAX(0,NETWORKDAYS.INTL(MAX(E170,(Reprogramaciones!$T$15+7*(Reprogramaciones!O$14-1))),MIN(F170,Reprogramaciones!O$13),11))/MAX(0,NETWORKDAYS.INTL(MAX(E170,(Reprogramaciones!$T$15+7*(Reprogramaciones!O$14-1))),MIN(F170,(Reprogramaciones!$T$15+7*(Reprogramaciones!O$14-1))+6),11))))))))</f>
        <v/>
      </c>
      <c r="BY170" s="1" t="str">
        <f aca="false">IF(OR(NOT(AND(ISNUMBER(E170),ISNUMBER(F170))),$J$2=""),"",IF(Reprogramaciones!P$13&lt;Reprogramaciones!$T$15,0,IF(Reprogramaciones!P$14&gt;10,MIN(100,SUM($G170:$P170)),MIN(100,SUMPRODUCT((COLUMN($G170:$P170)-COLUMN($G170)+1&lt;Reprogramaciones!P$14)*$G170:$P170)+N(INDEX($G170:$P170,1,Reprogramaciones!P$14))*IF(Reprogramaciones!P$13&gt;=(Reprogramaciones!$T$15+7*(Reprogramaciones!P$14-1))+6,1,IF(MAX(0,NETWORKDAYS.INTL(MAX(E170,(Reprogramaciones!$T$15+7*(Reprogramaciones!P$14-1))),MIN(F170,(Reprogramaciones!$T$15+7*(Reprogramaciones!P$14-1))+6),11))=0,0,MAX(0,NETWORKDAYS.INTL(MAX(E170,(Reprogramaciones!$T$15+7*(Reprogramaciones!P$14-1))),MIN(F170,Reprogramaciones!P$13),11))/MAX(0,NETWORKDAYS.INTL(MAX(E170,(Reprogramaciones!$T$15+7*(Reprogramaciones!P$14-1))),MIN(F170,(Reprogramaciones!$T$15+7*(Reprogramaciones!P$14-1))+6),11))))))))</f>
        <v/>
      </c>
      <c r="BZ170" s="1" t="str">
        <f aca="false">IF(OR(NOT(AND(ISNUMBER(E170),ISNUMBER(F170))),$J$2=""),"",IF(Reprogramaciones!Q$13&lt;Reprogramaciones!$T$15,0,IF(Reprogramaciones!Q$14&gt;10,MIN(100,SUM($G170:$P170)),MIN(100,SUMPRODUCT((COLUMN($G170:$P170)-COLUMN($G170)+1&lt;Reprogramaciones!Q$14)*$G170:$P170)+N(INDEX($G170:$P170,1,Reprogramaciones!Q$14))*IF(Reprogramaciones!Q$13&gt;=(Reprogramaciones!$T$15+7*(Reprogramaciones!Q$14-1))+6,1,IF(MAX(0,NETWORKDAYS.INTL(MAX(E170,(Reprogramaciones!$T$15+7*(Reprogramaciones!Q$14-1))),MIN(F170,(Reprogramaciones!$T$15+7*(Reprogramaciones!Q$14-1))+6),11))=0,0,MAX(0,NETWORKDAYS.INTL(MAX(E170,(Reprogramaciones!$T$15+7*(Reprogramaciones!Q$14-1))),MIN(F170,Reprogramaciones!Q$13),11))/MAX(0,NETWORKDAYS.INTL(MAX(E170,(Reprogramaciones!$T$15+7*(Reprogramaciones!Q$14-1))),MIN(F170,(Reprogramaciones!$T$15+7*(Reprogramaciones!Q$14-1))+6),11))))))))</f>
        <v/>
      </c>
      <c r="CA170" s="1" t="str">
        <f aca="false">IF(OR(NOT(AND(ISNUMBER(E170),ISNUMBER(F170))),$J$2=""),"",IF(Reprogramaciones!R$13&lt;Reprogramaciones!$T$15,0,IF(Reprogramaciones!R$14&gt;10,MIN(100,SUM($G170:$P170)),MIN(100,SUMPRODUCT((COLUMN($G170:$P170)-COLUMN($G170)+1&lt;Reprogramaciones!R$14)*$G170:$P170)+N(INDEX($G170:$P170,1,Reprogramaciones!R$14))*IF(Reprogramaciones!R$13&gt;=(Reprogramaciones!$T$15+7*(Reprogramaciones!R$14-1))+6,1,IF(MAX(0,NETWORKDAYS.INTL(MAX(E170,(Reprogramaciones!$T$15+7*(Reprogramaciones!R$14-1))),MIN(F170,(Reprogramaciones!$T$15+7*(Reprogramaciones!R$14-1))+6),11))=0,0,MAX(0,NETWORKDAYS.INTL(MAX(E170,(Reprogramaciones!$T$15+7*(Reprogramaciones!R$14-1))),MIN(F170,Reprogramaciones!R$13),11))/MAX(0,NETWORKDAYS.INTL(MAX(E170,(Reprogramaciones!$T$15+7*(Reprogramaciones!R$14-1))),MIN(F170,(Reprogramaciones!$T$15+7*(Reprogramaciones!R$14-1))+6),11))))))))</f>
        <v/>
      </c>
      <c r="CB170" s="1" t="str">
        <f aca="false">IF(OR(NOT(AND(ISNUMBER(E170),ISNUMBER(F170))),$J$2=""),"",IF(Reprogramaciones!S$13&lt;Reprogramaciones!$T$15,0,IF(Reprogramaciones!S$14&gt;10,MIN(100,SUM($G170:$P170)),MIN(100,SUMPRODUCT((COLUMN($G170:$P170)-COLUMN($G170)+1&lt;Reprogramaciones!S$14)*$G170:$P170)+N(INDEX($G170:$P170,1,Reprogramaciones!S$14))*IF(Reprogramaciones!S$13&gt;=(Reprogramaciones!$T$15+7*(Reprogramaciones!S$14-1))+6,1,IF(MAX(0,NETWORKDAYS.INTL(MAX(E170,(Reprogramaciones!$T$15+7*(Reprogramaciones!S$14-1))),MIN(F170,(Reprogramaciones!$T$15+7*(Reprogramaciones!S$14-1))+6),11))=0,0,MAX(0,NETWORKDAYS.INTL(MAX(E170,(Reprogramaciones!$T$15+7*(Reprogramaciones!S$14-1))),MIN(F170,Reprogramaciones!S$13),11))/MAX(0,NETWORKDAYS.INTL(MAX(E170,(Reprogramaciones!$T$15+7*(Reprogramaciones!S$14-1))),MIN(F170,(Reprogramaciones!$T$15+7*(Reprogramaciones!S$14-1))+6),11))))))))</f>
        <v/>
      </c>
      <c r="CC170" s="1" t="str">
        <f aca="false">IF(OR(NOT(AND(ISNUMBER(E170),ISNUMBER(F170))),$J$2=""),"",IF(Reprogramaciones!T$13&lt;Reprogramaciones!$T$15,0,IF(Reprogramaciones!T$14&gt;10,MIN(100,SUM($G170:$P170)),MIN(100,SUMPRODUCT((COLUMN($G170:$P170)-COLUMN($G170)+1&lt;Reprogramaciones!T$14)*$G170:$P170)+N(INDEX($G170:$P170,1,Reprogramaciones!T$14))*IF(Reprogramaciones!T$13&gt;=(Reprogramaciones!$T$15+7*(Reprogramaciones!T$14-1))+6,1,IF(MAX(0,NETWORKDAYS.INTL(MAX(E170,(Reprogramaciones!$T$15+7*(Reprogramaciones!T$14-1))),MIN(F170,(Reprogramaciones!$T$15+7*(Reprogramaciones!T$14-1))+6),11))=0,0,MAX(0,NETWORKDAYS.INTL(MAX(E170,(Reprogramaciones!$T$15+7*(Reprogramaciones!T$14-1))),MIN(F170,Reprogramaciones!T$13),11))/MAX(0,NETWORKDAYS.INTL(MAX(E170,(Reprogramaciones!$T$15+7*(Reprogramaciones!T$14-1))),MIN(F170,(Reprogramaciones!$T$15+7*(Reprogramaciones!T$14-1))+6),11))))))))</f>
        <v/>
      </c>
      <c r="CD170" s="1" t="str">
        <f aca="false">IF(OR(NOT(AND(ISNUMBER(E170),ISNUMBER(F170))),$J$2=""),"",IF(Reprogramaciones!U$13&lt;Reprogramaciones!$T$15,0,IF(Reprogramaciones!U$14&gt;10,MIN(100,SUM($G170:$P170)),MIN(100,SUMPRODUCT((COLUMN($G170:$P170)-COLUMN($G170)+1&lt;Reprogramaciones!U$14)*$G170:$P170)+N(INDEX($G170:$P170,1,Reprogramaciones!U$14))*IF(Reprogramaciones!U$13&gt;=(Reprogramaciones!$T$15+7*(Reprogramaciones!U$14-1))+6,1,IF(MAX(0,NETWORKDAYS.INTL(MAX(E170,(Reprogramaciones!$T$15+7*(Reprogramaciones!U$14-1))),MIN(F170,(Reprogramaciones!$T$15+7*(Reprogramaciones!U$14-1))+6),11))=0,0,MAX(0,NETWORKDAYS.INTL(MAX(E170,(Reprogramaciones!$T$15+7*(Reprogramaciones!U$14-1))),MIN(F170,Reprogramaciones!U$13),11))/MAX(0,NETWORKDAYS.INTL(MAX(E170,(Reprogramaciones!$T$15+7*(Reprogramaciones!U$14-1))),MIN(F170,(Reprogramaciones!$T$15+7*(Reprogramaciones!U$14-1))+6),11))))))))</f>
        <v/>
      </c>
      <c r="CE170" s="1" t="str">
        <f aca="false">IF(OR(NOT(AND(ISNUMBER(E170),ISNUMBER(F170))),$J$2=""),"",IF(Reprogramaciones!V$13&lt;Reprogramaciones!$T$15,0,IF(Reprogramaciones!V$14&gt;10,MIN(100,SUM($G170:$P170)),MIN(100,SUMPRODUCT((COLUMN($G170:$P170)-COLUMN($G170)+1&lt;Reprogramaciones!V$14)*$G170:$P170)+N(INDEX($G170:$P170,1,Reprogramaciones!V$14))*IF(Reprogramaciones!V$13&gt;=(Reprogramaciones!$T$15+7*(Reprogramaciones!V$14-1))+6,1,IF(MAX(0,NETWORKDAYS.INTL(MAX(E170,(Reprogramaciones!$T$15+7*(Reprogramaciones!V$14-1))),MIN(F170,(Reprogramaciones!$T$15+7*(Reprogramaciones!V$14-1))+6),11))=0,0,MAX(0,NETWORKDAYS.INTL(MAX(E170,(Reprogramaciones!$T$15+7*(Reprogramaciones!V$14-1))),MIN(F170,Reprogramaciones!V$13),11))/MAX(0,NETWORKDAYS.INTL(MAX(E170,(Reprogramaciones!$T$15+7*(Reprogramaciones!V$14-1))),MIN(F170,(Reprogramaciones!$T$15+7*(Reprogramaciones!V$14-1))+6),11))))))))</f>
        <v/>
      </c>
      <c r="CF170" s="1" t="str">
        <f aca="false">IF(OR(NOT(AND(ISNUMBER(E170),ISNUMBER(F170))),$J$2=""),"",IF(Reprogramaciones!W$13&lt;Reprogramaciones!$T$15,0,IF(Reprogramaciones!W$14&gt;10,MIN(100,SUM($G170:$P170)),MIN(100,SUMPRODUCT((COLUMN($G170:$P170)-COLUMN($G170)+1&lt;Reprogramaciones!W$14)*$G170:$P170)+N(INDEX($G170:$P170,1,Reprogramaciones!W$14))*IF(Reprogramaciones!W$13&gt;=(Reprogramaciones!$T$15+7*(Reprogramaciones!W$14-1))+6,1,IF(MAX(0,NETWORKDAYS.INTL(MAX(E170,(Reprogramaciones!$T$15+7*(Reprogramaciones!W$14-1))),MIN(F170,(Reprogramaciones!$T$15+7*(Reprogramaciones!W$14-1))+6),11))=0,0,MAX(0,NETWORKDAYS.INTL(MAX(E170,(Reprogramaciones!$T$15+7*(Reprogramaciones!W$14-1))),MIN(F170,Reprogramaciones!W$13),11))/MAX(0,NETWORKDAYS.INTL(MAX(E170,(Reprogramaciones!$T$15+7*(Reprogramaciones!W$14-1))),MIN(F170,(Reprogramaciones!$T$15+7*(Reprogramaciones!W$14-1))+6),11))))))))</f>
        <v/>
      </c>
      <c r="CG170" s="1" t="str">
        <f aca="false">IF(OR(NOT(AND(ISNUMBER(E170),ISNUMBER(F170))),$J$2=""),"",IF(Reprogramaciones!X$13&lt;Reprogramaciones!$T$15,0,IF(Reprogramaciones!X$14&gt;10,MIN(100,SUM($G170:$P170)),MIN(100,SUMPRODUCT((COLUMN($G170:$P170)-COLUMN($G170)+1&lt;Reprogramaciones!X$14)*$G170:$P170)+N(INDEX($G170:$P170,1,Reprogramaciones!X$14))*IF(Reprogramaciones!X$13&gt;=(Reprogramaciones!$T$15+7*(Reprogramaciones!X$14-1))+6,1,IF(MAX(0,NETWORKDAYS.INTL(MAX(E170,(Reprogramaciones!$T$15+7*(Reprogramaciones!X$14-1))),MIN(F170,(Reprogramaciones!$T$15+7*(Reprogramaciones!X$14-1))+6),11))=0,0,MAX(0,NETWORKDAYS.INTL(MAX(E170,(Reprogramaciones!$T$15+7*(Reprogramaciones!X$14-1))),MIN(F170,Reprogramaciones!X$13),11))/MAX(0,NETWORKDAYS.INTL(MAX(E170,(Reprogramaciones!$T$15+7*(Reprogramaciones!X$14-1))),MIN(F170,(Reprogramaciones!$T$15+7*(Reprogramaciones!X$14-1))+6),11))))))))</f>
        <v/>
      </c>
      <c r="CH170" s="1" t="str">
        <f aca="false">IF(OR(NOT(AND(ISNUMBER(E170),ISNUMBER(F170))),$J$2=""),"",IF(Reprogramaciones!Y$13&lt;Reprogramaciones!$T$15,0,IF(Reprogramaciones!Y$14&gt;10,MIN(100,SUM($G170:$P170)),MIN(100,SUMPRODUCT((COLUMN($G170:$P170)-COLUMN($G170)+1&lt;Reprogramaciones!Y$14)*$G170:$P170)+N(INDEX($G170:$P170,1,Reprogramaciones!Y$14))*IF(Reprogramaciones!Y$13&gt;=(Reprogramaciones!$T$15+7*(Reprogramaciones!Y$14-1))+6,1,IF(MAX(0,NETWORKDAYS.INTL(MAX(E170,(Reprogramaciones!$T$15+7*(Reprogramaciones!Y$14-1))),MIN(F170,(Reprogramaciones!$T$15+7*(Reprogramaciones!Y$14-1))+6),11))=0,0,MAX(0,NETWORKDAYS.INTL(MAX(E170,(Reprogramaciones!$T$15+7*(Reprogramaciones!Y$14-1))),MIN(F170,Reprogramaciones!Y$13),11))/MAX(0,NETWORKDAYS.INTL(MAX(E170,(Reprogramaciones!$T$15+7*(Reprogramaciones!Y$14-1))),MIN(F170,(Reprogramaciones!$T$15+7*(Reprogramaciones!Y$14-1))+6),11))))))))</f>
        <v/>
      </c>
      <c r="CI170" s="1" t="str">
        <f aca="false">IF(OR(NOT(AND(ISNUMBER(E170),ISNUMBER(F170))),$J$2=""),"",IF(Reprogramaciones!Z$13&lt;Reprogramaciones!$T$15,0,IF(Reprogramaciones!Z$14&gt;10,MIN(100,SUM($G170:$P170)),MIN(100,SUMPRODUCT((COLUMN($G170:$P170)-COLUMN($G170)+1&lt;Reprogramaciones!Z$14)*$G170:$P170)+N(INDEX($G170:$P170,1,Reprogramaciones!Z$14))*IF(Reprogramaciones!Z$13&gt;=(Reprogramaciones!$T$15+7*(Reprogramaciones!Z$14-1))+6,1,IF(MAX(0,NETWORKDAYS.INTL(MAX(E170,(Reprogramaciones!$T$15+7*(Reprogramaciones!Z$14-1))),MIN(F170,(Reprogramaciones!$T$15+7*(Reprogramaciones!Z$14-1))+6),11))=0,0,MAX(0,NETWORKDAYS.INTL(MAX(E170,(Reprogramaciones!$T$15+7*(Reprogramaciones!Z$14-1))),MIN(F170,Reprogramaciones!Z$13),11))/MAX(0,NETWORKDAYS.INTL(MAX(E170,(Reprogramaciones!$T$15+7*(Reprogramaciones!Z$14-1))),MIN(F170,(Reprogramaciones!$T$15+7*(Reprogramaciones!Z$14-1))+6),11))))))))</f>
        <v/>
      </c>
      <c r="CJ170" s="1" t="str">
        <f aca="false">IF(OR(OR(NOT(AND(ISNUMBER(E170),ISNUMBER(F170))),$J$2=""),1&gt;Reprogramaciones!$K$16),"",IF(ROUND(SUM($Q170:Q170),1)&gt;=99.5,100,MIN(100,ROUND(SUM($Q170:Q170),1))))</f>
        <v/>
      </c>
      <c r="CK170" s="1" t="str">
        <f aca="false">IF(OR(OR(NOT(AND(ISNUMBER(E170),ISNUMBER(F170))),$J$2=""),2&gt;Reprogramaciones!$K$16),"",IF(ROUND(SUM($Q170:R170),1)&gt;=99.5,100,MIN(100,ROUND(SUM($Q170:R170),1))))</f>
        <v/>
      </c>
      <c r="CL170" s="1" t="str">
        <f aca="false">IF(OR(OR(NOT(AND(ISNUMBER(E170),ISNUMBER(F170))),$J$2=""),3&gt;Reprogramaciones!$K$16),"",IF(ROUND(SUM($Q170:S170),1)&gt;=99.5,100,MIN(100,ROUND(SUM($Q170:S170),1))))</f>
        <v/>
      </c>
      <c r="CM170" s="1" t="str">
        <f aca="false">IF(OR(OR(NOT(AND(ISNUMBER(E170),ISNUMBER(F170))),$J$2=""),4&gt;Reprogramaciones!$K$16),"",IF(ROUND(SUM($Q170:T170),1)&gt;=99.5,100,MIN(100,ROUND(SUM($Q170:T170),1))))</f>
        <v/>
      </c>
      <c r="CN170" s="1" t="str">
        <f aca="false">IF(OR(OR(NOT(AND(ISNUMBER(E170),ISNUMBER(F170))),$J$2=""),5&gt;Reprogramaciones!$K$16),"",IF(ROUND(SUM($Q170:U170),1)&gt;=99.5,100,MIN(100,ROUND(SUM($Q170:U170),1))))</f>
        <v/>
      </c>
      <c r="CO170" s="1" t="str">
        <f aca="false">IF(OR(OR(NOT(AND(ISNUMBER(E170),ISNUMBER(F170))),$J$2=""),6&gt;Reprogramaciones!$K$16),"",IF(ROUND(SUM($Q170:V170),1)&gt;=99.5,100,MIN(100,ROUND(SUM($Q170:V170),1))))</f>
        <v/>
      </c>
      <c r="CP170" s="1" t="str">
        <f aca="false">IF(OR(OR(NOT(AND(ISNUMBER(E170),ISNUMBER(F170))),$J$2=""),7&gt;Reprogramaciones!$K$16),"",IF(ROUND(SUM($Q170:W170),1)&gt;=99.5,100,MIN(100,ROUND(SUM($Q170:W170),1))))</f>
        <v/>
      </c>
      <c r="CQ170" s="1" t="str">
        <f aca="false">IF(OR(OR(NOT(AND(ISNUMBER(E170),ISNUMBER(F170))),$J$2=""),8&gt;Reprogramaciones!$K$16),"",IF(ROUND(SUM($Q170:X170),1)&gt;=99.5,100,MIN(100,ROUND(SUM($Q170:X170),1))))</f>
        <v/>
      </c>
      <c r="CR170" s="1" t="str">
        <f aca="false">IF(OR(OR(NOT(AND(ISNUMBER(E170),ISNUMBER(F170))),$J$2=""),9&gt;Reprogramaciones!$K$16),"",IF(ROUND(SUM($Q170:Y170),1)&gt;=99.5,100,MIN(100,ROUND(SUM($Q170:Y170),1))))</f>
        <v/>
      </c>
      <c r="CS170" s="1" t="str">
        <f aca="false">IF(OR(OR(NOT(AND(ISNUMBER(E170),ISNUMBER(F170))),$J$2=""),10&gt;Reprogramaciones!$K$16),"",IF(ROUND(SUM($Q170:Z170),1)&gt;=99.5,100,MIN(100,ROUND(SUM($Q170:Z170),1))))</f>
        <v/>
      </c>
      <c r="CT170" s="1" t="str">
        <f aca="false">IF(OR(OR(NOT(AND(ISNUMBER(E170),ISNUMBER(F170))),$J$2=""),11&gt;Reprogramaciones!$K$16),"",IF(ROUND(SUM($Q170:AA170),1)&gt;=99.5,100,MIN(100,ROUND(SUM($Q170:AA170),1))))</f>
        <v/>
      </c>
      <c r="CU170" s="1" t="str">
        <f aca="false">IF(OR(OR(NOT(AND(ISNUMBER(E170),ISNUMBER(F170))),$J$2=""),12&gt;Reprogramaciones!$K$16),"",IF(ROUND(SUM($Q170:AB170),1)&gt;=99.5,100,MIN(100,ROUND(SUM($Q170:AB170),1))))</f>
        <v/>
      </c>
      <c r="CV170" s="1" t="str">
        <f aca="false">IF(OR(OR(NOT(AND(ISNUMBER(E170),ISNUMBER(F170))),$J$2=""),13&gt;Reprogramaciones!$K$16),"",IF(ROUND(SUM($Q170:AC170),1)&gt;=99.5,100,MIN(100,ROUND(SUM($Q170:AC170),1))))</f>
        <v/>
      </c>
      <c r="CW170" s="1" t="str">
        <f aca="false">IF(OR(OR(NOT(AND(ISNUMBER(E170),ISNUMBER(F170))),$J$2=""),14&gt;Reprogramaciones!$K$16),"",IF(ROUND(SUM($Q170:AD170),1)&gt;=99.5,100,MIN(100,ROUND(SUM($Q170:AD170),1))))</f>
        <v/>
      </c>
      <c r="CX170" s="1" t="str">
        <f aca="false">IF(OR(OR(NOT(AND(ISNUMBER(E170),ISNUMBER(F170))),$J$2=""),15&gt;Reprogramaciones!$K$16),"",IF(ROUND(SUM($Q170:AE170),1)&gt;=99.5,100,MIN(100,ROUND(SUM($Q170:AE170),1))))</f>
        <v/>
      </c>
      <c r="CY170" s="1" t="str">
        <f aca="false">IF(OR(OR(NOT(AND(ISNUMBER(E170),ISNUMBER(F170))),$J$2=""),16&gt;Reprogramaciones!$K$16),"",IF(ROUND(SUM($Q170:AF170),1)&gt;=99.5,100,MIN(100,ROUND(SUM($Q170:AF170),1))))</f>
        <v/>
      </c>
      <c r="CZ170" s="1" t="str">
        <f aca="false">IF(D170&lt;&gt;"",D170,IF(B170&lt;&gt;"","Contractual",CZ169))</f>
        <v>Contractual</v>
      </c>
      <c r="DA170" s="1" t="str">
        <f aca="false">IF(OR(NOT(AND(ISNUMBER(E170),ISNUMBER(F170))),$J$2=""),"",IF(Reprogramaciones!$Q$15&lt;Reprogramaciones!$T$15,0,IF(Reprogramaciones!$S$15&gt;10,MIN(100,SUM($G170:$P170)),MIN(100,SUMPRODUCT((COLUMN($G170:$P170)-COLUMN($G170)+1&lt;Reprogramaciones!$S$15)*$G170:$P170)+N(INDEX($G170:$P170,1,Reprogramaciones!$S$15))*IF(Reprogramaciones!$Q$15&gt;=(Reprogramaciones!$T$15+7*(Reprogramaciones!$S$15-1))+6,1,IF(MAX(0,NETWORKDAYS.INTL(MAX(E170,(Reprogramaciones!$T$15+7*(Reprogramaciones!$S$15-1))),MIN(F170,(Reprogramaciones!$T$15+7*(Reprogramaciones!$S$15-1))+6),11))=0,0,MAX(0,NETWORKDAYS.INTL(MAX(E170,(Reprogramaciones!$T$15+7*(Reprogramaciones!$S$15-1))),MIN(F170,Reprogramaciones!$Q$15),11))/MAX(0,NETWORKDAYS.INTL(MAX(E170,(Reprogramaciones!$T$15+7*(Reprogramaciones!$S$15-1))),MIN(F170,(Reprogramaciones!$T$15+7*(Reprogramaciones!$S$15-1))+6),11))))))))</f>
        <v/>
      </c>
    </row>
    <row r="171" customFormat="false" ht="15" hidden="false" customHeight="false" outlineLevel="0" collapsed="false">
      <c r="A171" s="32"/>
      <c r="B171" s="33"/>
      <c r="C171" s="33"/>
      <c r="D171" s="34"/>
      <c r="E171" s="35"/>
      <c r="F171" s="35"/>
      <c r="G171" s="36" t="str">
        <f aca="false">IF(OR(NOT(AND(ISNUMBER(E171),ISNUMBER(F171))),$J$2=""),"",IF(Reprogramaciones!K$9&lt;E171,0,IF(NETWORKDAYS.INTL(E171,F171,11)=0,IF(Reprogramaciones!K$9&gt;=F171,100,0),ROUND(NETWORKDAYS.INTL(E171,MIN(F171,Reprogramaciones!K$9),11)/NETWORKDAYS.INTL(E171,F171,11)*100,1)))-0)</f>
        <v/>
      </c>
      <c r="H171" s="36" t="str">
        <f aca="false">IF(OR(NOT(AND(ISNUMBER(E171),ISNUMBER(F171))),$J$2=""),"",IF(Reprogramaciones!L$9&lt;E171,0,IF(NETWORKDAYS.INTL(E171,F171,11)=0,IF(Reprogramaciones!L$9&gt;=F171,100,0),ROUND(NETWORKDAYS.INTL(E171,MIN(F171,Reprogramaciones!L$9),11)/NETWORKDAYS.INTL(E171,F171,11)*100,1)))-IF(Reprogramaciones!K$9&lt;E171,0,IF(NETWORKDAYS.INTL(E171,F171,11)=0,IF(Reprogramaciones!K$9&gt;=F171,100,0),ROUND(NETWORKDAYS.INTL(E171,MIN(F171,Reprogramaciones!K$9),11)/NETWORKDAYS.INTL(E171,F171,11)*100,1))))</f>
        <v/>
      </c>
      <c r="I171" s="36" t="str">
        <f aca="false">IF(OR(NOT(AND(ISNUMBER(E171),ISNUMBER(F171))),$J$2=""),"",IF(Reprogramaciones!M$9&lt;E171,0,IF(NETWORKDAYS.INTL(E171,F171,11)=0,IF(Reprogramaciones!M$9&gt;=F171,100,0),ROUND(NETWORKDAYS.INTL(E171,MIN(F171,Reprogramaciones!M$9),11)/NETWORKDAYS.INTL(E171,F171,11)*100,1)))-IF(Reprogramaciones!L$9&lt;E171,0,IF(NETWORKDAYS.INTL(E171,F171,11)=0,IF(Reprogramaciones!L$9&gt;=F171,100,0),ROUND(NETWORKDAYS.INTL(E171,MIN(F171,Reprogramaciones!L$9),11)/NETWORKDAYS.INTL(E171,F171,11)*100,1))))</f>
        <v/>
      </c>
      <c r="J171" s="36" t="str">
        <f aca="false">IF(OR(NOT(AND(ISNUMBER(E171),ISNUMBER(F171))),$J$2=""),"",IF(Reprogramaciones!N$9&lt;E171,0,IF(NETWORKDAYS.INTL(E171,F171,11)=0,IF(Reprogramaciones!N$9&gt;=F171,100,0),ROUND(NETWORKDAYS.INTL(E171,MIN(F171,Reprogramaciones!N$9),11)/NETWORKDAYS.INTL(E171,F171,11)*100,1)))-IF(Reprogramaciones!M$9&lt;E171,0,IF(NETWORKDAYS.INTL(E171,F171,11)=0,IF(Reprogramaciones!M$9&gt;=F171,100,0),ROUND(NETWORKDAYS.INTL(E171,MIN(F171,Reprogramaciones!M$9),11)/NETWORKDAYS.INTL(E171,F171,11)*100,1))))</f>
        <v/>
      </c>
      <c r="K171" s="36" t="str">
        <f aca="false">IF(OR(NOT(AND(ISNUMBER(E171),ISNUMBER(F171))),$J$2=""),"",IF(Reprogramaciones!O$9&lt;E171,0,IF(NETWORKDAYS.INTL(E171,F171,11)=0,IF(Reprogramaciones!O$9&gt;=F171,100,0),ROUND(NETWORKDAYS.INTL(E171,MIN(F171,Reprogramaciones!O$9),11)/NETWORKDAYS.INTL(E171,F171,11)*100,1)))-IF(Reprogramaciones!N$9&lt;E171,0,IF(NETWORKDAYS.INTL(E171,F171,11)=0,IF(Reprogramaciones!N$9&gt;=F171,100,0),ROUND(NETWORKDAYS.INTL(E171,MIN(F171,Reprogramaciones!N$9),11)/NETWORKDAYS.INTL(E171,F171,11)*100,1))))</f>
        <v/>
      </c>
      <c r="L171" s="36" t="str">
        <f aca="false">IF(OR(NOT(AND(ISNUMBER(E171),ISNUMBER(F171))),$J$2=""),"",IF(Reprogramaciones!P$9&lt;E171,0,IF(NETWORKDAYS.INTL(E171,F171,11)=0,IF(Reprogramaciones!P$9&gt;=F171,100,0),ROUND(NETWORKDAYS.INTL(E171,MIN(F171,Reprogramaciones!P$9),11)/NETWORKDAYS.INTL(E171,F171,11)*100,1)))-IF(Reprogramaciones!O$9&lt;E171,0,IF(NETWORKDAYS.INTL(E171,F171,11)=0,IF(Reprogramaciones!O$9&gt;=F171,100,0),ROUND(NETWORKDAYS.INTL(E171,MIN(F171,Reprogramaciones!O$9),11)/NETWORKDAYS.INTL(E171,F171,11)*100,1))))</f>
        <v/>
      </c>
      <c r="M171" s="36" t="str">
        <f aca="false">IF(OR(NOT(AND(ISNUMBER(E171),ISNUMBER(F171))),$J$2=""),"",IF(Reprogramaciones!Q$9&lt;E171,0,IF(NETWORKDAYS.INTL(E171,F171,11)=0,IF(Reprogramaciones!Q$9&gt;=F171,100,0),ROUND(NETWORKDAYS.INTL(E171,MIN(F171,Reprogramaciones!Q$9),11)/NETWORKDAYS.INTL(E171,F171,11)*100,1)))-IF(Reprogramaciones!P$9&lt;E171,0,IF(NETWORKDAYS.INTL(E171,F171,11)=0,IF(Reprogramaciones!P$9&gt;=F171,100,0),ROUND(NETWORKDAYS.INTL(E171,MIN(F171,Reprogramaciones!P$9),11)/NETWORKDAYS.INTL(E171,F171,11)*100,1))))</f>
        <v/>
      </c>
      <c r="N171" s="36" t="str">
        <f aca="false">IF(OR(NOT(AND(ISNUMBER(E171),ISNUMBER(F171))),$J$2=""),"",IF(Reprogramaciones!R$9&lt;E171,0,IF(NETWORKDAYS.INTL(E171,F171,11)=0,IF(Reprogramaciones!R$9&gt;=F171,100,0),ROUND(NETWORKDAYS.INTL(E171,MIN(F171,Reprogramaciones!R$9),11)/NETWORKDAYS.INTL(E171,F171,11)*100,1)))-IF(Reprogramaciones!Q$9&lt;E171,0,IF(NETWORKDAYS.INTL(E171,F171,11)=0,IF(Reprogramaciones!Q$9&gt;=F171,100,0),ROUND(NETWORKDAYS.INTL(E171,MIN(F171,Reprogramaciones!Q$9),11)/NETWORKDAYS.INTL(E171,F171,11)*100,1))))</f>
        <v/>
      </c>
      <c r="O171" s="36" t="str">
        <f aca="false">IF(OR(NOT(AND(ISNUMBER(E171),ISNUMBER(F171))),$J$2=""),"",IF(Reprogramaciones!S$9&lt;E171,0,IF(NETWORKDAYS.INTL(E171,F171,11)=0,IF(Reprogramaciones!S$9&gt;=F171,100,0),ROUND(NETWORKDAYS.INTL(E171,MIN(F171,Reprogramaciones!S$9),11)/NETWORKDAYS.INTL(E171,F171,11)*100,1)))-IF(Reprogramaciones!R$9&lt;E171,0,IF(NETWORKDAYS.INTL(E171,F171,11)=0,IF(Reprogramaciones!R$9&gt;=F171,100,0),ROUND(NETWORKDAYS.INTL(E171,MIN(F171,Reprogramaciones!R$9),11)/NETWORKDAYS.INTL(E171,F171,11)*100,1))))</f>
        <v/>
      </c>
      <c r="P171" s="36" t="str">
        <f aca="false">IF(OR(NOT(AND(ISNUMBER(E171),ISNUMBER(F171))),$J$2=""),"",IF(Reprogramaciones!T$9&lt;E171,0,IF(NETWORKDAYS.INTL(E171,F171,11)=0,IF(Reprogramaciones!T$9&gt;=F171,100,0),ROUND(NETWORKDAYS.INTL(E171,MIN(F171,Reprogramaciones!T$9),11)/NETWORKDAYS.INTL(E171,F171,11)*100,1)))-IF(Reprogramaciones!S$9&lt;E171,0,IF(NETWORKDAYS.INTL(E171,F171,11)=0,IF(Reprogramaciones!S$9&gt;=F171,100,0),ROUND(NETWORKDAYS.INTL(E171,MIN(F171,Reprogramaciones!S$9),11)/NETWORKDAYS.INTL(E171,F171,11)*100,1))))</f>
        <v/>
      </c>
      <c r="Q171" s="37"/>
      <c r="R171" s="37"/>
      <c r="S171" s="37"/>
      <c r="T171" s="37"/>
      <c r="U171" s="37"/>
      <c r="V171" s="37"/>
      <c r="W171" s="37"/>
      <c r="X171" s="37"/>
      <c r="Y171" s="37"/>
      <c r="Z171" s="37"/>
      <c r="AA171" s="37"/>
      <c r="AB171" s="37"/>
      <c r="AC171" s="37"/>
      <c r="AD171" s="37"/>
      <c r="AE171" s="37"/>
      <c r="AF171" s="37"/>
      <c r="AG171" s="38" t="str">
        <f aca="false">IF(AND(ISNUMBER(E171),ISNUMBER(F171)),NETWORKDAYS.INTL(E171,F171,11),"")</f>
        <v/>
      </c>
      <c r="AH171" s="38" t="str">
        <f aca="false">IF(OR(NOT(AND(ISNUMBER(E171),ISNUMBER(F171))),$J$2=""),"",IF(Reprogramaciones!$P$15&lt;Reprogramaciones!$T$15,0,IF(Reprogramaciones!$R$15&gt;10,MIN(100,SUM($G171:$P171)),MIN(100,SUMPRODUCT((COLUMN($G171:$P171)-COLUMN($G171)+1&lt;Reprogramaciones!$R$15)*$G171:$P171)+N(INDEX($G171:$P171,1,Reprogramaciones!$R$15))*IF(Reprogramaciones!$P$15&gt;=(Reprogramaciones!$T$15+7*(Reprogramaciones!$R$15-1))+6,1,IF(MAX(0,NETWORKDAYS.INTL(MAX(E171,(Reprogramaciones!$T$15+7*(Reprogramaciones!$R$15-1))),MIN(F171,(Reprogramaciones!$T$15+7*(Reprogramaciones!$R$15-1))+6),11))=0,0,MAX(0,NETWORKDAYS.INTL(MAX(E171,(Reprogramaciones!$T$15+7*(Reprogramaciones!$R$15-1))),MIN(F171,Reprogramaciones!$P$15),11))/MAX(0,NETWORKDAYS.INTL(MAX(E171,(Reprogramaciones!$T$15+7*(Reprogramaciones!$R$15-1))),MIN(F171,(Reprogramaciones!$T$15+7*(Reprogramaciones!$R$15-1))+6),11))))))))</f>
        <v/>
      </c>
      <c r="AI171" s="38" t="str">
        <f aca="false">IF(COUNT($Q171:$AF171)=0,"",IF(ROUND(SUM($Q171:$AF171),1)&gt;=99.5,100,MIN(100,ROUND(SUM($Q171:$AF171),1))))</f>
        <v/>
      </c>
      <c r="AJ171" s="38" t="str">
        <f aca="false">IF(OR(AH171="",AI171=""),"",AI171-AH171)</f>
        <v/>
      </c>
      <c r="AK171" s="39" t="str">
        <f aca="true">IF(AH171="","",IF(OR(Ficha!$C$10="Suspendida",Ficha!$C$10="Cancelada"),Ficha!$C$10,IF(AND(AI171&lt;&gt;"",N(AI171)&gt;=100),"Completada",IF(AND(E171&gt;TODAY(),N(AI171)=0),"Por iniciar",IF(N(AI171)+0.5&lt;AH171,"Retrasada",IF(N(AI171)+0.5&lt;DA171,IF(Reprogramaciones!$K$15&gt;0,"Al día · Sem "&amp;Reprogramaciones!$K$15&amp;" en curso","Al día · en curso"),"A tiempo"))))))</f>
        <v/>
      </c>
      <c r="AL171" s="39" t="str">
        <f aca="true">IF(AND(A171="",AND(B171="",C171="",E171="",F171="",COUNT(Q171:AF171)=0)),"",IF(AND(B171="",C171="",E171="",F171="",COUNT(Q171:AF171)=0),"Falta la partida o subpartida",IF(AND(A171&lt;&gt;"",COUNTIF($A$6:$A$305,A171)&gt;1),"Ítem repetido",IF(AND(C171="",E171="",F171="",COUNT(Q171:AF171)=0),"Título de partida",IF(OR(E171="",F171=""),"Faltan fechas",IF(OR(ISTEXT(E171),ISTEXT(F171)),"Fecha escrita como texto: usa dd/mm/aaaa",IF(F171&lt;E171,"Fin antes del inicio",IF(IF($J$2="",FALSE(),OR(E171&lt;$J$2,F171&gt;Reprogramaciones!$T$15+69)),"Fuera de las 10 semanas",IF(ABS(SUM(G171:P171)-100)&gt;0.5,"La meta no suma 100%",IF(ROUND(SUM(Q171:AF171),1)&gt;100.5,"El avance pasa de 100%",IF(MIN(Q171:AF171)&lt;0,"Avance negativo",IF(COUNTA(Q171:AF171)&gt;COUNT(Q171:AF171),"Avance escrito como texto",IF(SUMPRODUCT((Q171:AF171&gt;0)*(Q171:AF171&lt;1))&gt;0,"Avance menor a 1: escribe 50, no 50%",IF(SUMPRODUCT(ISNUMBER(Q171:AF171)*(Reprogramaciones!$K$8:$Z$8&gt;TODAY()))&gt;0,"Avance en semana que aún no llega",IF(AND(N(Reprogramaciones!$E$21)&gt;0,F171&gt;Reprogramaciones!$E$21),"Pasa el fin de la obra: registra una reprogramación",IF(AND(N(Reprogramaciones!$E$21)&gt;0,SUMPRODUCT(ISNUMBER(Q171:AF171)*(Reprogramaciones!$K$8:$Z$8&gt;Reprogramaciones!$E$21))&gt;0),"Avance después del fin de la obra: registra una reprogramación por atraso","OK"))))))))))))))))</f>
        <v/>
      </c>
      <c r="AM171" s="40" t="str">
        <f aca="false">IF(OR(OR(NOT(AND(ISNUMBER(E171),ISNUMBER(F171))),$J$2=""),1&gt;MAX(1,Reprogramaciones!$U$15)),"",IF(Reprogramaciones!K$12&gt;=7,"",IF(OR(BT171-N(0)&gt;0.05,N(Q171)&gt;0),ROUNDDOWN(ROUND(BT171,6),0)&amp;"%"&amp;IF(CJ171="",""," / "&amp;CJ171&amp;"%"),IF(AND(N(0)&gt;=99.95,CJ171&lt;&gt;"",N(CJ171)&lt;100),"Pend. "&amp;CJ171&amp;"%",""))))</f>
        <v/>
      </c>
      <c r="AN171" s="40" t="str">
        <f aca="false">IF(OR(OR(NOT(AND(ISNUMBER(E171),ISNUMBER(F171))),$J$2=""),2&gt;MAX(1,Reprogramaciones!$U$15)),"",IF(Reprogramaciones!L$12&gt;=7,"",IF(OR(BU171-N(BT171)&gt;0.05,N(R171)&gt;0),ROUNDDOWN(ROUND(BU171,6),0)&amp;"%"&amp;IF(CK171="",""," / "&amp;CK171&amp;"%"),IF(AND(N(BT171)&gt;=99.95,CK171&lt;&gt;"",N(CK171)&lt;100),"Pend. "&amp;CK171&amp;"%",""))))</f>
        <v/>
      </c>
      <c r="AO171" s="40" t="str">
        <f aca="false">IF(OR(OR(NOT(AND(ISNUMBER(E171),ISNUMBER(F171))),$J$2=""),3&gt;MAX(1,Reprogramaciones!$U$15)),"",IF(Reprogramaciones!M$12&gt;=7,"",IF(OR(BV171-N(BU171)&gt;0.05,N(S171)&gt;0),ROUNDDOWN(ROUND(BV171,6),0)&amp;"%"&amp;IF(CL171="",""," / "&amp;CL171&amp;"%"),IF(AND(N(BU171)&gt;=99.95,CL171&lt;&gt;"",N(CL171)&lt;100),"Pend. "&amp;CL171&amp;"%",""))))</f>
        <v/>
      </c>
      <c r="AP171" s="40" t="str">
        <f aca="false">IF(OR(OR(NOT(AND(ISNUMBER(E171),ISNUMBER(F171))),$J$2=""),4&gt;MAX(1,Reprogramaciones!$U$15)),"",IF(Reprogramaciones!N$12&gt;=7,"",IF(OR(BW171-N(BV171)&gt;0.05,N(T171)&gt;0),ROUNDDOWN(ROUND(BW171,6),0)&amp;"%"&amp;IF(CM171="",""," / "&amp;CM171&amp;"%"),IF(AND(N(BV171)&gt;=99.95,CM171&lt;&gt;"",N(CM171)&lt;100),"Pend. "&amp;CM171&amp;"%",""))))</f>
        <v/>
      </c>
      <c r="AQ171" s="40" t="str">
        <f aca="false">IF(OR(OR(NOT(AND(ISNUMBER(E171),ISNUMBER(F171))),$J$2=""),5&gt;MAX(1,Reprogramaciones!$U$15)),"",IF(Reprogramaciones!O$12&gt;=7,"",IF(OR(BX171-N(BW171)&gt;0.05,N(U171)&gt;0),ROUNDDOWN(ROUND(BX171,6),0)&amp;"%"&amp;IF(CN171="",""," / "&amp;CN171&amp;"%"),IF(AND(N(BW171)&gt;=99.95,CN171&lt;&gt;"",N(CN171)&lt;100),"Pend. "&amp;CN171&amp;"%",""))))</f>
        <v/>
      </c>
      <c r="AR171" s="40" t="str">
        <f aca="false">IF(OR(OR(NOT(AND(ISNUMBER(E171),ISNUMBER(F171))),$J$2=""),6&gt;MAX(1,Reprogramaciones!$U$15)),"",IF(Reprogramaciones!P$12&gt;=7,"",IF(OR(BY171-N(BX171)&gt;0.05,N(V171)&gt;0),ROUNDDOWN(ROUND(BY171,6),0)&amp;"%"&amp;IF(CO171="",""," / "&amp;CO171&amp;"%"),IF(AND(N(BX171)&gt;=99.95,CO171&lt;&gt;"",N(CO171)&lt;100),"Pend. "&amp;CO171&amp;"%",""))))</f>
        <v/>
      </c>
      <c r="AS171" s="40" t="str">
        <f aca="false">IF(OR(OR(NOT(AND(ISNUMBER(E171),ISNUMBER(F171))),$J$2=""),7&gt;MAX(1,Reprogramaciones!$U$15)),"",IF(Reprogramaciones!Q$12&gt;=7,"",IF(OR(BZ171-N(BY171)&gt;0.05,N(W171)&gt;0),ROUNDDOWN(ROUND(BZ171,6),0)&amp;"%"&amp;IF(CP171="",""," / "&amp;CP171&amp;"%"),IF(AND(N(BY171)&gt;=99.95,CP171&lt;&gt;"",N(CP171)&lt;100),"Pend. "&amp;CP171&amp;"%",""))))</f>
        <v/>
      </c>
      <c r="AT171" s="40" t="str">
        <f aca="false">IF(OR(OR(NOT(AND(ISNUMBER(E171),ISNUMBER(F171))),$J$2=""),8&gt;MAX(1,Reprogramaciones!$U$15)),"",IF(Reprogramaciones!R$12&gt;=7,"",IF(OR(CA171-N(BZ171)&gt;0.05,N(X171)&gt;0),ROUNDDOWN(ROUND(CA171,6),0)&amp;"%"&amp;IF(CQ171="",""," / "&amp;CQ171&amp;"%"),IF(AND(N(BZ171)&gt;=99.95,CQ171&lt;&gt;"",N(CQ171)&lt;100),"Pend. "&amp;CQ171&amp;"%",""))))</f>
        <v/>
      </c>
      <c r="AU171" s="40" t="str">
        <f aca="false">IF(OR(OR(NOT(AND(ISNUMBER(E171),ISNUMBER(F171))),$J$2=""),9&gt;MAX(1,Reprogramaciones!$U$15)),"",IF(Reprogramaciones!S$12&gt;=7,"",IF(OR(CB171-N(CA171)&gt;0.05,N(Y171)&gt;0),ROUNDDOWN(ROUND(CB171,6),0)&amp;"%"&amp;IF(CR171="",""," / "&amp;CR171&amp;"%"),IF(AND(N(CA171)&gt;=99.95,CR171&lt;&gt;"",N(CR171)&lt;100),"Pend. "&amp;CR171&amp;"%",""))))</f>
        <v/>
      </c>
      <c r="AV171" s="40" t="str">
        <f aca="false">IF(OR(OR(NOT(AND(ISNUMBER(E171),ISNUMBER(F171))),$J$2=""),10&gt;MAX(1,Reprogramaciones!$U$15)),"",IF(Reprogramaciones!T$12&gt;=7,"",IF(OR(CC171-N(CB171)&gt;0.05,N(Z171)&gt;0),ROUNDDOWN(ROUND(CC171,6),0)&amp;"%"&amp;IF(CS171="",""," / "&amp;CS171&amp;"%"),IF(AND(N(CB171)&gt;=99.95,CS171&lt;&gt;"",N(CS171)&lt;100),"Pend. "&amp;CS171&amp;"%",""))))</f>
        <v/>
      </c>
      <c r="AW171" s="40" t="str">
        <f aca="false">IF(OR(OR(NOT(AND(ISNUMBER(E171),ISNUMBER(F171))),$J$2=""),11&gt;MAX(1,Reprogramaciones!$U$15)),"",IF(Reprogramaciones!U$12&gt;=7,"",IF(OR(CD171-N(CC171)&gt;0.05,N(AA171)&gt;0),ROUNDDOWN(ROUND(CD171,6),0)&amp;"%"&amp;IF(CT171="",""," / "&amp;CT171&amp;"%"),IF(AND(N(CC171)&gt;=99.95,CT171&lt;&gt;"",N(CT171)&lt;100),"Pend. "&amp;CT171&amp;"%",""))))</f>
        <v/>
      </c>
      <c r="AX171" s="40" t="str">
        <f aca="false">IF(OR(OR(NOT(AND(ISNUMBER(E171),ISNUMBER(F171))),$J$2=""),12&gt;MAX(1,Reprogramaciones!$U$15)),"",IF(Reprogramaciones!V$12&gt;=7,"",IF(OR(CE171-N(CD171)&gt;0.05,N(AB171)&gt;0),ROUNDDOWN(ROUND(CE171,6),0)&amp;"%"&amp;IF(CU171="",""," / "&amp;CU171&amp;"%"),IF(AND(N(CD171)&gt;=99.95,CU171&lt;&gt;"",N(CU171)&lt;100),"Pend. "&amp;CU171&amp;"%",""))))</f>
        <v/>
      </c>
      <c r="AY171" s="40" t="str">
        <f aca="false">IF(OR(OR(NOT(AND(ISNUMBER(E171),ISNUMBER(F171))),$J$2=""),13&gt;MAX(1,Reprogramaciones!$U$15)),"",IF(Reprogramaciones!W$12&gt;=7,"",IF(OR(CF171-N(CE171)&gt;0.05,N(AC171)&gt;0),ROUNDDOWN(ROUND(CF171,6),0)&amp;"%"&amp;IF(CV171="",""," / "&amp;CV171&amp;"%"),IF(AND(N(CE171)&gt;=99.95,CV171&lt;&gt;"",N(CV171)&lt;100),"Pend. "&amp;CV171&amp;"%",""))))</f>
        <v/>
      </c>
      <c r="AZ171" s="40" t="str">
        <f aca="false">IF(OR(OR(NOT(AND(ISNUMBER(E171),ISNUMBER(F171))),$J$2=""),14&gt;MAX(1,Reprogramaciones!$U$15)),"",IF(Reprogramaciones!X$12&gt;=7,"",IF(OR(CG171-N(CF171)&gt;0.05,N(AD171)&gt;0),ROUNDDOWN(ROUND(CG171,6),0)&amp;"%"&amp;IF(CW171="",""," / "&amp;CW171&amp;"%"),IF(AND(N(CF171)&gt;=99.95,CW171&lt;&gt;"",N(CW171)&lt;100),"Pend. "&amp;CW171&amp;"%",""))))</f>
        <v/>
      </c>
      <c r="BA171" s="40" t="str">
        <f aca="false">IF(OR(OR(NOT(AND(ISNUMBER(E171),ISNUMBER(F171))),$J$2=""),15&gt;MAX(1,Reprogramaciones!$U$15)),"",IF(Reprogramaciones!Y$12&gt;=7,"",IF(OR(CH171-N(CG171)&gt;0.05,N(AE171)&gt;0),ROUNDDOWN(ROUND(CH171,6),0)&amp;"%"&amp;IF(CX171="",""," / "&amp;CX171&amp;"%"),IF(AND(N(CG171)&gt;=99.95,CX171&lt;&gt;"",N(CX171)&lt;100),"Pend. "&amp;CX171&amp;"%",""))))</f>
        <v/>
      </c>
      <c r="BB171" s="40" t="str">
        <f aca="false">IF(OR(OR(NOT(AND(ISNUMBER(E171),ISNUMBER(F171))),$J$2=""),16&gt;MAX(1,Reprogramaciones!$U$15)),"",IF(Reprogramaciones!Z$12&gt;=7,"",IF(OR(CI171-N(CH171)&gt;0.05,N(AF171)&gt;0),ROUNDDOWN(ROUND(CI171,6),0)&amp;"%"&amp;IF(CY171="",""," / "&amp;CY171&amp;"%"),IF(AND(N(CH171)&gt;=99.95,CY171&lt;&gt;"",N(CY171)&lt;100),"Pend. "&amp;CY171&amp;"%",""))))</f>
        <v/>
      </c>
      <c r="BC171" s="31" t="n">
        <f aca="false">IF(AND(ISNUMBER(E171),ISNUMBER(F171)),MAX(1,NETWORKDAYS.INTL(E171,F171,11)),0)</f>
        <v>0</v>
      </c>
      <c r="BD171" s="1" t="str">
        <f aca="false">IF(OR(NOT(AND(ISNUMBER(E171),ISNUMBER(F171))),$J$2=""),"",MIN(100,ROUND(SUM($G171:G171),1)))</f>
        <v/>
      </c>
      <c r="BE171" s="1" t="str">
        <f aca="false">IF(OR(NOT(AND(ISNUMBER(E171),ISNUMBER(F171))),$J$2=""),"",MIN(100,ROUND(SUM($G171:H171),1)))</f>
        <v/>
      </c>
      <c r="BF171" s="1" t="str">
        <f aca="false">IF(OR(NOT(AND(ISNUMBER(E171),ISNUMBER(F171))),$J$2=""),"",MIN(100,ROUND(SUM($G171:I171),1)))</f>
        <v/>
      </c>
      <c r="BG171" s="1" t="str">
        <f aca="false">IF(OR(NOT(AND(ISNUMBER(E171),ISNUMBER(F171))),$J$2=""),"",MIN(100,ROUND(SUM($G171:J171),1)))</f>
        <v/>
      </c>
      <c r="BH171" s="1" t="str">
        <f aca="false">IF(OR(NOT(AND(ISNUMBER(E171),ISNUMBER(F171))),$J$2=""),"",MIN(100,ROUND(SUM($G171:K171),1)))</f>
        <v/>
      </c>
      <c r="BI171" s="1" t="str">
        <f aca="false">IF(OR(NOT(AND(ISNUMBER(E171),ISNUMBER(F171))),$J$2=""),"",MIN(100,ROUND(SUM($G171:L171),1)))</f>
        <v/>
      </c>
      <c r="BJ171" s="1" t="str">
        <f aca="false">IF(OR(NOT(AND(ISNUMBER(E171),ISNUMBER(F171))),$J$2=""),"",MIN(100,ROUND(SUM($G171:M171),1)))</f>
        <v/>
      </c>
      <c r="BK171" s="1" t="str">
        <f aca="false">IF(OR(NOT(AND(ISNUMBER(E171),ISNUMBER(F171))),$J$2=""),"",MIN(100,ROUND(SUM($G171:N171),1)))</f>
        <v/>
      </c>
      <c r="BL171" s="1" t="str">
        <f aca="false">IF(OR(NOT(AND(ISNUMBER(E171),ISNUMBER(F171))),$J$2=""),"",MIN(100,ROUND(SUM($G171:O171),1)))</f>
        <v/>
      </c>
      <c r="BM171" s="1" t="str">
        <f aca="false">IF(OR(NOT(AND(ISNUMBER(E171),ISNUMBER(F171))),$J$2=""),"",MIN(100,ROUND(SUM($G171:P171),1)))</f>
        <v/>
      </c>
      <c r="BN171" s="1" t="str">
        <f aca="false">IF(OR(NOT(AND(ISNUMBER(E171),ISNUMBER(F171))),$J$2=""),"",MIN(100,ROUND(SUM($G171:P171),1)))</f>
        <v/>
      </c>
      <c r="BO171" s="1" t="str">
        <f aca="false">IF(OR(NOT(AND(ISNUMBER(E171),ISNUMBER(F171))),$J$2=""),"",MIN(100,ROUND(SUM($G171:P171),1)))</f>
        <v/>
      </c>
      <c r="BP171" s="1" t="str">
        <f aca="false">IF(OR(NOT(AND(ISNUMBER(E171),ISNUMBER(F171))),$J$2=""),"",MIN(100,ROUND(SUM($G171:P171),1)))</f>
        <v/>
      </c>
      <c r="BQ171" s="1" t="str">
        <f aca="false">IF(OR(NOT(AND(ISNUMBER(E171),ISNUMBER(F171))),$J$2=""),"",MIN(100,ROUND(SUM($G171:P171),1)))</f>
        <v/>
      </c>
      <c r="BR171" s="1" t="str">
        <f aca="false">IF(OR(NOT(AND(ISNUMBER(E171),ISNUMBER(F171))),$J$2=""),"",MIN(100,ROUND(SUM($G171:P171),1)))</f>
        <v/>
      </c>
      <c r="BS171" s="1" t="str">
        <f aca="false">IF(OR(NOT(AND(ISNUMBER(E171),ISNUMBER(F171))),$J$2=""),"",MIN(100,ROUND(SUM($G171:P171),1)))</f>
        <v/>
      </c>
      <c r="BT171" s="1" t="str">
        <f aca="false">IF(OR(NOT(AND(ISNUMBER(E171),ISNUMBER(F171))),$J$2=""),"",IF(Reprogramaciones!K$13&lt;Reprogramaciones!$T$15,0,IF(Reprogramaciones!K$14&gt;10,MIN(100,SUM($G171:$P171)),MIN(100,SUMPRODUCT((COLUMN($G171:$P171)-COLUMN($G171)+1&lt;Reprogramaciones!K$14)*$G171:$P171)+N(INDEX($G171:$P171,1,Reprogramaciones!K$14))*IF(Reprogramaciones!K$13&gt;=(Reprogramaciones!$T$15+7*(Reprogramaciones!K$14-1))+6,1,IF(MAX(0,NETWORKDAYS.INTL(MAX(E171,(Reprogramaciones!$T$15+7*(Reprogramaciones!K$14-1))),MIN(F171,(Reprogramaciones!$T$15+7*(Reprogramaciones!K$14-1))+6),11))=0,0,MAX(0,NETWORKDAYS.INTL(MAX(E171,(Reprogramaciones!$T$15+7*(Reprogramaciones!K$14-1))),MIN(F171,Reprogramaciones!K$13),11))/MAX(0,NETWORKDAYS.INTL(MAX(E171,(Reprogramaciones!$T$15+7*(Reprogramaciones!K$14-1))),MIN(F171,(Reprogramaciones!$T$15+7*(Reprogramaciones!K$14-1))+6),11))))))))</f>
        <v/>
      </c>
      <c r="BU171" s="1" t="str">
        <f aca="false">IF(OR(NOT(AND(ISNUMBER(E171),ISNUMBER(F171))),$J$2=""),"",IF(Reprogramaciones!L$13&lt;Reprogramaciones!$T$15,0,IF(Reprogramaciones!L$14&gt;10,MIN(100,SUM($G171:$P171)),MIN(100,SUMPRODUCT((COLUMN($G171:$P171)-COLUMN($G171)+1&lt;Reprogramaciones!L$14)*$G171:$P171)+N(INDEX($G171:$P171,1,Reprogramaciones!L$14))*IF(Reprogramaciones!L$13&gt;=(Reprogramaciones!$T$15+7*(Reprogramaciones!L$14-1))+6,1,IF(MAX(0,NETWORKDAYS.INTL(MAX(E171,(Reprogramaciones!$T$15+7*(Reprogramaciones!L$14-1))),MIN(F171,(Reprogramaciones!$T$15+7*(Reprogramaciones!L$14-1))+6),11))=0,0,MAX(0,NETWORKDAYS.INTL(MAX(E171,(Reprogramaciones!$T$15+7*(Reprogramaciones!L$14-1))),MIN(F171,Reprogramaciones!L$13),11))/MAX(0,NETWORKDAYS.INTL(MAX(E171,(Reprogramaciones!$T$15+7*(Reprogramaciones!L$14-1))),MIN(F171,(Reprogramaciones!$T$15+7*(Reprogramaciones!L$14-1))+6),11))))))))</f>
        <v/>
      </c>
      <c r="BV171" s="1" t="str">
        <f aca="false">IF(OR(NOT(AND(ISNUMBER(E171),ISNUMBER(F171))),$J$2=""),"",IF(Reprogramaciones!M$13&lt;Reprogramaciones!$T$15,0,IF(Reprogramaciones!M$14&gt;10,MIN(100,SUM($G171:$P171)),MIN(100,SUMPRODUCT((COLUMN($G171:$P171)-COLUMN($G171)+1&lt;Reprogramaciones!M$14)*$G171:$P171)+N(INDEX($G171:$P171,1,Reprogramaciones!M$14))*IF(Reprogramaciones!M$13&gt;=(Reprogramaciones!$T$15+7*(Reprogramaciones!M$14-1))+6,1,IF(MAX(0,NETWORKDAYS.INTL(MAX(E171,(Reprogramaciones!$T$15+7*(Reprogramaciones!M$14-1))),MIN(F171,(Reprogramaciones!$T$15+7*(Reprogramaciones!M$14-1))+6),11))=0,0,MAX(0,NETWORKDAYS.INTL(MAX(E171,(Reprogramaciones!$T$15+7*(Reprogramaciones!M$14-1))),MIN(F171,Reprogramaciones!M$13),11))/MAX(0,NETWORKDAYS.INTL(MAX(E171,(Reprogramaciones!$T$15+7*(Reprogramaciones!M$14-1))),MIN(F171,(Reprogramaciones!$T$15+7*(Reprogramaciones!M$14-1))+6),11))))))))</f>
        <v/>
      </c>
      <c r="BW171" s="1" t="str">
        <f aca="false">IF(OR(NOT(AND(ISNUMBER(E171),ISNUMBER(F171))),$J$2=""),"",IF(Reprogramaciones!N$13&lt;Reprogramaciones!$T$15,0,IF(Reprogramaciones!N$14&gt;10,MIN(100,SUM($G171:$P171)),MIN(100,SUMPRODUCT((COLUMN($G171:$P171)-COLUMN($G171)+1&lt;Reprogramaciones!N$14)*$G171:$P171)+N(INDEX($G171:$P171,1,Reprogramaciones!N$14))*IF(Reprogramaciones!N$13&gt;=(Reprogramaciones!$T$15+7*(Reprogramaciones!N$14-1))+6,1,IF(MAX(0,NETWORKDAYS.INTL(MAX(E171,(Reprogramaciones!$T$15+7*(Reprogramaciones!N$14-1))),MIN(F171,(Reprogramaciones!$T$15+7*(Reprogramaciones!N$14-1))+6),11))=0,0,MAX(0,NETWORKDAYS.INTL(MAX(E171,(Reprogramaciones!$T$15+7*(Reprogramaciones!N$14-1))),MIN(F171,Reprogramaciones!N$13),11))/MAX(0,NETWORKDAYS.INTL(MAX(E171,(Reprogramaciones!$T$15+7*(Reprogramaciones!N$14-1))),MIN(F171,(Reprogramaciones!$T$15+7*(Reprogramaciones!N$14-1))+6),11))))))))</f>
        <v/>
      </c>
      <c r="BX171" s="1" t="str">
        <f aca="false">IF(OR(NOT(AND(ISNUMBER(E171),ISNUMBER(F171))),$J$2=""),"",IF(Reprogramaciones!O$13&lt;Reprogramaciones!$T$15,0,IF(Reprogramaciones!O$14&gt;10,MIN(100,SUM($G171:$P171)),MIN(100,SUMPRODUCT((COLUMN($G171:$P171)-COLUMN($G171)+1&lt;Reprogramaciones!O$14)*$G171:$P171)+N(INDEX($G171:$P171,1,Reprogramaciones!O$14))*IF(Reprogramaciones!O$13&gt;=(Reprogramaciones!$T$15+7*(Reprogramaciones!O$14-1))+6,1,IF(MAX(0,NETWORKDAYS.INTL(MAX(E171,(Reprogramaciones!$T$15+7*(Reprogramaciones!O$14-1))),MIN(F171,(Reprogramaciones!$T$15+7*(Reprogramaciones!O$14-1))+6),11))=0,0,MAX(0,NETWORKDAYS.INTL(MAX(E171,(Reprogramaciones!$T$15+7*(Reprogramaciones!O$14-1))),MIN(F171,Reprogramaciones!O$13),11))/MAX(0,NETWORKDAYS.INTL(MAX(E171,(Reprogramaciones!$T$15+7*(Reprogramaciones!O$14-1))),MIN(F171,(Reprogramaciones!$T$15+7*(Reprogramaciones!O$14-1))+6),11))))))))</f>
        <v/>
      </c>
      <c r="BY171" s="1" t="str">
        <f aca="false">IF(OR(NOT(AND(ISNUMBER(E171),ISNUMBER(F171))),$J$2=""),"",IF(Reprogramaciones!P$13&lt;Reprogramaciones!$T$15,0,IF(Reprogramaciones!P$14&gt;10,MIN(100,SUM($G171:$P171)),MIN(100,SUMPRODUCT((COLUMN($G171:$P171)-COLUMN($G171)+1&lt;Reprogramaciones!P$14)*$G171:$P171)+N(INDEX($G171:$P171,1,Reprogramaciones!P$14))*IF(Reprogramaciones!P$13&gt;=(Reprogramaciones!$T$15+7*(Reprogramaciones!P$14-1))+6,1,IF(MAX(0,NETWORKDAYS.INTL(MAX(E171,(Reprogramaciones!$T$15+7*(Reprogramaciones!P$14-1))),MIN(F171,(Reprogramaciones!$T$15+7*(Reprogramaciones!P$14-1))+6),11))=0,0,MAX(0,NETWORKDAYS.INTL(MAX(E171,(Reprogramaciones!$T$15+7*(Reprogramaciones!P$14-1))),MIN(F171,Reprogramaciones!P$13),11))/MAX(0,NETWORKDAYS.INTL(MAX(E171,(Reprogramaciones!$T$15+7*(Reprogramaciones!P$14-1))),MIN(F171,(Reprogramaciones!$T$15+7*(Reprogramaciones!P$14-1))+6),11))))))))</f>
        <v/>
      </c>
      <c r="BZ171" s="1" t="str">
        <f aca="false">IF(OR(NOT(AND(ISNUMBER(E171),ISNUMBER(F171))),$J$2=""),"",IF(Reprogramaciones!Q$13&lt;Reprogramaciones!$T$15,0,IF(Reprogramaciones!Q$14&gt;10,MIN(100,SUM($G171:$P171)),MIN(100,SUMPRODUCT((COLUMN($G171:$P171)-COLUMN($G171)+1&lt;Reprogramaciones!Q$14)*$G171:$P171)+N(INDEX($G171:$P171,1,Reprogramaciones!Q$14))*IF(Reprogramaciones!Q$13&gt;=(Reprogramaciones!$T$15+7*(Reprogramaciones!Q$14-1))+6,1,IF(MAX(0,NETWORKDAYS.INTL(MAX(E171,(Reprogramaciones!$T$15+7*(Reprogramaciones!Q$14-1))),MIN(F171,(Reprogramaciones!$T$15+7*(Reprogramaciones!Q$14-1))+6),11))=0,0,MAX(0,NETWORKDAYS.INTL(MAX(E171,(Reprogramaciones!$T$15+7*(Reprogramaciones!Q$14-1))),MIN(F171,Reprogramaciones!Q$13),11))/MAX(0,NETWORKDAYS.INTL(MAX(E171,(Reprogramaciones!$T$15+7*(Reprogramaciones!Q$14-1))),MIN(F171,(Reprogramaciones!$T$15+7*(Reprogramaciones!Q$14-1))+6),11))))))))</f>
        <v/>
      </c>
      <c r="CA171" s="1" t="str">
        <f aca="false">IF(OR(NOT(AND(ISNUMBER(E171),ISNUMBER(F171))),$J$2=""),"",IF(Reprogramaciones!R$13&lt;Reprogramaciones!$T$15,0,IF(Reprogramaciones!R$14&gt;10,MIN(100,SUM($G171:$P171)),MIN(100,SUMPRODUCT((COLUMN($G171:$P171)-COLUMN($G171)+1&lt;Reprogramaciones!R$14)*$G171:$P171)+N(INDEX($G171:$P171,1,Reprogramaciones!R$14))*IF(Reprogramaciones!R$13&gt;=(Reprogramaciones!$T$15+7*(Reprogramaciones!R$14-1))+6,1,IF(MAX(0,NETWORKDAYS.INTL(MAX(E171,(Reprogramaciones!$T$15+7*(Reprogramaciones!R$14-1))),MIN(F171,(Reprogramaciones!$T$15+7*(Reprogramaciones!R$14-1))+6),11))=0,0,MAX(0,NETWORKDAYS.INTL(MAX(E171,(Reprogramaciones!$T$15+7*(Reprogramaciones!R$14-1))),MIN(F171,Reprogramaciones!R$13),11))/MAX(0,NETWORKDAYS.INTL(MAX(E171,(Reprogramaciones!$T$15+7*(Reprogramaciones!R$14-1))),MIN(F171,(Reprogramaciones!$T$15+7*(Reprogramaciones!R$14-1))+6),11))))))))</f>
        <v/>
      </c>
      <c r="CB171" s="1" t="str">
        <f aca="false">IF(OR(NOT(AND(ISNUMBER(E171),ISNUMBER(F171))),$J$2=""),"",IF(Reprogramaciones!S$13&lt;Reprogramaciones!$T$15,0,IF(Reprogramaciones!S$14&gt;10,MIN(100,SUM($G171:$P171)),MIN(100,SUMPRODUCT((COLUMN($G171:$P171)-COLUMN($G171)+1&lt;Reprogramaciones!S$14)*$G171:$P171)+N(INDEX($G171:$P171,1,Reprogramaciones!S$14))*IF(Reprogramaciones!S$13&gt;=(Reprogramaciones!$T$15+7*(Reprogramaciones!S$14-1))+6,1,IF(MAX(0,NETWORKDAYS.INTL(MAX(E171,(Reprogramaciones!$T$15+7*(Reprogramaciones!S$14-1))),MIN(F171,(Reprogramaciones!$T$15+7*(Reprogramaciones!S$14-1))+6),11))=0,0,MAX(0,NETWORKDAYS.INTL(MAX(E171,(Reprogramaciones!$T$15+7*(Reprogramaciones!S$14-1))),MIN(F171,Reprogramaciones!S$13),11))/MAX(0,NETWORKDAYS.INTL(MAX(E171,(Reprogramaciones!$T$15+7*(Reprogramaciones!S$14-1))),MIN(F171,(Reprogramaciones!$T$15+7*(Reprogramaciones!S$14-1))+6),11))))))))</f>
        <v/>
      </c>
      <c r="CC171" s="1" t="str">
        <f aca="false">IF(OR(NOT(AND(ISNUMBER(E171),ISNUMBER(F171))),$J$2=""),"",IF(Reprogramaciones!T$13&lt;Reprogramaciones!$T$15,0,IF(Reprogramaciones!T$14&gt;10,MIN(100,SUM($G171:$P171)),MIN(100,SUMPRODUCT((COLUMN($G171:$P171)-COLUMN($G171)+1&lt;Reprogramaciones!T$14)*$G171:$P171)+N(INDEX($G171:$P171,1,Reprogramaciones!T$14))*IF(Reprogramaciones!T$13&gt;=(Reprogramaciones!$T$15+7*(Reprogramaciones!T$14-1))+6,1,IF(MAX(0,NETWORKDAYS.INTL(MAX(E171,(Reprogramaciones!$T$15+7*(Reprogramaciones!T$14-1))),MIN(F171,(Reprogramaciones!$T$15+7*(Reprogramaciones!T$14-1))+6),11))=0,0,MAX(0,NETWORKDAYS.INTL(MAX(E171,(Reprogramaciones!$T$15+7*(Reprogramaciones!T$14-1))),MIN(F171,Reprogramaciones!T$13),11))/MAX(0,NETWORKDAYS.INTL(MAX(E171,(Reprogramaciones!$T$15+7*(Reprogramaciones!T$14-1))),MIN(F171,(Reprogramaciones!$T$15+7*(Reprogramaciones!T$14-1))+6),11))))))))</f>
        <v/>
      </c>
      <c r="CD171" s="1" t="str">
        <f aca="false">IF(OR(NOT(AND(ISNUMBER(E171),ISNUMBER(F171))),$J$2=""),"",IF(Reprogramaciones!U$13&lt;Reprogramaciones!$T$15,0,IF(Reprogramaciones!U$14&gt;10,MIN(100,SUM($G171:$P171)),MIN(100,SUMPRODUCT((COLUMN($G171:$P171)-COLUMN($G171)+1&lt;Reprogramaciones!U$14)*$G171:$P171)+N(INDEX($G171:$P171,1,Reprogramaciones!U$14))*IF(Reprogramaciones!U$13&gt;=(Reprogramaciones!$T$15+7*(Reprogramaciones!U$14-1))+6,1,IF(MAX(0,NETWORKDAYS.INTL(MAX(E171,(Reprogramaciones!$T$15+7*(Reprogramaciones!U$14-1))),MIN(F171,(Reprogramaciones!$T$15+7*(Reprogramaciones!U$14-1))+6),11))=0,0,MAX(0,NETWORKDAYS.INTL(MAX(E171,(Reprogramaciones!$T$15+7*(Reprogramaciones!U$14-1))),MIN(F171,Reprogramaciones!U$13),11))/MAX(0,NETWORKDAYS.INTL(MAX(E171,(Reprogramaciones!$T$15+7*(Reprogramaciones!U$14-1))),MIN(F171,(Reprogramaciones!$T$15+7*(Reprogramaciones!U$14-1))+6),11))))))))</f>
        <v/>
      </c>
      <c r="CE171" s="1" t="str">
        <f aca="false">IF(OR(NOT(AND(ISNUMBER(E171),ISNUMBER(F171))),$J$2=""),"",IF(Reprogramaciones!V$13&lt;Reprogramaciones!$T$15,0,IF(Reprogramaciones!V$14&gt;10,MIN(100,SUM($G171:$P171)),MIN(100,SUMPRODUCT((COLUMN($G171:$P171)-COLUMN($G171)+1&lt;Reprogramaciones!V$14)*$G171:$P171)+N(INDEX($G171:$P171,1,Reprogramaciones!V$14))*IF(Reprogramaciones!V$13&gt;=(Reprogramaciones!$T$15+7*(Reprogramaciones!V$14-1))+6,1,IF(MAX(0,NETWORKDAYS.INTL(MAX(E171,(Reprogramaciones!$T$15+7*(Reprogramaciones!V$14-1))),MIN(F171,(Reprogramaciones!$T$15+7*(Reprogramaciones!V$14-1))+6),11))=0,0,MAX(0,NETWORKDAYS.INTL(MAX(E171,(Reprogramaciones!$T$15+7*(Reprogramaciones!V$14-1))),MIN(F171,Reprogramaciones!V$13),11))/MAX(0,NETWORKDAYS.INTL(MAX(E171,(Reprogramaciones!$T$15+7*(Reprogramaciones!V$14-1))),MIN(F171,(Reprogramaciones!$T$15+7*(Reprogramaciones!V$14-1))+6),11))))))))</f>
        <v/>
      </c>
      <c r="CF171" s="1" t="str">
        <f aca="false">IF(OR(NOT(AND(ISNUMBER(E171),ISNUMBER(F171))),$J$2=""),"",IF(Reprogramaciones!W$13&lt;Reprogramaciones!$T$15,0,IF(Reprogramaciones!W$14&gt;10,MIN(100,SUM($G171:$P171)),MIN(100,SUMPRODUCT((COLUMN($G171:$P171)-COLUMN($G171)+1&lt;Reprogramaciones!W$14)*$G171:$P171)+N(INDEX($G171:$P171,1,Reprogramaciones!W$14))*IF(Reprogramaciones!W$13&gt;=(Reprogramaciones!$T$15+7*(Reprogramaciones!W$14-1))+6,1,IF(MAX(0,NETWORKDAYS.INTL(MAX(E171,(Reprogramaciones!$T$15+7*(Reprogramaciones!W$14-1))),MIN(F171,(Reprogramaciones!$T$15+7*(Reprogramaciones!W$14-1))+6),11))=0,0,MAX(0,NETWORKDAYS.INTL(MAX(E171,(Reprogramaciones!$T$15+7*(Reprogramaciones!W$14-1))),MIN(F171,Reprogramaciones!W$13),11))/MAX(0,NETWORKDAYS.INTL(MAX(E171,(Reprogramaciones!$T$15+7*(Reprogramaciones!W$14-1))),MIN(F171,(Reprogramaciones!$T$15+7*(Reprogramaciones!W$14-1))+6),11))))))))</f>
        <v/>
      </c>
      <c r="CG171" s="1" t="str">
        <f aca="false">IF(OR(NOT(AND(ISNUMBER(E171),ISNUMBER(F171))),$J$2=""),"",IF(Reprogramaciones!X$13&lt;Reprogramaciones!$T$15,0,IF(Reprogramaciones!X$14&gt;10,MIN(100,SUM($G171:$P171)),MIN(100,SUMPRODUCT((COLUMN($G171:$P171)-COLUMN($G171)+1&lt;Reprogramaciones!X$14)*$G171:$P171)+N(INDEX($G171:$P171,1,Reprogramaciones!X$14))*IF(Reprogramaciones!X$13&gt;=(Reprogramaciones!$T$15+7*(Reprogramaciones!X$14-1))+6,1,IF(MAX(0,NETWORKDAYS.INTL(MAX(E171,(Reprogramaciones!$T$15+7*(Reprogramaciones!X$14-1))),MIN(F171,(Reprogramaciones!$T$15+7*(Reprogramaciones!X$14-1))+6),11))=0,0,MAX(0,NETWORKDAYS.INTL(MAX(E171,(Reprogramaciones!$T$15+7*(Reprogramaciones!X$14-1))),MIN(F171,Reprogramaciones!X$13),11))/MAX(0,NETWORKDAYS.INTL(MAX(E171,(Reprogramaciones!$T$15+7*(Reprogramaciones!X$14-1))),MIN(F171,(Reprogramaciones!$T$15+7*(Reprogramaciones!X$14-1))+6),11))))))))</f>
        <v/>
      </c>
      <c r="CH171" s="1" t="str">
        <f aca="false">IF(OR(NOT(AND(ISNUMBER(E171),ISNUMBER(F171))),$J$2=""),"",IF(Reprogramaciones!Y$13&lt;Reprogramaciones!$T$15,0,IF(Reprogramaciones!Y$14&gt;10,MIN(100,SUM($G171:$P171)),MIN(100,SUMPRODUCT((COLUMN($G171:$P171)-COLUMN($G171)+1&lt;Reprogramaciones!Y$14)*$G171:$P171)+N(INDEX($G171:$P171,1,Reprogramaciones!Y$14))*IF(Reprogramaciones!Y$13&gt;=(Reprogramaciones!$T$15+7*(Reprogramaciones!Y$14-1))+6,1,IF(MAX(0,NETWORKDAYS.INTL(MAX(E171,(Reprogramaciones!$T$15+7*(Reprogramaciones!Y$14-1))),MIN(F171,(Reprogramaciones!$T$15+7*(Reprogramaciones!Y$14-1))+6),11))=0,0,MAX(0,NETWORKDAYS.INTL(MAX(E171,(Reprogramaciones!$T$15+7*(Reprogramaciones!Y$14-1))),MIN(F171,Reprogramaciones!Y$13),11))/MAX(0,NETWORKDAYS.INTL(MAX(E171,(Reprogramaciones!$T$15+7*(Reprogramaciones!Y$14-1))),MIN(F171,(Reprogramaciones!$T$15+7*(Reprogramaciones!Y$14-1))+6),11))))))))</f>
        <v/>
      </c>
      <c r="CI171" s="1" t="str">
        <f aca="false">IF(OR(NOT(AND(ISNUMBER(E171),ISNUMBER(F171))),$J$2=""),"",IF(Reprogramaciones!Z$13&lt;Reprogramaciones!$T$15,0,IF(Reprogramaciones!Z$14&gt;10,MIN(100,SUM($G171:$P171)),MIN(100,SUMPRODUCT((COLUMN($G171:$P171)-COLUMN($G171)+1&lt;Reprogramaciones!Z$14)*$G171:$P171)+N(INDEX($G171:$P171,1,Reprogramaciones!Z$14))*IF(Reprogramaciones!Z$13&gt;=(Reprogramaciones!$T$15+7*(Reprogramaciones!Z$14-1))+6,1,IF(MAX(0,NETWORKDAYS.INTL(MAX(E171,(Reprogramaciones!$T$15+7*(Reprogramaciones!Z$14-1))),MIN(F171,(Reprogramaciones!$T$15+7*(Reprogramaciones!Z$14-1))+6),11))=0,0,MAX(0,NETWORKDAYS.INTL(MAX(E171,(Reprogramaciones!$T$15+7*(Reprogramaciones!Z$14-1))),MIN(F171,Reprogramaciones!Z$13),11))/MAX(0,NETWORKDAYS.INTL(MAX(E171,(Reprogramaciones!$T$15+7*(Reprogramaciones!Z$14-1))),MIN(F171,(Reprogramaciones!$T$15+7*(Reprogramaciones!Z$14-1))+6),11))))))))</f>
        <v/>
      </c>
      <c r="CJ171" s="1" t="str">
        <f aca="false">IF(OR(OR(NOT(AND(ISNUMBER(E171),ISNUMBER(F171))),$J$2=""),1&gt;Reprogramaciones!$K$16),"",IF(ROUND(SUM($Q171:Q171),1)&gt;=99.5,100,MIN(100,ROUND(SUM($Q171:Q171),1))))</f>
        <v/>
      </c>
      <c r="CK171" s="1" t="str">
        <f aca="false">IF(OR(OR(NOT(AND(ISNUMBER(E171),ISNUMBER(F171))),$J$2=""),2&gt;Reprogramaciones!$K$16),"",IF(ROUND(SUM($Q171:R171),1)&gt;=99.5,100,MIN(100,ROUND(SUM($Q171:R171),1))))</f>
        <v/>
      </c>
      <c r="CL171" s="1" t="str">
        <f aca="false">IF(OR(OR(NOT(AND(ISNUMBER(E171),ISNUMBER(F171))),$J$2=""),3&gt;Reprogramaciones!$K$16),"",IF(ROUND(SUM($Q171:S171),1)&gt;=99.5,100,MIN(100,ROUND(SUM($Q171:S171),1))))</f>
        <v/>
      </c>
      <c r="CM171" s="1" t="str">
        <f aca="false">IF(OR(OR(NOT(AND(ISNUMBER(E171),ISNUMBER(F171))),$J$2=""),4&gt;Reprogramaciones!$K$16),"",IF(ROUND(SUM($Q171:T171),1)&gt;=99.5,100,MIN(100,ROUND(SUM($Q171:T171),1))))</f>
        <v/>
      </c>
      <c r="CN171" s="1" t="str">
        <f aca="false">IF(OR(OR(NOT(AND(ISNUMBER(E171),ISNUMBER(F171))),$J$2=""),5&gt;Reprogramaciones!$K$16),"",IF(ROUND(SUM($Q171:U171),1)&gt;=99.5,100,MIN(100,ROUND(SUM($Q171:U171),1))))</f>
        <v/>
      </c>
      <c r="CO171" s="1" t="str">
        <f aca="false">IF(OR(OR(NOT(AND(ISNUMBER(E171),ISNUMBER(F171))),$J$2=""),6&gt;Reprogramaciones!$K$16),"",IF(ROUND(SUM($Q171:V171),1)&gt;=99.5,100,MIN(100,ROUND(SUM($Q171:V171),1))))</f>
        <v/>
      </c>
      <c r="CP171" s="1" t="str">
        <f aca="false">IF(OR(OR(NOT(AND(ISNUMBER(E171),ISNUMBER(F171))),$J$2=""),7&gt;Reprogramaciones!$K$16),"",IF(ROUND(SUM($Q171:W171),1)&gt;=99.5,100,MIN(100,ROUND(SUM($Q171:W171),1))))</f>
        <v/>
      </c>
      <c r="CQ171" s="1" t="str">
        <f aca="false">IF(OR(OR(NOT(AND(ISNUMBER(E171),ISNUMBER(F171))),$J$2=""),8&gt;Reprogramaciones!$K$16),"",IF(ROUND(SUM($Q171:X171),1)&gt;=99.5,100,MIN(100,ROUND(SUM($Q171:X171),1))))</f>
        <v/>
      </c>
      <c r="CR171" s="1" t="str">
        <f aca="false">IF(OR(OR(NOT(AND(ISNUMBER(E171),ISNUMBER(F171))),$J$2=""),9&gt;Reprogramaciones!$K$16),"",IF(ROUND(SUM($Q171:Y171),1)&gt;=99.5,100,MIN(100,ROUND(SUM($Q171:Y171),1))))</f>
        <v/>
      </c>
      <c r="CS171" s="1" t="str">
        <f aca="false">IF(OR(OR(NOT(AND(ISNUMBER(E171),ISNUMBER(F171))),$J$2=""),10&gt;Reprogramaciones!$K$16),"",IF(ROUND(SUM($Q171:Z171),1)&gt;=99.5,100,MIN(100,ROUND(SUM($Q171:Z171),1))))</f>
        <v/>
      </c>
      <c r="CT171" s="1" t="str">
        <f aca="false">IF(OR(OR(NOT(AND(ISNUMBER(E171),ISNUMBER(F171))),$J$2=""),11&gt;Reprogramaciones!$K$16),"",IF(ROUND(SUM($Q171:AA171),1)&gt;=99.5,100,MIN(100,ROUND(SUM($Q171:AA171),1))))</f>
        <v/>
      </c>
      <c r="CU171" s="1" t="str">
        <f aca="false">IF(OR(OR(NOT(AND(ISNUMBER(E171),ISNUMBER(F171))),$J$2=""),12&gt;Reprogramaciones!$K$16),"",IF(ROUND(SUM($Q171:AB171),1)&gt;=99.5,100,MIN(100,ROUND(SUM($Q171:AB171),1))))</f>
        <v/>
      </c>
      <c r="CV171" s="1" t="str">
        <f aca="false">IF(OR(OR(NOT(AND(ISNUMBER(E171),ISNUMBER(F171))),$J$2=""),13&gt;Reprogramaciones!$K$16),"",IF(ROUND(SUM($Q171:AC171),1)&gt;=99.5,100,MIN(100,ROUND(SUM($Q171:AC171),1))))</f>
        <v/>
      </c>
      <c r="CW171" s="1" t="str">
        <f aca="false">IF(OR(OR(NOT(AND(ISNUMBER(E171),ISNUMBER(F171))),$J$2=""),14&gt;Reprogramaciones!$K$16),"",IF(ROUND(SUM($Q171:AD171),1)&gt;=99.5,100,MIN(100,ROUND(SUM($Q171:AD171),1))))</f>
        <v/>
      </c>
      <c r="CX171" s="1" t="str">
        <f aca="false">IF(OR(OR(NOT(AND(ISNUMBER(E171),ISNUMBER(F171))),$J$2=""),15&gt;Reprogramaciones!$K$16),"",IF(ROUND(SUM($Q171:AE171),1)&gt;=99.5,100,MIN(100,ROUND(SUM($Q171:AE171),1))))</f>
        <v/>
      </c>
      <c r="CY171" s="1" t="str">
        <f aca="false">IF(OR(OR(NOT(AND(ISNUMBER(E171),ISNUMBER(F171))),$J$2=""),16&gt;Reprogramaciones!$K$16),"",IF(ROUND(SUM($Q171:AF171),1)&gt;=99.5,100,MIN(100,ROUND(SUM($Q171:AF171),1))))</f>
        <v/>
      </c>
      <c r="CZ171" s="1" t="str">
        <f aca="false">IF(D171&lt;&gt;"",D171,IF(B171&lt;&gt;"","Contractual",CZ170))</f>
        <v>Contractual</v>
      </c>
      <c r="DA171" s="1" t="str">
        <f aca="false">IF(OR(NOT(AND(ISNUMBER(E171),ISNUMBER(F171))),$J$2=""),"",IF(Reprogramaciones!$Q$15&lt;Reprogramaciones!$T$15,0,IF(Reprogramaciones!$S$15&gt;10,MIN(100,SUM($G171:$P171)),MIN(100,SUMPRODUCT((COLUMN($G171:$P171)-COLUMN($G171)+1&lt;Reprogramaciones!$S$15)*$G171:$P171)+N(INDEX($G171:$P171,1,Reprogramaciones!$S$15))*IF(Reprogramaciones!$Q$15&gt;=(Reprogramaciones!$T$15+7*(Reprogramaciones!$S$15-1))+6,1,IF(MAX(0,NETWORKDAYS.INTL(MAX(E171,(Reprogramaciones!$T$15+7*(Reprogramaciones!$S$15-1))),MIN(F171,(Reprogramaciones!$T$15+7*(Reprogramaciones!$S$15-1))+6),11))=0,0,MAX(0,NETWORKDAYS.INTL(MAX(E171,(Reprogramaciones!$T$15+7*(Reprogramaciones!$S$15-1))),MIN(F171,Reprogramaciones!$Q$15),11))/MAX(0,NETWORKDAYS.INTL(MAX(E171,(Reprogramaciones!$T$15+7*(Reprogramaciones!$S$15-1))),MIN(F171,(Reprogramaciones!$T$15+7*(Reprogramaciones!$S$15-1))+6),11))))))))</f>
        <v/>
      </c>
    </row>
    <row r="172" customFormat="false" ht="15" hidden="false" customHeight="false" outlineLevel="0" collapsed="false">
      <c r="A172" s="32"/>
      <c r="B172" s="33"/>
      <c r="C172" s="33"/>
      <c r="D172" s="34"/>
      <c r="E172" s="35"/>
      <c r="F172" s="35"/>
      <c r="G172" s="36" t="str">
        <f aca="false">IF(OR(NOT(AND(ISNUMBER(E172),ISNUMBER(F172))),$J$2=""),"",IF(Reprogramaciones!K$9&lt;E172,0,IF(NETWORKDAYS.INTL(E172,F172,11)=0,IF(Reprogramaciones!K$9&gt;=F172,100,0),ROUND(NETWORKDAYS.INTL(E172,MIN(F172,Reprogramaciones!K$9),11)/NETWORKDAYS.INTL(E172,F172,11)*100,1)))-0)</f>
        <v/>
      </c>
      <c r="H172" s="36" t="str">
        <f aca="false">IF(OR(NOT(AND(ISNUMBER(E172),ISNUMBER(F172))),$J$2=""),"",IF(Reprogramaciones!L$9&lt;E172,0,IF(NETWORKDAYS.INTL(E172,F172,11)=0,IF(Reprogramaciones!L$9&gt;=F172,100,0),ROUND(NETWORKDAYS.INTL(E172,MIN(F172,Reprogramaciones!L$9),11)/NETWORKDAYS.INTL(E172,F172,11)*100,1)))-IF(Reprogramaciones!K$9&lt;E172,0,IF(NETWORKDAYS.INTL(E172,F172,11)=0,IF(Reprogramaciones!K$9&gt;=F172,100,0),ROUND(NETWORKDAYS.INTL(E172,MIN(F172,Reprogramaciones!K$9),11)/NETWORKDAYS.INTL(E172,F172,11)*100,1))))</f>
        <v/>
      </c>
      <c r="I172" s="36" t="str">
        <f aca="false">IF(OR(NOT(AND(ISNUMBER(E172),ISNUMBER(F172))),$J$2=""),"",IF(Reprogramaciones!M$9&lt;E172,0,IF(NETWORKDAYS.INTL(E172,F172,11)=0,IF(Reprogramaciones!M$9&gt;=F172,100,0),ROUND(NETWORKDAYS.INTL(E172,MIN(F172,Reprogramaciones!M$9),11)/NETWORKDAYS.INTL(E172,F172,11)*100,1)))-IF(Reprogramaciones!L$9&lt;E172,0,IF(NETWORKDAYS.INTL(E172,F172,11)=0,IF(Reprogramaciones!L$9&gt;=F172,100,0),ROUND(NETWORKDAYS.INTL(E172,MIN(F172,Reprogramaciones!L$9),11)/NETWORKDAYS.INTL(E172,F172,11)*100,1))))</f>
        <v/>
      </c>
      <c r="J172" s="36" t="str">
        <f aca="false">IF(OR(NOT(AND(ISNUMBER(E172),ISNUMBER(F172))),$J$2=""),"",IF(Reprogramaciones!N$9&lt;E172,0,IF(NETWORKDAYS.INTL(E172,F172,11)=0,IF(Reprogramaciones!N$9&gt;=F172,100,0),ROUND(NETWORKDAYS.INTL(E172,MIN(F172,Reprogramaciones!N$9),11)/NETWORKDAYS.INTL(E172,F172,11)*100,1)))-IF(Reprogramaciones!M$9&lt;E172,0,IF(NETWORKDAYS.INTL(E172,F172,11)=0,IF(Reprogramaciones!M$9&gt;=F172,100,0),ROUND(NETWORKDAYS.INTL(E172,MIN(F172,Reprogramaciones!M$9),11)/NETWORKDAYS.INTL(E172,F172,11)*100,1))))</f>
        <v/>
      </c>
      <c r="K172" s="36" t="str">
        <f aca="false">IF(OR(NOT(AND(ISNUMBER(E172),ISNUMBER(F172))),$J$2=""),"",IF(Reprogramaciones!O$9&lt;E172,0,IF(NETWORKDAYS.INTL(E172,F172,11)=0,IF(Reprogramaciones!O$9&gt;=F172,100,0),ROUND(NETWORKDAYS.INTL(E172,MIN(F172,Reprogramaciones!O$9),11)/NETWORKDAYS.INTL(E172,F172,11)*100,1)))-IF(Reprogramaciones!N$9&lt;E172,0,IF(NETWORKDAYS.INTL(E172,F172,11)=0,IF(Reprogramaciones!N$9&gt;=F172,100,0),ROUND(NETWORKDAYS.INTL(E172,MIN(F172,Reprogramaciones!N$9),11)/NETWORKDAYS.INTL(E172,F172,11)*100,1))))</f>
        <v/>
      </c>
      <c r="L172" s="36" t="str">
        <f aca="false">IF(OR(NOT(AND(ISNUMBER(E172),ISNUMBER(F172))),$J$2=""),"",IF(Reprogramaciones!P$9&lt;E172,0,IF(NETWORKDAYS.INTL(E172,F172,11)=0,IF(Reprogramaciones!P$9&gt;=F172,100,0),ROUND(NETWORKDAYS.INTL(E172,MIN(F172,Reprogramaciones!P$9),11)/NETWORKDAYS.INTL(E172,F172,11)*100,1)))-IF(Reprogramaciones!O$9&lt;E172,0,IF(NETWORKDAYS.INTL(E172,F172,11)=0,IF(Reprogramaciones!O$9&gt;=F172,100,0),ROUND(NETWORKDAYS.INTL(E172,MIN(F172,Reprogramaciones!O$9),11)/NETWORKDAYS.INTL(E172,F172,11)*100,1))))</f>
        <v/>
      </c>
      <c r="M172" s="36" t="str">
        <f aca="false">IF(OR(NOT(AND(ISNUMBER(E172),ISNUMBER(F172))),$J$2=""),"",IF(Reprogramaciones!Q$9&lt;E172,0,IF(NETWORKDAYS.INTL(E172,F172,11)=0,IF(Reprogramaciones!Q$9&gt;=F172,100,0),ROUND(NETWORKDAYS.INTL(E172,MIN(F172,Reprogramaciones!Q$9),11)/NETWORKDAYS.INTL(E172,F172,11)*100,1)))-IF(Reprogramaciones!P$9&lt;E172,0,IF(NETWORKDAYS.INTL(E172,F172,11)=0,IF(Reprogramaciones!P$9&gt;=F172,100,0),ROUND(NETWORKDAYS.INTL(E172,MIN(F172,Reprogramaciones!P$9),11)/NETWORKDAYS.INTL(E172,F172,11)*100,1))))</f>
        <v/>
      </c>
      <c r="N172" s="36" t="str">
        <f aca="false">IF(OR(NOT(AND(ISNUMBER(E172),ISNUMBER(F172))),$J$2=""),"",IF(Reprogramaciones!R$9&lt;E172,0,IF(NETWORKDAYS.INTL(E172,F172,11)=0,IF(Reprogramaciones!R$9&gt;=F172,100,0),ROUND(NETWORKDAYS.INTL(E172,MIN(F172,Reprogramaciones!R$9),11)/NETWORKDAYS.INTL(E172,F172,11)*100,1)))-IF(Reprogramaciones!Q$9&lt;E172,0,IF(NETWORKDAYS.INTL(E172,F172,11)=0,IF(Reprogramaciones!Q$9&gt;=F172,100,0),ROUND(NETWORKDAYS.INTL(E172,MIN(F172,Reprogramaciones!Q$9),11)/NETWORKDAYS.INTL(E172,F172,11)*100,1))))</f>
        <v/>
      </c>
      <c r="O172" s="36" t="str">
        <f aca="false">IF(OR(NOT(AND(ISNUMBER(E172),ISNUMBER(F172))),$J$2=""),"",IF(Reprogramaciones!S$9&lt;E172,0,IF(NETWORKDAYS.INTL(E172,F172,11)=0,IF(Reprogramaciones!S$9&gt;=F172,100,0),ROUND(NETWORKDAYS.INTL(E172,MIN(F172,Reprogramaciones!S$9),11)/NETWORKDAYS.INTL(E172,F172,11)*100,1)))-IF(Reprogramaciones!R$9&lt;E172,0,IF(NETWORKDAYS.INTL(E172,F172,11)=0,IF(Reprogramaciones!R$9&gt;=F172,100,0),ROUND(NETWORKDAYS.INTL(E172,MIN(F172,Reprogramaciones!R$9),11)/NETWORKDAYS.INTL(E172,F172,11)*100,1))))</f>
        <v/>
      </c>
      <c r="P172" s="36" t="str">
        <f aca="false">IF(OR(NOT(AND(ISNUMBER(E172),ISNUMBER(F172))),$J$2=""),"",IF(Reprogramaciones!T$9&lt;E172,0,IF(NETWORKDAYS.INTL(E172,F172,11)=0,IF(Reprogramaciones!T$9&gt;=F172,100,0),ROUND(NETWORKDAYS.INTL(E172,MIN(F172,Reprogramaciones!T$9),11)/NETWORKDAYS.INTL(E172,F172,11)*100,1)))-IF(Reprogramaciones!S$9&lt;E172,0,IF(NETWORKDAYS.INTL(E172,F172,11)=0,IF(Reprogramaciones!S$9&gt;=F172,100,0),ROUND(NETWORKDAYS.INTL(E172,MIN(F172,Reprogramaciones!S$9),11)/NETWORKDAYS.INTL(E172,F172,11)*100,1))))</f>
        <v/>
      </c>
      <c r="Q172" s="37"/>
      <c r="R172" s="37"/>
      <c r="S172" s="37"/>
      <c r="T172" s="37"/>
      <c r="U172" s="37"/>
      <c r="V172" s="37"/>
      <c r="W172" s="37"/>
      <c r="X172" s="37"/>
      <c r="Y172" s="37"/>
      <c r="Z172" s="37"/>
      <c r="AA172" s="37"/>
      <c r="AB172" s="37"/>
      <c r="AC172" s="37"/>
      <c r="AD172" s="37"/>
      <c r="AE172" s="37"/>
      <c r="AF172" s="37"/>
      <c r="AG172" s="38" t="str">
        <f aca="false">IF(AND(ISNUMBER(E172),ISNUMBER(F172)),NETWORKDAYS.INTL(E172,F172,11),"")</f>
        <v/>
      </c>
      <c r="AH172" s="38" t="str">
        <f aca="false">IF(OR(NOT(AND(ISNUMBER(E172),ISNUMBER(F172))),$J$2=""),"",IF(Reprogramaciones!$P$15&lt;Reprogramaciones!$T$15,0,IF(Reprogramaciones!$R$15&gt;10,MIN(100,SUM($G172:$P172)),MIN(100,SUMPRODUCT((COLUMN($G172:$P172)-COLUMN($G172)+1&lt;Reprogramaciones!$R$15)*$G172:$P172)+N(INDEX($G172:$P172,1,Reprogramaciones!$R$15))*IF(Reprogramaciones!$P$15&gt;=(Reprogramaciones!$T$15+7*(Reprogramaciones!$R$15-1))+6,1,IF(MAX(0,NETWORKDAYS.INTL(MAX(E172,(Reprogramaciones!$T$15+7*(Reprogramaciones!$R$15-1))),MIN(F172,(Reprogramaciones!$T$15+7*(Reprogramaciones!$R$15-1))+6),11))=0,0,MAX(0,NETWORKDAYS.INTL(MAX(E172,(Reprogramaciones!$T$15+7*(Reprogramaciones!$R$15-1))),MIN(F172,Reprogramaciones!$P$15),11))/MAX(0,NETWORKDAYS.INTL(MAX(E172,(Reprogramaciones!$T$15+7*(Reprogramaciones!$R$15-1))),MIN(F172,(Reprogramaciones!$T$15+7*(Reprogramaciones!$R$15-1))+6),11))))))))</f>
        <v/>
      </c>
      <c r="AI172" s="38" t="str">
        <f aca="false">IF(COUNT($Q172:$AF172)=0,"",IF(ROUND(SUM($Q172:$AF172),1)&gt;=99.5,100,MIN(100,ROUND(SUM($Q172:$AF172),1))))</f>
        <v/>
      </c>
      <c r="AJ172" s="38" t="str">
        <f aca="false">IF(OR(AH172="",AI172=""),"",AI172-AH172)</f>
        <v/>
      </c>
      <c r="AK172" s="39" t="str">
        <f aca="true">IF(AH172="","",IF(OR(Ficha!$C$10="Suspendida",Ficha!$C$10="Cancelada"),Ficha!$C$10,IF(AND(AI172&lt;&gt;"",N(AI172)&gt;=100),"Completada",IF(AND(E172&gt;TODAY(),N(AI172)=0),"Por iniciar",IF(N(AI172)+0.5&lt;AH172,"Retrasada",IF(N(AI172)+0.5&lt;DA172,IF(Reprogramaciones!$K$15&gt;0,"Al día · Sem "&amp;Reprogramaciones!$K$15&amp;" en curso","Al día · en curso"),"A tiempo"))))))</f>
        <v/>
      </c>
      <c r="AL172" s="39" t="str">
        <f aca="true">IF(AND(A172="",AND(B172="",C172="",E172="",F172="",COUNT(Q172:AF172)=0)),"",IF(AND(B172="",C172="",E172="",F172="",COUNT(Q172:AF172)=0),"Falta la partida o subpartida",IF(AND(A172&lt;&gt;"",COUNTIF($A$6:$A$305,A172)&gt;1),"Ítem repetido",IF(AND(C172="",E172="",F172="",COUNT(Q172:AF172)=0),"Título de partida",IF(OR(E172="",F172=""),"Faltan fechas",IF(OR(ISTEXT(E172),ISTEXT(F172)),"Fecha escrita como texto: usa dd/mm/aaaa",IF(F172&lt;E172,"Fin antes del inicio",IF(IF($J$2="",FALSE(),OR(E172&lt;$J$2,F172&gt;Reprogramaciones!$T$15+69)),"Fuera de las 10 semanas",IF(ABS(SUM(G172:P172)-100)&gt;0.5,"La meta no suma 100%",IF(ROUND(SUM(Q172:AF172),1)&gt;100.5,"El avance pasa de 100%",IF(MIN(Q172:AF172)&lt;0,"Avance negativo",IF(COUNTA(Q172:AF172)&gt;COUNT(Q172:AF172),"Avance escrito como texto",IF(SUMPRODUCT((Q172:AF172&gt;0)*(Q172:AF172&lt;1))&gt;0,"Avance menor a 1: escribe 50, no 50%",IF(SUMPRODUCT(ISNUMBER(Q172:AF172)*(Reprogramaciones!$K$8:$Z$8&gt;TODAY()))&gt;0,"Avance en semana que aún no llega",IF(AND(N(Reprogramaciones!$E$21)&gt;0,F172&gt;Reprogramaciones!$E$21),"Pasa el fin de la obra: registra una reprogramación",IF(AND(N(Reprogramaciones!$E$21)&gt;0,SUMPRODUCT(ISNUMBER(Q172:AF172)*(Reprogramaciones!$K$8:$Z$8&gt;Reprogramaciones!$E$21))&gt;0),"Avance después del fin de la obra: registra una reprogramación por atraso","OK"))))))))))))))))</f>
        <v/>
      </c>
      <c r="AM172" s="40" t="str">
        <f aca="false">IF(OR(OR(NOT(AND(ISNUMBER(E172),ISNUMBER(F172))),$J$2=""),1&gt;MAX(1,Reprogramaciones!$U$15)),"",IF(Reprogramaciones!K$12&gt;=7,"",IF(OR(BT172-N(0)&gt;0.05,N(Q172)&gt;0),ROUNDDOWN(ROUND(BT172,6),0)&amp;"%"&amp;IF(CJ172="",""," / "&amp;CJ172&amp;"%"),IF(AND(N(0)&gt;=99.95,CJ172&lt;&gt;"",N(CJ172)&lt;100),"Pend. "&amp;CJ172&amp;"%",""))))</f>
        <v/>
      </c>
      <c r="AN172" s="40" t="str">
        <f aca="false">IF(OR(OR(NOT(AND(ISNUMBER(E172),ISNUMBER(F172))),$J$2=""),2&gt;MAX(1,Reprogramaciones!$U$15)),"",IF(Reprogramaciones!L$12&gt;=7,"",IF(OR(BU172-N(BT172)&gt;0.05,N(R172)&gt;0),ROUNDDOWN(ROUND(BU172,6),0)&amp;"%"&amp;IF(CK172="",""," / "&amp;CK172&amp;"%"),IF(AND(N(BT172)&gt;=99.95,CK172&lt;&gt;"",N(CK172)&lt;100),"Pend. "&amp;CK172&amp;"%",""))))</f>
        <v/>
      </c>
      <c r="AO172" s="40" t="str">
        <f aca="false">IF(OR(OR(NOT(AND(ISNUMBER(E172),ISNUMBER(F172))),$J$2=""),3&gt;MAX(1,Reprogramaciones!$U$15)),"",IF(Reprogramaciones!M$12&gt;=7,"",IF(OR(BV172-N(BU172)&gt;0.05,N(S172)&gt;0),ROUNDDOWN(ROUND(BV172,6),0)&amp;"%"&amp;IF(CL172="",""," / "&amp;CL172&amp;"%"),IF(AND(N(BU172)&gt;=99.95,CL172&lt;&gt;"",N(CL172)&lt;100),"Pend. "&amp;CL172&amp;"%",""))))</f>
        <v/>
      </c>
      <c r="AP172" s="40" t="str">
        <f aca="false">IF(OR(OR(NOT(AND(ISNUMBER(E172),ISNUMBER(F172))),$J$2=""),4&gt;MAX(1,Reprogramaciones!$U$15)),"",IF(Reprogramaciones!N$12&gt;=7,"",IF(OR(BW172-N(BV172)&gt;0.05,N(T172)&gt;0),ROUNDDOWN(ROUND(BW172,6),0)&amp;"%"&amp;IF(CM172="",""," / "&amp;CM172&amp;"%"),IF(AND(N(BV172)&gt;=99.95,CM172&lt;&gt;"",N(CM172)&lt;100),"Pend. "&amp;CM172&amp;"%",""))))</f>
        <v/>
      </c>
      <c r="AQ172" s="40" t="str">
        <f aca="false">IF(OR(OR(NOT(AND(ISNUMBER(E172),ISNUMBER(F172))),$J$2=""),5&gt;MAX(1,Reprogramaciones!$U$15)),"",IF(Reprogramaciones!O$12&gt;=7,"",IF(OR(BX172-N(BW172)&gt;0.05,N(U172)&gt;0),ROUNDDOWN(ROUND(BX172,6),0)&amp;"%"&amp;IF(CN172="",""," / "&amp;CN172&amp;"%"),IF(AND(N(BW172)&gt;=99.95,CN172&lt;&gt;"",N(CN172)&lt;100),"Pend. "&amp;CN172&amp;"%",""))))</f>
        <v/>
      </c>
      <c r="AR172" s="40" t="str">
        <f aca="false">IF(OR(OR(NOT(AND(ISNUMBER(E172),ISNUMBER(F172))),$J$2=""),6&gt;MAX(1,Reprogramaciones!$U$15)),"",IF(Reprogramaciones!P$12&gt;=7,"",IF(OR(BY172-N(BX172)&gt;0.05,N(V172)&gt;0),ROUNDDOWN(ROUND(BY172,6),0)&amp;"%"&amp;IF(CO172="",""," / "&amp;CO172&amp;"%"),IF(AND(N(BX172)&gt;=99.95,CO172&lt;&gt;"",N(CO172)&lt;100),"Pend. "&amp;CO172&amp;"%",""))))</f>
        <v/>
      </c>
      <c r="AS172" s="40" t="str">
        <f aca="false">IF(OR(OR(NOT(AND(ISNUMBER(E172),ISNUMBER(F172))),$J$2=""),7&gt;MAX(1,Reprogramaciones!$U$15)),"",IF(Reprogramaciones!Q$12&gt;=7,"",IF(OR(BZ172-N(BY172)&gt;0.05,N(W172)&gt;0),ROUNDDOWN(ROUND(BZ172,6),0)&amp;"%"&amp;IF(CP172="",""," / "&amp;CP172&amp;"%"),IF(AND(N(BY172)&gt;=99.95,CP172&lt;&gt;"",N(CP172)&lt;100),"Pend. "&amp;CP172&amp;"%",""))))</f>
        <v/>
      </c>
      <c r="AT172" s="40" t="str">
        <f aca="false">IF(OR(OR(NOT(AND(ISNUMBER(E172),ISNUMBER(F172))),$J$2=""),8&gt;MAX(1,Reprogramaciones!$U$15)),"",IF(Reprogramaciones!R$12&gt;=7,"",IF(OR(CA172-N(BZ172)&gt;0.05,N(X172)&gt;0),ROUNDDOWN(ROUND(CA172,6),0)&amp;"%"&amp;IF(CQ172="",""," / "&amp;CQ172&amp;"%"),IF(AND(N(BZ172)&gt;=99.95,CQ172&lt;&gt;"",N(CQ172)&lt;100),"Pend. "&amp;CQ172&amp;"%",""))))</f>
        <v/>
      </c>
      <c r="AU172" s="40" t="str">
        <f aca="false">IF(OR(OR(NOT(AND(ISNUMBER(E172),ISNUMBER(F172))),$J$2=""),9&gt;MAX(1,Reprogramaciones!$U$15)),"",IF(Reprogramaciones!S$12&gt;=7,"",IF(OR(CB172-N(CA172)&gt;0.05,N(Y172)&gt;0),ROUNDDOWN(ROUND(CB172,6),0)&amp;"%"&amp;IF(CR172="",""," / "&amp;CR172&amp;"%"),IF(AND(N(CA172)&gt;=99.95,CR172&lt;&gt;"",N(CR172)&lt;100),"Pend. "&amp;CR172&amp;"%",""))))</f>
        <v/>
      </c>
      <c r="AV172" s="40" t="str">
        <f aca="false">IF(OR(OR(NOT(AND(ISNUMBER(E172),ISNUMBER(F172))),$J$2=""),10&gt;MAX(1,Reprogramaciones!$U$15)),"",IF(Reprogramaciones!T$12&gt;=7,"",IF(OR(CC172-N(CB172)&gt;0.05,N(Z172)&gt;0),ROUNDDOWN(ROUND(CC172,6),0)&amp;"%"&amp;IF(CS172="",""," / "&amp;CS172&amp;"%"),IF(AND(N(CB172)&gt;=99.95,CS172&lt;&gt;"",N(CS172)&lt;100),"Pend. "&amp;CS172&amp;"%",""))))</f>
        <v/>
      </c>
      <c r="AW172" s="40" t="str">
        <f aca="false">IF(OR(OR(NOT(AND(ISNUMBER(E172),ISNUMBER(F172))),$J$2=""),11&gt;MAX(1,Reprogramaciones!$U$15)),"",IF(Reprogramaciones!U$12&gt;=7,"",IF(OR(CD172-N(CC172)&gt;0.05,N(AA172)&gt;0),ROUNDDOWN(ROUND(CD172,6),0)&amp;"%"&amp;IF(CT172="",""," / "&amp;CT172&amp;"%"),IF(AND(N(CC172)&gt;=99.95,CT172&lt;&gt;"",N(CT172)&lt;100),"Pend. "&amp;CT172&amp;"%",""))))</f>
        <v/>
      </c>
      <c r="AX172" s="40" t="str">
        <f aca="false">IF(OR(OR(NOT(AND(ISNUMBER(E172),ISNUMBER(F172))),$J$2=""),12&gt;MAX(1,Reprogramaciones!$U$15)),"",IF(Reprogramaciones!V$12&gt;=7,"",IF(OR(CE172-N(CD172)&gt;0.05,N(AB172)&gt;0),ROUNDDOWN(ROUND(CE172,6),0)&amp;"%"&amp;IF(CU172="",""," / "&amp;CU172&amp;"%"),IF(AND(N(CD172)&gt;=99.95,CU172&lt;&gt;"",N(CU172)&lt;100),"Pend. "&amp;CU172&amp;"%",""))))</f>
        <v/>
      </c>
      <c r="AY172" s="40" t="str">
        <f aca="false">IF(OR(OR(NOT(AND(ISNUMBER(E172),ISNUMBER(F172))),$J$2=""),13&gt;MAX(1,Reprogramaciones!$U$15)),"",IF(Reprogramaciones!W$12&gt;=7,"",IF(OR(CF172-N(CE172)&gt;0.05,N(AC172)&gt;0),ROUNDDOWN(ROUND(CF172,6),0)&amp;"%"&amp;IF(CV172="",""," / "&amp;CV172&amp;"%"),IF(AND(N(CE172)&gt;=99.95,CV172&lt;&gt;"",N(CV172)&lt;100),"Pend. "&amp;CV172&amp;"%",""))))</f>
        <v/>
      </c>
      <c r="AZ172" s="40" t="str">
        <f aca="false">IF(OR(OR(NOT(AND(ISNUMBER(E172),ISNUMBER(F172))),$J$2=""),14&gt;MAX(1,Reprogramaciones!$U$15)),"",IF(Reprogramaciones!X$12&gt;=7,"",IF(OR(CG172-N(CF172)&gt;0.05,N(AD172)&gt;0),ROUNDDOWN(ROUND(CG172,6),0)&amp;"%"&amp;IF(CW172="",""," / "&amp;CW172&amp;"%"),IF(AND(N(CF172)&gt;=99.95,CW172&lt;&gt;"",N(CW172)&lt;100),"Pend. "&amp;CW172&amp;"%",""))))</f>
        <v/>
      </c>
      <c r="BA172" s="40" t="str">
        <f aca="false">IF(OR(OR(NOT(AND(ISNUMBER(E172),ISNUMBER(F172))),$J$2=""),15&gt;MAX(1,Reprogramaciones!$U$15)),"",IF(Reprogramaciones!Y$12&gt;=7,"",IF(OR(CH172-N(CG172)&gt;0.05,N(AE172)&gt;0),ROUNDDOWN(ROUND(CH172,6),0)&amp;"%"&amp;IF(CX172="",""," / "&amp;CX172&amp;"%"),IF(AND(N(CG172)&gt;=99.95,CX172&lt;&gt;"",N(CX172)&lt;100),"Pend. "&amp;CX172&amp;"%",""))))</f>
        <v/>
      </c>
      <c r="BB172" s="40" t="str">
        <f aca="false">IF(OR(OR(NOT(AND(ISNUMBER(E172),ISNUMBER(F172))),$J$2=""),16&gt;MAX(1,Reprogramaciones!$U$15)),"",IF(Reprogramaciones!Z$12&gt;=7,"",IF(OR(CI172-N(CH172)&gt;0.05,N(AF172)&gt;0),ROUNDDOWN(ROUND(CI172,6),0)&amp;"%"&amp;IF(CY172="",""," / "&amp;CY172&amp;"%"),IF(AND(N(CH172)&gt;=99.95,CY172&lt;&gt;"",N(CY172)&lt;100),"Pend. "&amp;CY172&amp;"%",""))))</f>
        <v/>
      </c>
      <c r="BC172" s="31" t="n">
        <f aca="false">IF(AND(ISNUMBER(E172),ISNUMBER(F172)),MAX(1,NETWORKDAYS.INTL(E172,F172,11)),0)</f>
        <v>0</v>
      </c>
      <c r="BD172" s="1" t="str">
        <f aca="false">IF(OR(NOT(AND(ISNUMBER(E172),ISNUMBER(F172))),$J$2=""),"",MIN(100,ROUND(SUM($G172:G172),1)))</f>
        <v/>
      </c>
      <c r="BE172" s="1" t="str">
        <f aca="false">IF(OR(NOT(AND(ISNUMBER(E172),ISNUMBER(F172))),$J$2=""),"",MIN(100,ROUND(SUM($G172:H172),1)))</f>
        <v/>
      </c>
      <c r="BF172" s="1" t="str">
        <f aca="false">IF(OR(NOT(AND(ISNUMBER(E172),ISNUMBER(F172))),$J$2=""),"",MIN(100,ROUND(SUM($G172:I172),1)))</f>
        <v/>
      </c>
      <c r="BG172" s="1" t="str">
        <f aca="false">IF(OR(NOT(AND(ISNUMBER(E172),ISNUMBER(F172))),$J$2=""),"",MIN(100,ROUND(SUM($G172:J172),1)))</f>
        <v/>
      </c>
      <c r="BH172" s="1" t="str">
        <f aca="false">IF(OR(NOT(AND(ISNUMBER(E172),ISNUMBER(F172))),$J$2=""),"",MIN(100,ROUND(SUM($G172:K172),1)))</f>
        <v/>
      </c>
      <c r="BI172" s="1" t="str">
        <f aca="false">IF(OR(NOT(AND(ISNUMBER(E172),ISNUMBER(F172))),$J$2=""),"",MIN(100,ROUND(SUM($G172:L172),1)))</f>
        <v/>
      </c>
      <c r="BJ172" s="1" t="str">
        <f aca="false">IF(OR(NOT(AND(ISNUMBER(E172),ISNUMBER(F172))),$J$2=""),"",MIN(100,ROUND(SUM($G172:M172),1)))</f>
        <v/>
      </c>
      <c r="BK172" s="1" t="str">
        <f aca="false">IF(OR(NOT(AND(ISNUMBER(E172),ISNUMBER(F172))),$J$2=""),"",MIN(100,ROUND(SUM($G172:N172),1)))</f>
        <v/>
      </c>
      <c r="BL172" s="1" t="str">
        <f aca="false">IF(OR(NOT(AND(ISNUMBER(E172),ISNUMBER(F172))),$J$2=""),"",MIN(100,ROUND(SUM($G172:O172),1)))</f>
        <v/>
      </c>
      <c r="BM172" s="1" t="str">
        <f aca="false">IF(OR(NOT(AND(ISNUMBER(E172),ISNUMBER(F172))),$J$2=""),"",MIN(100,ROUND(SUM($G172:P172),1)))</f>
        <v/>
      </c>
      <c r="BN172" s="1" t="str">
        <f aca="false">IF(OR(NOT(AND(ISNUMBER(E172),ISNUMBER(F172))),$J$2=""),"",MIN(100,ROUND(SUM($G172:P172),1)))</f>
        <v/>
      </c>
      <c r="BO172" s="1" t="str">
        <f aca="false">IF(OR(NOT(AND(ISNUMBER(E172),ISNUMBER(F172))),$J$2=""),"",MIN(100,ROUND(SUM($G172:P172),1)))</f>
        <v/>
      </c>
      <c r="BP172" s="1" t="str">
        <f aca="false">IF(OR(NOT(AND(ISNUMBER(E172),ISNUMBER(F172))),$J$2=""),"",MIN(100,ROUND(SUM($G172:P172),1)))</f>
        <v/>
      </c>
      <c r="BQ172" s="1" t="str">
        <f aca="false">IF(OR(NOT(AND(ISNUMBER(E172),ISNUMBER(F172))),$J$2=""),"",MIN(100,ROUND(SUM($G172:P172),1)))</f>
        <v/>
      </c>
      <c r="BR172" s="1" t="str">
        <f aca="false">IF(OR(NOT(AND(ISNUMBER(E172),ISNUMBER(F172))),$J$2=""),"",MIN(100,ROUND(SUM($G172:P172),1)))</f>
        <v/>
      </c>
      <c r="BS172" s="1" t="str">
        <f aca="false">IF(OR(NOT(AND(ISNUMBER(E172),ISNUMBER(F172))),$J$2=""),"",MIN(100,ROUND(SUM($G172:P172),1)))</f>
        <v/>
      </c>
      <c r="BT172" s="1" t="str">
        <f aca="false">IF(OR(NOT(AND(ISNUMBER(E172),ISNUMBER(F172))),$J$2=""),"",IF(Reprogramaciones!K$13&lt;Reprogramaciones!$T$15,0,IF(Reprogramaciones!K$14&gt;10,MIN(100,SUM($G172:$P172)),MIN(100,SUMPRODUCT((COLUMN($G172:$P172)-COLUMN($G172)+1&lt;Reprogramaciones!K$14)*$G172:$P172)+N(INDEX($G172:$P172,1,Reprogramaciones!K$14))*IF(Reprogramaciones!K$13&gt;=(Reprogramaciones!$T$15+7*(Reprogramaciones!K$14-1))+6,1,IF(MAX(0,NETWORKDAYS.INTL(MAX(E172,(Reprogramaciones!$T$15+7*(Reprogramaciones!K$14-1))),MIN(F172,(Reprogramaciones!$T$15+7*(Reprogramaciones!K$14-1))+6),11))=0,0,MAX(0,NETWORKDAYS.INTL(MAX(E172,(Reprogramaciones!$T$15+7*(Reprogramaciones!K$14-1))),MIN(F172,Reprogramaciones!K$13),11))/MAX(0,NETWORKDAYS.INTL(MAX(E172,(Reprogramaciones!$T$15+7*(Reprogramaciones!K$14-1))),MIN(F172,(Reprogramaciones!$T$15+7*(Reprogramaciones!K$14-1))+6),11))))))))</f>
        <v/>
      </c>
      <c r="BU172" s="1" t="str">
        <f aca="false">IF(OR(NOT(AND(ISNUMBER(E172),ISNUMBER(F172))),$J$2=""),"",IF(Reprogramaciones!L$13&lt;Reprogramaciones!$T$15,0,IF(Reprogramaciones!L$14&gt;10,MIN(100,SUM($G172:$P172)),MIN(100,SUMPRODUCT((COLUMN($G172:$P172)-COLUMN($G172)+1&lt;Reprogramaciones!L$14)*$G172:$P172)+N(INDEX($G172:$P172,1,Reprogramaciones!L$14))*IF(Reprogramaciones!L$13&gt;=(Reprogramaciones!$T$15+7*(Reprogramaciones!L$14-1))+6,1,IF(MAX(0,NETWORKDAYS.INTL(MAX(E172,(Reprogramaciones!$T$15+7*(Reprogramaciones!L$14-1))),MIN(F172,(Reprogramaciones!$T$15+7*(Reprogramaciones!L$14-1))+6),11))=0,0,MAX(0,NETWORKDAYS.INTL(MAX(E172,(Reprogramaciones!$T$15+7*(Reprogramaciones!L$14-1))),MIN(F172,Reprogramaciones!L$13),11))/MAX(0,NETWORKDAYS.INTL(MAX(E172,(Reprogramaciones!$T$15+7*(Reprogramaciones!L$14-1))),MIN(F172,(Reprogramaciones!$T$15+7*(Reprogramaciones!L$14-1))+6),11))))))))</f>
        <v/>
      </c>
      <c r="BV172" s="1" t="str">
        <f aca="false">IF(OR(NOT(AND(ISNUMBER(E172),ISNUMBER(F172))),$J$2=""),"",IF(Reprogramaciones!M$13&lt;Reprogramaciones!$T$15,0,IF(Reprogramaciones!M$14&gt;10,MIN(100,SUM($G172:$P172)),MIN(100,SUMPRODUCT((COLUMN($G172:$P172)-COLUMN($G172)+1&lt;Reprogramaciones!M$14)*$G172:$P172)+N(INDEX($G172:$P172,1,Reprogramaciones!M$14))*IF(Reprogramaciones!M$13&gt;=(Reprogramaciones!$T$15+7*(Reprogramaciones!M$14-1))+6,1,IF(MAX(0,NETWORKDAYS.INTL(MAX(E172,(Reprogramaciones!$T$15+7*(Reprogramaciones!M$14-1))),MIN(F172,(Reprogramaciones!$T$15+7*(Reprogramaciones!M$14-1))+6),11))=0,0,MAX(0,NETWORKDAYS.INTL(MAX(E172,(Reprogramaciones!$T$15+7*(Reprogramaciones!M$14-1))),MIN(F172,Reprogramaciones!M$13),11))/MAX(0,NETWORKDAYS.INTL(MAX(E172,(Reprogramaciones!$T$15+7*(Reprogramaciones!M$14-1))),MIN(F172,(Reprogramaciones!$T$15+7*(Reprogramaciones!M$14-1))+6),11))))))))</f>
        <v/>
      </c>
      <c r="BW172" s="1" t="str">
        <f aca="false">IF(OR(NOT(AND(ISNUMBER(E172),ISNUMBER(F172))),$J$2=""),"",IF(Reprogramaciones!N$13&lt;Reprogramaciones!$T$15,0,IF(Reprogramaciones!N$14&gt;10,MIN(100,SUM($G172:$P172)),MIN(100,SUMPRODUCT((COLUMN($G172:$P172)-COLUMN($G172)+1&lt;Reprogramaciones!N$14)*$G172:$P172)+N(INDEX($G172:$P172,1,Reprogramaciones!N$14))*IF(Reprogramaciones!N$13&gt;=(Reprogramaciones!$T$15+7*(Reprogramaciones!N$14-1))+6,1,IF(MAX(0,NETWORKDAYS.INTL(MAX(E172,(Reprogramaciones!$T$15+7*(Reprogramaciones!N$14-1))),MIN(F172,(Reprogramaciones!$T$15+7*(Reprogramaciones!N$14-1))+6),11))=0,0,MAX(0,NETWORKDAYS.INTL(MAX(E172,(Reprogramaciones!$T$15+7*(Reprogramaciones!N$14-1))),MIN(F172,Reprogramaciones!N$13),11))/MAX(0,NETWORKDAYS.INTL(MAX(E172,(Reprogramaciones!$T$15+7*(Reprogramaciones!N$14-1))),MIN(F172,(Reprogramaciones!$T$15+7*(Reprogramaciones!N$14-1))+6),11))))))))</f>
        <v/>
      </c>
      <c r="BX172" s="1" t="str">
        <f aca="false">IF(OR(NOT(AND(ISNUMBER(E172),ISNUMBER(F172))),$J$2=""),"",IF(Reprogramaciones!O$13&lt;Reprogramaciones!$T$15,0,IF(Reprogramaciones!O$14&gt;10,MIN(100,SUM($G172:$P172)),MIN(100,SUMPRODUCT((COLUMN($G172:$P172)-COLUMN($G172)+1&lt;Reprogramaciones!O$14)*$G172:$P172)+N(INDEX($G172:$P172,1,Reprogramaciones!O$14))*IF(Reprogramaciones!O$13&gt;=(Reprogramaciones!$T$15+7*(Reprogramaciones!O$14-1))+6,1,IF(MAX(0,NETWORKDAYS.INTL(MAX(E172,(Reprogramaciones!$T$15+7*(Reprogramaciones!O$14-1))),MIN(F172,(Reprogramaciones!$T$15+7*(Reprogramaciones!O$14-1))+6),11))=0,0,MAX(0,NETWORKDAYS.INTL(MAX(E172,(Reprogramaciones!$T$15+7*(Reprogramaciones!O$14-1))),MIN(F172,Reprogramaciones!O$13),11))/MAX(0,NETWORKDAYS.INTL(MAX(E172,(Reprogramaciones!$T$15+7*(Reprogramaciones!O$14-1))),MIN(F172,(Reprogramaciones!$T$15+7*(Reprogramaciones!O$14-1))+6),11))))))))</f>
        <v/>
      </c>
      <c r="BY172" s="1" t="str">
        <f aca="false">IF(OR(NOT(AND(ISNUMBER(E172),ISNUMBER(F172))),$J$2=""),"",IF(Reprogramaciones!P$13&lt;Reprogramaciones!$T$15,0,IF(Reprogramaciones!P$14&gt;10,MIN(100,SUM($G172:$P172)),MIN(100,SUMPRODUCT((COLUMN($G172:$P172)-COLUMN($G172)+1&lt;Reprogramaciones!P$14)*$G172:$P172)+N(INDEX($G172:$P172,1,Reprogramaciones!P$14))*IF(Reprogramaciones!P$13&gt;=(Reprogramaciones!$T$15+7*(Reprogramaciones!P$14-1))+6,1,IF(MAX(0,NETWORKDAYS.INTL(MAX(E172,(Reprogramaciones!$T$15+7*(Reprogramaciones!P$14-1))),MIN(F172,(Reprogramaciones!$T$15+7*(Reprogramaciones!P$14-1))+6),11))=0,0,MAX(0,NETWORKDAYS.INTL(MAX(E172,(Reprogramaciones!$T$15+7*(Reprogramaciones!P$14-1))),MIN(F172,Reprogramaciones!P$13),11))/MAX(0,NETWORKDAYS.INTL(MAX(E172,(Reprogramaciones!$T$15+7*(Reprogramaciones!P$14-1))),MIN(F172,(Reprogramaciones!$T$15+7*(Reprogramaciones!P$14-1))+6),11))))))))</f>
        <v/>
      </c>
      <c r="BZ172" s="1" t="str">
        <f aca="false">IF(OR(NOT(AND(ISNUMBER(E172),ISNUMBER(F172))),$J$2=""),"",IF(Reprogramaciones!Q$13&lt;Reprogramaciones!$T$15,0,IF(Reprogramaciones!Q$14&gt;10,MIN(100,SUM($G172:$P172)),MIN(100,SUMPRODUCT((COLUMN($G172:$P172)-COLUMN($G172)+1&lt;Reprogramaciones!Q$14)*$G172:$P172)+N(INDEX($G172:$P172,1,Reprogramaciones!Q$14))*IF(Reprogramaciones!Q$13&gt;=(Reprogramaciones!$T$15+7*(Reprogramaciones!Q$14-1))+6,1,IF(MAX(0,NETWORKDAYS.INTL(MAX(E172,(Reprogramaciones!$T$15+7*(Reprogramaciones!Q$14-1))),MIN(F172,(Reprogramaciones!$T$15+7*(Reprogramaciones!Q$14-1))+6),11))=0,0,MAX(0,NETWORKDAYS.INTL(MAX(E172,(Reprogramaciones!$T$15+7*(Reprogramaciones!Q$14-1))),MIN(F172,Reprogramaciones!Q$13),11))/MAX(0,NETWORKDAYS.INTL(MAX(E172,(Reprogramaciones!$T$15+7*(Reprogramaciones!Q$14-1))),MIN(F172,(Reprogramaciones!$T$15+7*(Reprogramaciones!Q$14-1))+6),11))))))))</f>
        <v/>
      </c>
      <c r="CA172" s="1" t="str">
        <f aca="false">IF(OR(NOT(AND(ISNUMBER(E172),ISNUMBER(F172))),$J$2=""),"",IF(Reprogramaciones!R$13&lt;Reprogramaciones!$T$15,0,IF(Reprogramaciones!R$14&gt;10,MIN(100,SUM($G172:$P172)),MIN(100,SUMPRODUCT((COLUMN($G172:$P172)-COLUMN($G172)+1&lt;Reprogramaciones!R$14)*$G172:$P172)+N(INDEX($G172:$P172,1,Reprogramaciones!R$14))*IF(Reprogramaciones!R$13&gt;=(Reprogramaciones!$T$15+7*(Reprogramaciones!R$14-1))+6,1,IF(MAX(0,NETWORKDAYS.INTL(MAX(E172,(Reprogramaciones!$T$15+7*(Reprogramaciones!R$14-1))),MIN(F172,(Reprogramaciones!$T$15+7*(Reprogramaciones!R$14-1))+6),11))=0,0,MAX(0,NETWORKDAYS.INTL(MAX(E172,(Reprogramaciones!$T$15+7*(Reprogramaciones!R$14-1))),MIN(F172,Reprogramaciones!R$13),11))/MAX(0,NETWORKDAYS.INTL(MAX(E172,(Reprogramaciones!$T$15+7*(Reprogramaciones!R$14-1))),MIN(F172,(Reprogramaciones!$T$15+7*(Reprogramaciones!R$14-1))+6),11))))))))</f>
        <v/>
      </c>
      <c r="CB172" s="1" t="str">
        <f aca="false">IF(OR(NOT(AND(ISNUMBER(E172),ISNUMBER(F172))),$J$2=""),"",IF(Reprogramaciones!S$13&lt;Reprogramaciones!$T$15,0,IF(Reprogramaciones!S$14&gt;10,MIN(100,SUM($G172:$P172)),MIN(100,SUMPRODUCT((COLUMN($G172:$P172)-COLUMN($G172)+1&lt;Reprogramaciones!S$14)*$G172:$P172)+N(INDEX($G172:$P172,1,Reprogramaciones!S$14))*IF(Reprogramaciones!S$13&gt;=(Reprogramaciones!$T$15+7*(Reprogramaciones!S$14-1))+6,1,IF(MAX(0,NETWORKDAYS.INTL(MAX(E172,(Reprogramaciones!$T$15+7*(Reprogramaciones!S$14-1))),MIN(F172,(Reprogramaciones!$T$15+7*(Reprogramaciones!S$14-1))+6),11))=0,0,MAX(0,NETWORKDAYS.INTL(MAX(E172,(Reprogramaciones!$T$15+7*(Reprogramaciones!S$14-1))),MIN(F172,Reprogramaciones!S$13),11))/MAX(0,NETWORKDAYS.INTL(MAX(E172,(Reprogramaciones!$T$15+7*(Reprogramaciones!S$14-1))),MIN(F172,(Reprogramaciones!$T$15+7*(Reprogramaciones!S$14-1))+6),11))))))))</f>
        <v/>
      </c>
      <c r="CC172" s="1" t="str">
        <f aca="false">IF(OR(NOT(AND(ISNUMBER(E172),ISNUMBER(F172))),$J$2=""),"",IF(Reprogramaciones!T$13&lt;Reprogramaciones!$T$15,0,IF(Reprogramaciones!T$14&gt;10,MIN(100,SUM($G172:$P172)),MIN(100,SUMPRODUCT((COLUMN($G172:$P172)-COLUMN($G172)+1&lt;Reprogramaciones!T$14)*$G172:$P172)+N(INDEX($G172:$P172,1,Reprogramaciones!T$14))*IF(Reprogramaciones!T$13&gt;=(Reprogramaciones!$T$15+7*(Reprogramaciones!T$14-1))+6,1,IF(MAX(0,NETWORKDAYS.INTL(MAX(E172,(Reprogramaciones!$T$15+7*(Reprogramaciones!T$14-1))),MIN(F172,(Reprogramaciones!$T$15+7*(Reprogramaciones!T$14-1))+6),11))=0,0,MAX(0,NETWORKDAYS.INTL(MAX(E172,(Reprogramaciones!$T$15+7*(Reprogramaciones!T$14-1))),MIN(F172,Reprogramaciones!T$13),11))/MAX(0,NETWORKDAYS.INTL(MAX(E172,(Reprogramaciones!$T$15+7*(Reprogramaciones!T$14-1))),MIN(F172,(Reprogramaciones!$T$15+7*(Reprogramaciones!T$14-1))+6),11))))))))</f>
        <v/>
      </c>
      <c r="CD172" s="1" t="str">
        <f aca="false">IF(OR(NOT(AND(ISNUMBER(E172),ISNUMBER(F172))),$J$2=""),"",IF(Reprogramaciones!U$13&lt;Reprogramaciones!$T$15,0,IF(Reprogramaciones!U$14&gt;10,MIN(100,SUM($G172:$P172)),MIN(100,SUMPRODUCT((COLUMN($G172:$P172)-COLUMN($G172)+1&lt;Reprogramaciones!U$14)*$G172:$P172)+N(INDEX($G172:$P172,1,Reprogramaciones!U$14))*IF(Reprogramaciones!U$13&gt;=(Reprogramaciones!$T$15+7*(Reprogramaciones!U$14-1))+6,1,IF(MAX(0,NETWORKDAYS.INTL(MAX(E172,(Reprogramaciones!$T$15+7*(Reprogramaciones!U$14-1))),MIN(F172,(Reprogramaciones!$T$15+7*(Reprogramaciones!U$14-1))+6),11))=0,0,MAX(0,NETWORKDAYS.INTL(MAX(E172,(Reprogramaciones!$T$15+7*(Reprogramaciones!U$14-1))),MIN(F172,Reprogramaciones!U$13),11))/MAX(0,NETWORKDAYS.INTL(MAX(E172,(Reprogramaciones!$T$15+7*(Reprogramaciones!U$14-1))),MIN(F172,(Reprogramaciones!$T$15+7*(Reprogramaciones!U$14-1))+6),11))))))))</f>
        <v/>
      </c>
      <c r="CE172" s="1" t="str">
        <f aca="false">IF(OR(NOT(AND(ISNUMBER(E172),ISNUMBER(F172))),$J$2=""),"",IF(Reprogramaciones!V$13&lt;Reprogramaciones!$T$15,0,IF(Reprogramaciones!V$14&gt;10,MIN(100,SUM($G172:$P172)),MIN(100,SUMPRODUCT((COLUMN($G172:$P172)-COLUMN($G172)+1&lt;Reprogramaciones!V$14)*$G172:$P172)+N(INDEX($G172:$P172,1,Reprogramaciones!V$14))*IF(Reprogramaciones!V$13&gt;=(Reprogramaciones!$T$15+7*(Reprogramaciones!V$14-1))+6,1,IF(MAX(0,NETWORKDAYS.INTL(MAX(E172,(Reprogramaciones!$T$15+7*(Reprogramaciones!V$14-1))),MIN(F172,(Reprogramaciones!$T$15+7*(Reprogramaciones!V$14-1))+6),11))=0,0,MAX(0,NETWORKDAYS.INTL(MAX(E172,(Reprogramaciones!$T$15+7*(Reprogramaciones!V$14-1))),MIN(F172,Reprogramaciones!V$13),11))/MAX(0,NETWORKDAYS.INTL(MAX(E172,(Reprogramaciones!$T$15+7*(Reprogramaciones!V$14-1))),MIN(F172,(Reprogramaciones!$T$15+7*(Reprogramaciones!V$14-1))+6),11))))))))</f>
        <v/>
      </c>
      <c r="CF172" s="1" t="str">
        <f aca="false">IF(OR(NOT(AND(ISNUMBER(E172),ISNUMBER(F172))),$J$2=""),"",IF(Reprogramaciones!W$13&lt;Reprogramaciones!$T$15,0,IF(Reprogramaciones!W$14&gt;10,MIN(100,SUM($G172:$P172)),MIN(100,SUMPRODUCT((COLUMN($G172:$P172)-COLUMN($G172)+1&lt;Reprogramaciones!W$14)*$G172:$P172)+N(INDEX($G172:$P172,1,Reprogramaciones!W$14))*IF(Reprogramaciones!W$13&gt;=(Reprogramaciones!$T$15+7*(Reprogramaciones!W$14-1))+6,1,IF(MAX(0,NETWORKDAYS.INTL(MAX(E172,(Reprogramaciones!$T$15+7*(Reprogramaciones!W$14-1))),MIN(F172,(Reprogramaciones!$T$15+7*(Reprogramaciones!W$14-1))+6),11))=0,0,MAX(0,NETWORKDAYS.INTL(MAX(E172,(Reprogramaciones!$T$15+7*(Reprogramaciones!W$14-1))),MIN(F172,Reprogramaciones!W$13),11))/MAX(0,NETWORKDAYS.INTL(MAX(E172,(Reprogramaciones!$T$15+7*(Reprogramaciones!W$14-1))),MIN(F172,(Reprogramaciones!$T$15+7*(Reprogramaciones!W$14-1))+6),11))))))))</f>
        <v/>
      </c>
      <c r="CG172" s="1" t="str">
        <f aca="false">IF(OR(NOT(AND(ISNUMBER(E172),ISNUMBER(F172))),$J$2=""),"",IF(Reprogramaciones!X$13&lt;Reprogramaciones!$T$15,0,IF(Reprogramaciones!X$14&gt;10,MIN(100,SUM($G172:$P172)),MIN(100,SUMPRODUCT((COLUMN($G172:$P172)-COLUMN($G172)+1&lt;Reprogramaciones!X$14)*$G172:$P172)+N(INDEX($G172:$P172,1,Reprogramaciones!X$14))*IF(Reprogramaciones!X$13&gt;=(Reprogramaciones!$T$15+7*(Reprogramaciones!X$14-1))+6,1,IF(MAX(0,NETWORKDAYS.INTL(MAX(E172,(Reprogramaciones!$T$15+7*(Reprogramaciones!X$14-1))),MIN(F172,(Reprogramaciones!$T$15+7*(Reprogramaciones!X$14-1))+6),11))=0,0,MAX(0,NETWORKDAYS.INTL(MAX(E172,(Reprogramaciones!$T$15+7*(Reprogramaciones!X$14-1))),MIN(F172,Reprogramaciones!X$13),11))/MAX(0,NETWORKDAYS.INTL(MAX(E172,(Reprogramaciones!$T$15+7*(Reprogramaciones!X$14-1))),MIN(F172,(Reprogramaciones!$T$15+7*(Reprogramaciones!X$14-1))+6),11))))))))</f>
        <v/>
      </c>
      <c r="CH172" s="1" t="str">
        <f aca="false">IF(OR(NOT(AND(ISNUMBER(E172),ISNUMBER(F172))),$J$2=""),"",IF(Reprogramaciones!Y$13&lt;Reprogramaciones!$T$15,0,IF(Reprogramaciones!Y$14&gt;10,MIN(100,SUM($G172:$P172)),MIN(100,SUMPRODUCT((COLUMN($G172:$P172)-COLUMN($G172)+1&lt;Reprogramaciones!Y$14)*$G172:$P172)+N(INDEX($G172:$P172,1,Reprogramaciones!Y$14))*IF(Reprogramaciones!Y$13&gt;=(Reprogramaciones!$T$15+7*(Reprogramaciones!Y$14-1))+6,1,IF(MAX(0,NETWORKDAYS.INTL(MAX(E172,(Reprogramaciones!$T$15+7*(Reprogramaciones!Y$14-1))),MIN(F172,(Reprogramaciones!$T$15+7*(Reprogramaciones!Y$14-1))+6),11))=0,0,MAX(0,NETWORKDAYS.INTL(MAX(E172,(Reprogramaciones!$T$15+7*(Reprogramaciones!Y$14-1))),MIN(F172,Reprogramaciones!Y$13),11))/MAX(0,NETWORKDAYS.INTL(MAX(E172,(Reprogramaciones!$T$15+7*(Reprogramaciones!Y$14-1))),MIN(F172,(Reprogramaciones!$T$15+7*(Reprogramaciones!Y$14-1))+6),11))))))))</f>
        <v/>
      </c>
      <c r="CI172" s="1" t="str">
        <f aca="false">IF(OR(NOT(AND(ISNUMBER(E172),ISNUMBER(F172))),$J$2=""),"",IF(Reprogramaciones!Z$13&lt;Reprogramaciones!$T$15,0,IF(Reprogramaciones!Z$14&gt;10,MIN(100,SUM($G172:$P172)),MIN(100,SUMPRODUCT((COLUMN($G172:$P172)-COLUMN($G172)+1&lt;Reprogramaciones!Z$14)*$G172:$P172)+N(INDEX($G172:$P172,1,Reprogramaciones!Z$14))*IF(Reprogramaciones!Z$13&gt;=(Reprogramaciones!$T$15+7*(Reprogramaciones!Z$14-1))+6,1,IF(MAX(0,NETWORKDAYS.INTL(MAX(E172,(Reprogramaciones!$T$15+7*(Reprogramaciones!Z$14-1))),MIN(F172,(Reprogramaciones!$T$15+7*(Reprogramaciones!Z$14-1))+6),11))=0,0,MAX(0,NETWORKDAYS.INTL(MAX(E172,(Reprogramaciones!$T$15+7*(Reprogramaciones!Z$14-1))),MIN(F172,Reprogramaciones!Z$13),11))/MAX(0,NETWORKDAYS.INTL(MAX(E172,(Reprogramaciones!$T$15+7*(Reprogramaciones!Z$14-1))),MIN(F172,(Reprogramaciones!$T$15+7*(Reprogramaciones!Z$14-1))+6),11))))))))</f>
        <v/>
      </c>
      <c r="CJ172" s="1" t="str">
        <f aca="false">IF(OR(OR(NOT(AND(ISNUMBER(E172),ISNUMBER(F172))),$J$2=""),1&gt;Reprogramaciones!$K$16),"",IF(ROUND(SUM($Q172:Q172),1)&gt;=99.5,100,MIN(100,ROUND(SUM($Q172:Q172),1))))</f>
        <v/>
      </c>
      <c r="CK172" s="1" t="str">
        <f aca="false">IF(OR(OR(NOT(AND(ISNUMBER(E172),ISNUMBER(F172))),$J$2=""),2&gt;Reprogramaciones!$K$16),"",IF(ROUND(SUM($Q172:R172),1)&gt;=99.5,100,MIN(100,ROUND(SUM($Q172:R172),1))))</f>
        <v/>
      </c>
      <c r="CL172" s="1" t="str">
        <f aca="false">IF(OR(OR(NOT(AND(ISNUMBER(E172),ISNUMBER(F172))),$J$2=""),3&gt;Reprogramaciones!$K$16),"",IF(ROUND(SUM($Q172:S172),1)&gt;=99.5,100,MIN(100,ROUND(SUM($Q172:S172),1))))</f>
        <v/>
      </c>
      <c r="CM172" s="1" t="str">
        <f aca="false">IF(OR(OR(NOT(AND(ISNUMBER(E172),ISNUMBER(F172))),$J$2=""),4&gt;Reprogramaciones!$K$16),"",IF(ROUND(SUM($Q172:T172),1)&gt;=99.5,100,MIN(100,ROUND(SUM($Q172:T172),1))))</f>
        <v/>
      </c>
      <c r="CN172" s="1" t="str">
        <f aca="false">IF(OR(OR(NOT(AND(ISNUMBER(E172),ISNUMBER(F172))),$J$2=""),5&gt;Reprogramaciones!$K$16),"",IF(ROUND(SUM($Q172:U172),1)&gt;=99.5,100,MIN(100,ROUND(SUM($Q172:U172),1))))</f>
        <v/>
      </c>
      <c r="CO172" s="1" t="str">
        <f aca="false">IF(OR(OR(NOT(AND(ISNUMBER(E172),ISNUMBER(F172))),$J$2=""),6&gt;Reprogramaciones!$K$16),"",IF(ROUND(SUM($Q172:V172),1)&gt;=99.5,100,MIN(100,ROUND(SUM($Q172:V172),1))))</f>
        <v/>
      </c>
      <c r="CP172" s="1" t="str">
        <f aca="false">IF(OR(OR(NOT(AND(ISNUMBER(E172),ISNUMBER(F172))),$J$2=""),7&gt;Reprogramaciones!$K$16),"",IF(ROUND(SUM($Q172:W172),1)&gt;=99.5,100,MIN(100,ROUND(SUM($Q172:W172),1))))</f>
        <v/>
      </c>
      <c r="CQ172" s="1" t="str">
        <f aca="false">IF(OR(OR(NOT(AND(ISNUMBER(E172),ISNUMBER(F172))),$J$2=""),8&gt;Reprogramaciones!$K$16),"",IF(ROUND(SUM($Q172:X172),1)&gt;=99.5,100,MIN(100,ROUND(SUM($Q172:X172),1))))</f>
        <v/>
      </c>
      <c r="CR172" s="1" t="str">
        <f aca="false">IF(OR(OR(NOT(AND(ISNUMBER(E172),ISNUMBER(F172))),$J$2=""),9&gt;Reprogramaciones!$K$16),"",IF(ROUND(SUM($Q172:Y172),1)&gt;=99.5,100,MIN(100,ROUND(SUM($Q172:Y172),1))))</f>
        <v/>
      </c>
      <c r="CS172" s="1" t="str">
        <f aca="false">IF(OR(OR(NOT(AND(ISNUMBER(E172),ISNUMBER(F172))),$J$2=""),10&gt;Reprogramaciones!$K$16),"",IF(ROUND(SUM($Q172:Z172),1)&gt;=99.5,100,MIN(100,ROUND(SUM($Q172:Z172),1))))</f>
        <v/>
      </c>
      <c r="CT172" s="1" t="str">
        <f aca="false">IF(OR(OR(NOT(AND(ISNUMBER(E172),ISNUMBER(F172))),$J$2=""),11&gt;Reprogramaciones!$K$16),"",IF(ROUND(SUM($Q172:AA172),1)&gt;=99.5,100,MIN(100,ROUND(SUM($Q172:AA172),1))))</f>
        <v/>
      </c>
      <c r="CU172" s="1" t="str">
        <f aca="false">IF(OR(OR(NOT(AND(ISNUMBER(E172),ISNUMBER(F172))),$J$2=""),12&gt;Reprogramaciones!$K$16),"",IF(ROUND(SUM($Q172:AB172),1)&gt;=99.5,100,MIN(100,ROUND(SUM($Q172:AB172),1))))</f>
        <v/>
      </c>
      <c r="CV172" s="1" t="str">
        <f aca="false">IF(OR(OR(NOT(AND(ISNUMBER(E172),ISNUMBER(F172))),$J$2=""),13&gt;Reprogramaciones!$K$16),"",IF(ROUND(SUM($Q172:AC172),1)&gt;=99.5,100,MIN(100,ROUND(SUM($Q172:AC172),1))))</f>
        <v/>
      </c>
      <c r="CW172" s="1" t="str">
        <f aca="false">IF(OR(OR(NOT(AND(ISNUMBER(E172),ISNUMBER(F172))),$J$2=""),14&gt;Reprogramaciones!$K$16),"",IF(ROUND(SUM($Q172:AD172),1)&gt;=99.5,100,MIN(100,ROUND(SUM($Q172:AD172),1))))</f>
        <v/>
      </c>
      <c r="CX172" s="1" t="str">
        <f aca="false">IF(OR(OR(NOT(AND(ISNUMBER(E172),ISNUMBER(F172))),$J$2=""),15&gt;Reprogramaciones!$K$16),"",IF(ROUND(SUM($Q172:AE172),1)&gt;=99.5,100,MIN(100,ROUND(SUM($Q172:AE172),1))))</f>
        <v/>
      </c>
      <c r="CY172" s="1" t="str">
        <f aca="false">IF(OR(OR(NOT(AND(ISNUMBER(E172),ISNUMBER(F172))),$J$2=""),16&gt;Reprogramaciones!$K$16),"",IF(ROUND(SUM($Q172:AF172),1)&gt;=99.5,100,MIN(100,ROUND(SUM($Q172:AF172),1))))</f>
        <v/>
      </c>
      <c r="CZ172" s="1" t="str">
        <f aca="false">IF(D172&lt;&gt;"",D172,IF(B172&lt;&gt;"","Contractual",CZ171))</f>
        <v>Contractual</v>
      </c>
      <c r="DA172" s="1" t="str">
        <f aca="false">IF(OR(NOT(AND(ISNUMBER(E172),ISNUMBER(F172))),$J$2=""),"",IF(Reprogramaciones!$Q$15&lt;Reprogramaciones!$T$15,0,IF(Reprogramaciones!$S$15&gt;10,MIN(100,SUM($G172:$P172)),MIN(100,SUMPRODUCT((COLUMN($G172:$P172)-COLUMN($G172)+1&lt;Reprogramaciones!$S$15)*$G172:$P172)+N(INDEX($G172:$P172,1,Reprogramaciones!$S$15))*IF(Reprogramaciones!$Q$15&gt;=(Reprogramaciones!$T$15+7*(Reprogramaciones!$S$15-1))+6,1,IF(MAX(0,NETWORKDAYS.INTL(MAX(E172,(Reprogramaciones!$T$15+7*(Reprogramaciones!$S$15-1))),MIN(F172,(Reprogramaciones!$T$15+7*(Reprogramaciones!$S$15-1))+6),11))=0,0,MAX(0,NETWORKDAYS.INTL(MAX(E172,(Reprogramaciones!$T$15+7*(Reprogramaciones!$S$15-1))),MIN(F172,Reprogramaciones!$Q$15),11))/MAX(0,NETWORKDAYS.INTL(MAX(E172,(Reprogramaciones!$T$15+7*(Reprogramaciones!$S$15-1))),MIN(F172,(Reprogramaciones!$T$15+7*(Reprogramaciones!$S$15-1))+6),11))))))))</f>
        <v/>
      </c>
    </row>
    <row r="173" customFormat="false" ht="15" hidden="false" customHeight="false" outlineLevel="0" collapsed="false">
      <c r="A173" s="32"/>
      <c r="B173" s="33"/>
      <c r="C173" s="33"/>
      <c r="D173" s="34"/>
      <c r="E173" s="35"/>
      <c r="F173" s="35"/>
      <c r="G173" s="36" t="str">
        <f aca="false">IF(OR(NOT(AND(ISNUMBER(E173),ISNUMBER(F173))),$J$2=""),"",IF(Reprogramaciones!K$9&lt;E173,0,IF(NETWORKDAYS.INTL(E173,F173,11)=0,IF(Reprogramaciones!K$9&gt;=F173,100,0),ROUND(NETWORKDAYS.INTL(E173,MIN(F173,Reprogramaciones!K$9),11)/NETWORKDAYS.INTL(E173,F173,11)*100,1)))-0)</f>
        <v/>
      </c>
      <c r="H173" s="36" t="str">
        <f aca="false">IF(OR(NOT(AND(ISNUMBER(E173),ISNUMBER(F173))),$J$2=""),"",IF(Reprogramaciones!L$9&lt;E173,0,IF(NETWORKDAYS.INTL(E173,F173,11)=0,IF(Reprogramaciones!L$9&gt;=F173,100,0),ROUND(NETWORKDAYS.INTL(E173,MIN(F173,Reprogramaciones!L$9),11)/NETWORKDAYS.INTL(E173,F173,11)*100,1)))-IF(Reprogramaciones!K$9&lt;E173,0,IF(NETWORKDAYS.INTL(E173,F173,11)=0,IF(Reprogramaciones!K$9&gt;=F173,100,0),ROUND(NETWORKDAYS.INTL(E173,MIN(F173,Reprogramaciones!K$9),11)/NETWORKDAYS.INTL(E173,F173,11)*100,1))))</f>
        <v/>
      </c>
      <c r="I173" s="36" t="str">
        <f aca="false">IF(OR(NOT(AND(ISNUMBER(E173),ISNUMBER(F173))),$J$2=""),"",IF(Reprogramaciones!M$9&lt;E173,0,IF(NETWORKDAYS.INTL(E173,F173,11)=0,IF(Reprogramaciones!M$9&gt;=F173,100,0),ROUND(NETWORKDAYS.INTL(E173,MIN(F173,Reprogramaciones!M$9),11)/NETWORKDAYS.INTL(E173,F173,11)*100,1)))-IF(Reprogramaciones!L$9&lt;E173,0,IF(NETWORKDAYS.INTL(E173,F173,11)=0,IF(Reprogramaciones!L$9&gt;=F173,100,0),ROUND(NETWORKDAYS.INTL(E173,MIN(F173,Reprogramaciones!L$9),11)/NETWORKDAYS.INTL(E173,F173,11)*100,1))))</f>
        <v/>
      </c>
      <c r="J173" s="36" t="str">
        <f aca="false">IF(OR(NOT(AND(ISNUMBER(E173),ISNUMBER(F173))),$J$2=""),"",IF(Reprogramaciones!N$9&lt;E173,0,IF(NETWORKDAYS.INTL(E173,F173,11)=0,IF(Reprogramaciones!N$9&gt;=F173,100,0),ROUND(NETWORKDAYS.INTL(E173,MIN(F173,Reprogramaciones!N$9),11)/NETWORKDAYS.INTL(E173,F173,11)*100,1)))-IF(Reprogramaciones!M$9&lt;E173,0,IF(NETWORKDAYS.INTL(E173,F173,11)=0,IF(Reprogramaciones!M$9&gt;=F173,100,0),ROUND(NETWORKDAYS.INTL(E173,MIN(F173,Reprogramaciones!M$9),11)/NETWORKDAYS.INTL(E173,F173,11)*100,1))))</f>
        <v/>
      </c>
      <c r="K173" s="36" t="str">
        <f aca="false">IF(OR(NOT(AND(ISNUMBER(E173),ISNUMBER(F173))),$J$2=""),"",IF(Reprogramaciones!O$9&lt;E173,0,IF(NETWORKDAYS.INTL(E173,F173,11)=0,IF(Reprogramaciones!O$9&gt;=F173,100,0),ROUND(NETWORKDAYS.INTL(E173,MIN(F173,Reprogramaciones!O$9),11)/NETWORKDAYS.INTL(E173,F173,11)*100,1)))-IF(Reprogramaciones!N$9&lt;E173,0,IF(NETWORKDAYS.INTL(E173,F173,11)=0,IF(Reprogramaciones!N$9&gt;=F173,100,0),ROUND(NETWORKDAYS.INTL(E173,MIN(F173,Reprogramaciones!N$9),11)/NETWORKDAYS.INTL(E173,F173,11)*100,1))))</f>
        <v/>
      </c>
      <c r="L173" s="36" t="str">
        <f aca="false">IF(OR(NOT(AND(ISNUMBER(E173),ISNUMBER(F173))),$J$2=""),"",IF(Reprogramaciones!P$9&lt;E173,0,IF(NETWORKDAYS.INTL(E173,F173,11)=0,IF(Reprogramaciones!P$9&gt;=F173,100,0),ROUND(NETWORKDAYS.INTL(E173,MIN(F173,Reprogramaciones!P$9),11)/NETWORKDAYS.INTL(E173,F173,11)*100,1)))-IF(Reprogramaciones!O$9&lt;E173,0,IF(NETWORKDAYS.INTL(E173,F173,11)=0,IF(Reprogramaciones!O$9&gt;=F173,100,0),ROUND(NETWORKDAYS.INTL(E173,MIN(F173,Reprogramaciones!O$9),11)/NETWORKDAYS.INTL(E173,F173,11)*100,1))))</f>
        <v/>
      </c>
      <c r="M173" s="36" t="str">
        <f aca="false">IF(OR(NOT(AND(ISNUMBER(E173),ISNUMBER(F173))),$J$2=""),"",IF(Reprogramaciones!Q$9&lt;E173,0,IF(NETWORKDAYS.INTL(E173,F173,11)=0,IF(Reprogramaciones!Q$9&gt;=F173,100,0),ROUND(NETWORKDAYS.INTL(E173,MIN(F173,Reprogramaciones!Q$9),11)/NETWORKDAYS.INTL(E173,F173,11)*100,1)))-IF(Reprogramaciones!P$9&lt;E173,0,IF(NETWORKDAYS.INTL(E173,F173,11)=0,IF(Reprogramaciones!P$9&gt;=F173,100,0),ROUND(NETWORKDAYS.INTL(E173,MIN(F173,Reprogramaciones!P$9),11)/NETWORKDAYS.INTL(E173,F173,11)*100,1))))</f>
        <v/>
      </c>
      <c r="N173" s="36" t="str">
        <f aca="false">IF(OR(NOT(AND(ISNUMBER(E173),ISNUMBER(F173))),$J$2=""),"",IF(Reprogramaciones!R$9&lt;E173,0,IF(NETWORKDAYS.INTL(E173,F173,11)=0,IF(Reprogramaciones!R$9&gt;=F173,100,0),ROUND(NETWORKDAYS.INTL(E173,MIN(F173,Reprogramaciones!R$9),11)/NETWORKDAYS.INTL(E173,F173,11)*100,1)))-IF(Reprogramaciones!Q$9&lt;E173,0,IF(NETWORKDAYS.INTL(E173,F173,11)=0,IF(Reprogramaciones!Q$9&gt;=F173,100,0),ROUND(NETWORKDAYS.INTL(E173,MIN(F173,Reprogramaciones!Q$9),11)/NETWORKDAYS.INTL(E173,F173,11)*100,1))))</f>
        <v/>
      </c>
      <c r="O173" s="36" t="str">
        <f aca="false">IF(OR(NOT(AND(ISNUMBER(E173),ISNUMBER(F173))),$J$2=""),"",IF(Reprogramaciones!S$9&lt;E173,0,IF(NETWORKDAYS.INTL(E173,F173,11)=0,IF(Reprogramaciones!S$9&gt;=F173,100,0),ROUND(NETWORKDAYS.INTL(E173,MIN(F173,Reprogramaciones!S$9),11)/NETWORKDAYS.INTL(E173,F173,11)*100,1)))-IF(Reprogramaciones!R$9&lt;E173,0,IF(NETWORKDAYS.INTL(E173,F173,11)=0,IF(Reprogramaciones!R$9&gt;=F173,100,0),ROUND(NETWORKDAYS.INTL(E173,MIN(F173,Reprogramaciones!R$9),11)/NETWORKDAYS.INTL(E173,F173,11)*100,1))))</f>
        <v/>
      </c>
      <c r="P173" s="36" t="str">
        <f aca="false">IF(OR(NOT(AND(ISNUMBER(E173),ISNUMBER(F173))),$J$2=""),"",IF(Reprogramaciones!T$9&lt;E173,0,IF(NETWORKDAYS.INTL(E173,F173,11)=0,IF(Reprogramaciones!T$9&gt;=F173,100,0),ROUND(NETWORKDAYS.INTL(E173,MIN(F173,Reprogramaciones!T$9),11)/NETWORKDAYS.INTL(E173,F173,11)*100,1)))-IF(Reprogramaciones!S$9&lt;E173,0,IF(NETWORKDAYS.INTL(E173,F173,11)=0,IF(Reprogramaciones!S$9&gt;=F173,100,0),ROUND(NETWORKDAYS.INTL(E173,MIN(F173,Reprogramaciones!S$9),11)/NETWORKDAYS.INTL(E173,F173,11)*100,1))))</f>
        <v/>
      </c>
      <c r="Q173" s="37"/>
      <c r="R173" s="37"/>
      <c r="S173" s="37"/>
      <c r="T173" s="37"/>
      <c r="U173" s="37"/>
      <c r="V173" s="37"/>
      <c r="W173" s="37"/>
      <c r="X173" s="37"/>
      <c r="Y173" s="37"/>
      <c r="Z173" s="37"/>
      <c r="AA173" s="37"/>
      <c r="AB173" s="37"/>
      <c r="AC173" s="37"/>
      <c r="AD173" s="37"/>
      <c r="AE173" s="37"/>
      <c r="AF173" s="37"/>
      <c r="AG173" s="38" t="str">
        <f aca="false">IF(AND(ISNUMBER(E173),ISNUMBER(F173)),NETWORKDAYS.INTL(E173,F173,11),"")</f>
        <v/>
      </c>
      <c r="AH173" s="38" t="str">
        <f aca="false">IF(OR(NOT(AND(ISNUMBER(E173),ISNUMBER(F173))),$J$2=""),"",IF(Reprogramaciones!$P$15&lt;Reprogramaciones!$T$15,0,IF(Reprogramaciones!$R$15&gt;10,MIN(100,SUM($G173:$P173)),MIN(100,SUMPRODUCT((COLUMN($G173:$P173)-COLUMN($G173)+1&lt;Reprogramaciones!$R$15)*$G173:$P173)+N(INDEX($G173:$P173,1,Reprogramaciones!$R$15))*IF(Reprogramaciones!$P$15&gt;=(Reprogramaciones!$T$15+7*(Reprogramaciones!$R$15-1))+6,1,IF(MAX(0,NETWORKDAYS.INTL(MAX(E173,(Reprogramaciones!$T$15+7*(Reprogramaciones!$R$15-1))),MIN(F173,(Reprogramaciones!$T$15+7*(Reprogramaciones!$R$15-1))+6),11))=0,0,MAX(0,NETWORKDAYS.INTL(MAX(E173,(Reprogramaciones!$T$15+7*(Reprogramaciones!$R$15-1))),MIN(F173,Reprogramaciones!$P$15),11))/MAX(0,NETWORKDAYS.INTL(MAX(E173,(Reprogramaciones!$T$15+7*(Reprogramaciones!$R$15-1))),MIN(F173,(Reprogramaciones!$T$15+7*(Reprogramaciones!$R$15-1))+6),11))))))))</f>
        <v/>
      </c>
      <c r="AI173" s="38" t="str">
        <f aca="false">IF(COUNT($Q173:$AF173)=0,"",IF(ROUND(SUM($Q173:$AF173),1)&gt;=99.5,100,MIN(100,ROUND(SUM($Q173:$AF173),1))))</f>
        <v/>
      </c>
      <c r="AJ173" s="38" t="str">
        <f aca="false">IF(OR(AH173="",AI173=""),"",AI173-AH173)</f>
        <v/>
      </c>
      <c r="AK173" s="39" t="str">
        <f aca="true">IF(AH173="","",IF(OR(Ficha!$C$10="Suspendida",Ficha!$C$10="Cancelada"),Ficha!$C$10,IF(AND(AI173&lt;&gt;"",N(AI173)&gt;=100),"Completada",IF(AND(E173&gt;TODAY(),N(AI173)=0),"Por iniciar",IF(N(AI173)+0.5&lt;AH173,"Retrasada",IF(N(AI173)+0.5&lt;DA173,IF(Reprogramaciones!$K$15&gt;0,"Al día · Sem "&amp;Reprogramaciones!$K$15&amp;" en curso","Al día · en curso"),"A tiempo"))))))</f>
        <v/>
      </c>
      <c r="AL173" s="39" t="str">
        <f aca="true">IF(AND(A173="",AND(B173="",C173="",E173="",F173="",COUNT(Q173:AF173)=0)),"",IF(AND(B173="",C173="",E173="",F173="",COUNT(Q173:AF173)=0),"Falta la partida o subpartida",IF(AND(A173&lt;&gt;"",COUNTIF($A$6:$A$305,A173)&gt;1),"Ítem repetido",IF(AND(C173="",E173="",F173="",COUNT(Q173:AF173)=0),"Título de partida",IF(OR(E173="",F173=""),"Faltan fechas",IF(OR(ISTEXT(E173),ISTEXT(F173)),"Fecha escrita como texto: usa dd/mm/aaaa",IF(F173&lt;E173,"Fin antes del inicio",IF(IF($J$2="",FALSE(),OR(E173&lt;$J$2,F173&gt;Reprogramaciones!$T$15+69)),"Fuera de las 10 semanas",IF(ABS(SUM(G173:P173)-100)&gt;0.5,"La meta no suma 100%",IF(ROUND(SUM(Q173:AF173),1)&gt;100.5,"El avance pasa de 100%",IF(MIN(Q173:AF173)&lt;0,"Avance negativo",IF(COUNTA(Q173:AF173)&gt;COUNT(Q173:AF173),"Avance escrito como texto",IF(SUMPRODUCT((Q173:AF173&gt;0)*(Q173:AF173&lt;1))&gt;0,"Avance menor a 1: escribe 50, no 50%",IF(SUMPRODUCT(ISNUMBER(Q173:AF173)*(Reprogramaciones!$K$8:$Z$8&gt;TODAY()))&gt;0,"Avance en semana que aún no llega",IF(AND(N(Reprogramaciones!$E$21)&gt;0,F173&gt;Reprogramaciones!$E$21),"Pasa el fin de la obra: registra una reprogramación",IF(AND(N(Reprogramaciones!$E$21)&gt;0,SUMPRODUCT(ISNUMBER(Q173:AF173)*(Reprogramaciones!$K$8:$Z$8&gt;Reprogramaciones!$E$21))&gt;0),"Avance después del fin de la obra: registra una reprogramación por atraso","OK"))))))))))))))))</f>
        <v/>
      </c>
      <c r="AM173" s="40" t="str">
        <f aca="false">IF(OR(OR(NOT(AND(ISNUMBER(E173),ISNUMBER(F173))),$J$2=""),1&gt;MAX(1,Reprogramaciones!$U$15)),"",IF(Reprogramaciones!K$12&gt;=7,"",IF(OR(BT173-N(0)&gt;0.05,N(Q173)&gt;0),ROUNDDOWN(ROUND(BT173,6),0)&amp;"%"&amp;IF(CJ173="",""," / "&amp;CJ173&amp;"%"),IF(AND(N(0)&gt;=99.95,CJ173&lt;&gt;"",N(CJ173)&lt;100),"Pend. "&amp;CJ173&amp;"%",""))))</f>
        <v/>
      </c>
      <c r="AN173" s="40" t="str">
        <f aca="false">IF(OR(OR(NOT(AND(ISNUMBER(E173),ISNUMBER(F173))),$J$2=""),2&gt;MAX(1,Reprogramaciones!$U$15)),"",IF(Reprogramaciones!L$12&gt;=7,"",IF(OR(BU173-N(BT173)&gt;0.05,N(R173)&gt;0),ROUNDDOWN(ROUND(BU173,6),0)&amp;"%"&amp;IF(CK173="",""," / "&amp;CK173&amp;"%"),IF(AND(N(BT173)&gt;=99.95,CK173&lt;&gt;"",N(CK173)&lt;100),"Pend. "&amp;CK173&amp;"%",""))))</f>
        <v/>
      </c>
      <c r="AO173" s="40" t="str">
        <f aca="false">IF(OR(OR(NOT(AND(ISNUMBER(E173),ISNUMBER(F173))),$J$2=""),3&gt;MAX(1,Reprogramaciones!$U$15)),"",IF(Reprogramaciones!M$12&gt;=7,"",IF(OR(BV173-N(BU173)&gt;0.05,N(S173)&gt;0),ROUNDDOWN(ROUND(BV173,6),0)&amp;"%"&amp;IF(CL173="",""," / "&amp;CL173&amp;"%"),IF(AND(N(BU173)&gt;=99.95,CL173&lt;&gt;"",N(CL173)&lt;100),"Pend. "&amp;CL173&amp;"%",""))))</f>
        <v/>
      </c>
      <c r="AP173" s="40" t="str">
        <f aca="false">IF(OR(OR(NOT(AND(ISNUMBER(E173),ISNUMBER(F173))),$J$2=""),4&gt;MAX(1,Reprogramaciones!$U$15)),"",IF(Reprogramaciones!N$12&gt;=7,"",IF(OR(BW173-N(BV173)&gt;0.05,N(T173)&gt;0),ROUNDDOWN(ROUND(BW173,6),0)&amp;"%"&amp;IF(CM173="",""," / "&amp;CM173&amp;"%"),IF(AND(N(BV173)&gt;=99.95,CM173&lt;&gt;"",N(CM173)&lt;100),"Pend. "&amp;CM173&amp;"%",""))))</f>
        <v/>
      </c>
      <c r="AQ173" s="40" t="str">
        <f aca="false">IF(OR(OR(NOT(AND(ISNUMBER(E173),ISNUMBER(F173))),$J$2=""),5&gt;MAX(1,Reprogramaciones!$U$15)),"",IF(Reprogramaciones!O$12&gt;=7,"",IF(OR(BX173-N(BW173)&gt;0.05,N(U173)&gt;0),ROUNDDOWN(ROUND(BX173,6),0)&amp;"%"&amp;IF(CN173="",""," / "&amp;CN173&amp;"%"),IF(AND(N(BW173)&gt;=99.95,CN173&lt;&gt;"",N(CN173)&lt;100),"Pend. "&amp;CN173&amp;"%",""))))</f>
        <v/>
      </c>
      <c r="AR173" s="40" t="str">
        <f aca="false">IF(OR(OR(NOT(AND(ISNUMBER(E173),ISNUMBER(F173))),$J$2=""),6&gt;MAX(1,Reprogramaciones!$U$15)),"",IF(Reprogramaciones!P$12&gt;=7,"",IF(OR(BY173-N(BX173)&gt;0.05,N(V173)&gt;0),ROUNDDOWN(ROUND(BY173,6),0)&amp;"%"&amp;IF(CO173="",""," / "&amp;CO173&amp;"%"),IF(AND(N(BX173)&gt;=99.95,CO173&lt;&gt;"",N(CO173)&lt;100),"Pend. "&amp;CO173&amp;"%",""))))</f>
        <v/>
      </c>
      <c r="AS173" s="40" t="str">
        <f aca="false">IF(OR(OR(NOT(AND(ISNUMBER(E173),ISNUMBER(F173))),$J$2=""),7&gt;MAX(1,Reprogramaciones!$U$15)),"",IF(Reprogramaciones!Q$12&gt;=7,"",IF(OR(BZ173-N(BY173)&gt;0.05,N(W173)&gt;0),ROUNDDOWN(ROUND(BZ173,6),0)&amp;"%"&amp;IF(CP173="",""," / "&amp;CP173&amp;"%"),IF(AND(N(BY173)&gt;=99.95,CP173&lt;&gt;"",N(CP173)&lt;100),"Pend. "&amp;CP173&amp;"%",""))))</f>
        <v/>
      </c>
      <c r="AT173" s="40" t="str">
        <f aca="false">IF(OR(OR(NOT(AND(ISNUMBER(E173),ISNUMBER(F173))),$J$2=""),8&gt;MAX(1,Reprogramaciones!$U$15)),"",IF(Reprogramaciones!R$12&gt;=7,"",IF(OR(CA173-N(BZ173)&gt;0.05,N(X173)&gt;0),ROUNDDOWN(ROUND(CA173,6),0)&amp;"%"&amp;IF(CQ173="",""," / "&amp;CQ173&amp;"%"),IF(AND(N(BZ173)&gt;=99.95,CQ173&lt;&gt;"",N(CQ173)&lt;100),"Pend. "&amp;CQ173&amp;"%",""))))</f>
        <v/>
      </c>
      <c r="AU173" s="40" t="str">
        <f aca="false">IF(OR(OR(NOT(AND(ISNUMBER(E173),ISNUMBER(F173))),$J$2=""),9&gt;MAX(1,Reprogramaciones!$U$15)),"",IF(Reprogramaciones!S$12&gt;=7,"",IF(OR(CB173-N(CA173)&gt;0.05,N(Y173)&gt;0),ROUNDDOWN(ROUND(CB173,6),0)&amp;"%"&amp;IF(CR173="",""," / "&amp;CR173&amp;"%"),IF(AND(N(CA173)&gt;=99.95,CR173&lt;&gt;"",N(CR173)&lt;100),"Pend. "&amp;CR173&amp;"%",""))))</f>
        <v/>
      </c>
      <c r="AV173" s="40" t="str">
        <f aca="false">IF(OR(OR(NOT(AND(ISNUMBER(E173),ISNUMBER(F173))),$J$2=""),10&gt;MAX(1,Reprogramaciones!$U$15)),"",IF(Reprogramaciones!T$12&gt;=7,"",IF(OR(CC173-N(CB173)&gt;0.05,N(Z173)&gt;0),ROUNDDOWN(ROUND(CC173,6),0)&amp;"%"&amp;IF(CS173="",""," / "&amp;CS173&amp;"%"),IF(AND(N(CB173)&gt;=99.95,CS173&lt;&gt;"",N(CS173)&lt;100),"Pend. "&amp;CS173&amp;"%",""))))</f>
        <v/>
      </c>
      <c r="AW173" s="40" t="str">
        <f aca="false">IF(OR(OR(NOT(AND(ISNUMBER(E173),ISNUMBER(F173))),$J$2=""),11&gt;MAX(1,Reprogramaciones!$U$15)),"",IF(Reprogramaciones!U$12&gt;=7,"",IF(OR(CD173-N(CC173)&gt;0.05,N(AA173)&gt;0),ROUNDDOWN(ROUND(CD173,6),0)&amp;"%"&amp;IF(CT173="",""," / "&amp;CT173&amp;"%"),IF(AND(N(CC173)&gt;=99.95,CT173&lt;&gt;"",N(CT173)&lt;100),"Pend. "&amp;CT173&amp;"%",""))))</f>
        <v/>
      </c>
      <c r="AX173" s="40" t="str">
        <f aca="false">IF(OR(OR(NOT(AND(ISNUMBER(E173),ISNUMBER(F173))),$J$2=""),12&gt;MAX(1,Reprogramaciones!$U$15)),"",IF(Reprogramaciones!V$12&gt;=7,"",IF(OR(CE173-N(CD173)&gt;0.05,N(AB173)&gt;0),ROUNDDOWN(ROUND(CE173,6),0)&amp;"%"&amp;IF(CU173="",""," / "&amp;CU173&amp;"%"),IF(AND(N(CD173)&gt;=99.95,CU173&lt;&gt;"",N(CU173)&lt;100),"Pend. "&amp;CU173&amp;"%",""))))</f>
        <v/>
      </c>
      <c r="AY173" s="40" t="str">
        <f aca="false">IF(OR(OR(NOT(AND(ISNUMBER(E173),ISNUMBER(F173))),$J$2=""),13&gt;MAX(1,Reprogramaciones!$U$15)),"",IF(Reprogramaciones!W$12&gt;=7,"",IF(OR(CF173-N(CE173)&gt;0.05,N(AC173)&gt;0),ROUNDDOWN(ROUND(CF173,6),0)&amp;"%"&amp;IF(CV173="",""," / "&amp;CV173&amp;"%"),IF(AND(N(CE173)&gt;=99.95,CV173&lt;&gt;"",N(CV173)&lt;100),"Pend. "&amp;CV173&amp;"%",""))))</f>
        <v/>
      </c>
      <c r="AZ173" s="40" t="str">
        <f aca="false">IF(OR(OR(NOT(AND(ISNUMBER(E173),ISNUMBER(F173))),$J$2=""),14&gt;MAX(1,Reprogramaciones!$U$15)),"",IF(Reprogramaciones!X$12&gt;=7,"",IF(OR(CG173-N(CF173)&gt;0.05,N(AD173)&gt;0),ROUNDDOWN(ROUND(CG173,6),0)&amp;"%"&amp;IF(CW173="",""," / "&amp;CW173&amp;"%"),IF(AND(N(CF173)&gt;=99.95,CW173&lt;&gt;"",N(CW173)&lt;100),"Pend. "&amp;CW173&amp;"%",""))))</f>
        <v/>
      </c>
      <c r="BA173" s="40" t="str">
        <f aca="false">IF(OR(OR(NOT(AND(ISNUMBER(E173),ISNUMBER(F173))),$J$2=""),15&gt;MAX(1,Reprogramaciones!$U$15)),"",IF(Reprogramaciones!Y$12&gt;=7,"",IF(OR(CH173-N(CG173)&gt;0.05,N(AE173)&gt;0),ROUNDDOWN(ROUND(CH173,6),0)&amp;"%"&amp;IF(CX173="",""," / "&amp;CX173&amp;"%"),IF(AND(N(CG173)&gt;=99.95,CX173&lt;&gt;"",N(CX173)&lt;100),"Pend. "&amp;CX173&amp;"%",""))))</f>
        <v/>
      </c>
      <c r="BB173" s="40" t="str">
        <f aca="false">IF(OR(OR(NOT(AND(ISNUMBER(E173),ISNUMBER(F173))),$J$2=""),16&gt;MAX(1,Reprogramaciones!$U$15)),"",IF(Reprogramaciones!Z$12&gt;=7,"",IF(OR(CI173-N(CH173)&gt;0.05,N(AF173)&gt;0),ROUNDDOWN(ROUND(CI173,6),0)&amp;"%"&amp;IF(CY173="",""," / "&amp;CY173&amp;"%"),IF(AND(N(CH173)&gt;=99.95,CY173&lt;&gt;"",N(CY173)&lt;100),"Pend. "&amp;CY173&amp;"%",""))))</f>
        <v/>
      </c>
      <c r="BC173" s="31" t="n">
        <f aca="false">IF(AND(ISNUMBER(E173),ISNUMBER(F173)),MAX(1,NETWORKDAYS.INTL(E173,F173,11)),0)</f>
        <v>0</v>
      </c>
      <c r="BD173" s="1" t="str">
        <f aca="false">IF(OR(NOT(AND(ISNUMBER(E173),ISNUMBER(F173))),$J$2=""),"",MIN(100,ROUND(SUM($G173:G173),1)))</f>
        <v/>
      </c>
      <c r="BE173" s="1" t="str">
        <f aca="false">IF(OR(NOT(AND(ISNUMBER(E173),ISNUMBER(F173))),$J$2=""),"",MIN(100,ROUND(SUM($G173:H173),1)))</f>
        <v/>
      </c>
      <c r="BF173" s="1" t="str">
        <f aca="false">IF(OR(NOT(AND(ISNUMBER(E173),ISNUMBER(F173))),$J$2=""),"",MIN(100,ROUND(SUM($G173:I173),1)))</f>
        <v/>
      </c>
      <c r="BG173" s="1" t="str">
        <f aca="false">IF(OR(NOT(AND(ISNUMBER(E173),ISNUMBER(F173))),$J$2=""),"",MIN(100,ROUND(SUM($G173:J173),1)))</f>
        <v/>
      </c>
      <c r="BH173" s="1" t="str">
        <f aca="false">IF(OR(NOT(AND(ISNUMBER(E173),ISNUMBER(F173))),$J$2=""),"",MIN(100,ROUND(SUM($G173:K173),1)))</f>
        <v/>
      </c>
      <c r="BI173" s="1" t="str">
        <f aca="false">IF(OR(NOT(AND(ISNUMBER(E173),ISNUMBER(F173))),$J$2=""),"",MIN(100,ROUND(SUM($G173:L173),1)))</f>
        <v/>
      </c>
      <c r="BJ173" s="1" t="str">
        <f aca="false">IF(OR(NOT(AND(ISNUMBER(E173),ISNUMBER(F173))),$J$2=""),"",MIN(100,ROUND(SUM($G173:M173),1)))</f>
        <v/>
      </c>
      <c r="BK173" s="1" t="str">
        <f aca="false">IF(OR(NOT(AND(ISNUMBER(E173),ISNUMBER(F173))),$J$2=""),"",MIN(100,ROUND(SUM($G173:N173),1)))</f>
        <v/>
      </c>
      <c r="BL173" s="1" t="str">
        <f aca="false">IF(OR(NOT(AND(ISNUMBER(E173),ISNUMBER(F173))),$J$2=""),"",MIN(100,ROUND(SUM($G173:O173),1)))</f>
        <v/>
      </c>
      <c r="BM173" s="1" t="str">
        <f aca="false">IF(OR(NOT(AND(ISNUMBER(E173),ISNUMBER(F173))),$J$2=""),"",MIN(100,ROUND(SUM($G173:P173),1)))</f>
        <v/>
      </c>
      <c r="BN173" s="1" t="str">
        <f aca="false">IF(OR(NOT(AND(ISNUMBER(E173),ISNUMBER(F173))),$J$2=""),"",MIN(100,ROUND(SUM($G173:P173),1)))</f>
        <v/>
      </c>
      <c r="BO173" s="1" t="str">
        <f aca="false">IF(OR(NOT(AND(ISNUMBER(E173),ISNUMBER(F173))),$J$2=""),"",MIN(100,ROUND(SUM($G173:P173),1)))</f>
        <v/>
      </c>
      <c r="BP173" s="1" t="str">
        <f aca="false">IF(OR(NOT(AND(ISNUMBER(E173),ISNUMBER(F173))),$J$2=""),"",MIN(100,ROUND(SUM($G173:P173),1)))</f>
        <v/>
      </c>
      <c r="BQ173" s="1" t="str">
        <f aca="false">IF(OR(NOT(AND(ISNUMBER(E173),ISNUMBER(F173))),$J$2=""),"",MIN(100,ROUND(SUM($G173:P173),1)))</f>
        <v/>
      </c>
      <c r="BR173" s="1" t="str">
        <f aca="false">IF(OR(NOT(AND(ISNUMBER(E173),ISNUMBER(F173))),$J$2=""),"",MIN(100,ROUND(SUM($G173:P173),1)))</f>
        <v/>
      </c>
      <c r="BS173" s="1" t="str">
        <f aca="false">IF(OR(NOT(AND(ISNUMBER(E173),ISNUMBER(F173))),$J$2=""),"",MIN(100,ROUND(SUM($G173:P173),1)))</f>
        <v/>
      </c>
      <c r="BT173" s="1" t="str">
        <f aca="false">IF(OR(NOT(AND(ISNUMBER(E173),ISNUMBER(F173))),$J$2=""),"",IF(Reprogramaciones!K$13&lt;Reprogramaciones!$T$15,0,IF(Reprogramaciones!K$14&gt;10,MIN(100,SUM($G173:$P173)),MIN(100,SUMPRODUCT((COLUMN($G173:$P173)-COLUMN($G173)+1&lt;Reprogramaciones!K$14)*$G173:$P173)+N(INDEX($G173:$P173,1,Reprogramaciones!K$14))*IF(Reprogramaciones!K$13&gt;=(Reprogramaciones!$T$15+7*(Reprogramaciones!K$14-1))+6,1,IF(MAX(0,NETWORKDAYS.INTL(MAX(E173,(Reprogramaciones!$T$15+7*(Reprogramaciones!K$14-1))),MIN(F173,(Reprogramaciones!$T$15+7*(Reprogramaciones!K$14-1))+6),11))=0,0,MAX(0,NETWORKDAYS.INTL(MAX(E173,(Reprogramaciones!$T$15+7*(Reprogramaciones!K$14-1))),MIN(F173,Reprogramaciones!K$13),11))/MAX(0,NETWORKDAYS.INTL(MAX(E173,(Reprogramaciones!$T$15+7*(Reprogramaciones!K$14-1))),MIN(F173,(Reprogramaciones!$T$15+7*(Reprogramaciones!K$14-1))+6),11))))))))</f>
        <v/>
      </c>
      <c r="BU173" s="1" t="str">
        <f aca="false">IF(OR(NOT(AND(ISNUMBER(E173),ISNUMBER(F173))),$J$2=""),"",IF(Reprogramaciones!L$13&lt;Reprogramaciones!$T$15,0,IF(Reprogramaciones!L$14&gt;10,MIN(100,SUM($G173:$P173)),MIN(100,SUMPRODUCT((COLUMN($G173:$P173)-COLUMN($G173)+1&lt;Reprogramaciones!L$14)*$G173:$P173)+N(INDEX($G173:$P173,1,Reprogramaciones!L$14))*IF(Reprogramaciones!L$13&gt;=(Reprogramaciones!$T$15+7*(Reprogramaciones!L$14-1))+6,1,IF(MAX(0,NETWORKDAYS.INTL(MAX(E173,(Reprogramaciones!$T$15+7*(Reprogramaciones!L$14-1))),MIN(F173,(Reprogramaciones!$T$15+7*(Reprogramaciones!L$14-1))+6),11))=0,0,MAX(0,NETWORKDAYS.INTL(MAX(E173,(Reprogramaciones!$T$15+7*(Reprogramaciones!L$14-1))),MIN(F173,Reprogramaciones!L$13),11))/MAX(0,NETWORKDAYS.INTL(MAX(E173,(Reprogramaciones!$T$15+7*(Reprogramaciones!L$14-1))),MIN(F173,(Reprogramaciones!$T$15+7*(Reprogramaciones!L$14-1))+6),11))))))))</f>
        <v/>
      </c>
      <c r="BV173" s="1" t="str">
        <f aca="false">IF(OR(NOT(AND(ISNUMBER(E173),ISNUMBER(F173))),$J$2=""),"",IF(Reprogramaciones!M$13&lt;Reprogramaciones!$T$15,0,IF(Reprogramaciones!M$14&gt;10,MIN(100,SUM($G173:$P173)),MIN(100,SUMPRODUCT((COLUMN($G173:$P173)-COLUMN($G173)+1&lt;Reprogramaciones!M$14)*$G173:$P173)+N(INDEX($G173:$P173,1,Reprogramaciones!M$14))*IF(Reprogramaciones!M$13&gt;=(Reprogramaciones!$T$15+7*(Reprogramaciones!M$14-1))+6,1,IF(MAX(0,NETWORKDAYS.INTL(MAX(E173,(Reprogramaciones!$T$15+7*(Reprogramaciones!M$14-1))),MIN(F173,(Reprogramaciones!$T$15+7*(Reprogramaciones!M$14-1))+6),11))=0,0,MAX(0,NETWORKDAYS.INTL(MAX(E173,(Reprogramaciones!$T$15+7*(Reprogramaciones!M$14-1))),MIN(F173,Reprogramaciones!M$13),11))/MAX(0,NETWORKDAYS.INTL(MAX(E173,(Reprogramaciones!$T$15+7*(Reprogramaciones!M$14-1))),MIN(F173,(Reprogramaciones!$T$15+7*(Reprogramaciones!M$14-1))+6),11))))))))</f>
        <v/>
      </c>
      <c r="BW173" s="1" t="str">
        <f aca="false">IF(OR(NOT(AND(ISNUMBER(E173),ISNUMBER(F173))),$J$2=""),"",IF(Reprogramaciones!N$13&lt;Reprogramaciones!$T$15,0,IF(Reprogramaciones!N$14&gt;10,MIN(100,SUM($G173:$P173)),MIN(100,SUMPRODUCT((COLUMN($G173:$P173)-COLUMN($G173)+1&lt;Reprogramaciones!N$14)*$G173:$P173)+N(INDEX($G173:$P173,1,Reprogramaciones!N$14))*IF(Reprogramaciones!N$13&gt;=(Reprogramaciones!$T$15+7*(Reprogramaciones!N$14-1))+6,1,IF(MAX(0,NETWORKDAYS.INTL(MAX(E173,(Reprogramaciones!$T$15+7*(Reprogramaciones!N$14-1))),MIN(F173,(Reprogramaciones!$T$15+7*(Reprogramaciones!N$14-1))+6),11))=0,0,MAX(0,NETWORKDAYS.INTL(MAX(E173,(Reprogramaciones!$T$15+7*(Reprogramaciones!N$14-1))),MIN(F173,Reprogramaciones!N$13),11))/MAX(0,NETWORKDAYS.INTL(MAX(E173,(Reprogramaciones!$T$15+7*(Reprogramaciones!N$14-1))),MIN(F173,(Reprogramaciones!$T$15+7*(Reprogramaciones!N$14-1))+6),11))))))))</f>
        <v/>
      </c>
      <c r="BX173" s="1" t="str">
        <f aca="false">IF(OR(NOT(AND(ISNUMBER(E173),ISNUMBER(F173))),$J$2=""),"",IF(Reprogramaciones!O$13&lt;Reprogramaciones!$T$15,0,IF(Reprogramaciones!O$14&gt;10,MIN(100,SUM($G173:$P173)),MIN(100,SUMPRODUCT((COLUMN($G173:$P173)-COLUMN($G173)+1&lt;Reprogramaciones!O$14)*$G173:$P173)+N(INDEX($G173:$P173,1,Reprogramaciones!O$14))*IF(Reprogramaciones!O$13&gt;=(Reprogramaciones!$T$15+7*(Reprogramaciones!O$14-1))+6,1,IF(MAX(0,NETWORKDAYS.INTL(MAX(E173,(Reprogramaciones!$T$15+7*(Reprogramaciones!O$14-1))),MIN(F173,(Reprogramaciones!$T$15+7*(Reprogramaciones!O$14-1))+6),11))=0,0,MAX(0,NETWORKDAYS.INTL(MAX(E173,(Reprogramaciones!$T$15+7*(Reprogramaciones!O$14-1))),MIN(F173,Reprogramaciones!O$13),11))/MAX(0,NETWORKDAYS.INTL(MAX(E173,(Reprogramaciones!$T$15+7*(Reprogramaciones!O$14-1))),MIN(F173,(Reprogramaciones!$T$15+7*(Reprogramaciones!O$14-1))+6),11))))))))</f>
        <v/>
      </c>
      <c r="BY173" s="1" t="str">
        <f aca="false">IF(OR(NOT(AND(ISNUMBER(E173),ISNUMBER(F173))),$J$2=""),"",IF(Reprogramaciones!P$13&lt;Reprogramaciones!$T$15,0,IF(Reprogramaciones!P$14&gt;10,MIN(100,SUM($G173:$P173)),MIN(100,SUMPRODUCT((COLUMN($G173:$P173)-COLUMN($G173)+1&lt;Reprogramaciones!P$14)*$G173:$P173)+N(INDEX($G173:$P173,1,Reprogramaciones!P$14))*IF(Reprogramaciones!P$13&gt;=(Reprogramaciones!$T$15+7*(Reprogramaciones!P$14-1))+6,1,IF(MAX(0,NETWORKDAYS.INTL(MAX(E173,(Reprogramaciones!$T$15+7*(Reprogramaciones!P$14-1))),MIN(F173,(Reprogramaciones!$T$15+7*(Reprogramaciones!P$14-1))+6),11))=0,0,MAX(0,NETWORKDAYS.INTL(MAX(E173,(Reprogramaciones!$T$15+7*(Reprogramaciones!P$14-1))),MIN(F173,Reprogramaciones!P$13),11))/MAX(0,NETWORKDAYS.INTL(MAX(E173,(Reprogramaciones!$T$15+7*(Reprogramaciones!P$14-1))),MIN(F173,(Reprogramaciones!$T$15+7*(Reprogramaciones!P$14-1))+6),11))))))))</f>
        <v/>
      </c>
      <c r="BZ173" s="1" t="str">
        <f aca="false">IF(OR(NOT(AND(ISNUMBER(E173),ISNUMBER(F173))),$J$2=""),"",IF(Reprogramaciones!Q$13&lt;Reprogramaciones!$T$15,0,IF(Reprogramaciones!Q$14&gt;10,MIN(100,SUM($G173:$P173)),MIN(100,SUMPRODUCT((COLUMN($G173:$P173)-COLUMN($G173)+1&lt;Reprogramaciones!Q$14)*$G173:$P173)+N(INDEX($G173:$P173,1,Reprogramaciones!Q$14))*IF(Reprogramaciones!Q$13&gt;=(Reprogramaciones!$T$15+7*(Reprogramaciones!Q$14-1))+6,1,IF(MAX(0,NETWORKDAYS.INTL(MAX(E173,(Reprogramaciones!$T$15+7*(Reprogramaciones!Q$14-1))),MIN(F173,(Reprogramaciones!$T$15+7*(Reprogramaciones!Q$14-1))+6),11))=0,0,MAX(0,NETWORKDAYS.INTL(MAX(E173,(Reprogramaciones!$T$15+7*(Reprogramaciones!Q$14-1))),MIN(F173,Reprogramaciones!Q$13),11))/MAX(0,NETWORKDAYS.INTL(MAX(E173,(Reprogramaciones!$T$15+7*(Reprogramaciones!Q$14-1))),MIN(F173,(Reprogramaciones!$T$15+7*(Reprogramaciones!Q$14-1))+6),11))))))))</f>
        <v/>
      </c>
      <c r="CA173" s="1" t="str">
        <f aca="false">IF(OR(NOT(AND(ISNUMBER(E173),ISNUMBER(F173))),$J$2=""),"",IF(Reprogramaciones!R$13&lt;Reprogramaciones!$T$15,0,IF(Reprogramaciones!R$14&gt;10,MIN(100,SUM($G173:$P173)),MIN(100,SUMPRODUCT((COLUMN($G173:$P173)-COLUMN($G173)+1&lt;Reprogramaciones!R$14)*$G173:$P173)+N(INDEX($G173:$P173,1,Reprogramaciones!R$14))*IF(Reprogramaciones!R$13&gt;=(Reprogramaciones!$T$15+7*(Reprogramaciones!R$14-1))+6,1,IF(MAX(0,NETWORKDAYS.INTL(MAX(E173,(Reprogramaciones!$T$15+7*(Reprogramaciones!R$14-1))),MIN(F173,(Reprogramaciones!$T$15+7*(Reprogramaciones!R$14-1))+6),11))=0,0,MAX(0,NETWORKDAYS.INTL(MAX(E173,(Reprogramaciones!$T$15+7*(Reprogramaciones!R$14-1))),MIN(F173,Reprogramaciones!R$13),11))/MAX(0,NETWORKDAYS.INTL(MAX(E173,(Reprogramaciones!$T$15+7*(Reprogramaciones!R$14-1))),MIN(F173,(Reprogramaciones!$T$15+7*(Reprogramaciones!R$14-1))+6),11))))))))</f>
        <v/>
      </c>
      <c r="CB173" s="1" t="str">
        <f aca="false">IF(OR(NOT(AND(ISNUMBER(E173),ISNUMBER(F173))),$J$2=""),"",IF(Reprogramaciones!S$13&lt;Reprogramaciones!$T$15,0,IF(Reprogramaciones!S$14&gt;10,MIN(100,SUM($G173:$P173)),MIN(100,SUMPRODUCT((COLUMN($G173:$P173)-COLUMN($G173)+1&lt;Reprogramaciones!S$14)*$G173:$P173)+N(INDEX($G173:$P173,1,Reprogramaciones!S$14))*IF(Reprogramaciones!S$13&gt;=(Reprogramaciones!$T$15+7*(Reprogramaciones!S$14-1))+6,1,IF(MAX(0,NETWORKDAYS.INTL(MAX(E173,(Reprogramaciones!$T$15+7*(Reprogramaciones!S$14-1))),MIN(F173,(Reprogramaciones!$T$15+7*(Reprogramaciones!S$14-1))+6),11))=0,0,MAX(0,NETWORKDAYS.INTL(MAX(E173,(Reprogramaciones!$T$15+7*(Reprogramaciones!S$14-1))),MIN(F173,Reprogramaciones!S$13),11))/MAX(0,NETWORKDAYS.INTL(MAX(E173,(Reprogramaciones!$T$15+7*(Reprogramaciones!S$14-1))),MIN(F173,(Reprogramaciones!$T$15+7*(Reprogramaciones!S$14-1))+6),11))))))))</f>
        <v/>
      </c>
      <c r="CC173" s="1" t="str">
        <f aca="false">IF(OR(NOT(AND(ISNUMBER(E173),ISNUMBER(F173))),$J$2=""),"",IF(Reprogramaciones!T$13&lt;Reprogramaciones!$T$15,0,IF(Reprogramaciones!T$14&gt;10,MIN(100,SUM($G173:$P173)),MIN(100,SUMPRODUCT((COLUMN($G173:$P173)-COLUMN($G173)+1&lt;Reprogramaciones!T$14)*$G173:$P173)+N(INDEX($G173:$P173,1,Reprogramaciones!T$14))*IF(Reprogramaciones!T$13&gt;=(Reprogramaciones!$T$15+7*(Reprogramaciones!T$14-1))+6,1,IF(MAX(0,NETWORKDAYS.INTL(MAX(E173,(Reprogramaciones!$T$15+7*(Reprogramaciones!T$14-1))),MIN(F173,(Reprogramaciones!$T$15+7*(Reprogramaciones!T$14-1))+6),11))=0,0,MAX(0,NETWORKDAYS.INTL(MAX(E173,(Reprogramaciones!$T$15+7*(Reprogramaciones!T$14-1))),MIN(F173,Reprogramaciones!T$13),11))/MAX(0,NETWORKDAYS.INTL(MAX(E173,(Reprogramaciones!$T$15+7*(Reprogramaciones!T$14-1))),MIN(F173,(Reprogramaciones!$T$15+7*(Reprogramaciones!T$14-1))+6),11))))))))</f>
        <v/>
      </c>
      <c r="CD173" s="1" t="str">
        <f aca="false">IF(OR(NOT(AND(ISNUMBER(E173),ISNUMBER(F173))),$J$2=""),"",IF(Reprogramaciones!U$13&lt;Reprogramaciones!$T$15,0,IF(Reprogramaciones!U$14&gt;10,MIN(100,SUM($G173:$P173)),MIN(100,SUMPRODUCT((COLUMN($G173:$P173)-COLUMN($G173)+1&lt;Reprogramaciones!U$14)*$G173:$P173)+N(INDEX($G173:$P173,1,Reprogramaciones!U$14))*IF(Reprogramaciones!U$13&gt;=(Reprogramaciones!$T$15+7*(Reprogramaciones!U$14-1))+6,1,IF(MAX(0,NETWORKDAYS.INTL(MAX(E173,(Reprogramaciones!$T$15+7*(Reprogramaciones!U$14-1))),MIN(F173,(Reprogramaciones!$T$15+7*(Reprogramaciones!U$14-1))+6),11))=0,0,MAX(0,NETWORKDAYS.INTL(MAX(E173,(Reprogramaciones!$T$15+7*(Reprogramaciones!U$14-1))),MIN(F173,Reprogramaciones!U$13),11))/MAX(0,NETWORKDAYS.INTL(MAX(E173,(Reprogramaciones!$T$15+7*(Reprogramaciones!U$14-1))),MIN(F173,(Reprogramaciones!$T$15+7*(Reprogramaciones!U$14-1))+6),11))))))))</f>
        <v/>
      </c>
      <c r="CE173" s="1" t="str">
        <f aca="false">IF(OR(NOT(AND(ISNUMBER(E173),ISNUMBER(F173))),$J$2=""),"",IF(Reprogramaciones!V$13&lt;Reprogramaciones!$T$15,0,IF(Reprogramaciones!V$14&gt;10,MIN(100,SUM($G173:$P173)),MIN(100,SUMPRODUCT((COLUMN($G173:$P173)-COLUMN($G173)+1&lt;Reprogramaciones!V$14)*$G173:$P173)+N(INDEX($G173:$P173,1,Reprogramaciones!V$14))*IF(Reprogramaciones!V$13&gt;=(Reprogramaciones!$T$15+7*(Reprogramaciones!V$14-1))+6,1,IF(MAX(0,NETWORKDAYS.INTL(MAX(E173,(Reprogramaciones!$T$15+7*(Reprogramaciones!V$14-1))),MIN(F173,(Reprogramaciones!$T$15+7*(Reprogramaciones!V$14-1))+6),11))=0,0,MAX(0,NETWORKDAYS.INTL(MAX(E173,(Reprogramaciones!$T$15+7*(Reprogramaciones!V$14-1))),MIN(F173,Reprogramaciones!V$13),11))/MAX(0,NETWORKDAYS.INTL(MAX(E173,(Reprogramaciones!$T$15+7*(Reprogramaciones!V$14-1))),MIN(F173,(Reprogramaciones!$T$15+7*(Reprogramaciones!V$14-1))+6),11))))))))</f>
        <v/>
      </c>
      <c r="CF173" s="1" t="str">
        <f aca="false">IF(OR(NOT(AND(ISNUMBER(E173),ISNUMBER(F173))),$J$2=""),"",IF(Reprogramaciones!W$13&lt;Reprogramaciones!$T$15,0,IF(Reprogramaciones!W$14&gt;10,MIN(100,SUM($G173:$P173)),MIN(100,SUMPRODUCT((COLUMN($G173:$P173)-COLUMN($G173)+1&lt;Reprogramaciones!W$14)*$G173:$P173)+N(INDEX($G173:$P173,1,Reprogramaciones!W$14))*IF(Reprogramaciones!W$13&gt;=(Reprogramaciones!$T$15+7*(Reprogramaciones!W$14-1))+6,1,IF(MAX(0,NETWORKDAYS.INTL(MAX(E173,(Reprogramaciones!$T$15+7*(Reprogramaciones!W$14-1))),MIN(F173,(Reprogramaciones!$T$15+7*(Reprogramaciones!W$14-1))+6),11))=0,0,MAX(0,NETWORKDAYS.INTL(MAX(E173,(Reprogramaciones!$T$15+7*(Reprogramaciones!W$14-1))),MIN(F173,Reprogramaciones!W$13),11))/MAX(0,NETWORKDAYS.INTL(MAX(E173,(Reprogramaciones!$T$15+7*(Reprogramaciones!W$14-1))),MIN(F173,(Reprogramaciones!$T$15+7*(Reprogramaciones!W$14-1))+6),11))))))))</f>
        <v/>
      </c>
      <c r="CG173" s="1" t="str">
        <f aca="false">IF(OR(NOT(AND(ISNUMBER(E173),ISNUMBER(F173))),$J$2=""),"",IF(Reprogramaciones!X$13&lt;Reprogramaciones!$T$15,0,IF(Reprogramaciones!X$14&gt;10,MIN(100,SUM($G173:$P173)),MIN(100,SUMPRODUCT((COLUMN($G173:$P173)-COLUMN($G173)+1&lt;Reprogramaciones!X$14)*$G173:$P173)+N(INDEX($G173:$P173,1,Reprogramaciones!X$14))*IF(Reprogramaciones!X$13&gt;=(Reprogramaciones!$T$15+7*(Reprogramaciones!X$14-1))+6,1,IF(MAX(0,NETWORKDAYS.INTL(MAX(E173,(Reprogramaciones!$T$15+7*(Reprogramaciones!X$14-1))),MIN(F173,(Reprogramaciones!$T$15+7*(Reprogramaciones!X$14-1))+6),11))=0,0,MAX(0,NETWORKDAYS.INTL(MAX(E173,(Reprogramaciones!$T$15+7*(Reprogramaciones!X$14-1))),MIN(F173,Reprogramaciones!X$13),11))/MAX(0,NETWORKDAYS.INTL(MAX(E173,(Reprogramaciones!$T$15+7*(Reprogramaciones!X$14-1))),MIN(F173,(Reprogramaciones!$T$15+7*(Reprogramaciones!X$14-1))+6),11))))))))</f>
        <v/>
      </c>
      <c r="CH173" s="1" t="str">
        <f aca="false">IF(OR(NOT(AND(ISNUMBER(E173),ISNUMBER(F173))),$J$2=""),"",IF(Reprogramaciones!Y$13&lt;Reprogramaciones!$T$15,0,IF(Reprogramaciones!Y$14&gt;10,MIN(100,SUM($G173:$P173)),MIN(100,SUMPRODUCT((COLUMN($G173:$P173)-COLUMN($G173)+1&lt;Reprogramaciones!Y$14)*$G173:$P173)+N(INDEX($G173:$P173,1,Reprogramaciones!Y$14))*IF(Reprogramaciones!Y$13&gt;=(Reprogramaciones!$T$15+7*(Reprogramaciones!Y$14-1))+6,1,IF(MAX(0,NETWORKDAYS.INTL(MAX(E173,(Reprogramaciones!$T$15+7*(Reprogramaciones!Y$14-1))),MIN(F173,(Reprogramaciones!$T$15+7*(Reprogramaciones!Y$14-1))+6),11))=0,0,MAX(0,NETWORKDAYS.INTL(MAX(E173,(Reprogramaciones!$T$15+7*(Reprogramaciones!Y$14-1))),MIN(F173,Reprogramaciones!Y$13),11))/MAX(0,NETWORKDAYS.INTL(MAX(E173,(Reprogramaciones!$T$15+7*(Reprogramaciones!Y$14-1))),MIN(F173,(Reprogramaciones!$T$15+7*(Reprogramaciones!Y$14-1))+6),11))))))))</f>
        <v/>
      </c>
      <c r="CI173" s="1" t="str">
        <f aca="false">IF(OR(NOT(AND(ISNUMBER(E173),ISNUMBER(F173))),$J$2=""),"",IF(Reprogramaciones!Z$13&lt;Reprogramaciones!$T$15,0,IF(Reprogramaciones!Z$14&gt;10,MIN(100,SUM($G173:$P173)),MIN(100,SUMPRODUCT((COLUMN($G173:$P173)-COLUMN($G173)+1&lt;Reprogramaciones!Z$14)*$G173:$P173)+N(INDEX($G173:$P173,1,Reprogramaciones!Z$14))*IF(Reprogramaciones!Z$13&gt;=(Reprogramaciones!$T$15+7*(Reprogramaciones!Z$14-1))+6,1,IF(MAX(0,NETWORKDAYS.INTL(MAX(E173,(Reprogramaciones!$T$15+7*(Reprogramaciones!Z$14-1))),MIN(F173,(Reprogramaciones!$T$15+7*(Reprogramaciones!Z$14-1))+6),11))=0,0,MAX(0,NETWORKDAYS.INTL(MAX(E173,(Reprogramaciones!$T$15+7*(Reprogramaciones!Z$14-1))),MIN(F173,Reprogramaciones!Z$13),11))/MAX(0,NETWORKDAYS.INTL(MAX(E173,(Reprogramaciones!$T$15+7*(Reprogramaciones!Z$14-1))),MIN(F173,(Reprogramaciones!$T$15+7*(Reprogramaciones!Z$14-1))+6),11))))))))</f>
        <v/>
      </c>
      <c r="CJ173" s="1" t="str">
        <f aca="false">IF(OR(OR(NOT(AND(ISNUMBER(E173),ISNUMBER(F173))),$J$2=""),1&gt;Reprogramaciones!$K$16),"",IF(ROUND(SUM($Q173:Q173),1)&gt;=99.5,100,MIN(100,ROUND(SUM($Q173:Q173),1))))</f>
        <v/>
      </c>
      <c r="CK173" s="1" t="str">
        <f aca="false">IF(OR(OR(NOT(AND(ISNUMBER(E173),ISNUMBER(F173))),$J$2=""),2&gt;Reprogramaciones!$K$16),"",IF(ROUND(SUM($Q173:R173),1)&gt;=99.5,100,MIN(100,ROUND(SUM($Q173:R173),1))))</f>
        <v/>
      </c>
      <c r="CL173" s="1" t="str">
        <f aca="false">IF(OR(OR(NOT(AND(ISNUMBER(E173),ISNUMBER(F173))),$J$2=""),3&gt;Reprogramaciones!$K$16),"",IF(ROUND(SUM($Q173:S173),1)&gt;=99.5,100,MIN(100,ROUND(SUM($Q173:S173),1))))</f>
        <v/>
      </c>
      <c r="CM173" s="1" t="str">
        <f aca="false">IF(OR(OR(NOT(AND(ISNUMBER(E173),ISNUMBER(F173))),$J$2=""),4&gt;Reprogramaciones!$K$16),"",IF(ROUND(SUM($Q173:T173),1)&gt;=99.5,100,MIN(100,ROUND(SUM($Q173:T173),1))))</f>
        <v/>
      </c>
      <c r="CN173" s="1" t="str">
        <f aca="false">IF(OR(OR(NOT(AND(ISNUMBER(E173),ISNUMBER(F173))),$J$2=""),5&gt;Reprogramaciones!$K$16),"",IF(ROUND(SUM($Q173:U173),1)&gt;=99.5,100,MIN(100,ROUND(SUM($Q173:U173),1))))</f>
        <v/>
      </c>
      <c r="CO173" s="1" t="str">
        <f aca="false">IF(OR(OR(NOT(AND(ISNUMBER(E173),ISNUMBER(F173))),$J$2=""),6&gt;Reprogramaciones!$K$16),"",IF(ROUND(SUM($Q173:V173),1)&gt;=99.5,100,MIN(100,ROUND(SUM($Q173:V173),1))))</f>
        <v/>
      </c>
      <c r="CP173" s="1" t="str">
        <f aca="false">IF(OR(OR(NOT(AND(ISNUMBER(E173),ISNUMBER(F173))),$J$2=""),7&gt;Reprogramaciones!$K$16),"",IF(ROUND(SUM($Q173:W173),1)&gt;=99.5,100,MIN(100,ROUND(SUM($Q173:W173),1))))</f>
        <v/>
      </c>
      <c r="CQ173" s="1" t="str">
        <f aca="false">IF(OR(OR(NOT(AND(ISNUMBER(E173),ISNUMBER(F173))),$J$2=""),8&gt;Reprogramaciones!$K$16),"",IF(ROUND(SUM($Q173:X173),1)&gt;=99.5,100,MIN(100,ROUND(SUM($Q173:X173),1))))</f>
        <v/>
      </c>
      <c r="CR173" s="1" t="str">
        <f aca="false">IF(OR(OR(NOT(AND(ISNUMBER(E173),ISNUMBER(F173))),$J$2=""),9&gt;Reprogramaciones!$K$16),"",IF(ROUND(SUM($Q173:Y173),1)&gt;=99.5,100,MIN(100,ROUND(SUM($Q173:Y173),1))))</f>
        <v/>
      </c>
      <c r="CS173" s="1" t="str">
        <f aca="false">IF(OR(OR(NOT(AND(ISNUMBER(E173),ISNUMBER(F173))),$J$2=""),10&gt;Reprogramaciones!$K$16),"",IF(ROUND(SUM($Q173:Z173),1)&gt;=99.5,100,MIN(100,ROUND(SUM($Q173:Z173),1))))</f>
        <v/>
      </c>
      <c r="CT173" s="1" t="str">
        <f aca="false">IF(OR(OR(NOT(AND(ISNUMBER(E173),ISNUMBER(F173))),$J$2=""),11&gt;Reprogramaciones!$K$16),"",IF(ROUND(SUM($Q173:AA173),1)&gt;=99.5,100,MIN(100,ROUND(SUM($Q173:AA173),1))))</f>
        <v/>
      </c>
      <c r="CU173" s="1" t="str">
        <f aca="false">IF(OR(OR(NOT(AND(ISNUMBER(E173),ISNUMBER(F173))),$J$2=""),12&gt;Reprogramaciones!$K$16),"",IF(ROUND(SUM($Q173:AB173),1)&gt;=99.5,100,MIN(100,ROUND(SUM($Q173:AB173),1))))</f>
        <v/>
      </c>
      <c r="CV173" s="1" t="str">
        <f aca="false">IF(OR(OR(NOT(AND(ISNUMBER(E173),ISNUMBER(F173))),$J$2=""),13&gt;Reprogramaciones!$K$16),"",IF(ROUND(SUM($Q173:AC173),1)&gt;=99.5,100,MIN(100,ROUND(SUM($Q173:AC173),1))))</f>
        <v/>
      </c>
      <c r="CW173" s="1" t="str">
        <f aca="false">IF(OR(OR(NOT(AND(ISNUMBER(E173),ISNUMBER(F173))),$J$2=""),14&gt;Reprogramaciones!$K$16),"",IF(ROUND(SUM($Q173:AD173),1)&gt;=99.5,100,MIN(100,ROUND(SUM($Q173:AD173),1))))</f>
        <v/>
      </c>
      <c r="CX173" s="1" t="str">
        <f aca="false">IF(OR(OR(NOT(AND(ISNUMBER(E173),ISNUMBER(F173))),$J$2=""),15&gt;Reprogramaciones!$K$16),"",IF(ROUND(SUM($Q173:AE173),1)&gt;=99.5,100,MIN(100,ROUND(SUM($Q173:AE173),1))))</f>
        <v/>
      </c>
      <c r="CY173" s="1" t="str">
        <f aca="false">IF(OR(OR(NOT(AND(ISNUMBER(E173),ISNUMBER(F173))),$J$2=""),16&gt;Reprogramaciones!$K$16),"",IF(ROUND(SUM($Q173:AF173),1)&gt;=99.5,100,MIN(100,ROUND(SUM($Q173:AF173),1))))</f>
        <v/>
      </c>
      <c r="CZ173" s="1" t="str">
        <f aca="false">IF(D173&lt;&gt;"",D173,IF(B173&lt;&gt;"","Contractual",CZ172))</f>
        <v>Contractual</v>
      </c>
      <c r="DA173" s="1" t="str">
        <f aca="false">IF(OR(NOT(AND(ISNUMBER(E173),ISNUMBER(F173))),$J$2=""),"",IF(Reprogramaciones!$Q$15&lt;Reprogramaciones!$T$15,0,IF(Reprogramaciones!$S$15&gt;10,MIN(100,SUM($G173:$P173)),MIN(100,SUMPRODUCT((COLUMN($G173:$P173)-COLUMN($G173)+1&lt;Reprogramaciones!$S$15)*$G173:$P173)+N(INDEX($G173:$P173,1,Reprogramaciones!$S$15))*IF(Reprogramaciones!$Q$15&gt;=(Reprogramaciones!$T$15+7*(Reprogramaciones!$S$15-1))+6,1,IF(MAX(0,NETWORKDAYS.INTL(MAX(E173,(Reprogramaciones!$T$15+7*(Reprogramaciones!$S$15-1))),MIN(F173,(Reprogramaciones!$T$15+7*(Reprogramaciones!$S$15-1))+6),11))=0,0,MAX(0,NETWORKDAYS.INTL(MAX(E173,(Reprogramaciones!$T$15+7*(Reprogramaciones!$S$15-1))),MIN(F173,Reprogramaciones!$Q$15),11))/MAX(0,NETWORKDAYS.INTL(MAX(E173,(Reprogramaciones!$T$15+7*(Reprogramaciones!$S$15-1))),MIN(F173,(Reprogramaciones!$T$15+7*(Reprogramaciones!$S$15-1))+6),11))))))))</f>
        <v/>
      </c>
    </row>
    <row r="174" customFormat="false" ht="15" hidden="false" customHeight="false" outlineLevel="0" collapsed="false">
      <c r="A174" s="32"/>
      <c r="B174" s="33"/>
      <c r="C174" s="33"/>
      <c r="D174" s="34"/>
      <c r="E174" s="35"/>
      <c r="F174" s="35"/>
      <c r="G174" s="36" t="str">
        <f aca="false">IF(OR(NOT(AND(ISNUMBER(E174),ISNUMBER(F174))),$J$2=""),"",IF(Reprogramaciones!K$9&lt;E174,0,IF(NETWORKDAYS.INTL(E174,F174,11)=0,IF(Reprogramaciones!K$9&gt;=F174,100,0),ROUND(NETWORKDAYS.INTL(E174,MIN(F174,Reprogramaciones!K$9),11)/NETWORKDAYS.INTL(E174,F174,11)*100,1)))-0)</f>
        <v/>
      </c>
      <c r="H174" s="36" t="str">
        <f aca="false">IF(OR(NOT(AND(ISNUMBER(E174),ISNUMBER(F174))),$J$2=""),"",IF(Reprogramaciones!L$9&lt;E174,0,IF(NETWORKDAYS.INTL(E174,F174,11)=0,IF(Reprogramaciones!L$9&gt;=F174,100,0),ROUND(NETWORKDAYS.INTL(E174,MIN(F174,Reprogramaciones!L$9),11)/NETWORKDAYS.INTL(E174,F174,11)*100,1)))-IF(Reprogramaciones!K$9&lt;E174,0,IF(NETWORKDAYS.INTL(E174,F174,11)=0,IF(Reprogramaciones!K$9&gt;=F174,100,0),ROUND(NETWORKDAYS.INTL(E174,MIN(F174,Reprogramaciones!K$9),11)/NETWORKDAYS.INTL(E174,F174,11)*100,1))))</f>
        <v/>
      </c>
      <c r="I174" s="36" t="str">
        <f aca="false">IF(OR(NOT(AND(ISNUMBER(E174),ISNUMBER(F174))),$J$2=""),"",IF(Reprogramaciones!M$9&lt;E174,0,IF(NETWORKDAYS.INTL(E174,F174,11)=0,IF(Reprogramaciones!M$9&gt;=F174,100,0),ROUND(NETWORKDAYS.INTL(E174,MIN(F174,Reprogramaciones!M$9),11)/NETWORKDAYS.INTL(E174,F174,11)*100,1)))-IF(Reprogramaciones!L$9&lt;E174,0,IF(NETWORKDAYS.INTL(E174,F174,11)=0,IF(Reprogramaciones!L$9&gt;=F174,100,0),ROUND(NETWORKDAYS.INTL(E174,MIN(F174,Reprogramaciones!L$9),11)/NETWORKDAYS.INTL(E174,F174,11)*100,1))))</f>
        <v/>
      </c>
      <c r="J174" s="36" t="str">
        <f aca="false">IF(OR(NOT(AND(ISNUMBER(E174),ISNUMBER(F174))),$J$2=""),"",IF(Reprogramaciones!N$9&lt;E174,0,IF(NETWORKDAYS.INTL(E174,F174,11)=0,IF(Reprogramaciones!N$9&gt;=F174,100,0),ROUND(NETWORKDAYS.INTL(E174,MIN(F174,Reprogramaciones!N$9),11)/NETWORKDAYS.INTL(E174,F174,11)*100,1)))-IF(Reprogramaciones!M$9&lt;E174,0,IF(NETWORKDAYS.INTL(E174,F174,11)=0,IF(Reprogramaciones!M$9&gt;=F174,100,0),ROUND(NETWORKDAYS.INTL(E174,MIN(F174,Reprogramaciones!M$9),11)/NETWORKDAYS.INTL(E174,F174,11)*100,1))))</f>
        <v/>
      </c>
      <c r="K174" s="36" t="str">
        <f aca="false">IF(OR(NOT(AND(ISNUMBER(E174),ISNUMBER(F174))),$J$2=""),"",IF(Reprogramaciones!O$9&lt;E174,0,IF(NETWORKDAYS.INTL(E174,F174,11)=0,IF(Reprogramaciones!O$9&gt;=F174,100,0),ROUND(NETWORKDAYS.INTL(E174,MIN(F174,Reprogramaciones!O$9),11)/NETWORKDAYS.INTL(E174,F174,11)*100,1)))-IF(Reprogramaciones!N$9&lt;E174,0,IF(NETWORKDAYS.INTL(E174,F174,11)=0,IF(Reprogramaciones!N$9&gt;=F174,100,0),ROUND(NETWORKDAYS.INTL(E174,MIN(F174,Reprogramaciones!N$9),11)/NETWORKDAYS.INTL(E174,F174,11)*100,1))))</f>
        <v/>
      </c>
      <c r="L174" s="36" t="str">
        <f aca="false">IF(OR(NOT(AND(ISNUMBER(E174),ISNUMBER(F174))),$J$2=""),"",IF(Reprogramaciones!P$9&lt;E174,0,IF(NETWORKDAYS.INTL(E174,F174,11)=0,IF(Reprogramaciones!P$9&gt;=F174,100,0),ROUND(NETWORKDAYS.INTL(E174,MIN(F174,Reprogramaciones!P$9),11)/NETWORKDAYS.INTL(E174,F174,11)*100,1)))-IF(Reprogramaciones!O$9&lt;E174,0,IF(NETWORKDAYS.INTL(E174,F174,11)=0,IF(Reprogramaciones!O$9&gt;=F174,100,0),ROUND(NETWORKDAYS.INTL(E174,MIN(F174,Reprogramaciones!O$9),11)/NETWORKDAYS.INTL(E174,F174,11)*100,1))))</f>
        <v/>
      </c>
      <c r="M174" s="36" t="str">
        <f aca="false">IF(OR(NOT(AND(ISNUMBER(E174),ISNUMBER(F174))),$J$2=""),"",IF(Reprogramaciones!Q$9&lt;E174,0,IF(NETWORKDAYS.INTL(E174,F174,11)=0,IF(Reprogramaciones!Q$9&gt;=F174,100,0),ROUND(NETWORKDAYS.INTL(E174,MIN(F174,Reprogramaciones!Q$9),11)/NETWORKDAYS.INTL(E174,F174,11)*100,1)))-IF(Reprogramaciones!P$9&lt;E174,0,IF(NETWORKDAYS.INTL(E174,F174,11)=0,IF(Reprogramaciones!P$9&gt;=F174,100,0),ROUND(NETWORKDAYS.INTL(E174,MIN(F174,Reprogramaciones!P$9),11)/NETWORKDAYS.INTL(E174,F174,11)*100,1))))</f>
        <v/>
      </c>
      <c r="N174" s="36" t="str">
        <f aca="false">IF(OR(NOT(AND(ISNUMBER(E174),ISNUMBER(F174))),$J$2=""),"",IF(Reprogramaciones!R$9&lt;E174,0,IF(NETWORKDAYS.INTL(E174,F174,11)=0,IF(Reprogramaciones!R$9&gt;=F174,100,0),ROUND(NETWORKDAYS.INTL(E174,MIN(F174,Reprogramaciones!R$9),11)/NETWORKDAYS.INTL(E174,F174,11)*100,1)))-IF(Reprogramaciones!Q$9&lt;E174,0,IF(NETWORKDAYS.INTL(E174,F174,11)=0,IF(Reprogramaciones!Q$9&gt;=F174,100,0),ROUND(NETWORKDAYS.INTL(E174,MIN(F174,Reprogramaciones!Q$9),11)/NETWORKDAYS.INTL(E174,F174,11)*100,1))))</f>
        <v/>
      </c>
      <c r="O174" s="36" t="str">
        <f aca="false">IF(OR(NOT(AND(ISNUMBER(E174),ISNUMBER(F174))),$J$2=""),"",IF(Reprogramaciones!S$9&lt;E174,0,IF(NETWORKDAYS.INTL(E174,F174,11)=0,IF(Reprogramaciones!S$9&gt;=F174,100,0),ROUND(NETWORKDAYS.INTL(E174,MIN(F174,Reprogramaciones!S$9),11)/NETWORKDAYS.INTL(E174,F174,11)*100,1)))-IF(Reprogramaciones!R$9&lt;E174,0,IF(NETWORKDAYS.INTL(E174,F174,11)=0,IF(Reprogramaciones!R$9&gt;=F174,100,0),ROUND(NETWORKDAYS.INTL(E174,MIN(F174,Reprogramaciones!R$9),11)/NETWORKDAYS.INTL(E174,F174,11)*100,1))))</f>
        <v/>
      </c>
      <c r="P174" s="36" t="str">
        <f aca="false">IF(OR(NOT(AND(ISNUMBER(E174),ISNUMBER(F174))),$J$2=""),"",IF(Reprogramaciones!T$9&lt;E174,0,IF(NETWORKDAYS.INTL(E174,F174,11)=0,IF(Reprogramaciones!T$9&gt;=F174,100,0),ROUND(NETWORKDAYS.INTL(E174,MIN(F174,Reprogramaciones!T$9),11)/NETWORKDAYS.INTL(E174,F174,11)*100,1)))-IF(Reprogramaciones!S$9&lt;E174,0,IF(NETWORKDAYS.INTL(E174,F174,11)=0,IF(Reprogramaciones!S$9&gt;=F174,100,0),ROUND(NETWORKDAYS.INTL(E174,MIN(F174,Reprogramaciones!S$9),11)/NETWORKDAYS.INTL(E174,F174,11)*100,1))))</f>
        <v/>
      </c>
      <c r="Q174" s="37"/>
      <c r="R174" s="37"/>
      <c r="S174" s="37"/>
      <c r="T174" s="37"/>
      <c r="U174" s="37"/>
      <c r="V174" s="37"/>
      <c r="W174" s="37"/>
      <c r="X174" s="37"/>
      <c r="Y174" s="37"/>
      <c r="Z174" s="37"/>
      <c r="AA174" s="37"/>
      <c r="AB174" s="37"/>
      <c r="AC174" s="37"/>
      <c r="AD174" s="37"/>
      <c r="AE174" s="37"/>
      <c r="AF174" s="37"/>
      <c r="AG174" s="38" t="str">
        <f aca="false">IF(AND(ISNUMBER(E174),ISNUMBER(F174)),NETWORKDAYS.INTL(E174,F174,11),"")</f>
        <v/>
      </c>
      <c r="AH174" s="38" t="str">
        <f aca="false">IF(OR(NOT(AND(ISNUMBER(E174),ISNUMBER(F174))),$J$2=""),"",IF(Reprogramaciones!$P$15&lt;Reprogramaciones!$T$15,0,IF(Reprogramaciones!$R$15&gt;10,MIN(100,SUM($G174:$P174)),MIN(100,SUMPRODUCT((COLUMN($G174:$P174)-COLUMN($G174)+1&lt;Reprogramaciones!$R$15)*$G174:$P174)+N(INDEX($G174:$P174,1,Reprogramaciones!$R$15))*IF(Reprogramaciones!$P$15&gt;=(Reprogramaciones!$T$15+7*(Reprogramaciones!$R$15-1))+6,1,IF(MAX(0,NETWORKDAYS.INTL(MAX(E174,(Reprogramaciones!$T$15+7*(Reprogramaciones!$R$15-1))),MIN(F174,(Reprogramaciones!$T$15+7*(Reprogramaciones!$R$15-1))+6),11))=0,0,MAX(0,NETWORKDAYS.INTL(MAX(E174,(Reprogramaciones!$T$15+7*(Reprogramaciones!$R$15-1))),MIN(F174,Reprogramaciones!$P$15),11))/MAX(0,NETWORKDAYS.INTL(MAX(E174,(Reprogramaciones!$T$15+7*(Reprogramaciones!$R$15-1))),MIN(F174,(Reprogramaciones!$T$15+7*(Reprogramaciones!$R$15-1))+6),11))))))))</f>
        <v/>
      </c>
      <c r="AI174" s="38" t="str">
        <f aca="false">IF(COUNT($Q174:$AF174)=0,"",IF(ROUND(SUM($Q174:$AF174),1)&gt;=99.5,100,MIN(100,ROUND(SUM($Q174:$AF174),1))))</f>
        <v/>
      </c>
      <c r="AJ174" s="38" t="str">
        <f aca="false">IF(OR(AH174="",AI174=""),"",AI174-AH174)</f>
        <v/>
      </c>
      <c r="AK174" s="39" t="str">
        <f aca="true">IF(AH174="","",IF(OR(Ficha!$C$10="Suspendida",Ficha!$C$10="Cancelada"),Ficha!$C$10,IF(AND(AI174&lt;&gt;"",N(AI174)&gt;=100),"Completada",IF(AND(E174&gt;TODAY(),N(AI174)=0),"Por iniciar",IF(N(AI174)+0.5&lt;AH174,"Retrasada",IF(N(AI174)+0.5&lt;DA174,IF(Reprogramaciones!$K$15&gt;0,"Al día · Sem "&amp;Reprogramaciones!$K$15&amp;" en curso","Al día · en curso"),"A tiempo"))))))</f>
        <v/>
      </c>
      <c r="AL174" s="39" t="str">
        <f aca="true">IF(AND(A174="",AND(B174="",C174="",E174="",F174="",COUNT(Q174:AF174)=0)),"",IF(AND(B174="",C174="",E174="",F174="",COUNT(Q174:AF174)=0),"Falta la partida o subpartida",IF(AND(A174&lt;&gt;"",COUNTIF($A$6:$A$305,A174)&gt;1),"Ítem repetido",IF(AND(C174="",E174="",F174="",COUNT(Q174:AF174)=0),"Título de partida",IF(OR(E174="",F174=""),"Faltan fechas",IF(OR(ISTEXT(E174),ISTEXT(F174)),"Fecha escrita como texto: usa dd/mm/aaaa",IF(F174&lt;E174,"Fin antes del inicio",IF(IF($J$2="",FALSE(),OR(E174&lt;$J$2,F174&gt;Reprogramaciones!$T$15+69)),"Fuera de las 10 semanas",IF(ABS(SUM(G174:P174)-100)&gt;0.5,"La meta no suma 100%",IF(ROUND(SUM(Q174:AF174),1)&gt;100.5,"El avance pasa de 100%",IF(MIN(Q174:AF174)&lt;0,"Avance negativo",IF(COUNTA(Q174:AF174)&gt;COUNT(Q174:AF174),"Avance escrito como texto",IF(SUMPRODUCT((Q174:AF174&gt;0)*(Q174:AF174&lt;1))&gt;0,"Avance menor a 1: escribe 50, no 50%",IF(SUMPRODUCT(ISNUMBER(Q174:AF174)*(Reprogramaciones!$K$8:$Z$8&gt;TODAY()))&gt;0,"Avance en semana que aún no llega",IF(AND(N(Reprogramaciones!$E$21)&gt;0,F174&gt;Reprogramaciones!$E$21),"Pasa el fin de la obra: registra una reprogramación",IF(AND(N(Reprogramaciones!$E$21)&gt;0,SUMPRODUCT(ISNUMBER(Q174:AF174)*(Reprogramaciones!$K$8:$Z$8&gt;Reprogramaciones!$E$21))&gt;0),"Avance después del fin de la obra: registra una reprogramación por atraso","OK"))))))))))))))))</f>
        <v/>
      </c>
      <c r="AM174" s="40" t="str">
        <f aca="false">IF(OR(OR(NOT(AND(ISNUMBER(E174),ISNUMBER(F174))),$J$2=""),1&gt;MAX(1,Reprogramaciones!$U$15)),"",IF(Reprogramaciones!K$12&gt;=7,"",IF(OR(BT174-N(0)&gt;0.05,N(Q174)&gt;0),ROUNDDOWN(ROUND(BT174,6),0)&amp;"%"&amp;IF(CJ174="",""," / "&amp;CJ174&amp;"%"),IF(AND(N(0)&gt;=99.95,CJ174&lt;&gt;"",N(CJ174)&lt;100),"Pend. "&amp;CJ174&amp;"%",""))))</f>
        <v/>
      </c>
      <c r="AN174" s="40" t="str">
        <f aca="false">IF(OR(OR(NOT(AND(ISNUMBER(E174),ISNUMBER(F174))),$J$2=""),2&gt;MAX(1,Reprogramaciones!$U$15)),"",IF(Reprogramaciones!L$12&gt;=7,"",IF(OR(BU174-N(BT174)&gt;0.05,N(R174)&gt;0),ROUNDDOWN(ROUND(BU174,6),0)&amp;"%"&amp;IF(CK174="",""," / "&amp;CK174&amp;"%"),IF(AND(N(BT174)&gt;=99.95,CK174&lt;&gt;"",N(CK174)&lt;100),"Pend. "&amp;CK174&amp;"%",""))))</f>
        <v/>
      </c>
      <c r="AO174" s="40" t="str">
        <f aca="false">IF(OR(OR(NOT(AND(ISNUMBER(E174),ISNUMBER(F174))),$J$2=""),3&gt;MAX(1,Reprogramaciones!$U$15)),"",IF(Reprogramaciones!M$12&gt;=7,"",IF(OR(BV174-N(BU174)&gt;0.05,N(S174)&gt;0),ROUNDDOWN(ROUND(BV174,6),0)&amp;"%"&amp;IF(CL174="",""," / "&amp;CL174&amp;"%"),IF(AND(N(BU174)&gt;=99.95,CL174&lt;&gt;"",N(CL174)&lt;100),"Pend. "&amp;CL174&amp;"%",""))))</f>
        <v/>
      </c>
      <c r="AP174" s="40" t="str">
        <f aca="false">IF(OR(OR(NOT(AND(ISNUMBER(E174),ISNUMBER(F174))),$J$2=""),4&gt;MAX(1,Reprogramaciones!$U$15)),"",IF(Reprogramaciones!N$12&gt;=7,"",IF(OR(BW174-N(BV174)&gt;0.05,N(T174)&gt;0),ROUNDDOWN(ROUND(BW174,6),0)&amp;"%"&amp;IF(CM174="",""," / "&amp;CM174&amp;"%"),IF(AND(N(BV174)&gt;=99.95,CM174&lt;&gt;"",N(CM174)&lt;100),"Pend. "&amp;CM174&amp;"%",""))))</f>
        <v/>
      </c>
      <c r="AQ174" s="40" t="str">
        <f aca="false">IF(OR(OR(NOT(AND(ISNUMBER(E174),ISNUMBER(F174))),$J$2=""),5&gt;MAX(1,Reprogramaciones!$U$15)),"",IF(Reprogramaciones!O$12&gt;=7,"",IF(OR(BX174-N(BW174)&gt;0.05,N(U174)&gt;0),ROUNDDOWN(ROUND(BX174,6),0)&amp;"%"&amp;IF(CN174="",""," / "&amp;CN174&amp;"%"),IF(AND(N(BW174)&gt;=99.95,CN174&lt;&gt;"",N(CN174)&lt;100),"Pend. "&amp;CN174&amp;"%",""))))</f>
        <v/>
      </c>
      <c r="AR174" s="40" t="str">
        <f aca="false">IF(OR(OR(NOT(AND(ISNUMBER(E174),ISNUMBER(F174))),$J$2=""),6&gt;MAX(1,Reprogramaciones!$U$15)),"",IF(Reprogramaciones!P$12&gt;=7,"",IF(OR(BY174-N(BX174)&gt;0.05,N(V174)&gt;0),ROUNDDOWN(ROUND(BY174,6),0)&amp;"%"&amp;IF(CO174="",""," / "&amp;CO174&amp;"%"),IF(AND(N(BX174)&gt;=99.95,CO174&lt;&gt;"",N(CO174)&lt;100),"Pend. "&amp;CO174&amp;"%",""))))</f>
        <v/>
      </c>
      <c r="AS174" s="40" t="str">
        <f aca="false">IF(OR(OR(NOT(AND(ISNUMBER(E174),ISNUMBER(F174))),$J$2=""),7&gt;MAX(1,Reprogramaciones!$U$15)),"",IF(Reprogramaciones!Q$12&gt;=7,"",IF(OR(BZ174-N(BY174)&gt;0.05,N(W174)&gt;0),ROUNDDOWN(ROUND(BZ174,6),0)&amp;"%"&amp;IF(CP174="",""," / "&amp;CP174&amp;"%"),IF(AND(N(BY174)&gt;=99.95,CP174&lt;&gt;"",N(CP174)&lt;100),"Pend. "&amp;CP174&amp;"%",""))))</f>
        <v/>
      </c>
      <c r="AT174" s="40" t="str">
        <f aca="false">IF(OR(OR(NOT(AND(ISNUMBER(E174),ISNUMBER(F174))),$J$2=""),8&gt;MAX(1,Reprogramaciones!$U$15)),"",IF(Reprogramaciones!R$12&gt;=7,"",IF(OR(CA174-N(BZ174)&gt;0.05,N(X174)&gt;0),ROUNDDOWN(ROUND(CA174,6),0)&amp;"%"&amp;IF(CQ174="",""," / "&amp;CQ174&amp;"%"),IF(AND(N(BZ174)&gt;=99.95,CQ174&lt;&gt;"",N(CQ174)&lt;100),"Pend. "&amp;CQ174&amp;"%",""))))</f>
        <v/>
      </c>
      <c r="AU174" s="40" t="str">
        <f aca="false">IF(OR(OR(NOT(AND(ISNUMBER(E174),ISNUMBER(F174))),$J$2=""),9&gt;MAX(1,Reprogramaciones!$U$15)),"",IF(Reprogramaciones!S$12&gt;=7,"",IF(OR(CB174-N(CA174)&gt;0.05,N(Y174)&gt;0),ROUNDDOWN(ROUND(CB174,6),0)&amp;"%"&amp;IF(CR174="",""," / "&amp;CR174&amp;"%"),IF(AND(N(CA174)&gt;=99.95,CR174&lt;&gt;"",N(CR174)&lt;100),"Pend. "&amp;CR174&amp;"%",""))))</f>
        <v/>
      </c>
      <c r="AV174" s="40" t="str">
        <f aca="false">IF(OR(OR(NOT(AND(ISNUMBER(E174),ISNUMBER(F174))),$J$2=""),10&gt;MAX(1,Reprogramaciones!$U$15)),"",IF(Reprogramaciones!T$12&gt;=7,"",IF(OR(CC174-N(CB174)&gt;0.05,N(Z174)&gt;0),ROUNDDOWN(ROUND(CC174,6),0)&amp;"%"&amp;IF(CS174="",""," / "&amp;CS174&amp;"%"),IF(AND(N(CB174)&gt;=99.95,CS174&lt;&gt;"",N(CS174)&lt;100),"Pend. "&amp;CS174&amp;"%",""))))</f>
        <v/>
      </c>
      <c r="AW174" s="40" t="str">
        <f aca="false">IF(OR(OR(NOT(AND(ISNUMBER(E174),ISNUMBER(F174))),$J$2=""),11&gt;MAX(1,Reprogramaciones!$U$15)),"",IF(Reprogramaciones!U$12&gt;=7,"",IF(OR(CD174-N(CC174)&gt;0.05,N(AA174)&gt;0),ROUNDDOWN(ROUND(CD174,6),0)&amp;"%"&amp;IF(CT174="",""," / "&amp;CT174&amp;"%"),IF(AND(N(CC174)&gt;=99.95,CT174&lt;&gt;"",N(CT174)&lt;100),"Pend. "&amp;CT174&amp;"%",""))))</f>
        <v/>
      </c>
      <c r="AX174" s="40" t="str">
        <f aca="false">IF(OR(OR(NOT(AND(ISNUMBER(E174),ISNUMBER(F174))),$J$2=""),12&gt;MAX(1,Reprogramaciones!$U$15)),"",IF(Reprogramaciones!V$12&gt;=7,"",IF(OR(CE174-N(CD174)&gt;0.05,N(AB174)&gt;0),ROUNDDOWN(ROUND(CE174,6),0)&amp;"%"&amp;IF(CU174="",""," / "&amp;CU174&amp;"%"),IF(AND(N(CD174)&gt;=99.95,CU174&lt;&gt;"",N(CU174)&lt;100),"Pend. "&amp;CU174&amp;"%",""))))</f>
        <v/>
      </c>
      <c r="AY174" s="40" t="str">
        <f aca="false">IF(OR(OR(NOT(AND(ISNUMBER(E174),ISNUMBER(F174))),$J$2=""),13&gt;MAX(1,Reprogramaciones!$U$15)),"",IF(Reprogramaciones!W$12&gt;=7,"",IF(OR(CF174-N(CE174)&gt;0.05,N(AC174)&gt;0),ROUNDDOWN(ROUND(CF174,6),0)&amp;"%"&amp;IF(CV174="",""," / "&amp;CV174&amp;"%"),IF(AND(N(CE174)&gt;=99.95,CV174&lt;&gt;"",N(CV174)&lt;100),"Pend. "&amp;CV174&amp;"%",""))))</f>
        <v/>
      </c>
      <c r="AZ174" s="40" t="str">
        <f aca="false">IF(OR(OR(NOT(AND(ISNUMBER(E174),ISNUMBER(F174))),$J$2=""),14&gt;MAX(1,Reprogramaciones!$U$15)),"",IF(Reprogramaciones!X$12&gt;=7,"",IF(OR(CG174-N(CF174)&gt;0.05,N(AD174)&gt;0),ROUNDDOWN(ROUND(CG174,6),0)&amp;"%"&amp;IF(CW174="",""," / "&amp;CW174&amp;"%"),IF(AND(N(CF174)&gt;=99.95,CW174&lt;&gt;"",N(CW174)&lt;100),"Pend. "&amp;CW174&amp;"%",""))))</f>
        <v/>
      </c>
      <c r="BA174" s="40" t="str">
        <f aca="false">IF(OR(OR(NOT(AND(ISNUMBER(E174),ISNUMBER(F174))),$J$2=""),15&gt;MAX(1,Reprogramaciones!$U$15)),"",IF(Reprogramaciones!Y$12&gt;=7,"",IF(OR(CH174-N(CG174)&gt;0.05,N(AE174)&gt;0),ROUNDDOWN(ROUND(CH174,6),0)&amp;"%"&amp;IF(CX174="",""," / "&amp;CX174&amp;"%"),IF(AND(N(CG174)&gt;=99.95,CX174&lt;&gt;"",N(CX174)&lt;100),"Pend. "&amp;CX174&amp;"%",""))))</f>
        <v/>
      </c>
      <c r="BB174" s="40" t="str">
        <f aca="false">IF(OR(OR(NOT(AND(ISNUMBER(E174),ISNUMBER(F174))),$J$2=""),16&gt;MAX(1,Reprogramaciones!$U$15)),"",IF(Reprogramaciones!Z$12&gt;=7,"",IF(OR(CI174-N(CH174)&gt;0.05,N(AF174)&gt;0),ROUNDDOWN(ROUND(CI174,6),0)&amp;"%"&amp;IF(CY174="",""," / "&amp;CY174&amp;"%"),IF(AND(N(CH174)&gt;=99.95,CY174&lt;&gt;"",N(CY174)&lt;100),"Pend. "&amp;CY174&amp;"%",""))))</f>
        <v/>
      </c>
      <c r="BC174" s="31" t="n">
        <f aca="false">IF(AND(ISNUMBER(E174),ISNUMBER(F174)),MAX(1,NETWORKDAYS.INTL(E174,F174,11)),0)</f>
        <v>0</v>
      </c>
      <c r="BD174" s="1" t="str">
        <f aca="false">IF(OR(NOT(AND(ISNUMBER(E174),ISNUMBER(F174))),$J$2=""),"",MIN(100,ROUND(SUM($G174:G174),1)))</f>
        <v/>
      </c>
      <c r="BE174" s="1" t="str">
        <f aca="false">IF(OR(NOT(AND(ISNUMBER(E174),ISNUMBER(F174))),$J$2=""),"",MIN(100,ROUND(SUM($G174:H174),1)))</f>
        <v/>
      </c>
      <c r="BF174" s="1" t="str">
        <f aca="false">IF(OR(NOT(AND(ISNUMBER(E174),ISNUMBER(F174))),$J$2=""),"",MIN(100,ROUND(SUM($G174:I174),1)))</f>
        <v/>
      </c>
      <c r="BG174" s="1" t="str">
        <f aca="false">IF(OR(NOT(AND(ISNUMBER(E174),ISNUMBER(F174))),$J$2=""),"",MIN(100,ROUND(SUM($G174:J174),1)))</f>
        <v/>
      </c>
      <c r="BH174" s="1" t="str">
        <f aca="false">IF(OR(NOT(AND(ISNUMBER(E174),ISNUMBER(F174))),$J$2=""),"",MIN(100,ROUND(SUM($G174:K174),1)))</f>
        <v/>
      </c>
      <c r="BI174" s="1" t="str">
        <f aca="false">IF(OR(NOT(AND(ISNUMBER(E174),ISNUMBER(F174))),$J$2=""),"",MIN(100,ROUND(SUM($G174:L174),1)))</f>
        <v/>
      </c>
      <c r="BJ174" s="1" t="str">
        <f aca="false">IF(OR(NOT(AND(ISNUMBER(E174),ISNUMBER(F174))),$J$2=""),"",MIN(100,ROUND(SUM($G174:M174),1)))</f>
        <v/>
      </c>
      <c r="BK174" s="1" t="str">
        <f aca="false">IF(OR(NOT(AND(ISNUMBER(E174),ISNUMBER(F174))),$J$2=""),"",MIN(100,ROUND(SUM($G174:N174),1)))</f>
        <v/>
      </c>
      <c r="BL174" s="1" t="str">
        <f aca="false">IF(OR(NOT(AND(ISNUMBER(E174),ISNUMBER(F174))),$J$2=""),"",MIN(100,ROUND(SUM($G174:O174),1)))</f>
        <v/>
      </c>
      <c r="BM174" s="1" t="str">
        <f aca="false">IF(OR(NOT(AND(ISNUMBER(E174),ISNUMBER(F174))),$J$2=""),"",MIN(100,ROUND(SUM($G174:P174),1)))</f>
        <v/>
      </c>
      <c r="BN174" s="1" t="str">
        <f aca="false">IF(OR(NOT(AND(ISNUMBER(E174),ISNUMBER(F174))),$J$2=""),"",MIN(100,ROUND(SUM($G174:P174),1)))</f>
        <v/>
      </c>
      <c r="BO174" s="1" t="str">
        <f aca="false">IF(OR(NOT(AND(ISNUMBER(E174),ISNUMBER(F174))),$J$2=""),"",MIN(100,ROUND(SUM($G174:P174),1)))</f>
        <v/>
      </c>
      <c r="BP174" s="1" t="str">
        <f aca="false">IF(OR(NOT(AND(ISNUMBER(E174),ISNUMBER(F174))),$J$2=""),"",MIN(100,ROUND(SUM($G174:P174),1)))</f>
        <v/>
      </c>
      <c r="BQ174" s="1" t="str">
        <f aca="false">IF(OR(NOT(AND(ISNUMBER(E174),ISNUMBER(F174))),$J$2=""),"",MIN(100,ROUND(SUM($G174:P174),1)))</f>
        <v/>
      </c>
      <c r="BR174" s="1" t="str">
        <f aca="false">IF(OR(NOT(AND(ISNUMBER(E174),ISNUMBER(F174))),$J$2=""),"",MIN(100,ROUND(SUM($G174:P174),1)))</f>
        <v/>
      </c>
      <c r="BS174" s="1" t="str">
        <f aca="false">IF(OR(NOT(AND(ISNUMBER(E174),ISNUMBER(F174))),$J$2=""),"",MIN(100,ROUND(SUM($G174:P174),1)))</f>
        <v/>
      </c>
      <c r="BT174" s="1" t="str">
        <f aca="false">IF(OR(NOT(AND(ISNUMBER(E174),ISNUMBER(F174))),$J$2=""),"",IF(Reprogramaciones!K$13&lt;Reprogramaciones!$T$15,0,IF(Reprogramaciones!K$14&gt;10,MIN(100,SUM($G174:$P174)),MIN(100,SUMPRODUCT((COLUMN($G174:$P174)-COLUMN($G174)+1&lt;Reprogramaciones!K$14)*$G174:$P174)+N(INDEX($G174:$P174,1,Reprogramaciones!K$14))*IF(Reprogramaciones!K$13&gt;=(Reprogramaciones!$T$15+7*(Reprogramaciones!K$14-1))+6,1,IF(MAX(0,NETWORKDAYS.INTL(MAX(E174,(Reprogramaciones!$T$15+7*(Reprogramaciones!K$14-1))),MIN(F174,(Reprogramaciones!$T$15+7*(Reprogramaciones!K$14-1))+6),11))=0,0,MAX(0,NETWORKDAYS.INTL(MAX(E174,(Reprogramaciones!$T$15+7*(Reprogramaciones!K$14-1))),MIN(F174,Reprogramaciones!K$13),11))/MAX(0,NETWORKDAYS.INTL(MAX(E174,(Reprogramaciones!$T$15+7*(Reprogramaciones!K$14-1))),MIN(F174,(Reprogramaciones!$T$15+7*(Reprogramaciones!K$14-1))+6),11))))))))</f>
        <v/>
      </c>
      <c r="BU174" s="1" t="str">
        <f aca="false">IF(OR(NOT(AND(ISNUMBER(E174),ISNUMBER(F174))),$J$2=""),"",IF(Reprogramaciones!L$13&lt;Reprogramaciones!$T$15,0,IF(Reprogramaciones!L$14&gt;10,MIN(100,SUM($G174:$P174)),MIN(100,SUMPRODUCT((COLUMN($G174:$P174)-COLUMN($G174)+1&lt;Reprogramaciones!L$14)*$G174:$P174)+N(INDEX($G174:$P174,1,Reprogramaciones!L$14))*IF(Reprogramaciones!L$13&gt;=(Reprogramaciones!$T$15+7*(Reprogramaciones!L$14-1))+6,1,IF(MAX(0,NETWORKDAYS.INTL(MAX(E174,(Reprogramaciones!$T$15+7*(Reprogramaciones!L$14-1))),MIN(F174,(Reprogramaciones!$T$15+7*(Reprogramaciones!L$14-1))+6),11))=0,0,MAX(0,NETWORKDAYS.INTL(MAX(E174,(Reprogramaciones!$T$15+7*(Reprogramaciones!L$14-1))),MIN(F174,Reprogramaciones!L$13),11))/MAX(0,NETWORKDAYS.INTL(MAX(E174,(Reprogramaciones!$T$15+7*(Reprogramaciones!L$14-1))),MIN(F174,(Reprogramaciones!$T$15+7*(Reprogramaciones!L$14-1))+6),11))))))))</f>
        <v/>
      </c>
      <c r="BV174" s="1" t="str">
        <f aca="false">IF(OR(NOT(AND(ISNUMBER(E174),ISNUMBER(F174))),$J$2=""),"",IF(Reprogramaciones!M$13&lt;Reprogramaciones!$T$15,0,IF(Reprogramaciones!M$14&gt;10,MIN(100,SUM($G174:$P174)),MIN(100,SUMPRODUCT((COLUMN($G174:$P174)-COLUMN($G174)+1&lt;Reprogramaciones!M$14)*$G174:$P174)+N(INDEX($G174:$P174,1,Reprogramaciones!M$14))*IF(Reprogramaciones!M$13&gt;=(Reprogramaciones!$T$15+7*(Reprogramaciones!M$14-1))+6,1,IF(MAX(0,NETWORKDAYS.INTL(MAX(E174,(Reprogramaciones!$T$15+7*(Reprogramaciones!M$14-1))),MIN(F174,(Reprogramaciones!$T$15+7*(Reprogramaciones!M$14-1))+6),11))=0,0,MAX(0,NETWORKDAYS.INTL(MAX(E174,(Reprogramaciones!$T$15+7*(Reprogramaciones!M$14-1))),MIN(F174,Reprogramaciones!M$13),11))/MAX(0,NETWORKDAYS.INTL(MAX(E174,(Reprogramaciones!$T$15+7*(Reprogramaciones!M$14-1))),MIN(F174,(Reprogramaciones!$T$15+7*(Reprogramaciones!M$14-1))+6),11))))))))</f>
        <v/>
      </c>
      <c r="BW174" s="1" t="str">
        <f aca="false">IF(OR(NOT(AND(ISNUMBER(E174),ISNUMBER(F174))),$J$2=""),"",IF(Reprogramaciones!N$13&lt;Reprogramaciones!$T$15,0,IF(Reprogramaciones!N$14&gt;10,MIN(100,SUM($G174:$P174)),MIN(100,SUMPRODUCT((COLUMN($G174:$P174)-COLUMN($G174)+1&lt;Reprogramaciones!N$14)*$G174:$P174)+N(INDEX($G174:$P174,1,Reprogramaciones!N$14))*IF(Reprogramaciones!N$13&gt;=(Reprogramaciones!$T$15+7*(Reprogramaciones!N$14-1))+6,1,IF(MAX(0,NETWORKDAYS.INTL(MAX(E174,(Reprogramaciones!$T$15+7*(Reprogramaciones!N$14-1))),MIN(F174,(Reprogramaciones!$T$15+7*(Reprogramaciones!N$14-1))+6),11))=0,0,MAX(0,NETWORKDAYS.INTL(MAX(E174,(Reprogramaciones!$T$15+7*(Reprogramaciones!N$14-1))),MIN(F174,Reprogramaciones!N$13),11))/MAX(0,NETWORKDAYS.INTL(MAX(E174,(Reprogramaciones!$T$15+7*(Reprogramaciones!N$14-1))),MIN(F174,(Reprogramaciones!$T$15+7*(Reprogramaciones!N$14-1))+6),11))))))))</f>
        <v/>
      </c>
      <c r="BX174" s="1" t="str">
        <f aca="false">IF(OR(NOT(AND(ISNUMBER(E174),ISNUMBER(F174))),$J$2=""),"",IF(Reprogramaciones!O$13&lt;Reprogramaciones!$T$15,0,IF(Reprogramaciones!O$14&gt;10,MIN(100,SUM($G174:$P174)),MIN(100,SUMPRODUCT((COLUMN($G174:$P174)-COLUMN($G174)+1&lt;Reprogramaciones!O$14)*$G174:$P174)+N(INDEX($G174:$P174,1,Reprogramaciones!O$14))*IF(Reprogramaciones!O$13&gt;=(Reprogramaciones!$T$15+7*(Reprogramaciones!O$14-1))+6,1,IF(MAX(0,NETWORKDAYS.INTL(MAX(E174,(Reprogramaciones!$T$15+7*(Reprogramaciones!O$14-1))),MIN(F174,(Reprogramaciones!$T$15+7*(Reprogramaciones!O$14-1))+6),11))=0,0,MAX(0,NETWORKDAYS.INTL(MAX(E174,(Reprogramaciones!$T$15+7*(Reprogramaciones!O$14-1))),MIN(F174,Reprogramaciones!O$13),11))/MAX(0,NETWORKDAYS.INTL(MAX(E174,(Reprogramaciones!$T$15+7*(Reprogramaciones!O$14-1))),MIN(F174,(Reprogramaciones!$T$15+7*(Reprogramaciones!O$14-1))+6),11))))))))</f>
        <v/>
      </c>
      <c r="BY174" s="1" t="str">
        <f aca="false">IF(OR(NOT(AND(ISNUMBER(E174),ISNUMBER(F174))),$J$2=""),"",IF(Reprogramaciones!P$13&lt;Reprogramaciones!$T$15,0,IF(Reprogramaciones!P$14&gt;10,MIN(100,SUM($G174:$P174)),MIN(100,SUMPRODUCT((COLUMN($G174:$P174)-COLUMN($G174)+1&lt;Reprogramaciones!P$14)*$G174:$P174)+N(INDEX($G174:$P174,1,Reprogramaciones!P$14))*IF(Reprogramaciones!P$13&gt;=(Reprogramaciones!$T$15+7*(Reprogramaciones!P$14-1))+6,1,IF(MAX(0,NETWORKDAYS.INTL(MAX(E174,(Reprogramaciones!$T$15+7*(Reprogramaciones!P$14-1))),MIN(F174,(Reprogramaciones!$T$15+7*(Reprogramaciones!P$14-1))+6),11))=0,0,MAX(0,NETWORKDAYS.INTL(MAX(E174,(Reprogramaciones!$T$15+7*(Reprogramaciones!P$14-1))),MIN(F174,Reprogramaciones!P$13),11))/MAX(0,NETWORKDAYS.INTL(MAX(E174,(Reprogramaciones!$T$15+7*(Reprogramaciones!P$14-1))),MIN(F174,(Reprogramaciones!$T$15+7*(Reprogramaciones!P$14-1))+6),11))))))))</f>
        <v/>
      </c>
      <c r="BZ174" s="1" t="str">
        <f aca="false">IF(OR(NOT(AND(ISNUMBER(E174),ISNUMBER(F174))),$J$2=""),"",IF(Reprogramaciones!Q$13&lt;Reprogramaciones!$T$15,0,IF(Reprogramaciones!Q$14&gt;10,MIN(100,SUM($G174:$P174)),MIN(100,SUMPRODUCT((COLUMN($G174:$P174)-COLUMN($G174)+1&lt;Reprogramaciones!Q$14)*$G174:$P174)+N(INDEX($G174:$P174,1,Reprogramaciones!Q$14))*IF(Reprogramaciones!Q$13&gt;=(Reprogramaciones!$T$15+7*(Reprogramaciones!Q$14-1))+6,1,IF(MAX(0,NETWORKDAYS.INTL(MAX(E174,(Reprogramaciones!$T$15+7*(Reprogramaciones!Q$14-1))),MIN(F174,(Reprogramaciones!$T$15+7*(Reprogramaciones!Q$14-1))+6),11))=0,0,MAX(0,NETWORKDAYS.INTL(MAX(E174,(Reprogramaciones!$T$15+7*(Reprogramaciones!Q$14-1))),MIN(F174,Reprogramaciones!Q$13),11))/MAX(0,NETWORKDAYS.INTL(MAX(E174,(Reprogramaciones!$T$15+7*(Reprogramaciones!Q$14-1))),MIN(F174,(Reprogramaciones!$T$15+7*(Reprogramaciones!Q$14-1))+6),11))))))))</f>
        <v/>
      </c>
      <c r="CA174" s="1" t="str">
        <f aca="false">IF(OR(NOT(AND(ISNUMBER(E174),ISNUMBER(F174))),$J$2=""),"",IF(Reprogramaciones!R$13&lt;Reprogramaciones!$T$15,0,IF(Reprogramaciones!R$14&gt;10,MIN(100,SUM($G174:$P174)),MIN(100,SUMPRODUCT((COLUMN($G174:$P174)-COLUMN($G174)+1&lt;Reprogramaciones!R$14)*$G174:$P174)+N(INDEX($G174:$P174,1,Reprogramaciones!R$14))*IF(Reprogramaciones!R$13&gt;=(Reprogramaciones!$T$15+7*(Reprogramaciones!R$14-1))+6,1,IF(MAX(0,NETWORKDAYS.INTL(MAX(E174,(Reprogramaciones!$T$15+7*(Reprogramaciones!R$14-1))),MIN(F174,(Reprogramaciones!$T$15+7*(Reprogramaciones!R$14-1))+6),11))=0,0,MAX(0,NETWORKDAYS.INTL(MAX(E174,(Reprogramaciones!$T$15+7*(Reprogramaciones!R$14-1))),MIN(F174,Reprogramaciones!R$13),11))/MAX(0,NETWORKDAYS.INTL(MAX(E174,(Reprogramaciones!$T$15+7*(Reprogramaciones!R$14-1))),MIN(F174,(Reprogramaciones!$T$15+7*(Reprogramaciones!R$14-1))+6),11))))))))</f>
        <v/>
      </c>
      <c r="CB174" s="1" t="str">
        <f aca="false">IF(OR(NOT(AND(ISNUMBER(E174),ISNUMBER(F174))),$J$2=""),"",IF(Reprogramaciones!S$13&lt;Reprogramaciones!$T$15,0,IF(Reprogramaciones!S$14&gt;10,MIN(100,SUM($G174:$P174)),MIN(100,SUMPRODUCT((COLUMN($G174:$P174)-COLUMN($G174)+1&lt;Reprogramaciones!S$14)*$G174:$P174)+N(INDEX($G174:$P174,1,Reprogramaciones!S$14))*IF(Reprogramaciones!S$13&gt;=(Reprogramaciones!$T$15+7*(Reprogramaciones!S$14-1))+6,1,IF(MAX(0,NETWORKDAYS.INTL(MAX(E174,(Reprogramaciones!$T$15+7*(Reprogramaciones!S$14-1))),MIN(F174,(Reprogramaciones!$T$15+7*(Reprogramaciones!S$14-1))+6),11))=0,0,MAX(0,NETWORKDAYS.INTL(MAX(E174,(Reprogramaciones!$T$15+7*(Reprogramaciones!S$14-1))),MIN(F174,Reprogramaciones!S$13),11))/MAX(0,NETWORKDAYS.INTL(MAX(E174,(Reprogramaciones!$T$15+7*(Reprogramaciones!S$14-1))),MIN(F174,(Reprogramaciones!$T$15+7*(Reprogramaciones!S$14-1))+6),11))))))))</f>
        <v/>
      </c>
      <c r="CC174" s="1" t="str">
        <f aca="false">IF(OR(NOT(AND(ISNUMBER(E174),ISNUMBER(F174))),$J$2=""),"",IF(Reprogramaciones!T$13&lt;Reprogramaciones!$T$15,0,IF(Reprogramaciones!T$14&gt;10,MIN(100,SUM($G174:$P174)),MIN(100,SUMPRODUCT((COLUMN($G174:$P174)-COLUMN($G174)+1&lt;Reprogramaciones!T$14)*$G174:$P174)+N(INDEX($G174:$P174,1,Reprogramaciones!T$14))*IF(Reprogramaciones!T$13&gt;=(Reprogramaciones!$T$15+7*(Reprogramaciones!T$14-1))+6,1,IF(MAX(0,NETWORKDAYS.INTL(MAX(E174,(Reprogramaciones!$T$15+7*(Reprogramaciones!T$14-1))),MIN(F174,(Reprogramaciones!$T$15+7*(Reprogramaciones!T$14-1))+6),11))=0,0,MAX(0,NETWORKDAYS.INTL(MAX(E174,(Reprogramaciones!$T$15+7*(Reprogramaciones!T$14-1))),MIN(F174,Reprogramaciones!T$13),11))/MAX(0,NETWORKDAYS.INTL(MAX(E174,(Reprogramaciones!$T$15+7*(Reprogramaciones!T$14-1))),MIN(F174,(Reprogramaciones!$T$15+7*(Reprogramaciones!T$14-1))+6),11))))))))</f>
        <v/>
      </c>
      <c r="CD174" s="1" t="str">
        <f aca="false">IF(OR(NOT(AND(ISNUMBER(E174),ISNUMBER(F174))),$J$2=""),"",IF(Reprogramaciones!U$13&lt;Reprogramaciones!$T$15,0,IF(Reprogramaciones!U$14&gt;10,MIN(100,SUM($G174:$P174)),MIN(100,SUMPRODUCT((COLUMN($G174:$P174)-COLUMN($G174)+1&lt;Reprogramaciones!U$14)*$G174:$P174)+N(INDEX($G174:$P174,1,Reprogramaciones!U$14))*IF(Reprogramaciones!U$13&gt;=(Reprogramaciones!$T$15+7*(Reprogramaciones!U$14-1))+6,1,IF(MAX(0,NETWORKDAYS.INTL(MAX(E174,(Reprogramaciones!$T$15+7*(Reprogramaciones!U$14-1))),MIN(F174,(Reprogramaciones!$T$15+7*(Reprogramaciones!U$14-1))+6),11))=0,0,MAX(0,NETWORKDAYS.INTL(MAX(E174,(Reprogramaciones!$T$15+7*(Reprogramaciones!U$14-1))),MIN(F174,Reprogramaciones!U$13),11))/MAX(0,NETWORKDAYS.INTL(MAX(E174,(Reprogramaciones!$T$15+7*(Reprogramaciones!U$14-1))),MIN(F174,(Reprogramaciones!$T$15+7*(Reprogramaciones!U$14-1))+6),11))))))))</f>
        <v/>
      </c>
      <c r="CE174" s="1" t="str">
        <f aca="false">IF(OR(NOT(AND(ISNUMBER(E174),ISNUMBER(F174))),$J$2=""),"",IF(Reprogramaciones!V$13&lt;Reprogramaciones!$T$15,0,IF(Reprogramaciones!V$14&gt;10,MIN(100,SUM($G174:$P174)),MIN(100,SUMPRODUCT((COLUMN($G174:$P174)-COLUMN($G174)+1&lt;Reprogramaciones!V$14)*$G174:$P174)+N(INDEX($G174:$P174,1,Reprogramaciones!V$14))*IF(Reprogramaciones!V$13&gt;=(Reprogramaciones!$T$15+7*(Reprogramaciones!V$14-1))+6,1,IF(MAX(0,NETWORKDAYS.INTL(MAX(E174,(Reprogramaciones!$T$15+7*(Reprogramaciones!V$14-1))),MIN(F174,(Reprogramaciones!$T$15+7*(Reprogramaciones!V$14-1))+6),11))=0,0,MAX(0,NETWORKDAYS.INTL(MAX(E174,(Reprogramaciones!$T$15+7*(Reprogramaciones!V$14-1))),MIN(F174,Reprogramaciones!V$13),11))/MAX(0,NETWORKDAYS.INTL(MAX(E174,(Reprogramaciones!$T$15+7*(Reprogramaciones!V$14-1))),MIN(F174,(Reprogramaciones!$T$15+7*(Reprogramaciones!V$14-1))+6),11))))))))</f>
        <v/>
      </c>
      <c r="CF174" s="1" t="str">
        <f aca="false">IF(OR(NOT(AND(ISNUMBER(E174),ISNUMBER(F174))),$J$2=""),"",IF(Reprogramaciones!W$13&lt;Reprogramaciones!$T$15,0,IF(Reprogramaciones!W$14&gt;10,MIN(100,SUM($G174:$P174)),MIN(100,SUMPRODUCT((COLUMN($G174:$P174)-COLUMN($G174)+1&lt;Reprogramaciones!W$14)*$G174:$P174)+N(INDEX($G174:$P174,1,Reprogramaciones!W$14))*IF(Reprogramaciones!W$13&gt;=(Reprogramaciones!$T$15+7*(Reprogramaciones!W$14-1))+6,1,IF(MAX(0,NETWORKDAYS.INTL(MAX(E174,(Reprogramaciones!$T$15+7*(Reprogramaciones!W$14-1))),MIN(F174,(Reprogramaciones!$T$15+7*(Reprogramaciones!W$14-1))+6),11))=0,0,MAX(0,NETWORKDAYS.INTL(MAX(E174,(Reprogramaciones!$T$15+7*(Reprogramaciones!W$14-1))),MIN(F174,Reprogramaciones!W$13),11))/MAX(0,NETWORKDAYS.INTL(MAX(E174,(Reprogramaciones!$T$15+7*(Reprogramaciones!W$14-1))),MIN(F174,(Reprogramaciones!$T$15+7*(Reprogramaciones!W$14-1))+6),11))))))))</f>
        <v/>
      </c>
      <c r="CG174" s="1" t="str">
        <f aca="false">IF(OR(NOT(AND(ISNUMBER(E174),ISNUMBER(F174))),$J$2=""),"",IF(Reprogramaciones!X$13&lt;Reprogramaciones!$T$15,0,IF(Reprogramaciones!X$14&gt;10,MIN(100,SUM($G174:$P174)),MIN(100,SUMPRODUCT((COLUMN($G174:$P174)-COLUMN($G174)+1&lt;Reprogramaciones!X$14)*$G174:$P174)+N(INDEX($G174:$P174,1,Reprogramaciones!X$14))*IF(Reprogramaciones!X$13&gt;=(Reprogramaciones!$T$15+7*(Reprogramaciones!X$14-1))+6,1,IF(MAX(0,NETWORKDAYS.INTL(MAX(E174,(Reprogramaciones!$T$15+7*(Reprogramaciones!X$14-1))),MIN(F174,(Reprogramaciones!$T$15+7*(Reprogramaciones!X$14-1))+6),11))=0,0,MAX(0,NETWORKDAYS.INTL(MAX(E174,(Reprogramaciones!$T$15+7*(Reprogramaciones!X$14-1))),MIN(F174,Reprogramaciones!X$13),11))/MAX(0,NETWORKDAYS.INTL(MAX(E174,(Reprogramaciones!$T$15+7*(Reprogramaciones!X$14-1))),MIN(F174,(Reprogramaciones!$T$15+7*(Reprogramaciones!X$14-1))+6),11))))))))</f>
        <v/>
      </c>
      <c r="CH174" s="1" t="str">
        <f aca="false">IF(OR(NOT(AND(ISNUMBER(E174),ISNUMBER(F174))),$J$2=""),"",IF(Reprogramaciones!Y$13&lt;Reprogramaciones!$T$15,0,IF(Reprogramaciones!Y$14&gt;10,MIN(100,SUM($G174:$P174)),MIN(100,SUMPRODUCT((COLUMN($G174:$P174)-COLUMN($G174)+1&lt;Reprogramaciones!Y$14)*$G174:$P174)+N(INDEX($G174:$P174,1,Reprogramaciones!Y$14))*IF(Reprogramaciones!Y$13&gt;=(Reprogramaciones!$T$15+7*(Reprogramaciones!Y$14-1))+6,1,IF(MAX(0,NETWORKDAYS.INTL(MAX(E174,(Reprogramaciones!$T$15+7*(Reprogramaciones!Y$14-1))),MIN(F174,(Reprogramaciones!$T$15+7*(Reprogramaciones!Y$14-1))+6),11))=0,0,MAX(0,NETWORKDAYS.INTL(MAX(E174,(Reprogramaciones!$T$15+7*(Reprogramaciones!Y$14-1))),MIN(F174,Reprogramaciones!Y$13),11))/MAX(0,NETWORKDAYS.INTL(MAX(E174,(Reprogramaciones!$T$15+7*(Reprogramaciones!Y$14-1))),MIN(F174,(Reprogramaciones!$T$15+7*(Reprogramaciones!Y$14-1))+6),11))))))))</f>
        <v/>
      </c>
      <c r="CI174" s="1" t="str">
        <f aca="false">IF(OR(NOT(AND(ISNUMBER(E174),ISNUMBER(F174))),$J$2=""),"",IF(Reprogramaciones!Z$13&lt;Reprogramaciones!$T$15,0,IF(Reprogramaciones!Z$14&gt;10,MIN(100,SUM($G174:$P174)),MIN(100,SUMPRODUCT((COLUMN($G174:$P174)-COLUMN($G174)+1&lt;Reprogramaciones!Z$14)*$G174:$P174)+N(INDEX($G174:$P174,1,Reprogramaciones!Z$14))*IF(Reprogramaciones!Z$13&gt;=(Reprogramaciones!$T$15+7*(Reprogramaciones!Z$14-1))+6,1,IF(MAX(0,NETWORKDAYS.INTL(MAX(E174,(Reprogramaciones!$T$15+7*(Reprogramaciones!Z$14-1))),MIN(F174,(Reprogramaciones!$T$15+7*(Reprogramaciones!Z$14-1))+6),11))=0,0,MAX(0,NETWORKDAYS.INTL(MAX(E174,(Reprogramaciones!$T$15+7*(Reprogramaciones!Z$14-1))),MIN(F174,Reprogramaciones!Z$13),11))/MAX(0,NETWORKDAYS.INTL(MAX(E174,(Reprogramaciones!$T$15+7*(Reprogramaciones!Z$14-1))),MIN(F174,(Reprogramaciones!$T$15+7*(Reprogramaciones!Z$14-1))+6),11))))))))</f>
        <v/>
      </c>
      <c r="CJ174" s="1" t="str">
        <f aca="false">IF(OR(OR(NOT(AND(ISNUMBER(E174),ISNUMBER(F174))),$J$2=""),1&gt;Reprogramaciones!$K$16),"",IF(ROUND(SUM($Q174:Q174),1)&gt;=99.5,100,MIN(100,ROUND(SUM($Q174:Q174),1))))</f>
        <v/>
      </c>
      <c r="CK174" s="1" t="str">
        <f aca="false">IF(OR(OR(NOT(AND(ISNUMBER(E174),ISNUMBER(F174))),$J$2=""),2&gt;Reprogramaciones!$K$16),"",IF(ROUND(SUM($Q174:R174),1)&gt;=99.5,100,MIN(100,ROUND(SUM($Q174:R174),1))))</f>
        <v/>
      </c>
      <c r="CL174" s="1" t="str">
        <f aca="false">IF(OR(OR(NOT(AND(ISNUMBER(E174),ISNUMBER(F174))),$J$2=""),3&gt;Reprogramaciones!$K$16),"",IF(ROUND(SUM($Q174:S174),1)&gt;=99.5,100,MIN(100,ROUND(SUM($Q174:S174),1))))</f>
        <v/>
      </c>
      <c r="CM174" s="1" t="str">
        <f aca="false">IF(OR(OR(NOT(AND(ISNUMBER(E174),ISNUMBER(F174))),$J$2=""),4&gt;Reprogramaciones!$K$16),"",IF(ROUND(SUM($Q174:T174),1)&gt;=99.5,100,MIN(100,ROUND(SUM($Q174:T174),1))))</f>
        <v/>
      </c>
      <c r="CN174" s="1" t="str">
        <f aca="false">IF(OR(OR(NOT(AND(ISNUMBER(E174),ISNUMBER(F174))),$J$2=""),5&gt;Reprogramaciones!$K$16),"",IF(ROUND(SUM($Q174:U174),1)&gt;=99.5,100,MIN(100,ROUND(SUM($Q174:U174),1))))</f>
        <v/>
      </c>
      <c r="CO174" s="1" t="str">
        <f aca="false">IF(OR(OR(NOT(AND(ISNUMBER(E174),ISNUMBER(F174))),$J$2=""),6&gt;Reprogramaciones!$K$16),"",IF(ROUND(SUM($Q174:V174),1)&gt;=99.5,100,MIN(100,ROUND(SUM($Q174:V174),1))))</f>
        <v/>
      </c>
      <c r="CP174" s="1" t="str">
        <f aca="false">IF(OR(OR(NOT(AND(ISNUMBER(E174),ISNUMBER(F174))),$J$2=""),7&gt;Reprogramaciones!$K$16),"",IF(ROUND(SUM($Q174:W174),1)&gt;=99.5,100,MIN(100,ROUND(SUM($Q174:W174),1))))</f>
        <v/>
      </c>
      <c r="CQ174" s="1" t="str">
        <f aca="false">IF(OR(OR(NOT(AND(ISNUMBER(E174),ISNUMBER(F174))),$J$2=""),8&gt;Reprogramaciones!$K$16),"",IF(ROUND(SUM($Q174:X174),1)&gt;=99.5,100,MIN(100,ROUND(SUM($Q174:X174),1))))</f>
        <v/>
      </c>
      <c r="CR174" s="1" t="str">
        <f aca="false">IF(OR(OR(NOT(AND(ISNUMBER(E174),ISNUMBER(F174))),$J$2=""),9&gt;Reprogramaciones!$K$16),"",IF(ROUND(SUM($Q174:Y174),1)&gt;=99.5,100,MIN(100,ROUND(SUM($Q174:Y174),1))))</f>
        <v/>
      </c>
      <c r="CS174" s="1" t="str">
        <f aca="false">IF(OR(OR(NOT(AND(ISNUMBER(E174),ISNUMBER(F174))),$J$2=""),10&gt;Reprogramaciones!$K$16),"",IF(ROUND(SUM($Q174:Z174),1)&gt;=99.5,100,MIN(100,ROUND(SUM($Q174:Z174),1))))</f>
        <v/>
      </c>
      <c r="CT174" s="1" t="str">
        <f aca="false">IF(OR(OR(NOT(AND(ISNUMBER(E174),ISNUMBER(F174))),$J$2=""),11&gt;Reprogramaciones!$K$16),"",IF(ROUND(SUM($Q174:AA174),1)&gt;=99.5,100,MIN(100,ROUND(SUM($Q174:AA174),1))))</f>
        <v/>
      </c>
      <c r="CU174" s="1" t="str">
        <f aca="false">IF(OR(OR(NOT(AND(ISNUMBER(E174),ISNUMBER(F174))),$J$2=""),12&gt;Reprogramaciones!$K$16),"",IF(ROUND(SUM($Q174:AB174),1)&gt;=99.5,100,MIN(100,ROUND(SUM($Q174:AB174),1))))</f>
        <v/>
      </c>
      <c r="CV174" s="1" t="str">
        <f aca="false">IF(OR(OR(NOT(AND(ISNUMBER(E174),ISNUMBER(F174))),$J$2=""),13&gt;Reprogramaciones!$K$16),"",IF(ROUND(SUM($Q174:AC174),1)&gt;=99.5,100,MIN(100,ROUND(SUM($Q174:AC174),1))))</f>
        <v/>
      </c>
      <c r="CW174" s="1" t="str">
        <f aca="false">IF(OR(OR(NOT(AND(ISNUMBER(E174),ISNUMBER(F174))),$J$2=""),14&gt;Reprogramaciones!$K$16),"",IF(ROUND(SUM($Q174:AD174),1)&gt;=99.5,100,MIN(100,ROUND(SUM($Q174:AD174),1))))</f>
        <v/>
      </c>
      <c r="CX174" s="1" t="str">
        <f aca="false">IF(OR(OR(NOT(AND(ISNUMBER(E174),ISNUMBER(F174))),$J$2=""),15&gt;Reprogramaciones!$K$16),"",IF(ROUND(SUM($Q174:AE174),1)&gt;=99.5,100,MIN(100,ROUND(SUM($Q174:AE174),1))))</f>
        <v/>
      </c>
      <c r="CY174" s="1" t="str">
        <f aca="false">IF(OR(OR(NOT(AND(ISNUMBER(E174),ISNUMBER(F174))),$J$2=""),16&gt;Reprogramaciones!$K$16),"",IF(ROUND(SUM($Q174:AF174),1)&gt;=99.5,100,MIN(100,ROUND(SUM($Q174:AF174),1))))</f>
        <v/>
      </c>
      <c r="CZ174" s="1" t="str">
        <f aca="false">IF(D174&lt;&gt;"",D174,IF(B174&lt;&gt;"","Contractual",CZ173))</f>
        <v>Contractual</v>
      </c>
      <c r="DA174" s="1" t="str">
        <f aca="false">IF(OR(NOT(AND(ISNUMBER(E174),ISNUMBER(F174))),$J$2=""),"",IF(Reprogramaciones!$Q$15&lt;Reprogramaciones!$T$15,0,IF(Reprogramaciones!$S$15&gt;10,MIN(100,SUM($G174:$P174)),MIN(100,SUMPRODUCT((COLUMN($G174:$P174)-COLUMN($G174)+1&lt;Reprogramaciones!$S$15)*$G174:$P174)+N(INDEX($G174:$P174,1,Reprogramaciones!$S$15))*IF(Reprogramaciones!$Q$15&gt;=(Reprogramaciones!$T$15+7*(Reprogramaciones!$S$15-1))+6,1,IF(MAX(0,NETWORKDAYS.INTL(MAX(E174,(Reprogramaciones!$T$15+7*(Reprogramaciones!$S$15-1))),MIN(F174,(Reprogramaciones!$T$15+7*(Reprogramaciones!$S$15-1))+6),11))=0,0,MAX(0,NETWORKDAYS.INTL(MAX(E174,(Reprogramaciones!$T$15+7*(Reprogramaciones!$S$15-1))),MIN(F174,Reprogramaciones!$Q$15),11))/MAX(0,NETWORKDAYS.INTL(MAX(E174,(Reprogramaciones!$T$15+7*(Reprogramaciones!$S$15-1))),MIN(F174,(Reprogramaciones!$T$15+7*(Reprogramaciones!$S$15-1))+6),11))))))))</f>
        <v/>
      </c>
    </row>
    <row r="175" customFormat="false" ht="15" hidden="false" customHeight="false" outlineLevel="0" collapsed="false">
      <c r="A175" s="32"/>
      <c r="B175" s="33"/>
      <c r="C175" s="33"/>
      <c r="D175" s="34"/>
      <c r="E175" s="35"/>
      <c r="F175" s="35"/>
      <c r="G175" s="36" t="str">
        <f aca="false">IF(OR(NOT(AND(ISNUMBER(E175),ISNUMBER(F175))),$J$2=""),"",IF(Reprogramaciones!K$9&lt;E175,0,IF(NETWORKDAYS.INTL(E175,F175,11)=0,IF(Reprogramaciones!K$9&gt;=F175,100,0),ROUND(NETWORKDAYS.INTL(E175,MIN(F175,Reprogramaciones!K$9),11)/NETWORKDAYS.INTL(E175,F175,11)*100,1)))-0)</f>
        <v/>
      </c>
      <c r="H175" s="36" t="str">
        <f aca="false">IF(OR(NOT(AND(ISNUMBER(E175),ISNUMBER(F175))),$J$2=""),"",IF(Reprogramaciones!L$9&lt;E175,0,IF(NETWORKDAYS.INTL(E175,F175,11)=0,IF(Reprogramaciones!L$9&gt;=F175,100,0),ROUND(NETWORKDAYS.INTL(E175,MIN(F175,Reprogramaciones!L$9),11)/NETWORKDAYS.INTL(E175,F175,11)*100,1)))-IF(Reprogramaciones!K$9&lt;E175,0,IF(NETWORKDAYS.INTL(E175,F175,11)=0,IF(Reprogramaciones!K$9&gt;=F175,100,0),ROUND(NETWORKDAYS.INTL(E175,MIN(F175,Reprogramaciones!K$9),11)/NETWORKDAYS.INTL(E175,F175,11)*100,1))))</f>
        <v/>
      </c>
      <c r="I175" s="36" t="str">
        <f aca="false">IF(OR(NOT(AND(ISNUMBER(E175),ISNUMBER(F175))),$J$2=""),"",IF(Reprogramaciones!M$9&lt;E175,0,IF(NETWORKDAYS.INTL(E175,F175,11)=0,IF(Reprogramaciones!M$9&gt;=F175,100,0),ROUND(NETWORKDAYS.INTL(E175,MIN(F175,Reprogramaciones!M$9),11)/NETWORKDAYS.INTL(E175,F175,11)*100,1)))-IF(Reprogramaciones!L$9&lt;E175,0,IF(NETWORKDAYS.INTL(E175,F175,11)=0,IF(Reprogramaciones!L$9&gt;=F175,100,0),ROUND(NETWORKDAYS.INTL(E175,MIN(F175,Reprogramaciones!L$9),11)/NETWORKDAYS.INTL(E175,F175,11)*100,1))))</f>
        <v/>
      </c>
      <c r="J175" s="36" t="str">
        <f aca="false">IF(OR(NOT(AND(ISNUMBER(E175),ISNUMBER(F175))),$J$2=""),"",IF(Reprogramaciones!N$9&lt;E175,0,IF(NETWORKDAYS.INTL(E175,F175,11)=0,IF(Reprogramaciones!N$9&gt;=F175,100,0),ROUND(NETWORKDAYS.INTL(E175,MIN(F175,Reprogramaciones!N$9),11)/NETWORKDAYS.INTL(E175,F175,11)*100,1)))-IF(Reprogramaciones!M$9&lt;E175,0,IF(NETWORKDAYS.INTL(E175,F175,11)=0,IF(Reprogramaciones!M$9&gt;=F175,100,0),ROUND(NETWORKDAYS.INTL(E175,MIN(F175,Reprogramaciones!M$9),11)/NETWORKDAYS.INTL(E175,F175,11)*100,1))))</f>
        <v/>
      </c>
      <c r="K175" s="36" t="str">
        <f aca="false">IF(OR(NOT(AND(ISNUMBER(E175),ISNUMBER(F175))),$J$2=""),"",IF(Reprogramaciones!O$9&lt;E175,0,IF(NETWORKDAYS.INTL(E175,F175,11)=0,IF(Reprogramaciones!O$9&gt;=F175,100,0),ROUND(NETWORKDAYS.INTL(E175,MIN(F175,Reprogramaciones!O$9),11)/NETWORKDAYS.INTL(E175,F175,11)*100,1)))-IF(Reprogramaciones!N$9&lt;E175,0,IF(NETWORKDAYS.INTL(E175,F175,11)=0,IF(Reprogramaciones!N$9&gt;=F175,100,0),ROUND(NETWORKDAYS.INTL(E175,MIN(F175,Reprogramaciones!N$9),11)/NETWORKDAYS.INTL(E175,F175,11)*100,1))))</f>
        <v/>
      </c>
      <c r="L175" s="36" t="str">
        <f aca="false">IF(OR(NOT(AND(ISNUMBER(E175),ISNUMBER(F175))),$J$2=""),"",IF(Reprogramaciones!P$9&lt;E175,0,IF(NETWORKDAYS.INTL(E175,F175,11)=0,IF(Reprogramaciones!P$9&gt;=F175,100,0),ROUND(NETWORKDAYS.INTL(E175,MIN(F175,Reprogramaciones!P$9),11)/NETWORKDAYS.INTL(E175,F175,11)*100,1)))-IF(Reprogramaciones!O$9&lt;E175,0,IF(NETWORKDAYS.INTL(E175,F175,11)=0,IF(Reprogramaciones!O$9&gt;=F175,100,0),ROUND(NETWORKDAYS.INTL(E175,MIN(F175,Reprogramaciones!O$9),11)/NETWORKDAYS.INTL(E175,F175,11)*100,1))))</f>
        <v/>
      </c>
      <c r="M175" s="36" t="str">
        <f aca="false">IF(OR(NOT(AND(ISNUMBER(E175),ISNUMBER(F175))),$J$2=""),"",IF(Reprogramaciones!Q$9&lt;E175,0,IF(NETWORKDAYS.INTL(E175,F175,11)=0,IF(Reprogramaciones!Q$9&gt;=F175,100,0),ROUND(NETWORKDAYS.INTL(E175,MIN(F175,Reprogramaciones!Q$9),11)/NETWORKDAYS.INTL(E175,F175,11)*100,1)))-IF(Reprogramaciones!P$9&lt;E175,0,IF(NETWORKDAYS.INTL(E175,F175,11)=0,IF(Reprogramaciones!P$9&gt;=F175,100,0),ROUND(NETWORKDAYS.INTL(E175,MIN(F175,Reprogramaciones!P$9),11)/NETWORKDAYS.INTL(E175,F175,11)*100,1))))</f>
        <v/>
      </c>
      <c r="N175" s="36" t="str">
        <f aca="false">IF(OR(NOT(AND(ISNUMBER(E175),ISNUMBER(F175))),$J$2=""),"",IF(Reprogramaciones!R$9&lt;E175,0,IF(NETWORKDAYS.INTL(E175,F175,11)=0,IF(Reprogramaciones!R$9&gt;=F175,100,0),ROUND(NETWORKDAYS.INTL(E175,MIN(F175,Reprogramaciones!R$9),11)/NETWORKDAYS.INTL(E175,F175,11)*100,1)))-IF(Reprogramaciones!Q$9&lt;E175,0,IF(NETWORKDAYS.INTL(E175,F175,11)=0,IF(Reprogramaciones!Q$9&gt;=F175,100,0),ROUND(NETWORKDAYS.INTL(E175,MIN(F175,Reprogramaciones!Q$9),11)/NETWORKDAYS.INTL(E175,F175,11)*100,1))))</f>
        <v/>
      </c>
      <c r="O175" s="36" t="str">
        <f aca="false">IF(OR(NOT(AND(ISNUMBER(E175),ISNUMBER(F175))),$J$2=""),"",IF(Reprogramaciones!S$9&lt;E175,0,IF(NETWORKDAYS.INTL(E175,F175,11)=0,IF(Reprogramaciones!S$9&gt;=F175,100,0),ROUND(NETWORKDAYS.INTL(E175,MIN(F175,Reprogramaciones!S$9),11)/NETWORKDAYS.INTL(E175,F175,11)*100,1)))-IF(Reprogramaciones!R$9&lt;E175,0,IF(NETWORKDAYS.INTL(E175,F175,11)=0,IF(Reprogramaciones!R$9&gt;=F175,100,0),ROUND(NETWORKDAYS.INTL(E175,MIN(F175,Reprogramaciones!R$9),11)/NETWORKDAYS.INTL(E175,F175,11)*100,1))))</f>
        <v/>
      </c>
      <c r="P175" s="36" t="str">
        <f aca="false">IF(OR(NOT(AND(ISNUMBER(E175),ISNUMBER(F175))),$J$2=""),"",IF(Reprogramaciones!T$9&lt;E175,0,IF(NETWORKDAYS.INTL(E175,F175,11)=0,IF(Reprogramaciones!T$9&gt;=F175,100,0),ROUND(NETWORKDAYS.INTL(E175,MIN(F175,Reprogramaciones!T$9),11)/NETWORKDAYS.INTL(E175,F175,11)*100,1)))-IF(Reprogramaciones!S$9&lt;E175,0,IF(NETWORKDAYS.INTL(E175,F175,11)=0,IF(Reprogramaciones!S$9&gt;=F175,100,0),ROUND(NETWORKDAYS.INTL(E175,MIN(F175,Reprogramaciones!S$9),11)/NETWORKDAYS.INTL(E175,F175,11)*100,1))))</f>
        <v/>
      </c>
      <c r="Q175" s="37"/>
      <c r="R175" s="37"/>
      <c r="S175" s="37"/>
      <c r="T175" s="37"/>
      <c r="U175" s="37"/>
      <c r="V175" s="37"/>
      <c r="W175" s="37"/>
      <c r="X175" s="37"/>
      <c r="Y175" s="37"/>
      <c r="Z175" s="37"/>
      <c r="AA175" s="37"/>
      <c r="AB175" s="37"/>
      <c r="AC175" s="37"/>
      <c r="AD175" s="37"/>
      <c r="AE175" s="37"/>
      <c r="AF175" s="37"/>
      <c r="AG175" s="38" t="str">
        <f aca="false">IF(AND(ISNUMBER(E175),ISNUMBER(F175)),NETWORKDAYS.INTL(E175,F175,11),"")</f>
        <v/>
      </c>
      <c r="AH175" s="38" t="str">
        <f aca="false">IF(OR(NOT(AND(ISNUMBER(E175),ISNUMBER(F175))),$J$2=""),"",IF(Reprogramaciones!$P$15&lt;Reprogramaciones!$T$15,0,IF(Reprogramaciones!$R$15&gt;10,MIN(100,SUM($G175:$P175)),MIN(100,SUMPRODUCT((COLUMN($G175:$P175)-COLUMN($G175)+1&lt;Reprogramaciones!$R$15)*$G175:$P175)+N(INDEX($G175:$P175,1,Reprogramaciones!$R$15))*IF(Reprogramaciones!$P$15&gt;=(Reprogramaciones!$T$15+7*(Reprogramaciones!$R$15-1))+6,1,IF(MAX(0,NETWORKDAYS.INTL(MAX(E175,(Reprogramaciones!$T$15+7*(Reprogramaciones!$R$15-1))),MIN(F175,(Reprogramaciones!$T$15+7*(Reprogramaciones!$R$15-1))+6),11))=0,0,MAX(0,NETWORKDAYS.INTL(MAX(E175,(Reprogramaciones!$T$15+7*(Reprogramaciones!$R$15-1))),MIN(F175,Reprogramaciones!$P$15),11))/MAX(0,NETWORKDAYS.INTL(MAX(E175,(Reprogramaciones!$T$15+7*(Reprogramaciones!$R$15-1))),MIN(F175,(Reprogramaciones!$T$15+7*(Reprogramaciones!$R$15-1))+6),11))))))))</f>
        <v/>
      </c>
      <c r="AI175" s="38" t="str">
        <f aca="false">IF(COUNT($Q175:$AF175)=0,"",IF(ROUND(SUM($Q175:$AF175),1)&gt;=99.5,100,MIN(100,ROUND(SUM($Q175:$AF175),1))))</f>
        <v/>
      </c>
      <c r="AJ175" s="38" t="str">
        <f aca="false">IF(OR(AH175="",AI175=""),"",AI175-AH175)</f>
        <v/>
      </c>
      <c r="AK175" s="39" t="str">
        <f aca="true">IF(AH175="","",IF(OR(Ficha!$C$10="Suspendida",Ficha!$C$10="Cancelada"),Ficha!$C$10,IF(AND(AI175&lt;&gt;"",N(AI175)&gt;=100),"Completada",IF(AND(E175&gt;TODAY(),N(AI175)=0),"Por iniciar",IF(N(AI175)+0.5&lt;AH175,"Retrasada",IF(N(AI175)+0.5&lt;DA175,IF(Reprogramaciones!$K$15&gt;0,"Al día · Sem "&amp;Reprogramaciones!$K$15&amp;" en curso","Al día · en curso"),"A tiempo"))))))</f>
        <v/>
      </c>
      <c r="AL175" s="39" t="str">
        <f aca="true">IF(AND(A175="",AND(B175="",C175="",E175="",F175="",COUNT(Q175:AF175)=0)),"",IF(AND(B175="",C175="",E175="",F175="",COUNT(Q175:AF175)=0),"Falta la partida o subpartida",IF(AND(A175&lt;&gt;"",COUNTIF($A$6:$A$305,A175)&gt;1),"Ítem repetido",IF(AND(C175="",E175="",F175="",COUNT(Q175:AF175)=0),"Título de partida",IF(OR(E175="",F175=""),"Faltan fechas",IF(OR(ISTEXT(E175),ISTEXT(F175)),"Fecha escrita como texto: usa dd/mm/aaaa",IF(F175&lt;E175,"Fin antes del inicio",IF(IF($J$2="",FALSE(),OR(E175&lt;$J$2,F175&gt;Reprogramaciones!$T$15+69)),"Fuera de las 10 semanas",IF(ABS(SUM(G175:P175)-100)&gt;0.5,"La meta no suma 100%",IF(ROUND(SUM(Q175:AF175),1)&gt;100.5,"El avance pasa de 100%",IF(MIN(Q175:AF175)&lt;0,"Avance negativo",IF(COUNTA(Q175:AF175)&gt;COUNT(Q175:AF175),"Avance escrito como texto",IF(SUMPRODUCT((Q175:AF175&gt;0)*(Q175:AF175&lt;1))&gt;0,"Avance menor a 1: escribe 50, no 50%",IF(SUMPRODUCT(ISNUMBER(Q175:AF175)*(Reprogramaciones!$K$8:$Z$8&gt;TODAY()))&gt;0,"Avance en semana que aún no llega",IF(AND(N(Reprogramaciones!$E$21)&gt;0,F175&gt;Reprogramaciones!$E$21),"Pasa el fin de la obra: registra una reprogramación",IF(AND(N(Reprogramaciones!$E$21)&gt;0,SUMPRODUCT(ISNUMBER(Q175:AF175)*(Reprogramaciones!$K$8:$Z$8&gt;Reprogramaciones!$E$21))&gt;0),"Avance después del fin de la obra: registra una reprogramación por atraso","OK"))))))))))))))))</f>
        <v/>
      </c>
      <c r="AM175" s="40" t="str">
        <f aca="false">IF(OR(OR(NOT(AND(ISNUMBER(E175),ISNUMBER(F175))),$J$2=""),1&gt;MAX(1,Reprogramaciones!$U$15)),"",IF(Reprogramaciones!K$12&gt;=7,"",IF(OR(BT175-N(0)&gt;0.05,N(Q175)&gt;0),ROUNDDOWN(ROUND(BT175,6),0)&amp;"%"&amp;IF(CJ175="",""," / "&amp;CJ175&amp;"%"),IF(AND(N(0)&gt;=99.95,CJ175&lt;&gt;"",N(CJ175)&lt;100),"Pend. "&amp;CJ175&amp;"%",""))))</f>
        <v/>
      </c>
      <c r="AN175" s="40" t="str">
        <f aca="false">IF(OR(OR(NOT(AND(ISNUMBER(E175),ISNUMBER(F175))),$J$2=""),2&gt;MAX(1,Reprogramaciones!$U$15)),"",IF(Reprogramaciones!L$12&gt;=7,"",IF(OR(BU175-N(BT175)&gt;0.05,N(R175)&gt;0),ROUNDDOWN(ROUND(BU175,6),0)&amp;"%"&amp;IF(CK175="",""," / "&amp;CK175&amp;"%"),IF(AND(N(BT175)&gt;=99.95,CK175&lt;&gt;"",N(CK175)&lt;100),"Pend. "&amp;CK175&amp;"%",""))))</f>
        <v/>
      </c>
      <c r="AO175" s="40" t="str">
        <f aca="false">IF(OR(OR(NOT(AND(ISNUMBER(E175),ISNUMBER(F175))),$J$2=""),3&gt;MAX(1,Reprogramaciones!$U$15)),"",IF(Reprogramaciones!M$12&gt;=7,"",IF(OR(BV175-N(BU175)&gt;0.05,N(S175)&gt;0),ROUNDDOWN(ROUND(BV175,6),0)&amp;"%"&amp;IF(CL175="",""," / "&amp;CL175&amp;"%"),IF(AND(N(BU175)&gt;=99.95,CL175&lt;&gt;"",N(CL175)&lt;100),"Pend. "&amp;CL175&amp;"%",""))))</f>
        <v/>
      </c>
      <c r="AP175" s="40" t="str">
        <f aca="false">IF(OR(OR(NOT(AND(ISNUMBER(E175),ISNUMBER(F175))),$J$2=""),4&gt;MAX(1,Reprogramaciones!$U$15)),"",IF(Reprogramaciones!N$12&gt;=7,"",IF(OR(BW175-N(BV175)&gt;0.05,N(T175)&gt;0),ROUNDDOWN(ROUND(BW175,6),0)&amp;"%"&amp;IF(CM175="",""," / "&amp;CM175&amp;"%"),IF(AND(N(BV175)&gt;=99.95,CM175&lt;&gt;"",N(CM175)&lt;100),"Pend. "&amp;CM175&amp;"%",""))))</f>
        <v/>
      </c>
      <c r="AQ175" s="40" t="str">
        <f aca="false">IF(OR(OR(NOT(AND(ISNUMBER(E175),ISNUMBER(F175))),$J$2=""),5&gt;MAX(1,Reprogramaciones!$U$15)),"",IF(Reprogramaciones!O$12&gt;=7,"",IF(OR(BX175-N(BW175)&gt;0.05,N(U175)&gt;0),ROUNDDOWN(ROUND(BX175,6),0)&amp;"%"&amp;IF(CN175="",""," / "&amp;CN175&amp;"%"),IF(AND(N(BW175)&gt;=99.95,CN175&lt;&gt;"",N(CN175)&lt;100),"Pend. "&amp;CN175&amp;"%",""))))</f>
        <v/>
      </c>
      <c r="AR175" s="40" t="str">
        <f aca="false">IF(OR(OR(NOT(AND(ISNUMBER(E175),ISNUMBER(F175))),$J$2=""),6&gt;MAX(1,Reprogramaciones!$U$15)),"",IF(Reprogramaciones!P$12&gt;=7,"",IF(OR(BY175-N(BX175)&gt;0.05,N(V175)&gt;0),ROUNDDOWN(ROUND(BY175,6),0)&amp;"%"&amp;IF(CO175="",""," / "&amp;CO175&amp;"%"),IF(AND(N(BX175)&gt;=99.95,CO175&lt;&gt;"",N(CO175)&lt;100),"Pend. "&amp;CO175&amp;"%",""))))</f>
        <v/>
      </c>
      <c r="AS175" s="40" t="str">
        <f aca="false">IF(OR(OR(NOT(AND(ISNUMBER(E175),ISNUMBER(F175))),$J$2=""),7&gt;MAX(1,Reprogramaciones!$U$15)),"",IF(Reprogramaciones!Q$12&gt;=7,"",IF(OR(BZ175-N(BY175)&gt;0.05,N(W175)&gt;0),ROUNDDOWN(ROUND(BZ175,6),0)&amp;"%"&amp;IF(CP175="",""," / "&amp;CP175&amp;"%"),IF(AND(N(BY175)&gt;=99.95,CP175&lt;&gt;"",N(CP175)&lt;100),"Pend. "&amp;CP175&amp;"%",""))))</f>
        <v/>
      </c>
      <c r="AT175" s="40" t="str">
        <f aca="false">IF(OR(OR(NOT(AND(ISNUMBER(E175),ISNUMBER(F175))),$J$2=""),8&gt;MAX(1,Reprogramaciones!$U$15)),"",IF(Reprogramaciones!R$12&gt;=7,"",IF(OR(CA175-N(BZ175)&gt;0.05,N(X175)&gt;0),ROUNDDOWN(ROUND(CA175,6),0)&amp;"%"&amp;IF(CQ175="",""," / "&amp;CQ175&amp;"%"),IF(AND(N(BZ175)&gt;=99.95,CQ175&lt;&gt;"",N(CQ175)&lt;100),"Pend. "&amp;CQ175&amp;"%",""))))</f>
        <v/>
      </c>
      <c r="AU175" s="40" t="str">
        <f aca="false">IF(OR(OR(NOT(AND(ISNUMBER(E175),ISNUMBER(F175))),$J$2=""),9&gt;MAX(1,Reprogramaciones!$U$15)),"",IF(Reprogramaciones!S$12&gt;=7,"",IF(OR(CB175-N(CA175)&gt;0.05,N(Y175)&gt;0),ROUNDDOWN(ROUND(CB175,6),0)&amp;"%"&amp;IF(CR175="",""," / "&amp;CR175&amp;"%"),IF(AND(N(CA175)&gt;=99.95,CR175&lt;&gt;"",N(CR175)&lt;100),"Pend. "&amp;CR175&amp;"%",""))))</f>
        <v/>
      </c>
      <c r="AV175" s="40" t="str">
        <f aca="false">IF(OR(OR(NOT(AND(ISNUMBER(E175),ISNUMBER(F175))),$J$2=""),10&gt;MAX(1,Reprogramaciones!$U$15)),"",IF(Reprogramaciones!T$12&gt;=7,"",IF(OR(CC175-N(CB175)&gt;0.05,N(Z175)&gt;0),ROUNDDOWN(ROUND(CC175,6),0)&amp;"%"&amp;IF(CS175="",""," / "&amp;CS175&amp;"%"),IF(AND(N(CB175)&gt;=99.95,CS175&lt;&gt;"",N(CS175)&lt;100),"Pend. "&amp;CS175&amp;"%",""))))</f>
        <v/>
      </c>
      <c r="AW175" s="40" t="str">
        <f aca="false">IF(OR(OR(NOT(AND(ISNUMBER(E175),ISNUMBER(F175))),$J$2=""),11&gt;MAX(1,Reprogramaciones!$U$15)),"",IF(Reprogramaciones!U$12&gt;=7,"",IF(OR(CD175-N(CC175)&gt;0.05,N(AA175)&gt;0),ROUNDDOWN(ROUND(CD175,6),0)&amp;"%"&amp;IF(CT175="",""," / "&amp;CT175&amp;"%"),IF(AND(N(CC175)&gt;=99.95,CT175&lt;&gt;"",N(CT175)&lt;100),"Pend. "&amp;CT175&amp;"%",""))))</f>
        <v/>
      </c>
      <c r="AX175" s="40" t="str">
        <f aca="false">IF(OR(OR(NOT(AND(ISNUMBER(E175),ISNUMBER(F175))),$J$2=""),12&gt;MAX(1,Reprogramaciones!$U$15)),"",IF(Reprogramaciones!V$12&gt;=7,"",IF(OR(CE175-N(CD175)&gt;0.05,N(AB175)&gt;0),ROUNDDOWN(ROUND(CE175,6),0)&amp;"%"&amp;IF(CU175="",""," / "&amp;CU175&amp;"%"),IF(AND(N(CD175)&gt;=99.95,CU175&lt;&gt;"",N(CU175)&lt;100),"Pend. "&amp;CU175&amp;"%",""))))</f>
        <v/>
      </c>
      <c r="AY175" s="40" t="str">
        <f aca="false">IF(OR(OR(NOT(AND(ISNUMBER(E175),ISNUMBER(F175))),$J$2=""),13&gt;MAX(1,Reprogramaciones!$U$15)),"",IF(Reprogramaciones!W$12&gt;=7,"",IF(OR(CF175-N(CE175)&gt;0.05,N(AC175)&gt;0),ROUNDDOWN(ROUND(CF175,6),0)&amp;"%"&amp;IF(CV175="",""," / "&amp;CV175&amp;"%"),IF(AND(N(CE175)&gt;=99.95,CV175&lt;&gt;"",N(CV175)&lt;100),"Pend. "&amp;CV175&amp;"%",""))))</f>
        <v/>
      </c>
      <c r="AZ175" s="40" t="str">
        <f aca="false">IF(OR(OR(NOT(AND(ISNUMBER(E175),ISNUMBER(F175))),$J$2=""),14&gt;MAX(1,Reprogramaciones!$U$15)),"",IF(Reprogramaciones!X$12&gt;=7,"",IF(OR(CG175-N(CF175)&gt;0.05,N(AD175)&gt;0),ROUNDDOWN(ROUND(CG175,6),0)&amp;"%"&amp;IF(CW175="",""," / "&amp;CW175&amp;"%"),IF(AND(N(CF175)&gt;=99.95,CW175&lt;&gt;"",N(CW175)&lt;100),"Pend. "&amp;CW175&amp;"%",""))))</f>
        <v/>
      </c>
      <c r="BA175" s="40" t="str">
        <f aca="false">IF(OR(OR(NOT(AND(ISNUMBER(E175),ISNUMBER(F175))),$J$2=""),15&gt;MAX(1,Reprogramaciones!$U$15)),"",IF(Reprogramaciones!Y$12&gt;=7,"",IF(OR(CH175-N(CG175)&gt;0.05,N(AE175)&gt;0),ROUNDDOWN(ROUND(CH175,6),0)&amp;"%"&amp;IF(CX175="",""," / "&amp;CX175&amp;"%"),IF(AND(N(CG175)&gt;=99.95,CX175&lt;&gt;"",N(CX175)&lt;100),"Pend. "&amp;CX175&amp;"%",""))))</f>
        <v/>
      </c>
      <c r="BB175" s="40" t="str">
        <f aca="false">IF(OR(OR(NOT(AND(ISNUMBER(E175),ISNUMBER(F175))),$J$2=""),16&gt;MAX(1,Reprogramaciones!$U$15)),"",IF(Reprogramaciones!Z$12&gt;=7,"",IF(OR(CI175-N(CH175)&gt;0.05,N(AF175)&gt;0),ROUNDDOWN(ROUND(CI175,6),0)&amp;"%"&amp;IF(CY175="",""," / "&amp;CY175&amp;"%"),IF(AND(N(CH175)&gt;=99.95,CY175&lt;&gt;"",N(CY175)&lt;100),"Pend. "&amp;CY175&amp;"%",""))))</f>
        <v/>
      </c>
      <c r="BC175" s="31" t="n">
        <f aca="false">IF(AND(ISNUMBER(E175),ISNUMBER(F175)),MAX(1,NETWORKDAYS.INTL(E175,F175,11)),0)</f>
        <v>0</v>
      </c>
      <c r="BD175" s="1" t="str">
        <f aca="false">IF(OR(NOT(AND(ISNUMBER(E175),ISNUMBER(F175))),$J$2=""),"",MIN(100,ROUND(SUM($G175:G175),1)))</f>
        <v/>
      </c>
      <c r="BE175" s="1" t="str">
        <f aca="false">IF(OR(NOT(AND(ISNUMBER(E175),ISNUMBER(F175))),$J$2=""),"",MIN(100,ROUND(SUM($G175:H175),1)))</f>
        <v/>
      </c>
      <c r="BF175" s="1" t="str">
        <f aca="false">IF(OR(NOT(AND(ISNUMBER(E175),ISNUMBER(F175))),$J$2=""),"",MIN(100,ROUND(SUM($G175:I175),1)))</f>
        <v/>
      </c>
      <c r="BG175" s="1" t="str">
        <f aca="false">IF(OR(NOT(AND(ISNUMBER(E175),ISNUMBER(F175))),$J$2=""),"",MIN(100,ROUND(SUM($G175:J175),1)))</f>
        <v/>
      </c>
      <c r="BH175" s="1" t="str">
        <f aca="false">IF(OR(NOT(AND(ISNUMBER(E175),ISNUMBER(F175))),$J$2=""),"",MIN(100,ROUND(SUM($G175:K175),1)))</f>
        <v/>
      </c>
      <c r="BI175" s="1" t="str">
        <f aca="false">IF(OR(NOT(AND(ISNUMBER(E175),ISNUMBER(F175))),$J$2=""),"",MIN(100,ROUND(SUM($G175:L175),1)))</f>
        <v/>
      </c>
      <c r="BJ175" s="1" t="str">
        <f aca="false">IF(OR(NOT(AND(ISNUMBER(E175),ISNUMBER(F175))),$J$2=""),"",MIN(100,ROUND(SUM($G175:M175),1)))</f>
        <v/>
      </c>
      <c r="BK175" s="1" t="str">
        <f aca="false">IF(OR(NOT(AND(ISNUMBER(E175),ISNUMBER(F175))),$J$2=""),"",MIN(100,ROUND(SUM($G175:N175),1)))</f>
        <v/>
      </c>
      <c r="BL175" s="1" t="str">
        <f aca="false">IF(OR(NOT(AND(ISNUMBER(E175),ISNUMBER(F175))),$J$2=""),"",MIN(100,ROUND(SUM($G175:O175),1)))</f>
        <v/>
      </c>
      <c r="BM175" s="1" t="str">
        <f aca="false">IF(OR(NOT(AND(ISNUMBER(E175),ISNUMBER(F175))),$J$2=""),"",MIN(100,ROUND(SUM($G175:P175),1)))</f>
        <v/>
      </c>
      <c r="BN175" s="1" t="str">
        <f aca="false">IF(OR(NOT(AND(ISNUMBER(E175),ISNUMBER(F175))),$J$2=""),"",MIN(100,ROUND(SUM($G175:P175),1)))</f>
        <v/>
      </c>
      <c r="BO175" s="1" t="str">
        <f aca="false">IF(OR(NOT(AND(ISNUMBER(E175),ISNUMBER(F175))),$J$2=""),"",MIN(100,ROUND(SUM($G175:P175),1)))</f>
        <v/>
      </c>
      <c r="BP175" s="1" t="str">
        <f aca="false">IF(OR(NOT(AND(ISNUMBER(E175),ISNUMBER(F175))),$J$2=""),"",MIN(100,ROUND(SUM($G175:P175),1)))</f>
        <v/>
      </c>
      <c r="BQ175" s="1" t="str">
        <f aca="false">IF(OR(NOT(AND(ISNUMBER(E175),ISNUMBER(F175))),$J$2=""),"",MIN(100,ROUND(SUM($G175:P175),1)))</f>
        <v/>
      </c>
      <c r="BR175" s="1" t="str">
        <f aca="false">IF(OR(NOT(AND(ISNUMBER(E175),ISNUMBER(F175))),$J$2=""),"",MIN(100,ROUND(SUM($G175:P175),1)))</f>
        <v/>
      </c>
      <c r="BS175" s="1" t="str">
        <f aca="false">IF(OR(NOT(AND(ISNUMBER(E175),ISNUMBER(F175))),$J$2=""),"",MIN(100,ROUND(SUM($G175:P175),1)))</f>
        <v/>
      </c>
      <c r="BT175" s="1" t="str">
        <f aca="false">IF(OR(NOT(AND(ISNUMBER(E175),ISNUMBER(F175))),$J$2=""),"",IF(Reprogramaciones!K$13&lt;Reprogramaciones!$T$15,0,IF(Reprogramaciones!K$14&gt;10,MIN(100,SUM($G175:$P175)),MIN(100,SUMPRODUCT((COLUMN($G175:$P175)-COLUMN($G175)+1&lt;Reprogramaciones!K$14)*$G175:$P175)+N(INDEX($G175:$P175,1,Reprogramaciones!K$14))*IF(Reprogramaciones!K$13&gt;=(Reprogramaciones!$T$15+7*(Reprogramaciones!K$14-1))+6,1,IF(MAX(0,NETWORKDAYS.INTL(MAX(E175,(Reprogramaciones!$T$15+7*(Reprogramaciones!K$14-1))),MIN(F175,(Reprogramaciones!$T$15+7*(Reprogramaciones!K$14-1))+6),11))=0,0,MAX(0,NETWORKDAYS.INTL(MAX(E175,(Reprogramaciones!$T$15+7*(Reprogramaciones!K$14-1))),MIN(F175,Reprogramaciones!K$13),11))/MAX(0,NETWORKDAYS.INTL(MAX(E175,(Reprogramaciones!$T$15+7*(Reprogramaciones!K$14-1))),MIN(F175,(Reprogramaciones!$T$15+7*(Reprogramaciones!K$14-1))+6),11))))))))</f>
        <v/>
      </c>
      <c r="BU175" s="1" t="str">
        <f aca="false">IF(OR(NOT(AND(ISNUMBER(E175),ISNUMBER(F175))),$J$2=""),"",IF(Reprogramaciones!L$13&lt;Reprogramaciones!$T$15,0,IF(Reprogramaciones!L$14&gt;10,MIN(100,SUM($G175:$P175)),MIN(100,SUMPRODUCT((COLUMN($G175:$P175)-COLUMN($G175)+1&lt;Reprogramaciones!L$14)*$G175:$P175)+N(INDEX($G175:$P175,1,Reprogramaciones!L$14))*IF(Reprogramaciones!L$13&gt;=(Reprogramaciones!$T$15+7*(Reprogramaciones!L$14-1))+6,1,IF(MAX(0,NETWORKDAYS.INTL(MAX(E175,(Reprogramaciones!$T$15+7*(Reprogramaciones!L$14-1))),MIN(F175,(Reprogramaciones!$T$15+7*(Reprogramaciones!L$14-1))+6),11))=0,0,MAX(0,NETWORKDAYS.INTL(MAX(E175,(Reprogramaciones!$T$15+7*(Reprogramaciones!L$14-1))),MIN(F175,Reprogramaciones!L$13),11))/MAX(0,NETWORKDAYS.INTL(MAX(E175,(Reprogramaciones!$T$15+7*(Reprogramaciones!L$14-1))),MIN(F175,(Reprogramaciones!$T$15+7*(Reprogramaciones!L$14-1))+6),11))))))))</f>
        <v/>
      </c>
      <c r="BV175" s="1" t="str">
        <f aca="false">IF(OR(NOT(AND(ISNUMBER(E175),ISNUMBER(F175))),$J$2=""),"",IF(Reprogramaciones!M$13&lt;Reprogramaciones!$T$15,0,IF(Reprogramaciones!M$14&gt;10,MIN(100,SUM($G175:$P175)),MIN(100,SUMPRODUCT((COLUMN($G175:$P175)-COLUMN($G175)+1&lt;Reprogramaciones!M$14)*$G175:$P175)+N(INDEX($G175:$P175,1,Reprogramaciones!M$14))*IF(Reprogramaciones!M$13&gt;=(Reprogramaciones!$T$15+7*(Reprogramaciones!M$14-1))+6,1,IF(MAX(0,NETWORKDAYS.INTL(MAX(E175,(Reprogramaciones!$T$15+7*(Reprogramaciones!M$14-1))),MIN(F175,(Reprogramaciones!$T$15+7*(Reprogramaciones!M$14-1))+6),11))=0,0,MAX(0,NETWORKDAYS.INTL(MAX(E175,(Reprogramaciones!$T$15+7*(Reprogramaciones!M$14-1))),MIN(F175,Reprogramaciones!M$13),11))/MAX(0,NETWORKDAYS.INTL(MAX(E175,(Reprogramaciones!$T$15+7*(Reprogramaciones!M$14-1))),MIN(F175,(Reprogramaciones!$T$15+7*(Reprogramaciones!M$14-1))+6),11))))))))</f>
        <v/>
      </c>
      <c r="BW175" s="1" t="str">
        <f aca="false">IF(OR(NOT(AND(ISNUMBER(E175),ISNUMBER(F175))),$J$2=""),"",IF(Reprogramaciones!N$13&lt;Reprogramaciones!$T$15,0,IF(Reprogramaciones!N$14&gt;10,MIN(100,SUM($G175:$P175)),MIN(100,SUMPRODUCT((COLUMN($G175:$P175)-COLUMN($G175)+1&lt;Reprogramaciones!N$14)*$G175:$P175)+N(INDEX($G175:$P175,1,Reprogramaciones!N$14))*IF(Reprogramaciones!N$13&gt;=(Reprogramaciones!$T$15+7*(Reprogramaciones!N$14-1))+6,1,IF(MAX(0,NETWORKDAYS.INTL(MAX(E175,(Reprogramaciones!$T$15+7*(Reprogramaciones!N$14-1))),MIN(F175,(Reprogramaciones!$T$15+7*(Reprogramaciones!N$14-1))+6),11))=0,0,MAX(0,NETWORKDAYS.INTL(MAX(E175,(Reprogramaciones!$T$15+7*(Reprogramaciones!N$14-1))),MIN(F175,Reprogramaciones!N$13),11))/MAX(0,NETWORKDAYS.INTL(MAX(E175,(Reprogramaciones!$T$15+7*(Reprogramaciones!N$14-1))),MIN(F175,(Reprogramaciones!$T$15+7*(Reprogramaciones!N$14-1))+6),11))))))))</f>
        <v/>
      </c>
      <c r="BX175" s="1" t="str">
        <f aca="false">IF(OR(NOT(AND(ISNUMBER(E175),ISNUMBER(F175))),$J$2=""),"",IF(Reprogramaciones!O$13&lt;Reprogramaciones!$T$15,0,IF(Reprogramaciones!O$14&gt;10,MIN(100,SUM($G175:$P175)),MIN(100,SUMPRODUCT((COLUMN($G175:$P175)-COLUMN($G175)+1&lt;Reprogramaciones!O$14)*$G175:$P175)+N(INDEX($G175:$P175,1,Reprogramaciones!O$14))*IF(Reprogramaciones!O$13&gt;=(Reprogramaciones!$T$15+7*(Reprogramaciones!O$14-1))+6,1,IF(MAX(0,NETWORKDAYS.INTL(MAX(E175,(Reprogramaciones!$T$15+7*(Reprogramaciones!O$14-1))),MIN(F175,(Reprogramaciones!$T$15+7*(Reprogramaciones!O$14-1))+6),11))=0,0,MAX(0,NETWORKDAYS.INTL(MAX(E175,(Reprogramaciones!$T$15+7*(Reprogramaciones!O$14-1))),MIN(F175,Reprogramaciones!O$13),11))/MAX(0,NETWORKDAYS.INTL(MAX(E175,(Reprogramaciones!$T$15+7*(Reprogramaciones!O$14-1))),MIN(F175,(Reprogramaciones!$T$15+7*(Reprogramaciones!O$14-1))+6),11))))))))</f>
        <v/>
      </c>
      <c r="BY175" s="1" t="str">
        <f aca="false">IF(OR(NOT(AND(ISNUMBER(E175),ISNUMBER(F175))),$J$2=""),"",IF(Reprogramaciones!P$13&lt;Reprogramaciones!$T$15,0,IF(Reprogramaciones!P$14&gt;10,MIN(100,SUM($G175:$P175)),MIN(100,SUMPRODUCT((COLUMN($G175:$P175)-COLUMN($G175)+1&lt;Reprogramaciones!P$14)*$G175:$P175)+N(INDEX($G175:$P175,1,Reprogramaciones!P$14))*IF(Reprogramaciones!P$13&gt;=(Reprogramaciones!$T$15+7*(Reprogramaciones!P$14-1))+6,1,IF(MAX(0,NETWORKDAYS.INTL(MAX(E175,(Reprogramaciones!$T$15+7*(Reprogramaciones!P$14-1))),MIN(F175,(Reprogramaciones!$T$15+7*(Reprogramaciones!P$14-1))+6),11))=0,0,MAX(0,NETWORKDAYS.INTL(MAX(E175,(Reprogramaciones!$T$15+7*(Reprogramaciones!P$14-1))),MIN(F175,Reprogramaciones!P$13),11))/MAX(0,NETWORKDAYS.INTL(MAX(E175,(Reprogramaciones!$T$15+7*(Reprogramaciones!P$14-1))),MIN(F175,(Reprogramaciones!$T$15+7*(Reprogramaciones!P$14-1))+6),11))))))))</f>
        <v/>
      </c>
      <c r="BZ175" s="1" t="str">
        <f aca="false">IF(OR(NOT(AND(ISNUMBER(E175),ISNUMBER(F175))),$J$2=""),"",IF(Reprogramaciones!Q$13&lt;Reprogramaciones!$T$15,0,IF(Reprogramaciones!Q$14&gt;10,MIN(100,SUM($G175:$P175)),MIN(100,SUMPRODUCT((COLUMN($G175:$P175)-COLUMN($G175)+1&lt;Reprogramaciones!Q$14)*$G175:$P175)+N(INDEX($G175:$P175,1,Reprogramaciones!Q$14))*IF(Reprogramaciones!Q$13&gt;=(Reprogramaciones!$T$15+7*(Reprogramaciones!Q$14-1))+6,1,IF(MAX(0,NETWORKDAYS.INTL(MAX(E175,(Reprogramaciones!$T$15+7*(Reprogramaciones!Q$14-1))),MIN(F175,(Reprogramaciones!$T$15+7*(Reprogramaciones!Q$14-1))+6),11))=0,0,MAX(0,NETWORKDAYS.INTL(MAX(E175,(Reprogramaciones!$T$15+7*(Reprogramaciones!Q$14-1))),MIN(F175,Reprogramaciones!Q$13),11))/MAX(0,NETWORKDAYS.INTL(MAX(E175,(Reprogramaciones!$T$15+7*(Reprogramaciones!Q$14-1))),MIN(F175,(Reprogramaciones!$T$15+7*(Reprogramaciones!Q$14-1))+6),11))))))))</f>
        <v/>
      </c>
      <c r="CA175" s="1" t="str">
        <f aca="false">IF(OR(NOT(AND(ISNUMBER(E175),ISNUMBER(F175))),$J$2=""),"",IF(Reprogramaciones!R$13&lt;Reprogramaciones!$T$15,0,IF(Reprogramaciones!R$14&gt;10,MIN(100,SUM($G175:$P175)),MIN(100,SUMPRODUCT((COLUMN($G175:$P175)-COLUMN($G175)+1&lt;Reprogramaciones!R$14)*$G175:$P175)+N(INDEX($G175:$P175,1,Reprogramaciones!R$14))*IF(Reprogramaciones!R$13&gt;=(Reprogramaciones!$T$15+7*(Reprogramaciones!R$14-1))+6,1,IF(MAX(0,NETWORKDAYS.INTL(MAX(E175,(Reprogramaciones!$T$15+7*(Reprogramaciones!R$14-1))),MIN(F175,(Reprogramaciones!$T$15+7*(Reprogramaciones!R$14-1))+6),11))=0,0,MAX(0,NETWORKDAYS.INTL(MAX(E175,(Reprogramaciones!$T$15+7*(Reprogramaciones!R$14-1))),MIN(F175,Reprogramaciones!R$13),11))/MAX(0,NETWORKDAYS.INTL(MAX(E175,(Reprogramaciones!$T$15+7*(Reprogramaciones!R$14-1))),MIN(F175,(Reprogramaciones!$T$15+7*(Reprogramaciones!R$14-1))+6),11))))))))</f>
        <v/>
      </c>
      <c r="CB175" s="1" t="str">
        <f aca="false">IF(OR(NOT(AND(ISNUMBER(E175),ISNUMBER(F175))),$J$2=""),"",IF(Reprogramaciones!S$13&lt;Reprogramaciones!$T$15,0,IF(Reprogramaciones!S$14&gt;10,MIN(100,SUM($G175:$P175)),MIN(100,SUMPRODUCT((COLUMN($G175:$P175)-COLUMN($G175)+1&lt;Reprogramaciones!S$14)*$G175:$P175)+N(INDEX($G175:$P175,1,Reprogramaciones!S$14))*IF(Reprogramaciones!S$13&gt;=(Reprogramaciones!$T$15+7*(Reprogramaciones!S$14-1))+6,1,IF(MAX(0,NETWORKDAYS.INTL(MAX(E175,(Reprogramaciones!$T$15+7*(Reprogramaciones!S$14-1))),MIN(F175,(Reprogramaciones!$T$15+7*(Reprogramaciones!S$14-1))+6),11))=0,0,MAX(0,NETWORKDAYS.INTL(MAX(E175,(Reprogramaciones!$T$15+7*(Reprogramaciones!S$14-1))),MIN(F175,Reprogramaciones!S$13),11))/MAX(0,NETWORKDAYS.INTL(MAX(E175,(Reprogramaciones!$T$15+7*(Reprogramaciones!S$14-1))),MIN(F175,(Reprogramaciones!$T$15+7*(Reprogramaciones!S$14-1))+6),11))))))))</f>
        <v/>
      </c>
      <c r="CC175" s="1" t="str">
        <f aca="false">IF(OR(NOT(AND(ISNUMBER(E175),ISNUMBER(F175))),$J$2=""),"",IF(Reprogramaciones!T$13&lt;Reprogramaciones!$T$15,0,IF(Reprogramaciones!T$14&gt;10,MIN(100,SUM($G175:$P175)),MIN(100,SUMPRODUCT((COLUMN($G175:$P175)-COLUMN($G175)+1&lt;Reprogramaciones!T$14)*$G175:$P175)+N(INDEX($G175:$P175,1,Reprogramaciones!T$14))*IF(Reprogramaciones!T$13&gt;=(Reprogramaciones!$T$15+7*(Reprogramaciones!T$14-1))+6,1,IF(MAX(0,NETWORKDAYS.INTL(MAX(E175,(Reprogramaciones!$T$15+7*(Reprogramaciones!T$14-1))),MIN(F175,(Reprogramaciones!$T$15+7*(Reprogramaciones!T$14-1))+6),11))=0,0,MAX(0,NETWORKDAYS.INTL(MAX(E175,(Reprogramaciones!$T$15+7*(Reprogramaciones!T$14-1))),MIN(F175,Reprogramaciones!T$13),11))/MAX(0,NETWORKDAYS.INTL(MAX(E175,(Reprogramaciones!$T$15+7*(Reprogramaciones!T$14-1))),MIN(F175,(Reprogramaciones!$T$15+7*(Reprogramaciones!T$14-1))+6),11))))))))</f>
        <v/>
      </c>
      <c r="CD175" s="1" t="str">
        <f aca="false">IF(OR(NOT(AND(ISNUMBER(E175),ISNUMBER(F175))),$J$2=""),"",IF(Reprogramaciones!U$13&lt;Reprogramaciones!$T$15,0,IF(Reprogramaciones!U$14&gt;10,MIN(100,SUM($G175:$P175)),MIN(100,SUMPRODUCT((COLUMN($G175:$P175)-COLUMN($G175)+1&lt;Reprogramaciones!U$14)*$G175:$P175)+N(INDEX($G175:$P175,1,Reprogramaciones!U$14))*IF(Reprogramaciones!U$13&gt;=(Reprogramaciones!$T$15+7*(Reprogramaciones!U$14-1))+6,1,IF(MAX(0,NETWORKDAYS.INTL(MAX(E175,(Reprogramaciones!$T$15+7*(Reprogramaciones!U$14-1))),MIN(F175,(Reprogramaciones!$T$15+7*(Reprogramaciones!U$14-1))+6),11))=0,0,MAX(0,NETWORKDAYS.INTL(MAX(E175,(Reprogramaciones!$T$15+7*(Reprogramaciones!U$14-1))),MIN(F175,Reprogramaciones!U$13),11))/MAX(0,NETWORKDAYS.INTL(MAX(E175,(Reprogramaciones!$T$15+7*(Reprogramaciones!U$14-1))),MIN(F175,(Reprogramaciones!$T$15+7*(Reprogramaciones!U$14-1))+6),11))))))))</f>
        <v/>
      </c>
      <c r="CE175" s="1" t="str">
        <f aca="false">IF(OR(NOT(AND(ISNUMBER(E175),ISNUMBER(F175))),$J$2=""),"",IF(Reprogramaciones!V$13&lt;Reprogramaciones!$T$15,0,IF(Reprogramaciones!V$14&gt;10,MIN(100,SUM($G175:$P175)),MIN(100,SUMPRODUCT((COLUMN($G175:$P175)-COLUMN($G175)+1&lt;Reprogramaciones!V$14)*$G175:$P175)+N(INDEX($G175:$P175,1,Reprogramaciones!V$14))*IF(Reprogramaciones!V$13&gt;=(Reprogramaciones!$T$15+7*(Reprogramaciones!V$14-1))+6,1,IF(MAX(0,NETWORKDAYS.INTL(MAX(E175,(Reprogramaciones!$T$15+7*(Reprogramaciones!V$14-1))),MIN(F175,(Reprogramaciones!$T$15+7*(Reprogramaciones!V$14-1))+6),11))=0,0,MAX(0,NETWORKDAYS.INTL(MAX(E175,(Reprogramaciones!$T$15+7*(Reprogramaciones!V$14-1))),MIN(F175,Reprogramaciones!V$13),11))/MAX(0,NETWORKDAYS.INTL(MAX(E175,(Reprogramaciones!$T$15+7*(Reprogramaciones!V$14-1))),MIN(F175,(Reprogramaciones!$T$15+7*(Reprogramaciones!V$14-1))+6),11))))))))</f>
        <v/>
      </c>
      <c r="CF175" s="1" t="str">
        <f aca="false">IF(OR(NOT(AND(ISNUMBER(E175),ISNUMBER(F175))),$J$2=""),"",IF(Reprogramaciones!W$13&lt;Reprogramaciones!$T$15,0,IF(Reprogramaciones!W$14&gt;10,MIN(100,SUM($G175:$P175)),MIN(100,SUMPRODUCT((COLUMN($G175:$P175)-COLUMN($G175)+1&lt;Reprogramaciones!W$14)*$G175:$P175)+N(INDEX($G175:$P175,1,Reprogramaciones!W$14))*IF(Reprogramaciones!W$13&gt;=(Reprogramaciones!$T$15+7*(Reprogramaciones!W$14-1))+6,1,IF(MAX(0,NETWORKDAYS.INTL(MAX(E175,(Reprogramaciones!$T$15+7*(Reprogramaciones!W$14-1))),MIN(F175,(Reprogramaciones!$T$15+7*(Reprogramaciones!W$14-1))+6),11))=0,0,MAX(0,NETWORKDAYS.INTL(MAX(E175,(Reprogramaciones!$T$15+7*(Reprogramaciones!W$14-1))),MIN(F175,Reprogramaciones!W$13),11))/MAX(0,NETWORKDAYS.INTL(MAX(E175,(Reprogramaciones!$T$15+7*(Reprogramaciones!W$14-1))),MIN(F175,(Reprogramaciones!$T$15+7*(Reprogramaciones!W$14-1))+6),11))))))))</f>
        <v/>
      </c>
      <c r="CG175" s="1" t="str">
        <f aca="false">IF(OR(NOT(AND(ISNUMBER(E175),ISNUMBER(F175))),$J$2=""),"",IF(Reprogramaciones!X$13&lt;Reprogramaciones!$T$15,0,IF(Reprogramaciones!X$14&gt;10,MIN(100,SUM($G175:$P175)),MIN(100,SUMPRODUCT((COLUMN($G175:$P175)-COLUMN($G175)+1&lt;Reprogramaciones!X$14)*$G175:$P175)+N(INDEX($G175:$P175,1,Reprogramaciones!X$14))*IF(Reprogramaciones!X$13&gt;=(Reprogramaciones!$T$15+7*(Reprogramaciones!X$14-1))+6,1,IF(MAX(0,NETWORKDAYS.INTL(MAX(E175,(Reprogramaciones!$T$15+7*(Reprogramaciones!X$14-1))),MIN(F175,(Reprogramaciones!$T$15+7*(Reprogramaciones!X$14-1))+6),11))=0,0,MAX(0,NETWORKDAYS.INTL(MAX(E175,(Reprogramaciones!$T$15+7*(Reprogramaciones!X$14-1))),MIN(F175,Reprogramaciones!X$13),11))/MAX(0,NETWORKDAYS.INTL(MAX(E175,(Reprogramaciones!$T$15+7*(Reprogramaciones!X$14-1))),MIN(F175,(Reprogramaciones!$T$15+7*(Reprogramaciones!X$14-1))+6),11))))))))</f>
        <v/>
      </c>
      <c r="CH175" s="1" t="str">
        <f aca="false">IF(OR(NOT(AND(ISNUMBER(E175),ISNUMBER(F175))),$J$2=""),"",IF(Reprogramaciones!Y$13&lt;Reprogramaciones!$T$15,0,IF(Reprogramaciones!Y$14&gt;10,MIN(100,SUM($G175:$P175)),MIN(100,SUMPRODUCT((COLUMN($G175:$P175)-COLUMN($G175)+1&lt;Reprogramaciones!Y$14)*$G175:$P175)+N(INDEX($G175:$P175,1,Reprogramaciones!Y$14))*IF(Reprogramaciones!Y$13&gt;=(Reprogramaciones!$T$15+7*(Reprogramaciones!Y$14-1))+6,1,IF(MAX(0,NETWORKDAYS.INTL(MAX(E175,(Reprogramaciones!$T$15+7*(Reprogramaciones!Y$14-1))),MIN(F175,(Reprogramaciones!$T$15+7*(Reprogramaciones!Y$14-1))+6),11))=0,0,MAX(0,NETWORKDAYS.INTL(MAX(E175,(Reprogramaciones!$T$15+7*(Reprogramaciones!Y$14-1))),MIN(F175,Reprogramaciones!Y$13),11))/MAX(0,NETWORKDAYS.INTL(MAX(E175,(Reprogramaciones!$T$15+7*(Reprogramaciones!Y$14-1))),MIN(F175,(Reprogramaciones!$T$15+7*(Reprogramaciones!Y$14-1))+6),11))))))))</f>
        <v/>
      </c>
      <c r="CI175" s="1" t="str">
        <f aca="false">IF(OR(NOT(AND(ISNUMBER(E175),ISNUMBER(F175))),$J$2=""),"",IF(Reprogramaciones!Z$13&lt;Reprogramaciones!$T$15,0,IF(Reprogramaciones!Z$14&gt;10,MIN(100,SUM($G175:$P175)),MIN(100,SUMPRODUCT((COLUMN($G175:$P175)-COLUMN($G175)+1&lt;Reprogramaciones!Z$14)*$G175:$P175)+N(INDEX($G175:$P175,1,Reprogramaciones!Z$14))*IF(Reprogramaciones!Z$13&gt;=(Reprogramaciones!$T$15+7*(Reprogramaciones!Z$14-1))+6,1,IF(MAX(0,NETWORKDAYS.INTL(MAX(E175,(Reprogramaciones!$T$15+7*(Reprogramaciones!Z$14-1))),MIN(F175,(Reprogramaciones!$T$15+7*(Reprogramaciones!Z$14-1))+6),11))=0,0,MAX(0,NETWORKDAYS.INTL(MAX(E175,(Reprogramaciones!$T$15+7*(Reprogramaciones!Z$14-1))),MIN(F175,Reprogramaciones!Z$13),11))/MAX(0,NETWORKDAYS.INTL(MAX(E175,(Reprogramaciones!$T$15+7*(Reprogramaciones!Z$14-1))),MIN(F175,(Reprogramaciones!$T$15+7*(Reprogramaciones!Z$14-1))+6),11))))))))</f>
        <v/>
      </c>
      <c r="CJ175" s="1" t="str">
        <f aca="false">IF(OR(OR(NOT(AND(ISNUMBER(E175),ISNUMBER(F175))),$J$2=""),1&gt;Reprogramaciones!$K$16),"",IF(ROUND(SUM($Q175:Q175),1)&gt;=99.5,100,MIN(100,ROUND(SUM($Q175:Q175),1))))</f>
        <v/>
      </c>
      <c r="CK175" s="1" t="str">
        <f aca="false">IF(OR(OR(NOT(AND(ISNUMBER(E175),ISNUMBER(F175))),$J$2=""),2&gt;Reprogramaciones!$K$16),"",IF(ROUND(SUM($Q175:R175),1)&gt;=99.5,100,MIN(100,ROUND(SUM($Q175:R175),1))))</f>
        <v/>
      </c>
      <c r="CL175" s="1" t="str">
        <f aca="false">IF(OR(OR(NOT(AND(ISNUMBER(E175),ISNUMBER(F175))),$J$2=""),3&gt;Reprogramaciones!$K$16),"",IF(ROUND(SUM($Q175:S175),1)&gt;=99.5,100,MIN(100,ROUND(SUM($Q175:S175),1))))</f>
        <v/>
      </c>
      <c r="CM175" s="1" t="str">
        <f aca="false">IF(OR(OR(NOT(AND(ISNUMBER(E175),ISNUMBER(F175))),$J$2=""),4&gt;Reprogramaciones!$K$16),"",IF(ROUND(SUM($Q175:T175),1)&gt;=99.5,100,MIN(100,ROUND(SUM($Q175:T175),1))))</f>
        <v/>
      </c>
      <c r="CN175" s="1" t="str">
        <f aca="false">IF(OR(OR(NOT(AND(ISNUMBER(E175),ISNUMBER(F175))),$J$2=""),5&gt;Reprogramaciones!$K$16),"",IF(ROUND(SUM($Q175:U175),1)&gt;=99.5,100,MIN(100,ROUND(SUM($Q175:U175),1))))</f>
        <v/>
      </c>
      <c r="CO175" s="1" t="str">
        <f aca="false">IF(OR(OR(NOT(AND(ISNUMBER(E175),ISNUMBER(F175))),$J$2=""),6&gt;Reprogramaciones!$K$16),"",IF(ROUND(SUM($Q175:V175),1)&gt;=99.5,100,MIN(100,ROUND(SUM($Q175:V175),1))))</f>
        <v/>
      </c>
      <c r="CP175" s="1" t="str">
        <f aca="false">IF(OR(OR(NOT(AND(ISNUMBER(E175),ISNUMBER(F175))),$J$2=""),7&gt;Reprogramaciones!$K$16),"",IF(ROUND(SUM($Q175:W175),1)&gt;=99.5,100,MIN(100,ROUND(SUM($Q175:W175),1))))</f>
        <v/>
      </c>
      <c r="CQ175" s="1" t="str">
        <f aca="false">IF(OR(OR(NOT(AND(ISNUMBER(E175),ISNUMBER(F175))),$J$2=""),8&gt;Reprogramaciones!$K$16),"",IF(ROUND(SUM($Q175:X175),1)&gt;=99.5,100,MIN(100,ROUND(SUM($Q175:X175),1))))</f>
        <v/>
      </c>
      <c r="CR175" s="1" t="str">
        <f aca="false">IF(OR(OR(NOT(AND(ISNUMBER(E175),ISNUMBER(F175))),$J$2=""),9&gt;Reprogramaciones!$K$16),"",IF(ROUND(SUM($Q175:Y175),1)&gt;=99.5,100,MIN(100,ROUND(SUM($Q175:Y175),1))))</f>
        <v/>
      </c>
      <c r="CS175" s="1" t="str">
        <f aca="false">IF(OR(OR(NOT(AND(ISNUMBER(E175),ISNUMBER(F175))),$J$2=""),10&gt;Reprogramaciones!$K$16),"",IF(ROUND(SUM($Q175:Z175),1)&gt;=99.5,100,MIN(100,ROUND(SUM($Q175:Z175),1))))</f>
        <v/>
      </c>
      <c r="CT175" s="1" t="str">
        <f aca="false">IF(OR(OR(NOT(AND(ISNUMBER(E175),ISNUMBER(F175))),$J$2=""),11&gt;Reprogramaciones!$K$16),"",IF(ROUND(SUM($Q175:AA175),1)&gt;=99.5,100,MIN(100,ROUND(SUM($Q175:AA175),1))))</f>
        <v/>
      </c>
      <c r="CU175" s="1" t="str">
        <f aca="false">IF(OR(OR(NOT(AND(ISNUMBER(E175),ISNUMBER(F175))),$J$2=""),12&gt;Reprogramaciones!$K$16),"",IF(ROUND(SUM($Q175:AB175),1)&gt;=99.5,100,MIN(100,ROUND(SUM($Q175:AB175),1))))</f>
        <v/>
      </c>
      <c r="CV175" s="1" t="str">
        <f aca="false">IF(OR(OR(NOT(AND(ISNUMBER(E175),ISNUMBER(F175))),$J$2=""),13&gt;Reprogramaciones!$K$16),"",IF(ROUND(SUM($Q175:AC175),1)&gt;=99.5,100,MIN(100,ROUND(SUM($Q175:AC175),1))))</f>
        <v/>
      </c>
      <c r="CW175" s="1" t="str">
        <f aca="false">IF(OR(OR(NOT(AND(ISNUMBER(E175),ISNUMBER(F175))),$J$2=""),14&gt;Reprogramaciones!$K$16),"",IF(ROUND(SUM($Q175:AD175),1)&gt;=99.5,100,MIN(100,ROUND(SUM($Q175:AD175),1))))</f>
        <v/>
      </c>
      <c r="CX175" s="1" t="str">
        <f aca="false">IF(OR(OR(NOT(AND(ISNUMBER(E175),ISNUMBER(F175))),$J$2=""),15&gt;Reprogramaciones!$K$16),"",IF(ROUND(SUM($Q175:AE175),1)&gt;=99.5,100,MIN(100,ROUND(SUM($Q175:AE175),1))))</f>
        <v/>
      </c>
      <c r="CY175" s="1" t="str">
        <f aca="false">IF(OR(OR(NOT(AND(ISNUMBER(E175),ISNUMBER(F175))),$J$2=""),16&gt;Reprogramaciones!$K$16),"",IF(ROUND(SUM($Q175:AF175),1)&gt;=99.5,100,MIN(100,ROUND(SUM($Q175:AF175),1))))</f>
        <v/>
      </c>
      <c r="CZ175" s="1" t="str">
        <f aca="false">IF(D175&lt;&gt;"",D175,IF(B175&lt;&gt;"","Contractual",CZ174))</f>
        <v>Contractual</v>
      </c>
      <c r="DA175" s="1" t="str">
        <f aca="false">IF(OR(NOT(AND(ISNUMBER(E175),ISNUMBER(F175))),$J$2=""),"",IF(Reprogramaciones!$Q$15&lt;Reprogramaciones!$T$15,0,IF(Reprogramaciones!$S$15&gt;10,MIN(100,SUM($G175:$P175)),MIN(100,SUMPRODUCT((COLUMN($G175:$P175)-COLUMN($G175)+1&lt;Reprogramaciones!$S$15)*$G175:$P175)+N(INDEX($G175:$P175,1,Reprogramaciones!$S$15))*IF(Reprogramaciones!$Q$15&gt;=(Reprogramaciones!$T$15+7*(Reprogramaciones!$S$15-1))+6,1,IF(MAX(0,NETWORKDAYS.INTL(MAX(E175,(Reprogramaciones!$T$15+7*(Reprogramaciones!$S$15-1))),MIN(F175,(Reprogramaciones!$T$15+7*(Reprogramaciones!$S$15-1))+6),11))=0,0,MAX(0,NETWORKDAYS.INTL(MAX(E175,(Reprogramaciones!$T$15+7*(Reprogramaciones!$S$15-1))),MIN(F175,Reprogramaciones!$Q$15),11))/MAX(0,NETWORKDAYS.INTL(MAX(E175,(Reprogramaciones!$T$15+7*(Reprogramaciones!$S$15-1))),MIN(F175,(Reprogramaciones!$T$15+7*(Reprogramaciones!$S$15-1))+6),11))))))))</f>
        <v/>
      </c>
    </row>
    <row r="176" customFormat="false" ht="15" hidden="false" customHeight="false" outlineLevel="0" collapsed="false">
      <c r="A176" s="32"/>
      <c r="B176" s="33"/>
      <c r="C176" s="33"/>
      <c r="D176" s="34"/>
      <c r="E176" s="35"/>
      <c r="F176" s="35"/>
      <c r="G176" s="36" t="str">
        <f aca="false">IF(OR(NOT(AND(ISNUMBER(E176),ISNUMBER(F176))),$J$2=""),"",IF(Reprogramaciones!K$9&lt;E176,0,IF(NETWORKDAYS.INTL(E176,F176,11)=0,IF(Reprogramaciones!K$9&gt;=F176,100,0),ROUND(NETWORKDAYS.INTL(E176,MIN(F176,Reprogramaciones!K$9),11)/NETWORKDAYS.INTL(E176,F176,11)*100,1)))-0)</f>
        <v/>
      </c>
      <c r="H176" s="36" t="str">
        <f aca="false">IF(OR(NOT(AND(ISNUMBER(E176),ISNUMBER(F176))),$J$2=""),"",IF(Reprogramaciones!L$9&lt;E176,0,IF(NETWORKDAYS.INTL(E176,F176,11)=0,IF(Reprogramaciones!L$9&gt;=F176,100,0),ROUND(NETWORKDAYS.INTL(E176,MIN(F176,Reprogramaciones!L$9),11)/NETWORKDAYS.INTL(E176,F176,11)*100,1)))-IF(Reprogramaciones!K$9&lt;E176,0,IF(NETWORKDAYS.INTL(E176,F176,11)=0,IF(Reprogramaciones!K$9&gt;=F176,100,0),ROUND(NETWORKDAYS.INTL(E176,MIN(F176,Reprogramaciones!K$9),11)/NETWORKDAYS.INTL(E176,F176,11)*100,1))))</f>
        <v/>
      </c>
      <c r="I176" s="36" t="str">
        <f aca="false">IF(OR(NOT(AND(ISNUMBER(E176),ISNUMBER(F176))),$J$2=""),"",IF(Reprogramaciones!M$9&lt;E176,0,IF(NETWORKDAYS.INTL(E176,F176,11)=0,IF(Reprogramaciones!M$9&gt;=F176,100,0),ROUND(NETWORKDAYS.INTL(E176,MIN(F176,Reprogramaciones!M$9),11)/NETWORKDAYS.INTL(E176,F176,11)*100,1)))-IF(Reprogramaciones!L$9&lt;E176,0,IF(NETWORKDAYS.INTL(E176,F176,11)=0,IF(Reprogramaciones!L$9&gt;=F176,100,0),ROUND(NETWORKDAYS.INTL(E176,MIN(F176,Reprogramaciones!L$9),11)/NETWORKDAYS.INTL(E176,F176,11)*100,1))))</f>
        <v/>
      </c>
      <c r="J176" s="36" t="str">
        <f aca="false">IF(OR(NOT(AND(ISNUMBER(E176),ISNUMBER(F176))),$J$2=""),"",IF(Reprogramaciones!N$9&lt;E176,0,IF(NETWORKDAYS.INTL(E176,F176,11)=0,IF(Reprogramaciones!N$9&gt;=F176,100,0),ROUND(NETWORKDAYS.INTL(E176,MIN(F176,Reprogramaciones!N$9),11)/NETWORKDAYS.INTL(E176,F176,11)*100,1)))-IF(Reprogramaciones!M$9&lt;E176,0,IF(NETWORKDAYS.INTL(E176,F176,11)=0,IF(Reprogramaciones!M$9&gt;=F176,100,0),ROUND(NETWORKDAYS.INTL(E176,MIN(F176,Reprogramaciones!M$9),11)/NETWORKDAYS.INTL(E176,F176,11)*100,1))))</f>
        <v/>
      </c>
      <c r="K176" s="36" t="str">
        <f aca="false">IF(OR(NOT(AND(ISNUMBER(E176),ISNUMBER(F176))),$J$2=""),"",IF(Reprogramaciones!O$9&lt;E176,0,IF(NETWORKDAYS.INTL(E176,F176,11)=0,IF(Reprogramaciones!O$9&gt;=F176,100,0),ROUND(NETWORKDAYS.INTL(E176,MIN(F176,Reprogramaciones!O$9),11)/NETWORKDAYS.INTL(E176,F176,11)*100,1)))-IF(Reprogramaciones!N$9&lt;E176,0,IF(NETWORKDAYS.INTL(E176,F176,11)=0,IF(Reprogramaciones!N$9&gt;=F176,100,0),ROUND(NETWORKDAYS.INTL(E176,MIN(F176,Reprogramaciones!N$9),11)/NETWORKDAYS.INTL(E176,F176,11)*100,1))))</f>
        <v/>
      </c>
      <c r="L176" s="36" t="str">
        <f aca="false">IF(OR(NOT(AND(ISNUMBER(E176),ISNUMBER(F176))),$J$2=""),"",IF(Reprogramaciones!P$9&lt;E176,0,IF(NETWORKDAYS.INTL(E176,F176,11)=0,IF(Reprogramaciones!P$9&gt;=F176,100,0),ROUND(NETWORKDAYS.INTL(E176,MIN(F176,Reprogramaciones!P$9),11)/NETWORKDAYS.INTL(E176,F176,11)*100,1)))-IF(Reprogramaciones!O$9&lt;E176,0,IF(NETWORKDAYS.INTL(E176,F176,11)=0,IF(Reprogramaciones!O$9&gt;=F176,100,0),ROUND(NETWORKDAYS.INTL(E176,MIN(F176,Reprogramaciones!O$9),11)/NETWORKDAYS.INTL(E176,F176,11)*100,1))))</f>
        <v/>
      </c>
      <c r="M176" s="36" t="str">
        <f aca="false">IF(OR(NOT(AND(ISNUMBER(E176),ISNUMBER(F176))),$J$2=""),"",IF(Reprogramaciones!Q$9&lt;E176,0,IF(NETWORKDAYS.INTL(E176,F176,11)=0,IF(Reprogramaciones!Q$9&gt;=F176,100,0),ROUND(NETWORKDAYS.INTL(E176,MIN(F176,Reprogramaciones!Q$9),11)/NETWORKDAYS.INTL(E176,F176,11)*100,1)))-IF(Reprogramaciones!P$9&lt;E176,0,IF(NETWORKDAYS.INTL(E176,F176,11)=0,IF(Reprogramaciones!P$9&gt;=F176,100,0),ROUND(NETWORKDAYS.INTL(E176,MIN(F176,Reprogramaciones!P$9),11)/NETWORKDAYS.INTL(E176,F176,11)*100,1))))</f>
        <v/>
      </c>
      <c r="N176" s="36" t="str">
        <f aca="false">IF(OR(NOT(AND(ISNUMBER(E176),ISNUMBER(F176))),$J$2=""),"",IF(Reprogramaciones!R$9&lt;E176,0,IF(NETWORKDAYS.INTL(E176,F176,11)=0,IF(Reprogramaciones!R$9&gt;=F176,100,0),ROUND(NETWORKDAYS.INTL(E176,MIN(F176,Reprogramaciones!R$9),11)/NETWORKDAYS.INTL(E176,F176,11)*100,1)))-IF(Reprogramaciones!Q$9&lt;E176,0,IF(NETWORKDAYS.INTL(E176,F176,11)=0,IF(Reprogramaciones!Q$9&gt;=F176,100,0),ROUND(NETWORKDAYS.INTL(E176,MIN(F176,Reprogramaciones!Q$9),11)/NETWORKDAYS.INTL(E176,F176,11)*100,1))))</f>
        <v/>
      </c>
      <c r="O176" s="36" t="str">
        <f aca="false">IF(OR(NOT(AND(ISNUMBER(E176),ISNUMBER(F176))),$J$2=""),"",IF(Reprogramaciones!S$9&lt;E176,0,IF(NETWORKDAYS.INTL(E176,F176,11)=0,IF(Reprogramaciones!S$9&gt;=F176,100,0),ROUND(NETWORKDAYS.INTL(E176,MIN(F176,Reprogramaciones!S$9),11)/NETWORKDAYS.INTL(E176,F176,11)*100,1)))-IF(Reprogramaciones!R$9&lt;E176,0,IF(NETWORKDAYS.INTL(E176,F176,11)=0,IF(Reprogramaciones!R$9&gt;=F176,100,0),ROUND(NETWORKDAYS.INTL(E176,MIN(F176,Reprogramaciones!R$9),11)/NETWORKDAYS.INTL(E176,F176,11)*100,1))))</f>
        <v/>
      </c>
      <c r="P176" s="36" t="str">
        <f aca="false">IF(OR(NOT(AND(ISNUMBER(E176),ISNUMBER(F176))),$J$2=""),"",IF(Reprogramaciones!T$9&lt;E176,0,IF(NETWORKDAYS.INTL(E176,F176,11)=0,IF(Reprogramaciones!T$9&gt;=F176,100,0),ROUND(NETWORKDAYS.INTL(E176,MIN(F176,Reprogramaciones!T$9),11)/NETWORKDAYS.INTL(E176,F176,11)*100,1)))-IF(Reprogramaciones!S$9&lt;E176,0,IF(NETWORKDAYS.INTL(E176,F176,11)=0,IF(Reprogramaciones!S$9&gt;=F176,100,0),ROUND(NETWORKDAYS.INTL(E176,MIN(F176,Reprogramaciones!S$9),11)/NETWORKDAYS.INTL(E176,F176,11)*100,1))))</f>
        <v/>
      </c>
      <c r="Q176" s="37"/>
      <c r="R176" s="37"/>
      <c r="S176" s="37"/>
      <c r="T176" s="37"/>
      <c r="U176" s="37"/>
      <c r="V176" s="37"/>
      <c r="W176" s="37"/>
      <c r="X176" s="37"/>
      <c r="Y176" s="37"/>
      <c r="Z176" s="37"/>
      <c r="AA176" s="37"/>
      <c r="AB176" s="37"/>
      <c r="AC176" s="37"/>
      <c r="AD176" s="37"/>
      <c r="AE176" s="37"/>
      <c r="AF176" s="37"/>
      <c r="AG176" s="38" t="str">
        <f aca="false">IF(AND(ISNUMBER(E176),ISNUMBER(F176)),NETWORKDAYS.INTL(E176,F176,11),"")</f>
        <v/>
      </c>
      <c r="AH176" s="38" t="str">
        <f aca="false">IF(OR(NOT(AND(ISNUMBER(E176),ISNUMBER(F176))),$J$2=""),"",IF(Reprogramaciones!$P$15&lt;Reprogramaciones!$T$15,0,IF(Reprogramaciones!$R$15&gt;10,MIN(100,SUM($G176:$P176)),MIN(100,SUMPRODUCT((COLUMN($G176:$P176)-COLUMN($G176)+1&lt;Reprogramaciones!$R$15)*$G176:$P176)+N(INDEX($G176:$P176,1,Reprogramaciones!$R$15))*IF(Reprogramaciones!$P$15&gt;=(Reprogramaciones!$T$15+7*(Reprogramaciones!$R$15-1))+6,1,IF(MAX(0,NETWORKDAYS.INTL(MAX(E176,(Reprogramaciones!$T$15+7*(Reprogramaciones!$R$15-1))),MIN(F176,(Reprogramaciones!$T$15+7*(Reprogramaciones!$R$15-1))+6),11))=0,0,MAX(0,NETWORKDAYS.INTL(MAX(E176,(Reprogramaciones!$T$15+7*(Reprogramaciones!$R$15-1))),MIN(F176,Reprogramaciones!$P$15),11))/MAX(0,NETWORKDAYS.INTL(MAX(E176,(Reprogramaciones!$T$15+7*(Reprogramaciones!$R$15-1))),MIN(F176,(Reprogramaciones!$T$15+7*(Reprogramaciones!$R$15-1))+6),11))))))))</f>
        <v/>
      </c>
      <c r="AI176" s="38" t="str">
        <f aca="false">IF(COUNT($Q176:$AF176)=0,"",IF(ROUND(SUM($Q176:$AF176),1)&gt;=99.5,100,MIN(100,ROUND(SUM($Q176:$AF176),1))))</f>
        <v/>
      </c>
      <c r="AJ176" s="38" t="str">
        <f aca="false">IF(OR(AH176="",AI176=""),"",AI176-AH176)</f>
        <v/>
      </c>
      <c r="AK176" s="39" t="str">
        <f aca="true">IF(AH176="","",IF(OR(Ficha!$C$10="Suspendida",Ficha!$C$10="Cancelada"),Ficha!$C$10,IF(AND(AI176&lt;&gt;"",N(AI176)&gt;=100),"Completada",IF(AND(E176&gt;TODAY(),N(AI176)=0),"Por iniciar",IF(N(AI176)+0.5&lt;AH176,"Retrasada",IF(N(AI176)+0.5&lt;DA176,IF(Reprogramaciones!$K$15&gt;0,"Al día · Sem "&amp;Reprogramaciones!$K$15&amp;" en curso","Al día · en curso"),"A tiempo"))))))</f>
        <v/>
      </c>
      <c r="AL176" s="39" t="str">
        <f aca="true">IF(AND(A176="",AND(B176="",C176="",E176="",F176="",COUNT(Q176:AF176)=0)),"",IF(AND(B176="",C176="",E176="",F176="",COUNT(Q176:AF176)=0),"Falta la partida o subpartida",IF(AND(A176&lt;&gt;"",COUNTIF($A$6:$A$305,A176)&gt;1),"Ítem repetido",IF(AND(C176="",E176="",F176="",COUNT(Q176:AF176)=0),"Título de partida",IF(OR(E176="",F176=""),"Faltan fechas",IF(OR(ISTEXT(E176),ISTEXT(F176)),"Fecha escrita como texto: usa dd/mm/aaaa",IF(F176&lt;E176,"Fin antes del inicio",IF(IF($J$2="",FALSE(),OR(E176&lt;$J$2,F176&gt;Reprogramaciones!$T$15+69)),"Fuera de las 10 semanas",IF(ABS(SUM(G176:P176)-100)&gt;0.5,"La meta no suma 100%",IF(ROUND(SUM(Q176:AF176),1)&gt;100.5,"El avance pasa de 100%",IF(MIN(Q176:AF176)&lt;0,"Avance negativo",IF(COUNTA(Q176:AF176)&gt;COUNT(Q176:AF176),"Avance escrito como texto",IF(SUMPRODUCT((Q176:AF176&gt;0)*(Q176:AF176&lt;1))&gt;0,"Avance menor a 1: escribe 50, no 50%",IF(SUMPRODUCT(ISNUMBER(Q176:AF176)*(Reprogramaciones!$K$8:$Z$8&gt;TODAY()))&gt;0,"Avance en semana que aún no llega",IF(AND(N(Reprogramaciones!$E$21)&gt;0,F176&gt;Reprogramaciones!$E$21),"Pasa el fin de la obra: registra una reprogramación",IF(AND(N(Reprogramaciones!$E$21)&gt;0,SUMPRODUCT(ISNUMBER(Q176:AF176)*(Reprogramaciones!$K$8:$Z$8&gt;Reprogramaciones!$E$21))&gt;0),"Avance después del fin de la obra: registra una reprogramación por atraso","OK"))))))))))))))))</f>
        <v/>
      </c>
      <c r="AM176" s="40" t="str">
        <f aca="false">IF(OR(OR(NOT(AND(ISNUMBER(E176),ISNUMBER(F176))),$J$2=""),1&gt;MAX(1,Reprogramaciones!$U$15)),"",IF(Reprogramaciones!K$12&gt;=7,"",IF(OR(BT176-N(0)&gt;0.05,N(Q176)&gt;0),ROUNDDOWN(ROUND(BT176,6),0)&amp;"%"&amp;IF(CJ176="",""," / "&amp;CJ176&amp;"%"),IF(AND(N(0)&gt;=99.95,CJ176&lt;&gt;"",N(CJ176)&lt;100),"Pend. "&amp;CJ176&amp;"%",""))))</f>
        <v/>
      </c>
      <c r="AN176" s="40" t="str">
        <f aca="false">IF(OR(OR(NOT(AND(ISNUMBER(E176),ISNUMBER(F176))),$J$2=""),2&gt;MAX(1,Reprogramaciones!$U$15)),"",IF(Reprogramaciones!L$12&gt;=7,"",IF(OR(BU176-N(BT176)&gt;0.05,N(R176)&gt;0),ROUNDDOWN(ROUND(BU176,6),0)&amp;"%"&amp;IF(CK176="",""," / "&amp;CK176&amp;"%"),IF(AND(N(BT176)&gt;=99.95,CK176&lt;&gt;"",N(CK176)&lt;100),"Pend. "&amp;CK176&amp;"%",""))))</f>
        <v/>
      </c>
      <c r="AO176" s="40" t="str">
        <f aca="false">IF(OR(OR(NOT(AND(ISNUMBER(E176),ISNUMBER(F176))),$J$2=""),3&gt;MAX(1,Reprogramaciones!$U$15)),"",IF(Reprogramaciones!M$12&gt;=7,"",IF(OR(BV176-N(BU176)&gt;0.05,N(S176)&gt;0),ROUNDDOWN(ROUND(BV176,6),0)&amp;"%"&amp;IF(CL176="",""," / "&amp;CL176&amp;"%"),IF(AND(N(BU176)&gt;=99.95,CL176&lt;&gt;"",N(CL176)&lt;100),"Pend. "&amp;CL176&amp;"%",""))))</f>
        <v/>
      </c>
      <c r="AP176" s="40" t="str">
        <f aca="false">IF(OR(OR(NOT(AND(ISNUMBER(E176),ISNUMBER(F176))),$J$2=""),4&gt;MAX(1,Reprogramaciones!$U$15)),"",IF(Reprogramaciones!N$12&gt;=7,"",IF(OR(BW176-N(BV176)&gt;0.05,N(T176)&gt;0),ROUNDDOWN(ROUND(BW176,6),0)&amp;"%"&amp;IF(CM176="",""," / "&amp;CM176&amp;"%"),IF(AND(N(BV176)&gt;=99.95,CM176&lt;&gt;"",N(CM176)&lt;100),"Pend. "&amp;CM176&amp;"%",""))))</f>
        <v/>
      </c>
      <c r="AQ176" s="40" t="str">
        <f aca="false">IF(OR(OR(NOT(AND(ISNUMBER(E176),ISNUMBER(F176))),$J$2=""),5&gt;MAX(1,Reprogramaciones!$U$15)),"",IF(Reprogramaciones!O$12&gt;=7,"",IF(OR(BX176-N(BW176)&gt;0.05,N(U176)&gt;0),ROUNDDOWN(ROUND(BX176,6),0)&amp;"%"&amp;IF(CN176="",""," / "&amp;CN176&amp;"%"),IF(AND(N(BW176)&gt;=99.95,CN176&lt;&gt;"",N(CN176)&lt;100),"Pend. "&amp;CN176&amp;"%",""))))</f>
        <v/>
      </c>
      <c r="AR176" s="40" t="str">
        <f aca="false">IF(OR(OR(NOT(AND(ISNUMBER(E176),ISNUMBER(F176))),$J$2=""),6&gt;MAX(1,Reprogramaciones!$U$15)),"",IF(Reprogramaciones!P$12&gt;=7,"",IF(OR(BY176-N(BX176)&gt;0.05,N(V176)&gt;0),ROUNDDOWN(ROUND(BY176,6),0)&amp;"%"&amp;IF(CO176="",""," / "&amp;CO176&amp;"%"),IF(AND(N(BX176)&gt;=99.95,CO176&lt;&gt;"",N(CO176)&lt;100),"Pend. "&amp;CO176&amp;"%",""))))</f>
        <v/>
      </c>
      <c r="AS176" s="40" t="str">
        <f aca="false">IF(OR(OR(NOT(AND(ISNUMBER(E176),ISNUMBER(F176))),$J$2=""),7&gt;MAX(1,Reprogramaciones!$U$15)),"",IF(Reprogramaciones!Q$12&gt;=7,"",IF(OR(BZ176-N(BY176)&gt;0.05,N(W176)&gt;0),ROUNDDOWN(ROUND(BZ176,6),0)&amp;"%"&amp;IF(CP176="",""," / "&amp;CP176&amp;"%"),IF(AND(N(BY176)&gt;=99.95,CP176&lt;&gt;"",N(CP176)&lt;100),"Pend. "&amp;CP176&amp;"%",""))))</f>
        <v/>
      </c>
      <c r="AT176" s="40" t="str">
        <f aca="false">IF(OR(OR(NOT(AND(ISNUMBER(E176),ISNUMBER(F176))),$J$2=""),8&gt;MAX(1,Reprogramaciones!$U$15)),"",IF(Reprogramaciones!R$12&gt;=7,"",IF(OR(CA176-N(BZ176)&gt;0.05,N(X176)&gt;0),ROUNDDOWN(ROUND(CA176,6),0)&amp;"%"&amp;IF(CQ176="",""," / "&amp;CQ176&amp;"%"),IF(AND(N(BZ176)&gt;=99.95,CQ176&lt;&gt;"",N(CQ176)&lt;100),"Pend. "&amp;CQ176&amp;"%",""))))</f>
        <v/>
      </c>
      <c r="AU176" s="40" t="str">
        <f aca="false">IF(OR(OR(NOT(AND(ISNUMBER(E176),ISNUMBER(F176))),$J$2=""),9&gt;MAX(1,Reprogramaciones!$U$15)),"",IF(Reprogramaciones!S$12&gt;=7,"",IF(OR(CB176-N(CA176)&gt;0.05,N(Y176)&gt;0),ROUNDDOWN(ROUND(CB176,6),0)&amp;"%"&amp;IF(CR176="",""," / "&amp;CR176&amp;"%"),IF(AND(N(CA176)&gt;=99.95,CR176&lt;&gt;"",N(CR176)&lt;100),"Pend. "&amp;CR176&amp;"%",""))))</f>
        <v/>
      </c>
      <c r="AV176" s="40" t="str">
        <f aca="false">IF(OR(OR(NOT(AND(ISNUMBER(E176),ISNUMBER(F176))),$J$2=""),10&gt;MAX(1,Reprogramaciones!$U$15)),"",IF(Reprogramaciones!T$12&gt;=7,"",IF(OR(CC176-N(CB176)&gt;0.05,N(Z176)&gt;0),ROUNDDOWN(ROUND(CC176,6),0)&amp;"%"&amp;IF(CS176="",""," / "&amp;CS176&amp;"%"),IF(AND(N(CB176)&gt;=99.95,CS176&lt;&gt;"",N(CS176)&lt;100),"Pend. "&amp;CS176&amp;"%",""))))</f>
        <v/>
      </c>
      <c r="AW176" s="40" t="str">
        <f aca="false">IF(OR(OR(NOT(AND(ISNUMBER(E176),ISNUMBER(F176))),$J$2=""),11&gt;MAX(1,Reprogramaciones!$U$15)),"",IF(Reprogramaciones!U$12&gt;=7,"",IF(OR(CD176-N(CC176)&gt;0.05,N(AA176)&gt;0),ROUNDDOWN(ROUND(CD176,6),0)&amp;"%"&amp;IF(CT176="",""," / "&amp;CT176&amp;"%"),IF(AND(N(CC176)&gt;=99.95,CT176&lt;&gt;"",N(CT176)&lt;100),"Pend. "&amp;CT176&amp;"%",""))))</f>
        <v/>
      </c>
      <c r="AX176" s="40" t="str">
        <f aca="false">IF(OR(OR(NOT(AND(ISNUMBER(E176),ISNUMBER(F176))),$J$2=""),12&gt;MAX(1,Reprogramaciones!$U$15)),"",IF(Reprogramaciones!V$12&gt;=7,"",IF(OR(CE176-N(CD176)&gt;0.05,N(AB176)&gt;0),ROUNDDOWN(ROUND(CE176,6),0)&amp;"%"&amp;IF(CU176="",""," / "&amp;CU176&amp;"%"),IF(AND(N(CD176)&gt;=99.95,CU176&lt;&gt;"",N(CU176)&lt;100),"Pend. "&amp;CU176&amp;"%",""))))</f>
        <v/>
      </c>
      <c r="AY176" s="40" t="str">
        <f aca="false">IF(OR(OR(NOT(AND(ISNUMBER(E176),ISNUMBER(F176))),$J$2=""),13&gt;MAX(1,Reprogramaciones!$U$15)),"",IF(Reprogramaciones!W$12&gt;=7,"",IF(OR(CF176-N(CE176)&gt;0.05,N(AC176)&gt;0),ROUNDDOWN(ROUND(CF176,6),0)&amp;"%"&amp;IF(CV176="",""," / "&amp;CV176&amp;"%"),IF(AND(N(CE176)&gt;=99.95,CV176&lt;&gt;"",N(CV176)&lt;100),"Pend. "&amp;CV176&amp;"%",""))))</f>
        <v/>
      </c>
      <c r="AZ176" s="40" t="str">
        <f aca="false">IF(OR(OR(NOT(AND(ISNUMBER(E176),ISNUMBER(F176))),$J$2=""),14&gt;MAX(1,Reprogramaciones!$U$15)),"",IF(Reprogramaciones!X$12&gt;=7,"",IF(OR(CG176-N(CF176)&gt;0.05,N(AD176)&gt;0),ROUNDDOWN(ROUND(CG176,6),0)&amp;"%"&amp;IF(CW176="",""," / "&amp;CW176&amp;"%"),IF(AND(N(CF176)&gt;=99.95,CW176&lt;&gt;"",N(CW176)&lt;100),"Pend. "&amp;CW176&amp;"%",""))))</f>
        <v/>
      </c>
      <c r="BA176" s="40" t="str">
        <f aca="false">IF(OR(OR(NOT(AND(ISNUMBER(E176),ISNUMBER(F176))),$J$2=""),15&gt;MAX(1,Reprogramaciones!$U$15)),"",IF(Reprogramaciones!Y$12&gt;=7,"",IF(OR(CH176-N(CG176)&gt;0.05,N(AE176)&gt;0),ROUNDDOWN(ROUND(CH176,6),0)&amp;"%"&amp;IF(CX176="",""," / "&amp;CX176&amp;"%"),IF(AND(N(CG176)&gt;=99.95,CX176&lt;&gt;"",N(CX176)&lt;100),"Pend. "&amp;CX176&amp;"%",""))))</f>
        <v/>
      </c>
      <c r="BB176" s="40" t="str">
        <f aca="false">IF(OR(OR(NOT(AND(ISNUMBER(E176),ISNUMBER(F176))),$J$2=""),16&gt;MAX(1,Reprogramaciones!$U$15)),"",IF(Reprogramaciones!Z$12&gt;=7,"",IF(OR(CI176-N(CH176)&gt;0.05,N(AF176)&gt;0),ROUNDDOWN(ROUND(CI176,6),0)&amp;"%"&amp;IF(CY176="",""," / "&amp;CY176&amp;"%"),IF(AND(N(CH176)&gt;=99.95,CY176&lt;&gt;"",N(CY176)&lt;100),"Pend. "&amp;CY176&amp;"%",""))))</f>
        <v/>
      </c>
      <c r="BC176" s="31" t="n">
        <f aca="false">IF(AND(ISNUMBER(E176),ISNUMBER(F176)),MAX(1,NETWORKDAYS.INTL(E176,F176,11)),0)</f>
        <v>0</v>
      </c>
      <c r="BD176" s="1" t="str">
        <f aca="false">IF(OR(NOT(AND(ISNUMBER(E176),ISNUMBER(F176))),$J$2=""),"",MIN(100,ROUND(SUM($G176:G176),1)))</f>
        <v/>
      </c>
      <c r="BE176" s="1" t="str">
        <f aca="false">IF(OR(NOT(AND(ISNUMBER(E176),ISNUMBER(F176))),$J$2=""),"",MIN(100,ROUND(SUM($G176:H176),1)))</f>
        <v/>
      </c>
      <c r="BF176" s="1" t="str">
        <f aca="false">IF(OR(NOT(AND(ISNUMBER(E176),ISNUMBER(F176))),$J$2=""),"",MIN(100,ROUND(SUM($G176:I176),1)))</f>
        <v/>
      </c>
      <c r="BG176" s="1" t="str">
        <f aca="false">IF(OR(NOT(AND(ISNUMBER(E176),ISNUMBER(F176))),$J$2=""),"",MIN(100,ROUND(SUM($G176:J176),1)))</f>
        <v/>
      </c>
      <c r="BH176" s="1" t="str">
        <f aca="false">IF(OR(NOT(AND(ISNUMBER(E176),ISNUMBER(F176))),$J$2=""),"",MIN(100,ROUND(SUM($G176:K176),1)))</f>
        <v/>
      </c>
      <c r="BI176" s="1" t="str">
        <f aca="false">IF(OR(NOT(AND(ISNUMBER(E176),ISNUMBER(F176))),$J$2=""),"",MIN(100,ROUND(SUM($G176:L176),1)))</f>
        <v/>
      </c>
      <c r="BJ176" s="1" t="str">
        <f aca="false">IF(OR(NOT(AND(ISNUMBER(E176),ISNUMBER(F176))),$J$2=""),"",MIN(100,ROUND(SUM($G176:M176),1)))</f>
        <v/>
      </c>
      <c r="BK176" s="1" t="str">
        <f aca="false">IF(OR(NOT(AND(ISNUMBER(E176),ISNUMBER(F176))),$J$2=""),"",MIN(100,ROUND(SUM($G176:N176),1)))</f>
        <v/>
      </c>
      <c r="BL176" s="1" t="str">
        <f aca="false">IF(OR(NOT(AND(ISNUMBER(E176),ISNUMBER(F176))),$J$2=""),"",MIN(100,ROUND(SUM($G176:O176),1)))</f>
        <v/>
      </c>
      <c r="BM176" s="1" t="str">
        <f aca="false">IF(OR(NOT(AND(ISNUMBER(E176),ISNUMBER(F176))),$J$2=""),"",MIN(100,ROUND(SUM($G176:P176),1)))</f>
        <v/>
      </c>
      <c r="BN176" s="1" t="str">
        <f aca="false">IF(OR(NOT(AND(ISNUMBER(E176),ISNUMBER(F176))),$J$2=""),"",MIN(100,ROUND(SUM($G176:P176),1)))</f>
        <v/>
      </c>
      <c r="BO176" s="1" t="str">
        <f aca="false">IF(OR(NOT(AND(ISNUMBER(E176),ISNUMBER(F176))),$J$2=""),"",MIN(100,ROUND(SUM($G176:P176),1)))</f>
        <v/>
      </c>
      <c r="BP176" s="1" t="str">
        <f aca="false">IF(OR(NOT(AND(ISNUMBER(E176),ISNUMBER(F176))),$J$2=""),"",MIN(100,ROUND(SUM($G176:P176),1)))</f>
        <v/>
      </c>
      <c r="BQ176" s="1" t="str">
        <f aca="false">IF(OR(NOT(AND(ISNUMBER(E176),ISNUMBER(F176))),$J$2=""),"",MIN(100,ROUND(SUM($G176:P176),1)))</f>
        <v/>
      </c>
      <c r="BR176" s="1" t="str">
        <f aca="false">IF(OR(NOT(AND(ISNUMBER(E176),ISNUMBER(F176))),$J$2=""),"",MIN(100,ROUND(SUM($G176:P176),1)))</f>
        <v/>
      </c>
      <c r="BS176" s="1" t="str">
        <f aca="false">IF(OR(NOT(AND(ISNUMBER(E176),ISNUMBER(F176))),$J$2=""),"",MIN(100,ROUND(SUM($G176:P176),1)))</f>
        <v/>
      </c>
      <c r="BT176" s="1" t="str">
        <f aca="false">IF(OR(NOT(AND(ISNUMBER(E176),ISNUMBER(F176))),$J$2=""),"",IF(Reprogramaciones!K$13&lt;Reprogramaciones!$T$15,0,IF(Reprogramaciones!K$14&gt;10,MIN(100,SUM($G176:$P176)),MIN(100,SUMPRODUCT((COLUMN($G176:$P176)-COLUMN($G176)+1&lt;Reprogramaciones!K$14)*$G176:$P176)+N(INDEX($G176:$P176,1,Reprogramaciones!K$14))*IF(Reprogramaciones!K$13&gt;=(Reprogramaciones!$T$15+7*(Reprogramaciones!K$14-1))+6,1,IF(MAX(0,NETWORKDAYS.INTL(MAX(E176,(Reprogramaciones!$T$15+7*(Reprogramaciones!K$14-1))),MIN(F176,(Reprogramaciones!$T$15+7*(Reprogramaciones!K$14-1))+6),11))=0,0,MAX(0,NETWORKDAYS.INTL(MAX(E176,(Reprogramaciones!$T$15+7*(Reprogramaciones!K$14-1))),MIN(F176,Reprogramaciones!K$13),11))/MAX(0,NETWORKDAYS.INTL(MAX(E176,(Reprogramaciones!$T$15+7*(Reprogramaciones!K$14-1))),MIN(F176,(Reprogramaciones!$T$15+7*(Reprogramaciones!K$14-1))+6),11))))))))</f>
        <v/>
      </c>
      <c r="BU176" s="1" t="str">
        <f aca="false">IF(OR(NOT(AND(ISNUMBER(E176),ISNUMBER(F176))),$J$2=""),"",IF(Reprogramaciones!L$13&lt;Reprogramaciones!$T$15,0,IF(Reprogramaciones!L$14&gt;10,MIN(100,SUM($G176:$P176)),MIN(100,SUMPRODUCT((COLUMN($G176:$P176)-COLUMN($G176)+1&lt;Reprogramaciones!L$14)*$G176:$P176)+N(INDEX($G176:$P176,1,Reprogramaciones!L$14))*IF(Reprogramaciones!L$13&gt;=(Reprogramaciones!$T$15+7*(Reprogramaciones!L$14-1))+6,1,IF(MAX(0,NETWORKDAYS.INTL(MAX(E176,(Reprogramaciones!$T$15+7*(Reprogramaciones!L$14-1))),MIN(F176,(Reprogramaciones!$T$15+7*(Reprogramaciones!L$14-1))+6),11))=0,0,MAX(0,NETWORKDAYS.INTL(MAX(E176,(Reprogramaciones!$T$15+7*(Reprogramaciones!L$14-1))),MIN(F176,Reprogramaciones!L$13),11))/MAX(0,NETWORKDAYS.INTL(MAX(E176,(Reprogramaciones!$T$15+7*(Reprogramaciones!L$14-1))),MIN(F176,(Reprogramaciones!$T$15+7*(Reprogramaciones!L$14-1))+6),11))))))))</f>
        <v/>
      </c>
      <c r="BV176" s="1" t="str">
        <f aca="false">IF(OR(NOT(AND(ISNUMBER(E176),ISNUMBER(F176))),$J$2=""),"",IF(Reprogramaciones!M$13&lt;Reprogramaciones!$T$15,0,IF(Reprogramaciones!M$14&gt;10,MIN(100,SUM($G176:$P176)),MIN(100,SUMPRODUCT((COLUMN($G176:$P176)-COLUMN($G176)+1&lt;Reprogramaciones!M$14)*$G176:$P176)+N(INDEX($G176:$P176,1,Reprogramaciones!M$14))*IF(Reprogramaciones!M$13&gt;=(Reprogramaciones!$T$15+7*(Reprogramaciones!M$14-1))+6,1,IF(MAX(0,NETWORKDAYS.INTL(MAX(E176,(Reprogramaciones!$T$15+7*(Reprogramaciones!M$14-1))),MIN(F176,(Reprogramaciones!$T$15+7*(Reprogramaciones!M$14-1))+6),11))=0,0,MAX(0,NETWORKDAYS.INTL(MAX(E176,(Reprogramaciones!$T$15+7*(Reprogramaciones!M$14-1))),MIN(F176,Reprogramaciones!M$13),11))/MAX(0,NETWORKDAYS.INTL(MAX(E176,(Reprogramaciones!$T$15+7*(Reprogramaciones!M$14-1))),MIN(F176,(Reprogramaciones!$T$15+7*(Reprogramaciones!M$14-1))+6),11))))))))</f>
        <v/>
      </c>
      <c r="BW176" s="1" t="str">
        <f aca="false">IF(OR(NOT(AND(ISNUMBER(E176),ISNUMBER(F176))),$J$2=""),"",IF(Reprogramaciones!N$13&lt;Reprogramaciones!$T$15,0,IF(Reprogramaciones!N$14&gt;10,MIN(100,SUM($G176:$P176)),MIN(100,SUMPRODUCT((COLUMN($G176:$P176)-COLUMN($G176)+1&lt;Reprogramaciones!N$14)*$G176:$P176)+N(INDEX($G176:$P176,1,Reprogramaciones!N$14))*IF(Reprogramaciones!N$13&gt;=(Reprogramaciones!$T$15+7*(Reprogramaciones!N$14-1))+6,1,IF(MAX(0,NETWORKDAYS.INTL(MAX(E176,(Reprogramaciones!$T$15+7*(Reprogramaciones!N$14-1))),MIN(F176,(Reprogramaciones!$T$15+7*(Reprogramaciones!N$14-1))+6),11))=0,0,MAX(0,NETWORKDAYS.INTL(MAX(E176,(Reprogramaciones!$T$15+7*(Reprogramaciones!N$14-1))),MIN(F176,Reprogramaciones!N$13),11))/MAX(0,NETWORKDAYS.INTL(MAX(E176,(Reprogramaciones!$T$15+7*(Reprogramaciones!N$14-1))),MIN(F176,(Reprogramaciones!$T$15+7*(Reprogramaciones!N$14-1))+6),11))))))))</f>
        <v/>
      </c>
      <c r="BX176" s="1" t="str">
        <f aca="false">IF(OR(NOT(AND(ISNUMBER(E176),ISNUMBER(F176))),$J$2=""),"",IF(Reprogramaciones!O$13&lt;Reprogramaciones!$T$15,0,IF(Reprogramaciones!O$14&gt;10,MIN(100,SUM($G176:$P176)),MIN(100,SUMPRODUCT((COLUMN($G176:$P176)-COLUMN($G176)+1&lt;Reprogramaciones!O$14)*$G176:$P176)+N(INDEX($G176:$P176,1,Reprogramaciones!O$14))*IF(Reprogramaciones!O$13&gt;=(Reprogramaciones!$T$15+7*(Reprogramaciones!O$14-1))+6,1,IF(MAX(0,NETWORKDAYS.INTL(MAX(E176,(Reprogramaciones!$T$15+7*(Reprogramaciones!O$14-1))),MIN(F176,(Reprogramaciones!$T$15+7*(Reprogramaciones!O$14-1))+6),11))=0,0,MAX(0,NETWORKDAYS.INTL(MAX(E176,(Reprogramaciones!$T$15+7*(Reprogramaciones!O$14-1))),MIN(F176,Reprogramaciones!O$13),11))/MAX(0,NETWORKDAYS.INTL(MAX(E176,(Reprogramaciones!$T$15+7*(Reprogramaciones!O$14-1))),MIN(F176,(Reprogramaciones!$T$15+7*(Reprogramaciones!O$14-1))+6),11))))))))</f>
        <v/>
      </c>
      <c r="BY176" s="1" t="str">
        <f aca="false">IF(OR(NOT(AND(ISNUMBER(E176),ISNUMBER(F176))),$J$2=""),"",IF(Reprogramaciones!P$13&lt;Reprogramaciones!$T$15,0,IF(Reprogramaciones!P$14&gt;10,MIN(100,SUM($G176:$P176)),MIN(100,SUMPRODUCT((COLUMN($G176:$P176)-COLUMN($G176)+1&lt;Reprogramaciones!P$14)*$G176:$P176)+N(INDEX($G176:$P176,1,Reprogramaciones!P$14))*IF(Reprogramaciones!P$13&gt;=(Reprogramaciones!$T$15+7*(Reprogramaciones!P$14-1))+6,1,IF(MAX(0,NETWORKDAYS.INTL(MAX(E176,(Reprogramaciones!$T$15+7*(Reprogramaciones!P$14-1))),MIN(F176,(Reprogramaciones!$T$15+7*(Reprogramaciones!P$14-1))+6),11))=0,0,MAX(0,NETWORKDAYS.INTL(MAX(E176,(Reprogramaciones!$T$15+7*(Reprogramaciones!P$14-1))),MIN(F176,Reprogramaciones!P$13),11))/MAX(0,NETWORKDAYS.INTL(MAX(E176,(Reprogramaciones!$T$15+7*(Reprogramaciones!P$14-1))),MIN(F176,(Reprogramaciones!$T$15+7*(Reprogramaciones!P$14-1))+6),11))))))))</f>
        <v/>
      </c>
      <c r="BZ176" s="1" t="str">
        <f aca="false">IF(OR(NOT(AND(ISNUMBER(E176),ISNUMBER(F176))),$J$2=""),"",IF(Reprogramaciones!Q$13&lt;Reprogramaciones!$T$15,0,IF(Reprogramaciones!Q$14&gt;10,MIN(100,SUM($G176:$P176)),MIN(100,SUMPRODUCT((COLUMN($G176:$P176)-COLUMN($G176)+1&lt;Reprogramaciones!Q$14)*$G176:$P176)+N(INDEX($G176:$P176,1,Reprogramaciones!Q$14))*IF(Reprogramaciones!Q$13&gt;=(Reprogramaciones!$T$15+7*(Reprogramaciones!Q$14-1))+6,1,IF(MAX(0,NETWORKDAYS.INTL(MAX(E176,(Reprogramaciones!$T$15+7*(Reprogramaciones!Q$14-1))),MIN(F176,(Reprogramaciones!$T$15+7*(Reprogramaciones!Q$14-1))+6),11))=0,0,MAX(0,NETWORKDAYS.INTL(MAX(E176,(Reprogramaciones!$T$15+7*(Reprogramaciones!Q$14-1))),MIN(F176,Reprogramaciones!Q$13),11))/MAX(0,NETWORKDAYS.INTL(MAX(E176,(Reprogramaciones!$T$15+7*(Reprogramaciones!Q$14-1))),MIN(F176,(Reprogramaciones!$T$15+7*(Reprogramaciones!Q$14-1))+6),11))))))))</f>
        <v/>
      </c>
      <c r="CA176" s="1" t="str">
        <f aca="false">IF(OR(NOT(AND(ISNUMBER(E176),ISNUMBER(F176))),$J$2=""),"",IF(Reprogramaciones!R$13&lt;Reprogramaciones!$T$15,0,IF(Reprogramaciones!R$14&gt;10,MIN(100,SUM($G176:$P176)),MIN(100,SUMPRODUCT((COLUMN($G176:$P176)-COLUMN($G176)+1&lt;Reprogramaciones!R$14)*$G176:$P176)+N(INDEX($G176:$P176,1,Reprogramaciones!R$14))*IF(Reprogramaciones!R$13&gt;=(Reprogramaciones!$T$15+7*(Reprogramaciones!R$14-1))+6,1,IF(MAX(0,NETWORKDAYS.INTL(MAX(E176,(Reprogramaciones!$T$15+7*(Reprogramaciones!R$14-1))),MIN(F176,(Reprogramaciones!$T$15+7*(Reprogramaciones!R$14-1))+6),11))=0,0,MAX(0,NETWORKDAYS.INTL(MAX(E176,(Reprogramaciones!$T$15+7*(Reprogramaciones!R$14-1))),MIN(F176,Reprogramaciones!R$13),11))/MAX(0,NETWORKDAYS.INTL(MAX(E176,(Reprogramaciones!$T$15+7*(Reprogramaciones!R$14-1))),MIN(F176,(Reprogramaciones!$T$15+7*(Reprogramaciones!R$14-1))+6),11))))))))</f>
        <v/>
      </c>
      <c r="CB176" s="1" t="str">
        <f aca="false">IF(OR(NOT(AND(ISNUMBER(E176),ISNUMBER(F176))),$J$2=""),"",IF(Reprogramaciones!S$13&lt;Reprogramaciones!$T$15,0,IF(Reprogramaciones!S$14&gt;10,MIN(100,SUM($G176:$P176)),MIN(100,SUMPRODUCT((COLUMN($G176:$P176)-COLUMN($G176)+1&lt;Reprogramaciones!S$14)*$G176:$P176)+N(INDEX($G176:$P176,1,Reprogramaciones!S$14))*IF(Reprogramaciones!S$13&gt;=(Reprogramaciones!$T$15+7*(Reprogramaciones!S$14-1))+6,1,IF(MAX(0,NETWORKDAYS.INTL(MAX(E176,(Reprogramaciones!$T$15+7*(Reprogramaciones!S$14-1))),MIN(F176,(Reprogramaciones!$T$15+7*(Reprogramaciones!S$14-1))+6),11))=0,0,MAX(0,NETWORKDAYS.INTL(MAX(E176,(Reprogramaciones!$T$15+7*(Reprogramaciones!S$14-1))),MIN(F176,Reprogramaciones!S$13),11))/MAX(0,NETWORKDAYS.INTL(MAX(E176,(Reprogramaciones!$T$15+7*(Reprogramaciones!S$14-1))),MIN(F176,(Reprogramaciones!$T$15+7*(Reprogramaciones!S$14-1))+6),11))))))))</f>
        <v/>
      </c>
      <c r="CC176" s="1" t="str">
        <f aca="false">IF(OR(NOT(AND(ISNUMBER(E176),ISNUMBER(F176))),$J$2=""),"",IF(Reprogramaciones!T$13&lt;Reprogramaciones!$T$15,0,IF(Reprogramaciones!T$14&gt;10,MIN(100,SUM($G176:$P176)),MIN(100,SUMPRODUCT((COLUMN($G176:$P176)-COLUMN($G176)+1&lt;Reprogramaciones!T$14)*$G176:$P176)+N(INDEX($G176:$P176,1,Reprogramaciones!T$14))*IF(Reprogramaciones!T$13&gt;=(Reprogramaciones!$T$15+7*(Reprogramaciones!T$14-1))+6,1,IF(MAX(0,NETWORKDAYS.INTL(MAX(E176,(Reprogramaciones!$T$15+7*(Reprogramaciones!T$14-1))),MIN(F176,(Reprogramaciones!$T$15+7*(Reprogramaciones!T$14-1))+6),11))=0,0,MAX(0,NETWORKDAYS.INTL(MAX(E176,(Reprogramaciones!$T$15+7*(Reprogramaciones!T$14-1))),MIN(F176,Reprogramaciones!T$13),11))/MAX(0,NETWORKDAYS.INTL(MAX(E176,(Reprogramaciones!$T$15+7*(Reprogramaciones!T$14-1))),MIN(F176,(Reprogramaciones!$T$15+7*(Reprogramaciones!T$14-1))+6),11))))))))</f>
        <v/>
      </c>
      <c r="CD176" s="1" t="str">
        <f aca="false">IF(OR(NOT(AND(ISNUMBER(E176),ISNUMBER(F176))),$J$2=""),"",IF(Reprogramaciones!U$13&lt;Reprogramaciones!$T$15,0,IF(Reprogramaciones!U$14&gt;10,MIN(100,SUM($G176:$P176)),MIN(100,SUMPRODUCT((COLUMN($G176:$P176)-COLUMN($G176)+1&lt;Reprogramaciones!U$14)*$G176:$P176)+N(INDEX($G176:$P176,1,Reprogramaciones!U$14))*IF(Reprogramaciones!U$13&gt;=(Reprogramaciones!$T$15+7*(Reprogramaciones!U$14-1))+6,1,IF(MAX(0,NETWORKDAYS.INTL(MAX(E176,(Reprogramaciones!$T$15+7*(Reprogramaciones!U$14-1))),MIN(F176,(Reprogramaciones!$T$15+7*(Reprogramaciones!U$14-1))+6),11))=0,0,MAX(0,NETWORKDAYS.INTL(MAX(E176,(Reprogramaciones!$T$15+7*(Reprogramaciones!U$14-1))),MIN(F176,Reprogramaciones!U$13),11))/MAX(0,NETWORKDAYS.INTL(MAX(E176,(Reprogramaciones!$T$15+7*(Reprogramaciones!U$14-1))),MIN(F176,(Reprogramaciones!$T$15+7*(Reprogramaciones!U$14-1))+6),11))))))))</f>
        <v/>
      </c>
      <c r="CE176" s="1" t="str">
        <f aca="false">IF(OR(NOT(AND(ISNUMBER(E176),ISNUMBER(F176))),$J$2=""),"",IF(Reprogramaciones!V$13&lt;Reprogramaciones!$T$15,0,IF(Reprogramaciones!V$14&gt;10,MIN(100,SUM($G176:$P176)),MIN(100,SUMPRODUCT((COLUMN($G176:$P176)-COLUMN($G176)+1&lt;Reprogramaciones!V$14)*$G176:$P176)+N(INDEX($G176:$P176,1,Reprogramaciones!V$14))*IF(Reprogramaciones!V$13&gt;=(Reprogramaciones!$T$15+7*(Reprogramaciones!V$14-1))+6,1,IF(MAX(0,NETWORKDAYS.INTL(MAX(E176,(Reprogramaciones!$T$15+7*(Reprogramaciones!V$14-1))),MIN(F176,(Reprogramaciones!$T$15+7*(Reprogramaciones!V$14-1))+6),11))=0,0,MAX(0,NETWORKDAYS.INTL(MAX(E176,(Reprogramaciones!$T$15+7*(Reprogramaciones!V$14-1))),MIN(F176,Reprogramaciones!V$13),11))/MAX(0,NETWORKDAYS.INTL(MAX(E176,(Reprogramaciones!$T$15+7*(Reprogramaciones!V$14-1))),MIN(F176,(Reprogramaciones!$T$15+7*(Reprogramaciones!V$14-1))+6),11))))))))</f>
        <v/>
      </c>
      <c r="CF176" s="1" t="str">
        <f aca="false">IF(OR(NOT(AND(ISNUMBER(E176),ISNUMBER(F176))),$J$2=""),"",IF(Reprogramaciones!W$13&lt;Reprogramaciones!$T$15,0,IF(Reprogramaciones!W$14&gt;10,MIN(100,SUM($G176:$P176)),MIN(100,SUMPRODUCT((COLUMN($G176:$P176)-COLUMN($G176)+1&lt;Reprogramaciones!W$14)*$G176:$P176)+N(INDEX($G176:$P176,1,Reprogramaciones!W$14))*IF(Reprogramaciones!W$13&gt;=(Reprogramaciones!$T$15+7*(Reprogramaciones!W$14-1))+6,1,IF(MAX(0,NETWORKDAYS.INTL(MAX(E176,(Reprogramaciones!$T$15+7*(Reprogramaciones!W$14-1))),MIN(F176,(Reprogramaciones!$T$15+7*(Reprogramaciones!W$14-1))+6),11))=0,0,MAX(0,NETWORKDAYS.INTL(MAX(E176,(Reprogramaciones!$T$15+7*(Reprogramaciones!W$14-1))),MIN(F176,Reprogramaciones!W$13),11))/MAX(0,NETWORKDAYS.INTL(MAX(E176,(Reprogramaciones!$T$15+7*(Reprogramaciones!W$14-1))),MIN(F176,(Reprogramaciones!$T$15+7*(Reprogramaciones!W$14-1))+6),11))))))))</f>
        <v/>
      </c>
      <c r="CG176" s="1" t="str">
        <f aca="false">IF(OR(NOT(AND(ISNUMBER(E176),ISNUMBER(F176))),$J$2=""),"",IF(Reprogramaciones!X$13&lt;Reprogramaciones!$T$15,0,IF(Reprogramaciones!X$14&gt;10,MIN(100,SUM($G176:$P176)),MIN(100,SUMPRODUCT((COLUMN($G176:$P176)-COLUMN($G176)+1&lt;Reprogramaciones!X$14)*$G176:$P176)+N(INDEX($G176:$P176,1,Reprogramaciones!X$14))*IF(Reprogramaciones!X$13&gt;=(Reprogramaciones!$T$15+7*(Reprogramaciones!X$14-1))+6,1,IF(MAX(0,NETWORKDAYS.INTL(MAX(E176,(Reprogramaciones!$T$15+7*(Reprogramaciones!X$14-1))),MIN(F176,(Reprogramaciones!$T$15+7*(Reprogramaciones!X$14-1))+6),11))=0,0,MAX(0,NETWORKDAYS.INTL(MAX(E176,(Reprogramaciones!$T$15+7*(Reprogramaciones!X$14-1))),MIN(F176,Reprogramaciones!X$13),11))/MAX(0,NETWORKDAYS.INTL(MAX(E176,(Reprogramaciones!$T$15+7*(Reprogramaciones!X$14-1))),MIN(F176,(Reprogramaciones!$T$15+7*(Reprogramaciones!X$14-1))+6),11))))))))</f>
        <v/>
      </c>
      <c r="CH176" s="1" t="str">
        <f aca="false">IF(OR(NOT(AND(ISNUMBER(E176),ISNUMBER(F176))),$J$2=""),"",IF(Reprogramaciones!Y$13&lt;Reprogramaciones!$T$15,0,IF(Reprogramaciones!Y$14&gt;10,MIN(100,SUM($G176:$P176)),MIN(100,SUMPRODUCT((COLUMN($G176:$P176)-COLUMN($G176)+1&lt;Reprogramaciones!Y$14)*$G176:$P176)+N(INDEX($G176:$P176,1,Reprogramaciones!Y$14))*IF(Reprogramaciones!Y$13&gt;=(Reprogramaciones!$T$15+7*(Reprogramaciones!Y$14-1))+6,1,IF(MAX(0,NETWORKDAYS.INTL(MAX(E176,(Reprogramaciones!$T$15+7*(Reprogramaciones!Y$14-1))),MIN(F176,(Reprogramaciones!$T$15+7*(Reprogramaciones!Y$14-1))+6),11))=0,0,MAX(0,NETWORKDAYS.INTL(MAX(E176,(Reprogramaciones!$T$15+7*(Reprogramaciones!Y$14-1))),MIN(F176,Reprogramaciones!Y$13),11))/MAX(0,NETWORKDAYS.INTL(MAX(E176,(Reprogramaciones!$T$15+7*(Reprogramaciones!Y$14-1))),MIN(F176,(Reprogramaciones!$T$15+7*(Reprogramaciones!Y$14-1))+6),11))))))))</f>
        <v/>
      </c>
      <c r="CI176" s="1" t="str">
        <f aca="false">IF(OR(NOT(AND(ISNUMBER(E176),ISNUMBER(F176))),$J$2=""),"",IF(Reprogramaciones!Z$13&lt;Reprogramaciones!$T$15,0,IF(Reprogramaciones!Z$14&gt;10,MIN(100,SUM($G176:$P176)),MIN(100,SUMPRODUCT((COLUMN($G176:$P176)-COLUMN($G176)+1&lt;Reprogramaciones!Z$14)*$G176:$P176)+N(INDEX($G176:$P176,1,Reprogramaciones!Z$14))*IF(Reprogramaciones!Z$13&gt;=(Reprogramaciones!$T$15+7*(Reprogramaciones!Z$14-1))+6,1,IF(MAX(0,NETWORKDAYS.INTL(MAX(E176,(Reprogramaciones!$T$15+7*(Reprogramaciones!Z$14-1))),MIN(F176,(Reprogramaciones!$T$15+7*(Reprogramaciones!Z$14-1))+6),11))=0,0,MAX(0,NETWORKDAYS.INTL(MAX(E176,(Reprogramaciones!$T$15+7*(Reprogramaciones!Z$14-1))),MIN(F176,Reprogramaciones!Z$13),11))/MAX(0,NETWORKDAYS.INTL(MAX(E176,(Reprogramaciones!$T$15+7*(Reprogramaciones!Z$14-1))),MIN(F176,(Reprogramaciones!$T$15+7*(Reprogramaciones!Z$14-1))+6),11))))))))</f>
        <v/>
      </c>
      <c r="CJ176" s="1" t="str">
        <f aca="false">IF(OR(OR(NOT(AND(ISNUMBER(E176),ISNUMBER(F176))),$J$2=""),1&gt;Reprogramaciones!$K$16),"",IF(ROUND(SUM($Q176:Q176),1)&gt;=99.5,100,MIN(100,ROUND(SUM($Q176:Q176),1))))</f>
        <v/>
      </c>
      <c r="CK176" s="1" t="str">
        <f aca="false">IF(OR(OR(NOT(AND(ISNUMBER(E176),ISNUMBER(F176))),$J$2=""),2&gt;Reprogramaciones!$K$16),"",IF(ROUND(SUM($Q176:R176),1)&gt;=99.5,100,MIN(100,ROUND(SUM($Q176:R176),1))))</f>
        <v/>
      </c>
      <c r="CL176" s="1" t="str">
        <f aca="false">IF(OR(OR(NOT(AND(ISNUMBER(E176),ISNUMBER(F176))),$J$2=""),3&gt;Reprogramaciones!$K$16),"",IF(ROUND(SUM($Q176:S176),1)&gt;=99.5,100,MIN(100,ROUND(SUM($Q176:S176),1))))</f>
        <v/>
      </c>
      <c r="CM176" s="1" t="str">
        <f aca="false">IF(OR(OR(NOT(AND(ISNUMBER(E176),ISNUMBER(F176))),$J$2=""),4&gt;Reprogramaciones!$K$16),"",IF(ROUND(SUM($Q176:T176),1)&gt;=99.5,100,MIN(100,ROUND(SUM($Q176:T176),1))))</f>
        <v/>
      </c>
      <c r="CN176" s="1" t="str">
        <f aca="false">IF(OR(OR(NOT(AND(ISNUMBER(E176),ISNUMBER(F176))),$J$2=""),5&gt;Reprogramaciones!$K$16),"",IF(ROUND(SUM($Q176:U176),1)&gt;=99.5,100,MIN(100,ROUND(SUM($Q176:U176),1))))</f>
        <v/>
      </c>
      <c r="CO176" s="1" t="str">
        <f aca="false">IF(OR(OR(NOT(AND(ISNUMBER(E176),ISNUMBER(F176))),$J$2=""),6&gt;Reprogramaciones!$K$16),"",IF(ROUND(SUM($Q176:V176),1)&gt;=99.5,100,MIN(100,ROUND(SUM($Q176:V176),1))))</f>
        <v/>
      </c>
      <c r="CP176" s="1" t="str">
        <f aca="false">IF(OR(OR(NOT(AND(ISNUMBER(E176),ISNUMBER(F176))),$J$2=""),7&gt;Reprogramaciones!$K$16),"",IF(ROUND(SUM($Q176:W176),1)&gt;=99.5,100,MIN(100,ROUND(SUM($Q176:W176),1))))</f>
        <v/>
      </c>
      <c r="CQ176" s="1" t="str">
        <f aca="false">IF(OR(OR(NOT(AND(ISNUMBER(E176),ISNUMBER(F176))),$J$2=""),8&gt;Reprogramaciones!$K$16),"",IF(ROUND(SUM($Q176:X176),1)&gt;=99.5,100,MIN(100,ROUND(SUM($Q176:X176),1))))</f>
        <v/>
      </c>
      <c r="CR176" s="1" t="str">
        <f aca="false">IF(OR(OR(NOT(AND(ISNUMBER(E176),ISNUMBER(F176))),$J$2=""),9&gt;Reprogramaciones!$K$16),"",IF(ROUND(SUM($Q176:Y176),1)&gt;=99.5,100,MIN(100,ROUND(SUM($Q176:Y176),1))))</f>
        <v/>
      </c>
      <c r="CS176" s="1" t="str">
        <f aca="false">IF(OR(OR(NOT(AND(ISNUMBER(E176),ISNUMBER(F176))),$J$2=""),10&gt;Reprogramaciones!$K$16),"",IF(ROUND(SUM($Q176:Z176),1)&gt;=99.5,100,MIN(100,ROUND(SUM($Q176:Z176),1))))</f>
        <v/>
      </c>
      <c r="CT176" s="1" t="str">
        <f aca="false">IF(OR(OR(NOT(AND(ISNUMBER(E176),ISNUMBER(F176))),$J$2=""),11&gt;Reprogramaciones!$K$16),"",IF(ROUND(SUM($Q176:AA176),1)&gt;=99.5,100,MIN(100,ROUND(SUM($Q176:AA176),1))))</f>
        <v/>
      </c>
      <c r="CU176" s="1" t="str">
        <f aca="false">IF(OR(OR(NOT(AND(ISNUMBER(E176),ISNUMBER(F176))),$J$2=""),12&gt;Reprogramaciones!$K$16),"",IF(ROUND(SUM($Q176:AB176),1)&gt;=99.5,100,MIN(100,ROUND(SUM($Q176:AB176),1))))</f>
        <v/>
      </c>
      <c r="CV176" s="1" t="str">
        <f aca="false">IF(OR(OR(NOT(AND(ISNUMBER(E176),ISNUMBER(F176))),$J$2=""),13&gt;Reprogramaciones!$K$16),"",IF(ROUND(SUM($Q176:AC176),1)&gt;=99.5,100,MIN(100,ROUND(SUM($Q176:AC176),1))))</f>
        <v/>
      </c>
      <c r="CW176" s="1" t="str">
        <f aca="false">IF(OR(OR(NOT(AND(ISNUMBER(E176),ISNUMBER(F176))),$J$2=""),14&gt;Reprogramaciones!$K$16),"",IF(ROUND(SUM($Q176:AD176),1)&gt;=99.5,100,MIN(100,ROUND(SUM($Q176:AD176),1))))</f>
        <v/>
      </c>
      <c r="CX176" s="1" t="str">
        <f aca="false">IF(OR(OR(NOT(AND(ISNUMBER(E176),ISNUMBER(F176))),$J$2=""),15&gt;Reprogramaciones!$K$16),"",IF(ROUND(SUM($Q176:AE176),1)&gt;=99.5,100,MIN(100,ROUND(SUM($Q176:AE176),1))))</f>
        <v/>
      </c>
      <c r="CY176" s="1" t="str">
        <f aca="false">IF(OR(OR(NOT(AND(ISNUMBER(E176),ISNUMBER(F176))),$J$2=""),16&gt;Reprogramaciones!$K$16),"",IF(ROUND(SUM($Q176:AF176),1)&gt;=99.5,100,MIN(100,ROUND(SUM($Q176:AF176),1))))</f>
        <v/>
      </c>
      <c r="CZ176" s="1" t="str">
        <f aca="false">IF(D176&lt;&gt;"",D176,IF(B176&lt;&gt;"","Contractual",CZ175))</f>
        <v>Contractual</v>
      </c>
      <c r="DA176" s="1" t="str">
        <f aca="false">IF(OR(NOT(AND(ISNUMBER(E176),ISNUMBER(F176))),$J$2=""),"",IF(Reprogramaciones!$Q$15&lt;Reprogramaciones!$T$15,0,IF(Reprogramaciones!$S$15&gt;10,MIN(100,SUM($G176:$P176)),MIN(100,SUMPRODUCT((COLUMN($G176:$P176)-COLUMN($G176)+1&lt;Reprogramaciones!$S$15)*$G176:$P176)+N(INDEX($G176:$P176,1,Reprogramaciones!$S$15))*IF(Reprogramaciones!$Q$15&gt;=(Reprogramaciones!$T$15+7*(Reprogramaciones!$S$15-1))+6,1,IF(MAX(0,NETWORKDAYS.INTL(MAX(E176,(Reprogramaciones!$T$15+7*(Reprogramaciones!$S$15-1))),MIN(F176,(Reprogramaciones!$T$15+7*(Reprogramaciones!$S$15-1))+6),11))=0,0,MAX(0,NETWORKDAYS.INTL(MAX(E176,(Reprogramaciones!$T$15+7*(Reprogramaciones!$S$15-1))),MIN(F176,Reprogramaciones!$Q$15),11))/MAX(0,NETWORKDAYS.INTL(MAX(E176,(Reprogramaciones!$T$15+7*(Reprogramaciones!$S$15-1))),MIN(F176,(Reprogramaciones!$T$15+7*(Reprogramaciones!$S$15-1))+6),11))))))))</f>
        <v/>
      </c>
    </row>
    <row r="177" customFormat="false" ht="15" hidden="false" customHeight="false" outlineLevel="0" collapsed="false">
      <c r="A177" s="32"/>
      <c r="B177" s="33"/>
      <c r="C177" s="33"/>
      <c r="D177" s="34"/>
      <c r="E177" s="35"/>
      <c r="F177" s="35"/>
      <c r="G177" s="36" t="str">
        <f aca="false">IF(OR(NOT(AND(ISNUMBER(E177),ISNUMBER(F177))),$J$2=""),"",IF(Reprogramaciones!K$9&lt;E177,0,IF(NETWORKDAYS.INTL(E177,F177,11)=0,IF(Reprogramaciones!K$9&gt;=F177,100,0),ROUND(NETWORKDAYS.INTL(E177,MIN(F177,Reprogramaciones!K$9),11)/NETWORKDAYS.INTL(E177,F177,11)*100,1)))-0)</f>
        <v/>
      </c>
      <c r="H177" s="36" t="str">
        <f aca="false">IF(OR(NOT(AND(ISNUMBER(E177),ISNUMBER(F177))),$J$2=""),"",IF(Reprogramaciones!L$9&lt;E177,0,IF(NETWORKDAYS.INTL(E177,F177,11)=0,IF(Reprogramaciones!L$9&gt;=F177,100,0),ROUND(NETWORKDAYS.INTL(E177,MIN(F177,Reprogramaciones!L$9),11)/NETWORKDAYS.INTL(E177,F177,11)*100,1)))-IF(Reprogramaciones!K$9&lt;E177,0,IF(NETWORKDAYS.INTL(E177,F177,11)=0,IF(Reprogramaciones!K$9&gt;=F177,100,0),ROUND(NETWORKDAYS.INTL(E177,MIN(F177,Reprogramaciones!K$9),11)/NETWORKDAYS.INTL(E177,F177,11)*100,1))))</f>
        <v/>
      </c>
      <c r="I177" s="36" t="str">
        <f aca="false">IF(OR(NOT(AND(ISNUMBER(E177),ISNUMBER(F177))),$J$2=""),"",IF(Reprogramaciones!M$9&lt;E177,0,IF(NETWORKDAYS.INTL(E177,F177,11)=0,IF(Reprogramaciones!M$9&gt;=F177,100,0),ROUND(NETWORKDAYS.INTL(E177,MIN(F177,Reprogramaciones!M$9),11)/NETWORKDAYS.INTL(E177,F177,11)*100,1)))-IF(Reprogramaciones!L$9&lt;E177,0,IF(NETWORKDAYS.INTL(E177,F177,11)=0,IF(Reprogramaciones!L$9&gt;=F177,100,0),ROUND(NETWORKDAYS.INTL(E177,MIN(F177,Reprogramaciones!L$9),11)/NETWORKDAYS.INTL(E177,F177,11)*100,1))))</f>
        <v/>
      </c>
      <c r="J177" s="36" t="str">
        <f aca="false">IF(OR(NOT(AND(ISNUMBER(E177),ISNUMBER(F177))),$J$2=""),"",IF(Reprogramaciones!N$9&lt;E177,0,IF(NETWORKDAYS.INTL(E177,F177,11)=0,IF(Reprogramaciones!N$9&gt;=F177,100,0),ROUND(NETWORKDAYS.INTL(E177,MIN(F177,Reprogramaciones!N$9),11)/NETWORKDAYS.INTL(E177,F177,11)*100,1)))-IF(Reprogramaciones!M$9&lt;E177,0,IF(NETWORKDAYS.INTL(E177,F177,11)=0,IF(Reprogramaciones!M$9&gt;=F177,100,0),ROUND(NETWORKDAYS.INTL(E177,MIN(F177,Reprogramaciones!M$9),11)/NETWORKDAYS.INTL(E177,F177,11)*100,1))))</f>
        <v/>
      </c>
      <c r="K177" s="36" t="str">
        <f aca="false">IF(OR(NOT(AND(ISNUMBER(E177),ISNUMBER(F177))),$J$2=""),"",IF(Reprogramaciones!O$9&lt;E177,0,IF(NETWORKDAYS.INTL(E177,F177,11)=0,IF(Reprogramaciones!O$9&gt;=F177,100,0),ROUND(NETWORKDAYS.INTL(E177,MIN(F177,Reprogramaciones!O$9),11)/NETWORKDAYS.INTL(E177,F177,11)*100,1)))-IF(Reprogramaciones!N$9&lt;E177,0,IF(NETWORKDAYS.INTL(E177,F177,11)=0,IF(Reprogramaciones!N$9&gt;=F177,100,0),ROUND(NETWORKDAYS.INTL(E177,MIN(F177,Reprogramaciones!N$9),11)/NETWORKDAYS.INTL(E177,F177,11)*100,1))))</f>
        <v/>
      </c>
      <c r="L177" s="36" t="str">
        <f aca="false">IF(OR(NOT(AND(ISNUMBER(E177),ISNUMBER(F177))),$J$2=""),"",IF(Reprogramaciones!P$9&lt;E177,0,IF(NETWORKDAYS.INTL(E177,F177,11)=0,IF(Reprogramaciones!P$9&gt;=F177,100,0),ROUND(NETWORKDAYS.INTL(E177,MIN(F177,Reprogramaciones!P$9),11)/NETWORKDAYS.INTL(E177,F177,11)*100,1)))-IF(Reprogramaciones!O$9&lt;E177,0,IF(NETWORKDAYS.INTL(E177,F177,11)=0,IF(Reprogramaciones!O$9&gt;=F177,100,0),ROUND(NETWORKDAYS.INTL(E177,MIN(F177,Reprogramaciones!O$9),11)/NETWORKDAYS.INTL(E177,F177,11)*100,1))))</f>
        <v/>
      </c>
      <c r="M177" s="36" t="str">
        <f aca="false">IF(OR(NOT(AND(ISNUMBER(E177),ISNUMBER(F177))),$J$2=""),"",IF(Reprogramaciones!Q$9&lt;E177,0,IF(NETWORKDAYS.INTL(E177,F177,11)=0,IF(Reprogramaciones!Q$9&gt;=F177,100,0),ROUND(NETWORKDAYS.INTL(E177,MIN(F177,Reprogramaciones!Q$9),11)/NETWORKDAYS.INTL(E177,F177,11)*100,1)))-IF(Reprogramaciones!P$9&lt;E177,0,IF(NETWORKDAYS.INTL(E177,F177,11)=0,IF(Reprogramaciones!P$9&gt;=F177,100,0),ROUND(NETWORKDAYS.INTL(E177,MIN(F177,Reprogramaciones!P$9),11)/NETWORKDAYS.INTL(E177,F177,11)*100,1))))</f>
        <v/>
      </c>
      <c r="N177" s="36" t="str">
        <f aca="false">IF(OR(NOT(AND(ISNUMBER(E177),ISNUMBER(F177))),$J$2=""),"",IF(Reprogramaciones!R$9&lt;E177,0,IF(NETWORKDAYS.INTL(E177,F177,11)=0,IF(Reprogramaciones!R$9&gt;=F177,100,0),ROUND(NETWORKDAYS.INTL(E177,MIN(F177,Reprogramaciones!R$9),11)/NETWORKDAYS.INTL(E177,F177,11)*100,1)))-IF(Reprogramaciones!Q$9&lt;E177,0,IF(NETWORKDAYS.INTL(E177,F177,11)=0,IF(Reprogramaciones!Q$9&gt;=F177,100,0),ROUND(NETWORKDAYS.INTL(E177,MIN(F177,Reprogramaciones!Q$9),11)/NETWORKDAYS.INTL(E177,F177,11)*100,1))))</f>
        <v/>
      </c>
      <c r="O177" s="36" t="str">
        <f aca="false">IF(OR(NOT(AND(ISNUMBER(E177),ISNUMBER(F177))),$J$2=""),"",IF(Reprogramaciones!S$9&lt;E177,0,IF(NETWORKDAYS.INTL(E177,F177,11)=0,IF(Reprogramaciones!S$9&gt;=F177,100,0),ROUND(NETWORKDAYS.INTL(E177,MIN(F177,Reprogramaciones!S$9),11)/NETWORKDAYS.INTL(E177,F177,11)*100,1)))-IF(Reprogramaciones!R$9&lt;E177,0,IF(NETWORKDAYS.INTL(E177,F177,11)=0,IF(Reprogramaciones!R$9&gt;=F177,100,0),ROUND(NETWORKDAYS.INTL(E177,MIN(F177,Reprogramaciones!R$9),11)/NETWORKDAYS.INTL(E177,F177,11)*100,1))))</f>
        <v/>
      </c>
      <c r="P177" s="36" t="str">
        <f aca="false">IF(OR(NOT(AND(ISNUMBER(E177),ISNUMBER(F177))),$J$2=""),"",IF(Reprogramaciones!T$9&lt;E177,0,IF(NETWORKDAYS.INTL(E177,F177,11)=0,IF(Reprogramaciones!T$9&gt;=F177,100,0),ROUND(NETWORKDAYS.INTL(E177,MIN(F177,Reprogramaciones!T$9),11)/NETWORKDAYS.INTL(E177,F177,11)*100,1)))-IF(Reprogramaciones!S$9&lt;E177,0,IF(NETWORKDAYS.INTL(E177,F177,11)=0,IF(Reprogramaciones!S$9&gt;=F177,100,0),ROUND(NETWORKDAYS.INTL(E177,MIN(F177,Reprogramaciones!S$9),11)/NETWORKDAYS.INTL(E177,F177,11)*100,1))))</f>
        <v/>
      </c>
      <c r="Q177" s="37"/>
      <c r="R177" s="37"/>
      <c r="S177" s="37"/>
      <c r="T177" s="37"/>
      <c r="U177" s="37"/>
      <c r="V177" s="37"/>
      <c r="W177" s="37"/>
      <c r="X177" s="37"/>
      <c r="Y177" s="37"/>
      <c r="Z177" s="37"/>
      <c r="AA177" s="37"/>
      <c r="AB177" s="37"/>
      <c r="AC177" s="37"/>
      <c r="AD177" s="37"/>
      <c r="AE177" s="37"/>
      <c r="AF177" s="37"/>
      <c r="AG177" s="38" t="str">
        <f aca="false">IF(AND(ISNUMBER(E177),ISNUMBER(F177)),NETWORKDAYS.INTL(E177,F177,11),"")</f>
        <v/>
      </c>
      <c r="AH177" s="38" t="str">
        <f aca="false">IF(OR(NOT(AND(ISNUMBER(E177),ISNUMBER(F177))),$J$2=""),"",IF(Reprogramaciones!$P$15&lt;Reprogramaciones!$T$15,0,IF(Reprogramaciones!$R$15&gt;10,MIN(100,SUM($G177:$P177)),MIN(100,SUMPRODUCT((COLUMN($G177:$P177)-COLUMN($G177)+1&lt;Reprogramaciones!$R$15)*$G177:$P177)+N(INDEX($G177:$P177,1,Reprogramaciones!$R$15))*IF(Reprogramaciones!$P$15&gt;=(Reprogramaciones!$T$15+7*(Reprogramaciones!$R$15-1))+6,1,IF(MAX(0,NETWORKDAYS.INTL(MAX(E177,(Reprogramaciones!$T$15+7*(Reprogramaciones!$R$15-1))),MIN(F177,(Reprogramaciones!$T$15+7*(Reprogramaciones!$R$15-1))+6),11))=0,0,MAX(0,NETWORKDAYS.INTL(MAX(E177,(Reprogramaciones!$T$15+7*(Reprogramaciones!$R$15-1))),MIN(F177,Reprogramaciones!$P$15),11))/MAX(0,NETWORKDAYS.INTL(MAX(E177,(Reprogramaciones!$T$15+7*(Reprogramaciones!$R$15-1))),MIN(F177,(Reprogramaciones!$T$15+7*(Reprogramaciones!$R$15-1))+6),11))))))))</f>
        <v/>
      </c>
      <c r="AI177" s="38" t="str">
        <f aca="false">IF(COUNT($Q177:$AF177)=0,"",IF(ROUND(SUM($Q177:$AF177),1)&gt;=99.5,100,MIN(100,ROUND(SUM($Q177:$AF177),1))))</f>
        <v/>
      </c>
      <c r="AJ177" s="38" t="str">
        <f aca="false">IF(OR(AH177="",AI177=""),"",AI177-AH177)</f>
        <v/>
      </c>
      <c r="AK177" s="39" t="str">
        <f aca="true">IF(AH177="","",IF(OR(Ficha!$C$10="Suspendida",Ficha!$C$10="Cancelada"),Ficha!$C$10,IF(AND(AI177&lt;&gt;"",N(AI177)&gt;=100),"Completada",IF(AND(E177&gt;TODAY(),N(AI177)=0),"Por iniciar",IF(N(AI177)+0.5&lt;AH177,"Retrasada",IF(N(AI177)+0.5&lt;DA177,IF(Reprogramaciones!$K$15&gt;0,"Al día · Sem "&amp;Reprogramaciones!$K$15&amp;" en curso","Al día · en curso"),"A tiempo"))))))</f>
        <v/>
      </c>
      <c r="AL177" s="39" t="str">
        <f aca="true">IF(AND(A177="",AND(B177="",C177="",E177="",F177="",COUNT(Q177:AF177)=0)),"",IF(AND(B177="",C177="",E177="",F177="",COUNT(Q177:AF177)=0),"Falta la partida o subpartida",IF(AND(A177&lt;&gt;"",COUNTIF($A$6:$A$305,A177)&gt;1),"Ítem repetido",IF(AND(C177="",E177="",F177="",COUNT(Q177:AF177)=0),"Título de partida",IF(OR(E177="",F177=""),"Faltan fechas",IF(OR(ISTEXT(E177),ISTEXT(F177)),"Fecha escrita como texto: usa dd/mm/aaaa",IF(F177&lt;E177,"Fin antes del inicio",IF(IF($J$2="",FALSE(),OR(E177&lt;$J$2,F177&gt;Reprogramaciones!$T$15+69)),"Fuera de las 10 semanas",IF(ABS(SUM(G177:P177)-100)&gt;0.5,"La meta no suma 100%",IF(ROUND(SUM(Q177:AF177),1)&gt;100.5,"El avance pasa de 100%",IF(MIN(Q177:AF177)&lt;0,"Avance negativo",IF(COUNTA(Q177:AF177)&gt;COUNT(Q177:AF177),"Avance escrito como texto",IF(SUMPRODUCT((Q177:AF177&gt;0)*(Q177:AF177&lt;1))&gt;0,"Avance menor a 1: escribe 50, no 50%",IF(SUMPRODUCT(ISNUMBER(Q177:AF177)*(Reprogramaciones!$K$8:$Z$8&gt;TODAY()))&gt;0,"Avance en semana que aún no llega",IF(AND(N(Reprogramaciones!$E$21)&gt;0,F177&gt;Reprogramaciones!$E$21),"Pasa el fin de la obra: registra una reprogramación",IF(AND(N(Reprogramaciones!$E$21)&gt;0,SUMPRODUCT(ISNUMBER(Q177:AF177)*(Reprogramaciones!$K$8:$Z$8&gt;Reprogramaciones!$E$21))&gt;0),"Avance después del fin de la obra: registra una reprogramación por atraso","OK"))))))))))))))))</f>
        <v/>
      </c>
      <c r="AM177" s="40" t="str">
        <f aca="false">IF(OR(OR(NOT(AND(ISNUMBER(E177),ISNUMBER(F177))),$J$2=""),1&gt;MAX(1,Reprogramaciones!$U$15)),"",IF(Reprogramaciones!K$12&gt;=7,"",IF(OR(BT177-N(0)&gt;0.05,N(Q177)&gt;0),ROUNDDOWN(ROUND(BT177,6),0)&amp;"%"&amp;IF(CJ177="",""," / "&amp;CJ177&amp;"%"),IF(AND(N(0)&gt;=99.95,CJ177&lt;&gt;"",N(CJ177)&lt;100),"Pend. "&amp;CJ177&amp;"%",""))))</f>
        <v/>
      </c>
      <c r="AN177" s="40" t="str">
        <f aca="false">IF(OR(OR(NOT(AND(ISNUMBER(E177),ISNUMBER(F177))),$J$2=""),2&gt;MAX(1,Reprogramaciones!$U$15)),"",IF(Reprogramaciones!L$12&gt;=7,"",IF(OR(BU177-N(BT177)&gt;0.05,N(R177)&gt;0),ROUNDDOWN(ROUND(BU177,6),0)&amp;"%"&amp;IF(CK177="",""," / "&amp;CK177&amp;"%"),IF(AND(N(BT177)&gt;=99.95,CK177&lt;&gt;"",N(CK177)&lt;100),"Pend. "&amp;CK177&amp;"%",""))))</f>
        <v/>
      </c>
      <c r="AO177" s="40" t="str">
        <f aca="false">IF(OR(OR(NOT(AND(ISNUMBER(E177),ISNUMBER(F177))),$J$2=""),3&gt;MAX(1,Reprogramaciones!$U$15)),"",IF(Reprogramaciones!M$12&gt;=7,"",IF(OR(BV177-N(BU177)&gt;0.05,N(S177)&gt;0),ROUNDDOWN(ROUND(BV177,6),0)&amp;"%"&amp;IF(CL177="",""," / "&amp;CL177&amp;"%"),IF(AND(N(BU177)&gt;=99.95,CL177&lt;&gt;"",N(CL177)&lt;100),"Pend. "&amp;CL177&amp;"%",""))))</f>
        <v/>
      </c>
      <c r="AP177" s="40" t="str">
        <f aca="false">IF(OR(OR(NOT(AND(ISNUMBER(E177),ISNUMBER(F177))),$J$2=""),4&gt;MAX(1,Reprogramaciones!$U$15)),"",IF(Reprogramaciones!N$12&gt;=7,"",IF(OR(BW177-N(BV177)&gt;0.05,N(T177)&gt;0),ROUNDDOWN(ROUND(BW177,6),0)&amp;"%"&amp;IF(CM177="",""," / "&amp;CM177&amp;"%"),IF(AND(N(BV177)&gt;=99.95,CM177&lt;&gt;"",N(CM177)&lt;100),"Pend. "&amp;CM177&amp;"%",""))))</f>
        <v/>
      </c>
      <c r="AQ177" s="40" t="str">
        <f aca="false">IF(OR(OR(NOT(AND(ISNUMBER(E177),ISNUMBER(F177))),$J$2=""),5&gt;MAX(1,Reprogramaciones!$U$15)),"",IF(Reprogramaciones!O$12&gt;=7,"",IF(OR(BX177-N(BW177)&gt;0.05,N(U177)&gt;0),ROUNDDOWN(ROUND(BX177,6),0)&amp;"%"&amp;IF(CN177="",""," / "&amp;CN177&amp;"%"),IF(AND(N(BW177)&gt;=99.95,CN177&lt;&gt;"",N(CN177)&lt;100),"Pend. "&amp;CN177&amp;"%",""))))</f>
        <v/>
      </c>
      <c r="AR177" s="40" t="str">
        <f aca="false">IF(OR(OR(NOT(AND(ISNUMBER(E177),ISNUMBER(F177))),$J$2=""),6&gt;MAX(1,Reprogramaciones!$U$15)),"",IF(Reprogramaciones!P$12&gt;=7,"",IF(OR(BY177-N(BX177)&gt;0.05,N(V177)&gt;0),ROUNDDOWN(ROUND(BY177,6),0)&amp;"%"&amp;IF(CO177="",""," / "&amp;CO177&amp;"%"),IF(AND(N(BX177)&gt;=99.95,CO177&lt;&gt;"",N(CO177)&lt;100),"Pend. "&amp;CO177&amp;"%",""))))</f>
        <v/>
      </c>
      <c r="AS177" s="40" t="str">
        <f aca="false">IF(OR(OR(NOT(AND(ISNUMBER(E177),ISNUMBER(F177))),$J$2=""),7&gt;MAX(1,Reprogramaciones!$U$15)),"",IF(Reprogramaciones!Q$12&gt;=7,"",IF(OR(BZ177-N(BY177)&gt;0.05,N(W177)&gt;0),ROUNDDOWN(ROUND(BZ177,6),0)&amp;"%"&amp;IF(CP177="",""," / "&amp;CP177&amp;"%"),IF(AND(N(BY177)&gt;=99.95,CP177&lt;&gt;"",N(CP177)&lt;100),"Pend. "&amp;CP177&amp;"%",""))))</f>
        <v/>
      </c>
      <c r="AT177" s="40" t="str">
        <f aca="false">IF(OR(OR(NOT(AND(ISNUMBER(E177),ISNUMBER(F177))),$J$2=""),8&gt;MAX(1,Reprogramaciones!$U$15)),"",IF(Reprogramaciones!R$12&gt;=7,"",IF(OR(CA177-N(BZ177)&gt;0.05,N(X177)&gt;0),ROUNDDOWN(ROUND(CA177,6),0)&amp;"%"&amp;IF(CQ177="",""," / "&amp;CQ177&amp;"%"),IF(AND(N(BZ177)&gt;=99.95,CQ177&lt;&gt;"",N(CQ177)&lt;100),"Pend. "&amp;CQ177&amp;"%",""))))</f>
        <v/>
      </c>
      <c r="AU177" s="40" t="str">
        <f aca="false">IF(OR(OR(NOT(AND(ISNUMBER(E177),ISNUMBER(F177))),$J$2=""),9&gt;MAX(1,Reprogramaciones!$U$15)),"",IF(Reprogramaciones!S$12&gt;=7,"",IF(OR(CB177-N(CA177)&gt;0.05,N(Y177)&gt;0),ROUNDDOWN(ROUND(CB177,6),0)&amp;"%"&amp;IF(CR177="",""," / "&amp;CR177&amp;"%"),IF(AND(N(CA177)&gt;=99.95,CR177&lt;&gt;"",N(CR177)&lt;100),"Pend. "&amp;CR177&amp;"%",""))))</f>
        <v/>
      </c>
      <c r="AV177" s="40" t="str">
        <f aca="false">IF(OR(OR(NOT(AND(ISNUMBER(E177),ISNUMBER(F177))),$J$2=""),10&gt;MAX(1,Reprogramaciones!$U$15)),"",IF(Reprogramaciones!T$12&gt;=7,"",IF(OR(CC177-N(CB177)&gt;0.05,N(Z177)&gt;0),ROUNDDOWN(ROUND(CC177,6),0)&amp;"%"&amp;IF(CS177="",""," / "&amp;CS177&amp;"%"),IF(AND(N(CB177)&gt;=99.95,CS177&lt;&gt;"",N(CS177)&lt;100),"Pend. "&amp;CS177&amp;"%",""))))</f>
        <v/>
      </c>
      <c r="AW177" s="40" t="str">
        <f aca="false">IF(OR(OR(NOT(AND(ISNUMBER(E177),ISNUMBER(F177))),$J$2=""),11&gt;MAX(1,Reprogramaciones!$U$15)),"",IF(Reprogramaciones!U$12&gt;=7,"",IF(OR(CD177-N(CC177)&gt;0.05,N(AA177)&gt;0),ROUNDDOWN(ROUND(CD177,6),0)&amp;"%"&amp;IF(CT177="",""," / "&amp;CT177&amp;"%"),IF(AND(N(CC177)&gt;=99.95,CT177&lt;&gt;"",N(CT177)&lt;100),"Pend. "&amp;CT177&amp;"%",""))))</f>
        <v/>
      </c>
      <c r="AX177" s="40" t="str">
        <f aca="false">IF(OR(OR(NOT(AND(ISNUMBER(E177),ISNUMBER(F177))),$J$2=""),12&gt;MAX(1,Reprogramaciones!$U$15)),"",IF(Reprogramaciones!V$12&gt;=7,"",IF(OR(CE177-N(CD177)&gt;0.05,N(AB177)&gt;0),ROUNDDOWN(ROUND(CE177,6),0)&amp;"%"&amp;IF(CU177="",""," / "&amp;CU177&amp;"%"),IF(AND(N(CD177)&gt;=99.95,CU177&lt;&gt;"",N(CU177)&lt;100),"Pend. "&amp;CU177&amp;"%",""))))</f>
        <v/>
      </c>
      <c r="AY177" s="40" t="str">
        <f aca="false">IF(OR(OR(NOT(AND(ISNUMBER(E177),ISNUMBER(F177))),$J$2=""),13&gt;MAX(1,Reprogramaciones!$U$15)),"",IF(Reprogramaciones!W$12&gt;=7,"",IF(OR(CF177-N(CE177)&gt;0.05,N(AC177)&gt;0),ROUNDDOWN(ROUND(CF177,6),0)&amp;"%"&amp;IF(CV177="",""," / "&amp;CV177&amp;"%"),IF(AND(N(CE177)&gt;=99.95,CV177&lt;&gt;"",N(CV177)&lt;100),"Pend. "&amp;CV177&amp;"%",""))))</f>
        <v/>
      </c>
      <c r="AZ177" s="40" t="str">
        <f aca="false">IF(OR(OR(NOT(AND(ISNUMBER(E177),ISNUMBER(F177))),$J$2=""),14&gt;MAX(1,Reprogramaciones!$U$15)),"",IF(Reprogramaciones!X$12&gt;=7,"",IF(OR(CG177-N(CF177)&gt;0.05,N(AD177)&gt;0),ROUNDDOWN(ROUND(CG177,6),0)&amp;"%"&amp;IF(CW177="",""," / "&amp;CW177&amp;"%"),IF(AND(N(CF177)&gt;=99.95,CW177&lt;&gt;"",N(CW177)&lt;100),"Pend. "&amp;CW177&amp;"%",""))))</f>
        <v/>
      </c>
      <c r="BA177" s="40" t="str">
        <f aca="false">IF(OR(OR(NOT(AND(ISNUMBER(E177),ISNUMBER(F177))),$J$2=""),15&gt;MAX(1,Reprogramaciones!$U$15)),"",IF(Reprogramaciones!Y$12&gt;=7,"",IF(OR(CH177-N(CG177)&gt;0.05,N(AE177)&gt;0),ROUNDDOWN(ROUND(CH177,6),0)&amp;"%"&amp;IF(CX177="",""," / "&amp;CX177&amp;"%"),IF(AND(N(CG177)&gt;=99.95,CX177&lt;&gt;"",N(CX177)&lt;100),"Pend. "&amp;CX177&amp;"%",""))))</f>
        <v/>
      </c>
      <c r="BB177" s="40" t="str">
        <f aca="false">IF(OR(OR(NOT(AND(ISNUMBER(E177),ISNUMBER(F177))),$J$2=""),16&gt;MAX(1,Reprogramaciones!$U$15)),"",IF(Reprogramaciones!Z$12&gt;=7,"",IF(OR(CI177-N(CH177)&gt;0.05,N(AF177)&gt;0),ROUNDDOWN(ROUND(CI177,6),0)&amp;"%"&amp;IF(CY177="",""," / "&amp;CY177&amp;"%"),IF(AND(N(CH177)&gt;=99.95,CY177&lt;&gt;"",N(CY177)&lt;100),"Pend. "&amp;CY177&amp;"%",""))))</f>
        <v/>
      </c>
      <c r="BC177" s="31" t="n">
        <f aca="false">IF(AND(ISNUMBER(E177),ISNUMBER(F177)),MAX(1,NETWORKDAYS.INTL(E177,F177,11)),0)</f>
        <v>0</v>
      </c>
      <c r="BD177" s="1" t="str">
        <f aca="false">IF(OR(NOT(AND(ISNUMBER(E177),ISNUMBER(F177))),$J$2=""),"",MIN(100,ROUND(SUM($G177:G177),1)))</f>
        <v/>
      </c>
      <c r="BE177" s="1" t="str">
        <f aca="false">IF(OR(NOT(AND(ISNUMBER(E177),ISNUMBER(F177))),$J$2=""),"",MIN(100,ROUND(SUM($G177:H177),1)))</f>
        <v/>
      </c>
      <c r="BF177" s="1" t="str">
        <f aca="false">IF(OR(NOT(AND(ISNUMBER(E177),ISNUMBER(F177))),$J$2=""),"",MIN(100,ROUND(SUM($G177:I177),1)))</f>
        <v/>
      </c>
      <c r="BG177" s="1" t="str">
        <f aca="false">IF(OR(NOT(AND(ISNUMBER(E177),ISNUMBER(F177))),$J$2=""),"",MIN(100,ROUND(SUM($G177:J177),1)))</f>
        <v/>
      </c>
      <c r="BH177" s="1" t="str">
        <f aca="false">IF(OR(NOT(AND(ISNUMBER(E177),ISNUMBER(F177))),$J$2=""),"",MIN(100,ROUND(SUM($G177:K177),1)))</f>
        <v/>
      </c>
      <c r="BI177" s="1" t="str">
        <f aca="false">IF(OR(NOT(AND(ISNUMBER(E177),ISNUMBER(F177))),$J$2=""),"",MIN(100,ROUND(SUM($G177:L177),1)))</f>
        <v/>
      </c>
      <c r="BJ177" s="1" t="str">
        <f aca="false">IF(OR(NOT(AND(ISNUMBER(E177),ISNUMBER(F177))),$J$2=""),"",MIN(100,ROUND(SUM($G177:M177),1)))</f>
        <v/>
      </c>
      <c r="BK177" s="1" t="str">
        <f aca="false">IF(OR(NOT(AND(ISNUMBER(E177),ISNUMBER(F177))),$J$2=""),"",MIN(100,ROUND(SUM($G177:N177),1)))</f>
        <v/>
      </c>
      <c r="BL177" s="1" t="str">
        <f aca="false">IF(OR(NOT(AND(ISNUMBER(E177),ISNUMBER(F177))),$J$2=""),"",MIN(100,ROUND(SUM($G177:O177),1)))</f>
        <v/>
      </c>
      <c r="BM177" s="1" t="str">
        <f aca="false">IF(OR(NOT(AND(ISNUMBER(E177),ISNUMBER(F177))),$J$2=""),"",MIN(100,ROUND(SUM($G177:P177),1)))</f>
        <v/>
      </c>
      <c r="BN177" s="1" t="str">
        <f aca="false">IF(OR(NOT(AND(ISNUMBER(E177),ISNUMBER(F177))),$J$2=""),"",MIN(100,ROUND(SUM($G177:P177),1)))</f>
        <v/>
      </c>
      <c r="BO177" s="1" t="str">
        <f aca="false">IF(OR(NOT(AND(ISNUMBER(E177),ISNUMBER(F177))),$J$2=""),"",MIN(100,ROUND(SUM($G177:P177),1)))</f>
        <v/>
      </c>
      <c r="BP177" s="1" t="str">
        <f aca="false">IF(OR(NOT(AND(ISNUMBER(E177),ISNUMBER(F177))),$J$2=""),"",MIN(100,ROUND(SUM($G177:P177),1)))</f>
        <v/>
      </c>
      <c r="BQ177" s="1" t="str">
        <f aca="false">IF(OR(NOT(AND(ISNUMBER(E177),ISNUMBER(F177))),$J$2=""),"",MIN(100,ROUND(SUM($G177:P177),1)))</f>
        <v/>
      </c>
      <c r="BR177" s="1" t="str">
        <f aca="false">IF(OR(NOT(AND(ISNUMBER(E177),ISNUMBER(F177))),$J$2=""),"",MIN(100,ROUND(SUM($G177:P177),1)))</f>
        <v/>
      </c>
      <c r="BS177" s="1" t="str">
        <f aca="false">IF(OR(NOT(AND(ISNUMBER(E177),ISNUMBER(F177))),$J$2=""),"",MIN(100,ROUND(SUM($G177:P177),1)))</f>
        <v/>
      </c>
      <c r="BT177" s="1" t="str">
        <f aca="false">IF(OR(NOT(AND(ISNUMBER(E177),ISNUMBER(F177))),$J$2=""),"",IF(Reprogramaciones!K$13&lt;Reprogramaciones!$T$15,0,IF(Reprogramaciones!K$14&gt;10,MIN(100,SUM($G177:$P177)),MIN(100,SUMPRODUCT((COLUMN($G177:$P177)-COLUMN($G177)+1&lt;Reprogramaciones!K$14)*$G177:$P177)+N(INDEX($G177:$P177,1,Reprogramaciones!K$14))*IF(Reprogramaciones!K$13&gt;=(Reprogramaciones!$T$15+7*(Reprogramaciones!K$14-1))+6,1,IF(MAX(0,NETWORKDAYS.INTL(MAX(E177,(Reprogramaciones!$T$15+7*(Reprogramaciones!K$14-1))),MIN(F177,(Reprogramaciones!$T$15+7*(Reprogramaciones!K$14-1))+6),11))=0,0,MAX(0,NETWORKDAYS.INTL(MAX(E177,(Reprogramaciones!$T$15+7*(Reprogramaciones!K$14-1))),MIN(F177,Reprogramaciones!K$13),11))/MAX(0,NETWORKDAYS.INTL(MAX(E177,(Reprogramaciones!$T$15+7*(Reprogramaciones!K$14-1))),MIN(F177,(Reprogramaciones!$T$15+7*(Reprogramaciones!K$14-1))+6),11))))))))</f>
        <v/>
      </c>
      <c r="BU177" s="1" t="str">
        <f aca="false">IF(OR(NOT(AND(ISNUMBER(E177),ISNUMBER(F177))),$J$2=""),"",IF(Reprogramaciones!L$13&lt;Reprogramaciones!$T$15,0,IF(Reprogramaciones!L$14&gt;10,MIN(100,SUM($G177:$P177)),MIN(100,SUMPRODUCT((COLUMN($G177:$P177)-COLUMN($G177)+1&lt;Reprogramaciones!L$14)*$G177:$P177)+N(INDEX($G177:$P177,1,Reprogramaciones!L$14))*IF(Reprogramaciones!L$13&gt;=(Reprogramaciones!$T$15+7*(Reprogramaciones!L$14-1))+6,1,IF(MAX(0,NETWORKDAYS.INTL(MAX(E177,(Reprogramaciones!$T$15+7*(Reprogramaciones!L$14-1))),MIN(F177,(Reprogramaciones!$T$15+7*(Reprogramaciones!L$14-1))+6),11))=0,0,MAX(0,NETWORKDAYS.INTL(MAX(E177,(Reprogramaciones!$T$15+7*(Reprogramaciones!L$14-1))),MIN(F177,Reprogramaciones!L$13),11))/MAX(0,NETWORKDAYS.INTL(MAX(E177,(Reprogramaciones!$T$15+7*(Reprogramaciones!L$14-1))),MIN(F177,(Reprogramaciones!$T$15+7*(Reprogramaciones!L$14-1))+6),11))))))))</f>
        <v/>
      </c>
      <c r="BV177" s="1" t="str">
        <f aca="false">IF(OR(NOT(AND(ISNUMBER(E177),ISNUMBER(F177))),$J$2=""),"",IF(Reprogramaciones!M$13&lt;Reprogramaciones!$T$15,0,IF(Reprogramaciones!M$14&gt;10,MIN(100,SUM($G177:$P177)),MIN(100,SUMPRODUCT((COLUMN($G177:$P177)-COLUMN($G177)+1&lt;Reprogramaciones!M$14)*$G177:$P177)+N(INDEX($G177:$P177,1,Reprogramaciones!M$14))*IF(Reprogramaciones!M$13&gt;=(Reprogramaciones!$T$15+7*(Reprogramaciones!M$14-1))+6,1,IF(MAX(0,NETWORKDAYS.INTL(MAX(E177,(Reprogramaciones!$T$15+7*(Reprogramaciones!M$14-1))),MIN(F177,(Reprogramaciones!$T$15+7*(Reprogramaciones!M$14-1))+6),11))=0,0,MAX(0,NETWORKDAYS.INTL(MAX(E177,(Reprogramaciones!$T$15+7*(Reprogramaciones!M$14-1))),MIN(F177,Reprogramaciones!M$13),11))/MAX(0,NETWORKDAYS.INTL(MAX(E177,(Reprogramaciones!$T$15+7*(Reprogramaciones!M$14-1))),MIN(F177,(Reprogramaciones!$T$15+7*(Reprogramaciones!M$14-1))+6),11))))))))</f>
        <v/>
      </c>
      <c r="BW177" s="1" t="str">
        <f aca="false">IF(OR(NOT(AND(ISNUMBER(E177),ISNUMBER(F177))),$J$2=""),"",IF(Reprogramaciones!N$13&lt;Reprogramaciones!$T$15,0,IF(Reprogramaciones!N$14&gt;10,MIN(100,SUM($G177:$P177)),MIN(100,SUMPRODUCT((COLUMN($G177:$P177)-COLUMN($G177)+1&lt;Reprogramaciones!N$14)*$G177:$P177)+N(INDEX($G177:$P177,1,Reprogramaciones!N$14))*IF(Reprogramaciones!N$13&gt;=(Reprogramaciones!$T$15+7*(Reprogramaciones!N$14-1))+6,1,IF(MAX(0,NETWORKDAYS.INTL(MAX(E177,(Reprogramaciones!$T$15+7*(Reprogramaciones!N$14-1))),MIN(F177,(Reprogramaciones!$T$15+7*(Reprogramaciones!N$14-1))+6),11))=0,0,MAX(0,NETWORKDAYS.INTL(MAX(E177,(Reprogramaciones!$T$15+7*(Reprogramaciones!N$14-1))),MIN(F177,Reprogramaciones!N$13),11))/MAX(0,NETWORKDAYS.INTL(MAX(E177,(Reprogramaciones!$T$15+7*(Reprogramaciones!N$14-1))),MIN(F177,(Reprogramaciones!$T$15+7*(Reprogramaciones!N$14-1))+6),11))))))))</f>
        <v/>
      </c>
      <c r="BX177" s="1" t="str">
        <f aca="false">IF(OR(NOT(AND(ISNUMBER(E177),ISNUMBER(F177))),$J$2=""),"",IF(Reprogramaciones!O$13&lt;Reprogramaciones!$T$15,0,IF(Reprogramaciones!O$14&gt;10,MIN(100,SUM($G177:$P177)),MIN(100,SUMPRODUCT((COLUMN($G177:$P177)-COLUMN($G177)+1&lt;Reprogramaciones!O$14)*$G177:$P177)+N(INDEX($G177:$P177,1,Reprogramaciones!O$14))*IF(Reprogramaciones!O$13&gt;=(Reprogramaciones!$T$15+7*(Reprogramaciones!O$14-1))+6,1,IF(MAX(0,NETWORKDAYS.INTL(MAX(E177,(Reprogramaciones!$T$15+7*(Reprogramaciones!O$14-1))),MIN(F177,(Reprogramaciones!$T$15+7*(Reprogramaciones!O$14-1))+6),11))=0,0,MAX(0,NETWORKDAYS.INTL(MAX(E177,(Reprogramaciones!$T$15+7*(Reprogramaciones!O$14-1))),MIN(F177,Reprogramaciones!O$13),11))/MAX(0,NETWORKDAYS.INTL(MAX(E177,(Reprogramaciones!$T$15+7*(Reprogramaciones!O$14-1))),MIN(F177,(Reprogramaciones!$T$15+7*(Reprogramaciones!O$14-1))+6),11))))))))</f>
        <v/>
      </c>
      <c r="BY177" s="1" t="str">
        <f aca="false">IF(OR(NOT(AND(ISNUMBER(E177),ISNUMBER(F177))),$J$2=""),"",IF(Reprogramaciones!P$13&lt;Reprogramaciones!$T$15,0,IF(Reprogramaciones!P$14&gt;10,MIN(100,SUM($G177:$P177)),MIN(100,SUMPRODUCT((COLUMN($G177:$P177)-COLUMN($G177)+1&lt;Reprogramaciones!P$14)*$G177:$P177)+N(INDEX($G177:$P177,1,Reprogramaciones!P$14))*IF(Reprogramaciones!P$13&gt;=(Reprogramaciones!$T$15+7*(Reprogramaciones!P$14-1))+6,1,IF(MAX(0,NETWORKDAYS.INTL(MAX(E177,(Reprogramaciones!$T$15+7*(Reprogramaciones!P$14-1))),MIN(F177,(Reprogramaciones!$T$15+7*(Reprogramaciones!P$14-1))+6),11))=0,0,MAX(0,NETWORKDAYS.INTL(MAX(E177,(Reprogramaciones!$T$15+7*(Reprogramaciones!P$14-1))),MIN(F177,Reprogramaciones!P$13),11))/MAX(0,NETWORKDAYS.INTL(MAX(E177,(Reprogramaciones!$T$15+7*(Reprogramaciones!P$14-1))),MIN(F177,(Reprogramaciones!$T$15+7*(Reprogramaciones!P$14-1))+6),11))))))))</f>
        <v/>
      </c>
      <c r="BZ177" s="1" t="str">
        <f aca="false">IF(OR(NOT(AND(ISNUMBER(E177),ISNUMBER(F177))),$J$2=""),"",IF(Reprogramaciones!Q$13&lt;Reprogramaciones!$T$15,0,IF(Reprogramaciones!Q$14&gt;10,MIN(100,SUM($G177:$P177)),MIN(100,SUMPRODUCT((COLUMN($G177:$P177)-COLUMN($G177)+1&lt;Reprogramaciones!Q$14)*$G177:$P177)+N(INDEX($G177:$P177,1,Reprogramaciones!Q$14))*IF(Reprogramaciones!Q$13&gt;=(Reprogramaciones!$T$15+7*(Reprogramaciones!Q$14-1))+6,1,IF(MAX(0,NETWORKDAYS.INTL(MAX(E177,(Reprogramaciones!$T$15+7*(Reprogramaciones!Q$14-1))),MIN(F177,(Reprogramaciones!$T$15+7*(Reprogramaciones!Q$14-1))+6),11))=0,0,MAX(0,NETWORKDAYS.INTL(MAX(E177,(Reprogramaciones!$T$15+7*(Reprogramaciones!Q$14-1))),MIN(F177,Reprogramaciones!Q$13),11))/MAX(0,NETWORKDAYS.INTL(MAX(E177,(Reprogramaciones!$T$15+7*(Reprogramaciones!Q$14-1))),MIN(F177,(Reprogramaciones!$T$15+7*(Reprogramaciones!Q$14-1))+6),11))))))))</f>
        <v/>
      </c>
      <c r="CA177" s="1" t="str">
        <f aca="false">IF(OR(NOT(AND(ISNUMBER(E177),ISNUMBER(F177))),$J$2=""),"",IF(Reprogramaciones!R$13&lt;Reprogramaciones!$T$15,0,IF(Reprogramaciones!R$14&gt;10,MIN(100,SUM($G177:$P177)),MIN(100,SUMPRODUCT((COLUMN($G177:$P177)-COLUMN($G177)+1&lt;Reprogramaciones!R$14)*$G177:$P177)+N(INDEX($G177:$P177,1,Reprogramaciones!R$14))*IF(Reprogramaciones!R$13&gt;=(Reprogramaciones!$T$15+7*(Reprogramaciones!R$14-1))+6,1,IF(MAX(0,NETWORKDAYS.INTL(MAX(E177,(Reprogramaciones!$T$15+7*(Reprogramaciones!R$14-1))),MIN(F177,(Reprogramaciones!$T$15+7*(Reprogramaciones!R$14-1))+6),11))=0,0,MAX(0,NETWORKDAYS.INTL(MAX(E177,(Reprogramaciones!$T$15+7*(Reprogramaciones!R$14-1))),MIN(F177,Reprogramaciones!R$13),11))/MAX(0,NETWORKDAYS.INTL(MAX(E177,(Reprogramaciones!$T$15+7*(Reprogramaciones!R$14-1))),MIN(F177,(Reprogramaciones!$T$15+7*(Reprogramaciones!R$14-1))+6),11))))))))</f>
        <v/>
      </c>
      <c r="CB177" s="1" t="str">
        <f aca="false">IF(OR(NOT(AND(ISNUMBER(E177),ISNUMBER(F177))),$J$2=""),"",IF(Reprogramaciones!S$13&lt;Reprogramaciones!$T$15,0,IF(Reprogramaciones!S$14&gt;10,MIN(100,SUM($G177:$P177)),MIN(100,SUMPRODUCT((COLUMN($G177:$P177)-COLUMN($G177)+1&lt;Reprogramaciones!S$14)*$G177:$P177)+N(INDEX($G177:$P177,1,Reprogramaciones!S$14))*IF(Reprogramaciones!S$13&gt;=(Reprogramaciones!$T$15+7*(Reprogramaciones!S$14-1))+6,1,IF(MAX(0,NETWORKDAYS.INTL(MAX(E177,(Reprogramaciones!$T$15+7*(Reprogramaciones!S$14-1))),MIN(F177,(Reprogramaciones!$T$15+7*(Reprogramaciones!S$14-1))+6),11))=0,0,MAX(0,NETWORKDAYS.INTL(MAX(E177,(Reprogramaciones!$T$15+7*(Reprogramaciones!S$14-1))),MIN(F177,Reprogramaciones!S$13),11))/MAX(0,NETWORKDAYS.INTL(MAX(E177,(Reprogramaciones!$T$15+7*(Reprogramaciones!S$14-1))),MIN(F177,(Reprogramaciones!$T$15+7*(Reprogramaciones!S$14-1))+6),11))))))))</f>
        <v/>
      </c>
      <c r="CC177" s="1" t="str">
        <f aca="false">IF(OR(NOT(AND(ISNUMBER(E177),ISNUMBER(F177))),$J$2=""),"",IF(Reprogramaciones!T$13&lt;Reprogramaciones!$T$15,0,IF(Reprogramaciones!T$14&gt;10,MIN(100,SUM($G177:$P177)),MIN(100,SUMPRODUCT((COLUMN($G177:$P177)-COLUMN($G177)+1&lt;Reprogramaciones!T$14)*$G177:$P177)+N(INDEX($G177:$P177,1,Reprogramaciones!T$14))*IF(Reprogramaciones!T$13&gt;=(Reprogramaciones!$T$15+7*(Reprogramaciones!T$14-1))+6,1,IF(MAX(0,NETWORKDAYS.INTL(MAX(E177,(Reprogramaciones!$T$15+7*(Reprogramaciones!T$14-1))),MIN(F177,(Reprogramaciones!$T$15+7*(Reprogramaciones!T$14-1))+6),11))=0,0,MAX(0,NETWORKDAYS.INTL(MAX(E177,(Reprogramaciones!$T$15+7*(Reprogramaciones!T$14-1))),MIN(F177,Reprogramaciones!T$13),11))/MAX(0,NETWORKDAYS.INTL(MAX(E177,(Reprogramaciones!$T$15+7*(Reprogramaciones!T$14-1))),MIN(F177,(Reprogramaciones!$T$15+7*(Reprogramaciones!T$14-1))+6),11))))))))</f>
        <v/>
      </c>
      <c r="CD177" s="1" t="str">
        <f aca="false">IF(OR(NOT(AND(ISNUMBER(E177),ISNUMBER(F177))),$J$2=""),"",IF(Reprogramaciones!U$13&lt;Reprogramaciones!$T$15,0,IF(Reprogramaciones!U$14&gt;10,MIN(100,SUM($G177:$P177)),MIN(100,SUMPRODUCT((COLUMN($G177:$P177)-COLUMN($G177)+1&lt;Reprogramaciones!U$14)*$G177:$P177)+N(INDEX($G177:$P177,1,Reprogramaciones!U$14))*IF(Reprogramaciones!U$13&gt;=(Reprogramaciones!$T$15+7*(Reprogramaciones!U$14-1))+6,1,IF(MAX(0,NETWORKDAYS.INTL(MAX(E177,(Reprogramaciones!$T$15+7*(Reprogramaciones!U$14-1))),MIN(F177,(Reprogramaciones!$T$15+7*(Reprogramaciones!U$14-1))+6),11))=0,0,MAX(0,NETWORKDAYS.INTL(MAX(E177,(Reprogramaciones!$T$15+7*(Reprogramaciones!U$14-1))),MIN(F177,Reprogramaciones!U$13),11))/MAX(0,NETWORKDAYS.INTL(MAX(E177,(Reprogramaciones!$T$15+7*(Reprogramaciones!U$14-1))),MIN(F177,(Reprogramaciones!$T$15+7*(Reprogramaciones!U$14-1))+6),11))))))))</f>
        <v/>
      </c>
      <c r="CE177" s="1" t="str">
        <f aca="false">IF(OR(NOT(AND(ISNUMBER(E177),ISNUMBER(F177))),$J$2=""),"",IF(Reprogramaciones!V$13&lt;Reprogramaciones!$T$15,0,IF(Reprogramaciones!V$14&gt;10,MIN(100,SUM($G177:$P177)),MIN(100,SUMPRODUCT((COLUMN($G177:$P177)-COLUMN($G177)+1&lt;Reprogramaciones!V$14)*$G177:$P177)+N(INDEX($G177:$P177,1,Reprogramaciones!V$14))*IF(Reprogramaciones!V$13&gt;=(Reprogramaciones!$T$15+7*(Reprogramaciones!V$14-1))+6,1,IF(MAX(0,NETWORKDAYS.INTL(MAX(E177,(Reprogramaciones!$T$15+7*(Reprogramaciones!V$14-1))),MIN(F177,(Reprogramaciones!$T$15+7*(Reprogramaciones!V$14-1))+6),11))=0,0,MAX(0,NETWORKDAYS.INTL(MAX(E177,(Reprogramaciones!$T$15+7*(Reprogramaciones!V$14-1))),MIN(F177,Reprogramaciones!V$13),11))/MAX(0,NETWORKDAYS.INTL(MAX(E177,(Reprogramaciones!$T$15+7*(Reprogramaciones!V$14-1))),MIN(F177,(Reprogramaciones!$T$15+7*(Reprogramaciones!V$14-1))+6),11))))))))</f>
        <v/>
      </c>
      <c r="CF177" s="1" t="str">
        <f aca="false">IF(OR(NOT(AND(ISNUMBER(E177),ISNUMBER(F177))),$J$2=""),"",IF(Reprogramaciones!W$13&lt;Reprogramaciones!$T$15,0,IF(Reprogramaciones!W$14&gt;10,MIN(100,SUM($G177:$P177)),MIN(100,SUMPRODUCT((COLUMN($G177:$P177)-COLUMN($G177)+1&lt;Reprogramaciones!W$14)*$G177:$P177)+N(INDEX($G177:$P177,1,Reprogramaciones!W$14))*IF(Reprogramaciones!W$13&gt;=(Reprogramaciones!$T$15+7*(Reprogramaciones!W$14-1))+6,1,IF(MAX(0,NETWORKDAYS.INTL(MAX(E177,(Reprogramaciones!$T$15+7*(Reprogramaciones!W$14-1))),MIN(F177,(Reprogramaciones!$T$15+7*(Reprogramaciones!W$14-1))+6),11))=0,0,MAX(0,NETWORKDAYS.INTL(MAX(E177,(Reprogramaciones!$T$15+7*(Reprogramaciones!W$14-1))),MIN(F177,Reprogramaciones!W$13),11))/MAX(0,NETWORKDAYS.INTL(MAX(E177,(Reprogramaciones!$T$15+7*(Reprogramaciones!W$14-1))),MIN(F177,(Reprogramaciones!$T$15+7*(Reprogramaciones!W$14-1))+6),11))))))))</f>
        <v/>
      </c>
      <c r="CG177" s="1" t="str">
        <f aca="false">IF(OR(NOT(AND(ISNUMBER(E177),ISNUMBER(F177))),$J$2=""),"",IF(Reprogramaciones!X$13&lt;Reprogramaciones!$T$15,0,IF(Reprogramaciones!X$14&gt;10,MIN(100,SUM($G177:$P177)),MIN(100,SUMPRODUCT((COLUMN($G177:$P177)-COLUMN($G177)+1&lt;Reprogramaciones!X$14)*$G177:$P177)+N(INDEX($G177:$P177,1,Reprogramaciones!X$14))*IF(Reprogramaciones!X$13&gt;=(Reprogramaciones!$T$15+7*(Reprogramaciones!X$14-1))+6,1,IF(MAX(0,NETWORKDAYS.INTL(MAX(E177,(Reprogramaciones!$T$15+7*(Reprogramaciones!X$14-1))),MIN(F177,(Reprogramaciones!$T$15+7*(Reprogramaciones!X$14-1))+6),11))=0,0,MAX(0,NETWORKDAYS.INTL(MAX(E177,(Reprogramaciones!$T$15+7*(Reprogramaciones!X$14-1))),MIN(F177,Reprogramaciones!X$13),11))/MAX(0,NETWORKDAYS.INTL(MAX(E177,(Reprogramaciones!$T$15+7*(Reprogramaciones!X$14-1))),MIN(F177,(Reprogramaciones!$T$15+7*(Reprogramaciones!X$14-1))+6),11))))))))</f>
        <v/>
      </c>
      <c r="CH177" s="1" t="str">
        <f aca="false">IF(OR(NOT(AND(ISNUMBER(E177),ISNUMBER(F177))),$J$2=""),"",IF(Reprogramaciones!Y$13&lt;Reprogramaciones!$T$15,0,IF(Reprogramaciones!Y$14&gt;10,MIN(100,SUM($G177:$P177)),MIN(100,SUMPRODUCT((COLUMN($G177:$P177)-COLUMN($G177)+1&lt;Reprogramaciones!Y$14)*$G177:$P177)+N(INDEX($G177:$P177,1,Reprogramaciones!Y$14))*IF(Reprogramaciones!Y$13&gt;=(Reprogramaciones!$T$15+7*(Reprogramaciones!Y$14-1))+6,1,IF(MAX(0,NETWORKDAYS.INTL(MAX(E177,(Reprogramaciones!$T$15+7*(Reprogramaciones!Y$14-1))),MIN(F177,(Reprogramaciones!$T$15+7*(Reprogramaciones!Y$14-1))+6),11))=0,0,MAX(0,NETWORKDAYS.INTL(MAX(E177,(Reprogramaciones!$T$15+7*(Reprogramaciones!Y$14-1))),MIN(F177,Reprogramaciones!Y$13),11))/MAX(0,NETWORKDAYS.INTL(MAX(E177,(Reprogramaciones!$T$15+7*(Reprogramaciones!Y$14-1))),MIN(F177,(Reprogramaciones!$T$15+7*(Reprogramaciones!Y$14-1))+6),11))))))))</f>
        <v/>
      </c>
      <c r="CI177" s="1" t="str">
        <f aca="false">IF(OR(NOT(AND(ISNUMBER(E177),ISNUMBER(F177))),$J$2=""),"",IF(Reprogramaciones!Z$13&lt;Reprogramaciones!$T$15,0,IF(Reprogramaciones!Z$14&gt;10,MIN(100,SUM($G177:$P177)),MIN(100,SUMPRODUCT((COLUMN($G177:$P177)-COLUMN($G177)+1&lt;Reprogramaciones!Z$14)*$G177:$P177)+N(INDEX($G177:$P177,1,Reprogramaciones!Z$14))*IF(Reprogramaciones!Z$13&gt;=(Reprogramaciones!$T$15+7*(Reprogramaciones!Z$14-1))+6,1,IF(MAX(0,NETWORKDAYS.INTL(MAX(E177,(Reprogramaciones!$T$15+7*(Reprogramaciones!Z$14-1))),MIN(F177,(Reprogramaciones!$T$15+7*(Reprogramaciones!Z$14-1))+6),11))=0,0,MAX(0,NETWORKDAYS.INTL(MAX(E177,(Reprogramaciones!$T$15+7*(Reprogramaciones!Z$14-1))),MIN(F177,Reprogramaciones!Z$13),11))/MAX(0,NETWORKDAYS.INTL(MAX(E177,(Reprogramaciones!$T$15+7*(Reprogramaciones!Z$14-1))),MIN(F177,(Reprogramaciones!$T$15+7*(Reprogramaciones!Z$14-1))+6),11))))))))</f>
        <v/>
      </c>
      <c r="CJ177" s="1" t="str">
        <f aca="false">IF(OR(OR(NOT(AND(ISNUMBER(E177),ISNUMBER(F177))),$J$2=""),1&gt;Reprogramaciones!$K$16),"",IF(ROUND(SUM($Q177:Q177),1)&gt;=99.5,100,MIN(100,ROUND(SUM($Q177:Q177),1))))</f>
        <v/>
      </c>
      <c r="CK177" s="1" t="str">
        <f aca="false">IF(OR(OR(NOT(AND(ISNUMBER(E177),ISNUMBER(F177))),$J$2=""),2&gt;Reprogramaciones!$K$16),"",IF(ROUND(SUM($Q177:R177),1)&gt;=99.5,100,MIN(100,ROUND(SUM($Q177:R177),1))))</f>
        <v/>
      </c>
      <c r="CL177" s="1" t="str">
        <f aca="false">IF(OR(OR(NOT(AND(ISNUMBER(E177),ISNUMBER(F177))),$J$2=""),3&gt;Reprogramaciones!$K$16),"",IF(ROUND(SUM($Q177:S177),1)&gt;=99.5,100,MIN(100,ROUND(SUM($Q177:S177),1))))</f>
        <v/>
      </c>
      <c r="CM177" s="1" t="str">
        <f aca="false">IF(OR(OR(NOT(AND(ISNUMBER(E177),ISNUMBER(F177))),$J$2=""),4&gt;Reprogramaciones!$K$16),"",IF(ROUND(SUM($Q177:T177),1)&gt;=99.5,100,MIN(100,ROUND(SUM($Q177:T177),1))))</f>
        <v/>
      </c>
      <c r="CN177" s="1" t="str">
        <f aca="false">IF(OR(OR(NOT(AND(ISNUMBER(E177),ISNUMBER(F177))),$J$2=""),5&gt;Reprogramaciones!$K$16),"",IF(ROUND(SUM($Q177:U177),1)&gt;=99.5,100,MIN(100,ROUND(SUM($Q177:U177),1))))</f>
        <v/>
      </c>
      <c r="CO177" s="1" t="str">
        <f aca="false">IF(OR(OR(NOT(AND(ISNUMBER(E177),ISNUMBER(F177))),$J$2=""),6&gt;Reprogramaciones!$K$16),"",IF(ROUND(SUM($Q177:V177),1)&gt;=99.5,100,MIN(100,ROUND(SUM($Q177:V177),1))))</f>
        <v/>
      </c>
      <c r="CP177" s="1" t="str">
        <f aca="false">IF(OR(OR(NOT(AND(ISNUMBER(E177),ISNUMBER(F177))),$J$2=""),7&gt;Reprogramaciones!$K$16),"",IF(ROUND(SUM($Q177:W177),1)&gt;=99.5,100,MIN(100,ROUND(SUM($Q177:W177),1))))</f>
        <v/>
      </c>
      <c r="CQ177" s="1" t="str">
        <f aca="false">IF(OR(OR(NOT(AND(ISNUMBER(E177),ISNUMBER(F177))),$J$2=""),8&gt;Reprogramaciones!$K$16),"",IF(ROUND(SUM($Q177:X177),1)&gt;=99.5,100,MIN(100,ROUND(SUM($Q177:X177),1))))</f>
        <v/>
      </c>
      <c r="CR177" s="1" t="str">
        <f aca="false">IF(OR(OR(NOT(AND(ISNUMBER(E177),ISNUMBER(F177))),$J$2=""),9&gt;Reprogramaciones!$K$16),"",IF(ROUND(SUM($Q177:Y177),1)&gt;=99.5,100,MIN(100,ROUND(SUM($Q177:Y177),1))))</f>
        <v/>
      </c>
      <c r="CS177" s="1" t="str">
        <f aca="false">IF(OR(OR(NOT(AND(ISNUMBER(E177),ISNUMBER(F177))),$J$2=""),10&gt;Reprogramaciones!$K$16),"",IF(ROUND(SUM($Q177:Z177),1)&gt;=99.5,100,MIN(100,ROUND(SUM($Q177:Z177),1))))</f>
        <v/>
      </c>
      <c r="CT177" s="1" t="str">
        <f aca="false">IF(OR(OR(NOT(AND(ISNUMBER(E177),ISNUMBER(F177))),$J$2=""),11&gt;Reprogramaciones!$K$16),"",IF(ROUND(SUM($Q177:AA177),1)&gt;=99.5,100,MIN(100,ROUND(SUM($Q177:AA177),1))))</f>
        <v/>
      </c>
      <c r="CU177" s="1" t="str">
        <f aca="false">IF(OR(OR(NOT(AND(ISNUMBER(E177),ISNUMBER(F177))),$J$2=""),12&gt;Reprogramaciones!$K$16),"",IF(ROUND(SUM($Q177:AB177),1)&gt;=99.5,100,MIN(100,ROUND(SUM($Q177:AB177),1))))</f>
        <v/>
      </c>
      <c r="CV177" s="1" t="str">
        <f aca="false">IF(OR(OR(NOT(AND(ISNUMBER(E177),ISNUMBER(F177))),$J$2=""),13&gt;Reprogramaciones!$K$16),"",IF(ROUND(SUM($Q177:AC177),1)&gt;=99.5,100,MIN(100,ROUND(SUM($Q177:AC177),1))))</f>
        <v/>
      </c>
      <c r="CW177" s="1" t="str">
        <f aca="false">IF(OR(OR(NOT(AND(ISNUMBER(E177),ISNUMBER(F177))),$J$2=""),14&gt;Reprogramaciones!$K$16),"",IF(ROUND(SUM($Q177:AD177),1)&gt;=99.5,100,MIN(100,ROUND(SUM($Q177:AD177),1))))</f>
        <v/>
      </c>
      <c r="CX177" s="1" t="str">
        <f aca="false">IF(OR(OR(NOT(AND(ISNUMBER(E177),ISNUMBER(F177))),$J$2=""),15&gt;Reprogramaciones!$K$16),"",IF(ROUND(SUM($Q177:AE177),1)&gt;=99.5,100,MIN(100,ROUND(SUM($Q177:AE177),1))))</f>
        <v/>
      </c>
      <c r="CY177" s="1" t="str">
        <f aca="false">IF(OR(OR(NOT(AND(ISNUMBER(E177),ISNUMBER(F177))),$J$2=""),16&gt;Reprogramaciones!$K$16),"",IF(ROUND(SUM($Q177:AF177),1)&gt;=99.5,100,MIN(100,ROUND(SUM($Q177:AF177),1))))</f>
        <v/>
      </c>
      <c r="CZ177" s="1" t="str">
        <f aca="false">IF(D177&lt;&gt;"",D177,IF(B177&lt;&gt;"","Contractual",CZ176))</f>
        <v>Contractual</v>
      </c>
      <c r="DA177" s="1" t="str">
        <f aca="false">IF(OR(NOT(AND(ISNUMBER(E177),ISNUMBER(F177))),$J$2=""),"",IF(Reprogramaciones!$Q$15&lt;Reprogramaciones!$T$15,0,IF(Reprogramaciones!$S$15&gt;10,MIN(100,SUM($G177:$P177)),MIN(100,SUMPRODUCT((COLUMN($G177:$P177)-COLUMN($G177)+1&lt;Reprogramaciones!$S$15)*$G177:$P177)+N(INDEX($G177:$P177,1,Reprogramaciones!$S$15))*IF(Reprogramaciones!$Q$15&gt;=(Reprogramaciones!$T$15+7*(Reprogramaciones!$S$15-1))+6,1,IF(MAX(0,NETWORKDAYS.INTL(MAX(E177,(Reprogramaciones!$T$15+7*(Reprogramaciones!$S$15-1))),MIN(F177,(Reprogramaciones!$T$15+7*(Reprogramaciones!$S$15-1))+6),11))=0,0,MAX(0,NETWORKDAYS.INTL(MAX(E177,(Reprogramaciones!$T$15+7*(Reprogramaciones!$S$15-1))),MIN(F177,Reprogramaciones!$Q$15),11))/MAX(0,NETWORKDAYS.INTL(MAX(E177,(Reprogramaciones!$T$15+7*(Reprogramaciones!$S$15-1))),MIN(F177,(Reprogramaciones!$T$15+7*(Reprogramaciones!$S$15-1))+6),11))))))))</f>
        <v/>
      </c>
    </row>
    <row r="178" customFormat="false" ht="15" hidden="false" customHeight="false" outlineLevel="0" collapsed="false">
      <c r="A178" s="32"/>
      <c r="B178" s="33"/>
      <c r="C178" s="33"/>
      <c r="D178" s="34"/>
      <c r="E178" s="35"/>
      <c r="F178" s="35"/>
      <c r="G178" s="36" t="str">
        <f aca="false">IF(OR(NOT(AND(ISNUMBER(E178),ISNUMBER(F178))),$J$2=""),"",IF(Reprogramaciones!K$9&lt;E178,0,IF(NETWORKDAYS.INTL(E178,F178,11)=0,IF(Reprogramaciones!K$9&gt;=F178,100,0),ROUND(NETWORKDAYS.INTL(E178,MIN(F178,Reprogramaciones!K$9),11)/NETWORKDAYS.INTL(E178,F178,11)*100,1)))-0)</f>
        <v/>
      </c>
      <c r="H178" s="36" t="str">
        <f aca="false">IF(OR(NOT(AND(ISNUMBER(E178),ISNUMBER(F178))),$J$2=""),"",IF(Reprogramaciones!L$9&lt;E178,0,IF(NETWORKDAYS.INTL(E178,F178,11)=0,IF(Reprogramaciones!L$9&gt;=F178,100,0),ROUND(NETWORKDAYS.INTL(E178,MIN(F178,Reprogramaciones!L$9),11)/NETWORKDAYS.INTL(E178,F178,11)*100,1)))-IF(Reprogramaciones!K$9&lt;E178,0,IF(NETWORKDAYS.INTL(E178,F178,11)=0,IF(Reprogramaciones!K$9&gt;=F178,100,0),ROUND(NETWORKDAYS.INTL(E178,MIN(F178,Reprogramaciones!K$9),11)/NETWORKDAYS.INTL(E178,F178,11)*100,1))))</f>
        <v/>
      </c>
      <c r="I178" s="36" t="str">
        <f aca="false">IF(OR(NOT(AND(ISNUMBER(E178),ISNUMBER(F178))),$J$2=""),"",IF(Reprogramaciones!M$9&lt;E178,0,IF(NETWORKDAYS.INTL(E178,F178,11)=0,IF(Reprogramaciones!M$9&gt;=F178,100,0),ROUND(NETWORKDAYS.INTL(E178,MIN(F178,Reprogramaciones!M$9),11)/NETWORKDAYS.INTL(E178,F178,11)*100,1)))-IF(Reprogramaciones!L$9&lt;E178,0,IF(NETWORKDAYS.INTL(E178,F178,11)=0,IF(Reprogramaciones!L$9&gt;=F178,100,0),ROUND(NETWORKDAYS.INTL(E178,MIN(F178,Reprogramaciones!L$9),11)/NETWORKDAYS.INTL(E178,F178,11)*100,1))))</f>
        <v/>
      </c>
      <c r="J178" s="36" t="str">
        <f aca="false">IF(OR(NOT(AND(ISNUMBER(E178),ISNUMBER(F178))),$J$2=""),"",IF(Reprogramaciones!N$9&lt;E178,0,IF(NETWORKDAYS.INTL(E178,F178,11)=0,IF(Reprogramaciones!N$9&gt;=F178,100,0),ROUND(NETWORKDAYS.INTL(E178,MIN(F178,Reprogramaciones!N$9),11)/NETWORKDAYS.INTL(E178,F178,11)*100,1)))-IF(Reprogramaciones!M$9&lt;E178,0,IF(NETWORKDAYS.INTL(E178,F178,11)=0,IF(Reprogramaciones!M$9&gt;=F178,100,0),ROUND(NETWORKDAYS.INTL(E178,MIN(F178,Reprogramaciones!M$9),11)/NETWORKDAYS.INTL(E178,F178,11)*100,1))))</f>
        <v/>
      </c>
      <c r="K178" s="36" t="str">
        <f aca="false">IF(OR(NOT(AND(ISNUMBER(E178),ISNUMBER(F178))),$J$2=""),"",IF(Reprogramaciones!O$9&lt;E178,0,IF(NETWORKDAYS.INTL(E178,F178,11)=0,IF(Reprogramaciones!O$9&gt;=F178,100,0),ROUND(NETWORKDAYS.INTL(E178,MIN(F178,Reprogramaciones!O$9),11)/NETWORKDAYS.INTL(E178,F178,11)*100,1)))-IF(Reprogramaciones!N$9&lt;E178,0,IF(NETWORKDAYS.INTL(E178,F178,11)=0,IF(Reprogramaciones!N$9&gt;=F178,100,0),ROUND(NETWORKDAYS.INTL(E178,MIN(F178,Reprogramaciones!N$9),11)/NETWORKDAYS.INTL(E178,F178,11)*100,1))))</f>
        <v/>
      </c>
      <c r="L178" s="36" t="str">
        <f aca="false">IF(OR(NOT(AND(ISNUMBER(E178),ISNUMBER(F178))),$J$2=""),"",IF(Reprogramaciones!P$9&lt;E178,0,IF(NETWORKDAYS.INTL(E178,F178,11)=0,IF(Reprogramaciones!P$9&gt;=F178,100,0),ROUND(NETWORKDAYS.INTL(E178,MIN(F178,Reprogramaciones!P$9),11)/NETWORKDAYS.INTL(E178,F178,11)*100,1)))-IF(Reprogramaciones!O$9&lt;E178,0,IF(NETWORKDAYS.INTL(E178,F178,11)=0,IF(Reprogramaciones!O$9&gt;=F178,100,0),ROUND(NETWORKDAYS.INTL(E178,MIN(F178,Reprogramaciones!O$9),11)/NETWORKDAYS.INTL(E178,F178,11)*100,1))))</f>
        <v/>
      </c>
      <c r="M178" s="36" t="str">
        <f aca="false">IF(OR(NOT(AND(ISNUMBER(E178),ISNUMBER(F178))),$J$2=""),"",IF(Reprogramaciones!Q$9&lt;E178,0,IF(NETWORKDAYS.INTL(E178,F178,11)=0,IF(Reprogramaciones!Q$9&gt;=F178,100,0),ROUND(NETWORKDAYS.INTL(E178,MIN(F178,Reprogramaciones!Q$9),11)/NETWORKDAYS.INTL(E178,F178,11)*100,1)))-IF(Reprogramaciones!P$9&lt;E178,0,IF(NETWORKDAYS.INTL(E178,F178,11)=0,IF(Reprogramaciones!P$9&gt;=F178,100,0),ROUND(NETWORKDAYS.INTL(E178,MIN(F178,Reprogramaciones!P$9),11)/NETWORKDAYS.INTL(E178,F178,11)*100,1))))</f>
        <v/>
      </c>
      <c r="N178" s="36" t="str">
        <f aca="false">IF(OR(NOT(AND(ISNUMBER(E178),ISNUMBER(F178))),$J$2=""),"",IF(Reprogramaciones!R$9&lt;E178,0,IF(NETWORKDAYS.INTL(E178,F178,11)=0,IF(Reprogramaciones!R$9&gt;=F178,100,0),ROUND(NETWORKDAYS.INTL(E178,MIN(F178,Reprogramaciones!R$9),11)/NETWORKDAYS.INTL(E178,F178,11)*100,1)))-IF(Reprogramaciones!Q$9&lt;E178,0,IF(NETWORKDAYS.INTL(E178,F178,11)=0,IF(Reprogramaciones!Q$9&gt;=F178,100,0),ROUND(NETWORKDAYS.INTL(E178,MIN(F178,Reprogramaciones!Q$9),11)/NETWORKDAYS.INTL(E178,F178,11)*100,1))))</f>
        <v/>
      </c>
      <c r="O178" s="36" t="str">
        <f aca="false">IF(OR(NOT(AND(ISNUMBER(E178),ISNUMBER(F178))),$J$2=""),"",IF(Reprogramaciones!S$9&lt;E178,0,IF(NETWORKDAYS.INTL(E178,F178,11)=0,IF(Reprogramaciones!S$9&gt;=F178,100,0),ROUND(NETWORKDAYS.INTL(E178,MIN(F178,Reprogramaciones!S$9),11)/NETWORKDAYS.INTL(E178,F178,11)*100,1)))-IF(Reprogramaciones!R$9&lt;E178,0,IF(NETWORKDAYS.INTL(E178,F178,11)=0,IF(Reprogramaciones!R$9&gt;=F178,100,0),ROUND(NETWORKDAYS.INTL(E178,MIN(F178,Reprogramaciones!R$9),11)/NETWORKDAYS.INTL(E178,F178,11)*100,1))))</f>
        <v/>
      </c>
      <c r="P178" s="36" t="str">
        <f aca="false">IF(OR(NOT(AND(ISNUMBER(E178),ISNUMBER(F178))),$J$2=""),"",IF(Reprogramaciones!T$9&lt;E178,0,IF(NETWORKDAYS.INTL(E178,F178,11)=0,IF(Reprogramaciones!T$9&gt;=F178,100,0),ROUND(NETWORKDAYS.INTL(E178,MIN(F178,Reprogramaciones!T$9),11)/NETWORKDAYS.INTL(E178,F178,11)*100,1)))-IF(Reprogramaciones!S$9&lt;E178,0,IF(NETWORKDAYS.INTL(E178,F178,11)=0,IF(Reprogramaciones!S$9&gt;=F178,100,0),ROUND(NETWORKDAYS.INTL(E178,MIN(F178,Reprogramaciones!S$9),11)/NETWORKDAYS.INTL(E178,F178,11)*100,1))))</f>
        <v/>
      </c>
      <c r="Q178" s="37"/>
      <c r="R178" s="37"/>
      <c r="S178" s="37"/>
      <c r="T178" s="37"/>
      <c r="U178" s="37"/>
      <c r="V178" s="37"/>
      <c r="W178" s="37"/>
      <c r="X178" s="37"/>
      <c r="Y178" s="37"/>
      <c r="Z178" s="37"/>
      <c r="AA178" s="37"/>
      <c r="AB178" s="37"/>
      <c r="AC178" s="37"/>
      <c r="AD178" s="37"/>
      <c r="AE178" s="37"/>
      <c r="AF178" s="37"/>
      <c r="AG178" s="38" t="str">
        <f aca="false">IF(AND(ISNUMBER(E178),ISNUMBER(F178)),NETWORKDAYS.INTL(E178,F178,11),"")</f>
        <v/>
      </c>
      <c r="AH178" s="38" t="str">
        <f aca="false">IF(OR(NOT(AND(ISNUMBER(E178),ISNUMBER(F178))),$J$2=""),"",IF(Reprogramaciones!$P$15&lt;Reprogramaciones!$T$15,0,IF(Reprogramaciones!$R$15&gt;10,MIN(100,SUM($G178:$P178)),MIN(100,SUMPRODUCT((COLUMN($G178:$P178)-COLUMN($G178)+1&lt;Reprogramaciones!$R$15)*$G178:$P178)+N(INDEX($G178:$P178,1,Reprogramaciones!$R$15))*IF(Reprogramaciones!$P$15&gt;=(Reprogramaciones!$T$15+7*(Reprogramaciones!$R$15-1))+6,1,IF(MAX(0,NETWORKDAYS.INTL(MAX(E178,(Reprogramaciones!$T$15+7*(Reprogramaciones!$R$15-1))),MIN(F178,(Reprogramaciones!$T$15+7*(Reprogramaciones!$R$15-1))+6),11))=0,0,MAX(0,NETWORKDAYS.INTL(MAX(E178,(Reprogramaciones!$T$15+7*(Reprogramaciones!$R$15-1))),MIN(F178,Reprogramaciones!$P$15),11))/MAX(0,NETWORKDAYS.INTL(MAX(E178,(Reprogramaciones!$T$15+7*(Reprogramaciones!$R$15-1))),MIN(F178,(Reprogramaciones!$T$15+7*(Reprogramaciones!$R$15-1))+6),11))))))))</f>
        <v/>
      </c>
      <c r="AI178" s="38" t="str">
        <f aca="false">IF(COUNT($Q178:$AF178)=0,"",IF(ROUND(SUM($Q178:$AF178),1)&gt;=99.5,100,MIN(100,ROUND(SUM($Q178:$AF178),1))))</f>
        <v/>
      </c>
      <c r="AJ178" s="38" t="str">
        <f aca="false">IF(OR(AH178="",AI178=""),"",AI178-AH178)</f>
        <v/>
      </c>
      <c r="AK178" s="39" t="str">
        <f aca="true">IF(AH178="","",IF(OR(Ficha!$C$10="Suspendida",Ficha!$C$10="Cancelada"),Ficha!$C$10,IF(AND(AI178&lt;&gt;"",N(AI178)&gt;=100),"Completada",IF(AND(E178&gt;TODAY(),N(AI178)=0),"Por iniciar",IF(N(AI178)+0.5&lt;AH178,"Retrasada",IF(N(AI178)+0.5&lt;DA178,IF(Reprogramaciones!$K$15&gt;0,"Al día · Sem "&amp;Reprogramaciones!$K$15&amp;" en curso","Al día · en curso"),"A tiempo"))))))</f>
        <v/>
      </c>
      <c r="AL178" s="39" t="str">
        <f aca="true">IF(AND(A178="",AND(B178="",C178="",E178="",F178="",COUNT(Q178:AF178)=0)),"",IF(AND(B178="",C178="",E178="",F178="",COUNT(Q178:AF178)=0),"Falta la partida o subpartida",IF(AND(A178&lt;&gt;"",COUNTIF($A$6:$A$305,A178)&gt;1),"Ítem repetido",IF(AND(C178="",E178="",F178="",COUNT(Q178:AF178)=0),"Título de partida",IF(OR(E178="",F178=""),"Faltan fechas",IF(OR(ISTEXT(E178),ISTEXT(F178)),"Fecha escrita como texto: usa dd/mm/aaaa",IF(F178&lt;E178,"Fin antes del inicio",IF(IF($J$2="",FALSE(),OR(E178&lt;$J$2,F178&gt;Reprogramaciones!$T$15+69)),"Fuera de las 10 semanas",IF(ABS(SUM(G178:P178)-100)&gt;0.5,"La meta no suma 100%",IF(ROUND(SUM(Q178:AF178),1)&gt;100.5,"El avance pasa de 100%",IF(MIN(Q178:AF178)&lt;0,"Avance negativo",IF(COUNTA(Q178:AF178)&gt;COUNT(Q178:AF178),"Avance escrito como texto",IF(SUMPRODUCT((Q178:AF178&gt;0)*(Q178:AF178&lt;1))&gt;0,"Avance menor a 1: escribe 50, no 50%",IF(SUMPRODUCT(ISNUMBER(Q178:AF178)*(Reprogramaciones!$K$8:$Z$8&gt;TODAY()))&gt;0,"Avance en semana que aún no llega",IF(AND(N(Reprogramaciones!$E$21)&gt;0,F178&gt;Reprogramaciones!$E$21),"Pasa el fin de la obra: registra una reprogramación",IF(AND(N(Reprogramaciones!$E$21)&gt;0,SUMPRODUCT(ISNUMBER(Q178:AF178)*(Reprogramaciones!$K$8:$Z$8&gt;Reprogramaciones!$E$21))&gt;0),"Avance después del fin de la obra: registra una reprogramación por atraso","OK"))))))))))))))))</f>
        <v/>
      </c>
      <c r="AM178" s="40" t="str">
        <f aca="false">IF(OR(OR(NOT(AND(ISNUMBER(E178),ISNUMBER(F178))),$J$2=""),1&gt;MAX(1,Reprogramaciones!$U$15)),"",IF(Reprogramaciones!K$12&gt;=7,"",IF(OR(BT178-N(0)&gt;0.05,N(Q178)&gt;0),ROUNDDOWN(ROUND(BT178,6),0)&amp;"%"&amp;IF(CJ178="",""," / "&amp;CJ178&amp;"%"),IF(AND(N(0)&gt;=99.95,CJ178&lt;&gt;"",N(CJ178)&lt;100),"Pend. "&amp;CJ178&amp;"%",""))))</f>
        <v/>
      </c>
      <c r="AN178" s="40" t="str">
        <f aca="false">IF(OR(OR(NOT(AND(ISNUMBER(E178),ISNUMBER(F178))),$J$2=""),2&gt;MAX(1,Reprogramaciones!$U$15)),"",IF(Reprogramaciones!L$12&gt;=7,"",IF(OR(BU178-N(BT178)&gt;0.05,N(R178)&gt;0),ROUNDDOWN(ROUND(BU178,6),0)&amp;"%"&amp;IF(CK178="",""," / "&amp;CK178&amp;"%"),IF(AND(N(BT178)&gt;=99.95,CK178&lt;&gt;"",N(CK178)&lt;100),"Pend. "&amp;CK178&amp;"%",""))))</f>
        <v/>
      </c>
      <c r="AO178" s="40" t="str">
        <f aca="false">IF(OR(OR(NOT(AND(ISNUMBER(E178),ISNUMBER(F178))),$J$2=""),3&gt;MAX(1,Reprogramaciones!$U$15)),"",IF(Reprogramaciones!M$12&gt;=7,"",IF(OR(BV178-N(BU178)&gt;0.05,N(S178)&gt;0),ROUNDDOWN(ROUND(BV178,6),0)&amp;"%"&amp;IF(CL178="",""," / "&amp;CL178&amp;"%"),IF(AND(N(BU178)&gt;=99.95,CL178&lt;&gt;"",N(CL178)&lt;100),"Pend. "&amp;CL178&amp;"%",""))))</f>
        <v/>
      </c>
      <c r="AP178" s="40" t="str">
        <f aca="false">IF(OR(OR(NOT(AND(ISNUMBER(E178),ISNUMBER(F178))),$J$2=""),4&gt;MAX(1,Reprogramaciones!$U$15)),"",IF(Reprogramaciones!N$12&gt;=7,"",IF(OR(BW178-N(BV178)&gt;0.05,N(T178)&gt;0),ROUNDDOWN(ROUND(BW178,6),0)&amp;"%"&amp;IF(CM178="",""," / "&amp;CM178&amp;"%"),IF(AND(N(BV178)&gt;=99.95,CM178&lt;&gt;"",N(CM178)&lt;100),"Pend. "&amp;CM178&amp;"%",""))))</f>
        <v/>
      </c>
      <c r="AQ178" s="40" t="str">
        <f aca="false">IF(OR(OR(NOT(AND(ISNUMBER(E178),ISNUMBER(F178))),$J$2=""),5&gt;MAX(1,Reprogramaciones!$U$15)),"",IF(Reprogramaciones!O$12&gt;=7,"",IF(OR(BX178-N(BW178)&gt;0.05,N(U178)&gt;0),ROUNDDOWN(ROUND(BX178,6),0)&amp;"%"&amp;IF(CN178="",""," / "&amp;CN178&amp;"%"),IF(AND(N(BW178)&gt;=99.95,CN178&lt;&gt;"",N(CN178)&lt;100),"Pend. "&amp;CN178&amp;"%",""))))</f>
        <v/>
      </c>
      <c r="AR178" s="40" t="str">
        <f aca="false">IF(OR(OR(NOT(AND(ISNUMBER(E178),ISNUMBER(F178))),$J$2=""),6&gt;MAX(1,Reprogramaciones!$U$15)),"",IF(Reprogramaciones!P$12&gt;=7,"",IF(OR(BY178-N(BX178)&gt;0.05,N(V178)&gt;0),ROUNDDOWN(ROUND(BY178,6),0)&amp;"%"&amp;IF(CO178="",""," / "&amp;CO178&amp;"%"),IF(AND(N(BX178)&gt;=99.95,CO178&lt;&gt;"",N(CO178)&lt;100),"Pend. "&amp;CO178&amp;"%",""))))</f>
        <v/>
      </c>
      <c r="AS178" s="40" t="str">
        <f aca="false">IF(OR(OR(NOT(AND(ISNUMBER(E178),ISNUMBER(F178))),$J$2=""),7&gt;MAX(1,Reprogramaciones!$U$15)),"",IF(Reprogramaciones!Q$12&gt;=7,"",IF(OR(BZ178-N(BY178)&gt;0.05,N(W178)&gt;0),ROUNDDOWN(ROUND(BZ178,6),0)&amp;"%"&amp;IF(CP178="",""," / "&amp;CP178&amp;"%"),IF(AND(N(BY178)&gt;=99.95,CP178&lt;&gt;"",N(CP178)&lt;100),"Pend. "&amp;CP178&amp;"%",""))))</f>
        <v/>
      </c>
      <c r="AT178" s="40" t="str">
        <f aca="false">IF(OR(OR(NOT(AND(ISNUMBER(E178),ISNUMBER(F178))),$J$2=""),8&gt;MAX(1,Reprogramaciones!$U$15)),"",IF(Reprogramaciones!R$12&gt;=7,"",IF(OR(CA178-N(BZ178)&gt;0.05,N(X178)&gt;0),ROUNDDOWN(ROUND(CA178,6),0)&amp;"%"&amp;IF(CQ178="",""," / "&amp;CQ178&amp;"%"),IF(AND(N(BZ178)&gt;=99.95,CQ178&lt;&gt;"",N(CQ178)&lt;100),"Pend. "&amp;CQ178&amp;"%",""))))</f>
        <v/>
      </c>
      <c r="AU178" s="40" t="str">
        <f aca="false">IF(OR(OR(NOT(AND(ISNUMBER(E178),ISNUMBER(F178))),$J$2=""),9&gt;MAX(1,Reprogramaciones!$U$15)),"",IF(Reprogramaciones!S$12&gt;=7,"",IF(OR(CB178-N(CA178)&gt;0.05,N(Y178)&gt;0),ROUNDDOWN(ROUND(CB178,6),0)&amp;"%"&amp;IF(CR178="",""," / "&amp;CR178&amp;"%"),IF(AND(N(CA178)&gt;=99.95,CR178&lt;&gt;"",N(CR178)&lt;100),"Pend. "&amp;CR178&amp;"%",""))))</f>
        <v/>
      </c>
      <c r="AV178" s="40" t="str">
        <f aca="false">IF(OR(OR(NOT(AND(ISNUMBER(E178),ISNUMBER(F178))),$J$2=""),10&gt;MAX(1,Reprogramaciones!$U$15)),"",IF(Reprogramaciones!T$12&gt;=7,"",IF(OR(CC178-N(CB178)&gt;0.05,N(Z178)&gt;0),ROUNDDOWN(ROUND(CC178,6),0)&amp;"%"&amp;IF(CS178="",""," / "&amp;CS178&amp;"%"),IF(AND(N(CB178)&gt;=99.95,CS178&lt;&gt;"",N(CS178)&lt;100),"Pend. "&amp;CS178&amp;"%",""))))</f>
        <v/>
      </c>
      <c r="AW178" s="40" t="str">
        <f aca="false">IF(OR(OR(NOT(AND(ISNUMBER(E178),ISNUMBER(F178))),$J$2=""),11&gt;MAX(1,Reprogramaciones!$U$15)),"",IF(Reprogramaciones!U$12&gt;=7,"",IF(OR(CD178-N(CC178)&gt;0.05,N(AA178)&gt;0),ROUNDDOWN(ROUND(CD178,6),0)&amp;"%"&amp;IF(CT178="",""," / "&amp;CT178&amp;"%"),IF(AND(N(CC178)&gt;=99.95,CT178&lt;&gt;"",N(CT178)&lt;100),"Pend. "&amp;CT178&amp;"%",""))))</f>
        <v/>
      </c>
      <c r="AX178" s="40" t="str">
        <f aca="false">IF(OR(OR(NOT(AND(ISNUMBER(E178),ISNUMBER(F178))),$J$2=""),12&gt;MAX(1,Reprogramaciones!$U$15)),"",IF(Reprogramaciones!V$12&gt;=7,"",IF(OR(CE178-N(CD178)&gt;0.05,N(AB178)&gt;0),ROUNDDOWN(ROUND(CE178,6),0)&amp;"%"&amp;IF(CU178="",""," / "&amp;CU178&amp;"%"),IF(AND(N(CD178)&gt;=99.95,CU178&lt;&gt;"",N(CU178)&lt;100),"Pend. "&amp;CU178&amp;"%",""))))</f>
        <v/>
      </c>
      <c r="AY178" s="40" t="str">
        <f aca="false">IF(OR(OR(NOT(AND(ISNUMBER(E178),ISNUMBER(F178))),$J$2=""),13&gt;MAX(1,Reprogramaciones!$U$15)),"",IF(Reprogramaciones!W$12&gt;=7,"",IF(OR(CF178-N(CE178)&gt;0.05,N(AC178)&gt;0),ROUNDDOWN(ROUND(CF178,6),0)&amp;"%"&amp;IF(CV178="",""," / "&amp;CV178&amp;"%"),IF(AND(N(CE178)&gt;=99.95,CV178&lt;&gt;"",N(CV178)&lt;100),"Pend. "&amp;CV178&amp;"%",""))))</f>
        <v/>
      </c>
      <c r="AZ178" s="40" t="str">
        <f aca="false">IF(OR(OR(NOT(AND(ISNUMBER(E178),ISNUMBER(F178))),$J$2=""),14&gt;MAX(1,Reprogramaciones!$U$15)),"",IF(Reprogramaciones!X$12&gt;=7,"",IF(OR(CG178-N(CF178)&gt;0.05,N(AD178)&gt;0),ROUNDDOWN(ROUND(CG178,6),0)&amp;"%"&amp;IF(CW178="",""," / "&amp;CW178&amp;"%"),IF(AND(N(CF178)&gt;=99.95,CW178&lt;&gt;"",N(CW178)&lt;100),"Pend. "&amp;CW178&amp;"%",""))))</f>
        <v/>
      </c>
      <c r="BA178" s="40" t="str">
        <f aca="false">IF(OR(OR(NOT(AND(ISNUMBER(E178),ISNUMBER(F178))),$J$2=""),15&gt;MAX(1,Reprogramaciones!$U$15)),"",IF(Reprogramaciones!Y$12&gt;=7,"",IF(OR(CH178-N(CG178)&gt;0.05,N(AE178)&gt;0),ROUNDDOWN(ROUND(CH178,6),0)&amp;"%"&amp;IF(CX178="",""," / "&amp;CX178&amp;"%"),IF(AND(N(CG178)&gt;=99.95,CX178&lt;&gt;"",N(CX178)&lt;100),"Pend. "&amp;CX178&amp;"%",""))))</f>
        <v/>
      </c>
      <c r="BB178" s="40" t="str">
        <f aca="false">IF(OR(OR(NOT(AND(ISNUMBER(E178),ISNUMBER(F178))),$J$2=""),16&gt;MAX(1,Reprogramaciones!$U$15)),"",IF(Reprogramaciones!Z$12&gt;=7,"",IF(OR(CI178-N(CH178)&gt;0.05,N(AF178)&gt;0),ROUNDDOWN(ROUND(CI178,6),0)&amp;"%"&amp;IF(CY178="",""," / "&amp;CY178&amp;"%"),IF(AND(N(CH178)&gt;=99.95,CY178&lt;&gt;"",N(CY178)&lt;100),"Pend. "&amp;CY178&amp;"%",""))))</f>
        <v/>
      </c>
      <c r="BC178" s="31" t="n">
        <f aca="false">IF(AND(ISNUMBER(E178),ISNUMBER(F178)),MAX(1,NETWORKDAYS.INTL(E178,F178,11)),0)</f>
        <v>0</v>
      </c>
      <c r="BD178" s="1" t="str">
        <f aca="false">IF(OR(NOT(AND(ISNUMBER(E178),ISNUMBER(F178))),$J$2=""),"",MIN(100,ROUND(SUM($G178:G178),1)))</f>
        <v/>
      </c>
      <c r="BE178" s="1" t="str">
        <f aca="false">IF(OR(NOT(AND(ISNUMBER(E178),ISNUMBER(F178))),$J$2=""),"",MIN(100,ROUND(SUM($G178:H178),1)))</f>
        <v/>
      </c>
      <c r="BF178" s="1" t="str">
        <f aca="false">IF(OR(NOT(AND(ISNUMBER(E178),ISNUMBER(F178))),$J$2=""),"",MIN(100,ROUND(SUM($G178:I178),1)))</f>
        <v/>
      </c>
      <c r="BG178" s="1" t="str">
        <f aca="false">IF(OR(NOT(AND(ISNUMBER(E178),ISNUMBER(F178))),$J$2=""),"",MIN(100,ROUND(SUM($G178:J178),1)))</f>
        <v/>
      </c>
      <c r="BH178" s="1" t="str">
        <f aca="false">IF(OR(NOT(AND(ISNUMBER(E178),ISNUMBER(F178))),$J$2=""),"",MIN(100,ROUND(SUM($G178:K178),1)))</f>
        <v/>
      </c>
      <c r="BI178" s="1" t="str">
        <f aca="false">IF(OR(NOT(AND(ISNUMBER(E178),ISNUMBER(F178))),$J$2=""),"",MIN(100,ROUND(SUM($G178:L178),1)))</f>
        <v/>
      </c>
      <c r="BJ178" s="1" t="str">
        <f aca="false">IF(OR(NOT(AND(ISNUMBER(E178),ISNUMBER(F178))),$J$2=""),"",MIN(100,ROUND(SUM($G178:M178),1)))</f>
        <v/>
      </c>
      <c r="BK178" s="1" t="str">
        <f aca="false">IF(OR(NOT(AND(ISNUMBER(E178),ISNUMBER(F178))),$J$2=""),"",MIN(100,ROUND(SUM($G178:N178),1)))</f>
        <v/>
      </c>
      <c r="BL178" s="1" t="str">
        <f aca="false">IF(OR(NOT(AND(ISNUMBER(E178),ISNUMBER(F178))),$J$2=""),"",MIN(100,ROUND(SUM($G178:O178),1)))</f>
        <v/>
      </c>
      <c r="BM178" s="1" t="str">
        <f aca="false">IF(OR(NOT(AND(ISNUMBER(E178),ISNUMBER(F178))),$J$2=""),"",MIN(100,ROUND(SUM($G178:P178),1)))</f>
        <v/>
      </c>
      <c r="BN178" s="1" t="str">
        <f aca="false">IF(OR(NOT(AND(ISNUMBER(E178),ISNUMBER(F178))),$J$2=""),"",MIN(100,ROUND(SUM($G178:P178),1)))</f>
        <v/>
      </c>
      <c r="BO178" s="1" t="str">
        <f aca="false">IF(OR(NOT(AND(ISNUMBER(E178),ISNUMBER(F178))),$J$2=""),"",MIN(100,ROUND(SUM($G178:P178),1)))</f>
        <v/>
      </c>
      <c r="BP178" s="1" t="str">
        <f aca="false">IF(OR(NOT(AND(ISNUMBER(E178),ISNUMBER(F178))),$J$2=""),"",MIN(100,ROUND(SUM($G178:P178),1)))</f>
        <v/>
      </c>
      <c r="BQ178" s="1" t="str">
        <f aca="false">IF(OR(NOT(AND(ISNUMBER(E178),ISNUMBER(F178))),$J$2=""),"",MIN(100,ROUND(SUM($G178:P178),1)))</f>
        <v/>
      </c>
      <c r="BR178" s="1" t="str">
        <f aca="false">IF(OR(NOT(AND(ISNUMBER(E178),ISNUMBER(F178))),$J$2=""),"",MIN(100,ROUND(SUM($G178:P178),1)))</f>
        <v/>
      </c>
      <c r="BS178" s="1" t="str">
        <f aca="false">IF(OR(NOT(AND(ISNUMBER(E178),ISNUMBER(F178))),$J$2=""),"",MIN(100,ROUND(SUM($G178:P178),1)))</f>
        <v/>
      </c>
      <c r="BT178" s="1" t="str">
        <f aca="false">IF(OR(NOT(AND(ISNUMBER(E178),ISNUMBER(F178))),$J$2=""),"",IF(Reprogramaciones!K$13&lt;Reprogramaciones!$T$15,0,IF(Reprogramaciones!K$14&gt;10,MIN(100,SUM($G178:$P178)),MIN(100,SUMPRODUCT((COLUMN($G178:$P178)-COLUMN($G178)+1&lt;Reprogramaciones!K$14)*$G178:$P178)+N(INDEX($G178:$P178,1,Reprogramaciones!K$14))*IF(Reprogramaciones!K$13&gt;=(Reprogramaciones!$T$15+7*(Reprogramaciones!K$14-1))+6,1,IF(MAX(0,NETWORKDAYS.INTL(MAX(E178,(Reprogramaciones!$T$15+7*(Reprogramaciones!K$14-1))),MIN(F178,(Reprogramaciones!$T$15+7*(Reprogramaciones!K$14-1))+6),11))=0,0,MAX(0,NETWORKDAYS.INTL(MAX(E178,(Reprogramaciones!$T$15+7*(Reprogramaciones!K$14-1))),MIN(F178,Reprogramaciones!K$13),11))/MAX(0,NETWORKDAYS.INTL(MAX(E178,(Reprogramaciones!$T$15+7*(Reprogramaciones!K$14-1))),MIN(F178,(Reprogramaciones!$T$15+7*(Reprogramaciones!K$14-1))+6),11))))))))</f>
        <v/>
      </c>
      <c r="BU178" s="1" t="str">
        <f aca="false">IF(OR(NOT(AND(ISNUMBER(E178),ISNUMBER(F178))),$J$2=""),"",IF(Reprogramaciones!L$13&lt;Reprogramaciones!$T$15,0,IF(Reprogramaciones!L$14&gt;10,MIN(100,SUM($G178:$P178)),MIN(100,SUMPRODUCT((COLUMN($G178:$P178)-COLUMN($G178)+1&lt;Reprogramaciones!L$14)*$G178:$P178)+N(INDEX($G178:$P178,1,Reprogramaciones!L$14))*IF(Reprogramaciones!L$13&gt;=(Reprogramaciones!$T$15+7*(Reprogramaciones!L$14-1))+6,1,IF(MAX(0,NETWORKDAYS.INTL(MAX(E178,(Reprogramaciones!$T$15+7*(Reprogramaciones!L$14-1))),MIN(F178,(Reprogramaciones!$T$15+7*(Reprogramaciones!L$14-1))+6),11))=0,0,MAX(0,NETWORKDAYS.INTL(MAX(E178,(Reprogramaciones!$T$15+7*(Reprogramaciones!L$14-1))),MIN(F178,Reprogramaciones!L$13),11))/MAX(0,NETWORKDAYS.INTL(MAX(E178,(Reprogramaciones!$T$15+7*(Reprogramaciones!L$14-1))),MIN(F178,(Reprogramaciones!$T$15+7*(Reprogramaciones!L$14-1))+6),11))))))))</f>
        <v/>
      </c>
      <c r="BV178" s="1" t="str">
        <f aca="false">IF(OR(NOT(AND(ISNUMBER(E178),ISNUMBER(F178))),$J$2=""),"",IF(Reprogramaciones!M$13&lt;Reprogramaciones!$T$15,0,IF(Reprogramaciones!M$14&gt;10,MIN(100,SUM($G178:$P178)),MIN(100,SUMPRODUCT((COLUMN($G178:$P178)-COLUMN($G178)+1&lt;Reprogramaciones!M$14)*$G178:$P178)+N(INDEX($G178:$P178,1,Reprogramaciones!M$14))*IF(Reprogramaciones!M$13&gt;=(Reprogramaciones!$T$15+7*(Reprogramaciones!M$14-1))+6,1,IF(MAX(0,NETWORKDAYS.INTL(MAX(E178,(Reprogramaciones!$T$15+7*(Reprogramaciones!M$14-1))),MIN(F178,(Reprogramaciones!$T$15+7*(Reprogramaciones!M$14-1))+6),11))=0,0,MAX(0,NETWORKDAYS.INTL(MAX(E178,(Reprogramaciones!$T$15+7*(Reprogramaciones!M$14-1))),MIN(F178,Reprogramaciones!M$13),11))/MAX(0,NETWORKDAYS.INTL(MAX(E178,(Reprogramaciones!$T$15+7*(Reprogramaciones!M$14-1))),MIN(F178,(Reprogramaciones!$T$15+7*(Reprogramaciones!M$14-1))+6),11))))))))</f>
        <v/>
      </c>
      <c r="BW178" s="1" t="str">
        <f aca="false">IF(OR(NOT(AND(ISNUMBER(E178),ISNUMBER(F178))),$J$2=""),"",IF(Reprogramaciones!N$13&lt;Reprogramaciones!$T$15,0,IF(Reprogramaciones!N$14&gt;10,MIN(100,SUM($G178:$P178)),MIN(100,SUMPRODUCT((COLUMN($G178:$P178)-COLUMN($G178)+1&lt;Reprogramaciones!N$14)*$G178:$P178)+N(INDEX($G178:$P178,1,Reprogramaciones!N$14))*IF(Reprogramaciones!N$13&gt;=(Reprogramaciones!$T$15+7*(Reprogramaciones!N$14-1))+6,1,IF(MAX(0,NETWORKDAYS.INTL(MAX(E178,(Reprogramaciones!$T$15+7*(Reprogramaciones!N$14-1))),MIN(F178,(Reprogramaciones!$T$15+7*(Reprogramaciones!N$14-1))+6),11))=0,0,MAX(0,NETWORKDAYS.INTL(MAX(E178,(Reprogramaciones!$T$15+7*(Reprogramaciones!N$14-1))),MIN(F178,Reprogramaciones!N$13),11))/MAX(0,NETWORKDAYS.INTL(MAX(E178,(Reprogramaciones!$T$15+7*(Reprogramaciones!N$14-1))),MIN(F178,(Reprogramaciones!$T$15+7*(Reprogramaciones!N$14-1))+6),11))))))))</f>
        <v/>
      </c>
      <c r="BX178" s="1" t="str">
        <f aca="false">IF(OR(NOT(AND(ISNUMBER(E178),ISNUMBER(F178))),$J$2=""),"",IF(Reprogramaciones!O$13&lt;Reprogramaciones!$T$15,0,IF(Reprogramaciones!O$14&gt;10,MIN(100,SUM($G178:$P178)),MIN(100,SUMPRODUCT((COLUMN($G178:$P178)-COLUMN($G178)+1&lt;Reprogramaciones!O$14)*$G178:$P178)+N(INDEX($G178:$P178,1,Reprogramaciones!O$14))*IF(Reprogramaciones!O$13&gt;=(Reprogramaciones!$T$15+7*(Reprogramaciones!O$14-1))+6,1,IF(MAX(0,NETWORKDAYS.INTL(MAX(E178,(Reprogramaciones!$T$15+7*(Reprogramaciones!O$14-1))),MIN(F178,(Reprogramaciones!$T$15+7*(Reprogramaciones!O$14-1))+6),11))=0,0,MAX(0,NETWORKDAYS.INTL(MAX(E178,(Reprogramaciones!$T$15+7*(Reprogramaciones!O$14-1))),MIN(F178,Reprogramaciones!O$13),11))/MAX(0,NETWORKDAYS.INTL(MAX(E178,(Reprogramaciones!$T$15+7*(Reprogramaciones!O$14-1))),MIN(F178,(Reprogramaciones!$T$15+7*(Reprogramaciones!O$14-1))+6),11))))))))</f>
        <v/>
      </c>
      <c r="BY178" s="1" t="str">
        <f aca="false">IF(OR(NOT(AND(ISNUMBER(E178),ISNUMBER(F178))),$J$2=""),"",IF(Reprogramaciones!P$13&lt;Reprogramaciones!$T$15,0,IF(Reprogramaciones!P$14&gt;10,MIN(100,SUM($G178:$P178)),MIN(100,SUMPRODUCT((COLUMN($G178:$P178)-COLUMN($G178)+1&lt;Reprogramaciones!P$14)*$G178:$P178)+N(INDEX($G178:$P178,1,Reprogramaciones!P$14))*IF(Reprogramaciones!P$13&gt;=(Reprogramaciones!$T$15+7*(Reprogramaciones!P$14-1))+6,1,IF(MAX(0,NETWORKDAYS.INTL(MAX(E178,(Reprogramaciones!$T$15+7*(Reprogramaciones!P$14-1))),MIN(F178,(Reprogramaciones!$T$15+7*(Reprogramaciones!P$14-1))+6),11))=0,0,MAX(0,NETWORKDAYS.INTL(MAX(E178,(Reprogramaciones!$T$15+7*(Reprogramaciones!P$14-1))),MIN(F178,Reprogramaciones!P$13),11))/MAX(0,NETWORKDAYS.INTL(MAX(E178,(Reprogramaciones!$T$15+7*(Reprogramaciones!P$14-1))),MIN(F178,(Reprogramaciones!$T$15+7*(Reprogramaciones!P$14-1))+6),11))))))))</f>
        <v/>
      </c>
      <c r="BZ178" s="1" t="str">
        <f aca="false">IF(OR(NOT(AND(ISNUMBER(E178),ISNUMBER(F178))),$J$2=""),"",IF(Reprogramaciones!Q$13&lt;Reprogramaciones!$T$15,0,IF(Reprogramaciones!Q$14&gt;10,MIN(100,SUM($G178:$P178)),MIN(100,SUMPRODUCT((COLUMN($G178:$P178)-COLUMN($G178)+1&lt;Reprogramaciones!Q$14)*$G178:$P178)+N(INDEX($G178:$P178,1,Reprogramaciones!Q$14))*IF(Reprogramaciones!Q$13&gt;=(Reprogramaciones!$T$15+7*(Reprogramaciones!Q$14-1))+6,1,IF(MAX(0,NETWORKDAYS.INTL(MAX(E178,(Reprogramaciones!$T$15+7*(Reprogramaciones!Q$14-1))),MIN(F178,(Reprogramaciones!$T$15+7*(Reprogramaciones!Q$14-1))+6),11))=0,0,MAX(0,NETWORKDAYS.INTL(MAX(E178,(Reprogramaciones!$T$15+7*(Reprogramaciones!Q$14-1))),MIN(F178,Reprogramaciones!Q$13),11))/MAX(0,NETWORKDAYS.INTL(MAX(E178,(Reprogramaciones!$T$15+7*(Reprogramaciones!Q$14-1))),MIN(F178,(Reprogramaciones!$T$15+7*(Reprogramaciones!Q$14-1))+6),11))))))))</f>
        <v/>
      </c>
      <c r="CA178" s="1" t="str">
        <f aca="false">IF(OR(NOT(AND(ISNUMBER(E178),ISNUMBER(F178))),$J$2=""),"",IF(Reprogramaciones!R$13&lt;Reprogramaciones!$T$15,0,IF(Reprogramaciones!R$14&gt;10,MIN(100,SUM($G178:$P178)),MIN(100,SUMPRODUCT((COLUMN($G178:$P178)-COLUMN($G178)+1&lt;Reprogramaciones!R$14)*$G178:$P178)+N(INDEX($G178:$P178,1,Reprogramaciones!R$14))*IF(Reprogramaciones!R$13&gt;=(Reprogramaciones!$T$15+7*(Reprogramaciones!R$14-1))+6,1,IF(MAX(0,NETWORKDAYS.INTL(MAX(E178,(Reprogramaciones!$T$15+7*(Reprogramaciones!R$14-1))),MIN(F178,(Reprogramaciones!$T$15+7*(Reprogramaciones!R$14-1))+6),11))=0,0,MAX(0,NETWORKDAYS.INTL(MAX(E178,(Reprogramaciones!$T$15+7*(Reprogramaciones!R$14-1))),MIN(F178,Reprogramaciones!R$13),11))/MAX(0,NETWORKDAYS.INTL(MAX(E178,(Reprogramaciones!$T$15+7*(Reprogramaciones!R$14-1))),MIN(F178,(Reprogramaciones!$T$15+7*(Reprogramaciones!R$14-1))+6),11))))))))</f>
        <v/>
      </c>
      <c r="CB178" s="1" t="str">
        <f aca="false">IF(OR(NOT(AND(ISNUMBER(E178),ISNUMBER(F178))),$J$2=""),"",IF(Reprogramaciones!S$13&lt;Reprogramaciones!$T$15,0,IF(Reprogramaciones!S$14&gt;10,MIN(100,SUM($G178:$P178)),MIN(100,SUMPRODUCT((COLUMN($G178:$P178)-COLUMN($G178)+1&lt;Reprogramaciones!S$14)*$G178:$P178)+N(INDEX($G178:$P178,1,Reprogramaciones!S$14))*IF(Reprogramaciones!S$13&gt;=(Reprogramaciones!$T$15+7*(Reprogramaciones!S$14-1))+6,1,IF(MAX(0,NETWORKDAYS.INTL(MAX(E178,(Reprogramaciones!$T$15+7*(Reprogramaciones!S$14-1))),MIN(F178,(Reprogramaciones!$T$15+7*(Reprogramaciones!S$14-1))+6),11))=0,0,MAX(0,NETWORKDAYS.INTL(MAX(E178,(Reprogramaciones!$T$15+7*(Reprogramaciones!S$14-1))),MIN(F178,Reprogramaciones!S$13),11))/MAX(0,NETWORKDAYS.INTL(MAX(E178,(Reprogramaciones!$T$15+7*(Reprogramaciones!S$14-1))),MIN(F178,(Reprogramaciones!$T$15+7*(Reprogramaciones!S$14-1))+6),11))))))))</f>
        <v/>
      </c>
      <c r="CC178" s="1" t="str">
        <f aca="false">IF(OR(NOT(AND(ISNUMBER(E178),ISNUMBER(F178))),$J$2=""),"",IF(Reprogramaciones!T$13&lt;Reprogramaciones!$T$15,0,IF(Reprogramaciones!T$14&gt;10,MIN(100,SUM($G178:$P178)),MIN(100,SUMPRODUCT((COLUMN($G178:$P178)-COLUMN($G178)+1&lt;Reprogramaciones!T$14)*$G178:$P178)+N(INDEX($G178:$P178,1,Reprogramaciones!T$14))*IF(Reprogramaciones!T$13&gt;=(Reprogramaciones!$T$15+7*(Reprogramaciones!T$14-1))+6,1,IF(MAX(0,NETWORKDAYS.INTL(MAX(E178,(Reprogramaciones!$T$15+7*(Reprogramaciones!T$14-1))),MIN(F178,(Reprogramaciones!$T$15+7*(Reprogramaciones!T$14-1))+6),11))=0,0,MAX(0,NETWORKDAYS.INTL(MAX(E178,(Reprogramaciones!$T$15+7*(Reprogramaciones!T$14-1))),MIN(F178,Reprogramaciones!T$13),11))/MAX(0,NETWORKDAYS.INTL(MAX(E178,(Reprogramaciones!$T$15+7*(Reprogramaciones!T$14-1))),MIN(F178,(Reprogramaciones!$T$15+7*(Reprogramaciones!T$14-1))+6),11))))))))</f>
        <v/>
      </c>
      <c r="CD178" s="1" t="str">
        <f aca="false">IF(OR(NOT(AND(ISNUMBER(E178),ISNUMBER(F178))),$J$2=""),"",IF(Reprogramaciones!U$13&lt;Reprogramaciones!$T$15,0,IF(Reprogramaciones!U$14&gt;10,MIN(100,SUM($G178:$P178)),MIN(100,SUMPRODUCT((COLUMN($G178:$P178)-COLUMN($G178)+1&lt;Reprogramaciones!U$14)*$G178:$P178)+N(INDEX($G178:$P178,1,Reprogramaciones!U$14))*IF(Reprogramaciones!U$13&gt;=(Reprogramaciones!$T$15+7*(Reprogramaciones!U$14-1))+6,1,IF(MAX(0,NETWORKDAYS.INTL(MAX(E178,(Reprogramaciones!$T$15+7*(Reprogramaciones!U$14-1))),MIN(F178,(Reprogramaciones!$T$15+7*(Reprogramaciones!U$14-1))+6),11))=0,0,MAX(0,NETWORKDAYS.INTL(MAX(E178,(Reprogramaciones!$T$15+7*(Reprogramaciones!U$14-1))),MIN(F178,Reprogramaciones!U$13),11))/MAX(0,NETWORKDAYS.INTL(MAX(E178,(Reprogramaciones!$T$15+7*(Reprogramaciones!U$14-1))),MIN(F178,(Reprogramaciones!$T$15+7*(Reprogramaciones!U$14-1))+6),11))))))))</f>
        <v/>
      </c>
      <c r="CE178" s="1" t="str">
        <f aca="false">IF(OR(NOT(AND(ISNUMBER(E178),ISNUMBER(F178))),$J$2=""),"",IF(Reprogramaciones!V$13&lt;Reprogramaciones!$T$15,0,IF(Reprogramaciones!V$14&gt;10,MIN(100,SUM($G178:$P178)),MIN(100,SUMPRODUCT((COLUMN($G178:$P178)-COLUMN($G178)+1&lt;Reprogramaciones!V$14)*$G178:$P178)+N(INDEX($G178:$P178,1,Reprogramaciones!V$14))*IF(Reprogramaciones!V$13&gt;=(Reprogramaciones!$T$15+7*(Reprogramaciones!V$14-1))+6,1,IF(MAX(0,NETWORKDAYS.INTL(MAX(E178,(Reprogramaciones!$T$15+7*(Reprogramaciones!V$14-1))),MIN(F178,(Reprogramaciones!$T$15+7*(Reprogramaciones!V$14-1))+6),11))=0,0,MAX(0,NETWORKDAYS.INTL(MAX(E178,(Reprogramaciones!$T$15+7*(Reprogramaciones!V$14-1))),MIN(F178,Reprogramaciones!V$13),11))/MAX(0,NETWORKDAYS.INTL(MAX(E178,(Reprogramaciones!$T$15+7*(Reprogramaciones!V$14-1))),MIN(F178,(Reprogramaciones!$T$15+7*(Reprogramaciones!V$14-1))+6),11))))))))</f>
        <v/>
      </c>
      <c r="CF178" s="1" t="str">
        <f aca="false">IF(OR(NOT(AND(ISNUMBER(E178),ISNUMBER(F178))),$J$2=""),"",IF(Reprogramaciones!W$13&lt;Reprogramaciones!$T$15,0,IF(Reprogramaciones!W$14&gt;10,MIN(100,SUM($G178:$P178)),MIN(100,SUMPRODUCT((COLUMN($G178:$P178)-COLUMN($G178)+1&lt;Reprogramaciones!W$14)*$G178:$P178)+N(INDEX($G178:$P178,1,Reprogramaciones!W$14))*IF(Reprogramaciones!W$13&gt;=(Reprogramaciones!$T$15+7*(Reprogramaciones!W$14-1))+6,1,IF(MAX(0,NETWORKDAYS.INTL(MAX(E178,(Reprogramaciones!$T$15+7*(Reprogramaciones!W$14-1))),MIN(F178,(Reprogramaciones!$T$15+7*(Reprogramaciones!W$14-1))+6),11))=0,0,MAX(0,NETWORKDAYS.INTL(MAX(E178,(Reprogramaciones!$T$15+7*(Reprogramaciones!W$14-1))),MIN(F178,Reprogramaciones!W$13),11))/MAX(0,NETWORKDAYS.INTL(MAX(E178,(Reprogramaciones!$T$15+7*(Reprogramaciones!W$14-1))),MIN(F178,(Reprogramaciones!$T$15+7*(Reprogramaciones!W$14-1))+6),11))))))))</f>
        <v/>
      </c>
      <c r="CG178" s="1" t="str">
        <f aca="false">IF(OR(NOT(AND(ISNUMBER(E178),ISNUMBER(F178))),$J$2=""),"",IF(Reprogramaciones!X$13&lt;Reprogramaciones!$T$15,0,IF(Reprogramaciones!X$14&gt;10,MIN(100,SUM($G178:$P178)),MIN(100,SUMPRODUCT((COLUMN($G178:$P178)-COLUMN($G178)+1&lt;Reprogramaciones!X$14)*$G178:$P178)+N(INDEX($G178:$P178,1,Reprogramaciones!X$14))*IF(Reprogramaciones!X$13&gt;=(Reprogramaciones!$T$15+7*(Reprogramaciones!X$14-1))+6,1,IF(MAX(0,NETWORKDAYS.INTL(MAX(E178,(Reprogramaciones!$T$15+7*(Reprogramaciones!X$14-1))),MIN(F178,(Reprogramaciones!$T$15+7*(Reprogramaciones!X$14-1))+6),11))=0,0,MAX(0,NETWORKDAYS.INTL(MAX(E178,(Reprogramaciones!$T$15+7*(Reprogramaciones!X$14-1))),MIN(F178,Reprogramaciones!X$13),11))/MAX(0,NETWORKDAYS.INTL(MAX(E178,(Reprogramaciones!$T$15+7*(Reprogramaciones!X$14-1))),MIN(F178,(Reprogramaciones!$T$15+7*(Reprogramaciones!X$14-1))+6),11))))))))</f>
        <v/>
      </c>
      <c r="CH178" s="1" t="str">
        <f aca="false">IF(OR(NOT(AND(ISNUMBER(E178),ISNUMBER(F178))),$J$2=""),"",IF(Reprogramaciones!Y$13&lt;Reprogramaciones!$T$15,0,IF(Reprogramaciones!Y$14&gt;10,MIN(100,SUM($G178:$P178)),MIN(100,SUMPRODUCT((COLUMN($G178:$P178)-COLUMN($G178)+1&lt;Reprogramaciones!Y$14)*$G178:$P178)+N(INDEX($G178:$P178,1,Reprogramaciones!Y$14))*IF(Reprogramaciones!Y$13&gt;=(Reprogramaciones!$T$15+7*(Reprogramaciones!Y$14-1))+6,1,IF(MAX(0,NETWORKDAYS.INTL(MAX(E178,(Reprogramaciones!$T$15+7*(Reprogramaciones!Y$14-1))),MIN(F178,(Reprogramaciones!$T$15+7*(Reprogramaciones!Y$14-1))+6),11))=0,0,MAX(0,NETWORKDAYS.INTL(MAX(E178,(Reprogramaciones!$T$15+7*(Reprogramaciones!Y$14-1))),MIN(F178,Reprogramaciones!Y$13),11))/MAX(0,NETWORKDAYS.INTL(MAX(E178,(Reprogramaciones!$T$15+7*(Reprogramaciones!Y$14-1))),MIN(F178,(Reprogramaciones!$T$15+7*(Reprogramaciones!Y$14-1))+6),11))))))))</f>
        <v/>
      </c>
      <c r="CI178" s="1" t="str">
        <f aca="false">IF(OR(NOT(AND(ISNUMBER(E178),ISNUMBER(F178))),$J$2=""),"",IF(Reprogramaciones!Z$13&lt;Reprogramaciones!$T$15,0,IF(Reprogramaciones!Z$14&gt;10,MIN(100,SUM($G178:$P178)),MIN(100,SUMPRODUCT((COLUMN($G178:$P178)-COLUMN($G178)+1&lt;Reprogramaciones!Z$14)*$G178:$P178)+N(INDEX($G178:$P178,1,Reprogramaciones!Z$14))*IF(Reprogramaciones!Z$13&gt;=(Reprogramaciones!$T$15+7*(Reprogramaciones!Z$14-1))+6,1,IF(MAX(0,NETWORKDAYS.INTL(MAX(E178,(Reprogramaciones!$T$15+7*(Reprogramaciones!Z$14-1))),MIN(F178,(Reprogramaciones!$T$15+7*(Reprogramaciones!Z$14-1))+6),11))=0,0,MAX(0,NETWORKDAYS.INTL(MAX(E178,(Reprogramaciones!$T$15+7*(Reprogramaciones!Z$14-1))),MIN(F178,Reprogramaciones!Z$13),11))/MAX(0,NETWORKDAYS.INTL(MAX(E178,(Reprogramaciones!$T$15+7*(Reprogramaciones!Z$14-1))),MIN(F178,(Reprogramaciones!$T$15+7*(Reprogramaciones!Z$14-1))+6),11))))))))</f>
        <v/>
      </c>
      <c r="CJ178" s="1" t="str">
        <f aca="false">IF(OR(OR(NOT(AND(ISNUMBER(E178),ISNUMBER(F178))),$J$2=""),1&gt;Reprogramaciones!$K$16),"",IF(ROUND(SUM($Q178:Q178),1)&gt;=99.5,100,MIN(100,ROUND(SUM($Q178:Q178),1))))</f>
        <v/>
      </c>
      <c r="CK178" s="1" t="str">
        <f aca="false">IF(OR(OR(NOT(AND(ISNUMBER(E178),ISNUMBER(F178))),$J$2=""),2&gt;Reprogramaciones!$K$16),"",IF(ROUND(SUM($Q178:R178),1)&gt;=99.5,100,MIN(100,ROUND(SUM($Q178:R178),1))))</f>
        <v/>
      </c>
      <c r="CL178" s="1" t="str">
        <f aca="false">IF(OR(OR(NOT(AND(ISNUMBER(E178),ISNUMBER(F178))),$J$2=""),3&gt;Reprogramaciones!$K$16),"",IF(ROUND(SUM($Q178:S178),1)&gt;=99.5,100,MIN(100,ROUND(SUM($Q178:S178),1))))</f>
        <v/>
      </c>
      <c r="CM178" s="1" t="str">
        <f aca="false">IF(OR(OR(NOT(AND(ISNUMBER(E178),ISNUMBER(F178))),$J$2=""),4&gt;Reprogramaciones!$K$16),"",IF(ROUND(SUM($Q178:T178),1)&gt;=99.5,100,MIN(100,ROUND(SUM($Q178:T178),1))))</f>
        <v/>
      </c>
      <c r="CN178" s="1" t="str">
        <f aca="false">IF(OR(OR(NOT(AND(ISNUMBER(E178),ISNUMBER(F178))),$J$2=""),5&gt;Reprogramaciones!$K$16),"",IF(ROUND(SUM($Q178:U178),1)&gt;=99.5,100,MIN(100,ROUND(SUM($Q178:U178),1))))</f>
        <v/>
      </c>
      <c r="CO178" s="1" t="str">
        <f aca="false">IF(OR(OR(NOT(AND(ISNUMBER(E178),ISNUMBER(F178))),$J$2=""),6&gt;Reprogramaciones!$K$16),"",IF(ROUND(SUM($Q178:V178),1)&gt;=99.5,100,MIN(100,ROUND(SUM($Q178:V178),1))))</f>
        <v/>
      </c>
      <c r="CP178" s="1" t="str">
        <f aca="false">IF(OR(OR(NOT(AND(ISNUMBER(E178),ISNUMBER(F178))),$J$2=""),7&gt;Reprogramaciones!$K$16),"",IF(ROUND(SUM($Q178:W178),1)&gt;=99.5,100,MIN(100,ROUND(SUM($Q178:W178),1))))</f>
        <v/>
      </c>
      <c r="CQ178" s="1" t="str">
        <f aca="false">IF(OR(OR(NOT(AND(ISNUMBER(E178),ISNUMBER(F178))),$J$2=""),8&gt;Reprogramaciones!$K$16),"",IF(ROUND(SUM($Q178:X178),1)&gt;=99.5,100,MIN(100,ROUND(SUM($Q178:X178),1))))</f>
        <v/>
      </c>
      <c r="CR178" s="1" t="str">
        <f aca="false">IF(OR(OR(NOT(AND(ISNUMBER(E178),ISNUMBER(F178))),$J$2=""),9&gt;Reprogramaciones!$K$16),"",IF(ROUND(SUM($Q178:Y178),1)&gt;=99.5,100,MIN(100,ROUND(SUM($Q178:Y178),1))))</f>
        <v/>
      </c>
      <c r="CS178" s="1" t="str">
        <f aca="false">IF(OR(OR(NOT(AND(ISNUMBER(E178),ISNUMBER(F178))),$J$2=""),10&gt;Reprogramaciones!$K$16),"",IF(ROUND(SUM($Q178:Z178),1)&gt;=99.5,100,MIN(100,ROUND(SUM($Q178:Z178),1))))</f>
        <v/>
      </c>
      <c r="CT178" s="1" t="str">
        <f aca="false">IF(OR(OR(NOT(AND(ISNUMBER(E178),ISNUMBER(F178))),$J$2=""),11&gt;Reprogramaciones!$K$16),"",IF(ROUND(SUM($Q178:AA178),1)&gt;=99.5,100,MIN(100,ROUND(SUM($Q178:AA178),1))))</f>
        <v/>
      </c>
      <c r="CU178" s="1" t="str">
        <f aca="false">IF(OR(OR(NOT(AND(ISNUMBER(E178),ISNUMBER(F178))),$J$2=""),12&gt;Reprogramaciones!$K$16),"",IF(ROUND(SUM($Q178:AB178),1)&gt;=99.5,100,MIN(100,ROUND(SUM($Q178:AB178),1))))</f>
        <v/>
      </c>
      <c r="CV178" s="1" t="str">
        <f aca="false">IF(OR(OR(NOT(AND(ISNUMBER(E178),ISNUMBER(F178))),$J$2=""),13&gt;Reprogramaciones!$K$16),"",IF(ROUND(SUM($Q178:AC178),1)&gt;=99.5,100,MIN(100,ROUND(SUM($Q178:AC178),1))))</f>
        <v/>
      </c>
      <c r="CW178" s="1" t="str">
        <f aca="false">IF(OR(OR(NOT(AND(ISNUMBER(E178),ISNUMBER(F178))),$J$2=""),14&gt;Reprogramaciones!$K$16),"",IF(ROUND(SUM($Q178:AD178),1)&gt;=99.5,100,MIN(100,ROUND(SUM($Q178:AD178),1))))</f>
        <v/>
      </c>
      <c r="CX178" s="1" t="str">
        <f aca="false">IF(OR(OR(NOT(AND(ISNUMBER(E178),ISNUMBER(F178))),$J$2=""),15&gt;Reprogramaciones!$K$16),"",IF(ROUND(SUM($Q178:AE178),1)&gt;=99.5,100,MIN(100,ROUND(SUM($Q178:AE178),1))))</f>
        <v/>
      </c>
      <c r="CY178" s="1" t="str">
        <f aca="false">IF(OR(OR(NOT(AND(ISNUMBER(E178),ISNUMBER(F178))),$J$2=""),16&gt;Reprogramaciones!$K$16),"",IF(ROUND(SUM($Q178:AF178),1)&gt;=99.5,100,MIN(100,ROUND(SUM($Q178:AF178),1))))</f>
        <v/>
      </c>
      <c r="CZ178" s="1" t="str">
        <f aca="false">IF(D178&lt;&gt;"",D178,IF(B178&lt;&gt;"","Contractual",CZ177))</f>
        <v>Contractual</v>
      </c>
      <c r="DA178" s="1" t="str">
        <f aca="false">IF(OR(NOT(AND(ISNUMBER(E178),ISNUMBER(F178))),$J$2=""),"",IF(Reprogramaciones!$Q$15&lt;Reprogramaciones!$T$15,0,IF(Reprogramaciones!$S$15&gt;10,MIN(100,SUM($G178:$P178)),MIN(100,SUMPRODUCT((COLUMN($G178:$P178)-COLUMN($G178)+1&lt;Reprogramaciones!$S$15)*$G178:$P178)+N(INDEX($G178:$P178,1,Reprogramaciones!$S$15))*IF(Reprogramaciones!$Q$15&gt;=(Reprogramaciones!$T$15+7*(Reprogramaciones!$S$15-1))+6,1,IF(MAX(0,NETWORKDAYS.INTL(MAX(E178,(Reprogramaciones!$T$15+7*(Reprogramaciones!$S$15-1))),MIN(F178,(Reprogramaciones!$T$15+7*(Reprogramaciones!$S$15-1))+6),11))=0,0,MAX(0,NETWORKDAYS.INTL(MAX(E178,(Reprogramaciones!$T$15+7*(Reprogramaciones!$S$15-1))),MIN(F178,Reprogramaciones!$Q$15),11))/MAX(0,NETWORKDAYS.INTL(MAX(E178,(Reprogramaciones!$T$15+7*(Reprogramaciones!$S$15-1))),MIN(F178,(Reprogramaciones!$T$15+7*(Reprogramaciones!$S$15-1))+6),11))))))))</f>
        <v/>
      </c>
    </row>
    <row r="179" customFormat="false" ht="15" hidden="false" customHeight="false" outlineLevel="0" collapsed="false">
      <c r="A179" s="32"/>
      <c r="B179" s="33"/>
      <c r="C179" s="33"/>
      <c r="D179" s="34"/>
      <c r="E179" s="35"/>
      <c r="F179" s="35"/>
      <c r="G179" s="36" t="str">
        <f aca="false">IF(OR(NOT(AND(ISNUMBER(E179),ISNUMBER(F179))),$J$2=""),"",IF(Reprogramaciones!K$9&lt;E179,0,IF(NETWORKDAYS.INTL(E179,F179,11)=0,IF(Reprogramaciones!K$9&gt;=F179,100,0),ROUND(NETWORKDAYS.INTL(E179,MIN(F179,Reprogramaciones!K$9),11)/NETWORKDAYS.INTL(E179,F179,11)*100,1)))-0)</f>
        <v/>
      </c>
      <c r="H179" s="36" t="str">
        <f aca="false">IF(OR(NOT(AND(ISNUMBER(E179),ISNUMBER(F179))),$J$2=""),"",IF(Reprogramaciones!L$9&lt;E179,0,IF(NETWORKDAYS.INTL(E179,F179,11)=0,IF(Reprogramaciones!L$9&gt;=F179,100,0),ROUND(NETWORKDAYS.INTL(E179,MIN(F179,Reprogramaciones!L$9),11)/NETWORKDAYS.INTL(E179,F179,11)*100,1)))-IF(Reprogramaciones!K$9&lt;E179,0,IF(NETWORKDAYS.INTL(E179,F179,11)=0,IF(Reprogramaciones!K$9&gt;=F179,100,0),ROUND(NETWORKDAYS.INTL(E179,MIN(F179,Reprogramaciones!K$9),11)/NETWORKDAYS.INTL(E179,F179,11)*100,1))))</f>
        <v/>
      </c>
      <c r="I179" s="36" t="str">
        <f aca="false">IF(OR(NOT(AND(ISNUMBER(E179),ISNUMBER(F179))),$J$2=""),"",IF(Reprogramaciones!M$9&lt;E179,0,IF(NETWORKDAYS.INTL(E179,F179,11)=0,IF(Reprogramaciones!M$9&gt;=F179,100,0),ROUND(NETWORKDAYS.INTL(E179,MIN(F179,Reprogramaciones!M$9),11)/NETWORKDAYS.INTL(E179,F179,11)*100,1)))-IF(Reprogramaciones!L$9&lt;E179,0,IF(NETWORKDAYS.INTL(E179,F179,11)=0,IF(Reprogramaciones!L$9&gt;=F179,100,0),ROUND(NETWORKDAYS.INTL(E179,MIN(F179,Reprogramaciones!L$9),11)/NETWORKDAYS.INTL(E179,F179,11)*100,1))))</f>
        <v/>
      </c>
      <c r="J179" s="36" t="str">
        <f aca="false">IF(OR(NOT(AND(ISNUMBER(E179),ISNUMBER(F179))),$J$2=""),"",IF(Reprogramaciones!N$9&lt;E179,0,IF(NETWORKDAYS.INTL(E179,F179,11)=0,IF(Reprogramaciones!N$9&gt;=F179,100,0),ROUND(NETWORKDAYS.INTL(E179,MIN(F179,Reprogramaciones!N$9),11)/NETWORKDAYS.INTL(E179,F179,11)*100,1)))-IF(Reprogramaciones!M$9&lt;E179,0,IF(NETWORKDAYS.INTL(E179,F179,11)=0,IF(Reprogramaciones!M$9&gt;=F179,100,0),ROUND(NETWORKDAYS.INTL(E179,MIN(F179,Reprogramaciones!M$9),11)/NETWORKDAYS.INTL(E179,F179,11)*100,1))))</f>
        <v/>
      </c>
      <c r="K179" s="36" t="str">
        <f aca="false">IF(OR(NOT(AND(ISNUMBER(E179),ISNUMBER(F179))),$J$2=""),"",IF(Reprogramaciones!O$9&lt;E179,0,IF(NETWORKDAYS.INTL(E179,F179,11)=0,IF(Reprogramaciones!O$9&gt;=F179,100,0),ROUND(NETWORKDAYS.INTL(E179,MIN(F179,Reprogramaciones!O$9),11)/NETWORKDAYS.INTL(E179,F179,11)*100,1)))-IF(Reprogramaciones!N$9&lt;E179,0,IF(NETWORKDAYS.INTL(E179,F179,11)=0,IF(Reprogramaciones!N$9&gt;=F179,100,0),ROUND(NETWORKDAYS.INTL(E179,MIN(F179,Reprogramaciones!N$9),11)/NETWORKDAYS.INTL(E179,F179,11)*100,1))))</f>
        <v/>
      </c>
      <c r="L179" s="36" t="str">
        <f aca="false">IF(OR(NOT(AND(ISNUMBER(E179),ISNUMBER(F179))),$J$2=""),"",IF(Reprogramaciones!P$9&lt;E179,0,IF(NETWORKDAYS.INTL(E179,F179,11)=0,IF(Reprogramaciones!P$9&gt;=F179,100,0),ROUND(NETWORKDAYS.INTL(E179,MIN(F179,Reprogramaciones!P$9),11)/NETWORKDAYS.INTL(E179,F179,11)*100,1)))-IF(Reprogramaciones!O$9&lt;E179,0,IF(NETWORKDAYS.INTL(E179,F179,11)=0,IF(Reprogramaciones!O$9&gt;=F179,100,0),ROUND(NETWORKDAYS.INTL(E179,MIN(F179,Reprogramaciones!O$9),11)/NETWORKDAYS.INTL(E179,F179,11)*100,1))))</f>
        <v/>
      </c>
      <c r="M179" s="36" t="str">
        <f aca="false">IF(OR(NOT(AND(ISNUMBER(E179),ISNUMBER(F179))),$J$2=""),"",IF(Reprogramaciones!Q$9&lt;E179,0,IF(NETWORKDAYS.INTL(E179,F179,11)=0,IF(Reprogramaciones!Q$9&gt;=F179,100,0),ROUND(NETWORKDAYS.INTL(E179,MIN(F179,Reprogramaciones!Q$9),11)/NETWORKDAYS.INTL(E179,F179,11)*100,1)))-IF(Reprogramaciones!P$9&lt;E179,0,IF(NETWORKDAYS.INTL(E179,F179,11)=0,IF(Reprogramaciones!P$9&gt;=F179,100,0),ROUND(NETWORKDAYS.INTL(E179,MIN(F179,Reprogramaciones!P$9),11)/NETWORKDAYS.INTL(E179,F179,11)*100,1))))</f>
        <v/>
      </c>
      <c r="N179" s="36" t="str">
        <f aca="false">IF(OR(NOT(AND(ISNUMBER(E179),ISNUMBER(F179))),$J$2=""),"",IF(Reprogramaciones!R$9&lt;E179,0,IF(NETWORKDAYS.INTL(E179,F179,11)=0,IF(Reprogramaciones!R$9&gt;=F179,100,0),ROUND(NETWORKDAYS.INTL(E179,MIN(F179,Reprogramaciones!R$9),11)/NETWORKDAYS.INTL(E179,F179,11)*100,1)))-IF(Reprogramaciones!Q$9&lt;E179,0,IF(NETWORKDAYS.INTL(E179,F179,11)=0,IF(Reprogramaciones!Q$9&gt;=F179,100,0),ROUND(NETWORKDAYS.INTL(E179,MIN(F179,Reprogramaciones!Q$9),11)/NETWORKDAYS.INTL(E179,F179,11)*100,1))))</f>
        <v/>
      </c>
      <c r="O179" s="36" t="str">
        <f aca="false">IF(OR(NOT(AND(ISNUMBER(E179),ISNUMBER(F179))),$J$2=""),"",IF(Reprogramaciones!S$9&lt;E179,0,IF(NETWORKDAYS.INTL(E179,F179,11)=0,IF(Reprogramaciones!S$9&gt;=F179,100,0),ROUND(NETWORKDAYS.INTL(E179,MIN(F179,Reprogramaciones!S$9),11)/NETWORKDAYS.INTL(E179,F179,11)*100,1)))-IF(Reprogramaciones!R$9&lt;E179,0,IF(NETWORKDAYS.INTL(E179,F179,11)=0,IF(Reprogramaciones!R$9&gt;=F179,100,0),ROUND(NETWORKDAYS.INTL(E179,MIN(F179,Reprogramaciones!R$9),11)/NETWORKDAYS.INTL(E179,F179,11)*100,1))))</f>
        <v/>
      </c>
      <c r="P179" s="36" t="str">
        <f aca="false">IF(OR(NOT(AND(ISNUMBER(E179),ISNUMBER(F179))),$J$2=""),"",IF(Reprogramaciones!T$9&lt;E179,0,IF(NETWORKDAYS.INTL(E179,F179,11)=0,IF(Reprogramaciones!T$9&gt;=F179,100,0),ROUND(NETWORKDAYS.INTL(E179,MIN(F179,Reprogramaciones!T$9),11)/NETWORKDAYS.INTL(E179,F179,11)*100,1)))-IF(Reprogramaciones!S$9&lt;E179,0,IF(NETWORKDAYS.INTL(E179,F179,11)=0,IF(Reprogramaciones!S$9&gt;=F179,100,0),ROUND(NETWORKDAYS.INTL(E179,MIN(F179,Reprogramaciones!S$9),11)/NETWORKDAYS.INTL(E179,F179,11)*100,1))))</f>
        <v/>
      </c>
      <c r="Q179" s="37"/>
      <c r="R179" s="37"/>
      <c r="S179" s="37"/>
      <c r="T179" s="37"/>
      <c r="U179" s="37"/>
      <c r="V179" s="37"/>
      <c r="W179" s="37"/>
      <c r="X179" s="37"/>
      <c r="Y179" s="37"/>
      <c r="Z179" s="37"/>
      <c r="AA179" s="37"/>
      <c r="AB179" s="37"/>
      <c r="AC179" s="37"/>
      <c r="AD179" s="37"/>
      <c r="AE179" s="37"/>
      <c r="AF179" s="37"/>
      <c r="AG179" s="38" t="str">
        <f aca="false">IF(AND(ISNUMBER(E179),ISNUMBER(F179)),NETWORKDAYS.INTL(E179,F179,11),"")</f>
        <v/>
      </c>
      <c r="AH179" s="38" t="str">
        <f aca="false">IF(OR(NOT(AND(ISNUMBER(E179),ISNUMBER(F179))),$J$2=""),"",IF(Reprogramaciones!$P$15&lt;Reprogramaciones!$T$15,0,IF(Reprogramaciones!$R$15&gt;10,MIN(100,SUM($G179:$P179)),MIN(100,SUMPRODUCT((COLUMN($G179:$P179)-COLUMN($G179)+1&lt;Reprogramaciones!$R$15)*$G179:$P179)+N(INDEX($G179:$P179,1,Reprogramaciones!$R$15))*IF(Reprogramaciones!$P$15&gt;=(Reprogramaciones!$T$15+7*(Reprogramaciones!$R$15-1))+6,1,IF(MAX(0,NETWORKDAYS.INTL(MAX(E179,(Reprogramaciones!$T$15+7*(Reprogramaciones!$R$15-1))),MIN(F179,(Reprogramaciones!$T$15+7*(Reprogramaciones!$R$15-1))+6),11))=0,0,MAX(0,NETWORKDAYS.INTL(MAX(E179,(Reprogramaciones!$T$15+7*(Reprogramaciones!$R$15-1))),MIN(F179,Reprogramaciones!$P$15),11))/MAX(0,NETWORKDAYS.INTL(MAX(E179,(Reprogramaciones!$T$15+7*(Reprogramaciones!$R$15-1))),MIN(F179,(Reprogramaciones!$T$15+7*(Reprogramaciones!$R$15-1))+6),11))))))))</f>
        <v/>
      </c>
      <c r="AI179" s="38" t="str">
        <f aca="false">IF(COUNT($Q179:$AF179)=0,"",IF(ROUND(SUM($Q179:$AF179),1)&gt;=99.5,100,MIN(100,ROUND(SUM($Q179:$AF179),1))))</f>
        <v/>
      </c>
      <c r="AJ179" s="38" t="str">
        <f aca="false">IF(OR(AH179="",AI179=""),"",AI179-AH179)</f>
        <v/>
      </c>
      <c r="AK179" s="39" t="str">
        <f aca="true">IF(AH179="","",IF(OR(Ficha!$C$10="Suspendida",Ficha!$C$10="Cancelada"),Ficha!$C$10,IF(AND(AI179&lt;&gt;"",N(AI179)&gt;=100),"Completada",IF(AND(E179&gt;TODAY(),N(AI179)=0),"Por iniciar",IF(N(AI179)+0.5&lt;AH179,"Retrasada",IF(N(AI179)+0.5&lt;DA179,IF(Reprogramaciones!$K$15&gt;0,"Al día · Sem "&amp;Reprogramaciones!$K$15&amp;" en curso","Al día · en curso"),"A tiempo"))))))</f>
        <v/>
      </c>
      <c r="AL179" s="39" t="str">
        <f aca="true">IF(AND(A179="",AND(B179="",C179="",E179="",F179="",COUNT(Q179:AF179)=0)),"",IF(AND(B179="",C179="",E179="",F179="",COUNT(Q179:AF179)=0),"Falta la partida o subpartida",IF(AND(A179&lt;&gt;"",COUNTIF($A$6:$A$305,A179)&gt;1),"Ítem repetido",IF(AND(C179="",E179="",F179="",COUNT(Q179:AF179)=0),"Título de partida",IF(OR(E179="",F179=""),"Faltan fechas",IF(OR(ISTEXT(E179),ISTEXT(F179)),"Fecha escrita como texto: usa dd/mm/aaaa",IF(F179&lt;E179,"Fin antes del inicio",IF(IF($J$2="",FALSE(),OR(E179&lt;$J$2,F179&gt;Reprogramaciones!$T$15+69)),"Fuera de las 10 semanas",IF(ABS(SUM(G179:P179)-100)&gt;0.5,"La meta no suma 100%",IF(ROUND(SUM(Q179:AF179),1)&gt;100.5,"El avance pasa de 100%",IF(MIN(Q179:AF179)&lt;0,"Avance negativo",IF(COUNTA(Q179:AF179)&gt;COUNT(Q179:AF179),"Avance escrito como texto",IF(SUMPRODUCT((Q179:AF179&gt;0)*(Q179:AF179&lt;1))&gt;0,"Avance menor a 1: escribe 50, no 50%",IF(SUMPRODUCT(ISNUMBER(Q179:AF179)*(Reprogramaciones!$K$8:$Z$8&gt;TODAY()))&gt;0,"Avance en semana que aún no llega",IF(AND(N(Reprogramaciones!$E$21)&gt;0,F179&gt;Reprogramaciones!$E$21),"Pasa el fin de la obra: registra una reprogramación",IF(AND(N(Reprogramaciones!$E$21)&gt;0,SUMPRODUCT(ISNUMBER(Q179:AF179)*(Reprogramaciones!$K$8:$Z$8&gt;Reprogramaciones!$E$21))&gt;0),"Avance después del fin de la obra: registra una reprogramación por atraso","OK"))))))))))))))))</f>
        <v/>
      </c>
      <c r="AM179" s="40" t="str">
        <f aca="false">IF(OR(OR(NOT(AND(ISNUMBER(E179),ISNUMBER(F179))),$J$2=""),1&gt;MAX(1,Reprogramaciones!$U$15)),"",IF(Reprogramaciones!K$12&gt;=7,"",IF(OR(BT179-N(0)&gt;0.05,N(Q179)&gt;0),ROUNDDOWN(ROUND(BT179,6),0)&amp;"%"&amp;IF(CJ179="",""," / "&amp;CJ179&amp;"%"),IF(AND(N(0)&gt;=99.95,CJ179&lt;&gt;"",N(CJ179)&lt;100),"Pend. "&amp;CJ179&amp;"%",""))))</f>
        <v/>
      </c>
      <c r="AN179" s="40" t="str">
        <f aca="false">IF(OR(OR(NOT(AND(ISNUMBER(E179),ISNUMBER(F179))),$J$2=""),2&gt;MAX(1,Reprogramaciones!$U$15)),"",IF(Reprogramaciones!L$12&gt;=7,"",IF(OR(BU179-N(BT179)&gt;0.05,N(R179)&gt;0),ROUNDDOWN(ROUND(BU179,6),0)&amp;"%"&amp;IF(CK179="",""," / "&amp;CK179&amp;"%"),IF(AND(N(BT179)&gt;=99.95,CK179&lt;&gt;"",N(CK179)&lt;100),"Pend. "&amp;CK179&amp;"%",""))))</f>
        <v/>
      </c>
      <c r="AO179" s="40" t="str">
        <f aca="false">IF(OR(OR(NOT(AND(ISNUMBER(E179),ISNUMBER(F179))),$J$2=""),3&gt;MAX(1,Reprogramaciones!$U$15)),"",IF(Reprogramaciones!M$12&gt;=7,"",IF(OR(BV179-N(BU179)&gt;0.05,N(S179)&gt;0),ROUNDDOWN(ROUND(BV179,6),0)&amp;"%"&amp;IF(CL179="",""," / "&amp;CL179&amp;"%"),IF(AND(N(BU179)&gt;=99.95,CL179&lt;&gt;"",N(CL179)&lt;100),"Pend. "&amp;CL179&amp;"%",""))))</f>
        <v/>
      </c>
      <c r="AP179" s="40" t="str">
        <f aca="false">IF(OR(OR(NOT(AND(ISNUMBER(E179),ISNUMBER(F179))),$J$2=""),4&gt;MAX(1,Reprogramaciones!$U$15)),"",IF(Reprogramaciones!N$12&gt;=7,"",IF(OR(BW179-N(BV179)&gt;0.05,N(T179)&gt;0),ROUNDDOWN(ROUND(BW179,6),0)&amp;"%"&amp;IF(CM179="",""," / "&amp;CM179&amp;"%"),IF(AND(N(BV179)&gt;=99.95,CM179&lt;&gt;"",N(CM179)&lt;100),"Pend. "&amp;CM179&amp;"%",""))))</f>
        <v/>
      </c>
      <c r="AQ179" s="40" t="str">
        <f aca="false">IF(OR(OR(NOT(AND(ISNUMBER(E179),ISNUMBER(F179))),$J$2=""),5&gt;MAX(1,Reprogramaciones!$U$15)),"",IF(Reprogramaciones!O$12&gt;=7,"",IF(OR(BX179-N(BW179)&gt;0.05,N(U179)&gt;0),ROUNDDOWN(ROUND(BX179,6),0)&amp;"%"&amp;IF(CN179="",""," / "&amp;CN179&amp;"%"),IF(AND(N(BW179)&gt;=99.95,CN179&lt;&gt;"",N(CN179)&lt;100),"Pend. "&amp;CN179&amp;"%",""))))</f>
        <v/>
      </c>
      <c r="AR179" s="40" t="str">
        <f aca="false">IF(OR(OR(NOT(AND(ISNUMBER(E179),ISNUMBER(F179))),$J$2=""),6&gt;MAX(1,Reprogramaciones!$U$15)),"",IF(Reprogramaciones!P$12&gt;=7,"",IF(OR(BY179-N(BX179)&gt;0.05,N(V179)&gt;0),ROUNDDOWN(ROUND(BY179,6),0)&amp;"%"&amp;IF(CO179="",""," / "&amp;CO179&amp;"%"),IF(AND(N(BX179)&gt;=99.95,CO179&lt;&gt;"",N(CO179)&lt;100),"Pend. "&amp;CO179&amp;"%",""))))</f>
        <v/>
      </c>
      <c r="AS179" s="40" t="str">
        <f aca="false">IF(OR(OR(NOT(AND(ISNUMBER(E179),ISNUMBER(F179))),$J$2=""),7&gt;MAX(1,Reprogramaciones!$U$15)),"",IF(Reprogramaciones!Q$12&gt;=7,"",IF(OR(BZ179-N(BY179)&gt;0.05,N(W179)&gt;0),ROUNDDOWN(ROUND(BZ179,6),0)&amp;"%"&amp;IF(CP179="",""," / "&amp;CP179&amp;"%"),IF(AND(N(BY179)&gt;=99.95,CP179&lt;&gt;"",N(CP179)&lt;100),"Pend. "&amp;CP179&amp;"%",""))))</f>
        <v/>
      </c>
      <c r="AT179" s="40" t="str">
        <f aca="false">IF(OR(OR(NOT(AND(ISNUMBER(E179),ISNUMBER(F179))),$J$2=""),8&gt;MAX(1,Reprogramaciones!$U$15)),"",IF(Reprogramaciones!R$12&gt;=7,"",IF(OR(CA179-N(BZ179)&gt;0.05,N(X179)&gt;0),ROUNDDOWN(ROUND(CA179,6),0)&amp;"%"&amp;IF(CQ179="",""," / "&amp;CQ179&amp;"%"),IF(AND(N(BZ179)&gt;=99.95,CQ179&lt;&gt;"",N(CQ179)&lt;100),"Pend. "&amp;CQ179&amp;"%",""))))</f>
        <v/>
      </c>
      <c r="AU179" s="40" t="str">
        <f aca="false">IF(OR(OR(NOT(AND(ISNUMBER(E179),ISNUMBER(F179))),$J$2=""),9&gt;MAX(1,Reprogramaciones!$U$15)),"",IF(Reprogramaciones!S$12&gt;=7,"",IF(OR(CB179-N(CA179)&gt;0.05,N(Y179)&gt;0),ROUNDDOWN(ROUND(CB179,6),0)&amp;"%"&amp;IF(CR179="",""," / "&amp;CR179&amp;"%"),IF(AND(N(CA179)&gt;=99.95,CR179&lt;&gt;"",N(CR179)&lt;100),"Pend. "&amp;CR179&amp;"%",""))))</f>
        <v/>
      </c>
      <c r="AV179" s="40" t="str">
        <f aca="false">IF(OR(OR(NOT(AND(ISNUMBER(E179),ISNUMBER(F179))),$J$2=""),10&gt;MAX(1,Reprogramaciones!$U$15)),"",IF(Reprogramaciones!T$12&gt;=7,"",IF(OR(CC179-N(CB179)&gt;0.05,N(Z179)&gt;0),ROUNDDOWN(ROUND(CC179,6),0)&amp;"%"&amp;IF(CS179="",""," / "&amp;CS179&amp;"%"),IF(AND(N(CB179)&gt;=99.95,CS179&lt;&gt;"",N(CS179)&lt;100),"Pend. "&amp;CS179&amp;"%",""))))</f>
        <v/>
      </c>
      <c r="AW179" s="40" t="str">
        <f aca="false">IF(OR(OR(NOT(AND(ISNUMBER(E179),ISNUMBER(F179))),$J$2=""),11&gt;MAX(1,Reprogramaciones!$U$15)),"",IF(Reprogramaciones!U$12&gt;=7,"",IF(OR(CD179-N(CC179)&gt;0.05,N(AA179)&gt;0),ROUNDDOWN(ROUND(CD179,6),0)&amp;"%"&amp;IF(CT179="",""," / "&amp;CT179&amp;"%"),IF(AND(N(CC179)&gt;=99.95,CT179&lt;&gt;"",N(CT179)&lt;100),"Pend. "&amp;CT179&amp;"%",""))))</f>
        <v/>
      </c>
      <c r="AX179" s="40" t="str">
        <f aca="false">IF(OR(OR(NOT(AND(ISNUMBER(E179),ISNUMBER(F179))),$J$2=""),12&gt;MAX(1,Reprogramaciones!$U$15)),"",IF(Reprogramaciones!V$12&gt;=7,"",IF(OR(CE179-N(CD179)&gt;0.05,N(AB179)&gt;0),ROUNDDOWN(ROUND(CE179,6),0)&amp;"%"&amp;IF(CU179="",""," / "&amp;CU179&amp;"%"),IF(AND(N(CD179)&gt;=99.95,CU179&lt;&gt;"",N(CU179)&lt;100),"Pend. "&amp;CU179&amp;"%",""))))</f>
        <v/>
      </c>
      <c r="AY179" s="40" t="str">
        <f aca="false">IF(OR(OR(NOT(AND(ISNUMBER(E179),ISNUMBER(F179))),$J$2=""),13&gt;MAX(1,Reprogramaciones!$U$15)),"",IF(Reprogramaciones!W$12&gt;=7,"",IF(OR(CF179-N(CE179)&gt;0.05,N(AC179)&gt;0),ROUNDDOWN(ROUND(CF179,6),0)&amp;"%"&amp;IF(CV179="",""," / "&amp;CV179&amp;"%"),IF(AND(N(CE179)&gt;=99.95,CV179&lt;&gt;"",N(CV179)&lt;100),"Pend. "&amp;CV179&amp;"%",""))))</f>
        <v/>
      </c>
      <c r="AZ179" s="40" t="str">
        <f aca="false">IF(OR(OR(NOT(AND(ISNUMBER(E179),ISNUMBER(F179))),$J$2=""),14&gt;MAX(1,Reprogramaciones!$U$15)),"",IF(Reprogramaciones!X$12&gt;=7,"",IF(OR(CG179-N(CF179)&gt;0.05,N(AD179)&gt;0),ROUNDDOWN(ROUND(CG179,6),0)&amp;"%"&amp;IF(CW179="",""," / "&amp;CW179&amp;"%"),IF(AND(N(CF179)&gt;=99.95,CW179&lt;&gt;"",N(CW179)&lt;100),"Pend. "&amp;CW179&amp;"%",""))))</f>
        <v/>
      </c>
      <c r="BA179" s="40" t="str">
        <f aca="false">IF(OR(OR(NOT(AND(ISNUMBER(E179),ISNUMBER(F179))),$J$2=""),15&gt;MAX(1,Reprogramaciones!$U$15)),"",IF(Reprogramaciones!Y$12&gt;=7,"",IF(OR(CH179-N(CG179)&gt;0.05,N(AE179)&gt;0),ROUNDDOWN(ROUND(CH179,6),0)&amp;"%"&amp;IF(CX179="",""," / "&amp;CX179&amp;"%"),IF(AND(N(CG179)&gt;=99.95,CX179&lt;&gt;"",N(CX179)&lt;100),"Pend. "&amp;CX179&amp;"%",""))))</f>
        <v/>
      </c>
      <c r="BB179" s="40" t="str">
        <f aca="false">IF(OR(OR(NOT(AND(ISNUMBER(E179),ISNUMBER(F179))),$J$2=""),16&gt;MAX(1,Reprogramaciones!$U$15)),"",IF(Reprogramaciones!Z$12&gt;=7,"",IF(OR(CI179-N(CH179)&gt;0.05,N(AF179)&gt;0),ROUNDDOWN(ROUND(CI179,6),0)&amp;"%"&amp;IF(CY179="",""," / "&amp;CY179&amp;"%"),IF(AND(N(CH179)&gt;=99.95,CY179&lt;&gt;"",N(CY179)&lt;100),"Pend. "&amp;CY179&amp;"%",""))))</f>
        <v/>
      </c>
      <c r="BC179" s="31" t="n">
        <f aca="false">IF(AND(ISNUMBER(E179),ISNUMBER(F179)),MAX(1,NETWORKDAYS.INTL(E179,F179,11)),0)</f>
        <v>0</v>
      </c>
      <c r="BD179" s="1" t="str">
        <f aca="false">IF(OR(NOT(AND(ISNUMBER(E179),ISNUMBER(F179))),$J$2=""),"",MIN(100,ROUND(SUM($G179:G179),1)))</f>
        <v/>
      </c>
      <c r="BE179" s="1" t="str">
        <f aca="false">IF(OR(NOT(AND(ISNUMBER(E179),ISNUMBER(F179))),$J$2=""),"",MIN(100,ROUND(SUM($G179:H179),1)))</f>
        <v/>
      </c>
      <c r="BF179" s="1" t="str">
        <f aca="false">IF(OR(NOT(AND(ISNUMBER(E179),ISNUMBER(F179))),$J$2=""),"",MIN(100,ROUND(SUM($G179:I179),1)))</f>
        <v/>
      </c>
      <c r="BG179" s="1" t="str">
        <f aca="false">IF(OR(NOT(AND(ISNUMBER(E179),ISNUMBER(F179))),$J$2=""),"",MIN(100,ROUND(SUM($G179:J179),1)))</f>
        <v/>
      </c>
      <c r="BH179" s="1" t="str">
        <f aca="false">IF(OR(NOT(AND(ISNUMBER(E179),ISNUMBER(F179))),$J$2=""),"",MIN(100,ROUND(SUM($G179:K179),1)))</f>
        <v/>
      </c>
      <c r="BI179" s="1" t="str">
        <f aca="false">IF(OR(NOT(AND(ISNUMBER(E179),ISNUMBER(F179))),$J$2=""),"",MIN(100,ROUND(SUM($G179:L179),1)))</f>
        <v/>
      </c>
      <c r="BJ179" s="1" t="str">
        <f aca="false">IF(OR(NOT(AND(ISNUMBER(E179),ISNUMBER(F179))),$J$2=""),"",MIN(100,ROUND(SUM($G179:M179),1)))</f>
        <v/>
      </c>
      <c r="BK179" s="1" t="str">
        <f aca="false">IF(OR(NOT(AND(ISNUMBER(E179),ISNUMBER(F179))),$J$2=""),"",MIN(100,ROUND(SUM($G179:N179),1)))</f>
        <v/>
      </c>
      <c r="BL179" s="1" t="str">
        <f aca="false">IF(OR(NOT(AND(ISNUMBER(E179),ISNUMBER(F179))),$J$2=""),"",MIN(100,ROUND(SUM($G179:O179),1)))</f>
        <v/>
      </c>
      <c r="BM179" s="1" t="str">
        <f aca="false">IF(OR(NOT(AND(ISNUMBER(E179),ISNUMBER(F179))),$J$2=""),"",MIN(100,ROUND(SUM($G179:P179),1)))</f>
        <v/>
      </c>
      <c r="BN179" s="1" t="str">
        <f aca="false">IF(OR(NOT(AND(ISNUMBER(E179),ISNUMBER(F179))),$J$2=""),"",MIN(100,ROUND(SUM($G179:P179),1)))</f>
        <v/>
      </c>
      <c r="BO179" s="1" t="str">
        <f aca="false">IF(OR(NOT(AND(ISNUMBER(E179),ISNUMBER(F179))),$J$2=""),"",MIN(100,ROUND(SUM($G179:P179),1)))</f>
        <v/>
      </c>
      <c r="BP179" s="1" t="str">
        <f aca="false">IF(OR(NOT(AND(ISNUMBER(E179),ISNUMBER(F179))),$J$2=""),"",MIN(100,ROUND(SUM($G179:P179),1)))</f>
        <v/>
      </c>
      <c r="BQ179" s="1" t="str">
        <f aca="false">IF(OR(NOT(AND(ISNUMBER(E179),ISNUMBER(F179))),$J$2=""),"",MIN(100,ROUND(SUM($G179:P179),1)))</f>
        <v/>
      </c>
      <c r="BR179" s="1" t="str">
        <f aca="false">IF(OR(NOT(AND(ISNUMBER(E179),ISNUMBER(F179))),$J$2=""),"",MIN(100,ROUND(SUM($G179:P179),1)))</f>
        <v/>
      </c>
      <c r="BS179" s="1" t="str">
        <f aca="false">IF(OR(NOT(AND(ISNUMBER(E179),ISNUMBER(F179))),$J$2=""),"",MIN(100,ROUND(SUM($G179:P179),1)))</f>
        <v/>
      </c>
      <c r="BT179" s="1" t="str">
        <f aca="false">IF(OR(NOT(AND(ISNUMBER(E179),ISNUMBER(F179))),$J$2=""),"",IF(Reprogramaciones!K$13&lt;Reprogramaciones!$T$15,0,IF(Reprogramaciones!K$14&gt;10,MIN(100,SUM($G179:$P179)),MIN(100,SUMPRODUCT((COLUMN($G179:$P179)-COLUMN($G179)+1&lt;Reprogramaciones!K$14)*$G179:$P179)+N(INDEX($G179:$P179,1,Reprogramaciones!K$14))*IF(Reprogramaciones!K$13&gt;=(Reprogramaciones!$T$15+7*(Reprogramaciones!K$14-1))+6,1,IF(MAX(0,NETWORKDAYS.INTL(MAX(E179,(Reprogramaciones!$T$15+7*(Reprogramaciones!K$14-1))),MIN(F179,(Reprogramaciones!$T$15+7*(Reprogramaciones!K$14-1))+6),11))=0,0,MAX(0,NETWORKDAYS.INTL(MAX(E179,(Reprogramaciones!$T$15+7*(Reprogramaciones!K$14-1))),MIN(F179,Reprogramaciones!K$13),11))/MAX(0,NETWORKDAYS.INTL(MAX(E179,(Reprogramaciones!$T$15+7*(Reprogramaciones!K$14-1))),MIN(F179,(Reprogramaciones!$T$15+7*(Reprogramaciones!K$14-1))+6),11))))))))</f>
        <v/>
      </c>
      <c r="BU179" s="1" t="str">
        <f aca="false">IF(OR(NOT(AND(ISNUMBER(E179),ISNUMBER(F179))),$J$2=""),"",IF(Reprogramaciones!L$13&lt;Reprogramaciones!$T$15,0,IF(Reprogramaciones!L$14&gt;10,MIN(100,SUM($G179:$P179)),MIN(100,SUMPRODUCT((COLUMN($G179:$P179)-COLUMN($G179)+1&lt;Reprogramaciones!L$14)*$G179:$P179)+N(INDEX($G179:$P179,1,Reprogramaciones!L$14))*IF(Reprogramaciones!L$13&gt;=(Reprogramaciones!$T$15+7*(Reprogramaciones!L$14-1))+6,1,IF(MAX(0,NETWORKDAYS.INTL(MAX(E179,(Reprogramaciones!$T$15+7*(Reprogramaciones!L$14-1))),MIN(F179,(Reprogramaciones!$T$15+7*(Reprogramaciones!L$14-1))+6),11))=0,0,MAX(0,NETWORKDAYS.INTL(MAX(E179,(Reprogramaciones!$T$15+7*(Reprogramaciones!L$14-1))),MIN(F179,Reprogramaciones!L$13),11))/MAX(0,NETWORKDAYS.INTL(MAX(E179,(Reprogramaciones!$T$15+7*(Reprogramaciones!L$14-1))),MIN(F179,(Reprogramaciones!$T$15+7*(Reprogramaciones!L$14-1))+6),11))))))))</f>
        <v/>
      </c>
      <c r="BV179" s="1" t="str">
        <f aca="false">IF(OR(NOT(AND(ISNUMBER(E179),ISNUMBER(F179))),$J$2=""),"",IF(Reprogramaciones!M$13&lt;Reprogramaciones!$T$15,0,IF(Reprogramaciones!M$14&gt;10,MIN(100,SUM($G179:$P179)),MIN(100,SUMPRODUCT((COLUMN($G179:$P179)-COLUMN($G179)+1&lt;Reprogramaciones!M$14)*$G179:$P179)+N(INDEX($G179:$P179,1,Reprogramaciones!M$14))*IF(Reprogramaciones!M$13&gt;=(Reprogramaciones!$T$15+7*(Reprogramaciones!M$14-1))+6,1,IF(MAX(0,NETWORKDAYS.INTL(MAX(E179,(Reprogramaciones!$T$15+7*(Reprogramaciones!M$14-1))),MIN(F179,(Reprogramaciones!$T$15+7*(Reprogramaciones!M$14-1))+6),11))=0,0,MAX(0,NETWORKDAYS.INTL(MAX(E179,(Reprogramaciones!$T$15+7*(Reprogramaciones!M$14-1))),MIN(F179,Reprogramaciones!M$13),11))/MAX(0,NETWORKDAYS.INTL(MAX(E179,(Reprogramaciones!$T$15+7*(Reprogramaciones!M$14-1))),MIN(F179,(Reprogramaciones!$T$15+7*(Reprogramaciones!M$14-1))+6),11))))))))</f>
        <v/>
      </c>
      <c r="BW179" s="1" t="str">
        <f aca="false">IF(OR(NOT(AND(ISNUMBER(E179),ISNUMBER(F179))),$J$2=""),"",IF(Reprogramaciones!N$13&lt;Reprogramaciones!$T$15,0,IF(Reprogramaciones!N$14&gt;10,MIN(100,SUM($G179:$P179)),MIN(100,SUMPRODUCT((COLUMN($G179:$P179)-COLUMN($G179)+1&lt;Reprogramaciones!N$14)*$G179:$P179)+N(INDEX($G179:$P179,1,Reprogramaciones!N$14))*IF(Reprogramaciones!N$13&gt;=(Reprogramaciones!$T$15+7*(Reprogramaciones!N$14-1))+6,1,IF(MAX(0,NETWORKDAYS.INTL(MAX(E179,(Reprogramaciones!$T$15+7*(Reprogramaciones!N$14-1))),MIN(F179,(Reprogramaciones!$T$15+7*(Reprogramaciones!N$14-1))+6),11))=0,0,MAX(0,NETWORKDAYS.INTL(MAX(E179,(Reprogramaciones!$T$15+7*(Reprogramaciones!N$14-1))),MIN(F179,Reprogramaciones!N$13),11))/MAX(0,NETWORKDAYS.INTL(MAX(E179,(Reprogramaciones!$T$15+7*(Reprogramaciones!N$14-1))),MIN(F179,(Reprogramaciones!$T$15+7*(Reprogramaciones!N$14-1))+6),11))))))))</f>
        <v/>
      </c>
      <c r="BX179" s="1" t="str">
        <f aca="false">IF(OR(NOT(AND(ISNUMBER(E179),ISNUMBER(F179))),$J$2=""),"",IF(Reprogramaciones!O$13&lt;Reprogramaciones!$T$15,0,IF(Reprogramaciones!O$14&gt;10,MIN(100,SUM($G179:$P179)),MIN(100,SUMPRODUCT((COLUMN($G179:$P179)-COLUMN($G179)+1&lt;Reprogramaciones!O$14)*$G179:$P179)+N(INDEX($G179:$P179,1,Reprogramaciones!O$14))*IF(Reprogramaciones!O$13&gt;=(Reprogramaciones!$T$15+7*(Reprogramaciones!O$14-1))+6,1,IF(MAX(0,NETWORKDAYS.INTL(MAX(E179,(Reprogramaciones!$T$15+7*(Reprogramaciones!O$14-1))),MIN(F179,(Reprogramaciones!$T$15+7*(Reprogramaciones!O$14-1))+6),11))=0,0,MAX(0,NETWORKDAYS.INTL(MAX(E179,(Reprogramaciones!$T$15+7*(Reprogramaciones!O$14-1))),MIN(F179,Reprogramaciones!O$13),11))/MAX(0,NETWORKDAYS.INTL(MAX(E179,(Reprogramaciones!$T$15+7*(Reprogramaciones!O$14-1))),MIN(F179,(Reprogramaciones!$T$15+7*(Reprogramaciones!O$14-1))+6),11))))))))</f>
        <v/>
      </c>
      <c r="BY179" s="1" t="str">
        <f aca="false">IF(OR(NOT(AND(ISNUMBER(E179),ISNUMBER(F179))),$J$2=""),"",IF(Reprogramaciones!P$13&lt;Reprogramaciones!$T$15,0,IF(Reprogramaciones!P$14&gt;10,MIN(100,SUM($G179:$P179)),MIN(100,SUMPRODUCT((COLUMN($G179:$P179)-COLUMN($G179)+1&lt;Reprogramaciones!P$14)*$G179:$P179)+N(INDEX($G179:$P179,1,Reprogramaciones!P$14))*IF(Reprogramaciones!P$13&gt;=(Reprogramaciones!$T$15+7*(Reprogramaciones!P$14-1))+6,1,IF(MAX(0,NETWORKDAYS.INTL(MAX(E179,(Reprogramaciones!$T$15+7*(Reprogramaciones!P$14-1))),MIN(F179,(Reprogramaciones!$T$15+7*(Reprogramaciones!P$14-1))+6),11))=0,0,MAX(0,NETWORKDAYS.INTL(MAX(E179,(Reprogramaciones!$T$15+7*(Reprogramaciones!P$14-1))),MIN(F179,Reprogramaciones!P$13),11))/MAX(0,NETWORKDAYS.INTL(MAX(E179,(Reprogramaciones!$T$15+7*(Reprogramaciones!P$14-1))),MIN(F179,(Reprogramaciones!$T$15+7*(Reprogramaciones!P$14-1))+6),11))))))))</f>
        <v/>
      </c>
      <c r="BZ179" s="1" t="str">
        <f aca="false">IF(OR(NOT(AND(ISNUMBER(E179),ISNUMBER(F179))),$J$2=""),"",IF(Reprogramaciones!Q$13&lt;Reprogramaciones!$T$15,0,IF(Reprogramaciones!Q$14&gt;10,MIN(100,SUM($G179:$P179)),MIN(100,SUMPRODUCT((COLUMN($G179:$P179)-COLUMN($G179)+1&lt;Reprogramaciones!Q$14)*$G179:$P179)+N(INDEX($G179:$P179,1,Reprogramaciones!Q$14))*IF(Reprogramaciones!Q$13&gt;=(Reprogramaciones!$T$15+7*(Reprogramaciones!Q$14-1))+6,1,IF(MAX(0,NETWORKDAYS.INTL(MAX(E179,(Reprogramaciones!$T$15+7*(Reprogramaciones!Q$14-1))),MIN(F179,(Reprogramaciones!$T$15+7*(Reprogramaciones!Q$14-1))+6),11))=0,0,MAX(0,NETWORKDAYS.INTL(MAX(E179,(Reprogramaciones!$T$15+7*(Reprogramaciones!Q$14-1))),MIN(F179,Reprogramaciones!Q$13),11))/MAX(0,NETWORKDAYS.INTL(MAX(E179,(Reprogramaciones!$T$15+7*(Reprogramaciones!Q$14-1))),MIN(F179,(Reprogramaciones!$T$15+7*(Reprogramaciones!Q$14-1))+6),11))))))))</f>
        <v/>
      </c>
      <c r="CA179" s="1" t="str">
        <f aca="false">IF(OR(NOT(AND(ISNUMBER(E179),ISNUMBER(F179))),$J$2=""),"",IF(Reprogramaciones!R$13&lt;Reprogramaciones!$T$15,0,IF(Reprogramaciones!R$14&gt;10,MIN(100,SUM($G179:$P179)),MIN(100,SUMPRODUCT((COLUMN($G179:$P179)-COLUMN($G179)+1&lt;Reprogramaciones!R$14)*$G179:$P179)+N(INDEX($G179:$P179,1,Reprogramaciones!R$14))*IF(Reprogramaciones!R$13&gt;=(Reprogramaciones!$T$15+7*(Reprogramaciones!R$14-1))+6,1,IF(MAX(0,NETWORKDAYS.INTL(MAX(E179,(Reprogramaciones!$T$15+7*(Reprogramaciones!R$14-1))),MIN(F179,(Reprogramaciones!$T$15+7*(Reprogramaciones!R$14-1))+6),11))=0,0,MAX(0,NETWORKDAYS.INTL(MAX(E179,(Reprogramaciones!$T$15+7*(Reprogramaciones!R$14-1))),MIN(F179,Reprogramaciones!R$13),11))/MAX(0,NETWORKDAYS.INTL(MAX(E179,(Reprogramaciones!$T$15+7*(Reprogramaciones!R$14-1))),MIN(F179,(Reprogramaciones!$T$15+7*(Reprogramaciones!R$14-1))+6),11))))))))</f>
        <v/>
      </c>
      <c r="CB179" s="1" t="str">
        <f aca="false">IF(OR(NOT(AND(ISNUMBER(E179),ISNUMBER(F179))),$J$2=""),"",IF(Reprogramaciones!S$13&lt;Reprogramaciones!$T$15,0,IF(Reprogramaciones!S$14&gt;10,MIN(100,SUM($G179:$P179)),MIN(100,SUMPRODUCT((COLUMN($G179:$P179)-COLUMN($G179)+1&lt;Reprogramaciones!S$14)*$G179:$P179)+N(INDEX($G179:$P179,1,Reprogramaciones!S$14))*IF(Reprogramaciones!S$13&gt;=(Reprogramaciones!$T$15+7*(Reprogramaciones!S$14-1))+6,1,IF(MAX(0,NETWORKDAYS.INTL(MAX(E179,(Reprogramaciones!$T$15+7*(Reprogramaciones!S$14-1))),MIN(F179,(Reprogramaciones!$T$15+7*(Reprogramaciones!S$14-1))+6),11))=0,0,MAX(0,NETWORKDAYS.INTL(MAX(E179,(Reprogramaciones!$T$15+7*(Reprogramaciones!S$14-1))),MIN(F179,Reprogramaciones!S$13),11))/MAX(0,NETWORKDAYS.INTL(MAX(E179,(Reprogramaciones!$T$15+7*(Reprogramaciones!S$14-1))),MIN(F179,(Reprogramaciones!$T$15+7*(Reprogramaciones!S$14-1))+6),11))))))))</f>
        <v/>
      </c>
      <c r="CC179" s="1" t="str">
        <f aca="false">IF(OR(NOT(AND(ISNUMBER(E179),ISNUMBER(F179))),$J$2=""),"",IF(Reprogramaciones!T$13&lt;Reprogramaciones!$T$15,0,IF(Reprogramaciones!T$14&gt;10,MIN(100,SUM($G179:$P179)),MIN(100,SUMPRODUCT((COLUMN($G179:$P179)-COLUMN($G179)+1&lt;Reprogramaciones!T$14)*$G179:$P179)+N(INDEX($G179:$P179,1,Reprogramaciones!T$14))*IF(Reprogramaciones!T$13&gt;=(Reprogramaciones!$T$15+7*(Reprogramaciones!T$14-1))+6,1,IF(MAX(0,NETWORKDAYS.INTL(MAX(E179,(Reprogramaciones!$T$15+7*(Reprogramaciones!T$14-1))),MIN(F179,(Reprogramaciones!$T$15+7*(Reprogramaciones!T$14-1))+6),11))=0,0,MAX(0,NETWORKDAYS.INTL(MAX(E179,(Reprogramaciones!$T$15+7*(Reprogramaciones!T$14-1))),MIN(F179,Reprogramaciones!T$13),11))/MAX(0,NETWORKDAYS.INTL(MAX(E179,(Reprogramaciones!$T$15+7*(Reprogramaciones!T$14-1))),MIN(F179,(Reprogramaciones!$T$15+7*(Reprogramaciones!T$14-1))+6),11))))))))</f>
        <v/>
      </c>
      <c r="CD179" s="1" t="str">
        <f aca="false">IF(OR(NOT(AND(ISNUMBER(E179),ISNUMBER(F179))),$J$2=""),"",IF(Reprogramaciones!U$13&lt;Reprogramaciones!$T$15,0,IF(Reprogramaciones!U$14&gt;10,MIN(100,SUM($G179:$P179)),MIN(100,SUMPRODUCT((COLUMN($G179:$P179)-COLUMN($G179)+1&lt;Reprogramaciones!U$14)*$G179:$P179)+N(INDEX($G179:$P179,1,Reprogramaciones!U$14))*IF(Reprogramaciones!U$13&gt;=(Reprogramaciones!$T$15+7*(Reprogramaciones!U$14-1))+6,1,IF(MAX(0,NETWORKDAYS.INTL(MAX(E179,(Reprogramaciones!$T$15+7*(Reprogramaciones!U$14-1))),MIN(F179,(Reprogramaciones!$T$15+7*(Reprogramaciones!U$14-1))+6),11))=0,0,MAX(0,NETWORKDAYS.INTL(MAX(E179,(Reprogramaciones!$T$15+7*(Reprogramaciones!U$14-1))),MIN(F179,Reprogramaciones!U$13),11))/MAX(0,NETWORKDAYS.INTL(MAX(E179,(Reprogramaciones!$T$15+7*(Reprogramaciones!U$14-1))),MIN(F179,(Reprogramaciones!$T$15+7*(Reprogramaciones!U$14-1))+6),11))))))))</f>
        <v/>
      </c>
      <c r="CE179" s="1" t="str">
        <f aca="false">IF(OR(NOT(AND(ISNUMBER(E179),ISNUMBER(F179))),$J$2=""),"",IF(Reprogramaciones!V$13&lt;Reprogramaciones!$T$15,0,IF(Reprogramaciones!V$14&gt;10,MIN(100,SUM($G179:$P179)),MIN(100,SUMPRODUCT((COLUMN($G179:$P179)-COLUMN($G179)+1&lt;Reprogramaciones!V$14)*$G179:$P179)+N(INDEX($G179:$P179,1,Reprogramaciones!V$14))*IF(Reprogramaciones!V$13&gt;=(Reprogramaciones!$T$15+7*(Reprogramaciones!V$14-1))+6,1,IF(MAX(0,NETWORKDAYS.INTL(MAX(E179,(Reprogramaciones!$T$15+7*(Reprogramaciones!V$14-1))),MIN(F179,(Reprogramaciones!$T$15+7*(Reprogramaciones!V$14-1))+6),11))=0,0,MAX(0,NETWORKDAYS.INTL(MAX(E179,(Reprogramaciones!$T$15+7*(Reprogramaciones!V$14-1))),MIN(F179,Reprogramaciones!V$13),11))/MAX(0,NETWORKDAYS.INTL(MAX(E179,(Reprogramaciones!$T$15+7*(Reprogramaciones!V$14-1))),MIN(F179,(Reprogramaciones!$T$15+7*(Reprogramaciones!V$14-1))+6),11))))))))</f>
        <v/>
      </c>
      <c r="CF179" s="1" t="str">
        <f aca="false">IF(OR(NOT(AND(ISNUMBER(E179),ISNUMBER(F179))),$J$2=""),"",IF(Reprogramaciones!W$13&lt;Reprogramaciones!$T$15,0,IF(Reprogramaciones!W$14&gt;10,MIN(100,SUM($G179:$P179)),MIN(100,SUMPRODUCT((COLUMN($G179:$P179)-COLUMN($G179)+1&lt;Reprogramaciones!W$14)*$G179:$P179)+N(INDEX($G179:$P179,1,Reprogramaciones!W$14))*IF(Reprogramaciones!W$13&gt;=(Reprogramaciones!$T$15+7*(Reprogramaciones!W$14-1))+6,1,IF(MAX(0,NETWORKDAYS.INTL(MAX(E179,(Reprogramaciones!$T$15+7*(Reprogramaciones!W$14-1))),MIN(F179,(Reprogramaciones!$T$15+7*(Reprogramaciones!W$14-1))+6),11))=0,0,MAX(0,NETWORKDAYS.INTL(MAX(E179,(Reprogramaciones!$T$15+7*(Reprogramaciones!W$14-1))),MIN(F179,Reprogramaciones!W$13),11))/MAX(0,NETWORKDAYS.INTL(MAX(E179,(Reprogramaciones!$T$15+7*(Reprogramaciones!W$14-1))),MIN(F179,(Reprogramaciones!$T$15+7*(Reprogramaciones!W$14-1))+6),11))))))))</f>
        <v/>
      </c>
      <c r="CG179" s="1" t="str">
        <f aca="false">IF(OR(NOT(AND(ISNUMBER(E179),ISNUMBER(F179))),$J$2=""),"",IF(Reprogramaciones!X$13&lt;Reprogramaciones!$T$15,0,IF(Reprogramaciones!X$14&gt;10,MIN(100,SUM($G179:$P179)),MIN(100,SUMPRODUCT((COLUMN($G179:$P179)-COLUMN($G179)+1&lt;Reprogramaciones!X$14)*$G179:$P179)+N(INDEX($G179:$P179,1,Reprogramaciones!X$14))*IF(Reprogramaciones!X$13&gt;=(Reprogramaciones!$T$15+7*(Reprogramaciones!X$14-1))+6,1,IF(MAX(0,NETWORKDAYS.INTL(MAX(E179,(Reprogramaciones!$T$15+7*(Reprogramaciones!X$14-1))),MIN(F179,(Reprogramaciones!$T$15+7*(Reprogramaciones!X$14-1))+6),11))=0,0,MAX(0,NETWORKDAYS.INTL(MAX(E179,(Reprogramaciones!$T$15+7*(Reprogramaciones!X$14-1))),MIN(F179,Reprogramaciones!X$13),11))/MAX(0,NETWORKDAYS.INTL(MAX(E179,(Reprogramaciones!$T$15+7*(Reprogramaciones!X$14-1))),MIN(F179,(Reprogramaciones!$T$15+7*(Reprogramaciones!X$14-1))+6),11))))))))</f>
        <v/>
      </c>
      <c r="CH179" s="1" t="str">
        <f aca="false">IF(OR(NOT(AND(ISNUMBER(E179),ISNUMBER(F179))),$J$2=""),"",IF(Reprogramaciones!Y$13&lt;Reprogramaciones!$T$15,0,IF(Reprogramaciones!Y$14&gt;10,MIN(100,SUM($G179:$P179)),MIN(100,SUMPRODUCT((COLUMN($G179:$P179)-COLUMN($G179)+1&lt;Reprogramaciones!Y$14)*$G179:$P179)+N(INDEX($G179:$P179,1,Reprogramaciones!Y$14))*IF(Reprogramaciones!Y$13&gt;=(Reprogramaciones!$T$15+7*(Reprogramaciones!Y$14-1))+6,1,IF(MAX(0,NETWORKDAYS.INTL(MAX(E179,(Reprogramaciones!$T$15+7*(Reprogramaciones!Y$14-1))),MIN(F179,(Reprogramaciones!$T$15+7*(Reprogramaciones!Y$14-1))+6),11))=0,0,MAX(0,NETWORKDAYS.INTL(MAX(E179,(Reprogramaciones!$T$15+7*(Reprogramaciones!Y$14-1))),MIN(F179,Reprogramaciones!Y$13),11))/MAX(0,NETWORKDAYS.INTL(MAX(E179,(Reprogramaciones!$T$15+7*(Reprogramaciones!Y$14-1))),MIN(F179,(Reprogramaciones!$T$15+7*(Reprogramaciones!Y$14-1))+6),11))))))))</f>
        <v/>
      </c>
      <c r="CI179" s="1" t="str">
        <f aca="false">IF(OR(NOT(AND(ISNUMBER(E179),ISNUMBER(F179))),$J$2=""),"",IF(Reprogramaciones!Z$13&lt;Reprogramaciones!$T$15,0,IF(Reprogramaciones!Z$14&gt;10,MIN(100,SUM($G179:$P179)),MIN(100,SUMPRODUCT((COLUMN($G179:$P179)-COLUMN($G179)+1&lt;Reprogramaciones!Z$14)*$G179:$P179)+N(INDEX($G179:$P179,1,Reprogramaciones!Z$14))*IF(Reprogramaciones!Z$13&gt;=(Reprogramaciones!$T$15+7*(Reprogramaciones!Z$14-1))+6,1,IF(MAX(0,NETWORKDAYS.INTL(MAX(E179,(Reprogramaciones!$T$15+7*(Reprogramaciones!Z$14-1))),MIN(F179,(Reprogramaciones!$T$15+7*(Reprogramaciones!Z$14-1))+6),11))=0,0,MAX(0,NETWORKDAYS.INTL(MAX(E179,(Reprogramaciones!$T$15+7*(Reprogramaciones!Z$14-1))),MIN(F179,Reprogramaciones!Z$13),11))/MAX(0,NETWORKDAYS.INTL(MAX(E179,(Reprogramaciones!$T$15+7*(Reprogramaciones!Z$14-1))),MIN(F179,(Reprogramaciones!$T$15+7*(Reprogramaciones!Z$14-1))+6),11))))))))</f>
        <v/>
      </c>
      <c r="CJ179" s="1" t="str">
        <f aca="false">IF(OR(OR(NOT(AND(ISNUMBER(E179),ISNUMBER(F179))),$J$2=""),1&gt;Reprogramaciones!$K$16),"",IF(ROUND(SUM($Q179:Q179),1)&gt;=99.5,100,MIN(100,ROUND(SUM($Q179:Q179),1))))</f>
        <v/>
      </c>
      <c r="CK179" s="1" t="str">
        <f aca="false">IF(OR(OR(NOT(AND(ISNUMBER(E179),ISNUMBER(F179))),$J$2=""),2&gt;Reprogramaciones!$K$16),"",IF(ROUND(SUM($Q179:R179),1)&gt;=99.5,100,MIN(100,ROUND(SUM($Q179:R179),1))))</f>
        <v/>
      </c>
      <c r="CL179" s="1" t="str">
        <f aca="false">IF(OR(OR(NOT(AND(ISNUMBER(E179),ISNUMBER(F179))),$J$2=""),3&gt;Reprogramaciones!$K$16),"",IF(ROUND(SUM($Q179:S179),1)&gt;=99.5,100,MIN(100,ROUND(SUM($Q179:S179),1))))</f>
        <v/>
      </c>
      <c r="CM179" s="1" t="str">
        <f aca="false">IF(OR(OR(NOT(AND(ISNUMBER(E179),ISNUMBER(F179))),$J$2=""),4&gt;Reprogramaciones!$K$16),"",IF(ROUND(SUM($Q179:T179),1)&gt;=99.5,100,MIN(100,ROUND(SUM($Q179:T179),1))))</f>
        <v/>
      </c>
      <c r="CN179" s="1" t="str">
        <f aca="false">IF(OR(OR(NOT(AND(ISNUMBER(E179),ISNUMBER(F179))),$J$2=""),5&gt;Reprogramaciones!$K$16),"",IF(ROUND(SUM($Q179:U179),1)&gt;=99.5,100,MIN(100,ROUND(SUM($Q179:U179),1))))</f>
        <v/>
      </c>
      <c r="CO179" s="1" t="str">
        <f aca="false">IF(OR(OR(NOT(AND(ISNUMBER(E179),ISNUMBER(F179))),$J$2=""),6&gt;Reprogramaciones!$K$16),"",IF(ROUND(SUM($Q179:V179),1)&gt;=99.5,100,MIN(100,ROUND(SUM($Q179:V179),1))))</f>
        <v/>
      </c>
      <c r="CP179" s="1" t="str">
        <f aca="false">IF(OR(OR(NOT(AND(ISNUMBER(E179),ISNUMBER(F179))),$J$2=""),7&gt;Reprogramaciones!$K$16),"",IF(ROUND(SUM($Q179:W179),1)&gt;=99.5,100,MIN(100,ROUND(SUM($Q179:W179),1))))</f>
        <v/>
      </c>
      <c r="CQ179" s="1" t="str">
        <f aca="false">IF(OR(OR(NOT(AND(ISNUMBER(E179),ISNUMBER(F179))),$J$2=""),8&gt;Reprogramaciones!$K$16),"",IF(ROUND(SUM($Q179:X179),1)&gt;=99.5,100,MIN(100,ROUND(SUM($Q179:X179),1))))</f>
        <v/>
      </c>
      <c r="CR179" s="1" t="str">
        <f aca="false">IF(OR(OR(NOT(AND(ISNUMBER(E179),ISNUMBER(F179))),$J$2=""),9&gt;Reprogramaciones!$K$16),"",IF(ROUND(SUM($Q179:Y179),1)&gt;=99.5,100,MIN(100,ROUND(SUM($Q179:Y179),1))))</f>
        <v/>
      </c>
      <c r="CS179" s="1" t="str">
        <f aca="false">IF(OR(OR(NOT(AND(ISNUMBER(E179),ISNUMBER(F179))),$J$2=""),10&gt;Reprogramaciones!$K$16),"",IF(ROUND(SUM($Q179:Z179),1)&gt;=99.5,100,MIN(100,ROUND(SUM($Q179:Z179),1))))</f>
        <v/>
      </c>
      <c r="CT179" s="1" t="str">
        <f aca="false">IF(OR(OR(NOT(AND(ISNUMBER(E179),ISNUMBER(F179))),$J$2=""),11&gt;Reprogramaciones!$K$16),"",IF(ROUND(SUM($Q179:AA179),1)&gt;=99.5,100,MIN(100,ROUND(SUM($Q179:AA179),1))))</f>
        <v/>
      </c>
      <c r="CU179" s="1" t="str">
        <f aca="false">IF(OR(OR(NOT(AND(ISNUMBER(E179),ISNUMBER(F179))),$J$2=""),12&gt;Reprogramaciones!$K$16),"",IF(ROUND(SUM($Q179:AB179),1)&gt;=99.5,100,MIN(100,ROUND(SUM($Q179:AB179),1))))</f>
        <v/>
      </c>
      <c r="CV179" s="1" t="str">
        <f aca="false">IF(OR(OR(NOT(AND(ISNUMBER(E179),ISNUMBER(F179))),$J$2=""),13&gt;Reprogramaciones!$K$16),"",IF(ROUND(SUM($Q179:AC179),1)&gt;=99.5,100,MIN(100,ROUND(SUM($Q179:AC179),1))))</f>
        <v/>
      </c>
      <c r="CW179" s="1" t="str">
        <f aca="false">IF(OR(OR(NOT(AND(ISNUMBER(E179),ISNUMBER(F179))),$J$2=""),14&gt;Reprogramaciones!$K$16),"",IF(ROUND(SUM($Q179:AD179),1)&gt;=99.5,100,MIN(100,ROUND(SUM($Q179:AD179),1))))</f>
        <v/>
      </c>
      <c r="CX179" s="1" t="str">
        <f aca="false">IF(OR(OR(NOT(AND(ISNUMBER(E179),ISNUMBER(F179))),$J$2=""),15&gt;Reprogramaciones!$K$16),"",IF(ROUND(SUM($Q179:AE179),1)&gt;=99.5,100,MIN(100,ROUND(SUM($Q179:AE179),1))))</f>
        <v/>
      </c>
      <c r="CY179" s="1" t="str">
        <f aca="false">IF(OR(OR(NOT(AND(ISNUMBER(E179),ISNUMBER(F179))),$J$2=""),16&gt;Reprogramaciones!$K$16),"",IF(ROUND(SUM($Q179:AF179),1)&gt;=99.5,100,MIN(100,ROUND(SUM($Q179:AF179),1))))</f>
        <v/>
      </c>
      <c r="CZ179" s="1" t="str">
        <f aca="false">IF(D179&lt;&gt;"",D179,IF(B179&lt;&gt;"","Contractual",CZ178))</f>
        <v>Contractual</v>
      </c>
      <c r="DA179" s="1" t="str">
        <f aca="false">IF(OR(NOT(AND(ISNUMBER(E179),ISNUMBER(F179))),$J$2=""),"",IF(Reprogramaciones!$Q$15&lt;Reprogramaciones!$T$15,0,IF(Reprogramaciones!$S$15&gt;10,MIN(100,SUM($G179:$P179)),MIN(100,SUMPRODUCT((COLUMN($G179:$P179)-COLUMN($G179)+1&lt;Reprogramaciones!$S$15)*$G179:$P179)+N(INDEX($G179:$P179,1,Reprogramaciones!$S$15))*IF(Reprogramaciones!$Q$15&gt;=(Reprogramaciones!$T$15+7*(Reprogramaciones!$S$15-1))+6,1,IF(MAX(0,NETWORKDAYS.INTL(MAX(E179,(Reprogramaciones!$T$15+7*(Reprogramaciones!$S$15-1))),MIN(F179,(Reprogramaciones!$T$15+7*(Reprogramaciones!$S$15-1))+6),11))=0,0,MAX(0,NETWORKDAYS.INTL(MAX(E179,(Reprogramaciones!$T$15+7*(Reprogramaciones!$S$15-1))),MIN(F179,Reprogramaciones!$Q$15),11))/MAX(0,NETWORKDAYS.INTL(MAX(E179,(Reprogramaciones!$T$15+7*(Reprogramaciones!$S$15-1))),MIN(F179,(Reprogramaciones!$T$15+7*(Reprogramaciones!$S$15-1))+6),11))))))))</f>
        <v/>
      </c>
    </row>
    <row r="180" customFormat="false" ht="15" hidden="false" customHeight="false" outlineLevel="0" collapsed="false">
      <c r="A180" s="32"/>
      <c r="B180" s="33"/>
      <c r="C180" s="33"/>
      <c r="D180" s="34"/>
      <c r="E180" s="35"/>
      <c r="F180" s="35"/>
      <c r="G180" s="36" t="str">
        <f aca="false">IF(OR(NOT(AND(ISNUMBER(E180),ISNUMBER(F180))),$J$2=""),"",IF(Reprogramaciones!K$9&lt;E180,0,IF(NETWORKDAYS.INTL(E180,F180,11)=0,IF(Reprogramaciones!K$9&gt;=F180,100,0),ROUND(NETWORKDAYS.INTL(E180,MIN(F180,Reprogramaciones!K$9),11)/NETWORKDAYS.INTL(E180,F180,11)*100,1)))-0)</f>
        <v/>
      </c>
      <c r="H180" s="36" t="str">
        <f aca="false">IF(OR(NOT(AND(ISNUMBER(E180),ISNUMBER(F180))),$J$2=""),"",IF(Reprogramaciones!L$9&lt;E180,0,IF(NETWORKDAYS.INTL(E180,F180,11)=0,IF(Reprogramaciones!L$9&gt;=F180,100,0),ROUND(NETWORKDAYS.INTL(E180,MIN(F180,Reprogramaciones!L$9),11)/NETWORKDAYS.INTL(E180,F180,11)*100,1)))-IF(Reprogramaciones!K$9&lt;E180,0,IF(NETWORKDAYS.INTL(E180,F180,11)=0,IF(Reprogramaciones!K$9&gt;=F180,100,0),ROUND(NETWORKDAYS.INTL(E180,MIN(F180,Reprogramaciones!K$9),11)/NETWORKDAYS.INTL(E180,F180,11)*100,1))))</f>
        <v/>
      </c>
      <c r="I180" s="36" t="str">
        <f aca="false">IF(OR(NOT(AND(ISNUMBER(E180),ISNUMBER(F180))),$J$2=""),"",IF(Reprogramaciones!M$9&lt;E180,0,IF(NETWORKDAYS.INTL(E180,F180,11)=0,IF(Reprogramaciones!M$9&gt;=F180,100,0),ROUND(NETWORKDAYS.INTL(E180,MIN(F180,Reprogramaciones!M$9),11)/NETWORKDAYS.INTL(E180,F180,11)*100,1)))-IF(Reprogramaciones!L$9&lt;E180,0,IF(NETWORKDAYS.INTL(E180,F180,11)=0,IF(Reprogramaciones!L$9&gt;=F180,100,0),ROUND(NETWORKDAYS.INTL(E180,MIN(F180,Reprogramaciones!L$9),11)/NETWORKDAYS.INTL(E180,F180,11)*100,1))))</f>
        <v/>
      </c>
      <c r="J180" s="36" t="str">
        <f aca="false">IF(OR(NOT(AND(ISNUMBER(E180),ISNUMBER(F180))),$J$2=""),"",IF(Reprogramaciones!N$9&lt;E180,0,IF(NETWORKDAYS.INTL(E180,F180,11)=0,IF(Reprogramaciones!N$9&gt;=F180,100,0),ROUND(NETWORKDAYS.INTL(E180,MIN(F180,Reprogramaciones!N$9),11)/NETWORKDAYS.INTL(E180,F180,11)*100,1)))-IF(Reprogramaciones!M$9&lt;E180,0,IF(NETWORKDAYS.INTL(E180,F180,11)=0,IF(Reprogramaciones!M$9&gt;=F180,100,0),ROUND(NETWORKDAYS.INTL(E180,MIN(F180,Reprogramaciones!M$9),11)/NETWORKDAYS.INTL(E180,F180,11)*100,1))))</f>
        <v/>
      </c>
      <c r="K180" s="36" t="str">
        <f aca="false">IF(OR(NOT(AND(ISNUMBER(E180),ISNUMBER(F180))),$J$2=""),"",IF(Reprogramaciones!O$9&lt;E180,0,IF(NETWORKDAYS.INTL(E180,F180,11)=0,IF(Reprogramaciones!O$9&gt;=F180,100,0),ROUND(NETWORKDAYS.INTL(E180,MIN(F180,Reprogramaciones!O$9),11)/NETWORKDAYS.INTL(E180,F180,11)*100,1)))-IF(Reprogramaciones!N$9&lt;E180,0,IF(NETWORKDAYS.INTL(E180,F180,11)=0,IF(Reprogramaciones!N$9&gt;=F180,100,0),ROUND(NETWORKDAYS.INTL(E180,MIN(F180,Reprogramaciones!N$9),11)/NETWORKDAYS.INTL(E180,F180,11)*100,1))))</f>
        <v/>
      </c>
      <c r="L180" s="36" t="str">
        <f aca="false">IF(OR(NOT(AND(ISNUMBER(E180),ISNUMBER(F180))),$J$2=""),"",IF(Reprogramaciones!P$9&lt;E180,0,IF(NETWORKDAYS.INTL(E180,F180,11)=0,IF(Reprogramaciones!P$9&gt;=F180,100,0),ROUND(NETWORKDAYS.INTL(E180,MIN(F180,Reprogramaciones!P$9),11)/NETWORKDAYS.INTL(E180,F180,11)*100,1)))-IF(Reprogramaciones!O$9&lt;E180,0,IF(NETWORKDAYS.INTL(E180,F180,11)=0,IF(Reprogramaciones!O$9&gt;=F180,100,0),ROUND(NETWORKDAYS.INTL(E180,MIN(F180,Reprogramaciones!O$9),11)/NETWORKDAYS.INTL(E180,F180,11)*100,1))))</f>
        <v/>
      </c>
      <c r="M180" s="36" t="str">
        <f aca="false">IF(OR(NOT(AND(ISNUMBER(E180),ISNUMBER(F180))),$J$2=""),"",IF(Reprogramaciones!Q$9&lt;E180,0,IF(NETWORKDAYS.INTL(E180,F180,11)=0,IF(Reprogramaciones!Q$9&gt;=F180,100,0),ROUND(NETWORKDAYS.INTL(E180,MIN(F180,Reprogramaciones!Q$9),11)/NETWORKDAYS.INTL(E180,F180,11)*100,1)))-IF(Reprogramaciones!P$9&lt;E180,0,IF(NETWORKDAYS.INTL(E180,F180,11)=0,IF(Reprogramaciones!P$9&gt;=F180,100,0),ROUND(NETWORKDAYS.INTL(E180,MIN(F180,Reprogramaciones!P$9),11)/NETWORKDAYS.INTL(E180,F180,11)*100,1))))</f>
        <v/>
      </c>
      <c r="N180" s="36" t="str">
        <f aca="false">IF(OR(NOT(AND(ISNUMBER(E180),ISNUMBER(F180))),$J$2=""),"",IF(Reprogramaciones!R$9&lt;E180,0,IF(NETWORKDAYS.INTL(E180,F180,11)=0,IF(Reprogramaciones!R$9&gt;=F180,100,0),ROUND(NETWORKDAYS.INTL(E180,MIN(F180,Reprogramaciones!R$9),11)/NETWORKDAYS.INTL(E180,F180,11)*100,1)))-IF(Reprogramaciones!Q$9&lt;E180,0,IF(NETWORKDAYS.INTL(E180,F180,11)=0,IF(Reprogramaciones!Q$9&gt;=F180,100,0),ROUND(NETWORKDAYS.INTL(E180,MIN(F180,Reprogramaciones!Q$9),11)/NETWORKDAYS.INTL(E180,F180,11)*100,1))))</f>
        <v/>
      </c>
      <c r="O180" s="36" t="str">
        <f aca="false">IF(OR(NOT(AND(ISNUMBER(E180),ISNUMBER(F180))),$J$2=""),"",IF(Reprogramaciones!S$9&lt;E180,0,IF(NETWORKDAYS.INTL(E180,F180,11)=0,IF(Reprogramaciones!S$9&gt;=F180,100,0),ROUND(NETWORKDAYS.INTL(E180,MIN(F180,Reprogramaciones!S$9),11)/NETWORKDAYS.INTL(E180,F180,11)*100,1)))-IF(Reprogramaciones!R$9&lt;E180,0,IF(NETWORKDAYS.INTL(E180,F180,11)=0,IF(Reprogramaciones!R$9&gt;=F180,100,0),ROUND(NETWORKDAYS.INTL(E180,MIN(F180,Reprogramaciones!R$9),11)/NETWORKDAYS.INTL(E180,F180,11)*100,1))))</f>
        <v/>
      </c>
      <c r="P180" s="36" t="str">
        <f aca="false">IF(OR(NOT(AND(ISNUMBER(E180),ISNUMBER(F180))),$J$2=""),"",IF(Reprogramaciones!T$9&lt;E180,0,IF(NETWORKDAYS.INTL(E180,F180,11)=0,IF(Reprogramaciones!T$9&gt;=F180,100,0),ROUND(NETWORKDAYS.INTL(E180,MIN(F180,Reprogramaciones!T$9),11)/NETWORKDAYS.INTL(E180,F180,11)*100,1)))-IF(Reprogramaciones!S$9&lt;E180,0,IF(NETWORKDAYS.INTL(E180,F180,11)=0,IF(Reprogramaciones!S$9&gt;=F180,100,0),ROUND(NETWORKDAYS.INTL(E180,MIN(F180,Reprogramaciones!S$9),11)/NETWORKDAYS.INTL(E180,F180,11)*100,1))))</f>
        <v/>
      </c>
      <c r="Q180" s="37"/>
      <c r="R180" s="37"/>
      <c r="S180" s="37"/>
      <c r="T180" s="37"/>
      <c r="U180" s="37"/>
      <c r="V180" s="37"/>
      <c r="W180" s="37"/>
      <c r="X180" s="37"/>
      <c r="Y180" s="37"/>
      <c r="Z180" s="37"/>
      <c r="AA180" s="37"/>
      <c r="AB180" s="37"/>
      <c r="AC180" s="37"/>
      <c r="AD180" s="37"/>
      <c r="AE180" s="37"/>
      <c r="AF180" s="37"/>
      <c r="AG180" s="38" t="str">
        <f aca="false">IF(AND(ISNUMBER(E180),ISNUMBER(F180)),NETWORKDAYS.INTL(E180,F180,11),"")</f>
        <v/>
      </c>
      <c r="AH180" s="38" t="str">
        <f aca="false">IF(OR(NOT(AND(ISNUMBER(E180),ISNUMBER(F180))),$J$2=""),"",IF(Reprogramaciones!$P$15&lt;Reprogramaciones!$T$15,0,IF(Reprogramaciones!$R$15&gt;10,MIN(100,SUM($G180:$P180)),MIN(100,SUMPRODUCT((COLUMN($G180:$P180)-COLUMN($G180)+1&lt;Reprogramaciones!$R$15)*$G180:$P180)+N(INDEX($G180:$P180,1,Reprogramaciones!$R$15))*IF(Reprogramaciones!$P$15&gt;=(Reprogramaciones!$T$15+7*(Reprogramaciones!$R$15-1))+6,1,IF(MAX(0,NETWORKDAYS.INTL(MAX(E180,(Reprogramaciones!$T$15+7*(Reprogramaciones!$R$15-1))),MIN(F180,(Reprogramaciones!$T$15+7*(Reprogramaciones!$R$15-1))+6),11))=0,0,MAX(0,NETWORKDAYS.INTL(MAX(E180,(Reprogramaciones!$T$15+7*(Reprogramaciones!$R$15-1))),MIN(F180,Reprogramaciones!$P$15),11))/MAX(0,NETWORKDAYS.INTL(MAX(E180,(Reprogramaciones!$T$15+7*(Reprogramaciones!$R$15-1))),MIN(F180,(Reprogramaciones!$T$15+7*(Reprogramaciones!$R$15-1))+6),11))))))))</f>
        <v/>
      </c>
      <c r="AI180" s="38" t="str">
        <f aca="false">IF(COUNT($Q180:$AF180)=0,"",IF(ROUND(SUM($Q180:$AF180),1)&gt;=99.5,100,MIN(100,ROUND(SUM($Q180:$AF180),1))))</f>
        <v/>
      </c>
      <c r="AJ180" s="38" t="str">
        <f aca="false">IF(OR(AH180="",AI180=""),"",AI180-AH180)</f>
        <v/>
      </c>
      <c r="AK180" s="39" t="str">
        <f aca="true">IF(AH180="","",IF(OR(Ficha!$C$10="Suspendida",Ficha!$C$10="Cancelada"),Ficha!$C$10,IF(AND(AI180&lt;&gt;"",N(AI180)&gt;=100),"Completada",IF(AND(E180&gt;TODAY(),N(AI180)=0),"Por iniciar",IF(N(AI180)+0.5&lt;AH180,"Retrasada",IF(N(AI180)+0.5&lt;DA180,IF(Reprogramaciones!$K$15&gt;0,"Al día · Sem "&amp;Reprogramaciones!$K$15&amp;" en curso","Al día · en curso"),"A tiempo"))))))</f>
        <v/>
      </c>
      <c r="AL180" s="39" t="str">
        <f aca="true">IF(AND(A180="",AND(B180="",C180="",E180="",F180="",COUNT(Q180:AF180)=0)),"",IF(AND(B180="",C180="",E180="",F180="",COUNT(Q180:AF180)=0),"Falta la partida o subpartida",IF(AND(A180&lt;&gt;"",COUNTIF($A$6:$A$305,A180)&gt;1),"Ítem repetido",IF(AND(C180="",E180="",F180="",COUNT(Q180:AF180)=0),"Título de partida",IF(OR(E180="",F180=""),"Faltan fechas",IF(OR(ISTEXT(E180),ISTEXT(F180)),"Fecha escrita como texto: usa dd/mm/aaaa",IF(F180&lt;E180,"Fin antes del inicio",IF(IF($J$2="",FALSE(),OR(E180&lt;$J$2,F180&gt;Reprogramaciones!$T$15+69)),"Fuera de las 10 semanas",IF(ABS(SUM(G180:P180)-100)&gt;0.5,"La meta no suma 100%",IF(ROUND(SUM(Q180:AF180),1)&gt;100.5,"El avance pasa de 100%",IF(MIN(Q180:AF180)&lt;0,"Avance negativo",IF(COUNTA(Q180:AF180)&gt;COUNT(Q180:AF180),"Avance escrito como texto",IF(SUMPRODUCT((Q180:AF180&gt;0)*(Q180:AF180&lt;1))&gt;0,"Avance menor a 1: escribe 50, no 50%",IF(SUMPRODUCT(ISNUMBER(Q180:AF180)*(Reprogramaciones!$K$8:$Z$8&gt;TODAY()))&gt;0,"Avance en semana que aún no llega",IF(AND(N(Reprogramaciones!$E$21)&gt;0,F180&gt;Reprogramaciones!$E$21),"Pasa el fin de la obra: registra una reprogramación",IF(AND(N(Reprogramaciones!$E$21)&gt;0,SUMPRODUCT(ISNUMBER(Q180:AF180)*(Reprogramaciones!$K$8:$Z$8&gt;Reprogramaciones!$E$21))&gt;0),"Avance después del fin de la obra: registra una reprogramación por atraso","OK"))))))))))))))))</f>
        <v/>
      </c>
      <c r="AM180" s="40" t="str">
        <f aca="false">IF(OR(OR(NOT(AND(ISNUMBER(E180),ISNUMBER(F180))),$J$2=""),1&gt;MAX(1,Reprogramaciones!$U$15)),"",IF(Reprogramaciones!K$12&gt;=7,"",IF(OR(BT180-N(0)&gt;0.05,N(Q180)&gt;0),ROUNDDOWN(ROUND(BT180,6),0)&amp;"%"&amp;IF(CJ180="",""," / "&amp;CJ180&amp;"%"),IF(AND(N(0)&gt;=99.95,CJ180&lt;&gt;"",N(CJ180)&lt;100),"Pend. "&amp;CJ180&amp;"%",""))))</f>
        <v/>
      </c>
      <c r="AN180" s="40" t="str">
        <f aca="false">IF(OR(OR(NOT(AND(ISNUMBER(E180),ISNUMBER(F180))),$J$2=""),2&gt;MAX(1,Reprogramaciones!$U$15)),"",IF(Reprogramaciones!L$12&gt;=7,"",IF(OR(BU180-N(BT180)&gt;0.05,N(R180)&gt;0),ROUNDDOWN(ROUND(BU180,6),0)&amp;"%"&amp;IF(CK180="",""," / "&amp;CK180&amp;"%"),IF(AND(N(BT180)&gt;=99.95,CK180&lt;&gt;"",N(CK180)&lt;100),"Pend. "&amp;CK180&amp;"%",""))))</f>
        <v/>
      </c>
      <c r="AO180" s="40" t="str">
        <f aca="false">IF(OR(OR(NOT(AND(ISNUMBER(E180),ISNUMBER(F180))),$J$2=""),3&gt;MAX(1,Reprogramaciones!$U$15)),"",IF(Reprogramaciones!M$12&gt;=7,"",IF(OR(BV180-N(BU180)&gt;0.05,N(S180)&gt;0),ROUNDDOWN(ROUND(BV180,6),0)&amp;"%"&amp;IF(CL180="",""," / "&amp;CL180&amp;"%"),IF(AND(N(BU180)&gt;=99.95,CL180&lt;&gt;"",N(CL180)&lt;100),"Pend. "&amp;CL180&amp;"%",""))))</f>
        <v/>
      </c>
      <c r="AP180" s="40" t="str">
        <f aca="false">IF(OR(OR(NOT(AND(ISNUMBER(E180),ISNUMBER(F180))),$J$2=""),4&gt;MAX(1,Reprogramaciones!$U$15)),"",IF(Reprogramaciones!N$12&gt;=7,"",IF(OR(BW180-N(BV180)&gt;0.05,N(T180)&gt;0),ROUNDDOWN(ROUND(BW180,6),0)&amp;"%"&amp;IF(CM180="",""," / "&amp;CM180&amp;"%"),IF(AND(N(BV180)&gt;=99.95,CM180&lt;&gt;"",N(CM180)&lt;100),"Pend. "&amp;CM180&amp;"%",""))))</f>
        <v/>
      </c>
      <c r="AQ180" s="40" t="str">
        <f aca="false">IF(OR(OR(NOT(AND(ISNUMBER(E180),ISNUMBER(F180))),$J$2=""),5&gt;MAX(1,Reprogramaciones!$U$15)),"",IF(Reprogramaciones!O$12&gt;=7,"",IF(OR(BX180-N(BW180)&gt;0.05,N(U180)&gt;0),ROUNDDOWN(ROUND(BX180,6),0)&amp;"%"&amp;IF(CN180="",""," / "&amp;CN180&amp;"%"),IF(AND(N(BW180)&gt;=99.95,CN180&lt;&gt;"",N(CN180)&lt;100),"Pend. "&amp;CN180&amp;"%",""))))</f>
        <v/>
      </c>
      <c r="AR180" s="40" t="str">
        <f aca="false">IF(OR(OR(NOT(AND(ISNUMBER(E180),ISNUMBER(F180))),$J$2=""),6&gt;MAX(1,Reprogramaciones!$U$15)),"",IF(Reprogramaciones!P$12&gt;=7,"",IF(OR(BY180-N(BX180)&gt;0.05,N(V180)&gt;0),ROUNDDOWN(ROUND(BY180,6),0)&amp;"%"&amp;IF(CO180="",""," / "&amp;CO180&amp;"%"),IF(AND(N(BX180)&gt;=99.95,CO180&lt;&gt;"",N(CO180)&lt;100),"Pend. "&amp;CO180&amp;"%",""))))</f>
        <v/>
      </c>
      <c r="AS180" s="40" t="str">
        <f aca="false">IF(OR(OR(NOT(AND(ISNUMBER(E180),ISNUMBER(F180))),$J$2=""),7&gt;MAX(1,Reprogramaciones!$U$15)),"",IF(Reprogramaciones!Q$12&gt;=7,"",IF(OR(BZ180-N(BY180)&gt;0.05,N(W180)&gt;0),ROUNDDOWN(ROUND(BZ180,6),0)&amp;"%"&amp;IF(CP180="",""," / "&amp;CP180&amp;"%"),IF(AND(N(BY180)&gt;=99.95,CP180&lt;&gt;"",N(CP180)&lt;100),"Pend. "&amp;CP180&amp;"%",""))))</f>
        <v/>
      </c>
      <c r="AT180" s="40" t="str">
        <f aca="false">IF(OR(OR(NOT(AND(ISNUMBER(E180),ISNUMBER(F180))),$J$2=""),8&gt;MAX(1,Reprogramaciones!$U$15)),"",IF(Reprogramaciones!R$12&gt;=7,"",IF(OR(CA180-N(BZ180)&gt;0.05,N(X180)&gt;0),ROUNDDOWN(ROUND(CA180,6),0)&amp;"%"&amp;IF(CQ180="",""," / "&amp;CQ180&amp;"%"),IF(AND(N(BZ180)&gt;=99.95,CQ180&lt;&gt;"",N(CQ180)&lt;100),"Pend. "&amp;CQ180&amp;"%",""))))</f>
        <v/>
      </c>
      <c r="AU180" s="40" t="str">
        <f aca="false">IF(OR(OR(NOT(AND(ISNUMBER(E180),ISNUMBER(F180))),$J$2=""),9&gt;MAX(1,Reprogramaciones!$U$15)),"",IF(Reprogramaciones!S$12&gt;=7,"",IF(OR(CB180-N(CA180)&gt;0.05,N(Y180)&gt;0),ROUNDDOWN(ROUND(CB180,6),0)&amp;"%"&amp;IF(CR180="",""," / "&amp;CR180&amp;"%"),IF(AND(N(CA180)&gt;=99.95,CR180&lt;&gt;"",N(CR180)&lt;100),"Pend. "&amp;CR180&amp;"%",""))))</f>
        <v/>
      </c>
      <c r="AV180" s="40" t="str">
        <f aca="false">IF(OR(OR(NOT(AND(ISNUMBER(E180),ISNUMBER(F180))),$J$2=""),10&gt;MAX(1,Reprogramaciones!$U$15)),"",IF(Reprogramaciones!T$12&gt;=7,"",IF(OR(CC180-N(CB180)&gt;0.05,N(Z180)&gt;0),ROUNDDOWN(ROUND(CC180,6),0)&amp;"%"&amp;IF(CS180="",""," / "&amp;CS180&amp;"%"),IF(AND(N(CB180)&gt;=99.95,CS180&lt;&gt;"",N(CS180)&lt;100),"Pend. "&amp;CS180&amp;"%",""))))</f>
        <v/>
      </c>
      <c r="AW180" s="40" t="str">
        <f aca="false">IF(OR(OR(NOT(AND(ISNUMBER(E180),ISNUMBER(F180))),$J$2=""),11&gt;MAX(1,Reprogramaciones!$U$15)),"",IF(Reprogramaciones!U$12&gt;=7,"",IF(OR(CD180-N(CC180)&gt;0.05,N(AA180)&gt;0),ROUNDDOWN(ROUND(CD180,6),0)&amp;"%"&amp;IF(CT180="",""," / "&amp;CT180&amp;"%"),IF(AND(N(CC180)&gt;=99.95,CT180&lt;&gt;"",N(CT180)&lt;100),"Pend. "&amp;CT180&amp;"%",""))))</f>
        <v/>
      </c>
      <c r="AX180" s="40" t="str">
        <f aca="false">IF(OR(OR(NOT(AND(ISNUMBER(E180),ISNUMBER(F180))),$J$2=""),12&gt;MAX(1,Reprogramaciones!$U$15)),"",IF(Reprogramaciones!V$12&gt;=7,"",IF(OR(CE180-N(CD180)&gt;0.05,N(AB180)&gt;0),ROUNDDOWN(ROUND(CE180,6),0)&amp;"%"&amp;IF(CU180="",""," / "&amp;CU180&amp;"%"),IF(AND(N(CD180)&gt;=99.95,CU180&lt;&gt;"",N(CU180)&lt;100),"Pend. "&amp;CU180&amp;"%",""))))</f>
        <v/>
      </c>
      <c r="AY180" s="40" t="str">
        <f aca="false">IF(OR(OR(NOT(AND(ISNUMBER(E180),ISNUMBER(F180))),$J$2=""),13&gt;MAX(1,Reprogramaciones!$U$15)),"",IF(Reprogramaciones!W$12&gt;=7,"",IF(OR(CF180-N(CE180)&gt;0.05,N(AC180)&gt;0),ROUNDDOWN(ROUND(CF180,6),0)&amp;"%"&amp;IF(CV180="",""," / "&amp;CV180&amp;"%"),IF(AND(N(CE180)&gt;=99.95,CV180&lt;&gt;"",N(CV180)&lt;100),"Pend. "&amp;CV180&amp;"%",""))))</f>
        <v/>
      </c>
      <c r="AZ180" s="40" t="str">
        <f aca="false">IF(OR(OR(NOT(AND(ISNUMBER(E180),ISNUMBER(F180))),$J$2=""),14&gt;MAX(1,Reprogramaciones!$U$15)),"",IF(Reprogramaciones!X$12&gt;=7,"",IF(OR(CG180-N(CF180)&gt;0.05,N(AD180)&gt;0),ROUNDDOWN(ROUND(CG180,6),0)&amp;"%"&amp;IF(CW180="",""," / "&amp;CW180&amp;"%"),IF(AND(N(CF180)&gt;=99.95,CW180&lt;&gt;"",N(CW180)&lt;100),"Pend. "&amp;CW180&amp;"%",""))))</f>
        <v/>
      </c>
      <c r="BA180" s="40" t="str">
        <f aca="false">IF(OR(OR(NOT(AND(ISNUMBER(E180),ISNUMBER(F180))),$J$2=""),15&gt;MAX(1,Reprogramaciones!$U$15)),"",IF(Reprogramaciones!Y$12&gt;=7,"",IF(OR(CH180-N(CG180)&gt;0.05,N(AE180)&gt;0),ROUNDDOWN(ROUND(CH180,6),0)&amp;"%"&amp;IF(CX180="",""," / "&amp;CX180&amp;"%"),IF(AND(N(CG180)&gt;=99.95,CX180&lt;&gt;"",N(CX180)&lt;100),"Pend. "&amp;CX180&amp;"%",""))))</f>
        <v/>
      </c>
      <c r="BB180" s="40" t="str">
        <f aca="false">IF(OR(OR(NOT(AND(ISNUMBER(E180),ISNUMBER(F180))),$J$2=""),16&gt;MAX(1,Reprogramaciones!$U$15)),"",IF(Reprogramaciones!Z$12&gt;=7,"",IF(OR(CI180-N(CH180)&gt;0.05,N(AF180)&gt;0),ROUNDDOWN(ROUND(CI180,6),0)&amp;"%"&amp;IF(CY180="",""," / "&amp;CY180&amp;"%"),IF(AND(N(CH180)&gt;=99.95,CY180&lt;&gt;"",N(CY180)&lt;100),"Pend. "&amp;CY180&amp;"%",""))))</f>
        <v/>
      </c>
      <c r="BC180" s="31" t="n">
        <f aca="false">IF(AND(ISNUMBER(E180),ISNUMBER(F180)),MAX(1,NETWORKDAYS.INTL(E180,F180,11)),0)</f>
        <v>0</v>
      </c>
      <c r="BD180" s="1" t="str">
        <f aca="false">IF(OR(NOT(AND(ISNUMBER(E180),ISNUMBER(F180))),$J$2=""),"",MIN(100,ROUND(SUM($G180:G180),1)))</f>
        <v/>
      </c>
      <c r="BE180" s="1" t="str">
        <f aca="false">IF(OR(NOT(AND(ISNUMBER(E180),ISNUMBER(F180))),$J$2=""),"",MIN(100,ROUND(SUM($G180:H180),1)))</f>
        <v/>
      </c>
      <c r="BF180" s="1" t="str">
        <f aca="false">IF(OR(NOT(AND(ISNUMBER(E180),ISNUMBER(F180))),$J$2=""),"",MIN(100,ROUND(SUM($G180:I180),1)))</f>
        <v/>
      </c>
      <c r="BG180" s="1" t="str">
        <f aca="false">IF(OR(NOT(AND(ISNUMBER(E180),ISNUMBER(F180))),$J$2=""),"",MIN(100,ROUND(SUM($G180:J180),1)))</f>
        <v/>
      </c>
      <c r="BH180" s="1" t="str">
        <f aca="false">IF(OR(NOT(AND(ISNUMBER(E180),ISNUMBER(F180))),$J$2=""),"",MIN(100,ROUND(SUM($G180:K180),1)))</f>
        <v/>
      </c>
      <c r="BI180" s="1" t="str">
        <f aca="false">IF(OR(NOT(AND(ISNUMBER(E180),ISNUMBER(F180))),$J$2=""),"",MIN(100,ROUND(SUM($G180:L180),1)))</f>
        <v/>
      </c>
      <c r="BJ180" s="1" t="str">
        <f aca="false">IF(OR(NOT(AND(ISNUMBER(E180),ISNUMBER(F180))),$J$2=""),"",MIN(100,ROUND(SUM($G180:M180),1)))</f>
        <v/>
      </c>
      <c r="BK180" s="1" t="str">
        <f aca="false">IF(OR(NOT(AND(ISNUMBER(E180),ISNUMBER(F180))),$J$2=""),"",MIN(100,ROUND(SUM($G180:N180),1)))</f>
        <v/>
      </c>
      <c r="BL180" s="1" t="str">
        <f aca="false">IF(OR(NOT(AND(ISNUMBER(E180),ISNUMBER(F180))),$J$2=""),"",MIN(100,ROUND(SUM($G180:O180),1)))</f>
        <v/>
      </c>
      <c r="BM180" s="1" t="str">
        <f aca="false">IF(OR(NOT(AND(ISNUMBER(E180),ISNUMBER(F180))),$J$2=""),"",MIN(100,ROUND(SUM($G180:P180),1)))</f>
        <v/>
      </c>
      <c r="BN180" s="1" t="str">
        <f aca="false">IF(OR(NOT(AND(ISNUMBER(E180),ISNUMBER(F180))),$J$2=""),"",MIN(100,ROUND(SUM($G180:P180),1)))</f>
        <v/>
      </c>
      <c r="BO180" s="1" t="str">
        <f aca="false">IF(OR(NOT(AND(ISNUMBER(E180),ISNUMBER(F180))),$J$2=""),"",MIN(100,ROUND(SUM($G180:P180),1)))</f>
        <v/>
      </c>
      <c r="BP180" s="1" t="str">
        <f aca="false">IF(OR(NOT(AND(ISNUMBER(E180),ISNUMBER(F180))),$J$2=""),"",MIN(100,ROUND(SUM($G180:P180),1)))</f>
        <v/>
      </c>
      <c r="BQ180" s="1" t="str">
        <f aca="false">IF(OR(NOT(AND(ISNUMBER(E180),ISNUMBER(F180))),$J$2=""),"",MIN(100,ROUND(SUM($G180:P180),1)))</f>
        <v/>
      </c>
      <c r="BR180" s="1" t="str">
        <f aca="false">IF(OR(NOT(AND(ISNUMBER(E180),ISNUMBER(F180))),$J$2=""),"",MIN(100,ROUND(SUM($G180:P180),1)))</f>
        <v/>
      </c>
      <c r="BS180" s="1" t="str">
        <f aca="false">IF(OR(NOT(AND(ISNUMBER(E180),ISNUMBER(F180))),$J$2=""),"",MIN(100,ROUND(SUM($G180:P180),1)))</f>
        <v/>
      </c>
      <c r="BT180" s="1" t="str">
        <f aca="false">IF(OR(NOT(AND(ISNUMBER(E180),ISNUMBER(F180))),$J$2=""),"",IF(Reprogramaciones!K$13&lt;Reprogramaciones!$T$15,0,IF(Reprogramaciones!K$14&gt;10,MIN(100,SUM($G180:$P180)),MIN(100,SUMPRODUCT((COLUMN($G180:$P180)-COLUMN($G180)+1&lt;Reprogramaciones!K$14)*$G180:$P180)+N(INDEX($G180:$P180,1,Reprogramaciones!K$14))*IF(Reprogramaciones!K$13&gt;=(Reprogramaciones!$T$15+7*(Reprogramaciones!K$14-1))+6,1,IF(MAX(0,NETWORKDAYS.INTL(MAX(E180,(Reprogramaciones!$T$15+7*(Reprogramaciones!K$14-1))),MIN(F180,(Reprogramaciones!$T$15+7*(Reprogramaciones!K$14-1))+6),11))=0,0,MAX(0,NETWORKDAYS.INTL(MAX(E180,(Reprogramaciones!$T$15+7*(Reprogramaciones!K$14-1))),MIN(F180,Reprogramaciones!K$13),11))/MAX(0,NETWORKDAYS.INTL(MAX(E180,(Reprogramaciones!$T$15+7*(Reprogramaciones!K$14-1))),MIN(F180,(Reprogramaciones!$T$15+7*(Reprogramaciones!K$14-1))+6),11))))))))</f>
        <v/>
      </c>
      <c r="BU180" s="1" t="str">
        <f aca="false">IF(OR(NOT(AND(ISNUMBER(E180),ISNUMBER(F180))),$J$2=""),"",IF(Reprogramaciones!L$13&lt;Reprogramaciones!$T$15,0,IF(Reprogramaciones!L$14&gt;10,MIN(100,SUM($G180:$P180)),MIN(100,SUMPRODUCT((COLUMN($G180:$P180)-COLUMN($G180)+1&lt;Reprogramaciones!L$14)*$G180:$P180)+N(INDEX($G180:$P180,1,Reprogramaciones!L$14))*IF(Reprogramaciones!L$13&gt;=(Reprogramaciones!$T$15+7*(Reprogramaciones!L$14-1))+6,1,IF(MAX(0,NETWORKDAYS.INTL(MAX(E180,(Reprogramaciones!$T$15+7*(Reprogramaciones!L$14-1))),MIN(F180,(Reprogramaciones!$T$15+7*(Reprogramaciones!L$14-1))+6),11))=0,0,MAX(0,NETWORKDAYS.INTL(MAX(E180,(Reprogramaciones!$T$15+7*(Reprogramaciones!L$14-1))),MIN(F180,Reprogramaciones!L$13),11))/MAX(0,NETWORKDAYS.INTL(MAX(E180,(Reprogramaciones!$T$15+7*(Reprogramaciones!L$14-1))),MIN(F180,(Reprogramaciones!$T$15+7*(Reprogramaciones!L$14-1))+6),11))))))))</f>
        <v/>
      </c>
      <c r="BV180" s="1" t="str">
        <f aca="false">IF(OR(NOT(AND(ISNUMBER(E180),ISNUMBER(F180))),$J$2=""),"",IF(Reprogramaciones!M$13&lt;Reprogramaciones!$T$15,0,IF(Reprogramaciones!M$14&gt;10,MIN(100,SUM($G180:$P180)),MIN(100,SUMPRODUCT((COLUMN($G180:$P180)-COLUMN($G180)+1&lt;Reprogramaciones!M$14)*$G180:$P180)+N(INDEX($G180:$P180,1,Reprogramaciones!M$14))*IF(Reprogramaciones!M$13&gt;=(Reprogramaciones!$T$15+7*(Reprogramaciones!M$14-1))+6,1,IF(MAX(0,NETWORKDAYS.INTL(MAX(E180,(Reprogramaciones!$T$15+7*(Reprogramaciones!M$14-1))),MIN(F180,(Reprogramaciones!$T$15+7*(Reprogramaciones!M$14-1))+6),11))=0,0,MAX(0,NETWORKDAYS.INTL(MAX(E180,(Reprogramaciones!$T$15+7*(Reprogramaciones!M$14-1))),MIN(F180,Reprogramaciones!M$13),11))/MAX(0,NETWORKDAYS.INTL(MAX(E180,(Reprogramaciones!$T$15+7*(Reprogramaciones!M$14-1))),MIN(F180,(Reprogramaciones!$T$15+7*(Reprogramaciones!M$14-1))+6),11))))))))</f>
        <v/>
      </c>
      <c r="BW180" s="1" t="str">
        <f aca="false">IF(OR(NOT(AND(ISNUMBER(E180),ISNUMBER(F180))),$J$2=""),"",IF(Reprogramaciones!N$13&lt;Reprogramaciones!$T$15,0,IF(Reprogramaciones!N$14&gt;10,MIN(100,SUM($G180:$P180)),MIN(100,SUMPRODUCT((COLUMN($G180:$P180)-COLUMN($G180)+1&lt;Reprogramaciones!N$14)*$G180:$P180)+N(INDEX($G180:$P180,1,Reprogramaciones!N$14))*IF(Reprogramaciones!N$13&gt;=(Reprogramaciones!$T$15+7*(Reprogramaciones!N$14-1))+6,1,IF(MAX(0,NETWORKDAYS.INTL(MAX(E180,(Reprogramaciones!$T$15+7*(Reprogramaciones!N$14-1))),MIN(F180,(Reprogramaciones!$T$15+7*(Reprogramaciones!N$14-1))+6),11))=0,0,MAX(0,NETWORKDAYS.INTL(MAX(E180,(Reprogramaciones!$T$15+7*(Reprogramaciones!N$14-1))),MIN(F180,Reprogramaciones!N$13),11))/MAX(0,NETWORKDAYS.INTL(MAX(E180,(Reprogramaciones!$T$15+7*(Reprogramaciones!N$14-1))),MIN(F180,(Reprogramaciones!$T$15+7*(Reprogramaciones!N$14-1))+6),11))))))))</f>
        <v/>
      </c>
      <c r="BX180" s="1" t="str">
        <f aca="false">IF(OR(NOT(AND(ISNUMBER(E180),ISNUMBER(F180))),$J$2=""),"",IF(Reprogramaciones!O$13&lt;Reprogramaciones!$T$15,0,IF(Reprogramaciones!O$14&gt;10,MIN(100,SUM($G180:$P180)),MIN(100,SUMPRODUCT((COLUMN($G180:$P180)-COLUMN($G180)+1&lt;Reprogramaciones!O$14)*$G180:$P180)+N(INDEX($G180:$P180,1,Reprogramaciones!O$14))*IF(Reprogramaciones!O$13&gt;=(Reprogramaciones!$T$15+7*(Reprogramaciones!O$14-1))+6,1,IF(MAX(0,NETWORKDAYS.INTL(MAX(E180,(Reprogramaciones!$T$15+7*(Reprogramaciones!O$14-1))),MIN(F180,(Reprogramaciones!$T$15+7*(Reprogramaciones!O$14-1))+6),11))=0,0,MAX(0,NETWORKDAYS.INTL(MAX(E180,(Reprogramaciones!$T$15+7*(Reprogramaciones!O$14-1))),MIN(F180,Reprogramaciones!O$13),11))/MAX(0,NETWORKDAYS.INTL(MAX(E180,(Reprogramaciones!$T$15+7*(Reprogramaciones!O$14-1))),MIN(F180,(Reprogramaciones!$T$15+7*(Reprogramaciones!O$14-1))+6),11))))))))</f>
        <v/>
      </c>
      <c r="BY180" s="1" t="str">
        <f aca="false">IF(OR(NOT(AND(ISNUMBER(E180),ISNUMBER(F180))),$J$2=""),"",IF(Reprogramaciones!P$13&lt;Reprogramaciones!$T$15,0,IF(Reprogramaciones!P$14&gt;10,MIN(100,SUM($G180:$P180)),MIN(100,SUMPRODUCT((COLUMN($G180:$P180)-COLUMN($G180)+1&lt;Reprogramaciones!P$14)*$G180:$P180)+N(INDEX($G180:$P180,1,Reprogramaciones!P$14))*IF(Reprogramaciones!P$13&gt;=(Reprogramaciones!$T$15+7*(Reprogramaciones!P$14-1))+6,1,IF(MAX(0,NETWORKDAYS.INTL(MAX(E180,(Reprogramaciones!$T$15+7*(Reprogramaciones!P$14-1))),MIN(F180,(Reprogramaciones!$T$15+7*(Reprogramaciones!P$14-1))+6),11))=0,0,MAX(0,NETWORKDAYS.INTL(MAX(E180,(Reprogramaciones!$T$15+7*(Reprogramaciones!P$14-1))),MIN(F180,Reprogramaciones!P$13),11))/MAX(0,NETWORKDAYS.INTL(MAX(E180,(Reprogramaciones!$T$15+7*(Reprogramaciones!P$14-1))),MIN(F180,(Reprogramaciones!$T$15+7*(Reprogramaciones!P$14-1))+6),11))))))))</f>
        <v/>
      </c>
      <c r="BZ180" s="1" t="str">
        <f aca="false">IF(OR(NOT(AND(ISNUMBER(E180),ISNUMBER(F180))),$J$2=""),"",IF(Reprogramaciones!Q$13&lt;Reprogramaciones!$T$15,0,IF(Reprogramaciones!Q$14&gt;10,MIN(100,SUM($G180:$P180)),MIN(100,SUMPRODUCT((COLUMN($G180:$P180)-COLUMN($G180)+1&lt;Reprogramaciones!Q$14)*$G180:$P180)+N(INDEX($G180:$P180,1,Reprogramaciones!Q$14))*IF(Reprogramaciones!Q$13&gt;=(Reprogramaciones!$T$15+7*(Reprogramaciones!Q$14-1))+6,1,IF(MAX(0,NETWORKDAYS.INTL(MAX(E180,(Reprogramaciones!$T$15+7*(Reprogramaciones!Q$14-1))),MIN(F180,(Reprogramaciones!$T$15+7*(Reprogramaciones!Q$14-1))+6),11))=0,0,MAX(0,NETWORKDAYS.INTL(MAX(E180,(Reprogramaciones!$T$15+7*(Reprogramaciones!Q$14-1))),MIN(F180,Reprogramaciones!Q$13),11))/MAX(0,NETWORKDAYS.INTL(MAX(E180,(Reprogramaciones!$T$15+7*(Reprogramaciones!Q$14-1))),MIN(F180,(Reprogramaciones!$T$15+7*(Reprogramaciones!Q$14-1))+6),11))))))))</f>
        <v/>
      </c>
      <c r="CA180" s="1" t="str">
        <f aca="false">IF(OR(NOT(AND(ISNUMBER(E180),ISNUMBER(F180))),$J$2=""),"",IF(Reprogramaciones!R$13&lt;Reprogramaciones!$T$15,0,IF(Reprogramaciones!R$14&gt;10,MIN(100,SUM($G180:$P180)),MIN(100,SUMPRODUCT((COLUMN($G180:$P180)-COLUMN($G180)+1&lt;Reprogramaciones!R$14)*$G180:$P180)+N(INDEX($G180:$P180,1,Reprogramaciones!R$14))*IF(Reprogramaciones!R$13&gt;=(Reprogramaciones!$T$15+7*(Reprogramaciones!R$14-1))+6,1,IF(MAX(0,NETWORKDAYS.INTL(MAX(E180,(Reprogramaciones!$T$15+7*(Reprogramaciones!R$14-1))),MIN(F180,(Reprogramaciones!$T$15+7*(Reprogramaciones!R$14-1))+6),11))=0,0,MAX(0,NETWORKDAYS.INTL(MAX(E180,(Reprogramaciones!$T$15+7*(Reprogramaciones!R$14-1))),MIN(F180,Reprogramaciones!R$13),11))/MAX(0,NETWORKDAYS.INTL(MAX(E180,(Reprogramaciones!$T$15+7*(Reprogramaciones!R$14-1))),MIN(F180,(Reprogramaciones!$T$15+7*(Reprogramaciones!R$14-1))+6),11))))))))</f>
        <v/>
      </c>
      <c r="CB180" s="1" t="str">
        <f aca="false">IF(OR(NOT(AND(ISNUMBER(E180),ISNUMBER(F180))),$J$2=""),"",IF(Reprogramaciones!S$13&lt;Reprogramaciones!$T$15,0,IF(Reprogramaciones!S$14&gt;10,MIN(100,SUM($G180:$P180)),MIN(100,SUMPRODUCT((COLUMN($G180:$P180)-COLUMN($G180)+1&lt;Reprogramaciones!S$14)*$G180:$P180)+N(INDEX($G180:$P180,1,Reprogramaciones!S$14))*IF(Reprogramaciones!S$13&gt;=(Reprogramaciones!$T$15+7*(Reprogramaciones!S$14-1))+6,1,IF(MAX(0,NETWORKDAYS.INTL(MAX(E180,(Reprogramaciones!$T$15+7*(Reprogramaciones!S$14-1))),MIN(F180,(Reprogramaciones!$T$15+7*(Reprogramaciones!S$14-1))+6),11))=0,0,MAX(0,NETWORKDAYS.INTL(MAX(E180,(Reprogramaciones!$T$15+7*(Reprogramaciones!S$14-1))),MIN(F180,Reprogramaciones!S$13),11))/MAX(0,NETWORKDAYS.INTL(MAX(E180,(Reprogramaciones!$T$15+7*(Reprogramaciones!S$14-1))),MIN(F180,(Reprogramaciones!$T$15+7*(Reprogramaciones!S$14-1))+6),11))))))))</f>
        <v/>
      </c>
      <c r="CC180" s="1" t="str">
        <f aca="false">IF(OR(NOT(AND(ISNUMBER(E180),ISNUMBER(F180))),$J$2=""),"",IF(Reprogramaciones!T$13&lt;Reprogramaciones!$T$15,0,IF(Reprogramaciones!T$14&gt;10,MIN(100,SUM($G180:$P180)),MIN(100,SUMPRODUCT((COLUMN($G180:$P180)-COLUMN($G180)+1&lt;Reprogramaciones!T$14)*$G180:$P180)+N(INDEX($G180:$P180,1,Reprogramaciones!T$14))*IF(Reprogramaciones!T$13&gt;=(Reprogramaciones!$T$15+7*(Reprogramaciones!T$14-1))+6,1,IF(MAX(0,NETWORKDAYS.INTL(MAX(E180,(Reprogramaciones!$T$15+7*(Reprogramaciones!T$14-1))),MIN(F180,(Reprogramaciones!$T$15+7*(Reprogramaciones!T$14-1))+6),11))=0,0,MAX(0,NETWORKDAYS.INTL(MAX(E180,(Reprogramaciones!$T$15+7*(Reprogramaciones!T$14-1))),MIN(F180,Reprogramaciones!T$13),11))/MAX(0,NETWORKDAYS.INTL(MAX(E180,(Reprogramaciones!$T$15+7*(Reprogramaciones!T$14-1))),MIN(F180,(Reprogramaciones!$T$15+7*(Reprogramaciones!T$14-1))+6),11))))))))</f>
        <v/>
      </c>
      <c r="CD180" s="1" t="str">
        <f aca="false">IF(OR(NOT(AND(ISNUMBER(E180),ISNUMBER(F180))),$J$2=""),"",IF(Reprogramaciones!U$13&lt;Reprogramaciones!$T$15,0,IF(Reprogramaciones!U$14&gt;10,MIN(100,SUM($G180:$P180)),MIN(100,SUMPRODUCT((COLUMN($G180:$P180)-COLUMN($G180)+1&lt;Reprogramaciones!U$14)*$G180:$P180)+N(INDEX($G180:$P180,1,Reprogramaciones!U$14))*IF(Reprogramaciones!U$13&gt;=(Reprogramaciones!$T$15+7*(Reprogramaciones!U$14-1))+6,1,IF(MAX(0,NETWORKDAYS.INTL(MAX(E180,(Reprogramaciones!$T$15+7*(Reprogramaciones!U$14-1))),MIN(F180,(Reprogramaciones!$T$15+7*(Reprogramaciones!U$14-1))+6),11))=0,0,MAX(0,NETWORKDAYS.INTL(MAX(E180,(Reprogramaciones!$T$15+7*(Reprogramaciones!U$14-1))),MIN(F180,Reprogramaciones!U$13),11))/MAX(0,NETWORKDAYS.INTL(MAX(E180,(Reprogramaciones!$T$15+7*(Reprogramaciones!U$14-1))),MIN(F180,(Reprogramaciones!$T$15+7*(Reprogramaciones!U$14-1))+6),11))))))))</f>
        <v/>
      </c>
      <c r="CE180" s="1" t="str">
        <f aca="false">IF(OR(NOT(AND(ISNUMBER(E180),ISNUMBER(F180))),$J$2=""),"",IF(Reprogramaciones!V$13&lt;Reprogramaciones!$T$15,0,IF(Reprogramaciones!V$14&gt;10,MIN(100,SUM($G180:$P180)),MIN(100,SUMPRODUCT((COLUMN($G180:$P180)-COLUMN($G180)+1&lt;Reprogramaciones!V$14)*$G180:$P180)+N(INDEX($G180:$P180,1,Reprogramaciones!V$14))*IF(Reprogramaciones!V$13&gt;=(Reprogramaciones!$T$15+7*(Reprogramaciones!V$14-1))+6,1,IF(MAX(0,NETWORKDAYS.INTL(MAX(E180,(Reprogramaciones!$T$15+7*(Reprogramaciones!V$14-1))),MIN(F180,(Reprogramaciones!$T$15+7*(Reprogramaciones!V$14-1))+6),11))=0,0,MAX(0,NETWORKDAYS.INTL(MAX(E180,(Reprogramaciones!$T$15+7*(Reprogramaciones!V$14-1))),MIN(F180,Reprogramaciones!V$13),11))/MAX(0,NETWORKDAYS.INTL(MAX(E180,(Reprogramaciones!$T$15+7*(Reprogramaciones!V$14-1))),MIN(F180,(Reprogramaciones!$T$15+7*(Reprogramaciones!V$14-1))+6),11))))))))</f>
        <v/>
      </c>
      <c r="CF180" s="1" t="str">
        <f aca="false">IF(OR(NOT(AND(ISNUMBER(E180),ISNUMBER(F180))),$J$2=""),"",IF(Reprogramaciones!W$13&lt;Reprogramaciones!$T$15,0,IF(Reprogramaciones!W$14&gt;10,MIN(100,SUM($G180:$P180)),MIN(100,SUMPRODUCT((COLUMN($G180:$P180)-COLUMN($G180)+1&lt;Reprogramaciones!W$14)*$G180:$P180)+N(INDEX($G180:$P180,1,Reprogramaciones!W$14))*IF(Reprogramaciones!W$13&gt;=(Reprogramaciones!$T$15+7*(Reprogramaciones!W$14-1))+6,1,IF(MAX(0,NETWORKDAYS.INTL(MAX(E180,(Reprogramaciones!$T$15+7*(Reprogramaciones!W$14-1))),MIN(F180,(Reprogramaciones!$T$15+7*(Reprogramaciones!W$14-1))+6),11))=0,0,MAX(0,NETWORKDAYS.INTL(MAX(E180,(Reprogramaciones!$T$15+7*(Reprogramaciones!W$14-1))),MIN(F180,Reprogramaciones!W$13),11))/MAX(0,NETWORKDAYS.INTL(MAX(E180,(Reprogramaciones!$T$15+7*(Reprogramaciones!W$14-1))),MIN(F180,(Reprogramaciones!$T$15+7*(Reprogramaciones!W$14-1))+6),11))))))))</f>
        <v/>
      </c>
      <c r="CG180" s="1" t="str">
        <f aca="false">IF(OR(NOT(AND(ISNUMBER(E180),ISNUMBER(F180))),$J$2=""),"",IF(Reprogramaciones!X$13&lt;Reprogramaciones!$T$15,0,IF(Reprogramaciones!X$14&gt;10,MIN(100,SUM($G180:$P180)),MIN(100,SUMPRODUCT((COLUMN($G180:$P180)-COLUMN($G180)+1&lt;Reprogramaciones!X$14)*$G180:$P180)+N(INDEX($G180:$P180,1,Reprogramaciones!X$14))*IF(Reprogramaciones!X$13&gt;=(Reprogramaciones!$T$15+7*(Reprogramaciones!X$14-1))+6,1,IF(MAX(0,NETWORKDAYS.INTL(MAX(E180,(Reprogramaciones!$T$15+7*(Reprogramaciones!X$14-1))),MIN(F180,(Reprogramaciones!$T$15+7*(Reprogramaciones!X$14-1))+6),11))=0,0,MAX(0,NETWORKDAYS.INTL(MAX(E180,(Reprogramaciones!$T$15+7*(Reprogramaciones!X$14-1))),MIN(F180,Reprogramaciones!X$13),11))/MAX(0,NETWORKDAYS.INTL(MAX(E180,(Reprogramaciones!$T$15+7*(Reprogramaciones!X$14-1))),MIN(F180,(Reprogramaciones!$T$15+7*(Reprogramaciones!X$14-1))+6),11))))))))</f>
        <v/>
      </c>
      <c r="CH180" s="1" t="str">
        <f aca="false">IF(OR(NOT(AND(ISNUMBER(E180),ISNUMBER(F180))),$J$2=""),"",IF(Reprogramaciones!Y$13&lt;Reprogramaciones!$T$15,0,IF(Reprogramaciones!Y$14&gt;10,MIN(100,SUM($G180:$P180)),MIN(100,SUMPRODUCT((COLUMN($G180:$P180)-COLUMN($G180)+1&lt;Reprogramaciones!Y$14)*$G180:$P180)+N(INDEX($G180:$P180,1,Reprogramaciones!Y$14))*IF(Reprogramaciones!Y$13&gt;=(Reprogramaciones!$T$15+7*(Reprogramaciones!Y$14-1))+6,1,IF(MAX(0,NETWORKDAYS.INTL(MAX(E180,(Reprogramaciones!$T$15+7*(Reprogramaciones!Y$14-1))),MIN(F180,(Reprogramaciones!$T$15+7*(Reprogramaciones!Y$14-1))+6),11))=0,0,MAX(0,NETWORKDAYS.INTL(MAX(E180,(Reprogramaciones!$T$15+7*(Reprogramaciones!Y$14-1))),MIN(F180,Reprogramaciones!Y$13),11))/MAX(0,NETWORKDAYS.INTL(MAX(E180,(Reprogramaciones!$T$15+7*(Reprogramaciones!Y$14-1))),MIN(F180,(Reprogramaciones!$T$15+7*(Reprogramaciones!Y$14-1))+6),11))))))))</f>
        <v/>
      </c>
      <c r="CI180" s="1" t="str">
        <f aca="false">IF(OR(NOT(AND(ISNUMBER(E180),ISNUMBER(F180))),$J$2=""),"",IF(Reprogramaciones!Z$13&lt;Reprogramaciones!$T$15,0,IF(Reprogramaciones!Z$14&gt;10,MIN(100,SUM($G180:$P180)),MIN(100,SUMPRODUCT((COLUMN($G180:$P180)-COLUMN($G180)+1&lt;Reprogramaciones!Z$14)*$G180:$P180)+N(INDEX($G180:$P180,1,Reprogramaciones!Z$14))*IF(Reprogramaciones!Z$13&gt;=(Reprogramaciones!$T$15+7*(Reprogramaciones!Z$14-1))+6,1,IF(MAX(0,NETWORKDAYS.INTL(MAX(E180,(Reprogramaciones!$T$15+7*(Reprogramaciones!Z$14-1))),MIN(F180,(Reprogramaciones!$T$15+7*(Reprogramaciones!Z$14-1))+6),11))=0,0,MAX(0,NETWORKDAYS.INTL(MAX(E180,(Reprogramaciones!$T$15+7*(Reprogramaciones!Z$14-1))),MIN(F180,Reprogramaciones!Z$13),11))/MAX(0,NETWORKDAYS.INTL(MAX(E180,(Reprogramaciones!$T$15+7*(Reprogramaciones!Z$14-1))),MIN(F180,(Reprogramaciones!$T$15+7*(Reprogramaciones!Z$14-1))+6),11))))))))</f>
        <v/>
      </c>
      <c r="CJ180" s="1" t="str">
        <f aca="false">IF(OR(OR(NOT(AND(ISNUMBER(E180),ISNUMBER(F180))),$J$2=""),1&gt;Reprogramaciones!$K$16),"",IF(ROUND(SUM($Q180:Q180),1)&gt;=99.5,100,MIN(100,ROUND(SUM($Q180:Q180),1))))</f>
        <v/>
      </c>
      <c r="CK180" s="1" t="str">
        <f aca="false">IF(OR(OR(NOT(AND(ISNUMBER(E180),ISNUMBER(F180))),$J$2=""),2&gt;Reprogramaciones!$K$16),"",IF(ROUND(SUM($Q180:R180),1)&gt;=99.5,100,MIN(100,ROUND(SUM($Q180:R180),1))))</f>
        <v/>
      </c>
      <c r="CL180" s="1" t="str">
        <f aca="false">IF(OR(OR(NOT(AND(ISNUMBER(E180),ISNUMBER(F180))),$J$2=""),3&gt;Reprogramaciones!$K$16),"",IF(ROUND(SUM($Q180:S180),1)&gt;=99.5,100,MIN(100,ROUND(SUM($Q180:S180),1))))</f>
        <v/>
      </c>
      <c r="CM180" s="1" t="str">
        <f aca="false">IF(OR(OR(NOT(AND(ISNUMBER(E180),ISNUMBER(F180))),$J$2=""),4&gt;Reprogramaciones!$K$16),"",IF(ROUND(SUM($Q180:T180),1)&gt;=99.5,100,MIN(100,ROUND(SUM($Q180:T180),1))))</f>
        <v/>
      </c>
      <c r="CN180" s="1" t="str">
        <f aca="false">IF(OR(OR(NOT(AND(ISNUMBER(E180),ISNUMBER(F180))),$J$2=""),5&gt;Reprogramaciones!$K$16),"",IF(ROUND(SUM($Q180:U180),1)&gt;=99.5,100,MIN(100,ROUND(SUM($Q180:U180),1))))</f>
        <v/>
      </c>
      <c r="CO180" s="1" t="str">
        <f aca="false">IF(OR(OR(NOT(AND(ISNUMBER(E180),ISNUMBER(F180))),$J$2=""),6&gt;Reprogramaciones!$K$16),"",IF(ROUND(SUM($Q180:V180),1)&gt;=99.5,100,MIN(100,ROUND(SUM($Q180:V180),1))))</f>
        <v/>
      </c>
      <c r="CP180" s="1" t="str">
        <f aca="false">IF(OR(OR(NOT(AND(ISNUMBER(E180),ISNUMBER(F180))),$J$2=""),7&gt;Reprogramaciones!$K$16),"",IF(ROUND(SUM($Q180:W180),1)&gt;=99.5,100,MIN(100,ROUND(SUM($Q180:W180),1))))</f>
        <v/>
      </c>
      <c r="CQ180" s="1" t="str">
        <f aca="false">IF(OR(OR(NOT(AND(ISNUMBER(E180),ISNUMBER(F180))),$J$2=""),8&gt;Reprogramaciones!$K$16),"",IF(ROUND(SUM($Q180:X180),1)&gt;=99.5,100,MIN(100,ROUND(SUM($Q180:X180),1))))</f>
        <v/>
      </c>
      <c r="CR180" s="1" t="str">
        <f aca="false">IF(OR(OR(NOT(AND(ISNUMBER(E180),ISNUMBER(F180))),$J$2=""),9&gt;Reprogramaciones!$K$16),"",IF(ROUND(SUM($Q180:Y180),1)&gt;=99.5,100,MIN(100,ROUND(SUM($Q180:Y180),1))))</f>
        <v/>
      </c>
      <c r="CS180" s="1" t="str">
        <f aca="false">IF(OR(OR(NOT(AND(ISNUMBER(E180),ISNUMBER(F180))),$J$2=""),10&gt;Reprogramaciones!$K$16),"",IF(ROUND(SUM($Q180:Z180),1)&gt;=99.5,100,MIN(100,ROUND(SUM($Q180:Z180),1))))</f>
        <v/>
      </c>
      <c r="CT180" s="1" t="str">
        <f aca="false">IF(OR(OR(NOT(AND(ISNUMBER(E180),ISNUMBER(F180))),$J$2=""),11&gt;Reprogramaciones!$K$16),"",IF(ROUND(SUM($Q180:AA180),1)&gt;=99.5,100,MIN(100,ROUND(SUM($Q180:AA180),1))))</f>
        <v/>
      </c>
      <c r="CU180" s="1" t="str">
        <f aca="false">IF(OR(OR(NOT(AND(ISNUMBER(E180),ISNUMBER(F180))),$J$2=""),12&gt;Reprogramaciones!$K$16),"",IF(ROUND(SUM($Q180:AB180),1)&gt;=99.5,100,MIN(100,ROUND(SUM($Q180:AB180),1))))</f>
        <v/>
      </c>
      <c r="CV180" s="1" t="str">
        <f aca="false">IF(OR(OR(NOT(AND(ISNUMBER(E180),ISNUMBER(F180))),$J$2=""),13&gt;Reprogramaciones!$K$16),"",IF(ROUND(SUM($Q180:AC180),1)&gt;=99.5,100,MIN(100,ROUND(SUM($Q180:AC180),1))))</f>
        <v/>
      </c>
      <c r="CW180" s="1" t="str">
        <f aca="false">IF(OR(OR(NOT(AND(ISNUMBER(E180),ISNUMBER(F180))),$J$2=""),14&gt;Reprogramaciones!$K$16),"",IF(ROUND(SUM($Q180:AD180),1)&gt;=99.5,100,MIN(100,ROUND(SUM($Q180:AD180),1))))</f>
        <v/>
      </c>
      <c r="CX180" s="1" t="str">
        <f aca="false">IF(OR(OR(NOT(AND(ISNUMBER(E180),ISNUMBER(F180))),$J$2=""),15&gt;Reprogramaciones!$K$16),"",IF(ROUND(SUM($Q180:AE180),1)&gt;=99.5,100,MIN(100,ROUND(SUM($Q180:AE180),1))))</f>
        <v/>
      </c>
      <c r="CY180" s="1" t="str">
        <f aca="false">IF(OR(OR(NOT(AND(ISNUMBER(E180),ISNUMBER(F180))),$J$2=""),16&gt;Reprogramaciones!$K$16),"",IF(ROUND(SUM($Q180:AF180),1)&gt;=99.5,100,MIN(100,ROUND(SUM($Q180:AF180),1))))</f>
        <v/>
      </c>
      <c r="CZ180" s="1" t="str">
        <f aca="false">IF(D180&lt;&gt;"",D180,IF(B180&lt;&gt;"","Contractual",CZ179))</f>
        <v>Contractual</v>
      </c>
      <c r="DA180" s="1" t="str">
        <f aca="false">IF(OR(NOT(AND(ISNUMBER(E180),ISNUMBER(F180))),$J$2=""),"",IF(Reprogramaciones!$Q$15&lt;Reprogramaciones!$T$15,0,IF(Reprogramaciones!$S$15&gt;10,MIN(100,SUM($G180:$P180)),MIN(100,SUMPRODUCT((COLUMN($G180:$P180)-COLUMN($G180)+1&lt;Reprogramaciones!$S$15)*$G180:$P180)+N(INDEX($G180:$P180,1,Reprogramaciones!$S$15))*IF(Reprogramaciones!$Q$15&gt;=(Reprogramaciones!$T$15+7*(Reprogramaciones!$S$15-1))+6,1,IF(MAX(0,NETWORKDAYS.INTL(MAX(E180,(Reprogramaciones!$T$15+7*(Reprogramaciones!$S$15-1))),MIN(F180,(Reprogramaciones!$T$15+7*(Reprogramaciones!$S$15-1))+6),11))=0,0,MAX(0,NETWORKDAYS.INTL(MAX(E180,(Reprogramaciones!$T$15+7*(Reprogramaciones!$S$15-1))),MIN(F180,Reprogramaciones!$Q$15),11))/MAX(0,NETWORKDAYS.INTL(MAX(E180,(Reprogramaciones!$T$15+7*(Reprogramaciones!$S$15-1))),MIN(F180,(Reprogramaciones!$T$15+7*(Reprogramaciones!$S$15-1))+6),11))))))))</f>
        <v/>
      </c>
    </row>
    <row r="181" customFormat="false" ht="15" hidden="false" customHeight="false" outlineLevel="0" collapsed="false">
      <c r="A181" s="32"/>
      <c r="B181" s="33"/>
      <c r="C181" s="33"/>
      <c r="D181" s="34"/>
      <c r="E181" s="35"/>
      <c r="F181" s="35"/>
      <c r="G181" s="36" t="str">
        <f aca="false">IF(OR(NOT(AND(ISNUMBER(E181),ISNUMBER(F181))),$J$2=""),"",IF(Reprogramaciones!K$9&lt;E181,0,IF(NETWORKDAYS.INTL(E181,F181,11)=0,IF(Reprogramaciones!K$9&gt;=F181,100,0),ROUND(NETWORKDAYS.INTL(E181,MIN(F181,Reprogramaciones!K$9),11)/NETWORKDAYS.INTL(E181,F181,11)*100,1)))-0)</f>
        <v/>
      </c>
      <c r="H181" s="36" t="str">
        <f aca="false">IF(OR(NOT(AND(ISNUMBER(E181),ISNUMBER(F181))),$J$2=""),"",IF(Reprogramaciones!L$9&lt;E181,0,IF(NETWORKDAYS.INTL(E181,F181,11)=0,IF(Reprogramaciones!L$9&gt;=F181,100,0),ROUND(NETWORKDAYS.INTL(E181,MIN(F181,Reprogramaciones!L$9),11)/NETWORKDAYS.INTL(E181,F181,11)*100,1)))-IF(Reprogramaciones!K$9&lt;E181,0,IF(NETWORKDAYS.INTL(E181,F181,11)=0,IF(Reprogramaciones!K$9&gt;=F181,100,0),ROUND(NETWORKDAYS.INTL(E181,MIN(F181,Reprogramaciones!K$9),11)/NETWORKDAYS.INTL(E181,F181,11)*100,1))))</f>
        <v/>
      </c>
      <c r="I181" s="36" t="str">
        <f aca="false">IF(OR(NOT(AND(ISNUMBER(E181),ISNUMBER(F181))),$J$2=""),"",IF(Reprogramaciones!M$9&lt;E181,0,IF(NETWORKDAYS.INTL(E181,F181,11)=0,IF(Reprogramaciones!M$9&gt;=F181,100,0),ROUND(NETWORKDAYS.INTL(E181,MIN(F181,Reprogramaciones!M$9),11)/NETWORKDAYS.INTL(E181,F181,11)*100,1)))-IF(Reprogramaciones!L$9&lt;E181,0,IF(NETWORKDAYS.INTL(E181,F181,11)=0,IF(Reprogramaciones!L$9&gt;=F181,100,0),ROUND(NETWORKDAYS.INTL(E181,MIN(F181,Reprogramaciones!L$9),11)/NETWORKDAYS.INTL(E181,F181,11)*100,1))))</f>
        <v/>
      </c>
      <c r="J181" s="36" t="str">
        <f aca="false">IF(OR(NOT(AND(ISNUMBER(E181),ISNUMBER(F181))),$J$2=""),"",IF(Reprogramaciones!N$9&lt;E181,0,IF(NETWORKDAYS.INTL(E181,F181,11)=0,IF(Reprogramaciones!N$9&gt;=F181,100,0),ROUND(NETWORKDAYS.INTL(E181,MIN(F181,Reprogramaciones!N$9),11)/NETWORKDAYS.INTL(E181,F181,11)*100,1)))-IF(Reprogramaciones!M$9&lt;E181,0,IF(NETWORKDAYS.INTL(E181,F181,11)=0,IF(Reprogramaciones!M$9&gt;=F181,100,0),ROUND(NETWORKDAYS.INTL(E181,MIN(F181,Reprogramaciones!M$9),11)/NETWORKDAYS.INTL(E181,F181,11)*100,1))))</f>
        <v/>
      </c>
      <c r="K181" s="36" t="str">
        <f aca="false">IF(OR(NOT(AND(ISNUMBER(E181),ISNUMBER(F181))),$J$2=""),"",IF(Reprogramaciones!O$9&lt;E181,0,IF(NETWORKDAYS.INTL(E181,F181,11)=0,IF(Reprogramaciones!O$9&gt;=F181,100,0),ROUND(NETWORKDAYS.INTL(E181,MIN(F181,Reprogramaciones!O$9),11)/NETWORKDAYS.INTL(E181,F181,11)*100,1)))-IF(Reprogramaciones!N$9&lt;E181,0,IF(NETWORKDAYS.INTL(E181,F181,11)=0,IF(Reprogramaciones!N$9&gt;=F181,100,0),ROUND(NETWORKDAYS.INTL(E181,MIN(F181,Reprogramaciones!N$9),11)/NETWORKDAYS.INTL(E181,F181,11)*100,1))))</f>
        <v/>
      </c>
      <c r="L181" s="36" t="str">
        <f aca="false">IF(OR(NOT(AND(ISNUMBER(E181),ISNUMBER(F181))),$J$2=""),"",IF(Reprogramaciones!P$9&lt;E181,0,IF(NETWORKDAYS.INTL(E181,F181,11)=0,IF(Reprogramaciones!P$9&gt;=F181,100,0),ROUND(NETWORKDAYS.INTL(E181,MIN(F181,Reprogramaciones!P$9),11)/NETWORKDAYS.INTL(E181,F181,11)*100,1)))-IF(Reprogramaciones!O$9&lt;E181,0,IF(NETWORKDAYS.INTL(E181,F181,11)=0,IF(Reprogramaciones!O$9&gt;=F181,100,0),ROUND(NETWORKDAYS.INTL(E181,MIN(F181,Reprogramaciones!O$9),11)/NETWORKDAYS.INTL(E181,F181,11)*100,1))))</f>
        <v/>
      </c>
      <c r="M181" s="36" t="str">
        <f aca="false">IF(OR(NOT(AND(ISNUMBER(E181),ISNUMBER(F181))),$J$2=""),"",IF(Reprogramaciones!Q$9&lt;E181,0,IF(NETWORKDAYS.INTL(E181,F181,11)=0,IF(Reprogramaciones!Q$9&gt;=F181,100,0),ROUND(NETWORKDAYS.INTL(E181,MIN(F181,Reprogramaciones!Q$9),11)/NETWORKDAYS.INTL(E181,F181,11)*100,1)))-IF(Reprogramaciones!P$9&lt;E181,0,IF(NETWORKDAYS.INTL(E181,F181,11)=0,IF(Reprogramaciones!P$9&gt;=F181,100,0),ROUND(NETWORKDAYS.INTL(E181,MIN(F181,Reprogramaciones!P$9),11)/NETWORKDAYS.INTL(E181,F181,11)*100,1))))</f>
        <v/>
      </c>
      <c r="N181" s="36" t="str">
        <f aca="false">IF(OR(NOT(AND(ISNUMBER(E181),ISNUMBER(F181))),$J$2=""),"",IF(Reprogramaciones!R$9&lt;E181,0,IF(NETWORKDAYS.INTL(E181,F181,11)=0,IF(Reprogramaciones!R$9&gt;=F181,100,0),ROUND(NETWORKDAYS.INTL(E181,MIN(F181,Reprogramaciones!R$9),11)/NETWORKDAYS.INTL(E181,F181,11)*100,1)))-IF(Reprogramaciones!Q$9&lt;E181,0,IF(NETWORKDAYS.INTL(E181,F181,11)=0,IF(Reprogramaciones!Q$9&gt;=F181,100,0),ROUND(NETWORKDAYS.INTL(E181,MIN(F181,Reprogramaciones!Q$9),11)/NETWORKDAYS.INTL(E181,F181,11)*100,1))))</f>
        <v/>
      </c>
      <c r="O181" s="36" t="str">
        <f aca="false">IF(OR(NOT(AND(ISNUMBER(E181),ISNUMBER(F181))),$J$2=""),"",IF(Reprogramaciones!S$9&lt;E181,0,IF(NETWORKDAYS.INTL(E181,F181,11)=0,IF(Reprogramaciones!S$9&gt;=F181,100,0),ROUND(NETWORKDAYS.INTL(E181,MIN(F181,Reprogramaciones!S$9),11)/NETWORKDAYS.INTL(E181,F181,11)*100,1)))-IF(Reprogramaciones!R$9&lt;E181,0,IF(NETWORKDAYS.INTL(E181,F181,11)=0,IF(Reprogramaciones!R$9&gt;=F181,100,0),ROUND(NETWORKDAYS.INTL(E181,MIN(F181,Reprogramaciones!R$9),11)/NETWORKDAYS.INTL(E181,F181,11)*100,1))))</f>
        <v/>
      </c>
      <c r="P181" s="36" t="str">
        <f aca="false">IF(OR(NOT(AND(ISNUMBER(E181),ISNUMBER(F181))),$J$2=""),"",IF(Reprogramaciones!T$9&lt;E181,0,IF(NETWORKDAYS.INTL(E181,F181,11)=0,IF(Reprogramaciones!T$9&gt;=F181,100,0),ROUND(NETWORKDAYS.INTL(E181,MIN(F181,Reprogramaciones!T$9),11)/NETWORKDAYS.INTL(E181,F181,11)*100,1)))-IF(Reprogramaciones!S$9&lt;E181,0,IF(NETWORKDAYS.INTL(E181,F181,11)=0,IF(Reprogramaciones!S$9&gt;=F181,100,0),ROUND(NETWORKDAYS.INTL(E181,MIN(F181,Reprogramaciones!S$9),11)/NETWORKDAYS.INTL(E181,F181,11)*100,1))))</f>
        <v/>
      </c>
      <c r="Q181" s="37"/>
      <c r="R181" s="37"/>
      <c r="S181" s="37"/>
      <c r="T181" s="37"/>
      <c r="U181" s="37"/>
      <c r="V181" s="37"/>
      <c r="W181" s="37"/>
      <c r="X181" s="37"/>
      <c r="Y181" s="37"/>
      <c r="Z181" s="37"/>
      <c r="AA181" s="37"/>
      <c r="AB181" s="37"/>
      <c r="AC181" s="37"/>
      <c r="AD181" s="37"/>
      <c r="AE181" s="37"/>
      <c r="AF181" s="37"/>
      <c r="AG181" s="38" t="str">
        <f aca="false">IF(AND(ISNUMBER(E181),ISNUMBER(F181)),NETWORKDAYS.INTL(E181,F181,11),"")</f>
        <v/>
      </c>
      <c r="AH181" s="38" t="str">
        <f aca="false">IF(OR(NOT(AND(ISNUMBER(E181),ISNUMBER(F181))),$J$2=""),"",IF(Reprogramaciones!$P$15&lt;Reprogramaciones!$T$15,0,IF(Reprogramaciones!$R$15&gt;10,MIN(100,SUM($G181:$P181)),MIN(100,SUMPRODUCT((COLUMN($G181:$P181)-COLUMN($G181)+1&lt;Reprogramaciones!$R$15)*$G181:$P181)+N(INDEX($G181:$P181,1,Reprogramaciones!$R$15))*IF(Reprogramaciones!$P$15&gt;=(Reprogramaciones!$T$15+7*(Reprogramaciones!$R$15-1))+6,1,IF(MAX(0,NETWORKDAYS.INTL(MAX(E181,(Reprogramaciones!$T$15+7*(Reprogramaciones!$R$15-1))),MIN(F181,(Reprogramaciones!$T$15+7*(Reprogramaciones!$R$15-1))+6),11))=0,0,MAX(0,NETWORKDAYS.INTL(MAX(E181,(Reprogramaciones!$T$15+7*(Reprogramaciones!$R$15-1))),MIN(F181,Reprogramaciones!$P$15),11))/MAX(0,NETWORKDAYS.INTL(MAX(E181,(Reprogramaciones!$T$15+7*(Reprogramaciones!$R$15-1))),MIN(F181,(Reprogramaciones!$T$15+7*(Reprogramaciones!$R$15-1))+6),11))))))))</f>
        <v/>
      </c>
      <c r="AI181" s="38" t="str">
        <f aca="false">IF(COUNT($Q181:$AF181)=0,"",IF(ROUND(SUM($Q181:$AF181),1)&gt;=99.5,100,MIN(100,ROUND(SUM($Q181:$AF181),1))))</f>
        <v/>
      </c>
      <c r="AJ181" s="38" t="str">
        <f aca="false">IF(OR(AH181="",AI181=""),"",AI181-AH181)</f>
        <v/>
      </c>
      <c r="AK181" s="39" t="str">
        <f aca="true">IF(AH181="","",IF(OR(Ficha!$C$10="Suspendida",Ficha!$C$10="Cancelada"),Ficha!$C$10,IF(AND(AI181&lt;&gt;"",N(AI181)&gt;=100),"Completada",IF(AND(E181&gt;TODAY(),N(AI181)=0),"Por iniciar",IF(N(AI181)+0.5&lt;AH181,"Retrasada",IF(N(AI181)+0.5&lt;DA181,IF(Reprogramaciones!$K$15&gt;0,"Al día · Sem "&amp;Reprogramaciones!$K$15&amp;" en curso","Al día · en curso"),"A tiempo"))))))</f>
        <v/>
      </c>
      <c r="AL181" s="39" t="str">
        <f aca="true">IF(AND(A181="",AND(B181="",C181="",E181="",F181="",COUNT(Q181:AF181)=0)),"",IF(AND(B181="",C181="",E181="",F181="",COUNT(Q181:AF181)=0),"Falta la partida o subpartida",IF(AND(A181&lt;&gt;"",COUNTIF($A$6:$A$305,A181)&gt;1),"Ítem repetido",IF(AND(C181="",E181="",F181="",COUNT(Q181:AF181)=0),"Título de partida",IF(OR(E181="",F181=""),"Faltan fechas",IF(OR(ISTEXT(E181),ISTEXT(F181)),"Fecha escrita como texto: usa dd/mm/aaaa",IF(F181&lt;E181,"Fin antes del inicio",IF(IF($J$2="",FALSE(),OR(E181&lt;$J$2,F181&gt;Reprogramaciones!$T$15+69)),"Fuera de las 10 semanas",IF(ABS(SUM(G181:P181)-100)&gt;0.5,"La meta no suma 100%",IF(ROUND(SUM(Q181:AF181),1)&gt;100.5,"El avance pasa de 100%",IF(MIN(Q181:AF181)&lt;0,"Avance negativo",IF(COUNTA(Q181:AF181)&gt;COUNT(Q181:AF181),"Avance escrito como texto",IF(SUMPRODUCT((Q181:AF181&gt;0)*(Q181:AF181&lt;1))&gt;0,"Avance menor a 1: escribe 50, no 50%",IF(SUMPRODUCT(ISNUMBER(Q181:AF181)*(Reprogramaciones!$K$8:$Z$8&gt;TODAY()))&gt;0,"Avance en semana que aún no llega",IF(AND(N(Reprogramaciones!$E$21)&gt;0,F181&gt;Reprogramaciones!$E$21),"Pasa el fin de la obra: registra una reprogramación",IF(AND(N(Reprogramaciones!$E$21)&gt;0,SUMPRODUCT(ISNUMBER(Q181:AF181)*(Reprogramaciones!$K$8:$Z$8&gt;Reprogramaciones!$E$21))&gt;0),"Avance después del fin de la obra: registra una reprogramación por atraso","OK"))))))))))))))))</f>
        <v/>
      </c>
      <c r="AM181" s="40" t="str">
        <f aca="false">IF(OR(OR(NOT(AND(ISNUMBER(E181),ISNUMBER(F181))),$J$2=""),1&gt;MAX(1,Reprogramaciones!$U$15)),"",IF(Reprogramaciones!K$12&gt;=7,"",IF(OR(BT181-N(0)&gt;0.05,N(Q181)&gt;0),ROUNDDOWN(ROUND(BT181,6),0)&amp;"%"&amp;IF(CJ181="",""," / "&amp;CJ181&amp;"%"),IF(AND(N(0)&gt;=99.95,CJ181&lt;&gt;"",N(CJ181)&lt;100),"Pend. "&amp;CJ181&amp;"%",""))))</f>
        <v/>
      </c>
      <c r="AN181" s="40" t="str">
        <f aca="false">IF(OR(OR(NOT(AND(ISNUMBER(E181),ISNUMBER(F181))),$J$2=""),2&gt;MAX(1,Reprogramaciones!$U$15)),"",IF(Reprogramaciones!L$12&gt;=7,"",IF(OR(BU181-N(BT181)&gt;0.05,N(R181)&gt;0),ROUNDDOWN(ROUND(BU181,6),0)&amp;"%"&amp;IF(CK181="",""," / "&amp;CK181&amp;"%"),IF(AND(N(BT181)&gt;=99.95,CK181&lt;&gt;"",N(CK181)&lt;100),"Pend. "&amp;CK181&amp;"%",""))))</f>
        <v/>
      </c>
      <c r="AO181" s="40" t="str">
        <f aca="false">IF(OR(OR(NOT(AND(ISNUMBER(E181),ISNUMBER(F181))),$J$2=""),3&gt;MAX(1,Reprogramaciones!$U$15)),"",IF(Reprogramaciones!M$12&gt;=7,"",IF(OR(BV181-N(BU181)&gt;0.05,N(S181)&gt;0),ROUNDDOWN(ROUND(BV181,6),0)&amp;"%"&amp;IF(CL181="",""," / "&amp;CL181&amp;"%"),IF(AND(N(BU181)&gt;=99.95,CL181&lt;&gt;"",N(CL181)&lt;100),"Pend. "&amp;CL181&amp;"%",""))))</f>
        <v/>
      </c>
      <c r="AP181" s="40" t="str">
        <f aca="false">IF(OR(OR(NOT(AND(ISNUMBER(E181),ISNUMBER(F181))),$J$2=""),4&gt;MAX(1,Reprogramaciones!$U$15)),"",IF(Reprogramaciones!N$12&gt;=7,"",IF(OR(BW181-N(BV181)&gt;0.05,N(T181)&gt;0),ROUNDDOWN(ROUND(BW181,6),0)&amp;"%"&amp;IF(CM181="",""," / "&amp;CM181&amp;"%"),IF(AND(N(BV181)&gt;=99.95,CM181&lt;&gt;"",N(CM181)&lt;100),"Pend. "&amp;CM181&amp;"%",""))))</f>
        <v/>
      </c>
      <c r="AQ181" s="40" t="str">
        <f aca="false">IF(OR(OR(NOT(AND(ISNUMBER(E181),ISNUMBER(F181))),$J$2=""),5&gt;MAX(1,Reprogramaciones!$U$15)),"",IF(Reprogramaciones!O$12&gt;=7,"",IF(OR(BX181-N(BW181)&gt;0.05,N(U181)&gt;0),ROUNDDOWN(ROUND(BX181,6),0)&amp;"%"&amp;IF(CN181="",""," / "&amp;CN181&amp;"%"),IF(AND(N(BW181)&gt;=99.95,CN181&lt;&gt;"",N(CN181)&lt;100),"Pend. "&amp;CN181&amp;"%",""))))</f>
        <v/>
      </c>
      <c r="AR181" s="40" t="str">
        <f aca="false">IF(OR(OR(NOT(AND(ISNUMBER(E181),ISNUMBER(F181))),$J$2=""),6&gt;MAX(1,Reprogramaciones!$U$15)),"",IF(Reprogramaciones!P$12&gt;=7,"",IF(OR(BY181-N(BX181)&gt;0.05,N(V181)&gt;0),ROUNDDOWN(ROUND(BY181,6),0)&amp;"%"&amp;IF(CO181="",""," / "&amp;CO181&amp;"%"),IF(AND(N(BX181)&gt;=99.95,CO181&lt;&gt;"",N(CO181)&lt;100),"Pend. "&amp;CO181&amp;"%",""))))</f>
        <v/>
      </c>
      <c r="AS181" s="40" t="str">
        <f aca="false">IF(OR(OR(NOT(AND(ISNUMBER(E181),ISNUMBER(F181))),$J$2=""),7&gt;MAX(1,Reprogramaciones!$U$15)),"",IF(Reprogramaciones!Q$12&gt;=7,"",IF(OR(BZ181-N(BY181)&gt;0.05,N(W181)&gt;0),ROUNDDOWN(ROUND(BZ181,6),0)&amp;"%"&amp;IF(CP181="",""," / "&amp;CP181&amp;"%"),IF(AND(N(BY181)&gt;=99.95,CP181&lt;&gt;"",N(CP181)&lt;100),"Pend. "&amp;CP181&amp;"%",""))))</f>
        <v/>
      </c>
      <c r="AT181" s="40" t="str">
        <f aca="false">IF(OR(OR(NOT(AND(ISNUMBER(E181),ISNUMBER(F181))),$J$2=""),8&gt;MAX(1,Reprogramaciones!$U$15)),"",IF(Reprogramaciones!R$12&gt;=7,"",IF(OR(CA181-N(BZ181)&gt;0.05,N(X181)&gt;0),ROUNDDOWN(ROUND(CA181,6),0)&amp;"%"&amp;IF(CQ181="",""," / "&amp;CQ181&amp;"%"),IF(AND(N(BZ181)&gt;=99.95,CQ181&lt;&gt;"",N(CQ181)&lt;100),"Pend. "&amp;CQ181&amp;"%",""))))</f>
        <v/>
      </c>
      <c r="AU181" s="40" t="str">
        <f aca="false">IF(OR(OR(NOT(AND(ISNUMBER(E181),ISNUMBER(F181))),$J$2=""),9&gt;MAX(1,Reprogramaciones!$U$15)),"",IF(Reprogramaciones!S$12&gt;=7,"",IF(OR(CB181-N(CA181)&gt;0.05,N(Y181)&gt;0),ROUNDDOWN(ROUND(CB181,6),0)&amp;"%"&amp;IF(CR181="",""," / "&amp;CR181&amp;"%"),IF(AND(N(CA181)&gt;=99.95,CR181&lt;&gt;"",N(CR181)&lt;100),"Pend. "&amp;CR181&amp;"%",""))))</f>
        <v/>
      </c>
      <c r="AV181" s="40" t="str">
        <f aca="false">IF(OR(OR(NOT(AND(ISNUMBER(E181),ISNUMBER(F181))),$J$2=""),10&gt;MAX(1,Reprogramaciones!$U$15)),"",IF(Reprogramaciones!T$12&gt;=7,"",IF(OR(CC181-N(CB181)&gt;0.05,N(Z181)&gt;0),ROUNDDOWN(ROUND(CC181,6),0)&amp;"%"&amp;IF(CS181="",""," / "&amp;CS181&amp;"%"),IF(AND(N(CB181)&gt;=99.95,CS181&lt;&gt;"",N(CS181)&lt;100),"Pend. "&amp;CS181&amp;"%",""))))</f>
        <v/>
      </c>
      <c r="AW181" s="40" t="str">
        <f aca="false">IF(OR(OR(NOT(AND(ISNUMBER(E181),ISNUMBER(F181))),$J$2=""),11&gt;MAX(1,Reprogramaciones!$U$15)),"",IF(Reprogramaciones!U$12&gt;=7,"",IF(OR(CD181-N(CC181)&gt;0.05,N(AA181)&gt;0),ROUNDDOWN(ROUND(CD181,6),0)&amp;"%"&amp;IF(CT181="",""," / "&amp;CT181&amp;"%"),IF(AND(N(CC181)&gt;=99.95,CT181&lt;&gt;"",N(CT181)&lt;100),"Pend. "&amp;CT181&amp;"%",""))))</f>
        <v/>
      </c>
      <c r="AX181" s="40" t="str">
        <f aca="false">IF(OR(OR(NOT(AND(ISNUMBER(E181),ISNUMBER(F181))),$J$2=""),12&gt;MAX(1,Reprogramaciones!$U$15)),"",IF(Reprogramaciones!V$12&gt;=7,"",IF(OR(CE181-N(CD181)&gt;0.05,N(AB181)&gt;0),ROUNDDOWN(ROUND(CE181,6),0)&amp;"%"&amp;IF(CU181="",""," / "&amp;CU181&amp;"%"),IF(AND(N(CD181)&gt;=99.95,CU181&lt;&gt;"",N(CU181)&lt;100),"Pend. "&amp;CU181&amp;"%",""))))</f>
        <v/>
      </c>
      <c r="AY181" s="40" t="str">
        <f aca="false">IF(OR(OR(NOT(AND(ISNUMBER(E181),ISNUMBER(F181))),$J$2=""),13&gt;MAX(1,Reprogramaciones!$U$15)),"",IF(Reprogramaciones!W$12&gt;=7,"",IF(OR(CF181-N(CE181)&gt;0.05,N(AC181)&gt;0),ROUNDDOWN(ROUND(CF181,6),0)&amp;"%"&amp;IF(CV181="",""," / "&amp;CV181&amp;"%"),IF(AND(N(CE181)&gt;=99.95,CV181&lt;&gt;"",N(CV181)&lt;100),"Pend. "&amp;CV181&amp;"%",""))))</f>
        <v/>
      </c>
      <c r="AZ181" s="40" t="str">
        <f aca="false">IF(OR(OR(NOT(AND(ISNUMBER(E181),ISNUMBER(F181))),$J$2=""),14&gt;MAX(1,Reprogramaciones!$U$15)),"",IF(Reprogramaciones!X$12&gt;=7,"",IF(OR(CG181-N(CF181)&gt;0.05,N(AD181)&gt;0),ROUNDDOWN(ROUND(CG181,6),0)&amp;"%"&amp;IF(CW181="",""," / "&amp;CW181&amp;"%"),IF(AND(N(CF181)&gt;=99.95,CW181&lt;&gt;"",N(CW181)&lt;100),"Pend. "&amp;CW181&amp;"%",""))))</f>
        <v/>
      </c>
      <c r="BA181" s="40" t="str">
        <f aca="false">IF(OR(OR(NOT(AND(ISNUMBER(E181),ISNUMBER(F181))),$J$2=""),15&gt;MAX(1,Reprogramaciones!$U$15)),"",IF(Reprogramaciones!Y$12&gt;=7,"",IF(OR(CH181-N(CG181)&gt;0.05,N(AE181)&gt;0),ROUNDDOWN(ROUND(CH181,6),0)&amp;"%"&amp;IF(CX181="",""," / "&amp;CX181&amp;"%"),IF(AND(N(CG181)&gt;=99.95,CX181&lt;&gt;"",N(CX181)&lt;100),"Pend. "&amp;CX181&amp;"%",""))))</f>
        <v/>
      </c>
      <c r="BB181" s="40" t="str">
        <f aca="false">IF(OR(OR(NOT(AND(ISNUMBER(E181),ISNUMBER(F181))),$J$2=""),16&gt;MAX(1,Reprogramaciones!$U$15)),"",IF(Reprogramaciones!Z$12&gt;=7,"",IF(OR(CI181-N(CH181)&gt;0.05,N(AF181)&gt;0),ROUNDDOWN(ROUND(CI181,6),0)&amp;"%"&amp;IF(CY181="",""," / "&amp;CY181&amp;"%"),IF(AND(N(CH181)&gt;=99.95,CY181&lt;&gt;"",N(CY181)&lt;100),"Pend. "&amp;CY181&amp;"%",""))))</f>
        <v/>
      </c>
      <c r="BC181" s="31" t="n">
        <f aca="false">IF(AND(ISNUMBER(E181),ISNUMBER(F181)),MAX(1,NETWORKDAYS.INTL(E181,F181,11)),0)</f>
        <v>0</v>
      </c>
      <c r="BD181" s="1" t="str">
        <f aca="false">IF(OR(NOT(AND(ISNUMBER(E181),ISNUMBER(F181))),$J$2=""),"",MIN(100,ROUND(SUM($G181:G181),1)))</f>
        <v/>
      </c>
      <c r="BE181" s="1" t="str">
        <f aca="false">IF(OR(NOT(AND(ISNUMBER(E181),ISNUMBER(F181))),$J$2=""),"",MIN(100,ROUND(SUM($G181:H181),1)))</f>
        <v/>
      </c>
      <c r="BF181" s="1" t="str">
        <f aca="false">IF(OR(NOT(AND(ISNUMBER(E181),ISNUMBER(F181))),$J$2=""),"",MIN(100,ROUND(SUM($G181:I181),1)))</f>
        <v/>
      </c>
      <c r="BG181" s="1" t="str">
        <f aca="false">IF(OR(NOT(AND(ISNUMBER(E181),ISNUMBER(F181))),$J$2=""),"",MIN(100,ROUND(SUM($G181:J181),1)))</f>
        <v/>
      </c>
      <c r="BH181" s="1" t="str">
        <f aca="false">IF(OR(NOT(AND(ISNUMBER(E181),ISNUMBER(F181))),$J$2=""),"",MIN(100,ROUND(SUM($G181:K181),1)))</f>
        <v/>
      </c>
      <c r="BI181" s="1" t="str">
        <f aca="false">IF(OR(NOT(AND(ISNUMBER(E181),ISNUMBER(F181))),$J$2=""),"",MIN(100,ROUND(SUM($G181:L181),1)))</f>
        <v/>
      </c>
      <c r="BJ181" s="1" t="str">
        <f aca="false">IF(OR(NOT(AND(ISNUMBER(E181),ISNUMBER(F181))),$J$2=""),"",MIN(100,ROUND(SUM($G181:M181),1)))</f>
        <v/>
      </c>
      <c r="BK181" s="1" t="str">
        <f aca="false">IF(OR(NOT(AND(ISNUMBER(E181),ISNUMBER(F181))),$J$2=""),"",MIN(100,ROUND(SUM($G181:N181),1)))</f>
        <v/>
      </c>
      <c r="BL181" s="1" t="str">
        <f aca="false">IF(OR(NOT(AND(ISNUMBER(E181),ISNUMBER(F181))),$J$2=""),"",MIN(100,ROUND(SUM($G181:O181),1)))</f>
        <v/>
      </c>
      <c r="BM181" s="1" t="str">
        <f aca="false">IF(OR(NOT(AND(ISNUMBER(E181),ISNUMBER(F181))),$J$2=""),"",MIN(100,ROUND(SUM($G181:P181),1)))</f>
        <v/>
      </c>
      <c r="BN181" s="1" t="str">
        <f aca="false">IF(OR(NOT(AND(ISNUMBER(E181),ISNUMBER(F181))),$J$2=""),"",MIN(100,ROUND(SUM($G181:P181),1)))</f>
        <v/>
      </c>
      <c r="BO181" s="1" t="str">
        <f aca="false">IF(OR(NOT(AND(ISNUMBER(E181),ISNUMBER(F181))),$J$2=""),"",MIN(100,ROUND(SUM($G181:P181),1)))</f>
        <v/>
      </c>
      <c r="BP181" s="1" t="str">
        <f aca="false">IF(OR(NOT(AND(ISNUMBER(E181),ISNUMBER(F181))),$J$2=""),"",MIN(100,ROUND(SUM($G181:P181),1)))</f>
        <v/>
      </c>
      <c r="BQ181" s="1" t="str">
        <f aca="false">IF(OR(NOT(AND(ISNUMBER(E181),ISNUMBER(F181))),$J$2=""),"",MIN(100,ROUND(SUM($G181:P181),1)))</f>
        <v/>
      </c>
      <c r="BR181" s="1" t="str">
        <f aca="false">IF(OR(NOT(AND(ISNUMBER(E181),ISNUMBER(F181))),$J$2=""),"",MIN(100,ROUND(SUM($G181:P181),1)))</f>
        <v/>
      </c>
      <c r="BS181" s="1" t="str">
        <f aca="false">IF(OR(NOT(AND(ISNUMBER(E181),ISNUMBER(F181))),$J$2=""),"",MIN(100,ROUND(SUM($G181:P181),1)))</f>
        <v/>
      </c>
      <c r="BT181" s="1" t="str">
        <f aca="false">IF(OR(NOT(AND(ISNUMBER(E181),ISNUMBER(F181))),$J$2=""),"",IF(Reprogramaciones!K$13&lt;Reprogramaciones!$T$15,0,IF(Reprogramaciones!K$14&gt;10,MIN(100,SUM($G181:$P181)),MIN(100,SUMPRODUCT((COLUMN($G181:$P181)-COLUMN($G181)+1&lt;Reprogramaciones!K$14)*$G181:$P181)+N(INDEX($G181:$P181,1,Reprogramaciones!K$14))*IF(Reprogramaciones!K$13&gt;=(Reprogramaciones!$T$15+7*(Reprogramaciones!K$14-1))+6,1,IF(MAX(0,NETWORKDAYS.INTL(MAX(E181,(Reprogramaciones!$T$15+7*(Reprogramaciones!K$14-1))),MIN(F181,(Reprogramaciones!$T$15+7*(Reprogramaciones!K$14-1))+6),11))=0,0,MAX(0,NETWORKDAYS.INTL(MAX(E181,(Reprogramaciones!$T$15+7*(Reprogramaciones!K$14-1))),MIN(F181,Reprogramaciones!K$13),11))/MAX(0,NETWORKDAYS.INTL(MAX(E181,(Reprogramaciones!$T$15+7*(Reprogramaciones!K$14-1))),MIN(F181,(Reprogramaciones!$T$15+7*(Reprogramaciones!K$14-1))+6),11))))))))</f>
        <v/>
      </c>
      <c r="BU181" s="1" t="str">
        <f aca="false">IF(OR(NOT(AND(ISNUMBER(E181),ISNUMBER(F181))),$J$2=""),"",IF(Reprogramaciones!L$13&lt;Reprogramaciones!$T$15,0,IF(Reprogramaciones!L$14&gt;10,MIN(100,SUM($G181:$P181)),MIN(100,SUMPRODUCT((COLUMN($G181:$P181)-COLUMN($G181)+1&lt;Reprogramaciones!L$14)*$G181:$P181)+N(INDEX($G181:$P181,1,Reprogramaciones!L$14))*IF(Reprogramaciones!L$13&gt;=(Reprogramaciones!$T$15+7*(Reprogramaciones!L$14-1))+6,1,IF(MAX(0,NETWORKDAYS.INTL(MAX(E181,(Reprogramaciones!$T$15+7*(Reprogramaciones!L$14-1))),MIN(F181,(Reprogramaciones!$T$15+7*(Reprogramaciones!L$14-1))+6),11))=0,0,MAX(0,NETWORKDAYS.INTL(MAX(E181,(Reprogramaciones!$T$15+7*(Reprogramaciones!L$14-1))),MIN(F181,Reprogramaciones!L$13),11))/MAX(0,NETWORKDAYS.INTL(MAX(E181,(Reprogramaciones!$T$15+7*(Reprogramaciones!L$14-1))),MIN(F181,(Reprogramaciones!$T$15+7*(Reprogramaciones!L$14-1))+6),11))))))))</f>
        <v/>
      </c>
      <c r="BV181" s="1" t="str">
        <f aca="false">IF(OR(NOT(AND(ISNUMBER(E181),ISNUMBER(F181))),$J$2=""),"",IF(Reprogramaciones!M$13&lt;Reprogramaciones!$T$15,0,IF(Reprogramaciones!M$14&gt;10,MIN(100,SUM($G181:$P181)),MIN(100,SUMPRODUCT((COLUMN($G181:$P181)-COLUMN($G181)+1&lt;Reprogramaciones!M$14)*$G181:$P181)+N(INDEX($G181:$P181,1,Reprogramaciones!M$14))*IF(Reprogramaciones!M$13&gt;=(Reprogramaciones!$T$15+7*(Reprogramaciones!M$14-1))+6,1,IF(MAX(0,NETWORKDAYS.INTL(MAX(E181,(Reprogramaciones!$T$15+7*(Reprogramaciones!M$14-1))),MIN(F181,(Reprogramaciones!$T$15+7*(Reprogramaciones!M$14-1))+6),11))=0,0,MAX(0,NETWORKDAYS.INTL(MAX(E181,(Reprogramaciones!$T$15+7*(Reprogramaciones!M$14-1))),MIN(F181,Reprogramaciones!M$13),11))/MAX(0,NETWORKDAYS.INTL(MAX(E181,(Reprogramaciones!$T$15+7*(Reprogramaciones!M$14-1))),MIN(F181,(Reprogramaciones!$T$15+7*(Reprogramaciones!M$14-1))+6),11))))))))</f>
        <v/>
      </c>
      <c r="BW181" s="1" t="str">
        <f aca="false">IF(OR(NOT(AND(ISNUMBER(E181),ISNUMBER(F181))),$J$2=""),"",IF(Reprogramaciones!N$13&lt;Reprogramaciones!$T$15,0,IF(Reprogramaciones!N$14&gt;10,MIN(100,SUM($G181:$P181)),MIN(100,SUMPRODUCT((COLUMN($G181:$P181)-COLUMN($G181)+1&lt;Reprogramaciones!N$14)*$G181:$P181)+N(INDEX($G181:$P181,1,Reprogramaciones!N$14))*IF(Reprogramaciones!N$13&gt;=(Reprogramaciones!$T$15+7*(Reprogramaciones!N$14-1))+6,1,IF(MAX(0,NETWORKDAYS.INTL(MAX(E181,(Reprogramaciones!$T$15+7*(Reprogramaciones!N$14-1))),MIN(F181,(Reprogramaciones!$T$15+7*(Reprogramaciones!N$14-1))+6),11))=0,0,MAX(0,NETWORKDAYS.INTL(MAX(E181,(Reprogramaciones!$T$15+7*(Reprogramaciones!N$14-1))),MIN(F181,Reprogramaciones!N$13),11))/MAX(0,NETWORKDAYS.INTL(MAX(E181,(Reprogramaciones!$T$15+7*(Reprogramaciones!N$14-1))),MIN(F181,(Reprogramaciones!$T$15+7*(Reprogramaciones!N$14-1))+6),11))))))))</f>
        <v/>
      </c>
      <c r="BX181" s="1" t="str">
        <f aca="false">IF(OR(NOT(AND(ISNUMBER(E181),ISNUMBER(F181))),$J$2=""),"",IF(Reprogramaciones!O$13&lt;Reprogramaciones!$T$15,0,IF(Reprogramaciones!O$14&gt;10,MIN(100,SUM($G181:$P181)),MIN(100,SUMPRODUCT((COLUMN($G181:$P181)-COLUMN($G181)+1&lt;Reprogramaciones!O$14)*$G181:$P181)+N(INDEX($G181:$P181,1,Reprogramaciones!O$14))*IF(Reprogramaciones!O$13&gt;=(Reprogramaciones!$T$15+7*(Reprogramaciones!O$14-1))+6,1,IF(MAX(0,NETWORKDAYS.INTL(MAX(E181,(Reprogramaciones!$T$15+7*(Reprogramaciones!O$14-1))),MIN(F181,(Reprogramaciones!$T$15+7*(Reprogramaciones!O$14-1))+6),11))=0,0,MAX(0,NETWORKDAYS.INTL(MAX(E181,(Reprogramaciones!$T$15+7*(Reprogramaciones!O$14-1))),MIN(F181,Reprogramaciones!O$13),11))/MAX(0,NETWORKDAYS.INTL(MAX(E181,(Reprogramaciones!$T$15+7*(Reprogramaciones!O$14-1))),MIN(F181,(Reprogramaciones!$T$15+7*(Reprogramaciones!O$14-1))+6),11))))))))</f>
        <v/>
      </c>
      <c r="BY181" s="1" t="str">
        <f aca="false">IF(OR(NOT(AND(ISNUMBER(E181),ISNUMBER(F181))),$J$2=""),"",IF(Reprogramaciones!P$13&lt;Reprogramaciones!$T$15,0,IF(Reprogramaciones!P$14&gt;10,MIN(100,SUM($G181:$P181)),MIN(100,SUMPRODUCT((COLUMN($G181:$P181)-COLUMN($G181)+1&lt;Reprogramaciones!P$14)*$G181:$P181)+N(INDEX($G181:$P181,1,Reprogramaciones!P$14))*IF(Reprogramaciones!P$13&gt;=(Reprogramaciones!$T$15+7*(Reprogramaciones!P$14-1))+6,1,IF(MAX(0,NETWORKDAYS.INTL(MAX(E181,(Reprogramaciones!$T$15+7*(Reprogramaciones!P$14-1))),MIN(F181,(Reprogramaciones!$T$15+7*(Reprogramaciones!P$14-1))+6),11))=0,0,MAX(0,NETWORKDAYS.INTL(MAX(E181,(Reprogramaciones!$T$15+7*(Reprogramaciones!P$14-1))),MIN(F181,Reprogramaciones!P$13),11))/MAX(0,NETWORKDAYS.INTL(MAX(E181,(Reprogramaciones!$T$15+7*(Reprogramaciones!P$14-1))),MIN(F181,(Reprogramaciones!$T$15+7*(Reprogramaciones!P$14-1))+6),11))))))))</f>
        <v/>
      </c>
      <c r="BZ181" s="1" t="str">
        <f aca="false">IF(OR(NOT(AND(ISNUMBER(E181),ISNUMBER(F181))),$J$2=""),"",IF(Reprogramaciones!Q$13&lt;Reprogramaciones!$T$15,0,IF(Reprogramaciones!Q$14&gt;10,MIN(100,SUM($G181:$P181)),MIN(100,SUMPRODUCT((COLUMN($G181:$P181)-COLUMN($G181)+1&lt;Reprogramaciones!Q$14)*$G181:$P181)+N(INDEX($G181:$P181,1,Reprogramaciones!Q$14))*IF(Reprogramaciones!Q$13&gt;=(Reprogramaciones!$T$15+7*(Reprogramaciones!Q$14-1))+6,1,IF(MAX(0,NETWORKDAYS.INTL(MAX(E181,(Reprogramaciones!$T$15+7*(Reprogramaciones!Q$14-1))),MIN(F181,(Reprogramaciones!$T$15+7*(Reprogramaciones!Q$14-1))+6),11))=0,0,MAX(0,NETWORKDAYS.INTL(MAX(E181,(Reprogramaciones!$T$15+7*(Reprogramaciones!Q$14-1))),MIN(F181,Reprogramaciones!Q$13),11))/MAX(0,NETWORKDAYS.INTL(MAX(E181,(Reprogramaciones!$T$15+7*(Reprogramaciones!Q$14-1))),MIN(F181,(Reprogramaciones!$T$15+7*(Reprogramaciones!Q$14-1))+6),11))))))))</f>
        <v/>
      </c>
      <c r="CA181" s="1" t="str">
        <f aca="false">IF(OR(NOT(AND(ISNUMBER(E181),ISNUMBER(F181))),$J$2=""),"",IF(Reprogramaciones!R$13&lt;Reprogramaciones!$T$15,0,IF(Reprogramaciones!R$14&gt;10,MIN(100,SUM($G181:$P181)),MIN(100,SUMPRODUCT((COLUMN($G181:$P181)-COLUMN($G181)+1&lt;Reprogramaciones!R$14)*$G181:$P181)+N(INDEX($G181:$P181,1,Reprogramaciones!R$14))*IF(Reprogramaciones!R$13&gt;=(Reprogramaciones!$T$15+7*(Reprogramaciones!R$14-1))+6,1,IF(MAX(0,NETWORKDAYS.INTL(MAX(E181,(Reprogramaciones!$T$15+7*(Reprogramaciones!R$14-1))),MIN(F181,(Reprogramaciones!$T$15+7*(Reprogramaciones!R$14-1))+6),11))=0,0,MAX(0,NETWORKDAYS.INTL(MAX(E181,(Reprogramaciones!$T$15+7*(Reprogramaciones!R$14-1))),MIN(F181,Reprogramaciones!R$13),11))/MAX(0,NETWORKDAYS.INTL(MAX(E181,(Reprogramaciones!$T$15+7*(Reprogramaciones!R$14-1))),MIN(F181,(Reprogramaciones!$T$15+7*(Reprogramaciones!R$14-1))+6),11))))))))</f>
        <v/>
      </c>
      <c r="CB181" s="1" t="str">
        <f aca="false">IF(OR(NOT(AND(ISNUMBER(E181),ISNUMBER(F181))),$J$2=""),"",IF(Reprogramaciones!S$13&lt;Reprogramaciones!$T$15,0,IF(Reprogramaciones!S$14&gt;10,MIN(100,SUM($G181:$P181)),MIN(100,SUMPRODUCT((COLUMN($G181:$P181)-COLUMN($G181)+1&lt;Reprogramaciones!S$14)*$G181:$P181)+N(INDEX($G181:$P181,1,Reprogramaciones!S$14))*IF(Reprogramaciones!S$13&gt;=(Reprogramaciones!$T$15+7*(Reprogramaciones!S$14-1))+6,1,IF(MAX(0,NETWORKDAYS.INTL(MAX(E181,(Reprogramaciones!$T$15+7*(Reprogramaciones!S$14-1))),MIN(F181,(Reprogramaciones!$T$15+7*(Reprogramaciones!S$14-1))+6),11))=0,0,MAX(0,NETWORKDAYS.INTL(MAX(E181,(Reprogramaciones!$T$15+7*(Reprogramaciones!S$14-1))),MIN(F181,Reprogramaciones!S$13),11))/MAX(0,NETWORKDAYS.INTL(MAX(E181,(Reprogramaciones!$T$15+7*(Reprogramaciones!S$14-1))),MIN(F181,(Reprogramaciones!$T$15+7*(Reprogramaciones!S$14-1))+6),11))))))))</f>
        <v/>
      </c>
      <c r="CC181" s="1" t="str">
        <f aca="false">IF(OR(NOT(AND(ISNUMBER(E181),ISNUMBER(F181))),$J$2=""),"",IF(Reprogramaciones!T$13&lt;Reprogramaciones!$T$15,0,IF(Reprogramaciones!T$14&gt;10,MIN(100,SUM($G181:$P181)),MIN(100,SUMPRODUCT((COLUMN($G181:$P181)-COLUMN($G181)+1&lt;Reprogramaciones!T$14)*$G181:$P181)+N(INDEX($G181:$P181,1,Reprogramaciones!T$14))*IF(Reprogramaciones!T$13&gt;=(Reprogramaciones!$T$15+7*(Reprogramaciones!T$14-1))+6,1,IF(MAX(0,NETWORKDAYS.INTL(MAX(E181,(Reprogramaciones!$T$15+7*(Reprogramaciones!T$14-1))),MIN(F181,(Reprogramaciones!$T$15+7*(Reprogramaciones!T$14-1))+6),11))=0,0,MAX(0,NETWORKDAYS.INTL(MAX(E181,(Reprogramaciones!$T$15+7*(Reprogramaciones!T$14-1))),MIN(F181,Reprogramaciones!T$13),11))/MAX(0,NETWORKDAYS.INTL(MAX(E181,(Reprogramaciones!$T$15+7*(Reprogramaciones!T$14-1))),MIN(F181,(Reprogramaciones!$T$15+7*(Reprogramaciones!T$14-1))+6),11))))))))</f>
        <v/>
      </c>
      <c r="CD181" s="1" t="str">
        <f aca="false">IF(OR(NOT(AND(ISNUMBER(E181),ISNUMBER(F181))),$J$2=""),"",IF(Reprogramaciones!U$13&lt;Reprogramaciones!$T$15,0,IF(Reprogramaciones!U$14&gt;10,MIN(100,SUM($G181:$P181)),MIN(100,SUMPRODUCT((COLUMN($G181:$P181)-COLUMN($G181)+1&lt;Reprogramaciones!U$14)*$G181:$P181)+N(INDEX($G181:$P181,1,Reprogramaciones!U$14))*IF(Reprogramaciones!U$13&gt;=(Reprogramaciones!$T$15+7*(Reprogramaciones!U$14-1))+6,1,IF(MAX(0,NETWORKDAYS.INTL(MAX(E181,(Reprogramaciones!$T$15+7*(Reprogramaciones!U$14-1))),MIN(F181,(Reprogramaciones!$T$15+7*(Reprogramaciones!U$14-1))+6),11))=0,0,MAX(0,NETWORKDAYS.INTL(MAX(E181,(Reprogramaciones!$T$15+7*(Reprogramaciones!U$14-1))),MIN(F181,Reprogramaciones!U$13),11))/MAX(0,NETWORKDAYS.INTL(MAX(E181,(Reprogramaciones!$T$15+7*(Reprogramaciones!U$14-1))),MIN(F181,(Reprogramaciones!$T$15+7*(Reprogramaciones!U$14-1))+6),11))))))))</f>
        <v/>
      </c>
      <c r="CE181" s="1" t="str">
        <f aca="false">IF(OR(NOT(AND(ISNUMBER(E181),ISNUMBER(F181))),$J$2=""),"",IF(Reprogramaciones!V$13&lt;Reprogramaciones!$T$15,0,IF(Reprogramaciones!V$14&gt;10,MIN(100,SUM($G181:$P181)),MIN(100,SUMPRODUCT((COLUMN($G181:$P181)-COLUMN($G181)+1&lt;Reprogramaciones!V$14)*$G181:$P181)+N(INDEX($G181:$P181,1,Reprogramaciones!V$14))*IF(Reprogramaciones!V$13&gt;=(Reprogramaciones!$T$15+7*(Reprogramaciones!V$14-1))+6,1,IF(MAX(0,NETWORKDAYS.INTL(MAX(E181,(Reprogramaciones!$T$15+7*(Reprogramaciones!V$14-1))),MIN(F181,(Reprogramaciones!$T$15+7*(Reprogramaciones!V$14-1))+6),11))=0,0,MAX(0,NETWORKDAYS.INTL(MAX(E181,(Reprogramaciones!$T$15+7*(Reprogramaciones!V$14-1))),MIN(F181,Reprogramaciones!V$13),11))/MAX(0,NETWORKDAYS.INTL(MAX(E181,(Reprogramaciones!$T$15+7*(Reprogramaciones!V$14-1))),MIN(F181,(Reprogramaciones!$T$15+7*(Reprogramaciones!V$14-1))+6),11))))))))</f>
        <v/>
      </c>
      <c r="CF181" s="1" t="str">
        <f aca="false">IF(OR(NOT(AND(ISNUMBER(E181),ISNUMBER(F181))),$J$2=""),"",IF(Reprogramaciones!W$13&lt;Reprogramaciones!$T$15,0,IF(Reprogramaciones!W$14&gt;10,MIN(100,SUM($G181:$P181)),MIN(100,SUMPRODUCT((COLUMN($G181:$P181)-COLUMN($G181)+1&lt;Reprogramaciones!W$14)*$G181:$P181)+N(INDEX($G181:$P181,1,Reprogramaciones!W$14))*IF(Reprogramaciones!W$13&gt;=(Reprogramaciones!$T$15+7*(Reprogramaciones!W$14-1))+6,1,IF(MAX(0,NETWORKDAYS.INTL(MAX(E181,(Reprogramaciones!$T$15+7*(Reprogramaciones!W$14-1))),MIN(F181,(Reprogramaciones!$T$15+7*(Reprogramaciones!W$14-1))+6),11))=0,0,MAX(0,NETWORKDAYS.INTL(MAX(E181,(Reprogramaciones!$T$15+7*(Reprogramaciones!W$14-1))),MIN(F181,Reprogramaciones!W$13),11))/MAX(0,NETWORKDAYS.INTL(MAX(E181,(Reprogramaciones!$T$15+7*(Reprogramaciones!W$14-1))),MIN(F181,(Reprogramaciones!$T$15+7*(Reprogramaciones!W$14-1))+6),11))))))))</f>
        <v/>
      </c>
      <c r="CG181" s="1" t="str">
        <f aca="false">IF(OR(NOT(AND(ISNUMBER(E181),ISNUMBER(F181))),$J$2=""),"",IF(Reprogramaciones!X$13&lt;Reprogramaciones!$T$15,0,IF(Reprogramaciones!X$14&gt;10,MIN(100,SUM($G181:$P181)),MIN(100,SUMPRODUCT((COLUMN($G181:$P181)-COLUMN($G181)+1&lt;Reprogramaciones!X$14)*$G181:$P181)+N(INDEX($G181:$P181,1,Reprogramaciones!X$14))*IF(Reprogramaciones!X$13&gt;=(Reprogramaciones!$T$15+7*(Reprogramaciones!X$14-1))+6,1,IF(MAX(0,NETWORKDAYS.INTL(MAX(E181,(Reprogramaciones!$T$15+7*(Reprogramaciones!X$14-1))),MIN(F181,(Reprogramaciones!$T$15+7*(Reprogramaciones!X$14-1))+6),11))=0,0,MAX(0,NETWORKDAYS.INTL(MAX(E181,(Reprogramaciones!$T$15+7*(Reprogramaciones!X$14-1))),MIN(F181,Reprogramaciones!X$13),11))/MAX(0,NETWORKDAYS.INTL(MAX(E181,(Reprogramaciones!$T$15+7*(Reprogramaciones!X$14-1))),MIN(F181,(Reprogramaciones!$T$15+7*(Reprogramaciones!X$14-1))+6),11))))))))</f>
        <v/>
      </c>
      <c r="CH181" s="1" t="str">
        <f aca="false">IF(OR(NOT(AND(ISNUMBER(E181),ISNUMBER(F181))),$J$2=""),"",IF(Reprogramaciones!Y$13&lt;Reprogramaciones!$T$15,0,IF(Reprogramaciones!Y$14&gt;10,MIN(100,SUM($G181:$P181)),MIN(100,SUMPRODUCT((COLUMN($G181:$P181)-COLUMN($G181)+1&lt;Reprogramaciones!Y$14)*$G181:$P181)+N(INDEX($G181:$P181,1,Reprogramaciones!Y$14))*IF(Reprogramaciones!Y$13&gt;=(Reprogramaciones!$T$15+7*(Reprogramaciones!Y$14-1))+6,1,IF(MAX(0,NETWORKDAYS.INTL(MAX(E181,(Reprogramaciones!$T$15+7*(Reprogramaciones!Y$14-1))),MIN(F181,(Reprogramaciones!$T$15+7*(Reprogramaciones!Y$14-1))+6),11))=0,0,MAX(0,NETWORKDAYS.INTL(MAX(E181,(Reprogramaciones!$T$15+7*(Reprogramaciones!Y$14-1))),MIN(F181,Reprogramaciones!Y$13),11))/MAX(0,NETWORKDAYS.INTL(MAX(E181,(Reprogramaciones!$T$15+7*(Reprogramaciones!Y$14-1))),MIN(F181,(Reprogramaciones!$T$15+7*(Reprogramaciones!Y$14-1))+6),11))))))))</f>
        <v/>
      </c>
      <c r="CI181" s="1" t="str">
        <f aca="false">IF(OR(NOT(AND(ISNUMBER(E181),ISNUMBER(F181))),$J$2=""),"",IF(Reprogramaciones!Z$13&lt;Reprogramaciones!$T$15,0,IF(Reprogramaciones!Z$14&gt;10,MIN(100,SUM($G181:$P181)),MIN(100,SUMPRODUCT((COLUMN($G181:$P181)-COLUMN($G181)+1&lt;Reprogramaciones!Z$14)*$G181:$P181)+N(INDEX($G181:$P181,1,Reprogramaciones!Z$14))*IF(Reprogramaciones!Z$13&gt;=(Reprogramaciones!$T$15+7*(Reprogramaciones!Z$14-1))+6,1,IF(MAX(0,NETWORKDAYS.INTL(MAX(E181,(Reprogramaciones!$T$15+7*(Reprogramaciones!Z$14-1))),MIN(F181,(Reprogramaciones!$T$15+7*(Reprogramaciones!Z$14-1))+6),11))=0,0,MAX(0,NETWORKDAYS.INTL(MAX(E181,(Reprogramaciones!$T$15+7*(Reprogramaciones!Z$14-1))),MIN(F181,Reprogramaciones!Z$13),11))/MAX(0,NETWORKDAYS.INTL(MAX(E181,(Reprogramaciones!$T$15+7*(Reprogramaciones!Z$14-1))),MIN(F181,(Reprogramaciones!$T$15+7*(Reprogramaciones!Z$14-1))+6),11))))))))</f>
        <v/>
      </c>
      <c r="CJ181" s="1" t="str">
        <f aca="false">IF(OR(OR(NOT(AND(ISNUMBER(E181),ISNUMBER(F181))),$J$2=""),1&gt;Reprogramaciones!$K$16),"",IF(ROUND(SUM($Q181:Q181),1)&gt;=99.5,100,MIN(100,ROUND(SUM($Q181:Q181),1))))</f>
        <v/>
      </c>
      <c r="CK181" s="1" t="str">
        <f aca="false">IF(OR(OR(NOT(AND(ISNUMBER(E181),ISNUMBER(F181))),$J$2=""),2&gt;Reprogramaciones!$K$16),"",IF(ROUND(SUM($Q181:R181),1)&gt;=99.5,100,MIN(100,ROUND(SUM($Q181:R181),1))))</f>
        <v/>
      </c>
      <c r="CL181" s="1" t="str">
        <f aca="false">IF(OR(OR(NOT(AND(ISNUMBER(E181),ISNUMBER(F181))),$J$2=""),3&gt;Reprogramaciones!$K$16),"",IF(ROUND(SUM($Q181:S181),1)&gt;=99.5,100,MIN(100,ROUND(SUM($Q181:S181),1))))</f>
        <v/>
      </c>
      <c r="CM181" s="1" t="str">
        <f aca="false">IF(OR(OR(NOT(AND(ISNUMBER(E181),ISNUMBER(F181))),$J$2=""),4&gt;Reprogramaciones!$K$16),"",IF(ROUND(SUM($Q181:T181),1)&gt;=99.5,100,MIN(100,ROUND(SUM($Q181:T181),1))))</f>
        <v/>
      </c>
      <c r="CN181" s="1" t="str">
        <f aca="false">IF(OR(OR(NOT(AND(ISNUMBER(E181),ISNUMBER(F181))),$J$2=""),5&gt;Reprogramaciones!$K$16),"",IF(ROUND(SUM($Q181:U181),1)&gt;=99.5,100,MIN(100,ROUND(SUM($Q181:U181),1))))</f>
        <v/>
      </c>
      <c r="CO181" s="1" t="str">
        <f aca="false">IF(OR(OR(NOT(AND(ISNUMBER(E181),ISNUMBER(F181))),$J$2=""),6&gt;Reprogramaciones!$K$16),"",IF(ROUND(SUM($Q181:V181),1)&gt;=99.5,100,MIN(100,ROUND(SUM($Q181:V181),1))))</f>
        <v/>
      </c>
      <c r="CP181" s="1" t="str">
        <f aca="false">IF(OR(OR(NOT(AND(ISNUMBER(E181),ISNUMBER(F181))),$J$2=""),7&gt;Reprogramaciones!$K$16),"",IF(ROUND(SUM($Q181:W181),1)&gt;=99.5,100,MIN(100,ROUND(SUM($Q181:W181),1))))</f>
        <v/>
      </c>
      <c r="CQ181" s="1" t="str">
        <f aca="false">IF(OR(OR(NOT(AND(ISNUMBER(E181),ISNUMBER(F181))),$J$2=""),8&gt;Reprogramaciones!$K$16),"",IF(ROUND(SUM($Q181:X181),1)&gt;=99.5,100,MIN(100,ROUND(SUM($Q181:X181),1))))</f>
        <v/>
      </c>
      <c r="CR181" s="1" t="str">
        <f aca="false">IF(OR(OR(NOT(AND(ISNUMBER(E181),ISNUMBER(F181))),$J$2=""),9&gt;Reprogramaciones!$K$16),"",IF(ROUND(SUM($Q181:Y181),1)&gt;=99.5,100,MIN(100,ROUND(SUM($Q181:Y181),1))))</f>
        <v/>
      </c>
      <c r="CS181" s="1" t="str">
        <f aca="false">IF(OR(OR(NOT(AND(ISNUMBER(E181),ISNUMBER(F181))),$J$2=""),10&gt;Reprogramaciones!$K$16),"",IF(ROUND(SUM($Q181:Z181),1)&gt;=99.5,100,MIN(100,ROUND(SUM($Q181:Z181),1))))</f>
        <v/>
      </c>
      <c r="CT181" s="1" t="str">
        <f aca="false">IF(OR(OR(NOT(AND(ISNUMBER(E181),ISNUMBER(F181))),$J$2=""),11&gt;Reprogramaciones!$K$16),"",IF(ROUND(SUM($Q181:AA181),1)&gt;=99.5,100,MIN(100,ROUND(SUM($Q181:AA181),1))))</f>
        <v/>
      </c>
      <c r="CU181" s="1" t="str">
        <f aca="false">IF(OR(OR(NOT(AND(ISNUMBER(E181),ISNUMBER(F181))),$J$2=""),12&gt;Reprogramaciones!$K$16),"",IF(ROUND(SUM($Q181:AB181),1)&gt;=99.5,100,MIN(100,ROUND(SUM($Q181:AB181),1))))</f>
        <v/>
      </c>
      <c r="CV181" s="1" t="str">
        <f aca="false">IF(OR(OR(NOT(AND(ISNUMBER(E181),ISNUMBER(F181))),$J$2=""),13&gt;Reprogramaciones!$K$16),"",IF(ROUND(SUM($Q181:AC181),1)&gt;=99.5,100,MIN(100,ROUND(SUM($Q181:AC181),1))))</f>
        <v/>
      </c>
      <c r="CW181" s="1" t="str">
        <f aca="false">IF(OR(OR(NOT(AND(ISNUMBER(E181),ISNUMBER(F181))),$J$2=""),14&gt;Reprogramaciones!$K$16),"",IF(ROUND(SUM($Q181:AD181),1)&gt;=99.5,100,MIN(100,ROUND(SUM($Q181:AD181),1))))</f>
        <v/>
      </c>
      <c r="CX181" s="1" t="str">
        <f aca="false">IF(OR(OR(NOT(AND(ISNUMBER(E181),ISNUMBER(F181))),$J$2=""),15&gt;Reprogramaciones!$K$16),"",IF(ROUND(SUM($Q181:AE181),1)&gt;=99.5,100,MIN(100,ROUND(SUM($Q181:AE181),1))))</f>
        <v/>
      </c>
      <c r="CY181" s="1" t="str">
        <f aca="false">IF(OR(OR(NOT(AND(ISNUMBER(E181),ISNUMBER(F181))),$J$2=""),16&gt;Reprogramaciones!$K$16),"",IF(ROUND(SUM($Q181:AF181),1)&gt;=99.5,100,MIN(100,ROUND(SUM($Q181:AF181),1))))</f>
        <v/>
      </c>
      <c r="CZ181" s="1" t="str">
        <f aca="false">IF(D181&lt;&gt;"",D181,IF(B181&lt;&gt;"","Contractual",CZ180))</f>
        <v>Contractual</v>
      </c>
      <c r="DA181" s="1" t="str">
        <f aca="false">IF(OR(NOT(AND(ISNUMBER(E181),ISNUMBER(F181))),$J$2=""),"",IF(Reprogramaciones!$Q$15&lt;Reprogramaciones!$T$15,0,IF(Reprogramaciones!$S$15&gt;10,MIN(100,SUM($G181:$P181)),MIN(100,SUMPRODUCT((COLUMN($G181:$P181)-COLUMN($G181)+1&lt;Reprogramaciones!$S$15)*$G181:$P181)+N(INDEX($G181:$P181,1,Reprogramaciones!$S$15))*IF(Reprogramaciones!$Q$15&gt;=(Reprogramaciones!$T$15+7*(Reprogramaciones!$S$15-1))+6,1,IF(MAX(0,NETWORKDAYS.INTL(MAX(E181,(Reprogramaciones!$T$15+7*(Reprogramaciones!$S$15-1))),MIN(F181,(Reprogramaciones!$T$15+7*(Reprogramaciones!$S$15-1))+6),11))=0,0,MAX(0,NETWORKDAYS.INTL(MAX(E181,(Reprogramaciones!$T$15+7*(Reprogramaciones!$S$15-1))),MIN(F181,Reprogramaciones!$Q$15),11))/MAX(0,NETWORKDAYS.INTL(MAX(E181,(Reprogramaciones!$T$15+7*(Reprogramaciones!$S$15-1))),MIN(F181,(Reprogramaciones!$T$15+7*(Reprogramaciones!$S$15-1))+6),11))))))))</f>
        <v/>
      </c>
    </row>
    <row r="182" customFormat="false" ht="15" hidden="false" customHeight="false" outlineLevel="0" collapsed="false">
      <c r="A182" s="32"/>
      <c r="B182" s="33"/>
      <c r="C182" s="33"/>
      <c r="D182" s="34"/>
      <c r="E182" s="35"/>
      <c r="F182" s="35"/>
      <c r="G182" s="36" t="str">
        <f aca="false">IF(OR(NOT(AND(ISNUMBER(E182),ISNUMBER(F182))),$J$2=""),"",IF(Reprogramaciones!K$9&lt;E182,0,IF(NETWORKDAYS.INTL(E182,F182,11)=0,IF(Reprogramaciones!K$9&gt;=F182,100,0),ROUND(NETWORKDAYS.INTL(E182,MIN(F182,Reprogramaciones!K$9),11)/NETWORKDAYS.INTL(E182,F182,11)*100,1)))-0)</f>
        <v/>
      </c>
      <c r="H182" s="36" t="str">
        <f aca="false">IF(OR(NOT(AND(ISNUMBER(E182),ISNUMBER(F182))),$J$2=""),"",IF(Reprogramaciones!L$9&lt;E182,0,IF(NETWORKDAYS.INTL(E182,F182,11)=0,IF(Reprogramaciones!L$9&gt;=F182,100,0),ROUND(NETWORKDAYS.INTL(E182,MIN(F182,Reprogramaciones!L$9),11)/NETWORKDAYS.INTL(E182,F182,11)*100,1)))-IF(Reprogramaciones!K$9&lt;E182,0,IF(NETWORKDAYS.INTL(E182,F182,11)=0,IF(Reprogramaciones!K$9&gt;=F182,100,0),ROUND(NETWORKDAYS.INTL(E182,MIN(F182,Reprogramaciones!K$9),11)/NETWORKDAYS.INTL(E182,F182,11)*100,1))))</f>
        <v/>
      </c>
      <c r="I182" s="36" t="str">
        <f aca="false">IF(OR(NOT(AND(ISNUMBER(E182),ISNUMBER(F182))),$J$2=""),"",IF(Reprogramaciones!M$9&lt;E182,0,IF(NETWORKDAYS.INTL(E182,F182,11)=0,IF(Reprogramaciones!M$9&gt;=F182,100,0),ROUND(NETWORKDAYS.INTL(E182,MIN(F182,Reprogramaciones!M$9),11)/NETWORKDAYS.INTL(E182,F182,11)*100,1)))-IF(Reprogramaciones!L$9&lt;E182,0,IF(NETWORKDAYS.INTL(E182,F182,11)=0,IF(Reprogramaciones!L$9&gt;=F182,100,0),ROUND(NETWORKDAYS.INTL(E182,MIN(F182,Reprogramaciones!L$9),11)/NETWORKDAYS.INTL(E182,F182,11)*100,1))))</f>
        <v/>
      </c>
      <c r="J182" s="36" t="str">
        <f aca="false">IF(OR(NOT(AND(ISNUMBER(E182),ISNUMBER(F182))),$J$2=""),"",IF(Reprogramaciones!N$9&lt;E182,0,IF(NETWORKDAYS.INTL(E182,F182,11)=0,IF(Reprogramaciones!N$9&gt;=F182,100,0),ROUND(NETWORKDAYS.INTL(E182,MIN(F182,Reprogramaciones!N$9),11)/NETWORKDAYS.INTL(E182,F182,11)*100,1)))-IF(Reprogramaciones!M$9&lt;E182,0,IF(NETWORKDAYS.INTL(E182,F182,11)=0,IF(Reprogramaciones!M$9&gt;=F182,100,0),ROUND(NETWORKDAYS.INTL(E182,MIN(F182,Reprogramaciones!M$9),11)/NETWORKDAYS.INTL(E182,F182,11)*100,1))))</f>
        <v/>
      </c>
      <c r="K182" s="36" t="str">
        <f aca="false">IF(OR(NOT(AND(ISNUMBER(E182),ISNUMBER(F182))),$J$2=""),"",IF(Reprogramaciones!O$9&lt;E182,0,IF(NETWORKDAYS.INTL(E182,F182,11)=0,IF(Reprogramaciones!O$9&gt;=F182,100,0),ROUND(NETWORKDAYS.INTL(E182,MIN(F182,Reprogramaciones!O$9),11)/NETWORKDAYS.INTL(E182,F182,11)*100,1)))-IF(Reprogramaciones!N$9&lt;E182,0,IF(NETWORKDAYS.INTL(E182,F182,11)=0,IF(Reprogramaciones!N$9&gt;=F182,100,0),ROUND(NETWORKDAYS.INTL(E182,MIN(F182,Reprogramaciones!N$9),11)/NETWORKDAYS.INTL(E182,F182,11)*100,1))))</f>
        <v/>
      </c>
      <c r="L182" s="36" t="str">
        <f aca="false">IF(OR(NOT(AND(ISNUMBER(E182),ISNUMBER(F182))),$J$2=""),"",IF(Reprogramaciones!P$9&lt;E182,0,IF(NETWORKDAYS.INTL(E182,F182,11)=0,IF(Reprogramaciones!P$9&gt;=F182,100,0),ROUND(NETWORKDAYS.INTL(E182,MIN(F182,Reprogramaciones!P$9),11)/NETWORKDAYS.INTL(E182,F182,11)*100,1)))-IF(Reprogramaciones!O$9&lt;E182,0,IF(NETWORKDAYS.INTL(E182,F182,11)=0,IF(Reprogramaciones!O$9&gt;=F182,100,0),ROUND(NETWORKDAYS.INTL(E182,MIN(F182,Reprogramaciones!O$9),11)/NETWORKDAYS.INTL(E182,F182,11)*100,1))))</f>
        <v/>
      </c>
      <c r="M182" s="36" t="str">
        <f aca="false">IF(OR(NOT(AND(ISNUMBER(E182),ISNUMBER(F182))),$J$2=""),"",IF(Reprogramaciones!Q$9&lt;E182,0,IF(NETWORKDAYS.INTL(E182,F182,11)=0,IF(Reprogramaciones!Q$9&gt;=F182,100,0),ROUND(NETWORKDAYS.INTL(E182,MIN(F182,Reprogramaciones!Q$9),11)/NETWORKDAYS.INTL(E182,F182,11)*100,1)))-IF(Reprogramaciones!P$9&lt;E182,0,IF(NETWORKDAYS.INTL(E182,F182,11)=0,IF(Reprogramaciones!P$9&gt;=F182,100,0),ROUND(NETWORKDAYS.INTL(E182,MIN(F182,Reprogramaciones!P$9),11)/NETWORKDAYS.INTL(E182,F182,11)*100,1))))</f>
        <v/>
      </c>
      <c r="N182" s="36" t="str">
        <f aca="false">IF(OR(NOT(AND(ISNUMBER(E182),ISNUMBER(F182))),$J$2=""),"",IF(Reprogramaciones!R$9&lt;E182,0,IF(NETWORKDAYS.INTL(E182,F182,11)=0,IF(Reprogramaciones!R$9&gt;=F182,100,0),ROUND(NETWORKDAYS.INTL(E182,MIN(F182,Reprogramaciones!R$9),11)/NETWORKDAYS.INTL(E182,F182,11)*100,1)))-IF(Reprogramaciones!Q$9&lt;E182,0,IF(NETWORKDAYS.INTL(E182,F182,11)=0,IF(Reprogramaciones!Q$9&gt;=F182,100,0),ROUND(NETWORKDAYS.INTL(E182,MIN(F182,Reprogramaciones!Q$9),11)/NETWORKDAYS.INTL(E182,F182,11)*100,1))))</f>
        <v/>
      </c>
      <c r="O182" s="36" t="str">
        <f aca="false">IF(OR(NOT(AND(ISNUMBER(E182),ISNUMBER(F182))),$J$2=""),"",IF(Reprogramaciones!S$9&lt;E182,0,IF(NETWORKDAYS.INTL(E182,F182,11)=0,IF(Reprogramaciones!S$9&gt;=F182,100,0),ROUND(NETWORKDAYS.INTL(E182,MIN(F182,Reprogramaciones!S$9),11)/NETWORKDAYS.INTL(E182,F182,11)*100,1)))-IF(Reprogramaciones!R$9&lt;E182,0,IF(NETWORKDAYS.INTL(E182,F182,11)=0,IF(Reprogramaciones!R$9&gt;=F182,100,0),ROUND(NETWORKDAYS.INTL(E182,MIN(F182,Reprogramaciones!R$9),11)/NETWORKDAYS.INTL(E182,F182,11)*100,1))))</f>
        <v/>
      </c>
      <c r="P182" s="36" t="str">
        <f aca="false">IF(OR(NOT(AND(ISNUMBER(E182),ISNUMBER(F182))),$J$2=""),"",IF(Reprogramaciones!T$9&lt;E182,0,IF(NETWORKDAYS.INTL(E182,F182,11)=0,IF(Reprogramaciones!T$9&gt;=F182,100,0),ROUND(NETWORKDAYS.INTL(E182,MIN(F182,Reprogramaciones!T$9),11)/NETWORKDAYS.INTL(E182,F182,11)*100,1)))-IF(Reprogramaciones!S$9&lt;E182,0,IF(NETWORKDAYS.INTL(E182,F182,11)=0,IF(Reprogramaciones!S$9&gt;=F182,100,0),ROUND(NETWORKDAYS.INTL(E182,MIN(F182,Reprogramaciones!S$9),11)/NETWORKDAYS.INTL(E182,F182,11)*100,1))))</f>
        <v/>
      </c>
      <c r="Q182" s="37"/>
      <c r="R182" s="37"/>
      <c r="S182" s="37"/>
      <c r="T182" s="37"/>
      <c r="U182" s="37"/>
      <c r="V182" s="37"/>
      <c r="W182" s="37"/>
      <c r="X182" s="37"/>
      <c r="Y182" s="37"/>
      <c r="Z182" s="37"/>
      <c r="AA182" s="37"/>
      <c r="AB182" s="37"/>
      <c r="AC182" s="37"/>
      <c r="AD182" s="37"/>
      <c r="AE182" s="37"/>
      <c r="AF182" s="37"/>
      <c r="AG182" s="38" t="str">
        <f aca="false">IF(AND(ISNUMBER(E182),ISNUMBER(F182)),NETWORKDAYS.INTL(E182,F182,11),"")</f>
        <v/>
      </c>
      <c r="AH182" s="38" t="str">
        <f aca="false">IF(OR(NOT(AND(ISNUMBER(E182),ISNUMBER(F182))),$J$2=""),"",IF(Reprogramaciones!$P$15&lt;Reprogramaciones!$T$15,0,IF(Reprogramaciones!$R$15&gt;10,MIN(100,SUM($G182:$P182)),MIN(100,SUMPRODUCT((COLUMN($G182:$P182)-COLUMN($G182)+1&lt;Reprogramaciones!$R$15)*$G182:$P182)+N(INDEX($G182:$P182,1,Reprogramaciones!$R$15))*IF(Reprogramaciones!$P$15&gt;=(Reprogramaciones!$T$15+7*(Reprogramaciones!$R$15-1))+6,1,IF(MAX(0,NETWORKDAYS.INTL(MAX(E182,(Reprogramaciones!$T$15+7*(Reprogramaciones!$R$15-1))),MIN(F182,(Reprogramaciones!$T$15+7*(Reprogramaciones!$R$15-1))+6),11))=0,0,MAX(0,NETWORKDAYS.INTL(MAX(E182,(Reprogramaciones!$T$15+7*(Reprogramaciones!$R$15-1))),MIN(F182,Reprogramaciones!$P$15),11))/MAX(0,NETWORKDAYS.INTL(MAX(E182,(Reprogramaciones!$T$15+7*(Reprogramaciones!$R$15-1))),MIN(F182,(Reprogramaciones!$T$15+7*(Reprogramaciones!$R$15-1))+6),11))))))))</f>
        <v/>
      </c>
      <c r="AI182" s="38" t="str">
        <f aca="false">IF(COUNT($Q182:$AF182)=0,"",IF(ROUND(SUM($Q182:$AF182),1)&gt;=99.5,100,MIN(100,ROUND(SUM($Q182:$AF182),1))))</f>
        <v/>
      </c>
      <c r="AJ182" s="38" t="str">
        <f aca="false">IF(OR(AH182="",AI182=""),"",AI182-AH182)</f>
        <v/>
      </c>
      <c r="AK182" s="39" t="str">
        <f aca="true">IF(AH182="","",IF(OR(Ficha!$C$10="Suspendida",Ficha!$C$10="Cancelada"),Ficha!$C$10,IF(AND(AI182&lt;&gt;"",N(AI182)&gt;=100),"Completada",IF(AND(E182&gt;TODAY(),N(AI182)=0),"Por iniciar",IF(N(AI182)+0.5&lt;AH182,"Retrasada",IF(N(AI182)+0.5&lt;DA182,IF(Reprogramaciones!$K$15&gt;0,"Al día · Sem "&amp;Reprogramaciones!$K$15&amp;" en curso","Al día · en curso"),"A tiempo"))))))</f>
        <v/>
      </c>
      <c r="AL182" s="39" t="str">
        <f aca="true">IF(AND(A182="",AND(B182="",C182="",E182="",F182="",COUNT(Q182:AF182)=0)),"",IF(AND(B182="",C182="",E182="",F182="",COUNT(Q182:AF182)=0),"Falta la partida o subpartida",IF(AND(A182&lt;&gt;"",COUNTIF($A$6:$A$305,A182)&gt;1),"Ítem repetido",IF(AND(C182="",E182="",F182="",COUNT(Q182:AF182)=0),"Título de partida",IF(OR(E182="",F182=""),"Faltan fechas",IF(OR(ISTEXT(E182),ISTEXT(F182)),"Fecha escrita como texto: usa dd/mm/aaaa",IF(F182&lt;E182,"Fin antes del inicio",IF(IF($J$2="",FALSE(),OR(E182&lt;$J$2,F182&gt;Reprogramaciones!$T$15+69)),"Fuera de las 10 semanas",IF(ABS(SUM(G182:P182)-100)&gt;0.5,"La meta no suma 100%",IF(ROUND(SUM(Q182:AF182),1)&gt;100.5,"El avance pasa de 100%",IF(MIN(Q182:AF182)&lt;0,"Avance negativo",IF(COUNTA(Q182:AF182)&gt;COUNT(Q182:AF182),"Avance escrito como texto",IF(SUMPRODUCT((Q182:AF182&gt;0)*(Q182:AF182&lt;1))&gt;0,"Avance menor a 1: escribe 50, no 50%",IF(SUMPRODUCT(ISNUMBER(Q182:AF182)*(Reprogramaciones!$K$8:$Z$8&gt;TODAY()))&gt;0,"Avance en semana que aún no llega",IF(AND(N(Reprogramaciones!$E$21)&gt;0,F182&gt;Reprogramaciones!$E$21),"Pasa el fin de la obra: registra una reprogramación",IF(AND(N(Reprogramaciones!$E$21)&gt;0,SUMPRODUCT(ISNUMBER(Q182:AF182)*(Reprogramaciones!$K$8:$Z$8&gt;Reprogramaciones!$E$21))&gt;0),"Avance después del fin de la obra: registra una reprogramación por atraso","OK"))))))))))))))))</f>
        <v/>
      </c>
      <c r="AM182" s="40" t="str">
        <f aca="false">IF(OR(OR(NOT(AND(ISNUMBER(E182),ISNUMBER(F182))),$J$2=""),1&gt;MAX(1,Reprogramaciones!$U$15)),"",IF(Reprogramaciones!K$12&gt;=7,"",IF(OR(BT182-N(0)&gt;0.05,N(Q182)&gt;0),ROUNDDOWN(ROUND(BT182,6),0)&amp;"%"&amp;IF(CJ182="",""," / "&amp;CJ182&amp;"%"),IF(AND(N(0)&gt;=99.95,CJ182&lt;&gt;"",N(CJ182)&lt;100),"Pend. "&amp;CJ182&amp;"%",""))))</f>
        <v/>
      </c>
      <c r="AN182" s="40" t="str">
        <f aca="false">IF(OR(OR(NOT(AND(ISNUMBER(E182),ISNUMBER(F182))),$J$2=""),2&gt;MAX(1,Reprogramaciones!$U$15)),"",IF(Reprogramaciones!L$12&gt;=7,"",IF(OR(BU182-N(BT182)&gt;0.05,N(R182)&gt;0),ROUNDDOWN(ROUND(BU182,6),0)&amp;"%"&amp;IF(CK182="",""," / "&amp;CK182&amp;"%"),IF(AND(N(BT182)&gt;=99.95,CK182&lt;&gt;"",N(CK182)&lt;100),"Pend. "&amp;CK182&amp;"%",""))))</f>
        <v/>
      </c>
      <c r="AO182" s="40" t="str">
        <f aca="false">IF(OR(OR(NOT(AND(ISNUMBER(E182),ISNUMBER(F182))),$J$2=""),3&gt;MAX(1,Reprogramaciones!$U$15)),"",IF(Reprogramaciones!M$12&gt;=7,"",IF(OR(BV182-N(BU182)&gt;0.05,N(S182)&gt;0),ROUNDDOWN(ROUND(BV182,6),0)&amp;"%"&amp;IF(CL182="",""," / "&amp;CL182&amp;"%"),IF(AND(N(BU182)&gt;=99.95,CL182&lt;&gt;"",N(CL182)&lt;100),"Pend. "&amp;CL182&amp;"%",""))))</f>
        <v/>
      </c>
      <c r="AP182" s="40" t="str">
        <f aca="false">IF(OR(OR(NOT(AND(ISNUMBER(E182),ISNUMBER(F182))),$J$2=""),4&gt;MAX(1,Reprogramaciones!$U$15)),"",IF(Reprogramaciones!N$12&gt;=7,"",IF(OR(BW182-N(BV182)&gt;0.05,N(T182)&gt;0),ROUNDDOWN(ROUND(BW182,6),0)&amp;"%"&amp;IF(CM182="",""," / "&amp;CM182&amp;"%"),IF(AND(N(BV182)&gt;=99.95,CM182&lt;&gt;"",N(CM182)&lt;100),"Pend. "&amp;CM182&amp;"%",""))))</f>
        <v/>
      </c>
      <c r="AQ182" s="40" t="str">
        <f aca="false">IF(OR(OR(NOT(AND(ISNUMBER(E182),ISNUMBER(F182))),$J$2=""),5&gt;MAX(1,Reprogramaciones!$U$15)),"",IF(Reprogramaciones!O$12&gt;=7,"",IF(OR(BX182-N(BW182)&gt;0.05,N(U182)&gt;0),ROUNDDOWN(ROUND(BX182,6),0)&amp;"%"&amp;IF(CN182="",""," / "&amp;CN182&amp;"%"),IF(AND(N(BW182)&gt;=99.95,CN182&lt;&gt;"",N(CN182)&lt;100),"Pend. "&amp;CN182&amp;"%",""))))</f>
        <v/>
      </c>
      <c r="AR182" s="40" t="str">
        <f aca="false">IF(OR(OR(NOT(AND(ISNUMBER(E182),ISNUMBER(F182))),$J$2=""),6&gt;MAX(1,Reprogramaciones!$U$15)),"",IF(Reprogramaciones!P$12&gt;=7,"",IF(OR(BY182-N(BX182)&gt;0.05,N(V182)&gt;0),ROUNDDOWN(ROUND(BY182,6),0)&amp;"%"&amp;IF(CO182="",""," / "&amp;CO182&amp;"%"),IF(AND(N(BX182)&gt;=99.95,CO182&lt;&gt;"",N(CO182)&lt;100),"Pend. "&amp;CO182&amp;"%",""))))</f>
        <v/>
      </c>
      <c r="AS182" s="40" t="str">
        <f aca="false">IF(OR(OR(NOT(AND(ISNUMBER(E182),ISNUMBER(F182))),$J$2=""),7&gt;MAX(1,Reprogramaciones!$U$15)),"",IF(Reprogramaciones!Q$12&gt;=7,"",IF(OR(BZ182-N(BY182)&gt;0.05,N(W182)&gt;0),ROUNDDOWN(ROUND(BZ182,6),0)&amp;"%"&amp;IF(CP182="",""," / "&amp;CP182&amp;"%"),IF(AND(N(BY182)&gt;=99.95,CP182&lt;&gt;"",N(CP182)&lt;100),"Pend. "&amp;CP182&amp;"%",""))))</f>
        <v/>
      </c>
      <c r="AT182" s="40" t="str">
        <f aca="false">IF(OR(OR(NOT(AND(ISNUMBER(E182),ISNUMBER(F182))),$J$2=""),8&gt;MAX(1,Reprogramaciones!$U$15)),"",IF(Reprogramaciones!R$12&gt;=7,"",IF(OR(CA182-N(BZ182)&gt;0.05,N(X182)&gt;0),ROUNDDOWN(ROUND(CA182,6),0)&amp;"%"&amp;IF(CQ182="",""," / "&amp;CQ182&amp;"%"),IF(AND(N(BZ182)&gt;=99.95,CQ182&lt;&gt;"",N(CQ182)&lt;100),"Pend. "&amp;CQ182&amp;"%",""))))</f>
        <v/>
      </c>
      <c r="AU182" s="40" t="str">
        <f aca="false">IF(OR(OR(NOT(AND(ISNUMBER(E182),ISNUMBER(F182))),$J$2=""),9&gt;MAX(1,Reprogramaciones!$U$15)),"",IF(Reprogramaciones!S$12&gt;=7,"",IF(OR(CB182-N(CA182)&gt;0.05,N(Y182)&gt;0),ROUNDDOWN(ROUND(CB182,6),0)&amp;"%"&amp;IF(CR182="",""," / "&amp;CR182&amp;"%"),IF(AND(N(CA182)&gt;=99.95,CR182&lt;&gt;"",N(CR182)&lt;100),"Pend. "&amp;CR182&amp;"%",""))))</f>
        <v/>
      </c>
      <c r="AV182" s="40" t="str">
        <f aca="false">IF(OR(OR(NOT(AND(ISNUMBER(E182),ISNUMBER(F182))),$J$2=""),10&gt;MAX(1,Reprogramaciones!$U$15)),"",IF(Reprogramaciones!T$12&gt;=7,"",IF(OR(CC182-N(CB182)&gt;0.05,N(Z182)&gt;0),ROUNDDOWN(ROUND(CC182,6),0)&amp;"%"&amp;IF(CS182="",""," / "&amp;CS182&amp;"%"),IF(AND(N(CB182)&gt;=99.95,CS182&lt;&gt;"",N(CS182)&lt;100),"Pend. "&amp;CS182&amp;"%",""))))</f>
        <v/>
      </c>
      <c r="AW182" s="40" t="str">
        <f aca="false">IF(OR(OR(NOT(AND(ISNUMBER(E182),ISNUMBER(F182))),$J$2=""),11&gt;MAX(1,Reprogramaciones!$U$15)),"",IF(Reprogramaciones!U$12&gt;=7,"",IF(OR(CD182-N(CC182)&gt;0.05,N(AA182)&gt;0),ROUNDDOWN(ROUND(CD182,6),0)&amp;"%"&amp;IF(CT182="",""," / "&amp;CT182&amp;"%"),IF(AND(N(CC182)&gt;=99.95,CT182&lt;&gt;"",N(CT182)&lt;100),"Pend. "&amp;CT182&amp;"%",""))))</f>
        <v/>
      </c>
      <c r="AX182" s="40" t="str">
        <f aca="false">IF(OR(OR(NOT(AND(ISNUMBER(E182),ISNUMBER(F182))),$J$2=""),12&gt;MAX(1,Reprogramaciones!$U$15)),"",IF(Reprogramaciones!V$12&gt;=7,"",IF(OR(CE182-N(CD182)&gt;0.05,N(AB182)&gt;0),ROUNDDOWN(ROUND(CE182,6),0)&amp;"%"&amp;IF(CU182="",""," / "&amp;CU182&amp;"%"),IF(AND(N(CD182)&gt;=99.95,CU182&lt;&gt;"",N(CU182)&lt;100),"Pend. "&amp;CU182&amp;"%",""))))</f>
        <v/>
      </c>
      <c r="AY182" s="40" t="str">
        <f aca="false">IF(OR(OR(NOT(AND(ISNUMBER(E182),ISNUMBER(F182))),$J$2=""),13&gt;MAX(1,Reprogramaciones!$U$15)),"",IF(Reprogramaciones!W$12&gt;=7,"",IF(OR(CF182-N(CE182)&gt;0.05,N(AC182)&gt;0),ROUNDDOWN(ROUND(CF182,6),0)&amp;"%"&amp;IF(CV182="",""," / "&amp;CV182&amp;"%"),IF(AND(N(CE182)&gt;=99.95,CV182&lt;&gt;"",N(CV182)&lt;100),"Pend. "&amp;CV182&amp;"%",""))))</f>
        <v/>
      </c>
      <c r="AZ182" s="40" t="str">
        <f aca="false">IF(OR(OR(NOT(AND(ISNUMBER(E182),ISNUMBER(F182))),$J$2=""),14&gt;MAX(1,Reprogramaciones!$U$15)),"",IF(Reprogramaciones!X$12&gt;=7,"",IF(OR(CG182-N(CF182)&gt;0.05,N(AD182)&gt;0),ROUNDDOWN(ROUND(CG182,6),0)&amp;"%"&amp;IF(CW182="",""," / "&amp;CW182&amp;"%"),IF(AND(N(CF182)&gt;=99.95,CW182&lt;&gt;"",N(CW182)&lt;100),"Pend. "&amp;CW182&amp;"%",""))))</f>
        <v/>
      </c>
      <c r="BA182" s="40" t="str">
        <f aca="false">IF(OR(OR(NOT(AND(ISNUMBER(E182),ISNUMBER(F182))),$J$2=""),15&gt;MAX(1,Reprogramaciones!$U$15)),"",IF(Reprogramaciones!Y$12&gt;=7,"",IF(OR(CH182-N(CG182)&gt;0.05,N(AE182)&gt;0),ROUNDDOWN(ROUND(CH182,6),0)&amp;"%"&amp;IF(CX182="",""," / "&amp;CX182&amp;"%"),IF(AND(N(CG182)&gt;=99.95,CX182&lt;&gt;"",N(CX182)&lt;100),"Pend. "&amp;CX182&amp;"%",""))))</f>
        <v/>
      </c>
      <c r="BB182" s="40" t="str">
        <f aca="false">IF(OR(OR(NOT(AND(ISNUMBER(E182),ISNUMBER(F182))),$J$2=""),16&gt;MAX(1,Reprogramaciones!$U$15)),"",IF(Reprogramaciones!Z$12&gt;=7,"",IF(OR(CI182-N(CH182)&gt;0.05,N(AF182)&gt;0),ROUNDDOWN(ROUND(CI182,6),0)&amp;"%"&amp;IF(CY182="",""," / "&amp;CY182&amp;"%"),IF(AND(N(CH182)&gt;=99.95,CY182&lt;&gt;"",N(CY182)&lt;100),"Pend. "&amp;CY182&amp;"%",""))))</f>
        <v/>
      </c>
      <c r="BC182" s="31" t="n">
        <f aca="false">IF(AND(ISNUMBER(E182),ISNUMBER(F182)),MAX(1,NETWORKDAYS.INTL(E182,F182,11)),0)</f>
        <v>0</v>
      </c>
      <c r="BD182" s="1" t="str">
        <f aca="false">IF(OR(NOT(AND(ISNUMBER(E182),ISNUMBER(F182))),$J$2=""),"",MIN(100,ROUND(SUM($G182:G182),1)))</f>
        <v/>
      </c>
      <c r="BE182" s="1" t="str">
        <f aca="false">IF(OR(NOT(AND(ISNUMBER(E182),ISNUMBER(F182))),$J$2=""),"",MIN(100,ROUND(SUM($G182:H182),1)))</f>
        <v/>
      </c>
      <c r="BF182" s="1" t="str">
        <f aca="false">IF(OR(NOT(AND(ISNUMBER(E182),ISNUMBER(F182))),$J$2=""),"",MIN(100,ROUND(SUM($G182:I182),1)))</f>
        <v/>
      </c>
      <c r="BG182" s="1" t="str">
        <f aca="false">IF(OR(NOT(AND(ISNUMBER(E182),ISNUMBER(F182))),$J$2=""),"",MIN(100,ROUND(SUM($G182:J182),1)))</f>
        <v/>
      </c>
      <c r="BH182" s="1" t="str">
        <f aca="false">IF(OR(NOT(AND(ISNUMBER(E182),ISNUMBER(F182))),$J$2=""),"",MIN(100,ROUND(SUM($G182:K182),1)))</f>
        <v/>
      </c>
      <c r="BI182" s="1" t="str">
        <f aca="false">IF(OR(NOT(AND(ISNUMBER(E182),ISNUMBER(F182))),$J$2=""),"",MIN(100,ROUND(SUM($G182:L182),1)))</f>
        <v/>
      </c>
      <c r="BJ182" s="1" t="str">
        <f aca="false">IF(OR(NOT(AND(ISNUMBER(E182),ISNUMBER(F182))),$J$2=""),"",MIN(100,ROUND(SUM($G182:M182),1)))</f>
        <v/>
      </c>
      <c r="BK182" s="1" t="str">
        <f aca="false">IF(OR(NOT(AND(ISNUMBER(E182),ISNUMBER(F182))),$J$2=""),"",MIN(100,ROUND(SUM($G182:N182),1)))</f>
        <v/>
      </c>
      <c r="BL182" s="1" t="str">
        <f aca="false">IF(OR(NOT(AND(ISNUMBER(E182),ISNUMBER(F182))),$J$2=""),"",MIN(100,ROUND(SUM($G182:O182),1)))</f>
        <v/>
      </c>
      <c r="BM182" s="1" t="str">
        <f aca="false">IF(OR(NOT(AND(ISNUMBER(E182),ISNUMBER(F182))),$J$2=""),"",MIN(100,ROUND(SUM($G182:P182),1)))</f>
        <v/>
      </c>
      <c r="BN182" s="1" t="str">
        <f aca="false">IF(OR(NOT(AND(ISNUMBER(E182),ISNUMBER(F182))),$J$2=""),"",MIN(100,ROUND(SUM($G182:P182),1)))</f>
        <v/>
      </c>
      <c r="BO182" s="1" t="str">
        <f aca="false">IF(OR(NOT(AND(ISNUMBER(E182),ISNUMBER(F182))),$J$2=""),"",MIN(100,ROUND(SUM($G182:P182),1)))</f>
        <v/>
      </c>
      <c r="BP182" s="1" t="str">
        <f aca="false">IF(OR(NOT(AND(ISNUMBER(E182),ISNUMBER(F182))),$J$2=""),"",MIN(100,ROUND(SUM($G182:P182),1)))</f>
        <v/>
      </c>
      <c r="BQ182" s="1" t="str">
        <f aca="false">IF(OR(NOT(AND(ISNUMBER(E182),ISNUMBER(F182))),$J$2=""),"",MIN(100,ROUND(SUM($G182:P182),1)))</f>
        <v/>
      </c>
      <c r="BR182" s="1" t="str">
        <f aca="false">IF(OR(NOT(AND(ISNUMBER(E182),ISNUMBER(F182))),$J$2=""),"",MIN(100,ROUND(SUM($G182:P182),1)))</f>
        <v/>
      </c>
      <c r="BS182" s="1" t="str">
        <f aca="false">IF(OR(NOT(AND(ISNUMBER(E182),ISNUMBER(F182))),$J$2=""),"",MIN(100,ROUND(SUM($G182:P182),1)))</f>
        <v/>
      </c>
      <c r="BT182" s="1" t="str">
        <f aca="false">IF(OR(NOT(AND(ISNUMBER(E182),ISNUMBER(F182))),$J$2=""),"",IF(Reprogramaciones!K$13&lt;Reprogramaciones!$T$15,0,IF(Reprogramaciones!K$14&gt;10,MIN(100,SUM($G182:$P182)),MIN(100,SUMPRODUCT((COLUMN($G182:$P182)-COLUMN($G182)+1&lt;Reprogramaciones!K$14)*$G182:$P182)+N(INDEX($G182:$P182,1,Reprogramaciones!K$14))*IF(Reprogramaciones!K$13&gt;=(Reprogramaciones!$T$15+7*(Reprogramaciones!K$14-1))+6,1,IF(MAX(0,NETWORKDAYS.INTL(MAX(E182,(Reprogramaciones!$T$15+7*(Reprogramaciones!K$14-1))),MIN(F182,(Reprogramaciones!$T$15+7*(Reprogramaciones!K$14-1))+6),11))=0,0,MAX(0,NETWORKDAYS.INTL(MAX(E182,(Reprogramaciones!$T$15+7*(Reprogramaciones!K$14-1))),MIN(F182,Reprogramaciones!K$13),11))/MAX(0,NETWORKDAYS.INTL(MAX(E182,(Reprogramaciones!$T$15+7*(Reprogramaciones!K$14-1))),MIN(F182,(Reprogramaciones!$T$15+7*(Reprogramaciones!K$14-1))+6),11))))))))</f>
        <v/>
      </c>
      <c r="BU182" s="1" t="str">
        <f aca="false">IF(OR(NOT(AND(ISNUMBER(E182),ISNUMBER(F182))),$J$2=""),"",IF(Reprogramaciones!L$13&lt;Reprogramaciones!$T$15,0,IF(Reprogramaciones!L$14&gt;10,MIN(100,SUM($G182:$P182)),MIN(100,SUMPRODUCT((COLUMN($G182:$P182)-COLUMN($G182)+1&lt;Reprogramaciones!L$14)*$G182:$P182)+N(INDEX($G182:$P182,1,Reprogramaciones!L$14))*IF(Reprogramaciones!L$13&gt;=(Reprogramaciones!$T$15+7*(Reprogramaciones!L$14-1))+6,1,IF(MAX(0,NETWORKDAYS.INTL(MAX(E182,(Reprogramaciones!$T$15+7*(Reprogramaciones!L$14-1))),MIN(F182,(Reprogramaciones!$T$15+7*(Reprogramaciones!L$14-1))+6),11))=0,0,MAX(0,NETWORKDAYS.INTL(MAX(E182,(Reprogramaciones!$T$15+7*(Reprogramaciones!L$14-1))),MIN(F182,Reprogramaciones!L$13),11))/MAX(0,NETWORKDAYS.INTL(MAX(E182,(Reprogramaciones!$T$15+7*(Reprogramaciones!L$14-1))),MIN(F182,(Reprogramaciones!$T$15+7*(Reprogramaciones!L$14-1))+6),11))))))))</f>
        <v/>
      </c>
      <c r="BV182" s="1" t="str">
        <f aca="false">IF(OR(NOT(AND(ISNUMBER(E182),ISNUMBER(F182))),$J$2=""),"",IF(Reprogramaciones!M$13&lt;Reprogramaciones!$T$15,0,IF(Reprogramaciones!M$14&gt;10,MIN(100,SUM($G182:$P182)),MIN(100,SUMPRODUCT((COLUMN($G182:$P182)-COLUMN($G182)+1&lt;Reprogramaciones!M$14)*$G182:$P182)+N(INDEX($G182:$P182,1,Reprogramaciones!M$14))*IF(Reprogramaciones!M$13&gt;=(Reprogramaciones!$T$15+7*(Reprogramaciones!M$14-1))+6,1,IF(MAX(0,NETWORKDAYS.INTL(MAX(E182,(Reprogramaciones!$T$15+7*(Reprogramaciones!M$14-1))),MIN(F182,(Reprogramaciones!$T$15+7*(Reprogramaciones!M$14-1))+6),11))=0,0,MAX(0,NETWORKDAYS.INTL(MAX(E182,(Reprogramaciones!$T$15+7*(Reprogramaciones!M$14-1))),MIN(F182,Reprogramaciones!M$13),11))/MAX(0,NETWORKDAYS.INTL(MAX(E182,(Reprogramaciones!$T$15+7*(Reprogramaciones!M$14-1))),MIN(F182,(Reprogramaciones!$T$15+7*(Reprogramaciones!M$14-1))+6),11))))))))</f>
        <v/>
      </c>
      <c r="BW182" s="1" t="str">
        <f aca="false">IF(OR(NOT(AND(ISNUMBER(E182),ISNUMBER(F182))),$J$2=""),"",IF(Reprogramaciones!N$13&lt;Reprogramaciones!$T$15,0,IF(Reprogramaciones!N$14&gt;10,MIN(100,SUM($G182:$P182)),MIN(100,SUMPRODUCT((COLUMN($G182:$P182)-COLUMN($G182)+1&lt;Reprogramaciones!N$14)*$G182:$P182)+N(INDEX($G182:$P182,1,Reprogramaciones!N$14))*IF(Reprogramaciones!N$13&gt;=(Reprogramaciones!$T$15+7*(Reprogramaciones!N$14-1))+6,1,IF(MAX(0,NETWORKDAYS.INTL(MAX(E182,(Reprogramaciones!$T$15+7*(Reprogramaciones!N$14-1))),MIN(F182,(Reprogramaciones!$T$15+7*(Reprogramaciones!N$14-1))+6),11))=0,0,MAX(0,NETWORKDAYS.INTL(MAX(E182,(Reprogramaciones!$T$15+7*(Reprogramaciones!N$14-1))),MIN(F182,Reprogramaciones!N$13),11))/MAX(0,NETWORKDAYS.INTL(MAX(E182,(Reprogramaciones!$T$15+7*(Reprogramaciones!N$14-1))),MIN(F182,(Reprogramaciones!$T$15+7*(Reprogramaciones!N$14-1))+6),11))))))))</f>
        <v/>
      </c>
      <c r="BX182" s="1" t="str">
        <f aca="false">IF(OR(NOT(AND(ISNUMBER(E182),ISNUMBER(F182))),$J$2=""),"",IF(Reprogramaciones!O$13&lt;Reprogramaciones!$T$15,0,IF(Reprogramaciones!O$14&gt;10,MIN(100,SUM($G182:$P182)),MIN(100,SUMPRODUCT((COLUMN($G182:$P182)-COLUMN($G182)+1&lt;Reprogramaciones!O$14)*$G182:$P182)+N(INDEX($G182:$P182,1,Reprogramaciones!O$14))*IF(Reprogramaciones!O$13&gt;=(Reprogramaciones!$T$15+7*(Reprogramaciones!O$14-1))+6,1,IF(MAX(0,NETWORKDAYS.INTL(MAX(E182,(Reprogramaciones!$T$15+7*(Reprogramaciones!O$14-1))),MIN(F182,(Reprogramaciones!$T$15+7*(Reprogramaciones!O$14-1))+6),11))=0,0,MAX(0,NETWORKDAYS.INTL(MAX(E182,(Reprogramaciones!$T$15+7*(Reprogramaciones!O$14-1))),MIN(F182,Reprogramaciones!O$13),11))/MAX(0,NETWORKDAYS.INTL(MAX(E182,(Reprogramaciones!$T$15+7*(Reprogramaciones!O$14-1))),MIN(F182,(Reprogramaciones!$T$15+7*(Reprogramaciones!O$14-1))+6),11))))))))</f>
        <v/>
      </c>
      <c r="BY182" s="1" t="str">
        <f aca="false">IF(OR(NOT(AND(ISNUMBER(E182),ISNUMBER(F182))),$J$2=""),"",IF(Reprogramaciones!P$13&lt;Reprogramaciones!$T$15,0,IF(Reprogramaciones!P$14&gt;10,MIN(100,SUM($G182:$P182)),MIN(100,SUMPRODUCT((COLUMN($G182:$P182)-COLUMN($G182)+1&lt;Reprogramaciones!P$14)*$G182:$P182)+N(INDEX($G182:$P182,1,Reprogramaciones!P$14))*IF(Reprogramaciones!P$13&gt;=(Reprogramaciones!$T$15+7*(Reprogramaciones!P$14-1))+6,1,IF(MAX(0,NETWORKDAYS.INTL(MAX(E182,(Reprogramaciones!$T$15+7*(Reprogramaciones!P$14-1))),MIN(F182,(Reprogramaciones!$T$15+7*(Reprogramaciones!P$14-1))+6),11))=0,0,MAX(0,NETWORKDAYS.INTL(MAX(E182,(Reprogramaciones!$T$15+7*(Reprogramaciones!P$14-1))),MIN(F182,Reprogramaciones!P$13),11))/MAX(0,NETWORKDAYS.INTL(MAX(E182,(Reprogramaciones!$T$15+7*(Reprogramaciones!P$14-1))),MIN(F182,(Reprogramaciones!$T$15+7*(Reprogramaciones!P$14-1))+6),11))))))))</f>
        <v/>
      </c>
      <c r="BZ182" s="1" t="str">
        <f aca="false">IF(OR(NOT(AND(ISNUMBER(E182),ISNUMBER(F182))),$J$2=""),"",IF(Reprogramaciones!Q$13&lt;Reprogramaciones!$T$15,0,IF(Reprogramaciones!Q$14&gt;10,MIN(100,SUM($G182:$P182)),MIN(100,SUMPRODUCT((COLUMN($G182:$P182)-COLUMN($G182)+1&lt;Reprogramaciones!Q$14)*$G182:$P182)+N(INDEX($G182:$P182,1,Reprogramaciones!Q$14))*IF(Reprogramaciones!Q$13&gt;=(Reprogramaciones!$T$15+7*(Reprogramaciones!Q$14-1))+6,1,IF(MAX(0,NETWORKDAYS.INTL(MAX(E182,(Reprogramaciones!$T$15+7*(Reprogramaciones!Q$14-1))),MIN(F182,(Reprogramaciones!$T$15+7*(Reprogramaciones!Q$14-1))+6),11))=0,0,MAX(0,NETWORKDAYS.INTL(MAX(E182,(Reprogramaciones!$T$15+7*(Reprogramaciones!Q$14-1))),MIN(F182,Reprogramaciones!Q$13),11))/MAX(0,NETWORKDAYS.INTL(MAX(E182,(Reprogramaciones!$T$15+7*(Reprogramaciones!Q$14-1))),MIN(F182,(Reprogramaciones!$T$15+7*(Reprogramaciones!Q$14-1))+6),11))))))))</f>
        <v/>
      </c>
      <c r="CA182" s="1" t="str">
        <f aca="false">IF(OR(NOT(AND(ISNUMBER(E182),ISNUMBER(F182))),$J$2=""),"",IF(Reprogramaciones!R$13&lt;Reprogramaciones!$T$15,0,IF(Reprogramaciones!R$14&gt;10,MIN(100,SUM($G182:$P182)),MIN(100,SUMPRODUCT((COLUMN($G182:$P182)-COLUMN($G182)+1&lt;Reprogramaciones!R$14)*$G182:$P182)+N(INDEX($G182:$P182,1,Reprogramaciones!R$14))*IF(Reprogramaciones!R$13&gt;=(Reprogramaciones!$T$15+7*(Reprogramaciones!R$14-1))+6,1,IF(MAX(0,NETWORKDAYS.INTL(MAX(E182,(Reprogramaciones!$T$15+7*(Reprogramaciones!R$14-1))),MIN(F182,(Reprogramaciones!$T$15+7*(Reprogramaciones!R$14-1))+6),11))=0,0,MAX(0,NETWORKDAYS.INTL(MAX(E182,(Reprogramaciones!$T$15+7*(Reprogramaciones!R$14-1))),MIN(F182,Reprogramaciones!R$13),11))/MAX(0,NETWORKDAYS.INTL(MAX(E182,(Reprogramaciones!$T$15+7*(Reprogramaciones!R$14-1))),MIN(F182,(Reprogramaciones!$T$15+7*(Reprogramaciones!R$14-1))+6),11))))))))</f>
        <v/>
      </c>
      <c r="CB182" s="1" t="str">
        <f aca="false">IF(OR(NOT(AND(ISNUMBER(E182),ISNUMBER(F182))),$J$2=""),"",IF(Reprogramaciones!S$13&lt;Reprogramaciones!$T$15,0,IF(Reprogramaciones!S$14&gt;10,MIN(100,SUM($G182:$P182)),MIN(100,SUMPRODUCT((COLUMN($G182:$P182)-COLUMN($G182)+1&lt;Reprogramaciones!S$14)*$G182:$P182)+N(INDEX($G182:$P182,1,Reprogramaciones!S$14))*IF(Reprogramaciones!S$13&gt;=(Reprogramaciones!$T$15+7*(Reprogramaciones!S$14-1))+6,1,IF(MAX(0,NETWORKDAYS.INTL(MAX(E182,(Reprogramaciones!$T$15+7*(Reprogramaciones!S$14-1))),MIN(F182,(Reprogramaciones!$T$15+7*(Reprogramaciones!S$14-1))+6),11))=0,0,MAX(0,NETWORKDAYS.INTL(MAX(E182,(Reprogramaciones!$T$15+7*(Reprogramaciones!S$14-1))),MIN(F182,Reprogramaciones!S$13),11))/MAX(0,NETWORKDAYS.INTL(MAX(E182,(Reprogramaciones!$T$15+7*(Reprogramaciones!S$14-1))),MIN(F182,(Reprogramaciones!$T$15+7*(Reprogramaciones!S$14-1))+6),11))))))))</f>
        <v/>
      </c>
      <c r="CC182" s="1" t="str">
        <f aca="false">IF(OR(NOT(AND(ISNUMBER(E182),ISNUMBER(F182))),$J$2=""),"",IF(Reprogramaciones!T$13&lt;Reprogramaciones!$T$15,0,IF(Reprogramaciones!T$14&gt;10,MIN(100,SUM($G182:$P182)),MIN(100,SUMPRODUCT((COLUMN($G182:$P182)-COLUMN($G182)+1&lt;Reprogramaciones!T$14)*$G182:$P182)+N(INDEX($G182:$P182,1,Reprogramaciones!T$14))*IF(Reprogramaciones!T$13&gt;=(Reprogramaciones!$T$15+7*(Reprogramaciones!T$14-1))+6,1,IF(MAX(0,NETWORKDAYS.INTL(MAX(E182,(Reprogramaciones!$T$15+7*(Reprogramaciones!T$14-1))),MIN(F182,(Reprogramaciones!$T$15+7*(Reprogramaciones!T$14-1))+6),11))=0,0,MAX(0,NETWORKDAYS.INTL(MAX(E182,(Reprogramaciones!$T$15+7*(Reprogramaciones!T$14-1))),MIN(F182,Reprogramaciones!T$13),11))/MAX(0,NETWORKDAYS.INTL(MAX(E182,(Reprogramaciones!$T$15+7*(Reprogramaciones!T$14-1))),MIN(F182,(Reprogramaciones!$T$15+7*(Reprogramaciones!T$14-1))+6),11))))))))</f>
        <v/>
      </c>
      <c r="CD182" s="1" t="str">
        <f aca="false">IF(OR(NOT(AND(ISNUMBER(E182),ISNUMBER(F182))),$J$2=""),"",IF(Reprogramaciones!U$13&lt;Reprogramaciones!$T$15,0,IF(Reprogramaciones!U$14&gt;10,MIN(100,SUM($G182:$P182)),MIN(100,SUMPRODUCT((COLUMN($G182:$P182)-COLUMN($G182)+1&lt;Reprogramaciones!U$14)*$G182:$P182)+N(INDEX($G182:$P182,1,Reprogramaciones!U$14))*IF(Reprogramaciones!U$13&gt;=(Reprogramaciones!$T$15+7*(Reprogramaciones!U$14-1))+6,1,IF(MAX(0,NETWORKDAYS.INTL(MAX(E182,(Reprogramaciones!$T$15+7*(Reprogramaciones!U$14-1))),MIN(F182,(Reprogramaciones!$T$15+7*(Reprogramaciones!U$14-1))+6),11))=0,0,MAX(0,NETWORKDAYS.INTL(MAX(E182,(Reprogramaciones!$T$15+7*(Reprogramaciones!U$14-1))),MIN(F182,Reprogramaciones!U$13),11))/MAX(0,NETWORKDAYS.INTL(MAX(E182,(Reprogramaciones!$T$15+7*(Reprogramaciones!U$14-1))),MIN(F182,(Reprogramaciones!$T$15+7*(Reprogramaciones!U$14-1))+6),11))))))))</f>
        <v/>
      </c>
      <c r="CE182" s="1" t="str">
        <f aca="false">IF(OR(NOT(AND(ISNUMBER(E182),ISNUMBER(F182))),$J$2=""),"",IF(Reprogramaciones!V$13&lt;Reprogramaciones!$T$15,0,IF(Reprogramaciones!V$14&gt;10,MIN(100,SUM($G182:$P182)),MIN(100,SUMPRODUCT((COLUMN($G182:$P182)-COLUMN($G182)+1&lt;Reprogramaciones!V$14)*$G182:$P182)+N(INDEX($G182:$P182,1,Reprogramaciones!V$14))*IF(Reprogramaciones!V$13&gt;=(Reprogramaciones!$T$15+7*(Reprogramaciones!V$14-1))+6,1,IF(MAX(0,NETWORKDAYS.INTL(MAX(E182,(Reprogramaciones!$T$15+7*(Reprogramaciones!V$14-1))),MIN(F182,(Reprogramaciones!$T$15+7*(Reprogramaciones!V$14-1))+6),11))=0,0,MAX(0,NETWORKDAYS.INTL(MAX(E182,(Reprogramaciones!$T$15+7*(Reprogramaciones!V$14-1))),MIN(F182,Reprogramaciones!V$13),11))/MAX(0,NETWORKDAYS.INTL(MAX(E182,(Reprogramaciones!$T$15+7*(Reprogramaciones!V$14-1))),MIN(F182,(Reprogramaciones!$T$15+7*(Reprogramaciones!V$14-1))+6),11))))))))</f>
        <v/>
      </c>
      <c r="CF182" s="1" t="str">
        <f aca="false">IF(OR(NOT(AND(ISNUMBER(E182),ISNUMBER(F182))),$J$2=""),"",IF(Reprogramaciones!W$13&lt;Reprogramaciones!$T$15,0,IF(Reprogramaciones!W$14&gt;10,MIN(100,SUM($G182:$P182)),MIN(100,SUMPRODUCT((COLUMN($G182:$P182)-COLUMN($G182)+1&lt;Reprogramaciones!W$14)*$G182:$P182)+N(INDEX($G182:$P182,1,Reprogramaciones!W$14))*IF(Reprogramaciones!W$13&gt;=(Reprogramaciones!$T$15+7*(Reprogramaciones!W$14-1))+6,1,IF(MAX(0,NETWORKDAYS.INTL(MAX(E182,(Reprogramaciones!$T$15+7*(Reprogramaciones!W$14-1))),MIN(F182,(Reprogramaciones!$T$15+7*(Reprogramaciones!W$14-1))+6),11))=0,0,MAX(0,NETWORKDAYS.INTL(MAX(E182,(Reprogramaciones!$T$15+7*(Reprogramaciones!W$14-1))),MIN(F182,Reprogramaciones!W$13),11))/MAX(0,NETWORKDAYS.INTL(MAX(E182,(Reprogramaciones!$T$15+7*(Reprogramaciones!W$14-1))),MIN(F182,(Reprogramaciones!$T$15+7*(Reprogramaciones!W$14-1))+6),11))))))))</f>
        <v/>
      </c>
      <c r="CG182" s="1" t="str">
        <f aca="false">IF(OR(NOT(AND(ISNUMBER(E182),ISNUMBER(F182))),$J$2=""),"",IF(Reprogramaciones!X$13&lt;Reprogramaciones!$T$15,0,IF(Reprogramaciones!X$14&gt;10,MIN(100,SUM($G182:$P182)),MIN(100,SUMPRODUCT((COLUMN($G182:$P182)-COLUMN($G182)+1&lt;Reprogramaciones!X$14)*$G182:$P182)+N(INDEX($G182:$P182,1,Reprogramaciones!X$14))*IF(Reprogramaciones!X$13&gt;=(Reprogramaciones!$T$15+7*(Reprogramaciones!X$14-1))+6,1,IF(MAX(0,NETWORKDAYS.INTL(MAX(E182,(Reprogramaciones!$T$15+7*(Reprogramaciones!X$14-1))),MIN(F182,(Reprogramaciones!$T$15+7*(Reprogramaciones!X$14-1))+6),11))=0,0,MAX(0,NETWORKDAYS.INTL(MAX(E182,(Reprogramaciones!$T$15+7*(Reprogramaciones!X$14-1))),MIN(F182,Reprogramaciones!X$13),11))/MAX(0,NETWORKDAYS.INTL(MAX(E182,(Reprogramaciones!$T$15+7*(Reprogramaciones!X$14-1))),MIN(F182,(Reprogramaciones!$T$15+7*(Reprogramaciones!X$14-1))+6),11))))))))</f>
        <v/>
      </c>
      <c r="CH182" s="1" t="str">
        <f aca="false">IF(OR(NOT(AND(ISNUMBER(E182),ISNUMBER(F182))),$J$2=""),"",IF(Reprogramaciones!Y$13&lt;Reprogramaciones!$T$15,0,IF(Reprogramaciones!Y$14&gt;10,MIN(100,SUM($G182:$P182)),MIN(100,SUMPRODUCT((COLUMN($G182:$P182)-COLUMN($G182)+1&lt;Reprogramaciones!Y$14)*$G182:$P182)+N(INDEX($G182:$P182,1,Reprogramaciones!Y$14))*IF(Reprogramaciones!Y$13&gt;=(Reprogramaciones!$T$15+7*(Reprogramaciones!Y$14-1))+6,1,IF(MAX(0,NETWORKDAYS.INTL(MAX(E182,(Reprogramaciones!$T$15+7*(Reprogramaciones!Y$14-1))),MIN(F182,(Reprogramaciones!$T$15+7*(Reprogramaciones!Y$14-1))+6),11))=0,0,MAX(0,NETWORKDAYS.INTL(MAX(E182,(Reprogramaciones!$T$15+7*(Reprogramaciones!Y$14-1))),MIN(F182,Reprogramaciones!Y$13),11))/MAX(0,NETWORKDAYS.INTL(MAX(E182,(Reprogramaciones!$T$15+7*(Reprogramaciones!Y$14-1))),MIN(F182,(Reprogramaciones!$T$15+7*(Reprogramaciones!Y$14-1))+6),11))))))))</f>
        <v/>
      </c>
      <c r="CI182" s="1" t="str">
        <f aca="false">IF(OR(NOT(AND(ISNUMBER(E182),ISNUMBER(F182))),$J$2=""),"",IF(Reprogramaciones!Z$13&lt;Reprogramaciones!$T$15,0,IF(Reprogramaciones!Z$14&gt;10,MIN(100,SUM($G182:$P182)),MIN(100,SUMPRODUCT((COLUMN($G182:$P182)-COLUMN($G182)+1&lt;Reprogramaciones!Z$14)*$G182:$P182)+N(INDEX($G182:$P182,1,Reprogramaciones!Z$14))*IF(Reprogramaciones!Z$13&gt;=(Reprogramaciones!$T$15+7*(Reprogramaciones!Z$14-1))+6,1,IF(MAX(0,NETWORKDAYS.INTL(MAX(E182,(Reprogramaciones!$T$15+7*(Reprogramaciones!Z$14-1))),MIN(F182,(Reprogramaciones!$T$15+7*(Reprogramaciones!Z$14-1))+6),11))=0,0,MAX(0,NETWORKDAYS.INTL(MAX(E182,(Reprogramaciones!$T$15+7*(Reprogramaciones!Z$14-1))),MIN(F182,Reprogramaciones!Z$13),11))/MAX(0,NETWORKDAYS.INTL(MAX(E182,(Reprogramaciones!$T$15+7*(Reprogramaciones!Z$14-1))),MIN(F182,(Reprogramaciones!$T$15+7*(Reprogramaciones!Z$14-1))+6),11))))))))</f>
        <v/>
      </c>
      <c r="CJ182" s="1" t="str">
        <f aca="false">IF(OR(OR(NOT(AND(ISNUMBER(E182),ISNUMBER(F182))),$J$2=""),1&gt;Reprogramaciones!$K$16),"",IF(ROUND(SUM($Q182:Q182),1)&gt;=99.5,100,MIN(100,ROUND(SUM($Q182:Q182),1))))</f>
        <v/>
      </c>
      <c r="CK182" s="1" t="str">
        <f aca="false">IF(OR(OR(NOT(AND(ISNUMBER(E182),ISNUMBER(F182))),$J$2=""),2&gt;Reprogramaciones!$K$16),"",IF(ROUND(SUM($Q182:R182),1)&gt;=99.5,100,MIN(100,ROUND(SUM($Q182:R182),1))))</f>
        <v/>
      </c>
      <c r="CL182" s="1" t="str">
        <f aca="false">IF(OR(OR(NOT(AND(ISNUMBER(E182),ISNUMBER(F182))),$J$2=""),3&gt;Reprogramaciones!$K$16),"",IF(ROUND(SUM($Q182:S182),1)&gt;=99.5,100,MIN(100,ROUND(SUM($Q182:S182),1))))</f>
        <v/>
      </c>
      <c r="CM182" s="1" t="str">
        <f aca="false">IF(OR(OR(NOT(AND(ISNUMBER(E182),ISNUMBER(F182))),$J$2=""),4&gt;Reprogramaciones!$K$16),"",IF(ROUND(SUM($Q182:T182),1)&gt;=99.5,100,MIN(100,ROUND(SUM($Q182:T182),1))))</f>
        <v/>
      </c>
      <c r="CN182" s="1" t="str">
        <f aca="false">IF(OR(OR(NOT(AND(ISNUMBER(E182),ISNUMBER(F182))),$J$2=""),5&gt;Reprogramaciones!$K$16),"",IF(ROUND(SUM($Q182:U182),1)&gt;=99.5,100,MIN(100,ROUND(SUM($Q182:U182),1))))</f>
        <v/>
      </c>
      <c r="CO182" s="1" t="str">
        <f aca="false">IF(OR(OR(NOT(AND(ISNUMBER(E182),ISNUMBER(F182))),$J$2=""),6&gt;Reprogramaciones!$K$16),"",IF(ROUND(SUM($Q182:V182),1)&gt;=99.5,100,MIN(100,ROUND(SUM($Q182:V182),1))))</f>
        <v/>
      </c>
      <c r="CP182" s="1" t="str">
        <f aca="false">IF(OR(OR(NOT(AND(ISNUMBER(E182),ISNUMBER(F182))),$J$2=""),7&gt;Reprogramaciones!$K$16),"",IF(ROUND(SUM($Q182:W182),1)&gt;=99.5,100,MIN(100,ROUND(SUM($Q182:W182),1))))</f>
        <v/>
      </c>
      <c r="CQ182" s="1" t="str">
        <f aca="false">IF(OR(OR(NOT(AND(ISNUMBER(E182),ISNUMBER(F182))),$J$2=""),8&gt;Reprogramaciones!$K$16),"",IF(ROUND(SUM($Q182:X182),1)&gt;=99.5,100,MIN(100,ROUND(SUM($Q182:X182),1))))</f>
        <v/>
      </c>
      <c r="CR182" s="1" t="str">
        <f aca="false">IF(OR(OR(NOT(AND(ISNUMBER(E182),ISNUMBER(F182))),$J$2=""),9&gt;Reprogramaciones!$K$16),"",IF(ROUND(SUM($Q182:Y182),1)&gt;=99.5,100,MIN(100,ROUND(SUM($Q182:Y182),1))))</f>
        <v/>
      </c>
      <c r="CS182" s="1" t="str">
        <f aca="false">IF(OR(OR(NOT(AND(ISNUMBER(E182),ISNUMBER(F182))),$J$2=""),10&gt;Reprogramaciones!$K$16),"",IF(ROUND(SUM($Q182:Z182),1)&gt;=99.5,100,MIN(100,ROUND(SUM($Q182:Z182),1))))</f>
        <v/>
      </c>
      <c r="CT182" s="1" t="str">
        <f aca="false">IF(OR(OR(NOT(AND(ISNUMBER(E182),ISNUMBER(F182))),$J$2=""),11&gt;Reprogramaciones!$K$16),"",IF(ROUND(SUM($Q182:AA182),1)&gt;=99.5,100,MIN(100,ROUND(SUM($Q182:AA182),1))))</f>
        <v/>
      </c>
      <c r="CU182" s="1" t="str">
        <f aca="false">IF(OR(OR(NOT(AND(ISNUMBER(E182),ISNUMBER(F182))),$J$2=""),12&gt;Reprogramaciones!$K$16),"",IF(ROUND(SUM($Q182:AB182),1)&gt;=99.5,100,MIN(100,ROUND(SUM($Q182:AB182),1))))</f>
        <v/>
      </c>
      <c r="CV182" s="1" t="str">
        <f aca="false">IF(OR(OR(NOT(AND(ISNUMBER(E182),ISNUMBER(F182))),$J$2=""),13&gt;Reprogramaciones!$K$16),"",IF(ROUND(SUM($Q182:AC182),1)&gt;=99.5,100,MIN(100,ROUND(SUM($Q182:AC182),1))))</f>
        <v/>
      </c>
      <c r="CW182" s="1" t="str">
        <f aca="false">IF(OR(OR(NOT(AND(ISNUMBER(E182),ISNUMBER(F182))),$J$2=""),14&gt;Reprogramaciones!$K$16),"",IF(ROUND(SUM($Q182:AD182),1)&gt;=99.5,100,MIN(100,ROUND(SUM($Q182:AD182),1))))</f>
        <v/>
      </c>
      <c r="CX182" s="1" t="str">
        <f aca="false">IF(OR(OR(NOT(AND(ISNUMBER(E182),ISNUMBER(F182))),$J$2=""),15&gt;Reprogramaciones!$K$16),"",IF(ROUND(SUM($Q182:AE182),1)&gt;=99.5,100,MIN(100,ROUND(SUM($Q182:AE182),1))))</f>
        <v/>
      </c>
      <c r="CY182" s="1" t="str">
        <f aca="false">IF(OR(OR(NOT(AND(ISNUMBER(E182),ISNUMBER(F182))),$J$2=""),16&gt;Reprogramaciones!$K$16),"",IF(ROUND(SUM($Q182:AF182),1)&gt;=99.5,100,MIN(100,ROUND(SUM($Q182:AF182),1))))</f>
        <v/>
      </c>
      <c r="CZ182" s="1" t="str">
        <f aca="false">IF(D182&lt;&gt;"",D182,IF(B182&lt;&gt;"","Contractual",CZ181))</f>
        <v>Contractual</v>
      </c>
      <c r="DA182" s="1" t="str">
        <f aca="false">IF(OR(NOT(AND(ISNUMBER(E182),ISNUMBER(F182))),$J$2=""),"",IF(Reprogramaciones!$Q$15&lt;Reprogramaciones!$T$15,0,IF(Reprogramaciones!$S$15&gt;10,MIN(100,SUM($G182:$P182)),MIN(100,SUMPRODUCT((COLUMN($G182:$P182)-COLUMN($G182)+1&lt;Reprogramaciones!$S$15)*$G182:$P182)+N(INDEX($G182:$P182,1,Reprogramaciones!$S$15))*IF(Reprogramaciones!$Q$15&gt;=(Reprogramaciones!$T$15+7*(Reprogramaciones!$S$15-1))+6,1,IF(MAX(0,NETWORKDAYS.INTL(MAX(E182,(Reprogramaciones!$T$15+7*(Reprogramaciones!$S$15-1))),MIN(F182,(Reprogramaciones!$T$15+7*(Reprogramaciones!$S$15-1))+6),11))=0,0,MAX(0,NETWORKDAYS.INTL(MAX(E182,(Reprogramaciones!$T$15+7*(Reprogramaciones!$S$15-1))),MIN(F182,Reprogramaciones!$Q$15),11))/MAX(0,NETWORKDAYS.INTL(MAX(E182,(Reprogramaciones!$T$15+7*(Reprogramaciones!$S$15-1))),MIN(F182,(Reprogramaciones!$T$15+7*(Reprogramaciones!$S$15-1))+6),11))))))))</f>
        <v/>
      </c>
    </row>
    <row r="183" customFormat="false" ht="15" hidden="false" customHeight="false" outlineLevel="0" collapsed="false">
      <c r="A183" s="32"/>
      <c r="B183" s="33"/>
      <c r="C183" s="33"/>
      <c r="D183" s="34"/>
      <c r="E183" s="35"/>
      <c r="F183" s="35"/>
      <c r="G183" s="36" t="str">
        <f aca="false">IF(OR(NOT(AND(ISNUMBER(E183),ISNUMBER(F183))),$J$2=""),"",IF(Reprogramaciones!K$9&lt;E183,0,IF(NETWORKDAYS.INTL(E183,F183,11)=0,IF(Reprogramaciones!K$9&gt;=F183,100,0),ROUND(NETWORKDAYS.INTL(E183,MIN(F183,Reprogramaciones!K$9),11)/NETWORKDAYS.INTL(E183,F183,11)*100,1)))-0)</f>
        <v/>
      </c>
      <c r="H183" s="36" t="str">
        <f aca="false">IF(OR(NOT(AND(ISNUMBER(E183),ISNUMBER(F183))),$J$2=""),"",IF(Reprogramaciones!L$9&lt;E183,0,IF(NETWORKDAYS.INTL(E183,F183,11)=0,IF(Reprogramaciones!L$9&gt;=F183,100,0),ROUND(NETWORKDAYS.INTL(E183,MIN(F183,Reprogramaciones!L$9),11)/NETWORKDAYS.INTL(E183,F183,11)*100,1)))-IF(Reprogramaciones!K$9&lt;E183,0,IF(NETWORKDAYS.INTL(E183,F183,11)=0,IF(Reprogramaciones!K$9&gt;=F183,100,0),ROUND(NETWORKDAYS.INTL(E183,MIN(F183,Reprogramaciones!K$9),11)/NETWORKDAYS.INTL(E183,F183,11)*100,1))))</f>
        <v/>
      </c>
      <c r="I183" s="36" t="str">
        <f aca="false">IF(OR(NOT(AND(ISNUMBER(E183),ISNUMBER(F183))),$J$2=""),"",IF(Reprogramaciones!M$9&lt;E183,0,IF(NETWORKDAYS.INTL(E183,F183,11)=0,IF(Reprogramaciones!M$9&gt;=F183,100,0),ROUND(NETWORKDAYS.INTL(E183,MIN(F183,Reprogramaciones!M$9),11)/NETWORKDAYS.INTL(E183,F183,11)*100,1)))-IF(Reprogramaciones!L$9&lt;E183,0,IF(NETWORKDAYS.INTL(E183,F183,11)=0,IF(Reprogramaciones!L$9&gt;=F183,100,0),ROUND(NETWORKDAYS.INTL(E183,MIN(F183,Reprogramaciones!L$9),11)/NETWORKDAYS.INTL(E183,F183,11)*100,1))))</f>
        <v/>
      </c>
      <c r="J183" s="36" t="str">
        <f aca="false">IF(OR(NOT(AND(ISNUMBER(E183),ISNUMBER(F183))),$J$2=""),"",IF(Reprogramaciones!N$9&lt;E183,0,IF(NETWORKDAYS.INTL(E183,F183,11)=0,IF(Reprogramaciones!N$9&gt;=F183,100,0),ROUND(NETWORKDAYS.INTL(E183,MIN(F183,Reprogramaciones!N$9),11)/NETWORKDAYS.INTL(E183,F183,11)*100,1)))-IF(Reprogramaciones!M$9&lt;E183,0,IF(NETWORKDAYS.INTL(E183,F183,11)=0,IF(Reprogramaciones!M$9&gt;=F183,100,0),ROUND(NETWORKDAYS.INTL(E183,MIN(F183,Reprogramaciones!M$9),11)/NETWORKDAYS.INTL(E183,F183,11)*100,1))))</f>
        <v/>
      </c>
      <c r="K183" s="36" t="str">
        <f aca="false">IF(OR(NOT(AND(ISNUMBER(E183),ISNUMBER(F183))),$J$2=""),"",IF(Reprogramaciones!O$9&lt;E183,0,IF(NETWORKDAYS.INTL(E183,F183,11)=0,IF(Reprogramaciones!O$9&gt;=F183,100,0),ROUND(NETWORKDAYS.INTL(E183,MIN(F183,Reprogramaciones!O$9),11)/NETWORKDAYS.INTL(E183,F183,11)*100,1)))-IF(Reprogramaciones!N$9&lt;E183,0,IF(NETWORKDAYS.INTL(E183,F183,11)=0,IF(Reprogramaciones!N$9&gt;=F183,100,0),ROUND(NETWORKDAYS.INTL(E183,MIN(F183,Reprogramaciones!N$9),11)/NETWORKDAYS.INTL(E183,F183,11)*100,1))))</f>
        <v/>
      </c>
      <c r="L183" s="36" t="str">
        <f aca="false">IF(OR(NOT(AND(ISNUMBER(E183),ISNUMBER(F183))),$J$2=""),"",IF(Reprogramaciones!P$9&lt;E183,0,IF(NETWORKDAYS.INTL(E183,F183,11)=0,IF(Reprogramaciones!P$9&gt;=F183,100,0),ROUND(NETWORKDAYS.INTL(E183,MIN(F183,Reprogramaciones!P$9),11)/NETWORKDAYS.INTL(E183,F183,11)*100,1)))-IF(Reprogramaciones!O$9&lt;E183,0,IF(NETWORKDAYS.INTL(E183,F183,11)=0,IF(Reprogramaciones!O$9&gt;=F183,100,0),ROUND(NETWORKDAYS.INTL(E183,MIN(F183,Reprogramaciones!O$9),11)/NETWORKDAYS.INTL(E183,F183,11)*100,1))))</f>
        <v/>
      </c>
      <c r="M183" s="36" t="str">
        <f aca="false">IF(OR(NOT(AND(ISNUMBER(E183),ISNUMBER(F183))),$J$2=""),"",IF(Reprogramaciones!Q$9&lt;E183,0,IF(NETWORKDAYS.INTL(E183,F183,11)=0,IF(Reprogramaciones!Q$9&gt;=F183,100,0),ROUND(NETWORKDAYS.INTL(E183,MIN(F183,Reprogramaciones!Q$9),11)/NETWORKDAYS.INTL(E183,F183,11)*100,1)))-IF(Reprogramaciones!P$9&lt;E183,0,IF(NETWORKDAYS.INTL(E183,F183,11)=0,IF(Reprogramaciones!P$9&gt;=F183,100,0),ROUND(NETWORKDAYS.INTL(E183,MIN(F183,Reprogramaciones!P$9),11)/NETWORKDAYS.INTL(E183,F183,11)*100,1))))</f>
        <v/>
      </c>
      <c r="N183" s="36" t="str">
        <f aca="false">IF(OR(NOT(AND(ISNUMBER(E183),ISNUMBER(F183))),$J$2=""),"",IF(Reprogramaciones!R$9&lt;E183,0,IF(NETWORKDAYS.INTL(E183,F183,11)=0,IF(Reprogramaciones!R$9&gt;=F183,100,0),ROUND(NETWORKDAYS.INTL(E183,MIN(F183,Reprogramaciones!R$9),11)/NETWORKDAYS.INTL(E183,F183,11)*100,1)))-IF(Reprogramaciones!Q$9&lt;E183,0,IF(NETWORKDAYS.INTL(E183,F183,11)=0,IF(Reprogramaciones!Q$9&gt;=F183,100,0),ROUND(NETWORKDAYS.INTL(E183,MIN(F183,Reprogramaciones!Q$9),11)/NETWORKDAYS.INTL(E183,F183,11)*100,1))))</f>
        <v/>
      </c>
      <c r="O183" s="36" t="str">
        <f aca="false">IF(OR(NOT(AND(ISNUMBER(E183),ISNUMBER(F183))),$J$2=""),"",IF(Reprogramaciones!S$9&lt;E183,0,IF(NETWORKDAYS.INTL(E183,F183,11)=0,IF(Reprogramaciones!S$9&gt;=F183,100,0),ROUND(NETWORKDAYS.INTL(E183,MIN(F183,Reprogramaciones!S$9),11)/NETWORKDAYS.INTL(E183,F183,11)*100,1)))-IF(Reprogramaciones!R$9&lt;E183,0,IF(NETWORKDAYS.INTL(E183,F183,11)=0,IF(Reprogramaciones!R$9&gt;=F183,100,0),ROUND(NETWORKDAYS.INTL(E183,MIN(F183,Reprogramaciones!R$9),11)/NETWORKDAYS.INTL(E183,F183,11)*100,1))))</f>
        <v/>
      </c>
      <c r="P183" s="36" t="str">
        <f aca="false">IF(OR(NOT(AND(ISNUMBER(E183),ISNUMBER(F183))),$J$2=""),"",IF(Reprogramaciones!T$9&lt;E183,0,IF(NETWORKDAYS.INTL(E183,F183,11)=0,IF(Reprogramaciones!T$9&gt;=F183,100,0),ROUND(NETWORKDAYS.INTL(E183,MIN(F183,Reprogramaciones!T$9),11)/NETWORKDAYS.INTL(E183,F183,11)*100,1)))-IF(Reprogramaciones!S$9&lt;E183,0,IF(NETWORKDAYS.INTL(E183,F183,11)=0,IF(Reprogramaciones!S$9&gt;=F183,100,0),ROUND(NETWORKDAYS.INTL(E183,MIN(F183,Reprogramaciones!S$9),11)/NETWORKDAYS.INTL(E183,F183,11)*100,1))))</f>
        <v/>
      </c>
      <c r="Q183" s="37"/>
      <c r="R183" s="37"/>
      <c r="S183" s="37"/>
      <c r="T183" s="37"/>
      <c r="U183" s="37"/>
      <c r="V183" s="37"/>
      <c r="W183" s="37"/>
      <c r="X183" s="37"/>
      <c r="Y183" s="37"/>
      <c r="Z183" s="37"/>
      <c r="AA183" s="37"/>
      <c r="AB183" s="37"/>
      <c r="AC183" s="37"/>
      <c r="AD183" s="37"/>
      <c r="AE183" s="37"/>
      <c r="AF183" s="37"/>
      <c r="AG183" s="38" t="str">
        <f aca="false">IF(AND(ISNUMBER(E183),ISNUMBER(F183)),NETWORKDAYS.INTL(E183,F183,11),"")</f>
        <v/>
      </c>
      <c r="AH183" s="38" t="str">
        <f aca="false">IF(OR(NOT(AND(ISNUMBER(E183),ISNUMBER(F183))),$J$2=""),"",IF(Reprogramaciones!$P$15&lt;Reprogramaciones!$T$15,0,IF(Reprogramaciones!$R$15&gt;10,MIN(100,SUM($G183:$P183)),MIN(100,SUMPRODUCT((COLUMN($G183:$P183)-COLUMN($G183)+1&lt;Reprogramaciones!$R$15)*$G183:$P183)+N(INDEX($G183:$P183,1,Reprogramaciones!$R$15))*IF(Reprogramaciones!$P$15&gt;=(Reprogramaciones!$T$15+7*(Reprogramaciones!$R$15-1))+6,1,IF(MAX(0,NETWORKDAYS.INTL(MAX(E183,(Reprogramaciones!$T$15+7*(Reprogramaciones!$R$15-1))),MIN(F183,(Reprogramaciones!$T$15+7*(Reprogramaciones!$R$15-1))+6),11))=0,0,MAX(0,NETWORKDAYS.INTL(MAX(E183,(Reprogramaciones!$T$15+7*(Reprogramaciones!$R$15-1))),MIN(F183,Reprogramaciones!$P$15),11))/MAX(0,NETWORKDAYS.INTL(MAX(E183,(Reprogramaciones!$T$15+7*(Reprogramaciones!$R$15-1))),MIN(F183,(Reprogramaciones!$T$15+7*(Reprogramaciones!$R$15-1))+6),11))))))))</f>
        <v/>
      </c>
      <c r="AI183" s="38" t="str">
        <f aca="false">IF(COUNT($Q183:$AF183)=0,"",IF(ROUND(SUM($Q183:$AF183),1)&gt;=99.5,100,MIN(100,ROUND(SUM($Q183:$AF183),1))))</f>
        <v/>
      </c>
      <c r="AJ183" s="38" t="str">
        <f aca="false">IF(OR(AH183="",AI183=""),"",AI183-AH183)</f>
        <v/>
      </c>
      <c r="AK183" s="39" t="str">
        <f aca="true">IF(AH183="","",IF(OR(Ficha!$C$10="Suspendida",Ficha!$C$10="Cancelada"),Ficha!$C$10,IF(AND(AI183&lt;&gt;"",N(AI183)&gt;=100),"Completada",IF(AND(E183&gt;TODAY(),N(AI183)=0),"Por iniciar",IF(N(AI183)+0.5&lt;AH183,"Retrasada",IF(N(AI183)+0.5&lt;DA183,IF(Reprogramaciones!$K$15&gt;0,"Al día · Sem "&amp;Reprogramaciones!$K$15&amp;" en curso","Al día · en curso"),"A tiempo"))))))</f>
        <v/>
      </c>
      <c r="AL183" s="39" t="str">
        <f aca="true">IF(AND(A183="",AND(B183="",C183="",E183="",F183="",COUNT(Q183:AF183)=0)),"",IF(AND(B183="",C183="",E183="",F183="",COUNT(Q183:AF183)=0),"Falta la partida o subpartida",IF(AND(A183&lt;&gt;"",COUNTIF($A$6:$A$305,A183)&gt;1),"Ítem repetido",IF(AND(C183="",E183="",F183="",COUNT(Q183:AF183)=0),"Título de partida",IF(OR(E183="",F183=""),"Faltan fechas",IF(OR(ISTEXT(E183),ISTEXT(F183)),"Fecha escrita como texto: usa dd/mm/aaaa",IF(F183&lt;E183,"Fin antes del inicio",IF(IF($J$2="",FALSE(),OR(E183&lt;$J$2,F183&gt;Reprogramaciones!$T$15+69)),"Fuera de las 10 semanas",IF(ABS(SUM(G183:P183)-100)&gt;0.5,"La meta no suma 100%",IF(ROUND(SUM(Q183:AF183),1)&gt;100.5,"El avance pasa de 100%",IF(MIN(Q183:AF183)&lt;0,"Avance negativo",IF(COUNTA(Q183:AF183)&gt;COUNT(Q183:AF183),"Avance escrito como texto",IF(SUMPRODUCT((Q183:AF183&gt;0)*(Q183:AF183&lt;1))&gt;0,"Avance menor a 1: escribe 50, no 50%",IF(SUMPRODUCT(ISNUMBER(Q183:AF183)*(Reprogramaciones!$K$8:$Z$8&gt;TODAY()))&gt;0,"Avance en semana que aún no llega",IF(AND(N(Reprogramaciones!$E$21)&gt;0,F183&gt;Reprogramaciones!$E$21),"Pasa el fin de la obra: registra una reprogramación",IF(AND(N(Reprogramaciones!$E$21)&gt;0,SUMPRODUCT(ISNUMBER(Q183:AF183)*(Reprogramaciones!$K$8:$Z$8&gt;Reprogramaciones!$E$21))&gt;0),"Avance después del fin de la obra: registra una reprogramación por atraso","OK"))))))))))))))))</f>
        <v/>
      </c>
      <c r="AM183" s="40" t="str">
        <f aca="false">IF(OR(OR(NOT(AND(ISNUMBER(E183),ISNUMBER(F183))),$J$2=""),1&gt;MAX(1,Reprogramaciones!$U$15)),"",IF(Reprogramaciones!K$12&gt;=7,"",IF(OR(BT183-N(0)&gt;0.05,N(Q183)&gt;0),ROUNDDOWN(ROUND(BT183,6),0)&amp;"%"&amp;IF(CJ183="",""," / "&amp;CJ183&amp;"%"),IF(AND(N(0)&gt;=99.95,CJ183&lt;&gt;"",N(CJ183)&lt;100),"Pend. "&amp;CJ183&amp;"%",""))))</f>
        <v/>
      </c>
      <c r="AN183" s="40" t="str">
        <f aca="false">IF(OR(OR(NOT(AND(ISNUMBER(E183),ISNUMBER(F183))),$J$2=""),2&gt;MAX(1,Reprogramaciones!$U$15)),"",IF(Reprogramaciones!L$12&gt;=7,"",IF(OR(BU183-N(BT183)&gt;0.05,N(R183)&gt;0),ROUNDDOWN(ROUND(BU183,6),0)&amp;"%"&amp;IF(CK183="",""," / "&amp;CK183&amp;"%"),IF(AND(N(BT183)&gt;=99.95,CK183&lt;&gt;"",N(CK183)&lt;100),"Pend. "&amp;CK183&amp;"%",""))))</f>
        <v/>
      </c>
      <c r="AO183" s="40" t="str">
        <f aca="false">IF(OR(OR(NOT(AND(ISNUMBER(E183),ISNUMBER(F183))),$J$2=""),3&gt;MAX(1,Reprogramaciones!$U$15)),"",IF(Reprogramaciones!M$12&gt;=7,"",IF(OR(BV183-N(BU183)&gt;0.05,N(S183)&gt;0),ROUNDDOWN(ROUND(BV183,6),0)&amp;"%"&amp;IF(CL183="",""," / "&amp;CL183&amp;"%"),IF(AND(N(BU183)&gt;=99.95,CL183&lt;&gt;"",N(CL183)&lt;100),"Pend. "&amp;CL183&amp;"%",""))))</f>
        <v/>
      </c>
      <c r="AP183" s="40" t="str">
        <f aca="false">IF(OR(OR(NOT(AND(ISNUMBER(E183),ISNUMBER(F183))),$J$2=""),4&gt;MAX(1,Reprogramaciones!$U$15)),"",IF(Reprogramaciones!N$12&gt;=7,"",IF(OR(BW183-N(BV183)&gt;0.05,N(T183)&gt;0),ROUNDDOWN(ROUND(BW183,6),0)&amp;"%"&amp;IF(CM183="",""," / "&amp;CM183&amp;"%"),IF(AND(N(BV183)&gt;=99.95,CM183&lt;&gt;"",N(CM183)&lt;100),"Pend. "&amp;CM183&amp;"%",""))))</f>
        <v/>
      </c>
      <c r="AQ183" s="40" t="str">
        <f aca="false">IF(OR(OR(NOT(AND(ISNUMBER(E183),ISNUMBER(F183))),$J$2=""),5&gt;MAX(1,Reprogramaciones!$U$15)),"",IF(Reprogramaciones!O$12&gt;=7,"",IF(OR(BX183-N(BW183)&gt;0.05,N(U183)&gt;0),ROUNDDOWN(ROUND(BX183,6),0)&amp;"%"&amp;IF(CN183="",""," / "&amp;CN183&amp;"%"),IF(AND(N(BW183)&gt;=99.95,CN183&lt;&gt;"",N(CN183)&lt;100),"Pend. "&amp;CN183&amp;"%",""))))</f>
        <v/>
      </c>
      <c r="AR183" s="40" t="str">
        <f aca="false">IF(OR(OR(NOT(AND(ISNUMBER(E183),ISNUMBER(F183))),$J$2=""),6&gt;MAX(1,Reprogramaciones!$U$15)),"",IF(Reprogramaciones!P$12&gt;=7,"",IF(OR(BY183-N(BX183)&gt;0.05,N(V183)&gt;0),ROUNDDOWN(ROUND(BY183,6),0)&amp;"%"&amp;IF(CO183="",""," / "&amp;CO183&amp;"%"),IF(AND(N(BX183)&gt;=99.95,CO183&lt;&gt;"",N(CO183)&lt;100),"Pend. "&amp;CO183&amp;"%",""))))</f>
        <v/>
      </c>
      <c r="AS183" s="40" t="str">
        <f aca="false">IF(OR(OR(NOT(AND(ISNUMBER(E183),ISNUMBER(F183))),$J$2=""),7&gt;MAX(1,Reprogramaciones!$U$15)),"",IF(Reprogramaciones!Q$12&gt;=7,"",IF(OR(BZ183-N(BY183)&gt;0.05,N(W183)&gt;0),ROUNDDOWN(ROUND(BZ183,6),0)&amp;"%"&amp;IF(CP183="",""," / "&amp;CP183&amp;"%"),IF(AND(N(BY183)&gt;=99.95,CP183&lt;&gt;"",N(CP183)&lt;100),"Pend. "&amp;CP183&amp;"%",""))))</f>
        <v/>
      </c>
      <c r="AT183" s="40" t="str">
        <f aca="false">IF(OR(OR(NOT(AND(ISNUMBER(E183),ISNUMBER(F183))),$J$2=""),8&gt;MAX(1,Reprogramaciones!$U$15)),"",IF(Reprogramaciones!R$12&gt;=7,"",IF(OR(CA183-N(BZ183)&gt;0.05,N(X183)&gt;0),ROUNDDOWN(ROUND(CA183,6),0)&amp;"%"&amp;IF(CQ183="",""," / "&amp;CQ183&amp;"%"),IF(AND(N(BZ183)&gt;=99.95,CQ183&lt;&gt;"",N(CQ183)&lt;100),"Pend. "&amp;CQ183&amp;"%",""))))</f>
        <v/>
      </c>
      <c r="AU183" s="40" t="str">
        <f aca="false">IF(OR(OR(NOT(AND(ISNUMBER(E183),ISNUMBER(F183))),$J$2=""),9&gt;MAX(1,Reprogramaciones!$U$15)),"",IF(Reprogramaciones!S$12&gt;=7,"",IF(OR(CB183-N(CA183)&gt;0.05,N(Y183)&gt;0),ROUNDDOWN(ROUND(CB183,6),0)&amp;"%"&amp;IF(CR183="",""," / "&amp;CR183&amp;"%"),IF(AND(N(CA183)&gt;=99.95,CR183&lt;&gt;"",N(CR183)&lt;100),"Pend. "&amp;CR183&amp;"%",""))))</f>
        <v/>
      </c>
      <c r="AV183" s="40" t="str">
        <f aca="false">IF(OR(OR(NOT(AND(ISNUMBER(E183),ISNUMBER(F183))),$J$2=""),10&gt;MAX(1,Reprogramaciones!$U$15)),"",IF(Reprogramaciones!T$12&gt;=7,"",IF(OR(CC183-N(CB183)&gt;0.05,N(Z183)&gt;0),ROUNDDOWN(ROUND(CC183,6),0)&amp;"%"&amp;IF(CS183="",""," / "&amp;CS183&amp;"%"),IF(AND(N(CB183)&gt;=99.95,CS183&lt;&gt;"",N(CS183)&lt;100),"Pend. "&amp;CS183&amp;"%",""))))</f>
        <v/>
      </c>
      <c r="AW183" s="40" t="str">
        <f aca="false">IF(OR(OR(NOT(AND(ISNUMBER(E183),ISNUMBER(F183))),$J$2=""),11&gt;MAX(1,Reprogramaciones!$U$15)),"",IF(Reprogramaciones!U$12&gt;=7,"",IF(OR(CD183-N(CC183)&gt;0.05,N(AA183)&gt;0),ROUNDDOWN(ROUND(CD183,6),0)&amp;"%"&amp;IF(CT183="",""," / "&amp;CT183&amp;"%"),IF(AND(N(CC183)&gt;=99.95,CT183&lt;&gt;"",N(CT183)&lt;100),"Pend. "&amp;CT183&amp;"%",""))))</f>
        <v/>
      </c>
      <c r="AX183" s="40" t="str">
        <f aca="false">IF(OR(OR(NOT(AND(ISNUMBER(E183),ISNUMBER(F183))),$J$2=""),12&gt;MAX(1,Reprogramaciones!$U$15)),"",IF(Reprogramaciones!V$12&gt;=7,"",IF(OR(CE183-N(CD183)&gt;0.05,N(AB183)&gt;0),ROUNDDOWN(ROUND(CE183,6),0)&amp;"%"&amp;IF(CU183="",""," / "&amp;CU183&amp;"%"),IF(AND(N(CD183)&gt;=99.95,CU183&lt;&gt;"",N(CU183)&lt;100),"Pend. "&amp;CU183&amp;"%",""))))</f>
        <v/>
      </c>
      <c r="AY183" s="40" t="str">
        <f aca="false">IF(OR(OR(NOT(AND(ISNUMBER(E183),ISNUMBER(F183))),$J$2=""),13&gt;MAX(1,Reprogramaciones!$U$15)),"",IF(Reprogramaciones!W$12&gt;=7,"",IF(OR(CF183-N(CE183)&gt;0.05,N(AC183)&gt;0),ROUNDDOWN(ROUND(CF183,6),0)&amp;"%"&amp;IF(CV183="",""," / "&amp;CV183&amp;"%"),IF(AND(N(CE183)&gt;=99.95,CV183&lt;&gt;"",N(CV183)&lt;100),"Pend. "&amp;CV183&amp;"%",""))))</f>
        <v/>
      </c>
      <c r="AZ183" s="40" t="str">
        <f aca="false">IF(OR(OR(NOT(AND(ISNUMBER(E183),ISNUMBER(F183))),$J$2=""),14&gt;MAX(1,Reprogramaciones!$U$15)),"",IF(Reprogramaciones!X$12&gt;=7,"",IF(OR(CG183-N(CF183)&gt;0.05,N(AD183)&gt;0),ROUNDDOWN(ROUND(CG183,6),0)&amp;"%"&amp;IF(CW183="",""," / "&amp;CW183&amp;"%"),IF(AND(N(CF183)&gt;=99.95,CW183&lt;&gt;"",N(CW183)&lt;100),"Pend. "&amp;CW183&amp;"%",""))))</f>
        <v/>
      </c>
      <c r="BA183" s="40" t="str">
        <f aca="false">IF(OR(OR(NOT(AND(ISNUMBER(E183),ISNUMBER(F183))),$J$2=""),15&gt;MAX(1,Reprogramaciones!$U$15)),"",IF(Reprogramaciones!Y$12&gt;=7,"",IF(OR(CH183-N(CG183)&gt;0.05,N(AE183)&gt;0),ROUNDDOWN(ROUND(CH183,6),0)&amp;"%"&amp;IF(CX183="",""," / "&amp;CX183&amp;"%"),IF(AND(N(CG183)&gt;=99.95,CX183&lt;&gt;"",N(CX183)&lt;100),"Pend. "&amp;CX183&amp;"%",""))))</f>
        <v/>
      </c>
      <c r="BB183" s="40" t="str">
        <f aca="false">IF(OR(OR(NOT(AND(ISNUMBER(E183),ISNUMBER(F183))),$J$2=""),16&gt;MAX(1,Reprogramaciones!$U$15)),"",IF(Reprogramaciones!Z$12&gt;=7,"",IF(OR(CI183-N(CH183)&gt;0.05,N(AF183)&gt;0),ROUNDDOWN(ROUND(CI183,6),0)&amp;"%"&amp;IF(CY183="",""," / "&amp;CY183&amp;"%"),IF(AND(N(CH183)&gt;=99.95,CY183&lt;&gt;"",N(CY183)&lt;100),"Pend. "&amp;CY183&amp;"%",""))))</f>
        <v/>
      </c>
      <c r="BC183" s="31" t="n">
        <f aca="false">IF(AND(ISNUMBER(E183),ISNUMBER(F183)),MAX(1,NETWORKDAYS.INTL(E183,F183,11)),0)</f>
        <v>0</v>
      </c>
      <c r="BD183" s="1" t="str">
        <f aca="false">IF(OR(NOT(AND(ISNUMBER(E183),ISNUMBER(F183))),$J$2=""),"",MIN(100,ROUND(SUM($G183:G183),1)))</f>
        <v/>
      </c>
      <c r="BE183" s="1" t="str">
        <f aca="false">IF(OR(NOT(AND(ISNUMBER(E183),ISNUMBER(F183))),$J$2=""),"",MIN(100,ROUND(SUM($G183:H183),1)))</f>
        <v/>
      </c>
      <c r="BF183" s="1" t="str">
        <f aca="false">IF(OR(NOT(AND(ISNUMBER(E183),ISNUMBER(F183))),$J$2=""),"",MIN(100,ROUND(SUM($G183:I183),1)))</f>
        <v/>
      </c>
      <c r="BG183" s="1" t="str">
        <f aca="false">IF(OR(NOT(AND(ISNUMBER(E183),ISNUMBER(F183))),$J$2=""),"",MIN(100,ROUND(SUM($G183:J183),1)))</f>
        <v/>
      </c>
      <c r="BH183" s="1" t="str">
        <f aca="false">IF(OR(NOT(AND(ISNUMBER(E183),ISNUMBER(F183))),$J$2=""),"",MIN(100,ROUND(SUM($G183:K183),1)))</f>
        <v/>
      </c>
      <c r="BI183" s="1" t="str">
        <f aca="false">IF(OR(NOT(AND(ISNUMBER(E183),ISNUMBER(F183))),$J$2=""),"",MIN(100,ROUND(SUM($G183:L183),1)))</f>
        <v/>
      </c>
      <c r="BJ183" s="1" t="str">
        <f aca="false">IF(OR(NOT(AND(ISNUMBER(E183),ISNUMBER(F183))),$J$2=""),"",MIN(100,ROUND(SUM($G183:M183),1)))</f>
        <v/>
      </c>
      <c r="BK183" s="1" t="str">
        <f aca="false">IF(OR(NOT(AND(ISNUMBER(E183),ISNUMBER(F183))),$J$2=""),"",MIN(100,ROUND(SUM($G183:N183),1)))</f>
        <v/>
      </c>
      <c r="BL183" s="1" t="str">
        <f aca="false">IF(OR(NOT(AND(ISNUMBER(E183),ISNUMBER(F183))),$J$2=""),"",MIN(100,ROUND(SUM($G183:O183),1)))</f>
        <v/>
      </c>
      <c r="BM183" s="1" t="str">
        <f aca="false">IF(OR(NOT(AND(ISNUMBER(E183),ISNUMBER(F183))),$J$2=""),"",MIN(100,ROUND(SUM($G183:P183),1)))</f>
        <v/>
      </c>
      <c r="BN183" s="1" t="str">
        <f aca="false">IF(OR(NOT(AND(ISNUMBER(E183),ISNUMBER(F183))),$J$2=""),"",MIN(100,ROUND(SUM($G183:P183),1)))</f>
        <v/>
      </c>
      <c r="BO183" s="1" t="str">
        <f aca="false">IF(OR(NOT(AND(ISNUMBER(E183),ISNUMBER(F183))),$J$2=""),"",MIN(100,ROUND(SUM($G183:P183),1)))</f>
        <v/>
      </c>
      <c r="BP183" s="1" t="str">
        <f aca="false">IF(OR(NOT(AND(ISNUMBER(E183),ISNUMBER(F183))),$J$2=""),"",MIN(100,ROUND(SUM($G183:P183),1)))</f>
        <v/>
      </c>
      <c r="BQ183" s="1" t="str">
        <f aca="false">IF(OR(NOT(AND(ISNUMBER(E183),ISNUMBER(F183))),$J$2=""),"",MIN(100,ROUND(SUM($G183:P183),1)))</f>
        <v/>
      </c>
      <c r="BR183" s="1" t="str">
        <f aca="false">IF(OR(NOT(AND(ISNUMBER(E183),ISNUMBER(F183))),$J$2=""),"",MIN(100,ROUND(SUM($G183:P183),1)))</f>
        <v/>
      </c>
      <c r="BS183" s="1" t="str">
        <f aca="false">IF(OR(NOT(AND(ISNUMBER(E183),ISNUMBER(F183))),$J$2=""),"",MIN(100,ROUND(SUM($G183:P183),1)))</f>
        <v/>
      </c>
      <c r="BT183" s="1" t="str">
        <f aca="false">IF(OR(NOT(AND(ISNUMBER(E183),ISNUMBER(F183))),$J$2=""),"",IF(Reprogramaciones!K$13&lt;Reprogramaciones!$T$15,0,IF(Reprogramaciones!K$14&gt;10,MIN(100,SUM($G183:$P183)),MIN(100,SUMPRODUCT((COLUMN($G183:$P183)-COLUMN($G183)+1&lt;Reprogramaciones!K$14)*$G183:$P183)+N(INDEX($G183:$P183,1,Reprogramaciones!K$14))*IF(Reprogramaciones!K$13&gt;=(Reprogramaciones!$T$15+7*(Reprogramaciones!K$14-1))+6,1,IF(MAX(0,NETWORKDAYS.INTL(MAX(E183,(Reprogramaciones!$T$15+7*(Reprogramaciones!K$14-1))),MIN(F183,(Reprogramaciones!$T$15+7*(Reprogramaciones!K$14-1))+6),11))=0,0,MAX(0,NETWORKDAYS.INTL(MAX(E183,(Reprogramaciones!$T$15+7*(Reprogramaciones!K$14-1))),MIN(F183,Reprogramaciones!K$13),11))/MAX(0,NETWORKDAYS.INTL(MAX(E183,(Reprogramaciones!$T$15+7*(Reprogramaciones!K$14-1))),MIN(F183,(Reprogramaciones!$T$15+7*(Reprogramaciones!K$14-1))+6),11))))))))</f>
        <v/>
      </c>
      <c r="BU183" s="1" t="str">
        <f aca="false">IF(OR(NOT(AND(ISNUMBER(E183),ISNUMBER(F183))),$J$2=""),"",IF(Reprogramaciones!L$13&lt;Reprogramaciones!$T$15,0,IF(Reprogramaciones!L$14&gt;10,MIN(100,SUM($G183:$P183)),MIN(100,SUMPRODUCT((COLUMN($G183:$P183)-COLUMN($G183)+1&lt;Reprogramaciones!L$14)*$G183:$P183)+N(INDEX($G183:$P183,1,Reprogramaciones!L$14))*IF(Reprogramaciones!L$13&gt;=(Reprogramaciones!$T$15+7*(Reprogramaciones!L$14-1))+6,1,IF(MAX(0,NETWORKDAYS.INTL(MAX(E183,(Reprogramaciones!$T$15+7*(Reprogramaciones!L$14-1))),MIN(F183,(Reprogramaciones!$T$15+7*(Reprogramaciones!L$14-1))+6),11))=0,0,MAX(0,NETWORKDAYS.INTL(MAX(E183,(Reprogramaciones!$T$15+7*(Reprogramaciones!L$14-1))),MIN(F183,Reprogramaciones!L$13),11))/MAX(0,NETWORKDAYS.INTL(MAX(E183,(Reprogramaciones!$T$15+7*(Reprogramaciones!L$14-1))),MIN(F183,(Reprogramaciones!$T$15+7*(Reprogramaciones!L$14-1))+6),11))))))))</f>
        <v/>
      </c>
      <c r="BV183" s="1" t="str">
        <f aca="false">IF(OR(NOT(AND(ISNUMBER(E183),ISNUMBER(F183))),$J$2=""),"",IF(Reprogramaciones!M$13&lt;Reprogramaciones!$T$15,0,IF(Reprogramaciones!M$14&gt;10,MIN(100,SUM($G183:$P183)),MIN(100,SUMPRODUCT((COLUMN($G183:$P183)-COLUMN($G183)+1&lt;Reprogramaciones!M$14)*$G183:$P183)+N(INDEX($G183:$P183,1,Reprogramaciones!M$14))*IF(Reprogramaciones!M$13&gt;=(Reprogramaciones!$T$15+7*(Reprogramaciones!M$14-1))+6,1,IF(MAX(0,NETWORKDAYS.INTL(MAX(E183,(Reprogramaciones!$T$15+7*(Reprogramaciones!M$14-1))),MIN(F183,(Reprogramaciones!$T$15+7*(Reprogramaciones!M$14-1))+6),11))=0,0,MAX(0,NETWORKDAYS.INTL(MAX(E183,(Reprogramaciones!$T$15+7*(Reprogramaciones!M$14-1))),MIN(F183,Reprogramaciones!M$13),11))/MAX(0,NETWORKDAYS.INTL(MAX(E183,(Reprogramaciones!$T$15+7*(Reprogramaciones!M$14-1))),MIN(F183,(Reprogramaciones!$T$15+7*(Reprogramaciones!M$14-1))+6),11))))))))</f>
        <v/>
      </c>
      <c r="BW183" s="1" t="str">
        <f aca="false">IF(OR(NOT(AND(ISNUMBER(E183),ISNUMBER(F183))),$J$2=""),"",IF(Reprogramaciones!N$13&lt;Reprogramaciones!$T$15,0,IF(Reprogramaciones!N$14&gt;10,MIN(100,SUM($G183:$P183)),MIN(100,SUMPRODUCT((COLUMN($G183:$P183)-COLUMN($G183)+1&lt;Reprogramaciones!N$14)*$G183:$P183)+N(INDEX($G183:$P183,1,Reprogramaciones!N$14))*IF(Reprogramaciones!N$13&gt;=(Reprogramaciones!$T$15+7*(Reprogramaciones!N$14-1))+6,1,IF(MAX(0,NETWORKDAYS.INTL(MAX(E183,(Reprogramaciones!$T$15+7*(Reprogramaciones!N$14-1))),MIN(F183,(Reprogramaciones!$T$15+7*(Reprogramaciones!N$14-1))+6),11))=0,0,MAX(0,NETWORKDAYS.INTL(MAX(E183,(Reprogramaciones!$T$15+7*(Reprogramaciones!N$14-1))),MIN(F183,Reprogramaciones!N$13),11))/MAX(0,NETWORKDAYS.INTL(MAX(E183,(Reprogramaciones!$T$15+7*(Reprogramaciones!N$14-1))),MIN(F183,(Reprogramaciones!$T$15+7*(Reprogramaciones!N$14-1))+6),11))))))))</f>
        <v/>
      </c>
      <c r="BX183" s="1" t="str">
        <f aca="false">IF(OR(NOT(AND(ISNUMBER(E183),ISNUMBER(F183))),$J$2=""),"",IF(Reprogramaciones!O$13&lt;Reprogramaciones!$T$15,0,IF(Reprogramaciones!O$14&gt;10,MIN(100,SUM($G183:$P183)),MIN(100,SUMPRODUCT((COLUMN($G183:$P183)-COLUMN($G183)+1&lt;Reprogramaciones!O$14)*$G183:$P183)+N(INDEX($G183:$P183,1,Reprogramaciones!O$14))*IF(Reprogramaciones!O$13&gt;=(Reprogramaciones!$T$15+7*(Reprogramaciones!O$14-1))+6,1,IF(MAX(0,NETWORKDAYS.INTL(MAX(E183,(Reprogramaciones!$T$15+7*(Reprogramaciones!O$14-1))),MIN(F183,(Reprogramaciones!$T$15+7*(Reprogramaciones!O$14-1))+6),11))=0,0,MAX(0,NETWORKDAYS.INTL(MAX(E183,(Reprogramaciones!$T$15+7*(Reprogramaciones!O$14-1))),MIN(F183,Reprogramaciones!O$13),11))/MAX(0,NETWORKDAYS.INTL(MAX(E183,(Reprogramaciones!$T$15+7*(Reprogramaciones!O$14-1))),MIN(F183,(Reprogramaciones!$T$15+7*(Reprogramaciones!O$14-1))+6),11))))))))</f>
        <v/>
      </c>
      <c r="BY183" s="1" t="str">
        <f aca="false">IF(OR(NOT(AND(ISNUMBER(E183),ISNUMBER(F183))),$J$2=""),"",IF(Reprogramaciones!P$13&lt;Reprogramaciones!$T$15,0,IF(Reprogramaciones!P$14&gt;10,MIN(100,SUM($G183:$P183)),MIN(100,SUMPRODUCT((COLUMN($G183:$P183)-COLUMN($G183)+1&lt;Reprogramaciones!P$14)*$G183:$P183)+N(INDEX($G183:$P183,1,Reprogramaciones!P$14))*IF(Reprogramaciones!P$13&gt;=(Reprogramaciones!$T$15+7*(Reprogramaciones!P$14-1))+6,1,IF(MAX(0,NETWORKDAYS.INTL(MAX(E183,(Reprogramaciones!$T$15+7*(Reprogramaciones!P$14-1))),MIN(F183,(Reprogramaciones!$T$15+7*(Reprogramaciones!P$14-1))+6),11))=0,0,MAX(0,NETWORKDAYS.INTL(MAX(E183,(Reprogramaciones!$T$15+7*(Reprogramaciones!P$14-1))),MIN(F183,Reprogramaciones!P$13),11))/MAX(0,NETWORKDAYS.INTL(MAX(E183,(Reprogramaciones!$T$15+7*(Reprogramaciones!P$14-1))),MIN(F183,(Reprogramaciones!$T$15+7*(Reprogramaciones!P$14-1))+6),11))))))))</f>
        <v/>
      </c>
      <c r="BZ183" s="1" t="str">
        <f aca="false">IF(OR(NOT(AND(ISNUMBER(E183),ISNUMBER(F183))),$J$2=""),"",IF(Reprogramaciones!Q$13&lt;Reprogramaciones!$T$15,0,IF(Reprogramaciones!Q$14&gt;10,MIN(100,SUM($G183:$P183)),MIN(100,SUMPRODUCT((COLUMN($G183:$P183)-COLUMN($G183)+1&lt;Reprogramaciones!Q$14)*$G183:$P183)+N(INDEX($G183:$P183,1,Reprogramaciones!Q$14))*IF(Reprogramaciones!Q$13&gt;=(Reprogramaciones!$T$15+7*(Reprogramaciones!Q$14-1))+6,1,IF(MAX(0,NETWORKDAYS.INTL(MAX(E183,(Reprogramaciones!$T$15+7*(Reprogramaciones!Q$14-1))),MIN(F183,(Reprogramaciones!$T$15+7*(Reprogramaciones!Q$14-1))+6),11))=0,0,MAX(0,NETWORKDAYS.INTL(MAX(E183,(Reprogramaciones!$T$15+7*(Reprogramaciones!Q$14-1))),MIN(F183,Reprogramaciones!Q$13),11))/MAX(0,NETWORKDAYS.INTL(MAX(E183,(Reprogramaciones!$T$15+7*(Reprogramaciones!Q$14-1))),MIN(F183,(Reprogramaciones!$T$15+7*(Reprogramaciones!Q$14-1))+6),11))))))))</f>
        <v/>
      </c>
      <c r="CA183" s="1" t="str">
        <f aca="false">IF(OR(NOT(AND(ISNUMBER(E183),ISNUMBER(F183))),$J$2=""),"",IF(Reprogramaciones!R$13&lt;Reprogramaciones!$T$15,0,IF(Reprogramaciones!R$14&gt;10,MIN(100,SUM($G183:$P183)),MIN(100,SUMPRODUCT((COLUMN($G183:$P183)-COLUMN($G183)+1&lt;Reprogramaciones!R$14)*$G183:$P183)+N(INDEX($G183:$P183,1,Reprogramaciones!R$14))*IF(Reprogramaciones!R$13&gt;=(Reprogramaciones!$T$15+7*(Reprogramaciones!R$14-1))+6,1,IF(MAX(0,NETWORKDAYS.INTL(MAX(E183,(Reprogramaciones!$T$15+7*(Reprogramaciones!R$14-1))),MIN(F183,(Reprogramaciones!$T$15+7*(Reprogramaciones!R$14-1))+6),11))=0,0,MAX(0,NETWORKDAYS.INTL(MAX(E183,(Reprogramaciones!$T$15+7*(Reprogramaciones!R$14-1))),MIN(F183,Reprogramaciones!R$13),11))/MAX(0,NETWORKDAYS.INTL(MAX(E183,(Reprogramaciones!$T$15+7*(Reprogramaciones!R$14-1))),MIN(F183,(Reprogramaciones!$T$15+7*(Reprogramaciones!R$14-1))+6),11))))))))</f>
        <v/>
      </c>
      <c r="CB183" s="1" t="str">
        <f aca="false">IF(OR(NOT(AND(ISNUMBER(E183),ISNUMBER(F183))),$J$2=""),"",IF(Reprogramaciones!S$13&lt;Reprogramaciones!$T$15,0,IF(Reprogramaciones!S$14&gt;10,MIN(100,SUM($G183:$P183)),MIN(100,SUMPRODUCT((COLUMN($G183:$P183)-COLUMN($G183)+1&lt;Reprogramaciones!S$14)*$G183:$P183)+N(INDEX($G183:$P183,1,Reprogramaciones!S$14))*IF(Reprogramaciones!S$13&gt;=(Reprogramaciones!$T$15+7*(Reprogramaciones!S$14-1))+6,1,IF(MAX(0,NETWORKDAYS.INTL(MAX(E183,(Reprogramaciones!$T$15+7*(Reprogramaciones!S$14-1))),MIN(F183,(Reprogramaciones!$T$15+7*(Reprogramaciones!S$14-1))+6),11))=0,0,MAX(0,NETWORKDAYS.INTL(MAX(E183,(Reprogramaciones!$T$15+7*(Reprogramaciones!S$14-1))),MIN(F183,Reprogramaciones!S$13),11))/MAX(0,NETWORKDAYS.INTL(MAX(E183,(Reprogramaciones!$T$15+7*(Reprogramaciones!S$14-1))),MIN(F183,(Reprogramaciones!$T$15+7*(Reprogramaciones!S$14-1))+6),11))))))))</f>
        <v/>
      </c>
      <c r="CC183" s="1" t="str">
        <f aca="false">IF(OR(NOT(AND(ISNUMBER(E183),ISNUMBER(F183))),$J$2=""),"",IF(Reprogramaciones!T$13&lt;Reprogramaciones!$T$15,0,IF(Reprogramaciones!T$14&gt;10,MIN(100,SUM($G183:$P183)),MIN(100,SUMPRODUCT((COLUMN($G183:$P183)-COLUMN($G183)+1&lt;Reprogramaciones!T$14)*$G183:$P183)+N(INDEX($G183:$P183,1,Reprogramaciones!T$14))*IF(Reprogramaciones!T$13&gt;=(Reprogramaciones!$T$15+7*(Reprogramaciones!T$14-1))+6,1,IF(MAX(0,NETWORKDAYS.INTL(MAX(E183,(Reprogramaciones!$T$15+7*(Reprogramaciones!T$14-1))),MIN(F183,(Reprogramaciones!$T$15+7*(Reprogramaciones!T$14-1))+6),11))=0,0,MAX(0,NETWORKDAYS.INTL(MAX(E183,(Reprogramaciones!$T$15+7*(Reprogramaciones!T$14-1))),MIN(F183,Reprogramaciones!T$13),11))/MAX(0,NETWORKDAYS.INTL(MAX(E183,(Reprogramaciones!$T$15+7*(Reprogramaciones!T$14-1))),MIN(F183,(Reprogramaciones!$T$15+7*(Reprogramaciones!T$14-1))+6),11))))))))</f>
        <v/>
      </c>
      <c r="CD183" s="1" t="str">
        <f aca="false">IF(OR(NOT(AND(ISNUMBER(E183),ISNUMBER(F183))),$J$2=""),"",IF(Reprogramaciones!U$13&lt;Reprogramaciones!$T$15,0,IF(Reprogramaciones!U$14&gt;10,MIN(100,SUM($G183:$P183)),MIN(100,SUMPRODUCT((COLUMN($G183:$P183)-COLUMN($G183)+1&lt;Reprogramaciones!U$14)*$G183:$P183)+N(INDEX($G183:$P183,1,Reprogramaciones!U$14))*IF(Reprogramaciones!U$13&gt;=(Reprogramaciones!$T$15+7*(Reprogramaciones!U$14-1))+6,1,IF(MAX(0,NETWORKDAYS.INTL(MAX(E183,(Reprogramaciones!$T$15+7*(Reprogramaciones!U$14-1))),MIN(F183,(Reprogramaciones!$T$15+7*(Reprogramaciones!U$14-1))+6),11))=0,0,MAX(0,NETWORKDAYS.INTL(MAX(E183,(Reprogramaciones!$T$15+7*(Reprogramaciones!U$14-1))),MIN(F183,Reprogramaciones!U$13),11))/MAX(0,NETWORKDAYS.INTL(MAX(E183,(Reprogramaciones!$T$15+7*(Reprogramaciones!U$14-1))),MIN(F183,(Reprogramaciones!$T$15+7*(Reprogramaciones!U$14-1))+6),11))))))))</f>
        <v/>
      </c>
      <c r="CE183" s="1" t="str">
        <f aca="false">IF(OR(NOT(AND(ISNUMBER(E183),ISNUMBER(F183))),$J$2=""),"",IF(Reprogramaciones!V$13&lt;Reprogramaciones!$T$15,0,IF(Reprogramaciones!V$14&gt;10,MIN(100,SUM($G183:$P183)),MIN(100,SUMPRODUCT((COLUMN($G183:$P183)-COLUMN($G183)+1&lt;Reprogramaciones!V$14)*$G183:$P183)+N(INDEX($G183:$P183,1,Reprogramaciones!V$14))*IF(Reprogramaciones!V$13&gt;=(Reprogramaciones!$T$15+7*(Reprogramaciones!V$14-1))+6,1,IF(MAX(0,NETWORKDAYS.INTL(MAX(E183,(Reprogramaciones!$T$15+7*(Reprogramaciones!V$14-1))),MIN(F183,(Reprogramaciones!$T$15+7*(Reprogramaciones!V$14-1))+6),11))=0,0,MAX(0,NETWORKDAYS.INTL(MAX(E183,(Reprogramaciones!$T$15+7*(Reprogramaciones!V$14-1))),MIN(F183,Reprogramaciones!V$13),11))/MAX(0,NETWORKDAYS.INTL(MAX(E183,(Reprogramaciones!$T$15+7*(Reprogramaciones!V$14-1))),MIN(F183,(Reprogramaciones!$T$15+7*(Reprogramaciones!V$14-1))+6),11))))))))</f>
        <v/>
      </c>
      <c r="CF183" s="1" t="str">
        <f aca="false">IF(OR(NOT(AND(ISNUMBER(E183),ISNUMBER(F183))),$J$2=""),"",IF(Reprogramaciones!W$13&lt;Reprogramaciones!$T$15,0,IF(Reprogramaciones!W$14&gt;10,MIN(100,SUM($G183:$P183)),MIN(100,SUMPRODUCT((COLUMN($G183:$P183)-COLUMN($G183)+1&lt;Reprogramaciones!W$14)*$G183:$P183)+N(INDEX($G183:$P183,1,Reprogramaciones!W$14))*IF(Reprogramaciones!W$13&gt;=(Reprogramaciones!$T$15+7*(Reprogramaciones!W$14-1))+6,1,IF(MAX(0,NETWORKDAYS.INTL(MAX(E183,(Reprogramaciones!$T$15+7*(Reprogramaciones!W$14-1))),MIN(F183,(Reprogramaciones!$T$15+7*(Reprogramaciones!W$14-1))+6),11))=0,0,MAX(0,NETWORKDAYS.INTL(MAX(E183,(Reprogramaciones!$T$15+7*(Reprogramaciones!W$14-1))),MIN(F183,Reprogramaciones!W$13),11))/MAX(0,NETWORKDAYS.INTL(MAX(E183,(Reprogramaciones!$T$15+7*(Reprogramaciones!W$14-1))),MIN(F183,(Reprogramaciones!$T$15+7*(Reprogramaciones!W$14-1))+6),11))))))))</f>
        <v/>
      </c>
      <c r="CG183" s="1" t="str">
        <f aca="false">IF(OR(NOT(AND(ISNUMBER(E183),ISNUMBER(F183))),$J$2=""),"",IF(Reprogramaciones!X$13&lt;Reprogramaciones!$T$15,0,IF(Reprogramaciones!X$14&gt;10,MIN(100,SUM($G183:$P183)),MIN(100,SUMPRODUCT((COLUMN($G183:$P183)-COLUMN($G183)+1&lt;Reprogramaciones!X$14)*$G183:$P183)+N(INDEX($G183:$P183,1,Reprogramaciones!X$14))*IF(Reprogramaciones!X$13&gt;=(Reprogramaciones!$T$15+7*(Reprogramaciones!X$14-1))+6,1,IF(MAX(0,NETWORKDAYS.INTL(MAX(E183,(Reprogramaciones!$T$15+7*(Reprogramaciones!X$14-1))),MIN(F183,(Reprogramaciones!$T$15+7*(Reprogramaciones!X$14-1))+6),11))=0,0,MAX(0,NETWORKDAYS.INTL(MAX(E183,(Reprogramaciones!$T$15+7*(Reprogramaciones!X$14-1))),MIN(F183,Reprogramaciones!X$13),11))/MAX(0,NETWORKDAYS.INTL(MAX(E183,(Reprogramaciones!$T$15+7*(Reprogramaciones!X$14-1))),MIN(F183,(Reprogramaciones!$T$15+7*(Reprogramaciones!X$14-1))+6),11))))))))</f>
        <v/>
      </c>
      <c r="CH183" s="1" t="str">
        <f aca="false">IF(OR(NOT(AND(ISNUMBER(E183),ISNUMBER(F183))),$J$2=""),"",IF(Reprogramaciones!Y$13&lt;Reprogramaciones!$T$15,0,IF(Reprogramaciones!Y$14&gt;10,MIN(100,SUM($G183:$P183)),MIN(100,SUMPRODUCT((COLUMN($G183:$P183)-COLUMN($G183)+1&lt;Reprogramaciones!Y$14)*$G183:$P183)+N(INDEX($G183:$P183,1,Reprogramaciones!Y$14))*IF(Reprogramaciones!Y$13&gt;=(Reprogramaciones!$T$15+7*(Reprogramaciones!Y$14-1))+6,1,IF(MAX(0,NETWORKDAYS.INTL(MAX(E183,(Reprogramaciones!$T$15+7*(Reprogramaciones!Y$14-1))),MIN(F183,(Reprogramaciones!$T$15+7*(Reprogramaciones!Y$14-1))+6),11))=0,0,MAX(0,NETWORKDAYS.INTL(MAX(E183,(Reprogramaciones!$T$15+7*(Reprogramaciones!Y$14-1))),MIN(F183,Reprogramaciones!Y$13),11))/MAX(0,NETWORKDAYS.INTL(MAX(E183,(Reprogramaciones!$T$15+7*(Reprogramaciones!Y$14-1))),MIN(F183,(Reprogramaciones!$T$15+7*(Reprogramaciones!Y$14-1))+6),11))))))))</f>
        <v/>
      </c>
      <c r="CI183" s="1" t="str">
        <f aca="false">IF(OR(NOT(AND(ISNUMBER(E183),ISNUMBER(F183))),$J$2=""),"",IF(Reprogramaciones!Z$13&lt;Reprogramaciones!$T$15,0,IF(Reprogramaciones!Z$14&gt;10,MIN(100,SUM($G183:$P183)),MIN(100,SUMPRODUCT((COLUMN($G183:$P183)-COLUMN($G183)+1&lt;Reprogramaciones!Z$14)*$G183:$P183)+N(INDEX($G183:$P183,1,Reprogramaciones!Z$14))*IF(Reprogramaciones!Z$13&gt;=(Reprogramaciones!$T$15+7*(Reprogramaciones!Z$14-1))+6,1,IF(MAX(0,NETWORKDAYS.INTL(MAX(E183,(Reprogramaciones!$T$15+7*(Reprogramaciones!Z$14-1))),MIN(F183,(Reprogramaciones!$T$15+7*(Reprogramaciones!Z$14-1))+6),11))=0,0,MAX(0,NETWORKDAYS.INTL(MAX(E183,(Reprogramaciones!$T$15+7*(Reprogramaciones!Z$14-1))),MIN(F183,Reprogramaciones!Z$13),11))/MAX(0,NETWORKDAYS.INTL(MAX(E183,(Reprogramaciones!$T$15+7*(Reprogramaciones!Z$14-1))),MIN(F183,(Reprogramaciones!$T$15+7*(Reprogramaciones!Z$14-1))+6),11))))))))</f>
        <v/>
      </c>
      <c r="CJ183" s="1" t="str">
        <f aca="false">IF(OR(OR(NOT(AND(ISNUMBER(E183),ISNUMBER(F183))),$J$2=""),1&gt;Reprogramaciones!$K$16),"",IF(ROUND(SUM($Q183:Q183),1)&gt;=99.5,100,MIN(100,ROUND(SUM($Q183:Q183),1))))</f>
        <v/>
      </c>
      <c r="CK183" s="1" t="str">
        <f aca="false">IF(OR(OR(NOT(AND(ISNUMBER(E183),ISNUMBER(F183))),$J$2=""),2&gt;Reprogramaciones!$K$16),"",IF(ROUND(SUM($Q183:R183),1)&gt;=99.5,100,MIN(100,ROUND(SUM($Q183:R183),1))))</f>
        <v/>
      </c>
      <c r="CL183" s="1" t="str">
        <f aca="false">IF(OR(OR(NOT(AND(ISNUMBER(E183),ISNUMBER(F183))),$J$2=""),3&gt;Reprogramaciones!$K$16),"",IF(ROUND(SUM($Q183:S183),1)&gt;=99.5,100,MIN(100,ROUND(SUM($Q183:S183),1))))</f>
        <v/>
      </c>
      <c r="CM183" s="1" t="str">
        <f aca="false">IF(OR(OR(NOT(AND(ISNUMBER(E183),ISNUMBER(F183))),$J$2=""),4&gt;Reprogramaciones!$K$16),"",IF(ROUND(SUM($Q183:T183),1)&gt;=99.5,100,MIN(100,ROUND(SUM($Q183:T183),1))))</f>
        <v/>
      </c>
      <c r="CN183" s="1" t="str">
        <f aca="false">IF(OR(OR(NOT(AND(ISNUMBER(E183),ISNUMBER(F183))),$J$2=""),5&gt;Reprogramaciones!$K$16),"",IF(ROUND(SUM($Q183:U183),1)&gt;=99.5,100,MIN(100,ROUND(SUM($Q183:U183),1))))</f>
        <v/>
      </c>
      <c r="CO183" s="1" t="str">
        <f aca="false">IF(OR(OR(NOT(AND(ISNUMBER(E183),ISNUMBER(F183))),$J$2=""),6&gt;Reprogramaciones!$K$16),"",IF(ROUND(SUM($Q183:V183),1)&gt;=99.5,100,MIN(100,ROUND(SUM($Q183:V183),1))))</f>
        <v/>
      </c>
      <c r="CP183" s="1" t="str">
        <f aca="false">IF(OR(OR(NOT(AND(ISNUMBER(E183),ISNUMBER(F183))),$J$2=""),7&gt;Reprogramaciones!$K$16),"",IF(ROUND(SUM($Q183:W183),1)&gt;=99.5,100,MIN(100,ROUND(SUM($Q183:W183),1))))</f>
        <v/>
      </c>
      <c r="CQ183" s="1" t="str">
        <f aca="false">IF(OR(OR(NOT(AND(ISNUMBER(E183),ISNUMBER(F183))),$J$2=""),8&gt;Reprogramaciones!$K$16),"",IF(ROUND(SUM($Q183:X183),1)&gt;=99.5,100,MIN(100,ROUND(SUM($Q183:X183),1))))</f>
        <v/>
      </c>
      <c r="CR183" s="1" t="str">
        <f aca="false">IF(OR(OR(NOT(AND(ISNUMBER(E183),ISNUMBER(F183))),$J$2=""),9&gt;Reprogramaciones!$K$16),"",IF(ROUND(SUM($Q183:Y183),1)&gt;=99.5,100,MIN(100,ROUND(SUM($Q183:Y183),1))))</f>
        <v/>
      </c>
      <c r="CS183" s="1" t="str">
        <f aca="false">IF(OR(OR(NOT(AND(ISNUMBER(E183),ISNUMBER(F183))),$J$2=""),10&gt;Reprogramaciones!$K$16),"",IF(ROUND(SUM($Q183:Z183),1)&gt;=99.5,100,MIN(100,ROUND(SUM($Q183:Z183),1))))</f>
        <v/>
      </c>
      <c r="CT183" s="1" t="str">
        <f aca="false">IF(OR(OR(NOT(AND(ISNUMBER(E183),ISNUMBER(F183))),$J$2=""),11&gt;Reprogramaciones!$K$16),"",IF(ROUND(SUM($Q183:AA183),1)&gt;=99.5,100,MIN(100,ROUND(SUM($Q183:AA183),1))))</f>
        <v/>
      </c>
      <c r="CU183" s="1" t="str">
        <f aca="false">IF(OR(OR(NOT(AND(ISNUMBER(E183),ISNUMBER(F183))),$J$2=""),12&gt;Reprogramaciones!$K$16),"",IF(ROUND(SUM($Q183:AB183),1)&gt;=99.5,100,MIN(100,ROUND(SUM($Q183:AB183),1))))</f>
        <v/>
      </c>
      <c r="CV183" s="1" t="str">
        <f aca="false">IF(OR(OR(NOT(AND(ISNUMBER(E183),ISNUMBER(F183))),$J$2=""),13&gt;Reprogramaciones!$K$16),"",IF(ROUND(SUM($Q183:AC183),1)&gt;=99.5,100,MIN(100,ROUND(SUM($Q183:AC183),1))))</f>
        <v/>
      </c>
      <c r="CW183" s="1" t="str">
        <f aca="false">IF(OR(OR(NOT(AND(ISNUMBER(E183),ISNUMBER(F183))),$J$2=""),14&gt;Reprogramaciones!$K$16),"",IF(ROUND(SUM($Q183:AD183),1)&gt;=99.5,100,MIN(100,ROUND(SUM($Q183:AD183),1))))</f>
        <v/>
      </c>
      <c r="CX183" s="1" t="str">
        <f aca="false">IF(OR(OR(NOT(AND(ISNUMBER(E183),ISNUMBER(F183))),$J$2=""),15&gt;Reprogramaciones!$K$16),"",IF(ROUND(SUM($Q183:AE183),1)&gt;=99.5,100,MIN(100,ROUND(SUM($Q183:AE183),1))))</f>
        <v/>
      </c>
      <c r="CY183" s="1" t="str">
        <f aca="false">IF(OR(OR(NOT(AND(ISNUMBER(E183),ISNUMBER(F183))),$J$2=""),16&gt;Reprogramaciones!$K$16),"",IF(ROUND(SUM($Q183:AF183),1)&gt;=99.5,100,MIN(100,ROUND(SUM($Q183:AF183),1))))</f>
        <v/>
      </c>
      <c r="CZ183" s="1" t="str">
        <f aca="false">IF(D183&lt;&gt;"",D183,IF(B183&lt;&gt;"","Contractual",CZ182))</f>
        <v>Contractual</v>
      </c>
      <c r="DA183" s="1" t="str">
        <f aca="false">IF(OR(NOT(AND(ISNUMBER(E183),ISNUMBER(F183))),$J$2=""),"",IF(Reprogramaciones!$Q$15&lt;Reprogramaciones!$T$15,0,IF(Reprogramaciones!$S$15&gt;10,MIN(100,SUM($G183:$P183)),MIN(100,SUMPRODUCT((COLUMN($G183:$P183)-COLUMN($G183)+1&lt;Reprogramaciones!$S$15)*$G183:$P183)+N(INDEX($G183:$P183,1,Reprogramaciones!$S$15))*IF(Reprogramaciones!$Q$15&gt;=(Reprogramaciones!$T$15+7*(Reprogramaciones!$S$15-1))+6,1,IF(MAX(0,NETWORKDAYS.INTL(MAX(E183,(Reprogramaciones!$T$15+7*(Reprogramaciones!$S$15-1))),MIN(F183,(Reprogramaciones!$T$15+7*(Reprogramaciones!$S$15-1))+6),11))=0,0,MAX(0,NETWORKDAYS.INTL(MAX(E183,(Reprogramaciones!$T$15+7*(Reprogramaciones!$S$15-1))),MIN(F183,Reprogramaciones!$Q$15),11))/MAX(0,NETWORKDAYS.INTL(MAX(E183,(Reprogramaciones!$T$15+7*(Reprogramaciones!$S$15-1))),MIN(F183,(Reprogramaciones!$T$15+7*(Reprogramaciones!$S$15-1))+6),11))))))))</f>
        <v/>
      </c>
    </row>
    <row r="184" customFormat="false" ht="15" hidden="false" customHeight="false" outlineLevel="0" collapsed="false">
      <c r="A184" s="32"/>
      <c r="B184" s="33"/>
      <c r="C184" s="33"/>
      <c r="D184" s="34"/>
      <c r="E184" s="35"/>
      <c r="F184" s="35"/>
      <c r="G184" s="36" t="str">
        <f aca="false">IF(OR(NOT(AND(ISNUMBER(E184),ISNUMBER(F184))),$J$2=""),"",IF(Reprogramaciones!K$9&lt;E184,0,IF(NETWORKDAYS.INTL(E184,F184,11)=0,IF(Reprogramaciones!K$9&gt;=F184,100,0),ROUND(NETWORKDAYS.INTL(E184,MIN(F184,Reprogramaciones!K$9),11)/NETWORKDAYS.INTL(E184,F184,11)*100,1)))-0)</f>
        <v/>
      </c>
      <c r="H184" s="36" t="str">
        <f aca="false">IF(OR(NOT(AND(ISNUMBER(E184),ISNUMBER(F184))),$J$2=""),"",IF(Reprogramaciones!L$9&lt;E184,0,IF(NETWORKDAYS.INTL(E184,F184,11)=0,IF(Reprogramaciones!L$9&gt;=F184,100,0),ROUND(NETWORKDAYS.INTL(E184,MIN(F184,Reprogramaciones!L$9),11)/NETWORKDAYS.INTL(E184,F184,11)*100,1)))-IF(Reprogramaciones!K$9&lt;E184,0,IF(NETWORKDAYS.INTL(E184,F184,11)=0,IF(Reprogramaciones!K$9&gt;=F184,100,0),ROUND(NETWORKDAYS.INTL(E184,MIN(F184,Reprogramaciones!K$9),11)/NETWORKDAYS.INTL(E184,F184,11)*100,1))))</f>
        <v/>
      </c>
      <c r="I184" s="36" t="str">
        <f aca="false">IF(OR(NOT(AND(ISNUMBER(E184),ISNUMBER(F184))),$J$2=""),"",IF(Reprogramaciones!M$9&lt;E184,0,IF(NETWORKDAYS.INTL(E184,F184,11)=0,IF(Reprogramaciones!M$9&gt;=F184,100,0),ROUND(NETWORKDAYS.INTL(E184,MIN(F184,Reprogramaciones!M$9),11)/NETWORKDAYS.INTL(E184,F184,11)*100,1)))-IF(Reprogramaciones!L$9&lt;E184,0,IF(NETWORKDAYS.INTL(E184,F184,11)=0,IF(Reprogramaciones!L$9&gt;=F184,100,0),ROUND(NETWORKDAYS.INTL(E184,MIN(F184,Reprogramaciones!L$9),11)/NETWORKDAYS.INTL(E184,F184,11)*100,1))))</f>
        <v/>
      </c>
      <c r="J184" s="36" t="str">
        <f aca="false">IF(OR(NOT(AND(ISNUMBER(E184),ISNUMBER(F184))),$J$2=""),"",IF(Reprogramaciones!N$9&lt;E184,0,IF(NETWORKDAYS.INTL(E184,F184,11)=0,IF(Reprogramaciones!N$9&gt;=F184,100,0),ROUND(NETWORKDAYS.INTL(E184,MIN(F184,Reprogramaciones!N$9),11)/NETWORKDAYS.INTL(E184,F184,11)*100,1)))-IF(Reprogramaciones!M$9&lt;E184,0,IF(NETWORKDAYS.INTL(E184,F184,11)=0,IF(Reprogramaciones!M$9&gt;=F184,100,0),ROUND(NETWORKDAYS.INTL(E184,MIN(F184,Reprogramaciones!M$9),11)/NETWORKDAYS.INTL(E184,F184,11)*100,1))))</f>
        <v/>
      </c>
      <c r="K184" s="36" t="str">
        <f aca="false">IF(OR(NOT(AND(ISNUMBER(E184),ISNUMBER(F184))),$J$2=""),"",IF(Reprogramaciones!O$9&lt;E184,0,IF(NETWORKDAYS.INTL(E184,F184,11)=0,IF(Reprogramaciones!O$9&gt;=F184,100,0),ROUND(NETWORKDAYS.INTL(E184,MIN(F184,Reprogramaciones!O$9),11)/NETWORKDAYS.INTL(E184,F184,11)*100,1)))-IF(Reprogramaciones!N$9&lt;E184,0,IF(NETWORKDAYS.INTL(E184,F184,11)=0,IF(Reprogramaciones!N$9&gt;=F184,100,0),ROUND(NETWORKDAYS.INTL(E184,MIN(F184,Reprogramaciones!N$9),11)/NETWORKDAYS.INTL(E184,F184,11)*100,1))))</f>
        <v/>
      </c>
      <c r="L184" s="36" t="str">
        <f aca="false">IF(OR(NOT(AND(ISNUMBER(E184),ISNUMBER(F184))),$J$2=""),"",IF(Reprogramaciones!P$9&lt;E184,0,IF(NETWORKDAYS.INTL(E184,F184,11)=0,IF(Reprogramaciones!P$9&gt;=F184,100,0),ROUND(NETWORKDAYS.INTL(E184,MIN(F184,Reprogramaciones!P$9),11)/NETWORKDAYS.INTL(E184,F184,11)*100,1)))-IF(Reprogramaciones!O$9&lt;E184,0,IF(NETWORKDAYS.INTL(E184,F184,11)=0,IF(Reprogramaciones!O$9&gt;=F184,100,0),ROUND(NETWORKDAYS.INTL(E184,MIN(F184,Reprogramaciones!O$9),11)/NETWORKDAYS.INTL(E184,F184,11)*100,1))))</f>
        <v/>
      </c>
      <c r="M184" s="36" t="str">
        <f aca="false">IF(OR(NOT(AND(ISNUMBER(E184),ISNUMBER(F184))),$J$2=""),"",IF(Reprogramaciones!Q$9&lt;E184,0,IF(NETWORKDAYS.INTL(E184,F184,11)=0,IF(Reprogramaciones!Q$9&gt;=F184,100,0),ROUND(NETWORKDAYS.INTL(E184,MIN(F184,Reprogramaciones!Q$9),11)/NETWORKDAYS.INTL(E184,F184,11)*100,1)))-IF(Reprogramaciones!P$9&lt;E184,0,IF(NETWORKDAYS.INTL(E184,F184,11)=0,IF(Reprogramaciones!P$9&gt;=F184,100,0),ROUND(NETWORKDAYS.INTL(E184,MIN(F184,Reprogramaciones!P$9),11)/NETWORKDAYS.INTL(E184,F184,11)*100,1))))</f>
        <v/>
      </c>
      <c r="N184" s="36" t="str">
        <f aca="false">IF(OR(NOT(AND(ISNUMBER(E184),ISNUMBER(F184))),$J$2=""),"",IF(Reprogramaciones!R$9&lt;E184,0,IF(NETWORKDAYS.INTL(E184,F184,11)=0,IF(Reprogramaciones!R$9&gt;=F184,100,0),ROUND(NETWORKDAYS.INTL(E184,MIN(F184,Reprogramaciones!R$9),11)/NETWORKDAYS.INTL(E184,F184,11)*100,1)))-IF(Reprogramaciones!Q$9&lt;E184,0,IF(NETWORKDAYS.INTL(E184,F184,11)=0,IF(Reprogramaciones!Q$9&gt;=F184,100,0),ROUND(NETWORKDAYS.INTL(E184,MIN(F184,Reprogramaciones!Q$9),11)/NETWORKDAYS.INTL(E184,F184,11)*100,1))))</f>
        <v/>
      </c>
      <c r="O184" s="36" t="str">
        <f aca="false">IF(OR(NOT(AND(ISNUMBER(E184),ISNUMBER(F184))),$J$2=""),"",IF(Reprogramaciones!S$9&lt;E184,0,IF(NETWORKDAYS.INTL(E184,F184,11)=0,IF(Reprogramaciones!S$9&gt;=F184,100,0),ROUND(NETWORKDAYS.INTL(E184,MIN(F184,Reprogramaciones!S$9),11)/NETWORKDAYS.INTL(E184,F184,11)*100,1)))-IF(Reprogramaciones!R$9&lt;E184,0,IF(NETWORKDAYS.INTL(E184,F184,11)=0,IF(Reprogramaciones!R$9&gt;=F184,100,0),ROUND(NETWORKDAYS.INTL(E184,MIN(F184,Reprogramaciones!R$9),11)/NETWORKDAYS.INTL(E184,F184,11)*100,1))))</f>
        <v/>
      </c>
      <c r="P184" s="36" t="str">
        <f aca="false">IF(OR(NOT(AND(ISNUMBER(E184),ISNUMBER(F184))),$J$2=""),"",IF(Reprogramaciones!T$9&lt;E184,0,IF(NETWORKDAYS.INTL(E184,F184,11)=0,IF(Reprogramaciones!T$9&gt;=F184,100,0),ROUND(NETWORKDAYS.INTL(E184,MIN(F184,Reprogramaciones!T$9),11)/NETWORKDAYS.INTL(E184,F184,11)*100,1)))-IF(Reprogramaciones!S$9&lt;E184,0,IF(NETWORKDAYS.INTL(E184,F184,11)=0,IF(Reprogramaciones!S$9&gt;=F184,100,0),ROUND(NETWORKDAYS.INTL(E184,MIN(F184,Reprogramaciones!S$9),11)/NETWORKDAYS.INTL(E184,F184,11)*100,1))))</f>
        <v/>
      </c>
      <c r="Q184" s="37"/>
      <c r="R184" s="37"/>
      <c r="S184" s="37"/>
      <c r="T184" s="37"/>
      <c r="U184" s="37"/>
      <c r="V184" s="37"/>
      <c r="W184" s="37"/>
      <c r="X184" s="37"/>
      <c r="Y184" s="37"/>
      <c r="Z184" s="37"/>
      <c r="AA184" s="37"/>
      <c r="AB184" s="37"/>
      <c r="AC184" s="37"/>
      <c r="AD184" s="37"/>
      <c r="AE184" s="37"/>
      <c r="AF184" s="37"/>
      <c r="AG184" s="38" t="str">
        <f aca="false">IF(AND(ISNUMBER(E184),ISNUMBER(F184)),NETWORKDAYS.INTL(E184,F184,11),"")</f>
        <v/>
      </c>
      <c r="AH184" s="38" t="str">
        <f aca="false">IF(OR(NOT(AND(ISNUMBER(E184),ISNUMBER(F184))),$J$2=""),"",IF(Reprogramaciones!$P$15&lt;Reprogramaciones!$T$15,0,IF(Reprogramaciones!$R$15&gt;10,MIN(100,SUM($G184:$P184)),MIN(100,SUMPRODUCT((COLUMN($G184:$P184)-COLUMN($G184)+1&lt;Reprogramaciones!$R$15)*$G184:$P184)+N(INDEX($G184:$P184,1,Reprogramaciones!$R$15))*IF(Reprogramaciones!$P$15&gt;=(Reprogramaciones!$T$15+7*(Reprogramaciones!$R$15-1))+6,1,IF(MAX(0,NETWORKDAYS.INTL(MAX(E184,(Reprogramaciones!$T$15+7*(Reprogramaciones!$R$15-1))),MIN(F184,(Reprogramaciones!$T$15+7*(Reprogramaciones!$R$15-1))+6),11))=0,0,MAX(0,NETWORKDAYS.INTL(MAX(E184,(Reprogramaciones!$T$15+7*(Reprogramaciones!$R$15-1))),MIN(F184,Reprogramaciones!$P$15),11))/MAX(0,NETWORKDAYS.INTL(MAX(E184,(Reprogramaciones!$T$15+7*(Reprogramaciones!$R$15-1))),MIN(F184,(Reprogramaciones!$T$15+7*(Reprogramaciones!$R$15-1))+6),11))))))))</f>
        <v/>
      </c>
      <c r="AI184" s="38" t="str">
        <f aca="false">IF(COUNT($Q184:$AF184)=0,"",IF(ROUND(SUM($Q184:$AF184),1)&gt;=99.5,100,MIN(100,ROUND(SUM($Q184:$AF184),1))))</f>
        <v/>
      </c>
      <c r="AJ184" s="38" t="str">
        <f aca="false">IF(OR(AH184="",AI184=""),"",AI184-AH184)</f>
        <v/>
      </c>
      <c r="AK184" s="39" t="str">
        <f aca="true">IF(AH184="","",IF(OR(Ficha!$C$10="Suspendida",Ficha!$C$10="Cancelada"),Ficha!$C$10,IF(AND(AI184&lt;&gt;"",N(AI184)&gt;=100),"Completada",IF(AND(E184&gt;TODAY(),N(AI184)=0),"Por iniciar",IF(N(AI184)+0.5&lt;AH184,"Retrasada",IF(N(AI184)+0.5&lt;DA184,IF(Reprogramaciones!$K$15&gt;0,"Al día · Sem "&amp;Reprogramaciones!$K$15&amp;" en curso","Al día · en curso"),"A tiempo"))))))</f>
        <v/>
      </c>
      <c r="AL184" s="39" t="str">
        <f aca="true">IF(AND(A184="",AND(B184="",C184="",E184="",F184="",COUNT(Q184:AF184)=0)),"",IF(AND(B184="",C184="",E184="",F184="",COUNT(Q184:AF184)=0),"Falta la partida o subpartida",IF(AND(A184&lt;&gt;"",COUNTIF($A$6:$A$305,A184)&gt;1),"Ítem repetido",IF(AND(C184="",E184="",F184="",COUNT(Q184:AF184)=0),"Título de partida",IF(OR(E184="",F184=""),"Faltan fechas",IF(OR(ISTEXT(E184),ISTEXT(F184)),"Fecha escrita como texto: usa dd/mm/aaaa",IF(F184&lt;E184,"Fin antes del inicio",IF(IF($J$2="",FALSE(),OR(E184&lt;$J$2,F184&gt;Reprogramaciones!$T$15+69)),"Fuera de las 10 semanas",IF(ABS(SUM(G184:P184)-100)&gt;0.5,"La meta no suma 100%",IF(ROUND(SUM(Q184:AF184),1)&gt;100.5,"El avance pasa de 100%",IF(MIN(Q184:AF184)&lt;0,"Avance negativo",IF(COUNTA(Q184:AF184)&gt;COUNT(Q184:AF184),"Avance escrito como texto",IF(SUMPRODUCT((Q184:AF184&gt;0)*(Q184:AF184&lt;1))&gt;0,"Avance menor a 1: escribe 50, no 50%",IF(SUMPRODUCT(ISNUMBER(Q184:AF184)*(Reprogramaciones!$K$8:$Z$8&gt;TODAY()))&gt;0,"Avance en semana que aún no llega",IF(AND(N(Reprogramaciones!$E$21)&gt;0,F184&gt;Reprogramaciones!$E$21),"Pasa el fin de la obra: registra una reprogramación",IF(AND(N(Reprogramaciones!$E$21)&gt;0,SUMPRODUCT(ISNUMBER(Q184:AF184)*(Reprogramaciones!$K$8:$Z$8&gt;Reprogramaciones!$E$21))&gt;0),"Avance después del fin de la obra: registra una reprogramación por atraso","OK"))))))))))))))))</f>
        <v/>
      </c>
      <c r="AM184" s="40" t="str">
        <f aca="false">IF(OR(OR(NOT(AND(ISNUMBER(E184),ISNUMBER(F184))),$J$2=""),1&gt;MAX(1,Reprogramaciones!$U$15)),"",IF(Reprogramaciones!K$12&gt;=7,"",IF(OR(BT184-N(0)&gt;0.05,N(Q184)&gt;0),ROUNDDOWN(ROUND(BT184,6),0)&amp;"%"&amp;IF(CJ184="",""," / "&amp;CJ184&amp;"%"),IF(AND(N(0)&gt;=99.95,CJ184&lt;&gt;"",N(CJ184)&lt;100),"Pend. "&amp;CJ184&amp;"%",""))))</f>
        <v/>
      </c>
      <c r="AN184" s="40" t="str">
        <f aca="false">IF(OR(OR(NOT(AND(ISNUMBER(E184),ISNUMBER(F184))),$J$2=""),2&gt;MAX(1,Reprogramaciones!$U$15)),"",IF(Reprogramaciones!L$12&gt;=7,"",IF(OR(BU184-N(BT184)&gt;0.05,N(R184)&gt;0),ROUNDDOWN(ROUND(BU184,6),0)&amp;"%"&amp;IF(CK184="",""," / "&amp;CK184&amp;"%"),IF(AND(N(BT184)&gt;=99.95,CK184&lt;&gt;"",N(CK184)&lt;100),"Pend. "&amp;CK184&amp;"%",""))))</f>
        <v/>
      </c>
      <c r="AO184" s="40" t="str">
        <f aca="false">IF(OR(OR(NOT(AND(ISNUMBER(E184),ISNUMBER(F184))),$J$2=""),3&gt;MAX(1,Reprogramaciones!$U$15)),"",IF(Reprogramaciones!M$12&gt;=7,"",IF(OR(BV184-N(BU184)&gt;0.05,N(S184)&gt;0),ROUNDDOWN(ROUND(BV184,6),0)&amp;"%"&amp;IF(CL184="",""," / "&amp;CL184&amp;"%"),IF(AND(N(BU184)&gt;=99.95,CL184&lt;&gt;"",N(CL184)&lt;100),"Pend. "&amp;CL184&amp;"%",""))))</f>
        <v/>
      </c>
      <c r="AP184" s="40" t="str">
        <f aca="false">IF(OR(OR(NOT(AND(ISNUMBER(E184),ISNUMBER(F184))),$J$2=""),4&gt;MAX(1,Reprogramaciones!$U$15)),"",IF(Reprogramaciones!N$12&gt;=7,"",IF(OR(BW184-N(BV184)&gt;0.05,N(T184)&gt;0),ROUNDDOWN(ROUND(BW184,6),0)&amp;"%"&amp;IF(CM184="",""," / "&amp;CM184&amp;"%"),IF(AND(N(BV184)&gt;=99.95,CM184&lt;&gt;"",N(CM184)&lt;100),"Pend. "&amp;CM184&amp;"%",""))))</f>
        <v/>
      </c>
      <c r="AQ184" s="40" t="str">
        <f aca="false">IF(OR(OR(NOT(AND(ISNUMBER(E184),ISNUMBER(F184))),$J$2=""),5&gt;MAX(1,Reprogramaciones!$U$15)),"",IF(Reprogramaciones!O$12&gt;=7,"",IF(OR(BX184-N(BW184)&gt;0.05,N(U184)&gt;0),ROUNDDOWN(ROUND(BX184,6),0)&amp;"%"&amp;IF(CN184="",""," / "&amp;CN184&amp;"%"),IF(AND(N(BW184)&gt;=99.95,CN184&lt;&gt;"",N(CN184)&lt;100),"Pend. "&amp;CN184&amp;"%",""))))</f>
        <v/>
      </c>
      <c r="AR184" s="40" t="str">
        <f aca="false">IF(OR(OR(NOT(AND(ISNUMBER(E184),ISNUMBER(F184))),$J$2=""),6&gt;MAX(1,Reprogramaciones!$U$15)),"",IF(Reprogramaciones!P$12&gt;=7,"",IF(OR(BY184-N(BX184)&gt;0.05,N(V184)&gt;0),ROUNDDOWN(ROUND(BY184,6),0)&amp;"%"&amp;IF(CO184="",""," / "&amp;CO184&amp;"%"),IF(AND(N(BX184)&gt;=99.95,CO184&lt;&gt;"",N(CO184)&lt;100),"Pend. "&amp;CO184&amp;"%",""))))</f>
        <v/>
      </c>
      <c r="AS184" s="40" t="str">
        <f aca="false">IF(OR(OR(NOT(AND(ISNUMBER(E184),ISNUMBER(F184))),$J$2=""),7&gt;MAX(1,Reprogramaciones!$U$15)),"",IF(Reprogramaciones!Q$12&gt;=7,"",IF(OR(BZ184-N(BY184)&gt;0.05,N(W184)&gt;0),ROUNDDOWN(ROUND(BZ184,6),0)&amp;"%"&amp;IF(CP184="",""," / "&amp;CP184&amp;"%"),IF(AND(N(BY184)&gt;=99.95,CP184&lt;&gt;"",N(CP184)&lt;100),"Pend. "&amp;CP184&amp;"%",""))))</f>
        <v/>
      </c>
      <c r="AT184" s="40" t="str">
        <f aca="false">IF(OR(OR(NOT(AND(ISNUMBER(E184),ISNUMBER(F184))),$J$2=""),8&gt;MAX(1,Reprogramaciones!$U$15)),"",IF(Reprogramaciones!R$12&gt;=7,"",IF(OR(CA184-N(BZ184)&gt;0.05,N(X184)&gt;0),ROUNDDOWN(ROUND(CA184,6),0)&amp;"%"&amp;IF(CQ184="",""," / "&amp;CQ184&amp;"%"),IF(AND(N(BZ184)&gt;=99.95,CQ184&lt;&gt;"",N(CQ184)&lt;100),"Pend. "&amp;CQ184&amp;"%",""))))</f>
        <v/>
      </c>
      <c r="AU184" s="40" t="str">
        <f aca="false">IF(OR(OR(NOT(AND(ISNUMBER(E184),ISNUMBER(F184))),$J$2=""),9&gt;MAX(1,Reprogramaciones!$U$15)),"",IF(Reprogramaciones!S$12&gt;=7,"",IF(OR(CB184-N(CA184)&gt;0.05,N(Y184)&gt;0),ROUNDDOWN(ROUND(CB184,6),0)&amp;"%"&amp;IF(CR184="",""," / "&amp;CR184&amp;"%"),IF(AND(N(CA184)&gt;=99.95,CR184&lt;&gt;"",N(CR184)&lt;100),"Pend. "&amp;CR184&amp;"%",""))))</f>
        <v/>
      </c>
      <c r="AV184" s="40" t="str">
        <f aca="false">IF(OR(OR(NOT(AND(ISNUMBER(E184),ISNUMBER(F184))),$J$2=""),10&gt;MAX(1,Reprogramaciones!$U$15)),"",IF(Reprogramaciones!T$12&gt;=7,"",IF(OR(CC184-N(CB184)&gt;0.05,N(Z184)&gt;0),ROUNDDOWN(ROUND(CC184,6),0)&amp;"%"&amp;IF(CS184="",""," / "&amp;CS184&amp;"%"),IF(AND(N(CB184)&gt;=99.95,CS184&lt;&gt;"",N(CS184)&lt;100),"Pend. "&amp;CS184&amp;"%",""))))</f>
        <v/>
      </c>
      <c r="AW184" s="40" t="str">
        <f aca="false">IF(OR(OR(NOT(AND(ISNUMBER(E184),ISNUMBER(F184))),$J$2=""),11&gt;MAX(1,Reprogramaciones!$U$15)),"",IF(Reprogramaciones!U$12&gt;=7,"",IF(OR(CD184-N(CC184)&gt;0.05,N(AA184)&gt;0),ROUNDDOWN(ROUND(CD184,6),0)&amp;"%"&amp;IF(CT184="",""," / "&amp;CT184&amp;"%"),IF(AND(N(CC184)&gt;=99.95,CT184&lt;&gt;"",N(CT184)&lt;100),"Pend. "&amp;CT184&amp;"%",""))))</f>
        <v/>
      </c>
      <c r="AX184" s="40" t="str">
        <f aca="false">IF(OR(OR(NOT(AND(ISNUMBER(E184),ISNUMBER(F184))),$J$2=""),12&gt;MAX(1,Reprogramaciones!$U$15)),"",IF(Reprogramaciones!V$12&gt;=7,"",IF(OR(CE184-N(CD184)&gt;0.05,N(AB184)&gt;0),ROUNDDOWN(ROUND(CE184,6),0)&amp;"%"&amp;IF(CU184="",""," / "&amp;CU184&amp;"%"),IF(AND(N(CD184)&gt;=99.95,CU184&lt;&gt;"",N(CU184)&lt;100),"Pend. "&amp;CU184&amp;"%",""))))</f>
        <v/>
      </c>
      <c r="AY184" s="40" t="str">
        <f aca="false">IF(OR(OR(NOT(AND(ISNUMBER(E184),ISNUMBER(F184))),$J$2=""),13&gt;MAX(1,Reprogramaciones!$U$15)),"",IF(Reprogramaciones!W$12&gt;=7,"",IF(OR(CF184-N(CE184)&gt;0.05,N(AC184)&gt;0),ROUNDDOWN(ROUND(CF184,6),0)&amp;"%"&amp;IF(CV184="",""," / "&amp;CV184&amp;"%"),IF(AND(N(CE184)&gt;=99.95,CV184&lt;&gt;"",N(CV184)&lt;100),"Pend. "&amp;CV184&amp;"%",""))))</f>
        <v/>
      </c>
      <c r="AZ184" s="40" t="str">
        <f aca="false">IF(OR(OR(NOT(AND(ISNUMBER(E184),ISNUMBER(F184))),$J$2=""),14&gt;MAX(1,Reprogramaciones!$U$15)),"",IF(Reprogramaciones!X$12&gt;=7,"",IF(OR(CG184-N(CF184)&gt;0.05,N(AD184)&gt;0),ROUNDDOWN(ROUND(CG184,6),0)&amp;"%"&amp;IF(CW184="",""," / "&amp;CW184&amp;"%"),IF(AND(N(CF184)&gt;=99.95,CW184&lt;&gt;"",N(CW184)&lt;100),"Pend. "&amp;CW184&amp;"%",""))))</f>
        <v/>
      </c>
      <c r="BA184" s="40" t="str">
        <f aca="false">IF(OR(OR(NOT(AND(ISNUMBER(E184),ISNUMBER(F184))),$J$2=""),15&gt;MAX(1,Reprogramaciones!$U$15)),"",IF(Reprogramaciones!Y$12&gt;=7,"",IF(OR(CH184-N(CG184)&gt;0.05,N(AE184)&gt;0),ROUNDDOWN(ROUND(CH184,6),0)&amp;"%"&amp;IF(CX184="",""," / "&amp;CX184&amp;"%"),IF(AND(N(CG184)&gt;=99.95,CX184&lt;&gt;"",N(CX184)&lt;100),"Pend. "&amp;CX184&amp;"%",""))))</f>
        <v/>
      </c>
      <c r="BB184" s="40" t="str">
        <f aca="false">IF(OR(OR(NOT(AND(ISNUMBER(E184),ISNUMBER(F184))),$J$2=""),16&gt;MAX(1,Reprogramaciones!$U$15)),"",IF(Reprogramaciones!Z$12&gt;=7,"",IF(OR(CI184-N(CH184)&gt;0.05,N(AF184)&gt;0),ROUNDDOWN(ROUND(CI184,6),0)&amp;"%"&amp;IF(CY184="",""," / "&amp;CY184&amp;"%"),IF(AND(N(CH184)&gt;=99.95,CY184&lt;&gt;"",N(CY184)&lt;100),"Pend. "&amp;CY184&amp;"%",""))))</f>
        <v/>
      </c>
      <c r="BC184" s="31" t="n">
        <f aca="false">IF(AND(ISNUMBER(E184),ISNUMBER(F184)),MAX(1,NETWORKDAYS.INTL(E184,F184,11)),0)</f>
        <v>0</v>
      </c>
      <c r="BD184" s="1" t="str">
        <f aca="false">IF(OR(NOT(AND(ISNUMBER(E184),ISNUMBER(F184))),$J$2=""),"",MIN(100,ROUND(SUM($G184:G184),1)))</f>
        <v/>
      </c>
      <c r="BE184" s="1" t="str">
        <f aca="false">IF(OR(NOT(AND(ISNUMBER(E184),ISNUMBER(F184))),$J$2=""),"",MIN(100,ROUND(SUM($G184:H184),1)))</f>
        <v/>
      </c>
      <c r="BF184" s="1" t="str">
        <f aca="false">IF(OR(NOT(AND(ISNUMBER(E184),ISNUMBER(F184))),$J$2=""),"",MIN(100,ROUND(SUM($G184:I184),1)))</f>
        <v/>
      </c>
      <c r="BG184" s="1" t="str">
        <f aca="false">IF(OR(NOT(AND(ISNUMBER(E184),ISNUMBER(F184))),$J$2=""),"",MIN(100,ROUND(SUM($G184:J184),1)))</f>
        <v/>
      </c>
      <c r="BH184" s="1" t="str">
        <f aca="false">IF(OR(NOT(AND(ISNUMBER(E184),ISNUMBER(F184))),$J$2=""),"",MIN(100,ROUND(SUM($G184:K184),1)))</f>
        <v/>
      </c>
      <c r="BI184" s="1" t="str">
        <f aca="false">IF(OR(NOT(AND(ISNUMBER(E184),ISNUMBER(F184))),$J$2=""),"",MIN(100,ROUND(SUM($G184:L184),1)))</f>
        <v/>
      </c>
      <c r="BJ184" s="1" t="str">
        <f aca="false">IF(OR(NOT(AND(ISNUMBER(E184),ISNUMBER(F184))),$J$2=""),"",MIN(100,ROUND(SUM($G184:M184),1)))</f>
        <v/>
      </c>
      <c r="BK184" s="1" t="str">
        <f aca="false">IF(OR(NOT(AND(ISNUMBER(E184),ISNUMBER(F184))),$J$2=""),"",MIN(100,ROUND(SUM($G184:N184),1)))</f>
        <v/>
      </c>
      <c r="BL184" s="1" t="str">
        <f aca="false">IF(OR(NOT(AND(ISNUMBER(E184),ISNUMBER(F184))),$J$2=""),"",MIN(100,ROUND(SUM($G184:O184),1)))</f>
        <v/>
      </c>
      <c r="BM184" s="1" t="str">
        <f aca="false">IF(OR(NOT(AND(ISNUMBER(E184),ISNUMBER(F184))),$J$2=""),"",MIN(100,ROUND(SUM($G184:P184),1)))</f>
        <v/>
      </c>
      <c r="BN184" s="1" t="str">
        <f aca="false">IF(OR(NOT(AND(ISNUMBER(E184),ISNUMBER(F184))),$J$2=""),"",MIN(100,ROUND(SUM($G184:P184),1)))</f>
        <v/>
      </c>
      <c r="BO184" s="1" t="str">
        <f aca="false">IF(OR(NOT(AND(ISNUMBER(E184),ISNUMBER(F184))),$J$2=""),"",MIN(100,ROUND(SUM($G184:P184),1)))</f>
        <v/>
      </c>
      <c r="BP184" s="1" t="str">
        <f aca="false">IF(OR(NOT(AND(ISNUMBER(E184),ISNUMBER(F184))),$J$2=""),"",MIN(100,ROUND(SUM($G184:P184),1)))</f>
        <v/>
      </c>
      <c r="BQ184" s="1" t="str">
        <f aca="false">IF(OR(NOT(AND(ISNUMBER(E184),ISNUMBER(F184))),$J$2=""),"",MIN(100,ROUND(SUM($G184:P184),1)))</f>
        <v/>
      </c>
      <c r="BR184" s="1" t="str">
        <f aca="false">IF(OR(NOT(AND(ISNUMBER(E184),ISNUMBER(F184))),$J$2=""),"",MIN(100,ROUND(SUM($G184:P184),1)))</f>
        <v/>
      </c>
      <c r="BS184" s="1" t="str">
        <f aca="false">IF(OR(NOT(AND(ISNUMBER(E184),ISNUMBER(F184))),$J$2=""),"",MIN(100,ROUND(SUM($G184:P184),1)))</f>
        <v/>
      </c>
      <c r="BT184" s="1" t="str">
        <f aca="false">IF(OR(NOT(AND(ISNUMBER(E184),ISNUMBER(F184))),$J$2=""),"",IF(Reprogramaciones!K$13&lt;Reprogramaciones!$T$15,0,IF(Reprogramaciones!K$14&gt;10,MIN(100,SUM($G184:$P184)),MIN(100,SUMPRODUCT((COLUMN($G184:$P184)-COLUMN($G184)+1&lt;Reprogramaciones!K$14)*$G184:$P184)+N(INDEX($G184:$P184,1,Reprogramaciones!K$14))*IF(Reprogramaciones!K$13&gt;=(Reprogramaciones!$T$15+7*(Reprogramaciones!K$14-1))+6,1,IF(MAX(0,NETWORKDAYS.INTL(MAX(E184,(Reprogramaciones!$T$15+7*(Reprogramaciones!K$14-1))),MIN(F184,(Reprogramaciones!$T$15+7*(Reprogramaciones!K$14-1))+6),11))=0,0,MAX(0,NETWORKDAYS.INTL(MAX(E184,(Reprogramaciones!$T$15+7*(Reprogramaciones!K$14-1))),MIN(F184,Reprogramaciones!K$13),11))/MAX(0,NETWORKDAYS.INTL(MAX(E184,(Reprogramaciones!$T$15+7*(Reprogramaciones!K$14-1))),MIN(F184,(Reprogramaciones!$T$15+7*(Reprogramaciones!K$14-1))+6),11))))))))</f>
        <v/>
      </c>
      <c r="BU184" s="1" t="str">
        <f aca="false">IF(OR(NOT(AND(ISNUMBER(E184),ISNUMBER(F184))),$J$2=""),"",IF(Reprogramaciones!L$13&lt;Reprogramaciones!$T$15,0,IF(Reprogramaciones!L$14&gt;10,MIN(100,SUM($G184:$P184)),MIN(100,SUMPRODUCT((COLUMN($G184:$P184)-COLUMN($G184)+1&lt;Reprogramaciones!L$14)*$G184:$P184)+N(INDEX($G184:$P184,1,Reprogramaciones!L$14))*IF(Reprogramaciones!L$13&gt;=(Reprogramaciones!$T$15+7*(Reprogramaciones!L$14-1))+6,1,IF(MAX(0,NETWORKDAYS.INTL(MAX(E184,(Reprogramaciones!$T$15+7*(Reprogramaciones!L$14-1))),MIN(F184,(Reprogramaciones!$T$15+7*(Reprogramaciones!L$14-1))+6),11))=0,0,MAX(0,NETWORKDAYS.INTL(MAX(E184,(Reprogramaciones!$T$15+7*(Reprogramaciones!L$14-1))),MIN(F184,Reprogramaciones!L$13),11))/MAX(0,NETWORKDAYS.INTL(MAX(E184,(Reprogramaciones!$T$15+7*(Reprogramaciones!L$14-1))),MIN(F184,(Reprogramaciones!$T$15+7*(Reprogramaciones!L$14-1))+6),11))))))))</f>
        <v/>
      </c>
      <c r="BV184" s="1" t="str">
        <f aca="false">IF(OR(NOT(AND(ISNUMBER(E184),ISNUMBER(F184))),$J$2=""),"",IF(Reprogramaciones!M$13&lt;Reprogramaciones!$T$15,0,IF(Reprogramaciones!M$14&gt;10,MIN(100,SUM($G184:$P184)),MIN(100,SUMPRODUCT((COLUMN($G184:$P184)-COLUMN($G184)+1&lt;Reprogramaciones!M$14)*$G184:$P184)+N(INDEX($G184:$P184,1,Reprogramaciones!M$14))*IF(Reprogramaciones!M$13&gt;=(Reprogramaciones!$T$15+7*(Reprogramaciones!M$14-1))+6,1,IF(MAX(0,NETWORKDAYS.INTL(MAX(E184,(Reprogramaciones!$T$15+7*(Reprogramaciones!M$14-1))),MIN(F184,(Reprogramaciones!$T$15+7*(Reprogramaciones!M$14-1))+6),11))=0,0,MAX(0,NETWORKDAYS.INTL(MAX(E184,(Reprogramaciones!$T$15+7*(Reprogramaciones!M$14-1))),MIN(F184,Reprogramaciones!M$13),11))/MAX(0,NETWORKDAYS.INTL(MAX(E184,(Reprogramaciones!$T$15+7*(Reprogramaciones!M$14-1))),MIN(F184,(Reprogramaciones!$T$15+7*(Reprogramaciones!M$14-1))+6),11))))))))</f>
        <v/>
      </c>
      <c r="BW184" s="1" t="str">
        <f aca="false">IF(OR(NOT(AND(ISNUMBER(E184),ISNUMBER(F184))),$J$2=""),"",IF(Reprogramaciones!N$13&lt;Reprogramaciones!$T$15,0,IF(Reprogramaciones!N$14&gt;10,MIN(100,SUM($G184:$P184)),MIN(100,SUMPRODUCT((COLUMN($G184:$P184)-COLUMN($G184)+1&lt;Reprogramaciones!N$14)*$G184:$P184)+N(INDEX($G184:$P184,1,Reprogramaciones!N$14))*IF(Reprogramaciones!N$13&gt;=(Reprogramaciones!$T$15+7*(Reprogramaciones!N$14-1))+6,1,IF(MAX(0,NETWORKDAYS.INTL(MAX(E184,(Reprogramaciones!$T$15+7*(Reprogramaciones!N$14-1))),MIN(F184,(Reprogramaciones!$T$15+7*(Reprogramaciones!N$14-1))+6),11))=0,0,MAX(0,NETWORKDAYS.INTL(MAX(E184,(Reprogramaciones!$T$15+7*(Reprogramaciones!N$14-1))),MIN(F184,Reprogramaciones!N$13),11))/MAX(0,NETWORKDAYS.INTL(MAX(E184,(Reprogramaciones!$T$15+7*(Reprogramaciones!N$14-1))),MIN(F184,(Reprogramaciones!$T$15+7*(Reprogramaciones!N$14-1))+6),11))))))))</f>
        <v/>
      </c>
      <c r="BX184" s="1" t="str">
        <f aca="false">IF(OR(NOT(AND(ISNUMBER(E184),ISNUMBER(F184))),$J$2=""),"",IF(Reprogramaciones!O$13&lt;Reprogramaciones!$T$15,0,IF(Reprogramaciones!O$14&gt;10,MIN(100,SUM($G184:$P184)),MIN(100,SUMPRODUCT((COLUMN($G184:$P184)-COLUMN($G184)+1&lt;Reprogramaciones!O$14)*$G184:$P184)+N(INDEX($G184:$P184,1,Reprogramaciones!O$14))*IF(Reprogramaciones!O$13&gt;=(Reprogramaciones!$T$15+7*(Reprogramaciones!O$14-1))+6,1,IF(MAX(0,NETWORKDAYS.INTL(MAX(E184,(Reprogramaciones!$T$15+7*(Reprogramaciones!O$14-1))),MIN(F184,(Reprogramaciones!$T$15+7*(Reprogramaciones!O$14-1))+6),11))=0,0,MAX(0,NETWORKDAYS.INTL(MAX(E184,(Reprogramaciones!$T$15+7*(Reprogramaciones!O$14-1))),MIN(F184,Reprogramaciones!O$13),11))/MAX(0,NETWORKDAYS.INTL(MAX(E184,(Reprogramaciones!$T$15+7*(Reprogramaciones!O$14-1))),MIN(F184,(Reprogramaciones!$T$15+7*(Reprogramaciones!O$14-1))+6),11))))))))</f>
        <v/>
      </c>
      <c r="BY184" s="1" t="str">
        <f aca="false">IF(OR(NOT(AND(ISNUMBER(E184),ISNUMBER(F184))),$J$2=""),"",IF(Reprogramaciones!P$13&lt;Reprogramaciones!$T$15,0,IF(Reprogramaciones!P$14&gt;10,MIN(100,SUM($G184:$P184)),MIN(100,SUMPRODUCT((COLUMN($G184:$P184)-COLUMN($G184)+1&lt;Reprogramaciones!P$14)*$G184:$P184)+N(INDEX($G184:$P184,1,Reprogramaciones!P$14))*IF(Reprogramaciones!P$13&gt;=(Reprogramaciones!$T$15+7*(Reprogramaciones!P$14-1))+6,1,IF(MAX(0,NETWORKDAYS.INTL(MAX(E184,(Reprogramaciones!$T$15+7*(Reprogramaciones!P$14-1))),MIN(F184,(Reprogramaciones!$T$15+7*(Reprogramaciones!P$14-1))+6),11))=0,0,MAX(0,NETWORKDAYS.INTL(MAX(E184,(Reprogramaciones!$T$15+7*(Reprogramaciones!P$14-1))),MIN(F184,Reprogramaciones!P$13),11))/MAX(0,NETWORKDAYS.INTL(MAX(E184,(Reprogramaciones!$T$15+7*(Reprogramaciones!P$14-1))),MIN(F184,(Reprogramaciones!$T$15+7*(Reprogramaciones!P$14-1))+6),11))))))))</f>
        <v/>
      </c>
      <c r="BZ184" s="1" t="str">
        <f aca="false">IF(OR(NOT(AND(ISNUMBER(E184),ISNUMBER(F184))),$J$2=""),"",IF(Reprogramaciones!Q$13&lt;Reprogramaciones!$T$15,0,IF(Reprogramaciones!Q$14&gt;10,MIN(100,SUM($G184:$P184)),MIN(100,SUMPRODUCT((COLUMN($G184:$P184)-COLUMN($G184)+1&lt;Reprogramaciones!Q$14)*$G184:$P184)+N(INDEX($G184:$P184,1,Reprogramaciones!Q$14))*IF(Reprogramaciones!Q$13&gt;=(Reprogramaciones!$T$15+7*(Reprogramaciones!Q$14-1))+6,1,IF(MAX(0,NETWORKDAYS.INTL(MAX(E184,(Reprogramaciones!$T$15+7*(Reprogramaciones!Q$14-1))),MIN(F184,(Reprogramaciones!$T$15+7*(Reprogramaciones!Q$14-1))+6),11))=0,0,MAX(0,NETWORKDAYS.INTL(MAX(E184,(Reprogramaciones!$T$15+7*(Reprogramaciones!Q$14-1))),MIN(F184,Reprogramaciones!Q$13),11))/MAX(0,NETWORKDAYS.INTL(MAX(E184,(Reprogramaciones!$T$15+7*(Reprogramaciones!Q$14-1))),MIN(F184,(Reprogramaciones!$T$15+7*(Reprogramaciones!Q$14-1))+6),11))))))))</f>
        <v/>
      </c>
      <c r="CA184" s="1" t="str">
        <f aca="false">IF(OR(NOT(AND(ISNUMBER(E184),ISNUMBER(F184))),$J$2=""),"",IF(Reprogramaciones!R$13&lt;Reprogramaciones!$T$15,0,IF(Reprogramaciones!R$14&gt;10,MIN(100,SUM($G184:$P184)),MIN(100,SUMPRODUCT((COLUMN($G184:$P184)-COLUMN($G184)+1&lt;Reprogramaciones!R$14)*$G184:$P184)+N(INDEX($G184:$P184,1,Reprogramaciones!R$14))*IF(Reprogramaciones!R$13&gt;=(Reprogramaciones!$T$15+7*(Reprogramaciones!R$14-1))+6,1,IF(MAX(0,NETWORKDAYS.INTL(MAX(E184,(Reprogramaciones!$T$15+7*(Reprogramaciones!R$14-1))),MIN(F184,(Reprogramaciones!$T$15+7*(Reprogramaciones!R$14-1))+6),11))=0,0,MAX(0,NETWORKDAYS.INTL(MAX(E184,(Reprogramaciones!$T$15+7*(Reprogramaciones!R$14-1))),MIN(F184,Reprogramaciones!R$13),11))/MAX(0,NETWORKDAYS.INTL(MAX(E184,(Reprogramaciones!$T$15+7*(Reprogramaciones!R$14-1))),MIN(F184,(Reprogramaciones!$T$15+7*(Reprogramaciones!R$14-1))+6),11))))))))</f>
        <v/>
      </c>
      <c r="CB184" s="1" t="str">
        <f aca="false">IF(OR(NOT(AND(ISNUMBER(E184),ISNUMBER(F184))),$J$2=""),"",IF(Reprogramaciones!S$13&lt;Reprogramaciones!$T$15,0,IF(Reprogramaciones!S$14&gt;10,MIN(100,SUM($G184:$P184)),MIN(100,SUMPRODUCT((COLUMN($G184:$P184)-COLUMN($G184)+1&lt;Reprogramaciones!S$14)*$G184:$P184)+N(INDEX($G184:$P184,1,Reprogramaciones!S$14))*IF(Reprogramaciones!S$13&gt;=(Reprogramaciones!$T$15+7*(Reprogramaciones!S$14-1))+6,1,IF(MAX(0,NETWORKDAYS.INTL(MAX(E184,(Reprogramaciones!$T$15+7*(Reprogramaciones!S$14-1))),MIN(F184,(Reprogramaciones!$T$15+7*(Reprogramaciones!S$14-1))+6),11))=0,0,MAX(0,NETWORKDAYS.INTL(MAX(E184,(Reprogramaciones!$T$15+7*(Reprogramaciones!S$14-1))),MIN(F184,Reprogramaciones!S$13),11))/MAX(0,NETWORKDAYS.INTL(MAX(E184,(Reprogramaciones!$T$15+7*(Reprogramaciones!S$14-1))),MIN(F184,(Reprogramaciones!$T$15+7*(Reprogramaciones!S$14-1))+6),11))))))))</f>
        <v/>
      </c>
      <c r="CC184" s="1" t="str">
        <f aca="false">IF(OR(NOT(AND(ISNUMBER(E184),ISNUMBER(F184))),$J$2=""),"",IF(Reprogramaciones!T$13&lt;Reprogramaciones!$T$15,0,IF(Reprogramaciones!T$14&gt;10,MIN(100,SUM($G184:$P184)),MIN(100,SUMPRODUCT((COLUMN($G184:$P184)-COLUMN($G184)+1&lt;Reprogramaciones!T$14)*$G184:$P184)+N(INDEX($G184:$P184,1,Reprogramaciones!T$14))*IF(Reprogramaciones!T$13&gt;=(Reprogramaciones!$T$15+7*(Reprogramaciones!T$14-1))+6,1,IF(MAX(0,NETWORKDAYS.INTL(MAX(E184,(Reprogramaciones!$T$15+7*(Reprogramaciones!T$14-1))),MIN(F184,(Reprogramaciones!$T$15+7*(Reprogramaciones!T$14-1))+6),11))=0,0,MAX(0,NETWORKDAYS.INTL(MAX(E184,(Reprogramaciones!$T$15+7*(Reprogramaciones!T$14-1))),MIN(F184,Reprogramaciones!T$13),11))/MAX(0,NETWORKDAYS.INTL(MAX(E184,(Reprogramaciones!$T$15+7*(Reprogramaciones!T$14-1))),MIN(F184,(Reprogramaciones!$T$15+7*(Reprogramaciones!T$14-1))+6),11))))))))</f>
        <v/>
      </c>
      <c r="CD184" s="1" t="str">
        <f aca="false">IF(OR(NOT(AND(ISNUMBER(E184),ISNUMBER(F184))),$J$2=""),"",IF(Reprogramaciones!U$13&lt;Reprogramaciones!$T$15,0,IF(Reprogramaciones!U$14&gt;10,MIN(100,SUM($G184:$P184)),MIN(100,SUMPRODUCT((COLUMN($G184:$P184)-COLUMN($G184)+1&lt;Reprogramaciones!U$14)*$G184:$P184)+N(INDEX($G184:$P184,1,Reprogramaciones!U$14))*IF(Reprogramaciones!U$13&gt;=(Reprogramaciones!$T$15+7*(Reprogramaciones!U$14-1))+6,1,IF(MAX(0,NETWORKDAYS.INTL(MAX(E184,(Reprogramaciones!$T$15+7*(Reprogramaciones!U$14-1))),MIN(F184,(Reprogramaciones!$T$15+7*(Reprogramaciones!U$14-1))+6),11))=0,0,MAX(0,NETWORKDAYS.INTL(MAX(E184,(Reprogramaciones!$T$15+7*(Reprogramaciones!U$14-1))),MIN(F184,Reprogramaciones!U$13),11))/MAX(0,NETWORKDAYS.INTL(MAX(E184,(Reprogramaciones!$T$15+7*(Reprogramaciones!U$14-1))),MIN(F184,(Reprogramaciones!$T$15+7*(Reprogramaciones!U$14-1))+6),11))))))))</f>
        <v/>
      </c>
      <c r="CE184" s="1" t="str">
        <f aca="false">IF(OR(NOT(AND(ISNUMBER(E184),ISNUMBER(F184))),$J$2=""),"",IF(Reprogramaciones!V$13&lt;Reprogramaciones!$T$15,0,IF(Reprogramaciones!V$14&gt;10,MIN(100,SUM($G184:$P184)),MIN(100,SUMPRODUCT((COLUMN($G184:$P184)-COLUMN($G184)+1&lt;Reprogramaciones!V$14)*$G184:$P184)+N(INDEX($G184:$P184,1,Reprogramaciones!V$14))*IF(Reprogramaciones!V$13&gt;=(Reprogramaciones!$T$15+7*(Reprogramaciones!V$14-1))+6,1,IF(MAX(0,NETWORKDAYS.INTL(MAX(E184,(Reprogramaciones!$T$15+7*(Reprogramaciones!V$14-1))),MIN(F184,(Reprogramaciones!$T$15+7*(Reprogramaciones!V$14-1))+6),11))=0,0,MAX(0,NETWORKDAYS.INTL(MAX(E184,(Reprogramaciones!$T$15+7*(Reprogramaciones!V$14-1))),MIN(F184,Reprogramaciones!V$13),11))/MAX(0,NETWORKDAYS.INTL(MAX(E184,(Reprogramaciones!$T$15+7*(Reprogramaciones!V$14-1))),MIN(F184,(Reprogramaciones!$T$15+7*(Reprogramaciones!V$14-1))+6),11))))))))</f>
        <v/>
      </c>
      <c r="CF184" s="1" t="str">
        <f aca="false">IF(OR(NOT(AND(ISNUMBER(E184),ISNUMBER(F184))),$J$2=""),"",IF(Reprogramaciones!W$13&lt;Reprogramaciones!$T$15,0,IF(Reprogramaciones!W$14&gt;10,MIN(100,SUM($G184:$P184)),MIN(100,SUMPRODUCT((COLUMN($G184:$P184)-COLUMN($G184)+1&lt;Reprogramaciones!W$14)*$G184:$P184)+N(INDEX($G184:$P184,1,Reprogramaciones!W$14))*IF(Reprogramaciones!W$13&gt;=(Reprogramaciones!$T$15+7*(Reprogramaciones!W$14-1))+6,1,IF(MAX(0,NETWORKDAYS.INTL(MAX(E184,(Reprogramaciones!$T$15+7*(Reprogramaciones!W$14-1))),MIN(F184,(Reprogramaciones!$T$15+7*(Reprogramaciones!W$14-1))+6),11))=0,0,MAX(0,NETWORKDAYS.INTL(MAX(E184,(Reprogramaciones!$T$15+7*(Reprogramaciones!W$14-1))),MIN(F184,Reprogramaciones!W$13),11))/MAX(0,NETWORKDAYS.INTL(MAX(E184,(Reprogramaciones!$T$15+7*(Reprogramaciones!W$14-1))),MIN(F184,(Reprogramaciones!$T$15+7*(Reprogramaciones!W$14-1))+6),11))))))))</f>
        <v/>
      </c>
      <c r="CG184" s="1" t="str">
        <f aca="false">IF(OR(NOT(AND(ISNUMBER(E184),ISNUMBER(F184))),$J$2=""),"",IF(Reprogramaciones!X$13&lt;Reprogramaciones!$T$15,0,IF(Reprogramaciones!X$14&gt;10,MIN(100,SUM($G184:$P184)),MIN(100,SUMPRODUCT((COLUMN($G184:$P184)-COLUMN($G184)+1&lt;Reprogramaciones!X$14)*$G184:$P184)+N(INDEX($G184:$P184,1,Reprogramaciones!X$14))*IF(Reprogramaciones!X$13&gt;=(Reprogramaciones!$T$15+7*(Reprogramaciones!X$14-1))+6,1,IF(MAX(0,NETWORKDAYS.INTL(MAX(E184,(Reprogramaciones!$T$15+7*(Reprogramaciones!X$14-1))),MIN(F184,(Reprogramaciones!$T$15+7*(Reprogramaciones!X$14-1))+6),11))=0,0,MAX(0,NETWORKDAYS.INTL(MAX(E184,(Reprogramaciones!$T$15+7*(Reprogramaciones!X$14-1))),MIN(F184,Reprogramaciones!X$13),11))/MAX(0,NETWORKDAYS.INTL(MAX(E184,(Reprogramaciones!$T$15+7*(Reprogramaciones!X$14-1))),MIN(F184,(Reprogramaciones!$T$15+7*(Reprogramaciones!X$14-1))+6),11))))))))</f>
        <v/>
      </c>
      <c r="CH184" s="1" t="str">
        <f aca="false">IF(OR(NOT(AND(ISNUMBER(E184),ISNUMBER(F184))),$J$2=""),"",IF(Reprogramaciones!Y$13&lt;Reprogramaciones!$T$15,0,IF(Reprogramaciones!Y$14&gt;10,MIN(100,SUM($G184:$P184)),MIN(100,SUMPRODUCT((COLUMN($G184:$P184)-COLUMN($G184)+1&lt;Reprogramaciones!Y$14)*$G184:$P184)+N(INDEX($G184:$P184,1,Reprogramaciones!Y$14))*IF(Reprogramaciones!Y$13&gt;=(Reprogramaciones!$T$15+7*(Reprogramaciones!Y$14-1))+6,1,IF(MAX(0,NETWORKDAYS.INTL(MAX(E184,(Reprogramaciones!$T$15+7*(Reprogramaciones!Y$14-1))),MIN(F184,(Reprogramaciones!$T$15+7*(Reprogramaciones!Y$14-1))+6),11))=0,0,MAX(0,NETWORKDAYS.INTL(MAX(E184,(Reprogramaciones!$T$15+7*(Reprogramaciones!Y$14-1))),MIN(F184,Reprogramaciones!Y$13),11))/MAX(0,NETWORKDAYS.INTL(MAX(E184,(Reprogramaciones!$T$15+7*(Reprogramaciones!Y$14-1))),MIN(F184,(Reprogramaciones!$T$15+7*(Reprogramaciones!Y$14-1))+6),11))))))))</f>
        <v/>
      </c>
      <c r="CI184" s="1" t="str">
        <f aca="false">IF(OR(NOT(AND(ISNUMBER(E184),ISNUMBER(F184))),$J$2=""),"",IF(Reprogramaciones!Z$13&lt;Reprogramaciones!$T$15,0,IF(Reprogramaciones!Z$14&gt;10,MIN(100,SUM($G184:$P184)),MIN(100,SUMPRODUCT((COLUMN($G184:$P184)-COLUMN($G184)+1&lt;Reprogramaciones!Z$14)*$G184:$P184)+N(INDEX($G184:$P184,1,Reprogramaciones!Z$14))*IF(Reprogramaciones!Z$13&gt;=(Reprogramaciones!$T$15+7*(Reprogramaciones!Z$14-1))+6,1,IF(MAX(0,NETWORKDAYS.INTL(MAX(E184,(Reprogramaciones!$T$15+7*(Reprogramaciones!Z$14-1))),MIN(F184,(Reprogramaciones!$T$15+7*(Reprogramaciones!Z$14-1))+6),11))=0,0,MAX(0,NETWORKDAYS.INTL(MAX(E184,(Reprogramaciones!$T$15+7*(Reprogramaciones!Z$14-1))),MIN(F184,Reprogramaciones!Z$13),11))/MAX(0,NETWORKDAYS.INTL(MAX(E184,(Reprogramaciones!$T$15+7*(Reprogramaciones!Z$14-1))),MIN(F184,(Reprogramaciones!$T$15+7*(Reprogramaciones!Z$14-1))+6),11))))))))</f>
        <v/>
      </c>
      <c r="CJ184" s="1" t="str">
        <f aca="false">IF(OR(OR(NOT(AND(ISNUMBER(E184),ISNUMBER(F184))),$J$2=""),1&gt;Reprogramaciones!$K$16),"",IF(ROUND(SUM($Q184:Q184),1)&gt;=99.5,100,MIN(100,ROUND(SUM($Q184:Q184),1))))</f>
        <v/>
      </c>
      <c r="CK184" s="1" t="str">
        <f aca="false">IF(OR(OR(NOT(AND(ISNUMBER(E184),ISNUMBER(F184))),$J$2=""),2&gt;Reprogramaciones!$K$16),"",IF(ROUND(SUM($Q184:R184),1)&gt;=99.5,100,MIN(100,ROUND(SUM($Q184:R184),1))))</f>
        <v/>
      </c>
      <c r="CL184" s="1" t="str">
        <f aca="false">IF(OR(OR(NOT(AND(ISNUMBER(E184),ISNUMBER(F184))),$J$2=""),3&gt;Reprogramaciones!$K$16),"",IF(ROUND(SUM($Q184:S184),1)&gt;=99.5,100,MIN(100,ROUND(SUM($Q184:S184),1))))</f>
        <v/>
      </c>
      <c r="CM184" s="1" t="str">
        <f aca="false">IF(OR(OR(NOT(AND(ISNUMBER(E184),ISNUMBER(F184))),$J$2=""),4&gt;Reprogramaciones!$K$16),"",IF(ROUND(SUM($Q184:T184),1)&gt;=99.5,100,MIN(100,ROUND(SUM($Q184:T184),1))))</f>
        <v/>
      </c>
      <c r="CN184" s="1" t="str">
        <f aca="false">IF(OR(OR(NOT(AND(ISNUMBER(E184),ISNUMBER(F184))),$J$2=""),5&gt;Reprogramaciones!$K$16),"",IF(ROUND(SUM($Q184:U184),1)&gt;=99.5,100,MIN(100,ROUND(SUM($Q184:U184),1))))</f>
        <v/>
      </c>
      <c r="CO184" s="1" t="str">
        <f aca="false">IF(OR(OR(NOT(AND(ISNUMBER(E184),ISNUMBER(F184))),$J$2=""),6&gt;Reprogramaciones!$K$16),"",IF(ROUND(SUM($Q184:V184),1)&gt;=99.5,100,MIN(100,ROUND(SUM($Q184:V184),1))))</f>
        <v/>
      </c>
      <c r="CP184" s="1" t="str">
        <f aca="false">IF(OR(OR(NOT(AND(ISNUMBER(E184),ISNUMBER(F184))),$J$2=""),7&gt;Reprogramaciones!$K$16),"",IF(ROUND(SUM($Q184:W184),1)&gt;=99.5,100,MIN(100,ROUND(SUM($Q184:W184),1))))</f>
        <v/>
      </c>
      <c r="CQ184" s="1" t="str">
        <f aca="false">IF(OR(OR(NOT(AND(ISNUMBER(E184),ISNUMBER(F184))),$J$2=""),8&gt;Reprogramaciones!$K$16),"",IF(ROUND(SUM($Q184:X184),1)&gt;=99.5,100,MIN(100,ROUND(SUM($Q184:X184),1))))</f>
        <v/>
      </c>
      <c r="CR184" s="1" t="str">
        <f aca="false">IF(OR(OR(NOT(AND(ISNUMBER(E184),ISNUMBER(F184))),$J$2=""),9&gt;Reprogramaciones!$K$16),"",IF(ROUND(SUM($Q184:Y184),1)&gt;=99.5,100,MIN(100,ROUND(SUM($Q184:Y184),1))))</f>
        <v/>
      </c>
      <c r="CS184" s="1" t="str">
        <f aca="false">IF(OR(OR(NOT(AND(ISNUMBER(E184),ISNUMBER(F184))),$J$2=""),10&gt;Reprogramaciones!$K$16),"",IF(ROUND(SUM($Q184:Z184),1)&gt;=99.5,100,MIN(100,ROUND(SUM($Q184:Z184),1))))</f>
        <v/>
      </c>
      <c r="CT184" s="1" t="str">
        <f aca="false">IF(OR(OR(NOT(AND(ISNUMBER(E184),ISNUMBER(F184))),$J$2=""),11&gt;Reprogramaciones!$K$16),"",IF(ROUND(SUM($Q184:AA184),1)&gt;=99.5,100,MIN(100,ROUND(SUM($Q184:AA184),1))))</f>
        <v/>
      </c>
      <c r="CU184" s="1" t="str">
        <f aca="false">IF(OR(OR(NOT(AND(ISNUMBER(E184),ISNUMBER(F184))),$J$2=""),12&gt;Reprogramaciones!$K$16),"",IF(ROUND(SUM($Q184:AB184),1)&gt;=99.5,100,MIN(100,ROUND(SUM($Q184:AB184),1))))</f>
        <v/>
      </c>
      <c r="CV184" s="1" t="str">
        <f aca="false">IF(OR(OR(NOT(AND(ISNUMBER(E184),ISNUMBER(F184))),$J$2=""),13&gt;Reprogramaciones!$K$16),"",IF(ROUND(SUM($Q184:AC184),1)&gt;=99.5,100,MIN(100,ROUND(SUM($Q184:AC184),1))))</f>
        <v/>
      </c>
      <c r="CW184" s="1" t="str">
        <f aca="false">IF(OR(OR(NOT(AND(ISNUMBER(E184),ISNUMBER(F184))),$J$2=""),14&gt;Reprogramaciones!$K$16),"",IF(ROUND(SUM($Q184:AD184),1)&gt;=99.5,100,MIN(100,ROUND(SUM($Q184:AD184),1))))</f>
        <v/>
      </c>
      <c r="CX184" s="1" t="str">
        <f aca="false">IF(OR(OR(NOT(AND(ISNUMBER(E184),ISNUMBER(F184))),$J$2=""),15&gt;Reprogramaciones!$K$16),"",IF(ROUND(SUM($Q184:AE184),1)&gt;=99.5,100,MIN(100,ROUND(SUM($Q184:AE184),1))))</f>
        <v/>
      </c>
      <c r="CY184" s="1" t="str">
        <f aca="false">IF(OR(OR(NOT(AND(ISNUMBER(E184),ISNUMBER(F184))),$J$2=""),16&gt;Reprogramaciones!$K$16),"",IF(ROUND(SUM($Q184:AF184),1)&gt;=99.5,100,MIN(100,ROUND(SUM($Q184:AF184),1))))</f>
        <v/>
      </c>
      <c r="CZ184" s="1" t="str">
        <f aca="false">IF(D184&lt;&gt;"",D184,IF(B184&lt;&gt;"","Contractual",CZ183))</f>
        <v>Contractual</v>
      </c>
      <c r="DA184" s="1" t="str">
        <f aca="false">IF(OR(NOT(AND(ISNUMBER(E184),ISNUMBER(F184))),$J$2=""),"",IF(Reprogramaciones!$Q$15&lt;Reprogramaciones!$T$15,0,IF(Reprogramaciones!$S$15&gt;10,MIN(100,SUM($G184:$P184)),MIN(100,SUMPRODUCT((COLUMN($G184:$P184)-COLUMN($G184)+1&lt;Reprogramaciones!$S$15)*$G184:$P184)+N(INDEX($G184:$P184,1,Reprogramaciones!$S$15))*IF(Reprogramaciones!$Q$15&gt;=(Reprogramaciones!$T$15+7*(Reprogramaciones!$S$15-1))+6,1,IF(MAX(0,NETWORKDAYS.INTL(MAX(E184,(Reprogramaciones!$T$15+7*(Reprogramaciones!$S$15-1))),MIN(F184,(Reprogramaciones!$T$15+7*(Reprogramaciones!$S$15-1))+6),11))=0,0,MAX(0,NETWORKDAYS.INTL(MAX(E184,(Reprogramaciones!$T$15+7*(Reprogramaciones!$S$15-1))),MIN(F184,Reprogramaciones!$Q$15),11))/MAX(0,NETWORKDAYS.INTL(MAX(E184,(Reprogramaciones!$T$15+7*(Reprogramaciones!$S$15-1))),MIN(F184,(Reprogramaciones!$T$15+7*(Reprogramaciones!$S$15-1))+6),11))))))))</f>
        <v/>
      </c>
    </row>
    <row r="185" customFormat="false" ht="15" hidden="false" customHeight="false" outlineLevel="0" collapsed="false">
      <c r="A185" s="32"/>
      <c r="B185" s="33"/>
      <c r="C185" s="33"/>
      <c r="D185" s="34"/>
      <c r="E185" s="35"/>
      <c r="F185" s="35"/>
      <c r="G185" s="36" t="str">
        <f aca="false">IF(OR(NOT(AND(ISNUMBER(E185),ISNUMBER(F185))),$J$2=""),"",IF(Reprogramaciones!K$9&lt;E185,0,IF(NETWORKDAYS.INTL(E185,F185,11)=0,IF(Reprogramaciones!K$9&gt;=F185,100,0),ROUND(NETWORKDAYS.INTL(E185,MIN(F185,Reprogramaciones!K$9),11)/NETWORKDAYS.INTL(E185,F185,11)*100,1)))-0)</f>
        <v/>
      </c>
      <c r="H185" s="36" t="str">
        <f aca="false">IF(OR(NOT(AND(ISNUMBER(E185),ISNUMBER(F185))),$J$2=""),"",IF(Reprogramaciones!L$9&lt;E185,0,IF(NETWORKDAYS.INTL(E185,F185,11)=0,IF(Reprogramaciones!L$9&gt;=F185,100,0),ROUND(NETWORKDAYS.INTL(E185,MIN(F185,Reprogramaciones!L$9),11)/NETWORKDAYS.INTL(E185,F185,11)*100,1)))-IF(Reprogramaciones!K$9&lt;E185,0,IF(NETWORKDAYS.INTL(E185,F185,11)=0,IF(Reprogramaciones!K$9&gt;=F185,100,0),ROUND(NETWORKDAYS.INTL(E185,MIN(F185,Reprogramaciones!K$9),11)/NETWORKDAYS.INTL(E185,F185,11)*100,1))))</f>
        <v/>
      </c>
      <c r="I185" s="36" t="str">
        <f aca="false">IF(OR(NOT(AND(ISNUMBER(E185),ISNUMBER(F185))),$J$2=""),"",IF(Reprogramaciones!M$9&lt;E185,0,IF(NETWORKDAYS.INTL(E185,F185,11)=0,IF(Reprogramaciones!M$9&gt;=F185,100,0),ROUND(NETWORKDAYS.INTL(E185,MIN(F185,Reprogramaciones!M$9),11)/NETWORKDAYS.INTL(E185,F185,11)*100,1)))-IF(Reprogramaciones!L$9&lt;E185,0,IF(NETWORKDAYS.INTL(E185,F185,11)=0,IF(Reprogramaciones!L$9&gt;=F185,100,0),ROUND(NETWORKDAYS.INTL(E185,MIN(F185,Reprogramaciones!L$9),11)/NETWORKDAYS.INTL(E185,F185,11)*100,1))))</f>
        <v/>
      </c>
      <c r="J185" s="36" t="str">
        <f aca="false">IF(OR(NOT(AND(ISNUMBER(E185),ISNUMBER(F185))),$J$2=""),"",IF(Reprogramaciones!N$9&lt;E185,0,IF(NETWORKDAYS.INTL(E185,F185,11)=0,IF(Reprogramaciones!N$9&gt;=F185,100,0),ROUND(NETWORKDAYS.INTL(E185,MIN(F185,Reprogramaciones!N$9),11)/NETWORKDAYS.INTL(E185,F185,11)*100,1)))-IF(Reprogramaciones!M$9&lt;E185,0,IF(NETWORKDAYS.INTL(E185,F185,11)=0,IF(Reprogramaciones!M$9&gt;=F185,100,0),ROUND(NETWORKDAYS.INTL(E185,MIN(F185,Reprogramaciones!M$9),11)/NETWORKDAYS.INTL(E185,F185,11)*100,1))))</f>
        <v/>
      </c>
      <c r="K185" s="36" t="str">
        <f aca="false">IF(OR(NOT(AND(ISNUMBER(E185),ISNUMBER(F185))),$J$2=""),"",IF(Reprogramaciones!O$9&lt;E185,0,IF(NETWORKDAYS.INTL(E185,F185,11)=0,IF(Reprogramaciones!O$9&gt;=F185,100,0),ROUND(NETWORKDAYS.INTL(E185,MIN(F185,Reprogramaciones!O$9),11)/NETWORKDAYS.INTL(E185,F185,11)*100,1)))-IF(Reprogramaciones!N$9&lt;E185,0,IF(NETWORKDAYS.INTL(E185,F185,11)=0,IF(Reprogramaciones!N$9&gt;=F185,100,0),ROUND(NETWORKDAYS.INTL(E185,MIN(F185,Reprogramaciones!N$9),11)/NETWORKDAYS.INTL(E185,F185,11)*100,1))))</f>
        <v/>
      </c>
      <c r="L185" s="36" t="str">
        <f aca="false">IF(OR(NOT(AND(ISNUMBER(E185),ISNUMBER(F185))),$J$2=""),"",IF(Reprogramaciones!P$9&lt;E185,0,IF(NETWORKDAYS.INTL(E185,F185,11)=0,IF(Reprogramaciones!P$9&gt;=F185,100,0),ROUND(NETWORKDAYS.INTL(E185,MIN(F185,Reprogramaciones!P$9),11)/NETWORKDAYS.INTL(E185,F185,11)*100,1)))-IF(Reprogramaciones!O$9&lt;E185,0,IF(NETWORKDAYS.INTL(E185,F185,11)=0,IF(Reprogramaciones!O$9&gt;=F185,100,0),ROUND(NETWORKDAYS.INTL(E185,MIN(F185,Reprogramaciones!O$9),11)/NETWORKDAYS.INTL(E185,F185,11)*100,1))))</f>
        <v/>
      </c>
      <c r="M185" s="36" t="str">
        <f aca="false">IF(OR(NOT(AND(ISNUMBER(E185),ISNUMBER(F185))),$J$2=""),"",IF(Reprogramaciones!Q$9&lt;E185,0,IF(NETWORKDAYS.INTL(E185,F185,11)=0,IF(Reprogramaciones!Q$9&gt;=F185,100,0),ROUND(NETWORKDAYS.INTL(E185,MIN(F185,Reprogramaciones!Q$9),11)/NETWORKDAYS.INTL(E185,F185,11)*100,1)))-IF(Reprogramaciones!P$9&lt;E185,0,IF(NETWORKDAYS.INTL(E185,F185,11)=0,IF(Reprogramaciones!P$9&gt;=F185,100,0),ROUND(NETWORKDAYS.INTL(E185,MIN(F185,Reprogramaciones!P$9),11)/NETWORKDAYS.INTL(E185,F185,11)*100,1))))</f>
        <v/>
      </c>
      <c r="N185" s="36" t="str">
        <f aca="false">IF(OR(NOT(AND(ISNUMBER(E185),ISNUMBER(F185))),$J$2=""),"",IF(Reprogramaciones!R$9&lt;E185,0,IF(NETWORKDAYS.INTL(E185,F185,11)=0,IF(Reprogramaciones!R$9&gt;=F185,100,0),ROUND(NETWORKDAYS.INTL(E185,MIN(F185,Reprogramaciones!R$9),11)/NETWORKDAYS.INTL(E185,F185,11)*100,1)))-IF(Reprogramaciones!Q$9&lt;E185,0,IF(NETWORKDAYS.INTL(E185,F185,11)=0,IF(Reprogramaciones!Q$9&gt;=F185,100,0),ROUND(NETWORKDAYS.INTL(E185,MIN(F185,Reprogramaciones!Q$9),11)/NETWORKDAYS.INTL(E185,F185,11)*100,1))))</f>
        <v/>
      </c>
      <c r="O185" s="36" t="str">
        <f aca="false">IF(OR(NOT(AND(ISNUMBER(E185),ISNUMBER(F185))),$J$2=""),"",IF(Reprogramaciones!S$9&lt;E185,0,IF(NETWORKDAYS.INTL(E185,F185,11)=0,IF(Reprogramaciones!S$9&gt;=F185,100,0),ROUND(NETWORKDAYS.INTL(E185,MIN(F185,Reprogramaciones!S$9),11)/NETWORKDAYS.INTL(E185,F185,11)*100,1)))-IF(Reprogramaciones!R$9&lt;E185,0,IF(NETWORKDAYS.INTL(E185,F185,11)=0,IF(Reprogramaciones!R$9&gt;=F185,100,0),ROUND(NETWORKDAYS.INTL(E185,MIN(F185,Reprogramaciones!R$9),11)/NETWORKDAYS.INTL(E185,F185,11)*100,1))))</f>
        <v/>
      </c>
      <c r="P185" s="36" t="str">
        <f aca="false">IF(OR(NOT(AND(ISNUMBER(E185),ISNUMBER(F185))),$J$2=""),"",IF(Reprogramaciones!T$9&lt;E185,0,IF(NETWORKDAYS.INTL(E185,F185,11)=0,IF(Reprogramaciones!T$9&gt;=F185,100,0),ROUND(NETWORKDAYS.INTL(E185,MIN(F185,Reprogramaciones!T$9),11)/NETWORKDAYS.INTL(E185,F185,11)*100,1)))-IF(Reprogramaciones!S$9&lt;E185,0,IF(NETWORKDAYS.INTL(E185,F185,11)=0,IF(Reprogramaciones!S$9&gt;=F185,100,0),ROUND(NETWORKDAYS.INTL(E185,MIN(F185,Reprogramaciones!S$9),11)/NETWORKDAYS.INTL(E185,F185,11)*100,1))))</f>
        <v/>
      </c>
      <c r="Q185" s="37"/>
      <c r="R185" s="37"/>
      <c r="S185" s="37"/>
      <c r="T185" s="37"/>
      <c r="U185" s="37"/>
      <c r="V185" s="37"/>
      <c r="W185" s="37"/>
      <c r="X185" s="37"/>
      <c r="Y185" s="37"/>
      <c r="Z185" s="37"/>
      <c r="AA185" s="37"/>
      <c r="AB185" s="37"/>
      <c r="AC185" s="37"/>
      <c r="AD185" s="37"/>
      <c r="AE185" s="37"/>
      <c r="AF185" s="37"/>
      <c r="AG185" s="38" t="str">
        <f aca="false">IF(AND(ISNUMBER(E185),ISNUMBER(F185)),NETWORKDAYS.INTL(E185,F185,11),"")</f>
        <v/>
      </c>
      <c r="AH185" s="38" t="str">
        <f aca="false">IF(OR(NOT(AND(ISNUMBER(E185),ISNUMBER(F185))),$J$2=""),"",IF(Reprogramaciones!$P$15&lt;Reprogramaciones!$T$15,0,IF(Reprogramaciones!$R$15&gt;10,MIN(100,SUM($G185:$P185)),MIN(100,SUMPRODUCT((COLUMN($G185:$P185)-COLUMN($G185)+1&lt;Reprogramaciones!$R$15)*$G185:$P185)+N(INDEX($G185:$P185,1,Reprogramaciones!$R$15))*IF(Reprogramaciones!$P$15&gt;=(Reprogramaciones!$T$15+7*(Reprogramaciones!$R$15-1))+6,1,IF(MAX(0,NETWORKDAYS.INTL(MAX(E185,(Reprogramaciones!$T$15+7*(Reprogramaciones!$R$15-1))),MIN(F185,(Reprogramaciones!$T$15+7*(Reprogramaciones!$R$15-1))+6),11))=0,0,MAX(0,NETWORKDAYS.INTL(MAX(E185,(Reprogramaciones!$T$15+7*(Reprogramaciones!$R$15-1))),MIN(F185,Reprogramaciones!$P$15),11))/MAX(0,NETWORKDAYS.INTL(MAX(E185,(Reprogramaciones!$T$15+7*(Reprogramaciones!$R$15-1))),MIN(F185,(Reprogramaciones!$T$15+7*(Reprogramaciones!$R$15-1))+6),11))))))))</f>
        <v/>
      </c>
      <c r="AI185" s="38" t="str">
        <f aca="false">IF(COUNT($Q185:$AF185)=0,"",IF(ROUND(SUM($Q185:$AF185),1)&gt;=99.5,100,MIN(100,ROUND(SUM($Q185:$AF185),1))))</f>
        <v/>
      </c>
      <c r="AJ185" s="38" t="str">
        <f aca="false">IF(OR(AH185="",AI185=""),"",AI185-AH185)</f>
        <v/>
      </c>
      <c r="AK185" s="39" t="str">
        <f aca="true">IF(AH185="","",IF(OR(Ficha!$C$10="Suspendida",Ficha!$C$10="Cancelada"),Ficha!$C$10,IF(AND(AI185&lt;&gt;"",N(AI185)&gt;=100),"Completada",IF(AND(E185&gt;TODAY(),N(AI185)=0),"Por iniciar",IF(N(AI185)+0.5&lt;AH185,"Retrasada",IF(N(AI185)+0.5&lt;DA185,IF(Reprogramaciones!$K$15&gt;0,"Al día · Sem "&amp;Reprogramaciones!$K$15&amp;" en curso","Al día · en curso"),"A tiempo"))))))</f>
        <v/>
      </c>
      <c r="AL185" s="39" t="str">
        <f aca="true">IF(AND(A185="",AND(B185="",C185="",E185="",F185="",COUNT(Q185:AF185)=0)),"",IF(AND(B185="",C185="",E185="",F185="",COUNT(Q185:AF185)=0),"Falta la partida o subpartida",IF(AND(A185&lt;&gt;"",COUNTIF($A$6:$A$305,A185)&gt;1),"Ítem repetido",IF(AND(C185="",E185="",F185="",COUNT(Q185:AF185)=0),"Título de partida",IF(OR(E185="",F185=""),"Faltan fechas",IF(OR(ISTEXT(E185),ISTEXT(F185)),"Fecha escrita como texto: usa dd/mm/aaaa",IF(F185&lt;E185,"Fin antes del inicio",IF(IF($J$2="",FALSE(),OR(E185&lt;$J$2,F185&gt;Reprogramaciones!$T$15+69)),"Fuera de las 10 semanas",IF(ABS(SUM(G185:P185)-100)&gt;0.5,"La meta no suma 100%",IF(ROUND(SUM(Q185:AF185),1)&gt;100.5,"El avance pasa de 100%",IF(MIN(Q185:AF185)&lt;0,"Avance negativo",IF(COUNTA(Q185:AF185)&gt;COUNT(Q185:AF185),"Avance escrito como texto",IF(SUMPRODUCT((Q185:AF185&gt;0)*(Q185:AF185&lt;1))&gt;0,"Avance menor a 1: escribe 50, no 50%",IF(SUMPRODUCT(ISNUMBER(Q185:AF185)*(Reprogramaciones!$K$8:$Z$8&gt;TODAY()))&gt;0,"Avance en semana que aún no llega",IF(AND(N(Reprogramaciones!$E$21)&gt;0,F185&gt;Reprogramaciones!$E$21),"Pasa el fin de la obra: registra una reprogramación",IF(AND(N(Reprogramaciones!$E$21)&gt;0,SUMPRODUCT(ISNUMBER(Q185:AF185)*(Reprogramaciones!$K$8:$Z$8&gt;Reprogramaciones!$E$21))&gt;0),"Avance después del fin de la obra: registra una reprogramación por atraso","OK"))))))))))))))))</f>
        <v/>
      </c>
      <c r="AM185" s="40" t="str">
        <f aca="false">IF(OR(OR(NOT(AND(ISNUMBER(E185),ISNUMBER(F185))),$J$2=""),1&gt;MAX(1,Reprogramaciones!$U$15)),"",IF(Reprogramaciones!K$12&gt;=7,"",IF(OR(BT185-N(0)&gt;0.05,N(Q185)&gt;0),ROUNDDOWN(ROUND(BT185,6),0)&amp;"%"&amp;IF(CJ185="",""," / "&amp;CJ185&amp;"%"),IF(AND(N(0)&gt;=99.95,CJ185&lt;&gt;"",N(CJ185)&lt;100),"Pend. "&amp;CJ185&amp;"%",""))))</f>
        <v/>
      </c>
      <c r="AN185" s="40" t="str">
        <f aca="false">IF(OR(OR(NOT(AND(ISNUMBER(E185),ISNUMBER(F185))),$J$2=""),2&gt;MAX(1,Reprogramaciones!$U$15)),"",IF(Reprogramaciones!L$12&gt;=7,"",IF(OR(BU185-N(BT185)&gt;0.05,N(R185)&gt;0),ROUNDDOWN(ROUND(BU185,6),0)&amp;"%"&amp;IF(CK185="",""," / "&amp;CK185&amp;"%"),IF(AND(N(BT185)&gt;=99.95,CK185&lt;&gt;"",N(CK185)&lt;100),"Pend. "&amp;CK185&amp;"%",""))))</f>
        <v/>
      </c>
      <c r="AO185" s="40" t="str">
        <f aca="false">IF(OR(OR(NOT(AND(ISNUMBER(E185),ISNUMBER(F185))),$J$2=""),3&gt;MAX(1,Reprogramaciones!$U$15)),"",IF(Reprogramaciones!M$12&gt;=7,"",IF(OR(BV185-N(BU185)&gt;0.05,N(S185)&gt;0),ROUNDDOWN(ROUND(BV185,6),0)&amp;"%"&amp;IF(CL185="",""," / "&amp;CL185&amp;"%"),IF(AND(N(BU185)&gt;=99.95,CL185&lt;&gt;"",N(CL185)&lt;100),"Pend. "&amp;CL185&amp;"%",""))))</f>
        <v/>
      </c>
      <c r="AP185" s="40" t="str">
        <f aca="false">IF(OR(OR(NOT(AND(ISNUMBER(E185),ISNUMBER(F185))),$J$2=""),4&gt;MAX(1,Reprogramaciones!$U$15)),"",IF(Reprogramaciones!N$12&gt;=7,"",IF(OR(BW185-N(BV185)&gt;0.05,N(T185)&gt;0),ROUNDDOWN(ROUND(BW185,6),0)&amp;"%"&amp;IF(CM185="",""," / "&amp;CM185&amp;"%"),IF(AND(N(BV185)&gt;=99.95,CM185&lt;&gt;"",N(CM185)&lt;100),"Pend. "&amp;CM185&amp;"%",""))))</f>
        <v/>
      </c>
      <c r="AQ185" s="40" t="str">
        <f aca="false">IF(OR(OR(NOT(AND(ISNUMBER(E185),ISNUMBER(F185))),$J$2=""),5&gt;MAX(1,Reprogramaciones!$U$15)),"",IF(Reprogramaciones!O$12&gt;=7,"",IF(OR(BX185-N(BW185)&gt;0.05,N(U185)&gt;0),ROUNDDOWN(ROUND(BX185,6),0)&amp;"%"&amp;IF(CN185="",""," / "&amp;CN185&amp;"%"),IF(AND(N(BW185)&gt;=99.95,CN185&lt;&gt;"",N(CN185)&lt;100),"Pend. "&amp;CN185&amp;"%",""))))</f>
        <v/>
      </c>
      <c r="AR185" s="40" t="str">
        <f aca="false">IF(OR(OR(NOT(AND(ISNUMBER(E185),ISNUMBER(F185))),$J$2=""),6&gt;MAX(1,Reprogramaciones!$U$15)),"",IF(Reprogramaciones!P$12&gt;=7,"",IF(OR(BY185-N(BX185)&gt;0.05,N(V185)&gt;0),ROUNDDOWN(ROUND(BY185,6),0)&amp;"%"&amp;IF(CO185="",""," / "&amp;CO185&amp;"%"),IF(AND(N(BX185)&gt;=99.95,CO185&lt;&gt;"",N(CO185)&lt;100),"Pend. "&amp;CO185&amp;"%",""))))</f>
        <v/>
      </c>
      <c r="AS185" s="40" t="str">
        <f aca="false">IF(OR(OR(NOT(AND(ISNUMBER(E185),ISNUMBER(F185))),$J$2=""),7&gt;MAX(1,Reprogramaciones!$U$15)),"",IF(Reprogramaciones!Q$12&gt;=7,"",IF(OR(BZ185-N(BY185)&gt;0.05,N(W185)&gt;0),ROUNDDOWN(ROUND(BZ185,6),0)&amp;"%"&amp;IF(CP185="",""," / "&amp;CP185&amp;"%"),IF(AND(N(BY185)&gt;=99.95,CP185&lt;&gt;"",N(CP185)&lt;100),"Pend. "&amp;CP185&amp;"%",""))))</f>
        <v/>
      </c>
      <c r="AT185" s="40" t="str">
        <f aca="false">IF(OR(OR(NOT(AND(ISNUMBER(E185),ISNUMBER(F185))),$J$2=""),8&gt;MAX(1,Reprogramaciones!$U$15)),"",IF(Reprogramaciones!R$12&gt;=7,"",IF(OR(CA185-N(BZ185)&gt;0.05,N(X185)&gt;0),ROUNDDOWN(ROUND(CA185,6),0)&amp;"%"&amp;IF(CQ185="",""," / "&amp;CQ185&amp;"%"),IF(AND(N(BZ185)&gt;=99.95,CQ185&lt;&gt;"",N(CQ185)&lt;100),"Pend. "&amp;CQ185&amp;"%",""))))</f>
        <v/>
      </c>
      <c r="AU185" s="40" t="str">
        <f aca="false">IF(OR(OR(NOT(AND(ISNUMBER(E185),ISNUMBER(F185))),$J$2=""),9&gt;MAX(1,Reprogramaciones!$U$15)),"",IF(Reprogramaciones!S$12&gt;=7,"",IF(OR(CB185-N(CA185)&gt;0.05,N(Y185)&gt;0),ROUNDDOWN(ROUND(CB185,6),0)&amp;"%"&amp;IF(CR185="",""," / "&amp;CR185&amp;"%"),IF(AND(N(CA185)&gt;=99.95,CR185&lt;&gt;"",N(CR185)&lt;100),"Pend. "&amp;CR185&amp;"%",""))))</f>
        <v/>
      </c>
      <c r="AV185" s="40" t="str">
        <f aca="false">IF(OR(OR(NOT(AND(ISNUMBER(E185),ISNUMBER(F185))),$J$2=""),10&gt;MAX(1,Reprogramaciones!$U$15)),"",IF(Reprogramaciones!T$12&gt;=7,"",IF(OR(CC185-N(CB185)&gt;0.05,N(Z185)&gt;0),ROUNDDOWN(ROUND(CC185,6),0)&amp;"%"&amp;IF(CS185="",""," / "&amp;CS185&amp;"%"),IF(AND(N(CB185)&gt;=99.95,CS185&lt;&gt;"",N(CS185)&lt;100),"Pend. "&amp;CS185&amp;"%",""))))</f>
        <v/>
      </c>
      <c r="AW185" s="40" t="str">
        <f aca="false">IF(OR(OR(NOT(AND(ISNUMBER(E185),ISNUMBER(F185))),$J$2=""),11&gt;MAX(1,Reprogramaciones!$U$15)),"",IF(Reprogramaciones!U$12&gt;=7,"",IF(OR(CD185-N(CC185)&gt;0.05,N(AA185)&gt;0),ROUNDDOWN(ROUND(CD185,6),0)&amp;"%"&amp;IF(CT185="",""," / "&amp;CT185&amp;"%"),IF(AND(N(CC185)&gt;=99.95,CT185&lt;&gt;"",N(CT185)&lt;100),"Pend. "&amp;CT185&amp;"%",""))))</f>
        <v/>
      </c>
      <c r="AX185" s="40" t="str">
        <f aca="false">IF(OR(OR(NOT(AND(ISNUMBER(E185),ISNUMBER(F185))),$J$2=""),12&gt;MAX(1,Reprogramaciones!$U$15)),"",IF(Reprogramaciones!V$12&gt;=7,"",IF(OR(CE185-N(CD185)&gt;0.05,N(AB185)&gt;0),ROUNDDOWN(ROUND(CE185,6),0)&amp;"%"&amp;IF(CU185="",""," / "&amp;CU185&amp;"%"),IF(AND(N(CD185)&gt;=99.95,CU185&lt;&gt;"",N(CU185)&lt;100),"Pend. "&amp;CU185&amp;"%",""))))</f>
        <v/>
      </c>
      <c r="AY185" s="40" t="str">
        <f aca="false">IF(OR(OR(NOT(AND(ISNUMBER(E185),ISNUMBER(F185))),$J$2=""),13&gt;MAX(1,Reprogramaciones!$U$15)),"",IF(Reprogramaciones!W$12&gt;=7,"",IF(OR(CF185-N(CE185)&gt;0.05,N(AC185)&gt;0),ROUNDDOWN(ROUND(CF185,6),0)&amp;"%"&amp;IF(CV185="",""," / "&amp;CV185&amp;"%"),IF(AND(N(CE185)&gt;=99.95,CV185&lt;&gt;"",N(CV185)&lt;100),"Pend. "&amp;CV185&amp;"%",""))))</f>
        <v/>
      </c>
      <c r="AZ185" s="40" t="str">
        <f aca="false">IF(OR(OR(NOT(AND(ISNUMBER(E185),ISNUMBER(F185))),$J$2=""),14&gt;MAX(1,Reprogramaciones!$U$15)),"",IF(Reprogramaciones!X$12&gt;=7,"",IF(OR(CG185-N(CF185)&gt;0.05,N(AD185)&gt;0),ROUNDDOWN(ROUND(CG185,6),0)&amp;"%"&amp;IF(CW185="",""," / "&amp;CW185&amp;"%"),IF(AND(N(CF185)&gt;=99.95,CW185&lt;&gt;"",N(CW185)&lt;100),"Pend. "&amp;CW185&amp;"%",""))))</f>
        <v/>
      </c>
      <c r="BA185" s="40" t="str">
        <f aca="false">IF(OR(OR(NOT(AND(ISNUMBER(E185),ISNUMBER(F185))),$J$2=""),15&gt;MAX(1,Reprogramaciones!$U$15)),"",IF(Reprogramaciones!Y$12&gt;=7,"",IF(OR(CH185-N(CG185)&gt;0.05,N(AE185)&gt;0),ROUNDDOWN(ROUND(CH185,6),0)&amp;"%"&amp;IF(CX185="",""," / "&amp;CX185&amp;"%"),IF(AND(N(CG185)&gt;=99.95,CX185&lt;&gt;"",N(CX185)&lt;100),"Pend. "&amp;CX185&amp;"%",""))))</f>
        <v/>
      </c>
      <c r="BB185" s="40" t="str">
        <f aca="false">IF(OR(OR(NOT(AND(ISNUMBER(E185),ISNUMBER(F185))),$J$2=""),16&gt;MAX(1,Reprogramaciones!$U$15)),"",IF(Reprogramaciones!Z$12&gt;=7,"",IF(OR(CI185-N(CH185)&gt;0.05,N(AF185)&gt;0),ROUNDDOWN(ROUND(CI185,6),0)&amp;"%"&amp;IF(CY185="",""," / "&amp;CY185&amp;"%"),IF(AND(N(CH185)&gt;=99.95,CY185&lt;&gt;"",N(CY185)&lt;100),"Pend. "&amp;CY185&amp;"%",""))))</f>
        <v/>
      </c>
      <c r="BC185" s="31" t="n">
        <f aca="false">IF(AND(ISNUMBER(E185),ISNUMBER(F185)),MAX(1,NETWORKDAYS.INTL(E185,F185,11)),0)</f>
        <v>0</v>
      </c>
      <c r="BD185" s="1" t="str">
        <f aca="false">IF(OR(NOT(AND(ISNUMBER(E185),ISNUMBER(F185))),$J$2=""),"",MIN(100,ROUND(SUM($G185:G185),1)))</f>
        <v/>
      </c>
      <c r="BE185" s="1" t="str">
        <f aca="false">IF(OR(NOT(AND(ISNUMBER(E185),ISNUMBER(F185))),$J$2=""),"",MIN(100,ROUND(SUM($G185:H185),1)))</f>
        <v/>
      </c>
      <c r="BF185" s="1" t="str">
        <f aca="false">IF(OR(NOT(AND(ISNUMBER(E185),ISNUMBER(F185))),$J$2=""),"",MIN(100,ROUND(SUM($G185:I185),1)))</f>
        <v/>
      </c>
      <c r="BG185" s="1" t="str">
        <f aca="false">IF(OR(NOT(AND(ISNUMBER(E185),ISNUMBER(F185))),$J$2=""),"",MIN(100,ROUND(SUM($G185:J185),1)))</f>
        <v/>
      </c>
      <c r="BH185" s="1" t="str">
        <f aca="false">IF(OR(NOT(AND(ISNUMBER(E185),ISNUMBER(F185))),$J$2=""),"",MIN(100,ROUND(SUM($G185:K185),1)))</f>
        <v/>
      </c>
      <c r="BI185" s="1" t="str">
        <f aca="false">IF(OR(NOT(AND(ISNUMBER(E185),ISNUMBER(F185))),$J$2=""),"",MIN(100,ROUND(SUM($G185:L185),1)))</f>
        <v/>
      </c>
      <c r="BJ185" s="1" t="str">
        <f aca="false">IF(OR(NOT(AND(ISNUMBER(E185),ISNUMBER(F185))),$J$2=""),"",MIN(100,ROUND(SUM($G185:M185),1)))</f>
        <v/>
      </c>
      <c r="BK185" s="1" t="str">
        <f aca="false">IF(OR(NOT(AND(ISNUMBER(E185),ISNUMBER(F185))),$J$2=""),"",MIN(100,ROUND(SUM($G185:N185),1)))</f>
        <v/>
      </c>
      <c r="BL185" s="1" t="str">
        <f aca="false">IF(OR(NOT(AND(ISNUMBER(E185),ISNUMBER(F185))),$J$2=""),"",MIN(100,ROUND(SUM($G185:O185),1)))</f>
        <v/>
      </c>
      <c r="BM185" s="1" t="str">
        <f aca="false">IF(OR(NOT(AND(ISNUMBER(E185),ISNUMBER(F185))),$J$2=""),"",MIN(100,ROUND(SUM($G185:P185),1)))</f>
        <v/>
      </c>
      <c r="BN185" s="1" t="str">
        <f aca="false">IF(OR(NOT(AND(ISNUMBER(E185),ISNUMBER(F185))),$J$2=""),"",MIN(100,ROUND(SUM($G185:P185),1)))</f>
        <v/>
      </c>
      <c r="BO185" s="1" t="str">
        <f aca="false">IF(OR(NOT(AND(ISNUMBER(E185),ISNUMBER(F185))),$J$2=""),"",MIN(100,ROUND(SUM($G185:P185),1)))</f>
        <v/>
      </c>
      <c r="BP185" s="1" t="str">
        <f aca="false">IF(OR(NOT(AND(ISNUMBER(E185),ISNUMBER(F185))),$J$2=""),"",MIN(100,ROUND(SUM($G185:P185),1)))</f>
        <v/>
      </c>
      <c r="BQ185" s="1" t="str">
        <f aca="false">IF(OR(NOT(AND(ISNUMBER(E185),ISNUMBER(F185))),$J$2=""),"",MIN(100,ROUND(SUM($G185:P185),1)))</f>
        <v/>
      </c>
      <c r="BR185" s="1" t="str">
        <f aca="false">IF(OR(NOT(AND(ISNUMBER(E185),ISNUMBER(F185))),$J$2=""),"",MIN(100,ROUND(SUM($G185:P185),1)))</f>
        <v/>
      </c>
      <c r="BS185" s="1" t="str">
        <f aca="false">IF(OR(NOT(AND(ISNUMBER(E185),ISNUMBER(F185))),$J$2=""),"",MIN(100,ROUND(SUM($G185:P185),1)))</f>
        <v/>
      </c>
      <c r="BT185" s="1" t="str">
        <f aca="false">IF(OR(NOT(AND(ISNUMBER(E185),ISNUMBER(F185))),$J$2=""),"",IF(Reprogramaciones!K$13&lt;Reprogramaciones!$T$15,0,IF(Reprogramaciones!K$14&gt;10,MIN(100,SUM($G185:$P185)),MIN(100,SUMPRODUCT((COLUMN($G185:$P185)-COLUMN($G185)+1&lt;Reprogramaciones!K$14)*$G185:$P185)+N(INDEX($G185:$P185,1,Reprogramaciones!K$14))*IF(Reprogramaciones!K$13&gt;=(Reprogramaciones!$T$15+7*(Reprogramaciones!K$14-1))+6,1,IF(MAX(0,NETWORKDAYS.INTL(MAX(E185,(Reprogramaciones!$T$15+7*(Reprogramaciones!K$14-1))),MIN(F185,(Reprogramaciones!$T$15+7*(Reprogramaciones!K$14-1))+6),11))=0,0,MAX(0,NETWORKDAYS.INTL(MAX(E185,(Reprogramaciones!$T$15+7*(Reprogramaciones!K$14-1))),MIN(F185,Reprogramaciones!K$13),11))/MAX(0,NETWORKDAYS.INTL(MAX(E185,(Reprogramaciones!$T$15+7*(Reprogramaciones!K$14-1))),MIN(F185,(Reprogramaciones!$T$15+7*(Reprogramaciones!K$14-1))+6),11))))))))</f>
        <v/>
      </c>
      <c r="BU185" s="1" t="str">
        <f aca="false">IF(OR(NOT(AND(ISNUMBER(E185),ISNUMBER(F185))),$J$2=""),"",IF(Reprogramaciones!L$13&lt;Reprogramaciones!$T$15,0,IF(Reprogramaciones!L$14&gt;10,MIN(100,SUM($G185:$P185)),MIN(100,SUMPRODUCT((COLUMN($G185:$P185)-COLUMN($G185)+1&lt;Reprogramaciones!L$14)*$G185:$P185)+N(INDEX($G185:$P185,1,Reprogramaciones!L$14))*IF(Reprogramaciones!L$13&gt;=(Reprogramaciones!$T$15+7*(Reprogramaciones!L$14-1))+6,1,IF(MAX(0,NETWORKDAYS.INTL(MAX(E185,(Reprogramaciones!$T$15+7*(Reprogramaciones!L$14-1))),MIN(F185,(Reprogramaciones!$T$15+7*(Reprogramaciones!L$14-1))+6),11))=0,0,MAX(0,NETWORKDAYS.INTL(MAX(E185,(Reprogramaciones!$T$15+7*(Reprogramaciones!L$14-1))),MIN(F185,Reprogramaciones!L$13),11))/MAX(0,NETWORKDAYS.INTL(MAX(E185,(Reprogramaciones!$T$15+7*(Reprogramaciones!L$14-1))),MIN(F185,(Reprogramaciones!$T$15+7*(Reprogramaciones!L$14-1))+6),11))))))))</f>
        <v/>
      </c>
      <c r="BV185" s="1" t="str">
        <f aca="false">IF(OR(NOT(AND(ISNUMBER(E185),ISNUMBER(F185))),$J$2=""),"",IF(Reprogramaciones!M$13&lt;Reprogramaciones!$T$15,0,IF(Reprogramaciones!M$14&gt;10,MIN(100,SUM($G185:$P185)),MIN(100,SUMPRODUCT((COLUMN($G185:$P185)-COLUMN($G185)+1&lt;Reprogramaciones!M$14)*$G185:$P185)+N(INDEX($G185:$P185,1,Reprogramaciones!M$14))*IF(Reprogramaciones!M$13&gt;=(Reprogramaciones!$T$15+7*(Reprogramaciones!M$14-1))+6,1,IF(MAX(0,NETWORKDAYS.INTL(MAX(E185,(Reprogramaciones!$T$15+7*(Reprogramaciones!M$14-1))),MIN(F185,(Reprogramaciones!$T$15+7*(Reprogramaciones!M$14-1))+6),11))=0,0,MAX(0,NETWORKDAYS.INTL(MAX(E185,(Reprogramaciones!$T$15+7*(Reprogramaciones!M$14-1))),MIN(F185,Reprogramaciones!M$13),11))/MAX(0,NETWORKDAYS.INTL(MAX(E185,(Reprogramaciones!$T$15+7*(Reprogramaciones!M$14-1))),MIN(F185,(Reprogramaciones!$T$15+7*(Reprogramaciones!M$14-1))+6),11))))))))</f>
        <v/>
      </c>
      <c r="BW185" s="1" t="str">
        <f aca="false">IF(OR(NOT(AND(ISNUMBER(E185),ISNUMBER(F185))),$J$2=""),"",IF(Reprogramaciones!N$13&lt;Reprogramaciones!$T$15,0,IF(Reprogramaciones!N$14&gt;10,MIN(100,SUM($G185:$P185)),MIN(100,SUMPRODUCT((COLUMN($G185:$P185)-COLUMN($G185)+1&lt;Reprogramaciones!N$14)*$G185:$P185)+N(INDEX($G185:$P185,1,Reprogramaciones!N$14))*IF(Reprogramaciones!N$13&gt;=(Reprogramaciones!$T$15+7*(Reprogramaciones!N$14-1))+6,1,IF(MAX(0,NETWORKDAYS.INTL(MAX(E185,(Reprogramaciones!$T$15+7*(Reprogramaciones!N$14-1))),MIN(F185,(Reprogramaciones!$T$15+7*(Reprogramaciones!N$14-1))+6),11))=0,0,MAX(0,NETWORKDAYS.INTL(MAX(E185,(Reprogramaciones!$T$15+7*(Reprogramaciones!N$14-1))),MIN(F185,Reprogramaciones!N$13),11))/MAX(0,NETWORKDAYS.INTL(MAX(E185,(Reprogramaciones!$T$15+7*(Reprogramaciones!N$14-1))),MIN(F185,(Reprogramaciones!$T$15+7*(Reprogramaciones!N$14-1))+6),11))))))))</f>
        <v/>
      </c>
      <c r="BX185" s="1" t="str">
        <f aca="false">IF(OR(NOT(AND(ISNUMBER(E185),ISNUMBER(F185))),$J$2=""),"",IF(Reprogramaciones!O$13&lt;Reprogramaciones!$T$15,0,IF(Reprogramaciones!O$14&gt;10,MIN(100,SUM($G185:$P185)),MIN(100,SUMPRODUCT((COLUMN($G185:$P185)-COLUMN($G185)+1&lt;Reprogramaciones!O$14)*$G185:$P185)+N(INDEX($G185:$P185,1,Reprogramaciones!O$14))*IF(Reprogramaciones!O$13&gt;=(Reprogramaciones!$T$15+7*(Reprogramaciones!O$14-1))+6,1,IF(MAX(0,NETWORKDAYS.INTL(MAX(E185,(Reprogramaciones!$T$15+7*(Reprogramaciones!O$14-1))),MIN(F185,(Reprogramaciones!$T$15+7*(Reprogramaciones!O$14-1))+6),11))=0,0,MAX(0,NETWORKDAYS.INTL(MAX(E185,(Reprogramaciones!$T$15+7*(Reprogramaciones!O$14-1))),MIN(F185,Reprogramaciones!O$13),11))/MAX(0,NETWORKDAYS.INTL(MAX(E185,(Reprogramaciones!$T$15+7*(Reprogramaciones!O$14-1))),MIN(F185,(Reprogramaciones!$T$15+7*(Reprogramaciones!O$14-1))+6),11))))))))</f>
        <v/>
      </c>
      <c r="BY185" s="1" t="str">
        <f aca="false">IF(OR(NOT(AND(ISNUMBER(E185),ISNUMBER(F185))),$J$2=""),"",IF(Reprogramaciones!P$13&lt;Reprogramaciones!$T$15,0,IF(Reprogramaciones!P$14&gt;10,MIN(100,SUM($G185:$P185)),MIN(100,SUMPRODUCT((COLUMN($G185:$P185)-COLUMN($G185)+1&lt;Reprogramaciones!P$14)*$G185:$P185)+N(INDEX($G185:$P185,1,Reprogramaciones!P$14))*IF(Reprogramaciones!P$13&gt;=(Reprogramaciones!$T$15+7*(Reprogramaciones!P$14-1))+6,1,IF(MAX(0,NETWORKDAYS.INTL(MAX(E185,(Reprogramaciones!$T$15+7*(Reprogramaciones!P$14-1))),MIN(F185,(Reprogramaciones!$T$15+7*(Reprogramaciones!P$14-1))+6),11))=0,0,MAX(0,NETWORKDAYS.INTL(MAX(E185,(Reprogramaciones!$T$15+7*(Reprogramaciones!P$14-1))),MIN(F185,Reprogramaciones!P$13),11))/MAX(0,NETWORKDAYS.INTL(MAX(E185,(Reprogramaciones!$T$15+7*(Reprogramaciones!P$14-1))),MIN(F185,(Reprogramaciones!$T$15+7*(Reprogramaciones!P$14-1))+6),11))))))))</f>
        <v/>
      </c>
      <c r="BZ185" s="1" t="str">
        <f aca="false">IF(OR(NOT(AND(ISNUMBER(E185),ISNUMBER(F185))),$J$2=""),"",IF(Reprogramaciones!Q$13&lt;Reprogramaciones!$T$15,0,IF(Reprogramaciones!Q$14&gt;10,MIN(100,SUM($G185:$P185)),MIN(100,SUMPRODUCT((COLUMN($G185:$P185)-COLUMN($G185)+1&lt;Reprogramaciones!Q$14)*$G185:$P185)+N(INDEX($G185:$P185,1,Reprogramaciones!Q$14))*IF(Reprogramaciones!Q$13&gt;=(Reprogramaciones!$T$15+7*(Reprogramaciones!Q$14-1))+6,1,IF(MAX(0,NETWORKDAYS.INTL(MAX(E185,(Reprogramaciones!$T$15+7*(Reprogramaciones!Q$14-1))),MIN(F185,(Reprogramaciones!$T$15+7*(Reprogramaciones!Q$14-1))+6),11))=0,0,MAX(0,NETWORKDAYS.INTL(MAX(E185,(Reprogramaciones!$T$15+7*(Reprogramaciones!Q$14-1))),MIN(F185,Reprogramaciones!Q$13),11))/MAX(0,NETWORKDAYS.INTL(MAX(E185,(Reprogramaciones!$T$15+7*(Reprogramaciones!Q$14-1))),MIN(F185,(Reprogramaciones!$T$15+7*(Reprogramaciones!Q$14-1))+6),11))))))))</f>
        <v/>
      </c>
      <c r="CA185" s="1" t="str">
        <f aca="false">IF(OR(NOT(AND(ISNUMBER(E185),ISNUMBER(F185))),$J$2=""),"",IF(Reprogramaciones!R$13&lt;Reprogramaciones!$T$15,0,IF(Reprogramaciones!R$14&gt;10,MIN(100,SUM($G185:$P185)),MIN(100,SUMPRODUCT((COLUMN($G185:$P185)-COLUMN($G185)+1&lt;Reprogramaciones!R$14)*$G185:$P185)+N(INDEX($G185:$P185,1,Reprogramaciones!R$14))*IF(Reprogramaciones!R$13&gt;=(Reprogramaciones!$T$15+7*(Reprogramaciones!R$14-1))+6,1,IF(MAX(0,NETWORKDAYS.INTL(MAX(E185,(Reprogramaciones!$T$15+7*(Reprogramaciones!R$14-1))),MIN(F185,(Reprogramaciones!$T$15+7*(Reprogramaciones!R$14-1))+6),11))=0,0,MAX(0,NETWORKDAYS.INTL(MAX(E185,(Reprogramaciones!$T$15+7*(Reprogramaciones!R$14-1))),MIN(F185,Reprogramaciones!R$13),11))/MAX(0,NETWORKDAYS.INTL(MAX(E185,(Reprogramaciones!$T$15+7*(Reprogramaciones!R$14-1))),MIN(F185,(Reprogramaciones!$T$15+7*(Reprogramaciones!R$14-1))+6),11))))))))</f>
        <v/>
      </c>
      <c r="CB185" s="1" t="str">
        <f aca="false">IF(OR(NOT(AND(ISNUMBER(E185),ISNUMBER(F185))),$J$2=""),"",IF(Reprogramaciones!S$13&lt;Reprogramaciones!$T$15,0,IF(Reprogramaciones!S$14&gt;10,MIN(100,SUM($G185:$P185)),MIN(100,SUMPRODUCT((COLUMN($G185:$P185)-COLUMN($G185)+1&lt;Reprogramaciones!S$14)*$G185:$P185)+N(INDEX($G185:$P185,1,Reprogramaciones!S$14))*IF(Reprogramaciones!S$13&gt;=(Reprogramaciones!$T$15+7*(Reprogramaciones!S$14-1))+6,1,IF(MAX(0,NETWORKDAYS.INTL(MAX(E185,(Reprogramaciones!$T$15+7*(Reprogramaciones!S$14-1))),MIN(F185,(Reprogramaciones!$T$15+7*(Reprogramaciones!S$14-1))+6),11))=0,0,MAX(0,NETWORKDAYS.INTL(MAX(E185,(Reprogramaciones!$T$15+7*(Reprogramaciones!S$14-1))),MIN(F185,Reprogramaciones!S$13),11))/MAX(0,NETWORKDAYS.INTL(MAX(E185,(Reprogramaciones!$T$15+7*(Reprogramaciones!S$14-1))),MIN(F185,(Reprogramaciones!$T$15+7*(Reprogramaciones!S$14-1))+6),11))))))))</f>
        <v/>
      </c>
      <c r="CC185" s="1" t="str">
        <f aca="false">IF(OR(NOT(AND(ISNUMBER(E185),ISNUMBER(F185))),$J$2=""),"",IF(Reprogramaciones!T$13&lt;Reprogramaciones!$T$15,0,IF(Reprogramaciones!T$14&gt;10,MIN(100,SUM($G185:$P185)),MIN(100,SUMPRODUCT((COLUMN($G185:$P185)-COLUMN($G185)+1&lt;Reprogramaciones!T$14)*$G185:$P185)+N(INDEX($G185:$P185,1,Reprogramaciones!T$14))*IF(Reprogramaciones!T$13&gt;=(Reprogramaciones!$T$15+7*(Reprogramaciones!T$14-1))+6,1,IF(MAX(0,NETWORKDAYS.INTL(MAX(E185,(Reprogramaciones!$T$15+7*(Reprogramaciones!T$14-1))),MIN(F185,(Reprogramaciones!$T$15+7*(Reprogramaciones!T$14-1))+6),11))=0,0,MAX(0,NETWORKDAYS.INTL(MAX(E185,(Reprogramaciones!$T$15+7*(Reprogramaciones!T$14-1))),MIN(F185,Reprogramaciones!T$13),11))/MAX(0,NETWORKDAYS.INTL(MAX(E185,(Reprogramaciones!$T$15+7*(Reprogramaciones!T$14-1))),MIN(F185,(Reprogramaciones!$T$15+7*(Reprogramaciones!T$14-1))+6),11))))))))</f>
        <v/>
      </c>
      <c r="CD185" s="1" t="str">
        <f aca="false">IF(OR(NOT(AND(ISNUMBER(E185),ISNUMBER(F185))),$J$2=""),"",IF(Reprogramaciones!U$13&lt;Reprogramaciones!$T$15,0,IF(Reprogramaciones!U$14&gt;10,MIN(100,SUM($G185:$P185)),MIN(100,SUMPRODUCT((COLUMN($G185:$P185)-COLUMN($G185)+1&lt;Reprogramaciones!U$14)*$G185:$P185)+N(INDEX($G185:$P185,1,Reprogramaciones!U$14))*IF(Reprogramaciones!U$13&gt;=(Reprogramaciones!$T$15+7*(Reprogramaciones!U$14-1))+6,1,IF(MAX(0,NETWORKDAYS.INTL(MAX(E185,(Reprogramaciones!$T$15+7*(Reprogramaciones!U$14-1))),MIN(F185,(Reprogramaciones!$T$15+7*(Reprogramaciones!U$14-1))+6),11))=0,0,MAX(0,NETWORKDAYS.INTL(MAX(E185,(Reprogramaciones!$T$15+7*(Reprogramaciones!U$14-1))),MIN(F185,Reprogramaciones!U$13),11))/MAX(0,NETWORKDAYS.INTL(MAX(E185,(Reprogramaciones!$T$15+7*(Reprogramaciones!U$14-1))),MIN(F185,(Reprogramaciones!$T$15+7*(Reprogramaciones!U$14-1))+6),11))))))))</f>
        <v/>
      </c>
      <c r="CE185" s="1" t="str">
        <f aca="false">IF(OR(NOT(AND(ISNUMBER(E185),ISNUMBER(F185))),$J$2=""),"",IF(Reprogramaciones!V$13&lt;Reprogramaciones!$T$15,0,IF(Reprogramaciones!V$14&gt;10,MIN(100,SUM($G185:$P185)),MIN(100,SUMPRODUCT((COLUMN($G185:$P185)-COLUMN($G185)+1&lt;Reprogramaciones!V$14)*$G185:$P185)+N(INDEX($G185:$P185,1,Reprogramaciones!V$14))*IF(Reprogramaciones!V$13&gt;=(Reprogramaciones!$T$15+7*(Reprogramaciones!V$14-1))+6,1,IF(MAX(0,NETWORKDAYS.INTL(MAX(E185,(Reprogramaciones!$T$15+7*(Reprogramaciones!V$14-1))),MIN(F185,(Reprogramaciones!$T$15+7*(Reprogramaciones!V$14-1))+6),11))=0,0,MAX(0,NETWORKDAYS.INTL(MAX(E185,(Reprogramaciones!$T$15+7*(Reprogramaciones!V$14-1))),MIN(F185,Reprogramaciones!V$13),11))/MAX(0,NETWORKDAYS.INTL(MAX(E185,(Reprogramaciones!$T$15+7*(Reprogramaciones!V$14-1))),MIN(F185,(Reprogramaciones!$T$15+7*(Reprogramaciones!V$14-1))+6),11))))))))</f>
        <v/>
      </c>
      <c r="CF185" s="1" t="str">
        <f aca="false">IF(OR(NOT(AND(ISNUMBER(E185),ISNUMBER(F185))),$J$2=""),"",IF(Reprogramaciones!W$13&lt;Reprogramaciones!$T$15,0,IF(Reprogramaciones!W$14&gt;10,MIN(100,SUM($G185:$P185)),MIN(100,SUMPRODUCT((COLUMN($G185:$P185)-COLUMN($G185)+1&lt;Reprogramaciones!W$14)*$G185:$P185)+N(INDEX($G185:$P185,1,Reprogramaciones!W$14))*IF(Reprogramaciones!W$13&gt;=(Reprogramaciones!$T$15+7*(Reprogramaciones!W$14-1))+6,1,IF(MAX(0,NETWORKDAYS.INTL(MAX(E185,(Reprogramaciones!$T$15+7*(Reprogramaciones!W$14-1))),MIN(F185,(Reprogramaciones!$T$15+7*(Reprogramaciones!W$14-1))+6),11))=0,0,MAX(0,NETWORKDAYS.INTL(MAX(E185,(Reprogramaciones!$T$15+7*(Reprogramaciones!W$14-1))),MIN(F185,Reprogramaciones!W$13),11))/MAX(0,NETWORKDAYS.INTL(MAX(E185,(Reprogramaciones!$T$15+7*(Reprogramaciones!W$14-1))),MIN(F185,(Reprogramaciones!$T$15+7*(Reprogramaciones!W$14-1))+6),11))))))))</f>
        <v/>
      </c>
      <c r="CG185" s="1" t="str">
        <f aca="false">IF(OR(NOT(AND(ISNUMBER(E185),ISNUMBER(F185))),$J$2=""),"",IF(Reprogramaciones!X$13&lt;Reprogramaciones!$T$15,0,IF(Reprogramaciones!X$14&gt;10,MIN(100,SUM($G185:$P185)),MIN(100,SUMPRODUCT((COLUMN($G185:$P185)-COLUMN($G185)+1&lt;Reprogramaciones!X$14)*$G185:$P185)+N(INDEX($G185:$P185,1,Reprogramaciones!X$14))*IF(Reprogramaciones!X$13&gt;=(Reprogramaciones!$T$15+7*(Reprogramaciones!X$14-1))+6,1,IF(MAX(0,NETWORKDAYS.INTL(MAX(E185,(Reprogramaciones!$T$15+7*(Reprogramaciones!X$14-1))),MIN(F185,(Reprogramaciones!$T$15+7*(Reprogramaciones!X$14-1))+6),11))=0,0,MAX(0,NETWORKDAYS.INTL(MAX(E185,(Reprogramaciones!$T$15+7*(Reprogramaciones!X$14-1))),MIN(F185,Reprogramaciones!X$13),11))/MAX(0,NETWORKDAYS.INTL(MAX(E185,(Reprogramaciones!$T$15+7*(Reprogramaciones!X$14-1))),MIN(F185,(Reprogramaciones!$T$15+7*(Reprogramaciones!X$14-1))+6),11))))))))</f>
        <v/>
      </c>
      <c r="CH185" s="1" t="str">
        <f aca="false">IF(OR(NOT(AND(ISNUMBER(E185),ISNUMBER(F185))),$J$2=""),"",IF(Reprogramaciones!Y$13&lt;Reprogramaciones!$T$15,0,IF(Reprogramaciones!Y$14&gt;10,MIN(100,SUM($G185:$P185)),MIN(100,SUMPRODUCT((COLUMN($G185:$P185)-COLUMN($G185)+1&lt;Reprogramaciones!Y$14)*$G185:$P185)+N(INDEX($G185:$P185,1,Reprogramaciones!Y$14))*IF(Reprogramaciones!Y$13&gt;=(Reprogramaciones!$T$15+7*(Reprogramaciones!Y$14-1))+6,1,IF(MAX(0,NETWORKDAYS.INTL(MAX(E185,(Reprogramaciones!$T$15+7*(Reprogramaciones!Y$14-1))),MIN(F185,(Reprogramaciones!$T$15+7*(Reprogramaciones!Y$14-1))+6),11))=0,0,MAX(0,NETWORKDAYS.INTL(MAX(E185,(Reprogramaciones!$T$15+7*(Reprogramaciones!Y$14-1))),MIN(F185,Reprogramaciones!Y$13),11))/MAX(0,NETWORKDAYS.INTL(MAX(E185,(Reprogramaciones!$T$15+7*(Reprogramaciones!Y$14-1))),MIN(F185,(Reprogramaciones!$T$15+7*(Reprogramaciones!Y$14-1))+6),11))))))))</f>
        <v/>
      </c>
      <c r="CI185" s="1" t="str">
        <f aca="false">IF(OR(NOT(AND(ISNUMBER(E185),ISNUMBER(F185))),$J$2=""),"",IF(Reprogramaciones!Z$13&lt;Reprogramaciones!$T$15,0,IF(Reprogramaciones!Z$14&gt;10,MIN(100,SUM($G185:$P185)),MIN(100,SUMPRODUCT((COLUMN($G185:$P185)-COLUMN($G185)+1&lt;Reprogramaciones!Z$14)*$G185:$P185)+N(INDEX($G185:$P185,1,Reprogramaciones!Z$14))*IF(Reprogramaciones!Z$13&gt;=(Reprogramaciones!$T$15+7*(Reprogramaciones!Z$14-1))+6,1,IF(MAX(0,NETWORKDAYS.INTL(MAX(E185,(Reprogramaciones!$T$15+7*(Reprogramaciones!Z$14-1))),MIN(F185,(Reprogramaciones!$T$15+7*(Reprogramaciones!Z$14-1))+6),11))=0,0,MAX(0,NETWORKDAYS.INTL(MAX(E185,(Reprogramaciones!$T$15+7*(Reprogramaciones!Z$14-1))),MIN(F185,Reprogramaciones!Z$13),11))/MAX(0,NETWORKDAYS.INTL(MAX(E185,(Reprogramaciones!$T$15+7*(Reprogramaciones!Z$14-1))),MIN(F185,(Reprogramaciones!$T$15+7*(Reprogramaciones!Z$14-1))+6),11))))))))</f>
        <v/>
      </c>
      <c r="CJ185" s="1" t="str">
        <f aca="false">IF(OR(OR(NOT(AND(ISNUMBER(E185),ISNUMBER(F185))),$J$2=""),1&gt;Reprogramaciones!$K$16),"",IF(ROUND(SUM($Q185:Q185),1)&gt;=99.5,100,MIN(100,ROUND(SUM($Q185:Q185),1))))</f>
        <v/>
      </c>
      <c r="CK185" s="1" t="str">
        <f aca="false">IF(OR(OR(NOT(AND(ISNUMBER(E185),ISNUMBER(F185))),$J$2=""),2&gt;Reprogramaciones!$K$16),"",IF(ROUND(SUM($Q185:R185),1)&gt;=99.5,100,MIN(100,ROUND(SUM($Q185:R185),1))))</f>
        <v/>
      </c>
      <c r="CL185" s="1" t="str">
        <f aca="false">IF(OR(OR(NOT(AND(ISNUMBER(E185),ISNUMBER(F185))),$J$2=""),3&gt;Reprogramaciones!$K$16),"",IF(ROUND(SUM($Q185:S185),1)&gt;=99.5,100,MIN(100,ROUND(SUM($Q185:S185),1))))</f>
        <v/>
      </c>
      <c r="CM185" s="1" t="str">
        <f aca="false">IF(OR(OR(NOT(AND(ISNUMBER(E185),ISNUMBER(F185))),$J$2=""),4&gt;Reprogramaciones!$K$16),"",IF(ROUND(SUM($Q185:T185),1)&gt;=99.5,100,MIN(100,ROUND(SUM($Q185:T185),1))))</f>
        <v/>
      </c>
      <c r="CN185" s="1" t="str">
        <f aca="false">IF(OR(OR(NOT(AND(ISNUMBER(E185),ISNUMBER(F185))),$J$2=""),5&gt;Reprogramaciones!$K$16),"",IF(ROUND(SUM($Q185:U185),1)&gt;=99.5,100,MIN(100,ROUND(SUM($Q185:U185),1))))</f>
        <v/>
      </c>
      <c r="CO185" s="1" t="str">
        <f aca="false">IF(OR(OR(NOT(AND(ISNUMBER(E185),ISNUMBER(F185))),$J$2=""),6&gt;Reprogramaciones!$K$16),"",IF(ROUND(SUM($Q185:V185),1)&gt;=99.5,100,MIN(100,ROUND(SUM($Q185:V185),1))))</f>
        <v/>
      </c>
      <c r="CP185" s="1" t="str">
        <f aca="false">IF(OR(OR(NOT(AND(ISNUMBER(E185),ISNUMBER(F185))),$J$2=""),7&gt;Reprogramaciones!$K$16),"",IF(ROUND(SUM($Q185:W185),1)&gt;=99.5,100,MIN(100,ROUND(SUM($Q185:W185),1))))</f>
        <v/>
      </c>
      <c r="CQ185" s="1" t="str">
        <f aca="false">IF(OR(OR(NOT(AND(ISNUMBER(E185),ISNUMBER(F185))),$J$2=""),8&gt;Reprogramaciones!$K$16),"",IF(ROUND(SUM($Q185:X185),1)&gt;=99.5,100,MIN(100,ROUND(SUM($Q185:X185),1))))</f>
        <v/>
      </c>
      <c r="CR185" s="1" t="str">
        <f aca="false">IF(OR(OR(NOT(AND(ISNUMBER(E185),ISNUMBER(F185))),$J$2=""),9&gt;Reprogramaciones!$K$16),"",IF(ROUND(SUM($Q185:Y185),1)&gt;=99.5,100,MIN(100,ROUND(SUM($Q185:Y185),1))))</f>
        <v/>
      </c>
      <c r="CS185" s="1" t="str">
        <f aca="false">IF(OR(OR(NOT(AND(ISNUMBER(E185),ISNUMBER(F185))),$J$2=""),10&gt;Reprogramaciones!$K$16),"",IF(ROUND(SUM($Q185:Z185),1)&gt;=99.5,100,MIN(100,ROUND(SUM($Q185:Z185),1))))</f>
        <v/>
      </c>
      <c r="CT185" s="1" t="str">
        <f aca="false">IF(OR(OR(NOT(AND(ISNUMBER(E185),ISNUMBER(F185))),$J$2=""),11&gt;Reprogramaciones!$K$16),"",IF(ROUND(SUM($Q185:AA185),1)&gt;=99.5,100,MIN(100,ROUND(SUM($Q185:AA185),1))))</f>
        <v/>
      </c>
      <c r="CU185" s="1" t="str">
        <f aca="false">IF(OR(OR(NOT(AND(ISNUMBER(E185),ISNUMBER(F185))),$J$2=""),12&gt;Reprogramaciones!$K$16),"",IF(ROUND(SUM($Q185:AB185),1)&gt;=99.5,100,MIN(100,ROUND(SUM($Q185:AB185),1))))</f>
        <v/>
      </c>
      <c r="CV185" s="1" t="str">
        <f aca="false">IF(OR(OR(NOT(AND(ISNUMBER(E185),ISNUMBER(F185))),$J$2=""),13&gt;Reprogramaciones!$K$16),"",IF(ROUND(SUM($Q185:AC185),1)&gt;=99.5,100,MIN(100,ROUND(SUM($Q185:AC185),1))))</f>
        <v/>
      </c>
      <c r="CW185" s="1" t="str">
        <f aca="false">IF(OR(OR(NOT(AND(ISNUMBER(E185),ISNUMBER(F185))),$J$2=""),14&gt;Reprogramaciones!$K$16),"",IF(ROUND(SUM($Q185:AD185),1)&gt;=99.5,100,MIN(100,ROUND(SUM($Q185:AD185),1))))</f>
        <v/>
      </c>
      <c r="CX185" s="1" t="str">
        <f aca="false">IF(OR(OR(NOT(AND(ISNUMBER(E185),ISNUMBER(F185))),$J$2=""),15&gt;Reprogramaciones!$K$16),"",IF(ROUND(SUM($Q185:AE185),1)&gt;=99.5,100,MIN(100,ROUND(SUM($Q185:AE185),1))))</f>
        <v/>
      </c>
      <c r="CY185" s="1" t="str">
        <f aca="false">IF(OR(OR(NOT(AND(ISNUMBER(E185),ISNUMBER(F185))),$J$2=""),16&gt;Reprogramaciones!$K$16),"",IF(ROUND(SUM($Q185:AF185),1)&gt;=99.5,100,MIN(100,ROUND(SUM($Q185:AF185),1))))</f>
        <v/>
      </c>
      <c r="CZ185" s="1" t="str">
        <f aca="false">IF(D185&lt;&gt;"",D185,IF(B185&lt;&gt;"","Contractual",CZ184))</f>
        <v>Contractual</v>
      </c>
      <c r="DA185" s="1" t="str">
        <f aca="false">IF(OR(NOT(AND(ISNUMBER(E185),ISNUMBER(F185))),$J$2=""),"",IF(Reprogramaciones!$Q$15&lt;Reprogramaciones!$T$15,0,IF(Reprogramaciones!$S$15&gt;10,MIN(100,SUM($G185:$P185)),MIN(100,SUMPRODUCT((COLUMN($G185:$P185)-COLUMN($G185)+1&lt;Reprogramaciones!$S$15)*$G185:$P185)+N(INDEX($G185:$P185,1,Reprogramaciones!$S$15))*IF(Reprogramaciones!$Q$15&gt;=(Reprogramaciones!$T$15+7*(Reprogramaciones!$S$15-1))+6,1,IF(MAX(0,NETWORKDAYS.INTL(MAX(E185,(Reprogramaciones!$T$15+7*(Reprogramaciones!$S$15-1))),MIN(F185,(Reprogramaciones!$T$15+7*(Reprogramaciones!$S$15-1))+6),11))=0,0,MAX(0,NETWORKDAYS.INTL(MAX(E185,(Reprogramaciones!$T$15+7*(Reprogramaciones!$S$15-1))),MIN(F185,Reprogramaciones!$Q$15),11))/MAX(0,NETWORKDAYS.INTL(MAX(E185,(Reprogramaciones!$T$15+7*(Reprogramaciones!$S$15-1))),MIN(F185,(Reprogramaciones!$T$15+7*(Reprogramaciones!$S$15-1))+6),11))))))))</f>
        <v/>
      </c>
    </row>
    <row r="186" customFormat="false" ht="15" hidden="false" customHeight="false" outlineLevel="0" collapsed="false">
      <c r="A186" s="32"/>
      <c r="B186" s="33"/>
      <c r="C186" s="33"/>
      <c r="D186" s="34"/>
      <c r="E186" s="35"/>
      <c r="F186" s="35"/>
      <c r="G186" s="36" t="str">
        <f aca="false">IF(OR(NOT(AND(ISNUMBER(E186),ISNUMBER(F186))),$J$2=""),"",IF(Reprogramaciones!K$9&lt;E186,0,IF(NETWORKDAYS.INTL(E186,F186,11)=0,IF(Reprogramaciones!K$9&gt;=F186,100,0),ROUND(NETWORKDAYS.INTL(E186,MIN(F186,Reprogramaciones!K$9),11)/NETWORKDAYS.INTL(E186,F186,11)*100,1)))-0)</f>
        <v/>
      </c>
      <c r="H186" s="36" t="str">
        <f aca="false">IF(OR(NOT(AND(ISNUMBER(E186),ISNUMBER(F186))),$J$2=""),"",IF(Reprogramaciones!L$9&lt;E186,0,IF(NETWORKDAYS.INTL(E186,F186,11)=0,IF(Reprogramaciones!L$9&gt;=F186,100,0),ROUND(NETWORKDAYS.INTL(E186,MIN(F186,Reprogramaciones!L$9),11)/NETWORKDAYS.INTL(E186,F186,11)*100,1)))-IF(Reprogramaciones!K$9&lt;E186,0,IF(NETWORKDAYS.INTL(E186,F186,11)=0,IF(Reprogramaciones!K$9&gt;=F186,100,0),ROUND(NETWORKDAYS.INTL(E186,MIN(F186,Reprogramaciones!K$9),11)/NETWORKDAYS.INTL(E186,F186,11)*100,1))))</f>
        <v/>
      </c>
      <c r="I186" s="36" t="str">
        <f aca="false">IF(OR(NOT(AND(ISNUMBER(E186),ISNUMBER(F186))),$J$2=""),"",IF(Reprogramaciones!M$9&lt;E186,0,IF(NETWORKDAYS.INTL(E186,F186,11)=0,IF(Reprogramaciones!M$9&gt;=F186,100,0),ROUND(NETWORKDAYS.INTL(E186,MIN(F186,Reprogramaciones!M$9),11)/NETWORKDAYS.INTL(E186,F186,11)*100,1)))-IF(Reprogramaciones!L$9&lt;E186,0,IF(NETWORKDAYS.INTL(E186,F186,11)=0,IF(Reprogramaciones!L$9&gt;=F186,100,0),ROUND(NETWORKDAYS.INTL(E186,MIN(F186,Reprogramaciones!L$9),11)/NETWORKDAYS.INTL(E186,F186,11)*100,1))))</f>
        <v/>
      </c>
      <c r="J186" s="36" t="str">
        <f aca="false">IF(OR(NOT(AND(ISNUMBER(E186),ISNUMBER(F186))),$J$2=""),"",IF(Reprogramaciones!N$9&lt;E186,0,IF(NETWORKDAYS.INTL(E186,F186,11)=0,IF(Reprogramaciones!N$9&gt;=F186,100,0),ROUND(NETWORKDAYS.INTL(E186,MIN(F186,Reprogramaciones!N$9),11)/NETWORKDAYS.INTL(E186,F186,11)*100,1)))-IF(Reprogramaciones!M$9&lt;E186,0,IF(NETWORKDAYS.INTL(E186,F186,11)=0,IF(Reprogramaciones!M$9&gt;=F186,100,0),ROUND(NETWORKDAYS.INTL(E186,MIN(F186,Reprogramaciones!M$9),11)/NETWORKDAYS.INTL(E186,F186,11)*100,1))))</f>
        <v/>
      </c>
      <c r="K186" s="36" t="str">
        <f aca="false">IF(OR(NOT(AND(ISNUMBER(E186),ISNUMBER(F186))),$J$2=""),"",IF(Reprogramaciones!O$9&lt;E186,0,IF(NETWORKDAYS.INTL(E186,F186,11)=0,IF(Reprogramaciones!O$9&gt;=F186,100,0),ROUND(NETWORKDAYS.INTL(E186,MIN(F186,Reprogramaciones!O$9),11)/NETWORKDAYS.INTL(E186,F186,11)*100,1)))-IF(Reprogramaciones!N$9&lt;E186,0,IF(NETWORKDAYS.INTL(E186,F186,11)=0,IF(Reprogramaciones!N$9&gt;=F186,100,0),ROUND(NETWORKDAYS.INTL(E186,MIN(F186,Reprogramaciones!N$9),11)/NETWORKDAYS.INTL(E186,F186,11)*100,1))))</f>
        <v/>
      </c>
      <c r="L186" s="36" t="str">
        <f aca="false">IF(OR(NOT(AND(ISNUMBER(E186),ISNUMBER(F186))),$J$2=""),"",IF(Reprogramaciones!P$9&lt;E186,0,IF(NETWORKDAYS.INTL(E186,F186,11)=0,IF(Reprogramaciones!P$9&gt;=F186,100,0),ROUND(NETWORKDAYS.INTL(E186,MIN(F186,Reprogramaciones!P$9),11)/NETWORKDAYS.INTL(E186,F186,11)*100,1)))-IF(Reprogramaciones!O$9&lt;E186,0,IF(NETWORKDAYS.INTL(E186,F186,11)=0,IF(Reprogramaciones!O$9&gt;=F186,100,0),ROUND(NETWORKDAYS.INTL(E186,MIN(F186,Reprogramaciones!O$9),11)/NETWORKDAYS.INTL(E186,F186,11)*100,1))))</f>
        <v/>
      </c>
      <c r="M186" s="36" t="str">
        <f aca="false">IF(OR(NOT(AND(ISNUMBER(E186),ISNUMBER(F186))),$J$2=""),"",IF(Reprogramaciones!Q$9&lt;E186,0,IF(NETWORKDAYS.INTL(E186,F186,11)=0,IF(Reprogramaciones!Q$9&gt;=F186,100,0),ROUND(NETWORKDAYS.INTL(E186,MIN(F186,Reprogramaciones!Q$9),11)/NETWORKDAYS.INTL(E186,F186,11)*100,1)))-IF(Reprogramaciones!P$9&lt;E186,0,IF(NETWORKDAYS.INTL(E186,F186,11)=0,IF(Reprogramaciones!P$9&gt;=F186,100,0),ROUND(NETWORKDAYS.INTL(E186,MIN(F186,Reprogramaciones!P$9),11)/NETWORKDAYS.INTL(E186,F186,11)*100,1))))</f>
        <v/>
      </c>
      <c r="N186" s="36" t="str">
        <f aca="false">IF(OR(NOT(AND(ISNUMBER(E186),ISNUMBER(F186))),$J$2=""),"",IF(Reprogramaciones!R$9&lt;E186,0,IF(NETWORKDAYS.INTL(E186,F186,11)=0,IF(Reprogramaciones!R$9&gt;=F186,100,0),ROUND(NETWORKDAYS.INTL(E186,MIN(F186,Reprogramaciones!R$9),11)/NETWORKDAYS.INTL(E186,F186,11)*100,1)))-IF(Reprogramaciones!Q$9&lt;E186,0,IF(NETWORKDAYS.INTL(E186,F186,11)=0,IF(Reprogramaciones!Q$9&gt;=F186,100,0),ROUND(NETWORKDAYS.INTL(E186,MIN(F186,Reprogramaciones!Q$9),11)/NETWORKDAYS.INTL(E186,F186,11)*100,1))))</f>
        <v/>
      </c>
      <c r="O186" s="36" t="str">
        <f aca="false">IF(OR(NOT(AND(ISNUMBER(E186),ISNUMBER(F186))),$J$2=""),"",IF(Reprogramaciones!S$9&lt;E186,0,IF(NETWORKDAYS.INTL(E186,F186,11)=0,IF(Reprogramaciones!S$9&gt;=F186,100,0),ROUND(NETWORKDAYS.INTL(E186,MIN(F186,Reprogramaciones!S$9),11)/NETWORKDAYS.INTL(E186,F186,11)*100,1)))-IF(Reprogramaciones!R$9&lt;E186,0,IF(NETWORKDAYS.INTL(E186,F186,11)=0,IF(Reprogramaciones!R$9&gt;=F186,100,0),ROUND(NETWORKDAYS.INTL(E186,MIN(F186,Reprogramaciones!R$9),11)/NETWORKDAYS.INTL(E186,F186,11)*100,1))))</f>
        <v/>
      </c>
      <c r="P186" s="36" t="str">
        <f aca="false">IF(OR(NOT(AND(ISNUMBER(E186),ISNUMBER(F186))),$J$2=""),"",IF(Reprogramaciones!T$9&lt;E186,0,IF(NETWORKDAYS.INTL(E186,F186,11)=0,IF(Reprogramaciones!T$9&gt;=F186,100,0),ROUND(NETWORKDAYS.INTL(E186,MIN(F186,Reprogramaciones!T$9),11)/NETWORKDAYS.INTL(E186,F186,11)*100,1)))-IF(Reprogramaciones!S$9&lt;E186,0,IF(NETWORKDAYS.INTL(E186,F186,11)=0,IF(Reprogramaciones!S$9&gt;=F186,100,0),ROUND(NETWORKDAYS.INTL(E186,MIN(F186,Reprogramaciones!S$9),11)/NETWORKDAYS.INTL(E186,F186,11)*100,1))))</f>
        <v/>
      </c>
      <c r="Q186" s="37"/>
      <c r="R186" s="37"/>
      <c r="S186" s="37"/>
      <c r="T186" s="37"/>
      <c r="U186" s="37"/>
      <c r="V186" s="37"/>
      <c r="W186" s="37"/>
      <c r="X186" s="37"/>
      <c r="Y186" s="37"/>
      <c r="Z186" s="37"/>
      <c r="AA186" s="37"/>
      <c r="AB186" s="37"/>
      <c r="AC186" s="37"/>
      <c r="AD186" s="37"/>
      <c r="AE186" s="37"/>
      <c r="AF186" s="37"/>
      <c r="AG186" s="38" t="str">
        <f aca="false">IF(AND(ISNUMBER(E186),ISNUMBER(F186)),NETWORKDAYS.INTL(E186,F186,11),"")</f>
        <v/>
      </c>
      <c r="AH186" s="38" t="str">
        <f aca="false">IF(OR(NOT(AND(ISNUMBER(E186),ISNUMBER(F186))),$J$2=""),"",IF(Reprogramaciones!$P$15&lt;Reprogramaciones!$T$15,0,IF(Reprogramaciones!$R$15&gt;10,MIN(100,SUM($G186:$P186)),MIN(100,SUMPRODUCT((COLUMN($G186:$P186)-COLUMN($G186)+1&lt;Reprogramaciones!$R$15)*$G186:$P186)+N(INDEX($G186:$P186,1,Reprogramaciones!$R$15))*IF(Reprogramaciones!$P$15&gt;=(Reprogramaciones!$T$15+7*(Reprogramaciones!$R$15-1))+6,1,IF(MAX(0,NETWORKDAYS.INTL(MAX(E186,(Reprogramaciones!$T$15+7*(Reprogramaciones!$R$15-1))),MIN(F186,(Reprogramaciones!$T$15+7*(Reprogramaciones!$R$15-1))+6),11))=0,0,MAX(0,NETWORKDAYS.INTL(MAX(E186,(Reprogramaciones!$T$15+7*(Reprogramaciones!$R$15-1))),MIN(F186,Reprogramaciones!$P$15),11))/MAX(0,NETWORKDAYS.INTL(MAX(E186,(Reprogramaciones!$T$15+7*(Reprogramaciones!$R$15-1))),MIN(F186,(Reprogramaciones!$T$15+7*(Reprogramaciones!$R$15-1))+6),11))))))))</f>
        <v/>
      </c>
      <c r="AI186" s="38" t="str">
        <f aca="false">IF(COUNT($Q186:$AF186)=0,"",IF(ROUND(SUM($Q186:$AF186),1)&gt;=99.5,100,MIN(100,ROUND(SUM($Q186:$AF186),1))))</f>
        <v/>
      </c>
      <c r="AJ186" s="38" t="str">
        <f aca="false">IF(OR(AH186="",AI186=""),"",AI186-AH186)</f>
        <v/>
      </c>
      <c r="AK186" s="39" t="str">
        <f aca="true">IF(AH186="","",IF(OR(Ficha!$C$10="Suspendida",Ficha!$C$10="Cancelada"),Ficha!$C$10,IF(AND(AI186&lt;&gt;"",N(AI186)&gt;=100),"Completada",IF(AND(E186&gt;TODAY(),N(AI186)=0),"Por iniciar",IF(N(AI186)+0.5&lt;AH186,"Retrasada",IF(N(AI186)+0.5&lt;DA186,IF(Reprogramaciones!$K$15&gt;0,"Al día · Sem "&amp;Reprogramaciones!$K$15&amp;" en curso","Al día · en curso"),"A tiempo"))))))</f>
        <v/>
      </c>
      <c r="AL186" s="39" t="str">
        <f aca="true">IF(AND(A186="",AND(B186="",C186="",E186="",F186="",COUNT(Q186:AF186)=0)),"",IF(AND(B186="",C186="",E186="",F186="",COUNT(Q186:AF186)=0),"Falta la partida o subpartida",IF(AND(A186&lt;&gt;"",COUNTIF($A$6:$A$305,A186)&gt;1),"Ítem repetido",IF(AND(C186="",E186="",F186="",COUNT(Q186:AF186)=0),"Título de partida",IF(OR(E186="",F186=""),"Faltan fechas",IF(OR(ISTEXT(E186),ISTEXT(F186)),"Fecha escrita como texto: usa dd/mm/aaaa",IF(F186&lt;E186,"Fin antes del inicio",IF(IF($J$2="",FALSE(),OR(E186&lt;$J$2,F186&gt;Reprogramaciones!$T$15+69)),"Fuera de las 10 semanas",IF(ABS(SUM(G186:P186)-100)&gt;0.5,"La meta no suma 100%",IF(ROUND(SUM(Q186:AF186),1)&gt;100.5,"El avance pasa de 100%",IF(MIN(Q186:AF186)&lt;0,"Avance negativo",IF(COUNTA(Q186:AF186)&gt;COUNT(Q186:AF186),"Avance escrito como texto",IF(SUMPRODUCT((Q186:AF186&gt;0)*(Q186:AF186&lt;1))&gt;0,"Avance menor a 1: escribe 50, no 50%",IF(SUMPRODUCT(ISNUMBER(Q186:AF186)*(Reprogramaciones!$K$8:$Z$8&gt;TODAY()))&gt;0,"Avance en semana que aún no llega",IF(AND(N(Reprogramaciones!$E$21)&gt;0,F186&gt;Reprogramaciones!$E$21),"Pasa el fin de la obra: registra una reprogramación",IF(AND(N(Reprogramaciones!$E$21)&gt;0,SUMPRODUCT(ISNUMBER(Q186:AF186)*(Reprogramaciones!$K$8:$Z$8&gt;Reprogramaciones!$E$21))&gt;0),"Avance después del fin de la obra: registra una reprogramación por atraso","OK"))))))))))))))))</f>
        <v/>
      </c>
      <c r="AM186" s="40" t="str">
        <f aca="false">IF(OR(OR(NOT(AND(ISNUMBER(E186),ISNUMBER(F186))),$J$2=""),1&gt;MAX(1,Reprogramaciones!$U$15)),"",IF(Reprogramaciones!K$12&gt;=7,"",IF(OR(BT186-N(0)&gt;0.05,N(Q186)&gt;0),ROUNDDOWN(ROUND(BT186,6),0)&amp;"%"&amp;IF(CJ186="",""," / "&amp;CJ186&amp;"%"),IF(AND(N(0)&gt;=99.95,CJ186&lt;&gt;"",N(CJ186)&lt;100),"Pend. "&amp;CJ186&amp;"%",""))))</f>
        <v/>
      </c>
      <c r="AN186" s="40" t="str">
        <f aca="false">IF(OR(OR(NOT(AND(ISNUMBER(E186),ISNUMBER(F186))),$J$2=""),2&gt;MAX(1,Reprogramaciones!$U$15)),"",IF(Reprogramaciones!L$12&gt;=7,"",IF(OR(BU186-N(BT186)&gt;0.05,N(R186)&gt;0),ROUNDDOWN(ROUND(BU186,6),0)&amp;"%"&amp;IF(CK186="",""," / "&amp;CK186&amp;"%"),IF(AND(N(BT186)&gt;=99.95,CK186&lt;&gt;"",N(CK186)&lt;100),"Pend. "&amp;CK186&amp;"%",""))))</f>
        <v/>
      </c>
      <c r="AO186" s="40" t="str">
        <f aca="false">IF(OR(OR(NOT(AND(ISNUMBER(E186),ISNUMBER(F186))),$J$2=""),3&gt;MAX(1,Reprogramaciones!$U$15)),"",IF(Reprogramaciones!M$12&gt;=7,"",IF(OR(BV186-N(BU186)&gt;0.05,N(S186)&gt;0),ROUNDDOWN(ROUND(BV186,6),0)&amp;"%"&amp;IF(CL186="",""," / "&amp;CL186&amp;"%"),IF(AND(N(BU186)&gt;=99.95,CL186&lt;&gt;"",N(CL186)&lt;100),"Pend. "&amp;CL186&amp;"%",""))))</f>
        <v/>
      </c>
      <c r="AP186" s="40" t="str">
        <f aca="false">IF(OR(OR(NOT(AND(ISNUMBER(E186),ISNUMBER(F186))),$J$2=""),4&gt;MAX(1,Reprogramaciones!$U$15)),"",IF(Reprogramaciones!N$12&gt;=7,"",IF(OR(BW186-N(BV186)&gt;0.05,N(T186)&gt;0),ROUNDDOWN(ROUND(BW186,6),0)&amp;"%"&amp;IF(CM186="",""," / "&amp;CM186&amp;"%"),IF(AND(N(BV186)&gt;=99.95,CM186&lt;&gt;"",N(CM186)&lt;100),"Pend. "&amp;CM186&amp;"%",""))))</f>
        <v/>
      </c>
      <c r="AQ186" s="40" t="str">
        <f aca="false">IF(OR(OR(NOT(AND(ISNUMBER(E186),ISNUMBER(F186))),$J$2=""),5&gt;MAX(1,Reprogramaciones!$U$15)),"",IF(Reprogramaciones!O$12&gt;=7,"",IF(OR(BX186-N(BW186)&gt;0.05,N(U186)&gt;0),ROUNDDOWN(ROUND(BX186,6),0)&amp;"%"&amp;IF(CN186="",""," / "&amp;CN186&amp;"%"),IF(AND(N(BW186)&gt;=99.95,CN186&lt;&gt;"",N(CN186)&lt;100),"Pend. "&amp;CN186&amp;"%",""))))</f>
        <v/>
      </c>
      <c r="AR186" s="40" t="str">
        <f aca="false">IF(OR(OR(NOT(AND(ISNUMBER(E186),ISNUMBER(F186))),$J$2=""),6&gt;MAX(1,Reprogramaciones!$U$15)),"",IF(Reprogramaciones!P$12&gt;=7,"",IF(OR(BY186-N(BX186)&gt;0.05,N(V186)&gt;0),ROUNDDOWN(ROUND(BY186,6),0)&amp;"%"&amp;IF(CO186="",""," / "&amp;CO186&amp;"%"),IF(AND(N(BX186)&gt;=99.95,CO186&lt;&gt;"",N(CO186)&lt;100),"Pend. "&amp;CO186&amp;"%",""))))</f>
        <v/>
      </c>
      <c r="AS186" s="40" t="str">
        <f aca="false">IF(OR(OR(NOT(AND(ISNUMBER(E186),ISNUMBER(F186))),$J$2=""),7&gt;MAX(1,Reprogramaciones!$U$15)),"",IF(Reprogramaciones!Q$12&gt;=7,"",IF(OR(BZ186-N(BY186)&gt;0.05,N(W186)&gt;0),ROUNDDOWN(ROUND(BZ186,6),0)&amp;"%"&amp;IF(CP186="",""," / "&amp;CP186&amp;"%"),IF(AND(N(BY186)&gt;=99.95,CP186&lt;&gt;"",N(CP186)&lt;100),"Pend. "&amp;CP186&amp;"%",""))))</f>
        <v/>
      </c>
      <c r="AT186" s="40" t="str">
        <f aca="false">IF(OR(OR(NOT(AND(ISNUMBER(E186),ISNUMBER(F186))),$J$2=""),8&gt;MAX(1,Reprogramaciones!$U$15)),"",IF(Reprogramaciones!R$12&gt;=7,"",IF(OR(CA186-N(BZ186)&gt;0.05,N(X186)&gt;0),ROUNDDOWN(ROUND(CA186,6),0)&amp;"%"&amp;IF(CQ186="",""," / "&amp;CQ186&amp;"%"),IF(AND(N(BZ186)&gt;=99.95,CQ186&lt;&gt;"",N(CQ186)&lt;100),"Pend. "&amp;CQ186&amp;"%",""))))</f>
        <v/>
      </c>
      <c r="AU186" s="40" t="str">
        <f aca="false">IF(OR(OR(NOT(AND(ISNUMBER(E186),ISNUMBER(F186))),$J$2=""),9&gt;MAX(1,Reprogramaciones!$U$15)),"",IF(Reprogramaciones!S$12&gt;=7,"",IF(OR(CB186-N(CA186)&gt;0.05,N(Y186)&gt;0),ROUNDDOWN(ROUND(CB186,6),0)&amp;"%"&amp;IF(CR186="",""," / "&amp;CR186&amp;"%"),IF(AND(N(CA186)&gt;=99.95,CR186&lt;&gt;"",N(CR186)&lt;100),"Pend. "&amp;CR186&amp;"%",""))))</f>
        <v/>
      </c>
      <c r="AV186" s="40" t="str">
        <f aca="false">IF(OR(OR(NOT(AND(ISNUMBER(E186),ISNUMBER(F186))),$J$2=""),10&gt;MAX(1,Reprogramaciones!$U$15)),"",IF(Reprogramaciones!T$12&gt;=7,"",IF(OR(CC186-N(CB186)&gt;0.05,N(Z186)&gt;0),ROUNDDOWN(ROUND(CC186,6),0)&amp;"%"&amp;IF(CS186="",""," / "&amp;CS186&amp;"%"),IF(AND(N(CB186)&gt;=99.95,CS186&lt;&gt;"",N(CS186)&lt;100),"Pend. "&amp;CS186&amp;"%",""))))</f>
        <v/>
      </c>
      <c r="AW186" s="40" t="str">
        <f aca="false">IF(OR(OR(NOT(AND(ISNUMBER(E186),ISNUMBER(F186))),$J$2=""),11&gt;MAX(1,Reprogramaciones!$U$15)),"",IF(Reprogramaciones!U$12&gt;=7,"",IF(OR(CD186-N(CC186)&gt;0.05,N(AA186)&gt;0),ROUNDDOWN(ROUND(CD186,6),0)&amp;"%"&amp;IF(CT186="",""," / "&amp;CT186&amp;"%"),IF(AND(N(CC186)&gt;=99.95,CT186&lt;&gt;"",N(CT186)&lt;100),"Pend. "&amp;CT186&amp;"%",""))))</f>
        <v/>
      </c>
      <c r="AX186" s="40" t="str">
        <f aca="false">IF(OR(OR(NOT(AND(ISNUMBER(E186),ISNUMBER(F186))),$J$2=""),12&gt;MAX(1,Reprogramaciones!$U$15)),"",IF(Reprogramaciones!V$12&gt;=7,"",IF(OR(CE186-N(CD186)&gt;0.05,N(AB186)&gt;0),ROUNDDOWN(ROUND(CE186,6),0)&amp;"%"&amp;IF(CU186="",""," / "&amp;CU186&amp;"%"),IF(AND(N(CD186)&gt;=99.95,CU186&lt;&gt;"",N(CU186)&lt;100),"Pend. "&amp;CU186&amp;"%",""))))</f>
        <v/>
      </c>
      <c r="AY186" s="40" t="str">
        <f aca="false">IF(OR(OR(NOT(AND(ISNUMBER(E186),ISNUMBER(F186))),$J$2=""),13&gt;MAX(1,Reprogramaciones!$U$15)),"",IF(Reprogramaciones!W$12&gt;=7,"",IF(OR(CF186-N(CE186)&gt;0.05,N(AC186)&gt;0),ROUNDDOWN(ROUND(CF186,6),0)&amp;"%"&amp;IF(CV186="",""," / "&amp;CV186&amp;"%"),IF(AND(N(CE186)&gt;=99.95,CV186&lt;&gt;"",N(CV186)&lt;100),"Pend. "&amp;CV186&amp;"%",""))))</f>
        <v/>
      </c>
      <c r="AZ186" s="40" t="str">
        <f aca="false">IF(OR(OR(NOT(AND(ISNUMBER(E186),ISNUMBER(F186))),$J$2=""),14&gt;MAX(1,Reprogramaciones!$U$15)),"",IF(Reprogramaciones!X$12&gt;=7,"",IF(OR(CG186-N(CF186)&gt;0.05,N(AD186)&gt;0),ROUNDDOWN(ROUND(CG186,6),0)&amp;"%"&amp;IF(CW186="",""," / "&amp;CW186&amp;"%"),IF(AND(N(CF186)&gt;=99.95,CW186&lt;&gt;"",N(CW186)&lt;100),"Pend. "&amp;CW186&amp;"%",""))))</f>
        <v/>
      </c>
      <c r="BA186" s="40" t="str">
        <f aca="false">IF(OR(OR(NOT(AND(ISNUMBER(E186),ISNUMBER(F186))),$J$2=""),15&gt;MAX(1,Reprogramaciones!$U$15)),"",IF(Reprogramaciones!Y$12&gt;=7,"",IF(OR(CH186-N(CG186)&gt;0.05,N(AE186)&gt;0),ROUNDDOWN(ROUND(CH186,6),0)&amp;"%"&amp;IF(CX186="",""," / "&amp;CX186&amp;"%"),IF(AND(N(CG186)&gt;=99.95,CX186&lt;&gt;"",N(CX186)&lt;100),"Pend. "&amp;CX186&amp;"%",""))))</f>
        <v/>
      </c>
      <c r="BB186" s="40" t="str">
        <f aca="false">IF(OR(OR(NOT(AND(ISNUMBER(E186),ISNUMBER(F186))),$J$2=""),16&gt;MAX(1,Reprogramaciones!$U$15)),"",IF(Reprogramaciones!Z$12&gt;=7,"",IF(OR(CI186-N(CH186)&gt;0.05,N(AF186)&gt;0),ROUNDDOWN(ROUND(CI186,6),0)&amp;"%"&amp;IF(CY186="",""," / "&amp;CY186&amp;"%"),IF(AND(N(CH186)&gt;=99.95,CY186&lt;&gt;"",N(CY186)&lt;100),"Pend. "&amp;CY186&amp;"%",""))))</f>
        <v/>
      </c>
      <c r="BC186" s="31" t="n">
        <f aca="false">IF(AND(ISNUMBER(E186),ISNUMBER(F186)),MAX(1,NETWORKDAYS.INTL(E186,F186,11)),0)</f>
        <v>0</v>
      </c>
      <c r="BD186" s="1" t="str">
        <f aca="false">IF(OR(NOT(AND(ISNUMBER(E186),ISNUMBER(F186))),$J$2=""),"",MIN(100,ROUND(SUM($G186:G186),1)))</f>
        <v/>
      </c>
      <c r="BE186" s="1" t="str">
        <f aca="false">IF(OR(NOT(AND(ISNUMBER(E186),ISNUMBER(F186))),$J$2=""),"",MIN(100,ROUND(SUM($G186:H186),1)))</f>
        <v/>
      </c>
      <c r="BF186" s="1" t="str">
        <f aca="false">IF(OR(NOT(AND(ISNUMBER(E186),ISNUMBER(F186))),$J$2=""),"",MIN(100,ROUND(SUM($G186:I186),1)))</f>
        <v/>
      </c>
      <c r="BG186" s="1" t="str">
        <f aca="false">IF(OR(NOT(AND(ISNUMBER(E186),ISNUMBER(F186))),$J$2=""),"",MIN(100,ROUND(SUM($G186:J186),1)))</f>
        <v/>
      </c>
      <c r="BH186" s="1" t="str">
        <f aca="false">IF(OR(NOT(AND(ISNUMBER(E186),ISNUMBER(F186))),$J$2=""),"",MIN(100,ROUND(SUM($G186:K186),1)))</f>
        <v/>
      </c>
      <c r="BI186" s="1" t="str">
        <f aca="false">IF(OR(NOT(AND(ISNUMBER(E186),ISNUMBER(F186))),$J$2=""),"",MIN(100,ROUND(SUM($G186:L186),1)))</f>
        <v/>
      </c>
      <c r="BJ186" s="1" t="str">
        <f aca="false">IF(OR(NOT(AND(ISNUMBER(E186),ISNUMBER(F186))),$J$2=""),"",MIN(100,ROUND(SUM($G186:M186),1)))</f>
        <v/>
      </c>
      <c r="BK186" s="1" t="str">
        <f aca="false">IF(OR(NOT(AND(ISNUMBER(E186),ISNUMBER(F186))),$J$2=""),"",MIN(100,ROUND(SUM($G186:N186),1)))</f>
        <v/>
      </c>
      <c r="BL186" s="1" t="str">
        <f aca="false">IF(OR(NOT(AND(ISNUMBER(E186),ISNUMBER(F186))),$J$2=""),"",MIN(100,ROUND(SUM($G186:O186),1)))</f>
        <v/>
      </c>
      <c r="BM186" s="1" t="str">
        <f aca="false">IF(OR(NOT(AND(ISNUMBER(E186),ISNUMBER(F186))),$J$2=""),"",MIN(100,ROUND(SUM($G186:P186),1)))</f>
        <v/>
      </c>
      <c r="BN186" s="1" t="str">
        <f aca="false">IF(OR(NOT(AND(ISNUMBER(E186),ISNUMBER(F186))),$J$2=""),"",MIN(100,ROUND(SUM($G186:P186),1)))</f>
        <v/>
      </c>
      <c r="BO186" s="1" t="str">
        <f aca="false">IF(OR(NOT(AND(ISNUMBER(E186),ISNUMBER(F186))),$J$2=""),"",MIN(100,ROUND(SUM($G186:P186),1)))</f>
        <v/>
      </c>
      <c r="BP186" s="1" t="str">
        <f aca="false">IF(OR(NOT(AND(ISNUMBER(E186),ISNUMBER(F186))),$J$2=""),"",MIN(100,ROUND(SUM($G186:P186),1)))</f>
        <v/>
      </c>
      <c r="BQ186" s="1" t="str">
        <f aca="false">IF(OR(NOT(AND(ISNUMBER(E186),ISNUMBER(F186))),$J$2=""),"",MIN(100,ROUND(SUM($G186:P186),1)))</f>
        <v/>
      </c>
      <c r="BR186" s="1" t="str">
        <f aca="false">IF(OR(NOT(AND(ISNUMBER(E186),ISNUMBER(F186))),$J$2=""),"",MIN(100,ROUND(SUM($G186:P186),1)))</f>
        <v/>
      </c>
      <c r="BS186" s="1" t="str">
        <f aca="false">IF(OR(NOT(AND(ISNUMBER(E186),ISNUMBER(F186))),$J$2=""),"",MIN(100,ROUND(SUM($G186:P186),1)))</f>
        <v/>
      </c>
      <c r="BT186" s="1" t="str">
        <f aca="false">IF(OR(NOT(AND(ISNUMBER(E186),ISNUMBER(F186))),$J$2=""),"",IF(Reprogramaciones!K$13&lt;Reprogramaciones!$T$15,0,IF(Reprogramaciones!K$14&gt;10,MIN(100,SUM($G186:$P186)),MIN(100,SUMPRODUCT((COLUMN($G186:$P186)-COLUMN($G186)+1&lt;Reprogramaciones!K$14)*$G186:$P186)+N(INDEX($G186:$P186,1,Reprogramaciones!K$14))*IF(Reprogramaciones!K$13&gt;=(Reprogramaciones!$T$15+7*(Reprogramaciones!K$14-1))+6,1,IF(MAX(0,NETWORKDAYS.INTL(MAX(E186,(Reprogramaciones!$T$15+7*(Reprogramaciones!K$14-1))),MIN(F186,(Reprogramaciones!$T$15+7*(Reprogramaciones!K$14-1))+6),11))=0,0,MAX(0,NETWORKDAYS.INTL(MAX(E186,(Reprogramaciones!$T$15+7*(Reprogramaciones!K$14-1))),MIN(F186,Reprogramaciones!K$13),11))/MAX(0,NETWORKDAYS.INTL(MAX(E186,(Reprogramaciones!$T$15+7*(Reprogramaciones!K$14-1))),MIN(F186,(Reprogramaciones!$T$15+7*(Reprogramaciones!K$14-1))+6),11))))))))</f>
        <v/>
      </c>
      <c r="BU186" s="1" t="str">
        <f aca="false">IF(OR(NOT(AND(ISNUMBER(E186),ISNUMBER(F186))),$J$2=""),"",IF(Reprogramaciones!L$13&lt;Reprogramaciones!$T$15,0,IF(Reprogramaciones!L$14&gt;10,MIN(100,SUM($G186:$P186)),MIN(100,SUMPRODUCT((COLUMN($G186:$P186)-COLUMN($G186)+1&lt;Reprogramaciones!L$14)*$G186:$P186)+N(INDEX($G186:$P186,1,Reprogramaciones!L$14))*IF(Reprogramaciones!L$13&gt;=(Reprogramaciones!$T$15+7*(Reprogramaciones!L$14-1))+6,1,IF(MAX(0,NETWORKDAYS.INTL(MAX(E186,(Reprogramaciones!$T$15+7*(Reprogramaciones!L$14-1))),MIN(F186,(Reprogramaciones!$T$15+7*(Reprogramaciones!L$14-1))+6),11))=0,0,MAX(0,NETWORKDAYS.INTL(MAX(E186,(Reprogramaciones!$T$15+7*(Reprogramaciones!L$14-1))),MIN(F186,Reprogramaciones!L$13),11))/MAX(0,NETWORKDAYS.INTL(MAX(E186,(Reprogramaciones!$T$15+7*(Reprogramaciones!L$14-1))),MIN(F186,(Reprogramaciones!$T$15+7*(Reprogramaciones!L$14-1))+6),11))))))))</f>
        <v/>
      </c>
      <c r="BV186" s="1" t="str">
        <f aca="false">IF(OR(NOT(AND(ISNUMBER(E186),ISNUMBER(F186))),$J$2=""),"",IF(Reprogramaciones!M$13&lt;Reprogramaciones!$T$15,0,IF(Reprogramaciones!M$14&gt;10,MIN(100,SUM($G186:$P186)),MIN(100,SUMPRODUCT((COLUMN($G186:$P186)-COLUMN($G186)+1&lt;Reprogramaciones!M$14)*$G186:$P186)+N(INDEX($G186:$P186,1,Reprogramaciones!M$14))*IF(Reprogramaciones!M$13&gt;=(Reprogramaciones!$T$15+7*(Reprogramaciones!M$14-1))+6,1,IF(MAX(0,NETWORKDAYS.INTL(MAX(E186,(Reprogramaciones!$T$15+7*(Reprogramaciones!M$14-1))),MIN(F186,(Reprogramaciones!$T$15+7*(Reprogramaciones!M$14-1))+6),11))=0,0,MAX(0,NETWORKDAYS.INTL(MAX(E186,(Reprogramaciones!$T$15+7*(Reprogramaciones!M$14-1))),MIN(F186,Reprogramaciones!M$13),11))/MAX(0,NETWORKDAYS.INTL(MAX(E186,(Reprogramaciones!$T$15+7*(Reprogramaciones!M$14-1))),MIN(F186,(Reprogramaciones!$T$15+7*(Reprogramaciones!M$14-1))+6),11))))))))</f>
        <v/>
      </c>
      <c r="BW186" s="1" t="str">
        <f aca="false">IF(OR(NOT(AND(ISNUMBER(E186),ISNUMBER(F186))),$J$2=""),"",IF(Reprogramaciones!N$13&lt;Reprogramaciones!$T$15,0,IF(Reprogramaciones!N$14&gt;10,MIN(100,SUM($G186:$P186)),MIN(100,SUMPRODUCT((COLUMN($G186:$P186)-COLUMN($G186)+1&lt;Reprogramaciones!N$14)*$G186:$P186)+N(INDEX($G186:$P186,1,Reprogramaciones!N$14))*IF(Reprogramaciones!N$13&gt;=(Reprogramaciones!$T$15+7*(Reprogramaciones!N$14-1))+6,1,IF(MAX(0,NETWORKDAYS.INTL(MAX(E186,(Reprogramaciones!$T$15+7*(Reprogramaciones!N$14-1))),MIN(F186,(Reprogramaciones!$T$15+7*(Reprogramaciones!N$14-1))+6),11))=0,0,MAX(0,NETWORKDAYS.INTL(MAX(E186,(Reprogramaciones!$T$15+7*(Reprogramaciones!N$14-1))),MIN(F186,Reprogramaciones!N$13),11))/MAX(0,NETWORKDAYS.INTL(MAX(E186,(Reprogramaciones!$T$15+7*(Reprogramaciones!N$14-1))),MIN(F186,(Reprogramaciones!$T$15+7*(Reprogramaciones!N$14-1))+6),11))))))))</f>
        <v/>
      </c>
      <c r="BX186" s="1" t="str">
        <f aca="false">IF(OR(NOT(AND(ISNUMBER(E186),ISNUMBER(F186))),$J$2=""),"",IF(Reprogramaciones!O$13&lt;Reprogramaciones!$T$15,0,IF(Reprogramaciones!O$14&gt;10,MIN(100,SUM($G186:$P186)),MIN(100,SUMPRODUCT((COLUMN($G186:$P186)-COLUMN($G186)+1&lt;Reprogramaciones!O$14)*$G186:$P186)+N(INDEX($G186:$P186,1,Reprogramaciones!O$14))*IF(Reprogramaciones!O$13&gt;=(Reprogramaciones!$T$15+7*(Reprogramaciones!O$14-1))+6,1,IF(MAX(0,NETWORKDAYS.INTL(MAX(E186,(Reprogramaciones!$T$15+7*(Reprogramaciones!O$14-1))),MIN(F186,(Reprogramaciones!$T$15+7*(Reprogramaciones!O$14-1))+6),11))=0,0,MAX(0,NETWORKDAYS.INTL(MAX(E186,(Reprogramaciones!$T$15+7*(Reprogramaciones!O$14-1))),MIN(F186,Reprogramaciones!O$13),11))/MAX(0,NETWORKDAYS.INTL(MAX(E186,(Reprogramaciones!$T$15+7*(Reprogramaciones!O$14-1))),MIN(F186,(Reprogramaciones!$T$15+7*(Reprogramaciones!O$14-1))+6),11))))))))</f>
        <v/>
      </c>
      <c r="BY186" s="1" t="str">
        <f aca="false">IF(OR(NOT(AND(ISNUMBER(E186),ISNUMBER(F186))),$J$2=""),"",IF(Reprogramaciones!P$13&lt;Reprogramaciones!$T$15,0,IF(Reprogramaciones!P$14&gt;10,MIN(100,SUM($G186:$P186)),MIN(100,SUMPRODUCT((COLUMN($G186:$P186)-COLUMN($G186)+1&lt;Reprogramaciones!P$14)*$G186:$P186)+N(INDEX($G186:$P186,1,Reprogramaciones!P$14))*IF(Reprogramaciones!P$13&gt;=(Reprogramaciones!$T$15+7*(Reprogramaciones!P$14-1))+6,1,IF(MAX(0,NETWORKDAYS.INTL(MAX(E186,(Reprogramaciones!$T$15+7*(Reprogramaciones!P$14-1))),MIN(F186,(Reprogramaciones!$T$15+7*(Reprogramaciones!P$14-1))+6),11))=0,0,MAX(0,NETWORKDAYS.INTL(MAX(E186,(Reprogramaciones!$T$15+7*(Reprogramaciones!P$14-1))),MIN(F186,Reprogramaciones!P$13),11))/MAX(0,NETWORKDAYS.INTL(MAX(E186,(Reprogramaciones!$T$15+7*(Reprogramaciones!P$14-1))),MIN(F186,(Reprogramaciones!$T$15+7*(Reprogramaciones!P$14-1))+6),11))))))))</f>
        <v/>
      </c>
      <c r="BZ186" s="1" t="str">
        <f aca="false">IF(OR(NOT(AND(ISNUMBER(E186),ISNUMBER(F186))),$J$2=""),"",IF(Reprogramaciones!Q$13&lt;Reprogramaciones!$T$15,0,IF(Reprogramaciones!Q$14&gt;10,MIN(100,SUM($G186:$P186)),MIN(100,SUMPRODUCT((COLUMN($G186:$P186)-COLUMN($G186)+1&lt;Reprogramaciones!Q$14)*$G186:$P186)+N(INDEX($G186:$P186,1,Reprogramaciones!Q$14))*IF(Reprogramaciones!Q$13&gt;=(Reprogramaciones!$T$15+7*(Reprogramaciones!Q$14-1))+6,1,IF(MAX(0,NETWORKDAYS.INTL(MAX(E186,(Reprogramaciones!$T$15+7*(Reprogramaciones!Q$14-1))),MIN(F186,(Reprogramaciones!$T$15+7*(Reprogramaciones!Q$14-1))+6),11))=0,0,MAX(0,NETWORKDAYS.INTL(MAX(E186,(Reprogramaciones!$T$15+7*(Reprogramaciones!Q$14-1))),MIN(F186,Reprogramaciones!Q$13),11))/MAX(0,NETWORKDAYS.INTL(MAX(E186,(Reprogramaciones!$T$15+7*(Reprogramaciones!Q$14-1))),MIN(F186,(Reprogramaciones!$T$15+7*(Reprogramaciones!Q$14-1))+6),11))))))))</f>
        <v/>
      </c>
      <c r="CA186" s="1" t="str">
        <f aca="false">IF(OR(NOT(AND(ISNUMBER(E186),ISNUMBER(F186))),$J$2=""),"",IF(Reprogramaciones!R$13&lt;Reprogramaciones!$T$15,0,IF(Reprogramaciones!R$14&gt;10,MIN(100,SUM($G186:$P186)),MIN(100,SUMPRODUCT((COLUMN($G186:$P186)-COLUMN($G186)+1&lt;Reprogramaciones!R$14)*$G186:$P186)+N(INDEX($G186:$P186,1,Reprogramaciones!R$14))*IF(Reprogramaciones!R$13&gt;=(Reprogramaciones!$T$15+7*(Reprogramaciones!R$14-1))+6,1,IF(MAX(0,NETWORKDAYS.INTL(MAX(E186,(Reprogramaciones!$T$15+7*(Reprogramaciones!R$14-1))),MIN(F186,(Reprogramaciones!$T$15+7*(Reprogramaciones!R$14-1))+6),11))=0,0,MAX(0,NETWORKDAYS.INTL(MAX(E186,(Reprogramaciones!$T$15+7*(Reprogramaciones!R$14-1))),MIN(F186,Reprogramaciones!R$13),11))/MAX(0,NETWORKDAYS.INTL(MAX(E186,(Reprogramaciones!$T$15+7*(Reprogramaciones!R$14-1))),MIN(F186,(Reprogramaciones!$T$15+7*(Reprogramaciones!R$14-1))+6),11))))))))</f>
        <v/>
      </c>
      <c r="CB186" s="1" t="str">
        <f aca="false">IF(OR(NOT(AND(ISNUMBER(E186),ISNUMBER(F186))),$J$2=""),"",IF(Reprogramaciones!S$13&lt;Reprogramaciones!$T$15,0,IF(Reprogramaciones!S$14&gt;10,MIN(100,SUM($G186:$P186)),MIN(100,SUMPRODUCT((COLUMN($G186:$P186)-COLUMN($G186)+1&lt;Reprogramaciones!S$14)*$G186:$P186)+N(INDEX($G186:$P186,1,Reprogramaciones!S$14))*IF(Reprogramaciones!S$13&gt;=(Reprogramaciones!$T$15+7*(Reprogramaciones!S$14-1))+6,1,IF(MAX(0,NETWORKDAYS.INTL(MAX(E186,(Reprogramaciones!$T$15+7*(Reprogramaciones!S$14-1))),MIN(F186,(Reprogramaciones!$T$15+7*(Reprogramaciones!S$14-1))+6),11))=0,0,MAX(0,NETWORKDAYS.INTL(MAX(E186,(Reprogramaciones!$T$15+7*(Reprogramaciones!S$14-1))),MIN(F186,Reprogramaciones!S$13),11))/MAX(0,NETWORKDAYS.INTL(MAX(E186,(Reprogramaciones!$T$15+7*(Reprogramaciones!S$14-1))),MIN(F186,(Reprogramaciones!$T$15+7*(Reprogramaciones!S$14-1))+6),11))))))))</f>
        <v/>
      </c>
      <c r="CC186" s="1" t="str">
        <f aca="false">IF(OR(NOT(AND(ISNUMBER(E186),ISNUMBER(F186))),$J$2=""),"",IF(Reprogramaciones!T$13&lt;Reprogramaciones!$T$15,0,IF(Reprogramaciones!T$14&gt;10,MIN(100,SUM($G186:$P186)),MIN(100,SUMPRODUCT((COLUMN($G186:$P186)-COLUMN($G186)+1&lt;Reprogramaciones!T$14)*$G186:$P186)+N(INDEX($G186:$P186,1,Reprogramaciones!T$14))*IF(Reprogramaciones!T$13&gt;=(Reprogramaciones!$T$15+7*(Reprogramaciones!T$14-1))+6,1,IF(MAX(0,NETWORKDAYS.INTL(MAX(E186,(Reprogramaciones!$T$15+7*(Reprogramaciones!T$14-1))),MIN(F186,(Reprogramaciones!$T$15+7*(Reprogramaciones!T$14-1))+6),11))=0,0,MAX(0,NETWORKDAYS.INTL(MAX(E186,(Reprogramaciones!$T$15+7*(Reprogramaciones!T$14-1))),MIN(F186,Reprogramaciones!T$13),11))/MAX(0,NETWORKDAYS.INTL(MAX(E186,(Reprogramaciones!$T$15+7*(Reprogramaciones!T$14-1))),MIN(F186,(Reprogramaciones!$T$15+7*(Reprogramaciones!T$14-1))+6),11))))))))</f>
        <v/>
      </c>
      <c r="CD186" s="1" t="str">
        <f aca="false">IF(OR(NOT(AND(ISNUMBER(E186),ISNUMBER(F186))),$J$2=""),"",IF(Reprogramaciones!U$13&lt;Reprogramaciones!$T$15,0,IF(Reprogramaciones!U$14&gt;10,MIN(100,SUM($G186:$P186)),MIN(100,SUMPRODUCT((COLUMN($G186:$P186)-COLUMN($G186)+1&lt;Reprogramaciones!U$14)*$G186:$P186)+N(INDEX($G186:$P186,1,Reprogramaciones!U$14))*IF(Reprogramaciones!U$13&gt;=(Reprogramaciones!$T$15+7*(Reprogramaciones!U$14-1))+6,1,IF(MAX(0,NETWORKDAYS.INTL(MAX(E186,(Reprogramaciones!$T$15+7*(Reprogramaciones!U$14-1))),MIN(F186,(Reprogramaciones!$T$15+7*(Reprogramaciones!U$14-1))+6),11))=0,0,MAX(0,NETWORKDAYS.INTL(MAX(E186,(Reprogramaciones!$T$15+7*(Reprogramaciones!U$14-1))),MIN(F186,Reprogramaciones!U$13),11))/MAX(0,NETWORKDAYS.INTL(MAX(E186,(Reprogramaciones!$T$15+7*(Reprogramaciones!U$14-1))),MIN(F186,(Reprogramaciones!$T$15+7*(Reprogramaciones!U$14-1))+6),11))))))))</f>
        <v/>
      </c>
      <c r="CE186" s="1" t="str">
        <f aca="false">IF(OR(NOT(AND(ISNUMBER(E186),ISNUMBER(F186))),$J$2=""),"",IF(Reprogramaciones!V$13&lt;Reprogramaciones!$T$15,0,IF(Reprogramaciones!V$14&gt;10,MIN(100,SUM($G186:$P186)),MIN(100,SUMPRODUCT((COLUMN($G186:$P186)-COLUMN($G186)+1&lt;Reprogramaciones!V$14)*$G186:$P186)+N(INDEX($G186:$P186,1,Reprogramaciones!V$14))*IF(Reprogramaciones!V$13&gt;=(Reprogramaciones!$T$15+7*(Reprogramaciones!V$14-1))+6,1,IF(MAX(0,NETWORKDAYS.INTL(MAX(E186,(Reprogramaciones!$T$15+7*(Reprogramaciones!V$14-1))),MIN(F186,(Reprogramaciones!$T$15+7*(Reprogramaciones!V$14-1))+6),11))=0,0,MAX(0,NETWORKDAYS.INTL(MAX(E186,(Reprogramaciones!$T$15+7*(Reprogramaciones!V$14-1))),MIN(F186,Reprogramaciones!V$13),11))/MAX(0,NETWORKDAYS.INTL(MAX(E186,(Reprogramaciones!$T$15+7*(Reprogramaciones!V$14-1))),MIN(F186,(Reprogramaciones!$T$15+7*(Reprogramaciones!V$14-1))+6),11))))))))</f>
        <v/>
      </c>
      <c r="CF186" s="1" t="str">
        <f aca="false">IF(OR(NOT(AND(ISNUMBER(E186),ISNUMBER(F186))),$J$2=""),"",IF(Reprogramaciones!W$13&lt;Reprogramaciones!$T$15,0,IF(Reprogramaciones!W$14&gt;10,MIN(100,SUM($G186:$P186)),MIN(100,SUMPRODUCT((COLUMN($G186:$P186)-COLUMN($G186)+1&lt;Reprogramaciones!W$14)*$G186:$P186)+N(INDEX($G186:$P186,1,Reprogramaciones!W$14))*IF(Reprogramaciones!W$13&gt;=(Reprogramaciones!$T$15+7*(Reprogramaciones!W$14-1))+6,1,IF(MAX(0,NETWORKDAYS.INTL(MAX(E186,(Reprogramaciones!$T$15+7*(Reprogramaciones!W$14-1))),MIN(F186,(Reprogramaciones!$T$15+7*(Reprogramaciones!W$14-1))+6),11))=0,0,MAX(0,NETWORKDAYS.INTL(MAX(E186,(Reprogramaciones!$T$15+7*(Reprogramaciones!W$14-1))),MIN(F186,Reprogramaciones!W$13),11))/MAX(0,NETWORKDAYS.INTL(MAX(E186,(Reprogramaciones!$T$15+7*(Reprogramaciones!W$14-1))),MIN(F186,(Reprogramaciones!$T$15+7*(Reprogramaciones!W$14-1))+6),11))))))))</f>
        <v/>
      </c>
      <c r="CG186" s="1" t="str">
        <f aca="false">IF(OR(NOT(AND(ISNUMBER(E186),ISNUMBER(F186))),$J$2=""),"",IF(Reprogramaciones!X$13&lt;Reprogramaciones!$T$15,0,IF(Reprogramaciones!X$14&gt;10,MIN(100,SUM($G186:$P186)),MIN(100,SUMPRODUCT((COLUMN($G186:$P186)-COLUMN($G186)+1&lt;Reprogramaciones!X$14)*$G186:$P186)+N(INDEX($G186:$P186,1,Reprogramaciones!X$14))*IF(Reprogramaciones!X$13&gt;=(Reprogramaciones!$T$15+7*(Reprogramaciones!X$14-1))+6,1,IF(MAX(0,NETWORKDAYS.INTL(MAX(E186,(Reprogramaciones!$T$15+7*(Reprogramaciones!X$14-1))),MIN(F186,(Reprogramaciones!$T$15+7*(Reprogramaciones!X$14-1))+6),11))=0,0,MAX(0,NETWORKDAYS.INTL(MAX(E186,(Reprogramaciones!$T$15+7*(Reprogramaciones!X$14-1))),MIN(F186,Reprogramaciones!X$13),11))/MAX(0,NETWORKDAYS.INTL(MAX(E186,(Reprogramaciones!$T$15+7*(Reprogramaciones!X$14-1))),MIN(F186,(Reprogramaciones!$T$15+7*(Reprogramaciones!X$14-1))+6),11))))))))</f>
        <v/>
      </c>
      <c r="CH186" s="1" t="str">
        <f aca="false">IF(OR(NOT(AND(ISNUMBER(E186),ISNUMBER(F186))),$J$2=""),"",IF(Reprogramaciones!Y$13&lt;Reprogramaciones!$T$15,0,IF(Reprogramaciones!Y$14&gt;10,MIN(100,SUM($G186:$P186)),MIN(100,SUMPRODUCT((COLUMN($G186:$P186)-COLUMN($G186)+1&lt;Reprogramaciones!Y$14)*$G186:$P186)+N(INDEX($G186:$P186,1,Reprogramaciones!Y$14))*IF(Reprogramaciones!Y$13&gt;=(Reprogramaciones!$T$15+7*(Reprogramaciones!Y$14-1))+6,1,IF(MAX(0,NETWORKDAYS.INTL(MAX(E186,(Reprogramaciones!$T$15+7*(Reprogramaciones!Y$14-1))),MIN(F186,(Reprogramaciones!$T$15+7*(Reprogramaciones!Y$14-1))+6),11))=0,0,MAX(0,NETWORKDAYS.INTL(MAX(E186,(Reprogramaciones!$T$15+7*(Reprogramaciones!Y$14-1))),MIN(F186,Reprogramaciones!Y$13),11))/MAX(0,NETWORKDAYS.INTL(MAX(E186,(Reprogramaciones!$T$15+7*(Reprogramaciones!Y$14-1))),MIN(F186,(Reprogramaciones!$T$15+7*(Reprogramaciones!Y$14-1))+6),11))))))))</f>
        <v/>
      </c>
      <c r="CI186" s="1" t="str">
        <f aca="false">IF(OR(NOT(AND(ISNUMBER(E186),ISNUMBER(F186))),$J$2=""),"",IF(Reprogramaciones!Z$13&lt;Reprogramaciones!$T$15,0,IF(Reprogramaciones!Z$14&gt;10,MIN(100,SUM($G186:$P186)),MIN(100,SUMPRODUCT((COLUMN($G186:$P186)-COLUMN($G186)+1&lt;Reprogramaciones!Z$14)*$G186:$P186)+N(INDEX($G186:$P186,1,Reprogramaciones!Z$14))*IF(Reprogramaciones!Z$13&gt;=(Reprogramaciones!$T$15+7*(Reprogramaciones!Z$14-1))+6,1,IF(MAX(0,NETWORKDAYS.INTL(MAX(E186,(Reprogramaciones!$T$15+7*(Reprogramaciones!Z$14-1))),MIN(F186,(Reprogramaciones!$T$15+7*(Reprogramaciones!Z$14-1))+6),11))=0,0,MAX(0,NETWORKDAYS.INTL(MAX(E186,(Reprogramaciones!$T$15+7*(Reprogramaciones!Z$14-1))),MIN(F186,Reprogramaciones!Z$13),11))/MAX(0,NETWORKDAYS.INTL(MAX(E186,(Reprogramaciones!$T$15+7*(Reprogramaciones!Z$14-1))),MIN(F186,(Reprogramaciones!$T$15+7*(Reprogramaciones!Z$14-1))+6),11))))))))</f>
        <v/>
      </c>
      <c r="CJ186" s="1" t="str">
        <f aca="false">IF(OR(OR(NOT(AND(ISNUMBER(E186),ISNUMBER(F186))),$J$2=""),1&gt;Reprogramaciones!$K$16),"",IF(ROUND(SUM($Q186:Q186),1)&gt;=99.5,100,MIN(100,ROUND(SUM($Q186:Q186),1))))</f>
        <v/>
      </c>
      <c r="CK186" s="1" t="str">
        <f aca="false">IF(OR(OR(NOT(AND(ISNUMBER(E186),ISNUMBER(F186))),$J$2=""),2&gt;Reprogramaciones!$K$16),"",IF(ROUND(SUM($Q186:R186),1)&gt;=99.5,100,MIN(100,ROUND(SUM($Q186:R186),1))))</f>
        <v/>
      </c>
      <c r="CL186" s="1" t="str">
        <f aca="false">IF(OR(OR(NOT(AND(ISNUMBER(E186),ISNUMBER(F186))),$J$2=""),3&gt;Reprogramaciones!$K$16),"",IF(ROUND(SUM($Q186:S186),1)&gt;=99.5,100,MIN(100,ROUND(SUM($Q186:S186),1))))</f>
        <v/>
      </c>
      <c r="CM186" s="1" t="str">
        <f aca="false">IF(OR(OR(NOT(AND(ISNUMBER(E186),ISNUMBER(F186))),$J$2=""),4&gt;Reprogramaciones!$K$16),"",IF(ROUND(SUM($Q186:T186),1)&gt;=99.5,100,MIN(100,ROUND(SUM($Q186:T186),1))))</f>
        <v/>
      </c>
      <c r="CN186" s="1" t="str">
        <f aca="false">IF(OR(OR(NOT(AND(ISNUMBER(E186),ISNUMBER(F186))),$J$2=""),5&gt;Reprogramaciones!$K$16),"",IF(ROUND(SUM($Q186:U186),1)&gt;=99.5,100,MIN(100,ROUND(SUM($Q186:U186),1))))</f>
        <v/>
      </c>
      <c r="CO186" s="1" t="str">
        <f aca="false">IF(OR(OR(NOT(AND(ISNUMBER(E186),ISNUMBER(F186))),$J$2=""),6&gt;Reprogramaciones!$K$16),"",IF(ROUND(SUM($Q186:V186),1)&gt;=99.5,100,MIN(100,ROUND(SUM($Q186:V186),1))))</f>
        <v/>
      </c>
      <c r="CP186" s="1" t="str">
        <f aca="false">IF(OR(OR(NOT(AND(ISNUMBER(E186),ISNUMBER(F186))),$J$2=""),7&gt;Reprogramaciones!$K$16),"",IF(ROUND(SUM($Q186:W186),1)&gt;=99.5,100,MIN(100,ROUND(SUM($Q186:W186),1))))</f>
        <v/>
      </c>
      <c r="CQ186" s="1" t="str">
        <f aca="false">IF(OR(OR(NOT(AND(ISNUMBER(E186),ISNUMBER(F186))),$J$2=""),8&gt;Reprogramaciones!$K$16),"",IF(ROUND(SUM($Q186:X186),1)&gt;=99.5,100,MIN(100,ROUND(SUM($Q186:X186),1))))</f>
        <v/>
      </c>
      <c r="CR186" s="1" t="str">
        <f aca="false">IF(OR(OR(NOT(AND(ISNUMBER(E186),ISNUMBER(F186))),$J$2=""),9&gt;Reprogramaciones!$K$16),"",IF(ROUND(SUM($Q186:Y186),1)&gt;=99.5,100,MIN(100,ROUND(SUM($Q186:Y186),1))))</f>
        <v/>
      </c>
      <c r="CS186" s="1" t="str">
        <f aca="false">IF(OR(OR(NOT(AND(ISNUMBER(E186),ISNUMBER(F186))),$J$2=""),10&gt;Reprogramaciones!$K$16),"",IF(ROUND(SUM($Q186:Z186),1)&gt;=99.5,100,MIN(100,ROUND(SUM($Q186:Z186),1))))</f>
        <v/>
      </c>
      <c r="CT186" s="1" t="str">
        <f aca="false">IF(OR(OR(NOT(AND(ISNUMBER(E186),ISNUMBER(F186))),$J$2=""),11&gt;Reprogramaciones!$K$16),"",IF(ROUND(SUM($Q186:AA186),1)&gt;=99.5,100,MIN(100,ROUND(SUM($Q186:AA186),1))))</f>
        <v/>
      </c>
      <c r="CU186" s="1" t="str">
        <f aca="false">IF(OR(OR(NOT(AND(ISNUMBER(E186),ISNUMBER(F186))),$J$2=""),12&gt;Reprogramaciones!$K$16),"",IF(ROUND(SUM($Q186:AB186),1)&gt;=99.5,100,MIN(100,ROUND(SUM($Q186:AB186),1))))</f>
        <v/>
      </c>
      <c r="CV186" s="1" t="str">
        <f aca="false">IF(OR(OR(NOT(AND(ISNUMBER(E186),ISNUMBER(F186))),$J$2=""),13&gt;Reprogramaciones!$K$16),"",IF(ROUND(SUM($Q186:AC186),1)&gt;=99.5,100,MIN(100,ROUND(SUM($Q186:AC186),1))))</f>
        <v/>
      </c>
      <c r="CW186" s="1" t="str">
        <f aca="false">IF(OR(OR(NOT(AND(ISNUMBER(E186),ISNUMBER(F186))),$J$2=""),14&gt;Reprogramaciones!$K$16),"",IF(ROUND(SUM($Q186:AD186),1)&gt;=99.5,100,MIN(100,ROUND(SUM($Q186:AD186),1))))</f>
        <v/>
      </c>
      <c r="CX186" s="1" t="str">
        <f aca="false">IF(OR(OR(NOT(AND(ISNUMBER(E186),ISNUMBER(F186))),$J$2=""),15&gt;Reprogramaciones!$K$16),"",IF(ROUND(SUM($Q186:AE186),1)&gt;=99.5,100,MIN(100,ROUND(SUM($Q186:AE186),1))))</f>
        <v/>
      </c>
      <c r="CY186" s="1" t="str">
        <f aca="false">IF(OR(OR(NOT(AND(ISNUMBER(E186),ISNUMBER(F186))),$J$2=""),16&gt;Reprogramaciones!$K$16),"",IF(ROUND(SUM($Q186:AF186),1)&gt;=99.5,100,MIN(100,ROUND(SUM($Q186:AF186),1))))</f>
        <v/>
      </c>
      <c r="CZ186" s="1" t="str">
        <f aca="false">IF(D186&lt;&gt;"",D186,IF(B186&lt;&gt;"","Contractual",CZ185))</f>
        <v>Contractual</v>
      </c>
      <c r="DA186" s="1" t="str">
        <f aca="false">IF(OR(NOT(AND(ISNUMBER(E186),ISNUMBER(F186))),$J$2=""),"",IF(Reprogramaciones!$Q$15&lt;Reprogramaciones!$T$15,0,IF(Reprogramaciones!$S$15&gt;10,MIN(100,SUM($G186:$P186)),MIN(100,SUMPRODUCT((COLUMN($G186:$P186)-COLUMN($G186)+1&lt;Reprogramaciones!$S$15)*$G186:$P186)+N(INDEX($G186:$P186,1,Reprogramaciones!$S$15))*IF(Reprogramaciones!$Q$15&gt;=(Reprogramaciones!$T$15+7*(Reprogramaciones!$S$15-1))+6,1,IF(MAX(0,NETWORKDAYS.INTL(MAX(E186,(Reprogramaciones!$T$15+7*(Reprogramaciones!$S$15-1))),MIN(F186,(Reprogramaciones!$T$15+7*(Reprogramaciones!$S$15-1))+6),11))=0,0,MAX(0,NETWORKDAYS.INTL(MAX(E186,(Reprogramaciones!$T$15+7*(Reprogramaciones!$S$15-1))),MIN(F186,Reprogramaciones!$Q$15),11))/MAX(0,NETWORKDAYS.INTL(MAX(E186,(Reprogramaciones!$T$15+7*(Reprogramaciones!$S$15-1))),MIN(F186,(Reprogramaciones!$T$15+7*(Reprogramaciones!$S$15-1))+6),11))))))))</f>
        <v/>
      </c>
    </row>
    <row r="187" customFormat="false" ht="15" hidden="false" customHeight="false" outlineLevel="0" collapsed="false">
      <c r="A187" s="32"/>
      <c r="B187" s="33"/>
      <c r="C187" s="33"/>
      <c r="D187" s="34"/>
      <c r="E187" s="35"/>
      <c r="F187" s="35"/>
      <c r="G187" s="36" t="str">
        <f aca="false">IF(OR(NOT(AND(ISNUMBER(E187),ISNUMBER(F187))),$J$2=""),"",IF(Reprogramaciones!K$9&lt;E187,0,IF(NETWORKDAYS.INTL(E187,F187,11)=0,IF(Reprogramaciones!K$9&gt;=F187,100,0),ROUND(NETWORKDAYS.INTL(E187,MIN(F187,Reprogramaciones!K$9),11)/NETWORKDAYS.INTL(E187,F187,11)*100,1)))-0)</f>
        <v/>
      </c>
      <c r="H187" s="36" t="str">
        <f aca="false">IF(OR(NOT(AND(ISNUMBER(E187),ISNUMBER(F187))),$J$2=""),"",IF(Reprogramaciones!L$9&lt;E187,0,IF(NETWORKDAYS.INTL(E187,F187,11)=0,IF(Reprogramaciones!L$9&gt;=F187,100,0),ROUND(NETWORKDAYS.INTL(E187,MIN(F187,Reprogramaciones!L$9),11)/NETWORKDAYS.INTL(E187,F187,11)*100,1)))-IF(Reprogramaciones!K$9&lt;E187,0,IF(NETWORKDAYS.INTL(E187,F187,11)=0,IF(Reprogramaciones!K$9&gt;=F187,100,0),ROUND(NETWORKDAYS.INTL(E187,MIN(F187,Reprogramaciones!K$9),11)/NETWORKDAYS.INTL(E187,F187,11)*100,1))))</f>
        <v/>
      </c>
      <c r="I187" s="36" t="str">
        <f aca="false">IF(OR(NOT(AND(ISNUMBER(E187),ISNUMBER(F187))),$J$2=""),"",IF(Reprogramaciones!M$9&lt;E187,0,IF(NETWORKDAYS.INTL(E187,F187,11)=0,IF(Reprogramaciones!M$9&gt;=F187,100,0),ROUND(NETWORKDAYS.INTL(E187,MIN(F187,Reprogramaciones!M$9),11)/NETWORKDAYS.INTL(E187,F187,11)*100,1)))-IF(Reprogramaciones!L$9&lt;E187,0,IF(NETWORKDAYS.INTL(E187,F187,11)=0,IF(Reprogramaciones!L$9&gt;=F187,100,0),ROUND(NETWORKDAYS.INTL(E187,MIN(F187,Reprogramaciones!L$9),11)/NETWORKDAYS.INTL(E187,F187,11)*100,1))))</f>
        <v/>
      </c>
      <c r="J187" s="36" t="str">
        <f aca="false">IF(OR(NOT(AND(ISNUMBER(E187),ISNUMBER(F187))),$J$2=""),"",IF(Reprogramaciones!N$9&lt;E187,0,IF(NETWORKDAYS.INTL(E187,F187,11)=0,IF(Reprogramaciones!N$9&gt;=F187,100,0),ROUND(NETWORKDAYS.INTL(E187,MIN(F187,Reprogramaciones!N$9),11)/NETWORKDAYS.INTL(E187,F187,11)*100,1)))-IF(Reprogramaciones!M$9&lt;E187,0,IF(NETWORKDAYS.INTL(E187,F187,11)=0,IF(Reprogramaciones!M$9&gt;=F187,100,0),ROUND(NETWORKDAYS.INTL(E187,MIN(F187,Reprogramaciones!M$9),11)/NETWORKDAYS.INTL(E187,F187,11)*100,1))))</f>
        <v/>
      </c>
      <c r="K187" s="36" t="str">
        <f aca="false">IF(OR(NOT(AND(ISNUMBER(E187),ISNUMBER(F187))),$J$2=""),"",IF(Reprogramaciones!O$9&lt;E187,0,IF(NETWORKDAYS.INTL(E187,F187,11)=0,IF(Reprogramaciones!O$9&gt;=F187,100,0),ROUND(NETWORKDAYS.INTL(E187,MIN(F187,Reprogramaciones!O$9),11)/NETWORKDAYS.INTL(E187,F187,11)*100,1)))-IF(Reprogramaciones!N$9&lt;E187,0,IF(NETWORKDAYS.INTL(E187,F187,11)=0,IF(Reprogramaciones!N$9&gt;=F187,100,0),ROUND(NETWORKDAYS.INTL(E187,MIN(F187,Reprogramaciones!N$9),11)/NETWORKDAYS.INTL(E187,F187,11)*100,1))))</f>
        <v/>
      </c>
      <c r="L187" s="36" t="str">
        <f aca="false">IF(OR(NOT(AND(ISNUMBER(E187),ISNUMBER(F187))),$J$2=""),"",IF(Reprogramaciones!P$9&lt;E187,0,IF(NETWORKDAYS.INTL(E187,F187,11)=0,IF(Reprogramaciones!P$9&gt;=F187,100,0),ROUND(NETWORKDAYS.INTL(E187,MIN(F187,Reprogramaciones!P$9),11)/NETWORKDAYS.INTL(E187,F187,11)*100,1)))-IF(Reprogramaciones!O$9&lt;E187,0,IF(NETWORKDAYS.INTL(E187,F187,11)=0,IF(Reprogramaciones!O$9&gt;=F187,100,0),ROUND(NETWORKDAYS.INTL(E187,MIN(F187,Reprogramaciones!O$9),11)/NETWORKDAYS.INTL(E187,F187,11)*100,1))))</f>
        <v/>
      </c>
      <c r="M187" s="36" t="str">
        <f aca="false">IF(OR(NOT(AND(ISNUMBER(E187),ISNUMBER(F187))),$J$2=""),"",IF(Reprogramaciones!Q$9&lt;E187,0,IF(NETWORKDAYS.INTL(E187,F187,11)=0,IF(Reprogramaciones!Q$9&gt;=F187,100,0),ROUND(NETWORKDAYS.INTL(E187,MIN(F187,Reprogramaciones!Q$9),11)/NETWORKDAYS.INTL(E187,F187,11)*100,1)))-IF(Reprogramaciones!P$9&lt;E187,0,IF(NETWORKDAYS.INTL(E187,F187,11)=0,IF(Reprogramaciones!P$9&gt;=F187,100,0),ROUND(NETWORKDAYS.INTL(E187,MIN(F187,Reprogramaciones!P$9),11)/NETWORKDAYS.INTL(E187,F187,11)*100,1))))</f>
        <v/>
      </c>
      <c r="N187" s="36" t="str">
        <f aca="false">IF(OR(NOT(AND(ISNUMBER(E187),ISNUMBER(F187))),$J$2=""),"",IF(Reprogramaciones!R$9&lt;E187,0,IF(NETWORKDAYS.INTL(E187,F187,11)=0,IF(Reprogramaciones!R$9&gt;=F187,100,0),ROUND(NETWORKDAYS.INTL(E187,MIN(F187,Reprogramaciones!R$9),11)/NETWORKDAYS.INTL(E187,F187,11)*100,1)))-IF(Reprogramaciones!Q$9&lt;E187,0,IF(NETWORKDAYS.INTL(E187,F187,11)=0,IF(Reprogramaciones!Q$9&gt;=F187,100,0),ROUND(NETWORKDAYS.INTL(E187,MIN(F187,Reprogramaciones!Q$9),11)/NETWORKDAYS.INTL(E187,F187,11)*100,1))))</f>
        <v/>
      </c>
      <c r="O187" s="36" t="str">
        <f aca="false">IF(OR(NOT(AND(ISNUMBER(E187),ISNUMBER(F187))),$J$2=""),"",IF(Reprogramaciones!S$9&lt;E187,0,IF(NETWORKDAYS.INTL(E187,F187,11)=0,IF(Reprogramaciones!S$9&gt;=F187,100,0),ROUND(NETWORKDAYS.INTL(E187,MIN(F187,Reprogramaciones!S$9),11)/NETWORKDAYS.INTL(E187,F187,11)*100,1)))-IF(Reprogramaciones!R$9&lt;E187,0,IF(NETWORKDAYS.INTL(E187,F187,11)=0,IF(Reprogramaciones!R$9&gt;=F187,100,0),ROUND(NETWORKDAYS.INTL(E187,MIN(F187,Reprogramaciones!R$9),11)/NETWORKDAYS.INTL(E187,F187,11)*100,1))))</f>
        <v/>
      </c>
      <c r="P187" s="36" t="str">
        <f aca="false">IF(OR(NOT(AND(ISNUMBER(E187),ISNUMBER(F187))),$J$2=""),"",IF(Reprogramaciones!T$9&lt;E187,0,IF(NETWORKDAYS.INTL(E187,F187,11)=0,IF(Reprogramaciones!T$9&gt;=F187,100,0),ROUND(NETWORKDAYS.INTL(E187,MIN(F187,Reprogramaciones!T$9),11)/NETWORKDAYS.INTL(E187,F187,11)*100,1)))-IF(Reprogramaciones!S$9&lt;E187,0,IF(NETWORKDAYS.INTL(E187,F187,11)=0,IF(Reprogramaciones!S$9&gt;=F187,100,0),ROUND(NETWORKDAYS.INTL(E187,MIN(F187,Reprogramaciones!S$9),11)/NETWORKDAYS.INTL(E187,F187,11)*100,1))))</f>
        <v/>
      </c>
      <c r="Q187" s="37"/>
      <c r="R187" s="37"/>
      <c r="S187" s="37"/>
      <c r="T187" s="37"/>
      <c r="U187" s="37"/>
      <c r="V187" s="37"/>
      <c r="W187" s="37"/>
      <c r="X187" s="37"/>
      <c r="Y187" s="37"/>
      <c r="Z187" s="37"/>
      <c r="AA187" s="37"/>
      <c r="AB187" s="37"/>
      <c r="AC187" s="37"/>
      <c r="AD187" s="37"/>
      <c r="AE187" s="37"/>
      <c r="AF187" s="37"/>
      <c r="AG187" s="38" t="str">
        <f aca="false">IF(AND(ISNUMBER(E187),ISNUMBER(F187)),NETWORKDAYS.INTL(E187,F187,11),"")</f>
        <v/>
      </c>
      <c r="AH187" s="38" t="str">
        <f aca="false">IF(OR(NOT(AND(ISNUMBER(E187),ISNUMBER(F187))),$J$2=""),"",IF(Reprogramaciones!$P$15&lt;Reprogramaciones!$T$15,0,IF(Reprogramaciones!$R$15&gt;10,MIN(100,SUM($G187:$P187)),MIN(100,SUMPRODUCT((COLUMN($G187:$P187)-COLUMN($G187)+1&lt;Reprogramaciones!$R$15)*$G187:$P187)+N(INDEX($G187:$P187,1,Reprogramaciones!$R$15))*IF(Reprogramaciones!$P$15&gt;=(Reprogramaciones!$T$15+7*(Reprogramaciones!$R$15-1))+6,1,IF(MAX(0,NETWORKDAYS.INTL(MAX(E187,(Reprogramaciones!$T$15+7*(Reprogramaciones!$R$15-1))),MIN(F187,(Reprogramaciones!$T$15+7*(Reprogramaciones!$R$15-1))+6),11))=0,0,MAX(0,NETWORKDAYS.INTL(MAX(E187,(Reprogramaciones!$T$15+7*(Reprogramaciones!$R$15-1))),MIN(F187,Reprogramaciones!$P$15),11))/MAX(0,NETWORKDAYS.INTL(MAX(E187,(Reprogramaciones!$T$15+7*(Reprogramaciones!$R$15-1))),MIN(F187,(Reprogramaciones!$T$15+7*(Reprogramaciones!$R$15-1))+6),11))))))))</f>
        <v/>
      </c>
      <c r="AI187" s="38" t="str">
        <f aca="false">IF(COUNT($Q187:$AF187)=0,"",IF(ROUND(SUM($Q187:$AF187),1)&gt;=99.5,100,MIN(100,ROUND(SUM($Q187:$AF187),1))))</f>
        <v/>
      </c>
      <c r="AJ187" s="38" t="str">
        <f aca="false">IF(OR(AH187="",AI187=""),"",AI187-AH187)</f>
        <v/>
      </c>
      <c r="AK187" s="39" t="str">
        <f aca="true">IF(AH187="","",IF(OR(Ficha!$C$10="Suspendida",Ficha!$C$10="Cancelada"),Ficha!$C$10,IF(AND(AI187&lt;&gt;"",N(AI187)&gt;=100),"Completada",IF(AND(E187&gt;TODAY(),N(AI187)=0),"Por iniciar",IF(N(AI187)+0.5&lt;AH187,"Retrasada",IF(N(AI187)+0.5&lt;DA187,IF(Reprogramaciones!$K$15&gt;0,"Al día · Sem "&amp;Reprogramaciones!$K$15&amp;" en curso","Al día · en curso"),"A tiempo"))))))</f>
        <v/>
      </c>
      <c r="AL187" s="39" t="str">
        <f aca="true">IF(AND(A187="",AND(B187="",C187="",E187="",F187="",COUNT(Q187:AF187)=0)),"",IF(AND(B187="",C187="",E187="",F187="",COUNT(Q187:AF187)=0),"Falta la partida o subpartida",IF(AND(A187&lt;&gt;"",COUNTIF($A$6:$A$305,A187)&gt;1),"Ítem repetido",IF(AND(C187="",E187="",F187="",COUNT(Q187:AF187)=0),"Título de partida",IF(OR(E187="",F187=""),"Faltan fechas",IF(OR(ISTEXT(E187),ISTEXT(F187)),"Fecha escrita como texto: usa dd/mm/aaaa",IF(F187&lt;E187,"Fin antes del inicio",IF(IF($J$2="",FALSE(),OR(E187&lt;$J$2,F187&gt;Reprogramaciones!$T$15+69)),"Fuera de las 10 semanas",IF(ABS(SUM(G187:P187)-100)&gt;0.5,"La meta no suma 100%",IF(ROUND(SUM(Q187:AF187),1)&gt;100.5,"El avance pasa de 100%",IF(MIN(Q187:AF187)&lt;0,"Avance negativo",IF(COUNTA(Q187:AF187)&gt;COUNT(Q187:AF187),"Avance escrito como texto",IF(SUMPRODUCT((Q187:AF187&gt;0)*(Q187:AF187&lt;1))&gt;0,"Avance menor a 1: escribe 50, no 50%",IF(SUMPRODUCT(ISNUMBER(Q187:AF187)*(Reprogramaciones!$K$8:$Z$8&gt;TODAY()))&gt;0,"Avance en semana que aún no llega",IF(AND(N(Reprogramaciones!$E$21)&gt;0,F187&gt;Reprogramaciones!$E$21),"Pasa el fin de la obra: registra una reprogramación",IF(AND(N(Reprogramaciones!$E$21)&gt;0,SUMPRODUCT(ISNUMBER(Q187:AF187)*(Reprogramaciones!$K$8:$Z$8&gt;Reprogramaciones!$E$21))&gt;0),"Avance después del fin de la obra: registra una reprogramación por atraso","OK"))))))))))))))))</f>
        <v/>
      </c>
      <c r="AM187" s="40" t="str">
        <f aca="false">IF(OR(OR(NOT(AND(ISNUMBER(E187),ISNUMBER(F187))),$J$2=""),1&gt;MAX(1,Reprogramaciones!$U$15)),"",IF(Reprogramaciones!K$12&gt;=7,"",IF(OR(BT187-N(0)&gt;0.05,N(Q187)&gt;0),ROUNDDOWN(ROUND(BT187,6),0)&amp;"%"&amp;IF(CJ187="",""," / "&amp;CJ187&amp;"%"),IF(AND(N(0)&gt;=99.95,CJ187&lt;&gt;"",N(CJ187)&lt;100),"Pend. "&amp;CJ187&amp;"%",""))))</f>
        <v/>
      </c>
      <c r="AN187" s="40" t="str">
        <f aca="false">IF(OR(OR(NOT(AND(ISNUMBER(E187),ISNUMBER(F187))),$J$2=""),2&gt;MAX(1,Reprogramaciones!$U$15)),"",IF(Reprogramaciones!L$12&gt;=7,"",IF(OR(BU187-N(BT187)&gt;0.05,N(R187)&gt;0),ROUNDDOWN(ROUND(BU187,6),0)&amp;"%"&amp;IF(CK187="",""," / "&amp;CK187&amp;"%"),IF(AND(N(BT187)&gt;=99.95,CK187&lt;&gt;"",N(CK187)&lt;100),"Pend. "&amp;CK187&amp;"%",""))))</f>
        <v/>
      </c>
      <c r="AO187" s="40" t="str">
        <f aca="false">IF(OR(OR(NOT(AND(ISNUMBER(E187),ISNUMBER(F187))),$J$2=""),3&gt;MAX(1,Reprogramaciones!$U$15)),"",IF(Reprogramaciones!M$12&gt;=7,"",IF(OR(BV187-N(BU187)&gt;0.05,N(S187)&gt;0),ROUNDDOWN(ROUND(BV187,6),0)&amp;"%"&amp;IF(CL187="",""," / "&amp;CL187&amp;"%"),IF(AND(N(BU187)&gt;=99.95,CL187&lt;&gt;"",N(CL187)&lt;100),"Pend. "&amp;CL187&amp;"%",""))))</f>
        <v/>
      </c>
      <c r="AP187" s="40" t="str">
        <f aca="false">IF(OR(OR(NOT(AND(ISNUMBER(E187),ISNUMBER(F187))),$J$2=""),4&gt;MAX(1,Reprogramaciones!$U$15)),"",IF(Reprogramaciones!N$12&gt;=7,"",IF(OR(BW187-N(BV187)&gt;0.05,N(T187)&gt;0),ROUNDDOWN(ROUND(BW187,6),0)&amp;"%"&amp;IF(CM187="",""," / "&amp;CM187&amp;"%"),IF(AND(N(BV187)&gt;=99.95,CM187&lt;&gt;"",N(CM187)&lt;100),"Pend. "&amp;CM187&amp;"%",""))))</f>
        <v/>
      </c>
      <c r="AQ187" s="40" t="str">
        <f aca="false">IF(OR(OR(NOT(AND(ISNUMBER(E187),ISNUMBER(F187))),$J$2=""),5&gt;MAX(1,Reprogramaciones!$U$15)),"",IF(Reprogramaciones!O$12&gt;=7,"",IF(OR(BX187-N(BW187)&gt;0.05,N(U187)&gt;0),ROUNDDOWN(ROUND(BX187,6),0)&amp;"%"&amp;IF(CN187="",""," / "&amp;CN187&amp;"%"),IF(AND(N(BW187)&gt;=99.95,CN187&lt;&gt;"",N(CN187)&lt;100),"Pend. "&amp;CN187&amp;"%",""))))</f>
        <v/>
      </c>
      <c r="AR187" s="40" t="str">
        <f aca="false">IF(OR(OR(NOT(AND(ISNUMBER(E187),ISNUMBER(F187))),$J$2=""),6&gt;MAX(1,Reprogramaciones!$U$15)),"",IF(Reprogramaciones!P$12&gt;=7,"",IF(OR(BY187-N(BX187)&gt;0.05,N(V187)&gt;0),ROUNDDOWN(ROUND(BY187,6),0)&amp;"%"&amp;IF(CO187="",""," / "&amp;CO187&amp;"%"),IF(AND(N(BX187)&gt;=99.95,CO187&lt;&gt;"",N(CO187)&lt;100),"Pend. "&amp;CO187&amp;"%",""))))</f>
        <v/>
      </c>
      <c r="AS187" s="40" t="str">
        <f aca="false">IF(OR(OR(NOT(AND(ISNUMBER(E187),ISNUMBER(F187))),$J$2=""),7&gt;MAX(1,Reprogramaciones!$U$15)),"",IF(Reprogramaciones!Q$12&gt;=7,"",IF(OR(BZ187-N(BY187)&gt;0.05,N(W187)&gt;0),ROUNDDOWN(ROUND(BZ187,6),0)&amp;"%"&amp;IF(CP187="",""," / "&amp;CP187&amp;"%"),IF(AND(N(BY187)&gt;=99.95,CP187&lt;&gt;"",N(CP187)&lt;100),"Pend. "&amp;CP187&amp;"%",""))))</f>
        <v/>
      </c>
      <c r="AT187" s="40" t="str">
        <f aca="false">IF(OR(OR(NOT(AND(ISNUMBER(E187),ISNUMBER(F187))),$J$2=""),8&gt;MAX(1,Reprogramaciones!$U$15)),"",IF(Reprogramaciones!R$12&gt;=7,"",IF(OR(CA187-N(BZ187)&gt;0.05,N(X187)&gt;0),ROUNDDOWN(ROUND(CA187,6),0)&amp;"%"&amp;IF(CQ187="",""," / "&amp;CQ187&amp;"%"),IF(AND(N(BZ187)&gt;=99.95,CQ187&lt;&gt;"",N(CQ187)&lt;100),"Pend. "&amp;CQ187&amp;"%",""))))</f>
        <v/>
      </c>
      <c r="AU187" s="40" t="str">
        <f aca="false">IF(OR(OR(NOT(AND(ISNUMBER(E187),ISNUMBER(F187))),$J$2=""),9&gt;MAX(1,Reprogramaciones!$U$15)),"",IF(Reprogramaciones!S$12&gt;=7,"",IF(OR(CB187-N(CA187)&gt;0.05,N(Y187)&gt;0),ROUNDDOWN(ROUND(CB187,6),0)&amp;"%"&amp;IF(CR187="",""," / "&amp;CR187&amp;"%"),IF(AND(N(CA187)&gt;=99.95,CR187&lt;&gt;"",N(CR187)&lt;100),"Pend. "&amp;CR187&amp;"%",""))))</f>
        <v/>
      </c>
      <c r="AV187" s="40" t="str">
        <f aca="false">IF(OR(OR(NOT(AND(ISNUMBER(E187),ISNUMBER(F187))),$J$2=""),10&gt;MAX(1,Reprogramaciones!$U$15)),"",IF(Reprogramaciones!T$12&gt;=7,"",IF(OR(CC187-N(CB187)&gt;0.05,N(Z187)&gt;0),ROUNDDOWN(ROUND(CC187,6),0)&amp;"%"&amp;IF(CS187="",""," / "&amp;CS187&amp;"%"),IF(AND(N(CB187)&gt;=99.95,CS187&lt;&gt;"",N(CS187)&lt;100),"Pend. "&amp;CS187&amp;"%",""))))</f>
        <v/>
      </c>
      <c r="AW187" s="40" t="str">
        <f aca="false">IF(OR(OR(NOT(AND(ISNUMBER(E187),ISNUMBER(F187))),$J$2=""),11&gt;MAX(1,Reprogramaciones!$U$15)),"",IF(Reprogramaciones!U$12&gt;=7,"",IF(OR(CD187-N(CC187)&gt;0.05,N(AA187)&gt;0),ROUNDDOWN(ROUND(CD187,6),0)&amp;"%"&amp;IF(CT187="",""," / "&amp;CT187&amp;"%"),IF(AND(N(CC187)&gt;=99.95,CT187&lt;&gt;"",N(CT187)&lt;100),"Pend. "&amp;CT187&amp;"%",""))))</f>
        <v/>
      </c>
      <c r="AX187" s="40" t="str">
        <f aca="false">IF(OR(OR(NOT(AND(ISNUMBER(E187),ISNUMBER(F187))),$J$2=""),12&gt;MAX(1,Reprogramaciones!$U$15)),"",IF(Reprogramaciones!V$12&gt;=7,"",IF(OR(CE187-N(CD187)&gt;0.05,N(AB187)&gt;0),ROUNDDOWN(ROUND(CE187,6),0)&amp;"%"&amp;IF(CU187="",""," / "&amp;CU187&amp;"%"),IF(AND(N(CD187)&gt;=99.95,CU187&lt;&gt;"",N(CU187)&lt;100),"Pend. "&amp;CU187&amp;"%",""))))</f>
        <v/>
      </c>
      <c r="AY187" s="40" t="str">
        <f aca="false">IF(OR(OR(NOT(AND(ISNUMBER(E187),ISNUMBER(F187))),$J$2=""),13&gt;MAX(1,Reprogramaciones!$U$15)),"",IF(Reprogramaciones!W$12&gt;=7,"",IF(OR(CF187-N(CE187)&gt;0.05,N(AC187)&gt;0),ROUNDDOWN(ROUND(CF187,6),0)&amp;"%"&amp;IF(CV187="",""," / "&amp;CV187&amp;"%"),IF(AND(N(CE187)&gt;=99.95,CV187&lt;&gt;"",N(CV187)&lt;100),"Pend. "&amp;CV187&amp;"%",""))))</f>
        <v/>
      </c>
      <c r="AZ187" s="40" t="str">
        <f aca="false">IF(OR(OR(NOT(AND(ISNUMBER(E187),ISNUMBER(F187))),$J$2=""),14&gt;MAX(1,Reprogramaciones!$U$15)),"",IF(Reprogramaciones!X$12&gt;=7,"",IF(OR(CG187-N(CF187)&gt;0.05,N(AD187)&gt;0),ROUNDDOWN(ROUND(CG187,6),0)&amp;"%"&amp;IF(CW187="",""," / "&amp;CW187&amp;"%"),IF(AND(N(CF187)&gt;=99.95,CW187&lt;&gt;"",N(CW187)&lt;100),"Pend. "&amp;CW187&amp;"%",""))))</f>
        <v/>
      </c>
      <c r="BA187" s="40" t="str">
        <f aca="false">IF(OR(OR(NOT(AND(ISNUMBER(E187),ISNUMBER(F187))),$J$2=""),15&gt;MAX(1,Reprogramaciones!$U$15)),"",IF(Reprogramaciones!Y$12&gt;=7,"",IF(OR(CH187-N(CG187)&gt;0.05,N(AE187)&gt;0),ROUNDDOWN(ROUND(CH187,6),0)&amp;"%"&amp;IF(CX187="",""," / "&amp;CX187&amp;"%"),IF(AND(N(CG187)&gt;=99.95,CX187&lt;&gt;"",N(CX187)&lt;100),"Pend. "&amp;CX187&amp;"%",""))))</f>
        <v/>
      </c>
      <c r="BB187" s="40" t="str">
        <f aca="false">IF(OR(OR(NOT(AND(ISNUMBER(E187),ISNUMBER(F187))),$J$2=""),16&gt;MAX(1,Reprogramaciones!$U$15)),"",IF(Reprogramaciones!Z$12&gt;=7,"",IF(OR(CI187-N(CH187)&gt;0.05,N(AF187)&gt;0),ROUNDDOWN(ROUND(CI187,6),0)&amp;"%"&amp;IF(CY187="",""," / "&amp;CY187&amp;"%"),IF(AND(N(CH187)&gt;=99.95,CY187&lt;&gt;"",N(CY187)&lt;100),"Pend. "&amp;CY187&amp;"%",""))))</f>
        <v/>
      </c>
      <c r="BC187" s="31" t="n">
        <f aca="false">IF(AND(ISNUMBER(E187),ISNUMBER(F187)),MAX(1,NETWORKDAYS.INTL(E187,F187,11)),0)</f>
        <v>0</v>
      </c>
      <c r="BD187" s="1" t="str">
        <f aca="false">IF(OR(NOT(AND(ISNUMBER(E187),ISNUMBER(F187))),$J$2=""),"",MIN(100,ROUND(SUM($G187:G187),1)))</f>
        <v/>
      </c>
      <c r="BE187" s="1" t="str">
        <f aca="false">IF(OR(NOT(AND(ISNUMBER(E187),ISNUMBER(F187))),$J$2=""),"",MIN(100,ROUND(SUM($G187:H187),1)))</f>
        <v/>
      </c>
      <c r="BF187" s="1" t="str">
        <f aca="false">IF(OR(NOT(AND(ISNUMBER(E187),ISNUMBER(F187))),$J$2=""),"",MIN(100,ROUND(SUM($G187:I187),1)))</f>
        <v/>
      </c>
      <c r="BG187" s="1" t="str">
        <f aca="false">IF(OR(NOT(AND(ISNUMBER(E187),ISNUMBER(F187))),$J$2=""),"",MIN(100,ROUND(SUM($G187:J187),1)))</f>
        <v/>
      </c>
      <c r="BH187" s="1" t="str">
        <f aca="false">IF(OR(NOT(AND(ISNUMBER(E187),ISNUMBER(F187))),$J$2=""),"",MIN(100,ROUND(SUM($G187:K187),1)))</f>
        <v/>
      </c>
      <c r="BI187" s="1" t="str">
        <f aca="false">IF(OR(NOT(AND(ISNUMBER(E187),ISNUMBER(F187))),$J$2=""),"",MIN(100,ROUND(SUM($G187:L187),1)))</f>
        <v/>
      </c>
      <c r="BJ187" s="1" t="str">
        <f aca="false">IF(OR(NOT(AND(ISNUMBER(E187),ISNUMBER(F187))),$J$2=""),"",MIN(100,ROUND(SUM($G187:M187),1)))</f>
        <v/>
      </c>
      <c r="BK187" s="1" t="str">
        <f aca="false">IF(OR(NOT(AND(ISNUMBER(E187),ISNUMBER(F187))),$J$2=""),"",MIN(100,ROUND(SUM($G187:N187),1)))</f>
        <v/>
      </c>
      <c r="BL187" s="1" t="str">
        <f aca="false">IF(OR(NOT(AND(ISNUMBER(E187),ISNUMBER(F187))),$J$2=""),"",MIN(100,ROUND(SUM($G187:O187),1)))</f>
        <v/>
      </c>
      <c r="BM187" s="1" t="str">
        <f aca="false">IF(OR(NOT(AND(ISNUMBER(E187),ISNUMBER(F187))),$J$2=""),"",MIN(100,ROUND(SUM($G187:P187),1)))</f>
        <v/>
      </c>
      <c r="BN187" s="1" t="str">
        <f aca="false">IF(OR(NOT(AND(ISNUMBER(E187),ISNUMBER(F187))),$J$2=""),"",MIN(100,ROUND(SUM($G187:P187),1)))</f>
        <v/>
      </c>
      <c r="BO187" s="1" t="str">
        <f aca="false">IF(OR(NOT(AND(ISNUMBER(E187),ISNUMBER(F187))),$J$2=""),"",MIN(100,ROUND(SUM($G187:P187),1)))</f>
        <v/>
      </c>
      <c r="BP187" s="1" t="str">
        <f aca="false">IF(OR(NOT(AND(ISNUMBER(E187),ISNUMBER(F187))),$J$2=""),"",MIN(100,ROUND(SUM($G187:P187),1)))</f>
        <v/>
      </c>
      <c r="BQ187" s="1" t="str">
        <f aca="false">IF(OR(NOT(AND(ISNUMBER(E187),ISNUMBER(F187))),$J$2=""),"",MIN(100,ROUND(SUM($G187:P187),1)))</f>
        <v/>
      </c>
      <c r="BR187" s="1" t="str">
        <f aca="false">IF(OR(NOT(AND(ISNUMBER(E187),ISNUMBER(F187))),$J$2=""),"",MIN(100,ROUND(SUM($G187:P187),1)))</f>
        <v/>
      </c>
      <c r="BS187" s="1" t="str">
        <f aca="false">IF(OR(NOT(AND(ISNUMBER(E187),ISNUMBER(F187))),$J$2=""),"",MIN(100,ROUND(SUM($G187:P187),1)))</f>
        <v/>
      </c>
      <c r="BT187" s="1" t="str">
        <f aca="false">IF(OR(NOT(AND(ISNUMBER(E187),ISNUMBER(F187))),$J$2=""),"",IF(Reprogramaciones!K$13&lt;Reprogramaciones!$T$15,0,IF(Reprogramaciones!K$14&gt;10,MIN(100,SUM($G187:$P187)),MIN(100,SUMPRODUCT((COLUMN($G187:$P187)-COLUMN($G187)+1&lt;Reprogramaciones!K$14)*$G187:$P187)+N(INDEX($G187:$P187,1,Reprogramaciones!K$14))*IF(Reprogramaciones!K$13&gt;=(Reprogramaciones!$T$15+7*(Reprogramaciones!K$14-1))+6,1,IF(MAX(0,NETWORKDAYS.INTL(MAX(E187,(Reprogramaciones!$T$15+7*(Reprogramaciones!K$14-1))),MIN(F187,(Reprogramaciones!$T$15+7*(Reprogramaciones!K$14-1))+6),11))=0,0,MAX(0,NETWORKDAYS.INTL(MAX(E187,(Reprogramaciones!$T$15+7*(Reprogramaciones!K$14-1))),MIN(F187,Reprogramaciones!K$13),11))/MAX(0,NETWORKDAYS.INTL(MAX(E187,(Reprogramaciones!$T$15+7*(Reprogramaciones!K$14-1))),MIN(F187,(Reprogramaciones!$T$15+7*(Reprogramaciones!K$14-1))+6),11))))))))</f>
        <v/>
      </c>
      <c r="BU187" s="1" t="str">
        <f aca="false">IF(OR(NOT(AND(ISNUMBER(E187),ISNUMBER(F187))),$J$2=""),"",IF(Reprogramaciones!L$13&lt;Reprogramaciones!$T$15,0,IF(Reprogramaciones!L$14&gt;10,MIN(100,SUM($G187:$P187)),MIN(100,SUMPRODUCT((COLUMN($G187:$P187)-COLUMN($G187)+1&lt;Reprogramaciones!L$14)*$G187:$P187)+N(INDEX($G187:$P187,1,Reprogramaciones!L$14))*IF(Reprogramaciones!L$13&gt;=(Reprogramaciones!$T$15+7*(Reprogramaciones!L$14-1))+6,1,IF(MAX(0,NETWORKDAYS.INTL(MAX(E187,(Reprogramaciones!$T$15+7*(Reprogramaciones!L$14-1))),MIN(F187,(Reprogramaciones!$T$15+7*(Reprogramaciones!L$14-1))+6),11))=0,0,MAX(0,NETWORKDAYS.INTL(MAX(E187,(Reprogramaciones!$T$15+7*(Reprogramaciones!L$14-1))),MIN(F187,Reprogramaciones!L$13),11))/MAX(0,NETWORKDAYS.INTL(MAX(E187,(Reprogramaciones!$T$15+7*(Reprogramaciones!L$14-1))),MIN(F187,(Reprogramaciones!$T$15+7*(Reprogramaciones!L$14-1))+6),11))))))))</f>
        <v/>
      </c>
      <c r="BV187" s="1" t="str">
        <f aca="false">IF(OR(NOT(AND(ISNUMBER(E187),ISNUMBER(F187))),$J$2=""),"",IF(Reprogramaciones!M$13&lt;Reprogramaciones!$T$15,0,IF(Reprogramaciones!M$14&gt;10,MIN(100,SUM($G187:$P187)),MIN(100,SUMPRODUCT((COLUMN($G187:$P187)-COLUMN($G187)+1&lt;Reprogramaciones!M$14)*$G187:$P187)+N(INDEX($G187:$P187,1,Reprogramaciones!M$14))*IF(Reprogramaciones!M$13&gt;=(Reprogramaciones!$T$15+7*(Reprogramaciones!M$14-1))+6,1,IF(MAX(0,NETWORKDAYS.INTL(MAX(E187,(Reprogramaciones!$T$15+7*(Reprogramaciones!M$14-1))),MIN(F187,(Reprogramaciones!$T$15+7*(Reprogramaciones!M$14-1))+6),11))=0,0,MAX(0,NETWORKDAYS.INTL(MAX(E187,(Reprogramaciones!$T$15+7*(Reprogramaciones!M$14-1))),MIN(F187,Reprogramaciones!M$13),11))/MAX(0,NETWORKDAYS.INTL(MAX(E187,(Reprogramaciones!$T$15+7*(Reprogramaciones!M$14-1))),MIN(F187,(Reprogramaciones!$T$15+7*(Reprogramaciones!M$14-1))+6),11))))))))</f>
        <v/>
      </c>
      <c r="BW187" s="1" t="str">
        <f aca="false">IF(OR(NOT(AND(ISNUMBER(E187),ISNUMBER(F187))),$J$2=""),"",IF(Reprogramaciones!N$13&lt;Reprogramaciones!$T$15,0,IF(Reprogramaciones!N$14&gt;10,MIN(100,SUM($G187:$P187)),MIN(100,SUMPRODUCT((COLUMN($G187:$P187)-COLUMN($G187)+1&lt;Reprogramaciones!N$14)*$G187:$P187)+N(INDEX($G187:$P187,1,Reprogramaciones!N$14))*IF(Reprogramaciones!N$13&gt;=(Reprogramaciones!$T$15+7*(Reprogramaciones!N$14-1))+6,1,IF(MAX(0,NETWORKDAYS.INTL(MAX(E187,(Reprogramaciones!$T$15+7*(Reprogramaciones!N$14-1))),MIN(F187,(Reprogramaciones!$T$15+7*(Reprogramaciones!N$14-1))+6),11))=0,0,MAX(0,NETWORKDAYS.INTL(MAX(E187,(Reprogramaciones!$T$15+7*(Reprogramaciones!N$14-1))),MIN(F187,Reprogramaciones!N$13),11))/MAX(0,NETWORKDAYS.INTL(MAX(E187,(Reprogramaciones!$T$15+7*(Reprogramaciones!N$14-1))),MIN(F187,(Reprogramaciones!$T$15+7*(Reprogramaciones!N$14-1))+6),11))))))))</f>
        <v/>
      </c>
      <c r="BX187" s="1" t="str">
        <f aca="false">IF(OR(NOT(AND(ISNUMBER(E187),ISNUMBER(F187))),$J$2=""),"",IF(Reprogramaciones!O$13&lt;Reprogramaciones!$T$15,0,IF(Reprogramaciones!O$14&gt;10,MIN(100,SUM($G187:$P187)),MIN(100,SUMPRODUCT((COLUMN($G187:$P187)-COLUMN($G187)+1&lt;Reprogramaciones!O$14)*$G187:$P187)+N(INDEX($G187:$P187,1,Reprogramaciones!O$14))*IF(Reprogramaciones!O$13&gt;=(Reprogramaciones!$T$15+7*(Reprogramaciones!O$14-1))+6,1,IF(MAX(0,NETWORKDAYS.INTL(MAX(E187,(Reprogramaciones!$T$15+7*(Reprogramaciones!O$14-1))),MIN(F187,(Reprogramaciones!$T$15+7*(Reprogramaciones!O$14-1))+6),11))=0,0,MAX(0,NETWORKDAYS.INTL(MAX(E187,(Reprogramaciones!$T$15+7*(Reprogramaciones!O$14-1))),MIN(F187,Reprogramaciones!O$13),11))/MAX(0,NETWORKDAYS.INTL(MAX(E187,(Reprogramaciones!$T$15+7*(Reprogramaciones!O$14-1))),MIN(F187,(Reprogramaciones!$T$15+7*(Reprogramaciones!O$14-1))+6),11))))))))</f>
        <v/>
      </c>
      <c r="BY187" s="1" t="str">
        <f aca="false">IF(OR(NOT(AND(ISNUMBER(E187),ISNUMBER(F187))),$J$2=""),"",IF(Reprogramaciones!P$13&lt;Reprogramaciones!$T$15,0,IF(Reprogramaciones!P$14&gt;10,MIN(100,SUM($G187:$P187)),MIN(100,SUMPRODUCT((COLUMN($G187:$P187)-COLUMN($G187)+1&lt;Reprogramaciones!P$14)*$G187:$P187)+N(INDEX($G187:$P187,1,Reprogramaciones!P$14))*IF(Reprogramaciones!P$13&gt;=(Reprogramaciones!$T$15+7*(Reprogramaciones!P$14-1))+6,1,IF(MAX(0,NETWORKDAYS.INTL(MAX(E187,(Reprogramaciones!$T$15+7*(Reprogramaciones!P$14-1))),MIN(F187,(Reprogramaciones!$T$15+7*(Reprogramaciones!P$14-1))+6),11))=0,0,MAX(0,NETWORKDAYS.INTL(MAX(E187,(Reprogramaciones!$T$15+7*(Reprogramaciones!P$14-1))),MIN(F187,Reprogramaciones!P$13),11))/MAX(0,NETWORKDAYS.INTL(MAX(E187,(Reprogramaciones!$T$15+7*(Reprogramaciones!P$14-1))),MIN(F187,(Reprogramaciones!$T$15+7*(Reprogramaciones!P$14-1))+6),11))))))))</f>
        <v/>
      </c>
      <c r="BZ187" s="1" t="str">
        <f aca="false">IF(OR(NOT(AND(ISNUMBER(E187),ISNUMBER(F187))),$J$2=""),"",IF(Reprogramaciones!Q$13&lt;Reprogramaciones!$T$15,0,IF(Reprogramaciones!Q$14&gt;10,MIN(100,SUM($G187:$P187)),MIN(100,SUMPRODUCT((COLUMN($G187:$P187)-COLUMN($G187)+1&lt;Reprogramaciones!Q$14)*$G187:$P187)+N(INDEX($G187:$P187,1,Reprogramaciones!Q$14))*IF(Reprogramaciones!Q$13&gt;=(Reprogramaciones!$T$15+7*(Reprogramaciones!Q$14-1))+6,1,IF(MAX(0,NETWORKDAYS.INTL(MAX(E187,(Reprogramaciones!$T$15+7*(Reprogramaciones!Q$14-1))),MIN(F187,(Reprogramaciones!$T$15+7*(Reprogramaciones!Q$14-1))+6),11))=0,0,MAX(0,NETWORKDAYS.INTL(MAX(E187,(Reprogramaciones!$T$15+7*(Reprogramaciones!Q$14-1))),MIN(F187,Reprogramaciones!Q$13),11))/MAX(0,NETWORKDAYS.INTL(MAX(E187,(Reprogramaciones!$T$15+7*(Reprogramaciones!Q$14-1))),MIN(F187,(Reprogramaciones!$T$15+7*(Reprogramaciones!Q$14-1))+6),11))))))))</f>
        <v/>
      </c>
      <c r="CA187" s="1" t="str">
        <f aca="false">IF(OR(NOT(AND(ISNUMBER(E187),ISNUMBER(F187))),$J$2=""),"",IF(Reprogramaciones!R$13&lt;Reprogramaciones!$T$15,0,IF(Reprogramaciones!R$14&gt;10,MIN(100,SUM($G187:$P187)),MIN(100,SUMPRODUCT((COLUMN($G187:$P187)-COLUMN($G187)+1&lt;Reprogramaciones!R$14)*$G187:$P187)+N(INDEX($G187:$P187,1,Reprogramaciones!R$14))*IF(Reprogramaciones!R$13&gt;=(Reprogramaciones!$T$15+7*(Reprogramaciones!R$14-1))+6,1,IF(MAX(0,NETWORKDAYS.INTL(MAX(E187,(Reprogramaciones!$T$15+7*(Reprogramaciones!R$14-1))),MIN(F187,(Reprogramaciones!$T$15+7*(Reprogramaciones!R$14-1))+6),11))=0,0,MAX(0,NETWORKDAYS.INTL(MAX(E187,(Reprogramaciones!$T$15+7*(Reprogramaciones!R$14-1))),MIN(F187,Reprogramaciones!R$13),11))/MAX(0,NETWORKDAYS.INTL(MAX(E187,(Reprogramaciones!$T$15+7*(Reprogramaciones!R$14-1))),MIN(F187,(Reprogramaciones!$T$15+7*(Reprogramaciones!R$14-1))+6),11))))))))</f>
        <v/>
      </c>
      <c r="CB187" s="1" t="str">
        <f aca="false">IF(OR(NOT(AND(ISNUMBER(E187),ISNUMBER(F187))),$J$2=""),"",IF(Reprogramaciones!S$13&lt;Reprogramaciones!$T$15,0,IF(Reprogramaciones!S$14&gt;10,MIN(100,SUM($G187:$P187)),MIN(100,SUMPRODUCT((COLUMN($G187:$P187)-COLUMN($G187)+1&lt;Reprogramaciones!S$14)*$G187:$P187)+N(INDEX($G187:$P187,1,Reprogramaciones!S$14))*IF(Reprogramaciones!S$13&gt;=(Reprogramaciones!$T$15+7*(Reprogramaciones!S$14-1))+6,1,IF(MAX(0,NETWORKDAYS.INTL(MAX(E187,(Reprogramaciones!$T$15+7*(Reprogramaciones!S$14-1))),MIN(F187,(Reprogramaciones!$T$15+7*(Reprogramaciones!S$14-1))+6),11))=0,0,MAX(0,NETWORKDAYS.INTL(MAX(E187,(Reprogramaciones!$T$15+7*(Reprogramaciones!S$14-1))),MIN(F187,Reprogramaciones!S$13),11))/MAX(0,NETWORKDAYS.INTL(MAX(E187,(Reprogramaciones!$T$15+7*(Reprogramaciones!S$14-1))),MIN(F187,(Reprogramaciones!$T$15+7*(Reprogramaciones!S$14-1))+6),11))))))))</f>
        <v/>
      </c>
      <c r="CC187" s="1" t="str">
        <f aca="false">IF(OR(NOT(AND(ISNUMBER(E187),ISNUMBER(F187))),$J$2=""),"",IF(Reprogramaciones!T$13&lt;Reprogramaciones!$T$15,0,IF(Reprogramaciones!T$14&gt;10,MIN(100,SUM($G187:$P187)),MIN(100,SUMPRODUCT((COLUMN($G187:$P187)-COLUMN($G187)+1&lt;Reprogramaciones!T$14)*$G187:$P187)+N(INDEX($G187:$P187,1,Reprogramaciones!T$14))*IF(Reprogramaciones!T$13&gt;=(Reprogramaciones!$T$15+7*(Reprogramaciones!T$14-1))+6,1,IF(MAX(0,NETWORKDAYS.INTL(MAX(E187,(Reprogramaciones!$T$15+7*(Reprogramaciones!T$14-1))),MIN(F187,(Reprogramaciones!$T$15+7*(Reprogramaciones!T$14-1))+6),11))=0,0,MAX(0,NETWORKDAYS.INTL(MAX(E187,(Reprogramaciones!$T$15+7*(Reprogramaciones!T$14-1))),MIN(F187,Reprogramaciones!T$13),11))/MAX(0,NETWORKDAYS.INTL(MAX(E187,(Reprogramaciones!$T$15+7*(Reprogramaciones!T$14-1))),MIN(F187,(Reprogramaciones!$T$15+7*(Reprogramaciones!T$14-1))+6),11))))))))</f>
        <v/>
      </c>
      <c r="CD187" s="1" t="str">
        <f aca="false">IF(OR(NOT(AND(ISNUMBER(E187),ISNUMBER(F187))),$J$2=""),"",IF(Reprogramaciones!U$13&lt;Reprogramaciones!$T$15,0,IF(Reprogramaciones!U$14&gt;10,MIN(100,SUM($G187:$P187)),MIN(100,SUMPRODUCT((COLUMN($G187:$P187)-COLUMN($G187)+1&lt;Reprogramaciones!U$14)*$G187:$P187)+N(INDEX($G187:$P187,1,Reprogramaciones!U$14))*IF(Reprogramaciones!U$13&gt;=(Reprogramaciones!$T$15+7*(Reprogramaciones!U$14-1))+6,1,IF(MAX(0,NETWORKDAYS.INTL(MAX(E187,(Reprogramaciones!$T$15+7*(Reprogramaciones!U$14-1))),MIN(F187,(Reprogramaciones!$T$15+7*(Reprogramaciones!U$14-1))+6),11))=0,0,MAX(0,NETWORKDAYS.INTL(MAX(E187,(Reprogramaciones!$T$15+7*(Reprogramaciones!U$14-1))),MIN(F187,Reprogramaciones!U$13),11))/MAX(0,NETWORKDAYS.INTL(MAX(E187,(Reprogramaciones!$T$15+7*(Reprogramaciones!U$14-1))),MIN(F187,(Reprogramaciones!$T$15+7*(Reprogramaciones!U$14-1))+6),11))))))))</f>
        <v/>
      </c>
      <c r="CE187" s="1" t="str">
        <f aca="false">IF(OR(NOT(AND(ISNUMBER(E187),ISNUMBER(F187))),$J$2=""),"",IF(Reprogramaciones!V$13&lt;Reprogramaciones!$T$15,0,IF(Reprogramaciones!V$14&gt;10,MIN(100,SUM($G187:$P187)),MIN(100,SUMPRODUCT((COLUMN($G187:$P187)-COLUMN($G187)+1&lt;Reprogramaciones!V$14)*$G187:$P187)+N(INDEX($G187:$P187,1,Reprogramaciones!V$14))*IF(Reprogramaciones!V$13&gt;=(Reprogramaciones!$T$15+7*(Reprogramaciones!V$14-1))+6,1,IF(MAX(0,NETWORKDAYS.INTL(MAX(E187,(Reprogramaciones!$T$15+7*(Reprogramaciones!V$14-1))),MIN(F187,(Reprogramaciones!$T$15+7*(Reprogramaciones!V$14-1))+6),11))=0,0,MAX(0,NETWORKDAYS.INTL(MAX(E187,(Reprogramaciones!$T$15+7*(Reprogramaciones!V$14-1))),MIN(F187,Reprogramaciones!V$13),11))/MAX(0,NETWORKDAYS.INTL(MAX(E187,(Reprogramaciones!$T$15+7*(Reprogramaciones!V$14-1))),MIN(F187,(Reprogramaciones!$T$15+7*(Reprogramaciones!V$14-1))+6),11))))))))</f>
        <v/>
      </c>
      <c r="CF187" s="1" t="str">
        <f aca="false">IF(OR(NOT(AND(ISNUMBER(E187),ISNUMBER(F187))),$J$2=""),"",IF(Reprogramaciones!W$13&lt;Reprogramaciones!$T$15,0,IF(Reprogramaciones!W$14&gt;10,MIN(100,SUM($G187:$P187)),MIN(100,SUMPRODUCT((COLUMN($G187:$P187)-COLUMN($G187)+1&lt;Reprogramaciones!W$14)*$G187:$P187)+N(INDEX($G187:$P187,1,Reprogramaciones!W$14))*IF(Reprogramaciones!W$13&gt;=(Reprogramaciones!$T$15+7*(Reprogramaciones!W$14-1))+6,1,IF(MAX(0,NETWORKDAYS.INTL(MAX(E187,(Reprogramaciones!$T$15+7*(Reprogramaciones!W$14-1))),MIN(F187,(Reprogramaciones!$T$15+7*(Reprogramaciones!W$14-1))+6),11))=0,0,MAX(0,NETWORKDAYS.INTL(MAX(E187,(Reprogramaciones!$T$15+7*(Reprogramaciones!W$14-1))),MIN(F187,Reprogramaciones!W$13),11))/MAX(0,NETWORKDAYS.INTL(MAX(E187,(Reprogramaciones!$T$15+7*(Reprogramaciones!W$14-1))),MIN(F187,(Reprogramaciones!$T$15+7*(Reprogramaciones!W$14-1))+6),11))))))))</f>
        <v/>
      </c>
      <c r="CG187" s="1" t="str">
        <f aca="false">IF(OR(NOT(AND(ISNUMBER(E187),ISNUMBER(F187))),$J$2=""),"",IF(Reprogramaciones!X$13&lt;Reprogramaciones!$T$15,0,IF(Reprogramaciones!X$14&gt;10,MIN(100,SUM($G187:$P187)),MIN(100,SUMPRODUCT((COLUMN($G187:$P187)-COLUMN($G187)+1&lt;Reprogramaciones!X$14)*$G187:$P187)+N(INDEX($G187:$P187,1,Reprogramaciones!X$14))*IF(Reprogramaciones!X$13&gt;=(Reprogramaciones!$T$15+7*(Reprogramaciones!X$14-1))+6,1,IF(MAX(0,NETWORKDAYS.INTL(MAX(E187,(Reprogramaciones!$T$15+7*(Reprogramaciones!X$14-1))),MIN(F187,(Reprogramaciones!$T$15+7*(Reprogramaciones!X$14-1))+6),11))=0,0,MAX(0,NETWORKDAYS.INTL(MAX(E187,(Reprogramaciones!$T$15+7*(Reprogramaciones!X$14-1))),MIN(F187,Reprogramaciones!X$13),11))/MAX(0,NETWORKDAYS.INTL(MAX(E187,(Reprogramaciones!$T$15+7*(Reprogramaciones!X$14-1))),MIN(F187,(Reprogramaciones!$T$15+7*(Reprogramaciones!X$14-1))+6),11))))))))</f>
        <v/>
      </c>
      <c r="CH187" s="1" t="str">
        <f aca="false">IF(OR(NOT(AND(ISNUMBER(E187),ISNUMBER(F187))),$J$2=""),"",IF(Reprogramaciones!Y$13&lt;Reprogramaciones!$T$15,0,IF(Reprogramaciones!Y$14&gt;10,MIN(100,SUM($G187:$P187)),MIN(100,SUMPRODUCT((COLUMN($G187:$P187)-COLUMN($G187)+1&lt;Reprogramaciones!Y$14)*$G187:$P187)+N(INDEX($G187:$P187,1,Reprogramaciones!Y$14))*IF(Reprogramaciones!Y$13&gt;=(Reprogramaciones!$T$15+7*(Reprogramaciones!Y$14-1))+6,1,IF(MAX(0,NETWORKDAYS.INTL(MAX(E187,(Reprogramaciones!$T$15+7*(Reprogramaciones!Y$14-1))),MIN(F187,(Reprogramaciones!$T$15+7*(Reprogramaciones!Y$14-1))+6),11))=0,0,MAX(0,NETWORKDAYS.INTL(MAX(E187,(Reprogramaciones!$T$15+7*(Reprogramaciones!Y$14-1))),MIN(F187,Reprogramaciones!Y$13),11))/MAX(0,NETWORKDAYS.INTL(MAX(E187,(Reprogramaciones!$T$15+7*(Reprogramaciones!Y$14-1))),MIN(F187,(Reprogramaciones!$T$15+7*(Reprogramaciones!Y$14-1))+6),11))))))))</f>
        <v/>
      </c>
      <c r="CI187" s="1" t="str">
        <f aca="false">IF(OR(NOT(AND(ISNUMBER(E187),ISNUMBER(F187))),$J$2=""),"",IF(Reprogramaciones!Z$13&lt;Reprogramaciones!$T$15,0,IF(Reprogramaciones!Z$14&gt;10,MIN(100,SUM($G187:$P187)),MIN(100,SUMPRODUCT((COLUMN($G187:$P187)-COLUMN($G187)+1&lt;Reprogramaciones!Z$14)*$G187:$P187)+N(INDEX($G187:$P187,1,Reprogramaciones!Z$14))*IF(Reprogramaciones!Z$13&gt;=(Reprogramaciones!$T$15+7*(Reprogramaciones!Z$14-1))+6,1,IF(MAX(0,NETWORKDAYS.INTL(MAX(E187,(Reprogramaciones!$T$15+7*(Reprogramaciones!Z$14-1))),MIN(F187,(Reprogramaciones!$T$15+7*(Reprogramaciones!Z$14-1))+6),11))=0,0,MAX(0,NETWORKDAYS.INTL(MAX(E187,(Reprogramaciones!$T$15+7*(Reprogramaciones!Z$14-1))),MIN(F187,Reprogramaciones!Z$13),11))/MAX(0,NETWORKDAYS.INTL(MAX(E187,(Reprogramaciones!$T$15+7*(Reprogramaciones!Z$14-1))),MIN(F187,(Reprogramaciones!$T$15+7*(Reprogramaciones!Z$14-1))+6),11))))))))</f>
        <v/>
      </c>
      <c r="CJ187" s="1" t="str">
        <f aca="false">IF(OR(OR(NOT(AND(ISNUMBER(E187),ISNUMBER(F187))),$J$2=""),1&gt;Reprogramaciones!$K$16),"",IF(ROUND(SUM($Q187:Q187),1)&gt;=99.5,100,MIN(100,ROUND(SUM($Q187:Q187),1))))</f>
        <v/>
      </c>
      <c r="CK187" s="1" t="str">
        <f aca="false">IF(OR(OR(NOT(AND(ISNUMBER(E187),ISNUMBER(F187))),$J$2=""),2&gt;Reprogramaciones!$K$16),"",IF(ROUND(SUM($Q187:R187),1)&gt;=99.5,100,MIN(100,ROUND(SUM($Q187:R187),1))))</f>
        <v/>
      </c>
      <c r="CL187" s="1" t="str">
        <f aca="false">IF(OR(OR(NOT(AND(ISNUMBER(E187),ISNUMBER(F187))),$J$2=""),3&gt;Reprogramaciones!$K$16),"",IF(ROUND(SUM($Q187:S187),1)&gt;=99.5,100,MIN(100,ROUND(SUM($Q187:S187),1))))</f>
        <v/>
      </c>
      <c r="CM187" s="1" t="str">
        <f aca="false">IF(OR(OR(NOT(AND(ISNUMBER(E187),ISNUMBER(F187))),$J$2=""),4&gt;Reprogramaciones!$K$16),"",IF(ROUND(SUM($Q187:T187),1)&gt;=99.5,100,MIN(100,ROUND(SUM($Q187:T187),1))))</f>
        <v/>
      </c>
      <c r="CN187" s="1" t="str">
        <f aca="false">IF(OR(OR(NOT(AND(ISNUMBER(E187),ISNUMBER(F187))),$J$2=""),5&gt;Reprogramaciones!$K$16),"",IF(ROUND(SUM($Q187:U187),1)&gt;=99.5,100,MIN(100,ROUND(SUM($Q187:U187),1))))</f>
        <v/>
      </c>
      <c r="CO187" s="1" t="str">
        <f aca="false">IF(OR(OR(NOT(AND(ISNUMBER(E187),ISNUMBER(F187))),$J$2=""),6&gt;Reprogramaciones!$K$16),"",IF(ROUND(SUM($Q187:V187),1)&gt;=99.5,100,MIN(100,ROUND(SUM($Q187:V187),1))))</f>
        <v/>
      </c>
      <c r="CP187" s="1" t="str">
        <f aca="false">IF(OR(OR(NOT(AND(ISNUMBER(E187),ISNUMBER(F187))),$J$2=""),7&gt;Reprogramaciones!$K$16),"",IF(ROUND(SUM($Q187:W187),1)&gt;=99.5,100,MIN(100,ROUND(SUM($Q187:W187),1))))</f>
        <v/>
      </c>
      <c r="CQ187" s="1" t="str">
        <f aca="false">IF(OR(OR(NOT(AND(ISNUMBER(E187),ISNUMBER(F187))),$J$2=""),8&gt;Reprogramaciones!$K$16),"",IF(ROUND(SUM($Q187:X187),1)&gt;=99.5,100,MIN(100,ROUND(SUM($Q187:X187),1))))</f>
        <v/>
      </c>
      <c r="CR187" s="1" t="str">
        <f aca="false">IF(OR(OR(NOT(AND(ISNUMBER(E187),ISNUMBER(F187))),$J$2=""),9&gt;Reprogramaciones!$K$16),"",IF(ROUND(SUM($Q187:Y187),1)&gt;=99.5,100,MIN(100,ROUND(SUM($Q187:Y187),1))))</f>
        <v/>
      </c>
      <c r="CS187" s="1" t="str">
        <f aca="false">IF(OR(OR(NOT(AND(ISNUMBER(E187),ISNUMBER(F187))),$J$2=""),10&gt;Reprogramaciones!$K$16),"",IF(ROUND(SUM($Q187:Z187),1)&gt;=99.5,100,MIN(100,ROUND(SUM($Q187:Z187),1))))</f>
        <v/>
      </c>
      <c r="CT187" s="1" t="str">
        <f aca="false">IF(OR(OR(NOT(AND(ISNUMBER(E187),ISNUMBER(F187))),$J$2=""),11&gt;Reprogramaciones!$K$16),"",IF(ROUND(SUM($Q187:AA187),1)&gt;=99.5,100,MIN(100,ROUND(SUM($Q187:AA187),1))))</f>
        <v/>
      </c>
      <c r="CU187" s="1" t="str">
        <f aca="false">IF(OR(OR(NOT(AND(ISNUMBER(E187),ISNUMBER(F187))),$J$2=""),12&gt;Reprogramaciones!$K$16),"",IF(ROUND(SUM($Q187:AB187),1)&gt;=99.5,100,MIN(100,ROUND(SUM($Q187:AB187),1))))</f>
        <v/>
      </c>
      <c r="CV187" s="1" t="str">
        <f aca="false">IF(OR(OR(NOT(AND(ISNUMBER(E187),ISNUMBER(F187))),$J$2=""),13&gt;Reprogramaciones!$K$16),"",IF(ROUND(SUM($Q187:AC187),1)&gt;=99.5,100,MIN(100,ROUND(SUM($Q187:AC187),1))))</f>
        <v/>
      </c>
      <c r="CW187" s="1" t="str">
        <f aca="false">IF(OR(OR(NOT(AND(ISNUMBER(E187),ISNUMBER(F187))),$J$2=""),14&gt;Reprogramaciones!$K$16),"",IF(ROUND(SUM($Q187:AD187),1)&gt;=99.5,100,MIN(100,ROUND(SUM($Q187:AD187),1))))</f>
        <v/>
      </c>
      <c r="CX187" s="1" t="str">
        <f aca="false">IF(OR(OR(NOT(AND(ISNUMBER(E187),ISNUMBER(F187))),$J$2=""),15&gt;Reprogramaciones!$K$16),"",IF(ROUND(SUM($Q187:AE187),1)&gt;=99.5,100,MIN(100,ROUND(SUM($Q187:AE187),1))))</f>
        <v/>
      </c>
      <c r="CY187" s="1" t="str">
        <f aca="false">IF(OR(OR(NOT(AND(ISNUMBER(E187),ISNUMBER(F187))),$J$2=""),16&gt;Reprogramaciones!$K$16),"",IF(ROUND(SUM($Q187:AF187),1)&gt;=99.5,100,MIN(100,ROUND(SUM($Q187:AF187),1))))</f>
        <v/>
      </c>
      <c r="CZ187" s="1" t="str">
        <f aca="false">IF(D187&lt;&gt;"",D187,IF(B187&lt;&gt;"","Contractual",CZ186))</f>
        <v>Contractual</v>
      </c>
      <c r="DA187" s="1" t="str">
        <f aca="false">IF(OR(NOT(AND(ISNUMBER(E187),ISNUMBER(F187))),$J$2=""),"",IF(Reprogramaciones!$Q$15&lt;Reprogramaciones!$T$15,0,IF(Reprogramaciones!$S$15&gt;10,MIN(100,SUM($G187:$P187)),MIN(100,SUMPRODUCT((COLUMN($G187:$P187)-COLUMN($G187)+1&lt;Reprogramaciones!$S$15)*$G187:$P187)+N(INDEX($G187:$P187,1,Reprogramaciones!$S$15))*IF(Reprogramaciones!$Q$15&gt;=(Reprogramaciones!$T$15+7*(Reprogramaciones!$S$15-1))+6,1,IF(MAX(0,NETWORKDAYS.INTL(MAX(E187,(Reprogramaciones!$T$15+7*(Reprogramaciones!$S$15-1))),MIN(F187,(Reprogramaciones!$T$15+7*(Reprogramaciones!$S$15-1))+6),11))=0,0,MAX(0,NETWORKDAYS.INTL(MAX(E187,(Reprogramaciones!$T$15+7*(Reprogramaciones!$S$15-1))),MIN(F187,Reprogramaciones!$Q$15),11))/MAX(0,NETWORKDAYS.INTL(MAX(E187,(Reprogramaciones!$T$15+7*(Reprogramaciones!$S$15-1))),MIN(F187,(Reprogramaciones!$T$15+7*(Reprogramaciones!$S$15-1))+6),11))))))))</f>
        <v/>
      </c>
    </row>
    <row r="188" customFormat="false" ht="15" hidden="false" customHeight="false" outlineLevel="0" collapsed="false">
      <c r="A188" s="32"/>
      <c r="B188" s="33"/>
      <c r="C188" s="33"/>
      <c r="D188" s="34"/>
      <c r="E188" s="35"/>
      <c r="F188" s="35"/>
      <c r="G188" s="36" t="str">
        <f aca="false">IF(OR(NOT(AND(ISNUMBER(E188),ISNUMBER(F188))),$J$2=""),"",IF(Reprogramaciones!K$9&lt;E188,0,IF(NETWORKDAYS.INTL(E188,F188,11)=0,IF(Reprogramaciones!K$9&gt;=F188,100,0),ROUND(NETWORKDAYS.INTL(E188,MIN(F188,Reprogramaciones!K$9),11)/NETWORKDAYS.INTL(E188,F188,11)*100,1)))-0)</f>
        <v/>
      </c>
      <c r="H188" s="36" t="str">
        <f aca="false">IF(OR(NOT(AND(ISNUMBER(E188),ISNUMBER(F188))),$J$2=""),"",IF(Reprogramaciones!L$9&lt;E188,0,IF(NETWORKDAYS.INTL(E188,F188,11)=0,IF(Reprogramaciones!L$9&gt;=F188,100,0),ROUND(NETWORKDAYS.INTL(E188,MIN(F188,Reprogramaciones!L$9),11)/NETWORKDAYS.INTL(E188,F188,11)*100,1)))-IF(Reprogramaciones!K$9&lt;E188,0,IF(NETWORKDAYS.INTL(E188,F188,11)=0,IF(Reprogramaciones!K$9&gt;=F188,100,0),ROUND(NETWORKDAYS.INTL(E188,MIN(F188,Reprogramaciones!K$9),11)/NETWORKDAYS.INTL(E188,F188,11)*100,1))))</f>
        <v/>
      </c>
      <c r="I188" s="36" t="str">
        <f aca="false">IF(OR(NOT(AND(ISNUMBER(E188),ISNUMBER(F188))),$J$2=""),"",IF(Reprogramaciones!M$9&lt;E188,0,IF(NETWORKDAYS.INTL(E188,F188,11)=0,IF(Reprogramaciones!M$9&gt;=F188,100,0),ROUND(NETWORKDAYS.INTL(E188,MIN(F188,Reprogramaciones!M$9),11)/NETWORKDAYS.INTL(E188,F188,11)*100,1)))-IF(Reprogramaciones!L$9&lt;E188,0,IF(NETWORKDAYS.INTL(E188,F188,11)=0,IF(Reprogramaciones!L$9&gt;=F188,100,0),ROUND(NETWORKDAYS.INTL(E188,MIN(F188,Reprogramaciones!L$9),11)/NETWORKDAYS.INTL(E188,F188,11)*100,1))))</f>
        <v/>
      </c>
      <c r="J188" s="36" t="str">
        <f aca="false">IF(OR(NOT(AND(ISNUMBER(E188),ISNUMBER(F188))),$J$2=""),"",IF(Reprogramaciones!N$9&lt;E188,0,IF(NETWORKDAYS.INTL(E188,F188,11)=0,IF(Reprogramaciones!N$9&gt;=F188,100,0),ROUND(NETWORKDAYS.INTL(E188,MIN(F188,Reprogramaciones!N$9),11)/NETWORKDAYS.INTL(E188,F188,11)*100,1)))-IF(Reprogramaciones!M$9&lt;E188,0,IF(NETWORKDAYS.INTL(E188,F188,11)=0,IF(Reprogramaciones!M$9&gt;=F188,100,0),ROUND(NETWORKDAYS.INTL(E188,MIN(F188,Reprogramaciones!M$9),11)/NETWORKDAYS.INTL(E188,F188,11)*100,1))))</f>
        <v/>
      </c>
      <c r="K188" s="36" t="str">
        <f aca="false">IF(OR(NOT(AND(ISNUMBER(E188),ISNUMBER(F188))),$J$2=""),"",IF(Reprogramaciones!O$9&lt;E188,0,IF(NETWORKDAYS.INTL(E188,F188,11)=0,IF(Reprogramaciones!O$9&gt;=F188,100,0),ROUND(NETWORKDAYS.INTL(E188,MIN(F188,Reprogramaciones!O$9),11)/NETWORKDAYS.INTL(E188,F188,11)*100,1)))-IF(Reprogramaciones!N$9&lt;E188,0,IF(NETWORKDAYS.INTL(E188,F188,11)=0,IF(Reprogramaciones!N$9&gt;=F188,100,0),ROUND(NETWORKDAYS.INTL(E188,MIN(F188,Reprogramaciones!N$9),11)/NETWORKDAYS.INTL(E188,F188,11)*100,1))))</f>
        <v/>
      </c>
      <c r="L188" s="36" t="str">
        <f aca="false">IF(OR(NOT(AND(ISNUMBER(E188),ISNUMBER(F188))),$J$2=""),"",IF(Reprogramaciones!P$9&lt;E188,0,IF(NETWORKDAYS.INTL(E188,F188,11)=0,IF(Reprogramaciones!P$9&gt;=F188,100,0),ROUND(NETWORKDAYS.INTL(E188,MIN(F188,Reprogramaciones!P$9),11)/NETWORKDAYS.INTL(E188,F188,11)*100,1)))-IF(Reprogramaciones!O$9&lt;E188,0,IF(NETWORKDAYS.INTL(E188,F188,11)=0,IF(Reprogramaciones!O$9&gt;=F188,100,0),ROUND(NETWORKDAYS.INTL(E188,MIN(F188,Reprogramaciones!O$9),11)/NETWORKDAYS.INTL(E188,F188,11)*100,1))))</f>
        <v/>
      </c>
      <c r="M188" s="36" t="str">
        <f aca="false">IF(OR(NOT(AND(ISNUMBER(E188),ISNUMBER(F188))),$J$2=""),"",IF(Reprogramaciones!Q$9&lt;E188,0,IF(NETWORKDAYS.INTL(E188,F188,11)=0,IF(Reprogramaciones!Q$9&gt;=F188,100,0),ROUND(NETWORKDAYS.INTL(E188,MIN(F188,Reprogramaciones!Q$9),11)/NETWORKDAYS.INTL(E188,F188,11)*100,1)))-IF(Reprogramaciones!P$9&lt;E188,0,IF(NETWORKDAYS.INTL(E188,F188,11)=0,IF(Reprogramaciones!P$9&gt;=F188,100,0),ROUND(NETWORKDAYS.INTL(E188,MIN(F188,Reprogramaciones!P$9),11)/NETWORKDAYS.INTL(E188,F188,11)*100,1))))</f>
        <v/>
      </c>
      <c r="N188" s="36" t="str">
        <f aca="false">IF(OR(NOT(AND(ISNUMBER(E188),ISNUMBER(F188))),$J$2=""),"",IF(Reprogramaciones!R$9&lt;E188,0,IF(NETWORKDAYS.INTL(E188,F188,11)=0,IF(Reprogramaciones!R$9&gt;=F188,100,0),ROUND(NETWORKDAYS.INTL(E188,MIN(F188,Reprogramaciones!R$9),11)/NETWORKDAYS.INTL(E188,F188,11)*100,1)))-IF(Reprogramaciones!Q$9&lt;E188,0,IF(NETWORKDAYS.INTL(E188,F188,11)=0,IF(Reprogramaciones!Q$9&gt;=F188,100,0),ROUND(NETWORKDAYS.INTL(E188,MIN(F188,Reprogramaciones!Q$9),11)/NETWORKDAYS.INTL(E188,F188,11)*100,1))))</f>
        <v/>
      </c>
      <c r="O188" s="36" t="str">
        <f aca="false">IF(OR(NOT(AND(ISNUMBER(E188),ISNUMBER(F188))),$J$2=""),"",IF(Reprogramaciones!S$9&lt;E188,0,IF(NETWORKDAYS.INTL(E188,F188,11)=0,IF(Reprogramaciones!S$9&gt;=F188,100,0),ROUND(NETWORKDAYS.INTL(E188,MIN(F188,Reprogramaciones!S$9),11)/NETWORKDAYS.INTL(E188,F188,11)*100,1)))-IF(Reprogramaciones!R$9&lt;E188,0,IF(NETWORKDAYS.INTL(E188,F188,11)=0,IF(Reprogramaciones!R$9&gt;=F188,100,0),ROUND(NETWORKDAYS.INTL(E188,MIN(F188,Reprogramaciones!R$9),11)/NETWORKDAYS.INTL(E188,F188,11)*100,1))))</f>
        <v/>
      </c>
      <c r="P188" s="36" t="str">
        <f aca="false">IF(OR(NOT(AND(ISNUMBER(E188),ISNUMBER(F188))),$J$2=""),"",IF(Reprogramaciones!T$9&lt;E188,0,IF(NETWORKDAYS.INTL(E188,F188,11)=0,IF(Reprogramaciones!T$9&gt;=F188,100,0),ROUND(NETWORKDAYS.INTL(E188,MIN(F188,Reprogramaciones!T$9),11)/NETWORKDAYS.INTL(E188,F188,11)*100,1)))-IF(Reprogramaciones!S$9&lt;E188,0,IF(NETWORKDAYS.INTL(E188,F188,11)=0,IF(Reprogramaciones!S$9&gt;=F188,100,0),ROUND(NETWORKDAYS.INTL(E188,MIN(F188,Reprogramaciones!S$9),11)/NETWORKDAYS.INTL(E188,F188,11)*100,1))))</f>
        <v/>
      </c>
      <c r="Q188" s="37"/>
      <c r="R188" s="37"/>
      <c r="S188" s="37"/>
      <c r="T188" s="37"/>
      <c r="U188" s="37"/>
      <c r="V188" s="37"/>
      <c r="W188" s="37"/>
      <c r="X188" s="37"/>
      <c r="Y188" s="37"/>
      <c r="Z188" s="37"/>
      <c r="AA188" s="37"/>
      <c r="AB188" s="37"/>
      <c r="AC188" s="37"/>
      <c r="AD188" s="37"/>
      <c r="AE188" s="37"/>
      <c r="AF188" s="37"/>
      <c r="AG188" s="38" t="str">
        <f aca="false">IF(AND(ISNUMBER(E188),ISNUMBER(F188)),NETWORKDAYS.INTL(E188,F188,11),"")</f>
        <v/>
      </c>
      <c r="AH188" s="38" t="str">
        <f aca="false">IF(OR(NOT(AND(ISNUMBER(E188),ISNUMBER(F188))),$J$2=""),"",IF(Reprogramaciones!$P$15&lt;Reprogramaciones!$T$15,0,IF(Reprogramaciones!$R$15&gt;10,MIN(100,SUM($G188:$P188)),MIN(100,SUMPRODUCT((COLUMN($G188:$P188)-COLUMN($G188)+1&lt;Reprogramaciones!$R$15)*$G188:$P188)+N(INDEX($G188:$P188,1,Reprogramaciones!$R$15))*IF(Reprogramaciones!$P$15&gt;=(Reprogramaciones!$T$15+7*(Reprogramaciones!$R$15-1))+6,1,IF(MAX(0,NETWORKDAYS.INTL(MAX(E188,(Reprogramaciones!$T$15+7*(Reprogramaciones!$R$15-1))),MIN(F188,(Reprogramaciones!$T$15+7*(Reprogramaciones!$R$15-1))+6),11))=0,0,MAX(0,NETWORKDAYS.INTL(MAX(E188,(Reprogramaciones!$T$15+7*(Reprogramaciones!$R$15-1))),MIN(F188,Reprogramaciones!$P$15),11))/MAX(0,NETWORKDAYS.INTL(MAX(E188,(Reprogramaciones!$T$15+7*(Reprogramaciones!$R$15-1))),MIN(F188,(Reprogramaciones!$T$15+7*(Reprogramaciones!$R$15-1))+6),11))))))))</f>
        <v/>
      </c>
      <c r="AI188" s="38" t="str">
        <f aca="false">IF(COUNT($Q188:$AF188)=0,"",IF(ROUND(SUM($Q188:$AF188),1)&gt;=99.5,100,MIN(100,ROUND(SUM($Q188:$AF188),1))))</f>
        <v/>
      </c>
      <c r="AJ188" s="38" t="str">
        <f aca="false">IF(OR(AH188="",AI188=""),"",AI188-AH188)</f>
        <v/>
      </c>
      <c r="AK188" s="39" t="str">
        <f aca="true">IF(AH188="","",IF(OR(Ficha!$C$10="Suspendida",Ficha!$C$10="Cancelada"),Ficha!$C$10,IF(AND(AI188&lt;&gt;"",N(AI188)&gt;=100),"Completada",IF(AND(E188&gt;TODAY(),N(AI188)=0),"Por iniciar",IF(N(AI188)+0.5&lt;AH188,"Retrasada",IF(N(AI188)+0.5&lt;DA188,IF(Reprogramaciones!$K$15&gt;0,"Al día · Sem "&amp;Reprogramaciones!$K$15&amp;" en curso","Al día · en curso"),"A tiempo"))))))</f>
        <v/>
      </c>
      <c r="AL188" s="39" t="str">
        <f aca="true">IF(AND(A188="",AND(B188="",C188="",E188="",F188="",COUNT(Q188:AF188)=0)),"",IF(AND(B188="",C188="",E188="",F188="",COUNT(Q188:AF188)=0),"Falta la partida o subpartida",IF(AND(A188&lt;&gt;"",COUNTIF($A$6:$A$305,A188)&gt;1),"Ítem repetido",IF(AND(C188="",E188="",F188="",COUNT(Q188:AF188)=0),"Título de partida",IF(OR(E188="",F188=""),"Faltan fechas",IF(OR(ISTEXT(E188),ISTEXT(F188)),"Fecha escrita como texto: usa dd/mm/aaaa",IF(F188&lt;E188,"Fin antes del inicio",IF(IF($J$2="",FALSE(),OR(E188&lt;$J$2,F188&gt;Reprogramaciones!$T$15+69)),"Fuera de las 10 semanas",IF(ABS(SUM(G188:P188)-100)&gt;0.5,"La meta no suma 100%",IF(ROUND(SUM(Q188:AF188),1)&gt;100.5,"El avance pasa de 100%",IF(MIN(Q188:AF188)&lt;0,"Avance negativo",IF(COUNTA(Q188:AF188)&gt;COUNT(Q188:AF188),"Avance escrito como texto",IF(SUMPRODUCT((Q188:AF188&gt;0)*(Q188:AF188&lt;1))&gt;0,"Avance menor a 1: escribe 50, no 50%",IF(SUMPRODUCT(ISNUMBER(Q188:AF188)*(Reprogramaciones!$K$8:$Z$8&gt;TODAY()))&gt;0,"Avance en semana que aún no llega",IF(AND(N(Reprogramaciones!$E$21)&gt;0,F188&gt;Reprogramaciones!$E$21),"Pasa el fin de la obra: registra una reprogramación",IF(AND(N(Reprogramaciones!$E$21)&gt;0,SUMPRODUCT(ISNUMBER(Q188:AF188)*(Reprogramaciones!$K$8:$Z$8&gt;Reprogramaciones!$E$21))&gt;0),"Avance después del fin de la obra: registra una reprogramación por atraso","OK"))))))))))))))))</f>
        <v/>
      </c>
      <c r="AM188" s="40" t="str">
        <f aca="false">IF(OR(OR(NOT(AND(ISNUMBER(E188),ISNUMBER(F188))),$J$2=""),1&gt;MAX(1,Reprogramaciones!$U$15)),"",IF(Reprogramaciones!K$12&gt;=7,"",IF(OR(BT188-N(0)&gt;0.05,N(Q188)&gt;0),ROUNDDOWN(ROUND(BT188,6),0)&amp;"%"&amp;IF(CJ188="",""," / "&amp;CJ188&amp;"%"),IF(AND(N(0)&gt;=99.95,CJ188&lt;&gt;"",N(CJ188)&lt;100),"Pend. "&amp;CJ188&amp;"%",""))))</f>
        <v/>
      </c>
      <c r="AN188" s="40" t="str">
        <f aca="false">IF(OR(OR(NOT(AND(ISNUMBER(E188),ISNUMBER(F188))),$J$2=""),2&gt;MAX(1,Reprogramaciones!$U$15)),"",IF(Reprogramaciones!L$12&gt;=7,"",IF(OR(BU188-N(BT188)&gt;0.05,N(R188)&gt;0),ROUNDDOWN(ROUND(BU188,6),0)&amp;"%"&amp;IF(CK188="",""," / "&amp;CK188&amp;"%"),IF(AND(N(BT188)&gt;=99.95,CK188&lt;&gt;"",N(CK188)&lt;100),"Pend. "&amp;CK188&amp;"%",""))))</f>
        <v/>
      </c>
      <c r="AO188" s="40" t="str">
        <f aca="false">IF(OR(OR(NOT(AND(ISNUMBER(E188),ISNUMBER(F188))),$J$2=""),3&gt;MAX(1,Reprogramaciones!$U$15)),"",IF(Reprogramaciones!M$12&gt;=7,"",IF(OR(BV188-N(BU188)&gt;0.05,N(S188)&gt;0),ROUNDDOWN(ROUND(BV188,6),0)&amp;"%"&amp;IF(CL188="",""," / "&amp;CL188&amp;"%"),IF(AND(N(BU188)&gt;=99.95,CL188&lt;&gt;"",N(CL188)&lt;100),"Pend. "&amp;CL188&amp;"%",""))))</f>
        <v/>
      </c>
      <c r="AP188" s="40" t="str">
        <f aca="false">IF(OR(OR(NOT(AND(ISNUMBER(E188),ISNUMBER(F188))),$J$2=""),4&gt;MAX(1,Reprogramaciones!$U$15)),"",IF(Reprogramaciones!N$12&gt;=7,"",IF(OR(BW188-N(BV188)&gt;0.05,N(T188)&gt;0),ROUNDDOWN(ROUND(BW188,6),0)&amp;"%"&amp;IF(CM188="",""," / "&amp;CM188&amp;"%"),IF(AND(N(BV188)&gt;=99.95,CM188&lt;&gt;"",N(CM188)&lt;100),"Pend. "&amp;CM188&amp;"%",""))))</f>
        <v/>
      </c>
      <c r="AQ188" s="40" t="str">
        <f aca="false">IF(OR(OR(NOT(AND(ISNUMBER(E188),ISNUMBER(F188))),$J$2=""),5&gt;MAX(1,Reprogramaciones!$U$15)),"",IF(Reprogramaciones!O$12&gt;=7,"",IF(OR(BX188-N(BW188)&gt;0.05,N(U188)&gt;0),ROUNDDOWN(ROUND(BX188,6),0)&amp;"%"&amp;IF(CN188="",""," / "&amp;CN188&amp;"%"),IF(AND(N(BW188)&gt;=99.95,CN188&lt;&gt;"",N(CN188)&lt;100),"Pend. "&amp;CN188&amp;"%",""))))</f>
        <v/>
      </c>
      <c r="AR188" s="40" t="str">
        <f aca="false">IF(OR(OR(NOT(AND(ISNUMBER(E188),ISNUMBER(F188))),$J$2=""),6&gt;MAX(1,Reprogramaciones!$U$15)),"",IF(Reprogramaciones!P$12&gt;=7,"",IF(OR(BY188-N(BX188)&gt;0.05,N(V188)&gt;0),ROUNDDOWN(ROUND(BY188,6),0)&amp;"%"&amp;IF(CO188="",""," / "&amp;CO188&amp;"%"),IF(AND(N(BX188)&gt;=99.95,CO188&lt;&gt;"",N(CO188)&lt;100),"Pend. "&amp;CO188&amp;"%",""))))</f>
        <v/>
      </c>
      <c r="AS188" s="40" t="str">
        <f aca="false">IF(OR(OR(NOT(AND(ISNUMBER(E188),ISNUMBER(F188))),$J$2=""),7&gt;MAX(1,Reprogramaciones!$U$15)),"",IF(Reprogramaciones!Q$12&gt;=7,"",IF(OR(BZ188-N(BY188)&gt;0.05,N(W188)&gt;0),ROUNDDOWN(ROUND(BZ188,6),0)&amp;"%"&amp;IF(CP188="",""," / "&amp;CP188&amp;"%"),IF(AND(N(BY188)&gt;=99.95,CP188&lt;&gt;"",N(CP188)&lt;100),"Pend. "&amp;CP188&amp;"%",""))))</f>
        <v/>
      </c>
      <c r="AT188" s="40" t="str">
        <f aca="false">IF(OR(OR(NOT(AND(ISNUMBER(E188),ISNUMBER(F188))),$J$2=""),8&gt;MAX(1,Reprogramaciones!$U$15)),"",IF(Reprogramaciones!R$12&gt;=7,"",IF(OR(CA188-N(BZ188)&gt;0.05,N(X188)&gt;0),ROUNDDOWN(ROUND(CA188,6),0)&amp;"%"&amp;IF(CQ188="",""," / "&amp;CQ188&amp;"%"),IF(AND(N(BZ188)&gt;=99.95,CQ188&lt;&gt;"",N(CQ188)&lt;100),"Pend. "&amp;CQ188&amp;"%",""))))</f>
        <v/>
      </c>
      <c r="AU188" s="40" t="str">
        <f aca="false">IF(OR(OR(NOT(AND(ISNUMBER(E188),ISNUMBER(F188))),$J$2=""),9&gt;MAX(1,Reprogramaciones!$U$15)),"",IF(Reprogramaciones!S$12&gt;=7,"",IF(OR(CB188-N(CA188)&gt;0.05,N(Y188)&gt;0),ROUNDDOWN(ROUND(CB188,6),0)&amp;"%"&amp;IF(CR188="",""," / "&amp;CR188&amp;"%"),IF(AND(N(CA188)&gt;=99.95,CR188&lt;&gt;"",N(CR188)&lt;100),"Pend. "&amp;CR188&amp;"%",""))))</f>
        <v/>
      </c>
      <c r="AV188" s="40" t="str">
        <f aca="false">IF(OR(OR(NOT(AND(ISNUMBER(E188),ISNUMBER(F188))),$J$2=""),10&gt;MAX(1,Reprogramaciones!$U$15)),"",IF(Reprogramaciones!T$12&gt;=7,"",IF(OR(CC188-N(CB188)&gt;0.05,N(Z188)&gt;0),ROUNDDOWN(ROUND(CC188,6),0)&amp;"%"&amp;IF(CS188="",""," / "&amp;CS188&amp;"%"),IF(AND(N(CB188)&gt;=99.95,CS188&lt;&gt;"",N(CS188)&lt;100),"Pend. "&amp;CS188&amp;"%",""))))</f>
        <v/>
      </c>
      <c r="AW188" s="40" t="str">
        <f aca="false">IF(OR(OR(NOT(AND(ISNUMBER(E188),ISNUMBER(F188))),$J$2=""),11&gt;MAX(1,Reprogramaciones!$U$15)),"",IF(Reprogramaciones!U$12&gt;=7,"",IF(OR(CD188-N(CC188)&gt;0.05,N(AA188)&gt;0),ROUNDDOWN(ROUND(CD188,6),0)&amp;"%"&amp;IF(CT188="",""," / "&amp;CT188&amp;"%"),IF(AND(N(CC188)&gt;=99.95,CT188&lt;&gt;"",N(CT188)&lt;100),"Pend. "&amp;CT188&amp;"%",""))))</f>
        <v/>
      </c>
      <c r="AX188" s="40" t="str">
        <f aca="false">IF(OR(OR(NOT(AND(ISNUMBER(E188),ISNUMBER(F188))),$J$2=""),12&gt;MAX(1,Reprogramaciones!$U$15)),"",IF(Reprogramaciones!V$12&gt;=7,"",IF(OR(CE188-N(CD188)&gt;0.05,N(AB188)&gt;0),ROUNDDOWN(ROUND(CE188,6),0)&amp;"%"&amp;IF(CU188="",""," / "&amp;CU188&amp;"%"),IF(AND(N(CD188)&gt;=99.95,CU188&lt;&gt;"",N(CU188)&lt;100),"Pend. "&amp;CU188&amp;"%",""))))</f>
        <v/>
      </c>
      <c r="AY188" s="40" t="str">
        <f aca="false">IF(OR(OR(NOT(AND(ISNUMBER(E188),ISNUMBER(F188))),$J$2=""),13&gt;MAX(1,Reprogramaciones!$U$15)),"",IF(Reprogramaciones!W$12&gt;=7,"",IF(OR(CF188-N(CE188)&gt;0.05,N(AC188)&gt;0),ROUNDDOWN(ROUND(CF188,6),0)&amp;"%"&amp;IF(CV188="",""," / "&amp;CV188&amp;"%"),IF(AND(N(CE188)&gt;=99.95,CV188&lt;&gt;"",N(CV188)&lt;100),"Pend. "&amp;CV188&amp;"%",""))))</f>
        <v/>
      </c>
      <c r="AZ188" s="40" t="str">
        <f aca="false">IF(OR(OR(NOT(AND(ISNUMBER(E188),ISNUMBER(F188))),$J$2=""),14&gt;MAX(1,Reprogramaciones!$U$15)),"",IF(Reprogramaciones!X$12&gt;=7,"",IF(OR(CG188-N(CF188)&gt;0.05,N(AD188)&gt;0),ROUNDDOWN(ROUND(CG188,6),0)&amp;"%"&amp;IF(CW188="",""," / "&amp;CW188&amp;"%"),IF(AND(N(CF188)&gt;=99.95,CW188&lt;&gt;"",N(CW188)&lt;100),"Pend. "&amp;CW188&amp;"%",""))))</f>
        <v/>
      </c>
      <c r="BA188" s="40" t="str">
        <f aca="false">IF(OR(OR(NOT(AND(ISNUMBER(E188),ISNUMBER(F188))),$J$2=""),15&gt;MAX(1,Reprogramaciones!$U$15)),"",IF(Reprogramaciones!Y$12&gt;=7,"",IF(OR(CH188-N(CG188)&gt;0.05,N(AE188)&gt;0),ROUNDDOWN(ROUND(CH188,6),0)&amp;"%"&amp;IF(CX188="",""," / "&amp;CX188&amp;"%"),IF(AND(N(CG188)&gt;=99.95,CX188&lt;&gt;"",N(CX188)&lt;100),"Pend. "&amp;CX188&amp;"%",""))))</f>
        <v/>
      </c>
      <c r="BB188" s="40" t="str">
        <f aca="false">IF(OR(OR(NOT(AND(ISNUMBER(E188),ISNUMBER(F188))),$J$2=""),16&gt;MAX(1,Reprogramaciones!$U$15)),"",IF(Reprogramaciones!Z$12&gt;=7,"",IF(OR(CI188-N(CH188)&gt;0.05,N(AF188)&gt;0),ROUNDDOWN(ROUND(CI188,6),0)&amp;"%"&amp;IF(CY188="",""," / "&amp;CY188&amp;"%"),IF(AND(N(CH188)&gt;=99.95,CY188&lt;&gt;"",N(CY188)&lt;100),"Pend. "&amp;CY188&amp;"%",""))))</f>
        <v/>
      </c>
      <c r="BC188" s="31" t="n">
        <f aca="false">IF(AND(ISNUMBER(E188),ISNUMBER(F188)),MAX(1,NETWORKDAYS.INTL(E188,F188,11)),0)</f>
        <v>0</v>
      </c>
      <c r="BD188" s="1" t="str">
        <f aca="false">IF(OR(NOT(AND(ISNUMBER(E188),ISNUMBER(F188))),$J$2=""),"",MIN(100,ROUND(SUM($G188:G188),1)))</f>
        <v/>
      </c>
      <c r="BE188" s="1" t="str">
        <f aca="false">IF(OR(NOT(AND(ISNUMBER(E188),ISNUMBER(F188))),$J$2=""),"",MIN(100,ROUND(SUM($G188:H188),1)))</f>
        <v/>
      </c>
      <c r="BF188" s="1" t="str">
        <f aca="false">IF(OR(NOT(AND(ISNUMBER(E188),ISNUMBER(F188))),$J$2=""),"",MIN(100,ROUND(SUM($G188:I188),1)))</f>
        <v/>
      </c>
      <c r="BG188" s="1" t="str">
        <f aca="false">IF(OR(NOT(AND(ISNUMBER(E188),ISNUMBER(F188))),$J$2=""),"",MIN(100,ROUND(SUM($G188:J188),1)))</f>
        <v/>
      </c>
      <c r="BH188" s="1" t="str">
        <f aca="false">IF(OR(NOT(AND(ISNUMBER(E188),ISNUMBER(F188))),$J$2=""),"",MIN(100,ROUND(SUM($G188:K188),1)))</f>
        <v/>
      </c>
      <c r="BI188" s="1" t="str">
        <f aca="false">IF(OR(NOT(AND(ISNUMBER(E188),ISNUMBER(F188))),$J$2=""),"",MIN(100,ROUND(SUM($G188:L188),1)))</f>
        <v/>
      </c>
      <c r="BJ188" s="1" t="str">
        <f aca="false">IF(OR(NOT(AND(ISNUMBER(E188),ISNUMBER(F188))),$J$2=""),"",MIN(100,ROUND(SUM($G188:M188),1)))</f>
        <v/>
      </c>
      <c r="BK188" s="1" t="str">
        <f aca="false">IF(OR(NOT(AND(ISNUMBER(E188),ISNUMBER(F188))),$J$2=""),"",MIN(100,ROUND(SUM($G188:N188),1)))</f>
        <v/>
      </c>
      <c r="BL188" s="1" t="str">
        <f aca="false">IF(OR(NOT(AND(ISNUMBER(E188),ISNUMBER(F188))),$J$2=""),"",MIN(100,ROUND(SUM($G188:O188),1)))</f>
        <v/>
      </c>
      <c r="BM188" s="1" t="str">
        <f aca="false">IF(OR(NOT(AND(ISNUMBER(E188),ISNUMBER(F188))),$J$2=""),"",MIN(100,ROUND(SUM($G188:P188),1)))</f>
        <v/>
      </c>
      <c r="BN188" s="1" t="str">
        <f aca="false">IF(OR(NOT(AND(ISNUMBER(E188),ISNUMBER(F188))),$J$2=""),"",MIN(100,ROUND(SUM($G188:P188),1)))</f>
        <v/>
      </c>
      <c r="BO188" s="1" t="str">
        <f aca="false">IF(OR(NOT(AND(ISNUMBER(E188),ISNUMBER(F188))),$J$2=""),"",MIN(100,ROUND(SUM($G188:P188),1)))</f>
        <v/>
      </c>
      <c r="BP188" s="1" t="str">
        <f aca="false">IF(OR(NOT(AND(ISNUMBER(E188),ISNUMBER(F188))),$J$2=""),"",MIN(100,ROUND(SUM($G188:P188),1)))</f>
        <v/>
      </c>
      <c r="BQ188" s="1" t="str">
        <f aca="false">IF(OR(NOT(AND(ISNUMBER(E188),ISNUMBER(F188))),$J$2=""),"",MIN(100,ROUND(SUM($G188:P188),1)))</f>
        <v/>
      </c>
      <c r="BR188" s="1" t="str">
        <f aca="false">IF(OR(NOT(AND(ISNUMBER(E188),ISNUMBER(F188))),$J$2=""),"",MIN(100,ROUND(SUM($G188:P188),1)))</f>
        <v/>
      </c>
      <c r="BS188" s="1" t="str">
        <f aca="false">IF(OR(NOT(AND(ISNUMBER(E188),ISNUMBER(F188))),$J$2=""),"",MIN(100,ROUND(SUM($G188:P188),1)))</f>
        <v/>
      </c>
      <c r="BT188" s="1" t="str">
        <f aca="false">IF(OR(NOT(AND(ISNUMBER(E188),ISNUMBER(F188))),$J$2=""),"",IF(Reprogramaciones!K$13&lt;Reprogramaciones!$T$15,0,IF(Reprogramaciones!K$14&gt;10,MIN(100,SUM($G188:$P188)),MIN(100,SUMPRODUCT((COLUMN($G188:$P188)-COLUMN($G188)+1&lt;Reprogramaciones!K$14)*$G188:$P188)+N(INDEX($G188:$P188,1,Reprogramaciones!K$14))*IF(Reprogramaciones!K$13&gt;=(Reprogramaciones!$T$15+7*(Reprogramaciones!K$14-1))+6,1,IF(MAX(0,NETWORKDAYS.INTL(MAX(E188,(Reprogramaciones!$T$15+7*(Reprogramaciones!K$14-1))),MIN(F188,(Reprogramaciones!$T$15+7*(Reprogramaciones!K$14-1))+6),11))=0,0,MAX(0,NETWORKDAYS.INTL(MAX(E188,(Reprogramaciones!$T$15+7*(Reprogramaciones!K$14-1))),MIN(F188,Reprogramaciones!K$13),11))/MAX(0,NETWORKDAYS.INTL(MAX(E188,(Reprogramaciones!$T$15+7*(Reprogramaciones!K$14-1))),MIN(F188,(Reprogramaciones!$T$15+7*(Reprogramaciones!K$14-1))+6),11))))))))</f>
        <v/>
      </c>
      <c r="BU188" s="1" t="str">
        <f aca="false">IF(OR(NOT(AND(ISNUMBER(E188),ISNUMBER(F188))),$J$2=""),"",IF(Reprogramaciones!L$13&lt;Reprogramaciones!$T$15,0,IF(Reprogramaciones!L$14&gt;10,MIN(100,SUM($G188:$P188)),MIN(100,SUMPRODUCT((COLUMN($G188:$P188)-COLUMN($G188)+1&lt;Reprogramaciones!L$14)*$G188:$P188)+N(INDEX($G188:$P188,1,Reprogramaciones!L$14))*IF(Reprogramaciones!L$13&gt;=(Reprogramaciones!$T$15+7*(Reprogramaciones!L$14-1))+6,1,IF(MAX(0,NETWORKDAYS.INTL(MAX(E188,(Reprogramaciones!$T$15+7*(Reprogramaciones!L$14-1))),MIN(F188,(Reprogramaciones!$T$15+7*(Reprogramaciones!L$14-1))+6),11))=0,0,MAX(0,NETWORKDAYS.INTL(MAX(E188,(Reprogramaciones!$T$15+7*(Reprogramaciones!L$14-1))),MIN(F188,Reprogramaciones!L$13),11))/MAX(0,NETWORKDAYS.INTL(MAX(E188,(Reprogramaciones!$T$15+7*(Reprogramaciones!L$14-1))),MIN(F188,(Reprogramaciones!$T$15+7*(Reprogramaciones!L$14-1))+6),11))))))))</f>
        <v/>
      </c>
      <c r="BV188" s="1" t="str">
        <f aca="false">IF(OR(NOT(AND(ISNUMBER(E188),ISNUMBER(F188))),$J$2=""),"",IF(Reprogramaciones!M$13&lt;Reprogramaciones!$T$15,0,IF(Reprogramaciones!M$14&gt;10,MIN(100,SUM($G188:$P188)),MIN(100,SUMPRODUCT((COLUMN($G188:$P188)-COLUMN($G188)+1&lt;Reprogramaciones!M$14)*$G188:$P188)+N(INDEX($G188:$P188,1,Reprogramaciones!M$14))*IF(Reprogramaciones!M$13&gt;=(Reprogramaciones!$T$15+7*(Reprogramaciones!M$14-1))+6,1,IF(MAX(0,NETWORKDAYS.INTL(MAX(E188,(Reprogramaciones!$T$15+7*(Reprogramaciones!M$14-1))),MIN(F188,(Reprogramaciones!$T$15+7*(Reprogramaciones!M$14-1))+6),11))=0,0,MAX(0,NETWORKDAYS.INTL(MAX(E188,(Reprogramaciones!$T$15+7*(Reprogramaciones!M$14-1))),MIN(F188,Reprogramaciones!M$13),11))/MAX(0,NETWORKDAYS.INTL(MAX(E188,(Reprogramaciones!$T$15+7*(Reprogramaciones!M$14-1))),MIN(F188,(Reprogramaciones!$T$15+7*(Reprogramaciones!M$14-1))+6),11))))))))</f>
        <v/>
      </c>
      <c r="BW188" s="1" t="str">
        <f aca="false">IF(OR(NOT(AND(ISNUMBER(E188),ISNUMBER(F188))),$J$2=""),"",IF(Reprogramaciones!N$13&lt;Reprogramaciones!$T$15,0,IF(Reprogramaciones!N$14&gt;10,MIN(100,SUM($G188:$P188)),MIN(100,SUMPRODUCT((COLUMN($G188:$P188)-COLUMN($G188)+1&lt;Reprogramaciones!N$14)*$G188:$P188)+N(INDEX($G188:$P188,1,Reprogramaciones!N$14))*IF(Reprogramaciones!N$13&gt;=(Reprogramaciones!$T$15+7*(Reprogramaciones!N$14-1))+6,1,IF(MAX(0,NETWORKDAYS.INTL(MAX(E188,(Reprogramaciones!$T$15+7*(Reprogramaciones!N$14-1))),MIN(F188,(Reprogramaciones!$T$15+7*(Reprogramaciones!N$14-1))+6),11))=0,0,MAX(0,NETWORKDAYS.INTL(MAX(E188,(Reprogramaciones!$T$15+7*(Reprogramaciones!N$14-1))),MIN(F188,Reprogramaciones!N$13),11))/MAX(0,NETWORKDAYS.INTL(MAX(E188,(Reprogramaciones!$T$15+7*(Reprogramaciones!N$14-1))),MIN(F188,(Reprogramaciones!$T$15+7*(Reprogramaciones!N$14-1))+6),11))))))))</f>
        <v/>
      </c>
      <c r="BX188" s="1" t="str">
        <f aca="false">IF(OR(NOT(AND(ISNUMBER(E188),ISNUMBER(F188))),$J$2=""),"",IF(Reprogramaciones!O$13&lt;Reprogramaciones!$T$15,0,IF(Reprogramaciones!O$14&gt;10,MIN(100,SUM($G188:$P188)),MIN(100,SUMPRODUCT((COLUMN($G188:$P188)-COLUMN($G188)+1&lt;Reprogramaciones!O$14)*$G188:$P188)+N(INDEX($G188:$P188,1,Reprogramaciones!O$14))*IF(Reprogramaciones!O$13&gt;=(Reprogramaciones!$T$15+7*(Reprogramaciones!O$14-1))+6,1,IF(MAX(0,NETWORKDAYS.INTL(MAX(E188,(Reprogramaciones!$T$15+7*(Reprogramaciones!O$14-1))),MIN(F188,(Reprogramaciones!$T$15+7*(Reprogramaciones!O$14-1))+6),11))=0,0,MAX(0,NETWORKDAYS.INTL(MAX(E188,(Reprogramaciones!$T$15+7*(Reprogramaciones!O$14-1))),MIN(F188,Reprogramaciones!O$13),11))/MAX(0,NETWORKDAYS.INTL(MAX(E188,(Reprogramaciones!$T$15+7*(Reprogramaciones!O$14-1))),MIN(F188,(Reprogramaciones!$T$15+7*(Reprogramaciones!O$14-1))+6),11))))))))</f>
        <v/>
      </c>
      <c r="BY188" s="1" t="str">
        <f aca="false">IF(OR(NOT(AND(ISNUMBER(E188),ISNUMBER(F188))),$J$2=""),"",IF(Reprogramaciones!P$13&lt;Reprogramaciones!$T$15,0,IF(Reprogramaciones!P$14&gt;10,MIN(100,SUM($G188:$P188)),MIN(100,SUMPRODUCT((COLUMN($G188:$P188)-COLUMN($G188)+1&lt;Reprogramaciones!P$14)*$G188:$P188)+N(INDEX($G188:$P188,1,Reprogramaciones!P$14))*IF(Reprogramaciones!P$13&gt;=(Reprogramaciones!$T$15+7*(Reprogramaciones!P$14-1))+6,1,IF(MAX(0,NETWORKDAYS.INTL(MAX(E188,(Reprogramaciones!$T$15+7*(Reprogramaciones!P$14-1))),MIN(F188,(Reprogramaciones!$T$15+7*(Reprogramaciones!P$14-1))+6),11))=0,0,MAX(0,NETWORKDAYS.INTL(MAX(E188,(Reprogramaciones!$T$15+7*(Reprogramaciones!P$14-1))),MIN(F188,Reprogramaciones!P$13),11))/MAX(0,NETWORKDAYS.INTL(MAX(E188,(Reprogramaciones!$T$15+7*(Reprogramaciones!P$14-1))),MIN(F188,(Reprogramaciones!$T$15+7*(Reprogramaciones!P$14-1))+6),11))))))))</f>
        <v/>
      </c>
      <c r="BZ188" s="1" t="str">
        <f aca="false">IF(OR(NOT(AND(ISNUMBER(E188),ISNUMBER(F188))),$J$2=""),"",IF(Reprogramaciones!Q$13&lt;Reprogramaciones!$T$15,0,IF(Reprogramaciones!Q$14&gt;10,MIN(100,SUM($G188:$P188)),MIN(100,SUMPRODUCT((COLUMN($G188:$P188)-COLUMN($G188)+1&lt;Reprogramaciones!Q$14)*$G188:$P188)+N(INDEX($G188:$P188,1,Reprogramaciones!Q$14))*IF(Reprogramaciones!Q$13&gt;=(Reprogramaciones!$T$15+7*(Reprogramaciones!Q$14-1))+6,1,IF(MAX(0,NETWORKDAYS.INTL(MAX(E188,(Reprogramaciones!$T$15+7*(Reprogramaciones!Q$14-1))),MIN(F188,(Reprogramaciones!$T$15+7*(Reprogramaciones!Q$14-1))+6),11))=0,0,MAX(0,NETWORKDAYS.INTL(MAX(E188,(Reprogramaciones!$T$15+7*(Reprogramaciones!Q$14-1))),MIN(F188,Reprogramaciones!Q$13),11))/MAX(0,NETWORKDAYS.INTL(MAX(E188,(Reprogramaciones!$T$15+7*(Reprogramaciones!Q$14-1))),MIN(F188,(Reprogramaciones!$T$15+7*(Reprogramaciones!Q$14-1))+6),11))))))))</f>
        <v/>
      </c>
      <c r="CA188" s="1" t="str">
        <f aca="false">IF(OR(NOT(AND(ISNUMBER(E188),ISNUMBER(F188))),$J$2=""),"",IF(Reprogramaciones!R$13&lt;Reprogramaciones!$T$15,0,IF(Reprogramaciones!R$14&gt;10,MIN(100,SUM($G188:$P188)),MIN(100,SUMPRODUCT((COLUMN($G188:$P188)-COLUMN($G188)+1&lt;Reprogramaciones!R$14)*$G188:$P188)+N(INDEX($G188:$P188,1,Reprogramaciones!R$14))*IF(Reprogramaciones!R$13&gt;=(Reprogramaciones!$T$15+7*(Reprogramaciones!R$14-1))+6,1,IF(MAX(0,NETWORKDAYS.INTL(MAX(E188,(Reprogramaciones!$T$15+7*(Reprogramaciones!R$14-1))),MIN(F188,(Reprogramaciones!$T$15+7*(Reprogramaciones!R$14-1))+6),11))=0,0,MAX(0,NETWORKDAYS.INTL(MAX(E188,(Reprogramaciones!$T$15+7*(Reprogramaciones!R$14-1))),MIN(F188,Reprogramaciones!R$13),11))/MAX(0,NETWORKDAYS.INTL(MAX(E188,(Reprogramaciones!$T$15+7*(Reprogramaciones!R$14-1))),MIN(F188,(Reprogramaciones!$T$15+7*(Reprogramaciones!R$14-1))+6),11))))))))</f>
        <v/>
      </c>
      <c r="CB188" s="1" t="str">
        <f aca="false">IF(OR(NOT(AND(ISNUMBER(E188),ISNUMBER(F188))),$J$2=""),"",IF(Reprogramaciones!S$13&lt;Reprogramaciones!$T$15,0,IF(Reprogramaciones!S$14&gt;10,MIN(100,SUM($G188:$P188)),MIN(100,SUMPRODUCT((COLUMN($G188:$P188)-COLUMN($G188)+1&lt;Reprogramaciones!S$14)*$G188:$P188)+N(INDEX($G188:$P188,1,Reprogramaciones!S$14))*IF(Reprogramaciones!S$13&gt;=(Reprogramaciones!$T$15+7*(Reprogramaciones!S$14-1))+6,1,IF(MAX(0,NETWORKDAYS.INTL(MAX(E188,(Reprogramaciones!$T$15+7*(Reprogramaciones!S$14-1))),MIN(F188,(Reprogramaciones!$T$15+7*(Reprogramaciones!S$14-1))+6),11))=0,0,MAX(0,NETWORKDAYS.INTL(MAX(E188,(Reprogramaciones!$T$15+7*(Reprogramaciones!S$14-1))),MIN(F188,Reprogramaciones!S$13),11))/MAX(0,NETWORKDAYS.INTL(MAX(E188,(Reprogramaciones!$T$15+7*(Reprogramaciones!S$14-1))),MIN(F188,(Reprogramaciones!$T$15+7*(Reprogramaciones!S$14-1))+6),11))))))))</f>
        <v/>
      </c>
      <c r="CC188" s="1" t="str">
        <f aca="false">IF(OR(NOT(AND(ISNUMBER(E188),ISNUMBER(F188))),$J$2=""),"",IF(Reprogramaciones!T$13&lt;Reprogramaciones!$T$15,0,IF(Reprogramaciones!T$14&gt;10,MIN(100,SUM($G188:$P188)),MIN(100,SUMPRODUCT((COLUMN($G188:$P188)-COLUMN($G188)+1&lt;Reprogramaciones!T$14)*$G188:$P188)+N(INDEX($G188:$P188,1,Reprogramaciones!T$14))*IF(Reprogramaciones!T$13&gt;=(Reprogramaciones!$T$15+7*(Reprogramaciones!T$14-1))+6,1,IF(MAX(0,NETWORKDAYS.INTL(MAX(E188,(Reprogramaciones!$T$15+7*(Reprogramaciones!T$14-1))),MIN(F188,(Reprogramaciones!$T$15+7*(Reprogramaciones!T$14-1))+6),11))=0,0,MAX(0,NETWORKDAYS.INTL(MAX(E188,(Reprogramaciones!$T$15+7*(Reprogramaciones!T$14-1))),MIN(F188,Reprogramaciones!T$13),11))/MAX(0,NETWORKDAYS.INTL(MAX(E188,(Reprogramaciones!$T$15+7*(Reprogramaciones!T$14-1))),MIN(F188,(Reprogramaciones!$T$15+7*(Reprogramaciones!T$14-1))+6),11))))))))</f>
        <v/>
      </c>
      <c r="CD188" s="1" t="str">
        <f aca="false">IF(OR(NOT(AND(ISNUMBER(E188),ISNUMBER(F188))),$J$2=""),"",IF(Reprogramaciones!U$13&lt;Reprogramaciones!$T$15,0,IF(Reprogramaciones!U$14&gt;10,MIN(100,SUM($G188:$P188)),MIN(100,SUMPRODUCT((COLUMN($G188:$P188)-COLUMN($G188)+1&lt;Reprogramaciones!U$14)*$G188:$P188)+N(INDEX($G188:$P188,1,Reprogramaciones!U$14))*IF(Reprogramaciones!U$13&gt;=(Reprogramaciones!$T$15+7*(Reprogramaciones!U$14-1))+6,1,IF(MAX(0,NETWORKDAYS.INTL(MAX(E188,(Reprogramaciones!$T$15+7*(Reprogramaciones!U$14-1))),MIN(F188,(Reprogramaciones!$T$15+7*(Reprogramaciones!U$14-1))+6),11))=0,0,MAX(0,NETWORKDAYS.INTL(MAX(E188,(Reprogramaciones!$T$15+7*(Reprogramaciones!U$14-1))),MIN(F188,Reprogramaciones!U$13),11))/MAX(0,NETWORKDAYS.INTL(MAX(E188,(Reprogramaciones!$T$15+7*(Reprogramaciones!U$14-1))),MIN(F188,(Reprogramaciones!$T$15+7*(Reprogramaciones!U$14-1))+6),11))))))))</f>
        <v/>
      </c>
      <c r="CE188" s="1" t="str">
        <f aca="false">IF(OR(NOT(AND(ISNUMBER(E188),ISNUMBER(F188))),$J$2=""),"",IF(Reprogramaciones!V$13&lt;Reprogramaciones!$T$15,0,IF(Reprogramaciones!V$14&gt;10,MIN(100,SUM($G188:$P188)),MIN(100,SUMPRODUCT((COLUMN($G188:$P188)-COLUMN($G188)+1&lt;Reprogramaciones!V$14)*$G188:$P188)+N(INDEX($G188:$P188,1,Reprogramaciones!V$14))*IF(Reprogramaciones!V$13&gt;=(Reprogramaciones!$T$15+7*(Reprogramaciones!V$14-1))+6,1,IF(MAX(0,NETWORKDAYS.INTL(MAX(E188,(Reprogramaciones!$T$15+7*(Reprogramaciones!V$14-1))),MIN(F188,(Reprogramaciones!$T$15+7*(Reprogramaciones!V$14-1))+6),11))=0,0,MAX(0,NETWORKDAYS.INTL(MAX(E188,(Reprogramaciones!$T$15+7*(Reprogramaciones!V$14-1))),MIN(F188,Reprogramaciones!V$13),11))/MAX(0,NETWORKDAYS.INTL(MAX(E188,(Reprogramaciones!$T$15+7*(Reprogramaciones!V$14-1))),MIN(F188,(Reprogramaciones!$T$15+7*(Reprogramaciones!V$14-1))+6),11))))))))</f>
        <v/>
      </c>
      <c r="CF188" s="1" t="str">
        <f aca="false">IF(OR(NOT(AND(ISNUMBER(E188),ISNUMBER(F188))),$J$2=""),"",IF(Reprogramaciones!W$13&lt;Reprogramaciones!$T$15,0,IF(Reprogramaciones!W$14&gt;10,MIN(100,SUM($G188:$P188)),MIN(100,SUMPRODUCT((COLUMN($G188:$P188)-COLUMN($G188)+1&lt;Reprogramaciones!W$14)*$G188:$P188)+N(INDEX($G188:$P188,1,Reprogramaciones!W$14))*IF(Reprogramaciones!W$13&gt;=(Reprogramaciones!$T$15+7*(Reprogramaciones!W$14-1))+6,1,IF(MAX(0,NETWORKDAYS.INTL(MAX(E188,(Reprogramaciones!$T$15+7*(Reprogramaciones!W$14-1))),MIN(F188,(Reprogramaciones!$T$15+7*(Reprogramaciones!W$14-1))+6),11))=0,0,MAX(0,NETWORKDAYS.INTL(MAX(E188,(Reprogramaciones!$T$15+7*(Reprogramaciones!W$14-1))),MIN(F188,Reprogramaciones!W$13),11))/MAX(0,NETWORKDAYS.INTL(MAX(E188,(Reprogramaciones!$T$15+7*(Reprogramaciones!W$14-1))),MIN(F188,(Reprogramaciones!$T$15+7*(Reprogramaciones!W$14-1))+6),11))))))))</f>
        <v/>
      </c>
      <c r="CG188" s="1" t="str">
        <f aca="false">IF(OR(NOT(AND(ISNUMBER(E188),ISNUMBER(F188))),$J$2=""),"",IF(Reprogramaciones!X$13&lt;Reprogramaciones!$T$15,0,IF(Reprogramaciones!X$14&gt;10,MIN(100,SUM($G188:$P188)),MIN(100,SUMPRODUCT((COLUMN($G188:$P188)-COLUMN($G188)+1&lt;Reprogramaciones!X$14)*$G188:$P188)+N(INDEX($G188:$P188,1,Reprogramaciones!X$14))*IF(Reprogramaciones!X$13&gt;=(Reprogramaciones!$T$15+7*(Reprogramaciones!X$14-1))+6,1,IF(MAX(0,NETWORKDAYS.INTL(MAX(E188,(Reprogramaciones!$T$15+7*(Reprogramaciones!X$14-1))),MIN(F188,(Reprogramaciones!$T$15+7*(Reprogramaciones!X$14-1))+6),11))=0,0,MAX(0,NETWORKDAYS.INTL(MAX(E188,(Reprogramaciones!$T$15+7*(Reprogramaciones!X$14-1))),MIN(F188,Reprogramaciones!X$13),11))/MAX(0,NETWORKDAYS.INTL(MAX(E188,(Reprogramaciones!$T$15+7*(Reprogramaciones!X$14-1))),MIN(F188,(Reprogramaciones!$T$15+7*(Reprogramaciones!X$14-1))+6),11))))))))</f>
        <v/>
      </c>
      <c r="CH188" s="1" t="str">
        <f aca="false">IF(OR(NOT(AND(ISNUMBER(E188),ISNUMBER(F188))),$J$2=""),"",IF(Reprogramaciones!Y$13&lt;Reprogramaciones!$T$15,0,IF(Reprogramaciones!Y$14&gt;10,MIN(100,SUM($G188:$P188)),MIN(100,SUMPRODUCT((COLUMN($G188:$P188)-COLUMN($G188)+1&lt;Reprogramaciones!Y$14)*$G188:$P188)+N(INDEX($G188:$P188,1,Reprogramaciones!Y$14))*IF(Reprogramaciones!Y$13&gt;=(Reprogramaciones!$T$15+7*(Reprogramaciones!Y$14-1))+6,1,IF(MAX(0,NETWORKDAYS.INTL(MAX(E188,(Reprogramaciones!$T$15+7*(Reprogramaciones!Y$14-1))),MIN(F188,(Reprogramaciones!$T$15+7*(Reprogramaciones!Y$14-1))+6),11))=0,0,MAX(0,NETWORKDAYS.INTL(MAX(E188,(Reprogramaciones!$T$15+7*(Reprogramaciones!Y$14-1))),MIN(F188,Reprogramaciones!Y$13),11))/MAX(0,NETWORKDAYS.INTL(MAX(E188,(Reprogramaciones!$T$15+7*(Reprogramaciones!Y$14-1))),MIN(F188,(Reprogramaciones!$T$15+7*(Reprogramaciones!Y$14-1))+6),11))))))))</f>
        <v/>
      </c>
      <c r="CI188" s="1" t="str">
        <f aca="false">IF(OR(NOT(AND(ISNUMBER(E188),ISNUMBER(F188))),$J$2=""),"",IF(Reprogramaciones!Z$13&lt;Reprogramaciones!$T$15,0,IF(Reprogramaciones!Z$14&gt;10,MIN(100,SUM($G188:$P188)),MIN(100,SUMPRODUCT((COLUMN($G188:$P188)-COLUMN($G188)+1&lt;Reprogramaciones!Z$14)*$G188:$P188)+N(INDEX($G188:$P188,1,Reprogramaciones!Z$14))*IF(Reprogramaciones!Z$13&gt;=(Reprogramaciones!$T$15+7*(Reprogramaciones!Z$14-1))+6,1,IF(MAX(0,NETWORKDAYS.INTL(MAX(E188,(Reprogramaciones!$T$15+7*(Reprogramaciones!Z$14-1))),MIN(F188,(Reprogramaciones!$T$15+7*(Reprogramaciones!Z$14-1))+6),11))=0,0,MAX(0,NETWORKDAYS.INTL(MAX(E188,(Reprogramaciones!$T$15+7*(Reprogramaciones!Z$14-1))),MIN(F188,Reprogramaciones!Z$13),11))/MAX(0,NETWORKDAYS.INTL(MAX(E188,(Reprogramaciones!$T$15+7*(Reprogramaciones!Z$14-1))),MIN(F188,(Reprogramaciones!$T$15+7*(Reprogramaciones!Z$14-1))+6),11))))))))</f>
        <v/>
      </c>
      <c r="CJ188" s="1" t="str">
        <f aca="false">IF(OR(OR(NOT(AND(ISNUMBER(E188),ISNUMBER(F188))),$J$2=""),1&gt;Reprogramaciones!$K$16),"",IF(ROUND(SUM($Q188:Q188),1)&gt;=99.5,100,MIN(100,ROUND(SUM($Q188:Q188),1))))</f>
        <v/>
      </c>
      <c r="CK188" s="1" t="str">
        <f aca="false">IF(OR(OR(NOT(AND(ISNUMBER(E188),ISNUMBER(F188))),$J$2=""),2&gt;Reprogramaciones!$K$16),"",IF(ROUND(SUM($Q188:R188),1)&gt;=99.5,100,MIN(100,ROUND(SUM($Q188:R188),1))))</f>
        <v/>
      </c>
      <c r="CL188" s="1" t="str">
        <f aca="false">IF(OR(OR(NOT(AND(ISNUMBER(E188),ISNUMBER(F188))),$J$2=""),3&gt;Reprogramaciones!$K$16),"",IF(ROUND(SUM($Q188:S188),1)&gt;=99.5,100,MIN(100,ROUND(SUM($Q188:S188),1))))</f>
        <v/>
      </c>
      <c r="CM188" s="1" t="str">
        <f aca="false">IF(OR(OR(NOT(AND(ISNUMBER(E188),ISNUMBER(F188))),$J$2=""),4&gt;Reprogramaciones!$K$16),"",IF(ROUND(SUM($Q188:T188),1)&gt;=99.5,100,MIN(100,ROUND(SUM($Q188:T188),1))))</f>
        <v/>
      </c>
      <c r="CN188" s="1" t="str">
        <f aca="false">IF(OR(OR(NOT(AND(ISNUMBER(E188),ISNUMBER(F188))),$J$2=""),5&gt;Reprogramaciones!$K$16),"",IF(ROUND(SUM($Q188:U188),1)&gt;=99.5,100,MIN(100,ROUND(SUM($Q188:U188),1))))</f>
        <v/>
      </c>
      <c r="CO188" s="1" t="str">
        <f aca="false">IF(OR(OR(NOT(AND(ISNUMBER(E188),ISNUMBER(F188))),$J$2=""),6&gt;Reprogramaciones!$K$16),"",IF(ROUND(SUM($Q188:V188),1)&gt;=99.5,100,MIN(100,ROUND(SUM($Q188:V188),1))))</f>
        <v/>
      </c>
      <c r="CP188" s="1" t="str">
        <f aca="false">IF(OR(OR(NOT(AND(ISNUMBER(E188),ISNUMBER(F188))),$J$2=""),7&gt;Reprogramaciones!$K$16),"",IF(ROUND(SUM($Q188:W188),1)&gt;=99.5,100,MIN(100,ROUND(SUM($Q188:W188),1))))</f>
        <v/>
      </c>
      <c r="CQ188" s="1" t="str">
        <f aca="false">IF(OR(OR(NOT(AND(ISNUMBER(E188),ISNUMBER(F188))),$J$2=""),8&gt;Reprogramaciones!$K$16),"",IF(ROUND(SUM($Q188:X188),1)&gt;=99.5,100,MIN(100,ROUND(SUM($Q188:X188),1))))</f>
        <v/>
      </c>
      <c r="CR188" s="1" t="str">
        <f aca="false">IF(OR(OR(NOT(AND(ISNUMBER(E188),ISNUMBER(F188))),$J$2=""),9&gt;Reprogramaciones!$K$16),"",IF(ROUND(SUM($Q188:Y188),1)&gt;=99.5,100,MIN(100,ROUND(SUM($Q188:Y188),1))))</f>
        <v/>
      </c>
      <c r="CS188" s="1" t="str">
        <f aca="false">IF(OR(OR(NOT(AND(ISNUMBER(E188),ISNUMBER(F188))),$J$2=""),10&gt;Reprogramaciones!$K$16),"",IF(ROUND(SUM($Q188:Z188),1)&gt;=99.5,100,MIN(100,ROUND(SUM($Q188:Z188),1))))</f>
        <v/>
      </c>
      <c r="CT188" s="1" t="str">
        <f aca="false">IF(OR(OR(NOT(AND(ISNUMBER(E188),ISNUMBER(F188))),$J$2=""),11&gt;Reprogramaciones!$K$16),"",IF(ROUND(SUM($Q188:AA188),1)&gt;=99.5,100,MIN(100,ROUND(SUM($Q188:AA188),1))))</f>
        <v/>
      </c>
      <c r="CU188" s="1" t="str">
        <f aca="false">IF(OR(OR(NOT(AND(ISNUMBER(E188),ISNUMBER(F188))),$J$2=""),12&gt;Reprogramaciones!$K$16),"",IF(ROUND(SUM($Q188:AB188),1)&gt;=99.5,100,MIN(100,ROUND(SUM($Q188:AB188),1))))</f>
        <v/>
      </c>
      <c r="CV188" s="1" t="str">
        <f aca="false">IF(OR(OR(NOT(AND(ISNUMBER(E188),ISNUMBER(F188))),$J$2=""),13&gt;Reprogramaciones!$K$16),"",IF(ROUND(SUM($Q188:AC188),1)&gt;=99.5,100,MIN(100,ROUND(SUM($Q188:AC188),1))))</f>
        <v/>
      </c>
      <c r="CW188" s="1" t="str">
        <f aca="false">IF(OR(OR(NOT(AND(ISNUMBER(E188),ISNUMBER(F188))),$J$2=""),14&gt;Reprogramaciones!$K$16),"",IF(ROUND(SUM($Q188:AD188),1)&gt;=99.5,100,MIN(100,ROUND(SUM($Q188:AD188),1))))</f>
        <v/>
      </c>
      <c r="CX188" s="1" t="str">
        <f aca="false">IF(OR(OR(NOT(AND(ISNUMBER(E188),ISNUMBER(F188))),$J$2=""),15&gt;Reprogramaciones!$K$16),"",IF(ROUND(SUM($Q188:AE188),1)&gt;=99.5,100,MIN(100,ROUND(SUM($Q188:AE188),1))))</f>
        <v/>
      </c>
      <c r="CY188" s="1" t="str">
        <f aca="false">IF(OR(OR(NOT(AND(ISNUMBER(E188),ISNUMBER(F188))),$J$2=""),16&gt;Reprogramaciones!$K$16),"",IF(ROUND(SUM($Q188:AF188),1)&gt;=99.5,100,MIN(100,ROUND(SUM($Q188:AF188),1))))</f>
        <v/>
      </c>
      <c r="CZ188" s="1" t="str">
        <f aca="false">IF(D188&lt;&gt;"",D188,IF(B188&lt;&gt;"","Contractual",CZ187))</f>
        <v>Contractual</v>
      </c>
      <c r="DA188" s="1" t="str">
        <f aca="false">IF(OR(NOT(AND(ISNUMBER(E188),ISNUMBER(F188))),$J$2=""),"",IF(Reprogramaciones!$Q$15&lt;Reprogramaciones!$T$15,0,IF(Reprogramaciones!$S$15&gt;10,MIN(100,SUM($G188:$P188)),MIN(100,SUMPRODUCT((COLUMN($G188:$P188)-COLUMN($G188)+1&lt;Reprogramaciones!$S$15)*$G188:$P188)+N(INDEX($G188:$P188,1,Reprogramaciones!$S$15))*IF(Reprogramaciones!$Q$15&gt;=(Reprogramaciones!$T$15+7*(Reprogramaciones!$S$15-1))+6,1,IF(MAX(0,NETWORKDAYS.INTL(MAX(E188,(Reprogramaciones!$T$15+7*(Reprogramaciones!$S$15-1))),MIN(F188,(Reprogramaciones!$T$15+7*(Reprogramaciones!$S$15-1))+6),11))=0,0,MAX(0,NETWORKDAYS.INTL(MAX(E188,(Reprogramaciones!$T$15+7*(Reprogramaciones!$S$15-1))),MIN(F188,Reprogramaciones!$Q$15),11))/MAX(0,NETWORKDAYS.INTL(MAX(E188,(Reprogramaciones!$T$15+7*(Reprogramaciones!$S$15-1))),MIN(F188,(Reprogramaciones!$T$15+7*(Reprogramaciones!$S$15-1))+6),11))))))))</f>
        <v/>
      </c>
    </row>
    <row r="189" customFormat="false" ht="15" hidden="false" customHeight="false" outlineLevel="0" collapsed="false">
      <c r="A189" s="32"/>
      <c r="B189" s="33"/>
      <c r="C189" s="33"/>
      <c r="D189" s="34"/>
      <c r="E189" s="35"/>
      <c r="F189" s="35"/>
      <c r="G189" s="36" t="str">
        <f aca="false">IF(OR(NOT(AND(ISNUMBER(E189),ISNUMBER(F189))),$J$2=""),"",IF(Reprogramaciones!K$9&lt;E189,0,IF(NETWORKDAYS.INTL(E189,F189,11)=0,IF(Reprogramaciones!K$9&gt;=F189,100,0),ROUND(NETWORKDAYS.INTL(E189,MIN(F189,Reprogramaciones!K$9),11)/NETWORKDAYS.INTL(E189,F189,11)*100,1)))-0)</f>
        <v/>
      </c>
      <c r="H189" s="36" t="str">
        <f aca="false">IF(OR(NOT(AND(ISNUMBER(E189),ISNUMBER(F189))),$J$2=""),"",IF(Reprogramaciones!L$9&lt;E189,0,IF(NETWORKDAYS.INTL(E189,F189,11)=0,IF(Reprogramaciones!L$9&gt;=F189,100,0),ROUND(NETWORKDAYS.INTL(E189,MIN(F189,Reprogramaciones!L$9),11)/NETWORKDAYS.INTL(E189,F189,11)*100,1)))-IF(Reprogramaciones!K$9&lt;E189,0,IF(NETWORKDAYS.INTL(E189,F189,11)=0,IF(Reprogramaciones!K$9&gt;=F189,100,0),ROUND(NETWORKDAYS.INTL(E189,MIN(F189,Reprogramaciones!K$9),11)/NETWORKDAYS.INTL(E189,F189,11)*100,1))))</f>
        <v/>
      </c>
      <c r="I189" s="36" t="str">
        <f aca="false">IF(OR(NOT(AND(ISNUMBER(E189),ISNUMBER(F189))),$J$2=""),"",IF(Reprogramaciones!M$9&lt;E189,0,IF(NETWORKDAYS.INTL(E189,F189,11)=0,IF(Reprogramaciones!M$9&gt;=F189,100,0),ROUND(NETWORKDAYS.INTL(E189,MIN(F189,Reprogramaciones!M$9),11)/NETWORKDAYS.INTL(E189,F189,11)*100,1)))-IF(Reprogramaciones!L$9&lt;E189,0,IF(NETWORKDAYS.INTL(E189,F189,11)=0,IF(Reprogramaciones!L$9&gt;=F189,100,0),ROUND(NETWORKDAYS.INTL(E189,MIN(F189,Reprogramaciones!L$9),11)/NETWORKDAYS.INTL(E189,F189,11)*100,1))))</f>
        <v/>
      </c>
      <c r="J189" s="36" t="str">
        <f aca="false">IF(OR(NOT(AND(ISNUMBER(E189),ISNUMBER(F189))),$J$2=""),"",IF(Reprogramaciones!N$9&lt;E189,0,IF(NETWORKDAYS.INTL(E189,F189,11)=0,IF(Reprogramaciones!N$9&gt;=F189,100,0),ROUND(NETWORKDAYS.INTL(E189,MIN(F189,Reprogramaciones!N$9),11)/NETWORKDAYS.INTL(E189,F189,11)*100,1)))-IF(Reprogramaciones!M$9&lt;E189,0,IF(NETWORKDAYS.INTL(E189,F189,11)=0,IF(Reprogramaciones!M$9&gt;=F189,100,0),ROUND(NETWORKDAYS.INTL(E189,MIN(F189,Reprogramaciones!M$9),11)/NETWORKDAYS.INTL(E189,F189,11)*100,1))))</f>
        <v/>
      </c>
      <c r="K189" s="36" t="str">
        <f aca="false">IF(OR(NOT(AND(ISNUMBER(E189),ISNUMBER(F189))),$J$2=""),"",IF(Reprogramaciones!O$9&lt;E189,0,IF(NETWORKDAYS.INTL(E189,F189,11)=0,IF(Reprogramaciones!O$9&gt;=F189,100,0),ROUND(NETWORKDAYS.INTL(E189,MIN(F189,Reprogramaciones!O$9),11)/NETWORKDAYS.INTL(E189,F189,11)*100,1)))-IF(Reprogramaciones!N$9&lt;E189,0,IF(NETWORKDAYS.INTL(E189,F189,11)=0,IF(Reprogramaciones!N$9&gt;=F189,100,0),ROUND(NETWORKDAYS.INTL(E189,MIN(F189,Reprogramaciones!N$9),11)/NETWORKDAYS.INTL(E189,F189,11)*100,1))))</f>
        <v/>
      </c>
      <c r="L189" s="36" t="str">
        <f aca="false">IF(OR(NOT(AND(ISNUMBER(E189),ISNUMBER(F189))),$J$2=""),"",IF(Reprogramaciones!P$9&lt;E189,0,IF(NETWORKDAYS.INTL(E189,F189,11)=0,IF(Reprogramaciones!P$9&gt;=F189,100,0),ROUND(NETWORKDAYS.INTL(E189,MIN(F189,Reprogramaciones!P$9),11)/NETWORKDAYS.INTL(E189,F189,11)*100,1)))-IF(Reprogramaciones!O$9&lt;E189,0,IF(NETWORKDAYS.INTL(E189,F189,11)=0,IF(Reprogramaciones!O$9&gt;=F189,100,0),ROUND(NETWORKDAYS.INTL(E189,MIN(F189,Reprogramaciones!O$9),11)/NETWORKDAYS.INTL(E189,F189,11)*100,1))))</f>
        <v/>
      </c>
      <c r="M189" s="36" t="str">
        <f aca="false">IF(OR(NOT(AND(ISNUMBER(E189),ISNUMBER(F189))),$J$2=""),"",IF(Reprogramaciones!Q$9&lt;E189,0,IF(NETWORKDAYS.INTL(E189,F189,11)=0,IF(Reprogramaciones!Q$9&gt;=F189,100,0),ROUND(NETWORKDAYS.INTL(E189,MIN(F189,Reprogramaciones!Q$9),11)/NETWORKDAYS.INTL(E189,F189,11)*100,1)))-IF(Reprogramaciones!P$9&lt;E189,0,IF(NETWORKDAYS.INTL(E189,F189,11)=0,IF(Reprogramaciones!P$9&gt;=F189,100,0),ROUND(NETWORKDAYS.INTL(E189,MIN(F189,Reprogramaciones!P$9),11)/NETWORKDAYS.INTL(E189,F189,11)*100,1))))</f>
        <v/>
      </c>
      <c r="N189" s="36" t="str">
        <f aca="false">IF(OR(NOT(AND(ISNUMBER(E189),ISNUMBER(F189))),$J$2=""),"",IF(Reprogramaciones!R$9&lt;E189,0,IF(NETWORKDAYS.INTL(E189,F189,11)=0,IF(Reprogramaciones!R$9&gt;=F189,100,0),ROUND(NETWORKDAYS.INTL(E189,MIN(F189,Reprogramaciones!R$9),11)/NETWORKDAYS.INTL(E189,F189,11)*100,1)))-IF(Reprogramaciones!Q$9&lt;E189,0,IF(NETWORKDAYS.INTL(E189,F189,11)=0,IF(Reprogramaciones!Q$9&gt;=F189,100,0),ROUND(NETWORKDAYS.INTL(E189,MIN(F189,Reprogramaciones!Q$9),11)/NETWORKDAYS.INTL(E189,F189,11)*100,1))))</f>
        <v/>
      </c>
      <c r="O189" s="36" t="str">
        <f aca="false">IF(OR(NOT(AND(ISNUMBER(E189),ISNUMBER(F189))),$J$2=""),"",IF(Reprogramaciones!S$9&lt;E189,0,IF(NETWORKDAYS.INTL(E189,F189,11)=0,IF(Reprogramaciones!S$9&gt;=F189,100,0),ROUND(NETWORKDAYS.INTL(E189,MIN(F189,Reprogramaciones!S$9),11)/NETWORKDAYS.INTL(E189,F189,11)*100,1)))-IF(Reprogramaciones!R$9&lt;E189,0,IF(NETWORKDAYS.INTL(E189,F189,11)=0,IF(Reprogramaciones!R$9&gt;=F189,100,0),ROUND(NETWORKDAYS.INTL(E189,MIN(F189,Reprogramaciones!R$9),11)/NETWORKDAYS.INTL(E189,F189,11)*100,1))))</f>
        <v/>
      </c>
      <c r="P189" s="36" t="str">
        <f aca="false">IF(OR(NOT(AND(ISNUMBER(E189),ISNUMBER(F189))),$J$2=""),"",IF(Reprogramaciones!T$9&lt;E189,0,IF(NETWORKDAYS.INTL(E189,F189,11)=0,IF(Reprogramaciones!T$9&gt;=F189,100,0),ROUND(NETWORKDAYS.INTL(E189,MIN(F189,Reprogramaciones!T$9),11)/NETWORKDAYS.INTL(E189,F189,11)*100,1)))-IF(Reprogramaciones!S$9&lt;E189,0,IF(NETWORKDAYS.INTL(E189,F189,11)=0,IF(Reprogramaciones!S$9&gt;=F189,100,0),ROUND(NETWORKDAYS.INTL(E189,MIN(F189,Reprogramaciones!S$9),11)/NETWORKDAYS.INTL(E189,F189,11)*100,1))))</f>
        <v/>
      </c>
      <c r="Q189" s="37"/>
      <c r="R189" s="37"/>
      <c r="S189" s="37"/>
      <c r="T189" s="37"/>
      <c r="U189" s="37"/>
      <c r="V189" s="37"/>
      <c r="W189" s="37"/>
      <c r="X189" s="37"/>
      <c r="Y189" s="37"/>
      <c r="Z189" s="37"/>
      <c r="AA189" s="37"/>
      <c r="AB189" s="37"/>
      <c r="AC189" s="37"/>
      <c r="AD189" s="37"/>
      <c r="AE189" s="37"/>
      <c r="AF189" s="37"/>
      <c r="AG189" s="38" t="str">
        <f aca="false">IF(AND(ISNUMBER(E189),ISNUMBER(F189)),NETWORKDAYS.INTL(E189,F189,11),"")</f>
        <v/>
      </c>
      <c r="AH189" s="38" t="str">
        <f aca="false">IF(OR(NOT(AND(ISNUMBER(E189),ISNUMBER(F189))),$J$2=""),"",IF(Reprogramaciones!$P$15&lt;Reprogramaciones!$T$15,0,IF(Reprogramaciones!$R$15&gt;10,MIN(100,SUM($G189:$P189)),MIN(100,SUMPRODUCT((COLUMN($G189:$P189)-COLUMN($G189)+1&lt;Reprogramaciones!$R$15)*$G189:$P189)+N(INDEX($G189:$P189,1,Reprogramaciones!$R$15))*IF(Reprogramaciones!$P$15&gt;=(Reprogramaciones!$T$15+7*(Reprogramaciones!$R$15-1))+6,1,IF(MAX(0,NETWORKDAYS.INTL(MAX(E189,(Reprogramaciones!$T$15+7*(Reprogramaciones!$R$15-1))),MIN(F189,(Reprogramaciones!$T$15+7*(Reprogramaciones!$R$15-1))+6),11))=0,0,MAX(0,NETWORKDAYS.INTL(MAX(E189,(Reprogramaciones!$T$15+7*(Reprogramaciones!$R$15-1))),MIN(F189,Reprogramaciones!$P$15),11))/MAX(0,NETWORKDAYS.INTL(MAX(E189,(Reprogramaciones!$T$15+7*(Reprogramaciones!$R$15-1))),MIN(F189,(Reprogramaciones!$T$15+7*(Reprogramaciones!$R$15-1))+6),11))))))))</f>
        <v/>
      </c>
      <c r="AI189" s="38" t="str">
        <f aca="false">IF(COUNT($Q189:$AF189)=0,"",IF(ROUND(SUM($Q189:$AF189),1)&gt;=99.5,100,MIN(100,ROUND(SUM($Q189:$AF189),1))))</f>
        <v/>
      </c>
      <c r="AJ189" s="38" t="str">
        <f aca="false">IF(OR(AH189="",AI189=""),"",AI189-AH189)</f>
        <v/>
      </c>
      <c r="AK189" s="39" t="str">
        <f aca="true">IF(AH189="","",IF(OR(Ficha!$C$10="Suspendida",Ficha!$C$10="Cancelada"),Ficha!$C$10,IF(AND(AI189&lt;&gt;"",N(AI189)&gt;=100),"Completada",IF(AND(E189&gt;TODAY(),N(AI189)=0),"Por iniciar",IF(N(AI189)+0.5&lt;AH189,"Retrasada",IF(N(AI189)+0.5&lt;DA189,IF(Reprogramaciones!$K$15&gt;0,"Al día · Sem "&amp;Reprogramaciones!$K$15&amp;" en curso","Al día · en curso"),"A tiempo"))))))</f>
        <v/>
      </c>
      <c r="AL189" s="39" t="str">
        <f aca="true">IF(AND(A189="",AND(B189="",C189="",E189="",F189="",COUNT(Q189:AF189)=0)),"",IF(AND(B189="",C189="",E189="",F189="",COUNT(Q189:AF189)=0),"Falta la partida o subpartida",IF(AND(A189&lt;&gt;"",COUNTIF($A$6:$A$305,A189)&gt;1),"Ítem repetido",IF(AND(C189="",E189="",F189="",COUNT(Q189:AF189)=0),"Título de partida",IF(OR(E189="",F189=""),"Faltan fechas",IF(OR(ISTEXT(E189),ISTEXT(F189)),"Fecha escrita como texto: usa dd/mm/aaaa",IF(F189&lt;E189,"Fin antes del inicio",IF(IF($J$2="",FALSE(),OR(E189&lt;$J$2,F189&gt;Reprogramaciones!$T$15+69)),"Fuera de las 10 semanas",IF(ABS(SUM(G189:P189)-100)&gt;0.5,"La meta no suma 100%",IF(ROUND(SUM(Q189:AF189),1)&gt;100.5,"El avance pasa de 100%",IF(MIN(Q189:AF189)&lt;0,"Avance negativo",IF(COUNTA(Q189:AF189)&gt;COUNT(Q189:AF189),"Avance escrito como texto",IF(SUMPRODUCT((Q189:AF189&gt;0)*(Q189:AF189&lt;1))&gt;0,"Avance menor a 1: escribe 50, no 50%",IF(SUMPRODUCT(ISNUMBER(Q189:AF189)*(Reprogramaciones!$K$8:$Z$8&gt;TODAY()))&gt;0,"Avance en semana que aún no llega",IF(AND(N(Reprogramaciones!$E$21)&gt;0,F189&gt;Reprogramaciones!$E$21),"Pasa el fin de la obra: registra una reprogramación",IF(AND(N(Reprogramaciones!$E$21)&gt;0,SUMPRODUCT(ISNUMBER(Q189:AF189)*(Reprogramaciones!$K$8:$Z$8&gt;Reprogramaciones!$E$21))&gt;0),"Avance después del fin de la obra: registra una reprogramación por atraso","OK"))))))))))))))))</f>
        <v/>
      </c>
      <c r="AM189" s="40" t="str">
        <f aca="false">IF(OR(OR(NOT(AND(ISNUMBER(E189),ISNUMBER(F189))),$J$2=""),1&gt;MAX(1,Reprogramaciones!$U$15)),"",IF(Reprogramaciones!K$12&gt;=7,"",IF(OR(BT189-N(0)&gt;0.05,N(Q189)&gt;0),ROUNDDOWN(ROUND(BT189,6),0)&amp;"%"&amp;IF(CJ189="",""," / "&amp;CJ189&amp;"%"),IF(AND(N(0)&gt;=99.95,CJ189&lt;&gt;"",N(CJ189)&lt;100),"Pend. "&amp;CJ189&amp;"%",""))))</f>
        <v/>
      </c>
      <c r="AN189" s="40" t="str">
        <f aca="false">IF(OR(OR(NOT(AND(ISNUMBER(E189),ISNUMBER(F189))),$J$2=""),2&gt;MAX(1,Reprogramaciones!$U$15)),"",IF(Reprogramaciones!L$12&gt;=7,"",IF(OR(BU189-N(BT189)&gt;0.05,N(R189)&gt;0),ROUNDDOWN(ROUND(BU189,6),0)&amp;"%"&amp;IF(CK189="",""," / "&amp;CK189&amp;"%"),IF(AND(N(BT189)&gt;=99.95,CK189&lt;&gt;"",N(CK189)&lt;100),"Pend. "&amp;CK189&amp;"%",""))))</f>
        <v/>
      </c>
      <c r="AO189" s="40" t="str">
        <f aca="false">IF(OR(OR(NOT(AND(ISNUMBER(E189),ISNUMBER(F189))),$J$2=""),3&gt;MAX(1,Reprogramaciones!$U$15)),"",IF(Reprogramaciones!M$12&gt;=7,"",IF(OR(BV189-N(BU189)&gt;0.05,N(S189)&gt;0),ROUNDDOWN(ROUND(BV189,6),0)&amp;"%"&amp;IF(CL189="",""," / "&amp;CL189&amp;"%"),IF(AND(N(BU189)&gt;=99.95,CL189&lt;&gt;"",N(CL189)&lt;100),"Pend. "&amp;CL189&amp;"%",""))))</f>
        <v/>
      </c>
      <c r="AP189" s="40" t="str">
        <f aca="false">IF(OR(OR(NOT(AND(ISNUMBER(E189),ISNUMBER(F189))),$J$2=""),4&gt;MAX(1,Reprogramaciones!$U$15)),"",IF(Reprogramaciones!N$12&gt;=7,"",IF(OR(BW189-N(BV189)&gt;0.05,N(T189)&gt;0),ROUNDDOWN(ROUND(BW189,6),0)&amp;"%"&amp;IF(CM189="",""," / "&amp;CM189&amp;"%"),IF(AND(N(BV189)&gt;=99.95,CM189&lt;&gt;"",N(CM189)&lt;100),"Pend. "&amp;CM189&amp;"%",""))))</f>
        <v/>
      </c>
      <c r="AQ189" s="40" t="str">
        <f aca="false">IF(OR(OR(NOT(AND(ISNUMBER(E189),ISNUMBER(F189))),$J$2=""),5&gt;MAX(1,Reprogramaciones!$U$15)),"",IF(Reprogramaciones!O$12&gt;=7,"",IF(OR(BX189-N(BW189)&gt;0.05,N(U189)&gt;0),ROUNDDOWN(ROUND(BX189,6),0)&amp;"%"&amp;IF(CN189="",""," / "&amp;CN189&amp;"%"),IF(AND(N(BW189)&gt;=99.95,CN189&lt;&gt;"",N(CN189)&lt;100),"Pend. "&amp;CN189&amp;"%",""))))</f>
        <v/>
      </c>
      <c r="AR189" s="40" t="str">
        <f aca="false">IF(OR(OR(NOT(AND(ISNUMBER(E189),ISNUMBER(F189))),$J$2=""),6&gt;MAX(1,Reprogramaciones!$U$15)),"",IF(Reprogramaciones!P$12&gt;=7,"",IF(OR(BY189-N(BX189)&gt;0.05,N(V189)&gt;0),ROUNDDOWN(ROUND(BY189,6),0)&amp;"%"&amp;IF(CO189="",""," / "&amp;CO189&amp;"%"),IF(AND(N(BX189)&gt;=99.95,CO189&lt;&gt;"",N(CO189)&lt;100),"Pend. "&amp;CO189&amp;"%",""))))</f>
        <v/>
      </c>
      <c r="AS189" s="40" t="str">
        <f aca="false">IF(OR(OR(NOT(AND(ISNUMBER(E189),ISNUMBER(F189))),$J$2=""),7&gt;MAX(1,Reprogramaciones!$U$15)),"",IF(Reprogramaciones!Q$12&gt;=7,"",IF(OR(BZ189-N(BY189)&gt;0.05,N(W189)&gt;0),ROUNDDOWN(ROUND(BZ189,6),0)&amp;"%"&amp;IF(CP189="",""," / "&amp;CP189&amp;"%"),IF(AND(N(BY189)&gt;=99.95,CP189&lt;&gt;"",N(CP189)&lt;100),"Pend. "&amp;CP189&amp;"%",""))))</f>
        <v/>
      </c>
      <c r="AT189" s="40" t="str">
        <f aca="false">IF(OR(OR(NOT(AND(ISNUMBER(E189),ISNUMBER(F189))),$J$2=""),8&gt;MAX(1,Reprogramaciones!$U$15)),"",IF(Reprogramaciones!R$12&gt;=7,"",IF(OR(CA189-N(BZ189)&gt;0.05,N(X189)&gt;0),ROUNDDOWN(ROUND(CA189,6),0)&amp;"%"&amp;IF(CQ189="",""," / "&amp;CQ189&amp;"%"),IF(AND(N(BZ189)&gt;=99.95,CQ189&lt;&gt;"",N(CQ189)&lt;100),"Pend. "&amp;CQ189&amp;"%",""))))</f>
        <v/>
      </c>
      <c r="AU189" s="40" t="str">
        <f aca="false">IF(OR(OR(NOT(AND(ISNUMBER(E189),ISNUMBER(F189))),$J$2=""),9&gt;MAX(1,Reprogramaciones!$U$15)),"",IF(Reprogramaciones!S$12&gt;=7,"",IF(OR(CB189-N(CA189)&gt;0.05,N(Y189)&gt;0),ROUNDDOWN(ROUND(CB189,6),0)&amp;"%"&amp;IF(CR189="",""," / "&amp;CR189&amp;"%"),IF(AND(N(CA189)&gt;=99.95,CR189&lt;&gt;"",N(CR189)&lt;100),"Pend. "&amp;CR189&amp;"%",""))))</f>
        <v/>
      </c>
      <c r="AV189" s="40" t="str">
        <f aca="false">IF(OR(OR(NOT(AND(ISNUMBER(E189),ISNUMBER(F189))),$J$2=""),10&gt;MAX(1,Reprogramaciones!$U$15)),"",IF(Reprogramaciones!T$12&gt;=7,"",IF(OR(CC189-N(CB189)&gt;0.05,N(Z189)&gt;0),ROUNDDOWN(ROUND(CC189,6),0)&amp;"%"&amp;IF(CS189="",""," / "&amp;CS189&amp;"%"),IF(AND(N(CB189)&gt;=99.95,CS189&lt;&gt;"",N(CS189)&lt;100),"Pend. "&amp;CS189&amp;"%",""))))</f>
        <v/>
      </c>
      <c r="AW189" s="40" t="str">
        <f aca="false">IF(OR(OR(NOT(AND(ISNUMBER(E189),ISNUMBER(F189))),$J$2=""),11&gt;MAX(1,Reprogramaciones!$U$15)),"",IF(Reprogramaciones!U$12&gt;=7,"",IF(OR(CD189-N(CC189)&gt;0.05,N(AA189)&gt;0),ROUNDDOWN(ROUND(CD189,6),0)&amp;"%"&amp;IF(CT189="",""," / "&amp;CT189&amp;"%"),IF(AND(N(CC189)&gt;=99.95,CT189&lt;&gt;"",N(CT189)&lt;100),"Pend. "&amp;CT189&amp;"%",""))))</f>
        <v/>
      </c>
      <c r="AX189" s="40" t="str">
        <f aca="false">IF(OR(OR(NOT(AND(ISNUMBER(E189),ISNUMBER(F189))),$J$2=""),12&gt;MAX(1,Reprogramaciones!$U$15)),"",IF(Reprogramaciones!V$12&gt;=7,"",IF(OR(CE189-N(CD189)&gt;0.05,N(AB189)&gt;0),ROUNDDOWN(ROUND(CE189,6),0)&amp;"%"&amp;IF(CU189="",""," / "&amp;CU189&amp;"%"),IF(AND(N(CD189)&gt;=99.95,CU189&lt;&gt;"",N(CU189)&lt;100),"Pend. "&amp;CU189&amp;"%",""))))</f>
        <v/>
      </c>
      <c r="AY189" s="40" t="str">
        <f aca="false">IF(OR(OR(NOT(AND(ISNUMBER(E189),ISNUMBER(F189))),$J$2=""),13&gt;MAX(1,Reprogramaciones!$U$15)),"",IF(Reprogramaciones!W$12&gt;=7,"",IF(OR(CF189-N(CE189)&gt;0.05,N(AC189)&gt;0),ROUNDDOWN(ROUND(CF189,6),0)&amp;"%"&amp;IF(CV189="",""," / "&amp;CV189&amp;"%"),IF(AND(N(CE189)&gt;=99.95,CV189&lt;&gt;"",N(CV189)&lt;100),"Pend. "&amp;CV189&amp;"%",""))))</f>
        <v/>
      </c>
      <c r="AZ189" s="40" t="str">
        <f aca="false">IF(OR(OR(NOT(AND(ISNUMBER(E189),ISNUMBER(F189))),$J$2=""),14&gt;MAX(1,Reprogramaciones!$U$15)),"",IF(Reprogramaciones!X$12&gt;=7,"",IF(OR(CG189-N(CF189)&gt;0.05,N(AD189)&gt;0),ROUNDDOWN(ROUND(CG189,6),0)&amp;"%"&amp;IF(CW189="",""," / "&amp;CW189&amp;"%"),IF(AND(N(CF189)&gt;=99.95,CW189&lt;&gt;"",N(CW189)&lt;100),"Pend. "&amp;CW189&amp;"%",""))))</f>
        <v/>
      </c>
      <c r="BA189" s="40" t="str">
        <f aca="false">IF(OR(OR(NOT(AND(ISNUMBER(E189),ISNUMBER(F189))),$J$2=""),15&gt;MAX(1,Reprogramaciones!$U$15)),"",IF(Reprogramaciones!Y$12&gt;=7,"",IF(OR(CH189-N(CG189)&gt;0.05,N(AE189)&gt;0),ROUNDDOWN(ROUND(CH189,6),0)&amp;"%"&amp;IF(CX189="",""," / "&amp;CX189&amp;"%"),IF(AND(N(CG189)&gt;=99.95,CX189&lt;&gt;"",N(CX189)&lt;100),"Pend. "&amp;CX189&amp;"%",""))))</f>
        <v/>
      </c>
      <c r="BB189" s="40" t="str">
        <f aca="false">IF(OR(OR(NOT(AND(ISNUMBER(E189),ISNUMBER(F189))),$J$2=""),16&gt;MAX(1,Reprogramaciones!$U$15)),"",IF(Reprogramaciones!Z$12&gt;=7,"",IF(OR(CI189-N(CH189)&gt;0.05,N(AF189)&gt;0),ROUNDDOWN(ROUND(CI189,6),0)&amp;"%"&amp;IF(CY189="",""," / "&amp;CY189&amp;"%"),IF(AND(N(CH189)&gt;=99.95,CY189&lt;&gt;"",N(CY189)&lt;100),"Pend. "&amp;CY189&amp;"%",""))))</f>
        <v/>
      </c>
      <c r="BC189" s="31" t="n">
        <f aca="false">IF(AND(ISNUMBER(E189),ISNUMBER(F189)),MAX(1,NETWORKDAYS.INTL(E189,F189,11)),0)</f>
        <v>0</v>
      </c>
      <c r="BD189" s="1" t="str">
        <f aca="false">IF(OR(NOT(AND(ISNUMBER(E189),ISNUMBER(F189))),$J$2=""),"",MIN(100,ROUND(SUM($G189:G189),1)))</f>
        <v/>
      </c>
      <c r="BE189" s="1" t="str">
        <f aca="false">IF(OR(NOT(AND(ISNUMBER(E189),ISNUMBER(F189))),$J$2=""),"",MIN(100,ROUND(SUM($G189:H189),1)))</f>
        <v/>
      </c>
      <c r="BF189" s="1" t="str">
        <f aca="false">IF(OR(NOT(AND(ISNUMBER(E189),ISNUMBER(F189))),$J$2=""),"",MIN(100,ROUND(SUM($G189:I189),1)))</f>
        <v/>
      </c>
      <c r="BG189" s="1" t="str">
        <f aca="false">IF(OR(NOT(AND(ISNUMBER(E189),ISNUMBER(F189))),$J$2=""),"",MIN(100,ROUND(SUM($G189:J189),1)))</f>
        <v/>
      </c>
      <c r="BH189" s="1" t="str">
        <f aca="false">IF(OR(NOT(AND(ISNUMBER(E189),ISNUMBER(F189))),$J$2=""),"",MIN(100,ROUND(SUM($G189:K189),1)))</f>
        <v/>
      </c>
      <c r="BI189" s="1" t="str">
        <f aca="false">IF(OR(NOT(AND(ISNUMBER(E189),ISNUMBER(F189))),$J$2=""),"",MIN(100,ROUND(SUM($G189:L189),1)))</f>
        <v/>
      </c>
      <c r="BJ189" s="1" t="str">
        <f aca="false">IF(OR(NOT(AND(ISNUMBER(E189),ISNUMBER(F189))),$J$2=""),"",MIN(100,ROUND(SUM($G189:M189),1)))</f>
        <v/>
      </c>
      <c r="BK189" s="1" t="str">
        <f aca="false">IF(OR(NOT(AND(ISNUMBER(E189),ISNUMBER(F189))),$J$2=""),"",MIN(100,ROUND(SUM($G189:N189),1)))</f>
        <v/>
      </c>
      <c r="BL189" s="1" t="str">
        <f aca="false">IF(OR(NOT(AND(ISNUMBER(E189),ISNUMBER(F189))),$J$2=""),"",MIN(100,ROUND(SUM($G189:O189),1)))</f>
        <v/>
      </c>
      <c r="BM189" s="1" t="str">
        <f aca="false">IF(OR(NOT(AND(ISNUMBER(E189),ISNUMBER(F189))),$J$2=""),"",MIN(100,ROUND(SUM($G189:P189),1)))</f>
        <v/>
      </c>
      <c r="BN189" s="1" t="str">
        <f aca="false">IF(OR(NOT(AND(ISNUMBER(E189),ISNUMBER(F189))),$J$2=""),"",MIN(100,ROUND(SUM($G189:P189),1)))</f>
        <v/>
      </c>
      <c r="BO189" s="1" t="str">
        <f aca="false">IF(OR(NOT(AND(ISNUMBER(E189),ISNUMBER(F189))),$J$2=""),"",MIN(100,ROUND(SUM($G189:P189),1)))</f>
        <v/>
      </c>
      <c r="BP189" s="1" t="str">
        <f aca="false">IF(OR(NOT(AND(ISNUMBER(E189),ISNUMBER(F189))),$J$2=""),"",MIN(100,ROUND(SUM($G189:P189),1)))</f>
        <v/>
      </c>
      <c r="BQ189" s="1" t="str">
        <f aca="false">IF(OR(NOT(AND(ISNUMBER(E189),ISNUMBER(F189))),$J$2=""),"",MIN(100,ROUND(SUM($G189:P189),1)))</f>
        <v/>
      </c>
      <c r="BR189" s="1" t="str">
        <f aca="false">IF(OR(NOT(AND(ISNUMBER(E189),ISNUMBER(F189))),$J$2=""),"",MIN(100,ROUND(SUM($G189:P189),1)))</f>
        <v/>
      </c>
      <c r="BS189" s="1" t="str">
        <f aca="false">IF(OR(NOT(AND(ISNUMBER(E189),ISNUMBER(F189))),$J$2=""),"",MIN(100,ROUND(SUM($G189:P189),1)))</f>
        <v/>
      </c>
      <c r="BT189" s="1" t="str">
        <f aca="false">IF(OR(NOT(AND(ISNUMBER(E189),ISNUMBER(F189))),$J$2=""),"",IF(Reprogramaciones!K$13&lt;Reprogramaciones!$T$15,0,IF(Reprogramaciones!K$14&gt;10,MIN(100,SUM($G189:$P189)),MIN(100,SUMPRODUCT((COLUMN($G189:$P189)-COLUMN($G189)+1&lt;Reprogramaciones!K$14)*$G189:$P189)+N(INDEX($G189:$P189,1,Reprogramaciones!K$14))*IF(Reprogramaciones!K$13&gt;=(Reprogramaciones!$T$15+7*(Reprogramaciones!K$14-1))+6,1,IF(MAX(0,NETWORKDAYS.INTL(MAX(E189,(Reprogramaciones!$T$15+7*(Reprogramaciones!K$14-1))),MIN(F189,(Reprogramaciones!$T$15+7*(Reprogramaciones!K$14-1))+6),11))=0,0,MAX(0,NETWORKDAYS.INTL(MAX(E189,(Reprogramaciones!$T$15+7*(Reprogramaciones!K$14-1))),MIN(F189,Reprogramaciones!K$13),11))/MAX(0,NETWORKDAYS.INTL(MAX(E189,(Reprogramaciones!$T$15+7*(Reprogramaciones!K$14-1))),MIN(F189,(Reprogramaciones!$T$15+7*(Reprogramaciones!K$14-1))+6),11))))))))</f>
        <v/>
      </c>
      <c r="BU189" s="1" t="str">
        <f aca="false">IF(OR(NOT(AND(ISNUMBER(E189),ISNUMBER(F189))),$J$2=""),"",IF(Reprogramaciones!L$13&lt;Reprogramaciones!$T$15,0,IF(Reprogramaciones!L$14&gt;10,MIN(100,SUM($G189:$P189)),MIN(100,SUMPRODUCT((COLUMN($G189:$P189)-COLUMN($G189)+1&lt;Reprogramaciones!L$14)*$G189:$P189)+N(INDEX($G189:$P189,1,Reprogramaciones!L$14))*IF(Reprogramaciones!L$13&gt;=(Reprogramaciones!$T$15+7*(Reprogramaciones!L$14-1))+6,1,IF(MAX(0,NETWORKDAYS.INTL(MAX(E189,(Reprogramaciones!$T$15+7*(Reprogramaciones!L$14-1))),MIN(F189,(Reprogramaciones!$T$15+7*(Reprogramaciones!L$14-1))+6),11))=0,0,MAX(0,NETWORKDAYS.INTL(MAX(E189,(Reprogramaciones!$T$15+7*(Reprogramaciones!L$14-1))),MIN(F189,Reprogramaciones!L$13),11))/MAX(0,NETWORKDAYS.INTL(MAX(E189,(Reprogramaciones!$T$15+7*(Reprogramaciones!L$14-1))),MIN(F189,(Reprogramaciones!$T$15+7*(Reprogramaciones!L$14-1))+6),11))))))))</f>
        <v/>
      </c>
      <c r="BV189" s="1" t="str">
        <f aca="false">IF(OR(NOT(AND(ISNUMBER(E189),ISNUMBER(F189))),$J$2=""),"",IF(Reprogramaciones!M$13&lt;Reprogramaciones!$T$15,0,IF(Reprogramaciones!M$14&gt;10,MIN(100,SUM($G189:$P189)),MIN(100,SUMPRODUCT((COLUMN($G189:$P189)-COLUMN($G189)+1&lt;Reprogramaciones!M$14)*$G189:$P189)+N(INDEX($G189:$P189,1,Reprogramaciones!M$14))*IF(Reprogramaciones!M$13&gt;=(Reprogramaciones!$T$15+7*(Reprogramaciones!M$14-1))+6,1,IF(MAX(0,NETWORKDAYS.INTL(MAX(E189,(Reprogramaciones!$T$15+7*(Reprogramaciones!M$14-1))),MIN(F189,(Reprogramaciones!$T$15+7*(Reprogramaciones!M$14-1))+6),11))=0,0,MAX(0,NETWORKDAYS.INTL(MAX(E189,(Reprogramaciones!$T$15+7*(Reprogramaciones!M$14-1))),MIN(F189,Reprogramaciones!M$13),11))/MAX(0,NETWORKDAYS.INTL(MAX(E189,(Reprogramaciones!$T$15+7*(Reprogramaciones!M$14-1))),MIN(F189,(Reprogramaciones!$T$15+7*(Reprogramaciones!M$14-1))+6),11))))))))</f>
        <v/>
      </c>
      <c r="BW189" s="1" t="str">
        <f aca="false">IF(OR(NOT(AND(ISNUMBER(E189),ISNUMBER(F189))),$J$2=""),"",IF(Reprogramaciones!N$13&lt;Reprogramaciones!$T$15,0,IF(Reprogramaciones!N$14&gt;10,MIN(100,SUM($G189:$P189)),MIN(100,SUMPRODUCT((COLUMN($G189:$P189)-COLUMN($G189)+1&lt;Reprogramaciones!N$14)*$G189:$P189)+N(INDEX($G189:$P189,1,Reprogramaciones!N$14))*IF(Reprogramaciones!N$13&gt;=(Reprogramaciones!$T$15+7*(Reprogramaciones!N$14-1))+6,1,IF(MAX(0,NETWORKDAYS.INTL(MAX(E189,(Reprogramaciones!$T$15+7*(Reprogramaciones!N$14-1))),MIN(F189,(Reprogramaciones!$T$15+7*(Reprogramaciones!N$14-1))+6),11))=0,0,MAX(0,NETWORKDAYS.INTL(MAX(E189,(Reprogramaciones!$T$15+7*(Reprogramaciones!N$14-1))),MIN(F189,Reprogramaciones!N$13),11))/MAX(0,NETWORKDAYS.INTL(MAX(E189,(Reprogramaciones!$T$15+7*(Reprogramaciones!N$14-1))),MIN(F189,(Reprogramaciones!$T$15+7*(Reprogramaciones!N$14-1))+6),11))))))))</f>
        <v/>
      </c>
      <c r="BX189" s="1" t="str">
        <f aca="false">IF(OR(NOT(AND(ISNUMBER(E189),ISNUMBER(F189))),$J$2=""),"",IF(Reprogramaciones!O$13&lt;Reprogramaciones!$T$15,0,IF(Reprogramaciones!O$14&gt;10,MIN(100,SUM($G189:$P189)),MIN(100,SUMPRODUCT((COLUMN($G189:$P189)-COLUMN($G189)+1&lt;Reprogramaciones!O$14)*$G189:$P189)+N(INDEX($G189:$P189,1,Reprogramaciones!O$14))*IF(Reprogramaciones!O$13&gt;=(Reprogramaciones!$T$15+7*(Reprogramaciones!O$14-1))+6,1,IF(MAX(0,NETWORKDAYS.INTL(MAX(E189,(Reprogramaciones!$T$15+7*(Reprogramaciones!O$14-1))),MIN(F189,(Reprogramaciones!$T$15+7*(Reprogramaciones!O$14-1))+6),11))=0,0,MAX(0,NETWORKDAYS.INTL(MAX(E189,(Reprogramaciones!$T$15+7*(Reprogramaciones!O$14-1))),MIN(F189,Reprogramaciones!O$13),11))/MAX(0,NETWORKDAYS.INTL(MAX(E189,(Reprogramaciones!$T$15+7*(Reprogramaciones!O$14-1))),MIN(F189,(Reprogramaciones!$T$15+7*(Reprogramaciones!O$14-1))+6),11))))))))</f>
        <v/>
      </c>
      <c r="BY189" s="1" t="str">
        <f aca="false">IF(OR(NOT(AND(ISNUMBER(E189),ISNUMBER(F189))),$J$2=""),"",IF(Reprogramaciones!P$13&lt;Reprogramaciones!$T$15,0,IF(Reprogramaciones!P$14&gt;10,MIN(100,SUM($G189:$P189)),MIN(100,SUMPRODUCT((COLUMN($G189:$P189)-COLUMN($G189)+1&lt;Reprogramaciones!P$14)*$G189:$P189)+N(INDEX($G189:$P189,1,Reprogramaciones!P$14))*IF(Reprogramaciones!P$13&gt;=(Reprogramaciones!$T$15+7*(Reprogramaciones!P$14-1))+6,1,IF(MAX(0,NETWORKDAYS.INTL(MAX(E189,(Reprogramaciones!$T$15+7*(Reprogramaciones!P$14-1))),MIN(F189,(Reprogramaciones!$T$15+7*(Reprogramaciones!P$14-1))+6),11))=0,0,MAX(0,NETWORKDAYS.INTL(MAX(E189,(Reprogramaciones!$T$15+7*(Reprogramaciones!P$14-1))),MIN(F189,Reprogramaciones!P$13),11))/MAX(0,NETWORKDAYS.INTL(MAX(E189,(Reprogramaciones!$T$15+7*(Reprogramaciones!P$14-1))),MIN(F189,(Reprogramaciones!$T$15+7*(Reprogramaciones!P$14-1))+6),11))))))))</f>
        <v/>
      </c>
      <c r="BZ189" s="1" t="str">
        <f aca="false">IF(OR(NOT(AND(ISNUMBER(E189),ISNUMBER(F189))),$J$2=""),"",IF(Reprogramaciones!Q$13&lt;Reprogramaciones!$T$15,0,IF(Reprogramaciones!Q$14&gt;10,MIN(100,SUM($G189:$P189)),MIN(100,SUMPRODUCT((COLUMN($G189:$P189)-COLUMN($G189)+1&lt;Reprogramaciones!Q$14)*$G189:$P189)+N(INDEX($G189:$P189,1,Reprogramaciones!Q$14))*IF(Reprogramaciones!Q$13&gt;=(Reprogramaciones!$T$15+7*(Reprogramaciones!Q$14-1))+6,1,IF(MAX(0,NETWORKDAYS.INTL(MAX(E189,(Reprogramaciones!$T$15+7*(Reprogramaciones!Q$14-1))),MIN(F189,(Reprogramaciones!$T$15+7*(Reprogramaciones!Q$14-1))+6),11))=0,0,MAX(0,NETWORKDAYS.INTL(MAX(E189,(Reprogramaciones!$T$15+7*(Reprogramaciones!Q$14-1))),MIN(F189,Reprogramaciones!Q$13),11))/MAX(0,NETWORKDAYS.INTL(MAX(E189,(Reprogramaciones!$T$15+7*(Reprogramaciones!Q$14-1))),MIN(F189,(Reprogramaciones!$T$15+7*(Reprogramaciones!Q$14-1))+6),11))))))))</f>
        <v/>
      </c>
      <c r="CA189" s="1" t="str">
        <f aca="false">IF(OR(NOT(AND(ISNUMBER(E189),ISNUMBER(F189))),$J$2=""),"",IF(Reprogramaciones!R$13&lt;Reprogramaciones!$T$15,0,IF(Reprogramaciones!R$14&gt;10,MIN(100,SUM($G189:$P189)),MIN(100,SUMPRODUCT((COLUMN($G189:$P189)-COLUMN($G189)+1&lt;Reprogramaciones!R$14)*$G189:$P189)+N(INDEX($G189:$P189,1,Reprogramaciones!R$14))*IF(Reprogramaciones!R$13&gt;=(Reprogramaciones!$T$15+7*(Reprogramaciones!R$14-1))+6,1,IF(MAX(0,NETWORKDAYS.INTL(MAX(E189,(Reprogramaciones!$T$15+7*(Reprogramaciones!R$14-1))),MIN(F189,(Reprogramaciones!$T$15+7*(Reprogramaciones!R$14-1))+6),11))=0,0,MAX(0,NETWORKDAYS.INTL(MAX(E189,(Reprogramaciones!$T$15+7*(Reprogramaciones!R$14-1))),MIN(F189,Reprogramaciones!R$13),11))/MAX(0,NETWORKDAYS.INTL(MAX(E189,(Reprogramaciones!$T$15+7*(Reprogramaciones!R$14-1))),MIN(F189,(Reprogramaciones!$T$15+7*(Reprogramaciones!R$14-1))+6),11))))))))</f>
        <v/>
      </c>
      <c r="CB189" s="1" t="str">
        <f aca="false">IF(OR(NOT(AND(ISNUMBER(E189),ISNUMBER(F189))),$J$2=""),"",IF(Reprogramaciones!S$13&lt;Reprogramaciones!$T$15,0,IF(Reprogramaciones!S$14&gt;10,MIN(100,SUM($G189:$P189)),MIN(100,SUMPRODUCT((COLUMN($G189:$P189)-COLUMN($G189)+1&lt;Reprogramaciones!S$14)*$G189:$P189)+N(INDEX($G189:$P189,1,Reprogramaciones!S$14))*IF(Reprogramaciones!S$13&gt;=(Reprogramaciones!$T$15+7*(Reprogramaciones!S$14-1))+6,1,IF(MAX(0,NETWORKDAYS.INTL(MAX(E189,(Reprogramaciones!$T$15+7*(Reprogramaciones!S$14-1))),MIN(F189,(Reprogramaciones!$T$15+7*(Reprogramaciones!S$14-1))+6),11))=0,0,MAX(0,NETWORKDAYS.INTL(MAX(E189,(Reprogramaciones!$T$15+7*(Reprogramaciones!S$14-1))),MIN(F189,Reprogramaciones!S$13),11))/MAX(0,NETWORKDAYS.INTL(MAX(E189,(Reprogramaciones!$T$15+7*(Reprogramaciones!S$14-1))),MIN(F189,(Reprogramaciones!$T$15+7*(Reprogramaciones!S$14-1))+6),11))))))))</f>
        <v/>
      </c>
      <c r="CC189" s="1" t="str">
        <f aca="false">IF(OR(NOT(AND(ISNUMBER(E189),ISNUMBER(F189))),$J$2=""),"",IF(Reprogramaciones!T$13&lt;Reprogramaciones!$T$15,0,IF(Reprogramaciones!T$14&gt;10,MIN(100,SUM($G189:$P189)),MIN(100,SUMPRODUCT((COLUMN($G189:$P189)-COLUMN($G189)+1&lt;Reprogramaciones!T$14)*$G189:$P189)+N(INDEX($G189:$P189,1,Reprogramaciones!T$14))*IF(Reprogramaciones!T$13&gt;=(Reprogramaciones!$T$15+7*(Reprogramaciones!T$14-1))+6,1,IF(MAX(0,NETWORKDAYS.INTL(MAX(E189,(Reprogramaciones!$T$15+7*(Reprogramaciones!T$14-1))),MIN(F189,(Reprogramaciones!$T$15+7*(Reprogramaciones!T$14-1))+6),11))=0,0,MAX(0,NETWORKDAYS.INTL(MAX(E189,(Reprogramaciones!$T$15+7*(Reprogramaciones!T$14-1))),MIN(F189,Reprogramaciones!T$13),11))/MAX(0,NETWORKDAYS.INTL(MAX(E189,(Reprogramaciones!$T$15+7*(Reprogramaciones!T$14-1))),MIN(F189,(Reprogramaciones!$T$15+7*(Reprogramaciones!T$14-1))+6),11))))))))</f>
        <v/>
      </c>
      <c r="CD189" s="1" t="str">
        <f aca="false">IF(OR(NOT(AND(ISNUMBER(E189),ISNUMBER(F189))),$J$2=""),"",IF(Reprogramaciones!U$13&lt;Reprogramaciones!$T$15,0,IF(Reprogramaciones!U$14&gt;10,MIN(100,SUM($G189:$P189)),MIN(100,SUMPRODUCT((COLUMN($G189:$P189)-COLUMN($G189)+1&lt;Reprogramaciones!U$14)*$G189:$P189)+N(INDEX($G189:$P189,1,Reprogramaciones!U$14))*IF(Reprogramaciones!U$13&gt;=(Reprogramaciones!$T$15+7*(Reprogramaciones!U$14-1))+6,1,IF(MAX(0,NETWORKDAYS.INTL(MAX(E189,(Reprogramaciones!$T$15+7*(Reprogramaciones!U$14-1))),MIN(F189,(Reprogramaciones!$T$15+7*(Reprogramaciones!U$14-1))+6),11))=0,0,MAX(0,NETWORKDAYS.INTL(MAX(E189,(Reprogramaciones!$T$15+7*(Reprogramaciones!U$14-1))),MIN(F189,Reprogramaciones!U$13),11))/MAX(0,NETWORKDAYS.INTL(MAX(E189,(Reprogramaciones!$T$15+7*(Reprogramaciones!U$14-1))),MIN(F189,(Reprogramaciones!$T$15+7*(Reprogramaciones!U$14-1))+6),11))))))))</f>
        <v/>
      </c>
      <c r="CE189" s="1" t="str">
        <f aca="false">IF(OR(NOT(AND(ISNUMBER(E189),ISNUMBER(F189))),$J$2=""),"",IF(Reprogramaciones!V$13&lt;Reprogramaciones!$T$15,0,IF(Reprogramaciones!V$14&gt;10,MIN(100,SUM($G189:$P189)),MIN(100,SUMPRODUCT((COLUMN($G189:$P189)-COLUMN($G189)+1&lt;Reprogramaciones!V$14)*$G189:$P189)+N(INDEX($G189:$P189,1,Reprogramaciones!V$14))*IF(Reprogramaciones!V$13&gt;=(Reprogramaciones!$T$15+7*(Reprogramaciones!V$14-1))+6,1,IF(MAX(0,NETWORKDAYS.INTL(MAX(E189,(Reprogramaciones!$T$15+7*(Reprogramaciones!V$14-1))),MIN(F189,(Reprogramaciones!$T$15+7*(Reprogramaciones!V$14-1))+6),11))=0,0,MAX(0,NETWORKDAYS.INTL(MAX(E189,(Reprogramaciones!$T$15+7*(Reprogramaciones!V$14-1))),MIN(F189,Reprogramaciones!V$13),11))/MAX(0,NETWORKDAYS.INTL(MAX(E189,(Reprogramaciones!$T$15+7*(Reprogramaciones!V$14-1))),MIN(F189,(Reprogramaciones!$T$15+7*(Reprogramaciones!V$14-1))+6),11))))))))</f>
        <v/>
      </c>
      <c r="CF189" s="1" t="str">
        <f aca="false">IF(OR(NOT(AND(ISNUMBER(E189),ISNUMBER(F189))),$J$2=""),"",IF(Reprogramaciones!W$13&lt;Reprogramaciones!$T$15,0,IF(Reprogramaciones!W$14&gt;10,MIN(100,SUM($G189:$P189)),MIN(100,SUMPRODUCT((COLUMN($G189:$P189)-COLUMN($G189)+1&lt;Reprogramaciones!W$14)*$G189:$P189)+N(INDEX($G189:$P189,1,Reprogramaciones!W$14))*IF(Reprogramaciones!W$13&gt;=(Reprogramaciones!$T$15+7*(Reprogramaciones!W$14-1))+6,1,IF(MAX(0,NETWORKDAYS.INTL(MAX(E189,(Reprogramaciones!$T$15+7*(Reprogramaciones!W$14-1))),MIN(F189,(Reprogramaciones!$T$15+7*(Reprogramaciones!W$14-1))+6),11))=0,0,MAX(0,NETWORKDAYS.INTL(MAX(E189,(Reprogramaciones!$T$15+7*(Reprogramaciones!W$14-1))),MIN(F189,Reprogramaciones!W$13),11))/MAX(0,NETWORKDAYS.INTL(MAX(E189,(Reprogramaciones!$T$15+7*(Reprogramaciones!W$14-1))),MIN(F189,(Reprogramaciones!$T$15+7*(Reprogramaciones!W$14-1))+6),11))))))))</f>
        <v/>
      </c>
      <c r="CG189" s="1" t="str">
        <f aca="false">IF(OR(NOT(AND(ISNUMBER(E189),ISNUMBER(F189))),$J$2=""),"",IF(Reprogramaciones!X$13&lt;Reprogramaciones!$T$15,0,IF(Reprogramaciones!X$14&gt;10,MIN(100,SUM($G189:$P189)),MIN(100,SUMPRODUCT((COLUMN($G189:$P189)-COLUMN($G189)+1&lt;Reprogramaciones!X$14)*$G189:$P189)+N(INDEX($G189:$P189,1,Reprogramaciones!X$14))*IF(Reprogramaciones!X$13&gt;=(Reprogramaciones!$T$15+7*(Reprogramaciones!X$14-1))+6,1,IF(MAX(0,NETWORKDAYS.INTL(MAX(E189,(Reprogramaciones!$T$15+7*(Reprogramaciones!X$14-1))),MIN(F189,(Reprogramaciones!$T$15+7*(Reprogramaciones!X$14-1))+6),11))=0,0,MAX(0,NETWORKDAYS.INTL(MAX(E189,(Reprogramaciones!$T$15+7*(Reprogramaciones!X$14-1))),MIN(F189,Reprogramaciones!X$13),11))/MAX(0,NETWORKDAYS.INTL(MAX(E189,(Reprogramaciones!$T$15+7*(Reprogramaciones!X$14-1))),MIN(F189,(Reprogramaciones!$T$15+7*(Reprogramaciones!X$14-1))+6),11))))))))</f>
        <v/>
      </c>
      <c r="CH189" s="1" t="str">
        <f aca="false">IF(OR(NOT(AND(ISNUMBER(E189),ISNUMBER(F189))),$J$2=""),"",IF(Reprogramaciones!Y$13&lt;Reprogramaciones!$T$15,0,IF(Reprogramaciones!Y$14&gt;10,MIN(100,SUM($G189:$P189)),MIN(100,SUMPRODUCT((COLUMN($G189:$P189)-COLUMN($G189)+1&lt;Reprogramaciones!Y$14)*$G189:$P189)+N(INDEX($G189:$P189,1,Reprogramaciones!Y$14))*IF(Reprogramaciones!Y$13&gt;=(Reprogramaciones!$T$15+7*(Reprogramaciones!Y$14-1))+6,1,IF(MAX(0,NETWORKDAYS.INTL(MAX(E189,(Reprogramaciones!$T$15+7*(Reprogramaciones!Y$14-1))),MIN(F189,(Reprogramaciones!$T$15+7*(Reprogramaciones!Y$14-1))+6),11))=0,0,MAX(0,NETWORKDAYS.INTL(MAX(E189,(Reprogramaciones!$T$15+7*(Reprogramaciones!Y$14-1))),MIN(F189,Reprogramaciones!Y$13),11))/MAX(0,NETWORKDAYS.INTL(MAX(E189,(Reprogramaciones!$T$15+7*(Reprogramaciones!Y$14-1))),MIN(F189,(Reprogramaciones!$T$15+7*(Reprogramaciones!Y$14-1))+6),11))))))))</f>
        <v/>
      </c>
      <c r="CI189" s="1" t="str">
        <f aca="false">IF(OR(NOT(AND(ISNUMBER(E189),ISNUMBER(F189))),$J$2=""),"",IF(Reprogramaciones!Z$13&lt;Reprogramaciones!$T$15,0,IF(Reprogramaciones!Z$14&gt;10,MIN(100,SUM($G189:$P189)),MIN(100,SUMPRODUCT((COLUMN($G189:$P189)-COLUMN($G189)+1&lt;Reprogramaciones!Z$14)*$G189:$P189)+N(INDEX($G189:$P189,1,Reprogramaciones!Z$14))*IF(Reprogramaciones!Z$13&gt;=(Reprogramaciones!$T$15+7*(Reprogramaciones!Z$14-1))+6,1,IF(MAX(0,NETWORKDAYS.INTL(MAX(E189,(Reprogramaciones!$T$15+7*(Reprogramaciones!Z$14-1))),MIN(F189,(Reprogramaciones!$T$15+7*(Reprogramaciones!Z$14-1))+6),11))=0,0,MAX(0,NETWORKDAYS.INTL(MAX(E189,(Reprogramaciones!$T$15+7*(Reprogramaciones!Z$14-1))),MIN(F189,Reprogramaciones!Z$13),11))/MAX(0,NETWORKDAYS.INTL(MAX(E189,(Reprogramaciones!$T$15+7*(Reprogramaciones!Z$14-1))),MIN(F189,(Reprogramaciones!$T$15+7*(Reprogramaciones!Z$14-1))+6),11))))))))</f>
        <v/>
      </c>
      <c r="CJ189" s="1" t="str">
        <f aca="false">IF(OR(OR(NOT(AND(ISNUMBER(E189),ISNUMBER(F189))),$J$2=""),1&gt;Reprogramaciones!$K$16),"",IF(ROUND(SUM($Q189:Q189),1)&gt;=99.5,100,MIN(100,ROUND(SUM($Q189:Q189),1))))</f>
        <v/>
      </c>
      <c r="CK189" s="1" t="str">
        <f aca="false">IF(OR(OR(NOT(AND(ISNUMBER(E189),ISNUMBER(F189))),$J$2=""),2&gt;Reprogramaciones!$K$16),"",IF(ROUND(SUM($Q189:R189),1)&gt;=99.5,100,MIN(100,ROUND(SUM($Q189:R189),1))))</f>
        <v/>
      </c>
      <c r="CL189" s="1" t="str">
        <f aca="false">IF(OR(OR(NOT(AND(ISNUMBER(E189),ISNUMBER(F189))),$J$2=""),3&gt;Reprogramaciones!$K$16),"",IF(ROUND(SUM($Q189:S189),1)&gt;=99.5,100,MIN(100,ROUND(SUM($Q189:S189),1))))</f>
        <v/>
      </c>
      <c r="CM189" s="1" t="str">
        <f aca="false">IF(OR(OR(NOT(AND(ISNUMBER(E189),ISNUMBER(F189))),$J$2=""),4&gt;Reprogramaciones!$K$16),"",IF(ROUND(SUM($Q189:T189),1)&gt;=99.5,100,MIN(100,ROUND(SUM($Q189:T189),1))))</f>
        <v/>
      </c>
      <c r="CN189" s="1" t="str">
        <f aca="false">IF(OR(OR(NOT(AND(ISNUMBER(E189),ISNUMBER(F189))),$J$2=""),5&gt;Reprogramaciones!$K$16),"",IF(ROUND(SUM($Q189:U189),1)&gt;=99.5,100,MIN(100,ROUND(SUM($Q189:U189),1))))</f>
        <v/>
      </c>
      <c r="CO189" s="1" t="str">
        <f aca="false">IF(OR(OR(NOT(AND(ISNUMBER(E189),ISNUMBER(F189))),$J$2=""),6&gt;Reprogramaciones!$K$16),"",IF(ROUND(SUM($Q189:V189),1)&gt;=99.5,100,MIN(100,ROUND(SUM($Q189:V189),1))))</f>
        <v/>
      </c>
      <c r="CP189" s="1" t="str">
        <f aca="false">IF(OR(OR(NOT(AND(ISNUMBER(E189),ISNUMBER(F189))),$J$2=""),7&gt;Reprogramaciones!$K$16),"",IF(ROUND(SUM($Q189:W189),1)&gt;=99.5,100,MIN(100,ROUND(SUM($Q189:W189),1))))</f>
        <v/>
      </c>
      <c r="CQ189" s="1" t="str">
        <f aca="false">IF(OR(OR(NOT(AND(ISNUMBER(E189),ISNUMBER(F189))),$J$2=""),8&gt;Reprogramaciones!$K$16),"",IF(ROUND(SUM($Q189:X189),1)&gt;=99.5,100,MIN(100,ROUND(SUM($Q189:X189),1))))</f>
        <v/>
      </c>
      <c r="CR189" s="1" t="str">
        <f aca="false">IF(OR(OR(NOT(AND(ISNUMBER(E189),ISNUMBER(F189))),$J$2=""),9&gt;Reprogramaciones!$K$16),"",IF(ROUND(SUM($Q189:Y189),1)&gt;=99.5,100,MIN(100,ROUND(SUM($Q189:Y189),1))))</f>
        <v/>
      </c>
      <c r="CS189" s="1" t="str">
        <f aca="false">IF(OR(OR(NOT(AND(ISNUMBER(E189),ISNUMBER(F189))),$J$2=""),10&gt;Reprogramaciones!$K$16),"",IF(ROUND(SUM($Q189:Z189),1)&gt;=99.5,100,MIN(100,ROUND(SUM($Q189:Z189),1))))</f>
        <v/>
      </c>
      <c r="CT189" s="1" t="str">
        <f aca="false">IF(OR(OR(NOT(AND(ISNUMBER(E189),ISNUMBER(F189))),$J$2=""),11&gt;Reprogramaciones!$K$16),"",IF(ROUND(SUM($Q189:AA189),1)&gt;=99.5,100,MIN(100,ROUND(SUM($Q189:AA189),1))))</f>
        <v/>
      </c>
      <c r="CU189" s="1" t="str">
        <f aca="false">IF(OR(OR(NOT(AND(ISNUMBER(E189),ISNUMBER(F189))),$J$2=""),12&gt;Reprogramaciones!$K$16),"",IF(ROUND(SUM($Q189:AB189),1)&gt;=99.5,100,MIN(100,ROUND(SUM($Q189:AB189),1))))</f>
        <v/>
      </c>
      <c r="CV189" s="1" t="str">
        <f aca="false">IF(OR(OR(NOT(AND(ISNUMBER(E189),ISNUMBER(F189))),$J$2=""),13&gt;Reprogramaciones!$K$16),"",IF(ROUND(SUM($Q189:AC189),1)&gt;=99.5,100,MIN(100,ROUND(SUM($Q189:AC189),1))))</f>
        <v/>
      </c>
      <c r="CW189" s="1" t="str">
        <f aca="false">IF(OR(OR(NOT(AND(ISNUMBER(E189),ISNUMBER(F189))),$J$2=""),14&gt;Reprogramaciones!$K$16),"",IF(ROUND(SUM($Q189:AD189),1)&gt;=99.5,100,MIN(100,ROUND(SUM($Q189:AD189),1))))</f>
        <v/>
      </c>
      <c r="CX189" s="1" t="str">
        <f aca="false">IF(OR(OR(NOT(AND(ISNUMBER(E189),ISNUMBER(F189))),$J$2=""),15&gt;Reprogramaciones!$K$16),"",IF(ROUND(SUM($Q189:AE189),1)&gt;=99.5,100,MIN(100,ROUND(SUM($Q189:AE189),1))))</f>
        <v/>
      </c>
      <c r="CY189" s="1" t="str">
        <f aca="false">IF(OR(OR(NOT(AND(ISNUMBER(E189),ISNUMBER(F189))),$J$2=""),16&gt;Reprogramaciones!$K$16),"",IF(ROUND(SUM($Q189:AF189),1)&gt;=99.5,100,MIN(100,ROUND(SUM($Q189:AF189),1))))</f>
        <v/>
      </c>
      <c r="CZ189" s="1" t="str">
        <f aca="false">IF(D189&lt;&gt;"",D189,IF(B189&lt;&gt;"","Contractual",CZ188))</f>
        <v>Contractual</v>
      </c>
      <c r="DA189" s="1" t="str">
        <f aca="false">IF(OR(NOT(AND(ISNUMBER(E189),ISNUMBER(F189))),$J$2=""),"",IF(Reprogramaciones!$Q$15&lt;Reprogramaciones!$T$15,0,IF(Reprogramaciones!$S$15&gt;10,MIN(100,SUM($G189:$P189)),MIN(100,SUMPRODUCT((COLUMN($G189:$P189)-COLUMN($G189)+1&lt;Reprogramaciones!$S$15)*$G189:$P189)+N(INDEX($G189:$P189,1,Reprogramaciones!$S$15))*IF(Reprogramaciones!$Q$15&gt;=(Reprogramaciones!$T$15+7*(Reprogramaciones!$S$15-1))+6,1,IF(MAX(0,NETWORKDAYS.INTL(MAX(E189,(Reprogramaciones!$T$15+7*(Reprogramaciones!$S$15-1))),MIN(F189,(Reprogramaciones!$T$15+7*(Reprogramaciones!$S$15-1))+6),11))=0,0,MAX(0,NETWORKDAYS.INTL(MAX(E189,(Reprogramaciones!$T$15+7*(Reprogramaciones!$S$15-1))),MIN(F189,Reprogramaciones!$Q$15),11))/MAX(0,NETWORKDAYS.INTL(MAX(E189,(Reprogramaciones!$T$15+7*(Reprogramaciones!$S$15-1))),MIN(F189,(Reprogramaciones!$T$15+7*(Reprogramaciones!$S$15-1))+6),11))))))))</f>
        <v/>
      </c>
    </row>
    <row r="190" customFormat="false" ht="15" hidden="false" customHeight="false" outlineLevel="0" collapsed="false">
      <c r="A190" s="32"/>
      <c r="B190" s="33"/>
      <c r="C190" s="33"/>
      <c r="D190" s="34"/>
      <c r="E190" s="35"/>
      <c r="F190" s="35"/>
      <c r="G190" s="36" t="str">
        <f aca="false">IF(OR(NOT(AND(ISNUMBER(E190),ISNUMBER(F190))),$J$2=""),"",IF(Reprogramaciones!K$9&lt;E190,0,IF(NETWORKDAYS.INTL(E190,F190,11)=0,IF(Reprogramaciones!K$9&gt;=F190,100,0),ROUND(NETWORKDAYS.INTL(E190,MIN(F190,Reprogramaciones!K$9),11)/NETWORKDAYS.INTL(E190,F190,11)*100,1)))-0)</f>
        <v/>
      </c>
      <c r="H190" s="36" t="str">
        <f aca="false">IF(OR(NOT(AND(ISNUMBER(E190),ISNUMBER(F190))),$J$2=""),"",IF(Reprogramaciones!L$9&lt;E190,0,IF(NETWORKDAYS.INTL(E190,F190,11)=0,IF(Reprogramaciones!L$9&gt;=F190,100,0),ROUND(NETWORKDAYS.INTL(E190,MIN(F190,Reprogramaciones!L$9),11)/NETWORKDAYS.INTL(E190,F190,11)*100,1)))-IF(Reprogramaciones!K$9&lt;E190,0,IF(NETWORKDAYS.INTL(E190,F190,11)=0,IF(Reprogramaciones!K$9&gt;=F190,100,0),ROUND(NETWORKDAYS.INTL(E190,MIN(F190,Reprogramaciones!K$9),11)/NETWORKDAYS.INTL(E190,F190,11)*100,1))))</f>
        <v/>
      </c>
      <c r="I190" s="36" t="str">
        <f aca="false">IF(OR(NOT(AND(ISNUMBER(E190),ISNUMBER(F190))),$J$2=""),"",IF(Reprogramaciones!M$9&lt;E190,0,IF(NETWORKDAYS.INTL(E190,F190,11)=0,IF(Reprogramaciones!M$9&gt;=F190,100,0),ROUND(NETWORKDAYS.INTL(E190,MIN(F190,Reprogramaciones!M$9),11)/NETWORKDAYS.INTL(E190,F190,11)*100,1)))-IF(Reprogramaciones!L$9&lt;E190,0,IF(NETWORKDAYS.INTL(E190,F190,11)=0,IF(Reprogramaciones!L$9&gt;=F190,100,0),ROUND(NETWORKDAYS.INTL(E190,MIN(F190,Reprogramaciones!L$9),11)/NETWORKDAYS.INTL(E190,F190,11)*100,1))))</f>
        <v/>
      </c>
      <c r="J190" s="36" t="str">
        <f aca="false">IF(OR(NOT(AND(ISNUMBER(E190),ISNUMBER(F190))),$J$2=""),"",IF(Reprogramaciones!N$9&lt;E190,0,IF(NETWORKDAYS.INTL(E190,F190,11)=0,IF(Reprogramaciones!N$9&gt;=F190,100,0),ROUND(NETWORKDAYS.INTL(E190,MIN(F190,Reprogramaciones!N$9),11)/NETWORKDAYS.INTL(E190,F190,11)*100,1)))-IF(Reprogramaciones!M$9&lt;E190,0,IF(NETWORKDAYS.INTL(E190,F190,11)=0,IF(Reprogramaciones!M$9&gt;=F190,100,0),ROUND(NETWORKDAYS.INTL(E190,MIN(F190,Reprogramaciones!M$9),11)/NETWORKDAYS.INTL(E190,F190,11)*100,1))))</f>
        <v/>
      </c>
      <c r="K190" s="36" t="str">
        <f aca="false">IF(OR(NOT(AND(ISNUMBER(E190),ISNUMBER(F190))),$J$2=""),"",IF(Reprogramaciones!O$9&lt;E190,0,IF(NETWORKDAYS.INTL(E190,F190,11)=0,IF(Reprogramaciones!O$9&gt;=F190,100,0),ROUND(NETWORKDAYS.INTL(E190,MIN(F190,Reprogramaciones!O$9),11)/NETWORKDAYS.INTL(E190,F190,11)*100,1)))-IF(Reprogramaciones!N$9&lt;E190,0,IF(NETWORKDAYS.INTL(E190,F190,11)=0,IF(Reprogramaciones!N$9&gt;=F190,100,0),ROUND(NETWORKDAYS.INTL(E190,MIN(F190,Reprogramaciones!N$9),11)/NETWORKDAYS.INTL(E190,F190,11)*100,1))))</f>
        <v/>
      </c>
      <c r="L190" s="36" t="str">
        <f aca="false">IF(OR(NOT(AND(ISNUMBER(E190),ISNUMBER(F190))),$J$2=""),"",IF(Reprogramaciones!P$9&lt;E190,0,IF(NETWORKDAYS.INTL(E190,F190,11)=0,IF(Reprogramaciones!P$9&gt;=F190,100,0),ROUND(NETWORKDAYS.INTL(E190,MIN(F190,Reprogramaciones!P$9),11)/NETWORKDAYS.INTL(E190,F190,11)*100,1)))-IF(Reprogramaciones!O$9&lt;E190,0,IF(NETWORKDAYS.INTL(E190,F190,11)=0,IF(Reprogramaciones!O$9&gt;=F190,100,0),ROUND(NETWORKDAYS.INTL(E190,MIN(F190,Reprogramaciones!O$9),11)/NETWORKDAYS.INTL(E190,F190,11)*100,1))))</f>
        <v/>
      </c>
      <c r="M190" s="36" t="str">
        <f aca="false">IF(OR(NOT(AND(ISNUMBER(E190),ISNUMBER(F190))),$J$2=""),"",IF(Reprogramaciones!Q$9&lt;E190,0,IF(NETWORKDAYS.INTL(E190,F190,11)=0,IF(Reprogramaciones!Q$9&gt;=F190,100,0),ROUND(NETWORKDAYS.INTL(E190,MIN(F190,Reprogramaciones!Q$9),11)/NETWORKDAYS.INTL(E190,F190,11)*100,1)))-IF(Reprogramaciones!P$9&lt;E190,0,IF(NETWORKDAYS.INTL(E190,F190,11)=0,IF(Reprogramaciones!P$9&gt;=F190,100,0),ROUND(NETWORKDAYS.INTL(E190,MIN(F190,Reprogramaciones!P$9),11)/NETWORKDAYS.INTL(E190,F190,11)*100,1))))</f>
        <v/>
      </c>
      <c r="N190" s="36" t="str">
        <f aca="false">IF(OR(NOT(AND(ISNUMBER(E190),ISNUMBER(F190))),$J$2=""),"",IF(Reprogramaciones!R$9&lt;E190,0,IF(NETWORKDAYS.INTL(E190,F190,11)=0,IF(Reprogramaciones!R$9&gt;=F190,100,0),ROUND(NETWORKDAYS.INTL(E190,MIN(F190,Reprogramaciones!R$9),11)/NETWORKDAYS.INTL(E190,F190,11)*100,1)))-IF(Reprogramaciones!Q$9&lt;E190,0,IF(NETWORKDAYS.INTL(E190,F190,11)=0,IF(Reprogramaciones!Q$9&gt;=F190,100,0),ROUND(NETWORKDAYS.INTL(E190,MIN(F190,Reprogramaciones!Q$9),11)/NETWORKDAYS.INTL(E190,F190,11)*100,1))))</f>
        <v/>
      </c>
      <c r="O190" s="36" t="str">
        <f aca="false">IF(OR(NOT(AND(ISNUMBER(E190),ISNUMBER(F190))),$J$2=""),"",IF(Reprogramaciones!S$9&lt;E190,0,IF(NETWORKDAYS.INTL(E190,F190,11)=0,IF(Reprogramaciones!S$9&gt;=F190,100,0),ROUND(NETWORKDAYS.INTL(E190,MIN(F190,Reprogramaciones!S$9),11)/NETWORKDAYS.INTL(E190,F190,11)*100,1)))-IF(Reprogramaciones!R$9&lt;E190,0,IF(NETWORKDAYS.INTL(E190,F190,11)=0,IF(Reprogramaciones!R$9&gt;=F190,100,0),ROUND(NETWORKDAYS.INTL(E190,MIN(F190,Reprogramaciones!R$9),11)/NETWORKDAYS.INTL(E190,F190,11)*100,1))))</f>
        <v/>
      </c>
      <c r="P190" s="36" t="str">
        <f aca="false">IF(OR(NOT(AND(ISNUMBER(E190),ISNUMBER(F190))),$J$2=""),"",IF(Reprogramaciones!T$9&lt;E190,0,IF(NETWORKDAYS.INTL(E190,F190,11)=0,IF(Reprogramaciones!T$9&gt;=F190,100,0),ROUND(NETWORKDAYS.INTL(E190,MIN(F190,Reprogramaciones!T$9),11)/NETWORKDAYS.INTL(E190,F190,11)*100,1)))-IF(Reprogramaciones!S$9&lt;E190,0,IF(NETWORKDAYS.INTL(E190,F190,11)=0,IF(Reprogramaciones!S$9&gt;=F190,100,0),ROUND(NETWORKDAYS.INTL(E190,MIN(F190,Reprogramaciones!S$9),11)/NETWORKDAYS.INTL(E190,F190,11)*100,1))))</f>
        <v/>
      </c>
      <c r="Q190" s="37"/>
      <c r="R190" s="37"/>
      <c r="S190" s="37"/>
      <c r="T190" s="37"/>
      <c r="U190" s="37"/>
      <c r="V190" s="37"/>
      <c r="W190" s="37"/>
      <c r="X190" s="37"/>
      <c r="Y190" s="37"/>
      <c r="Z190" s="37"/>
      <c r="AA190" s="37"/>
      <c r="AB190" s="37"/>
      <c r="AC190" s="37"/>
      <c r="AD190" s="37"/>
      <c r="AE190" s="37"/>
      <c r="AF190" s="37"/>
      <c r="AG190" s="38" t="str">
        <f aca="false">IF(AND(ISNUMBER(E190),ISNUMBER(F190)),NETWORKDAYS.INTL(E190,F190,11),"")</f>
        <v/>
      </c>
      <c r="AH190" s="38" t="str">
        <f aca="false">IF(OR(NOT(AND(ISNUMBER(E190),ISNUMBER(F190))),$J$2=""),"",IF(Reprogramaciones!$P$15&lt;Reprogramaciones!$T$15,0,IF(Reprogramaciones!$R$15&gt;10,MIN(100,SUM($G190:$P190)),MIN(100,SUMPRODUCT((COLUMN($G190:$P190)-COLUMN($G190)+1&lt;Reprogramaciones!$R$15)*$G190:$P190)+N(INDEX($G190:$P190,1,Reprogramaciones!$R$15))*IF(Reprogramaciones!$P$15&gt;=(Reprogramaciones!$T$15+7*(Reprogramaciones!$R$15-1))+6,1,IF(MAX(0,NETWORKDAYS.INTL(MAX(E190,(Reprogramaciones!$T$15+7*(Reprogramaciones!$R$15-1))),MIN(F190,(Reprogramaciones!$T$15+7*(Reprogramaciones!$R$15-1))+6),11))=0,0,MAX(0,NETWORKDAYS.INTL(MAX(E190,(Reprogramaciones!$T$15+7*(Reprogramaciones!$R$15-1))),MIN(F190,Reprogramaciones!$P$15),11))/MAX(0,NETWORKDAYS.INTL(MAX(E190,(Reprogramaciones!$T$15+7*(Reprogramaciones!$R$15-1))),MIN(F190,(Reprogramaciones!$T$15+7*(Reprogramaciones!$R$15-1))+6),11))))))))</f>
        <v/>
      </c>
      <c r="AI190" s="38" t="str">
        <f aca="false">IF(COUNT($Q190:$AF190)=0,"",IF(ROUND(SUM($Q190:$AF190),1)&gt;=99.5,100,MIN(100,ROUND(SUM($Q190:$AF190),1))))</f>
        <v/>
      </c>
      <c r="AJ190" s="38" t="str">
        <f aca="false">IF(OR(AH190="",AI190=""),"",AI190-AH190)</f>
        <v/>
      </c>
      <c r="AK190" s="39" t="str">
        <f aca="true">IF(AH190="","",IF(OR(Ficha!$C$10="Suspendida",Ficha!$C$10="Cancelada"),Ficha!$C$10,IF(AND(AI190&lt;&gt;"",N(AI190)&gt;=100),"Completada",IF(AND(E190&gt;TODAY(),N(AI190)=0),"Por iniciar",IF(N(AI190)+0.5&lt;AH190,"Retrasada",IF(N(AI190)+0.5&lt;DA190,IF(Reprogramaciones!$K$15&gt;0,"Al día · Sem "&amp;Reprogramaciones!$K$15&amp;" en curso","Al día · en curso"),"A tiempo"))))))</f>
        <v/>
      </c>
      <c r="AL190" s="39" t="str">
        <f aca="true">IF(AND(A190="",AND(B190="",C190="",E190="",F190="",COUNT(Q190:AF190)=0)),"",IF(AND(B190="",C190="",E190="",F190="",COUNT(Q190:AF190)=0),"Falta la partida o subpartida",IF(AND(A190&lt;&gt;"",COUNTIF($A$6:$A$305,A190)&gt;1),"Ítem repetido",IF(AND(C190="",E190="",F190="",COUNT(Q190:AF190)=0),"Título de partida",IF(OR(E190="",F190=""),"Faltan fechas",IF(OR(ISTEXT(E190),ISTEXT(F190)),"Fecha escrita como texto: usa dd/mm/aaaa",IF(F190&lt;E190,"Fin antes del inicio",IF(IF($J$2="",FALSE(),OR(E190&lt;$J$2,F190&gt;Reprogramaciones!$T$15+69)),"Fuera de las 10 semanas",IF(ABS(SUM(G190:P190)-100)&gt;0.5,"La meta no suma 100%",IF(ROUND(SUM(Q190:AF190),1)&gt;100.5,"El avance pasa de 100%",IF(MIN(Q190:AF190)&lt;0,"Avance negativo",IF(COUNTA(Q190:AF190)&gt;COUNT(Q190:AF190),"Avance escrito como texto",IF(SUMPRODUCT((Q190:AF190&gt;0)*(Q190:AF190&lt;1))&gt;0,"Avance menor a 1: escribe 50, no 50%",IF(SUMPRODUCT(ISNUMBER(Q190:AF190)*(Reprogramaciones!$K$8:$Z$8&gt;TODAY()))&gt;0,"Avance en semana que aún no llega",IF(AND(N(Reprogramaciones!$E$21)&gt;0,F190&gt;Reprogramaciones!$E$21),"Pasa el fin de la obra: registra una reprogramación",IF(AND(N(Reprogramaciones!$E$21)&gt;0,SUMPRODUCT(ISNUMBER(Q190:AF190)*(Reprogramaciones!$K$8:$Z$8&gt;Reprogramaciones!$E$21))&gt;0),"Avance después del fin de la obra: registra una reprogramación por atraso","OK"))))))))))))))))</f>
        <v/>
      </c>
      <c r="AM190" s="40" t="str">
        <f aca="false">IF(OR(OR(NOT(AND(ISNUMBER(E190),ISNUMBER(F190))),$J$2=""),1&gt;MAX(1,Reprogramaciones!$U$15)),"",IF(Reprogramaciones!K$12&gt;=7,"",IF(OR(BT190-N(0)&gt;0.05,N(Q190)&gt;0),ROUNDDOWN(ROUND(BT190,6),0)&amp;"%"&amp;IF(CJ190="",""," / "&amp;CJ190&amp;"%"),IF(AND(N(0)&gt;=99.95,CJ190&lt;&gt;"",N(CJ190)&lt;100),"Pend. "&amp;CJ190&amp;"%",""))))</f>
        <v/>
      </c>
      <c r="AN190" s="40" t="str">
        <f aca="false">IF(OR(OR(NOT(AND(ISNUMBER(E190),ISNUMBER(F190))),$J$2=""),2&gt;MAX(1,Reprogramaciones!$U$15)),"",IF(Reprogramaciones!L$12&gt;=7,"",IF(OR(BU190-N(BT190)&gt;0.05,N(R190)&gt;0),ROUNDDOWN(ROUND(BU190,6),0)&amp;"%"&amp;IF(CK190="",""," / "&amp;CK190&amp;"%"),IF(AND(N(BT190)&gt;=99.95,CK190&lt;&gt;"",N(CK190)&lt;100),"Pend. "&amp;CK190&amp;"%",""))))</f>
        <v/>
      </c>
      <c r="AO190" s="40" t="str">
        <f aca="false">IF(OR(OR(NOT(AND(ISNUMBER(E190),ISNUMBER(F190))),$J$2=""),3&gt;MAX(1,Reprogramaciones!$U$15)),"",IF(Reprogramaciones!M$12&gt;=7,"",IF(OR(BV190-N(BU190)&gt;0.05,N(S190)&gt;0),ROUNDDOWN(ROUND(BV190,6),0)&amp;"%"&amp;IF(CL190="",""," / "&amp;CL190&amp;"%"),IF(AND(N(BU190)&gt;=99.95,CL190&lt;&gt;"",N(CL190)&lt;100),"Pend. "&amp;CL190&amp;"%",""))))</f>
        <v/>
      </c>
      <c r="AP190" s="40" t="str">
        <f aca="false">IF(OR(OR(NOT(AND(ISNUMBER(E190),ISNUMBER(F190))),$J$2=""),4&gt;MAX(1,Reprogramaciones!$U$15)),"",IF(Reprogramaciones!N$12&gt;=7,"",IF(OR(BW190-N(BV190)&gt;0.05,N(T190)&gt;0),ROUNDDOWN(ROUND(BW190,6),0)&amp;"%"&amp;IF(CM190="",""," / "&amp;CM190&amp;"%"),IF(AND(N(BV190)&gt;=99.95,CM190&lt;&gt;"",N(CM190)&lt;100),"Pend. "&amp;CM190&amp;"%",""))))</f>
        <v/>
      </c>
      <c r="AQ190" s="40" t="str">
        <f aca="false">IF(OR(OR(NOT(AND(ISNUMBER(E190),ISNUMBER(F190))),$J$2=""),5&gt;MAX(1,Reprogramaciones!$U$15)),"",IF(Reprogramaciones!O$12&gt;=7,"",IF(OR(BX190-N(BW190)&gt;0.05,N(U190)&gt;0),ROUNDDOWN(ROUND(BX190,6),0)&amp;"%"&amp;IF(CN190="",""," / "&amp;CN190&amp;"%"),IF(AND(N(BW190)&gt;=99.95,CN190&lt;&gt;"",N(CN190)&lt;100),"Pend. "&amp;CN190&amp;"%",""))))</f>
        <v/>
      </c>
      <c r="AR190" s="40" t="str">
        <f aca="false">IF(OR(OR(NOT(AND(ISNUMBER(E190),ISNUMBER(F190))),$J$2=""),6&gt;MAX(1,Reprogramaciones!$U$15)),"",IF(Reprogramaciones!P$12&gt;=7,"",IF(OR(BY190-N(BX190)&gt;0.05,N(V190)&gt;0),ROUNDDOWN(ROUND(BY190,6),0)&amp;"%"&amp;IF(CO190="",""," / "&amp;CO190&amp;"%"),IF(AND(N(BX190)&gt;=99.95,CO190&lt;&gt;"",N(CO190)&lt;100),"Pend. "&amp;CO190&amp;"%",""))))</f>
        <v/>
      </c>
      <c r="AS190" s="40" t="str">
        <f aca="false">IF(OR(OR(NOT(AND(ISNUMBER(E190),ISNUMBER(F190))),$J$2=""),7&gt;MAX(1,Reprogramaciones!$U$15)),"",IF(Reprogramaciones!Q$12&gt;=7,"",IF(OR(BZ190-N(BY190)&gt;0.05,N(W190)&gt;0),ROUNDDOWN(ROUND(BZ190,6),0)&amp;"%"&amp;IF(CP190="",""," / "&amp;CP190&amp;"%"),IF(AND(N(BY190)&gt;=99.95,CP190&lt;&gt;"",N(CP190)&lt;100),"Pend. "&amp;CP190&amp;"%",""))))</f>
        <v/>
      </c>
      <c r="AT190" s="40" t="str">
        <f aca="false">IF(OR(OR(NOT(AND(ISNUMBER(E190),ISNUMBER(F190))),$J$2=""),8&gt;MAX(1,Reprogramaciones!$U$15)),"",IF(Reprogramaciones!R$12&gt;=7,"",IF(OR(CA190-N(BZ190)&gt;0.05,N(X190)&gt;0),ROUNDDOWN(ROUND(CA190,6),0)&amp;"%"&amp;IF(CQ190="",""," / "&amp;CQ190&amp;"%"),IF(AND(N(BZ190)&gt;=99.95,CQ190&lt;&gt;"",N(CQ190)&lt;100),"Pend. "&amp;CQ190&amp;"%",""))))</f>
        <v/>
      </c>
      <c r="AU190" s="40" t="str">
        <f aca="false">IF(OR(OR(NOT(AND(ISNUMBER(E190),ISNUMBER(F190))),$J$2=""),9&gt;MAX(1,Reprogramaciones!$U$15)),"",IF(Reprogramaciones!S$12&gt;=7,"",IF(OR(CB190-N(CA190)&gt;0.05,N(Y190)&gt;0),ROUNDDOWN(ROUND(CB190,6),0)&amp;"%"&amp;IF(CR190="",""," / "&amp;CR190&amp;"%"),IF(AND(N(CA190)&gt;=99.95,CR190&lt;&gt;"",N(CR190)&lt;100),"Pend. "&amp;CR190&amp;"%",""))))</f>
        <v/>
      </c>
      <c r="AV190" s="40" t="str">
        <f aca="false">IF(OR(OR(NOT(AND(ISNUMBER(E190),ISNUMBER(F190))),$J$2=""),10&gt;MAX(1,Reprogramaciones!$U$15)),"",IF(Reprogramaciones!T$12&gt;=7,"",IF(OR(CC190-N(CB190)&gt;0.05,N(Z190)&gt;0),ROUNDDOWN(ROUND(CC190,6),0)&amp;"%"&amp;IF(CS190="",""," / "&amp;CS190&amp;"%"),IF(AND(N(CB190)&gt;=99.95,CS190&lt;&gt;"",N(CS190)&lt;100),"Pend. "&amp;CS190&amp;"%",""))))</f>
        <v/>
      </c>
      <c r="AW190" s="40" t="str">
        <f aca="false">IF(OR(OR(NOT(AND(ISNUMBER(E190),ISNUMBER(F190))),$J$2=""),11&gt;MAX(1,Reprogramaciones!$U$15)),"",IF(Reprogramaciones!U$12&gt;=7,"",IF(OR(CD190-N(CC190)&gt;0.05,N(AA190)&gt;0),ROUNDDOWN(ROUND(CD190,6),0)&amp;"%"&amp;IF(CT190="",""," / "&amp;CT190&amp;"%"),IF(AND(N(CC190)&gt;=99.95,CT190&lt;&gt;"",N(CT190)&lt;100),"Pend. "&amp;CT190&amp;"%",""))))</f>
        <v/>
      </c>
      <c r="AX190" s="40" t="str">
        <f aca="false">IF(OR(OR(NOT(AND(ISNUMBER(E190),ISNUMBER(F190))),$J$2=""),12&gt;MAX(1,Reprogramaciones!$U$15)),"",IF(Reprogramaciones!V$12&gt;=7,"",IF(OR(CE190-N(CD190)&gt;0.05,N(AB190)&gt;0),ROUNDDOWN(ROUND(CE190,6),0)&amp;"%"&amp;IF(CU190="",""," / "&amp;CU190&amp;"%"),IF(AND(N(CD190)&gt;=99.95,CU190&lt;&gt;"",N(CU190)&lt;100),"Pend. "&amp;CU190&amp;"%",""))))</f>
        <v/>
      </c>
      <c r="AY190" s="40" t="str">
        <f aca="false">IF(OR(OR(NOT(AND(ISNUMBER(E190),ISNUMBER(F190))),$J$2=""),13&gt;MAX(1,Reprogramaciones!$U$15)),"",IF(Reprogramaciones!W$12&gt;=7,"",IF(OR(CF190-N(CE190)&gt;0.05,N(AC190)&gt;0),ROUNDDOWN(ROUND(CF190,6),0)&amp;"%"&amp;IF(CV190="",""," / "&amp;CV190&amp;"%"),IF(AND(N(CE190)&gt;=99.95,CV190&lt;&gt;"",N(CV190)&lt;100),"Pend. "&amp;CV190&amp;"%",""))))</f>
        <v/>
      </c>
      <c r="AZ190" s="40" t="str">
        <f aca="false">IF(OR(OR(NOT(AND(ISNUMBER(E190),ISNUMBER(F190))),$J$2=""),14&gt;MAX(1,Reprogramaciones!$U$15)),"",IF(Reprogramaciones!X$12&gt;=7,"",IF(OR(CG190-N(CF190)&gt;0.05,N(AD190)&gt;0),ROUNDDOWN(ROUND(CG190,6),0)&amp;"%"&amp;IF(CW190="",""," / "&amp;CW190&amp;"%"),IF(AND(N(CF190)&gt;=99.95,CW190&lt;&gt;"",N(CW190)&lt;100),"Pend. "&amp;CW190&amp;"%",""))))</f>
        <v/>
      </c>
      <c r="BA190" s="40" t="str">
        <f aca="false">IF(OR(OR(NOT(AND(ISNUMBER(E190),ISNUMBER(F190))),$J$2=""),15&gt;MAX(1,Reprogramaciones!$U$15)),"",IF(Reprogramaciones!Y$12&gt;=7,"",IF(OR(CH190-N(CG190)&gt;0.05,N(AE190)&gt;0),ROUNDDOWN(ROUND(CH190,6),0)&amp;"%"&amp;IF(CX190="",""," / "&amp;CX190&amp;"%"),IF(AND(N(CG190)&gt;=99.95,CX190&lt;&gt;"",N(CX190)&lt;100),"Pend. "&amp;CX190&amp;"%",""))))</f>
        <v/>
      </c>
      <c r="BB190" s="40" t="str">
        <f aca="false">IF(OR(OR(NOT(AND(ISNUMBER(E190),ISNUMBER(F190))),$J$2=""),16&gt;MAX(1,Reprogramaciones!$U$15)),"",IF(Reprogramaciones!Z$12&gt;=7,"",IF(OR(CI190-N(CH190)&gt;0.05,N(AF190)&gt;0),ROUNDDOWN(ROUND(CI190,6),0)&amp;"%"&amp;IF(CY190="",""," / "&amp;CY190&amp;"%"),IF(AND(N(CH190)&gt;=99.95,CY190&lt;&gt;"",N(CY190)&lt;100),"Pend. "&amp;CY190&amp;"%",""))))</f>
        <v/>
      </c>
      <c r="BC190" s="31" t="n">
        <f aca="false">IF(AND(ISNUMBER(E190),ISNUMBER(F190)),MAX(1,NETWORKDAYS.INTL(E190,F190,11)),0)</f>
        <v>0</v>
      </c>
      <c r="BD190" s="1" t="str">
        <f aca="false">IF(OR(NOT(AND(ISNUMBER(E190),ISNUMBER(F190))),$J$2=""),"",MIN(100,ROUND(SUM($G190:G190),1)))</f>
        <v/>
      </c>
      <c r="BE190" s="1" t="str">
        <f aca="false">IF(OR(NOT(AND(ISNUMBER(E190),ISNUMBER(F190))),$J$2=""),"",MIN(100,ROUND(SUM($G190:H190),1)))</f>
        <v/>
      </c>
      <c r="BF190" s="1" t="str">
        <f aca="false">IF(OR(NOT(AND(ISNUMBER(E190),ISNUMBER(F190))),$J$2=""),"",MIN(100,ROUND(SUM($G190:I190),1)))</f>
        <v/>
      </c>
      <c r="BG190" s="1" t="str">
        <f aca="false">IF(OR(NOT(AND(ISNUMBER(E190),ISNUMBER(F190))),$J$2=""),"",MIN(100,ROUND(SUM($G190:J190),1)))</f>
        <v/>
      </c>
      <c r="BH190" s="1" t="str">
        <f aca="false">IF(OR(NOT(AND(ISNUMBER(E190),ISNUMBER(F190))),$J$2=""),"",MIN(100,ROUND(SUM($G190:K190),1)))</f>
        <v/>
      </c>
      <c r="BI190" s="1" t="str">
        <f aca="false">IF(OR(NOT(AND(ISNUMBER(E190),ISNUMBER(F190))),$J$2=""),"",MIN(100,ROUND(SUM($G190:L190),1)))</f>
        <v/>
      </c>
      <c r="BJ190" s="1" t="str">
        <f aca="false">IF(OR(NOT(AND(ISNUMBER(E190),ISNUMBER(F190))),$J$2=""),"",MIN(100,ROUND(SUM($G190:M190),1)))</f>
        <v/>
      </c>
      <c r="BK190" s="1" t="str">
        <f aca="false">IF(OR(NOT(AND(ISNUMBER(E190),ISNUMBER(F190))),$J$2=""),"",MIN(100,ROUND(SUM($G190:N190),1)))</f>
        <v/>
      </c>
      <c r="BL190" s="1" t="str">
        <f aca="false">IF(OR(NOT(AND(ISNUMBER(E190),ISNUMBER(F190))),$J$2=""),"",MIN(100,ROUND(SUM($G190:O190),1)))</f>
        <v/>
      </c>
      <c r="BM190" s="1" t="str">
        <f aca="false">IF(OR(NOT(AND(ISNUMBER(E190),ISNUMBER(F190))),$J$2=""),"",MIN(100,ROUND(SUM($G190:P190),1)))</f>
        <v/>
      </c>
      <c r="BN190" s="1" t="str">
        <f aca="false">IF(OR(NOT(AND(ISNUMBER(E190),ISNUMBER(F190))),$J$2=""),"",MIN(100,ROUND(SUM($G190:P190),1)))</f>
        <v/>
      </c>
      <c r="BO190" s="1" t="str">
        <f aca="false">IF(OR(NOT(AND(ISNUMBER(E190),ISNUMBER(F190))),$J$2=""),"",MIN(100,ROUND(SUM($G190:P190),1)))</f>
        <v/>
      </c>
      <c r="BP190" s="1" t="str">
        <f aca="false">IF(OR(NOT(AND(ISNUMBER(E190),ISNUMBER(F190))),$J$2=""),"",MIN(100,ROUND(SUM($G190:P190),1)))</f>
        <v/>
      </c>
      <c r="BQ190" s="1" t="str">
        <f aca="false">IF(OR(NOT(AND(ISNUMBER(E190),ISNUMBER(F190))),$J$2=""),"",MIN(100,ROUND(SUM($G190:P190),1)))</f>
        <v/>
      </c>
      <c r="BR190" s="1" t="str">
        <f aca="false">IF(OR(NOT(AND(ISNUMBER(E190),ISNUMBER(F190))),$J$2=""),"",MIN(100,ROUND(SUM($G190:P190),1)))</f>
        <v/>
      </c>
      <c r="BS190" s="1" t="str">
        <f aca="false">IF(OR(NOT(AND(ISNUMBER(E190),ISNUMBER(F190))),$J$2=""),"",MIN(100,ROUND(SUM($G190:P190),1)))</f>
        <v/>
      </c>
      <c r="BT190" s="1" t="str">
        <f aca="false">IF(OR(NOT(AND(ISNUMBER(E190),ISNUMBER(F190))),$J$2=""),"",IF(Reprogramaciones!K$13&lt;Reprogramaciones!$T$15,0,IF(Reprogramaciones!K$14&gt;10,MIN(100,SUM($G190:$P190)),MIN(100,SUMPRODUCT((COLUMN($G190:$P190)-COLUMN($G190)+1&lt;Reprogramaciones!K$14)*$G190:$P190)+N(INDEX($G190:$P190,1,Reprogramaciones!K$14))*IF(Reprogramaciones!K$13&gt;=(Reprogramaciones!$T$15+7*(Reprogramaciones!K$14-1))+6,1,IF(MAX(0,NETWORKDAYS.INTL(MAX(E190,(Reprogramaciones!$T$15+7*(Reprogramaciones!K$14-1))),MIN(F190,(Reprogramaciones!$T$15+7*(Reprogramaciones!K$14-1))+6),11))=0,0,MAX(0,NETWORKDAYS.INTL(MAX(E190,(Reprogramaciones!$T$15+7*(Reprogramaciones!K$14-1))),MIN(F190,Reprogramaciones!K$13),11))/MAX(0,NETWORKDAYS.INTL(MAX(E190,(Reprogramaciones!$T$15+7*(Reprogramaciones!K$14-1))),MIN(F190,(Reprogramaciones!$T$15+7*(Reprogramaciones!K$14-1))+6),11))))))))</f>
        <v/>
      </c>
      <c r="BU190" s="1" t="str">
        <f aca="false">IF(OR(NOT(AND(ISNUMBER(E190),ISNUMBER(F190))),$J$2=""),"",IF(Reprogramaciones!L$13&lt;Reprogramaciones!$T$15,0,IF(Reprogramaciones!L$14&gt;10,MIN(100,SUM($G190:$P190)),MIN(100,SUMPRODUCT((COLUMN($G190:$P190)-COLUMN($G190)+1&lt;Reprogramaciones!L$14)*$G190:$P190)+N(INDEX($G190:$P190,1,Reprogramaciones!L$14))*IF(Reprogramaciones!L$13&gt;=(Reprogramaciones!$T$15+7*(Reprogramaciones!L$14-1))+6,1,IF(MAX(0,NETWORKDAYS.INTL(MAX(E190,(Reprogramaciones!$T$15+7*(Reprogramaciones!L$14-1))),MIN(F190,(Reprogramaciones!$T$15+7*(Reprogramaciones!L$14-1))+6),11))=0,0,MAX(0,NETWORKDAYS.INTL(MAX(E190,(Reprogramaciones!$T$15+7*(Reprogramaciones!L$14-1))),MIN(F190,Reprogramaciones!L$13),11))/MAX(0,NETWORKDAYS.INTL(MAX(E190,(Reprogramaciones!$T$15+7*(Reprogramaciones!L$14-1))),MIN(F190,(Reprogramaciones!$T$15+7*(Reprogramaciones!L$14-1))+6),11))))))))</f>
        <v/>
      </c>
      <c r="BV190" s="1" t="str">
        <f aca="false">IF(OR(NOT(AND(ISNUMBER(E190),ISNUMBER(F190))),$J$2=""),"",IF(Reprogramaciones!M$13&lt;Reprogramaciones!$T$15,0,IF(Reprogramaciones!M$14&gt;10,MIN(100,SUM($G190:$P190)),MIN(100,SUMPRODUCT((COLUMN($G190:$P190)-COLUMN($G190)+1&lt;Reprogramaciones!M$14)*$G190:$P190)+N(INDEX($G190:$P190,1,Reprogramaciones!M$14))*IF(Reprogramaciones!M$13&gt;=(Reprogramaciones!$T$15+7*(Reprogramaciones!M$14-1))+6,1,IF(MAX(0,NETWORKDAYS.INTL(MAX(E190,(Reprogramaciones!$T$15+7*(Reprogramaciones!M$14-1))),MIN(F190,(Reprogramaciones!$T$15+7*(Reprogramaciones!M$14-1))+6),11))=0,0,MAX(0,NETWORKDAYS.INTL(MAX(E190,(Reprogramaciones!$T$15+7*(Reprogramaciones!M$14-1))),MIN(F190,Reprogramaciones!M$13),11))/MAX(0,NETWORKDAYS.INTL(MAX(E190,(Reprogramaciones!$T$15+7*(Reprogramaciones!M$14-1))),MIN(F190,(Reprogramaciones!$T$15+7*(Reprogramaciones!M$14-1))+6),11))))))))</f>
        <v/>
      </c>
      <c r="BW190" s="1" t="str">
        <f aca="false">IF(OR(NOT(AND(ISNUMBER(E190),ISNUMBER(F190))),$J$2=""),"",IF(Reprogramaciones!N$13&lt;Reprogramaciones!$T$15,0,IF(Reprogramaciones!N$14&gt;10,MIN(100,SUM($G190:$P190)),MIN(100,SUMPRODUCT((COLUMN($G190:$P190)-COLUMN($G190)+1&lt;Reprogramaciones!N$14)*$G190:$P190)+N(INDEX($G190:$P190,1,Reprogramaciones!N$14))*IF(Reprogramaciones!N$13&gt;=(Reprogramaciones!$T$15+7*(Reprogramaciones!N$14-1))+6,1,IF(MAX(0,NETWORKDAYS.INTL(MAX(E190,(Reprogramaciones!$T$15+7*(Reprogramaciones!N$14-1))),MIN(F190,(Reprogramaciones!$T$15+7*(Reprogramaciones!N$14-1))+6),11))=0,0,MAX(0,NETWORKDAYS.INTL(MAX(E190,(Reprogramaciones!$T$15+7*(Reprogramaciones!N$14-1))),MIN(F190,Reprogramaciones!N$13),11))/MAX(0,NETWORKDAYS.INTL(MAX(E190,(Reprogramaciones!$T$15+7*(Reprogramaciones!N$14-1))),MIN(F190,(Reprogramaciones!$T$15+7*(Reprogramaciones!N$14-1))+6),11))))))))</f>
        <v/>
      </c>
      <c r="BX190" s="1" t="str">
        <f aca="false">IF(OR(NOT(AND(ISNUMBER(E190),ISNUMBER(F190))),$J$2=""),"",IF(Reprogramaciones!O$13&lt;Reprogramaciones!$T$15,0,IF(Reprogramaciones!O$14&gt;10,MIN(100,SUM($G190:$P190)),MIN(100,SUMPRODUCT((COLUMN($G190:$P190)-COLUMN($G190)+1&lt;Reprogramaciones!O$14)*$G190:$P190)+N(INDEX($G190:$P190,1,Reprogramaciones!O$14))*IF(Reprogramaciones!O$13&gt;=(Reprogramaciones!$T$15+7*(Reprogramaciones!O$14-1))+6,1,IF(MAX(0,NETWORKDAYS.INTL(MAX(E190,(Reprogramaciones!$T$15+7*(Reprogramaciones!O$14-1))),MIN(F190,(Reprogramaciones!$T$15+7*(Reprogramaciones!O$14-1))+6),11))=0,0,MAX(0,NETWORKDAYS.INTL(MAX(E190,(Reprogramaciones!$T$15+7*(Reprogramaciones!O$14-1))),MIN(F190,Reprogramaciones!O$13),11))/MAX(0,NETWORKDAYS.INTL(MAX(E190,(Reprogramaciones!$T$15+7*(Reprogramaciones!O$14-1))),MIN(F190,(Reprogramaciones!$T$15+7*(Reprogramaciones!O$14-1))+6),11))))))))</f>
        <v/>
      </c>
      <c r="BY190" s="1" t="str">
        <f aca="false">IF(OR(NOT(AND(ISNUMBER(E190),ISNUMBER(F190))),$J$2=""),"",IF(Reprogramaciones!P$13&lt;Reprogramaciones!$T$15,0,IF(Reprogramaciones!P$14&gt;10,MIN(100,SUM($G190:$P190)),MIN(100,SUMPRODUCT((COLUMN($G190:$P190)-COLUMN($G190)+1&lt;Reprogramaciones!P$14)*$G190:$P190)+N(INDEX($G190:$P190,1,Reprogramaciones!P$14))*IF(Reprogramaciones!P$13&gt;=(Reprogramaciones!$T$15+7*(Reprogramaciones!P$14-1))+6,1,IF(MAX(0,NETWORKDAYS.INTL(MAX(E190,(Reprogramaciones!$T$15+7*(Reprogramaciones!P$14-1))),MIN(F190,(Reprogramaciones!$T$15+7*(Reprogramaciones!P$14-1))+6),11))=0,0,MAX(0,NETWORKDAYS.INTL(MAX(E190,(Reprogramaciones!$T$15+7*(Reprogramaciones!P$14-1))),MIN(F190,Reprogramaciones!P$13),11))/MAX(0,NETWORKDAYS.INTL(MAX(E190,(Reprogramaciones!$T$15+7*(Reprogramaciones!P$14-1))),MIN(F190,(Reprogramaciones!$T$15+7*(Reprogramaciones!P$14-1))+6),11))))))))</f>
        <v/>
      </c>
      <c r="BZ190" s="1" t="str">
        <f aca="false">IF(OR(NOT(AND(ISNUMBER(E190),ISNUMBER(F190))),$J$2=""),"",IF(Reprogramaciones!Q$13&lt;Reprogramaciones!$T$15,0,IF(Reprogramaciones!Q$14&gt;10,MIN(100,SUM($G190:$P190)),MIN(100,SUMPRODUCT((COLUMN($G190:$P190)-COLUMN($G190)+1&lt;Reprogramaciones!Q$14)*$G190:$P190)+N(INDEX($G190:$P190,1,Reprogramaciones!Q$14))*IF(Reprogramaciones!Q$13&gt;=(Reprogramaciones!$T$15+7*(Reprogramaciones!Q$14-1))+6,1,IF(MAX(0,NETWORKDAYS.INTL(MAX(E190,(Reprogramaciones!$T$15+7*(Reprogramaciones!Q$14-1))),MIN(F190,(Reprogramaciones!$T$15+7*(Reprogramaciones!Q$14-1))+6),11))=0,0,MAX(0,NETWORKDAYS.INTL(MAX(E190,(Reprogramaciones!$T$15+7*(Reprogramaciones!Q$14-1))),MIN(F190,Reprogramaciones!Q$13),11))/MAX(0,NETWORKDAYS.INTL(MAX(E190,(Reprogramaciones!$T$15+7*(Reprogramaciones!Q$14-1))),MIN(F190,(Reprogramaciones!$T$15+7*(Reprogramaciones!Q$14-1))+6),11))))))))</f>
        <v/>
      </c>
      <c r="CA190" s="1" t="str">
        <f aca="false">IF(OR(NOT(AND(ISNUMBER(E190),ISNUMBER(F190))),$J$2=""),"",IF(Reprogramaciones!R$13&lt;Reprogramaciones!$T$15,0,IF(Reprogramaciones!R$14&gt;10,MIN(100,SUM($G190:$P190)),MIN(100,SUMPRODUCT((COLUMN($G190:$P190)-COLUMN($G190)+1&lt;Reprogramaciones!R$14)*$G190:$P190)+N(INDEX($G190:$P190,1,Reprogramaciones!R$14))*IF(Reprogramaciones!R$13&gt;=(Reprogramaciones!$T$15+7*(Reprogramaciones!R$14-1))+6,1,IF(MAX(0,NETWORKDAYS.INTL(MAX(E190,(Reprogramaciones!$T$15+7*(Reprogramaciones!R$14-1))),MIN(F190,(Reprogramaciones!$T$15+7*(Reprogramaciones!R$14-1))+6),11))=0,0,MAX(0,NETWORKDAYS.INTL(MAX(E190,(Reprogramaciones!$T$15+7*(Reprogramaciones!R$14-1))),MIN(F190,Reprogramaciones!R$13),11))/MAX(0,NETWORKDAYS.INTL(MAX(E190,(Reprogramaciones!$T$15+7*(Reprogramaciones!R$14-1))),MIN(F190,(Reprogramaciones!$T$15+7*(Reprogramaciones!R$14-1))+6),11))))))))</f>
        <v/>
      </c>
      <c r="CB190" s="1" t="str">
        <f aca="false">IF(OR(NOT(AND(ISNUMBER(E190),ISNUMBER(F190))),$J$2=""),"",IF(Reprogramaciones!S$13&lt;Reprogramaciones!$T$15,0,IF(Reprogramaciones!S$14&gt;10,MIN(100,SUM($G190:$P190)),MIN(100,SUMPRODUCT((COLUMN($G190:$P190)-COLUMN($G190)+1&lt;Reprogramaciones!S$14)*$G190:$P190)+N(INDEX($G190:$P190,1,Reprogramaciones!S$14))*IF(Reprogramaciones!S$13&gt;=(Reprogramaciones!$T$15+7*(Reprogramaciones!S$14-1))+6,1,IF(MAX(0,NETWORKDAYS.INTL(MAX(E190,(Reprogramaciones!$T$15+7*(Reprogramaciones!S$14-1))),MIN(F190,(Reprogramaciones!$T$15+7*(Reprogramaciones!S$14-1))+6),11))=0,0,MAX(0,NETWORKDAYS.INTL(MAX(E190,(Reprogramaciones!$T$15+7*(Reprogramaciones!S$14-1))),MIN(F190,Reprogramaciones!S$13),11))/MAX(0,NETWORKDAYS.INTL(MAX(E190,(Reprogramaciones!$T$15+7*(Reprogramaciones!S$14-1))),MIN(F190,(Reprogramaciones!$T$15+7*(Reprogramaciones!S$14-1))+6),11))))))))</f>
        <v/>
      </c>
      <c r="CC190" s="1" t="str">
        <f aca="false">IF(OR(NOT(AND(ISNUMBER(E190),ISNUMBER(F190))),$J$2=""),"",IF(Reprogramaciones!T$13&lt;Reprogramaciones!$T$15,0,IF(Reprogramaciones!T$14&gt;10,MIN(100,SUM($G190:$P190)),MIN(100,SUMPRODUCT((COLUMN($G190:$P190)-COLUMN($G190)+1&lt;Reprogramaciones!T$14)*$G190:$P190)+N(INDEX($G190:$P190,1,Reprogramaciones!T$14))*IF(Reprogramaciones!T$13&gt;=(Reprogramaciones!$T$15+7*(Reprogramaciones!T$14-1))+6,1,IF(MAX(0,NETWORKDAYS.INTL(MAX(E190,(Reprogramaciones!$T$15+7*(Reprogramaciones!T$14-1))),MIN(F190,(Reprogramaciones!$T$15+7*(Reprogramaciones!T$14-1))+6),11))=0,0,MAX(0,NETWORKDAYS.INTL(MAX(E190,(Reprogramaciones!$T$15+7*(Reprogramaciones!T$14-1))),MIN(F190,Reprogramaciones!T$13),11))/MAX(0,NETWORKDAYS.INTL(MAX(E190,(Reprogramaciones!$T$15+7*(Reprogramaciones!T$14-1))),MIN(F190,(Reprogramaciones!$T$15+7*(Reprogramaciones!T$14-1))+6),11))))))))</f>
        <v/>
      </c>
      <c r="CD190" s="1" t="str">
        <f aca="false">IF(OR(NOT(AND(ISNUMBER(E190),ISNUMBER(F190))),$J$2=""),"",IF(Reprogramaciones!U$13&lt;Reprogramaciones!$T$15,0,IF(Reprogramaciones!U$14&gt;10,MIN(100,SUM($G190:$P190)),MIN(100,SUMPRODUCT((COLUMN($G190:$P190)-COLUMN($G190)+1&lt;Reprogramaciones!U$14)*$G190:$P190)+N(INDEX($G190:$P190,1,Reprogramaciones!U$14))*IF(Reprogramaciones!U$13&gt;=(Reprogramaciones!$T$15+7*(Reprogramaciones!U$14-1))+6,1,IF(MAX(0,NETWORKDAYS.INTL(MAX(E190,(Reprogramaciones!$T$15+7*(Reprogramaciones!U$14-1))),MIN(F190,(Reprogramaciones!$T$15+7*(Reprogramaciones!U$14-1))+6),11))=0,0,MAX(0,NETWORKDAYS.INTL(MAX(E190,(Reprogramaciones!$T$15+7*(Reprogramaciones!U$14-1))),MIN(F190,Reprogramaciones!U$13),11))/MAX(0,NETWORKDAYS.INTL(MAX(E190,(Reprogramaciones!$T$15+7*(Reprogramaciones!U$14-1))),MIN(F190,(Reprogramaciones!$T$15+7*(Reprogramaciones!U$14-1))+6),11))))))))</f>
        <v/>
      </c>
      <c r="CE190" s="1" t="str">
        <f aca="false">IF(OR(NOT(AND(ISNUMBER(E190),ISNUMBER(F190))),$J$2=""),"",IF(Reprogramaciones!V$13&lt;Reprogramaciones!$T$15,0,IF(Reprogramaciones!V$14&gt;10,MIN(100,SUM($G190:$P190)),MIN(100,SUMPRODUCT((COLUMN($G190:$P190)-COLUMN($G190)+1&lt;Reprogramaciones!V$14)*$G190:$P190)+N(INDEX($G190:$P190,1,Reprogramaciones!V$14))*IF(Reprogramaciones!V$13&gt;=(Reprogramaciones!$T$15+7*(Reprogramaciones!V$14-1))+6,1,IF(MAX(0,NETWORKDAYS.INTL(MAX(E190,(Reprogramaciones!$T$15+7*(Reprogramaciones!V$14-1))),MIN(F190,(Reprogramaciones!$T$15+7*(Reprogramaciones!V$14-1))+6),11))=0,0,MAX(0,NETWORKDAYS.INTL(MAX(E190,(Reprogramaciones!$T$15+7*(Reprogramaciones!V$14-1))),MIN(F190,Reprogramaciones!V$13),11))/MAX(0,NETWORKDAYS.INTL(MAX(E190,(Reprogramaciones!$T$15+7*(Reprogramaciones!V$14-1))),MIN(F190,(Reprogramaciones!$T$15+7*(Reprogramaciones!V$14-1))+6),11))))))))</f>
        <v/>
      </c>
      <c r="CF190" s="1" t="str">
        <f aca="false">IF(OR(NOT(AND(ISNUMBER(E190),ISNUMBER(F190))),$J$2=""),"",IF(Reprogramaciones!W$13&lt;Reprogramaciones!$T$15,0,IF(Reprogramaciones!W$14&gt;10,MIN(100,SUM($G190:$P190)),MIN(100,SUMPRODUCT((COLUMN($G190:$P190)-COLUMN($G190)+1&lt;Reprogramaciones!W$14)*$G190:$P190)+N(INDEX($G190:$P190,1,Reprogramaciones!W$14))*IF(Reprogramaciones!W$13&gt;=(Reprogramaciones!$T$15+7*(Reprogramaciones!W$14-1))+6,1,IF(MAX(0,NETWORKDAYS.INTL(MAX(E190,(Reprogramaciones!$T$15+7*(Reprogramaciones!W$14-1))),MIN(F190,(Reprogramaciones!$T$15+7*(Reprogramaciones!W$14-1))+6),11))=0,0,MAX(0,NETWORKDAYS.INTL(MAX(E190,(Reprogramaciones!$T$15+7*(Reprogramaciones!W$14-1))),MIN(F190,Reprogramaciones!W$13),11))/MAX(0,NETWORKDAYS.INTL(MAX(E190,(Reprogramaciones!$T$15+7*(Reprogramaciones!W$14-1))),MIN(F190,(Reprogramaciones!$T$15+7*(Reprogramaciones!W$14-1))+6),11))))))))</f>
        <v/>
      </c>
      <c r="CG190" s="1" t="str">
        <f aca="false">IF(OR(NOT(AND(ISNUMBER(E190),ISNUMBER(F190))),$J$2=""),"",IF(Reprogramaciones!X$13&lt;Reprogramaciones!$T$15,0,IF(Reprogramaciones!X$14&gt;10,MIN(100,SUM($G190:$P190)),MIN(100,SUMPRODUCT((COLUMN($G190:$P190)-COLUMN($G190)+1&lt;Reprogramaciones!X$14)*$G190:$P190)+N(INDEX($G190:$P190,1,Reprogramaciones!X$14))*IF(Reprogramaciones!X$13&gt;=(Reprogramaciones!$T$15+7*(Reprogramaciones!X$14-1))+6,1,IF(MAX(0,NETWORKDAYS.INTL(MAX(E190,(Reprogramaciones!$T$15+7*(Reprogramaciones!X$14-1))),MIN(F190,(Reprogramaciones!$T$15+7*(Reprogramaciones!X$14-1))+6),11))=0,0,MAX(0,NETWORKDAYS.INTL(MAX(E190,(Reprogramaciones!$T$15+7*(Reprogramaciones!X$14-1))),MIN(F190,Reprogramaciones!X$13),11))/MAX(0,NETWORKDAYS.INTL(MAX(E190,(Reprogramaciones!$T$15+7*(Reprogramaciones!X$14-1))),MIN(F190,(Reprogramaciones!$T$15+7*(Reprogramaciones!X$14-1))+6),11))))))))</f>
        <v/>
      </c>
      <c r="CH190" s="1" t="str">
        <f aca="false">IF(OR(NOT(AND(ISNUMBER(E190),ISNUMBER(F190))),$J$2=""),"",IF(Reprogramaciones!Y$13&lt;Reprogramaciones!$T$15,0,IF(Reprogramaciones!Y$14&gt;10,MIN(100,SUM($G190:$P190)),MIN(100,SUMPRODUCT((COLUMN($G190:$P190)-COLUMN($G190)+1&lt;Reprogramaciones!Y$14)*$G190:$P190)+N(INDEX($G190:$P190,1,Reprogramaciones!Y$14))*IF(Reprogramaciones!Y$13&gt;=(Reprogramaciones!$T$15+7*(Reprogramaciones!Y$14-1))+6,1,IF(MAX(0,NETWORKDAYS.INTL(MAX(E190,(Reprogramaciones!$T$15+7*(Reprogramaciones!Y$14-1))),MIN(F190,(Reprogramaciones!$T$15+7*(Reprogramaciones!Y$14-1))+6),11))=0,0,MAX(0,NETWORKDAYS.INTL(MAX(E190,(Reprogramaciones!$T$15+7*(Reprogramaciones!Y$14-1))),MIN(F190,Reprogramaciones!Y$13),11))/MAX(0,NETWORKDAYS.INTL(MAX(E190,(Reprogramaciones!$T$15+7*(Reprogramaciones!Y$14-1))),MIN(F190,(Reprogramaciones!$T$15+7*(Reprogramaciones!Y$14-1))+6),11))))))))</f>
        <v/>
      </c>
      <c r="CI190" s="1" t="str">
        <f aca="false">IF(OR(NOT(AND(ISNUMBER(E190),ISNUMBER(F190))),$J$2=""),"",IF(Reprogramaciones!Z$13&lt;Reprogramaciones!$T$15,0,IF(Reprogramaciones!Z$14&gt;10,MIN(100,SUM($G190:$P190)),MIN(100,SUMPRODUCT((COLUMN($G190:$P190)-COLUMN($G190)+1&lt;Reprogramaciones!Z$14)*$G190:$P190)+N(INDEX($G190:$P190,1,Reprogramaciones!Z$14))*IF(Reprogramaciones!Z$13&gt;=(Reprogramaciones!$T$15+7*(Reprogramaciones!Z$14-1))+6,1,IF(MAX(0,NETWORKDAYS.INTL(MAX(E190,(Reprogramaciones!$T$15+7*(Reprogramaciones!Z$14-1))),MIN(F190,(Reprogramaciones!$T$15+7*(Reprogramaciones!Z$14-1))+6),11))=0,0,MAX(0,NETWORKDAYS.INTL(MAX(E190,(Reprogramaciones!$T$15+7*(Reprogramaciones!Z$14-1))),MIN(F190,Reprogramaciones!Z$13),11))/MAX(0,NETWORKDAYS.INTL(MAX(E190,(Reprogramaciones!$T$15+7*(Reprogramaciones!Z$14-1))),MIN(F190,(Reprogramaciones!$T$15+7*(Reprogramaciones!Z$14-1))+6),11))))))))</f>
        <v/>
      </c>
      <c r="CJ190" s="1" t="str">
        <f aca="false">IF(OR(OR(NOT(AND(ISNUMBER(E190),ISNUMBER(F190))),$J$2=""),1&gt;Reprogramaciones!$K$16),"",IF(ROUND(SUM($Q190:Q190),1)&gt;=99.5,100,MIN(100,ROUND(SUM($Q190:Q190),1))))</f>
        <v/>
      </c>
      <c r="CK190" s="1" t="str">
        <f aca="false">IF(OR(OR(NOT(AND(ISNUMBER(E190),ISNUMBER(F190))),$J$2=""),2&gt;Reprogramaciones!$K$16),"",IF(ROUND(SUM($Q190:R190),1)&gt;=99.5,100,MIN(100,ROUND(SUM($Q190:R190),1))))</f>
        <v/>
      </c>
      <c r="CL190" s="1" t="str">
        <f aca="false">IF(OR(OR(NOT(AND(ISNUMBER(E190),ISNUMBER(F190))),$J$2=""),3&gt;Reprogramaciones!$K$16),"",IF(ROUND(SUM($Q190:S190),1)&gt;=99.5,100,MIN(100,ROUND(SUM($Q190:S190),1))))</f>
        <v/>
      </c>
      <c r="CM190" s="1" t="str">
        <f aca="false">IF(OR(OR(NOT(AND(ISNUMBER(E190),ISNUMBER(F190))),$J$2=""),4&gt;Reprogramaciones!$K$16),"",IF(ROUND(SUM($Q190:T190),1)&gt;=99.5,100,MIN(100,ROUND(SUM($Q190:T190),1))))</f>
        <v/>
      </c>
      <c r="CN190" s="1" t="str">
        <f aca="false">IF(OR(OR(NOT(AND(ISNUMBER(E190),ISNUMBER(F190))),$J$2=""),5&gt;Reprogramaciones!$K$16),"",IF(ROUND(SUM($Q190:U190),1)&gt;=99.5,100,MIN(100,ROUND(SUM($Q190:U190),1))))</f>
        <v/>
      </c>
      <c r="CO190" s="1" t="str">
        <f aca="false">IF(OR(OR(NOT(AND(ISNUMBER(E190),ISNUMBER(F190))),$J$2=""),6&gt;Reprogramaciones!$K$16),"",IF(ROUND(SUM($Q190:V190),1)&gt;=99.5,100,MIN(100,ROUND(SUM($Q190:V190),1))))</f>
        <v/>
      </c>
      <c r="CP190" s="1" t="str">
        <f aca="false">IF(OR(OR(NOT(AND(ISNUMBER(E190),ISNUMBER(F190))),$J$2=""),7&gt;Reprogramaciones!$K$16),"",IF(ROUND(SUM($Q190:W190),1)&gt;=99.5,100,MIN(100,ROUND(SUM($Q190:W190),1))))</f>
        <v/>
      </c>
      <c r="CQ190" s="1" t="str">
        <f aca="false">IF(OR(OR(NOT(AND(ISNUMBER(E190),ISNUMBER(F190))),$J$2=""),8&gt;Reprogramaciones!$K$16),"",IF(ROUND(SUM($Q190:X190),1)&gt;=99.5,100,MIN(100,ROUND(SUM($Q190:X190),1))))</f>
        <v/>
      </c>
      <c r="CR190" s="1" t="str">
        <f aca="false">IF(OR(OR(NOT(AND(ISNUMBER(E190),ISNUMBER(F190))),$J$2=""),9&gt;Reprogramaciones!$K$16),"",IF(ROUND(SUM($Q190:Y190),1)&gt;=99.5,100,MIN(100,ROUND(SUM($Q190:Y190),1))))</f>
        <v/>
      </c>
      <c r="CS190" s="1" t="str">
        <f aca="false">IF(OR(OR(NOT(AND(ISNUMBER(E190),ISNUMBER(F190))),$J$2=""),10&gt;Reprogramaciones!$K$16),"",IF(ROUND(SUM($Q190:Z190),1)&gt;=99.5,100,MIN(100,ROUND(SUM($Q190:Z190),1))))</f>
        <v/>
      </c>
      <c r="CT190" s="1" t="str">
        <f aca="false">IF(OR(OR(NOT(AND(ISNUMBER(E190),ISNUMBER(F190))),$J$2=""),11&gt;Reprogramaciones!$K$16),"",IF(ROUND(SUM($Q190:AA190),1)&gt;=99.5,100,MIN(100,ROUND(SUM($Q190:AA190),1))))</f>
        <v/>
      </c>
      <c r="CU190" s="1" t="str">
        <f aca="false">IF(OR(OR(NOT(AND(ISNUMBER(E190),ISNUMBER(F190))),$J$2=""),12&gt;Reprogramaciones!$K$16),"",IF(ROUND(SUM($Q190:AB190),1)&gt;=99.5,100,MIN(100,ROUND(SUM($Q190:AB190),1))))</f>
        <v/>
      </c>
      <c r="CV190" s="1" t="str">
        <f aca="false">IF(OR(OR(NOT(AND(ISNUMBER(E190),ISNUMBER(F190))),$J$2=""),13&gt;Reprogramaciones!$K$16),"",IF(ROUND(SUM($Q190:AC190),1)&gt;=99.5,100,MIN(100,ROUND(SUM($Q190:AC190),1))))</f>
        <v/>
      </c>
      <c r="CW190" s="1" t="str">
        <f aca="false">IF(OR(OR(NOT(AND(ISNUMBER(E190),ISNUMBER(F190))),$J$2=""),14&gt;Reprogramaciones!$K$16),"",IF(ROUND(SUM($Q190:AD190),1)&gt;=99.5,100,MIN(100,ROUND(SUM($Q190:AD190),1))))</f>
        <v/>
      </c>
      <c r="CX190" s="1" t="str">
        <f aca="false">IF(OR(OR(NOT(AND(ISNUMBER(E190),ISNUMBER(F190))),$J$2=""),15&gt;Reprogramaciones!$K$16),"",IF(ROUND(SUM($Q190:AE190),1)&gt;=99.5,100,MIN(100,ROUND(SUM($Q190:AE190),1))))</f>
        <v/>
      </c>
      <c r="CY190" s="1" t="str">
        <f aca="false">IF(OR(OR(NOT(AND(ISNUMBER(E190),ISNUMBER(F190))),$J$2=""),16&gt;Reprogramaciones!$K$16),"",IF(ROUND(SUM($Q190:AF190),1)&gt;=99.5,100,MIN(100,ROUND(SUM($Q190:AF190),1))))</f>
        <v/>
      </c>
      <c r="CZ190" s="1" t="str">
        <f aca="false">IF(D190&lt;&gt;"",D190,IF(B190&lt;&gt;"","Contractual",CZ189))</f>
        <v>Contractual</v>
      </c>
      <c r="DA190" s="1" t="str">
        <f aca="false">IF(OR(NOT(AND(ISNUMBER(E190),ISNUMBER(F190))),$J$2=""),"",IF(Reprogramaciones!$Q$15&lt;Reprogramaciones!$T$15,0,IF(Reprogramaciones!$S$15&gt;10,MIN(100,SUM($G190:$P190)),MIN(100,SUMPRODUCT((COLUMN($G190:$P190)-COLUMN($G190)+1&lt;Reprogramaciones!$S$15)*$G190:$P190)+N(INDEX($G190:$P190,1,Reprogramaciones!$S$15))*IF(Reprogramaciones!$Q$15&gt;=(Reprogramaciones!$T$15+7*(Reprogramaciones!$S$15-1))+6,1,IF(MAX(0,NETWORKDAYS.INTL(MAX(E190,(Reprogramaciones!$T$15+7*(Reprogramaciones!$S$15-1))),MIN(F190,(Reprogramaciones!$T$15+7*(Reprogramaciones!$S$15-1))+6),11))=0,0,MAX(0,NETWORKDAYS.INTL(MAX(E190,(Reprogramaciones!$T$15+7*(Reprogramaciones!$S$15-1))),MIN(F190,Reprogramaciones!$Q$15),11))/MAX(0,NETWORKDAYS.INTL(MAX(E190,(Reprogramaciones!$T$15+7*(Reprogramaciones!$S$15-1))),MIN(F190,(Reprogramaciones!$T$15+7*(Reprogramaciones!$S$15-1))+6),11))))))))</f>
        <v/>
      </c>
    </row>
    <row r="191" customFormat="false" ht="15" hidden="false" customHeight="false" outlineLevel="0" collapsed="false">
      <c r="A191" s="32"/>
      <c r="B191" s="33"/>
      <c r="C191" s="33"/>
      <c r="D191" s="34"/>
      <c r="E191" s="35"/>
      <c r="F191" s="35"/>
      <c r="G191" s="36" t="str">
        <f aca="false">IF(OR(NOT(AND(ISNUMBER(E191),ISNUMBER(F191))),$J$2=""),"",IF(Reprogramaciones!K$9&lt;E191,0,IF(NETWORKDAYS.INTL(E191,F191,11)=0,IF(Reprogramaciones!K$9&gt;=F191,100,0),ROUND(NETWORKDAYS.INTL(E191,MIN(F191,Reprogramaciones!K$9),11)/NETWORKDAYS.INTL(E191,F191,11)*100,1)))-0)</f>
        <v/>
      </c>
      <c r="H191" s="36" t="str">
        <f aca="false">IF(OR(NOT(AND(ISNUMBER(E191),ISNUMBER(F191))),$J$2=""),"",IF(Reprogramaciones!L$9&lt;E191,0,IF(NETWORKDAYS.INTL(E191,F191,11)=0,IF(Reprogramaciones!L$9&gt;=F191,100,0),ROUND(NETWORKDAYS.INTL(E191,MIN(F191,Reprogramaciones!L$9),11)/NETWORKDAYS.INTL(E191,F191,11)*100,1)))-IF(Reprogramaciones!K$9&lt;E191,0,IF(NETWORKDAYS.INTL(E191,F191,11)=0,IF(Reprogramaciones!K$9&gt;=F191,100,0),ROUND(NETWORKDAYS.INTL(E191,MIN(F191,Reprogramaciones!K$9),11)/NETWORKDAYS.INTL(E191,F191,11)*100,1))))</f>
        <v/>
      </c>
      <c r="I191" s="36" t="str">
        <f aca="false">IF(OR(NOT(AND(ISNUMBER(E191),ISNUMBER(F191))),$J$2=""),"",IF(Reprogramaciones!M$9&lt;E191,0,IF(NETWORKDAYS.INTL(E191,F191,11)=0,IF(Reprogramaciones!M$9&gt;=F191,100,0),ROUND(NETWORKDAYS.INTL(E191,MIN(F191,Reprogramaciones!M$9),11)/NETWORKDAYS.INTL(E191,F191,11)*100,1)))-IF(Reprogramaciones!L$9&lt;E191,0,IF(NETWORKDAYS.INTL(E191,F191,11)=0,IF(Reprogramaciones!L$9&gt;=F191,100,0),ROUND(NETWORKDAYS.INTL(E191,MIN(F191,Reprogramaciones!L$9),11)/NETWORKDAYS.INTL(E191,F191,11)*100,1))))</f>
        <v/>
      </c>
      <c r="J191" s="36" t="str">
        <f aca="false">IF(OR(NOT(AND(ISNUMBER(E191),ISNUMBER(F191))),$J$2=""),"",IF(Reprogramaciones!N$9&lt;E191,0,IF(NETWORKDAYS.INTL(E191,F191,11)=0,IF(Reprogramaciones!N$9&gt;=F191,100,0),ROUND(NETWORKDAYS.INTL(E191,MIN(F191,Reprogramaciones!N$9),11)/NETWORKDAYS.INTL(E191,F191,11)*100,1)))-IF(Reprogramaciones!M$9&lt;E191,0,IF(NETWORKDAYS.INTL(E191,F191,11)=0,IF(Reprogramaciones!M$9&gt;=F191,100,0),ROUND(NETWORKDAYS.INTL(E191,MIN(F191,Reprogramaciones!M$9),11)/NETWORKDAYS.INTL(E191,F191,11)*100,1))))</f>
        <v/>
      </c>
      <c r="K191" s="36" t="str">
        <f aca="false">IF(OR(NOT(AND(ISNUMBER(E191),ISNUMBER(F191))),$J$2=""),"",IF(Reprogramaciones!O$9&lt;E191,0,IF(NETWORKDAYS.INTL(E191,F191,11)=0,IF(Reprogramaciones!O$9&gt;=F191,100,0),ROUND(NETWORKDAYS.INTL(E191,MIN(F191,Reprogramaciones!O$9),11)/NETWORKDAYS.INTL(E191,F191,11)*100,1)))-IF(Reprogramaciones!N$9&lt;E191,0,IF(NETWORKDAYS.INTL(E191,F191,11)=0,IF(Reprogramaciones!N$9&gt;=F191,100,0),ROUND(NETWORKDAYS.INTL(E191,MIN(F191,Reprogramaciones!N$9),11)/NETWORKDAYS.INTL(E191,F191,11)*100,1))))</f>
        <v/>
      </c>
      <c r="L191" s="36" t="str">
        <f aca="false">IF(OR(NOT(AND(ISNUMBER(E191),ISNUMBER(F191))),$J$2=""),"",IF(Reprogramaciones!P$9&lt;E191,0,IF(NETWORKDAYS.INTL(E191,F191,11)=0,IF(Reprogramaciones!P$9&gt;=F191,100,0),ROUND(NETWORKDAYS.INTL(E191,MIN(F191,Reprogramaciones!P$9),11)/NETWORKDAYS.INTL(E191,F191,11)*100,1)))-IF(Reprogramaciones!O$9&lt;E191,0,IF(NETWORKDAYS.INTL(E191,F191,11)=0,IF(Reprogramaciones!O$9&gt;=F191,100,0),ROUND(NETWORKDAYS.INTL(E191,MIN(F191,Reprogramaciones!O$9),11)/NETWORKDAYS.INTL(E191,F191,11)*100,1))))</f>
        <v/>
      </c>
      <c r="M191" s="36" t="str">
        <f aca="false">IF(OR(NOT(AND(ISNUMBER(E191),ISNUMBER(F191))),$J$2=""),"",IF(Reprogramaciones!Q$9&lt;E191,0,IF(NETWORKDAYS.INTL(E191,F191,11)=0,IF(Reprogramaciones!Q$9&gt;=F191,100,0),ROUND(NETWORKDAYS.INTL(E191,MIN(F191,Reprogramaciones!Q$9),11)/NETWORKDAYS.INTL(E191,F191,11)*100,1)))-IF(Reprogramaciones!P$9&lt;E191,0,IF(NETWORKDAYS.INTL(E191,F191,11)=0,IF(Reprogramaciones!P$9&gt;=F191,100,0),ROUND(NETWORKDAYS.INTL(E191,MIN(F191,Reprogramaciones!P$9),11)/NETWORKDAYS.INTL(E191,F191,11)*100,1))))</f>
        <v/>
      </c>
      <c r="N191" s="36" t="str">
        <f aca="false">IF(OR(NOT(AND(ISNUMBER(E191),ISNUMBER(F191))),$J$2=""),"",IF(Reprogramaciones!R$9&lt;E191,0,IF(NETWORKDAYS.INTL(E191,F191,11)=0,IF(Reprogramaciones!R$9&gt;=F191,100,0),ROUND(NETWORKDAYS.INTL(E191,MIN(F191,Reprogramaciones!R$9),11)/NETWORKDAYS.INTL(E191,F191,11)*100,1)))-IF(Reprogramaciones!Q$9&lt;E191,0,IF(NETWORKDAYS.INTL(E191,F191,11)=0,IF(Reprogramaciones!Q$9&gt;=F191,100,0),ROUND(NETWORKDAYS.INTL(E191,MIN(F191,Reprogramaciones!Q$9),11)/NETWORKDAYS.INTL(E191,F191,11)*100,1))))</f>
        <v/>
      </c>
      <c r="O191" s="36" t="str">
        <f aca="false">IF(OR(NOT(AND(ISNUMBER(E191),ISNUMBER(F191))),$J$2=""),"",IF(Reprogramaciones!S$9&lt;E191,0,IF(NETWORKDAYS.INTL(E191,F191,11)=0,IF(Reprogramaciones!S$9&gt;=F191,100,0),ROUND(NETWORKDAYS.INTL(E191,MIN(F191,Reprogramaciones!S$9),11)/NETWORKDAYS.INTL(E191,F191,11)*100,1)))-IF(Reprogramaciones!R$9&lt;E191,0,IF(NETWORKDAYS.INTL(E191,F191,11)=0,IF(Reprogramaciones!R$9&gt;=F191,100,0),ROUND(NETWORKDAYS.INTL(E191,MIN(F191,Reprogramaciones!R$9),11)/NETWORKDAYS.INTL(E191,F191,11)*100,1))))</f>
        <v/>
      </c>
      <c r="P191" s="36" t="str">
        <f aca="false">IF(OR(NOT(AND(ISNUMBER(E191),ISNUMBER(F191))),$J$2=""),"",IF(Reprogramaciones!T$9&lt;E191,0,IF(NETWORKDAYS.INTL(E191,F191,11)=0,IF(Reprogramaciones!T$9&gt;=F191,100,0),ROUND(NETWORKDAYS.INTL(E191,MIN(F191,Reprogramaciones!T$9),11)/NETWORKDAYS.INTL(E191,F191,11)*100,1)))-IF(Reprogramaciones!S$9&lt;E191,0,IF(NETWORKDAYS.INTL(E191,F191,11)=0,IF(Reprogramaciones!S$9&gt;=F191,100,0),ROUND(NETWORKDAYS.INTL(E191,MIN(F191,Reprogramaciones!S$9),11)/NETWORKDAYS.INTL(E191,F191,11)*100,1))))</f>
        <v/>
      </c>
      <c r="Q191" s="37"/>
      <c r="R191" s="37"/>
      <c r="S191" s="37"/>
      <c r="T191" s="37"/>
      <c r="U191" s="37"/>
      <c r="V191" s="37"/>
      <c r="W191" s="37"/>
      <c r="X191" s="37"/>
      <c r="Y191" s="37"/>
      <c r="Z191" s="37"/>
      <c r="AA191" s="37"/>
      <c r="AB191" s="37"/>
      <c r="AC191" s="37"/>
      <c r="AD191" s="37"/>
      <c r="AE191" s="37"/>
      <c r="AF191" s="37"/>
      <c r="AG191" s="38" t="str">
        <f aca="false">IF(AND(ISNUMBER(E191),ISNUMBER(F191)),NETWORKDAYS.INTL(E191,F191,11),"")</f>
        <v/>
      </c>
      <c r="AH191" s="38" t="str">
        <f aca="false">IF(OR(NOT(AND(ISNUMBER(E191),ISNUMBER(F191))),$J$2=""),"",IF(Reprogramaciones!$P$15&lt;Reprogramaciones!$T$15,0,IF(Reprogramaciones!$R$15&gt;10,MIN(100,SUM($G191:$P191)),MIN(100,SUMPRODUCT((COLUMN($G191:$P191)-COLUMN($G191)+1&lt;Reprogramaciones!$R$15)*$G191:$P191)+N(INDEX($G191:$P191,1,Reprogramaciones!$R$15))*IF(Reprogramaciones!$P$15&gt;=(Reprogramaciones!$T$15+7*(Reprogramaciones!$R$15-1))+6,1,IF(MAX(0,NETWORKDAYS.INTL(MAX(E191,(Reprogramaciones!$T$15+7*(Reprogramaciones!$R$15-1))),MIN(F191,(Reprogramaciones!$T$15+7*(Reprogramaciones!$R$15-1))+6),11))=0,0,MAX(0,NETWORKDAYS.INTL(MAX(E191,(Reprogramaciones!$T$15+7*(Reprogramaciones!$R$15-1))),MIN(F191,Reprogramaciones!$P$15),11))/MAX(0,NETWORKDAYS.INTL(MAX(E191,(Reprogramaciones!$T$15+7*(Reprogramaciones!$R$15-1))),MIN(F191,(Reprogramaciones!$T$15+7*(Reprogramaciones!$R$15-1))+6),11))))))))</f>
        <v/>
      </c>
      <c r="AI191" s="38" t="str">
        <f aca="false">IF(COUNT($Q191:$AF191)=0,"",IF(ROUND(SUM($Q191:$AF191),1)&gt;=99.5,100,MIN(100,ROUND(SUM($Q191:$AF191),1))))</f>
        <v/>
      </c>
      <c r="AJ191" s="38" t="str">
        <f aca="false">IF(OR(AH191="",AI191=""),"",AI191-AH191)</f>
        <v/>
      </c>
      <c r="AK191" s="39" t="str">
        <f aca="true">IF(AH191="","",IF(OR(Ficha!$C$10="Suspendida",Ficha!$C$10="Cancelada"),Ficha!$C$10,IF(AND(AI191&lt;&gt;"",N(AI191)&gt;=100),"Completada",IF(AND(E191&gt;TODAY(),N(AI191)=0),"Por iniciar",IF(N(AI191)+0.5&lt;AH191,"Retrasada",IF(N(AI191)+0.5&lt;DA191,IF(Reprogramaciones!$K$15&gt;0,"Al día · Sem "&amp;Reprogramaciones!$K$15&amp;" en curso","Al día · en curso"),"A tiempo"))))))</f>
        <v/>
      </c>
      <c r="AL191" s="39" t="str">
        <f aca="true">IF(AND(A191="",AND(B191="",C191="",E191="",F191="",COUNT(Q191:AF191)=0)),"",IF(AND(B191="",C191="",E191="",F191="",COUNT(Q191:AF191)=0),"Falta la partida o subpartida",IF(AND(A191&lt;&gt;"",COUNTIF($A$6:$A$305,A191)&gt;1),"Ítem repetido",IF(AND(C191="",E191="",F191="",COUNT(Q191:AF191)=0),"Título de partida",IF(OR(E191="",F191=""),"Faltan fechas",IF(OR(ISTEXT(E191),ISTEXT(F191)),"Fecha escrita como texto: usa dd/mm/aaaa",IF(F191&lt;E191,"Fin antes del inicio",IF(IF($J$2="",FALSE(),OR(E191&lt;$J$2,F191&gt;Reprogramaciones!$T$15+69)),"Fuera de las 10 semanas",IF(ABS(SUM(G191:P191)-100)&gt;0.5,"La meta no suma 100%",IF(ROUND(SUM(Q191:AF191),1)&gt;100.5,"El avance pasa de 100%",IF(MIN(Q191:AF191)&lt;0,"Avance negativo",IF(COUNTA(Q191:AF191)&gt;COUNT(Q191:AF191),"Avance escrito como texto",IF(SUMPRODUCT((Q191:AF191&gt;0)*(Q191:AF191&lt;1))&gt;0,"Avance menor a 1: escribe 50, no 50%",IF(SUMPRODUCT(ISNUMBER(Q191:AF191)*(Reprogramaciones!$K$8:$Z$8&gt;TODAY()))&gt;0,"Avance en semana que aún no llega",IF(AND(N(Reprogramaciones!$E$21)&gt;0,F191&gt;Reprogramaciones!$E$21),"Pasa el fin de la obra: registra una reprogramación",IF(AND(N(Reprogramaciones!$E$21)&gt;0,SUMPRODUCT(ISNUMBER(Q191:AF191)*(Reprogramaciones!$K$8:$Z$8&gt;Reprogramaciones!$E$21))&gt;0),"Avance después del fin de la obra: registra una reprogramación por atraso","OK"))))))))))))))))</f>
        <v/>
      </c>
      <c r="AM191" s="40" t="str">
        <f aca="false">IF(OR(OR(NOT(AND(ISNUMBER(E191),ISNUMBER(F191))),$J$2=""),1&gt;MAX(1,Reprogramaciones!$U$15)),"",IF(Reprogramaciones!K$12&gt;=7,"",IF(OR(BT191-N(0)&gt;0.05,N(Q191)&gt;0),ROUNDDOWN(ROUND(BT191,6),0)&amp;"%"&amp;IF(CJ191="",""," / "&amp;CJ191&amp;"%"),IF(AND(N(0)&gt;=99.95,CJ191&lt;&gt;"",N(CJ191)&lt;100),"Pend. "&amp;CJ191&amp;"%",""))))</f>
        <v/>
      </c>
      <c r="AN191" s="40" t="str">
        <f aca="false">IF(OR(OR(NOT(AND(ISNUMBER(E191),ISNUMBER(F191))),$J$2=""),2&gt;MAX(1,Reprogramaciones!$U$15)),"",IF(Reprogramaciones!L$12&gt;=7,"",IF(OR(BU191-N(BT191)&gt;0.05,N(R191)&gt;0),ROUNDDOWN(ROUND(BU191,6),0)&amp;"%"&amp;IF(CK191="",""," / "&amp;CK191&amp;"%"),IF(AND(N(BT191)&gt;=99.95,CK191&lt;&gt;"",N(CK191)&lt;100),"Pend. "&amp;CK191&amp;"%",""))))</f>
        <v/>
      </c>
      <c r="AO191" s="40" t="str">
        <f aca="false">IF(OR(OR(NOT(AND(ISNUMBER(E191),ISNUMBER(F191))),$J$2=""),3&gt;MAX(1,Reprogramaciones!$U$15)),"",IF(Reprogramaciones!M$12&gt;=7,"",IF(OR(BV191-N(BU191)&gt;0.05,N(S191)&gt;0),ROUNDDOWN(ROUND(BV191,6),0)&amp;"%"&amp;IF(CL191="",""," / "&amp;CL191&amp;"%"),IF(AND(N(BU191)&gt;=99.95,CL191&lt;&gt;"",N(CL191)&lt;100),"Pend. "&amp;CL191&amp;"%",""))))</f>
        <v/>
      </c>
      <c r="AP191" s="40" t="str">
        <f aca="false">IF(OR(OR(NOT(AND(ISNUMBER(E191),ISNUMBER(F191))),$J$2=""),4&gt;MAX(1,Reprogramaciones!$U$15)),"",IF(Reprogramaciones!N$12&gt;=7,"",IF(OR(BW191-N(BV191)&gt;0.05,N(T191)&gt;0),ROUNDDOWN(ROUND(BW191,6),0)&amp;"%"&amp;IF(CM191="",""," / "&amp;CM191&amp;"%"),IF(AND(N(BV191)&gt;=99.95,CM191&lt;&gt;"",N(CM191)&lt;100),"Pend. "&amp;CM191&amp;"%",""))))</f>
        <v/>
      </c>
      <c r="AQ191" s="40" t="str">
        <f aca="false">IF(OR(OR(NOT(AND(ISNUMBER(E191),ISNUMBER(F191))),$J$2=""),5&gt;MAX(1,Reprogramaciones!$U$15)),"",IF(Reprogramaciones!O$12&gt;=7,"",IF(OR(BX191-N(BW191)&gt;0.05,N(U191)&gt;0),ROUNDDOWN(ROUND(BX191,6),0)&amp;"%"&amp;IF(CN191="",""," / "&amp;CN191&amp;"%"),IF(AND(N(BW191)&gt;=99.95,CN191&lt;&gt;"",N(CN191)&lt;100),"Pend. "&amp;CN191&amp;"%",""))))</f>
        <v/>
      </c>
      <c r="AR191" s="40" t="str">
        <f aca="false">IF(OR(OR(NOT(AND(ISNUMBER(E191),ISNUMBER(F191))),$J$2=""),6&gt;MAX(1,Reprogramaciones!$U$15)),"",IF(Reprogramaciones!P$12&gt;=7,"",IF(OR(BY191-N(BX191)&gt;0.05,N(V191)&gt;0),ROUNDDOWN(ROUND(BY191,6),0)&amp;"%"&amp;IF(CO191="",""," / "&amp;CO191&amp;"%"),IF(AND(N(BX191)&gt;=99.95,CO191&lt;&gt;"",N(CO191)&lt;100),"Pend. "&amp;CO191&amp;"%",""))))</f>
        <v/>
      </c>
      <c r="AS191" s="40" t="str">
        <f aca="false">IF(OR(OR(NOT(AND(ISNUMBER(E191),ISNUMBER(F191))),$J$2=""),7&gt;MAX(1,Reprogramaciones!$U$15)),"",IF(Reprogramaciones!Q$12&gt;=7,"",IF(OR(BZ191-N(BY191)&gt;0.05,N(W191)&gt;0),ROUNDDOWN(ROUND(BZ191,6),0)&amp;"%"&amp;IF(CP191="",""," / "&amp;CP191&amp;"%"),IF(AND(N(BY191)&gt;=99.95,CP191&lt;&gt;"",N(CP191)&lt;100),"Pend. "&amp;CP191&amp;"%",""))))</f>
        <v/>
      </c>
      <c r="AT191" s="40" t="str">
        <f aca="false">IF(OR(OR(NOT(AND(ISNUMBER(E191),ISNUMBER(F191))),$J$2=""),8&gt;MAX(1,Reprogramaciones!$U$15)),"",IF(Reprogramaciones!R$12&gt;=7,"",IF(OR(CA191-N(BZ191)&gt;0.05,N(X191)&gt;0),ROUNDDOWN(ROUND(CA191,6),0)&amp;"%"&amp;IF(CQ191="",""," / "&amp;CQ191&amp;"%"),IF(AND(N(BZ191)&gt;=99.95,CQ191&lt;&gt;"",N(CQ191)&lt;100),"Pend. "&amp;CQ191&amp;"%",""))))</f>
        <v/>
      </c>
      <c r="AU191" s="40" t="str">
        <f aca="false">IF(OR(OR(NOT(AND(ISNUMBER(E191),ISNUMBER(F191))),$J$2=""),9&gt;MAX(1,Reprogramaciones!$U$15)),"",IF(Reprogramaciones!S$12&gt;=7,"",IF(OR(CB191-N(CA191)&gt;0.05,N(Y191)&gt;0),ROUNDDOWN(ROUND(CB191,6),0)&amp;"%"&amp;IF(CR191="",""," / "&amp;CR191&amp;"%"),IF(AND(N(CA191)&gt;=99.95,CR191&lt;&gt;"",N(CR191)&lt;100),"Pend. "&amp;CR191&amp;"%",""))))</f>
        <v/>
      </c>
      <c r="AV191" s="40" t="str">
        <f aca="false">IF(OR(OR(NOT(AND(ISNUMBER(E191),ISNUMBER(F191))),$J$2=""),10&gt;MAX(1,Reprogramaciones!$U$15)),"",IF(Reprogramaciones!T$12&gt;=7,"",IF(OR(CC191-N(CB191)&gt;0.05,N(Z191)&gt;0),ROUNDDOWN(ROUND(CC191,6),0)&amp;"%"&amp;IF(CS191="",""," / "&amp;CS191&amp;"%"),IF(AND(N(CB191)&gt;=99.95,CS191&lt;&gt;"",N(CS191)&lt;100),"Pend. "&amp;CS191&amp;"%",""))))</f>
        <v/>
      </c>
      <c r="AW191" s="40" t="str">
        <f aca="false">IF(OR(OR(NOT(AND(ISNUMBER(E191),ISNUMBER(F191))),$J$2=""),11&gt;MAX(1,Reprogramaciones!$U$15)),"",IF(Reprogramaciones!U$12&gt;=7,"",IF(OR(CD191-N(CC191)&gt;0.05,N(AA191)&gt;0),ROUNDDOWN(ROUND(CD191,6),0)&amp;"%"&amp;IF(CT191="",""," / "&amp;CT191&amp;"%"),IF(AND(N(CC191)&gt;=99.95,CT191&lt;&gt;"",N(CT191)&lt;100),"Pend. "&amp;CT191&amp;"%",""))))</f>
        <v/>
      </c>
      <c r="AX191" s="40" t="str">
        <f aca="false">IF(OR(OR(NOT(AND(ISNUMBER(E191),ISNUMBER(F191))),$J$2=""),12&gt;MAX(1,Reprogramaciones!$U$15)),"",IF(Reprogramaciones!V$12&gt;=7,"",IF(OR(CE191-N(CD191)&gt;0.05,N(AB191)&gt;0),ROUNDDOWN(ROUND(CE191,6),0)&amp;"%"&amp;IF(CU191="",""," / "&amp;CU191&amp;"%"),IF(AND(N(CD191)&gt;=99.95,CU191&lt;&gt;"",N(CU191)&lt;100),"Pend. "&amp;CU191&amp;"%",""))))</f>
        <v/>
      </c>
      <c r="AY191" s="40" t="str">
        <f aca="false">IF(OR(OR(NOT(AND(ISNUMBER(E191),ISNUMBER(F191))),$J$2=""),13&gt;MAX(1,Reprogramaciones!$U$15)),"",IF(Reprogramaciones!W$12&gt;=7,"",IF(OR(CF191-N(CE191)&gt;0.05,N(AC191)&gt;0),ROUNDDOWN(ROUND(CF191,6),0)&amp;"%"&amp;IF(CV191="",""," / "&amp;CV191&amp;"%"),IF(AND(N(CE191)&gt;=99.95,CV191&lt;&gt;"",N(CV191)&lt;100),"Pend. "&amp;CV191&amp;"%",""))))</f>
        <v/>
      </c>
      <c r="AZ191" s="40" t="str">
        <f aca="false">IF(OR(OR(NOT(AND(ISNUMBER(E191),ISNUMBER(F191))),$J$2=""),14&gt;MAX(1,Reprogramaciones!$U$15)),"",IF(Reprogramaciones!X$12&gt;=7,"",IF(OR(CG191-N(CF191)&gt;0.05,N(AD191)&gt;0),ROUNDDOWN(ROUND(CG191,6),0)&amp;"%"&amp;IF(CW191="",""," / "&amp;CW191&amp;"%"),IF(AND(N(CF191)&gt;=99.95,CW191&lt;&gt;"",N(CW191)&lt;100),"Pend. "&amp;CW191&amp;"%",""))))</f>
        <v/>
      </c>
      <c r="BA191" s="40" t="str">
        <f aca="false">IF(OR(OR(NOT(AND(ISNUMBER(E191),ISNUMBER(F191))),$J$2=""),15&gt;MAX(1,Reprogramaciones!$U$15)),"",IF(Reprogramaciones!Y$12&gt;=7,"",IF(OR(CH191-N(CG191)&gt;0.05,N(AE191)&gt;0),ROUNDDOWN(ROUND(CH191,6),0)&amp;"%"&amp;IF(CX191="",""," / "&amp;CX191&amp;"%"),IF(AND(N(CG191)&gt;=99.95,CX191&lt;&gt;"",N(CX191)&lt;100),"Pend. "&amp;CX191&amp;"%",""))))</f>
        <v/>
      </c>
      <c r="BB191" s="40" t="str">
        <f aca="false">IF(OR(OR(NOT(AND(ISNUMBER(E191),ISNUMBER(F191))),$J$2=""),16&gt;MAX(1,Reprogramaciones!$U$15)),"",IF(Reprogramaciones!Z$12&gt;=7,"",IF(OR(CI191-N(CH191)&gt;0.05,N(AF191)&gt;0),ROUNDDOWN(ROUND(CI191,6),0)&amp;"%"&amp;IF(CY191="",""," / "&amp;CY191&amp;"%"),IF(AND(N(CH191)&gt;=99.95,CY191&lt;&gt;"",N(CY191)&lt;100),"Pend. "&amp;CY191&amp;"%",""))))</f>
        <v/>
      </c>
      <c r="BC191" s="31" t="n">
        <f aca="false">IF(AND(ISNUMBER(E191),ISNUMBER(F191)),MAX(1,NETWORKDAYS.INTL(E191,F191,11)),0)</f>
        <v>0</v>
      </c>
      <c r="BD191" s="1" t="str">
        <f aca="false">IF(OR(NOT(AND(ISNUMBER(E191),ISNUMBER(F191))),$J$2=""),"",MIN(100,ROUND(SUM($G191:G191),1)))</f>
        <v/>
      </c>
      <c r="BE191" s="1" t="str">
        <f aca="false">IF(OR(NOT(AND(ISNUMBER(E191),ISNUMBER(F191))),$J$2=""),"",MIN(100,ROUND(SUM($G191:H191),1)))</f>
        <v/>
      </c>
      <c r="BF191" s="1" t="str">
        <f aca="false">IF(OR(NOT(AND(ISNUMBER(E191),ISNUMBER(F191))),$J$2=""),"",MIN(100,ROUND(SUM($G191:I191),1)))</f>
        <v/>
      </c>
      <c r="BG191" s="1" t="str">
        <f aca="false">IF(OR(NOT(AND(ISNUMBER(E191),ISNUMBER(F191))),$J$2=""),"",MIN(100,ROUND(SUM($G191:J191),1)))</f>
        <v/>
      </c>
      <c r="BH191" s="1" t="str">
        <f aca="false">IF(OR(NOT(AND(ISNUMBER(E191),ISNUMBER(F191))),$J$2=""),"",MIN(100,ROUND(SUM($G191:K191),1)))</f>
        <v/>
      </c>
      <c r="BI191" s="1" t="str">
        <f aca="false">IF(OR(NOT(AND(ISNUMBER(E191),ISNUMBER(F191))),$J$2=""),"",MIN(100,ROUND(SUM($G191:L191),1)))</f>
        <v/>
      </c>
      <c r="BJ191" s="1" t="str">
        <f aca="false">IF(OR(NOT(AND(ISNUMBER(E191),ISNUMBER(F191))),$J$2=""),"",MIN(100,ROUND(SUM($G191:M191),1)))</f>
        <v/>
      </c>
      <c r="BK191" s="1" t="str">
        <f aca="false">IF(OR(NOT(AND(ISNUMBER(E191),ISNUMBER(F191))),$J$2=""),"",MIN(100,ROUND(SUM($G191:N191),1)))</f>
        <v/>
      </c>
      <c r="BL191" s="1" t="str">
        <f aca="false">IF(OR(NOT(AND(ISNUMBER(E191),ISNUMBER(F191))),$J$2=""),"",MIN(100,ROUND(SUM($G191:O191),1)))</f>
        <v/>
      </c>
      <c r="BM191" s="1" t="str">
        <f aca="false">IF(OR(NOT(AND(ISNUMBER(E191),ISNUMBER(F191))),$J$2=""),"",MIN(100,ROUND(SUM($G191:P191),1)))</f>
        <v/>
      </c>
      <c r="BN191" s="1" t="str">
        <f aca="false">IF(OR(NOT(AND(ISNUMBER(E191),ISNUMBER(F191))),$J$2=""),"",MIN(100,ROUND(SUM($G191:P191),1)))</f>
        <v/>
      </c>
      <c r="BO191" s="1" t="str">
        <f aca="false">IF(OR(NOT(AND(ISNUMBER(E191),ISNUMBER(F191))),$J$2=""),"",MIN(100,ROUND(SUM($G191:P191),1)))</f>
        <v/>
      </c>
      <c r="BP191" s="1" t="str">
        <f aca="false">IF(OR(NOT(AND(ISNUMBER(E191),ISNUMBER(F191))),$J$2=""),"",MIN(100,ROUND(SUM($G191:P191),1)))</f>
        <v/>
      </c>
      <c r="BQ191" s="1" t="str">
        <f aca="false">IF(OR(NOT(AND(ISNUMBER(E191),ISNUMBER(F191))),$J$2=""),"",MIN(100,ROUND(SUM($G191:P191),1)))</f>
        <v/>
      </c>
      <c r="BR191" s="1" t="str">
        <f aca="false">IF(OR(NOT(AND(ISNUMBER(E191),ISNUMBER(F191))),$J$2=""),"",MIN(100,ROUND(SUM($G191:P191),1)))</f>
        <v/>
      </c>
      <c r="BS191" s="1" t="str">
        <f aca="false">IF(OR(NOT(AND(ISNUMBER(E191),ISNUMBER(F191))),$J$2=""),"",MIN(100,ROUND(SUM($G191:P191),1)))</f>
        <v/>
      </c>
      <c r="BT191" s="1" t="str">
        <f aca="false">IF(OR(NOT(AND(ISNUMBER(E191),ISNUMBER(F191))),$J$2=""),"",IF(Reprogramaciones!K$13&lt;Reprogramaciones!$T$15,0,IF(Reprogramaciones!K$14&gt;10,MIN(100,SUM($G191:$P191)),MIN(100,SUMPRODUCT((COLUMN($G191:$P191)-COLUMN($G191)+1&lt;Reprogramaciones!K$14)*$G191:$P191)+N(INDEX($G191:$P191,1,Reprogramaciones!K$14))*IF(Reprogramaciones!K$13&gt;=(Reprogramaciones!$T$15+7*(Reprogramaciones!K$14-1))+6,1,IF(MAX(0,NETWORKDAYS.INTL(MAX(E191,(Reprogramaciones!$T$15+7*(Reprogramaciones!K$14-1))),MIN(F191,(Reprogramaciones!$T$15+7*(Reprogramaciones!K$14-1))+6),11))=0,0,MAX(0,NETWORKDAYS.INTL(MAX(E191,(Reprogramaciones!$T$15+7*(Reprogramaciones!K$14-1))),MIN(F191,Reprogramaciones!K$13),11))/MAX(0,NETWORKDAYS.INTL(MAX(E191,(Reprogramaciones!$T$15+7*(Reprogramaciones!K$14-1))),MIN(F191,(Reprogramaciones!$T$15+7*(Reprogramaciones!K$14-1))+6),11))))))))</f>
        <v/>
      </c>
      <c r="BU191" s="1" t="str">
        <f aca="false">IF(OR(NOT(AND(ISNUMBER(E191),ISNUMBER(F191))),$J$2=""),"",IF(Reprogramaciones!L$13&lt;Reprogramaciones!$T$15,0,IF(Reprogramaciones!L$14&gt;10,MIN(100,SUM($G191:$P191)),MIN(100,SUMPRODUCT((COLUMN($G191:$P191)-COLUMN($G191)+1&lt;Reprogramaciones!L$14)*$G191:$P191)+N(INDEX($G191:$P191,1,Reprogramaciones!L$14))*IF(Reprogramaciones!L$13&gt;=(Reprogramaciones!$T$15+7*(Reprogramaciones!L$14-1))+6,1,IF(MAX(0,NETWORKDAYS.INTL(MAX(E191,(Reprogramaciones!$T$15+7*(Reprogramaciones!L$14-1))),MIN(F191,(Reprogramaciones!$T$15+7*(Reprogramaciones!L$14-1))+6),11))=0,0,MAX(0,NETWORKDAYS.INTL(MAX(E191,(Reprogramaciones!$T$15+7*(Reprogramaciones!L$14-1))),MIN(F191,Reprogramaciones!L$13),11))/MAX(0,NETWORKDAYS.INTL(MAX(E191,(Reprogramaciones!$T$15+7*(Reprogramaciones!L$14-1))),MIN(F191,(Reprogramaciones!$T$15+7*(Reprogramaciones!L$14-1))+6),11))))))))</f>
        <v/>
      </c>
      <c r="BV191" s="1" t="str">
        <f aca="false">IF(OR(NOT(AND(ISNUMBER(E191),ISNUMBER(F191))),$J$2=""),"",IF(Reprogramaciones!M$13&lt;Reprogramaciones!$T$15,0,IF(Reprogramaciones!M$14&gt;10,MIN(100,SUM($G191:$P191)),MIN(100,SUMPRODUCT((COLUMN($G191:$P191)-COLUMN($G191)+1&lt;Reprogramaciones!M$14)*$G191:$P191)+N(INDEX($G191:$P191,1,Reprogramaciones!M$14))*IF(Reprogramaciones!M$13&gt;=(Reprogramaciones!$T$15+7*(Reprogramaciones!M$14-1))+6,1,IF(MAX(0,NETWORKDAYS.INTL(MAX(E191,(Reprogramaciones!$T$15+7*(Reprogramaciones!M$14-1))),MIN(F191,(Reprogramaciones!$T$15+7*(Reprogramaciones!M$14-1))+6),11))=0,0,MAX(0,NETWORKDAYS.INTL(MAX(E191,(Reprogramaciones!$T$15+7*(Reprogramaciones!M$14-1))),MIN(F191,Reprogramaciones!M$13),11))/MAX(0,NETWORKDAYS.INTL(MAX(E191,(Reprogramaciones!$T$15+7*(Reprogramaciones!M$14-1))),MIN(F191,(Reprogramaciones!$T$15+7*(Reprogramaciones!M$14-1))+6),11))))))))</f>
        <v/>
      </c>
      <c r="BW191" s="1" t="str">
        <f aca="false">IF(OR(NOT(AND(ISNUMBER(E191),ISNUMBER(F191))),$J$2=""),"",IF(Reprogramaciones!N$13&lt;Reprogramaciones!$T$15,0,IF(Reprogramaciones!N$14&gt;10,MIN(100,SUM($G191:$P191)),MIN(100,SUMPRODUCT((COLUMN($G191:$P191)-COLUMN($G191)+1&lt;Reprogramaciones!N$14)*$G191:$P191)+N(INDEX($G191:$P191,1,Reprogramaciones!N$14))*IF(Reprogramaciones!N$13&gt;=(Reprogramaciones!$T$15+7*(Reprogramaciones!N$14-1))+6,1,IF(MAX(0,NETWORKDAYS.INTL(MAX(E191,(Reprogramaciones!$T$15+7*(Reprogramaciones!N$14-1))),MIN(F191,(Reprogramaciones!$T$15+7*(Reprogramaciones!N$14-1))+6),11))=0,0,MAX(0,NETWORKDAYS.INTL(MAX(E191,(Reprogramaciones!$T$15+7*(Reprogramaciones!N$14-1))),MIN(F191,Reprogramaciones!N$13),11))/MAX(0,NETWORKDAYS.INTL(MAX(E191,(Reprogramaciones!$T$15+7*(Reprogramaciones!N$14-1))),MIN(F191,(Reprogramaciones!$T$15+7*(Reprogramaciones!N$14-1))+6),11))))))))</f>
        <v/>
      </c>
      <c r="BX191" s="1" t="str">
        <f aca="false">IF(OR(NOT(AND(ISNUMBER(E191),ISNUMBER(F191))),$J$2=""),"",IF(Reprogramaciones!O$13&lt;Reprogramaciones!$T$15,0,IF(Reprogramaciones!O$14&gt;10,MIN(100,SUM($G191:$P191)),MIN(100,SUMPRODUCT((COLUMN($G191:$P191)-COLUMN($G191)+1&lt;Reprogramaciones!O$14)*$G191:$P191)+N(INDEX($G191:$P191,1,Reprogramaciones!O$14))*IF(Reprogramaciones!O$13&gt;=(Reprogramaciones!$T$15+7*(Reprogramaciones!O$14-1))+6,1,IF(MAX(0,NETWORKDAYS.INTL(MAX(E191,(Reprogramaciones!$T$15+7*(Reprogramaciones!O$14-1))),MIN(F191,(Reprogramaciones!$T$15+7*(Reprogramaciones!O$14-1))+6),11))=0,0,MAX(0,NETWORKDAYS.INTL(MAX(E191,(Reprogramaciones!$T$15+7*(Reprogramaciones!O$14-1))),MIN(F191,Reprogramaciones!O$13),11))/MAX(0,NETWORKDAYS.INTL(MAX(E191,(Reprogramaciones!$T$15+7*(Reprogramaciones!O$14-1))),MIN(F191,(Reprogramaciones!$T$15+7*(Reprogramaciones!O$14-1))+6),11))))))))</f>
        <v/>
      </c>
      <c r="BY191" s="1" t="str">
        <f aca="false">IF(OR(NOT(AND(ISNUMBER(E191),ISNUMBER(F191))),$J$2=""),"",IF(Reprogramaciones!P$13&lt;Reprogramaciones!$T$15,0,IF(Reprogramaciones!P$14&gt;10,MIN(100,SUM($G191:$P191)),MIN(100,SUMPRODUCT((COLUMN($G191:$P191)-COLUMN($G191)+1&lt;Reprogramaciones!P$14)*$G191:$P191)+N(INDEX($G191:$P191,1,Reprogramaciones!P$14))*IF(Reprogramaciones!P$13&gt;=(Reprogramaciones!$T$15+7*(Reprogramaciones!P$14-1))+6,1,IF(MAX(0,NETWORKDAYS.INTL(MAX(E191,(Reprogramaciones!$T$15+7*(Reprogramaciones!P$14-1))),MIN(F191,(Reprogramaciones!$T$15+7*(Reprogramaciones!P$14-1))+6),11))=0,0,MAX(0,NETWORKDAYS.INTL(MAX(E191,(Reprogramaciones!$T$15+7*(Reprogramaciones!P$14-1))),MIN(F191,Reprogramaciones!P$13),11))/MAX(0,NETWORKDAYS.INTL(MAX(E191,(Reprogramaciones!$T$15+7*(Reprogramaciones!P$14-1))),MIN(F191,(Reprogramaciones!$T$15+7*(Reprogramaciones!P$14-1))+6),11))))))))</f>
        <v/>
      </c>
      <c r="BZ191" s="1" t="str">
        <f aca="false">IF(OR(NOT(AND(ISNUMBER(E191),ISNUMBER(F191))),$J$2=""),"",IF(Reprogramaciones!Q$13&lt;Reprogramaciones!$T$15,0,IF(Reprogramaciones!Q$14&gt;10,MIN(100,SUM($G191:$P191)),MIN(100,SUMPRODUCT((COLUMN($G191:$P191)-COLUMN($G191)+1&lt;Reprogramaciones!Q$14)*$G191:$P191)+N(INDEX($G191:$P191,1,Reprogramaciones!Q$14))*IF(Reprogramaciones!Q$13&gt;=(Reprogramaciones!$T$15+7*(Reprogramaciones!Q$14-1))+6,1,IF(MAX(0,NETWORKDAYS.INTL(MAX(E191,(Reprogramaciones!$T$15+7*(Reprogramaciones!Q$14-1))),MIN(F191,(Reprogramaciones!$T$15+7*(Reprogramaciones!Q$14-1))+6),11))=0,0,MAX(0,NETWORKDAYS.INTL(MAX(E191,(Reprogramaciones!$T$15+7*(Reprogramaciones!Q$14-1))),MIN(F191,Reprogramaciones!Q$13),11))/MAX(0,NETWORKDAYS.INTL(MAX(E191,(Reprogramaciones!$T$15+7*(Reprogramaciones!Q$14-1))),MIN(F191,(Reprogramaciones!$T$15+7*(Reprogramaciones!Q$14-1))+6),11))))))))</f>
        <v/>
      </c>
      <c r="CA191" s="1" t="str">
        <f aca="false">IF(OR(NOT(AND(ISNUMBER(E191),ISNUMBER(F191))),$J$2=""),"",IF(Reprogramaciones!R$13&lt;Reprogramaciones!$T$15,0,IF(Reprogramaciones!R$14&gt;10,MIN(100,SUM($G191:$P191)),MIN(100,SUMPRODUCT((COLUMN($G191:$P191)-COLUMN($G191)+1&lt;Reprogramaciones!R$14)*$G191:$P191)+N(INDEX($G191:$P191,1,Reprogramaciones!R$14))*IF(Reprogramaciones!R$13&gt;=(Reprogramaciones!$T$15+7*(Reprogramaciones!R$14-1))+6,1,IF(MAX(0,NETWORKDAYS.INTL(MAX(E191,(Reprogramaciones!$T$15+7*(Reprogramaciones!R$14-1))),MIN(F191,(Reprogramaciones!$T$15+7*(Reprogramaciones!R$14-1))+6),11))=0,0,MAX(0,NETWORKDAYS.INTL(MAX(E191,(Reprogramaciones!$T$15+7*(Reprogramaciones!R$14-1))),MIN(F191,Reprogramaciones!R$13),11))/MAX(0,NETWORKDAYS.INTL(MAX(E191,(Reprogramaciones!$T$15+7*(Reprogramaciones!R$14-1))),MIN(F191,(Reprogramaciones!$T$15+7*(Reprogramaciones!R$14-1))+6),11))))))))</f>
        <v/>
      </c>
      <c r="CB191" s="1" t="str">
        <f aca="false">IF(OR(NOT(AND(ISNUMBER(E191),ISNUMBER(F191))),$J$2=""),"",IF(Reprogramaciones!S$13&lt;Reprogramaciones!$T$15,0,IF(Reprogramaciones!S$14&gt;10,MIN(100,SUM($G191:$P191)),MIN(100,SUMPRODUCT((COLUMN($G191:$P191)-COLUMN($G191)+1&lt;Reprogramaciones!S$14)*$G191:$P191)+N(INDEX($G191:$P191,1,Reprogramaciones!S$14))*IF(Reprogramaciones!S$13&gt;=(Reprogramaciones!$T$15+7*(Reprogramaciones!S$14-1))+6,1,IF(MAX(0,NETWORKDAYS.INTL(MAX(E191,(Reprogramaciones!$T$15+7*(Reprogramaciones!S$14-1))),MIN(F191,(Reprogramaciones!$T$15+7*(Reprogramaciones!S$14-1))+6),11))=0,0,MAX(0,NETWORKDAYS.INTL(MAX(E191,(Reprogramaciones!$T$15+7*(Reprogramaciones!S$14-1))),MIN(F191,Reprogramaciones!S$13),11))/MAX(0,NETWORKDAYS.INTL(MAX(E191,(Reprogramaciones!$T$15+7*(Reprogramaciones!S$14-1))),MIN(F191,(Reprogramaciones!$T$15+7*(Reprogramaciones!S$14-1))+6),11))))))))</f>
        <v/>
      </c>
      <c r="CC191" s="1" t="str">
        <f aca="false">IF(OR(NOT(AND(ISNUMBER(E191),ISNUMBER(F191))),$J$2=""),"",IF(Reprogramaciones!T$13&lt;Reprogramaciones!$T$15,0,IF(Reprogramaciones!T$14&gt;10,MIN(100,SUM($G191:$P191)),MIN(100,SUMPRODUCT((COLUMN($G191:$P191)-COLUMN($G191)+1&lt;Reprogramaciones!T$14)*$G191:$P191)+N(INDEX($G191:$P191,1,Reprogramaciones!T$14))*IF(Reprogramaciones!T$13&gt;=(Reprogramaciones!$T$15+7*(Reprogramaciones!T$14-1))+6,1,IF(MAX(0,NETWORKDAYS.INTL(MAX(E191,(Reprogramaciones!$T$15+7*(Reprogramaciones!T$14-1))),MIN(F191,(Reprogramaciones!$T$15+7*(Reprogramaciones!T$14-1))+6),11))=0,0,MAX(0,NETWORKDAYS.INTL(MAX(E191,(Reprogramaciones!$T$15+7*(Reprogramaciones!T$14-1))),MIN(F191,Reprogramaciones!T$13),11))/MAX(0,NETWORKDAYS.INTL(MAX(E191,(Reprogramaciones!$T$15+7*(Reprogramaciones!T$14-1))),MIN(F191,(Reprogramaciones!$T$15+7*(Reprogramaciones!T$14-1))+6),11))))))))</f>
        <v/>
      </c>
      <c r="CD191" s="1" t="str">
        <f aca="false">IF(OR(NOT(AND(ISNUMBER(E191),ISNUMBER(F191))),$J$2=""),"",IF(Reprogramaciones!U$13&lt;Reprogramaciones!$T$15,0,IF(Reprogramaciones!U$14&gt;10,MIN(100,SUM($G191:$P191)),MIN(100,SUMPRODUCT((COLUMN($G191:$P191)-COLUMN($G191)+1&lt;Reprogramaciones!U$14)*$G191:$P191)+N(INDEX($G191:$P191,1,Reprogramaciones!U$14))*IF(Reprogramaciones!U$13&gt;=(Reprogramaciones!$T$15+7*(Reprogramaciones!U$14-1))+6,1,IF(MAX(0,NETWORKDAYS.INTL(MAX(E191,(Reprogramaciones!$T$15+7*(Reprogramaciones!U$14-1))),MIN(F191,(Reprogramaciones!$T$15+7*(Reprogramaciones!U$14-1))+6),11))=0,0,MAX(0,NETWORKDAYS.INTL(MAX(E191,(Reprogramaciones!$T$15+7*(Reprogramaciones!U$14-1))),MIN(F191,Reprogramaciones!U$13),11))/MAX(0,NETWORKDAYS.INTL(MAX(E191,(Reprogramaciones!$T$15+7*(Reprogramaciones!U$14-1))),MIN(F191,(Reprogramaciones!$T$15+7*(Reprogramaciones!U$14-1))+6),11))))))))</f>
        <v/>
      </c>
      <c r="CE191" s="1" t="str">
        <f aca="false">IF(OR(NOT(AND(ISNUMBER(E191),ISNUMBER(F191))),$J$2=""),"",IF(Reprogramaciones!V$13&lt;Reprogramaciones!$T$15,0,IF(Reprogramaciones!V$14&gt;10,MIN(100,SUM($G191:$P191)),MIN(100,SUMPRODUCT((COLUMN($G191:$P191)-COLUMN($G191)+1&lt;Reprogramaciones!V$14)*$G191:$P191)+N(INDEX($G191:$P191,1,Reprogramaciones!V$14))*IF(Reprogramaciones!V$13&gt;=(Reprogramaciones!$T$15+7*(Reprogramaciones!V$14-1))+6,1,IF(MAX(0,NETWORKDAYS.INTL(MAX(E191,(Reprogramaciones!$T$15+7*(Reprogramaciones!V$14-1))),MIN(F191,(Reprogramaciones!$T$15+7*(Reprogramaciones!V$14-1))+6),11))=0,0,MAX(0,NETWORKDAYS.INTL(MAX(E191,(Reprogramaciones!$T$15+7*(Reprogramaciones!V$14-1))),MIN(F191,Reprogramaciones!V$13),11))/MAX(0,NETWORKDAYS.INTL(MAX(E191,(Reprogramaciones!$T$15+7*(Reprogramaciones!V$14-1))),MIN(F191,(Reprogramaciones!$T$15+7*(Reprogramaciones!V$14-1))+6),11))))))))</f>
        <v/>
      </c>
      <c r="CF191" s="1" t="str">
        <f aca="false">IF(OR(NOT(AND(ISNUMBER(E191),ISNUMBER(F191))),$J$2=""),"",IF(Reprogramaciones!W$13&lt;Reprogramaciones!$T$15,0,IF(Reprogramaciones!W$14&gt;10,MIN(100,SUM($G191:$P191)),MIN(100,SUMPRODUCT((COLUMN($G191:$P191)-COLUMN($G191)+1&lt;Reprogramaciones!W$14)*$G191:$P191)+N(INDEX($G191:$P191,1,Reprogramaciones!W$14))*IF(Reprogramaciones!W$13&gt;=(Reprogramaciones!$T$15+7*(Reprogramaciones!W$14-1))+6,1,IF(MAX(0,NETWORKDAYS.INTL(MAX(E191,(Reprogramaciones!$T$15+7*(Reprogramaciones!W$14-1))),MIN(F191,(Reprogramaciones!$T$15+7*(Reprogramaciones!W$14-1))+6),11))=0,0,MAX(0,NETWORKDAYS.INTL(MAX(E191,(Reprogramaciones!$T$15+7*(Reprogramaciones!W$14-1))),MIN(F191,Reprogramaciones!W$13),11))/MAX(0,NETWORKDAYS.INTL(MAX(E191,(Reprogramaciones!$T$15+7*(Reprogramaciones!W$14-1))),MIN(F191,(Reprogramaciones!$T$15+7*(Reprogramaciones!W$14-1))+6),11))))))))</f>
        <v/>
      </c>
      <c r="CG191" s="1" t="str">
        <f aca="false">IF(OR(NOT(AND(ISNUMBER(E191),ISNUMBER(F191))),$J$2=""),"",IF(Reprogramaciones!X$13&lt;Reprogramaciones!$T$15,0,IF(Reprogramaciones!X$14&gt;10,MIN(100,SUM($G191:$P191)),MIN(100,SUMPRODUCT((COLUMN($G191:$P191)-COLUMN($G191)+1&lt;Reprogramaciones!X$14)*$G191:$P191)+N(INDEX($G191:$P191,1,Reprogramaciones!X$14))*IF(Reprogramaciones!X$13&gt;=(Reprogramaciones!$T$15+7*(Reprogramaciones!X$14-1))+6,1,IF(MAX(0,NETWORKDAYS.INTL(MAX(E191,(Reprogramaciones!$T$15+7*(Reprogramaciones!X$14-1))),MIN(F191,(Reprogramaciones!$T$15+7*(Reprogramaciones!X$14-1))+6),11))=0,0,MAX(0,NETWORKDAYS.INTL(MAX(E191,(Reprogramaciones!$T$15+7*(Reprogramaciones!X$14-1))),MIN(F191,Reprogramaciones!X$13),11))/MAX(0,NETWORKDAYS.INTL(MAX(E191,(Reprogramaciones!$T$15+7*(Reprogramaciones!X$14-1))),MIN(F191,(Reprogramaciones!$T$15+7*(Reprogramaciones!X$14-1))+6),11))))))))</f>
        <v/>
      </c>
      <c r="CH191" s="1" t="str">
        <f aca="false">IF(OR(NOT(AND(ISNUMBER(E191),ISNUMBER(F191))),$J$2=""),"",IF(Reprogramaciones!Y$13&lt;Reprogramaciones!$T$15,0,IF(Reprogramaciones!Y$14&gt;10,MIN(100,SUM($G191:$P191)),MIN(100,SUMPRODUCT((COLUMN($G191:$P191)-COLUMN($G191)+1&lt;Reprogramaciones!Y$14)*$G191:$P191)+N(INDEX($G191:$P191,1,Reprogramaciones!Y$14))*IF(Reprogramaciones!Y$13&gt;=(Reprogramaciones!$T$15+7*(Reprogramaciones!Y$14-1))+6,1,IF(MAX(0,NETWORKDAYS.INTL(MAX(E191,(Reprogramaciones!$T$15+7*(Reprogramaciones!Y$14-1))),MIN(F191,(Reprogramaciones!$T$15+7*(Reprogramaciones!Y$14-1))+6),11))=0,0,MAX(0,NETWORKDAYS.INTL(MAX(E191,(Reprogramaciones!$T$15+7*(Reprogramaciones!Y$14-1))),MIN(F191,Reprogramaciones!Y$13),11))/MAX(0,NETWORKDAYS.INTL(MAX(E191,(Reprogramaciones!$T$15+7*(Reprogramaciones!Y$14-1))),MIN(F191,(Reprogramaciones!$T$15+7*(Reprogramaciones!Y$14-1))+6),11))))))))</f>
        <v/>
      </c>
      <c r="CI191" s="1" t="str">
        <f aca="false">IF(OR(NOT(AND(ISNUMBER(E191),ISNUMBER(F191))),$J$2=""),"",IF(Reprogramaciones!Z$13&lt;Reprogramaciones!$T$15,0,IF(Reprogramaciones!Z$14&gt;10,MIN(100,SUM($G191:$P191)),MIN(100,SUMPRODUCT((COLUMN($G191:$P191)-COLUMN($G191)+1&lt;Reprogramaciones!Z$14)*$G191:$P191)+N(INDEX($G191:$P191,1,Reprogramaciones!Z$14))*IF(Reprogramaciones!Z$13&gt;=(Reprogramaciones!$T$15+7*(Reprogramaciones!Z$14-1))+6,1,IF(MAX(0,NETWORKDAYS.INTL(MAX(E191,(Reprogramaciones!$T$15+7*(Reprogramaciones!Z$14-1))),MIN(F191,(Reprogramaciones!$T$15+7*(Reprogramaciones!Z$14-1))+6),11))=0,0,MAX(0,NETWORKDAYS.INTL(MAX(E191,(Reprogramaciones!$T$15+7*(Reprogramaciones!Z$14-1))),MIN(F191,Reprogramaciones!Z$13),11))/MAX(0,NETWORKDAYS.INTL(MAX(E191,(Reprogramaciones!$T$15+7*(Reprogramaciones!Z$14-1))),MIN(F191,(Reprogramaciones!$T$15+7*(Reprogramaciones!Z$14-1))+6),11))))))))</f>
        <v/>
      </c>
      <c r="CJ191" s="1" t="str">
        <f aca="false">IF(OR(OR(NOT(AND(ISNUMBER(E191),ISNUMBER(F191))),$J$2=""),1&gt;Reprogramaciones!$K$16),"",IF(ROUND(SUM($Q191:Q191),1)&gt;=99.5,100,MIN(100,ROUND(SUM($Q191:Q191),1))))</f>
        <v/>
      </c>
      <c r="CK191" s="1" t="str">
        <f aca="false">IF(OR(OR(NOT(AND(ISNUMBER(E191),ISNUMBER(F191))),$J$2=""),2&gt;Reprogramaciones!$K$16),"",IF(ROUND(SUM($Q191:R191),1)&gt;=99.5,100,MIN(100,ROUND(SUM($Q191:R191),1))))</f>
        <v/>
      </c>
      <c r="CL191" s="1" t="str">
        <f aca="false">IF(OR(OR(NOT(AND(ISNUMBER(E191),ISNUMBER(F191))),$J$2=""),3&gt;Reprogramaciones!$K$16),"",IF(ROUND(SUM($Q191:S191),1)&gt;=99.5,100,MIN(100,ROUND(SUM($Q191:S191),1))))</f>
        <v/>
      </c>
      <c r="CM191" s="1" t="str">
        <f aca="false">IF(OR(OR(NOT(AND(ISNUMBER(E191),ISNUMBER(F191))),$J$2=""),4&gt;Reprogramaciones!$K$16),"",IF(ROUND(SUM($Q191:T191),1)&gt;=99.5,100,MIN(100,ROUND(SUM($Q191:T191),1))))</f>
        <v/>
      </c>
      <c r="CN191" s="1" t="str">
        <f aca="false">IF(OR(OR(NOT(AND(ISNUMBER(E191),ISNUMBER(F191))),$J$2=""),5&gt;Reprogramaciones!$K$16),"",IF(ROUND(SUM($Q191:U191),1)&gt;=99.5,100,MIN(100,ROUND(SUM($Q191:U191),1))))</f>
        <v/>
      </c>
      <c r="CO191" s="1" t="str">
        <f aca="false">IF(OR(OR(NOT(AND(ISNUMBER(E191),ISNUMBER(F191))),$J$2=""),6&gt;Reprogramaciones!$K$16),"",IF(ROUND(SUM($Q191:V191),1)&gt;=99.5,100,MIN(100,ROUND(SUM($Q191:V191),1))))</f>
        <v/>
      </c>
      <c r="CP191" s="1" t="str">
        <f aca="false">IF(OR(OR(NOT(AND(ISNUMBER(E191),ISNUMBER(F191))),$J$2=""),7&gt;Reprogramaciones!$K$16),"",IF(ROUND(SUM($Q191:W191),1)&gt;=99.5,100,MIN(100,ROUND(SUM($Q191:W191),1))))</f>
        <v/>
      </c>
      <c r="CQ191" s="1" t="str">
        <f aca="false">IF(OR(OR(NOT(AND(ISNUMBER(E191),ISNUMBER(F191))),$J$2=""),8&gt;Reprogramaciones!$K$16),"",IF(ROUND(SUM($Q191:X191),1)&gt;=99.5,100,MIN(100,ROUND(SUM($Q191:X191),1))))</f>
        <v/>
      </c>
      <c r="CR191" s="1" t="str">
        <f aca="false">IF(OR(OR(NOT(AND(ISNUMBER(E191),ISNUMBER(F191))),$J$2=""),9&gt;Reprogramaciones!$K$16),"",IF(ROUND(SUM($Q191:Y191),1)&gt;=99.5,100,MIN(100,ROUND(SUM($Q191:Y191),1))))</f>
        <v/>
      </c>
      <c r="CS191" s="1" t="str">
        <f aca="false">IF(OR(OR(NOT(AND(ISNUMBER(E191),ISNUMBER(F191))),$J$2=""),10&gt;Reprogramaciones!$K$16),"",IF(ROUND(SUM($Q191:Z191),1)&gt;=99.5,100,MIN(100,ROUND(SUM($Q191:Z191),1))))</f>
        <v/>
      </c>
      <c r="CT191" s="1" t="str">
        <f aca="false">IF(OR(OR(NOT(AND(ISNUMBER(E191),ISNUMBER(F191))),$J$2=""),11&gt;Reprogramaciones!$K$16),"",IF(ROUND(SUM($Q191:AA191),1)&gt;=99.5,100,MIN(100,ROUND(SUM($Q191:AA191),1))))</f>
        <v/>
      </c>
      <c r="CU191" s="1" t="str">
        <f aca="false">IF(OR(OR(NOT(AND(ISNUMBER(E191),ISNUMBER(F191))),$J$2=""),12&gt;Reprogramaciones!$K$16),"",IF(ROUND(SUM($Q191:AB191),1)&gt;=99.5,100,MIN(100,ROUND(SUM($Q191:AB191),1))))</f>
        <v/>
      </c>
      <c r="CV191" s="1" t="str">
        <f aca="false">IF(OR(OR(NOT(AND(ISNUMBER(E191),ISNUMBER(F191))),$J$2=""),13&gt;Reprogramaciones!$K$16),"",IF(ROUND(SUM($Q191:AC191),1)&gt;=99.5,100,MIN(100,ROUND(SUM($Q191:AC191),1))))</f>
        <v/>
      </c>
      <c r="CW191" s="1" t="str">
        <f aca="false">IF(OR(OR(NOT(AND(ISNUMBER(E191),ISNUMBER(F191))),$J$2=""),14&gt;Reprogramaciones!$K$16),"",IF(ROUND(SUM($Q191:AD191),1)&gt;=99.5,100,MIN(100,ROUND(SUM($Q191:AD191),1))))</f>
        <v/>
      </c>
      <c r="CX191" s="1" t="str">
        <f aca="false">IF(OR(OR(NOT(AND(ISNUMBER(E191),ISNUMBER(F191))),$J$2=""),15&gt;Reprogramaciones!$K$16),"",IF(ROUND(SUM($Q191:AE191),1)&gt;=99.5,100,MIN(100,ROUND(SUM($Q191:AE191),1))))</f>
        <v/>
      </c>
      <c r="CY191" s="1" t="str">
        <f aca="false">IF(OR(OR(NOT(AND(ISNUMBER(E191),ISNUMBER(F191))),$J$2=""),16&gt;Reprogramaciones!$K$16),"",IF(ROUND(SUM($Q191:AF191),1)&gt;=99.5,100,MIN(100,ROUND(SUM($Q191:AF191),1))))</f>
        <v/>
      </c>
      <c r="CZ191" s="1" t="str">
        <f aca="false">IF(D191&lt;&gt;"",D191,IF(B191&lt;&gt;"","Contractual",CZ190))</f>
        <v>Contractual</v>
      </c>
      <c r="DA191" s="1" t="str">
        <f aca="false">IF(OR(NOT(AND(ISNUMBER(E191),ISNUMBER(F191))),$J$2=""),"",IF(Reprogramaciones!$Q$15&lt;Reprogramaciones!$T$15,0,IF(Reprogramaciones!$S$15&gt;10,MIN(100,SUM($G191:$P191)),MIN(100,SUMPRODUCT((COLUMN($G191:$P191)-COLUMN($G191)+1&lt;Reprogramaciones!$S$15)*$G191:$P191)+N(INDEX($G191:$P191,1,Reprogramaciones!$S$15))*IF(Reprogramaciones!$Q$15&gt;=(Reprogramaciones!$T$15+7*(Reprogramaciones!$S$15-1))+6,1,IF(MAX(0,NETWORKDAYS.INTL(MAX(E191,(Reprogramaciones!$T$15+7*(Reprogramaciones!$S$15-1))),MIN(F191,(Reprogramaciones!$T$15+7*(Reprogramaciones!$S$15-1))+6),11))=0,0,MAX(0,NETWORKDAYS.INTL(MAX(E191,(Reprogramaciones!$T$15+7*(Reprogramaciones!$S$15-1))),MIN(F191,Reprogramaciones!$Q$15),11))/MAX(0,NETWORKDAYS.INTL(MAX(E191,(Reprogramaciones!$T$15+7*(Reprogramaciones!$S$15-1))),MIN(F191,(Reprogramaciones!$T$15+7*(Reprogramaciones!$S$15-1))+6),11))))))))</f>
        <v/>
      </c>
    </row>
    <row r="192" customFormat="false" ht="15" hidden="false" customHeight="false" outlineLevel="0" collapsed="false">
      <c r="A192" s="32"/>
      <c r="B192" s="33"/>
      <c r="C192" s="33"/>
      <c r="D192" s="34"/>
      <c r="E192" s="35"/>
      <c r="F192" s="35"/>
      <c r="G192" s="36" t="str">
        <f aca="false">IF(OR(NOT(AND(ISNUMBER(E192),ISNUMBER(F192))),$J$2=""),"",IF(Reprogramaciones!K$9&lt;E192,0,IF(NETWORKDAYS.INTL(E192,F192,11)=0,IF(Reprogramaciones!K$9&gt;=F192,100,0),ROUND(NETWORKDAYS.INTL(E192,MIN(F192,Reprogramaciones!K$9),11)/NETWORKDAYS.INTL(E192,F192,11)*100,1)))-0)</f>
        <v/>
      </c>
      <c r="H192" s="36" t="str">
        <f aca="false">IF(OR(NOT(AND(ISNUMBER(E192),ISNUMBER(F192))),$J$2=""),"",IF(Reprogramaciones!L$9&lt;E192,0,IF(NETWORKDAYS.INTL(E192,F192,11)=0,IF(Reprogramaciones!L$9&gt;=F192,100,0),ROUND(NETWORKDAYS.INTL(E192,MIN(F192,Reprogramaciones!L$9),11)/NETWORKDAYS.INTL(E192,F192,11)*100,1)))-IF(Reprogramaciones!K$9&lt;E192,0,IF(NETWORKDAYS.INTL(E192,F192,11)=0,IF(Reprogramaciones!K$9&gt;=F192,100,0),ROUND(NETWORKDAYS.INTL(E192,MIN(F192,Reprogramaciones!K$9),11)/NETWORKDAYS.INTL(E192,F192,11)*100,1))))</f>
        <v/>
      </c>
      <c r="I192" s="36" t="str">
        <f aca="false">IF(OR(NOT(AND(ISNUMBER(E192),ISNUMBER(F192))),$J$2=""),"",IF(Reprogramaciones!M$9&lt;E192,0,IF(NETWORKDAYS.INTL(E192,F192,11)=0,IF(Reprogramaciones!M$9&gt;=F192,100,0),ROUND(NETWORKDAYS.INTL(E192,MIN(F192,Reprogramaciones!M$9),11)/NETWORKDAYS.INTL(E192,F192,11)*100,1)))-IF(Reprogramaciones!L$9&lt;E192,0,IF(NETWORKDAYS.INTL(E192,F192,11)=0,IF(Reprogramaciones!L$9&gt;=F192,100,0),ROUND(NETWORKDAYS.INTL(E192,MIN(F192,Reprogramaciones!L$9),11)/NETWORKDAYS.INTL(E192,F192,11)*100,1))))</f>
        <v/>
      </c>
      <c r="J192" s="36" t="str">
        <f aca="false">IF(OR(NOT(AND(ISNUMBER(E192),ISNUMBER(F192))),$J$2=""),"",IF(Reprogramaciones!N$9&lt;E192,0,IF(NETWORKDAYS.INTL(E192,F192,11)=0,IF(Reprogramaciones!N$9&gt;=F192,100,0),ROUND(NETWORKDAYS.INTL(E192,MIN(F192,Reprogramaciones!N$9),11)/NETWORKDAYS.INTL(E192,F192,11)*100,1)))-IF(Reprogramaciones!M$9&lt;E192,0,IF(NETWORKDAYS.INTL(E192,F192,11)=0,IF(Reprogramaciones!M$9&gt;=F192,100,0),ROUND(NETWORKDAYS.INTL(E192,MIN(F192,Reprogramaciones!M$9),11)/NETWORKDAYS.INTL(E192,F192,11)*100,1))))</f>
        <v/>
      </c>
      <c r="K192" s="36" t="str">
        <f aca="false">IF(OR(NOT(AND(ISNUMBER(E192),ISNUMBER(F192))),$J$2=""),"",IF(Reprogramaciones!O$9&lt;E192,0,IF(NETWORKDAYS.INTL(E192,F192,11)=0,IF(Reprogramaciones!O$9&gt;=F192,100,0),ROUND(NETWORKDAYS.INTL(E192,MIN(F192,Reprogramaciones!O$9),11)/NETWORKDAYS.INTL(E192,F192,11)*100,1)))-IF(Reprogramaciones!N$9&lt;E192,0,IF(NETWORKDAYS.INTL(E192,F192,11)=0,IF(Reprogramaciones!N$9&gt;=F192,100,0),ROUND(NETWORKDAYS.INTL(E192,MIN(F192,Reprogramaciones!N$9),11)/NETWORKDAYS.INTL(E192,F192,11)*100,1))))</f>
        <v/>
      </c>
      <c r="L192" s="36" t="str">
        <f aca="false">IF(OR(NOT(AND(ISNUMBER(E192),ISNUMBER(F192))),$J$2=""),"",IF(Reprogramaciones!P$9&lt;E192,0,IF(NETWORKDAYS.INTL(E192,F192,11)=0,IF(Reprogramaciones!P$9&gt;=F192,100,0),ROUND(NETWORKDAYS.INTL(E192,MIN(F192,Reprogramaciones!P$9),11)/NETWORKDAYS.INTL(E192,F192,11)*100,1)))-IF(Reprogramaciones!O$9&lt;E192,0,IF(NETWORKDAYS.INTL(E192,F192,11)=0,IF(Reprogramaciones!O$9&gt;=F192,100,0),ROUND(NETWORKDAYS.INTL(E192,MIN(F192,Reprogramaciones!O$9),11)/NETWORKDAYS.INTL(E192,F192,11)*100,1))))</f>
        <v/>
      </c>
      <c r="M192" s="36" t="str">
        <f aca="false">IF(OR(NOT(AND(ISNUMBER(E192),ISNUMBER(F192))),$J$2=""),"",IF(Reprogramaciones!Q$9&lt;E192,0,IF(NETWORKDAYS.INTL(E192,F192,11)=0,IF(Reprogramaciones!Q$9&gt;=F192,100,0),ROUND(NETWORKDAYS.INTL(E192,MIN(F192,Reprogramaciones!Q$9),11)/NETWORKDAYS.INTL(E192,F192,11)*100,1)))-IF(Reprogramaciones!P$9&lt;E192,0,IF(NETWORKDAYS.INTL(E192,F192,11)=0,IF(Reprogramaciones!P$9&gt;=F192,100,0),ROUND(NETWORKDAYS.INTL(E192,MIN(F192,Reprogramaciones!P$9),11)/NETWORKDAYS.INTL(E192,F192,11)*100,1))))</f>
        <v/>
      </c>
      <c r="N192" s="36" t="str">
        <f aca="false">IF(OR(NOT(AND(ISNUMBER(E192),ISNUMBER(F192))),$J$2=""),"",IF(Reprogramaciones!R$9&lt;E192,0,IF(NETWORKDAYS.INTL(E192,F192,11)=0,IF(Reprogramaciones!R$9&gt;=F192,100,0),ROUND(NETWORKDAYS.INTL(E192,MIN(F192,Reprogramaciones!R$9),11)/NETWORKDAYS.INTL(E192,F192,11)*100,1)))-IF(Reprogramaciones!Q$9&lt;E192,0,IF(NETWORKDAYS.INTL(E192,F192,11)=0,IF(Reprogramaciones!Q$9&gt;=F192,100,0),ROUND(NETWORKDAYS.INTL(E192,MIN(F192,Reprogramaciones!Q$9),11)/NETWORKDAYS.INTL(E192,F192,11)*100,1))))</f>
        <v/>
      </c>
      <c r="O192" s="36" t="str">
        <f aca="false">IF(OR(NOT(AND(ISNUMBER(E192),ISNUMBER(F192))),$J$2=""),"",IF(Reprogramaciones!S$9&lt;E192,0,IF(NETWORKDAYS.INTL(E192,F192,11)=0,IF(Reprogramaciones!S$9&gt;=F192,100,0),ROUND(NETWORKDAYS.INTL(E192,MIN(F192,Reprogramaciones!S$9),11)/NETWORKDAYS.INTL(E192,F192,11)*100,1)))-IF(Reprogramaciones!R$9&lt;E192,0,IF(NETWORKDAYS.INTL(E192,F192,11)=0,IF(Reprogramaciones!R$9&gt;=F192,100,0),ROUND(NETWORKDAYS.INTL(E192,MIN(F192,Reprogramaciones!R$9),11)/NETWORKDAYS.INTL(E192,F192,11)*100,1))))</f>
        <v/>
      </c>
      <c r="P192" s="36" t="str">
        <f aca="false">IF(OR(NOT(AND(ISNUMBER(E192),ISNUMBER(F192))),$J$2=""),"",IF(Reprogramaciones!T$9&lt;E192,0,IF(NETWORKDAYS.INTL(E192,F192,11)=0,IF(Reprogramaciones!T$9&gt;=F192,100,0),ROUND(NETWORKDAYS.INTL(E192,MIN(F192,Reprogramaciones!T$9),11)/NETWORKDAYS.INTL(E192,F192,11)*100,1)))-IF(Reprogramaciones!S$9&lt;E192,0,IF(NETWORKDAYS.INTL(E192,F192,11)=0,IF(Reprogramaciones!S$9&gt;=F192,100,0),ROUND(NETWORKDAYS.INTL(E192,MIN(F192,Reprogramaciones!S$9),11)/NETWORKDAYS.INTL(E192,F192,11)*100,1))))</f>
        <v/>
      </c>
      <c r="Q192" s="37"/>
      <c r="R192" s="37"/>
      <c r="S192" s="37"/>
      <c r="T192" s="37"/>
      <c r="U192" s="37"/>
      <c r="V192" s="37"/>
      <c r="W192" s="37"/>
      <c r="X192" s="37"/>
      <c r="Y192" s="37"/>
      <c r="Z192" s="37"/>
      <c r="AA192" s="37"/>
      <c r="AB192" s="37"/>
      <c r="AC192" s="37"/>
      <c r="AD192" s="37"/>
      <c r="AE192" s="37"/>
      <c r="AF192" s="37"/>
      <c r="AG192" s="38" t="str">
        <f aca="false">IF(AND(ISNUMBER(E192),ISNUMBER(F192)),NETWORKDAYS.INTL(E192,F192,11),"")</f>
        <v/>
      </c>
      <c r="AH192" s="38" t="str">
        <f aca="false">IF(OR(NOT(AND(ISNUMBER(E192),ISNUMBER(F192))),$J$2=""),"",IF(Reprogramaciones!$P$15&lt;Reprogramaciones!$T$15,0,IF(Reprogramaciones!$R$15&gt;10,MIN(100,SUM($G192:$P192)),MIN(100,SUMPRODUCT((COLUMN($G192:$P192)-COLUMN($G192)+1&lt;Reprogramaciones!$R$15)*$G192:$P192)+N(INDEX($G192:$P192,1,Reprogramaciones!$R$15))*IF(Reprogramaciones!$P$15&gt;=(Reprogramaciones!$T$15+7*(Reprogramaciones!$R$15-1))+6,1,IF(MAX(0,NETWORKDAYS.INTL(MAX(E192,(Reprogramaciones!$T$15+7*(Reprogramaciones!$R$15-1))),MIN(F192,(Reprogramaciones!$T$15+7*(Reprogramaciones!$R$15-1))+6),11))=0,0,MAX(0,NETWORKDAYS.INTL(MAX(E192,(Reprogramaciones!$T$15+7*(Reprogramaciones!$R$15-1))),MIN(F192,Reprogramaciones!$P$15),11))/MAX(0,NETWORKDAYS.INTL(MAX(E192,(Reprogramaciones!$T$15+7*(Reprogramaciones!$R$15-1))),MIN(F192,(Reprogramaciones!$T$15+7*(Reprogramaciones!$R$15-1))+6),11))))))))</f>
        <v/>
      </c>
      <c r="AI192" s="38" t="str">
        <f aca="false">IF(COUNT($Q192:$AF192)=0,"",IF(ROUND(SUM($Q192:$AF192),1)&gt;=99.5,100,MIN(100,ROUND(SUM($Q192:$AF192),1))))</f>
        <v/>
      </c>
      <c r="AJ192" s="38" t="str">
        <f aca="false">IF(OR(AH192="",AI192=""),"",AI192-AH192)</f>
        <v/>
      </c>
      <c r="AK192" s="39" t="str">
        <f aca="true">IF(AH192="","",IF(OR(Ficha!$C$10="Suspendida",Ficha!$C$10="Cancelada"),Ficha!$C$10,IF(AND(AI192&lt;&gt;"",N(AI192)&gt;=100),"Completada",IF(AND(E192&gt;TODAY(),N(AI192)=0),"Por iniciar",IF(N(AI192)+0.5&lt;AH192,"Retrasada",IF(N(AI192)+0.5&lt;DA192,IF(Reprogramaciones!$K$15&gt;0,"Al día · Sem "&amp;Reprogramaciones!$K$15&amp;" en curso","Al día · en curso"),"A tiempo"))))))</f>
        <v/>
      </c>
      <c r="AL192" s="39" t="str">
        <f aca="true">IF(AND(A192="",AND(B192="",C192="",E192="",F192="",COUNT(Q192:AF192)=0)),"",IF(AND(B192="",C192="",E192="",F192="",COUNT(Q192:AF192)=0),"Falta la partida o subpartida",IF(AND(A192&lt;&gt;"",COUNTIF($A$6:$A$305,A192)&gt;1),"Ítem repetido",IF(AND(C192="",E192="",F192="",COUNT(Q192:AF192)=0),"Título de partida",IF(OR(E192="",F192=""),"Faltan fechas",IF(OR(ISTEXT(E192),ISTEXT(F192)),"Fecha escrita como texto: usa dd/mm/aaaa",IF(F192&lt;E192,"Fin antes del inicio",IF(IF($J$2="",FALSE(),OR(E192&lt;$J$2,F192&gt;Reprogramaciones!$T$15+69)),"Fuera de las 10 semanas",IF(ABS(SUM(G192:P192)-100)&gt;0.5,"La meta no suma 100%",IF(ROUND(SUM(Q192:AF192),1)&gt;100.5,"El avance pasa de 100%",IF(MIN(Q192:AF192)&lt;0,"Avance negativo",IF(COUNTA(Q192:AF192)&gt;COUNT(Q192:AF192),"Avance escrito como texto",IF(SUMPRODUCT((Q192:AF192&gt;0)*(Q192:AF192&lt;1))&gt;0,"Avance menor a 1: escribe 50, no 50%",IF(SUMPRODUCT(ISNUMBER(Q192:AF192)*(Reprogramaciones!$K$8:$Z$8&gt;TODAY()))&gt;0,"Avance en semana que aún no llega",IF(AND(N(Reprogramaciones!$E$21)&gt;0,F192&gt;Reprogramaciones!$E$21),"Pasa el fin de la obra: registra una reprogramación",IF(AND(N(Reprogramaciones!$E$21)&gt;0,SUMPRODUCT(ISNUMBER(Q192:AF192)*(Reprogramaciones!$K$8:$Z$8&gt;Reprogramaciones!$E$21))&gt;0),"Avance después del fin de la obra: registra una reprogramación por atraso","OK"))))))))))))))))</f>
        <v/>
      </c>
      <c r="AM192" s="40" t="str">
        <f aca="false">IF(OR(OR(NOT(AND(ISNUMBER(E192),ISNUMBER(F192))),$J$2=""),1&gt;MAX(1,Reprogramaciones!$U$15)),"",IF(Reprogramaciones!K$12&gt;=7,"",IF(OR(BT192-N(0)&gt;0.05,N(Q192)&gt;0),ROUNDDOWN(ROUND(BT192,6),0)&amp;"%"&amp;IF(CJ192="",""," / "&amp;CJ192&amp;"%"),IF(AND(N(0)&gt;=99.95,CJ192&lt;&gt;"",N(CJ192)&lt;100),"Pend. "&amp;CJ192&amp;"%",""))))</f>
        <v/>
      </c>
      <c r="AN192" s="40" t="str">
        <f aca="false">IF(OR(OR(NOT(AND(ISNUMBER(E192),ISNUMBER(F192))),$J$2=""),2&gt;MAX(1,Reprogramaciones!$U$15)),"",IF(Reprogramaciones!L$12&gt;=7,"",IF(OR(BU192-N(BT192)&gt;0.05,N(R192)&gt;0),ROUNDDOWN(ROUND(BU192,6),0)&amp;"%"&amp;IF(CK192="",""," / "&amp;CK192&amp;"%"),IF(AND(N(BT192)&gt;=99.95,CK192&lt;&gt;"",N(CK192)&lt;100),"Pend. "&amp;CK192&amp;"%",""))))</f>
        <v/>
      </c>
      <c r="AO192" s="40" t="str">
        <f aca="false">IF(OR(OR(NOT(AND(ISNUMBER(E192),ISNUMBER(F192))),$J$2=""),3&gt;MAX(1,Reprogramaciones!$U$15)),"",IF(Reprogramaciones!M$12&gt;=7,"",IF(OR(BV192-N(BU192)&gt;0.05,N(S192)&gt;0),ROUNDDOWN(ROUND(BV192,6),0)&amp;"%"&amp;IF(CL192="",""," / "&amp;CL192&amp;"%"),IF(AND(N(BU192)&gt;=99.95,CL192&lt;&gt;"",N(CL192)&lt;100),"Pend. "&amp;CL192&amp;"%",""))))</f>
        <v/>
      </c>
      <c r="AP192" s="40" t="str">
        <f aca="false">IF(OR(OR(NOT(AND(ISNUMBER(E192),ISNUMBER(F192))),$J$2=""),4&gt;MAX(1,Reprogramaciones!$U$15)),"",IF(Reprogramaciones!N$12&gt;=7,"",IF(OR(BW192-N(BV192)&gt;0.05,N(T192)&gt;0),ROUNDDOWN(ROUND(BW192,6),0)&amp;"%"&amp;IF(CM192="",""," / "&amp;CM192&amp;"%"),IF(AND(N(BV192)&gt;=99.95,CM192&lt;&gt;"",N(CM192)&lt;100),"Pend. "&amp;CM192&amp;"%",""))))</f>
        <v/>
      </c>
      <c r="AQ192" s="40" t="str">
        <f aca="false">IF(OR(OR(NOT(AND(ISNUMBER(E192),ISNUMBER(F192))),$J$2=""),5&gt;MAX(1,Reprogramaciones!$U$15)),"",IF(Reprogramaciones!O$12&gt;=7,"",IF(OR(BX192-N(BW192)&gt;0.05,N(U192)&gt;0),ROUNDDOWN(ROUND(BX192,6),0)&amp;"%"&amp;IF(CN192="",""," / "&amp;CN192&amp;"%"),IF(AND(N(BW192)&gt;=99.95,CN192&lt;&gt;"",N(CN192)&lt;100),"Pend. "&amp;CN192&amp;"%",""))))</f>
        <v/>
      </c>
      <c r="AR192" s="40" t="str">
        <f aca="false">IF(OR(OR(NOT(AND(ISNUMBER(E192),ISNUMBER(F192))),$J$2=""),6&gt;MAX(1,Reprogramaciones!$U$15)),"",IF(Reprogramaciones!P$12&gt;=7,"",IF(OR(BY192-N(BX192)&gt;0.05,N(V192)&gt;0),ROUNDDOWN(ROUND(BY192,6),0)&amp;"%"&amp;IF(CO192="",""," / "&amp;CO192&amp;"%"),IF(AND(N(BX192)&gt;=99.95,CO192&lt;&gt;"",N(CO192)&lt;100),"Pend. "&amp;CO192&amp;"%",""))))</f>
        <v/>
      </c>
      <c r="AS192" s="40" t="str">
        <f aca="false">IF(OR(OR(NOT(AND(ISNUMBER(E192),ISNUMBER(F192))),$J$2=""),7&gt;MAX(1,Reprogramaciones!$U$15)),"",IF(Reprogramaciones!Q$12&gt;=7,"",IF(OR(BZ192-N(BY192)&gt;0.05,N(W192)&gt;0),ROUNDDOWN(ROUND(BZ192,6),0)&amp;"%"&amp;IF(CP192="",""," / "&amp;CP192&amp;"%"),IF(AND(N(BY192)&gt;=99.95,CP192&lt;&gt;"",N(CP192)&lt;100),"Pend. "&amp;CP192&amp;"%",""))))</f>
        <v/>
      </c>
      <c r="AT192" s="40" t="str">
        <f aca="false">IF(OR(OR(NOT(AND(ISNUMBER(E192),ISNUMBER(F192))),$J$2=""),8&gt;MAX(1,Reprogramaciones!$U$15)),"",IF(Reprogramaciones!R$12&gt;=7,"",IF(OR(CA192-N(BZ192)&gt;0.05,N(X192)&gt;0),ROUNDDOWN(ROUND(CA192,6),0)&amp;"%"&amp;IF(CQ192="",""," / "&amp;CQ192&amp;"%"),IF(AND(N(BZ192)&gt;=99.95,CQ192&lt;&gt;"",N(CQ192)&lt;100),"Pend. "&amp;CQ192&amp;"%",""))))</f>
        <v/>
      </c>
      <c r="AU192" s="40" t="str">
        <f aca="false">IF(OR(OR(NOT(AND(ISNUMBER(E192),ISNUMBER(F192))),$J$2=""),9&gt;MAX(1,Reprogramaciones!$U$15)),"",IF(Reprogramaciones!S$12&gt;=7,"",IF(OR(CB192-N(CA192)&gt;0.05,N(Y192)&gt;0),ROUNDDOWN(ROUND(CB192,6),0)&amp;"%"&amp;IF(CR192="",""," / "&amp;CR192&amp;"%"),IF(AND(N(CA192)&gt;=99.95,CR192&lt;&gt;"",N(CR192)&lt;100),"Pend. "&amp;CR192&amp;"%",""))))</f>
        <v/>
      </c>
      <c r="AV192" s="40" t="str">
        <f aca="false">IF(OR(OR(NOT(AND(ISNUMBER(E192),ISNUMBER(F192))),$J$2=""),10&gt;MAX(1,Reprogramaciones!$U$15)),"",IF(Reprogramaciones!T$12&gt;=7,"",IF(OR(CC192-N(CB192)&gt;0.05,N(Z192)&gt;0),ROUNDDOWN(ROUND(CC192,6),0)&amp;"%"&amp;IF(CS192="",""," / "&amp;CS192&amp;"%"),IF(AND(N(CB192)&gt;=99.95,CS192&lt;&gt;"",N(CS192)&lt;100),"Pend. "&amp;CS192&amp;"%",""))))</f>
        <v/>
      </c>
      <c r="AW192" s="40" t="str">
        <f aca="false">IF(OR(OR(NOT(AND(ISNUMBER(E192),ISNUMBER(F192))),$J$2=""),11&gt;MAX(1,Reprogramaciones!$U$15)),"",IF(Reprogramaciones!U$12&gt;=7,"",IF(OR(CD192-N(CC192)&gt;0.05,N(AA192)&gt;0),ROUNDDOWN(ROUND(CD192,6),0)&amp;"%"&amp;IF(CT192="",""," / "&amp;CT192&amp;"%"),IF(AND(N(CC192)&gt;=99.95,CT192&lt;&gt;"",N(CT192)&lt;100),"Pend. "&amp;CT192&amp;"%",""))))</f>
        <v/>
      </c>
      <c r="AX192" s="40" t="str">
        <f aca="false">IF(OR(OR(NOT(AND(ISNUMBER(E192),ISNUMBER(F192))),$J$2=""),12&gt;MAX(1,Reprogramaciones!$U$15)),"",IF(Reprogramaciones!V$12&gt;=7,"",IF(OR(CE192-N(CD192)&gt;0.05,N(AB192)&gt;0),ROUNDDOWN(ROUND(CE192,6),0)&amp;"%"&amp;IF(CU192="",""," / "&amp;CU192&amp;"%"),IF(AND(N(CD192)&gt;=99.95,CU192&lt;&gt;"",N(CU192)&lt;100),"Pend. "&amp;CU192&amp;"%",""))))</f>
        <v/>
      </c>
      <c r="AY192" s="40" t="str">
        <f aca="false">IF(OR(OR(NOT(AND(ISNUMBER(E192),ISNUMBER(F192))),$J$2=""),13&gt;MAX(1,Reprogramaciones!$U$15)),"",IF(Reprogramaciones!W$12&gt;=7,"",IF(OR(CF192-N(CE192)&gt;0.05,N(AC192)&gt;0),ROUNDDOWN(ROUND(CF192,6),0)&amp;"%"&amp;IF(CV192="",""," / "&amp;CV192&amp;"%"),IF(AND(N(CE192)&gt;=99.95,CV192&lt;&gt;"",N(CV192)&lt;100),"Pend. "&amp;CV192&amp;"%",""))))</f>
        <v/>
      </c>
      <c r="AZ192" s="40" t="str">
        <f aca="false">IF(OR(OR(NOT(AND(ISNUMBER(E192),ISNUMBER(F192))),$J$2=""),14&gt;MAX(1,Reprogramaciones!$U$15)),"",IF(Reprogramaciones!X$12&gt;=7,"",IF(OR(CG192-N(CF192)&gt;0.05,N(AD192)&gt;0),ROUNDDOWN(ROUND(CG192,6),0)&amp;"%"&amp;IF(CW192="",""," / "&amp;CW192&amp;"%"),IF(AND(N(CF192)&gt;=99.95,CW192&lt;&gt;"",N(CW192)&lt;100),"Pend. "&amp;CW192&amp;"%",""))))</f>
        <v/>
      </c>
      <c r="BA192" s="40" t="str">
        <f aca="false">IF(OR(OR(NOT(AND(ISNUMBER(E192),ISNUMBER(F192))),$J$2=""),15&gt;MAX(1,Reprogramaciones!$U$15)),"",IF(Reprogramaciones!Y$12&gt;=7,"",IF(OR(CH192-N(CG192)&gt;0.05,N(AE192)&gt;0),ROUNDDOWN(ROUND(CH192,6),0)&amp;"%"&amp;IF(CX192="",""," / "&amp;CX192&amp;"%"),IF(AND(N(CG192)&gt;=99.95,CX192&lt;&gt;"",N(CX192)&lt;100),"Pend. "&amp;CX192&amp;"%",""))))</f>
        <v/>
      </c>
      <c r="BB192" s="40" t="str">
        <f aca="false">IF(OR(OR(NOT(AND(ISNUMBER(E192),ISNUMBER(F192))),$J$2=""),16&gt;MAX(1,Reprogramaciones!$U$15)),"",IF(Reprogramaciones!Z$12&gt;=7,"",IF(OR(CI192-N(CH192)&gt;0.05,N(AF192)&gt;0),ROUNDDOWN(ROUND(CI192,6),0)&amp;"%"&amp;IF(CY192="",""," / "&amp;CY192&amp;"%"),IF(AND(N(CH192)&gt;=99.95,CY192&lt;&gt;"",N(CY192)&lt;100),"Pend. "&amp;CY192&amp;"%",""))))</f>
        <v/>
      </c>
      <c r="BC192" s="31" t="n">
        <f aca="false">IF(AND(ISNUMBER(E192),ISNUMBER(F192)),MAX(1,NETWORKDAYS.INTL(E192,F192,11)),0)</f>
        <v>0</v>
      </c>
      <c r="BD192" s="1" t="str">
        <f aca="false">IF(OR(NOT(AND(ISNUMBER(E192),ISNUMBER(F192))),$J$2=""),"",MIN(100,ROUND(SUM($G192:G192),1)))</f>
        <v/>
      </c>
      <c r="BE192" s="1" t="str">
        <f aca="false">IF(OR(NOT(AND(ISNUMBER(E192),ISNUMBER(F192))),$J$2=""),"",MIN(100,ROUND(SUM($G192:H192),1)))</f>
        <v/>
      </c>
      <c r="BF192" s="1" t="str">
        <f aca="false">IF(OR(NOT(AND(ISNUMBER(E192),ISNUMBER(F192))),$J$2=""),"",MIN(100,ROUND(SUM($G192:I192),1)))</f>
        <v/>
      </c>
      <c r="BG192" s="1" t="str">
        <f aca="false">IF(OR(NOT(AND(ISNUMBER(E192),ISNUMBER(F192))),$J$2=""),"",MIN(100,ROUND(SUM($G192:J192),1)))</f>
        <v/>
      </c>
      <c r="BH192" s="1" t="str">
        <f aca="false">IF(OR(NOT(AND(ISNUMBER(E192),ISNUMBER(F192))),$J$2=""),"",MIN(100,ROUND(SUM($G192:K192),1)))</f>
        <v/>
      </c>
      <c r="BI192" s="1" t="str">
        <f aca="false">IF(OR(NOT(AND(ISNUMBER(E192),ISNUMBER(F192))),$J$2=""),"",MIN(100,ROUND(SUM($G192:L192),1)))</f>
        <v/>
      </c>
      <c r="BJ192" s="1" t="str">
        <f aca="false">IF(OR(NOT(AND(ISNUMBER(E192),ISNUMBER(F192))),$J$2=""),"",MIN(100,ROUND(SUM($G192:M192),1)))</f>
        <v/>
      </c>
      <c r="BK192" s="1" t="str">
        <f aca="false">IF(OR(NOT(AND(ISNUMBER(E192),ISNUMBER(F192))),$J$2=""),"",MIN(100,ROUND(SUM($G192:N192),1)))</f>
        <v/>
      </c>
      <c r="BL192" s="1" t="str">
        <f aca="false">IF(OR(NOT(AND(ISNUMBER(E192),ISNUMBER(F192))),$J$2=""),"",MIN(100,ROUND(SUM($G192:O192),1)))</f>
        <v/>
      </c>
      <c r="BM192" s="1" t="str">
        <f aca="false">IF(OR(NOT(AND(ISNUMBER(E192),ISNUMBER(F192))),$J$2=""),"",MIN(100,ROUND(SUM($G192:P192),1)))</f>
        <v/>
      </c>
      <c r="BN192" s="1" t="str">
        <f aca="false">IF(OR(NOT(AND(ISNUMBER(E192),ISNUMBER(F192))),$J$2=""),"",MIN(100,ROUND(SUM($G192:P192),1)))</f>
        <v/>
      </c>
      <c r="BO192" s="1" t="str">
        <f aca="false">IF(OR(NOT(AND(ISNUMBER(E192),ISNUMBER(F192))),$J$2=""),"",MIN(100,ROUND(SUM($G192:P192),1)))</f>
        <v/>
      </c>
      <c r="BP192" s="1" t="str">
        <f aca="false">IF(OR(NOT(AND(ISNUMBER(E192),ISNUMBER(F192))),$J$2=""),"",MIN(100,ROUND(SUM($G192:P192),1)))</f>
        <v/>
      </c>
      <c r="BQ192" s="1" t="str">
        <f aca="false">IF(OR(NOT(AND(ISNUMBER(E192),ISNUMBER(F192))),$J$2=""),"",MIN(100,ROUND(SUM($G192:P192),1)))</f>
        <v/>
      </c>
      <c r="BR192" s="1" t="str">
        <f aca="false">IF(OR(NOT(AND(ISNUMBER(E192),ISNUMBER(F192))),$J$2=""),"",MIN(100,ROUND(SUM($G192:P192),1)))</f>
        <v/>
      </c>
      <c r="BS192" s="1" t="str">
        <f aca="false">IF(OR(NOT(AND(ISNUMBER(E192),ISNUMBER(F192))),$J$2=""),"",MIN(100,ROUND(SUM($G192:P192),1)))</f>
        <v/>
      </c>
      <c r="BT192" s="1" t="str">
        <f aca="false">IF(OR(NOT(AND(ISNUMBER(E192),ISNUMBER(F192))),$J$2=""),"",IF(Reprogramaciones!K$13&lt;Reprogramaciones!$T$15,0,IF(Reprogramaciones!K$14&gt;10,MIN(100,SUM($G192:$P192)),MIN(100,SUMPRODUCT((COLUMN($G192:$P192)-COLUMN($G192)+1&lt;Reprogramaciones!K$14)*$G192:$P192)+N(INDEX($G192:$P192,1,Reprogramaciones!K$14))*IF(Reprogramaciones!K$13&gt;=(Reprogramaciones!$T$15+7*(Reprogramaciones!K$14-1))+6,1,IF(MAX(0,NETWORKDAYS.INTL(MAX(E192,(Reprogramaciones!$T$15+7*(Reprogramaciones!K$14-1))),MIN(F192,(Reprogramaciones!$T$15+7*(Reprogramaciones!K$14-1))+6),11))=0,0,MAX(0,NETWORKDAYS.INTL(MAX(E192,(Reprogramaciones!$T$15+7*(Reprogramaciones!K$14-1))),MIN(F192,Reprogramaciones!K$13),11))/MAX(0,NETWORKDAYS.INTL(MAX(E192,(Reprogramaciones!$T$15+7*(Reprogramaciones!K$14-1))),MIN(F192,(Reprogramaciones!$T$15+7*(Reprogramaciones!K$14-1))+6),11))))))))</f>
        <v/>
      </c>
      <c r="BU192" s="1" t="str">
        <f aca="false">IF(OR(NOT(AND(ISNUMBER(E192),ISNUMBER(F192))),$J$2=""),"",IF(Reprogramaciones!L$13&lt;Reprogramaciones!$T$15,0,IF(Reprogramaciones!L$14&gt;10,MIN(100,SUM($G192:$P192)),MIN(100,SUMPRODUCT((COLUMN($G192:$P192)-COLUMN($G192)+1&lt;Reprogramaciones!L$14)*$G192:$P192)+N(INDEX($G192:$P192,1,Reprogramaciones!L$14))*IF(Reprogramaciones!L$13&gt;=(Reprogramaciones!$T$15+7*(Reprogramaciones!L$14-1))+6,1,IF(MAX(0,NETWORKDAYS.INTL(MAX(E192,(Reprogramaciones!$T$15+7*(Reprogramaciones!L$14-1))),MIN(F192,(Reprogramaciones!$T$15+7*(Reprogramaciones!L$14-1))+6),11))=0,0,MAX(0,NETWORKDAYS.INTL(MAX(E192,(Reprogramaciones!$T$15+7*(Reprogramaciones!L$14-1))),MIN(F192,Reprogramaciones!L$13),11))/MAX(0,NETWORKDAYS.INTL(MAX(E192,(Reprogramaciones!$T$15+7*(Reprogramaciones!L$14-1))),MIN(F192,(Reprogramaciones!$T$15+7*(Reprogramaciones!L$14-1))+6),11))))))))</f>
        <v/>
      </c>
      <c r="BV192" s="1" t="str">
        <f aca="false">IF(OR(NOT(AND(ISNUMBER(E192),ISNUMBER(F192))),$J$2=""),"",IF(Reprogramaciones!M$13&lt;Reprogramaciones!$T$15,0,IF(Reprogramaciones!M$14&gt;10,MIN(100,SUM($G192:$P192)),MIN(100,SUMPRODUCT((COLUMN($G192:$P192)-COLUMN($G192)+1&lt;Reprogramaciones!M$14)*$G192:$P192)+N(INDEX($G192:$P192,1,Reprogramaciones!M$14))*IF(Reprogramaciones!M$13&gt;=(Reprogramaciones!$T$15+7*(Reprogramaciones!M$14-1))+6,1,IF(MAX(0,NETWORKDAYS.INTL(MAX(E192,(Reprogramaciones!$T$15+7*(Reprogramaciones!M$14-1))),MIN(F192,(Reprogramaciones!$T$15+7*(Reprogramaciones!M$14-1))+6),11))=0,0,MAX(0,NETWORKDAYS.INTL(MAX(E192,(Reprogramaciones!$T$15+7*(Reprogramaciones!M$14-1))),MIN(F192,Reprogramaciones!M$13),11))/MAX(0,NETWORKDAYS.INTL(MAX(E192,(Reprogramaciones!$T$15+7*(Reprogramaciones!M$14-1))),MIN(F192,(Reprogramaciones!$T$15+7*(Reprogramaciones!M$14-1))+6),11))))))))</f>
        <v/>
      </c>
      <c r="BW192" s="1" t="str">
        <f aca="false">IF(OR(NOT(AND(ISNUMBER(E192),ISNUMBER(F192))),$J$2=""),"",IF(Reprogramaciones!N$13&lt;Reprogramaciones!$T$15,0,IF(Reprogramaciones!N$14&gt;10,MIN(100,SUM($G192:$P192)),MIN(100,SUMPRODUCT((COLUMN($G192:$P192)-COLUMN($G192)+1&lt;Reprogramaciones!N$14)*$G192:$P192)+N(INDEX($G192:$P192,1,Reprogramaciones!N$14))*IF(Reprogramaciones!N$13&gt;=(Reprogramaciones!$T$15+7*(Reprogramaciones!N$14-1))+6,1,IF(MAX(0,NETWORKDAYS.INTL(MAX(E192,(Reprogramaciones!$T$15+7*(Reprogramaciones!N$14-1))),MIN(F192,(Reprogramaciones!$T$15+7*(Reprogramaciones!N$14-1))+6),11))=0,0,MAX(0,NETWORKDAYS.INTL(MAX(E192,(Reprogramaciones!$T$15+7*(Reprogramaciones!N$14-1))),MIN(F192,Reprogramaciones!N$13),11))/MAX(0,NETWORKDAYS.INTL(MAX(E192,(Reprogramaciones!$T$15+7*(Reprogramaciones!N$14-1))),MIN(F192,(Reprogramaciones!$T$15+7*(Reprogramaciones!N$14-1))+6),11))))))))</f>
        <v/>
      </c>
      <c r="BX192" s="1" t="str">
        <f aca="false">IF(OR(NOT(AND(ISNUMBER(E192),ISNUMBER(F192))),$J$2=""),"",IF(Reprogramaciones!O$13&lt;Reprogramaciones!$T$15,0,IF(Reprogramaciones!O$14&gt;10,MIN(100,SUM($G192:$P192)),MIN(100,SUMPRODUCT((COLUMN($G192:$P192)-COLUMN($G192)+1&lt;Reprogramaciones!O$14)*$G192:$P192)+N(INDEX($G192:$P192,1,Reprogramaciones!O$14))*IF(Reprogramaciones!O$13&gt;=(Reprogramaciones!$T$15+7*(Reprogramaciones!O$14-1))+6,1,IF(MAX(0,NETWORKDAYS.INTL(MAX(E192,(Reprogramaciones!$T$15+7*(Reprogramaciones!O$14-1))),MIN(F192,(Reprogramaciones!$T$15+7*(Reprogramaciones!O$14-1))+6),11))=0,0,MAX(0,NETWORKDAYS.INTL(MAX(E192,(Reprogramaciones!$T$15+7*(Reprogramaciones!O$14-1))),MIN(F192,Reprogramaciones!O$13),11))/MAX(0,NETWORKDAYS.INTL(MAX(E192,(Reprogramaciones!$T$15+7*(Reprogramaciones!O$14-1))),MIN(F192,(Reprogramaciones!$T$15+7*(Reprogramaciones!O$14-1))+6),11))))))))</f>
        <v/>
      </c>
      <c r="BY192" s="1" t="str">
        <f aca="false">IF(OR(NOT(AND(ISNUMBER(E192),ISNUMBER(F192))),$J$2=""),"",IF(Reprogramaciones!P$13&lt;Reprogramaciones!$T$15,0,IF(Reprogramaciones!P$14&gt;10,MIN(100,SUM($G192:$P192)),MIN(100,SUMPRODUCT((COLUMN($G192:$P192)-COLUMN($G192)+1&lt;Reprogramaciones!P$14)*$G192:$P192)+N(INDEX($G192:$P192,1,Reprogramaciones!P$14))*IF(Reprogramaciones!P$13&gt;=(Reprogramaciones!$T$15+7*(Reprogramaciones!P$14-1))+6,1,IF(MAX(0,NETWORKDAYS.INTL(MAX(E192,(Reprogramaciones!$T$15+7*(Reprogramaciones!P$14-1))),MIN(F192,(Reprogramaciones!$T$15+7*(Reprogramaciones!P$14-1))+6),11))=0,0,MAX(0,NETWORKDAYS.INTL(MAX(E192,(Reprogramaciones!$T$15+7*(Reprogramaciones!P$14-1))),MIN(F192,Reprogramaciones!P$13),11))/MAX(0,NETWORKDAYS.INTL(MAX(E192,(Reprogramaciones!$T$15+7*(Reprogramaciones!P$14-1))),MIN(F192,(Reprogramaciones!$T$15+7*(Reprogramaciones!P$14-1))+6),11))))))))</f>
        <v/>
      </c>
      <c r="BZ192" s="1" t="str">
        <f aca="false">IF(OR(NOT(AND(ISNUMBER(E192),ISNUMBER(F192))),$J$2=""),"",IF(Reprogramaciones!Q$13&lt;Reprogramaciones!$T$15,0,IF(Reprogramaciones!Q$14&gt;10,MIN(100,SUM($G192:$P192)),MIN(100,SUMPRODUCT((COLUMN($G192:$P192)-COLUMN($G192)+1&lt;Reprogramaciones!Q$14)*$G192:$P192)+N(INDEX($G192:$P192,1,Reprogramaciones!Q$14))*IF(Reprogramaciones!Q$13&gt;=(Reprogramaciones!$T$15+7*(Reprogramaciones!Q$14-1))+6,1,IF(MAX(0,NETWORKDAYS.INTL(MAX(E192,(Reprogramaciones!$T$15+7*(Reprogramaciones!Q$14-1))),MIN(F192,(Reprogramaciones!$T$15+7*(Reprogramaciones!Q$14-1))+6),11))=0,0,MAX(0,NETWORKDAYS.INTL(MAX(E192,(Reprogramaciones!$T$15+7*(Reprogramaciones!Q$14-1))),MIN(F192,Reprogramaciones!Q$13),11))/MAX(0,NETWORKDAYS.INTL(MAX(E192,(Reprogramaciones!$T$15+7*(Reprogramaciones!Q$14-1))),MIN(F192,(Reprogramaciones!$T$15+7*(Reprogramaciones!Q$14-1))+6),11))))))))</f>
        <v/>
      </c>
      <c r="CA192" s="1" t="str">
        <f aca="false">IF(OR(NOT(AND(ISNUMBER(E192),ISNUMBER(F192))),$J$2=""),"",IF(Reprogramaciones!R$13&lt;Reprogramaciones!$T$15,0,IF(Reprogramaciones!R$14&gt;10,MIN(100,SUM($G192:$P192)),MIN(100,SUMPRODUCT((COLUMN($G192:$P192)-COLUMN($G192)+1&lt;Reprogramaciones!R$14)*$G192:$P192)+N(INDEX($G192:$P192,1,Reprogramaciones!R$14))*IF(Reprogramaciones!R$13&gt;=(Reprogramaciones!$T$15+7*(Reprogramaciones!R$14-1))+6,1,IF(MAX(0,NETWORKDAYS.INTL(MAX(E192,(Reprogramaciones!$T$15+7*(Reprogramaciones!R$14-1))),MIN(F192,(Reprogramaciones!$T$15+7*(Reprogramaciones!R$14-1))+6),11))=0,0,MAX(0,NETWORKDAYS.INTL(MAX(E192,(Reprogramaciones!$T$15+7*(Reprogramaciones!R$14-1))),MIN(F192,Reprogramaciones!R$13),11))/MAX(0,NETWORKDAYS.INTL(MAX(E192,(Reprogramaciones!$T$15+7*(Reprogramaciones!R$14-1))),MIN(F192,(Reprogramaciones!$T$15+7*(Reprogramaciones!R$14-1))+6),11))))))))</f>
        <v/>
      </c>
      <c r="CB192" s="1" t="str">
        <f aca="false">IF(OR(NOT(AND(ISNUMBER(E192),ISNUMBER(F192))),$J$2=""),"",IF(Reprogramaciones!S$13&lt;Reprogramaciones!$T$15,0,IF(Reprogramaciones!S$14&gt;10,MIN(100,SUM($G192:$P192)),MIN(100,SUMPRODUCT((COLUMN($G192:$P192)-COLUMN($G192)+1&lt;Reprogramaciones!S$14)*$G192:$P192)+N(INDEX($G192:$P192,1,Reprogramaciones!S$14))*IF(Reprogramaciones!S$13&gt;=(Reprogramaciones!$T$15+7*(Reprogramaciones!S$14-1))+6,1,IF(MAX(0,NETWORKDAYS.INTL(MAX(E192,(Reprogramaciones!$T$15+7*(Reprogramaciones!S$14-1))),MIN(F192,(Reprogramaciones!$T$15+7*(Reprogramaciones!S$14-1))+6),11))=0,0,MAX(0,NETWORKDAYS.INTL(MAX(E192,(Reprogramaciones!$T$15+7*(Reprogramaciones!S$14-1))),MIN(F192,Reprogramaciones!S$13),11))/MAX(0,NETWORKDAYS.INTL(MAX(E192,(Reprogramaciones!$T$15+7*(Reprogramaciones!S$14-1))),MIN(F192,(Reprogramaciones!$T$15+7*(Reprogramaciones!S$14-1))+6),11))))))))</f>
        <v/>
      </c>
      <c r="CC192" s="1" t="str">
        <f aca="false">IF(OR(NOT(AND(ISNUMBER(E192),ISNUMBER(F192))),$J$2=""),"",IF(Reprogramaciones!T$13&lt;Reprogramaciones!$T$15,0,IF(Reprogramaciones!T$14&gt;10,MIN(100,SUM($G192:$P192)),MIN(100,SUMPRODUCT((COLUMN($G192:$P192)-COLUMN($G192)+1&lt;Reprogramaciones!T$14)*$G192:$P192)+N(INDEX($G192:$P192,1,Reprogramaciones!T$14))*IF(Reprogramaciones!T$13&gt;=(Reprogramaciones!$T$15+7*(Reprogramaciones!T$14-1))+6,1,IF(MAX(0,NETWORKDAYS.INTL(MAX(E192,(Reprogramaciones!$T$15+7*(Reprogramaciones!T$14-1))),MIN(F192,(Reprogramaciones!$T$15+7*(Reprogramaciones!T$14-1))+6),11))=0,0,MAX(0,NETWORKDAYS.INTL(MAX(E192,(Reprogramaciones!$T$15+7*(Reprogramaciones!T$14-1))),MIN(F192,Reprogramaciones!T$13),11))/MAX(0,NETWORKDAYS.INTL(MAX(E192,(Reprogramaciones!$T$15+7*(Reprogramaciones!T$14-1))),MIN(F192,(Reprogramaciones!$T$15+7*(Reprogramaciones!T$14-1))+6),11))))))))</f>
        <v/>
      </c>
      <c r="CD192" s="1" t="str">
        <f aca="false">IF(OR(NOT(AND(ISNUMBER(E192),ISNUMBER(F192))),$J$2=""),"",IF(Reprogramaciones!U$13&lt;Reprogramaciones!$T$15,0,IF(Reprogramaciones!U$14&gt;10,MIN(100,SUM($G192:$P192)),MIN(100,SUMPRODUCT((COLUMN($G192:$P192)-COLUMN($G192)+1&lt;Reprogramaciones!U$14)*$G192:$P192)+N(INDEX($G192:$P192,1,Reprogramaciones!U$14))*IF(Reprogramaciones!U$13&gt;=(Reprogramaciones!$T$15+7*(Reprogramaciones!U$14-1))+6,1,IF(MAX(0,NETWORKDAYS.INTL(MAX(E192,(Reprogramaciones!$T$15+7*(Reprogramaciones!U$14-1))),MIN(F192,(Reprogramaciones!$T$15+7*(Reprogramaciones!U$14-1))+6),11))=0,0,MAX(0,NETWORKDAYS.INTL(MAX(E192,(Reprogramaciones!$T$15+7*(Reprogramaciones!U$14-1))),MIN(F192,Reprogramaciones!U$13),11))/MAX(0,NETWORKDAYS.INTL(MAX(E192,(Reprogramaciones!$T$15+7*(Reprogramaciones!U$14-1))),MIN(F192,(Reprogramaciones!$T$15+7*(Reprogramaciones!U$14-1))+6),11))))))))</f>
        <v/>
      </c>
      <c r="CE192" s="1" t="str">
        <f aca="false">IF(OR(NOT(AND(ISNUMBER(E192),ISNUMBER(F192))),$J$2=""),"",IF(Reprogramaciones!V$13&lt;Reprogramaciones!$T$15,0,IF(Reprogramaciones!V$14&gt;10,MIN(100,SUM($G192:$P192)),MIN(100,SUMPRODUCT((COLUMN($G192:$P192)-COLUMN($G192)+1&lt;Reprogramaciones!V$14)*$G192:$P192)+N(INDEX($G192:$P192,1,Reprogramaciones!V$14))*IF(Reprogramaciones!V$13&gt;=(Reprogramaciones!$T$15+7*(Reprogramaciones!V$14-1))+6,1,IF(MAX(0,NETWORKDAYS.INTL(MAX(E192,(Reprogramaciones!$T$15+7*(Reprogramaciones!V$14-1))),MIN(F192,(Reprogramaciones!$T$15+7*(Reprogramaciones!V$14-1))+6),11))=0,0,MAX(0,NETWORKDAYS.INTL(MAX(E192,(Reprogramaciones!$T$15+7*(Reprogramaciones!V$14-1))),MIN(F192,Reprogramaciones!V$13),11))/MAX(0,NETWORKDAYS.INTL(MAX(E192,(Reprogramaciones!$T$15+7*(Reprogramaciones!V$14-1))),MIN(F192,(Reprogramaciones!$T$15+7*(Reprogramaciones!V$14-1))+6),11))))))))</f>
        <v/>
      </c>
      <c r="CF192" s="1" t="str">
        <f aca="false">IF(OR(NOT(AND(ISNUMBER(E192),ISNUMBER(F192))),$J$2=""),"",IF(Reprogramaciones!W$13&lt;Reprogramaciones!$T$15,0,IF(Reprogramaciones!W$14&gt;10,MIN(100,SUM($G192:$P192)),MIN(100,SUMPRODUCT((COLUMN($G192:$P192)-COLUMN($G192)+1&lt;Reprogramaciones!W$14)*$G192:$P192)+N(INDEX($G192:$P192,1,Reprogramaciones!W$14))*IF(Reprogramaciones!W$13&gt;=(Reprogramaciones!$T$15+7*(Reprogramaciones!W$14-1))+6,1,IF(MAX(0,NETWORKDAYS.INTL(MAX(E192,(Reprogramaciones!$T$15+7*(Reprogramaciones!W$14-1))),MIN(F192,(Reprogramaciones!$T$15+7*(Reprogramaciones!W$14-1))+6),11))=0,0,MAX(0,NETWORKDAYS.INTL(MAX(E192,(Reprogramaciones!$T$15+7*(Reprogramaciones!W$14-1))),MIN(F192,Reprogramaciones!W$13),11))/MAX(0,NETWORKDAYS.INTL(MAX(E192,(Reprogramaciones!$T$15+7*(Reprogramaciones!W$14-1))),MIN(F192,(Reprogramaciones!$T$15+7*(Reprogramaciones!W$14-1))+6),11))))))))</f>
        <v/>
      </c>
      <c r="CG192" s="1" t="str">
        <f aca="false">IF(OR(NOT(AND(ISNUMBER(E192),ISNUMBER(F192))),$J$2=""),"",IF(Reprogramaciones!X$13&lt;Reprogramaciones!$T$15,0,IF(Reprogramaciones!X$14&gt;10,MIN(100,SUM($G192:$P192)),MIN(100,SUMPRODUCT((COLUMN($G192:$P192)-COLUMN($G192)+1&lt;Reprogramaciones!X$14)*$G192:$P192)+N(INDEX($G192:$P192,1,Reprogramaciones!X$14))*IF(Reprogramaciones!X$13&gt;=(Reprogramaciones!$T$15+7*(Reprogramaciones!X$14-1))+6,1,IF(MAX(0,NETWORKDAYS.INTL(MAX(E192,(Reprogramaciones!$T$15+7*(Reprogramaciones!X$14-1))),MIN(F192,(Reprogramaciones!$T$15+7*(Reprogramaciones!X$14-1))+6),11))=0,0,MAX(0,NETWORKDAYS.INTL(MAX(E192,(Reprogramaciones!$T$15+7*(Reprogramaciones!X$14-1))),MIN(F192,Reprogramaciones!X$13),11))/MAX(0,NETWORKDAYS.INTL(MAX(E192,(Reprogramaciones!$T$15+7*(Reprogramaciones!X$14-1))),MIN(F192,(Reprogramaciones!$T$15+7*(Reprogramaciones!X$14-1))+6),11))))))))</f>
        <v/>
      </c>
      <c r="CH192" s="1" t="str">
        <f aca="false">IF(OR(NOT(AND(ISNUMBER(E192),ISNUMBER(F192))),$J$2=""),"",IF(Reprogramaciones!Y$13&lt;Reprogramaciones!$T$15,0,IF(Reprogramaciones!Y$14&gt;10,MIN(100,SUM($G192:$P192)),MIN(100,SUMPRODUCT((COLUMN($G192:$P192)-COLUMN($G192)+1&lt;Reprogramaciones!Y$14)*$G192:$P192)+N(INDEX($G192:$P192,1,Reprogramaciones!Y$14))*IF(Reprogramaciones!Y$13&gt;=(Reprogramaciones!$T$15+7*(Reprogramaciones!Y$14-1))+6,1,IF(MAX(0,NETWORKDAYS.INTL(MAX(E192,(Reprogramaciones!$T$15+7*(Reprogramaciones!Y$14-1))),MIN(F192,(Reprogramaciones!$T$15+7*(Reprogramaciones!Y$14-1))+6),11))=0,0,MAX(0,NETWORKDAYS.INTL(MAX(E192,(Reprogramaciones!$T$15+7*(Reprogramaciones!Y$14-1))),MIN(F192,Reprogramaciones!Y$13),11))/MAX(0,NETWORKDAYS.INTL(MAX(E192,(Reprogramaciones!$T$15+7*(Reprogramaciones!Y$14-1))),MIN(F192,(Reprogramaciones!$T$15+7*(Reprogramaciones!Y$14-1))+6),11))))))))</f>
        <v/>
      </c>
      <c r="CI192" s="1" t="str">
        <f aca="false">IF(OR(NOT(AND(ISNUMBER(E192),ISNUMBER(F192))),$J$2=""),"",IF(Reprogramaciones!Z$13&lt;Reprogramaciones!$T$15,0,IF(Reprogramaciones!Z$14&gt;10,MIN(100,SUM($G192:$P192)),MIN(100,SUMPRODUCT((COLUMN($G192:$P192)-COLUMN($G192)+1&lt;Reprogramaciones!Z$14)*$G192:$P192)+N(INDEX($G192:$P192,1,Reprogramaciones!Z$14))*IF(Reprogramaciones!Z$13&gt;=(Reprogramaciones!$T$15+7*(Reprogramaciones!Z$14-1))+6,1,IF(MAX(0,NETWORKDAYS.INTL(MAX(E192,(Reprogramaciones!$T$15+7*(Reprogramaciones!Z$14-1))),MIN(F192,(Reprogramaciones!$T$15+7*(Reprogramaciones!Z$14-1))+6),11))=0,0,MAX(0,NETWORKDAYS.INTL(MAX(E192,(Reprogramaciones!$T$15+7*(Reprogramaciones!Z$14-1))),MIN(F192,Reprogramaciones!Z$13),11))/MAX(0,NETWORKDAYS.INTL(MAX(E192,(Reprogramaciones!$T$15+7*(Reprogramaciones!Z$14-1))),MIN(F192,(Reprogramaciones!$T$15+7*(Reprogramaciones!Z$14-1))+6),11))))))))</f>
        <v/>
      </c>
      <c r="CJ192" s="1" t="str">
        <f aca="false">IF(OR(OR(NOT(AND(ISNUMBER(E192),ISNUMBER(F192))),$J$2=""),1&gt;Reprogramaciones!$K$16),"",IF(ROUND(SUM($Q192:Q192),1)&gt;=99.5,100,MIN(100,ROUND(SUM($Q192:Q192),1))))</f>
        <v/>
      </c>
      <c r="CK192" s="1" t="str">
        <f aca="false">IF(OR(OR(NOT(AND(ISNUMBER(E192),ISNUMBER(F192))),$J$2=""),2&gt;Reprogramaciones!$K$16),"",IF(ROUND(SUM($Q192:R192),1)&gt;=99.5,100,MIN(100,ROUND(SUM($Q192:R192),1))))</f>
        <v/>
      </c>
      <c r="CL192" s="1" t="str">
        <f aca="false">IF(OR(OR(NOT(AND(ISNUMBER(E192),ISNUMBER(F192))),$J$2=""),3&gt;Reprogramaciones!$K$16),"",IF(ROUND(SUM($Q192:S192),1)&gt;=99.5,100,MIN(100,ROUND(SUM($Q192:S192),1))))</f>
        <v/>
      </c>
      <c r="CM192" s="1" t="str">
        <f aca="false">IF(OR(OR(NOT(AND(ISNUMBER(E192),ISNUMBER(F192))),$J$2=""),4&gt;Reprogramaciones!$K$16),"",IF(ROUND(SUM($Q192:T192),1)&gt;=99.5,100,MIN(100,ROUND(SUM($Q192:T192),1))))</f>
        <v/>
      </c>
      <c r="CN192" s="1" t="str">
        <f aca="false">IF(OR(OR(NOT(AND(ISNUMBER(E192),ISNUMBER(F192))),$J$2=""),5&gt;Reprogramaciones!$K$16),"",IF(ROUND(SUM($Q192:U192),1)&gt;=99.5,100,MIN(100,ROUND(SUM($Q192:U192),1))))</f>
        <v/>
      </c>
      <c r="CO192" s="1" t="str">
        <f aca="false">IF(OR(OR(NOT(AND(ISNUMBER(E192),ISNUMBER(F192))),$J$2=""),6&gt;Reprogramaciones!$K$16),"",IF(ROUND(SUM($Q192:V192),1)&gt;=99.5,100,MIN(100,ROUND(SUM($Q192:V192),1))))</f>
        <v/>
      </c>
      <c r="CP192" s="1" t="str">
        <f aca="false">IF(OR(OR(NOT(AND(ISNUMBER(E192),ISNUMBER(F192))),$J$2=""),7&gt;Reprogramaciones!$K$16),"",IF(ROUND(SUM($Q192:W192),1)&gt;=99.5,100,MIN(100,ROUND(SUM($Q192:W192),1))))</f>
        <v/>
      </c>
      <c r="CQ192" s="1" t="str">
        <f aca="false">IF(OR(OR(NOT(AND(ISNUMBER(E192),ISNUMBER(F192))),$J$2=""),8&gt;Reprogramaciones!$K$16),"",IF(ROUND(SUM($Q192:X192),1)&gt;=99.5,100,MIN(100,ROUND(SUM($Q192:X192),1))))</f>
        <v/>
      </c>
      <c r="CR192" s="1" t="str">
        <f aca="false">IF(OR(OR(NOT(AND(ISNUMBER(E192),ISNUMBER(F192))),$J$2=""),9&gt;Reprogramaciones!$K$16),"",IF(ROUND(SUM($Q192:Y192),1)&gt;=99.5,100,MIN(100,ROUND(SUM($Q192:Y192),1))))</f>
        <v/>
      </c>
      <c r="CS192" s="1" t="str">
        <f aca="false">IF(OR(OR(NOT(AND(ISNUMBER(E192),ISNUMBER(F192))),$J$2=""),10&gt;Reprogramaciones!$K$16),"",IF(ROUND(SUM($Q192:Z192),1)&gt;=99.5,100,MIN(100,ROUND(SUM($Q192:Z192),1))))</f>
        <v/>
      </c>
      <c r="CT192" s="1" t="str">
        <f aca="false">IF(OR(OR(NOT(AND(ISNUMBER(E192),ISNUMBER(F192))),$J$2=""),11&gt;Reprogramaciones!$K$16),"",IF(ROUND(SUM($Q192:AA192),1)&gt;=99.5,100,MIN(100,ROUND(SUM($Q192:AA192),1))))</f>
        <v/>
      </c>
      <c r="CU192" s="1" t="str">
        <f aca="false">IF(OR(OR(NOT(AND(ISNUMBER(E192),ISNUMBER(F192))),$J$2=""),12&gt;Reprogramaciones!$K$16),"",IF(ROUND(SUM($Q192:AB192),1)&gt;=99.5,100,MIN(100,ROUND(SUM($Q192:AB192),1))))</f>
        <v/>
      </c>
      <c r="CV192" s="1" t="str">
        <f aca="false">IF(OR(OR(NOT(AND(ISNUMBER(E192),ISNUMBER(F192))),$J$2=""),13&gt;Reprogramaciones!$K$16),"",IF(ROUND(SUM($Q192:AC192),1)&gt;=99.5,100,MIN(100,ROUND(SUM($Q192:AC192),1))))</f>
        <v/>
      </c>
      <c r="CW192" s="1" t="str">
        <f aca="false">IF(OR(OR(NOT(AND(ISNUMBER(E192),ISNUMBER(F192))),$J$2=""),14&gt;Reprogramaciones!$K$16),"",IF(ROUND(SUM($Q192:AD192),1)&gt;=99.5,100,MIN(100,ROUND(SUM($Q192:AD192),1))))</f>
        <v/>
      </c>
      <c r="CX192" s="1" t="str">
        <f aca="false">IF(OR(OR(NOT(AND(ISNUMBER(E192),ISNUMBER(F192))),$J$2=""),15&gt;Reprogramaciones!$K$16),"",IF(ROUND(SUM($Q192:AE192),1)&gt;=99.5,100,MIN(100,ROUND(SUM($Q192:AE192),1))))</f>
        <v/>
      </c>
      <c r="CY192" s="1" t="str">
        <f aca="false">IF(OR(OR(NOT(AND(ISNUMBER(E192),ISNUMBER(F192))),$J$2=""),16&gt;Reprogramaciones!$K$16),"",IF(ROUND(SUM($Q192:AF192),1)&gt;=99.5,100,MIN(100,ROUND(SUM($Q192:AF192),1))))</f>
        <v/>
      </c>
      <c r="CZ192" s="1" t="str">
        <f aca="false">IF(D192&lt;&gt;"",D192,IF(B192&lt;&gt;"","Contractual",CZ191))</f>
        <v>Contractual</v>
      </c>
      <c r="DA192" s="1" t="str">
        <f aca="false">IF(OR(NOT(AND(ISNUMBER(E192),ISNUMBER(F192))),$J$2=""),"",IF(Reprogramaciones!$Q$15&lt;Reprogramaciones!$T$15,0,IF(Reprogramaciones!$S$15&gt;10,MIN(100,SUM($G192:$P192)),MIN(100,SUMPRODUCT((COLUMN($G192:$P192)-COLUMN($G192)+1&lt;Reprogramaciones!$S$15)*$G192:$P192)+N(INDEX($G192:$P192,1,Reprogramaciones!$S$15))*IF(Reprogramaciones!$Q$15&gt;=(Reprogramaciones!$T$15+7*(Reprogramaciones!$S$15-1))+6,1,IF(MAX(0,NETWORKDAYS.INTL(MAX(E192,(Reprogramaciones!$T$15+7*(Reprogramaciones!$S$15-1))),MIN(F192,(Reprogramaciones!$T$15+7*(Reprogramaciones!$S$15-1))+6),11))=0,0,MAX(0,NETWORKDAYS.INTL(MAX(E192,(Reprogramaciones!$T$15+7*(Reprogramaciones!$S$15-1))),MIN(F192,Reprogramaciones!$Q$15),11))/MAX(0,NETWORKDAYS.INTL(MAX(E192,(Reprogramaciones!$T$15+7*(Reprogramaciones!$S$15-1))),MIN(F192,(Reprogramaciones!$T$15+7*(Reprogramaciones!$S$15-1))+6),11))))))))</f>
        <v/>
      </c>
    </row>
    <row r="193" customFormat="false" ht="15" hidden="false" customHeight="false" outlineLevel="0" collapsed="false">
      <c r="A193" s="32"/>
      <c r="B193" s="33"/>
      <c r="C193" s="33"/>
      <c r="D193" s="34"/>
      <c r="E193" s="35"/>
      <c r="F193" s="35"/>
      <c r="G193" s="36" t="str">
        <f aca="false">IF(OR(NOT(AND(ISNUMBER(E193),ISNUMBER(F193))),$J$2=""),"",IF(Reprogramaciones!K$9&lt;E193,0,IF(NETWORKDAYS.INTL(E193,F193,11)=0,IF(Reprogramaciones!K$9&gt;=F193,100,0),ROUND(NETWORKDAYS.INTL(E193,MIN(F193,Reprogramaciones!K$9),11)/NETWORKDAYS.INTL(E193,F193,11)*100,1)))-0)</f>
        <v/>
      </c>
      <c r="H193" s="36" t="str">
        <f aca="false">IF(OR(NOT(AND(ISNUMBER(E193),ISNUMBER(F193))),$J$2=""),"",IF(Reprogramaciones!L$9&lt;E193,0,IF(NETWORKDAYS.INTL(E193,F193,11)=0,IF(Reprogramaciones!L$9&gt;=F193,100,0),ROUND(NETWORKDAYS.INTL(E193,MIN(F193,Reprogramaciones!L$9),11)/NETWORKDAYS.INTL(E193,F193,11)*100,1)))-IF(Reprogramaciones!K$9&lt;E193,0,IF(NETWORKDAYS.INTL(E193,F193,11)=0,IF(Reprogramaciones!K$9&gt;=F193,100,0),ROUND(NETWORKDAYS.INTL(E193,MIN(F193,Reprogramaciones!K$9),11)/NETWORKDAYS.INTL(E193,F193,11)*100,1))))</f>
        <v/>
      </c>
      <c r="I193" s="36" t="str">
        <f aca="false">IF(OR(NOT(AND(ISNUMBER(E193),ISNUMBER(F193))),$J$2=""),"",IF(Reprogramaciones!M$9&lt;E193,0,IF(NETWORKDAYS.INTL(E193,F193,11)=0,IF(Reprogramaciones!M$9&gt;=F193,100,0),ROUND(NETWORKDAYS.INTL(E193,MIN(F193,Reprogramaciones!M$9),11)/NETWORKDAYS.INTL(E193,F193,11)*100,1)))-IF(Reprogramaciones!L$9&lt;E193,0,IF(NETWORKDAYS.INTL(E193,F193,11)=0,IF(Reprogramaciones!L$9&gt;=F193,100,0),ROUND(NETWORKDAYS.INTL(E193,MIN(F193,Reprogramaciones!L$9),11)/NETWORKDAYS.INTL(E193,F193,11)*100,1))))</f>
        <v/>
      </c>
      <c r="J193" s="36" t="str">
        <f aca="false">IF(OR(NOT(AND(ISNUMBER(E193),ISNUMBER(F193))),$J$2=""),"",IF(Reprogramaciones!N$9&lt;E193,0,IF(NETWORKDAYS.INTL(E193,F193,11)=0,IF(Reprogramaciones!N$9&gt;=F193,100,0),ROUND(NETWORKDAYS.INTL(E193,MIN(F193,Reprogramaciones!N$9),11)/NETWORKDAYS.INTL(E193,F193,11)*100,1)))-IF(Reprogramaciones!M$9&lt;E193,0,IF(NETWORKDAYS.INTL(E193,F193,11)=0,IF(Reprogramaciones!M$9&gt;=F193,100,0),ROUND(NETWORKDAYS.INTL(E193,MIN(F193,Reprogramaciones!M$9),11)/NETWORKDAYS.INTL(E193,F193,11)*100,1))))</f>
        <v/>
      </c>
      <c r="K193" s="36" t="str">
        <f aca="false">IF(OR(NOT(AND(ISNUMBER(E193),ISNUMBER(F193))),$J$2=""),"",IF(Reprogramaciones!O$9&lt;E193,0,IF(NETWORKDAYS.INTL(E193,F193,11)=0,IF(Reprogramaciones!O$9&gt;=F193,100,0),ROUND(NETWORKDAYS.INTL(E193,MIN(F193,Reprogramaciones!O$9),11)/NETWORKDAYS.INTL(E193,F193,11)*100,1)))-IF(Reprogramaciones!N$9&lt;E193,0,IF(NETWORKDAYS.INTL(E193,F193,11)=0,IF(Reprogramaciones!N$9&gt;=F193,100,0),ROUND(NETWORKDAYS.INTL(E193,MIN(F193,Reprogramaciones!N$9),11)/NETWORKDAYS.INTL(E193,F193,11)*100,1))))</f>
        <v/>
      </c>
      <c r="L193" s="36" t="str">
        <f aca="false">IF(OR(NOT(AND(ISNUMBER(E193),ISNUMBER(F193))),$J$2=""),"",IF(Reprogramaciones!P$9&lt;E193,0,IF(NETWORKDAYS.INTL(E193,F193,11)=0,IF(Reprogramaciones!P$9&gt;=F193,100,0),ROUND(NETWORKDAYS.INTL(E193,MIN(F193,Reprogramaciones!P$9),11)/NETWORKDAYS.INTL(E193,F193,11)*100,1)))-IF(Reprogramaciones!O$9&lt;E193,0,IF(NETWORKDAYS.INTL(E193,F193,11)=0,IF(Reprogramaciones!O$9&gt;=F193,100,0),ROUND(NETWORKDAYS.INTL(E193,MIN(F193,Reprogramaciones!O$9),11)/NETWORKDAYS.INTL(E193,F193,11)*100,1))))</f>
        <v/>
      </c>
      <c r="M193" s="36" t="str">
        <f aca="false">IF(OR(NOT(AND(ISNUMBER(E193),ISNUMBER(F193))),$J$2=""),"",IF(Reprogramaciones!Q$9&lt;E193,0,IF(NETWORKDAYS.INTL(E193,F193,11)=0,IF(Reprogramaciones!Q$9&gt;=F193,100,0),ROUND(NETWORKDAYS.INTL(E193,MIN(F193,Reprogramaciones!Q$9),11)/NETWORKDAYS.INTL(E193,F193,11)*100,1)))-IF(Reprogramaciones!P$9&lt;E193,0,IF(NETWORKDAYS.INTL(E193,F193,11)=0,IF(Reprogramaciones!P$9&gt;=F193,100,0),ROUND(NETWORKDAYS.INTL(E193,MIN(F193,Reprogramaciones!P$9),11)/NETWORKDAYS.INTL(E193,F193,11)*100,1))))</f>
        <v/>
      </c>
      <c r="N193" s="36" t="str">
        <f aca="false">IF(OR(NOT(AND(ISNUMBER(E193),ISNUMBER(F193))),$J$2=""),"",IF(Reprogramaciones!R$9&lt;E193,0,IF(NETWORKDAYS.INTL(E193,F193,11)=0,IF(Reprogramaciones!R$9&gt;=F193,100,0),ROUND(NETWORKDAYS.INTL(E193,MIN(F193,Reprogramaciones!R$9),11)/NETWORKDAYS.INTL(E193,F193,11)*100,1)))-IF(Reprogramaciones!Q$9&lt;E193,0,IF(NETWORKDAYS.INTL(E193,F193,11)=0,IF(Reprogramaciones!Q$9&gt;=F193,100,0),ROUND(NETWORKDAYS.INTL(E193,MIN(F193,Reprogramaciones!Q$9),11)/NETWORKDAYS.INTL(E193,F193,11)*100,1))))</f>
        <v/>
      </c>
      <c r="O193" s="36" t="str">
        <f aca="false">IF(OR(NOT(AND(ISNUMBER(E193),ISNUMBER(F193))),$J$2=""),"",IF(Reprogramaciones!S$9&lt;E193,0,IF(NETWORKDAYS.INTL(E193,F193,11)=0,IF(Reprogramaciones!S$9&gt;=F193,100,0),ROUND(NETWORKDAYS.INTL(E193,MIN(F193,Reprogramaciones!S$9),11)/NETWORKDAYS.INTL(E193,F193,11)*100,1)))-IF(Reprogramaciones!R$9&lt;E193,0,IF(NETWORKDAYS.INTL(E193,F193,11)=0,IF(Reprogramaciones!R$9&gt;=F193,100,0),ROUND(NETWORKDAYS.INTL(E193,MIN(F193,Reprogramaciones!R$9),11)/NETWORKDAYS.INTL(E193,F193,11)*100,1))))</f>
        <v/>
      </c>
      <c r="P193" s="36" t="str">
        <f aca="false">IF(OR(NOT(AND(ISNUMBER(E193),ISNUMBER(F193))),$J$2=""),"",IF(Reprogramaciones!T$9&lt;E193,0,IF(NETWORKDAYS.INTL(E193,F193,11)=0,IF(Reprogramaciones!T$9&gt;=F193,100,0),ROUND(NETWORKDAYS.INTL(E193,MIN(F193,Reprogramaciones!T$9),11)/NETWORKDAYS.INTL(E193,F193,11)*100,1)))-IF(Reprogramaciones!S$9&lt;E193,0,IF(NETWORKDAYS.INTL(E193,F193,11)=0,IF(Reprogramaciones!S$9&gt;=F193,100,0),ROUND(NETWORKDAYS.INTL(E193,MIN(F193,Reprogramaciones!S$9),11)/NETWORKDAYS.INTL(E193,F193,11)*100,1))))</f>
        <v/>
      </c>
      <c r="Q193" s="37"/>
      <c r="R193" s="37"/>
      <c r="S193" s="37"/>
      <c r="T193" s="37"/>
      <c r="U193" s="37"/>
      <c r="V193" s="37"/>
      <c r="W193" s="37"/>
      <c r="X193" s="37"/>
      <c r="Y193" s="37"/>
      <c r="Z193" s="37"/>
      <c r="AA193" s="37"/>
      <c r="AB193" s="37"/>
      <c r="AC193" s="37"/>
      <c r="AD193" s="37"/>
      <c r="AE193" s="37"/>
      <c r="AF193" s="37"/>
      <c r="AG193" s="38" t="str">
        <f aca="false">IF(AND(ISNUMBER(E193),ISNUMBER(F193)),NETWORKDAYS.INTL(E193,F193,11),"")</f>
        <v/>
      </c>
      <c r="AH193" s="38" t="str">
        <f aca="false">IF(OR(NOT(AND(ISNUMBER(E193),ISNUMBER(F193))),$J$2=""),"",IF(Reprogramaciones!$P$15&lt;Reprogramaciones!$T$15,0,IF(Reprogramaciones!$R$15&gt;10,MIN(100,SUM($G193:$P193)),MIN(100,SUMPRODUCT((COLUMN($G193:$P193)-COLUMN($G193)+1&lt;Reprogramaciones!$R$15)*$G193:$P193)+N(INDEX($G193:$P193,1,Reprogramaciones!$R$15))*IF(Reprogramaciones!$P$15&gt;=(Reprogramaciones!$T$15+7*(Reprogramaciones!$R$15-1))+6,1,IF(MAX(0,NETWORKDAYS.INTL(MAX(E193,(Reprogramaciones!$T$15+7*(Reprogramaciones!$R$15-1))),MIN(F193,(Reprogramaciones!$T$15+7*(Reprogramaciones!$R$15-1))+6),11))=0,0,MAX(0,NETWORKDAYS.INTL(MAX(E193,(Reprogramaciones!$T$15+7*(Reprogramaciones!$R$15-1))),MIN(F193,Reprogramaciones!$P$15),11))/MAX(0,NETWORKDAYS.INTL(MAX(E193,(Reprogramaciones!$T$15+7*(Reprogramaciones!$R$15-1))),MIN(F193,(Reprogramaciones!$T$15+7*(Reprogramaciones!$R$15-1))+6),11))))))))</f>
        <v/>
      </c>
      <c r="AI193" s="38" t="str">
        <f aca="false">IF(COUNT($Q193:$AF193)=0,"",IF(ROUND(SUM($Q193:$AF193),1)&gt;=99.5,100,MIN(100,ROUND(SUM($Q193:$AF193),1))))</f>
        <v/>
      </c>
      <c r="AJ193" s="38" t="str">
        <f aca="false">IF(OR(AH193="",AI193=""),"",AI193-AH193)</f>
        <v/>
      </c>
      <c r="AK193" s="39" t="str">
        <f aca="true">IF(AH193="","",IF(OR(Ficha!$C$10="Suspendida",Ficha!$C$10="Cancelada"),Ficha!$C$10,IF(AND(AI193&lt;&gt;"",N(AI193)&gt;=100),"Completada",IF(AND(E193&gt;TODAY(),N(AI193)=0),"Por iniciar",IF(N(AI193)+0.5&lt;AH193,"Retrasada",IF(N(AI193)+0.5&lt;DA193,IF(Reprogramaciones!$K$15&gt;0,"Al día · Sem "&amp;Reprogramaciones!$K$15&amp;" en curso","Al día · en curso"),"A tiempo"))))))</f>
        <v/>
      </c>
      <c r="AL193" s="39" t="str">
        <f aca="true">IF(AND(A193="",AND(B193="",C193="",E193="",F193="",COUNT(Q193:AF193)=0)),"",IF(AND(B193="",C193="",E193="",F193="",COUNT(Q193:AF193)=0),"Falta la partida o subpartida",IF(AND(A193&lt;&gt;"",COUNTIF($A$6:$A$305,A193)&gt;1),"Ítem repetido",IF(AND(C193="",E193="",F193="",COUNT(Q193:AF193)=0),"Título de partida",IF(OR(E193="",F193=""),"Faltan fechas",IF(OR(ISTEXT(E193),ISTEXT(F193)),"Fecha escrita como texto: usa dd/mm/aaaa",IF(F193&lt;E193,"Fin antes del inicio",IF(IF($J$2="",FALSE(),OR(E193&lt;$J$2,F193&gt;Reprogramaciones!$T$15+69)),"Fuera de las 10 semanas",IF(ABS(SUM(G193:P193)-100)&gt;0.5,"La meta no suma 100%",IF(ROUND(SUM(Q193:AF193),1)&gt;100.5,"El avance pasa de 100%",IF(MIN(Q193:AF193)&lt;0,"Avance negativo",IF(COUNTA(Q193:AF193)&gt;COUNT(Q193:AF193),"Avance escrito como texto",IF(SUMPRODUCT((Q193:AF193&gt;0)*(Q193:AF193&lt;1))&gt;0,"Avance menor a 1: escribe 50, no 50%",IF(SUMPRODUCT(ISNUMBER(Q193:AF193)*(Reprogramaciones!$K$8:$Z$8&gt;TODAY()))&gt;0,"Avance en semana que aún no llega",IF(AND(N(Reprogramaciones!$E$21)&gt;0,F193&gt;Reprogramaciones!$E$21),"Pasa el fin de la obra: registra una reprogramación",IF(AND(N(Reprogramaciones!$E$21)&gt;0,SUMPRODUCT(ISNUMBER(Q193:AF193)*(Reprogramaciones!$K$8:$Z$8&gt;Reprogramaciones!$E$21))&gt;0),"Avance después del fin de la obra: registra una reprogramación por atraso","OK"))))))))))))))))</f>
        <v/>
      </c>
      <c r="AM193" s="40" t="str">
        <f aca="false">IF(OR(OR(NOT(AND(ISNUMBER(E193),ISNUMBER(F193))),$J$2=""),1&gt;MAX(1,Reprogramaciones!$U$15)),"",IF(Reprogramaciones!K$12&gt;=7,"",IF(OR(BT193-N(0)&gt;0.05,N(Q193)&gt;0),ROUNDDOWN(ROUND(BT193,6),0)&amp;"%"&amp;IF(CJ193="",""," / "&amp;CJ193&amp;"%"),IF(AND(N(0)&gt;=99.95,CJ193&lt;&gt;"",N(CJ193)&lt;100),"Pend. "&amp;CJ193&amp;"%",""))))</f>
        <v/>
      </c>
      <c r="AN193" s="40" t="str">
        <f aca="false">IF(OR(OR(NOT(AND(ISNUMBER(E193),ISNUMBER(F193))),$J$2=""),2&gt;MAX(1,Reprogramaciones!$U$15)),"",IF(Reprogramaciones!L$12&gt;=7,"",IF(OR(BU193-N(BT193)&gt;0.05,N(R193)&gt;0),ROUNDDOWN(ROUND(BU193,6),0)&amp;"%"&amp;IF(CK193="",""," / "&amp;CK193&amp;"%"),IF(AND(N(BT193)&gt;=99.95,CK193&lt;&gt;"",N(CK193)&lt;100),"Pend. "&amp;CK193&amp;"%",""))))</f>
        <v/>
      </c>
      <c r="AO193" s="40" t="str">
        <f aca="false">IF(OR(OR(NOT(AND(ISNUMBER(E193),ISNUMBER(F193))),$J$2=""),3&gt;MAX(1,Reprogramaciones!$U$15)),"",IF(Reprogramaciones!M$12&gt;=7,"",IF(OR(BV193-N(BU193)&gt;0.05,N(S193)&gt;0),ROUNDDOWN(ROUND(BV193,6),0)&amp;"%"&amp;IF(CL193="",""," / "&amp;CL193&amp;"%"),IF(AND(N(BU193)&gt;=99.95,CL193&lt;&gt;"",N(CL193)&lt;100),"Pend. "&amp;CL193&amp;"%",""))))</f>
        <v/>
      </c>
      <c r="AP193" s="40" t="str">
        <f aca="false">IF(OR(OR(NOT(AND(ISNUMBER(E193),ISNUMBER(F193))),$J$2=""),4&gt;MAX(1,Reprogramaciones!$U$15)),"",IF(Reprogramaciones!N$12&gt;=7,"",IF(OR(BW193-N(BV193)&gt;0.05,N(T193)&gt;0),ROUNDDOWN(ROUND(BW193,6),0)&amp;"%"&amp;IF(CM193="",""," / "&amp;CM193&amp;"%"),IF(AND(N(BV193)&gt;=99.95,CM193&lt;&gt;"",N(CM193)&lt;100),"Pend. "&amp;CM193&amp;"%",""))))</f>
        <v/>
      </c>
      <c r="AQ193" s="40" t="str">
        <f aca="false">IF(OR(OR(NOT(AND(ISNUMBER(E193),ISNUMBER(F193))),$J$2=""),5&gt;MAX(1,Reprogramaciones!$U$15)),"",IF(Reprogramaciones!O$12&gt;=7,"",IF(OR(BX193-N(BW193)&gt;0.05,N(U193)&gt;0),ROUNDDOWN(ROUND(BX193,6),0)&amp;"%"&amp;IF(CN193="",""," / "&amp;CN193&amp;"%"),IF(AND(N(BW193)&gt;=99.95,CN193&lt;&gt;"",N(CN193)&lt;100),"Pend. "&amp;CN193&amp;"%",""))))</f>
        <v/>
      </c>
      <c r="AR193" s="40" t="str">
        <f aca="false">IF(OR(OR(NOT(AND(ISNUMBER(E193),ISNUMBER(F193))),$J$2=""),6&gt;MAX(1,Reprogramaciones!$U$15)),"",IF(Reprogramaciones!P$12&gt;=7,"",IF(OR(BY193-N(BX193)&gt;0.05,N(V193)&gt;0),ROUNDDOWN(ROUND(BY193,6),0)&amp;"%"&amp;IF(CO193="",""," / "&amp;CO193&amp;"%"),IF(AND(N(BX193)&gt;=99.95,CO193&lt;&gt;"",N(CO193)&lt;100),"Pend. "&amp;CO193&amp;"%",""))))</f>
        <v/>
      </c>
      <c r="AS193" s="40" t="str">
        <f aca="false">IF(OR(OR(NOT(AND(ISNUMBER(E193),ISNUMBER(F193))),$J$2=""),7&gt;MAX(1,Reprogramaciones!$U$15)),"",IF(Reprogramaciones!Q$12&gt;=7,"",IF(OR(BZ193-N(BY193)&gt;0.05,N(W193)&gt;0),ROUNDDOWN(ROUND(BZ193,6),0)&amp;"%"&amp;IF(CP193="",""," / "&amp;CP193&amp;"%"),IF(AND(N(BY193)&gt;=99.95,CP193&lt;&gt;"",N(CP193)&lt;100),"Pend. "&amp;CP193&amp;"%",""))))</f>
        <v/>
      </c>
      <c r="AT193" s="40" t="str">
        <f aca="false">IF(OR(OR(NOT(AND(ISNUMBER(E193),ISNUMBER(F193))),$J$2=""),8&gt;MAX(1,Reprogramaciones!$U$15)),"",IF(Reprogramaciones!R$12&gt;=7,"",IF(OR(CA193-N(BZ193)&gt;0.05,N(X193)&gt;0),ROUNDDOWN(ROUND(CA193,6),0)&amp;"%"&amp;IF(CQ193="",""," / "&amp;CQ193&amp;"%"),IF(AND(N(BZ193)&gt;=99.95,CQ193&lt;&gt;"",N(CQ193)&lt;100),"Pend. "&amp;CQ193&amp;"%",""))))</f>
        <v/>
      </c>
      <c r="AU193" s="40" t="str">
        <f aca="false">IF(OR(OR(NOT(AND(ISNUMBER(E193),ISNUMBER(F193))),$J$2=""),9&gt;MAX(1,Reprogramaciones!$U$15)),"",IF(Reprogramaciones!S$12&gt;=7,"",IF(OR(CB193-N(CA193)&gt;0.05,N(Y193)&gt;0),ROUNDDOWN(ROUND(CB193,6),0)&amp;"%"&amp;IF(CR193="",""," / "&amp;CR193&amp;"%"),IF(AND(N(CA193)&gt;=99.95,CR193&lt;&gt;"",N(CR193)&lt;100),"Pend. "&amp;CR193&amp;"%",""))))</f>
        <v/>
      </c>
      <c r="AV193" s="40" t="str">
        <f aca="false">IF(OR(OR(NOT(AND(ISNUMBER(E193),ISNUMBER(F193))),$J$2=""),10&gt;MAX(1,Reprogramaciones!$U$15)),"",IF(Reprogramaciones!T$12&gt;=7,"",IF(OR(CC193-N(CB193)&gt;0.05,N(Z193)&gt;0),ROUNDDOWN(ROUND(CC193,6),0)&amp;"%"&amp;IF(CS193="",""," / "&amp;CS193&amp;"%"),IF(AND(N(CB193)&gt;=99.95,CS193&lt;&gt;"",N(CS193)&lt;100),"Pend. "&amp;CS193&amp;"%",""))))</f>
        <v/>
      </c>
      <c r="AW193" s="40" t="str">
        <f aca="false">IF(OR(OR(NOT(AND(ISNUMBER(E193),ISNUMBER(F193))),$J$2=""),11&gt;MAX(1,Reprogramaciones!$U$15)),"",IF(Reprogramaciones!U$12&gt;=7,"",IF(OR(CD193-N(CC193)&gt;0.05,N(AA193)&gt;0),ROUNDDOWN(ROUND(CD193,6),0)&amp;"%"&amp;IF(CT193="",""," / "&amp;CT193&amp;"%"),IF(AND(N(CC193)&gt;=99.95,CT193&lt;&gt;"",N(CT193)&lt;100),"Pend. "&amp;CT193&amp;"%",""))))</f>
        <v/>
      </c>
      <c r="AX193" s="40" t="str">
        <f aca="false">IF(OR(OR(NOT(AND(ISNUMBER(E193),ISNUMBER(F193))),$J$2=""),12&gt;MAX(1,Reprogramaciones!$U$15)),"",IF(Reprogramaciones!V$12&gt;=7,"",IF(OR(CE193-N(CD193)&gt;0.05,N(AB193)&gt;0),ROUNDDOWN(ROUND(CE193,6),0)&amp;"%"&amp;IF(CU193="",""," / "&amp;CU193&amp;"%"),IF(AND(N(CD193)&gt;=99.95,CU193&lt;&gt;"",N(CU193)&lt;100),"Pend. "&amp;CU193&amp;"%",""))))</f>
        <v/>
      </c>
      <c r="AY193" s="40" t="str">
        <f aca="false">IF(OR(OR(NOT(AND(ISNUMBER(E193),ISNUMBER(F193))),$J$2=""),13&gt;MAX(1,Reprogramaciones!$U$15)),"",IF(Reprogramaciones!W$12&gt;=7,"",IF(OR(CF193-N(CE193)&gt;0.05,N(AC193)&gt;0),ROUNDDOWN(ROUND(CF193,6),0)&amp;"%"&amp;IF(CV193="",""," / "&amp;CV193&amp;"%"),IF(AND(N(CE193)&gt;=99.95,CV193&lt;&gt;"",N(CV193)&lt;100),"Pend. "&amp;CV193&amp;"%",""))))</f>
        <v/>
      </c>
      <c r="AZ193" s="40" t="str">
        <f aca="false">IF(OR(OR(NOT(AND(ISNUMBER(E193),ISNUMBER(F193))),$J$2=""),14&gt;MAX(1,Reprogramaciones!$U$15)),"",IF(Reprogramaciones!X$12&gt;=7,"",IF(OR(CG193-N(CF193)&gt;0.05,N(AD193)&gt;0),ROUNDDOWN(ROUND(CG193,6),0)&amp;"%"&amp;IF(CW193="",""," / "&amp;CW193&amp;"%"),IF(AND(N(CF193)&gt;=99.95,CW193&lt;&gt;"",N(CW193)&lt;100),"Pend. "&amp;CW193&amp;"%",""))))</f>
        <v/>
      </c>
      <c r="BA193" s="40" t="str">
        <f aca="false">IF(OR(OR(NOT(AND(ISNUMBER(E193),ISNUMBER(F193))),$J$2=""),15&gt;MAX(1,Reprogramaciones!$U$15)),"",IF(Reprogramaciones!Y$12&gt;=7,"",IF(OR(CH193-N(CG193)&gt;0.05,N(AE193)&gt;0),ROUNDDOWN(ROUND(CH193,6),0)&amp;"%"&amp;IF(CX193="",""," / "&amp;CX193&amp;"%"),IF(AND(N(CG193)&gt;=99.95,CX193&lt;&gt;"",N(CX193)&lt;100),"Pend. "&amp;CX193&amp;"%",""))))</f>
        <v/>
      </c>
      <c r="BB193" s="40" t="str">
        <f aca="false">IF(OR(OR(NOT(AND(ISNUMBER(E193),ISNUMBER(F193))),$J$2=""),16&gt;MAX(1,Reprogramaciones!$U$15)),"",IF(Reprogramaciones!Z$12&gt;=7,"",IF(OR(CI193-N(CH193)&gt;0.05,N(AF193)&gt;0),ROUNDDOWN(ROUND(CI193,6),0)&amp;"%"&amp;IF(CY193="",""," / "&amp;CY193&amp;"%"),IF(AND(N(CH193)&gt;=99.95,CY193&lt;&gt;"",N(CY193)&lt;100),"Pend. "&amp;CY193&amp;"%",""))))</f>
        <v/>
      </c>
      <c r="BC193" s="31" t="n">
        <f aca="false">IF(AND(ISNUMBER(E193),ISNUMBER(F193)),MAX(1,NETWORKDAYS.INTL(E193,F193,11)),0)</f>
        <v>0</v>
      </c>
      <c r="BD193" s="1" t="str">
        <f aca="false">IF(OR(NOT(AND(ISNUMBER(E193),ISNUMBER(F193))),$J$2=""),"",MIN(100,ROUND(SUM($G193:G193),1)))</f>
        <v/>
      </c>
      <c r="BE193" s="1" t="str">
        <f aca="false">IF(OR(NOT(AND(ISNUMBER(E193),ISNUMBER(F193))),$J$2=""),"",MIN(100,ROUND(SUM($G193:H193),1)))</f>
        <v/>
      </c>
      <c r="BF193" s="1" t="str">
        <f aca="false">IF(OR(NOT(AND(ISNUMBER(E193),ISNUMBER(F193))),$J$2=""),"",MIN(100,ROUND(SUM($G193:I193),1)))</f>
        <v/>
      </c>
      <c r="BG193" s="1" t="str">
        <f aca="false">IF(OR(NOT(AND(ISNUMBER(E193),ISNUMBER(F193))),$J$2=""),"",MIN(100,ROUND(SUM($G193:J193),1)))</f>
        <v/>
      </c>
      <c r="BH193" s="1" t="str">
        <f aca="false">IF(OR(NOT(AND(ISNUMBER(E193),ISNUMBER(F193))),$J$2=""),"",MIN(100,ROUND(SUM($G193:K193),1)))</f>
        <v/>
      </c>
      <c r="BI193" s="1" t="str">
        <f aca="false">IF(OR(NOT(AND(ISNUMBER(E193),ISNUMBER(F193))),$J$2=""),"",MIN(100,ROUND(SUM($G193:L193),1)))</f>
        <v/>
      </c>
      <c r="BJ193" s="1" t="str">
        <f aca="false">IF(OR(NOT(AND(ISNUMBER(E193),ISNUMBER(F193))),$J$2=""),"",MIN(100,ROUND(SUM($G193:M193),1)))</f>
        <v/>
      </c>
      <c r="BK193" s="1" t="str">
        <f aca="false">IF(OR(NOT(AND(ISNUMBER(E193),ISNUMBER(F193))),$J$2=""),"",MIN(100,ROUND(SUM($G193:N193),1)))</f>
        <v/>
      </c>
      <c r="BL193" s="1" t="str">
        <f aca="false">IF(OR(NOT(AND(ISNUMBER(E193),ISNUMBER(F193))),$J$2=""),"",MIN(100,ROUND(SUM($G193:O193),1)))</f>
        <v/>
      </c>
      <c r="BM193" s="1" t="str">
        <f aca="false">IF(OR(NOT(AND(ISNUMBER(E193),ISNUMBER(F193))),$J$2=""),"",MIN(100,ROUND(SUM($G193:P193),1)))</f>
        <v/>
      </c>
      <c r="BN193" s="1" t="str">
        <f aca="false">IF(OR(NOT(AND(ISNUMBER(E193),ISNUMBER(F193))),$J$2=""),"",MIN(100,ROUND(SUM($G193:P193),1)))</f>
        <v/>
      </c>
      <c r="BO193" s="1" t="str">
        <f aca="false">IF(OR(NOT(AND(ISNUMBER(E193),ISNUMBER(F193))),$J$2=""),"",MIN(100,ROUND(SUM($G193:P193),1)))</f>
        <v/>
      </c>
      <c r="BP193" s="1" t="str">
        <f aca="false">IF(OR(NOT(AND(ISNUMBER(E193),ISNUMBER(F193))),$J$2=""),"",MIN(100,ROUND(SUM($G193:P193),1)))</f>
        <v/>
      </c>
      <c r="BQ193" s="1" t="str">
        <f aca="false">IF(OR(NOT(AND(ISNUMBER(E193),ISNUMBER(F193))),$J$2=""),"",MIN(100,ROUND(SUM($G193:P193),1)))</f>
        <v/>
      </c>
      <c r="BR193" s="1" t="str">
        <f aca="false">IF(OR(NOT(AND(ISNUMBER(E193),ISNUMBER(F193))),$J$2=""),"",MIN(100,ROUND(SUM($G193:P193),1)))</f>
        <v/>
      </c>
      <c r="BS193" s="1" t="str">
        <f aca="false">IF(OR(NOT(AND(ISNUMBER(E193),ISNUMBER(F193))),$J$2=""),"",MIN(100,ROUND(SUM($G193:P193),1)))</f>
        <v/>
      </c>
      <c r="BT193" s="1" t="str">
        <f aca="false">IF(OR(NOT(AND(ISNUMBER(E193),ISNUMBER(F193))),$J$2=""),"",IF(Reprogramaciones!K$13&lt;Reprogramaciones!$T$15,0,IF(Reprogramaciones!K$14&gt;10,MIN(100,SUM($G193:$P193)),MIN(100,SUMPRODUCT((COLUMN($G193:$P193)-COLUMN($G193)+1&lt;Reprogramaciones!K$14)*$G193:$P193)+N(INDEX($G193:$P193,1,Reprogramaciones!K$14))*IF(Reprogramaciones!K$13&gt;=(Reprogramaciones!$T$15+7*(Reprogramaciones!K$14-1))+6,1,IF(MAX(0,NETWORKDAYS.INTL(MAX(E193,(Reprogramaciones!$T$15+7*(Reprogramaciones!K$14-1))),MIN(F193,(Reprogramaciones!$T$15+7*(Reprogramaciones!K$14-1))+6),11))=0,0,MAX(0,NETWORKDAYS.INTL(MAX(E193,(Reprogramaciones!$T$15+7*(Reprogramaciones!K$14-1))),MIN(F193,Reprogramaciones!K$13),11))/MAX(0,NETWORKDAYS.INTL(MAX(E193,(Reprogramaciones!$T$15+7*(Reprogramaciones!K$14-1))),MIN(F193,(Reprogramaciones!$T$15+7*(Reprogramaciones!K$14-1))+6),11))))))))</f>
        <v/>
      </c>
      <c r="BU193" s="1" t="str">
        <f aca="false">IF(OR(NOT(AND(ISNUMBER(E193),ISNUMBER(F193))),$J$2=""),"",IF(Reprogramaciones!L$13&lt;Reprogramaciones!$T$15,0,IF(Reprogramaciones!L$14&gt;10,MIN(100,SUM($G193:$P193)),MIN(100,SUMPRODUCT((COLUMN($G193:$P193)-COLUMN($G193)+1&lt;Reprogramaciones!L$14)*$G193:$P193)+N(INDEX($G193:$P193,1,Reprogramaciones!L$14))*IF(Reprogramaciones!L$13&gt;=(Reprogramaciones!$T$15+7*(Reprogramaciones!L$14-1))+6,1,IF(MAX(0,NETWORKDAYS.INTL(MAX(E193,(Reprogramaciones!$T$15+7*(Reprogramaciones!L$14-1))),MIN(F193,(Reprogramaciones!$T$15+7*(Reprogramaciones!L$14-1))+6),11))=0,0,MAX(0,NETWORKDAYS.INTL(MAX(E193,(Reprogramaciones!$T$15+7*(Reprogramaciones!L$14-1))),MIN(F193,Reprogramaciones!L$13),11))/MAX(0,NETWORKDAYS.INTL(MAX(E193,(Reprogramaciones!$T$15+7*(Reprogramaciones!L$14-1))),MIN(F193,(Reprogramaciones!$T$15+7*(Reprogramaciones!L$14-1))+6),11))))))))</f>
        <v/>
      </c>
      <c r="BV193" s="1" t="str">
        <f aca="false">IF(OR(NOT(AND(ISNUMBER(E193),ISNUMBER(F193))),$J$2=""),"",IF(Reprogramaciones!M$13&lt;Reprogramaciones!$T$15,0,IF(Reprogramaciones!M$14&gt;10,MIN(100,SUM($G193:$P193)),MIN(100,SUMPRODUCT((COLUMN($G193:$P193)-COLUMN($G193)+1&lt;Reprogramaciones!M$14)*$G193:$P193)+N(INDEX($G193:$P193,1,Reprogramaciones!M$14))*IF(Reprogramaciones!M$13&gt;=(Reprogramaciones!$T$15+7*(Reprogramaciones!M$14-1))+6,1,IF(MAX(0,NETWORKDAYS.INTL(MAX(E193,(Reprogramaciones!$T$15+7*(Reprogramaciones!M$14-1))),MIN(F193,(Reprogramaciones!$T$15+7*(Reprogramaciones!M$14-1))+6),11))=0,0,MAX(0,NETWORKDAYS.INTL(MAX(E193,(Reprogramaciones!$T$15+7*(Reprogramaciones!M$14-1))),MIN(F193,Reprogramaciones!M$13),11))/MAX(0,NETWORKDAYS.INTL(MAX(E193,(Reprogramaciones!$T$15+7*(Reprogramaciones!M$14-1))),MIN(F193,(Reprogramaciones!$T$15+7*(Reprogramaciones!M$14-1))+6),11))))))))</f>
        <v/>
      </c>
      <c r="BW193" s="1" t="str">
        <f aca="false">IF(OR(NOT(AND(ISNUMBER(E193),ISNUMBER(F193))),$J$2=""),"",IF(Reprogramaciones!N$13&lt;Reprogramaciones!$T$15,0,IF(Reprogramaciones!N$14&gt;10,MIN(100,SUM($G193:$P193)),MIN(100,SUMPRODUCT((COLUMN($G193:$P193)-COLUMN($G193)+1&lt;Reprogramaciones!N$14)*$G193:$P193)+N(INDEX($G193:$P193,1,Reprogramaciones!N$14))*IF(Reprogramaciones!N$13&gt;=(Reprogramaciones!$T$15+7*(Reprogramaciones!N$14-1))+6,1,IF(MAX(0,NETWORKDAYS.INTL(MAX(E193,(Reprogramaciones!$T$15+7*(Reprogramaciones!N$14-1))),MIN(F193,(Reprogramaciones!$T$15+7*(Reprogramaciones!N$14-1))+6),11))=0,0,MAX(0,NETWORKDAYS.INTL(MAX(E193,(Reprogramaciones!$T$15+7*(Reprogramaciones!N$14-1))),MIN(F193,Reprogramaciones!N$13),11))/MAX(0,NETWORKDAYS.INTL(MAX(E193,(Reprogramaciones!$T$15+7*(Reprogramaciones!N$14-1))),MIN(F193,(Reprogramaciones!$T$15+7*(Reprogramaciones!N$14-1))+6),11))))))))</f>
        <v/>
      </c>
      <c r="BX193" s="1" t="str">
        <f aca="false">IF(OR(NOT(AND(ISNUMBER(E193),ISNUMBER(F193))),$J$2=""),"",IF(Reprogramaciones!O$13&lt;Reprogramaciones!$T$15,0,IF(Reprogramaciones!O$14&gt;10,MIN(100,SUM($G193:$P193)),MIN(100,SUMPRODUCT((COLUMN($G193:$P193)-COLUMN($G193)+1&lt;Reprogramaciones!O$14)*$G193:$P193)+N(INDEX($G193:$P193,1,Reprogramaciones!O$14))*IF(Reprogramaciones!O$13&gt;=(Reprogramaciones!$T$15+7*(Reprogramaciones!O$14-1))+6,1,IF(MAX(0,NETWORKDAYS.INTL(MAX(E193,(Reprogramaciones!$T$15+7*(Reprogramaciones!O$14-1))),MIN(F193,(Reprogramaciones!$T$15+7*(Reprogramaciones!O$14-1))+6),11))=0,0,MAX(0,NETWORKDAYS.INTL(MAX(E193,(Reprogramaciones!$T$15+7*(Reprogramaciones!O$14-1))),MIN(F193,Reprogramaciones!O$13),11))/MAX(0,NETWORKDAYS.INTL(MAX(E193,(Reprogramaciones!$T$15+7*(Reprogramaciones!O$14-1))),MIN(F193,(Reprogramaciones!$T$15+7*(Reprogramaciones!O$14-1))+6),11))))))))</f>
        <v/>
      </c>
      <c r="BY193" s="1" t="str">
        <f aca="false">IF(OR(NOT(AND(ISNUMBER(E193),ISNUMBER(F193))),$J$2=""),"",IF(Reprogramaciones!P$13&lt;Reprogramaciones!$T$15,0,IF(Reprogramaciones!P$14&gt;10,MIN(100,SUM($G193:$P193)),MIN(100,SUMPRODUCT((COLUMN($G193:$P193)-COLUMN($G193)+1&lt;Reprogramaciones!P$14)*$G193:$P193)+N(INDEX($G193:$P193,1,Reprogramaciones!P$14))*IF(Reprogramaciones!P$13&gt;=(Reprogramaciones!$T$15+7*(Reprogramaciones!P$14-1))+6,1,IF(MAX(0,NETWORKDAYS.INTL(MAX(E193,(Reprogramaciones!$T$15+7*(Reprogramaciones!P$14-1))),MIN(F193,(Reprogramaciones!$T$15+7*(Reprogramaciones!P$14-1))+6),11))=0,0,MAX(0,NETWORKDAYS.INTL(MAX(E193,(Reprogramaciones!$T$15+7*(Reprogramaciones!P$14-1))),MIN(F193,Reprogramaciones!P$13),11))/MAX(0,NETWORKDAYS.INTL(MAX(E193,(Reprogramaciones!$T$15+7*(Reprogramaciones!P$14-1))),MIN(F193,(Reprogramaciones!$T$15+7*(Reprogramaciones!P$14-1))+6),11))))))))</f>
        <v/>
      </c>
      <c r="BZ193" s="1" t="str">
        <f aca="false">IF(OR(NOT(AND(ISNUMBER(E193),ISNUMBER(F193))),$J$2=""),"",IF(Reprogramaciones!Q$13&lt;Reprogramaciones!$T$15,0,IF(Reprogramaciones!Q$14&gt;10,MIN(100,SUM($G193:$P193)),MIN(100,SUMPRODUCT((COLUMN($G193:$P193)-COLUMN($G193)+1&lt;Reprogramaciones!Q$14)*$G193:$P193)+N(INDEX($G193:$P193,1,Reprogramaciones!Q$14))*IF(Reprogramaciones!Q$13&gt;=(Reprogramaciones!$T$15+7*(Reprogramaciones!Q$14-1))+6,1,IF(MAX(0,NETWORKDAYS.INTL(MAX(E193,(Reprogramaciones!$T$15+7*(Reprogramaciones!Q$14-1))),MIN(F193,(Reprogramaciones!$T$15+7*(Reprogramaciones!Q$14-1))+6),11))=0,0,MAX(0,NETWORKDAYS.INTL(MAX(E193,(Reprogramaciones!$T$15+7*(Reprogramaciones!Q$14-1))),MIN(F193,Reprogramaciones!Q$13),11))/MAX(0,NETWORKDAYS.INTL(MAX(E193,(Reprogramaciones!$T$15+7*(Reprogramaciones!Q$14-1))),MIN(F193,(Reprogramaciones!$T$15+7*(Reprogramaciones!Q$14-1))+6),11))))))))</f>
        <v/>
      </c>
      <c r="CA193" s="1" t="str">
        <f aca="false">IF(OR(NOT(AND(ISNUMBER(E193),ISNUMBER(F193))),$J$2=""),"",IF(Reprogramaciones!R$13&lt;Reprogramaciones!$T$15,0,IF(Reprogramaciones!R$14&gt;10,MIN(100,SUM($G193:$P193)),MIN(100,SUMPRODUCT((COLUMN($G193:$P193)-COLUMN($G193)+1&lt;Reprogramaciones!R$14)*$G193:$P193)+N(INDEX($G193:$P193,1,Reprogramaciones!R$14))*IF(Reprogramaciones!R$13&gt;=(Reprogramaciones!$T$15+7*(Reprogramaciones!R$14-1))+6,1,IF(MAX(0,NETWORKDAYS.INTL(MAX(E193,(Reprogramaciones!$T$15+7*(Reprogramaciones!R$14-1))),MIN(F193,(Reprogramaciones!$T$15+7*(Reprogramaciones!R$14-1))+6),11))=0,0,MAX(0,NETWORKDAYS.INTL(MAX(E193,(Reprogramaciones!$T$15+7*(Reprogramaciones!R$14-1))),MIN(F193,Reprogramaciones!R$13),11))/MAX(0,NETWORKDAYS.INTL(MAX(E193,(Reprogramaciones!$T$15+7*(Reprogramaciones!R$14-1))),MIN(F193,(Reprogramaciones!$T$15+7*(Reprogramaciones!R$14-1))+6),11))))))))</f>
        <v/>
      </c>
      <c r="CB193" s="1" t="str">
        <f aca="false">IF(OR(NOT(AND(ISNUMBER(E193),ISNUMBER(F193))),$J$2=""),"",IF(Reprogramaciones!S$13&lt;Reprogramaciones!$T$15,0,IF(Reprogramaciones!S$14&gt;10,MIN(100,SUM($G193:$P193)),MIN(100,SUMPRODUCT((COLUMN($G193:$P193)-COLUMN($G193)+1&lt;Reprogramaciones!S$14)*$G193:$P193)+N(INDEX($G193:$P193,1,Reprogramaciones!S$14))*IF(Reprogramaciones!S$13&gt;=(Reprogramaciones!$T$15+7*(Reprogramaciones!S$14-1))+6,1,IF(MAX(0,NETWORKDAYS.INTL(MAX(E193,(Reprogramaciones!$T$15+7*(Reprogramaciones!S$14-1))),MIN(F193,(Reprogramaciones!$T$15+7*(Reprogramaciones!S$14-1))+6),11))=0,0,MAX(0,NETWORKDAYS.INTL(MAX(E193,(Reprogramaciones!$T$15+7*(Reprogramaciones!S$14-1))),MIN(F193,Reprogramaciones!S$13),11))/MAX(0,NETWORKDAYS.INTL(MAX(E193,(Reprogramaciones!$T$15+7*(Reprogramaciones!S$14-1))),MIN(F193,(Reprogramaciones!$T$15+7*(Reprogramaciones!S$14-1))+6),11))))))))</f>
        <v/>
      </c>
      <c r="CC193" s="1" t="str">
        <f aca="false">IF(OR(NOT(AND(ISNUMBER(E193),ISNUMBER(F193))),$J$2=""),"",IF(Reprogramaciones!T$13&lt;Reprogramaciones!$T$15,0,IF(Reprogramaciones!T$14&gt;10,MIN(100,SUM($G193:$P193)),MIN(100,SUMPRODUCT((COLUMN($G193:$P193)-COLUMN($G193)+1&lt;Reprogramaciones!T$14)*$G193:$P193)+N(INDEX($G193:$P193,1,Reprogramaciones!T$14))*IF(Reprogramaciones!T$13&gt;=(Reprogramaciones!$T$15+7*(Reprogramaciones!T$14-1))+6,1,IF(MAX(0,NETWORKDAYS.INTL(MAX(E193,(Reprogramaciones!$T$15+7*(Reprogramaciones!T$14-1))),MIN(F193,(Reprogramaciones!$T$15+7*(Reprogramaciones!T$14-1))+6),11))=0,0,MAX(0,NETWORKDAYS.INTL(MAX(E193,(Reprogramaciones!$T$15+7*(Reprogramaciones!T$14-1))),MIN(F193,Reprogramaciones!T$13),11))/MAX(0,NETWORKDAYS.INTL(MAX(E193,(Reprogramaciones!$T$15+7*(Reprogramaciones!T$14-1))),MIN(F193,(Reprogramaciones!$T$15+7*(Reprogramaciones!T$14-1))+6),11))))))))</f>
        <v/>
      </c>
      <c r="CD193" s="1" t="str">
        <f aca="false">IF(OR(NOT(AND(ISNUMBER(E193),ISNUMBER(F193))),$J$2=""),"",IF(Reprogramaciones!U$13&lt;Reprogramaciones!$T$15,0,IF(Reprogramaciones!U$14&gt;10,MIN(100,SUM($G193:$P193)),MIN(100,SUMPRODUCT((COLUMN($G193:$P193)-COLUMN($G193)+1&lt;Reprogramaciones!U$14)*$G193:$P193)+N(INDEX($G193:$P193,1,Reprogramaciones!U$14))*IF(Reprogramaciones!U$13&gt;=(Reprogramaciones!$T$15+7*(Reprogramaciones!U$14-1))+6,1,IF(MAX(0,NETWORKDAYS.INTL(MAX(E193,(Reprogramaciones!$T$15+7*(Reprogramaciones!U$14-1))),MIN(F193,(Reprogramaciones!$T$15+7*(Reprogramaciones!U$14-1))+6),11))=0,0,MAX(0,NETWORKDAYS.INTL(MAX(E193,(Reprogramaciones!$T$15+7*(Reprogramaciones!U$14-1))),MIN(F193,Reprogramaciones!U$13),11))/MAX(0,NETWORKDAYS.INTL(MAX(E193,(Reprogramaciones!$T$15+7*(Reprogramaciones!U$14-1))),MIN(F193,(Reprogramaciones!$T$15+7*(Reprogramaciones!U$14-1))+6),11))))))))</f>
        <v/>
      </c>
      <c r="CE193" s="1" t="str">
        <f aca="false">IF(OR(NOT(AND(ISNUMBER(E193),ISNUMBER(F193))),$J$2=""),"",IF(Reprogramaciones!V$13&lt;Reprogramaciones!$T$15,0,IF(Reprogramaciones!V$14&gt;10,MIN(100,SUM($G193:$P193)),MIN(100,SUMPRODUCT((COLUMN($G193:$P193)-COLUMN($G193)+1&lt;Reprogramaciones!V$14)*$G193:$P193)+N(INDEX($G193:$P193,1,Reprogramaciones!V$14))*IF(Reprogramaciones!V$13&gt;=(Reprogramaciones!$T$15+7*(Reprogramaciones!V$14-1))+6,1,IF(MAX(0,NETWORKDAYS.INTL(MAX(E193,(Reprogramaciones!$T$15+7*(Reprogramaciones!V$14-1))),MIN(F193,(Reprogramaciones!$T$15+7*(Reprogramaciones!V$14-1))+6),11))=0,0,MAX(0,NETWORKDAYS.INTL(MAX(E193,(Reprogramaciones!$T$15+7*(Reprogramaciones!V$14-1))),MIN(F193,Reprogramaciones!V$13),11))/MAX(0,NETWORKDAYS.INTL(MAX(E193,(Reprogramaciones!$T$15+7*(Reprogramaciones!V$14-1))),MIN(F193,(Reprogramaciones!$T$15+7*(Reprogramaciones!V$14-1))+6),11))))))))</f>
        <v/>
      </c>
      <c r="CF193" s="1" t="str">
        <f aca="false">IF(OR(NOT(AND(ISNUMBER(E193),ISNUMBER(F193))),$J$2=""),"",IF(Reprogramaciones!W$13&lt;Reprogramaciones!$T$15,0,IF(Reprogramaciones!W$14&gt;10,MIN(100,SUM($G193:$P193)),MIN(100,SUMPRODUCT((COLUMN($G193:$P193)-COLUMN($G193)+1&lt;Reprogramaciones!W$14)*$G193:$P193)+N(INDEX($G193:$P193,1,Reprogramaciones!W$14))*IF(Reprogramaciones!W$13&gt;=(Reprogramaciones!$T$15+7*(Reprogramaciones!W$14-1))+6,1,IF(MAX(0,NETWORKDAYS.INTL(MAX(E193,(Reprogramaciones!$T$15+7*(Reprogramaciones!W$14-1))),MIN(F193,(Reprogramaciones!$T$15+7*(Reprogramaciones!W$14-1))+6),11))=0,0,MAX(0,NETWORKDAYS.INTL(MAX(E193,(Reprogramaciones!$T$15+7*(Reprogramaciones!W$14-1))),MIN(F193,Reprogramaciones!W$13),11))/MAX(0,NETWORKDAYS.INTL(MAX(E193,(Reprogramaciones!$T$15+7*(Reprogramaciones!W$14-1))),MIN(F193,(Reprogramaciones!$T$15+7*(Reprogramaciones!W$14-1))+6),11))))))))</f>
        <v/>
      </c>
      <c r="CG193" s="1" t="str">
        <f aca="false">IF(OR(NOT(AND(ISNUMBER(E193),ISNUMBER(F193))),$J$2=""),"",IF(Reprogramaciones!X$13&lt;Reprogramaciones!$T$15,0,IF(Reprogramaciones!X$14&gt;10,MIN(100,SUM($G193:$P193)),MIN(100,SUMPRODUCT((COLUMN($G193:$P193)-COLUMN($G193)+1&lt;Reprogramaciones!X$14)*$G193:$P193)+N(INDEX($G193:$P193,1,Reprogramaciones!X$14))*IF(Reprogramaciones!X$13&gt;=(Reprogramaciones!$T$15+7*(Reprogramaciones!X$14-1))+6,1,IF(MAX(0,NETWORKDAYS.INTL(MAX(E193,(Reprogramaciones!$T$15+7*(Reprogramaciones!X$14-1))),MIN(F193,(Reprogramaciones!$T$15+7*(Reprogramaciones!X$14-1))+6),11))=0,0,MAX(0,NETWORKDAYS.INTL(MAX(E193,(Reprogramaciones!$T$15+7*(Reprogramaciones!X$14-1))),MIN(F193,Reprogramaciones!X$13),11))/MAX(0,NETWORKDAYS.INTL(MAX(E193,(Reprogramaciones!$T$15+7*(Reprogramaciones!X$14-1))),MIN(F193,(Reprogramaciones!$T$15+7*(Reprogramaciones!X$14-1))+6),11))))))))</f>
        <v/>
      </c>
      <c r="CH193" s="1" t="str">
        <f aca="false">IF(OR(NOT(AND(ISNUMBER(E193),ISNUMBER(F193))),$J$2=""),"",IF(Reprogramaciones!Y$13&lt;Reprogramaciones!$T$15,0,IF(Reprogramaciones!Y$14&gt;10,MIN(100,SUM($G193:$P193)),MIN(100,SUMPRODUCT((COLUMN($G193:$P193)-COLUMN($G193)+1&lt;Reprogramaciones!Y$14)*$G193:$P193)+N(INDEX($G193:$P193,1,Reprogramaciones!Y$14))*IF(Reprogramaciones!Y$13&gt;=(Reprogramaciones!$T$15+7*(Reprogramaciones!Y$14-1))+6,1,IF(MAX(0,NETWORKDAYS.INTL(MAX(E193,(Reprogramaciones!$T$15+7*(Reprogramaciones!Y$14-1))),MIN(F193,(Reprogramaciones!$T$15+7*(Reprogramaciones!Y$14-1))+6),11))=0,0,MAX(0,NETWORKDAYS.INTL(MAX(E193,(Reprogramaciones!$T$15+7*(Reprogramaciones!Y$14-1))),MIN(F193,Reprogramaciones!Y$13),11))/MAX(0,NETWORKDAYS.INTL(MAX(E193,(Reprogramaciones!$T$15+7*(Reprogramaciones!Y$14-1))),MIN(F193,(Reprogramaciones!$T$15+7*(Reprogramaciones!Y$14-1))+6),11))))))))</f>
        <v/>
      </c>
      <c r="CI193" s="1" t="str">
        <f aca="false">IF(OR(NOT(AND(ISNUMBER(E193),ISNUMBER(F193))),$J$2=""),"",IF(Reprogramaciones!Z$13&lt;Reprogramaciones!$T$15,0,IF(Reprogramaciones!Z$14&gt;10,MIN(100,SUM($G193:$P193)),MIN(100,SUMPRODUCT((COLUMN($G193:$P193)-COLUMN($G193)+1&lt;Reprogramaciones!Z$14)*$G193:$P193)+N(INDEX($G193:$P193,1,Reprogramaciones!Z$14))*IF(Reprogramaciones!Z$13&gt;=(Reprogramaciones!$T$15+7*(Reprogramaciones!Z$14-1))+6,1,IF(MAX(0,NETWORKDAYS.INTL(MAX(E193,(Reprogramaciones!$T$15+7*(Reprogramaciones!Z$14-1))),MIN(F193,(Reprogramaciones!$T$15+7*(Reprogramaciones!Z$14-1))+6),11))=0,0,MAX(0,NETWORKDAYS.INTL(MAX(E193,(Reprogramaciones!$T$15+7*(Reprogramaciones!Z$14-1))),MIN(F193,Reprogramaciones!Z$13),11))/MAX(0,NETWORKDAYS.INTL(MAX(E193,(Reprogramaciones!$T$15+7*(Reprogramaciones!Z$14-1))),MIN(F193,(Reprogramaciones!$T$15+7*(Reprogramaciones!Z$14-1))+6),11))))))))</f>
        <v/>
      </c>
      <c r="CJ193" s="1" t="str">
        <f aca="false">IF(OR(OR(NOT(AND(ISNUMBER(E193),ISNUMBER(F193))),$J$2=""),1&gt;Reprogramaciones!$K$16),"",IF(ROUND(SUM($Q193:Q193),1)&gt;=99.5,100,MIN(100,ROUND(SUM($Q193:Q193),1))))</f>
        <v/>
      </c>
      <c r="CK193" s="1" t="str">
        <f aca="false">IF(OR(OR(NOT(AND(ISNUMBER(E193),ISNUMBER(F193))),$J$2=""),2&gt;Reprogramaciones!$K$16),"",IF(ROUND(SUM($Q193:R193),1)&gt;=99.5,100,MIN(100,ROUND(SUM($Q193:R193),1))))</f>
        <v/>
      </c>
      <c r="CL193" s="1" t="str">
        <f aca="false">IF(OR(OR(NOT(AND(ISNUMBER(E193),ISNUMBER(F193))),$J$2=""),3&gt;Reprogramaciones!$K$16),"",IF(ROUND(SUM($Q193:S193),1)&gt;=99.5,100,MIN(100,ROUND(SUM($Q193:S193),1))))</f>
        <v/>
      </c>
      <c r="CM193" s="1" t="str">
        <f aca="false">IF(OR(OR(NOT(AND(ISNUMBER(E193),ISNUMBER(F193))),$J$2=""),4&gt;Reprogramaciones!$K$16),"",IF(ROUND(SUM($Q193:T193),1)&gt;=99.5,100,MIN(100,ROUND(SUM($Q193:T193),1))))</f>
        <v/>
      </c>
      <c r="CN193" s="1" t="str">
        <f aca="false">IF(OR(OR(NOT(AND(ISNUMBER(E193),ISNUMBER(F193))),$J$2=""),5&gt;Reprogramaciones!$K$16),"",IF(ROUND(SUM($Q193:U193),1)&gt;=99.5,100,MIN(100,ROUND(SUM($Q193:U193),1))))</f>
        <v/>
      </c>
      <c r="CO193" s="1" t="str">
        <f aca="false">IF(OR(OR(NOT(AND(ISNUMBER(E193),ISNUMBER(F193))),$J$2=""),6&gt;Reprogramaciones!$K$16),"",IF(ROUND(SUM($Q193:V193),1)&gt;=99.5,100,MIN(100,ROUND(SUM($Q193:V193),1))))</f>
        <v/>
      </c>
      <c r="CP193" s="1" t="str">
        <f aca="false">IF(OR(OR(NOT(AND(ISNUMBER(E193),ISNUMBER(F193))),$J$2=""),7&gt;Reprogramaciones!$K$16),"",IF(ROUND(SUM($Q193:W193),1)&gt;=99.5,100,MIN(100,ROUND(SUM($Q193:W193),1))))</f>
        <v/>
      </c>
      <c r="CQ193" s="1" t="str">
        <f aca="false">IF(OR(OR(NOT(AND(ISNUMBER(E193),ISNUMBER(F193))),$J$2=""),8&gt;Reprogramaciones!$K$16),"",IF(ROUND(SUM($Q193:X193),1)&gt;=99.5,100,MIN(100,ROUND(SUM($Q193:X193),1))))</f>
        <v/>
      </c>
      <c r="CR193" s="1" t="str">
        <f aca="false">IF(OR(OR(NOT(AND(ISNUMBER(E193),ISNUMBER(F193))),$J$2=""),9&gt;Reprogramaciones!$K$16),"",IF(ROUND(SUM($Q193:Y193),1)&gt;=99.5,100,MIN(100,ROUND(SUM($Q193:Y193),1))))</f>
        <v/>
      </c>
      <c r="CS193" s="1" t="str">
        <f aca="false">IF(OR(OR(NOT(AND(ISNUMBER(E193),ISNUMBER(F193))),$J$2=""),10&gt;Reprogramaciones!$K$16),"",IF(ROUND(SUM($Q193:Z193),1)&gt;=99.5,100,MIN(100,ROUND(SUM($Q193:Z193),1))))</f>
        <v/>
      </c>
      <c r="CT193" s="1" t="str">
        <f aca="false">IF(OR(OR(NOT(AND(ISNUMBER(E193),ISNUMBER(F193))),$J$2=""),11&gt;Reprogramaciones!$K$16),"",IF(ROUND(SUM($Q193:AA193),1)&gt;=99.5,100,MIN(100,ROUND(SUM($Q193:AA193),1))))</f>
        <v/>
      </c>
      <c r="CU193" s="1" t="str">
        <f aca="false">IF(OR(OR(NOT(AND(ISNUMBER(E193),ISNUMBER(F193))),$J$2=""),12&gt;Reprogramaciones!$K$16),"",IF(ROUND(SUM($Q193:AB193),1)&gt;=99.5,100,MIN(100,ROUND(SUM($Q193:AB193),1))))</f>
        <v/>
      </c>
      <c r="CV193" s="1" t="str">
        <f aca="false">IF(OR(OR(NOT(AND(ISNUMBER(E193),ISNUMBER(F193))),$J$2=""),13&gt;Reprogramaciones!$K$16),"",IF(ROUND(SUM($Q193:AC193),1)&gt;=99.5,100,MIN(100,ROUND(SUM($Q193:AC193),1))))</f>
        <v/>
      </c>
      <c r="CW193" s="1" t="str">
        <f aca="false">IF(OR(OR(NOT(AND(ISNUMBER(E193),ISNUMBER(F193))),$J$2=""),14&gt;Reprogramaciones!$K$16),"",IF(ROUND(SUM($Q193:AD193),1)&gt;=99.5,100,MIN(100,ROUND(SUM($Q193:AD193),1))))</f>
        <v/>
      </c>
      <c r="CX193" s="1" t="str">
        <f aca="false">IF(OR(OR(NOT(AND(ISNUMBER(E193),ISNUMBER(F193))),$J$2=""),15&gt;Reprogramaciones!$K$16),"",IF(ROUND(SUM($Q193:AE193),1)&gt;=99.5,100,MIN(100,ROUND(SUM($Q193:AE193),1))))</f>
        <v/>
      </c>
      <c r="CY193" s="1" t="str">
        <f aca="false">IF(OR(OR(NOT(AND(ISNUMBER(E193),ISNUMBER(F193))),$J$2=""),16&gt;Reprogramaciones!$K$16),"",IF(ROUND(SUM($Q193:AF193),1)&gt;=99.5,100,MIN(100,ROUND(SUM($Q193:AF193),1))))</f>
        <v/>
      </c>
      <c r="CZ193" s="1" t="str">
        <f aca="false">IF(D193&lt;&gt;"",D193,IF(B193&lt;&gt;"","Contractual",CZ192))</f>
        <v>Contractual</v>
      </c>
      <c r="DA193" s="1" t="str">
        <f aca="false">IF(OR(NOT(AND(ISNUMBER(E193),ISNUMBER(F193))),$J$2=""),"",IF(Reprogramaciones!$Q$15&lt;Reprogramaciones!$T$15,0,IF(Reprogramaciones!$S$15&gt;10,MIN(100,SUM($G193:$P193)),MIN(100,SUMPRODUCT((COLUMN($G193:$P193)-COLUMN($G193)+1&lt;Reprogramaciones!$S$15)*$G193:$P193)+N(INDEX($G193:$P193,1,Reprogramaciones!$S$15))*IF(Reprogramaciones!$Q$15&gt;=(Reprogramaciones!$T$15+7*(Reprogramaciones!$S$15-1))+6,1,IF(MAX(0,NETWORKDAYS.INTL(MAX(E193,(Reprogramaciones!$T$15+7*(Reprogramaciones!$S$15-1))),MIN(F193,(Reprogramaciones!$T$15+7*(Reprogramaciones!$S$15-1))+6),11))=0,0,MAX(0,NETWORKDAYS.INTL(MAX(E193,(Reprogramaciones!$T$15+7*(Reprogramaciones!$S$15-1))),MIN(F193,Reprogramaciones!$Q$15),11))/MAX(0,NETWORKDAYS.INTL(MAX(E193,(Reprogramaciones!$T$15+7*(Reprogramaciones!$S$15-1))),MIN(F193,(Reprogramaciones!$T$15+7*(Reprogramaciones!$S$15-1))+6),11))))))))</f>
        <v/>
      </c>
    </row>
    <row r="194" customFormat="false" ht="15" hidden="false" customHeight="false" outlineLevel="0" collapsed="false">
      <c r="A194" s="32"/>
      <c r="B194" s="33"/>
      <c r="C194" s="33"/>
      <c r="D194" s="34"/>
      <c r="E194" s="35"/>
      <c r="F194" s="35"/>
      <c r="G194" s="36" t="str">
        <f aca="false">IF(OR(NOT(AND(ISNUMBER(E194),ISNUMBER(F194))),$J$2=""),"",IF(Reprogramaciones!K$9&lt;E194,0,IF(NETWORKDAYS.INTL(E194,F194,11)=0,IF(Reprogramaciones!K$9&gt;=F194,100,0),ROUND(NETWORKDAYS.INTL(E194,MIN(F194,Reprogramaciones!K$9),11)/NETWORKDAYS.INTL(E194,F194,11)*100,1)))-0)</f>
        <v/>
      </c>
      <c r="H194" s="36" t="str">
        <f aca="false">IF(OR(NOT(AND(ISNUMBER(E194),ISNUMBER(F194))),$J$2=""),"",IF(Reprogramaciones!L$9&lt;E194,0,IF(NETWORKDAYS.INTL(E194,F194,11)=0,IF(Reprogramaciones!L$9&gt;=F194,100,0),ROUND(NETWORKDAYS.INTL(E194,MIN(F194,Reprogramaciones!L$9),11)/NETWORKDAYS.INTL(E194,F194,11)*100,1)))-IF(Reprogramaciones!K$9&lt;E194,0,IF(NETWORKDAYS.INTL(E194,F194,11)=0,IF(Reprogramaciones!K$9&gt;=F194,100,0),ROUND(NETWORKDAYS.INTL(E194,MIN(F194,Reprogramaciones!K$9),11)/NETWORKDAYS.INTL(E194,F194,11)*100,1))))</f>
        <v/>
      </c>
      <c r="I194" s="36" t="str">
        <f aca="false">IF(OR(NOT(AND(ISNUMBER(E194),ISNUMBER(F194))),$J$2=""),"",IF(Reprogramaciones!M$9&lt;E194,0,IF(NETWORKDAYS.INTL(E194,F194,11)=0,IF(Reprogramaciones!M$9&gt;=F194,100,0),ROUND(NETWORKDAYS.INTL(E194,MIN(F194,Reprogramaciones!M$9),11)/NETWORKDAYS.INTL(E194,F194,11)*100,1)))-IF(Reprogramaciones!L$9&lt;E194,0,IF(NETWORKDAYS.INTL(E194,F194,11)=0,IF(Reprogramaciones!L$9&gt;=F194,100,0),ROUND(NETWORKDAYS.INTL(E194,MIN(F194,Reprogramaciones!L$9),11)/NETWORKDAYS.INTL(E194,F194,11)*100,1))))</f>
        <v/>
      </c>
      <c r="J194" s="36" t="str">
        <f aca="false">IF(OR(NOT(AND(ISNUMBER(E194),ISNUMBER(F194))),$J$2=""),"",IF(Reprogramaciones!N$9&lt;E194,0,IF(NETWORKDAYS.INTL(E194,F194,11)=0,IF(Reprogramaciones!N$9&gt;=F194,100,0),ROUND(NETWORKDAYS.INTL(E194,MIN(F194,Reprogramaciones!N$9),11)/NETWORKDAYS.INTL(E194,F194,11)*100,1)))-IF(Reprogramaciones!M$9&lt;E194,0,IF(NETWORKDAYS.INTL(E194,F194,11)=0,IF(Reprogramaciones!M$9&gt;=F194,100,0),ROUND(NETWORKDAYS.INTL(E194,MIN(F194,Reprogramaciones!M$9),11)/NETWORKDAYS.INTL(E194,F194,11)*100,1))))</f>
        <v/>
      </c>
      <c r="K194" s="36" t="str">
        <f aca="false">IF(OR(NOT(AND(ISNUMBER(E194),ISNUMBER(F194))),$J$2=""),"",IF(Reprogramaciones!O$9&lt;E194,0,IF(NETWORKDAYS.INTL(E194,F194,11)=0,IF(Reprogramaciones!O$9&gt;=F194,100,0),ROUND(NETWORKDAYS.INTL(E194,MIN(F194,Reprogramaciones!O$9),11)/NETWORKDAYS.INTL(E194,F194,11)*100,1)))-IF(Reprogramaciones!N$9&lt;E194,0,IF(NETWORKDAYS.INTL(E194,F194,11)=0,IF(Reprogramaciones!N$9&gt;=F194,100,0),ROUND(NETWORKDAYS.INTL(E194,MIN(F194,Reprogramaciones!N$9),11)/NETWORKDAYS.INTL(E194,F194,11)*100,1))))</f>
        <v/>
      </c>
      <c r="L194" s="36" t="str">
        <f aca="false">IF(OR(NOT(AND(ISNUMBER(E194),ISNUMBER(F194))),$J$2=""),"",IF(Reprogramaciones!P$9&lt;E194,0,IF(NETWORKDAYS.INTL(E194,F194,11)=0,IF(Reprogramaciones!P$9&gt;=F194,100,0),ROUND(NETWORKDAYS.INTL(E194,MIN(F194,Reprogramaciones!P$9),11)/NETWORKDAYS.INTL(E194,F194,11)*100,1)))-IF(Reprogramaciones!O$9&lt;E194,0,IF(NETWORKDAYS.INTL(E194,F194,11)=0,IF(Reprogramaciones!O$9&gt;=F194,100,0),ROUND(NETWORKDAYS.INTL(E194,MIN(F194,Reprogramaciones!O$9),11)/NETWORKDAYS.INTL(E194,F194,11)*100,1))))</f>
        <v/>
      </c>
      <c r="M194" s="36" t="str">
        <f aca="false">IF(OR(NOT(AND(ISNUMBER(E194),ISNUMBER(F194))),$J$2=""),"",IF(Reprogramaciones!Q$9&lt;E194,0,IF(NETWORKDAYS.INTL(E194,F194,11)=0,IF(Reprogramaciones!Q$9&gt;=F194,100,0),ROUND(NETWORKDAYS.INTL(E194,MIN(F194,Reprogramaciones!Q$9),11)/NETWORKDAYS.INTL(E194,F194,11)*100,1)))-IF(Reprogramaciones!P$9&lt;E194,0,IF(NETWORKDAYS.INTL(E194,F194,11)=0,IF(Reprogramaciones!P$9&gt;=F194,100,0),ROUND(NETWORKDAYS.INTL(E194,MIN(F194,Reprogramaciones!P$9),11)/NETWORKDAYS.INTL(E194,F194,11)*100,1))))</f>
        <v/>
      </c>
      <c r="N194" s="36" t="str">
        <f aca="false">IF(OR(NOT(AND(ISNUMBER(E194),ISNUMBER(F194))),$J$2=""),"",IF(Reprogramaciones!R$9&lt;E194,0,IF(NETWORKDAYS.INTL(E194,F194,11)=0,IF(Reprogramaciones!R$9&gt;=F194,100,0),ROUND(NETWORKDAYS.INTL(E194,MIN(F194,Reprogramaciones!R$9),11)/NETWORKDAYS.INTL(E194,F194,11)*100,1)))-IF(Reprogramaciones!Q$9&lt;E194,0,IF(NETWORKDAYS.INTL(E194,F194,11)=0,IF(Reprogramaciones!Q$9&gt;=F194,100,0),ROUND(NETWORKDAYS.INTL(E194,MIN(F194,Reprogramaciones!Q$9),11)/NETWORKDAYS.INTL(E194,F194,11)*100,1))))</f>
        <v/>
      </c>
      <c r="O194" s="36" t="str">
        <f aca="false">IF(OR(NOT(AND(ISNUMBER(E194),ISNUMBER(F194))),$J$2=""),"",IF(Reprogramaciones!S$9&lt;E194,0,IF(NETWORKDAYS.INTL(E194,F194,11)=0,IF(Reprogramaciones!S$9&gt;=F194,100,0),ROUND(NETWORKDAYS.INTL(E194,MIN(F194,Reprogramaciones!S$9),11)/NETWORKDAYS.INTL(E194,F194,11)*100,1)))-IF(Reprogramaciones!R$9&lt;E194,0,IF(NETWORKDAYS.INTL(E194,F194,11)=0,IF(Reprogramaciones!R$9&gt;=F194,100,0),ROUND(NETWORKDAYS.INTL(E194,MIN(F194,Reprogramaciones!R$9),11)/NETWORKDAYS.INTL(E194,F194,11)*100,1))))</f>
        <v/>
      </c>
      <c r="P194" s="36" t="str">
        <f aca="false">IF(OR(NOT(AND(ISNUMBER(E194),ISNUMBER(F194))),$J$2=""),"",IF(Reprogramaciones!T$9&lt;E194,0,IF(NETWORKDAYS.INTL(E194,F194,11)=0,IF(Reprogramaciones!T$9&gt;=F194,100,0),ROUND(NETWORKDAYS.INTL(E194,MIN(F194,Reprogramaciones!T$9),11)/NETWORKDAYS.INTL(E194,F194,11)*100,1)))-IF(Reprogramaciones!S$9&lt;E194,0,IF(NETWORKDAYS.INTL(E194,F194,11)=0,IF(Reprogramaciones!S$9&gt;=F194,100,0),ROUND(NETWORKDAYS.INTL(E194,MIN(F194,Reprogramaciones!S$9),11)/NETWORKDAYS.INTL(E194,F194,11)*100,1))))</f>
        <v/>
      </c>
      <c r="Q194" s="37"/>
      <c r="R194" s="37"/>
      <c r="S194" s="37"/>
      <c r="T194" s="37"/>
      <c r="U194" s="37"/>
      <c r="V194" s="37"/>
      <c r="W194" s="37"/>
      <c r="X194" s="37"/>
      <c r="Y194" s="37"/>
      <c r="Z194" s="37"/>
      <c r="AA194" s="37"/>
      <c r="AB194" s="37"/>
      <c r="AC194" s="37"/>
      <c r="AD194" s="37"/>
      <c r="AE194" s="37"/>
      <c r="AF194" s="37"/>
      <c r="AG194" s="38" t="str">
        <f aca="false">IF(AND(ISNUMBER(E194),ISNUMBER(F194)),NETWORKDAYS.INTL(E194,F194,11),"")</f>
        <v/>
      </c>
      <c r="AH194" s="38" t="str">
        <f aca="false">IF(OR(NOT(AND(ISNUMBER(E194),ISNUMBER(F194))),$J$2=""),"",IF(Reprogramaciones!$P$15&lt;Reprogramaciones!$T$15,0,IF(Reprogramaciones!$R$15&gt;10,MIN(100,SUM($G194:$P194)),MIN(100,SUMPRODUCT((COLUMN($G194:$P194)-COLUMN($G194)+1&lt;Reprogramaciones!$R$15)*$G194:$P194)+N(INDEX($G194:$P194,1,Reprogramaciones!$R$15))*IF(Reprogramaciones!$P$15&gt;=(Reprogramaciones!$T$15+7*(Reprogramaciones!$R$15-1))+6,1,IF(MAX(0,NETWORKDAYS.INTL(MAX(E194,(Reprogramaciones!$T$15+7*(Reprogramaciones!$R$15-1))),MIN(F194,(Reprogramaciones!$T$15+7*(Reprogramaciones!$R$15-1))+6),11))=0,0,MAX(0,NETWORKDAYS.INTL(MAX(E194,(Reprogramaciones!$T$15+7*(Reprogramaciones!$R$15-1))),MIN(F194,Reprogramaciones!$P$15),11))/MAX(0,NETWORKDAYS.INTL(MAX(E194,(Reprogramaciones!$T$15+7*(Reprogramaciones!$R$15-1))),MIN(F194,(Reprogramaciones!$T$15+7*(Reprogramaciones!$R$15-1))+6),11))))))))</f>
        <v/>
      </c>
      <c r="AI194" s="38" t="str">
        <f aca="false">IF(COUNT($Q194:$AF194)=0,"",IF(ROUND(SUM($Q194:$AF194),1)&gt;=99.5,100,MIN(100,ROUND(SUM($Q194:$AF194),1))))</f>
        <v/>
      </c>
      <c r="AJ194" s="38" t="str">
        <f aca="false">IF(OR(AH194="",AI194=""),"",AI194-AH194)</f>
        <v/>
      </c>
      <c r="AK194" s="39" t="str">
        <f aca="true">IF(AH194="","",IF(OR(Ficha!$C$10="Suspendida",Ficha!$C$10="Cancelada"),Ficha!$C$10,IF(AND(AI194&lt;&gt;"",N(AI194)&gt;=100),"Completada",IF(AND(E194&gt;TODAY(),N(AI194)=0),"Por iniciar",IF(N(AI194)+0.5&lt;AH194,"Retrasada",IF(N(AI194)+0.5&lt;DA194,IF(Reprogramaciones!$K$15&gt;0,"Al día · Sem "&amp;Reprogramaciones!$K$15&amp;" en curso","Al día · en curso"),"A tiempo"))))))</f>
        <v/>
      </c>
      <c r="AL194" s="39" t="str">
        <f aca="true">IF(AND(A194="",AND(B194="",C194="",E194="",F194="",COUNT(Q194:AF194)=0)),"",IF(AND(B194="",C194="",E194="",F194="",COUNT(Q194:AF194)=0),"Falta la partida o subpartida",IF(AND(A194&lt;&gt;"",COUNTIF($A$6:$A$305,A194)&gt;1),"Ítem repetido",IF(AND(C194="",E194="",F194="",COUNT(Q194:AF194)=0),"Título de partida",IF(OR(E194="",F194=""),"Faltan fechas",IF(OR(ISTEXT(E194),ISTEXT(F194)),"Fecha escrita como texto: usa dd/mm/aaaa",IF(F194&lt;E194,"Fin antes del inicio",IF(IF($J$2="",FALSE(),OR(E194&lt;$J$2,F194&gt;Reprogramaciones!$T$15+69)),"Fuera de las 10 semanas",IF(ABS(SUM(G194:P194)-100)&gt;0.5,"La meta no suma 100%",IF(ROUND(SUM(Q194:AF194),1)&gt;100.5,"El avance pasa de 100%",IF(MIN(Q194:AF194)&lt;0,"Avance negativo",IF(COUNTA(Q194:AF194)&gt;COUNT(Q194:AF194),"Avance escrito como texto",IF(SUMPRODUCT((Q194:AF194&gt;0)*(Q194:AF194&lt;1))&gt;0,"Avance menor a 1: escribe 50, no 50%",IF(SUMPRODUCT(ISNUMBER(Q194:AF194)*(Reprogramaciones!$K$8:$Z$8&gt;TODAY()))&gt;0,"Avance en semana que aún no llega",IF(AND(N(Reprogramaciones!$E$21)&gt;0,F194&gt;Reprogramaciones!$E$21),"Pasa el fin de la obra: registra una reprogramación",IF(AND(N(Reprogramaciones!$E$21)&gt;0,SUMPRODUCT(ISNUMBER(Q194:AF194)*(Reprogramaciones!$K$8:$Z$8&gt;Reprogramaciones!$E$21))&gt;0),"Avance después del fin de la obra: registra una reprogramación por atraso","OK"))))))))))))))))</f>
        <v/>
      </c>
      <c r="AM194" s="40" t="str">
        <f aca="false">IF(OR(OR(NOT(AND(ISNUMBER(E194),ISNUMBER(F194))),$J$2=""),1&gt;MAX(1,Reprogramaciones!$U$15)),"",IF(Reprogramaciones!K$12&gt;=7,"",IF(OR(BT194-N(0)&gt;0.05,N(Q194)&gt;0),ROUNDDOWN(ROUND(BT194,6),0)&amp;"%"&amp;IF(CJ194="",""," / "&amp;CJ194&amp;"%"),IF(AND(N(0)&gt;=99.95,CJ194&lt;&gt;"",N(CJ194)&lt;100),"Pend. "&amp;CJ194&amp;"%",""))))</f>
        <v/>
      </c>
      <c r="AN194" s="40" t="str">
        <f aca="false">IF(OR(OR(NOT(AND(ISNUMBER(E194),ISNUMBER(F194))),$J$2=""),2&gt;MAX(1,Reprogramaciones!$U$15)),"",IF(Reprogramaciones!L$12&gt;=7,"",IF(OR(BU194-N(BT194)&gt;0.05,N(R194)&gt;0),ROUNDDOWN(ROUND(BU194,6),0)&amp;"%"&amp;IF(CK194="",""," / "&amp;CK194&amp;"%"),IF(AND(N(BT194)&gt;=99.95,CK194&lt;&gt;"",N(CK194)&lt;100),"Pend. "&amp;CK194&amp;"%",""))))</f>
        <v/>
      </c>
      <c r="AO194" s="40" t="str">
        <f aca="false">IF(OR(OR(NOT(AND(ISNUMBER(E194),ISNUMBER(F194))),$J$2=""),3&gt;MAX(1,Reprogramaciones!$U$15)),"",IF(Reprogramaciones!M$12&gt;=7,"",IF(OR(BV194-N(BU194)&gt;0.05,N(S194)&gt;0),ROUNDDOWN(ROUND(BV194,6),0)&amp;"%"&amp;IF(CL194="",""," / "&amp;CL194&amp;"%"),IF(AND(N(BU194)&gt;=99.95,CL194&lt;&gt;"",N(CL194)&lt;100),"Pend. "&amp;CL194&amp;"%",""))))</f>
        <v/>
      </c>
      <c r="AP194" s="40" t="str">
        <f aca="false">IF(OR(OR(NOT(AND(ISNUMBER(E194),ISNUMBER(F194))),$J$2=""),4&gt;MAX(1,Reprogramaciones!$U$15)),"",IF(Reprogramaciones!N$12&gt;=7,"",IF(OR(BW194-N(BV194)&gt;0.05,N(T194)&gt;0),ROUNDDOWN(ROUND(BW194,6),0)&amp;"%"&amp;IF(CM194="",""," / "&amp;CM194&amp;"%"),IF(AND(N(BV194)&gt;=99.95,CM194&lt;&gt;"",N(CM194)&lt;100),"Pend. "&amp;CM194&amp;"%",""))))</f>
        <v/>
      </c>
      <c r="AQ194" s="40" t="str">
        <f aca="false">IF(OR(OR(NOT(AND(ISNUMBER(E194),ISNUMBER(F194))),$J$2=""),5&gt;MAX(1,Reprogramaciones!$U$15)),"",IF(Reprogramaciones!O$12&gt;=7,"",IF(OR(BX194-N(BW194)&gt;0.05,N(U194)&gt;0),ROUNDDOWN(ROUND(BX194,6),0)&amp;"%"&amp;IF(CN194="",""," / "&amp;CN194&amp;"%"),IF(AND(N(BW194)&gt;=99.95,CN194&lt;&gt;"",N(CN194)&lt;100),"Pend. "&amp;CN194&amp;"%",""))))</f>
        <v/>
      </c>
      <c r="AR194" s="40" t="str">
        <f aca="false">IF(OR(OR(NOT(AND(ISNUMBER(E194),ISNUMBER(F194))),$J$2=""),6&gt;MAX(1,Reprogramaciones!$U$15)),"",IF(Reprogramaciones!P$12&gt;=7,"",IF(OR(BY194-N(BX194)&gt;0.05,N(V194)&gt;0),ROUNDDOWN(ROUND(BY194,6),0)&amp;"%"&amp;IF(CO194="",""," / "&amp;CO194&amp;"%"),IF(AND(N(BX194)&gt;=99.95,CO194&lt;&gt;"",N(CO194)&lt;100),"Pend. "&amp;CO194&amp;"%",""))))</f>
        <v/>
      </c>
      <c r="AS194" s="40" t="str">
        <f aca="false">IF(OR(OR(NOT(AND(ISNUMBER(E194),ISNUMBER(F194))),$J$2=""),7&gt;MAX(1,Reprogramaciones!$U$15)),"",IF(Reprogramaciones!Q$12&gt;=7,"",IF(OR(BZ194-N(BY194)&gt;0.05,N(W194)&gt;0),ROUNDDOWN(ROUND(BZ194,6),0)&amp;"%"&amp;IF(CP194="",""," / "&amp;CP194&amp;"%"),IF(AND(N(BY194)&gt;=99.95,CP194&lt;&gt;"",N(CP194)&lt;100),"Pend. "&amp;CP194&amp;"%",""))))</f>
        <v/>
      </c>
      <c r="AT194" s="40" t="str">
        <f aca="false">IF(OR(OR(NOT(AND(ISNUMBER(E194),ISNUMBER(F194))),$J$2=""),8&gt;MAX(1,Reprogramaciones!$U$15)),"",IF(Reprogramaciones!R$12&gt;=7,"",IF(OR(CA194-N(BZ194)&gt;0.05,N(X194)&gt;0),ROUNDDOWN(ROUND(CA194,6),0)&amp;"%"&amp;IF(CQ194="",""," / "&amp;CQ194&amp;"%"),IF(AND(N(BZ194)&gt;=99.95,CQ194&lt;&gt;"",N(CQ194)&lt;100),"Pend. "&amp;CQ194&amp;"%",""))))</f>
        <v/>
      </c>
      <c r="AU194" s="40" t="str">
        <f aca="false">IF(OR(OR(NOT(AND(ISNUMBER(E194),ISNUMBER(F194))),$J$2=""),9&gt;MAX(1,Reprogramaciones!$U$15)),"",IF(Reprogramaciones!S$12&gt;=7,"",IF(OR(CB194-N(CA194)&gt;0.05,N(Y194)&gt;0),ROUNDDOWN(ROUND(CB194,6),0)&amp;"%"&amp;IF(CR194="",""," / "&amp;CR194&amp;"%"),IF(AND(N(CA194)&gt;=99.95,CR194&lt;&gt;"",N(CR194)&lt;100),"Pend. "&amp;CR194&amp;"%",""))))</f>
        <v/>
      </c>
      <c r="AV194" s="40" t="str">
        <f aca="false">IF(OR(OR(NOT(AND(ISNUMBER(E194),ISNUMBER(F194))),$J$2=""),10&gt;MAX(1,Reprogramaciones!$U$15)),"",IF(Reprogramaciones!T$12&gt;=7,"",IF(OR(CC194-N(CB194)&gt;0.05,N(Z194)&gt;0),ROUNDDOWN(ROUND(CC194,6),0)&amp;"%"&amp;IF(CS194="",""," / "&amp;CS194&amp;"%"),IF(AND(N(CB194)&gt;=99.95,CS194&lt;&gt;"",N(CS194)&lt;100),"Pend. "&amp;CS194&amp;"%",""))))</f>
        <v/>
      </c>
      <c r="AW194" s="40" t="str">
        <f aca="false">IF(OR(OR(NOT(AND(ISNUMBER(E194),ISNUMBER(F194))),$J$2=""),11&gt;MAX(1,Reprogramaciones!$U$15)),"",IF(Reprogramaciones!U$12&gt;=7,"",IF(OR(CD194-N(CC194)&gt;0.05,N(AA194)&gt;0),ROUNDDOWN(ROUND(CD194,6),0)&amp;"%"&amp;IF(CT194="",""," / "&amp;CT194&amp;"%"),IF(AND(N(CC194)&gt;=99.95,CT194&lt;&gt;"",N(CT194)&lt;100),"Pend. "&amp;CT194&amp;"%",""))))</f>
        <v/>
      </c>
      <c r="AX194" s="40" t="str">
        <f aca="false">IF(OR(OR(NOT(AND(ISNUMBER(E194),ISNUMBER(F194))),$J$2=""),12&gt;MAX(1,Reprogramaciones!$U$15)),"",IF(Reprogramaciones!V$12&gt;=7,"",IF(OR(CE194-N(CD194)&gt;0.05,N(AB194)&gt;0),ROUNDDOWN(ROUND(CE194,6),0)&amp;"%"&amp;IF(CU194="",""," / "&amp;CU194&amp;"%"),IF(AND(N(CD194)&gt;=99.95,CU194&lt;&gt;"",N(CU194)&lt;100),"Pend. "&amp;CU194&amp;"%",""))))</f>
        <v/>
      </c>
      <c r="AY194" s="40" t="str">
        <f aca="false">IF(OR(OR(NOT(AND(ISNUMBER(E194),ISNUMBER(F194))),$J$2=""),13&gt;MAX(1,Reprogramaciones!$U$15)),"",IF(Reprogramaciones!W$12&gt;=7,"",IF(OR(CF194-N(CE194)&gt;0.05,N(AC194)&gt;0),ROUNDDOWN(ROUND(CF194,6),0)&amp;"%"&amp;IF(CV194="",""," / "&amp;CV194&amp;"%"),IF(AND(N(CE194)&gt;=99.95,CV194&lt;&gt;"",N(CV194)&lt;100),"Pend. "&amp;CV194&amp;"%",""))))</f>
        <v/>
      </c>
      <c r="AZ194" s="40" t="str">
        <f aca="false">IF(OR(OR(NOT(AND(ISNUMBER(E194),ISNUMBER(F194))),$J$2=""),14&gt;MAX(1,Reprogramaciones!$U$15)),"",IF(Reprogramaciones!X$12&gt;=7,"",IF(OR(CG194-N(CF194)&gt;0.05,N(AD194)&gt;0),ROUNDDOWN(ROUND(CG194,6),0)&amp;"%"&amp;IF(CW194="",""," / "&amp;CW194&amp;"%"),IF(AND(N(CF194)&gt;=99.95,CW194&lt;&gt;"",N(CW194)&lt;100),"Pend. "&amp;CW194&amp;"%",""))))</f>
        <v/>
      </c>
      <c r="BA194" s="40" t="str">
        <f aca="false">IF(OR(OR(NOT(AND(ISNUMBER(E194),ISNUMBER(F194))),$J$2=""),15&gt;MAX(1,Reprogramaciones!$U$15)),"",IF(Reprogramaciones!Y$12&gt;=7,"",IF(OR(CH194-N(CG194)&gt;0.05,N(AE194)&gt;0),ROUNDDOWN(ROUND(CH194,6),0)&amp;"%"&amp;IF(CX194="",""," / "&amp;CX194&amp;"%"),IF(AND(N(CG194)&gt;=99.95,CX194&lt;&gt;"",N(CX194)&lt;100),"Pend. "&amp;CX194&amp;"%",""))))</f>
        <v/>
      </c>
      <c r="BB194" s="40" t="str">
        <f aca="false">IF(OR(OR(NOT(AND(ISNUMBER(E194),ISNUMBER(F194))),$J$2=""),16&gt;MAX(1,Reprogramaciones!$U$15)),"",IF(Reprogramaciones!Z$12&gt;=7,"",IF(OR(CI194-N(CH194)&gt;0.05,N(AF194)&gt;0),ROUNDDOWN(ROUND(CI194,6),0)&amp;"%"&amp;IF(CY194="",""," / "&amp;CY194&amp;"%"),IF(AND(N(CH194)&gt;=99.95,CY194&lt;&gt;"",N(CY194)&lt;100),"Pend. "&amp;CY194&amp;"%",""))))</f>
        <v/>
      </c>
      <c r="BC194" s="31" t="n">
        <f aca="false">IF(AND(ISNUMBER(E194),ISNUMBER(F194)),MAX(1,NETWORKDAYS.INTL(E194,F194,11)),0)</f>
        <v>0</v>
      </c>
      <c r="BD194" s="1" t="str">
        <f aca="false">IF(OR(NOT(AND(ISNUMBER(E194),ISNUMBER(F194))),$J$2=""),"",MIN(100,ROUND(SUM($G194:G194),1)))</f>
        <v/>
      </c>
      <c r="BE194" s="1" t="str">
        <f aca="false">IF(OR(NOT(AND(ISNUMBER(E194),ISNUMBER(F194))),$J$2=""),"",MIN(100,ROUND(SUM($G194:H194),1)))</f>
        <v/>
      </c>
      <c r="BF194" s="1" t="str">
        <f aca="false">IF(OR(NOT(AND(ISNUMBER(E194),ISNUMBER(F194))),$J$2=""),"",MIN(100,ROUND(SUM($G194:I194),1)))</f>
        <v/>
      </c>
      <c r="BG194" s="1" t="str">
        <f aca="false">IF(OR(NOT(AND(ISNUMBER(E194),ISNUMBER(F194))),$J$2=""),"",MIN(100,ROUND(SUM($G194:J194),1)))</f>
        <v/>
      </c>
      <c r="BH194" s="1" t="str">
        <f aca="false">IF(OR(NOT(AND(ISNUMBER(E194),ISNUMBER(F194))),$J$2=""),"",MIN(100,ROUND(SUM($G194:K194),1)))</f>
        <v/>
      </c>
      <c r="BI194" s="1" t="str">
        <f aca="false">IF(OR(NOT(AND(ISNUMBER(E194),ISNUMBER(F194))),$J$2=""),"",MIN(100,ROUND(SUM($G194:L194),1)))</f>
        <v/>
      </c>
      <c r="BJ194" s="1" t="str">
        <f aca="false">IF(OR(NOT(AND(ISNUMBER(E194),ISNUMBER(F194))),$J$2=""),"",MIN(100,ROUND(SUM($G194:M194),1)))</f>
        <v/>
      </c>
      <c r="BK194" s="1" t="str">
        <f aca="false">IF(OR(NOT(AND(ISNUMBER(E194),ISNUMBER(F194))),$J$2=""),"",MIN(100,ROUND(SUM($G194:N194),1)))</f>
        <v/>
      </c>
      <c r="BL194" s="1" t="str">
        <f aca="false">IF(OR(NOT(AND(ISNUMBER(E194),ISNUMBER(F194))),$J$2=""),"",MIN(100,ROUND(SUM($G194:O194),1)))</f>
        <v/>
      </c>
      <c r="BM194" s="1" t="str">
        <f aca="false">IF(OR(NOT(AND(ISNUMBER(E194),ISNUMBER(F194))),$J$2=""),"",MIN(100,ROUND(SUM($G194:P194),1)))</f>
        <v/>
      </c>
      <c r="BN194" s="1" t="str">
        <f aca="false">IF(OR(NOT(AND(ISNUMBER(E194),ISNUMBER(F194))),$J$2=""),"",MIN(100,ROUND(SUM($G194:P194),1)))</f>
        <v/>
      </c>
      <c r="BO194" s="1" t="str">
        <f aca="false">IF(OR(NOT(AND(ISNUMBER(E194),ISNUMBER(F194))),$J$2=""),"",MIN(100,ROUND(SUM($G194:P194),1)))</f>
        <v/>
      </c>
      <c r="BP194" s="1" t="str">
        <f aca="false">IF(OR(NOT(AND(ISNUMBER(E194),ISNUMBER(F194))),$J$2=""),"",MIN(100,ROUND(SUM($G194:P194),1)))</f>
        <v/>
      </c>
      <c r="BQ194" s="1" t="str">
        <f aca="false">IF(OR(NOT(AND(ISNUMBER(E194),ISNUMBER(F194))),$J$2=""),"",MIN(100,ROUND(SUM($G194:P194),1)))</f>
        <v/>
      </c>
      <c r="BR194" s="1" t="str">
        <f aca="false">IF(OR(NOT(AND(ISNUMBER(E194),ISNUMBER(F194))),$J$2=""),"",MIN(100,ROUND(SUM($G194:P194),1)))</f>
        <v/>
      </c>
      <c r="BS194" s="1" t="str">
        <f aca="false">IF(OR(NOT(AND(ISNUMBER(E194),ISNUMBER(F194))),$J$2=""),"",MIN(100,ROUND(SUM($G194:P194),1)))</f>
        <v/>
      </c>
      <c r="BT194" s="1" t="str">
        <f aca="false">IF(OR(NOT(AND(ISNUMBER(E194),ISNUMBER(F194))),$J$2=""),"",IF(Reprogramaciones!K$13&lt;Reprogramaciones!$T$15,0,IF(Reprogramaciones!K$14&gt;10,MIN(100,SUM($G194:$P194)),MIN(100,SUMPRODUCT((COLUMN($G194:$P194)-COLUMN($G194)+1&lt;Reprogramaciones!K$14)*$G194:$P194)+N(INDEX($G194:$P194,1,Reprogramaciones!K$14))*IF(Reprogramaciones!K$13&gt;=(Reprogramaciones!$T$15+7*(Reprogramaciones!K$14-1))+6,1,IF(MAX(0,NETWORKDAYS.INTL(MAX(E194,(Reprogramaciones!$T$15+7*(Reprogramaciones!K$14-1))),MIN(F194,(Reprogramaciones!$T$15+7*(Reprogramaciones!K$14-1))+6),11))=0,0,MAX(0,NETWORKDAYS.INTL(MAX(E194,(Reprogramaciones!$T$15+7*(Reprogramaciones!K$14-1))),MIN(F194,Reprogramaciones!K$13),11))/MAX(0,NETWORKDAYS.INTL(MAX(E194,(Reprogramaciones!$T$15+7*(Reprogramaciones!K$14-1))),MIN(F194,(Reprogramaciones!$T$15+7*(Reprogramaciones!K$14-1))+6),11))))))))</f>
        <v/>
      </c>
      <c r="BU194" s="1" t="str">
        <f aca="false">IF(OR(NOT(AND(ISNUMBER(E194),ISNUMBER(F194))),$J$2=""),"",IF(Reprogramaciones!L$13&lt;Reprogramaciones!$T$15,0,IF(Reprogramaciones!L$14&gt;10,MIN(100,SUM($G194:$P194)),MIN(100,SUMPRODUCT((COLUMN($G194:$P194)-COLUMN($G194)+1&lt;Reprogramaciones!L$14)*$G194:$P194)+N(INDEX($G194:$P194,1,Reprogramaciones!L$14))*IF(Reprogramaciones!L$13&gt;=(Reprogramaciones!$T$15+7*(Reprogramaciones!L$14-1))+6,1,IF(MAX(0,NETWORKDAYS.INTL(MAX(E194,(Reprogramaciones!$T$15+7*(Reprogramaciones!L$14-1))),MIN(F194,(Reprogramaciones!$T$15+7*(Reprogramaciones!L$14-1))+6),11))=0,0,MAX(0,NETWORKDAYS.INTL(MAX(E194,(Reprogramaciones!$T$15+7*(Reprogramaciones!L$14-1))),MIN(F194,Reprogramaciones!L$13),11))/MAX(0,NETWORKDAYS.INTL(MAX(E194,(Reprogramaciones!$T$15+7*(Reprogramaciones!L$14-1))),MIN(F194,(Reprogramaciones!$T$15+7*(Reprogramaciones!L$14-1))+6),11))))))))</f>
        <v/>
      </c>
      <c r="BV194" s="1" t="str">
        <f aca="false">IF(OR(NOT(AND(ISNUMBER(E194),ISNUMBER(F194))),$J$2=""),"",IF(Reprogramaciones!M$13&lt;Reprogramaciones!$T$15,0,IF(Reprogramaciones!M$14&gt;10,MIN(100,SUM($G194:$P194)),MIN(100,SUMPRODUCT((COLUMN($G194:$P194)-COLUMN($G194)+1&lt;Reprogramaciones!M$14)*$G194:$P194)+N(INDEX($G194:$P194,1,Reprogramaciones!M$14))*IF(Reprogramaciones!M$13&gt;=(Reprogramaciones!$T$15+7*(Reprogramaciones!M$14-1))+6,1,IF(MAX(0,NETWORKDAYS.INTL(MAX(E194,(Reprogramaciones!$T$15+7*(Reprogramaciones!M$14-1))),MIN(F194,(Reprogramaciones!$T$15+7*(Reprogramaciones!M$14-1))+6),11))=0,0,MAX(0,NETWORKDAYS.INTL(MAX(E194,(Reprogramaciones!$T$15+7*(Reprogramaciones!M$14-1))),MIN(F194,Reprogramaciones!M$13),11))/MAX(0,NETWORKDAYS.INTL(MAX(E194,(Reprogramaciones!$T$15+7*(Reprogramaciones!M$14-1))),MIN(F194,(Reprogramaciones!$T$15+7*(Reprogramaciones!M$14-1))+6),11))))))))</f>
        <v/>
      </c>
      <c r="BW194" s="1" t="str">
        <f aca="false">IF(OR(NOT(AND(ISNUMBER(E194),ISNUMBER(F194))),$J$2=""),"",IF(Reprogramaciones!N$13&lt;Reprogramaciones!$T$15,0,IF(Reprogramaciones!N$14&gt;10,MIN(100,SUM($G194:$P194)),MIN(100,SUMPRODUCT((COLUMN($G194:$P194)-COLUMN($G194)+1&lt;Reprogramaciones!N$14)*$G194:$P194)+N(INDEX($G194:$P194,1,Reprogramaciones!N$14))*IF(Reprogramaciones!N$13&gt;=(Reprogramaciones!$T$15+7*(Reprogramaciones!N$14-1))+6,1,IF(MAX(0,NETWORKDAYS.INTL(MAX(E194,(Reprogramaciones!$T$15+7*(Reprogramaciones!N$14-1))),MIN(F194,(Reprogramaciones!$T$15+7*(Reprogramaciones!N$14-1))+6),11))=0,0,MAX(0,NETWORKDAYS.INTL(MAX(E194,(Reprogramaciones!$T$15+7*(Reprogramaciones!N$14-1))),MIN(F194,Reprogramaciones!N$13),11))/MAX(0,NETWORKDAYS.INTL(MAX(E194,(Reprogramaciones!$T$15+7*(Reprogramaciones!N$14-1))),MIN(F194,(Reprogramaciones!$T$15+7*(Reprogramaciones!N$14-1))+6),11))))))))</f>
        <v/>
      </c>
      <c r="BX194" s="1" t="str">
        <f aca="false">IF(OR(NOT(AND(ISNUMBER(E194),ISNUMBER(F194))),$J$2=""),"",IF(Reprogramaciones!O$13&lt;Reprogramaciones!$T$15,0,IF(Reprogramaciones!O$14&gt;10,MIN(100,SUM($G194:$P194)),MIN(100,SUMPRODUCT((COLUMN($G194:$P194)-COLUMN($G194)+1&lt;Reprogramaciones!O$14)*$G194:$P194)+N(INDEX($G194:$P194,1,Reprogramaciones!O$14))*IF(Reprogramaciones!O$13&gt;=(Reprogramaciones!$T$15+7*(Reprogramaciones!O$14-1))+6,1,IF(MAX(0,NETWORKDAYS.INTL(MAX(E194,(Reprogramaciones!$T$15+7*(Reprogramaciones!O$14-1))),MIN(F194,(Reprogramaciones!$T$15+7*(Reprogramaciones!O$14-1))+6),11))=0,0,MAX(0,NETWORKDAYS.INTL(MAX(E194,(Reprogramaciones!$T$15+7*(Reprogramaciones!O$14-1))),MIN(F194,Reprogramaciones!O$13),11))/MAX(0,NETWORKDAYS.INTL(MAX(E194,(Reprogramaciones!$T$15+7*(Reprogramaciones!O$14-1))),MIN(F194,(Reprogramaciones!$T$15+7*(Reprogramaciones!O$14-1))+6),11))))))))</f>
        <v/>
      </c>
      <c r="BY194" s="1" t="str">
        <f aca="false">IF(OR(NOT(AND(ISNUMBER(E194),ISNUMBER(F194))),$J$2=""),"",IF(Reprogramaciones!P$13&lt;Reprogramaciones!$T$15,0,IF(Reprogramaciones!P$14&gt;10,MIN(100,SUM($G194:$P194)),MIN(100,SUMPRODUCT((COLUMN($G194:$P194)-COLUMN($G194)+1&lt;Reprogramaciones!P$14)*$G194:$P194)+N(INDEX($G194:$P194,1,Reprogramaciones!P$14))*IF(Reprogramaciones!P$13&gt;=(Reprogramaciones!$T$15+7*(Reprogramaciones!P$14-1))+6,1,IF(MAX(0,NETWORKDAYS.INTL(MAX(E194,(Reprogramaciones!$T$15+7*(Reprogramaciones!P$14-1))),MIN(F194,(Reprogramaciones!$T$15+7*(Reprogramaciones!P$14-1))+6),11))=0,0,MAX(0,NETWORKDAYS.INTL(MAX(E194,(Reprogramaciones!$T$15+7*(Reprogramaciones!P$14-1))),MIN(F194,Reprogramaciones!P$13),11))/MAX(0,NETWORKDAYS.INTL(MAX(E194,(Reprogramaciones!$T$15+7*(Reprogramaciones!P$14-1))),MIN(F194,(Reprogramaciones!$T$15+7*(Reprogramaciones!P$14-1))+6),11))))))))</f>
        <v/>
      </c>
      <c r="BZ194" s="1" t="str">
        <f aca="false">IF(OR(NOT(AND(ISNUMBER(E194),ISNUMBER(F194))),$J$2=""),"",IF(Reprogramaciones!Q$13&lt;Reprogramaciones!$T$15,0,IF(Reprogramaciones!Q$14&gt;10,MIN(100,SUM($G194:$P194)),MIN(100,SUMPRODUCT((COLUMN($G194:$P194)-COLUMN($G194)+1&lt;Reprogramaciones!Q$14)*$G194:$P194)+N(INDEX($G194:$P194,1,Reprogramaciones!Q$14))*IF(Reprogramaciones!Q$13&gt;=(Reprogramaciones!$T$15+7*(Reprogramaciones!Q$14-1))+6,1,IF(MAX(0,NETWORKDAYS.INTL(MAX(E194,(Reprogramaciones!$T$15+7*(Reprogramaciones!Q$14-1))),MIN(F194,(Reprogramaciones!$T$15+7*(Reprogramaciones!Q$14-1))+6),11))=0,0,MAX(0,NETWORKDAYS.INTL(MAX(E194,(Reprogramaciones!$T$15+7*(Reprogramaciones!Q$14-1))),MIN(F194,Reprogramaciones!Q$13),11))/MAX(0,NETWORKDAYS.INTL(MAX(E194,(Reprogramaciones!$T$15+7*(Reprogramaciones!Q$14-1))),MIN(F194,(Reprogramaciones!$T$15+7*(Reprogramaciones!Q$14-1))+6),11))))))))</f>
        <v/>
      </c>
      <c r="CA194" s="1" t="str">
        <f aca="false">IF(OR(NOT(AND(ISNUMBER(E194),ISNUMBER(F194))),$J$2=""),"",IF(Reprogramaciones!R$13&lt;Reprogramaciones!$T$15,0,IF(Reprogramaciones!R$14&gt;10,MIN(100,SUM($G194:$P194)),MIN(100,SUMPRODUCT((COLUMN($G194:$P194)-COLUMN($G194)+1&lt;Reprogramaciones!R$14)*$G194:$P194)+N(INDEX($G194:$P194,1,Reprogramaciones!R$14))*IF(Reprogramaciones!R$13&gt;=(Reprogramaciones!$T$15+7*(Reprogramaciones!R$14-1))+6,1,IF(MAX(0,NETWORKDAYS.INTL(MAX(E194,(Reprogramaciones!$T$15+7*(Reprogramaciones!R$14-1))),MIN(F194,(Reprogramaciones!$T$15+7*(Reprogramaciones!R$14-1))+6),11))=0,0,MAX(0,NETWORKDAYS.INTL(MAX(E194,(Reprogramaciones!$T$15+7*(Reprogramaciones!R$14-1))),MIN(F194,Reprogramaciones!R$13),11))/MAX(0,NETWORKDAYS.INTL(MAX(E194,(Reprogramaciones!$T$15+7*(Reprogramaciones!R$14-1))),MIN(F194,(Reprogramaciones!$T$15+7*(Reprogramaciones!R$14-1))+6),11))))))))</f>
        <v/>
      </c>
      <c r="CB194" s="1" t="str">
        <f aca="false">IF(OR(NOT(AND(ISNUMBER(E194),ISNUMBER(F194))),$J$2=""),"",IF(Reprogramaciones!S$13&lt;Reprogramaciones!$T$15,0,IF(Reprogramaciones!S$14&gt;10,MIN(100,SUM($G194:$P194)),MIN(100,SUMPRODUCT((COLUMN($G194:$P194)-COLUMN($G194)+1&lt;Reprogramaciones!S$14)*$G194:$P194)+N(INDEX($G194:$P194,1,Reprogramaciones!S$14))*IF(Reprogramaciones!S$13&gt;=(Reprogramaciones!$T$15+7*(Reprogramaciones!S$14-1))+6,1,IF(MAX(0,NETWORKDAYS.INTL(MAX(E194,(Reprogramaciones!$T$15+7*(Reprogramaciones!S$14-1))),MIN(F194,(Reprogramaciones!$T$15+7*(Reprogramaciones!S$14-1))+6),11))=0,0,MAX(0,NETWORKDAYS.INTL(MAX(E194,(Reprogramaciones!$T$15+7*(Reprogramaciones!S$14-1))),MIN(F194,Reprogramaciones!S$13),11))/MAX(0,NETWORKDAYS.INTL(MAX(E194,(Reprogramaciones!$T$15+7*(Reprogramaciones!S$14-1))),MIN(F194,(Reprogramaciones!$T$15+7*(Reprogramaciones!S$14-1))+6),11))))))))</f>
        <v/>
      </c>
      <c r="CC194" s="1" t="str">
        <f aca="false">IF(OR(NOT(AND(ISNUMBER(E194),ISNUMBER(F194))),$J$2=""),"",IF(Reprogramaciones!T$13&lt;Reprogramaciones!$T$15,0,IF(Reprogramaciones!T$14&gt;10,MIN(100,SUM($G194:$P194)),MIN(100,SUMPRODUCT((COLUMN($G194:$P194)-COLUMN($G194)+1&lt;Reprogramaciones!T$14)*$G194:$P194)+N(INDEX($G194:$P194,1,Reprogramaciones!T$14))*IF(Reprogramaciones!T$13&gt;=(Reprogramaciones!$T$15+7*(Reprogramaciones!T$14-1))+6,1,IF(MAX(0,NETWORKDAYS.INTL(MAX(E194,(Reprogramaciones!$T$15+7*(Reprogramaciones!T$14-1))),MIN(F194,(Reprogramaciones!$T$15+7*(Reprogramaciones!T$14-1))+6),11))=0,0,MAX(0,NETWORKDAYS.INTL(MAX(E194,(Reprogramaciones!$T$15+7*(Reprogramaciones!T$14-1))),MIN(F194,Reprogramaciones!T$13),11))/MAX(0,NETWORKDAYS.INTL(MAX(E194,(Reprogramaciones!$T$15+7*(Reprogramaciones!T$14-1))),MIN(F194,(Reprogramaciones!$T$15+7*(Reprogramaciones!T$14-1))+6),11))))))))</f>
        <v/>
      </c>
      <c r="CD194" s="1" t="str">
        <f aca="false">IF(OR(NOT(AND(ISNUMBER(E194),ISNUMBER(F194))),$J$2=""),"",IF(Reprogramaciones!U$13&lt;Reprogramaciones!$T$15,0,IF(Reprogramaciones!U$14&gt;10,MIN(100,SUM($G194:$P194)),MIN(100,SUMPRODUCT((COLUMN($G194:$P194)-COLUMN($G194)+1&lt;Reprogramaciones!U$14)*$G194:$P194)+N(INDEX($G194:$P194,1,Reprogramaciones!U$14))*IF(Reprogramaciones!U$13&gt;=(Reprogramaciones!$T$15+7*(Reprogramaciones!U$14-1))+6,1,IF(MAX(0,NETWORKDAYS.INTL(MAX(E194,(Reprogramaciones!$T$15+7*(Reprogramaciones!U$14-1))),MIN(F194,(Reprogramaciones!$T$15+7*(Reprogramaciones!U$14-1))+6),11))=0,0,MAX(0,NETWORKDAYS.INTL(MAX(E194,(Reprogramaciones!$T$15+7*(Reprogramaciones!U$14-1))),MIN(F194,Reprogramaciones!U$13),11))/MAX(0,NETWORKDAYS.INTL(MAX(E194,(Reprogramaciones!$T$15+7*(Reprogramaciones!U$14-1))),MIN(F194,(Reprogramaciones!$T$15+7*(Reprogramaciones!U$14-1))+6),11))))))))</f>
        <v/>
      </c>
      <c r="CE194" s="1" t="str">
        <f aca="false">IF(OR(NOT(AND(ISNUMBER(E194),ISNUMBER(F194))),$J$2=""),"",IF(Reprogramaciones!V$13&lt;Reprogramaciones!$T$15,0,IF(Reprogramaciones!V$14&gt;10,MIN(100,SUM($G194:$P194)),MIN(100,SUMPRODUCT((COLUMN($G194:$P194)-COLUMN($G194)+1&lt;Reprogramaciones!V$14)*$G194:$P194)+N(INDEX($G194:$P194,1,Reprogramaciones!V$14))*IF(Reprogramaciones!V$13&gt;=(Reprogramaciones!$T$15+7*(Reprogramaciones!V$14-1))+6,1,IF(MAX(0,NETWORKDAYS.INTL(MAX(E194,(Reprogramaciones!$T$15+7*(Reprogramaciones!V$14-1))),MIN(F194,(Reprogramaciones!$T$15+7*(Reprogramaciones!V$14-1))+6),11))=0,0,MAX(0,NETWORKDAYS.INTL(MAX(E194,(Reprogramaciones!$T$15+7*(Reprogramaciones!V$14-1))),MIN(F194,Reprogramaciones!V$13),11))/MAX(0,NETWORKDAYS.INTL(MAX(E194,(Reprogramaciones!$T$15+7*(Reprogramaciones!V$14-1))),MIN(F194,(Reprogramaciones!$T$15+7*(Reprogramaciones!V$14-1))+6),11))))))))</f>
        <v/>
      </c>
      <c r="CF194" s="1" t="str">
        <f aca="false">IF(OR(NOT(AND(ISNUMBER(E194),ISNUMBER(F194))),$J$2=""),"",IF(Reprogramaciones!W$13&lt;Reprogramaciones!$T$15,0,IF(Reprogramaciones!W$14&gt;10,MIN(100,SUM($G194:$P194)),MIN(100,SUMPRODUCT((COLUMN($G194:$P194)-COLUMN($G194)+1&lt;Reprogramaciones!W$14)*$G194:$P194)+N(INDEX($G194:$P194,1,Reprogramaciones!W$14))*IF(Reprogramaciones!W$13&gt;=(Reprogramaciones!$T$15+7*(Reprogramaciones!W$14-1))+6,1,IF(MAX(0,NETWORKDAYS.INTL(MAX(E194,(Reprogramaciones!$T$15+7*(Reprogramaciones!W$14-1))),MIN(F194,(Reprogramaciones!$T$15+7*(Reprogramaciones!W$14-1))+6),11))=0,0,MAX(0,NETWORKDAYS.INTL(MAX(E194,(Reprogramaciones!$T$15+7*(Reprogramaciones!W$14-1))),MIN(F194,Reprogramaciones!W$13),11))/MAX(0,NETWORKDAYS.INTL(MAX(E194,(Reprogramaciones!$T$15+7*(Reprogramaciones!W$14-1))),MIN(F194,(Reprogramaciones!$T$15+7*(Reprogramaciones!W$14-1))+6),11))))))))</f>
        <v/>
      </c>
      <c r="CG194" s="1" t="str">
        <f aca="false">IF(OR(NOT(AND(ISNUMBER(E194),ISNUMBER(F194))),$J$2=""),"",IF(Reprogramaciones!X$13&lt;Reprogramaciones!$T$15,0,IF(Reprogramaciones!X$14&gt;10,MIN(100,SUM($G194:$P194)),MIN(100,SUMPRODUCT((COLUMN($G194:$P194)-COLUMN($G194)+1&lt;Reprogramaciones!X$14)*$G194:$P194)+N(INDEX($G194:$P194,1,Reprogramaciones!X$14))*IF(Reprogramaciones!X$13&gt;=(Reprogramaciones!$T$15+7*(Reprogramaciones!X$14-1))+6,1,IF(MAX(0,NETWORKDAYS.INTL(MAX(E194,(Reprogramaciones!$T$15+7*(Reprogramaciones!X$14-1))),MIN(F194,(Reprogramaciones!$T$15+7*(Reprogramaciones!X$14-1))+6),11))=0,0,MAX(0,NETWORKDAYS.INTL(MAX(E194,(Reprogramaciones!$T$15+7*(Reprogramaciones!X$14-1))),MIN(F194,Reprogramaciones!X$13),11))/MAX(0,NETWORKDAYS.INTL(MAX(E194,(Reprogramaciones!$T$15+7*(Reprogramaciones!X$14-1))),MIN(F194,(Reprogramaciones!$T$15+7*(Reprogramaciones!X$14-1))+6),11))))))))</f>
        <v/>
      </c>
      <c r="CH194" s="1" t="str">
        <f aca="false">IF(OR(NOT(AND(ISNUMBER(E194),ISNUMBER(F194))),$J$2=""),"",IF(Reprogramaciones!Y$13&lt;Reprogramaciones!$T$15,0,IF(Reprogramaciones!Y$14&gt;10,MIN(100,SUM($G194:$P194)),MIN(100,SUMPRODUCT((COLUMN($G194:$P194)-COLUMN($G194)+1&lt;Reprogramaciones!Y$14)*$G194:$P194)+N(INDEX($G194:$P194,1,Reprogramaciones!Y$14))*IF(Reprogramaciones!Y$13&gt;=(Reprogramaciones!$T$15+7*(Reprogramaciones!Y$14-1))+6,1,IF(MAX(0,NETWORKDAYS.INTL(MAX(E194,(Reprogramaciones!$T$15+7*(Reprogramaciones!Y$14-1))),MIN(F194,(Reprogramaciones!$T$15+7*(Reprogramaciones!Y$14-1))+6),11))=0,0,MAX(0,NETWORKDAYS.INTL(MAX(E194,(Reprogramaciones!$T$15+7*(Reprogramaciones!Y$14-1))),MIN(F194,Reprogramaciones!Y$13),11))/MAX(0,NETWORKDAYS.INTL(MAX(E194,(Reprogramaciones!$T$15+7*(Reprogramaciones!Y$14-1))),MIN(F194,(Reprogramaciones!$T$15+7*(Reprogramaciones!Y$14-1))+6),11))))))))</f>
        <v/>
      </c>
      <c r="CI194" s="1" t="str">
        <f aca="false">IF(OR(NOT(AND(ISNUMBER(E194),ISNUMBER(F194))),$J$2=""),"",IF(Reprogramaciones!Z$13&lt;Reprogramaciones!$T$15,0,IF(Reprogramaciones!Z$14&gt;10,MIN(100,SUM($G194:$P194)),MIN(100,SUMPRODUCT((COLUMN($G194:$P194)-COLUMN($G194)+1&lt;Reprogramaciones!Z$14)*$G194:$P194)+N(INDEX($G194:$P194,1,Reprogramaciones!Z$14))*IF(Reprogramaciones!Z$13&gt;=(Reprogramaciones!$T$15+7*(Reprogramaciones!Z$14-1))+6,1,IF(MAX(0,NETWORKDAYS.INTL(MAX(E194,(Reprogramaciones!$T$15+7*(Reprogramaciones!Z$14-1))),MIN(F194,(Reprogramaciones!$T$15+7*(Reprogramaciones!Z$14-1))+6),11))=0,0,MAX(0,NETWORKDAYS.INTL(MAX(E194,(Reprogramaciones!$T$15+7*(Reprogramaciones!Z$14-1))),MIN(F194,Reprogramaciones!Z$13),11))/MAX(0,NETWORKDAYS.INTL(MAX(E194,(Reprogramaciones!$T$15+7*(Reprogramaciones!Z$14-1))),MIN(F194,(Reprogramaciones!$T$15+7*(Reprogramaciones!Z$14-1))+6),11))))))))</f>
        <v/>
      </c>
      <c r="CJ194" s="1" t="str">
        <f aca="false">IF(OR(OR(NOT(AND(ISNUMBER(E194),ISNUMBER(F194))),$J$2=""),1&gt;Reprogramaciones!$K$16),"",IF(ROUND(SUM($Q194:Q194),1)&gt;=99.5,100,MIN(100,ROUND(SUM($Q194:Q194),1))))</f>
        <v/>
      </c>
      <c r="CK194" s="1" t="str">
        <f aca="false">IF(OR(OR(NOT(AND(ISNUMBER(E194),ISNUMBER(F194))),$J$2=""),2&gt;Reprogramaciones!$K$16),"",IF(ROUND(SUM($Q194:R194),1)&gt;=99.5,100,MIN(100,ROUND(SUM($Q194:R194),1))))</f>
        <v/>
      </c>
      <c r="CL194" s="1" t="str">
        <f aca="false">IF(OR(OR(NOT(AND(ISNUMBER(E194),ISNUMBER(F194))),$J$2=""),3&gt;Reprogramaciones!$K$16),"",IF(ROUND(SUM($Q194:S194),1)&gt;=99.5,100,MIN(100,ROUND(SUM($Q194:S194),1))))</f>
        <v/>
      </c>
      <c r="CM194" s="1" t="str">
        <f aca="false">IF(OR(OR(NOT(AND(ISNUMBER(E194),ISNUMBER(F194))),$J$2=""),4&gt;Reprogramaciones!$K$16),"",IF(ROUND(SUM($Q194:T194),1)&gt;=99.5,100,MIN(100,ROUND(SUM($Q194:T194),1))))</f>
        <v/>
      </c>
      <c r="CN194" s="1" t="str">
        <f aca="false">IF(OR(OR(NOT(AND(ISNUMBER(E194),ISNUMBER(F194))),$J$2=""),5&gt;Reprogramaciones!$K$16),"",IF(ROUND(SUM($Q194:U194),1)&gt;=99.5,100,MIN(100,ROUND(SUM($Q194:U194),1))))</f>
        <v/>
      </c>
      <c r="CO194" s="1" t="str">
        <f aca="false">IF(OR(OR(NOT(AND(ISNUMBER(E194),ISNUMBER(F194))),$J$2=""),6&gt;Reprogramaciones!$K$16),"",IF(ROUND(SUM($Q194:V194),1)&gt;=99.5,100,MIN(100,ROUND(SUM($Q194:V194),1))))</f>
        <v/>
      </c>
      <c r="CP194" s="1" t="str">
        <f aca="false">IF(OR(OR(NOT(AND(ISNUMBER(E194),ISNUMBER(F194))),$J$2=""),7&gt;Reprogramaciones!$K$16),"",IF(ROUND(SUM($Q194:W194),1)&gt;=99.5,100,MIN(100,ROUND(SUM($Q194:W194),1))))</f>
        <v/>
      </c>
      <c r="CQ194" s="1" t="str">
        <f aca="false">IF(OR(OR(NOT(AND(ISNUMBER(E194),ISNUMBER(F194))),$J$2=""),8&gt;Reprogramaciones!$K$16),"",IF(ROUND(SUM($Q194:X194),1)&gt;=99.5,100,MIN(100,ROUND(SUM($Q194:X194),1))))</f>
        <v/>
      </c>
      <c r="CR194" s="1" t="str">
        <f aca="false">IF(OR(OR(NOT(AND(ISNUMBER(E194),ISNUMBER(F194))),$J$2=""),9&gt;Reprogramaciones!$K$16),"",IF(ROUND(SUM($Q194:Y194),1)&gt;=99.5,100,MIN(100,ROUND(SUM($Q194:Y194),1))))</f>
        <v/>
      </c>
      <c r="CS194" s="1" t="str">
        <f aca="false">IF(OR(OR(NOT(AND(ISNUMBER(E194),ISNUMBER(F194))),$J$2=""),10&gt;Reprogramaciones!$K$16),"",IF(ROUND(SUM($Q194:Z194),1)&gt;=99.5,100,MIN(100,ROUND(SUM($Q194:Z194),1))))</f>
        <v/>
      </c>
      <c r="CT194" s="1" t="str">
        <f aca="false">IF(OR(OR(NOT(AND(ISNUMBER(E194),ISNUMBER(F194))),$J$2=""),11&gt;Reprogramaciones!$K$16),"",IF(ROUND(SUM($Q194:AA194),1)&gt;=99.5,100,MIN(100,ROUND(SUM($Q194:AA194),1))))</f>
        <v/>
      </c>
      <c r="CU194" s="1" t="str">
        <f aca="false">IF(OR(OR(NOT(AND(ISNUMBER(E194),ISNUMBER(F194))),$J$2=""),12&gt;Reprogramaciones!$K$16),"",IF(ROUND(SUM($Q194:AB194),1)&gt;=99.5,100,MIN(100,ROUND(SUM($Q194:AB194),1))))</f>
        <v/>
      </c>
      <c r="CV194" s="1" t="str">
        <f aca="false">IF(OR(OR(NOT(AND(ISNUMBER(E194),ISNUMBER(F194))),$J$2=""),13&gt;Reprogramaciones!$K$16),"",IF(ROUND(SUM($Q194:AC194),1)&gt;=99.5,100,MIN(100,ROUND(SUM($Q194:AC194),1))))</f>
        <v/>
      </c>
      <c r="CW194" s="1" t="str">
        <f aca="false">IF(OR(OR(NOT(AND(ISNUMBER(E194),ISNUMBER(F194))),$J$2=""),14&gt;Reprogramaciones!$K$16),"",IF(ROUND(SUM($Q194:AD194),1)&gt;=99.5,100,MIN(100,ROUND(SUM($Q194:AD194),1))))</f>
        <v/>
      </c>
      <c r="CX194" s="1" t="str">
        <f aca="false">IF(OR(OR(NOT(AND(ISNUMBER(E194),ISNUMBER(F194))),$J$2=""),15&gt;Reprogramaciones!$K$16),"",IF(ROUND(SUM($Q194:AE194),1)&gt;=99.5,100,MIN(100,ROUND(SUM($Q194:AE194),1))))</f>
        <v/>
      </c>
      <c r="CY194" s="1" t="str">
        <f aca="false">IF(OR(OR(NOT(AND(ISNUMBER(E194),ISNUMBER(F194))),$J$2=""),16&gt;Reprogramaciones!$K$16),"",IF(ROUND(SUM($Q194:AF194),1)&gt;=99.5,100,MIN(100,ROUND(SUM($Q194:AF194),1))))</f>
        <v/>
      </c>
      <c r="CZ194" s="1" t="str">
        <f aca="false">IF(D194&lt;&gt;"",D194,IF(B194&lt;&gt;"","Contractual",CZ193))</f>
        <v>Contractual</v>
      </c>
      <c r="DA194" s="1" t="str">
        <f aca="false">IF(OR(NOT(AND(ISNUMBER(E194),ISNUMBER(F194))),$J$2=""),"",IF(Reprogramaciones!$Q$15&lt;Reprogramaciones!$T$15,0,IF(Reprogramaciones!$S$15&gt;10,MIN(100,SUM($G194:$P194)),MIN(100,SUMPRODUCT((COLUMN($G194:$P194)-COLUMN($G194)+1&lt;Reprogramaciones!$S$15)*$G194:$P194)+N(INDEX($G194:$P194,1,Reprogramaciones!$S$15))*IF(Reprogramaciones!$Q$15&gt;=(Reprogramaciones!$T$15+7*(Reprogramaciones!$S$15-1))+6,1,IF(MAX(0,NETWORKDAYS.INTL(MAX(E194,(Reprogramaciones!$T$15+7*(Reprogramaciones!$S$15-1))),MIN(F194,(Reprogramaciones!$T$15+7*(Reprogramaciones!$S$15-1))+6),11))=0,0,MAX(0,NETWORKDAYS.INTL(MAX(E194,(Reprogramaciones!$T$15+7*(Reprogramaciones!$S$15-1))),MIN(F194,Reprogramaciones!$Q$15),11))/MAX(0,NETWORKDAYS.INTL(MAX(E194,(Reprogramaciones!$T$15+7*(Reprogramaciones!$S$15-1))),MIN(F194,(Reprogramaciones!$T$15+7*(Reprogramaciones!$S$15-1))+6),11))))))))</f>
        <v/>
      </c>
    </row>
    <row r="195" customFormat="false" ht="15" hidden="false" customHeight="false" outlineLevel="0" collapsed="false">
      <c r="A195" s="32"/>
      <c r="B195" s="33"/>
      <c r="C195" s="33"/>
      <c r="D195" s="34"/>
      <c r="E195" s="35"/>
      <c r="F195" s="35"/>
      <c r="G195" s="36" t="str">
        <f aca="false">IF(OR(NOT(AND(ISNUMBER(E195),ISNUMBER(F195))),$J$2=""),"",IF(Reprogramaciones!K$9&lt;E195,0,IF(NETWORKDAYS.INTL(E195,F195,11)=0,IF(Reprogramaciones!K$9&gt;=F195,100,0),ROUND(NETWORKDAYS.INTL(E195,MIN(F195,Reprogramaciones!K$9),11)/NETWORKDAYS.INTL(E195,F195,11)*100,1)))-0)</f>
        <v/>
      </c>
      <c r="H195" s="36" t="str">
        <f aca="false">IF(OR(NOT(AND(ISNUMBER(E195),ISNUMBER(F195))),$J$2=""),"",IF(Reprogramaciones!L$9&lt;E195,0,IF(NETWORKDAYS.INTL(E195,F195,11)=0,IF(Reprogramaciones!L$9&gt;=F195,100,0),ROUND(NETWORKDAYS.INTL(E195,MIN(F195,Reprogramaciones!L$9),11)/NETWORKDAYS.INTL(E195,F195,11)*100,1)))-IF(Reprogramaciones!K$9&lt;E195,0,IF(NETWORKDAYS.INTL(E195,F195,11)=0,IF(Reprogramaciones!K$9&gt;=F195,100,0),ROUND(NETWORKDAYS.INTL(E195,MIN(F195,Reprogramaciones!K$9),11)/NETWORKDAYS.INTL(E195,F195,11)*100,1))))</f>
        <v/>
      </c>
      <c r="I195" s="36" t="str">
        <f aca="false">IF(OR(NOT(AND(ISNUMBER(E195),ISNUMBER(F195))),$J$2=""),"",IF(Reprogramaciones!M$9&lt;E195,0,IF(NETWORKDAYS.INTL(E195,F195,11)=0,IF(Reprogramaciones!M$9&gt;=F195,100,0),ROUND(NETWORKDAYS.INTL(E195,MIN(F195,Reprogramaciones!M$9),11)/NETWORKDAYS.INTL(E195,F195,11)*100,1)))-IF(Reprogramaciones!L$9&lt;E195,0,IF(NETWORKDAYS.INTL(E195,F195,11)=0,IF(Reprogramaciones!L$9&gt;=F195,100,0),ROUND(NETWORKDAYS.INTL(E195,MIN(F195,Reprogramaciones!L$9),11)/NETWORKDAYS.INTL(E195,F195,11)*100,1))))</f>
        <v/>
      </c>
      <c r="J195" s="36" t="str">
        <f aca="false">IF(OR(NOT(AND(ISNUMBER(E195),ISNUMBER(F195))),$J$2=""),"",IF(Reprogramaciones!N$9&lt;E195,0,IF(NETWORKDAYS.INTL(E195,F195,11)=0,IF(Reprogramaciones!N$9&gt;=F195,100,0),ROUND(NETWORKDAYS.INTL(E195,MIN(F195,Reprogramaciones!N$9),11)/NETWORKDAYS.INTL(E195,F195,11)*100,1)))-IF(Reprogramaciones!M$9&lt;E195,0,IF(NETWORKDAYS.INTL(E195,F195,11)=0,IF(Reprogramaciones!M$9&gt;=F195,100,0),ROUND(NETWORKDAYS.INTL(E195,MIN(F195,Reprogramaciones!M$9),11)/NETWORKDAYS.INTL(E195,F195,11)*100,1))))</f>
        <v/>
      </c>
      <c r="K195" s="36" t="str">
        <f aca="false">IF(OR(NOT(AND(ISNUMBER(E195),ISNUMBER(F195))),$J$2=""),"",IF(Reprogramaciones!O$9&lt;E195,0,IF(NETWORKDAYS.INTL(E195,F195,11)=0,IF(Reprogramaciones!O$9&gt;=F195,100,0),ROUND(NETWORKDAYS.INTL(E195,MIN(F195,Reprogramaciones!O$9),11)/NETWORKDAYS.INTL(E195,F195,11)*100,1)))-IF(Reprogramaciones!N$9&lt;E195,0,IF(NETWORKDAYS.INTL(E195,F195,11)=0,IF(Reprogramaciones!N$9&gt;=F195,100,0),ROUND(NETWORKDAYS.INTL(E195,MIN(F195,Reprogramaciones!N$9),11)/NETWORKDAYS.INTL(E195,F195,11)*100,1))))</f>
        <v/>
      </c>
      <c r="L195" s="36" t="str">
        <f aca="false">IF(OR(NOT(AND(ISNUMBER(E195),ISNUMBER(F195))),$J$2=""),"",IF(Reprogramaciones!P$9&lt;E195,0,IF(NETWORKDAYS.INTL(E195,F195,11)=0,IF(Reprogramaciones!P$9&gt;=F195,100,0),ROUND(NETWORKDAYS.INTL(E195,MIN(F195,Reprogramaciones!P$9),11)/NETWORKDAYS.INTL(E195,F195,11)*100,1)))-IF(Reprogramaciones!O$9&lt;E195,0,IF(NETWORKDAYS.INTL(E195,F195,11)=0,IF(Reprogramaciones!O$9&gt;=F195,100,0),ROUND(NETWORKDAYS.INTL(E195,MIN(F195,Reprogramaciones!O$9),11)/NETWORKDAYS.INTL(E195,F195,11)*100,1))))</f>
        <v/>
      </c>
      <c r="M195" s="36" t="str">
        <f aca="false">IF(OR(NOT(AND(ISNUMBER(E195),ISNUMBER(F195))),$J$2=""),"",IF(Reprogramaciones!Q$9&lt;E195,0,IF(NETWORKDAYS.INTL(E195,F195,11)=0,IF(Reprogramaciones!Q$9&gt;=F195,100,0),ROUND(NETWORKDAYS.INTL(E195,MIN(F195,Reprogramaciones!Q$9),11)/NETWORKDAYS.INTL(E195,F195,11)*100,1)))-IF(Reprogramaciones!P$9&lt;E195,0,IF(NETWORKDAYS.INTL(E195,F195,11)=0,IF(Reprogramaciones!P$9&gt;=F195,100,0),ROUND(NETWORKDAYS.INTL(E195,MIN(F195,Reprogramaciones!P$9),11)/NETWORKDAYS.INTL(E195,F195,11)*100,1))))</f>
        <v/>
      </c>
      <c r="N195" s="36" t="str">
        <f aca="false">IF(OR(NOT(AND(ISNUMBER(E195),ISNUMBER(F195))),$J$2=""),"",IF(Reprogramaciones!R$9&lt;E195,0,IF(NETWORKDAYS.INTL(E195,F195,11)=0,IF(Reprogramaciones!R$9&gt;=F195,100,0),ROUND(NETWORKDAYS.INTL(E195,MIN(F195,Reprogramaciones!R$9),11)/NETWORKDAYS.INTL(E195,F195,11)*100,1)))-IF(Reprogramaciones!Q$9&lt;E195,0,IF(NETWORKDAYS.INTL(E195,F195,11)=0,IF(Reprogramaciones!Q$9&gt;=F195,100,0),ROUND(NETWORKDAYS.INTL(E195,MIN(F195,Reprogramaciones!Q$9),11)/NETWORKDAYS.INTL(E195,F195,11)*100,1))))</f>
        <v/>
      </c>
      <c r="O195" s="36" t="str">
        <f aca="false">IF(OR(NOT(AND(ISNUMBER(E195),ISNUMBER(F195))),$J$2=""),"",IF(Reprogramaciones!S$9&lt;E195,0,IF(NETWORKDAYS.INTL(E195,F195,11)=0,IF(Reprogramaciones!S$9&gt;=F195,100,0),ROUND(NETWORKDAYS.INTL(E195,MIN(F195,Reprogramaciones!S$9),11)/NETWORKDAYS.INTL(E195,F195,11)*100,1)))-IF(Reprogramaciones!R$9&lt;E195,0,IF(NETWORKDAYS.INTL(E195,F195,11)=0,IF(Reprogramaciones!R$9&gt;=F195,100,0),ROUND(NETWORKDAYS.INTL(E195,MIN(F195,Reprogramaciones!R$9),11)/NETWORKDAYS.INTL(E195,F195,11)*100,1))))</f>
        <v/>
      </c>
      <c r="P195" s="36" t="str">
        <f aca="false">IF(OR(NOT(AND(ISNUMBER(E195),ISNUMBER(F195))),$J$2=""),"",IF(Reprogramaciones!T$9&lt;E195,0,IF(NETWORKDAYS.INTL(E195,F195,11)=0,IF(Reprogramaciones!T$9&gt;=F195,100,0),ROUND(NETWORKDAYS.INTL(E195,MIN(F195,Reprogramaciones!T$9),11)/NETWORKDAYS.INTL(E195,F195,11)*100,1)))-IF(Reprogramaciones!S$9&lt;E195,0,IF(NETWORKDAYS.INTL(E195,F195,11)=0,IF(Reprogramaciones!S$9&gt;=F195,100,0),ROUND(NETWORKDAYS.INTL(E195,MIN(F195,Reprogramaciones!S$9),11)/NETWORKDAYS.INTL(E195,F195,11)*100,1))))</f>
        <v/>
      </c>
      <c r="Q195" s="37"/>
      <c r="R195" s="37"/>
      <c r="S195" s="37"/>
      <c r="T195" s="37"/>
      <c r="U195" s="37"/>
      <c r="V195" s="37"/>
      <c r="W195" s="37"/>
      <c r="X195" s="37"/>
      <c r="Y195" s="37"/>
      <c r="Z195" s="37"/>
      <c r="AA195" s="37"/>
      <c r="AB195" s="37"/>
      <c r="AC195" s="37"/>
      <c r="AD195" s="37"/>
      <c r="AE195" s="37"/>
      <c r="AF195" s="37"/>
      <c r="AG195" s="38" t="str">
        <f aca="false">IF(AND(ISNUMBER(E195),ISNUMBER(F195)),NETWORKDAYS.INTL(E195,F195,11),"")</f>
        <v/>
      </c>
      <c r="AH195" s="38" t="str">
        <f aca="false">IF(OR(NOT(AND(ISNUMBER(E195),ISNUMBER(F195))),$J$2=""),"",IF(Reprogramaciones!$P$15&lt;Reprogramaciones!$T$15,0,IF(Reprogramaciones!$R$15&gt;10,MIN(100,SUM($G195:$P195)),MIN(100,SUMPRODUCT((COLUMN($G195:$P195)-COLUMN($G195)+1&lt;Reprogramaciones!$R$15)*$G195:$P195)+N(INDEX($G195:$P195,1,Reprogramaciones!$R$15))*IF(Reprogramaciones!$P$15&gt;=(Reprogramaciones!$T$15+7*(Reprogramaciones!$R$15-1))+6,1,IF(MAX(0,NETWORKDAYS.INTL(MAX(E195,(Reprogramaciones!$T$15+7*(Reprogramaciones!$R$15-1))),MIN(F195,(Reprogramaciones!$T$15+7*(Reprogramaciones!$R$15-1))+6),11))=0,0,MAX(0,NETWORKDAYS.INTL(MAX(E195,(Reprogramaciones!$T$15+7*(Reprogramaciones!$R$15-1))),MIN(F195,Reprogramaciones!$P$15),11))/MAX(0,NETWORKDAYS.INTL(MAX(E195,(Reprogramaciones!$T$15+7*(Reprogramaciones!$R$15-1))),MIN(F195,(Reprogramaciones!$T$15+7*(Reprogramaciones!$R$15-1))+6),11))))))))</f>
        <v/>
      </c>
      <c r="AI195" s="38" t="str">
        <f aca="false">IF(COUNT($Q195:$AF195)=0,"",IF(ROUND(SUM($Q195:$AF195),1)&gt;=99.5,100,MIN(100,ROUND(SUM($Q195:$AF195),1))))</f>
        <v/>
      </c>
      <c r="AJ195" s="38" t="str">
        <f aca="false">IF(OR(AH195="",AI195=""),"",AI195-AH195)</f>
        <v/>
      </c>
      <c r="AK195" s="39" t="str">
        <f aca="true">IF(AH195="","",IF(OR(Ficha!$C$10="Suspendida",Ficha!$C$10="Cancelada"),Ficha!$C$10,IF(AND(AI195&lt;&gt;"",N(AI195)&gt;=100),"Completada",IF(AND(E195&gt;TODAY(),N(AI195)=0),"Por iniciar",IF(N(AI195)+0.5&lt;AH195,"Retrasada",IF(N(AI195)+0.5&lt;DA195,IF(Reprogramaciones!$K$15&gt;0,"Al día · Sem "&amp;Reprogramaciones!$K$15&amp;" en curso","Al día · en curso"),"A tiempo"))))))</f>
        <v/>
      </c>
      <c r="AL195" s="39" t="str">
        <f aca="true">IF(AND(A195="",AND(B195="",C195="",E195="",F195="",COUNT(Q195:AF195)=0)),"",IF(AND(B195="",C195="",E195="",F195="",COUNT(Q195:AF195)=0),"Falta la partida o subpartida",IF(AND(A195&lt;&gt;"",COUNTIF($A$6:$A$305,A195)&gt;1),"Ítem repetido",IF(AND(C195="",E195="",F195="",COUNT(Q195:AF195)=0),"Título de partida",IF(OR(E195="",F195=""),"Faltan fechas",IF(OR(ISTEXT(E195),ISTEXT(F195)),"Fecha escrita como texto: usa dd/mm/aaaa",IF(F195&lt;E195,"Fin antes del inicio",IF(IF($J$2="",FALSE(),OR(E195&lt;$J$2,F195&gt;Reprogramaciones!$T$15+69)),"Fuera de las 10 semanas",IF(ABS(SUM(G195:P195)-100)&gt;0.5,"La meta no suma 100%",IF(ROUND(SUM(Q195:AF195),1)&gt;100.5,"El avance pasa de 100%",IF(MIN(Q195:AF195)&lt;0,"Avance negativo",IF(COUNTA(Q195:AF195)&gt;COUNT(Q195:AF195),"Avance escrito como texto",IF(SUMPRODUCT((Q195:AF195&gt;0)*(Q195:AF195&lt;1))&gt;0,"Avance menor a 1: escribe 50, no 50%",IF(SUMPRODUCT(ISNUMBER(Q195:AF195)*(Reprogramaciones!$K$8:$Z$8&gt;TODAY()))&gt;0,"Avance en semana que aún no llega",IF(AND(N(Reprogramaciones!$E$21)&gt;0,F195&gt;Reprogramaciones!$E$21),"Pasa el fin de la obra: registra una reprogramación",IF(AND(N(Reprogramaciones!$E$21)&gt;0,SUMPRODUCT(ISNUMBER(Q195:AF195)*(Reprogramaciones!$K$8:$Z$8&gt;Reprogramaciones!$E$21))&gt;0),"Avance después del fin de la obra: registra una reprogramación por atraso","OK"))))))))))))))))</f>
        <v/>
      </c>
      <c r="AM195" s="40" t="str">
        <f aca="false">IF(OR(OR(NOT(AND(ISNUMBER(E195),ISNUMBER(F195))),$J$2=""),1&gt;MAX(1,Reprogramaciones!$U$15)),"",IF(Reprogramaciones!K$12&gt;=7,"",IF(OR(BT195-N(0)&gt;0.05,N(Q195)&gt;0),ROUNDDOWN(ROUND(BT195,6),0)&amp;"%"&amp;IF(CJ195="",""," / "&amp;CJ195&amp;"%"),IF(AND(N(0)&gt;=99.95,CJ195&lt;&gt;"",N(CJ195)&lt;100),"Pend. "&amp;CJ195&amp;"%",""))))</f>
        <v/>
      </c>
      <c r="AN195" s="40" t="str">
        <f aca="false">IF(OR(OR(NOT(AND(ISNUMBER(E195),ISNUMBER(F195))),$J$2=""),2&gt;MAX(1,Reprogramaciones!$U$15)),"",IF(Reprogramaciones!L$12&gt;=7,"",IF(OR(BU195-N(BT195)&gt;0.05,N(R195)&gt;0),ROUNDDOWN(ROUND(BU195,6),0)&amp;"%"&amp;IF(CK195="",""," / "&amp;CK195&amp;"%"),IF(AND(N(BT195)&gt;=99.95,CK195&lt;&gt;"",N(CK195)&lt;100),"Pend. "&amp;CK195&amp;"%",""))))</f>
        <v/>
      </c>
      <c r="AO195" s="40" t="str">
        <f aca="false">IF(OR(OR(NOT(AND(ISNUMBER(E195),ISNUMBER(F195))),$J$2=""),3&gt;MAX(1,Reprogramaciones!$U$15)),"",IF(Reprogramaciones!M$12&gt;=7,"",IF(OR(BV195-N(BU195)&gt;0.05,N(S195)&gt;0),ROUNDDOWN(ROUND(BV195,6),0)&amp;"%"&amp;IF(CL195="",""," / "&amp;CL195&amp;"%"),IF(AND(N(BU195)&gt;=99.95,CL195&lt;&gt;"",N(CL195)&lt;100),"Pend. "&amp;CL195&amp;"%",""))))</f>
        <v/>
      </c>
      <c r="AP195" s="40" t="str">
        <f aca="false">IF(OR(OR(NOT(AND(ISNUMBER(E195),ISNUMBER(F195))),$J$2=""),4&gt;MAX(1,Reprogramaciones!$U$15)),"",IF(Reprogramaciones!N$12&gt;=7,"",IF(OR(BW195-N(BV195)&gt;0.05,N(T195)&gt;0),ROUNDDOWN(ROUND(BW195,6),0)&amp;"%"&amp;IF(CM195="",""," / "&amp;CM195&amp;"%"),IF(AND(N(BV195)&gt;=99.95,CM195&lt;&gt;"",N(CM195)&lt;100),"Pend. "&amp;CM195&amp;"%",""))))</f>
        <v/>
      </c>
      <c r="AQ195" s="40" t="str">
        <f aca="false">IF(OR(OR(NOT(AND(ISNUMBER(E195),ISNUMBER(F195))),$J$2=""),5&gt;MAX(1,Reprogramaciones!$U$15)),"",IF(Reprogramaciones!O$12&gt;=7,"",IF(OR(BX195-N(BW195)&gt;0.05,N(U195)&gt;0),ROUNDDOWN(ROUND(BX195,6),0)&amp;"%"&amp;IF(CN195="",""," / "&amp;CN195&amp;"%"),IF(AND(N(BW195)&gt;=99.95,CN195&lt;&gt;"",N(CN195)&lt;100),"Pend. "&amp;CN195&amp;"%",""))))</f>
        <v/>
      </c>
      <c r="AR195" s="40" t="str">
        <f aca="false">IF(OR(OR(NOT(AND(ISNUMBER(E195),ISNUMBER(F195))),$J$2=""),6&gt;MAX(1,Reprogramaciones!$U$15)),"",IF(Reprogramaciones!P$12&gt;=7,"",IF(OR(BY195-N(BX195)&gt;0.05,N(V195)&gt;0),ROUNDDOWN(ROUND(BY195,6),0)&amp;"%"&amp;IF(CO195="",""," / "&amp;CO195&amp;"%"),IF(AND(N(BX195)&gt;=99.95,CO195&lt;&gt;"",N(CO195)&lt;100),"Pend. "&amp;CO195&amp;"%",""))))</f>
        <v/>
      </c>
      <c r="AS195" s="40" t="str">
        <f aca="false">IF(OR(OR(NOT(AND(ISNUMBER(E195),ISNUMBER(F195))),$J$2=""),7&gt;MAX(1,Reprogramaciones!$U$15)),"",IF(Reprogramaciones!Q$12&gt;=7,"",IF(OR(BZ195-N(BY195)&gt;0.05,N(W195)&gt;0),ROUNDDOWN(ROUND(BZ195,6),0)&amp;"%"&amp;IF(CP195="",""," / "&amp;CP195&amp;"%"),IF(AND(N(BY195)&gt;=99.95,CP195&lt;&gt;"",N(CP195)&lt;100),"Pend. "&amp;CP195&amp;"%",""))))</f>
        <v/>
      </c>
      <c r="AT195" s="40" t="str">
        <f aca="false">IF(OR(OR(NOT(AND(ISNUMBER(E195),ISNUMBER(F195))),$J$2=""),8&gt;MAX(1,Reprogramaciones!$U$15)),"",IF(Reprogramaciones!R$12&gt;=7,"",IF(OR(CA195-N(BZ195)&gt;0.05,N(X195)&gt;0),ROUNDDOWN(ROUND(CA195,6),0)&amp;"%"&amp;IF(CQ195="",""," / "&amp;CQ195&amp;"%"),IF(AND(N(BZ195)&gt;=99.95,CQ195&lt;&gt;"",N(CQ195)&lt;100),"Pend. "&amp;CQ195&amp;"%",""))))</f>
        <v/>
      </c>
      <c r="AU195" s="40" t="str">
        <f aca="false">IF(OR(OR(NOT(AND(ISNUMBER(E195),ISNUMBER(F195))),$J$2=""),9&gt;MAX(1,Reprogramaciones!$U$15)),"",IF(Reprogramaciones!S$12&gt;=7,"",IF(OR(CB195-N(CA195)&gt;0.05,N(Y195)&gt;0),ROUNDDOWN(ROUND(CB195,6),0)&amp;"%"&amp;IF(CR195="",""," / "&amp;CR195&amp;"%"),IF(AND(N(CA195)&gt;=99.95,CR195&lt;&gt;"",N(CR195)&lt;100),"Pend. "&amp;CR195&amp;"%",""))))</f>
        <v/>
      </c>
      <c r="AV195" s="40" t="str">
        <f aca="false">IF(OR(OR(NOT(AND(ISNUMBER(E195),ISNUMBER(F195))),$J$2=""),10&gt;MAX(1,Reprogramaciones!$U$15)),"",IF(Reprogramaciones!T$12&gt;=7,"",IF(OR(CC195-N(CB195)&gt;0.05,N(Z195)&gt;0),ROUNDDOWN(ROUND(CC195,6),0)&amp;"%"&amp;IF(CS195="",""," / "&amp;CS195&amp;"%"),IF(AND(N(CB195)&gt;=99.95,CS195&lt;&gt;"",N(CS195)&lt;100),"Pend. "&amp;CS195&amp;"%",""))))</f>
        <v/>
      </c>
      <c r="AW195" s="40" t="str">
        <f aca="false">IF(OR(OR(NOT(AND(ISNUMBER(E195),ISNUMBER(F195))),$J$2=""),11&gt;MAX(1,Reprogramaciones!$U$15)),"",IF(Reprogramaciones!U$12&gt;=7,"",IF(OR(CD195-N(CC195)&gt;0.05,N(AA195)&gt;0),ROUNDDOWN(ROUND(CD195,6),0)&amp;"%"&amp;IF(CT195="",""," / "&amp;CT195&amp;"%"),IF(AND(N(CC195)&gt;=99.95,CT195&lt;&gt;"",N(CT195)&lt;100),"Pend. "&amp;CT195&amp;"%",""))))</f>
        <v/>
      </c>
      <c r="AX195" s="40" t="str">
        <f aca="false">IF(OR(OR(NOT(AND(ISNUMBER(E195),ISNUMBER(F195))),$J$2=""),12&gt;MAX(1,Reprogramaciones!$U$15)),"",IF(Reprogramaciones!V$12&gt;=7,"",IF(OR(CE195-N(CD195)&gt;0.05,N(AB195)&gt;0),ROUNDDOWN(ROUND(CE195,6),0)&amp;"%"&amp;IF(CU195="",""," / "&amp;CU195&amp;"%"),IF(AND(N(CD195)&gt;=99.95,CU195&lt;&gt;"",N(CU195)&lt;100),"Pend. "&amp;CU195&amp;"%",""))))</f>
        <v/>
      </c>
      <c r="AY195" s="40" t="str">
        <f aca="false">IF(OR(OR(NOT(AND(ISNUMBER(E195),ISNUMBER(F195))),$J$2=""),13&gt;MAX(1,Reprogramaciones!$U$15)),"",IF(Reprogramaciones!W$12&gt;=7,"",IF(OR(CF195-N(CE195)&gt;0.05,N(AC195)&gt;0),ROUNDDOWN(ROUND(CF195,6),0)&amp;"%"&amp;IF(CV195="",""," / "&amp;CV195&amp;"%"),IF(AND(N(CE195)&gt;=99.95,CV195&lt;&gt;"",N(CV195)&lt;100),"Pend. "&amp;CV195&amp;"%",""))))</f>
        <v/>
      </c>
      <c r="AZ195" s="40" t="str">
        <f aca="false">IF(OR(OR(NOT(AND(ISNUMBER(E195),ISNUMBER(F195))),$J$2=""),14&gt;MAX(1,Reprogramaciones!$U$15)),"",IF(Reprogramaciones!X$12&gt;=7,"",IF(OR(CG195-N(CF195)&gt;0.05,N(AD195)&gt;0),ROUNDDOWN(ROUND(CG195,6),0)&amp;"%"&amp;IF(CW195="",""," / "&amp;CW195&amp;"%"),IF(AND(N(CF195)&gt;=99.95,CW195&lt;&gt;"",N(CW195)&lt;100),"Pend. "&amp;CW195&amp;"%",""))))</f>
        <v/>
      </c>
      <c r="BA195" s="40" t="str">
        <f aca="false">IF(OR(OR(NOT(AND(ISNUMBER(E195),ISNUMBER(F195))),$J$2=""),15&gt;MAX(1,Reprogramaciones!$U$15)),"",IF(Reprogramaciones!Y$12&gt;=7,"",IF(OR(CH195-N(CG195)&gt;0.05,N(AE195)&gt;0),ROUNDDOWN(ROUND(CH195,6),0)&amp;"%"&amp;IF(CX195="",""," / "&amp;CX195&amp;"%"),IF(AND(N(CG195)&gt;=99.95,CX195&lt;&gt;"",N(CX195)&lt;100),"Pend. "&amp;CX195&amp;"%",""))))</f>
        <v/>
      </c>
      <c r="BB195" s="40" t="str">
        <f aca="false">IF(OR(OR(NOT(AND(ISNUMBER(E195),ISNUMBER(F195))),$J$2=""),16&gt;MAX(1,Reprogramaciones!$U$15)),"",IF(Reprogramaciones!Z$12&gt;=7,"",IF(OR(CI195-N(CH195)&gt;0.05,N(AF195)&gt;0),ROUNDDOWN(ROUND(CI195,6),0)&amp;"%"&amp;IF(CY195="",""," / "&amp;CY195&amp;"%"),IF(AND(N(CH195)&gt;=99.95,CY195&lt;&gt;"",N(CY195)&lt;100),"Pend. "&amp;CY195&amp;"%",""))))</f>
        <v/>
      </c>
      <c r="BC195" s="31" t="n">
        <f aca="false">IF(AND(ISNUMBER(E195),ISNUMBER(F195)),MAX(1,NETWORKDAYS.INTL(E195,F195,11)),0)</f>
        <v>0</v>
      </c>
      <c r="BD195" s="1" t="str">
        <f aca="false">IF(OR(NOT(AND(ISNUMBER(E195),ISNUMBER(F195))),$J$2=""),"",MIN(100,ROUND(SUM($G195:G195),1)))</f>
        <v/>
      </c>
      <c r="BE195" s="1" t="str">
        <f aca="false">IF(OR(NOT(AND(ISNUMBER(E195),ISNUMBER(F195))),$J$2=""),"",MIN(100,ROUND(SUM($G195:H195),1)))</f>
        <v/>
      </c>
      <c r="BF195" s="1" t="str">
        <f aca="false">IF(OR(NOT(AND(ISNUMBER(E195),ISNUMBER(F195))),$J$2=""),"",MIN(100,ROUND(SUM($G195:I195),1)))</f>
        <v/>
      </c>
      <c r="BG195" s="1" t="str">
        <f aca="false">IF(OR(NOT(AND(ISNUMBER(E195),ISNUMBER(F195))),$J$2=""),"",MIN(100,ROUND(SUM($G195:J195),1)))</f>
        <v/>
      </c>
      <c r="BH195" s="1" t="str">
        <f aca="false">IF(OR(NOT(AND(ISNUMBER(E195),ISNUMBER(F195))),$J$2=""),"",MIN(100,ROUND(SUM($G195:K195),1)))</f>
        <v/>
      </c>
      <c r="BI195" s="1" t="str">
        <f aca="false">IF(OR(NOT(AND(ISNUMBER(E195),ISNUMBER(F195))),$J$2=""),"",MIN(100,ROUND(SUM($G195:L195),1)))</f>
        <v/>
      </c>
      <c r="BJ195" s="1" t="str">
        <f aca="false">IF(OR(NOT(AND(ISNUMBER(E195),ISNUMBER(F195))),$J$2=""),"",MIN(100,ROUND(SUM($G195:M195),1)))</f>
        <v/>
      </c>
      <c r="BK195" s="1" t="str">
        <f aca="false">IF(OR(NOT(AND(ISNUMBER(E195),ISNUMBER(F195))),$J$2=""),"",MIN(100,ROUND(SUM($G195:N195),1)))</f>
        <v/>
      </c>
      <c r="BL195" s="1" t="str">
        <f aca="false">IF(OR(NOT(AND(ISNUMBER(E195),ISNUMBER(F195))),$J$2=""),"",MIN(100,ROUND(SUM($G195:O195),1)))</f>
        <v/>
      </c>
      <c r="BM195" s="1" t="str">
        <f aca="false">IF(OR(NOT(AND(ISNUMBER(E195),ISNUMBER(F195))),$J$2=""),"",MIN(100,ROUND(SUM($G195:P195),1)))</f>
        <v/>
      </c>
      <c r="BN195" s="1" t="str">
        <f aca="false">IF(OR(NOT(AND(ISNUMBER(E195),ISNUMBER(F195))),$J$2=""),"",MIN(100,ROUND(SUM($G195:P195),1)))</f>
        <v/>
      </c>
      <c r="BO195" s="1" t="str">
        <f aca="false">IF(OR(NOT(AND(ISNUMBER(E195),ISNUMBER(F195))),$J$2=""),"",MIN(100,ROUND(SUM($G195:P195),1)))</f>
        <v/>
      </c>
      <c r="BP195" s="1" t="str">
        <f aca="false">IF(OR(NOT(AND(ISNUMBER(E195),ISNUMBER(F195))),$J$2=""),"",MIN(100,ROUND(SUM($G195:P195),1)))</f>
        <v/>
      </c>
      <c r="BQ195" s="1" t="str">
        <f aca="false">IF(OR(NOT(AND(ISNUMBER(E195),ISNUMBER(F195))),$J$2=""),"",MIN(100,ROUND(SUM($G195:P195),1)))</f>
        <v/>
      </c>
      <c r="BR195" s="1" t="str">
        <f aca="false">IF(OR(NOT(AND(ISNUMBER(E195),ISNUMBER(F195))),$J$2=""),"",MIN(100,ROUND(SUM($G195:P195),1)))</f>
        <v/>
      </c>
      <c r="BS195" s="1" t="str">
        <f aca="false">IF(OR(NOT(AND(ISNUMBER(E195),ISNUMBER(F195))),$J$2=""),"",MIN(100,ROUND(SUM($G195:P195),1)))</f>
        <v/>
      </c>
      <c r="BT195" s="1" t="str">
        <f aca="false">IF(OR(NOT(AND(ISNUMBER(E195),ISNUMBER(F195))),$J$2=""),"",IF(Reprogramaciones!K$13&lt;Reprogramaciones!$T$15,0,IF(Reprogramaciones!K$14&gt;10,MIN(100,SUM($G195:$P195)),MIN(100,SUMPRODUCT((COLUMN($G195:$P195)-COLUMN($G195)+1&lt;Reprogramaciones!K$14)*$G195:$P195)+N(INDEX($G195:$P195,1,Reprogramaciones!K$14))*IF(Reprogramaciones!K$13&gt;=(Reprogramaciones!$T$15+7*(Reprogramaciones!K$14-1))+6,1,IF(MAX(0,NETWORKDAYS.INTL(MAX(E195,(Reprogramaciones!$T$15+7*(Reprogramaciones!K$14-1))),MIN(F195,(Reprogramaciones!$T$15+7*(Reprogramaciones!K$14-1))+6),11))=0,0,MAX(0,NETWORKDAYS.INTL(MAX(E195,(Reprogramaciones!$T$15+7*(Reprogramaciones!K$14-1))),MIN(F195,Reprogramaciones!K$13),11))/MAX(0,NETWORKDAYS.INTL(MAX(E195,(Reprogramaciones!$T$15+7*(Reprogramaciones!K$14-1))),MIN(F195,(Reprogramaciones!$T$15+7*(Reprogramaciones!K$14-1))+6),11))))))))</f>
        <v/>
      </c>
      <c r="BU195" s="1" t="str">
        <f aca="false">IF(OR(NOT(AND(ISNUMBER(E195),ISNUMBER(F195))),$J$2=""),"",IF(Reprogramaciones!L$13&lt;Reprogramaciones!$T$15,0,IF(Reprogramaciones!L$14&gt;10,MIN(100,SUM($G195:$P195)),MIN(100,SUMPRODUCT((COLUMN($G195:$P195)-COLUMN($G195)+1&lt;Reprogramaciones!L$14)*$G195:$P195)+N(INDEX($G195:$P195,1,Reprogramaciones!L$14))*IF(Reprogramaciones!L$13&gt;=(Reprogramaciones!$T$15+7*(Reprogramaciones!L$14-1))+6,1,IF(MAX(0,NETWORKDAYS.INTL(MAX(E195,(Reprogramaciones!$T$15+7*(Reprogramaciones!L$14-1))),MIN(F195,(Reprogramaciones!$T$15+7*(Reprogramaciones!L$14-1))+6),11))=0,0,MAX(0,NETWORKDAYS.INTL(MAX(E195,(Reprogramaciones!$T$15+7*(Reprogramaciones!L$14-1))),MIN(F195,Reprogramaciones!L$13),11))/MAX(0,NETWORKDAYS.INTL(MAX(E195,(Reprogramaciones!$T$15+7*(Reprogramaciones!L$14-1))),MIN(F195,(Reprogramaciones!$T$15+7*(Reprogramaciones!L$14-1))+6),11))))))))</f>
        <v/>
      </c>
      <c r="BV195" s="1" t="str">
        <f aca="false">IF(OR(NOT(AND(ISNUMBER(E195),ISNUMBER(F195))),$J$2=""),"",IF(Reprogramaciones!M$13&lt;Reprogramaciones!$T$15,0,IF(Reprogramaciones!M$14&gt;10,MIN(100,SUM($G195:$P195)),MIN(100,SUMPRODUCT((COLUMN($G195:$P195)-COLUMN($G195)+1&lt;Reprogramaciones!M$14)*$G195:$P195)+N(INDEX($G195:$P195,1,Reprogramaciones!M$14))*IF(Reprogramaciones!M$13&gt;=(Reprogramaciones!$T$15+7*(Reprogramaciones!M$14-1))+6,1,IF(MAX(0,NETWORKDAYS.INTL(MAX(E195,(Reprogramaciones!$T$15+7*(Reprogramaciones!M$14-1))),MIN(F195,(Reprogramaciones!$T$15+7*(Reprogramaciones!M$14-1))+6),11))=0,0,MAX(0,NETWORKDAYS.INTL(MAX(E195,(Reprogramaciones!$T$15+7*(Reprogramaciones!M$14-1))),MIN(F195,Reprogramaciones!M$13),11))/MAX(0,NETWORKDAYS.INTL(MAX(E195,(Reprogramaciones!$T$15+7*(Reprogramaciones!M$14-1))),MIN(F195,(Reprogramaciones!$T$15+7*(Reprogramaciones!M$14-1))+6),11))))))))</f>
        <v/>
      </c>
      <c r="BW195" s="1" t="str">
        <f aca="false">IF(OR(NOT(AND(ISNUMBER(E195),ISNUMBER(F195))),$J$2=""),"",IF(Reprogramaciones!N$13&lt;Reprogramaciones!$T$15,0,IF(Reprogramaciones!N$14&gt;10,MIN(100,SUM($G195:$P195)),MIN(100,SUMPRODUCT((COLUMN($G195:$P195)-COLUMN($G195)+1&lt;Reprogramaciones!N$14)*$G195:$P195)+N(INDEX($G195:$P195,1,Reprogramaciones!N$14))*IF(Reprogramaciones!N$13&gt;=(Reprogramaciones!$T$15+7*(Reprogramaciones!N$14-1))+6,1,IF(MAX(0,NETWORKDAYS.INTL(MAX(E195,(Reprogramaciones!$T$15+7*(Reprogramaciones!N$14-1))),MIN(F195,(Reprogramaciones!$T$15+7*(Reprogramaciones!N$14-1))+6),11))=0,0,MAX(0,NETWORKDAYS.INTL(MAX(E195,(Reprogramaciones!$T$15+7*(Reprogramaciones!N$14-1))),MIN(F195,Reprogramaciones!N$13),11))/MAX(0,NETWORKDAYS.INTL(MAX(E195,(Reprogramaciones!$T$15+7*(Reprogramaciones!N$14-1))),MIN(F195,(Reprogramaciones!$T$15+7*(Reprogramaciones!N$14-1))+6),11))))))))</f>
        <v/>
      </c>
      <c r="BX195" s="1" t="str">
        <f aca="false">IF(OR(NOT(AND(ISNUMBER(E195),ISNUMBER(F195))),$J$2=""),"",IF(Reprogramaciones!O$13&lt;Reprogramaciones!$T$15,0,IF(Reprogramaciones!O$14&gt;10,MIN(100,SUM($G195:$P195)),MIN(100,SUMPRODUCT((COLUMN($G195:$P195)-COLUMN($G195)+1&lt;Reprogramaciones!O$14)*$G195:$P195)+N(INDEX($G195:$P195,1,Reprogramaciones!O$14))*IF(Reprogramaciones!O$13&gt;=(Reprogramaciones!$T$15+7*(Reprogramaciones!O$14-1))+6,1,IF(MAX(0,NETWORKDAYS.INTL(MAX(E195,(Reprogramaciones!$T$15+7*(Reprogramaciones!O$14-1))),MIN(F195,(Reprogramaciones!$T$15+7*(Reprogramaciones!O$14-1))+6),11))=0,0,MAX(0,NETWORKDAYS.INTL(MAX(E195,(Reprogramaciones!$T$15+7*(Reprogramaciones!O$14-1))),MIN(F195,Reprogramaciones!O$13),11))/MAX(0,NETWORKDAYS.INTL(MAX(E195,(Reprogramaciones!$T$15+7*(Reprogramaciones!O$14-1))),MIN(F195,(Reprogramaciones!$T$15+7*(Reprogramaciones!O$14-1))+6),11))))))))</f>
        <v/>
      </c>
      <c r="BY195" s="1" t="str">
        <f aca="false">IF(OR(NOT(AND(ISNUMBER(E195),ISNUMBER(F195))),$J$2=""),"",IF(Reprogramaciones!P$13&lt;Reprogramaciones!$T$15,0,IF(Reprogramaciones!P$14&gt;10,MIN(100,SUM($G195:$P195)),MIN(100,SUMPRODUCT((COLUMN($G195:$P195)-COLUMN($G195)+1&lt;Reprogramaciones!P$14)*$G195:$P195)+N(INDEX($G195:$P195,1,Reprogramaciones!P$14))*IF(Reprogramaciones!P$13&gt;=(Reprogramaciones!$T$15+7*(Reprogramaciones!P$14-1))+6,1,IF(MAX(0,NETWORKDAYS.INTL(MAX(E195,(Reprogramaciones!$T$15+7*(Reprogramaciones!P$14-1))),MIN(F195,(Reprogramaciones!$T$15+7*(Reprogramaciones!P$14-1))+6),11))=0,0,MAX(0,NETWORKDAYS.INTL(MAX(E195,(Reprogramaciones!$T$15+7*(Reprogramaciones!P$14-1))),MIN(F195,Reprogramaciones!P$13),11))/MAX(0,NETWORKDAYS.INTL(MAX(E195,(Reprogramaciones!$T$15+7*(Reprogramaciones!P$14-1))),MIN(F195,(Reprogramaciones!$T$15+7*(Reprogramaciones!P$14-1))+6),11))))))))</f>
        <v/>
      </c>
      <c r="BZ195" s="1" t="str">
        <f aca="false">IF(OR(NOT(AND(ISNUMBER(E195),ISNUMBER(F195))),$J$2=""),"",IF(Reprogramaciones!Q$13&lt;Reprogramaciones!$T$15,0,IF(Reprogramaciones!Q$14&gt;10,MIN(100,SUM($G195:$P195)),MIN(100,SUMPRODUCT((COLUMN($G195:$P195)-COLUMN($G195)+1&lt;Reprogramaciones!Q$14)*$G195:$P195)+N(INDEX($G195:$P195,1,Reprogramaciones!Q$14))*IF(Reprogramaciones!Q$13&gt;=(Reprogramaciones!$T$15+7*(Reprogramaciones!Q$14-1))+6,1,IF(MAX(0,NETWORKDAYS.INTL(MAX(E195,(Reprogramaciones!$T$15+7*(Reprogramaciones!Q$14-1))),MIN(F195,(Reprogramaciones!$T$15+7*(Reprogramaciones!Q$14-1))+6),11))=0,0,MAX(0,NETWORKDAYS.INTL(MAX(E195,(Reprogramaciones!$T$15+7*(Reprogramaciones!Q$14-1))),MIN(F195,Reprogramaciones!Q$13),11))/MAX(0,NETWORKDAYS.INTL(MAX(E195,(Reprogramaciones!$T$15+7*(Reprogramaciones!Q$14-1))),MIN(F195,(Reprogramaciones!$T$15+7*(Reprogramaciones!Q$14-1))+6),11))))))))</f>
        <v/>
      </c>
      <c r="CA195" s="1" t="str">
        <f aca="false">IF(OR(NOT(AND(ISNUMBER(E195),ISNUMBER(F195))),$J$2=""),"",IF(Reprogramaciones!R$13&lt;Reprogramaciones!$T$15,0,IF(Reprogramaciones!R$14&gt;10,MIN(100,SUM($G195:$P195)),MIN(100,SUMPRODUCT((COLUMN($G195:$P195)-COLUMN($G195)+1&lt;Reprogramaciones!R$14)*$G195:$P195)+N(INDEX($G195:$P195,1,Reprogramaciones!R$14))*IF(Reprogramaciones!R$13&gt;=(Reprogramaciones!$T$15+7*(Reprogramaciones!R$14-1))+6,1,IF(MAX(0,NETWORKDAYS.INTL(MAX(E195,(Reprogramaciones!$T$15+7*(Reprogramaciones!R$14-1))),MIN(F195,(Reprogramaciones!$T$15+7*(Reprogramaciones!R$14-1))+6),11))=0,0,MAX(0,NETWORKDAYS.INTL(MAX(E195,(Reprogramaciones!$T$15+7*(Reprogramaciones!R$14-1))),MIN(F195,Reprogramaciones!R$13),11))/MAX(0,NETWORKDAYS.INTL(MAX(E195,(Reprogramaciones!$T$15+7*(Reprogramaciones!R$14-1))),MIN(F195,(Reprogramaciones!$T$15+7*(Reprogramaciones!R$14-1))+6),11))))))))</f>
        <v/>
      </c>
      <c r="CB195" s="1" t="str">
        <f aca="false">IF(OR(NOT(AND(ISNUMBER(E195),ISNUMBER(F195))),$J$2=""),"",IF(Reprogramaciones!S$13&lt;Reprogramaciones!$T$15,0,IF(Reprogramaciones!S$14&gt;10,MIN(100,SUM($G195:$P195)),MIN(100,SUMPRODUCT((COLUMN($G195:$P195)-COLUMN($G195)+1&lt;Reprogramaciones!S$14)*$G195:$P195)+N(INDEX($G195:$P195,1,Reprogramaciones!S$14))*IF(Reprogramaciones!S$13&gt;=(Reprogramaciones!$T$15+7*(Reprogramaciones!S$14-1))+6,1,IF(MAX(0,NETWORKDAYS.INTL(MAX(E195,(Reprogramaciones!$T$15+7*(Reprogramaciones!S$14-1))),MIN(F195,(Reprogramaciones!$T$15+7*(Reprogramaciones!S$14-1))+6),11))=0,0,MAX(0,NETWORKDAYS.INTL(MAX(E195,(Reprogramaciones!$T$15+7*(Reprogramaciones!S$14-1))),MIN(F195,Reprogramaciones!S$13),11))/MAX(0,NETWORKDAYS.INTL(MAX(E195,(Reprogramaciones!$T$15+7*(Reprogramaciones!S$14-1))),MIN(F195,(Reprogramaciones!$T$15+7*(Reprogramaciones!S$14-1))+6),11))))))))</f>
        <v/>
      </c>
      <c r="CC195" s="1" t="str">
        <f aca="false">IF(OR(NOT(AND(ISNUMBER(E195),ISNUMBER(F195))),$J$2=""),"",IF(Reprogramaciones!T$13&lt;Reprogramaciones!$T$15,0,IF(Reprogramaciones!T$14&gt;10,MIN(100,SUM($G195:$P195)),MIN(100,SUMPRODUCT((COLUMN($G195:$P195)-COLUMN($G195)+1&lt;Reprogramaciones!T$14)*$G195:$P195)+N(INDEX($G195:$P195,1,Reprogramaciones!T$14))*IF(Reprogramaciones!T$13&gt;=(Reprogramaciones!$T$15+7*(Reprogramaciones!T$14-1))+6,1,IF(MAX(0,NETWORKDAYS.INTL(MAX(E195,(Reprogramaciones!$T$15+7*(Reprogramaciones!T$14-1))),MIN(F195,(Reprogramaciones!$T$15+7*(Reprogramaciones!T$14-1))+6),11))=0,0,MAX(0,NETWORKDAYS.INTL(MAX(E195,(Reprogramaciones!$T$15+7*(Reprogramaciones!T$14-1))),MIN(F195,Reprogramaciones!T$13),11))/MAX(0,NETWORKDAYS.INTL(MAX(E195,(Reprogramaciones!$T$15+7*(Reprogramaciones!T$14-1))),MIN(F195,(Reprogramaciones!$T$15+7*(Reprogramaciones!T$14-1))+6),11))))))))</f>
        <v/>
      </c>
      <c r="CD195" s="1" t="str">
        <f aca="false">IF(OR(NOT(AND(ISNUMBER(E195),ISNUMBER(F195))),$J$2=""),"",IF(Reprogramaciones!U$13&lt;Reprogramaciones!$T$15,0,IF(Reprogramaciones!U$14&gt;10,MIN(100,SUM($G195:$P195)),MIN(100,SUMPRODUCT((COLUMN($G195:$P195)-COLUMN($G195)+1&lt;Reprogramaciones!U$14)*$G195:$P195)+N(INDEX($G195:$P195,1,Reprogramaciones!U$14))*IF(Reprogramaciones!U$13&gt;=(Reprogramaciones!$T$15+7*(Reprogramaciones!U$14-1))+6,1,IF(MAX(0,NETWORKDAYS.INTL(MAX(E195,(Reprogramaciones!$T$15+7*(Reprogramaciones!U$14-1))),MIN(F195,(Reprogramaciones!$T$15+7*(Reprogramaciones!U$14-1))+6),11))=0,0,MAX(0,NETWORKDAYS.INTL(MAX(E195,(Reprogramaciones!$T$15+7*(Reprogramaciones!U$14-1))),MIN(F195,Reprogramaciones!U$13),11))/MAX(0,NETWORKDAYS.INTL(MAX(E195,(Reprogramaciones!$T$15+7*(Reprogramaciones!U$14-1))),MIN(F195,(Reprogramaciones!$T$15+7*(Reprogramaciones!U$14-1))+6),11))))))))</f>
        <v/>
      </c>
      <c r="CE195" s="1" t="str">
        <f aca="false">IF(OR(NOT(AND(ISNUMBER(E195),ISNUMBER(F195))),$J$2=""),"",IF(Reprogramaciones!V$13&lt;Reprogramaciones!$T$15,0,IF(Reprogramaciones!V$14&gt;10,MIN(100,SUM($G195:$P195)),MIN(100,SUMPRODUCT((COLUMN($G195:$P195)-COLUMN($G195)+1&lt;Reprogramaciones!V$14)*$G195:$P195)+N(INDEX($G195:$P195,1,Reprogramaciones!V$14))*IF(Reprogramaciones!V$13&gt;=(Reprogramaciones!$T$15+7*(Reprogramaciones!V$14-1))+6,1,IF(MAX(0,NETWORKDAYS.INTL(MAX(E195,(Reprogramaciones!$T$15+7*(Reprogramaciones!V$14-1))),MIN(F195,(Reprogramaciones!$T$15+7*(Reprogramaciones!V$14-1))+6),11))=0,0,MAX(0,NETWORKDAYS.INTL(MAX(E195,(Reprogramaciones!$T$15+7*(Reprogramaciones!V$14-1))),MIN(F195,Reprogramaciones!V$13),11))/MAX(0,NETWORKDAYS.INTL(MAX(E195,(Reprogramaciones!$T$15+7*(Reprogramaciones!V$14-1))),MIN(F195,(Reprogramaciones!$T$15+7*(Reprogramaciones!V$14-1))+6),11))))))))</f>
        <v/>
      </c>
      <c r="CF195" s="1" t="str">
        <f aca="false">IF(OR(NOT(AND(ISNUMBER(E195),ISNUMBER(F195))),$J$2=""),"",IF(Reprogramaciones!W$13&lt;Reprogramaciones!$T$15,0,IF(Reprogramaciones!W$14&gt;10,MIN(100,SUM($G195:$P195)),MIN(100,SUMPRODUCT((COLUMN($G195:$P195)-COLUMN($G195)+1&lt;Reprogramaciones!W$14)*$G195:$P195)+N(INDEX($G195:$P195,1,Reprogramaciones!W$14))*IF(Reprogramaciones!W$13&gt;=(Reprogramaciones!$T$15+7*(Reprogramaciones!W$14-1))+6,1,IF(MAX(0,NETWORKDAYS.INTL(MAX(E195,(Reprogramaciones!$T$15+7*(Reprogramaciones!W$14-1))),MIN(F195,(Reprogramaciones!$T$15+7*(Reprogramaciones!W$14-1))+6),11))=0,0,MAX(0,NETWORKDAYS.INTL(MAX(E195,(Reprogramaciones!$T$15+7*(Reprogramaciones!W$14-1))),MIN(F195,Reprogramaciones!W$13),11))/MAX(0,NETWORKDAYS.INTL(MAX(E195,(Reprogramaciones!$T$15+7*(Reprogramaciones!W$14-1))),MIN(F195,(Reprogramaciones!$T$15+7*(Reprogramaciones!W$14-1))+6),11))))))))</f>
        <v/>
      </c>
      <c r="CG195" s="1" t="str">
        <f aca="false">IF(OR(NOT(AND(ISNUMBER(E195),ISNUMBER(F195))),$J$2=""),"",IF(Reprogramaciones!X$13&lt;Reprogramaciones!$T$15,0,IF(Reprogramaciones!X$14&gt;10,MIN(100,SUM($G195:$P195)),MIN(100,SUMPRODUCT((COLUMN($G195:$P195)-COLUMN($G195)+1&lt;Reprogramaciones!X$14)*$G195:$P195)+N(INDEX($G195:$P195,1,Reprogramaciones!X$14))*IF(Reprogramaciones!X$13&gt;=(Reprogramaciones!$T$15+7*(Reprogramaciones!X$14-1))+6,1,IF(MAX(0,NETWORKDAYS.INTL(MAX(E195,(Reprogramaciones!$T$15+7*(Reprogramaciones!X$14-1))),MIN(F195,(Reprogramaciones!$T$15+7*(Reprogramaciones!X$14-1))+6),11))=0,0,MAX(0,NETWORKDAYS.INTL(MAX(E195,(Reprogramaciones!$T$15+7*(Reprogramaciones!X$14-1))),MIN(F195,Reprogramaciones!X$13),11))/MAX(0,NETWORKDAYS.INTL(MAX(E195,(Reprogramaciones!$T$15+7*(Reprogramaciones!X$14-1))),MIN(F195,(Reprogramaciones!$T$15+7*(Reprogramaciones!X$14-1))+6),11))))))))</f>
        <v/>
      </c>
      <c r="CH195" s="1" t="str">
        <f aca="false">IF(OR(NOT(AND(ISNUMBER(E195),ISNUMBER(F195))),$J$2=""),"",IF(Reprogramaciones!Y$13&lt;Reprogramaciones!$T$15,0,IF(Reprogramaciones!Y$14&gt;10,MIN(100,SUM($G195:$P195)),MIN(100,SUMPRODUCT((COLUMN($G195:$P195)-COLUMN($G195)+1&lt;Reprogramaciones!Y$14)*$G195:$P195)+N(INDEX($G195:$P195,1,Reprogramaciones!Y$14))*IF(Reprogramaciones!Y$13&gt;=(Reprogramaciones!$T$15+7*(Reprogramaciones!Y$14-1))+6,1,IF(MAX(0,NETWORKDAYS.INTL(MAX(E195,(Reprogramaciones!$T$15+7*(Reprogramaciones!Y$14-1))),MIN(F195,(Reprogramaciones!$T$15+7*(Reprogramaciones!Y$14-1))+6),11))=0,0,MAX(0,NETWORKDAYS.INTL(MAX(E195,(Reprogramaciones!$T$15+7*(Reprogramaciones!Y$14-1))),MIN(F195,Reprogramaciones!Y$13),11))/MAX(0,NETWORKDAYS.INTL(MAX(E195,(Reprogramaciones!$T$15+7*(Reprogramaciones!Y$14-1))),MIN(F195,(Reprogramaciones!$T$15+7*(Reprogramaciones!Y$14-1))+6),11))))))))</f>
        <v/>
      </c>
      <c r="CI195" s="1" t="str">
        <f aca="false">IF(OR(NOT(AND(ISNUMBER(E195),ISNUMBER(F195))),$J$2=""),"",IF(Reprogramaciones!Z$13&lt;Reprogramaciones!$T$15,0,IF(Reprogramaciones!Z$14&gt;10,MIN(100,SUM($G195:$P195)),MIN(100,SUMPRODUCT((COLUMN($G195:$P195)-COLUMN($G195)+1&lt;Reprogramaciones!Z$14)*$G195:$P195)+N(INDEX($G195:$P195,1,Reprogramaciones!Z$14))*IF(Reprogramaciones!Z$13&gt;=(Reprogramaciones!$T$15+7*(Reprogramaciones!Z$14-1))+6,1,IF(MAX(0,NETWORKDAYS.INTL(MAX(E195,(Reprogramaciones!$T$15+7*(Reprogramaciones!Z$14-1))),MIN(F195,(Reprogramaciones!$T$15+7*(Reprogramaciones!Z$14-1))+6),11))=0,0,MAX(0,NETWORKDAYS.INTL(MAX(E195,(Reprogramaciones!$T$15+7*(Reprogramaciones!Z$14-1))),MIN(F195,Reprogramaciones!Z$13),11))/MAX(0,NETWORKDAYS.INTL(MAX(E195,(Reprogramaciones!$T$15+7*(Reprogramaciones!Z$14-1))),MIN(F195,(Reprogramaciones!$T$15+7*(Reprogramaciones!Z$14-1))+6),11))))))))</f>
        <v/>
      </c>
      <c r="CJ195" s="1" t="str">
        <f aca="false">IF(OR(OR(NOT(AND(ISNUMBER(E195),ISNUMBER(F195))),$J$2=""),1&gt;Reprogramaciones!$K$16),"",IF(ROUND(SUM($Q195:Q195),1)&gt;=99.5,100,MIN(100,ROUND(SUM($Q195:Q195),1))))</f>
        <v/>
      </c>
      <c r="CK195" s="1" t="str">
        <f aca="false">IF(OR(OR(NOT(AND(ISNUMBER(E195),ISNUMBER(F195))),$J$2=""),2&gt;Reprogramaciones!$K$16),"",IF(ROUND(SUM($Q195:R195),1)&gt;=99.5,100,MIN(100,ROUND(SUM($Q195:R195),1))))</f>
        <v/>
      </c>
      <c r="CL195" s="1" t="str">
        <f aca="false">IF(OR(OR(NOT(AND(ISNUMBER(E195),ISNUMBER(F195))),$J$2=""),3&gt;Reprogramaciones!$K$16),"",IF(ROUND(SUM($Q195:S195),1)&gt;=99.5,100,MIN(100,ROUND(SUM($Q195:S195),1))))</f>
        <v/>
      </c>
      <c r="CM195" s="1" t="str">
        <f aca="false">IF(OR(OR(NOT(AND(ISNUMBER(E195),ISNUMBER(F195))),$J$2=""),4&gt;Reprogramaciones!$K$16),"",IF(ROUND(SUM($Q195:T195),1)&gt;=99.5,100,MIN(100,ROUND(SUM($Q195:T195),1))))</f>
        <v/>
      </c>
      <c r="CN195" s="1" t="str">
        <f aca="false">IF(OR(OR(NOT(AND(ISNUMBER(E195),ISNUMBER(F195))),$J$2=""),5&gt;Reprogramaciones!$K$16),"",IF(ROUND(SUM($Q195:U195),1)&gt;=99.5,100,MIN(100,ROUND(SUM($Q195:U195),1))))</f>
        <v/>
      </c>
      <c r="CO195" s="1" t="str">
        <f aca="false">IF(OR(OR(NOT(AND(ISNUMBER(E195),ISNUMBER(F195))),$J$2=""),6&gt;Reprogramaciones!$K$16),"",IF(ROUND(SUM($Q195:V195),1)&gt;=99.5,100,MIN(100,ROUND(SUM($Q195:V195),1))))</f>
        <v/>
      </c>
      <c r="CP195" s="1" t="str">
        <f aca="false">IF(OR(OR(NOT(AND(ISNUMBER(E195),ISNUMBER(F195))),$J$2=""),7&gt;Reprogramaciones!$K$16),"",IF(ROUND(SUM($Q195:W195),1)&gt;=99.5,100,MIN(100,ROUND(SUM($Q195:W195),1))))</f>
        <v/>
      </c>
      <c r="CQ195" s="1" t="str">
        <f aca="false">IF(OR(OR(NOT(AND(ISNUMBER(E195),ISNUMBER(F195))),$J$2=""),8&gt;Reprogramaciones!$K$16),"",IF(ROUND(SUM($Q195:X195),1)&gt;=99.5,100,MIN(100,ROUND(SUM($Q195:X195),1))))</f>
        <v/>
      </c>
      <c r="CR195" s="1" t="str">
        <f aca="false">IF(OR(OR(NOT(AND(ISNUMBER(E195),ISNUMBER(F195))),$J$2=""),9&gt;Reprogramaciones!$K$16),"",IF(ROUND(SUM($Q195:Y195),1)&gt;=99.5,100,MIN(100,ROUND(SUM($Q195:Y195),1))))</f>
        <v/>
      </c>
      <c r="CS195" s="1" t="str">
        <f aca="false">IF(OR(OR(NOT(AND(ISNUMBER(E195),ISNUMBER(F195))),$J$2=""),10&gt;Reprogramaciones!$K$16),"",IF(ROUND(SUM($Q195:Z195),1)&gt;=99.5,100,MIN(100,ROUND(SUM($Q195:Z195),1))))</f>
        <v/>
      </c>
      <c r="CT195" s="1" t="str">
        <f aca="false">IF(OR(OR(NOT(AND(ISNUMBER(E195),ISNUMBER(F195))),$J$2=""),11&gt;Reprogramaciones!$K$16),"",IF(ROUND(SUM($Q195:AA195),1)&gt;=99.5,100,MIN(100,ROUND(SUM($Q195:AA195),1))))</f>
        <v/>
      </c>
      <c r="CU195" s="1" t="str">
        <f aca="false">IF(OR(OR(NOT(AND(ISNUMBER(E195),ISNUMBER(F195))),$J$2=""),12&gt;Reprogramaciones!$K$16),"",IF(ROUND(SUM($Q195:AB195),1)&gt;=99.5,100,MIN(100,ROUND(SUM($Q195:AB195),1))))</f>
        <v/>
      </c>
      <c r="CV195" s="1" t="str">
        <f aca="false">IF(OR(OR(NOT(AND(ISNUMBER(E195),ISNUMBER(F195))),$J$2=""),13&gt;Reprogramaciones!$K$16),"",IF(ROUND(SUM($Q195:AC195),1)&gt;=99.5,100,MIN(100,ROUND(SUM($Q195:AC195),1))))</f>
        <v/>
      </c>
      <c r="CW195" s="1" t="str">
        <f aca="false">IF(OR(OR(NOT(AND(ISNUMBER(E195),ISNUMBER(F195))),$J$2=""),14&gt;Reprogramaciones!$K$16),"",IF(ROUND(SUM($Q195:AD195),1)&gt;=99.5,100,MIN(100,ROUND(SUM($Q195:AD195),1))))</f>
        <v/>
      </c>
      <c r="CX195" s="1" t="str">
        <f aca="false">IF(OR(OR(NOT(AND(ISNUMBER(E195),ISNUMBER(F195))),$J$2=""),15&gt;Reprogramaciones!$K$16),"",IF(ROUND(SUM($Q195:AE195),1)&gt;=99.5,100,MIN(100,ROUND(SUM($Q195:AE195),1))))</f>
        <v/>
      </c>
      <c r="CY195" s="1" t="str">
        <f aca="false">IF(OR(OR(NOT(AND(ISNUMBER(E195),ISNUMBER(F195))),$J$2=""),16&gt;Reprogramaciones!$K$16),"",IF(ROUND(SUM($Q195:AF195),1)&gt;=99.5,100,MIN(100,ROUND(SUM($Q195:AF195),1))))</f>
        <v/>
      </c>
      <c r="CZ195" s="1" t="str">
        <f aca="false">IF(D195&lt;&gt;"",D195,IF(B195&lt;&gt;"","Contractual",CZ194))</f>
        <v>Contractual</v>
      </c>
      <c r="DA195" s="1" t="str">
        <f aca="false">IF(OR(NOT(AND(ISNUMBER(E195),ISNUMBER(F195))),$J$2=""),"",IF(Reprogramaciones!$Q$15&lt;Reprogramaciones!$T$15,0,IF(Reprogramaciones!$S$15&gt;10,MIN(100,SUM($G195:$P195)),MIN(100,SUMPRODUCT((COLUMN($G195:$P195)-COLUMN($G195)+1&lt;Reprogramaciones!$S$15)*$G195:$P195)+N(INDEX($G195:$P195,1,Reprogramaciones!$S$15))*IF(Reprogramaciones!$Q$15&gt;=(Reprogramaciones!$T$15+7*(Reprogramaciones!$S$15-1))+6,1,IF(MAX(0,NETWORKDAYS.INTL(MAX(E195,(Reprogramaciones!$T$15+7*(Reprogramaciones!$S$15-1))),MIN(F195,(Reprogramaciones!$T$15+7*(Reprogramaciones!$S$15-1))+6),11))=0,0,MAX(0,NETWORKDAYS.INTL(MAX(E195,(Reprogramaciones!$T$15+7*(Reprogramaciones!$S$15-1))),MIN(F195,Reprogramaciones!$Q$15),11))/MAX(0,NETWORKDAYS.INTL(MAX(E195,(Reprogramaciones!$T$15+7*(Reprogramaciones!$S$15-1))),MIN(F195,(Reprogramaciones!$T$15+7*(Reprogramaciones!$S$15-1))+6),11))))))))</f>
        <v/>
      </c>
    </row>
    <row r="196" customFormat="false" ht="15" hidden="false" customHeight="false" outlineLevel="0" collapsed="false">
      <c r="A196" s="32"/>
      <c r="B196" s="33"/>
      <c r="C196" s="33"/>
      <c r="D196" s="34"/>
      <c r="E196" s="35"/>
      <c r="F196" s="35"/>
      <c r="G196" s="36" t="str">
        <f aca="false">IF(OR(NOT(AND(ISNUMBER(E196),ISNUMBER(F196))),$J$2=""),"",IF(Reprogramaciones!K$9&lt;E196,0,IF(NETWORKDAYS.INTL(E196,F196,11)=0,IF(Reprogramaciones!K$9&gt;=F196,100,0),ROUND(NETWORKDAYS.INTL(E196,MIN(F196,Reprogramaciones!K$9),11)/NETWORKDAYS.INTL(E196,F196,11)*100,1)))-0)</f>
        <v/>
      </c>
      <c r="H196" s="36" t="str">
        <f aca="false">IF(OR(NOT(AND(ISNUMBER(E196),ISNUMBER(F196))),$J$2=""),"",IF(Reprogramaciones!L$9&lt;E196,0,IF(NETWORKDAYS.INTL(E196,F196,11)=0,IF(Reprogramaciones!L$9&gt;=F196,100,0),ROUND(NETWORKDAYS.INTL(E196,MIN(F196,Reprogramaciones!L$9),11)/NETWORKDAYS.INTL(E196,F196,11)*100,1)))-IF(Reprogramaciones!K$9&lt;E196,0,IF(NETWORKDAYS.INTL(E196,F196,11)=0,IF(Reprogramaciones!K$9&gt;=F196,100,0),ROUND(NETWORKDAYS.INTL(E196,MIN(F196,Reprogramaciones!K$9),11)/NETWORKDAYS.INTL(E196,F196,11)*100,1))))</f>
        <v/>
      </c>
      <c r="I196" s="36" t="str">
        <f aca="false">IF(OR(NOT(AND(ISNUMBER(E196),ISNUMBER(F196))),$J$2=""),"",IF(Reprogramaciones!M$9&lt;E196,0,IF(NETWORKDAYS.INTL(E196,F196,11)=0,IF(Reprogramaciones!M$9&gt;=F196,100,0),ROUND(NETWORKDAYS.INTL(E196,MIN(F196,Reprogramaciones!M$9),11)/NETWORKDAYS.INTL(E196,F196,11)*100,1)))-IF(Reprogramaciones!L$9&lt;E196,0,IF(NETWORKDAYS.INTL(E196,F196,11)=0,IF(Reprogramaciones!L$9&gt;=F196,100,0),ROUND(NETWORKDAYS.INTL(E196,MIN(F196,Reprogramaciones!L$9),11)/NETWORKDAYS.INTL(E196,F196,11)*100,1))))</f>
        <v/>
      </c>
      <c r="J196" s="36" t="str">
        <f aca="false">IF(OR(NOT(AND(ISNUMBER(E196),ISNUMBER(F196))),$J$2=""),"",IF(Reprogramaciones!N$9&lt;E196,0,IF(NETWORKDAYS.INTL(E196,F196,11)=0,IF(Reprogramaciones!N$9&gt;=F196,100,0),ROUND(NETWORKDAYS.INTL(E196,MIN(F196,Reprogramaciones!N$9),11)/NETWORKDAYS.INTL(E196,F196,11)*100,1)))-IF(Reprogramaciones!M$9&lt;E196,0,IF(NETWORKDAYS.INTL(E196,F196,11)=0,IF(Reprogramaciones!M$9&gt;=F196,100,0),ROUND(NETWORKDAYS.INTL(E196,MIN(F196,Reprogramaciones!M$9),11)/NETWORKDAYS.INTL(E196,F196,11)*100,1))))</f>
        <v/>
      </c>
      <c r="K196" s="36" t="str">
        <f aca="false">IF(OR(NOT(AND(ISNUMBER(E196),ISNUMBER(F196))),$J$2=""),"",IF(Reprogramaciones!O$9&lt;E196,0,IF(NETWORKDAYS.INTL(E196,F196,11)=0,IF(Reprogramaciones!O$9&gt;=F196,100,0),ROUND(NETWORKDAYS.INTL(E196,MIN(F196,Reprogramaciones!O$9),11)/NETWORKDAYS.INTL(E196,F196,11)*100,1)))-IF(Reprogramaciones!N$9&lt;E196,0,IF(NETWORKDAYS.INTL(E196,F196,11)=0,IF(Reprogramaciones!N$9&gt;=F196,100,0),ROUND(NETWORKDAYS.INTL(E196,MIN(F196,Reprogramaciones!N$9),11)/NETWORKDAYS.INTL(E196,F196,11)*100,1))))</f>
        <v/>
      </c>
      <c r="L196" s="36" t="str">
        <f aca="false">IF(OR(NOT(AND(ISNUMBER(E196),ISNUMBER(F196))),$J$2=""),"",IF(Reprogramaciones!P$9&lt;E196,0,IF(NETWORKDAYS.INTL(E196,F196,11)=0,IF(Reprogramaciones!P$9&gt;=F196,100,0),ROUND(NETWORKDAYS.INTL(E196,MIN(F196,Reprogramaciones!P$9),11)/NETWORKDAYS.INTL(E196,F196,11)*100,1)))-IF(Reprogramaciones!O$9&lt;E196,0,IF(NETWORKDAYS.INTL(E196,F196,11)=0,IF(Reprogramaciones!O$9&gt;=F196,100,0),ROUND(NETWORKDAYS.INTL(E196,MIN(F196,Reprogramaciones!O$9),11)/NETWORKDAYS.INTL(E196,F196,11)*100,1))))</f>
        <v/>
      </c>
      <c r="M196" s="36" t="str">
        <f aca="false">IF(OR(NOT(AND(ISNUMBER(E196),ISNUMBER(F196))),$J$2=""),"",IF(Reprogramaciones!Q$9&lt;E196,0,IF(NETWORKDAYS.INTL(E196,F196,11)=0,IF(Reprogramaciones!Q$9&gt;=F196,100,0),ROUND(NETWORKDAYS.INTL(E196,MIN(F196,Reprogramaciones!Q$9),11)/NETWORKDAYS.INTL(E196,F196,11)*100,1)))-IF(Reprogramaciones!P$9&lt;E196,0,IF(NETWORKDAYS.INTL(E196,F196,11)=0,IF(Reprogramaciones!P$9&gt;=F196,100,0),ROUND(NETWORKDAYS.INTL(E196,MIN(F196,Reprogramaciones!P$9),11)/NETWORKDAYS.INTL(E196,F196,11)*100,1))))</f>
        <v/>
      </c>
      <c r="N196" s="36" t="str">
        <f aca="false">IF(OR(NOT(AND(ISNUMBER(E196),ISNUMBER(F196))),$J$2=""),"",IF(Reprogramaciones!R$9&lt;E196,0,IF(NETWORKDAYS.INTL(E196,F196,11)=0,IF(Reprogramaciones!R$9&gt;=F196,100,0),ROUND(NETWORKDAYS.INTL(E196,MIN(F196,Reprogramaciones!R$9),11)/NETWORKDAYS.INTL(E196,F196,11)*100,1)))-IF(Reprogramaciones!Q$9&lt;E196,0,IF(NETWORKDAYS.INTL(E196,F196,11)=0,IF(Reprogramaciones!Q$9&gt;=F196,100,0),ROUND(NETWORKDAYS.INTL(E196,MIN(F196,Reprogramaciones!Q$9),11)/NETWORKDAYS.INTL(E196,F196,11)*100,1))))</f>
        <v/>
      </c>
      <c r="O196" s="36" t="str">
        <f aca="false">IF(OR(NOT(AND(ISNUMBER(E196),ISNUMBER(F196))),$J$2=""),"",IF(Reprogramaciones!S$9&lt;E196,0,IF(NETWORKDAYS.INTL(E196,F196,11)=0,IF(Reprogramaciones!S$9&gt;=F196,100,0),ROUND(NETWORKDAYS.INTL(E196,MIN(F196,Reprogramaciones!S$9),11)/NETWORKDAYS.INTL(E196,F196,11)*100,1)))-IF(Reprogramaciones!R$9&lt;E196,0,IF(NETWORKDAYS.INTL(E196,F196,11)=0,IF(Reprogramaciones!R$9&gt;=F196,100,0),ROUND(NETWORKDAYS.INTL(E196,MIN(F196,Reprogramaciones!R$9),11)/NETWORKDAYS.INTL(E196,F196,11)*100,1))))</f>
        <v/>
      </c>
      <c r="P196" s="36" t="str">
        <f aca="false">IF(OR(NOT(AND(ISNUMBER(E196),ISNUMBER(F196))),$J$2=""),"",IF(Reprogramaciones!T$9&lt;E196,0,IF(NETWORKDAYS.INTL(E196,F196,11)=0,IF(Reprogramaciones!T$9&gt;=F196,100,0),ROUND(NETWORKDAYS.INTL(E196,MIN(F196,Reprogramaciones!T$9),11)/NETWORKDAYS.INTL(E196,F196,11)*100,1)))-IF(Reprogramaciones!S$9&lt;E196,0,IF(NETWORKDAYS.INTL(E196,F196,11)=0,IF(Reprogramaciones!S$9&gt;=F196,100,0),ROUND(NETWORKDAYS.INTL(E196,MIN(F196,Reprogramaciones!S$9),11)/NETWORKDAYS.INTL(E196,F196,11)*100,1))))</f>
        <v/>
      </c>
      <c r="Q196" s="37"/>
      <c r="R196" s="37"/>
      <c r="S196" s="37"/>
      <c r="T196" s="37"/>
      <c r="U196" s="37"/>
      <c r="V196" s="37"/>
      <c r="W196" s="37"/>
      <c r="X196" s="37"/>
      <c r="Y196" s="37"/>
      <c r="Z196" s="37"/>
      <c r="AA196" s="37"/>
      <c r="AB196" s="37"/>
      <c r="AC196" s="37"/>
      <c r="AD196" s="37"/>
      <c r="AE196" s="37"/>
      <c r="AF196" s="37"/>
      <c r="AG196" s="38" t="str">
        <f aca="false">IF(AND(ISNUMBER(E196),ISNUMBER(F196)),NETWORKDAYS.INTL(E196,F196,11),"")</f>
        <v/>
      </c>
      <c r="AH196" s="38" t="str">
        <f aca="false">IF(OR(NOT(AND(ISNUMBER(E196),ISNUMBER(F196))),$J$2=""),"",IF(Reprogramaciones!$P$15&lt;Reprogramaciones!$T$15,0,IF(Reprogramaciones!$R$15&gt;10,MIN(100,SUM($G196:$P196)),MIN(100,SUMPRODUCT((COLUMN($G196:$P196)-COLUMN($G196)+1&lt;Reprogramaciones!$R$15)*$G196:$P196)+N(INDEX($G196:$P196,1,Reprogramaciones!$R$15))*IF(Reprogramaciones!$P$15&gt;=(Reprogramaciones!$T$15+7*(Reprogramaciones!$R$15-1))+6,1,IF(MAX(0,NETWORKDAYS.INTL(MAX(E196,(Reprogramaciones!$T$15+7*(Reprogramaciones!$R$15-1))),MIN(F196,(Reprogramaciones!$T$15+7*(Reprogramaciones!$R$15-1))+6),11))=0,0,MAX(0,NETWORKDAYS.INTL(MAX(E196,(Reprogramaciones!$T$15+7*(Reprogramaciones!$R$15-1))),MIN(F196,Reprogramaciones!$P$15),11))/MAX(0,NETWORKDAYS.INTL(MAX(E196,(Reprogramaciones!$T$15+7*(Reprogramaciones!$R$15-1))),MIN(F196,(Reprogramaciones!$T$15+7*(Reprogramaciones!$R$15-1))+6),11))))))))</f>
        <v/>
      </c>
      <c r="AI196" s="38" t="str">
        <f aca="false">IF(COUNT($Q196:$AF196)=0,"",IF(ROUND(SUM($Q196:$AF196),1)&gt;=99.5,100,MIN(100,ROUND(SUM($Q196:$AF196),1))))</f>
        <v/>
      </c>
      <c r="AJ196" s="38" t="str">
        <f aca="false">IF(OR(AH196="",AI196=""),"",AI196-AH196)</f>
        <v/>
      </c>
      <c r="AK196" s="39" t="str">
        <f aca="true">IF(AH196="","",IF(OR(Ficha!$C$10="Suspendida",Ficha!$C$10="Cancelada"),Ficha!$C$10,IF(AND(AI196&lt;&gt;"",N(AI196)&gt;=100),"Completada",IF(AND(E196&gt;TODAY(),N(AI196)=0),"Por iniciar",IF(N(AI196)+0.5&lt;AH196,"Retrasada",IF(N(AI196)+0.5&lt;DA196,IF(Reprogramaciones!$K$15&gt;0,"Al día · Sem "&amp;Reprogramaciones!$K$15&amp;" en curso","Al día · en curso"),"A tiempo"))))))</f>
        <v/>
      </c>
      <c r="AL196" s="39" t="str">
        <f aca="true">IF(AND(A196="",AND(B196="",C196="",E196="",F196="",COUNT(Q196:AF196)=0)),"",IF(AND(B196="",C196="",E196="",F196="",COUNT(Q196:AF196)=0),"Falta la partida o subpartida",IF(AND(A196&lt;&gt;"",COUNTIF($A$6:$A$305,A196)&gt;1),"Ítem repetido",IF(AND(C196="",E196="",F196="",COUNT(Q196:AF196)=0),"Título de partida",IF(OR(E196="",F196=""),"Faltan fechas",IF(OR(ISTEXT(E196),ISTEXT(F196)),"Fecha escrita como texto: usa dd/mm/aaaa",IF(F196&lt;E196,"Fin antes del inicio",IF(IF($J$2="",FALSE(),OR(E196&lt;$J$2,F196&gt;Reprogramaciones!$T$15+69)),"Fuera de las 10 semanas",IF(ABS(SUM(G196:P196)-100)&gt;0.5,"La meta no suma 100%",IF(ROUND(SUM(Q196:AF196),1)&gt;100.5,"El avance pasa de 100%",IF(MIN(Q196:AF196)&lt;0,"Avance negativo",IF(COUNTA(Q196:AF196)&gt;COUNT(Q196:AF196),"Avance escrito como texto",IF(SUMPRODUCT((Q196:AF196&gt;0)*(Q196:AF196&lt;1))&gt;0,"Avance menor a 1: escribe 50, no 50%",IF(SUMPRODUCT(ISNUMBER(Q196:AF196)*(Reprogramaciones!$K$8:$Z$8&gt;TODAY()))&gt;0,"Avance en semana que aún no llega",IF(AND(N(Reprogramaciones!$E$21)&gt;0,F196&gt;Reprogramaciones!$E$21),"Pasa el fin de la obra: registra una reprogramación",IF(AND(N(Reprogramaciones!$E$21)&gt;0,SUMPRODUCT(ISNUMBER(Q196:AF196)*(Reprogramaciones!$K$8:$Z$8&gt;Reprogramaciones!$E$21))&gt;0),"Avance después del fin de la obra: registra una reprogramación por atraso","OK"))))))))))))))))</f>
        <v/>
      </c>
      <c r="AM196" s="40" t="str">
        <f aca="false">IF(OR(OR(NOT(AND(ISNUMBER(E196),ISNUMBER(F196))),$J$2=""),1&gt;MAX(1,Reprogramaciones!$U$15)),"",IF(Reprogramaciones!K$12&gt;=7,"",IF(OR(BT196-N(0)&gt;0.05,N(Q196)&gt;0),ROUNDDOWN(ROUND(BT196,6),0)&amp;"%"&amp;IF(CJ196="",""," / "&amp;CJ196&amp;"%"),IF(AND(N(0)&gt;=99.95,CJ196&lt;&gt;"",N(CJ196)&lt;100),"Pend. "&amp;CJ196&amp;"%",""))))</f>
        <v/>
      </c>
      <c r="AN196" s="40" t="str">
        <f aca="false">IF(OR(OR(NOT(AND(ISNUMBER(E196),ISNUMBER(F196))),$J$2=""),2&gt;MAX(1,Reprogramaciones!$U$15)),"",IF(Reprogramaciones!L$12&gt;=7,"",IF(OR(BU196-N(BT196)&gt;0.05,N(R196)&gt;0),ROUNDDOWN(ROUND(BU196,6),0)&amp;"%"&amp;IF(CK196="",""," / "&amp;CK196&amp;"%"),IF(AND(N(BT196)&gt;=99.95,CK196&lt;&gt;"",N(CK196)&lt;100),"Pend. "&amp;CK196&amp;"%",""))))</f>
        <v/>
      </c>
      <c r="AO196" s="40" t="str">
        <f aca="false">IF(OR(OR(NOT(AND(ISNUMBER(E196),ISNUMBER(F196))),$J$2=""),3&gt;MAX(1,Reprogramaciones!$U$15)),"",IF(Reprogramaciones!M$12&gt;=7,"",IF(OR(BV196-N(BU196)&gt;0.05,N(S196)&gt;0),ROUNDDOWN(ROUND(BV196,6),0)&amp;"%"&amp;IF(CL196="",""," / "&amp;CL196&amp;"%"),IF(AND(N(BU196)&gt;=99.95,CL196&lt;&gt;"",N(CL196)&lt;100),"Pend. "&amp;CL196&amp;"%",""))))</f>
        <v/>
      </c>
      <c r="AP196" s="40" t="str">
        <f aca="false">IF(OR(OR(NOT(AND(ISNUMBER(E196),ISNUMBER(F196))),$J$2=""),4&gt;MAX(1,Reprogramaciones!$U$15)),"",IF(Reprogramaciones!N$12&gt;=7,"",IF(OR(BW196-N(BV196)&gt;0.05,N(T196)&gt;0),ROUNDDOWN(ROUND(BW196,6),0)&amp;"%"&amp;IF(CM196="",""," / "&amp;CM196&amp;"%"),IF(AND(N(BV196)&gt;=99.95,CM196&lt;&gt;"",N(CM196)&lt;100),"Pend. "&amp;CM196&amp;"%",""))))</f>
        <v/>
      </c>
      <c r="AQ196" s="40" t="str">
        <f aca="false">IF(OR(OR(NOT(AND(ISNUMBER(E196),ISNUMBER(F196))),$J$2=""),5&gt;MAX(1,Reprogramaciones!$U$15)),"",IF(Reprogramaciones!O$12&gt;=7,"",IF(OR(BX196-N(BW196)&gt;0.05,N(U196)&gt;0),ROUNDDOWN(ROUND(BX196,6),0)&amp;"%"&amp;IF(CN196="",""," / "&amp;CN196&amp;"%"),IF(AND(N(BW196)&gt;=99.95,CN196&lt;&gt;"",N(CN196)&lt;100),"Pend. "&amp;CN196&amp;"%",""))))</f>
        <v/>
      </c>
      <c r="AR196" s="40" t="str">
        <f aca="false">IF(OR(OR(NOT(AND(ISNUMBER(E196),ISNUMBER(F196))),$J$2=""),6&gt;MAX(1,Reprogramaciones!$U$15)),"",IF(Reprogramaciones!P$12&gt;=7,"",IF(OR(BY196-N(BX196)&gt;0.05,N(V196)&gt;0),ROUNDDOWN(ROUND(BY196,6),0)&amp;"%"&amp;IF(CO196="",""," / "&amp;CO196&amp;"%"),IF(AND(N(BX196)&gt;=99.95,CO196&lt;&gt;"",N(CO196)&lt;100),"Pend. "&amp;CO196&amp;"%",""))))</f>
        <v/>
      </c>
      <c r="AS196" s="40" t="str">
        <f aca="false">IF(OR(OR(NOT(AND(ISNUMBER(E196),ISNUMBER(F196))),$J$2=""),7&gt;MAX(1,Reprogramaciones!$U$15)),"",IF(Reprogramaciones!Q$12&gt;=7,"",IF(OR(BZ196-N(BY196)&gt;0.05,N(W196)&gt;0),ROUNDDOWN(ROUND(BZ196,6),0)&amp;"%"&amp;IF(CP196="",""," / "&amp;CP196&amp;"%"),IF(AND(N(BY196)&gt;=99.95,CP196&lt;&gt;"",N(CP196)&lt;100),"Pend. "&amp;CP196&amp;"%",""))))</f>
        <v/>
      </c>
      <c r="AT196" s="40" t="str">
        <f aca="false">IF(OR(OR(NOT(AND(ISNUMBER(E196),ISNUMBER(F196))),$J$2=""),8&gt;MAX(1,Reprogramaciones!$U$15)),"",IF(Reprogramaciones!R$12&gt;=7,"",IF(OR(CA196-N(BZ196)&gt;0.05,N(X196)&gt;0),ROUNDDOWN(ROUND(CA196,6),0)&amp;"%"&amp;IF(CQ196="",""," / "&amp;CQ196&amp;"%"),IF(AND(N(BZ196)&gt;=99.95,CQ196&lt;&gt;"",N(CQ196)&lt;100),"Pend. "&amp;CQ196&amp;"%",""))))</f>
        <v/>
      </c>
      <c r="AU196" s="40" t="str">
        <f aca="false">IF(OR(OR(NOT(AND(ISNUMBER(E196),ISNUMBER(F196))),$J$2=""),9&gt;MAX(1,Reprogramaciones!$U$15)),"",IF(Reprogramaciones!S$12&gt;=7,"",IF(OR(CB196-N(CA196)&gt;0.05,N(Y196)&gt;0),ROUNDDOWN(ROUND(CB196,6),0)&amp;"%"&amp;IF(CR196="",""," / "&amp;CR196&amp;"%"),IF(AND(N(CA196)&gt;=99.95,CR196&lt;&gt;"",N(CR196)&lt;100),"Pend. "&amp;CR196&amp;"%",""))))</f>
        <v/>
      </c>
      <c r="AV196" s="40" t="str">
        <f aca="false">IF(OR(OR(NOT(AND(ISNUMBER(E196),ISNUMBER(F196))),$J$2=""),10&gt;MAX(1,Reprogramaciones!$U$15)),"",IF(Reprogramaciones!T$12&gt;=7,"",IF(OR(CC196-N(CB196)&gt;0.05,N(Z196)&gt;0),ROUNDDOWN(ROUND(CC196,6),0)&amp;"%"&amp;IF(CS196="",""," / "&amp;CS196&amp;"%"),IF(AND(N(CB196)&gt;=99.95,CS196&lt;&gt;"",N(CS196)&lt;100),"Pend. "&amp;CS196&amp;"%",""))))</f>
        <v/>
      </c>
      <c r="AW196" s="40" t="str">
        <f aca="false">IF(OR(OR(NOT(AND(ISNUMBER(E196),ISNUMBER(F196))),$J$2=""),11&gt;MAX(1,Reprogramaciones!$U$15)),"",IF(Reprogramaciones!U$12&gt;=7,"",IF(OR(CD196-N(CC196)&gt;0.05,N(AA196)&gt;0),ROUNDDOWN(ROUND(CD196,6),0)&amp;"%"&amp;IF(CT196="",""," / "&amp;CT196&amp;"%"),IF(AND(N(CC196)&gt;=99.95,CT196&lt;&gt;"",N(CT196)&lt;100),"Pend. "&amp;CT196&amp;"%",""))))</f>
        <v/>
      </c>
      <c r="AX196" s="40" t="str">
        <f aca="false">IF(OR(OR(NOT(AND(ISNUMBER(E196),ISNUMBER(F196))),$J$2=""),12&gt;MAX(1,Reprogramaciones!$U$15)),"",IF(Reprogramaciones!V$12&gt;=7,"",IF(OR(CE196-N(CD196)&gt;0.05,N(AB196)&gt;0),ROUNDDOWN(ROUND(CE196,6),0)&amp;"%"&amp;IF(CU196="",""," / "&amp;CU196&amp;"%"),IF(AND(N(CD196)&gt;=99.95,CU196&lt;&gt;"",N(CU196)&lt;100),"Pend. "&amp;CU196&amp;"%",""))))</f>
        <v/>
      </c>
      <c r="AY196" s="40" t="str">
        <f aca="false">IF(OR(OR(NOT(AND(ISNUMBER(E196),ISNUMBER(F196))),$J$2=""),13&gt;MAX(1,Reprogramaciones!$U$15)),"",IF(Reprogramaciones!W$12&gt;=7,"",IF(OR(CF196-N(CE196)&gt;0.05,N(AC196)&gt;0),ROUNDDOWN(ROUND(CF196,6),0)&amp;"%"&amp;IF(CV196="",""," / "&amp;CV196&amp;"%"),IF(AND(N(CE196)&gt;=99.95,CV196&lt;&gt;"",N(CV196)&lt;100),"Pend. "&amp;CV196&amp;"%",""))))</f>
        <v/>
      </c>
      <c r="AZ196" s="40" t="str">
        <f aca="false">IF(OR(OR(NOT(AND(ISNUMBER(E196),ISNUMBER(F196))),$J$2=""),14&gt;MAX(1,Reprogramaciones!$U$15)),"",IF(Reprogramaciones!X$12&gt;=7,"",IF(OR(CG196-N(CF196)&gt;0.05,N(AD196)&gt;0),ROUNDDOWN(ROUND(CG196,6),0)&amp;"%"&amp;IF(CW196="",""," / "&amp;CW196&amp;"%"),IF(AND(N(CF196)&gt;=99.95,CW196&lt;&gt;"",N(CW196)&lt;100),"Pend. "&amp;CW196&amp;"%",""))))</f>
        <v/>
      </c>
      <c r="BA196" s="40" t="str">
        <f aca="false">IF(OR(OR(NOT(AND(ISNUMBER(E196),ISNUMBER(F196))),$J$2=""),15&gt;MAX(1,Reprogramaciones!$U$15)),"",IF(Reprogramaciones!Y$12&gt;=7,"",IF(OR(CH196-N(CG196)&gt;0.05,N(AE196)&gt;0),ROUNDDOWN(ROUND(CH196,6),0)&amp;"%"&amp;IF(CX196="",""," / "&amp;CX196&amp;"%"),IF(AND(N(CG196)&gt;=99.95,CX196&lt;&gt;"",N(CX196)&lt;100),"Pend. "&amp;CX196&amp;"%",""))))</f>
        <v/>
      </c>
      <c r="BB196" s="40" t="str">
        <f aca="false">IF(OR(OR(NOT(AND(ISNUMBER(E196),ISNUMBER(F196))),$J$2=""),16&gt;MAX(1,Reprogramaciones!$U$15)),"",IF(Reprogramaciones!Z$12&gt;=7,"",IF(OR(CI196-N(CH196)&gt;0.05,N(AF196)&gt;0),ROUNDDOWN(ROUND(CI196,6),0)&amp;"%"&amp;IF(CY196="",""," / "&amp;CY196&amp;"%"),IF(AND(N(CH196)&gt;=99.95,CY196&lt;&gt;"",N(CY196)&lt;100),"Pend. "&amp;CY196&amp;"%",""))))</f>
        <v/>
      </c>
      <c r="BC196" s="31" t="n">
        <f aca="false">IF(AND(ISNUMBER(E196),ISNUMBER(F196)),MAX(1,NETWORKDAYS.INTL(E196,F196,11)),0)</f>
        <v>0</v>
      </c>
      <c r="BD196" s="1" t="str">
        <f aca="false">IF(OR(NOT(AND(ISNUMBER(E196),ISNUMBER(F196))),$J$2=""),"",MIN(100,ROUND(SUM($G196:G196),1)))</f>
        <v/>
      </c>
      <c r="BE196" s="1" t="str">
        <f aca="false">IF(OR(NOT(AND(ISNUMBER(E196),ISNUMBER(F196))),$J$2=""),"",MIN(100,ROUND(SUM($G196:H196),1)))</f>
        <v/>
      </c>
      <c r="BF196" s="1" t="str">
        <f aca="false">IF(OR(NOT(AND(ISNUMBER(E196),ISNUMBER(F196))),$J$2=""),"",MIN(100,ROUND(SUM($G196:I196),1)))</f>
        <v/>
      </c>
      <c r="BG196" s="1" t="str">
        <f aca="false">IF(OR(NOT(AND(ISNUMBER(E196),ISNUMBER(F196))),$J$2=""),"",MIN(100,ROUND(SUM($G196:J196),1)))</f>
        <v/>
      </c>
      <c r="BH196" s="1" t="str">
        <f aca="false">IF(OR(NOT(AND(ISNUMBER(E196),ISNUMBER(F196))),$J$2=""),"",MIN(100,ROUND(SUM($G196:K196),1)))</f>
        <v/>
      </c>
      <c r="BI196" s="1" t="str">
        <f aca="false">IF(OR(NOT(AND(ISNUMBER(E196),ISNUMBER(F196))),$J$2=""),"",MIN(100,ROUND(SUM($G196:L196),1)))</f>
        <v/>
      </c>
      <c r="BJ196" s="1" t="str">
        <f aca="false">IF(OR(NOT(AND(ISNUMBER(E196),ISNUMBER(F196))),$J$2=""),"",MIN(100,ROUND(SUM($G196:M196),1)))</f>
        <v/>
      </c>
      <c r="BK196" s="1" t="str">
        <f aca="false">IF(OR(NOT(AND(ISNUMBER(E196),ISNUMBER(F196))),$J$2=""),"",MIN(100,ROUND(SUM($G196:N196),1)))</f>
        <v/>
      </c>
      <c r="BL196" s="1" t="str">
        <f aca="false">IF(OR(NOT(AND(ISNUMBER(E196),ISNUMBER(F196))),$J$2=""),"",MIN(100,ROUND(SUM($G196:O196),1)))</f>
        <v/>
      </c>
      <c r="BM196" s="1" t="str">
        <f aca="false">IF(OR(NOT(AND(ISNUMBER(E196),ISNUMBER(F196))),$J$2=""),"",MIN(100,ROUND(SUM($G196:P196),1)))</f>
        <v/>
      </c>
      <c r="BN196" s="1" t="str">
        <f aca="false">IF(OR(NOT(AND(ISNUMBER(E196),ISNUMBER(F196))),$J$2=""),"",MIN(100,ROUND(SUM($G196:P196),1)))</f>
        <v/>
      </c>
      <c r="BO196" s="1" t="str">
        <f aca="false">IF(OR(NOT(AND(ISNUMBER(E196),ISNUMBER(F196))),$J$2=""),"",MIN(100,ROUND(SUM($G196:P196),1)))</f>
        <v/>
      </c>
      <c r="BP196" s="1" t="str">
        <f aca="false">IF(OR(NOT(AND(ISNUMBER(E196),ISNUMBER(F196))),$J$2=""),"",MIN(100,ROUND(SUM($G196:P196),1)))</f>
        <v/>
      </c>
      <c r="BQ196" s="1" t="str">
        <f aca="false">IF(OR(NOT(AND(ISNUMBER(E196),ISNUMBER(F196))),$J$2=""),"",MIN(100,ROUND(SUM($G196:P196),1)))</f>
        <v/>
      </c>
      <c r="BR196" s="1" t="str">
        <f aca="false">IF(OR(NOT(AND(ISNUMBER(E196),ISNUMBER(F196))),$J$2=""),"",MIN(100,ROUND(SUM($G196:P196),1)))</f>
        <v/>
      </c>
      <c r="BS196" s="1" t="str">
        <f aca="false">IF(OR(NOT(AND(ISNUMBER(E196),ISNUMBER(F196))),$J$2=""),"",MIN(100,ROUND(SUM($G196:P196),1)))</f>
        <v/>
      </c>
      <c r="BT196" s="1" t="str">
        <f aca="false">IF(OR(NOT(AND(ISNUMBER(E196),ISNUMBER(F196))),$J$2=""),"",IF(Reprogramaciones!K$13&lt;Reprogramaciones!$T$15,0,IF(Reprogramaciones!K$14&gt;10,MIN(100,SUM($G196:$P196)),MIN(100,SUMPRODUCT((COLUMN($G196:$P196)-COLUMN($G196)+1&lt;Reprogramaciones!K$14)*$G196:$P196)+N(INDEX($G196:$P196,1,Reprogramaciones!K$14))*IF(Reprogramaciones!K$13&gt;=(Reprogramaciones!$T$15+7*(Reprogramaciones!K$14-1))+6,1,IF(MAX(0,NETWORKDAYS.INTL(MAX(E196,(Reprogramaciones!$T$15+7*(Reprogramaciones!K$14-1))),MIN(F196,(Reprogramaciones!$T$15+7*(Reprogramaciones!K$14-1))+6),11))=0,0,MAX(0,NETWORKDAYS.INTL(MAX(E196,(Reprogramaciones!$T$15+7*(Reprogramaciones!K$14-1))),MIN(F196,Reprogramaciones!K$13),11))/MAX(0,NETWORKDAYS.INTL(MAX(E196,(Reprogramaciones!$T$15+7*(Reprogramaciones!K$14-1))),MIN(F196,(Reprogramaciones!$T$15+7*(Reprogramaciones!K$14-1))+6),11))))))))</f>
        <v/>
      </c>
      <c r="BU196" s="1" t="str">
        <f aca="false">IF(OR(NOT(AND(ISNUMBER(E196),ISNUMBER(F196))),$J$2=""),"",IF(Reprogramaciones!L$13&lt;Reprogramaciones!$T$15,0,IF(Reprogramaciones!L$14&gt;10,MIN(100,SUM($G196:$P196)),MIN(100,SUMPRODUCT((COLUMN($G196:$P196)-COLUMN($G196)+1&lt;Reprogramaciones!L$14)*$G196:$P196)+N(INDEX($G196:$P196,1,Reprogramaciones!L$14))*IF(Reprogramaciones!L$13&gt;=(Reprogramaciones!$T$15+7*(Reprogramaciones!L$14-1))+6,1,IF(MAX(0,NETWORKDAYS.INTL(MAX(E196,(Reprogramaciones!$T$15+7*(Reprogramaciones!L$14-1))),MIN(F196,(Reprogramaciones!$T$15+7*(Reprogramaciones!L$14-1))+6),11))=0,0,MAX(0,NETWORKDAYS.INTL(MAX(E196,(Reprogramaciones!$T$15+7*(Reprogramaciones!L$14-1))),MIN(F196,Reprogramaciones!L$13),11))/MAX(0,NETWORKDAYS.INTL(MAX(E196,(Reprogramaciones!$T$15+7*(Reprogramaciones!L$14-1))),MIN(F196,(Reprogramaciones!$T$15+7*(Reprogramaciones!L$14-1))+6),11))))))))</f>
        <v/>
      </c>
      <c r="BV196" s="1" t="str">
        <f aca="false">IF(OR(NOT(AND(ISNUMBER(E196),ISNUMBER(F196))),$J$2=""),"",IF(Reprogramaciones!M$13&lt;Reprogramaciones!$T$15,0,IF(Reprogramaciones!M$14&gt;10,MIN(100,SUM($G196:$P196)),MIN(100,SUMPRODUCT((COLUMN($G196:$P196)-COLUMN($G196)+1&lt;Reprogramaciones!M$14)*$G196:$P196)+N(INDEX($G196:$P196,1,Reprogramaciones!M$14))*IF(Reprogramaciones!M$13&gt;=(Reprogramaciones!$T$15+7*(Reprogramaciones!M$14-1))+6,1,IF(MAX(0,NETWORKDAYS.INTL(MAX(E196,(Reprogramaciones!$T$15+7*(Reprogramaciones!M$14-1))),MIN(F196,(Reprogramaciones!$T$15+7*(Reprogramaciones!M$14-1))+6),11))=0,0,MAX(0,NETWORKDAYS.INTL(MAX(E196,(Reprogramaciones!$T$15+7*(Reprogramaciones!M$14-1))),MIN(F196,Reprogramaciones!M$13),11))/MAX(0,NETWORKDAYS.INTL(MAX(E196,(Reprogramaciones!$T$15+7*(Reprogramaciones!M$14-1))),MIN(F196,(Reprogramaciones!$T$15+7*(Reprogramaciones!M$14-1))+6),11))))))))</f>
        <v/>
      </c>
      <c r="BW196" s="1" t="str">
        <f aca="false">IF(OR(NOT(AND(ISNUMBER(E196),ISNUMBER(F196))),$J$2=""),"",IF(Reprogramaciones!N$13&lt;Reprogramaciones!$T$15,0,IF(Reprogramaciones!N$14&gt;10,MIN(100,SUM($G196:$P196)),MIN(100,SUMPRODUCT((COLUMN($G196:$P196)-COLUMN($G196)+1&lt;Reprogramaciones!N$14)*$G196:$P196)+N(INDEX($G196:$P196,1,Reprogramaciones!N$14))*IF(Reprogramaciones!N$13&gt;=(Reprogramaciones!$T$15+7*(Reprogramaciones!N$14-1))+6,1,IF(MAX(0,NETWORKDAYS.INTL(MAX(E196,(Reprogramaciones!$T$15+7*(Reprogramaciones!N$14-1))),MIN(F196,(Reprogramaciones!$T$15+7*(Reprogramaciones!N$14-1))+6),11))=0,0,MAX(0,NETWORKDAYS.INTL(MAX(E196,(Reprogramaciones!$T$15+7*(Reprogramaciones!N$14-1))),MIN(F196,Reprogramaciones!N$13),11))/MAX(0,NETWORKDAYS.INTL(MAX(E196,(Reprogramaciones!$T$15+7*(Reprogramaciones!N$14-1))),MIN(F196,(Reprogramaciones!$T$15+7*(Reprogramaciones!N$14-1))+6),11))))))))</f>
        <v/>
      </c>
      <c r="BX196" s="1" t="str">
        <f aca="false">IF(OR(NOT(AND(ISNUMBER(E196),ISNUMBER(F196))),$J$2=""),"",IF(Reprogramaciones!O$13&lt;Reprogramaciones!$T$15,0,IF(Reprogramaciones!O$14&gt;10,MIN(100,SUM($G196:$P196)),MIN(100,SUMPRODUCT((COLUMN($G196:$P196)-COLUMN($G196)+1&lt;Reprogramaciones!O$14)*$G196:$P196)+N(INDEX($G196:$P196,1,Reprogramaciones!O$14))*IF(Reprogramaciones!O$13&gt;=(Reprogramaciones!$T$15+7*(Reprogramaciones!O$14-1))+6,1,IF(MAX(0,NETWORKDAYS.INTL(MAX(E196,(Reprogramaciones!$T$15+7*(Reprogramaciones!O$14-1))),MIN(F196,(Reprogramaciones!$T$15+7*(Reprogramaciones!O$14-1))+6),11))=0,0,MAX(0,NETWORKDAYS.INTL(MAX(E196,(Reprogramaciones!$T$15+7*(Reprogramaciones!O$14-1))),MIN(F196,Reprogramaciones!O$13),11))/MAX(0,NETWORKDAYS.INTL(MAX(E196,(Reprogramaciones!$T$15+7*(Reprogramaciones!O$14-1))),MIN(F196,(Reprogramaciones!$T$15+7*(Reprogramaciones!O$14-1))+6),11))))))))</f>
        <v/>
      </c>
      <c r="BY196" s="1" t="str">
        <f aca="false">IF(OR(NOT(AND(ISNUMBER(E196),ISNUMBER(F196))),$J$2=""),"",IF(Reprogramaciones!P$13&lt;Reprogramaciones!$T$15,0,IF(Reprogramaciones!P$14&gt;10,MIN(100,SUM($G196:$P196)),MIN(100,SUMPRODUCT((COLUMN($G196:$P196)-COLUMN($G196)+1&lt;Reprogramaciones!P$14)*$G196:$P196)+N(INDEX($G196:$P196,1,Reprogramaciones!P$14))*IF(Reprogramaciones!P$13&gt;=(Reprogramaciones!$T$15+7*(Reprogramaciones!P$14-1))+6,1,IF(MAX(0,NETWORKDAYS.INTL(MAX(E196,(Reprogramaciones!$T$15+7*(Reprogramaciones!P$14-1))),MIN(F196,(Reprogramaciones!$T$15+7*(Reprogramaciones!P$14-1))+6),11))=0,0,MAX(0,NETWORKDAYS.INTL(MAX(E196,(Reprogramaciones!$T$15+7*(Reprogramaciones!P$14-1))),MIN(F196,Reprogramaciones!P$13),11))/MAX(0,NETWORKDAYS.INTL(MAX(E196,(Reprogramaciones!$T$15+7*(Reprogramaciones!P$14-1))),MIN(F196,(Reprogramaciones!$T$15+7*(Reprogramaciones!P$14-1))+6),11))))))))</f>
        <v/>
      </c>
      <c r="BZ196" s="1" t="str">
        <f aca="false">IF(OR(NOT(AND(ISNUMBER(E196),ISNUMBER(F196))),$J$2=""),"",IF(Reprogramaciones!Q$13&lt;Reprogramaciones!$T$15,0,IF(Reprogramaciones!Q$14&gt;10,MIN(100,SUM($G196:$P196)),MIN(100,SUMPRODUCT((COLUMN($G196:$P196)-COLUMN($G196)+1&lt;Reprogramaciones!Q$14)*$G196:$P196)+N(INDEX($G196:$P196,1,Reprogramaciones!Q$14))*IF(Reprogramaciones!Q$13&gt;=(Reprogramaciones!$T$15+7*(Reprogramaciones!Q$14-1))+6,1,IF(MAX(0,NETWORKDAYS.INTL(MAX(E196,(Reprogramaciones!$T$15+7*(Reprogramaciones!Q$14-1))),MIN(F196,(Reprogramaciones!$T$15+7*(Reprogramaciones!Q$14-1))+6),11))=0,0,MAX(0,NETWORKDAYS.INTL(MAX(E196,(Reprogramaciones!$T$15+7*(Reprogramaciones!Q$14-1))),MIN(F196,Reprogramaciones!Q$13),11))/MAX(0,NETWORKDAYS.INTL(MAX(E196,(Reprogramaciones!$T$15+7*(Reprogramaciones!Q$14-1))),MIN(F196,(Reprogramaciones!$T$15+7*(Reprogramaciones!Q$14-1))+6),11))))))))</f>
        <v/>
      </c>
      <c r="CA196" s="1" t="str">
        <f aca="false">IF(OR(NOT(AND(ISNUMBER(E196),ISNUMBER(F196))),$J$2=""),"",IF(Reprogramaciones!R$13&lt;Reprogramaciones!$T$15,0,IF(Reprogramaciones!R$14&gt;10,MIN(100,SUM($G196:$P196)),MIN(100,SUMPRODUCT((COLUMN($G196:$P196)-COLUMN($G196)+1&lt;Reprogramaciones!R$14)*$G196:$P196)+N(INDEX($G196:$P196,1,Reprogramaciones!R$14))*IF(Reprogramaciones!R$13&gt;=(Reprogramaciones!$T$15+7*(Reprogramaciones!R$14-1))+6,1,IF(MAX(0,NETWORKDAYS.INTL(MAX(E196,(Reprogramaciones!$T$15+7*(Reprogramaciones!R$14-1))),MIN(F196,(Reprogramaciones!$T$15+7*(Reprogramaciones!R$14-1))+6),11))=0,0,MAX(0,NETWORKDAYS.INTL(MAX(E196,(Reprogramaciones!$T$15+7*(Reprogramaciones!R$14-1))),MIN(F196,Reprogramaciones!R$13),11))/MAX(0,NETWORKDAYS.INTL(MAX(E196,(Reprogramaciones!$T$15+7*(Reprogramaciones!R$14-1))),MIN(F196,(Reprogramaciones!$T$15+7*(Reprogramaciones!R$14-1))+6),11))))))))</f>
        <v/>
      </c>
      <c r="CB196" s="1" t="str">
        <f aca="false">IF(OR(NOT(AND(ISNUMBER(E196),ISNUMBER(F196))),$J$2=""),"",IF(Reprogramaciones!S$13&lt;Reprogramaciones!$T$15,0,IF(Reprogramaciones!S$14&gt;10,MIN(100,SUM($G196:$P196)),MIN(100,SUMPRODUCT((COLUMN($G196:$P196)-COLUMN($G196)+1&lt;Reprogramaciones!S$14)*$G196:$P196)+N(INDEX($G196:$P196,1,Reprogramaciones!S$14))*IF(Reprogramaciones!S$13&gt;=(Reprogramaciones!$T$15+7*(Reprogramaciones!S$14-1))+6,1,IF(MAX(0,NETWORKDAYS.INTL(MAX(E196,(Reprogramaciones!$T$15+7*(Reprogramaciones!S$14-1))),MIN(F196,(Reprogramaciones!$T$15+7*(Reprogramaciones!S$14-1))+6),11))=0,0,MAX(0,NETWORKDAYS.INTL(MAX(E196,(Reprogramaciones!$T$15+7*(Reprogramaciones!S$14-1))),MIN(F196,Reprogramaciones!S$13),11))/MAX(0,NETWORKDAYS.INTL(MAX(E196,(Reprogramaciones!$T$15+7*(Reprogramaciones!S$14-1))),MIN(F196,(Reprogramaciones!$T$15+7*(Reprogramaciones!S$14-1))+6),11))))))))</f>
        <v/>
      </c>
      <c r="CC196" s="1" t="str">
        <f aca="false">IF(OR(NOT(AND(ISNUMBER(E196),ISNUMBER(F196))),$J$2=""),"",IF(Reprogramaciones!T$13&lt;Reprogramaciones!$T$15,0,IF(Reprogramaciones!T$14&gt;10,MIN(100,SUM($G196:$P196)),MIN(100,SUMPRODUCT((COLUMN($G196:$P196)-COLUMN($G196)+1&lt;Reprogramaciones!T$14)*$G196:$P196)+N(INDEX($G196:$P196,1,Reprogramaciones!T$14))*IF(Reprogramaciones!T$13&gt;=(Reprogramaciones!$T$15+7*(Reprogramaciones!T$14-1))+6,1,IF(MAX(0,NETWORKDAYS.INTL(MAX(E196,(Reprogramaciones!$T$15+7*(Reprogramaciones!T$14-1))),MIN(F196,(Reprogramaciones!$T$15+7*(Reprogramaciones!T$14-1))+6),11))=0,0,MAX(0,NETWORKDAYS.INTL(MAX(E196,(Reprogramaciones!$T$15+7*(Reprogramaciones!T$14-1))),MIN(F196,Reprogramaciones!T$13),11))/MAX(0,NETWORKDAYS.INTL(MAX(E196,(Reprogramaciones!$T$15+7*(Reprogramaciones!T$14-1))),MIN(F196,(Reprogramaciones!$T$15+7*(Reprogramaciones!T$14-1))+6),11))))))))</f>
        <v/>
      </c>
      <c r="CD196" s="1" t="str">
        <f aca="false">IF(OR(NOT(AND(ISNUMBER(E196),ISNUMBER(F196))),$J$2=""),"",IF(Reprogramaciones!U$13&lt;Reprogramaciones!$T$15,0,IF(Reprogramaciones!U$14&gt;10,MIN(100,SUM($G196:$P196)),MIN(100,SUMPRODUCT((COLUMN($G196:$P196)-COLUMN($G196)+1&lt;Reprogramaciones!U$14)*$G196:$P196)+N(INDEX($G196:$P196,1,Reprogramaciones!U$14))*IF(Reprogramaciones!U$13&gt;=(Reprogramaciones!$T$15+7*(Reprogramaciones!U$14-1))+6,1,IF(MAX(0,NETWORKDAYS.INTL(MAX(E196,(Reprogramaciones!$T$15+7*(Reprogramaciones!U$14-1))),MIN(F196,(Reprogramaciones!$T$15+7*(Reprogramaciones!U$14-1))+6),11))=0,0,MAX(0,NETWORKDAYS.INTL(MAX(E196,(Reprogramaciones!$T$15+7*(Reprogramaciones!U$14-1))),MIN(F196,Reprogramaciones!U$13),11))/MAX(0,NETWORKDAYS.INTL(MAX(E196,(Reprogramaciones!$T$15+7*(Reprogramaciones!U$14-1))),MIN(F196,(Reprogramaciones!$T$15+7*(Reprogramaciones!U$14-1))+6),11))))))))</f>
        <v/>
      </c>
      <c r="CE196" s="1" t="str">
        <f aca="false">IF(OR(NOT(AND(ISNUMBER(E196),ISNUMBER(F196))),$J$2=""),"",IF(Reprogramaciones!V$13&lt;Reprogramaciones!$T$15,0,IF(Reprogramaciones!V$14&gt;10,MIN(100,SUM($G196:$P196)),MIN(100,SUMPRODUCT((COLUMN($G196:$P196)-COLUMN($G196)+1&lt;Reprogramaciones!V$14)*$G196:$P196)+N(INDEX($G196:$P196,1,Reprogramaciones!V$14))*IF(Reprogramaciones!V$13&gt;=(Reprogramaciones!$T$15+7*(Reprogramaciones!V$14-1))+6,1,IF(MAX(0,NETWORKDAYS.INTL(MAX(E196,(Reprogramaciones!$T$15+7*(Reprogramaciones!V$14-1))),MIN(F196,(Reprogramaciones!$T$15+7*(Reprogramaciones!V$14-1))+6),11))=0,0,MAX(0,NETWORKDAYS.INTL(MAX(E196,(Reprogramaciones!$T$15+7*(Reprogramaciones!V$14-1))),MIN(F196,Reprogramaciones!V$13),11))/MAX(0,NETWORKDAYS.INTL(MAX(E196,(Reprogramaciones!$T$15+7*(Reprogramaciones!V$14-1))),MIN(F196,(Reprogramaciones!$T$15+7*(Reprogramaciones!V$14-1))+6),11))))))))</f>
        <v/>
      </c>
      <c r="CF196" s="1" t="str">
        <f aca="false">IF(OR(NOT(AND(ISNUMBER(E196),ISNUMBER(F196))),$J$2=""),"",IF(Reprogramaciones!W$13&lt;Reprogramaciones!$T$15,0,IF(Reprogramaciones!W$14&gt;10,MIN(100,SUM($G196:$P196)),MIN(100,SUMPRODUCT((COLUMN($G196:$P196)-COLUMN($G196)+1&lt;Reprogramaciones!W$14)*$G196:$P196)+N(INDEX($G196:$P196,1,Reprogramaciones!W$14))*IF(Reprogramaciones!W$13&gt;=(Reprogramaciones!$T$15+7*(Reprogramaciones!W$14-1))+6,1,IF(MAX(0,NETWORKDAYS.INTL(MAX(E196,(Reprogramaciones!$T$15+7*(Reprogramaciones!W$14-1))),MIN(F196,(Reprogramaciones!$T$15+7*(Reprogramaciones!W$14-1))+6),11))=0,0,MAX(0,NETWORKDAYS.INTL(MAX(E196,(Reprogramaciones!$T$15+7*(Reprogramaciones!W$14-1))),MIN(F196,Reprogramaciones!W$13),11))/MAX(0,NETWORKDAYS.INTL(MAX(E196,(Reprogramaciones!$T$15+7*(Reprogramaciones!W$14-1))),MIN(F196,(Reprogramaciones!$T$15+7*(Reprogramaciones!W$14-1))+6),11))))))))</f>
        <v/>
      </c>
      <c r="CG196" s="1" t="str">
        <f aca="false">IF(OR(NOT(AND(ISNUMBER(E196),ISNUMBER(F196))),$J$2=""),"",IF(Reprogramaciones!X$13&lt;Reprogramaciones!$T$15,0,IF(Reprogramaciones!X$14&gt;10,MIN(100,SUM($G196:$P196)),MIN(100,SUMPRODUCT((COLUMN($G196:$P196)-COLUMN($G196)+1&lt;Reprogramaciones!X$14)*$G196:$P196)+N(INDEX($G196:$P196,1,Reprogramaciones!X$14))*IF(Reprogramaciones!X$13&gt;=(Reprogramaciones!$T$15+7*(Reprogramaciones!X$14-1))+6,1,IF(MAX(0,NETWORKDAYS.INTL(MAX(E196,(Reprogramaciones!$T$15+7*(Reprogramaciones!X$14-1))),MIN(F196,(Reprogramaciones!$T$15+7*(Reprogramaciones!X$14-1))+6),11))=0,0,MAX(0,NETWORKDAYS.INTL(MAX(E196,(Reprogramaciones!$T$15+7*(Reprogramaciones!X$14-1))),MIN(F196,Reprogramaciones!X$13),11))/MAX(0,NETWORKDAYS.INTL(MAX(E196,(Reprogramaciones!$T$15+7*(Reprogramaciones!X$14-1))),MIN(F196,(Reprogramaciones!$T$15+7*(Reprogramaciones!X$14-1))+6),11))))))))</f>
        <v/>
      </c>
      <c r="CH196" s="1" t="str">
        <f aca="false">IF(OR(NOT(AND(ISNUMBER(E196),ISNUMBER(F196))),$J$2=""),"",IF(Reprogramaciones!Y$13&lt;Reprogramaciones!$T$15,0,IF(Reprogramaciones!Y$14&gt;10,MIN(100,SUM($G196:$P196)),MIN(100,SUMPRODUCT((COLUMN($G196:$P196)-COLUMN($G196)+1&lt;Reprogramaciones!Y$14)*$G196:$P196)+N(INDEX($G196:$P196,1,Reprogramaciones!Y$14))*IF(Reprogramaciones!Y$13&gt;=(Reprogramaciones!$T$15+7*(Reprogramaciones!Y$14-1))+6,1,IF(MAX(0,NETWORKDAYS.INTL(MAX(E196,(Reprogramaciones!$T$15+7*(Reprogramaciones!Y$14-1))),MIN(F196,(Reprogramaciones!$T$15+7*(Reprogramaciones!Y$14-1))+6),11))=0,0,MAX(0,NETWORKDAYS.INTL(MAX(E196,(Reprogramaciones!$T$15+7*(Reprogramaciones!Y$14-1))),MIN(F196,Reprogramaciones!Y$13),11))/MAX(0,NETWORKDAYS.INTL(MAX(E196,(Reprogramaciones!$T$15+7*(Reprogramaciones!Y$14-1))),MIN(F196,(Reprogramaciones!$T$15+7*(Reprogramaciones!Y$14-1))+6),11))))))))</f>
        <v/>
      </c>
      <c r="CI196" s="1" t="str">
        <f aca="false">IF(OR(NOT(AND(ISNUMBER(E196),ISNUMBER(F196))),$J$2=""),"",IF(Reprogramaciones!Z$13&lt;Reprogramaciones!$T$15,0,IF(Reprogramaciones!Z$14&gt;10,MIN(100,SUM($G196:$P196)),MIN(100,SUMPRODUCT((COLUMN($G196:$P196)-COLUMN($G196)+1&lt;Reprogramaciones!Z$14)*$G196:$P196)+N(INDEX($G196:$P196,1,Reprogramaciones!Z$14))*IF(Reprogramaciones!Z$13&gt;=(Reprogramaciones!$T$15+7*(Reprogramaciones!Z$14-1))+6,1,IF(MAX(0,NETWORKDAYS.INTL(MAX(E196,(Reprogramaciones!$T$15+7*(Reprogramaciones!Z$14-1))),MIN(F196,(Reprogramaciones!$T$15+7*(Reprogramaciones!Z$14-1))+6),11))=0,0,MAX(0,NETWORKDAYS.INTL(MAX(E196,(Reprogramaciones!$T$15+7*(Reprogramaciones!Z$14-1))),MIN(F196,Reprogramaciones!Z$13),11))/MAX(0,NETWORKDAYS.INTL(MAX(E196,(Reprogramaciones!$T$15+7*(Reprogramaciones!Z$14-1))),MIN(F196,(Reprogramaciones!$T$15+7*(Reprogramaciones!Z$14-1))+6),11))))))))</f>
        <v/>
      </c>
      <c r="CJ196" s="1" t="str">
        <f aca="false">IF(OR(OR(NOT(AND(ISNUMBER(E196),ISNUMBER(F196))),$J$2=""),1&gt;Reprogramaciones!$K$16),"",IF(ROUND(SUM($Q196:Q196),1)&gt;=99.5,100,MIN(100,ROUND(SUM($Q196:Q196),1))))</f>
        <v/>
      </c>
      <c r="CK196" s="1" t="str">
        <f aca="false">IF(OR(OR(NOT(AND(ISNUMBER(E196),ISNUMBER(F196))),$J$2=""),2&gt;Reprogramaciones!$K$16),"",IF(ROUND(SUM($Q196:R196),1)&gt;=99.5,100,MIN(100,ROUND(SUM($Q196:R196),1))))</f>
        <v/>
      </c>
      <c r="CL196" s="1" t="str">
        <f aca="false">IF(OR(OR(NOT(AND(ISNUMBER(E196),ISNUMBER(F196))),$J$2=""),3&gt;Reprogramaciones!$K$16),"",IF(ROUND(SUM($Q196:S196),1)&gt;=99.5,100,MIN(100,ROUND(SUM($Q196:S196),1))))</f>
        <v/>
      </c>
      <c r="CM196" s="1" t="str">
        <f aca="false">IF(OR(OR(NOT(AND(ISNUMBER(E196),ISNUMBER(F196))),$J$2=""),4&gt;Reprogramaciones!$K$16),"",IF(ROUND(SUM($Q196:T196),1)&gt;=99.5,100,MIN(100,ROUND(SUM($Q196:T196),1))))</f>
        <v/>
      </c>
      <c r="CN196" s="1" t="str">
        <f aca="false">IF(OR(OR(NOT(AND(ISNUMBER(E196),ISNUMBER(F196))),$J$2=""),5&gt;Reprogramaciones!$K$16),"",IF(ROUND(SUM($Q196:U196),1)&gt;=99.5,100,MIN(100,ROUND(SUM($Q196:U196),1))))</f>
        <v/>
      </c>
      <c r="CO196" s="1" t="str">
        <f aca="false">IF(OR(OR(NOT(AND(ISNUMBER(E196),ISNUMBER(F196))),$J$2=""),6&gt;Reprogramaciones!$K$16),"",IF(ROUND(SUM($Q196:V196),1)&gt;=99.5,100,MIN(100,ROUND(SUM($Q196:V196),1))))</f>
        <v/>
      </c>
      <c r="CP196" s="1" t="str">
        <f aca="false">IF(OR(OR(NOT(AND(ISNUMBER(E196),ISNUMBER(F196))),$J$2=""),7&gt;Reprogramaciones!$K$16),"",IF(ROUND(SUM($Q196:W196),1)&gt;=99.5,100,MIN(100,ROUND(SUM($Q196:W196),1))))</f>
        <v/>
      </c>
      <c r="CQ196" s="1" t="str">
        <f aca="false">IF(OR(OR(NOT(AND(ISNUMBER(E196),ISNUMBER(F196))),$J$2=""),8&gt;Reprogramaciones!$K$16),"",IF(ROUND(SUM($Q196:X196),1)&gt;=99.5,100,MIN(100,ROUND(SUM($Q196:X196),1))))</f>
        <v/>
      </c>
      <c r="CR196" s="1" t="str">
        <f aca="false">IF(OR(OR(NOT(AND(ISNUMBER(E196),ISNUMBER(F196))),$J$2=""),9&gt;Reprogramaciones!$K$16),"",IF(ROUND(SUM($Q196:Y196),1)&gt;=99.5,100,MIN(100,ROUND(SUM($Q196:Y196),1))))</f>
        <v/>
      </c>
      <c r="CS196" s="1" t="str">
        <f aca="false">IF(OR(OR(NOT(AND(ISNUMBER(E196),ISNUMBER(F196))),$J$2=""),10&gt;Reprogramaciones!$K$16),"",IF(ROUND(SUM($Q196:Z196),1)&gt;=99.5,100,MIN(100,ROUND(SUM($Q196:Z196),1))))</f>
        <v/>
      </c>
      <c r="CT196" s="1" t="str">
        <f aca="false">IF(OR(OR(NOT(AND(ISNUMBER(E196),ISNUMBER(F196))),$J$2=""),11&gt;Reprogramaciones!$K$16),"",IF(ROUND(SUM($Q196:AA196),1)&gt;=99.5,100,MIN(100,ROUND(SUM($Q196:AA196),1))))</f>
        <v/>
      </c>
      <c r="CU196" s="1" t="str">
        <f aca="false">IF(OR(OR(NOT(AND(ISNUMBER(E196),ISNUMBER(F196))),$J$2=""),12&gt;Reprogramaciones!$K$16),"",IF(ROUND(SUM($Q196:AB196),1)&gt;=99.5,100,MIN(100,ROUND(SUM($Q196:AB196),1))))</f>
        <v/>
      </c>
      <c r="CV196" s="1" t="str">
        <f aca="false">IF(OR(OR(NOT(AND(ISNUMBER(E196),ISNUMBER(F196))),$J$2=""),13&gt;Reprogramaciones!$K$16),"",IF(ROUND(SUM($Q196:AC196),1)&gt;=99.5,100,MIN(100,ROUND(SUM($Q196:AC196),1))))</f>
        <v/>
      </c>
      <c r="CW196" s="1" t="str">
        <f aca="false">IF(OR(OR(NOT(AND(ISNUMBER(E196),ISNUMBER(F196))),$J$2=""),14&gt;Reprogramaciones!$K$16),"",IF(ROUND(SUM($Q196:AD196),1)&gt;=99.5,100,MIN(100,ROUND(SUM($Q196:AD196),1))))</f>
        <v/>
      </c>
      <c r="CX196" s="1" t="str">
        <f aca="false">IF(OR(OR(NOT(AND(ISNUMBER(E196),ISNUMBER(F196))),$J$2=""),15&gt;Reprogramaciones!$K$16),"",IF(ROUND(SUM($Q196:AE196),1)&gt;=99.5,100,MIN(100,ROUND(SUM($Q196:AE196),1))))</f>
        <v/>
      </c>
      <c r="CY196" s="1" t="str">
        <f aca="false">IF(OR(OR(NOT(AND(ISNUMBER(E196),ISNUMBER(F196))),$J$2=""),16&gt;Reprogramaciones!$K$16),"",IF(ROUND(SUM($Q196:AF196),1)&gt;=99.5,100,MIN(100,ROUND(SUM($Q196:AF196),1))))</f>
        <v/>
      </c>
      <c r="CZ196" s="1" t="str">
        <f aca="false">IF(D196&lt;&gt;"",D196,IF(B196&lt;&gt;"","Contractual",CZ195))</f>
        <v>Contractual</v>
      </c>
      <c r="DA196" s="1" t="str">
        <f aca="false">IF(OR(NOT(AND(ISNUMBER(E196),ISNUMBER(F196))),$J$2=""),"",IF(Reprogramaciones!$Q$15&lt;Reprogramaciones!$T$15,0,IF(Reprogramaciones!$S$15&gt;10,MIN(100,SUM($G196:$P196)),MIN(100,SUMPRODUCT((COLUMN($G196:$P196)-COLUMN($G196)+1&lt;Reprogramaciones!$S$15)*$G196:$P196)+N(INDEX($G196:$P196,1,Reprogramaciones!$S$15))*IF(Reprogramaciones!$Q$15&gt;=(Reprogramaciones!$T$15+7*(Reprogramaciones!$S$15-1))+6,1,IF(MAX(0,NETWORKDAYS.INTL(MAX(E196,(Reprogramaciones!$T$15+7*(Reprogramaciones!$S$15-1))),MIN(F196,(Reprogramaciones!$T$15+7*(Reprogramaciones!$S$15-1))+6),11))=0,0,MAX(0,NETWORKDAYS.INTL(MAX(E196,(Reprogramaciones!$T$15+7*(Reprogramaciones!$S$15-1))),MIN(F196,Reprogramaciones!$Q$15),11))/MAX(0,NETWORKDAYS.INTL(MAX(E196,(Reprogramaciones!$T$15+7*(Reprogramaciones!$S$15-1))),MIN(F196,(Reprogramaciones!$T$15+7*(Reprogramaciones!$S$15-1))+6),11))))))))</f>
        <v/>
      </c>
    </row>
    <row r="197" customFormat="false" ht="15" hidden="false" customHeight="false" outlineLevel="0" collapsed="false">
      <c r="A197" s="32"/>
      <c r="B197" s="33"/>
      <c r="C197" s="33"/>
      <c r="D197" s="34"/>
      <c r="E197" s="35"/>
      <c r="F197" s="35"/>
      <c r="G197" s="36" t="str">
        <f aca="false">IF(OR(NOT(AND(ISNUMBER(E197),ISNUMBER(F197))),$J$2=""),"",IF(Reprogramaciones!K$9&lt;E197,0,IF(NETWORKDAYS.INTL(E197,F197,11)=0,IF(Reprogramaciones!K$9&gt;=F197,100,0),ROUND(NETWORKDAYS.INTL(E197,MIN(F197,Reprogramaciones!K$9),11)/NETWORKDAYS.INTL(E197,F197,11)*100,1)))-0)</f>
        <v/>
      </c>
      <c r="H197" s="36" t="str">
        <f aca="false">IF(OR(NOT(AND(ISNUMBER(E197),ISNUMBER(F197))),$J$2=""),"",IF(Reprogramaciones!L$9&lt;E197,0,IF(NETWORKDAYS.INTL(E197,F197,11)=0,IF(Reprogramaciones!L$9&gt;=F197,100,0),ROUND(NETWORKDAYS.INTL(E197,MIN(F197,Reprogramaciones!L$9),11)/NETWORKDAYS.INTL(E197,F197,11)*100,1)))-IF(Reprogramaciones!K$9&lt;E197,0,IF(NETWORKDAYS.INTL(E197,F197,11)=0,IF(Reprogramaciones!K$9&gt;=F197,100,0),ROUND(NETWORKDAYS.INTL(E197,MIN(F197,Reprogramaciones!K$9),11)/NETWORKDAYS.INTL(E197,F197,11)*100,1))))</f>
        <v/>
      </c>
      <c r="I197" s="36" t="str">
        <f aca="false">IF(OR(NOT(AND(ISNUMBER(E197),ISNUMBER(F197))),$J$2=""),"",IF(Reprogramaciones!M$9&lt;E197,0,IF(NETWORKDAYS.INTL(E197,F197,11)=0,IF(Reprogramaciones!M$9&gt;=F197,100,0),ROUND(NETWORKDAYS.INTL(E197,MIN(F197,Reprogramaciones!M$9),11)/NETWORKDAYS.INTL(E197,F197,11)*100,1)))-IF(Reprogramaciones!L$9&lt;E197,0,IF(NETWORKDAYS.INTL(E197,F197,11)=0,IF(Reprogramaciones!L$9&gt;=F197,100,0),ROUND(NETWORKDAYS.INTL(E197,MIN(F197,Reprogramaciones!L$9),11)/NETWORKDAYS.INTL(E197,F197,11)*100,1))))</f>
        <v/>
      </c>
      <c r="J197" s="36" t="str">
        <f aca="false">IF(OR(NOT(AND(ISNUMBER(E197),ISNUMBER(F197))),$J$2=""),"",IF(Reprogramaciones!N$9&lt;E197,0,IF(NETWORKDAYS.INTL(E197,F197,11)=0,IF(Reprogramaciones!N$9&gt;=F197,100,0),ROUND(NETWORKDAYS.INTL(E197,MIN(F197,Reprogramaciones!N$9),11)/NETWORKDAYS.INTL(E197,F197,11)*100,1)))-IF(Reprogramaciones!M$9&lt;E197,0,IF(NETWORKDAYS.INTL(E197,F197,11)=0,IF(Reprogramaciones!M$9&gt;=F197,100,0),ROUND(NETWORKDAYS.INTL(E197,MIN(F197,Reprogramaciones!M$9),11)/NETWORKDAYS.INTL(E197,F197,11)*100,1))))</f>
        <v/>
      </c>
      <c r="K197" s="36" t="str">
        <f aca="false">IF(OR(NOT(AND(ISNUMBER(E197),ISNUMBER(F197))),$J$2=""),"",IF(Reprogramaciones!O$9&lt;E197,0,IF(NETWORKDAYS.INTL(E197,F197,11)=0,IF(Reprogramaciones!O$9&gt;=F197,100,0),ROUND(NETWORKDAYS.INTL(E197,MIN(F197,Reprogramaciones!O$9),11)/NETWORKDAYS.INTL(E197,F197,11)*100,1)))-IF(Reprogramaciones!N$9&lt;E197,0,IF(NETWORKDAYS.INTL(E197,F197,11)=0,IF(Reprogramaciones!N$9&gt;=F197,100,0),ROUND(NETWORKDAYS.INTL(E197,MIN(F197,Reprogramaciones!N$9),11)/NETWORKDAYS.INTL(E197,F197,11)*100,1))))</f>
        <v/>
      </c>
      <c r="L197" s="36" t="str">
        <f aca="false">IF(OR(NOT(AND(ISNUMBER(E197),ISNUMBER(F197))),$J$2=""),"",IF(Reprogramaciones!P$9&lt;E197,0,IF(NETWORKDAYS.INTL(E197,F197,11)=0,IF(Reprogramaciones!P$9&gt;=F197,100,0),ROUND(NETWORKDAYS.INTL(E197,MIN(F197,Reprogramaciones!P$9),11)/NETWORKDAYS.INTL(E197,F197,11)*100,1)))-IF(Reprogramaciones!O$9&lt;E197,0,IF(NETWORKDAYS.INTL(E197,F197,11)=0,IF(Reprogramaciones!O$9&gt;=F197,100,0),ROUND(NETWORKDAYS.INTL(E197,MIN(F197,Reprogramaciones!O$9),11)/NETWORKDAYS.INTL(E197,F197,11)*100,1))))</f>
        <v/>
      </c>
      <c r="M197" s="36" t="str">
        <f aca="false">IF(OR(NOT(AND(ISNUMBER(E197),ISNUMBER(F197))),$J$2=""),"",IF(Reprogramaciones!Q$9&lt;E197,0,IF(NETWORKDAYS.INTL(E197,F197,11)=0,IF(Reprogramaciones!Q$9&gt;=F197,100,0),ROUND(NETWORKDAYS.INTL(E197,MIN(F197,Reprogramaciones!Q$9),11)/NETWORKDAYS.INTL(E197,F197,11)*100,1)))-IF(Reprogramaciones!P$9&lt;E197,0,IF(NETWORKDAYS.INTL(E197,F197,11)=0,IF(Reprogramaciones!P$9&gt;=F197,100,0),ROUND(NETWORKDAYS.INTL(E197,MIN(F197,Reprogramaciones!P$9),11)/NETWORKDAYS.INTL(E197,F197,11)*100,1))))</f>
        <v/>
      </c>
      <c r="N197" s="36" t="str">
        <f aca="false">IF(OR(NOT(AND(ISNUMBER(E197),ISNUMBER(F197))),$J$2=""),"",IF(Reprogramaciones!R$9&lt;E197,0,IF(NETWORKDAYS.INTL(E197,F197,11)=0,IF(Reprogramaciones!R$9&gt;=F197,100,0),ROUND(NETWORKDAYS.INTL(E197,MIN(F197,Reprogramaciones!R$9),11)/NETWORKDAYS.INTL(E197,F197,11)*100,1)))-IF(Reprogramaciones!Q$9&lt;E197,0,IF(NETWORKDAYS.INTL(E197,F197,11)=0,IF(Reprogramaciones!Q$9&gt;=F197,100,0),ROUND(NETWORKDAYS.INTL(E197,MIN(F197,Reprogramaciones!Q$9),11)/NETWORKDAYS.INTL(E197,F197,11)*100,1))))</f>
        <v/>
      </c>
      <c r="O197" s="36" t="str">
        <f aca="false">IF(OR(NOT(AND(ISNUMBER(E197),ISNUMBER(F197))),$J$2=""),"",IF(Reprogramaciones!S$9&lt;E197,0,IF(NETWORKDAYS.INTL(E197,F197,11)=0,IF(Reprogramaciones!S$9&gt;=F197,100,0),ROUND(NETWORKDAYS.INTL(E197,MIN(F197,Reprogramaciones!S$9),11)/NETWORKDAYS.INTL(E197,F197,11)*100,1)))-IF(Reprogramaciones!R$9&lt;E197,0,IF(NETWORKDAYS.INTL(E197,F197,11)=0,IF(Reprogramaciones!R$9&gt;=F197,100,0),ROUND(NETWORKDAYS.INTL(E197,MIN(F197,Reprogramaciones!R$9),11)/NETWORKDAYS.INTL(E197,F197,11)*100,1))))</f>
        <v/>
      </c>
      <c r="P197" s="36" t="str">
        <f aca="false">IF(OR(NOT(AND(ISNUMBER(E197),ISNUMBER(F197))),$J$2=""),"",IF(Reprogramaciones!T$9&lt;E197,0,IF(NETWORKDAYS.INTL(E197,F197,11)=0,IF(Reprogramaciones!T$9&gt;=F197,100,0),ROUND(NETWORKDAYS.INTL(E197,MIN(F197,Reprogramaciones!T$9),11)/NETWORKDAYS.INTL(E197,F197,11)*100,1)))-IF(Reprogramaciones!S$9&lt;E197,0,IF(NETWORKDAYS.INTL(E197,F197,11)=0,IF(Reprogramaciones!S$9&gt;=F197,100,0),ROUND(NETWORKDAYS.INTL(E197,MIN(F197,Reprogramaciones!S$9),11)/NETWORKDAYS.INTL(E197,F197,11)*100,1))))</f>
        <v/>
      </c>
      <c r="Q197" s="37"/>
      <c r="R197" s="37"/>
      <c r="S197" s="37"/>
      <c r="T197" s="37"/>
      <c r="U197" s="37"/>
      <c r="V197" s="37"/>
      <c r="W197" s="37"/>
      <c r="X197" s="37"/>
      <c r="Y197" s="37"/>
      <c r="Z197" s="37"/>
      <c r="AA197" s="37"/>
      <c r="AB197" s="37"/>
      <c r="AC197" s="37"/>
      <c r="AD197" s="37"/>
      <c r="AE197" s="37"/>
      <c r="AF197" s="37"/>
      <c r="AG197" s="38" t="str">
        <f aca="false">IF(AND(ISNUMBER(E197),ISNUMBER(F197)),NETWORKDAYS.INTL(E197,F197,11),"")</f>
        <v/>
      </c>
      <c r="AH197" s="38" t="str">
        <f aca="false">IF(OR(NOT(AND(ISNUMBER(E197),ISNUMBER(F197))),$J$2=""),"",IF(Reprogramaciones!$P$15&lt;Reprogramaciones!$T$15,0,IF(Reprogramaciones!$R$15&gt;10,MIN(100,SUM($G197:$P197)),MIN(100,SUMPRODUCT((COLUMN($G197:$P197)-COLUMN($G197)+1&lt;Reprogramaciones!$R$15)*$G197:$P197)+N(INDEX($G197:$P197,1,Reprogramaciones!$R$15))*IF(Reprogramaciones!$P$15&gt;=(Reprogramaciones!$T$15+7*(Reprogramaciones!$R$15-1))+6,1,IF(MAX(0,NETWORKDAYS.INTL(MAX(E197,(Reprogramaciones!$T$15+7*(Reprogramaciones!$R$15-1))),MIN(F197,(Reprogramaciones!$T$15+7*(Reprogramaciones!$R$15-1))+6),11))=0,0,MAX(0,NETWORKDAYS.INTL(MAX(E197,(Reprogramaciones!$T$15+7*(Reprogramaciones!$R$15-1))),MIN(F197,Reprogramaciones!$P$15),11))/MAX(0,NETWORKDAYS.INTL(MAX(E197,(Reprogramaciones!$T$15+7*(Reprogramaciones!$R$15-1))),MIN(F197,(Reprogramaciones!$T$15+7*(Reprogramaciones!$R$15-1))+6),11))))))))</f>
        <v/>
      </c>
      <c r="AI197" s="38" t="str">
        <f aca="false">IF(COUNT($Q197:$AF197)=0,"",IF(ROUND(SUM($Q197:$AF197),1)&gt;=99.5,100,MIN(100,ROUND(SUM($Q197:$AF197),1))))</f>
        <v/>
      </c>
      <c r="AJ197" s="38" t="str">
        <f aca="false">IF(OR(AH197="",AI197=""),"",AI197-AH197)</f>
        <v/>
      </c>
      <c r="AK197" s="39" t="str">
        <f aca="true">IF(AH197="","",IF(OR(Ficha!$C$10="Suspendida",Ficha!$C$10="Cancelada"),Ficha!$C$10,IF(AND(AI197&lt;&gt;"",N(AI197)&gt;=100),"Completada",IF(AND(E197&gt;TODAY(),N(AI197)=0),"Por iniciar",IF(N(AI197)+0.5&lt;AH197,"Retrasada",IF(N(AI197)+0.5&lt;DA197,IF(Reprogramaciones!$K$15&gt;0,"Al día · Sem "&amp;Reprogramaciones!$K$15&amp;" en curso","Al día · en curso"),"A tiempo"))))))</f>
        <v/>
      </c>
      <c r="AL197" s="39" t="str">
        <f aca="true">IF(AND(A197="",AND(B197="",C197="",E197="",F197="",COUNT(Q197:AF197)=0)),"",IF(AND(B197="",C197="",E197="",F197="",COUNT(Q197:AF197)=0),"Falta la partida o subpartida",IF(AND(A197&lt;&gt;"",COUNTIF($A$6:$A$305,A197)&gt;1),"Ítem repetido",IF(AND(C197="",E197="",F197="",COUNT(Q197:AF197)=0),"Título de partida",IF(OR(E197="",F197=""),"Faltan fechas",IF(OR(ISTEXT(E197),ISTEXT(F197)),"Fecha escrita como texto: usa dd/mm/aaaa",IF(F197&lt;E197,"Fin antes del inicio",IF(IF($J$2="",FALSE(),OR(E197&lt;$J$2,F197&gt;Reprogramaciones!$T$15+69)),"Fuera de las 10 semanas",IF(ABS(SUM(G197:P197)-100)&gt;0.5,"La meta no suma 100%",IF(ROUND(SUM(Q197:AF197),1)&gt;100.5,"El avance pasa de 100%",IF(MIN(Q197:AF197)&lt;0,"Avance negativo",IF(COUNTA(Q197:AF197)&gt;COUNT(Q197:AF197),"Avance escrito como texto",IF(SUMPRODUCT((Q197:AF197&gt;0)*(Q197:AF197&lt;1))&gt;0,"Avance menor a 1: escribe 50, no 50%",IF(SUMPRODUCT(ISNUMBER(Q197:AF197)*(Reprogramaciones!$K$8:$Z$8&gt;TODAY()))&gt;0,"Avance en semana que aún no llega",IF(AND(N(Reprogramaciones!$E$21)&gt;0,F197&gt;Reprogramaciones!$E$21),"Pasa el fin de la obra: registra una reprogramación",IF(AND(N(Reprogramaciones!$E$21)&gt;0,SUMPRODUCT(ISNUMBER(Q197:AF197)*(Reprogramaciones!$K$8:$Z$8&gt;Reprogramaciones!$E$21))&gt;0),"Avance después del fin de la obra: registra una reprogramación por atraso","OK"))))))))))))))))</f>
        <v/>
      </c>
      <c r="AM197" s="40" t="str">
        <f aca="false">IF(OR(OR(NOT(AND(ISNUMBER(E197),ISNUMBER(F197))),$J$2=""),1&gt;MAX(1,Reprogramaciones!$U$15)),"",IF(Reprogramaciones!K$12&gt;=7,"",IF(OR(BT197-N(0)&gt;0.05,N(Q197)&gt;0),ROUNDDOWN(ROUND(BT197,6),0)&amp;"%"&amp;IF(CJ197="",""," / "&amp;CJ197&amp;"%"),IF(AND(N(0)&gt;=99.95,CJ197&lt;&gt;"",N(CJ197)&lt;100),"Pend. "&amp;CJ197&amp;"%",""))))</f>
        <v/>
      </c>
      <c r="AN197" s="40" t="str">
        <f aca="false">IF(OR(OR(NOT(AND(ISNUMBER(E197),ISNUMBER(F197))),$J$2=""),2&gt;MAX(1,Reprogramaciones!$U$15)),"",IF(Reprogramaciones!L$12&gt;=7,"",IF(OR(BU197-N(BT197)&gt;0.05,N(R197)&gt;0),ROUNDDOWN(ROUND(BU197,6),0)&amp;"%"&amp;IF(CK197="",""," / "&amp;CK197&amp;"%"),IF(AND(N(BT197)&gt;=99.95,CK197&lt;&gt;"",N(CK197)&lt;100),"Pend. "&amp;CK197&amp;"%",""))))</f>
        <v/>
      </c>
      <c r="AO197" s="40" t="str">
        <f aca="false">IF(OR(OR(NOT(AND(ISNUMBER(E197),ISNUMBER(F197))),$J$2=""),3&gt;MAX(1,Reprogramaciones!$U$15)),"",IF(Reprogramaciones!M$12&gt;=7,"",IF(OR(BV197-N(BU197)&gt;0.05,N(S197)&gt;0),ROUNDDOWN(ROUND(BV197,6),0)&amp;"%"&amp;IF(CL197="",""," / "&amp;CL197&amp;"%"),IF(AND(N(BU197)&gt;=99.95,CL197&lt;&gt;"",N(CL197)&lt;100),"Pend. "&amp;CL197&amp;"%",""))))</f>
        <v/>
      </c>
      <c r="AP197" s="40" t="str">
        <f aca="false">IF(OR(OR(NOT(AND(ISNUMBER(E197),ISNUMBER(F197))),$J$2=""),4&gt;MAX(1,Reprogramaciones!$U$15)),"",IF(Reprogramaciones!N$12&gt;=7,"",IF(OR(BW197-N(BV197)&gt;0.05,N(T197)&gt;0),ROUNDDOWN(ROUND(BW197,6),0)&amp;"%"&amp;IF(CM197="",""," / "&amp;CM197&amp;"%"),IF(AND(N(BV197)&gt;=99.95,CM197&lt;&gt;"",N(CM197)&lt;100),"Pend. "&amp;CM197&amp;"%",""))))</f>
        <v/>
      </c>
      <c r="AQ197" s="40" t="str">
        <f aca="false">IF(OR(OR(NOT(AND(ISNUMBER(E197),ISNUMBER(F197))),$J$2=""),5&gt;MAX(1,Reprogramaciones!$U$15)),"",IF(Reprogramaciones!O$12&gt;=7,"",IF(OR(BX197-N(BW197)&gt;0.05,N(U197)&gt;0),ROUNDDOWN(ROUND(BX197,6),0)&amp;"%"&amp;IF(CN197="",""," / "&amp;CN197&amp;"%"),IF(AND(N(BW197)&gt;=99.95,CN197&lt;&gt;"",N(CN197)&lt;100),"Pend. "&amp;CN197&amp;"%",""))))</f>
        <v/>
      </c>
      <c r="AR197" s="40" t="str">
        <f aca="false">IF(OR(OR(NOT(AND(ISNUMBER(E197),ISNUMBER(F197))),$J$2=""),6&gt;MAX(1,Reprogramaciones!$U$15)),"",IF(Reprogramaciones!P$12&gt;=7,"",IF(OR(BY197-N(BX197)&gt;0.05,N(V197)&gt;0),ROUNDDOWN(ROUND(BY197,6),0)&amp;"%"&amp;IF(CO197="",""," / "&amp;CO197&amp;"%"),IF(AND(N(BX197)&gt;=99.95,CO197&lt;&gt;"",N(CO197)&lt;100),"Pend. "&amp;CO197&amp;"%",""))))</f>
        <v/>
      </c>
      <c r="AS197" s="40" t="str">
        <f aca="false">IF(OR(OR(NOT(AND(ISNUMBER(E197),ISNUMBER(F197))),$J$2=""),7&gt;MAX(1,Reprogramaciones!$U$15)),"",IF(Reprogramaciones!Q$12&gt;=7,"",IF(OR(BZ197-N(BY197)&gt;0.05,N(W197)&gt;0),ROUNDDOWN(ROUND(BZ197,6),0)&amp;"%"&amp;IF(CP197="",""," / "&amp;CP197&amp;"%"),IF(AND(N(BY197)&gt;=99.95,CP197&lt;&gt;"",N(CP197)&lt;100),"Pend. "&amp;CP197&amp;"%",""))))</f>
        <v/>
      </c>
      <c r="AT197" s="40" t="str">
        <f aca="false">IF(OR(OR(NOT(AND(ISNUMBER(E197),ISNUMBER(F197))),$J$2=""),8&gt;MAX(1,Reprogramaciones!$U$15)),"",IF(Reprogramaciones!R$12&gt;=7,"",IF(OR(CA197-N(BZ197)&gt;0.05,N(X197)&gt;0),ROUNDDOWN(ROUND(CA197,6),0)&amp;"%"&amp;IF(CQ197="",""," / "&amp;CQ197&amp;"%"),IF(AND(N(BZ197)&gt;=99.95,CQ197&lt;&gt;"",N(CQ197)&lt;100),"Pend. "&amp;CQ197&amp;"%",""))))</f>
        <v/>
      </c>
      <c r="AU197" s="40" t="str">
        <f aca="false">IF(OR(OR(NOT(AND(ISNUMBER(E197),ISNUMBER(F197))),$J$2=""),9&gt;MAX(1,Reprogramaciones!$U$15)),"",IF(Reprogramaciones!S$12&gt;=7,"",IF(OR(CB197-N(CA197)&gt;0.05,N(Y197)&gt;0),ROUNDDOWN(ROUND(CB197,6),0)&amp;"%"&amp;IF(CR197="",""," / "&amp;CR197&amp;"%"),IF(AND(N(CA197)&gt;=99.95,CR197&lt;&gt;"",N(CR197)&lt;100),"Pend. "&amp;CR197&amp;"%",""))))</f>
        <v/>
      </c>
      <c r="AV197" s="40" t="str">
        <f aca="false">IF(OR(OR(NOT(AND(ISNUMBER(E197),ISNUMBER(F197))),$J$2=""),10&gt;MAX(1,Reprogramaciones!$U$15)),"",IF(Reprogramaciones!T$12&gt;=7,"",IF(OR(CC197-N(CB197)&gt;0.05,N(Z197)&gt;0),ROUNDDOWN(ROUND(CC197,6),0)&amp;"%"&amp;IF(CS197="",""," / "&amp;CS197&amp;"%"),IF(AND(N(CB197)&gt;=99.95,CS197&lt;&gt;"",N(CS197)&lt;100),"Pend. "&amp;CS197&amp;"%",""))))</f>
        <v/>
      </c>
      <c r="AW197" s="40" t="str">
        <f aca="false">IF(OR(OR(NOT(AND(ISNUMBER(E197),ISNUMBER(F197))),$J$2=""),11&gt;MAX(1,Reprogramaciones!$U$15)),"",IF(Reprogramaciones!U$12&gt;=7,"",IF(OR(CD197-N(CC197)&gt;0.05,N(AA197)&gt;0),ROUNDDOWN(ROUND(CD197,6),0)&amp;"%"&amp;IF(CT197="",""," / "&amp;CT197&amp;"%"),IF(AND(N(CC197)&gt;=99.95,CT197&lt;&gt;"",N(CT197)&lt;100),"Pend. "&amp;CT197&amp;"%",""))))</f>
        <v/>
      </c>
      <c r="AX197" s="40" t="str">
        <f aca="false">IF(OR(OR(NOT(AND(ISNUMBER(E197),ISNUMBER(F197))),$J$2=""),12&gt;MAX(1,Reprogramaciones!$U$15)),"",IF(Reprogramaciones!V$12&gt;=7,"",IF(OR(CE197-N(CD197)&gt;0.05,N(AB197)&gt;0),ROUNDDOWN(ROUND(CE197,6),0)&amp;"%"&amp;IF(CU197="",""," / "&amp;CU197&amp;"%"),IF(AND(N(CD197)&gt;=99.95,CU197&lt;&gt;"",N(CU197)&lt;100),"Pend. "&amp;CU197&amp;"%",""))))</f>
        <v/>
      </c>
      <c r="AY197" s="40" t="str">
        <f aca="false">IF(OR(OR(NOT(AND(ISNUMBER(E197),ISNUMBER(F197))),$J$2=""),13&gt;MAX(1,Reprogramaciones!$U$15)),"",IF(Reprogramaciones!W$12&gt;=7,"",IF(OR(CF197-N(CE197)&gt;0.05,N(AC197)&gt;0),ROUNDDOWN(ROUND(CF197,6),0)&amp;"%"&amp;IF(CV197="",""," / "&amp;CV197&amp;"%"),IF(AND(N(CE197)&gt;=99.95,CV197&lt;&gt;"",N(CV197)&lt;100),"Pend. "&amp;CV197&amp;"%",""))))</f>
        <v/>
      </c>
      <c r="AZ197" s="40" t="str">
        <f aca="false">IF(OR(OR(NOT(AND(ISNUMBER(E197),ISNUMBER(F197))),$J$2=""),14&gt;MAX(1,Reprogramaciones!$U$15)),"",IF(Reprogramaciones!X$12&gt;=7,"",IF(OR(CG197-N(CF197)&gt;0.05,N(AD197)&gt;0),ROUNDDOWN(ROUND(CG197,6),0)&amp;"%"&amp;IF(CW197="",""," / "&amp;CW197&amp;"%"),IF(AND(N(CF197)&gt;=99.95,CW197&lt;&gt;"",N(CW197)&lt;100),"Pend. "&amp;CW197&amp;"%",""))))</f>
        <v/>
      </c>
      <c r="BA197" s="40" t="str">
        <f aca="false">IF(OR(OR(NOT(AND(ISNUMBER(E197),ISNUMBER(F197))),$J$2=""),15&gt;MAX(1,Reprogramaciones!$U$15)),"",IF(Reprogramaciones!Y$12&gt;=7,"",IF(OR(CH197-N(CG197)&gt;0.05,N(AE197)&gt;0),ROUNDDOWN(ROUND(CH197,6),0)&amp;"%"&amp;IF(CX197="",""," / "&amp;CX197&amp;"%"),IF(AND(N(CG197)&gt;=99.95,CX197&lt;&gt;"",N(CX197)&lt;100),"Pend. "&amp;CX197&amp;"%",""))))</f>
        <v/>
      </c>
      <c r="BB197" s="40" t="str">
        <f aca="false">IF(OR(OR(NOT(AND(ISNUMBER(E197),ISNUMBER(F197))),$J$2=""),16&gt;MAX(1,Reprogramaciones!$U$15)),"",IF(Reprogramaciones!Z$12&gt;=7,"",IF(OR(CI197-N(CH197)&gt;0.05,N(AF197)&gt;0),ROUNDDOWN(ROUND(CI197,6),0)&amp;"%"&amp;IF(CY197="",""," / "&amp;CY197&amp;"%"),IF(AND(N(CH197)&gt;=99.95,CY197&lt;&gt;"",N(CY197)&lt;100),"Pend. "&amp;CY197&amp;"%",""))))</f>
        <v/>
      </c>
      <c r="BC197" s="31" t="n">
        <f aca="false">IF(AND(ISNUMBER(E197),ISNUMBER(F197)),MAX(1,NETWORKDAYS.INTL(E197,F197,11)),0)</f>
        <v>0</v>
      </c>
      <c r="BD197" s="1" t="str">
        <f aca="false">IF(OR(NOT(AND(ISNUMBER(E197),ISNUMBER(F197))),$J$2=""),"",MIN(100,ROUND(SUM($G197:G197),1)))</f>
        <v/>
      </c>
      <c r="BE197" s="1" t="str">
        <f aca="false">IF(OR(NOT(AND(ISNUMBER(E197),ISNUMBER(F197))),$J$2=""),"",MIN(100,ROUND(SUM($G197:H197),1)))</f>
        <v/>
      </c>
      <c r="BF197" s="1" t="str">
        <f aca="false">IF(OR(NOT(AND(ISNUMBER(E197),ISNUMBER(F197))),$J$2=""),"",MIN(100,ROUND(SUM($G197:I197),1)))</f>
        <v/>
      </c>
      <c r="BG197" s="1" t="str">
        <f aca="false">IF(OR(NOT(AND(ISNUMBER(E197),ISNUMBER(F197))),$J$2=""),"",MIN(100,ROUND(SUM($G197:J197),1)))</f>
        <v/>
      </c>
      <c r="BH197" s="1" t="str">
        <f aca="false">IF(OR(NOT(AND(ISNUMBER(E197),ISNUMBER(F197))),$J$2=""),"",MIN(100,ROUND(SUM($G197:K197),1)))</f>
        <v/>
      </c>
      <c r="BI197" s="1" t="str">
        <f aca="false">IF(OR(NOT(AND(ISNUMBER(E197),ISNUMBER(F197))),$J$2=""),"",MIN(100,ROUND(SUM($G197:L197),1)))</f>
        <v/>
      </c>
      <c r="BJ197" s="1" t="str">
        <f aca="false">IF(OR(NOT(AND(ISNUMBER(E197),ISNUMBER(F197))),$J$2=""),"",MIN(100,ROUND(SUM($G197:M197),1)))</f>
        <v/>
      </c>
      <c r="BK197" s="1" t="str">
        <f aca="false">IF(OR(NOT(AND(ISNUMBER(E197),ISNUMBER(F197))),$J$2=""),"",MIN(100,ROUND(SUM($G197:N197),1)))</f>
        <v/>
      </c>
      <c r="BL197" s="1" t="str">
        <f aca="false">IF(OR(NOT(AND(ISNUMBER(E197),ISNUMBER(F197))),$J$2=""),"",MIN(100,ROUND(SUM($G197:O197),1)))</f>
        <v/>
      </c>
      <c r="BM197" s="1" t="str">
        <f aca="false">IF(OR(NOT(AND(ISNUMBER(E197),ISNUMBER(F197))),$J$2=""),"",MIN(100,ROUND(SUM($G197:P197),1)))</f>
        <v/>
      </c>
      <c r="BN197" s="1" t="str">
        <f aca="false">IF(OR(NOT(AND(ISNUMBER(E197),ISNUMBER(F197))),$J$2=""),"",MIN(100,ROUND(SUM($G197:P197),1)))</f>
        <v/>
      </c>
      <c r="BO197" s="1" t="str">
        <f aca="false">IF(OR(NOT(AND(ISNUMBER(E197),ISNUMBER(F197))),$J$2=""),"",MIN(100,ROUND(SUM($G197:P197),1)))</f>
        <v/>
      </c>
      <c r="BP197" s="1" t="str">
        <f aca="false">IF(OR(NOT(AND(ISNUMBER(E197),ISNUMBER(F197))),$J$2=""),"",MIN(100,ROUND(SUM($G197:P197),1)))</f>
        <v/>
      </c>
      <c r="BQ197" s="1" t="str">
        <f aca="false">IF(OR(NOT(AND(ISNUMBER(E197),ISNUMBER(F197))),$J$2=""),"",MIN(100,ROUND(SUM($G197:P197),1)))</f>
        <v/>
      </c>
      <c r="BR197" s="1" t="str">
        <f aca="false">IF(OR(NOT(AND(ISNUMBER(E197),ISNUMBER(F197))),$J$2=""),"",MIN(100,ROUND(SUM($G197:P197),1)))</f>
        <v/>
      </c>
      <c r="BS197" s="1" t="str">
        <f aca="false">IF(OR(NOT(AND(ISNUMBER(E197),ISNUMBER(F197))),$J$2=""),"",MIN(100,ROUND(SUM($G197:P197),1)))</f>
        <v/>
      </c>
      <c r="BT197" s="1" t="str">
        <f aca="false">IF(OR(NOT(AND(ISNUMBER(E197),ISNUMBER(F197))),$J$2=""),"",IF(Reprogramaciones!K$13&lt;Reprogramaciones!$T$15,0,IF(Reprogramaciones!K$14&gt;10,MIN(100,SUM($G197:$P197)),MIN(100,SUMPRODUCT((COLUMN($G197:$P197)-COLUMN($G197)+1&lt;Reprogramaciones!K$14)*$G197:$P197)+N(INDEX($G197:$P197,1,Reprogramaciones!K$14))*IF(Reprogramaciones!K$13&gt;=(Reprogramaciones!$T$15+7*(Reprogramaciones!K$14-1))+6,1,IF(MAX(0,NETWORKDAYS.INTL(MAX(E197,(Reprogramaciones!$T$15+7*(Reprogramaciones!K$14-1))),MIN(F197,(Reprogramaciones!$T$15+7*(Reprogramaciones!K$14-1))+6),11))=0,0,MAX(0,NETWORKDAYS.INTL(MAX(E197,(Reprogramaciones!$T$15+7*(Reprogramaciones!K$14-1))),MIN(F197,Reprogramaciones!K$13),11))/MAX(0,NETWORKDAYS.INTL(MAX(E197,(Reprogramaciones!$T$15+7*(Reprogramaciones!K$14-1))),MIN(F197,(Reprogramaciones!$T$15+7*(Reprogramaciones!K$14-1))+6),11))))))))</f>
        <v/>
      </c>
      <c r="BU197" s="1" t="str">
        <f aca="false">IF(OR(NOT(AND(ISNUMBER(E197),ISNUMBER(F197))),$J$2=""),"",IF(Reprogramaciones!L$13&lt;Reprogramaciones!$T$15,0,IF(Reprogramaciones!L$14&gt;10,MIN(100,SUM($G197:$P197)),MIN(100,SUMPRODUCT((COLUMN($G197:$P197)-COLUMN($G197)+1&lt;Reprogramaciones!L$14)*$G197:$P197)+N(INDEX($G197:$P197,1,Reprogramaciones!L$14))*IF(Reprogramaciones!L$13&gt;=(Reprogramaciones!$T$15+7*(Reprogramaciones!L$14-1))+6,1,IF(MAX(0,NETWORKDAYS.INTL(MAX(E197,(Reprogramaciones!$T$15+7*(Reprogramaciones!L$14-1))),MIN(F197,(Reprogramaciones!$T$15+7*(Reprogramaciones!L$14-1))+6),11))=0,0,MAX(0,NETWORKDAYS.INTL(MAX(E197,(Reprogramaciones!$T$15+7*(Reprogramaciones!L$14-1))),MIN(F197,Reprogramaciones!L$13),11))/MAX(0,NETWORKDAYS.INTL(MAX(E197,(Reprogramaciones!$T$15+7*(Reprogramaciones!L$14-1))),MIN(F197,(Reprogramaciones!$T$15+7*(Reprogramaciones!L$14-1))+6),11))))))))</f>
        <v/>
      </c>
      <c r="BV197" s="1" t="str">
        <f aca="false">IF(OR(NOT(AND(ISNUMBER(E197),ISNUMBER(F197))),$J$2=""),"",IF(Reprogramaciones!M$13&lt;Reprogramaciones!$T$15,0,IF(Reprogramaciones!M$14&gt;10,MIN(100,SUM($G197:$P197)),MIN(100,SUMPRODUCT((COLUMN($G197:$P197)-COLUMN($G197)+1&lt;Reprogramaciones!M$14)*$G197:$P197)+N(INDEX($G197:$P197,1,Reprogramaciones!M$14))*IF(Reprogramaciones!M$13&gt;=(Reprogramaciones!$T$15+7*(Reprogramaciones!M$14-1))+6,1,IF(MAX(0,NETWORKDAYS.INTL(MAX(E197,(Reprogramaciones!$T$15+7*(Reprogramaciones!M$14-1))),MIN(F197,(Reprogramaciones!$T$15+7*(Reprogramaciones!M$14-1))+6),11))=0,0,MAX(0,NETWORKDAYS.INTL(MAX(E197,(Reprogramaciones!$T$15+7*(Reprogramaciones!M$14-1))),MIN(F197,Reprogramaciones!M$13),11))/MAX(0,NETWORKDAYS.INTL(MAX(E197,(Reprogramaciones!$T$15+7*(Reprogramaciones!M$14-1))),MIN(F197,(Reprogramaciones!$T$15+7*(Reprogramaciones!M$14-1))+6),11))))))))</f>
        <v/>
      </c>
      <c r="BW197" s="1" t="str">
        <f aca="false">IF(OR(NOT(AND(ISNUMBER(E197),ISNUMBER(F197))),$J$2=""),"",IF(Reprogramaciones!N$13&lt;Reprogramaciones!$T$15,0,IF(Reprogramaciones!N$14&gt;10,MIN(100,SUM($G197:$P197)),MIN(100,SUMPRODUCT((COLUMN($G197:$P197)-COLUMN($G197)+1&lt;Reprogramaciones!N$14)*$G197:$P197)+N(INDEX($G197:$P197,1,Reprogramaciones!N$14))*IF(Reprogramaciones!N$13&gt;=(Reprogramaciones!$T$15+7*(Reprogramaciones!N$14-1))+6,1,IF(MAX(0,NETWORKDAYS.INTL(MAX(E197,(Reprogramaciones!$T$15+7*(Reprogramaciones!N$14-1))),MIN(F197,(Reprogramaciones!$T$15+7*(Reprogramaciones!N$14-1))+6),11))=0,0,MAX(0,NETWORKDAYS.INTL(MAX(E197,(Reprogramaciones!$T$15+7*(Reprogramaciones!N$14-1))),MIN(F197,Reprogramaciones!N$13),11))/MAX(0,NETWORKDAYS.INTL(MAX(E197,(Reprogramaciones!$T$15+7*(Reprogramaciones!N$14-1))),MIN(F197,(Reprogramaciones!$T$15+7*(Reprogramaciones!N$14-1))+6),11))))))))</f>
        <v/>
      </c>
      <c r="BX197" s="1" t="str">
        <f aca="false">IF(OR(NOT(AND(ISNUMBER(E197),ISNUMBER(F197))),$J$2=""),"",IF(Reprogramaciones!O$13&lt;Reprogramaciones!$T$15,0,IF(Reprogramaciones!O$14&gt;10,MIN(100,SUM($G197:$P197)),MIN(100,SUMPRODUCT((COLUMN($G197:$P197)-COLUMN($G197)+1&lt;Reprogramaciones!O$14)*$G197:$P197)+N(INDEX($G197:$P197,1,Reprogramaciones!O$14))*IF(Reprogramaciones!O$13&gt;=(Reprogramaciones!$T$15+7*(Reprogramaciones!O$14-1))+6,1,IF(MAX(0,NETWORKDAYS.INTL(MAX(E197,(Reprogramaciones!$T$15+7*(Reprogramaciones!O$14-1))),MIN(F197,(Reprogramaciones!$T$15+7*(Reprogramaciones!O$14-1))+6),11))=0,0,MAX(0,NETWORKDAYS.INTL(MAX(E197,(Reprogramaciones!$T$15+7*(Reprogramaciones!O$14-1))),MIN(F197,Reprogramaciones!O$13),11))/MAX(0,NETWORKDAYS.INTL(MAX(E197,(Reprogramaciones!$T$15+7*(Reprogramaciones!O$14-1))),MIN(F197,(Reprogramaciones!$T$15+7*(Reprogramaciones!O$14-1))+6),11))))))))</f>
        <v/>
      </c>
      <c r="BY197" s="1" t="str">
        <f aca="false">IF(OR(NOT(AND(ISNUMBER(E197),ISNUMBER(F197))),$J$2=""),"",IF(Reprogramaciones!P$13&lt;Reprogramaciones!$T$15,0,IF(Reprogramaciones!P$14&gt;10,MIN(100,SUM($G197:$P197)),MIN(100,SUMPRODUCT((COLUMN($G197:$P197)-COLUMN($G197)+1&lt;Reprogramaciones!P$14)*$G197:$P197)+N(INDEX($G197:$P197,1,Reprogramaciones!P$14))*IF(Reprogramaciones!P$13&gt;=(Reprogramaciones!$T$15+7*(Reprogramaciones!P$14-1))+6,1,IF(MAX(0,NETWORKDAYS.INTL(MAX(E197,(Reprogramaciones!$T$15+7*(Reprogramaciones!P$14-1))),MIN(F197,(Reprogramaciones!$T$15+7*(Reprogramaciones!P$14-1))+6),11))=0,0,MAX(0,NETWORKDAYS.INTL(MAX(E197,(Reprogramaciones!$T$15+7*(Reprogramaciones!P$14-1))),MIN(F197,Reprogramaciones!P$13),11))/MAX(0,NETWORKDAYS.INTL(MAX(E197,(Reprogramaciones!$T$15+7*(Reprogramaciones!P$14-1))),MIN(F197,(Reprogramaciones!$T$15+7*(Reprogramaciones!P$14-1))+6),11))))))))</f>
        <v/>
      </c>
      <c r="BZ197" s="1" t="str">
        <f aca="false">IF(OR(NOT(AND(ISNUMBER(E197),ISNUMBER(F197))),$J$2=""),"",IF(Reprogramaciones!Q$13&lt;Reprogramaciones!$T$15,0,IF(Reprogramaciones!Q$14&gt;10,MIN(100,SUM($G197:$P197)),MIN(100,SUMPRODUCT((COLUMN($G197:$P197)-COLUMN($G197)+1&lt;Reprogramaciones!Q$14)*$G197:$P197)+N(INDEX($G197:$P197,1,Reprogramaciones!Q$14))*IF(Reprogramaciones!Q$13&gt;=(Reprogramaciones!$T$15+7*(Reprogramaciones!Q$14-1))+6,1,IF(MAX(0,NETWORKDAYS.INTL(MAX(E197,(Reprogramaciones!$T$15+7*(Reprogramaciones!Q$14-1))),MIN(F197,(Reprogramaciones!$T$15+7*(Reprogramaciones!Q$14-1))+6),11))=0,0,MAX(0,NETWORKDAYS.INTL(MAX(E197,(Reprogramaciones!$T$15+7*(Reprogramaciones!Q$14-1))),MIN(F197,Reprogramaciones!Q$13),11))/MAX(0,NETWORKDAYS.INTL(MAX(E197,(Reprogramaciones!$T$15+7*(Reprogramaciones!Q$14-1))),MIN(F197,(Reprogramaciones!$T$15+7*(Reprogramaciones!Q$14-1))+6),11))))))))</f>
        <v/>
      </c>
      <c r="CA197" s="1" t="str">
        <f aca="false">IF(OR(NOT(AND(ISNUMBER(E197),ISNUMBER(F197))),$J$2=""),"",IF(Reprogramaciones!R$13&lt;Reprogramaciones!$T$15,0,IF(Reprogramaciones!R$14&gt;10,MIN(100,SUM($G197:$P197)),MIN(100,SUMPRODUCT((COLUMN($G197:$P197)-COLUMN($G197)+1&lt;Reprogramaciones!R$14)*$G197:$P197)+N(INDEX($G197:$P197,1,Reprogramaciones!R$14))*IF(Reprogramaciones!R$13&gt;=(Reprogramaciones!$T$15+7*(Reprogramaciones!R$14-1))+6,1,IF(MAX(0,NETWORKDAYS.INTL(MAX(E197,(Reprogramaciones!$T$15+7*(Reprogramaciones!R$14-1))),MIN(F197,(Reprogramaciones!$T$15+7*(Reprogramaciones!R$14-1))+6),11))=0,0,MAX(0,NETWORKDAYS.INTL(MAX(E197,(Reprogramaciones!$T$15+7*(Reprogramaciones!R$14-1))),MIN(F197,Reprogramaciones!R$13),11))/MAX(0,NETWORKDAYS.INTL(MAX(E197,(Reprogramaciones!$T$15+7*(Reprogramaciones!R$14-1))),MIN(F197,(Reprogramaciones!$T$15+7*(Reprogramaciones!R$14-1))+6),11))))))))</f>
        <v/>
      </c>
      <c r="CB197" s="1" t="str">
        <f aca="false">IF(OR(NOT(AND(ISNUMBER(E197),ISNUMBER(F197))),$J$2=""),"",IF(Reprogramaciones!S$13&lt;Reprogramaciones!$T$15,0,IF(Reprogramaciones!S$14&gt;10,MIN(100,SUM($G197:$P197)),MIN(100,SUMPRODUCT((COLUMN($G197:$P197)-COLUMN($G197)+1&lt;Reprogramaciones!S$14)*$G197:$P197)+N(INDEX($G197:$P197,1,Reprogramaciones!S$14))*IF(Reprogramaciones!S$13&gt;=(Reprogramaciones!$T$15+7*(Reprogramaciones!S$14-1))+6,1,IF(MAX(0,NETWORKDAYS.INTL(MAX(E197,(Reprogramaciones!$T$15+7*(Reprogramaciones!S$14-1))),MIN(F197,(Reprogramaciones!$T$15+7*(Reprogramaciones!S$14-1))+6),11))=0,0,MAX(0,NETWORKDAYS.INTL(MAX(E197,(Reprogramaciones!$T$15+7*(Reprogramaciones!S$14-1))),MIN(F197,Reprogramaciones!S$13),11))/MAX(0,NETWORKDAYS.INTL(MAX(E197,(Reprogramaciones!$T$15+7*(Reprogramaciones!S$14-1))),MIN(F197,(Reprogramaciones!$T$15+7*(Reprogramaciones!S$14-1))+6),11))))))))</f>
        <v/>
      </c>
      <c r="CC197" s="1" t="str">
        <f aca="false">IF(OR(NOT(AND(ISNUMBER(E197),ISNUMBER(F197))),$J$2=""),"",IF(Reprogramaciones!T$13&lt;Reprogramaciones!$T$15,0,IF(Reprogramaciones!T$14&gt;10,MIN(100,SUM($G197:$P197)),MIN(100,SUMPRODUCT((COLUMN($G197:$P197)-COLUMN($G197)+1&lt;Reprogramaciones!T$14)*$G197:$P197)+N(INDEX($G197:$P197,1,Reprogramaciones!T$14))*IF(Reprogramaciones!T$13&gt;=(Reprogramaciones!$T$15+7*(Reprogramaciones!T$14-1))+6,1,IF(MAX(0,NETWORKDAYS.INTL(MAX(E197,(Reprogramaciones!$T$15+7*(Reprogramaciones!T$14-1))),MIN(F197,(Reprogramaciones!$T$15+7*(Reprogramaciones!T$14-1))+6),11))=0,0,MAX(0,NETWORKDAYS.INTL(MAX(E197,(Reprogramaciones!$T$15+7*(Reprogramaciones!T$14-1))),MIN(F197,Reprogramaciones!T$13),11))/MAX(0,NETWORKDAYS.INTL(MAX(E197,(Reprogramaciones!$T$15+7*(Reprogramaciones!T$14-1))),MIN(F197,(Reprogramaciones!$T$15+7*(Reprogramaciones!T$14-1))+6),11))))))))</f>
        <v/>
      </c>
      <c r="CD197" s="1" t="str">
        <f aca="false">IF(OR(NOT(AND(ISNUMBER(E197),ISNUMBER(F197))),$J$2=""),"",IF(Reprogramaciones!U$13&lt;Reprogramaciones!$T$15,0,IF(Reprogramaciones!U$14&gt;10,MIN(100,SUM($G197:$P197)),MIN(100,SUMPRODUCT((COLUMN($G197:$P197)-COLUMN($G197)+1&lt;Reprogramaciones!U$14)*$G197:$P197)+N(INDEX($G197:$P197,1,Reprogramaciones!U$14))*IF(Reprogramaciones!U$13&gt;=(Reprogramaciones!$T$15+7*(Reprogramaciones!U$14-1))+6,1,IF(MAX(0,NETWORKDAYS.INTL(MAX(E197,(Reprogramaciones!$T$15+7*(Reprogramaciones!U$14-1))),MIN(F197,(Reprogramaciones!$T$15+7*(Reprogramaciones!U$14-1))+6),11))=0,0,MAX(0,NETWORKDAYS.INTL(MAX(E197,(Reprogramaciones!$T$15+7*(Reprogramaciones!U$14-1))),MIN(F197,Reprogramaciones!U$13),11))/MAX(0,NETWORKDAYS.INTL(MAX(E197,(Reprogramaciones!$T$15+7*(Reprogramaciones!U$14-1))),MIN(F197,(Reprogramaciones!$T$15+7*(Reprogramaciones!U$14-1))+6),11))))))))</f>
        <v/>
      </c>
      <c r="CE197" s="1" t="str">
        <f aca="false">IF(OR(NOT(AND(ISNUMBER(E197),ISNUMBER(F197))),$J$2=""),"",IF(Reprogramaciones!V$13&lt;Reprogramaciones!$T$15,0,IF(Reprogramaciones!V$14&gt;10,MIN(100,SUM($G197:$P197)),MIN(100,SUMPRODUCT((COLUMN($G197:$P197)-COLUMN($G197)+1&lt;Reprogramaciones!V$14)*$G197:$P197)+N(INDEX($G197:$P197,1,Reprogramaciones!V$14))*IF(Reprogramaciones!V$13&gt;=(Reprogramaciones!$T$15+7*(Reprogramaciones!V$14-1))+6,1,IF(MAX(0,NETWORKDAYS.INTL(MAX(E197,(Reprogramaciones!$T$15+7*(Reprogramaciones!V$14-1))),MIN(F197,(Reprogramaciones!$T$15+7*(Reprogramaciones!V$14-1))+6),11))=0,0,MAX(0,NETWORKDAYS.INTL(MAX(E197,(Reprogramaciones!$T$15+7*(Reprogramaciones!V$14-1))),MIN(F197,Reprogramaciones!V$13),11))/MAX(0,NETWORKDAYS.INTL(MAX(E197,(Reprogramaciones!$T$15+7*(Reprogramaciones!V$14-1))),MIN(F197,(Reprogramaciones!$T$15+7*(Reprogramaciones!V$14-1))+6),11))))))))</f>
        <v/>
      </c>
      <c r="CF197" s="1" t="str">
        <f aca="false">IF(OR(NOT(AND(ISNUMBER(E197),ISNUMBER(F197))),$J$2=""),"",IF(Reprogramaciones!W$13&lt;Reprogramaciones!$T$15,0,IF(Reprogramaciones!W$14&gt;10,MIN(100,SUM($G197:$P197)),MIN(100,SUMPRODUCT((COLUMN($G197:$P197)-COLUMN($G197)+1&lt;Reprogramaciones!W$14)*$G197:$P197)+N(INDEX($G197:$P197,1,Reprogramaciones!W$14))*IF(Reprogramaciones!W$13&gt;=(Reprogramaciones!$T$15+7*(Reprogramaciones!W$14-1))+6,1,IF(MAX(0,NETWORKDAYS.INTL(MAX(E197,(Reprogramaciones!$T$15+7*(Reprogramaciones!W$14-1))),MIN(F197,(Reprogramaciones!$T$15+7*(Reprogramaciones!W$14-1))+6),11))=0,0,MAX(0,NETWORKDAYS.INTL(MAX(E197,(Reprogramaciones!$T$15+7*(Reprogramaciones!W$14-1))),MIN(F197,Reprogramaciones!W$13),11))/MAX(0,NETWORKDAYS.INTL(MAX(E197,(Reprogramaciones!$T$15+7*(Reprogramaciones!W$14-1))),MIN(F197,(Reprogramaciones!$T$15+7*(Reprogramaciones!W$14-1))+6),11))))))))</f>
        <v/>
      </c>
      <c r="CG197" s="1" t="str">
        <f aca="false">IF(OR(NOT(AND(ISNUMBER(E197),ISNUMBER(F197))),$J$2=""),"",IF(Reprogramaciones!X$13&lt;Reprogramaciones!$T$15,0,IF(Reprogramaciones!X$14&gt;10,MIN(100,SUM($G197:$P197)),MIN(100,SUMPRODUCT((COLUMN($G197:$P197)-COLUMN($G197)+1&lt;Reprogramaciones!X$14)*$G197:$P197)+N(INDEX($G197:$P197,1,Reprogramaciones!X$14))*IF(Reprogramaciones!X$13&gt;=(Reprogramaciones!$T$15+7*(Reprogramaciones!X$14-1))+6,1,IF(MAX(0,NETWORKDAYS.INTL(MAX(E197,(Reprogramaciones!$T$15+7*(Reprogramaciones!X$14-1))),MIN(F197,(Reprogramaciones!$T$15+7*(Reprogramaciones!X$14-1))+6),11))=0,0,MAX(0,NETWORKDAYS.INTL(MAX(E197,(Reprogramaciones!$T$15+7*(Reprogramaciones!X$14-1))),MIN(F197,Reprogramaciones!X$13),11))/MAX(0,NETWORKDAYS.INTL(MAX(E197,(Reprogramaciones!$T$15+7*(Reprogramaciones!X$14-1))),MIN(F197,(Reprogramaciones!$T$15+7*(Reprogramaciones!X$14-1))+6),11))))))))</f>
        <v/>
      </c>
      <c r="CH197" s="1" t="str">
        <f aca="false">IF(OR(NOT(AND(ISNUMBER(E197),ISNUMBER(F197))),$J$2=""),"",IF(Reprogramaciones!Y$13&lt;Reprogramaciones!$T$15,0,IF(Reprogramaciones!Y$14&gt;10,MIN(100,SUM($G197:$P197)),MIN(100,SUMPRODUCT((COLUMN($G197:$P197)-COLUMN($G197)+1&lt;Reprogramaciones!Y$14)*$G197:$P197)+N(INDEX($G197:$P197,1,Reprogramaciones!Y$14))*IF(Reprogramaciones!Y$13&gt;=(Reprogramaciones!$T$15+7*(Reprogramaciones!Y$14-1))+6,1,IF(MAX(0,NETWORKDAYS.INTL(MAX(E197,(Reprogramaciones!$T$15+7*(Reprogramaciones!Y$14-1))),MIN(F197,(Reprogramaciones!$T$15+7*(Reprogramaciones!Y$14-1))+6),11))=0,0,MAX(0,NETWORKDAYS.INTL(MAX(E197,(Reprogramaciones!$T$15+7*(Reprogramaciones!Y$14-1))),MIN(F197,Reprogramaciones!Y$13),11))/MAX(0,NETWORKDAYS.INTL(MAX(E197,(Reprogramaciones!$T$15+7*(Reprogramaciones!Y$14-1))),MIN(F197,(Reprogramaciones!$T$15+7*(Reprogramaciones!Y$14-1))+6),11))))))))</f>
        <v/>
      </c>
      <c r="CI197" s="1" t="str">
        <f aca="false">IF(OR(NOT(AND(ISNUMBER(E197),ISNUMBER(F197))),$J$2=""),"",IF(Reprogramaciones!Z$13&lt;Reprogramaciones!$T$15,0,IF(Reprogramaciones!Z$14&gt;10,MIN(100,SUM($G197:$P197)),MIN(100,SUMPRODUCT((COLUMN($G197:$P197)-COLUMN($G197)+1&lt;Reprogramaciones!Z$14)*$G197:$P197)+N(INDEX($G197:$P197,1,Reprogramaciones!Z$14))*IF(Reprogramaciones!Z$13&gt;=(Reprogramaciones!$T$15+7*(Reprogramaciones!Z$14-1))+6,1,IF(MAX(0,NETWORKDAYS.INTL(MAX(E197,(Reprogramaciones!$T$15+7*(Reprogramaciones!Z$14-1))),MIN(F197,(Reprogramaciones!$T$15+7*(Reprogramaciones!Z$14-1))+6),11))=0,0,MAX(0,NETWORKDAYS.INTL(MAX(E197,(Reprogramaciones!$T$15+7*(Reprogramaciones!Z$14-1))),MIN(F197,Reprogramaciones!Z$13),11))/MAX(0,NETWORKDAYS.INTL(MAX(E197,(Reprogramaciones!$T$15+7*(Reprogramaciones!Z$14-1))),MIN(F197,(Reprogramaciones!$T$15+7*(Reprogramaciones!Z$14-1))+6),11))))))))</f>
        <v/>
      </c>
      <c r="CJ197" s="1" t="str">
        <f aca="false">IF(OR(OR(NOT(AND(ISNUMBER(E197),ISNUMBER(F197))),$J$2=""),1&gt;Reprogramaciones!$K$16),"",IF(ROUND(SUM($Q197:Q197),1)&gt;=99.5,100,MIN(100,ROUND(SUM($Q197:Q197),1))))</f>
        <v/>
      </c>
      <c r="CK197" s="1" t="str">
        <f aca="false">IF(OR(OR(NOT(AND(ISNUMBER(E197),ISNUMBER(F197))),$J$2=""),2&gt;Reprogramaciones!$K$16),"",IF(ROUND(SUM($Q197:R197),1)&gt;=99.5,100,MIN(100,ROUND(SUM($Q197:R197),1))))</f>
        <v/>
      </c>
      <c r="CL197" s="1" t="str">
        <f aca="false">IF(OR(OR(NOT(AND(ISNUMBER(E197),ISNUMBER(F197))),$J$2=""),3&gt;Reprogramaciones!$K$16),"",IF(ROUND(SUM($Q197:S197),1)&gt;=99.5,100,MIN(100,ROUND(SUM($Q197:S197),1))))</f>
        <v/>
      </c>
      <c r="CM197" s="1" t="str">
        <f aca="false">IF(OR(OR(NOT(AND(ISNUMBER(E197),ISNUMBER(F197))),$J$2=""),4&gt;Reprogramaciones!$K$16),"",IF(ROUND(SUM($Q197:T197),1)&gt;=99.5,100,MIN(100,ROUND(SUM($Q197:T197),1))))</f>
        <v/>
      </c>
      <c r="CN197" s="1" t="str">
        <f aca="false">IF(OR(OR(NOT(AND(ISNUMBER(E197),ISNUMBER(F197))),$J$2=""),5&gt;Reprogramaciones!$K$16),"",IF(ROUND(SUM($Q197:U197),1)&gt;=99.5,100,MIN(100,ROUND(SUM($Q197:U197),1))))</f>
        <v/>
      </c>
      <c r="CO197" s="1" t="str">
        <f aca="false">IF(OR(OR(NOT(AND(ISNUMBER(E197),ISNUMBER(F197))),$J$2=""),6&gt;Reprogramaciones!$K$16),"",IF(ROUND(SUM($Q197:V197),1)&gt;=99.5,100,MIN(100,ROUND(SUM($Q197:V197),1))))</f>
        <v/>
      </c>
      <c r="CP197" s="1" t="str">
        <f aca="false">IF(OR(OR(NOT(AND(ISNUMBER(E197),ISNUMBER(F197))),$J$2=""),7&gt;Reprogramaciones!$K$16),"",IF(ROUND(SUM($Q197:W197),1)&gt;=99.5,100,MIN(100,ROUND(SUM($Q197:W197),1))))</f>
        <v/>
      </c>
      <c r="CQ197" s="1" t="str">
        <f aca="false">IF(OR(OR(NOT(AND(ISNUMBER(E197),ISNUMBER(F197))),$J$2=""),8&gt;Reprogramaciones!$K$16),"",IF(ROUND(SUM($Q197:X197),1)&gt;=99.5,100,MIN(100,ROUND(SUM($Q197:X197),1))))</f>
        <v/>
      </c>
      <c r="CR197" s="1" t="str">
        <f aca="false">IF(OR(OR(NOT(AND(ISNUMBER(E197),ISNUMBER(F197))),$J$2=""),9&gt;Reprogramaciones!$K$16),"",IF(ROUND(SUM($Q197:Y197),1)&gt;=99.5,100,MIN(100,ROUND(SUM($Q197:Y197),1))))</f>
        <v/>
      </c>
      <c r="CS197" s="1" t="str">
        <f aca="false">IF(OR(OR(NOT(AND(ISNUMBER(E197),ISNUMBER(F197))),$J$2=""),10&gt;Reprogramaciones!$K$16),"",IF(ROUND(SUM($Q197:Z197),1)&gt;=99.5,100,MIN(100,ROUND(SUM($Q197:Z197),1))))</f>
        <v/>
      </c>
      <c r="CT197" s="1" t="str">
        <f aca="false">IF(OR(OR(NOT(AND(ISNUMBER(E197),ISNUMBER(F197))),$J$2=""),11&gt;Reprogramaciones!$K$16),"",IF(ROUND(SUM($Q197:AA197),1)&gt;=99.5,100,MIN(100,ROUND(SUM($Q197:AA197),1))))</f>
        <v/>
      </c>
      <c r="CU197" s="1" t="str">
        <f aca="false">IF(OR(OR(NOT(AND(ISNUMBER(E197),ISNUMBER(F197))),$J$2=""),12&gt;Reprogramaciones!$K$16),"",IF(ROUND(SUM($Q197:AB197),1)&gt;=99.5,100,MIN(100,ROUND(SUM($Q197:AB197),1))))</f>
        <v/>
      </c>
      <c r="CV197" s="1" t="str">
        <f aca="false">IF(OR(OR(NOT(AND(ISNUMBER(E197),ISNUMBER(F197))),$J$2=""),13&gt;Reprogramaciones!$K$16),"",IF(ROUND(SUM($Q197:AC197),1)&gt;=99.5,100,MIN(100,ROUND(SUM($Q197:AC197),1))))</f>
        <v/>
      </c>
      <c r="CW197" s="1" t="str">
        <f aca="false">IF(OR(OR(NOT(AND(ISNUMBER(E197),ISNUMBER(F197))),$J$2=""),14&gt;Reprogramaciones!$K$16),"",IF(ROUND(SUM($Q197:AD197),1)&gt;=99.5,100,MIN(100,ROUND(SUM($Q197:AD197),1))))</f>
        <v/>
      </c>
      <c r="CX197" s="1" t="str">
        <f aca="false">IF(OR(OR(NOT(AND(ISNUMBER(E197),ISNUMBER(F197))),$J$2=""),15&gt;Reprogramaciones!$K$16),"",IF(ROUND(SUM($Q197:AE197),1)&gt;=99.5,100,MIN(100,ROUND(SUM($Q197:AE197),1))))</f>
        <v/>
      </c>
      <c r="CY197" s="1" t="str">
        <f aca="false">IF(OR(OR(NOT(AND(ISNUMBER(E197),ISNUMBER(F197))),$J$2=""),16&gt;Reprogramaciones!$K$16),"",IF(ROUND(SUM($Q197:AF197),1)&gt;=99.5,100,MIN(100,ROUND(SUM($Q197:AF197),1))))</f>
        <v/>
      </c>
      <c r="CZ197" s="1" t="str">
        <f aca="false">IF(D197&lt;&gt;"",D197,IF(B197&lt;&gt;"","Contractual",CZ196))</f>
        <v>Contractual</v>
      </c>
      <c r="DA197" s="1" t="str">
        <f aca="false">IF(OR(NOT(AND(ISNUMBER(E197),ISNUMBER(F197))),$J$2=""),"",IF(Reprogramaciones!$Q$15&lt;Reprogramaciones!$T$15,0,IF(Reprogramaciones!$S$15&gt;10,MIN(100,SUM($G197:$P197)),MIN(100,SUMPRODUCT((COLUMN($G197:$P197)-COLUMN($G197)+1&lt;Reprogramaciones!$S$15)*$G197:$P197)+N(INDEX($G197:$P197,1,Reprogramaciones!$S$15))*IF(Reprogramaciones!$Q$15&gt;=(Reprogramaciones!$T$15+7*(Reprogramaciones!$S$15-1))+6,1,IF(MAX(0,NETWORKDAYS.INTL(MAX(E197,(Reprogramaciones!$T$15+7*(Reprogramaciones!$S$15-1))),MIN(F197,(Reprogramaciones!$T$15+7*(Reprogramaciones!$S$15-1))+6),11))=0,0,MAX(0,NETWORKDAYS.INTL(MAX(E197,(Reprogramaciones!$T$15+7*(Reprogramaciones!$S$15-1))),MIN(F197,Reprogramaciones!$Q$15),11))/MAX(0,NETWORKDAYS.INTL(MAX(E197,(Reprogramaciones!$T$15+7*(Reprogramaciones!$S$15-1))),MIN(F197,(Reprogramaciones!$T$15+7*(Reprogramaciones!$S$15-1))+6),11))))))))</f>
        <v/>
      </c>
    </row>
    <row r="198" customFormat="false" ht="15" hidden="false" customHeight="false" outlineLevel="0" collapsed="false">
      <c r="A198" s="32"/>
      <c r="B198" s="33"/>
      <c r="C198" s="33"/>
      <c r="D198" s="34"/>
      <c r="E198" s="35"/>
      <c r="F198" s="35"/>
      <c r="G198" s="36" t="str">
        <f aca="false">IF(OR(NOT(AND(ISNUMBER(E198),ISNUMBER(F198))),$J$2=""),"",IF(Reprogramaciones!K$9&lt;E198,0,IF(NETWORKDAYS.INTL(E198,F198,11)=0,IF(Reprogramaciones!K$9&gt;=F198,100,0),ROUND(NETWORKDAYS.INTL(E198,MIN(F198,Reprogramaciones!K$9),11)/NETWORKDAYS.INTL(E198,F198,11)*100,1)))-0)</f>
        <v/>
      </c>
      <c r="H198" s="36" t="str">
        <f aca="false">IF(OR(NOT(AND(ISNUMBER(E198),ISNUMBER(F198))),$J$2=""),"",IF(Reprogramaciones!L$9&lt;E198,0,IF(NETWORKDAYS.INTL(E198,F198,11)=0,IF(Reprogramaciones!L$9&gt;=F198,100,0),ROUND(NETWORKDAYS.INTL(E198,MIN(F198,Reprogramaciones!L$9),11)/NETWORKDAYS.INTL(E198,F198,11)*100,1)))-IF(Reprogramaciones!K$9&lt;E198,0,IF(NETWORKDAYS.INTL(E198,F198,11)=0,IF(Reprogramaciones!K$9&gt;=F198,100,0),ROUND(NETWORKDAYS.INTL(E198,MIN(F198,Reprogramaciones!K$9),11)/NETWORKDAYS.INTL(E198,F198,11)*100,1))))</f>
        <v/>
      </c>
      <c r="I198" s="36" t="str">
        <f aca="false">IF(OR(NOT(AND(ISNUMBER(E198),ISNUMBER(F198))),$J$2=""),"",IF(Reprogramaciones!M$9&lt;E198,0,IF(NETWORKDAYS.INTL(E198,F198,11)=0,IF(Reprogramaciones!M$9&gt;=F198,100,0),ROUND(NETWORKDAYS.INTL(E198,MIN(F198,Reprogramaciones!M$9),11)/NETWORKDAYS.INTL(E198,F198,11)*100,1)))-IF(Reprogramaciones!L$9&lt;E198,0,IF(NETWORKDAYS.INTL(E198,F198,11)=0,IF(Reprogramaciones!L$9&gt;=F198,100,0),ROUND(NETWORKDAYS.INTL(E198,MIN(F198,Reprogramaciones!L$9),11)/NETWORKDAYS.INTL(E198,F198,11)*100,1))))</f>
        <v/>
      </c>
      <c r="J198" s="36" t="str">
        <f aca="false">IF(OR(NOT(AND(ISNUMBER(E198),ISNUMBER(F198))),$J$2=""),"",IF(Reprogramaciones!N$9&lt;E198,0,IF(NETWORKDAYS.INTL(E198,F198,11)=0,IF(Reprogramaciones!N$9&gt;=F198,100,0),ROUND(NETWORKDAYS.INTL(E198,MIN(F198,Reprogramaciones!N$9),11)/NETWORKDAYS.INTL(E198,F198,11)*100,1)))-IF(Reprogramaciones!M$9&lt;E198,0,IF(NETWORKDAYS.INTL(E198,F198,11)=0,IF(Reprogramaciones!M$9&gt;=F198,100,0),ROUND(NETWORKDAYS.INTL(E198,MIN(F198,Reprogramaciones!M$9),11)/NETWORKDAYS.INTL(E198,F198,11)*100,1))))</f>
        <v/>
      </c>
      <c r="K198" s="36" t="str">
        <f aca="false">IF(OR(NOT(AND(ISNUMBER(E198),ISNUMBER(F198))),$J$2=""),"",IF(Reprogramaciones!O$9&lt;E198,0,IF(NETWORKDAYS.INTL(E198,F198,11)=0,IF(Reprogramaciones!O$9&gt;=F198,100,0),ROUND(NETWORKDAYS.INTL(E198,MIN(F198,Reprogramaciones!O$9),11)/NETWORKDAYS.INTL(E198,F198,11)*100,1)))-IF(Reprogramaciones!N$9&lt;E198,0,IF(NETWORKDAYS.INTL(E198,F198,11)=0,IF(Reprogramaciones!N$9&gt;=F198,100,0),ROUND(NETWORKDAYS.INTL(E198,MIN(F198,Reprogramaciones!N$9),11)/NETWORKDAYS.INTL(E198,F198,11)*100,1))))</f>
        <v/>
      </c>
      <c r="L198" s="36" t="str">
        <f aca="false">IF(OR(NOT(AND(ISNUMBER(E198),ISNUMBER(F198))),$J$2=""),"",IF(Reprogramaciones!P$9&lt;E198,0,IF(NETWORKDAYS.INTL(E198,F198,11)=0,IF(Reprogramaciones!P$9&gt;=F198,100,0),ROUND(NETWORKDAYS.INTL(E198,MIN(F198,Reprogramaciones!P$9),11)/NETWORKDAYS.INTL(E198,F198,11)*100,1)))-IF(Reprogramaciones!O$9&lt;E198,0,IF(NETWORKDAYS.INTL(E198,F198,11)=0,IF(Reprogramaciones!O$9&gt;=F198,100,0),ROUND(NETWORKDAYS.INTL(E198,MIN(F198,Reprogramaciones!O$9),11)/NETWORKDAYS.INTL(E198,F198,11)*100,1))))</f>
        <v/>
      </c>
      <c r="M198" s="36" t="str">
        <f aca="false">IF(OR(NOT(AND(ISNUMBER(E198),ISNUMBER(F198))),$J$2=""),"",IF(Reprogramaciones!Q$9&lt;E198,0,IF(NETWORKDAYS.INTL(E198,F198,11)=0,IF(Reprogramaciones!Q$9&gt;=F198,100,0),ROUND(NETWORKDAYS.INTL(E198,MIN(F198,Reprogramaciones!Q$9),11)/NETWORKDAYS.INTL(E198,F198,11)*100,1)))-IF(Reprogramaciones!P$9&lt;E198,0,IF(NETWORKDAYS.INTL(E198,F198,11)=0,IF(Reprogramaciones!P$9&gt;=F198,100,0),ROUND(NETWORKDAYS.INTL(E198,MIN(F198,Reprogramaciones!P$9),11)/NETWORKDAYS.INTL(E198,F198,11)*100,1))))</f>
        <v/>
      </c>
      <c r="N198" s="36" t="str">
        <f aca="false">IF(OR(NOT(AND(ISNUMBER(E198),ISNUMBER(F198))),$J$2=""),"",IF(Reprogramaciones!R$9&lt;E198,0,IF(NETWORKDAYS.INTL(E198,F198,11)=0,IF(Reprogramaciones!R$9&gt;=F198,100,0),ROUND(NETWORKDAYS.INTL(E198,MIN(F198,Reprogramaciones!R$9),11)/NETWORKDAYS.INTL(E198,F198,11)*100,1)))-IF(Reprogramaciones!Q$9&lt;E198,0,IF(NETWORKDAYS.INTL(E198,F198,11)=0,IF(Reprogramaciones!Q$9&gt;=F198,100,0),ROUND(NETWORKDAYS.INTL(E198,MIN(F198,Reprogramaciones!Q$9),11)/NETWORKDAYS.INTL(E198,F198,11)*100,1))))</f>
        <v/>
      </c>
      <c r="O198" s="36" t="str">
        <f aca="false">IF(OR(NOT(AND(ISNUMBER(E198),ISNUMBER(F198))),$J$2=""),"",IF(Reprogramaciones!S$9&lt;E198,0,IF(NETWORKDAYS.INTL(E198,F198,11)=0,IF(Reprogramaciones!S$9&gt;=F198,100,0),ROUND(NETWORKDAYS.INTL(E198,MIN(F198,Reprogramaciones!S$9),11)/NETWORKDAYS.INTL(E198,F198,11)*100,1)))-IF(Reprogramaciones!R$9&lt;E198,0,IF(NETWORKDAYS.INTL(E198,F198,11)=0,IF(Reprogramaciones!R$9&gt;=F198,100,0),ROUND(NETWORKDAYS.INTL(E198,MIN(F198,Reprogramaciones!R$9),11)/NETWORKDAYS.INTL(E198,F198,11)*100,1))))</f>
        <v/>
      </c>
      <c r="P198" s="36" t="str">
        <f aca="false">IF(OR(NOT(AND(ISNUMBER(E198),ISNUMBER(F198))),$J$2=""),"",IF(Reprogramaciones!T$9&lt;E198,0,IF(NETWORKDAYS.INTL(E198,F198,11)=0,IF(Reprogramaciones!T$9&gt;=F198,100,0),ROUND(NETWORKDAYS.INTL(E198,MIN(F198,Reprogramaciones!T$9),11)/NETWORKDAYS.INTL(E198,F198,11)*100,1)))-IF(Reprogramaciones!S$9&lt;E198,0,IF(NETWORKDAYS.INTL(E198,F198,11)=0,IF(Reprogramaciones!S$9&gt;=F198,100,0),ROUND(NETWORKDAYS.INTL(E198,MIN(F198,Reprogramaciones!S$9),11)/NETWORKDAYS.INTL(E198,F198,11)*100,1))))</f>
        <v/>
      </c>
      <c r="Q198" s="37"/>
      <c r="R198" s="37"/>
      <c r="S198" s="37"/>
      <c r="T198" s="37"/>
      <c r="U198" s="37"/>
      <c r="V198" s="37"/>
      <c r="W198" s="37"/>
      <c r="X198" s="37"/>
      <c r="Y198" s="37"/>
      <c r="Z198" s="37"/>
      <c r="AA198" s="37"/>
      <c r="AB198" s="37"/>
      <c r="AC198" s="37"/>
      <c r="AD198" s="37"/>
      <c r="AE198" s="37"/>
      <c r="AF198" s="37"/>
      <c r="AG198" s="38" t="str">
        <f aca="false">IF(AND(ISNUMBER(E198),ISNUMBER(F198)),NETWORKDAYS.INTL(E198,F198,11),"")</f>
        <v/>
      </c>
      <c r="AH198" s="38" t="str">
        <f aca="false">IF(OR(NOT(AND(ISNUMBER(E198),ISNUMBER(F198))),$J$2=""),"",IF(Reprogramaciones!$P$15&lt;Reprogramaciones!$T$15,0,IF(Reprogramaciones!$R$15&gt;10,MIN(100,SUM($G198:$P198)),MIN(100,SUMPRODUCT((COLUMN($G198:$P198)-COLUMN($G198)+1&lt;Reprogramaciones!$R$15)*$G198:$P198)+N(INDEX($G198:$P198,1,Reprogramaciones!$R$15))*IF(Reprogramaciones!$P$15&gt;=(Reprogramaciones!$T$15+7*(Reprogramaciones!$R$15-1))+6,1,IF(MAX(0,NETWORKDAYS.INTL(MAX(E198,(Reprogramaciones!$T$15+7*(Reprogramaciones!$R$15-1))),MIN(F198,(Reprogramaciones!$T$15+7*(Reprogramaciones!$R$15-1))+6),11))=0,0,MAX(0,NETWORKDAYS.INTL(MAX(E198,(Reprogramaciones!$T$15+7*(Reprogramaciones!$R$15-1))),MIN(F198,Reprogramaciones!$P$15),11))/MAX(0,NETWORKDAYS.INTL(MAX(E198,(Reprogramaciones!$T$15+7*(Reprogramaciones!$R$15-1))),MIN(F198,(Reprogramaciones!$T$15+7*(Reprogramaciones!$R$15-1))+6),11))))))))</f>
        <v/>
      </c>
      <c r="AI198" s="38" t="str">
        <f aca="false">IF(COUNT($Q198:$AF198)=0,"",IF(ROUND(SUM($Q198:$AF198),1)&gt;=99.5,100,MIN(100,ROUND(SUM($Q198:$AF198),1))))</f>
        <v/>
      </c>
      <c r="AJ198" s="38" t="str">
        <f aca="false">IF(OR(AH198="",AI198=""),"",AI198-AH198)</f>
        <v/>
      </c>
      <c r="AK198" s="39" t="str">
        <f aca="true">IF(AH198="","",IF(OR(Ficha!$C$10="Suspendida",Ficha!$C$10="Cancelada"),Ficha!$C$10,IF(AND(AI198&lt;&gt;"",N(AI198)&gt;=100),"Completada",IF(AND(E198&gt;TODAY(),N(AI198)=0),"Por iniciar",IF(N(AI198)+0.5&lt;AH198,"Retrasada",IF(N(AI198)+0.5&lt;DA198,IF(Reprogramaciones!$K$15&gt;0,"Al día · Sem "&amp;Reprogramaciones!$K$15&amp;" en curso","Al día · en curso"),"A tiempo"))))))</f>
        <v/>
      </c>
      <c r="AL198" s="39" t="str">
        <f aca="true">IF(AND(A198="",AND(B198="",C198="",E198="",F198="",COUNT(Q198:AF198)=0)),"",IF(AND(B198="",C198="",E198="",F198="",COUNT(Q198:AF198)=0),"Falta la partida o subpartida",IF(AND(A198&lt;&gt;"",COUNTIF($A$6:$A$305,A198)&gt;1),"Ítem repetido",IF(AND(C198="",E198="",F198="",COUNT(Q198:AF198)=0),"Título de partida",IF(OR(E198="",F198=""),"Faltan fechas",IF(OR(ISTEXT(E198),ISTEXT(F198)),"Fecha escrita como texto: usa dd/mm/aaaa",IF(F198&lt;E198,"Fin antes del inicio",IF(IF($J$2="",FALSE(),OR(E198&lt;$J$2,F198&gt;Reprogramaciones!$T$15+69)),"Fuera de las 10 semanas",IF(ABS(SUM(G198:P198)-100)&gt;0.5,"La meta no suma 100%",IF(ROUND(SUM(Q198:AF198),1)&gt;100.5,"El avance pasa de 100%",IF(MIN(Q198:AF198)&lt;0,"Avance negativo",IF(COUNTA(Q198:AF198)&gt;COUNT(Q198:AF198),"Avance escrito como texto",IF(SUMPRODUCT((Q198:AF198&gt;0)*(Q198:AF198&lt;1))&gt;0,"Avance menor a 1: escribe 50, no 50%",IF(SUMPRODUCT(ISNUMBER(Q198:AF198)*(Reprogramaciones!$K$8:$Z$8&gt;TODAY()))&gt;0,"Avance en semana que aún no llega",IF(AND(N(Reprogramaciones!$E$21)&gt;0,F198&gt;Reprogramaciones!$E$21),"Pasa el fin de la obra: registra una reprogramación",IF(AND(N(Reprogramaciones!$E$21)&gt;0,SUMPRODUCT(ISNUMBER(Q198:AF198)*(Reprogramaciones!$K$8:$Z$8&gt;Reprogramaciones!$E$21))&gt;0),"Avance después del fin de la obra: registra una reprogramación por atraso","OK"))))))))))))))))</f>
        <v/>
      </c>
      <c r="AM198" s="40" t="str">
        <f aca="false">IF(OR(OR(NOT(AND(ISNUMBER(E198),ISNUMBER(F198))),$J$2=""),1&gt;MAX(1,Reprogramaciones!$U$15)),"",IF(Reprogramaciones!K$12&gt;=7,"",IF(OR(BT198-N(0)&gt;0.05,N(Q198)&gt;0),ROUNDDOWN(ROUND(BT198,6),0)&amp;"%"&amp;IF(CJ198="",""," / "&amp;CJ198&amp;"%"),IF(AND(N(0)&gt;=99.95,CJ198&lt;&gt;"",N(CJ198)&lt;100),"Pend. "&amp;CJ198&amp;"%",""))))</f>
        <v/>
      </c>
      <c r="AN198" s="40" t="str">
        <f aca="false">IF(OR(OR(NOT(AND(ISNUMBER(E198),ISNUMBER(F198))),$J$2=""),2&gt;MAX(1,Reprogramaciones!$U$15)),"",IF(Reprogramaciones!L$12&gt;=7,"",IF(OR(BU198-N(BT198)&gt;0.05,N(R198)&gt;0),ROUNDDOWN(ROUND(BU198,6),0)&amp;"%"&amp;IF(CK198="",""," / "&amp;CK198&amp;"%"),IF(AND(N(BT198)&gt;=99.95,CK198&lt;&gt;"",N(CK198)&lt;100),"Pend. "&amp;CK198&amp;"%",""))))</f>
        <v/>
      </c>
      <c r="AO198" s="40" t="str">
        <f aca="false">IF(OR(OR(NOT(AND(ISNUMBER(E198),ISNUMBER(F198))),$J$2=""),3&gt;MAX(1,Reprogramaciones!$U$15)),"",IF(Reprogramaciones!M$12&gt;=7,"",IF(OR(BV198-N(BU198)&gt;0.05,N(S198)&gt;0),ROUNDDOWN(ROUND(BV198,6),0)&amp;"%"&amp;IF(CL198="",""," / "&amp;CL198&amp;"%"),IF(AND(N(BU198)&gt;=99.95,CL198&lt;&gt;"",N(CL198)&lt;100),"Pend. "&amp;CL198&amp;"%",""))))</f>
        <v/>
      </c>
      <c r="AP198" s="40" t="str">
        <f aca="false">IF(OR(OR(NOT(AND(ISNUMBER(E198),ISNUMBER(F198))),$J$2=""),4&gt;MAX(1,Reprogramaciones!$U$15)),"",IF(Reprogramaciones!N$12&gt;=7,"",IF(OR(BW198-N(BV198)&gt;0.05,N(T198)&gt;0),ROUNDDOWN(ROUND(BW198,6),0)&amp;"%"&amp;IF(CM198="",""," / "&amp;CM198&amp;"%"),IF(AND(N(BV198)&gt;=99.95,CM198&lt;&gt;"",N(CM198)&lt;100),"Pend. "&amp;CM198&amp;"%",""))))</f>
        <v/>
      </c>
      <c r="AQ198" s="40" t="str">
        <f aca="false">IF(OR(OR(NOT(AND(ISNUMBER(E198),ISNUMBER(F198))),$J$2=""),5&gt;MAX(1,Reprogramaciones!$U$15)),"",IF(Reprogramaciones!O$12&gt;=7,"",IF(OR(BX198-N(BW198)&gt;0.05,N(U198)&gt;0),ROUNDDOWN(ROUND(BX198,6),0)&amp;"%"&amp;IF(CN198="",""," / "&amp;CN198&amp;"%"),IF(AND(N(BW198)&gt;=99.95,CN198&lt;&gt;"",N(CN198)&lt;100),"Pend. "&amp;CN198&amp;"%",""))))</f>
        <v/>
      </c>
      <c r="AR198" s="40" t="str">
        <f aca="false">IF(OR(OR(NOT(AND(ISNUMBER(E198),ISNUMBER(F198))),$J$2=""),6&gt;MAX(1,Reprogramaciones!$U$15)),"",IF(Reprogramaciones!P$12&gt;=7,"",IF(OR(BY198-N(BX198)&gt;0.05,N(V198)&gt;0),ROUNDDOWN(ROUND(BY198,6),0)&amp;"%"&amp;IF(CO198="",""," / "&amp;CO198&amp;"%"),IF(AND(N(BX198)&gt;=99.95,CO198&lt;&gt;"",N(CO198)&lt;100),"Pend. "&amp;CO198&amp;"%",""))))</f>
        <v/>
      </c>
      <c r="AS198" s="40" t="str">
        <f aca="false">IF(OR(OR(NOT(AND(ISNUMBER(E198),ISNUMBER(F198))),$J$2=""),7&gt;MAX(1,Reprogramaciones!$U$15)),"",IF(Reprogramaciones!Q$12&gt;=7,"",IF(OR(BZ198-N(BY198)&gt;0.05,N(W198)&gt;0),ROUNDDOWN(ROUND(BZ198,6),0)&amp;"%"&amp;IF(CP198="",""," / "&amp;CP198&amp;"%"),IF(AND(N(BY198)&gt;=99.95,CP198&lt;&gt;"",N(CP198)&lt;100),"Pend. "&amp;CP198&amp;"%",""))))</f>
        <v/>
      </c>
      <c r="AT198" s="40" t="str">
        <f aca="false">IF(OR(OR(NOT(AND(ISNUMBER(E198),ISNUMBER(F198))),$J$2=""),8&gt;MAX(1,Reprogramaciones!$U$15)),"",IF(Reprogramaciones!R$12&gt;=7,"",IF(OR(CA198-N(BZ198)&gt;0.05,N(X198)&gt;0),ROUNDDOWN(ROUND(CA198,6),0)&amp;"%"&amp;IF(CQ198="",""," / "&amp;CQ198&amp;"%"),IF(AND(N(BZ198)&gt;=99.95,CQ198&lt;&gt;"",N(CQ198)&lt;100),"Pend. "&amp;CQ198&amp;"%",""))))</f>
        <v/>
      </c>
      <c r="AU198" s="40" t="str">
        <f aca="false">IF(OR(OR(NOT(AND(ISNUMBER(E198),ISNUMBER(F198))),$J$2=""),9&gt;MAX(1,Reprogramaciones!$U$15)),"",IF(Reprogramaciones!S$12&gt;=7,"",IF(OR(CB198-N(CA198)&gt;0.05,N(Y198)&gt;0),ROUNDDOWN(ROUND(CB198,6),0)&amp;"%"&amp;IF(CR198="",""," / "&amp;CR198&amp;"%"),IF(AND(N(CA198)&gt;=99.95,CR198&lt;&gt;"",N(CR198)&lt;100),"Pend. "&amp;CR198&amp;"%",""))))</f>
        <v/>
      </c>
      <c r="AV198" s="40" t="str">
        <f aca="false">IF(OR(OR(NOT(AND(ISNUMBER(E198),ISNUMBER(F198))),$J$2=""),10&gt;MAX(1,Reprogramaciones!$U$15)),"",IF(Reprogramaciones!T$12&gt;=7,"",IF(OR(CC198-N(CB198)&gt;0.05,N(Z198)&gt;0),ROUNDDOWN(ROUND(CC198,6),0)&amp;"%"&amp;IF(CS198="",""," / "&amp;CS198&amp;"%"),IF(AND(N(CB198)&gt;=99.95,CS198&lt;&gt;"",N(CS198)&lt;100),"Pend. "&amp;CS198&amp;"%",""))))</f>
        <v/>
      </c>
      <c r="AW198" s="40" t="str">
        <f aca="false">IF(OR(OR(NOT(AND(ISNUMBER(E198),ISNUMBER(F198))),$J$2=""),11&gt;MAX(1,Reprogramaciones!$U$15)),"",IF(Reprogramaciones!U$12&gt;=7,"",IF(OR(CD198-N(CC198)&gt;0.05,N(AA198)&gt;0),ROUNDDOWN(ROUND(CD198,6),0)&amp;"%"&amp;IF(CT198="",""," / "&amp;CT198&amp;"%"),IF(AND(N(CC198)&gt;=99.95,CT198&lt;&gt;"",N(CT198)&lt;100),"Pend. "&amp;CT198&amp;"%",""))))</f>
        <v/>
      </c>
      <c r="AX198" s="40" t="str">
        <f aca="false">IF(OR(OR(NOT(AND(ISNUMBER(E198),ISNUMBER(F198))),$J$2=""),12&gt;MAX(1,Reprogramaciones!$U$15)),"",IF(Reprogramaciones!V$12&gt;=7,"",IF(OR(CE198-N(CD198)&gt;0.05,N(AB198)&gt;0),ROUNDDOWN(ROUND(CE198,6),0)&amp;"%"&amp;IF(CU198="",""," / "&amp;CU198&amp;"%"),IF(AND(N(CD198)&gt;=99.95,CU198&lt;&gt;"",N(CU198)&lt;100),"Pend. "&amp;CU198&amp;"%",""))))</f>
        <v/>
      </c>
      <c r="AY198" s="40" t="str">
        <f aca="false">IF(OR(OR(NOT(AND(ISNUMBER(E198),ISNUMBER(F198))),$J$2=""),13&gt;MAX(1,Reprogramaciones!$U$15)),"",IF(Reprogramaciones!W$12&gt;=7,"",IF(OR(CF198-N(CE198)&gt;0.05,N(AC198)&gt;0),ROUNDDOWN(ROUND(CF198,6),0)&amp;"%"&amp;IF(CV198="",""," / "&amp;CV198&amp;"%"),IF(AND(N(CE198)&gt;=99.95,CV198&lt;&gt;"",N(CV198)&lt;100),"Pend. "&amp;CV198&amp;"%",""))))</f>
        <v/>
      </c>
      <c r="AZ198" s="40" t="str">
        <f aca="false">IF(OR(OR(NOT(AND(ISNUMBER(E198),ISNUMBER(F198))),$J$2=""),14&gt;MAX(1,Reprogramaciones!$U$15)),"",IF(Reprogramaciones!X$12&gt;=7,"",IF(OR(CG198-N(CF198)&gt;0.05,N(AD198)&gt;0),ROUNDDOWN(ROUND(CG198,6),0)&amp;"%"&amp;IF(CW198="",""," / "&amp;CW198&amp;"%"),IF(AND(N(CF198)&gt;=99.95,CW198&lt;&gt;"",N(CW198)&lt;100),"Pend. "&amp;CW198&amp;"%",""))))</f>
        <v/>
      </c>
      <c r="BA198" s="40" t="str">
        <f aca="false">IF(OR(OR(NOT(AND(ISNUMBER(E198),ISNUMBER(F198))),$J$2=""),15&gt;MAX(1,Reprogramaciones!$U$15)),"",IF(Reprogramaciones!Y$12&gt;=7,"",IF(OR(CH198-N(CG198)&gt;0.05,N(AE198)&gt;0),ROUNDDOWN(ROUND(CH198,6),0)&amp;"%"&amp;IF(CX198="",""," / "&amp;CX198&amp;"%"),IF(AND(N(CG198)&gt;=99.95,CX198&lt;&gt;"",N(CX198)&lt;100),"Pend. "&amp;CX198&amp;"%",""))))</f>
        <v/>
      </c>
      <c r="BB198" s="40" t="str">
        <f aca="false">IF(OR(OR(NOT(AND(ISNUMBER(E198),ISNUMBER(F198))),$J$2=""),16&gt;MAX(1,Reprogramaciones!$U$15)),"",IF(Reprogramaciones!Z$12&gt;=7,"",IF(OR(CI198-N(CH198)&gt;0.05,N(AF198)&gt;0),ROUNDDOWN(ROUND(CI198,6),0)&amp;"%"&amp;IF(CY198="",""," / "&amp;CY198&amp;"%"),IF(AND(N(CH198)&gt;=99.95,CY198&lt;&gt;"",N(CY198)&lt;100),"Pend. "&amp;CY198&amp;"%",""))))</f>
        <v/>
      </c>
      <c r="BC198" s="31" t="n">
        <f aca="false">IF(AND(ISNUMBER(E198),ISNUMBER(F198)),MAX(1,NETWORKDAYS.INTL(E198,F198,11)),0)</f>
        <v>0</v>
      </c>
      <c r="BD198" s="1" t="str">
        <f aca="false">IF(OR(NOT(AND(ISNUMBER(E198),ISNUMBER(F198))),$J$2=""),"",MIN(100,ROUND(SUM($G198:G198),1)))</f>
        <v/>
      </c>
      <c r="BE198" s="1" t="str">
        <f aca="false">IF(OR(NOT(AND(ISNUMBER(E198),ISNUMBER(F198))),$J$2=""),"",MIN(100,ROUND(SUM($G198:H198),1)))</f>
        <v/>
      </c>
      <c r="BF198" s="1" t="str">
        <f aca="false">IF(OR(NOT(AND(ISNUMBER(E198),ISNUMBER(F198))),$J$2=""),"",MIN(100,ROUND(SUM($G198:I198),1)))</f>
        <v/>
      </c>
      <c r="BG198" s="1" t="str">
        <f aca="false">IF(OR(NOT(AND(ISNUMBER(E198),ISNUMBER(F198))),$J$2=""),"",MIN(100,ROUND(SUM($G198:J198),1)))</f>
        <v/>
      </c>
      <c r="BH198" s="1" t="str">
        <f aca="false">IF(OR(NOT(AND(ISNUMBER(E198),ISNUMBER(F198))),$J$2=""),"",MIN(100,ROUND(SUM($G198:K198),1)))</f>
        <v/>
      </c>
      <c r="BI198" s="1" t="str">
        <f aca="false">IF(OR(NOT(AND(ISNUMBER(E198),ISNUMBER(F198))),$J$2=""),"",MIN(100,ROUND(SUM($G198:L198),1)))</f>
        <v/>
      </c>
      <c r="BJ198" s="1" t="str">
        <f aca="false">IF(OR(NOT(AND(ISNUMBER(E198),ISNUMBER(F198))),$J$2=""),"",MIN(100,ROUND(SUM($G198:M198),1)))</f>
        <v/>
      </c>
      <c r="BK198" s="1" t="str">
        <f aca="false">IF(OR(NOT(AND(ISNUMBER(E198),ISNUMBER(F198))),$J$2=""),"",MIN(100,ROUND(SUM($G198:N198),1)))</f>
        <v/>
      </c>
      <c r="BL198" s="1" t="str">
        <f aca="false">IF(OR(NOT(AND(ISNUMBER(E198),ISNUMBER(F198))),$J$2=""),"",MIN(100,ROUND(SUM($G198:O198),1)))</f>
        <v/>
      </c>
      <c r="BM198" s="1" t="str">
        <f aca="false">IF(OR(NOT(AND(ISNUMBER(E198),ISNUMBER(F198))),$J$2=""),"",MIN(100,ROUND(SUM($G198:P198),1)))</f>
        <v/>
      </c>
      <c r="BN198" s="1" t="str">
        <f aca="false">IF(OR(NOT(AND(ISNUMBER(E198),ISNUMBER(F198))),$J$2=""),"",MIN(100,ROUND(SUM($G198:P198),1)))</f>
        <v/>
      </c>
      <c r="BO198" s="1" t="str">
        <f aca="false">IF(OR(NOT(AND(ISNUMBER(E198),ISNUMBER(F198))),$J$2=""),"",MIN(100,ROUND(SUM($G198:P198),1)))</f>
        <v/>
      </c>
      <c r="BP198" s="1" t="str">
        <f aca="false">IF(OR(NOT(AND(ISNUMBER(E198),ISNUMBER(F198))),$J$2=""),"",MIN(100,ROUND(SUM($G198:P198),1)))</f>
        <v/>
      </c>
      <c r="BQ198" s="1" t="str">
        <f aca="false">IF(OR(NOT(AND(ISNUMBER(E198),ISNUMBER(F198))),$J$2=""),"",MIN(100,ROUND(SUM($G198:P198),1)))</f>
        <v/>
      </c>
      <c r="BR198" s="1" t="str">
        <f aca="false">IF(OR(NOT(AND(ISNUMBER(E198),ISNUMBER(F198))),$J$2=""),"",MIN(100,ROUND(SUM($G198:P198),1)))</f>
        <v/>
      </c>
      <c r="BS198" s="1" t="str">
        <f aca="false">IF(OR(NOT(AND(ISNUMBER(E198),ISNUMBER(F198))),$J$2=""),"",MIN(100,ROUND(SUM($G198:P198),1)))</f>
        <v/>
      </c>
      <c r="BT198" s="1" t="str">
        <f aca="false">IF(OR(NOT(AND(ISNUMBER(E198),ISNUMBER(F198))),$J$2=""),"",IF(Reprogramaciones!K$13&lt;Reprogramaciones!$T$15,0,IF(Reprogramaciones!K$14&gt;10,MIN(100,SUM($G198:$P198)),MIN(100,SUMPRODUCT((COLUMN($G198:$P198)-COLUMN($G198)+1&lt;Reprogramaciones!K$14)*$G198:$P198)+N(INDEX($G198:$P198,1,Reprogramaciones!K$14))*IF(Reprogramaciones!K$13&gt;=(Reprogramaciones!$T$15+7*(Reprogramaciones!K$14-1))+6,1,IF(MAX(0,NETWORKDAYS.INTL(MAX(E198,(Reprogramaciones!$T$15+7*(Reprogramaciones!K$14-1))),MIN(F198,(Reprogramaciones!$T$15+7*(Reprogramaciones!K$14-1))+6),11))=0,0,MAX(0,NETWORKDAYS.INTL(MAX(E198,(Reprogramaciones!$T$15+7*(Reprogramaciones!K$14-1))),MIN(F198,Reprogramaciones!K$13),11))/MAX(0,NETWORKDAYS.INTL(MAX(E198,(Reprogramaciones!$T$15+7*(Reprogramaciones!K$14-1))),MIN(F198,(Reprogramaciones!$T$15+7*(Reprogramaciones!K$14-1))+6),11))))))))</f>
        <v/>
      </c>
      <c r="BU198" s="1" t="str">
        <f aca="false">IF(OR(NOT(AND(ISNUMBER(E198),ISNUMBER(F198))),$J$2=""),"",IF(Reprogramaciones!L$13&lt;Reprogramaciones!$T$15,0,IF(Reprogramaciones!L$14&gt;10,MIN(100,SUM($G198:$P198)),MIN(100,SUMPRODUCT((COLUMN($G198:$P198)-COLUMN($G198)+1&lt;Reprogramaciones!L$14)*$G198:$P198)+N(INDEX($G198:$P198,1,Reprogramaciones!L$14))*IF(Reprogramaciones!L$13&gt;=(Reprogramaciones!$T$15+7*(Reprogramaciones!L$14-1))+6,1,IF(MAX(0,NETWORKDAYS.INTL(MAX(E198,(Reprogramaciones!$T$15+7*(Reprogramaciones!L$14-1))),MIN(F198,(Reprogramaciones!$T$15+7*(Reprogramaciones!L$14-1))+6),11))=0,0,MAX(0,NETWORKDAYS.INTL(MAX(E198,(Reprogramaciones!$T$15+7*(Reprogramaciones!L$14-1))),MIN(F198,Reprogramaciones!L$13),11))/MAX(0,NETWORKDAYS.INTL(MAX(E198,(Reprogramaciones!$T$15+7*(Reprogramaciones!L$14-1))),MIN(F198,(Reprogramaciones!$T$15+7*(Reprogramaciones!L$14-1))+6),11))))))))</f>
        <v/>
      </c>
      <c r="BV198" s="1" t="str">
        <f aca="false">IF(OR(NOT(AND(ISNUMBER(E198),ISNUMBER(F198))),$J$2=""),"",IF(Reprogramaciones!M$13&lt;Reprogramaciones!$T$15,0,IF(Reprogramaciones!M$14&gt;10,MIN(100,SUM($G198:$P198)),MIN(100,SUMPRODUCT((COLUMN($G198:$P198)-COLUMN($G198)+1&lt;Reprogramaciones!M$14)*$G198:$P198)+N(INDEX($G198:$P198,1,Reprogramaciones!M$14))*IF(Reprogramaciones!M$13&gt;=(Reprogramaciones!$T$15+7*(Reprogramaciones!M$14-1))+6,1,IF(MAX(0,NETWORKDAYS.INTL(MAX(E198,(Reprogramaciones!$T$15+7*(Reprogramaciones!M$14-1))),MIN(F198,(Reprogramaciones!$T$15+7*(Reprogramaciones!M$14-1))+6),11))=0,0,MAX(0,NETWORKDAYS.INTL(MAX(E198,(Reprogramaciones!$T$15+7*(Reprogramaciones!M$14-1))),MIN(F198,Reprogramaciones!M$13),11))/MAX(0,NETWORKDAYS.INTL(MAX(E198,(Reprogramaciones!$T$15+7*(Reprogramaciones!M$14-1))),MIN(F198,(Reprogramaciones!$T$15+7*(Reprogramaciones!M$14-1))+6),11))))))))</f>
        <v/>
      </c>
      <c r="BW198" s="1" t="str">
        <f aca="false">IF(OR(NOT(AND(ISNUMBER(E198),ISNUMBER(F198))),$J$2=""),"",IF(Reprogramaciones!N$13&lt;Reprogramaciones!$T$15,0,IF(Reprogramaciones!N$14&gt;10,MIN(100,SUM($G198:$P198)),MIN(100,SUMPRODUCT((COLUMN($G198:$P198)-COLUMN($G198)+1&lt;Reprogramaciones!N$14)*$G198:$P198)+N(INDEX($G198:$P198,1,Reprogramaciones!N$14))*IF(Reprogramaciones!N$13&gt;=(Reprogramaciones!$T$15+7*(Reprogramaciones!N$14-1))+6,1,IF(MAX(0,NETWORKDAYS.INTL(MAX(E198,(Reprogramaciones!$T$15+7*(Reprogramaciones!N$14-1))),MIN(F198,(Reprogramaciones!$T$15+7*(Reprogramaciones!N$14-1))+6),11))=0,0,MAX(0,NETWORKDAYS.INTL(MAX(E198,(Reprogramaciones!$T$15+7*(Reprogramaciones!N$14-1))),MIN(F198,Reprogramaciones!N$13),11))/MAX(0,NETWORKDAYS.INTL(MAX(E198,(Reprogramaciones!$T$15+7*(Reprogramaciones!N$14-1))),MIN(F198,(Reprogramaciones!$T$15+7*(Reprogramaciones!N$14-1))+6),11))))))))</f>
        <v/>
      </c>
      <c r="BX198" s="1" t="str">
        <f aca="false">IF(OR(NOT(AND(ISNUMBER(E198),ISNUMBER(F198))),$J$2=""),"",IF(Reprogramaciones!O$13&lt;Reprogramaciones!$T$15,0,IF(Reprogramaciones!O$14&gt;10,MIN(100,SUM($G198:$P198)),MIN(100,SUMPRODUCT((COLUMN($G198:$P198)-COLUMN($G198)+1&lt;Reprogramaciones!O$14)*$G198:$P198)+N(INDEX($G198:$P198,1,Reprogramaciones!O$14))*IF(Reprogramaciones!O$13&gt;=(Reprogramaciones!$T$15+7*(Reprogramaciones!O$14-1))+6,1,IF(MAX(0,NETWORKDAYS.INTL(MAX(E198,(Reprogramaciones!$T$15+7*(Reprogramaciones!O$14-1))),MIN(F198,(Reprogramaciones!$T$15+7*(Reprogramaciones!O$14-1))+6),11))=0,0,MAX(0,NETWORKDAYS.INTL(MAX(E198,(Reprogramaciones!$T$15+7*(Reprogramaciones!O$14-1))),MIN(F198,Reprogramaciones!O$13),11))/MAX(0,NETWORKDAYS.INTL(MAX(E198,(Reprogramaciones!$T$15+7*(Reprogramaciones!O$14-1))),MIN(F198,(Reprogramaciones!$T$15+7*(Reprogramaciones!O$14-1))+6),11))))))))</f>
        <v/>
      </c>
      <c r="BY198" s="1" t="str">
        <f aca="false">IF(OR(NOT(AND(ISNUMBER(E198),ISNUMBER(F198))),$J$2=""),"",IF(Reprogramaciones!P$13&lt;Reprogramaciones!$T$15,0,IF(Reprogramaciones!P$14&gt;10,MIN(100,SUM($G198:$P198)),MIN(100,SUMPRODUCT((COLUMN($G198:$P198)-COLUMN($G198)+1&lt;Reprogramaciones!P$14)*$G198:$P198)+N(INDEX($G198:$P198,1,Reprogramaciones!P$14))*IF(Reprogramaciones!P$13&gt;=(Reprogramaciones!$T$15+7*(Reprogramaciones!P$14-1))+6,1,IF(MAX(0,NETWORKDAYS.INTL(MAX(E198,(Reprogramaciones!$T$15+7*(Reprogramaciones!P$14-1))),MIN(F198,(Reprogramaciones!$T$15+7*(Reprogramaciones!P$14-1))+6),11))=0,0,MAX(0,NETWORKDAYS.INTL(MAX(E198,(Reprogramaciones!$T$15+7*(Reprogramaciones!P$14-1))),MIN(F198,Reprogramaciones!P$13),11))/MAX(0,NETWORKDAYS.INTL(MAX(E198,(Reprogramaciones!$T$15+7*(Reprogramaciones!P$14-1))),MIN(F198,(Reprogramaciones!$T$15+7*(Reprogramaciones!P$14-1))+6),11))))))))</f>
        <v/>
      </c>
      <c r="BZ198" s="1" t="str">
        <f aca="false">IF(OR(NOT(AND(ISNUMBER(E198),ISNUMBER(F198))),$J$2=""),"",IF(Reprogramaciones!Q$13&lt;Reprogramaciones!$T$15,0,IF(Reprogramaciones!Q$14&gt;10,MIN(100,SUM($G198:$P198)),MIN(100,SUMPRODUCT((COLUMN($G198:$P198)-COLUMN($G198)+1&lt;Reprogramaciones!Q$14)*$G198:$P198)+N(INDEX($G198:$P198,1,Reprogramaciones!Q$14))*IF(Reprogramaciones!Q$13&gt;=(Reprogramaciones!$T$15+7*(Reprogramaciones!Q$14-1))+6,1,IF(MAX(0,NETWORKDAYS.INTL(MAX(E198,(Reprogramaciones!$T$15+7*(Reprogramaciones!Q$14-1))),MIN(F198,(Reprogramaciones!$T$15+7*(Reprogramaciones!Q$14-1))+6),11))=0,0,MAX(0,NETWORKDAYS.INTL(MAX(E198,(Reprogramaciones!$T$15+7*(Reprogramaciones!Q$14-1))),MIN(F198,Reprogramaciones!Q$13),11))/MAX(0,NETWORKDAYS.INTL(MAX(E198,(Reprogramaciones!$T$15+7*(Reprogramaciones!Q$14-1))),MIN(F198,(Reprogramaciones!$T$15+7*(Reprogramaciones!Q$14-1))+6),11))))))))</f>
        <v/>
      </c>
      <c r="CA198" s="1" t="str">
        <f aca="false">IF(OR(NOT(AND(ISNUMBER(E198),ISNUMBER(F198))),$J$2=""),"",IF(Reprogramaciones!R$13&lt;Reprogramaciones!$T$15,0,IF(Reprogramaciones!R$14&gt;10,MIN(100,SUM($G198:$P198)),MIN(100,SUMPRODUCT((COLUMN($G198:$P198)-COLUMN($G198)+1&lt;Reprogramaciones!R$14)*$G198:$P198)+N(INDEX($G198:$P198,1,Reprogramaciones!R$14))*IF(Reprogramaciones!R$13&gt;=(Reprogramaciones!$T$15+7*(Reprogramaciones!R$14-1))+6,1,IF(MAX(0,NETWORKDAYS.INTL(MAX(E198,(Reprogramaciones!$T$15+7*(Reprogramaciones!R$14-1))),MIN(F198,(Reprogramaciones!$T$15+7*(Reprogramaciones!R$14-1))+6),11))=0,0,MAX(0,NETWORKDAYS.INTL(MAX(E198,(Reprogramaciones!$T$15+7*(Reprogramaciones!R$14-1))),MIN(F198,Reprogramaciones!R$13),11))/MAX(0,NETWORKDAYS.INTL(MAX(E198,(Reprogramaciones!$T$15+7*(Reprogramaciones!R$14-1))),MIN(F198,(Reprogramaciones!$T$15+7*(Reprogramaciones!R$14-1))+6),11))))))))</f>
        <v/>
      </c>
      <c r="CB198" s="1" t="str">
        <f aca="false">IF(OR(NOT(AND(ISNUMBER(E198),ISNUMBER(F198))),$J$2=""),"",IF(Reprogramaciones!S$13&lt;Reprogramaciones!$T$15,0,IF(Reprogramaciones!S$14&gt;10,MIN(100,SUM($G198:$P198)),MIN(100,SUMPRODUCT((COLUMN($G198:$P198)-COLUMN($G198)+1&lt;Reprogramaciones!S$14)*$G198:$P198)+N(INDEX($G198:$P198,1,Reprogramaciones!S$14))*IF(Reprogramaciones!S$13&gt;=(Reprogramaciones!$T$15+7*(Reprogramaciones!S$14-1))+6,1,IF(MAX(0,NETWORKDAYS.INTL(MAX(E198,(Reprogramaciones!$T$15+7*(Reprogramaciones!S$14-1))),MIN(F198,(Reprogramaciones!$T$15+7*(Reprogramaciones!S$14-1))+6),11))=0,0,MAX(0,NETWORKDAYS.INTL(MAX(E198,(Reprogramaciones!$T$15+7*(Reprogramaciones!S$14-1))),MIN(F198,Reprogramaciones!S$13),11))/MAX(0,NETWORKDAYS.INTL(MAX(E198,(Reprogramaciones!$T$15+7*(Reprogramaciones!S$14-1))),MIN(F198,(Reprogramaciones!$T$15+7*(Reprogramaciones!S$14-1))+6),11))))))))</f>
        <v/>
      </c>
      <c r="CC198" s="1" t="str">
        <f aca="false">IF(OR(NOT(AND(ISNUMBER(E198),ISNUMBER(F198))),$J$2=""),"",IF(Reprogramaciones!T$13&lt;Reprogramaciones!$T$15,0,IF(Reprogramaciones!T$14&gt;10,MIN(100,SUM($G198:$P198)),MIN(100,SUMPRODUCT((COLUMN($G198:$P198)-COLUMN($G198)+1&lt;Reprogramaciones!T$14)*$G198:$P198)+N(INDEX($G198:$P198,1,Reprogramaciones!T$14))*IF(Reprogramaciones!T$13&gt;=(Reprogramaciones!$T$15+7*(Reprogramaciones!T$14-1))+6,1,IF(MAX(0,NETWORKDAYS.INTL(MAX(E198,(Reprogramaciones!$T$15+7*(Reprogramaciones!T$14-1))),MIN(F198,(Reprogramaciones!$T$15+7*(Reprogramaciones!T$14-1))+6),11))=0,0,MAX(0,NETWORKDAYS.INTL(MAX(E198,(Reprogramaciones!$T$15+7*(Reprogramaciones!T$14-1))),MIN(F198,Reprogramaciones!T$13),11))/MAX(0,NETWORKDAYS.INTL(MAX(E198,(Reprogramaciones!$T$15+7*(Reprogramaciones!T$14-1))),MIN(F198,(Reprogramaciones!$T$15+7*(Reprogramaciones!T$14-1))+6),11))))))))</f>
        <v/>
      </c>
      <c r="CD198" s="1" t="str">
        <f aca="false">IF(OR(NOT(AND(ISNUMBER(E198),ISNUMBER(F198))),$J$2=""),"",IF(Reprogramaciones!U$13&lt;Reprogramaciones!$T$15,0,IF(Reprogramaciones!U$14&gt;10,MIN(100,SUM($G198:$P198)),MIN(100,SUMPRODUCT((COLUMN($G198:$P198)-COLUMN($G198)+1&lt;Reprogramaciones!U$14)*$G198:$P198)+N(INDEX($G198:$P198,1,Reprogramaciones!U$14))*IF(Reprogramaciones!U$13&gt;=(Reprogramaciones!$T$15+7*(Reprogramaciones!U$14-1))+6,1,IF(MAX(0,NETWORKDAYS.INTL(MAX(E198,(Reprogramaciones!$T$15+7*(Reprogramaciones!U$14-1))),MIN(F198,(Reprogramaciones!$T$15+7*(Reprogramaciones!U$14-1))+6),11))=0,0,MAX(0,NETWORKDAYS.INTL(MAX(E198,(Reprogramaciones!$T$15+7*(Reprogramaciones!U$14-1))),MIN(F198,Reprogramaciones!U$13),11))/MAX(0,NETWORKDAYS.INTL(MAX(E198,(Reprogramaciones!$T$15+7*(Reprogramaciones!U$14-1))),MIN(F198,(Reprogramaciones!$T$15+7*(Reprogramaciones!U$14-1))+6),11))))))))</f>
        <v/>
      </c>
      <c r="CE198" s="1" t="str">
        <f aca="false">IF(OR(NOT(AND(ISNUMBER(E198),ISNUMBER(F198))),$J$2=""),"",IF(Reprogramaciones!V$13&lt;Reprogramaciones!$T$15,0,IF(Reprogramaciones!V$14&gt;10,MIN(100,SUM($G198:$P198)),MIN(100,SUMPRODUCT((COLUMN($G198:$P198)-COLUMN($G198)+1&lt;Reprogramaciones!V$14)*$G198:$P198)+N(INDEX($G198:$P198,1,Reprogramaciones!V$14))*IF(Reprogramaciones!V$13&gt;=(Reprogramaciones!$T$15+7*(Reprogramaciones!V$14-1))+6,1,IF(MAX(0,NETWORKDAYS.INTL(MAX(E198,(Reprogramaciones!$T$15+7*(Reprogramaciones!V$14-1))),MIN(F198,(Reprogramaciones!$T$15+7*(Reprogramaciones!V$14-1))+6),11))=0,0,MAX(0,NETWORKDAYS.INTL(MAX(E198,(Reprogramaciones!$T$15+7*(Reprogramaciones!V$14-1))),MIN(F198,Reprogramaciones!V$13),11))/MAX(0,NETWORKDAYS.INTL(MAX(E198,(Reprogramaciones!$T$15+7*(Reprogramaciones!V$14-1))),MIN(F198,(Reprogramaciones!$T$15+7*(Reprogramaciones!V$14-1))+6),11))))))))</f>
        <v/>
      </c>
      <c r="CF198" s="1" t="str">
        <f aca="false">IF(OR(NOT(AND(ISNUMBER(E198),ISNUMBER(F198))),$J$2=""),"",IF(Reprogramaciones!W$13&lt;Reprogramaciones!$T$15,0,IF(Reprogramaciones!W$14&gt;10,MIN(100,SUM($G198:$P198)),MIN(100,SUMPRODUCT((COLUMN($G198:$P198)-COLUMN($G198)+1&lt;Reprogramaciones!W$14)*$G198:$P198)+N(INDEX($G198:$P198,1,Reprogramaciones!W$14))*IF(Reprogramaciones!W$13&gt;=(Reprogramaciones!$T$15+7*(Reprogramaciones!W$14-1))+6,1,IF(MAX(0,NETWORKDAYS.INTL(MAX(E198,(Reprogramaciones!$T$15+7*(Reprogramaciones!W$14-1))),MIN(F198,(Reprogramaciones!$T$15+7*(Reprogramaciones!W$14-1))+6),11))=0,0,MAX(0,NETWORKDAYS.INTL(MAX(E198,(Reprogramaciones!$T$15+7*(Reprogramaciones!W$14-1))),MIN(F198,Reprogramaciones!W$13),11))/MAX(0,NETWORKDAYS.INTL(MAX(E198,(Reprogramaciones!$T$15+7*(Reprogramaciones!W$14-1))),MIN(F198,(Reprogramaciones!$T$15+7*(Reprogramaciones!W$14-1))+6),11))))))))</f>
        <v/>
      </c>
      <c r="CG198" s="1" t="str">
        <f aca="false">IF(OR(NOT(AND(ISNUMBER(E198),ISNUMBER(F198))),$J$2=""),"",IF(Reprogramaciones!X$13&lt;Reprogramaciones!$T$15,0,IF(Reprogramaciones!X$14&gt;10,MIN(100,SUM($G198:$P198)),MIN(100,SUMPRODUCT((COLUMN($G198:$P198)-COLUMN($G198)+1&lt;Reprogramaciones!X$14)*$G198:$P198)+N(INDEX($G198:$P198,1,Reprogramaciones!X$14))*IF(Reprogramaciones!X$13&gt;=(Reprogramaciones!$T$15+7*(Reprogramaciones!X$14-1))+6,1,IF(MAX(0,NETWORKDAYS.INTL(MAX(E198,(Reprogramaciones!$T$15+7*(Reprogramaciones!X$14-1))),MIN(F198,(Reprogramaciones!$T$15+7*(Reprogramaciones!X$14-1))+6),11))=0,0,MAX(0,NETWORKDAYS.INTL(MAX(E198,(Reprogramaciones!$T$15+7*(Reprogramaciones!X$14-1))),MIN(F198,Reprogramaciones!X$13),11))/MAX(0,NETWORKDAYS.INTL(MAX(E198,(Reprogramaciones!$T$15+7*(Reprogramaciones!X$14-1))),MIN(F198,(Reprogramaciones!$T$15+7*(Reprogramaciones!X$14-1))+6),11))))))))</f>
        <v/>
      </c>
      <c r="CH198" s="1" t="str">
        <f aca="false">IF(OR(NOT(AND(ISNUMBER(E198),ISNUMBER(F198))),$J$2=""),"",IF(Reprogramaciones!Y$13&lt;Reprogramaciones!$T$15,0,IF(Reprogramaciones!Y$14&gt;10,MIN(100,SUM($G198:$P198)),MIN(100,SUMPRODUCT((COLUMN($G198:$P198)-COLUMN($G198)+1&lt;Reprogramaciones!Y$14)*$G198:$P198)+N(INDEX($G198:$P198,1,Reprogramaciones!Y$14))*IF(Reprogramaciones!Y$13&gt;=(Reprogramaciones!$T$15+7*(Reprogramaciones!Y$14-1))+6,1,IF(MAX(0,NETWORKDAYS.INTL(MAX(E198,(Reprogramaciones!$T$15+7*(Reprogramaciones!Y$14-1))),MIN(F198,(Reprogramaciones!$T$15+7*(Reprogramaciones!Y$14-1))+6),11))=0,0,MAX(0,NETWORKDAYS.INTL(MAX(E198,(Reprogramaciones!$T$15+7*(Reprogramaciones!Y$14-1))),MIN(F198,Reprogramaciones!Y$13),11))/MAX(0,NETWORKDAYS.INTL(MAX(E198,(Reprogramaciones!$T$15+7*(Reprogramaciones!Y$14-1))),MIN(F198,(Reprogramaciones!$T$15+7*(Reprogramaciones!Y$14-1))+6),11))))))))</f>
        <v/>
      </c>
      <c r="CI198" s="1" t="str">
        <f aca="false">IF(OR(NOT(AND(ISNUMBER(E198),ISNUMBER(F198))),$J$2=""),"",IF(Reprogramaciones!Z$13&lt;Reprogramaciones!$T$15,0,IF(Reprogramaciones!Z$14&gt;10,MIN(100,SUM($G198:$P198)),MIN(100,SUMPRODUCT((COLUMN($G198:$P198)-COLUMN($G198)+1&lt;Reprogramaciones!Z$14)*$G198:$P198)+N(INDEX($G198:$P198,1,Reprogramaciones!Z$14))*IF(Reprogramaciones!Z$13&gt;=(Reprogramaciones!$T$15+7*(Reprogramaciones!Z$14-1))+6,1,IF(MAX(0,NETWORKDAYS.INTL(MAX(E198,(Reprogramaciones!$T$15+7*(Reprogramaciones!Z$14-1))),MIN(F198,(Reprogramaciones!$T$15+7*(Reprogramaciones!Z$14-1))+6),11))=0,0,MAX(0,NETWORKDAYS.INTL(MAX(E198,(Reprogramaciones!$T$15+7*(Reprogramaciones!Z$14-1))),MIN(F198,Reprogramaciones!Z$13),11))/MAX(0,NETWORKDAYS.INTL(MAX(E198,(Reprogramaciones!$T$15+7*(Reprogramaciones!Z$14-1))),MIN(F198,(Reprogramaciones!$T$15+7*(Reprogramaciones!Z$14-1))+6),11))))))))</f>
        <v/>
      </c>
      <c r="CJ198" s="1" t="str">
        <f aca="false">IF(OR(OR(NOT(AND(ISNUMBER(E198),ISNUMBER(F198))),$J$2=""),1&gt;Reprogramaciones!$K$16),"",IF(ROUND(SUM($Q198:Q198),1)&gt;=99.5,100,MIN(100,ROUND(SUM($Q198:Q198),1))))</f>
        <v/>
      </c>
      <c r="CK198" s="1" t="str">
        <f aca="false">IF(OR(OR(NOT(AND(ISNUMBER(E198),ISNUMBER(F198))),$J$2=""),2&gt;Reprogramaciones!$K$16),"",IF(ROUND(SUM($Q198:R198),1)&gt;=99.5,100,MIN(100,ROUND(SUM($Q198:R198),1))))</f>
        <v/>
      </c>
      <c r="CL198" s="1" t="str">
        <f aca="false">IF(OR(OR(NOT(AND(ISNUMBER(E198),ISNUMBER(F198))),$J$2=""),3&gt;Reprogramaciones!$K$16),"",IF(ROUND(SUM($Q198:S198),1)&gt;=99.5,100,MIN(100,ROUND(SUM($Q198:S198),1))))</f>
        <v/>
      </c>
      <c r="CM198" s="1" t="str">
        <f aca="false">IF(OR(OR(NOT(AND(ISNUMBER(E198),ISNUMBER(F198))),$J$2=""),4&gt;Reprogramaciones!$K$16),"",IF(ROUND(SUM($Q198:T198),1)&gt;=99.5,100,MIN(100,ROUND(SUM($Q198:T198),1))))</f>
        <v/>
      </c>
      <c r="CN198" s="1" t="str">
        <f aca="false">IF(OR(OR(NOT(AND(ISNUMBER(E198),ISNUMBER(F198))),$J$2=""),5&gt;Reprogramaciones!$K$16),"",IF(ROUND(SUM($Q198:U198),1)&gt;=99.5,100,MIN(100,ROUND(SUM($Q198:U198),1))))</f>
        <v/>
      </c>
      <c r="CO198" s="1" t="str">
        <f aca="false">IF(OR(OR(NOT(AND(ISNUMBER(E198),ISNUMBER(F198))),$J$2=""),6&gt;Reprogramaciones!$K$16),"",IF(ROUND(SUM($Q198:V198),1)&gt;=99.5,100,MIN(100,ROUND(SUM($Q198:V198),1))))</f>
        <v/>
      </c>
      <c r="CP198" s="1" t="str">
        <f aca="false">IF(OR(OR(NOT(AND(ISNUMBER(E198),ISNUMBER(F198))),$J$2=""),7&gt;Reprogramaciones!$K$16),"",IF(ROUND(SUM($Q198:W198),1)&gt;=99.5,100,MIN(100,ROUND(SUM($Q198:W198),1))))</f>
        <v/>
      </c>
      <c r="CQ198" s="1" t="str">
        <f aca="false">IF(OR(OR(NOT(AND(ISNUMBER(E198),ISNUMBER(F198))),$J$2=""),8&gt;Reprogramaciones!$K$16),"",IF(ROUND(SUM($Q198:X198),1)&gt;=99.5,100,MIN(100,ROUND(SUM($Q198:X198),1))))</f>
        <v/>
      </c>
      <c r="CR198" s="1" t="str">
        <f aca="false">IF(OR(OR(NOT(AND(ISNUMBER(E198),ISNUMBER(F198))),$J$2=""),9&gt;Reprogramaciones!$K$16),"",IF(ROUND(SUM($Q198:Y198),1)&gt;=99.5,100,MIN(100,ROUND(SUM($Q198:Y198),1))))</f>
        <v/>
      </c>
      <c r="CS198" s="1" t="str">
        <f aca="false">IF(OR(OR(NOT(AND(ISNUMBER(E198),ISNUMBER(F198))),$J$2=""),10&gt;Reprogramaciones!$K$16),"",IF(ROUND(SUM($Q198:Z198),1)&gt;=99.5,100,MIN(100,ROUND(SUM($Q198:Z198),1))))</f>
        <v/>
      </c>
      <c r="CT198" s="1" t="str">
        <f aca="false">IF(OR(OR(NOT(AND(ISNUMBER(E198),ISNUMBER(F198))),$J$2=""),11&gt;Reprogramaciones!$K$16),"",IF(ROUND(SUM($Q198:AA198),1)&gt;=99.5,100,MIN(100,ROUND(SUM($Q198:AA198),1))))</f>
        <v/>
      </c>
      <c r="CU198" s="1" t="str">
        <f aca="false">IF(OR(OR(NOT(AND(ISNUMBER(E198),ISNUMBER(F198))),$J$2=""),12&gt;Reprogramaciones!$K$16),"",IF(ROUND(SUM($Q198:AB198),1)&gt;=99.5,100,MIN(100,ROUND(SUM($Q198:AB198),1))))</f>
        <v/>
      </c>
      <c r="CV198" s="1" t="str">
        <f aca="false">IF(OR(OR(NOT(AND(ISNUMBER(E198),ISNUMBER(F198))),$J$2=""),13&gt;Reprogramaciones!$K$16),"",IF(ROUND(SUM($Q198:AC198),1)&gt;=99.5,100,MIN(100,ROUND(SUM($Q198:AC198),1))))</f>
        <v/>
      </c>
      <c r="CW198" s="1" t="str">
        <f aca="false">IF(OR(OR(NOT(AND(ISNUMBER(E198),ISNUMBER(F198))),$J$2=""),14&gt;Reprogramaciones!$K$16),"",IF(ROUND(SUM($Q198:AD198),1)&gt;=99.5,100,MIN(100,ROUND(SUM($Q198:AD198),1))))</f>
        <v/>
      </c>
      <c r="CX198" s="1" t="str">
        <f aca="false">IF(OR(OR(NOT(AND(ISNUMBER(E198),ISNUMBER(F198))),$J$2=""),15&gt;Reprogramaciones!$K$16),"",IF(ROUND(SUM($Q198:AE198),1)&gt;=99.5,100,MIN(100,ROUND(SUM($Q198:AE198),1))))</f>
        <v/>
      </c>
      <c r="CY198" s="1" t="str">
        <f aca="false">IF(OR(OR(NOT(AND(ISNUMBER(E198),ISNUMBER(F198))),$J$2=""),16&gt;Reprogramaciones!$K$16),"",IF(ROUND(SUM($Q198:AF198),1)&gt;=99.5,100,MIN(100,ROUND(SUM($Q198:AF198),1))))</f>
        <v/>
      </c>
      <c r="CZ198" s="1" t="str">
        <f aca="false">IF(D198&lt;&gt;"",D198,IF(B198&lt;&gt;"","Contractual",CZ197))</f>
        <v>Contractual</v>
      </c>
      <c r="DA198" s="1" t="str">
        <f aca="false">IF(OR(NOT(AND(ISNUMBER(E198),ISNUMBER(F198))),$J$2=""),"",IF(Reprogramaciones!$Q$15&lt;Reprogramaciones!$T$15,0,IF(Reprogramaciones!$S$15&gt;10,MIN(100,SUM($G198:$P198)),MIN(100,SUMPRODUCT((COLUMN($G198:$P198)-COLUMN($G198)+1&lt;Reprogramaciones!$S$15)*$G198:$P198)+N(INDEX($G198:$P198,1,Reprogramaciones!$S$15))*IF(Reprogramaciones!$Q$15&gt;=(Reprogramaciones!$T$15+7*(Reprogramaciones!$S$15-1))+6,1,IF(MAX(0,NETWORKDAYS.INTL(MAX(E198,(Reprogramaciones!$T$15+7*(Reprogramaciones!$S$15-1))),MIN(F198,(Reprogramaciones!$T$15+7*(Reprogramaciones!$S$15-1))+6),11))=0,0,MAX(0,NETWORKDAYS.INTL(MAX(E198,(Reprogramaciones!$T$15+7*(Reprogramaciones!$S$15-1))),MIN(F198,Reprogramaciones!$Q$15),11))/MAX(0,NETWORKDAYS.INTL(MAX(E198,(Reprogramaciones!$T$15+7*(Reprogramaciones!$S$15-1))),MIN(F198,(Reprogramaciones!$T$15+7*(Reprogramaciones!$S$15-1))+6),11))))))))</f>
        <v/>
      </c>
    </row>
    <row r="199" customFormat="false" ht="15" hidden="false" customHeight="false" outlineLevel="0" collapsed="false">
      <c r="A199" s="32"/>
      <c r="B199" s="33"/>
      <c r="C199" s="33"/>
      <c r="D199" s="34"/>
      <c r="E199" s="35"/>
      <c r="F199" s="35"/>
      <c r="G199" s="36" t="str">
        <f aca="false">IF(OR(NOT(AND(ISNUMBER(E199),ISNUMBER(F199))),$J$2=""),"",IF(Reprogramaciones!K$9&lt;E199,0,IF(NETWORKDAYS.INTL(E199,F199,11)=0,IF(Reprogramaciones!K$9&gt;=F199,100,0),ROUND(NETWORKDAYS.INTL(E199,MIN(F199,Reprogramaciones!K$9),11)/NETWORKDAYS.INTL(E199,F199,11)*100,1)))-0)</f>
        <v/>
      </c>
      <c r="H199" s="36" t="str">
        <f aca="false">IF(OR(NOT(AND(ISNUMBER(E199),ISNUMBER(F199))),$J$2=""),"",IF(Reprogramaciones!L$9&lt;E199,0,IF(NETWORKDAYS.INTL(E199,F199,11)=0,IF(Reprogramaciones!L$9&gt;=F199,100,0),ROUND(NETWORKDAYS.INTL(E199,MIN(F199,Reprogramaciones!L$9),11)/NETWORKDAYS.INTL(E199,F199,11)*100,1)))-IF(Reprogramaciones!K$9&lt;E199,0,IF(NETWORKDAYS.INTL(E199,F199,11)=0,IF(Reprogramaciones!K$9&gt;=F199,100,0),ROUND(NETWORKDAYS.INTL(E199,MIN(F199,Reprogramaciones!K$9),11)/NETWORKDAYS.INTL(E199,F199,11)*100,1))))</f>
        <v/>
      </c>
      <c r="I199" s="36" t="str">
        <f aca="false">IF(OR(NOT(AND(ISNUMBER(E199),ISNUMBER(F199))),$J$2=""),"",IF(Reprogramaciones!M$9&lt;E199,0,IF(NETWORKDAYS.INTL(E199,F199,11)=0,IF(Reprogramaciones!M$9&gt;=F199,100,0),ROUND(NETWORKDAYS.INTL(E199,MIN(F199,Reprogramaciones!M$9),11)/NETWORKDAYS.INTL(E199,F199,11)*100,1)))-IF(Reprogramaciones!L$9&lt;E199,0,IF(NETWORKDAYS.INTL(E199,F199,11)=0,IF(Reprogramaciones!L$9&gt;=F199,100,0),ROUND(NETWORKDAYS.INTL(E199,MIN(F199,Reprogramaciones!L$9),11)/NETWORKDAYS.INTL(E199,F199,11)*100,1))))</f>
        <v/>
      </c>
      <c r="J199" s="36" t="str">
        <f aca="false">IF(OR(NOT(AND(ISNUMBER(E199),ISNUMBER(F199))),$J$2=""),"",IF(Reprogramaciones!N$9&lt;E199,0,IF(NETWORKDAYS.INTL(E199,F199,11)=0,IF(Reprogramaciones!N$9&gt;=F199,100,0),ROUND(NETWORKDAYS.INTL(E199,MIN(F199,Reprogramaciones!N$9),11)/NETWORKDAYS.INTL(E199,F199,11)*100,1)))-IF(Reprogramaciones!M$9&lt;E199,0,IF(NETWORKDAYS.INTL(E199,F199,11)=0,IF(Reprogramaciones!M$9&gt;=F199,100,0),ROUND(NETWORKDAYS.INTL(E199,MIN(F199,Reprogramaciones!M$9),11)/NETWORKDAYS.INTL(E199,F199,11)*100,1))))</f>
        <v/>
      </c>
      <c r="K199" s="36" t="str">
        <f aca="false">IF(OR(NOT(AND(ISNUMBER(E199),ISNUMBER(F199))),$J$2=""),"",IF(Reprogramaciones!O$9&lt;E199,0,IF(NETWORKDAYS.INTL(E199,F199,11)=0,IF(Reprogramaciones!O$9&gt;=F199,100,0),ROUND(NETWORKDAYS.INTL(E199,MIN(F199,Reprogramaciones!O$9),11)/NETWORKDAYS.INTL(E199,F199,11)*100,1)))-IF(Reprogramaciones!N$9&lt;E199,0,IF(NETWORKDAYS.INTL(E199,F199,11)=0,IF(Reprogramaciones!N$9&gt;=F199,100,0),ROUND(NETWORKDAYS.INTL(E199,MIN(F199,Reprogramaciones!N$9),11)/NETWORKDAYS.INTL(E199,F199,11)*100,1))))</f>
        <v/>
      </c>
      <c r="L199" s="36" t="str">
        <f aca="false">IF(OR(NOT(AND(ISNUMBER(E199),ISNUMBER(F199))),$J$2=""),"",IF(Reprogramaciones!P$9&lt;E199,0,IF(NETWORKDAYS.INTL(E199,F199,11)=0,IF(Reprogramaciones!P$9&gt;=F199,100,0),ROUND(NETWORKDAYS.INTL(E199,MIN(F199,Reprogramaciones!P$9),11)/NETWORKDAYS.INTL(E199,F199,11)*100,1)))-IF(Reprogramaciones!O$9&lt;E199,0,IF(NETWORKDAYS.INTL(E199,F199,11)=0,IF(Reprogramaciones!O$9&gt;=F199,100,0),ROUND(NETWORKDAYS.INTL(E199,MIN(F199,Reprogramaciones!O$9),11)/NETWORKDAYS.INTL(E199,F199,11)*100,1))))</f>
        <v/>
      </c>
      <c r="M199" s="36" t="str">
        <f aca="false">IF(OR(NOT(AND(ISNUMBER(E199),ISNUMBER(F199))),$J$2=""),"",IF(Reprogramaciones!Q$9&lt;E199,0,IF(NETWORKDAYS.INTL(E199,F199,11)=0,IF(Reprogramaciones!Q$9&gt;=F199,100,0),ROUND(NETWORKDAYS.INTL(E199,MIN(F199,Reprogramaciones!Q$9),11)/NETWORKDAYS.INTL(E199,F199,11)*100,1)))-IF(Reprogramaciones!P$9&lt;E199,0,IF(NETWORKDAYS.INTL(E199,F199,11)=0,IF(Reprogramaciones!P$9&gt;=F199,100,0),ROUND(NETWORKDAYS.INTL(E199,MIN(F199,Reprogramaciones!P$9),11)/NETWORKDAYS.INTL(E199,F199,11)*100,1))))</f>
        <v/>
      </c>
      <c r="N199" s="36" t="str">
        <f aca="false">IF(OR(NOT(AND(ISNUMBER(E199),ISNUMBER(F199))),$J$2=""),"",IF(Reprogramaciones!R$9&lt;E199,0,IF(NETWORKDAYS.INTL(E199,F199,11)=0,IF(Reprogramaciones!R$9&gt;=F199,100,0),ROUND(NETWORKDAYS.INTL(E199,MIN(F199,Reprogramaciones!R$9),11)/NETWORKDAYS.INTL(E199,F199,11)*100,1)))-IF(Reprogramaciones!Q$9&lt;E199,0,IF(NETWORKDAYS.INTL(E199,F199,11)=0,IF(Reprogramaciones!Q$9&gt;=F199,100,0),ROUND(NETWORKDAYS.INTL(E199,MIN(F199,Reprogramaciones!Q$9),11)/NETWORKDAYS.INTL(E199,F199,11)*100,1))))</f>
        <v/>
      </c>
      <c r="O199" s="36" t="str">
        <f aca="false">IF(OR(NOT(AND(ISNUMBER(E199),ISNUMBER(F199))),$J$2=""),"",IF(Reprogramaciones!S$9&lt;E199,0,IF(NETWORKDAYS.INTL(E199,F199,11)=0,IF(Reprogramaciones!S$9&gt;=F199,100,0),ROUND(NETWORKDAYS.INTL(E199,MIN(F199,Reprogramaciones!S$9),11)/NETWORKDAYS.INTL(E199,F199,11)*100,1)))-IF(Reprogramaciones!R$9&lt;E199,0,IF(NETWORKDAYS.INTL(E199,F199,11)=0,IF(Reprogramaciones!R$9&gt;=F199,100,0),ROUND(NETWORKDAYS.INTL(E199,MIN(F199,Reprogramaciones!R$9),11)/NETWORKDAYS.INTL(E199,F199,11)*100,1))))</f>
        <v/>
      </c>
      <c r="P199" s="36" t="str">
        <f aca="false">IF(OR(NOT(AND(ISNUMBER(E199),ISNUMBER(F199))),$J$2=""),"",IF(Reprogramaciones!T$9&lt;E199,0,IF(NETWORKDAYS.INTL(E199,F199,11)=0,IF(Reprogramaciones!T$9&gt;=F199,100,0),ROUND(NETWORKDAYS.INTL(E199,MIN(F199,Reprogramaciones!T$9),11)/NETWORKDAYS.INTL(E199,F199,11)*100,1)))-IF(Reprogramaciones!S$9&lt;E199,0,IF(NETWORKDAYS.INTL(E199,F199,11)=0,IF(Reprogramaciones!S$9&gt;=F199,100,0),ROUND(NETWORKDAYS.INTL(E199,MIN(F199,Reprogramaciones!S$9),11)/NETWORKDAYS.INTL(E199,F199,11)*100,1))))</f>
        <v/>
      </c>
      <c r="Q199" s="37"/>
      <c r="R199" s="37"/>
      <c r="S199" s="37"/>
      <c r="T199" s="37"/>
      <c r="U199" s="37"/>
      <c r="V199" s="37"/>
      <c r="W199" s="37"/>
      <c r="X199" s="37"/>
      <c r="Y199" s="37"/>
      <c r="Z199" s="37"/>
      <c r="AA199" s="37"/>
      <c r="AB199" s="37"/>
      <c r="AC199" s="37"/>
      <c r="AD199" s="37"/>
      <c r="AE199" s="37"/>
      <c r="AF199" s="37"/>
      <c r="AG199" s="38" t="str">
        <f aca="false">IF(AND(ISNUMBER(E199),ISNUMBER(F199)),NETWORKDAYS.INTL(E199,F199,11),"")</f>
        <v/>
      </c>
      <c r="AH199" s="38" t="str">
        <f aca="false">IF(OR(NOT(AND(ISNUMBER(E199),ISNUMBER(F199))),$J$2=""),"",IF(Reprogramaciones!$P$15&lt;Reprogramaciones!$T$15,0,IF(Reprogramaciones!$R$15&gt;10,MIN(100,SUM($G199:$P199)),MIN(100,SUMPRODUCT((COLUMN($G199:$P199)-COLUMN($G199)+1&lt;Reprogramaciones!$R$15)*$G199:$P199)+N(INDEX($G199:$P199,1,Reprogramaciones!$R$15))*IF(Reprogramaciones!$P$15&gt;=(Reprogramaciones!$T$15+7*(Reprogramaciones!$R$15-1))+6,1,IF(MAX(0,NETWORKDAYS.INTL(MAX(E199,(Reprogramaciones!$T$15+7*(Reprogramaciones!$R$15-1))),MIN(F199,(Reprogramaciones!$T$15+7*(Reprogramaciones!$R$15-1))+6),11))=0,0,MAX(0,NETWORKDAYS.INTL(MAX(E199,(Reprogramaciones!$T$15+7*(Reprogramaciones!$R$15-1))),MIN(F199,Reprogramaciones!$P$15),11))/MAX(0,NETWORKDAYS.INTL(MAX(E199,(Reprogramaciones!$T$15+7*(Reprogramaciones!$R$15-1))),MIN(F199,(Reprogramaciones!$T$15+7*(Reprogramaciones!$R$15-1))+6),11))))))))</f>
        <v/>
      </c>
      <c r="AI199" s="38" t="str">
        <f aca="false">IF(COUNT($Q199:$AF199)=0,"",IF(ROUND(SUM($Q199:$AF199),1)&gt;=99.5,100,MIN(100,ROUND(SUM($Q199:$AF199),1))))</f>
        <v/>
      </c>
      <c r="AJ199" s="38" t="str">
        <f aca="false">IF(OR(AH199="",AI199=""),"",AI199-AH199)</f>
        <v/>
      </c>
      <c r="AK199" s="39" t="str">
        <f aca="true">IF(AH199="","",IF(OR(Ficha!$C$10="Suspendida",Ficha!$C$10="Cancelada"),Ficha!$C$10,IF(AND(AI199&lt;&gt;"",N(AI199)&gt;=100),"Completada",IF(AND(E199&gt;TODAY(),N(AI199)=0),"Por iniciar",IF(N(AI199)+0.5&lt;AH199,"Retrasada",IF(N(AI199)+0.5&lt;DA199,IF(Reprogramaciones!$K$15&gt;0,"Al día · Sem "&amp;Reprogramaciones!$K$15&amp;" en curso","Al día · en curso"),"A tiempo"))))))</f>
        <v/>
      </c>
      <c r="AL199" s="39" t="str">
        <f aca="true">IF(AND(A199="",AND(B199="",C199="",E199="",F199="",COUNT(Q199:AF199)=0)),"",IF(AND(B199="",C199="",E199="",F199="",COUNT(Q199:AF199)=0),"Falta la partida o subpartida",IF(AND(A199&lt;&gt;"",COUNTIF($A$6:$A$305,A199)&gt;1),"Ítem repetido",IF(AND(C199="",E199="",F199="",COUNT(Q199:AF199)=0),"Título de partida",IF(OR(E199="",F199=""),"Faltan fechas",IF(OR(ISTEXT(E199),ISTEXT(F199)),"Fecha escrita como texto: usa dd/mm/aaaa",IF(F199&lt;E199,"Fin antes del inicio",IF(IF($J$2="",FALSE(),OR(E199&lt;$J$2,F199&gt;Reprogramaciones!$T$15+69)),"Fuera de las 10 semanas",IF(ABS(SUM(G199:P199)-100)&gt;0.5,"La meta no suma 100%",IF(ROUND(SUM(Q199:AF199),1)&gt;100.5,"El avance pasa de 100%",IF(MIN(Q199:AF199)&lt;0,"Avance negativo",IF(COUNTA(Q199:AF199)&gt;COUNT(Q199:AF199),"Avance escrito como texto",IF(SUMPRODUCT((Q199:AF199&gt;0)*(Q199:AF199&lt;1))&gt;0,"Avance menor a 1: escribe 50, no 50%",IF(SUMPRODUCT(ISNUMBER(Q199:AF199)*(Reprogramaciones!$K$8:$Z$8&gt;TODAY()))&gt;0,"Avance en semana que aún no llega",IF(AND(N(Reprogramaciones!$E$21)&gt;0,F199&gt;Reprogramaciones!$E$21),"Pasa el fin de la obra: registra una reprogramación",IF(AND(N(Reprogramaciones!$E$21)&gt;0,SUMPRODUCT(ISNUMBER(Q199:AF199)*(Reprogramaciones!$K$8:$Z$8&gt;Reprogramaciones!$E$21))&gt;0),"Avance después del fin de la obra: registra una reprogramación por atraso","OK"))))))))))))))))</f>
        <v/>
      </c>
      <c r="AM199" s="40" t="str">
        <f aca="false">IF(OR(OR(NOT(AND(ISNUMBER(E199),ISNUMBER(F199))),$J$2=""),1&gt;MAX(1,Reprogramaciones!$U$15)),"",IF(Reprogramaciones!K$12&gt;=7,"",IF(OR(BT199-N(0)&gt;0.05,N(Q199)&gt;0),ROUNDDOWN(ROUND(BT199,6),0)&amp;"%"&amp;IF(CJ199="",""," / "&amp;CJ199&amp;"%"),IF(AND(N(0)&gt;=99.95,CJ199&lt;&gt;"",N(CJ199)&lt;100),"Pend. "&amp;CJ199&amp;"%",""))))</f>
        <v/>
      </c>
      <c r="AN199" s="40" t="str">
        <f aca="false">IF(OR(OR(NOT(AND(ISNUMBER(E199),ISNUMBER(F199))),$J$2=""),2&gt;MAX(1,Reprogramaciones!$U$15)),"",IF(Reprogramaciones!L$12&gt;=7,"",IF(OR(BU199-N(BT199)&gt;0.05,N(R199)&gt;0),ROUNDDOWN(ROUND(BU199,6),0)&amp;"%"&amp;IF(CK199="",""," / "&amp;CK199&amp;"%"),IF(AND(N(BT199)&gt;=99.95,CK199&lt;&gt;"",N(CK199)&lt;100),"Pend. "&amp;CK199&amp;"%",""))))</f>
        <v/>
      </c>
      <c r="AO199" s="40" t="str">
        <f aca="false">IF(OR(OR(NOT(AND(ISNUMBER(E199),ISNUMBER(F199))),$J$2=""),3&gt;MAX(1,Reprogramaciones!$U$15)),"",IF(Reprogramaciones!M$12&gt;=7,"",IF(OR(BV199-N(BU199)&gt;0.05,N(S199)&gt;0),ROUNDDOWN(ROUND(BV199,6),0)&amp;"%"&amp;IF(CL199="",""," / "&amp;CL199&amp;"%"),IF(AND(N(BU199)&gt;=99.95,CL199&lt;&gt;"",N(CL199)&lt;100),"Pend. "&amp;CL199&amp;"%",""))))</f>
        <v/>
      </c>
      <c r="AP199" s="40" t="str">
        <f aca="false">IF(OR(OR(NOT(AND(ISNUMBER(E199),ISNUMBER(F199))),$J$2=""),4&gt;MAX(1,Reprogramaciones!$U$15)),"",IF(Reprogramaciones!N$12&gt;=7,"",IF(OR(BW199-N(BV199)&gt;0.05,N(T199)&gt;0),ROUNDDOWN(ROUND(BW199,6),0)&amp;"%"&amp;IF(CM199="",""," / "&amp;CM199&amp;"%"),IF(AND(N(BV199)&gt;=99.95,CM199&lt;&gt;"",N(CM199)&lt;100),"Pend. "&amp;CM199&amp;"%",""))))</f>
        <v/>
      </c>
      <c r="AQ199" s="40" t="str">
        <f aca="false">IF(OR(OR(NOT(AND(ISNUMBER(E199),ISNUMBER(F199))),$J$2=""),5&gt;MAX(1,Reprogramaciones!$U$15)),"",IF(Reprogramaciones!O$12&gt;=7,"",IF(OR(BX199-N(BW199)&gt;0.05,N(U199)&gt;0),ROUNDDOWN(ROUND(BX199,6),0)&amp;"%"&amp;IF(CN199="",""," / "&amp;CN199&amp;"%"),IF(AND(N(BW199)&gt;=99.95,CN199&lt;&gt;"",N(CN199)&lt;100),"Pend. "&amp;CN199&amp;"%",""))))</f>
        <v/>
      </c>
      <c r="AR199" s="40" t="str">
        <f aca="false">IF(OR(OR(NOT(AND(ISNUMBER(E199),ISNUMBER(F199))),$J$2=""),6&gt;MAX(1,Reprogramaciones!$U$15)),"",IF(Reprogramaciones!P$12&gt;=7,"",IF(OR(BY199-N(BX199)&gt;0.05,N(V199)&gt;0),ROUNDDOWN(ROUND(BY199,6),0)&amp;"%"&amp;IF(CO199="",""," / "&amp;CO199&amp;"%"),IF(AND(N(BX199)&gt;=99.95,CO199&lt;&gt;"",N(CO199)&lt;100),"Pend. "&amp;CO199&amp;"%",""))))</f>
        <v/>
      </c>
      <c r="AS199" s="40" t="str">
        <f aca="false">IF(OR(OR(NOT(AND(ISNUMBER(E199),ISNUMBER(F199))),$J$2=""),7&gt;MAX(1,Reprogramaciones!$U$15)),"",IF(Reprogramaciones!Q$12&gt;=7,"",IF(OR(BZ199-N(BY199)&gt;0.05,N(W199)&gt;0),ROUNDDOWN(ROUND(BZ199,6),0)&amp;"%"&amp;IF(CP199="",""," / "&amp;CP199&amp;"%"),IF(AND(N(BY199)&gt;=99.95,CP199&lt;&gt;"",N(CP199)&lt;100),"Pend. "&amp;CP199&amp;"%",""))))</f>
        <v/>
      </c>
      <c r="AT199" s="40" t="str">
        <f aca="false">IF(OR(OR(NOT(AND(ISNUMBER(E199),ISNUMBER(F199))),$J$2=""),8&gt;MAX(1,Reprogramaciones!$U$15)),"",IF(Reprogramaciones!R$12&gt;=7,"",IF(OR(CA199-N(BZ199)&gt;0.05,N(X199)&gt;0),ROUNDDOWN(ROUND(CA199,6),0)&amp;"%"&amp;IF(CQ199="",""," / "&amp;CQ199&amp;"%"),IF(AND(N(BZ199)&gt;=99.95,CQ199&lt;&gt;"",N(CQ199)&lt;100),"Pend. "&amp;CQ199&amp;"%",""))))</f>
        <v/>
      </c>
      <c r="AU199" s="40" t="str">
        <f aca="false">IF(OR(OR(NOT(AND(ISNUMBER(E199),ISNUMBER(F199))),$J$2=""),9&gt;MAX(1,Reprogramaciones!$U$15)),"",IF(Reprogramaciones!S$12&gt;=7,"",IF(OR(CB199-N(CA199)&gt;0.05,N(Y199)&gt;0),ROUNDDOWN(ROUND(CB199,6),0)&amp;"%"&amp;IF(CR199="",""," / "&amp;CR199&amp;"%"),IF(AND(N(CA199)&gt;=99.95,CR199&lt;&gt;"",N(CR199)&lt;100),"Pend. "&amp;CR199&amp;"%",""))))</f>
        <v/>
      </c>
      <c r="AV199" s="40" t="str">
        <f aca="false">IF(OR(OR(NOT(AND(ISNUMBER(E199),ISNUMBER(F199))),$J$2=""),10&gt;MAX(1,Reprogramaciones!$U$15)),"",IF(Reprogramaciones!T$12&gt;=7,"",IF(OR(CC199-N(CB199)&gt;0.05,N(Z199)&gt;0),ROUNDDOWN(ROUND(CC199,6),0)&amp;"%"&amp;IF(CS199="",""," / "&amp;CS199&amp;"%"),IF(AND(N(CB199)&gt;=99.95,CS199&lt;&gt;"",N(CS199)&lt;100),"Pend. "&amp;CS199&amp;"%",""))))</f>
        <v/>
      </c>
      <c r="AW199" s="40" t="str">
        <f aca="false">IF(OR(OR(NOT(AND(ISNUMBER(E199),ISNUMBER(F199))),$J$2=""),11&gt;MAX(1,Reprogramaciones!$U$15)),"",IF(Reprogramaciones!U$12&gt;=7,"",IF(OR(CD199-N(CC199)&gt;0.05,N(AA199)&gt;0),ROUNDDOWN(ROUND(CD199,6),0)&amp;"%"&amp;IF(CT199="",""," / "&amp;CT199&amp;"%"),IF(AND(N(CC199)&gt;=99.95,CT199&lt;&gt;"",N(CT199)&lt;100),"Pend. "&amp;CT199&amp;"%",""))))</f>
        <v/>
      </c>
      <c r="AX199" s="40" t="str">
        <f aca="false">IF(OR(OR(NOT(AND(ISNUMBER(E199),ISNUMBER(F199))),$J$2=""),12&gt;MAX(1,Reprogramaciones!$U$15)),"",IF(Reprogramaciones!V$12&gt;=7,"",IF(OR(CE199-N(CD199)&gt;0.05,N(AB199)&gt;0),ROUNDDOWN(ROUND(CE199,6),0)&amp;"%"&amp;IF(CU199="",""," / "&amp;CU199&amp;"%"),IF(AND(N(CD199)&gt;=99.95,CU199&lt;&gt;"",N(CU199)&lt;100),"Pend. "&amp;CU199&amp;"%",""))))</f>
        <v/>
      </c>
      <c r="AY199" s="40" t="str">
        <f aca="false">IF(OR(OR(NOT(AND(ISNUMBER(E199),ISNUMBER(F199))),$J$2=""),13&gt;MAX(1,Reprogramaciones!$U$15)),"",IF(Reprogramaciones!W$12&gt;=7,"",IF(OR(CF199-N(CE199)&gt;0.05,N(AC199)&gt;0),ROUNDDOWN(ROUND(CF199,6),0)&amp;"%"&amp;IF(CV199="",""," / "&amp;CV199&amp;"%"),IF(AND(N(CE199)&gt;=99.95,CV199&lt;&gt;"",N(CV199)&lt;100),"Pend. "&amp;CV199&amp;"%",""))))</f>
        <v/>
      </c>
      <c r="AZ199" s="40" t="str">
        <f aca="false">IF(OR(OR(NOT(AND(ISNUMBER(E199),ISNUMBER(F199))),$J$2=""),14&gt;MAX(1,Reprogramaciones!$U$15)),"",IF(Reprogramaciones!X$12&gt;=7,"",IF(OR(CG199-N(CF199)&gt;0.05,N(AD199)&gt;0),ROUNDDOWN(ROUND(CG199,6),0)&amp;"%"&amp;IF(CW199="",""," / "&amp;CW199&amp;"%"),IF(AND(N(CF199)&gt;=99.95,CW199&lt;&gt;"",N(CW199)&lt;100),"Pend. "&amp;CW199&amp;"%",""))))</f>
        <v/>
      </c>
      <c r="BA199" s="40" t="str">
        <f aca="false">IF(OR(OR(NOT(AND(ISNUMBER(E199),ISNUMBER(F199))),$J$2=""),15&gt;MAX(1,Reprogramaciones!$U$15)),"",IF(Reprogramaciones!Y$12&gt;=7,"",IF(OR(CH199-N(CG199)&gt;0.05,N(AE199)&gt;0),ROUNDDOWN(ROUND(CH199,6),0)&amp;"%"&amp;IF(CX199="",""," / "&amp;CX199&amp;"%"),IF(AND(N(CG199)&gt;=99.95,CX199&lt;&gt;"",N(CX199)&lt;100),"Pend. "&amp;CX199&amp;"%",""))))</f>
        <v/>
      </c>
      <c r="BB199" s="40" t="str">
        <f aca="false">IF(OR(OR(NOT(AND(ISNUMBER(E199),ISNUMBER(F199))),$J$2=""),16&gt;MAX(1,Reprogramaciones!$U$15)),"",IF(Reprogramaciones!Z$12&gt;=7,"",IF(OR(CI199-N(CH199)&gt;0.05,N(AF199)&gt;0),ROUNDDOWN(ROUND(CI199,6),0)&amp;"%"&amp;IF(CY199="",""," / "&amp;CY199&amp;"%"),IF(AND(N(CH199)&gt;=99.95,CY199&lt;&gt;"",N(CY199)&lt;100),"Pend. "&amp;CY199&amp;"%",""))))</f>
        <v/>
      </c>
      <c r="BC199" s="31" t="n">
        <f aca="false">IF(AND(ISNUMBER(E199),ISNUMBER(F199)),MAX(1,NETWORKDAYS.INTL(E199,F199,11)),0)</f>
        <v>0</v>
      </c>
      <c r="BD199" s="1" t="str">
        <f aca="false">IF(OR(NOT(AND(ISNUMBER(E199),ISNUMBER(F199))),$J$2=""),"",MIN(100,ROUND(SUM($G199:G199),1)))</f>
        <v/>
      </c>
      <c r="BE199" s="1" t="str">
        <f aca="false">IF(OR(NOT(AND(ISNUMBER(E199),ISNUMBER(F199))),$J$2=""),"",MIN(100,ROUND(SUM($G199:H199),1)))</f>
        <v/>
      </c>
      <c r="BF199" s="1" t="str">
        <f aca="false">IF(OR(NOT(AND(ISNUMBER(E199),ISNUMBER(F199))),$J$2=""),"",MIN(100,ROUND(SUM($G199:I199),1)))</f>
        <v/>
      </c>
      <c r="BG199" s="1" t="str">
        <f aca="false">IF(OR(NOT(AND(ISNUMBER(E199),ISNUMBER(F199))),$J$2=""),"",MIN(100,ROUND(SUM($G199:J199),1)))</f>
        <v/>
      </c>
      <c r="BH199" s="1" t="str">
        <f aca="false">IF(OR(NOT(AND(ISNUMBER(E199),ISNUMBER(F199))),$J$2=""),"",MIN(100,ROUND(SUM($G199:K199),1)))</f>
        <v/>
      </c>
      <c r="BI199" s="1" t="str">
        <f aca="false">IF(OR(NOT(AND(ISNUMBER(E199),ISNUMBER(F199))),$J$2=""),"",MIN(100,ROUND(SUM($G199:L199),1)))</f>
        <v/>
      </c>
      <c r="BJ199" s="1" t="str">
        <f aca="false">IF(OR(NOT(AND(ISNUMBER(E199),ISNUMBER(F199))),$J$2=""),"",MIN(100,ROUND(SUM($G199:M199),1)))</f>
        <v/>
      </c>
      <c r="BK199" s="1" t="str">
        <f aca="false">IF(OR(NOT(AND(ISNUMBER(E199),ISNUMBER(F199))),$J$2=""),"",MIN(100,ROUND(SUM($G199:N199),1)))</f>
        <v/>
      </c>
      <c r="BL199" s="1" t="str">
        <f aca="false">IF(OR(NOT(AND(ISNUMBER(E199),ISNUMBER(F199))),$J$2=""),"",MIN(100,ROUND(SUM($G199:O199),1)))</f>
        <v/>
      </c>
      <c r="BM199" s="1" t="str">
        <f aca="false">IF(OR(NOT(AND(ISNUMBER(E199),ISNUMBER(F199))),$J$2=""),"",MIN(100,ROUND(SUM($G199:P199),1)))</f>
        <v/>
      </c>
      <c r="BN199" s="1" t="str">
        <f aca="false">IF(OR(NOT(AND(ISNUMBER(E199),ISNUMBER(F199))),$J$2=""),"",MIN(100,ROUND(SUM($G199:P199),1)))</f>
        <v/>
      </c>
      <c r="BO199" s="1" t="str">
        <f aca="false">IF(OR(NOT(AND(ISNUMBER(E199),ISNUMBER(F199))),$J$2=""),"",MIN(100,ROUND(SUM($G199:P199),1)))</f>
        <v/>
      </c>
      <c r="BP199" s="1" t="str">
        <f aca="false">IF(OR(NOT(AND(ISNUMBER(E199),ISNUMBER(F199))),$J$2=""),"",MIN(100,ROUND(SUM($G199:P199),1)))</f>
        <v/>
      </c>
      <c r="BQ199" s="1" t="str">
        <f aca="false">IF(OR(NOT(AND(ISNUMBER(E199),ISNUMBER(F199))),$J$2=""),"",MIN(100,ROUND(SUM($G199:P199),1)))</f>
        <v/>
      </c>
      <c r="BR199" s="1" t="str">
        <f aca="false">IF(OR(NOT(AND(ISNUMBER(E199),ISNUMBER(F199))),$J$2=""),"",MIN(100,ROUND(SUM($G199:P199),1)))</f>
        <v/>
      </c>
      <c r="BS199" s="1" t="str">
        <f aca="false">IF(OR(NOT(AND(ISNUMBER(E199),ISNUMBER(F199))),$J$2=""),"",MIN(100,ROUND(SUM($G199:P199),1)))</f>
        <v/>
      </c>
      <c r="BT199" s="1" t="str">
        <f aca="false">IF(OR(NOT(AND(ISNUMBER(E199),ISNUMBER(F199))),$J$2=""),"",IF(Reprogramaciones!K$13&lt;Reprogramaciones!$T$15,0,IF(Reprogramaciones!K$14&gt;10,MIN(100,SUM($G199:$P199)),MIN(100,SUMPRODUCT((COLUMN($G199:$P199)-COLUMN($G199)+1&lt;Reprogramaciones!K$14)*$G199:$P199)+N(INDEX($G199:$P199,1,Reprogramaciones!K$14))*IF(Reprogramaciones!K$13&gt;=(Reprogramaciones!$T$15+7*(Reprogramaciones!K$14-1))+6,1,IF(MAX(0,NETWORKDAYS.INTL(MAX(E199,(Reprogramaciones!$T$15+7*(Reprogramaciones!K$14-1))),MIN(F199,(Reprogramaciones!$T$15+7*(Reprogramaciones!K$14-1))+6),11))=0,0,MAX(0,NETWORKDAYS.INTL(MAX(E199,(Reprogramaciones!$T$15+7*(Reprogramaciones!K$14-1))),MIN(F199,Reprogramaciones!K$13),11))/MAX(0,NETWORKDAYS.INTL(MAX(E199,(Reprogramaciones!$T$15+7*(Reprogramaciones!K$14-1))),MIN(F199,(Reprogramaciones!$T$15+7*(Reprogramaciones!K$14-1))+6),11))))))))</f>
        <v/>
      </c>
      <c r="BU199" s="1" t="str">
        <f aca="false">IF(OR(NOT(AND(ISNUMBER(E199),ISNUMBER(F199))),$J$2=""),"",IF(Reprogramaciones!L$13&lt;Reprogramaciones!$T$15,0,IF(Reprogramaciones!L$14&gt;10,MIN(100,SUM($G199:$P199)),MIN(100,SUMPRODUCT((COLUMN($G199:$P199)-COLUMN($G199)+1&lt;Reprogramaciones!L$14)*$G199:$P199)+N(INDEX($G199:$P199,1,Reprogramaciones!L$14))*IF(Reprogramaciones!L$13&gt;=(Reprogramaciones!$T$15+7*(Reprogramaciones!L$14-1))+6,1,IF(MAX(0,NETWORKDAYS.INTL(MAX(E199,(Reprogramaciones!$T$15+7*(Reprogramaciones!L$14-1))),MIN(F199,(Reprogramaciones!$T$15+7*(Reprogramaciones!L$14-1))+6),11))=0,0,MAX(0,NETWORKDAYS.INTL(MAX(E199,(Reprogramaciones!$T$15+7*(Reprogramaciones!L$14-1))),MIN(F199,Reprogramaciones!L$13),11))/MAX(0,NETWORKDAYS.INTL(MAX(E199,(Reprogramaciones!$T$15+7*(Reprogramaciones!L$14-1))),MIN(F199,(Reprogramaciones!$T$15+7*(Reprogramaciones!L$14-1))+6),11))))))))</f>
        <v/>
      </c>
      <c r="BV199" s="1" t="str">
        <f aca="false">IF(OR(NOT(AND(ISNUMBER(E199),ISNUMBER(F199))),$J$2=""),"",IF(Reprogramaciones!M$13&lt;Reprogramaciones!$T$15,0,IF(Reprogramaciones!M$14&gt;10,MIN(100,SUM($G199:$P199)),MIN(100,SUMPRODUCT((COLUMN($G199:$P199)-COLUMN($G199)+1&lt;Reprogramaciones!M$14)*$G199:$P199)+N(INDEX($G199:$P199,1,Reprogramaciones!M$14))*IF(Reprogramaciones!M$13&gt;=(Reprogramaciones!$T$15+7*(Reprogramaciones!M$14-1))+6,1,IF(MAX(0,NETWORKDAYS.INTL(MAX(E199,(Reprogramaciones!$T$15+7*(Reprogramaciones!M$14-1))),MIN(F199,(Reprogramaciones!$T$15+7*(Reprogramaciones!M$14-1))+6),11))=0,0,MAX(0,NETWORKDAYS.INTL(MAX(E199,(Reprogramaciones!$T$15+7*(Reprogramaciones!M$14-1))),MIN(F199,Reprogramaciones!M$13),11))/MAX(0,NETWORKDAYS.INTL(MAX(E199,(Reprogramaciones!$T$15+7*(Reprogramaciones!M$14-1))),MIN(F199,(Reprogramaciones!$T$15+7*(Reprogramaciones!M$14-1))+6),11))))))))</f>
        <v/>
      </c>
      <c r="BW199" s="1" t="str">
        <f aca="false">IF(OR(NOT(AND(ISNUMBER(E199),ISNUMBER(F199))),$J$2=""),"",IF(Reprogramaciones!N$13&lt;Reprogramaciones!$T$15,0,IF(Reprogramaciones!N$14&gt;10,MIN(100,SUM($G199:$P199)),MIN(100,SUMPRODUCT((COLUMN($G199:$P199)-COLUMN($G199)+1&lt;Reprogramaciones!N$14)*$G199:$P199)+N(INDEX($G199:$P199,1,Reprogramaciones!N$14))*IF(Reprogramaciones!N$13&gt;=(Reprogramaciones!$T$15+7*(Reprogramaciones!N$14-1))+6,1,IF(MAX(0,NETWORKDAYS.INTL(MAX(E199,(Reprogramaciones!$T$15+7*(Reprogramaciones!N$14-1))),MIN(F199,(Reprogramaciones!$T$15+7*(Reprogramaciones!N$14-1))+6),11))=0,0,MAX(0,NETWORKDAYS.INTL(MAX(E199,(Reprogramaciones!$T$15+7*(Reprogramaciones!N$14-1))),MIN(F199,Reprogramaciones!N$13),11))/MAX(0,NETWORKDAYS.INTL(MAX(E199,(Reprogramaciones!$T$15+7*(Reprogramaciones!N$14-1))),MIN(F199,(Reprogramaciones!$T$15+7*(Reprogramaciones!N$14-1))+6),11))))))))</f>
        <v/>
      </c>
      <c r="BX199" s="1" t="str">
        <f aca="false">IF(OR(NOT(AND(ISNUMBER(E199),ISNUMBER(F199))),$J$2=""),"",IF(Reprogramaciones!O$13&lt;Reprogramaciones!$T$15,0,IF(Reprogramaciones!O$14&gt;10,MIN(100,SUM($G199:$P199)),MIN(100,SUMPRODUCT((COLUMN($G199:$P199)-COLUMN($G199)+1&lt;Reprogramaciones!O$14)*$G199:$P199)+N(INDEX($G199:$P199,1,Reprogramaciones!O$14))*IF(Reprogramaciones!O$13&gt;=(Reprogramaciones!$T$15+7*(Reprogramaciones!O$14-1))+6,1,IF(MAX(0,NETWORKDAYS.INTL(MAX(E199,(Reprogramaciones!$T$15+7*(Reprogramaciones!O$14-1))),MIN(F199,(Reprogramaciones!$T$15+7*(Reprogramaciones!O$14-1))+6),11))=0,0,MAX(0,NETWORKDAYS.INTL(MAX(E199,(Reprogramaciones!$T$15+7*(Reprogramaciones!O$14-1))),MIN(F199,Reprogramaciones!O$13),11))/MAX(0,NETWORKDAYS.INTL(MAX(E199,(Reprogramaciones!$T$15+7*(Reprogramaciones!O$14-1))),MIN(F199,(Reprogramaciones!$T$15+7*(Reprogramaciones!O$14-1))+6),11))))))))</f>
        <v/>
      </c>
      <c r="BY199" s="1" t="str">
        <f aca="false">IF(OR(NOT(AND(ISNUMBER(E199),ISNUMBER(F199))),$J$2=""),"",IF(Reprogramaciones!P$13&lt;Reprogramaciones!$T$15,0,IF(Reprogramaciones!P$14&gt;10,MIN(100,SUM($G199:$P199)),MIN(100,SUMPRODUCT((COLUMN($G199:$P199)-COLUMN($G199)+1&lt;Reprogramaciones!P$14)*$G199:$P199)+N(INDEX($G199:$P199,1,Reprogramaciones!P$14))*IF(Reprogramaciones!P$13&gt;=(Reprogramaciones!$T$15+7*(Reprogramaciones!P$14-1))+6,1,IF(MAX(0,NETWORKDAYS.INTL(MAX(E199,(Reprogramaciones!$T$15+7*(Reprogramaciones!P$14-1))),MIN(F199,(Reprogramaciones!$T$15+7*(Reprogramaciones!P$14-1))+6),11))=0,0,MAX(0,NETWORKDAYS.INTL(MAX(E199,(Reprogramaciones!$T$15+7*(Reprogramaciones!P$14-1))),MIN(F199,Reprogramaciones!P$13),11))/MAX(0,NETWORKDAYS.INTL(MAX(E199,(Reprogramaciones!$T$15+7*(Reprogramaciones!P$14-1))),MIN(F199,(Reprogramaciones!$T$15+7*(Reprogramaciones!P$14-1))+6),11))))))))</f>
        <v/>
      </c>
      <c r="BZ199" s="1" t="str">
        <f aca="false">IF(OR(NOT(AND(ISNUMBER(E199),ISNUMBER(F199))),$J$2=""),"",IF(Reprogramaciones!Q$13&lt;Reprogramaciones!$T$15,0,IF(Reprogramaciones!Q$14&gt;10,MIN(100,SUM($G199:$P199)),MIN(100,SUMPRODUCT((COLUMN($G199:$P199)-COLUMN($G199)+1&lt;Reprogramaciones!Q$14)*$G199:$P199)+N(INDEX($G199:$P199,1,Reprogramaciones!Q$14))*IF(Reprogramaciones!Q$13&gt;=(Reprogramaciones!$T$15+7*(Reprogramaciones!Q$14-1))+6,1,IF(MAX(0,NETWORKDAYS.INTL(MAX(E199,(Reprogramaciones!$T$15+7*(Reprogramaciones!Q$14-1))),MIN(F199,(Reprogramaciones!$T$15+7*(Reprogramaciones!Q$14-1))+6),11))=0,0,MAX(0,NETWORKDAYS.INTL(MAX(E199,(Reprogramaciones!$T$15+7*(Reprogramaciones!Q$14-1))),MIN(F199,Reprogramaciones!Q$13),11))/MAX(0,NETWORKDAYS.INTL(MAX(E199,(Reprogramaciones!$T$15+7*(Reprogramaciones!Q$14-1))),MIN(F199,(Reprogramaciones!$T$15+7*(Reprogramaciones!Q$14-1))+6),11))))))))</f>
        <v/>
      </c>
      <c r="CA199" s="1" t="str">
        <f aca="false">IF(OR(NOT(AND(ISNUMBER(E199),ISNUMBER(F199))),$J$2=""),"",IF(Reprogramaciones!R$13&lt;Reprogramaciones!$T$15,0,IF(Reprogramaciones!R$14&gt;10,MIN(100,SUM($G199:$P199)),MIN(100,SUMPRODUCT((COLUMN($G199:$P199)-COLUMN($G199)+1&lt;Reprogramaciones!R$14)*$G199:$P199)+N(INDEX($G199:$P199,1,Reprogramaciones!R$14))*IF(Reprogramaciones!R$13&gt;=(Reprogramaciones!$T$15+7*(Reprogramaciones!R$14-1))+6,1,IF(MAX(0,NETWORKDAYS.INTL(MAX(E199,(Reprogramaciones!$T$15+7*(Reprogramaciones!R$14-1))),MIN(F199,(Reprogramaciones!$T$15+7*(Reprogramaciones!R$14-1))+6),11))=0,0,MAX(0,NETWORKDAYS.INTL(MAX(E199,(Reprogramaciones!$T$15+7*(Reprogramaciones!R$14-1))),MIN(F199,Reprogramaciones!R$13),11))/MAX(0,NETWORKDAYS.INTL(MAX(E199,(Reprogramaciones!$T$15+7*(Reprogramaciones!R$14-1))),MIN(F199,(Reprogramaciones!$T$15+7*(Reprogramaciones!R$14-1))+6),11))))))))</f>
        <v/>
      </c>
      <c r="CB199" s="1" t="str">
        <f aca="false">IF(OR(NOT(AND(ISNUMBER(E199),ISNUMBER(F199))),$J$2=""),"",IF(Reprogramaciones!S$13&lt;Reprogramaciones!$T$15,0,IF(Reprogramaciones!S$14&gt;10,MIN(100,SUM($G199:$P199)),MIN(100,SUMPRODUCT((COLUMN($G199:$P199)-COLUMN($G199)+1&lt;Reprogramaciones!S$14)*$G199:$P199)+N(INDEX($G199:$P199,1,Reprogramaciones!S$14))*IF(Reprogramaciones!S$13&gt;=(Reprogramaciones!$T$15+7*(Reprogramaciones!S$14-1))+6,1,IF(MAX(0,NETWORKDAYS.INTL(MAX(E199,(Reprogramaciones!$T$15+7*(Reprogramaciones!S$14-1))),MIN(F199,(Reprogramaciones!$T$15+7*(Reprogramaciones!S$14-1))+6),11))=0,0,MAX(0,NETWORKDAYS.INTL(MAX(E199,(Reprogramaciones!$T$15+7*(Reprogramaciones!S$14-1))),MIN(F199,Reprogramaciones!S$13),11))/MAX(0,NETWORKDAYS.INTL(MAX(E199,(Reprogramaciones!$T$15+7*(Reprogramaciones!S$14-1))),MIN(F199,(Reprogramaciones!$T$15+7*(Reprogramaciones!S$14-1))+6),11))))))))</f>
        <v/>
      </c>
      <c r="CC199" s="1" t="str">
        <f aca="false">IF(OR(NOT(AND(ISNUMBER(E199),ISNUMBER(F199))),$J$2=""),"",IF(Reprogramaciones!T$13&lt;Reprogramaciones!$T$15,0,IF(Reprogramaciones!T$14&gt;10,MIN(100,SUM($G199:$P199)),MIN(100,SUMPRODUCT((COLUMN($G199:$P199)-COLUMN($G199)+1&lt;Reprogramaciones!T$14)*$G199:$P199)+N(INDEX($G199:$P199,1,Reprogramaciones!T$14))*IF(Reprogramaciones!T$13&gt;=(Reprogramaciones!$T$15+7*(Reprogramaciones!T$14-1))+6,1,IF(MAX(0,NETWORKDAYS.INTL(MAX(E199,(Reprogramaciones!$T$15+7*(Reprogramaciones!T$14-1))),MIN(F199,(Reprogramaciones!$T$15+7*(Reprogramaciones!T$14-1))+6),11))=0,0,MAX(0,NETWORKDAYS.INTL(MAX(E199,(Reprogramaciones!$T$15+7*(Reprogramaciones!T$14-1))),MIN(F199,Reprogramaciones!T$13),11))/MAX(0,NETWORKDAYS.INTL(MAX(E199,(Reprogramaciones!$T$15+7*(Reprogramaciones!T$14-1))),MIN(F199,(Reprogramaciones!$T$15+7*(Reprogramaciones!T$14-1))+6),11))))))))</f>
        <v/>
      </c>
      <c r="CD199" s="1" t="str">
        <f aca="false">IF(OR(NOT(AND(ISNUMBER(E199),ISNUMBER(F199))),$J$2=""),"",IF(Reprogramaciones!U$13&lt;Reprogramaciones!$T$15,0,IF(Reprogramaciones!U$14&gt;10,MIN(100,SUM($G199:$P199)),MIN(100,SUMPRODUCT((COLUMN($G199:$P199)-COLUMN($G199)+1&lt;Reprogramaciones!U$14)*$G199:$P199)+N(INDEX($G199:$P199,1,Reprogramaciones!U$14))*IF(Reprogramaciones!U$13&gt;=(Reprogramaciones!$T$15+7*(Reprogramaciones!U$14-1))+6,1,IF(MAX(0,NETWORKDAYS.INTL(MAX(E199,(Reprogramaciones!$T$15+7*(Reprogramaciones!U$14-1))),MIN(F199,(Reprogramaciones!$T$15+7*(Reprogramaciones!U$14-1))+6),11))=0,0,MAX(0,NETWORKDAYS.INTL(MAX(E199,(Reprogramaciones!$T$15+7*(Reprogramaciones!U$14-1))),MIN(F199,Reprogramaciones!U$13),11))/MAX(0,NETWORKDAYS.INTL(MAX(E199,(Reprogramaciones!$T$15+7*(Reprogramaciones!U$14-1))),MIN(F199,(Reprogramaciones!$T$15+7*(Reprogramaciones!U$14-1))+6),11))))))))</f>
        <v/>
      </c>
      <c r="CE199" s="1" t="str">
        <f aca="false">IF(OR(NOT(AND(ISNUMBER(E199),ISNUMBER(F199))),$J$2=""),"",IF(Reprogramaciones!V$13&lt;Reprogramaciones!$T$15,0,IF(Reprogramaciones!V$14&gt;10,MIN(100,SUM($G199:$P199)),MIN(100,SUMPRODUCT((COLUMN($G199:$P199)-COLUMN($G199)+1&lt;Reprogramaciones!V$14)*$G199:$P199)+N(INDEX($G199:$P199,1,Reprogramaciones!V$14))*IF(Reprogramaciones!V$13&gt;=(Reprogramaciones!$T$15+7*(Reprogramaciones!V$14-1))+6,1,IF(MAX(0,NETWORKDAYS.INTL(MAX(E199,(Reprogramaciones!$T$15+7*(Reprogramaciones!V$14-1))),MIN(F199,(Reprogramaciones!$T$15+7*(Reprogramaciones!V$14-1))+6),11))=0,0,MAX(0,NETWORKDAYS.INTL(MAX(E199,(Reprogramaciones!$T$15+7*(Reprogramaciones!V$14-1))),MIN(F199,Reprogramaciones!V$13),11))/MAX(0,NETWORKDAYS.INTL(MAX(E199,(Reprogramaciones!$T$15+7*(Reprogramaciones!V$14-1))),MIN(F199,(Reprogramaciones!$T$15+7*(Reprogramaciones!V$14-1))+6),11))))))))</f>
        <v/>
      </c>
      <c r="CF199" s="1" t="str">
        <f aca="false">IF(OR(NOT(AND(ISNUMBER(E199),ISNUMBER(F199))),$J$2=""),"",IF(Reprogramaciones!W$13&lt;Reprogramaciones!$T$15,0,IF(Reprogramaciones!W$14&gt;10,MIN(100,SUM($G199:$P199)),MIN(100,SUMPRODUCT((COLUMN($G199:$P199)-COLUMN($G199)+1&lt;Reprogramaciones!W$14)*$G199:$P199)+N(INDEX($G199:$P199,1,Reprogramaciones!W$14))*IF(Reprogramaciones!W$13&gt;=(Reprogramaciones!$T$15+7*(Reprogramaciones!W$14-1))+6,1,IF(MAX(0,NETWORKDAYS.INTL(MAX(E199,(Reprogramaciones!$T$15+7*(Reprogramaciones!W$14-1))),MIN(F199,(Reprogramaciones!$T$15+7*(Reprogramaciones!W$14-1))+6),11))=0,0,MAX(0,NETWORKDAYS.INTL(MAX(E199,(Reprogramaciones!$T$15+7*(Reprogramaciones!W$14-1))),MIN(F199,Reprogramaciones!W$13),11))/MAX(0,NETWORKDAYS.INTL(MAX(E199,(Reprogramaciones!$T$15+7*(Reprogramaciones!W$14-1))),MIN(F199,(Reprogramaciones!$T$15+7*(Reprogramaciones!W$14-1))+6),11))))))))</f>
        <v/>
      </c>
      <c r="CG199" s="1" t="str">
        <f aca="false">IF(OR(NOT(AND(ISNUMBER(E199),ISNUMBER(F199))),$J$2=""),"",IF(Reprogramaciones!X$13&lt;Reprogramaciones!$T$15,0,IF(Reprogramaciones!X$14&gt;10,MIN(100,SUM($G199:$P199)),MIN(100,SUMPRODUCT((COLUMN($G199:$P199)-COLUMN($G199)+1&lt;Reprogramaciones!X$14)*$G199:$P199)+N(INDEX($G199:$P199,1,Reprogramaciones!X$14))*IF(Reprogramaciones!X$13&gt;=(Reprogramaciones!$T$15+7*(Reprogramaciones!X$14-1))+6,1,IF(MAX(0,NETWORKDAYS.INTL(MAX(E199,(Reprogramaciones!$T$15+7*(Reprogramaciones!X$14-1))),MIN(F199,(Reprogramaciones!$T$15+7*(Reprogramaciones!X$14-1))+6),11))=0,0,MAX(0,NETWORKDAYS.INTL(MAX(E199,(Reprogramaciones!$T$15+7*(Reprogramaciones!X$14-1))),MIN(F199,Reprogramaciones!X$13),11))/MAX(0,NETWORKDAYS.INTL(MAX(E199,(Reprogramaciones!$T$15+7*(Reprogramaciones!X$14-1))),MIN(F199,(Reprogramaciones!$T$15+7*(Reprogramaciones!X$14-1))+6),11))))))))</f>
        <v/>
      </c>
      <c r="CH199" s="1" t="str">
        <f aca="false">IF(OR(NOT(AND(ISNUMBER(E199),ISNUMBER(F199))),$J$2=""),"",IF(Reprogramaciones!Y$13&lt;Reprogramaciones!$T$15,0,IF(Reprogramaciones!Y$14&gt;10,MIN(100,SUM($G199:$P199)),MIN(100,SUMPRODUCT((COLUMN($G199:$P199)-COLUMN($G199)+1&lt;Reprogramaciones!Y$14)*$G199:$P199)+N(INDEX($G199:$P199,1,Reprogramaciones!Y$14))*IF(Reprogramaciones!Y$13&gt;=(Reprogramaciones!$T$15+7*(Reprogramaciones!Y$14-1))+6,1,IF(MAX(0,NETWORKDAYS.INTL(MAX(E199,(Reprogramaciones!$T$15+7*(Reprogramaciones!Y$14-1))),MIN(F199,(Reprogramaciones!$T$15+7*(Reprogramaciones!Y$14-1))+6),11))=0,0,MAX(0,NETWORKDAYS.INTL(MAX(E199,(Reprogramaciones!$T$15+7*(Reprogramaciones!Y$14-1))),MIN(F199,Reprogramaciones!Y$13),11))/MAX(0,NETWORKDAYS.INTL(MAX(E199,(Reprogramaciones!$T$15+7*(Reprogramaciones!Y$14-1))),MIN(F199,(Reprogramaciones!$T$15+7*(Reprogramaciones!Y$14-1))+6),11))))))))</f>
        <v/>
      </c>
      <c r="CI199" s="1" t="str">
        <f aca="false">IF(OR(NOT(AND(ISNUMBER(E199),ISNUMBER(F199))),$J$2=""),"",IF(Reprogramaciones!Z$13&lt;Reprogramaciones!$T$15,0,IF(Reprogramaciones!Z$14&gt;10,MIN(100,SUM($G199:$P199)),MIN(100,SUMPRODUCT((COLUMN($G199:$P199)-COLUMN($G199)+1&lt;Reprogramaciones!Z$14)*$G199:$P199)+N(INDEX($G199:$P199,1,Reprogramaciones!Z$14))*IF(Reprogramaciones!Z$13&gt;=(Reprogramaciones!$T$15+7*(Reprogramaciones!Z$14-1))+6,1,IF(MAX(0,NETWORKDAYS.INTL(MAX(E199,(Reprogramaciones!$T$15+7*(Reprogramaciones!Z$14-1))),MIN(F199,(Reprogramaciones!$T$15+7*(Reprogramaciones!Z$14-1))+6),11))=0,0,MAX(0,NETWORKDAYS.INTL(MAX(E199,(Reprogramaciones!$T$15+7*(Reprogramaciones!Z$14-1))),MIN(F199,Reprogramaciones!Z$13),11))/MAX(0,NETWORKDAYS.INTL(MAX(E199,(Reprogramaciones!$T$15+7*(Reprogramaciones!Z$14-1))),MIN(F199,(Reprogramaciones!$T$15+7*(Reprogramaciones!Z$14-1))+6),11))))))))</f>
        <v/>
      </c>
      <c r="CJ199" s="1" t="str">
        <f aca="false">IF(OR(OR(NOT(AND(ISNUMBER(E199),ISNUMBER(F199))),$J$2=""),1&gt;Reprogramaciones!$K$16),"",IF(ROUND(SUM($Q199:Q199),1)&gt;=99.5,100,MIN(100,ROUND(SUM($Q199:Q199),1))))</f>
        <v/>
      </c>
      <c r="CK199" s="1" t="str">
        <f aca="false">IF(OR(OR(NOT(AND(ISNUMBER(E199),ISNUMBER(F199))),$J$2=""),2&gt;Reprogramaciones!$K$16),"",IF(ROUND(SUM($Q199:R199),1)&gt;=99.5,100,MIN(100,ROUND(SUM($Q199:R199),1))))</f>
        <v/>
      </c>
      <c r="CL199" s="1" t="str">
        <f aca="false">IF(OR(OR(NOT(AND(ISNUMBER(E199),ISNUMBER(F199))),$J$2=""),3&gt;Reprogramaciones!$K$16),"",IF(ROUND(SUM($Q199:S199),1)&gt;=99.5,100,MIN(100,ROUND(SUM($Q199:S199),1))))</f>
        <v/>
      </c>
      <c r="CM199" s="1" t="str">
        <f aca="false">IF(OR(OR(NOT(AND(ISNUMBER(E199),ISNUMBER(F199))),$J$2=""),4&gt;Reprogramaciones!$K$16),"",IF(ROUND(SUM($Q199:T199),1)&gt;=99.5,100,MIN(100,ROUND(SUM($Q199:T199),1))))</f>
        <v/>
      </c>
      <c r="CN199" s="1" t="str">
        <f aca="false">IF(OR(OR(NOT(AND(ISNUMBER(E199),ISNUMBER(F199))),$J$2=""),5&gt;Reprogramaciones!$K$16),"",IF(ROUND(SUM($Q199:U199),1)&gt;=99.5,100,MIN(100,ROUND(SUM($Q199:U199),1))))</f>
        <v/>
      </c>
      <c r="CO199" s="1" t="str">
        <f aca="false">IF(OR(OR(NOT(AND(ISNUMBER(E199),ISNUMBER(F199))),$J$2=""),6&gt;Reprogramaciones!$K$16),"",IF(ROUND(SUM($Q199:V199),1)&gt;=99.5,100,MIN(100,ROUND(SUM($Q199:V199),1))))</f>
        <v/>
      </c>
      <c r="CP199" s="1" t="str">
        <f aca="false">IF(OR(OR(NOT(AND(ISNUMBER(E199),ISNUMBER(F199))),$J$2=""),7&gt;Reprogramaciones!$K$16),"",IF(ROUND(SUM($Q199:W199),1)&gt;=99.5,100,MIN(100,ROUND(SUM($Q199:W199),1))))</f>
        <v/>
      </c>
      <c r="CQ199" s="1" t="str">
        <f aca="false">IF(OR(OR(NOT(AND(ISNUMBER(E199),ISNUMBER(F199))),$J$2=""),8&gt;Reprogramaciones!$K$16),"",IF(ROUND(SUM($Q199:X199),1)&gt;=99.5,100,MIN(100,ROUND(SUM($Q199:X199),1))))</f>
        <v/>
      </c>
      <c r="CR199" s="1" t="str">
        <f aca="false">IF(OR(OR(NOT(AND(ISNUMBER(E199),ISNUMBER(F199))),$J$2=""),9&gt;Reprogramaciones!$K$16),"",IF(ROUND(SUM($Q199:Y199),1)&gt;=99.5,100,MIN(100,ROUND(SUM($Q199:Y199),1))))</f>
        <v/>
      </c>
      <c r="CS199" s="1" t="str">
        <f aca="false">IF(OR(OR(NOT(AND(ISNUMBER(E199),ISNUMBER(F199))),$J$2=""),10&gt;Reprogramaciones!$K$16),"",IF(ROUND(SUM($Q199:Z199),1)&gt;=99.5,100,MIN(100,ROUND(SUM($Q199:Z199),1))))</f>
        <v/>
      </c>
      <c r="CT199" s="1" t="str">
        <f aca="false">IF(OR(OR(NOT(AND(ISNUMBER(E199),ISNUMBER(F199))),$J$2=""),11&gt;Reprogramaciones!$K$16),"",IF(ROUND(SUM($Q199:AA199),1)&gt;=99.5,100,MIN(100,ROUND(SUM($Q199:AA199),1))))</f>
        <v/>
      </c>
      <c r="CU199" s="1" t="str">
        <f aca="false">IF(OR(OR(NOT(AND(ISNUMBER(E199),ISNUMBER(F199))),$J$2=""),12&gt;Reprogramaciones!$K$16),"",IF(ROUND(SUM($Q199:AB199),1)&gt;=99.5,100,MIN(100,ROUND(SUM($Q199:AB199),1))))</f>
        <v/>
      </c>
      <c r="CV199" s="1" t="str">
        <f aca="false">IF(OR(OR(NOT(AND(ISNUMBER(E199),ISNUMBER(F199))),$J$2=""),13&gt;Reprogramaciones!$K$16),"",IF(ROUND(SUM($Q199:AC199),1)&gt;=99.5,100,MIN(100,ROUND(SUM($Q199:AC199),1))))</f>
        <v/>
      </c>
      <c r="CW199" s="1" t="str">
        <f aca="false">IF(OR(OR(NOT(AND(ISNUMBER(E199),ISNUMBER(F199))),$J$2=""),14&gt;Reprogramaciones!$K$16),"",IF(ROUND(SUM($Q199:AD199),1)&gt;=99.5,100,MIN(100,ROUND(SUM($Q199:AD199),1))))</f>
        <v/>
      </c>
      <c r="CX199" s="1" t="str">
        <f aca="false">IF(OR(OR(NOT(AND(ISNUMBER(E199),ISNUMBER(F199))),$J$2=""),15&gt;Reprogramaciones!$K$16),"",IF(ROUND(SUM($Q199:AE199),1)&gt;=99.5,100,MIN(100,ROUND(SUM($Q199:AE199),1))))</f>
        <v/>
      </c>
      <c r="CY199" s="1" t="str">
        <f aca="false">IF(OR(OR(NOT(AND(ISNUMBER(E199),ISNUMBER(F199))),$J$2=""),16&gt;Reprogramaciones!$K$16),"",IF(ROUND(SUM($Q199:AF199),1)&gt;=99.5,100,MIN(100,ROUND(SUM($Q199:AF199),1))))</f>
        <v/>
      </c>
      <c r="CZ199" s="1" t="str">
        <f aca="false">IF(D199&lt;&gt;"",D199,IF(B199&lt;&gt;"","Contractual",CZ198))</f>
        <v>Contractual</v>
      </c>
      <c r="DA199" s="1" t="str">
        <f aca="false">IF(OR(NOT(AND(ISNUMBER(E199),ISNUMBER(F199))),$J$2=""),"",IF(Reprogramaciones!$Q$15&lt;Reprogramaciones!$T$15,0,IF(Reprogramaciones!$S$15&gt;10,MIN(100,SUM($G199:$P199)),MIN(100,SUMPRODUCT((COLUMN($G199:$P199)-COLUMN($G199)+1&lt;Reprogramaciones!$S$15)*$G199:$P199)+N(INDEX($G199:$P199,1,Reprogramaciones!$S$15))*IF(Reprogramaciones!$Q$15&gt;=(Reprogramaciones!$T$15+7*(Reprogramaciones!$S$15-1))+6,1,IF(MAX(0,NETWORKDAYS.INTL(MAX(E199,(Reprogramaciones!$T$15+7*(Reprogramaciones!$S$15-1))),MIN(F199,(Reprogramaciones!$T$15+7*(Reprogramaciones!$S$15-1))+6),11))=0,0,MAX(0,NETWORKDAYS.INTL(MAX(E199,(Reprogramaciones!$T$15+7*(Reprogramaciones!$S$15-1))),MIN(F199,Reprogramaciones!$Q$15),11))/MAX(0,NETWORKDAYS.INTL(MAX(E199,(Reprogramaciones!$T$15+7*(Reprogramaciones!$S$15-1))),MIN(F199,(Reprogramaciones!$T$15+7*(Reprogramaciones!$S$15-1))+6),11))))))))</f>
        <v/>
      </c>
    </row>
    <row r="200" customFormat="false" ht="15" hidden="false" customHeight="false" outlineLevel="0" collapsed="false">
      <c r="A200" s="32"/>
      <c r="B200" s="33"/>
      <c r="C200" s="33"/>
      <c r="D200" s="34"/>
      <c r="E200" s="35"/>
      <c r="F200" s="35"/>
      <c r="G200" s="36" t="str">
        <f aca="false">IF(OR(NOT(AND(ISNUMBER(E200),ISNUMBER(F200))),$J$2=""),"",IF(Reprogramaciones!K$9&lt;E200,0,IF(NETWORKDAYS.INTL(E200,F200,11)=0,IF(Reprogramaciones!K$9&gt;=F200,100,0),ROUND(NETWORKDAYS.INTL(E200,MIN(F200,Reprogramaciones!K$9),11)/NETWORKDAYS.INTL(E200,F200,11)*100,1)))-0)</f>
        <v/>
      </c>
      <c r="H200" s="36" t="str">
        <f aca="false">IF(OR(NOT(AND(ISNUMBER(E200),ISNUMBER(F200))),$J$2=""),"",IF(Reprogramaciones!L$9&lt;E200,0,IF(NETWORKDAYS.INTL(E200,F200,11)=0,IF(Reprogramaciones!L$9&gt;=F200,100,0),ROUND(NETWORKDAYS.INTL(E200,MIN(F200,Reprogramaciones!L$9),11)/NETWORKDAYS.INTL(E200,F200,11)*100,1)))-IF(Reprogramaciones!K$9&lt;E200,0,IF(NETWORKDAYS.INTL(E200,F200,11)=0,IF(Reprogramaciones!K$9&gt;=F200,100,0),ROUND(NETWORKDAYS.INTL(E200,MIN(F200,Reprogramaciones!K$9),11)/NETWORKDAYS.INTL(E200,F200,11)*100,1))))</f>
        <v/>
      </c>
      <c r="I200" s="36" t="str">
        <f aca="false">IF(OR(NOT(AND(ISNUMBER(E200),ISNUMBER(F200))),$J$2=""),"",IF(Reprogramaciones!M$9&lt;E200,0,IF(NETWORKDAYS.INTL(E200,F200,11)=0,IF(Reprogramaciones!M$9&gt;=F200,100,0),ROUND(NETWORKDAYS.INTL(E200,MIN(F200,Reprogramaciones!M$9),11)/NETWORKDAYS.INTL(E200,F200,11)*100,1)))-IF(Reprogramaciones!L$9&lt;E200,0,IF(NETWORKDAYS.INTL(E200,F200,11)=0,IF(Reprogramaciones!L$9&gt;=F200,100,0),ROUND(NETWORKDAYS.INTL(E200,MIN(F200,Reprogramaciones!L$9),11)/NETWORKDAYS.INTL(E200,F200,11)*100,1))))</f>
        <v/>
      </c>
      <c r="J200" s="36" t="str">
        <f aca="false">IF(OR(NOT(AND(ISNUMBER(E200),ISNUMBER(F200))),$J$2=""),"",IF(Reprogramaciones!N$9&lt;E200,0,IF(NETWORKDAYS.INTL(E200,F200,11)=0,IF(Reprogramaciones!N$9&gt;=F200,100,0),ROUND(NETWORKDAYS.INTL(E200,MIN(F200,Reprogramaciones!N$9),11)/NETWORKDAYS.INTL(E200,F200,11)*100,1)))-IF(Reprogramaciones!M$9&lt;E200,0,IF(NETWORKDAYS.INTL(E200,F200,11)=0,IF(Reprogramaciones!M$9&gt;=F200,100,0),ROUND(NETWORKDAYS.INTL(E200,MIN(F200,Reprogramaciones!M$9),11)/NETWORKDAYS.INTL(E200,F200,11)*100,1))))</f>
        <v/>
      </c>
      <c r="K200" s="36" t="str">
        <f aca="false">IF(OR(NOT(AND(ISNUMBER(E200),ISNUMBER(F200))),$J$2=""),"",IF(Reprogramaciones!O$9&lt;E200,0,IF(NETWORKDAYS.INTL(E200,F200,11)=0,IF(Reprogramaciones!O$9&gt;=F200,100,0),ROUND(NETWORKDAYS.INTL(E200,MIN(F200,Reprogramaciones!O$9),11)/NETWORKDAYS.INTL(E200,F200,11)*100,1)))-IF(Reprogramaciones!N$9&lt;E200,0,IF(NETWORKDAYS.INTL(E200,F200,11)=0,IF(Reprogramaciones!N$9&gt;=F200,100,0),ROUND(NETWORKDAYS.INTL(E200,MIN(F200,Reprogramaciones!N$9),11)/NETWORKDAYS.INTL(E200,F200,11)*100,1))))</f>
        <v/>
      </c>
      <c r="L200" s="36" t="str">
        <f aca="false">IF(OR(NOT(AND(ISNUMBER(E200),ISNUMBER(F200))),$J$2=""),"",IF(Reprogramaciones!P$9&lt;E200,0,IF(NETWORKDAYS.INTL(E200,F200,11)=0,IF(Reprogramaciones!P$9&gt;=F200,100,0),ROUND(NETWORKDAYS.INTL(E200,MIN(F200,Reprogramaciones!P$9),11)/NETWORKDAYS.INTL(E200,F200,11)*100,1)))-IF(Reprogramaciones!O$9&lt;E200,0,IF(NETWORKDAYS.INTL(E200,F200,11)=0,IF(Reprogramaciones!O$9&gt;=F200,100,0),ROUND(NETWORKDAYS.INTL(E200,MIN(F200,Reprogramaciones!O$9),11)/NETWORKDAYS.INTL(E200,F200,11)*100,1))))</f>
        <v/>
      </c>
      <c r="M200" s="36" t="str">
        <f aca="false">IF(OR(NOT(AND(ISNUMBER(E200),ISNUMBER(F200))),$J$2=""),"",IF(Reprogramaciones!Q$9&lt;E200,0,IF(NETWORKDAYS.INTL(E200,F200,11)=0,IF(Reprogramaciones!Q$9&gt;=F200,100,0),ROUND(NETWORKDAYS.INTL(E200,MIN(F200,Reprogramaciones!Q$9),11)/NETWORKDAYS.INTL(E200,F200,11)*100,1)))-IF(Reprogramaciones!P$9&lt;E200,0,IF(NETWORKDAYS.INTL(E200,F200,11)=0,IF(Reprogramaciones!P$9&gt;=F200,100,0),ROUND(NETWORKDAYS.INTL(E200,MIN(F200,Reprogramaciones!P$9),11)/NETWORKDAYS.INTL(E200,F200,11)*100,1))))</f>
        <v/>
      </c>
      <c r="N200" s="36" t="str">
        <f aca="false">IF(OR(NOT(AND(ISNUMBER(E200),ISNUMBER(F200))),$J$2=""),"",IF(Reprogramaciones!R$9&lt;E200,0,IF(NETWORKDAYS.INTL(E200,F200,11)=0,IF(Reprogramaciones!R$9&gt;=F200,100,0),ROUND(NETWORKDAYS.INTL(E200,MIN(F200,Reprogramaciones!R$9),11)/NETWORKDAYS.INTL(E200,F200,11)*100,1)))-IF(Reprogramaciones!Q$9&lt;E200,0,IF(NETWORKDAYS.INTL(E200,F200,11)=0,IF(Reprogramaciones!Q$9&gt;=F200,100,0),ROUND(NETWORKDAYS.INTL(E200,MIN(F200,Reprogramaciones!Q$9),11)/NETWORKDAYS.INTL(E200,F200,11)*100,1))))</f>
        <v/>
      </c>
      <c r="O200" s="36" t="str">
        <f aca="false">IF(OR(NOT(AND(ISNUMBER(E200),ISNUMBER(F200))),$J$2=""),"",IF(Reprogramaciones!S$9&lt;E200,0,IF(NETWORKDAYS.INTL(E200,F200,11)=0,IF(Reprogramaciones!S$9&gt;=F200,100,0),ROUND(NETWORKDAYS.INTL(E200,MIN(F200,Reprogramaciones!S$9),11)/NETWORKDAYS.INTL(E200,F200,11)*100,1)))-IF(Reprogramaciones!R$9&lt;E200,0,IF(NETWORKDAYS.INTL(E200,F200,11)=0,IF(Reprogramaciones!R$9&gt;=F200,100,0),ROUND(NETWORKDAYS.INTL(E200,MIN(F200,Reprogramaciones!R$9),11)/NETWORKDAYS.INTL(E200,F200,11)*100,1))))</f>
        <v/>
      </c>
      <c r="P200" s="36" t="str">
        <f aca="false">IF(OR(NOT(AND(ISNUMBER(E200),ISNUMBER(F200))),$J$2=""),"",IF(Reprogramaciones!T$9&lt;E200,0,IF(NETWORKDAYS.INTL(E200,F200,11)=0,IF(Reprogramaciones!T$9&gt;=F200,100,0),ROUND(NETWORKDAYS.INTL(E200,MIN(F200,Reprogramaciones!T$9),11)/NETWORKDAYS.INTL(E200,F200,11)*100,1)))-IF(Reprogramaciones!S$9&lt;E200,0,IF(NETWORKDAYS.INTL(E200,F200,11)=0,IF(Reprogramaciones!S$9&gt;=F200,100,0),ROUND(NETWORKDAYS.INTL(E200,MIN(F200,Reprogramaciones!S$9),11)/NETWORKDAYS.INTL(E200,F200,11)*100,1))))</f>
        <v/>
      </c>
      <c r="Q200" s="37"/>
      <c r="R200" s="37"/>
      <c r="S200" s="37"/>
      <c r="T200" s="37"/>
      <c r="U200" s="37"/>
      <c r="V200" s="37"/>
      <c r="W200" s="37"/>
      <c r="X200" s="37"/>
      <c r="Y200" s="37"/>
      <c r="Z200" s="37"/>
      <c r="AA200" s="37"/>
      <c r="AB200" s="37"/>
      <c r="AC200" s="37"/>
      <c r="AD200" s="37"/>
      <c r="AE200" s="37"/>
      <c r="AF200" s="37"/>
      <c r="AG200" s="38" t="str">
        <f aca="false">IF(AND(ISNUMBER(E200),ISNUMBER(F200)),NETWORKDAYS.INTL(E200,F200,11),"")</f>
        <v/>
      </c>
      <c r="AH200" s="38" t="str">
        <f aca="false">IF(OR(NOT(AND(ISNUMBER(E200),ISNUMBER(F200))),$J$2=""),"",IF(Reprogramaciones!$P$15&lt;Reprogramaciones!$T$15,0,IF(Reprogramaciones!$R$15&gt;10,MIN(100,SUM($G200:$P200)),MIN(100,SUMPRODUCT((COLUMN($G200:$P200)-COLUMN($G200)+1&lt;Reprogramaciones!$R$15)*$G200:$P200)+N(INDEX($G200:$P200,1,Reprogramaciones!$R$15))*IF(Reprogramaciones!$P$15&gt;=(Reprogramaciones!$T$15+7*(Reprogramaciones!$R$15-1))+6,1,IF(MAX(0,NETWORKDAYS.INTL(MAX(E200,(Reprogramaciones!$T$15+7*(Reprogramaciones!$R$15-1))),MIN(F200,(Reprogramaciones!$T$15+7*(Reprogramaciones!$R$15-1))+6),11))=0,0,MAX(0,NETWORKDAYS.INTL(MAX(E200,(Reprogramaciones!$T$15+7*(Reprogramaciones!$R$15-1))),MIN(F200,Reprogramaciones!$P$15),11))/MAX(0,NETWORKDAYS.INTL(MAX(E200,(Reprogramaciones!$T$15+7*(Reprogramaciones!$R$15-1))),MIN(F200,(Reprogramaciones!$T$15+7*(Reprogramaciones!$R$15-1))+6),11))))))))</f>
        <v/>
      </c>
      <c r="AI200" s="38" t="str">
        <f aca="false">IF(COUNT($Q200:$AF200)=0,"",IF(ROUND(SUM($Q200:$AF200),1)&gt;=99.5,100,MIN(100,ROUND(SUM($Q200:$AF200),1))))</f>
        <v/>
      </c>
      <c r="AJ200" s="38" t="str">
        <f aca="false">IF(OR(AH200="",AI200=""),"",AI200-AH200)</f>
        <v/>
      </c>
      <c r="AK200" s="39" t="str">
        <f aca="true">IF(AH200="","",IF(OR(Ficha!$C$10="Suspendida",Ficha!$C$10="Cancelada"),Ficha!$C$10,IF(AND(AI200&lt;&gt;"",N(AI200)&gt;=100),"Completada",IF(AND(E200&gt;TODAY(),N(AI200)=0),"Por iniciar",IF(N(AI200)+0.5&lt;AH200,"Retrasada",IF(N(AI200)+0.5&lt;DA200,IF(Reprogramaciones!$K$15&gt;0,"Al día · Sem "&amp;Reprogramaciones!$K$15&amp;" en curso","Al día · en curso"),"A tiempo"))))))</f>
        <v/>
      </c>
      <c r="AL200" s="39" t="str">
        <f aca="true">IF(AND(A200="",AND(B200="",C200="",E200="",F200="",COUNT(Q200:AF200)=0)),"",IF(AND(B200="",C200="",E200="",F200="",COUNT(Q200:AF200)=0),"Falta la partida o subpartida",IF(AND(A200&lt;&gt;"",COUNTIF($A$6:$A$305,A200)&gt;1),"Ítem repetido",IF(AND(C200="",E200="",F200="",COUNT(Q200:AF200)=0),"Título de partida",IF(OR(E200="",F200=""),"Faltan fechas",IF(OR(ISTEXT(E200),ISTEXT(F200)),"Fecha escrita como texto: usa dd/mm/aaaa",IF(F200&lt;E200,"Fin antes del inicio",IF(IF($J$2="",FALSE(),OR(E200&lt;$J$2,F200&gt;Reprogramaciones!$T$15+69)),"Fuera de las 10 semanas",IF(ABS(SUM(G200:P200)-100)&gt;0.5,"La meta no suma 100%",IF(ROUND(SUM(Q200:AF200),1)&gt;100.5,"El avance pasa de 100%",IF(MIN(Q200:AF200)&lt;0,"Avance negativo",IF(COUNTA(Q200:AF200)&gt;COUNT(Q200:AF200),"Avance escrito como texto",IF(SUMPRODUCT((Q200:AF200&gt;0)*(Q200:AF200&lt;1))&gt;0,"Avance menor a 1: escribe 50, no 50%",IF(SUMPRODUCT(ISNUMBER(Q200:AF200)*(Reprogramaciones!$K$8:$Z$8&gt;TODAY()))&gt;0,"Avance en semana que aún no llega",IF(AND(N(Reprogramaciones!$E$21)&gt;0,F200&gt;Reprogramaciones!$E$21),"Pasa el fin de la obra: registra una reprogramación",IF(AND(N(Reprogramaciones!$E$21)&gt;0,SUMPRODUCT(ISNUMBER(Q200:AF200)*(Reprogramaciones!$K$8:$Z$8&gt;Reprogramaciones!$E$21))&gt;0),"Avance después del fin de la obra: registra una reprogramación por atraso","OK"))))))))))))))))</f>
        <v/>
      </c>
      <c r="AM200" s="40" t="str">
        <f aca="false">IF(OR(OR(NOT(AND(ISNUMBER(E200),ISNUMBER(F200))),$J$2=""),1&gt;MAX(1,Reprogramaciones!$U$15)),"",IF(Reprogramaciones!K$12&gt;=7,"",IF(OR(BT200-N(0)&gt;0.05,N(Q200)&gt;0),ROUNDDOWN(ROUND(BT200,6),0)&amp;"%"&amp;IF(CJ200="",""," / "&amp;CJ200&amp;"%"),IF(AND(N(0)&gt;=99.95,CJ200&lt;&gt;"",N(CJ200)&lt;100),"Pend. "&amp;CJ200&amp;"%",""))))</f>
        <v/>
      </c>
      <c r="AN200" s="40" t="str">
        <f aca="false">IF(OR(OR(NOT(AND(ISNUMBER(E200),ISNUMBER(F200))),$J$2=""),2&gt;MAX(1,Reprogramaciones!$U$15)),"",IF(Reprogramaciones!L$12&gt;=7,"",IF(OR(BU200-N(BT200)&gt;0.05,N(R200)&gt;0),ROUNDDOWN(ROUND(BU200,6),0)&amp;"%"&amp;IF(CK200="",""," / "&amp;CK200&amp;"%"),IF(AND(N(BT200)&gt;=99.95,CK200&lt;&gt;"",N(CK200)&lt;100),"Pend. "&amp;CK200&amp;"%",""))))</f>
        <v/>
      </c>
      <c r="AO200" s="40" t="str">
        <f aca="false">IF(OR(OR(NOT(AND(ISNUMBER(E200),ISNUMBER(F200))),$J$2=""),3&gt;MAX(1,Reprogramaciones!$U$15)),"",IF(Reprogramaciones!M$12&gt;=7,"",IF(OR(BV200-N(BU200)&gt;0.05,N(S200)&gt;0),ROUNDDOWN(ROUND(BV200,6),0)&amp;"%"&amp;IF(CL200="",""," / "&amp;CL200&amp;"%"),IF(AND(N(BU200)&gt;=99.95,CL200&lt;&gt;"",N(CL200)&lt;100),"Pend. "&amp;CL200&amp;"%",""))))</f>
        <v/>
      </c>
      <c r="AP200" s="40" t="str">
        <f aca="false">IF(OR(OR(NOT(AND(ISNUMBER(E200),ISNUMBER(F200))),$J$2=""),4&gt;MAX(1,Reprogramaciones!$U$15)),"",IF(Reprogramaciones!N$12&gt;=7,"",IF(OR(BW200-N(BV200)&gt;0.05,N(T200)&gt;0),ROUNDDOWN(ROUND(BW200,6),0)&amp;"%"&amp;IF(CM200="",""," / "&amp;CM200&amp;"%"),IF(AND(N(BV200)&gt;=99.95,CM200&lt;&gt;"",N(CM200)&lt;100),"Pend. "&amp;CM200&amp;"%",""))))</f>
        <v/>
      </c>
      <c r="AQ200" s="40" t="str">
        <f aca="false">IF(OR(OR(NOT(AND(ISNUMBER(E200),ISNUMBER(F200))),$J$2=""),5&gt;MAX(1,Reprogramaciones!$U$15)),"",IF(Reprogramaciones!O$12&gt;=7,"",IF(OR(BX200-N(BW200)&gt;0.05,N(U200)&gt;0),ROUNDDOWN(ROUND(BX200,6),0)&amp;"%"&amp;IF(CN200="",""," / "&amp;CN200&amp;"%"),IF(AND(N(BW200)&gt;=99.95,CN200&lt;&gt;"",N(CN200)&lt;100),"Pend. "&amp;CN200&amp;"%",""))))</f>
        <v/>
      </c>
      <c r="AR200" s="40" t="str">
        <f aca="false">IF(OR(OR(NOT(AND(ISNUMBER(E200),ISNUMBER(F200))),$J$2=""),6&gt;MAX(1,Reprogramaciones!$U$15)),"",IF(Reprogramaciones!P$12&gt;=7,"",IF(OR(BY200-N(BX200)&gt;0.05,N(V200)&gt;0),ROUNDDOWN(ROUND(BY200,6),0)&amp;"%"&amp;IF(CO200="",""," / "&amp;CO200&amp;"%"),IF(AND(N(BX200)&gt;=99.95,CO200&lt;&gt;"",N(CO200)&lt;100),"Pend. "&amp;CO200&amp;"%",""))))</f>
        <v/>
      </c>
      <c r="AS200" s="40" t="str">
        <f aca="false">IF(OR(OR(NOT(AND(ISNUMBER(E200),ISNUMBER(F200))),$J$2=""),7&gt;MAX(1,Reprogramaciones!$U$15)),"",IF(Reprogramaciones!Q$12&gt;=7,"",IF(OR(BZ200-N(BY200)&gt;0.05,N(W200)&gt;0),ROUNDDOWN(ROUND(BZ200,6),0)&amp;"%"&amp;IF(CP200="",""," / "&amp;CP200&amp;"%"),IF(AND(N(BY200)&gt;=99.95,CP200&lt;&gt;"",N(CP200)&lt;100),"Pend. "&amp;CP200&amp;"%",""))))</f>
        <v/>
      </c>
      <c r="AT200" s="40" t="str">
        <f aca="false">IF(OR(OR(NOT(AND(ISNUMBER(E200),ISNUMBER(F200))),$J$2=""),8&gt;MAX(1,Reprogramaciones!$U$15)),"",IF(Reprogramaciones!R$12&gt;=7,"",IF(OR(CA200-N(BZ200)&gt;0.05,N(X200)&gt;0),ROUNDDOWN(ROUND(CA200,6),0)&amp;"%"&amp;IF(CQ200="",""," / "&amp;CQ200&amp;"%"),IF(AND(N(BZ200)&gt;=99.95,CQ200&lt;&gt;"",N(CQ200)&lt;100),"Pend. "&amp;CQ200&amp;"%",""))))</f>
        <v/>
      </c>
      <c r="AU200" s="40" t="str">
        <f aca="false">IF(OR(OR(NOT(AND(ISNUMBER(E200),ISNUMBER(F200))),$J$2=""),9&gt;MAX(1,Reprogramaciones!$U$15)),"",IF(Reprogramaciones!S$12&gt;=7,"",IF(OR(CB200-N(CA200)&gt;0.05,N(Y200)&gt;0),ROUNDDOWN(ROUND(CB200,6),0)&amp;"%"&amp;IF(CR200="",""," / "&amp;CR200&amp;"%"),IF(AND(N(CA200)&gt;=99.95,CR200&lt;&gt;"",N(CR200)&lt;100),"Pend. "&amp;CR200&amp;"%",""))))</f>
        <v/>
      </c>
      <c r="AV200" s="40" t="str">
        <f aca="false">IF(OR(OR(NOT(AND(ISNUMBER(E200),ISNUMBER(F200))),$J$2=""),10&gt;MAX(1,Reprogramaciones!$U$15)),"",IF(Reprogramaciones!T$12&gt;=7,"",IF(OR(CC200-N(CB200)&gt;0.05,N(Z200)&gt;0),ROUNDDOWN(ROUND(CC200,6),0)&amp;"%"&amp;IF(CS200="",""," / "&amp;CS200&amp;"%"),IF(AND(N(CB200)&gt;=99.95,CS200&lt;&gt;"",N(CS200)&lt;100),"Pend. "&amp;CS200&amp;"%",""))))</f>
        <v/>
      </c>
      <c r="AW200" s="40" t="str">
        <f aca="false">IF(OR(OR(NOT(AND(ISNUMBER(E200),ISNUMBER(F200))),$J$2=""),11&gt;MAX(1,Reprogramaciones!$U$15)),"",IF(Reprogramaciones!U$12&gt;=7,"",IF(OR(CD200-N(CC200)&gt;0.05,N(AA200)&gt;0),ROUNDDOWN(ROUND(CD200,6),0)&amp;"%"&amp;IF(CT200="",""," / "&amp;CT200&amp;"%"),IF(AND(N(CC200)&gt;=99.95,CT200&lt;&gt;"",N(CT200)&lt;100),"Pend. "&amp;CT200&amp;"%",""))))</f>
        <v/>
      </c>
      <c r="AX200" s="40" t="str">
        <f aca="false">IF(OR(OR(NOT(AND(ISNUMBER(E200),ISNUMBER(F200))),$J$2=""),12&gt;MAX(1,Reprogramaciones!$U$15)),"",IF(Reprogramaciones!V$12&gt;=7,"",IF(OR(CE200-N(CD200)&gt;0.05,N(AB200)&gt;0),ROUNDDOWN(ROUND(CE200,6),0)&amp;"%"&amp;IF(CU200="",""," / "&amp;CU200&amp;"%"),IF(AND(N(CD200)&gt;=99.95,CU200&lt;&gt;"",N(CU200)&lt;100),"Pend. "&amp;CU200&amp;"%",""))))</f>
        <v/>
      </c>
      <c r="AY200" s="40" t="str">
        <f aca="false">IF(OR(OR(NOT(AND(ISNUMBER(E200),ISNUMBER(F200))),$J$2=""),13&gt;MAX(1,Reprogramaciones!$U$15)),"",IF(Reprogramaciones!W$12&gt;=7,"",IF(OR(CF200-N(CE200)&gt;0.05,N(AC200)&gt;0),ROUNDDOWN(ROUND(CF200,6),0)&amp;"%"&amp;IF(CV200="",""," / "&amp;CV200&amp;"%"),IF(AND(N(CE200)&gt;=99.95,CV200&lt;&gt;"",N(CV200)&lt;100),"Pend. "&amp;CV200&amp;"%",""))))</f>
        <v/>
      </c>
      <c r="AZ200" s="40" t="str">
        <f aca="false">IF(OR(OR(NOT(AND(ISNUMBER(E200),ISNUMBER(F200))),$J$2=""),14&gt;MAX(1,Reprogramaciones!$U$15)),"",IF(Reprogramaciones!X$12&gt;=7,"",IF(OR(CG200-N(CF200)&gt;0.05,N(AD200)&gt;0),ROUNDDOWN(ROUND(CG200,6),0)&amp;"%"&amp;IF(CW200="",""," / "&amp;CW200&amp;"%"),IF(AND(N(CF200)&gt;=99.95,CW200&lt;&gt;"",N(CW200)&lt;100),"Pend. "&amp;CW200&amp;"%",""))))</f>
        <v/>
      </c>
      <c r="BA200" s="40" t="str">
        <f aca="false">IF(OR(OR(NOT(AND(ISNUMBER(E200),ISNUMBER(F200))),$J$2=""),15&gt;MAX(1,Reprogramaciones!$U$15)),"",IF(Reprogramaciones!Y$12&gt;=7,"",IF(OR(CH200-N(CG200)&gt;0.05,N(AE200)&gt;0),ROUNDDOWN(ROUND(CH200,6),0)&amp;"%"&amp;IF(CX200="",""," / "&amp;CX200&amp;"%"),IF(AND(N(CG200)&gt;=99.95,CX200&lt;&gt;"",N(CX200)&lt;100),"Pend. "&amp;CX200&amp;"%",""))))</f>
        <v/>
      </c>
      <c r="BB200" s="40" t="str">
        <f aca="false">IF(OR(OR(NOT(AND(ISNUMBER(E200),ISNUMBER(F200))),$J$2=""),16&gt;MAX(1,Reprogramaciones!$U$15)),"",IF(Reprogramaciones!Z$12&gt;=7,"",IF(OR(CI200-N(CH200)&gt;0.05,N(AF200)&gt;0),ROUNDDOWN(ROUND(CI200,6),0)&amp;"%"&amp;IF(CY200="",""," / "&amp;CY200&amp;"%"),IF(AND(N(CH200)&gt;=99.95,CY200&lt;&gt;"",N(CY200)&lt;100),"Pend. "&amp;CY200&amp;"%",""))))</f>
        <v/>
      </c>
      <c r="BC200" s="31" t="n">
        <f aca="false">IF(AND(ISNUMBER(E200),ISNUMBER(F200)),MAX(1,NETWORKDAYS.INTL(E200,F200,11)),0)</f>
        <v>0</v>
      </c>
      <c r="BD200" s="1" t="str">
        <f aca="false">IF(OR(NOT(AND(ISNUMBER(E200),ISNUMBER(F200))),$J$2=""),"",MIN(100,ROUND(SUM($G200:G200),1)))</f>
        <v/>
      </c>
      <c r="BE200" s="1" t="str">
        <f aca="false">IF(OR(NOT(AND(ISNUMBER(E200),ISNUMBER(F200))),$J$2=""),"",MIN(100,ROUND(SUM($G200:H200),1)))</f>
        <v/>
      </c>
      <c r="BF200" s="1" t="str">
        <f aca="false">IF(OR(NOT(AND(ISNUMBER(E200),ISNUMBER(F200))),$J$2=""),"",MIN(100,ROUND(SUM($G200:I200),1)))</f>
        <v/>
      </c>
      <c r="BG200" s="1" t="str">
        <f aca="false">IF(OR(NOT(AND(ISNUMBER(E200),ISNUMBER(F200))),$J$2=""),"",MIN(100,ROUND(SUM($G200:J200),1)))</f>
        <v/>
      </c>
      <c r="BH200" s="1" t="str">
        <f aca="false">IF(OR(NOT(AND(ISNUMBER(E200),ISNUMBER(F200))),$J$2=""),"",MIN(100,ROUND(SUM($G200:K200),1)))</f>
        <v/>
      </c>
      <c r="BI200" s="1" t="str">
        <f aca="false">IF(OR(NOT(AND(ISNUMBER(E200),ISNUMBER(F200))),$J$2=""),"",MIN(100,ROUND(SUM($G200:L200),1)))</f>
        <v/>
      </c>
      <c r="BJ200" s="1" t="str">
        <f aca="false">IF(OR(NOT(AND(ISNUMBER(E200),ISNUMBER(F200))),$J$2=""),"",MIN(100,ROUND(SUM($G200:M200),1)))</f>
        <v/>
      </c>
      <c r="BK200" s="1" t="str">
        <f aca="false">IF(OR(NOT(AND(ISNUMBER(E200),ISNUMBER(F200))),$J$2=""),"",MIN(100,ROUND(SUM($G200:N200),1)))</f>
        <v/>
      </c>
      <c r="BL200" s="1" t="str">
        <f aca="false">IF(OR(NOT(AND(ISNUMBER(E200),ISNUMBER(F200))),$J$2=""),"",MIN(100,ROUND(SUM($G200:O200),1)))</f>
        <v/>
      </c>
      <c r="BM200" s="1" t="str">
        <f aca="false">IF(OR(NOT(AND(ISNUMBER(E200),ISNUMBER(F200))),$J$2=""),"",MIN(100,ROUND(SUM($G200:P200),1)))</f>
        <v/>
      </c>
      <c r="BN200" s="1" t="str">
        <f aca="false">IF(OR(NOT(AND(ISNUMBER(E200),ISNUMBER(F200))),$J$2=""),"",MIN(100,ROUND(SUM($G200:P200),1)))</f>
        <v/>
      </c>
      <c r="BO200" s="1" t="str">
        <f aca="false">IF(OR(NOT(AND(ISNUMBER(E200),ISNUMBER(F200))),$J$2=""),"",MIN(100,ROUND(SUM($G200:P200),1)))</f>
        <v/>
      </c>
      <c r="BP200" s="1" t="str">
        <f aca="false">IF(OR(NOT(AND(ISNUMBER(E200),ISNUMBER(F200))),$J$2=""),"",MIN(100,ROUND(SUM($G200:P200),1)))</f>
        <v/>
      </c>
      <c r="BQ200" s="1" t="str">
        <f aca="false">IF(OR(NOT(AND(ISNUMBER(E200),ISNUMBER(F200))),$J$2=""),"",MIN(100,ROUND(SUM($G200:P200),1)))</f>
        <v/>
      </c>
      <c r="BR200" s="1" t="str">
        <f aca="false">IF(OR(NOT(AND(ISNUMBER(E200),ISNUMBER(F200))),$J$2=""),"",MIN(100,ROUND(SUM($G200:P200),1)))</f>
        <v/>
      </c>
      <c r="BS200" s="1" t="str">
        <f aca="false">IF(OR(NOT(AND(ISNUMBER(E200),ISNUMBER(F200))),$J$2=""),"",MIN(100,ROUND(SUM($G200:P200),1)))</f>
        <v/>
      </c>
      <c r="BT200" s="1" t="str">
        <f aca="false">IF(OR(NOT(AND(ISNUMBER(E200),ISNUMBER(F200))),$J$2=""),"",IF(Reprogramaciones!K$13&lt;Reprogramaciones!$T$15,0,IF(Reprogramaciones!K$14&gt;10,MIN(100,SUM($G200:$P200)),MIN(100,SUMPRODUCT((COLUMN($G200:$P200)-COLUMN($G200)+1&lt;Reprogramaciones!K$14)*$G200:$P200)+N(INDEX($G200:$P200,1,Reprogramaciones!K$14))*IF(Reprogramaciones!K$13&gt;=(Reprogramaciones!$T$15+7*(Reprogramaciones!K$14-1))+6,1,IF(MAX(0,NETWORKDAYS.INTL(MAX(E200,(Reprogramaciones!$T$15+7*(Reprogramaciones!K$14-1))),MIN(F200,(Reprogramaciones!$T$15+7*(Reprogramaciones!K$14-1))+6),11))=0,0,MAX(0,NETWORKDAYS.INTL(MAX(E200,(Reprogramaciones!$T$15+7*(Reprogramaciones!K$14-1))),MIN(F200,Reprogramaciones!K$13),11))/MAX(0,NETWORKDAYS.INTL(MAX(E200,(Reprogramaciones!$T$15+7*(Reprogramaciones!K$14-1))),MIN(F200,(Reprogramaciones!$T$15+7*(Reprogramaciones!K$14-1))+6),11))))))))</f>
        <v/>
      </c>
      <c r="BU200" s="1" t="str">
        <f aca="false">IF(OR(NOT(AND(ISNUMBER(E200),ISNUMBER(F200))),$J$2=""),"",IF(Reprogramaciones!L$13&lt;Reprogramaciones!$T$15,0,IF(Reprogramaciones!L$14&gt;10,MIN(100,SUM($G200:$P200)),MIN(100,SUMPRODUCT((COLUMN($G200:$P200)-COLUMN($G200)+1&lt;Reprogramaciones!L$14)*$G200:$P200)+N(INDEX($G200:$P200,1,Reprogramaciones!L$14))*IF(Reprogramaciones!L$13&gt;=(Reprogramaciones!$T$15+7*(Reprogramaciones!L$14-1))+6,1,IF(MAX(0,NETWORKDAYS.INTL(MAX(E200,(Reprogramaciones!$T$15+7*(Reprogramaciones!L$14-1))),MIN(F200,(Reprogramaciones!$T$15+7*(Reprogramaciones!L$14-1))+6),11))=0,0,MAX(0,NETWORKDAYS.INTL(MAX(E200,(Reprogramaciones!$T$15+7*(Reprogramaciones!L$14-1))),MIN(F200,Reprogramaciones!L$13),11))/MAX(0,NETWORKDAYS.INTL(MAX(E200,(Reprogramaciones!$T$15+7*(Reprogramaciones!L$14-1))),MIN(F200,(Reprogramaciones!$T$15+7*(Reprogramaciones!L$14-1))+6),11))))))))</f>
        <v/>
      </c>
      <c r="BV200" s="1" t="str">
        <f aca="false">IF(OR(NOT(AND(ISNUMBER(E200),ISNUMBER(F200))),$J$2=""),"",IF(Reprogramaciones!M$13&lt;Reprogramaciones!$T$15,0,IF(Reprogramaciones!M$14&gt;10,MIN(100,SUM($G200:$P200)),MIN(100,SUMPRODUCT((COLUMN($G200:$P200)-COLUMN($G200)+1&lt;Reprogramaciones!M$14)*$G200:$P200)+N(INDEX($G200:$P200,1,Reprogramaciones!M$14))*IF(Reprogramaciones!M$13&gt;=(Reprogramaciones!$T$15+7*(Reprogramaciones!M$14-1))+6,1,IF(MAX(0,NETWORKDAYS.INTL(MAX(E200,(Reprogramaciones!$T$15+7*(Reprogramaciones!M$14-1))),MIN(F200,(Reprogramaciones!$T$15+7*(Reprogramaciones!M$14-1))+6),11))=0,0,MAX(0,NETWORKDAYS.INTL(MAX(E200,(Reprogramaciones!$T$15+7*(Reprogramaciones!M$14-1))),MIN(F200,Reprogramaciones!M$13),11))/MAX(0,NETWORKDAYS.INTL(MAX(E200,(Reprogramaciones!$T$15+7*(Reprogramaciones!M$14-1))),MIN(F200,(Reprogramaciones!$T$15+7*(Reprogramaciones!M$14-1))+6),11))))))))</f>
        <v/>
      </c>
      <c r="BW200" s="1" t="str">
        <f aca="false">IF(OR(NOT(AND(ISNUMBER(E200),ISNUMBER(F200))),$J$2=""),"",IF(Reprogramaciones!N$13&lt;Reprogramaciones!$T$15,0,IF(Reprogramaciones!N$14&gt;10,MIN(100,SUM($G200:$P200)),MIN(100,SUMPRODUCT((COLUMN($G200:$P200)-COLUMN($G200)+1&lt;Reprogramaciones!N$14)*$G200:$P200)+N(INDEX($G200:$P200,1,Reprogramaciones!N$14))*IF(Reprogramaciones!N$13&gt;=(Reprogramaciones!$T$15+7*(Reprogramaciones!N$14-1))+6,1,IF(MAX(0,NETWORKDAYS.INTL(MAX(E200,(Reprogramaciones!$T$15+7*(Reprogramaciones!N$14-1))),MIN(F200,(Reprogramaciones!$T$15+7*(Reprogramaciones!N$14-1))+6),11))=0,0,MAX(0,NETWORKDAYS.INTL(MAX(E200,(Reprogramaciones!$T$15+7*(Reprogramaciones!N$14-1))),MIN(F200,Reprogramaciones!N$13),11))/MAX(0,NETWORKDAYS.INTL(MAX(E200,(Reprogramaciones!$T$15+7*(Reprogramaciones!N$14-1))),MIN(F200,(Reprogramaciones!$T$15+7*(Reprogramaciones!N$14-1))+6),11))))))))</f>
        <v/>
      </c>
      <c r="BX200" s="1" t="str">
        <f aca="false">IF(OR(NOT(AND(ISNUMBER(E200),ISNUMBER(F200))),$J$2=""),"",IF(Reprogramaciones!O$13&lt;Reprogramaciones!$T$15,0,IF(Reprogramaciones!O$14&gt;10,MIN(100,SUM($G200:$P200)),MIN(100,SUMPRODUCT((COLUMN($G200:$P200)-COLUMN($G200)+1&lt;Reprogramaciones!O$14)*$G200:$P200)+N(INDEX($G200:$P200,1,Reprogramaciones!O$14))*IF(Reprogramaciones!O$13&gt;=(Reprogramaciones!$T$15+7*(Reprogramaciones!O$14-1))+6,1,IF(MAX(0,NETWORKDAYS.INTL(MAX(E200,(Reprogramaciones!$T$15+7*(Reprogramaciones!O$14-1))),MIN(F200,(Reprogramaciones!$T$15+7*(Reprogramaciones!O$14-1))+6),11))=0,0,MAX(0,NETWORKDAYS.INTL(MAX(E200,(Reprogramaciones!$T$15+7*(Reprogramaciones!O$14-1))),MIN(F200,Reprogramaciones!O$13),11))/MAX(0,NETWORKDAYS.INTL(MAX(E200,(Reprogramaciones!$T$15+7*(Reprogramaciones!O$14-1))),MIN(F200,(Reprogramaciones!$T$15+7*(Reprogramaciones!O$14-1))+6),11))))))))</f>
        <v/>
      </c>
      <c r="BY200" s="1" t="str">
        <f aca="false">IF(OR(NOT(AND(ISNUMBER(E200),ISNUMBER(F200))),$J$2=""),"",IF(Reprogramaciones!P$13&lt;Reprogramaciones!$T$15,0,IF(Reprogramaciones!P$14&gt;10,MIN(100,SUM($G200:$P200)),MIN(100,SUMPRODUCT((COLUMN($G200:$P200)-COLUMN($G200)+1&lt;Reprogramaciones!P$14)*$G200:$P200)+N(INDEX($G200:$P200,1,Reprogramaciones!P$14))*IF(Reprogramaciones!P$13&gt;=(Reprogramaciones!$T$15+7*(Reprogramaciones!P$14-1))+6,1,IF(MAX(0,NETWORKDAYS.INTL(MAX(E200,(Reprogramaciones!$T$15+7*(Reprogramaciones!P$14-1))),MIN(F200,(Reprogramaciones!$T$15+7*(Reprogramaciones!P$14-1))+6),11))=0,0,MAX(0,NETWORKDAYS.INTL(MAX(E200,(Reprogramaciones!$T$15+7*(Reprogramaciones!P$14-1))),MIN(F200,Reprogramaciones!P$13),11))/MAX(0,NETWORKDAYS.INTL(MAX(E200,(Reprogramaciones!$T$15+7*(Reprogramaciones!P$14-1))),MIN(F200,(Reprogramaciones!$T$15+7*(Reprogramaciones!P$14-1))+6),11))))))))</f>
        <v/>
      </c>
      <c r="BZ200" s="1" t="str">
        <f aca="false">IF(OR(NOT(AND(ISNUMBER(E200),ISNUMBER(F200))),$J$2=""),"",IF(Reprogramaciones!Q$13&lt;Reprogramaciones!$T$15,0,IF(Reprogramaciones!Q$14&gt;10,MIN(100,SUM($G200:$P200)),MIN(100,SUMPRODUCT((COLUMN($G200:$P200)-COLUMN($G200)+1&lt;Reprogramaciones!Q$14)*$G200:$P200)+N(INDEX($G200:$P200,1,Reprogramaciones!Q$14))*IF(Reprogramaciones!Q$13&gt;=(Reprogramaciones!$T$15+7*(Reprogramaciones!Q$14-1))+6,1,IF(MAX(0,NETWORKDAYS.INTL(MAX(E200,(Reprogramaciones!$T$15+7*(Reprogramaciones!Q$14-1))),MIN(F200,(Reprogramaciones!$T$15+7*(Reprogramaciones!Q$14-1))+6),11))=0,0,MAX(0,NETWORKDAYS.INTL(MAX(E200,(Reprogramaciones!$T$15+7*(Reprogramaciones!Q$14-1))),MIN(F200,Reprogramaciones!Q$13),11))/MAX(0,NETWORKDAYS.INTL(MAX(E200,(Reprogramaciones!$T$15+7*(Reprogramaciones!Q$14-1))),MIN(F200,(Reprogramaciones!$T$15+7*(Reprogramaciones!Q$14-1))+6),11))))))))</f>
        <v/>
      </c>
      <c r="CA200" s="1" t="str">
        <f aca="false">IF(OR(NOT(AND(ISNUMBER(E200),ISNUMBER(F200))),$J$2=""),"",IF(Reprogramaciones!R$13&lt;Reprogramaciones!$T$15,0,IF(Reprogramaciones!R$14&gt;10,MIN(100,SUM($G200:$P200)),MIN(100,SUMPRODUCT((COLUMN($G200:$P200)-COLUMN($G200)+1&lt;Reprogramaciones!R$14)*$G200:$P200)+N(INDEX($G200:$P200,1,Reprogramaciones!R$14))*IF(Reprogramaciones!R$13&gt;=(Reprogramaciones!$T$15+7*(Reprogramaciones!R$14-1))+6,1,IF(MAX(0,NETWORKDAYS.INTL(MAX(E200,(Reprogramaciones!$T$15+7*(Reprogramaciones!R$14-1))),MIN(F200,(Reprogramaciones!$T$15+7*(Reprogramaciones!R$14-1))+6),11))=0,0,MAX(0,NETWORKDAYS.INTL(MAX(E200,(Reprogramaciones!$T$15+7*(Reprogramaciones!R$14-1))),MIN(F200,Reprogramaciones!R$13),11))/MAX(0,NETWORKDAYS.INTL(MAX(E200,(Reprogramaciones!$T$15+7*(Reprogramaciones!R$14-1))),MIN(F200,(Reprogramaciones!$T$15+7*(Reprogramaciones!R$14-1))+6),11))))))))</f>
        <v/>
      </c>
      <c r="CB200" s="1" t="str">
        <f aca="false">IF(OR(NOT(AND(ISNUMBER(E200),ISNUMBER(F200))),$J$2=""),"",IF(Reprogramaciones!S$13&lt;Reprogramaciones!$T$15,0,IF(Reprogramaciones!S$14&gt;10,MIN(100,SUM($G200:$P200)),MIN(100,SUMPRODUCT((COLUMN($G200:$P200)-COLUMN($G200)+1&lt;Reprogramaciones!S$14)*$G200:$P200)+N(INDEX($G200:$P200,1,Reprogramaciones!S$14))*IF(Reprogramaciones!S$13&gt;=(Reprogramaciones!$T$15+7*(Reprogramaciones!S$14-1))+6,1,IF(MAX(0,NETWORKDAYS.INTL(MAX(E200,(Reprogramaciones!$T$15+7*(Reprogramaciones!S$14-1))),MIN(F200,(Reprogramaciones!$T$15+7*(Reprogramaciones!S$14-1))+6),11))=0,0,MAX(0,NETWORKDAYS.INTL(MAX(E200,(Reprogramaciones!$T$15+7*(Reprogramaciones!S$14-1))),MIN(F200,Reprogramaciones!S$13),11))/MAX(0,NETWORKDAYS.INTL(MAX(E200,(Reprogramaciones!$T$15+7*(Reprogramaciones!S$14-1))),MIN(F200,(Reprogramaciones!$T$15+7*(Reprogramaciones!S$14-1))+6),11))))))))</f>
        <v/>
      </c>
      <c r="CC200" s="1" t="str">
        <f aca="false">IF(OR(NOT(AND(ISNUMBER(E200),ISNUMBER(F200))),$J$2=""),"",IF(Reprogramaciones!T$13&lt;Reprogramaciones!$T$15,0,IF(Reprogramaciones!T$14&gt;10,MIN(100,SUM($G200:$P200)),MIN(100,SUMPRODUCT((COLUMN($G200:$P200)-COLUMN($G200)+1&lt;Reprogramaciones!T$14)*$G200:$P200)+N(INDEX($G200:$P200,1,Reprogramaciones!T$14))*IF(Reprogramaciones!T$13&gt;=(Reprogramaciones!$T$15+7*(Reprogramaciones!T$14-1))+6,1,IF(MAX(0,NETWORKDAYS.INTL(MAX(E200,(Reprogramaciones!$T$15+7*(Reprogramaciones!T$14-1))),MIN(F200,(Reprogramaciones!$T$15+7*(Reprogramaciones!T$14-1))+6),11))=0,0,MAX(0,NETWORKDAYS.INTL(MAX(E200,(Reprogramaciones!$T$15+7*(Reprogramaciones!T$14-1))),MIN(F200,Reprogramaciones!T$13),11))/MAX(0,NETWORKDAYS.INTL(MAX(E200,(Reprogramaciones!$T$15+7*(Reprogramaciones!T$14-1))),MIN(F200,(Reprogramaciones!$T$15+7*(Reprogramaciones!T$14-1))+6),11))))))))</f>
        <v/>
      </c>
      <c r="CD200" s="1" t="str">
        <f aca="false">IF(OR(NOT(AND(ISNUMBER(E200),ISNUMBER(F200))),$J$2=""),"",IF(Reprogramaciones!U$13&lt;Reprogramaciones!$T$15,0,IF(Reprogramaciones!U$14&gt;10,MIN(100,SUM($G200:$P200)),MIN(100,SUMPRODUCT((COLUMN($G200:$P200)-COLUMN($G200)+1&lt;Reprogramaciones!U$14)*$G200:$P200)+N(INDEX($G200:$P200,1,Reprogramaciones!U$14))*IF(Reprogramaciones!U$13&gt;=(Reprogramaciones!$T$15+7*(Reprogramaciones!U$14-1))+6,1,IF(MAX(0,NETWORKDAYS.INTL(MAX(E200,(Reprogramaciones!$T$15+7*(Reprogramaciones!U$14-1))),MIN(F200,(Reprogramaciones!$T$15+7*(Reprogramaciones!U$14-1))+6),11))=0,0,MAX(0,NETWORKDAYS.INTL(MAX(E200,(Reprogramaciones!$T$15+7*(Reprogramaciones!U$14-1))),MIN(F200,Reprogramaciones!U$13),11))/MAX(0,NETWORKDAYS.INTL(MAX(E200,(Reprogramaciones!$T$15+7*(Reprogramaciones!U$14-1))),MIN(F200,(Reprogramaciones!$T$15+7*(Reprogramaciones!U$14-1))+6),11))))))))</f>
        <v/>
      </c>
      <c r="CE200" s="1" t="str">
        <f aca="false">IF(OR(NOT(AND(ISNUMBER(E200),ISNUMBER(F200))),$J$2=""),"",IF(Reprogramaciones!V$13&lt;Reprogramaciones!$T$15,0,IF(Reprogramaciones!V$14&gt;10,MIN(100,SUM($G200:$P200)),MIN(100,SUMPRODUCT((COLUMN($G200:$P200)-COLUMN($G200)+1&lt;Reprogramaciones!V$14)*$G200:$P200)+N(INDEX($G200:$P200,1,Reprogramaciones!V$14))*IF(Reprogramaciones!V$13&gt;=(Reprogramaciones!$T$15+7*(Reprogramaciones!V$14-1))+6,1,IF(MAX(0,NETWORKDAYS.INTL(MAX(E200,(Reprogramaciones!$T$15+7*(Reprogramaciones!V$14-1))),MIN(F200,(Reprogramaciones!$T$15+7*(Reprogramaciones!V$14-1))+6),11))=0,0,MAX(0,NETWORKDAYS.INTL(MAX(E200,(Reprogramaciones!$T$15+7*(Reprogramaciones!V$14-1))),MIN(F200,Reprogramaciones!V$13),11))/MAX(0,NETWORKDAYS.INTL(MAX(E200,(Reprogramaciones!$T$15+7*(Reprogramaciones!V$14-1))),MIN(F200,(Reprogramaciones!$T$15+7*(Reprogramaciones!V$14-1))+6),11))))))))</f>
        <v/>
      </c>
      <c r="CF200" s="1" t="str">
        <f aca="false">IF(OR(NOT(AND(ISNUMBER(E200),ISNUMBER(F200))),$J$2=""),"",IF(Reprogramaciones!W$13&lt;Reprogramaciones!$T$15,0,IF(Reprogramaciones!W$14&gt;10,MIN(100,SUM($G200:$P200)),MIN(100,SUMPRODUCT((COLUMN($G200:$P200)-COLUMN($G200)+1&lt;Reprogramaciones!W$14)*$G200:$P200)+N(INDEX($G200:$P200,1,Reprogramaciones!W$14))*IF(Reprogramaciones!W$13&gt;=(Reprogramaciones!$T$15+7*(Reprogramaciones!W$14-1))+6,1,IF(MAX(0,NETWORKDAYS.INTL(MAX(E200,(Reprogramaciones!$T$15+7*(Reprogramaciones!W$14-1))),MIN(F200,(Reprogramaciones!$T$15+7*(Reprogramaciones!W$14-1))+6),11))=0,0,MAX(0,NETWORKDAYS.INTL(MAX(E200,(Reprogramaciones!$T$15+7*(Reprogramaciones!W$14-1))),MIN(F200,Reprogramaciones!W$13),11))/MAX(0,NETWORKDAYS.INTL(MAX(E200,(Reprogramaciones!$T$15+7*(Reprogramaciones!W$14-1))),MIN(F200,(Reprogramaciones!$T$15+7*(Reprogramaciones!W$14-1))+6),11))))))))</f>
        <v/>
      </c>
      <c r="CG200" s="1" t="str">
        <f aca="false">IF(OR(NOT(AND(ISNUMBER(E200),ISNUMBER(F200))),$J$2=""),"",IF(Reprogramaciones!X$13&lt;Reprogramaciones!$T$15,0,IF(Reprogramaciones!X$14&gt;10,MIN(100,SUM($G200:$P200)),MIN(100,SUMPRODUCT((COLUMN($G200:$P200)-COLUMN($G200)+1&lt;Reprogramaciones!X$14)*$G200:$P200)+N(INDEX($G200:$P200,1,Reprogramaciones!X$14))*IF(Reprogramaciones!X$13&gt;=(Reprogramaciones!$T$15+7*(Reprogramaciones!X$14-1))+6,1,IF(MAX(0,NETWORKDAYS.INTL(MAX(E200,(Reprogramaciones!$T$15+7*(Reprogramaciones!X$14-1))),MIN(F200,(Reprogramaciones!$T$15+7*(Reprogramaciones!X$14-1))+6),11))=0,0,MAX(0,NETWORKDAYS.INTL(MAX(E200,(Reprogramaciones!$T$15+7*(Reprogramaciones!X$14-1))),MIN(F200,Reprogramaciones!X$13),11))/MAX(0,NETWORKDAYS.INTL(MAX(E200,(Reprogramaciones!$T$15+7*(Reprogramaciones!X$14-1))),MIN(F200,(Reprogramaciones!$T$15+7*(Reprogramaciones!X$14-1))+6),11))))))))</f>
        <v/>
      </c>
      <c r="CH200" s="1" t="str">
        <f aca="false">IF(OR(NOT(AND(ISNUMBER(E200),ISNUMBER(F200))),$J$2=""),"",IF(Reprogramaciones!Y$13&lt;Reprogramaciones!$T$15,0,IF(Reprogramaciones!Y$14&gt;10,MIN(100,SUM($G200:$P200)),MIN(100,SUMPRODUCT((COLUMN($G200:$P200)-COLUMN($G200)+1&lt;Reprogramaciones!Y$14)*$G200:$P200)+N(INDEX($G200:$P200,1,Reprogramaciones!Y$14))*IF(Reprogramaciones!Y$13&gt;=(Reprogramaciones!$T$15+7*(Reprogramaciones!Y$14-1))+6,1,IF(MAX(0,NETWORKDAYS.INTL(MAX(E200,(Reprogramaciones!$T$15+7*(Reprogramaciones!Y$14-1))),MIN(F200,(Reprogramaciones!$T$15+7*(Reprogramaciones!Y$14-1))+6),11))=0,0,MAX(0,NETWORKDAYS.INTL(MAX(E200,(Reprogramaciones!$T$15+7*(Reprogramaciones!Y$14-1))),MIN(F200,Reprogramaciones!Y$13),11))/MAX(0,NETWORKDAYS.INTL(MAX(E200,(Reprogramaciones!$T$15+7*(Reprogramaciones!Y$14-1))),MIN(F200,(Reprogramaciones!$T$15+7*(Reprogramaciones!Y$14-1))+6),11))))))))</f>
        <v/>
      </c>
      <c r="CI200" s="1" t="str">
        <f aca="false">IF(OR(NOT(AND(ISNUMBER(E200),ISNUMBER(F200))),$J$2=""),"",IF(Reprogramaciones!Z$13&lt;Reprogramaciones!$T$15,0,IF(Reprogramaciones!Z$14&gt;10,MIN(100,SUM($G200:$P200)),MIN(100,SUMPRODUCT((COLUMN($G200:$P200)-COLUMN($G200)+1&lt;Reprogramaciones!Z$14)*$G200:$P200)+N(INDEX($G200:$P200,1,Reprogramaciones!Z$14))*IF(Reprogramaciones!Z$13&gt;=(Reprogramaciones!$T$15+7*(Reprogramaciones!Z$14-1))+6,1,IF(MAX(0,NETWORKDAYS.INTL(MAX(E200,(Reprogramaciones!$T$15+7*(Reprogramaciones!Z$14-1))),MIN(F200,(Reprogramaciones!$T$15+7*(Reprogramaciones!Z$14-1))+6),11))=0,0,MAX(0,NETWORKDAYS.INTL(MAX(E200,(Reprogramaciones!$T$15+7*(Reprogramaciones!Z$14-1))),MIN(F200,Reprogramaciones!Z$13),11))/MAX(0,NETWORKDAYS.INTL(MAX(E200,(Reprogramaciones!$T$15+7*(Reprogramaciones!Z$14-1))),MIN(F200,(Reprogramaciones!$T$15+7*(Reprogramaciones!Z$14-1))+6),11))))))))</f>
        <v/>
      </c>
      <c r="CJ200" s="1" t="str">
        <f aca="false">IF(OR(OR(NOT(AND(ISNUMBER(E200),ISNUMBER(F200))),$J$2=""),1&gt;Reprogramaciones!$K$16),"",IF(ROUND(SUM($Q200:Q200),1)&gt;=99.5,100,MIN(100,ROUND(SUM($Q200:Q200),1))))</f>
        <v/>
      </c>
      <c r="CK200" s="1" t="str">
        <f aca="false">IF(OR(OR(NOT(AND(ISNUMBER(E200),ISNUMBER(F200))),$J$2=""),2&gt;Reprogramaciones!$K$16),"",IF(ROUND(SUM($Q200:R200),1)&gt;=99.5,100,MIN(100,ROUND(SUM($Q200:R200),1))))</f>
        <v/>
      </c>
      <c r="CL200" s="1" t="str">
        <f aca="false">IF(OR(OR(NOT(AND(ISNUMBER(E200),ISNUMBER(F200))),$J$2=""),3&gt;Reprogramaciones!$K$16),"",IF(ROUND(SUM($Q200:S200),1)&gt;=99.5,100,MIN(100,ROUND(SUM($Q200:S200),1))))</f>
        <v/>
      </c>
      <c r="CM200" s="1" t="str">
        <f aca="false">IF(OR(OR(NOT(AND(ISNUMBER(E200),ISNUMBER(F200))),$J$2=""),4&gt;Reprogramaciones!$K$16),"",IF(ROUND(SUM($Q200:T200),1)&gt;=99.5,100,MIN(100,ROUND(SUM($Q200:T200),1))))</f>
        <v/>
      </c>
      <c r="CN200" s="1" t="str">
        <f aca="false">IF(OR(OR(NOT(AND(ISNUMBER(E200),ISNUMBER(F200))),$J$2=""),5&gt;Reprogramaciones!$K$16),"",IF(ROUND(SUM($Q200:U200),1)&gt;=99.5,100,MIN(100,ROUND(SUM($Q200:U200),1))))</f>
        <v/>
      </c>
      <c r="CO200" s="1" t="str">
        <f aca="false">IF(OR(OR(NOT(AND(ISNUMBER(E200),ISNUMBER(F200))),$J$2=""),6&gt;Reprogramaciones!$K$16),"",IF(ROUND(SUM($Q200:V200),1)&gt;=99.5,100,MIN(100,ROUND(SUM($Q200:V200),1))))</f>
        <v/>
      </c>
      <c r="CP200" s="1" t="str">
        <f aca="false">IF(OR(OR(NOT(AND(ISNUMBER(E200),ISNUMBER(F200))),$J$2=""),7&gt;Reprogramaciones!$K$16),"",IF(ROUND(SUM($Q200:W200),1)&gt;=99.5,100,MIN(100,ROUND(SUM($Q200:W200),1))))</f>
        <v/>
      </c>
      <c r="CQ200" s="1" t="str">
        <f aca="false">IF(OR(OR(NOT(AND(ISNUMBER(E200),ISNUMBER(F200))),$J$2=""),8&gt;Reprogramaciones!$K$16),"",IF(ROUND(SUM($Q200:X200),1)&gt;=99.5,100,MIN(100,ROUND(SUM($Q200:X200),1))))</f>
        <v/>
      </c>
      <c r="CR200" s="1" t="str">
        <f aca="false">IF(OR(OR(NOT(AND(ISNUMBER(E200),ISNUMBER(F200))),$J$2=""),9&gt;Reprogramaciones!$K$16),"",IF(ROUND(SUM($Q200:Y200),1)&gt;=99.5,100,MIN(100,ROUND(SUM($Q200:Y200),1))))</f>
        <v/>
      </c>
      <c r="CS200" s="1" t="str">
        <f aca="false">IF(OR(OR(NOT(AND(ISNUMBER(E200),ISNUMBER(F200))),$J$2=""),10&gt;Reprogramaciones!$K$16),"",IF(ROUND(SUM($Q200:Z200),1)&gt;=99.5,100,MIN(100,ROUND(SUM($Q200:Z200),1))))</f>
        <v/>
      </c>
      <c r="CT200" s="1" t="str">
        <f aca="false">IF(OR(OR(NOT(AND(ISNUMBER(E200),ISNUMBER(F200))),$J$2=""),11&gt;Reprogramaciones!$K$16),"",IF(ROUND(SUM($Q200:AA200),1)&gt;=99.5,100,MIN(100,ROUND(SUM($Q200:AA200),1))))</f>
        <v/>
      </c>
      <c r="CU200" s="1" t="str">
        <f aca="false">IF(OR(OR(NOT(AND(ISNUMBER(E200),ISNUMBER(F200))),$J$2=""),12&gt;Reprogramaciones!$K$16),"",IF(ROUND(SUM($Q200:AB200),1)&gt;=99.5,100,MIN(100,ROUND(SUM($Q200:AB200),1))))</f>
        <v/>
      </c>
      <c r="CV200" s="1" t="str">
        <f aca="false">IF(OR(OR(NOT(AND(ISNUMBER(E200),ISNUMBER(F200))),$J$2=""),13&gt;Reprogramaciones!$K$16),"",IF(ROUND(SUM($Q200:AC200),1)&gt;=99.5,100,MIN(100,ROUND(SUM($Q200:AC200),1))))</f>
        <v/>
      </c>
      <c r="CW200" s="1" t="str">
        <f aca="false">IF(OR(OR(NOT(AND(ISNUMBER(E200),ISNUMBER(F200))),$J$2=""),14&gt;Reprogramaciones!$K$16),"",IF(ROUND(SUM($Q200:AD200),1)&gt;=99.5,100,MIN(100,ROUND(SUM($Q200:AD200),1))))</f>
        <v/>
      </c>
      <c r="CX200" s="1" t="str">
        <f aca="false">IF(OR(OR(NOT(AND(ISNUMBER(E200),ISNUMBER(F200))),$J$2=""),15&gt;Reprogramaciones!$K$16),"",IF(ROUND(SUM($Q200:AE200),1)&gt;=99.5,100,MIN(100,ROUND(SUM($Q200:AE200),1))))</f>
        <v/>
      </c>
      <c r="CY200" s="1" t="str">
        <f aca="false">IF(OR(OR(NOT(AND(ISNUMBER(E200),ISNUMBER(F200))),$J$2=""),16&gt;Reprogramaciones!$K$16),"",IF(ROUND(SUM($Q200:AF200),1)&gt;=99.5,100,MIN(100,ROUND(SUM($Q200:AF200),1))))</f>
        <v/>
      </c>
      <c r="CZ200" s="1" t="str">
        <f aca="false">IF(D200&lt;&gt;"",D200,IF(B200&lt;&gt;"","Contractual",CZ199))</f>
        <v>Contractual</v>
      </c>
      <c r="DA200" s="1" t="str">
        <f aca="false">IF(OR(NOT(AND(ISNUMBER(E200),ISNUMBER(F200))),$J$2=""),"",IF(Reprogramaciones!$Q$15&lt;Reprogramaciones!$T$15,0,IF(Reprogramaciones!$S$15&gt;10,MIN(100,SUM($G200:$P200)),MIN(100,SUMPRODUCT((COLUMN($G200:$P200)-COLUMN($G200)+1&lt;Reprogramaciones!$S$15)*$G200:$P200)+N(INDEX($G200:$P200,1,Reprogramaciones!$S$15))*IF(Reprogramaciones!$Q$15&gt;=(Reprogramaciones!$T$15+7*(Reprogramaciones!$S$15-1))+6,1,IF(MAX(0,NETWORKDAYS.INTL(MAX(E200,(Reprogramaciones!$T$15+7*(Reprogramaciones!$S$15-1))),MIN(F200,(Reprogramaciones!$T$15+7*(Reprogramaciones!$S$15-1))+6),11))=0,0,MAX(0,NETWORKDAYS.INTL(MAX(E200,(Reprogramaciones!$T$15+7*(Reprogramaciones!$S$15-1))),MIN(F200,Reprogramaciones!$Q$15),11))/MAX(0,NETWORKDAYS.INTL(MAX(E200,(Reprogramaciones!$T$15+7*(Reprogramaciones!$S$15-1))),MIN(F200,(Reprogramaciones!$T$15+7*(Reprogramaciones!$S$15-1))+6),11))))))))</f>
        <v/>
      </c>
    </row>
    <row r="201" customFormat="false" ht="15" hidden="false" customHeight="false" outlineLevel="0" collapsed="false">
      <c r="A201" s="32"/>
      <c r="B201" s="33"/>
      <c r="C201" s="33"/>
      <c r="D201" s="34"/>
      <c r="E201" s="35"/>
      <c r="F201" s="35"/>
      <c r="G201" s="36" t="str">
        <f aca="false">IF(OR(NOT(AND(ISNUMBER(E201),ISNUMBER(F201))),$J$2=""),"",IF(Reprogramaciones!K$9&lt;E201,0,IF(NETWORKDAYS.INTL(E201,F201,11)=0,IF(Reprogramaciones!K$9&gt;=F201,100,0),ROUND(NETWORKDAYS.INTL(E201,MIN(F201,Reprogramaciones!K$9),11)/NETWORKDAYS.INTL(E201,F201,11)*100,1)))-0)</f>
        <v/>
      </c>
      <c r="H201" s="36" t="str">
        <f aca="false">IF(OR(NOT(AND(ISNUMBER(E201),ISNUMBER(F201))),$J$2=""),"",IF(Reprogramaciones!L$9&lt;E201,0,IF(NETWORKDAYS.INTL(E201,F201,11)=0,IF(Reprogramaciones!L$9&gt;=F201,100,0),ROUND(NETWORKDAYS.INTL(E201,MIN(F201,Reprogramaciones!L$9),11)/NETWORKDAYS.INTL(E201,F201,11)*100,1)))-IF(Reprogramaciones!K$9&lt;E201,0,IF(NETWORKDAYS.INTL(E201,F201,11)=0,IF(Reprogramaciones!K$9&gt;=F201,100,0),ROUND(NETWORKDAYS.INTL(E201,MIN(F201,Reprogramaciones!K$9),11)/NETWORKDAYS.INTL(E201,F201,11)*100,1))))</f>
        <v/>
      </c>
      <c r="I201" s="36" t="str">
        <f aca="false">IF(OR(NOT(AND(ISNUMBER(E201),ISNUMBER(F201))),$J$2=""),"",IF(Reprogramaciones!M$9&lt;E201,0,IF(NETWORKDAYS.INTL(E201,F201,11)=0,IF(Reprogramaciones!M$9&gt;=F201,100,0),ROUND(NETWORKDAYS.INTL(E201,MIN(F201,Reprogramaciones!M$9),11)/NETWORKDAYS.INTL(E201,F201,11)*100,1)))-IF(Reprogramaciones!L$9&lt;E201,0,IF(NETWORKDAYS.INTL(E201,F201,11)=0,IF(Reprogramaciones!L$9&gt;=F201,100,0),ROUND(NETWORKDAYS.INTL(E201,MIN(F201,Reprogramaciones!L$9),11)/NETWORKDAYS.INTL(E201,F201,11)*100,1))))</f>
        <v/>
      </c>
      <c r="J201" s="36" t="str">
        <f aca="false">IF(OR(NOT(AND(ISNUMBER(E201),ISNUMBER(F201))),$J$2=""),"",IF(Reprogramaciones!N$9&lt;E201,0,IF(NETWORKDAYS.INTL(E201,F201,11)=0,IF(Reprogramaciones!N$9&gt;=F201,100,0),ROUND(NETWORKDAYS.INTL(E201,MIN(F201,Reprogramaciones!N$9),11)/NETWORKDAYS.INTL(E201,F201,11)*100,1)))-IF(Reprogramaciones!M$9&lt;E201,0,IF(NETWORKDAYS.INTL(E201,F201,11)=0,IF(Reprogramaciones!M$9&gt;=F201,100,0),ROUND(NETWORKDAYS.INTL(E201,MIN(F201,Reprogramaciones!M$9),11)/NETWORKDAYS.INTL(E201,F201,11)*100,1))))</f>
        <v/>
      </c>
      <c r="K201" s="36" t="str">
        <f aca="false">IF(OR(NOT(AND(ISNUMBER(E201),ISNUMBER(F201))),$J$2=""),"",IF(Reprogramaciones!O$9&lt;E201,0,IF(NETWORKDAYS.INTL(E201,F201,11)=0,IF(Reprogramaciones!O$9&gt;=F201,100,0),ROUND(NETWORKDAYS.INTL(E201,MIN(F201,Reprogramaciones!O$9),11)/NETWORKDAYS.INTL(E201,F201,11)*100,1)))-IF(Reprogramaciones!N$9&lt;E201,0,IF(NETWORKDAYS.INTL(E201,F201,11)=0,IF(Reprogramaciones!N$9&gt;=F201,100,0),ROUND(NETWORKDAYS.INTL(E201,MIN(F201,Reprogramaciones!N$9),11)/NETWORKDAYS.INTL(E201,F201,11)*100,1))))</f>
        <v/>
      </c>
      <c r="L201" s="36" t="str">
        <f aca="false">IF(OR(NOT(AND(ISNUMBER(E201),ISNUMBER(F201))),$J$2=""),"",IF(Reprogramaciones!P$9&lt;E201,0,IF(NETWORKDAYS.INTL(E201,F201,11)=0,IF(Reprogramaciones!P$9&gt;=F201,100,0),ROUND(NETWORKDAYS.INTL(E201,MIN(F201,Reprogramaciones!P$9),11)/NETWORKDAYS.INTL(E201,F201,11)*100,1)))-IF(Reprogramaciones!O$9&lt;E201,0,IF(NETWORKDAYS.INTL(E201,F201,11)=0,IF(Reprogramaciones!O$9&gt;=F201,100,0),ROUND(NETWORKDAYS.INTL(E201,MIN(F201,Reprogramaciones!O$9),11)/NETWORKDAYS.INTL(E201,F201,11)*100,1))))</f>
        <v/>
      </c>
      <c r="M201" s="36" t="str">
        <f aca="false">IF(OR(NOT(AND(ISNUMBER(E201),ISNUMBER(F201))),$J$2=""),"",IF(Reprogramaciones!Q$9&lt;E201,0,IF(NETWORKDAYS.INTL(E201,F201,11)=0,IF(Reprogramaciones!Q$9&gt;=F201,100,0),ROUND(NETWORKDAYS.INTL(E201,MIN(F201,Reprogramaciones!Q$9),11)/NETWORKDAYS.INTL(E201,F201,11)*100,1)))-IF(Reprogramaciones!P$9&lt;E201,0,IF(NETWORKDAYS.INTL(E201,F201,11)=0,IF(Reprogramaciones!P$9&gt;=F201,100,0),ROUND(NETWORKDAYS.INTL(E201,MIN(F201,Reprogramaciones!P$9),11)/NETWORKDAYS.INTL(E201,F201,11)*100,1))))</f>
        <v/>
      </c>
      <c r="N201" s="36" t="str">
        <f aca="false">IF(OR(NOT(AND(ISNUMBER(E201),ISNUMBER(F201))),$J$2=""),"",IF(Reprogramaciones!R$9&lt;E201,0,IF(NETWORKDAYS.INTL(E201,F201,11)=0,IF(Reprogramaciones!R$9&gt;=F201,100,0),ROUND(NETWORKDAYS.INTL(E201,MIN(F201,Reprogramaciones!R$9),11)/NETWORKDAYS.INTL(E201,F201,11)*100,1)))-IF(Reprogramaciones!Q$9&lt;E201,0,IF(NETWORKDAYS.INTL(E201,F201,11)=0,IF(Reprogramaciones!Q$9&gt;=F201,100,0),ROUND(NETWORKDAYS.INTL(E201,MIN(F201,Reprogramaciones!Q$9),11)/NETWORKDAYS.INTL(E201,F201,11)*100,1))))</f>
        <v/>
      </c>
      <c r="O201" s="36" t="str">
        <f aca="false">IF(OR(NOT(AND(ISNUMBER(E201),ISNUMBER(F201))),$J$2=""),"",IF(Reprogramaciones!S$9&lt;E201,0,IF(NETWORKDAYS.INTL(E201,F201,11)=0,IF(Reprogramaciones!S$9&gt;=F201,100,0),ROUND(NETWORKDAYS.INTL(E201,MIN(F201,Reprogramaciones!S$9),11)/NETWORKDAYS.INTL(E201,F201,11)*100,1)))-IF(Reprogramaciones!R$9&lt;E201,0,IF(NETWORKDAYS.INTL(E201,F201,11)=0,IF(Reprogramaciones!R$9&gt;=F201,100,0),ROUND(NETWORKDAYS.INTL(E201,MIN(F201,Reprogramaciones!R$9),11)/NETWORKDAYS.INTL(E201,F201,11)*100,1))))</f>
        <v/>
      </c>
      <c r="P201" s="36" t="str">
        <f aca="false">IF(OR(NOT(AND(ISNUMBER(E201),ISNUMBER(F201))),$J$2=""),"",IF(Reprogramaciones!T$9&lt;E201,0,IF(NETWORKDAYS.INTL(E201,F201,11)=0,IF(Reprogramaciones!T$9&gt;=F201,100,0),ROUND(NETWORKDAYS.INTL(E201,MIN(F201,Reprogramaciones!T$9),11)/NETWORKDAYS.INTL(E201,F201,11)*100,1)))-IF(Reprogramaciones!S$9&lt;E201,0,IF(NETWORKDAYS.INTL(E201,F201,11)=0,IF(Reprogramaciones!S$9&gt;=F201,100,0),ROUND(NETWORKDAYS.INTL(E201,MIN(F201,Reprogramaciones!S$9),11)/NETWORKDAYS.INTL(E201,F201,11)*100,1))))</f>
        <v/>
      </c>
      <c r="Q201" s="37"/>
      <c r="R201" s="37"/>
      <c r="S201" s="37"/>
      <c r="T201" s="37"/>
      <c r="U201" s="37"/>
      <c r="V201" s="37"/>
      <c r="W201" s="37"/>
      <c r="X201" s="37"/>
      <c r="Y201" s="37"/>
      <c r="Z201" s="37"/>
      <c r="AA201" s="37"/>
      <c r="AB201" s="37"/>
      <c r="AC201" s="37"/>
      <c r="AD201" s="37"/>
      <c r="AE201" s="37"/>
      <c r="AF201" s="37"/>
      <c r="AG201" s="38" t="str">
        <f aca="false">IF(AND(ISNUMBER(E201),ISNUMBER(F201)),NETWORKDAYS.INTL(E201,F201,11),"")</f>
        <v/>
      </c>
      <c r="AH201" s="38" t="str">
        <f aca="false">IF(OR(NOT(AND(ISNUMBER(E201),ISNUMBER(F201))),$J$2=""),"",IF(Reprogramaciones!$P$15&lt;Reprogramaciones!$T$15,0,IF(Reprogramaciones!$R$15&gt;10,MIN(100,SUM($G201:$P201)),MIN(100,SUMPRODUCT((COLUMN($G201:$P201)-COLUMN($G201)+1&lt;Reprogramaciones!$R$15)*$G201:$P201)+N(INDEX($G201:$P201,1,Reprogramaciones!$R$15))*IF(Reprogramaciones!$P$15&gt;=(Reprogramaciones!$T$15+7*(Reprogramaciones!$R$15-1))+6,1,IF(MAX(0,NETWORKDAYS.INTL(MAX(E201,(Reprogramaciones!$T$15+7*(Reprogramaciones!$R$15-1))),MIN(F201,(Reprogramaciones!$T$15+7*(Reprogramaciones!$R$15-1))+6),11))=0,0,MAX(0,NETWORKDAYS.INTL(MAX(E201,(Reprogramaciones!$T$15+7*(Reprogramaciones!$R$15-1))),MIN(F201,Reprogramaciones!$P$15),11))/MAX(0,NETWORKDAYS.INTL(MAX(E201,(Reprogramaciones!$T$15+7*(Reprogramaciones!$R$15-1))),MIN(F201,(Reprogramaciones!$T$15+7*(Reprogramaciones!$R$15-1))+6),11))))))))</f>
        <v/>
      </c>
      <c r="AI201" s="38" t="str">
        <f aca="false">IF(COUNT($Q201:$AF201)=0,"",IF(ROUND(SUM($Q201:$AF201),1)&gt;=99.5,100,MIN(100,ROUND(SUM($Q201:$AF201),1))))</f>
        <v/>
      </c>
      <c r="AJ201" s="38" t="str">
        <f aca="false">IF(OR(AH201="",AI201=""),"",AI201-AH201)</f>
        <v/>
      </c>
      <c r="AK201" s="39" t="str">
        <f aca="true">IF(AH201="","",IF(OR(Ficha!$C$10="Suspendida",Ficha!$C$10="Cancelada"),Ficha!$C$10,IF(AND(AI201&lt;&gt;"",N(AI201)&gt;=100),"Completada",IF(AND(E201&gt;TODAY(),N(AI201)=0),"Por iniciar",IF(N(AI201)+0.5&lt;AH201,"Retrasada",IF(N(AI201)+0.5&lt;DA201,IF(Reprogramaciones!$K$15&gt;0,"Al día · Sem "&amp;Reprogramaciones!$K$15&amp;" en curso","Al día · en curso"),"A tiempo"))))))</f>
        <v/>
      </c>
      <c r="AL201" s="39" t="str">
        <f aca="true">IF(AND(A201="",AND(B201="",C201="",E201="",F201="",COUNT(Q201:AF201)=0)),"",IF(AND(B201="",C201="",E201="",F201="",COUNT(Q201:AF201)=0),"Falta la partida o subpartida",IF(AND(A201&lt;&gt;"",COUNTIF($A$6:$A$305,A201)&gt;1),"Ítem repetido",IF(AND(C201="",E201="",F201="",COUNT(Q201:AF201)=0),"Título de partida",IF(OR(E201="",F201=""),"Faltan fechas",IF(OR(ISTEXT(E201),ISTEXT(F201)),"Fecha escrita como texto: usa dd/mm/aaaa",IF(F201&lt;E201,"Fin antes del inicio",IF(IF($J$2="",FALSE(),OR(E201&lt;$J$2,F201&gt;Reprogramaciones!$T$15+69)),"Fuera de las 10 semanas",IF(ABS(SUM(G201:P201)-100)&gt;0.5,"La meta no suma 100%",IF(ROUND(SUM(Q201:AF201),1)&gt;100.5,"El avance pasa de 100%",IF(MIN(Q201:AF201)&lt;0,"Avance negativo",IF(COUNTA(Q201:AF201)&gt;COUNT(Q201:AF201),"Avance escrito como texto",IF(SUMPRODUCT((Q201:AF201&gt;0)*(Q201:AF201&lt;1))&gt;0,"Avance menor a 1: escribe 50, no 50%",IF(SUMPRODUCT(ISNUMBER(Q201:AF201)*(Reprogramaciones!$K$8:$Z$8&gt;TODAY()))&gt;0,"Avance en semana que aún no llega",IF(AND(N(Reprogramaciones!$E$21)&gt;0,F201&gt;Reprogramaciones!$E$21),"Pasa el fin de la obra: registra una reprogramación",IF(AND(N(Reprogramaciones!$E$21)&gt;0,SUMPRODUCT(ISNUMBER(Q201:AF201)*(Reprogramaciones!$K$8:$Z$8&gt;Reprogramaciones!$E$21))&gt;0),"Avance después del fin de la obra: registra una reprogramación por atraso","OK"))))))))))))))))</f>
        <v/>
      </c>
      <c r="AM201" s="40" t="str">
        <f aca="false">IF(OR(OR(NOT(AND(ISNUMBER(E201),ISNUMBER(F201))),$J$2=""),1&gt;MAX(1,Reprogramaciones!$U$15)),"",IF(Reprogramaciones!K$12&gt;=7,"",IF(OR(BT201-N(0)&gt;0.05,N(Q201)&gt;0),ROUNDDOWN(ROUND(BT201,6),0)&amp;"%"&amp;IF(CJ201="",""," / "&amp;CJ201&amp;"%"),IF(AND(N(0)&gt;=99.95,CJ201&lt;&gt;"",N(CJ201)&lt;100),"Pend. "&amp;CJ201&amp;"%",""))))</f>
        <v/>
      </c>
      <c r="AN201" s="40" t="str">
        <f aca="false">IF(OR(OR(NOT(AND(ISNUMBER(E201),ISNUMBER(F201))),$J$2=""),2&gt;MAX(1,Reprogramaciones!$U$15)),"",IF(Reprogramaciones!L$12&gt;=7,"",IF(OR(BU201-N(BT201)&gt;0.05,N(R201)&gt;0),ROUNDDOWN(ROUND(BU201,6),0)&amp;"%"&amp;IF(CK201="",""," / "&amp;CK201&amp;"%"),IF(AND(N(BT201)&gt;=99.95,CK201&lt;&gt;"",N(CK201)&lt;100),"Pend. "&amp;CK201&amp;"%",""))))</f>
        <v/>
      </c>
      <c r="AO201" s="40" t="str">
        <f aca="false">IF(OR(OR(NOT(AND(ISNUMBER(E201),ISNUMBER(F201))),$J$2=""),3&gt;MAX(1,Reprogramaciones!$U$15)),"",IF(Reprogramaciones!M$12&gt;=7,"",IF(OR(BV201-N(BU201)&gt;0.05,N(S201)&gt;0),ROUNDDOWN(ROUND(BV201,6),0)&amp;"%"&amp;IF(CL201="",""," / "&amp;CL201&amp;"%"),IF(AND(N(BU201)&gt;=99.95,CL201&lt;&gt;"",N(CL201)&lt;100),"Pend. "&amp;CL201&amp;"%",""))))</f>
        <v/>
      </c>
      <c r="AP201" s="40" t="str">
        <f aca="false">IF(OR(OR(NOT(AND(ISNUMBER(E201),ISNUMBER(F201))),$J$2=""),4&gt;MAX(1,Reprogramaciones!$U$15)),"",IF(Reprogramaciones!N$12&gt;=7,"",IF(OR(BW201-N(BV201)&gt;0.05,N(T201)&gt;0),ROUNDDOWN(ROUND(BW201,6),0)&amp;"%"&amp;IF(CM201="",""," / "&amp;CM201&amp;"%"),IF(AND(N(BV201)&gt;=99.95,CM201&lt;&gt;"",N(CM201)&lt;100),"Pend. "&amp;CM201&amp;"%",""))))</f>
        <v/>
      </c>
      <c r="AQ201" s="40" t="str">
        <f aca="false">IF(OR(OR(NOT(AND(ISNUMBER(E201),ISNUMBER(F201))),$J$2=""),5&gt;MAX(1,Reprogramaciones!$U$15)),"",IF(Reprogramaciones!O$12&gt;=7,"",IF(OR(BX201-N(BW201)&gt;0.05,N(U201)&gt;0),ROUNDDOWN(ROUND(BX201,6),0)&amp;"%"&amp;IF(CN201="",""," / "&amp;CN201&amp;"%"),IF(AND(N(BW201)&gt;=99.95,CN201&lt;&gt;"",N(CN201)&lt;100),"Pend. "&amp;CN201&amp;"%",""))))</f>
        <v/>
      </c>
      <c r="AR201" s="40" t="str">
        <f aca="false">IF(OR(OR(NOT(AND(ISNUMBER(E201),ISNUMBER(F201))),$J$2=""),6&gt;MAX(1,Reprogramaciones!$U$15)),"",IF(Reprogramaciones!P$12&gt;=7,"",IF(OR(BY201-N(BX201)&gt;0.05,N(V201)&gt;0),ROUNDDOWN(ROUND(BY201,6),0)&amp;"%"&amp;IF(CO201="",""," / "&amp;CO201&amp;"%"),IF(AND(N(BX201)&gt;=99.95,CO201&lt;&gt;"",N(CO201)&lt;100),"Pend. "&amp;CO201&amp;"%",""))))</f>
        <v/>
      </c>
      <c r="AS201" s="40" t="str">
        <f aca="false">IF(OR(OR(NOT(AND(ISNUMBER(E201),ISNUMBER(F201))),$J$2=""),7&gt;MAX(1,Reprogramaciones!$U$15)),"",IF(Reprogramaciones!Q$12&gt;=7,"",IF(OR(BZ201-N(BY201)&gt;0.05,N(W201)&gt;0),ROUNDDOWN(ROUND(BZ201,6),0)&amp;"%"&amp;IF(CP201="",""," / "&amp;CP201&amp;"%"),IF(AND(N(BY201)&gt;=99.95,CP201&lt;&gt;"",N(CP201)&lt;100),"Pend. "&amp;CP201&amp;"%",""))))</f>
        <v/>
      </c>
      <c r="AT201" s="40" t="str">
        <f aca="false">IF(OR(OR(NOT(AND(ISNUMBER(E201),ISNUMBER(F201))),$J$2=""),8&gt;MAX(1,Reprogramaciones!$U$15)),"",IF(Reprogramaciones!R$12&gt;=7,"",IF(OR(CA201-N(BZ201)&gt;0.05,N(X201)&gt;0),ROUNDDOWN(ROUND(CA201,6),0)&amp;"%"&amp;IF(CQ201="",""," / "&amp;CQ201&amp;"%"),IF(AND(N(BZ201)&gt;=99.95,CQ201&lt;&gt;"",N(CQ201)&lt;100),"Pend. "&amp;CQ201&amp;"%",""))))</f>
        <v/>
      </c>
      <c r="AU201" s="40" t="str">
        <f aca="false">IF(OR(OR(NOT(AND(ISNUMBER(E201),ISNUMBER(F201))),$J$2=""),9&gt;MAX(1,Reprogramaciones!$U$15)),"",IF(Reprogramaciones!S$12&gt;=7,"",IF(OR(CB201-N(CA201)&gt;0.05,N(Y201)&gt;0),ROUNDDOWN(ROUND(CB201,6),0)&amp;"%"&amp;IF(CR201="",""," / "&amp;CR201&amp;"%"),IF(AND(N(CA201)&gt;=99.95,CR201&lt;&gt;"",N(CR201)&lt;100),"Pend. "&amp;CR201&amp;"%",""))))</f>
        <v/>
      </c>
      <c r="AV201" s="40" t="str">
        <f aca="false">IF(OR(OR(NOT(AND(ISNUMBER(E201),ISNUMBER(F201))),$J$2=""),10&gt;MAX(1,Reprogramaciones!$U$15)),"",IF(Reprogramaciones!T$12&gt;=7,"",IF(OR(CC201-N(CB201)&gt;0.05,N(Z201)&gt;0),ROUNDDOWN(ROUND(CC201,6),0)&amp;"%"&amp;IF(CS201="",""," / "&amp;CS201&amp;"%"),IF(AND(N(CB201)&gt;=99.95,CS201&lt;&gt;"",N(CS201)&lt;100),"Pend. "&amp;CS201&amp;"%",""))))</f>
        <v/>
      </c>
      <c r="AW201" s="40" t="str">
        <f aca="false">IF(OR(OR(NOT(AND(ISNUMBER(E201),ISNUMBER(F201))),$J$2=""),11&gt;MAX(1,Reprogramaciones!$U$15)),"",IF(Reprogramaciones!U$12&gt;=7,"",IF(OR(CD201-N(CC201)&gt;0.05,N(AA201)&gt;0),ROUNDDOWN(ROUND(CD201,6),0)&amp;"%"&amp;IF(CT201="",""," / "&amp;CT201&amp;"%"),IF(AND(N(CC201)&gt;=99.95,CT201&lt;&gt;"",N(CT201)&lt;100),"Pend. "&amp;CT201&amp;"%",""))))</f>
        <v/>
      </c>
      <c r="AX201" s="40" t="str">
        <f aca="false">IF(OR(OR(NOT(AND(ISNUMBER(E201),ISNUMBER(F201))),$J$2=""),12&gt;MAX(1,Reprogramaciones!$U$15)),"",IF(Reprogramaciones!V$12&gt;=7,"",IF(OR(CE201-N(CD201)&gt;0.05,N(AB201)&gt;0),ROUNDDOWN(ROUND(CE201,6),0)&amp;"%"&amp;IF(CU201="",""," / "&amp;CU201&amp;"%"),IF(AND(N(CD201)&gt;=99.95,CU201&lt;&gt;"",N(CU201)&lt;100),"Pend. "&amp;CU201&amp;"%",""))))</f>
        <v/>
      </c>
      <c r="AY201" s="40" t="str">
        <f aca="false">IF(OR(OR(NOT(AND(ISNUMBER(E201),ISNUMBER(F201))),$J$2=""),13&gt;MAX(1,Reprogramaciones!$U$15)),"",IF(Reprogramaciones!W$12&gt;=7,"",IF(OR(CF201-N(CE201)&gt;0.05,N(AC201)&gt;0),ROUNDDOWN(ROUND(CF201,6),0)&amp;"%"&amp;IF(CV201="",""," / "&amp;CV201&amp;"%"),IF(AND(N(CE201)&gt;=99.95,CV201&lt;&gt;"",N(CV201)&lt;100),"Pend. "&amp;CV201&amp;"%",""))))</f>
        <v/>
      </c>
      <c r="AZ201" s="40" t="str">
        <f aca="false">IF(OR(OR(NOT(AND(ISNUMBER(E201),ISNUMBER(F201))),$J$2=""),14&gt;MAX(1,Reprogramaciones!$U$15)),"",IF(Reprogramaciones!X$12&gt;=7,"",IF(OR(CG201-N(CF201)&gt;0.05,N(AD201)&gt;0),ROUNDDOWN(ROUND(CG201,6),0)&amp;"%"&amp;IF(CW201="",""," / "&amp;CW201&amp;"%"),IF(AND(N(CF201)&gt;=99.95,CW201&lt;&gt;"",N(CW201)&lt;100),"Pend. "&amp;CW201&amp;"%",""))))</f>
        <v/>
      </c>
      <c r="BA201" s="40" t="str">
        <f aca="false">IF(OR(OR(NOT(AND(ISNUMBER(E201),ISNUMBER(F201))),$J$2=""),15&gt;MAX(1,Reprogramaciones!$U$15)),"",IF(Reprogramaciones!Y$12&gt;=7,"",IF(OR(CH201-N(CG201)&gt;0.05,N(AE201)&gt;0),ROUNDDOWN(ROUND(CH201,6),0)&amp;"%"&amp;IF(CX201="",""," / "&amp;CX201&amp;"%"),IF(AND(N(CG201)&gt;=99.95,CX201&lt;&gt;"",N(CX201)&lt;100),"Pend. "&amp;CX201&amp;"%",""))))</f>
        <v/>
      </c>
      <c r="BB201" s="40" t="str">
        <f aca="false">IF(OR(OR(NOT(AND(ISNUMBER(E201),ISNUMBER(F201))),$J$2=""),16&gt;MAX(1,Reprogramaciones!$U$15)),"",IF(Reprogramaciones!Z$12&gt;=7,"",IF(OR(CI201-N(CH201)&gt;0.05,N(AF201)&gt;0),ROUNDDOWN(ROUND(CI201,6),0)&amp;"%"&amp;IF(CY201="",""," / "&amp;CY201&amp;"%"),IF(AND(N(CH201)&gt;=99.95,CY201&lt;&gt;"",N(CY201)&lt;100),"Pend. "&amp;CY201&amp;"%",""))))</f>
        <v/>
      </c>
      <c r="BC201" s="31" t="n">
        <f aca="false">IF(AND(ISNUMBER(E201),ISNUMBER(F201)),MAX(1,NETWORKDAYS.INTL(E201,F201,11)),0)</f>
        <v>0</v>
      </c>
      <c r="BD201" s="1" t="str">
        <f aca="false">IF(OR(NOT(AND(ISNUMBER(E201),ISNUMBER(F201))),$J$2=""),"",MIN(100,ROUND(SUM($G201:G201),1)))</f>
        <v/>
      </c>
      <c r="BE201" s="1" t="str">
        <f aca="false">IF(OR(NOT(AND(ISNUMBER(E201),ISNUMBER(F201))),$J$2=""),"",MIN(100,ROUND(SUM($G201:H201),1)))</f>
        <v/>
      </c>
      <c r="BF201" s="1" t="str">
        <f aca="false">IF(OR(NOT(AND(ISNUMBER(E201),ISNUMBER(F201))),$J$2=""),"",MIN(100,ROUND(SUM($G201:I201),1)))</f>
        <v/>
      </c>
      <c r="BG201" s="1" t="str">
        <f aca="false">IF(OR(NOT(AND(ISNUMBER(E201),ISNUMBER(F201))),$J$2=""),"",MIN(100,ROUND(SUM($G201:J201),1)))</f>
        <v/>
      </c>
      <c r="BH201" s="1" t="str">
        <f aca="false">IF(OR(NOT(AND(ISNUMBER(E201),ISNUMBER(F201))),$J$2=""),"",MIN(100,ROUND(SUM($G201:K201),1)))</f>
        <v/>
      </c>
      <c r="BI201" s="1" t="str">
        <f aca="false">IF(OR(NOT(AND(ISNUMBER(E201),ISNUMBER(F201))),$J$2=""),"",MIN(100,ROUND(SUM($G201:L201),1)))</f>
        <v/>
      </c>
      <c r="BJ201" s="1" t="str">
        <f aca="false">IF(OR(NOT(AND(ISNUMBER(E201),ISNUMBER(F201))),$J$2=""),"",MIN(100,ROUND(SUM($G201:M201),1)))</f>
        <v/>
      </c>
      <c r="BK201" s="1" t="str">
        <f aca="false">IF(OR(NOT(AND(ISNUMBER(E201),ISNUMBER(F201))),$J$2=""),"",MIN(100,ROUND(SUM($G201:N201),1)))</f>
        <v/>
      </c>
      <c r="BL201" s="1" t="str">
        <f aca="false">IF(OR(NOT(AND(ISNUMBER(E201),ISNUMBER(F201))),$J$2=""),"",MIN(100,ROUND(SUM($G201:O201),1)))</f>
        <v/>
      </c>
      <c r="BM201" s="1" t="str">
        <f aca="false">IF(OR(NOT(AND(ISNUMBER(E201),ISNUMBER(F201))),$J$2=""),"",MIN(100,ROUND(SUM($G201:P201),1)))</f>
        <v/>
      </c>
      <c r="BN201" s="1" t="str">
        <f aca="false">IF(OR(NOT(AND(ISNUMBER(E201),ISNUMBER(F201))),$J$2=""),"",MIN(100,ROUND(SUM($G201:P201),1)))</f>
        <v/>
      </c>
      <c r="BO201" s="1" t="str">
        <f aca="false">IF(OR(NOT(AND(ISNUMBER(E201),ISNUMBER(F201))),$J$2=""),"",MIN(100,ROUND(SUM($G201:P201),1)))</f>
        <v/>
      </c>
      <c r="BP201" s="1" t="str">
        <f aca="false">IF(OR(NOT(AND(ISNUMBER(E201),ISNUMBER(F201))),$J$2=""),"",MIN(100,ROUND(SUM($G201:P201),1)))</f>
        <v/>
      </c>
      <c r="BQ201" s="1" t="str">
        <f aca="false">IF(OR(NOT(AND(ISNUMBER(E201),ISNUMBER(F201))),$J$2=""),"",MIN(100,ROUND(SUM($G201:P201),1)))</f>
        <v/>
      </c>
      <c r="BR201" s="1" t="str">
        <f aca="false">IF(OR(NOT(AND(ISNUMBER(E201),ISNUMBER(F201))),$J$2=""),"",MIN(100,ROUND(SUM($G201:P201),1)))</f>
        <v/>
      </c>
      <c r="BS201" s="1" t="str">
        <f aca="false">IF(OR(NOT(AND(ISNUMBER(E201),ISNUMBER(F201))),$J$2=""),"",MIN(100,ROUND(SUM($G201:P201),1)))</f>
        <v/>
      </c>
      <c r="BT201" s="1" t="str">
        <f aca="false">IF(OR(NOT(AND(ISNUMBER(E201),ISNUMBER(F201))),$J$2=""),"",IF(Reprogramaciones!K$13&lt;Reprogramaciones!$T$15,0,IF(Reprogramaciones!K$14&gt;10,MIN(100,SUM($G201:$P201)),MIN(100,SUMPRODUCT((COLUMN($G201:$P201)-COLUMN($G201)+1&lt;Reprogramaciones!K$14)*$G201:$P201)+N(INDEX($G201:$P201,1,Reprogramaciones!K$14))*IF(Reprogramaciones!K$13&gt;=(Reprogramaciones!$T$15+7*(Reprogramaciones!K$14-1))+6,1,IF(MAX(0,NETWORKDAYS.INTL(MAX(E201,(Reprogramaciones!$T$15+7*(Reprogramaciones!K$14-1))),MIN(F201,(Reprogramaciones!$T$15+7*(Reprogramaciones!K$14-1))+6),11))=0,0,MAX(0,NETWORKDAYS.INTL(MAX(E201,(Reprogramaciones!$T$15+7*(Reprogramaciones!K$14-1))),MIN(F201,Reprogramaciones!K$13),11))/MAX(0,NETWORKDAYS.INTL(MAX(E201,(Reprogramaciones!$T$15+7*(Reprogramaciones!K$14-1))),MIN(F201,(Reprogramaciones!$T$15+7*(Reprogramaciones!K$14-1))+6),11))))))))</f>
        <v/>
      </c>
      <c r="BU201" s="1" t="str">
        <f aca="false">IF(OR(NOT(AND(ISNUMBER(E201),ISNUMBER(F201))),$J$2=""),"",IF(Reprogramaciones!L$13&lt;Reprogramaciones!$T$15,0,IF(Reprogramaciones!L$14&gt;10,MIN(100,SUM($G201:$P201)),MIN(100,SUMPRODUCT((COLUMN($G201:$P201)-COLUMN($G201)+1&lt;Reprogramaciones!L$14)*$G201:$P201)+N(INDEX($G201:$P201,1,Reprogramaciones!L$14))*IF(Reprogramaciones!L$13&gt;=(Reprogramaciones!$T$15+7*(Reprogramaciones!L$14-1))+6,1,IF(MAX(0,NETWORKDAYS.INTL(MAX(E201,(Reprogramaciones!$T$15+7*(Reprogramaciones!L$14-1))),MIN(F201,(Reprogramaciones!$T$15+7*(Reprogramaciones!L$14-1))+6),11))=0,0,MAX(0,NETWORKDAYS.INTL(MAX(E201,(Reprogramaciones!$T$15+7*(Reprogramaciones!L$14-1))),MIN(F201,Reprogramaciones!L$13),11))/MAX(0,NETWORKDAYS.INTL(MAX(E201,(Reprogramaciones!$T$15+7*(Reprogramaciones!L$14-1))),MIN(F201,(Reprogramaciones!$T$15+7*(Reprogramaciones!L$14-1))+6),11))))))))</f>
        <v/>
      </c>
      <c r="BV201" s="1" t="str">
        <f aca="false">IF(OR(NOT(AND(ISNUMBER(E201),ISNUMBER(F201))),$J$2=""),"",IF(Reprogramaciones!M$13&lt;Reprogramaciones!$T$15,0,IF(Reprogramaciones!M$14&gt;10,MIN(100,SUM($G201:$P201)),MIN(100,SUMPRODUCT((COLUMN($G201:$P201)-COLUMN($G201)+1&lt;Reprogramaciones!M$14)*$G201:$P201)+N(INDEX($G201:$P201,1,Reprogramaciones!M$14))*IF(Reprogramaciones!M$13&gt;=(Reprogramaciones!$T$15+7*(Reprogramaciones!M$14-1))+6,1,IF(MAX(0,NETWORKDAYS.INTL(MAX(E201,(Reprogramaciones!$T$15+7*(Reprogramaciones!M$14-1))),MIN(F201,(Reprogramaciones!$T$15+7*(Reprogramaciones!M$14-1))+6),11))=0,0,MAX(0,NETWORKDAYS.INTL(MAX(E201,(Reprogramaciones!$T$15+7*(Reprogramaciones!M$14-1))),MIN(F201,Reprogramaciones!M$13),11))/MAX(0,NETWORKDAYS.INTL(MAX(E201,(Reprogramaciones!$T$15+7*(Reprogramaciones!M$14-1))),MIN(F201,(Reprogramaciones!$T$15+7*(Reprogramaciones!M$14-1))+6),11))))))))</f>
        <v/>
      </c>
      <c r="BW201" s="1" t="str">
        <f aca="false">IF(OR(NOT(AND(ISNUMBER(E201),ISNUMBER(F201))),$J$2=""),"",IF(Reprogramaciones!N$13&lt;Reprogramaciones!$T$15,0,IF(Reprogramaciones!N$14&gt;10,MIN(100,SUM($G201:$P201)),MIN(100,SUMPRODUCT((COLUMN($G201:$P201)-COLUMN($G201)+1&lt;Reprogramaciones!N$14)*$G201:$P201)+N(INDEX($G201:$P201,1,Reprogramaciones!N$14))*IF(Reprogramaciones!N$13&gt;=(Reprogramaciones!$T$15+7*(Reprogramaciones!N$14-1))+6,1,IF(MAX(0,NETWORKDAYS.INTL(MAX(E201,(Reprogramaciones!$T$15+7*(Reprogramaciones!N$14-1))),MIN(F201,(Reprogramaciones!$T$15+7*(Reprogramaciones!N$14-1))+6),11))=0,0,MAX(0,NETWORKDAYS.INTL(MAX(E201,(Reprogramaciones!$T$15+7*(Reprogramaciones!N$14-1))),MIN(F201,Reprogramaciones!N$13),11))/MAX(0,NETWORKDAYS.INTL(MAX(E201,(Reprogramaciones!$T$15+7*(Reprogramaciones!N$14-1))),MIN(F201,(Reprogramaciones!$T$15+7*(Reprogramaciones!N$14-1))+6),11))))))))</f>
        <v/>
      </c>
      <c r="BX201" s="1" t="str">
        <f aca="false">IF(OR(NOT(AND(ISNUMBER(E201),ISNUMBER(F201))),$J$2=""),"",IF(Reprogramaciones!O$13&lt;Reprogramaciones!$T$15,0,IF(Reprogramaciones!O$14&gt;10,MIN(100,SUM($G201:$P201)),MIN(100,SUMPRODUCT((COLUMN($G201:$P201)-COLUMN($G201)+1&lt;Reprogramaciones!O$14)*$G201:$P201)+N(INDEX($G201:$P201,1,Reprogramaciones!O$14))*IF(Reprogramaciones!O$13&gt;=(Reprogramaciones!$T$15+7*(Reprogramaciones!O$14-1))+6,1,IF(MAX(0,NETWORKDAYS.INTL(MAX(E201,(Reprogramaciones!$T$15+7*(Reprogramaciones!O$14-1))),MIN(F201,(Reprogramaciones!$T$15+7*(Reprogramaciones!O$14-1))+6),11))=0,0,MAX(0,NETWORKDAYS.INTL(MAX(E201,(Reprogramaciones!$T$15+7*(Reprogramaciones!O$14-1))),MIN(F201,Reprogramaciones!O$13),11))/MAX(0,NETWORKDAYS.INTL(MAX(E201,(Reprogramaciones!$T$15+7*(Reprogramaciones!O$14-1))),MIN(F201,(Reprogramaciones!$T$15+7*(Reprogramaciones!O$14-1))+6),11))))))))</f>
        <v/>
      </c>
      <c r="BY201" s="1" t="str">
        <f aca="false">IF(OR(NOT(AND(ISNUMBER(E201),ISNUMBER(F201))),$J$2=""),"",IF(Reprogramaciones!P$13&lt;Reprogramaciones!$T$15,0,IF(Reprogramaciones!P$14&gt;10,MIN(100,SUM($G201:$P201)),MIN(100,SUMPRODUCT((COLUMN($G201:$P201)-COLUMN($G201)+1&lt;Reprogramaciones!P$14)*$G201:$P201)+N(INDEX($G201:$P201,1,Reprogramaciones!P$14))*IF(Reprogramaciones!P$13&gt;=(Reprogramaciones!$T$15+7*(Reprogramaciones!P$14-1))+6,1,IF(MAX(0,NETWORKDAYS.INTL(MAX(E201,(Reprogramaciones!$T$15+7*(Reprogramaciones!P$14-1))),MIN(F201,(Reprogramaciones!$T$15+7*(Reprogramaciones!P$14-1))+6),11))=0,0,MAX(0,NETWORKDAYS.INTL(MAX(E201,(Reprogramaciones!$T$15+7*(Reprogramaciones!P$14-1))),MIN(F201,Reprogramaciones!P$13),11))/MAX(0,NETWORKDAYS.INTL(MAX(E201,(Reprogramaciones!$T$15+7*(Reprogramaciones!P$14-1))),MIN(F201,(Reprogramaciones!$T$15+7*(Reprogramaciones!P$14-1))+6),11))))))))</f>
        <v/>
      </c>
      <c r="BZ201" s="1" t="str">
        <f aca="false">IF(OR(NOT(AND(ISNUMBER(E201),ISNUMBER(F201))),$J$2=""),"",IF(Reprogramaciones!Q$13&lt;Reprogramaciones!$T$15,0,IF(Reprogramaciones!Q$14&gt;10,MIN(100,SUM($G201:$P201)),MIN(100,SUMPRODUCT((COLUMN($G201:$P201)-COLUMN($G201)+1&lt;Reprogramaciones!Q$14)*$G201:$P201)+N(INDEX($G201:$P201,1,Reprogramaciones!Q$14))*IF(Reprogramaciones!Q$13&gt;=(Reprogramaciones!$T$15+7*(Reprogramaciones!Q$14-1))+6,1,IF(MAX(0,NETWORKDAYS.INTL(MAX(E201,(Reprogramaciones!$T$15+7*(Reprogramaciones!Q$14-1))),MIN(F201,(Reprogramaciones!$T$15+7*(Reprogramaciones!Q$14-1))+6),11))=0,0,MAX(0,NETWORKDAYS.INTL(MAX(E201,(Reprogramaciones!$T$15+7*(Reprogramaciones!Q$14-1))),MIN(F201,Reprogramaciones!Q$13),11))/MAX(0,NETWORKDAYS.INTL(MAX(E201,(Reprogramaciones!$T$15+7*(Reprogramaciones!Q$14-1))),MIN(F201,(Reprogramaciones!$T$15+7*(Reprogramaciones!Q$14-1))+6),11))))))))</f>
        <v/>
      </c>
      <c r="CA201" s="1" t="str">
        <f aca="false">IF(OR(NOT(AND(ISNUMBER(E201),ISNUMBER(F201))),$J$2=""),"",IF(Reprogramaciones!R$13&lt;Reprogramaciones!$T$15,0,IF(Reprogramaciones!R$14&gt;10,MIN(100,SUM($G201:$P201)),MIN(100,SUMPRODUCT((COLUMN($G201:$P201)-COLUMN($G201)+1&lt;Reprogramaciones!R$14)*$G201:$P201)+N(INDEX($G201:$P201,1,Reprogramaciones!R$14))*IF(Reprogramaciones!R$13&gt;=(Reprogramaciones!$T$15+7*(Reprogramaciones!R$14-1))+6,1,IF(MAX(0,NETWORKDAYS.INTL(MAX(E201,(Reprogramaciones!$T$15+7*(Reprogramaciones!R$14-1))),MIN(F201,(Reprogramaciones!$T$15+7*(Reprogramaciones!R$14-1))+6),11))=0,0,MAX(0,NETWORKDAYS.INTL(MAX(E201,(Reprogramaciones!$T$15+7*(Reprogramaciones!R$14-1))),MIN(F201,Reprogramaciones!R$13),11))/MAX(0,NETWORKDAYS.INTL(MAX(E201,(Reprogramaciones!$T$15+7*(Reprogramaciones!R$14-1))),MIN(F201,(Reprogramaciones!$T$15+7*(Reprogramaciones!R$14-1))+6),11))))))))</f>
        <v/>
      </c>
      <c r="CB201" s="1" t="str">
        <f aca="false">IF(OR(NOT(AND(ISNUMBER(E201),ISNUMBER(F201))),$J$2=""),"",IF(Reprogramaciones!S$13&lt;Reprogramaciones!$T$15,0,IF(Reprogramaciones!S$14&gt;10,MIN(100,SUM($G201:$P201)),MIN(100,SUMPRODUCT((COLUMN($G201:$P201)-COLUMN($G201)+1&lt;Reprogramaciones!S$14)*$G201:$P201)+N(INDEX($G201:$P201,1,Reprogramaciones!S$14))*IF(Reprogramaciones!S$13&gt;=(Reprogramaciones!$T$15+7*(Reprogramaciones!S$14-1))+6,1,IF(MAX(0,NETWORKDAYS.INTL(MAX(E201,(Reprogramaciones!$T$15+7*(Reprogramaciones!S$14-1))),MIN(F201,(Reprogramaciones!$T$15+7*(Reprogramaciones!S$14-1))+6),11))=0,0,MAX(0,NETWORKDAYS.INTL(MAX(E201,(Reprogramaciones!$T$15+7*(Reprogramaciones!S$14-1))),MIN(F201,Reprogramaciones!S$13),11))/MAX(0,NETWORKDAYS.INTL(MAX(E201,(Reprogramaciones!$T$15+7*(Reprogramaciones!S$14-1))),MIN(F201,(Reprogramaciones!$T$15+7*(Reprogramaciones!S$14-1))+6),11))))))))</f>
        <v/>
      </c>
      <c r="CC201" s="1" t="str">
        <f aca="false">IF(OR(NOT(AND(ISNUMBER(E201),ISNUMBER(F201))),$J$2=""),"",IF(Reprogramaciones!T$13&lt;Reprogramaciones!$T$15,0,IF(Reprogramaciones!T$14&gt;10,MIN(100,SUM($G201:$P201)),MIN(100,SUMPRODUCT((COLUMN($G201:$P201)-COLUMN($G201)+1&lt;Reprogramaciones!T$14)*$G201:$P201)+N(INDEX($G201:$P201,1,Reprogramaciones!T$14))*IF(Reprogramaciones!T$13&gt;=(Reprogramaciones!$T$15+7*(Reprogramaciones!T$14-1))+6,1,IF(MAX(0,NETWORKDAYS.INTL(MAX(E201,(Reprogramaciones!$T$15+7*(Reprogramaciones!T$14-1))),MIN(F201,(Reprogramaciones!$T$15+7*(Reprogramaciones!T$14-1))+6),11))=0,0,MAX(0,NETWORKDAYS.INTL(MAX(E201,(Reprogramaciones!$T$15+7*(Reprogramaciones!T$14-1))),MIN(F201,Reprogramaciones!T$13),11))/MAX(0,NETWORKDAYS.INTL(MAX(E201,(Reprogramaciones!$T$15+7*(Reprogramaciones!T$14-1))),MIN(F201,(Reprogramaciones!$T$15+7*(Reprogramaciones!T$14-1))+6),11))))))))</f>
        <v/>
      </c>
      <c r="CD201" s="1" t="str">
        <f aca="false">IF(OR(NOT(AND(ISNUMBER(E201),ISNUMBER(F201))),$J$2=""),"",IF(Reprogramaciones!U$13&lt;Reprogramaciones!$T$15,0,IF(Reprogramaciones!U$14&gt;10,MIN(100,SUM($G201:$P201)),MIN(100,SUMPRODUCT((COLUMN($G201:$P201)-COLUMN($G201)+1&lt;Reprogramaciones!U$14)*$G201:$P201)+N(INDEX($G201:$P201,1,Reprogramaciones!U$14))*IF(Reprogramaciones!U$13&gt;=(Reprogramaciones!$T$15+7*(Reprogramaciones!U$14-1))+6,1,IF(MAX(0,NETWORKDAYS.INTL(MAX(E201,(Reprogramaciones!$T$15+7*(Reprogramaciones!U$14-1))),MIN(F201,(Reprogramaciones!$T$15+7*(Reprogramaciones!U$14-1))+6),11))=0,0,MAX(0,NETWORKDAYS.INTL(MAX(E201,(Reprogramaciones!$T$15+7*(Reprogramaciones!U$14-1))),MIN(F201,Reprogramaciones!U$13),11))/MAX(0,NETWORKDAYS.INTL(MAX(E201,(Reprogramaciones!$T$15+7*(Reprogramaciones!U$14-1))),MIN(F201,(Reprogramaciones!$T$15+7*(Reprogramaciones!U$14-1))+6),11))))))))</f>
        <v/>
      </c>
      <c r="CE201" s="1" t="str">
        <f aca="false">IF(OR(NOT(AND(ISNUMBER(E201),ISNUMBER(F201))),$J$2=""),"",IF(Reprogramaciones!V$13&lt;Reprogramaciones!$T$15,0,IF(Reprogramaciones!V$14&gt;10,MIN(100,SUM($G201:$P201)),MIN(100,SUMPRODUCT((COLUMN($G201:$P201)-COLUMN($G201)+1&lt;Reprogramaciones!V$14)*$G201:$P201)+N(INDEX($G201:$P201,1,Reprogramaciones!V$14))*IF(Reprogramaciones!V$13&gt;=(Reprogramaciones!$T$15+7*(Reprogramaciones!V$14-1))+6,1,IF(MAX(0,NETWORKDAYS.INTL(MAX(E201,(Reprogramaciones!$T$15+7*(Reprogramaciones!V$14-1))),MIN(F201,(Reprogramaciones!$T$15+7*(Reprogramaciones!V$14-1))+6),11))=0,0,MAX(0,NETWORKDAYS.INTL(MAX(E201,(Reprogramaciones!$T$15+7*(Reprogramaciones!V$14-1))),MIN(F201,Reprogramaciones!V$13),11))/MAX(0,NETWORKDAYS.INTL(MAX(E201,(Reprogramaciones!$T$15+7*(Reprogramaciones!V$14-1))),MIN(F201,(Reprogramaciones!$T$15+7*(Reprogramaciones!V$14-1))+6),11))))))))</f>
        <v/>
      </c>
      <c r="CF201" s="1" t="str">
        <f aca="false">IF(OR(NOT(AND(ISNUMBER(E201),ISNUMBER(F201))),$J$2=""),"",IF(Reprogramaciones!W$13&lt;Reprogramaciones!$T$15,0,IF(Reprogramaciones!W$14&gt;10,MIN(100,SUM($G201:$P201)),MIN(100,SUMPRODUCT((COLUMN($G201:$P201)-COLUMN($G201)+1&lt;Reprogramaciones!W$14)*$G201:$P201)+N(INDEX($G201:$P201,1,Reprogramaciones!W$14))*IF(Reprogramaciones!W$13&gt;=(Reprogramaciones!$T$15+7*(Reprogramaciones!W$14-1))+6,1,IF(MAX(0,NETWORKDAYS.INTL(MAX(E201,(Reprogramaciones!$T$15+7*(Reprogramaciones!W$14-1))),MIN(F201,(Reprogramaciones!$T$15+7*(Reprogramaciones!W$14-1))+6),11))=0,0,MAX(0,NETWORKDAYS.INTL(MAX(E201,(Reprogramaciones!$T$15+7*(Reprogramaciones!W$14-1))),MIN(F201,Reprogramaciones!W$13),11))/MAX(0,NETWORKDAYS.INTL(MAX(E201,(Reprogramaciones!$T$15+7*(Reprogramaciones!W$14-1))),MIN(F201,(Reprogramaciones!$T$15+7*(Reprogramaciones!W$14-1))+6),11))))))))</f>
        <v/>
      </c>
      <c r="CG201" s="1" t="str">
        <f aca="false">IF(OR(NOT(AND(ISNUMBER(E201),ISNUMBER(F201))),$J$2=""),"",IF(Reprogramaciones!X$13&lt;Reprogramaciones!$T$15,0,IF(Reprogramaciones!X$14&gt;10,MIN(100,SUM($G201:$P201)),MIN(100,SUMPRODUCT((COLUMN($G201:$P201)-COLUMN($G201)+1&lt;Reprogramaciones!X$14)*$G201:$P201)+N(INDEX($G201:$P201,1,Reprogramaciones!X$14))*IF(Reprogramaciones!X$13&gt;=(Reprogramaciones!$T$15+7*(Reprogramaciones!X$14-1))+6,1,IF(MAX(0,NETWORKDAYS.INTL(MAX(E201,(Reprogramaciones!$T$15+7*(Reprogramaciones!X$14-1))),MIN(F201,(Reprogramaciones!$T$15+7*(Reprogramaciones!X$14-1))+6),11))=0,0,MAX(0,NETWORKDAYS.INTL(MAX(E201,(Reprogramaciones!$T$15+7*(Reprogramaciones!X$14-1))),MIN(F201,Reprogramaciones!X$13),11))/MAX(0,NETWORKDAYS.INTL(MAX(E201,(Reprogramaciones!$T$15+7*(Reprogramaciones!X$14-1))),MIN(F201,(Reprogramaciones!$T$15+7*(Reprogramaciones!X$14-1))+6),11))))))))</f>
        <v/>
      </c>
      <c r="CH201" s="1" t="str">
        <f aca="false">IF(OR(NOT(AND(ISNUMBER(E201),ISNUMBER(F201))),$J$2=""),"",IF(Reprogramaciones!Y$13&lt;Reprogramaciones!$T$15,0,IF(Reprogramaciones!Y$14&gt;10,MIN(100,SUM($G201:$P201)),MIN(100,SUMPRODUCT((COLUMN($G201:$P201)-COLUMN($G201)+1&lt;Reprogramaciones!Y$14)*$G201:$P201)+N(INDEX($G201:$P201,1,Reprogramaciones!Y$14))*IF(Reprogramaciones!Y$13&gt;=(Reprogramaciones!$T$15+7*(Reprogramaciones!Y$14-1))+6,1,IF(MAX(0,NETWORKDAYS.INTL(MAX(E201,(Reprogramaciones!$T$15+7*(Reprogramaciones!Y$14-1))),MIN(F201,(Reprogramaciones!$T$15+7*(Reprogramaciones!Y$14-1))+6),11))=0,0,MAX(0,NETWORKDAYS.INTL(MAX(E201,(Reprogramaciones!$T$15+7*(Reprogramaciones!Y$14-1))),MIN(F201,Reprogramaciones!Y$13),11))/MAX(0,NETWORKDAYS.INTL(MAX(E201,(Reprogramaciones!$T$15+7*(Reprogramaciones!Y$14-1))),MIN(F201,(Reprogramaciones!$T$15+7*(Reprogramaciones!Y$14-1))+6),11))))))))</f>
        <v/>
      </c>
      <c r="CI201" s="1" t="str">
        <f aca="false">IF(OR(NOT(AND(ISNUMBER(E201),ISNUMBER(F201))),$J$2=""),"",IF(Reprogramaciones!Z$13&lt;Reprogramaciones!$T$15,0,IF(Reprogramaciones!Z$14&gt;10,MIN(100,SUM($G201:$P201)),MIN(100,SUMPRODUCT((COLUMN($G201:$P201)-COLUMN($G201)+1&lt;Reprogramaciones!Z$14)*$G201:$P201)+N(INDEX($G201:$P201,1,Reprogramaciones!Z$14))*IF(Reprogramaciones!Z$13&gt;=(Reprogramaciones!$T$15+7*(Reprogramaciones!Z$14-1))+6,1,IF(MAX(0,NETWORKDAYS.INTL(MAX(E201,(Reprogramaciones!$T$15+7*(Reprogramaciones!Z$14-1))),MIN(F201,(Reprogramaciones!$T$15+7*(Reprogramaciones!Z$14-1))+6),11))=0,0,MAX(0,NETWORKDAYS.INTL(MAX(E201,(Reprogramaciones!$T$15+7*(Reprogramaciones!Z$14-1))),MIN(F201,Reprogramaciones!Z$13),11))/MAX(0,NETWORKDAYS.INTL(MAX(E201,(Reprogramaciones!$T$15+7*(Reprogramaciones!Z$14-1))),MIN(F201,(Reprogramaciones!$T$15+7*(Reprogramaciones!Z$14-1))+6),11))))))))</f>
        <v/>
      </c>
      <c r="CJ201" s="1" t="str">
        <f aca="false">IF(OR(OR(NOT(AND(ISNUMBER(E201),ISNUMBER(F201))),$J$2=""),1&gt;Reprogramaciones!$K$16),"",IF(ROUND(SUM($Q201:Q201),1)&gt;=99.5,100,MIN(100,ROUND(SUM($Q201:Q201),1))))</f>
        <v/>
      </c>
      <c r="CK201" s="1" t="str">
        <f aca="false">IF(OR(OR(NOT(AND(ISNUMBER(E201),ISNUMBER(F201))),$J$2=""),2&gt;Reprogramaciones!$K$16),"",IF(ROUND(SUM($Q201:R201),1)&gt;=99.5,100,MIN(100,ROUND(SUM($Q201:R201),1))))</f>
        <v/>
      </c>
      <c r="CL201" s="1" t="str">
        <f aca="false">IF(OR(OR(NOT(AND(ISNUMBER(E201),ISNUMBER(F201))),$J$2=""),3&gt;Reprogramaciones!$K$16),"",IF(ROUND(SUM($Q201:S201),1)&gt;=99.5,100,MIN(100,ROUND(SUM($Q201:S201),1))))</f>
        <v/>
      </c>
      <c r="CM201" s="1" t="str">
        <f aca="false">IF(OR(OR(NOT(AND(ISNUMBER(E201),ISNUMBER(F201))),$J$2=""),4&gt;Reprogramaciones!$K$16),"",IF(ROUND(SUM($Q201:T201),1)&gt;=99.5,100,MIN(100,ROUND(SUM($Q201:T201),1))))</f>
        <v/>
      </c>
      <c r="CN201" s="1" t="str">
        <f aca="false">IF(OR(OR(NOT(AND(ISNUMBER(E201),ISNUMBER(F201))),$J$2=""),5&gt;Reprogramaciones!$K$16),"",IF(ROUND(SUM($Q201:U201),1)&gt;=99.5,100,MIN(100,ROUND(SUM($Q201:U201),1))))</f>
        <v/>
      </c>
      <c r="CO201" s="1" t="str">
        <f aca="false">IF(OR(OR(NOT(AND(ISNUMBER(E201),ISNUMBER(F201))),$J$2=""),6&gt;Reprogramaciones!$K$16),"",IF(ROUND(SUM($Q201:V201),1)&gt;=99.5,100,MIN(100,ROUND(SUM($Q201:V201),1))))</f>
        <v/>
      </c>
      <c r="CP201" s="1" t="str">
        <f aca="false">IF(OR(OR(NOT(AND(ISNUMBER(E201),ISNUMBER(F201))),$J$2=""),7&gt;Reprogramaciones!$K$16),"",IF(ROUND(SUM($Q201:W201),1)&gt;=99.5,100,MIN(100,ROUND(SUM($Q201:W201),1))))</f>
        <v/>
      </c>
      <c r="CQ201" s="1" t="str">
        <f aca="false">IF(OR(OR(NOT(AND(ISNUMBER(E201),ISNUMBER(F201))),$J$2=""),8&gt;Reprogramaciones!$K$16),"",IF(ROUND(SUM($Q201:X201),1)&gt;=99.5,100,MIN(100,ROUND(SUM($Q201:X201),1))))</f>
        <v/>
      </c>
      <c r="CR201" s="1" t="str">
        <f aca="false">IF(OR(OR(NOT(AND(ISNUMBER(E201),ISNUMBER(F201))),$J$2=""),9&gt;Reprogramaciones!$K$16),"",IF(ROUND(SUM($Q201:Y201),1)&gt;=99.5,100,MIN(100,ROUND(SUM($Q201:Y201),1))))</f>
        <v/>
      </c>
      <c r="CS201" s="1" t="str">
        <f aca="false">IF(OR(OR(NOT(AND(ISNUMBER(E201),ISNUMBER(F201))),$J$2=""),10&gt;Reprogramaciones!$K$16),"",IF(ROUND(SUM($Q201:Z201),1)&gt;=99.5,100,MIN(100,ROUND(SUM($Q201:Z201),1))))</f>
        <v/>
      </c>
      <c r="CT201" s="1" t="str">
        <f aca="false">IF(OR(OR(NOT(AND(ISNUMBER(E201),ISNUMBER(F201))),$J$2=""),11&gt;Reprogramaciones!$K$16),"",IF(ROUND(SUM($Q201:AA201),1)&gt;=99.5,100,MIN(100,ROUND(SUM($Q201:AA201),1))))</f>
        <v/>
      </c>
      <c r="CU201" s="1" t="str">
        <f aca="false">IF(OR(OR(NOT(AND(ISNUMBER(E201),ISNUMBER(F201))),$J$2=""),12&gt;Reprogramaciones!$K$16),"",IF(ROUND(SUM($Q201:AB201),1)&gt;=99.5,100,MIN(100,ROUND(SUM($Q201:AB201),1))))</f>
        <v/>
      </c>
      <c r="CV201" s="1" t="str">
        <f aca="false">IF(OR(OR(NOT(AND(ISNUMBER(E201),ISNUMBER(F201))),$J$2=""),13&gt;Reprogramaciones!$K$16),"",IF(ROUND(SUM($Q201:AC201),1)&gt;=99.5,100,MIN(100,ROUND(SUM($Q201:AC201),1))))</f>
        <v/>
      </c>
      <c r="CW201" s="1" t="str">
        <f aca="false">IF(OR(OR(NOT(AND(ISNUMBER(E201),ISNUMBER(F201))),$J$2=""),14&gt;Reprogramaciones!$K$16),"",IF(ROUND(SUM($Q201:AD201),1)&gt;=99.5,100,MIN(100,ROUND(SUM($Q201:AD201),1))))</f>
        <v/>
      </c>
      <c r="CX201" s="1" t="str">
        <f aca="false">IF(OR(OR(NOT(AND(ISNUMBER(E201),ISNUMBER(F201))),$J$2=""),15&gt;Reprogramaciones!$K$16),"",IF(ROUND(SUM($Q201:AE201),1)&gt;=99.5,100,MIN(100,ROUND(SUM($Q201:AE201),1))))</f>
        <v/>
      </c>
      <c r="CY201" s="1" t="str">
        <f aca="false">IF(OR(OR(NOT(AND(ISNUMBER(E201),ISNUMBER(F201))),$J$2=""),16&gt;Reprogramaciones!$K$16),"",IF(ROUND(SUM($Q201:AF201),1)&gt;=99.5,100,MIN(100,ROUND(SUM($Q201:AF201),1))))</f>
        <v/>
      </c>
      <c r="CZ201" s="1" t="str">
        <f aca="false">IF(D201&lt;&gt;"",D201,IF(B201&lt;&gt;"","Contractual",CZ200))</f>
        <v>Contractual</v>
      </c>
      <c r="DA201" s="1" t="str">
        <f aca="false">IF(OR(NOT(AND(ISNUMBER(E201),ISNUMBER(F201))),$J$2=""),"",IF(Reprogramaciones!$Q$15&lt;Reprogramaciones!$T$15,0,IF(Reprogramaciones!$S$15&gt;10,MIN(100,SUM($G201:$P201)),MIN(100,SUMPRODUCT((COLUMN($G201:$P201)-COLUMN($G201)+1&lt;Reprogramaciones!$S$15)*$G201:$P201)+N(INDEX($G201:$P201,1,Reprogramaciones!$S$15))*IF(Reprogramaciones!$Q$15&gt;=(Reprogramaciones!$T$15+7*(Reprogramaciones!$S$15-1))+6,1,IF(MAX(0,NETWORKDAYS.INTL(MAX(E201,(Reprogramaciones!$T$15+7*(Reprogramaciones!$S$15-1))),MIN(F201,(Reprogramaciones!$T$15+7*(Reprogramaciones!$S$15-1))+6),11))=0,0,MAX(0,NETWORKDAYS.INTL(MAX(E201,(Reprogramaciones!$T$15+7*(Reprogramaciones!$S$15-1))),MIN(F201,Reprogramaciones!$Q$15),11))/MAX(0,NETWORKDAYS.INTL(MAX(E201,(Reprogramaciones!$T$15+7*(Reprogramaciones!$S$15-1))),MIN(F201,(Reprogramaciones!$T$15+7*(Reprogramaciones!$S$15-1))+6),11))))))))</f>
        <v/>
      </c>
    </row>
    <row r="202" customFormat="false" ht="15" hidden="false" customHeight="false" outlineLevel="0" collapsed="false">
      <c r="A202" s="32"/>
      <c r="B202" s="33"/>
      <c r="C202" s="33"/>
      <c r="D202" s="34"/>
      <c r="E202" s="35"/>
      <c r="F202" s="35"/>
      <c r="G202" s="36" t="str">
        <f aca="false">IF(OR(NOT(AND(ISNUMBER(E202),ISNUMBER(F202))),$J$2=""),"",IF(Reprogramaciones!K$9&lt;E202,0,IF(NETWORKDAYS.INTL(E202,F202,11)=0,IF(Reprogramaciones!K$9&gt;=F202,100,0),ROUND(NETWORKDAYS.INTL(E202,MIN(F202,Reprogramaciones!K$9),11)/NETWORKDAYS.INTL(E202,F202,11)*100,1)))-0)</f>
        <v/>
      </c>
      <c r="H202" s="36" t="str">
        <f aca="false">IF(OR(NOT(AND(ISNUMBER(E202),ISNUMBER(F202))),$J$2=""),"",IF(Reprogramaciones!L$9&lt;E202,0,IF(NETWORKDAYS.INTL(E202,F202,11)=0,IF(Reprogramaciones!L$9&gt;=F202,100,0),ROUND(NETWORKDAYS.INTL(E202,MIN(F202,Reprogramaciones!L$9),11)/NETWORKDAYS.INTL(E202,F202,11)*100,1)))-IF(Reprogramaciones!K$9&lt;E202,0,IF(NETWORKDAYS.INTL(E202,F202,11)=0,IF(Reprogramaciones!K$9&gt;=F202,100,0),ROUND(NETWORKDAYS.INTL(E202,MIN(F202,Reprogramaciones!K$9),11)/NETWORKDAYS.INTL(E202,F202,11)*100,1))))</f>
        <v/>
      </c>
      <c r="I202" s="36" t="str">
        <f aca="false">IF(OR(NOT(AND(ISNUMBER(E202),ISNUMBER(F202))),$J$2=""),"",IF(Reprogramaciones!M$9&lt;E202,0,IF(NETWORKDAYS.INTL(E202,F202,11)=0,IF(Reprogramaciones!M$9&gt;=F202,100,0),ROUND(NETWORKDAYS.INTL(E202,MIN(F202,Reprogramaciones!M$9),11)/NETWORKDAYS.INTL(E202,F202,11)*100,1)))-IF(Reprogramaciones!L$9&lt;E202,0,IF(NETWORKDAYS.INTL(E202,F202,11)=0,IF(Reprogramaciones!L$9&gt;=F202,100,0),ROUND(NETWORKDAYS.INTL(E202,MIN(F202,Reprogramaciones!L$9),11)/NETWORKDAYS.INTL(E202,F202,11)*100,1))))</f>
        <v/>
      </c>
      <c r="J202" s="36" t="str">
        <f aca="false">IF(OR(NOT(AND(ISNUMBER(E202),ISNUMBER(F202))),$J$2=""),"",IF(Reprogramaciones!N$9&lt;E202,0,IF(NETWORKDAYS.INTL(E202,F202,11)=0,IF(Reprogramaciones!N$9&gt;=F202,100,0),ROUND(NETWORKDAYS.INTL(E202,MIN(F202,Reprogramaciones!N$9),11)/NETWORKDAYS.INTL(E202,F202,11)*100,1)))-IF(Reprogramaciones!M$9&lt;E202,0,IF(NETWORKDAYS.INTL(E202,F202,11)=0,IF(Reprogramaciones!M$9&gt;=F202,100,0),ROUND(NETWORKDAYS.INTL(E202,MIN(F202,Reprogramaciones!M$9),11)/NETWORKDAYS.INTL(E202,F202,11)*100,1))))</f>
        <v/>
      </c>
      <c r="K202" s="36" t="str">
        <f aca="false">IF(OR(NOT(AND(ISNUMBER(E202),ISNUMBER(F202))),$J$2=""),"",IF(Reprogramaciones!O$9&lt;E202,0,IF(NETWORKDAYS.INTL(E202,F202,11)=0,IF(Reprogramaciones!O$9&gt;=F202,100,0),ROUND(NETWORKDAYS.INTL(E202,MIN(F202,Reprogramaciones!O$9),11)/NETWORKDAYS.INTL(E202,F202,11)*100,1)))-IF(Reprogramaciones!N$9&lt;E202,0,IF(NETWORKDAYS.INTL(E202,F202,11)=0,IF(Reprogramaciones!N$9&gt;=F202,100,0),ROUND(NETWORKDAYS.INTL(E202,MIN(F202,Reprogramaciones!N$9),11)/NETWORKDAYS.INTL(E202,F202,11)*100,1))))</f>
        <v/>
      </c>
      <c r="L202" s="36" t="str">
        <f aca="false">IF(OR(NOT(AND(ISNUMBER(E202),ISNUMBER(F202))),$J$2=""),"",IF(Reprogramaciones!P$9&lt;E202,0,IF(NETWORKDAYS.INTL(E202,F202,11)=0,IF(Reprogramaciones!P$9&gt;=F202,100,0),ROUND(NETWORKDAYS.INTL(E202,MIN(F202,Reprogramaciones!P$9),11)/NETWORKDAYS.INTL(E202,F202,11)*100,1)))-IF(Reprogramaciones!O$9&lt;E202,0,IF(NETWORKDAYS.INTL(E202,F202,11)=0,IF(Reprogramaciones!O$9&gt;=F202,100,0),ROUND(NETWORKDAYS.INTL(E202,MIN(F202,Reprogramaciones!O$9),11)/NETWORKDAYS.INTL(E202,F202,11)*100,1))))</f>
        <v/>
      </c>
      <c r="M202" s="36" t="str">
        <f aca="false">IF(OR(NOT(AND(ISNUMBER(E202),ISNUMBER(F202))),$J$2=""),"",IF(Reprogramaciones!Q$9&lt;E202,0,IF(NETWORKDAYS.INTL(E202,F202,11)=0,IF(Reprogramaciones!Q$9&gt;=F202,100,0),ROUND(NETWORKDAYS.INTL(E202,MIN(F202,Reprogramaciones!Q$9),11)/NETWORKDAYS.INTL(E202,F202,11)*100,1)))-IF(Reprogramaciones!P$9&lt;E202,0,IF(NETWORKDAYS.INTL(E202,F202,11)=0,IF(Reprogramaciones!P$9&gt;=F202,100,0),ROUND(NETWORKDAYS.INTL(E202,MIN(F202,Reprogramaciones!P$9),11)/NETWORKDAYS.INTL(E202,F202,11)*100,1))))</f>
        <v/>
      </c>
      <c r="N202" s="36" t="str">
        <f aca="false">IF(OR(NOT(AND(ISNUMBER(E202),ISNUMBER(F202))),$J$2=""),"",IF(Reprogramaciones!R$9&lt;E202,0,IF(NETWORKDAYS.INTL(E202,F202,11)=0,IF(Reprogramaciones!R$9&gt;=F202,100,0),ROUND(NETWORKDAYS.INTL(E202,MIN(F202,Reprogramaciones!R$9),11)/NETWORKDAYS.INTL(E202,F202,11)*100,1)))-IF(Reprogramaciones!Q$9&lt;E202,0,IF(NETWORKDAYS.INTL(E202,F202,11)=0,IF(Reprogramaciones!Q$9&gt;=F202,100,0),ROUND(NETWORKDAYS.INTL(E202,MIN(F202,Reprogramaciones!Q$9),11)/NETWORKDAYS.INTL(E202,F202,11)*100,1))))</f>
        <v/>
      </c>
      <c r="O202" s="36" t="str">
        <f aca="false">IF(OR(NOT(AND(ISNUMBER(E202),ISNUMBER(F202))),$J$2=""),"",IF(Reprogramaciones!S$9&lt;E202,0,IF(NETWORKDAYS.INTL(E202,F202,11)=0,IF(Reprogramaciones!S$9&gt;=F202,100,0),ROUND(NETWORKDAYS.INTL(E202,MIN(F202,Reprogramaciones!S$9),11)/NETWORKDAYS.INTL(E202,F202,11)*100,1)))-IF(Reprogramaciones!R$9&lt;E202,0,IF(NETWORKDAYS.INTL(E202,F202,11)=0,IF(Reprogramaciones!R$9&gt;=F202,100,0),ROUND(NETWORKDAYS.INTL(E202,MIN(F202,Reprogramaciones!R$9),11)/NETWORKDAYS.INTL(E202,F202,11)*100,1))))</f>
        <v/>
      </c>
      <c r="P202" s="36" t="str">
        <f aca="false">IF(OR(NOT(AND(ISNUMBER(E202),ISNUMBER(F202))),$J$2=""),"",IF(Reprogramaciones!T$9&lt;E202,0,IF(NETWORKDAYS.INTL(E202,F202,11)=0,IF(Reprogramaciones!T$9&gt;=F202,100,0),ROUND(NETWORKDAYS.INTL(E202,MIN(F202,Reprogramaciones!T$9),11)/NETWORKDAYS.INTL(E202,F202,11)*100,1)))-IF(Reprogramaciones!S$9&lt;E202,0,IF(NETWORKDAYS.INTL(E202,F202,11)=0,IF(Reprogramaciones!S$9&gt;=F202,100,0),ROUND(NETWORKDAYS.INTL(E202,MIN(F202,Reprogramaciones!S$9),11)/NETWORKDAYS.INTL(E202,F202,11)*100,1))))</f>
        <v/>
      </c>
      <c r="Q202" s="37"/>
      <c r="R202" s="37"/>
      <c r="S202" s="37"/>
      <c r="T202" s="37"/>
      <c r="U202" s="37"/>
      <c r="V202" s="37"/>
      <c r="W202" s="37"/>
      <c r="X202" s="37"/>
      <c r="Y202" s="37"/>
      <c r="Z202" s="37"/>
      <c r="AA202" s="37"/>
      <c r="AB202" s="37"/>
      <c r="AC202" s="37"/>
      <c r="AD202" s="37"/>
      <c r="AE202" s="37"/>
      <c r="AF202" s="37"/>
      <c r="AG202" s="38" t="str">
        <f aca="false">IF(AND(ISNUMBER(E202),ISNUMBER(F202)),NETWORKDAYS.INTL(E202,F202,11),"")</f>
        <v/>
      </c>
      <c r="AH202" s="38" t="str">
        <f aca="false">IF(OR(NOT(AND(ISNUMBER(E202),ISNUMBER(F202))),$J$2=""),"",IF(Reprogramaciones!$P$15&lt;Reprogramaciones!$T$15,0,IF(Reprogramaciones!$R$15&gt;10,MIN(100,SUM($G202:$P202)),MIN(100,SUMPRODUCT((COLUMN($G202:$P202)-COLUMN($G202)+1&lt;Reprogramaciones!$R$15)*$G202:$P202)+N(INDEX($G202:$P202,1,Reprogramaciones!$R$15))*IF(Reprogramaciones!$P$15&gt;=(Reprogramaciones!$T$15+7*(Reprogramaciones!$R$15-1))+6,1,IF(MAX(0,NETWORKDAYS.INTL(MAX(E202,(Reprogramaciones!$T$15+7*(Reprogramaciones!$R$15-1))),MIN(F202,(Reprogramaciones!$T$15+7*(Reprogramaciones!$R$15-1))+6),11))=0,0,MAX(0,NETWORKDAYS.INTL(MAX(E202,(Reprogramaciones!$T$15+7*(Reprogramaciones!$R$15-1))),MIN(F202,Reprogramaciones!$P$15),11))/MAX(0,NETWORKDAYS.INTL(MAX(E202,(Reprogramaciones!$T$15+7*(Reprogramaciones!$R$15-1))),MIN(F202,(Reprogramaciones!$T$15+7*(Reprogramaciones!$R$15-1))+6),11))))))))</f>
        <v/>
      </c>
      <c r="AI202" s="38" t="str">
        <f aca="false">IF(COUNT($Q202:$AF202)=0,"",IF(ROUND(SUM($Q202:$AF202),1)&gt;=99.5,100,MIN(100,ROUND(SUM($Q202:$AF202),1))))</f>
        <v/>
      </c>
      <c r="AJ202" s="38" t="str">
        <f aca="false">IF(OR(AH202="",AI202=""),"",AI202-AH202)</f>
        <v/>
      </c>
      <c r="AK202" s="39" t="str">
        <f aca="true">IF(AH202="","",IF(OR(Ficha!$C$10="Suspendida",Ficha!$C$10="Cancelada"),Ficha!$C$10,IF(AND(AI202&lt;&gt;"",N(AI202)&gt;=100),"Completada",IF(AND(E202&gt;TODAY(),N(AI202)=0),"Por iniciar",IF(N(AI202)+0.5&lt;AH202,"Retrasada",IF(N(AI202)+0.5&lt;DA202,IF(Reprogramaciones!$K$15&gt;0,"Al día · Sem "&amp;Reprogramaciones!$K$15&amp;" en curso","Al día · en curso"),"A tiempo"))))))</f>
        <v/>
      </c>
      <c r="AL202" s="39" t="str">
        <f aca="true">IF(AND(A202="",AND(B202="",C202="",E202="",F202="",COUNT(Q202:AF202)=0)),"",IF(AND(B202="",C202="",E202="",F202="",COUNT(Q202:AF202)=0),"Falta la partida o subpartida",IF(AND(A202&lt;&gt;"",COUNTIF($A$6:$A$305,A202)&gt;1),"Ítem repetido",IF(AND(C202="",E202="",F202="",COUNT(Q202:AF202)=0),"Título de partida",IF(OR(E202="",F202=""),"Faltan fechas",IF(OR(ISTEXT(E202),ISTEXT(F202)),"Fecha escrita como texto: usa dd/mm/aaaa",IF(F202&lt;E202,"Fin antes del inicio",IF(IF($J$2="",FALSE(),OR(E202&lt;$J$2,F202&gt;Reprogramaciones!$T$15+69)),"Fuera de las 10 semanas",IF(ABS(SUM(G202:P202)-100)&gt;0.5,"La meta no suma 100%",IF(ROUND(SUM(Q202:AF202),1)&gt;100.5,"El avance pasa de 100%",IF(MIN(Q202:AF202)&lt;0,"Avance negativo",IF(COUNTA(Q202:AF202)&gt;COUNT(Q202:AF202),"Avance escrito como texto",IF(SUMPRODUCT((Q202:AF202&gt;0)*(Q202:AF202&lt;1))&gt;0,"Avance menor a 1: escribe 50, no 50%",IF(SUMPRODUCT(ISNUMBER(Q202:AF202)*(Reprogramaciones!$K$8:$Z$8&gt;TODAY()))&gt;0,"Avance en semana que aún no llega",IF(AND(N(Reprogramaciones!$E$21)&gt;0,F202&gt;Reprogramaciones!$E$21),"Pasa el fin de la obra: registra una reprogramación",IF(AND(N(Reprogramaciones!$E$21)&gt;0,SUMPRODUCT(ISNUMBER(Q202:AF202)*(Reprogramaciones!$K$8:$Z$8&gt;Reprogramaciones!$E$21))&gt;0),"Avance después del fin de la obra: registra una reprogramación por atraso","OK"))))))))))))))))</f>
        <v/>
      </c>
      <c r="AM202" s="40" t="str">
        <f aca="false">IF(OR(OR(NOT(AND(ISNUMBER(E202),ISNUMBER(F202))),$J$2=""),1&gt;MAX(1,Reprogramaciones!$U$15)),"",IF(Reprogramaciones!K$12&gt;=7,"",IF(OR(BT202-N(0)&gt;0.05,N(Q202)&gt;0),ROUNDDOWN(ROUND(BT202,6),0)&amp;"%"&amp;IF(CJ202="",""," / "&amp;CJ202&amp;"%"),IF(AND(N(0)&gt;=99.95,CJ202&lt;&gt;"",N(CJ202)&lt;100),"Pend. "&amp;CJ202&amp;"%",""))))</f>
        <v/>
      </c>
      <c r="AN202" s="40" t="str">
        <f aca="false">IF(OR(OR(NOT(AND(ISNUMBER(E202),ISNUMBER(F202))),$J$2=""),2&gt;MAX(1,Reprogramaciones!$U$15)),"",IF(Reprogramaciones!L$12&gt;=7,"",IF(OR(BU202-N(BT202)&gt;0.05,N(R202)&gt;0),ROUNDDOWN(ROUND(BU202,6),0)&amp;"%"&amp;IF(CK202="",""," / "&amp;CK202&amp;"%"),IF(AND(N(BT202)&gt;=99.95,CK202&lt;&gt;"",N(CK202)&lt;100),"Pend. "&amp;CK202&amp;"%",""))))</f>
        <v/>
      </c>
      <c r="AO202" s="40" t="str">
        <f aca="false">IF(OR(OR(NOT(AND(ISNUMBER(E202),ISNUMBER(F202))),$J$2=""),3&gt;MAX(1,Reprogramaciones!$U$15)),"",IF(Reprogramaciones!M$12&gt;=7,"",IF(OR(BV202-N(BU202)&gt;0.05,N(S202)&gt;0),ROUNDDOWN(ROUND(BV202,6),0)&amp;"%"&amp;IF(CL202="",""," / "&amp;CL202&amp;"%"),IF(AND(N(BU202)&gt;=99.95,CL202&lt;&gt;"",N(CL202)&lt;100),"Pend. "&amp;CL202&amp;"%",""))))</f>
        <v/>
      </c>
      <c r="AP202" s="40" t="str">
        <f aca="false">IF(OR(OR(NOT(AND(ISNUMBER(E202),ISNUMBER(F202))),$J$2=""),4&gt;MAX(1,Reprogramaciones!$U$15)),"",IF(Reprogramaciones!N$12&gt;=7,"",IF(OR(BW202-N(BV202)&gt;0.05,N(T202)&gt;0),ROUNDDOWN(ROUND(BW202,6),0)&amp;"%"&amp;IF(CM202="",""," / "&amp;CM202&amp;"%"),IF(AND(N(BV202)&gt;=99.95,CM202&lt;&gt;"",N(CM202)&lt;100),"Pend. "&amp;CM202&amp;"%",""))))</f>
        <v/>
      </c>
      <c r="AQ202" s="40" t="str">
        <f aca="false">IF(OR(OR(NOT(AND(ISNUMBER(E202),ISNUMBER(F202))),$J$2=""),5&gt;MAX(1,Reprogramaciones!$U$15)),"",IF(Reprogramaciones!O$12&gt;=7,"",IF(OR(BX202-N(BW202)&gt;0.05,N(U202)&gt;0),ROUNDDOWN(ROUND(BX202,6),0)&amp;"%"&amp;IF(CN202="",""," / "&amp;CN202&amp;"%"),IF(AND(N(BW202)&gt;=99.95,CN202&lt;&gt;"",N(CN202)&lt;100),"Pend. "&amp;CN202&amp;"%",""))))</f>
        <v/>
      </c>
      <c r="AR202" s="40" t="str">
        <f aca="false">IF(OR(OR(NOT(AND(ISNUMBER(E202),ISNUMBER(F202))),$J$2=""),6&gt;MAX(1,Reprogramaciones!$U$15)),"",IF(Reprogramaciones!P$12&gt;=7,"",IF(OR(BY202-N(BX202)&gt;0.05,N(V202)&gt;0),ROUNDDOWN(ROUND(BY202,6),0)&amp;"%"&amp;IF(CO202="",""," / "&amp;CO202&amp;"%"),IF(AND(N(BX202)&gt;=99.95,CO202&lt;&gt;"",N(CO202)&lt;100),"Pend. "&amp;CO202&amp;"%",""))))</f>
        <v/>
      </c>
      <c r="AS202" s="40" t="str">
        <f aca="false">IF(OR(OR(NOT(AND(ISNUMBER(E202),ISNUMBER(F202))),$J$2=""),7&gt;MAX(1,Reprogramaciones!$U$15)),"",IF(Reprogramaciones!Q$12&gt;=7,"",IF(OR(BZ202-N(BY202)&gt;0.05,N(W202)&gt;0),ROUNDDOWN(ROUND(BZ202,6),0)&amp;"%"&amp;IF(CP202="",""," / "&amp;CP202&amp;"%"),IF(AND(N(BY202)&gt;=99.95,CP202&lt;&gt;"",N(CP202)&lt;100),"Pend. "&amp;CP202&amp;"%",""))))</f>
        <v/>
      </c>
      <c r="AT202" s="40" t="str">
        <f aca="false">IF(OR(OR(NOT(AND(ISNUMBER(E202),ISNUMBER(F202))),$J$2=""),8&gt;MAX(1,Reprogramaciones!$U$15)),"",IF(Reprogramaciones!R$12&gt;=7,"",IF(OR(CA202-N(BZ202)&gt;0.05,N(X202)&gt;0),ROUNDDOWN(ROUND(CA202,6),0)&amp;"%"&amp;IF(CQ202="",""," / "&amp;CQ202&amp;"%"),IF(AND(N(BZ202)&gt;=99.95,CQ202&lt;&gt;"",N(CQ202)&lt;100),"Pend. "&amp;CQ202&amp;"%",""))))</f>
        <v/>
      </c>
      <c r="AU202" s="40" t="str">
        <f aca="false">IF(OR(OR(NOT(AND(ISNUMBER(E202),ISNUMBER(F202))),$J$2=""),9&gt;MAX(1,Reprogramaciones!$U$15)),"",IF(Reprogramaciones!S$12&gt;=7,"",IF(OR(CB202-N(CA202)&gt;0.05,N(Y202)&gt;0),ROUNDDOWN(ROUND(CB202,6),0)&amp;"%"&amp;IF(CR202="",""," / "&amp;CR202&amp;"%"),IF(AND(N(CA202)&gt;=99.95,CR202&lt;&gt;"",N(CR202)&lt;100),"Pend. "&amp;CR202&amp;"%",""))))</f>
        <v/>
      </c>
      <c r="AV202" s="40" t="str">
        <f aca="false">IF(OR(OR(NOT(AND(ISNUMBER(E202),ISNUMBER(F202))),$J$2=""),10&gt;MAX(1,Reprogramaciones!$U$15)),"",IF(Reprogramaciones!T$12&gt;=7,"",IF(OR(CC202-N(CB202)&gt;0.05,N(Z202)&gt;0),ROUNDDOWN(ROUND(CC202,6),0)&amp;"%"&amp;IF(CS202="",""," / "&amp;CS202&amp;"%"),IF(AND(N(CB202)&gt;=99.95,CS202&lt;&gt;"",N(CS202)&lt;100),"Pend. "&amp;CS202&amp;"%",""))))</f>
        <v/>
      </c>
      <c r="AW202" s="40" t="str">
        <f aca="false">IF(OR(OR(NOT(AND(ISNUMBER(E202),ISNUMBER(F202))),$J$2=""),11&gt;MAX(1,Reprogramaciones!$U$15)),"",IF(Reprogramaciones!U$12&gt;=7,"",IF(OR(CD202-N(CC202)&gt;0.05,N(AA202)&gt;0),ROUNDDOWN(ROUND(CD202,6),0)&amp;"%"&amp;IF(CT202="",""," / "&amp;CT202&amp;"%"),IF(AND(N(CC202)&gt;=99.95,CT202&lt;&gt;"",N(CT202)&lt;100),"Pend. "&amp;CT202&amp;"%",""))))</f>
        <v/>
      </c>
      <c r="AX202" s="40" t="str">
        <f aca="false">IF(OR(OR(NOT(AND(ISNUMBER(E202),ISNUMBER(F202))),$J$2=""),12&gt;MAX(1,Reprogramaciones!$U$15)),"",IF(Reprogramaciones!V$12&gt;=7,"",IF(OR(CE202-N(CD202)&gt;0.05,N(AB202)&gt;0),ROUNDDOWN(ROUND(CE202,6),0)&amp;"%"&amp;IF(CU202="",""," / "&amp;CU202&amp;"%"),IF(AND(N(CD202)&gt;=99.95,CU202&lt;&gt;"",N(CU202)&lt;100),"Pend. "&amp;CU202&amp;"%",""))))</f>
        <v/>
      </c>
      <c r="AY202" s="40" t="str">
        <f aca="false">IF(OR(OR(NOT(AND(ISNUMBER(E202),ISNUMBER(F202))),$J$2=""),13&gt;MAX(1,Reprogramaciones!$U$15)),"",IF(Reprogramaciones!W$12&gt;=7,"",IF(OR(CF202-N(CE202)&gt;0.05,N(AC202)&gt;0),ROUNDDOWN(ROUND(CF202,6),0)&amp;"%"&amp;IF(CV202="",""," / "&amp;CV202&amp;"%"),IF(AND(N(CE202)&gt;=99.95,CV202&lt;&gt;"",N(CV202)&lt;100),"Pend. "&amp;CV202&amp;"%",""))))</f>
        <v/>
      </c>
      <c r="AZ202" s="40" t="str">
        <f aca="false">IF(OR(OR(NOT(AND(ISNUMBER(E202),ISNUMBER(F202))),$J$2=""),14&gt;MAX(1,Reprogramaciones!$U$15)),"",IF(Reprogramaciones!X$12&gt;=7,"",IF(OR(CG202-N(CF202)&gt;0.05,N(AD202)&gt;0),ROUNDDOWN(ROUND(CG202,6),0)&amp;"%"&amp;IF(CW202="",""," / "&amp;CW202&amp;"%"),IF(AND(N(CF202)&gt;=99.95,CW202&lt;&gt;"",N(CW202)&lt;100),"Pend. "&amp;CW202&amp;"%",""))))</f>
        <v/>
      </c>
      <c r="BA202" s="40" t="str">
        <f aca="false">IF(OR(OR(NOT(AND(ISNUMBER(E202),ISNUMBER(F202))),$J$2=""),15&gt;MAX(1,Reprogramaciones!$U$15)),"",IF(Reprogramaciones!Y$12&gt;=7,"",IF(OR(CH202-N(CG202)&gt;0.05,N(AE202)&gt;0),ROUNDDOWN(ROUND(CH202,6),0)&amp;"%"&amp;IF(CX202="",""," / "&amp;CX202&amp;"%"),IF(AND(N(CG202)&gt;=99.95,CX202&lt;&gt;"",N(CX202)&lt;100),"Pend. "&amp;CX202&amp;"%",""))))</f>
        <v/>
      </c>
      <c r="BB202" s="40" t="str">
        <f aca="false">IF(OR(OR(NOT(AND(ISNUMBER(E202),ISNUMBER(F202))),$J$2=""),16&gt;MAX(1,Reprogramaciones!$U$15)),"",IF(Reprogramaciones!Z$12&gt;=7,"",IF(OR(CI202-N(CH202)&gt;0.05,N(AF202)&gt;0),ROUNDDOWN(ROUND(CI202,6),0)&amp;"%"&amp;IF(CY202="",""," / "&amp;CY202&amp;"%"),IF(AND(N(CH202)&gt;=99.95,CY202&lt;&gt;"",N(CY202)&lt;100),"Pend. "&amp;CY202&amp;"%",""))))</f>
        <v/>
      </c>
      <c r="BC202" s="31" t="n">
        <f aca="false">IF(AND(ISNUMBER(E202),ISNUMBER(F202)),MAX(1,NETWORKDAYS.INTL(E202,F202,11)),0)</f>
        <v>0</v>
      </c>
      <c r="BD202" s="1" t="str">
        <f aca="false">IF(OR(NOT(AND(ISNUMBER(E202),ISNUMBER(F202))),$J$2=""),"",MIN(100,ROUND(SUM($G202:G202),1)))</f>
        <v/>
      </c>
      <c r="BE202" s="1" t="str">
        <f aca="false">IF(OR(NOT(AND(ISNUMBER(E202),ISNUMBER(F202))),$J$2=""),"",MIN(100,ROUND(SUM($G202:H202),1)))</f>
        <v/>
      </c>
      <c r="BF202" s="1" t="str">
        <f aca="false">IF(OR(NOT(AND(ISNUMBER(E202),ISNUMBER(F202))),$J$2=""),"",MIN(100,ROUND(SUM($G202:I202),1)))</f>
        <v/>
      </c>
      <c r="BG202" s="1" t="str">
        <f aca="false">IF(OR(NOT(AND(ISNUMBER(E202),ISNUMBER(F202))),$J$2=""),"",MIN(100,ROUND(SUM($G202:J202),1)))</f>
        <v/>
      </c>
      <c r="BH202" s="1" t="str">
        <f aca="false">IF(OR(NOT(AND(ISNUMBER(E202),ISNUMBER(F202))),$J$2=""),"",MIN(100,ROUND(SUM($G202:K202),1)))</f>
        <v/>
      </c>
      <c r="BI202" s="1" t="str">
        <f aca="false">IF(OR(NOT(AND(ISNUMBER(E202),ISNUMBER(F202))),$J$2=""),"",MIN(100,ROUND(SUM($G202:L202),1)))</f>
        <v/>
      </c>
      <c r="BJ202" s="1" t="str">
        <f aca="false">IF(OR(NOT(AND(ISNUMBER(E202),ISNUMBER(F202))),$J$2=""),"",MIN(100,ROUND(SUM($G202:M202),1)))</f>
        <v/>
      </c>
      <c r="BK202" s="1" t="str">
        <f aca="false">IF(OR(NOT(AND(ISNUMBER(E202),ISNUMBER(F202))),$J$2=""),"",MIN(100,ROUND(SUM($G202:N202),1)))</f>
        <v/>
      </c>
      <c r="BL202" s="1" t="str">
        <f aca="false">IF(OR(NOT(AND(ISNUMBER(E202),ISNUMBER(F202))),$J$2=""),"",MIN(100,ROUND(SUM($G202:O202),1)))</f>
        <v/>
      </c>
      <c r="BM202" s="1" t="str">
        <f aca="false">IF(OR(NOT(AND(ISNUMBER(E202),ISNUMBER(F202))),$J$2=""),"",MIN(100,ROUND(SUM($G202:P202),1)))</f>
        <v/>
      </c>
      <c r="BN202" s="1" t="str">
        <f aca="false">IF(OR(NOT(AND(ISNUMBER(E202),ISNUMBER(F202))),$J$2=""),"",MIN(100,ROUND(SUM($G202:P202),1)))</f>
        <v/>
      </c>
      <c r="BO202" s="1" t="str">
        <f aca="false">IF(OR(NOT(AND(ISNUMBER(E202),ISNUMBER(F202))),$J$2=""),"",MIN(100,ROUND(SUM($G202:P202),1)))</f>
        <v/>
      </c>
      <c r="BP202" s="1" t="str">
        <f aca="false">IF(OR(NOT(AND(ISNUMBER(E202),ISNUMBER(F202))),$J$2=""),"",MIN(100,ROUND(SUM($G202:P202),1)))</f>
        <v/>
      </c>
      <c r="BQ202" s="1" t="str">
        <f aca="false">IF(OR(NOT(AND(ISNUMBER(E202),ISNUMBER(F202))),$J$2=""),"",MIN(100,ROUND(SUM($G202:P202),1)))</f>
        <v/>
      </c>
      <c r="BR202" s="1" t="str">
        <f aca="false">IF(OR(NOT(AND(ISNUMBER(E202),ISNUMBER(F202))),$J$2=""),"",MIN(100,ROUND(SUM($G202:P202),1)))</f>
        <v/>
      </c>
      <c r="BS202" s="1" t="str">
        <f aca="false">IF(OR(NOT(AND(ISNUMBER(E202),ISNUMBER(F202))),$J$2=""),"",MIN(100,ROUND(SUM($G202:P202),1)))</f>
        <v/>
      </c>
      <c r="BT202" s="1" t="str">
        <f aca="false">IF(OR(NOT(AND(ISNUMBER(E202),ISNUMBER(F202))),$J$2=""),"",IF(Reprogramaciones!K$13&lt;Reprogramaciones!$T$15,0,IF(Reprogramaciones!K$14&gt;10,MIN(100,SUM($G202:$P202)),MIN(100,SUMPRODUCT((COLUMN($G202:$P202)-COLUMN($G202)+1&lt;Reprogramaciones!K$14)*$G202:$P202)+N(INDEX($G202:$P202,1,Reprogramaciones!K$14))*IF(Reprogramaciones!K$13&gt;=(Reprogramaciones!$T$15+7*(Reprogramaciones!K$14-1))+6,1,IF(MAX(0,NETWORKDAYS.INTL(MAX(E202,(Reprogramaciones!$T$15+7*(Reprogramaciones!K$14-1))),MIN(F202,(Reprogramaciones!$T$15+7*(Reprogramaciones!K$14-1))+6),11))=0,0,MAX(0,NETWORKDAYS.INTL(MAX(E202,(Reprogramaciones!$T$15+7*(Reprogramaciones!K$14-1))),MIN(F202,Reprogramaciones!K$13),11))/MAX(0,NETWORKDAYS.INTL(MAX(E202,(Reprogramaciones!$T$15+7*(Reprogramaciones!K$14-1))),MIN(F202,(Reprogramaciones!$T$15+7*(Reprogramaciones!K$14-1))+6),11))))))))</f>
        <v/>
      </c>
      <c r="BU202" s="1" t="str">
        <f aca="false">IF(OR(NOT(AND(ISNUMBER(E202),ISNUMBER(F202))),$J$2=""),"",IF(Reprogramaciones!L$13&lt;Reprogramaciones!$T$15,0,IF(Reprogramaciones!L$14&gt;10,MIN(100,SUM($G202:$P202)),MIN(100,SUMPRODUCT((COLUMN($G202:$P202)-COLUMN($G202)+1&lt;Reprogramaciones!L$14)*$G202:$P202)+N(INDEX($G202:$P202,1,Reprogramaciones!L$14))*IF(Reprogramaciones!L$13&gt;=(Reprogramaciones!$T$15+7*(Reprogramaciones!L$14-1))+6,1,IF(MAX(0,NETWORKDAYS.INTL(MAX(E202,(Reprogramaciones!$T$15+7*(Reprogramaciones!L$14-1))),MIN(F202,(Reprogramaciones!$T$15+7*(Reprogramaciones!L$14-1))+6),11))=0,0,MAX(0,NETWORKDAYS.INTL(MAX(E202,(Reprogramaciones!$T$15+7*(Reprogramaciones!L$14-1))),MIN(F202,Reprogramaciones!L$13),11))/MAX(0,NETWORKDAYS.INTL(MAX(E202,(Reprogramaciones!$T$15+7*(Reprogramaciones!L$14-1))),MIN(F202,(Reprogramaciones!$T$15+7*(Reprogramaciones!L$14-1))+6),11))))))))</f>
        <v/>
      </c>
      <c r="BV202" s="1" t="str">
        <f aca="false">IF(OR(NOT(AND(ISNUMBER(E202),ISNUMBER(F202))),$J$2=""),"",IF(Reprogramaciones!M$13&lt;Reprogramaciones!$T$15,0,IF(Reprogramaciones!M$14&gt;10,MIN(100,SUM($G202:$P202)),MIN(100,SUMPRODUCT((COLUMN($G202:$P202)-COLUMN($G202)+1&lt;Reprogramaciones!M$14)*$G202:$P202)+N(INDEX($G202:$P202,1,Reprogramaciones!M$14))*IF(Reprogramaciones!M$13&gt;=(Reprogramaciones!$T$15+7*(Reprogramaciones!M$14-1))+6,1,IF(MAX(0,NETWORKDAYS.INTL(MAX(E202,(Reprogramaciones!$T$15+7*(Reprogramaciones!M$14-1))),MIN(F202,(Reprogramaciones!$T$15+7*(Reprogramaciones!M$14-1))+6),11))=0,0,MAX(0,NETWORKDAYS.INTL(MAX(E202,(Reprogramaciones!$T$15+7*(Reprogramaciones!M$14-1))),MIN(F202,Reprogramaciones!M$13),11))/MAX(0,NETWORKDAYS.INTL(MAX(E202,(Reprogramaciones!$T$15+7*(Reprogramaciones!M$14-1))),MIN(F202,(Reprogramaciones!$T$15+7*(Reprogramaciones!M$14-1))+6),11))))))))</f>
        <v/>
      </c>
      <c r="BW202" s="1" t="str">
        <f aca="false">IF(OR(NOT(AND(ISNUMBER(E202),ISNUMBER(F202))),$J$2=""),"",IF(Reprogramaciones!N$13&lt;Reprogramaciones!$T$15,0,IF(Reprogramaciones!N$14&gt;10,MIN(100,SUM($G202:$P202)),MIN(100,SUMPRODUCT((COLUMN($G202:$P202)-COLUMN($G202)+1&lt;Reprogramaciones!N$14)*$G202:$P202)+N(INDEX($G202:$P202,1,Reprogramaciones!N$14))*IF(Reprogramaciones!N$13&gt;=(Reprogramaciones!$T$15+7*(Reprogramaciones!N$14-1))+6,1,IF(MAX(0,NETWORKDAYS.INTL(MAX(E202,(Reprogramaciones!$T$15+7*(Reprogramaciones!N$14-1))),MIN(F202,(Reprogramaciones!$T$15+7*(Reprogramaciones!N$14-1))+6),11))=0,0,MAX(0,NETWORKDAYS.INTL(MAX(E202,(Reprogramaciones!$T$15+7*(Reprogramaciones!N$14-1))),MIN(F202,Reprogramaciones!N$13),11))/MAX(0,NETWORKDAYS.INTL(MAX(E202,(Reprogramaciones!$T$15+7*(Reprogramaciones!N$14-1))),MIN(F202,(Reprogramaciones!$T$15+7*(Reprogramaciones!N$14-1))+6),11))))))))</f>
        <v/>
      </c>
      <c r="BX202" s="1" t="str">
        <f aca="false">IF(OR(NOT(AND(ISNUMBER(E202),ISNUMBER(F202))),$J$2=""),"",IF(Reprogramaciones!O$13&lt;Reprogramaciones!$T$15,0,IF(Reprogramaciones!O$14&gt;10,MIN(100,SUM($G202:$P202)),MIN(100,SUMPRODUCT((COLUMN($G202:$P202)-COLUMN($G202)+1&lt;Reprogramaciones!O$14)*$G202:$P202)+N(INDEX($G202:$P202,1,Reprogramaciones!O$14))*IF(Reprogramaciones!O$13&gt;=(Reprogramaciones!$T$15+7*(Reprogramaciones!O$14-1))+6,1,IF(MAX(0,NETWORKDAYS.INTL(MAX(E202,(Reprogramaciones!$T$15+7*(Reprogramaciones!O$14-1))),MIN(F202,(Reprogramaciones!$T$15+7*(Reprogramaciones!O$14-1))+6),11))=0,0,MAX(0,NETWORKDAYS.INTL(MAX(E202,(Reprogramaciones!$T$15+7*(Reprogramaciones!O$14-1))),MIN(F202,Reprogramaciones!O$13),11))/MAX(0,NETWORKDAYS.INTL(MAX(E202,(Reprogramaciones!$T$15+7*(Reprogramaciones!O$14-1))),MIN(F202,(Reprogramaciones!$T$15+7*(Reprogramaciones!O$14-1))+6),11))))))))</f>
        <v/>
      </c>
      <c r="BY202" s="1" t="str">
        <f aca="false">IF(OR(NOT(AND(ISNUMBER(E202),ISNUMBER(F202))),$J$2=""),"",IF(Reprogramaciones!P$13&lt;Reprogramaciones!$T$15,0,IF(Reprogramaciones!P$14&gt;10,MIN(100,SUM($G202:$P202)),MIN(100,SUMPRODUCT((COLUMN($G202:$P202)-COLUMN($G202)+1&lt;Reprogramaciones!P$14)*$G202:$P202)+N(INDEX($G202:$P202,1,Reprogramaciones!P$14))*IF(Reprogramaciones!P$13&gt;=(Reprogramaciones!$T$15+7*(Reprogramaciones!P$14-1))+6,1,IF(MAX(0,NETWORKDAYS.INTL(MAX(E202,(Reprogramaciones!$T$15+7*(Reprogramaciones!P$14-1))),MIN(F202,(Reprogramaciones!$T$15+7*(Reprogramaciones!P$14-1))+6),11))=0,0,MAX(0,NETWORKDAYS.INTL(MAX(E202,(Reprogramaciones!$T$15+7*(Reprogramaciones!P$14-1))),MIN(F202,Reprogramaciones!P$13),11))/MAX(0,NETWORKDAYS.INTL(MAX(E202,(Reprogramaciones!$T$15+7*(Reprogramaciones!P$14-1))),MIN(F202,(Reprogramaciones!$T$15+7*(Reprogramaciones!P$14-1))+6),11))))))))</f>
        <v/>
      </c>
      <c r="BZ202" s="1" t="str">
        <f aca="false">IF(OR(NOT(AND(ISNUMBER(E202),ISNUMBER(F202))),$J$2=""),"",IF(Reprogramaciones!Q$13&lt;Reprogramaciones!$T$15,0,IF(Reprogramaciones!Q$14&gt;10,MIN(100,SUM($G202:$P202)),MIN(100,SUMPRODUCT((COLUMN($G202:$P202)-COLUMN($G202)+1&lt;Reprogramaciones!Q$14)*$G202:$P202)+N(INDEX($G202:$P202,1,Reprogramaciones!Q$14))*IF(Reprogramaciones!Q$13&gt;=(Reprogramaciones!$T$15+7*(Reprogramaciones!Q$14-1))+6,1,IF(MAX(0,NETWORKDAYS.INTL(MAX(E202,(Reprogramaciones!$T$15+7*(Reprogramaciones!Q$14-1))),MIN(F202,(Reprogramaciones!$T$15+7*(Reprogramaciones!Q$14-1))+6),11))=0,0,MAX(0,NETWORKDAYS.INTL(MAX(E202,(Reprogramaciones!$T$15+7*(Reprogramaciones!Q$14-1))),MIN(F202,Reprogramaciones!Q$13),11))/MAX(0,NETWORKDAYS.INTL(MAX(E202,(Reprogramaciones!$T$15+7*(Reprogramaciones!Q$14-1))),MIN(F202,(Reprogramaciones!$T$15+7*(Reprogramaciones!Q$14-1))+6),11))))))))</f>
        <v/>
      </c>
      <c r="CA202" s="1" t="str">
        <f aca="false">IF(OR(NOT(AND(ISNUMBER(E202),ISNUMBER(F202))),$J$2=""),"",IF(Reprogramaciones!R$13&lt;Reprogramaciones!$T$15,0,IF(Reprogramaciones!R$14&gt;10,MIN(100,SUM($G202:$P202)),MIN(100,SUMPRODUCT((COLUMN($G202:$P202)-COLUMN($G202)+1&lt;Reprogramaciones!R$14)*$G202:$P202)+N(INDEX($G202:$P202,1,Reprogramaciones!R$14))*IF(Reprogramaciones!R$13&gt;=(Reprogramaciones!$T$15+7*(Reprogramaciones!R$14-1))+6,1,IF(MAX(0,NETWORKDAYS.INTL(MAX(E202,(Reprogramaciones!$T$15+7*(Reprogramaciones!R$14-1))),MIN(F202,(Reprogramaciones!$T$15+7*(Reprogramaciones!R$14-1))+6),11))=0,0,MAX(0,NETWORKDAYS.INTL(MAX(E202,(Reprogramaciones!$T$15+7*(Reprogramaciones!R$14-1))),MIN(F202,Reprogramaciones!R$13),11))/MAX(0,NETWORKDAYS.INTL(MAX(E202,(Reprogramaciones!$T$15+7*(Reprogramaciones!R$14-1))),MIN(F202,(Reprogramaciones!$T$15+7*(Reprogramaciones!R$14-1))+6),11))))))))</f>
        <v/>
      </c>
      <c r="CB202" s="1" t="str">
        <f aca="false">IF(OR(NOT(AND(ISNUMBER(E202),ISNUMBER(F202))),$J$2=""),"",IF(Reprogramaciones!S$13&lt;Reprogramaciones!$T$15,0,IF(Reprogramaciones!S$14&gt;10,MIN(100,SUM($G202:$P202)),MIN(100,SUMPRODUCT((COLUMN($G202:$P202)-COLUMN($G202)+1&lt;Reprogramaciones!S$14)*$G202:$P202)+N(INDEX($G202:$P202,1,Reprogramaciones!S$14))*IF(Reprogramaciones!S$13&gt;=(Reprogramaciones!$T$15+7*(Reprogramaciones!S$14-1))+6,1,IF(MAX(0,NETWORKDAYS.INTL(MAX(E202,(Reprogramaciones!$T$15+7*(Reprogramaciones!S$14-1))),MIN(F202,(Reprogramaciones!$T$15+7*(Reprogramaciones!S$14-1))+6),11))=0,0,MAX(0,NETWORKDAYS.INTL(MAX(E202,(Reprogramaciones!$T$15+7*(Reprogramaciones!S$14-1))),MIN(F202,Reprogramaciones!S$13),11))/MAX(0,NETWORKDAYS.INTL(MAX(E202,(Reprogramaciones!$T$15+7*(Reprogramaciones!S$14-1))),MIN(F202,(Reprogramaciones!$T$15+7*(Reprogramaciones!S$14-1))+6),11))))))))</f>
        <v/>
      </c>
      <c r="CC202" s="1" t="str">
        <f aca="false">IF(OR(NOT(AND(ISNUMBER(E202),ISNUMBER(F202))),$J$2=""),"",IF(Reprogramaciones!T$13&lt;Reprogramaciones!$T$15,0,IF(Reprogramaciones!T$14&gt;10,MIN(100,SUM($G202:$P202)),MIN(100,SUMPRODUCT((COLUMN($G202:$P202)-COLUMN($G202)+1&lt;Reprogramaciones!T$14)*$G202:$P202)+N(INDEX($G202:$P202,1,Reprogramaciones!T$14))*IF(Reprogramaciones!T$13&gt;=(Reprogramaciones!$T$15+7*(Reprogramaciones!T$14-1))+6,1,IF(MAX(0,NETWORKDAYS.INTL(MAX(E202,(Reprogramaciones!$T$15+7*(Reprogramaciones!T$14-1))),MIN(F202,(Reprogramaciones!$T$15+7*(Reprogramaciones!T$14-1))+6),11))=0,0,MAX(0,NETWORKDAYS.INTL(MAX(E202,(Reprogramaciones!$T$15+7*(Reprogramaciones!T$14-1))),MIN(F202,Reprogramaciones!T$13),11))/MAX(0,NETWORKDAYS.INTL(MAX(E202,(Reprogramaciones!$T$15+7*(Reprogramaciones!T$14-1))),MIN(F202,(Reprogramaciones!$T$15+7*(Reprogramaciones!T$14-1))+6),11))))))))</f>
        <v/>
      </c>
      <c r="CD202" s="1" t="str">
        <f aca="false">IF(OR(NOT(AND(ISNUMBER(E202),ISNUMBER(F202))),$J$2=""),"",IF(Reprogramaciones!U$13&lt;Reprogramaciones!$T$15,0,IF(Reprogramaciones!U$14&gt;10,MIN(100,SUM($G202:$P202)),MIN(100,SUMPRODUCT((COLUMN($G202:$P202)-COLUMN($G202)+1&lt;Reprogramaciones!U$14)*$G202:$P202)+N(INDEX($G202:$P202,1,Reprogramaciones!U$14))*IF(Reprogramaciones!U$13&gt;=(Reprogramaciones!$T$15+7*(Reprogramaciones!U$14-1))+6,1,IF(MAX(0,NETWORKDAYS.INTL(MAX(E202,(Reprogramaciones!$T$15+7*(Reprogramaciones!U$14-1))),MIN(F202,(Reprogramaciones!$T$15+7*(Reprogramaciones!U$14-1))+6),11))=0,0,MAX(0,NETWORKDAYS.INTL(MAX(E202,(Reprogramaciones!$T$15+7*(Reprogramaciones!U$14-1))),MIN(F202,Reprogramaciones!U$13),11))/MAX(0,NETWORKDAYS.INTL(MAX(E202,(Reprogramaciones!$T$15+7*(Reprogramaciones!U$14-1))),MIN(F202,(Reprogramaciones!$T$15+7*(Reprogramaciones!U$14-1))+6),11))))))))</f>
        <v/>
      </c>
      <c r="CE202" s="1" t="str">
        <f aca="false">IF(OR(NOT(AND(ISNUMBER(E202),ISNUMBER(F202))),$J$2=""),"",IF(Reprogramaciones!V$13&lt;Reprogramaciones!$T$15,0,IF(Reprogramaciones!V$14&gt;10,MIN(100,SUM($G202:$P202)),MIN(100,SUMPRODUCT((COLUMN($G202:$P202)-COLUMN($G202)+1&lt;Reprogramaciones!V$14)*$G202:$P202)+N(INDEX($G202:$P202,1,Reprogramaciones!V$14))*IF(Reprogramaciones!V$13&gt;=(Reprogramaciones!$T$15+7*(Reprogramaciones!V$14-1))+6,1,IF(MAX(0,NETWORKDAYS.INTL(MAX(E202,(Reprogramaciones!$T$15+7*(Reprogramaciones!V$14-1))),MIN(F202,(Reprogramaciones!$T$15+7*(Reprogramaciones!V$14-1))+6),11))=0,0,MAX(0,NETWORKDAYS.INTL(MAX(E202,(Reprogramaciones!$T$15+7*(Reprogramaciones!V$14-1))),MIN(F202,Reprogramaciones!V$13),11))/MAX(0,NETWORKDAYS.INTL(MAX(E202,(Reprogramaciones!$T$15+7*(Reprogramaciones!V$14-1))),MIN(F202,(Reprogramaciones!$T$15+7*(Reprogramaciones!V$14-1))+6),11))))))))</f>
        <v/>
      </c>
      <c r="CF202" s="1" t="str">
        <f aca="false">IF(OR(NOT(AND(ISNUMBER(E202),ISNUMBER(F202))),$J$2=""),"",IF(Reprogramaciones!W$13&lt;Reprogramaciones!$T$15,0,IF(Reprogramaciones!W$14&gt;10,MIN(100,SUM($G202:$P202)),MIN(100,SUMPRODUCT((COLUMN($G202:$P202)-COLUMN($G202)+1&lt;Reprogramaciones!W$14)*$G202:$P202)+N(INDEX($G202:$P202,1,Reprogramaciones!W$14))*IF(Reprogramaciones!W$13&gt;=(Reprogramaciones!$T$15+7*(Reprogramaciones!W$14-1))+6,1,IF(MAX(0,NETWORKDAYS.INTL(MAX(E202,(Reprogramaciones!$T$15+7*(Reprogramaciones!W$14-1))),MIN(F202,(Reprogramaciones!$T$15+7*(Reprogramaciones!W$14-1))+6),11))=0,0,MAX(0,NETWORKDAYS.INTL(MAX(E202,(Reprogramaciones!$T$15+7*(Reprogramaciones!W$14-1))),MIN(F202,Reprogramaciones!W$13),11))/MAX(0,NETWORKDAYS.INTL(MAX(E202,(Reprogramaciones!$T$15+7*(Reprogramaciones!W$14-1))),MIN(F202,(Reprogramaciones!$T$15+7*(Reprogramaciones!W$14-1))+6),11))))))))</f>
        <v/>
      </c>
      <c r="CG202" s="1" t="str">
        <f aca="false">IF(OR(NOT(AND(ISNUMBER(E202),ISNUMBER(F202))),$J$2=""),"",IF(Reprogramaciones!X$13&lt;Reprogramaciones!$T$15,0,IF(Reprogramaciones!X$14&gt;10,MIN(100,SUM($G202:$P202)),MIN(100,SUMPRODUCT((COLUMN($G202:$P202)-COLUMN($G202)+1&lt;Reprogramaciones!X$14)*$G202:$P202)+N(INDEX($G202:$P202,1,Reprogramaciones!X$14))*IF(Reprogramaciones!X$13&gt;=(Reprogramaciones!$T$15+7*(Reprogramaciones!X$14-1))+6,1,IF(MAX(0,NETWORKDAYS.INTL(MAX(E202,(Reprogramaciones!$T$15+7*(Reprogramaciones!X$14-1))),MIN(F202,(Reprogramaciones!$T$15+7*(Reprogramaciones!X$14-1))+6),11))=0,0,MAX(0,NETWORKDAYS.INTL(MAX(E202,(Reprogramaciones!$T$15+7*(Reprogramaciones!X$14-1))),MIN(F202,Reprogramaciones!X$13),11))/MAX(0,NETWORKDAYS.INTL(MAX(E202,(Reprogramaciones!$T$15+7*(Reprogramaciones!X$14-1))),MIN(F202,(Reprogramaciones!$T$15+7*(Reprogramaciones!X$14-1))+6),11))))))))</f>
        <v/>
      </c>
      <c r="CH202" s="1" t="str">
        <f aca="false">IF(OR(NOT(AND(ISNUMBER(E202),ISNUMBER(F202))),$J$2=""),"",IF(Reprogramaciones!Y$13&lt;Reprogramaciones!$T$15,0,IF(Reprogramaciones!Y$14&gt;10,MIN(100,SUM($G202:$P202)),MIN(100,SUMPRODUCT((COLUMN($G202:$P202)-COLUMN($G202)+1&lt;Reprogramaciones!Y$14)*$G202:$P202)+N(INDEX($G202:$P202,1,Reprogramaciones!Y$14))*IF(Reprogramaciones!Y$13&gt;=(Reprogramaciones!$T$15+7*(Reprogramaciones!Y$14-1))+6,1,IF(MAX(0,NETWORKDAYS.INTL(MAX(E202,(Reprogramaciones!$T$15+7*(Reprogramaciones!Y$14-1))),MIN(F202,(Reprogramaciones!$T$15+7*(Reprogramaciones!Y$14-1))+6),11))=0,0,MAX(0,NETWORKDAYS.INTL(MAX(E202,(Reprogramaciones!$T$15+7*(Reprogramaciones!Y$14-1))),MIN(F202,Reprogramaciones!Y$13),11))/MAX(0,NETWORKDAYS.INTL(MAX(E202,(Reprogramaciones!$T$15+7*(Reprogramaciones!Y$14-1))),MIN(F202,(Reprogramaciones!$T$15+7*(Reprogramaciones!Y$14-1))+6),11))))))))</f>
        <v/>
      </c>
      <c r="CI202" s="1" t="str">
        <f aca="false">IF(OR(NOT(AND(ISNUMBER(E202),ISNUMBER(F202))),$J$2=""),"",IF(Reprogramaciones!Z$13&lt;Reprogramaciones!$T$15,0,IF(Reprogramaciones!Z$14&gt;10,MIN(100,SUM($G202:$P202)),MIN(100,SUMPRODUCT((COLUMN($G202:$P202)-COLUMN($G202)+1&lt;Reprogramaciones!Z$14)*$G202:$P202)+N(INDEX($G202:$P202,1,Reprogramaciones!Z$14))*IF(Reprogramaciones!Z$13&gt;=(Reprogramaciones!$T$15+7*(Reprogramaciones!Z$14-1))+6,1,IF(MAX(0,NETWORKDAYS.INTL(MAX(E202,(Reprogramaciones!$T$15+7*(Reprogramaciones!Z$14-1))),MIN(F202,(Reprogramaciones!$T$15+7*(Reprogramaciones!Z$14-1))+6),11))=0,0,MAX(0,NETWORKDAYS.INTL(MAX(E202,(Reprogramaciones!$T$15+7*(Reprogramaciones!Z$14-1))),MIN(F202,Reprogramaciones!Z$13),11))/MAX(0,NETWORKDAYS.INTL(MAX(E202,(Reprogramaciones!$T$15+7*(Reprogramaciones!Z$14-1))),MIN(F202,(Reprogramaciones!$T$15+7*(Reprogramaciones!Z$14-1))+6),11))))))))</f>
        <v/>
      </c>
      <c r="CJ202" s="1" t="str">
        <f aca="false">IF(OR(OR(NOT(AND(ISNUMBER(E202),ISNUMBER(F202))),$J$2=""),1&gt;Reprogramaciones!$K$16),"",IF(ROUND(SUM($Q202:Q202),1)&gt;=99.5,100,MIN(100,ROUND(SUM($Q202:Q202),1))))</f>
        <v/>
      </c>
      <c r="CK202" s="1" t="str">
        <f aca="false">IF(OR(OR(NOT(AND(ISNUMBER(E202),ISNUMBER(F202))),$J$2=""),2&gt;Reprogramaciones!$K$16),"",IF(ROUND(SUM($Q202:R202),1)&gt;=99.5,100,MIN(100,ROUND(SUM($Q202:R202),1))))</f>
        <v/>
      </c>
      <c r="CL202" s="1" t="str">
        <f aca="false">IF(OR(OR(NOT(AND(ISNUMBER(E202),ISNUMBER(F202))),$J$2=""),3&gt;Reprogramaciones!$K$16),"",IF(ROUND(SUM($Q202:S202),1)&gt;=99.5,100,MIN(100,ROUND(SUM($Q202:S202),1))))</f>
        <v/>
      </c>
      <c r="CM202" s="1" t="str">
        <f aca="false">IF(OR(OR(NOT(AND(ISNUMBER(E202),ISNUMBER(F202))),$J$2=""),4&gt;Reprogramaciones!$K$16),"",IF(ROUND(SUM($Q202:T202),1)&gt;=99.5,100,MIN(100,ROUND(SUM($Q202:T202),1))))</f>
        <v/>
      </c>
      <c r="CN202" s="1" t="str">
        <f aca="false">IF(OR(OR(NOT(AND(ISNUMBER(E202),ISNUMBER(F202))),$J$2=""),5&gt;Reprogramaciones!$K$16),"",IF(ROUND(SUM($Q202:U202),1)&gt;=99.5,100,MIN(100,ROUND(SUM($Q202:U202),1))))</f>
        <v/>
      </c>
      <c r="CO202" s="1" t="str">
        <f aca="false">IF(OR(OR(NOT(AND(ISNUMBER(E202),ISNUMBER(F202))),$J$2=""),6&gt;Reprogramaciones!$K$16),"",IF(ROUND(SUM($Q202:V202),1)&gt;=99.5,100,MIN(100,ROUND(SUM($Q202:V202),1))))</f>
        <v/>
      </c>
      <c r="CP202" s="1" t="str">
        <f aca="false">IF(OR(OR(NOT(AND(ISNUMBER(E202),ISNUMBER(F202))),$J$2=""),7&gt;Reprogramaciones!$K$16),"",IF(ROUND(SUM($Q202:W202),1)&gt;=99.5,100,MIN(100,ROUND(SUM($Q202:W202),1))))</f>
        <v/>
      </c>
      <c r="CQ202" s="1" t="str">
        <f aca="false">IF(OR(OR(NOT(AND(ISNUMBER(E202),ISNUMBER(F202))),$J$2=""),8&gt;Reprogramaciones!$K$16),"",IF(ROUND(SUM($Q202:X202),1)&gt;=99.5,100,MIN(100,ROUND(SUM($Q202:X202),1))))</f>
        <v/>
      </c>
      <c r="CR202" s="1" t="str">
        <f aca="false">IF(OR(OR(NOT(AND(ISNUMBER(E202),ISNUMBER(F202))),$J$2=""),9&gt;Reprogramaciones!$K$16),"",IF(ROUND(SUM($Q202:Y202),1)&gt;=99.5,100,MIN(100,ROUND(SUM($Q202:Y202),1))))</f>
        <v/>
      </c>
      <c r="CS202" s="1" t="str">
        <f aca="false">IF(OR(OR(NOT(AND(ISNUMBER(E202),ISNUMBER(F202))),$J$2=""),10&gt;Reprogramaciones!$K$16),"",IF(ROUND(SUM($Q202:Z202),1)&gt;=99.5,100,MIN(100,ROUND(SUM($Q202:Z202),1))))</f>
        <v/>
      </c>
      <c r="CT202" s="1" t="str">
        <f aca="false">IF(OR(OR(NOT(AND(ISNUMBER(E202),ISNUMBER(F202))),$J$2=""),11&gt;Reprogramaciones!$K$16),"",IF(ROUND(SUM($Q202:AA202),1)&gt;=99.5,100,MIN(100,ROUND(SUM($Q202:AA202),1))))</f>
        <v/>
      </c>
      <c r="CU202" s="1" t="str">
        <f aca="false">IF(OR(OR(NOT(AND(ISNUMBER(E202),ISNUMBER(F202))),$J$2=""),12&gt;Reprogramaciones!$K$16),"",IF(ROUND(SUM($Q202:AB202),1)&gt;=99.5,100,MIN(100,ROUND(SUM($Q202:AB202),1))))</f>
        <v/>
      </c>
      <c r="CV202" s="1" t="str">
        <f aca="false">IF(OR(OR(NOT(AND(ISNUMBER(E202),ISNUMBER(F202))),$J$2=""),13&gt;Reprogramaciones!$K$16),"",IF(ROUND(SUM($Q202:AC202),1)&gt;=99.5,100,MIN(100,ROUND(SUM($Q202:AC202),1))))</f>
        <v/>
      </c>
      <c r="CW202" s="1" t="str">
        <f aca="false">IF(OR(OR(NOT(AND(ISNUMBER(E202),ISNUMBER(F202))),$J$2=""),14&gt;Reprogramaciones!$K$16),"",IF(ROUND(SUM($Q202:AD202),1)&gt;=99.5,100,MIN(100,ROUND(SUM($Q202:AD202),1))))</f>
        <v/>
      </c>
      <c r="CX202" s="1" t="str">
        <f aca="false">IF(OR(OR(NOT(AND(ISNUMBER(E202),ISNUMBER(F202))),$J$2=""),15&gt;Reprogramaciones!$K$16),"",IF(ROUND(SUM($Q202:AE202),1)&gt;=99.5,100,MIN(100,ROUND(SUM($Q202:AE202),1))))</f>
        <v/>
      </c>
      <c r="CY202" s="1" t="str">
        <f aca="false">IF(OR(OR(NOT(AND(ISNUMBER(E202),ISNUMBER(F202))),$J$2=""),16&gt;Reprogramaciones!$K$16),"",IF(ROUND(SUM($Q202:AF202),1)&gt;=99.5,100,MIN(100,ROUND(SUM($Q202:AF202),1))))</f>
        <v/>
      </c>
      <c r="CZ202" s="1" t="str">
        <f aca="false">IF(D202&lt;&gt;"",D202,IF(B202&lt;&gt;"","Contractual",CZ201))</f>
        <v>Contractual</v>
      </c>
      <c r="DA202" s="1" t="str">
        <f aca="false">IF(OR(NOT(AND(ISNUMBER(E202),ISNUMBER(F202))),$J$2=""),"",IF(Reprogramaciones!$Q$15&lt;Reprogramaciones!$T$15,0,IF(Reprogramaciones!$S$15&gt;10,MIN(100,SUM($G202:$P202)),MIN(100,SUMPRODUCT((COLUMN($G202:$P202)-COLUMN($G202)+1&lt;Reprogramaciones!$S$15)*$G202:$P202)+N(INDEX($G202:$P202,1,Reprogramaciones!$S$15))*IF(Reprogramaciones!$Q$15&gt;=(Reprogramaciones!$T$15+7*(Reprogramaciones!$S$15-1))+6,1,IF(MAX(0,NETWORKDAYS.INTL(MAX(E202,(Reprogramaciones!$T$15+7*(Reprogramaciones!$S$15-1))),MIN(F202,(Reprogramaciones!$T$15+7*(Reprogramaciones!$S$15-1))+6),11))=0,0,MAX(0,NETWORKDAYS.INTL(MAX(E202,(Reprogramaciones!$T$15+7*(Reprogramaciones!$S$15-1))),MIN(F202,Reprogramaciones!$Q$15),11))/MAX(0,NETWORKDAYS.INTL(MAX(E202,(Reprogramaciones!$T$15+7*(Reprogramaciones!$S$15-1))),MIN(F202,(Reprogramaciones!$T$15+7*(Reprogramaciones!$S$15-1))+6),11))))))))</f>
        <v/>
      </c>
    </row>
    <row r="203" customFormat="false" ht="15" hidden="false" customHeight="false" outlineLevel="0" collapsed="false">
      <c r="A203" s="32"/>
      <c r="B203" s="33"/>
      <c r="C203" s="33"/>
      <c r="D203" s="34"/>
      <c r="E203" s="35"/>
      <c r="F203" s="35"/>
      <c r="G203" s="36" t="str">
        <f aca="false">IF(OR(NOT(AND(ISNUMBER(E203),ISNUMBER(F203))),$J$2=""),"",IF(Reprogramaciones!K$9&lt;E203,0,IF(NETWORKDAYS.INTL(E203,F203,11)=0,IF(Reprogramaciones!K$9&gt;=F203,100,0),ROUND(NETWORKDAYS.INTL(E203,MIN(F203,Reprogramaciones!K$9),11)/NETWORKDAYS.INTL(E203,F203,11)*100,1)))-0)</f>
        <v/>
      </c>
      <c r="H203" s="36" t="str">
        <f aca="false">IF(OR(NOT(AND(ISNUMBER(E203),ISNUMBER(F203))),$J$2=""),"",IF(Reprogramaciones!L$9&lt;E203,0,IF(NETWORKDAYS.INTL(E203,F203,11)=0,IF(Reprogramaciones!L$9&gt;=F203,100,0),ROUND(NETWORKDAYS.INTL(E203,MIN(F203,Reprogramaciones!L$9),11)/NETWORKDAYS.INTL(E203,F203,11)*100,1)))-IF(Reprogramaciones!K$9&lt;E203,0,IF(NETWORKDAYS.INTL(E203,F203,11)=0,IF(Reprogramaciones!K$9&gt;=F203,100,0),ROUND(NETWORKDAYS.INTL(E203,MIN(F203,Reprogramaciones!K$9),11)/NETWORKDAYS.INTL(E203,F203,11)*100,1))))</f>
        <v/>
      </c>
      <c r="I203" s="36" t="str">
        <f aca="false">IF(OR(NOT(AND(ISNUMBER(E203),ISNUMBER(F203))),$J$2=""),"",IF(Reprogramaciones!M$9&lt;E203,0,IF(NETWORKDAYS.INTL(E203,F203,11)=0,IF(Reprogramaciones!M$9&gt;=F203,100,0),ROUND(NETWORKDAYS.INTL(E203,MIN(F203,Reprogramaciones!M$9),11)/NETWORKDAYS.INTL(E203,F203,11)*100,1)))-IF(Reprogramaciones!L$9&lt;E203,0,IF(NETWORKDAYS.INTL(E203,F203,11)=0,IF(Reprogramaciones!L$9&gt;=F203,100,0),ROUND(NETWORKDAYS.INTL(E203,MIN(F203,Reprogramaciones!L$9),11)/NETWORKDAYS.INTL(E203,F203,11)*100,1))))</f>
        <v/>
      </c>
      <c r="J203" s="36" t="str">
        <f aca="false">IF(OR(NOT(AND(ISNUMBER(E203),ISNUMBER(F203))),$J$2=""),"",IF(Reprogramaciones!N$9&lt;E203,0,IF(NETWORKDAYS.INTL(E203,F203,11)=0,IF(Reprogramaciones!N$9&gt;=F203,100,0),ROUND(NETWORKDAYS.INTL(E203,MIN(F203,Reprogramaciones!N$9),11)/NETWORKDAYS.INTL(E203,F203,11)*100,1)))-IF(Reprogramaciones!M$9&lt;E203,0,IF(NETWORKDAYS.INTL(E203,F203,11)=0,IF(Reprogramaciones!M$9&gt;=F203,100,0),ROUND(NETWORKDAYS.INTL(E203,MIN(F203,Reprogramaciones!M$9),11)/NETWORKDAYS.INTL(E203,F203,11)*100,1))))</f>
        <v/>
      </c>
      <c r="K203" s="36" t="str">
        <f aca="false">IF(OR(NOT(AND(ISNUMBER(E203),ISNUMBER(F203))),$J$2=""),"",IF(Reprogramaciones!O$9&lt;E203,0,IF(NETWORKDAYS.INTL(E203,F203,11)=0,IF(Reprogramaciones!O$9&gt;=F203,100,0),ROUND(NETWORKDAYS.INTL(E203,MIN(F203,Reprogramaciones!O$9),11)/NETWORKDAYS.INTL(E203,F203,11)*100,1)))-IF(Reprogramaciones!N$9&lt;E203,0,IF(NETWORKDAYS.INTL(E203,F203,11)=0,IF(Reprogramaciones!N$9&gt;=F203,100,0),ROUND(NETWORKDAYS.INTL(E203,MIN(F203,Reprogramaciones!N$9),11)/NETWORKDAYS.INTL(E203,F203,11)*100,1))))</f>
        <v/>
      </c>
      <c r="L203" s="36" t="str">
        <f aca="false">IF(OR(NOT(AND(ISNUMBER(E203),ISNUMBER(F203))),$J$2=""),"",IF(Reprogramaciones!P$9&lt;E203,0,IF(NETWORKDAYS.INTL(E203,F203,11)=0,IF(Reprogramaciones!P$9&gt;=F203,100,0),ROUND(NETWORKDAYS.INTL(E203,MIN(F203,Reprogramaciones!P$9),11)/NETWORKDAYS.INTL(E203,F203,11)*100,1)))-IF(Reprogramaciones!O$9&lt;E203,0,IF(NETWORKDAYS.INTL(E203,F203,11)=0,IF(Reprogramaciones!O$9&gt;=F203,100,0),ROUND(NETWORKDAYS.INTL(E203,MIN(F203,Reprogramaciones!O$9),11)/NETWORKDAYS.INTL(E203,F203,11)*100,1))))</f>
        <v/>
      </c>
      <c r="M203" s="36" t="str">
        <f aca="false">IF(OR(NOT(AND(ISNUMBER(E203),ISNUMBER(F203))),$J$2=""),"",IF(Reprogramaciones!Q$9&lt;E203,0,IF(NETWORKDAYS.INTL(E203,F203,11)=0,IF(Reprogramaciones!Q$9&gt;=F203,100,0),ROUND(NETWORKDAYS.INTL(E203,MIN(F203,Reprogramaciones!Q$9),11)/NETWORKDAYS.INTL(E203,F203,11)*100,1)))-IF(Reprogramaciones!P$9&lt;E203,0,IF(NETWORKDAYS.INTL(E203,F203,11)=0,IF(Reprogramaciones!P$9&gt;=F203,100,0),ROUND(NETWORKDAYS.INTL(E203,MIN(F203,Reprogramaciones!P$9),11)/NETWORKDAYS.INTL(E203,F203,11)*100,1))))</f>
        <v/>
      </c>
      <c r="N203" s="36" t="str">
        <f aca="false">IF(OR(NOT(AND(ISNUMBER(E203),ISNUMBER(F203))),$J$2=""),"",IF(Reprogramaciones!R$9&lt;E203,0,IF(NETWORKDAYS.INTL(E203,F203,11)=0,IF(Reprogramaciones!R$9&gt;=F203,100,0),ROUND(NETWORKDAYS.INTL(E203,MIN(F203,Reprogramaciones!R$9),11)/NETWORKDAYS.INTL(E203,F203,11)*100,1)))-IF(Reprogramaciones!Q$9&lt;E203,0,IF(NETWORKDAYS.INTL(E203,F203,11)=0,IF(Reprogramaciones!Q$9&gt;=F203,100,0),ROUND(NETWORKDAYS.INTL(E203,MIN(F203,Reprogramaciones!Q$9),11)/NETWORKDAYS.INTL(E203,F203,11)*100,1))))</f>
        <v/>
      </c>
      <c r="O203" s="36" t="str">
        <f aca="false">IF(OR(NOT(AND(ISNUMBER(E203),ISNUMBER(F203))),$J$2=""),"",IF(Reprogramaciones!S$9&lt;E203,0,IF(NETWORKDAYS.INTL(E203,F203,11)=0,IF(Reprogramaciones!S$9&gt;=F203,100,0),ROUND(NETWORKDAYS.INTL(E203,MIN(F203,Reprogramaciones!S$9),11)/NETWORKDAYS.INTL(E203,F203,11)*100,1)))-IF(Reprogramaciones!R$9&lt;E203,0,IF(NETWORKDAYS.INTL(E203,F203,11)=0,IF(Reprogramaciones!R$9&gt;=F203,100,0),ROUND(NETWORKDAYS.INTL(E203,MIN(F203,Reprogramaciones!R$9),11)/NETWORKDAYS.INTL(E203,F203,11)*100,1))))</f>
        <v/>
      </c>
      <c r="P203" s="36" t="str">
        <f aca="false">IF(OR(NOT(AND(ISNUMBER(E203),ISNUMBER(F203))),$J$2=""),"",IF(Reprogramaciones!T$9&lt;E203,0,IF(NETWORKDAYS.INTL(E203,F203,11)=0,IF(Reprogramaciones!T$9&gt;=F203,100,0),ROUND(NETWORKDAYS.INTL(E203,MIN(F203,Reprogramaciones!T$9),11)/NETWORKDAYS.INTL(E203,F203,11)*100,1)))-IF(Reprogramaciones!S$9&lt;E203,0,IF(NETWORKDAYS.INTL(E203,F203,11)=0,IF(Reprogramaciones!S$9&gt;=F203,100,0),ROUND(NETWORKDAYS.INTL(E203,MIN(F203,Reprogramaciones!S$9),11)/NETWORKDAYS.INTL(E203,F203,11)*100,1))))</f>
        <v/>
      </c>
      <c r="Q203" s="37"/>
      <c r="R203" s="37"/>
      <c r="S203" s="37"/>
      <c r="T203" s="37"/>
      <c r="U203" s="37"/>
      <c r="V203" s="37"/>
      <c r="W203" s="37"/>
      <c r="X203" s="37"/>
      <c r="Y203" s="37"/>
      <c r="Z203" s="37"/>
      <c r="AA203" s="37"/>
      <c r="AB203" s="37"/>
      <c r="AC203" s="37"/>
      <c r="AD203" s="37"/>
      <c r="AE203" s="37"/>
      <c r="AF203" s="37"/>
      <c r="AG203" s="38" t="str">
        <f aca="false">IF(AND(ISNUMBER(E203),ISNUMBER(F203)),NETWORKDAYS.INTL(E203,F203,11),"")</f>
        <v/>
      </c>
      <c r="AH203" s="38" t="str">
        <f aca="false">IF(OR(NOT(AND(ISNUMBER(E203),ISNUMBER(F203))),$J$2=""),"",IF(Reprogramaciones!$P$15&lt;Reprogramaciones!$T$15,0,IF(Reprogramaciones!$R$15&gt;10,MIN(100,SUM($G203:$P203)),MIN(100,SUMPRODUCT((COLUMN($G203:$P203)-COLUMN($G203)+1&lt;Reprogramaciones!$R$15)*$G203:$P203)+N(INDEX($G203:$P203,1,Reprogramaciones!$R$15))*IF(Reprogramaciones!$P$15&gt;=(Reprogramaciones!$T$15+7*(Reprogramaciones!$R$15-1))+6,1,IF(MAX(0,NETWORKDAYS.INTL(MAX(E203,(Reprogramaciones!$T$15+7*(Reprogramaciones!$R$15-1))),MIN(F203,(Reprogramaciones!$T$15+7*(Reprogramaciones!$R$15-1))+6),11))=0,0,MAX(0,NETWORKDAYS.INTL(MAX(E203,(Reprogramaciones!$T$15+7*(Reprogramaciones!$R$15-1))),MIN(F203,Reprogramaciones!$P$15),11))/MAX(0,NETWORKDAYS.INTL(MAX(E203,(Reprogramaciones!$T$15+7*(Reprogramaciones!$R$15-1))),MIN(F203,(Reprogramaciones!$T$15+7*(Reprogramaciones!$R$15-1))+6),11))))))))</f>
        <v/>
      </c>
      <c r="AI203" s="38" t="str">
        <f aca="false">IF(COUNT($Q203:$AF203)=0,"",IF(ROUND(SUM($Q203:$AF203),1)&gt;=99.5,100,MIN(100,ROUND(SUM($Q203:$AF203),1))))</f>
        <v/>
      </c>
      <c r="AJ203" s="38" t="str">
        <f aca="false">IF(OR(AH203="",AI203=""),"",AI203-AH203)</f>
        <v/>
      </c>
      <c r="AK203" s="39" t="str">
        <f aca="true">IF(AH203="","",IF(OR(Ficha!$C$10="Suspendida",Ficha!$C$10="Cancelada"),Ficha!$C$10,IF(AND(AI203&lt;&gt;"",N(AI203)&gt;=100),"Completada",IF(AND(E203&gt;TODAY(),N(AI203)=0),"Por iniciar",IF(N(AI203)+0.5&lt;AH203,"Retrasada",IF(N(AI203)+0.5&lt;DA203,IF(Reprogramaciones!$K$15&gt;0,"Al día · Sem "&amp;Reprogramaciones!$K$15&amp;" en curso","Al día · en curso"),"A tiempo"))))))</f>
        <v/>
      </c>
      <c r="AL203" s="39" t="str">
        <f aca="true">IF(AND(A203="",AND(B203="",C203="",E203="",F203="",COUNT(Q203:AF203)=0)),"",IF(AND(B203="",C203="",E203="",F203="",COUNT(Q203:AF203)=0),"Falta la partida o subpartida",IF(AND(A203&lt;&gt;"",COUNTIF($A$6:$A$305,A203)&gt;1),"Ítem repetido",IF(AND(C203="",E203="",F203="",COUNT(Q203:AF203)=0),"Título de partida",IF(OR(E203="",F203=""),"Faltan fechas",IF(OR(ISTEXT(E203),ISTEXT(F203)),"Fecha escrita como texto: usa dd/mm/aaaa",IF(F203&lt;E203,"Fin antes del inicio",IF(IF($J$2="",FALSE(),OR(E203&lt;$J$2,F203&gt;Reprogramaciones!$T$15+69)),"Fuera de las 10 semanas",IF(ABS(SUM(G203:P203)-100)&gt;0.5,"La meta no suma 100%",IF(ROUND(SUM(Q203:AF203),1)&gt;100.5,"El avance pasa de 100%",IF(MIN(Q203:AF203)&lt;0,"Avance negativo",IF(COUNTA(Q203:AF203)&gt;COUNT(Q203:AF203),"Avance escrito como texto",IF(SUMPRODUCT((Q203:AF203&gt;0)*(Q203:AF203&lt;1))&gt;0,"Avance menor a 1: escribe 50, no 50%",IF(SUMPRODUCT(ISNUMBER(Q203:AF203)*(Reprogramaciones!$K$8:$Z$8&gt;TODAY()))&gt;0,"Avance en semana que aún no llega",IF(AND(N(Reprogramaciones!$E$21)&gt;0,F203&gt;Reprogramaciones!$E$21),"Pasa el fin de la obra: registra una reprogramación",IF(AND(N(Reprogramaciones!$E$21)&gt;0,SUMPRODUCT(ISNUMBER(Q203:AF203)*(Reprogramaciones!$K$8:$Z$8&gt;Reprogramaciones!$E$21))&gt;0),"Avance después del fin de la obra: registra una reprogramación por atraso","OK"))))))))))))))))</f>
        <v/>
      </c>
      <c r="AM203" s="40" t="str">
        <f aca="false">IF(OR(OR(NOT(AND(ISNUMBER(E203),ISNUMBER(F203))),$J$2=""),1&gt;MAX(1,Reprogramaciones!$U$15)),"",IF(Reprogramaciones!K$12&gt;=7,"",IF(OR(BT203-N(0)&gt;0.05,N(Q203)&gt;0),ROUNDDOWN(ROUND(BT203,6),0)&amp;"%"&amp;IF(CJ203="",""," / "&amp;CJ203&amp;"%"),IF(AND(N(0)&gt;=99.95,CJ203&lt;&gt;"",N(CJ203)&lt;100),"Pend. "&amp;CJ203&amp;"%",""))))</f>
        <v/>
      </c>
      <c r="AN203" s="40" t="str">
        <f aca="false">IF(OR(OR(NOT(AND(ISNUMBER(E203),ISNUMBER(F203))),$J$2=""),2&gt;MAX(1,Reprogramaciones!$U$15)),"",IF(Reprogramaciones!L$12&gt;=7,"",IF(OR(BU203-N(BT203)&gt;0.05,N(R203)&gt;0),ROUNDDOWN(ROUND(BU203,6),0)&amp;"%"&amp;IF(CK203="",""," / "&amp;CK203&amp;"%"),IF(AND(N(BT203)&gt;=99.95,CK203&lt;&gt;"",N(CK203)&lt;100),"Pend. "&amp;CK203&amp;"%",""))))</f>
        <v/>
      </c>
      <c r="AO203" s="40" t="str">
        <f aca="false">IF(OR(OR(NOT(AND(ISNUMBER(E203),ISNUMBER(F203))),$J$2=""),3&gt;MAX(1,Reprogramaciones!$U$15)),"",IF(Reprogramaciones!M$12&gt;=7,"",IF(OR(BV203-N(BU203)&gt;0.05,N(S203)&gt;0),ROUNDDOWN(ROUND(BV203,6),0)&amp;"%"&amp;IF(CL203="",""," / "&amp;CL203&amp;"%"),IF(AND(N(BU203)&gt;=99.95,CL203&lt;&gt;"",N(CL203)&lt;100),"Pend. "&amp;CL203&amp;"%",""))))</f>
        <v/>
      </c>
      <c r="AP203" s="40" t="str">
        <f aca="false">IF(OR(OR(NOT(AND(ISNUMBER(E203),ISNUMBER(F203))),$J$2=""),4&gt;MAX(1,Reprogramaciones!$U$15)),"",IF(Reprogramaciones!N$12&gt;=7,"",IF(OR(BW203-N(BV203)&gt;0.05,N(T203)&gt;0),ROUNDDOWN(ROUND(BW203,6),0)&amp;"%"&amp;IF(CM203="",""," / "&amp;CM203&amp;"%"),IF(AND(N(BV203)&gt;=99.95,CM203&lt;&gt;"",N(CM203)&lt;100),"Pend. "&amp;CM203&amp;"%",""))))</f>
        <v/>
      </c>
      <c r="AQ203" s="40" t="str">
        <f aca="false">IF(OR(OR(NOT(AND(ISNUMBER(E203),ISNUMBER(F203))),$J$2=""),5&gt;MAX(1,Reprogramaciones!$U$15)),"",IF(Reprogramaciones!O$12&gt;=7,"",IF(OR(BX203-N(BW203)&gt;0.05,N(U203)&gt;0),ROUNDDOWN(ROUND(BX203,6),0)&amp;"%"&amp;IF(CN203="",""," / "&amp;CN203&amp;"%"),IF(AND(N(BW203)&gt;=99.95,CN203&lt;&gt;"",N(CN203)&lt;100),"Pend. "&amp;CN203&amp;"%",""))))</f>
        <v/>
      </c>
      <c r="AR203" s="40" t="str">
        <f aca="false">IF(OR(OR(NOT(AND(ISNUMBER(E203),ISNUMBER(F203))),$J$2=""),6&gt;MAX(1,Reprogramaciones!$U$15)),"",IF(Reprogramaciones!P$12&gt;=7,"",IF(OR(BY203-N(BX203)&gt;0.05,N(V203)&gt;0),ROUNDDOWN(ROUND(BY203,6),0)&amp;"%"&amp;IF(CO203="",""," / "&amp;CO203&amp;"%"),IF(AND(N(BX203)&gt;=99.95,CO203&lt;&gt;"",N(CO203)&lt;100),"Pend. "&amp;CO203&amp;"%",""))))</f>
        <v/>
      </c>
      <c r="AS203" s="40" t="str">
        <f aca="false">IF(OR(OR(NOT(AND(ISNUMBER(E203),ISNUMBER(F203))),$J$2=""),7&gt;MAX(1,Reprogramaciones!$U$15)),"",IF(Reprogramaciones!Q$12&gt;=7,"",IF(OR(BZ203-N(BY203)&gt;0.05,N(W203)&gt;0),ROUNDDOWN(ROUND(BZ203,6),0)&amp;"%"&amp;IF(CP203="",""," / "&amp;CP203&amp;"%"),IF(AND(N(BY203)&gt;=99.95,CP203&lt;&gt;"",N(CP203)&lt;100),"Pend. "&amp;CP203&amp;"%",""))))</f>
        <v/>
      </c>
      <c r="AT203" s="40" t="str">
        <f aca="false">IF(OR(OR(NOT(AND(ISNUMBER(E203),ISNUMBER(F203))),$J$2=""),8&gt;MAX(1,Reprogramaciones!$U$15)),"",IF(Reprogramaciones!R$12&gt;=7,"",IF(OR(CA203-N(BZ203)&gt;0.05,N(X203)&gt;0),ROUNDDOWN(ROUND(CA203,6),0)&amp;"%"&amp;IF(CQ203="",""," / "&amp;CQ203&amp;"%"),IF(AND(N(BZ203)&gt;=99.95,CQ203&lt;&gt;"",N(CQ203)&lt;100),"Pend. "&amp;CQ203&amp;"%",""))))</f>
        <v/>
      </c>
      <c r="AU203" s="40" t="str">
        <f aca="false">IF(OR(OR(NOT(AND(ISNUMBER(E203),ISNUMBER(F203))),$J$2=""),9&gt;MAX(1,Reprogramaciones!$U$15)),"",IF(Reprogramaciones!S$12&gt;=7,"",IF(OR(CB203-N(CA203)&gt;0.05,N(Y203)&gt;0),ROUNDDOWN(ROUND(CB203,6),0)&amp;"%"&amp;IF(CR203="",""," / "&amp;CR203&amp;"%"),IF(AND(N(CA203)&gt;=99.95,CR203&lt;&gt;"",N(CR203)&lt;100),"Pend. "&amp;CR203&amp;"%",""))))</f>
        <v/>
      </c>
      <c r="AV203" s="40" t="str">
        <f aca="false">IF(OR(OR(NOT(AND(ISNUMBER(E203),ISNUMBER(F203))),$J$2=""),10&gt;MAX(1,Reprogramaciones!$U$15)),"",IF(Reprogramaciones!T$12&gt;=7,"",IF(OR(CC203-N(CB203)&gt;0.05,N(Z203)&gt;0),ROUNDDOWN(ROUND(CC203,6),0)&amp;"%"&amp;IF(CS203="",""," / "&amp;CS203&amp;"%"),IF(AND(N(CB203)&gt;=99.95,CS203&lt;&gt;"",N(CS203)&lt;100),"Pend. "&amp;CS203&amp;"%",""))))</f>
        <v/>
      </c>
      <c r="AW203" s="40" t="str">
        <f aca="false">IF(OR(OR(NOT(AND(ISNUMBER(E203),ISNUMBER(F203))),$J$2=""),11&gt;MAX(1,Reprogramaciones!$U$15)),"",IF(Reprogramaciones!U$12&gt;=7,"",IF(OR(CD203-N(CC203)&gt;0.05,N(AA203)&gt;0),ROUNDDOWN(ROUND(CD203,6),0)&amp;"%"&amp;IF(CT203="",""," / "&amp;CT203&amp;"%"),IF(AND(N(CC203)&gt;=99.95,CT203&lt;&gt;"",N(CT203)&lt;100),"Pend. "&amp;CT203&amp;"%",""))))</f>
        <v/>
      </c>
      <c r="AX203" s="40" t="str">
        <f aca="false">IF(OR(OR(NOT(AND(ISNUMBER(E203),ISNUMBER(F203))),$J$2=""),12&gt;MAX(1,Reprogramaciones!$U$15)),"",IF(Reprogramaciones!V$12&gt;=7,"",IF(OR(CE203-N(CD203)&gt;0.05,N(AB203)&gt;0),ROUNDDOWN(ROUND(CE203,6),0)&amp;"%"&amp;IF(CU203="",""," / "&amp;CU203&amp;"%"),IF(AND(N(CD203)&gt;=99.95,CU203&lt;&gt;"",N(CU203)&lt;100),"Pend. "&amp;CU203&amp;"%",""))))</f>
        <v/>
      </c>
      <c r="AY203" s="40" t="str">
        <f aca="false">IF(OR(OR(NOT(AND(ISNUMBER(E203),ISNUMBER(F203))),$J$2=""),13&gt;MAX(1,Reprogramaciones!$U$15)),"",IF(Reprogramaciones!W$12&gt;=7,"",IF(OR(CF203-N(CE203)&gt;0.05,N(AC203)&gt;0),ROUNDDOWN(ROUND(CF203,6),0)&amp;"%"&amp;IF(CV203="",""," / "&amp;CV203&amp;"%"),IF(AND(N(CE203)&gt;=99.95,CV203&lt;&gt;"",N(CV203)&lt;100),"Pend. "&amp;CV203&amp;"%",""))))</f>
        <v/>
      </c>
      <c r="AZ203" s="40" t="str">
        <f aca="false">IF(OR(OR(NOT(AND(ISNUMBER(E203),ISNUMBER(F203))),$J$2=""),14&gt;MAX(1,Reprogramaciones!$U$15)),"",IF(Reprogramaciones!X$12&gt;=7,"",IF(OR(CG203-N(CF203)&gt;0.05,N(AD203)&gt;0),ROUNDDOWN(ROUND(CG203,6),0)&amp;"%"&amp;IF(CW203="",""," / "&amp;CW203&amp;"%"),IF(AND(N(CF203)&gt;=99.95,CW203&lt;&gt;"",N(CW203)&lt;100),"Pend. "&amp;CW203&amp;"%",""))))</f>
        <v/>
      </c>
      <c r="BA203" s="40" t="str">
        <f aca="false">IF(OR(OR(NOT(AND(ISNUMBER(E203),ISNUMBER(F203))),$J$2=""),15&gt;MAX(1,Reprogramaciones!$U$15)),"",IF(Reprogramaciones!Y$12&gt;=7,"",IF(OR(CH203-N(CG203)&gt;0.05,N(AE203)&gt;0),ROUNDDOWN(ROUND(CH203,6),0)&amp;"%"&amp;IF(CX203="",""," / "&amp;CX203&amp;"%"),IF(AND(N(CG203)&gt;=99.95,CX203&lt;&gt;"",N(CX203)&lt;100),"Pend. "&amp;CX203&amp;"%",""))))</f>
        <v/>
      </c>
      <c r="BB203" s="40" t="str">
        <f aca="false">IF(OR(OR(NOT(AND(ISNUMBER(E203),ISNUMBER(F203))),$J$2=""),16&gt;MAX(1,Reprogramaciones!$U$15)),"",IF(Reprogramaciones!Z$12&gt;=7,"",IF(OR(CI203-N(CH203)&gt;0.05,N(AF203)&gt;0),ROUNDDOWN(ROUND(CI203,6),0)&amp;"%"&amp;IF(CY203="",""," / "&amp;CY203&amp;"%"),IF(AND(N(CH203)&gt;=99.95,CY203&lt;&gt;"",N(CY203)&lt;100),"Pend. "&amp;CY203&amp;"%",""))))</f>
        <v/>
      </c>
      <c r="BC203" s="31" t="n">
        <f aca="false">IF(AND(ISNUMBER(E203),ISNUMBER(F203)),MAX(1,NETWORKDAYS.INTL(E203,F203,11)),0)</f>
        <v>0</v>
      </c>
      <c r="BD203" s="1" t="str">
        <f aca="false">IF(OR(NOT(AND(ISNUMBER(E203),ISNUMBER(F203))),$J$2=""),"",MIN(100,ROUND(SUM($G203:G203),1)))</f>
        <v/>
      </c>
      <c r="BE203" s="1" t="str">
        <f aca="false">IF(OR(NOT(AND(ISNUMBER(E203),ISNUMBER(F203))),$J$2=""),"",MIN(100,ROUND(SUM($G203:H203),1)))</f>
        <v/>
      </c>
      <c r="BF203" s="1" t="str">
        <f aca="false">IF(OR(NOT(AND(ISNUMBER(E203),ISNUMBER(F203))),$J$2=""),"",MIN(100,ROUND(SUM($G203:I203),1)))</f>
        <v/>
      </c>
      <c r="BG203" s="1" t="str">
        <f aca="false">IF(OR(NOT(AND(ISNUMBER(E203),ISNUMBER(F203))),$J$2=""),"",MIN(100,ROUND(SUM($G203:J203),1)))</f>
        <v/>
      </c>
      <c r="BH203" s="1" t="str">
        <f aca="false">IF(OR(NOT(AND(ISNUMBER(E203),ISNUMBER(F203))),$J$2=""),"",MIN(100,ROUND(SUM($G203:K203),1)))</f>
        <v/>
      </c>
      <c r="BI203" s="1" t="str">
        <f aca="false">IF(OR(NOT(AND(ISNUMBER(E203),ISNUMBER(F203))),$J$2=""),"",MIN(100,ROUND(SUM($G203:L203),1)))</f>
        <v/>
      </c>
      <c r="BJ203" s="1" t="str">
        <f aca="false">IF(OR(NOT(AND(ISNUMBER(E203),ISNUMBER(F203))),$J$2=""),"",MIN(100,ROUND(SUM($G203:M203),1)))</f>
        <v/>
      </c>
      <c r="BK203" s="1" t="str">
        <f aca="false">IF(OR(NOT(AND(ISNUMBER(E203),ISNUMBER(F203))),$J$2=""),"",MIN(100,ROUND(SUM($G203:N203),1)))</f>
        <v/>
      </c>
      <c r="BL203" s="1" t="str">
        <f aca="false">IF(OR(NOT(AND(ISNUMBER(E203),ISNUMBER(F203))),$J$2=""),"",MIN(100,ROUND(SUM($G203:O203),1)))</f>
        <v/>
      </c>
      <c r="BM203" s="1" t="str">
        <f aca="false">IF(OR(NOT(AND(ISNUMBER(E203),ISNUMBER(F203))),$J$2=""),"",MIN(100,ROUND(SUM($G203:P203),1)))</f>
        <v/>
      </c>
      <c r="BN203" s="1" t="str">
        <f aca="false">IF(OR(NOT(AND(ISNUMBER(E203),ISNUMBER(F203))),$J$2=""),"",MIN(100,ROUND(SUM($G203:P203),1)))</f>
        <v/>
      </c>
      <c r="BO203" s="1" t="str">
        <f aca="false">IF(OR(NOT(AND(ISNUMBER(E203),ISNUMBER(F203))),$J$2=""),"",MIN(100,ROUND(SUM($G203:P203),1)))</f>
        <v/>
      </c>
      <c r="BP203" s="1" t="str">
        <f aca="false">IF(OR(NOT(AND(ISNUMBER(E203),ISNUMBER(F203))),$J$2=""),"",MIN(100,ROUND(SUM($G203:P203),1)))</f>
        <v/>
      </c>
      <c r="BQ203" s="1" t="str">
        <f aca="false">IF(OR(NOT(AND(ISNUMBER(E203),ISNUMBER(F203))),$J$2=""),"",MIN(100,ROUND(SUM($G203:P203),1)))</f>
        <v/>
      </c>
      <c r="BR203" s="1" t="str">
        <f aca="false">IF(OR(NOT(AND(ISNUMBER(E203),ISNUMBER(F203))),$J$2=""),"",MIN(100,ROUND(SUM($G203:P203),1)))</f>
        <v/>
      </c>
      <c r="BS203" s="1" t="str">
        <f aca="false">IF(OR(NOT(AND(ISNUMBER(E203),ISNUMBER(F203))),$J$2=""),"",MIN(100,ROUND(SUM($G203:P203),1)))</f>
        <v/>
      </c>
      <c r="BT203" s="1" t="str">
        <f aca="false">IF(OR(NOT(AND(ISNUMBER(E203),ISNUMBER(F203))),$J$2=""),"",IF(Reprogramaciones!K$13&lt;Reprogramaciones!$T$15,0,IF(Reprogramaciones!K$14&gt;10,MIN(100,SUM($G203:$P203)),MIN(100,SUMPRODUCT((COLUMN($G203:$P203)-COLUMN($G203)+1&lt;Reprogramaciones!K$14)*$G203:$P203)+N(INDEX($G203:$P203,1,Reprogramaciones!K$14))*IF(Reprogramaciones!K$13&gt;=(Reprogramaciones!$T$15+7*(Reprogramaciones!K$14-1))+6,1,IF(MAX(0,NETWORKDAYS.INTL(MAX(E203,(Reprogramaciones!$T$15+7*(Reprogramaciones!K$14-1))),MIN(F203,(Reprogramaciones!$T$15+7*(Reprogramaciones!K$14-1))+6),11))=0,0,MAX(0,NETWORKDAYS.INTL(MAX(E203,(Reprogramaciones!$T$15+7*(Reprogramaciones!K$14-1))),MIN(F203,Reprogramaciones!K$13),11))/MAX(0,NETWORKDAYS.INTL(MAX(E203,(Reprogramaciones!$T$15+7*(Reprogramaciones!K$14-1))),MIN(F203,(Reprogramaciones!$T$15+7*(Reprogramaciones!K$14-1))+6),11))))))))</f>
        <v/>
      </c>
      <c r="BU203" s="1" t="str">
        <f aca="false">IF(OR(NOT(AND(ISNUMBER(E203),ISNUMBER(F203))),$J$2=""),"",IF(Reprogramaciones!L$13&lt;Reprogramaciones!$T$15,0,IF(Reprogramaciones!L$14&gt;10,MIN(100,SUM($G203:$P203)),MIN(100,SUMPRODUCT((COLUMN($G203:$P203)-COLUMN($G203)+1&lt;Reprogramaciones!L$14)*$G203:$P203)+N(INDEX($G203:$P203,1,Reprogramaciones!L$14))*IF(Reprogramaciones!L$13&gt;=(Reprogramaciones!$T$15+7*(Reprogramaciones!L$14-1))+6,1,IF(MAX(0,NETWORKDAYS.INTL(MAX(E203,(Reprogramaciones!$T$15+7*(Reprogramaciones!L$14-1))),MIN(F203,(Reprogramaciones!$T$15+7*(Reprogramaciones!L$14-1))+6),11))=0,0,MAX(0,NETWORKDAYS.INTL(MAX(E203,(Reprogramaciones!$T$15+7*(Reprogramaciones!L$14-1))),MIN(F203,Reprogramaciones!L$13),11))/MAX(0,NETWORKDAYS.INTL(MAX(E203,(Reprogramaciones!$T$15+7*(Reprogramaciones!L$14-1))),MIN(F203,(Reprogramaciones!$T$15+7*(Reprogramaciones!L$14-1))+6),11))))))))</f>
        <v/>
      </c>
      <c r="BV203" s="1" t="str">
        <f aca="false">IF(OR(NOT(AND(ISNUMBER(E203),ISNUMBER(F203))),$J$2=""),"",IF(Reprogramaciones!M$13&lt;Reprogramaciones!$T$15,0,IF(Reprogramaciones!M$14&gt;10,MIN(100,SUM($G203:$P203)),MIN(100,SUMPRODUCT((COLUMN($G203:$P203)-COLUMN($G203)+1&lt;Reprogramaciones!M$14)*$G203:$P203)+N(INDEX($G203:$P203,1,Reprogramaciones!M$14))*IF(Reprogramaciones!M$13&gt;=(Reprogramaciones!$T$15+7*(Reprogramaciones!M$14-1))+6,1,IF(MAX(0,NETWORKDAYS.INTL(MAX(E203,(Reprogramaciones!$T$15+7*(Reprogramaciones!M$14-1))),MIN(F203,(Reprogramaciones!$T$15+7*(Reprogramaciones!M$14-1))+6),11))=0,0,MAX(0,NETWORKDAYS.INTL(MAX(E203,(Reprogramaciones!$T$15+7*(Reprogramaciones!M$14-1))),MIN(F203,Reprogramaciones!M$13),11))/MAX(0,NETWORKDAYS.INTL(MAX(E203,(Reprogramaciones!$T$15+7*(Reprogramaciones!M$14-1))),MIN(F203,(Reprogramaciones!$T$15+7*(Reprogramaciones!M$14-1))+6),11))))))))</f>
        <v/>
      </c>
      <c r="BW203" s="1" t="str">
        <f aca="false">IF(OR(NOT(AND(ISNUMBER(E203),ISNUMBER(F203))),$J$2=""),"",IF(Reprogramaciones!N$13&lt;Reprogramaciones!$T$15,0,IF(Reprogramaciones!N$14&gt;10,MIN(100,SUM($G203:$P203)),MIN(100,SUMPRODUCT((COLUMN($G203:$P203)-COLUMN($G203)+1&lt;Reprogramaciones!N$14)*$G203:$P203)+N(INDEX($G203:$P203,1,Reprogramaciones!N$14))*IF(Reprogramaciones!N$13&gt;=(Reprogramaciones!$T$15+7*(Reprogramaciones!N$14-1))+6,1,IF(MAX(0,NETWORKDAYS.INTL(MAX(E203,(Reprogramaciones!$T$15+7*(Reprogramaciones!N$14-1))),MIN(F203,(Reprogramaciones!$T$15+7*(Reprogramaciones!N$14-1))+6),11))=0,0,MAX(0,NETWORKDAYS.INTL(MAX(E203,(Reprogramaciones!$T$15+7*(Reprogramaciones!N$14-1))),MIN(F203,Reprogramaciones!N$13),11))/MAX(0,NETWORKDAYS.INTL(MAX(E203,(Reprogramaciones!$T$15+7*(Reprogramaciones!N$14-1))),MIN(F203,(Reprogramaciones!$T$15+7*(Reprogramaciones!N$14-1))+6),11))))))))</f>
        <v/>
      </c>
      <c r="BX203" s="1" t="str">
        <f aca="false">IF(OR(NOT(AND(ISNUMBER(E203),ISNUMBER(F203))),$J$2=""),"",IF(Reprogramaciones!O$13&lt;Reprogramaciones!$T$15,0,IF(Reprogramaciones!O$14&gt;10,MIN(100,SUM($G203:$P203)),MIN(100,SUMPRODUCT((COLUMN($G203:$P203)-COLUMN($G203)+1&lt;Reprogramaciones!O$14)*$G203:$P203)+N(INDEX($G203:$P203,1,Reprogramaciones!O$14))*IF(Reprogramaciones!O$13&gt;=(Reprogramaciones!$T$15+7*(Reprogramaciones!O$14-1))+6,1,IF(MAX(0,NETWORKDAYS.INTL(MAX(E203,(Reprogramaciones!$T$15+7*(Reprogramaciones!O$14-1))),MIN(F203,(Reprogramaciones!$T$15+7*(Reprogramaciones!O$14-1))+6),11))=0,0,MAX(0,NETWORKDAYS.INTL(MAX(E203,(Reprogramaciones!$T$15+7*(Reprogramaciones!O$14-1))),MIN(F203,Reprogramaciones!O$13),11))/MAX(0,NETWORKDAYS.INTL(MAX(E203,(Reprogramaciones!$T$15+7*(Reprogramaciones!O$14-1))),MIN(F203,(Reprogramaciones!$T$15+7*(Reprogramaciones!O$14-1))+6),11))))))))</f>
        <v/>
      </c>
      <c r="BY203" s="1" t="str">
        <f aca="false">IF(OR(NOT(AND(ISNUMBER(E203),ISNUMBER(F203))),$J$2=""),"",IF(Reprogramaciones!P$13&lt;Reprogramaciones!$T$15,0,IF(Reprogramaciones!P$14&gt;10,MIN(100,SUM($G203:$P203)),MIN(100,SUMPRODUCT((COLUMN($G203:$P203)-COLUMN($G203)+1&lt;Reprogramaciones!P$14)*$G203:$P203)+N(INDEX($G203:$P203,1,Reprogramaciones!P$14))*IF(Reprogramaciones!P$13&gt;=(Reprogramaciones!$T$15+7*(Reprogramaciones!P$14-1))+6,1,IF(MAX(0,NETWORKDAYS.INTL(MAX(E203,(Reprogramaciones!$T$15+7*(Reprogramaciones!P$14-1))),MIN(F203,(Reprogramaciones!$T$15+7*(Reprogramaciones!P$14-1))+6),11))=0,0,MAX(0,NETWORKDAYS.INTL(MAX(E203,(Reprogramaciones!$T$15+7*(Reprogramaciones!P$14-1))),MIN(F203,Reprogramaciones!P$13),11))/MAX(0,NETWORKDAYS.INTL(MAX(E203,(Reprogramaciones!$T$15+7*(Reprogramaciones!P$14-1))),MIN(F203,(Reprogramaciones!$T$15+7*(Reprogramaciones!P$14-1))+6),11))))))))</f>
        <v/>
      </c>
      <c r="BZ203" s="1" t="str">
        <f aca="false">IF(OR(NOT(AND(ISNUMBER(E203),ISNUMBER(F203))),$J$2=""),"",IF(Reprogramaciones!Q$13&lt;Reprogramaciones!$T$15,0,IF(Reprogramaciones!Q$14&gt;10,MIN(100,SUM($G203:$P203)),MIN(100,SUMPRODUCT((COLUMN($G203:$P203)-COLUMN($G203)+1&lt;Reprogramaciones!Q$14)*$G203:$P203)+N(INDEX($G203:$P203,1,Reprogramaciones!Q$14))*IF(Reprogramaciones!Q$13&gt;=(Reprogramaciones!$T$15+7*(Reprogramaciones!Q$14-1))+6,1,IF(MAX(0,NETWORKDAYS.INTL(MAX(E203,(Reprogramaciones!$T$15+7*(Reprogramaciones!Q$14-1))),MIN(F203,(Reprogramaciones!$T$15+7*(Reprogramaciones!Q$14-1))+6),11))=0,0,MAX(0,NETWORKDAYS.INTL(MAX(E203,(Reprogramaciones!$T$15+7*(Reprogramaciones!Q$14-1))),MIN(F203,Reprogramaciones!Q$13),11))/MAX(0,NETWORKDAYS.INTL(MAX(E203,(Reprogramaciones!$T$15+7*(Reprogramaciones!Q$14-1))),MIN(F203,(Reprogramaciones!$T$15+7*(Reprogramaciones!Q$14-1))+6),11))))))))</f>
        <v/>
      </c>
      <c r="CA203" s="1" t="str">
        <f aca="false">IF(OR(NOT(AND(ISNUMBER(E203),ISNUMBER(F203))),$J$2=""),"",IF(Reprogramaciones!R$13&lt;Reprogramaciones!$T$15,0,IF(Reprogramaciones!R$14&gt;10,MIN(100,SUM($G203:$P203)),MIN(100,SUMPRODUCT((COLUMN($G203:$P203)-COLUMN($G203)+1&lt;Reprogramaciones!R$14)*$G203:$P203)+N(INDEX($G203:$P203,1,Reprogramaciones!R$14))*IF(Reprogramaciones!R$13&gt;=(Reprogramaciones!$T$15+7*(Reprogramaciones!R$14-1))+6,1,IF(MAX(0,NETWORKDAYS.INTL(MAX(E203,(Reprogramaciones!$T$15+7*(Reprogramaciones!R$14-1))),MIN(F203,(Reprogramaciones!$T$15+7*(Reprogramaciones!R$14-1))+6),11))=0,0,MAX(0,NETWORKDAYS.INTL(MAX(E203,(Reprogramaciones!$T$15+7*(Reprogramaciones!R$14-1))),MIN(F203,Reprogramaciones!R$13),11))/MAX(0,NETWORKDAYS.INTL(MAX(E203,(Reprogramaciones!$T$15+7*(Reprogramaciones!R$14-1))),MIN(F203,(Reprogramaciones!$T$15+7*(Reprogramaciones!R$14-1))+6),11))))))))</f>
        <v/>
      </c>
      <c r="CB203" s="1" t="str">
        <f aca="false">IF(OR(NOT(AND(ISNUMBER(E203),ISNUMBER(F203))),$J$2=""),"",IF(Reprogramaciones!S$13&lt;Reprogramaciones!$T$15,0,IF(Reprogramaciones!S$14&gt;10,MIN(100,SUM($G203:$P203)),MIN(100,SUMPRODUCT((COLUMN($G203:$P203)-COLUMN($G203)+1&lt;Reprogramaciones!S$14)*$G203:$P203)+N(INDEX($G203:$P203,1,Reprogramaciones!S$14))*IF(Reprogramaciones!S$13&gt;=(Reprogramaciones!$T$15+7*(Reprogramaciones!S$14-1))+6,1,IF(MAX(0,NETWORKDAYS.INTL(MAX(E203,(Reprogramaciones!$T$15+7*(Reprogramaciones!S$14-1))),MIN(F203,(Reprogramaciones!$T$15+7*(Reprogramaciones!S$14-1))+6),11))=0,0,MAX(0,NETWORKDAYS.INTL(MAX(E203,(Reprogramaciones!$T$15+7*(Reprogramaciones!S$14-1))),MIN(F203,Reprogramaciones!S$13),11))/MAX(0,NETWORKDAYS.INTL(MAX(E203,(Reprogramaciones!$T$15+7*(Reprogramaciones!S$14-1))),MIN(F203,(Reprogramaciones!$T$15+7*(Reprogramaciones!S$14-1))+6),11))))))))</f>
        <v/>
      </c>
      <c r="CC203" s="1" t="str">
        <f aca="false">IF(OR(NOT(AND(ISNUMBER(E203),ISNUMBER(F203))),$J$2=""),"",IF(Reprogramaciones!T$13&lt;Reprogramaciones!$T$15,0,IF(Reprogramaciones!T$14&gt;10,MIN(100,SUM($G203:$P203)),MIN(100,SUMPRODUCT((COLUMN($G203:$P203)-COLUMN($G203)+1&lt;Reprogramaciones!T$14)*$G203:$P203)+N(INDEX($G203:$P203,1,Reprogramaciones!T$14))*IF(Reprogramaciones!T$13&gt;=(Reprogramaciones!$T$15+7*(Reprogramaciones!T$14-1))+6,1,IF(MAX(0,NETWORKDAYS.INTL(MAX(E203,(Reprogramaciones!$T$15+7*(Reprogramaciones!T$14-1))),MIN(F203,(Reprogramaciones!$T$15+7*(Reprogramaciones!T$14-1))+6),11))=0,0,MAX(0,NETWORKDAYS.INTL(MAX(E203,(Reprogramaciones!$T$15+7*(Reprogramaciones!T$14-1))),MIN(F203,Reprogramaciones!T$13),11))/MAX(0,NETWORKDAYS.INTL(MAX(E203,(Reprogramaciones!$T$15+7*(Reprogramaciones!T$14-1))),MIN(F203,(Reprogramaciones!$T$15+7*(Reprogramaciones!T$14-1))+6),11))))))))</f>
        <v/>
      </c>
      <c r="CD203" s="1" t="str">
        <f aca="false">IF(OR(NOT(AND(ISNUMBER(E203),ISNUMBER(F203))),$J$2=""),"",IF(Reprogramaciones!U$13&lt;Reprogramaciones!$T$15,0,IF(Reprogramaciones!U$14&gt;10,MIN(100,SUM($G203:$P203)),MIN(100,SUMPRODUCT((COLUMN($G203:$P203)-COLUMN($G203)+1&lt;Reprogramaciones!U$14)*$G203:$P203)+N(INDEX($G203:$P203,1,Reprogramaciones!U$14))*IF(Reprogramaciones!U$13&gt;=(Reprogramaciones!$T$15+7*(Reprogramaciones!U$14-1))+6,1,IF(MAX(0,NETWORKDAYS.INTL(MAX(E203,(Reprogramaciones!$T$15+7*(Reprogramaciones!U$14-1))),MIN(F203,(Reprogramaciones!$T$15+7*(Reprogramaciones!U$14-1))+6),11))=0,0,MAX(0,NETWORKDAYS.INTL(MAX(E203,(Reprogramaciones!$T$15+7*(Reprogramaciones!U$14-1))),MIN(F203,Reprogramaciones!U$13),11))/MAX(0,NETWORKDAYS.INTL(MAX(E203,(Reprogramaciones!$T$15+7*(Reprogramaciones!U$14-1))),MIN(F203,(Reprogramaciones!$T$15+7*(Reprogramaciones!U$14-1))+6),11))))))))</f>
        <v/>
      </c>
      <c r="CE203" s="1" t="str">
        <f aca="false">IF(OR(NOT(AND(ISNUMBER(E203),ISNUMBER(F203))),$J$2=""),"",IF(Reprogramaciones!V$13&lt;Reprogramaciones!$T$15,0,IF(Reprogramaciones!V$14&gt;10,MIN(100,SUM($G203:$P203)),MIN(100,SUMPRODUCT((COLUMN($G203:$P203)-COLUMN($G203)+1&lt;Reprogramaciones!V$14)*$G203:$P203)+N(INDEX($G203:$P203,1,Reprogramaciones!V$14))*IF(Reprogramaciones!V$13&gt;=(Reprogramaciones!$T$15+7*(Reprogramaciones!V$14-1))+6,1,IF(MAX(0,NETWORKDAYS.INTL(MAX(E203,(Reprogramaciones!$T$15+7*(Reprogramaciones!V$14-1))),MIN(F203,(Reprogramaciones!$T$15+7*(Reprogramaciones!V$14-1))+6),11))=0,0,MAX(0,NETWORKDAYS.INTL(MAX(E203,(Reprogramaciones!$T$15+7*(Reprogramaciones!V$14-1))),MIN(F203,Reprogramaciones!V$13),11))/MAX(0,NETWORKDAYS.INTL(MAX(E203,(Reprogramaciones!$T$15+7*(Reprogramaciones!V$14-1))),MIN(F203,(Reprogramaciones!$T$15+7*(Reprogramaciones!V$14-1))+6),11))))))))</f>
        <v/>
      </c>
      <c r="CF203" s="1" t="str">
        <f aca="false">IF(OR(NOT(AND(ISNUMBER(E203),ISNUMBER(F203))),$J$2=""),"",IF(Reprogramaciones!W$13&lt;Reprogramaciones!$T$15,0,IF(Reprogramaciones!W$14&gt;10,MIN(100,SUM($G203:$P203)),MIN(100,SUMPRODUCT((COLUMN($G203:$P203)-COLUMN($G203)+1&lt;Reprogramaciones!W$14)*$G203:$P203)+N(INDEX($G203:$P203,1,Reprogramaciones!W$14))*IF(Reprogramaciones!W$13&gt;=(Reprogramaciones!$T$15+7*(Reprogramaciones!W$14-1))+6,1,IF(MAX(0,NETWORKDAYS.INTL(MAX(E203,(Reprogramaciones!$T$15+7*(Reprogramaciones!W$14-1))),MIN(F203,(Reprogramaciones!$T$15+7*(Reprogramaciones!W$14-1))+6),11))=0,0,MAX(0,NETWORKDAYS.INTL(MAX(E203,(Reprogramaciones!$T$15+7*(Reprogramaciones!W$14-1))),MIN(F203,Reprogramaciones!W$13),11))/MAX(0,NETWORKDAYS.INTL(MAX(E203,(Reprogramaciones!$T$15+7*(Reprogramaciones!W$14-1))),MIN(F203,(Reprogramaciones!$T$15+7*(Reprogramaciones!W$14-1))+6),11))))))))</f>
        <v/>
      </c>
      <c r="CG203" s="1" t="str">
        <f aca="false">IF(OR(NOT(AND(ISNUMBER(E203),ISNUMBER(F203))),$J$2=""),"",IF(Reprogramaciones!X$13&lt;Reprogramaciones!$T$15,0,IF(Reprogramaciones!X$14&gt;10,MIN(100,SUM($G203:$P203)),MIN(100,SUMPRODUCT((COLUMN($G203:$P203)-COLUMN($G203)+1&lt;Reprogramaciones!X$14)*$G203:$P203)+N(INDEX($G203:$P203,1,Reprogramaciones!X$14))*IF(Reprogramaciones!X$13&gt;=(Reprogramaciones!$T$15+7*(Reprogramaciones!X$14-1))+6,1,IF(MAX(0,NETWORKDAYS.INTL(MAX(E203,(Reprogramaciones!$T$15+7*(Reprogramaciones!X$14-1))),MIN(F203,(Reprogramaciones!$T$15+7*(Reprogramaciones!X$14-1))+6),11))=0,0,MAX(0,NETWORKDAYS.INTL(MAX(E203,(Reprogramaciones!$T$15+7*(Reprogramaciones!X$14-1))),MIN(F203,Reprogramaciones!X$13),11))/MAX(0,NETWORKDAYS.INTL(MAX(E203,(Reprogramaciones!$T$15+7*(Reprogramaciones!X$14-1))),MIN(F203,(Reprogramaciones!$T$15+7*(Reprogramaciones!X$14-1))+6),11))))))))</f>
        <v/>
      </c>
      <c r="CH203" s="1" t="str">
        <f aca="false">IF(OR(NOT(AND(ISNUMBER(E203),ISNUMBER(F203))),$J$2=""),"",IF(Reprogramaciones!Y$13&lt;Reprogramaciones!$T$15,0,IF(Reprogramaciones!Y$14&gt;10,MIN(100,SUM($G203:$P203)),MIN(100,SUMPRODUCT((COLUMN($G203:$P203)-COLUMN($G203)+1&lt;Reprogramaciones!Y$14)*$G203:$P203)+N(INDEX($G203:$P203,1,Reprogramaciones!Y$14))*IF(Reprogramaciones!Y$13&gt;=(Reprogramaciones!$T$15+7*(Reprogramaciones!Y$14-1))+6,1,IF(MAX(0,NETWORKDAYS.INTL(MAX(E203,(Reprogramaciones!$T$15+7*(Reprogramaciones!Y$14-1))),MIN(F203,(Reprogramaciones!$T$15+7*(Reprogramaciones!Y$14-1))+6),11))=0,0,MAX(0,NETWORKDAYS.INTL(MAX(E203,(Reprogramaciones!$T$15+7*(Reprogramaciones!Y$14-1))),MIN(F203,Reprogramaciones!Y$13),11))/MAX(0,NETWORKDAYS.INTL(MAX(E203,(Reprogramaciones!$T$15+7*(Reprogramaciones!Y$14-1))),MIN(F203,(Reprogramaciones!$T$15+7*(Reprogramaciones!Y$14-1))+6),11))))))))</f>
        <v/>
      </c>
      <c r="CI203" s="1" t="str">
        <f aca="false">IF(OR(NOT(AND(ISNUMBER(E203),ISNUMBER(F203))),$J$2=""),"",IF(Reprogramaciones!Z$13&lt;Reprogramaciones!$T$15,0,IF(Reprogramaciones!Z$14&gt;10,MIN(100,SUM($G203:$P203)),MIN(100,SUMPRODUCT((COLUMN($G203:$P203)-COLUMN($G203)+1&lt;Reprogramaciones!Z$14)*$G203:$P203)+N(INDEX($G203:$P203,1,Reprogramaciones!Z$14))*IF(Reprogramaciones!Z$13&gt;=(Reprogramaciones!$T$15+7*(Reprogramaciones!Z$14-1))+6,1,IF(MAX(0,NETWORKDAYS.INTL(MAX(E203,(Reprogramaciones!$T$15+7*(Reprogramaciones!Z$14-1))),MIN(F203,(Reprogramaciones!$T$15+7*(Reprogramaciones!Z$14-1))+6),11))=0,0,MAX(0,NETWORKDAYS.INTL(MAX(E203,(Reprogramaciones!$T$15+7*(Reprogramaciones!Z$14-1))),MIN(F203,Reprogramaciones!Z$13),11))/MAX(0,NETWORKDAYS.INTL(MAX(E203,(Reprogramaciones!$T$15+7*(Reprogramaciones!Z$14-1))),MIN(F203,(Reprogramaciones!$T$15+7*(Reprogramaciones!Z$14-1))+6),11))))))))</f>
        <v/>
      </c>
      <c r="CJ203" s="1" t="str">
        <f aca="false">IF(OR(OR(NOT(AND(ISNUMBER(E203),ISNUMBER(F203))),$J$2=""),1&gt;Reprogramaciones!$K$16),"",IF(ROUND(SUM($Q203:Q203),1)&gt;=99.5,100,MIN(100,ROUND(SUM($Q203:Q203),1))))</f>
        <v/>
      </c>
      <c r="CK203" s="1" t="str">
        <f aca="false">IF(OR(OR(NOT(AND(ISNUMBER(E203),ISNUMBER(F203))),$J$2=""),2&gt;Reprogramaciones!$K$16),"",IF(ROUND(SUM($Q203:R203),1)&gt;=99.5,100,MIN(100,ROUND(SUM($Q203:R203),1))))</f>
        <v/>
      </c>
      <c r="CL203" s="1" t="str">
        <f aca="false">IF(OR(OR(NOT(AND(ISNUMBER(E203),ISNUMBER(F203))),$J$2=""),3&gt;Reprogramaciones!$K$16),"",IF(ROUND(SUM($Q203:S203),1)&gt;=99.5,100,MIN(100,ROUND(SUM($Q203:S203),1))))</f>
        <v/>
      </c>
      <c r="CM203" s="1" t="str">
        <f aca="false">IF(OR(OR(NOT(AND(ISNUMBER(E203),ISNUMBER(F203))),$J$2=""),4&gt;Reprogramaciones!$K$16),"",IF(ROUND(SUM($Q203:T203),1)&gt;=99.5,100,MIN(100,ROUND(SUM($Q203:T203),1))))</f>
        <v/>
      </c>
      <c r="CN203" s="1" t="str">
        <f aca="false">IF(OR(OR(NOT(AND(ISNUMBER(E203),ISNUMBER(F203))),$J$2=""),5&gt;Reprogramaciones!$K$16),"",IF(ROUND(SUM($Q203:U203),1)&gt;=99.5,100,MIN(100,ROUND(SUM($Q203:U203),1))))</f>
        <v/>
      </c>
      <c r="CO203" s="1" t="str">
        <f aca="false">IF(OR(OR(NOT(AND(ISNUMBER(E203),ISNUMBER(F203))),$J$2=""),6&gt;Reprogramaciones!$K$16),"",IF(ROUND(SUM($Q203:V203),1)&gt;=99.5,100,MIN(100,ROUND(SUM($Q203:V203),1))))</f>
        <v/>
      </c>
      <c r="CP203" s="1" t="str">
        <f aca="false">IF(OR(OR(NOT(AND(ISNUMBER(E203),ISNUMBER(F203))),$J$2=""),7&gt;Reprogramaciones!$K$16),"",IF(ROUND(SUM($Q203:W203),1)&gt;=99.5,100,MIN(100,ROUND(SUM($Q203:W203),1))))</f>
        <v/>
      </c>
      <c r="CQ203" s="1" t="str">
        <f aca="false">IF(OR(OR(NOT(AND(ISNUMBER(E203),ISNUMBER(F203))),$J$2=""),8&gt;Reprogramaciones!$K$16),"",IF(ROUND(SUM($Q203:X203),1)&gt;=99.5,100,MIN(100,ROUND(SUM($Q203:X203),1))))</f>
        <v/>
      </c>
      <c r="CR203" s="1" t="str">
        <f aca="false">IF(OR(OR(NOT(AND(ISNUMBER(E203),ISNUMBER(F203))),$J$2=""),9&gt;Reprogramaciones!$K$16),"",IF(ROUND(SUM($Q203:Y203),1)&gt;=99.5,100,MIN(100,ROUND(SUM($Q203:Y203),1))))</f>
        <v/>
      </c>
      <c r="CS203" s="1" t="str">
        <f aca="false">IF(OR(OR(NOT(AND(ISNUMBER(E203),ISNUMBER(F203))),$J$2=""),10&gt;Reprogramaciones!$K$16),"",IF(ROUND(SUM($Q203:Z203),1)&gt;=99.5,100,MIN(100,ROUND(SUM($Q203:Z203),1))))</f>
        <v/>
      </c>
      <c r="CT203" s="1" t="str">
        <f aca="false">IF(OR(OR(NOT(AND(ISNUMBER(E203),ISNUMBER(F203))),$J$2=""),11&gt;Reprogramaciones!$K$16),"",IF(ROUND(SUM($Q203:AA203),1)&gt;=99.5,100,MIN(100,ROUND(SUM($Q203:AA203),1))))</f>
        <v/>
      </c>
      <c r="CU203" s="1" t="str">
        <f aca="false">IF(OR(OR(NOT(AND(ISNUMBER(E203),ISNUMBER(F203))),$J$2=""),12&gt;Reprogramaciones!$K$16),"",IF(ROUND(SUM($Q203:AB203),1)&gt;=99.5,100,MIN(100,ROUND(SUM($Q203:AB203),1))))</f>
        <v/>
      </c>
      <c r="CV203" s="1" t="str">
        <f aca="false">IF(OR(OR(NOT(AND(ISNUMBER(E203),ISNUMBER(F203))),$J$2=""),13&gt;Reprogramaciones!$K$16),"",IF(ROUND(SUM($Q203:AC203),1)&gt;=99.5,100,MIN(100,ROUND(SUM($Q203:AC203),1))))</f>
        <v/>
      </c>
      <c r="CW203" s="1" t="str">
        <f aca="false">IF(OR(OR(NOT(AND(ISNUMBER(E203),ISNUMBER(F203))),$J$2=""),14&gt;Reprogramaciones!$K$16),"",IF(ROUND(SUM($Q203:AD203),1)&gt;=99.5,100,MIN(100,ROUND(SUM($Q203:AD203),1))))</f>
        <v/>
      </c>
      <c r="CX203" s="1" t="str">
        <f aca="false">IF(OR(OR(NOT(AND(ISNUMBER(E203),ISNUMBER(F203))),$J$2=""),15&gt;Reprogramaciones!$K$16),"",IF(ROUND(SUM($Q203:AE203),1)&gt;=99.5,100,MIN(100,ROUND(SUM($Q203:AE203),1))))</f>
        <v/>
      </c>
      <c r="CY203" s="1" t="str">
        <f aca="false">IF(OR(OR(NOT(AND(ISNUMBER(E203),ISNUMBER(F203))),$J$2=""),16&gt;Reprogramaciones!$K$16),"",IF(ROUND(SUM($Q203:AF203),1)&gt;=99.5,100,MIN(100,ROUND(SUM($Q203:AF203),1))))</f>
        <v/>
      </c>
      <c r="CZ203" s="1" t="str">
        <f aca="false">IF(D203&lt;&gt;"",D203,IF(B203&lt;&gt;"","Contractual",CZ202))</f>
        <v>Contractual</v>
      </c>
      <c r="DA203" s="1" t="str">
        <f aca="false">IF(OR(NOT(AND(ISNUMBER(E203),ISNUMBER(F203))),$J$2=""),"",IF(Reprogramaciones!$Q$15&lt;Reprogramaciones!$T$15,0,IF(Reprogramaciones!$S$15&gt;10,MIN(100,SUM($G203:$P203)),MIN(100,SUMPRODUCT((COLUMN($G203:$P203)-COLUMN($G203)+1&lt;Reprogramaciones!$S$15)*$G203:$P203)+N(INDEX($G203:$P203,1,Reprogramaciones!$S$15))*IF(Reprogramaciones!$Q$15&gt;=(Reprogramaciones!$T$15+7*(Reprogramaciones!$S$15-1))+6,1,IF(MAX(0,NETWORKDAYS.INTL(MAX(E203,(Reprogramaciones!$T$15+7*(Reprogramaciones!$S$15-1))),MIN(F203,(Reprogramaciones!$T$15+7*(Reprogramaciones!$S$15-1))+6),11))=0,0,MAX(0,NETWORKDAYS.INTL(MAX(E203,(Reprogramaciones!$T$15+7*(Reprogramaciones!$S$15-1))),MIN(F203,Reprogramaciones!$Q$15),11))/MAX(0,NETWORKDAYS.INTL(MAX(E203,(Reprogramaciones!$T$15+7*(Reprogramaciones!$S$15-1))),MIN(F203,(Reprogramaciones!$T$15+7*(Reprogramaciones!$S$15-1))+6),11))))))))</f>
        <v/>
      </c>
    </row>
    <row r="204" customFormat="false" ht="15" hidden="false" customHeight="false" outlineLevel="0" collapsed="false">
      <c r="A204" s="32"/>
      <c r="B204" s="33"/>
      <c r="C204" s="33"/>
      <c r="D204" s="34"/>
      <c r="E204" s="35"/>
      <c r="F204" s="35"/>
      <c r="G204" s="36" t="str">
        <f aca="false">IF(OR(NOT(AND(ISNUMBER(E204),ISNUMBER(F204))),$J$2=""),"",IF(Reprogramaciones!K$9&lt;E204,0,IF(NETWORKDAYS.INTL(E204,F204,11)=0,IF(Reprogramaciones!K$9&gt;=F204,100,0),ROUND(NETWORKDAYS.INTL(E204,MIN(F204,Reprogramaciones!K$9),11)/NETWORKDAYS.INTL(E204,F204,11)*100,1)))-0)</f>
        <v/>
      </c>
      <c r="H204" s="36" t="str">
        <f aca="false">IF(OR(NOT(AND(ISNUMBER(E204),ISNUMBER(F204))),$J$2=""),"",IF(Reprogramaciones!L$9&lt;E204,0,IF(NETWORKDAYS.INTL(E204,F204,11)=0,IF(Reprogramaciones!L$9&gt;=F204,100,0),ROUND(NETWORKDAYS.INTL(E204,MIN(F204,Reprogramaciones!L$9),11)/NETWORKDAYS.INTL(E204,F204,11)*100,1)))-IF(Reprogramaciones!K$9&lt;E204,0,IF(NETWORKDAYS.INTL(E204,F204,11)=0,IF(Reprogramaciones!K$9&gt;=F204,100,0),ROUND(NETWORKDAYS.INTL(E204,MIN(F204,Reprogramaciones!K$9),11)/NETWORKDAYS.INTL(E204,F204,11)*100,1))))</f>
        <v/>
      </c>
      <c r="I204" s="36" t="str">
        <f aca="false">IF(OR(NOT(AND(ISNUMBER(E204),ISNUMBER(F204))),$J$2=""),"",IF(Reprogramaciones!M$9&lt;E204,0,IF(NETWORKDAYS.INTL(E204,F204,11)=0,IF(Reprogramaciones!M$9&gt;=F204,100,0),ROUND(NETWORKDAYS.INTL(E204,MIN(F204,Reprogramaciones!M$9),11)/NETWORKDAYS.INTL(E204,F204,11)*100,1)))-IF(Reprogramaciones!L$9&lt;E204,0,IF(NETWORKDAYS.INTL(E204,F204,11)=0,IF(Reprogramaciones!L$9&gt;=F204,100,0),ROUND(NETWORKDAYS.INTL(E204,MIN(F204,Reprogramaciones!L$9),11)/NETWORKDAYS.INTL(E204,F204,11)*100,1))))</f>
        <v/>
      </c>
      <c r="J204" s="36" t="str">
        <f aca="false">IF(OR(NOT(AND(ISNUMBER(E204),ISNUMBER(F204))),$J$2=""),"",IF(Reprogramaciones!N$9&lt;E204,0,IF(NETWORKDAYS.INTL(E204,F204,11)=0,IF(Reprogramaciones!N$9&gt;=F204,100,0),ROUND(NETWORKDAYS.INTL(E204,MIN(F204,Reprogramaciones!N$9),11)/NETWORKDAYS.INTL(E204,F204,11)*100,1)))-IF(Reprogramaciones!M$9&lt;E204,0,IF(NETWORKDAYS.INTL(E204,F204,11)=0,IF(Reprogramaciones!M$9&gt;=F204,100,0),ROUND(NETWORKDAYS.INTL(E204,MIN(F204,Reprogramaciones!M$9),11)/NETWORKDAYS.INTL(E204,F204,11)*100,1))))</f>
        <v/>
      </c>
      <c r="K204" s="36" t="str">
        <f aca="false">IF(OR(NOT(AND(ISNUMBER(E204),ISNUMBER(F204))),$J$2=""),"",IF(Reprogramaciones!O$9&lt;E204,0,IF(NETWORKDAYS.INTL(E204,F204,11)=0,IF(Reprogramaciones!O$9&gt;=F204,100,0),ROUND(NETWORKDAYS.INTL(E204,MIN(F204,Reprogramaciones!O$9),11)/NETWORKDAYS.INTL(E204,F204,11)*100,1)))-IF(Reprogramaciones!N$9&lt;E204,0,IF(NETWORKDAYS.INTL(E204,F204,11)=0,IF(Reprogramaciones!N$9&gt;=F204,100,0),ROUND(NETWORKDAYS.INTL(E204,MIN(F204,Reprogramaciones!N$9),11)/NETWORKDAYS.INTL(E204,F204,11)*100,1))))</f>
        <v/>
      </c>
      <c r="L204" s="36" t="str">
        <f aca="false">IF(OR(NOT(AND(ISNUMBER(E204),ISNUMBER(F204))),$J$2=""),"",IF(Reprogramaciones!P$9&lt;E204,0,IF(NETWORKDAYS.INTL(E204,F204,11)=0,IF(Reprogramaciones!P$9&gt;=F204,100,0),ROUND(NETWORKDAYS.INTL(E204,MIN(F204,Reprogramaciones!P$9),11)/NETWORKDAYS.INTL(E204,F204,11)*100,1)))-IF(Reprogramaciones!O$9&lt;E204,0,IF(NETWORKDAYS.INTL(E204,F204,11)=0,IF(Reprogramaciones!O$9&gt;=F204,100,0),ROUND(NETWORKDAYS.INTL(E204,MIN(F204,Reprogramaciones!O$9),11)/NETWORKDAYS.INTL(E204,F204,11)*100,1))))</f>
        <v/>
      </c>
      <c r="M204" s="36" t="str">
        <f aca="false">IF(OR(NOT(AND(ISNUMBER(E204),ISNUMBER(F204))),$J$2=""),"",IF(Reprogramaciones!Q$9&lt;E204,0,IF(NETWORKDAYS.INTL(E204,F204,11)=0,IF(Reprogramaciones!Q$9&gt;=F204,100,0),ROUND(NETWORKDAYS.INTL(E204,MIN(F204,Reprogramaciones!Q$9),11)/NETWORKDAYS.INTL(E204,F204,11)*100,1)))-IF(Reprogramaciones!P$9&lt;E204,0,IF(NETWORKDAYS.INTL(E204,F204,11)=0,IF(Reprogramaciones!P$9&gt;=F204,100,0),ROUND(NETWORKDAYS.INTL(E204,MIN(F204,Reprogramaciones!P$9),11)/NETWORKDAYS.INTL(E204,F204,11)*100,1))))</f>
        <v/>
      </c>
      <c r="N204" s="36" t="str">
        <f aca="false">IF(OR(NOT(AND(ISNUMBER(E204),ISNUMBER(F204))),$J$2=""),"",IF(Reprogramaciones!R$9&lt;E204,0,IF(NETWORKDAYS.INTL(E204,F204,11)=0,IF(Reprogramaciones!R$9&gt;=F204,100,0),ROUND(NETWORKDAYS.INTL(E204,MIN(F204,Reprogramaciones!R$9),11)/NETWORKDAYS.INTL(E204,F204,11)*100,1)))-IF(Reprogramaciones!Q$9&lt;E204,0,IF(NETWORKDAYS.INTL(E204,F204,11)=0,IF(Reprogramaciones!Q$9&gt;=F204,100,0),ROUND(NETWORKDAYS.INTL(E204,MIN(F204,Reprogramaciones!Q$9),11)/NETWORKDAYS.INTL(E204,F204,11)*100,1))))</f>
        <v/>
      </c>
      <c r="O204" s="36" t="str">
        <f aca="false">IF(OR(NOT(AND(ISNUMBER(E204),ISNUMBER(F204))),$J$2=""),"",IF(Reprogramaciones!S$9&lt;E204,0,IF(NETWORKDAYS.INTL(E204,F204,11)=0,IF(Reprogramaciones!S$9&gt;=F204,100,0),ROUND(NETWORKDAYS.INTL(E204,MIN(F204,Reprogramaciones!S$9),11)/NETWORKDAYS.INTL(E204,F204,11)*100,1)))-IF(Reprogramaciones!R$9&lt;E204,0,IF(NETWORKDAYS.INTL(E204,F204,11)=0,IF(Reprogramaciones!R$9&gt;=F204,100,0),ROUND(NETWORKDAYS.INTL(E204,MIN(F204,Reprogramaciones!R$9),11)/NETWORKDAYS.INTL(E204,F204,11)*100,1))))</f>
        <v/>
      </c>
      <c r="P204" s="36" t="str">
        <f aca="false">IF(OR(NOT(AND(ISNUMBER(E204),ISNUMBER(F204))),$J$2=""),"",IF(Reprogramaciones!T$9&lt;E204,0,IF(NETWORKDAYS.INTL(E204,F204,11)=0,IF(Reprogramaciones!T$9&gt;=F204,100,0),ROUND(NETWORKDAYS.INTL(E204,MIN(F204,Reprogramaciones!T$9),11)/NETWORKDAYS.INTL(E204,F204,11)*100,1)))-IF(Reprogramaciones!S$9&lt;E204,0,IF(NETWORKDAYS.INTL(E204,F204,11)=0,IF(Reprogramaciones!S$9&gt;=F204,100,0),ROUND(NETWORKDAYS.INTL(E204,MIN(F204,Reprogramaciones!S$9),11)/NETWORKDAYS.INTL(E204,F204,11)*100,1))))</f>
        <v/>
      </c>
      <c r="Q204" s="37"/>
      <c r="R204" s="37"/>
      <c r="S204" s="37"/>
      <c r="T204" s="37"/>
      <c r="U204" s="37"/>
      <c r="V204" s="37"/>
      <c r="W204" s="37"/>
      <c r="X204" s="37"/>
      <c r="Y204" s="37"/>
      <c r="Z204" s="37"/>
      <c r="AA204" s="37"/>
      <c r="AB204" s="37"/>
      <c r="AC204" s="37"/>
      <c r="AD204" s="37"/>
      <c r="AE204" s="37"/>
      <c r="AF204" s="37"/>
      <c r="AG204" s="38" t="str">
        <f aca="false">IF(AND(ISNUMBER(E204),ISNUMBER(F204)),NETWORKDAYS.INTL(E204,F204,11),"")</f>
        <v/>
      </c>
      <c r="AH204" s="38" t="str">
        <f aca="false">IF(OR(NOT(AND(ISNUMBER(E204),ISNUMBER(F204))),$J$2=""),"",IF(Reprogramaciones!$P$15&lt;Reprogramaciones!$T$15,0,IF(Reprogramaciones!$R$15&gt;10,MIN(100,SUM($G204:$P204)),MIN(100,SUMPRODUCT((COLUMN($G204:$P204)-COLUMN($G204)+1&lt;Reprogramaciones!$R$15)*$G204:$P204)+N(INDEX($G204:$P204,1,Reprogramaciones!$R$15))*IF(Reprogramaciones!$P$15&gt;=(Reprogramaciones!$T$15+7*(Reprogramaciones!$R$15-1))+6,1,IF(MAX(0,NETWORKDAYS.INTL(MAX(E204,(Reprogramaciones!$T$15+7*(Reprogramaciones!$R$15-1))),MIN(F204,(Reprogramaciones!$T$15+7*(Reprogramaciones!$R$15-1))+6),11))=0,0,MAX(0,NETWORKDAYS.INTL(MAX(E204,(Reprogramaciones!$T$15+7*(Reprogramaciones!$R$15-1))),MIN(F204,Reprogramaciones!$P$15),11))/MAX(0,NETWORKDAYS.INTL(MAX(E204,(Reprogramaciones!$T$15+7*(Reprogramaciones!$R$15-1))),MIN(F204,(Reprogramaciones!$T$15+7*(Reprogramaciones!$R$15-1))+6),11))))))))</f>
        <v/>
      </c>
      <c r="AI204" s="38" t="str">
        <f aca="false">IF(COUNT($Q204:$AF204)=0,"",IF(ROUND(SUM($Q204:$AF204),1)&gt;=99.5,100,MIN(100,ROUND(SUM($Q204:$AF204),1))))</f>
        <v/>
      </c>
      <c r="AJ204" s="38" t="str">
        <f aca="false">IF(OR(AH204="",AI204=""),"",AI204-AH204)</f>
        <v/>
      </c>
      <c r="AK204" s="39" t="str">
        <f aca="true">IF(AH204="","",IF(OR(Ficha!$C$10="Suspendida",Ficha!$C$10="Cancelada"),Ficha!$C$10,IF(AND(AI204&lt;&gt;"",N(AI204)&gt;=100),"Completada",IF(AND(E204&gt;TODAY(),N(AI204)=0),"Por iniciar",IF(N(AI204)+0.5&lt;AH204,"Retrasada",IF(N(AI204)+0.5&lt;DA204,IF(Reprogramaciones!$K$15&gt;0,"Al día · Sem "&amp;Reprogramaciones!$K$15&amp;" en curso","Al día · en curso"),"A tiempo"))))))</f>
        <v/>
      </c>
      <c r="AL204" s="39" t="str">
        <f aca="true">IF(AND(A204="",AND(B204="",C204="",E204="",F204="",COUNT(Q204:AF204)=0)),"",IF(AND(B204="",C204="",E204="",F204="",COUNT(Q204:AF204)=0),"Falta la partida o subpartida",IF(AND(A204&lt;&gt;"",COUNTIF($A$6:$A$305,A204)&gt;1),"Ítem repetido",IF(AND(C204="",E204="",F204="",COUNT(Q204:AF204)=0),"Título de partida",IF(OR(E204="",F204=""),"Faltan fechas",IF(OR(ISTEXT(E204),ISTEXT(F204)),"Fecha escrita como texto: usa dd/mm/aaaa",IF(F204&lt;E204,"Fin antes del inicio",IF(IF($J$2="",FALSE(),OR(E204&lt;$J$2,F204&gt;Reprogramaciones!$T$15+69)),"Fuera de las 10 semanas",IF(ABS(SUM(G204:P204)-100)&gt;0.5,"La meta no suma 100%",IF(ROUND(SUM(Q204:AF204),1)&gt;100.5,"El avance pasa de 100%",IF(MIN(Q204:AF204)&lt;0,"Avance negativo",IF(COUNTA(Q204:AF204)&gt;COUNT(Q204:AF204),"Avance escrito como texto",IF(SUMPRODUCT((Q204:AF204&gt;0)*(Q204:AF204&lt;1))&gt;0,"Avance menor a 1: escribe 50, no 50%",IF(SUMPRODUCT(ISNUMBER(Q204:AF204)*(Reprogramaciones!$K$8:$Z$8&gt;TODAY()))&gt;0,"Avance en semana que aún no llega",IF(AND(N(Reprogramaciones!$E$21)&gt;0,F204&gt;Reprogramaciones!$E$21),"Pasa el fin de la obra: registra una reprogramación",IF(AND(N(Reprogramaciones!$E$21)&gt;0,SUMPRODUCT(ISNUMBER(Q204:AF204)*(Reprogramaciones!$K$8:$Z$8&gt;Reprogramaciones!$E$21))&gt;0),"Avance después del fin de la obra: registra una reprogramación por atraso","OK"))))))))))))))))</f>
        <v/>
      </c>
      <c r="AM204" s="40" t="str">
        <f aca="false">IF(OR(OR(NOT(AND(ISNUMBER(E204),ISNUMBER(F204))),$J$2=""),1&gt;MAX(1,Reprogramaciones!$U$15)),"",IF(Reprogramaciones!K$12&gt;=7,"",IF(OR(BT204-N(0)&gt;0.05,N(Q204)&gt;0),ROUNDDOWN(ROUND(BT204,6),0)&amp;"%"&amp;IF(CJ204="",""," / "&amp;CJ204&amp;"%"),IF(AND(N(0)&gt;=99.95,CJ204&lt;&gt;"",N(CJ204)&lt;100),"Pend. "&amp;CJ204&amp;"%",""))))</f>
        <v/>
      </c>
      <c r="AN204" s="40" t="str">
        <f aca="false">IF(OR(OR(NOT(AND(ISNUMBER(E204),ISNUMBER(F204))),$J$2=""),2&gt;MAX(1,Reprogramaciones!$U$15)),"",IF(Reprogramaciones!L$12&gt;=7,"",IF(OR(BU204-N(BT204)&gt;0.05,N(R204)&gt;0),ROUNDDOWN(ROUND(BU204,6),0)&amp;"%"&amp;IF(CK204="",""," / "&amp;CK204&amp;"%"),IF(AND(N(BT204)&gt;=99.95,CK204&lt;&gt;"",N(CK204)&lt;100),"Pend. "&amp;CK204&amp;"%",""))))</f>
        <v/>
      </c>
      <c r="AO204" s="40" t="str">
        <f aca="false">IF(OR(OR(NOT(AND(ISNUMBER(E204),ISNUMBER(F204))),$J$2=""),3&gt;MAX(1,Reprogramaciones!$U$15)),"",IF(Reprogramaciones!M$12&gt;=7,"",IF(OR(BV204-N(BU204)&gt;0.05,N(S204)&gt;0),ROUNDDOWN(ROUND(BV204,6),0)&amp;"%"&amp;IF(CL204="",""," / "&amp;CL204&amp;"%"),IF(AND(N(BU204)&gt;=99.95,CL204&lt;&gt;"",N(CL204)&lt;100),"Pend. "&amp;CL204&amp;"%",""))))</f>
        <v/>
      </c>
      <c r="AP204" s="40" t="str">
        <f aca="false">IF(OR(OR(NOT(AND(ISNUMBER(E204),ISNUMBER(F204))),$J$2=""),4&gt;MAX(1,Reprogramaciones!$U$15)),"",IF(Reprogramaciones!N$12&gt;=7,"",IF(OR(BW204-N(BV204)&gt;0.05,N(T204)&gt;0),ROUNDDOWN(ROUND(BW204,6),0)&amp;"%"&amp;IF(CM204="",""," / "&amp;CM204&amp;"%"),IF(AND(N(BV204)&gt;=99.95,CM204&lt;&gt;"",N(CM204)&lt;100),"Pend. "&amp;CM204&amp;"%",""))))</f>
        <v/>
      </c>
      <c r="AQ204" s="40" t="str">
        <f aca="false">IF(OR(OR(NOT(AND(ISNUMBER(E204),ISNUMBER(F204))),$J$2=""),5&gt;MAX(1,Reprogramaciones!$U$15)),"",IF(Reprogramaciones!O$12&gt;=7,"",IF(OR(BX204-N(BW204)&gt;0.05,N(U204)&gt;0),ROUNDDOWN(ROUND(BX204,6),0)&amp;"%"&amp;IF(CN204="",""," / "&amp;CN204&amp;"%"),IF(AND(N(BW204)&gt;=99.95,CN204&lt;&gt;"",N(CN204)&lt;100),"Pend. "&amp;CN204&amp;"%",""))))</f>
        <v/>
      </c>
      <c r="AR204" s="40" t="str">
        <f aca="false">IF(OR(OR(NOT(AND(ISNUMBER(E204),ISNUMBER(F204))),$J$2=""),6&gt;MAX(1,Reprogramaciones!$U$15)),"",IF(Reprogramaciones!P$12&gt;=7,"",IF(OR(BY204-N(BX204)&gt;0.05,N(V204)&gt;0),ROUNDDOWN(ROUND(BY204,6),0)&amp;"%"&amp;IF(CO204="",""," / "&amp;CO204&amp;"%"),IF(AND(N(BX204)&gt;=99.95,CO204&lt;&gt;"",N(CO204)&lt;100),"Pend. "&amp;CO204&amp;"%",""))))</f>
        <v/>
      </c>
      <c r="AS204" s="40" t="str">
        <f aca="false">IF(OR(OR(NOT(AND(ISNUMBER(E204),ISNUMBER(F204))),$J$2=""),7&gt;MAX(1,Reprogramaciones!$U$15)),"",IF(Reprogramaciones!Q$12&gt;=7,"",IF(OR(BZ204-N(BY204)&gt;0.05,N(W204)&gt;0),ROUNDDOWN(ROUND(BZ204,6),0)&amp;"%"&amp;IF(CP204="",""," / "&amp;CP204&amp;"%"),IF(AND(N(BY204)&gt;=99.95,CP204&lt;&gt;"",N(CP204)&lt;100),"Pend. "&amp;CP204&amp;"%",""))))</f>
        <v/>
      </c>
      <c r="AT204" s="40" t="str">
        <f aca="false">IF(OR(OR(NOT(AND(ISNUMBER(E204),ISNUMBER(F204))),$J$2=""),8&gt;MAX(1,Reprogramaciones!$U$15)),"",IF(Reprogramaciones!R$12&gt;=7,"",IF(OR(CA204-N(BZ204)&gt;0.05,N(X204)&gt;0),ROUNDDOWN(ROUND(CA204,6),0)&amp;"%"&amp;IF(CQ204="",""," / "&amp;CQ204&amp;"%"),IF(AND(N(BZ204)&gt;=99.95,CQ204&lt;&gt;"",N(CQ204)&lt;100),"Pend. "&amp;CQ204&amp;"%",""))))</f>
        <v/>
      </c>
      <c r="AU204" s="40" t="str">
        <f aca="false">IF(OR(OR(NOT(AND(ISNUMBER(E204),ISNUMBER(F204))),$J$2=""),9&gt;MAX(1,Reprogramaciones!$U$15)),"",IF(Reprogramaciones!S$12&gt;=7,"",IF(OR(CB204-N(CA204)&gt;0.05,N(Y204)&gt;0),ROUNDDOWN(ROUND(CB204,6),0)&amp;"%"&amp;IF(CR204="",""," / "&amp;CR204&amp;"%"),IF(AND(N(CA204)&gt;=99.95,CR204&lt;&gt;"",N(CR204)&lt;100),"Pend. "&amp;CR204&amp;"%",""))))</f>
        <v/>
      </c>
      <c r="AV204" s="40" t="str">
        <f aca="false">IF(OR(OR(NOT(AND(ISNUMBER(E204),ISNUMBER(F204))),$J$2=""),10&gt;MAX(1,Reprogramaciones!$U$15)),"",IF(Reprogramaciones!T$12&gt;=7,"",IF(OR(CC204-N(CB204)&gt;0.05,N(Z204)&gt;0),ROUNDDOWN(ROUND(CC204,6),0)&amp;"%"&amp;IF(CS204="",""," / "&amp;CS204&amp;"%"),IF(AND(N(CB204)&gt;=99.95,CS204&lt;&gt;"",N(CS204)&lt;100),"Pend. "&amp;CS204&amp;"%",""))))</f>
        <v/>
      </c>
      <c r="AW204" s="40" t="str">
        <f aca="false">IF(OR(OR(NOT(AND(ISNUMBER(E204),ISNUMBER(F204))),$J$2=""),11&gt;MAX(1,Reprogramaciones!$U$15)),"",IF(Reprogramaciones!U$12&gt;=7,"",IF(OR(CD204-N(CC204)&gt;0.05,N(AA204)&gt;0),ROUNDDOWN(ROUND(CD204,6),0)&amp;"%"&amp;IF(CT204="",""," / "&amp;CT204&amp;"%"),IF(AND(N(CC204)&gt;=99.95,CT204&lt;&gt;"",N(CT204)&lt;100),"Pend. "&amp;CT204&amp;"%",""))))</f>
        <v/>
      </c>
      <c r="AX204" s="40" t="str">
        <f aca="false">IF(OR(OR(NOT(AND(ISNUMBER(E204),ISNUMBER(F204))),$J$2=""),12&gt;MAX(1,Reprogramaciones!$U$15)),"",IF(Reprogramaciones!V$12&gt;=7,"",IF(OR(CE204-N(CD204)&gt;0.05,N(AB204)&gt;0),ROUNDDOWN(ROUND(CE204,6),0)&amp;"%"&amp;IF(CU204="",""," / "&amp;CU204&amp;"%"),IF(AND(N(CD204)&gt;=99.95,CU204&lt;&gt;"",N(CU204)&lt;100),"Pend. "&amp;CU204&amp;"%",""))))</f>
        <v/>
      </c>
      <c r="AY204" s="40" t="str">
        <f aca="false">IF(OR(OR(NOT(AND(ISNUMBER(E204),ISNUMBER(F204))),$J$2=""),13&gt;MAX(1,Reprogramaciones!$U$15)),"",IF(Reprogramaciones!W$12&gt;=7,"",IF(OR(CF204-N(CE204)&gt;0.05,N(AC204)&gt;0),ROUNDDOWN(ROUND(CF204,6),0)&amp;"%"&amp;IF(CV204="",""," / "&amp;CV204&amp;"%"),IF(AND(N(CE204)&gt;=99.95,CV204&lt;&gt;"",N(CV204)&lt;100),"Pend. "&amp;CV204&amp;"%",""))))</f>
        <v/>
      </c>
      <c r="AZ204" s="40" t="str">
        <f aca="false">IF(OR(OR(NOT(AND(ISNUMBER(E204),ISNUMBER(F204))),$J$2=""),14&gt;MAX(1,Reprogramaciones!$U$15)),"",IF(Reprogramaciones!X$12&gt;=7,"",IF(OR(CG204-N(CF204)&gt;0.05,N(AD204)&gt;0),ROUNDDOWN(ROUND(CG204,6),0)&amp;"%"&amp;IF(CW204="",""," / "&amp;CW204&amp;"%"),IF(AND(N(CF204)&gt;=99.95,CW204&lt;&gt;"",N(CW204)&lt;100),"Pend. "&amp;CW204&amp;"%",""))))</f>
        <v/>
      </c>
      <c r="BA204" s="40" t="str">
        <f aca="false">IF(OR(OR(NOT(AND(ISNUMBER(E204),ISNUMBER(F204))),$J$2=""),15&gt;MAX(1,Reprogramaciones!$U$15)),"",IF(Reprogramaciones!Y$12&gt;=7,"",IF(OR(CH204-N(CG204)&gt;0.05,N(AE204)&gt;0),ROUNDDOWN(ROUND(CH204,6),0)&amp;"%"&amp;IF(CX204="",""," / "&amp;CX204&amp;"%"),IF(AND(N(CG204)&gt;=99.95,CX204&lt;&gt;"",N(CX204)&lt;100),"Pend. "&amp;CX204&amp;"%",""))))</f>
        <v/>
      </c>
      <c r="BB204" s="40" t="str">
        <f aca="false">IF(OR(OR(NOT(AND(ISNUMBER(E204),ISNUMBER(F204))),$J$2=""),16&gt;MAX(1,Reprogramaciones!$U$15)),"",IF(Reprogramaciones!Z$12&gt;=7,"",IF(OR(CI204-N(CH204)&gt;0.05,N(AF204)&gt;0),ROUNDDOWN(ROUND(CI204,6),0)&amp;"%"&amp;IF(CY204="",""," / "&amp;CY204&amp;"%"),IF(AND(N(CH204)&gt;=99.95,CY204&lt;&gt;"",N(CY204)&lt;100),"Pend. "&amp;CY204&amp;"%",""))))</f>
        <v/>
      </c>
      <c r="BC204" s="31" t="n">
        <f aca="false">IF(AND(ISNUMBER(E204),ISNUMBER(F204)),MAX(1,NETWORKDAYS.INTL(E204,F204,11)),0)</f>
        <v>0</v>
      </c>
      <c r="BD204" s="1" t="str">
        <f aca="false">IF(OR(NOT(AND(ISNUMBER(E204),ISNUMBER(F204))),$J$2=""),"",MIN(100,ROUND(SUM($G204:G204),1)))</f>
        <v/>
      </c>
      <c r="BE204" s="1" t="str">
        <f aca="false">IF(OR(NOT(AND(ISNUMBER(E204),ISNUMBER(F204))),$J$2=""),"",MIN(100,ROUND(SUM($G204:H204),1)))</f>
        <v/>
      </c>
      <c r="BF204" s="1" t="str">
        <f aca="false">IF(OR(NOT(AND(ISNUMBER(E204),ISNUMBER(F204))),$J$2=""),"",MIN(100,ROUND(SUM($G204:I204),1)))</f>
        <v/>
      </c>
      <c r="BG204" s="1" t="str">
        <f aca="false">IF(OR(NOT(AND(ISNUMBER(E204),ISNUMBER(F204))),$J$2=""),"",MIN(100,ROUND(SUM($G204:J204),1)))</f>
        <v/>
      </c>
      <c r="BH204" s="1" t="str">
        <f aca="false">IF(OR(NOT(AND(ISNUMBER(E204),ISNUMBER(F204))),$J$2=""),"",MIN(100,ROUND(SUM($G204:K204),1)))</f>
        <v/>
      </c>
      <c r="BI204" s="1" t="str">
        <f aca="false">IF(OR(NOT(AND(ISNUMBER(E204),ISNUMBER(F204))),$J$2=""),"",MIN(100,ROUND(SUM($G204:L204),1)))</f>
        <v/>
      </c>
      <c r="BJ204" s="1" t="str">
        <f aca="false">IF(OR(NOT(AND(ISNUMBER(E204),ISNUMBER(F204))),$J$2=""),"",MIN(100,ROUND(SUM($G204:M204),1)))</f>
        <v/>
      </c>
      <c r="BK204" s="1" t="str">
        <f aca="false">IF(OR(NOT(AND(ISNUMBER(E204),ISNUMBER(F204))),$J$2=""),"",MIN(100,ROUND(SUM($G204:N204),1)))</f>
        <v/>
      </c>
      <c r="BL204" s="1" t="str">
        <f aca="false">IF(OR(NOT(AND(ISNUMBER(E204),ISNUMBER(F204))),$J$2=""),"",MIN(100,ROUND(SUM($G204:O204),1)))</f>
        <v/>
      </c>
      <c r="BM204" s="1" t="str">
        <f aca="false">IF(OR(NOT(AND(ISNUMBER(E204),ISNUMBER(F204))),$J$2=""),"",MIN(100,ROUND(SUM($G204:P204),1)))</f>
        <v/>
      </c>
      <c r="BN204" s="1" t="str">
        <f aca="false">IF(OR(NOT(AND(ISNUMBER(E204),ISNUMBER(F204))),$J$2=""),"",MIN(100,ROUND(SUM($G204:P204),1)))</f>
        <v/>
      </c>
      <c r="BO204" s="1" t="str">
        <f aca="false">IF(OR(NOT(AND(ISNUMBER(E204),ISNUMBER(F204))),$J$2=""),"",MIN(100,ROUND(SUM($G204:P204),1)))</f>
        <v/>
      </c>
      <c r="BP204" s="1" t="str">
        <f aca="false">IF(OR(NOT(AND(ISNUMBER(E204),ISNUMBER(F204))),$J$2=""),"",MIN(100,ROUND(SUM($G204:P204),1)))</f>
        <v/>
      </c>
      <c r="BQ204" s="1" t="str">
        <f aca="false">IF(OR(NOT(AND(ISNUMBER(E204),ISNUMBER(F204))),$J$2=""),"",MIN(100,ROUND(SUM($G204:P204),1)))</f>
        <v/>
      </c>
      <c r="BR204" s="1" t="str">
        <f aca="false">IF(OR(NOT(AND(ISNUMBER(E204),ISNUMBER(F204))),$J$2=""),"",MIN(100,ROUND(SUM($G204:P204),1)))</f>
        <v/>
      </c>
      <c r="BS204" s="1" t="str">
        <f aca="false">IF(OR(NOT(AND(ISNUMBER(E204),ISNUMBER(F204))),$J$2=""),"",MIN(100,ROUND(SUM($G204:P204),1)))</f>
        <v/>
      </c>
      <c r="BT204" s="1" t="str">
        <f aca="false">IF(OR(NOT(AND(ISNUMBER(E204),ISNUMBER(F204))),$J$2=""),"",IF(Reprogramaciones!K$13&lt;Reprogramaciones!$T$15,0,IF(Reprogramaciones!K$14&gt;10,MIN(100,SUM($G204:$P204)),MIN(100,SUMPRODUCT((COLUMN($G204:$P204)-COLUMN($G204)+1&lt;Reprogramaciones!K$14)*$G204:$P204)+N(INDEX($G204:$P204,1,Reprogramaciones!K$14))*IF(Reprogramaciones!K$13&gt;=(Reprogramaciones!$T$15+7*(Reprogramaciones!K$14-1))+6,1,IF(MAX(0,NETWORKDAYS.INTL(MAX(E204,(Reprogramaciones!$T$15+7*(Reprogramaciones!K$14-1))),MIN(F204,(Reprogramaciones!$T$15+7*(Reprogramaciones!K$14-1))+6),11))=0,0,MAX(0,NETWORKDAYS.INTL(MAX(E204,(Reprogramaciones!$T$15+7*(Reprogramaciones!K$14-1))),MIN(F204,Reprogramaciones!K$13),11))/MAX(0,NETWORKDAYS.INTL(MAX(E204,(Reprogramaciones!$T$15+7*(Reprogramaciones!K$14-1))),MIN(F204,(Reprogramaciones!$T$15+7*(Reprogramaciones!K$14-1))+6),11))))))))</f>
        <v/>
      </c>
      <c r="BU204" s="1" t="str">
        <f aca="false">IF(OR(NOT(AND(ISNUMBER(E204),ISNUMBER(F204))),$J$2=""),"",IF(Reprogramaciones!L$13&lt;Reprogramaciones!$T$15,0,IF(Reprogramaciones!L$14&gt;10,MIN(100,SUM($G204:$P204)),MIN(100,SUMPRODUCT((COLUMN($G204:$P204)-COLUMN($G204)+1&lt;Reprogramaciones!L$14)*$G204:$P204)+N(INDEX($G204:$P204,1,Reprogramaciones!L$14))*IF(Reprogramaciones!L$13&gt;=(Reprogramaciones!$T$15+7*(Reprogramaciones!L$14-1))+6,1,IF(MAX(0,NETWORKDAYS.INTL(MAX(E204,(Reprogramaciones!$T$15+7*(Reprogramaciones!L$14-1))),MIN(F204,(Reprogramaciones!$T$15+7*(Reprogramaciones!L$14-1))+6),11))=0,0,MAX(0,NETWORKDAYS.INTL(MAX(E204,(Reprogramaciones!$T$15+7*(Reprogramaciones!L$14-1))),MIN(F204,Reprogramaciones!L$13),11))/MAX(0,NETWORKDAYS.INTL(MAX(E204,(Reprogramaciones!$T$15+7*(Reprogramaciones!L$14-1))),MIN(F204,(Reprogramaciones!$T$15+7*(Reprogramaciones!L$14-1))+6),11))))))))</f>
        <v/>
      </c>
      <c r="BV204" s="1" t="str">
        <f aca="false">IF(OR(NOT(AND(ISNUMBER(E204),ISNUMBER(F204))),$J$2=""),"",IF(Reprogramaciones!M$13&lt;Reprogramaciones!$T$15,0,IF(Reprogramaciones!M$14&gt;10,MIN(100,SUM($G204:$P204)),MIN(100,SUMPRODUCT((COLUMN($G204:$P204)-COLUMN($G204)+1&lt;Reprogramaciones!M$14)*$G204:$P204)+N(INDEX($G204:$P204,1,Reprogramaciones!M$14))*IF(Reprogramaciones!M$13&gt;=(Reprogramaciones!$T$15+7*(Reprogramaciones!M$14-1))+6,1,IF(MAX(0,NETWORKDAYS.INTL(MAX(E204,(Reprogramaciones!$T$15+7*(Reprogramaciones!M$14-1))),MIN(F204,(Reprogramaciones!$T$15+7*(Reprogramaciones!M$14-1))+6),11))=0,0,MAX(0,NETWORKDAYS.INTL(MAX(E204,(Reprogramaciones!$T$15+7*(Reprogramaciones!M$14-1))),MIN(F204,Reprogramaciones!M$13),11))/MAX(0,NETWORKDAYS.INTL(MAX(E204,(Reprogramaciones!$T$15+7*(Reprogramaciones!M$14-1))),MIN(F204,(Reprogramaciones!$T$15+7*(Reprogramaciones!M$14-1))+6),11))))))))</f>
        <v/>
      </c>
      <c r="BW204" s="1" t="str">
        <f aca="false">IF(OR(NOT(AND(ISNUMBER(E204),ISNUMBER(F204))),$J$2=""),"",IF(Reprogramaciones!N$13&lt;Reprogramaciones!$T$15,0,IF(Reprogramaciones!N$14&gt;10,MIN(100,SUM($G204:$P204)),MIN(100,SUMPRODUCT((COLUMN($G204:$P204)-COLUMN($G204)+1&lt;Reprogramaciones!N$14)*$G204:$P204)+N(INDEX($G204:$P204,1,Reprogramaciones!N$14))*IF(Reprogramaciones!N$13&gt;=(Reprogramaciones!$T$15+7*(Reprogramaciones!N$14-1))+6,1,IF(MAX(0,NETWORKDAYS.INTL(MAX(E204,(Reprogramaciones!$T$15+7*(Reprogramaciones!N$14-1))),MIN(F204,(Reprogramaciones!$T$15+7*(Reprogramaciones!N$14-1))+6),11))=0,0,MAX(0,NETWORKDAYS.INTL(MAX(E204,(Reprogramaciones!$T$15+7*(Reprogramaciones!N$14-1))),MIN(F204,Reprogramaciones!N$13),11))/MAX(0,NETWORKDAYS.INTL(MAX(E204,(Reprogramaciones!$T$15+7*(Reprogramaciones!N$14-1))),MIN(F204,(Reprogramaciones!$T$15+7*(Reprogramaciones!N$14-1))+6),11))))))))</f>
        <v/>
      </c>
      <c r="BX204" s="1" t="str">
        <f aca="false">IF(OR(NOT(AND(ISNUMBER(E204),ISNUMBER(F204))),$J$2=""),"",IF(Reprogramaciones!O$13&lt;Reprogramaciones!$T$15,0,IF(Reprogramaciones!O$14&gt;10,MIN(100,SUM($G204:$P204)),MIN(100,SUMPRODUCT((COLUMN($G204:$P204)-COLUMN($G204)+1&lt;Reprogramaciones!O$14)*$G204:$P204)+N(INDEX($G204:$P204,1,Reprogramaciones!O$14))*IF(Reprogramaciones!O$13&gt;=(Reprogramaciones!$T$15+7*(Reprogramaciones!O$14-1))+6,1,IF(MAX(0,NETWORKDAYS.INTL(MAX(E204,(Reprogramaciones!$T$15+7*(Reprogramaciones!O$14-1))),MIN(F204,(Reprogramaciones!$T$15+7*(Reprogramaciones!O$14-1))+6),11))=0,0,MAX(0,NETWORKDAYS.INTL(MAX(E204,(Reprogramaciones!$T$15+7*(Reprogramaciones!O$14-1))),MIN(F204,Reprogramaciones!O$13),11))/MAX(0,NETWORKDAYS.INTL(MAX(E204,(Reprogramaciones!$T$15+7*(Reprogramaciones!O$14-1))),MIN(F204,(Reprogramaciones!$T$15+7*(Reprogramaciones!O$14-1))+6),11))))))))</f>
        <v/>
      </c>
      <c r="BY204" s="1" t="str">
        <f aca="false">IF(OR(NOT(AND(ISNUMBER(E204),ISNUMBER(F204))),$J$2=""),"",IF(Reprogramaciones!P$13&lt;Reprogramaciones!$T$15,0,IF(Reprogramaciones!P$14&gt;10,MIN(100,SUM($G204:$P204)),MIN(100,SUMPRODUCT((COLUMN($G204:$P204)-COLUMN($G204)+1&lt;Reprogramaciones!P$14)*$G204:$P204)+N(INDEX($G204:$P204,1,Reprogramaciones!P$14))*IF(Reprogramaciones!P$13&gt;=(Reprogramaciones!$T$15+7*(Reprogramaciones!P$14-1))+6,1,IF(MAX(0,NETWORKDAYS.INTL(MAX(E204,(Reprogramaciones!$T$15+7*(Reprogramaciones!P$14-1))),MIN(F204,(Reprogramaciones!$T$15+7*(Reprogramaciones!P$14-1))+6),11))=0,0,MAX(0,NETWORKDAYS.INTL(MAX(E204,(Reprogramaciones!$T$15+7*(Reprogramaciones!P$14-1))),MIN(F204,Reprogramaciones!P$13),11))/MAX(0,NETWORKDAYS.INTL(MAX(E204,(Reprogramaciones!$T$15+7*(Reprogramaciones!P$14-1))),MIN(F204,(Reprogramaciones!$T$15+7*(Reprogramaciones!P$14-1))+6),11))))))))</f>
        <v/>
      </c>
      <c r="BZ204" s="1" t="str">
        <f aca="false">IF(OR(NOT(AND(ISNUMBER(E204),ISNUMBER(F204))),$J$2=""),"",IF(Reprogramaciones!Q$13&lt;Reprogramaciones!$T$15,0,IF(Reprogramaciones!Q$14&gt;10,MIN(100,SUM($G204:$P204)),MIN(100,SUMPRODUCT((COLUMN($G204:$P204)-COLUMN($G204)+1&lt;Reprogramaciones!Q$14)*$G204:$P204)+N(INDEX($G204:$P204,1,Reprogramaciones!Q$14))*IF(Reprogramaciones!Q$13&gt;=(Reprogramaciones!$T$15+7*(Reprogramaciones!Q$14-1))+6,1,IF(MAX(0,NETWORKDAYS.INTL(MAX(E204,(Reprogramaciones!$T$15+7*(Reprogramaciones!Q$14-1))),MIN(F204,(Reprogramaciones!$T$15+7*(Reprogramaciones!Q$14-1))+6),11))=0,0,MAX(0,NETWORKDAYS.INTL(MAX(E204,(Reprogramaciones!$T$15+7*(Reprogramaciones!Q$14-1))),MIN(F204,Reprogramaciones!Q$13),11))/MAX(0,NETWORKDAYS.INTL(MAX(E204,(Reprogramaciones!$T$15+7*(Reprogramaciones!Q$14-1))),MIN(F204,(Reprogramaciones!$T$15+7*(Reprogramaciones!Q$14-1))+6),11))))))))</f>
        <v/>
      </c>
      <c r="CA204" s="1" t="str">
        <f aca="false">IF(OR(NOT(AND(ISNUMBER(E204),ISNUMBER(F204))),$J$2=""),"",IF(Reprogramaciones!R$13&lt;Reprogramaciones!$T$15,0,IF(Reprogramaciones!R$14&gt;10,MIN(100,SUM($G204:$P204)),MIN(100,SUMPRODUCT((COLUMN($G204:$P204)-COLUMN($G204)+1&lt;Reprogramaciones!R$14)*$G204:$P204)+N(INDEX($G204:$P204,1,Reprogramaciones!R$14))*IF(Reprogramaciones!R$13&gt;=(Reprogramaciones!$T$15+7*(Reprogramaciones!R$14-1))+6,1,IF(MAX(0,NETWORKDAYS.INTL(MAX(E204,(Reprogramaciones!$T$15+7*(Reprogramaciones!R$14-1))),MIN(F204,(Reprogramaciones!$T$15+7*(Reprogramaciones!R$14-1))+6),11))=0,0,MAX(0,NETWORKDAYS.INTL(MAX(E204,(Reprogramaciones!$T$15+7*(Reprogramaciones!R$14-1))),MIN(F204,Reprogramaciones!R$13),11))/MAX(0,NETWORKDAYS.INTL(MAX(E204,(Reprogramaciones!$T$15+7*(Reprogramaciones!R$14-1))),MIN(F204,(Reprogramaciones!$T$15+7*(Reprogramaciones!R$14-1))+6),11))))))))</f>
        <v/>
      </c>
      <c r="CB204" s="1" t="str">
        <f aca="false">IF(OR(NOT(AND(ISNUMBER(E204),ISNUMBER(F204))),$J$2=""),"",IF(Reprogramaciones!S$13&lt;Reprogramaciones!$T$15,0,IF(Reprogramaciones!S$14&gt;10,MIN(100,SUM($G204:$P204)),MIN(100,SUMPRODUCT((COLUMN($G204:$P204)-COLUMN($G204)+1&lt;Reprogramaciones!S$14)*$G204:$P204)+N(INDEX($G204:$P204,1,Reprogramaciones!S$14))*IF(Reprogramaciones!S$13&gt;=(Reprogramaciones!$T$15+7*(Reprogramaciones!S$14-1))+6,1,IF(MAX(0,NETWORKDAYS.INTL(MAX(E204,(Reprogramaciones!$T$15+7*(Reprogramaciones!S$14-1))),MIN(F204,(Reprogramaciones!$T$15+7*(Reprogramaciones!S$14-1))+6),11))=0,0,MAX(0,NETWORKDAYS.INTL(MAX(E204,(Reprogramaciones!$T$15+7*(Reprogramaciones!S$14-1))),MIN(F204,Reprogramaciones!S$13),11))/MAX(0,NETWORKDAYS.INTL(MAX(E204,(Reprogramaciones!$T$15+7*(Reprogramaciones!S$14-1))),MIN(F204,(Reprogramaciones!$T$15+7*(Reprogramaciones!S$14-1))+6),11))))))))</f>
        <v/>
      </c>
      <c r="CC204" s="1" t="str">
        <f aca="false">IF(OR(NOT(AND(ISNUMBER(E204),ISNUMBER(F204))),$J$2=""),"",IF(Reprogramaciones!T$13&lt;Reprogramaciones!$T$15,0,IF(Reprogramaciones!T$14&gt;10,MIN(100,SUM($G204:$P204)),MIN(100,SUMPRODUCT((COLUMN($G204:$P204)-COLUMN($G204)+1&lt;Reprogramaciones!T$14)*$G204:$P204)+N(INDEX($G204:$P204,1,Reprogramaciones!T$14))*IF(Reprogramaciones!T$13&gt;=(Reprogramaciones!$T$15+7*(Reprogramaciones!T$14-1))+6,1,IF(MAX(0,NETWORKDAYS.INTL(MAX(E204,(Reprogramaciones!$T$15+7*(Reprogramaciones!T$14-1))),MIN(F204,(Reprogramaciones!$T$15+7*(Reprogramaciones!T$14-1))+6),11))=0,0,MAX(0,NETWORKDAYS.INTL(MAX(E204,(Reprogramaciones!$T$15+7*(Reprogramaciones!T$14-1))),MIN(F204,Reprogramaciones!T$13),11))/MAX(0,NETWORKDAYS.INTL(MAX(E204,(Reprogramaciones!$T$15+7*(Reprogramaciones!T$14-1))),MIN(F204,(Reprogramaciones!$T$15+7*(Reprogramaciones!T$14-1))+6),11))))))))</f>
        <v/>
      </c>
      <c r="CD204" s="1" t="str">
        <f aca="false">IF(OR(NOT(AND(ISNUMBER(E204),ISNUMBER(F204))),$J$2=""),"",IF(Reprogramaciones!U$13&lt;Reprogramaciones!$T$15,0,IF(Reprogramaciones!U$14&gt;10,MIN(100,SUM($G204:$P204)),MIN(100,SUMPRODUCT((COLUMN($G204:$P204)-COLUMN($G204)+1&lt;Reprogramaciones!U$14)*$G204:$P204)+N(INDEX($G204:$P204,1,Reprogramaciones!U$14))*IF(Reprogramaciones!U$13&gt;=(Reprogramaciones!$T$15+7*(Reprogramaciones!U$14-1))+6,1,IF(MAX(0,NETWORKDAYS.INTL(MAX(E204,(Reprogramaciones!$T$15+7*(Reprogramaciones!U$14-1))),MIN(F204,(Reprogramaciones!$T$15+7*(Reprogramaciones!U$14-1))+6),11))=0,0,MAX(0,NETWORKDAYS.INTL(MAX(E204,(Reprogramaciones!$T$15+7*(Reprogramaciones!U$14-1))),MIN(F204,Reprogramaciones!U$13),11))/MAX(0,NETWORKDAYS.INTL(MAX(E204,(Reprogramaciones!$T$15+7*(Reprogramaciones!U$14-1))),MIN(F204,(Reprogramaciones!$T$15+7*(Reprogramaciones!U$14-1))+6),11))))))))</f>
        <v/>
      </c>
      <c r="CE204" s="1" t="str">
        <f aca="false">IF(OR(NOT(AND(ISNUMBER(E204),ISNUMBER(F204))),$J$2=""),"",IF(Reprogramaciones!V$13&lt;Reprogramaciones!$T$15,0,IF(Reprogramaciones!V$14&gt;10,MIN(100,SUM($G204:$P204)),MIN(100,SUMPRODUCT((COLUMN($G204:$P204)-COLUMN($G204)+1&lt;Reprogramaciones!V$14)*$G204:$P204)+N(INDEX($G204:$P204,1,Reprogramaciones!V$14))*IF(Reprogramaciones!V$13&gt;=(Reprogramaciones!$T$15+7*(Reprogramaciones!V$14-1))+6,1,IF(MAX(0,NETWORKDAYS.INTL(MAX(E204,(Reprogramaciones!$T$15+7*(Reprogramaciones!V$14-1))),MIN(F204,(Reprogramaciones!$T$15+7*(Reprogramaciones!V$14-1))+6),11))=0,0,MAX(0,NETWORKDAYS.INTL(MAX(E204,(Reprogramaciones!$T$15+7*(Reprogramaciones!V$14-1))),MIN(F204,Reprogramaciones!V$13),11))/MAX(0,NETWORKDAYS.INTL(MAX(E204,(Reprogramaciones!$T$15+7*(Reprogramaciones!V$14-1))),MIN(F204,(Reprogramaciones!$T$15+7*(Reprogramaciones!V$14-1))+6),11))))))))</f>
        <v/>
      </c>
      <c r="CF204" s="1" t="str">
        <f aca="false">IF(OR(NOT(AND(ISNUMBER(E204),ISNUMBER(F204))),$J$2=""),"",IF(Reprogramaciones!W$13&lt;Reprogramaciones!$T$15,0,IF(Reprogramaciones!W$14&gt;10,MIN(100,SUM($G204:$P204)),MIN(100,SUMPRODUCT((COLUMN($G204:$P204)-COLUMN($G204)+1&lt;Reprogramaciones!W$14)*$G204:$P204)+N(INDEX($G204:$P204,1,Reprogramaciones!W$14))*IF(Reprogramaciones!W$13&gt;=(Reprogramaciones!$T$15+7*(Reprogramaciones!W$14-1))+6,1,IF(MAX(0,NETWORKDAYS.INTL(MAX(E204,(Reprogramaciones!$T$15+7*(Reprogramaciones!W$14-1))),MIN(F204,(Reprogramaciones!$T$15+7*(Reprogramaciones!W$14-1))+6),11))=0,0,MAX(0,NETWORKDAYS.INTL(MAX(E204,(Reprogramaciones!$T$15+7*(Reprogramaciones!W$14-1))),MIN(F204,Reprogramaciones!W$13),11))/MAX(0,NETWORKDAYS.INTL(MAX(E204,(Reprogramaciones!$T$15+7*(Reprogramaciones!W$14-1))),MIN(F204,(Reprogramaciones!$T$15+7*(Reprogramaciones!W$14-1))+6),11))))))))</f>
        <v/>
      </c>
      <c r="CG204" s="1" t="str">
        <f aca="false">IF(OR(NOT(AND(ISNUMBER(E204),ISNUMBER(F204))),$J$2=""),"",IF(Reprogramaciones!X$13&lt;Reprogramaciones!$T$15,0,IF(Reprogramaciones!X$14&gt;10,MIN(100,SUM($G204:$P204)),MIN(100,SUMPRODUCT((COLUMN($G204:$P204)-COLUMN($G204)+1&lt;Reprogramaciones!X$14)*$G204:$P204)+N(INDEX($G204:$P204,1,Reprogramaciones!X$14))*IF(Reprogramaciones!X$13&gt;=(Reprogramaciones!$T$15+7*(Reprogramaciones!X$14-1))+6,1,IF(MAX(0,NETWORKDAYS.INTL(MAX(E204,(Reprogramaciones!$T$15+7*(Reprogramaciones!X$14-1))),MIN(F204,(Reprogramaciones!$T$15+7*(Reprogramaciones!X$14-1))+6),11))=0,0,MAX(0,NETWORKDAYS.INTL(MAX(E204,(Reprogramaciones!$T$15+7*(Reprogramaciones!X$14-1))),MIN(F204,Reprogramaciones!X$13),11))/MAX(0,NETWORKDAYS.INTL(MAX(E204,(Reprogramaciones!$T$15+7*(Reprogramaciones!X$14-1))),MIN(F204,(Reprogramaciones!$T$15+7*(Reprogramaciones!X$14-1))+6),11))))))))</f>
        <v/>
      </c>
      <c r="CH204" s="1" t="str">
        <f aca="false">IF(OR(NOT(AND(ISNUMBER(E204),ISNUMBER(F204))),$J$2=""),"",IF(Reprogramaciones!Y$13&lt;Reprogramaciones!$T$15,0,IF(Reprogramaciones!Y$14&gt;10,MIN(100,SUM($G204:$P204)),MIN(100,SUMPRODUCT((COLUMN($G204:$P204)-COLUMN($G204)+1&lt;Reprogramaciones!Y$14)*$G204:$P204)+N(INDEX($G204:$P204,1,Reprogramaciones!Y$14))*IF(Reprogramaciones!Y$13&gt;=(Reprogramaciones!$T$15+7*(Reprogramaciones!Y$14-1))+6,1,IF(MAX(0,NETWORKDAYS.INTL(MAX(E204,(Reprogramaciones!$T$15+7*(Reprogramaciones!Y$14-1))),MIN(F204,(Reprogramaciones!$T$15+7*(Reprogramaciones!Y$14-1))+6),11))=0,0,MAX(0,NETWORKDAYS.INTL(MAX(E204,(Reprogramaciones!$T$15+7*(Reprogramaciones!Y$14-1))),MIN(F204,Reprogramaciones!Y$13),11))/MAX(0,NETWORKDAYS.INTL(MAX(E204,(Reprogramaciones!$T$15+7*(Reprogramaciones!Y$14-1))),MIN(F204,(Reprogramaciones!$T$15+7*(Reprogramaciones!Y$14-1))+6),11))))))))</f>
        <v/>
      </c>
      <c r="CI204" s="1" t="str">
        <f aca="false">IF(OR(NOT(AND(ISNUMBER(E204),ISNUMBER(F204))),$J$2=""),"",IF(Reprogramaciones!Z$13&lt;Reprogramaciones!$T$15,0,IF(Reprogramaciones!Z$14&gt;10,MIN(100,SUM($G204:$P204)),MIN(100,SUMPRODUCT((COLUMN($G204:$P204)-COLUMN($G204)+1&lt;Reprogramaciones!Z$14)*$G204:$P204)+N(INDEX($G204:$P204,1,Reprogramaciones!Z$14))*IF(Reprogramaciones!Z$13&gt;=(Reprogramaciones!$T$15+7*(Reprogramaciones!Z$14-1))+6,1,IF(MAX(0,NETWORKDAYS.INTL(MAX(E204,(Reprogramaciones!$T$15+7*(Reprogramaciones!Z$14-1))),MIN(F204,(Reprogramaciones!$T$15+7*(Reprogramaciones!Z$14-1))+6),11))=0,0,MAX(0,NETWORKDAYS.INTL(MAX(E204,(Reprogramaciones!$T$15+7*(Reprogramaciones!Z$14-1))),MIN(F204,Reprogramaciones!Z$13),11))/MAX(0,NETWORKDAYS.INTL(MAX(E204,(Reprogramaciones!$T$15+7*(Reprogramaciones!Z$14-1))),MIN(F204,(Reprogramaciones!$T$15+7*(Reprogramaciones!Z$14-1))+6),11))))))))</f>
        <v/>
      </c>
      <c r="CJ204" s="1" t="str">
        <f aca="false">IF(OR(OR(NOT(AND(ISNUMBER(E204),ISNUMBER(F204))),$J$2=""),1&gt;Reprogramaciones!$K$16),"",IF(ROUND(SUM($Q204:Q204),1)&gt;=99.5,100,MIN(100,ROUND(SUM($Q204:Q204),1))))</f>
        <v/>
      </c>
      <c r="CK204" s="1" t="str">
        <f aca="false">IF(OR(OR(NOT(AND(ISNUMBER(E204),ISNUMBER(F204))),$J$2=""),2&gt;Reprogramaciones!$K$16),"",IF(ROUND(SUM($Q204:R204),1)&gt;=99.5,100,MIN(100,ROUND(SUM($Q204:R204),1))))</f>
        <v/>
      </c>
      <c r="CL204" s="1" t="str">
        <f aca="false">IF(OR(OR(NOT(AND(ISNUMBER(E204),ISNUMBER(F204))),$J$2=""),3&gt;Reprogramaciones!$K$16),"",IF(ROUND(SUM($Q204:S204),1)&gt;=99.5,100,MIN(100,ROUND(SUM($Q204:S204),1))))</f>
        <v/>
      </c>
      <c r="CM204" s="1" t="str">
        <f aca="false">IF(OR(OR(NOT(AND(ISNUMBER(E204),ISNUMBER(F204))),$J$2=""),4&gt;Reprogramaciones!$K$16),"",IF(ROUND(SUM($Q204:T204),1)&gt;=99.5,100,MIN(100,ROUND(SUM($Q204:T204),1))))</f>
        <v/>
      </c>
      <c r="CN204" s="1" t="str">
        <f aca="false">IF(OR(OR(NOT(AND(ISNUMBER(E204),ISNUMBER(F204))),$J$2=""),5&gt;Reprogramaciones!$K$16),"",IF(ROUND(SUM($Q204:U204),1)&gt;=99.5,100,MIN(100,ROUND(SUM($Q204:U204),1))))</f>
        <v/>
      </c>
      <c r="CO204" s="1" t="str">
        <f aca="false">IF(OR(OR(NOT(AND(ISNUMBER(E204),ISNUMBER(F204))),$J$2=""),6&gt;Reprogramaciones!$K$16),"",IF(ROUND(SUM($Q204:V204),1)&gt;=99.5,100,MIN(100,ROUND(SUM($Q204:V204),1))))</f>
        <v/>
      </c>
      <c r="CP204" s="1" t="str">
        <f aca="false">IF(OR(OR(NOT(AND(ISNUMBER(E204),ISNUMBER(F204))),$J$2=""),7&gt;Reprogramaciones!$K$16),"",IF(ROUND(SUM($Q204:W204),1)&gt;=99.5,100,MIN(100,ROUND(SUM($Q204:W204),1))))</f>
        <v/>
      </c>
      <c r="CQ204" s="1" t="str">
        <f aca="false">IF(OR(OR(NOT(AND(ISNUMBER(E204),ISNUMBER(F204))),$J$2=""),8&gt;Reprogramaciones!$K$16),"",IF(ROUND(SUM($Q204:X204),1)&gt;=99.5,100,MIN(100,ROUND(SUM($Q204:X204),1))))</f>
        <v/>
      </c>
      <c r="CR204" s="1" t="str">
        <f aca="false">IF(OR(OR(NOT(AND(ISNUMBER(E204),ISNUMBER(F204))),$J$2=""),9&gt;Reprogramaciones!$K$16),"",IF(ROUND(SUM($Q204:Y204),1)&gt;=99.5,100,MIN(100,ROUND(SUM($Q204:Y204),1))))</f>
        <v/>
      </c>
      <c r="CS204" s="1" t="str">
        <f aca="false">IF(OR(OR(NOT(AND(ISNUMBER(E204),ISNUMBER(F204))),$J$2=""),10&gt;Reprogramaciones!$K$16),"",IF(ROUND(SUM($Q204:Z204),1)&gt;=99.5,100,MIN(100,ROUND(SUM($Q204:Z204),1))))</f>
        <v/>
      </c>
      <c r="CT204" s="1" t="str">
        <f aca="false">IF(OR(OR(NOT(AND(ISNUMBER(E204),ISNUMBER(F204))),$J$2=""),11&gt;Reprogramaciones!$K$16),"",IF(ROUND(SUM($Q204:AA204),1)&gt;=99.5,100,MIN(100,ROUND(SUM($Q204:AA204),1))))</f>
        <v/>
      </c>
      <c r="CU204" s="1" t="str">
        <f aca="false">IF(OR(OR(NOT(AND(ISNUMBER(E204),ISNUMBER(F204))),$J$2=""),12&gt;Reprogramaciones!$K$16),"",IF(ROUND(SUM($Q204:AB204),1)&gt;=99.5,100,MIN(100,ROUND(SUM($Q204:AB204),1))))</f>
        <v/>
      </c>
      <c r="CV204" s="1" t="str">
        <f aca="false">IF(OR(OR(NOT(AND(ISNUMBER(E204),ISNUMBER(F204))),$J$2=""),13&gt;Reprogramaciones!$K$16),"",IF(ROUND(SUM($Q204:AC204),1)&gt;=99.5,100,MIN(100,ROUND(SUM($Q204:AC204),1))))</f>
        <v/>
      </c>
      <c r="CW204" s="1" t="str">
        <f aca="false">IF(OR(OR(NOT(AND(ISNUMBER(E204),ISNUMBER(F204))),$J$2=""),14&gt;Reprogramaciones!$K$16),"",IF(ROUND(SUM($Q204:AD204),1)&gt;=99.5,100,MIN(100,ROUND(SUM($Q204:AD204),1))))</f>
        <v/>
      </c>
      <c r="CX204" s="1" t="str">
        <f aca="false">IF(OR(OR(NOT(AND(ISNUMBER(E204),ISNUMBER(F204))),$J$2=""),15&gt;Reprogramaciones!$K$16),"",IF(ROUND(SUM($Q204:AE204),1)&gt;=99.5,100,MIN(100,ROUND(SUM($Q204:AE204),1))))</f>
        <v/>
      </c>
      <c r="CY204" s="1" t="str">
        <f aca="false">IF(OR(OR(NOT(AND(ISNUMBER(E204),ISNUMBER(F204))),$J$2=""),16&gt;Reprogramaciones!$K$16),"",IF(ROUND(SUM($Q204:AF204),1)&gt;=99.5,100,MIN(100,ROUND(SUM($Q204:AF204),1))))</f>
        <v/>
      </c>
      <c r="CZ204" s="1" t="str">
        <f aca="false">IF(D204&lt;&gt;"",D204,IF(B204&lt;&gt;"","Contractual",CZ203))</f>
        <v>Contractual</v>
      </c>
      <c r="DA204" s="1" t="str">
        <f aca="false">IF(OR(NOT(AND(ISNUMBER(E204),ISNUMBER(F204))),$J$2=""),"",IF(Reprogramaciones!$Q$15&lt;Reprogramaciones!$T$15,0,IF(Reprogramaciones!$S$15&gt;10,MIN(100,SUM($G204:$P204)),MIN(100,SUMPRODUCT((COLUMN($G204:$P204)-COLUMN($G204)+1&lt;Reprogramaciones!$S$15)*$G204:$P204)+N(INDEX($G204:$P204,1,Reprogramaciones!$S$15))*IF(Reprogramaciones!$Q$15&gt;=(Reprogramaciones!$T$15+7*(Reprogramaciones!$S$15-1))+6,1,IF(MAX(0,NETWORKDAYS.INTL(MAX(E204,(Reprogramaciones!$T$15+7*(Reprogramaciones!$S$15-1))),MIN(F204,(Reprogramaciones!$T$15+7*(Reprogramaciones!$S$15-1))+6),11))=0,0,MAX(0,NETWORKDAYS.INTL(MAX(E204,(Reprogramaciones!$T$15+7*(Reprogramaciones!$S$15-1))),MIN(F204,Reprogramaciones!$Q$15),11))/MAX(0,NETWORKDAYS.INTL(MAX(E204,(Reprogramaciones!$T$15+7*(Reprogramaciones!$S$15-1))),MIN(F204,(Reprogramaciones!$T$15+7*(Reprogramaciones!$S$15-1))+6),11))))))))</f>
        <v/>
      </c>
    </row>
    <row r="205" customFormat="false" ht="15" hidden="false" customHeight="false" outlineLevel="0" collapsed="false">
      <c r="A205" s="32"/>
      <c r="B205" s="33"/>
      <c r="C205" s="33"/>
      <c r="D205" s="34"/>
      <c r="E205" s="35"/>
      <c r="F205" s="35"/>
      <c r="G205" s="36" t="str">
        <f aca="false">IF(OR(NOT(AND(ISNUMBER(E205),ISNUMBER(F205))),$J$2=""),"",IF(Reprogramaciones!K$9&lt;E205,0,IF(NETWORKDAYS.INTL(E205,F205,11)=0,IF(Reprogramaciones!K$9&gt;=F205,100,0),ROUND(NETWORKDAYS.INTL(E205,MIN(F205,Reprogramaciones!K$9),11)/NETWORKDAYS.INTL(E205,F205,11)*100,1)))-0)</f>
        <v/>
      </c>
      <c r="H205" s="36" t="str">
        <f aca="false">IF(OR(NOT(AND(ISNUMBER(E205),ISNUMBER(F205))),$J$2=""),"",IF(Reprogramaciones!L$9&lt;E205,0,IF(NETWORKDAYS.INTL(E205,F205,11)=0,IF(Reprogramaciones!L$9&gt;=F205,100,0),ROUND(NETWORKDAYS.INTL(E205,MIN(F205,Reprogramaciones!L$9),11)/NETWORKDAYS.INTL(E205,F205,11)*100,1)))-IF(Reprogramaciones!K$9&lt;E205,0,IF(NETWORKDAYS.INTL(E205,F205,11)=0,IF(Reprogramaciones!K$9&gt;=F205,100,0),ROUND(NETWORKDAYS.INTL(E205,MIN(F205,Reprogramaciones!K$9),11)/NETWORKDAYS.INTL(E205,F205,11)*100,1))))</f>
        <v/>
      </c>
      <c r="I205" s="36" t="str">
        <f aca="false">IF(OR(NOT(AND(ISNUMBER(E205),ISNUMBER(F205))),$J$2=""),"",IF(Reprogramaciones!M$9&lt;E205,0,IF(NETWORKDAYS.INTL(E205,F205,11)=0,IF(Reprogramaciones!M$9&gt;=F205,100,0),ROUND(NETWORKDAYS.INTL(E205,MIN(F205,Reprogramaciones!M$9),11)/NETWORKDAYS.INTL(E205,F205,11)*100,1)))-IF(Reprogramaciones!L$9&lt;E205,0,IF(NETWORKDAYS.INTL(E205,F205,11)=0,IF(Reprogramaciones!L$9&gt;=F205,100,0),ROUND(NETWORKDAYS.INTL(E205,MIN(F205,Reprogramaciones!L$9),11)/NETWORKDAYS.INTL(E205,F205,11)*100,1))))</f>
        <v/>
      </c>
      <c r="J205" s="36" t="str">
        <f aca="false">IF(OR(NOT(AND(ISNUMBER(E205),ISNUMBER(F205))),$J$2=""),"",IF(Reprogramaciones!N$9&lt;E205,0,IF(NETWORKDAYS.INTL(E205,F205,11)=0,IF(Reprogramaciones!N$9&gt;=F205,100,0),ROUND(NETWORKDAYS.INTL(E205,MIN(F205,Reprogramaciones!N$9),11)/NETWORKDAYS.INTL(E205,F205,11)*100,1)))-IF(Reprogramaciones!M$9&lt;E205,0,IF(NETWORKDAYS.INTL(E205,F205,11)=0,IF(Reprogramaciones!M$9&gt;=F205,100,0),ROUND(NETWORKDAYS.INTL(E205,MIN(F205,Reprogramaciones!M$9),11)/NETWORKDAYS.INTL(E205,F205,11)*100,1))))</f>
        <v/>
      </c>
      <c r="K205" s="36" t="str">
        <f aca="false">IF(OR(NOT(AND(ISNUMBER(E205),ISNUMBER(F205))),$J$2=""),"",IF(Reprogramaciones!O$9&lt;E205,0,IF(NETWORKDAYS.INTL(E205,F205,11)=0,IF(Reprogramaciones!O$9&gt;=F205,100,0),ROUND(NETWORKDAYS.INTL(E205,MIN(F205,Reprogramaciones!O$9),11)/NETWORKDAYS.INTL(E205,F205,11)*100,1)))-IF(Reprogramaciones!N$9&lt;E205,0,IF(NETWORKDAYS.INTL(E205,F205,11)=0,IF(Reprogramaciones!N$9&gt;=F205,100,0),ROUND(NETWORKDAYS.INTL(E205,MIN(F205,Reprogramaciones!N$9),11)/NETWORKDAYS.INTL(E205,F205,11)*100,1))))</f>
        <v/>
      </c>
      <c r="L205" s="36" t="str">
        <f aca="false">IF(OR(NOT(AND(ISNUMBER(E205),ISNUMBER(F205))),$J$2=""),"",IF(Reprogramaciones!P$9&lt;E205,0,IF(NETWORKDAYS.INTL(E205,F205,11)=0,IF(Reprogramaciones!P$9&gt;=F205,100,0),ROUND(NETWORKDAYS.INTL(E205,MIN(F205,Reprogramaciones!P$9),11)/NETWORKDAYS.INTL(E205,F205,11)*100,1)))-IF(Reprogramaciones!O$9&lt;E205,0,IF(NETWORKDAYS.INTL(E205,F205,11)=0,IF(Reprogramaciones!O$9&gt;=F205,100,0),ROUND(NETWORKDAYS.INTL(E205,MIN(F205,Reprogramaciones!O$9),11)/NETWORKDAYS.INTL(E205,F205,11)*100,1))))</f>
        <v/>
      </c>
      <c r="M205" s="36" t="str">
        <f aca="false">IF(OR(NOT(AND(ISNUMBER(E205),ISNUMBER(F205))),$J$2=""),"",IF(Reprogramaciones!Q$9&lt;E205,0,IF(NETWORKDAYS.INTL(E205,F205,11)=0,IF(Reprogramaciones!Q$9&gt;=F205,100,0),ROUND(NETWORKDAYS.INTL(E205,MIN(F205,Reprogramaciones!Q$9),11)/NETWORKDAYS.INTL(E205,F205,11)*100,1)))-IF(Reprogramaciones!P$9&lt;E205,0,IF(NETWORKDAYS.INTL(E205,F205,11)=0,IF(Reprogramaciones!P$9&gt;=F205,100,0),ROUND(NETWORKDAYS.INTL(E205,MIN(F205,Reprogramaciones!P$9),11)/NETWORKDAYS.INTL(E205,F205,11)*100,1))))</f>
        <v/>
      </c>
      <c r="N205" s="36" t="str">
        <f aca="false">IF(OR(NOT(AND(ISNUMBER(E205),ISNUMBER(F205))),$J$2=""),"",IF(Reprogramaciones!R$9&lt;E205,0,IF(NETWORKDAYS.INTL(E205,F205,11)=0,IF(Reprogramaciones!R$9&gt;=F205,100,0),ROUND(NETWORKDAYS.INTL(E205,MIN(F205,Reprogramaciones!R$9),11)/NETWORKDAYS.INTL(E205,F205,11)*100,1)))-IF(Reprogramaciones!Q$9&lt;E205,0,IF(NETWORKDAYS.INTL(E205,F205,11)=0,IF(Reprogramaciones!Q$9&gt;=F205,100,0),ROUND(NETWORKDAYS.INTL(E205,MIN(F205,Reprogramaciones!Q$9),11)/NETWORKDAYS.INTL(E205,F205,11)*100,1))))</f>
        <v/>
      </c>
      <c r="O205" s="36" t="str">
        <f aca="false">IF(OR(NOT(AND(ISNUMBER(E205),ISNUMBER(F205))),$J$2=""),"",IF(Reprogramaciones!S$9&lt;E205,0,IF(NETWORKDAYS.INTL(E205,F205,11)=0,IF(Reprogramaciones!S$9&gt;=F205,100,0),ROUND(NETWORKDAYS.INTL(E205,MIN(F205,Reprogramaciones!S$9),11)/NETWORKDAYS.INTL(E205,F205,11)*100,1)))-IF(Reprogramaciones!R$9&lt;E205,0,IF(NETWORKDAYS.INTL(E205,F205,11)=0,IF(Reprogramaciones!R$9&gt;=F205,100,0),ROUND(NETWORKDAYS.INTL(E205,MIN(F205,Reprogramaciones!R$9),11)/NETWORKDAYS.INTL(E205,F205,11)*100,1))))</f>
        <v/>
      </c>
      <c r="P205" s="36" t="str">
        <f aca="false">IF(OR(NOT(AND(ISNUMBER(E205),ISNUMBER(F205))),$J$2=""),"",IF(Reprogramaciones!T$9&lt;E205,0,IF(NETWORKDAYS.INTL(E205,F205,11)=0,IF(Reprogramaciones!T$9&gt;=F205,100,0),ROUND(NETWORKDAYS.INTL(E205,MIN(F205,Reprogramaciones!T$9),11)/NETWORKDAYS.INTL(E205,F205,11)*100,1)))-IF(Reprogramaciones!S$9&lt;E205,0,IF(NETWORKDAYS.INTL(E205,F205,11)=0,IF(Reprogramaciones!S$9&gt;=F205,100,0),ROUND(NETWORKDAYS.INTL(E205,MIN(F205,Reprogramaciones!S$9),11)/NETWORKDAYS.INTL(E205,F205,11)*100,1))))</f>
        <v/>
      </c>
      <c r="Q205" s="37"/>
      <c r="R205" s="37"/>
      <c r="S205" s="37"/>
      <c r="T205" s="37"/>
      <c r="U205" s="37"/>
      <c r="V205" s="37"/>
      <c r="W205" s="37"/>
      <c r="X205" s="37"/>
      <c r="Y205" s="37"/>
      <c r="Z205" s="37"/>
      <c r="AA205" s="37"/>
      <c r="AB205" s="37"/>
      <c r="AC205" s="37"/>
      <c r="AD205" s="37"/>
      <c r="AE205" s="37"/>
      <c r="AF205" s="37"/>
      <c r="AG205" s="38" t="str">
        <f aca="false">IF(AND(ISNUMBER(E205),ISNUMBER(F205)),NETWORKDAYS.INTL(E205,F205,11),"")</f>
        <v/>
      </c>
      <c r="AH205" s="38" t="str">
        <f aca="false">IF(OR(NOT(AND(ISNUMBER(E205),ISNUMBER(F205))),$J$2=""),"",IF(Reprogramaciones!$P$15&lt;Reprogramaciones!$T$15,0,IF(Reprogramaciones!$R$15&gt;10,MIN(100,SUM($G205:$P205)),MIN(100,SUMPRODUCT((COLUMN($G205:$P205)-COLUMN($G205)+1&lt;Reprogramaciones!$R$15)*$G205:$P205)+N(INDEX($G205:$P205,1,Reprogramaciones!$R$15))*IF(Reprogramaciones!$P$15&gt;=(Reprogramaciones!$T$15+7*(Reprogramaciones!$R$15-1))+6,1,IF(MAX(0,NETWORKDAYS.INTL(MAX(E205,(Reprogramaciones!$T$15+7*(Reprogramaciones!$R$15-1))),MIN(F205,(Reprogramaciones!$T$15+7*(Reprogramaciones!$R$15-1))+6),11))=0,0,MAX(0,NETWORKDAYS.INTL(MAX(E205,(Reprogramaciones!$T$15+7*(Reprogramaciones!$R$15-1))),MIN(F205,Reprogramaciones!$P$15),11))/MAX(0,NETWORKDAYS.INTL(MAX(E205,(Reprogramaciones!$T$15+7*(Reprogramaciones!$R$15-1))),MIN(F205,(Reprogramaciones!$T$15+7*(Reprogramaciones!$R$15-1))+6),11))))))))</f>
        <v/>
      </c>
      <c r="AI205" s="38" t="str">
        <f aca="false">IF(COUNT($Q205:$AF205)=0,"",IF(ROUND(SUM($Q205:$AF205),1)&gt;=99.5,100,MIN(100,ROUND(SUM($Q205:$AF205),1))))</f>
        <v/>
      </c>
      <c r="AJ205" s="38" t="str">
        <f aca="false">IF(OR(AH205="",AI205=""),"",AI205-AH205)</f>
        <v/>
      </c>
      <c r="AK205" s="39" t="str">
        <f aca="true">IF(AH205="","",IF(OR(Ficha!$C$10="Suspendida",Ficha!$C$10="Cancelada"),Ficha!$C$10,IF(AND(AI205&lt;&gt;"",N(AI205)&gt;=100),"Completada",IF(AND(E205&gt;TODAY(),N(AI205)=0),"Por iniciar",IF(N(AI205)+0.5&lt;AH205,"Retrasada",IF(N(AI205)+0.5&lt;DA205,IF(Reprogramaciones!$K$15&gt;0,"Al día · Sem "&amp;Reprogramaciones!$K$15&amp;" en curso","Al día · en curso"),"A tiempo"))))))</f>
        <v/>
      </c>
      <c r="AL205" s="39" t="str">
        <f aca="true">IF(AND(A205="",AND(B205="",C205="",E205="",F205="",COUNT(Q205:AF205)=0)),"",IF(AND(B205="",C205="",E205="",F205="",COUNT(Q205:AF205)=0),"Falta la partida o subpartida",IF(AND(A205&lt;&gt;"",COUNTIF($A$6:$A$305,A205)&gt;1),"Ítem repetido",IF(AND(C205="",E205="",F205="",COUNT(Q205:AF205)=0),"Título de partida",IF(OR(E205="",F205=""),"Faltan fechas",IF(OR(ISTEXT(E205),ISTEXT(F205)),"Fecha escrita como texto: usa dd/mm/aaaa",IF(F205&lt;E205,"Fin antes del inicio",IF(IF($J$2="",FALSE(),OR(E205&lt;$J$2,F205&gt;Reprogramaciones!$T$15+69)),"Fuera de las 10 semanas",IF(ABS(SUM(G205:P205)-100)&gt;0.5,"La meta no suma 100%",IF(ROUND(SUM(Q205:AF205),1)&gt;100.5,"El avance pasa de 100%",IF(MIN(Q205:AF205)&lt;0,"Avance negativo",IF(COUNTA(Q205:AF205)&gt;COUNT(Q205:AF205),"Avance escrito como texto",IF(SUMPRODUCT((Q205:AF205&gt;0)*(Q205:AF205&lt;1))&gt;0,"Avance menor a 1: escribe 50, no 50%",IF(SUMPRODUCT(ISNUMBER(Q205:AF205)*(Reprogramaciones!$K$8:$Z$8&gt;TODAY()))&gt;0,"Avance en semana que aún no llega",IF(AND(N(Reprogramaciones!$E$21)&gt;0,F205&gt;Reprogramaciones!$E$21),"Pasa el fin de la obra: registra una reprogramación",IF(AND(N(Reprogramaciones!$E$21)&gt;0,SUMPRODUCT(ISNUMBER(Q205:AF205)*(Reprogramaciones!$K$8:$Z$8&gt;Reprogramaciones!$E$21))&gt;0),"Avance después del fin de la obra: registra una reprogramación por atraso","OK"))))))))))))))))</f>
        <v/>
      </c>
      <c r="AM205" s="40" t="str">
        <f aca="false">IF(OR(OR(NOT(AND(ISNUMBER(E205),ISNUMBER(F205))),$J$2=""),1&gt;MAX(1,Reprogramaciones!$U$15)),"",IF(Reprogramaciones!K$12&gt;=7,"",IF(OR(BT205-N(0)&gt;0.05,N(Q205)&gt;0),ROUNDDOWN(ROUND(BT205,6),0)&amp;"%"&amp;IF(CJ205="",""," / "&amp;CJ205&amp;"%"),IF(AND(N(0)&gt;=99.95,CJ205&lt;&gt;"",N(CJ205)&lt;100),"Pend. "&amp;CJ205&amp;"%",""))))</f>
        <v/>
      </c>
      <c r="AN205" s="40" t="str">
        <f aca="false">IF(OR(OR(NOT(AND(ISNUMBER(E205),ISNUMBER(F205))),$J$2=""),2&gt;MAX(1,Reprogramaciones!$U$15)),"",IF(Reprogramaciones!L$12&gt;=7,"",IF(OR(BU205-N(BT205)&gt;0.05,N(R205)&gt;0),ROUNDDOWN(ROUND(BU205,6),0)&amp;"%"&amp;IF(CK205="",""," / "&amp;CK205&amp;"%"),IF(AND(N(BT205)&gt;=99.95,CK205&lt;&gt;"",N(CK205)&lt;100),"Pend. "&amp;CK205&amp;"%",""))))</f>
        <v/>
      </c>
      <c r="AO205" s="40" t="str">
        <f aca="false">IF(OR(OR(NOT(AND(ISNUMBER(E205),ISNUMBER(F205))),$J$2=""),3&gt;MAX(1,Reprogramaciones!$U$15)),"",IF(Reprogramaciones!M$12&gt;=7,"",IF(OR(BV205-N(BU205)&gt;0.05,N(S205)&gt;0),ROUNDDOWN(ROUND(BV205,6),0)&amp;"%"&amp;IF(CL205="",""," / "&amp;CL205&amp;"%"),IF(AND(N(BU205)&gt;=99.95,CL205&lt;&gt;"",N(CL205)&lt;100),"Pend. "&amp;CL205&amp;"%",""))))</f>
        <v/>
      </c>
      <c r="AP205" s="40" t="str">
        <f aca="false">IF(OR(OR(NOT(AND(ISNUMBER(E205),ISNUMBER(F205))),$J$2=""),4&gt;MAX(1,Reprogramaciones!$U$15)),"",IF(Reprogramaciones!N$12&gt;=7,"",IF(OR(BW205-N(BV205)&gt;0.05,N(T205)&gt;0),ROUNDDOWN(ROUND(BW205,6),0)&amp;"%"&amp;IF(CM205="",""," / "&amp;CM205&amp;"%"),IF(AND(N(BV205)&gt;=99.95,CM205&lt;&gt;"",N(CM205)&lt;100),"Pend. "&amp;CM205&amp;"%",""))))</f>
        <v/>
      </c>
      <c r="AQ205" s="40" t="str">
        <f aca="false">IF(OR(OR(NOT(AND(ISNUMBER(E205),ISNUMBER(F205))),$J$2=""),5&gt;MAX(1,Reprogramaciones!$U$15)),"",IF(Reprogramaciones!O$12&gt;=7,"",IF(OR(BX205-N(BW205)&gt;0.05,N(U205)&gt;0),ROUNDDOWN(ROUND(BX205,6),0)&amp;"%"&amp;IF(CN205="",""," / "&amp;CN205&amp;"%"),IF(AND(N(BW205)&gt;=99.95,CN205&lt;&gt;"",N(CN205)&lt;100),"Pend. "&amp;CN205&amp;"%",""))))</f>
        <v/>
      </c>
      <c r="AR205" s="40" t="str">
        <f aca="false">IF(OR(OR(NOT(AND(ISNUMBER(E205),ISNUMBER(F205))),$J$2=""),6&gt;MAX(1,Reprogramaciones!$U$15)),"",IF(Reprogramaciones!P$12&gt;=7,"",IF(OR(BY205-N(BX205)&gt;0.05,N(V205)&gt;0),ROUNDDOWN(ROUND(BY205,6),0)&amp;"%"&amp;IF(CO205="",""," / "&amp;CO205&amp;"%"),IF(AND(N(BX205)&gt;=99.95,CO205&lt;&gt;"",N(CO205)&lt;100),"Pend. "&amp;CO205&amp;"%",""))))</f>
        <v/>
      </c>
      <c r="AS205" s="40" t="str">
        <f aca="false">IF(OR(OR(NOT(AND(ISNUMBER(E205),ISNUMBER(F205))),$J$2=""),7&gt;MAX(1,Reprogramaciones!$U$15)),"",IF(Reprogramaciones!Q$12&gt;=7,"",IF(OR(BZ205-N(BY205)&gt;0.05,N(W205)&gt;0),ROUNDDOWN(ROUND(BZ205,6),0)&amp;"%"&amp;IF(CP205="",""," / "&amp;CP205&amp;"%"),IF(AND(N(BY205)&gt;=99.95,CP205&lt;&gt;"",N(CP205)&lt;100),"Pend. "&amp;CP205&amp;"%",""))))</f>
        <v/>
      </c>
      <c r="AT205" s="40" t="str">
        <f aca="false">IF(OR(OR(NOT(AND(ISNUMBER(E205),ISNUMBER(F205))),$J$2=""),8&gt;MAX(1,Reprogramaciones!$U$15)),"",IF(Reprogramaciones!R$12&gt;=7,"",IF(OR(CA205-N(BZ205)&gt;0.05,N(X205)&gt;0),ROUNDDOWN(ROUND(CA205,6),0)&amp;"%"&amp;IF(CQ205="",""," / "&amp;CQ205&amp;"%"),IF(AND(N(BZ205)&gt;=99.95,CQ205&lt;&gt;"",N(CQ205)&lt;100),"Pend. "&amp;CQ205&amp;"%",""))))</f>
        <v/>
      </c>
      <c r="AU205" s="40" t="str">
        <f aca="false">IF(OR(OR(NOT(AND(ISNUMBER(E205),ISNUMBER(F205))),$J$2=""),9&gt;MAX(1,Reprogramaciones!$U$15)),"",IF(Reprogramaciones!S$12&gt;=7,"",IF(OR(CB205-N(CA205)&gt;0.05,N(Y205)&gt;0),ROUNDDOWN(ROUND(CB205,6),0)&amp;"%"&amp;IF(CR205="",""," / "&amp;CR205&amp;"%"),IF(AND(N(CA205)&gt;=99.95,CR205&lt;&gt;"",N(CR205)&lt;100),"Pend. "&amp;CR205&amp;"%",""))))</f>
        <v/>
      </c>
      <c r="AV205" s="40" t="str">
        <f aca="false">IF(OR(OR(NOT(AND(ISNUMBER(E205),ISNUMBER(F205))),$J$2=""),10&gt;MAX(1,Reprogramaciones!$U$15)),"",IF(Reprogramaciones!T$12&gt;=7,"",IF(OR(CC205-N(CB205)&gt;0.05,N(Z205)&gt;0),ROUNDDOWN(ROUND(CC205,6),0)&amp;"%"&amp;IF(CS205="",""," / "&amp;CS205&amp;"%"),IF(AND(N(CB205)&gt;=99.95,CS205&lt;&gt;"",N(CS205)&lt;100),"Pend. "&amp;CS205&amp;"%",""))))</f>
        <v/>
      </c>
      <c r="AW205" s="40" t="str">
        <f aca="false">IF(OR(OR(NOT(AND(ISNUMBER(E205),ISNUMBER(F205))),$J$2=""),11&gt;MAX(1,Reprogramaciones!$U$15)),"",IF(Reprogramaciones!U$12&gt;=7,"",IF(OR(CD205-N(CC205)&gt;0.05,N(AA205)&gt;0),ROUNDDOWN(ROUND(CD205,6),0)&amp;"%"&amp;IF(CT205="",""," / "&amp;CT205&amp;"%"),IF(AND(N(CC205)&gt;=99.95,CT205&lt;&gt;"",N(CT205)&lt;100),"Pend. "&amp;CT205&amp;"%",""))))</f>
        <v/>
      </c>
      <c r="AX205" s="40" t="str">
        <f aca="false">IF(OR(OR(NOT(AND(ISNUMBER(E205),ISNUMBER(F205))),$J$2=""),12&gt;MAX(1,Reprogramaciones!$U$15)),"",IF(Reprogramaciones!V$12&gt;=7,"",IF(OR(CE205-N(CD205)&gt;0.05,N(AB205)&gt;0),ROUNDDOWN(ROUND(CE205,6),0)&amp;"%"&amp;IF(CU205="",""," / "&amp;CU205&amp;"%"),IF(AND(N(CD205)&gt;=99.95,CU205&lt;&gt;"",N(CU205)&lt;100),"Pend. "&amp;CU205&amp;"%",""))))</f>
        <v/>
      </c>
      <c r="AY205" s="40" t="str">
        <f aca="false">IF(OR(OR(NOT(AND(ISNUMBER(E205),ISNUMBER(F205))),$J$2=""),13&gt;MAX(1,Reprogramaciones!$U$15)),"",IF(Reprogramaciones!W$12&gt;=7,"",IF(OR(CF205-N(CE205)&gt;0.05,N(AC205)&gt;0),ROUNDDOWN(ROUND(CF205,6),0)&amp;"%"&amp;IF(CV205="",""," / "&amp;CV205&amp;"%"),IF(AND(N(CE205)&gt;=99.95,CV205&lt;&gt;"",N(CV205)&lt;100),"Pend. "&amp;CV205&amp;"%",""))))</f>
        <v/>
      </c>
      <c r="AZ205" s="40" t="str">
        <f aca="false">IF(OR(OR(NOT(AND(ISNUMBER(E205),ISNUMBER(F205))),$J$2=""),14&gt;MAX(1,Reprogramaciones!$U$15)),"",IF(Reprogramaciones!X$12&gt;=7,"",IF(OR(CG205-N(CF205)&gt;0.05,N(AD205)&gt;0),ROUNDDOWN(ROUND(CG205,6),0)&amp;"%"&amp;IF(CW205="",""," / "&amp;CW205&amp;"%"),IF(AND(N(CF205)&gt;=99.95,CW205&lt;&gt;"",N(CW205)&lt;100),"Pend. "&amp;CW205&amp;"%",""))))</f>
        <v/>
      </c>
      <c r="BA205" s="40" t="str">
        <f aca="false">IF(OR(OR(NOT(AND(ISNUMBER(E205),ISNUMBER(F205))),$J$2=""),15&gt;MAX(1,Reprogramaciones!$U$15)),"",IF(Reprogramaciones!Y$12&gt;=7,"",IF(OR(CH205-N(CG205)&gt;0.05,N(AE205)&gt;0),ROUNDDOWN(ROUND(CH205,6),0)&amp;"%"&amp;IF(CX205="",""," / "&amp;CX205&amp;"%"),IF(AND(N(CG205)&gt;=99.95,CX205&lt;&gt;"",N(CX205)&lt;100),"Pend. "&amp;CX205&amp;"%",""))))</f>
        <v/>
      </c>
      <c r="BB205" s="40" t="str">
        <f aca="false">IF(OR(OR(NOT(AND(ISNUMBER(E205),ISNUMBER(F205))),$J$2=""),16&gt;MAX(1,Reprogramaciones!$U$15)),"",IF(Reprogramaciones!Z$12&gt;=7,"",IF(OR(CI205-N(CH205)&gt;0.05,N(AF205)&gt;0),ROUNDDOWN(ROUND(CI205,6),0)&amp;"%"&amp;IF(CY205="",""," / "&amp;CY205&amp;"%"),IF(AND(N(CH205)&gt;=99.95,CY205&lt;&gt;"",N(CY205)&lt;100),"Pend. "&amp;CY205&amp;"%",""))))</f>
        <v/>
      </c>
      <c r="BC205" s="31" t="n">
        <f aca="false">IF(AND(ISNUMBER(E205),ISNUMBER(F205)),MAX(1,NETWORKDAYS.INTL(E205,F205,11)),0)</f>
        <v>0</v>
      </c>
      <c r="BD205" s="1" t="str">
        <f aca="false">IF(OR(NOT(AND(ISNUMBER(E205),ISNUMBER(F205))),$J$2=""),"",MIN(100,ROUND(SUM($G205:G205),1)))</f>
        <v/>
      </c>
      <c r="BE205" s="1" t="str">
        <f aca="false">IF(OR(NOT(AND(ISNUMBER(E205),ISNUMBER(F205))),$J$2=""),"",MIN(100,ROUND(SUM($G205:H205),1)))</f>
        <v/>
      </c>
      <c r="BF205" s="1" t="str">
        <f aca="false">IF(OR(NOT(AND(ISNUMBER(E205),ISNUMBER(F205))),$J$2=""),"",MIN(100,ROUND(SUM($G205:I205),1)))</f>
        <v/>
      </c>
      <c r="BG205" s="1" t="str">
        <f aca="false">IF(OR(NOT(AND(ISNUMBER(E205),ISNUMBER(F205))),$J$2=""),"",MIN(100,ROUND(SUM($G205:J205),1)))</f>
        <v/>
      </c>
      <c r="BH205" s="1" t="str">
        <f aca="false">IF(OR(NOT(AND(ISNUMBER(E205),ISNUMBER(F205))),$J$2=""),"",MIN(100,ROUND(SUM($G205:K205),1)))</f>
        <v/>
      </c>
      <c r="BI205" s="1" t="str">
        <f aca="false">IF(OR(NOT(AND(ISNUMBER(E205),ISNUMBER(F205))),$J$2=""),"",MIN(100,ROUND(SUM($G205:L205),1)))</f>
        <v/>
      </c>
      <c r="BJ205" s="1" t="str">
        <f aca="false">IF(OR(NOT(AND(ISNUMBER(E205),ISNUMBER(F205))),$J$2=""),"",MIN(100,ROUND(SUM($G205:M205),1)))</f>
        <v/>
      </c>
      <c r="BK205" s="1" t="str">
        <f aca="false">IF(OR(NOT(AND(ISNUMBER(E205),ISNUMBER(F205))),$J$2=""),"",MIN(100,ROUND(SUM($G205:N205),1)))</f>
        <v/>
      </c>
      <c r="BL205" s="1" t="str">
        <f aca="false">IF(OR(NOT(AND(ISNUMBER(E205),ISNUMBER(F205))),$J$2=""),"",MIN(100,ROUND(SUM($G205:O205),1)))</f>
        <v/>
      </c>
      <c r="BM205" s="1" t="str">
        <f aca="false">IF(OR(NOT(AND(ISNUMBER(E205),ISNUMBER(F205))),$J$2=""),"",MIN(100,ROUND(SUM($G205:P205),1)))</f>
        <v/>
      </c>
      <c r="BN205" s="1" t="str">
        <f aca="false">IF(OR(NOT(AND(ISNUMBER(E205),ISNUMBER(F205))),$J$2=""),"",MIN(100,ROUND(SUM($G205:P205),1)))</f>
        <v/>
      </c>
      <c r="BO205" s="1" t="str">
        <f aca="false">IF(OR(NOT(AND(ISNUMBER(E205),ISNUMBER(F205))),$J$2=""),"",MIN(100,ROUND(SUM($G205:P205),1)))</f>
        <v/>
      </c>
      <c r="BP205" s="1" t="str">
        <f aca="false">IF(OR(NOT(AND(ISNUMBER(E205),ISNUMBER(F205))),$J$2=""),"",MIN(100,ROUND(SUM($G205:P205),1)))</f>
        <v/>
      </c>
      <c r="BQ205" s="1" t="str">
        <f aca="false">IF(OR(NOT(AND(ISNUMBER(E205),ISNUMBER(F205))),$J$2=""),"",MIN(100,ROUND(SUM($G205:P205),1)))</f>
        <v/>
      </c>
      <c r="BR205" s="1" t="str">
        <f aca="false">IF(OR(NOT(AND(ISNUMBER(E205),ISNUMBER(F205))),$J$2=""),"",MIN(100,ROUND(SUM($G205:P205),1)))</f>
        <v/>
      </c>
      <c r="BS205" s="1" t="str">
        <f aca="false">IF(OR(NOT(AND(ISNUMBER(E205),ISNUMBER(F205))),$J$2=""),"",MIN(100,ROUND(SUM($G205:P205),1)))</f>
        <v/>
      </c>
      <c r="BT205" s="1" t="str">
        <f aca="false">IF(OR(NOT(AND(ISNUMBER(E205),ISNUMBER(F205))),$J$2=""),"",IF(Reprogramaciones!K$13&lt;Reprogramaciones!$T$15,0,IF(Reprogramaciones!K$14&gt;10,MIN(100,SUM($G205:$P205)),MIN(100,SUMPRODUCT((COLUMN($G205:$P205)-COLUMN($G205)+1&lt;Reprogramaciones!K$14)*$G205:$P205)+N(INDEX($G205:$P205,1,Reprogramaciones!K$14))*IF(Reprogramaciones!K$13&gt;=(Reprogramaciones!$T$15+7*(Reprogramaciones!K$14-1))+6,1,IF(MAX(0,NETWORKDAYS.INTL(MAX(E205,(Reprogramaciones!$T$15+7*(Reprogramaciones!K$14-1))),MIN(F205,(Reprogramaciones!$T$15+7*(Reprogramaciones!K$14-1))+6),11))=0,0,MAX(0,NETWORKDAYS.INTL(MAX(E205,(Reprogramaciones!$T$15+7*(Reprogramaciones!K$14-1))),MIN(F205,Reprogramaciones!K$13),11))/MAX(0,NETWORKDAYS.INTL(MAX(E205,(Reprogramaciones!$T$15+7*(Reprogramaciones!K$14-1))),MIN(F205,(Reprogramaciones!$T$15+7*(Reprogramaciones!K$14-1))+6),11))))))))</f>
        <v/>
      </c>
      <c r="BU205" s="1" t="str">
        <f aca="false">IF(OR(NOT(AND(ISNUMBER(E205),ISNUMBER(F205))),$J$2=""),"",IF(Reprogramaciones!L$13&lt;Reprogramaciones!$T$15,0,IF(Reprogramaciones!L$14&gt;10,MIN(100,SUM($G205:$P205)),MIN(100,SUMPRODUCT((COLUMN($G205:$P205)-COLUMN($G205)+1&lt;Reprogramaciones!L$14)*$G205:$P205)+N(INDEX($G205:$P205,1,Reprogramaciones!L$14))*IF(Reprogramaciones!L$13&gt;=(Reprogramaciones!$T$15+7*(Reprogramaciones!L$14-1))+6,1,IF(MAX(0,NETWORKDAYS.INTL(MAX(E205,(Reprogramaciones!$T$15+7*(Reprogramaciones!L$14-1))),MIN(F205,(Reprogramaciones!$T$15+7*(Reprogramaciones!L$14-1))+6),11))=0,0,MAX(0,NETWORKDAYS.INTL(MAX(E205,(Reprogramaciones!$T$15+7*(Reprogramaciones!L$14-1))),MIN(F205,Reprogramaciones!L$13),11))/MAX(0,NETWORKDAYS.INTL(MAX(E205,(Reprogramaciones!$T$15+7*(Reprogramaciones!L$14-1))),MIN(F205,(Reprogramaciones!$T$15+7*(Reprogramaciones!L$14-1))+6),11))))))))</f>
        <v/>
      </c>
      <c r="BV205" s="1" t="str">
        <f aca="false">IF(OR(NOT(AND(ISNUMBER(E205),ISNUMBER(F205))),$J$2=""),"",IF(Reprogramaciones!M$13&lt;Reprogramaciones!$T$15,0,IF(Reprogramaciones!M$14&gt;10,MIN(100,SUM($G205:$P205)),MIN(100,SUMPRODUCT((COLUMN($G205:$P205)-COLUMN($G205)+1&lt;Reprogramaciones!M$14)*$G205:$P205)+N(INDEX($G205:$P205,1,Reprogramaciones!M$14))*IF(Reprogramaciones!M$13&gt;=(Reprogramaciones!$T$15+7*(Reprogramaciones!M$14-1))+6,1,IF(MAX(0,NETWORKDAYS.INTL(MAX(E205,(Reprogramaciones!$T$15+7*(Reprogramaciones!M$14-1))),MIN(F205,(Reprogramaciones!$T$15+7*(Reprogramaciones!M$14-1))+6),11))=0,0,MAX(0,NETWORKDAYS.INTL(MAX(E205,(Reprogramaciones!$T$15+7*(Reprogramaciones!M$14-1))),MIN(F205,Reprogramaciones!M$13),11))/MAX(0,NETWORKDAYS.INTL(MAX(E205,(Reprogramaciones!$T$15+7*(Reprogramaciones!M$14-1))),MIN(F205,(Reprogramaciones!$T$15+7*(Reprogramaciones!M$14-1))+6),11))))))))</f>
        <v/>
      </c>
      <c r="BW205" s="1" t="str">
        <f aca="false">IF(OR(NOT(AND(ISNUMBER(E205),ISNUMBER(F205))),$J$2=""),"",IF(Reprogramaciones!N$13&lt;Reprogramaciones!$T$15,0,IF(Reprogramaciones!N$14&gt;10,MIN(100,SUM($G205:$P205)),MIN(100,SUMPRODUCT((COLUMN($G205:$P205)-COLUMN($G205)+1&lt;Reprogramaciones!N$14)*$G205:$P205)+N(INDEX($G205:$P205,1,Reprogramaciones!N$14))*IF(Reprogramaciones!N$13&gt;=(Reprogramaciones!$T$15+7*(Reprogramaciones!N$14-1))+6,1,IF(MAX(0,NETWORKDAYS.INTL(MAX(E205,(Reprogramaciones!$T$15+7*(Reprogramaciones!N$14-1))),MIN(F205,(Reprogramaciones!$T$15+7*(Reprogramaciones!N$14-1))+6),11))=0,0,MAX(0,NETWORKDAYS.INTL(MAX(E205,(Reprogramaciones!$T$15+7*(Reprogramaciones!N$14-1))),MIN(F205,Reprogramaciones!N$13),11))/MAX(0,NETWORKDAYS.INTL(MAX(E205,(Reprogramaciones!$T$15+7*(Reprogramaciones!N$14-1))),MIN(F205,(Reprogramaciones!$T$15+7*(Reprogramaciones!N$14-1))+6),11))))))))</f>
        <v/>
      </c>
      <c r="BX205" s="1" t="str">
        <f aca="false">IF(OR(NOT(AND(ISNUMBER(E205),ISNUMBER(F205))),$J$2=""),"",IF(Reprogramaciones!O$13&lt;Reprogramaciones!$T$15,0,IF(Reprogramaciones!O$14&gt;10,MIN(100,SUM($G205:$P205)),MIN(100,SUMPRODUCT((COLUMN($G205:$P205)-COLUMN($G205)+1&lt;Reprogramaciones!O$14)*$G205:$P205)+N(INDEX($G205:$P205,1,Reprogramaciones!O$14))*IF(Reprogramaciones!O$13&gt;=(Reprogramaciones!$T$15+7*(Reprogramaciones!O$14-1))+6,1,IF(MAX(0,NETWORKDAYS.INTL(MAX(E205,(Reprogramaciones!$T$15+7*(Reprogramaciones!O$14-1))),MIN(F205,(Reprogramaciones!$T$15+7*(Reprogramaciones!O$14-1))+6),11))=0,0,MAX(0,NETWORKDAYS.INTL(MAX(E205,(Reprogramaciones!$T$15+7*(Reprogramaciones!O$14-1))),MIN(F205,Reprogramaciones!O$13),11))/MAX(0,NETWORKDAYS.INTL(MAX(E205,(Reprogramaciones!$T$15+7*(Reprogramaciones!O$14-1))),MIN(F205,(Reprogramaciones!$T$15+7*(Reprogramaciones!O$14-1))+6),11))))))))</f>
        <v/>
      </c>
      <c r="BY205" s="1" t="str">
        <f aca="false">IF(OR(NOT(AND(ISNUMBER(E205),ISNUMBER(F205))),$J$2=""),"",IF(Reprogramaciones!P$13&lt;Reprogramaciones!$T$15,0,IF(Reprogramaciones!P$14&gt;10,MIN(100,SUM($G205:$P205)),MIN(100,SUMPRODUCT((COLUMN($G205:$P205)-COLUMN($G205)+1&lt;Reprogramaciones!P$14)*$G205:$P205)+N(INDEX($G205:$P205,1,Reprogramaciones!P$14))*IF(Reprogramaciones!P$13&gt;=(Reprogramaciones!$T$15+7*(Reprogramaciones!P$14-1))+6,1,IF(MAX(0,NETWORKDAYS.INTL(MAX(E205,(Reprogramaciones!$T$15+7*(Reprogramaciones!P$14-1))),MIN(F205,(Reprogramaciones!$T$15+7*(Reprogramaciones!P$14-1))+6),11))=0,0,MAX(0,NETWORKDAYS.INTL(MAX(E205,(Reprogramaciones!$T$15+7*(Reprogramaciones!P$14-1))),MIN(F205,Reprogramaciones!P$13),11))/MAX(0,NETWORKDAYS.INTL(MAX(E205,(Reprogramaciones!$T$15+7*(Reprogramaciones!P$14-1))),MIN(F205,(Reprogramaciones!$T$15+7*(Reprogramaciones!P$14-1))+6),11))))))))</f>
        <v/>
      </c>
      <c r="BZ205" s="1" t="str">
        <f aca="false">IF(OR(NOT(AND(ISNUMBER(E205),ISNUMBER(F205))),$J$2=""),"",IF(Reprogramaciones!Q$13&lt;Reprogramaciones!$T$15,0,IF(Reprogramaciones!Q$14&gt;10,MIN(100,SUM($G205:$P205)),MIN(100,SUMPRODUCT((COLUMN($G205:$P205)-COLUMN($G205)+1&lt;Reprogramaciones!Q$14)*$G205:$P205)+N(INDEX($G205:$P205,1,Reprogramaciones!Q$14))*IF(Reprogramaciones!Q$13&gt;=(Reprogramaciones!$T$15+7*(Reprogramaciones!Q$14-1))+6,1,IF(MAX(0,NETWORKDAYS.INTL(MAX(E205,(Reprogramaciones!$T$15+7*(Reprogramaciones!Q$14-1))),MIN(F205,(Reprogramaciones!$T$15+7*(Reprogramaciones!Q$14-1))+6),11))=0,0,MAX(0,NETWORKDAYS.INTL(MAX(E205,(Reprogramaciones!$T$15+7*(Reprogramaciones!Q$14-1))),MIN(F205,Reprogramaciones!Q$13),11))/MAX(0,NETWORKDAYS.INTL(MAX(E205,(Reprogramaciones!$T$15+7*(Reprogramaciones!Q$14-1))),MIN(F205,(Reprogramaciones!$T$15+7*(Reprogramaciones!Q$14-1))+6),11))))))))</f>
        <v/>
      </c>
      <c r="CA205" s="1" t="str">
        <f aca="false">IF(OR(NOT(AND(ISNUMBER(E205),ISNUMBER(F205))),$J$2=""),"",IF(Reprogramaciones!R$13&lt;Reprogramaciones!$T$15,0,IF(Reprogramaciones!R$14&gt;10,MIN(100,SUM($G205:$P205)),MIN(100,SUMPRODUCT((COLUMN($G205:$P205)-COLUMN($G205)+1&lt;Reprogramaciones!R$14)*$G205:$P205)+N(INDEX($G205:$P205,1,Reprogramaciones!R$14))*IF(Reprogramaciones!R$13&gt;=(Reprogramaciones!$T$15+7*(Reprogramaciones!R$14-1))+6,1,IF(MAX(0,NETWORKDAYS.INTL(MAX(E205,(Reprogramaciones!$T$15+7*(Reprogramaciones!R$14-1))),MIN(F205,(Reprogramaciones!$T$15+7*(Reprogramaciones!R$14-1))+6),11))=0,0,MAX(0,NETWORKDAYS.INTL(MAX(E205,(Reprogramaciones!$T$15+7*(Reprogramaciones!R$14-1))),MIN(F205,Reprogramaciones!R$13),11))/MAX(0,NETWORKDAYS.INTL(MAX(E205,(Reprogramaciones!$T$15+7*(Reprogramaciones!R$14-1))),MIN(F205,(Reprogramaciones!$T$15+7*(Reprogramaciones!R$14-1))+6),11))))))))</f>
        <v/>
      </c>
      <c r="CB205" s="1" t="str">
        <f aca="false">IF(OR(NOT(AND(ISNUMBER(E205),ISNUMBER(F205))),$J$2=""),"",IF(Reprogramaciones!S$13&lt;Reprogramaciones!$T$15,0,IF(Reprogramaciones!S$14&gt;10,MIN(100,SUM($G205:$P205)),MIN(100,SUMPRODUCT((COLUMN($G205:$P205)-COLUMN($G205)+1&lt;Reprogramaciones!S$14)*$G205:$P205)+N(INDEX($G205:$P205,1,Reprogramaciones!S$14))*IF(Reprogramaciones!S$13&gt;=(Reprogramaciones!$T$15+7*(Reprogramaciones!S$14-1))+6,1,IF(MAX(0,NETWORKDAYS.INTL(MAX(E205,(Reprogramaciones!$T$15+7*(Reprogramaciones!S$14-1))),MIN(F205,(Reprogramaciones!$T$15+7*(Reprogramaciones!S$14-1))+6),11))=0,0,MAX(0,NETWORKDAYS.INTL(MAX(E205,(Reprogramaciones!$T$15+7*(Reprogramaciones!S$14-1))),MIN(F205,Reprogramaciones!S$13),11))/MAX(0,NETWORKDAYS.INTL(MAX(E205,(Reprogramaciones!$T$15+7*(Reprogramaciones!S$14-1))),MIN(F205,(Reprogramaciones!$T$15+7*(Reprogramaciones!S$14-1))+6),11))))))))</f>
        <v/>
      </c>
      <c r="CC205" s="1" t="str">
        <f aca="false">IF(OR(NOT(AND(ISNUMBER(E205),ISNUMBER(F205))),$J$2=""),"",IF(Reprogramaciones!T$13&lt;Reprogramaciones!$T$15,0,IF(Reprogramaciones!T$14&gt;10,MIN(100,SUM($G205:$P205)),MIN(100,SUMPRODUCT((COLUMN($G205:$P205)-COLUMN($G205)+1&lt;Reprogramaciones!T$14)*$G205:$P205)+N(INDEX($G205:$P205,1,Reprogramaciones!T$14))*IF(Reprogramaciones!T$13&gt;=(Reprogramaciones!$T$15+7*(Reprogramaciones!T$14-1))+6,1,IF(MAX(0,NETWORKDAYS.INTL(MAX(E205,(Reprogramaciones!$T$15+7*(Reprogramaciones!T$14-1))),MIN(F205,(Reprogramaciones!$T$15+7*(Reprogramaciones!T$14-1))+6),11))=0,0,MAX(0,NETWORKDAYS.INTL(MAX(E205,(Reprogramaciones!$T$15+7*(Reprogramaciones!T$14-1))),MIN(F205,Reprogramaciones!T$13),11))/MAX(0,NETWORKDAYS.INTL(MAX(E205,(Reprogramaciones!$T$15+7*(Reprogramaciones!T$14-1))),MIN(F205,(Reprogramaciones!$T$15+7*(Reprogramaciones!T$14-1))+6),11))))))))</f>
        <v/>
      </c>
      <c r="CD205" s="1" t="str">
        <f aca="false">IF(OR(NOT(AND(ISNUMBER(E205),ISNUMBER(F205))),$J$2=""),"",IF(Reprogramaciones!U$13&lt;Reprogramaciones!$T$15,0,IF(Reprogramaciones!U$14&gt;10,MIN(100,SUM($G205:$P205)),MIN(100,SUMPRODUCT((COLUMN($G205:$P205)-COLUMN($G205)+1&lt;Reprogramaciones!U$14)*$G205:$P205)+N(INDEX($G205:$P205,1,Reprogramaciones!U$14))*IF(Reprogramaciones!U$13&gt;=(Reprogramaciones!$T$15+7*(Reprogramaciones!U$14-1))+6,1,IF(MAX(0,NETWORKDAYS.INTL(MAX(E205,(Reprogramaciones!$T$15+7*(Reprogramaciones!U$14-1))),MIN(F205,(Reprogramaciones!$T$15+7*(Reprogramaciones!U$14-1))+6),11))=0,0,MAX(0,NETWORKDAYS.INTL(MAX(E205,(Reprogramaciones!$T$15+7*(Reprogramaciones!U$14-1))),MIN(F205,Reprogramaciones!U$13),11))/MAX(0,NETWORKDAYS.INTL(MAX(E205,(Reprogramaciones!$T$15+7*(Reprogramaciones!U$14-1))),MIN(F205,(Reprogramaciones!$T$15+7*(Reprogramaciones!U$14-1))+6),11))))))))</f>
        <v/>
      </c>
      <c r="CE205" s="1" t="str">
        <f aca="false">IF(OR(NOT(AND(ISNUMBER(E205),ISNUMBER(F205))),$J$2=""),"",IF(Reprogramaciones!V$13&lt;Reprogramaciones!$T$15,0,IF(Reprogramaciones!V$14&gt;10,MIN(100,SUM($G205:$P205)),MIN(100,SUMPRODUCT((COLUMN($G205:$P205)-COLUMN($G205)+1&lt;Reprogramaciones!V$14)*$G205:$P205)+N(INDEX($G205:$P205,1,Reprogramaciones!V$14))*IF(Reprogramaciones!V$13&gt;=(Reprogramaciones!$T$15+7*(Reprogramaciones!V$14-1))+6,1,IF(MAX(0,NETWORKDAYS.INTL(MAX(E205,(Reprogramaciones!$T$15+7*(Reprogramaciones!V$14-1))),MIN(F205,(Reprogramaciones!$T$15+7*(Reprogramaciones!V$14-1))+6),11))=0,0,MAX(0,NETWORKDAYS.INTL(MAX(E205,(Reprogramaciones!$T$15+7*(Reprogramaciones!V$14-1))),MIN(F205,Reprogramaciones!V$13),11))/MAX(0,NETWORKDAYS.INTL(MAX(E205,(Reprogramaciones!$T$15+7*(Reprogramaciones!V$14-1))),MIN(F205,(Reprogramaciones!$T$15+7*(Reprogramaciones!V$14-1))+6),11))))))))</f>
        <v/>
      </c>
      <c r="CF205" s="1" t="str">
        <f aca="false">IF(OR(NOT(AND(ISNUMBER(E205),ISNUMBER(F205))),$J$2=""),"",IF(Reprogramaciones!W$13&lt;Reprogramaciones!$T$15,0,IF(Reprogramaciones!W$14&gt;10,MIN(100,SUM($G205:$P205)),MIN(100,SUMPRODUCT((COLUMN($G205:$P205)-COLUMN($G205)+1&lt;Reprogramaciones!W$14)*$G205:$P205)+N(INDEX($G205:$P205,1,Reprogramaciones!W$14))*IF(Reprogramaciones!W$13&gt;=(Reprogramaciones!$T$15+7*(Reprogramaciones!W$14-1))+6,1,IF(MAX(0,NETWORKDAYS.INTL(MAX(E205,(Reprogramaciones!$T$15+7*(Reprogramaciones!W$14-1))),MIN(F205,(Reprogramaciones!$T$15+7*(Reprogramaciones!W$14-1))+6),11))=0,0,MAX(0,NETWORKDAYS.INTL(MAX(E205,(Reprogramaciones!$T$15+7*(Reprogramaciones!W$14-1))),MIN(F205,Reprogramaciones!W$13),11))/MAX(0,NETWORKDAYS.INTL(MAX(E205,(Reprogramaciones!$T$15+7*(Reprogramaciones!W$14-1))),MIN(F205,(Reprogramaciones!$T$15+7*(Reprogramaciones!W$14-1))+6),11))))))))</f>
        <v/>
      </c>
      <c r="CG205" s="1" t="str">
        <f aca="false">IF(OR(NOT(AND(ISNUMBER(E205),ISNUMBER(F205))),$J$2=""),"",IF(Reprogramaciones!X$13&lt;Reprogramaciones!$T$15,0,IF(Reprogramaciones!X$14&gt;10,MIN(100,SUM($G205:$P205)),MIN(100,SUMPRODUCT((COLUMN($G205:$P205)-COLUMN($G205)+1&lt;Reprogramaciones!X$14)*$G205:$P205)+N(INDEX($G205:$P205,1,Reprogramaciones!X$14))*IF(Reprogramaciones!X$13&gt;=(Reprogramaciones!$T$15+7*(Reprogramaciones!X$14-1))+6,1,IF(MAX(0,NETWORKDAYS.INTL(MAX(E205,(Reprogramaciones!$T$15+7*(Reprogramaciones!X$14-1))),MIN(F205,(Reprogramaciones!$T$15+7*(Reprogramaciones!X$14-1))+6),11))=0,0,MAX(0,NETWORKDAYS.INTL(MAX(E205,(Reprogramaciones!$T$15+7*(Reprogramaciones!X$14-1))),MIN(F205,Reprogramaciones!X$13),11))/MAX(0,NETWORKDAYS.INTL(MAX(E205,(Reprogramaciones!$T$15+7*(Reprogramaciones!X$14-1))),MIN(F205,(Reprogramaciones!$T$15+7*(Reprogramaciones!X$14-1))+6),11))))))))</f>
        <v/>
      </c>
      <c r="CH205" s="1" t="str">
        <f aca="false">IF(OR(NOT(AND(ISNUMBER(E205),ISNUMBER(F205))),$J$2=""),"",IF(Reprogramaciones!Y$13&lt;Reprogramaciones!$T$15,0,IF(Reprogramaciones!Y$14&gt;10,MIN(100,SUM($G205:$P205)),MIN(100,SUMPRODUCT((COLUMN($G205:$P205)-COLUMN($G205)+1&lt;Reprogramaciones!Y$14)*$G205:$P205)+N(INDEX($G205:$P205,1,Reprogramaciones!Y$14))*IF(Reprogramaciones!Y$13&gt;=(Reprogramaciones!$T$15+7*(Reprogramaciones!Y$14-1))+6,1,IF(MAX(0,NETWORKDAYS.INTL(MAX(E205,(Reprogramaciones!$T$15+7*(Reprogramaciones!Y$14-1))),MIN(F205,(Reprogramaciones!$T$15+7*(Reprogramaciones!Y$14-1))+6),11))=0,0,MAX(0,NETWORKDAYS.INTL(MAX(E205,(Reprogramaciones!$T$15+7*(Reprogramaciones!Y$14-1))),MIN(F205,Reprogramaciones!Y$13),11))/MAX(0,NETWORKDAYS.INTL(MAX(E205,(Reprogramaciones!$T$15+7*(Reprogramaciones!Y$14-1))),MIN(F205,(Reprogramaciones!$T$15+7*(Reprogramaciones!Y$14-1))+6),11))))))))</f>
        <v/>
      </c>
      <c r="CI205" s="1" t="str">
        <f aca="false">IF(OR(NOT(AND(ISNUMBER(E205),ISNUMBER(F205))),$J$2=""),"",IF(Reprogramaciones!Z$13&lt;Reprogramaciones!$T$15,0,IF(Reprogramaciones!Z$14&gt;10,MIN(100,SUM($G205:$P205)),MIN(100,SUMPRODUCT((COLUMN($G205:$P205)-COLUMN($G205)+1&lt;Reprogramaciones!Z$14)*$G205:$P205)+N(INDEX($G205:$P205,1,Reprogramaciones!Z$14))*IF(Reprogramaciones!Z$13&gt;=(Reprogramaciones!$T$15+7*(Reprogramaciones!Z$14-1))+6,1,IF(MAX(0,NETWORKDAYS.INTL(MAX(E205,(Reprogramaciones!$T$15+7*(Reprogramaciones!Z$14-1))),MIN(F205,(Reprogramaciones!$T$15+7*(Reprogramaciones!Z$14-1))+6),11))=0,0,MAX(0,NETWORKDAYS.INTL(MAX(E205,(Reprogramaciones!$T$15+7*(Reprogramaciones!Z$14-1))),MIN(F205,Reprogramaciones!Z$13),11))/MAX(0,NETWORKDAYS.INTL(MAX(E205,(Reprogramaciones!$T$15+7*(Reprogramaciones!Z$14-1))),MIN(F205,(Reprogramaciones!$T$15+7*(Reprogramaciones!Z$14-1))+6),11))))))))</f>
        <v/>
      </c>
      <c r="CJ205" s="1" t="str">
        <f aca="false">IF(OR(OR(NOT(AND(ISNUMBER(E205),ISNUMBER(F205))),$J$2=""),1&gt;Reprogramaciones!$K$16),"",IF(ROUND(SUM($Q205:Q205),1)&gt;=99.5,100,MIN(100,ROUND(SUM($Q205:Q205),1))))</f>
        <v/>
      </c>
      <c r="CK205" s="1" t="str">
        <f aca="false">IF(OR(OR(NOT(AND(ISNUMBER(E205),ISNUMBER(F205))),$J$2=""),2&gt;Reprogramaciones!$K$16),"",IF(ROUND(SUM($Q205:R205),1)&gt;=99.5,100,MIN(100,ROUND(SUM($Q205:R205),1))))</f>
        <v/>
      </c>
      <c r="CL205" s="1" t="str">
        <f aca="false">IF(OR(OR(NOT(AND(ISNUMBER(E205),ISNUMBER(F205))),$J$2=""),3&gt;Reprogramaciones!$K$16),"",IF(ROUND(SUM($Q205:S205),1)&gt;=99.5,100,MIN(100,ROUND(SUM($Q205:S205),1))))</f>
        <v/>
      </c>
      <c r="CM205" s="1" t="str">
        <f aca="false">IF(OR(OR(NOT(AND(ISNUMBER(E205),ISNUMBER(F205))),$J$2=""),4&gt;Reprogramaciones!$K$16),"",IF(ROUND(SUM($Q205:T205),1)&gt;=99.5,100,MIN(100,ROUND(SUM($Q205:T205),1))))</f>
        <v/>
      </c>
      <c r="CN205" s="1" t="str">
        <f aca="false">IF(OR(OR(NOT(AND(ISNUMBER(E205),ISNUMBER(F205))),$J$2=""),5&gt;Reprogramaciones!$K$16),"",IF(ROUND(SUM($Q205:U205),1)&gt;=99.5,100,MIN(100,ROUND(SUM($Q205:U205),1))))</f>
        <v/>
      </c>
      <c r="CO205" s="1" t="str">
        <f aca="false">IF(OR(OR(NOT(AND(ISNUMBER(E205),ISNUMBER(F205))),$J$2=""),6&gt;Reprogramaciones!$K$16),"",IF(ROUND(SUM($Q205:V205),1)&gt;=99.5,100,MIN(100,ROUND(SUM($Q205:V205),1))))</f>
        <v/>
      </c>
      <c r="CP205" s="1" t="str">
        <f aca="false">IF(OR(OR(NOT(AND(ISNUMBER(E205),ISNUMBER(F205))),$J$2=""),7&gt;Reprogramaciones!$K$16),"",IF(ROUND(SUM($Q205:W205),1)&gt;=99.5,100,MIN(100,ROUND(SUM($Q205:W205),1))))</f>
        <v/>
      </c>
      <c r="CQ205" s="1" t="str">
        <f aca="false">IF(OR(OR(NOT(AND(ISNUMBER(E205),ISNUMBER(F205))),$J$2=""),8&gt;Reprogramaciones!$K$16),"",IF(ROUND(SUM($Q205:X205),1)&gt;=99.5,100,MIN(100,ROUND(SUM($Q205:X205),1))))</f>
        <v/>
      </c>
      <c r="CR205" s="1" t="str">
        <f aca="false">IF(OR(OR(NOT(AND(ISNUMBER(E205),ISNUMBER(F205))),$J$2=""),9&gt;Reprogramaciones!$K$16),"",IF(ROUND(SUM($Q205:Y205),1)&gt;=99.5,100,MIN(100,ROUND(SUM($Q205:Y205),1))))</f>
        <v/>
      </c>
      <c r="CS205" s="1" t="str">
        <f aca="false">IF(OR(OR(NOT(AND(ISNUMBER(E205),ISNUMBER(F205))),$J$2=""),10&gt;Reprogramaciones!$K$16),"",IF(ROUND(SUM($Q205:Z205),1)&gt;=99.5,100,MIN(100,ROUND(SUM($Q205:Z205),1))))</f>
        <v/>
      </c>
      <c r="CT205" s="1" t="str">
        <f aca="false">IF(OR(OR(NOT(AND(ISNUMBER(E205),ISNUMBER(F205))),$J$2=""),11&gt;Reprogramaciones!$K$16),"",IF(ROUND(SUM($Q205:AA205),1)&gt;=99.5,100,MIN(100,ROUND(SUM($Q205:AA205),1))))</f>
        <v/>
      </c>
      <c r="CU205" s="1" t="str">
        <f aca="false">IF(OR(OR(NOT(AND(ISNUMBER(E205),ISNUMBER(F205))),$J$2=""),12&gt;Reprogramaciones!$K$16),"",IF(ROUND(SUM($Q205:AB205),1)&gt;=99.5,100,MIN(100,ROUND(SUM($Q205:AB205),1))))</f>
        <v/>
      </c>
      <c r="CV205" s="1" t="str">
        <f aca="false">IF(OR(OR(NOT(AND(ISNUMBER(E205),ISNUMBER(F205))),$J$2=""),13&gt;Reprogramaciones!$K$16),"",IF(ROUND(SUM($Q205:AC205),1)&gt;=99.5,100,MIN(100,ROUND(SUM($Q205:AC205),1))))</f>
        <v/>
      </c>
      <c r="CW205" s="1" t="str">
        <f aca="false">IF(OR(OR(NOT(AND(ISNUMBER(E205),ISNUMBER(F205))),$J$2=""),14&gt;Reprogramaciones!$K$16),"",IF(ROUND(SUM($Q205:AD205),1)&gt;=99.5,100,MIN(100,ROUND(SUM($Q205:AD205),1))))</f>
        <v/>
      </c>
      <c r="CX205" s="1" t="str">
        <f aca="false">IF(OR(OR(NOT(AND(ISNUMBER(E205),ISNUMBER(F205))),$J$2=""),15&gt;Reprogramaciones!$K$16),"",IF(ROUND(SUM($Q205:AE205),1)&gt;=99.5,100,MIN(100,ROUND(SUM($Q205:AE205),1))))</f>
        <v/>
      </c>
      <c r="CY205" s="1" t="str">
        <f aca="false">IF(OR(OR(NOT(AND(ISNUMBER(E205),ISNUMBER(F205))),$J$2=""),16&gt;Reprogramaciones!$K$16),"",IF(ROUND(SUM($Q205:AF205),1)&gt;=99.5,100,MIN(100,ROUND(SUM($Q205:AF205),1))))</f>
        <v/>
      </c>
      <c r="CZ205" s="1" t="str">
        <f aca="false">IF(D205&lt;&gt;"",D205,IF(B205&lt;&gt;"","Contractual",CZ204))</f>
        <v>Contractual</v>
      </c>
      <c r="DA205" s="1" t="str">
        <f aca="false">IF(OR(NOT(AND(ISNUMBER(E205),ISNUMBER(F205))),$J$2=""),"",IF(Reprogramaciones!$Q$15&lt;Reprogramaciones!$T$15,0,IF(Reprogramaciones!$S$15&gt;10,MIN(100,SUM($G205:$P205)),MIN(100,SUMPRODUCT((COLUMN($G205:$P205)-COLUMN($G205)+1&lt;Reprogramaciones!$S$15)*$G205:$P205)+N(INDEX($G205:$P205,1,Reprogramaciones!$S$15))*IF(Reprogramaciones!$Q$15&gt;=(Reprogramaciones!$T$15+7*(Reprogramaciones!$S$15-1))+6,1,IF(MAX(0,NETWORKDAYS.INTL(MAX(E205,(Reprogramaciones!$T$15+7*(Reprogramaciones!$S$15-1))),MIN(F205,(Reprogramaciones!$T$15+7*(Reprogramaciones!$S$15-1))+6),11))=0,0,MAX(0,NETWORKDAYS.INTL(MAX(E205,(Reprogramaciones!$T$15+7*(Reprogramaciones!$S$15-1))),MIN(F205,Reprogramaciones!$Q$15),11))/MAX(0,NETWORKDAYS.INTL(MAX(E205,(Reprogramaciones!$T$15+7*(Reprogramaciones!$S$15-1))),MIN(F205,(Reprogramaciones!$T$15+7*(Reprogramaciones!$S$15-1))+6),11))))))))</f>
        <v/>
      </c>
    </row>
    <row r="206" customFormat="false" ht="15" hidden="false" customHeight="false" outlineLevel="0" collapsed="false">
      <c r="A206" s="32"/>
      <c r="B206" s="33"/>
      <c r="C206" s="33"/>
      <c r="D206" s="34"/>
      <c r="E206" s="35"/>
      <c r="F206" s="35"/>
      <c r="G206" s="36" t="str">
        <f aca="false">IF(OR(NOT(AND(ISNUMBER(E206),ISNUMBER(F206))),$J$2=""),"",IF(Reprogramaciones!K$9&lt;E206,0,IF(NETWORKDAYS.INTL(E206,F206,11)=0,IF(Reprogramaciones!K$9&gt;=F206,100,0),ROUND(NETWORKDAYS.INTL(E206,MIN(F206,Reprogramaciones!K$9),11)/NETWORKDAYS.INTL(E206,F206,11)*100,1)))-0)</f>
        <v/>
      </c>
      <c r="H206" s="36" t="str">
        <f aca="false">IF(OR(NOT(AND(ISNUMBER(E206),ISNUMBER(F206))),$J$2=""),"",IF(Reprogramaciones!L$9&lt;E206,0,IF(NETWORKDAYS.INTL(E206,F206,11)=0,IF(Reprogramaciones!L$9&gt;=F206,100,0),ROUND(NETWORKDAYS.INTL(E206,MIN(F206,Reprogramaciones!L$9),11)/NETWORKDAYS.INTL(E206,F206,11)*100,1)))-IF(Reprogramaciones!K$9&lt;E206,0,IF(NETWORKDAYS.INTL(E206,F206,11)=0,IF(Reprogramaciones!K$9&gt;=F206,100,0),ROUND(NETWORKDAYS.INTL(E206,MIN(F206,Reprogramaciones!K$9),11)/NETWORKDAYS.INTL(E206,F206,11)*100,1))))</f>
        <v/>
      </c>
      <c r="I206" s="36" t="str">
        <f aca="false">IF(OR(NOT(AND(ISNUMBER(E206),ISNUMBER(F206))),$J$2=""),"",IF(Reprogramaciones!M$9&lt;E206,0,IF(NETWORKDAYS.INTL(E206,F206,11)=0,IF(Reprogramaciones!M$9&gt;=F206,100,0),ROUND(NETWORKDAYS.INTL(E206,MIN(F206,Reprogramaciones!M$9),11)/NETWORKDAYS.INTL(E206,F206,11)*100,1)))-IF(Reprogramaciones!L$9&lt;E206,0,IF(NETWORKDAYS.INTL(E206,F206,11)=0,IF(Reprogramaciones!L$9&gt;=F206,100,0),ROUND(NETWORKDAYS.INTL(E206,MIN(F206,Reprogramaciones!L$9),11)/NETWORKDAYS.INTL(E206,F206,11)*100,1))))</f>
        <v/>
      </c>
      <c r="J206" s="36" t="str">
        <f aca="false">IF(OR(NOT(AND(ISNUMBER(E206),ISNUMBER(F206))),$J$2=""),"",IF(Reprogramaciones!N$9&lt;E206,0,IF(NETWORKDAYS.INTL(E206,F206,11)=0,IF(Reprogramaciones!N$9&gt;=F206,100,0),ROUND(NETWORKDAYS.INTL(E206,MIN(F206,Reprogramaciones!N$9),11)/NETWORKDAYS.INTL(E206,F206,11)*100,1)))-IF(Reprogramaciones!M$9&lt;E206,0,IF(NETWORKDAYS.INTL(E206,F206,11)=0,IF(Reprogramaciones!M$9&gt;=F206,100,0),ROUND(NETWORKDAYS.INTL(E206,MIN(F206,Reprogramaciones!M$9),11)/NETWORKDAYS.INTL(E206,F206,11)*100,1))))</f>
        <v/>
      </c>
      <c r="K206" s="36" t="str">
        <f aca="false">IF(OR(NOT(AND(ISNUMBER(E206),ISNUMBER(F206))),$J$2=""),"",IF(Reprogramaciones!O$9&lt;E206,0,IF(NETWORKDAYS.INTL(E206,F206,11)=0,IF(Reprogramaciones!O$9&gt;=F206,100,0),ROUND(NETWORKDAYS.INTL(E206,MIN(F206,Reprogramaciones!O$9),11)/NETWORKDAYS.INTL(E206,F206,11)*100,1)))-IF(Reprogramaciones!N$9&lt;E206,0,IF(NETWORKDAYS.INTL(E206,F206,11)=0,IF(Reprogramaciones!N$9&gt;=F206,100,0),ROUND(NETWORKDAYS.INTL(E206,MIN(F206,Reprogramaciones!N$9),11)/NETWORKDAYS.INTL(E206,F206,11)*100,1))))</f>
        <v/>
      </c>
      <c r="L206" s="36" t="str">
        <f aca="false">IF(OR(NOT(AND(ISNUMBER(E206),ISNUMBER(F206))),$J$2=""),"",IF(Reprogramaciones!P$9&lt;E206,0,IF(NETWORKDAYS.INTL(E206,F206,11)=0,IF(Reprogramaciones!P$9&gt;=F206,100,0),ROUND(NETWORKDAYS.INTL(E206,MIN(F206,Reprogramaciones!P$9),11)/NETWORKDAYS.INTL(E206,F206,11)*100,1)))-IF(Reprogramaciones!O$9&lt;E206,0,IF(NETWORKDAYS.INTL(E206,F206,11)=0,IF(Reprogramaciones!O$9&gt;=F206,100,0),ROUND(NETWORKDAYS.INTL(E206,MIN(F206,Reprogramaciones!O$9),11)/NETWORKDAYS.INTL(E206,F206,11)*100,1))))</f>
        <v/>
      </c>
      <c r="M206" s="36" t="str">
        <f aca="false">IF(OR(NOT(AND(ISNUMBER(E206),ISNUMBER(F206))),$J$2=""),"",IF(Reprogramaciones!Q$9&lt;E206,0,IF(NETWORKDAYS.INTL(E206,F206,11)=0,IF(Reprogramaciones!Q$9&gt;=F206,100,0),ROUND(NETWORKDAYS.INTL(E206,MIN(F206,Reprogramaciones!Q$9),11)/NETWORKDAYS.INTL(E206,F206,11)*100,1)))-IF(Reprogramaciones!P$9&lt;E206,0,IF(NETWORKDAYS.INTL(E206,F206,11)=0,IF(Reprogramaciones!P$9&gt;=F206,100,0),ROUND(NETWORKDAYS.INTL(E206,MIN(F206,Reprogramaciones!P$9),11)/NETWORKDAYS.INTL(E206,F206,11)*100,1))))</f>
        <v/>
      </c>
      <c r="N206" s="36" t="str">
        <f aca="false">IF(OR(NOT(AND(ISNUMBER(E206),ISNUMBER(F206))),$J$2=""),"",IF(Reprogramaciones!R$9&lt;E206,0,IF(NETWORKDAYS.INTL(E206,F206,11)=0,IF(Reprogramaciones!R$9&gt;=F206,100,0),ROUND(NETWORKDAYS.INTL(E206,MIN(F206,Reprogramaciones!R$9),11)/NETWORKDAYS.INTL(E206,F206,11)*100,1)))-IF(Reprogramaciones!Q$9&lt;E206,0,IF(NETWORKDAYS.INTL(E206,F206,11)=0,IF(Reprogramaciones!Q$9&gt;=F206,100,0),ROUND(NETWORKDAYS.INTL(E206,MIN(F206,Reprogramaciones!Q$9),11)/NETWORKDAYS.INTL(E206,F206,11)*100,1))))</f>
        <v/>
      </c>
      <c r="O206" s="36" t="str">
        <f aca="false">IF(OR(NOT(AND(ISNUMBER(E206),ISNUMBER(F206))),$J$2=""),"",IF(Reprogramaciones!S$9&lt;E206,0,IF(NETWORKDAYS.INTL(E206,F206,11)=0,IF(Reprogramaciones!S$9&gt;=F206,100,0),ROUND(NETWORKDAYS.INTL(E206,MIN(F206,Reprogramaciones!S$9),11)/NETWORKDAYS.INTL(E206,F206,11)*100,1)))-IF(Reprogramaciones!R$9&lt;E206,0,IF(NETWORKDAYS.INTL(E206,F206,11)=0,IF(Reprogramaciones!R$9&gt;=F206,100,0),ROUND(NETWORKDAYS.INTL(E206,MIN(F206,Reprogramaciones!R$9),11)/NETWORKDAYS.INTL(E206,F206,11)*100,1))))</f>
        <v/>
      </c>
      <c r="P206" s="36" t="str">
        <f aca="false">IF(OR(NOT(AND(ISNUMBER(E206),ISNUMBER(F206))),$J$2=""),"",IF(Reprogramaciones!T$9&lt;E206,0,IF(NETWORKDAYS.INTL(E206,F206,11)=0,IF(Reprogramaciones!T$9&gt;=F206,100,0),ROUND(NETWORKDAYS.INTL(E206,MIN(F206,Reprogramaciones!T$9),11)/NETWORKDAYS.INTL(E206,F206,11)*100,1)))-IF(Reprogramaciones!S$9&lt;E206,0,IF(NETWORKDAYS.INTL(E206,F206,11)=0,IF(Reprogramaciones!S$9&gt;=F206,100,0),ROUND(NETWORKDAYS.INTL(E206,MIN(F206,Reprogramaciones!S$9),11)/NETWORKDAYS.INTL(E206,F206,11)*100,1))))</f>
        <v/>
      </c>
      <c r="Q206" s="37"/>
      <c r="R206" s="37"/>
      <c r="S206" s="37"/>
      <c r="T206" s="37"/>
      <c r="U206" s="37"/>
      <c r="V206" s="37"/>
      <c r="W206" s="37"/>
      <c r="X206" s="37"/>
      <c r="Y206" s="37"/>
      <c r="Z206" s="37"/>
      <c r="AA206" s="37"/>
      <c r="AB206" s="37"/>
      <c r="AC206" s="37"/>
      <c r="AD206" s="37"/>
      <c r="AE206" s="37"/>
      <c r="AF206" s="37"/>
      <c r="AG206" s="38" t="str">
        <f aca="false">IF(AND(ISNUMBER(E206),ISNUMBER(F206)),NETWORKDAYS.INTL(E206,F206,11),"")</f>
        <v/>
      </c>
      <c r="AH206" s="38" t="str">
        <f aca="false">IF(OR(NOT(AND(ISNUMBER(E206),ISNUMBER(F206))),$J$2=""),"",IF(Reprogramaciones!$P$15&lt;Reprogramaciones!$T$15,0,IF(Reprogramaciones!$R$15&gt;10,MIN(100,SUM($G206:$P206)),MIN(100,SUMPRODUCT((COLUMN($G206:$P206)-COLUMN($G206)+1&lt;Reprogramaciones!$R$15)*$G206:$P206)+N(INDEX($G206:$P206,1,Reprogramaciones!$R$15))*IF(Reprogramaciones!$P$15&gt;=(Reprogramaciones!$T$15+7*(Reprogramaciones!$R$15-1))+6,1,IF(MAX(0,NETWORKDAYS.INTL(MAX(E206,(Reprogramaciones!$T$15+7*(Reprogramaciones!$R$15-1))),MIN(F206,(Reprogramaciones!$T$15+7*(Reprogramaciones!$R$15-1))+6),11))=0,0,MAX(0,NETWORKDAYS.INTL(MAX(E206,(Reprogramaciones!$T$15+7*(Reprogramaciones!$R$15-1))),MIN(F206,Reprogramaciones!$P$15),11))/MAX(0,NETWORKDAYS.INTL(MAX(E206,(Reprogramaciones!$T$15+7*(Reprogramaciones!$R$15-1))),MIN(F206,(Reprogramaciones!$T$15+7*(Reprogramaciones!$R$15-1))+6),11))))))))</f>
        <v/>
      </c>
      <c r="AI206" s="38" t="str">
        <f aca="false">IF(COUNT($Q206:$AF206)=0,"",IF(ROUND(SUM($Q206:$AF206),1)&gt;=99.5,100,MIN(100,ROUND(SUM($Q206:$AF206),1))))</f>
        <v/>
      </c>
      <c r="AJ206" s="38" t="str">
        <f aca="false">IF(OR(AH206="",AI206=""),"",AI206-AH206)</f>
        <v/>
      </c>
      <c r="AK206" s="39" t="str">
        <f aca="true">IF(AH206="","",IF(OR(Ficha!$C$10="Suspendida",Ficha!$C$10="Cancelada"),Ficha!$C$10,IF(AND(AI206&lt;&gt;"",N(AI206)&gt;=100),"Completada",IF(AND(E206&gt;TODAY(),N(AI206)=0),"Por iniciar",IF(N(AI206)+0.5&lt;AH206,"Retrasada",IF(N(AI206)+0.5&lt;DA206,IF(Reprogramaciones!$K$15&gt;0,"Al día · Sem "&amp;Reprogramaciones!$K$15&amp;" en curso","Al día · en curso"),"A tiempo"))))))</f>
        <v/>
      </c>
      <c r="AL206" s="39" t="str">
        <f aca="true">IF(AND(A206="",AND(B206="",C206="",E206="",F206="",COUNT(Q206:AF206)=0)),"",IF(AND(B206="",C206="",E206="",F206="",COUNT(Q206:AF206)=0),"Falta la partida o subpartida",IF(AND(A206&lt;&gt;"",COUNTIF($A$6:$A$305,A206)&gt;1),"Ítem repetido",IF(AND(C206="",E206="",F206="",COUNT(Q206:AF206)=0),"Título de partida",IF(OR(E206="",F206=""),"Faltan fechas",IF(OR(ISTEXT(E206),ISTEXT(F206)),"Fecha escrita como texto: usa dd/mm/aaaa",IF(F206&lt;E206,"Fin antes del inicio",IF(IF($J$2="",FALSE(),OR(E206&lt;$J$2,F206&gt;Reprogramaciones!$T$15+69)),"Fuera de las 10 semanas",IF(ABS(SUM(G206:P206)-100)&gt;0.5,"La meta no suma 100%",IF(ROUND(SUM(Q206:AF206),1)&gt;100.5,"El avance pasa de 100%",IF(MIN(Q206:AF206)&lt;0,"Avance negativo",IF(COUNTA(Q206:AF206)&gt;COUNT(Q206:AF206),"Avance escrito como texto",IF(SUMPRODUCT((Q206:AF206&gt;0)*(Q206:AF206&lt;1))&gt;0,"Avance menor a 1: escribe 50, no 50%",IF(SUMPRODUCT(ISNUMBER(Q206:AF206)*(Reprogramaciones!$K$8:$Z$8&gt;TODAY()))&gt;0,"Avance en semana que aún no llega",IF(AND(N(Reprogramaciones!$E$21)&gt;0,F206&gt;Reprogramaciones!$E$21),"Pasa el fin de la obra: registra una reprogramación",IF(AND(N(Reprogramaciones!$E$21)&gt;0,SUMPRODUCT(ISNUMBER(Q206:AF206)*(Reprogramaciones!$K$8:$Z$8&gt;Reprogramaciones!$E$21))&gt;0),"Avance después del fin de la obra: registra una reprogramación por atraso","OK"))))))))))))))))</f>
        <v/>
      </c>
      <c r="AM206" s="40" t="str">
        <f aca="false">IF(OR(OR(NOT(AND(ISNUMBER(E206),ISNUMBER(F206))),$J$2=""),1&gt;MAX(1,Reprogramaciones!$U$15)),"",IF(Reprogramaciones!K$12&gt;=7,"",IF(OR(BT206-N(0)&gt;0.05,N(Q206)&gt;0),ROUNDDOWN(ROUND(BT206,6),0)&amp;"%"&amp;IF(CJ206="",""," / "&amp;CJ206&amp;"%"),IF(AND(N(0)&gt;=99.95,CJ206&lt;&gt;"",N(CJ206)&lt;100),"Pend. "&amp;CJ206&amp;"%",""))))</f>
        <v/>
      </c>
      <c r="AN206" s="40" t="str">
        <f aca="false">IF(OR(OR(NOT(AND(ISNUMBER(E206),ISNUMBER(F206))),$J$2=""),2&gt;MAX(1,Reprogramaciones!$U$15)),"",IF(Reprogramaciones!L$12&gt;=7,"",IF(OR(BU206-N(BT206)&gt;0.05,N(R206)&gt;0),ROUNDDOWN(ROUND(BU206,6),0)&amp;"%"&amp;IF(CK206="",""," / "&amp;CK206&amp;"%"),IF(AND(N(BT206)&gt;=99.95,CK206&lt;&gt;"",N(CK206)&lt;100),"Pend. "&amp;CK206&amp;"%",""))))</f>
        <v/>
      </c>
      <c r="AO206" s="40" t="str">
        <f aca="false">IF(OR(OR(NOT(AND(ISNUMBER(E206),ISNUMBER(F206))),$J$2=""),3&gt;MAX(1,Reprogramaciones!$U$15)),"",IF(Reprogramaciones!M$12&gt;=7,"",IF(OR(BV206-N(BU206)&gt;0.05,N(S206)&gt;0),ROUNDDOWN(ROUND(BV206,6),0)&amp;"%"&amp;IF(CL206="",""," / "&amp;CL206&amp;"%"),IF(AND(N(BU206)&gt;=99.95,CL206&lt;&gt;"",N(CL206)&lt;100),"Pend. "&amp;CL206&amp;"%",""))))</f>
        <v/>
      </c>
      <c r="AP206" s="40" t="str">
        <f aca="false">IF(OR(OR(NOT(AND(ISNUMBER(E206),ISNUMBER(F206))),$J$2=""),4&gt;MAX(1,Reprogramaciones!$U$15)),"",IF(Reprogramaciones!N$12&gt;=7,"",IF(OR(BW206-N(BV206)&gt;0.05,N(T206)&gt;0),ROUNDDOWN(ROUND(BW206,6),0)&amp;"%"&amp;IF(CM206="",""," / "&amp;CM206&amp;"%"),IF(AND(N(BV206)&gt;=99.95,CM206&lt;&gt;"",N(CM206)&lt;100),"Pend. "&amp;CM206&amp;"%",""))))</f>
        <v/>
      </c>
      <c r="AQ206" s="40" t="str">
        <f aca="false">IF(OR(OR(NOT(AND(ISNUMBER(E206),ISNUMBER(F206))),$J$2=""),5&gt;MAX(1,Reprogramaciones!$U$15)),"",IF(Reprogramaciones!O$12&gt;=7,"",IF(OR(BX206-N(BW206)&gt;0.05,N(U206)&gt;0),ROUNDDOWN(ROUND(BX206,6),0)&amp;"%"&amp;IF(CN206="",""," / "&amp;CN206&amp;"%"),IF(AND(N(BW206)&gt;=99.95,CN206&lt;&gt;"",N(CN206)&lt;100),"Pend. "&amp;CN206&amp;"%",""))))</f>
        <v/>
      </c>
      <c r="AR206" s="40" t="str">
        <f aca="false">IF(OR(OR(NOT(AND(ISNUMBER(E206),ISNUMBER(F206))),$J$2=""),6&gt;MAX(1,Reprogramaciones!$U$15)),"",IF(Reprogramaciones!P$12&gt;=7,"",IF(OR(BY206-N(BX206)&gt;0.05,N(V206)&gt;0),ROUNDDOWN(ROUND(BY206,6),0)&amp;"%"&amp;IF(CO206="",""," / "&amp;CO206&amp;"%"),IF(AND(N(BX206)&gt;=99.95,CO206&lt;&gt;"",N(CO206)&lt;100),"Pend. "&amp;CO206&amp;"%",""))))</f>
        <v/>
      </c>
      <c r="AS206" s="40" t="str">
        <f aca="false">IF(OR(OR(NOT(AND(ISNUMBER(E206),ISNUMBER(F206))),$J$2=""),7&gt;MAX(1,Reprogramaciones!$U$15)),"",IF(Reprogramaciones!Q$12&gt;=7,"",IF(OR(BZ206-N(BY206)&gt;0.05,N(W206)&gt;0),ROUNDDOWN(ROUND(BZ206,6),0)&amp;"%"&amp;IF(CP206="",""," / "&amp;CP206&amp;"%"),IF(AND(N(BY206)&gt;=99.95,CP206&lt;&gt;"",N(CP206)&lt;100),"Pend. "&amp;CP206&amp;"%",""))))</f>
        <v/>
      </c>
      <c r="AT206" s="40" t="str">
        <f aca="false">IF(OR(OR(NOT(AND(ISNUMBER(E206),ISNUMBER(F206))),$J$2=""),8&gt;MAX(1,Reprogramaciones!$U$15)),"",IF(Reprogramaciones!R$12&gt;=7,"",IF(OR(CA206-N(BZ206)&gt;0.05,N(X206)&gt;0),ROUNDDOWN(ROUND(CA206,6),0)&amp;"%"&amp;IF(CQ206="",""," / "&amp;CQ206&amp;"%"),IF(AND(N(BZ206)&gt;=99.95,CQ206&lt;&gt;"",N(CQ206)&lt;100),"Pend. "&amp;CQ206&amp;"%",""))))</f>
        <v/>
      </c>
      <c r="AU206" s="40" t="str">
        <f aca="false">IF(OR(OR(NOT(AND(ISNUMBER(E206),ISNUMBER(F206))),$J$2=""),9&gt;MAX(1,Reprogramaciones!$U$15)),"",IF(Reprogramaciones!S$12&gt;=7,"",IF(OR(CB206-N(CA206)&gt;0.05,N(Y206)&gt;0),ROUNDDOWN(ROUND(CB206,6),0)&amp;"%"&amp;IF(CR206="",""," / "&amp;CR206&amp;"%"),IF(AND(N(CA206)&gt;=99.95,CR206&lt;&gt;"",N(CR206)&lt;100),"Pend. "&amp;CR206&amp;"%",""))))</f>
        <v/>
      </c>
      <c r="AV206" s="40" t="str">
        <f aca="false">IF(OR(OR(NOT(AND(ISNUMBER(E206),ISNUMBER(F206))),$J$2=""),10&gt;MAX(1,Reprogramaciones!$U$15)),"",IF(Reprogramaciones!T$12&gt;=7,"",IF(OR(CC206-N(CB206)&gt;0.05,N(Z206)&gt;0),ROUNDDOWN(ROUND(CC206,6),0)&amp;"%"&amp;IF(CS206="",""," / "&amp;CS206&amp;"%"),IF(AND(N(CB206)&gt;=99.95,CS206&lt;&gt;"",N(CS206)&lt;100),"Pend. "&amp;CS206&amp;"%",""))))</f>
        <v/>
      </c>
      <c r="AW206" s="40" t="str">
        <f aca="false">IF(OR(OR(NOT(AND(ISNUMBER(E206),ISNUMBER(F206))),$J$2=""),11&gt;MAX(1,Reprogramaciones!$U$15)),"",IF(Reprogramaciones!U$12&gt;=7,"",IF(OR(CD206-N(CC206)&gt;0.05,N(AA206)&gt;0),ROUNDDOWN(ROUND(CD206,6),0)&amp;"%"&amp;IF(CT206="",""," / "&amp;CT206&amp;"%"),IF(AND(N(CC206)&gt;=99.95,CT206&lt;&gt;"",N(CT206)&lt;100),"Pend. "&amp;CT206&amp;"%",""))))</f>
        <v/>
      </c>
      <c r="AX206" s="40" t="str">
        <f aca="false">IF(OR(OR(NOT(AND(ISNUMBER(E206),ISNUMBER(F206))),$J$2=""),12&gt;MAX(1,Reprogramaciones!$U$15)),"",IF(Reprogramaciones!V$12&gt;=7,"",IF(OR(CE206-N(CD206)&gt;0.05,N(AB206)&gt;0),ROUNDDOWN(ROUND(CE206,6),0)&amp;"%"&amp;IF(CU206="",""," / "&amp;CU206&amp;"%"),IF(AND(N(CD206)&gt;=99.95,CU206&lt;&gt;"",N(CU206)&lt;100),"Pend. "&amp;CU206&amp;"%",""))))</f>
        <v/>
      </c>
      <c r="AY206" s="40" t="str">
        <f aca="false">IF(OR(OR(NOT(AND(ISNUMBER(E206),ISNUMBER(F206))),$J$2=""),13&gt;MAX(1,Reprogramaciones!$U$15)),"",IF(Reprogramaciones!W$12&gt;=7,"",IF(OR(CF206-N(CE206)&gt;0.05,N(AC206)&gt;0),ROUNDDOWN(ROUND(CF206,6),0)&amp;"%"&amp;IF(CV206="",""," / "&amp;CV206&amp;"%"),IF(AND(N(CE206)&gt;=99.95,CV206&lt;&gt;"",N(CV206)&lt;100),"Pend. "&amp;CV206&amp;"%",""))))</f>
        <v/>
      </c>
      <c r="AZ206" s="40" t="str">
        <f aca="false">IF(OR(OR(NOT(AND(ISNUMBER(E206),ISNUMBER(F206))),$J$2=""),14&gt;MAX(1,Reprogramaciones!$U$15)),"",IF(Reprogramaciones!X$12&gt;=7,"",IF(OR(CG206-N(CF206)&gt;0.05,N(AD206)&gt;0),ROUNDDOWN(ROUND(CG206,6),0)&amp;"%"&amp;IF(CW206="",""," / "&amp;CW206&amp;"%"),IF(AND(N(CF206)&gt;=99.95,CW206&lt;&gt;"",N(CW206)&lt;100),"Pend. "&amp;CW206&amp;"%",""))))</f>
        <v/>
      </c>
      <c r="BA206" s="40" t="str">
        <f aca="false">IF(OR(OR(NOT(AND(ISNUMBER(E206),ISNUMBER(F206))),$J$2=""),15&gt;MAX(1,Reprogramaciones!$U$15)),"",IF(Reprogramaciones!Y$12&gt;=7,"",IF(OR(CH206-N(CG206)&gt;0.05,N(AE206)&gt;0),ROUNDDOWN(ROUND(CH206,6),0)&amp;"%"&amp;IF(CX206="",""," / "&amp;CX206&amp;"%"),IF(AND(N(CG206)&gt;=99.95,CX206&lt;&gt;"",N(CX206)&lt;100),"Pend. "&amp;CX206&amp;"%",""))))</f>
        <v/>
      </c>
      <c r="BB206" s="40" t="str">
        <f aca="false">IF(OR(OR(NOT(AND(ISNUMBER(E206),ISNUMBER(F206))),$J$2=""),16&gt;MAX(1,Reprogramaciones!$U$15)),"",IF(Reprogramaciones!Z$12&gt;=7,"",IF(OR(CI206-N(CH206)&gt;0.05,N(AF206)&gt;0),ROUNDDOWN(ROUND(CI206,6),0)&amp;"%"&amp;IF(CY206="",""," / "&amp;CY206&amp;"%"),IF(AND(N(CH206)&gt;=99.95,CY206&lt;&gt;"",N(CY206)&lt;100),"Pend. "&amp;CY206&amp;"%",""))))</f>
        <v/>
      </c>
      <c r="BC206" s="31" t="n">
        <f aca="false">IF(AND(ISNUMBER(E206),ISNUMBER(F206)),MAX(1,NETWORKDAYS.INTL(E206,F206,11)),0)</f>
        <v>0</v>
      </c>
      <c r="BD206" s="1" t="str">
        <f aca="false">IF(OR(NOT(AND(ISNUMBER(E206),ISNUMBER(F206))),$J$2=""),"",MIN(100,ROUND(SUM($G206:G206),1)))</f>
        <v/>
      </c>
      <c r="BE206" s="1" t="str">
        <f aca="false">IF(OR(NOT(AND(ISNUMBER(E206),ISNUMBER(F206))),$J$2=""),"",MIN(100,ROUND(SUM($G206:H206),1)))</f>
        <v/>
      </c>
      <c r="BF206" s="1" t="str">
        <f aca="false">IF(OR(NOT(AND(ISNUMBER(E206),ISNUMBER(F206))),$J$2=""),"",MIN(100,ROUND(SUM($G206:I206),1)))</f>
        <v/>
      </c>
      <c r="BG206" s="1" t="str">
        <f aca="false">IF(OR(NOT(AND(ISNUMBER(E206),ISNUMBER(F206))),$J$2=""),"",MIN(100,ROUND(SUM($G206:J206),1)))</f>
        <v/>
      </c>
      <c r="BH206" s="1" t="str">
        <f aca="false">IF(OR(NOT(AND(ISNUMBER(E206),ISNUMBER(F206))),$J$2=""),"",MIN(100,ROUND(SUM($G206:K206),1)))</f>
        <v/>
      </c>
      <c r="BI206" s="1" t="str">
        <f aca="false">IF(OR(NOT(AND(ISNUMBER(E206),ISNUMBER(F206))),$J$2=""),"",MIN(100,ROUND(SUM($G206:L206),1)))</f>
        <v/>
      </c>
      <c r="BJ206" s="1" t="str">
        <f aca="false">IF(OR(NOT(AND(ISNUMBER(E206),ISNUMBER(F206))),$J$2=""),"",MIN(100,ROUND(SUM($G206:M206),1)))</f>
        <v/>
      </c>
      <c r="BK206" s="1" t="str">
        <f aca="false">IF(OR(NOT(AND(ISNUMBER(E206),ISNUMBER(F206))),$J$2=""),"",MIN(100,ROUND(SUM($G206:N206),1)))</f>
        <v/>
      </c>
      <c r="BL206" s="1" t="str">
        <f aca="false">IF(OR(NOT(AND(ISNUMBER(E206),ISNUMBER(F206))),$J$2=""),"",MIN(100,ROUND(SUM($G206:O206),1)))</f>
        <v/>
      </c>
      <c r="BM206" s="1" t="str">
        <f aca="false">IF(OR(NOT(AND(ISNUMBER(E206),ISNUMBER(F206))),$J$2=""),"",MIN(100,ROUND(SUM($G206:P206),1)))</f>
        <v/>
      </c>
      <c r="BN206" s="1" t="str">
        <f aca="false">IF(OR(NOT(AND(ISNUMBER(E206),ISNUMBER(F206))),$J$2=""),"",MIN(100,ROUND(SUM($G206:P206),1)))</f>
        <v/>
      </c>
      <c r="BO206" s="1" t="str">
        <f aca="false">IF(OR(NOT(AND(ISNUMBER(E206),ISNUMBER(F206))),$J$2=""),"",MIN(100,ROUND(SUM($G206:P206),1)))</f>
        <v/>
      </c>
      <c r="BP206" s="1" t="str">
        <f aca="false">IF(OR(NOT(AND(ISNUMBER(E206),ISNUMBER(F206))),$J$2=""),"",MIN(100,ROUND(SUM($G206:P206),1)))</f>
        <v/>
      </c>
      <c r="BQ206" s="1" t="str">
        <f aca="false">IF(OR(NOT(AND(ISNUMBER(E206),ISNUMBER(F206))),$J$2=""),"",MIN(100,ROUND(SUM($G206:P206),1)))</f>
        <v/>
      </c>
      <c r="BR206" s="1" t="str">
        <f aca="false">IF(OR(NOT(AND(ISNUMBER(E206),ISNUMBER(F206))),$J$2=""),"",MIN(100,ROUND(SUM($G206:P206),1)))</f>
        <v/>
      </c>
      <c r="BS206" s="1" t="str">
        <f aca="false">IF(OR(NOT(AND(ISNUMBER(E206),ISNUMBER(F206))),$J$2=""),"",MIN(100,ROUND(SUM($G206:P206),1)))</f>
        <v/>
      </c>
      <c r="BT206" s="1" t="str">
        <f aca="false">IF(OR(NOT(AND(ISNUMBER(E206),ISNUMBER(F206))),$J$2=""),"",IF(Reprogramaciones!K$13&lt;Reprogramaciones!$T$15,0,IF(Reprogramaciones!K$14&gt;10,MIN(100,SUM($G206:$P206)),MIN(100,SUMPRODUCT((COLUMN($G206:$P206)-COLUMN($G206)+1&lt;Reprogramaciones!K$14)*$G206:$P206)+N(INDEX($G206:$P206,1,Reprogramaciones!K$14))*IF(Reprogramaciones!K$13&gt;=(Reprogramaciones!$T$15+7*(Reprogramaciones!K$14-1))+6,1,IF(MAX(0,NETWORKDAYS.INTL(MAX(E206,(Reprogramaciones!$T$15+7*(Reprogramaciones!K$14-1))),MIN(F206,(Reprogramaciones!$T$15+7*(Reprogramaciones!K$14-1))+6),11))=0,0,MAX(0,NETWORKDAYS.INTL(MAX(E206,(Reprogramaciones!$T$15+7*(Reprogramaciones!K$14-1))),MIN(F206,Reprogramaciones!K$13),11))/MAX(0,NETWORKDAYS.INTL(MAX(E206,(Reprogramaciones!$T$15+7*(Reprogramaciones!K$14-1))),MIN(F206,(Reprogramaciones!$T$15+7*(Reprogramaciones!K$14-1))+6),11))))))))</f>
        <v/>
      </c>
      <c r="BU206" s="1" t="str">
        <f aca="false">IF(OR(NOT(AND(ISNUMBER(E206),ISNUMBER(F206))),$J$2=""),"",IF(Reprogramaciones!L$13&lt;Reprogramaciones!$T$15,0,IF(Reprogramaciones!L$14&gt;10,MIN(100,SUM($G206:$P206)),MIN(100,SUMPRODUCT((COLUMN($G206:$P206)-COLUMN($G206)+1&lt;Reprogramaciones!L$14)*$G206:$P206)+N(INDEX($G206:$P206,1,Reprogramaciones!L$14))*IF(Reprogramaciones!L$13&gt;=(Reprogramaciones!$T$15+7*(Reprogramaciones!L$14-1))+6,1,IF(MAX(0,NETWORKDAYS.INTL(MAX(E206,(Reprogramaciones!$T$15+7*(Reprogramaciones!L$14-1))),MIN(F206,(Reprogramaciones!$T$15+7*(Reprogramaciones!L$14-1))+6),11))=0,0,MAX(0,NETWORKDAYS.INTL(MAX(E206,(Reprogramaciones!$T$15+7*(Reprogramaciones!L$14-1))),MIN(F206,Reprogramaciones!L$13),11))/MAX(0,NETWORKDAYS.INTL(MAX(E206,(Reprogramaciones!$T$15+7*(Reprogramaciones!L$14-1))),MIN(F206,(Reprogramaciones!$T$15+7*(Reprogramaciones!L$14-1))+6),11))))))))</f>
        <v/>
      </c>
      <c r="BV206" s="1" t="str">
        <f aca="false">IF(OR(NOT(AND(ISNUMBER(E206),ISNUMBER(F206))),$J$2=""),"",IF(Reprogramaciones!M$13&lt;Reprogramaciones!$T$15,0,IF(Reprogramaciones!M$14&gt;10,MIN(100,SUM($G206:$P206)),MIN(100,SUMPRODUCT((COLUMN($G206:$P206)-COLUMN($G206)+1&lt;Reprogramaciones!M$14)*$G206:$P206)+N(INDEX($G206:$P206,1,Reprogramaciones!M$14))*IF(Reprogramaciones!M$13&gt;=(Reprogramaciones!$T$15+7*(Reprogramaciones!M$14-1))+6,1,IF(MAX(0,NETWORKDAYS.INTL(MAX(E206,(Reprogramaciones!$T$15+7*(Reprogramaciones!M$14-1))),MIN(F206,(Reprogramaciones!$T$15+7*(Reprogramaciones!M$14-1))+6),11))=0,0,MAX(0,NETWORKDAYS.INTL(MAX(E206,(Reprogramaciones!$T$15+7*(Reprogramaciones!M$14-1))),MIN(F206,Reprogramaciones!M$13),11))/MAX(0,NETWORKDAYS.INTL(MAX(E206,(Reprogramaciones!$T$15+7*(Reprogramaciones!M$14-1))),MIN(F206,(Reprogramaciones!$T$15+7*(Reprogramaciones!M$14-1))+6),11))))))))</f>
        <v/>
      </c>
      <c r="BW206" s="1" t="str">
        <f aca="false">IF(OR(NOT(AND(ISNUMBER(E206),ISNUMBER(F206))),$J$2=""),"",IF(Reprogramaciones!N$13&lt;Reprogramaciones!$T$15,0,IF(Reprogramaciones!N$14&gt;10,MIN(100,SUM($G206:$P206)),MIN(100,SUMPRODUCT((COLUMN($G206:$P206)-COLUMN($G206)+1&lt;Reprogramaciones!N$14)*$G206:$P206)+N(INDEX($G206:$P206,1,Reprogramaciones!N$14))*IF(Reprogramaciones!N$13&gt;=(Reprogramaciones!$T$15+7*(Reprogramaciones!N$14-1))+6,1,IF(MAX(0,NETWORKDAYS.INTL(MAX(E206,(Reprogramaciones!$T$15+7*(Reprogramaciones!N$14-1))),MIN(F206,(Reprogramaciones!$T$15+7*(Reprogramaciones!N$14-1))+6),11))=0,0,MAX(0,NETWORKDAYS.INTL(MAX(E206,(Reprogramaciones!$T$15+7*(Reprogramaciones!N$14-1))),MIN(F206,Reprogramaciones!N$13),11))/MAX(0,NETWORKDAYS.INTL(MAX(E206,(Reprogramaciones!$T$15+7*(Reprogramaciones!N$14-1))),MIN(F206,(Reprogramaciones!$T$15+7*(Reprogramaciones!N$14-1))+6),11))))))))</f>
        <v/>
      </c>
      <c r="BX206" s="1" t="str">
        <f aca="false">IF(OR(NOT(AND(ISNUMBER(E206),ISNUMBER(F206))),$J$2=""),"",IF(Reprogramaciones!O$13&lt;Reprogramaciones!$T$15,0,IF(Reprogramaciones!O$14&gt;10,MIN(100,SUM($G206:$P206)),MIN(100,SUMPRODUCT((COLUMN($G206:$P206)-COLUMN($G206)+1&lt;Reprogramaciones!O$14)*$G206:$P206)+N(INDEX($G206:$P206,1,Reprogramaciones!O$14))*IF(Reprogramaciones!O$13&gt;=(Reprogramaciones!$T$15+7*(Reprogramaciones!O$14-1))+6,1,IF(MAX(0,NETWORKDAYS.INTL(MAX(E206,(Reprogramaciones!$T$15+7*(Reprogramaciones!O$14-1))),MIN(F206,(Reprogramaciones!$T$15+7*(Reprogramaciones!O$14-1))+6),11))=0,0,MAX(0,NETWORKDAYS.INTL(MAX(E206,(Reprogramaciones!$T$15+7*(Reprogramaciones!O$14-1))),MIN(F206,Reprogramaciones!O$13),11))/MAX(0,NETWORKDAYS.INTL(MAX(E206,(Reprogramaciones!$T$15+7*(Reprogramaciones!O$14-1))),MIN(F206,(Reprogramaciones!$T$15+7*(Reprogramaciones!O$14-1))+6),11))))))))</f>
        <v/>
      </c>
      <c r="BY206" s="1" t="str">
        <f aca="false">IF(OR(NOT(AND(ISNUMBER(E206),ISNUMBER(F206))),$J$2=""),"",IF(Reprogramaciones!P$13&lt;Reprogramaciones!$T$15,0,IF(Reprogramaciones!P$14&gt;10,MIN(100,SUM($G206:$P206)),MIN(100,SUMPRODUCT((COLUMN($G206:$P206)-COLUMN($G206)+1&lt;Reprogramaciones!P$14)*$G206:$P206)+N(INDEX($G206:$P206,1,Reprogramaciones!P$14))*IF(Reprogramaciones!P$13&gt;=(Reprogramaciones!$T$15+7*(Reprogramaciones!P$14-1))+6,1,IF(MAX(0,NETWORKDAYS.INTL(MAX(E206,(Reprogramaciones!$T$15+7*(Reprogramaciones!P$14-1))),MIN(F206,(Reprogramaciones!$T$15+7*(Reprogramaciones!P$14-1))+6),11))=0,0,MAX(0,NETWORKDAYS.INTL(MAX(E206,(Reprogramaciones!$T$15+7*(Reprogramaciones!P$14-1))),MIN(F206,Reprogramaciones!P$13),11))/MAX(0,NETWORKDAYS.INTL(MAX(E206,(Reprogramaciones!$T$15+7*(Reprogramaciones!P$14-1))),MIN(F206,(Reprogramaciones!$T$15+7*(Reprogramaciones!P$14-1))+6),11))))))))</f>
        <v/>
      </c>
      <c r="BZ206" s="1" t="str">
        <f aca="false">IF(OR(NOT(AND(ISNUMBER(E206),ISNUMBER(F206))),$J$2=""),"",IF(Reprogramaciones!Q$13&lt;Reprogramaciones!$T$15,0,IF(Reprogramaciones!Q$14&gt;10,MIN(100,SUM($G206:$P206)),MIN(100,SUMPRODUCT((COLUMN($G206:$P206)-COLUMN($G206)+1&lt;Reprogramaciones!Q$14)*$G206:$P206)+N(INDEX($G206:$P206,1,Reprogramaciones!Q$14))*IF(Reprogramaciones!Q$13&gt;=(Reprogramaciones!$T$15+7*(Reprogramaciones!Q$14-1))+6,1,IF(MAX(0,NETWORKDAYS.INTL(MAX(E206,(Reprogramaciones!$T$15+7*(Reprogramaciones!Q$14-1))),MIN(F206,(Reprogramaciones!$T$15+7*(Reprogramaciones!Q$14-1))+6),11))=0,0,MAX(0,NETWORKDAYS.INTL(MAX(E206,(Reprogramaciones!$T$15+7*(Reprogramaciones!Q$14-1))),MIN(F206,Reprogramaciones!Q$13),11))/MAX(0,NETWORKDAYS.INTL(MAX(E206,(Reprogramaciones!$T$15+7*(Reprogramaciones!Q$14-1))),MIN(F206,(Reprogramaciones!$T$15+7*(Reprogramaciones!Q$14-1))+6),11))))))))</f>
        <v/>
      </c>
      <c r="CA206" s="1" t="str">
        <f aca="false">IF(OR(NOT(AND(ISNUMBER(E206),ISNUMBER(F206))),$J$2=""),"",IF(Reprogramaciones!R$13&lt;Reprogramaciones!$T$15,0,IF(Reprogramaciones!R$14&gt;10,MIN(100,SUM($G206:$P206)),MIN(100,SUMPRODUCT((COLUMN($G206:$P206)-COLUMN($G206)+1&lt;Reprogramaciones!R$14)*$G206:$P206)+N(INDEX($G206:$P206,1,Reprogramaciones!R$14))*IF(Reprogramaciones!R$13&gt;=(Reprogramaciones!$T$15+7*(Reprogramaciones!R$14-1))+6,1,IF(MAX(0,NETWORKDAYS.INTL(MAX(E206,(Reprogramaciones!$T$15+7*(Reprogramaciones!R$14-1))),MIN(F206,(Reprogramaciones!$T$15+7*(Reprogramaciones!R$14-1))+6),11))=0,0,MAX(0,NETWORKDAYS.INTL(MAX(E206,(Reprogramaciones!$T$15+7*(Reprogramaciones!R$14-1))),MIN(F206,Reprogramaciones!R$13),11))/MAX(0,NETWORKDAYS.INTL(MAX(E206,(Reprogramaciones!$T$15+7*(Reprogramaciones!R$14-1))),MIN(F206,(Reprogramaciones!$T$15+7*(Reprogramaciones!R$14-1))+6),11))))))))</f>
        <v/>
      </c>
      <c r="CB206" s="1" t="str">
        <f aca="false">IF(OR(NOT(AND(ISNUMBER(E206),ISNUMBER(F206))),$J$2=""),"",IF(Reprogramaciones!S$13&lt;Reprogramaciones!$T$15,0,IF(Reprogramaciones!S$14&gt;10,MIN(100,SUM($G206:$P206)),MIN(100,SUMPRODUCT((COLUMN($G206:$P206)-COLUMN($G206)+1&lt;Reprogramaciones!S$14)*$G206:$P206)+N(INDEX($G206:$P206,1,Reprogramaciones!S$14))*IF(Reprogramaciones!S$13&gt;=(Reprogramaciones!$T$15+7*(Reprogramaciones!S$14-1))+6,1,IF(MAX(0,NETWORKDAYS.INTL(MAX(E206,(Reprogramaciones!$T$15+7*(Reprogramaciones!S$14-1))),MIN(F206,(Reprogramaciones!$T$15+7*(Reprogramaciones!S$14-1))+6),11))=0,0,MAX(0,NETWORKDAYS.INTL(MAX(E206,(Reprogramaciones!$T$15+7*(Reprogramaciones!S$14-1))),MIN(F206,Reprogramaciones!S$13),11))/MAX(0,NETWORKDAYS.INTL(MAX(E206,(Reprogramaciones!$T$15+7*(Reprogramaciones!S$14-1))),MIN(F206,(Reprogramaciones!$T$15+7*(Reprogramaciones!S$14-1))+6),11))))))))</f>
        <v/>
      </c>
      <c r="CC206" s="1" t="str">
        <f aca="false">IF(OR(NOT(AND(ISNUMBER(E206),ISNUMBER(F206))),$J$2=""),"",IF(Reprogramaciones!T$13&lt;Reprogramaciones!$T$15,0,IF(Reprogramaciones!T$14&gt;10,MIN(100,SUM($G206:$P206)),MIN(100,SUMPRODUCT((COLUMN($G206:$P206)-COLUMN($G206)+1&lt;Reprogramaciones!T$14)*$G206:$P206)+N(INDEX($G206:$P206,1,Reprogramaciones!T$14))*IF(Reprogramaciones!T$13&gt;=(Reprogramaciones!$T$15+7*(Reprogramaciones!T$14-1))+6,1,IF(MAX(0,NETWORKDAYS.INTL(MAX(E206,(Reprogramaciones!$T$15+7*(Reprogramaciones!T$14-1))),MIN(F206,(Reprogramaciones!$T$15+7*(Reprogramaciones!T$14-1))+6),11))=0,0,MAX(0,NETWORKDAYS.INTL(MAX(E206,(Reprogramaciones!$T$15+7*(Reprogramaciones!T$14-1))),MIN(F206,Reprogramaciones!T$13),11))/MAX(0,NETWORKDAYS.INTL(MAX(E206,(Reprogramaciones!$T$15+7*(Reprogramaciones!T$14-1))),MIN(F206,(Reprogramaciones!$T$15+7*(Reprogramaciones!T$14-1))+6),11))))))))</f>
        <v/>
      </c>
      <c r="CD206" s="1" t="str">
        <f aca="false">IF(OR(NOT(AND(ISNUMBER(E206),ISNUMBER(F206))),$J$2=""),"",IF(Reprogramaciones!U$13&lt;Reprogramaciones!$T$15,0,IF(Reprogramaciones!U$14&gt;10,MIN(100,SUM($G206:$P206)),MIN(100,SUMPRODUCT((COLUMN($G206:$P206)-COLUMN($G206)+1&lt;Reprogramaciones!U$14)*$G206:$P206)+N(INDEX($G206:$P206,1,Reprogramaciones!U$14))*IF(Reprogramaciones!U$13&gt;=(Reprogramaciones!$T$15+7*(Reprogramaciones!U$14-1))+6,1,IF(MAX(0,NETWORKDAYS.INTL(MAX(E206,(Reprogramaciones!$T$15+7*(Reprogramaciones!U$14-1))),MIN(F206,(Reprogramaciones!$T$15+7*(Reprogramaciones!U$14-1))+6),11))=0,0,MAX(0,NETWORKDAYS.INTL(MAX(E206,(Reprogramaciones!$T$15+7*(Reprogramaciones!U$14-1))),MIN(F206,Reprogramaciones!U$13),11))/MAX(0,NETWORKDAYS.INTL(MAX(E206,(Reprogramaciones!$T$15+7*(Reprogramaciones!U$14-1))),MIN(F206,(Reprogramaciones!$T$15+7*(Reprogramaciones!U$14-1))+6),11))))))))</f>
        <v/>
      </c>
      <c r="CE206" s="1" t="str">
        <f aca="false">IF(OR(NOT(AND(ISNUMBER(E206),ISNUMBER(F206))),$J$2=""),"",IF(Reprogramaciones!V$13&lt;Reprogramaciones!$T$15,0,IF(Reprogramaciones!V$14&gt;10,MIN(100,SUM($G206:$P206)),MIN(100,SUMPRODUCT((COLUMN($G206:$P206)-COLUMN($G206)+1&lt;Reprogramaciones!V$14)*$G206:$P206)+N(INDEX($G206:$P206,1,Reprogramaciones!V$14))*IF(Reprogramaciones!V$13&gt;=(Reprogramaciones!$T$15+7*(Reprogramaciones!V$14-1))+6,1,IF(MAX(0,NETWORKDAYS.INTL(MAX(E206,(Reprogramaciones!$T$15+7*(Reprogramaciones!V$14-1))),MIN(F206,(Reprogramaciones!$T$15+7*(Reprogramaciones!V$14-1))+6),11))=0,0,MAX(0,NETWORKDAYS.INTL(MAX(E206,(Reprogramaciones!$T$15+7*(Reprogramaciones!V$14-1))),MIN(F206,Reprogramaciones!V$13),11))/MAX(0,NETWORKDAYS.INTL(MAX(E206,(Reprogramaciones!$T$15+7*(Reprogramaciones!V$14-1))),MIN(F206,(Reprogramaciones!$T$15+7*(Reprogramaciones!V$14-1))+6),11))))))))</f>
        <v/>
      </c>
      <c r="CF206" s="1" t="str">
        <f aca="false">IF(OR(NOT(AND(ISNUMBER(E206),ISNUMBER(F206))),$J$2=""),"",IF(Reprogramaciones!W$13&lt;Reprogramaciones!$T$15,0,IF(Reprogramaciones!W$14&gt;10,MIN(100,SUM($G206:$P206)),MIN(100,SUMPRODUCT((COLUMN($G206:$P206)-COLUMN($G206)+1&lt;Reprogramaciones!W$14)*$G206:$P206)+N(INDEX($G206:$P206,1,Reprogramaciones!W$14))*IF(Reprogramaciones!W$13&gt;=(Reprogramaciones!$T$15+7*(Reprogramaciones!W$14-1))+6,1,IF(MAX(0,NETWORKDAYS.INTL(MAX(E206,(Reprogramaciones!$T$15+7*(Reprogramaciones!W$14-1))),MIN(F206,(Reprogramaciones!$T$15+7*(Reprogramaciones!W$14-1))+6),11))=0,0,MAX(0,NETWORKDAYS.INTL(MAX(E206,(Reprogramaciones!$T$15+7*(Reprogramaciones!W$14-1))),MIN(F206,Reprogramaciones!W$13),11))/MAX(0,NETWORKDAYS.INTL(MAX(E206,(Reprogramaciones!$T$15+7*(Reprogramaciones!W$14-1))),MIN(F206,(Reprogramaciones!$T$15+7*(Reprogramaciones!W$14-1))+6),11))))))))</f>
        <v/>
      </c>
      <c r="CG206" s="1" t="str">
        <f aca="false">IF(OR(NOT(AND(ISNUMBER(E206),ISNUMBER(F206))),$J$2=""),"",IF(Reprogramaciones!X$13&lt;Reprogramaciones!$T$15,0,IF(Reprogramaciones!X$14&gt;10,MIN(100,SUM($G206:$P206)),MIN(100,SUMPRODUCT((COLUMN($G206:$P206)-COLUMN($G206)+1&lt;Reprogramaciones!X$14)*$G206:$P206)+N(INDEX($G206:$P206,1,Reprogramaciones!X$14))*IF(Reprogramaciones!X$13&gt;=(Reprogramaciones!$T$15+7*(Reprogramaciones!X$14-1))+6,1,IF(MAX(0,NETWORKDAYS.INTL(MAX(E206,(Reprogramaciones!$T$15+7*(Reprogramaciones!X$14-1))),MIN(F206,(Reprogramaciones!$T$15+7*(Reprogramaciones!X$14-1))+6),11))=0,0,MAX(0,NETWORKDAYS.INTL(MAX(E206,(Reprogramaciones!$T$15+7*(Reprogramaciones!X$14-1))),MIN(F206,Reprogramaciones!X$13),11))/MAX(0,NETWORKDAYS.INTL(MAX(E206,(Reprogramaciones!$T$15+7*(Reprogramaciones!X$14-1))),MIN(F206,(Reprogramaciones!$T$15+7*(Reprogramaciones!X$14-1))+6),11))))))))</f>
        <v/>
      </c>
      <c r="CH206" s="1" t="str">
        <f aca="false">IF(OR(NOT(AND(ISNUMBER(E206),ISNUMBER(F206))),$J$2=""),"",IF(Reprogramaciones!Y$13&lt;Reprogramaciones!$T$15,0,IF(Reprogramaciones!Y$14&gt;10,MIN(100,SUM($G206:$P206)),MIN(100,SUMPRODUCT((COLUMN($G206:$P206)-COLUMN($G206)+1&lt;Reprogramaciones!Y$14)*$G206:$P206)+N(INDEX($G206:$P206,1,Reprogramaciones!Y$14))*IF(Reprogramaciones!Y$13&gt;=(Reprogramaciones!$T$15+7*(Reprogramaciones!Y$14-1))+6,1,IF(MAX(0,NETWORKDAYS.INTL(MAX(E206,(Reprogramaciones!$T$15+7*(Reprogramaciones!Y$14-1))),MIN(F206,(Reprogramaciones!$T$15+7*(Reprogramaciones!Y$14-1))+6),11))=0,0,MAX(0,NETWORKDAYS.INTL(MAX(E206,(Reprogramaciones!$T$15+7*(Reprogramaciones!Y$14-1))),MIN(F206,Reprogramaciones!Y$13),11))/MAX(0,NETWORKDAYS.INTL(MAX(E206,(Reprogramaciones!$T$15+7*(Reprogramaciones!Y$14-1))),MIN(F206,(Reprogramaciones!$T$15+7*(Reprogramaciones!Y$14-1))+6),11))))))))</f>
        <v/>
      </c>
      <c r="CI206" s="1" t="str">
        <f aca="false">IF(OR(NOT(AND(ISNUMBER(E206),ISNUMBER(F206))),$J$2=""),"",IF(Reprogramaciones!Z$13&lt;Reprogramaciones!$T$15,0,IF(Reprogramaciones!Z$14&gt;10,MIN(100,SUM($G206:$P206)),MIN(100,SUMPRODUCT((COLUMN($G206:$P206)-COLUMN($G206)+1&lt;Reprogramaciones!Z$14)*$G206:$P206)+N(INDEX($G206:$P206,1,Reprogramaciones!Z$14))*IF(Reprogramaciones!Z$13&gt;=(Reprogramaciones!$T$15+7*(Reprogramaciones!Z$14-1))+6,1,IF(MAX(0,NETWORKDAYS.INTL(MAX(E206,(Reprogramaciones!$T$15+7*(Reprogramaciones!Z$14-1))),MIN(F206,(Reprogramaciones!$T$15+7*(Reprogramaciones!Z$14-1))+6),11))=0,0,MAX(0,NETWORKDAYS.INTL(MAX(E206,(Reprogramaciones!$T$15+7*(Reprogramaciones!Z$14-1))),MIN(F206,Reprogramaciones!Z$13),11))/MAX(0,NETWORKDAYS.INTL(MAX(E206,(Reprogramaciones!$T$15+7*(Reprogramaciones!Z$14-1))),MIN(F206,(Reprogramaciones!$T$15+7*(Reprogramaciones!Z$14-1))+6),11))))))))</f>
        <v/>
      </c>
      <c r="CJ206" s="1" t="str">
        <f aca="false">IF(OR(OR(NOT(AND(ISNUMBER(E206),ISNUMBER(F206))),$J$2=""),1&gt;Reprogramaciones!$K$16),"",IF(ROUND(SUM($Q206:Q206),1)&gt;=99.5,100,MIN(100,ROUND(SUM($Q206:Q206),1))))</f>
        <v/>
      </c>
      <c r="CK206" s="1" t="str">
        <f aca="false">IF(OR(OR(NOT(AND(ISNUMBER(E206),ISNUMBER(F206))),$J$2=""),2&gt;Reprogramaciones!$K$16),"",IF(ROUND(SUM($Q206:R206),1)&gt;=99.5,100,MIN(100,ROUND(SUM($Q206:R206),1))))</f>
        <v/>
      </c>
      <c r="CL206" s="1" t="str">
        <f aca="false">IF(OR(OR(NOT(AND(ISNUMBER(E206),ISNUMBER(F206))),$J$2=""),3&gt;Reprogramaciones!$K$16),"",IF(ROUND(SUM($Q206:S206),1)&gt;=99.5,100,MIN(100,ROUND(SUM($Q206:S206),1))))</f>
        <v/>
      </c>
      <c r="CM206" s="1" t="str">
        <f aca="false">IF(OR(OR(NOT(AND(ISNUMBER(E206),ISNUMBER(F206))),$J$2=""),4&gt;Reprogramaciones!$K$16),"",IF(ROUND(SUM($Q206:T206),1)&gt;=99.5,100,MIN(100,ROUND(SUM($Q206:T206),1))))</f>
        <v/>
      </c>
      <c r="CN206" s="1" t="str">
        <f aca="false">IF(OR(OR(NOT(AND(ISNUMBER(E206),ISNUMBER(F206))),$J$2=""),5&gt;Reprogramaciones!$K$16),"",IF(ROUND(SUM($Q206:U206),1)&gt;=99.5,100,MIN(100,ROUND(SUM($Q206:U206),1))))</f>
        <v/>
      </c>
      <c r="CO206" s="1" t="str">
        <f aca="false">IF(OR(OR(NOT(AND(ISNUMBER(E206),ISNUMBER(F206))),$J$2=""),6&gt;Reprogramaciones!$K$16),"",IF(ROUND(SUM($Q206:V206),1)&gt;=99.5,100,MIN(100,ROUND(SUM($Q206:V206),1))))</f>
        <v/>
      </c>
      <c r="CP206" s="1" t="str">
        <f aca="false">IF(OR(OR(NOT(AND(ISNUMBER(E206),ISNUMBER(F206))),$J$2=""),7&gt;Reprogramaciones!$K$16),"",IF(ROUND(SUM($Q206:W206),1)&gt;=99.5,100,MIN(100,ROUND(SUM($Q206:W206),1))))</f>
        <v/>
      </c>
      <c r="CQ206" s="1" t="str">
        <f aca="false">IF(OR(OR(NOT(AND(ISNUMBER(E206),ISNUMBER(F206))),$J$2=""),8&gt;Reprogramaciones!$K$16),"",IF(ROUND(SUM($Q206:X206),1)&gt;=99.5,100,MIN(100,ROUND(SUM($Q206:X206),1))))</f>
        <v/>
      </c>
      <c r="CR206" s="1" t="str">
        <f aca="false">IF(OR(OR(NOT(AND(ISNUMBER(E206),ISNUMBER(F206))),$J$2=""),9&gt;Reprogramaciones!$K$16),"",IF(ROUND(SUM($Q206:Y206),1)&gt;=99.5,100,MIN(100,ROUND(SUM($Q206:Y206),1))))</f>
        <v/>
      </c>
      <c r="CS206" s="1" t="str">
        <f aca="false">IF(OR(OR(NOT(AND(ISNUMBER(E206),ISNUMBER(F206))),$J$2=""),10&gt;Reprogramaciones!$K$16),"",IF(ROUND(SUM($Q206:Z206),1)&gt;=99.5,100,MIN(100,ROUND(SUM($Q206:Z206),1))))</f>
        <v/>
      </c>
      <c r="CT206" s="1" t="str">
        <f aca="false">IF(OR(OR(NOT(AND(ISNUMBER(E206),ISNUMBER(F206))),$J$2=""),11&gt;Reprogramaciones!$K$16),"",IF(ROUND(SUM($Q206:AA206),1)&gt;=99.5,100,MIN(100,ROUND(SUM($Q206:AA206),1))))</f>
        <v/>
      </c>
      <c r="CU206" s="1" t="str">
        <f aca="false">IF(OR(OR(NOT(AND(ISNUMBER(E206),ISNUMBER(F206))),$J$2=""),12&gt;Reprogramaciones!$K$16),"",IF(ROUND(SUM($Q206:AB206),1)&gt;=99.5,100,MIN(100,ROUND(SUM($Q206:AB206),1))))</f>
        <v/>
      </c>
      <c r="CV206" s="1" t="str">
        <f aca="false">IF(OR(OR(NOT(AND(ISNUMBER(E206),ISNUMBER(F206))),$J$2=""),13&gt;Reprogramaciones!$K$16),"",IF(ROUND(SUM($Q206:AC206),1)&gt;=99.5,100,MIN(100,ROUND(SUM($Q206:AC206),1))))</f>
        <v/>
      </c>
      <c r="CW206" s="1" t="str">
        <f aca="false">IF(OR(OR(NOT(AND(ISNUMBER(E206),ISNUMBER(F206))),$J$2=""),14&gt;Reprogramaciones!$K$16),"",IF(ROUND(SUM($Q206:AD206),1)&gt;=99.5,100,MIN(100,ROUND(SUM($Q206:AD206),1))))</f>
        <v/>
      </c>
      <c r="CX206" s="1" t="str">
        <f aca="false">IF(OR(OR(NOT(AND(ISNUMBER(E206),ISNUMBER(F206))),$J$2=""),15&gt;Reprogramaciones!$K$16),"",IF(ROUND(SUM($Q206:AE206),1)&gt;=99.5,100,MIN(100,ROUND(SUM($Q206:AE206),1))))</f>
        <v/>
      </c>
      <c r="CY206" s="1" t="str">
        <f aca="false">IF(OR(OR(NOT(AND(ISNUMBER(E206),ISNUMBER(F206))),$J$2=""),16&gt;Reprogramaciones!$K$16),"",IF(ROUND(SUM($Q206:AF206),1)&gt;=99.5,100,MIN(100,ROUND(SUM($Q206:AF206),1))))</f>
        <v/>
      </c>
      <c r="CZ206" s="1" t="str">
        <f aca="false">IF(D206&lt;&gt;"",D206,IF(B206&lt;&gt;"","Contractual",CZ205))</f>
        <v>Contractual</v>
      </c>
      <c r="DA206" s="1" t="str">
        <f aca="false">IF(OR(NOT(AND(ISNUMBER(E206),ISNUMBER(F206))),$J$2=""),"",IF(Reprogramaciones!$Q$15&lt;Reprogramaciones!$T$15,0,IF(Reprogramaciones!$S$15&gt;10,MIN(100,SUM($G206:$P206)),MIN(100,SUMPRODUCT((COLUMN($G206:$P206)-COLUMN($G206)+1&lt;Reprogramaciones!$S$15)*$G206:$P206)+N(INDEX($G206:$P206,1,Reprogramaciones!$S$15))*IF(Reprogramaciones!$Q$15&gt;=(Reprogramaciones!$T$15+7*(Reprogramaciones!$S$15-1))+6,1,IF(MAX(0,NETWORKDAYS.INTL(MAX(E206,(Reprogramaciones!$T$15+7*(Reprogramaciones!$S$15-1))),MIN(F206,(Reprogramaciones!$T$15+7*(Reprogramaciones!$S$15-1))+6),11))=0,0,MAX(0,NETWORKDAYS.INTL(MAX(E206,(Reprogramaciones!$T$15+7*(Reprogramaciones!$S$15-1))),MIN(F206,Reprogramaciones!$Q$15),11))/MAX(0,NETWORKDAYS.INTL(MAX(E206,(Reprogramaciones!$T$15+7*(Reprogramaciones!$S$15-1))),MIN(F206,(Reprogramaciones!$T$15+7*(Reprogramaciones!$S$15-1))+6),11))))))))</f>
        <v/>
      </c>
    </row>
    <row r="207" customFormat="false" ht="15" hidden="false" customHeight="false" outlineLevel="0" collapsed="false">
      <c r="A207" s="32"/>
      <c r="B207" s="33"/>
      <c r="C207" s="33"/>
      <c r="D207" s="34"/>
      <c r="E207" s="35"/>
      <c r="F207" s="35"/>
      <c r="G207" s="36" t="str">
        <f aca="false">IF(OR(NOT(AND(ISNUMBER(E207),ISNUMBER(F207))),$J$2=""),"",IF(Reprogramaciones!K$9&lt;E207,0,IF(NETWORKDAYS.INTL(E207,F207,11)=0,IF(Reprogramaciones!K$9&gt;=F207,100,0),ROUND(NETWORKDAYS.INTL(E207,MIN(F207,Reprogramaciones!K$9),11)/NETWORKDAYS.INTL(E207,F207,11)*100,1)))-0)</f>
        <v/>
      </c>
      <c r="H207" s="36" t="str">
        <f aca="false">IF(OR(NOT(AND(ISNUMBER(E207),ISNUMBER(F207))),$J$2=""),"",IF(Reprogramaciones!L$9&lt;E207,0,IF(NETWORKDAYS.INTL(E207,F207,11)=0,IF(Reprogramaciones!L$9&gt;=F207,100,0),ROUND(NETWORKDAYS.INTL(E207,MIN(F207,Reprogramaciones!L$9),11)/NETWORKDAYS.INTL(E207,F207,11)*100,1)))-IF(Reprogramaciones!K$9&lt;E207,0,IF(NETWORKDAYS.INTL(E207,F207,11)=0,IF(Reprogramaciones!K$9&gt;=F207,100,0),ROUND(NETWORKDAYS.INTL(E207,MIN(F207,Reprogramaciones!K$9),11)/NETWORKDAYS.INTL(E207,F207,11)*100,1))))</f>
        <v/>
      </c>
      <c r="I207" s="36" t="str">
        <f aca="false">IF(OR(NOT(AND(ISNUMBER(E207),ISNUMBER(F207))),$J$2=""),"",IF(Reprogramaciones!M$9&lt;E207,0,IF(NETWORKDAYS.INTL(E207,F207,11)=0,IF(Reprogramaciones!M$9&gt;=F207,100,0),ROUND(NETWORKDAYS.INTL(E207,MIN(F207,Reprogramaciones!M$9),11)/NETWORKDAYS.INTL(E207,F207,11)*100,1)))-IF(Reprogramaciones!L$9&lt;E207,0,IF(NETWORKDAYS.INTL(E207,F207,11)=0,IF(Reprogramaciones!L$9&gt;=F207,100,0),ROUND(NETWORKDAYS.INTL(E207,MIN(F207,Reprogramaciones!L$9),11)/NETWORKDAYS.INTL(E207,F207,11)*100,1))))</f>
        <v/>
      </c>
      <c r="J207" s="36" t="str">
        <f aca="false">IF(OR(NOT(AND(ISNUMBER(E207),ISNUMBER(F207))),$J$2=""),"",IF(Reprogramaciones!N$9&lt;E207,0,IF(NETWORKDAYS.INTL(E207,F207,11)=0,IF(Reprogramaciones!N$9&gt;=F207,100,0),ROUND(NETWORKDAYS.INTL(E207,MIN(F207,Reprogramaciones!N$9),11)/NETWORKDAYS.INTL(E207,F207,11)*100,1)))-IF(Reprogramaciones!M$9&lt;E207,0,IF(NETWORKDAYS.INTL(E207,F207,11)=0,IF(Reprogramaciones!M$9&gt;=F207,100,0),ROUND(NETWORKDAYS.INTL(E207,MIN(F207,Reprogramaciones!M$9),11)/NETWORKDAYS.INTL(E207,F207,11)*100,1))))</f>
        <v/>
      </c>
      <c r="K207" s="36" t="str">
        <f aca="false">IF(OR(NOT(AND(ISNUMBER(E207),ISNUMBER(F207))),$J$2=""),"",IF(Reprogramaciones!O$9&lt;E207,0,IF(NETWORKDAYS.INTL(E207,F207,11)=0,IF(Reprogramaciones!O$9&gt;=F207,100,0),ROUND(NETWORKDAYS.INTL(E207,MIN(F207,Reprogramaciones!O$9),11)/NETWORKDAYS.INTL(E207,F207,11)*100,1)))-IF(Reprogramaciones!N$9&lt;E207,0,IF(NETWORKDAYS.INTL(E207,F207,11)=0,IF(Reprogramaciones!N$9&gt;=F207,100,0),ROUND(NETWORKDAYS.INTL(E207,MIN(F207,Reprogramaciones!N$9),11)/NETWORKDAYS.INTL(E207,F207,11)*100,1))))</f>
        <v/>
      </c>
      <c r="L207" s="36" t="str">
        <f aca="false">IF(OR(NOT(AND(ISNUMBER(E207),ISNUMBER(F207))),$J$2=""),"",IF(Reprogramaciones!P$9&lt;E207,0,IF(NETWORKDAYS.INTL(E207,F207,11)=0,IF(Reprogramaciones!P$9&gt;=F207,100,0),ROUND(NETWORKDAYS.INTL(E207,MIN(F207,Reprogramaciones!P$9),11)/NETWORKDAYS.INTL(E207,F207,11)*100,1)))-IF(Reprogramaciones!O$9&lt;E207,0,IF(NETWORKDAYS.INTL(E207,F207,11)=0,IF(Reprogramaciones!O$9&gt;=F207,100,0),ROUND(NETWORKDAYS.INTL(E207,MIN(F207,Reprogramaciones!O$9),11)/NETWORKDAYS.INTL(E207,F207,11)*100,1))))</f>
        <v/>
      </c>
      <c r="M207" s="36" t="str">
        <f aca="false">IF(OR(NOT(AND(ISNUMBER(E207),ISNUMBER(F207))),$J$2=""),"",IF(Reprogramaciones!Q$9&lt;E207,0,IF(NETWORKDAYS.INTL(E207,F207,11)=0,IF(Reprogramaciones!Q$9&gt;=F207,100,0),ROUND(NETWORKDAYS.INTL(E207,MIN(F207,Reprogramaciones!Q$9),11)/NETWORKDAYS.INTL(E207,F207,11)*100,1)))-IF(Reprogramaciones!P$9&lt;E207,0,IF(NETWORKDAYS.INTL(E207,F207,11)=0,IF(Reprogramaciones!P$9&gt;=F207,100,0),ROUND(NETWORKDAYS.INTL(E207,MIN(F207,Reprogramaciones!P$9),11)/NETWORKDAYS.INTL(E207,F207,11)*100,1))))</f>
        <v/>
      </c>
      <c r="N207" s="36" t="str">
        <f aca="false">IF(OR(NOT(AND(ISNUMBER(E207),ISNUMBER(F207))),$J$2=""),"",IF(Reprogramaciones!R$9&lt;E207,0,IF(NETWORKDAYS.INTL(E207,F207,11)=0,IF(Reprogramaciones!R$9&gt;=F207,100,0),ROUND(NETWORKDAYS.INTL(E207,MIN(F207,Reprogramaciones!R$9),11)/NETWORKDAYS.INTL(E207,F207,11)*100,1)))-IF(Reprogramaciones!Q$9&lt;E207,0,IF(NETWORKDAYS.INTL(E207,F207,11)=0,IF(Reprogramaciones!Q$9&gt;=F207,100,0),ROUND(NETWORKDAYS.INTL(E207,MIN(F207,Reprogramaciones!Q$9),11)/NETWORKDAYS.INTL(E207,F207,11)*100,1))))</f>
        <v/>
      </c>
      <c r="O207" s="36" t="str">
        <f aca="false">IF(OR(NOT(AND(ISNUMBER(E207),ISNUMBER(F207))),$J$2=""),"",IF(Reprogramaciones!S$9&lt;E207,0,IF(NETWORKDAYS.INTL(E207,F207,11)=0,IF(Reprogramaciones!S$9&gt;=F207,100,0),ROUND(NETWORKDAYS.INTL(E207,MIN(F207,Reprogramaciones!S$9),11)/NETWORKDAYS.INTL(E207,F207,11)*100,1)))-IF(Reprogramaciones!R$9&lt;E207,0,IF(NETWORKDAYS.INTL(E207,F207,11)=0,IF(Reprogramaciones!R$9&gt;=F207,100,0),ROUND(NETWORKDAYS.INTL(E207,MIN(F207,Reprogramaciones!R$9),11)/NETWORKDAYS.INTL(E207,F207,11)*100,1))))</f>
        <v/>
      </c>
      <c r="P207" s="36" t="str">
        <f aca="false">IF(OR(NOT(AND(ISNUMBER(E207),ISNUMBER(F207))),$J$2=""),"",IF(Reprogramaciones!T$9&lt;E207,0,IF(NETWORKDAYS.INTL(E207,F207,11)=0,IF(Reprogramaciones!T$9&gt;=F207,100,0),ROUND(NETWORKDAYS.INTL(E207,MIN(F207,Reprogramaciones!T$9),11)/NETWORKDAYS.INTL(E207,F207,11)*100,1)))-IF(Reprogramaciones!S$9&lt;E207,0,IF(NETWORKDAYS.INTL(E207,F207,11)=0,IF(Reprogramaciones!S$9&gt;=F207,100,0),ROUND(NETWORKDAYS.INTL(E207,MIN(F207,Reprogramaciones!S$9),11)/NETWORKDAYS.INTL(E207,F207,11)*100,1))))</f>
        <v/>
      </c>
      <c r="Q207" s="37"/>
      <c r="R207" s="37"/>
      <c r="S207" s="37"/>
      <c r="T207" s="37"/>
      <c r="U207" s="37"/>
      <c r="V207" s="37"/>
      <c r="W207" s="37"/>
      <c r="X207" s="37"/>
      <c r="Y207" s="37"/>
      <c r="Z207" s="37"/>
      <c r="AA207" s="37"/>
      <c r="AB207" s="37"/>
      <c r="AC207" s="37"/>
      <c r="AD207" s="37"/>
      <c r="AE207" s="37"/>
      <c r="AF207" s="37"/>
      <c r="AG207" s="38" t="str">
        <f aca="false">IF(AND(ISNUMBER(E207),ISNUMBER(F207)),NETWORKDAYS.INTL(E207,F207,11),"")</f>
        <v/>
      </c>
      <c r="AH207" s="38" t="str">
        <f aca="false">IF(OR(NOT(AND(ISNUMBER(E207),ISNUMBER(F207))),$J$2=""),"",IF(Reprogramaciones!$P$15&lt;Reprogramaciones!$T$15,0,IF(Reprogramaciones!$R$15&gt;10,MIN(100,SUM($G207:$P207)),MIN(100,SUMPRODUCT((COLUMN($G207:$P207)-COLUMN($G207)+1&lt;Reprogramaciones!$R$15)*$G207:$P207)+N(INDEX($G207:$P207,1,Reprogramaciones!$R$15))*IF(Reprogramaciones!$P$15&gt;=(Reprogramaciones!$T$15+7*(Reprogramaciones!$R$15-1))+6,1,IF(MAX(0,NETWORKDAYS.INTL(MAX(E207,(Reprogramaciones!$T$15+7*(Reprogramaciones!$R$15-1))),MIN(F207,(Reprogramaciones!$T$15+7*(Reprogramaciones!$R$15-1))+6),11))=0,0,MAX(0,NETWORKDAYS.INTL(MAX(E207,(Reprogramaciones!$T$15+7*(Reprogramaciones!$R$15-1))),MIN(F207,Reprogramaciones!$P$15),11))/MAX(0,NETWORKDAYS.INTL(MAX(E207,(Reprogramaciones!$T$15+7*(Reprogramaciones!$R$15-1))),MIN(F207,(Reprogramaciones!$T$15+7*(Reprogramaciones!$R$15-1))+6),11))))))))</f>
        <v/>
      </c>
      <c r="AI207" s="38" t="str">
        <f aca="false">IF(COUNT($Q207:$AF207)=0,"",IF(ROUND(SUM($Q207:$AF207),1)&gt;=99.5,100,MIN(100,ROUND(SUM($Q207:$AF207),1))))</f>
        <v/>
      </c>
      <c r="AJ207" s="38" t="str">
        <f aca="false">IF(OR(AH207="",AI207=""),"",AI207-AH207)</f>
        <v/>
      </c>
      <c r="AK207" s="39" t="str">
        <f aca="true">IF(AH207="","",IF(OR(Ficha!$C$10="Suspendida",Ficha!$C$10="Cancelada"),Ficha!$C$10,IF(AND(AI207&lt;&gt;"",N(AI207)&gt;=100),"Completada",IF(AND(E207&gt;TODAY(),N(AI207)=0),"Por iniciar",IF(N(AI207)+0.5&lt;AH207,"Retrasada",IF(N(AI207)+0.5&lt;DA207,IF(Reprogramaciones!$K$15&gt;0,"Al día · Sem "&amp;Reprogramaciones!$K$15&amp;" en curso","Al día · en curso"),"A tiempo"))))))</f>
        <v/>
      </c>
      <c r="AL207" s="39" t="str">
        <f aca="true">IF(AND(A207="",AND(B207="",C207="",E207="",F207="",COUNT(Q207:AF207)=0)),"",IF(AND(B207="",C207="",E207="",F207="",COUNT(Q207:AF207)=0),"Falta la partida o subpartida",IF(AND(A207&lt;&gt;"",COUNTIF($A$6:$A$305,A207)&gt;1),"Ítem repetido",IF(AND(C207="",E207="",F207="",COUNT(Q207:AF207)=0),"Título de partida",IF(OR(E207="",F207=""),"Faltan fechas",IF(OR(ISTEXT(E207),ISTEXT(F207)),"Fecha escrita como texto: usa dd/mm/aaaa",IF(F207&lt;E207,"Fin antes del inicio",IF(IF($J$2="",FALSE(),OR(E207&lt;$J$2,F207&gt;Reprogramaciones!$T$15+69)),"Fuera de las 10 semanas",IF(ABS(SUM(G207:P207)-100)&gt;0.5,"La meta no suma 100%",IF(ROUND(SUM(Q207:AF207),1)&gt;100.5,"El avance pasa de 100%",IF(MIN(Q207:AF207)&lt;0,"Avance negativo",IF(COUNTA(Q207:AF207)&gt;COUNT(Q207:AF207),"Avance escrito como texto",IF(SUMPRODUCT((Q207:AF207&gt;0)*(Q207:AF207&lt;1))&gt;0,"Avance menor a 1: escribe 50, no 50%",IF(SUMPRODUCT(ISNUMBER(Q207:AF207)*(Reprogramaciones!$K$8:$Z$8&gt;TODAY()))&gt;0,"Avance en semana que aún no llega",IF(AND(N(Reprogramaciones!$E$21)&gt;0,F207&gt;Reprogramaciones!$E$21),"Pasa el fin de la obra: registra una reprogramación",IF(AND(N(Reprogramaciones!$E$21)&gt;0,SUMPRODUCT(ISNUMBER(Q207:AF207)*(Reprogramaciones!$K$8:$Z$8&gt;Reprogramaciones!$E$21))&gt;0),"Avance después del fin de la obra: registra una reprogramación por atraso","OK"))))))))))))))))</f>
        <v/>
      </c>
      <c r="AM207" s="40" t="str">
        <f aca="false">IF(OR(OR(NOT(AND(ISNUMBER(E207),ISNUMBER(F207))),$J$2=""),1&gt;MAX(1,Reprogramaciones!$U$15)),"",IF(Reprogramaciones!K$12&gt;=7,"",IF(OR(BT207-N(0)&gt;0.05,N(Q207)&gt;0),ROUNDDOWN(ROUND(BT207,6),0)&amp;"%"&amp;IF(CJ207="",""," / "&amp;CJ207&amp;"%"),IF(AND(N(0)&gt;=99.95,CJ207&lt;&gt;"",N(CJ207)&lt;100),"Pend. "&amp;CJ207&amp;"%",""))))</f>
        <v/>
      </c>
      <c r="AN207" s="40" t="str">
        <f aca="false">IF(OR(OR(NOT(AND(ISNUMBER(E207),ISNUMBER(F207))),$J$2=""),2&gt;MAX(1,Reprogramaciones!$U$15)),"",IF(Reprogramaciones!L$12&gt;=7,"",IF(OR(BU207-N(BT207)&gt;0.05,N(R207)&gt;0),ROUNDDOWN(ROUND(BU207,6),0)&amp;"%"&amp;IF(CK207="",""," / "&amp;CK207&amp;"%"),IF(AND(N(BT207)&gt;=99.95,CK207&lt;&gt;"",N(CK207)&lt;100),"Pend. "&amp;CK207&amp;"%",""))))</f>
        <v/>
      </c>
      <c r="AO207" s="40" t="str">
        <f aca="false">IF(OR(OR(NOT(AND(ISNUMBER(E207),ISNUMBER(F207))),$J$2=""),3&gt;MAX(1,Reprogramaciones!$U$15)),"",IF(Reprogramaciones!M$12&gt;=7,"",IF(OR(BV207-N(BU207)&gt;0.05,N(S207)&gt;0),ROUNDDOWN(ROUND(BV207,6),0)&amp;"%"&amp;IF(CL207="",""," / "&amp;CL207&amp;"%"),IF(AND(N(BU207)&gt;=99.95,CL207&lt;&gt;"",N(CL207)&lt;100),"Pend. "&amp;CL207&amp;"%",""))))</f>
        <v/>
      </c>
      <c r="AP207" s="40" t="str">
        <f aca="false">IF(OR(OR(NOT(AND(ISNUMBER(E207),ISNUMBER(F207))),$J$2=""),4&gt;MAX(1,Reprogramaciones!$U$15)),"",IF(Reprogramaciones!N$12&gt;=7,"",IF(OR(BW207-N(BV207)&gt;0.05,N(T207)&gt;0),ROUNDDOWN(ROUND(BW207,6),0)&amp;"%"&amp;IF(CM207="",""," / "&amp;CM207&amp;"%"),IF(AND(N(BV207)&gt;=99.95,CM207&lt;&gt;"",N(CM207)&lt;100),"Pend. "&amp;CM207&amp;"%",""))))</f>
        <v/>
      </c>
      <c r="AQ207" s="40" t="str">
        <f aca="false">IF(OR(OR(NOT(AND(ISNUMBER(E207),ISNUMBER(F207))),$J$2=""),5&gt;MAX(1,Reprogramaciones!$U$15)),"",IF(Reprogramaciones!O$12&gt;=7,"",IF(OR(BX207-N(BW207)&gt;0.05,N(U207)&gt;0),ROUNDDOWN(ROUND(BX207,6),0)&amp;"%"&amp;IF(CN207="",""," / "&amp;CN207&amp;"%"),IF(AND(N(BW207)&gt;=99.95,CN207&lt;&gt;"",N(CN207)&lt;100),"Pend. "&amp;CN207&amp;"%",""))))</f>
        <v/>
      </c>
      <c r="AR207" s="40" t="str">
        <f aca="false">IF(OR(OR(NOT(AND(ISNUMBER(E207),ISNUMBER(F207))),$J$2=""),6&gt;MAX(1,Reprogramaciones!$U$15)),"",IF(Reprogramaciones!P$12&gt;=7,"",IF(OR(BY207-N(BX207)&gt;0.05,N(V207)&gt;0),ROUNDDOWN(ROUND(BY207,6),0)&amp;"%"&amp;IF(CO207="",""," / "&amp;CO207&amp;"%"),IF(AND(N(BX207)&gt;=99.95,CO207&lt;&gt;"",N(CO207)&lt;100),"Pend. "&amp;CO207&amp;"%",""))))</f>
        <v/>
      </c>
      <c r="AS207" s="40" t="str">
        <f aca="false">IF(OR(OR(NOT(AND(ISNUMBER(E207),ISNUMBER(F207))),$J$2=""),7&gt;MAX(1,Reprogramaciones!$U$15)),"",IF(Reprogramaciones!Q$12&gt;=7,"",IF(OR(BZ207-N(BY207)&gt;0.05,N(W207)&gt;0),ROUNDDOWN(ROUND(BZ207,6),0)&amp;"%"&amp;IF(CP207="",""," / "&amp;CP207&amp;"%"),IF(AND(N(BY207)&gt;=99.95,CP207&lt;&gt;"",N(CP207)&lt;100),"Pend. "&amp;CP207&amp;"%",""))))</f>
        <v/>
      </c>
      <c r="AT207" s="40" t="str">
        <f aca="false">IF(OR(OR(NOT(AND(ISNUMBER(E207),ISNUMBER(F207))),$J$2=""),8&gt;MAX(1,Reprogramaciones!$U$15)),"",IF(Reprogramaciones!R$12&gt;=7,"",IF(OR(CA207-N(BZ207)&gt;0.05,N(X207)&gt;0),ROUNDDOWN(ROUND(CA207,6),0)&amp;"%"&amp;IF(CQ207="",""," / "&amp;CQ207&amp;"%"),IF(AND(N(BZ207)&gt;=99.95,CQ207&lt;&gt;"",N(CQ207)&lt;100),"Pend. "&amp;CQ207&amp;"%",""))))</f>
        <v/>
      </c>
      <c r="AU207" s="40" t="str">
        <f aca="false">IF(OR(OR(NOT(AND(ISNUMBER(E207),ISNUMBER(F207))),$J$2=""),9&gt;MAX(1,Reprogramaciones!$U$15)),"",IF(Reprogramaciones!S$12&gt;=7,"",IF(OR(CB207-N(CA207)&gt;0.05,N(Y207)&gt;0),ROUNDDOWN(ROUND(CB207,6),0)&amp;"%"&amp;IF(CR207="",""," / "&amp;CR207&amp;"%"),IF(AND(N(CA207)&gt;=99.95,CR207&lt;&gt;"",N(CR207)&lt;100),"Pend. "&amp;CR207&amp;"%",""))))</f>
        <v/>
      </c>
      <c r="AV207" s="40" t="str">
        <f aca="false">IF(OR(OR(NOT(AND(ISNUMBER(E207),ISNUMBER(F207))),$J$2=""),10&gt;MAX(1,Reprogramaciones!$U$15)),"",IF(Reprogramaciones!T$12&gt;=7,"",IF(OR(CC207-N(CB207)&gt;0.05,N(Z207)&gt;0),ROUNDDOWN(ROUND(CC207,6),0)&amp;"%"&amp;IF(CS207="",""," / "&amp;CS207&amp;"%"),IF(AND(N(CB207)&gt;=99.95,CS207&lt;&gt;"",N(CS207)&lt;100),"Pend. "&amp;CS207&amp;"%",""))))</f>
        <v/>
      </c>
      <c r="AW207" s="40" t="str">
        <f aca="false">IF(OR(OR(NOT(AND(ISNUMBER(E207),ISNUMBER(F207))),$J$2=""),11&gt;MAX(1,Reprogramaciones!$U$15)),"",IF(Reprogramaciones!U$12&gt;=7,"",IF(OR(CD207-N(CC207)&gt;0.05,N(AA207)&gt;0),ROUNDDOWN(ROUND(CD207,6),0)&amp;"%"&amp;IF(CT207="",""," / "&amp;CT207&amp;"%"),IF(AND(N(CC207)&gt;=99.95,CT207&lt;&gt;"",N(CT207)&lt;100),"Pend. "&amp;CT207&amp;"%",""))))</f>
        <v/>
      </c>
      <c r="AX207" s="40" t="str">
        <f aca="false">IF(OR(OR(NOT(AND(ISNUMBER(E207),ISNUMBER(F207))),$J$2=""),12&gt;MAX(1,Reprogramaciones!$U$15)),"",IF(Reprogramaciones!V$12&gt;=7,"",IF(OR(CE207-N(CD207)&gt;0.05,N(AB207)&gt;0),ROUNDDOWN(ROUND(CE207,6),0)&amp;"%"&amp;IF(CU207="",""," / "&amp;CU207&amp;"%"),IF(AND(N(CD207)&gt;=99.95,CU207&lt;&gt;"",N(CU207)&lt;100),"Pend. "&amp;CU207&amp;"%",""))))</f>
        <v/>
      </c>
      <c r="AY207" s="40" t="str">
        <f aca="false">IF(OR(OR(NOT(AND(ISNUMBER(E207),ISNUMBER(F207))),$J$2=""),13&gt;MAX(1,Reprogramaciones!$U$15)),"",IF(Reprogramaciones!W$12&gt;=7,"",IF(OR(CF207-N(CE207)&gt;0.05,N(AC207)&gt;0),ROUNDDOWN(ROUND(CF207,6),0)&amp;"%"&amp;IF(CV207="",""," / "&amp;CV207&amp;"%"),IF(AND(N(CE207)&gt;=99.95,CV207&lt;&gt;"",N(CV207)&lt;100),"Pend. "&amp;CV207&amp;"%",""))))</f>
        <v/>
      </c>
      <c r="AZ207" s="40" t="str">
        <f aca="false">IF(OR(OR(NOT(AND(ISNUMBER(E207),ISNUMBER(F207))),$J$2=""),14&gt;MAX(1,Reprogramaciones!$U$15)),"",IF(Reprogramaciones!X$12&gt;=7,"",IF(OR(CG207-N(CF207)&gt;0.05,N(AD207)&gt;0),ROUNDDOWN(ROUND(CG207,6),0)&amp;"%"&amp;IF(CW207="",""," / "&amp;CW207&amp;"%"),IF(AND(N(CF207)&gt;=99.95,CW207&lt;&gt;"",N(CW207)&lt;100),"Pend. "&amp;CW207&amp;"%",""))))</f>
        <v/>
      </c>
      <c r="BA207" s="40" t="str">
        <f aca="false">IF(OR(OR(NOT(AND(ISNUMBER(E207),ISNUMBER(F207))),$J$2=""),15&gt;MAX(1,Reprogramaciones!$U$15)),"",IF(Reprogramaciones!Y$12&gt;=7,"",IF(OR(CH207-N(CG207)&gt;0.05,N(AE207)&gt;0),ROUNDDOWN(ROUND(CH207,6),0)&amp;"%"&amp;IF(CX207="",""," / "&amp;CX207&amp;"%"),IF(AND(N(CG207)&gt;=99.95,CX207&lt;&gt;"",N(CX207)&lt;100),"Pend. "&amp;CX207&amp;"%",""))))</f>
        <v/>
      </c>
      <c r="BB207" s="40" t="str">
        <f aca="false">IF(OR(OR(NOT(AND(ISNUMBER(E207),ISNUMBER(F207))),$J$2=""),16&gt;MAX(1,Reprogramaciones!$U$15)),"",IF(Reprogramaciones!Z$12&gt;=7,"",IF(OR(CI207-N(CH207)&gt;0.05,N(AF207)&gt;0),ROUNDDOWN(ROUND(CI207,6),0)&amp;"%"&amp;IF(CY207="",""," / "&amp;CY207&amp;"%"),IF(AND(N(CH207)&gt;=99.95,CY207&lt;&gt;"",N(CY207)&lt;100),"Pend. "&amp;CY207&amp;"%",""))))</f>
        <v/>
      </c>
      <c r="BC207" s="31" t="n">
        <f aca="false">IF(AND(ISNUMBER(E207),ISNUMBER(F207)),MAX(1,NETWORKDAYS.INTL(E207,F207,11)),0)</f>
        <v>0</v>
      </c>
      <c r="BD207" s="1" t="str">
        <f aca="false">IF(OR(NOT(AND(ISNUMBER(E207),ISNUMBER(F207))),$J$2=""),"",MIN(100,ROUND(SUM($G207:G207),1)))</f>
        <v/>
      </c>
      <c r="BE207" s="1" t="str">
        <f aca="false">IF(OR(NOT(AND(ISNUMBER(E207),ISNUMBER(F207))),$J$2=""),"",MIN(100,ROUND(SUM($G207:H207),1)))</f>
        <v/>
      </c>
      <c r="BF207" s="1" t="str">
        <f aca="false">IF(OR(NOT(AND(ISNUMBER(E207),ISNUMBER(F207))),$J$2=""),"",MIN(100,ROUND(SUM($G207:I207),1)))</f>
        <v/>
      </c>
      <c r="BG207" s="1" t="str">
        <f aca="false">IF(OR(NOT(AND(ISNUMBER(E207),ISNUMBER(F207))),$J$2=""),"",MIN(100,ROUND(SUM($G207:J207),1)))</f>
        <v/>
      </c>
      <c r="BH207" s="1" t="str">
        <f aca="false">IF(OR(NOT(AND(ISNUMBER(E207),ISNUMBER(F207))),$J$2=""),"",MIN(100,ROUND(SUM($G207:K207),1)))</f>
        <v/>
      </c>
      <c r="BI207" s="1" t="str">
        <f aca="false">IF(OR(NOT(AND(ISNUMBER(E207),ISNUMBER(F207))),$J$2=""),"",MIN(100,ROUND(SUM($G207:L207),1)))</f>
        <v/>
      </c>
      <c r="BJ207" s="1" t="str">
        <f aca="false">IF(OR(NOT(AND(ISNUMBER(E207),ISNUMBER(F207))),$J$2=""),"",MIN(100,ROUND(SUM($G207:M207),1)))</f>
        <v/>
      </c>
      <c r="BK207" s="1" t="str">
        <f aca="false">IF(OR(NOT(AND(ISNUMBER(E207),ISNUMBER(F207))),$J$2=""),"",MIN(100,ROUND(SUM($G207:N207),1)))</f>
        <v/>
      </c>
      <c r="BL207" s="1" t="str">
        <f aca="false">IF(OR(NOT(AND(ISNUMBER(E207),ISNUMBER(F207))),$J$2=""),"",MIN(100,ROUND(SUM($G207:O207),1)))</f>
        <v/>
      </c>
      <c r="BM207" s="1" t="str">
        <f aca="false">IF(OR(NOT(AND(ISNUMBER(E207),ISNUMBER(F207))),$J$2=""),"",MIN(100,ROUND(SUM($G207:P207),1)))</f>
        <v/>
      </c>
      <c r="BN207" s="1" t="str">
        <f aca="false">IF(OR(NOT(AND(ISNUMBER(E207),ISNUMBER(F207))),$J$2=""),"",MIN(100,ROUND(SUM($G207:P207),1)))</f>
        <v/>
      </c>
      <c r="BO207" s="1" t="str">
        <f aca="false">IF(OR(NOT(AND(ISNUMBER(E207),ISNUMBER(F207))),$J$2=""),"",MIN(100,ROUND(SUM($G207:P207),1)))</f>
        <v/>
      </c>
      <c r="BP207" s="1" t="str">
        <f aca="false">IF(OR(NOT(AND(ISNUMBER(E207),ISNUMBER(F207))),$J$2=""),"",MIN(100,ROUND(SUM($G207:P207),1)))</f>
        <v/>
      </c>
      <c r="BQ207" s="1" t="str">
        <f aca="false">IF(OR(NOT(AND(ISNUMBER(E207),ISNUMBER(F207))),$J$2=""),"",MIN(100,ROUND(SUM($G207:P207),1)))</f>
        <v/>
      </c>
      <c r="BR207" s="1" t="str">
        <f aca="false">IF(OR(NOT(AND(ISNUMBER(E207),ISNUMBER(F207))),$J$2=""),"",MIN(100,ROUND(SUM($G207:P207),1)))</f>
        <v/>
      </c>
      <c r="BS207" s="1" t="str">
        <f aca="false">IF(OR(NOT(AND(ISNUMBER(E207),ISNUMBER(F207))),$J$2=""),"",MIN(100,ROUND(SUM($G207:P207),1)))</f>
        <v/>
      </c>
      <c r="BT207" s="1" t="str">
        <f aca="false">IF(OR(NOT(AND(ISNUMBER(E207),ISNUMBER(F207))),$J$2=""),"",IF(Reprogramaciones!K$13&lt;Reprogramaciones!$T$15,0,IF(Reprogramaciones!K$14&gt;10,MIN(100,SUM($G207:$P207)),MIN(100,SUMPRODUCT((COLUMN($G207:$P207)-COLUMN($G207)+1&lt;Reprogramaciones!K$14)*$G207:$P207)+N(INDEX($G207:$P207,1,Reprogramaciones!K$14))*IF(Reprogramaciones!K$13&gt;=(Reprogramaciones!$T$15+7*(Reprogramaciones!K$14-1))+6,1,IF(MAX(0,NETWORKDAYS.INTL(MAX(E207,(Reprogramaciones!$T$15+7*(Reprogramaciones!K$14-1))),MIN(F207,(Reprogramaciones!$T$15+7*(Reprogramaciones!K$14-1))+6),11))=0,0,MAX(0,NETWORKDAYS.INTL(MAX(E207,(Reprogramaciones!$T$15+7*(Reprogramaciones!K$14-1))),MIN(F207,Reprogramaciones!K$13),11))/MAX(0,NETWORKDAYS.INTL(MAX(E207,(Reprogramaciones!$T$15+7*(Reprogramaciones!K$14-1))),MIN(F207,(Reprogramaciones!$T$15+7*(Reprogramaciones!K$14-1))+6),11))))))))</f>
        <v/>
      </c>
      <c r="BU207" s="1" t="str">
        <f aca="false">IF(OR(NOT(AND(ISNUMBER(E207),ISNUMBER(F207))),$J$2=""),"",IF(Reprogramaciones!L$13&lt;Reprogramaciones!$T$15,0,IF(Reprogramaciones!L$14&gt;10,MIN(100,SUM($G207:$P207)),MIN(100,SUMPRODUCT((COLUMN($G207:$P207)-COLUMN($G207)+1&lt;Reprogramaciones!L$14)*$G207:$P207)+N(INDEX($G207:$P207,1,Reprogramaciones!L$14))*IF(Reprogramaciones!L$13&gt;=(Reprogramaciones!$T$15+7*(Reprogramaciones!L$14-1))+6,1,IF(MAX(0,NETWORKDAYS.INTL(MAX(E207,(Reprogramaciones!$T$15+7*(Reprogramaciones!L$14-1))),MIN(F207,(Reprogramaciones!$T$15+7*(Reprogramaciones!L$14-1))+6),11))=0,0,MAX(0,NETWORKDAYS.INTL(MAX(E207,(Reprogramaciones!$T$15+7*(Reprogramaciones!L$14-1))),MIN(F207,Reprogramaciones!L$13),11))/MAX(0,NETWORKDAYS.INTL(MAX(E207,(Reprogramaciones!$T$15+7*(Reprogramaciones!L$14-1))),MIN(F207,(Reprogramaciones!$T$15+7*(Reprogramaciones!L$14-1))+6),11))))))))</f>
        <v/>
      </c>
      <c r="BV207" s="1" t="str">
        <f aca="false">IF(OR(NOT(AND(ISNUMBER(E207),ISNUMBER(F207))),$J$2=""),"",IF(Reprogramaciones!M$13&lt;Reprogramaciones!$T$15,0,IF(Reprogramaciones!M$14&gt;10,MIN(100,SUM($G207:$P207)),MIN(100,SUMPRODUCT((COLUMN($G207:$P207)-COLUMN($G207)+1&lt;Reprogramaciones!M$14)*$G207:$P207)+N(INDEX($G207:$P207,1,Reprogramaciones!M$14))*IF(Reprogramaciones!M$13&gt;=(Reprogramaciones!$T$15+7*(Reprogramaciones!M$14-1))+6,1,IF(MAX(0,NETWORKDAYS.INTL(MAX(E207,(Reprogramaciones!$T$15+7*(Reprogramaciones!M$14-1))),MIN(F207,(Reprogramaciones!$T$15+7*(Reprogramaciones!M$14-1))+6),11))=0,0,MAX(0,NETWORKDAYS.INTL(MAX(E207,(Reprogramaciones!$T$15+7*(Reprogramaciones!M$14-1))),MIN(F207,Reprogramaciones!M$13),11))/MAX(0,NETWORKDAYS.INTL(MAX(E207,(Reprogramaciones!$T$15+7*(Reprogramaciones!M$14-1))),MIN(F207,(Reprogramaciones!$T$15+7*(Reprogramaciones!M$14-1))+6),11))))))))</f>
        <v/>
      </c>
      <c r="BW207" s="1" t="str">
        <f aca="false">IF(OR(NOT(AND(ISNUMBER(E207),ISNUMBER(F207))),$J$2=""),"",IF(Reprogramaciones!N$13&lt;Reprogramaciones!$T$15,0,IF(Reprogramaciones!N$14&gt;10,MIN(100,SUM($G207:$P207)),MIN(100,SUMPRODUCT((COLUMN($G207:$P207)-COLUMN($G207)+1&lt;Reprogramaciones!N$14)*$G207:$P207)+N(INDEX($G207:$P207,1,Reprogramaciones!N$14))*IF(Reprogramaciones!N$13&gt;=(Reprogramaciones!$T$15+7*(Reprogramaciones!N$14-1))+6,1,IF(MAX(0,NETWORKDAYS.INTL(MAX(E207,(Reprogramaciones!$T$15+7*(Reprogramaciones!N$14-1))),MIN(F207,(Reprogramaciones!$T$15+7*(Reprogramaciones!N$14-1))+6),11))=0,0,MAX(0,NETWORKDAYS.INTL(MAX(E207,(Reprogramaciones!$T$15+7*(Reprogramaciones!N$14-1))),MIN(F207,Reprogramaciones!N$13),11))/MAX(0,NETWORKDAYS.INTL(MAX(E207,(Reprogramaciones!$T$15+7*(Reprogramaciones!N$14-1))),MIN(F207,(Reprogramaciones!$T$15+7*(Reprogramaciones!N$14-1))+6),11))))))))</f>
        <v/>
      </c>
      <c r="BX207" s="1" t="str">
        <f aca="false">IF(OR(NOT(AND(ISNUMBER(E207),ISNUMBER(F207))),$J$2=""),"",IF(Reprogramaciones!O$13&lt;Reprogramaciones!$T$15,0,IF(Reprogramaciones!O$14&gt;10,MIN(100,SUM($G207:$P207)),MIN(100,SUMPRODUCT((COLUMN($G207:$P207)-COLUMN($G207)+1&lt;Reprogramaciones!O$14)*$G207:$P207)+N(INDEX($G207:$P207,1,Reprogramaciones!O$14))*IF(Reprogramaciones!O$13&gt;=(Reprogramaciones!$T$15+7*(Reprogramaciones!O$14-1))+6,1,IF(MAX(0,NETWORKDAYS.INTL(MAX(E207,(Reprogramaciones!$T$15+7*(Reprogramaciones!O$14-1))),MIN(F207,(Reprogramaciones!$T$15+7*(Reprogramaciones!O$14-1))+6),11))=0,0,MAX(0,NETWORKDAYS.INTL(MAX(E207,(Reprogramaciones!$T$15+7*(Reprogramaciones!O$14-1))),MIN(F207,Reprogramaciones!O$13),11))/MAX(0,NETWORKDAYS.INTL(MAX(E207,(Reprogramaciones!$T$15+7*(Reprogramaciones!O$14-1))),MIN(F207,(Reprogramaciones!$T$15+7*(Reprogramaciones!O$14-1))+6),11))))))))</f>
        <v/>
      </c>
      <c r="BY207" s="1" t="str">
        <f aca="false">IF(OR(NOT(AND(ISNUMBER(E207),ISNUMBER(F207))),$J$2=""),"",IF(Reprogramaciones!P$13&lt;Reprogramaciones!$T$15,0,IF(Reprogramaciones!P$14&gt;10,MIN(100,SUM($G207:$P207)),MIN(100,SUMPRODUCT((COLUMN($G207:$P207)-COLUMN($G207)+1&lt;Reprogramaciones!P$14)*$G207:$P207)+N(INDEX($G207:$P207,1,Reprogramaciones!P$14))*IF(Reprogramaciones!P$13&gt;=(Reprogramaciones!$T$15+7*(Reprogramaciones!P$14-1))+6,1,IF(MAX(0,NETWORKDAYS.INTL(MAX(E207,(Reprogramaciones!$T$15+7*(Reprogramaciones!P$14-1))),MIN(F207,(Reprogramaciones!$T$15+7*(Reprogramaciones!P$14-1))+6),11))=0,0,MAX(0,NETWORKDAYS.INTL(MAX(E207,(Reprogramaciones!$T$15+7*(Reprogramaciones!P$14-1))),MIN(F207,Reprogramaciones!P$13),11))/MAX(0,NETWORKDAYS.INTL(MAX(E207,(Reprogramaciones!$T$15+7*(Reprogramaciones!P$14-1))),MIN(F207,(Reprogramaciones!$T$15+7*(Reprogramaciones!P$14-1))+6),11))))))))</f>
        <v/>
      </c>
      <c r="BZ207" s="1" t="str">
        <f aca="false">IF(OR(NOT(AND(ISNUMBER(E207),ISNUMBER(F207))),$J$2=""),"",IF(Reprogramaciones!Q$13&lt;Reprogramaciones!$T$15,0,IF(Reprogramaciones!Q$14&gt;10,MIN(100,SUM($G207:$P207)),MIN(100,SUMPRODUCT((COLUMN($G207:$P207)-COLUMN($G207)+1&lt;Reprogramaciones!Q$14)*$G207:$P207)+N(INDEX($G207:$P207,1,Reprogramaciones!Q$14))*IF(Reprogramaciones!Q$13&gt;=(Reprogramaciones!$T$15+7*(Reprogramaciones!Q$14-1))+6,1,IF(MAX(0,NETWORKDAYS.INTL(MAX(E207,(Reprogramaciones!$T$15+7*(Reprogramaciones!Q$14-1))),MIN(F207,(Reprogramaciones!$T$15+7*(Reprogramaciones!Q$14-1))+6),11))=0,0,MAX(0,NETWORKDAYS.INTL(MAX(E207,(Reprogramaciones!$T$15+7*(Reprogramaciones!Q$14-1))),MIN(F207,Reprogramaciones!Q$13),11))/MAX(0,NETWORKDAYS.INTL(MAX(E207,(Reprogramaciones!$T$15+7*(Reprogramaciones!Q$14-1))),MIN(F207,(Reprogramaciones!$T$15+7*(Reprogramaciones!Q$14-1))+6),11))))))))</f>
        <v/>
      </c>
      <c r="CA207" s="1" t="str">
        <f aca="false">IF(OR(NOT(AND(ISNUMBER(E207),ISNUMBER(F207))),$J$2=""),"",IF(Reprogramaciones!R$13&lt;Reprogramaciones!$T$15,0,IF(Reprogramaciones!R$14&gt;10,MIN(100,SUM($G207:$P207)),MIN(100,SUMPRODUCT((COLUMN($G207:$P207)-COLUMN($G207)+1&lt;Reprogramaciones!R$14)*$G207:$P207)+N(INDEX($G207:$P207,1,Reprogramaciones!R$14))*IF(Reprogramaciones!R$13&gt;=(Reprogramaciones!$T$15+7*(Reprogramaciones!R$14-1))+6,1,IF(MAX(0,NETWORKDAYS.INTL(MAX(E207,(Reprogramaciones!$T$15+7*(Reprogramaciones!R$14-1))),MIN(F207,(Reprogramaciones!$T$15+7*(Reprogramaciones!R$14-1))+6),11))=0,0,MAX(0,NETWORKDAYS.INTL(MAX(E207,(Reprogramaciones!$T$15+7*(Reprogramaciones!R$14-1))),MIN(F207,Reprogramaciones!R$13),11))/MAX(0,NETWORKDAYS.INTL(MAX(E207,(Reprogramaciones!$T$15+7*(Reprogramaciones!R$14-1))),MIN(F207,(Reprogramaciones!$T$15+7*(Reprogramaciones!R$14-1))+6),11))))))))</f>
        <v/>
      </c>
      <c r="CB207" s="1" t="str">
        <f aca="false">IF(OR(NOT(AND(ISNUMBER(E207),ISNUMBER(F207))),$J$2=""),"",IF(Reprogramaciones!S$13&lt;Reprogramaciones!$T$15,0,IF(Reprogramaciones!S$14&gt;10,MIN(100,SUM($G207:$P207)),MIN(100,SUMPRODUCT((COLUMN($G207:$P207)-COLUMN($G207)+1&lt;Reprogramaciones!S$14)*$G207:$P207)+N(INDEX($G207:$P207,1,Reprogramaciones!S$14))*IF(Reprogramaciones!S$13&gt;=(Reprogramaciones!$T$15+7*(Reprogramaciones!S$14-1))+6,1,IF(MAX(0,NETWORKDAYS.INTL(MAX(E207,(Reprogramaciones!$T$15+7*(Reprogramaciones!S$14-1))),MIN(F207,(Reprogramaciones!$T$15+7*(Reprogramaciones!S$14-1))+6),11))=0,0,MAX(0,NETWORKDAYS.INTL(MAX(E207,(Reprogramaciones!$T$15+7*(Reprogramaciones!S$14-1))),MIN(F207,Reprogramaciones!S$13),11))/MAX(0,NETWORKDAYS.INTL(MAX(E207,(Reprogramaciones!$T$15+7*(Reprogramaciones!S$14-1))),MIN(F207,(Reprogramaciones!$T$15+7*(Reprogramaciones!S$14-1))+6),11))))))))</f>
        <v/>
      </c>
      <c r="CC207" s="1" t="str">
        <f aca="false">IF(OR(NOT(AND(ISNUMBER(E207),ISNUMBER(F207))),$J$2=""),"",IF(Reprogramaciones!T$13&lt;Reprogramaciones!$T$15,0,IF(Reprogramaciones!T$14&gt;10,MIN(100,SUM($G207:$P207)),MIN(100,SUMPRODUCT((COLUMN($G207:$P207)-COLUMN($G207)+1&lt;Reprogramaciones!T$14)*$G207:$P207)+N(INDEX($G207:$P207,1,Reprogramaciones!T$14))*IF(Reprogramaciones!T$13&gt;=(Reprogramaciones!$T$15+7*(Reprogramaciones!T$14-1))+6,1,IF(MAX(0,NETWORKDAYS.INTL(MAX(E207,(Reprogramaciones!$T$15+7*(Reprogramaciones!T$14-1))),MIN(F207,(Reprogramaciones!$T$15+7*(Reprogramaciones!T$14-1))+6),11))=0,0,MAX(0,NETWORKDAYS.INTL(MAX(E207,(Reprogramaciones!$T$15+7*(Reprogramaciones!T$14-1))),MIN(F207,Reprogramaciones!T$13),11))/MAX(0,NETWORKDAYS.INTL(MAX(E207,(Reprogramaciones!$T$15+7*(Reprogramaciones!T$14-1))),MIN(F207,(Reprogramaciones!$T$15+7*(Reprogramaciones!T$14-1))+6),11))))))))</f>
        <v/>
      </c>
      <c r="CD207" s="1" t="str">
        <f aca="false">IF(OR(NOT(AND(ISNUMBER(E207),ISNUMBER(F207))),$J$2=""),"",IF(Reprogramaciones!U$13&lt;Reprogramaciones!$T$15,0,IF(Reprogramaciones!U$14&gt;10,MIN(100,SUM($G207:$P207)),MIN(100,SUMPRODUCT((COLUMN($G207:$P207)-COLUMN($G207)+1&lt;Reprogramaciones!U$14)*$G207:$P207)+N(INDEX($G207:$P207,1,Reprogramaciones!U$14))*IF(Reprogramaciones!U$13&gt;=(Reprogramaciones!$T$15+7*(Reprogramaciones!U$14-1))+6,1,IF(MAX(0,NETWORKDAYS.INTL(MAX(E207,(Reprogramaciones!$T$15+7*(Reprogramaciones!U$14-1))),MIN(F207,(Reprogramaciones!$T$15+7*(Reprogramaciones!U$14-1))+6),11))=0,0,MAX(0,NETWORKDAYS.INTL(MAX(E207,(Reprogramaciones!$T$15+7*(Reprogramaciones!U$14-1))),MIN(F207,Reprogramaciones!U$13),11))/MAX(0,NETWORKDAYS.INTL(MAX(E207,(Reprogramaciones!$T$15+7*(Reprogramaciones!U$14-1))),MIN(F207,(Reprogramaciones!$T$15+7*(Reprogramaciones!U$14-1))+6),11))))))))</f>
        <v/>
      </c>
      <c r="CE207" s="1" t="str">
        <f aca="false">IF(OR(NOT(AND(ISNUMBER(E207),ISNUMBER(F207))),$J$2=""),"",IF(Reprogramaciones!V$13&lt;Reprogramaciones!$T$15,0,IF(Reprogramaciones!V$14&gt;10,MIN(100,SUM($G207:$P207)),MIN(100,SUMPRODUCT((COLUMN($G207:$P207)-COLUMN($G207)+1&lt;Reprogramaciones!V$14)*$G207:$P207)+N(INDEX($G207:$P207,1,Reprogramaciones!V$14))*IF(Reprogramaciones!V$13&gt;=(Reprogramaciones!$T$15+7*(Reprogramaciones!V$14-1))+6,1,IF(MAX(0,NETWORKDAYS.INTL(MAX(E207,(Reprogramaciones!$T$15+7*(Reprogramaciones!V$14-1))),MIN(F207,(Reprogramaciones!$T$15+7*(Reprogramaciones!V$14-1))+6),11))=0,0,MAX(0,NETWORKDAYS.INTL(MAX(E207,(Reprogramaciones!$T$15+7*(Reprogramaciones!V$14-1))),MIN(F207,Reprogramaciones!V$13),11))/MAX(0,NETWORKDAYS.INTL(MAX(E207,(Reprogramaciones!$T$15+7*(Reprogramaciones!V$14-1))),MIN(F207,(Reprogramaciones!$T$15+7*(Reprogramaciones!V$14-1))+6),11))))))))</f>
        <v/>
      </c>
      <c r="CF207" s="1" t="str">
        <f aca="false">IF(OR(NOT(AND(ISNUMBER(E207),ISNUMBER(F207))),$J$2=""),"",IF(Reprogramaciones!W$13&lt;Reprogramaciones!$T$15,0,IF(Reprogramaciones!W$14&gt;10,MIN(100,SUM($G207:$P207)),MIN(100,SUMPRODUCT((COLUMN($G207:$P207)-COLUMN($G207)+1&lt;Reprogramaciones!W$14)*$G207:$P207)+N(INDEX($G207:$P207,1,Reprogramaciones!W$14))*IF(Reprogramaciones!W$13&gt;=(Reprogramaciones!$T$15+7*(Reprogramaciones!W$14-1))+6,1,IF(MAX(0,NETWORKDAYS.INTL(MAX(E207,(Reprogramaciones!$T$15+7*(Reprogramaciones!W$14-1))),MIN(F207,(Reprogramaciones!$T$15+7*(Reprogramaciones!W$14-1))+6),11))=0,0,MAX(0,NETWORKDAYS.INTL(MAX(E207,(Reprogramaciones!$T$15+7*(Reprogramaciones!W$14-1))),MIN(F207,Reprogramaciones!W$13),11))/MAX(0,NETWORKDAYS.INTL(MAX(E207,(Reprogramaciones!$T$15+7*(Reprogramaciones!W$14-1))),MIN(F207,(Reprogramaciones!$T$15+7*(Reprogramaciones!W$14-1))+6),11))))))))</f>
        <v/>
      </c>
      <c r="CG207" s="1" t="str">
        <f aca="false">IF(OR(NOT(AND(ISNUMBER(E207),ISNUMBER(F207))),$J$2=""),"",IF(Reprogramaciones!X$13&lt;Reprogramaciones!$T$15,0,IF(Reprogramaciones!X$14&gt;10,MIN(100,SUM($G207:$P207)),MIN(100,SUMPRODUCT((COLUMN($G207:$P207)-COLUMN($G207)+1&lt;Reprogramaciones!X$14)*$G207:$P207)+N(INDEX($G207:$P207,1,Reprogramaciones!X$14))*IF(Reprogramaciones!X$13&gt;=(Reprogramaciones!$T$15+7*(Reprogramaciones!X$14-1))+6,1,IF(MAX(0,NETWORKDAYS.INTL(MAX(E207,(Reprogramaciones!$T$15+7*(Reprogramaciones!X$14-1))),MIN(F207,(Reprogramaciones!$T$15+7*(Reprogramaciones!X$14-1))+6),11))=0,0,MAX(0,NETWORKDAYS.INTL(MAX(E207,(Reprogramaciones!$T$15+7*(Reprogramaciones!X$14-1))),MIN(F207,Reprogramaciones!X$13),11))/MAX(0,NETWORKDAYS.INTL(MAX(E207,(Reprogramaciones!$T$15+7*(Reprogramaciones!X$14-1))),MIN(F207,(Reprogramaciones!$T$15+7*(Reprogramaciones!X$14-1))+6),11))))))))</f>
        <v/>
      </c>
      <c r="CH207" s="1" t="str">
        <f aca="false">IF(OR(NOT(AND(ISNUMBER(E207),ISNUMBER(F207))),$J$2=""),"",IF(Reprogramaciones!Y$13&lt;Reprogramaciones!$T$15,0,IF(Reprogramaciones!Y$14&gt;10,MIN(100,SUM($G207:$P207)),MIN(100,SUMPRODUCT((COLUMN($G207:$P207)-COLUMN($G207)+1&lt;Reprogramaciones!Y$14)*$G207:$P207)+N(INDEX($G207:$P207,1,Reprogramaciones!Y$14))*IF(Reprogramaciones!Y$13&gt;=(Reprogramaciones!$T$15+7*(Reprogramaciones!Y$14-1))+6,1,IF(MAX(0,NETWORKDAYS.INTL(MAX(E207,(Reprogramaciones!$T$15+7*(Reprogramaciones!Y$14-1))),MIN(F207,(Reprogramaciones!$T$15+7*(Reprogramaciones!Y$14-1))+6),11))=0,0,MAX(0,NETWORKDAYS.INTL(MAX(E207,(Reprogramaciones!$T$15+7*(Reprogramaciones!Y$14-1))),MIN(F207,Reprogramaciones!Y$13),11))/MAX(0,NETWORKDAYS.INTL(MAX(E207,(Reprogramaciones!$T$15+7*(Reprogramaciones!Y$14-1))),MIN(F207,(Reprogramaciones!$T$15+7*(Reprogramaciones!Y$14-1))+6),11))))))))</f>
        <v/>
      </c>
      <c r="CI207" s="1" t="str">
        <f aca="false">IF(OR(NOT(AND(ISNUMBER(E207),ISNUMBER(F207))),$J$2=""),"",IF(Reprogramaciones!Z$13&lt;Reprogramaciones!$T$15,0,IF(Reprogramaciones!Z$14&gt;10,MIN(100,SUM($G207:$P207)),MIN(100,SUMPRODUCT((COLUMN($G207:$P207)-COLUMN($G207)+1&lt;Reprogramaciones!Z$14)*$G207:$P207)+N(INDEX($G207:$P207,1,Reprogramaciones!Z$14))*IF(Reprogramaciones!Z$13&gt;=(Reprogramaciones!$T$15+7*(Reprogramaciones!Z$14-1))+6,1,IF(MAX(0,NETWORKDAYS.INTL(MAX(E207,(Reprogramaciones!$T$15+7*(Reprogramaciones!Z$14-1))),MIN(F207,(Reprogramaciones!$T$15+7*(Reprogramaciones!Z$14-1))+6),11))=0,0,MAX(0,NETWORKDAYS.INTL(MAX(E207,(Reprogramaciones!$T$15+7*(Reprogramaciones!Z$14-1))),MIN(F207,Reprogramaciones!Z$13),11))/MAX(0,NETWORKDAYS.INTL(MAX(E207,(Reprogramaciones!$T$15+7*(Reprogramaciones!Z$14-1))),MIN(F207,(Reprogramaciones!$T$15+7*(Reprogramaciones!Z$14-1))+6),11))))))))</f>
        <v/>
      </c>
      <c r="CJ207" s="1" t="str">
        <f aca="false">IF(OR(OR(NOT(AND(ISNUMBER(E207),ISNUMBER(F207))),$J$2=""),1&gt;Reprogramaciones!$K$16),"",IF(ROUND(SUM($Q207:Q207),1)&gt;=99.5,100,MIN(100,ROUND(SUM($Q207:Q207),1))))</f>
        <v/>
      </c>
      <c r="CK207" s="1" t="str">
        <f aca="false">IF(OR(OR(NOT(AND(ISNUMBER(E207),ISNUMBER(F207))),$J$2=""),2&gt;Reprogramaciones!$K$16),"",IF(ROUND(SUM($Q207:R207),1)&gt;=99.5,100,MIN(100,ROUND(SUM($Q207:R207),1))))</f>
        <v/>
      </c>
      <c r="CL207" s="1" t="str">
        <f aca="false">IF(OR(OR(NOT(AND(ISNUMBER(E207),ISNUMBER(F207))),$J$2=""),3&gt;Reprogramaciones!$K$16),"",IF(ROUND(SUM($Q207:S207),1)&gt;=99.5,100,MIN(100,ROUND(SUM($Q207:S207),1))))</f>
        <v/>
      </c>
      <c r="CM207" s="1" t="str">
        <f aca="false">IF(OR(OR(NOT(AND(ISNUMBER(E207),ISNUMBER(F207))),$J$2=""),4&gt;Reprogramaciones!$K$16),"",IF(ROUND(SUM($Q207:T207),1)&gt;=99.5,100,MIN(100,ROUND(SUM($Q207:T207),1))))</f>
        <v/>
      </c>
      <c r="CN207" s="1" t="str">
        <f aca="false">IF(OR(OR(NOT(AND(ISNUMBER(E207),ISNUMBER(F207))),$J$2=""),5&gt;Reprogramaciones!$K$16),"",IF(ROUND(SUM($Q207:U207),1)&gt;=99.5,100,MIN(100,ROUND(SUM($Q207:U207),1))))</f>
        <v/>
      </c>
      <c r="CO207" s="1" t="str">
        <f aca="false">IF(OR(OR(NOT(AND(ISNUMBER(E207),ISNUMBER(F207))),$J$2=""),6&gt;Reprogramaciones!$K$16),"",IF(ROUND(SUM($Q207:V207),1)&gt;=99.5,100,MIN(100,ROUND(SUM($Q207:V207),1))))</f>
        <v/>
      </c>
      <c r="CP207" s="1" t="str">
        <f aca="false">IF(OR(OR(NOT(AND(ISNUMBER(E207),ISNUMBER(F207))),$J$2=""),7&gt;Reprogramaciones!$K$16),"",IF(ROUND(SUM($Q207:W207),1)&gt;=99.5,100,MIN(100,ROUND(SUM($Q207:W207),1))))</f>
        <v/>
      </c>
      <c r="CQ207" s="1" t="str">
        <f aca="false">IF(OR(OR(NOT(AND(ISNUMBER(E207),ISNUMBER(F207))),$J$2=""),8&gt;Reprogramaciones!$K$16),"",IF(ROUND(SUM($Q207:X207),1)&gt;=99.5,100,MIN(100,ROUND(SUM($Q207:X207),1))))</f>
        <v/>
      </c>
      <c r="CR207" s="1" t="str">
        <f aca="false">IF(OR(OR(NOT(AND(ISNUMBER(E207),ISNUMBER(F207))),$J$2=""),9&gt;Reprogramaciones!$K$16),"",IF(ROUND(SUM($Q207:Y207),1)&gt;=99.5,100,MIN(100,ROUND(SUM($Q207:Y207),1))))</f>
        <v/>
      </c>
      <c r="CS207" s="1" t="str">
        <f aca="false">IF(OR(OR(NOT(AND(ISNUMBER(E207),ISNUMBER(F207))),$J$2=""),10&gt;Reprogramaciones!$K$16),"",IF(ROUND(SUM($Q207:Z207),1)&gt;=99.5,100,MIN(100,ROUND(SUM($Q207:Z207),1))))</f>
        <v/>
      </c>
      <c r="CT207" s="1" t="str">
        <f aca="false">IF(OR(OR(NOT(AND(ISNUMBER(E207),ISNUMBER(F207))),$J$2=""),11&gt;Reprogramaciones!$K$16),"",IF(ROUND(SUM($Q207:AA207),1)&gt;=99.5,100,MIN(100,ROUND(SUM($Q207:AA207),1))))</f>
        <v/>
      </c>
      <c r="CU207" s="1" t="str">
        <f aca="false">IF(OR(OR(NOT(AND(ISNUMBER(E207),ISNUMBER(F207))),$J$2=""),12&gt;Reprogramaciones!$K$16),"",IF(ROUND(SUM($Q207:AB207),1)&gt;=99.5,100,MIN(100,ROUND(SUM($Q207:AB207),1))))</f>
        <v/>
      </c>
      <c r="CV207" s="1" t="str">
        <f aca="false">IF(OR(OR(NOT(AND(ISNUMBER(E207),ISNUMBER(F207))),$J$2=""),13&gt;Reprogramaciones!$K$16),"",IF(ROUND(SUM($Q207:AC207),1)&gt;=99.5,100,MIN(100,ROUND(SUM($Q207:AC207),1))))</f>
        <v/>
      </c>
      <c r="CW207" s="1" t="str">
        <f aca="false">IF(OR(OR(NOT(AND(ISNUMBER(E207),ISNUMBER(F207))),$J$2=""),14&gt;Reprogramaciones!$K$16),"",IF(ROUND(SUM($Q207:AD207),1)&gt;=99.5,100,MIN(100,ROUND(SUM($Q207:AD207),1))))</f>
        <v/>
      </c>
      <c r="CX207" s="1" t="str">
        <f aca="false">IF(OR(OR(NOT(AND(ISNUMBER(E207),ISNUMBER(F207))),$J$2=""),15&gt;Reprogramaciones!$K$16),"",IF(ROUND(SUM($Q207:AE207),1)&gt;=99.5,100,MIN(100,ROUND(SUM($Q207:AE207),1))))</f>
        <v/>
      </c>
      <c r="CY207" s="1" t="str">
        <f aca="false">IF(OR(OR(NOT(AND(ISNUMBER(E207),ISNUMBER(F207))),$J$2=""),16&gt;Reprogramaciones!$K$16),"",IF(ROUND(SUM($Q207:AF207),1)&gt;=99.5,100,MIN(100,ROUND(SUM($Q207:AF207),1))))</f>
        <v/>
      </c>
      <c r="CZ207" s="1" t="str">
        <f aca="false">IF(D207&lt;&gt;"",D207,IF(B207&lt;&gt;"","Contractual",CZ206))</f>
        <v>Contractual</v>
      </c>
      <c r="DA207" s="1" t="str">
        <f aca="false">IF(OR(NOT(AND(ISNUMBER(E207),ISNUMBER(F207))),$J$2=""),"",IF(Reprogramaciones!$Q$15&lt;Reprogramaciones!$T$15,0,IF(Reprogramaciones!$S$15&gt;10,MIN(100,SUM($G207:$P207)),MIN(100,SUMPRODUCT((COLUMN($G207:$P207)-COLUMN($G207)+1&lt;Reprogramaciones!$S$15)*$G207:$P207)+N(INDEX($G207:$P207,1,Reprogramaciones!$S$15))*IF(Reprogramaciones!$Q$15&gt;=(Reprogramaciones!$T$15+7*(Reprogramaciones!$S$15-1))+6,1,IF(MAX(0,NETWORKDAYS.INTL(MAX(E207,(Reprogramaciones!$T$15+7*(Reprogramaciones!$S$15-1))),MIN(F207,(Reprogramaciones!$T$15+7*(Reprogramaciones!$S$15-1))+6),11))=0,0,MAX(0,NETWORKDAYS.INTL(MAX(E207,(Reprogramaciones!$T$15+7*(Reprogramaciones!$S$15-1))),MIN(F207,Reprogramaciones!$Q$15),11))/MAX(0,NETWORKDAYS.INTL(MAX(E207,(Reprogramaciones!$T$15+7*(Reprogramaciones!$S$15-1))),MIN(F207,(Reprogramaciones!$T$15+7*(Reprogramaciones!$S$15-1))+6),11))))))))</f>
        <v/>
      </c>
    </row>
    <row r="208" customFormat="false" ht="15" hidden="false" customHeight="false" outlineLevel="0" collapsed="false">
      <c r="A208" s="32"/>
      <c r="B208" s="33"/>
      <c r="C208" s="33"/>
      <c r="D208" s="34"/>
      <c r="E208" s="35"/>
      <c r="F208" s="35"/>
      <c r="G208" s="36" t="str">
        <f aca="false">IF(OR(NOT(AND(ISNUMBER(E208),ISNUMBER(F208))),$J$2=""),"",IF(Reprogramaciones!K$9&lt;E208,0,IF(NETWORKDAYS.INTL(E208,F208,11)=0,IF(Reprogramaciones!K$9&gt;=F208,100,0),ROUND(NETWORKDAYS.INTL(E208,MIN(F208,Reprogramaciones!K$9),11)/NETWORKDAYS.INTL(E208,F208,11)*100,1)))-0)</f>
        <v/>
      </c>
      <c r="H208" s="36" t="str">
        <f aca="false">IF(OR(NOT(AND(ISNUMBER(E208),ISNUMBER(F208))),$J$2=""),"",IF(Reprogramaciones!L$9&lt;E208,0,IF(NETWORKDAYS.INTL(E208,F208,11)=0,IF(Reprogramaciones!L$9&gt;=F208,100,0),ROUND(NETWORKDAYS.INTL(E208,MIN(F208,Reprogramaciones!L$9),11)/NETWORKDAYS.INTL(E208,F208,11)*100,1)))-IF(Reprogramaciones!K$9&lt;E208,0,IF(NETWORKDAYS.INTL(E208,F208,11)=0,IF(Reprogramaciones!K$9&gt;=F208,100,0),ROUND(NETWORKDAYS.INTL(E208,MIN(F208,Reprogramaciones!K$9),11)/NETWORKDAYS.INTL(E208,F208,11)*100,1))))</f>
        <v/>
      </c>
      <c r="I208" s="36" t="str">
        <f aca="false">IF(OR(NOT(AND(ISNUMBER(E208),ISNUMBER(F208))),$J$2=""),"",IF(Reprogramaciones!M$9&lt;E208,0,IF(NETWORKDAYS.INTL(E208,F208,11)=0,IF(Reprogramaciones!M$9&gt;=F208,100,0),ROUND(NETWORKDAYS.INTL(E208,MIN(F208,Reprogramaciones!M$9),11)/NETWORKDAYS.INTL(E208,F208,11)*100,1)))-IF(Reprogramaciones!L$9&lt;E208,0,IF(NETWORKDAYS.INTL(E208,F208,11)=0,IF(Reprogramaciones!L$9&gt;=F208,100,0),ROUND(NETWORKDAYS.INTL(E208,MIN(F208,Reprogramaciones!L$9),11)/NETWORKDAYS.INTL(E208,F208,11)*100,1))))</f>
        <v/>
      </c>
      <c r="J208" s="36" t="str">
        <f aca="false">IF(OR(NOT(AND(ISNUMBER(E208),ISNUMBER(F208))),$J$2=""),"",IF(Reprogramaciones!N$9&lt;E208,0,IF(NETWORKDAYS.INTL(E208,F208,11)=0,IF(Reprogramaciones!N$9&gt;=F208,100,0),ROUND(NETWORKDAYS.INTL(E208,MIN(F208,Reprogramaciones!N$9),11)/NETWORKDAYS.INTL(E208,F208,11)*100,1)))-IF(Reprogramaciones!M$9&lt;E208,0,IF(NETWORKDAYS.INTL(E208,F208,11)=0,IF(Reprogramaciones!M$9&gt;=F208,100,0),ROUND(NETWORKDAYS.INTL(E208,MIN(F208,Reprogramaciones!M$9),11)/NETWORKDAYS.INTL(E208,F208,11)*100,1))))</f>
        <v/>
      </c>
      <c r="K208" s="36" t="str">
        <f aca="false">IF(OR(NOT(AND(ISNUMBER(E208),ISNUMBER(F208))),$J$2=""),"",IF(Reprogramaciones!O$9&lt;E208,0,IF(NETWORKDAYS.INTL(E208,F208,11)=0,IF(Reprogramaciones!O$9&gt;=F208,100,0),ROUND(NETWORKDAYS.INTL(E208,MIN(F208,Reprogramaciones!O$9),11)/NETWORKDAYS.INTL(E208,F208,11)*100,1)))-IF(Reprogramaciones!N$9&lt;E208,0,IF(NETWORKDAYS.INTL(E208,F208,11)=0,IF(Reprogramaciones!N$9&gt;=F208,100,0),ROUND(NETWORKDAYS.INTL(E208,MIN(F208,Reprogramaciones!N$9),11)/NETWORKDAYS.INTL(E208,F208,11)*100,1))))</f>
        <v/>
      </c>
      <c r="L208" s="36" t="str">
        <f aca="false">IF(OR(NOT(AND(ISNUMBER(E208),ISNUMBER(F208))),$J$2=""),"",IF(Reprogramaciones!P$9&lt;E208,0,IF(NETWORKDAYS.INTL(E208,F208,11)=0,IF(Reprogramaciones!P$9&gt;=F208,100,0),ROUND(NETWORKDAYS.INTL(E208,MIN(F208,Reprogramaciones!P$9),11)/NETWORKDAYS.INTL(E208,F208,11)*100,1)))-IF(Reprogramaciones!O$9&lt;E208,0,IF(NETWORKDAYS.INTL(E208,F208,11)=0,IF(Reprogramaciones!O$9&gt;=F208,100,0),ROUND(NETWORKDAYS.INTL(E208,MIN(F208,Reprogramaciones!O$9),11)/NETWORKDAYS.INTL(E208,F208,11)*100,1))))</f>
        <v/>
      </c>
      <c r="M208" s="36" t="str">
        <f aca="false">IF(OR(NOT(AND(ISNUMBER(E208),ISNUMBER(F208))),$J$2=""),"",IF(Reprogramaciones!Q$9&lt;E208,0,IF(NETWORKDAYS.INTL(E208,F208,11)=0,IF(Reprogramaciones!Q$9&gt;=F208,100,0),ROUND(NETWORKDAYS.INTL(E208,MIN(F208,Reprogramaciones!Q$9),11)/NETWORKDAYS.INTL(E208,F208,11)*100,1)))-IF(Reprogramaciones!P$9&lt;E208,0,IF(NETWORKDAYS.INTL(E208,F208,11)=0,IF(Reprogramaciones!P$9&gt;=F208,100,0),ROUND(NETWORKDAYS.INTL(E208,MIN(F208,Reprogramaciones!P$9),11)/NETWORKDAYS.INTL(E208,F208,11)*100,1))))</f>
        <v/>
      </c>
      <c r="N208" s="36" t="str">
        <f aca="false">IF(OR(NOT(AND(ISNUMBER(E208),ISNUMBER(F208))),$J$2=""),"",IF(Reprogramaciones!R$9&lt;E208,0,IF(NETWORKDAYS.INTL(E208,F208,11)=0,IF(Reprogramaciones!R$9&gt;=F208,100,0),ROUND(NETWORKDAYS.INTL(E208,MIN(F208,Reprogramaciones!R$9),11)/NETWORKDAYS.INTL(E208,F208,11)*100,1)))-IF(Reprogramaciones!Q$9&lt;E208,0,IF(NETWORKDAYS.INTL(E208,F208,11)=0,IF(Reprogramaciones!Q$9&gt;=F208,100,0),ROUND(NETWORKDAYS.INTL(E208,MIN(F208,Reprogramaciones!Q$9),11)/NETWORKDAYS.INTL(E208,F208,11)*100,1))))</f>
        <v/>
      </c>
      <c r="O208" s="36" t="str">
        <f aca="false">IF(OR(NOT(AND(ISNUMBER(E208),ISNUMBER(F208))),$J$2=""),"",IF(Reprogramaciones!S$9&lt;E208,0,IF(NETWORKDAYS.INTL(E208,F208,11)=0,IF(Reprogramaciones!S$9&gt;=F208,100,0),ROUND(NETWORKDAYS.INTL(E208,MIN(F208,Reprogramaciones!S$9),11)/NETWORKDAYS.INTL(E208,F208,11)*100,1)))-IF(Reprogramaciones!R$9&lt;E208,0,IF(NETWORKDAYS.INTL(E208,F208,11)=0,IF(Reprogramaciones!R$9&gt;=F208,100,0),ROUND(NETWORKDAYS.INTL(E208,MIN(F208,Reprogramaciones!R$9),11)/NETWORKDAYS.INTL(E208,F208,11)*100,1))))</f>
        <v/>
      </c>
      <c r="P208" s="36" t="str">
        <f aca="false">IF(OR(NOT(AND(ISNUMBER(E208),ISNUMBER(F208))),$J$2=""),"",IF(Reprogramaciones!T$9&lt;E208,0,IF(NETWORKDAYS.INTL(E208,F208,11)=0,IF(Reprogramaciones!T$9&gt;=F208,100,0),ROUND(NETWORKDAYS.INTL(E208,MIN(F208,Reprogramaciones!T$9),11)/NETWORKDAYS.INTL(E208,F208,11)*100,1)))-IF(Reprogramaciones!S$9&lt;E208,0,IF(NETWORKDAYS.INTL(E208,F208,11)=0,IF(Reprogramaciones!S$9&gt;=F208,100,0),ROUND(NETWORKDAYS.INTL(E208,MIN(F208,Reprogramaciones!S$9),11)/NETWORKDAYS.INTL(E208,F208,11)*100,1))))</f>
        <v/>
      </c>
      <c r="Q208" s="37"/>
      <c r="R208" s="37"/>
      <c r="S208" s="37"/>
      <c r="T208" s="37"/>
      <c r="U208" s="37"/>
      <c r="V208" s="37"/>
      <c r="W208" s="37"/>
      <c r="X208" s="37"/>
      <c r="Y208" s="37"/>
      <c r="Z208" s="37"/>
      <c r="AA208" s="37"/>
      <c r="AB208" s="37"/>
      <c r="AC208" s="37"/>
      <c r="AD208" s="37"/>
      <c r="AE208" s="37"/>
      <c r="AF208" s="37"/>
      <c r="AG208" s="38" t="str">
        <f aca="false">IF(AND(ISNUMBER(E208),ISNUMBER(F208)),NETWORKDAYS.INTL(E208,F208,11),"")</f>
        <v/>
      </c>
      <c r="AH208" s="38" t="str">
        <f aca="false">IF(OR(NOT(AND(ISNUMBER(E208),ISNUMBER(F208))),$J$2=""),"",IF(Reprogramaciones!$P$15&lt;Reprogramaciones!$T$15,0,IF(Reprogramaciones!$R$15&gt;10,MIN(100,SUM($G208:$P208)),MIN(100,SUMPRODUCT((COLUMN($G208:$P208)-COLUMN($G208)+1&lt;Reprogramaciones!$R$15)*$G208:$P208)+N(INDEX($G208:$P208,1,Reprogramaciones!$R$15))*IF(Reprogramaciones!$P$15&gt;=(Reprogramaciones!$T$15+7*(Reprogramaciones!$R$15-1))+6,1,IF(MAX(0,NETWORKDAYS.INTL(MAX(E208,(Reprogramaciones!$T$15+7*(Reprogramaciones!$R$15-1))),MIN(F208,(Reprogramaciones!$T$15+7*(Reprogramaciones!$R$15-1))+6),11))=0,0,MAX(0,NETWORKDAYS.INTL(MAX(E208,(Reprogramaciones!$T$15+7*(Reprogramaciones!$R$15-1))),MIN(F208,Reprogramaciones!$P$15),11))/MAX(0,NETWORKDAYS.INTL(MAX(E208,(Reprogramaciones!$T$15+7*(Reprogramaciones!$R$15-1))),MIN(F208,(Reprogramaciones!$T$15+7*(Reprogramaciones!$R$15-1))+6),11))))))))</f>
        <v/>
      </c>
      <c r="AI208" s="38" t="str">
        <f aca="false">IF(COUNT($Q208:$AF208)=0,"",IF(ROUND(SUM($Q208:$AF208),1)&gt;=99.5,100,MIN(100,ROUND(SUM($Q208:$AF208),1))))</f>
        <v/>
      </c>
      <c r="AJ208" s="38" t="str">
        <f aca="false">IF(OR(AH208="",AI208=""),"",AI208-AH208)</f>
        <v/>
      </c>
      <c r="AK208" s="39" t="str">
        <f aca="true">IF(AH208="","",IF(OR(Ficha!$C$10="Suspendida",Ficha!$C$10="Cancelada"),Ficha!$C$10,IF(AND(AI208&lt;&gt;"",N(AI208)&gt;=100),"Completada",IF(AND(E208&gt;TODAY(),N(AI208)=0),"Por iniciar",IF(N(AI208)+0.5&lt;AH208,"Retrasada",IF(N(AI208)+0.5&lt;DA208,IF(Reprogramaciones!$K$15&gt;0,"Al día · Sem "&amp;Reprogramaciones!$K$15&amp;" en curso","Al día · en curso"),"A tiempo"))))))</f>
        <v/>
      </c>
      <c r="AL208" s="39" t="str">
        <f aca="true">IF(AND(A208="",AND(B208="",C208="",E208="",F208="",COUNT(Q208:AF208)=0)),"",IF(AND(B208="",C208="",E208="",F208="",COUNT(Q208:AF208)=0),"Falta la partida o subpartida",IF(AND(A208&lt;&gt;"",COUNTIF($A$6:$A$305,A208)&gt;1),"Ítem repetido",IF(AND(C208="",E208="",F208="",COUNT(Q208:AF208)=0),"Título de partida",IF(OR(E208="",F208=""),"Faltan fechas",IF(OR(ISTEXT(E208),ISTEXT(F208)),"Fecha escrita como texto: usa dd/mm/aaaa",IF(F208&lt;E208,"Fin antes del inicio",IF(IF($J$2="",FALSE(),OR(E208&lt;$J$2,F208&gt;Reprogramaciones!$T$15+69)),"Fuera de las 10 semanas",IF(ABS(SUM(G208:P208)-100)&gt;0.5,"La meta no suma 100%",IF(ROUND(SUM(Q208:AF208),1)&gt;100.5,"El avance pasa de 100%",IF(MIN(Q208:AF208)&lt;0,"Avance negativo",IF(COUNTA(Q208:AF208)&gt;COUNT(Q208:AF208),"Avance escrito como texto",IF(SUMPRODUCT((Q208:AF208&gt;0)*(Q208:AF208&lt;1))&gt;0,"Avance menor a 1: escribe 50, no 50%",IF(SUMPRODUCT(ISNUMBER(Q208:AF208)*(Reprogramaciones!$K$8:$Z$8&gt;TODAY()))&gt;0,"Avance en semana que aún no llega",IF(AND(N(Reprogramaciones!$E$21)&gt;0,F208&gt;Reprogramaciones!$E$21),"Pasa el fin de la obra: registra una reprogramación",IF(AND(N(Reprogramaciones!$E$21)&gt;0,SUMPRODUCT(ISNUMBER(Q208:AF208)*(Reprogramaciones!$K$8:$Z$8&gt;Reprogramaciones!$E$21))&gt;0),"Avance después del fin de la obra: registra una reprogramación por atraso","OK"))))))))))))))))</f>
        <v/>
      </c>
      <c r="AM208" s="40" t="str">
        <f aca="false">IF(OR(OR(NOT(AND(ISNUMBER(E208),ISNUMBER(F208))),$J$2=""),1&gt;MAX(1,Reprogramaciones!$U$15)),"",IF(Reprogramaciones!K$12&gt;=7,"",IF(OR(BT208-N(0)&gt;0.05,N(Q208)&gt;0),ROUNDDOWN(ROUND(BT208,6),0)&amp;"%"&amp;IF(CJ208="",""," / "&amp;CJ208&amp;"%"),IF(AND(N(0)&gt;=99.95,CJ208&lt;&gt;"",N(CJ208)&lt;100),"Pend. "&amp;CJ208&amp;"%",""))))</f>
        <v/>
      </c>
      <c r="AN208" s="40" t="str">
        <f aca="false">IF(OR(OR(NOT(AND(ISNUMBER(E208),ISNUMBER(F208))),$J$2=""),2&gt;MAX(1,Reprogramaciones!$U$15)),"",IF(Reprogramaciones!L$12&gt;=7,"",IF(OR(BU208-N(BT208)&gt;0.05,N(R208)&gt;0),ROUNDDOWN(ROUND(BU208,6),0)&amp;"%"&amp;IF(CK208="",""," / "&amp;CK208&amp;"%"),IF(AND(N(BT208)&gt;=99.95,CK208&lt;&gt;"",N(CK208)&lt;100),"Pend. "&amp;CK208&amp;"%",""))))</f>
        <v/>
      </c>
      <c r="AO208" s="40" t="str">
        <f aca="false">IF(OR(OR(NOT(AND(ISNUMBER(E208),ISNUMBER(F208))),$J$2=""),3&gt;MAX(1,Reprogramaciones!$U$15)),"",IF(Reprogramaciones!M$12&gt;=7,"",IF(OR(BV208-N(BU208)&gt;0.05,N(S208)&gt;0),ROUNDDOWN(ROUND(BV208,6),0)&amp;"%"&amp;IF(CL208="",""," / "&amp;CL208&amp;"%"),IF(AND(N(BU208)&gt;=99.95,CL208&lt;&gt;"",N(CL208)&lt;100),"Pend. "&amp;CL208&amp;"%",""))))</f>
        <v/>
      </c>
      <c r="AP208" s="40" t="str">
        <f aca="false">IF(OR(OR(NOT(AND(ISNUMBER(E208),ISNUMBER(F208))),$J$2=""),4&gt;MAX(1,Reprogramaciones!$U$15)),"",IF(Reprogramaciones!N$12&gt;=7,"",IF(OR(BW208-N(BV208)&gt;0.05,N(T208)&gt;0),ROUNDDOWN(ROUND(BW208,6),0)&amp;"%"&amp;IF(CM208="",""," / "&amp;CM208&amp;"%"),IF(AND(N(BV208)&gt;=99.95,CM208&lt;&gt;"",N(CM208)&lt;100),"Pend. "&amp;CM208&amp;"%",""))))</f>
        <v/>
      </c>
      <c r="AQ208" s="40" t="str">
        <f aca="false">IF(OR(OR(NOT(AND(ISNUMBER(E208),ISNUMBER(F208))),$J$2=""),5&gt;MAX(1,Reprogramaciones!$U$15)),"",IF(Reprogramaciones!O$12&gt;=7,"",IF(OR(BX208-N(BW208)&gt;0.05,N(U208)&gt;0),ROUNDDOWN(ROUND(BX208,6),0)&amp;"%"&amp;IF(CN208="",""," / "&amp;CN208&amp;"%"),IF(AND(N(BW208)&gt;=99.95,CN208&lt;&gt;"",N(CN208)&lt;100),"Pend. "&amp;CN208&amp;"%",""))))</f>
        <v/>
      </c>
      <c r="AR208" s="40" t="str">
        <f aca="false">IF(OR(OR(NOT(AND(ISNUMBER(E208),ISNUMBER(F208))),$J$2=""),6&gt;MAX(1,Reprogramaciones!$U$15)),"",IF(Reprogramaciones!P$12&gt;=7,"",IF(OR(BY208-N(BX208)&gt;0.05,N(V208)&gt;0),ROUNDDOWN(ROUND(BY208,6),0)&amp;"%"&amp;IF(CO208="",""," / "&amp;CO208&amp;"%"),IF(AND(N(BX208)&gt;=99.95,CO208&lt;&gt;"",N(CO208)&lt;100),"Pend. "&amp;CO208&amp;"%",""))))</f>
        <v/>
      </c>
      <c r="AS208" s="40" t="str">
        <f aca="false">IF(OR(OR(NOT(AND(ISNUMBER(E208),ISNUMBER(F208))),$J$2=""),7&gt;MAX(1,Reprogramaciones!$U$15)),"",IF(Reprogramaciones!Q$12&gt;=7,"",IF(OR(BZ208-N(BY208)&gt;0.05,N(W208)&gt;0),ROUNDDOWN(ROUND(BZ208,6),0)&amp;"%"&amp;IF(CP208="",""," / "&amp;CP208&amp;"%"),IF(AND(N(BY208)&gt;=99.95,CP208&lt;&gt;"",N(CP208)&lt;100),"Pend. "&amp;CP208&amp;"%",""))))</f>
        <v/>
      </c>
      <c r="AT208" s="40" t="str">
        <f aca="false">IF(OR(OR(NOT(AND(ISNUMBER(E208),ISNUMBER(F208))),$J$2=""),8&gt;MAX(1,Reprogramaciones!$U$15)),"",IF(Reprogramaciones!R$12&gt;=7,"",IF(OR(CA208-N(BZ208)&gt;0.05,N(X208)&gt;0),ROUNDDOWN(ROUND(CA208,6),0)&amp;"%"&amp;IF(CQ208="",""," / "&amp;CQ208&amp;"%"),IF(AND(N(BZ208)&gt;=99.95,CQ208&lt;&gt;"",N(CQ208)&lt;100),"Pend. "&amp;CQ208&amp;"%",""))))</f>
        <v/>
      </c>
      <c r="AU208" s="40" t="str">
        <f aca="false">IF(OR(OR(NOT(AND(ISNUMBER(E208),ISNUMBER(F208))),$J$2=""),9&gt;MAX(1,Reprogramaciones!$U$15)),"",IF(Reprogramaciones!S$12&gt;=7,"",IF(OR(CB208-N(CA208)&gt;0.05,N(Y208)&gt;0),ROUNDDOWN(ROUND(CB208,6),0)&amp;"%"&amp;IF(CR208="",""," / "&amp;CR208&amp;"%"),IF(AND(N(CA208)&gt;=99.95,CR208&lt;&gt;"",N(CR208)&lt;100),"Pend. "&amp;CR208&amp;"%",""))))</f>
        <v/>
      </c>
      <c r="AV208" s="40" t="str">
        <f aca="false">IF(OR(OR(NOT(AND(ISNUMBER(E208),ISNUMBER(F208))),$J$2=""),10&gt;MAX(1,Reprogramaciones!$U$15)),"",IF(Reprogramaciones!T$12&gt;=7,"",IF(OR(CC208-N(CB208)&gt;0.05,N(Z208)&gt;0),ROUNDDOWN(ROUND(CC208,6),0)&amp;"%"&amp;IF(CS208="",""," / "&amp;CS208&amp;"%"),IF(AND(N(CB208)&gt;=99.95,CS208&lt;&gt;"",N(CS208)&lt;100),"Pend. "&amp;CS208&amp;"%",""))))</f>
        <v/>
      </c>
      <c r="AW208" s="40" t="str">
        <f aca="false">IF(OR(OR(NOT(AND(ISNUMBER(E208),ISNUMBER(F208))),$J$2=""),11&gt;MAX(1,Reprogramaciones!$U$15)),"",IF(Reprogramaciones!U$12&gt;=7,"",IF(OR(CD208-N(CC208)&gt;0.05,N(AA208)&gt;0),ROUNDDOWN(ROUND(CD208,6),0)&amp;"%"&amp;IF(CT208="",""," / "&amp;CT208&amp;"%"),IF(AND(N(CC208)&gt;=99.95,CT208&lt;&gt;"",N(CT208)&lt;100),"Pend. "&amp;CT208&amp;"%",""))))</f>
        <v/>
      </c>
      <c r="AX208" s="40" t="str">
        <f aca="false">IF(OR(OR(NOT(AND(ISNUMBER(E208),ISNUMBER(F208))),$J$2=""),12&gt;MAX(1,Reprogramaciones!$U$15)),"",IF(Reprogramaciones!V$12&gt;=7,"",IF(OR(CE208-N(CD208)&gt;0.05,N(AB208)&gt;0),ROUNDDOWN(ROUND(CE208,6),0)&amp;"%"&amp;IF(CU208="",""," / "&amp;CU208&amp;"%"),IF(AND(N(CD208)&gt;=99.95,CU208&lt;&gt;"",N(CU208)&lt;100),"Pend. "&amp;CU208&amp;"%",""))))</f>
        <v/>
      </c>
      <c r="AY208" s="40" t="str">
        <f aca="false">IF(OR(OR(NOT(AND(ISNUMBER(E208),ISNUMBER(F208))),$J$2=""),13&gt;MAX(1,Reprogramaciones!$U$15)),"",IF(Reprogramaciones!W$12&gt;=7,"",IF(OR(CF208-N(CE208)&gt;0.05,N(AC208)&gt;0),ROUNDDOWN(ROUND(CF208,6),0)&amp;"%"&amp;IF(CV208="",""," / "&amp;CV208&amp;"%"),IF(AND(N(CE208)&gt;=99.95,CV208&lt;&gt;"",N(CV208)&lt;100),"Pend. "&amp;CV208&amp;"%",""))))</f>
        <v/>
      </c>
      <c r="AZ208" s="40" t="str">
        <f aca="false">IF(OR(OR(NOT(AND(ISNUMBER(E208),ISNUMBER(F208))),$J$2=""),14&gt;MAX(1,Reprogramaciones!$U$15)),"",IF(Reprogramaciones!X$12&gt;=7,"",IF(OR(CG208-N(CF208)&gt;0.05,N(AD208)&gt;0),ROUNDDOWN(ROUND(CG208,6),0)&amp;"%"&amp;IF(CW208="",""," / "&amp;CW208&amp;"%"),IF(AND(N(CF208)&gt;=99.95,CW208&lt;&gt;"",N(CW208)&lt;100),"Pend. "&amp;CW208&amp;"%",""))))</f>
        <v/>
      </c>
      <c r="BA208" s="40" t="str">
        <f aca="false">IF(OR(OR(NOT(AND(ISNUMBER(E208),ISNUMBER(F208))),$J$2=""),15&gt;MAX(1,Reprogramaciones!$U$15)),"",IF(Reprogramaciones!Y$12&gt;=7,"",IF(OR(CH208-N(CG208)&gt;0.05,N(AE208)&gt;0),ROUNDDOWN(ROUND(CH208,6),0)&amp;"%"&amp;IF(CX208="",""," / "&amp;CX208&amp;"%"),IF(AND(N(CG208)&gt;=99.95,CX208&lt;&gt;"",N(CX208)&lt;100),"Pend. "&amp;CX208&amp;"%",""))))</f>
        <v/>
      </c>
      <c r="BB208" s="40" t="str">
        <f aca="false">IF(OR(OR(NOT(AND(ISNUMBER(E208),ISNUMBER(F208))),$J$2=""),16&gt;MAX(1,Reprogramaciones!$U$15)),"",IF(Reprogramaciones!Z$12&gt;=7,"",IF(OR(CI208-N(CH208)&gt;0.05,N(AF208)&gt;0),ROUNDDOWN(ROUND(CI208,6),0)&amp;"%"&amp;IF(CY208="",""," / "&amp;CY208&amp;"%"),IF(AND(N(CH208)&gt;=99.95,CY208&lt;&gt;"",N(CY208)&lt;100),"Pend. "&amp;CY208&amp;"%",""))))</f>
        <v/>
      </c>
      <c r="BC208" s="31" t="n">
        <f aca="false">IF(AND(ISNUMBER(E208),ISNUMBER(F208)),MAX(1,NETWORKDAYS.INTL(E208,F208,11)),0)</f>
        <v>0</v>
      </c>
      <c r="BD208" s="1" t="str">
        <f aca="false">IF(OR(NOT(AND(ISNUMBER(E208),ISNUMBER(F208))),$J$2=""),"",MIN(100,ROUND(SUM($G208:G208),1)))</f>
        <v/>
      </c>
      <c r="BE208" s="1" t="str">
        <f aca="false">IF(OR(NOT(AND(ISNUMBER(E208),ISNUMBER(F208))),$J$2=""),"",MIN(100,ROUND(SUM($G208:H208),1)))</f>
        <v/>
      </c>
      <c r="BF208" s="1" t="str">
        <f aca="false">IF(OR(NOT(AND(ISNUMBER(E208),ISNUMBER(F208))),$J$2=""),"",MIN(100,ROUND(SUM($G208:I208),1)))</f>
        <v/>
      </c>
      <c r="BG208" s="1" t="str">
        <f aca="false">IF(OR(NOT(AND(ISNUMBER(E208),ISNUMBER(F208))),$J$2=""),"",MIN(100,ROUND(SUM($G208:J208),1)))</f>
        <v/>
      </c>
      <c r="BH208" s="1" t="str">
        <f aca="false">IF(OR(NOT(AND(ISNUMBER(E208),ISNUMBER(F208))),$J$2=""),"",MIN(100,ROUND(SUM($G208:K208),1)))</f>
        <v/>
      </c>
      <c r="BI208" s="1" t="str">
        <f aca="false">IF(OR(NOT(AND(ISNUMBER(E208),ISNUMBER(F208))),$J$2=""),"",MIN(100,ROUND(SUM($G208:L208),1)))</f>
        <v/>
      </c>
      <c r="BJ208" s="1" t="str">
        <f aca="false">IF(OR(NOT(AND(ISNUMBER(E208),ISNUMBER(F208))),$J$2=""),"",MIN(100,ROUND(SUM($G208:M208),1)))</f>
        <v/>
      </c>
      <c r="BK208" s="1" t="str">
        <f aca="false">IF(OR(NOT(AND(ISNUMBER(E208),ISNUMBER(F208))),$J$2=""),"",MIN(100,ROUND(SUM($G208:N208),1)))</f>
        <v/>
      </c>
      <c r="BL208" s="1" t="str">
        <f aca="false">IF(OR(NOT(AND(ISNUMBER(E208),ISNUMBER(F208))),$J$2=""),"",MIN(100,ROUND(SUM($G208:O208),1)))</f>
        <v/>
      </c>
      <c r="BM208" s="1" t="str">
        <f aca="false">IF(OR(NOT(AND(ISNUMBER(E208),ISNUMBER(F208))),$J$2=""),"",MIN(100,ROUND(SUM($G208:P208),1)))</f>
        <v/>
      </c>
      <c r="BN208" s="1" t="str">
        <f aca="false">IF(OR(NOT(AND(ISNUMBER(E208),ISNUMBER(F208))),$J$2=""),"",MIN(100,ROUND(SUM($G208:P208),1)))</f>
        <v/>
      </c>
      <c r="BO208" s="1" t="str">
        <f aca="false">IF(OR(NOT(AND(ISNUMBER(E208),ISNUMBER(F208))),$J$2=""),"",MIN(100,ROUND(SUM($G208:P208),1)))</f>
        <v/>
      </c>
      <c r="BP208" s="1" t="str">
        <f aca="false">IF(OR(NOT(AND(ISNUMBER(E208),ISNUMBER(F208))),$J$2=""),"",MIN(100,ROUND(SUM($G208:P208),1)))</f>
        <v/>
      </c>
      <c r="BQ208" s="1" t="str">
        <f aca="false">IF(OR(NOT(AND(ISNUMBER(E208),ISNUMBER(F208))),$J$2=""),"",MIN(100,ROUND(SUM($G208:P208),1)))</f>
        <v/>
      </c>
      <c r="BR208" s="1" t="str">
        <f aca="false">IF(OR(NOT(AND(ISNUMBER(E208),ISNUMBER(F208))),$J$2=""),"",MIN(100,ROUND(SUM($G208:P208),1)))</f>
        <v/>
      </c>
      <c r="BS208" s="1" t="str">
        <f aca="false">IF(OR(NOT(AND(ISNUMBER(E208),ISNUMBER(F208))),$J$2=""),"",MIN(100,ROUND(SUM($G208:P208),1)))</f>
        <v/>
      </c>
      <c r="BT208" s="1" t="str">
        <f aca="false">IF(OR(NOT(AND(ISNUMBER(E208),ISNUMBER(F208))),$J$2=""),"",IF(Reprogramaciones!K$13&lt;Reprogramaciones!$T$15,0,IF(Reprogramaciones!K$14&gt;10,MIN(100,SUM($G208:$P208)),MIN(100,SUMPRODUCT((COLUMN($G208:$P208)-COLUMN($G208)+1&lt;Reprogramaciones!K$14)*$G208:$P208)+N(INDEX($G208:$P208,1,Reprogramaciones!K$14))*IF(Reprogramaciones!K$13&gt;=(Reprogramaciones!$T$15+7*(Reprogramaciones!K$14-1))+6,1,IF(MAX(0,NETWORKDAYS.INTL(MAX(E208,(Reprogramaciones!$T$15+7*(Reprogramaciones!K$14-1))),MIN(F208,(Reprogramaciones!$T$15+7*(Reprogramaciones!K$14-1))+6),11))=0,0,MAX(0,NETWORKDAYS.INTL(MAX(E208,(Reprogramaciones!$T$15+7*(Reprogramaciones!K$14-1))),MIN(F208,Reprogramaciones!K$13),11))/MAX(0,NETWORKDAYS.INTL(MAX(E208,(Reprogramaciones!$T$15+7*(Reprogramaciones!K$14-1))),MIN(F208,(Reprogramaciones!$T$15+7*(Reprogramaciones!K$14-1))+6),11))))))))</f>
        <v/>
      </c>
      <c r="BU208" s="1" t="str">
        <f aca="false">IF(OR(NOT(AND(ISNUMBER(E208),ISNUMBER(F208))),$J$2=""),"",IF(Reprogramaciones!L$13&lt;Reprogramaciones!$T$15,0,IF(Reprogramaciones!L$14&gt;10,MIN(100,SUM($G208:$P208)),MIN(100,SUMPRODUCT((COLUMN($G208:$P208)-COLUMN($G208)+1&lt;Reprogramaciones!L$14)*$G208:$P208)+N(INDEX($G208:$P208,1,Reprogramaciones!L$14))*IF(Reprogramaciones!L$13&gt;=(Reprogramaciones!$T$15+7*(Reprogramaciones!L$14-1))+6,1,IF(MAX(0,NETWORKDAYS.INTL(MAX(E208,(Reprogramaciones!$T$15+7*(Reprogramaciones!L$14-1))),MIN(F208,(Reprogramaciones!$T$15+7*(Reprogramaciones!L$14-1))+6),11))=0,0,MAX(0,NETWORKDAYS.INTL(MAX(E208,(Reprogramaciones!$T$15+7*(Reprogramaciones!L$14-1))),MIN(F208,Reprogramaciones!L$13),11))/MAX(0,NETWORKDAYS.INTL(MAX(E208,(Reprogramaciones!$T$15+7*(Reprogramaciones!L$14-1))),MIN(F208,(Reprogramaciones!$T$15+7*(Reprogramaciones!L$14-1))+6),11))))))))</f>
        <v/>
      </c>
      <c r="BV208" s="1" t="str">
        <f aca="false">IF(OR(NOT(AND(ISNUMBER(E208),ISNUMBER(F208))),$J$2=""),"",IF(Reprogramaciones!M$13&lt;Reprogramaciones!$T$15,0,IF(Reprogramaciones!M$14&gt;10,MIN(100,SUM($G208:$P208)),MIN(100,SUMPRODUCT((COLUMN($G208:$P208)-COLUMN($G208)+1&lt;Reprogramaciones!M$14)*$G208:$P208)+N(INDEX($G208:$P208,1,Reprogramaciones!M$14))*IF(Reprogramaciones!M$13&gt;=(Reprogramaciones!$T$15+7*(Reprogramaciones!M$14-1))+6,1,IF(MAX(0,NETWORKDAYS.INTL(MAX(E208,(Reprogramaciones!$T$15+7*(Reprogramaciones!M$14-1))),MIN(F208,(Reprogramaciones!$T$15+7*(Reprogramaciones!M$14-1))+6),11))=0,0,MAX(0,NETWORKDAYS.INTL(MAX(E208,(Reprogramaciones!$T$15+7*(Reprogramaciones!M$14-1))),MIN(F208,Reprogramaciones!M$13),11))/MAX(0,NETWORKDAYS.INTL(MAX(E208,(Reprogramaciones!$T$15+7*(Reprogramaciones!M$14-1))),MIN(F208,(Reprogramaciones!$T$15+7*(Reprogramaciones!M$14-1))+6),11))))))))</f>
        <v/>
      </c>
      <c r="BW208" s="1" t="str">
        <f aca="false">IF(OR(NOT(AND(ISNUMBER(E208),ISNUMBER(F208))),$J$2=""),"",IF(Reprogramaciones!N$13&lt;Reprogramaciones!$T$15,0,IF(Reprogramaciones!N$14&gt;10,MIN(100,SUM($G208:$P208)),MIN(100,SUMPRODUCT((COLUMN($G208:$P208)-COLUMN($G208)+1&lt;Reprogramaciones!N$14)*$G208:$P208)+N(INDEX($G208:$P208,1,Reprogramaciones!N$14))*IF(Reprogramaciones!N$13&gt;=(Reprogramaciones!$T$15+7*(Reprogramaciones!N$14-1))+6,1,IF(MAX(0,NETWORKDAYS.INTL(MAX(E208,(Reprogramaciones!$T$15+7*(Reprogramaciones!N$14-1))),MIN(F208,(Reprogramaciones!$T$15+7*(Reprogramaciones!N$14-1))+6),11))=0,0,MAX(0,NETWORKDAYS.INTL(MAX(E208,(Reprogramaciones!$T$15+7*(Reprogramaciones!N$14-1))),MIN(F208,Reprogramaciones!N$13),11))/MAX(0,NETWORKDAYS.INTL(MAX(E208,(Reprogramaciones!$T$15+7*(Reprogramaciones!N$14-1))),MIN(F208,(Reprogramaciones!$T$15+7*(Reprogramaciones!N$14-1))+6),11))))))))</f>
        <v/>
      </c>
      <c r="BX208" s="1" t="str">
        <f aca="false">IF(OR(NOT(AND(ISNUMBER(E208),ISNUMBER(F208))),$J$2=""),"",IF(Reprogramaciones!O$13&lt;Reprogramaciones!$T$15,0,IF(Reprogramaciones!O$14&gt;10,MIN(100,SUM($G208:$P208)),MIN(100,SUMPRODUCT((COLUMN($G208:$P208)-COLUMN($G208)+1&lt;Reprogramaciones!O$14)*$G208:$P208)+N(INDEX($G208:$P208,1,Reprogramaciones!O$14))*IF(Reprogramaciones!O$13&gt;=(Reprogramaciones!$T$15+7*(Reprogramaciones!O$14-1))+6,1,IF(MAX(0,NETWORKDAYS.INTL(MAX(E208,(Reprogramaciones!$T$15+7*(Reprogramaciones!O$14-1))),MIN(F208,(Reprogramaciones!$T$15+7*(Reprogramaciones!O$14-1))+6),11))=0,0,MAX(0,NETWORKDAYS.INTL(MAX(E208,(Reprogramaciones!$T$15+7*(Reprogramaciones!O$14-1))),MIN(F208,Reprogramaciones!O$13),11))/MAX(0,NETWORKDAYS.INTL(MAX(E208,(Reprogramaciones!$T$15+7*(Reprogramaciones!O$14-1))),MIN(F208,(Reprogramaciones!$T$15+7*(Reprogramaciones!O$14-1))+6),11))))))))</f>
        <v/>
      </c>
      <c r="BY208" s="1" t="str">
        <f aca="false">IF(OR(NOT(AND(ISNUMBER(E208),ISNUMBER(F208))),$J$2=""),"",IF(Reprogramaciones!P$13&lt;Reprogramaciones!$T$15,0,IF(Reprogramaciones!P$14&gt;10,MIN(100,SUM($G208:$P208)),MIN(100,SUMPRODUCT((COLUMN($G208:$P208)-COLUMN($G208)+1&lt;Reprogramaciones!P$14)*$G208:$P208)+N(INDEX($G208:$P208,1,Reprogramaciones!P$14))*IF(Reprogramaciones!P$13&gt;=(Reprogramaciones!$T$15+7*(Reprogramaciones!P$14-1))+6,1,IF(MAX(0,NETWORKDAYS.INTL(MAX(E208,(Reprogramaciones!$T$15+7*(Reprogramaciones!P$14-1))),MIN(F208,(Reprogramaciones!$T$15+7*(Reprogramaciones!P$14-1))+6),11))=0,0,MAX(0,NETWORKDAYS.INTL(MAX(E208,(Reprogramaciones!$T$15+7*(Reprogramaciones!P$14-1))),MIN(F208,Reprogramaciones!P$13),11))/MAX(0,NETWORKDAYS.INTL(MAX(E208,(Reprogramaciones!$T$15+7*(Reprogramaciones!P$14-1))),MIN(F208,(Reprogramaciones!$T$15+7*(Reprogramaciones!P$14-1))+6),11))))))))</f>
        <v/>
      </c>
      <c r="BZ208" s="1" t="str">
        <f aca="false">IF(OR(NOT(AND(ISNUMBER(E208),ISNUMBER(F208))),$J$2=""),"",IF(Reprogramaciones!Q$13&lt;Reprogramaciones!$T$15,0,IF(Reprogramaciones!Q$14&gt;10,MIN(100,SUM($G208:$P208)),MIN(100,SUMPRODUCT((COLUMN($G208:$P208)-COLUMN($G208)+1&lt;Reprogramaciones!Q$14)*$G208:$P208)+N(INDEX($G208:$P208,1,Reprogramaciones!Q$14))*IF(Reprogramaciones!Q$13&gt;=(Reprogramaciones!$T$15+7*(Reprogramaciones!Q$14-1))+6,1,IF(MAX(0,NETWORKDAYS.INTL(MAX(E208,(Reprogramaciones!$T$15+7*(Reprogramaciones!Q$14-1))),MIN(F208,(Reprogramaciones!$T$15+7*(Reprogramaciones!Q$14-1))+6),11))=0,0,MAX(0,NETWORKDAYS.INTL(MAX(E208,(Reprogramaciones!$T$15+7*(Reprogramaciones!Q$14-1))),MIN(F208,Reprogramaciones!Q$13),11))/MAX(0,NETWORKDAYS.INTL(MAX(E208,(Reprogramaciones!$T$15+7*(Reprogramaciones!Q$14-1))),MIN(F208,(Reprogramaciones!$T$15+7*(Reprogramaciones!Q$14-1))+6),11))))))))</f>
        <v/>
      </c>
      <c r="CA208" s="1" t="str">
        <f aca="false">IF(OR(NOT(AND(ISNUMBER(E208),ISNUMBER(F208))),$J$2=""),"",IF(Reprogramaciones!R$13&lt;Reprogramaciones!$T$15,0,IF(Reprogramaciones!R$14&gt;10,MIN(100,SUM($G208:$P208)),MIN(100,SUMPRODUCT((COLUMN($G208:$P208)-COLUMN($G208)+1&lt;Reprogramaciones!R$14)*$G208:$P208)+N(INDEX($G208:$P208,1,Reprogramaciones!R$14))*IF(Reprogramaciones!R$13&gt;=(Reprogramaciones!$T$15+7*(Reprogramaciones!R$14-1))+6,1,IF(MAX(0,NETWORKDAYS.INTL(MAX(E208,(Reprogramaciones!$T$15+7*(Reprogramaciones!R$14-1))),MIN(F208,(Reprogramaciones!$T$15+7*(Reprogramaciones!R$14-1))+6),11))=0,0,MAX(0,NETWORKDAYS.INTL(MAX(E208,(Reprogramaciones!$T$15+7*(Reprogramaciones!R$14-1))),MIN(F208,Reprogramaciones!R$13),11))/MAX(0,NETWORKDAYS.INTL(MAX(E208,(Reprogramaciones!$T$15+7*(Reprogramaciones!R$14-1))),MIN(F208,(Reprogramaciones!$T$15+7*(Reprogramaciones!R$14-1))+6),11))))))))</f>
        <v/>
      </c>
      <c r="CB208" s="1" t="str">
        <f aca="false">IF(OR(NOT(AND(ISNUMBER(E208),ISNUMBER(F208))),$J$2=""),"",IF(Reprogramaciones!S$13&lt;Reprogramaciones!$T$15,0,IF(Reprogramaciones!S$14&gt;10,MIN(100,SUM($G208:$P208)),MIN(100,SUMPRODUCT((COLUMN($G208:$P208)-COLUMN($G208)+1&lt;Reprogramaciones!S$14)*$G208:$P208)+N(INDEX($G208:$P208,1,Reprogramaciones!S$14))*IF(Reprogramaciones!S$13&gt;=(Reprogramaciones!$T$15+7*(Reprogramaciones!S$14-1))+6,1,IF(MAX(0,NETWORKDAYS.INTL(MAX(E208,(Reprogramaciones!$T$15+7*(Reprogramaciones!S$14-1))),MIN(F208,(Reprogramaciones!$T$15+7*(Reprogramaciones!S$14-1))+6),11))=0,0,MAX(0,NETWORKDAYS.INTL(MAX(E208,(Reprogramaciones!$T$15+7*(Reprogramaciones!S$14-1))),MIN(F208,Reprogramaciones!S$13),11))/MAX(0,NETWORKDAYS.INTL(MAX(E208,(Reprogramaciones!$T$15+7*(Reprogramaciones!S$14-1))),MIN(F208,(Reprogramaciones!$T$15+7*(Reprogramaciones!S$14-1))+6),11))))))))</f>
        <v/>
      </c>
      <c r="CC208" s="1" t="str">
        <f aca="false">IF(OR(NOT(AND(ISNUMBER(E208),ISNUMBER(F208))),$J$2=""),"",IF(Reprogramaciones!T$13&lt;Reprogramaciones!$T$15,0,IF(Reprogramaciones!T$14&gt;10,MIN(100,SUM($G208:$P208)),MIN(100,SUMPRODUCT((COLUMN($G208:$P208)-COLUMN($G208)+1&lt;Reprogramaciones!T$14)*$G208:$P208)+N(INDEX($G208:$P208,1,Reprogramaciones!T$14))*IF(Reprogramaciones!T$13&gt;=(Reprogramaciones!$T$15+7*(Reprogramaciones!T$14-1))+6,1,IF(MAX(0,NETWORKDAYS.INTL(MAX(E208,(Reprogramaciones!$T$15+7*(Reprogramaciones!T$14-1))),MIN(F208,(Reprogramaciones!$T$15+7*(Reprogramaciones!T$14-1))+6),11))=0,0,MAX(0,NETWORKDAYS.INTL(MAX(E208,(Reprogramaciones!$T$15+7*(Reprogramaciones!T$14-1))),MIN(F208,Reprogramaciones!T$13),11))/MAX(0,NETWORKDAYS.INTL(MAX(E208,(Reprogramaciones!$T$15+7*(Reprogramaciones!T$14-1))),MIN(F208,(Reprogramaciones!$T$15+7*(Reprogramaciones!T$14-1))+6),11))))))))</f>
        <v/>
      </c>
      <c r="CD208" s="1" t="str">
        <f aca="false">IF(OR(NOT(AND(ISNUMBER(E208),ISNUMBER(F208))),$J$2=""),"",IF(Reprogramaciones!U$13&lt;Reprogramaciones!$T$15,0,IF(Reprogramaciones!U$14&gt;10,MIN(100,SUM($G208:$P208)),MIN(100,SUMPRODUCT((COLUMN($G208:$P208)-COLUMN($G208)+1&lt;Reprogramaciones!U$14)*$G208:$P208)+N(INDEX($G208:$P208,1,Reprogramaciones!U$14))*IF(Reprogramaciones!U$13&gt;=(Reprogramaciones!$T$15+7*(Reprogramaciones!U$14-1))+6,1,IF(MAX(0,NETWORKDAYS.INTL(MAX(E208,(Reprogramaciones!$T$15+7*(Reprogramaciones!U$14-1))),MIN(F208,(Reprogramaciones!$T$15+7*(Reprogramaciones!U$14-1))+6),11))=0,0,MAX(0,NETWORKDAYS.INTL(MAX(E208,(Reprogramaciones!$T$15+7*(Reprogramaciones!U$14-1))),MIN(F208,Reprogramaciones!U$13),11))/MAX(0,NETWORKDAYS.INTL(MAX(E208,(Reprogramaciones!$T$15+7*(Reprogramaciones!U$14-1))),MIN(F208,(Reprogramaciones!$T$15+7*(Reprogramaciones!U$14-1))+6),11))))))))</f>
        <v/>
      </c>
      <c r="CE208" s="1" t="str">
        <f aca="false">IF(OR(NOT(AND(ISNUMBER(E208),ISNUMBER(F208))),$J$2=""),"",IF(Reprogramaciones!V$13&lt;Reprogramaciones!$T$15,0,IF(Reprogramaciones!V$14&gt;10,MIN(100,SUM($G208:$P208)),MIN(100,SUMPRODUCT((COLUMN($G208:$P208)-COLUMN($G208)+1&lt;Reprogramaciones!V$14)*$G208:$P208)+N(INDEX($G208:$P208,1,Reprogramaciones!V$14))*IF(Reprogramaciones!V$13&gt;=(Reprogramaciones!$T$15+7*(Reprogramaciones!V$14-1))+6,1,IF(MAX(0,NETWORKDAYS.INTL(MAX(E208,(Reprogramaciones!$T$15+7*(Reprogramaciones!V$14-1))),MIN(F208,(Reprogramaciones!$T$15+7*(Reprogramaciones!V$14-1))+6),11))=0,0,MAX(0,NETWORKDAYS.INTL(MAX(E208,(Reprogramaciones!$T$15+7*(Reprogramaciones!V$14-1))),MIN(F208,Reprogramaciones!V$13),11))/MAX(0,NETWORKDAYS.INTL(MAX(E208,(Reprogramaciones!$T$15+7*(Reprogramaciones!V$14-1))),MIN(F208,(Reprogramaciones!$T$15+7*(Reprogramaciones!V$14-1))+6),11))))))))</f>
        <v/>
      </c>
      <c r="CF208" s="1" t="str">
        <f aca="false">IF(OR(NOT(AND(ISNUMBER(E208),ISNUMBER(F208))),$J$2=""),"",IF(Reprogramaciones!W$13&lt;Reprogramaciones!$T$15,0,IF(Reprogramaciones!W$14&gt;10,MIN(100,SUM($G208:$P208)),MIN(100,SUMPRODUCT((COLUMN($G208:$P208)-COLUMN($G208)+1&lt;Reprogramaciones!W$14)*$G208:$P208)+N(INDEX($G208:$P208,1,Reprogramaciones!W$14))*IF(Reprogramaciones!W$13&gt;=(Reprogramaciones!$T$15+7*(Reprogramaciones!W$14-1))+6,1,IF(MAX(0,NETWORKDAYS.INTL(MAX(E208,(Reprogramaciones!$T$15+7*(Reprogramaciones!W$14-1))),MIN(F208,(Reprogramaciones!$T$15+7*(Reprogramaciones!W$14-1))+6),11))=0,0,MAX(0,NETWORKDAYS.INTL(MAX(E208,(Reprogramaciones!$T$15+7*(Reprogramaciones!W$14-1))),MIN(F208,Reprogramaciones!W$13),11))/MAX(0,NETWORKDAYS.INTL(MAX(E208,(Reprogramaciones!$T$15+7*(Reprogramaciones!W$14-1))),MIN(F208,(Reprogramaciones!$T$15+7*(Reprogramaciones!W$14-1))+6),11))))))))</f>
        <v/>
      </c>
      <c r="CG208" s="1" t="str">
        <f aca="false">IF(OR(NOT(AND(ISNUMBER(E208),ISNUMBER(F208))),$J$2=""),"",IF(Reprogramaciones!X$13&lt;Reprogramaciones!$T$15,0,IF(Reprogramaciones!X$14&gt;10,MIN(100,SUM($G208:$P208)),MIN(100,SUMPRODUCT((COLUMN($G208:$P208)-COLUMN($G208)+1&lt;Reprogramaciones!X$14)*$G208:$P208)+N(INDEX($G208:$P208,1,Reprogramaciones!X$14))*IF(Reprogramaciones!X$13&gt;=(Reprogramaciones!$T$15+7*(Reprogramaciones!X$14-1))+6,1,IF(MAX(0,NETWORKDAYS.INTL(MAX(E208,(Reprogramaciones!$T$15+7*(Reprogramaciones!X$14-1))),MIN(F208,(Reprogramaciones!$T$15+7*(Reprogramaciones!X$14-1))+6),11))=0,0,MAX(0,NETWORKDAYS.INTL(MAX(E208,(Reprogramaciones!$T$15+7*(Reprogramaciones!X$14-1))),MIN(F208,Reprogramaciones!X$13),11))/MAX(0,NETWORKDAYS.INTL(MAX(E208,(Reprogramaciones!$T$15+7*(Reprogramaciones!X$14-1))),MIN(F208,(Reprogramaciones!$T$15+7*(Reprogramaciones!X$14-1))+6),11))))))))</f>
        <v/>
      </c>
      <c r="CH208" s="1" t="str">
        <f aca="false">IF(OR(NOT(AND(ISNUMBER(E208),ISNUMBER(F208))),$J$2=""),"",IF(Reprogramaciones!Y$13&lt;Reprogramaciones!$T$15,0,IF(Reprogramaciones!Y$14&gt;10,MIN(100,SUM($G208:$P208)),MIN(100,SUMPRODUCT((COLUMN($G208:$P208)-COLUMN($G208)+1&lt;Reprogramaciones!Y$14)*$G208:$P208)+N(INDEX($G208:$P208,1,Reprogramaciones!Y$14))*IF(Reprogramaciones!Y$13&gt;=(Reprogramaciones!$T$15+7*(Reprogramaciones!Y$14-1))+6,1,IF(MAX(0,NETWORKDAYS.INTL(MAX(E208,(Reprogramaciones!$T$15+7*(Reprogramaciones!Y$14-1))),MIN(F208,(Reprogramaciones!$T$15+7*(Reprogramaciones!Y$14-1))+6),11))=0,0,MAX(0,NETWORKDAYS.INTL(MAX(E208,(Reprogramaciones!$T$15+7*(Reprogramaciones!Y$14-1))),MIN(F208,Reprogramaciones!Y$13),11))/MAX(0,NETWORKDAYS.INTL(MAX(E208,(Reprogramaciones!$T$15+7*(Reprogramaciones!Y$14-1))),MIN(F208,(Reprogramaciones!$T$15+7*(Reprogramaciones!Y$14-1))+6),11))))))))</f>
        <v/>
      </c>
      <c r="CI208" s="1" t="str">
        <f aca="false">IF(OR(NOT(AND(ISNUMBER(E208),ISNUMBER(F208))),$J$2=""),"",IF(Reprogramaciones!Z$13&lt;Reprogramaciones!$T$15,0,IF(Reprogramaciones!Z$14&gt;10,MIN(100,SUM($G208:$P208)),MIN(100,SUMPRODUCT((COLUMN($G208:$P208)-COLUMN($G208)+1&lt;Reprogramaciones!Z$14)*$G208:$P208)+N(INDEX($G208:$P208,1,Reprogramaciones!Z$14))*IF(Reprogramaciones!Z$13&gt;=(Reprogramaciones!$T$15+7*(Reprogramaciones!Z$14-1))+6,1,IF(MAX(0,NETWORKDAYS.INTL(MAX(E208,(Reprogramaciones!$T$15+7*(Reprogramaciones!Z$14-1))),MIN(F208,(Reprogramaciones!$T$15+7*(Reprogramaciones!Z$14-1))+6),11))=0,0,MAX(0,NETWORKDAYS.INTL(MAX(E208,(Reprogramaciones!$T$15+7*(Reprogramaciones!Z$14-1))),MIN(F208,Reprogramaciones!Z$13),11))/MAX(0,NETWORKDAYS.INTL(MAX(E208,(Reprogramaciones!$T$15+7*(Reprogramaciones!Z$14-1))),MIN(F208,(Reprogramaciones!$T$15+7*(Reprogramaciones!Z$14-1))+6),11))))))))</f>
        <v/>
      </c>
      <c r="CJ208" s="1" t="str">
        <f aca="false">IF(OR(OR(NOT(AND(ISNUMBER(E208),ISNUMBER(F208))),$J$2=""),1&gt;Reprogramaciones!$K$16),"",IF(ROUND(SUM($Q208:Q208),1)&gt;=99.5,100,MIN(100,ROUND(SUM($Q208:Q208),1))))</f>
        <v/>
      </c>
      <c r="CK208" s="1" t="str">
        <f aca="false">IF(OR(OR(NOT(AND(ISNUMBER(E208),ISNUMBER(F208))),$J$2=""),2&gt;Reprogramaciones!$K$16),"",IF(ROUND(SUM($Q208:R208),1)&gt;=99.5,100,MIN(100,ROUND(SUM($Q208:R208),1))))</f>
        <v/>
      </c>
      <c r="CL208" s="1" t="str">
        <f aca="false">IF(OR(OR(NOT(AND(ISNUMBER(E208),ISNUMBER(F208))),$J$2=""),3&gt;Reprogramaciones!$K$16),"",IF(ROUND(SUM($Q208:S208),1)&gt;=99.5,100,MIN(100,ROUND(SUM($Q208:S208),1))))</f>
        <v/>
      </c>
      <c r="CM208" s="1" t="str">
        <f aca="false">IF(OR(OR(NOT(AND(ISNUMBER(E208),ISNUMBER(F208))),$J$2=""),4&gt;Reprogramaciones!$K$16),"",IF(ROUND(SUM($Q208:T208),1)&gt;=99.5,100,MIN(100,ROUND(SUM($Q208:T208),1))))</f>
        <v/>
      </c>
      <c r="CN208" s="1" t="str">
        <f aca="false">IF(OR(OR(NOT(AND(ISNUMBER(E208),ISNUMBER(F208))),$J$2=""),5&gt;Reprogramaciones!$K$16),"",IF(ROUND(SUM($Q208:U208),1)&gt;=99.5,100,MIN(100,ROUND(SUM($Q208:U208),1))))</f>
        <v/>
      </c>
      <c r="CO208" s="1" t="str">
        <f aca="false">IF(OR(OR(NOT(AND(ISNUMBER(E208),ISNUMBER(F208))),$J$2=""),6&gt;Reprogramaciones!$K$16),"",IF(ROUND(SUM($Q208:V208),1)&gt;=99.5,100,MIN(100,ROUND(SUM($Q208:V208),1))))</f>
        <v/>
      </c>
      <c r="CP208" s="1" t="str">
        <f aca="false">IF(OR(OR(NOT(AND(ISNUMBER(E208),ISNUMBER(F208))),$J$2=""),7&gt;Reprogramaciones!$K$16),"",IF(ROUND(SUM($Q208:W208),1)&gt;=99.5,100,MIN(100,ROUND(SUM($Q208:W208),1))))</f>
        <v/>
      </c>
      <c r="CQ208" s="1" t="str">
        <f aca="false">IF(OR(OR(NOT(AND(ISNUMBER(E208),ISNUMBER(F208))),$J$2=""),8&gt;Reprogramaciones!$K$16),"",IF(ROUND(SUM($Q208:X208),1)&gt;=99.5,100,MIN(100,ROUND(SUM($Q208:X208),1))))</f>
        <v/>
      </c>
      <c r="CR208" s="1" t="str">
        <f aca="false">IF(OR(OR(NOT(AND(ISNUMBER(E208),ISNUMBER(F208))),$J$2=""),9&gt;Reprogramaciones!$K$16),"",IF(ROUND(SUM($Q208:Y208),1)&gt;=99.5,100,MIN(100,ROUND(SUM($Q208:Y208),1))))</f>
        <v/>
      </c>
      <c r="CS208" s="1" t="str">
        <f aca="false">IF(OR(OR(NOT(AND(ISNUMBER(E208),ISNUMBER(F208))),$J$2=""),10&gt;Reprogramaciones!$K$16),"",IF(ROUND(SUM($Q208:Z208),1)&gt;=99.5,100,MIN(100,ROUND(SUM($Q208:Z208),1))))</f>
        <v/>
      </c>
      <c r="CT208" s="1" t="str">
        <f aca="false">IF(OR(OR(NOT(AND(ISNUMBER(E208),ISNUMBER(F208))),$J$2=""),11&gt;Reprogramaciones!$K$16),"",IF(ROUND(SUM($Q208:AA208),1)&gt;=99.5,100,MIN(100,ROUND(SUM($Q208:AA208),1))))</f>
        <v/>
      </c>
      <c r="CU208" s="1" t="str">
        <f aca="false">IF(OR(OR(NOT(AND(ISNUMBER(E208),ISNUMBER(F208))),$J$2=""),12&gt;Reprogramaciones!$K$16),"",IF(ROUND(SUM($Q208:AB208),1)&gt;=99.5,100,MIN(100,ROUND(SUM($Q208:AB208),1))))</f>
        <v/>
      </c>
      <c r="CV208" s="1" t="str">
        <f aca="false">IF(OR(OR(NOT(AND(ISNUMBER(E208),ISNUMBER(F208))),$J$2=""),13&gt;Reprogramaciones!$K$16),"",IF(ROUND(SUM($Q208:AC208),1)&gt;=99.5,100,MIN(100,ROUND(SUM($Q208:AC208),1))))</f>
        <v/>
      </c>
      <c r="CW208" s="1" t="str">
        <f aca="false">IF(OR(OR(NOT(AND(ISNUMBER(E208),ISNUMBER(F208))),$J$2=""),14&gt;Reprogramaciones!$K$16),"",IF(ROUND(SUM($Q208:AD208),1)&gt;=99.5,100,MIN(100,ROUND(SUM($Q208:AD208),1))))</f>
        <v/>
      </c>
      <c r="CX208" s="1" t="str">
        <f aca="false">IF(OR(OR(NOT(AND(ISNUMBER(E208),ISNUMBER(F208))),$J$2=""),15&gt;Reprogramaciones!$K$16),"",IF(ROUND(SUM($Q208:AE208),1)&gt;=99.5,100,MIN(100,ROUND(SUM($Q208:AE208),1))))</f>
        <v/>
      </c>
      <c r="CY208" s="1" t="str">
        <f aca="false">IF(OR(OR(NOT(AND(ISNUMBER(E208),ISNUMBER(F208))),$J$2=""),16&gt;Reprogramaciones!$K$16),"",IF(ROUND(SUM($Q208:AF208),1)&gt;=99.5,100,MIN(100,ROUND(SUM($Q208:AF208),1))))</f>
        <v/>
      </c>
      <c r="CZ208" s="1" t="str">
        <f aca="false">IF(D208&lt;&gt;"",D208,IF(B208&lt;&gt;"","Contractual",CZ207))</f>
        <v>Contractual</v>
      </c>
      <c r="DA208" s="1" t="str">
        <f aca="false">IF(OR(NOT(AND(ISNUMBER(E208),ISNUMBER(F208))),$J$2=""),"",IF(Reprogramaciones!$Q$15&lt;Reprogramaciones!$T$15,0,IF(Reprogramaciones!$S$15&gt;10,MIN(100,SUM($G208:$P208)),MIN(100,SUMPRODUCT((COLUMN($G208:$P208)-COLUMN($G208)+1&lt;Reprogramaciones!$S$15)*$G208:$P208)+N(INDEX($G208:$P208,1,Reprogramaciones!$S$15))*IF(Reprogramaciones!$Q$15&gt;=(Reprogramaciones!$T$15+7*(Reprogramaciones!$S$15-1))+6,1,IF(MAX(0,NETWORKDAYS.INTL(MAX(E208,(Reprogramaciones!$T$15+7*(Reprogramaciones!$S$15-1))),MIN(F208,(Reprogramaciones!$T$15+7*(Reprogramaciones!$S$15-1))+6),11))=0,0,MAX(0,NETWORKDAYS.INTL(MAX(E208,(Reprogramaciones!$T$15+7*(Reprogramaciones!$S$15-1))),MIN(F208,Reprogramaciones!$Q$15),11))/MAX(0,NETWORKDAYS.INTL(MAX(E208,(Reprogramaciones!$T$15+7*(Reprogramaciones!$S$15-1))),MIN(F208,(Reprogramaciones!$T$15+7*(Reprogramaciones!$S$15-1))+6),11))))))))</f>
        <v/>
      </c>
    </row>
    <row r="209" customFormat="false" ht="15" hidden="false" customHeight="false" outlineLevel="0" collapsed="false">
      <c r="A209" s="32"/>
      <c r="B209" s="33"/>
      <c r="C209" s="33"/>
      <c r="D209" s="34"/>
      <c r="E209" s="35"/>
      <c r="F209" s="35"/>
      <c r="G209" s="36" t="str">
        <f aca="false">IF(OR(NOT(AND(ISNUMBER(E209),ISNUMBER(F209))),$J$2=""),"",IF(Reprogramaciones!K$9&lt;E209,0,IF(NETWORKDAYS.INTL(E209,F209,11)=0,IF(Reprogramaciones!K$9&gt;=F209,100,0),ROUND(NETWORKDAYS.INTL(E209,MIN(F209,Reprogramaciones!K$9),11)/NETWORKDAYS.INTL(E209,F209,11)*100,1)))-0)</f>
        <v/>
      </c>
      <c r="H209" s="36" t="str">
        <f aca="false">IF(OR(NOT(AND(ISNUMBER(E209),ISNUMBER(F209))),$J$2=""),"",IF(Reprogramaciones!L$9&lt;E209,0,IF(NETWORKDAYS.INTL(E209,F209,11)=0,IF(Reprogramaciones!L$9&gt;=F209,100,0),ROUND(NETWORKDAYS.INTL(E209,MIN(F209,Reprogramaciones!L$9),11)/NETWORKDAYS.INTL(E209,F209,11)*100,1)))-IF(Reprogramaciones!K$9&lt;E209,0,IF(NETWORKDAYS.INTL(E209,F209,11)=0,IF(Reprogramaciones!K$9&gt;=F209,100,0),ROUND(NETWORKDAYS.INTL(E209,MIN(F209,Reprogramaciones!K$9),11)/NETWORKDAYS.INTL(E209,F209,11)*100,1))))</f>
        <v/>
      </c>
      <c r="I209" s="36" t="str">
        <f aca="false">IF(OR(NOT(AND(ISNUMBER(E209),ISNUMBER(F209))),$J$2=""),"",IF(Reprogramaciones!M$9&lt;E209,0,IF(NETWORKDAYS.INTL(E209,F209,11)=0,IF(Reprogramaciones!M$9&gt;=F209,100,0),ROUND(NETWORKDAYS.INTL(E209,MIN(F209,Reprogramaciones!M$9),11)/NETWORKDAYS.INTL(E209,F209,11)*100,1)))-IF(Reprogramaciones!L$9&lt;E209,0,IF(NETWORKDAYS.INTL(E209,F209,11)=0,IF(Reprogramaciones!L$9&gt;=F209,100,0),ROUND(NETWORKDAYS.INTL(E209,MIN(F209,Reprogramaciones!L$9),11)/NETWORKDAYS.INTL(E209,F209,11)*100,1))))</f>
        <v/>
      </c>
      <c r="J209" s="36" t="str">
        <f aca="false">IF(OR(NOT(AND(ISNUMBER(E209),ISNUMBER(F209))),$J$2=""),"",IF(Reprogramaciones!N$9&lt;E209,0,IF(NETWORKDAYS.INTL(E209,F209,11)=0,IF(Reprogramaciones!N$9&gt;=F209,100,0),ROUND(NETWORKDAYS.INTL(E209,MIN(F209,Reprogramaciones!N$9),11)/NETWORKDAYS.INTL(E209,F209,11)*100,1)))-IF(Reprogramaciones!M$9&lt;E209,0,IF(NETWORKDAYS.INTL(E209,F209,11)=0,IF(Reprogramaciones!M$9&gt;=F209,100,0),ROUND(NETWORKDAYS.INTL(E209,MIN(F209,Reprogramaciones!M$9),11)/NETWORKDAYS.INTL(E209,F209,11)*100,1))))</f>
        <v/>
      </c>
      <c r="K209" s="36" t="str">
        <f aca="false">IF(OR(NOT(AND(ISNUMBER(E209),ISNUMBER(F209))),$J$2=""),"",IF(Reprogramaciones!O$9&lt;E209,0,IF(NETWORKDAYS.INTL(E209,F209,11)=0,IF(Reprogramaciones!O$9&gt;=F209,100,0),ROUND(NETWORKDAYS.INTL(E209,MIN(F209,Reprogramaciones!O$9),11)/NETWORKDAYS.INTL(E209,F209,11)*100,1)))-IF(Reprogramaciones!N$9&lt;E209,0,IF(NETWORKDAYS.INTL(E209,F209,11)=0,IF(Reprogramaciones!N$9&gt;=F209,100,0),ROUND(NETWORKDAYS.INTL(E209,MIN(F209,Reprogramaciones!N$9),11)/NETWORKDAYS.INTL(E209,F209,11)*100,1))))</f>
        <v/>
      </c>
      <c r="L209" s="36" t="str">
        <f aca="false">IF(OR(NOT(AND(ISNUMBER(E209),ISNUMBER(F209))),$J$2=""),"",IF(Reprogramaciones!P$9&lt;E209,0,IF(NETWORKDAYS.INTL(E209,F209,11)=0,IF(Reprogramaciones!P$9&gt;=F209,100,0),ROUND(NETWORKDAYS.INTL(E209,MIN(F209,Reprogramaciones!P$9),11)/NETWORKDAYS.INTL(E209,F209,11)*100,1)))-IF(Reprogramaciones!O$9&lt;E209,0,IF(NETWORKDAYS.INTL(E209,F209,11)=0,IF(Reprogramaciones!O$9&gt;=F209,100,0),ROUND(NETWORKDAYS.INTL(E209,MIN(F209,Reprogramaciones!O$9),11)/NETWORKDAYS.INTL(E209,F209,11)*100,1))))</f>
        <v/>
      </c>
      <c r="M209" s="36" t="str">
        <f aca="false">IF(OR(NOT(AND(ISNUMBER(E209),ISNUMBER(F209))),$J$2=""),"",IF(Reprogramaciones!Q$9&lt;E209,0,IF(NETWORKDAYS.INTL(E209,F209,11)=0,IF(Reprogramaciones!Q$9&gt;=F209,100,0),ROUND(NETWORKDAYS.INTL(E209,MIN(F209,Reprogramaciones!Q$9),11)/NETWORKDAYS.INTL(E209,F209,11)*100,1)))-IF(Reprogramaciones!P$9&lt;E209,0,IF(NETWORKDAYS.INTL(E209,F209,11)=0,IF(Reprogramaciones!P$9&gt;=F209,100,0),ROUND(NETWORKDAYS.INTL(E209,MIN(F209,Reprogramaciones!P$9),11)/NETWORKDAYS.INTL(E209,F209,11)*100,1))))</f>
        <v/>
      </c>
      <c r="N209" s="36" t="str">
        <f aca="false">IF(OR(NOT(AND(ISNUMBER(E209),ISNUMBER(F209))),$J$2=""),"",IF(Reprogramaciones!R$9&lt;E209,0,IF(NETWORKDAYS.INTL(E209,F209,11)=0,IF(Reprogramaciones!R$9&gt;=F209,100,0),ROUND(NETWORKDAYS.INTL(E209,MIN(F209,Reprogramaciones!R$9),11)/NETWORKDAYS.INTL(E209,F209,11)*100,1)))-IF(Reprogramaciones!Q$9&lt;E209,0,IF(NETWORKDAYS.INTL(E209,F209,11)=0,IF(Reprogramaciones!Q$9&gt;=F209,100,0),ROUND(NETWORKDAYS.INTL(E209,MIN(F209,Reprogramaciones!Q$9),11)/NETWORKDAYS.INTL(E209,F209,11)*100,1))))</f>
        <v/>
      </c>
      <c r="O209" s="36" t="str">
        <f aca="false">IF(OR(NOT(AND(ISNUMBER(E209),ISNUMBER(F209))),$J$2=""),"",IF(Reprogramaciones!S$9&lt;E209,0,IF(NETWORKDAYS.INTL(E209,F209,11)=0,IF(Reprogramaciones!S$9&gt;=F209,100,0),ROUND(NETWORKDAYS.INTL(E209,MIN(F209,Reprogramaciones!S$9),11)/NETWORKDAYS.INTL(E209,F209,11)*100,1)))-IF(Reprogramaciones!R$9&lt;E209,0,IF(NETWORKDAYS.INTL(E209,F209,11)=0,IF(Reprogramaciones!R$9&gt;=F209,100,0),ROUND(NETWORKDAYS.INTL(E209,MIN(F209,Reprogramaciones!R$9),11)/NETWORKDAYS.INTL(E209,F209,11)*100,1))))</f>
        <v/>
      </c>
      <c r="P209" s="36" t="str">
        <f aca="false">IF(OR(NOT(AND(ISNUMBER(E209),ISNUMBER(F209))),$J$2=""),"",IF(Reprogramaciones!T$9&lt;E209,0,IF(NETWORKDAYS.INTL(E209,F209,11)=0,IF(Reprogramaciones!T$9&gt;=F209,100,0),ROUND(NETWORKDAYS.INTL(E209,MIN(F209,Reprogramaciones!T$9),11)/NETWORKDAYS.INTL(E209,F209,11)*100,1)))-IF(Reprogramaciones!S$9&lt;E209,0,IF(NETWORKDAYS.INTL(E209,F209,11)=0,IF(Reprogramaciones!S$9&gt;=F209,100,0),ROUND(NETWORKDAYS.INTL(E209,MIN(F209,Reprogramaciones!S$9),11)/NETWORKDAYS.INTL(E209,F209,11)*100,1))))</f>
        <v/>
      </c>
      <c r="Q209" s="37"/>
      <c r="R209" s="37"/>
      <c r="S209" s="37"/>
      <c r="T209" s="37"/>
      <c r="U209" s="37"/>
      <c r="V209" s="37"/>
      <c r="W209" s="37"/>
      <c r="X209" s="37"/>
      <c r="Y209" s="37"/>
      <c r="Z209" s="37"/>
      <c r="AA209" s="37"/>
      <c r="AB209" s="37"/>
      <c r="AC209" s="37"/>
      <c r="AD209" s="37"/>
      <c r="AE209" s="37"/>
      <c r="AF209" s="37"/>
      <c r="AG209" s="38" t="str">
        <f aca="false">IF(AND(ISNUMBER(E209),ISNUMBER(F209)),NETWORKDAYS.INTL(E209,F209,11),"")</f>
        <v/>
      </c>
      <c r="AH209" s="38" t="str">
        <f aca="false">IF(OR(NOT(AND(ISNUMBER(E209),ISNUMBER(F209))),$J$2=""),"",IF(Reprogramaciones!$P$15&lt;Reprogramaciones!$T$15,0,IF(Reprogramaciones!$R$15&gt;10,MIN(100,SUM($G209:$P209)),MIN(100,SUMPRODUCT((COLUMN($G209:$P209)-COLUMN($G209)+1&lt;Reprogramaciones!$R$15)*$G209:$P209)+N(INDEX($G209:$P209,1,Reprogramaciones!$R$15))*IF(Reprogramaciones!$P$15&gt;=(Reprogramaciones!$T$15+7*(Reprogramaciones!$R$15-1))+6,1,IF(MAX(0,NETWORKDAYS.INTL(MAX(E209,(Reprogramaciones!$T$15+7*(Reprogramaciones!$R$15-1))),MIN(F209,(Reprogramaciones!$T$15+7*(Reprogramaciones!$R$15-1))+6),11))=0,0,MAX(0,NETWORKDAYS.INTL(MAX(E209,(Reprogramaciones!$T$15+7*(Reprogramaciones!$R$15-1))),MIN(F209,Reprogramaciones!$P$15),11))/MAX(0,NETWORKDAYS.INTL(MAX(E209,(Reprogramaciones!$T$15+7*(Reprogramaciones!$R$15-1))),MIN(F209,(Reprogramaciones!$T$15+7*(Reprogramaciones!$R$15-1))+6),11))))))))</f>
        <v/>
      </c>
      <c r="AI209" s="38" t="str">
        <f aca="false">IF(COUNT($Q209:$AF209)=0,"",IF(ROUND(SUM($Q209:$AF209),1)&gt;=99.5,100,MIN(100,ROUND(SUM($Q209:$AF209),1))))</f>
        <v/>
      </c>
      <c r="AJ209" s="38" t="str">
        <f aca="false">IF(OR(AH209="",AI209=""),"",AI209-AH209)</f>
        <v/>
      </c>
      <c r="AK209" s="39" t="str">
        <f aca="true">IF(AH209="","",IF(OR(Ficha!$C$10="Suspendida",Ficha!$C$10="Cancelada"),Ficha!$C$10,IF(AND(AI209&lt;&gt;"",N(AI209)&gt;=100),"Completada",IF(AND(E209&gt;TODAY(),N(AI209)=0),"Por iniciar",IF(N(AI209)+0.5&lt;AH209,"Retrasada",IF(N(AI209)+0.5&lt;DA209,IF(Reprogramaciones!$K$15&gt;0,"Al día · Sem "&amp;Reprogramaciones!$K$15&amp;" en curso","Al día · en curso"),"A tiempo"))))))</f>
        <v/>
      </c>
      <c r="AL209" s="39" t="str">
        <f aca="true">IF(AND(A209="",AND(B209="",C209="",E209="",F209="",COUNT(Q209:AF209)=0)),"",IF(AND(B209="",C209="",E209="",F209="",COUNT(Q209:AF209)=0),"Falta la partida o subpartida",IF(AND(A209&lt;&gt;"",COUNTIF($A$6:$A$305,A209)&gt;1),"Ítem repetido",IF(AND(C209="",E209="",F209="",COUNT(Q209:AF209)=0),"Título de partida",IF(OR(E209="",F209=""),"Faltan fechas",IF(OR(ISTEXT(E209),ISTEXT(F209)),"Fecha escrita como texto: usa dd/mm/aaaa",IF(F209&lt;E209,"Fin antes del inicio",IF(IF($J$2="",FALSE(),OR(E209&lt;$J$2,F209&gt;Reprogramaciones!$T$15+69)),"Fuera de las 10 semanas",IF(ABS(SUM(G209:P209)-100)&gt;0.5,"La meta no suma 100%",IF(ROUND(SUM(Q209:AF209),1)&gt;100.5,"El avance pasa de 100%",IF(MIN(Q209:AF209)&lt;0,"Avance negativo",IF(COUNTA(Q209:AF209)&gt;COUNT(Q209:AF209),"Avance escrito como texto",IF(SUMPRODUCT((Q209:AF209&gt;0)*(Q209:AF209&lt;1))&gt;0,"Avance menor a 1: escribe 50, no 50%",IF(SUMPRODUCT(ISNUMBER(Q209:AF209)*(Reprogramaciones!$K$8:$Z$8&gt;TODAY()))&gt;0,"Avance en semana que aún no llega",IF(AND(N(Reprogramaciones!$E$21)&gt;0,F209&gt;Reprogramaciones!$E$21),"Pasa el fin de la obra: registra una reprogramación",IF(AND(N(Reprogramaciones!$E$21)&gt;0,SUMPRODUCT(ISNUMBER(Q209:AF209)*(Reprogramaciones!$K$8:$Z$8&gt;Reprogramaciones!$E$21))&gt;0),"Avance después del fin de la obra: registra una reprogramación por atraso","OK"))))))))))))))))</f>
        <v/>
      </c>
      <c r="AM209" s="40" t="str">
        <f aca="false">IF(OR(OR(NOT(AND(ISNUMBER(E209),ISNUMBER(F209))),$J$2=""),1&gt;MAX(1,Reprogramaciones!$U$15)),"",IF(Reprogramaciones!K$12&gt;=7,"",IF(OR(BT209-N(0)&gt;0.05,N(Q209)&gt;0),ROUNDDOWN(ROUND(BT209,6),0)&amp;"%"&amp;IF(CJ209="",""," / "&amp;CJ209&amp;"%"),IF(AND(N(0)&gt;=99.95,CJ209&lt;&gt;"",N(CJ209)&lt;100),"Pend. "&amp;CJ209&amp;"%",""))))</f>
        <v/>
      </c>
      <c r="AN209" s="40" t="str">
        <f aca="false">IF(OR(OR(NOT(AND(ISNUMBER(E209),ISNUMBER(F209))),$J$2=""),2&gt;MAX(1,Reprogramaciones!$U$15)),"",IF(Reprogramaciones!L$12&gt;=7,"",IF(OR(BU209-N(BT209)&gt;0.05,N(R209)&gt;0),ROUNDDOWN(ROUND(BU209,6),0)&amp;"%"&amp;IF(CK209="",""," / "&amp;CK209&amp;"%"),IF(AND(N(BT209)&gt;=99.95,CK209&lt;&gt;"",N(CK209)&lt;100),"Pend. "&amp;CK209&amp;"%",""))))</f>
        <v/>
      </c>
      <c r="AO209" s="40" t="str">
        <f aca="false">IF(OR(OR(NOT(AND(ISNUMBER(E209),ISNUMBER(F209))),$J$2=""),3&gt;MAX(1,Reprogramaciones!$U$15)),"",IF(Reprogramaciones!M$12&gt;=7,"",IF(OR(BV209-N(BU209)&gt;0.05,N(S209)&gt;0),ROUNDDOWN(ROUND(BV209,6),0)&amp;"%"&amp;IF(CL209="",""," / "&amp;CL209&amp;"%"),IF(AND(N(BU209)&gt;=99.95,CL209&lt;&gt;"",N(CL209)&lt;100),"Pend. "&amp;CL209&amp;"%",""))))</f>
        <v/>
      </c>
      <c r="AP209" s="40" t="str">
        <f aca="false">IF(OR(OR(NOT(AND(ISNUMBER(E209),ISNUMBER(F209))),$J$2=""),4&gt;MAX(1,Reprogramaciones!$U$15)),"",IF(Reprogramaciones!N$12&gt;=7,"",IF(OR(BW209-N(BV209)&gt;0.05,N(T209)&gt;0),ROUNDDOWN(ROUND(BW209,6),0)&amp;"%"&amp;IF(CM209="",""," / "&amp;CM209&amp;"%"),IF(AND(N(BV209)&gt;=99.95,CM209&lt;&gt;"",N(CM209)&lt;100),"Pend. "&amp;CM209&amp;"%",""))))</f>
        <v/>
      </c>
      <c r="AQ209" s="40" t="str">
        <f aca="false">IF(OR(OR(NOT(AND(ISNUMBER(E209),ISNUMBER(F209))),$J$2=""),5&gt;MAX(1,Reprogramaciones!$U$15)),"",IF(Reprogramaciones!O$12&gt;=7,"",IF(OR(BX209-N(BW209)&gt;0.05,N(U209)&gt;0),ROUNDDOWN(ROUND(BX209,6),0)&amp;"%"&amp;IF(CN209="",""," / "&amp;CN209&amp;"%"),IF(AND(N(BW209)&gt;=99.95,CN209&lt;&gt;"",N(CN209)&lt;100),"Pend. "&amp;CN209&amp;"%",""))))</f>
        <v/>
      </c>
      <c r="AR209" s="40" t="str">
        <f aca="false">IF(OR(OR(NOT(AND(ISNUMBER(E209),ISNUMBER(F209))),$J$2=""),6&gt;MAX(1,Reprogramaciones!$U$15)),"",IF(Reprogramaciones!P$12&gt;=7,"",IF(OR(BY209-N(BX209)&gt;0.05,N(V209)&gt;0),ROUNDDOWN(ROUND(BY209,6),0)&amp;"%"&amp;IF(CO209="",""," / "&amp;CO209&amp;"%"),IF(AND(N(BX209)&gt;=99.95,CO209&lt;&gt;"",N(CO209)&lt;100),"Pend. "&amp;CO209&amp;"%",""))))</f>
        <v/>
      </c>
      <c r="AS209" s="40" t="str">
        <f aca="false">IF(OR(OR(NOT(AND(ISNUMBER(E209),ISNUMBER(F209))),$J$2=""),7&gt;MAX(1,Reprogramaciones!$U$15)),"",IF(Reprogramaciones!Q$12&gt;=7,"",IF(OR(BZ209-N(BY209)&gt;0.05,N(W209)&gt;0),ROUNDDOWN(ROUND(BZ209,6),0)&amp;"%"&amp;IF(CP209="",""," / "&amp;CP209&amp;"%"),IF(AND(N(BY209)&gt;=99.95,CP209&lt;&gt;"",N(CP209)&lt;100),"Pend. "&amp;CP209&amp;"%",""))))</f>
        <v/>
      </c>
      <c r="AT209" s="40" t="str">
        <f aca="false">IF(OR(OR(NOT(AND(ISNUMBER(E209),ISNUMBER(F209))),$J$2=""),8&gt;MAX(1,Reprogramaciones!$U$15)),"",IF(Reprogramaciones!R$12&gt;=7,"",IF(OR(CA209-N(BZ209)&gt;0.05,N(X209)&gt;0),ROUNDDOWN(ROUND(CA209,6),0)&amp;"%"&amp;IF(CQ209="",""," / "&amp;CQ209&amp;"%"),IF(AND(N(BZ209)&gt;=99.95,CQ209&lt;&gt;"",N(CQ209)&lt;100),"Pend. "&amp;CQ209&amp;"%",""))))</f>
        <v/>
      </c>
      <c r="AU209" s="40" t="str">
        <f aca="false">IF(OR(OR(NOT(AND(ISNUMBER(E209),ISNUMBER(F209))),$J$2=""),9&gt;MAX(1,Reprogramaciones!$U$15)),"",IF(Reprogramaciones!S$12&gt;=7,"",IF(OR(CB209-N(CA209)&gt;0.05,N(Y209)&gt;0),ROUNDDOWN(ROUND(CB209,6),0)&amp;"%"&amp;IF(CR209="",""," / "&amp;CR209&amp;"%"),IF(AND(N(CA209)&gt;=99.95,CR209&lt;&gt;"",N(CR209)&lt;100),"Pend. "&amp;CR209&amp;"%",""))))</f>
        <v/>
      </c>
      <c r="AV209" s="40" t="str">
        <f aca="false">IF(OR(OR(NOT(AND(ISNUMBER(E209),ISNUMBER(F209))),$J$2=""),10&gt;MAX(1,Reprogramaciones!$U$15)),"",IF(Reprogramaciones!T$12&gt;=7,"",IF(OR(CC209-N(CB209)&gt;0.05,N(Z209)&gt;0),ROUNDDOWN(ROUND(CC209,6),0)&amp;"%"&amp;IF(CS209="",""," / "&amp;CS209&amp;"%"),IF(AND(N(CB209)&gt;=99.95,CS209&lt;&gt;"",N(CS209)&lt;100),"Pend. "&amp;CS209&amp;"%",""))))</f>
        <v/>
      </c>
      <c r="AW209" s="40" t="str">
        <f aca="false">IF(OR(OR(NOT(AND(ISNUMBER(E209),ISNUMBER(F209))),$J$2=""),11&gt;MAX(1,Reprogramaciones!$U$15)),"",IF(Reprogramaciones!U$12&gt;=7,"",IF(OR(CD209-N(CC209)&gt;0.05,N(AA209)&gt;0),ROUNDDOWN(ROUND(CD209,6),0)&amp;"%"&amp;IF(CT209="",""," / "&amp;CT209&amp;"%"),IF(AND(N(CC209)&gt;=99.95,CT209&lt;&gt;"",N(CT209)&lt;100),"Pend. "&amp;CT209&amp;"%",""))))</f>
        <v/>
      </c>
      <c r="AX209" s="40" t="str">
        <f aca="false">IF(OR(OR(NOT(AND(ISNUMBER(E209),ISNUMBER(F209))),$J$2=""),12&gt;MAX(1,Reprogramaciones!$U$15)),"",IF(Reprogramaciones!V$12&gt;=7,"",IF(OR(CE209-N(CD209)&gt;0.05,N(AB209)&gt;0),ROUNDDOWN(ROUND(CE209,6),0)&amp;"%"&amp;IF(CU209="",""," / "&amp;CU209&amp;"%"),IF(AND(N(CD209)&gt;=99.95,CU209&lt;&gt;"",N(CU209)&lt;100),"Pend. "&amp;CU209&amp;"%",""))))</f>
        <v/>
      </c>
      <c r="AY209" s="40" t="str">
        <f aca="false">IF(OR(OR(NOT(AND(ISNUMBER(E209),ISNUMBER(F209))),$J$2=""),13&gt;MAX(1,Reprogramaciones!$U$15)),"",IF(Reprogramaciones!W$12&gt;=7,"",IF(OR(CF209-N(CE209)&gt;0.05,N(AC209)&gt;0),ROUNDDOWN(ROUND(CF209,6),0)&amp;"%"&amp;IF(CV209="",""," / "&amp;CV209&amp;"%"),IF(AND(N(CE209)&gt;=99.95,CV209&lt;&gt;"",N(CV209)&lt;100),"Pend. "&amp;CV209&amp;"%",""))))</f>
        <v/>
      </c>
      <c r="AZ209" s="40" t="str">
        <f aca="false">IF(OR(OR(NOT(AND(ISNUMBER(E209),ISNUMBER(F209))),$J$2=""),14&gt;MAX(1,Reprogramaciones!$U$15)),"",IF(Reprogramaciones!X$12&gt;=7,"",IF(OR(CG209-N(CF209)&gt;0.05,N(AD209)&gt;0),ROUNDDOWN(ROUND(CG209,6),0)&amp;"%"&amp;IF(CW209="",""," / "&amp;CW209&amp;"%"),IF(AND(N(CF209)&gt;=99.95,CW209&lt;&gt;"",N(CW209)&lt;100),"Pend. "&amp;CW209&amp;"%",""))))</f>
        <v/>
      </c>
      <c r="BA209" s="40" t="str">
        <f aca="false">IF(OR(OR(NOT(AND(ISNUMBER(E209),ISNUMBER(F209))),$J$2=""),15&gt;MAX(1,Reprogramaciones!$U$15)),"",IF(Reprogramaciones!Y$12&gt;=7,"",IF(OR(CH209-N(CG209)&gt;0.05,N(AE209)&gt;0),ROUNDDOWN(ROUND(CH209,6),0)&amp;"%"&amp;IF(CX209="",""," / "&amp;CX209&amp;"%"),IF(AND(N(CG209)&gt;=99.95,CX209&lt;&gt;"",N(CX209)&lt;100),"Pend. "&amp;CX209&amp;"%",""))))</f>
        <v/>
      </c>
      <c r="BB209" s="40" t="str">
        <f aca="false">IF(OR(OR(NOT(AND(ISNUMBER(E209),ISNUMBER(F209))),$J$2=""),16&gt;MAX(1,Reprogramaciones!$U$15)),"",IF(Reprogramaciones!Z$12&gt;=7,"",IF(OR(CI209-N(CH209)&gt;0.05,N(AF209)&gt;0),ROUNDDOWN(ROUND(CI209,6),0)&amp;"%"&amp;IF(CY209="",""," / "&amp;CY209&amp;"%"),IF(AND(N(CH209)&gt;=99.95,CY209&lt;&gt;"",N(CY209)&lt;100),"Pend. "&amp;CY209&amp;"%",""))))</f>
        <v/>
      </c>
      <c r="BC209" s="31" t="n">
        <f aca="false">IF(AND(ISNUMBER(E209),ISNUMBER(F209)),MAX(1,NETWORKDAYS.INTL(E209,F209,11)),0)</f>
        <v>0</v>
      </c>
      <c r="BD209" s="1" t="str">
        <f aca="false">IF(OR(NOT(AND(ISNUMBER(E209),ISNUMBER(F209))),$J$2=""),"",MIN(100,ROUND(SUM($G209:G209),1)))</f>
        <v/>
      </c>
      <c r="BE209" s="1" t="str">
        <f aca="false">IF(OR(NOT(AND(ISNUMBER(E209),ISNUMBER(F209))),$J$2=""),"",MIN(100,ROUND(SUM($G209:H209),1)))</f>
        <v/>
      </c>
      <c r="BF209" s="1" t="str">
        <f aca="false">IF(OR(NOT(AND(ISNUMBER(E209),ISNUMBER(F209))),$J$2=""),"",MIN(100,ROUND(SUM($G209:I209),1)))</f>
        <v/>
      </c>
      <c r="BG209" s="1" t="str">
        <f aca="false">IF(OR(NOT(AND(ISNUMBER(E209),ISNUMBER(F209))),$J$2=""),"",MIN(100,ROUND(SUM($G209:J209),1)))</f>
        <v/>
      </c>
      <c r="BH209" s="1" t="str">
        <f aca="false">IF(OR(NOT(AND(ISNUMBER(E209),ISNUMBER(F209))),$J$2=""),"",MIN(100,ROUND(SUM($G209:K209),1)))</f>
        <v/>
      </c>
      <c r="BI209" s="1" t="str">
        <f aca="false">IF(OR(NOT(AND(ISNUMBER(E209),ISNUMBER(F209))),$J$2=""),"",MIN(100,ROUND(SUM($G209:L209),1)))</f>
        <v/>
      </c>
      <c r="BJ209" s="1" t="str">
        <f aca="false">IF(OR(NOT(AND(ISNUMBER(E209),ISNUMBER(F209))),$J$2=""),"",MIN(100,ROUND(SUM($G209:M209),1)))</f>
        <v/>
      </c>
      <c r="BK209" s="1" t="str">
        <f aca="false">IF(OR(NOT(AND(ISNUMBER(E209),ISNUMBER(F209))),$J$2=""),"",MIN(100,ROUND(SUM($G209:N209),1)))</f>
        <v/>
      </c>
      <c r="BL209" s="1" t="str">
        <f aca="false">IF(OR(NOT(AND(ISNUMBER(E209),ISNUMBER(F209))),$J$2=""),"",MIN(100,ROUND(SUM($G209:O209),1)))</f>
        <v/>
      </c>
      <c r="BM209" s="1" t="str">
        <f aca="false">IF(OR(NOT(AND(ISNUMBER(E209),ISNUMBER(F209))),$J$2=""),"",MIN(100,ROUND(SUM($G209:P209),1)))</f>
        <v/>
      </c>
      <c r="BN209" s="1" t="str">
        <f aca="false">IF(OR(NOT(AND(ISNUMBER(E209),ISNUMBER(F209))),$J$2=""),"",MIN(100,ROUND(SUM($G209:P209),1)))</f>
        <v/>
      </c>
      <c r="BO209" s="1" t="str">
        <f aca="false">IF(OR(NOT(AND(ISNUMBER(E209),ISNUMBER(F209))),$J$2=""),"",MIN(100,ROUND(SUM($G209:P209),1)))</f>
        <v/>
      </c>
      <c r="BP209" s="1" t="str">
        <f aca="false">IF(OR(NOT(AND(ISNUMBER(E209),ISNUMBER(F209))),$J$2=""),"",MIN(100,ROUND(SUM($G209:P209),1)))</f>
        <v/>
      </c>
      <c r="BQ209" s="1" t="str">
        <f aca="false">IF(OR(NOT(AND(ISNUMBER(E209),ISNUMBER(F209))),$J$2=""),"",MIN(100,ROUND(SUM($G209:P209),1)))</f>
        <v/>
      </c>
      <c r="BR209" s="1" t="str">
        <f aca="false">IF(OR(NOT(AND(ISNUMBER(E209),ISNUMBER(F209))),$J$2=""),"",MIN(100,ROUND(SUM($G209:P209),1)))</f>
        <v/>
      </c>
      <c r="BS209" s="1" t="str">
        <f aca="false">IF(OR(NOT(AND(ISNUMBER(E209),ISNUMBER(F209))),$J$2=""),"",MIN(100,ROUND(SUM($G209:P209),1)))</f>
        <v/>
      </c>
      <c r="BT209" s="1" t="str">
        <f aca="false">IF(OR(NOT(AND(ISNUMBER(E209),ISNUMBER(F209))),$J$2=""),"",IF(Reprogramaciones!K$13&lt;Reprogramaciones!$T$15,0,IF(Reprogramaciones!K$14&gt;10,MIN(100,SUM($G209:$P209)),MIN(100,SUMPRODUCT((COLUMN($G209:$P209)-COLUMN($G209)+1&lt;Reprogramaciones!K$14)*$G209:$P209)+N(INDEX($G209:$P209,1,Reprogramaciones!K$14))*IF(Reprogramaciones!K$13&gt;=(Reprogramaciones!$T$15+7*(Reprogramaciones!K$14-1))+6,1,IF(MAX(0,NETWORKDAYS.INTL(MAX(E209,(Reprogramaciones!$T$15+7*(Reprogramaciones!K$14-1))),MIN(F209,(Reprogramaciones!$T$15+7*(Reprogramaciones!K$14-1))+6),11))=0,0,MAX(0,NETWORKDAYS.INTL(MAX(E209,(Reprogramaciones!$T$15+7*(Reprogramaciones!K$14-1))),MIN(F209,Reprogramaciones!K$13),11))/MAX(0,NETWORKDAYS.INTL(MAX(E209,(Reprogramaciones!$T$15+7*(Reprogramaciones!K$14-1))),MIN(F209,(Reprogramaciones!$T$15+7*(Reprogramaciones!K$14-1))+6),11))))))))</f>
        <v/>
      </c>
      <c r="BU209" s="1" t="str">
        <f aca="false">IF(OR(NOT(AND(ISNUMBER(E209),ISNUMBER(F209))),$J$2=""),"",IF(Reprogramaciones!L$13&lt;Reprogramaciones!$T$15,0,IF(Reprogramaciones!L$14&gt;10,MIN(100,SUM($G209:$P209)),MIN(100,SUMPRODUCT((COLUMN($G209:$P209)-COLUMN($G209)+1&lt;Reprogramaciones!L$14)*$G209:$P209)+N(INDEX($G209:$P209,1,Reprogramaciones!L$14))*IF(Reprogramaciones!L$13&gt;=(Reprogramaciones!$T$15+7*(Reprogramaciones!L$14-1))+6,1,IF(MAX(0,NETWORKDAYS.INTL(MAX(E209,(Reprogramaciones!$T$15+7*(Reprogramaciones!L$14-1))),MIN(F209,(Reprogramaciones!$T$15+7*(Reprogramaciones!L$14-1))+6),11))=0,0,MAX(0,NETWORKDAYS.INTL(MAX(E209,(Reprogramaciones!$T$15+7*(Reprogramaciones!L$14-1))),MIN(F209,Reprogramaciones!L$13),11))/MAX(0,NETWORKDAYS.INTL(MAX(E209,(Reprogramaciones!$T$15+7*(Reprogramaciones!L$14-1))),MIN(F209,(Reprogramaciones!$T$15+7*(Reprogramaciones!L$14-1))+6),11))))))))</f>
        <v/>
      </c>
      <c r="BV209" s="1" t="str">
        <f aca="false">IF(OR(NOT(AND(ISNUMBER(E209),ISNUMBER(F209))),$J$2=""),"",IF(Reprogramaciones!M$13&lt;Reprogramaciones!$T$15,0,IF(Reprogramaciones!M$14&gt;10,MIN(100,SUM($G209:$P209)),MIN(100,SUMPRODUCT((COLUMN($G209:$P209)-COLUMN($G209)+1&lt;Reprogramaciones!M$14)*$G209:$P209)+N(INDEX($G209:$P209,1,Reprogramaciones!M$14))*IF(Reprogramaciones!M$13&gt;=(Reprogramaciones!$T$15+7*(Reprogramaciones!M$14-1))+6,1,IF(MAX(0,NETWORKDAYS.INTL(MAX(E209,(Reprogramaciones!$T$15+7*(Reprogramaciones!M$14-1))),MIN(F209,(Reprogramaciones!$T$15+7*(Reprogramaciones!M$14-1))+6),11))=0,0,MAX(0,NETWORKDAYS.INTL(MAX(E209,(Reprogramaciones!$T$15+7*(Reprogramaciones!M$14-1))),MIN(F209,Reprogramaciones!M$13),11))/MAX(0,NETWORKDAYS.INTL(MAX(E209,(Reprogramaciones!$T$15+7*(Reprogramaciones!M$14-1))),MIN(F209,(Reprogramaciones!$T$15+7*(Reprogramaciones!M$14-1))+6),11))))))))</f>
        <v/>
      </c>
      <c r="BW209" s="1" t="str">
        <f aca="false">IF(OR(NOT(AND(ISNUMBER(E209),ISNUMBER(F209))),$J$2=""),"",IF(Reprogramaciones!N$13&lt;Reprogramaciones!$T$15,0,IF(Reprogramaciones!N$14&gt;10,MIN(100,SUM($G209:$P209)),MIN(100,SUMPRODUCT((COLUMN($G209:$P209)-COLUMN($G209)+1&lt;Reprogramaciones!N$14)*$G209:$P209)+N(INDEX($G209:$P209,1,Reprogramaciones!N$14))*IF(Reprogramaciones!N$13&gt;=(Reprogramaciones!$T$15+7*(Reprogramaciones!N$14-1))+6,1,IF(MAX(0,NETWORKDAYS.INTL(MAX(E209,(Reprogramaciones!$T$15+7*(Reprogramaciones!N$14-1))),MIN(F209,(Reprogramaciones!$T$15+7*(Reprogramaciones!N$14-1))+6),11))=0,0,MAX(0,NETWORKDAYS.INTL(MAX(E209,(Reprogramaciones!$T$15+7*(Reprogramaciones!N$14-1))),MIN(F209,Reprogramaciones!N$13),11))/MAX(0,NETWORKDAYS.INTL(MAX(E209,(Reprogramaciones!$T$15+7*(Reprogramaciones!N$14-1))),MIN(F209,(Reprogramaciones!$T$15+7*(Reprogramaciones!N$14-1))+6),11))))))))</f>
        <v/>
      </c>
      <c r="BX209" s="1" t="str">
        <f aca="false">IF(OR(NOT(AND(ISNUMBER(E209),ISNUMBER(F209))),$J$2=""),"",IF(Reprogramaciones!O$13&lt;Reprogramaciones!$T$15,0,IF(Reprogramaciones!O$14&gt;10,MIN(100,SUM($G209:$P209)),MIN(100,SUMPRODUCT((COLUMN($G209:$P209)-COLUMN($G209)+1&lt;Reprogramaciones!O$14)*$G209:$P209)+N(INDEX($G209:$P209,1,Reprogramaciones!O$14))*IF(Reprogramaciones!O$13&gt;=(Reprogramaciones!$T$15+7*(Reprogramaciones!O$14-1))+6,1,IF(MAX(0,NETWORKDAYS.INTL(MAX(E209,(Reprogramaciones!$T$15+7*(Reprogramaciones!O$14-1))),MIN(F209,(Reprogramaciones!$T$15+7*(Reprogramaciones!O$14-1))+6),11))=0,0,MAX(0,NETWORKDAYS.INTL(MAX(E209,(Reprogramaciones!$T$15+7*(Reprogramaciones!O$14-1))),MIN(F209,Reprogramaciones!O$13),11))/MAX(0,NETWORKDAYS.INTL(MAX(E209,(Reprogramaciones!$T$15+7*(Reprogramaciones!O$14-1))),MIN(F209,(Reprogramaciones!$T$15+7*(Reprogramaciones!O$14-1))+6),11))))))))</f>
        <v/>
      </c>
      <c r="BY209" s="1" t="str">
        <f aca="false">IF(OR(NOT(AND(ISNUMBER(E209),ISNUMBER(F209))),$J$2=""),"",IF(Reprogramaciones!P$13&lt;Reprogramaciones!$T$15,0,IF(Reprogramaciones!P$14&gt;10,MIN(100,SUM($G209:$P209)),MIN(100,SUMPRODUCT((COLUMN($G209:$P209)-COLUMN($G209)+1&lt;Reprogramaciones!P$14)*$G209:$P209)+N(INDEX($G209:$P209,1,Reprogramaciones!P$14))*IF(Reprogramaciones!P$13&gt;=(Reprogramaciones!$T$15+7*(Reprogramaciones!P$14-1))+6,1,IF(MAX(0,NETWORKDAYS.INTL(MAX(E209,(Reprogramaciones!$T$15+7*(Reprogramaciones!P$14-1))),MIN(F209,(Reprogramaciones!$T$15+7*(Reprogramaciones!P$14-1))+6),11))=0,0,MAX(0,NETWORKDAYS.INTL(MAX(E209,(Reprogramaciones!$T$15+7*(Reprogramaciones!P$14-1))),MIN(F209,Reprogramaciones!P$13),11))/MAX(0,NETWORKDAYS.INTL(MAX(E209,(Reprogramaciones!$T$15+7*(Reprogramaciones!P$14-1))),MIN(F209,(Reprogramaciones!$T$15+7*(Reprogramaciones!P$14-1))+6),11))))))))</f>
        <v/>
      </c>
      <c r="BZ209" s="1" t="str">
        <f aca="false">IF(OR(NOT(AND(ISNUMBER(E209),ISNUMBER(F209))),$J$2=""),"",IF(Reprogramaciones!Q$13&lt;Reprogramaciones!$T$15,0,IF(Reprogramaciones!Q$14&gt;10,MIN(100,SUM($G209:$P209)),MIN(100,SUMPRODUCT((COLUMN($G209:$P209)-COLUMN($G209)+1&lt;Reprogramaciones!Q$14)*$G209:$P209)+N(INDEX($G209:$P209,1,Reprogramaciones!Q$14))*IF(Reprogramaciones!Q$13&gt;=(Reprogramaciones!$T$15+7*(Reprogramaciones!Q$14-1))+6,1,IF(MAX(0,NETWORKDAYS.INTL(MAX(E209,(Reprogramaciones!$T$15+7*(Reprogramaciones!Q$14-1))),MIN(F209,(Reprogramaciones!$T$15+7*(Reprogramaciones!Q$14-1))+6),11))=0,0,MAX(0,NETWORKDAYS.INTL(MAX(E209,(Reprogramaciones!$T$15+7*(Reprogramaciones!Q$14-1))),MIN(F209,Reprogramaciones!Q$13),11))/MAX(0,NETWORKDAYS.INTL(MAX(E209,(Reprogramaciones!$T$15+7*(Reprogramaciones!Q$14-1))),MIN(F209,(Reprogramaciones!$T$15+7*(Reprogramaciones!Q$14-1))+6),11))))))))</f>
        <v/>
      </c>
      <c r="CA209" s="1" t="str">
        <f aca="false">IF(OR(NOT(AND(ISNUMBER(E209),ISNUMBER(F209))),$J$2=""),"",IF(Reprogramaciones!R$13&lt;Reprogramaciones!$T$15,0,IF(Reprogramaciones!R$14&gt;10,MIN(100,SUM($G209:$P209)),MIN(100,SUMPRODUCT((COLUMN($G209:$P209)-COLUMN($G209)+1&lt;Reprogramaciones!R$14)*$G209:$P209)+N(INDEX($G209:$P209,1,Reprogramaciones!R$14))*IF(Reprogramaciones!R$13&gt;=(Reprogramaciones!$T$15+7*(Reprogramaciones!R$14-1))+6,1,IF(MAX(0,NETWORKDAYS.INTL(MAX(E209,(Reprogramaciones!$T$15+7*(Reprogramaciones!R$14-1))),MIN(F209,(Reprogramaciones!$T$15+7*(Reprogramaciones!R$14-1))+6),11))=0,0,MAX(0,NETWORKDAYS.INTL(MAX(E209,(Reprogramaciones!$T$15+7*(Reprogramaciones!R$14-1))),MIN(F209,Reprogramaciones!R$13),11))/MAX(0,NETWORKDAYS.INTL(MAX(E209,(Reprogramaciones!$T$15+7*(Reprogramaciones!R$14-1))),MIN(F209,(Reprogramaciones!$T$15+7*(Reprogramaciones!R$14-1))+6),11))))))))</f>
        <v/>
      </c>
      <c r="CB209" s="1" t="str">
        <f aca="false">IF(OR(NOT(AND(ISNUMBER(E209),ISNUMBER(F209))),$J$2=""),"",IF(Reprogramaciones!S$13&lt;Reprogramaciones!$T$15,0,IF(Reprogramaciones!S$14&gt;10,MIN(100,SUM($G209:$P209)),MIN(100,SUMPRODUCT((COLUMN($G209:$P209)-COLUMN($G209)+1&lt;Reprogramaciones!S$14)*$G209:$P209)+N(INDEX($G209:$P209,1,Reprogramaciones!S$14))*IF(Reprogramaciones!S$13&gt;=(Reprogramaciones!$T$15+7*(Reprogramaciones!S$14-1))+6,1,IF(MAX(0,NETWORKDAYS.INTL(MAX(E209,(Reprogramaciones!$T$15+7*(Reprogramaciones!S$14-1))),MIN(F209,(Reprogramaciones!$T$15+7*(Reprogramaciones!S$14-1))+6),11))=0,0,MAX(0,NETWORKDAYS.INTL(MAX(E209,(Reprogramaciones!$T$15+7*(Reprogramaciones!S$14-1))),MIN(F209,Reprogramaciones!S$13),11))/MAX(0,NETWORKDAYS.INTL(MAX(E209,(Reprogramaciones!$T$15+7*(Reprogramaciones!S$14-1))),MIN(F209,(Reprogramaciones!$T$15+7*(Reprogramaciones!S$14-1))+6),11))))))))</f>
        <v/>
      </c>
      <c r="CC209" s="1" t="str">
        <f aca="false">IF(OR(NOT(AND(ISNUMBER(E209),ISNUMBER(F209))),$J$2=""),"",IF(Reprogramaciones!T$13&lt;Reprogramaciones!$T$15,0,IF(Reprogramaciones!T$14&gt;10,MIN(100,SUM($G209:$P209)),MIN(100,SUMPRODUCT((COLUMN($G209:$P209)-COLUMN($G209)+1&lt;Reprogramaciones!T$14)*$G209:$P209)+N(INDEX($G209:$P209,1,Reprogramaciones!T$14))*IF(Reprogramaciones!T$13&gt;=(Reprogramaciones!$T$15+7*(Reprogramaciones!T$14-1))+6,1,IF(MAX(0,NETWORKDAYS.INTL(MAX(E209,(Reprogramaciones!$T$15+7*(Reprogramaciones!T$14-1))),MIN(F209,(Reprogramaciones!$T$15+7*(Reprogramaciones!T$14-1))+6),11))=0,0,MAX(0,NETWORKDAYS.INTL(MAX(E209,(Reprogramaciones!$T$15+7*(Reprogramaciones!T$14-1))),MIN(F209,Reprogramaciones!T$13),11))/MAX(0,NETWORKDAYS.INTL(MAX(E209,(Reprogramaciones!$T$15+7*(Reprogramaciones!T$14-1))),MIN(F209,(Reprogramaciones!$T$15+7*(Reprogramaciones!T$14-1))+6),11))))))))</f>
        <v/>
      </c>
      <c r="CD209" s="1" t="str">
        <f aca="false">IF(OR(NOT(AND(ISNUMBER(E209),ISNUMBER(F209))),$J$2=""),"",IF(Reprogramaciones!U$13&lt;Reprogramaciones!$T$15,0,IF(Reprogramaciones!U$14&gt;10,MIN(100,SUM($G209:$P209)),MIN(100,SUMPRODUCT((COLUMN($G209:$P209)-COLUMN($G209)+1&lt;Reprogramaciones!U$14)*$G209:$P209)+N(INDEX($G209:$P209,1,Reprogramaciones!U$14))*IF(Reprogramaciones!U$13&gt;=(Reprogramaciones!$T$15+7*(Reprogramaciones!U$14-1))+6,1,IF(MAX(0,NETWORKDAYS.INTL(MAX(E209,(Reprogramaciones!$T$15+7*(Reprogramaciones!U$14-1))),MIN(F209,(Reprogramaciones!$T$15+7*(Reprogramaciones!U$14-1))+6),11))=0,0,MAX(0,NETWORKDAYS.INTL(MAX(E209,(Reprogramaciones!$T$15+7*(Reprogramaciones!U$14-1))),MIN(F209,Reprogramaciones!U$13),11))/MAX(0,NETWORKDAYS.INTL(MAX(E209,(Reprogramaciones!$T$15+7*(Reprogramaciones!U$14-1))),MIN(F209,(Reprogramaciones!$T$15+7*(Reprogramaciones!U$14-1))+6),11))))))))</f>
        <v/>
      </c>
      <c r="CE209" s="1" t="str">
        <f aca="false">IF(OR(NOT(AND(ISNUMBER(E209),ISNUMBER(F209))),$J$2=""),"",IF(Reprogramaciones!V$13&lt;Reprogramaciones!$T$15,0,IF(Reprogramaciones!V$14&gt;10,MIN(100,SUM($G209:$P209)),MIN(100,SUMPRODUCT((COLUMN($G209:$P209)-COLUMN($G209)+1&lt;Reprogramaciones!V$14)*$G209:$P209)+N(INDEX($G209:$P209,1,Reprogramaciones!V$14))*IF(Reprogramaciones!V$13&gt;=(Reprogramaciones!$T$15+7*(Reprogramaciones!V$14-1))+6,1,IF(MAX(0,NETWORKDAYS.INTL(MAX(E209,(Reprogramaciones!$T$15+7*(Reprogramaciones!V$14-1))),MIN(F209,(Reprogramaciones!$T$15+7*(Reprogramaciones!V$14-1))+6),11))=0,0,MAX(0,NETWORKDAYS.INTL(MAX(E209,(Reprogramaciones!$T$15+7*(Reprogramaciones!V$14-1))),MIN(F209,Reprogramaciones!V$13),11))/MAX(0,NETWORKDAYS.INTL(MAX(E209,(Reprogramaciones!$T$15+7*(Reprogramaciones!V$14-1))),MIN(F209,(Reprogramaciones!$T$15+7*(Reprogramaciones!V$14-1))+6),11))))))))</f>
        <v/>
      </c>
      <c r="CF209" s="1" t="str">
        <f aca="false">IF(OR(NOT(AND(ISNUMBER(E209),ISNUMBER(F209))),$J$2=""),"",IF(Reprogramaciones!W$13&lt;Reprogramaciones!$T$15,0,IF(Reprogramaciones!W$14&gt;10,MIN(100,SUM($G209:$P209)),MIN(100,SUMPRODUCT((COLUMN($G209:$P209)-COLUMN($G209)+1&lt;Reprogramaciones!W$14)*$G209:$P209)+N(INDEX($G209:$P209,1,Reprogramaciones!W$14))*IF(Reprogramaciones!W$13&gt;=(Reprogramaciones!$T$15+7*(Reprogramaciones!W$14-1))+6,1,IF(MAX(0,NETWORKDAYS.INTL(MAX(E209,(Reprogramaciones!$T$15+7*(Reprogramaciones!W$14-1))),MIN(F209,(Reprogramaciones!$T$15+7*(Reprogramaciones!W$14-1))+6),11))=0,0,MAX(0,NETWORKDAYS.INTL(MAX(E209,(Reprogramaciones!$T$15+7*(Reprogramaciones!W$14-1))),MIN(F209,Reprogramaciones!W$13),11))/MAX(0,NETWORKDAYS.INTL(MAX(E209,(Reprogramaciones!$T$15+7*(Reprogramaciones!W$14-1))),MIN(F209,(Reprogramaciones!$T$15+7*(Reprogramaciones!W$14-1))+6),11))))))))</f>
        <v/>
      </c>
      <c r="CG209" s="1" t="str">
        <f aca="false">IF(OR(NOT(AND(ISNUMBER(E209),ISNUMBER(F209))),$J$2=""),"",IF(Reprogramaciones!X$13&lt;Reprogramaciones!$T$15,0,IF(Reprogramaciones!X$14&gt;10,MIN(100,SUM($G209:$P209)),MIN(100,SUMPRODUCT((COLUMN($G209:$P209)-COLUMN($G209)+1&lt;Reprogramaciones!X$14)*$G209:$P209)+N(INDEX($G209:$P209,1,Reprogramaciones!X$14))*IF(Reprogramaciones!X$13&gt;=(Reprogramaciones!$T$15+7*(Reprogramaciones!X$14-1))+6,1,IF(MAX(0,NETWORKDAYS.INTL(MAX(E209,(Reprogramaciones!$T$15+7*(Reprogramaciones!X$14-1))),MIN(F209,(Reprogramaciones!$T$15+7*(Reprogramaciones!X$14-1))+6),11))=0,0,MAX(0,NETWORKDAYS.INTL(MAX(E209,(Reprogramaciones!$T$15+7*(Reprogramaciones!X$14-1))),MIN(F209,Reprogramaciones!X$13),11))/MAX(0,NETWORKDAYS.INTL(MAX(E209,(Reprogramaciones!$T$15+7*(Reprogramaciones!X$14-1))),MIN(F209,(Reprogramaciones!$T$15+7*(Reprogramaciones!X$14-1))+6),11))))))))</f>
        <v/>
      </c>
      <c r="CH209" s="1" t="str">
        <f aca="false">IF(OR(NOT(AND(ISNUMBER(E209),ISNUMBER(F209))),$J$2=""),"",IF(Reprogramaciones!Y$13&lt;Reprogramaciones!$T$15,0,IF(Reprogramaciones!Y$14&gt;10,MIN(100,SUM($G209:$P209)),MIN(100,SUMPRODUCT((COLUMN($G209:$P209)-COLUMN($G209)+1&lt;Reprogramaciones!Y$14)*$G209:$P209)+N(INDEX($G209:$P209,1,Reprogramaciones!Y$14))*IF(Reprogramaciones!Y$13&gt;=(Reprogramaciones!$T$15+7*(Reprogramaciones!Y$14-1))+6,1,IF(MAX(0,NETWORKDAYS.INTL(MAX(E209,(Reprogramaciones!$T$15+7*(Reprogramaciones!Y$14-1))),MIN(F209,(Reprogramaciones!$T$15+7*(Reprogramaciones!Y$14-1))+6),11))=0,0,MAX(0,NETWORKDAYS.INTL(MAX(E209,(Reprogramaciones!$T$15+7*(Reprogramaciones!Y$14-1))),MIN(F209,Reprogramaciones!Y$13),11))/MAX(0,NETWORKDAYS.INTL(MAX(E209,(Reprogramaciones!$T$15+7*(Reprogramaciones!Y$14-1))),MIN(F209,(Reprogramaciones!$T$15+7*(Reprogramaciones!Y$14-1))+6),11))))))))</f>
        <v/>
      </c>
      <c r="CI209" s="1" t="str">
        <f aca="false">IF(OR(NOT(AND(ISNUMBER(E209),ISNUMBER(F209))),$J$2=""),"",IF(Reprogramaciones!Z$13&lt;Reprogramaciones!$T$15,0,IF(Reprogramaciones!Z$14&gt;10,MIN(100,SUM($G209:$P209)),MIN(100,SUMPRODUCT((COLUMN($G209:$P209)-COLUMN($G209)+1&lt;Reprogramaciones!Z$14)*$G209:$P209)+N(INDEX($G209:$P209,1,Reprogramaciones!Z$14))*IF(Reprogramaciones!Z$13&gt;=(Reprogramaciones!$T$15+7*(Reprogramaciones!Z$14-1))+6,1,IF(MAX(0,NETWORKDAYS.INTL(MAX(E209,(Reprogramaciones!$T$15+7*(Reprogramaciones!Z$14-1))),MIN(F209,(Reprogramaciones!$T$15+7*(Reprogramaciones!Z$14-1))+6),11))=0,0,MAX(0,NETWORKDAYS.INTL(MAX(E209,(Reprogramaciones!$T$15+7*(Reprogramaciones!Z$14-1))),MIN(F209,Reprogramaciones!Z$13),11))/MAX(0,NETWORKDAYS.INTL(MAX(E209,(Reprogramaciones!$T$15+7*(Reprogramaciones!Z$14-1))),MIN(F209,(Reprogramaciones!$T$15+7*(Reprogramaciones!Z$14-1))+6),11))))))))</f>
        <v/>
      </c>
      <c r="CJ209" s="1" t="str">
        <f aca="false">IF(OR(OR(NOT(AND(ISNUMBER(E209),ISNUMBER(F209))),$J$2=""),1&gt;Reprogramaciones!$K$16),"",IF(ROUND(SUM($Q209:Q209),1)&gt;=99.5,100,MIN(100,ROUND(SUM($Q209:Q209),1))))</f>
        <v/>
      </c>
      <c r="CK209" s="1" t="str">
        <f aca="false">IF(OR(OR(NOT(AND(ISNUMBER(E209),ISNUMBER(F209))),$J$2=""),2&gt;Reprogramaciones!$K$16),"",IF(ROUND(SUM($Q209:R209),1)&gt;=99.5,100,MIN(100,ROUND(SUM($Q209:R209),1))))</f>
        <v/>
      </c>
      <c r="CL209" s="1" t="str">
        <f aca="false">IF(OR(OR(NOT(AND(ISNUMBER(E209),ISNUMBER(F209))),$J$2=""),3&gt;Reprogramaciones!$K$16),"",IF(ROUND(SUM($Q209:S209),1)&gt;=99.5,100,MIN(100,ROUND(SUM($Q209:S209),1))))</f>
        <v/>
      </c>
      <c r="CM209" s="1" t="str">
        <f aca="false">IF(OR(OR(NOT(AND(ISNUMBER(E209),ISNUMBER(F209))),$J$2=""),4&gt;Reprogramaciones!$K$16),"",IF(ROUND(SUM($Q209:T209),1)&gt;=99.5,100,MIN(100,ROUND(SUM($Q209:T209),1))))</f>
        <v/>
      </c>
      <c r="CN209" s="1" t="str">
        <f aca="false">IF(OR(OR(NOT(AND(ISNUMBER(E209),ISNUMBER(F209))),$J$2=""),5&gt;Reprogramaciones!$K$16),"",IF(ROUND(SUM($Q209:U209),1)&gt;=99.5,100,MIN(100,ROUND(SUM($Q209:U209),1))))</f>
        <v/>
      </c>
      <c r="CO209" s="1" t="str">
        <f aca="false">IF(OR(OR(NOT(AND(ISNUMBER(E209),ISNUMBER(F209))),$J$2=""),6&gt;Reprogramaciones!$K$16),"",IF(ROUND(SUM($Q209:V209),1)&gt;=99.5,100,MIN(100,ROUND(SUM($Q209:V209),1))))</f>
        <v/>
      </c>
      <c r="CP209" s="1" t="str">
        <f aca="false">IF(OR(OR(NOT(AND(ISNUMBER(E209),ISNUMBER(F209))),$J$2=""),7&gt;Reprogramaciones!$K$16),"",IF(ROUND(SUM($Q209:W209),1)&gt;=99.5,100,MIN(100,ROUND(SUM($Q209:W209),1))))</f>
        <v/>
      </c>
      <c r="CQ209" s="1" t="str">
        <f aca="false">IF(OR(OR(NOT(AND(ISNUMBER(E209),ISNUMBER(F209))),$J$2=""),8&gt;Reprogramaciones!$K$16),"",IF(ROUND(SUM($Q209:X209),1)&gt;=99.5,100,MIN(100,ROUND(SUM($Q209:X209),1))))</f>
        <v/>
      </c>
      <c r="CR209" s="1" t="str">
        <f aca="false">IF(OR(OR(NOT(AND(ISNUMBER(E209),ISNUMBER(F209))),$J$2=""),9&gt;Reprogramaciones!$K$16),"",IF(ROUND(SUM($Q209:Y209),1)&gt;=99.5,100,MIN(100,ROUND(SUM($Q209:Y209),1))))</f>
        <v/>
      </c>
      <c r="CS209" s="1" t="str">
        <f aca="false">IF(OR(OR(NOT(AND(ISNUMBER(E209),ISNUMBER(F209))),$J$2=""),10&gt;Reprogramaciones!$K$16),"",IF(ROUND(SUM($Q209:Z209),1)&gt;=99.5,100,MIN(100,ROUND(SUM($Q209:Z209),1))))</f>
        <v/>
      </c>
      <c r="CT209" s="1" t="str">
        <f aca="false">IF(OR(OR(NOT(AND(ISNUMBER(E209),ISNUMBER(F209))),$J$2=""),11&gt;Reprogramaciones!$K$16),"",IF(ROUND(SUM($Q209:AA209),1)&gt;=99.5,100,MIN(100,ROUND(SUM($Q209:AA209),1))))</f>
        <v/>
      </c>
      <c r="CU209" s="1" t="str">
        <f aca="false">IF(OR(OR(NOT(AND(ISNUMBER(E209),ISNUMBER(F209))),$J$2=""),12&gt;Reprogramaciones!$K$16),"",IF(ROUND(SUM($Q209:AB209),1)&gt;=99.5,100,MIN(100,ROUND(SUM($Q209:AB209),1))))</f>
        <v/>
      </c>
      <c r="CV209" s="1" t="str">
        <f aca="false">IF(OR(OR(NOT(AND(ISNUMBER(E209),ISNUMBER(F209))),$J$2=""),13&gt;Reprogramaciones!$K$16),"",IF(ROUND(SUM($Q209:AC209),1)&gt;=99.5,100,MIN(100,ROUND(SUM($Q209:AC209),1))))</f>
        <v/>
      </c>
      <c r="CW209" s="1" t="str">
        <f aca="false">IF(OR(OR(NOT(AND(ISNUMBER(E209),ISNUMBER(F209))),$J$2=""),14&gt;Reprogramaciones!$K$16),"",IF(ROUND(SUM($Q209:AD209),1)&gt;=99.5,100,MIN(100,ROUND(SUM($Q209:AD209),1))))</f>
        <v/>
      </c>
      <c r="CX209" s="1" t="str">
        <f aca="false">IF(OR(OR(NOT(AND(ISNUMBER(E209),ISNUMBER(F209))),$J$2=""),15&gt;Reprogramaciones!$K$16),"",IF(ROUND(SUM($Q209:AE209),1)&gt;=99.5,100,MIN(100,ROUND(SUM($Q209:AE209),1))))</f>
        <v/>
      </c>
      <c r="CY209" s="1" t="str">
        <f aca="false">IF(OR(OR(NOT(AND(ISNUMBER(E209),ISNUMBER(F209))),$J$2=""),16&gt;Reprogramaciones!$K$16),"",IF(ROUND(SUM($Q209:AF209),1)&gt;=99.5,100,MIN(100,ROUND(SUM($Q209:AF209),1))))</f>
        <v/>
      </c>
      <c r="CZ209" s="1" t="str">
        <f aca="false">IF(D209&lt;&gt;"",D209,IF(B209&lt;&gt;"","Contractual",CZ208))</f>
        <v>Contractual</v>
      </c>
      <c r="DA209" s="1" t="str">
        <f aca="false">IF(OR(NOT(AND(ISNUMBER(E209),ISNUMBER(F209))),$J$2=""),"",IF(Reprogramaciones!$Q$15&lt;Reprogramaciones!$T$15,0,IF(Reprogramaciones!$S$15&gt;10,MIN(100,SUM($G209:$P209)),MIN(100,SUMPRODUCT((COLUMN($G209:$P209)-COLUMN($G209)+1&lt;Reprogramaciones!$S$15)*$G209:$P209)+N(INDEX($G209:$P209,1,Reprogramaciones!$S$15))*IF(Reprogramaciones!$Q$15&gt;=(Reprogramaciones!$T$15+7*(Reprogramaciones!$S$15-1))+6,1,IF(MAX(0,NETWORKDAYS.INTL(MAX(E209,(Reprogramaciones!$T$15+7*(Reprogramaciones!$S$15-1))),MIN(F209,(Reprogramaciones!$T$15+7*(Reprogramaciones!$S$15-1))+6),11))=0,0,MAX(0,NETWORKDAYS.INTL(MAX(E209,(Reprogramaciones!$T$15+7*(Reprogramaciones!$S$15-1))),MIN(F209,Reprogramaciones!$Q$15),11))/MAX(0,NETWORKDAYS.INTL(MAX(E209,(Reprogramaciones!$T$15+7*(Reprogramaciones!$S$15-1))),MIN(F209,(Reprogramaciones!$T$15+7*(Reprogramaciones!$S$15-1))+6),11))))))))</f>
        <v/>
      </c>
    </row>
    <row r="210" customFormat="false" ht="15" hidden="false" customHeight="false" outlineLevel="0" collapsed="false">
      <c r="A210" s="32"/>
      <c r="B210" s="33"/>
      <c r="C210" s="33"/>
      <c r="D210" s="34"/>
      <c r="E210" s="35"/>
      <c r="F210" s="35"/>
      <c r="G210" s="36" t="str">
        <f aca="false">IF(OR(NOT(AND(ISNUMBER(E210),ISNUMBER(F210))),$J$2=""),"",IF(Reprogramaciones!K$9&lt;E210,0,IF(NETWORKDAYS.INTL(E210,F210,11)=0,IF(Reprogramaciones!K$9&gt;=F210,100,0),ROUND(NETWORKDAYS.INTL(E210,MIN(F210,Reprogramaciones!K$9),11)/NETWORKDAYS.INTL(E210,F210,11)*100,1)))-0)</f>
        <v/>
      </c>
      <c r="H210" s="36" t="str">
        <f aca="false">IF(OR(NOT(AND(ISNUMBER(E210),ISNUMBER(F210))),$J$2=""),"",IF(Reprogramaciones!L$9&lt;E210,0,IF(NETWORKDAYS.INTL(E210,F210,11)=0,IF(Reprogramaciones!L$9&gt;=F210,100,0),ROUND(NETWORKDAYS.INTL(E210,MIN(F210,Reprogramaciones!L$9),11)/NETWORKDAYS.INTL(E210,F210,11)*100,1)))-IF(Reprogramaciones!K$9&lt;E210,0,IF(NETWORKDAYS.INTL(E210,F210,11)=0,IF(Reprogramaciones!K$9&gt;=F210,100,0),ROUND(NETWORKDAYS.INTL(E210,MIN(F210,Reprogramaciones!K$9),11)/NETWORKDAYS.INTL(E210,F210,11)*100,1))))</f>
        <v/>
      </c>
      <c r="I210" s="36" t="str">
        <f aca="false">IF(OR(NOT(AND(ISNUMBER(E210),ISNUMBER(F210))),$J$2=""),"",IF(Reprogramaciones!M$9&lt;E210,0,IF(NETWORKDAYS.INTL(E210,F210,11)=0,IF(Reprogramaciones!M$9&gt;=F210,100,0),ROUND(NETWORKDAYS.INTL(E210,MIN(F210,Reprogramaciones!M$9),11)/NETWORKDAYS.INTL(E210,F210,11)*100,1)))-IF(Reprogramaciones!L$9&lt;E210,0,IF(NETWORKDAYS.INTL(E210,F210,11)=0,IF(Reprogramaciones!L$9&gt;=F210,100,0),ROUND(NETWORKDAYS.INTL(E210,MIN(F210,Reprogramaciones!L$9),11)/NETWORKDAYS.INTL(E210,F210,11)*100,1))))</f>
        <v/>
      </c>
      <c r="J210" s="36" t="str">
        <f aca="false">IF(OR(NOT(AND(ISNUMBER(E210),ISNUMBER(F210))),$J$2=""),"",IF(Reprogramaciones!N$9&lt;E210,0,IF(NETWORKDAYS.INTL(E210,F210,11)=0,IF(Reprogramaciones!N$9&gt;=F210,100,0),ROUND(NETWORKDAYS.INTL(E210,MIN(F210,Reprogramaciones!N$9),11)/NETWORKDAYS.INTL(E210,F210,11)*100,1)))-IF(Reprogramaciones!M$9&lt;E210,0,IF(NETWORKDAYS.INTL(E210,F210,11)=0,IF(Reprogramaciones!M$9&gt;=F210,100,0),ROUND(NETWORKDAYS.INTL(E210,MIN(F210,Reprogramaciones!M$9),11)/NETWORKDAYS.INTL(E210,F210,11)*100,1))))</f>
        <v/>
      </c>
      <c r="K210" s="36" t="str">
        <f aca="false">IF(OR(NOT(AND(ISNUMBER(E210),ISNUMBER(F210))),$J$2=""),"",IF(Reprogramaciones!O$9&lt;E210,0,IF(NETWORKDAYS.INTL(E210,F210,11)=0,IF(Reprogramaciones!O$9&gt;=F210,100,0),ROUND(NETWORKDAYS.INTL(E210,MIN(F210,Reprogramaciones!O$9),11)/NETWORKDAYS.INTL(E210,F210,11)*100,1)))-IF(Reprogramaciones!N$9&lt;E210,0,IF(NETWORKDAYS.INTL(E210,F210,11)=0,IF(Reprogramaciones!N$9&gt;=F210,100,0),ROUND(NETWORKDAYS.INTL(E210,MIN(F210,Reprogramaciones!N$9),11)/NETWORKDAYS.INTL(E210,F210,11)*100,1))))</f>
        <v/>
      </c>
      <c r="L210" s="36" t="str">
        <f aca="false">IF(OR(NOT(AND(ISNUMBER(E210),ISNUMBER(F210))),$J$2=""),"",IF(Reprogramaciones!P$9&lt;E210,0,IF(NETWORKDAYS.INTL(E210,F210,11)=0,IF(Reprogramaciones!P$9&gt;=F210,100,0),ROUND(NETWORKDAYS.INTL(E210,MIN(F210,Reprogramaciones!P$9),11)/NETWORKDAYS.INTL(E210,F210,11)*100,1)))-IF(Reprogramaciones!O$9&lt;E210,0,IF(NETWORKDAYS.INTL(E210,F210,11)=0,IF(Reprogramaciones!O$9&gt;=F210,100,0),ROUND(NETWORKDAYS.INTL(E210,MIN(F210,Reprogramaciones!O$9),11)/NETWORKDAYS.INTL(E210,F210,11)*100,1))))</f>
        <v/>
      </c>
      <c r="M210" s="36" t="str">
        <f aca="false">IF(OR(NOT(AND(ISNUMBER(E210),ISNUMBER(F210))),$J$2=""),"",IF(Reprogramaciones!Q$9&lt;E210,0,IF(NETWORKDAYS.INTL(E210,F210,11)=0,IF(Reprogramaciones!Q$9&gt;=F210,100,0),ROUND(NETWORKDAYS.INTL(E210,MIN(F210,Reprogramaciones!Q$9),11)/NETWORKDAYS.INTL(E210,F210,11)*100,1)))-IF(Reprogramaciones!P$9&lt;E210,0,IF(NETWORKDAYS.INTL(E210,F210,11)=0,IF(Reprogramaciones!P$9&gt;=F210,100,0),ROUND(NETWORKDAYS.INTL(E210,MIN(F210,Reprogramaciones!P$9),11)/NETWORKDAYS.INTL(E210,F210,11)*100,1))))</f>
        <v/>
      </c>
      <c r="N210" s="36" t="str">
        <f aca="false">IF(OR(NOT(AND(ISNUMBER(E210),ISNUMBER(F210))),$J$2=""),"",IF(Reprogramaciones!R$9&lt;E210,0,IF(NETWORKDAYS.INTL(E210,F210,11)=0,IF(Reprogramaciones!R$9&gt;=F210,100,0),ROUND(NETWORKDAYS.INTL(E210,MIN(F210,Reprogramaciones!R$9),11)/NETWORKDAYS.INTL(E210,F210,11)*100,1)))-IF(Reprogramaciones!Q$9&lt;E210,0,IF(NETWORKDAYS.INTL(E210,F210,11)=0,IF(Reprogramaciones!Q$9&gt;=F210,100,0),ROUND(NETWORKDAYS.INTL(E210,MIN(F210,Reprogramaciones!Q$9),11)/NETWORKDAYS.INTL(E210,F210,11)*100,1))))</f>
        <v/>
      </c>
      <c r="O210" s="36" t="str">
        <f aca="false">IF(OR(NOT(AND(ISNUMBER(E210),ISNUMBER(F210))),$J$2=""),"",IF(Reprogramaciones!S$9&lt;E210,0,IF(NETWORKDAYS.INTL(E210,F210,11)=0,IF(Reprogramaciones!S$9&gt;=F210,100,0),ROUND(NETWORKDAYS.INTL(E210,MIN(F210,Reprogramaciones!S$9),11)/NETWORKDAYS.INTL(E210,F210,11)*100,1)))-IF(Reprogramaciones!R$9&lt;E210,0,IF(NETWORKDAYS.INTL(E210,F210,11)=0,IF(Reprogramaciones!R$9&gt;=F210,100,0),ROUND(NETWORKDAYS.INTL(E210,MIN(F210,Reprogramaciones!R$9),11)/NETWORKDAYS.INTL(E210,F210,11)*100,1))))</f>
        <v/>
      </c>
      <c r="P210" s="36" t="str">
        <f aca="false">IF(OR(NOT(AND(ISNUMBER(E210),ISNUMBER(F210))),$J$2=""),"",IF(Reprogramaciones!T$9&lt;E210,0,IF(NETWORKDAYS.INTL(E210,F210,11)=0,IF(Reprogramaciones!T$9&gt;=F210,100,0),ROUND(NETWORKDAYS.INTL(E210,MIN(F210,Reprogramaciones!T$9),11)/NETWORKDAYS.INTL(E210,F210,11)*100,1)))-IF(Reprogramaciones!S$9&lt;E210,0,IF(NETWORKDAYS.INTL(E210,F210,11)=0,IF(Reprogramaciones!S$9&gt;=F210,100,0),ROUND(NETWORKDAYS.INTL(E210,MIN(F210,Reprogramaciones!S$9),11)/NETWORKDAYS.INTL(E210,F210,11)*100,1))))</f>
        <v/>
      </c>
      <c r="Q210" s="37"/>
      <c r="R210" s="37"/>
      <c r="S210" s="37"/>
      <c r="T210" s="37"/>
      <c r="U210" s="37"/>
      <c r="V210" s="37"/>
      <c r="W210" s="37"/>
      <c r="X210" s="37"/>
      <c r="Y210" s="37"/>
      <c r="Z210" s="37"/>
      <c r="AA210" s="37"/>
      <c r="AB210" s="37"/>
      <c r="AC210" s="37"/>
      <c r="AD210" s="37"/>
      <c r="AE210" s="37"/>
      <c r="AF210" s="37"/>
      <c r="AG210" s="38" t="str">
        <f aca="false">IF(AND(ISNUMBER(E210),ISNUMBER(F210)),NETWORKDAYS.INTL(E210,F210,11),"")</f>
        <v/>
      </c>
      <c r="AH210" s="38" t="str">
        <f aca="false">IF(OR(NOT(AND(ISNUMBER(E210),ISNUMBER(F210))),$J$2=""),"",IF(Reprogramaciones!$P$15&lt;Reprogramaciones!$T$15,0,IF(Reprogramaciones!$R$15&gt;10,MIN(100,SUM($G210:$P210)),MIN(100,SUMPRODUCT((COLUMN($G210:$P210)-COLUMN($G210)+1&lt;Reprogramaciones!$R$15)*$G210:$P210)+N(INDEX($G210:$P210,1,Reprogramaciones!$R$15))*IF(Reprogramaciones!$P$15&gt;=(Reprogramaciones!$T$15+7*(Reprogramaciones!$R$15-1))+6,1,IF(MAX(0,NETWORKDAYS.INTL(MAX(E210,(Reprogramaciones!$T$15+7*(Reprogramaciones!$R$15-1))),MIN(F210,(Reprogramaciones!$T$15+7*(Reprogramaciones!$R$15-1))+6),11))=0,0,MAX(0,NETWORKDAYS.INTL(MAX(E210,(Reprogramaciones!$T$15+7*(Reprogramaciones!$R$15-1))),MIN(F210,Reprogramaciones!$P$15),11))/MAX(0,NETWORKDAYS.INTL(MAX(E210,(Reprogramaciones!$T$15+7*(Reprogramaciones!$R$15-1))),MIN(F210,(Reprogramaciones!$T$15+7*(Reprogramaciones!$R$15-1))+6),11))))))))</f>
        <v/>
      </c>
      <c r="AI210" s="38" t="str">
        <f aca="false">IF(COUNT($Q210:$AF210)=0,"",IF(ROUND(SUM($Q210:$AF210),1)&gt;=99.5,100,MIN(100,ROUND(SUM($Q210:$AF210),1))))</f>
        <v/>
      </c>
      <c r="AJ210" s="38" t="str">
        <f aca="false">IF(OR(AH210="",AI210=""),"",AI210-AH210)</f>
        <v/>
      </c>
      <c r="AK210" s="39" t="str">
        <f aca="true">IF(AH210="","",IF(OR(Ficha!$C$10="Suspendida",Ficha!$C$10="Cancelada"),Ficha!$C$10,IF(AND(AI210&lt;&gt;"",N(AI210)&gt;=100),"Completada",IF(AND(E210&gt;TODAY(),N(AI210)=0),"Por iniciar",IF(N(AI210)+0.5&lt;AH210,"Retrasada",IF(N(AI210)+0.5&lt;DA210,IF(Reprogramaciones!$K$15&gt;0,"Al día · Sem "&amp;Reprogramaciones!$K$15&amp;" en curso","Al día · en curso"),"A tiempo"))))))</f>
        <v/>
      </c>
      <c r="AL210" s="39" t="str">
        <f aca="true">IF(AND(A210="",AND(B210="",C210="",E210="",F210="",COUNT(Q210:AF210)=0)),"",IF(AND(B210="",C210="",E210="",F210="",COUNT(Q210:AF210)=0),"Falta la partida o subpartida",IF(AND(A210&lt;&gt;"",COUNTIF($A$6:$A$305,A210)&gt;1),"Ítem repetido",IF(AND(C210="",E210="",F210="",COUNT(Q210:AF210)=0),"Título de partida",IF(OR(E210="",F210=""),"Faltan fechas",IF(OR(ISTEXT(E210),ISTEXT(F210)),"Fecha escrita como texto: usa dd/mm/aaaa",IF(F210&lt;E210,"Fin antes del inicio",IF(IF($J$2="",FALSE(),OR(E210&lt;$J$2,F210&gt;Reprogramaciones!$T$15+69)),"Fuera de las 10 semanas",IF(ABS(SUM(G210:P210)-100)&gt;0.5,"La meta no suma 100%",IF(ROUND(SUM(Q210:AF210),1)&gt;100.5,"El avance pasa de 100%",IF(MIN(Q210:AF210)&lt;0,"Avance negativo",IF(COUNTA(Q210:AF210)&gt;COUNT(Q210:AF210),"Avance escrito como texto",IF(SUMPRODUCT((Q210:AF210&gt;0)*(Q210:AF210&lt;1))&gt;0,"Avance menor a 1: escribe 50, no 50%",IF(SUMPRODUCT(ISNUMBER(Q210:AF210)*(Reprogramaciones!$K$8:$Z$8&gt;TODAY()))&gt;0,"Avance en semana que aún no llega",IF(AND(N(Reprogramaciones!$E$21)&gt;0,F210&gt;Reprogramaciones!$E$21),"Pasa el fin de la obra: registra una reprogramación",IF(AND(N(Reprogramaciones!$E$21)&gt;0,SUMPRODUCT(ISNUMBER(Q210:AF210)*(Reprogramaciones!$K$8:$Z$8&gt;Reprogramaciones!$E$21))&gt;0),"Avance después del fin de la obra: registra una reprogramación por atraso","OK"))))))))))))))))</f>
        <v/>
      </c>
      <c r="AM210" s="40" t="str">
        <f aca="false">IF(OR(OR(NOT(AND(ISNUMBER(E210),ISNUMBER(F210))),$J$2=""),1&gt;MAX(1,Reprogramaciones!$U$15)),"",IF(Reprogramaciones!K$12&gt;=7,"",IF(OR(BT210-N(0)&gt;0.05,N(Q210)&gt;0),ROUNDDOWN(ROUND(BT210,6),0)&amp;"%"&amp;IF(CJ210="",""," / "&amp;CJ210&amp;"%"),IF(AND(N(0)&gt;=99.95,CJ210&lt;&gt;"",N(CJ210)&lt;100),"Pend. "&amp;CJ210&amp;"%",""))))</f>
        <v/>
      </c>
      <c r="AN210" s="40" t="str">
        <f aca="false">IF(OR(OR(NOT(AND(ISNUMBER(E210),ISNUMBER(F210))),$J$2=""),2&gt;MAX(1,Reprogramaciones!$U$15)),"",IF(Reprogramaciones!L$12&gt;=7,"",IF(OR(BU210-N(BT210)&gt;0.05,N(R210)&gt;0),ROUNDDOWN(ROUND(BU210,6),0)&amp;"%"&amp;IF(CK210="",""," / "&amp;CK210&amp;"%"),IF(AND(N(BT210)&gt;=99.95,CK210&lt;&gt;"",N(CK210)&lt;100),"Pend. "&amp;CK210&amp;"%",""))))</f>
        <v/>
      </c>
      <c r="AO210" s="40" t="str">
        <f aca="false">IF(OR(OR(NOT(AND(ISNUMBER(E210),ISNUMBER(F210))),$J$2=""),3&gt;MAX(1,Reprogramaciones!$U$15)),"",IF(Reprogramaciones!M$12&gt;=7,"",IF(OR(BV210-N(BU210)&gt;0.05,N(S210)&gt;0),ROUNDDOWN(ROUND(BV210,6),0)&amp;"%"&amp;IF(CL210="",""," / "&amp;CL210&amp;"%"),IF(AND(N(BU210)&gt;=99.95,CL210&lt;&gt;"",N(CL210)&lt;100),"Pend. "&amp;CL210&amp;"%",""))))</f>
        <v/>
      </c>
      <c r="AP210" s="40" t="str">
        <f aca="false">IF(OR(OR(NOT(AND(ISNUMBER(E210),ISNUMBER(F210))),$J$2=""),4&gt;MAX(1,Reprogramaciones!$U$15)),"",IF(Reprogramaciones!N$12&gt;=7,"",IF(OR(BW210-N(BV210)&gt;0.05,N(T210)&gt;0),ROUNDDOWN(ROUND(BW210,6),0)&amp;"%"&amp;IF(CM210="",""," / "&amp;CM210&amp;"%"),IF(AND(N(BV210)&gt;=99.95,CM210&lt;&gt;"",N(CM210)&lt;100),"Pend. "&amp;CM210&amp;"%",""))))</f>
        <v/>
      </c>
      <c r="AQ210" s="40" t="str">
        <f aca="false">IF(OR(OR(NOT(AND(ISNUMBER(E210),ISNUMBER(F210))),$J$2=""),5&gt;MAX(1,Reprogramaciones!$U$15)),"",IF(Reprogramaciones!O$12&gt;=7,"",IF(OR(BX210-N(BW210)&gt;0.05,N(U210)&gt;0),ROUNDDOWN(ROUND(BX210,6),0)&amp;"%"&amp;IF(CN210="",""," / "&amp;CN210&amp;"%"),IF(AND(N(BW210)&gt;=99.95,CN210&lt;&gt;"",N(CN210)&lt;100),"Pend. "&amp;CN210&amp;"%",""))))</f>
        <v/>
      </c>
      <c r="AR210" s="40" t="str">
        <f aca="false">IF(OR(OR(NOT(AND(ISNUMBER(E210),ISNUMBER(F210))),$J$2=""),6&gt;MAX(1,Reprogramaciones!$U$15)),"",IF(Reprogramaciones!P$12&gt;=7,"",IF(OR(BY210-N(BX210)&gt;0.05,N(V210)&gt;0),ROUNDDOWN(ROUND(BY210,6),0)&amp;"%"&amp;IF(CO210="",""," / "&amp;CO210&amp;"%"),IF(AND(N(BX210)&gt;=99.95,CO210&lt;&gt;"",N(CO210)&lt;100),"Pend. "&amp;CO210&amp;"%",""))))</f>
        <v/>
      </c>
      <c r="AS210" s="40" t="str">
        <f aca="false">IF(OR(OR(NOT(AND(ISNUMBER(E210),ISNUMBER(F210))),$J$2=""),7&gt;MAX(1,Reprogramaciones!$U$15)),"",IF(Reprogramaciones!Q$12&gt;=7,"",IF(OR(BZ210-N(BY210)&gt;0.05,N(W210)&gt;0),ROUNDDOWN(ROUND(BZ210,6),0)&amp;"%"&amp;IF(CP210="",""," / "&amp;CP210&amp;"%"),IF(AND(N(BY210)&gt;=99.95,CP210&lt;&gt;"",N(CP210)&lt;100),"Pend. "&amp;CP210&amp;"%",""))))</f>
        <v/>
      </c>
      <c r="AT210" s="40" t="str">
        <f aca="false">IF(OR(OR(NOT(AND(ISNUMBER(E210),ISNUMBER(F210))),$J$2=""),8&gt;MAX(1,Reprogramaciones!$U$15)),"",IF(Reprogramaciones!R$12&gt;=7,"",IF(OR(CA210-N(BZ210)&gt;0.05,N(X210)&gt;0),ROUNDDOWN(ROUND(CA210,6),0)&amp;"%"&amp;IF(CQ210="",""," / "&amp;CQ210&amp;"%"),IF(AND(N(BZ210)&gt;=99.95,CQ210&lt;&gt;"",N(CQ210)&lt;100),"Pend. "&amp;CQ210&amp;"%",""))))</f>
        <v/>
      </c>
      <c r="AU210" s="40" t="str">
        <f aca="false">IF(OR(OR(NOT(AND(ISNUMBER(E210),ISNUMBER(F210))),$J$2=""),9&gt;MAX(1,Reprogramaciones!$U$15)),"",IF(Reprogramaciones!S$12&gt;=7,"",IF(OR(CB210-N(CA210)&gt;0.05,N(Y210)&gt;0),ROUNDDOWN(ROUND(CB210,6),0)&amp;"%"&amp;IF(CR210="",""," / "&amp;CR210&amp;"%"),IF(AND(N(CA210)&gt;=99.95,CR210&lt;&gt;"",N(CR210)&lt;100),"Pend. "&amp;CR210&amp;"%",""))))</f>
        <v/>
      </c>
      <c r="AV210" s="40" t="str">
        <f aca="false">IF(OR(OR(NOT(AND(ISNUMBER(E210),ISNUMBER(F210))),$J$2=""),10&gt;MAX(1,Reprogramaciones!$U$15)),"",IF(Reprogramaciones!T$12&gt;=7,"",IF(OR(CC210-N(CB210)&gt;0.05,N(Z210)&gt;0),ROUNDDOWN(ROUND(CC210,6),0)&amp;"%"&amp;IF(CS210="",""," / "&amp;CS210&amp;"%"),IF(AND(N(CB210)&gt;=99.95,CS210&lt;&gt;"",N(CS210)&lt;100),"Pend. "&amp;CS210&amp;"%",""))))</f>
        <v/>
      </c>
      <c r="AW210" s="40" t="str">
        <f aca="false">IF(OR(OR(NOT(AND(ISNUMBER(E210),ISNUMBER(F210))),$J$2=""),11&gt;MAX(1,Reprogramaciones!$U$15)),"",IF(Reprogramaciones!U$12&gt;=7,"",IF(OR(CD210-N(CC210)&gt;0.05,N(AA210)&gt;0),ROUNDDOWN(ROUND(CD210,6),0)&amp;"%"&amp;IF(CT210="",""," / "&amp;CT210&amp;"%"),IF(AND(N(CC210)&gt;=99.95,CT210&lt;&gt;"",N(CT210)&lt;100),"Pend. "&amp;CT210&amp;"%",""))))</f>
        <v/>
      </c>
      <c r="AX210" s="40" t="str">
        <f aca="false">IF(OR(OR(NOT(AND(ISNUMBER(E210),ISNUMBER(F210))),$J$2=""),12&gt;MAX(1,Reprogramaciones!$U$15)),"",IF(Reprogramaciones!V$12&gt;=7,"",IF(OR(CE210-N(CD210)&gt;0.05,N(AB210)&gt;0),ROUNDDOWN(ROUND(CE210,6),0)&amp;"%"&amp;IF(CU210="",""," / "&amp;CU210&amp;"%"),IF(AND(N(CD210)&gt;=99.95,CU210&lt;&gt;"",N(CU210)&lt;100),"Pend. "&amp;CU210&amp;"%",""))))</f>
        <v/>
      </c>
      <c r="AY210" s="40" t="str">
        <f aca="false">IF(OR(OR(NOT(AND(ISNUMBER(E210),ISNUMBER(F210))),$J$2=""),13&gt;MAX(1,Reprogramaciones!$U$15)),"",IF(Reprogramaciones!W$12&gt;=7,"",IF(OR(CF210-N(CE210)&gt;0.05,N(AC210)&gt;0),ROUNDDOWN(ROUND(CF210,6),0)&amp;"%"&amp;IF(CV210="",""," / "&amp;CV210&amp;"%"),IF(AND(N(CE210)&gt;=99.95,CV210&lt;&gt;"",N(CV210)&lt;100),"Pend. "&amp;CV210&amp;"%",""))))</f>
        <v/>
      </c>
      <c r="AZ210" s="40" t="str">
        <f aca="false">IF(OR(OR(NOT(AND(ISNUMBER(E210),ISNUMBER(F210))),$J$2=""),14&gt;MAX(1,Reprogramaciones!$U$15)),"",IF(Reprogramaciones!X$12&gt;=7,"",IF(OR(CG210-N(CF210)&gt;0.05,N(AD210)&gt;0),ROUNDDOWN(ROUND(CG210,6),0)&amp;"%"&amp;IF(CW210="",""," / "&amp;CW210&amp;"%"),IF(AND(N(CF210)&gt;=99.95,CW210&lt;&gt;"",N(CW210)&lt;100),"Pend. "&amp;CW210&amp;"%",""))))</f>
        <v/>
      </c>
      <c r="BA210" s="40" t="str">
        <f aca="false">IF(OR(OR(NOT(AND(ISNUMBER(E210),ISNUMBER(F210))),$J$2=""),15&gt;MAX(1,Reprogramaciones!$U$15)),"",IF(Reprogramaciones!Y$12&gt;=7,"",IF(OR(CH210-N(CG210)&gt;0.05,N(AE210)&gt;0),ROUNDDOWN(ROUND(CH210,6),0)&amp;"%"&amp;IF(CX210="",""," / "&amp;CX210&amp;"%"),IF(AND(N(CG210)&gt;=99.95,CX210&lt;&gt;"",N(CX210)&lt;100),"Pend. "&amp;CX210&amp;"%",""))))</f>
        <v/>
      </c>
      <c r="BB210" s="40" t="str">
        <f aca="false">IF(OR(OR(NOT(AND(ISNUMBER(E210),ISNUMBER(F210))),$J$2=""),16&gt;MAX(1,Reprogramaciones!$U$15)),"",IF(Reprogramaciones!Z$12&gt;=7,"",IF(OR(CI210-N(CH210)&gt;0.05,N(AF210)&gt;0),ROUNDDOWN(ROUND(CI210,6),0)&amp;"%"&amp;IF(CY210="",""," / "&amp;CY210&amp;"%"),IF(AND(N(CH210)&gt;=99.95,CY210&lt;&gt;"",N(CY210)&lt;100),"Pend. "&amp;CY210&amp;"%",""))))</f>
        <v/>
      </c>
      <c r="BC210" s="31" t="n">
        <f aca="false">IF(AND(ISNUMBER(E210),ISNUMBER(F210)),MAX(1,NETWORKDAYS.INTL(E210,F210,11)),0)</f>
        <v>0</v>
      </c>
      <c r="BD210" s="1" t="str">
        <f aca="false">IF(OR(NOT(AND(ISNUMBER(E210),ISNUMBER(F210))),$J$2=""),"",MIN(100,ROUND(SUM($G210:G210),1)))</f>
        <v/>
      </c>
      <c r="BE210" s="1" t="str">
        <f aca="false">IF(OR(NOT(AND(ISNUMBER(E210),ISNUMBER(F210))),$J$2=""),"",MIN(100,ROUND(SUM($G210:H210),1)))</f>
        <v/>
      </c>
      <c r="BF210" s="1" t="str">
        <f aca="false">IF(OR(NOT(AND(ISNUMBER(E210),ISNUMBER(F210))),$J$2=""),"",MIN(100,ROUND(SUM($G210:I210),1)))</f>
        <v/>
      </c>
      <c r="BG210" s="1" t="str">
        <f aca="false">IF(OR(NOT(AND(ISNUMBER(E210),ISNUMBER(F210))),$J$2=""),"",MIN(100,ROUND(SUM($G210:J210),1)))</f>
        <v/>
      </c>
      <c r="BH210" s="1" t="str">
        <f aca="false">IF(OR(NOT(AND(ISNUMBER(E210),ISNUMBER(F210))),$J$2=""),"",MIN(100,ROUND(SUM($G210:K210),1)))</f>
        <v/>
      </c>
      <c r="BI210" s="1" t="str">
        <f aca="false">IF(OR(NOT(AND(ISNUMBER(E210),ISNUMBER(F210))),$J$2=""),"",MIN(100,ROUND(SUM($G210:L210),1)))</f>
        <v/>
      </c>
      <c r="BJ210" s="1" t="str">
        <f aca="false">IF(OR(NOT(AND(ISNUMBER(E210),ISNUMBER(F210))),$J$2=""),"",MIN(100,ROUND(SUM($G210:M210),1)))</f>
        <v/>
      </c>
      <c r="BK210" s="1" t="str">
        <f aca="false">IF(OR(NOT(AND(ISNUMBER(E210),ISNUMBER(F210))),$J$2=""),"",MIN(100,ROUND(SUM($G210:N210),1)))</f>
        <v/>
      </c>
      <c r="BL210" s="1" t="str">
        <f aca="false">IF(OR(NOT(AND(ISNUMBER(E210),ISNUMBER(F210))),$J$2=""),"",MIN(100,ROUND(SUM($G210:O210),1)))</f>
        <v/>
      </c>
      <c r="BM210" s="1" t="str">
        <f aca="false">IF(OR(NOT(AND(ISNUMBER(E210),ISNUMBER(F210))),$J$2=""),"",MIN(100,ROUND(SUM($G210:P210),1)))</f>
        <v/>
      </c>
      <c r="BN210" s="1" t="str">
        <f aca="false">IF(OR(NOT(AND(ISNUMBER(E210),ISNUMBER(F210))),$J$2=""),"",MIN(100,ROUND(SUM($G210:P210),1)))</f>
        <v/>
      </c>
      <c r="BO210" s="1" t="str">
        <f aca="false">IF(OR(NOT(AND(ISNUMBER(E210),ISNUMBER(F210))),$J$2=""),"",MIN(100,ROUND(SUM($G210:P210),1)))</f>
        <v/>
      </c>
      <c r="BP210" s="1" t="str">
        <f aca="false">IF(OR(NOT(AND(ISNUMBER(E210),ISNUMBER(F210))),$J$2=""),"",MIN(100,ROUND(SUM($G210:P210),1)))</f>
        <v/>
      </c>
      <c r="BQ210" s="1" t="str">
        <f aca="false">IF(OR(NOT(AND(ISNUMBER(E210),ISNUMBER(F210))),$J$2=""),"",MIN(100,ROUND(SUM($G210:P210),1)))</f>
        <v/>
      </c>
      <c r="BR210" s="1" t="str">
        <f aca="false">IF(OR(NOT(AND(ISNUMBER(E210),ISNUMBER(F210))),$J$2=""),"",MIN(100,ROUND(SUM($G210:P210),1)))</f>
        <v/>
      </c>
      <c r="BS210" s="1" t="str">
        <f aca="false">IF(OR(NOT(AND(ISNUMBER(E210),ISNUMBER(F210))),$J$2=""),"",MIN(100,ROUND(SUM($G210:P210),1)))</f>
        <v/>
      </c>
      <c r="BT210" s="1" t="str">
        <f aca="false">IF(OR(NOT(AND(ISNUMBER(E210),ISNUMBER(F210))),$J$2=""),"",IF(Reprogramaciones!K$13&lt;Reprogramaciones!$T$15,0,IF(Reprogramaciones!K$14&gt;10,MIN(100,SUM($G210:$P210)),MIN(100,SUMPRODUCT((COLUMN($G210:$P210)-COLUMN($G210)+1&lt;Reprogramaciones!K$14)*$G210:$P210)+N(INDEX($G210:$P210,1,Reprogramaciones!K$14))*IF(Reprogramaciones!K$13&gt;=(Reprogramaciones!$T$15+7*(Reprogramaciones!K$14-1))+6,1,IF(MAX(0,NETWORKDAYS.INTL(MAX(E210,(Reprogramaciones!$T$15+7*(Reprogramaciones!K$14-1))),MIN(F210,(Reprogramaciones!$T$15+7*(Reprogramaciones!K$14-1))+6),11))=0,0,MAX(0,NETWORKDAYS.INTL(MAX(E210,(Reprogramaciones!$T$15+7*(Reprogramaciones!K$14-1))),MIN(F210,Reprogramaciones!K$13),11))/MAX(0,NETWORKDAYS.INTL(MAX(E210,(Reprogramaciones!$T$15+7*(Reprogramaciones!K$14-1))),MIN(F210,(Reprogramaciones!$T$15+7*(Reprogramaciones!K$14-1))+6),11))))))))</f>
        <v/>
      </c>
      <c r="BU210" s="1" t="str">
        <f aca="false">IF(OR(NOT(AND(ISNUMBER(E210),ISNUMBER(F210))),$J$2=""),"",IF(Reprogramaciones!L$13&lt;Reprogramaciones!$T$15,0,IF(Reprogramaciones!L$14&gt;10,MIN(100,SUM($G210:$P210)),MIN(100,SUMPRODUCT((COLUMN($G210:$P210)-COLUMN($G210)+1&lt;Reprogramaciones!L$14)*$G210:$P210)+N(INDEX($G210:$P210,1,Reprogramaciones!L$14))*IF(Reprogramaciones!L$13&gt;=(Reprogramaciones!$T$15+7*(Reprogramaciones!L$14-1))+6,1,IF(MAX(0,NETWORKDAYS.INTL(MAX(E210,(Reprogramaciones!$T$15+7*(Reprogramaciones!L$14-1))),MIN(F210,(Reprogramaciones!$T$15+7*(Reprogramaciones!L$14-1))+6),11))=0,0,MAX(0,NETWORKDAYS.INTL(MAX(E210,(Reprogramaciones!$T$15+7*(Reprogramaciones!L$14-1))),MIN(F210,Reprogramaciones!L$13),11))/MAX(0,NETWORKDAYS.INTL(MAX(E210,(Reprogramaciones!$T$15+7*(Reprogramaciones!L$14-1))),MIN(F210,(Reprogramaciones!$T$15+7*(Reprogramaciones!L$14-1))+6),11))))))))</f>
        <v/>
      </c>
      <c r="BV210" s="1" t="str">
        <f aca="false">IF(OR(NOT(AND(ISNUMBER(E210),ISNUMBER(F210))),$J$2=""),"",IF(Reprogramaciones!M$13&lt;Reprogramaciones!$T$15,0,IF(Reprogramaciones!M$14&gt;10,MIN(100,SUM($G210:$P210)),MIN(100,SUMPRODUCT((COLUMN($G210:$P210)-COLUMN($G210)+1&lt;Reprogramaciones!M$14)*$G210:$P210)+N(INDEX($G210:$P210,1,Reprogramaciones!M$14))*IF(Reprogramaciones!M$13&gt;=(Reprogramaciones!$T$15+7*(Reprogramaciones!M$14-1))+6,1,IF(MAX(0,NETWORKDAYS.INTL(MAX(E210,(Reprogramaciones!$T$15+7*(Reprogramaciones!M$14-1))),MIN(F210,(Reprogramaciones!$T$15+7*(Reprogramaciones!M$14-1))+6),11))=0,0,MAX(0,NETWORKDAYS.INTL(MAX(E210,(Reprogramaciones!$T$15+7*(Reprogramaciones!M$14-1))),MIN(F210,Reprogramaciones!M$13),11))/MAX(0,NETWORKDAYS.INTL(MAX(E210,(Reprogramaciones!$T$15+7*(Reprogramaciones!M$14-1))),MIN(F210,(Reprogramaciones!$T$15+7*(Reprogramaciones!M$14-1))+6),11))))))))</f>
        <v/>
      </c>
      <c r="BW210" s="1" t="str">
        <f aca="false">IF(OR(NOT(AND(ISNUMBER(E210),ISNUMBER(F210))),$J$2=""),"",IF(Reprogramaciones!N$13&lt;Reprogramaciones!$T$15,0,IF(Reprogramaciones!N$14&gt;10,MIN(100,SUM($G210:$P210)),MIN(100,SUMPRODUCT((COLUMN($G210:$P210)-COLUMN($G210)+1&lt;Reprogramaciones!N$14)*$G210:$P210)+N(INDEX($G210:$P210,1,Reprogramaciones!N$14))*IF(Reprogramaciones!N$13&gt;=(Reprogramaciones!$T$15+7*(Reprogramaciones!N$14-1))+6,1,IF(MAX(0,NETWORKDAYS.INTL(MAX(E210,(Reprogramaciones!$T$15+7*(Reprogramaciones!N$14-1))),MIN(F210,(Reprogramaciones!$T$15+7*(Reprogramaciones!N$14-1))+6),11))=0,0,MAX(0,NETWORKDAYS.INTL(MAX(E210,(Reprogramaciones!$T$15+7*(Reprogramaciones!N$14-1))),MIN(F210,Reprogramaciones!N$13),11))/MAX(0,NETWORKDAYS.INTL(MAX(E210,(Reprogramaciones!$T$15+7*(Reprogramaciones!N$14-1))),MIN(F210,(Reprogramaciones!$T$15+7*(Reprogramaciones!N$14-1))+6),11))))))))</f>
        <v/>
      </c>
      <c r="BX210" s="1" t="str">
        <f aca="false">IF(OR(NOT(AND(ISNUMBER(E210),ISNUMBER(F210))),$J$2=""),"",IF(Reprogramaciones!O$13&lt;Reprogramaciones!$T$15,0,IF(Reprogramaciones!O$14&gt;10,MIN(100,SUM($G210:$P210)),MIN(100,SUMPRODUCT((COLUMN($G210:$P210)-COLUMN($G210)+1&lt;Reprogramaciones!O$14)*$G210:$P210)+N(INDEX($G210:$P210,1,Reprogramaciones!O$14))*IF(Reprogramaciones!O$13&gt;=(Reprogramaciones!$T$15+7*(Reprogramaciones!O$14-1))+6,1,IF(MAX(0,NETWORKDAYS.INTL(MAX(E210,(Reprogramaciones!$T$15+7*(Reprogramaciones!O$14-1))),MIN(F210,(Reprogramaciones!$T$15+7*(Reprogramaciones!O$14-1))+6),11))=0,0,MAX(0,NETWORKDAYS.INTL(MAX(E210,(Reprogramaciones!$T$15+7*(Reprogramaciones!O$14-1))),MIN(F210,Reprogramaciones!O$13),11))/MAX(0,NETWORKDAYS.INTL(MAX(E210,(Reprogramaciones!$T$15+7*(Reprogramaciones!O$14-1))),MIN(F210,(Reprogramaciones!$T$15+7*(Reprogramaciones!O$14-1))+6),11))))))))</f>
        <v/>
      </c>
      <c r="BY210" s="1" t="str">
        <f aca="false">IF(OR(NOT(AND(ISNUMBER(E210),ISNUMBER(F210))),$J$2=""),"",IF(Reprogramaciones!P$13&lt;Reprogramaciones!$T$15,0,IF(Reprogramaciones!P$14&gt;10,MIN(100,SUM($G210:$P210)),MIN(100,SUMPRODUCT((COLUMN($G210:$P210)-COLUMN($G210)+1&lt;Reprogramaciones!P$14)*$G210:$P210)+N(INDEX($G210:$P210,1,Reprogramaciones!P$14))*IF(Reprogramaciones!P$13&gt;=(Reprogramaciones!$T$15+7*(Reprogramaciones!P$14-1))+6,1,IF(MAX(0,NETWORKDAYS.INTL(MAX(E210,(Reprogramaciones!$T$15+7*(Reprogramaciones!P$14-1))),MIN(F210,(Reprogramaciones!$T$15+7*(Reprogramaciones!P$14-1))+6),11))=0,0,MAX(0,NETWORKDAYS.INTL(MAX(E210,(Reprogramaciones!$T$15+7*(Reprogramaciones!P$14-1))),MIN(F210,Reprogramaciones!P$13),11))/MAX(0,NETWORKDAYS.INTL(MAX(E210,(Reprogramaciones!$T$15+7*(Reprogramaciones!P$14-1))),MIN(F210,(Reprogramaciones!$T$15+7*(Reprogramaciones!P$14-1))+6),11))))))))</f>
        <v/>
      </c>
      <c r="BZ210" s="1" t="str">
        <f aca="false">IF(OR(NOT(AND(ISNUMBER(E210),ISNUMBER(F210))),$J$2=""),"",IF(Reprogramaciones!Q$13&lt;Reprogramaciones!$T$15,0,IF(Reprogramaciones!Q$14&gt;10,MIN(100,SUM($G210:$P210)),MIN(100,SUMPRODUCT((COLUMN($G210:$P210)-COLUMN($G210)+1&lt;Reprogramaciones!Q$14)*$G210:$P210)+N(INDEX($G210:$P210,1,Reprogramaciones!Q$14))*IF(Reprogramaciones!Q$13&gt;=(Reprogramaciones!$T$15+7*(Reprogramaciones!Q$14-1))+6,1,IF(MAX(0,NETWORKDAYS.INTL(MAX(E210,(Reprogramaciones!$T$15+7*(Reprogramaciones!Q$14-1))),MIN(F210,(Reprogramaciones!$T$15+7*(Reprogramaciones!Q$14-1))+6),11))=0,0,MAX(0,NETWORKDAYS.INTL(MAX(E210,(Reprogramaciones!$T$15+7*(Reprogramaciones!Q$14-1))),MIN(F210,Reprogramaciones!Q$13),11))/MAX(0,NETWORKDAYS.INTL(MAX(E210,(Reprogramaciones!$T$15+7*(Reprogramaciones!Q$14-1))),MIN(F210,(Reprogramaciones!$T$15+7*(Reprogramaciones!Q$14-1))+6),11))))))))</f>
        <v/>
      </c>
      <c r="CA210" s="1" t="str">
        <f aca="false">IF(OR(NOT(AND(ISNUMBER(E210),ISNUMBER(F210))),$J$2=""),"",IF(Reprogramaciones!R$13&lt;Reprogramaciones!$T$15,0,IF(Reprogramaciones!R$14&gt;10,MIN(100,SUM($G210:$P210)),MIN(100,SUMPRODUCT((COLUMN($G210:$P210)-COLUMN($G210)+1&lt;Reprogramaciones!R$14)*$G210:$P210)+N(INDEX($G210:$P210,1,Reprogramaciones!R$14))*IF(Reprogramaciones!R$13&gt;=(Reprogramaciones!$T$15+7*(Reprogramaciones!R$14-1))+6,1,IF(MAX(0,NETWORKDAYS.INTL(MAX(E210,(Reprogramaciones!$T$15+7*(Reprogramaciones!R$14-1))),MIN(F210,(Reprogramaciones!$T$15+7*(Reprogramaciones!R$14-1))+6),11))=0,0,MAX(0,NETWORKDAYS.INTL(MAX(E210,(Reprogramaciones!$T$15+7*(Reprogramaciones!R$14-1))),MIN(F210,Reprogramaciones!R$13),11))/MAX(0,NETWORKDAYS.INTL(MAX(E210,(Reprogramaciones!$T$15+7*(Reprogramaciones!R$14-1))),MIN(F210,(Reprogramaciones!$T$15+7*(Reprogramaciones!R$14-1))+6),11))))))))</f>
        <v/>
      </c>
      <c r="CB210" s="1" t="str">
        <f aca="false">IF(OR(NOT(AND(ISNUMBER(E210),ISNUMBER(F210))),$J$2=""),"",IF(Reprogramaciones!S$13&lt;Reprogramaciones!$T$15,0,IF(Reprogramaciones!S$14&gt;10,MIN(100,SUM($G210:$P210)),MIN(100,SUMPRODUCT((COLUMN($G210:$P210)-COLUMN($G210)+1&lt;Reprogramaciones!S$14)*$G210:$P210)+N(INDEX($G210:$P210,1,Reprogramaciones!S$14))*IF(Reprogramaciones!S$13&gt;=(Reprogramaciones!$T$15+7*(Reprogramaciones!S$14-1))+6,1,IF(MAX(0,NETWORKDAYS.INTL(MAX(E210,(Reprogramaciones!$T$15+7*(Reprogramaciones!S$14-1))),MIN(F210,(Reprogramaciones!$T$15+7*(Reprogramaciones!S$14-1))+6),11))=0,0,MAX(0,NETWORKDAYS.INTL(MAX(E210,(Reprogramaciones!$T$15+7*(Reprogramaciones!S$14-1))),MIN(F210,Reprogramaciones!S$13),11))/MAX(0,NETWORKDAYS.INTL(MAX(E210,(Reprogramaciones!$T$15+7*(Reprogramaciones!S$14-1))),MIN(F210,(Reprogramaciones!$T$15+7*(Reprogramaciones!S$14-1))+6),11))))))))</f>
        <v/>
      </c>
      <c r="CC210" s="1" t="str">
        <f aca="false">IF(OR(NOT(AND(ISNUMBER(E210),ISNUMBER(F210))),$J$2=""),"",IF(Reprogramaciones!T$13&lt;Reprogramaciones!$T$15,0,IF(Reprogramaciones!T$14&gt;10,MIN(100,SUM($G210:$P210)),MIN(100,SUMPRODUCT((COLUMN($G210:$P210)-COLUMN($G210)+1&lt;Reprogramaciones!T$14)*$G210:$P210)+N(INDEX($G210:$P210,1,Reprogramaciones!T$14))*IF(Reprogramaciones!T$13&gt;=(Reprogramaciones!$T$15+7*(Reprogramaciones!T$14-1))+6,1,IF(MAX(0,NETWORKDAYS.INTL(MAX(E210,(Reprogramaciones!$T$15+7*(Reprogramaciones!T$14-1))),MIN(F210,(Reprogramaciones!$T$15+7*(Reprogramaciones!T$14-1))+6),11))=0,0,MAX(0,NETWORKDAYS.INTL(MAX(E210,(Reprogramaciones!$T$15+7*(Reprogramaciones!T$14-1))),MIN(F210,Reprogramaciones!T$13),11))/MAX(0,NETWORKDAYS.INTL(MAX(E210,(Reprogramaciones!$T$15+7*(Reprogramaciones!T$14-1))),MIN(F210,(Reprogramaciones!$T$15+7*(Reprogramaciones!T$14-1))+6),11))))))))</f>
        <v/>
      </c>
      <c r="CD210" s="1" t="str">
        <f aca="false">IF(OR(NOT(AND(ISNUMBER(E210),ISNUMBER(F210))),$J$2=""),"",IF(Reprogramaciones!U$13&lt;Reprogramaciones!$T$15,0,IF(Reprogramaciones!U$14&gt;10,MIN(100,SUM($G210:$P210)),MIN(100,SUMPRODUCT((COLUMN($G210:$P210)-COLUMN($G210)+1&lt;Reprogramaciones!U$14)*$G210:$P210)+N(INDEX($G210:$P210,1,Reprogramaciones!U$14))*IF(Reprogramaciones!U$13&gt;=(Reprogramaciones!$T$15+7*(Reprogramaciones!U$14-1))+6,1,IF(MAX(0,NETWORKDAYS.INTL(MAX(E210,(Reprogramaciones!$T$15+7*(Reprogramaciones!U$14-1))),MIN(F210,(Reprogramaciones!$T$15+7*(Reprogramaciones!U$14-1))+6),11))=0,0,MAX(0,NETWORKDAYS.INTL(MAX(E210,(Reprogramaciones!$T$15+7*(Reprogramaciones!U$14-1))),MIN(F210,Reprogramaciones!U$13),11))/MAX(0,NETWORKDAYS.INTL(MAX(E210,(Reprogramaciones!$T$15+7*(Reprogramaciones!U$14-1))),MIN(F210,(Reprogramaciones!$T$15+7*(Reprogramaciones!U$14-1))+6),11))))))))</f>
        <v/>
      </c>
      <c r="CE210" s="1" t="str">
        <f aca="false">IF(OR(NOT(AND(ISNUMBER(E210),ISNUMBER(F210))),$J$2=""),"",IF(Reprogramaciones!V$13&lt;Reprogramaciones!$T$15,0,IF(Reprogramaciones!V$14&gt;10,MIN(100,SUM($G210:$P210)),MIN(100,SUMPRODUCT((COLUMN($G210:$P210)-COLUMN($G210)+1&lt;Reprogramaciones!V$14)*$G210:$P210)+N(INDEX($G210:$P210,1,Reprogramaciones!V$14))*IF(Reprogramaciones!V$13&gt;=(Reprogramaciones!$T$15+7*(Reprogramaciones!V$14-1))+6,1,IF(MAX(0,NETWORKDAYS.INTL(MAX(E210,(Reprogramaciones!$T$15+7*(Reprogramaciones!V$14-1))),MIN(F210,(Reprogramaciones!$T$15+7*(Reprogramaciones!V$14-1))+6),11))=0,0,MAX(0,NETWORKDAYS.INTL(MAX(E210,(Reprogramaciones!$T$15+7*(Reprogramaciones!V$14-1))),MIN(F210,Reprogramaciones!V$13),11))/MAX(0,NETWORKDAYS.INTL(MAX(E210,(Reprogramaciones!$T$15+7*(Reprogramaciones!V$14-1))),MIN(F210,(Reprogramaciones!$T$15+7*(Reprogramaciones!V$14-1))+6),11))))))))</f>
        <v/>
      </c>
      <c r="CF210" s="1" t="str">
        <f aca="false">IF(OR(NOT(AND(ISNUMBER(E210),ISNUMBER(F210))),$J$2=""),"",IF(Reprogramaciones!W$13&lt;Reprogramaciones!$T$15,0,IF(Reprogramaciones!W$14&gt;10,MIN(100,SUM($G210:$P210)),MIN(100,SUMPRODUCT((COLUMN($G210:$P210)-COLUMN($G210)+1&lt;Reprogramaciones!W$14)*$G210:$P210)+N(INDEX($G210:$P210,1,Reprogramaciones!W$14))*IF(Reprogramaciones!W$13&gt;=(Reprogramaciones!$T$15+7*(Reprogramaciones!W$14-1))+6,1,IF(MAX(0,NETWORKDAYS.INTL(MAX(E210,(Reprogramaciones!$T$15+7*(Reprogramaciones!W$14-1))),MIN(F210,(Reprogramaciones!$T$15+7*(Reprogramaciones!W$14-1))+6),11))=0,0,MAX(0,NETWORKDAYS.INTL(MAX(E210,(Reprogramaciones!$T$15+7*(Reprogramaciones!W$14-1))),MIN(F210,Reprogramaciones!W$13),11))/MAX(0,NETWORKDAYS.INTL(MAX(E210,(Reprogramaciones!$T$15+7*(Reprogramaciones!W$14-1))),MIN(F210,(Reprogramaciones!$T$15+7*(Reprogramaciones!W$14-1))+6),11))))))))</f>
        <v/>
      </c>
      <c r="CG210" s="1" t="str">
        <f aca="false">IF(OR(NOT(AND(ISNUMBER(E210),ISNUMBER(F210))),$J$2=""),"",IF(Reprogramaciones!X$13&lt;Reprogramaciones!$T$15,0,IF(Reprogramaciones!X$14&gt;10,MIN(100,SUM($G210:$P210)),MIN(100,SUMPRODUCT((COLUMN($G210:$P210)-COLUMN($G210)+1&lt;Reprogramaciones!X$14)*$G210:$P210)+N(INDEX($G210:$P210,1,Reprogramaciones!X$14))*IF(Reprogramaciones!X$13&gt;=(Reprogramaciones!$T$15+7*(Reprogramaciones!X$14-1))+6,1,IF(MAX(0,NETWORKDAYS.INTL(MAX(E210,(Reprogramaciones!$T$15+7*(Reprogramaciones!X$14-1))),MIN(F210,(Reprogramaciones!$T$15+7*(Reprogramaciones!X$14-1))+6),11))=0,0,MAX(0,NETWORKDAYS.INTL(MAX(E210,(Reprogramaciones!$T$15+7*(Reprogramaciones!X$14-1))),MIN(F210,Reprogramaciones!X$13),11))/MAX(0,NETWORKDAYS.INTL(MAX(E210,(Reprogramaciones!$T$15+7*(Reprogramaciones!X$14-1))),MIN(F210,(Reprogramaciones!$T$15+7*(Reprogramaciones!X$14-1))+6),11))))))))</f>
        <v/>
      </c>
      <c r="CH210" s="1" t="str">
        <f aca="false">IF(OR(NOT(AND(ISNUMBER(E210),ISNUMBER(F210))),$J$2=""),"",IF(Reprogramaciones!Y$13&lt;Reprogramaciones!$T$15,0,IF(Reprogramaciones!Y$14&gt;10,MIN(100,SUM($G210:$P210)),MIN(100,SUMPRODUCT((COLUMN($G210:$P210)-COLUMN($G210)+1&lt;Reprogramaciones!Y$14)*$G210:$P210)+N(INDEX($G210:$P210,1,Reprogramaciones!Y$14))*IF(Reprogramaciones!Y$13&gt;=(Reprogramaciones!$T$15+7*(Reprogramaciones!Y$14-1))+6,1,IF(MAX(0,NETWORKDAYS.INTL(MAX(E210,(Reprogramaciones!$T$15+7*(Reprogramaciones!Y$14-1))),MIN(F210,(Reprogramaciones!$T$15+7*(Reprogramaciones!Y$14-1))+6),11))=0,0,MAX(0,NETWORKDAYS.INTL(MAX(E210,(Reprogramaciones!$T$15+7*(Reprogramaciones!Y$14-1))),MIN(F210,Reprogramaciones!Y$13),11))/MAX(0,NETWORKDAYS.INTL(MAX(E210,(Reprogramaciones!$T$15+7*(Reprogramaciones!Y$14-1))),MIN(F210,(Reprogramaciones!$T$15+7*(Reprogramaciones!Y$14-1))+6),11))))))))</f>
        <v/>
      </c>
      <c r="CI210" s="1" t="str">
        <f aca="false">IF(OR(NOT(AND(ISNUMBER(E210),ISNUMBER(F210))),$J$2=""),"",IF(Reprogramaciones!Z$13&lt;Reprogramaciones!$T$15,0,IF(Reprogramaciones!Z$14&gt;10,MIN(100,SUM($G210:$P210)),MIN(100,SUMPRODUCT((COLUMN($G210:$P210)-COLUMN($G210)+1&lt;Reprogramaciones!Z$14)*$G210:$P210)+N(INDEX($G210:$P210,1,Reprogramaciones!Z$14))*IF(Reprogramaciones!Z$13&gt;=(Reprogramaciones!$T$15+7*(Reprogramaciones!Z$14-1))+6,1,IF(MAX(0,NETWORKDAYS.INTL(MAX(E210,(Reprogramaciones!$T$15+7*(Reprogramaciones!Z$14-1))),MIN(F210,(Reprogramaciones!$T$15+7*(Reprogramaciones!Z$14-1))+6),11))=0,0,MAX(0,NETWORKDAYS.INTL(MAX(E210,(Reprogramaciones!$T$15+7*(Reprogramaciones!Z$14-1))),MIN(F210,Reprogramaciones!Z$13),11))/MAX(0,NETWORKDAYS.INTL(MAX(E210,(Reprogramaciones!$T$15+7*(Reprogramaciones!Z$14-1))),MIN(F210,(Reprogramaciones!$T$15+7*(Reprogramaciones!Z$14-1))+6),11))))))))</f>
        <v/>
      </c>
      <c r="CJ210" s="1" t="str">
        <f aca="false">IF(OR(OR(NOT(AND(ISNUMBER(E210),ISNUMBER(F210))),$J$2=""),1&gt;Reprogramaciones!$K$16),"",IF(ROUND(SUM($Q210:Q210),1)&gt;=99.5,100,MIN(100,ROUND(SUM($Q210:Q210),1))))</f>
        <v/>
      </c>
      <c r="CK210" s="1" t="str">
        <f aca="false">IF(OR(OR(NOT(AND(ISNUMBER(E210),ISNUMBER(F210))),$J$2=""),2&gt;Reprogramaciones!$K$16),"",IF(ROUND(SUM($Q210:R210),1)&gt;=99.5,100,MIN(100,ROUND(SUM($Q210:R210),1))))</f>
        <v/>
      </c>
      <c r="CL210" s="1" t="str">
        <f aca="false">IF(OR(OR(NOT(AND(ISNUMBER(E210),ISNUMBER(F210))),$J$2=""),3&gt;Reprogramaciones!$K$16),"",IF(ROUND(SUM($Q210:S210),1)&gt;=99.5,100,MIN(100,ROUND(SUM($Q210:S210),1))))</f>
        <v/>
      </c>
      <c r="CM210" s="1" t="str">
        <f aca="false">IF(OR(OR(NOT(AND(ISNUMBER(E210),ISNUMBER(F210))),$J$2=""),4&gt;Reprogramaciones!$K$16),"",IF(ROUND(SUM($Q210:T210),1)&gt;=99.5,100,MIN(100,ROUND(SUM($Q210:T210),1))))</f>
        <v/>
      </c>
      <c r="CN210" s="1" t="str">
        <f aca="false">IF(OR(OR(NOT(AND(ISNUMBER(E210),ISNUMBER(F210))),$J$2=""),5&gt;Reprogramaciones!$K$16),"",IF(ROUND(SUM($Q210:U210),1)&gt;=99.5,100,MIN(100,ROUND(SUM($Q210:U210),1))))</f>
        <v/>
      </c>
      <c r="CO210" s="1" t="str">
        <f aca="false">IF(OR(OR(NOT(AND(ISNUMBER(E210),ISNUMBER(F210))),$J$2=""),6&gt;Reprogramaciones!$K$16),"",IF(ROUND(SUM($Q210:V210),1)&gt;=99.5,100,MIN(100,ROUND(SUM($Q210:V210),1))))</f>
        <v/>
      </c>
      <c r="CP210" s="1" t="str">
        <f aca="false">IF(OR(OR(NOT(AND(ISNUMBER(E210),ISNUMBER(F210))),$J$2=""),7&gt;Reprogramaciones!$K$16),"",IF(ROUND(SUM($Q210:W210),1)&gt;=99.5,100,MIN(100,ROUND(SUM($Q210:W210),1))))</f>
        <v/>
      </c>
      <c r="CQ210" s="1" t="str">
        <f aca="false">IF(OR(OR(NOT(AND(ISNUMBER(E210),ISNUMBER(F210))),$J$2=""),8&gt;Reprogramaciones!$K$16),"",IF(ROUND(SUM($Q210:X210),1)&gt;=99.5,100,MIN(100,ROUND(SUM($Q210:X210),1))))</f>
        <v/>
      </c>
      <c r="CR210" s="1" t="str">
        <f aca="false">IF(OR(OR(NOT(AND(ISNUMBER(E210),ISNUMBER(F210))),$J$2=""),9&gt;Reprogramaciones!$K$16),"",IF(ROUND(SUM($Q210:Y210),1)&gt;=99.5,100,MIN(100,ROUND(SUM($Q210:Y210),1))))</f>
        <v/>
      </c>
      <c r="CS210" s="1" t="str">
        <f aca="false">IF(OR(OR(NOT(AND(ISNUMBER(E210),ISNUMBER(F210))),$J$2=""),10&gt;Reprogramaciones!$K$16),"",IF(ROUND(SUM($Q210:Z210),1)&gt;=99.5,100,MIN(100,ROUND(SUM($Q210:Z210),1))))</f>
        <v/>
      </c>
      <c r="CT210" s="1" t="str">
        <f aca="false">IF(OR(OR(NOT(AND(ISNUMBER(E210),ISNUMBER(F210))),$J$2=""),11&gt;Reprogramaciones!$K$16),"",IF(ROUND(SUM($Q210:AA210),1)&gt;=99.5,100,MIN(100,ROUND(SUM($Q210:AA210),1))))</f>
        <v/>
      </c>
      <c r="CU210" s="1" t="str">
        <f aca="false">IF(OR(OR(NOT(AND(ISNUMBER(E210),ISNUMBER(F210))),$J$2=""),12&gt;Reprogramaciones!$K$16),"",IF(ROUND(SUM($Q210:AB210),1)&gt;=99.5,100,MIN(100,ROUND(SUM($Q210:AB210),1))))</f>
        <v/>
      </c>
      <c r="CV210" s="1" t="str">
        <f aca="false">IF(OR(OR(NOT(AND(ISNUMBER(E210),ISNUMBER(F210))),$J$2=""),13&gt;Reprogramaciones!$K$16),"",IF(ROUND(SUM($Q210:AC210),1)&gt;=99.5,100,MIN(100,ROUND(SUM($Q210:AC210),1))))</f>
        <v/>
      </c>
      <c r="CW210" s="1" t="str">
        <f aca="false">IF(OR(OR(NOT(AND(ISNUMBER(E210),ISNUMBER(F210))),$J$2=""),14&gt;Reprogramaciones!$K$16),"",IF(ROUND(SUM($Q210:AD210),1)&gt;=99.5,100,MIN(100,ROUND(SUM($Q210:AD210),1))))</f>
        <v/>
      </c>
      <c r="CX210" s="1" t="str">
        <f aca="false">IF(OR(OR(NOT(AND(ISNUMBER(E210),ISNUMBER(F210))),$J$2=""),15&gt;Reprogramaciones!$K$16),"",IF(ROUND(SUM($Q210:AE210),1)&gt;=99.5,100,MIN(100,ROUND(SUM($Q210:AE210),1))))</f>
        <v/>
      </c>
      <c r="CY210" s="1" t="str">
        <f aca="false">IF(OR(OR(NOT(AND(ISNUMBER(E210),ISNUMBER(F210))),$J$2=""),16&gt;Reprogramaciones!$K$16),"",IF(ROUND(SUM($Q210:AF210),1)&gt;=99.5,100,MIN(100,ROUND(SUM($Q210:AF210),1))))</f>
        <v/>
      </c>
      <c r="CZ210" s="1" t="str">
        <f aca="false">IF(D210&lt;&gt;"",D210,IF(B210&lt;&gt;"","Contractual",CZ209))</f>
        <v>Contractual</v>
      </c>
      <c r="DA210" s="1" t="str">
        <f aca="false">IF(OR(NOT(AND(ISNUMBER(E210),ISNUMBER(F210))),$J$2=""),"",IF(Reprogramaciones!$Q$15&lt;Reprogramaciones!$T$15,0,IF(Reprogramaciones!$S$15&gt;10,MIN(100,SUM($G210:$P210)),MIN(100,SUMPRODUCT((COLUMN($G210:$P210)-COLUMN($G210)+1&lt;Reprogramaciones!$S$15)*$G210:$P210)+N(INDEX($G210:$P210,1,Reprogramaciones!$S$15))*IF(Reprogramaciones!$Q$15&gt;=(Reprogramaciones!$T$15+7*(Reprogramaciones!$S$15-1))+6,1,IF(MAX(0,NETWORKDAYS.INTL(MAX(E210,(Reprogramaciones!$T$15+7*(Reprogramaciones!$S$15-1))),MIN(F210,(Reprogramaciones!$T$15+7*(Reprogramaciones!$S$15-1))+6),11))=0,0,MAX(0,NETWORKDAYS.INTL(MAX(E210,(Reprogramaciones!$T$15+7*(Reprogramaciones!$S$15-1))),MIN(F210,Reprogramaciones!$Q$15),11))/MAX(0,NETWORKDAYS.INTL(MAX(E210,(Reprogramaciones!$T$15+7*(Reprogramaciones!$S$15-1))),MIN(F210,(Reprogramaciones!$T$15+7*(Reprogramaciones!$S$15-1))+6),11))))))))</f>
        <v/>
      </c>
    </row>
    <row r="211" customFormat="false" ht="15" hidden="false" customHeight="false" outlineLevel="0" collapsed="false">
      <c r="A211" s="32"/>
      <c r="B211" s="33"/>
      <c r="C211" s="33"/>
      <c r="D211" s="34"/>
      <c r="E211" s="35"/>
      <c r="F211" s="35"/>
      <c r="G211" s="36" t="str">
        <f aca="false">IF(OR(NOT(AND(ISNUMBER(E211),ISNUMBER(F211))),$J$2=""),"",IF(Reprogramaciones!K$9&lt;E211,0,IF(NETWORKDAYS.INTL(E211,F211,11)=0,IF(Reprogramaciones!K$9&gt;=F211,100,0),ROUND(NETWORKDAYS.INTL(E211,MIN(F211,Reprogramaciones!K$9),11)/NETWORKDAYS.INTL(E211,F211,11)*100,1)))-0)</f>
        <v/>
      </c>
      <c r="H211" s="36" t="str">
        <f aca="false">IF(OR(NOT(AND(ISNUMBER(E211),ISNUMBER(F211))),$J$2=""),"",IF(Reprogramaciones!L$9&lt;E211,0,IF(NETWORKDAYS.INTL(E211,F211,11)=0,IF(Reprogramaciones!L$9&gt;=F211,100,0),ROUND(NETWORKDAYS.INTL(E211,MIN(F211,Reprogramaciones!L$9),11)/NETWORKDAYS.INTL(E211,F211,11)*100,1)))-IF(Reprogramaciones!K$9&lt;E211,0,IF(NETWORKDAYS.INTL(E211,F211,11)=0,IF(Reprogramaciones!K$9&gt;=F211,100,0),ROUND(NETWORKDAYS.INTL(E211,MIN(F211,Reprogramaciones!K$9),11)/NETWORKDAYS.INTL(E211,F211,11)*100,1))))</f>
        <v/>
      </c>
      <c r="I211" s="36" t="str">
        <f aca="false">IF(OR(NOT(AND(ISNUMBER(E211),ISNUMBER(F211))),$J$2=""),"",IF(Reprogramaciones!M$9&lt;E211,0,IF(NETWORKDAYS.INTL(E211,F211,11)=0,IF(Reprogramaciones!M$9&gt;=F211,100,0),ROUND(NETWORKDAYS.INTL(E211,MIN(F211,Reprogramaciones!M$9),11)/NETWORKDAYS.INTL(E211,F211,11)*100,1)))-IF(Reprogramaciones!L$9&lt;E211,0,IF(NETWORKDAYS.INTL(E211,F211,11)=0,IF(Reprogramaciones!L$9&gt;=F211,100,0),ROUND(NETWORKDAYS.INTL(E211,MIN(F211,Reprogramaciones!L$9),11)/NETWORKDAYS.INTL(E211,F211,11)*100,1))))</f>
        <v/>
      </c>
      <c r="J211" s="36" t="str">
        <f aca="false">IF(OR(NOT(AND(ISNUMBER(E211),ISNUMBER(F211))),$J$2=""),"",IF(Reprogramaciones!N$9&lt;E211,0,IF(NETWORKDAYS.INTL(E211,F211,11)=0,IF(Reprogramaciones!N$9&gt;=F211,100,0),ROUND(NETWORKDAYS.INTL(E211,MIN(F211,Reprogramaciones!N$9),11)/NETWORKDAYS.INTL(E211,F211,11)*100,1)))-IF(Reprogramaciones!M$9&lt;E211,0,IF(NETWORKDAYS.INTL(E211,F211,11)=0,IF(Reprogramaciones!M$9&gt;=F211,100,0),ROUND(NETWORKDAYS.INTL(E211,MIN(F211,Reprogramaciones!M$9),11)/NETWORKDAYS.INTL(E211,F211,11)*100,1))))</f>
        <v/>
      </c>
      <c r="K211" s="36" t="str">
        <f aca="false">IF(OR(NOT(AND(ISNUMBER(E211),ISNUMBER(F211))),$J$2=""),"",IF(Reprogramaciones!O$9&lt;E211,0,IF(NETWORKDAYS.INTL(E211,F211,11)=0,IF(Reprogramaciones!O$9&gt;=F211,100,0),ROUND(NETWORKDAYS.INTL(E211,MIN(F211,Reprogramaciones!O$9),11)/NETWORKDAYS.INTL(E211,F211,11)*100,1)))-IF(Reprogramaciones!N$9&lt;E211,0,IF(NETWORKDAYS.INTL(E211,F211,11)=0,IF(Reprogramaciones!N$9&gt;=F211,100,0),ROUND(NETWORKDAYS.INTL(E211,MIN(F211,Reprogramaciones!N$9),11)/NETWORKDAYS.INTL(E211,F211,11)*100,1))))</f>
        <v/>
      </c>
      <c r="L211" s="36" t="str">
        <f aca="false">IF(OR(NOT(AND(ISNUMBER(E211),ISNUMBER(F211))),$J$2=""),"",IF(Reprogramaciones!P$9&lt;E211,0,IF(NETWORKDAYS.INTL(E211,F211,11)=0,IF(Reprogramaciones!P$9&gt;=F211,100,0),ROUND(NETWORKDAYS.INTL(E211,MIN(F211,Reprogramaciones!P$9),11)/NETWORKDAYS.INTL(E211,F211,11)*100,1)))-IF(Reprogramaciones!O$9&lt;E211,0,IF(NETWORKDAYS.INTL(E211,F211,11)=0,IF(Reprogramaciones!O$9&gt;=F211,100,0),ROUND(NETWORKDAYS.INTL(E211,MIN(F211,Reprogramaciones!O$9),11)/NETWORKDAYS.INTL(E211,F211,11)*100,1))))</f>
        <v/>
      </c>
      <c r="M211" s="36" t="str">
        <f aca="false">IF(OR(NOT(AND(ISNUMBER(E211),ISNUMBER(F211))),$J$2=""),"",IF(Reprogramaciones!Q$9&lt;E211,0,IF(NETWORKDAYS.INTL(E211,F211,11)=0,IF(Reprogramaciones!Q$9&gt;=F211,100,0),ROUND(NETWORKDAYS.INTL(E211,MIN(F211,Reprogramaciones!Q$9),11)/NETWORKDAYS.INTL(E211,F211,11)*100,1)))-IF(Reprogramaciones!P$9&lt;E211,0,IF(NETWORKDAYS.INTL(E211,F211,11)=0,IF(Reprogramaciones!P$9&gt;=F211,100,0),ROUND(NETWORKDAYS.INTL(E211,MIN(F211,Reprogramaciones!P$9),11)/NETWORKDAYS.INTL(E211,F211,11)*100,1))))</f>
        <v/>
      </c>
      <c r="N211" s="36" t="str">
        <f aca="false">IF(OR(NOT(AND(ISNUMBER(E211),ISNUMBER(F211))),$J$2=""),"",IF(Reprogramaciones!R$9&lt;E211,0,IF(NETWORKDAYS.INTL(E211,F211,11)=0,IF(Reprogramaciones!R$9&gt;=F211,100,0),ROUND(NETWORKDAYS.INTL(E211,MIN(F211,Reprogramaciones!R$9),11)/NETWORKDAYS.INTL(E211,F211,11)*100,1)))-IF(Reprogramaciones!Q$9&lt;E211,0,IF(NETWORKDAYS.INTL(E211,F211,11)=0,IF(Reprogramaciones!Q$9&gt;=F211,100,0),ROUND(NETWORKDAYS.INTL(E211,MIN(F211,Reprogramaciones!Q$9),11)/NETWORKDAYS.INTL(E211,F211,11)*100,1))))</f>
        <v/>
      </c>
      <c r="O211" s="36" t="str">
        <f aca="false">IF(OR(NOT(AND(ISNUMBER(E211),ISNUMBER(F211))),$J$2=""),"",IF(Reprogramaciones!S$9&lt;E211,0,IF(NETWORKDAYS.INTL(E211,F211,11)=0,IF(Reprogramaciones!S$9&gt;=F211,100,0),ROUND(NETWORKDAYS.INTL(E211,MIN(F211,Reprogramaciones!S$9),11)/NETWORKDAYS.INTL(E211,F211,11)*100,1)))-IF(Reprogramaciones!R$9&lt;E211,0,IF(NETWORKDAYS.INTL(E211,F211,11)=0,IF(Reprogramaciones!R$9&gt;=F211,100,0),ROUND(NETWORKDAYS.INTL(E211,MIN(F211,Reprogramaciones!R$9),11)/NETWORKDAYS.INTL(E211,F211,11)*100,1))))</f>
        <v/>
      </c>
      <c r="P211" s="36" t="str">
        <f aca="false">IF(OR(NOT(AND(ISNUMBER(E211),ISNUMBER(F211))),$J$2=""),"",IF(Reprogramaciones!T$9&lt;E211,0,IF(NETWORKDAYS.INTL(E211,F211,11)=0,IF(Reprogramaciones!T$9&gt;=F211,100,0),ROUND(NETWORKDAYS.INTL(E211,MIN(F211,Reprogramaciones!T$9),11)/NETWORKDAYS.INTL(E211,F211,11)*100,1)))-IF(Reprogramaciones!S$9&lt;E211,0,IF(NETWORKDAYS.INTL(E211,F211,11)=0,IF(Reprogramaciones!S$9&gt;=F211,100,0),ROUND(NETWORKDAYS.INTL(E211,MIN(F211,Reprogramaciones!S$9),11)/NETWORKDAYS.INTL(E211,F211,11)*100,1))))</f>
        <v/>
      </c>
      <c r="Q211" s="37"/>
      <c r="R211" s="37"/>
      <c r="S211" s="37"/>
      <c r="T211" s="37"/>
      <c r="U211" s="37"/>
      <c r="V211" s="37"/>
      <c r="W211" s="37"/>
      <c r="X211" s="37"/>
      <c r="Y211" s="37"/>
      <c r="Z211" s="37"/>
      <c r="AA211" s="37"/>
      <c r="AB211" s="37"/>
      <c r="AC211" s="37"/>
      <c r="AD211" s="37"/>
      <c r="AE211" s="37"/>
      <c r="AF211" s="37"/>
      <c r="AG211" s="38" t="str">
        <f aca="false">IF(AND(ISNUMBER(E211),ISNUMBER(F211)),NETWORKDAYS.INTL(E211,F211,11),"")</f>
        <v/>
      </c>
      <c r="AH211" s="38" t="str">
        <f aca="false">IF(OR(NOT(AND(ISNUMBER(E211),ISNUMBER(F211))),$J$2=""),"",IF(Reprogramaciones!$P$15&lt;Reprogramaciones!$T$15,0,IF(Reprogramaciones!$R$15&gt;10,MIN(100,SUM($G211:$P211)),MIN(100,SUMPRODUCT((COLUMN($G211:$P211)-COLUMN($G211)+1&lt;Reprogramaciones!$R$15)*$G211:$P211)+N(INDEX($G211:$P211,1,Reprogramaciones!$R$15))*IF(Reprogramaciones!$P$15&gt;=(Reprogramaciones!$T$15+7*(Reprogramaciones!$R$15-1))+6,1,IF(MAX(0,NETWORKDAYS.INTL(MAX(E211,(Reprogramaciones!$T$15+7*(Reprogramaciones!$R$15-1))),MIN(F211,(Reprogramaciones!$T$15+7*(Reprogramaciones!$R$15-1))+6),11))=0,0,MAX(0,NETWORKDAYS.INTL(MAX(E211,(Reprogramaciones!$T$15+7*(Reprogramaciones!$R$15-1))),MIN(F211,Reprogramaciones!$P$15),11))/MAX(0,NETWORKDAYS.INTL(MAX(E211,(Reprogramaciones!$T$15+7*(Reprogramaciones!$R$15-1))),MIN(F211,(Reprogramaciones!$T$15+7*(Reprogramaciones!$R$15-1))+6),11))))))))</f>
        <v/>
      </c>
      <c r="AI211" s="38" t="str">
        <f aca="false">IF(COUNT($Q211:$AF211)=0,"",IF(ROUND(SUM($Q211:$AF211),1)&gt;=99.5,100,MIN(100,ROUND(SUM($Q211:$AF211),1))))</f>
        <v/>
      </c>
      <c r="AJ211" s="38" t="str">
        <f aca="false">IF(OR(AH211="",AI211=""),"",AI211-AH211)</f>
        <v/>
      </c>
      <c r="AK211" s="39" t="str">
        <f aca="true">IF(AH211="","",IF(OR(Ficha!$C$10="Suspendida",Ficha!$C$10="Cancelada"),Ficha!$C$10,IF(AND(AI211&lt;&gt;"",N(AI211)&gt;=100),"Completada",IF(AND(E211&gt;TODAY(),N(AI211)=0),"Por iniciar",IF(N(AI211)+0.5&lt;AH211,"Retrasada",IF(N(AI211)+0.5&lt;DA211,IF(Reprogramaciones!$K$15&gt;0,"Al día · Sem "&amp;Reprogramaciones!$K$15&amp;" en curso","Al día · en curso"),"A tiempo"))))))</f>
        <v/>
      </c>
      <c r="AL211" s="39" t="str">
        <f aca="true">IF(AND(A211="",AND(B211="",C211="",E211="",F211="",COUNT(Q211:AF211)=0)),"",IF(AND(B211="",C211="",E211="",F211="",COUNT(Q211:AF211)=0),"Falta la partida o subpartida",IF(AND(A211&lt;&gt;"",COUNTIF($A$6:$A$305,A211)&gt;1),"Ítem repetido",IF(AND(C211="",E211="",F211="",COUNT(Q211:AF211)=0),"Título de partida",IF(OR(E211="",F211=""),"Faltan fechas",IF(OR(ISTEXT(E211),ISTEXT(F211)),"Fecha escrita como texto: usa dd/mm/aaaa",IF(F211&lt;E211,"Fin antes del inicio",IF(IF($J$2="",FALSE(),OR(E211&lt;$J$2,F211&gt;Reprogramaciones!$T$15+69)),"Fuera de las 10 semanas",IF(ABS(SUM(G211:P211)-100)&gt;0.5,"La meta no suma 100%",IF(ROUND(SUM(Q211:AF211),1)&gt;100.5,"El avance pasa de 100%",IF(MIN(Q211:AF211)&lt;0,"Avance negativo",IF(COUNTA(Q211:AF211)&gt;COUNT(Q211:AF211),"Avance escrito como texto",IF(SUMPRODUCT((Q211:AF211&gt;0)*(Q211:AF211&lt;1))&gt;0,"Avance menor a 1: escribe 50, no 50%",IF(SUMPRODUCT(ISNUMBER(Q211:AF211)*(Reprogramaciones!$K$8:$Z$8&gt;TODAY()))&gt;0,"Avance en semana que aún no llega",IF(AND(N(Reprogramaciones!$E$21)&gt;0,F211&gt;Reprogramaciones!$E$21),"Pasa el fin de la obra: registra una reprogramación",IF(AND(N(Reprogramaciones!$E$21)&gt;0,SUMPRODUCT(ISNUMBER(Q211:AF211)*(Reprogramaciones!$K$8:$Z$8&gt;Reprogramaciones!$E$21))&gt;0),"Avance después del fin de la obra: registra una reprogramación por atraso","OK"))))))))))))))))</f>
        <v/>
      </c>
      <c r="AM211" s="40" t="str">
        <f aca="false">IF(OR(OR(NOT(AND(ISNUMBER(E211),ISNUMBER(F211))),$J$2=""),1&gt;MAX(1,Reprogramaciones!$U$15)),"",IF(Reprogramaciones!K$12&gt;=7,"",IF(OR(BT211-N(0)&gt;0.05,N(Q211)&gt;0),ROUNDDOWN(ROUND(BT211,6),0)&amp;"%"&amp;IF(CJ211="",""," / "&amp;CJ211&amp;"%"),IF(AND(N(0)&gt;=99.95,CJ211&lt;&gt;"",N(CJ211)&lt;100),"Pend. "&amp;CJ211&amp;"%",""))))</f>
        <v/>
      </c>
      <c r="AN211" s="40" t="str">
        <f aca="false">IF(OR(OR(NOT(AND(ISNUMBER(E211),ISNUMBER(F211))),$J$2=""),2&gt;MAX(1,Reprogramaciones!$U$15)),"",IF(Reprogramaciones!L$12&gt;=7,"",IF(OR(BU211-N(BT211)&gt;0.05,N(R211)&gt;0),ROUNDDOWN(ROUND(BU211,6),0)&amp;"%"&amp;IF(CK211="",""," / "&amp;CK211&amp;"%"),IF(AND(N(BT211)&gt;=99.95,CK211&lt;&gt;"",N(CK211)&lt;100),"Pend. "&amp;CK211&amp;"%",""))))</f>
        <v/>
      </c>
      <c r="AO211" s="40" t="str">
        <f aca="false">IF(OR(OR(NOT(AND(ISNUMBER(E211),ISNUMBER(F211))),$J$2=""),3&gt;MAX(1,Reprogramaciones!$U$15)),"",IF(Reprogramaciones!M$12&gt;=7,"",IF(OR(BV211-N(BU211)&gt;0.05,N(S211)&gt;0),ROUNDDOWN(ROUND(BV211,6),0)&amp;"%"&amp;IF(CL211="",""," / "&amp;CL211&amp;"%"),IF(AND(N(BU211)&gt;=99.95,CL211&lt;&gt;"",N(CL211)&lt;100),"Pend. "&amp;CL211&amp;"%",""))))</f>
        <v/>
      </c>
      <c r="AP211" s="40" t="str">
        <f aca="false">IF(OR(OR(NOT(AND(ISNUMBER(E211),ISNUMBER(F211))),$J$2=""),4&gt;MAX(1,Reprogramaciones!$U$15)),"",IF(Reprogramaciones!N$12&gt;=7,"",IF(OR(BW211-N(BV211)&gt;0.05,N(T211)&gt;0),ROUNDDOWN(ROUND(BW211,6),0)&amp;"%"&amp;IF(CM211="",""," / "&amp;CM211&amp;"%"),IF(AND(N(BV211)&gt;=99.95,CM211&lt;&gt;"",N(CM211)&lt;100),"Pend. "&amp;CM211&amp;"%",""))))</f>
        <v/>
      </c>
      <c r="AQ211" s="40" t="str">
        <f aca="false">IF(OR(OR(NOT(AND(ISNUMBER(E211),ISNUMBER(F211))),$J$2=""),5&gt;MAX(1,Reprogramaciones!$U$15)),"",IF(Reprogramaciones!O$12&gt;=7,"",IF(OR(BX211-N(BW211)&gt;0.05,N(U211)&gt;0),ROUNDDOWN(ROUND(BX211,6),0)&amp;"%"&amp;IF(CN211="",""," / "&amp;CN211&amp;"%"),IF(AND(N(BW211)&gt;=99.95,CN211&lt;&gt;"",N(CN211)&lt;100),"Pend. "&amp;CN211&amp;"%",""))))</f>
        <v/>
      </c>
      <c r="AR211" s="40" t="str">
        <f aca="false">IF(OR(OR(NOT(AND(ISNUMBER(E211),ISNUMBER(F211))),$J$2=""),6&gt;MAX(1,Reprogramaciones!$U$15)),"",IF(Reprogramaciones!P$12&gt;=7,"",IF(OR(BY211-N(BX211)&gt;0.05,N(V211)&gt;0),ROUNDDOWN(ROUND(BY211,6),0)&amp;"%"&amp;IF(CO211="",""," / "&amp;CO211&amp;"%"),IF(AND(N(BX211)&gt;=99.95,CO211&lt;&gt;"",N(CO211)&lt;100),"Pend. "&amp;CO211&amp;"%",""))))</f>
        <v/>
      </c>
      <c r="AS211" s="40" t="str">
        <f aca="false">IF(OR(OR(NOT(AND(ISNUMBER(E211),ISNUMBER(F211))),$J$2=""),7&gt;MAX(1,Reprogramaciones!$U$15)),"",IF(Reprogramaciones!Q$12&gt;=7,"",IF(OR(BZ211-N(BY211)&gt;0.05,N(W211)&gt;0),ROUNDDOWN(ROUND(BZ211,6),0)&amp;"%"&amp;IF(CP211="",""," / "&amp;CP211&amp;"%"),IF(AND(N(BY211)&gt;=99.95,CP211&lt;&gt;"",N(CP211)&lt;100),"Pend. "&amp;CP211&amp;"%",""))))</f>
        <v/>
      </c>
      <c r="AT211" s="40" t="str">
        <f aca="false">IF(OR(OR(NOT(AND(ISNUMBER(E211),ISNUMBER(F211))),$J$2=""),8&gt;MAX(1,Reprogramaciones!$U$15)),"",IF(Reprogramaciones!R$12&gt;=7,"",IF(OR(CA211-N(BZ211)&gt;0.05,N(X211)&gt;0),ROUNDDOWN(ROUND(CA211,6),0)&amp;"%"&amp;IF(CQ211="",""," / "&amp;CQ211&amp;"%"),IF(AND(N(BZ211)&gt;=99.95,CQ211&lt;&gt;"",N(CQ211)&lt;100),"Pend. "&amp;CQ211&amp;"%",""))))</f>
        <v/>
      </c>
      <c r="AU211" s="40" t="str">
        <f aca="false">IF(OR(OR(NOT(AND(ISNUMBER(E211),ISNUMBER(F211))),$J$2=""),9&gt;MAX(1,Reprogramaciones!$U$15)),"",IF(Reprogramaciones!S$12&gt;=7,"",IF(OR(CB211-N(CA211)&gt;0.05,N(Y211)&gt;0),ROUNDDOWN(ROUND(CB211,6),0)&amp;"%"&amp;IF(CR211="",""," / "&amp;CR211&amp;"%"),IF(AND(N(CA211)&gt;=99.95,CR211&lt;&gt;"",N(CR211)&lt;100),"Pend. "&amp;CR211&amp;"%",""))))</f>
        <v/>
      </c>
      <c r="AV211" s="40" t="str">
        <f aca="false">IF(OR(OR(NOT(AND(ISNUMBER(E211),ISNUMBER(F211))),$J$2=""),10&gt;MAX(1,Reprogramaciones!$U$15)),"",IF(Reprogramaciones!T$12&gt;=7,"",IF(OR(CC211-N(CB211)&gt;0.05,N(Z211)&gt;0),ROUNDDOWN(ROUND(CC211,6),0)&amp;"%"&amp;IF(CS211="",""," / "&amp;CS211&amp;"%"),IF(AND(N(CB211)&gt;=99.95,CS211&lt;&gt;"",N(CS211)&lt;100),"Pend. "&amp;CS211&amp;"%",""))))</f>
        <v/>
      </c>
      <c r="AW211" s="40" t="str">
        <f aca="false">IF(OR(OR(NOT(AND(ISNUMBER(E211),ISNUMBER(F211))),$J$2=""),11&gt;MAX(1,Reprogramaciones!$U$15)),"",IF(Reprogramaciones!U$12&gt;=7,"",IF(OR(CD211-N(CC211)&gt;0.05,N(AA211)&gt;0),ROUNDDOWN(ROUND(CD211,6),0)&amp;"%"&amp;IF(CT211="",""," / "&amp;CT211&amp;"%"),IF(AND(N(CC211)&gt;=99.95,CT211&lt;&gt;"",N(CT211)&lt;100),"Pend. "&amp;CT211&amp;"%",""))))</f>
        <v/>
      </c>
      <c r="AX211" s="40" t="str">
        <f aca="false">IF(OR(OR(NOT(AND(ISNUMBER(E211),ISNUMBER(F211))),$J$2=""),12&gt;MAX(1,Reprogramaciones!$U$15)),"",IF(Reprogramaciones!V$12&gt;=7,"",IF(OR(CE211-N(CD211)&gt;0.05,N(AB211)&gt;0),ROUNDDOWN(ROUND(CE211,6),0)&amp;"%"&amp;IF(CU211="",""," / "&amp;CU211&amp;"%"),IF(AND(N(CD211)&gt;=99.95,CU211&lt;&gt;"",N(CU211)&lt;100),"Pend. "&amp;CU211&amp;"%",""))))</f>
        <v/>
      </c>
      <c r="AY211" s="40" t="str">
        <f aca="false">IF(OR(OR(NOT(AND(ISNUMBER(E211),ISNUMBER(F211))),$J$2=""),13&gt;MAX(1,Reprogramaciones!$U$15)),"",IF(Reprogramaciones!W$12&gt;=7,"",IF(OR(CF211-N(CE211)&gt;0.05,N(AC211)&gt;0),ROUNDDOWN(ROUND(CF211,6),0)&amp;"%"&amp;IF(CV211="",""," / "&amp;CV211&amp;"%"),IF(AND(N(CE211)&gt;=99.95,CV211&lt;&gt;"",N(CV211)&lt;100),"Pend. "&amp;CV211&amp;"%",""))))</f>
        <v/>
      </c>
      <c r="AZ211" s="40" t="str">
        <f aca="false">IF(OR(OR(NOT(AND(ISNUMBER(E211),ISNUMBER(F211))),$J$2=""),14&gt;MAX(1,Reprogramaciones!$U$15)),"",IF(Reprogramaciones!X$12&gt;=7,"",IF(OR(CG211-N(CF211)&gt;0.05,N(AD211)&gt;0),ROUNDDOWN(ROUND(CG211,6),0)&amp;"%"&amp;IF(CW211="",""," / "&amp;CW211&amp;"%"),IF(AND(N(CF211)&gt;=99.95,CW211&lt;&gt;"",N(CW211)&lt;100),"Pend. "&amp;CW211&amp;"%",""))))</f>
        <v/>
      </c>
      <c r="BA211" s="40" t="str">
        <f aca="false">IF(OR(OR(NOT(AND(ISNUMBER(E211),ISNUMBER(F211))),$J$2=""),15&gt;MAX(1,Reprogramaciones!$U$15)),"",IF(Reprogramaciones!Y$12&gt;=7,"",IF(OR(CH211-N(CG211)&gt;0.05,N(AE211)&gt;0),ROUNDDOWN(ROUND(CH211,6),0)&amp;"%"&amp;IF(CX211="",""," / "&amp;CX211&amp;"%"),IF(AND(N(CG211)&gt;=99.95,CX211&lt;&gt;"",N(CX211)&lt;100),"Pend. "&amp;CX211&amp;"%",""))))</f>
        <v/>
      </c>
      <c r="BB211" s="40" t="str">
        <f aca="false">IF(OR(OR(NOT(AND(ISNUMBER(E211),ISNUMBER(F211))),$J$2=""),16&gt;MAX(1,Reprogramaciones!$U$15)),"",IF(Reprogramaciones!Z$12&gt;=7,"",IF(OR(CI211-N(CH211)&gt;0.05,N(AF211)&gt;0),ROUNDDOWN(ROUND(CI211,6),0)&amp;"%"&amp;IF(CY211="",""," / "&amp;CY211&amp;"%"),IF(AND(N(CH211)&gt;=99.95,CY211&lt;&gt;"",N(CY211)&lt;100),"Pend. "&amp;CY211&amp;"%",""))))</f>
        <v/>
      </c>
      <c r="BC211" s="31" t="n">
        <f aca="false">IF(AND(ISNUMBER(E211),ISNUMBER(F211)),MAX(1,NETWORKDAYS.INTL(E211,F211,11)),0)</f>
        <v>0</v>
      </c>
      <c r="BD211" s="1" t="str">
        <f aca="false">IF(OR(NOT(AND(ISNUMBER(E211),ISNUMBER(F211))),$J$2=""),"",MIN(100,ROUND(SUM($G211:G211),1)))</f>
        <v/>
      </c>
      <c r="BE211" s="1" t="str">
        <f aca="false">IF(OR(NOT(AND(ISNUMBER(E211),ISNUMBER(F211))),$J$2=""),"",MIN(100,ROUND(SUM($G211:H211),1)))</f>
        <v/>
      </c>
      <c r="BF211" s="1" t="str">
        <f aca="false">IF(OR(NOT(AND(ISNUMBER(E211),ISNUMBER(F211))),$J$2=""),"",MIN(100,ROUND(SUM($G211:I211),1)))</f>
        <v/>
      </c>
      <c r="BG211" s="1" t="str">
        <f aca="false">IF(OR(NOT(AND(ISNUMBER(E211),ISNUMBER(F211))),$J$2=""),"",MIN(100,ROUND(SUM($G211:J211),1)))</f>
        <v/>
      </c>
      <c r="BH211" s="1" t="str">
        <f aca="false">IF(OR(NOT(AND(ISNUMBER(E211),ISNUMBER(F211))),$J$2=""),"",MIN(100,ROUND(SUM($G211:K211),1)))</f>
        <v/>
      </c>
      <c r="BI211" s="1" t="str">
        <f aca="false">IF(OR(NOT(AND(ISNUMBER(E211),ISNUMBER(F211))),$J$2=""),"",MIN(100,ROUND(SUM($G211:L211),1)))</f>
        <v/>
      </c>
      <c r="BJ211" s="1" t="str">
        <f aca="false">IF(OR(NOT(AND(ISNUMBER(E211),ISNUMBER(F211))),$J$2=""),"",MIN(100,ROUND(SUM($G211:M211),1)))</f>
        <v/>
      </c>
      <c r="BK211" s="1" t="str">
        <f aca="false">IF(OR(NOT(AND(ISNUMBER(E211),ISNUMBER(F211))),$J$2=""),"",MIN(100,ROUND(SUM($G211:N211),1)))</f>
        <v/>
      </c>
      <c r="BL211" s="1" t="str">
        <f aca="false">IF(OR(NOT(AND(ISNUMBER(E211),ISNUMBER(F211))),$J$2=""),"",MIN(100,ROUND(SUM($G211:O211),1)))</f>
        <v/>
      </c>
      <c r="BM211" s="1" t="str">
        <f aca="false">IF(OR(NOT(AND(ISNUMBER(E211),ISNUMBER(F211))),$J$2=""),"",MIN(100,ROUND(SUM($G211:P211),1)))</f>
        <v/>
      </c>
      <c r="BN211" s="1" t="str">
        <f aca="false">IF(OR(NOT(AND(ISNUMBER(E211),ISNUMBER(F211))),$J$2=""),"",MIN(100,ROUND(SUM($G211:P211),1)))</f>
        <v/>
      </c>
      <c r="BO211" s="1" t="str">
        <f aca="false">IF(OR(NOT(AND(ISNUMBER(E211),ISNUMBER(F211))),$J$2=""),"",MIN(100,ROUND(SUM($G211:P211),1)))</f>
        <v/>
      </c>
      <c r="BP211" s="1" t="str">
        <f aca="false">IF(OR(NOT(AND(ISNUMBER(E211),ISNUMBER(F211))),$J$2=""),"",MIN(100,ROUND(SUM($G211:P211),1)))</f>
        <v/>
      </c>
      <c r="BQ211" s="1" t="str">
        <f aca="false">IF(OR(NOT(AND(ISNUMBER(E211),ISNUMBER(F211))),$J$2=""),"",MIN(100,ROUND(SUM($G211:P211),1)))</f>
        <v/>
      </c>
      <c r="BR211" s="1" t="str">
        <f aca="false">IF(OR(NOT(AND(ISNUMBER(E211),ISNUMBER(F211))),$J$2=""),"",MIN(100,ROUND(SUM($G211:P211),1)))</f>
        <v/>
      </c>
      <c r="BS211" s="1" t="str">
        <f aca="false">IF(OR(NOT(AND(ISNUMBER(E211),ISNUMBER(F211))),$J$2=""),"",MIN(100,ROUND(SUM($G211:P211),1)))</f>
        <v/>
      </c>
      <c r="BT211" s="1" t="str">
        <f aca="false">IF(OR(NOT(AND(ISNUMBER(E211),ISNUMBER(F211))),$J$2=""),"",IF(Reprogramaciones!K$13&lt;Reprogramaciones!$T$15,0,IF(Reprogramaciones!K$14&gt;10,MIN(100,SUM($G211:$P211)),MIN(100,SUMPRODUCT((COLUMN($G211:$P211)-COLUMN($G211)+1&lt;Reprogramaciones!K$14)*$G211:$P211)+N(INDEX($G211:$P211,1,Reprogramaciones!K$14))*IF(Reprogramaciones!K$13&gt;=(Reprogramaciones!$T$15+7*(Reprogramaciones!K$14-1))+6,1,IF(MAX(0,NETWORKDAYS.INTL(MAX(E211,(Reprogramaciones!$T$15+7*(Reprogramaciones!K$14-1))),MIN(F211,(Reprogramaciones!$T$15+7*(Reprogramaciones!K$14-1))+6),11))=0,0,MAX(0,NETWORKDAYS.INTL(MAX(E211,(Reprogramaciones!$T$15+7*(Reprogramaciones!K$14-1))),MIN(F211,Reprogramaciones!K$13),11))/MAX(0,NETWORKDAYS.INTL(MAX(E211,(Reprogramaciones!$T$15+7*(Reprogramaciones!K$14-1))),MIN(F211,(Reprogramaciones!$T$15+7*(Reprogramaciones!K$14-1))+6),11))))))))</f>
        <v/>
      </c>
      <c r="BU211" s="1" t="str">
        <f aca="false">IF(OR(NOT(AND(ISNUMBER(E211),ISNUMBER(F211))),$J$2=""),"",IF(Reprogramaciones!L$13&lt;Reprogramaciones!$T$15,0,IF(Reprogramaciones!L$14&gt;10,MIN(100,SUM($G211:$P211)),MIN(100,SUMPRODUCT((COLUMN($G211:$P211)-COLUMN($G211)+1&lt;Reprogramaciones!L$14)*$G211:$P211)+N(INDEX($G211:$P211,1,Reprogramaciones!L$14))*IF(Reprogramaciones!L$13&gt;=(Reprogramaciones!$T$15+7*(Reprogramaciones!L$14-1))+6,1,IF(MAX(0,NETWORKDAYS.INTL(MAX(E211,(Reprogramaciones!$T$15+7*(Reprogramaciones!L$14-1))),MIN(F211,(Reprogramaciones!$T$15+7*(Reprogramaciones!L$14-1))+6),11))=0,0,MAX(0,NETWORKDAYS.INTL(MAX(E211,(Reprogramaciones!$T$15+7*(Reprogramaciones!L$14-1))),MIN(F211,Reprogramaciones!L$13),11))/MAX(0,NETWORKDAYS.INTL(MAX(E211,(Reprogramaciones!$T$15+7*(Reprogramaciones!L$14-1))),MIN(F211,(Reprogramaciones!$T$15+7*(Reprogramaciones!L$14-1))+6),11))))))))</f>
        <v/>
      </c>
      <c r="BV211" s="1" t="str">
        <f aca="false">IF(OR(NOT(AND(ISNUMBER(E211),ISNUMBER(F211))),$J$2=""),"",IF(Reprogramaciones!M$13&lt;Reprogramaciones!$T$15,0,IF(Reprogramaciones!M$14&gt;10,MIN(100,SUM($G211:$P211)),MIN(100,SUMPRODUCT((COLUMN($G211:$P211)-COLUMN($G211)+1&lt;Reprogramaciones!M$14)*$G211:$P211)+N(INDEX($G211:$P211,1,Reprogramaciones!M$14))*IF(Reprogramaciones!M$13&gt;=(Reprogramaciones!$T$15+7*(Reprogramaciones!M$14-1))+6,1,IF(MAX(0,NETWORKDAYS.INTL(MAX(E211,(Reprogramaciones!$T$15+7*(Reprogramaciones!M$14-1))),MIN(F211,(Reprogramaciones!$T$15+7*(Reprogramaciones!M$14-1))+6),11))=0,0,MAX(0,NETWORKDAYS.INTL(MAX(E211,(Reprogramaciones!$T$15+7*(Reprogramaciones!M$14-1))),MIN(F211,Reprogramaciones!M$13),11))/MAX(0,NETWORKDAYS.INTL(MAX(E211,(Reprogramaciones!$T$15+7*(Reprogramaciones!M$14-1))),MIN(F211,(Reprogramaciones!$T$15+7*(Reprogramaciones!M$14-1))+6),11))))))))</f>
        <v/>
      </c>
      <c r="BW211" s="1" t="str">
        <f aca="false">IF(OR(NOT(AND(ISNUMBER(E211),ISNUMBER(F211))),$J$2=""),"",IF(Reprogramaciones!N$13&lt;Reprogramaciones!$T$15,0,IF(Reprogramaciones!N$14&gt;10,MIN(100,SUM($G211:$P211)),MIN(100,SUMPRODUCT((COLUMN($G211:$P211)-COLUMN($G211)+1&lt;Reprogramaciones!N$14)*$G211:$P211)+N(INDEX($G211:$P211,1,Reprogramaciones!N$14))*IF(Reprogramaciones!N$13&gt;=(Reprogramaciones!$T$15+7*(Reprogramaciones!N$14-1))+6,1,IF(MAX(0,NETWORKDAYS.INTL(MAX(E211,(Reprogramaciones!$T$15+7*(Reprogramaciones!N$14-1))),MIN(F211,(Reprogramaciones!$T$15+7*(Reprogramaciones!N$14-1))+6),11))=0,0,MAX(0,NETWORKDAYS.INTL(MAX(E211,(Reprogramaciones!$T$15+7*(Reprogramaciones!N$14-1))),MIN(F211,Reprogramaciones!N$13),11))/MAX(0,NETWORKDAYS.INTL(MAX(E211,(Reprogramaciones!$T$15+7*(Reprogramaciones!N$14-1))),MIN(F211,(Reprogramaciones!$T$15+7*(Reprogramaciones!N$14-1))+6),11))))))))</f>
        <v/>
      </c>
      <c r="BX211" s="1" t="str">
        <f aca="false">IF(OR(NOT(AND(ISNUMBER(E211),ISNUMBER(F211))),$J$2=""),"",IF(Reprogramaciones!O$13&lt;Reprogramaciones!$T$15,0,IF(Reprogramaciones!O$14&gt;10,MIN(100,SUM($G211:$P211)),MIN(100,SUMPRODUCT((COLUMN($G211:$P211)-COLUMN($G211)+1&lt;Reprogramaciones!O$14)*$G211:$P211)+N(INDEX($G211:$P211,1,Reprogramaciones!O$14))*IF(Reprogramaciones!O$13&gt;=(Reprogramaciones!$T$15+7*(Reprogramaciones!O$14-1))+6,1,IF(MAX(0,NETWORKDAYS.INTL(MAX(E211,(Reprogramaciones!$T$15+7*(Reprogramaciones!O$14-1))),MIN(F211,(Reprogramaciones!$T$15+7*(Reprogramaciones!O$14-1))+6),11))=0,0,MAX(0,NETWORKDAYS.INTL(MAX(E211,(Reprogramaciones!$T$15+7*(Reprogramaciones!O$14-1))),MIN(F211,Reprogramaciones!O$13),11))/MAX(0,NETWORKDAYS.INTL(MAX(E211,(Reprogramaciones!$T$15+7*(Reprogramaciones!O$14-1))),MIN(F211,(Reprogramaciones!$T$15+7*(Reprogramaciones!O$14-1))+6),11))))))))</f>
        <v/>
      </c>
      <c r="BY211" s="1" t="str">
        <f aca="false">IF(OR(NOT(AND(ISNUMBER(E211),ISNUMBER(F211))),$J$2=""),"",IF(Reprogramaciones!P$13&lt;Reprogramaciones!$T$15,0,IF(Reprogramaciones!P$14&gt;10,MIN(100,SUM($G211:$P211)),MIN(100,SUMPRODUCT((COLUMN($G211:$P211)-COLUMN($G211)+1&lt;Reprogramaciones!P$14)*$G211:$P211)+N(INDEX($G211:$P211,1,Reprogramaciones!P$14))*IF(Reprogramaciones!P$13&gt;=(Reprogramaciones!$T$15+7*(Reprogramaciones!P$14-1))+6,1,IF(MAX(0,NETWORKDAYS.INTL(MAX(E211,(Reprogramaciones!$T$15+7*(Reprogramaciones!P$14-1))),MIN(F211,(Reprogramaciones!$T$15+7*(Reprogramaciones!P$14-1))+6),11))=0,0,MAX(0,NETWORKDAYS.INTL(MAX(E211,(Reprogramaciones!$T$15+7*(Reprogramaciones!P$14-1))),MIN(F211,Reprogramaciones!P$13),11))/MAX(0,NETWORKDAYS.INTL(MAX(E211,(Reprogramaciones!$T$15+7*(Reprogramaciones!P$14-1))),MIN(F211,(Reprogramaciones!$T$15+7*(Reprogramaciones!P$14-1))+6),11))))))))</f>
        <v/>
      </c>
      <c r="BZ211" s="1" t="str">
        <f aca="false">IF(OR(NOT(AND(ISNUMBER(E211),ISNUMBER(F211))),$J$2=""),"",IF(Reprogramaciones!Q$13&lt;Reprogramaciones!$T$15,0,IF(Reprogramaciones!Q$14&gt;10,MIN(100,SUM($G211:$P211)),MIN(100,SUMPRODUCT((COLUMN($G211:$P211)-COLUMN($G211)+1&lt;Reprogramaciones!Q$14)*$G211:$P211)+N(INDEX($G211:$P211,1,Reprogramaciones!Q$14))*IF(Reprogramaciones!Q$13&gt;=(Reprogramaciones!$T$15+7*(Reprogramaciones!Q$14-1))+6,1,IF(MAX(0,NETWORKDAYS.INTL(MAX(E211,(Reprogramaciones!$T$15+7*(Reprogramaciones!Q$14-1))),MIN(F211,(Reprogramaciones!$T$15+7*(Reprogramaciones!Q$14-1))+6),11))=0,0,MAX(0,NETWORKDAYS.INTL(MAX(E211,(Reprogramaciones!$T$15+7*(Reprogramaciones!Q$14-1))),MIN(F211,Reprogramaciones!Q$13),11))/MAX(0,NETWORKDAYS.INTL(MAX(E211,(Reprogramaciones!$T$15+7*(Reprogramaciones!Q$14-1))),MIN(F211,(Reprogramaciones!$T$15+7*(Reprogramaciones!Q$14-1))+6),11))))))))</f>
        <v/>
      </c>
      <c r="CA211" s="1" t="str">
        <f aca="false">IF(OR(NOT(AND(ISNUMBER(E211),ISNUMBER(F211))),$J$2=""),"",IF(Reprogramaciones!R$13&lt;Reprogramaciones!$T$15,0,IF(Reprogramaciones!R$14&gt;10,MIN(100,SUM($G211:$P211)),MIN(100,SUMPRODUCT((COLUMN($G211:$P211)-COLUMN($G211)+1&lt;Reprogramaciones!R$14)*$G211:$P211)+N(INDEX($G211:$P211,1,Reprogramaciones!R$14))*IF(Reprogramaciones!R$13&gt;=(Reprogramaciones!$T$15+7*(Reprogramaciones!R$14-1))+6,1,IF(MAX(0,NETWORKDAYS.INTL(MAX(E211,(Reprogramaciones!$T$15+7*(Reprogramaciones!R$14-1))),MIN(F211,(Reprogramaciones!$T$15+7*(Reprogramaciones!R$14-1))+6),11))=0,0,MAX(0,NETWORKDAYS.INTL(MAX(E211,(Reprogramaciones!$T$15+7*(Reprogramaciones!R$14-1))),MIN(F211,Reprogramaciones!R$13),11))/MAX(0,NETWORKDAYS.INTL(MAX(E211,(Reprogramaciones!$T$15+7*(Reprogramaciones!R$14-1))),MIN(F211,(Reprogramaciones!$T$15+7*(Reprogramaciones!R$14-1))+6),11))))))))</f>
        <v/>
      </c>
      <c r="CB211" s="1" t="str">
        <f aca="false">IF(OR(NOT(AND(ISNUMBER(E211),ISNUMBER(F211))),$J$2=""),"",IF(Reprogramaciones!S$13&lt;Reprogramaciones!$T$15,0,IF(Reprogramaciones!S$14&gt;10,MIN(100,SUM($G211:$P211)),MIN(100,SUMPRODUCT((COLUMN($G211:$P211)-COLUMN($G211)+1&lt;Reprogramaciones!S$14)*$G211:$P211)+N(INDEX($G211:$P211,1,Reprogramaciones!S$14))*IF(Reprogramaciones!S$13&gt;=(Reprogramaciones!$T$15+7*(Reprogramaciones!S$14-1))+6,1,IF(MAX(0,NETWORKDAYS.INTL(MAX(E211,(Reprogramaciones!$T$15+7*(Reprogramaciones!S$14-1))),MIN(F211,(Reprogramaciones!$T$15+7*(Reprogramaciones!S$14-1))+6),11))=0,0,MAX(0,NETWORKDAYS.INTL(MAX(E211,(Reprogramaciones!$T$15+7*(Reprogramaciones!S$14-1))),MIN(F211,Reprogramaciones!S$13),11))/MAX(0,NETWORKDAYS.INTL(MAX(E211,(Reprogramaciones!$T$15+7*(Reprogramaciones!S$14-1))),MIN(F211,(Reprogramaciones!$T$15+7*(Reprogramaciones!S$14-1))+6),11))))))))</f>
        <v/>
      </c>
      <c r="CC211" s="1" t="str">
        <f aca="false">IF(OR(NOT(AND(ISNUMBER(E211),ISNUMBER(F211))),$J$2=""),"",IF(Reprogramaciones!T$13&lt;Reprogramaciones!$T$15,0,IF(Reprogramaciones!T$14&gt;10,MIN(100,SUM($G211:$P211)),MIN(100,SUMPRODUCT((COLUMN($G211:$P211)-COLUMN($G211)+1&lt;Reprogramaciones!T$14)*$G211:$P211)+N(INDEX($G211:$P211,1,Reprogramaciones!T$14))*IF(Reprogramaciones!T$13&gt;=(Reprogramaciones!$T$15+7*(Reprogramaciones!T$14-1))+6,1,IF(MAX(0,NETWORKDAYS.INTL(MAX(E211,(Reprogramaciones!$T$15+7*(Reprogramaciones!T$14-1))),MIN(F211,(Reprogramaciones!$T$15+7*(Reprogramaciones!T$14-1))+6),11))=0,0,MAX(0,NETWORKDAYS.INTL(MAX(E211,(Reprogramaciones!$T$15+7*(Reprogramaciones!T$14-1))),MIN(F211,Reprogramaciones!T$13),11))/MAX(0,NETWORKDAYS.INTL(MAX(E211,(Reprogramaciones!$T$15+7*(Reprogramaciones!T$14-1))),MIN(F211,(Reprogramaciones!$T$15+7*(Reprogramaciones!T$14-1))+6),11))))))))</f>
        <v/>
      </c>
      <c r="CD211" s="1" t="str">
        <f aca="false">IF(OR(NOT(AND(ISNUMBER(E211),ISNUMBER(F211))),$J$2=""),"",IF(Reprogramaciones!U$13&lt;Reprogramaciones!$T$15,0,IF(Reprogramaciones!U$14&gt;10,MIN(100,SUM($G211:$P211)),MIN(100,SUMPRODUCT((COLUMN($G211:$P211)-COLUMN($G211)+1&lt;Reprogramaciones!U$14)*$G211:$P211)+N(INDEX($G211:$P211,1,Reprogramaciones!U$14))*IF(Reprogramaciones!U$13&gt;=(Reprogramaciones!$T$15+7*(Reprogramaciones!U$14-1))+6,1,IF(MAX(0,NETWORKDAYS.INTL(MAX(E211,(Reprogramaciones!$T$15+7*(Reprogramaciones!U$14-1))),MIN(F211,(Reprogramaciones!$T$15+7*(Reprogramaciones!U$14-1))+6),11))=0,0,MAX(0,NETWORKDAYS.INTL(MAX(E211,(Reprogramaciones!$T$15+7*(Reprogramaciones!U$14-1))),MIN(F211,Reprogramaciones!U$13),11))/MAX(0,NETWORKDAYS.INTL(MAX(E211,(Reprogramaciones!$T$15+7*(Reprogramaciones!U$14-1))),MIN(F211,(Reprogramaciones!$T$15+7*(Reprogramaciones!U$14-1))+6),11))))))))</f>
        <v/>
      </c>
      <c r="CE211" s="1" t="str">
        <f aca="false">IF(OR(NOT(AND(ISNUMBER(E211),ISNUMBER(F211))),$J$2=""),"",IF(Reprogramaciones!V$13&lt;Reprogramaciones!$T$15,0,IF(Reprogramaciones!V$14&gt;10,MIN(100,SUM($G211:$P211)),MIN(100,SUMPRODUCT((COLUMN($G211:$P211)-COLUMN($G211)+1&lt;Reprogramaciones!V$14)*$G211:$P211)+N(INDEX($G211:$P211,1,Reprogramaciones!V$14))*IF(Reprogramaciones!V$13&gt;=(Reprogramaciones!$T$15+7*(Reprogramaciones!V$14-1))+6,1,IF(MAX(0,NETWORKDAYS.INTL(MAX(E211,(Reprogramaciones!$T$15+7*(Reprogramaciones!V$14-1))),MIN(F211,(Reprogramaciones!$T$15+7*(Reprogramaciones!V$14-1))+6),11))=0,0,MAX(0,NETWORKDAYS.INTL(MAX(E211,(Reprogramaciones!$T$15+7*(Reprogramaciones!V$14-1))),MIN(F211,Reprogramaciones!V$13),11))/MAX(0,NETWORKDAYS.INTL(MAX(E211,(Reprogramaciones!$T$15+7*(Reprogramaciones!V$14-1))),MIN(F211,(Reprogramaciones!$T$15+7*(Reprogramaciones!V$14-1))+6),11))))))))</f>
        <v/>
      </c>
      <c r="CF211" s="1" t="str">
        <f aca="false">IF(OR(NOT(AND(ISNUMBER(E211),ISNUMBER(F211))),$J$2=""),"",IF(Reprogramaciones!W$13&lt;Reprogramaciones!$T$15,0,IF(Reprogramaciones!W$14&gt;10,MIN(100,SUM($G211:$P211)),MIN(100,SUMPRODUCT((COLUMN($G211:$P211)-COLUMN($G211)+1&lt;Reprogramaciones!W$14)*$G211:$P211)+N(INDEX($G211:$P211,1,Reprogramaciones!W$14))*IF(Reprogramaciones!W$13&gt;=(Reprogramaciones!$T$15+7*(Reprogramaciones!W$14-1))+6,1,IF(MAX(0,NETWORKDAYS.INTL(MAX(E211,(Reprogramaciones!$T$15+7*(Reprogramaciones!W$14-1))),MIN(F211,(Reprogramaciones!$T$15+7*(Reprogramaciones!W$14-1))+6),11))=0,0,MAX(0,NETWORKDAYS.INTL(MAX(E211,(Reprogramaciones!$T$15+7*(Reprogramaciones!W$14-1))),MIN(F211,Reprogramaciones!W$13),11))/MAX(0,NETWORKDAYS.INTL(MAX(E211,(Reprogramaciones!$T$15+7*(Reprogramaciones!W$14-1))),MIN(F211,(Reprogramaciones!$T$15+7*(Reprogramaciones!W$14-1))+6),11))))))))</f>
        <v/>
      </c>
      <c r="CG211" s="1" t="str">
        <f aca="false">IF(OR(NOT(AND(ISNUMBER(E211),ISNUMBER(F211))),$J$2=""),"",IF(Reprogramaciones!X$13&lt;Reprogramaciones!$T$15,0,IF(Reprogramaciones!X$14&gt;10,MIN(100,SUM($G211:$P211)),MIN(100,SUMPRODUCT((COLUMN($G211:$P211)-COLUMN($G211)+1&lt;Reprogramaciones!X$14)*$G211:$P211)+N(INDEX($G211:$P211,1,Reprogramaciones!X$14))*IF(Reprogramaciones!X$13&gt;=(Reprogramaciones!$T$15+7*(Reprogramaciones!X$14-1))+6,1,IF(MAX(0,NETWORKDAYS.INTL(MAX(E211,(Reprogramaciones!$T$15+7*(Reprogramaciones!X$14-1))),MIN(F211,(Reprogramaciones!$T$15+7*(Reprogramaciones!X$14-1))+6),11))=0,0,MAX(0,NETWORKDAYS.INTL(MAX(E211,(Reprogramaciones!$T$15+7*(Reprogramaciones!X$14-1))),MIN(F211,Reprogramaciones!X$13),11))/MAX(0,NETWORKDAYS.INTL(MAX(E211,(Reprogramaciones!$T$15+7*(Reprogramaciones!X$14-1))),MIN(F211,(Reprogramaciones!$T$15+7*(Reprogramaciones!X$14-1))+6),11))))))))</f>
        <v/>
      </c>
      <c r="CH211" s="1" t="str">
        <f aca="false">IF(OR(NOT(AND(ISNUMBER(E211),ISNUMBER(F211))),$J$2=""),"",IF(Reprogramaciones!Y$13&lt;Reprogramaciones!$T$15,0,IF(Reprogramaciones!Y$14&gt;10,MIN(100,SUM($G211:$P211)),MIN(100,SUMPRODUCT((COLUMN($G211:$P211)-COLUMN($G211)+1&lt;Reprogramaciones!Y$14)*$G211:$P211)+N(INDEX($G211:$P211,1,Reprogramaciones!Y$14))*IF(Reprogramaciones!Y$13&gt;=(Reprogramaciones!$T$15+7*(Reprogramaciones!Y$14-1))+6,1,IF(MAX(0,NETWORKDAYS.INTL(MAX(E211,(Reprogramaciones!$T$15+7*(Reprogramaciones!Y$14-1))),MIN(F211,(Reprogramaciones!$T$15+7*(Reprogramaciones!Y$14-1))+6),11))=0,0,MAX(0,NETWORKDAYS.INTL(MAX(E211,(Reprogramaciones!$T$15+7*(Reprogramaciones!Y$14-1))),MIN(F211,Reprogramaciones!Y$13),11))/MAX(0,NETWORKDAYS.INTL(MAX(E211,(Reprogramaciones!$T$15+7*(Reprogramaciones!Y$14-1))),MIN(F211,(Reprogramaciones!$T$15+7*(Reprogramaciones!Y$14-1))+6),11))))))))</f>
        <v/>
      </c>
      <c r="CI211" s="1" t="str">
        <f aca="false">IF(OR(NOT(AND(ISNUMBER(E211),ISNUMBER(F211))),$J$2=""),"",IF(Reprogramaciones!Z$13&lt;Reprogramaciones!$T$15,0,IF(Reprogramaciones!Z$14&gt;10,MIN(100,SUM($G211:$P211)),MIN(100,SUMPRODUCT((COLUMN($G211:$P211)-COLUMN($G211)+1&lt;Reprogramaciones!Z$14)*$G211:$P211)+N(INDEX($G211:$P211,1,Reprogramaciones!Z$14))*IF(Reprogramaciones!Z$13&gt;=(Reprogramaciones!$T$15+7*(Reprogramaciones!Z$14-1))+6,1,IF(MAX(0,NETWORKDAYS.INTL(MAX(E211,(Reprogramaciones!$T$15+7*(Reprogramaciones!Z$14-1))),MIN(F211,(Reprogramaciones!$T$15+7*(Reprogramaciones!Z$14-1))+6),11))=0,0,MAX(0,NETWORKDAYS.INTL(MAX(E211,(Reprogramaciones!$T$15+7*(Reprogramaciones!Z$14-1))),MIN(F211,Reprogramaciones!Z$13),11))/MAX(0,NETWORKDAYS.INTL(MAX(E211,(Reprogramaciones!$T$15+7*(Reprogramaciones!Z$14-1))),MIN(F211,(Reprogramaciones!$T$15+7*(Reprogramaciones!Z$14-1))+6),11))))))))</f>
        <v/>
      </c>
      <c r="CJ211" s="1" t="str">
        <f aca="false">IF(OR(OR(NOT(AND(ISNUMBER(E211),ISNUMBER(F211))),$J$2=""),1&gt;Reprogramaciones!$K$16),"",IF(ROUND(SUM($Q211:Q211),1)&gt;=99.5,100,MIN(100,ROUND(SUM($Q211:Q211),1))))</f>
        <v/>
      </c>
      <c r="CK211" s="1" t="str">
        <f aca="false">IF(OR(OR(NOT(AND(ISNUMBER(E211),ISNUMBER(F211))),$J$2=""),2&gt;Reprogramaciones!$K$16),"",IF(ROUND(SUM($Q211:R211),1)&gt;=99.5,100,MIN(100,ROUND(SUM($Q211:R211),1))))</f>
        <v/>
      </c>
      <c r="CL211" s="1" t="str">
        <f aca="false">IF(OR(OR(NOT(AND(ISNUMBER(E211),ISNUMBER(F211))),$J$2=""),3&gt;Reprogramaciones!$K$16),"",IF(ROUND(SUM($Q211:S211),1)&gt;=99.5,100,MIN(100,ROUND(SUM($Q211:S211),1))))</f>
        <v/>
      </c>
      <c r="CM211" s="1" t="str">
        <f aca="false">IF(OR(OR(NOT(AND(ISNUMBER(E211),ISNUMBER(F211))),$J$2=""),4&gt;Reprogramaciones!$K$16),"",IF(ROUND(SUM($Q211:T211),1)&gt;=99.5,100,MIN(100,ROUND(SUM($Q211:T211),1))))</f>
        <v/>
      </c>
      <c r="CN211" s="1" t="str">
        <f aca="false">IF(OR(OR(NOT(AND(ISNUMBER(E211),ISNUMBER(F211))),$J$2=""),5&gt;Reprogramaciones!$K$16),"",IF(ROUND(SUM($Q211:U211),1)&gt;=99.5,100,MIN(100,ROUND(SUM($Q211:U211),1))))</f>
        <v/>
      </c>
      <c r="CO211" s="1" t="str">
        <f aca="false">IF(OR(OR(NOT(AND(ISNUMBER(E211),ISNUMBER(F211))),$J$2=""),6&gt;Reprogramaciones!$K$16),"",IF(ROUND(SUM($Q211:V211),1)&gt;=99.5,100,MIN(100,ROUND(SUM($Q211:V211),1))))</f>
        <v/>
      </c>
      <c r="CP211" s="1" t="str">
        <f aca="false">IF(OR(OR(NOT(AND(ISNUMBER(E211),ISNUMBER(F211))),$J$2=""),7&gt;Reprogramaciones!$K$16),"",IF(ROUND(SUM($Q211:W211),1)&gt;=99.5,100,MIN(100,ROUND(SUM($Q211:W211),1))))</f>
        <v/>
      </c>
      <c r="CQ211" s="1" t="str">
        <f aca="false">IF(OR(OR(NOT(AND(ISNUMBER(E211),ISNUMBER(F211))),$J$2=""),8&gt;Reprogramaciones!$K$16),"",IF(ROUND(SUM($Q211:X211),1)&gt;=99.5,100,MIN(100,ROUND(SUM($Q211:X211),1))))</f>
        <v/>
      </c>
      <c r="CR211" s="1" t="str">
        <f aca="false">IF(OR(OR(NOT(AND(ISNUMBER(E211),ISNUMBER(F211))),$J$2=""),9&gt;Reprogramaciones!$K$16),"",IF(ROUND(SUM($Q211:Y211),1)&gt;=99.5,100,MIN(100,ROUND(SUM($Q211:Y211),1))))</f>
        <v/>
      </c>
      <c r="CS211" s="1" t="str">
        <f aca="false">IF(OR(OR(NOT(AND(ISNUMBER(E211),ISNUMBER(F211))),$J$2=""),10&gt;Reprogramaciones!$K$16),"",IF(ROUND(SUM($Q211:Z211),1)&gt;=99.5,100,MIN(100,ROUND(SUM($Q211:Z211),1))))</f>
        <v/>
      </c>
      <c r="CT211" s="1" t="str">
        <f aca="false">IF(OR(OR(NOT(AND(ISNUMBER(E211),ISNUMBER(F211))),$J$2=""),11&gt;Reprogramaciones!$K$16),"",IF(ROUND(SUM($Q211:AA211),1)&gt;=99.5,100,MIN(100,ROUND(SUM($Q211:AA211),1))))</f>
        <v/>
      </c>
      <c r="CU211" s="1" t="str">
        <f aca="false">IF(OR(OR(NOT(AND(ISNUMBER(E211),ISNUMBER(F211))),$J$2=""),12&gt;Reprogramaciones!$K$16),"",IF(ROUND(SUM($Q211:AB211),1)&gt;=99.5,100,MIN(100,ROUND(SUM($Q211:AB211),1))))</f>
        <v/>
      </c>
      <c r="CV211" s="1" t="str">
        <f aca="false">IF(OR(OR(NOT(AND(ISNUMBER(E211),ISNUMBER(F211))),$J$2=""),13&gt;Reprogramaciones!$K$16),"",IF(ROUND(SUM($Q211:AC211),1)&gt;=99.5,100,MIN(100,ROUND(SUM($Q211:AC211),1))))</f>
        <v/>
      </c>
      <c r="CW211" s="1" t="str">
        <f aca="false">IF(OR(OR(NOT(AND(ISNUMBER(E211),ISNUMBER(F211))),$J$2=""),14&gt;Reprogramaciones!$K$16),"",IF(ROUND(SUM($Q211:AD211),1)&gt;=99.5,100,MIN(100,ROUND(SUM($Q211:AD211),1))))</f>
        <v/>
      </c>
      <c r="CX211" s="1" t="str">
        <f aca="false">IF(OR(OR(NOT(AND(ISNUMBER(E211),ISNUMBER(F211))),$J$2=""),15&gt;Reprogramaciones!$K$16),"",IF(ROUND(SUM($Q211:AE211),1)&gt;=99.5,100,MIN(100,ROUND(SUM($Q211:AE211),1))))</f>
        <v/>
      </c>
      <c r="CY211" s="1" t="str">
        <f aca="false">IF(OR(OR(NOT(AND(ISNUMBER(E211),ISNUMBER(F211))),$J$2=""),16&gt;Reprogramaciones!$K$16),"",IF(ROUND(SUM($Q211:AF211),1)&gt;=99.5,100,MIN(100,ROUND(SUM($Q211:AF211),1))))</f>
        <v/>
      </c>
      <c r="CZ211" s="1" t="str">
        <f aca="false">IF(D211&lt;&gt;"",D211,IF(B211&lt;&gt;"","Contractual",CZ210))</f>
        <v>Contractual</v>
      </c>
      <c r="DA211" s="1" t="str">
        <f aca="false">IF(OR(NOT(AND(ISNUMBER(E211),ISNUMBER(F211))),$J$2=""),"",IF(Reprogramaciones!$Q$15&lt;Reprogramaciones!$T$15,0,IF(Reprogramaciones!$S$15&gt;10,MIN(100,SUM($G211:$P211)),MIN(100,SUMPRODUCT((COLUMN($G211:$P211)-COLUMN($G211)+1&lt;Reprogramaciones!$S$15)*$G211:$P211)+N(INDEX($G211:$P211,1,Reprogramaciones!$S$15))*IF(Reprogramaciones!$Q$15&gt;=(Reprogramaciones!$T$15+7*(Reprogramaciones!$S$15-1))+6,1,IF(MAX(0,NETWORKDAYS.INTL(MAX(E211,(Reprogramaciones!$T$15+7*(Reprogramaciones!$S$15-1))),MIN(F211,(Reprogramaciones!$T$15+7*(Reprogramaciones!$S$15-1))+6),11))=0,0,MAX(0,NETWORKDAYS.INTL(MAX(E211,(Reprogramaciones!$T$15+7*(Reprogramaciones!$S$15-1))),MIN(F211,Reprogramaciones!$Q$15),11))/MAX(0,NETWORKDAYS.INTL(MAX(E211,(Reprogramaciones!$T$15+7*(Reprogramaciones!$S$15-1))),MIN(F211,(Reprogramaciones!$T$15+7*(Reprogramaciones!$S$15-1))+6),11))))))))</f>
        <v/>
      </c>
    </row>
    <row r="212" customFormat="false" ht="15" hidden="false" customHeight="false" outlineLevel="0" collapsed="false">
      <c r="A212" s="32"/>
      <c r="B212" s="33"/>
      <c r="C212" s="33"/>
      <c r="D212" s="34"/>
      <c r="E212" s="35"/>
      <c r="F212" s="35"/>
      <c r="G212" s="36" t="str">
        <f aca="false">IF(OR(NOT(AND(ISNUMBER(E212),ISNUMBER(F212))),$J$2=""),"",IF(Reprogramaciones!K$9&lt;E212,0,IF(NETWORKDAYS.INTL(E212,F212,11)=0,IF(Reprogramaciones!K$9&gt;=F212,100,0),ROUND(NETWORKDAYS.INTL(E212,MIN(F212,Reprogramaciones!K$9),11)/NETWORKDAYS.INTL(E212,F212,11)*100,1)))-0)</f>
        <v/>
      </c>
      <c r="H212" s="36" t="str">
        <f aca="false">IF(OR(NOT(AND(ISNUMBER(E212),ISNUMBER(F212))),$J$2=""),"",IF(Reprogramaciones!L$9&lt;E212,0,IF(NETWORKDAYS.INTL(E212,F212,11)=0,IF(Reprogramaciones!L$9&gt;=F212,100,0),ROUND(NETWORKDAYS.INTL(E212,MIN(F212,Reprogramaciones!L$9),11)/NETWORKDAYS.INTL(E212,F212,11)*100,1)))-IF(Reprogramaciones!K$9&lt;E212,0,IF(NETWORKDAYS.INTL(E212,F212,11)=0,IF(Reprogramaciones!K$9&gt;=F212,100,0),ROUND(NETWORKDAYS.INTL(E212,MIN(F212,Reprogramaciones!K$9),11)/NETWORKDAYS.INTL(E212,F212,11)*100,1))))</f>
        <v/>
      </c>
      <c r="I212" s="36" t="str">
        <f aca="false">IF(OR(NOT(AND(ISNUMBER(E212),ISNUMBER(F212))),$J$2=""),"",IF(Reprogramaciones!M$9&lt;E212,0,IF(NETWORKDAYS.INTL(E212,F212,11)=0,IF(Reprogramaciones!M$9&gt;=F212,100,0),ROUND(NETWORKDAYS.INTL(E212,MIN(F212,Reprogramaciones!M$9),11)/NETWORKDAYS.INTL(E212,F212,11)*100,1)))-IF(Reprogramaciones!L$9&lt;E212,0,IF(NETWORKDAYS.INTL(E212,F212,11)=0,IF(Reprogramaciones!L$9&gt;=F212,100,0),ROUND(NETWORKDAYS.INTL(E212,MIN(F212,Reprogramaciones!L$9),11)/NETWORKDAYS.INTL(E212,F212,11)*100,1))))</f>
        <v/>
      </c>
      <c r="J212" s="36" t="str">
        <f aca="false">IF(OR(NOT(AND(ISNUMBER(E212),ISNUMBER(F212))),$J$2=""),"",IF(Reprogramaciones!N$9&lt;E212,0,IF(NETWORKDAYS.INTL(E212,F212,11)=0,IF(Reprogramaciones!N$9&gt;=F212,100,0),ROUND(NETWORKDAYS.INTL(E212,MIN(F212,Reprogramaciones!N$9),11)/NETWORKDAYS.INTL(E212,F212,11)*100,1)))-IF(Reprogramaciones!M$9&lt;E212,0,IF(NETWORKDAYS.INTL(E212,F212,11)=0,IF(Reprogramaciones!M$9&gt;=F212,100,0),ROUND(NETWORKDAYS.INTL(E212,MIN(F212,Reprogramaciones!M$9),11)/NETWORKDAYS.INTL(E212,F212,11)*100,1))))</f>
        <v/>
      </c>
      <c r="K212" s="36" t="str">
        <f aca="false">IF(OR(NOT(AND(ISNUMBER(E212),ISNUMBER(F212))),$J$2=""),"",IF(Reprogramaciones!O$9&lt;E212,0,IF(NETWORKDAYS.INTL(E212,F212,11)=0,IF(Reprogramaciones!O$9&gt;=F212,100,0),ROUND(NETWORKDAYS.INTL(E212,MIN(F212,Reprogramaciones!O$9),11)/NETWORKDAYS.INTL(E212,F212,11)*100,1)))-IF(Reprogramaciones!N$9&lt;E212,0,IF(NETWORKDAYS.INTL(E212,F212,11)=0,IF(Reprogramaciones!N$9&gt;=F212,100,0),ROUND(NETWORKDAYS.INTL(E212,MIN(F212,Reprogramaciones!N$9),11)/NETWORKDAYS.INTL(E212,F212,11)*100,1))))</f>
        <v/>
      </c>
      <c r="L212" s="36" t="str">
        <f aca="false">IF(OR(NOT(AND(ISNUMBER(E212),ISNUMBER(F212))),$J$2=""),"",IF(Reprogramaciones!P$9&lt;E212,0,IF(NETWORKDAYS.INTL(E212,F212,11)=0,IF(Reprogramaciones!P$9&gt;=F212,100,0),ROUND(NETWORKDAYS.INTL(E212,MIN(F212,Reprogramaciones!P$9),11)/NETWORKDAYS.INTL(E212,F212,11)*100,1)))-IF(Reprogramaciones!O$9&lt;E212,0,IF(NETWORKDAYS.INTL(E212,F212,11)=0,IF(Reprogramaciones!O$9&gt;=F212,100,0),ROUND(NETWORKDAYS.INTL(E212,MIN(F212,Reprogramaciones!O$9),11)/NETWORKDAYS.INTL(E212,F212,11)*100,1))))</f>
        <v/>
      </c>
      <c r="M212" s="36" t="str">
        <f aca="false">IF(OR(NOT(AND(ISNUMBER(E212),ISNUMBER(F212))),$J$2=""),"",IF(Reprogramaciones!Q$9&lt;E212,0,IF(NETWORKDAYS.INTL(E212,F212,11)=0,IF(Reprogramaciones!Q$9&gt;=F212,100,0),ROUND(NETWORKDAYS.INTL(E212,MIN(F212,Reprogramaciones!Q$9),11)/NETWORKDAYS.INTL(E212,F212,11)*100,1)))-IF(Reprogramaciones!P$9&lt;E212,0,IF(NETWORKDAYS.INTL(E212,F212,11)=0,IF(Reprogramaciones!P$9&gt;=F212,100,0),ROUND(NETWORKDAYS.INTL(E212,MIN(F212,Reprogramaciones!P$9),11)/NETWORKDAYS.INTL(E212,F212,11)*100,1))))</f>
        <v/>
      </c>
      <c r="N212" s="36" t="str">
        <f aca="false">IF(OR(NOT(AND(ISNUMBER(E212),ISNUMBER(F212))),$J$2=""),"",IF(Reprogramaciones!R$9&lt;E212,0,IF(NETWORKDAYS.INTL(E212,F212,11)=0,IF(Reprogramaciones!R$9&gt;=F212,100,0),ROUND(NETWORKDAYS.INTL(E212,MIN(F212,Reprogramaciones!R$9),11)/NETWORKDAYS.INTL(E212,F212,11)*100,1)))-IF(Reprogramaciones!Q$9&lt;E212,0,IF(NETWORKDAYS.INTL(E212,F212,11)=0,IF(Reprogramaciones!Q$9&gt;=F212,100,0),ROUND(NETWORKDAYS.INTL(E212,MIN(F212,Reprogramaciones!Q$9),11)/NETWORKDAYS.INTL(E212,F212,11)*100,1))))</f>
        <v/>
      </c>
      <c r="O212" s="36" t="str">
        <f aca="false">IF(OR(NOT(AND(ISNUMBER(E212),ISNUMBER(F212))),$J$2=""),"",IF(Reprogramaciones!S$9&lt;E212,0,IF(NETWORKDAYS.INTL(E212,F212,11)=0,IF(Reprogramaciones!S$9&gt;=F212,100,0),ROUND(NETWORKDAYS.INTL(E212,MIN(F212,Reprogramaciones!S$9),11)/NETWORKDAYS.INTL(E212,F212,11)*100,1)))-IF(Reprogramaciones!R$9&lt;E212,0,IF(NETWORKDAYS.INTL(E212,F212,11)=0,IF(Reprogramaciones!R$9&gt;=F212,100,0),ROUND(NETWORKDAYS.INTL(E212,MIN(F212,Reprogramaciones!R$9),11)/NETWORKDAYS.INTL(E212,F212,11)*100,1))))</f>
        <v/>
      </c>
      <c r="P212" s="36" t="str">
        <f aca="false">IF(OR(NOT(AND(ISNUMBER(E212),ISNUMBER(F212))),$J$2=""),"",IF(Reprogramaciones!T$9&lt;E212,0,IF(NETWORKDAYS.INTL(E212,F212,11)=0,IF(Reprogramaciones!T$9&gt;=F212,100,0),ROUND(NETWORKDAYS.INTL(E212,MIN(F212,Reprogramaciones!T$9),11)/NETWORKDAYS.INTL(E212,F212,11)*100,1)))-IF(Reprogramaciones!S$9&lt;E212,0,IF(NETWORKDAYS.INTL(E212,F212,11)=0,IF(Reprogramaciones!S$9&gt;=F212,100,0),ROUND(NETWORKDAYS.INTL(E212,MIN(F212,Reprogramaciones!S$9),11)/NETWORKDAYS.INTL(E212,F212,11)*100,1))))</f>
        <v/>
      </c>
      <c r="Q212" s="37"/>
      <c r="R212" s="37"/>
      <c r="S212" s="37"/>
      <c r="T212" s="37"/>
      <c r="U212" s="37"/>
      <c r="V212" s="37"/>
      <c r="W212" s="37"/>
      <c r="X212" s="37"/>
      <c r="Y212" s="37"/>
      <c r="Z212" s="37"/>
      <c r="AA212" s="37"/>
      <c r="AB212" s="37"/>
      <c r="AC212" s="37"/>
      <c r="AD212" s="37"/>
      <c r="AE212" s="37"/>
      <c r="AF212" s="37"/>
      <c r="AG212" s="38" t="str">
        <f aca="false">IF(AND(ISNUMBER(E212),ISNUMBER(F212)),NETWORKDAYS.INTL(E212,F212,11),"")</f>
        <v/>
      </c>
      <c r="AH212" s="38" t="str">
        <f aca="false">IF(OR(NOT(AND(ISNUMBER(E212),ISNUMBER(F212))),$J$2=""),"",IF(Reprogramaciones!$P$15&lt;Reprogramaciones!$T$15,0,IF(Reprogramaciones!$R$15&gt;10,MIN(100,SUM($G212:$P212)),MIN(100,SUMPRODUCT((COLUMN($G212:$P212)-COLUMN($G212)+1&lt;Reprogramaciones!$R$15)*$G212:$P212)+N(INDEX($G212:$P212,1,Reprogramaciones!$R$15))*IF(Reprogramaciones!$P$15&gt;=(Reprogramaciones!$T$15+7*(Reprogramaciones!$R$15-1))+6,1,IF(MAX(0,NETWORKDAYS.INTL(MAX(E212,(Reprogramaciones!$T$15+7*(Reprogramaciones!$R$15-1))),MIN(F212,(Reprogramaciones!$T$15+7*(Reprogramaciones!$R$15-1))+6),11))=0,0,MAX(0,NETWORKDAYS.INTL(MAX(E212,(Reprogramaciones!$T$15+7*(Reprogramaciones!$R$15-1))),MIN(F212,Reprogramaciones!$P$15),11))/MAX(0,NETWORKDAYS.INTL(MAX(E212,(Reprogramaciones!$T$15+7*(Reprogramaciones!$R$15-1))),MIN(F212,(Reprogramaciones!$T$15+7*(Reprogramaciones!$R$15-1))+6),11))))))))</f>
        <v/>
      </c>
      <c r="AI212" s="38" t="str">
        <f aca="false">IF(COUNT($Q212:$AF212)=0,"",IF(ROUND(SUM($Q212:$AF212),1)&gt;=99.5,100,MIN(100,ROUND(SUM($Q212:$AF212),1))))</f>
        <v/>
      </c>
      <c r="AJ212" s="38" t="str">
        <f aca="false">IF(OR(AH212="",AI212=""),"",AI212-AH212)</f>
        <v/>
      </c>
      <c r="AK212" s="39" t="str">
        <f aca="true">IF(AH212="","",IF(OR(Ficha!$C$10="Suspendida",Ficha!$C$10="Cancelada"),Ficha!$C$10,IF(AND(AI212&lt;&gt;"",N(AI212)&gt;=100),"Completada",IF(AND(E212&gt;TODAY(),N(AI212)=0),"Por iniciar",IF(N(AI212)+0.5&lt;AH212,"Retrasada",IF(N(AI212)+0.5&lt;DA212,IF(Reprogramaciones!$K$15&gt;0,"Al día · Sem "&amp;Reprogramaciones!$K$15&amp;" en curso","Al día · en curso"),"A tiempo"))))))</f>
        <v/>
      </c>
      <c r="AL212" s="39" t="str">
        <f aca="true">IF(AND(A212="",AND(B212="",C212="",E212="",F212="",COUNT(Q212:AF212)=0)),"",IF(AND(B212="",C212="",E212="",F212="",COUNT(Q212:AF212)=0),"Falta la partida o subpartida",IF(AND(A212&lt;&gt;"",COUNTIF($A$6:$A$305,A212)&gt;1),"Ítem repetido",IF(AND(C212="",E212="",F212="",COUNT(Q212:AF212)=0),"Título de partida",IF(OR(E212="",F212=""),"Faltan fechas",IF(OR(ISTEXT(E212),ISTEXT(F212)),"Fecha escrita como texto: usa dd/mm/aaaa",IF(F212&lt;E212,"Fin antes del inicio",IF(IF($J$2="",FALSE(),OR(E212&lt;$J$2,F212&gt;Reprogramaciones!$T$15+69)),"Fuera de las 10 semanas",IF(ABS(SUM(G212:P212)-100)&gt;0.5,"La meta no suma 100%",IF(ROUND(SUM(Q212:AF212),1)&gt;100.5,"El avance pasa de 100%",IF(MIN(Q212:AF212)&lt;0,"Avance negativo",IF(COUNTA(Q212:AF212)&gt;COUNT(Q212:AF212),"Avance escrito como texto",IF(SUMPRODUCT((Q212:AF212&gt;0)*(Q212:AF212&lt;1))&gt;0,"Avance menor a 1: escribe 50, no 50%",IF(SUMPRODUCT(ISNUMBER(Q212:AF212)*(Reprogramaciones!$K$8:$Z$8&gt;TODAY()))&gt;0,"Avance en semana que aún no llega",IF(AND(N(Reprogramaciones!$E$21)&gt;0,F212&gt;Reprogramaciones!$E$21),"Pasa el fin de la obra: registra una reprogramación",IF(AND(N(Reprogramaciones!$E$21)&gt;0,SUMPRODUCT(ISNUMBER(Q212:AF212)*(Reprogramaciones!$K$8:$Z$8&gt;Reprogramaciones!$E$21))&gt;0),"Avance después del fin de la obra: registra una reprogramación por atraso","OK"))))))))))))))))</f>
        <v/>
      </c>
      <c r="AM212" s="40" t="str">
        <f aca="false">IF(OR(OR(NOT(AND(ISNUMBER(E212),ISNUMBER(F212))),$J$2=""),1&gt;MAX(1,Reprogramaciones!$U$15)),"",IF(Reprogramaciones!K$12&gt;=7,"",IF(OR(BT212-N(0)&gt;0.05,N(Q212)&gt;0),ROUNDDOWN(ROUND(BT212,6),0)&amp;"%"&amp;IF(CJ212="",""," / "&amp;CJ212&amp;"%"),IF(AND(N(0)&gt;=99.95,CJ212&lt;&gt;"",N(CJ212)&lt;100),"Pend. "&amp;CJ212&amp;"%",""))))</f>
        <v/>
      </c>
      <c r="AN212" s="40" t="str">
        <f aca="false">IF(OR(OR(NOT(AND(ISNUMBER(E212),ISNUMBER(F212))),$J$2=""),2&gt;MAX(1,Reprogramaciones!$U$15)),"",IF(Reprogramaciones!L$12&gt;=7,"",IF(OR(BU212-N(BT212)&gt;0.05,N(R212)&gt;0),ROUNDDOWN(ROUND(BU212,6),0)&amp;"%"&amp;IF(CK212="",""," / "&amp;CK212&amp;"%"),IF(AND(N(BT212)&gt;=99.95,CK212&lt;&gt;"",N(CK212)&lt;100),"Pend. "&amp;CK212&amp;"%",""))))</f>
        <v/>
      </c>
      <c r="AO212" s="40" t="str">
        <f aca="false">IF(OR(OR(NOT(AND(ISNUMBER(E212),ISNUMBER(F212))),$J$2=""),3&gt;MAX(1,Reprogramaciones!$U$15)),"",IF(Reprogramaciones!M$12&gt;=7,"",IF(OR(BV212-N(BU212)&gt;0.05,N(S212)&gt;0),ROUNDDOWN(ROUND(BV212,6),0)&amp;"%"&amp;IF(CL212="",""," / "&amp;CL212&amp;"%"),IF(AND(N(BU212)&gt;=99.95,CL212&lt;&gt;"",N(CL212)&lt;100),"Pend. "&amp;CL212&amp;"%",""))))</f>
        <v/>
      </c>
      <c r="AP212" s="40" t="str">
        <f aca="false">IF(OR(OR(NOT(AND(ISNUMBER(E212),ISNUMBER(F212))),$J$2=""),4&gt;MAX(1,Reprogramaciones!$U$15)),"",IF(Reprogramaciones!N$12&gt;=7,"",IF(OR(BW212-N(BV212)&gt;0.05,N(T212)&gt;0),ROUNDDOWN(ROUND(BW212,6),0)&amp;"%"&amp;IF(CM212="",""," / "&amp;CM212&amp;"%"),IF(AND(N(BV212)&gt;=99.95,CM212&lt;&gt;"",N(CM212)&lt;100),"Pend. "&amp;CM212&amp;"%",""))))</f>
        <v/>
      </c>
      <c r="AQ212" s="40" t="str">
        <f aca="false">IF(OR(OR(NOT(AND(ISNUMBER(E212),ISNUMBER(F212))),$J$2=""),5&gt;MAX(1,Reprogramaciones!$U$15)),"",IF(Reprogramaciones!O$12&gt;=7,"",IF(OR(BX212-N(BW212)&gt;0.05,N(U212)&gt;0),ROUNDDOWN(ROUND(BX212,6),0)&amp;"%"&amp;IF(CN212="",""," / "&amp;CN212&amp;"%"),IF(AND(N(BW212)&gt;=99.95,CN212&lt;&gt;"",N(CN212)&lt;100),"Pend. "&amp;CN212&amp;"%",""))))</f>
        <v/>
      </c>
      <c r="AR212" s="40" t="str">
        <f aca="false">IF(OR(OR(NOT(AND(ISNUMBER(E212),ISNUMBER(F212))),$J$2=""),6&gt;MAX(1,Reprogramaciones!$U$15)),"",IF(Reprogramaciones!P$12&gt;=7,"",IF(OR(BY212-N(BX212)&gt;0.05,N(V212)&gt;0),ROUNDDOWN(ROUND(BY212,6),0)&amp;"%"&amp;IF(CO212="",""," / "&amp;CO212&amp;"%"),IF(AND(N(BX212)&gt;=99.95,CO212&lt;&gt;"",N(CO212)&lt;100),"Pend. "&amp;CO212&amp;"%",""))))</f>
        <v/>
      </c>
      <c r="AS212" s="40" t="str">
        <f aca="false">IF(OR(OR(NOT(AND(ISNUMBER(E212),ISNUMBER(F212))),$J$2=""),7&gt;MAX(1,Reprogramaciones!$U$15)),"",IF(Reprogramaciones!Q$12&gt;=7,"",IF(OR(BZ212-N(BY212)&gt;0.05,N(W212)&gt;0),ROUNDDOWN(ROUND(BZ212,6),0)&amp;"%"&amp;IF(CP212="",""," / "&amp;CP212&amp;"%"),IF(AND(N(BY212)&gt;=99.95,CP212&lt;&gt;"",N(CP212)&lt;100),"Pend. "&amp;CP212&amp;"%",""))))</f>
        <v/>
      </c>
      <c r="AT212" s="40" t="str">
        <f aca="false">IF(OR(OR(NOT(AND(ISNUMBER(E212),ISNUMBER(F212))),$J$2=""),8&gt;MAX(1,Reprogramaciones!$U$15)),"",IF(Reprogramaciones!R$12&gt;=7,"",IF(OR(CA212-N(BZ212)&gt;0.05,N(X212)&gt;0),ROUNDDOWN(ROUND(CA212,6),0)&amp;"%"&amp;IF(CQ212="",""," / "&amp;CQ212&amp;"%"),IF(AND(N(BZ212)&gt;=99.95,CQ212&lt;&gt;"",N(CQ212)&lt;100),"Pend. "&amp;CQ212&amp;"%",""))))</f>
        <v/>
      </c>
      <c r="AU212" s="40" t="str">
        <f aca="false">IF(OR(OR(NOT(AND(ISNUMBER(E212),ISNUMBER(F212))),$J$2=""),9&gt;MAX(1,Reprogramaciones!$U$15)),"",IF(Reprogramaciones!S$12&gt;=7,"",IF(OR(CB212-N(CA212)&gt;0.05,N(Y212)&gt;0),ROUNDDOWN(ROUND(CB212,6),0)&amp;"%"&amp;IF(CR212="",""," / "&amp;CR212&amp;"%"),IF(AND(N(CA212)&gt;=99.95,CR212&lt;&gt;"",N(CR212)&lt;100),"Pend. "&amp;CR212&amp;"%",""))))</f>
        <v/>
      </c>
      <c r="AV212" s="40" t="str">
        <f aca="false">IF(OR(OR(NOT(AND(ISNUMBER(E212),ISNUMBER(F212))),$J$2=""),10&gt;MAX(1,Reprogramaciones!$U$15)),"",IF(Reprogramaciones!T$12&gt;=7,"",IF(OR(CC212-N(CB212)&gt;0.05,N(Z212)&gt;0),ROUNDDOWN(ROUND(CC212,6),0)&amp;"%"&amp;IF(CS212="",""," / "&amp;CS212&amp;"%"),IF(AND(N(CB212)&gt;=99.95,CS212&lt;&gt;"",N(CS212)&lt;100),"Pend. "&amp;CS212&amp;"%",""))))</f>
        <v/>
      </c>
      <c r="AW212" s="40" t="str">
        <f aca="false">IF(OR(OR(NOT(AND(ISNUMBER(E212),ISNUMBER(F212))),$J$2=""),11&gt;MAX(1,Reprogramaciones!$U$15)),"",IF(Reprogramaciones!U$12&gt;=7,"",IF(OR(CD212-N(CC212)&gt;0.05,N(AA212)&gt;0),ROUNDDOWN(ROUND(CD212,6),0)&amp;"%"&amp;IF(CT212="",""," / "&amp;CT212&amp;"%"),IF(AND(N(CC212)&gt;=99.95,CT212&lt;&gt;"",N(CT212)&lt;100),"Pend. "&amp;CT212&amp;"%",""))))</f>
        <v/>
      </c>
      <c r="AX212" s="40" t="str">
        <f aca="false">IF(OR(OR(NOT(AND(ISNUMBER(E212),ISNUMBER(F212))),$J$2=""),12&gt;MAX(1,Reprogramaciones!$U$15)),"",IF(Reprogramaciones!V$12&gt;=7,"",IF(OR(CE212-N(CD212)&gt;0.05,N(AB212)&gt;0),ROUNDDOWN(ROUND(CE212,6),0)&amp;"%"&amp;IF(CU212="",""," / "&amp;CU212&amp;"%"),IF(AND(N(CD212)&gt;=99.95,CU212&lt;&gt;"",N(CU212)&lt;100),"Pend. "&amp;CU212&amp;"%",""))))</f>
        <v/>
      </c>
      <c r="AY212" s="40" t="str">
        <f aca="false">IF(OR(OR(NOT(AND(ISNUMBER(E212),ISNUMBER(F212))),$J$2=""),13&gt;MAX(1,Reprogramaciones!$U$15)),"",IF(Reprogramaciones!W$12&gt;=7,"",IF(OR(CF212-N(CE212)&gt;0.05,N(AC212)&gt;0),ROUNDDOWN(ROUND(CF212,6),0)&amp;"%"&amp;IF(CV212="",""," / "&amp;CV212&amp;"%"),IF(AND(N(CE212)&gt;=99.95,CV212&lt;&gt;"",N(CV212)&lt;100),"Pend. "&amp;CV212&amp;"%",""))))</f>
        <v/>
      </c>
      <c r="AZ212" s="40" t="str">
        <f aca="false">IF(OR(OR(NOT(AND(ISNUMBER(E212),ISNUMBER(F212))),$J$2=""),14&gt;MAX(1,Reprogramaciones!$U$15)),"",IF(Reprogramaciones!X$12&gt;=7,"",IF(OR(CG212-N(CF212)&gt;0.05,N(AD212)&gt;0),ROUNDDOWN(ROUND(CG212,6),0)&amp;"%"&amp;IF(CW212="",""," / "&amp;CW212&amp;"%"),IF(AND(N(CF212)&gt;=99.95,CW212&lt;&gt;"",N(CW212)&lt;100),"Pend. "&amp;CW212&amp;"%",""))))</f>
        <v/>
      </c>
      <c r="BA212" s="40" t="str">
        <f aca="false">IF(OR(OR(NOT(AND(ISNUMBER(E212),ISNUMBER(F212))),$J$2=""),15&gt;MAX(1,Reprogramaciones!$U$15)),"",IF(Reprogramaciones!Y$12&gt;=7,"",IF(OR(CH212-N(CG212)&gt;0.05,N(AE212)&gt;0),ROUNDDOWN(ROUND(CH212,6),0)&amp;"%"&amp;IF(CX212="",""," / "&amp;CX212&amp;"%"),IF(AND(N(CG212)&gt;=99.95,CX212&lt;&gt;"",N(CX212)&lt;100),"Pend. "&amp;CX212&amp;"%",""))))</f>
        <v/>
      </c>
      <c r="BB212" s="40" t="str">
        <f aca="false">IF(OR(OR(NOT(AND(ISNUMBER(E212),ISNUMBER(F212))),$J$2=""),16&gt;MAX(1,Reprogramaciones!$U$15)),"",IF(Reprogramaciones!Z$12&gt;=7,"",IF(OR(CI212-N(CH212)&gt;0.05,N(AF212)&gt;0),ROUNDDOWN(ROUND(CI212,6),0)&amp;"%"&amp;IF(CY212="",""," / "&amp;CY212&amp;"%"),IF(AND(N(CH212)&gt;=99.95,CY212&lt;&gt;"",N(CY212)&lt;100),"Pend. "&amp;CY212&amp;"%",""))))</f>
        <v/>
      </c>
      <c r="BC212" s="31" t="n">
        <f aca="false">IF(AND(ISNUMBER(E212),ISNUMBER(F212)),MAX(1,NETWORKDAYS.INTL(E212,F212,11)),0)</f>
        <v>0</v>
      </c>
      <c r="BD212" s="1" t="str">
        <f aca="false">IF(OR(NOT(AND(ISNUMBER(E212),ISNUMBER(F212))),$J$2=""),"",MIN(100,ROUND(SUM($G212:G212),1)))</f>
        <v/>
      </c>
      <c r="BE212" s="1" t="str">
        <f aca="false">IF(OR(NOT(AND(ISNUMBER(E212),ISNUMBER(F212))),$J$2=""),"",MIN(100,ROUND(SUM($G212:H212),1)))</f>
        <v/>
      </c>
      <c r="BF212" s="1" t="str">
        <f aca="false">IF(OR(NOT(AND(ISNUMBER(E212),ISNUMBER(F212))),$J$2=""),"",MIN(100,ROUND(SUM($G212:I212),1)))</f>
        <v/>
      </c>
      <c r="BG212" s="1" t="str">
        <f aca="false">IF(OR(NOT(AND(ISNUMBER(E212),ISNUMBER(F212))),$J$2=""),"",MIN(100,ROUND(SUM($G212:J212),1)))</f>
        <v/>
      </c>
      <c r="BH212" s="1" t="str">
        <f aca="false">IF(OR(NOT(AND(ISNUMBER(E212),ISNUMBER(F212))),$J$2=""),"",MIN(100,ROUND(SUM($G212:K212),1)))</f>
        <v/>
      </c>
      <c r="BI212" s="1" t="str">
        <f aca="false">IF(OR(NOT(AND(ISNUMBER(E212),ISNUMBER(F212))),$J$2=""),"",MIN(100,ROUND(SUM($G212:L212),1)))</f>
        <v/>
      </c>
      <c r="BJ212" s="1" t="str">
        <f aca="false">IF(OR(NOT(AND(ISNUMBER(E212),ISNUMBER(F212))),$J$2=""),"",MIN(100,ROUND(SUM($G212:M212),1)))</f>
        <v/>
      </c>
      <c r="BK212" s="1" t="str">
        <f aca="false">IF(OR(NOT(AND(ISNUMBER(E212),ISNUMBER(F212))),$J$2=""),"",MIN(100,ROUND(SUM($G212:N212),1)))</f>
        <v/>
      </c>
      <c r="BL212" s="1" t="str">
        <f aca="false">IF(OR(NOT(AND(ISNUMBER(E212),ISNUMBER(F212))),$J$2=""),"",MIN(100,ROUND(SUM($G212:O212),1)))</f>
        <v/>
      </c>
      <c r="BM212" s="1" t="str">
        <f aca="false">IF(OR(NOT(AND(ISNUMBER(E212),ISNUMBER(F212))),$J$2=""),"",MIN(100,ROUND(SUM($G212:P212),1)))</f>
        <v/>
      </c>
      <c r="BN212" s="1" t="str">
        <f aca="false">IF(OR(NOT(AND(ISNUMBER(E212),ISNUMBER(F212))),$J$2=""),"",MIN(100,ROUND(SUM($G212:P212),1)))</f>
        <v/>
      </c>
      <c r="BO212" s="1" t="str">
        <f aca="false">IF(OR(NOT(AND(ISNUMBER(E212),ISNUMBER(F212))),$J$2=""),"",MIN(100,ROUND(SUM($G212:P212),1)))</f>
        <v/>
      </c>
      <c r="BP212" s="1" t="str">
        <f aca="false">IF(OR(NOT(AND(ISNUMBER(E212),ISNUMBER(F212))),$J$2=""),"",MIN(100,ROUND(SUM($G212:P212),1)))</f>
        <v/>
      </c>
      <c r="BQ212" s="1" t="str">
        <f aca="false">IF(OR(NOT(AND(ISNUMBER(E212),ISNUMBER(F212))),$J$2=""),"",MIN(100,ROUND(SUM($G212:P212),1)))</f>
        <v/>
      </c>
      <c r="BR212" s="1" t="str">
        <f aca="false">IF(OR(NOT(AND(ISNUMBER(E212),ISNUMBER(F212))),$J$2=""),"",MIN(100,ROUND(SUM($G212:P212),1)))</f>
        <v/>
      </c>
      <c r="BS212" s="1" t="str">
        <f aca="false">IF(OR(NOT(AND(ISNUMBER(E212),ISNUMBER(F212))),$J$2=""),"",MIN(100,ROUND(SUM($G212:P212),1)))</f>
        <v/>
      </c>
      <c r="BT212" s="1" t="str">
        <f aca="false">IF(OR(NOT(AND(ISNUMBER(E212),ISNUMBER(F212))),$J$2=""),"",IF(Reprogramaciones!K$13&lt;Reprogramaciones!$T$15,0,IF(Reprogramaciones!K$14&gt;10,MIN(100,SUM($G212:$P212)),MIN(100,SUMPRODUCT((COLUMN($G212:$P212)-COLUMN($G212)+1&lt;Reprogramaciones!K$14)*$G212:$P212)+N(INDEX($G212:$P212,1,Reprogramaciones!K$14))*IF(Reprogramaciones!K$13&gt;=(Reprogramaciones!$T$15+7*(Reprogramaciones!K$14-1))+6,1,IF(MAX(0,NETWORKDAYS.INTL(MAX(E212,(Reprogramaciones!$T$15+7*(Reprogramaciones!K$14-1))),MIN(F212,(Reprogramaciones!$T$15+7*(Reprogramaciones!K$14-1))+6),11))=0,0,MAX(0,NETWORKDAYS.INTL(MAX(E212,(Reprogramaciones!$T$15+7*(Reprogramaciones!K$14-1))),MIN(F212,Reprogramaciones!K$13),11))/MAX(0,NETWORKDAYS.INTL(MAX(E212,(Reprogramaciones!$T$15+7*(Reprogramaciones!K$14-1))),MIN(F212,(Reprogramaciones!$T$15+7*(Reprogramaciones!K$14-1))+6),11))))))))</f>
        <v/>
      </c>
      <c r="BU212" s="1" t="str">
        <f aca="false">IF(OR(NOT(AND(ISNUMBER(E212),ISNUMBER(F212))),$J$2=""),"",IF(Reprogramaciones!L$13&lt;Reprogramaciones!$T$15,0,IF(Reprogramaciones!L$14&gt;10,MIN(100,SUM($G212:$P212)),MIN(100,SUMPRODUCT((COLUMN($G212:$P212)-COLUMN($G212)+1&lt;Reprogramaciones!L$14)*$G212:$P212)+N(INDEX($G212:$P212,1,Reprogramaciones!L$14))*IF(Reprogramaciones!L$13&gt;=(Reprogramaciones!$T$15+7*(Reprogramaciones!L$14-1))+6,1,IF(MAX(0,NETWORKDAYS.INTL(MAX(E212,(Reprogramaciones!$T$15+7*(Reprogramaciones!L$14-1))),MIN(F212,(Reprogramaciones!$T$15+7*(Reprogramaciones!L$14-1))+6),11))=0,0,MAX(0,NETWORKDAYS.INTL(MAX(E212,(Reprogramaciones!$T$15+7*(Reprogramaciones!L$14-1))),MIN(F212,Reprogramaciones!L$13),11))/MAX(0,NETWORKDAYS.INTL(MAX(E212,(Reprogramaciones!$T$15+7*(Reprogramaciones!L$14-1))),MIN(F212,(Reprogramaciones!$T$15+7*(Reprogramaciones!L$14-1))+6),11))))))))</f>
        <v/>
      </c>
      <c r="BV212" s="1" t="str">
        <f aca="false">IF(OR(NOT(AND(ISNUMBER(E212),ISNUMBER(F212))),$J$2=""),"",IF(Reprogramaciones!M$13&lt;Reprogramaciones!$T$15,0,IF(Reprogramaciones!M$14&gt;10,MIN(100,SUM($G212:$P212)),MIN(100,SUMPRODUCT((COLUMN($G212:$P212)-COLUMN($G212)+1&lt;Reprogramaciones!M$14)*$G212:$P212)+N(INDEX($G212:$P212,1,Reprogramaciones!M$14))*IF(Reprogramaciones!M$13&gt;=(Reprogramaciones!$T$15+7*(Reprogramaciones!M$14-1))+6,1,IF(MAX(0,NETWORKDAYS.INTL(MAX(E212,(Reprogramaciones!$T$15+7*(Reprogramaciones!M$14-1))),MIN(F212,(Reprogramaciones!$T$15+7*(Reprogramaciones!M$14-1))+6),11))=0,0,MAX(0,NETWORKDAYS.INTL(MAX(E212,(Reprogramaciones!$T$15+7*(Reprogramaciones!M$14-1))),MIN(F212,Reprogramaciones!M$13),11))/MAX(0,NETWORKDAYS.INTL(MAX(E212,(Reprogramaciones!$T$15+7*(Reprogramaciones!M$14-1))),MIN(F212,(Reprogramaciones!$T$15+7*(Reprogramaciones!M$14-1))+6),11))))))))</f>
        <v/>
      </c>
      <c r="BW212" s="1" t="str">
        <f aca="false">IF(OR(NOT(AND(ISNUMBER(E212),ISNUMBER(F212))),$J$2=""),"",IF(Reprogramaciones!N$13&lt;Reprogramaciones!$T$15,0,IF(Reprogramaciones!N$14&gt;10,MIN(100,SUM($G212:$P212)),MIN(100,SUMPRODUCT((COLUMN($G212:$P212)-COLUMN($G212)+1&lt;Reprogramaciones!N$14)*$G212:$P212)+N(INDEX($G212:$P212,1,Reprogramaciones!N$14))*IF(Reprogramaciones!N$13&gt;=(Reprogramaciones!$T$15+7*(Reprogramaciones!N$14-1))+6,1,IF(MAX(0,NETWORKDAYS.INTL(MAX(E212,(Reprogramaciones!$T$15+7*(Reprogramaciones!N$14-1))),MIN(F212,(Reprogramaciones!$T$15+7*(Reprogramaciones!N$14-1))+6),11))=0,0,MAX(0,NETWORKDAYS.INTL(MAX(E212,(Reprogramaciones!$T$15+7*(Reprogramaciones!N$14-1))),MIN(F212,Reprogramaciones!N$13),11))/MAX(0,NETWORKDAYS.INTL(MAX(E212,(Reprogramaciones!$T$15+7*(Reprogramaciones!N$14-1))),MIN(F212,(Reprogramaciones!$T$15+7*(Reprogramaciones!N$14-1))+6),11))))))))</f>
        <v/>
      </c>
      <c r="BX212" s="1" t="str">
        <f aca="false">IF(OR(NOT(AND(ISNUMBER(E212),ISNUMBER(F212))),$J$2=""),"",IF(Reprogramaciones!O$13&lt;Reprogramaciones!$T$15,0,IF(Reprogramaciones!O$14&gt;10,MIN(100,SUM($G212:$P212)),MIN(100,SUMPRODUCT((COLUMN($G212:$P212)-COLUMN($G212)+1&lt;Reprogramaciones!O$14)*$G212:$P212)+N(INDEX($G212:$P212,1,Reprogramaciones!O$14))*IF(Reprogramaciones!O$13&gt;=(Reprogramaciones!$T$15+7*(Reprogramaciones!O$14-1))+6,1,IF(MAX(0,NETWORKDAYS.INTL(MAX(E212,(Reprogramaciones!$T$15+7*(Reprogramaciones!O$14-1))),MIN(F212,(Reprogramaciones!$T$15+7*(Reprogramaciones!O$14-1))+6),11))=0,0,MAX(0,NETWORKDAYS.INTL(MAX(E212,(Reprogramaciones!$T$15+7*(Reprogramaciones!O$14-1))),MIN(F212,Reprogramaciones!O$13),11))/MAX(0,NETWORKDAYS.INTL(MAX(E212,(Reprogramaciones!$T$15+7*(Reprogramaciones!O$14-1))),MIN(F212,(Reprogramaciones!$T$15+7*(Reprogramaciones!O$14-1))+6),11))))))))</f>
        <v/>
      </c>
      <c r="BY212" s="1" t="str">
        <f aca="false">IF(OR(NOT(AND(ISNUMBER(E212),ISNUMBER(F212))),$J$2=""),"",IF(Reprogramaciones!P$13&lt;Reprogramaciones!$T$15,0,IF(Reprogramaciones!P$14&gt;10,MIN(100,SUM($G212:$P212)),MIN(100,SUMPRODUCT((COLUMN($G212:$P212)-COLUMN($G212)+1&lt;Reprogramaciones!P$14)*$G212:$P212)+N(INDEX($G212:$P212,1,Reprogramaciones!P$14))*IF(Reprogramaciones!P$13&gt;=(Reprogramaciones!$T$15+7*(Reprogramaciones!P$14-1))+6,1,IF(MAX(0,NETWORKDAYS.INTL(MAX(E212,(Reprogramaciones!$T$15+7*(Reprogramaciones!P$14-1))),MIN(F212,(Reprogramaciones!$T$15+7*(Reprogramaciones!P$14-1))+6),11))=0,0,MAX(0,NETWORKDAYS.INTL(MAX(E212,(Reprogramaciones!$T$15+7*(Reprogramaciones!P$14-1))),MIN(F212,Reprogramaciones!P$13),11))/MAX(0,NETWORKDAYS.INTL(MAX(E212,(Reprogramaciones!$T$15+7*(Reprogramaciones!P$14-1))),MIN(F212,(Reprogramaciones!$T$15+7*(Reprogramaciones!P$14-1))+6),11))))))))</f>
        <v/>
      </c>
      <c r="BZ212" s="1" t="str">
        <f aca="false">IF(OR(NOT(AND(ISNUMBER(E212),ISNUMBER(F212))),$J$2=""),"",IF(Reprogramaciones!Q$13&lt;Reprogramaciones!$T$15,0,IF(Reprogramaciones!Q$14&gt;10,MIN(100,SUM($G212:$P212)),MIN(100,SUMPRODUCT((COLUMN($G212:$P212)-COLUMN($G212)+1&lt;Reprogramaciones!Q$14)*$G212:$P212)+N(INDEX($G212:$P212,1,Reprogramaciones!Q$14))*IF(Reprogramaciones!Q$13&gt;=(Reprogramaciones!$T$15+7*(Reprogramaciones!Q$14-1))+6,1,IF(MAX(0,NETWORKDAYS.INTL(MAX(E212,(Reprogramaciones!$T$15+7*(Reprogramaciones!Q$14-1))),MIN(F212,(Reprogramaciones!$T$15+7*(Reprogramaciones!Q$14-1))+6),11))=0,0,MAX(0,NETWORKDAYS.INTL(MAX(E212,(Reprogramaciones!$T$15+7*(Reprogramaciones!Q$14-1))),MIN(F212,Reprogramaciones!Q$13),11))/MAX(0,NETWORKDAYS.INTL(MAX(E212,(Reprogramaciones!$T$15+7*(Reprogramaciones!Q$14-1))),MIN(F212,(Reprogramaciones!$T$15+7*(Reprogramaciones!Q$14-1))+6),11))))))))</f>
        <v/>
      </c>
      <c r="CA212" s="1" t="str">
        <f aca="false">IF(OR(NOT(AND(ISNUMBER(E212),ISNUMBER(F212))),$J$2=""),"",IF(Reprogramaciones!R$13&lt;Reprogramaciones!$T$15,0,IF(Reprogramaciones!R$14&gt;10,MIN(100,SUM($G212:$P212)),MIN(100,SUMPRODUCT((COLUMN($G212:$P212)-COLUMN($G212)+1&lt;Reprogramaciones!R$14)*$G212:$P212)+N(INDEX($G212:$P212,1,Reprogramaciones!R$14))*IF(Reprogramaciones!R$13&gt;=(Reprogramaciones!$T$15+7*(Reprogramaciones!R$14-1))+6,1,IF(MAX(0,NETWORKDAYS.INTL(MAX(E212,(Reprogramaciones!$T$15+7*(Reprogramaciones!R$14-1))),MIN(F212,(Reprogramaciones!$T$15+7*(Reprogramaciones!R$14-1))+6),11))=0,0,MAX(0,NETWORKDAYS.INTL(MAX(E212,(Reprogramaciones!$T$15+7*(Reprogramaciones!R$14-1))),MIN(F212,Reprogramaciones!R$13),11))/MAX(0,NETWORKDAYS.INTL(MAX(E212,(Reprogramaciones!$T$15+7*(Reprogramaciones!R$14-1))),MIN(F212,(Reprogramaciones!$T$15+7*(Reprogramaciones!R$14-1))+6),11))))))))</f>
        <v/>
      </c>
      <c r="CB212" s="1" t="str">
        <f aca="false">IF(OR(NOT(AND(ISNUMBER(E212),ISNUMBER(F212))),$J$2=""),"",IF(Reprogramaciones!S$13&lt;Reprogramaciones!$T$15,0,IF(Reprogramaciones!S$14&gt;10,MIN(100,SUM($G212:$P212)),MIN(100,SUMPRODUCT((COLUMN($G212:$P212)-COLUMN($G212)+1&lt;Reprogramaciones!S$14)*$G212:$P212)+N(INDEX($G212:$P212,1,Reprogramaciones!S$14))*IF(Reprogramaciones!S$13&gt;=(Reprogramaciones!$T$15+7*(Reprogramaciones!S$14-1))+6,1,IF(MAX(0,NETWORKDAYS.INTL(MAX(E212,(Reprogramaciones!$T$15+7*(Reprogramaciones!S$14-1))),MIN(F212,(Reprogramaciones!$T$15+7*(Reprogramaciones!S$14-1))+6),11))=0,0,MAX(0,NETWORKDAYS.INTL(MAX(E212,(Reprogramaciones!$T$15+7*(Reprogramaciones!S$14-1))),MIN(F212,Reprogramaciones!S$13),11))/MAX(0,NETWORKDAYS.INTL(MAX(E212,(Reprogramaciones!$T$15+7*(Reprogramaciones!S$14-1))),MIN(F212,(Reprogramaciones!$T$15+7*(Reprogramaciones!S$14-1))+6),11))))))))</f>
        <v/>
      </c>
      <c r="CC212" s="1" t="str">
        <f aca="false">IF(OR(NOT(AND(ISNUMBER(E212),ISNUMBER(F212))),$J$2=""),"",IF(Reprogramaciones!T$13&lt;Reprogramaciones!$T$15,0,IF(Reprogramaciones!T$14&gt;10,MIN(100,SUM($G212:$P212)),MIN(100,SUMPRODUCT((COLUMN($G212:$P212)-COLUMN($G212)+1&lt;Reprogramaciones!T$14)*$G212:$P212)+N(INDEX($G212:$P212,1,Reprogramaciones!T$14))*IF(Reprogramaciones!T$13&gt;=(Reprogramaciones!$T$15+7*(Reprogramaciones!T$14-1))+6,1,IF(MAX(0,NETWORKDAYS.INTL(MAX(E212,(Reprogramaciones!$T$15+7*(Reprogramaciones!T$14-1))),MIN(F212,(Reprogramaciones!$T$15+7*(Reprogramaciones!T$14-1))+6),11))=0,0,MAX(0,NETWORKDAYS.INTL(MAX(E212,(Reprogramaciones!$T$15+7*(Reprogramaciones!T$14-1))),MIN(F212,Reprogramaciones!T$13),11))/MAX(0,NETWORKDAYS.INTL(MAX(E212,(Reprogramaciones!$T$15+7*(Reprogramaciones!T$14-1))),MIN(F212,(Reprogramaciones!$T$15+7*(Reprogramaciones!T$14-1))+6),11))))))))</f>
        <v/>
      </c>
      <c r="CD212" s="1" t="str">
        <f aca="false">IF(OR(NOT(AND(ISNUMBER(E212),ISNUMBER(F212))),$J$2=""),"",IF(Reprogramaciones!U$13&lt;Reprogramaciones!$T$15,0,IF(Reprogramaciones!U$14&gt;10,MIN(100,SUM($G212:$P212)),MIN(100,SUMPRODUCT((COLUMN($G212:$P212)-COLUMN($G212)+1&lt;Reprogramaciones!U$14)*$G212:$P212)+N(INDEX($G212:$P212,1,Reprogramaciones!U$14))*IF(Reprogramaciones!U$13&gt;=(Reprogramaciones!$T$15+7*(Reprogramaciones!U$14-1))+6,1,IF(MAX(0,NETWORKDAYS.INTL(MAX(E212,(Reprogramaciones!$T$15+7*(Reprogramaciones!U$14-1))),MIN(F212,(Reprogramaciones!$T$15+7*(Reprogramaciones!U$14-1))+6),11))=0,0,MAX(0,NETWORKDAYS.INTL(MAX(E212,(Reprogramaciones!$T$15+7*(Reprogramaciones!U$14-1))),MIN(F212,Reprogramaciones!U$13),11))/MAX(0,NETWORKDAYS.INTL(MAX(E212,(Reprogramaciones!$T$15+7*(Reprogramaciones!U$14-1))),MIN(F212,(Reprogramaciones!$T$15+7*(Reprogramaciones!U$14-1))+6),11))))))))</f>
        <v/>
      </c>
      <c r="CE212" s="1" t="str">
        <f aca="false">IF(OR(NOT(AND(ISNUMBER(E212),ISNUMBER(F212))),$J$2=""),"",IF(Reprogramaciones!V$13&lt;Reprogramaciones!$T$15,0,IF(Reprogramaciones!V$14&gt;10,MIN(100,SUM($G212:$P212)),MIN(100,SUMPRODUCT((COLUMN($G212:$P212)-COLUMN($G212)+1&lt;Reprogramaciones!V$14)*$G212:$P212)+N(INDEX($G212:$P212,1,Reprogramaciones!V$14))*IF(Reprogramaciones!V$13&gt;=(Reprogramaciones!$T$15+7*(Reprogramaciones!V$14-1))+6,1,IF(MAX(0,NETWORKDAYS.INTL(MAX(E212,(Reprogramaciones!$T$15+7*(Reprogramaciones!V$14-1))),MIN(F212,(Reprogramaciones!$T$15+7*(Reprogramaciones!V$14-1))+6),11))=0,0,MAX(0,NETWORKDAYS.INTL(MAX(E212,(Reprogramaciones!$T$15+7*(Reprogramaciones!V$14-1))),MIN(F212,Reprogramaciones!V$13),11))/MAX(0,NETWORKDAYS.INTL(MAX(E212,(Reprogramaciones!$T$15+7*(Reprogramaciones!V$14-1))),MIN(F212,(Reprogramaciones!$T$15+7*(Reprogramaciones!V$14-1))+6),11))))))))</f>
        <v/>
      </c>
      <c r="CF212" s="1" t="str">
        <f aca="false">IF(OR(NOT(AND(ISNUMBER(E212),ISNUMBER(F212))),$J$2=""),"",IF(Reprogramaciones!W$13&lt;Reprogramaciones!$T$15,0,IF(Reprogramaciones!W$14&gt;10,MIN(100,SUM($G212:$P212)),MIN(100,SUMPRODUCT((COLUMN($G212:$P212)-COLUMN($G212)+1&lt;Reprogramaciones!W$14)*$G212:$P212)+N(INDEX($G212:$P212,1,Reprogramaciones!W$14))*IF(Reprogramaciones!W$13&gt;=(Reprogramaciones!$T$15+7*(Reprogramaciones!W$14-1))+6,1,IF(MAX(0,NETWORKDAYS.INTL(MAX(E212,(Reprogramaciones!$T$15+7*(Reprogramaciones!W$14-1))),MIN(F212,(Reprogramaciones!$T$15+7*(Reprogramaciones!W$14-1))+6),11))=0,0,MAX(0,NETWORKDAYS.INTL(MAX(E212,(Reprogramaciones!$T$15+7*(Reprogramaciones!W$14-1))),MIN(F212,Reprogramaciones!W$13),11))/MAX(0,NETWORKDAYS.INTL(MAX(E212,(Reprogramaciones!$T$15+7*(Reprogramaciones!W$14-1))),MIN(F212,(Reprogramaciones!$T$15+7*(Reprogramaciones!W$14-1))+6),11))))))))</f>
        <v/>
      </c>
      <c r="CG212" s="1" t="str">
        <f aca="false">IF(OR(NOT(AND(ISNUMBER(E212),ISNUMBER(F212))),$J$2=""),"",IF(Reprogramaciones!X$13&lt;Reprogramaciones!$T$15,0,IF(Reprogramaciones!X$14&gt;10,MIN(100,SUM($G212:$P212)),MIN(100,SUMPRODUCT((COLUMN($G212:$P212)-COLUMN($G212)+1&lt;Reprogramaciones!X$14)*$G212:$P212)+N(INDEX($G212:$P212,1,Reprogramaciones!X$14))*IF(Reprogramaciones!X$13&gt;=(Reprogramaciones!$T$15+7*(Reprogramaciones!X$14-1))+6,1,IF(MAX(0,NETWORKDAYS.INTL(MAX(E212,(Reprogramaciones!$T$15+7*(Reprogramaciones!X$14-1))),MIN(F212,(Reprogramaciones!$T$15+7*(Reprogramaciones!X$14-1))+6),11))=0,0,MAX(0,NETWORKDAYS.INTL(MAX(E212,(Reprogramaciones!$T$15+7*(Reprogramaciones!X$14-1))),MIN(F212,Reprogramaciones!X$13),11))/MAX(0,NETWORKDAYS.INTL(MAX(E212,(Reprogramaciones!$T$15+7*(Reprogramaciones!X$14-1))),MIN(F212,(Reprogramaciones!$T$15+7*(Reprogramaciones!X$14-1))+6),11))))))))</f>
        <v/>
      </c>
      <c r="CH212" s="1" t="str">
        <f aca="false">IF(OR(NOT(AND(ISNUMBER(E212),ISNUMBER(F212))),$J$2=""),"",IF(Reprogramaciones!Y$13&lt;Reprogramaciones!$T$15,0,IF(Reprogramaciones!Y$14&gt;10,MIN(100,SUM($G212:$P212)),MIN(100,SUMPRODUCT((COLUMN($G212:$P212)-COLUMN($G212)+1&lt;Reprogramaciones!Y$14)*$G212:$P212)+N(INDEX($G212:$P212,1,Reprogramaciones!Y$14))*IF(Reprogramaciones!Y$13&gt;=(Reprogramaciones!$T$15+7*(Reprogramaciones!Y$14-1))+6,1,IF(MAX(0,NETWORKDAYS.INTL(MAX(E212,(Reprogramaciones!$T$15+7*(Reprogramaciones!Y$14-1))),MIN(F212,(Reprogramaciones!$T$15+7*(Reprogramaciones!Y$14-1))+6),11))=0,0,MAX(0,NETWORKDAYS.INTL(MAX(E212,(Reprogramaciones!$T$15+7*(Reprogramaciones!Y$14-1))),MIN(F212,Reprogramaciones!Y$13),11))/MAX(0,NETWORKDAYS.INTL(MAX(E212,(Reprogramaciones!$T$15+7*(Reprogramaciones!Y$14-1))),MIN(F212,(Reprogramaciones!$T$15+7*(Reprogramaciones!Y$14-1))+6),11))))))))</f>
        <v/>
      </c>
      <c r="CI212" s="1" t="str">
        <f aca="false">IF(OR(NOT(AND(ISNUMBER(E212),ISNUMBER(F212))),$J$2=""),"",IF(Reprogramaciones!Z$13&lt;Reprogramaciones!$T$15,0,IF(Reprogramaciones!Z$14&gt;10,MIN(100,SUM($G212:$P212)),MIN(100,SUMPRODUCT((COLUMN($G212:$P212)-COLUMN($G212)+1&lt;Reprogramaciones!Z$14)*$G212:$P212)+N(INDEX($G212:$P212,1,Reprogramaciones!Z$14))*IF(Reprogramaciones!Z$13&gt;=(Reprogramaciones!$T$15+7*(Reprogramaciones!Z$14-1))+6,1,IF(MAX(0,NETWORKDAYS.INTL(MAX(E212,(Reprogramaciones!$T$15+7*(Reprogramaciones!Z$14-1))),MIN(F212,(Reprogramaciones!$T$15+7*(Reprogramaciones!Z$14-1))+6),11))=0,0,MAX(0,NETWORKDAYS.INTL(MAX(E212,(Reprogramaciones!$T$15+7*(Reprogramaciones!Z$14-1))),MIN(F212,Reprogramaciones!Z$13),11))/MAX(0,NETWORKDAYS.INTL(MAX(E212,(Reprogramaciones!$T$15+7*(Reprogramaciones!Z$14-1))),MIN(F212,(Reprogramaciones!$T$15+7*(Reprogramaciones!Z$14-1))+6),11))))))))</f>
        <v/>
      </c>
      <c r="CJ212" s="1" t="str">
        <f aca="false">IF(OR(OR(NOT(AND(ISNUMBER(E212),ISNUMBER(F212))),$J$2=""),1&gt;Reprogramaciones!$K$16),"",IF(ROUND(SUM($Q212:Q212),1)&gt;=99.5,100,MIN(100,ROUND(SUM($Q212:Q212),1))))</f>
        <v/>
      </c>
      <c r="CK212" s="1" t="str">
        <f aca="false">IF(OR(OR(NOT(AND(ISNUMBER(E212),ISNUMBER(F212))),$J$2=""),2&gt;Reprogramaciones!$K$16),"",IF(ROUND(SUM($Q212:R212),1)&gt;=99.5,100,MIN(100,ROUND(SUM($Q212:R212),1))))</f>
        <v/>
      </c>
      <c r="CL212" s="1" t="str">
        <f aca="false">IF(OR(OR(NOT(AND(ISNUMBER(E212),ISNUMBER(F212))),$J$2=""),3&gt;Reprogramaciones!$K$16),"",IF(ROUND(SUM($Q212:S212),1)&gt;=99.5,100,MIN(100,ROUND(SUM($Q212:S212),1))))</f>
        <v/>
      </c>
      <c r="CM212" s="1" t="str">
        <f aca="false">IF(OR(OR(NOT(AND(ISNUMBER(E212),ISNUMBER(F212))),$J$2=""),4&gt;Reprogramaciones!$K$16),"",IF(ROUND(SUM($Q212:T212),1)&gt;=99.5,100,MIN(100,ROUND(SUM($Q212:T212),1))))</f>
        <v/>
      </c>
      <c r="CN212" s="1" t="str">
        <f aca="false">IF(OR(OR(NOT(AND(ISNUMBER(E212),ISNUMBER(F212))),$J$2=""),5&gt;Reprogramaciones!$K$16),"",IF(ROUND(SUM($Q212:U212),1)&gt;=99.5,100,MIN(100,ROUND(SUM($Q212:U212),1))))</f>
        <v/>
      </c>
      <c r="CO212" s="1" t="str">
        <f aca="false">IF(OR(OR(NOT(AND(ISNUMBER(E212),ISNUMBER(F212))),$J$2=""),6&gt;Reprogramaciones!$K$16),"",IF(ROUND(SUM($Q212:V212),1)&gt;=99.5,100,MIN(100,ROUND(SUM($Q212:V212),1))))</f>
        <v/>
      </c>
      <c r="CP212" s="1" t="str">
        <f aca="false">IF(OR(OR(NOT(AND(ISNUMBER(E212),ISNUMBER(F212))),$J$2=""),7&gt;Reprogramaciones!$K$16),"",IF(ROUND(SUM($Q212:W212),1)&gt;=99.5,100,MIN(100,ROUND(SUM($Q212:W212),1))))</f>
        <v/>
      </c>
      <c r="CQ212" s="1" t="str">
        <f aca="false">IF(OR(OR(NOT(AND(ISNUMBER(E212),ISNUMBER(F212))),$J$2=""),8&gt;Reprogramaciones!$K$16),"",IF(ROUND(SUM($Q212:X212),1)&gt;=99.5,100,MIN(100,ROUND(SUM($Q212:X212),1))))</f>
        <v/>
      </c>
      <c r="CR212" s="1" t="str">
        <f aca="false">IF(OR(OR(NOT(AND(ISNUMBER(E212),ISNUMBER(F212))),$J$2=""),9&gt;Reprogramaciones!$K$16),"",IF(ROUND(SUM($Q212:Y212),1)&gt;=99.5,100,MIN(100,ROUND(SUM($Q212:Y212),1))))</f>
        <v/>
      </c>
      <c r="CS212" s="1" t="str">
        <f aca="false">IF(OR(OR(NOT(AND(ISNUMBER(E212),ISNUMBER(F212))),$J$2=""),10&gt;Reprogramaciones!$K$16),"",IF(ROUND(SUM($Q212:Z212),1)&gt;=99.5,100,MIN(100,ROUND(SUM($Q212:Z212),1))))</f>
        <v/>
      </c>
      <c r="CT212" s="1" t="str">
        <f aca="false">IF(OR(OR(NOT(AND(ISNUMBER(E212),ISNUMBER(F212))),$J$2=""),11&gt;Reprogramaciones!$K$16),"",IF(ROUND(SUM($Q212:AA212),1)&gt;=99.5,100,MIN(100,ROUND(SUM($Q212:AA212),1))))</f>
        <v/>
      </c>
      <c r="CU212" s="1" t="str">
        <f aca="false">IF(OR(OR(NOT(AND(ISNUMBER(E212),ISNUMBER(F212))),$J$2=""),12&gt;Reprogramaciones!$K$16),"",IF(ROUND(SUM($Q212:AB212),1)&gt;=99.5,100,MIN(100,ROUND(SUM($Q212:AB212),1))))</f>
        <v/>
      </c>
      <c r="CV212" s="1" t="str">
        <f aca="false">IF(OR(OR(NOT(AND(ISNUMBER(E212),ISNUMBER(F212))),$J$2=""),13&gt;Reprogramaciones!$K$16),"",IF(ROUND(SUM($Q212:AC212),1)&gt;=99.5,100,MIN(100,ROUND(SUM($Q212:AC212),1))))</f>
        <v/>
      </c>
      <c r="CW212" s="1" t="str">
        <f aca="false">IF(OR(OR(NOT(AND(ISNUMBER(E212),ISNUMBER(F212))),$J$2=""),14&gt;Reprogramaciones!$K$16),"",IF(ROUND(SUM($Q212:AD212),1)&gt;=99.5,100,MIN(100,ROUND(SUM($Q212:AD212),1))))</f>
        <v/>
      </c>
      <c r="CX212" s="1" t="str">
        <f aca="false">IF(OR(OR(NOT(AND(ISNUMBER(E212),ISNUMBER(F212))),$J$2=""),15&gt;Reprogramaciones!$K$16),"",IF(ROUND(SUM($Q212:AE212),1)&gt;=99.5,100,MIN(100,ROUND(SUM($Q212:AE212),1))))</f>
        <v/>
      </c>
      <c r="CY212" s="1" t="str">
        <f aca="false">IF(OR(OR(NOT(AND(ISNUMBER(E212),ISNUMBER(F212))),$J$2=""),16&gt;Reprogramaciones!$K$16),"",IF(ROUND(SUM($Q212:AF212),1)&gt;=99.5,100,MIN(100,ROUND(SUM($Q212:AF212),1))))</f>
        <v/>
      </c>
      <c r="CZ212" s="1" t="str">
        <f aca="false">IF(D212&lt;&gt;"",D212,IF(B212&lt;&gt;"","Contractual",CZ211))</f>
        <v>Contractual</v>
      </c>
      <c r="DA212" s="1" t="str">
        <f aca="false">IF(OR(NOT(AND(ISNUMBER(E212),ISNUMBER(F212))),$J$2=""),"",IF(Reprogramaciones!$Q$15&lt;Reprogramaciones!$T$15,0,IF(Reprogramaciones!$S$15&gt;10,MIN(100,SUM($G212:$P212)),MIN(100,SUMPRODUCT((COLUMN($G212:$P212)-COLUMN($G212)+1&lt;Reprogramaciones!$S$15)*$G212:$P212)+N(INDEX($G212:$P212,1,Reprogramaciones!$S$15))*IF(Reprogramaciones!$Q$15&gt;=(Reprogramaciones!$T$15+7*(Reprogramaciones!$S$15-1))+6,1,IF(MAX(0,NETWORKDAYS.INTL(MAX(E212,(Reprogramaciones!$T$15+7*(Reprogramaciones!$S$15-1))),MIN(F212,(Reprogramaciones!$T$15+7*(Reprogramaciones!$S$15-1))+6),11))=0,0,MAX(0,NETWORKDAYS.INTL(MAX(E212,(Reprogramaciones!$T$15+7*(Reprogramaciones!$S$15-1))),MIN(F212,Reprogramaciones!$Q$15),11))/MAX(0,NETWORKDAYS.INTL(MAX(E212,(Reprogramaciones!$T$15+7*(Reprogramaciones!$S$15-1))),MIN(F212,(Reprogramaciones!$T$15+7*(Reprogramaciones!$S$15-1))+6),11))))))))</f>
        <v/>
      </c>
    </row>
    <row r="213" customFormat="false" ht="15" hidden="false" customHeight="false" outlineLevel="0" collapsed="false">
      <c r="A213" s="32"/>
      <c r="B213" s="33"/>
      <c r="C213" s="33"/>
      <c r="D213" s="34"/>
      <c r="E213" s="35"/>
      <c r="F213" s="35"/>
      <c r="G213" s="36" t="str">
        <f aca="false">IF(OR(NOT(AND(ISNUMBER(E213),ISNUMBER(F213))),$J$2=""),"",IF(Reprogramaciones!K$9&lt;E213,0,IF(NETWORKDAYS.INTL(E213,F213,11)=0,IF(Reprogramaciones!K$9&gt;=F213,100,0),ROUND(NETWORKDAYS.INTL(E213,MIN(F213,Reprogramaciones!K$9),11)/NETWORKDAYS.INTL(E213,F213,11)*100,1)))-0)</f>
        <v/>
      </c>
      <c r="H213" s="36" t="str">
        <f aca="false">IF(OR(NOT(AND(ISNUMBER(E213),ISNUMBER(F213))),$J$2=""),"",IF(Reprogramaciones!L$9&lt;E213,0,IF(NETWORKDAYS.INTL(E213,F213,11)=0,IF(Reprogramaciones!L$9&gt;=F213,100,0),ROUND(NETWORKDAYS.INTL(E213,MIN(F213,Reprogramaciones!L$9),11)/NETWORKDAYS.INTL(E213,F213,11)*100,1)))-IF(Reprogramaciones!K$9&lt;E213,0,IF(NETWORKDAYS.INTL(E213,F213,11)=0,IF(Reprogramaciones!K$9&gt;=F213,100,0),ROUND(NETWORKDAYS.INTL(E213,MIN(F213,Reprogramaciones!K$9),11)/NETWORKDAYS.INTL(E213,F213,11)*100,1))))</f>
        <v/>
      </c>
      <c r="I213" s="36" t="str">
        <f aca="false">IF(OR(NOT(AND(ISNUMBER(E213),ISNUMBER(F213))),$J$2=""),"",IF(Reprogramaciones!M$9&lt;E213,0,IF(NETWORKDAYS.INTL(E213,F213,11)=0,IF(Reprogramaciones!M$9&gt;=F213,100,0),ROUND(NETWORKDAYS.INTL(E213,MIN(F213,Reprogramaciones!M$9),11)/NETWORKDAYS.INTL(E213,F213,11)*100,1)))-IF(Reprogramaciones!L$9&lt;E213,0,IF(NETWORKDAYS.INTL(E213,F213,11)=0,IF(Reprogramaciones!L$9&gt;=F213,100,0),ROUND(NETWORKDAYS.INTL(E213,MIN(F213,Reprogramaciones!L$9),11)/NETWORKDAYS.INTL(E213,F213,11)*100,1))))</f>
        <v/>
      </c>
      <c r="J213" s="36" t="str">
        <f aca="false">IF(OR(NOT(AND(ISNUMBER(E213),ISNUMBER(F213))),$J$2=""),"",IF(Reprogramaciones!N$9&lt;E213,0,IF(NETWORKDAYS.INTL(E213,F213,11)=0,IF(Reprogramaciones!N$9&gt;=F213,100,0),ROUND(NETWORKDAYS.INTL(E213,MIN(F213,Reprogramaciones!N$9),11)/NETWORKDAYS.INTL(E213,F213,11)*100,1)))-IF(Reprogramaciones!M$9&lt;E213,0,IF(NETWORKDAYS.INTL(E213,F213,11)=0,IF(Reprogramaciones!M$9&gt;=F213,100,0),ROUND(NETWORKDAYS.INTL(E213,MIN(F213,Reprogramaciones!M$9),11)/NETWORKDAYS.INTL(E213,F213,11)*100,1))))</f>
        <v/>
      </c>
      <c r="K213" s="36" t="str">
        <f aca="false">IF(OR(NOT(AND(ISNUMBER(E213),ISNUMBER(F213))),$J$2=""),"",IF(Reprogramaciones!O$9&lt;E213,0,IF(NETWORKDAYS.INTL(E213,F213,11)=0,IF(Reprogramaciones!O$9&gt;=F213,100,0),ROUND(NETWORKDAYS.INTL(E213,MIN(F213,Reprogramaciones!O$9),11)/NETWORKDAYS.INTL(E213,F213,11)*100,1)))-IF(Reprogramaciones!N$9&lt;E213,0,IF(NETWORKDAYS.INTL(E213,F213,11)=0,IF(Reprogramaciones!N$9&gt;=F213,100,0),ROUND(NETWORKDAYS.INTL(E213,MIN(F213,Reprogramaciones!N$9),11)/NETWORKDAYS.INTL(E213,F213,11)*100,1))))</f>
        <v/>
      </c>
      <c r="L213" s="36" t="str">
        <f aca="false">IF(OR(NOT(AND(ISNUMBER(E213),ISNUMBER(F213))),$J$2=""),"",IF(Reprogramaciones!P$9&lt;E213,0,IF(NETWORKDAYS.INTL(E213,F213,11)=0,IF(Reprogramaciones!P$9&gt;=F213,100,0),ROUND(NETWORKDAYS.INTL(E213,MIN(F213,Reprogramaciones!P$9),11)/NETWORKDAYS.INTL(E213,F213,11)*100,1)))-IF(Reprogramaciones!O$9&lt;E213,0,IF(NETWORKDAYS.INTL(E213,F213,11)=0,IF(Reprogramaciones!O$9&gt;=F213,100,0),ROUND(NETWORKDAYS.INTL(E213,MIN(F213,Reprogramaciones!O$9),11)/NETWORKDAYS.INTL(E213,F213,11)*100,1))))</f>
        <v/>
      </c>
      <c r="M213" s="36" t="str">
        <f aca="false">IF(OR(NOT(AND(ISNUMBER(E213),ISNUMBER(F213))),$J$2=""),"",IF(Reprogramaciones!Q$9&lt;E213,0,IF(NETWORKDAYS.INTL(E213,F213,11)=0,IF(Reprogramaciones!Q$9&gt;=F213,100,0),ROUND(NETWORKDAYS.INTL(E213,MIN(F213,Reprogramaciones!Q$9),11)/NETWORKDAYS.INTL(E213,F213,11)*100,1)))-IF(Reprogramaciones!P$9&lt;E213,0,IF(NETWORKDAYS.INTL(E213,F213,11)=0,IF(Reprogramaciones!P$9&gt;=F213,100,0),ROUND(NETWORKDAYS.INTL(E213,MIN(F213,Reprogramaciones!P$9),11)/NETWORKDAYS.INTL(E213,F213,11)*100,1))))</f>
        <v/>
      </c>
      <c r="N213" s="36" t="str">
        <f aca="false">IF(OR(NOT(AND(ISNUMBER(E213),ISNUMBER(F213))),$J$2=""),"",IF(Reprogramaciones!R$9&lt;E213,0,IF(NETWORKDAYS.INTL(E213,F213,11)=0,IF(Reprogramaciones!R$9&gt;=F213,100,0),ROUND(NETWORKDAYS.INTL(E213,MIN(F213,Reprogramaciones!R$9),11)/NETWORKDAYS.INTL(E213,F213,11)*100,1)))-IF(Reprogramaciones!Q$9&lt;E213,0,IF(NETWORKDAYS.INTL(E213,F213,11)=0,IF(Reprogramaciones!Q$9&gt;=F213,100,0),ROUND(NETWORKDAYS.INTL(E213,MIN(F213,Reprogramaciones!Q$9),11)/NETWORKDAYS.INTL(E213,F213,11)*100,1))))</f>
        <v/>
      </c>
      <c r="O213" s="36" t="str">
        <f aca="false">IF(OR(NOT(AND(ISNUMBER(E213),ISNUMBER(F213))),$J$2=""),"",IF(Reprogramaciones!S$9&lt;E213,0,IF(NETWORKDAYS.INTL(E213,F213,11)=0,IF(Reprogramaciones!S$9&gt;=F213,100,0),ROUND(NETWORKDAYS.INTL(E213,MIN(F213,Reprogramaciones!S$9),11)/NETWORKDAYS.INTL(E213,F213,11)*100,1)))-IF(Reprogramaciones!R$9&lt;E213,0,IF(NETWORKDAYS.INTL(E213,F213,11)=0,IF(Reprogramaciones!R$9&gt;=F213,100,0),ROUND(NETWORKDAYS.INTL(E213,MIN(F213,Reprogramaciones!R$9),11)/NETWORKDAYS.INTL(E213,F213,11)*100,1))))</f>
        <v/>
      </c>
      <c r="P213" s="36" t="str">
        <f aca="false">IF(OR(NOT(AND(ISNUMBER(E213),ISNUMBER(F213))),$J$2=""),"",IF(Reprogramaciones!T$9&lt;E213,0,IF(NETWORKDAYS.INTL(E213,F213,11)=0,IF(Reprogramaciones!T$9&gt;=F213,100,0),ROUND(NETWORKDAYS.INTL(E213,MIN(F213,Reprogramaciones!T$9),11)/NETWORKDAYS.INTL(E213,F213,11)*100,1)))-IF(Reprogramaciones!S$9&lt;E213,0,IF(NETWORKDAYS.INTL(E213,F213,11)=0,IF(Reprogramaciones!S$9&gt;=F213,100,0),ROUND(NETWORKDAYS.INTL(E213,MIN(F213,Reprogramaciones!S$9),11)/NETWORKDAYS.INTL(E213,F213,11)*100,1))))</f>
        <v/>
      </c>
      <c r="Q213" s="37"/>
      <c r="R213" s="37"/>
      <c r="S213" s="37"/>
      <c r="T213" s="37"/>
      <c r="U213" s="37"/>
      <c r="V213" s="37"/>
      <c r="W213" s="37"/>
      <c r="X213" s="37"/>
      <c r="Y213" s="37"/>
      <c r="Z213" s="37"/>
      <c r="AA213" s="37"/>
      <c r="AB213" s="37"/>
      <c r="AC213" s="37"/>
      <c r="AD213" s="37"/>
      <c r="AE213" s="37"/>
      <c r="AF213" s="37"/>
      <c r="AG213" s="38" t="str">
        <f aca="false">IF(AND(ISNUMBER(E213),ISNUMBER(F213)),NETWORKDAYS.INTL(E213,F213,11),"")</f>
        <v/>
      </c>
      <c r="AH213" s="38" t="str">
        <f aca="false">IF(OR(NOT(AND(ISNUMBER(E213),ISNUMBER(F213))),$J$2=""),"",IF(Reprogramaciones!$P$15&lt;Reprogramaciones!$T$15,0,IF(Reprogramaciones!$R$15&gt;10,MIN(100,SUM($G213:$P213)),MIN(100,SUMPRODUCT((COLUMN($G213:$P213)-COLUMN($G213)+1&lt;Reprogramaciones!$R$15)*$G213:$P213)+N(INDEX($G213:$P213,1,Reprogramaciones!$R$15))*IF(Reprogramaciones!$P$15&gt;=(Reprogramaciones!$T$15+7*(Reprogramaciones!$R$15-1))+6,1,IF(MAX(0,NETWORKDAYS.INTL(MAX(E213,(Reprogramaciones!$T$15+7*(Reprogramaciones!$R$15-1))),MIN(F213,(Reprogramaciones!$T$15+7*(Reprogramaciones!$R$15-1))+6),11))=0,0,MAX(0,NETWORKDAYS.INTL(MAX(E213,(Reprogramaciones!$T$15+7*(Reprogramaciones!$R$15-1))),MIN(F213,Reprogramaciones!$P$15),11))/MAX(0,NETWORKDAYS.INTL(MAX(E213,(Reprogramaciones!$T$15+7*(Reprogramaciones!$R$15-1))),MIN(F213,(Reprogramaciones!$T$15+7*(Reprogramaciones!$R$15-1))+6),11))))))))</f>
        <v/>
      </c>
      <c r="AI213" s="38" t="str">
        <f aca="false">IF(COUNT($Q213:$AF213)=0,"",IF(ROUND(SUM($Q213:$AF213),1)&gt;=99.5,100,MIN(100,ROUND(SUM($Q213:$AF213),1))))</f>
        <v/>
      </c>
      <c r="AJ213" s="38" t="str">
        <f aca="false">IF(OR(AH213="",AI213=""),"",AI213-AH213)</f>
        <v/>
      </c>
      <c r="AK213" s="39" t="str">
        <f aca="true">IF(AH213="","",IF(OR(Ficha!$C$10="Suspendida",Ficha!$C$10="Cancelada"),Ficha!$C$10,IF(AND(AI213&lt;&gt;"",N(AI213)&gt;=100),"Completada",IF(AND(E213&gt;TODAY(),N(AI213)=0),"Por iniciar",IF(N(AI213)+0.5&lt;AH213,"Retrasada",IF(N(AI213)+0.5&lt;DA213,IF(Reprogramaciones!$K$15&gt;0,"Al día · Sem "&amp;Reprogramaciones!$K$15&amp;" en curso","Al día · en curso"),"A tiempo"))))))</f>
        <v/>
      </c>
      <c r="AL213" s="39" t="str">
        <f aca="true">IF(AND(A213="",AND(B213="",C213="",E213="",F213="",COUNT(Q213:AF213)=0)),"",IF(AND(B213="",C213="",E213="",F213="",COUNT(Q213:AF213)=0),"Falta la partida o subpartida",IF(AND(A213&lt;&gt;"",COUNTIF($A$6:$A$305,A213)&gt;1),"Ítem repetido",IF(AND(C213="",E213="",F213="",COUNT(Q213:AF213)=0),"Título de partida",IF(OR(E213="",F213=""),"Faltan fechas",IF(OR(ISTEXT(E213),ISTEXT(F213)),"Fecha escrita como texto: usa dd/mm/aaaa",IF(F213&lt;E213,"Fin antes del inicio",IF(IF($J$2="",FALSE(),OR(E213&lt;$J$2,F213&gt;Reprogramaciones!$T$15+69)),"Fuera de las 10 semanas",IF(ABS(SUM(G213:P213)-100)&gt;0.5,"La meta no suma 100%",IF(ROUND(SUM(Q213:AF213),1)&gt;100.5,"El avance pasa de 100%",IF(MIN(Q213:AF213)&lt;0,"Avance negativo",IF(COUNTA(Q213:AF213)&gt;COUNT(Q213:AF213),"Avance escrito como texto",IF(SUMPRODUCT((Q213:AF213&gt;0)*(Q213:AF213&lt;1))&gt;0,"Avance menor a 1: escribe 50, no 50%",IF(SUMPRODUCT(ISNUMBER(Q213:AF213)*(Reprogramaciones!$K$8:$Z$8&gt;TODAY()))&gt;0,"Avance en semana que aún no llega",IF(AND(N(Reprogramaciones!$E$21)&gt;0,F213&gt;Reprogramaciones!$E$21),"Pasa el fin de la obra: registra una reprogramación",IF(AND(N(Reprogramaciones!$E$21)&gt;0,SUMPRODUCT(ISNUMBER(Q213:AF213)*(Reprogramaciones!$K$8:$Z$8&gt;Reprogramaciones!$E$21))&gt;0),"Avance después del fin de la obra: registra una reprogramación por atraso","OK"))))))))))))))))</f>
        <v/>
      </c>
      <c r="AM213" s="40" t="str">
        <f aca="false">IF(OR(OR(NOT(AND(ISNUMBER(E213),ISNUMBER(F213))),$J$2=""),1&gt;MAX(1,Reprogramaciones!$U$15)),"",IF(Reprogramaciones!K$12&gt;=7,"",IF(OR(BT213-N(0)&gt;0.05,N(Q213)&gt;0),ROUNDDOWN(ROUND(BT213,6),0)&amp;"%"&amp;IF(CJ213="",""," / "&amp;CJ213&amp;"%"),IF(AND(N(0)&gt;=99.95,CJ213&lt;&gt;"",N(CJ213)&lt;100),"Pend. "&amp;CJ213&amp;"%",""))))</f>
        <v/>
      </c>
      <c r="AN213" s="40" t="str">
        <f aca="false">IF(OR(OR(NOT(AND(ISNUMBER(E213),ISNUMBER(F213))),$J$2=""),2&gt;MAX(1,Reprogramaciones!$U$15)),"",IF(Reprogramaciones!L$12&gt;=7,"",IF(OR(BU213-N(BT213)&gt;0.05,N(R213)&gt;0),ROUNDDOWN(ROUND(BU213,6),0)&amp;"%"&amp;IF(CK213="",""," / "&amp;CK213&amp;"%"),IF(AND(N(BT213)&gt;=99.95,CK213&lt;&gt;"",N(CK213)&lt;100),"Pend. "&amp;CK213&amp;"%",""))))</f>
        <v/>
      </c>
      <c r="AO213" s="40" t="str">
        <f aca="false">IF(OR(OR(NOT(AND(ISNUMBER(E213),ISNUMBER(F213))),$J$2=""),3&gt;MAX(1,Reprogramaciones!$U$15)),"",IF(Reprogramaciones!M$12&gt;=7,"",IF(OR(BV213-N(BU213)&gt;0.05,N(S213)&gt;0),ROUNDDOWN(ROUND(BV213,6),0)&amp;"%"&amp;IF(CL213="",""," / "&amp;CL213&amp;"%"),IF(AND(N(BU213)&gt;=99.95,CL213&lt;&gt;"",N(CL213)&lt;100),"Pend. "&amp;CL213&amp;"%",""))))</f>
        <v/>
      </c>
      <c r="AP213" s="40" t="str">
        <f aca="false">IF(OR(OR(NOT(AND(ISNUMBER(E213),ISNUMBER(F213))),$J$2=""),4&gt;MAX(1,Reprogramaciones!$U$15)),"",IF(Reprogramaciones!N$12&gt;=7,"",IF(OR(BW213-N(BV213)&gt;0.05,N(T213)&gt;0),ROUNDDOWN(ROUND(BW213,6),0)&amp;"%"&amp;IF(CM213="",""," / "&amp;CM213&amp;"%"),IF(AND(N(BV213)&gt;=99.95,CM213&lt;&gt;"",N(CM213)&lt;100),"Pend. "&amp;CM213&amp;"%",""))))</f>
        <v/>
      </c>
      <c r="AQ213" s="40" t="str">
        <f aca="false">IF(OR(OR(NOT(AND(ISNUMBER(E213),ISNUMBER(F213))),$J$2=""),5&gt;MAX(1,Reprogramaciones!$U$15)),"",IF(Reprogramaciones!O$12&gt;=7,"",IF(OR(BX213-N(BW213)&gt;0.05,N(U213)&gt;0),ROUNDDOWN(ROUND(BX213,6),0)&amp;"%"&amp;IF(CN213="",""," / "&amp;CN213&amp;"%"),IF(AND(N(BW213)&gt;=99.95,CN213&lt;&gt;"",N(CN213)&lt;100),"Pend. "&amp;CN213&amp;"%",""))))</f>
        <v/>
      </c>
      <c r="AR213" s="40" t="str">
        <f aca="false">IF(OR(OR(NOT(AND(ISNUMBER(E213),ISNUMBER(F213))),$J$2=""),6&gt;MAX(1,Reprogramaciones!$U$15)),"",IF(Reprogramaciones!P$12&gt;=7,"",IF(OR(BY213-N(BX213)&gt;0.05,N(V213)&gt;0),ROUNDDOWN(ROUND(BY213,6),0)&amp;"%"&amp;IF(CO213="",""," / "&amp;CO213&amp;"%"),IF(AND(N(BX213)&gt;=99.95,CO213&lt;&gt;"",N(CO213)&lt;100),"Pend. "&amp;CO213&amp;"%",""))))</f>
        <v/>
      </c>
      <c r="AS213" s="40" t="str">
        <f aca="false">IF(OR(OR(NOT(AND(ISNUMBER(E213),ISNUMBER(F213))),$J$2=""),7&gt;MAX(1,Reprogramaciones!$U$15)),"",IF(Reprogramaciones!Q$12&gt;=7,"",IF(OR(BZ213-N(BY213)&gt;0.05,N(W213)&gt;0),ROUNDDOWN(ROUND(BZ213,6),0)&amp;"%"&amp;IF(CP213="",""," / "&amp;CP213&amp;"%"),IF(AND(N(BY213)&gt;=99.95,CP213&lt;&gt;"",N(CP213)&lt;100),"Pend. "&amp;CP213&amp;"%",""))))</f>
        <v/>
      </c>
      <c r="AT213" s="40" t="str">
        <f aca="false">IF(OR(OR(NOT(AND(ISNUMBER(E213),ISNUMBER(F213))),$J$2=""),8&gt;MAX(1,Reprogramaciones!$U$15)),"",IF(Reprogramaciones!R$12&gt;=7,"",IF(OR(CA213-N(BZ213)&gt;0.05,N(X213)&gt;0),ROUNDDOWN(ROUND(CA213,6),0)&amp;"%"&amp;IF(CQ213="",""," / "&amp;CQ213&amp;"%"),IF(AND(N(BZ213)&gt;=99.95,CQ213&lt;&gt;"",N(CQ213)&lt;100),"Pend. "&amp;CQ213&amp;"%",""))))</f>
        <v/>
      </c>
      <c r="AU213" s="40" t="str">
        <f aca="false">IF(OR(OR(NOT(AND(ISNUMBER(E213),ISNUMBER(F213))),$J$2=""),9&gt;MAX(1,Reprogramaciones!$U$15)),"",IF(Reprogramaciones!S$12&gt;=7,"",IF(OR(CB213-N(CA213)&gt;0.05,N(Y213)&gt;0),ROUNDDOWN(ROUND(CB213,6),0)&amp;"%"&amp;IF(CR213="",""," / "&amp;CR213&amp;"%"),IF(AND(N(CA213)&gt;=99.95,CR213&lt;&gt;"",N(CR213)&lt;100),"Pend. "&amp;CR213&amp;"%",""))))</f>
        <v/>
      </c>
      <c r="AV213" s="40" t="str">
        <f aca="false">IF(OR(OR(NOT(AND(ISNUMBER(E213),ISNUMBER(F213))),$J$2=""),10&gt;MAX(1,Reprogramaciones!$U$15)),"",IF(Reprogramaciones!T$12&gt;=7,"",IF(OR(CC213-N(CB213)&gt;0.05,N(Z213)&gt;0),ROUNDDOWN(ROUND(CC213,6),0)&amp;"%"&amp;IF(CS213="",""," / "&amp;CS213&amp;"%"),IF(AND(N(CB213)&gt;=99.95,CS213&lt;&gt;"",N(CS213)&lt;100),"Pend. "&amp;CS213&amp;"%",""))))</f>
        <v/>
      </c>
      <c r="AW213" s="40" t="str">
        <f aca="false">IF(OR(OR(NOT(AND(ISNUMBER(E213),ISNUMBER(F213))),$J$2=""),11&gt;MAX(1,Reprogramaciones!$U$15)),"",IF(Reprogramaciones!U$12&gt;=7,"",IF(OR(CD213-N(CC213)&gt;0.05,N(AA213)&gt;0),ROUNDDOWN(ROUND(CD213,6),0)&amp;"%"&amp;IF(CT213="",""," / "&amp;CT213&amp;"%"),IF(AND(N(CC213)&gt;=99.95,CT213&lt;&gt;"",N(CT213)&lt;100),"Pend. "&amp;CT213&amp;"%",""))))</f>
        <v/>
      </c>
      <c r="AX213" s="40" t="str">
        <f aca="false">IF(OR(OR(NOT(AND(ISNUMBER(E213),ISNUMBER(F213))),$J$2=""),12&gt;MAX(1,Reprogramaciones!$U$15)),"",IF(Reprogramaciones!V$12&gt;=7,"",IF(OR(CE213-N(CD213)&gt;0.05,N(AB213)&gt;0),ROUNDDOWN(ROUND(CE213,6),0)&amp;"%"&amp;IF(CU213="",""," / "&amp;CU213&amp;"%"),IF(AND(N(CD213)&gt;=99.95,CU213&lt;&gt;"",N(CU213)&lt;100),"Pend. "&amp;CU213&amp;"%",""))))</f>
        <v/>
      </c>
      <c r="AY213" s="40" t="str">
        <f aca="false">IF(OR(OR(NOT(AND(ISNUMBER(E213),ISNUMBER(F213))),$J$2=""),13&gt;MAX(1,Reprogramaciones!$U$15)),"",IF(Reprogramaciones!W$12&gt;=7,"",IF(OR(CF213-N(CE213)&gt;0.05,N(AC213)&gt;0),ROUNDDOWN(ROUND(CF213,6),0)&amp;"%"&amp;IF(CV213="",""," / "&amp;CV213&amp;"%"),IF(AND(N(CE213)&gt;=99.95,CV213&lt;&gt;"",N(CV213)&lt;100),"Pend. "&amp;CV213&amp;"%",""))))</f>
        <v/>
      </c>
      <c r="AZ213" s="40" t="str">
        <f aca="false">IF(OR(OR(NOT(AND(ISNUMBER(E213),ISNUMBER(F213))),$J$2=""),14&gt;MAX(1,Reprogramaciones!$U$15)),"",IF(Reprogramaciones!X$12&gt;=7,"",IF(OR(CG213-N(CF213)&gt;0.05,N(AD213)&gt;0),ROUNDDOWN(ROUND(CG213,6),0)&amp;"%"&amp;IF(CW213="",""," / "&amp;CW213&amp;"%"),IF(AND(N(CF213)&gt;=99.95,CW213&lt;&gt;"",N(CW213)&lt;100),"Pend. "&amp;CW213&amp;"%",""))))</f>
        <v/>
      </c>
      <c r="BA213" s="40" t="str">
        <f aca="false">IF(OR(OR(NOT(AND(ISNUMBER(E213),ISNUMBER(F213))),$J$2=""),15&gt;MAX(1,Reprogramaciones!$U$15)),"",IF(Reprogramaciones!Y$12&gt;=7,"",IF(OR(CH213-N(CG213)&gt;0.05,N(AE213)&gt;0),ROUNDDOWN(ROUND(CH213,6),0)&amp;"%"&amp;IF(CX213="",""," / "&amp;CX213&amp;"%"),IF(AND(N(CG213)&gt;=99.95,CX213&lt;&gt;"",N(CX213)&lt;100),"Pend. "&amp;CX213&amp;"%",""))))</f>
        <v/>
      </c>
      <c r="BB213" s="40" t="str">
        <f aca="false">IF(OR(OR(NOT(AND(ISNUMBER(E213),ISNUMBER(F213))),$J$2=""),16&gt;MAX(1,Reprogramaciones!$U$15)),"",IF(Reprogramaciones!Z$12&gt;=7,"",IF(OR(CI213-N(CH213)&gt;0.05,N(AF213)&gt;0),ROUNDDOWN(ROUND(CI213,6),0)&amp;"%"&amp;IF(CY213="",""," / "&amp;CY213&amp;"%"),IF(AND(N(CH213)&gt;=99.95,CY213&lt;&gt;"",N(CY213)&lt;100),"Pend. "&amp;CY213&amp;"%",""))))</f>
        <v/>
      </c>
      <c r="BC213" s="31" t="n">
        <f aca="false">IF(AND(ISNUMBER(E213),ISNUMBER(F213)),MAX(1,NETWORKDAYS.INTL(E213,F213,11)),0)</f>
        <v>0</v>
      </c>
      <c r="BD213" s="1" t="str">
        <f aca="false">IF(OR(NOT(AND(ISNUMBER(E213),ISNUMBER(F213))),$J$2=""),"",MIN(100,ROUND(SUM($G213:G213),1)))</f>
        <v/>
      </c>
      <c r="BE213" s="1" t="str">
        <f aca="false">IF(OR(NOT(AND(ISNUMBER(E213),ISNUMBER(F213))),$J$2=""),"",MIN(100,ROUND(SUM($G213:H213),1)))</f>
        <v/>
      </c>
      <c r="BF213" s="1" t="str">
        <f aca="false">IF(OR(NOT(AND(ISNUMBER(E213),ISNUMBER(F213))),$J$2=""),"",MIN(100,ROUND(SUM($G213:I213),1)))</f>
        <v/>
      </c>
      <c r="BG213" s="1" t="str">
        <f aca="false">IF(OR(NOT(AND(ISNUMBER(E213),ISNUMBER(F213))),$J$2=""),"",MIN(100,ROUND(SUM($G213:J213),1)))</f>
        <v/>
      </c>
      <c r="BH213" s="1" t="str">
        <f aca="false">IF(OR(NOT(AND(ISNUMBER(E213),ISNUMBER(F213))),$J$2=""),"",MIN(100,ROUND(SUM($G213:K213),1)))</f>
        <v/>
      </c>
      <c r="BI213" s="1" t="str">
        <f aca="false">IF(OR(NOT(AND(ISNUMBER(E213),ISNUMBER(F213))),$J$2=""),"",MIN(100,ROUND(SUM($G213:L213),1)))</f>
        <v/>
      </c>
      <c r="BJ213" s="1" t="str">
        <f aca="false">IF(OR(NOT(AND(ISNUMBER(E213),ISNUMBER(F213))),$J$2=""),"",MIN(100,ROUND(SUM($G213:M213),1)))</f>
        <v/>
      </c>
      <c r="BK213" s="1" t="str">
        <f aca="false">IF(OR(NOT(AND(ISNUMBER(E213),ISNUMBER(F213))),$J$2=""),"",MIN(100,ROUND(SUM($G213:N213),1)))</f>
        <v/>
      </c>
      <c r="BL213" s="1" t="str">
        <f aca="false">IF(OR(NOT(AND(ISNUMBER(E213),ISNUMBER(F213))),$J$2=""),"",MIN(100,ROUND(SUM($G213:O213),1)))</f>
        <v/>
      </c>
      <c r="BM213" s="1" t="str">
        <f aca="false">IF(OR(NOT(AND(ISNUMBER(E213),ISNUMBER(F213))),$J$2=""),"",MIN(100,ROUND(SUM($G213:P213),1)))</f>
        <v/>
      </c>
      <c r="BN213" s="1" t="str">
        <f aca="false">IF(OR(NOT(AND(ISNUMBER(E213),ISNUMBER(F213))),$J$2=""),"",MIN(100,ROUND(SUM($G213:P213),1)))</f>
        <v/>
      </c>
      <c r="BO213" s="1" t="str">
        <f aca="false">IF(OR(NOT(AND(ISNUMBER(E213),ISNUMBER(F213))),$J$2=""),"",MIN(100,ROUND(SUM($G213:P213),1)))</f>
        <v/>
      </c>
      <c r="BP213" s="1" t="str">
        <f aca="false">IF(OR(NOT(AND(ISNUMBER(E213),ISNUMBER(F213))),$J$2=""),"",MIN(100,ROUND(SUM($G213:P213),1)))</f>
        <v/>
      </c>
      <c r="BQ213" s="1" t="str">
        <f aca="false">IF(OR(NOT(AND(ISNUMBER(E213),ISNUMBER(F213))),$J$2=""),"",MIN(100,ROUND(SUM($G213:P213),1)))</f>
        <v/>
      </c>
      <c r="BR213" s="1" t="str">
        <f aca="false">IF(OR(NOT(AND(ISNUMBER(E213),ISNUMBER(F213))),$J$2=""),"",MIN(100,ROUND(SUM($G213:P213),1)))</f>
        <v/>
      </c>
      <c r="BS213" s="1" t="str">
        <f aca="false">IF(OR(NOT(AND(ISNUMBER(E213),ISNUMBER(F213))),$J$2=""),"",MIN(100,ROUND(SUM($G213:P213),1)))</f>
        <v/>
      </c>
      <c r="BT213" s="1" t="str">
        <f aca="false">IF(OR(NOT(AND(ISNUMBER(E213),ISNUMBER(F213))),$J$2=""),"",IF(Reprogramaciones!K$13&lt;Reprogramaciones!$T$15,0,IF(Reprogramaciones!K$14&gt;10,MIN(100,SUM($G213:$P213)),MIN(100,SUMPRODUCT((COLUMN($G213:$P213)-COLUMN($G213)+1&lt;Reprogramaciones!K$14)*$G213:$P213)+N(INDEX($G213:$P213,1,Reprogramaciones!K$14))*IF(Reprogramaciones!K$13&gt;=(Reprogramaciones!$T$15+7*(Reprogramaciones!K$14-1))+6,1,IF(MAX(0,NETWORKDAYS.INTL(MAX(E213,(Reprogramaciones!$T$15+7*(Reprogramaciones!K$14-1))),MIN(F213,(Reprogramaciones!$T$15+7*(Reprogramaciones!K$14-1))+6),11))=0,0,MAX(0,NETWORKDAYS.INTL(MAX(E213,(Reprogramaciones!$T$15+7*(Reprogramaciones!K$14-1))),MIN(F213,Reprogramaciones!K$13),11))/MAX(0,NETWORKDAYS.INTL(MAX(E213,(Reprogramaciones!$T$15+7*(Reprogramaciones!K$14-1))),MIN(F213,(Reprogramaciones!$T$15+7*(Reprogramaciones!K$14-1))+6),11))))))))</f>
        <v/>
      </c>
      <c r="BU213" s="1" t="str">
        <f aca="false">IF(OR(NOT(AND(ISNUMBER(E213),ISNUMBER(F213))),$J$2=""),"",IF(Reprogramaciones!L$13&lt;Reprogramaciones!$T$15,0,IF(Reprogramaciones!L$14&gt;10,MIN(100,SUM($G213:$P213)),MIN(100,SUMPRODUCT((COLUMN($G213:$P213)-COLUMN($G213)+1&lt;Reprogramaciones!L$14)*$G213:$P213)+N(INDEX($G213:$P213,1,Reprogramaciones!L$14))*IF(Reprogramaciones!L$13&gt;=(Reprogramaciones!$T$15+7*(Reprogramaciones!L$14-1))+6,1,IF(MAX(0,NETWORKDAYS.INTL(MAX(E213,(Reprogramaciones!$T$15+7*(Reprogramaciones!L$14-1))),MIN(F213,(Reprogramaciones!$T$15+7*(Reprogramaciones!L$14-1))+6),11))=0,0,MAX(0,NETWORKDAYS.INTL(MAX(E213,(Reprogramaciones!$T$15+7*(Reprogramaciones!L$14-1))),MIN(F213,Reprogramaciones!L$13),11))/MAX(0,NETWORKDAYS.INTL(MAX(E213,(Reprogramaciones!$T$15+7*(Reprogramaciones!L$14-1))),MIN(F213,(Reprogramaciones!$T$15+7*(Reprogramaciones!L$14-1))+6),11))))))))</f>
        <v/>
      </c>
      <c r="BV213" s="1" t="str">
        <f aca="false">IF(OR(NOT(AND(ISNUMBER(E213),ISNUMBER(F213))),$J$2=""),"",IF(Reprogramaciones!M$13&lt;Reprogramaciones!$T$15,0,IF(Reprogramaciones!M$14&gt;10,MIN(100,SUM($G213:$P213)),MIN(100,SUMPRODUCT((COLUMN($G213:$P213)-COLUMN($G213)+1&lt;Reprogramaciones!M$14)*$G213:$P213)+N(INDEX($G213:$P213,1,Reprogramaciones!M$14))*IF(Reprogramaciones!M$13&gt;=(Reprogramaciones!$T$15+7*(Reprogramaciones!M$14-1))+6,1,IF(MAX(0,NETWORKDAYS.INTL(MAX(E213,(Reprogramaciones!$T$15+7*(Reprogramaciones!M$14-1))),MIN(F213,(Reprogramaciones!$T$15+7*(Reprogramaciones!M$14-1))+6),11))=0,0,MAX(0,NETWORKDAYS.INTL(MAX(E213,(Reprogramaciones!$T$15+7*(Reprogramaciones!M$14-1))),MIN(F213,Reprogramaciones!M$13),11))/MAX(0,NETWORKDAYS.INTL(MAX(E213,(Reprogramaciones!$T$15+7*(Reprogramaciones!M$14-1))),MIN(F213,(Reprogramaciones!$T$15+7*(Reprogramaciones!M$14-1))+6),11))))))))</f>
        <v/>
      </c>
      <c r="BW213" s="1" t="str">
        <f aca="false">IF(OR(NOT(AND(ISNUMBER(E213),ISNUMBER(F213))),$J$2=""),"",IF(Reprogramaciones!N$13&lt;Reprogramaciones!$T$15,0,IF(Reprogramaciones!N$14&gt;10,MIN(100,SUM($G213:$P213)),MIN(100,SUMPRODUCT((COLUMN($G213:$P213)-COLUMN($G213)+1&lt;Reprogramaciones!N$14)*$G213:$P213)+N(INDEX($G213:$P213,1,Reprogramaciones!N$14))*IF(Reprogramaciones!N$13&gt;=(Reprogramaciones!$T$15+7*(Reprogramaciones!N$14-1))+6,1,IF(MAX(0,NETWORKDAYS.INTL(MAX(E213,(Reprogramaciones!$T$15+7*(Reprogramaciones!N$14-1))),MIN(F213,(Reprogramaciones!$T$15+7*(Reprogramaciones!N$14-1))+6),11))=0,0,MAX(0,NETWORKDAYS.INTL(MAX(E213,(Reprogramaciones!$T$15+7*(Reprogramaciones!N$14-1))),MIN(F213,Reprogramaciones!N$13),11))/MAX(0,NETWORKDAYS.INTL(MAX(E213,(Reprogramaciones!$T$15+7*(Reprogramaciones!N$14-1))),MIN(F213,(Reprogramaciones!$T$15+7*(Reprogramaciones!N$14-1))+6),11))))))))</f>
        <v/>
      </c>
      <c r="BX213" s="1" t="str">
        <f aca="false">IF(OR(NOT(AND(ISNUMBER(E213),ISNUMBER(F213))),$J$2=""),"",IF(Reprogramaciones!O$13&lt;Reprogramaciones!$T$15,0,IF(Reprogramaciones!O$14&gt;10,MIN(100,SUM($G213:$P213)),MIN(100,SUMPRODUCT((COLUMN($G213:$P213)-COLUMN($G213)+1&lt;Reprogramaciones!O$14)*$G213:$P213)+N(INDEX($G213:$P213,1,Reprogramaciones!O$14))*IF(Reprogramaciones!O$13&gt;=(Reprogramaciones!$T$15+7*(Reprogramaciones!O$14-1))+6,1,IF(MAX(0,NETWORKDAYS.INTL(MAX(E213,(Reprogramaciones!$T$15+7*(Reprogramaciones!O$14-1))),MIN(F213,(Reprogramaciones!$T$15+7*(Reprogramaciones!O$14-1))+6),11))=0,0,MAX(0,NETWORKDAYS.INTL(MAX(E213,(Reprogramaciones!$T$15+7*(Reprogramaciones!O$14-1))),MIN(F213,Reprogramaciones!O$13),11))/MAX(0,NETWORKDAYS.INTL(MAX(E213,(Reprogramaciones!$T$15+7*(Reprogramaciones!O$14-1))),MIN(F213,(Reprogramaciones!$T$15+7*(Reprogramaciones!O$14-1))+6),11))))))))</f>
        <v/>
      </c>
      <c r="BY213" s="1" t="str">
        <f aca="false">IF(OR(NOT(AND(ISNUMBER(E213),ISNUMBER(F213))),$J$2=""),"",IF(Reprogramaciones!P$13&lt;Reprogramaciones!$T$15,0,IF(Reprogramaciones!P$14&gt;10,MIN(100,SUM($G213:$P213)),MIN(100,SUMPRODUCT((COLUMN($G213:$P213)-COLUMN($G213)+1&lt;Reprogramaciones!P$14)*$G213:$P213)+N(INDEX($G213:$P213,1,Reprogramaciones!P$14))*IF(Reprogramaciones!P$13&gt;=(Reprogramaciones!$T$15+7*(Reprogramaciones!P$14-1))+6,1,IF(MAX(0,NETWORKDAYS.INTL(MAX(E213,(Reprogramaciones!$T$15+7*(Reprogramaciones!P$14-1))),MIN(F213,(Reprogramaciones!$T$15+7*(Reprogramaciones!P$14-1))+6),11))=0,0,MAX(0,NETWORKDAYS.INTL(MAX(E213,(Reprogramaciones!$T$15+7*(Reprogramaciones!P$14-1))),MIN(F213,Reprogramaciones!P$13),11))/MAX(0,NETWORKDAYS.INTL(MAX(E213,(Reprogramaciones!$T$15+7*(Reprogramaciones!P$14-1))),MIN(F213,(Reprogramaciones!$T$15+7*(Reprogramaciones!P$14-1))+6),11))))))))</f>
        <v/>
      </c>
      <c r="BZ213" s="1" t="str">
        <f aca="false">IF(OR(NOT(AND(ISNUMBER(E213),ISNUMBER(F213))),$J$2=""),"",IF(Reprogramaciones!Q$13&lt;Reprogramaciones!$T$15,0,IF(Reprogramaciones!Q$14&gt;10,MIN(100,SUM($G213:$P213)),MIN(100,SUMPRODUCT((COLUMN($G213:$P213)-COLUMN($G213)+1&lt;Reprogramaciones!Q$14)*$G213:$P213)+N(INDEX($G213:$P213,1,Reprogramaciones!Q$14))*IF(Reprogramaciones!Q$13&gt;=(Reprogramaciones!$T$15+7*(Reprogramaciones!Q$14-1))+6,1,IF(MAX(0,NETWORKDAYS.INTL(MAX(E213,(Reprogramaciones!$T$15+7*(Reprogramaciones!Q$14-1))),MIN(F213,(Reprogramaciones!$T$15+7*(Reprogramaciones!Q$14-1))+6),11))=0,0,MAX(0,NETWORKDAYS.INTL(MAX(E213,(Reprogramaciones!$T$15+7*(Reprogramaciones!Q$14-1))),MIN(F213,Reprogramaciones!Q$13),11))/MAX(0,NETWORKDAYS.INTL(MAX(E213,(Reprogramaciones!$T$15+7*(Reprogramaciones!Q$14-1))),MIN(F213,(Reprogramaciones!$T$15+7*(Reprogramaciones!Q$14-1))+6),11))))))))</f>
        <v/>
      </c>
      <c r="CA213" s="1" t="str">
        <f aca="false">IF(OR(NOT(AND(ISNUMBER(E213),ISNUMBER(F213))),$J$2=""),"",IF(Reprogramaciones!R$13&lt;Reprogramaciones!$T$15,0,IF(Reprogramaciones!R$14&gt;10,MIN(100,SUM($G213:$P213)),MIN(100,SUMPRODUCT((COLUMN($G213:$P213)-COLUMN($G213)+1&lt;Reprogramaciones!R$14)*$G213:$P213)+N(INDEX($G213:$P213,1,Reprogramaciones!R$14))*IF(Reprogramaciones!R$13&gt;=(Reprogramaciones!$T$15+7*(Reprogramaciones!R$14-1))+6,1,IF(MAX(0,NETWORKDAYS.INTL(MAX(E213,(Reprogramaciones!$T$15+7*(Reprogramaciones!R$14-1))),MIN(F213,(Reprogramaciones!$T$15+7*(Reprogramaciones!R$14-1))+6),11))=0,0,MAX(0,NETWORKDAYS.INTL(MAX(E213,(Reprogramaciones!$T$15+7*(Reprogramaciones!R$14-1))),MIN(F213,Reprogramaciones!R$13),11))/MAX(0,NETWORKDAYS.INTL(MAX(E213,(Reprogramaciones!$T$15+7*(Reprogramaciones!R$14-1))),MIN(F213,(Reprogramaciones!$T$15+7*(Reprogramaciones!R$14-1))+6),11))))))))</f>
        <v/>
      </c>
      <c r="CB213" s="1" t="str">
        <f aca="false">IF(OR(NOT(AND(ISNUMBER(E213),ISNUMBER(F213))),$J$2=""),"",IF(Reprogramaciones!S$13&lt;Reprogramaciones!$T$15,0,IF(Reprogramaciones!S$14&gt;10,MIN(100,SUM($G213:$P213)),MIN(100,SUMPRODUCT((COLUMN($G213:$P213)-COLUMN($G213)+1&lt;Reprogramaciones!S$14)*$G213:$P213)+N(INDEX($G213:$P213,1,Reprogramaciones!S$14))*IF(Reprogramaciones!S$13&gt;=(Reprogramaciones!$T$15+7*(Reprogramaciones!S$14-1))+6,1,IF(MAX(0,NETWORKDAYS.INTL(MAX(E213,(Reprogramaciones!$T$15+7*(Reprogramaciones!S$14-1))),MIN(F213,(Reprogramaciones!$T$15+7*(Reprogramaciones!S$14-1))+6),11))=0,0,MAX(0,NETWORKDAYS.INTL(MAX(E213,(Reprogramaciones!$T$15+7*(Reprogramaciones!S$14-1))),MIN(F213,Reprogramaciones!S$13),11))/MAX(0,NETWORKDAYS.INTL(MAX(E213,(Reprogramaciones!$T$15+7*(Reprogramaciones!S$14-1))),MIN(F213,(Reprogramaciones!$T$15+7*(Reprogramaciones!S$14-1))+6),11))))))))</f>
        <v/>
      </c>
      <c r="CC213" s="1" t="str">
        <f aca="false">IF(OR(NOT(AND(ISNUMBER(E213),ISNUMBER(F213))),$J$2=""),"",IF(Reprogramaciones!T$13&lt;Reprogramaciones!$T$15,0,IF(Reprogramaciones!T$14&gt;10,MIN(100,SUM($G213:$P213)),MIN(100,SUMPRODUCT((COLUMN($G213:$P213)-COLUMN($G213)+1&lt;Reprogramaciones!T$14)*$G213:$P213)+N(INDEX($G213:$P213,1,Reprogramaciones!T$14))*IF(Reprogramaciones!T$13&gt;=(Reprogramaciones!$T$15+7*(Reprogramaciones!T$14-1))+6,1,IF(MAX(0,NETWORKDAYS.INTL(MAX(E213,(Reprogramaciones!$T$15+7*(Reprogramaciones!T$14-1))),MIN(F213,(Reprogramaciones!$T$15+7*(Reprogramaciones!T$14-1))+6),11))=0,0,MAX(0,NETWORKDAYS.INTL(MAX(E213,(Reprogramaciones!$T$15+7*(Reprogramaciones!T$14-1))),MIN(F213,Reprogramaciones!T$13),11))/MAX(0,NETWORKDAYS.INTL(MAX(E213,(Reprogramaciones!$T$15+7*(Reprogramaciones!T$14-1))),MIN(F213,(Reprogramaciones!$T$15+7*(Reprogramaciones!T$14-1))+6),11))))))))</f>
        <v/>
      </c>
      <c r="CD213" s="1" t="str">
        <f aca="false">IF(OR(NOT(AND(ISNUMBER(E213),ISNUMBER(F213))),$J$2=""),"",IF(Reprogramaciones!U$13&lt;Reprogramaciones!$T$15,0,IF(Reprogramaciones!U$14&gt;10,MIN(100,SUM($G213:$P213)),MIN(100,SUMPRODUCT((COLUMN($G213:$P213)-COLUMN($G213)+1&lt;Reprogramaciones!U$14)*$G213:$P213)+N(INDEX($G213:$P213,1,Reprogramaciones!U$14))*IF(Reprogramaciones!U$13&gt;=(Reprogramaciones!$T$15+7*(Reprogramaciones!U$14-1))+6,1,IF(MAX(0,NETWORKDAYS.INTL(MAX(E213,(Reprogramaciones!$T$15+7*(Reprogramaciones!U$14-1))),MIN(F213,(Reprogramaciones!$T$15+7*(Reprogramaciones!U$14-1))+6),11))=0,0,MAX(0,NETWORKDAYS.INTL(MAX(E213,(Reprogramaciones!$T$15+7*(Reprogramaciones!U$14-1))),MIN(F213,Reprogramaciones!U$13),11))/MAX(0,NETWORKDAYS.INTL(MAX(E213,(Reprogramaciones!$T$15+7*(Reprogramaciones!U$14-1))),MIN(F213,(Reprogramaciones!$T$15+7*(Reprogramaciones!U$14-1))+6),11))))))))</f>
        <v/>
      </c>
      <c r="CE213" s="1" t="str">
        <f aca="false">IF(OR(NOT(AND(ISNUMBER(E213),ISNUMBER(F213))),$J$2=""),"",IF(Reprogramaciones!V$13&lt;Reprogramaciones!$T$15,0,IF(Reprogramaciones!V$14&gt;10,MIN(100,SUM($G213:$P213)),MIN(100,SUMPRODUCT((COLUMN($G213:$P213)-COLUMN($G213)+1&lt;Reprogramaciones!V$14)*$G213:$P213)+N(INDEX($G213:$P213,1,Reprogramaciones!V$14))*IF(Reprogramaciones!V$13&gt;=(Reprogramaciones!$T$15+7*(Reprogramaciones!V$14-1))+6,1,IF(MAX(0,NETWORKDAYS.INTL(MAX(E213,(Reprogramaciones!$T$15+7*(Reprogramaciones!V$14-1))),MIN(F213,(Reprogramaciones!$T$15+7*(Reprogramaciones!V$14-1))+6),11))=0,0,MAX(0,NETWORKDAYS.INTL(MAX(E213,(Reprogramaciones!$T$15+7*(Reprogramaciones!V$14-1))),MIN(F213,Reprogramaciones!V$13),11))/MAX(0,NETWORKDAYS.INTL(MAX(E213,(Reprogramaciones!$T$15+7*(Reprogramaciones!V$14-1))),MIN(F213,(Reprogramaciones!$T$15+7*(Reprogramaciones!V$14-1))+6),11))))))))</f>
        <v/>
      </c>
      <c r="CF213" s="1" t="str">
        <f aca="false">IF(OR(NOT(AND(ISNUMBER(E213),ISNUMBER(F213))),$J$2=""),"",IF(Reprogramaciones!W$13&lt;Reprogramaciones!$T$15,0,IF(Reprogramaciones!W$14&gt;10,MIN(100,SUM($G213:$P213)),MIN(100,SUMPRODUCT((COLUMN($G213:$P213)-COLUMN($G213)+1&lt;Reprogramaciones!W$14)*$G213:$P213)+N(INDEX($G213:$P213,1,Reprogramaciones!W$14))*IF(Reprogramaciones!W$13&gt;=(Reprogramaciones!$T$15+7*(Reprogramaciones!W$14-1))+6,1,IF(MAX(0,NETWORKDAYS.INTL(MAX(E213,(Reprogramaciones!$T$15+7*(Reprogramaciones!W$14-1))),MIN(F213,(Reprogramaciones!$T$15+7*(Reprogramaciones!W$14-1))+6),11))=0,0,MAX(0,NETWORKDAYS.INTL(MAX(E213,(Reprogramaciones!$T$15+7*(Reprogramaciones!W$14-1))),MIN(F213,Reprogramaciones!W$13),11))/MAX(0,NETWORKDAYS.INTL(MAX(E213,(Reprogramaciones!$T$15+7*(Reprogramaciones!W$14-1))),MIN(F213,(Reprogramaciones!$T$15+7*(Reprogramaciones!W$14-1))+6),11))))))))</f>
        <v/>
      </c>
      <c r="CG213" s="1" t="str">
        <f aca="false">IF(OR(NOT(AND(ISNUMBER(E213),ISNUMBER(F213))),$J$2=""),"",IF(Reprogramaciones!X$13&lt;Reprogramaciones!$T$15,0,IF(Reprogramaciones!X$14&gt;10,MIN(100,SUM($G213:$P213)),MIN(100,SUMPRODUCT((COLUMN($G213:$P213)-COLUMN($G213)+1&lt;Reprogramaciones!X$14)*$G213:$P213)+N(INDEX($G213:$P213,1,Reprogramaciones!X$14))*IF(Reprogramaciones!X$13&gt;=(Reprogramaciones!$T$15+7*(Reprogramaciones!X$14-1))+6,1,IF(MAX(0,NETWORKDAYS.INTL(MAX(E213,(Reprogramaciones!$T$15+7*(Reprogramaciones!X$14-1))),MIN(F213,(Reprogramaciones!$T$15+7*(Reprogramaciones!X$14-1))+6),11))=0,0,MAX(0,NETWORKDAYS.INTL(MAX(E213,(Reprogramaciones!$T$15+7*(Reprogramaciones!X$14-1))),MIN(F213,Reprogramaciones!X$13),11))/MAX(0,NETWORKDAYS.INTL(MAX(E213,(Reprogramaciones!$T$15+7*(Reprogramaciones!X$14-1))),MIN(F213,(Reprogramaciones!$T$15+7*(Reprogramaciones!X$14-1))+6),11))))))))</f>
        <v/>
      </c>
      <c r="CH213" s="1" t="str">
        <f aca="false">IF(OR(NOT(AND(ISNUMBER(E213),ISNUMBER(F213))),$J$2=""),"",IF(Reprogramaciones!Y$13&lt;Reprogramaciones!$T$15,0,IF(Reprogramaciones!Y$14&gt;10,MIN(100,SUM($G213:$P213)),MIN(100,SUMPRODUCT((COLUMN($G213:$P213)-COLUMN($G213)+1&lt;Reprogramaciones!Y$14)*$G213:$P213)+N(INDEX($G213:$P213,1,Reprogramaciones!Y$14))*IF(Reprogramaciones!Y$13&gt;=(Reprogramaciones!$T$15+7*(Reprogramaciones!Y$14-1))+6,1,IF(MAX(0,NETWORKDAYS.INTL(MAX(E213,(Reprogramaciones!$T$15+7*(Reprogramaciones!Y$14-1))),MIN(F213,(Reprogramaciones!$T$15+7*(Reprogramaciones!Y$14-1))+6),11))=0,0,MAX(0,NETWORKDAYS.INTL(MAX(E213,(Reprogramaciones!$T$15+7*(Reprogramaciones!Y$14-1))),MIN(F213,Reprogramaciones!Y$13),11))/MAX(0,NETWORKDAYS.INTL(MAX(E213,(Reprogramaciones!$T$15+7*(Reprogramaciones!Y$14-1))),MIN(F213,(Reprogramaciones!$T$15+7*(Reprogramaciones!Y$14-1))+6),11))))))))</f>
        <v/>
      </c>
      <c r="CI213" s="1" t="str">
        <f aca="false">IF(OR(NOT(AND(ISNUMBER(E213),ISNUMBER(F213))),$J$2=""),"",IF(Reprogramaciones!Z$13&lt;Reprogramaciones!$T$15,0,IF(Reprogramaciones!Z$14&gt;10,MIN(100,SUM($G213:$P213)),MIN(100,SUMPRODUCT((COLUMN($G213:$P213)-COLUMN($G213)+1&lt;Reprogramaciones!Z$14)*$G213:$P213)+N(INDEX($G213:$P213,1,Reprogramaciones!Z$14))*IF(Reprogramaciones!Z$13&gt;=(Reprogramaciones!$T$15+7*(Reprogramaciones!Z$14-1))+6,1,IF(MAX(0,NETWORKDAYS.INTL(MAX(E213,(Reprogramaciones!$T$15+7*(Reprogramaciones!Z$14-1))),MIN(F213,(Reprogramaciones!$T$15+7*(Reprogramaciones!Z$14-1))+6),11))=0,0,MAX(0,NETWORKDAYS.INTL(MAX(E213,(Reprogramaciones!$T$15+7*(Reprogramaciones!Z$14-1))),MIN(F213,Reprogramaciones!Z$13),11))/MAX(0,NETWORKDAYS.INTL(MAX(E213,(Reprogramaciones!$T$15+7*(Reprogramaciones!Z$14-1))),MIN(F213,(Reprogramaciones!$T$15+7*(Reprogramaciones!Z$14-1))+6),11))))))))</f>
        <v/>
      </c>
      <c r="CJ213" s="1" t="str">
        <f aca="false">IF(OR(OR(NOT(AND(ISNUMBER(E213),ISNUMBER(F213))),$J$2=""),1&gt;Reprogramaciones!$K$16),"",IF(ROUND(SUM($Q213:Q213),1)&gt;=99.5,100,MIN(100,ROUND(SUM($Q213:Q213),1))))</f>
        <v/>
      </c>
      <c r="CK213" s="1" t="str">
        <f aca="false">IF(OR(OR(NOT(AND(ISNUMBER(E213),ISNUMBER(F213))),$J$2=""),2&gt;Reprogramaciones!$K$16),"",IF(ROUND(SUM($Q213:R213),1)&gt;=99.5,100,MIN(100,ROUND(SUM($Q213:R213),1))))</f>
        <v/>
      </c>
      <c r="CL213" s="1" t="str">
        <f aca="false">IF(OR(OR(NOT(AND(ISNUMBER(E213),ISNUMBER(F213))),$J$2=""),3&gt;Reprogramaciones!$K$16),"",IF(ROUND(SUM($Q213:S213),1)&gt;=99.5,100,MIN(100,ROUND(SUM($Q213:S213),1))))</f>
        <v/>
      </c>
      <c r="CM213" s="1" t="str">
        <f aca="false">IF(OR(OR(NOT(AND(ISNUMBER(E213),ISNUMBER(F213))),$J$2=""),4&gt;Reprogramaciones!$K$16),"",IF(ROUND(SUM($Q213:T213),1)&gt;=99.5,100,MIN(100,ROUND(SUM($Q213:T213),1))))</f>
        <v/>
      </c>
      <c r="CN213" s="1" t="str">
        <f aca="false">IF(OR(OR(NOT(AND(ISNUMBER(E213),ISNUMBER(F213))),$J$2=""),5&gt;Reprogramaciones!$K$16),"",IF(ROUND(SUM($Q213:U213),1)&gt;=99.5,100,MIN(100,ROUND(SUM($Q213:U213),1))))</f>
        <v/>
      </c>
      <c r="CO213" s="1" t="str">
        <f aca="false">IF(OR(OR(NOT(AND(ISNUMBER(E213),ISNUMBER(F213))),$J$2=""),6&gt;Reprogramaciones!$K$16),"",IF(ROUND(SUM($Q213:V213),1)&gt;=99.5,100,MIN(100,ROUND(SUM($Q213:V213),1))))</f>
        <v/>
      </c>
      <c r="CP213" s="1" t="str">
        <f aca="false">IF(OR(OR(NOT(AND(ISNUMBER(E213),ISNUMBER(F213))),$J$2=""),7&gt;Reprogramaciones!$K$16),"",IF(ROUND(SUM($Q213:W213),1)&gt;=99.5,100,MIN(100,ROUND(SUM($Q213:W213),1))))</f>
        <v/>
      </c>
      <c r="CQ213" s="1" t="str">
        <f aca="false">IF(OR(OR(NOT(AND(ISNUMBER(E213),ISNUMBER(F213))),$J$2=""),8&gt;Reprogramaciones!$K$16),"",IF(ROUND(SUM($Q213:X213),1)&gt;=99.5,100,MIN(100,ROUND(SUM($Q213:X213),1))))</f>
        <v/>
      </c>
      <c r="CR213" s="1" t="str">
        <f aca="false">IF(OR(OR(NOT(AND(ISNUMBER(E213),ISNUMBER(F213))),$J$2=""),9&gt;Reprogramaciones!$K$16),"",IF(ROUND(SUM($Q213:Y213),1)&gt;=99.5,100,MIN(100,ROUND(SUM($Q213:Y213),1))))</f>
        <v/>
      </c>
      <c r="CS213" s="1" t="str">
        <f aca="false">IF(OR(OR(NOT(AND(ISNUMBER(E213),ISNUMBER(F213))),$J$2=""),10&gt;Reprogramaciones!$K$16),"",IF(ROUND(SUM($Q213:Z213),1)&gt;=99.5,100,MIN(100,ROUND(SUM($Q213:Z213),1))))</f>
        <v/>
      </c>
      <c r="CT213" s="1" t="str">
        <f aca="false">IF(OR(OR(NOT(AND(ISNUMBER(E213),ISNUMBER(F213))),$J$2=""),11&gt;Reprogramaciones!$K$16),"",IF(ROUND(SUM($Q213:AA213),1)&gt;=99.5,100,MIN(100,ROUND(SUM($Q213:AA213),1))))</f>
        <v/>
      </c>
      <c r="CU213" s="1" t="str">
        <f aca="false">IF(OR(OR(NOT(AND(ISNUMBER(E213),ISNUMBER(F213))),$J$2=""),12&gt;Reprogramaciones!$K$16),"",IF(ROUND(SUM($Q213:AB213),1)&gt;=99.5,100,MIN(100,ROUND(SUM($Q213:AB213),1))))</f>
        <v/>
      </c>
      <c r="CV213" s="1" t="str">
        <f aca="false">IF(OR(OR(NOT(AND(ISNUMBER(E213),ISNUMBER(F213))),$J$2=""),13&gt;Reprogramaciones!$K$16),"",IF(ROUND(SUM($Q213:AC213),1)&gt;=99.5,100,MIN(100,ROUND(SUM($Q213:AC213),1))))</f>
        <v/>
      </c>
      <c r="CW213" s="1" t="str">
        <f aca="false">IF(OR(OR(NOT(AND(ISNUMBER(E213),ISNUMBER(F213))),$J$2=""),14&gt;Reprogramaciones!$K$16),"",IF(ROUND(SUM($Q213:AD213),1)&gt;=99.5,100,MIN(100,ROUND(SUM($Q213:AD213),1))))</f>
        <v/>
      </c>
      <c r="CX213" s="1" t="str">
        <f aca="false">IF(OR(OR(NOT(AND(ISNUMBER(E213),ISNUMBER(F213))),$J$2=""),15&gt;Reprogramaciones!$K$16),"",IF(ROUND(SUM($Q213:AE213),1)&gt;=99.5,100,MIN(100,ROUND(SUM($Q213:AE213),1))))</f>
        <v/>
      </c>
      <c r="CY213" s="1" t="str">
        <f aca="false">IF(OR(OR(NOT(AND(ISNUMBER(E213),ISNUMBER(F213))),$J$2=""),16&gt;Reprogramaciones!$K$16),"",IF(ROUND(SUM($Q213:AF213),1)&gt;=99.5,100,MIN(100,ROUND(SUM($Q213:AF213),1))))</f>
        <v/>
      </c>
      <c r="CZ213" s="1" t="str">
        <f aca="false">IF(D213&lt;&gt;"",D213,IF(B213&lt;&gt;"","Contractual",CZ212))</f>
        <v>Contractual</v>
      </c>
      <c r="DA213" s="1" t="str">
        <f aca="false">IF(OR(NOT(AND(ISNUMBER(E213),ISNUMBER(F213))),$J$2=""),"",IF(Reprogramaciones!$Q$15&lt;Reprogramaciones!$T$15,0,IF(Reprogramaciones!$S$15&gt;10,MIN(100,SUM($G213:$P213)),MIN(100,SUMPRODUCT((COLUMN($G213:$P213)-COLUMN($G213)+1&lt;Reprogramaciones!$S$15)*$G213:$P213)+N(INDEX($G213:$P213,1,Reprogramaciones!$S$15))*IF(Reprogramaciones!$Q$15&gt;=(Reprogramaciones!$T$15+7*(Reprogramaciones!$S$15-1))+6,1,IF(MAX(0,NETWORKDAYS.INTL(MAX(E213,(Reprogramaciones!$T$15+7*(Reprogramaciones!$S$15-1))),MIN(F213,(Reprogramaciones!$T$15+7*(Reprogramaciones!$S$15-1))+6),11))=0,0,MAX(0,NETWORKDAYS.INTL(MAX(E213,(Reprogramaciones!$T$15+7*(Reprogramaciones!$S$15-1))),MIN(F213,Reprogramaciones!$Q$15),11))/MAX(0,NETWORKDAYS.INTL(MAX(E213,(Reprogramaciones!$T$15+7*(Reprogramaciones!$S$15-1))),MIN(F213,(Reprogramaciones!$T$15+7*(Reprogramaciones!$S$15-1))+6),11))))))))</f>
        <v/>
      </c>
    </row>
    <row r="214" customFormat="false" ht="15" hidden="false" customHeight="false" outlineLevel="0" collapsed="false">
      <c r="A214" s="32"/>
      <c r="B214" s="33"/>
      <c r="C214" s="33"/>
      <c r="D214" s="34"/>
      <c r="E214" s="35"/>
      <c r="F214" s="35"/>
      <c r="G214" s="36" t="str">
        <f aca="false">IF(OR(NOT(AND(ISNUMBER(E214),ISNUMBER(F214))),$J$2=""),"",IF(Reprogramaciones!K$9&lt;E214,0,IF(NETWORKDAYS.INTL(E214,F214,11)=0,IF(Reprogramaciones!K$9&gt;=F214,100,0),ROUND(NETWORKDAYS.INTL(E214,MIN(F214,Reprogramaciones!K$9),11)/NETWORKDAYS.INTL(E214,F214,11)*100,1)))-0)</f>
        <v/>
      </c>
      <c r="H214" s="36" t="str">
        <f aca="false">IF(OR(NOT(AND(ISNUMBER(E214),ISNUMBER(F214))),$J$2=""),"",IF(Reprogramaciones!L$9&lt;E214,0,IF(NETWORKDAYS.INTL(E214,F214,11)=0,IF(Reprogramaciones!L$9&gt;=F214,100,0),ROUND(NETWORKDAYS.INTL(E214,MIN(F214,Reprogramaciones!L$9),11)/NETWORKDAYS.INTL(E214,F214,11)*100,1)))-IF(Reprogramaciones!K$9&lt;E214,0,IF(NETWORKDAYS.INTL(E214,F214,11)=0,IF(Reprogramaciones!K$9&gt;=F214,100,0),ROUND(NETWORKDAYS.INTL(E214,MIN(F214,Reprogramaciones!K$9),11)/NETWORKDAYS.INTL(E214,F214,11)*100,1))))</f>
        <v/>
      </c>
      <c r="I214" s="36" t="str">
        <f aca="false">IF(OR(NOT(AND(ISNUMBER(E214),ISNUMBER(F214))),$J$2=""),"",IF(Reprogramaciones!M$9&lt;E214,0,IF(NETWORKDAYS.INTL(E214,F214,11)=0,IF(Reprogramaciones!M$9&gt;=F214,100,0),ROUND(NETWORKDAYS.INTL(E214,MIN(F214,Reprogramaciones!M$9),11)/NETWORKDAYS.INTL(E214,F214,11)*100,1)))-IF(Reprogramaciones!L$9&lt;E214,0,IF(NETWORKDAYS.INTL(E214,F214,11)=0,IF(Reprogramaciones!L$9&gt;=F214,100,0),ROUND(NETWORKDAYS.INTL(E214,MIN(F214,Reprogramaciones!L$9),11)/NETWORKDAYS.INTL(E214,F214,11)*100,1))))</f>
        <v/>
      </c>
      <c r="J214" s="36" t="str">
        <f aca="false">IF(OR(NOT(AND(ISNUMBER(E214),ISNUMBER(F214))),$J$2=""),"",IF(Reprogramaciones!N$9&lt;E214,0,IF(NETWORKDAYS.INTL(E214,F214,11)=0,IF(Reprogramaciones!N$9&gt;=F214,100,0),ROUND(NETWORKDAYS.INTL(E214,MIN(F214,Reprogramaciones!N$9),11)/NETWORKDAYS.INTL(E214,F214,11)*100,1)))-IF(Reprogramaciones!M$9&lt;E214,0,IF(NETWORKDAYS.INTL(E214,F214,11)=0,IF(Reprogramaciones!M$9&gt;=F214,100,0),ROUND(NETWORKDAYS.INTL(E214,MIN(F214,Reprogramaciones!M$9),11)/NETWORKDAYS.INTL(E214,F214,11)*100,1))))</f>
        <v/>
      </c>
      <c r="K214" s="36" t="str">
        <f aca="false">IF(OR(NOT(AND(ISNUMBER(E214),ISNUMBER(F214))),$J$2=""),"",IF(Reprogramaciones!O$9&lt;E214,0,IF(NETWORKDAYS.INTL(E214,F214,11)=0,IF(Reprogramaciones!O$9&gt;=F214,100,0),ROUND(NETWORKDAYS.INTL(E214,MIN(F214,Reprogramaciones!O$9),11)/NETWORKDAYS.INTL(E214,F214,11)*100,1)))-IF(Reprogramaciones!N$9&lt;E214,0,IF(NETWORKDAYS.INTL(E214,F214,11)=0,IF(Reprogramaciones!N$9&gt;=F214,100,0),ROUND(NETWORKDAYS.INTL(E214,MIN(F214,Reprogramaciones!N$9),11)/NETWORKDAYS.INTL(E214,F214,11)*100,1))))</f>
        <v/>
      </c>
      <c r="L214" s="36" t="str">
        <f aca="false">IF(OR(NOT(AND(ISNUMBER(E214),ISNUMBER(F214))),$J$2=""),"",IF(Reprogramaciones!P$9&lt;E214,0,IF(NETWORKDAYS.INTL(E214,F214,11)=0,IF(Reprogramaciones!P$9&gt;=F214,100,0),ROUND(NETWORKDAYS.INTL(E214,MIN(F214,Reprogramaciones!P$9),11)/NETWORKDAYS.INTL(E214,F214,11)*100,1)))-IF(Reprogramaciones!O$9&lt;E214,0,IF(NETWORKDAYS.INTL(E214,F214,11)=0,IF(Reprogramaciones!O$9&gt;=F214,100,0),ROUND(NETWORKDAYS.INTL(E214,MIN(F214,Reprogramaciones!O$9),11)/NETWORKDAYS.INTL(E214,F214,11)*100,1))))</f>
        <v/>
      </c>
      <c r="M214" s="36" t="str">
        <f aca="false">IF(OR(NOT(AND(ISNUMBER(E214),ISNUMBER(F214))),$J$2=""),"",IF(Reprogramaciones!Q$9&lt;E214,0,IF(NETWORKDAYS.INTL(E214,F214,11)=0,IF(Reprogramaciones!Q$9&gt;=F214,100,0),ROUND(NETWORKDAYS.INTL(E214,MIN(F214,Reprogramaciones!Q$9),11)/NETWORKDAYS.INTL(E214,F214,11)*100,1)))-IF(Reprogramaciones!P$9&lt;E214,0,IF(NETWORKDAYS.INTL(E214,F214,11)=0,IF(Reprogramaciones!P$9&gt;=F214,100,0),ROUND(NETWORKDAYS.INTL(E214,MIN(F214,Reprogramaciones!P$9),11)/NETWORKDAYS.INTL(E214,F214,11)*100,1))))</f>
        <v/>
      </c>
      <c r="N214" s="36" t="str">
        <f aca="false">IF(OR(NOT(AND(ISNUMBER(E214),ISNUMBER(F214))),$J$2=""),"",IF(Reprogramaciones!R$9&lt;E214,0,IF(NETWORKDAYS.INTL(E214,F214,11)=0,IF(Reprogramaciones!R$9&gt;=F214,100,0),ROUND(NETWORKDAYS.INTL(E214,MIN(F214,Reprogramaciones!R$9),11)/NETWORKDAYS.INTL(E214,F214,11)*100,1)))-IF(Reprogramaciones!Q$9&lt;E214,0,IF(NETWORKDAYS.INTL(E214,F214,11)=0,IF(Reprogramaciones!Q$9&gt;=F214,100,0),ROUND(NETWORKDAYS.INTL(E214,MIN(F214,Reprogramaciones!Q$9),11)/NETWORKDAYS.INTL(E214,F214,11)*100,1))))</f>
        <v/>
      </c>
      <c r="O214" s="36" t="str">
        <f aca="false">IF(OR(NOT(AND(ISNUMBER(E214),ISNUMBER(F214))),$J$2=""),"",IF(Reprogramaciones!S$9&lt;E214,0,IF(NETWORKDAYS.INTL(E214,F214,11)=0,IF(Reprogramaciones!S$9&gt;=F214,100,0),ROUND(NETWORKDAYS.INTL(E214,MIN(F214,Reprogramaciones!S$9),11)/NETWORKDAYS.INTL(E214,F214,11)*100,1)))-IF(Reprogramaciones!R$9&lt;E214,0,IF(NETWORKDAYS.INTL(E214,F214,11)=0,IF(Reprogramaciones!R$9&gt;=F214,100,0),ROUND(NETWORKDAYS.INTL(E214,MIN(F214,Reprogramaciones!R$9),11)/NETWORKDAYS.INTL(E214,F214,11)*100,1))))</f>
        <v/>
      </c>
      <c r="P214" s="36" t="str">
        <f aca="false">IF(OR(NOT(AND(ISNUMBER(E214),ISNUMBER(F214))),$J$2=""),"",IF(Reprogramaciones!T$9&lt;E214,0,IF(NETWORKDAYS.INTL(E214,F214,11)=0,IF(Reprogramaciones!T$9&gt;=F214,100,0),ROUND(NETWORKDAYS.INTL(E214,MIN(F214,Reprogramaciones!T$9),11)/NETWORKDAYS.INTL(E214,F214,11)*100,1)))-IF(Reprogramaciones!S$9&lt;E214,0,IF(NETWORKDAYS.INTL(E214,F214,11)=0,IF(Reprogramaciones!S$9&gt;=F214,100,0),ROUND(NETWORKDAYS.INTL(E214,MIN(F214,Reprogramaciones!S$9),11)/NETWORKDAYS.INTL(E214,F214,11)*100,1))))</f>
        <v/>
      </c>
      <c r="Q214" s="37"/>
      <c r="R214" s="37"/>
      <c r="S214" s="37"/>
      <c r="T214" s="37"/>
      <c r="U214" s="37"/>
      <c r="V214" s="37"/>
      <c r="W214" s="37"/>
      <c r="X214" s="37"/>
      <c r="Y214" s="37"/>
      <c r="Z214" s="37"/>
      <c r="AA214" s="37"/>
      <c r="AB214" s="37"/>
      <c r="AC214" s="37"/>
      <c r="AD214" s="37"/>
      <c r="AE214" s="37"/>
      <c r="AF214" s="37"/>
      <c r="AG214" s="38" t="str">
        <f aca="false">IF(AND(ISNUMBER(E214),ISNUMBER(F214)),NETWORKDAYS.INTL(E214,F214,11),"")</f>
        <v/>
      </c>
      <c r="AH214" s="38" t="str">
        <f aca="false">IF(OR(NOT(AND(ISNUMBER(E214),ISNUMBER(F214))),$J$2=""),"",IF(Reprogramaciones!$P$15&lt;Reprogramaciones!$T$15,0,IF(Reprogramaciones!$R$15&gt;10,MIN(100,SUM($G214:$P214)),MIN(100,SUMPRODUCT((COLUMN($G214:$P214)-COLUMN($G214)+1&lt;Reprogramaciones!$R$15)*$G214:$P214)+N(INDEX($G214:$P214,1,Reprogramaciones!$R$15))*IF(Reprogramaciones!$P$15&gt;=(Reprogramaciones!$T$15+7*(Reprogramaciones!$R$15-1))+6,1,IF(MAX(0,NETWORKDAYS.INTL(MAX(E214,(Reprogramaciones!$T$15+7*(Reprogramaciones!$R$15-1))),MIN(F214,(Reprogramaciones!$T$15+7*(Reprogramaciones!$R$15-1))+6),11))=0,0,MAX(0,NETWORKDAYS.INTL(MAX(E214,(Reprogramaciones!$T$15+7*(Reprogramaciones!$R$15-1))),MIN(F214,Reprogramaciones!$P$15),11))/MAX(0,NETWORKDAYS.INTL(MAX(E214,(Reprogramaciones!$T$15+7*(Reprogramaciones!$R$15-1))),MIN(F214,(Reprogramaciones!$T$15+7*(Reprogramaciones!$R$15-1))+6),11))))))))</f>
        <v/>
      </c>
      <c r="AI214" s="38" t="str">
        <f aca="false">IF(COUNT($Q214:$AF214)=0,"",IF(ROUND(SUM($Q214:$AF214),1)&gt;=99.5,100,MIN(100,ROUND(SUM($Q214:$AF214),1))))</f>
        <v/>
      </c>
      <c r="AJ214" s="38" t="str">
        <f aca="false">IF(OR(AH214="",AI214=""),"",AI214-AH214)</f>
        <v/>
      </c>
      <c r="AK214" s="39" t="str">
        <f aca="true">IF(AH214="","",IF(OR(Ficha!$C$10="Suspendida",Ficha!$C$10="Cancelada"),Ficha!$C$10,IF(AND(AI214&lt;&gt;"",N(AI214)&gt;=100),"Completada",IF(AND(E214&gt;TODAY(),N(AI214)=0),"Por iniciar",IF(N(AI214)+0.5&lt;AH214,"Retrasada",IF(N(AI214)+0.5&lt;DA214,IF(Reprogramaciones!$K$15&gt;0,"Al día · Sem "&amp;Reprogramaciones!$K$15&amp;" en curso","Al día · en curso"),"A tiempo"))))))</f>
        <v/>
      </c>
      <c r="AL214" s="39" t="str">
        <f aca="true">IF(AND(A214="",AND(B214="",C214="",E214="",F214="",COUNT(Q214:AF214)=0)),"",IF(AND(B214="",C214="",E214="",F214="",COUNT(Q214:AF214)=0),"Falta la partida o subpartida",IF(AND(A214&lt;&gt;"",COUNTIF($A$6:$A$305,A214)&gt;1),"Ítem repetido",IF(AND(C214="",E214="",F214="",COUNT(Q214:AF214)=0),"Título de partida",IF(OR(E214="",F214=""),"Faltan fechas",IF(OR(ISTEXT(E214),ISTEXT(F214)),"Fecha escrita como texto: usa dd/mm/aaaa",IF(F214&lt;E214,"Fin antes del inicio",IF(IF($J$2="",FALSE(),OR(E214&lt;$J$2,F214&gt;Reprogramaciones!$T$15+69)),"Fuera de las 10 semanas",IF(ABS(SUM(G214:P214)-100)&gt;0.5,"La meta no suma 100%",IF(ROUND(SUM(Q214:AF214),1)&gt;100.5,"El avance pasa de 100%",IF(MIN(Q214:AF214)&lt;0,"Avance negativo",IF(COUNTA(Q214:AF214)&gt;COUNT(Q214:AF214),"Avance escrito como texto",IF(SUMPRODUCT((Q214:AF214&gt;0)*(Q214:AF214&lt;1))&gt;0,"Avance menor a 1: escribe 50, no 50%",IF(SUMPRODUCT(ISNUMBER(Q214:AF214)*(Reprogramaciones!$K$8:$Z$8&gt;TODAY()))&gt;0,"Avance en semana que aún no llega",IF(AND(N(Reprogramaciones!$E$21)&gt;0,F214&gt;Reprogramaciones!$E$21),"Pasa el fin de la obra: registra una reprogramación",IF(AND(N(Reprogramaciones!$E$21)&gt;0,SUMPRODUCT(ISNUMBER(Q214:AF214)*(Reprogramaciones!$K$8:$Z$8&gt;Reprogramaciones!$E$21))&gt;0),"Avance después del fin de la obra: registra una reprogramación por atraso","OK"))))))))))))))))</f>
        <v/>
      </c>
      <c r="AM214" s="40" t="str">
        <f aca="false">IF(OR(OR(NOT(AND(ISNUMBER(E214),ISNUMBER(F214))),$J$2=""),1&gt;MAX(1,Reprogramaciones!$U$15)),"",IF(Reprogramaciones!K$12&gt;=7,"",IF(OR(BT214-N(0)&gt;0.05,N(Q214)&gt;0),ROUNDDOWN(ROUND(BT214,6),0)&amp;"%"&amp;IF(CJ214="",""," / "&amp;CJ214&amp;"%"),IF(AND(N(0)&gt;=99.95,CJ214&lt;&gt;"",N(CJ214)&lt;100),"Pend. "&amp;CJ214&amp;"%",""))))</f>
        <v/>
      </c>
      <c r="AN214" s="40" t="str">
        <f aca="false">IF(OR(OR(NOT(AND(ISNUMBER(E214),ISNUMBER(F214))),$J$2=""),2&gt;MAX(1,Reprogramaciones!$U$15)),"",IF(Reprogramaciones!L$12&gt;=7,"",IF(OR(BU214-N(BT214)&gt;0.05,N(R214)&gt;0),ROUNDDOWN(ROUND(BU214,6),0)&amp;"%"&amp;IF(CK214="",""," / "&amp;CK214&amp;"%"),IF(AND(N(BT214)&gt;=99.95,CK214&lt;&gt;"",N(CK214)&lt;100),"Pend. "&amp;CK214&amp;"%",""))))</f>
        <v/>
      </c>
      <c r="AO214" s="40" t="str">
        <f aca="false">IF(OR(OR(NOT(AND(ISNUMBER(E214),ISNUMBER(F214))),$J$2=""),3&gt;MAX(1,Reprogramaciones!$U$15)),"",IF(Reprogramaciones!M$12&gt;=7,"",IF(OR(BV214-N(BU214)&gt;0.05,N(S214)&gt;0),ROUNDDOWN(ROUND(BV214,6),0)&amp;"%"&amp;IF(CL214="",""," / "&amp;CL214&amp;"%"),IF(AND(N(BU214)&gt;=99.95,CL214&lt;&gt;"",N(CL214)&lt;100),"Pend. "&amp;CL214&amp;"%",""))))</f>
        <v/>
      </c>
      <c r="AP214" s="40" t="str">
        <f aca="false">IF(OR(OR(NOT(AND(ISNUMBER(E214),ISNUMBER(F214))),$J$2=""),4&gt;MAX(1,Reprogramaciones!$U$15)),"",IF(Reprogramaciones!N$12&gt;=7,"",IF(OR(BW214-N(BV214)&gt;0.05,N(T214)&gt;0),ROUNDDOWN(ROUND(BW214,6),0)&amp;"%"&amp;IF(CM214="",""," / "&amp;CM214&amp;"%"),IF(AND(N(BV214)&gt;=99.95,CM214&lt;&gt;"",N(CM214)&lt;100),"Pend. "&amp;CM214&amp;"%",""))))</f>
        <v/>
      </c>
      <c r="AQ214" s="40" t="str">
        <f aca="false">IF(OR(OR(NOT(AND(ISNUMBER(E214),ISNUMBER(F214))),$J$2=""),5&gt;MAX(1,Reprogramaciones!$U$15)),"",IF(Reprogramaciones!O$12&gt;=7,"",IF(OR(BX214-N(BW214)&gt;0.05,N(U214)&gt;0),ROUNDDOWN(ROUND(BX214,6),0)&amp;"%"&amp;IF(CN214="",""," / "&amp;CN214&amp;"%"),IF(AND(N(BW214)&gt;=99.95,CN214&lt;&gt;"",N(CN214)&lt;100),"Pend. "&amp;CN214&amp;"%",""))))</f>
        <v/>
      </c>
      <c r="AR214" s="40" t="str">
        <f aca="false">IF(OR(OR(NOT(AND(ISNUMBER(E214),ISNUMBER(F214))),$J$2=""),6&gt;MAX(1,Reprogramaciones!$U$15)),"",IF(Reprogramaciones!P$12&gt;=7,"",IF(OR(BY214-N(BX214)&gt;0.05,N(V214)&gt;0),ROUNDDOWN(ROUND(BY214,6),0)&amp;"%"&amp;IF(CO214="",""," / "&amp;CO214&amp;"%"),IF(AND(N(BX214)&gt;=99.95,CO214&lt;&gt;"",N(CO214)&lt;100),"Pend. "&amp;CO214&amp;"%",""))))</f>
        <v/>
      </c>
      <c r="AS214" s="40" t="str">
        <f aca="false">IF(OR(OR(NOT(AND(ISNUMBER(E214),ISNUMBER(F214))),$J$2=""),7&gt;MAX(1,Reprogramaciones!$U$15)),"",IF(Reprogramaciones!Q$12&gt;=7,"",IF(OR(BZ214-N(BY214)&gt;0.05,N(W214)&gt;0),ROUNDDOWN(ROUND(BZ214,6),0)&amp;"%"&amp;IF(CP214="",""," / "&amp;CP214&amp;"%"),IF(AND(N(BY214)&gt;=99.95,CP214&lt;&gt;"",N(CP214)&lt;100),"Pend. "&amp;CP214&amp;"%",""))))</f>
        <v/>
      </c>
      <c r="AT214" s="40" t="str">
        <f aca="false">IF(OR(OR(NOT(AND(ISNUMBER(E214),ISNUMBER(F214))),$J$2=""),8&gt;MAX(1,Reprogramaciones!$U$15)),"",IF(Reprogramaciones!R$12&gt;=7,"",IF(OR(CA214-N(BZ214)&gt;0.05,N(X214)&gt;0),ROUNDDOWN(ROUND(CA214,6),0)&amp;"%"&amp;IF(CQ214="",""," / "&amp;CQ214&amp;"%"),IF(AND(N(BZ214)&gt;=99.95,CQ214&lt;&gt;"",N(CQ214)&lt;100),"Pend. "&amp;CQ214&amp;"%",""))))</f>
        <v/>
      </c>
      <c r="AU214" s="40" t="str">
        <f aca="false">IF(OR(OR(NOT(AND(ISNUMBER(E214),ISNUMBER(F214))),$J$2=""),9&gt;MAX(1,Reprogramaciones!$U$15)),"",IF(Reprogramaciones!S$12&gt;=7,"",IF(OR(CB214-N(CA214)&gt;0.05,N(Y214)&gt;0),ROUNDDOWN(ROUND(CB214,6),0)&amp;"%"&amp;IF(CR214="",""," / "&amp;CR214&amp;"%"),IF(AND(N(CA214)&gt;=99.95,CR214&lt;&gt;"",N(CR214)&lt;100),"Pend. "&amp;CR214&amp;"%",""))))</f>
        <v/>
      </c>
      <c r="AV214" s="40" t="str">
        <f aca="false">IF(OR(OR(NOT(AND(ISNUMBER(E214),ISNUMBER(F214))),$J$2=""),10&gt;MAX(1,Reprogramaciones!$U$15)),"",IF(Reprogramaciones!T$12&gt;=7,"",IF(OR(CC214-N(CB214)&gt;0.05,N(Z214)&gt;0),ROUNDDOWN(ROUND(CC214,6),0)&amp;"%"&amp;IF(CS214="",""," / "&amp;CS214&amp;"%"),IF(AND(N(CB214)&gt;=99.95,CS214&lt;&gt;"",N(CS214)&lt;100),"Pend. "&amp;CS214&amp;"%",""))))</f>
        <v/>
      </c>
      <c r="AW214" s="40" t="str">
        <f aca="false">IF(OR(OR(NOT(AND(ISNUMBER(E214),ISNUMBER(F214))),$J$2=""),11&gt;MAX(1,Reprogramaciones!$U$15)),"",IF(Reprogramaciones!U$12&gt;=7,"",IF(OR(CD214-N(CC214)&gt;0.05,N(AA214)&gt;0),ROUNDDOWN(ROUND(CD214,6),0)&amp;"%"&amp;IF(CT214="",""," / "&amp;CT214&amp;"%"),IF(AND(N(CC214)&gt;=99.95,CT214&lt;&gt;"",N(CT214)&lt;100),"Pend. "&amp;CT214&amp;"%",""))))</f>
        <v/>
      </c>
      <c r="AX214" s="40" t="str">
        <f aca="false">IF(OR(OR(NOT(AND(ISNUMBER(E214),ISNUMBER(F214))),$J$2=""),12&gt;MAX(1,Reprogramaciones!$U$15)),"",IF(Reprogramaciones!V$12&gt;=7,"",IF(OR(CE214-N(CD214)&gt;0.05,N(AB214)&gt;0),ROUNDDOWN(ROUND(CE214,6),0)&amp;"%"&amp;IF(CU214="",""," / "&amp;CU214&amp;"%"),IF(AND(N(CD214)&gt;=99.95,CU214&lt;&gt;"",N(CU214)&lt;100),"Pend. "&amp;CU214&amp;"%",""))))</f>
        <v/>
      </c>
      <c r="AY214" s="40" t="str">
        <f aca="false">IF(OR(OR(NOT(AND(ISNUMBER(E214),ISNUMBER(F214))),$J$2=""),13&gt;MAX(1,Reprogramaciones!$U$15)),"",IF(Reprogramaciones!W$12&gt;=7,"",IF(OR(CF214-N(CE214)&gt;0.05,N(AC214)&gt;0),ROUNDDOWN(ROUND(CF214,6),0)&amp;"%"&amp;IF(CV214="",""," / "&amp;CV214&amp;"%"),IF(AND(N(CE214)&gt;=99.95,CV214&lt;&gt;"",N(CV214)&lt;100),"Pend. "&amp;CV214&amp;"%",""))))</f>
        <v/>
      </c>
      <c r="AZ214" s="40" t="str">
        <f aca="false">IF(OR(OR(NOT(AND(ISNUMBER(E214),ISNUMBER(F214))),$J$2=""),14&gt;MAX(1,Reprogramaciones!$U$15)),"",IF(Reprogramaciones!X$12&gt;=7,"",IF(OR(CG214-N(CF214)&gt;0.05,N(AD214)&gt;0),ROUNDDOWN(ROUND(CG214,6),0)&amp;"%"&amp;IF(CW214="",""," / "&amp;CW214&amp;"%"),IF(AND(N(CF214)&gt;=99.95,CW214&lt;&gt;"",N(CW214)&lt;100),"Pend. "&amp;CW214&amp;"%",""))))</f>
        <v/>
      </c>
      <c r="BA214" s="40" t="str">
        <f aca="false">IF(OR(OR(NOT(AND(ISNUMBER(E214),ISNUMBER(F214))),$J$2=""),15&gt;MAX(1,Reprogramaciones!$U$15)),"",IF(Reprogramaciones!Y$12&gt;=7,"",IF(OR(CH214-N(CG214)&gt;0.05,N(AE214)&gt;0),ROUNDDOWN(ROUND(CH214,6),0)&amp;"%"&amp;IF(CX214="",""," / "&amp;CX214&amp;"%"),IF(AND(N(CG214)&gt;=99.95,CX214&lt;&gt;"",N(CX214)&lt;100),"Pend. "&amp;CX214&amp;"%",""))))</f>
        <v/>
      </c>
      <c r="BB214" s="40" t="str">
        <f aca="false">IF(OR(OR(NOT(AND(ISNUMBER(E214),ISNUMBER(F214))),$J$2=""),16&gt;MAX(1,Reprogramaciones!$U$15)),"",IF(Reprogramaciones!Z$12&gt;=7,"",IF(OR(CI214-N(CH214)&gt;0.05,N(AF214)&gt;0),ROUNDDOWN(ROUND(CI214,6),0)&amp;"%"&amp;IF(CY214="",""," / "&amp;CY214&amp;"%"),IF(AND(N(CH214)&gt;=99.95,CY214&lt;&gt;"",N(CY214)&lt;100),"Pend. "&amp;CY214&amp;"%",""))))</f>
        <v/>
      </c>
      <c r="BC214" s="31" t="n">
        <f aca="false">IF(AND(ISNUMBER(E214),ISNUMBER(F214)),MAX(1,NETWORKDAYS.INTL(E214,F214,11)),0)</f>
        <v>0</v>
      </c>
      <c r="BD214" s="1" t="str">
        <f aca="false">IF(OR(NOT(AND(ISNUMBER(E214),ISNUMBER(F214))),$J$2=""),"",MIN(100,ROUND(SUM($G214:G214),1)))</f>
        <v/>
      </c>
      <c r="BE214" s="1" t="str">
        <f aca="false">IF(OR(NOT(AND(ISNUMBER(E214),ISNUMBER(F214))),$J$2=""),"",MIN(100,ROUND(SUM($G214:H214),1)))</f>
        <v/>
      </c>
      <c r="BF214" s="1" t="str">
        <f aca="false">IF(OR(NOT(AND(ISNUMBER(E214),ISNUMBER(F214))),$J$2=""),"",MIN(100,ROUND(SUM($G214:I214),1)))</f>
        <v/>
      </c>
      <c r="BG214" s="1" t="str">
        <f aca="false">IF(OR(NOT(AND(ISNUMBER(E214),ISNUMBER(F214))),$J$2=""),"",MIN(100,ROUND(SUM($G214:J214),1)))</f>
        <v/>
      </c>
      <c r="BH214" s="1" t="str">
        <f aca="false">IF(OR(NOT(AND(ISNUMBER(E214),ISNUMBER(F214))),$J$2=""),"",MIN(100,ROUND(SUM($G214:K214),1)))</f>
        <v/>
      </c>
      <c r="BI214" s="1" t="str">
        <f aca="false">IF(OR(NOT(AND(ISNUMBER(E214),ISNUMBER(F214))),$J$2=""),"",MIN(100,ROUND(SUM($G214:L214),1)))</f>
        <v/>
      </c>
      <c r="BJ214" s="1" t="str">
        <f aca="false">IF(OR(NOT(AND(ISNUMBER(E214),ISNUMBER(F214))),$J$2=""),"",MIN(100,ROUND(SUM($G214:M214),1)))</f>
        <v/>
      </c>
      <c r="BK214" s="1" t="str">
        <f aca="false">IF(OR(NOT(AND(ISNUMBER(E214),ISNUMBER(F214))),$J$2=""),"",MIN(100,ROUND(SUM($G214:N214),1)))</f>
        <v/>
      </c>
      <c r="BL214" s="1" t="str">
        <f aca="false">IF(OR(NOT(AND(ISNUMBER(E214),ISNUMBER(F214))),$J$2=""),"",MIN(100,ROUND(SUM($G214:O214),1)))</f>
        <v/>
      </c>
      <c r="BM214" s="1" t="str">
        <f aca="false">IF(OR(NOT(AND(ISNUMBER(E214),ISNUMBER(F214))),$J$2=""),"",MIN(100,ROUND(SUM($G214:P214),1)))</f>
        <v/>
      </c>
      <c r="BN214" s="1" t="str">
        <f aca="false">IF(OR(NOT(AND(ISNUMBER(E214),ISNUMBER(F214))),$J$2=""),"",MIN(100,ROUND(SUM($G214:P214),1)))</f>
        <v/>
      </c>
      <c r="BO214" s="1" t="str">
        <f aca="false">IF(OR(NOT(AND(ISNUMBER(E214),ISNUMBER(F214))),$J$2=""),"",MIN(100,ROUND(SUM($G214:P214),1)))</f>
        <v/>
      </c>
      <c r="BP214" s="1" t="str">
        <f aca="false">IF(OR(NOT(AND(ISNUMBER(E214),ISNUMBER(F214))),$J$2=""),"",MIN(100,ROUND(SUM($G214:P214),1)))</f>
        <v/>
      </c>
      <c r="BQ214" s="1" t="str">
        <f aca="false">IF(OR(NOT(AND(ISNUMBER(E214),ISNUMBER(F214))),$J$2=""),"",MIN(100,ROUND(SUM($G214:P214),1)))</f>
        <v/>
      </c>
      <c r="BR214" s="1" t="str">
        <f aca="false">IF(OR(NOT(AND(ISNUMBER(E214),ISNUMBER(F214))),$J$2=""),"",MIN(100,ROUND(SUM($G214:P214),1)))</f>
        <v/>
      </c>
      <c r="BS214" s="1" t="str">
        <f aca="false">IF(OR(NOT(AND(ISNUMBER(E214),ISNUMBER(F214))),$J$2=""),"",MIN(100,ROUND(SUM($G214:P214),1)))</f>
        <v/>
      </c>
      <c r="BT214" s="1" t="str">
        <f aca="false">IF(OR(NOT(AND(ISNUMBER(E214),ISNUMBER(F214))),$J$2=""),"",IF(Reprogramaciones!K$13&lt;Reprogramaciones!$T$15,0,IF(Reprogramaciones!K$14&gt;10,MIN(100,SUM($G214:$P214)),MIN(100,SUMPRODUCT((COLUMN($G214:$P214)-COLUMN($G214)+1&lt;Reprogramaciones!K$14)*$G214:$P214)+N(INDEX($G214:$P214,1,Reprogramaciones!K$14))*IF(Reprogramaciones!K$13&gt;=(Reprogramaciones!$T$15+7*(Reprogramaciones!K$14-1))+6,1,IF(MAX(0,NETWORKDAYS.INTL(MAX(E214,(Reprogramaciones!$T$15+7*(Reprogramaciones!K$14-1))),MIN(F214,(Reprogramaciones!$T$15+7*(Reprogramaciones!K$14-1))+6),11))=0,0,MAX(0,NETWORKDAYS.INTL(MAX(E214,(Reprogramaciones!$T$15+7*(Reprogramaciones!K$14-1))),MIN(F214,Reprogramaciones!K$13),11))/MAX(0,NETWORKDAYS.INTL(MAX(E214,(Reprogramaciones!$T$15+7*(Reprogramaciones!K$14-1))),MIN(F214,(Reprogramaciones!$T$15+7*(Reprogramaciones!K$14-1))+6),11))))))))</f>
        <v/>
      </c>
      <c r="BU214" s="1" t="str">
        <f aca="false">IF(OR(NOT(AND(ISNUMBER(E214),ISNUMBER(F214))),$J$2=""),"",IF(Reprogramaciones!L$13&lt;Reprogramaciones!$T$15,0,IF(Reprogramaciones!L$14&gt;10,MIN(100,SUM($G214:$P214)),MIN(100,SUMPRODUCT((COLUMN($G214:$P214)-COLUMN($G214)+1&lt;Reprogramaciones!L$14)*$G214:$P214)+N(INDEX($G214:$P214,1,Reprogramaciones!L$14))*IF(Reprogramaciones!L$13&gt;=(Reprogramaciones!$T$15+7*(Reprogramaciones!L$14-1))+6,1,IF(MAX(0,NETWORKDAYS.INTL(MAX(E214,(Reprogramaciones!$T$15+7*(Reprogramaciones!L$14-1))),MIN(F214,(Reprogramaciones!$T$15+7*(Reprogramaciones!L$14-1))+6),11))=0,0,MAX(0,NETWORKDAYS.INTL(MAX(E214,(Reprogramaciones!$T$15+7*(Reprogramaciones!L$14-1))),MIN(F214,Reprogramaciones!L$13),11))/MAX(0,NETWORKDAYS.INTL(MAX(E214,(Reprogramaciones!$T$15+7*(Reprogramaciones!L$14-1))),MIN(F214,(Reprogramaciones!$T$15+7*(Reprogramaciones!L$14-1))+6),11))))))))</f>
        <v/>
      </c>
      <c r="BV214" s="1" t="str">
        <f aca="false">IF(OR(NOT(AND(ISNUMBER(E214),ISNUMBER(F214))),$J$2=""),"",IF(Reprogramaciones!M$13&lt;Reprogramaciones!$T$15,0,IF(Reprogramaciones!M$14&gt;10,MIN(100,SUM($G214:$P214)),MIN(100,SUMPRODUCT((COLUMN($G214:$P214)-COLUMN($G214)+1&lt;Reprogramaciones!M$14)*$G214:$P214)+N(INDEX($G214:$P214,1,Reprogramaciones!M$14))*IF(Reprogramaciones!M$13&gt;=(Reprogramaciones!$T$15+7*(Reprogramaciones!M$14-1))+6,1,IF(MAX(0,NETWORKDAYS.INTL(MAX(E214,(Reprogramaciones!$T$15+7*(Reprogramaciones!M$14-1))),MIN(F214,(Reprogramaciones!$T$15+7*(Reprogramaciones!M$14-1))+6),11))=0,0,MAX(0,NETWORKDAYS.INTL(MAX(E214,(Reprogramaciones!$T$15+7*(Reprogramaciones!M$14-1))),MIN(F214,Reprogramaciones!M$13),11))/MAX(0,NETWORKDAYS.INTL(MAX(E214,(Reprogramaciones!$T$15+7*(Reprogramaciones!M$14-1))),MIN(F214,(Reprogramaciones!$T$15+7*(Reprogramaciones!M$14-1))+6),11))))))))</f>
        <v/>
      </c>
      <c r="BW214" s="1" t="str">
        <f aca="false">IF(OR(NOT(AND(ISNUMBER(E214),ISNUMBER(F214))),$J$2=""),"",IF(Reprogramaciones!N$13&lt;Reprogramaciones!$T$15,0,IF(Reprogramaciones!N$14&gt;10,MIN(100,SUM($G214:$P214)),MIN(100,SUMPRODUCT((COLUMN($G214:$P214)-COLUMN($G214)+1&lt;Reprogramaciones!N$14)*$G214:$P214)+N(INDEX($G214:$P214,1,Reprogramaciones!N$14))*IF(Reprogramaciones!N$13&gt;=(Reprogramaciones!$T$15+7*(Reprogramaciones!N$14-1))+6,1,IF(MAX(0,NETWORKDAYS.INTL(MAX(E214,(Reprogramaciones!$T$15+7*(Reprogramaciones!N$14-1))),MIN(F214,(Reprogramaciones!$T$15+7*(Reprogramaciones!N$14-1))+6),11))=0,0,MAX(0,NETWORKDAYS.INTL(MAX(E214,(Reprogramaciones!$T$15+7*(Reprogramaciones!N$14-1))),MIN(F214,Reprogramaciones!N$13),11))/MAX(0,NETWORKDAYS.INTL(MAX(E214,(Reprogramaciones!$T$15+7*(Reprogramaciones!N$14-1))),MIN(F214,(Reprogramaciones!$T$15+7*(Reprogramaciones!N$14-1))+6),11))))))))</f>
        <v/>
      </c>
      <c r="BX214" s="1" t="str">
        <f aca="false">IF(OR(NOT(AND(ISNUMBER(E214),ISNUMBER(F214))),$J$2=""),"",IF(Reprogramaciones!O$13&lt;Reprogramaciones!$T$15,0,IF(Reprogramaciones!O$14&gt;10,MIN(100,SUM($G214:$P214)),MIN(100,SUMPRODUCT((COLUMN($G214:$P214)-COLUMN($G214)+1&lt;Reprogramaciones!O$14)*$G214:$P214)+N(INDEX($G214:$P214,1,Reprogramaciones!O$14))*IF(Reprogramaciones!O$13&gt;=(Reprogramaciones!$T$15+7*(Reprogramaciones!O$14-1))+6,1,IF(MAX(0,NETWORKDAYS.INTL(MAX(E214,(Reprogramaciones!$T$15+7*(Reprogramaciones!O$14-1))),MIN(F214,(Reprogramaciones!$T$15+7*(Reprogramaciones!O$14-1))+6),11))=0,0,MAX(0,NETWORKDAYS.INTL(MAX(E214,(Reprogramaciones!$T$15+7*(Reprogramaciones!O$14-1))),MIN(F214,Reprogramaciones!O$13),11))/MAX(0,NETWORKDAYS.INTL(MAX(E214,(Reprogramaciones!$T$15+7*(Reprogramaciones!O$14-1))),MIN(F214,(Reprogramaciones!$T$15+7*(Reprogramaciones!O$14-1))+6),11))))))))</f>
        <v/>
      </c>
      <c r="BY214" s="1" t="str">
        <f aca="false">IF(OR(NOT(AND(ISNUMBER(E214),ISNUMBER(F214))),$J$2=""),"",IF(Reprogramaciones!P$13&lt;Reprogramaciones!$T$15,0,IF(Reprogramaciones!P$14&gt;10,MIN(100,SUM($G214:$P214)),MIN(100,SUMPRODUCT((COLUMN($G214:$P214)-COLUMN($G214)+1&lt;Reprogramaciones!P$14)*$G214:$P214)+N(INDEX($G214:$P214,1,Reprogramaciones!P$14))*IF(Reprogramaciones!P$13&gt;=(Reprogramaciones!$T$15+7*(Reprogramaciones!P$14-1))+6,1,IF(MAX(0,NETWORKDAYS.INTL(MAX(E214,(Reprogramaciones!$T$15+7*(Reprogramaciones!P$14-1))),MIN(F214,(Reprogramaciones!$T$15+7*(Reprogramaciones!P$14-1))+6),11))=0,0,MAX(0,NETWORKDAYS.INTL(MAX(E214,(Reprogramaciones!$T$15+7*(Reprogramaciones!P$14-1))),MIN(F214,Reprogramaciones!P$13),11))/MAX(0,NETWORKDAYS.INTL(MAX(E214,(Reprogramaciones!$T$15+7*(Reprogramaciones!P$14-1))),MIN(F214,(Reprogramaciones!$T$15+7*(Reprogramaciones!P$14-1))+6),11))))))))</f>
        <v/>
      </c>
      <c r="BZ214" s="1" t="str">
        <f aca="false">IF(OR(NOT(AND(ISNUMBER(E214),ISNUMBER(F214))),$J$2=""),"",IF(Reprogramaciones!Q$13&lt;Reprogramaciones!$T$15,0,IF(Reprogramaciones!Q$14&gt;10,MIN(100,SUM($G214:$P214)),MIN(100,SUMPRODUCT((COLUMN($G214:$P214)-COLUMN($G214)+1&lt;Reprogramaciones!Q$14)*$G214:$P214)+N(INDEX($G214:$P214,1,Reprogramaciones!Q$14))*IF(Reprogramaciones!Q$13&gt;=(Reprogramaciones!$T$15+7*(Reprogramaciones!Q$14-1))+6,1,IF(MAX(0,NETWORKDAYS.INTL(MAX(E214,(Reprogramaciones!$T$15+7*(Reprogramaciones!Q$14-1))),MIN(F214,(Reprogramaciones!$T$15+7*(Reprogramaciones!Q$14-1))+6),11))=0,0,MAX(0,NETWORKDAYS.INTL(MAX(E214,(Reprogramaciones!$T$15+7*(Reprogramaciones!Q$14-1))),MIN(F214,Reprogramaciones!Q$13),11))/MAX(0,NETWORKDAYS.INTL(MAX(E214,(Reprogramaciones!$T$15+7*(Reprogramaciones!Q$14-1))),MIN(F214,(Reprogramaciones!$T$15+7*(Reprogramaciones!Q$14-1))+6),11))))))))</f>
        <v/>
      </c>
      <c r="CA214" s="1" t="str">
        <f aca="false">IF(OR(NOT(AND(ISNUMBER(E214),ISNUMBER(F214))),$J$2=""),"",IF(Reprogramaciones!R$13&lt;Reprogramaciones!$T$15,0,IF(Reprogramaciones!R$14&gt;10,MIN(100,SUM($G214:$P214)),MIN(100,SUMPRODUCT((COLUMN($G214:$P214)-COLUMN($G214)+1&lt;Reprogramaciones!R$14)*$G214:$P214)+N(INDEX($G214:$P214,1,Reprogramaciones!R$14))*IF(Reprogramaciones!R$13&gt;=(Reprogramaciones!$T$15+7*(Reprogramaciones!R$14-1))+6,1,IF(MAX(0,NETWORKDAYS.INTL(MAX(E214,(Reprogramaciones!$T$15+7*(Reprogramaciones!R$14-1))),MIN(F214,(Reprogramaciones!$T$15+7*(Reprogramaciones!R$14-1))+6),11))=0,0,MAX(0,NETWORKDAYS.INTL(MAX(E214,(Reprogramaciones!$T$15+7*(Reprogramaciones!R$14-1))),MIN(F214,Reprogramaciones!R$13),11))/MAX(0,NETWORKDAYS.INTL(MAX(E214,(Reprogramaciones!$T$15+7*(Reprogramaciones!R$14-1))),MIN(F214,(Reprogramaciones!$T$15+7*(Reprogramaciones!R$14-1))+6),11))))))))</f>
        <v/>
      </c>
      <c r="CB214" s="1" t="str">
        <f aca="false">IF(OR(NOT(AND(ISNUMBER(E214),ISNUMBER(F214))),$J$2=""),"",IF(Reprogramaciones!S$13&lt;Reprogramaciones!$T$15,0,IF(Reprogramaciones!S$14&gt;10,MIN(100,SUM($G214:$P214)),MIN(100,SUMPRODUCT((COLUMN($G214:$P214)-COLUMN($G214)+1&lt;Reprogramaciones!S$14)*$G214:$P214)+N(INDEX($G214:$P214,1,Reprogramaciones!S$14))*IF(Reprogramaciones!S$13&gt;=(Reprogramaciones!$T$15+7*(Reprogramaciones!S$14-1))+6,1,IF(MAX(0,NETWORKDAYS.INTL(MAX(E214,(Reprogramaciones!$T$15+7*(Reprogramaciones!S$14-1))),MIN(F214,(Reprogramaciones!$T$15+7*(Reprogramaciones!S$14-1))+6),11))=0,0,MAX(0,NETWORKDAYS.INTL(MAX(E214,(Reprogramaciones!$T$15+7*(Reprogramaciones!S$14-1))),MIN(F214,Reprogramaciones!S$13),11))/MAX(0,NETWORKDAYS.INTL(MAX(E214,(Reprogramaciones!$T$15+7*(Reprogramaciones!S$14-1))),MIN(F214,(Reprogramaciones!$T$15+7*(Reprogramaciones!S$14-1))+6),11))))))))</f>
        <v/>
      </c>
      <c r="CC214" s="1" t="str">
        <f aca="false">IF(OR(NOT(AND(ISNUMBER(E214),ISNUMBER(F214))),$J$2=""),"",IF(Reprogramaciones!T$13&lt;Reprogramaciones!$T$15,0,IF(Reprogramaciones!T$14&gt;10,MIN(100,SUM($G214:$P214)),MIN(100,SUMPRODUCT((COLUMN($G214:$P214)-COLUMN($G214)+1&lt;Reprogramaciones!T$14)*$G214:$P214)+N(INDEX($G214:$P214,1,Reprogramaciones!T$14))*IF(Reprogramaciones!T$13&gt;=(Reprogramaciones!$T$15+7*(Reprogramaciones!T$14-1))+6,1,IF(MAX(0,NETWORKDAYS.INTL(MAX(E214,(Reprogramaciones!$T$15+7*(Reprogramaciones!T$14-1))),MIN(F214,(Reprogramaciones!$T$15+7*(Reprogramaciones!T$14-1))+6),11))=0,0,MAX(0,NETWORKDAYS.INTL(MAX(E214,(Reprogramaciones!$T$15+7*(Reprogramaciones!T$14-1))),MIN(F214,Reprogramaciones!T$13),11))/MAX(0,NETWORKDAYS.INTL(MAX(E214,(Reprogramaciones!$T$15+7*(Reprogramaciones!T$14-1))),MIN(F214,(Reprogramaciones!$T$15+7*(Reprogramaciones!T$14-1))+6),11))))))))</f>
        <v/>
      </c>
      <c r="CD214" s="1" t="str">
        <f aca="false">IF(OR(NOT(AND(ISNUMBER(E214),ISNUMBER(F214))),$J$2=""),"",IF(Reprogramaciones!U$13&lt;Reprogramaciones!$T$15,0,IF(Reprogramaciones!U$14&gt;10,MIN(100,SUM($G214:$P214)),MIN(100,SUMPRODUCT((COLUMN($G214:$P214)-COLUMN($G214)+1&lt;Reprogramaciones!U$14)*$G214:$P214)+N(INDEX($G214:$P214,1,Reprogramaciones!U$14))*IF(Reprogramaciones!U$13&gt;=(Reprogramaciones!$T$15+7*(Reprogramaciones!U$14-1))+6,1,IF(MAX(0,NETWORKDAYS.INTL(MAX(E214,(Reprogramaciones!$T$15+7*(Reprogramaciones!U$14-1))),MIN(F214,(Reprogramaciones!$T$15+7*(Reprogramaciones!U$14-1))+6),11))=0,0,MAX(0,NETWORKDAYS.INTL(MAX(E214,(Reprogramaciones!$T$15+7*(Reprogramaciones!U$14-1))),MIN(F214,Reprogramaciones!U$13),11))/MAX(0,NETWORKDAYS.INTL(MAX(E214,(Reprogramaciones!$T$15+7*(Reprogramaciones!U$14-1))),MIN(F214,(Reprogramaciones!$T$15+7*(Reprogramaciones!U$14-1))+6),11))))))))</f>
        <v/>
      </c>
      <c r="CE214" s="1" t="str">
        <f aca="false">IF(OR(NOT(AND(ISNUMBER(E214),ISNUMBER(F214))),$J$2=""),"",IF(Reprogramaciones!V$13&lt;Reprogramaciones!$T$15,0,IF(Reprogramaciones!V$14&gt;10,MIN(100,SUM($G214:$P214)),MIN(100,SUMPRODUCT((COLUMN($G214:$P214)-COLUMN($G214)+1&lt;Reprogramaciones!V$14)*$G214:$P214)+N(INDEX($G214:$P214,1,Reprogramaciones!V$14))*IF(Reprogramaciones!V$13&gt;=(Reprogramaciones!$T$15+7*(Reprogramaciones!V$14-1))+6,1,IF(MAX(0,NETWORKDAYS.INTL(MAX(E214,(Reprogramaciones!$T$15+7*(Reprogramaciones!V$14-1))),MIN(F214,(Reprogramaciones!$T$15+7*(Reprogramaciones!V$14-1))+6),11))=0,0,MAX(0,NETWORKDAYS.INTL(MAX(E214,(Reprogramaciones!$T$15+7*(Reprogramaciones!V$14-1))),MIN(F214,Reprogramaciones!V$13),11))/MAX(0,NETWORKDAYS.INTL(MAX(E214,(Reprogramaciones!$T$15+7*(Reprogramaciones!V$14-1))),MIN(F214,(Reprogramaciones!$T$15+7*(Reprogramaciones!V$14-1))+6),11))))))))</f>
        <v/>
      </c>
      <c r="CF214" s="1" t="str">
        <f aca="false">IF(OR(NOT(AND(ISNUMBER(E214),ISNUMBER(F214))),$J$2=""),"",IF(Reprogramaciones!W$13&lt;Reprogramaciones!$T$15,0,IF(Reprogramaciones!W$14&gt;10,MIN(100,SUM($G214:$P214)),MIN(100,SUMPRODUCT((COLUMN($G214:$P214)-COLUMN($G214)+1&lt;Reprogramaciones!W$14)*$G214:$P214)+N(INDEX($G214:$P214,1,Reprogramaciones!W$14))*IF(Reprogramaciones!W$13&gt;=(Reprogramaciones!$T$15+7*(Reprogramaciones!W$14-1))+6,1,IF(MAX(0,NETWORKDAYS.INTL(MAX(E214,(Reprogramaciones!$T$15+7*(Reprogramaciones!W$14-1))),MIN(F214,(Reprogramaciones!$T$15+7*(Reprogramaciones!W$14-1))+6),11))=0,0,MAX(0,NETWORKDAYS.INTL(MAX(E214,(Reprogramaciones!$T$15+7*(Reprogramaciones!W$14-1))),MIN(F214,Reprogramaciones!W$13),11))/MAX(0,NETWORKDAYS.INTL(MAX(E214,(Reprogramaciones!$T$15+7*(Reprogramaciones!W$14-1))),MIN(F214,(Reprogramaciones!$T$15+7*(Reprogramaciones!W$14-1))+6),11))))))))</f>
        <v/>
      </c>
      <c r="CG214" s="1" t="str">
        <f aca="false">IF(OR(NOT(AND(ISNUMBER(E214),ISNUMBER(F214))),$J$2=""),"",IF(Reprogramaciones!X$13&lt;Reprogramaciones!$T$15,0,IF(Reprogramaciones!X$14&gt;10,MIN(100,SUM($G214:$P214)),MIN(100,SUMPRODUCT((COLUMN($G214:$P214)-COLUMN($G214)+1&lt;Reprogramaciones!X$14)*$G214:$P214)+N(INDEX($G214:$P214,1,Reprogramaciones!X$14))*IF(Reprogramaciones!X$13&gt;=(Reprogramaciones!$T$15+7*(Reprogramaciones!X$14-1))+6,1,IF(MAX(0,NETWORKDAYS.INTL(MAX(E214,(Reprogramaciones!$T$15+7*(Reprogramaciones!X$14-1))),MIN(F214,(Reprogramaciones!$T$15+7*(Reprogramaciones!X$14-1))+6),11))=0,0,MAX(0,NETWORKDAYS.INTL(MAX(E214,(Reprogramaciones!$T$15+7*(Reprogramaciones!X$14-1))),MIN(F214,Reprogramaciones!X$13),11))/MAX(0,NETWORKDAYS.INTL(MAX(E214,(Reprogramaciones!$T$15+7*(Reprogramaciones!X$14-1))),MIN(F214,(Reprogramaciones!$T$15+7*(Reprogramaciones!X$14-1))+6),11))))))))</f>
        <v/>
      </c>
      <c r="CH214" s="1" t="str">
        <f aca="false">IF(OR(NOT(AND(ISNUMBER(E214),ISNUMBER(F214))),$J$2=""),"",IF(Reprogramaciones!Y$13&lt;Reprogramaciones!$T$15,0,IF(Reprogramaciones!Y$14&gt;10,MIN(100,SUM($G214:$P214)),MIN(100,SUMPRODUCT((COLUMN($G214:$P214)-COLUMN($G214)+1&lt;Reprogramaciones!Y$14)*$G214:$P214)+N(INDEX($G214:$P214,1,Reprogramaciones!Y$14))*IF(Reprogramaciones!Y$13&gt;=(Reprogramaciones!$T$15+7*(Reprogramaciones!Y$14-1))+6,1,IF(MAX(0,NETWORKDAYS.INTL(MAX(E214,(Reprogramaciones!$T$15+7*(Reprogramaciones!Y$14-1))),MIN(F214,(Reprogramaciones!$T$15+7*(Reprogramaciones!Y$14-1))+6),11))=0,0,MAX(0,NETWORKDAYS.INTL(MAX(E214,(Reprogramaciones!$T$15+7*(Reprogramaciones!Y$14-1))),MIN(F214,Reprogramaciones!Y$13),11))/MAX(0,NETWORKDAYS.INTL(MAX(E214,(Reprogramaciones!$T$15+7*(Reprogramaciones!Y$14-1))),MIN(F214,(Reprogramaciones!$T$15+7*(Reprogramaciones!Y$14-1))+6),11))))))))</f>
        <v/>
      </c>
      <c r="CI214" s="1" t="str">
        <f aca="false">IF(OR(NOT(AND(ISNUMBER(E214),ISNUMBER(F214))),$J$2=""),"",IF(Reprogramaciones!Z$13&lt;Reprogramaciones!$T$15,0,IF(Reprogramaciones!Z$14&gt;10,MIN(100,SUM($G214:$P214)),MIN(100,SUMPRODUCT((COLUMN($G214:$P214)-COLUMN($G214)+1&lt;Reprogramaciones!Z$14)*$G214:$P214)+N(INDEX($G214:$P214,1,Reprogramaciones!Z$14))*IF(Reprogramaciones!Z$13&gt;=(Reprogramaciones!$T$15+7*(Reprogramaciones!Z$14-1))+6,1,IF(MAX(0,NETWORKDAYS.INTL(MAX(E214,(Reprogramaciones!$T$15+7*(Reprogramaciones!Z$14-1))),MIN(F214,(Reprogramaciones!$T$15+7*(Reprogramaciones!Z$14-1))+6),11))=0,0,MAX(0,NETWORKDAYS.INTL(MAX(E214,(Reprogramaciones!$T$15+7*(Reprogramaciones!Z$14-1))),MIN(F214,Reprogramaciones!Z$13),11))/MAX(0,NETWORKDAYS.INTL(MAX(E214,(Reprogramaciones!$T$15+7*(Reprogramaciones!Z$14-1))),MIN(F214,(Reprogramaciones!$T$15+7*(Reprogramaciones!Z$14-1))+6),11))))))))</f>
        <v/>
      </c>
      <c r="CJ214" s="1" t="str">
        <f aca="false">IF(OR(OR(NOT(AND(ISNUMBER(E214),ISNUMBER(F214))),$J$2=""),1&gt;Reprogramaciones!$K$16),"",IF(ROUND(SUM($Q214:Q214),1)&gt;=99.5,100,MIN(100,ROUND(SUM($Q214:Q214),1))))</f>
        <v/>
      </c>
      <c r="CK214" s="1" t="str">
        <f aca="false">IF(OR(OR(NOT(AND(ISNUMBER(E214),ISNUMBER(F214))),$J$2=""),2&gt;Reprogramaciones!$K$16),"",IF(ROUND(SUM($Q214:R214),1)&gt;=99.5,100,MIN(100,ROUND(SUM($Q214:R214),1))))</f>
        <v/>
      </c>
      <c r="CL214" s="1" t="str">
        <f aca="false">IF(OR(OR(NOT(AND(ISNUMBER(E214),ISNUMBER(F214))),$J$2=""),3&gt;Reprogramaciones!$K$16),"",IF(ROUND(SUM($Q214:S214),1)&gt;=99.5,100,MIN(100,ROUND(SUM($Q214:S214),1))))</f>
        <v/>
      </c>
      <c r="CM214" s="1" t="str">
        <f aca="false">IF(OR(OR(NOT(AND(ISNUMBER(E214),ISNUMBER(F214))),$J$2=""),4&gt;Reprogramaciones!$K$16),"",IF(ROUND(SUM($Q214:T214),1)&gt;=99.5,100,MIN(100,ROUND(SUM($Q214:T214),1))))</f>
        <v/>
      </c>
      <c r="CN214" s="1" t="str">
        <f aca="false">IF(OR(OR(NOT(AND(ISNUMBER(E214),ISNUMBER(F214))),$J$2=""),5&gt;Reprogramaciones!$K$16),"",IF(ROUND(SUM($Q214:U214),1)&gt;=99.5,100,MIN(100,ROUND(SUM($Q214:U214),1))))</f>
        <v/>
      </c>
      <c r="CO214" s="1" t="str">
        <f aca="false">IF(OR(OR(NOT(AND(ISNUMBER(E214),ISNUMBER(F214))),$J$2=""),6&gt;Reprogramaciones!$K$16),"",IF(ROUND(SUM($Q214:V214),1)&gt;=99.5,100,MIN(100,ROUND(SUM($Q214:V214),1))))</f>
        <v/>
      </c>
      <c r="CP214" s="1" t="str">
        <f aca="false">IF(OR(OR(NOT(AND(ISNUMBER(E214),ISNUMBER(F214))),$J$2=""),7&gt;Reprogramaciones!$K$16),"",IF(ROUND(SUM($Q214:W214),1)&gt;=99.5,100,MIN(100,ROUND(SUM($Q214:W214),1))))</f>
        <v/>
      </c>
      <c r="CQ214" s="1" t="str">
        <f aca="false">IF(OR(OR(NOT(AND(ISNUMBER(E214),ISNUMBER(F214))),$J$2=""),8&gt;Reprogramaciones!$K$16),"",IF(ROUND(SUM($Q214:X214),1)&gt;=99.5,100,MIN(100,ROUND(SUM($Q214:X214),1))))</f>
        <v/>
      </c>
      <c r="CR214" s="1" t="str">
        <f aca="false">IF(OR(OR(NOT(AND(ISNUMBER(E214),ISNUMBER(F214))),$J$2=""),9&gt;Reprogramaciones!$K$16),"",IF(ROUND(SUM($Q214:Y214),1)&gt;=99.5,100,MIN(100,ROUND(SUM($Q214:Y214),1))))</f>
        <v/>
      </c>
      <c r="CS214" s="1" t="str">
        <f aca="false">IF(OR(OR(NOT(AND(ISNUMBER(E214),ISNUMBER(F214))),$J$2=""),10&gt;Reprogramaciones!$K$16),"",IF(ROUND(SUM($Q214:Z214),1)&gt;=99.5,100,MIN(100,ROUND(SUM($Q214:Z214),1))))</f>
        <v/>
      </c>
      <c r="CT214" s="1" t="str">
        <f aca="false">IF(OR(OR(NOT(AND(ISNUMBER(E214),ISNUMBER(F214))),$J$2=""),11&gt;Reprogramaciones!$K$16),"",IF(ROUND(SUM($Q214:AA214),1)&gt;=99.5,100,MIN(100,ROUND(SUM($Q214:AA214),1))))</f>
        <v/>
      </c>
      <c r="CU214" s="1" t="str">
        <f aca="false">IF(OR(OR(NOT(AND(ISNUMBER(E214),ISNUMBER(F214))),$J$2=""),12&gt;Reprogramaciones!$K$16),"",IF(ROUND(SUM($Q214:AB214),1)&gt;=99.5,100,MIN(100,ROUND(SUM($Q214:AB214),1))))</f>
        <v/>
      </c>
      <c r="CV214" s="1" t="str">
        <f aca="false">IF(OR(OR(NOT(AND(ISNUMBER(E214),ISNUMBER(F214))),$J$2=""),13&gt;Reprogramaciones!$K$16),"",IF(ROUND(SUM($Q214:AC214),1)&gt;=99.5,100,MIN(100,ROUND(SUM($Q214:AC214),1))))</f>
        <v/>
      </c>
      <c r="CW214" s="1" t="str">
        <f aca="false">IF(OR(OR(NOT(AND(ISNUMBER(E214),ISNUMBER(F214))),$J$2=""),14&gt;Reprogramaciones!$K$16),"",IF(ROUND(SUM($Q214:AD214),1)&gt;=99.5,100,MIN(100,ROUND(SUM($Q214:AD214),1))))</f>
        <v/>
      </c>
      <c r="CX214" s="1" t="str">
        <f aca="false">IF(OR(OR(NOT(AND(ISNUMBER(E214),ISNUMBER(F214))),$J$2=""),15&gt;Reprogramaciones!$K$16),"",IF(ROUND(SUM($Q214:AE214),1)&gt;=99.5,100,MIN(100,ROUND(SUM($Q214:AE214),1))))</f>
        <v/>
      </c>
      <c r="CY214" s="1" t="str">
        <f aca="false">IF(OR(OR(NOT(AND(ISNUMBER(E214),ISNUMBER(F214))),$J$2=""),16&gt;Reprogramaciones!$K$16),"",IF(ROUND(SUM($Q214:AF214),1)&gt;=99.5,100,MIN(100,ROUND(SUM($Q214:AF214),1))))</f>
        <v/>
      </c>
      <c r="CZ214" s="1" t="str">
        <f aca="false">IF(D214&lt;&gt;"",D214,IF(B214&lt;&gt;"","Contractual",CZ213))</f>
        <v>Contractual</v>
      </c>
      <c r="DA214" s="1" t="str">
        <f aca="false">IF(OR(NOT(AND(ISNUMBER(E214),ISNUMBER(F214))),$J$2=""),"",IF(Reprogramaciones!$Q$15&lt;Reprogramaciones!$T$15,0,IF(Reprogramaciones!$S$15&gt;10,MIN(100,SUM($G214:$P214)),MIN(100,SUMPRODUCT((COLUMN($G214:$P214)-COLUMN($G214)+1&lt;Reprogramaciones!$S$15)*$G214:$P214)+N(INDEX($G214:$P214,1,Reprogramaciones!$S$15))*IF(Reprogramaciones!$Q$15&gt;=(Reprogramaciones!$T$15+7*(Reprogramaciones!$S$15-1))+6,1,IF(MAX(0,NETWORKDAYS.INTL(MAX(E214,(Reprogramaciones!$T$15+7*(Reprogramaciones!$S$15-1))),MIN(F214,(Reprogramaciones!$T$15+7*(Reprogramaciones!$S$15-1))+6),11))=0,0,MAX(0,NETWORKDAYS.INTL(MAX(E214,(Reprogramaciones!$T$15+7*(Reprogramaciones!$S$15-1))),MIN(F214,Reprogramaciones!$Q$15),11))/MAX(0,NETWORKDAYS.INTL(MAX(E214,(Reprogramaciones!$T$15+7*(Reprogramaciones!$S$15-1))),MIN(F214,(Reprogramaciones!$T$15+7*(Reprogramaciones!$S$15-1))+6),11))))))))</f>
        <v/>
      </c>
    </row>
    <row r="215" customFormat="false" ht="15" hidden="false" customHeight="false" outlineLevel="0" collapsed="false">
      <c r="A215" s="32"/>
      <c r="B215" s="33"/>
      <c r="C215" s="33"/>
      <c r="D215" s="34"/>
      <c r="E215" s="35"/>
      <c r="F215" s="35"/>
      <c r="G215" s="36" t="str">
        <f aca="false">IF(OR(NOT(AND(ISNUMBER(E215),ISNUMBER(F215))),$J$2=""),"",IF(Reprogramaciones!K$9&lt;E215,0,IF(NETWORKDAYS.INTL(E215,F215,11)=0,IF(Reprogramaciones!K$9&gt;=F215,100,0),ROUND(NETWORKDAYS.INTL(E215,MIN(F215,Reprogramaciones!K$9),11)/NETWORKDAYS.INTL(E215,F215,11)*100,1)))-0)</f>
        <v/>
      </c>
      <c r="H215" s="36" t="str">
        <f aca="false">IF(OR(NOT(AND(ISNUMBER(E215),ISNUMBER(F215))),$J$2=""),"",IF(Reprogramaciones!L$9&lt;E215,0,IF(NETWORKDAYS.INTL(E215,F215,11)=0,IF(Reprogramaciones!L$9&gt;=F215,100,0),ROUND(NETWORKDAYS.INTL(E215,MIN(F215,Reprogramaciones!L$9),11)/NETWORKDAYS.INTL(E215,F215,11)*100,1)))-IF(Reprogramaciones!K$9&lt;E215,0,IF(NETWORKDAYS.INTL(E215,F215,11)=0,IF(Reprogramaciones!K$9&gt;=F215,100,0),ROUND(NETWORKDAYS.INTL(E215,MIN(F215,Reprogramaciones!K$9),11)/NETWORKDAYS.INTL(E215,F215,11)*100,1))))</f>
        <v/>
      </c>
      <c r="I215" s="36" t="str">
        <f aca="false">IF(OR(NOT(AND(ISNUMBER(E215),ISNUMBER(F215))),$J$2=""),"",IF(Reprogramaciones!M$9&lt;E215,0,IF(NETWORKDAYS.INTL(E215,F215,11)=0,IF(Reprogramaciones!M$9&gt;=F215,100,0),ROUND(NETWORKDAYS.INTL(E215,MIN(F215,Reprogramaciones!M$9),11)/NETWORKDAYS.INTL(E215,F215,11)*100,1)))-IF(Reprogramaciones!L$9&lt;E215,0,IF(NETWORKDAYS.INTL(E215,F215,11)=0,IF(Reprogramaciones!L$9&gt;=F215,100,0),ROUND(NETWORKDAYS.INTL(E215,MIN(F215,Reprogramaciones!L$9),11)/NETWORKDAYS.INTL(E215,F215,11)*100,1))))</f>
        <v/>
      </c>
      <c r="J215" s="36" t="str">
        <f aca="false">IF(OR(NOT(AND(ISNUMBER(E215),ISNUMBER(F215))),$J$2=""),"",IF(Reprogramaciones!N$9&lt;E215,0,IF(NETWORKDAYS.INTL(E215,F215,11)=0,IF(Reprogramaciones!N$9&gt;=F215,100,0),ROUND(NETWORKDAYS.INTL(E215,MIN(F215,Reprogramaciones!N$9),11)/NETWORKDAYS.INTL(E215,F215,11)*100,1)))-IF(Reprogramaciones!M$9&lt;E215,0,IF(NETWORKDAYS.INTL(E215,F215,11)=0,IF(Reprogramaciones!M$9&gt;=F215,100,0),ROUND(NETWORKDAYS.INTL(E215,MIN(F215,Reprogramaciones!M$9),11)/NETWORKDAYS.INTL(E215,F215,11)*100,1))))</f>
        <v/>
      </c>
      <c r="K215" s="36" t="str">
        <f aca="false">IF(OR(NOT(AND(ISNUMBER(E215),ISNUMBER(F215))),$J$2=""),"",IF(Reprogramaciones!O$9&lt;E215,0,IF(NETWORKDAYS.INTL(E215,F215,11)=0,IF(Reprogramaciones!O$9&gt;=F215,100,0),ROUND(NETWORKDAYS.INTL(E215,MIN(F215,Reprogramaciones!O$9),11)/NETWORKDAYS.INTL(E215,F215,11)*100,1)))-IF(Reprogramaciones!N$9&lt;E215,0,IF(NETWORKDAYS.INTL(E215,F215,11)=0,IF(Reprogramaciones!N$9&gt;=F215,100,0),ROUND(NETWORKDAYS.INTL(E215,MIN(F215,Reprogramaciones!N$9),11)/NETWORKDAYS.INTL(E215,F215,11)*100,1))))</f>
        <v/>
      </c>
      <c r="L215" s="36" t="str">
        <f aca="false">IF(OR(NOT(AND(ISNUMBER(E215),ISNUMBER(F215))),$J$2=""),"",IF(Reprogramaciones!P$9&lt;E215,0,IF(NETWORKDAYS.INTL(E215,F215,11)=0,IF(Reprogramaciones!P$9&gt;=F215,100,0),ROUND(NETWORKDAYS.INTL(E215,MIN(F215,Reprogramaciones!P$9),11)/NETWORKDAYS.INTL(E215,F215,11)*100,1)))-IF(Reprogramaciones!O$9&lt;E215,0,IF(NETWORKDAYS.INTL(E215,F215,11)=0,IF(Reprogramaciones!O$9&gt;=F215,100,0),ROUND(NETWORKDAYS.INTL(E215,MIN(F215,Reprogramaciones!O$9),11)/NETWORKDAYS.INTL(E215,F215,11)*100,1))))</f>
        <v/>
      </c>
      <c r="M215" s="36" t="str">
        <f aca="false">IF(OR(NOT(AND(ISNUMBER(E215),ISNUMBER(F215))),$J$2=""),"",IF(Reprogramaciones!Q$9&lt;E215,0,IF(NETWORKDAYS.INTL(E215,F215,11)=0,IF(Reprogramaciones!Q$9&gt;=F215,100,0),ROUND(NETWORKDAYS.INTL(E215,MIN(F215,Reprogramaciones!Q$9),11)/NETWORKDAYS.INTL(E215,F215,11)*100,1)))-IF(Reprogramaciones!P$9&lt;E215,0,IF(NETWORKDAYS.INTL(E215,F215,11)=0,IF(Reprogramaciones!P$9&gt;=F215,100,0),ROUND(NETWORKDAYS.INTL(E215,MIN(F215,Reprogramaciones!P$9),11)/NETWORKDAYS.INTL(E215,F215,11)*100,1))))</f>
        <v/>
      </c>
      <c r="N215" s="36" t="str">
        <f aca="false">IF(OR(NOT(AND(ISNUMBER(E215),ISNUMBER(F215))),$J$2=""),"",IF(Reprogramaciones!R$9&lt;E215,0,IF(NETWORKDAYS.INTL(E215,F215,11)=0,IF(Reprogramaciones!R$9&gt;=F215,100,0),ROUND(NETWORKDAYS.INTL(E215,MIN(F215,Reprogramaciones!R$9),11)/NETWORKDAYS.INTL(E215,F215,11)*100,1)))-IF(Reprogramaciones!Q$9&lt;E215,0,IF(NETWORKDAYS.INTL(E215,F215,11)=0,IF(Reprogramaciones!Q$9&gt;=F215,100,0),ROUND(NETWORKDAYS.INTL(E215,MIN(F215,Reprogramaciones!Q$9),11)/NETWORKDAYS.INTL(E215,F215,11)*100,1))))</f>
        <v/>
      </c>
      <c r="O215" s="36" t="str">
        <f aca="false">IF(OR(NOT(AND(ISNUMBER(E215),ISNUMBER(F215))),$J$2=""),"",IF(Reprogramaciones!S$9&lt;E215,0,IF(NETWORKDAYS.INTL(E215,F215,11)=0,IF(Reprogramaciones!S$9&gt;=F215,100,0),ROUND(NETWORKDAYS.INTL(E215,MIN(F215,Reprogramaciones!S$9),11)/NETWORKDAYS.INTL(E215,F215,11)*100,1)))-IF(Reprogramaciones!R$9&lt;E215,0,IF(NETWORKDAYS.INTL(E215,F215,11)=0,IF(Reprogramaciones!R$9&gt;=F215,100,0),ROUND(NETWORKDAYS.INTL(E215,MIN(F215,Reprogramaciones!R$9),11)/NETWORKDAYS.INTL(E215,F215,11)*100,1))))</f>
        <v/>
      </c>
      <c r="P215" s="36" t="str">
        <f aca="false">IF(OR(NOT(AND(ISNUMBER(E215),ISNUMBER(F215))),$J$2=""),"",IF(Reprogramaciones!T$9&lt;E215,0,IF(NETWORKDAYS.INTL(E215,F215,11)=0,IF(Reprogramaciones!T$9&gt;=F215,100,0),ROUND(NETWORKDAYS.INTL(E215,MIN(F215,Reprogramaciones!T$9),11)/NETWORKDAYS.INTL(E215,F215,11)*100,1)))-IF(Reprogramaciones!S$9&lt;E215,0,IF(NETWORKDAYS.INTL(E215,F215,11)=0,IF(Reprogramaciones!S$9&gt;=F215,100,0),ROUND(NETWORKDAYS.INTL(E215,MIN(F215,Reprogramaciones!S$9),11)/NETWORKDAYS.INTL(E215,F215,11)*100,1))))</f>
        <v/>
      </c>
      <c r="Q215" s="37"/>
      <c r="R215" s="37"/>
      <c r="S215" s="37"/>
      <c r="T215" s="37"/>
      <c r="U215" s="37"/>
      <c r="V215" s="37"/>
      <c r="W215" s="37"/>
      <c r="X215" s="37"/>
      <c r="Y215" s="37"/>
      <c r="Z215" s="37"/>
      <c r="AA215" s="37"/>
      <c r="AB215" s="37"/>
      <c r="AC215" s="37"/>
      <c r="AD215" s="37"/>
      <c r="AE215" s="37"/>
      <c r="AF215" s="37"/>
      <c r="AG215" s="38" t="str">
        <f aca="false">IF(AND(ISNUMBER(E215),ISNUMBER(F215)),NETWORKDAYS.INTL(E215,F215,11),"")</f>
        <v/>
      </c>
      <c r="AH215" s="38" t="str">
        <f aca="false">IF(OR(NOT(AND(ISNUMBER(E215),ISNUMBER(F215))),$J$2=""),"",IF(Reprogramaciones!$P$15&lt;Reprogramaciones!$T$15,0,IF(Reprogramaciones!$R$15&gt;10,MIN(100,SUM($G215:$P215)),MIN(100,SUMPRODUCT((COLUMN($G215:$P215)-COLUMN($G215)+1&lt;Reprogramaciones!$R$15)*$G215:$P215)+N(INDEX($G215:$P215,1,Reprogramaciones!$R$15))*IF(Reprogramaciones!$P$15&gt;=(Reprogramaciones!$T$15+7*(Reprogramaciones!$R$15-1))+6,1,IF(MAX(0,NETWORKDAYS.INTL(MAX(E215,(Reprogramaciones!$T$15+7*(Reprogramaciones!$R$15-1))),MIN(F215,(Reprogramaciones!$T$15+7*(Reprogramaciones!$R$15-1))+6),11))=0,0,MAX(0,NETWORKDAYS.INTL(MAX(E215,(Reprogramaciones!$T$15+7*(Reprogramaciones!$R$15-1))),MIN(F215,Reprogramaciones!$P$15),11))/MAX(0,NETWORKDAYS.INTL(MAX(E215,(Reprogramaciones!$T$15+7*(Reprogramaciones!$R$15-1))),MIN(F215,(Reprogramaciones!$T$15+7*(Reprogramaciones!$R$15-1))+6),11))))))))</f>
        <v/>
      </c>
      <c r="AI215" s="38" t="str">
        <f aca="false">IF(COUNT($Q215:$AF215)=0,"",IF(ROUND(SUM($Q215:$AF215),1)&gt;=99.5,100,MIN(100,ROUND(SUM($Q215:$AF215),1))))</f>
        <v/>
      </c>
      <c r="AJ215" s="38" t="str">
        <f aca="false">IF(OR(AH215="",AI215=""),"",AI215-AH215)</f>
        <v/>
      </c>
      <c r="AK215" s="39" t="str">
        <f aca="true">IF(AH215="","",IF(OR(Ficha!$C$10="Suspendida",Ficha!$C$10="Cancelada"),Ficha!$C$10,IF(AND(AI215&lt;&gt;"",N(AI215)&gt;=100),"Completada",IF(AND(E215&gt;TODAY(),N(AI215)=0),"Por iniciar",IF(N(AI215)+0.5&lt;AH215,"Retrasada",IF(N(AI215)+0.5&lt;DA215,IF(Reprogramaciones!$K$15&gt;0,"Al día · Sem "&amp;Reprogramaciones!$K$15&amp;" en curso","Al día · en curso"),"A tiempo"))))))</f>
        <v/>
      </c>
      <c r="AL215" s="39" t="str">
        <f aca="true">IF(AND(A215="",AND(B215="",C215="",E215="",F215="",COUNT(Q215:AF215)=0)),"",IF(AND(B215="",C215="",E215="",F215="",COUNT(Q215:AF215)=0),"Falta la partida o subpartida",IF(AND(A215&lt;&gt;"",COUNTIF($A$6:$A$305,A215)&gt;1),"Ítem repetido",IF(AND(C215="",E215="",F215="",COUNT(Q215:AF215)=0),"Título de partida",IF(OR(E215="",F215=""),"Faltan fechas",IF(OR(ISTEXT(E215),ISTEXT(F215)),"Fecha escrita como texto: usa dd/mm/aaaa",IF(F215&lt;E215,"Fin antes del inicio",IF(IF($J$2="",FALSE(),OR(E215&lt;$J$2,F215&gt;Reprogramaciones!$T$15+69)),"Fuera de las 10 semanas",IF(ABS(SUM(G215:P215)-100)&gt;0.5,"La meta no suma 100%",IF(ROUND(SUM(Q215:AF215),1)&gt;100.5,"El avance pasa de 100%",IF(MIN(Q215:AF215)&lt;0,"Avance negativo",IF(COUNTA(Q215:AF215)&gt;COUNT(Q215:AF215),"Avance escrito como texto",IF(SUMPRODUCT((Q215:AF215&gt;0)*(Q215:AF215&lt;1))&gt;0,"Avance menor a 1: escribe 50, no 50%",IF(SUMPRODUCT(ISNUMBER(Q215:AF215)*(Reprogramaciones!$K$8:$Z$8&gt;TODAY()))&gt;0,"Avance en semana que aún no llega",IF(AND(N(Reprogramaciones!$E$21)&gt;0,F215&gt;Reprogramaciones!$E$21),"Pasa el fin de la obra: registra una reprogramación",IF(AND(N(Reprogramaciones!$E$21)&gt;0,SUMPRODUCT(ISNUMBER(Q215:AF215)*(Reprogramaciones!$K$8:$Z$8&gt;Reprogramaciones!$E$21))&gt;0),"Avance después del fin de la obra: registra una reprogramación por atraso","OK"))))))))))))))))</f>
        <v/>
      </c>
      <c r="AM215" s="40" t="str">
        <f aca="false">IF(OR(OR(NOT(AND(ISNUMBER(E215),ISNUMBER(F215))),$J$2=""),1&gt;MAX(1,Reprogramaciones!$U$15)),"",IF(Reprogramaciones!K$12&gt;=7,"",IF(OR(BT215-N(0)&gt;0.05,N(Q215)&gt;0),ROUNDDOWN(ROUND(BT215,6),0)&amp;"%"&amp;IF(CJ215="",""," / "&amp;CJ215&amp;"%"),IF(AND(N(0)&gt;=99.95,CJ215&lt;&gt;"",N(CJ215)&lt;100),"Pend. "&amp;CJ215&amp;"%",""))))</f>
        <v/>
      </c>
      <c r="AN215" s="40" t="str">
        <f aca="false">IF(OR(OR(NOT(AND(ISNUMBER(E215),ISNUMBER(F215))),$J$2=""),2&gt;MAX(1,Reprogramaciones!$U$15)),"",IF(Reprogramaciones!L$12&gt;=7,"",IF(OR(BU215-N(BT215)&gt;0.05,N(R215)&gt;0),ROUNDDOWN(ROUND(BU215,6),0)&amp;"%"&amp;IF(CK215="",""," / "&amp;CK215&amp;"%"),IF(AND(N(BT215)&gt;=99.95,CK215&lt;&gt;"",N(CK215)&lt;100),"Pend. "&amp;CK215&amp;"%",""))))</f>
        <v/>
      </c>
      <c r="AO215" s="40" t="str">
        <f aca="false">IF(OR(OR(NOT(AND(ISNUMBER(E215),ISNUMBER(F215))),$J$2=""),3&gt;MAX(1,Reprogramaciones!$U$15)),"",IF(Reprogramaciones!M$12&gt;=7,"",IF(OR(BV215-N(BU215)&gt;0.05,N(S215)&gt;0),ROUNDDOWN(ROUND(BV215,6),0)&amp;"%"&amp;IF(CL215="",""," / "&amp;CL215&amp;"%"),IF(AND(N(BU215)&gt;=99.95,CL215&lt;&gt;"",N(CL215)&lt;100),"Pend. "&amp;CL215&amp;"%",""))))</f>
        <v/>
      </c>
      <c r="AP215" s="40" t="str">
        <f aca="false">IF(OR(OR(NOT(AND(ISNUMBER(E215),ISNUMBER(F215))),$J$2=""),4&gt;MAX(1,Reprogramaciones!$U$15)),"",IF(Reprogramaciones!N$12&gt;=7,"",IF(OR(BW215-N(BV215)&gt;0.05,N(T215)&gt;0),ROUNDDOWN(ROUND(BW215,6),0)&amp;"%"&amp;IF(CM215="",""," / "&amp;CM215&amp;"%"),IF(AND(N(BV215)&gt;=99.95,CM215&lt;&gt;"",N(CM215)&lt;100),"Pend. "&amp;CM215&amp;"%",""))))</f>
        <v/>
      </c>
      <c r="AQ215" s="40" t="str">
        <f aca="false">IF(OR(OR(NOT(AND(ISNUMBER(E215),ISNUMBER(F215))),$J$2=""),5&gt;MAX(1,Reprogramaciones!$U$15)),"",IF(Reprogramaciones!O$12&gt;=7,"",IF(OR(BX215-N(BW215)&gt;0.05,N(U215)&gt;0),ROUNDDOWN(ROUND(BX215,6),0)&amp;"%"&amp;IF(CN215="",""," / "&amp;CN215&amp;"%"),IF(AND(N(BW215)&gt;=99.95,CN215&lt;&gt;"",N(CN215)&lt;100),"Pend. "&amp;CN215&amp;"%",""))))</f>
        <v/>
      </c>
      <c r="AR215" s="40" t="str">
        <f aca="false">IF(OR(OR(NOT(AND(ISNUMBER(E215),ISNUMBER(F215))),$J$2=""),6&gt;MAX(1,Reprogramaciones!$U$15)),"",IF(Reprogramaciones!P$12&gt;=7,"",IF(OR(BY215-N(BX215)&gt;0.05,N(V215)&gt;0),ROUNDDOWN(ROUND(BY215,6),0)&amp;"%"&amp;IF(CO215="",""," / "&amp;CO215&amp;"%"),IF(AND(N(BX215)&gt;=99.95,CO215&lt;&gt;"",N(CO215)&lt;100),"Pend. "&amp;CO215&amp;"%",""))))</f>
        <v/>
      </c>
      <c r="AS215" s="40" t="str">
        <f aca="false">IF(OR(OR(NOT(AND(ISNUMBER(E215),ISNUMBER(F215))),$J$2=""),7&gt;MAX(1,Reprogramaciones!$U$15)),"",IF(Reprogramaciones!Q$12&gt;=7,"",IF(OR(BZ215-N(BY215)&gt;0.05,N(W215)&gt;0),ROUNDDOWN(ROUND(BZ215,6),0)&amp;"%"&amp;IF(CP215="",""," / "&amp;CP215&amp;"%"),IF(AND(N(BY215)&gt;=99.95,CP215&lt;&gt;"",N(CP215)&lt;100),"Pend. "&amp;CP215&amp;"%",""))))</f>
        <v/>
      </c>
      <c r="AT215" s="40" t="str">
        <f aca="false">IF(OR(OR(NOT(AND(ISNUMBER(E215),ISNUMBER(F215))),$J$2=""),8&gt;MAX(1,Reprogramaciones!$U$15)),"",IF(Reprogramaciones!R$12&gt;=7,"",IF(OR(CA215-N(BZ215)&gt;0.05,N(X215)&gt;0),ROUNDDOWN(ROUND(CA215,6),0)&amp;"%"&amp;IF(CQ215="",""," / "&amp;CQ215&amp;"%"),IF(AND(N(BZ215)&gt;=99.95,CQ215&lt;&gt;"",N(CQ215)&lt;100),"Pend. "&amp;CQ215&amp;"%",""))))</f>
        <v/>
      </c>
      <c r="AU215" s="40" t="str">
        <f aca="false">IF(OR(OR(NOT(AND(ISNUMBER(E215),ISNUMBER(F215))),$J$2=""),9&gt;MAX(1,Reprogramaciones!$U$15)),"",IF(Reprogramaciones!S$12&gt;=7,"",IF(OR(CB215-N(CA215)&gt;0.05,N(Y215)&gt;0),ROUNDDOWN(ROUND(CB215,6),0)&amp;"%"&amp;IF(CR215="",""," / "&amp;CR215&amp;"%"),IF(AND(N(CA215)&gt;=99.95,CR215&lt;&gt;"",N(CR215)&lt;100),"Pend. "&amp;CR215&amp;"%",""))))</f>
        <v/>
      </c>
      <c r="AV215" s="40" t="str">
        <f aca="false">IF(OR(OR(NOT(AND(ISNUMBER(E215),ISNUMBER(F215))),$J$2=""),10&gt;MAX(1,Reprogramaciones!$U$15)),"",IF(Reprogramaciones!T$12&gt;=7,"",IF(OR(CC215-N(CB215)&gt;0.05,N(Z215)&gt;0),ROUNDDOWN(ROUND(CC215,6),0)&amp;"%"&amp;IF(CS215="",""," / "&amp;CS215&amp;"%"),IF(AND(N(CB215)&gt;=99.95,CS215&lt;&gt;"",N(CS215)&lt;100),"Pend. "&amp;CS215&amp;"%",""))))</f>
        <v/>
      </c>
      <c r="AW215" s="40" t="str">
        <f aca="false">IF(OR(OR(NOT(AND(ISNUMBER(E215),ISNUMBER(F215))),$J$2=""),11&gt;MAX(1,Reprogramaciones!$U$15)),"",IF(Reprogramaciones!U$12&gt;=7,"",IF(OR(CD215-N(CC215)&gt;0.05,N(AA215)&gt;0),ROUNDDOWN(ROUND(CD215,6),0)&amp;"%"&amp;IF(CT215="",""," / "&amp;CT215&amp;"%"),IF(AND(N(CC215)&gt;=99.95,CT215&lt;&gt;"",N(CT215)&lt;100),"Pend. "&amp;CT215&amp;"%",""))))</f>
        <v/>
      </c>
      <c r="AX215" s="40" t="str">
        <f aca="false">IF(OR(OR(NOT(AND(ISNUMBER(E215),ISNUMBER(F215))),$J$2=""),12&gt;MAX(1,Reprogramaciones!$U$15)),"",IF(Reprogramaciones!V$12&gt;=7,"",IF(OR(CE215-N(CD215)&gt;0.05,N(AB215)&gt;0),ROUNDDOWN(ROUND(CE215,6),0)&amp;"%"&amp;IF(CU215="",""," / "&amp;CU215&amp;"%"),IF(AND(N(CD215)&gt;=99.95,CU215&lt;&gt;"",N(CU215)&lt;100),"Pend. "&amp;CU215&amp;"%",""))))</f>
        <v/>
      </c>
      <c r="AY215" s="40" t="str">
        <f aca="false">IF(OR(OR(NOT(AND(ISNUMBER(E215),ISNUMBER(F215))),$J$2=""),13&gt;MAX(1,Reprogramaciones!$U$15)),"",IF(Reprogramaciones!W$12&gt;=7,"",IF(OR(CF215-N(CE215)&gt;0.05,N(AC215)&gt;0),ROUNDDOWN(ROUND(CF215,6),0)&amp;"%"&amp;IF(CV215="",""," / "&amp;CV215&amp;"%"),IF(AND(N(CE215)&gt;=99.95,CV215&lt;&gt;"",N(CV215)&lt;100),"Pend. "&amp;CV215&amp;"%",""))))</f>
        <v/>
      </c>
      <c r="AZ215" s="40" t="str">
        <f aca="false">IF(OR(OR(NOT(AND(ISNUMBER(E215),ISNUMBER(F215))),$J$2=""),14&gt;MAX(1,Reprogramaciones!$U$15)),"",IF(Reprogramaciones!X$12&gt;=7,"",IF(OR(CG215-N(CF215)&gt;0.05,N(AD215)&gt;0),ROUNDDOWN(ROUND(CG215,6),0)&amp;"%"&amp;IF(CW215="",""," / "&amp;CW215&amp;"%"),IF(AND(N(CF215)&gt;=99.95,CW215&lt;&gt;"",N(CW215)&lt;100),"Pend. "&amp;CW215&amp;"%",""))))</f>
        <v/>
      </c>
      <c r="BA215" s="40" t="str">
        <f aca="false">IF(OR(OR(NOT(AND(ISNUMBER(E215),ISNUMBER(F215))),$J$2=""),15&gt;MAX(1,Reprogramaciones!$U$15)),"",IF(Reprogramaciones!Y$12&gt;=7,"",IF(OR(CH215-N(CG215)&gt;0.05,N(AE215)&gt;0),ROUNDDOWN(ROUND(CH215,6),0)&amp;"%"&amp;IF(CX215="",""," / "&amp;CX215&amp;"%"),IF(AND(N(CG215)&gt;=99.95,CX215&lt;&gt;"",N(CX215)&lt;100),"Pend. "&amp;CX215&amp;"%",""))))</f>
        <v/>
      </c>
      <c r="BB215" s="40" t="str">
        <f aca="false">IF(OR(OR(NOT(AND(ISNUMBER(E215),ISNUMBER(F215))),$J$2=""),16&gt;MAX(1,Reprogramaciones!$U$15)),"",IF(Reprogramaciones!Z$12&gt;=7,"",IF(OR(CI215-N(CH215)&gt;0.05,N(AF215)&gt;0),ROUNDDOWN(ROUND(CI215,6),0)&amp;"%"&amp;IF(CY215="",""," / "&amp;CY215&amp;"%"),IF(AND(N(CH215)&gt;=99.95,CY215&lt;&gt;"",N(CY215)&lt;100),"Pend. "&amp;CY215&amp;"%",""))))</f>
        <v/>
      </c>
      <c r="BC215" s="31" t="n">
        <f aca="false">IF(AND(ISNUMBER(E215),ISNUMBER(F215)),MAX(1,NETWORKDAYS.INTL(E215,F215,11)),0)</f>
        <v>0</v>
      </c>
      <c r="BD215" s="1" t="str">
        <f aca="false">IF(OR(NOT(AND(ISNUMBER(E215),ISNUMBER(F215))),$J$2=""),"",MIN(100,ROUND(SUM($G215:G215),1)))</f>
        <v/>
      </c>
      <c r="BE215" s="1" t="str">
        <f aca="false">IF(OR(NOT(AND(ISNUMBER(E215),ISNUMBER(F215))),$J$2=""),"",MIN(100,ROUND(SUM($G215:H215),1)))</f>
        <v/>
      </c>
      <c r="BF215" s="1" t="str">
        <f aca="false">IF(OR(NOT(AND(ISNUMBER(E215),ISNUMBER(F215))),$J$2=""),"",MIN(100,ROUND(SUM($G215:I215),1)))</f>
        <v/>
      </c>
      <c r="BG215" s="1" t="str">
        <f aca="false">IF(OR(NOT(AND(ISNUMBER(E215),ISNUMBER(F215))),$J$2=""),"",MIN(100,ROUND(SUM($G215:J215),1)))</f>
        <v/>
      </c>
      <c r="BH215" s="1" t="str">
        <f aca="false">IF(OR(NOT(AND(ISNUMBER(E215),ISNUMBER(F215))),$J$2=""),"",MIN(100,ROUND(SUM($G215:K215),1)))</f>
        <v/>
      </c>
      <c r="BI215" s="1" t="str">
        <f aca="false">IF(OR(NOT(AND(ISNUMBER(E215),ISNUMBER(F215))),$J$2=""),"",MIN(100,ROUND(SUM($G215:L215),1)))</f>
        <v/>
      </c>
      <c r="BJ215" s="1" t="str">
        <f aca="false">IF(OR(NOT(AND(ISNUMBER(E215),ISNUMBER(F215))),$J$2=""),"",MIN(100,ROUND(SUM($G215:M215),1)))</f>
        <v/>
      </c>
      <c r="BK215" s="1" t="str">
        <f aca="false">IF(OR(NOT(AND(ISNUMBER(E215),ISNUMBER(F215))),$J$2=""),"",MIN(100,ROUND(SUM($G215:N215),1)))</f>
        <v/>
      </c>
      <c r="BL215" s="1" t="str">
        <f aca="false">IF(OR(NOT(AND(ISNUMBER(E215),ISNUMBER(F215))),$J$2=""),"",MIN(100,ROUND(SUM($G215:O215),1)))</f>
        <v/>
      </c>
      <c r="BM215" s="1" t="str">
        <f aca="false">IF(OR(NOT(AND(ISNUMBER(E215),ISNUMBER(F215))),$J$2=""),"",MIN(100,ROUND(SUM($G215:P215),1)))</f>
        <v/>
      </c>
      <c r="BN215" s="1" t="str">
        <f aca="false">IF(OR(NOT(AND(ISNUMBER(E215),ISNUMBER(F215))),$J$2=""),"",MIN(100,ROUND(SUM($G215:P215),1)))</f>
        <v/>
      </c>
      <c r="BO215" s="1" t="str">
        <f aca="false">IF(OR(NOT(AND(ISNUMBER(E215),ISNUMBER(F215))),$J$2=""),"",MIN(100,ROUND(SUM($G215:P215),1)))</f>
        <v/>
      </c>
      <c r="BP215" s="1" t="str">
        <f aca="false">IF(OR(NOT(AND(ISNUMBER(E215),ISNUMBER(F215))),$J$2=""),"",MIN(100,ROUND(SUM($G215:P215),1)))</f>
        <v/>
      </c>
      <c r="BQ215" s="1" t="str">
        <f aca="false">IF(OR(NOT(AND(ISNUMBER(E215),ISNUMBER(F215))),$J$2=""),"",MIN(100,ROUND(SUM($G215:P215),1)))</f>
        <v/>
      </c>
      <c r="BR215" s="1" t="str">
        <f aca="false">IF(OR(NOT(AND(ISNUMBER(E215),ISNUMBER(F215))),$J$2=""),"",MIN(100,ROUND(SUM($G215:P215),1)))</f>
        <v/>
      </c>
      <c r="BS215" s="1" t="str">
        <f aca="false">IF(OR(NOT(AND(ISNUMBER(E215),ISNUMBER(F215))),$J$2=""),"",MIN(100,ROUND(SUM($G215:P215),1)))</f>
        <v/>
      </c>
      <c r="BT215" s="1" t="str">
        <f aca="false">IF(OR(NOT(AND(ISNUMBER(E215),ISNUMBER(F215))),$J$2=""),"",IF(Reprogramaciones!K$13&lt;Reprogramaciones!$T$15,0,IF(Reprogramaciones!K$14&gt;10,MIN(100,SUM($G215:$P215)),MIN(100,SUMPRODUCT((COLUMN($G215:$P215)-COLUMN($G215)+1&lt;Reprogramaciones!K$14)*$G215:$P215)+N(INDEX($G215:$P215,1,Reprogramaciones!K$14))*IF(Reprogramaciones!K$13&gt;=(Reprogramaciones!$T$15+7*(Reprogramaciones!K$14-1))+6,1,IF(MAX(0,NETWORKDAYS.INTL(MAX(E215,(Reprogramaciones!$T$15+7*(Reprogramaciones!K$14-1))),MIN(F215,(Reprogramaciones!$T$15+7*(Reprogramaciones!K$14-1))+6),11))=0,0,MAX(0,NETWORKDAYS.INTL(MAX(E215,(Reprogramaciones!$T$15+7*(Reprogramaciones!K$14-1))),MIN(F215,Reprogramaciones!K$13),11))/MAX(0,NETWORKDAYS.INTL(MAX(E215,(Reprogramaciones!$T$15+7*(Reprogramaciones!K$14-1))),MIN(F215,(Reprogramaciones!$T$15+7*(Reprogramaciones!K$14-1))+6),11))))))))</f>
        <v/>
      </c>
      <c r="BU215" s="1" t="str">
        <f aca="false">IF(OR(NOT(AND(ISNUMBER(E215),ISNUMBER(F215))),$J$2=""),"",IF(Reprogramaciones!L$13&lt;Reprogramaciones!$T$15,0,IF(Reprogramaciones!L$14&gt;10,MIN(100,SUM($G215:$P215)),MIN(100,SUMPRODUCT((COLUMN($G215:$P215)-COLUMN($G215)+1&lt;Reprogramaciones!L$14)*$G215:$P215)+N(INDEX($G215:$P215,1,Reprogramaciones!L$14))*IF(Reprogramaciones!L$13&gt;=(Reprogramaciones!$T$15+7*(Reprogramaciones!L$14-1))+6,1,IF(MAX(0,NETWORKDAYS.INTL(MAX(E215,(Reprogramaciones!$T$15+7*(Reprogramaciones!L$14-1))),MIN(F215,(Reprogramaciones!$T$15+7*(Reprogramaciones!L$14-1))+6),11))=0,0,MAX(0,NETWORKDAYS.INTL(MAX(E215,(Reprogramaciones!$T$15+7*(Reprogramaciones!L$14-1))),MIN(F215,Reprogramaciones!L$13),11))/MAX(0,NETWORKDAYS.INTL(MAX(E215,(Reprogramaciones!$T$15+7*(Reprogramaciones!L$14-1))),MIN(F215,(Reprogramaciones!$T$15+7*(Reprogramaciones!L$14-1))+6),11))))))))</f>
        <v/>
      </c>
      <c r="BV215" s="1" t="str">
        <f aca="false">IF(OR(NOT(AND(ISNUMBER(E215),ISNUMBER(F215))),$J$2=""),"",IF(Reprogramaciones!M$13&lt;Reprogramaciones!$T$15,0,IF(Reprogramaciones!M$14&gt;10,MIN(100,SUM($G215:$P215)),MIN(100,SUMPRODUCT((COLUMN($G215:$P215)-COLUMN($G215)+1&lt;Reprogramaciones!M$14)*$G215:$P215)+N(INDEX($G215:$P215,1,Reprogramaciones!M$14))*IF(Reprogramaciones!M$13&gt;=(Reprogramaciones!$T$15+7*(Reprogramaciones!M$14-1))+6,1,IF(MAX(0,NETWORKDAYS.INTL(MAX(E215,(Reprogramaciones!$T$15+7*(Reprogramaciones!M$14-1))),MIN(F215,(Reprogramaciones!$T$15+7*(Reprogramaciones!M$14-1))+6),11))=0,0,MAX(0,NETWORKDAYS.INTL(MAX(E215,(Reprogramaciones!$T$15+7*(Reprogramaciones!M$14-1))),MIN(F215,Reprogramaciones!M$13),11))/MAX(0,NETWORKDAYS.INTL(MAX(E215,(Reprogramaciones!$T$15+7*(Reprogramaciones!M$14-1))),MIN(F215,(Reprogramaciones!$T$15+7*(Reprogramaciones!M$14-1))+6),11))))))))</f>
        <v/>
      </c>
      <c r="BW215" s="1" t="str">
        <f aca="false">IF(OR(NOT(AND(ISNUMBER(E215),ISNUMBER(F215))),$J$2=""),"",IF(Reprogramaciones!N$13&lt;Reprogramaciones!$T$15,0,IF(Reprogramaciones!N$14&gt;10,MIN(100,SUM($G215:$P215)),MIN(100,SUMPRODUCT((COLUMN($G215:$P215)-COLUMN($G215)+1&lt;Reprogramaciones!N$14)*$G215:$P215)+N(INDEX($G215:$P215,1,Reprogramaciones!N$14))*IF(Reprogramaciones!N$13&gt;=(Reprogramaciones!$T$15+7*(Reprogramaciones!N$14-1))+6,1,IF(MAX(0,NETWORKDAYS.INTL(MAX(E215,(Reprogramaciones!$T$15+7*(Reprogramaciones!N$14-1))),MIN(F215,(Reprogramaciones!$T$15+7*(Reprogramaciones!N$14-1))+6),11))=0,0,MAX(0,NETWORKDAYS.INTL(MAX(E215,(Reprogramaciones!$T$15+7*(Reprogramaciones!N$14-1))),MIN(F215,Reprogramaciones!N$13),11))/MAX(0,NETWORKDAYS.INTL(MAX(E215,(Reprogramaciones!$T$15+7*(Reprogramaciones!N$14-1))),MIN(F215,(Reprogramaciones!$T$15+7*(Reprogramaciones!N$14-1))+6),11))))))))</f>
        <v/>
      </c>
      <c r="BX215" s="1" t="str">
        <f aca="false">IF(OR(NOT(AND(ISNUMBER(E215),ISNUMBER(F215))),$J$2=""),"",IF(Reprogramaciones!O$13&lt;Reprogramaciones!$T$15,0,IF(Reprogramaciones!O$14&gt;10,MIN(100,SUM($G215:$P215)),MIN(100,SUMPRODUCT((COLUMN($G215:$P215)-COLUMN($G215)+1&lt;Reprogramaciones!O$14)*$G215:$P215)+N(INDEX($G215:$P215,1,Reprogramaciones!O$14))*IF(Reprogramaciones!O$13&gt;=(Reprogramaciones!$T$15+7*(Reprogramaciones!O$14-1))+6,1,IF(MAX(0,NETWORKDAYS.INTL(MAX(E215,(Reprogramaciones!$T$15+7*(Reprogramaciones!O$14-1))),MIN(F215,(Reprogramaciones!$T$15+7*(Reprogramaciones!O$14-1))+6),11))=0,0,MAX(0,NETWORKDAYS.INTL(MAX(E215,(Reprogramaciones!$T$15+7*(Reprogramaciones!O$14-1))),MIN(F215,Reprogramaciones!O$13),11))/MAX(0,NETWORKDAYS.INTL(MAX(E215,(Reprogramaciones!$T$15+7*(Reprogramaciones!O$14-1))),MIN(F215,(Reprogramaciones!$T$15+7*(Reprogramaciones!O$14-1))+6),11))))))))</f>
        <v/>
      </c>
      <c r="BY215" s="1" t="str">
        <f aca="false">IF(OR(NOT(AND(ISNUMBER(E215),ISNUMBER(F215))),$J$2=""),"",IF(Reprogramaciones!P$13&lt;Reprogramaciones!$T$15,0,IF(Reprogramaciones!P$14&gt;10,MIN(100,SUM($G215:$P215)),MIN(100,SUMPRODUCT((COLUMN($G215:$P215)-COLUMN($G215)+1&lt;Reprogramaciones!P$14)*$G215:$P215)+N(INDEX($G215:$P215,1,Reprogramaciones!P$14))*IF(Reprogramaciones!P$13&gt;=(Reprogramaciones!$T$15+7*(Reprogramaciones!P$14-1))+6,1,IF(MAX(0,NETWORKDAYS.INTL(MAX(E215,(Reprogramaciones!$T$15+7*(Reprogramaciones!P$14-1))),MIN(F215,(Reprogramaciones!$T$15+7*(Reprogramaciones!P$14-1))+6),11))=0,0,MAX(0,NETWORKDAYS.INTL(MAX(E215,(Reprogramaciones!$T$15+7*(Reprogramaciones!P$14-1))),MIN(F215,Reprogramaciones!P$13),11))/MAX(0,NETWORKDAYS.INTL(MAX(E215,(Reprogramaciones!$T$15+7*(Reprogramaciones!P$14-1))),MIN(F215,(Reprogramaciones!$T$15+7*(Reprogramaciones!P$14-1))+6),11))))))))</f>
        <v/>
      </c>
      <c r="BZ215" s="1" t="str">
        <f aca="false">IF(OR(NOT(AND(ISNUMBER(E215),ISNUMBER(F215))),$J$2=""),"",IF(Reprogramaciones!Q$13&lt;Reprogramaciones!$T$15,0,IF(Reprogramaciones!Q$14&gt;10,MIN(100,SUM($G215:$P215)),MIN(100,SUMPRODUCT((COLUMN($G215:$P215)-COLUMN($G215)+1&lt;Reprogramaciones!Q$14)*$G215:$P215)+N(INDEX($G215:$P215,1,Reprogramaciones!Q$14))*IF(Reprogramaciones!Q$13&gt;=(Reprogramaciones!$T$15+7*(Reprogramaciones!Q$14-1))+6,1,IF(MAX(0,NETWORKDAYS.INTL(MAX(E215,(Reprogramaciones!$T$15+7*(Reprogramaciones!Q$14-1))),MIN(F215,(Reprogramaciones!$T$15+7*(Reprogramaciones!Q$14-1))+6),11))=0,0,MAX(0,NETWORKDAYS.INTL(MAX(E215,(Reprogramaciones!$T$15+7*(Reprogramaciones!Q$14-1))),MIN(F215,Reprogramaciones!Q$13),11))/MAX(0,NETWORKDAYS.INTL(MAX(E215,(Reprogramaciones!$T$15+7*(Reprogramaciones!Q$14-1))),MIN(F215,(Reprogramaciones!$T$15+7*(Reprogramaciones!Q$14-1))+6),11))))))))</f>
        <v/>
      </c>
      <c r="CA215" s="1" t="str">
        <f aca="false">IF(OR(NOT(AND(ISNUMBER(E215),ISNUMBER(F215))),$J$2=""),"",IF(Reprogramaciones!R$13&lt;Reprogramaciones!$T$15,0,IF(Reprogramaciones!R$14&gt;10,MIN(100,SUM($G215:$P215)),MIN(100,SUMPRODUCT((COLUMN($G215:$P215)-COLUMN($G215)+1&lt;Reprogramaciones!R$14)*$G215:$P215)+N(INDEX($G215:$P215,1,Reprogramaciones!R$14))*IF(Reprogramaciones!R$13&gt;=(Reprogramaciones!$T$15+7*(Reprogramaciones!R$14-1))+6,1,IF(MAX(0,NETWORKDAYS.INTL(MAX(E215,(Reprogramaciones!$T$15+7*(Reprogramaciones!R$14-1))),MIN(F215,(Reprogramaciones!$T$15+7*(Reprogramaciones!R$14-1))+6),11))=0,0,MAX(0,NETWORKDAYS.INTL(MAX(E215,(Reprogramaciones!$T$15+7*(Reprogramaciones!R$14-1))),MIN(F215,Reprogramaciones!R$13),11))/MAX(0,NETWORKDAYS.INTL(MAX(E215,(Reprogramaciones!$T$15+7*(Reprogramaciones!R$14-1))),MIN(F215,(Reprogramaciones!$T$15+7*(Reprogramaciones!R$14-1))+6),11))))))))</f>
        <v/>
      </c>
      <c r="CB215" s="1" t="str">
        <f aca="false">IF(OR(NOT(AND(ISNUMBER(E215),ISNUMBER(F215))),$J$2=""),"",IF(Reprogramaciones!S$13&lt;Reprogramaciones!$T$15,0,IF(Reprogramaciones!S$14&gt;10,MIN(100,SUM($G215:$P215)),MIN(100,SUMPRODUCT((COLUMN($G215:$P215)-COLUMN($G215)+1&lt;Reprogramaciones!S$14)*$G215:$P215)+N(INDEX($G215:$P215,1,Reprogramaciones!S$14))*IF(Reprogramaciones!S$13&gt;=(Reprogramaciones!$T$15+7*(Reprogramaciones!S$14-1))+6,1,IF(MAX(0,NETWORKDAYS.INTL(MAX(E215,(Reprogramaciones!$T$15+7*(Reprogramaciones!S$14-1))),MIN(F215,(Reprogramaciones!$T$15+7*(Reprogramaciones!S$14-1))+6),11))=0,0,MAX(0,NETWORKDAYS.INTL(MAX(E215,(Reprogramaciones!$T$15+7*(Reprogramaciones!S$14-1))),MIN(F215,Reprogramaciones!S$13),11))/MAX(0,NETWORKDAYS.INTL(MAX(E215,(Reprogramaciones!$T$15+7*(Reprogramaciones!S$14-1))),MIN(F215,(Reprogramaciones!$T$15+7*(Reprogramaciones!S$14-1))+6),11))))))))</f>
        <v/>
      </c>
      <c r="CC215" s="1" t="str">
        <f aca="false">IF(OR(NOT(AND(ISNUMBER(E215),ISNUMBER(F215))),$J$2=""),"",IF(Reprogramaciones!T$13&lt;Reprogramaciones!$T$15,0,IF(Reprogramaciones!T$14&gt;10,MIN(100,SUM($G215:$P215)),MIN(100,SUMPRODUCT((COLUMN($G215:$P215)-COLUMN($G215)+1&lt;Reprogramaciones!T$14)*$G215:$P215)+N(INDEX($G215:$P215,1,Reprogramaciones!T$14))*IF(Reprogramaciones!T$13&gt;=(Reprogramaciones!$T$15+7*(Reprogramaciones!T$14-1))+6,1,IF(MAX(0,NETWORKDAYS.INTL(MAX(E215,(Reprogramaciones!$T$15+7*(Reprogramaciones!T$14-1))),MIN(F215,(Reprogramaciones!$T$15+7*(Reprogramaciones!T$14-1))+6),11))=0,0,MAX(0,NETWORKDAYS.INTL(MAX(E215,(Reprogramaciones!$T$15+7*(Reprogramaciones!T$14-1))),MIN(F215,Reprogramaciones!T$13),11))/MAX(0,NETWORKDAYS.INTL(MAX(E215,(Reprogramaciones!$T$15+7*(Reprogramaciones!T$14-1))),MIN(F215,(Reprogramaciones!$T$15+7*(Reprogramaciones!T$14-1))+6),11))))))))</f>
        <v/>
      </c>
      <c r="CD215" s="1" t="str">
        <f aca="false">IF(OR(NOT(AND(ISNUMBER(E215),ISNUMBER(F215))),$J$2=""),"",IF(Reprogramaciones!U$13&lt;Reprogramaciones!$T$15,0,IF(Reprogramaciones!U$14&gt;10,MIN(100,SUM($G215:$P215)),MIN(100,SUMPRODUCT((COLUMN($G215:$P215)-COLUMN($G215)+1&lt;Reprogramaciones!U$14)*$G215:$P215)+N(INDEX($G215:$P215,1,Reprogramaciones!U$14))*IF(Reprogramaciones!U$13&gt;=(Reprogramaciones!$T$15+7*(Reprogramaciones!U$14-1))+6,1,IF(MAX(0,NETWORKDAYS.INTL(MAX(E215,(Reprogramaciones!$T$15+7*(Reprogramaciones!U$14-1))),MIN(F215,(Reprogramaciones!$T$15+7*(Reprogramaciones!U$14-1))+6),11))=0,0,MAX(0,NETWORKDAYS.INTL(MAX(E215,(Reprogramaciones!$T$15+7*(Reprogramaciones!U$14-1))),MIN(F215,Reprogramaciones!U$13),11))/MAX(0,NETWORKDAYS.INTL(MAX(E215,(Reprogramaciones!$T$15+7*(Reprogramaciones!U$14-1))),MIN(F215,(Reprogramaciones!$T$15+7*(Reprogramaciones!U$14-1))+6),11))))))))</f>
        <v/>
      </c>
      <c r="CE215" s="1" t="str">
        <f aca="false">IF(OR(NOT(AND(ISNUMBER(E215),ISNUMBER(F215))),$J$2=""),"",IF(Reprogramaciones!V$13&lt;Reprogramaciones!$T$15,0,IF(Reprogramaciones!V$14&gt;10,MIN(100,SUM($G215:$P215)),MIN(100,SUMPRODUCT((COLUMN($G215:$P215)-COLUMN($G215)+1&lt;Reprogramaciones!V$14)*$G215:$P215)+N(INDEX($G215:$P215,1,Reprogramaciones!V$14))*IF(Reprogramaciones!V$13&gt;=(Reprogramaciones!$T$15+7*(Reprogramaciones!V$14-1))+6,1,IF(MAX(0,NETWORKDAYS.INTL(MAX(E215,(Reprogramaciones!$T$15+7*(Reprogramaciones!V$14-1))),MIN(F215,(Reprogramaciones!$T$15+7*(Reprogramaciones!V$14-1))+6),11))=0,0,MAX(0,NETWORKDAYS.INTL(MAX(E215,(Reprogramaciones!$T$15+7*(Reprogramaciones!V$14-1))),MIN(F215,Reprogramaciones!V$13),11))/MAX(0,NETWORKDAYS.INTL(MAX(E215,(Reprogramaciones!$T$15+7*(Reprogramaciones!V$14-1))),MIN(F215,(Reprogramaciones!$T$15+7*(Reprogramaciones!V$14-1))+6),11))))))))</f>
        <v/>
      </c>
      <c r="CF215" s="1" t="str">
        <f aca="false">IF(OR(NOT(AND(ISNUMBER(E215),ISNUMBER(F215))),$J$2=""),"",IF(Reprogramaciones!W$13&lt;Reprogramaciones!$T$15,0,IF(Reprogramaciones!W$14&gt;10,MIN(100,SUM($G215:$P215)),MIN(100,SUMPRODUCT((COLUMN($G215:$P215)-COLUMN($G215)+1&lt;Reprogramaciones!W$14)*$G215:$P215)+N(INDEX($G215:$P215,1,Reprogramaciones!W$14))*IF(Reprogramaciones!W$13&gt;=(Reprogramaciones!$T$15+7*(Reprogramaciones!W$14-1))+6,1,IF(MAX(0,NETWORKDAYS.INTL(MAX(E215,(Reprogramaciones!$T$15+7*(Reprogramaciones!W$14-1))),MIN(F215,(Reprogramaciones!$T$15+7*(Reprogramaciones!W$14-1))+6),11))=0,0,MAX(0,NETWORKDAYS.INTL(MAX(E215,(Reprogramaciones!$T$15+7*(Reprogramaciones!W$14-1))),MIN(F215,Reprogramaciones!W$13),11))/MAX(0,NETWORKDAYS.INTL(MAX(E215,(Reprogramaciones!$T$15+7*(Reprogramaciones!W$14-1))),MIN(F215,(Reprogramaciones!$T$15+7*(Reprogramaciones!W$14-1))+6),11))))))))</f>
        <v/>
      </c>
      <c r="CG215" s="1" t="str">
        <f aca="false">IF(OR(NOT(AND(ISNUMBER(E215),ISNUMBER(F215))),$J$2=""),"",IF(Reprogramaciones!X$13&lt;Reprogramaciones!$T$15,0,IF(Reprogramaciones!X$14&gt;10,MIN(100,SUM($G215:$P215)),MIN(100,SUMPRODUCT((COLUMN($G215:$P215)-COLUMN($G215)+1&lt;Reprogramaciones!X$14)*$G215:$P215)+N(INDEX($G215:$P215,1,Reprogramaciones!X$14))*IF(Reprogramaciones!X$13&gt;=(Reprogramaciones!$T$15+7*(Reprogramaciones!X$14-1))+6,1,IF(MAX(0,NETWORKDAYS.INTL(MAX(E215,(Reprogramaciones!$T$15+7*(Reprogramaciones!X$14-1))),MIN(F215,(Reprogramaciones!$T$15+7*(Reprogramaciones!X$14-1))+6),11))=0,0,MAX(0,NETWORKDAYS.INTL(MAX(E215,(Reprogramaciones!$T$15+7*(Reprogramaciones!X$14-1))),MIN(F215,Reprogramaciones!X$13),11))/MAX(0,NETWORKDAYS.INTL(MAX(E215,(Reprogramaciones!$T$15+7*(Reprogramaciones!X$14-1))),MIN(F215,(Reprogramaciones!$T$15+7*(Reprogramaciones!X$14-1))+6),11))))))))</f>
        <v/>
      </c>
      <c r="CH215" s="1" t="str">
        <f aca="false">IF(OR(NOT(AND(ISNUMBER(E215),ISNUMBER(F215))),$J$2=""),"",IF(Reprogramaciones!Y$13&lt;Reprogramaciones!$T$15,0,IF(Reprogramaciones!Y$14&gt;10,MIN(100,SUM($G215:$P215)),MIN(100,SUMPRODUCT((COLUMN($G215:$P215)-COLUMN($G215)+1&lt;Reprogramaciones!Y$14)*$G215:$P215)+N(INDEX($G215:$P215,1,Reprogramaciones!Y$14))*IF(Reprogramaciones!Y$13&gt;=(Reprogramaciones!$T$15+7*(Reprogramaciones!Y$14-1))+6,1,IF(MAX(0,NETWORKDAYS.INTL(MAX(E215,(Reprogramaciones!$T$15+7*(Reprogramaciones!Y$14-1))),MIN(F215,(Reprogramaciones!$T$15+7*(Reprogramaciones!Y$14-1))+6),11))=0,0,MAX(0,NETWORKDAYS.INTL(MAX(E215,(Reprogramaciones!$T$15+7*(Reprogramaciones!Y$14-1))),MIN(F215,Reprogramaciones!Y$13),11))/MAX(0,NETWORKDAYS.INTL(MAX(E215,(Reprogramaciones!$T$15+7*(Reprogramaciones!Y$14-1))),MIN(F215,(Reprogramaciones!$T$15+7*(Reprogramaciones!Y$14-1))+6),11))))))))</f>
        <v/>
      </c>
      <c r="CI215" s="1" t="str">
        <f aca="false">IF(OR(NOT(AND(ISNUMBER(E215),ISNUMBER(F215))),$J$2=""),"",IF(Reprogramaciones!Z$13&lt;Reprogramaciones!$T$15,0,IF(Reprogramaciones!Z$14&gt;10,MIN(100,SUM($G215:$P215)),MIN(100,SUMPRODUCT((COLUMN($G215:$P215)-COLUMN($G215)+1&lt;Reprogramaciones!Z$14)*$G215:$P215)+N(INDEX($G215:$P215,1,Reprogramaciones!Z$14))*IF(Reprogramaciones!Z$13&gt;=(Reprogramaciones!$T$15+7*(Reprogramaciones!Z$14-1))+6,1,IF(MAX(0,NETWORKDAYS.INTL(MAX(E215,(Reprogramaciones!$T$15+7*(Reprogramaciones!Z$14-1))),MIN(F215,(Reprogramaciones!$T$15+7*(Reprogramaciones!Z$14-1))+6),11))=0,0,MAX(0,NETWORKDAYS.INTL(MAX(E215,(Reprogramaciones!$T$15+7*(Reprogramaciones!Z$14-1))),MIN(F215,Reprogramaciones!Z$13),11))/MAX(0,NETWORKDAYS.INTL(MAX(E215,(Reprogramaciones!$T$15+7*(Reprogramaciones!Z$14-1))),MIN(F215,(Reprogramaciones!$T$15+7*(Reprogramaciones!Z$14-1))+6),11))))))))</f>
        <v/>
      </c>
      <c r="CJ215" s="1" t="str">
        <f aca="false">IF(OR(OR(NOT(AND(ISNUMBER(E215),ISNUMBER(F215))),$J$2=""),1&gt;Reprogramaciones!$K$16),"",IF(ROUND(SUM($Q215:Q215),1)&gt;=99.5,100,MIN(100,ROUND(SUM($Q215:Q215),1))))</f>
        <v/>
      </c>
      <c r="CK215" s="1" t="str">
        <f aca="false">IF(OR(OR(NOT(AND(ISNUMBER(E215),ISNUMBER(F215))),$J$2=""),2&gt;Reprogramaciones!$K$16),"",IF(ROUND(SUM($Q215:R215),1)&gt;=99.5,100,MIN(100,ROUND(SUM($Q215:R215),1))))</f>
        <v/>
      </c>
      <c r="CL215" s="1" t="str">
        <f aca="false">IF(OR(OR(NOT(AND(ISNUMBER(E215),ISNUMBER(F215))),$J$2=""),3&gt;Reprogramaciones!$K$16),"",IF(ROUND(SUM($Q215:S215),1)&gt;=99.5,100,MIN(100,ROUND(SUM($Q215:S215),1))))</f>
        <v/>
      </c>
      <c r="CM215" s="1" t="str">
        <f aca="false">IF(OR(OR(NOT(AND(ISNUMBER(E215),ISNUMBER(F215))),$J$2=""),4&gt;Reprogramaciones!$K$16),"",IF(ROUND(SUM($Q215:T215),1)&gt;=99.5,100,MIN(100,ROUND(SUM($Q215:T215),1))))</f>
        <v/>
      </c>
      <c r="CN215" s="1" t="str">
        <f aca="false">IF(OR(OR(NOT(AND(ISNUMBER(E215),ISNUMBER(F215))),$J$2=""),5&gt;Reprogramaciones!$K$16),"",IF(ROUND(SUM($Q215:U215),1)&gt;=99.5,100,MIN(100,ROUND(SUM($Q215:U215),1))))</f>
        <v/>
      </c>
      <c r="CO215" s="1" t="str">
        <f aca="false">IF(OR(OR(NOT(AND(ISNUMBER(E215),ISNUMBER(F215))),$J$2=""),6&gt;Reprogramaciones!$K$16),"",IF(ROUND(SUM($Q215:V215),1)&gt;=99.5,100,MIN(100,ROUND(SUM($Q215:V215),1))))</f>
        <v/>
      </c>
      <c r="CP215" s="1" t="str">
        <f aca="false">IF(OR(OR(NOT(AND(ISNUMBER(E215),ISNUMBER(F215))),$J$2=""),7&gt;Reprogramaciones!$K$16),"",IF(ROUND(SUM($Q215:W215),1)&gt;=99.5,100,MIN(100,ROUND(SUM($Q215:W215),1))))</f>
        <v/>
      </c>
      <c r="CQ215" s="1" t="str">
        <f aca="false">IF(OR(OR(NOT(AND(ISNUMBER(E215),ISNUMBER(F215))),$J$2=""),8&gt;Reprogramaciones!$K$16),"",IF(ROUND(SUM($Q215:X215),1)&gt;=99.5,100,MIN(100,ROUND(SUM($Q215:X215),1))))</f>
        <v/>
      </c>
      <c r="CR215" s="1" t="str">
        <f aca="false">IF(OR(OR(NOT(AND(ISNUMBER(E215),ISNUMBER(F215))),$J$2=""),9&gt;Reprogramaciones!$K$16),"",IF(ROUND(SUM($Q215:Y215),1)&gt;=99.5,100,MIN(100,ROUND(SUM($Q215:Y215),1))))</f>
        <v/>
      </c>
      <c r="CS215" s="1" t="str">
        <f aca="false">IF(OR(OR(NOT(AND(ISNUMBER(E215),ISNUMBER(F215))),$J$2=""),10&gt;Reprogramaciones!$K$16),"",IF(ROUND(SUM($Q215:Z215),1)&gt;=99.5,100,MIN(100,ROUND(SUM($Q215:Z215),1))))</f>
        <v/>
      </c>
      <c r="CT215" s="1" t="str">
        <f aca="false">IF(OR(OR(NOT(AND(ISNUMBER(E215),ISNUMBER(F215))),$J$2=""),11&gt;Reprogramaciones!$K$16),"",IF(ROUND(SUM($Q215:AA215),1)&gt;=99.5,100,MIN(100,ROUND(SUM($Q215:AA215),1))))</f>
        <v/>
      </c>
      <c r="CU215" s="1" t="str">
        <f aca="false">IF(OR(OR(NOT(AND(ISNUMBER(E215),ISNUMBER(F215))),$J$2=""),12&gt;Reprogramaciones!$K$16),"",IF(ROUND(SUM($Q215:AB215),1)&gt;=99.5,100,MIN(100,ROUND(SUM($Q215:AB215),1))))</f>
        <v/>
      </c>
      <c r="CV215" s="1" t="str">
        <f aca="false">IF(OR(OR(NOT(AND(ISNUMBER(E215),ISNUMBER(F215))),$J$2=""),13&gt;Reprogramaciones!$K$16),"",IF(ROUND(SUM($Q215:AC215),1)&gt;=99.5,100,MIN(100,ROUND(SUM($Q215:AC215),1))))</f>
        <v/>
      </c>
      <c r="CW215" s="1" t="str">
        <f aca="false">IF(OR(OR(NOT(AND(ISNUMBER(E215),ISNUMBER(F215))),$J$2=""),14&gt;Reprogramaciones!$K$16),"",IF(ROUND(SUM($Q215:AD215),1)&gt;=99.5,100,MIN(100,ROUND(SUM($Q215:AD215),1))))</f>
        <v/>
      </c>
      <c r="CX215" s="1" t="str">
        <f aca="false">IF(OR(OR(NOT(AND(ISNUMBER(E215),ISNUMBER(F215))),$J$2=""),15&gt;Reprogramaciones!$K$16),"",IF(ROUND(SUM($Q215:AE215),1)&gt;=99.5,100,MIN(100,ROUND(SUM($Q215:AE215),1))))</f>
        <v/>
      </c>
      <c r="CY215" s="1" t="str">
        <f aca="false">IF(OR(OR(NOT(AND(ISNUMBER(E215),ISNUMBER(F215))),$J$2=""),16&gt;Reprogramaciones!$K$16),"",IF(ROUND(SUM($Q215:AF215),1)&gt;=99.5,100,MIN(100,ROUND(SUM($Q215:AF215),1))))</f>
        <v/>
      </c>
      <c r="CZ215" s="1" t="str">
        <f aca="false">IF(D215&lt;&gt;"",D215,IF(B215&lt;&gt;"","Contractual",CZ214))</f>
        <v>Contractual</v>
      </c>
      <c r="DA215" s="1" t="str">
        <f aca="false">IF(OR(NOT(AND(ISNUMBER(E215),ISNUMBER(F215))),$J$2=""),"",IF(Reprogramaciones!$Q$15&lt;Reprogramaciones!$T$15,0,IF(Reprogramaciones!$S$15&gt;10,MIN(100,SUM($G215:$P215)),MIN(100,SUMPRODUCT((COLUMN($G215:$P215)-COLUMN($G215)+1&lt;Reprogramaciones!$S$15)*$G215:$P215)+N(INDEX($G215:$P215,1,Reprogramaciones!$S$15))*IF(Reprogramaciones!$Q$15&gt;=(Reprogramaciones!$T$15+7*(Reprogramaciones!$S$15-1))+6,1,IF(MAX(0,NETWORKDAYS.INTL(MAX(E215,(Reprogramaciones!$T$15+7*(Reprogramaciones!$S$15-1))),MIN(F215,(Reprogramaciones!$T$15+7*(Reprogramaciones!$S$15-1))+6),11))=0,0,MAX(0,NETWORKDAYS.INTL(MAX(E215,(Reprogramaciones!$T$15+7*(Reprogramaciones!$S$15-1))),MIN(F215,Reprogramaciones!$Q$15),11))/MAX(0,NETWORKDAYS.INTL(MAX(E215,(Reprogramaciones!$T$15+7*(Reprogramaciones!$S$15-1))),MIN(F215,(Reprogramaciones!$T$15+7*(Reprogramaciones!$S$15-1))+6),11))))))))</f>
        <v/>
      </c>
    </row>
    <row r="216" customFormat="false" ht="15" hidden="false" customHeight="false" outlineLevel="0" collapsed="false">
      <c r="A216" s="32"/>
      <c r="B216" s="33"/>
      <c r="C216" s="33"/>
      <c r="D216" s="34"/>
      <c r="E216" s="35"/>
      <c r="F216" s="35"/>
      <c r="G216" s="36" t="str">
        <f aca="false">IF(OR(NOT(AND(ISNUMBER(E216),ISNUMBER(F216))),$J$2=""),"",IF(Reprogramaciones!K$9&lt;E216,0,IF(NETWORKDAYS.INTL(E216,F216,11)=0,IF(Reprogramaciones!K$9&gt;=F216,100,0),ROUND(NETWORKDAYS.INTL(E216,MIN(F216,Reprogramaciones!K$9),11)/NETWORKDAYS.INTL(E216,F216,11)*100,1)))-0)</f>
        <v/>
      </c>
      <c r="H216" s="36" t="str">
        <f aca="false">IF(OR(NOT(AND(ISNUMBER(E216),ISNUMBER(F216))),$J$2=""),"",IF(Reprogramaciones!L$9&lt;E216,0,IF(NETWORKDAYS.INTL(E216,F216,11)=0,IF(Reprogramaciones!L$9&gt;=F216,100,0),ROUND(NETWORKDAYS.INTL(E216,MIN(F216,Reprogramaciones!L$9),11)/NETWORKDAYS.INTL(E216,F216,11)*100,1)))-IF(Reprogramaciones!K$9&lt;E216,0,IF(NETWORKDAYS.INTL(E216,F216,11)=0,IF(Reprogramaciones!K$9&gt;=F216,100,0),ROUND(NETWORKDAYS.INTL(E216,MIN(F216,Reprogramaciones!K$9),11)/NETWORKDAYS.INTL(E216,F216,11)*100,1))))</f>
        <v/>
      </c>
      <c r="I216" s="36" t="str">
        <f aca="false">IF(OR(NOT(AND(ISNUMBER(E216),ISNUMBER(F216))),$J$2=""),"",IF(Reprogramaciones!M$9&lt;E216,0,IF(NETWORKDAYS.INTL(E216,F216,11)=0,IF(Reprogramaciones!M$9&gt;=F216,100,0),ROUND(NETWORKDAYS.INTL(E216,MIN(F216,Reprogramaciones!M$9),11)/NETWORKDAYS.INTL(E216,F216,11)*100,1)))-IF(Reprogramaciones!L$9&lt;E216,0,IF(NETWORKDAYS.INTL(E216,F216,11)=0,IF(Reprogramaciones!L$9&gt;=F216,100,0),ROUND(NETWORKDAYS.INTL(E216,MIN(F216,Reprogramaciones!L$9),11)/NETWORKDAYS.INTL(E216,F216,11)*100,1))))</f>
        <v/>
      </c>
      <c r="J216" s="36" t="str">
        <f aca="false">IF(OR(NOT(AND(ISNUMBER(E216),ISNUMBER(F216))),$J$2=""),"",IF(Reprogramaciones!N$9&lt;E216,0,IF(NETWORKDAYS.INTL(E216,F216,11)=0,IF(Reprogramaciones!N$9&gt;=F216,100,0),ROUND(NETWORKDAYS.INTL(E216,MIN(F216,Reprogramaciones!N$9),11)/NETWORKDAYS.INTL(E216,F216,11)*100,1)))-IF(Reprogramaciones!M$9&lt;E216,0,IF(NETWORKDAYS.INTL(E216,F216,11)=0,IF(Reprogramaciones!M$9&gt;=F216,100,0),ROUND(NETWORKDAYS.INTL(E216,MIN(F216,Reprogramaciones!M$9),11)/NETWORKDAYS.INTL(E216,F216,11)*100,1))))</f>
        <v/>
      </c>
      <c r="K216" s="36" t="str">
        <f aca="false">IF(OR(NOT(AND(ISNUMBER(E216),ISNUMBER(F216))),$J$2=""),"",IF(Reprogramaciones!O$9&lt;E216,0,IF(NETWORKDAYS.INTL(E216,F216,11)=0,IF(Reprogramaciones!O$9&gt;=F216,100,0),ROUND(NETWORKDAYS.INTL(E216,MIN(F216,Reprogramaciones!O$9),11)/NETWORKDAYS.INTL(E216,F216,11)*100,1)))-IF(Reprogramaciones!N$9&lt;E216,0,IF(NETWORKDAYS.INTL(E216,F216,11)=0,IF(Reprogramaciones!N$9&gt;=F216,100,0),ROUND(NETWORKDAYS.INTL(E216,MIN(F216,Reprogramaciones!N$9),11)/NETWORKDAYS.INTL(E216,F216,11)*100,1))))</f>
        <v/>
      </c>
      <c r="L216" s="36" t="str">
        <f aca="false">IF(OR(NOT(AND(ISNUMBER(E216),ISNUMBER(F216))),$J$2=""),"",IF(Reprogramaciones!P$9&lt;E216,0,IF(NETWORKDAYS.INTL(E216,F216,11)=0,IF(Reprogramaciones!P$9&gt;=F216,100,0),ROUND(NETWORKDAYS.INTL(E216,MIN(F216,Reprogramaciones!P$9),11)/NETWORKDAYS.INTL(E216,F216,11)*100,1)))-IF(Reprogramaciones!O$9&lt;E216,0,IF(NETWORKDAYS.INTL(E216,F216,11)=0,IF(Reprogramaciones!O$9&gt;=F216,100,0),ROUND(NETWORKDAYS.INTL(E216,MIN(F216,Reprogramaciones!O$9),11)/NETWORKDAYS.INTL(E216,F216,11)*100,1))))</f>
        <v/>
      </c>
      <c r="M216" s="36" t="str">
        <f aca="false">IF(OR(NOT(AND(ISNUMBER(E216),ISNUMBER(F216))),$J$2=""),"",IF(Reprogramaciones!Q$9&lt;E216,0,IF(NETWORKDAYS.INTL(E216,F216,11)=0,IF(Reprogramaciones!Q$9&gt;=F216,100,0),ROUND(NETWORKDAYS.INTL(E216,MIN(F216,Reprogramaciones!Q$9),11)/NETWORKDAYS.INTL(E216,F216,11)*100,1)))-IF(Reprogramaciones!P$9&lt;E216,0,IF(NETWORKDAYS.INTL(E216,F216,11)=0,IF(Reprogramaciones!P$9&gt;=F216,100,0),ROUND(NETWORKDAYS.INTL(E216,MIN(F216,Reprogramaciones!P$9),11)/NETWORKDAYS.INTL(E216,F216,11)*100,1))))</f>
        <v/>
      </c>
      <c r="N216" s="36" t="str">
        <f aca="false">IF(OR(NOT(AND(ISNUMBER(E216),ISNUMBER(F216))),$J$2=""),"",IF(Reprogramaciones!R$9&lt;E216,0,IF(NETWORKDAYS.INTL(E216,F216,11)=0,IF(Reprogramaciones!R$9&gt;=F216,100,0),ROUND(NETWORKDAYS.INTL(E216,MIN(F216,Reprogramaciones!R$9),11)/NETWORKDAYS.INTL(E216,F216,11)*100,1)))-IF(Reprogramaciones!Q$9&lt;E216,0,IF(NETWORKDAYS.INTL(E216,F216,11)=0,IF(Reprogramaciones!Q$9&gt;=F216,100,0),ROUND(NETWORKDAYS.INTL(E216,MIN(F216,Reprogramaciones!Q$9),11)/NETWORKDAYS.INTL(E216,F216,11)*100,1))))</f>
        <v/>
      </c>
      <c r="O216" s="36" t="str">
        <f aca="false">IF(OR(NOT(AND(ISNUMBER(E216),ISNUMBER(F216))),$J$2=""),"",IF(Reprogramaciones!S$9&lt;E216,0,IF(NETWORKDAYS.INTL(E216,F216,11)=0,IF(Reprogramaciones!S$9&gt;=F216,100,0),ROUND(NETWORKDAYS.INTL(E216,MIN(F216,Reprogramaciones!S$9),11)/NETWORKDAYS.INTL(E216,F216,11)*100,1)))-IF(Reprogramaciones!R$9&lt;E216,0,IF(NETWORKDAYS.INTL(E216,F216,11)=0,IF(Reprogramaciones!R$9&gt;=F216,100,0),ROUND(NETWORKDAYS.INTL(E216,MIN(F216,Reprogramaciones!R$9),11)/NETWORKDAYS.INTL(E216,F216,11)*100,1))))</f>
        <v/>
      </c>
      <c r="P216" s="36" t="str">
        <f aca="false">IF(OR(NOT(AND(ISNUMBER(E216),ISNUMBER(F216))),$J$2=""),"",IF(Reprogramaciones!T$9&lt;E216,0,IF(NETWORKDAYS.INTL(E216,F216,11)=0,IF(Reprogramaciones!T$9&gt;=F216,100,0),ROUND(NETWORKDAYS.INTL(E216,MIN(F216,Reprogramaciones!T$9),11)/NETWORKDAYS.INTL(E216,F216,11)*100,1)))-IF(Reprogramaciones!S$9&lt;E216,0,IF(NETWORKDAYS.INTL(E216,F216,11)=0,IF(Reprogramaciones!S$9&gt;=F216,100,0),ROUND(NETWORKDAYS.INTL(E216,MIN(F216,Reprogramaciones!S$9),11)/NETWORKDAYS.INTL(E216,F216,11)*100,1))))</f>
        <v/>
      </c>
      <c r="Q216" s="37"/>
      <c r="R216" s="37"/>
      <c r="S216" s="37"/>
      <c r="T216" s="37"/>
      <c r="U216" s="37"/>
      <c r="V216" s="37"/>
      <c r="W216" s="37"/>
      <c r="X216" s="37"/>
      <c r="Y216" s="37"/>
      <c r="Z216" s="37"/>
      <c r="AA216" s="37"/>
      <c r="AB216" s="37"/>
      <c r="AC216" s="37"/>
      <c r="AD216" s="37"/>
      <c r="AE216" s="37"/>
      <c r="AF216" s="37"/>
      <c r="AG216" s="38" t="str">
        <f aca="false">IF(AND(ISNUMBER(E216),ISNUMBER(F216)),NETWORKDAYS.INTL(E216,F216,11),"")</f>
        <v/>
      </c>
      <c r="AH216" s="38" t="str">
        <f aca="false">IF(OR(NOT(AND(ISNUMBER(E216),ISNUMBER(F216))),$J$2=""),"",IF(Reprogramaciones!$P$15&lt;Reprogramaciones!$T$15,0,IF(Reprogramaciones!$R$15&gt;10,MIN(100,SUM($G216:$P216)),MIN(100,SUMPRODUCT((COLUMN($G216:$P216)-COLUMN($G216)+1&lt;Reprogramaciones!$R$15)*$G216:$P216)+N(INDEX($G216:$P216,1,Reprogramaciones!$R$15))*IF(Reprogramaciones!$P$15&gt;=(Reprogramaciones!$T$15+7*(Reprogramaciones!$R$15-1))+6,1,IF(MAX(0,NETWORKDAYS.INTL(MAX(E216,(Reprogramaciones!$T$15+7*(Reprogramaciones!$R$15-1))),MIN(F216,(Reprogramaciones!$T$15+7*(Reprogramaciones!$R$15-1))+6),11))=0,0,MAX(0,NETWORKDAYS.INTL(MAX(E216,(Reprogramaciones!$T$15+7*(Reprogramaciones!$R$15-1))),MIN(F216,Reprogramaciones!$P$15),11))/MAX(0,NETWORKDAYS.INTL(MAX(E216,(Reprogramaciones!$T$15+7*(Reprogramaciones!$R$15-1))),MIN(F216,(Reprogramaciones!$T$15+7*(Reprogramaciones!$R$15-1))+6),11))))))))</f>
        <v/>
      </c>
      <c r="AI216" s="38" t="str">
        <f aca="false">IF(COUNT($Q216:$AF216)=0,"",IF(ROUND(SUM($Q216:$AF216),1)&gt;=99.5,100,MIN(100,ROUND(SUM($Q216:$AF216),1))))</f>
        <v/>
      </c>
      <c r="AJ216" s="38" t="str">
        <f aca="false">IF(OR(AH216="",AI216=""),"",AI216-AH216)</f>
        <v/>
      </c>
      <c r="AK216" s="39" t="str">
        <f aca="true">IF(AH216="","",IF(OR(Ficha!$C$10="Suspendida",Ficha!$C$10="Cancelada"),Ficha!$C$10,IF(AND(AI216&lt;&gt;"",N(AI216)&gt;=100),"Completada",IF(AND(E216&gt;TODAY(),N(AI216)=0),"Por iniciar",IF(N(AI216)+0.5&lt;AH216,"Retrasada",IF(N(AI216)+0.5&lt;DA216,IF(Reprogramaciones!$K$15&gt;0,"Al día · Sem "&amp;Reprogramaciones!$K$15&amp;" en curso","Al día · en curso"),"A tiempo"))))))</f>
        <v/>
      </c>
      <c r="AL216" s="39" t="str">
        <f aca="true">IF(AND(A216="",AND(B216="",C216="",E216="",F216="",COUNT(Q216:AF216)=0)),"",IF(AND(B216="",C216="",E216="",F216="",COUNT(Q216:AF216)=0),"Falta la partida o subpartida",IF(AND(A216&lt;&gt;"",COUNTIF($A$6:$A$305,A216)&gt;1),"Ítem repetido",IF(AND(C216="",E216="",F216="",COUNT(Q216:AF216)=0),"Título de partida",IF(OR(E216="",F216=""),"Faltan fechas",IF(OR(ISTEXT(E216),ISTEXT(F216)),"Fecha escrita como texto: usa dd/mm/aaaa",IF(F216&lt;E216,"Fin antes del inicio",IF(IF($J$2="",FALSE(),OR(E216&lt;$J$2,F216&gt;Reprogramaciones!$T$15+69)),"Fuera de las 10 semanas",IF(ABS(SUM(G216:P216)-100)&gt;0.5,"La meta no suma 100%",IF(ROUND(SUM(Q216:AF216),1)&gt;100.5,"El avance pasa de 100%",IF(MIN(Q216:AF216)&lt;0,"Avance negativo",IF(COUNTA(Q216:AF216)&gt;COUNT(Q216:AF216),"Avance escrito como texto",IF(SUMPRODUCT((Q216:AF216&gt;0)*(Q216:AF216&lt;1))&gt;0,"Avance menor a 1: escribe 50, no 50%",IF(SUMPRODUCT(ISNUMBER(Q216:AF216)*(Reprogramaciones!$K$8:$Z$8&gt;TODAY()))&gt;0,"Avance en semana que aún no llega",IF(AND(N(Reprogramaciones!$E$21)&gt;0,F216&gt;Reprogramaciones!$E$21),"Pasa el fin de la obra: registra una reprogramación",IF(AND(N(Reprogramaciones!$E$21)&gt;0,SUMPRODUCT(ISNUMBER(Q216:AF216)*(Reprogramaciones!$K$8:$Z$8&gt;Reprogramaciones!$E$21))&gt;0),"Avance después del fin de la obra: registra una reprogramación por atraso","OK"))))))))))))))))</f>
        <v/>
      </c>
      <c r="AM216" s="40" t="str">
        <f aca="false">IF(OR(OR(NOT(AND(ISNUMBER(E216),ISNUMBER(F216))),$J$2=""),1&gt;MAX(1,Reprogramaciones!$U$15)),"",IF(Reprogramaciones!K$12&gt;=7,"",IF(OR(BT216-N(0)&gt;0.05,N(Q216)&gt;0),ROUNDDOWN(ROUND(BT216,6),0)&amp;"%"&amp;IF(CJ216="",""," / "&amp;CJ216&amp;"%"),IF(AND(N(0)&gt;=99.95,CJ216&lt;&gt;"",N(CJ216)&lt;100),"Pend. "&amp;CJ216&amp;"%",""))))</f>
        <v/>
      </c>
      <c r="AN216" s="40" t="str">
        <f aca="false">IF(OR(OR(NOT(AND(ISNUMBER(E216),ISNUMBER(F216))),$J$2=""),2&gt;MAX(1,Reprogramaciones!$U$15)),"",IF(Reprogramaciones!L$12&gt;=7,"",IF(OR(BU216-N(BT216)&gt;0.05,N(R216)&gt;0),ROUNDDOWN(ROUND(BU216,6),0)&amp;"%"&amp;IF(CK216="",""," / "&amp;CK216&amp;"%"),IF(AND(N(BT216)&gt;=99.95,CK216&lt;&gt;"",N(CK216)&lt;100),"Pend. "&amp;CK216&amp;"%",""))))</f>
        <v/>
      </c>
      <c r="AO216" s="40" t="str">
        <f aca="false">IF(OR(OR(NOT(AND(ISNUMBER(E216),ISNUMBER(F216))),$J$2=""),3&gt;MAX(1,Reprogramaciones!$U$15)),"",IF(Reprogramaciones!M$12&gt;=7,"",IF(OR(BV216-N(BU216)&gt;0.05,N(S216)&gt;0),ROUNDDOWN(ROUND(BV216,6),0)&amp;"%"&amp;IF(CL216="",""," / "&amp;CL216&amp;"%"),IF(AND(N(BU216)&gt;=99.95,CL216&lt;&gt;"",N(CL216)&lt;100),"Pend. "&amp;CL216&amp;"%",""))))</f>
        <v/>
      </c>
      <c r="AP216" s="40" t="str">
        <f aca="false">IF(OR(OR(NOT(AND(ISNUMBER(E216),ISNUMBER(F216))),$J$2=""),4&gt;MAX(1,Reprogramaciones!$U$15)),"",IF(Reprogramaciones!N$12&gt;=7,"",IF(OR(BW216-N(BV216)&gt;0.05,N(T216)&gt;0),ROUNDDOWN(ROUND(BW216,6),0)&amp;"%"&amp;IF(CM216="",""," / "&amp;CM216&amp;"%"),IF(AND(N(BV216)&gt;=99.95,CM216&lt;&gt;"",N(CM216)&lt;100),"Pend. "&amp;CM216&amp;"%",""))))</f>
        <v/>
      </c>
      <c r="AQ216" s="40" t="str">
        <f aca="false">IF(OR(OR(NOT(AND(ISNUMBER(E216),ISNUMBER(F216))),$J$2=""),5&gt;MAX(1,Reprogramaciones!$U$15)),"",IF(Reprogramaciones!O$12&gt;=7,"",IF(OR(BX216-N(BW216)&gt;0.05,N(U216)&gt;0),ROUNDDOWN(ROUND(BX216,6),0)&amp;"%"&amp;IF(CN216="",""," / "&amp;CN216&amp;"%"),IF(AND(N(BW216)&gt;=99.95,CN216&lt;&gt;"",N(CN216)&lt;100),"Pend. "&amp;CN216&amp;"%",""))))</f>
        <v/>
      </c>
      <c r="AR216" s="40" t="str">
        <f aca="false">IF(OR(OR(NOT(AND(ISNUMBER(E216),ISNUMBER(F216))),$J$2=""),6&gt;MAX(1,Reprogramaciones!$U$15)),"",IF(Reprogramaciones!P$12&gt;=7,"",IF(OR(BY216-N(BX216)&gt;0.05,N(V216)&gt;0),ROUNDDOWN(ROUND(BY216,6),0)&amp;"%"&amp;IF(CO216="",""," / "&amp;CO216&amp;"%"),IF(AND(N(BX216)&gt;=99.95,CO216&lt;&gt;"",N(CO216)&lt;100),"Pend. "&amp;CO216&amp;"%",""))))</f>
        <v/>
      </c>
      <c r="AS216" s="40" t="str">
        <f aca="false">IF(OR(OR(NOT(AND(ISNUMBER(E216),ISNUMBER(F216))),$J$2=""),7&gt;MAX(1,Reprogramaciones!$U$15)),"",IF(Reprogramaciones!Q$12&gt;=7,"",IF(OR(BZ216-N(BY216)&gt;0.05,N(W216)&gt;0),ROUNDDOWN(ROUND(BZ216,6),0)&amp;"%"&amp;IF(CP216="",""," / "&amp;CP216&amp;"%"),IF(AND(N(BY216)&gt;=99.95,CP216&lt;&gt;"",N(CP216)&lt;100),"Pend. "&amp;CP216&amp;"%",""))))</f>
        <v/>
      </c>
      <c r="AT216" s="40" t="str">
        <f aca="false">IF(OR(OR(NOT(AND(ISNUMBER(E216),ISNUMBER(F216))),$J$2=""),8&gt;MAX(1,Reprogramaciones!$U$15)),"",IF(Reprogramaciones!R$12&gt;=7,"",IF(OR(CA216-N(BZ216)&gt;0.05,N(X216)&gt;0),ROUNDDOWN(ROUND(CA216,6),0)&amp;"%"&amp;IF(CQ216="",""," / "&amp;CQ216&amp;"%"),IF(AND(N(BZ216)&gt;=99.95,CQ216&lt;&gt;"",N(CQ216)&lt;100),"Pend. "&amp;CQ216&amp;"%",""))))</f>
        <v/>
      </c>
      <c r="AU216" s="40" t="str">
        <f aca="false">IF(OR(OR(NOT(AND(ISNUMBER(E216),ISNUMBER(F216))),$J$2=""),9&gt;MAX(1,Reprogramaciones!$U$15)),"",IF(Reprogramaciones!S$12&gt;=7,"",IF(OR(CB216-N(CA216)&gt;0.05,N(Y216)&gt;0),ROUNDDOWN(ROUND(CB216,6),0)&amp;"%"&amp;IF(CR216="",""," / "&amp;CR216&amp;"%"),IF(AND(N(CA216)&gt;=99.95,CR216&lt;&gt;"",N(CR216)&lt;100),"Pend. "&amp;CR216&amp;"%",""))))</f>
        <v/>
      </c>
      <c r="AV216" s="40" t="str">
        <f aca="false">IF(OR(OR(NOT(AND(ISNUMBER(E216),ISNUMBER(F216))),$J$2=""),10&gt;MAX(1,Reprogramaciones!$U$15)),"",IF(Reprogramaciones!T$12&gt;=7,"",IF(OR(CC216-N(CB216)&gt;0.05,N(Z216)&gt;0),ROUNDDOWN(ROUND(CC216,6),0)&amp;"%"&amp;IF(CS216="",""," / "&amp;CS216&amp;"%"),IF(AND(N(CB216)&gt;=99.95,CS216&lt;&gt;"",N(CS216)&lt;100),"Pend. "&amp;CS216&amp;"%",""))))</f>
        <v/>
      </c>
      <c r="AW216" s="40" t="str">
        <f aca="false">IF(OR(OR(NOT(AND(ISNUMBER(E216),ISNUMBER(F216))),$J$2=""),11&gt;MAX(1,Reprogramaciones!$U$15)),"",IF(Reprogramaciones!U$12&gt;=7,"",IF(OR(CD216-N(CC216)&gt;0.05,N(AA216)&gt;0),ROUNDDOWN(ROUND(CD216,6),0)&amp;"%"&amp;IF(CT216="",""," / "&amp;CT216&amp;"%"),IF(AND(N(CC216)&gt;=99.95,CT216&lt;&gt;"",N(CT216)&lt;100),"Pend. "&amp;CT216&amp;"%",""))))</f>
        <v/>
      </c>
      <c r="AX216" s="40" t="str">
        <f aca="false">IF(OR(OR(NOT(AND(ISNUMBER(E216),ISNUMBER(F216))),$J$2=""),12&gt;MAX(1,Reprogramaciones!$U$15)),"",IF(Reprogramaciones!V$12&gt;=7,"",IF(OR(CE216-N(CD216)&gt;0.05,N(AB216)&gt;0),ROUNDDOWN(ROUND(CE216,6),0)&amp;"%"&amp;IF(CU216="",""," / "&amp;CU216&amp;"%"),IF(AND(N(CD216)&gt;=99.95,CU216&lt;&gt;"",N(CU216)&lt;100),"Pend. "&amp;CU216&amp;"%",""))))</f>
        <v/>
      </c>
      <c r="AY216" s="40" t="str">
        <f aca="false">IF(OR(OR(NOT(AND(ISNUMBER(E216),ISNUMBER(F216))),$J$2=""),13&gt;MAX(1,Reprogramaciones!$U$15)),"",IF(Reprogramaciones!W$12&gt;=7,"",IF(OR(CF216-N(CE216)&gt;0.05,N(AC216)&gt;0),ROUNDDOWN(ROUND(CF216,6),0)&amp;"%"&amp;IF(CV216="",""," / "&amp;CV216&amp;"%"),IF(AND(N(CE216)&gt;=99.95,CV216&lt;&gt;"",N(CV216)&lt;100),"Pend. "&amp;CV216&amp;"%",""))))</f>
        <v/>
      </c>
      <c r="AZ216" s="40" t="str">
        <f aca="false">IF(OR(OR(NOT(AND(ISNUMBER(E216),ISNUMBER(F216))),$J$2=""),14&gt;MAX(1,Reprogramaciones!$U$15)),"",IF(Reprogramaciones!X$12&gt;=7,"",IF(OR(CG216-N(CF216)&gt;0.05,N(AD216)&gt;0),ROUNDDOWN(ROUND(CG216,6),0)&amp;"%"&amp;IF(CW216="",""," / "&amp;CW216&amp;"%"),IF(AND(N(CF216)&gt;=99.95,CW216&lt;&gt;"",N(CW216)&lt;100),"Pend. "&amp;CW216&amp;"%",""))))</f>
        <v/>
      </c>
      <c r="BA216" s="40" t="str">
        <f aca="false">IF(OR(OR(NOT(AND(ISNUMBER(E216),ISNUMBER(F216))),$J$2=""),15&gt;MAX(1,Reprogramaciones!$U$15)),"",IF(Reprogramaciones!Y$12&gt;=7,"",IF(OR(CH216-N(CG216)&gt;0.05,N(AE216)&gt;0),ROUNDDOWN(ROUND(CH216,6),0)&amp;"%"&amp;IF(CX216="",""," / "&amp;CX216&amp;"%"),IF(AND(N(CG216)&gt;=99.95,CX216&lt;&gt;"",N(CX216)&lt;100),"Pend. "&amp;CX216&amp;"%",""))))</f>
        <v/>
      </c>
      <c r="BB216" s="40" t="str">
        <f aca="false">IF(OR(OR(NOT(AND(ISNUMBER(E216),ISNUMBER(F216))),$J$2=""),16&gt;MAX(1,Reprogramaciones!$U$15)),"",IF(Reprogramaciones!Z$12&gt;=7,"",IF(OR(CI216-N(CH216)&gt;0.05,N(AF216)&gt;0),ROUNDDOWN(ROUND(CI216,6),0)&amp;"%"&amp;IF(CY216="",""," / "&amp;CY216&amp;"%"),IF(AND(N(CH216)&gt;=99.95,CY216&lt;&gt;"",N(CY216)&lt;100),"Pend. "&amp;CY216&amp;"%",""))))</f>
        <v/>
      </c>
      <c r="BC216" s="31" t="n">
        <f aca="false">IF(AND(ISNUMBER(E216),ISNUMBER(F216)),MAX(1,NETWORKDAYS.INTL(E216,F216,11)),0)</f>
        <v>0</v>
      </c>
      <c r="BD216" s="1" t="str">
        <f aca="false">IF(OR(NOT(AND(ISNUMBER(E216),ISNUMBER(F216))),$J$2=""),"",MIN(100,ROUND(SUM($G216:G216),1)))</f>
        <v/>
      </c>
      <c r="BE216" s="1" t="str">
        <f aca="false">IF(OR(NOT(AND(ISNUMBER(E216),ISNUMBER(F216))),$J$2=""),"",MIN(100,ROUND(SUM($G216:H216),1)))</f>
        <v/>
      </c>
      <c r="BF216" s="1" t="str">
        <f aca="false">IF(OR(NOT(AND(ISNUMBER(E216),ISNUMBER(F216))),$J$2=""),"",MIN(100,ROUND(SUM($G216:I216),1)))</f>
        <v/>
      </c>
      <c r="BG216" s="1" t="str">
        <f aca="false">IF(OR(NOT(AND(ISNUMBER(E216),ISNUMBER(F216))),$J$2=""),"",MIN(100,ROUND(SUM($G216:J216),1)))</f>
        <v/>
      </c>
      <c r="BH216" s="1" t="str">
        <f aca="false">IF(OR(NOT(AND(ISNUMBER(E216),ISNUMBER(F216))),$J$2=""),"",MIN(100,ROUND(SUM($G216:K216),1)))</f>
        <v/>
      </c>
      <c r="BI216" s="1" t="str">
        <f aca="false">IF(OR(NOT(AND(ISNUMBER(E216),ISNUMBER(F216))),$J$2=""),"",MIN(100,ROUND(SUM($G216:L216),1)))</f>
        <v/>
      </c>
      <c r="BJ216" s="1" t="str">
        <f aca="false">IF(OR(NOT(AND(ISNUMBER(E216),ISNUMBER(F216))),$J$2=""),"",MIN(100,ROUND(SUM($G216:M216),1)))</f>
        <v/>
      </c>
      <c r="BK216" s="1" t="str">
        <f aca="false">IF(OR(NOT(AND(ISNUMBER(E216),ISNUMBER(F216))),$J$2=""),"",MIN(100,ROUND(SUM($G216:N216),1)))</f>
        <v/>
      </c>
      <c r="BL216" s="1" t="str">
        <f aca="false">IF(OR(NOT(AND(ISNUMBER(E216),ISNUMBER(F216))),$J$2=""),"",MIN(100,ROUND(SUM($G216:O216),1)))</f>
        <v/>
      </c>
      <c r="BM216" s="1" t="str">
        <f aca="false">IF(OR(NOT(AND(ISNUMBER(E216),ISNUMBER(F216))),$J$2=""),"",MIN(100,ROUND(SUM($G216:P216),1)))</f>
        <v/>
      </c>
      <c r="BN216" s="1" t="str">
        <f aca="false">IF(OR(NOT(AND(ISNUMBER(E216),ISNUMBER(F216))),$J$2=""),"",MIN(100,ROUND(SUM($G216:P216),1)))</f>
        <v/>
      </c>
      <c r="BO216" s="1" t="str">
        <f aca="false">IF(OR(NOT(AND(ISNUMBER(E216),ISNUMBER(F216))),$J$2=""),"",MIN(100,ROUND(SUM($G216:P216),1)))</f>
        <v/>
      </c>
      <c r="BP216" s="1" t="str">
        <f aca="false">IF(OR(NOT(AND(ISNUMBER(E216),ISNUMBER(F216))),$J$2=""),"",MIN(100,ROUND(SUM($G216:P216),1)))</f>
        <v/>
      </c>
      <c r="BQ216" s="1" t="str">
        <f aca="false">IF(OR(NOT(AND(ISNUMBER(E216),ISNUMBER(F216))),$J$2=""),"",MIN(100,ROUND(SUM($G216:P216),1)))</f>
        <v/>
      </c>
      <c r="BR216" s="1" t="str">
        <f aca="false">IF(OR(NOT(AND(ISNUMBER(E216),ISNUMBER(F216))),$J$2=""),"",MIN(100,ROUND(SUM($G216:P216),1)))</f>
        <v/>
      </c>
      <c r="BS216" s="1" t="str">
        <f aca="false">IF(OR(NOT(AND(ISNUMBER(E216),ISNUMBER(F216))),$J$2=""),"",MIN(100,ROUND(SUM($G216:P216),1)))</f>
        <v/>
      </c>
      <c r="BT216" s="1" t="str">
        <f aca="false">IF(OR(NOT(AND(ISNUMBER(E216),ISNUMBER(F216))),$J$2=""),"",IF(Reprogramaciones!K$13&lt;Reprogramaciones!$T$15,0,IF(Reprogramaciones!K$14&gt;10,MIN(100,SUM($G216:$P216)),MIN(100,SUMPRODUCT((COLUMN($G216:$P216)-COLUMN($G216)+1&lt;Reprogramaciones!K$14)*$G216:$P216)+N(INDEX($G216:$P216,1,Reprogramaciones!K$14))*IF(Reprogramaciones!K$13&gt;=(Reprogramaciones!$T$15+7*(Reprogramaciones!K$14-1))+6,1,IF(MAX(0,NETWORKDAYS.INTL(MAX(E216,(Reprogramaciones!$T$15+7*(Reprogramaciones!K$14-1))),MIN(F216,(Reprogramaciones!$T$15+7*(Reprogramaciones!K$14-1))+6),11))=0,0,MAX(0,NETWORKDAYS.INTL(MAX(E216,(Reprogramaciones!$T$15+7*(Reprogramaciones!K$14-1))),MIN(F216,Reprogramaciones!K$13),11))/MAX(0,NETWORKDAYS.INTL(MAX(E216,(Reprogramaciones!$T$15+7*(Reprogramaciones!K$14-1))),MIN(F216,(Reprogramaciones!$T$15+7*(Reprogramaciones!K$14-1))+6),11))))))))</f>
        <v/>
      </c>
      <c r="BU216" s="1" t="str">
        <f aca="false">IF(OR(NOT(AND(ISNUMBER(E216),ISNUMBER(F216))),$J$2=""),"",IF(Reprogramaciones!L$13&lt;Reprogramaciones!$T$15,0,IF(Reprogramaciones!L$14&gt;10,MIN(100,SUM($G216:$P216)),MIN(100,SUMPRODUCT((COLUMN($G216:$P216)-COLUMN($G216)+1&lt;Reprogramaciones!L$14)*$G216:$P216)+N(INDEX($G216:$P216,1,Reprogramaciones!L$14))*IF(Reprogramaciones!L$13&gt;=(Reprogramaciones!$T$15+7*(Reprogramaciones!L$14-1))+6,1,IF(MAX(0,NETWORKDAYS.INTL(MAX(E216,(Reprogramaciones!$T$15+7*(Reprogramaciones!L$14-1))),MIN(F216,(Reprogramaciones!$T$15+7*(Reprogramaciones!L$14-1))+6),11))=0,0,MAX(0,NETWORKDAYS.INTL(MAX(E216,(Reprogramaciones!$T$15+7*(Reprogramaciones!L$14-1))),MIN(F216,Reprogramaciones!L$13),11))/MAX(0,NETWORKDAYS.INTL(MAX(E216,(Reprogramaciones!$T$15+7*(Reprogramaciones!L$14-1))),MIN(F216,(Reprogramaciones!$T$15+7*(Reprogramaciones!L$14-1))+6),11))))))))</f>
        <v/>
      </c>
      <c r="BV216" s="1" t="str">
        <f aca="false">IF(OR(NOT(AND(ISNUMBER(E216),ISNUMBER(F216))),$J$2=""),"",IF(Reprogramaciones!M$13&lt;Reprogramaciones!$T$15,0,IF(Reprogramaciones!M$14&gt;10,MIN(100,SUM($G216:$P216)),MIN(100,SUMPRODUCT((COLUMN($G216:$P216)-COLUMN($G216)+1&lt;Reprogramaciones!M$14)*$G216:$P216)+N(INDEX($G216:$P216,1,Reprogramaciones!M$14))*IF(Reprogramaciones!M$13&gt;=(Reprogramaciones!$T$15+7*(Reprogramaciones!M$14-1))+6,1,IF(MAX(0,NETWORKDAYS.INTL(MAX(E216,(Reprogramaciones!$T$15+7*(Reprogramaciones!M$14-1))),MIN(F216,(Reprogramaciones!$T$15+7*(Reprogramaciones!M$14-1))+6),11))=0,0,MAX(0,NETWORKDAYS.INTL(MAX(E216,(Reprogramaciones!$T$15+7*(Reprogramaciones!M$14-1))),MIN(F216,Reprogramaciones!M$13),11))/MAX(0,NETWORKDAYS.INTL(MAX(E216,(Reprogramaciones!$T$15+7*(Reprogramaciones!M$14-1))),MIN(F216,(Reprogramaciones!$T$15+7*(Reprogramaciones!M$14-1))+6),11))))))))</f>
        <v/>
      </c>
      <c r="BW216" s="1" t="str">
        <f aca="false">IF(OR(NOT(AND(ISNUMBER(E216),ISNUMBER(F216))),$J$2=""),"",IF(Reprogramaciones!N$13&lt;Reprogramaciones!$T$15,0,IF(Reprogramaciones!N$14&gt;10,MIN(100,SUM($G216:$P216)),MIN(100,SUMPRODUCT((COLUMN($G216:$P216)-COLUMN($G216)+1&lt;Reprogramaciones!N$14)*$G216:$P216)+N(INDEX($G216:$P216,1,Reprogramaciones!N$14))*IF(Reprogramaciones!N$13&gt;=(Reprogramaciones!$T$15+7*(Reprogramaciones!N$14-1))+6,1,IF(MAX(0,NETWORKDAYS.INTL(MAX(E216,(Reprogramaciones!$T$15+7*(Reprogramaciones!N$14-1))),MIN(F216,(Reprogramaciones!$T$15+7*(Reprogramaciones!N$14-1))+6),11))=0,0,MAX(0,NETWORKDAYS.INTL(MAX(E216,(Reprogramaciones!$T$15+7*(Reprogramaciones!N$14-1))),MIN(F216,Reprogramaciones!N$13),11))/MAX(0,NETWORKDAYS.INTL(MAX(E216,(Reprogramaciones!$T$15+7*(Reprogramaciones!N$14-1))),MIN(F216,(Reprogramaciones!$T$15+7*(Reprogramaciones!N$14-1))+6),11))))))))</f>
        <v/>
      </c>
      <c r="BX216" s="1" t="str">
        <f aca="false">IF(OR(NOT(AND(ISNUMBER(E216),ISNUMBER(F216))),$J$2=""),"",IF(Reprogramaciones!O$13&lt;Reprogramaciones!$T$15,0,IF(Reprogramaciones!O$14&gt;10,MIN(100,SUM($G216:$P216)),MIN(100,SUMPRODUCT((COLUMN($G216:$P216)-COLUMN($G216)+1&lt;Reprogramaciones!O$14)*$G216:$P216)+N(INDEX($G216:$P216,1,Reprogramaciones!O$14))*IF(Reprogramaciones!O$13&gt;=(Reprogramaciones!$T$15+7*(Reprogramaciones!O$14-1))+6,1,IF(MAX(0,NETWORKDAYS.INTL(MAX(E216,(Reprogramaciones!$T$15+7*(Reprogramaciones!O$14-1))),MIN(F216,(Reprogramaciones!$T$15+7*(Reprogramaciones!O$14-1))+6),11))=0,0,MAX(0,NETWORKDAYS.INTL(MAX(E216,(Reprogramaciones!$T$15+7*(Reprogramaciones!O$14-1))),MIN(F216,Reprogramaciones!O$13),11))/MAX(0,NETWORKDAYS.INTL(MAX(E216,(Reprogramaciones!$T$15+7*(Reprogramaciones!O$14-1))),MIN(F216,(Reprogramaciones!$T$15+7*(Reprogramaciones!O$14-1))+6),11))))))))</f>
        <v/>
      </c>
      <c r="BY216" s="1" t="str">
        <f aca="false">IF(OR(NOT(AND(ISNUMBER(E216),ISNUMBER(F216))),$J$2=""),"",IF(Reprogramaciones!P$13&lt;Reprogramaciones!$T$15,0,IF(Reprogramaciones!P$14&gt;10,MIN(100,SUM($G216:$P216)),MIN(100,SUMPRODUCT((COLUMN($G216:$P216)-COLUMN($G216)+1&lt;Reprogramaciones!P$14)*$G216:$P216)+N(INDEX($G216:$P216,1,Reprogramaciones!P$14))*IF(Reprogramaciones!P$13&gt;=(Reprogramaciones!$T$15+7*(Reprogramaciones!P$14-1))+6,1,IF(MAX(0,NETWORKDAYS.INTL(MAX(E216,(Reprogramaciones!$T$15+7*(Reprogramaciones!P$14-1))),MIN(F216,(Reprogramaciones!$T$15+7*(Reprogramaciones!P$14-1))+6),11))=0,0,MAX(0,NETWORKDAYS.INTL(MAX(E216,(Reprogramaciones!$T$15+7*(Reprogramaciones!P$14-1))),MIN(F216,Reprogramaciones!P$13),11))/MAX(0,NETWORKDAYS.INTL(MAX(E216,(Reprogramaciones!$T$15+7*(Reprogramaciones!P$14-1))),MIN(F216,(Reprogramaciones!$T$15+7*(Reprogramaciones!P$14-1))+6),11))))))))</f>
        <v/>
      </c>
      <c r="BZ216" s="1" t="str">
        <f aca="false">IF(OR(NOT(AND(ISNUMBER(E216),ISNUMBER(F216))),$J$2=""),"",IF(Reprogramaciones!Q$13&lt;Reprogramaciones!$T$15,0,IF(Reprogramaciones!Q$14&gt;10,MIN(100,SUM($G216:$P216)),MIN(100,SUMPRODUCT((COLUMN($G216:$P216)-COLUMN($G216)+1&lt;Reprogramaciones!Q$14)*$G216:$P216)+N(INDEX($G216:$P216,1,Reprogramaciones!Q$14))*IF(Reprogramaciones!Q$13&gt;=(Reprogramaciones!$T$15+7*(Reprogramaciones!Q$14-1))+6,1,IF(MAX(0,NETWORKDAYS.INTL(MAX(E216,(Reprogramaciones!$T$15+7*(Reprogramaciones!Q$14-1))),MIN(F216,(Reprogramaciones!$T$15+7*(Reprogramaciones!Q$14-1))+6),11))=0,0,MAX(0,NETWORKDAYS.INTL(MAX(E216,(Reprogramaciones!$T$15+7*(Reprogramaciones!Q$14-1))),MIN(F216,Reprogramaciones!Q$13),11))/MAX(0,NETWORKDAYS.INTL(MAX(E216,(Reprogramaciones!$T$15+7*(Reprogramaciones!Q$14-1))),MIN(F216,(Reprogramaciones!$T$15+7*(Reprogramaciones!Q$14-1))+6),11))))))))</f>
        <v/>
      </c>
      <c r="CA216" s="1" t="str">
        <f aca="false">IF(OR(NOT(AND(ISNUMBER(E216),ISNUMBER(F216))),$J$2=""),"",IF(Reprogramaciones!R$13&lt;Reprogramaciones!$T$15,0,IF(Reprogramaciones!R$14&gt;10,MIN(100,SUM($G216:$P216)),MIN(100,SUMPRODUCT((COLUMN($G216:$P216)-COLUMN($G216)+1&lt;Reprogramaciones!R$14)*$G216:$P216)+N(INDEX($G216:$P216,1,Reprogramaciones!R$14))*IF(Reprogramaciones!R$13&gt;=(Reprogramaciones!$T$15+7*(Reprogramaciones!R$14-1))+6,1,IF(MAX(0,NETWORKDAYS.INTL(MAX(E216,(Reprogramaciones!$T$15+7*(Reprogramaciones!R$14-1))),MIN(F216,(Reprogramaciones!$T$15+7*(Reprogramaciones!R$14-1))+6),11))=0,0,MAX(0,NETWORKDAYS.INTL(MAX(E216,(Reprogramaciones!$T$15+7*(Reprogramaciones!R$14-1))),MIN(F216,Reprogramaciones!R$13),11))/MAX(0,NETWORKDAYS.INTL(MAX(E216,(Reprogramaciones!$T$15+7*(Reprogramaciones!R$14-1))),MIN(F216,(Reprogramaciones!$T$15+7*(Reprogramaciones!R$14-1))+6),11))))))))</f>
        <v/>
      </c>
      <c r="CB216" s="1" t="str">
        <f aca="false">IF(OR(NOT(AND(ISNUMBER(E216),ISNUMBER(F216))),$J$2=""),"",IF(Reprogramaciones!S$13&lt;Reprogramaciones!$T$15,0,IF(Reprogramaciones!S$14&gt;10,MIN(100,SUM($G216:$P216)),MIN(100,SUMPRODUCT((COLUMN($G216:$P216)-COLUMN($G216)+1&lt;Reprogramaciones!S$14)*$G216:$P216)+N(INDEX($G216:$P216,1,Reprogramaciones!S$14))*IF(Reprogramaciones!S$13&gt;=(Reprogramaciones!$T$15+7*(Reprogramaciones!S$14-1))+6,1,IF(MAX(0,NETWORKDAYS.INTL(MAX(E216,(Reprogramaciones!$T$15+7*(Reprogramaciones!S$14-1))),MIN(F216,(Reprogramaciones!$T$15+7*(Reprogramaciones!S$14-1))+6),11))=0,0,MAX(0,NETWORKDAYS.INTL(MAX(E216,(Reprogramaciones!$T$15+7*(Reprogramaciones!S$14-1))),MIN(F216,Reprogramaciones!S$13),11))/MAX(0,NETWORKDAYS.INTL(MAX(E216,(Reprogramaciones!$T$15+7*(Reprogramaciones!S$14-1))),MIN(F216,(Reprogramaciones!$T$15+7*(Reprogramaciones!S$14-1))+6),11))))))))</f>
        <v/>
      </c>
      <c r="CC216" s="1" t="str">
        <f aca="false">IF(OR(NOT(AND(ISNUMBER(E216),ISNUMBER(F216))),$J$2=""),"",IF(Reprogramaciones!T$13&lt;Reprogramaciones!$T$15,0,IF(Reprogramaciones!T$14&gt;10,MIN(100,SUM($G216:$P216)),MIN(100,SUMPRODUCT((COLUMN($G216:$P216)-COLUMN($G216)+1&lt;Reprogramaciones!T$14)*$G216:$P216)+N(INDEX($G216:$P216,1,Reprogramaciones!T$14))*IF(Reprogramaciones!T$13&gt;=(Reprogramaciones!$T$15+7*(Reprogramaciones!T$14-1))+6,1,IF(MAX(0,NETWORKDAYS.INTL(MAX(E216,(Reprogramaciones!$T$15+7*(Reprogramaciones!T$14-1))),MIN(F216,(Reprogramaciones!$T$15+7*(Reprogramaciones!T$14-1))+6),11))=0,0,MAX(0,NETWORKDAYS.INTL(MAX(E216,(Reprogramaciones!$T$15+7*(Reprogramaciones!T$14-1))),MIN(F216,Reprogramaciones!T$13),11))/MAX(0,NETWORKDAYS.INTL(MAX(E216,(Reprogramaciones!$T$15+7*(Reprogramaciones!T$14-1))),MIN(F216,(Reprogramaciones!$T$15+7*(Reprogramaciones!T$14-1))+6),11))))))))</f>
        <v/>
      </c>
      <c r="CD216" s="1" t="str">
        <f aca="false">IF(OR(NOT(AND(ISNUMBER(E216),ISNUMBER(F216))),$J$2=""),"",IF(Reprogramaciones!U$13&lt;Reprogramaciones!$T$15,0,IF(Reprogramaciones!U$14&gt;10,MIN(100,SUM($G216:$P216)),MIN(100,SUMPRODUCT((COLUMN($G216:$P216)-COLUMN($G216)+1&lt;Reprogramaciones!U$14)*$G216:$P216)+N(INDEX($G216:$P216,1,Reprogramaciones!U$14))*IF(Reprogramaciones!U$13&gt;=(Reprogramaciones!$T$15+7*(Reprogramaciones!U$14-1))+6,1,IF(MAX(0,NETWORKDAYS.INTL(MAX(E216,(Reprogramaciones!$T$15+7*(Reprogramaciones!U$14-1))),MIN(F216,(Reprogramaciones!$T$15+7*(Reprogramaciones!U$14-1))+6),11))=0,0,MAX(0,NETWORKDAYS.INTL(MAX(E216,(Reprogramaciones!$T$15+7*(Reprogramaciones!U$14-1))),MIN(F216,Reprogramaciones!U$13),11))/MAX(0,NETWORKDAYS.INTL(MAX(E216,(Reprogramaciones!$T$15+7*(Reprogramaciones!U$14-1))),MIN(F216,(Reprogramaciones!$T$15+7*(Reprogramaciones!U$14-1))+6),11))))))))</f>
        <v/>
      </c>
      <c r="CE216" s="1" t="str">
        <f aca="false">IF(OR(NOT(AND(ISNUMBER(E216),ISNUMBER(F216))),$J$2=""),"",IF(Reprogramaciones!V$13&lt;Reprogramaciones!$T$15,0,IF(Reprogramaciones!V$14&gt;10,MIN(100,SUM($G216:$P216)),MIN(100,SUMPRODUCT((COLUMN($G216:$P216)-COLUMN($G216)+1&lt;Reprogramaciones!V$14)*$G216:$P216)+N(INDEX($G216:$P216,1,Reprogramaciones!V$14))*IF(Reprogramaciones!V$13&gt;=(Reprogramaciones!$T$15+7*(Reprogramaciones!V$14-1))+6,1,IF(MAX(0,NETWORKDAYS.INTL(MAX(E216,(Reprogramaciones!$T$15+7*(Reprogramaciones!V$14-1))),MIN(F216,(Reprogramaciones!$T$15+7*(Reprogramaciones!V$14-1))+6),11))=0,0,MAX(0,NETWORKDAYS.INTL(MAX(E216,(Reprogramaciones!$T$15+7*(Reprogramaciones!V$14-1))),MIN(F216,Reprogramaciones!V$13),11))/MAX(0,NETWORKDAYS.INTL(MAX(E216,(Reprogramaciones!$T$15+7*(Reprogramaciones!V$14-1))),MIN(F216,(Reprogramaciones!$T$15+7*(Reprogramaciones!V$14-1))+6),11))))))))</f>
        <v/>
      </c>
      <c r="CF216" s="1" t="str">
        <f aca="false">IF(OR(NOT(AND(ISNUMBER(E216),ISNUMBER(F216))),$J$2=""),"",IF(Reprogramaciones!W$13&lt;Reprogramaciones!$T$15,0,IF(Reprogramaciones!W$14&gt;10,MIN(100,SUM($G216:$P216)),MIN(100,SUMPRODUCT((COLUMN($G216:$P216)-COLUMN($G216)+1&lt;Reprogramaciones!W$14)*$G216:$P216)+N(INDEX($G216:$P216,1,Reprogramaciones!W$14))*IF(Reprogramaciones!W$13&gt;=(Reprogramaciones!$T$15+7*(Reprogramaciones!W$14-1))+6,1,IF(MAX(0,NETWORKDAYS.INTL(MAX(E216,(Reprogramaciones!$T$15+7*(Reprogramaciones!W$14-1))),MIN(F216,(Reprogramaciones!$T$15+7*(Reprogramaciones!W$14-1))+6),11))=0,0,MAX(0,NETWORKDAYS.INTL(MAX(E216,(Reprogramaciones!$T$15+7*(Reprogramaciones!W$14-1))),MIN(F216,Reprogramaciones!W$13),11))/MAX(0,NETWORKDAYS.INTL(MAX(E216,(Reprogramaciones!$T$15+7*(Reprogramaciones!W$14-1))),MIN(F216,(Reprogramaciones!$T$15+7*(Reprogramaciones!W$14-1))+6),11))))))))</f>
        <v/>
      </c>
      <c r="CG216" s="1" t="str">
        <f aca="false">IF(OR(NOT(AND(ISNUMBER(E216),ISNUMBER(F216))),$J$2=""),"",IF(Reprogramaciones!X$13&lt;Reprogramaciones!$T$15,0,IF(Reprogramaciones!X$14&gt;10,MIN(100,SUM($G216:$P216)),MIN(100,SUMPRODUCT((COLUMN($G216:$P216)-COLUMN($G216)+1&lt;Reprogramaciones!X$14)*$G216:$P216)+N(INDEX($G216:$P216,1,Reprogramaciones!X$14))*IF(Reprogramaciones!X$13&gt;=(Reprogramaciones!$T$15+7*(Reprogramaciones!X$14-1))+6,1,IF(MAX(0,NETWORKDAYS.INTL(MAX(E216,(Reprogramaciones!$T$15+7*(Reprogramaciones!X$14-1))),MIN(F216,(Reprogramaciones!$T$15+7*(Reprogramaciones!X$14-1))+6),11))=0,0,MAX(0,NETWORKDAYS.INTL(MAX(E216,(Reprogramaciones!$T$15+7*(Reprogramaciones!X$14-1))),MIN(F216,Reprogramaciones!X$13),11))/MAX(0,NETWORKDAYS.INTL(MAX(E216,(Reprogramaciones!$T$15+7*(Reprogramaciones!X$14-1))),MIN(F216,(Reprogramaciones!$T$15+7*(Reprogramaciones!X$14-1))+6),11))))))))</f>
        <v/>
      </c>
      <c r="CH216" s="1" t="str">
        <f aca="false">IF(OR(NOT(AND(ISNUMBER(E216),ISNUMBER(F216))),$J$2=""),"",IF(Reprogramaciones!Y$13&lt;Reprogramaciones!$T$15,0,IF(Reprogramaciones!Y$14&gt;10,MIN(100,SUM($G216:$P216)),MIN(100,SUMPRODUCT((COLUMN($G216:$P216)-COLUMN($G216)+1&lt;Reprogramaciones!Y$14)*$G216:$P216)+N(INDEX($G216:$P216,1,Reprogramaciones!Y$14))*IF(Reprogramaciones!Y$13&gt;=(Reprogramaciones!$T$15+7*(Reprogramaciones!Y$14-1))+6,1,IF(MAX(0,NETWORKDAYS.INTL(MAX(E216,(Reprogramaciones!$T$15+7*(Reprogramaciones!Y$14-1))),MIN(F216,(Reprogramaciones!$T$15+7*(Reprogramaciones!Y$14-1))+6),11))=0,0,MAX(0,NETWORKDAYS.INTL(MAX(E216,(Reprogramaciones!$T$15+7*(Reprogramaciones!Y$14-1))),MIN(F216,Reprogramaciones!Y$13),11))/MAX(0,NETWORKDAYS.INTL(MAX(E216,(Reprogramaciones!$T$15+7*(Reprogramaciones!Y$14-1))),MIN(F216,(Reprogramaciones!$T$15+7*(Reprogramaciones!Y$14-1))+6),11))))))))</f>
        <v/>
      </c>
      <c r="CI216" s="1" t="str">
        <f aca="false">IF(OR(NOT(AND(ISNUMBER(E216),ISNUMBER(F216))),$J$2=""),"",IF(Reprogramaciones!Z$13&lt;Reprogramaciones!$T$15,0,IF(Reprogramaciones!Z$14&gt;10,MIN(100,SUM($G216:$P216)),MIN(100,SUMPRODUCT((COLUMN($G216:$P216)-COLUMN($G216)+1&lt;Reprogramaciones!Z$14)*$G216:$P216)+N(INDEX($G216:$P216,1,Reprogramaciones!Z$14))*IF(Reprogramaciones!Z$13&gt;=(Reprogramaciones!$T$15+7*(Reprogramaciones!Z$14-1))+6,1,IF(MAX(0,NETWORKDAYS.INTL(MAX(E216,(Reprogramaciones!$T$15+7*(Reprogramaciones!Z$14-1))),MIN(F216,(Reprogramaciones!$T$15+7*(Reprogramaciones!Z$14-1))+6),11))=0,0,MAX(0,NETWORKDAYS.INTL(MAX(E216,(Reprogramaciones!$T$15+7*(Reprogramaciones!Z$14-1))),MIN(F216,Reprogramaciones!Z$13),11))/MAX(0,NETWORKDAYS.INTL(MAX(E216,(Reprogramaciones!$T$15+7*(Reprogramaciones!Z$14-1))),MIN(F216,(Reprogramaciones!$T$15+7*(Reprogramaciones!Z$14-1))+6),11))))))))</f>
        <v/>
      </c>
      <c r="CJ216" s="1" t="str">
        <f aca="false">IF(OR(OR(NOT(AND(ISNUMBER(E216),ISNUMBER(F216))),$J$2=""),1&gt;Reprogramaciones!$K$16),"",IF(ROUND(SUM($Q216:Q216),1)&gt;=99.5,100,MIN(100,ROUND(SUM($Q216:Q216),1))))</f>
        <v/>
      </c>
      <c r="CK216" s="1" t="str">
        <f aca="false">IF(OR(OR(NOT(AND(ISNUMBER(E216),ISNUMBER(F216))),$J$2=""),2&gt;Reprogramaciones!$K$16),"",IF(ROUND(SUM($Q216:R216),1)&gt;=99.5,100,MIN(100,ROUND(SUM($Q216:R216),1))))</f>
        <v/>
      </c>
      <c r="CL216" s="1" t="str">
        <f aca="false">IF(OR(OR(NOT(AND(ISNUMBER(E216),ISNUMBER(F216))),$J$2=""),3&gt;Reprogramaciones!$K$16),"",IF(ROUND(SUM($Q216:S216),1)&gt;=99.5,100,MIN(100,ROUND(SUM($Q216:S216),1))))</f>
        <v/>
      </c>
      <c r="CM216" s="1" t="str">
        <f aca="false">IF(OR(OR(NOT(AND(ISNUMBER(E216),ISNUMBER(F216))),$J$2=""),4&gt;Reprogramaciones!$K$16),"",IF(ROUND(SUM($Q216:T216),1)&gt;=99.5,100,MIN(100,ROUND(SUM($Q216:T216),1))))</f>
        <v/>
      </c>
      <c r="CN216" s="1" t="str">
        <f aca="false">IF(OR(OR(NOT(AND(ISNUMBER(E216),ISNUMBER(F216))),$J$2=""),5&gt;Reprogramaciones!$K$16),"",IF(ROUND(SUM($Q216:U216),1)&gt;=99.5,100,MIN(100,ROUND(SUM($Q216:U216),1))))</f>
        <v/>
      </c>
      <c r="CO216" s="1" t="str">
        <f aca="false">IF(OR(OR(NOT(AND(ISNUMBER(E216),ISNUMBER(F216))),$J$2=""),6&gt;Reprogramaciones!$K$16),"",IF(ROUND(SUM($Q216:V216),1)&gt;=99.5,100,MIN(100,ROUND(SUM($Q216:V216),1))))</f>
        <v/>
      </c>
      <c r="CP216" s="1" t="str">
        <f aca="false">IF(OR(OR(NOT(AND(ISNUMBER(E216),ISNUMBER(F216))),$J$2=""),7&gt;Reprogramaciones!$K$16),"",IF(ROUND(SUM($Q216:W216),1)&gt;=99.5,100,MIN(100,ROUND(SUM($Q216:W216),1))))</f>
        <v/>
      </c>
      <c r="CQ216" s="1" t="str">
        <f aca="false">IF(OR(OR(NOT(AND(ISNUMBER(E216),ISNUMBER(F216))),$J$2=""),8&gt;Reprogramaciones!$K$16),"",IF(ROUND(SUM($Q216:X216),1)&gt;=99.5,100,MIN(100,ROUND(SUM($Q216:X216),1))))</f>
        <v/>
      </c>
      <c r="CR216" s="1" t="str">
        <f aca="false">IF(OR(OR(NOT(AND(ISNUMBER(E216),ISNUMBER(F216))),$J$2=""),9&gt;Reprogramaciones!$K$16),"",IF(ROUND(SUM($Q216:Y216),1)&gt;=99.5,100,MIN(100,ROUND(SUM($Q216:Y216),1))))</f>
        <v/>
      </c>
      <c r="CS216" s="1" t="str">
        <f aca="false">IF(OR(OR(NOT(AND(ISNUMBER(E216),ISNUMBER(F216))),$J$2=""),10&gt;Reprogramaciones!$K$16),"",IF(ROUND(SUM($Q216:Z216),1)&gt;=99.5,100,MIN(100,ROUND(SUM($Q216:Z216),1))))</f>
        <v/>
      </c>
      <c r="CT216" s="1" t="str">
        <f aca="false">IF(OR(OR(NOT(AND(ISNUMBER(E216),ISNUMBER(F216))),$J$2=""),11&gt;Reprogramaciones!$K$16),"",IF(ROUND(SUM($Q216:AA216),1)&gt;=99.5,100,MIN(100,ROUND(SUM($Q216:AA216),1))))</f>
        <v/>
      </c>
      <c r="CU216" s="1" t="str">
        <f aca="false">IF(OR(OR(NOT(AND(ISNUMBER(E216),ISNUMBER(F216))),$J$2=""),12&gt;Reprogramaciones!$K$16),"",IF(ROUND(SUM($Q216:AB216),1)&gt;=99.5,100,MIN(100,ROUND(SUM($Q216:AB216),1))))</f>
        <v/>
      </c>
      <c r="CV216" s="1" t="str">
        <f aca="false">IF(OR(OR(NOT(AND(ISNUMBER(E216),ISNUMBER(F216))),$J$2=""),13&gt;Reprogramaciones!$K$16),"",IF(ROUND(SUM($Q216:AC216),1)&gt;=99.5,100,MIN(100,ROUND(SUM($Q216:AC216),1))))</f>
        <v/>
      </c>
      <c r="CW216" s="1" t="str">
        <f aca="false">IF(OR(OR(NOT(AND(ISNUMBER(E216),ISNUMBER(F216))),$J$2=""),14&gt;Reprogramaciones!$K$16),"",IF(ROUND(SUM($Q216:AD216),1)&gt;=99.5,100,MIN(100,ROUND(SUM($Q216:AD216),1))))</f>
        <v/>
      </c>
      <c r="CX216" s="1" t="str">
        <f aca="false">IF(OR(OR(NOT(AND(ISNUMBER(E216),ISNUMBER(F216))),$J$2=""),15&gt;Reprogramaciones!$K$16),"",IF(ROUND(SUM($Q216:AE216),1)&gt;=99.5,100,MIN(100,ROUND(SUM($Q216:AE216),1))))</f>
        <v/>
      </c>
      <c r="CY216" s="1" t="str">
        <f aca="false">IF(OR(OR(NOT(AND(ISNUMBER(E216),ISNUMBER(F216))),$J$2=""),16&gt;Reprogramaciones!$K$16),"",IF(ROUND(SUM($Q216:AF216),1)&gt;=99.5,100,MIN(100,ROUND(SUM($Q216:AF216),1))))</f>
        <v/>
      </c>
      <c r="CZ216" s="1" t="str">
        <f aca="false">IF(D216&lt;&gt;"",D216,IF(B216&lt;&gt;"","Contractual",CZ215))</f>
        <v>Contractual</v>
      </c>
      <c r="DA216" s="1" t="str">
        <f aca="false">IF(OR(NOT(AND(ISNUMBER(E216),ISNUMBER(F216))),$J$2=""),"",IF(Reprogramaciones!$Q$15&lt;Reprogramaciones!$T$15,0,IF(Reprogramaciones!$S$15&gt;10,MIN(100,SUM($G216:$P216)),MIN(100,SUMPRODUCT((COLUMN($G216:$P216)-COLUMN($G216)+1&lt;Reprogramaciones!$S$15)*$G216:$P216)+N(INDEX($G216:$P216,1,Reprogramaciones!$S$15))*IF(Reprogramaciones!$Q$15&gt;=(Reprogramaciones!$T$15+7*(Reprogramaciones!$S$15-1))+6,1,IF(MAX(0,NETWORKDAYS.INTL(MAX(E216,(Reprogramaciones!$T$15+7*(Reprogramaciones!$S$15-1))),MIN(F216,(Reprogramaciones!$T$15+7*(Reprogramaciones!$S$15-1))+6),11))=0,0,MAX(0,NETWORKDAYS.INTL(MAX(E216,(Reprogramaciones!$T$15+7*(Reprogramaciones!$S$15-1))),MIN(F216,Reprogramaciones!$Q$15),11))/MAX(0,NETWORKDAYS.INTL(MAX(E216,(Reprogramaciones!$T$15+7*(Reprogramaciones!$S$15-1))),MIN(F216,(Reprogramaciones!$T$15+7*(Reprogramaciones!$S$15-1))+6),11))))))))</f>
        <v/>
      </c>
    </row>
    <row r="217" customFormat="false" ht="15" hidden="false" customHeight="false" outlineLevel="0" collapsed="false">
      <c r="A217" s="32"/>
      <c r="B217" s="33"/>
      <c r="C217" s="33"/>
      <c r="D217" s="34"/>
      <c r="E217" s="35"/>
      <c r="F217" s="35"/>
      <c r="G217" s="36" t="str">
        <f aca="false">IF(OR(NOT(AND(ISNUMBER(E217),ISNUMBER(F217))),$J$2=""),"",IF(Reprogramaciones!K$9&lt;E217,0,IF(NETWORKDAYS.INTL(E217,F217,11)=0,IF(Reprogramaciones!K$9&gt;=F217,100,0),ROUND(NETWORKDAYS.INTL(E217,MIN(F217,Reprogramaciones!K$9),11)/NETWORKDAYS.INTL(E217,F217,11)*100,1)))-0)</f>
        <v/>
      </c>
      <c r="H217" s="36" t="str">
        <f aca="false">IF(OR(NOT(AND(ISNUMBER(E217),ISNUMBER(F217))),$J$2=""),"",IF(Reprogramaciones!L$9&lt;E217,0,IF(NETWORKDAYS.INTL(E217,F217,11)=0,IF(Reprogramaciones!L$9&gt;=F217,100,0),ROUND(NETWORKDAYS.INTL(E217,MIN(F217,Reprogramaciones!L$9),11)/NETWORKDAYS.INTL(E217,F217,11)*100,1)))-IF(Reprogramaciones!K$9&lt;E217,0,IF(NETWORKDAYS.INTL(E217,F217,11)=0,IF(Reprogramaciones!K$9&gt;=F217,100,0),ROUND(NETWORKDAYS.INTL(E217,MIN(F217,Reprogramaciones!K$9),11)/NETWORKDAYS.INTL(E217,F217,11)*100,1))))</f>
        <v/>
      </c>
      <c r="I217" s="36" t="str">
        <f aca="false">IF(OR(NOT(AND(ISNUMBER(E217),ISNUMBER(F217))),$J$2=""),"",IF(Reprogramaciones!M$9&lt;E217,0,IF(NETWORKDAYS.INTL(E217,F217,11)=0,IF(Reprogramaciones!M$9&gt;=F217,100,0),ROUND(NETWORKDAYS.INTL(E217,MIN(F217,Reprogramaciones!M$9),11)/NETWORKDAYS.INTL(E217,F217,11)*100,1)))-IF(Reprogramaciones!L$9&lt;E217,0,IF(NETWORKDAYS.INTL(E217,F217,11)=0,IF(Reprogramaciones!L$9&gt;=F217,100,0),ROUND(NETWORKDAYS.INTL(E217,MIN(F217,Reprogramaciones!L$9),11)/NETWORKDAYS.INTL(E217,F217,11)*100,1))))</f>
        <v/>
      </c>
      <c r="J217" s="36" t="str">
        <f aca="false">IF(OR(NOT(AND(ISNUMBER(E217),ISNUMBER(F217))),$J$2=""),"",IF(Reprogramaciones!N$9&lt;E217,0,IF(NETWORKDAYS.INTL(E217,F217,11)=0,IF(Reprogramaciones!N$9&gt;=F217,100,0),ROUND(NETWORKDAYS.INTL(E217,MIN(F217,Reprogramaciones!N$9),11)/NETWORKDAYS.INTL(E217,F217,11)*100,1)))-IF(Reprogramaciones!M$9&lt;E217,0,IF(NETWORKDAYS.INTL(E217,F217,11)=0,IF(Reprogramaciones!M$9&gt;=F217,100,0),ROUND(NETWORKDAYS.INTL(E217,MIN(F217,Reprogramaciones!M$9),11)/NETWORKDAYS.INTL(E217,F217,11)*100,1))))</f>
        <v/>
      </c>
      <c r="K217" s="36" t="str">
        <f aca="false">IF(OR(NOT(AND(ISNUMBER(E217),ISNUMBER(F217))),$J$2=""),"",IF(Reprogramaciones!O$9&lt;E217,0,IF(NETWORKDAYS.INTL(E217,F217,11)=0,IF(Reprogramaciones!O$9&gt;=F217,100,0),ROUND(NETWORKDAYS.INTL(E217,MIN(F217,Reprogramaciones!O$9),11)/NETWORKDAYS.INTL(E217,F217,11)*100,1)))-IF(Reprogramaciones!N$9&lt;E217,0,IF(NETWORKDAYS.INTL(E217,F217,11)=0,IF(Reprogramaciones!N$9&gt;=F217,100,0),ROUND(NETWORKDAYS.INTL(E217,MIN(F217,Reprogramaciones!N$9),11)/NETWORKDAYS.INTL(E217,F217,11)*100,1))))</f>
        <v/>
      </c>
      <c r="L217" s="36" t="str">
        <f aca="false">IF(OR(NOT(AND(ISNUMBER(E217),ISNUMBER(F217))),$J$2=""),"",IF(Reprogramaciones!P$9&lt;E217,0,IF(NETWORKDAYS.INTL(E217,F217,11)=0,IF(Reprogramaciones!P$9&gt;=F217,100,0),ROUND(NETWORKDAYS.INTL(E217,MIN(F217,Reprogramaciones!P$9),11)/NETWORKDAYS.INTL(E217,F217,11)*100,1)))-IF(Reprogramaciones!O$9&lt;E217,0,IF(NETWORKDAYS.INTL(E217,F217,11)=0,IF(Reprogramaciones!O$9&gt;=F217,100,0),ROUND(NETWORKDAYS.INTL(E217,MIN(F217,Reprogramaciones!O$9),11)/NETWORKDAYS.INTL(E217,F217,11)*100,1))))</f>
        <v/>
      </c>
      <c r="M217" s="36" t="str">
        <f aca="false">IF(OR(NOT(AND(ISNUMBER(E217),ISNUMBER(F217))),$J$2=""),"",IF(Reprogramaciones!Q$9&lt;E217,0,IF(NETWORKDAYS.INTL(E217,F217,11)=0,IF(Reprogramaciones!Q$9&gt;=F217,100,0),ROUND(NETWORKDAYS.INTL(E217,MIN(F217,Reprogramaciones!Q$9),11)/NETWORKDAYS.INTL(E217,F217,11)*100,1)))-IF(Reprogramaciones!P$9&lt;E217,0,IF(NETWORKDAYS.INTL(E217,F217,11)=0,IF(Reprogramaciones!P$9&gt;=F217,100,0),ROUND(NETWORKDAYS.INTL(E217,MIN(F217,Reprogramaciones!P$9),11)/NETWORKDAYS.INTL(E217,F217,11)*100,1))))</f>
        <v/>
      </c>
      <c r="N217" s="36" t="str">
        <f aca="false">IF(OR(NOT(AND(ISNUMBER(E217),ISNUMBER(F217))),$J$2=""),"",IF(Reprogramaciones!R$9&lt;E217,0,IF(NETWORKDAYS.INTL(E217,F217,11)=0,IF(Reprogramaciones!R$9&gt;=F217,100,0),ROUND(NETWORKDAYS.INTL(E217,MIN(F217,Reprogramaciones!R$9),11)/NETWORKDAYS.INTL(E217,F217,11)*100,1)))-IF(Reprogramaciones!Q$9&lt;E217,0,IF(NETWORKDAYS.INTL(E217,F217,11)=0,IF(Reprogramaciones!Q$9&gt;=F217,100,0),ROUND(NETWORKDAYS.INTL(E217,MIN(F217,Reprogramaciones!Q$9),11)/NETWORKDAYS.INTL(E217,F217,11)*100,1))))</f>
        <v/>
      </c>
      <c r="O217" s="36" t="str">
        <f aca="false">IF(OR(NOT(AND(ISNUMBER(E217),ISNUMBER(F217))),$J$2=""),"",IF(Reprogramaciones!S$9&lt;E217,0,IF(NETWORKDAYS.INTL(E217,F217,11)=0,IF(Reprogramaciones!S$9&gt;=F217,100,0),ROUND(NETWORKDAYS.INTL(E217,MIN(F217,Reprogramaciones!S$9),11)/NETWORKDAYS.INTL(E217,F217,11)*100,1)))-IF(Reprogramaciones!R$9&lt;E217,0,IF(NETWORKDAYS.INTL(E217,F217,11)=0,IF(Reprogramaciones!R$9&gt;=F217,100,0),ROUND(NETWORKDAYS.INTL(E217,MIN(F217,Reprogramaciones!R$9),11)/NETWORKDAYS.INTL(E217,F217,11)*100,1))))</f>
        <v/>
      </c>
      <c r="P217" s="36" t="str">
        <f aca="false">IF(OR(NOT(AND(ISNUMBER(E217),ISNUMBER(F217))),$J$2=""),"",IF(Reprogramaciones!T$9&lt;E217,0,IF(NETWORKDAYS.INTL(E217,F217,11)=0,IF(Reprogramaciones!T$9&gt;=F217,100,0),ROUND(NETWORKDAYS.INTL(E217,MIN(F217,Reprogramaciones!T$9),11)/NETWORKDAYS.INTL(E217,F217,11)*100,1)))-IF(Reprogramaciones!S$9&lt;E217,0,IF(NETWORKDAYS.INTL(E217,F217,11)=0,IF(Reprogramaciones!S$9&gt;=F217,100,0),ROUND(NETWORKDAYS.INTL(E217,MIN(F217,Reprogramaciones!S$9),11)/NETWORKDAYS.INTL(E217,F217,11)*100,1))))</f>
        <v/>
      </c>
      <c r="Q217" s="37"/>
      <c r="R217" s="37"/>
      <c r="S217" s="37"/>
      <c r="T217" s="37"/>
      <c r="U217" s="37"/>
      <c r="V217" s="37"/>
      <c r="W217" s="37"/>
      <c r="X217" s="37"/>
      <c r="Y217" s="37"/>
      <c r="Z217" s="37"/>
      <c r="AA217" s="37"/>
      <c r="AB217" s="37"/>
      <c r="AC217" s="37"/>
      <c r="AD217" s="37"/>
      <c r="AE217" s="37"/>
      <c r="AF217" s="37"/>
      <c r="AG217" s="38" t="str">
        <f aca="false">IF(AND(ISNUMBER(E217),ISNUMBER(F217)),NETWORKDAYS.INTL(E217,F217,11),"")</f>
        <v/>
      </c>
      <c r="AH217" s="38" t="str">
        <f aca="false">IF(OR(NOT(AND(ISNUMBER(E217),ISNUMBER(F217))),$J$2=""),"",IF(Reprogramaciones!$P$15&lt;Reprogramaciones!$T$15,0,IF(Reprogramaciones!$R$15&gt;10,MIN(100,SUM($G217:$P217)),MIN(100,SUMPRODUCT((COLUMN($G217:$P217)-COLUMN($G217)+1&lt;Reprogramaciones!$R$15)*$G217:$P217)+N(INDEX($G217:$P217,1,Reprogramaciones!$R$15))*IF(Reprogramaciones!$P$15&gt;=(Reprogramaciones!$T$15+7*(Reprogramaciones!$R$15-1))+6,1,IF(MAX(0,NETWORKDAYS.INTL(MAX(E217,(Reprogramaciones!$T$15+7*(Reprogramaciones!$R$15-1))),MIN(F217,(Reprogramaciones!$T$15+7*(Reprogramaciones!$R$15-1))+6),11))=0,0,MAX(0,NETWORKDAYS.INTL(MAX(E217,(Reprogramaciones!$T$15+7*(Reprogramaciones!$R$15-1))),MIN(F217,Reprogramaciones!$P$15),11))/MAX(0,NETWORKDAYS.INTL(MAX(E217,(Reprogramaciones!$T$15+7*(Reprogramaciones!$R$15-1))),MIN(F217,(Reprogramaciones!$T$15+7*(Reprogramaciones!$R$15-1))+6),11))))))))</f>
        <v/>
      </c>
      <c r="AI217" s="38" t="str">
        <f aca="false">IF(COUNT($Q217:$AF217)=0,"",IF(ROUND(SUM($Q217:$AF217),1)&gt;=99.5,100,MIN(100,ROUND(SUM($Q217:$AF217),1))))</f>
        <v/>
      </c>
      <c r="AJ217" s="38" t="str">
        <f aca="false">IF(OR(AH217="",AI217=""),"",AI217-AH217)</f>
        <v/>
      </c>
      <c r="AK217" s="39" t="str">
        <f aca="true">IF(AH217="","",IF(OR(Ficha!$C$10="Suspendida",Ficha!$C$10="Cancelada"),Ficha!$C$10,IF(AND(AI217&lt;&gt;"",N(AI217)&gt;=100),"Completada",IF(AND(E217&gt;TODAY(),N(AI217)=0),"Por iniciar",IF(N(AI217)+0.5&lt;AH217,"Retrasada",IF(N(AI217)+0.5&lt;DA217,IF(Reprogramaciones!$K$15&gt;0,"Al día · Sem "&amp;Reprogramaciones!$K$15&amp;" en curso","Al día · en curso"),"A tiempo"))))))</f>
        <v/>
      </c>
      <c r="AL217" s="39" t="str">
        <f aca="true">IF(AND(A217="",AND(B217="",C217="",E217="",F217="",COUNT(Q217:AF217)=0)),"",IF(AND(B217="",C217="",E217="",F217="",COUNT(Q217:AF217)=0),"Falta la partida o subpartida",IF(AND(A217&lt;&gt;"",COUNTIF($A$6:$A$305,A217)&gt;1),"Ítem repetido",IF(AND(C217="",E217="",F217="",COUNT(Q217:AF217)=0),"Título de partida",IF(OR(E217="",F217=""),"Faltan fechas",IF(OR(ISTEXT(E217),ISTEXT(F217)),"Fecha escrita como texto: usa dd/mm/aaaa",IF(F217&lt;E217,"Fin antes del inicio",IF(IF($J$2="",FALSE(),OR(E217&lt;$J$2,F217&gt;Reprogramaciones!$T$15+69)),"Fuera de las 10 semanas",IF(ABS(SUM(G217:P217)-100)&gt;0.5,"La meta no suma 100%",IF(ROUND(SUM(Q217:AF217),1)&gt;100.5,"El avance pasa de 100%",IF(MIN(Q217:AF217)&lt;0,"Avance negativo",IF(COUNTA(Q217:AF217)&gt;COUNT(Q217:AF217),"Avance escrito como texto",IF(SUMPRODUCT((Q217:AF217&gt;0)*(Q217:AF217&lt;1))&gt;0,"Avance menor a 1: escribe 50, no 50%",IF(SUMPRODUCT(ISNUMBER(Q217:AF217)*(Reprogramaciones!$K$8:$Z$8&gt;TODAY()))&gt;0,"Avance en semana que aún no llega",IF(AND(N(Reprogramaciones!$E$21)&gt;0,F217&gt;Reprogramaciones!$E$21),"Pasa el fin de la obra: registra una reprogramación",IF(AND(N(Reprogramaciones!$E$21)&gt;0,SUMPRODUCT(ISNUMBER(Q217:AF217)*(Reprogramaciones!$K$8:$Z$8&gt;Reprogramaciones!$E$21))&gt;0),"Avance después del fin de la obra: registra una reprogramación por atraso","OK"))))))))))))))))</f>
        <v/>
      </c>
      <c r="AM217" s="40" t="str">
        <f aca="false">IF(OR(OR(NOT(AND(ISNUMBER(E217),ISNUMBER(F217))),$J$2=""),1&gt;MAX(1,Reprogramaciones!$U$15)),"",IF(Reprogramaciones!K$12&gt;=7,"",IF(OR(BT217-N(0)&gt;0.05,N(Q217)&gt;0),ROUNDDOWN(ROUND(BT217,6),0)&amp;"%"&amp;IF(CJ217="",""," / "&amp;CJ217&amp;"%"),IF(AND(N(0)&gt;=99.95,CJ217&lt;&gt;"",N(CJ217)&lt;100),"Pend. "&amp;CJ217&amp;"%",""))))</f>
        <v/>
      </c>
      <c r="AN217" s="40" t="str">
        <f aca="false">IF(OR(OR(NOT(AND(ISNUMBER(E217),ISNUMBER(F217))),$J$2=""),2&gt;MAX(1,Reprogramaciones!$U$15)),"",IF(Reprogramaciones!L$12&gt;=7,"",IF(OR(BU217-N(BT217)&gt;0.05,N(R217)&gt;0),ROUNDDOWN(ROUND(BU217,6),0)&amp;"%"&amp;IF(CK217="",""," / "&amp;CK217&amp;"%"),IF(AND(N(BT217)&gt;=99.95,CK217&lt;&gt;"",N(CK217)&lt;100),"Pend. "&amp;CK217&amp;"%",""))))</f>
        <v/>
      </c>
      <c r="AO217" s="40" t="str">
        <f aca="false">IF(OR(OR(NOT(AND(ISNUMBER(E217),ISNUMBER(F217))),$J$2=""),3&gt;MAX(1,Reprogramaciones!$U$15)),"",IF(Reprogramaciones!M$12&gt;=7,"",IF(OR(BV217-N(BU217)&gt;0.05,N(S217)&gt;0),ROUNDDOWN(ROUND(BV217,6),0)&amp;"%"&amp;IF(CL217="",""," / "&amp;CL217&amp;"%"),IF(AND(N(BU217)&gt;=99.95,CL217&lt;&gt;"",N(CL217)&lt;100),"Pend. "&amp;CL217&amp;"%",""))))</f>
        <v/>
      </c>
      <c r="AP217" s="40" t="str">
        <f aca="false">IF(OR(OR(NOT(AND(ISNUMBER(E217),ISNUMBER(F217))),$J$2=""),4&gt;MAX(1,Reprogramaciones!$U$15)),"",IF(Reprogramaciones!N$12&gt;=7,"",IF(OR(BW217-N(BV217)&gt;0.05,N(T217)&gt;0),ROUNDDOWN(ROUND(BW217,6),0)&amp;"%"&amp;IF(CM217="",""," / "&amp;CM217&amp;"%"),IF(AND(N(BV217)&gt;=99.95,CM217&lt;&gt;"",N(CM217)&lt;100),"Pend. "&amp;CM217&amp;"%",""))))</f>
        <v/>
      </c>
      <c r="AQ217" s="40" t="str">
        <f aca="false">IF(OR(OR(NOT(AND(ISNUMBER(E217),ISNUMBER(F217))),$J$2=""),5&gt;MAX(1,Reprogramaciones!$U$15)),"",IF(Reprogramaciones!O$12&gt;=7,"",IF(OR(BX217-N(BW217)&gt;0.05,N(U217)&gt;0),ROUNDDOWN(ROUND(BX217,6),0)&amp;"%"&amp;IF(CN217="",""," / "&amp;CN217&amp;"%"),IF(AND(N(BW217)&gt;=99.95,CN217&lt;&gt;"",N(CN217)&lt;100),"Pend. "&amp;CN217&amp;"%",""))))</f>
        <v/>
      </c>
      <c r="AR217" s="40" t="str">
        <f aca="false">IF(OR(OR(NOT(AND(ISNUMBER(E217),ISNUMBER(F217))),$J$2=""),6&gt;MAX(1,Reprogramaciones!$U$15)),"",IF(Reprogramaciones!P$12&gt;=7,"",IF(OR(BY217-N(BX217)&gt;0.05,N(V217)&gt;0),ROUNDDOWN(ROUND(BY217,6),0)&amp;"%"&amp;IF(CO217="",""," / "&amp;CO217&amp;"%"),IF(AND(N(BX217)&gt;=99.95,CO217&lt;&gt;"",N(CO217)&lt;100),"Pend. "&amp;CO217&amp;"%",""))))</f>
        <v/>
      </c>
      <c r="AS217" s="40" t="str">
        <f aca="false">IF(OR(OR(NOT(AND(ISNUMBER(E217),ISNUMBER(F217))),$J$2=""),7&gt;MAX(1,Reprogramaciones!$U$15)),"",IF(Reprogramaciones!Q$12&gt;=7,"",IF(OR(BZ217-N(BY217)&gt;0.05,N(W217)&gt;0),ROUNDDOWN(ROUND(BZ217,6),0)&amp;"%"&amp;IF(CP217="",""," / "&amp;CP217&amp;"%"),IF(AND(N(BY217)&gt;=99.95,CP217&lt;&gt;"",N(CP217)&lt;100),"Pend. "&amp;CP217&amp;"%",""))))</f>
        <v/>
      </c>
      <c r="AT217" s="40" t="str">
        <f aca="false">IF(OR(OR(NOT(AND(ISNUMBER(E217),ISNUMBER(F217))),$J$2=""),8&gt;MAX(1,Reprogramaciones!$U$15)),"",IF(Reprogramaciones!R$12&gt;=7,"",IF(OR(CA217-N(BZ217)&gt;0.05,N(X217)&gt;0),ROUNDDOWN(ROUND(CA217,6),0)&amp;"%"&amp;IF(CQ217="",""," / "&amp;CQ217&amp;"%"),IF(AND(N(BZ217)&gt;=99.95,CQ217&lt;&gt;"",N(CQ217)&lt;100),"Pend. "&amp;CQ217&amp;"%",""))))</f>
        <v/>
      </c>
      <c r="AU217" s="40" t="str">
        <f aca="false">IF(OR(OR(NOT(AND(ISNUMBER(E217),ISNUMBER(F217))),$J$2=""),9&gt;MAX(1,Reprogramaciones!$U$15)),"",IF(Reprogramaciones!S$12&gt;=7,"",IF(OR(CB217-N(CA217)&gt;0.05,N(Y217)&gt;0),ROUNDDOWN(ROUND(CB217,6),0)&amp;"%"&amp;IF(CR217="",""," / "&amp;CR217&amp;"%"),IF(AND(N(CA217)&gt;=99.95,CR217&lt;&gt;"",N(CR217)&lt;100),"Pend. "&amp;CR217&amp;"%",""))))</f>
        <v/>
      </c>
      <c r="AV217" s="40" t="str">
        <f aca="false">IF(OR(OR(NOT(AND(ISNUMBER(E217),ISNUMBER(F217))),$J$2=""),10&gt;MAX(1,Reprogramaciones!$U$15)),"",IF(Reprogramaciones!T$12&gt;=7,"",IF(OR(CC217-N(CB217)&gt;0.05,N(Z217)&gt;0),ROUNDDOWN(ROUND(CC217,6),0)&amp;"%"&amp;IF(CS217="",""," / "&amp;CS217&amp;"%"),IF(AND(N(CB217)&gt;=99.95,CS217&lt;&gt;"",N(CS217)&lt;100),"Pend. "&amp;CS217&amp;"%",""))))</f>
        <v/>
      </c>
      <c r="AW217" s="40" t="str">
        <f aca="false">IF(OR(OR(NOT(AND(ISNUMBER(E217),ISNUMBER(F217))),$J$2=""),11&gt;MAX(1,Reprogramaciones!$U$15)),"",IF(Reprogramaciones!U$12&gt;=7,"",IF(OR(CD217-N(CC217)&gt;0.05,N(AA217)&gt;0),ROUNDDOWN(ROUND(CD217,6),0)&amp;"%"&amp;IF(CT217="",""," / "&amp;CT217&amp;"%"),IF(AND(N(CC217)&gt;=99.95,CT217&lt;&gt;"",N(CT217)&lt;100),"Pend. "&amp;CT217&amp;"%",""))))</f>
        <v/>
      </c>
      <c r="AX217" s="40" t="str">
        <f aca="false">IF(OR(OR(NOT(AND(ISNUMBER(E217),ISNUMBER(F217))),$J$2=""),12&gt;MAX(1,Reprogramaciones!$U$15)),"",IF(Reprogramaciones!V$12&gt;=7,"",IF(OR(CE217-N(CD217)&gt;0.05,N(AB217)&gt;0),ROUNDDOWN(ROUND(CE217,6),0)&amp;"%"&amp;IF(CU217="",""," / "&amp;CU217&amp;"%"),IF(AND(N(CD217)&gt;=99.95,CU217&lt;&gt;"",N(CU217)&lt;100),"Pend. "&amp;CU217&amp;"%",""))))</f>
        <v/>
      </c>
      <c r="AY217" s="40" t="str">
        <f aca="false">IF(OR(OR(NOT(AND(ISNUMBER(E217),ISNUMBER(F217))),$J$2=""),13&gt;MAX(1,Reprogramaciones!$U$15)),"",IF(Reprogramaciones!W$12&gt;=7,"",IF(OR(CF217-N(CE217)&gt;0.05,N(AC217)&gt;0),ROUNDDOWN(ROUND(CF217,6),0)&amp;"%"&amp;IF(CV217="",""," / "&amp;CV217&amp;"%"),IF(AND(N(CE217)&gt;=99.95,CV217&lt;&gt;"",N(CV217)&lt;100),"Pend. "&amp;CV217&amp;"%",""))))</f>
        <v/>
      </c>
      <c r="AZ217" s="40" t="str">
        <f aca="false">IF(OR(OR(NOT(AND(ISNUMBER(E217),ISNUMBER(F217))),$J$2=""),14&gt;MAX(1,Reprogramaciones!$U$15)),"",IF(Reprogramaciones!X$12&gt;=7,"",IF(OR(CG217-N(CF217)&gt;0.05,N(AD217)&gt;0),ROUNDDOWN(ROUND(CG217,6),0)&amp;"%"&amp;IF(CW217="",""," / "&amp;CW217&amp;"%"),IF(AND(N(CF217)&gt;=99.95,CW217&lt;&gt;"",N(CW217)&lt;100),"Pend. "&amp;CW217&amp;"%",""))))</f>
        <v/>
      </c>
      <c r="BA217" s="40" t="str">
        <f aca="false">IF(OR(OR(NOT(AND(ISNUMBER(E217),ISNUMBER(F217))),$J$2=""),15&gt;MAX(1,Reprogramaciones!$U$15)),"",IF(Reprogramaciones!Y$12&gt;=7,"",IF(OR(CH217-N(CG217)&gt;0.05,N(AE217)&gt;0),ROUNDDOWN(ROUND(CH217,6),0)&amp;"%"&amp;IF(CX217="",""," / "&amp;CX217&amp;"%"),IF(AND(N(CG217)&gt;=99.95,CX217&lt;&gt;"",N(CX217)&lt;100),"Pend. "&amp;CX217&amp;"%",""))))</f>
        <v/>
      </c>
      <c r="BB217" s="40" t="str">
        <f aca="false">IF(OR(OR(NOT(AND(ISNUMBER(E217),ISNUMBER(F217))),$J$2=""),16&gt;MAX(1,Reprogramaciones!$U$15)),"",IF(Reprogramaciones!Z$12&gt;=7,"",IF(OR(CI217-N(CH217)&gt;0.05,N(AF217)&gt;0),ROUNDDOWN(ROUND(CI217,6),0)&amp;"%"&amp;IF(CY217="",""," / "&amp;CY217&amp;"%"),IF(AND(N(CH217)&gt;=99.95,CY217&lt;&gt;"",N(CY217)&lt;100),"Pend. "&amp;CY217&amp;"%",""))))</f>
        <v/>
      </c>
      <c r="BC217" s="31" t="n">
        <f aca="false">IF(AND(ISNUMBER(E217),ISNUMBER(F217)),MAX(1,NETWORKDAYS.INTL(E217,F217,11)),0)</f>
        <v>0</v>
      </c>
      <c r="BD217" s="1" t="str">
        <f aca="false">IF(OR(NOT(AND(ISNUMBER(E217),ISNUMBER(F217))),$J$2=""),"",MIN(100,ROUND(SUM($G217:G217),1)))</f>
        <v/>
      </c>
      <c r="BE217" s="1" t="str">
        <f aca="false">IF(OR(NOT(AND(ISNUMBER(E217),ISNUMBER(F217))),$J$2=""),"",MIN(100,ROUND(SUM($G217:H217),1)))</f>
        <v/>
      </c>
      <c r="BF217" s="1" t="str">
        <f aca="false">IF(OR(NOT(AND(ISNUMBER(E217),ISNUMBER(F217))),$J$2=""),"",MIN(100,ROUND(SUM($G217:I217),1)))</f>
        <v/>
      </c>
      <c r="BG217" s="1" t="str">
        <f aca="false">IF(OR(NOT(AND(ISNUMBER(E217),ISNUMBER(F217))),$J$2=""),"",MIN(100,ROUND(SUM($G217:J217),1)))</f>
        <v/>
      </c>
      <c r="BH217" s="1" t="str">
        <f aca="false">IF(OR(NOT(AND(ISNUMBER(E217),ISNUMBER(F217))),$J$2=""),"",MIN(100,ROUND(SUM($G217:K217),1)))</f>
        <v/>
      </c>
      <c r="BI217" s="1" t="str">
        <f aca="false">IF(OR(NOT(AND(ISNUMBER(E217),ISNUMBER(F217))),$J$2=""),"",MIN(100,ROUND(SUM($G217:L217),1)))</f>
        <v/>
      </c>
      <c r="BJ217" s="1" t="str">
        <f aca="false">IF(OR(NOT(AND(ISNUMBER(E217),ISNUMBER(F217))),$J$2=""),"",MIN(100,ROUND(SUM($G217:M217),1)))</f>
        <v/>
      </c>
      <c r="BK217" s="1" t="str">
        <f aca="false">IF(OR(NOT(AND(ISNUMBER(E217),ISNUMBER(F217))),$J$2=""),"",MIN(100,ROUND(SUM($G217:N217),1)))</f>
        <v/>
      </c>
      <c r="BL217" s="1" t="str">
        <f aca="false">IF(OR(NOT(AND(ISNUMBER(E217),ISNUMBER(F217))),$J$2=""),"",MIN(100,ROUND(SUM($G217:O217),1)))</f>
        <v/>
      </c>
      <c r="BM217" s="1" t="str">
        <f aca="false">IF(OR(NOT(AND(ISNUMBER(E217),ISNUMBER(F217))),$J$2=""),"",MIN(100,ROUND(SUM($G217:P217),1)))</f>
        <v/>
      </c>
      <c r="BN217" s="1" t="str">
        <f aca="false">IF(OR(NOT(AND(ISNUMBER(E217),ISNUMBER(F217))),$J$2=""),"",MIN(100,ROUND(SUM($G217:P217),1)))</f>
        <v/>
      </c>
      <c r="BO217" s="1" t="str">
        <f aca="false">IF(OR(NOT(AND(ISNUMBER(E217),ISNUMBER(F217))),$J$2=""),"",MIN(100,ROUND(SUM($G217:P217),1)))</f>
        <v/>
      </c>
      <c r="BP217" s="1" t="str">
        <f aca="false">IF(OR(NOT(AND(ISNUMBER(E217),ISNUMBER(F217))),$J$2=""),"",MIN(100,ROUND(SUM($G217:P217),1)))</f>
        <v/>
      </c>
      <c r="BQ217" s="1" t="str">
        <f aca="false">IF(OR(NOT(AND(ISNUMBER(E217),ISNUMBER(F217))),$J$2=""),"",MIN(100,ROUND(SUM($G217:P217),1)))</f>
        <v/>
      </c>
      <c r="BR217" s="1" t="str">
        <f aca="false">IF(OR(NOT(AND(ISNUMBER(E217),ISNUMBER(F217))),$J$2=""),"",MIN(100,ROUND(SUM($G217:P217),1)))</f>
        <v/>
      </c>
      <c r="BS217" s="1" t="str">
        <f aca="false">IF(OR(NOT(AND(ISNUMBER(E217),ISNUMBER(F217))),$J$2=""),"",MIN(100,ROUND(SUM($G217:P217),1)))</f>
        <v/>
      </c>
      <c r="BT217" s="1" t="str">
        <f aca="false">IF(OR(NOT(AND(ISNUMBER(E217),ISNUMBER(F217))),$J$2=""),"",IF(Reprogramaciones!K$13&lt;Reprogramaciones!$T$15,0,IF(Reprogramaciones!K$14&gt;10,MIN(100,SUM($G217:$P217)),MIN(100,SUMPRODUCT((COLUMN($G217:$P217)-COLUMN($G217)+1&lt;Reprogramaciones!K$14)*$G217:$P217)+N(INDEX($G217:$P217,1,Reprogramaciones!K$14))*IF(Reprogramaciones!K$13&gt;=(Reprogramaciones!$T$15+7*(Reprogramaciones!K$14-1))+6,1,IF(MAX(0,NETWORKDAYS.INTL(MAX(E217,(Reprogramaciones!$T$15+7*(Reprogramaciones!K$14-1))),MIN(F217,(Reprogramaciones!$T$15+7*(Reprogramaciones!K$14-1))+6),11))=0,0,MAX(0,NETWORKDAYS.INTL(MAX(E217,(Reprogramaciones!$T$15+7*(Reprogramaciones!K$14-1))),MIN(F217,Reprogramaciones!K$13),11))/MAX(0,NETWORKDAYS.INTL(MAX(E217,(Reprogramaciones!$T$15+7*(Reprogramaciones!K$14-1))),MIN(F217,(Reprogramaciones!$T$15+7*(Reprogramaciones!K$14-1))+6),11))))))))</f>
        <v/>
      </c>
      <c r="BU217" s="1" t="str">
        <f aca="false">IF(OR(NOT(AND(ISNUMBER(E217),ISNUMBER(F217))),$J$2=""),"",IF(Reprogramaciones!L$13&lt;Reprogramaciones!$T$15,0,IF(Reprogramaciones!L$14&gt;10,MIN(100,SUM($G217:$P217)),MIN(100,SUMPRODUCT((COLUMN($G217:$P217)-COLUMN($G217)+1&lt;Reprogramaciones!L$14)*$G217:$P217)+N(INDEX($G217:$P217,1,Reprogramaciones!L$14))*IF(Reprogramaciones!L$13&gt;=(Reprogramaciones!$T$15+7*(Reprogramaciones!L$14-1))+6,1,IF(MAX(0,NETWORKDAYS.INTL(MAX(E217,(Reprogramaciones!$T$15+7*(Reprogramaciones!L$14-1))),MIN(F217,(Reprogramaciones!$T$15+7*(Reprogramaciones!L$14-1))+6),11))=0,0,MAX(0,NETWORKDAYS.INTL(MAX(E217,(Reprogramaciones!$T$15+7*(Reprogramaciones!L$14-1))),MIN(F217,Reprogramaciones!L$13),11))/MAX(0,NETWORKDAYS.INTL(MAX(E217,(Reprogramaciones!$T$15+7*(Reprogramaciones!L$14-1))),MIN(F217,(Reprogramaciones!$T$15+7*(Reprogramaciones!L$14-1))+6),11))))))))</f>
        <v/>
      </c>
      <c r="BV217" s="1" t="str">
        <f aca="false">IF(OR(NOT(AND(ISNUMBER(E217),ISNUMBER(F217))),$J$2=""),"",IF(Reprogramaciones!M$13&lt;Reprogramaciones!$T$15,0,IF(Reprogramaciones!M$14&gt;10,MIN(100,SUM($G217:$P217)),MIN(100,SUMPRODUCT((COLUMN($G217:$P217)-COLUMN($G217)+1&lt;Reprogramaciones!M$14)*$G217:$P217)+N(INDEX($G217:$P217,1,Reprogramaciones!M$14))*IF(Reprogramaciones!M$13&gt;=(Reprogramaciones!$T$15+7*(Reprogramaciones!M$14-1))+6,1,IF(MAX(0,NETWORKDAYS.INTL(MAX(E217,(Reprogramaciones!$T$15+7*(Reprogramaciones!M$14-1))),MIN(F217,(Reprogramaciones!$T$15+7*(Reprogramaciones!M$14-1))+6),11))=0,0,MAX(0,NETWORKDAYS.INTL(MAX(E217,(Reprogramaciones!$T$15+7*(Reprogramaciones!M$14-1))),MIN(F217,Reprogramaciones!M$13),11))/MAX(0,NETWORKDAYS.INTL(MAX(E217,(Reprogramaciones!$T$15+7*(Reprogramaciones!M$14-1))),MIN(F217,(Reprogramaciones!$T$15+7*(Reprogramaciones!M$14-1))+6),11))))))))</f>
        <v/>
      </c>
      <c r="BW217" s="1" t="str">
        <f aca="false">IF(OR(NOT(AND(ISNUMBER(E217),ISNUMBER(F217))),$J$2=""),"",IF(Reprogramaciones!N$13&lt;Reprogramaciones!$T$15,0,IF(Reprogramaciones!N$14&gt;10,MIN(100,SUM($G217:$P217)),MIN(100,SUMPRODUCT((COLUMN($G217:$P217)-COLUMN($G217)+1&lt;Reprogramaciones!N$14)*$G217:$P217)+N(INDEX($G217:$P217,1,Reprogramaciones!N$14))*IF(Reprogramaciones!N$13&gt;=(Reprogramaciones!$T$15+7*(Reprogramaciones!N$14-1))+6,1,IF(MAX(0,NETWORKDAYS.INTL(MAX(E217,(Reprogramaciones!$T$15+7*(Reprogramaciones!N$14-1))),MIN(F217,(Reprogramaciones!$T$15+7*(Reprogramaciones!N$14-1))+6),11))=0,0,MAX(0,NETWORKDAYS.INTL(MAX(E217,(Reprogramaciones!$T$15+7*(Reprogramaciones!N$14-1))),MIN(F217,Reprogramaciones!N$13),11))/MAX(0,NETWORKDAYS.INTL(MAX(E217,(Reprogramaciones!$T$15+7*(Reprogramaciones!N$14-1))),MIN(F217,(Reprogramaciones!$T$15+7*(Reprogramaciones!N$14-1))+6),11))))))))</f>
        <v/>
      </c>
      <c r="BX217" s="1" t="str">
        <f aca="false">IF(OR(NOT(AND(ISNUMBER(E217),ISNUMBER(F217))),$J$2=""),"",IF(Reprogramaciones!O$13&lt;Reprogramaciones!$T$15,0,IF(Reprogramaciones!O$14&gt;10,MIN(100,SUM($G217:$P217)),MIN(100,SUMPRODUCT((COLUMN($G217:$P217)-COLUMN($G217)+1&lt;Reprogramaciones!O$14)*$G217:$P217)+N(INDEX($G217:$P217,1,Reprogramaciones!O$14))*IF(Reprogramaciones!O$13&gt;=(Reprogramaciones!$T$15+7*(Reprogramaciones!O$14-1))+6,1,IF(MAX(0,NETWORKDAYS.INTL(MAX(E217,(Reprogramaciones!$T$15+7*(Reprogramaciones!O$14-1))),MIN(F217,(Reprogramaciones!$T$15+7*(Reprogramaciones!O$14-1))+6),11))=0,0,MAX(0,NETWORKDAYS.INTL(MAX(E217,(Reprogramaciones!$T$15+7*(Reprogramaciones!O$14-1))),MIN(F217,Reprogramaciones!O$13),11))/MAX(0,NETWORKDAYS.INTL(MAX(E217,(Reprogramaciones!$T$15+7*(Reprogramaciones!O$14-1))),MIN(F217,(Reprogramaciones!$T$15+7*(Reprogramaciones!O$14-1))+6),11))))))))</f>
        <v/>
      </c>
      <c r="BY217" s="1" t="str">
        <f aca="false">IF(OR(NOT(AND(ISNUMBER(E217),ISNUMBER(F217))),$J$2=""),"",IF(Reprogramaciones!P$13&lt;Reprogramaciones!$T$15,0,IF(Reprogramaciones!P$14&gt;10,MIN(100,SUM($G217:$P217)),MIN(100,SUMPRODUCT((COLUMN($G217:$P217)-COLUMN($G217)+1&lt;Reprogramaciones!P$14)*$G217:$P217)+N(INDEX($G217:$P217,1,Reprogramaciones!P$14))*IF(Reprogramaciones!P$13&gt;=(Reprogramaciones!$T$15+7*(Reprogramaciones!P$14-1))+6,1,IF(MAX(0,NETWORKDAYS.INTL(MAX(E217,(Reprogramaciones!$T$15+7*(Reprogramaciones!P$14-1))),MIN(F217,(Reprogramaciones!$T$15+7*(Reprogramaciones!P$14-1))+6),11))=0,0,MAX(0,NETWORKDAYS.INTL(MAX(E217,(Reprogramaciones!$T$15+7*(Reprogramaciones!P$14-1))),MIN(F217,Reprogramaciones!P$13),11))/MAX(0,NETWORKDAYS.INTL(MAX(E217,(Reprogramaciones!$T$15+7*(Reprogramaciones!P$14-1))),MIN(F217,(Reprogramaciones!$T$15+7*(Reprogramaciones!P$14-1))+6),11))))))))</f>
        <v/>
      </c>
      <c r="BZ217" s="1" t="str">
        <f aca="false">IF(OR(NOT(AND(ISNUMBER(E217),ISNUMBER(F217))),$J$2=""),"",IF(Reprogramaciones!Q$13&lt;Reprogramaciones!$T$15,0,IF(Reprogramaciones!Q$14&gt;10,MIN(100,SUM($G217:$P217)),MIN(100,SUMPRODUCT((COLUMN($G217:$P217)-COLUMN($G217)+1&lt;Reprogramaciones!Q$14)*$G217:$P217)+N(INDEX($G217:$P217,1,Reprogramaciones!Q$14))*IF(Reprogramaciones!Q$13&gt;=(Reprogramaciones!$T$15+7*(Reprogramaciones!Q$14-1))+6,1,IF(MAX(0,NETWORKDAYS.INTL(MAX(E217,(Reprogramaciones!$T$15+7*(Reprogramaciones!Q$14-1))),MIN(F217,(Reprogramaciones!$T$15+7*(Reprogramaciones!Q$14-1))+6),11))=0,0,MAX(0,NETWORKDAYS.INTL(MAX(E217,(Reprogramaciones!$T$15+7*(Reprogramaciones!Q$14-1))),MIN(F217,Reprogramaciones!Q$13),11))/MAX(0,NETWORKDAYS.INTL(MAX(E217,(Reprogramaciones!$T$15+7*(Reprogramaciones!Q$14-1))),MIN(F217,(Reprogramaciones!$T$15+7*(Reprogramaciones!Q$14-1))+6),11))))))))</f>
        <v/>
      </c>
      <c r="CA217" s="1" t="str">
        <f aca="false">IF(OR(NOT(AND(ISNUMBER(E217),ISNUMBER(F217))),$J$2=""),"",IF(Reprogramaciones!R$13&lt;Reprogramaciones!$T$15,0,IF(Reprogramaciones!R$14&gt;10,MIN(100,SUM($G217:$P217)),MIN(100,SUMPRODUCT((COLUMN($G217:$P217)-COLUMN($G217)+1&lt;Reprogramaciones!R$14)*$G217:$P217)+N(INDEX($G217:$P217,1,Reprogramaciones!R$14))*IF(Reprogramaciones!R$13&gt;=(Reprogramaciones!$T$15+7*(Reprogramaciones!R$14-1))+6,1,IF(MAX(0,NETWORKDAYS.INTL(MAX(E217,(Reprogramaciones!$T$15+7*(Reprogramaciones!R$14-1))),MIN(F217,(Reprogramaciones!$T$15+7*(Reprogramaciones!R$14-1))+6),11))=0,0,MAX(0,NETWORKDAYS.INTL(MAX(E217,(Reprogramaciones!$T$15+7*(Reprogramaciones!R$14-1))),MIN(F217,Reprogramaciones!R$13),11))/MAX(0,NETWORKDAYS.INTL(MAX(E217,(Reprogramaciones!$T$15+7*(Reprogramaciones!R$14-1))),MIN(F217,(Reprogramaciones!$T$15+7*(Reprogramaciones!R$14-1))+6),11))))))))</f>
        <v/>
      </c>
      <c r="CB217" s="1" t="str">
        <f aca="false">IF(OR(NOT(AND(ISNUMBER(E217),ISNUMBER(F217))),$J$2=""),"",IF(Reprogramaciones!S$13&lt;Reprogramaciones!$T$15,0,IF(Reprogramaciones!S$14&gt;10,MIN(100,SUM($G217:$P217)),MIN(100,SUMPRODUCT((COLUMN($G217:$P217)-COLUMN($G217)+1&lt;Reprogramaciones!S$14)*$G217:$P217)+N(INDEX($G217:$P217,1,Reprogramaciones!S$14))*IF(Reprogramaciones!S$13&gt;=(Reprogramaciones!$T$15+7*(Reprogramaciones!S$14-1))+6,1,IF(MAX(0,NETWORKDAYS.INTL(MAX(E217,(Reprogramaciones!$T$15+7*(Reprogramaciones!S$14-1))),MIN(F217,(Reprogramaciones!$T$15+7*(Reprogramaciones!S$14-1))+6),11))=0,0,MAX(0,NETWORKDAYS.INTL(MAX(E217,(Reprogramaciones!$T$15+7*(Reprogramaciones!S$14-1))),MIN(F217,Reprogramaciones!S$13),11))/MAX(0,NETWORKDAYS.INTL(MAX(E217,(Reprogramaciones!$T$15+7*(Reprogramaciones!S$14-1))),MIN(F217,(Reprogramaciones!$T$15+7*(Reprogramaciones!S$14-1))+6),11))))))))</f>
        <v/>
      </c>
      <c r="CC217" s="1" t="str">
        <f aca="false">IF(OR(NOT(AND(ISNUMBER(E217),ISNUMBER(F217))),$J$2=""),"",IF(Reprogramaciones!T$13&lt;Reprogramaciones!$T$15,0,IF(Reprogramaciones!T$14&gt;10,MIN(100,SUM($G217:$P217)),MIN(100,SUMPRODUCT((COLUMN($G217:$P217)-COLUMN($G217)+1&lt;Reprogramaciones!T$14)*$G217:$P217)+N(INDEX($G217:$P217,1,Reprogramaciones!T$14))*IF(Reprogramaciones!T$13&gt;=(Reprogramaciones!$T$15+7*(Reprogramaciones!T$14-1))+6,1,IF(MAX(0,NETWORKDAYS.INTL(MAX(E217,(Reprogramaciones!$T$15+7*(Reprogramaciones!T$14-1))),MIN(F217,(Reprogramaciones!$T$15+7*(Reprogramaciones!T$14-1))+6),11))=0,0,MAX(0,NETWORKDAYS.INTL(MAX(E217,(Reprogramaciones!$T$15+7*(Reprogramaciones!T$14-1))),MIN(F217,Reprogramaciones!T$13),11))/MAX(0,NETWORKDAYS.INTL(MAX(E217,(Reprogramaciones!$T$15+7*(Reprogramaciones!T$14-1))),MIN(F217,(Reprogramaciones!$T$15+7*(Reprogramaciones!T$14-1))+6),11))))))))</f>
        <v/>
      </c>
      <c r="CD217" s="1" t="str">
        <f aca="false">IF(OR(NOT(AND(ISNUMBER(E217),ISNUMBER(F217))),$J$2=""),"",IF(Reprogramaciones!U$13&lt;Reprogramaciones!$T$15,0,IF(Reprogramaciones!U$14&gt;10,MIN(100,SUM($G217:$P217)),MIN(100,SUMPRODUCT((COLUMN($G217:$P217)-COLUMN($G217)+1&lt;Reprogramaciones!U$14)*$G217:$P217)+N(INDEX($G217:$P217,1,Reprogramaciones!U$14))*IF(Reprogramaciones!U$13&gt;=(Reprogramaciones!$T$15+7*(Reprogramaciones!U$14-1))+6,1,IF(MAX(0,NETWORKDAYS.INTL(MAX(E217,(Reprogramaciones!$T$15+7*(Reprogramaciones!U$14-1))),MIN(F217,(Reprogramaciones!$T$15+7*(Reprogramaciones!U$14-1))+6),11))=0,0,MAX(0,NETWORKDAYS.INTL(MAX(E217,(Reprogramaciones!$T$15+7*(Reprogramaciones!U$14-1))),MIN(F217,Reprogramaciones!U$13),11))/MAX(0,NETWORKDAYS.INTL(MAX(E217,(Reprogramaciones!$T$15+7*(Reprogramaciones!U$14-1))),MIN(F217,(Reprogramaciones!$T$15+7*(Reprogramaciones!U$14-1))+6),11))))))))</f>
        <v/>
      </c>
      <c r="CE217" s="1" t="str">
        <f aca="false">IF(OR(NOT(AND(ISNUMBER(E217),ISNUMBER(F217))),$J$2=""),"",IF(Reprogramaciones!V$13&lt;Reprogramaciones!$T$15,0,IF(Reprogramaciones!V$14&gt;10,MIN(100,SUM($G217:$P217)),MIN(100,SUMPRODUCT((COLUMN($G217:$P217)-COLUMN($G217)+1&lt;Reprogramaciones!V$14)*$G217:$P217)+N(INDEX($G217:$P217,1,Reprogramaciones!V$14))*IF(Reprogramaciones!V$13&gt;=(Reprogramaciones!$T$15+7*(Reprogramaciones!V$14-1))+6,1,IF(MAX(0,NETWORKDAYS.INTL(MAX(E217,(Reprogramaciones!$T$15+7*(Reprogramaciones!V$14-1))),MIN(F217,(Reprogramaciones!$T$15+7*(Reprogramaciones!V$14-1))+6),11))=0,0,MAX(0,NETWORKDAYS.INTL(MAX(E217,(Reprogramaciones!$T$15+7*(Reprogramaciones!V$14-1))),MIN(F217,Reprogramaciones!V$13),11))/MAX(0,NETWORKDAYS.INTL(MAX(E217,(Reprogramaciones!$T$15+7*(Reprogramaciones!V$14-1))),MIN(F217,(Reprogramaciones!$T$15+7*(Reprogramaciones!V$14-1))+6),11))))))))</f>
        <v/>
      </c>
      <c r="CF217" s="1" t="str">
        <f aca="false">IF(OR(NOT(AND(ISNUMBER(E217),ISNUMBER(F217))),$J$2=""),"",IF(Reprogramaciones!W$13&lt;Reprogramaciones!$T$15,0,IF(Reprogramaciones!W$14&gt;10,MIN(100,SUM($G217:$P217)),MIN(100,SUMPRODUCT((COLUMN($G217:$P217)-COLUMN($G217)+1&lt;Reprogramaciones!W$14)*$G217:$P217)+N(INDEX($G217:$P217,1,Reprogramaciones!W$14))*IF(Reprogramaciones!W$13&gt;=(Reprogramaciones!$T$15+7*(Reprogramaciones!W$14-1))+6,1,IF(MAX(0,NETWORKDAYS.INTL(MAX(E217,(Reprogramaciones!$T$15+7*(Reprogramaciones!W$14-1))),MIN(F217,(Reprogramaciones!$T$15+7*(Reprogramaciones!W$14-1))+6),11))=0,0,MAX(0,NETWORKDAYS.INTL(MAX(E217,(Reprogramaciones!$T$15+7*(Reprogramaciones!W$14-1))),MIN(F217,Reprogramaciones!W$13),11))/MAX(0,NETWORKDAYS.INTL(MAX(E217,(Reprogramaciones!$T$15+7*(Reprogramaciones!W$14-1))),MIN(F217,(Reprogramaciones!$T$15+7*(Reprogramaciones!W$14-1))+6),11))))))))</f>
        <v/>
      </c>
      <c r="CG217" s="1" t="str">
        <f aca="false">IF(OR(NOT(AND(ISNUMBER(E217),ISNUMBER(F217))),$J$2=""),"",IF(Reprogramaciones!X$13&lt;Reprogramaciones!$T$15,0,IF(Reprogramaciones!X$14&gt;10,MIN(100,SUM($G217:$P217)),MIN(100,SUMPRODUCT((COLUMN($G217:$P217)-COLUMN($G217)+1&lt;Reprogramaciones!X$14)*$G217:$P217)+N(INDEX($G217:$P217,1,Reprogramaciones!X$14))*IF(Reprogramaciones!X$13&gt;=(Reprogramaciones!$T$15+7*(Reprogramaciones!X$14-1))+6,1,IF(MAX(0,NETWORKDAYS.INTL(MAX(E217,(Reprogramaciones!$T$15+7*(Reprogramaciones!X$14-1))),MIN(F217,(Reprogramaciones!$T$15+7*(Reprogramaciones!X$14-1))+6),11))=0,0,MAX(0,NETWORKDAYS.INTL(MAX(E217,(Reprogramaciones!$T$15+7*(Reprogramaciones!X$14-1))),MIN(F217,Reprogramaciones!X$13),11))/MAX(0,NETWORKDAYS.INTL(MAX(E217,(Reprogramaciones!$T$15+7*(Reprogramaciones!X$14-1))),MIN(F217,(Reprogramaciones!$T$15+7*(Reprogramaciones!X$14-1))+6),11))))))))</f>
        <v/>
      </c>
      <c r="CH217" s="1" t="str">
        <f aca="false">IF(OR(NOT(AND(ISNUMBER(E217),ISNUMBER(F217))),$J$2=""),"",IF(Reprogramaciones!Y$13&lt;Reprogramaciones!$T$15,0,IF(Reprogramaciones!Y$14&gt;10,MIN(100,SUM($G217:$P217)),MIN(100,SUMPRODUCT((COLUMN($G217:$P217)-COLUMN($G217)+1&lt;Reprogramaciones!Y$14)*$G217:$P217)+N(INDEX($G217:$P217,1,Reprogramaciones!Y$14))*IF(Reprogramaciones!Y$13&gt;=(Reprogramaciones!$T$15+7*(Reprogramaciones!Y$14-1))+6,1,IF(MAX(0,NETWORKDAYS.INTL(MAX(E217,(Reprogramaciones!$T$15+7*(Reprogramaciones!Y$14-1))),MIN(F217,(Reprogramaciones!$T$15+7*(Reprogramaciones!Y$14-1))+6),11))=0,0,MAX(0,NETWORKDAYS.INTL(MAX(E217,(Reprogramaciones!$T$15+7*(Reprogramaciones!Y$14-1))),MIN(F217,Reprogramaciones!Y$13),11))/MAX(0,NETWORKDAYS.INTL(MAX(E217,(Reprogramaciones!$T$15+7*(Reprogramaciones!Y$14-1))),MIN(F217,(Reprogramaciones!$T$15+7*(Reprogramaciones!Y$14-1))+6),11))))))))</f>
        <v/>
      </c>
      <c r="CI217" s="1" t="str">
        <f aca="false">IF(OR(NOT(AND(ISNUMBER(E217),ISNUMBER(F217))),$J$2=""),"",IF(Reprogramaciones!Z$13&lt;Reprogramaciones!$T$15,0,IF(Reprogramaciones!Z$14&gt;10,MIN(100,SUM($G217:$P217)),MIN(100,SUMPRODUCT((COLUMN($G217:$P217)-COLUMN($G217)+1&lt;Reprogramaciones!Z$14)*$G217:$P217)+N(INDEX($G217:$P217,1,Reprogramaciones!Z$14))*IF(Reprogramaciones!Z$13&gt;=(Reprogramaciones!$T$15+7*(Reprogramaciones!Z$14-1))+6,1,IF(MAX(0,NETWORKDAYS.INTL(MAX(E217,(Reprogramaciones!$T$15+7*(Reprogramaciones!Z$14-1))),MIN(F217,(Reprogramaciones!$T$15+7*(Reprogramaciones!Z$14-1))+6),11))=0,0,MAX(0,NETWORKDAYS.INTL(MAX(E217,(Reprogramaciones!$T$15+7*(Reprogramaciones!Z$14-1))),MIN(F217,Reprogramaciones!Z$13),11))/MAX(0,NETWORKDAYS.INTL(MAX(E217,(Reprogramaciones!$T$15+7*(Reprogramaciones!Z$14-1))),MIN(F217,(Reprogramaciones!$T$15+7*(Reprogramaciones!Z$14-1))+6),11))))))))</f>
        <v/>
      </c>
      <c r="CJ217" s="1" t="str">
        <f aca="false">IF(OR(OR(NOT(AND(ISNUMBER(E217),ISNUMBER(F217))),$J$2=""),1&gt;Reprogramaciones!$K$16),"",IF(ROUND(SUM($Q217:Q217),1)&gt;=99.5,100,MIN(100,ROUND(SUM($Q217:Q217),1))))</f>
        <v/>
      </c>
      <c r="CK217" s="1" t="str">
        <f aca="false">IF(OR(OR(NOT(AND(ISNUMBER(E217),ISNUMBER(F217))),$J$2=""),2&gt;Reprogramaciones!$K$16),"",IF(ROUND(SUM($Q217:R217),1)&gt;=99.5,100,MIN(100,ROUND(SUM($Q217:R217),1))))</f>
        <v/>
      </c>
      <c r="CL217" s="1" t="str">
        <f aca="false">IF(OR(OR(NOT(AND(ISNUMBER(E217),ISNUMBER(F217))),$J$2=""),3&gt;Reprogramaciones!$K$16),"",IF(ROUND(SUM($Q217:S217),1)&gt;=99.5,100,MIN(100,ROUND(SUM($Q217:S217),1))))</f>
        <v/>
      </c>
      <c r="CM217" s="1" t="str">
        <f aca="false">IF(OR(OR(NOT(AND(ISNUMBER(E217),ISNUMBER(F217))),$J$2=""),4&gt;Reprogramaciones!$K$16),"",IF(ROUND(SUM($Q217:T217),1)&gt;=99.5,100,MIN(100,ROUND(SUM($Q217:T217),1))))</f>
        <v/>
      </c>
      <c r="CN217" s="1" t="str">
        <f aca="false">IF(OR(OR(NOT(AND(ISNUMBER(E217),ISNUMBER(F217))),$J$2=""),5&gt;Reprogramaciones!$K$16),"",IF(ROUND(SUM($Q217:U217),1)&gt;=99.5,100,MIN(100,ROUND(SUM($Q217:U217),1))))</f>
        <v/>
      </c>
      <c r="CO217" s="1" t="str">
        <f aca="false">IF(OR(OR(NOT(AND(ISNUMBER(E217),ISNUMBER(F217))),$J$2=""),6&gt;Reprogramaciones!$K$16),"",IF(ROUND(SUM($Q217:V217),1)&gt;=99.5,100,MIN(100,ROUND(SUM($Q217:V217),1))))</f>
        <v/>
      </c>
      <c r="CP217" s="1" t="str">
        <f aca="false">IF(OR(OR(NOT(AND(ISNUMBER(E217),ISNUMBER(F217))),$J$2=""),7&gt;Reprogramaciones!$K$16),"",IF(ROUND(SUM($Q217:W217),1)&gt;=99.5,100,MIN(100,ROUND(SUM($Q217:W217),1))))</f>
        <v/>
      </c>
      <c r="CQ217" s="1" t="str">
        <f aca="false">IF(OR(OR(NOT(AND(ISNUMBER(E217),ISNUMBER(F217))),$J$2=""),8&gt;Reprogramaciones!$K$16),"",IF(ROUND(SUM($Q217:X217),1)&gt;=99.5,100,MIN(100,ROUND(SUM($Q217:X217),1))))</f>
        <v/>
      </c>
      <c r="CR217" s="1" t="str">
        <f aca="false">IF(OR(OR(NOT(AND(ISNUMBER(E217),ISNUMBER(F217))),$J$2=""),9&gt;Reprogramaciones!$K$16),"",IF(ROUND(SUM($Q217:Y217),1)&gt;=99.5,100,MIN(100,ROUND(SUM($Q217:Y217),1))))</f>
        <v/>
      </c>
      <c r="CS217" s="1" t="str">
        <f aca="false">IF(OR(OR(NOT(AND(ISNUMBER(E217),ISNUMBER(F217))),$J$2=""),10&gt;Reprogramaciones!$K$16),"",IF(ROUND(SUM($Q217:Z217),1)&gt;=99.5,100,MIN(100,ROUND(SUM($Q217:Z217),1))))</f>
        <v/>
      </c>
      <c r="CT217" s="1" t="str">
        <f aca="false">IF(OR(OR(NOT(AND(ISNUMBER(E217),ISNUMBER(F217))),$J$2=""),11&gt;Reprogramaciones!$K$16),"",IF(ROUND(SUM($Q217:AA217),1)&gt;=99.5,100,MIN(100,ROUND(SUM($Q217:AA217),1))))</f>
        <v/>
      </c>
      <c r="CU217" s="1" t="str">
        <f aca="false">IF(OR(OR(NOT(AND(ISNUMBER(E217),ISNUMBER(F217))),$J$2=""),12&gt;Reprogramaciones!$K$16),"",IF(ROUND(SUM($Q217:AB217),1)&gt;=99.5,100,MIN(100,ROUND(SUM($Q217:AB217),1))))</f>
        <v/>
      </c>
      <c r="CV217" s="1" t="str">
        <f aca="false">IF(OR(OR(NOT(AND(ISNUMBER(E217),ISNUMBER(F217))),$J$2=""),13&gt;Reprogramaciones!$K$16),"",IF(ROUND(SUM($Q217:AC217),1)&gt;=99.5,100,MIN(100,ROUND(SUM($Q217:AC217),1))))</f>
        <v/>
      </c>
      <c r="CW217" s="1" t="str">
        <f aca="false">IF(OR(OR(NOT(AND(ISNUMBER(E217),ISNUMBER(F217))),$J$2=""),14&gt;Reprogramaciones!$K$16),"",IF(ROUND(SUM($Q217:AD217),1)&gt;=99.5,100,MIN(100,ROUND(SUM($Q217:AD217),1))))</f>
        <v/>
      </c>
      <c r="CX217" s="1" t="str">
        <f aca="false">IF(OR(OR(NOT(AND(ISNUMBER(E217),ISNUMBER(F217))),$J$2=""),15&gt;Reprogramaciones!$K$16),"",IF(ROUND(SUM($Q217:AE217),1)&gt;=99.5,100,MIN(100,ROUND(SUM($Q217:AE217),1))))</f>
        <v/>
      </c>
      <c r="CY217" s="1" t="str">
        <f aca="false">IF(OR(OR(NOT(AND(ISNUMBER(E217),ISNUMBER(F217))),$J$2=""),16&gt;Reprogramaciones!$K$16),"",IF(ROUND(SUM($Q217:AF217),1)&gt;=99.5,100,MIN(100,ROUND(SUM($Q217:AF217),1))))</f>
        <v/>
      </c>
      <c r="CZ217" s="1" t="str">
        <f aca="false">IF(D217&lt;&gt;"",D217,IF(B217&lt;&gt;"","Contractual",CZ216))</f>
        <v>Contractual</v>
      </c>
      <c r="DA217" s="1" t="str">
        <f aca="false">IF(OR(NOT(AND(ISNUMBER(E217),ISNUMBER(F217))),$J$2=""),"",IF(Reprogramaciones!$Q$15&lt;Reprogramaciones!$T$15,0,IF(Reprogramaciones!$S$15&gt;10,MIN(100,SUM($G217:$P217)),MIN(100,SUMPRODUCT((COLUMN($G217:$P217)-COLUMN($G217)+1&lt;Reprogramaciones!$S$15)*$G217:$P217)+N(INDEX($G217:$P217,1,Reprogramaciones!$S$15))*IF(Reprogramaciones!$Q$15&gt;=(Reprogramaciones!$T$15+7*(Reprogramaciones!$S$15-1))+6,1,IF(MAX(0,NETWORKDAYS.INTL(MAX(E217,(Reprogramaciones!$T$15+7*(Reprogramaciones!$S$15-1))),MIN(F217,(Reprogramaciones!$T$15+7*(Reprogramaciones!$S$15-1))+6),11))=0,0,MAX(0,NETWORKDAYS.INTL(MAX(E217,(Reprogramaciones!$T$15+7*(Reprogramaciones!$S$15-1))),MIN(F217,Reprogramaciones!$Q$15),11))/MAX(0,NETWORKDAYS.INTL(MAX(E217,(Reprogramaciones!$T$15+7*(Reprogramaciones!$S$15-1))),MIN(F217,(Reprogramaciones!$T$15+7*(Reprogramaciones!$S$15-1))+6),11))))))))</f>
        <v/>
      </c>
    </row>
    <row r="218" customFormat="false" ht="15" hidden="false" customHeight="false" outlineLevel="0" collapsed="false">
      <c r="A218" s="32"/>
      <c r="B218" s="33"/>
      <c r="C218" s="33"/>
      <c r="D218" s="34"/>
      <c r="E218" s="35"/>
      <c r="F218" s="35"/>
      <c r="G218" s="36" t="str">
        <f aca="false">IF(OR(NOT(AND(ISNUMBER(E218),ISNUMBER(F218))),$J$2=""),"",IF(Reprogramaciones!K$9&lt;E218,0,IF(NETWORKDAYS.INTL(E218,F218,11)=0,IF(Reprogramaciones!K$9&gt;=F218,100,0),ROUND(NETWORKDAYS.INTL(E218,MIN(F218,Reprogramaciones!K$9),11)/NETWORKDAYS.INTL(E218,F218,11)*100,1)))-0)</f>
        <v/>
      </c>
      <c r="H218" s="36" t="str">
        <f aca="false">IF(OR(NOT(AND(ISNUMBER(E218),ISNUMBER(F218))),$J$2=""),"",IF(Reprogramaciones!L$9&lt;E218,0,IF(NETWORKDAYS.INTL(E218,F218,11)=0,IF(Reprogramaciones!L$9&gt;=F218,100,0),ROUND(NETWORKDAYS.INTL(E218,MIN(F218,Reprogramaciones!L$9),11)/NETWORKDAYS.INTL(E218,F218,11)*100,1)))-IF(Reprogramaciones!K$9&lt;E218,0,IF(NETWORKDAYS.INTL(E218,F218,11)=0,IF(Reprogramaciones!K$9&gt;=F218,100,0),ROUND(NETWORKDAYS.INTL(E218,MIN(F218,Reprogramaciones!K$9),11)/NETWORKDAYS.INTL(E218,F218,11)*100,1))))</f>
        <v/>
      </c>
      <c r="I218" s="36" t="str">
        <f aca="false">IF(OR(NOT(AND(ISNUMBER(E218),ISNUMBER(F218))),$J$2=""),"",IF(Reprogramaciones!M$9&lt;E218,0,IF(NETWORKDAYS.INTL(E218,F218,11)=0,IF(Reprogramaciones!M$9&gt;=F218,100,0),ROUND(NETWORKDAYS.INTL(E218,MIN(F218,Reprogramaciones!M$9),11)/NETWORKDAYS.INTL(E218,F218,11)*100,1)))-IF(Reprogramaciones!L$9&lt;E218,0,IF(NETWORKDAYS.INTL(E218,F218,11)=0,IF(Reprogramaciones!L$9&gt;=F218,100,0),ROUND(NETWORKDAYS.INTL(E218,MIN(F218,Reprogramaciones!L$9),11)/NETWORKDAYS.INTL(E218,F218,11)*100,1))))</f>
        <v/>
      </c>
      <c r="J218" s="36" t="str">
        <f aca="false">IF(OR(NOT(AND(ISNUMBER(E218),ISNUMBER(F218))),$J$2=""),"",IF(Reprogramaciones!N$9&lt;E218,0,IF(NETWORKDAYS.INTL(E218,F218,11)=0,IF(Reprogramaciones!N$9&gt;=F218,100,0),ROUND(NETWORKDAYS.INTL(E218,MIN(F218,Reprogramaciones!N$9),11)/NETWORKDAYS.INTL(E218,F218,11)*100,1)))-IF(Reprogramaciones!M$9&lt;E218,0,IF(NETWORKDAYS.INTL(E218,F218,11)=0,IF(Reprogramaciones!M$9&gt;=F218,100,0),ROUND(NETWORKDAYS.INTL(E218,MIN(F218,Reprogramaciones!M$9),11)/NETWORKDAYS.INTL(E218,F218,11)*100,1))))</f>
        <v/>
      </c>
      <c r="K218" s="36" t="str">
        <f aca="false">IF(OR(NOT(AND(ISNUMBER(E218),ISNUMBER(F218))),$J$2=""),"",IF(Reprogramaciones!O$9&lt;E218,0,IF(NETWORKDAYS.INTL(E218,F218,11)=0,IF(Reprogramaciones!O$9&gt;=F218,100,0),ROUND(NETWORKDAYS.INTL(E218,MIN(F218,Reprogramaciones!O$9),11)/NETWORKDAYS.INTL(E218,F218,11)*100,1)))-IF(Reprogramaciones!N$9&lt;E218,0,IF(NETWORKDAYS.INTL(E218,F218,11)=0,IF(Reprogramaciones!N$9&gt;=F218,100,0),ROUND(NETWORKDAYS.INTL(E218,MIN(F218,Reprogramaciones!N$9),11)/NETWORKDAYS.INTL(E218,F218,11)*100,1))))</f>
        <v/>
      </c>
      <c r="L218" s="36" t="str">
        <f aca="false">IF(OR(NOT(AND(ISNUMBER(E218),ISNUMBER(F218))),$J$2=""),"",IF(Reprogramaciones!P$9&lt;E218,0,IF(NETWORKDAYS.INTL(E218,F218,11)=0,IF(Reprogramaciones!P$9&gt;=F218,100,0),ROUND(NETWORKDAYS.INTL(E218,MIN(F218,Reprogramaciones!P$9),11)/NETWORKDAYS.INTL(E218,F218,11)*100,1)))-IF(Reprogramaciones!O$9&lt;E218,0,IF(NETWORKDAYS.INTL(E218,F218,11)=0,IF(Reprogramaciones!O$9&gt;=F218,100,0),ROUND(NETWORKDAYS.INTL(E218,MIN(F218,Reprogramaciones!O$9),11)/NETWORKDAYS.INTL(E218,F218,11)*100,1))))</f>
        <v/>
      </c>
      <c r="M218" s="36" t="str">
        <f aca="false">IF(OR(NOT(AND(ISNUMBER(E218),ISNUMBER(F218))),$J$2=""),"",IF(Reprogramaciones!Q$9&lt;E218,0,IF(NETWORKDAYS.INTL(E218,F218,11)=0,IF(Reprogramaciones!Q$9&gt;=F218,100,0),ROUND(NETWORKDAYS.INTL(E218,MIN(F218,Reprogramaciones!Q$9),11)/NETWORKDAYS.INTL(E218,F218,11)*100,1)))-IF(Reprogramaciones!P$9&lt;E218,0,IF(NETWORKDAYS.INTL(E218,F218,11)=0,IF(Reprogramaciones!P$9&gt;=F218,100,0),ROUND(NETWORKDAYS.INTL(E218,MIN(F218,Reprogramaciones!P$9),11)/NETWORKDAYS.INTL(E218,F218,11)*100,1))))</f>
        <v/>
      </c>
      <c r="N218" s="36" t="str">
        <f aca="false">IF(OR(NOT(AND(ISNUMBER(E218),ISNUMBER(F218))),$J$2=""),"",IF(Reprogramaciones!R$9&lt;E218,0,IF(NETWORKDAYS.INTL(E218,F218,11)=0,IF(Reprogramaciones!R$9&gt;=F218,100,0),ROUND(NETWORKDAYS.INTL(E218,MIN(F218,Reprogramaciones!R$9),11)/NETWORKDAYS.INTL(E218,F218,11)*100,1)))-IF(Reprogramaciones!Q$9&lt;E218,0,IF(NETWORKDAYS.INTL(E218,F218,11)=0,IF(Reprogramaciones!Q$9&gt;=F218,100,0),ROUND(NETWORKDAYS.INTL(E218,MIN(F218,Reprogramaciones!Q$9),11)/NETWORKDAYS.INTL(E218,F218,11)*100,1))))</f>
        <v/>
      </c>
      <c r="O218" s="36" t="str">
        <f aca="false">IF(OR(NOT(AND(ISNUMBER(E218),ISNUMBER(F218))),$J$2=""),"",IF(Reprogramaciones!S$9&lt;E218,0,IF(NETWORKDAYS.INTL(E218,F218,11)=0,IF(Reprogramaciones!S$9&gt;=F218,100,0),ROUND(NETWORKDAYS.INTL(E218,MIN(F218,Reprogramaciones!S$9),11)/NETWORKDAYS.INTL(E218,F218,11)*100,1)))-IF(Reprogramaciones!R$9&lt;E218,0,IF(NETWORKDAYS.INTL(E218,F218,11)=0,IF(Reprogramaciones!R$9&gt;=F218,100,0),ROUND(NETWORKDAYS.INTL(E218,MIN(F218,Reprogramaciones!R$9),11)/NETWORKDAYS.INTL(E218,F218,11)*100,1))))</f>
        <v/>
      </c>
      <c r="P218" s="36" t="str">
        <f aca="false">IF(OR(NOT(AND(ISNUMBER(E218),ISNUMBER(F218))),$J$2=""),"",IF(Reprogramaciones!T$9&lt;E218,0,IF(NETWORKDAYS.INTL(E218,F218,11)=0,IF(Reprogramaciones!T$9&gt;=F218,100,0),ROUND(NETWORKDAYS.INTL(E218,MIN(F218,Reprogramaciones!T$9),11)/NETWORKDAYS.INTL(E218,F218,11)*100,1)))-IF(Reprogramaciones!S$9&lt;E218,0,IF(NETWORKDAYS.INTL(E218,F218,11)=0,IF(Reprogramaciones!S$9&gt;=F218,100,0),ROUND(NETWORKDAYS.INTL(E218,MIN(F218,Reprogramaciones!S$9),11)/NETWORKDAYS.INTL(E218,F218,11)*100,1))))</f>
        <v/>
      </c>
      <c r="Q218" s="37"/>
      <c r="R218" s="37"/>
      <c r="S218" s="37"/>
      <c r="T218" s="37"/>
      <c r="U218" s="37"/>
      <c r="V218" s="37"/>
      <c r="W218" s="37"/>
      <c r="X218" s="37"/>
      <c r="Y218" s="37"/>
      <c r="Z218" s="37"/>
      <c r="AA218" s="37"/>
      <c r="AB218" s="37"/>
      <c r="AC218" s="37"/>
      <c r="AD218" s="37"/>
      <c r="AE218" s="37"/>
      <c r="AF218" s="37"/>
      <c r="AG218" s="38" t="str">
        <f aca="false">IF(AND(ISNUMBER(E218),ISNUMBER(F218)),NETWORKDAYS.INTL(E218,F218,11),"")</f>
        <v/>
      </c>
      <c r="AH218" s="38" t="str">
        <f aca="false">IF(OR(NOT(AND(ISNUMBER(E218),ISNUMBER(F218))),$J$2=""),"",IF(Reprogramaciones!$P$15&lt;Reprogramaciones!$T$15,0,IF(Reprogramaciones!$R$15&gt;10,MIN(100,SUM($G218:$P218)),MIN(100,SUMPRODUCT((COLUMN($G218:$P218)-COLUMN($G218)+1&lt;Reprogramaciones!$R$15)*$G218:$P218)+N(INDEX($G218:$P218,1,Reprogramaciones!$R$15))*IF(Reprogramaciones!$P$15&gt;=(Reprogramaciones!$T$15+7*(Reprogramaciones!$R$15-1))+6,1,IF(MAX(0,NETWORKDAYS.INTL(MAX(E218,(Reprogramaciones!$T$15+7*(Reprogramaciones!$R$15-1))),MIN(F218,(Reprogramaciones!$T$15+7*(Reprogramaciones!$R$15-1))+6),11))=0,0,MAX(0,NETWORKDAYS.INTL(MAX(E218,(Reprogramaciones!$T$15+7*(Reprogramaciones!$R$15-1))),MIN(F218,Reprogramaciones!$P$15),11))/MAX(0,NETWORKDAYS.INTL(MAX(E218,(Reprogramaciones!$T$15+7*(Reprogramaciones!$R$15-1))),MIN(F218,(Reprogramaciones!$T$15+7*(Reprogramaciones!$R$15-1))+6),11))))))))</f>
        <v/>
      </c>
      <c r="AI218" s="38" t="str">
        <f aca="false">IF(COUNT($Q218:$AF218)=0,"",IF(ROUND(SUM($Q218:$AF218),1)&gt;=99.5,100,MIN(100,ROUND(SUM($Q218:$AF218),1))))</f>
        <v/>
      </c>
      <c r="AJ218" s="38" t="str">
        <f aca="false">IF(OR(AH218="",AI218=""),"",AI218-AH218)</f>
        <v/>
      </c>
      <c r="AK218" s="39" t="str">
        <f aca="true">IF(AH218="","",IF(OR(Ficha!$C$10="Suspendida",Ficha!$C$10="Cancelada"),Ficha!$C$10,IF(AND(AI218&lt;&gt;"",N(AI218)&gt;=100),"Completada",IF(AND(E218&gt;TODAY(),N(AI218)=0),"Por iniciar",IF(N(AI218)+0.5&lt;AH218,"Retrasada",IF(N(AI218)+0.5&lt;DA218,IF(Reprogramaciones!$K$15&gt;0,"Al día · Sem "&amp;Reprogramaciones!$K$15&amp;" en curso","Al día · en curso"),"A tiempo"))))))</f>
        <v/>
      </c>
      <c r="AL218" s="39" t="str">
        <f aca="true">IF(AND(A218="",AND(B218="",C218="",E218="",F218="",COUNT(Q218:AF218)=0)),"",IF(AND(B218="",C218="",E218="",F218="",COUNT(Q218:AF218)=0),"Falta la partida o subpartida",IF(AND(A218&lt;&gt;"",COUNTIF($A$6:$A$305,A218)&gt;1),"Ítem repetido",IF(AND(C218="",E218="",F218="",COUNT(Q218:AF218)=0),"Título de partida",IF(OR(E218="",F218=""),"Faltan fechas",IF(OR(ISTEXT(E218),ISTEXT(F218)),"Fecha escrita como texto: usa dd/mm/aaaa",IF(F218&lt;E218,"Fin antes del inicio",IF(IF($J$2="",FALSE(),OR(E218&lt;$J$2,F218&gt;Reprogramaciones!$T$15+69)),"Fuera de las 10 semanas",IF(ABS(SUM(G218:P218)-100)&gt;0.5,"La meta no suma 100%",IF(ROUND(SUM(Q218:AF218),1)&gt;100.5,"El avance pasa de 100%",IF(MIN(Q218:AF218)&lt;0,"Avance negativo",IF(COUNTA(Q218:AF218)&gt;COUNT(Q218:AF218),"Avance escrito como texto",IF(SUMPRODUCT((Q218:AF218&gt;0)*(Q218:AF218&lt;1))&gt;0,"Avance menor a 1: escribe 50, no 50%",IF(SUMPRODUCT(ISNUMBER(Q218:AF218)*(Reprogramaciones!$K$8:$Z$8&gt;TODAY()))&gt;0,"Avance en semana que aún no llega",IF(AND(N(Reprogramaciones!$E$21)&gt;0,F218&gt;Reprogramaciones!$E$21),"Pasa el fin de la obra: registra una reprogramación",IF(AND(N(Reprogramaciones!$E$21)&gt;0,SUMPRODUCT(ISNUMBER(Q218:AF218)*(Reprogramaciones!$K$8:$Z$8&gt;Reprogramaciones!$E$21))&gt;0),"Avance después del fin de la obra: registra una reprogramación por atraso","OK"))))))))))))))))</f>
        <v/>
      </c>
      <c r="AM218" s="40" t="str">
        <f aca="false">IF(OR(OR(NOT(AND(ISNUMBER(E218),ISNUMBER(F218))),$J$2=""),1&gt;MAX(1,Reprogramaciones!$U$15)),"",IF(Reprogramaciones!K$12&gt;=7,"",IF(OR(BT218-N(0)&gt;0.05,N(Q218)&gt;0),ROUNDDOWN(ROUND(BT218,6),0)&amp;"%"&amp;IF(CJ218="",""," / "&amp;CJ218&amp;"%"),IF(AND(N(0)&gt;=99.95,CJ218&lt;&gt;"",N(CJ218)&lt;100),"Pend. "&amp;CJ218&amp;"%",""))))</f>
        <v/>
      </c>
      <c r="AN218" s="40" t="str">
        <f aca="false">IF(OR(OR(NOT(AND(ISNUMBER(E218),ISNUMBER(F218))),$J$2=""),2&gt;MAX(1,Reprogramaciones!$U$15)),"",IF(Reprogramaciones!L$12&gt;=7,"",IF(OR(BU218-N(BT218)&gt;0.05,N(R218)&gt;0),ROUNDDOWN(ROUND(BU218,6),0)&amp;"%"&amp;IF(CK218="",""," / "&amp;CK218&amp;"%"),IF(AND(N(BT218)&gt;=99.95,CK218&lt;&gt;"",N(CK218)&lt;100),"Pend. "&amp;CK218&amp;"%",""))))</f>
        <v/>
      </c>
      <c r="AO218" s="40" t="str">
        <f aca="false">IF(OR(OR(NOT(AND(ISNUMBER(E218),ISNUMBER(F218))),$J$2=""),3&gt;MAX(1,Reprogramaciones!$U$15)),"",IF(Reprogramaciones!M$12&gt;=7,"",IF(OR(BV218-N(BU218)&gt;0.05,N(S218)&gt;0),ROUNDDOWN(ROUND(BV218,6),0)&amp;"%"&amp;IF(CL218="",""," / "&amp;CL218&amp;"%"),IF(AND(N(BU218)&gt;=99.95,CL218&lt;&gt;"",N(CL218)&lt;100),"Pend. "&amp;CL218&amp;"%",""))))</f>
        <v/>
      </c>
      <c r="AP218" s="40" t="str">
        <f aca="false">IF(OR(OR(NOT(AND(ISNUMBER(E218),ISNUMBER(F218))),$J$2=""),4&gt;MAX(1,Reprogramaciones!$U$15)),"",IF(Reprogramaciones!N$12&gt;=7,"",IF(OR(BW218-N(BV218)&gt;0.05,N(T218)&gt;0),ROUNDDOWN(ROUND(BW218,6),0)&amp;"%"&amp;IF(CM218="",""," / "&amp;CM218&amp;"%"),IF(AND(N(BV218)&gt;=99.95,CM218&lt;&gt;"",N(CM218)&lt;100),"Pend. "&amp;CM218&amp;"%",""))))</f>
        <v/>
      </c>
      <c r="AQ218" s="40" t="str">
        <f aca="false">IF(OR(OR(NOT(AND(ISNUMBER(E218),ISNUMBER(F218))),$J$2=""),5&gt;MAX(1,Reprogramaciones!$U$15)),"",IF(Reprogramaciones!O$12&gt;=7,"",IF(OR(BX218-N(BW218)&gt;0.05,N(U218)&gt;0),ROUNDDOWN(ROUND(BX218,6),0)&amp;"%"&amp;IF(CN218="",""," / "&amp;CN218&amp;"%"),IF(AND(N(BW218)&gt;=99.95,CN218&lt;&gt;"",N(CN218)&lt;100),"Pend. "&amp;CN218&amp;"%",""))))</f>
        <v/>
      </c>
      <c r="AR218" s="40" t="str">
        <f aca="false">IF(OR(OR(NOT(AND(ISNUMBER(E218),ISNUMBER(F218))),$J$2=""),6&gt;MAX(1,Reprogramaciones!$U$15)),"",IF(Reprogramaciones!P$12&gt;=7,"",IF(OR(BY218-N(BX218)&gt;0.05,N(V218)&gt;0),ROUNDDOWN(ROUND(BY218,6),0)&amp;"%"&amp;IF(CO218="",""," / "&amp;CO218&amp;"%"),IF(AND(N(BX218)&gt;=99.95,CO218&lt;&gt;"",N(CO218)&lt;100),"Pend. "&amp;CO218&amp;"%",""))))</f>
        <v/>
      </c>
      <c r="AS218" s="40" t="str">
        <f aca="false">IF(OR(OR(NOT(AND(ISNUMBER(E218),ISNUMBER(F218))),$J$2=""),7&gt;MAX(1,Reprogramaciones!$U$15)),"",IF(Reprogramaciones!Q$12&gt;=7,"",IF(OR(BZ218-N(BY218)&gt;0.05,N(W218)&gt;0),ROUNDDOWN(ROUND(BZ218,6),0)&amp;"%"&amp;IF(CP218="",""," / "&amp;CP218&amp;"%"),IF(AND(N(BY218)&gt;=99.95,CP218&lt;&gt;"",N(CP218)&lt;100),"Pend. "&amp;CP218&amp;"%",""))))</f>
        <v/>
      </c>
      <c r="AT218" s="40" t="str">
        <f aca="false">IF(OR(OR(NOT(AND(ISNUMBER(E218),ISNUMBER(F218))),$J$2=""),8&gt;MAX(1,Reprogramaciones!$U$15)),"",IF(Reprogramaciones!R$12&gt;=7,"",IF(OR(CA218-N(BZ218)&gt;0.05,N(X218)&gt;0),ROUNDDOWN(ROUND(CA218,6),0)&amp;"%"&amp;IF(CQ218="",""," / "&amp;CQ218&amp;"%"),IF(AND(N(BZ218)&gt;=99.95,CQ218&lt;&gt;"",N(CQ218)&lt;100),"Pend. "&amp;CQ218&amp;"%",""))))</f>
        <v/>
      </c>
      <c r="AU218" s="40" t="str">
        <f aca="false">IF(OR(OR(NOT(AND(ISNUMBER(E218),ISNUMBER(F218))),$J$2=""),9&gt;MAX(1,Reprogramaciones!$U$15)),"",IF(Reprogramaciones!S$12&gt;=7,"",IF(OR(CB218-N(CA218)&gt;0.05,N(Y218)&gt;0),ROUNDDOWN(ROUND(CB218,6),0)&amp;"%"&amp;IF(CR218="",""," / "&amp;CR218&amp;"%"),IF(AND(N(CA218)&gt;=99.95,CR218&lt;&gt;"",N(CR218)&lt;100),"Pend. "&amp;CR218&amp;"%",""))))</f>
        <v/>
      </c>
      <c r="AV218" s="40" t="str">
        <f aca="false">IF(OR(OR(NOT(AND(ISNUMBER(E218),ISNUMBER(F218))),$J$2=""),10&gt;MAX(1,Reprogramaciones!$U$15)),"",IF(Reprogramaciones!T$12&gt;=7,"",IF(OR(CC218-N(CB218)&gt;0.05,N(Z218)&gt;0),ROUNDDOWN(ROUND(CC218,6),0)&amp;"%"&amp;IF(CS218="",""," / "&amp;CS218&amp;"%"),IF(AND(N(CB218)&gt;=99.95,CS218&lt;&gt;"",N(CS218)&lt;100),"Pend. "&amp;CS218&amp;"%",""))))</f>
        <v/>
      </c>
      <c r="AW218" s="40" t="str">
        <f aca="false">IF(OR(OR(NOT(AND(ISNUMBER(E218),ISNUMBER(F218))),$J$2=""),11&gt;MAX(1,Reprogramaciones!$U$15)),"",IF(Reprogramaciones!U$12&gt;=7,"",IF(OR(CD218-N(CC218)&gt;0.05,N(AA218)&gt;0),ROUNDDOWN(ROUND(CD218,6),0)&amp;"%"&amp;IF(CT218="",""," / "&amp;CT218&amp;"%"),IF(AND(N(CC218)&gt;=99.95,CT218&lt;&gt;"",N(CT218)&lt;100),"Pend. "&amp;CT218&amp;"%",""))))</f>
        <v/>
      </c>
      <c r="AX218" s="40" t="str">
        <f aca="false">IF(OR(OR(NOT(AND(ISNUMBER(E218),ISNUMBER(F218))),$J$2=""),12&gt;MAX(1,Reprogramaciones!$U$15)),"",IF(Reprogramaciones!V$12&gt;=7,"",IF(OR(CE218-N(CD218)&gt;0.05,N(AB218)&gt;0),ROUNDDOWN(ROUND(CE218,6),0)&amp;"%"&amp;IF(CU218="",""," / "&amp;CU218&amp;"%"),IF(AND(N(CD218)&gt;=99.95,CU218&lt;&gt;"",N(CU218)&lt;100),"Pend. "&amp;CU218&amp;"%",""))))</f>
        <v/>
      </c>
      <c r="AY218" s="40" t="str">
        <f aca="false">IF(OR(OR(NOT(AND(ISNUMBER(E218),ISNUMBER(F218))),$J$2=""),13&gt;MAX(1,Reprogramaciones!$U$15)),"",IF(Reprogramaciones!W$12&gt;=7,"",IF(OR(CF218-N(CE218)&gt;0.05,N(AC218)&gt;0),ROUNDDOWN(ROUND(CF218,6),0)&amp;"%"&amp;IF(CV218="",""," / "&amp;CV218&amp;"%"),IF(AND(N(CE218)&gt;=99.95,CV218&lt;&gt;"",N(CV218)&lt;100),"Pend. "&amp;CV218&amp;"%",""))))</f>
        <v/>
      </c>
      <c r="AZ218" s="40" t="str">
        <f aca="false">IF(OR(OR(NOT(AND(ISNUMBER(E218),ISNUMBER(F218))),$J$2=""),14&gt;MAX(1,Reprogramaciones!$U$15)),"",IF(Reprogramaciones!X$12&gt;=7,"",IF(OR(CG218-N(CF218)&gt;0.05,N(AD218)&gt;0),ROUNDDOWN(ROUND(CG218,6),0)&amp;"%"&amp;IF(CW218="",""," / "&amp;CW218&amp;"%"),IF(AND(N(CF218)&gt;=99.95,CW218&lt;&gt;"",N(CW218)&lt;100),"Pend. "&amp;CW218&amp;"%",""))))</f>
        <v/>
      </c>
      <c r="BA218" s="40" t="str">
        <f aca="false">IF(OR(OR(NOT(AND(ISNUMBER(E218),ISNUMBER(F218))),$J$2=""),15&gt;MAX(1,Reprogramaciones!$U$15)),"",IF(Reprogramaciones!Y$12&gt;=7,"",IF(OR(CH218-N(CG218)&gt;0.05,N(AE218)&gt;0),ROUNDDOWN(ROUND(CH218,6),0)&amp;"%"&amp;IF(CX218="",""," / "&amp;CX218&amp;"%"),IF(AND(N(CG218)&gt;=99.95,CX218&lt;&gt;"",N(CX218)&lt;100),"Pend. "&amp;CX218&amp;"%",""))))</f>
        <v/>
      </c>
      <c r="BB218" s="40" t="str">
        <f aca="false">IF(OR(OR(NOT(AND(ISNUMBER(E218),ISNUMBER(F218))),$J$2=""),16&gt;MAX(1,Reprogramaciones!$U$15)),"",IF(Reprogramaciones!Z$12&gt;=7,"",IF(OR(CI218-N(CH218)&gt;0.05,N(AF218)&gt;0),ROUNDDOWN(ROUND(CI218,6),0)&amp;"%"&amp;IF(CY218="",""," / "&amp;CY218&amp;"%"),IF(AND(N(CH218)&gt;=99.95,CY218&lt;&gt;"",N(CY218)&lt;100),"Pend. "&amp;CY218&amp;"%",""))))</f>
        <v/>
      </c>
      <c r="BC218" s="31" t="n">
        <f aca="false">IF(AND(ISNUMBER(E218),ISNUMBER(F218)),MAX(1,NETWORKDAYS.INTL(E218,F218,11)),0)</f>
        <v>0</v>
      </c>
      <c r="BD218" s="1" t="str">
        <f aca="false">IF(OR(NOT(AND(ISNUMBER(E218),ISNUMBER(F218))),$J$2=""),"",MIN(100,ROUND(SUM($G218:G218),1)))</f>
        <v/>
      </c>
      <c r="BE218" s="1" t="str">
        <f aca="false">IF(OR(NOT(AND(ISNUMBER(E218),ISNUMBER(F218))),$J$2=""),"",MIN(100,ROUND(SUM($G218:H218),1)))</f>
        <v/>
      </c>
      <c r="BF218" s="1" t="str">
        <f aca="false">IF(OR(NOT(AND(ISNUMBER(E218),ISNUMBER(F218))),$J$2=""),"",MIN(100,ROUND(SUM($G218:I218),1)))</f>
        <v/>
      </c>
      <c r="BG218" s="1" t="str">
        <f aca="false">IF(OR(NOT(AND(ISNUMBER(E218),ISNUMBER(F218))),$J$2=""),"",MIN(100,ROUND(SUM($G218:J218),1)))</f>
        <v/>
      </c>
      <c r="BH218" s="1" t="str">
        <f aca="false">IF(OR(NOT(AND(ISNUMBER(E218),ISNUMBER(F218))),$J$2=""),"",MIN(100,ROUND(SUM($G218:K218),1)))</f>
        <v/>
      </c>
      <c r="BI218" s="1" t="str">
        <f aca="false">IF(OR(NOT(AND(ISNUMBER(E218),ISNUMBER(F218))),$J$2=""),"",MIN(100,ROUND(SUM($G218:L218),1)))</f>
        <v/>
      </c>
      <c r="BJ218" s="1" t="str">
        <f aca="false">IF(OR(NOT(AND(ISNUMBER(E218),ISNUMBER(F218))),$J$2=""),"",MIN(100,ROUND(SUM($G218:M218),1)))</f>
        <v/>
      </c>
      <c r="BK218" s="1" t="str">
        <f aca="false">IF(OR(NOT(AND(ISNUMBER(E218),ISNUMBER(F218))),$J$2=""),"",MIN(100,ROUND(SUM($G218:N218),1)))</f>
        <v/>
      </c>
      <c r="BL218" s="1" t="str">
        <f aca="false">IF(OR(NOT(AND(ISNUMBER(E218),ISNUMBER(F218))),$J$2=""),"",MIN(100,ROUND(SUM($G218:O218),1)))</f>
        <v/>
      </c>
      <c r="BM218" s="1" t="str">
        <f aca="false">IF(OR(NOT(AND(ISNUMBER(E218),ISNUMBER(F218))),$J$2=""),"",MIN(100,ROUND(SUM($G218:P218),1)))</f>
        <v/>
      </c>
      <c r="BN218" s="1" t="str">
        <f aca="false">IF(OR(NOT(AND(ISNUMBER(E218),ISNUMBER(F218))),$J$2=""),"",MIN(100,ROUND(SUM($G218:P218),1)))</f>
        <v/>
      </c>
      <c r="BO218" s="1" t="str">
        <f aca="false">IF(OR(NOT(AND(ISNUMBER(E218),ISNUMBER(F218))),$J$2=""),"",MIN(100,ROUND(SUM($G218:P218),1)))</f>
        <v/>
      </c>
      <c r="BP218" s="1" t="str">
        <f aca="false">IF(OR(NOT(AND(ISNUMBER(E218),ISNUMBER(F218))),$J$2=""),"",MIN(100,ROUND(SUM($G218:P218),1)))</f>
        <v/>
      </c>
      <c r="BQ218" s="1" t="str">
        <f aca="false">IF(OR(NOT(AND(ISNUMBER(E218),ISNUMBER(F218))),$J$2=""),"",MIN(100,ROUND(SUM($G218:P218),1)))</f>
        <v/>
      </c>
      <c r="BR218" s="1" t="str">
        <f aca="false">IF(OR(NOT(AND(ISNUMBER(E218),ISNUMBER(F218))),$J$2=""),"",MIN(100,ROUND(SUM($G218:P218),1)))</f>
        <v/>
      </c>
      <c r="BS218" s="1" t="str">
        <f aca="false">IF(OR(NOT(AND(ISNUMBER(E218),ISNUMBER(F218))),$J$2=""),"",MIN(100,ROUND(SUM($G218:P218),1)))</f>
        <v/>
      </c>
      <c r="BT218" s="1" t="str">
        <f aca="false">IF(OR(NOT(AND(ISNUMBER(E218),ISNUMBER(F218))),$J$2=""),"",IF(Reprogramaciones!K$13&lt;Reprogramaciones!$T$15,0,IF(Reprogramaciones!K$14&gt;10,MIN(100,SUM($G218:$P218)),MIN(100,SUMPRODUCT((COLUMN($G218:$P218)-COLUMN($G218)+1&lt;Reprogramaciones!K$14)*$G218:$P218)+N(INDEX($G218:$P218,1,Reprogramaciones!K$14))*IF(Reprogramaciones!K$13&gt;=(Reprogramaciones!$T$15+7*(Reprogramaciones!K$14-1))+6,1,IF(MAX(0,NETWORKDAYS.INTL(MAX(E218,(Reprogramaciones!$T$15+7*(Reprogramaciones!K$14-1))),MIN(F218,(Reprogramaciones!$T$15+7*(Reprogramaciones!K$14-1))+6),11))=0,0,MAX(0,NETWORKDAYS.INTL(MAX(E218,(Reprogramaciones!$T$15+7*(Reprogramaciones!K$14-1))),MIN(F218,Reprogramaciones!K$13),11))/MAX(0,NETWORKDAYS.INTL(MAX(E218,(Reprogramaciones!$T$15+7*(Reprogramaciones!K$14-1))),MIN(F218,(Reprogramaciones!$T$15+7*(Reprogramaciones!K$14-1))+6),11))))))))</f>
        <v/>
      </c>
      <c r="BU218" s="1" t="str">
        <f aca="false">IF(OR(NOT(AND(ISNUMBER(E218),ISNUMBER(F218))),$J$2=""),"",IF(Reprogramaciones!L$13&lt;Reprogramaciones!$T$15,0,IF(Reprogramaciones!L$14&gt;10,MIN(100,SUM($G218:$P218)),MIN(100,SUMPRODUCT((COLUMN($G218:$P218)-COLUMN($G218)+1&lt;Reprogramaciones!L$14)*$G218:$P218)+N(INDEX($G218:$P218,1,Reprogramaciones!L$14))*IF(Reprogramaciones!L$13&gt;=(Reprogramaciones!$T$15+7*(Reprogramaciones!L$14-1))+6,1,IF(MAX(0,NETWORKDAYS.INTL(MAX(E218,(Reprogramaciones!$T$15+7*(Reprogramaciones!L$14-1))),MIN(F218,(Reprogramaciones!$T$15+7*(Reprogramaciones!L$14-1))+6),11))=0,0,MAX(0,NETWORKDAYS.INTL(MAX(E218,(Reprogramaciones!$T$15+7*(Reprogramaciones!L$14-1))),MIN(F218,Reprogramaciones!L$13),11))/MAX(0,NETWORKDAYS.INTL(MAX(E218,(Reprogramaciones!$T$15+7*(Reprogramaciones!L$14-1))),MIN(F218,(Reprogramaciones!$T$15+7*(Reprogramaciones!L$14-1))+6),11))))))))</f>
        <v/>
      </c>
      <c r="BV218" s="1" t="str">
        <f aca="false">IF(OR(NOT(AND(ISNUMBER(E218),ISNUMBER(F218))),$J$2=""),"",IF(Reprogramaciones!M$13&lt;Reprogramaciones!$T$15,0,IF(Reprogramaciones!M$14&gt;10,MIN(100,SUM($G218:$P218)),MIN(100,SUMPRODUCT((COLUMN($G218:$P218)-COLUMN($G218)+1&lt;Reprogramaciones!M$14)*$G218:$P218)+N(INDEX($G218:$P218,1,Reprogramaciones!M$14))*IF(Reprogramaciones!M$13&gt;=(Reprogramaciones!$T$15+7*(Reprogramaciones!M$14-1))+6,1,IF(MAX(0,NETWORKDAYS.INTL(MAX(E218,(Reprogramaciones!$T$15+7*(Reprogramaciones!M$14-1))),MIN(F218,(Reprogramaciones!$T$15+7*(Reprogramaciones!M$14-1))+6),11))=0,0,MAX(0,NETWORKDAYS.INTL(MAX(E218,(Reprogramaciones!$T$15+7*(Reprogramaciones!M$14-1))),MIN(F218,Reprogramaciones!M$13),11))/MAX(0,NETWORKDAYS.INTL(MAX(E218,(Reprogramaciones!$T$15+7*(Reprogramaciones!M$14-1))),MIN(F218,(Reprogramaciones!$T$15+7*(Reprogramaciones!M$14-1))+6),11))))))))</f>
        <v/>
      </c>
      <c r="BW218" s="1" t="str">
        <f aca="false">IF(OR(NOT(AND(ISNUMBER(E218),ISNUMBER(F218))),$J$2=""),"",IF(Reprogramaciones!N$13&lt;Reprogramaciones!$T$15,0,IF(Reprogramaciones!N$14&gt;10,MIN(100,SUM($G218:$P218)),MIN(100,SUMPRODUCT((COLUMN($G218:$P218)-COLUMN($G218)+1&lt;Reprogramaciones!N$14)*$G218:$P218)+N(INDEX($G218:$P218,1,Reprogramaciones!N$14))*IF(Reprogramaciones!N$13&gt;=(Reprogramaciones!$T$15+7*(Reprogramaciones!N$14-1))+6,1,IF(MAX(0,NETWORKDAYS.INTL(MAX(E218,(Reprogramaciones!$T$15+7*(Reprogramaciones!N$14-1))),MIN(F218,(Reprogramaciones!$T$15+7*(Reprogramaciones!N$14-1))+6),11))=0,0,MAX(0,NETWORKDAYS.INTL(MAX(E218,(Reprogramaciones!$T$15+7*(Reprogramaciones!N$14-1))),MIN(F218,Reprogramaciones!N$13),11))/MAX(0,NETWORKDAYS.INTL(MAX(E218,(Reprogramaciones!$T$15+7*(Reprogramaciones!N$14-1))),MIN(F218,(Reprogramaciones!$T$15+7*(Reprogramaciones!N$14-1))+6),11))))))))</f>
        <v/>
      </c>
      <c r="BX218" s="1" t="str">
        <f aca="false">IF(OR(NOT(AND(ISNUMBER(E218),ISNUMBER(F218))),$J$2=""),"",IF(Reprogramaciones!O$13&lt;Reprogramaciones!$T$15,0,IF(Reprogramaciones!O$14&gt;10,MIN(100,SUM($G218:$P218)),MIN(100,SUMPRODUCT((COLUMN($G218:$P218)-COLUMN($G218)+1&lt;Reprogramaciones!O$14)*$G218:$P218)+N(INDEX($G218:$P218,1,Reprogramaciones!O$14))*IF(Reprogramaciones!O$13&gt;=(Reprogramaciones!$T$15+7*(Reprogramaciones!O$14-1))+6,1,IF(MAX(0,NETWORKDAYS.INTL(MAX(E218,(Reprogramaciones!$T$15+7*(Reprogramaciones!O$14-1))),MIN(F218,(Reprogramaciones!$T$15+7*(Reprogramaciones!O$14-1))+6),11))=0,0,MAX(0,NETWORKDAYS.INTL(MAX(E218,(Reprogramaciones!$T$15+7*(Reprogramaciones!O$14-1))),MIN(F218,Reprogramaciones!O$13),11))/MAX(0,NETWORKDAYS.INTL(MAX(E218,(Reprogramaciones!$T$15+7*(Reprogramaciones!O$14-1))),MIN(F218,(Reprogramaciones!$T$15+7*(Reprogramaciones!O$14-1))+6),11))))))))</f>
        <v/>
      </c>
      <c r="BY218" s="1" t="str">
        <f aca="false">IF(OR(NOT(AND(ISNUMBER(E218),ISNUMBER(F218))),$J$2=""),"",IF(Reprogramaciones!P$13&lt;Reprogramaciones!$T$15,0,IF(Reprogramaciones!P$14&gt;10,MIN(100,SUM($G218:$P218)),MIN(100,SUMPRODUCT((COLUMN($G218:$P218)-COLUMN($G218)+1&lt;Reprogramaciones!P$14)*$G218:$P218)+N(INDEX($G218:$P218,1,Reprogramaciones!P$14))*IF(Reprogramaciones!P$13&gt;=(Reprogramaciones!$T$15+7*(Reprogramaciones!P$14-1))+6,1,IF(MAX(0,NETWORKDAYS.INTL(MAX(E218,(Reprogramaciones!$T$15+7*(Reprogramaciones!P$14-1))),MIN(F218,(Reprogramaciones!$T$15+7*(Reprogramaciones!P$14-1))+6),11))=0,0,MAX(0,NETWORKDAYS.INTL(MAX(E218,(Reprogramaciones!$T$15+7*(Reprogramaciones!P$14-1))),MIN(F218,Reprogramaciones!P$13),11))/MAX(0,NETWORKDAYS.INTL(MAX(E218,(Reprogramaciones!$T$15+7*(Reprogramaciones!P$14-1))),MIN(F218,(Reprogramaciones!$T$15+7*(Reprogramaciones!P$14-1))+6),11))))))))</f>
        <v/>
      </c>
      <c r="BZ218" s="1" t="str">
        <f aca="false">IF(OR(NOT(AND(ISNUMBER(E218),ISNUMBER(F218))),$J$2=""),"",IF(Reprogramaciones!Q$13&lt;Reprogramaciones!$T$15,0,IF(Reprogramaciones!Q$14&gt;10,MIN(100,SUM($G218:$P218)),MIN(100,SUMPRODUCT((COLUMN($G218:$P218)-COLUMN($G218)+1&lt;Reprogramaciones!Q$14)*$G218:$P218)+N(INDEX($G218:$P218,1,Reprogramaciones!Q$14))*IF(Reprogramaciones!Q$13&gt;=(Reprogramaciones!$T$15+7*(Reprogramaciones!Q$14-1))+6,1,IF(MAX(0,NETWORKDAYS.INTL(MAX(E218,(Reprogramaciones!$T$15+7*(Reprogramaciones!Q$14-1))),MIN(F218,(Reprogramaciones!$T$15+7*(Reprogramaciones!Q$14-1))+6),11))=0,0,MAX(0,NETWORKDAYS.INTL(MAX(E218,(Reprogramaciones!$T$15+7*(Reprogramaciones!Q$14-1))),MIN(F218,Reprogramaciones!Q$13),11))/MAX(0,NETWORKDAYS.INTL(MAX(E218,(Reprogramaciones!$T$15+7*(Reprogramaciones!Q$14-1))),MIN(F218,(Reprogramaciones!$T$15+7*(Reprogramaciones!Q$14-1))+6),11))))))))</f>
        <v/>
      </c>
      <c r="CA218" s="1" t="str">
        <f aca="false">IF(OR(NOT(AND(ISNUMBER(E218),ISNUMBER(F218))),$J$2=""),"",IF(Reprogramaciones!R$13&lt;Reprogramaciones!$T$15,0,IF(Reprogramaciones!R$14&gt;10,MIN(100,SUM($G218:$P218)),MIN(100,SUMPRODUCT((COLUMN($G218:$P218)-COLUMN($G218)+1&lt;Reprogramaciones!R$14)*$G218:$P218)+N(INDEX($G218:$P218,1,Reprogramaciones!R$14))*IF(Reprogramaciones!R$13&gt;=(Reprogramaciones!$T$15+7*(Reprogramaciones!R$14-1))+6,1,IF(MAX(0,NETWORKDAYS.INTL(MAX(E218,(Reprogramaciones!$T$15+7*(Reprogramaciones!R$14-1))),MIN(F218,(Reprogramaciones!$T$15+7*(Reprogramaciones!R$14-1))+6),11))=0,0,MAX(0,NETWORKDAYS.INTL(MAX(E218,(Reprogramaciones!$T$15+7*(Reprogramaciones!R$14-1))),MIN(F218,Reprogramaciones!R$13),11))/MAX(0,NETWORKDAYS.INTL(MAX(E218,(Reprogramaciones!$T$15+7*(Reprogramaciones!R$14-1))),MIN(F218,(Reprogramaciones!$T$15+7*(Reprogramaciones!R$14-1))+6),11))))))))</f>
        <v/>
      </c>
      <c r="CB218" s="1" t="str">
        <f aca="false">IF(OR(NOT(AND(ISNUMBER(E218),ISNUMBER(F218))),$J$2=""),"",IF(Reprogramaciones!S$13&lt;Reprogramaciones!$T$15,0,IF(Reprogramaciones!S$14&gt;10,MIN(100,SUM($G218:$P218)),MIN(100,SUMPRODUCT((COLUMN($G218:$P218)-COLUMN($G218)+1&lt;Reprogramaciones!S$14)*$G218:$P218)+N(INDEX($G218:$P218,1,Reprogramaciones!S$14))*IF(Reprogramaciones!S$13&gt;=(Reprogramaciones!$T$15+7*(Reprogramaciones!S$14-1))+6,1,IF(MAX(0,NETWORKDAYS.INTL(MAX(E218,(Reprogramaciones!$T$15+7*(Reprogramaciones!S$14-1))),MIN(F218,(Reprogramaciones!$T$15+7*(Reprogramaciones!S$14-1))+6),11))=0,0,MAX(0,NETWORKDAYS.INTL(MAX(E218,(Reprogramaciones!$T$15+7*(Reprogramaciones!S$14-1))),MIN(F218,Reprogramaciones!S$13),11))/MAX(0,NETWORKDAYS.INTL(MAX(E218,(Reprogramaciones!$T$15+7*(Reprogramaciones!S$14-1))),MIN(F218,(Reprogramaciones!$T$15+7*(Reprogramaciones!S$14-1))+6),11))))))))</f>
        <v/>
      </c>
      <c r="CC218" s="1" t="str">
        <f aca="false">IF(OR(NOT(AND(ISNUMBER(E218),ISNUMBER(F218))),$J$2=""),"",IF(Reprogramaciones!T$13&lt;Reprogramaciones!$T$15,0,IF(Reprogramaciones!T$14&gt;10,MIN(100,SUM($G218:$P218)),MIN(100,SUMPRODUCT((COLUMN($G218:$P218)-COLUMN($G218)+1&lt;Reprogramaciones!T$14)*$G218:$P218)+N(INDEX($G218:$P218,1,Reprogramaciones!T$14))*IF(Reprogramaciones!T$13&gt;=(Reprogramaciones!$T$15+7*(Reprogramaciones!T$14-1))+6,1,IF(MAX(0,NETWORKDAYS.INTL(MAX(E218,(Reprogramaciones!$T$15+7*(Reprogramaciones!T$14-1))),MIN(F218,(Reprogramaciones!$T$15+7*(Reprogramaciones!T$14-1))+6),11))=0,0,MAX(0,NETWORKDAYS.INTL(MAX(E218,(Reprogramaciones!$T$15+7*(Reprogramaciones!T$14-1))),MIN(F218,Reprogramaciones!T$13),11))/MAX(0,NETWORKDAYS.INTL(MAX(E218,(Reprogramaciones!$T$15+7*(Reprogramaciones!T$14-1))),MIN(F218,(Reprogramaciones!$T$15+7*(Reprogramaciones!T$14-1))+6),11))))))))</f>
        <v/>
      </c>
      <c r="CD218" s="1" t="str">
        <f aca="false">IF(OR(NOT(AND(ISNUMBER(E218),ISNUMBER(F218))),$J$2=""),"",IF(Reprogramaciones!U$13&lt;Reprogramaciones!$T$15,0,IF(Reprogramaciones!U$14&gt;10,MIN(100,SUM($G218:$P218)),MIN(100,SUMPRODUCT((COLUMN($G218:$P218)-COLUMN($G218)+1&lt;Reprogramaciones!U$14)*$G218:$P218)+N(INDEX($G218:$P218,1,Reprogramaciones!U$14))*IF(Reprogramaciones!U$13&gt;=(Reprogramaciones!$T$15+7*(Reprogramaciones!U$14-1))+6,1,IF(MAX(0,NETWORKDAYS.INTL(MAX(E218,(Reprogramaciones!$T$15+7*(Reprogramaciones!U$14-1))),MIN(F218,(Reprogramaciones!$T$15+7*(Reprogramaciones!U$14-1))+6),11))=0,0,MAX(0,NETWORKDAYS.INTL(MAX(E218,(Reprogramaciones!$T$15+7*(Reprogramaciones!U$14-1))),MIN(F218,Reprogramaciones!U$13),11))/MAX(0,NETWORKDAYS.INTL(MAX(E218,(Reprogramaciones!$T$15+7*(Reprogramaciones!U$14-1))),MIN(F218,(Reprogramaciones!$T$15+7*(Reprogramaciones!U$14-1))+6),11))))))))</f>
        <v/>
      </c>
      <c r="CE218" s="1" t="str">
        <f aca="false">IF(OR(NOT(AND(ISNUMBER(E218),ISNUMBER(F218))),$J$2=""),"",IF(Reprogramaciones!V$13&lt;Reprogramaciones!$T$15,0,IF(Reprogramaciones!V$14&gt;10,MIN(100,SUM($G218:$P218)),MIN(100,SUMPRODUCT((COLUMN($G218:$P218)-COLUMN($G218)+1&lt;Reprogramaciones!V$14)*$G218:$P218)+N(INDEX($G218:$P218,1,Reprogramaciones!V$14))*IF(Reprogramaciones!V$13&gt;=(Reprogramaciones!$T$15+7*(Reprogramaciones!V$14-1))+6,1,IF(MAX(0,NETWORKDAYS.INTL(MAX(E218,(Reprogramaciones!$T$15+7*(Reprogramaciones!V$14-1))),MIN(F218,(Reprogramaciones!$T$15+7*(Reprogramaciones!V$14-1))+6),11))=0,0,MAX(0,NETWORKDAYS.INTL(MAX(E218,(Reprogramaciones!$T$15+7*(Reprogramaciones!V$14-1))),MIN(F218,Reprogramaciones!V$13),11))/MAX(0,NETWORKDAYS.INTL(MAX(E218,(Reprogramaciones!$T$15+7*(Reprogramaciones!V$14-1))),MIN(F218,(Reprogramaciones!$T$15+7*(Reprogramaciones!V$14-1))+6),11))))))))</f>
        <v/>
      </c>
      <c r="CF218" s="1" t="str">
        <f aca="false">IF(OR(NOT(AND(ISNUMBER(E218),ISNUMBER(F218))),$J$2=""),"",IF(Reprogramaciones!W$13&lt;Reprogramaciones!$T$15,0,IF(Reprogramaciones!W$14&gt;10,MIN(100,SUM($G218:$P218)),MIN(100,SUMPRODUCT((COLUMN($G218:$P218)-COLUMN($G218)+1&lt;Reprogramaciones!W$14)*$G218:$P218)+N(INDEX($G218:$P218,1,Reprogramaciones!W$14))*IF(Reprogramaciones!W$13&gt;=(Reprogramaciones!$T$15+7*(Reprogramaciones!W$14-1))+6,1,IF(MAX(0,NETWORKDAYS.INTL(MAX(E218,(Reprogramaciones!$T$15+7*(Reprogramaciones!W$14-1))),MIN(F218,(Reprogramaciones!$T$15+7*(Reprogramaciones!W$14-1))+6),11))=0,0,MAX(0,NETWORKDAYS.INTL(MAX(E218,(Reprogramaciones!$T$15+7*(Reprogramaciones!W$14-1))),MIN(F218,Reprogramaciones!W$13),11))/MAX(0,NETWORKDAYS.INTL(MAX(E218,(Reprogramaciones!$T$15+7*(Reprogramaciones!W$14-1))),MIN(F218,(Reprogramaciones!$T$15+7*(Reprogramaciones!W$14-1))+6),11))))))))</f>
        <v/>
      </c>
      <c r="CG218" s="1" t="str">
        <f aca="false">IF(OR(NOT(AND(ISNUMBER(E218),ISNUMBER(F218))),$J$2=""),"",IF(Reprogramaciones!X$13&lt;Reprogramaciones!$T$15,0,IF(Reprogramaciones!X$14&gt;10,MIN(100,SUM($G218:$P218)),MIN(100,SUMPRODUCT((COLUMN($G218:$P218)-COLUMN($G218)+1&lt;Reprogramaciones!X$14)*$G218:$P218)+N(INDEX($G218:$P218,1,Reprogramaciones!X$14))*IF(Reprogramaciones!X$13&gt;=(Reprogramaciones!$T$15+7*(Reprogramaciones!X$14-1))+6,1,IF(MAX(0,NETWORKDAYS.INTL(MAX(E218,(Reprogramaciones!$T$15+7*(Reprogramaciones!X$14-1))),MIN(F218,(Reprogramaciones!$T$15+7*(Reprogramaciones!X$14-1))+6),11))=0,0,MAX(0,NETWORKDAYS.INTL(MAX(E218,(Reprogramaciones!$T$15+7*(Reprogramaciones!X$14-1))),MIN(F218,Reprogramaciones!X$13),11))/MAX(0,NETWORKDAYS.INTL(MAX(E218,(Reprogramaciones!$T$15+7*(Reprogramaciones!X$14-1))),MIN(F218,(Reprogramaciones!$T$15+7*(Reprogramaciones!X$14-1))+6),11))))))))</f>
        <v/>
      </c>
      <c r="CH218" s="1" t="str">
        <f aca="false">IF(OR(NOT(AND(ISNUMBER(E218),ISNUMBER(F218))),$J$2=""),"",IF(Reprogramaciones!Y$13&lt;Reprogramaciones!$T$15,0,IF(Reprogramaciones!Y$14&gt;10,MIN(100,SUM($G218:$P218)),MIN(100,SUMPRODUCT((COLUMN($G218:$P218)-COLUMN($G218)+1&lt;Reprogramaciones!Y$14)*$G218:$P218)+N(INDEX($G218:$P218,1,Reprogramaciones!Y$14))*IF(Reprogramaciones!Y$13&gt;=(Reprogramaciones!$T$15+7*(Reprogramaciones!Y$14-1))+6,1,IF(MAX(0,NETWORKDAYS.INTL(MAX(E218,(Reprogramaciones!$T$15+7*(Reprogramaciones!Y$14-1))),MIN(F218,(Reprogramaciones!$T$15+7*(Reprogramaciones!Y$14-1))+6),11))=0,0,MAX(0,NETWORKDAYS.INTL(MAX(E218,(Reprogramaciones!$T$15+7*(Reprogramaciones!Y$14-1))),MIN(F218,Reprogramaciones!Y$13),11))/MAX(0,NETWORKDAYS.INTL(MAX(E218,(Reprogramaciones!$T$15+7*(Reprogramaciones!Y$14-1))),MIN(F218,(Reprogramaciones!$T$15+7*(Reprogramaciones!Y$14-1))+6),11))))))))</f>
        <v/>
      </c>
      <c r="CI218" s="1" t="str">
        <f aca="false">IF(OR(NOT(AND(ISNUMBER(E218),ISNUMBER(F218))),$J$2=""),"",IF(Reprogramaciones!Z$13&lt;Reprogramaciones!$T$15,0,IF(Reprogramaciones!Z$14&gt;10,MIN(100,SUM($G218:$P218)),MIN(100,SUMPRODUCT((COLUMN($G218:$P218)-COLUMN($G218)+1&lt;Reprogramaciones!Z$14)*$G218:$P218)+N(INDEX($G218:$P218,1,Reprogramaciones!Z$14))*IF(Reprogramaciones!Z$13&gt;=(Reprogramaciones!$T$15+7*(Reprogramaciones!Z$14-1))+6,1,IF(MAX(0,NETWORKDAYS.INTL(MAX(E218,(Reprogramaciones!$T$15+7*(Reprogramaciones!Z$14-1))),MIN(F218,(Reprogramaciones!$T$15+7*(Reprogramaciones!Z$14-1))+6),11))=0,0,MAX(0,NETWORKDAYS.INTL(MAX(E218,(Reprogramaciones!$T$15+7*(Reprogramaciones!Z$14-1))),MIN(F218,Reprogramaciones!Z$13),11))/MAX(0,NETWORKDAYS.INTL(MAX(E218,(Reprogramaciones!$T$15+7*(Reprogramaciones!Z$14-1))),MIN(F218,(Reprogramaciones!$T$15+7*(Reprogramaciones!Z$14-1))+6),11))))))))</f>
        <v/>
      </c>
      <c r="CJ218" s="1" t="str">
        <f aca="false">IF(OR(OR(NOT(AND(ISNUMBER(E218),ISNUMBER(F218))),$J$2=""),1&gt;Reprogramaciones!$K$16),"",IF(ROUND(SUM($Q218:Q218),1)&gt;=99.5,100,MIN(100,ROUND(SUM($Q218:Q218),1))))</f>
        <v/>
      </c>
      <c r="CK218" s="1" t="str">
        <f aca="false">IF(OR(OR(NOT(AND(ISNUMBER(E218),ISNUMBER(F218))),$J$2=""),2&gt;Reprogramaciones!$K$16),"",IF(ROUND(SUM($Q218:R218),1)&gt;=99.5,100,MIN(100,ROUND(SUM($Q218:R218),1))))</f>
        <v/>
      </c>
      <c r="CL218" s="1" t="str">
        <f aca="false">IF(OR(OR(NOT(AND(ISNUMBER(E218),ISNUMBER(F218))),$J$2=""),3&gt;Reprogramaciones!$K$16),"",IF(ROUND(SUM($Q218:S218),1)&gt;=99.5,100,MIN(100,ROUND(SUM($Q218:S218),1))))</f>
        <v/>
      </c>
      <c r="CM218" s="1" t="str">
        <f aca="false">IF(OR(OR(NOT(AND(ISNUMBER(E218),ISNUMBER(F218))),$J$2=""),4&gt;Reprogramaciones!$K$16),"",IF(ROUND(SUM($Q218:T218),1)&gt;=99.5,100,MIN(100,ROUND(SUM($Q218:T218),1))))</f>
        <v/>
      </c>
      <c r="CN218" s="1" t="str">
        <f aca="false">IF(OR(OR(NOT(AND(ISNUMBER(E218),ISNUMBER(F218))),$J$2=""),5&gt;Reprogramaciones!$K$16),"",IF(ROUND(SUM($Q218:U218),1)&gt;=99.5,100,MIN(100,ROUND(SUM($Q218:U218),1))))</f>
        <v/>
      </c>
      <c r="CO218" s="1" t="str">
        <f aca="false">IF(OR(OR(NOT(AND(ISNUMBER(E218),ISNUMBER(F218))),$J$2=""),6&gt;Reprogramaciones!$K$16),"",IF(ROUND(SUM($Q218:V218),1)&gt;=99.5,100,MIN(100,ROUND(SUM($Q218:V218),1))))</f>
        <v/>
      </c>
      <c r="CP218" s="1" t="str">
        <f aca="false">IF(OR(OR(NOT(AND(ISNUMBER(E218),ISNUMBER(F218))),$J$2=""),7&gt;Reprogramaciones!$K$16),"",IF(ROUND(SUM($Q218:W218),1)&gt;=99.5,100,MIN(100,ROUND(SUM($Q218:W218),1))))</f>
        <v/>
      </c>
      <c r="CQ218" s="1" t="str">
        <f aca="false">IF(OR(OR(NOT(AND(ISNUMBER(E218),ISNUMBER(F218))),$J$2=""),8&gt;Reprogramaciones!$K$16),"",IF(ROUND(SUM($Q218:X218),1)&gt;=99.5,100,MIN(100,ROUND(SUM($Q218:X218),1))))</f>
        <v/>
      </c>
      <c r="CR218" s="1" t="str">
        <f aca="false">IF(OR(OR(NOT(AND(ISNUMBER(E218),ISNUMBER(F218))),$J$2=""),9&gt;Reprogramaciones!$K$16),"",IF(ROUND(SUM($Q218:Y218),1)&gt;=99.5,100,MIN(100,ROUND(SUM($Q218:Y218),1))))</f>
        <v/>
      </c>
      <c r="CS218" s="1" t="str">
        <f aca="false">IF(OR(OR(NOT(AND(ISNUMBER(E218),ISNUMBER(F218))),$J$2=""),10&gt;Reprogramaciones!$K$16),"",IF(ROUND(SUM($Q218:Z218),1)&gt;=99.5,100,MIN(100,ROUND(SUM($Q218:Z218),1))))</f>
        <v/>
      </c>
      <c r="CT218" s="1" t="str">
        <f aca="false">IF(OR(OR(NOT(AND(ISNUMBER(E218),ISNUMBER(F218))),$J$2=""),11&gt;Reprogramaciones!$K$16),"",IF(ROUND(SUM($Q218:AA218),1)&gt;=99.5,100,MIN(100,ROUND(SUM($Q218:AA218),1))))</f>
        <v/>
      </c>
      <c r="CU218" s="1" t="str">
        <f aca="false">IF(OR(OR(NOT(AND(ISNUMBER(E218),ISNUMBER(F218))),$J$2=""),12&gt;Reprogramaciones!$K$16),"",IF(ROUND(SUM($Q218:AB218),1)&gt;=99.5,100,MIN(100,ROUND(SUM($Q218:AB218),1))))</f>
        <v/>
      </c>
      <c r="CV218" s="1" t="str">
        <f aca="false">IF(OR(OR(NOT(AND(ISNUMBER(E218),ISNUMBER(F218))),$J$2=""),13&gt;Reprogramaciones!$K$16),"",IF(ROUND(SUM($Q218:AC218),1)&gt;=99.5,100,MIN(100,ROUND(SUM($Q218:AC218),1))))</f>
        <v/>
      </c>
      <c r="CW218" s="1" t="str">
        <f aca="false">IF(OR(OR(NOT(AND(ISNUMBER(E218),ISNUMBER(F218))),$J$2=""),14&gt;Reprogramaciones!$K$16),"",IF(ROUND(SUM($Q218:AD218),1)&gt;=99.5,100,MIN(100,ROUND(SUM($Q218:AD218),1))))</f>
        <v/>
      </c>
      <c r="CX218" s="1" t="str">
        <f aca="false">IF(OR(OR(NOT(AND(ISNUMBER(E218),ISNUMBER(F218))),$J$2=""),15&gt;Reprogramaciones!$K$16),"",IF(ROUND(SUM($Q218:AE218),1)&gt;=99.5,100,MIN(100,ROUND(SUM($Q218:AE218),1))))</f>
        <v/>
      </c>
      <c r="CY218" s="1" t="str">
        <f aca="false">IF(OR(OR(NOT(AND(ISNUMBER(E218),ISNUMBER(F218))),$J$2=""),16&gt;Reprogramaciones!$K$16),"",IF(ROUND(SUM($Q218:AF218),1)&gt;=99.5,100,MIN(100,ROUND(SUM($Q218:AF218),1))))</f>
        <v/>
      </c>
      <c r="CZ218" s="1" t="str">
        <f aca="false">IF(D218&lt;&gt;"",D218,IF(B218&lt;&gt;"","Contractual",CZ217))</f>
        <v>Contractual</v>
      </c>
      <c r="DA218" s="1" t="str">
        <f aca="false">IF(OR(NOT(AND(ISNUMBER(E218),ISNUMBER(F218))),$J$2=""),"",IF(Reprogramaciones!$Q$15&lt;Reprogramaciones!$T$15,0,IF(Reprogramaciones!$S$15&gt;10,MIN(100,SUM($G218:$P218)),MIN(100,SUMPRODUCT((COLUMN($G218:$P218)-COLUMN($G218)+1&lt;Reprogramaciones!$S$15)*$G218:$P218)+N(INDEX($G218:$P218,1,Reprogramaciones!$S$15))*IF(Reprogramaciones!$Q$15&gt;=(Reprogramaciones!$T$15+7*(Reprogramaciones!$S$15-1))+6,1,IF(MAX(0,NETWORKDAYS.INTL(MAX(E218,(Reprogramaciones!$T$15+7*(Reprogramaciones!$S$15-1))),MIN(F218,(Reprogramaciones!$T$15+7*(Reprogramaciones!$S$15-1))+6),11))=0,0,MAX(0,NETWORKDAYS.INTL(MAX(E218,(Reprogramaciones!$T$15+7*(Reprogramaciones!$S$15-1))),MIN(F218,Reprogramaciones!$Q$15),11))/MAX(0,NETWORKDAYS.INTL(MAX(E218,(Reprogramaciones!$T$15+7*(Reprogramaciones!$S$15-1))),MIN(F218,(Reprogramaciones!$T$15+7*(Reprogramaciones!$S$15-1))+6),11))))))))</f>
        <v/>
      </c>
    </row>
    <row r="219" customFormat="false" ht="15" hidden="false" customHeight="false" outlineLevel="0" collapsed="false">
      <c r="A219" s="32"/>
      <c r="B219" s="33"/>
      <c r="C219" s="33"/>
      <c r="D219" s="34"/>
      <c r="E219" s="35"/>
      <c r="F219" s="35"/>
      <c r="G219" s="36" t="str">
        <f aca="false">IF(OR(NOT(AND(ISNUMBER(E219),ISNUMBER(F219))),$J$2=""),"",IF(Reprogramaciones!K$9&lt;E219,0,IF(NETWORKDAYS.INTL(E219,F219,11)=0,IF(Reprogramaciones!K$9&gt;=F219,100,0),ROUND(NETWORKDAYS.INTL(E219,MIN(F219,Reprogramaciones!K$9),11)/NETWORKDAYS.INTL(E219,F219,11)*100,1)))-0)</f>
        <v/>
      </c>
      <c r="H219" s="36" t="str">
        <f aca="false">IF(OR(NOT(AND(ISNUMBER(E219),ISNUMBER(F219))),$J$2=""),"",IF(Reprogramaciones!L$9&lt;E219,0,IF(NETWORKDAYS.INTL(E219,F219,11)=0,IF(Reprogramaciones!L$9&gt;=F219,100,0),ROUND(NETWORKDAYS.INTL(E219,MIN(F219,Reprogramaciones!L$9),11)/NETWORKDAYS.INTL(E219,F219,11)*100,1)))-IF(Reprogramaciones!K$9&lt;E219,0,IF(NETWORKDAYS.INTL(E219,F219,11)=0,IF(Reprogramaciones!K$9&gt;=F219,100,0),ROUND(NETWORKDAYS.INTL(E219,MIN(F219,Reprogramaciones!K$9),11)/NETWORKDAYS.INTL(E219,F219,11)*100,1))))</f>
        <v/>
      </c>
      <c r="I219" s="36" t="str">
        <f aca="false">IF(OR(NOT(AND(ISNUMBER(E219),ISNUMBER(F219))),$J$2=""),"",IF(Reprogramaciones!M$9&lt;E219,0,IF(NETWORKDAYS.INTL(E219,F219,11)=0,IF(Reprogramaciones!M$9&gt;=F219,100,0),ROUND(NETWORKDAYS.INTL(E219,MIN(F219,Reprogramaciones!M$9),11)/NETWORKDAYS.INTL(E219,F219,11)*100,1)))-IF(Reprogramaciones!L$9&lt;E219,0,IF(NETWORKDAYS.INTL(E219,F219,11)=0,IF(Reprogramaciones!L$9&gt;=F219,100,0),ROUND(NETWORKDAYS.INTL(E219,MIN(F219,Reprogramaciones!L$9),11)/NETWORKDAYS.INTL(E219,F219,11)*100,1))))</f>
        <v/>
      </c>
      <c r="J219" s="36" t="str">
        <f aca="false">IF(OR(NOT(AND(ISNUMBER(E219),ISNUMBER(F219))),$J$2=""),"",IF(Reprogramaciones!N$9&lt;E219,0,IF(NETWORKDAYS.INTL(E219,F219,11)=0,IF(Reprogramaciones!N$9&gt;=F219,100,0),ROUND(NETWORKDAYS.INTL(E219,MIN(F219,Reprogramaciones!N$9),11)/NETWORKDAYS.INTL(E219,F219,11)*100,1)))-IF(Reprogramaciones!M$9&lt;E219,0,IF(NETWORKDAYS.INTL(E219,F219,11)=0,IF(Reprogramaciones!M$9&gt;=F219,100,0),ROUND(NETWORKDAYS.INTL(E219,MIN(F219,Reprogramaciones!M$9),11)/NETWORKDAYS.INTL(E219,F219,11)*100,1))))</f>
        <v/>
      </c>
      <c r="K219" s="36" t="str">
        <f aca="false">IF(OR(NOT(AND(ISNUMBER(E219),ISNUMBER(F219))),$J$2=""),"",IF(Reprogramaciones!O$9&lt;E219,0,IF(NETWORKDAYS.INTL(E219,F219,11)=0,IF(Reprogramaciones!O$9&gt;=F219,100,0),ROUND(NETWORKDAYS.INTL(E219,MIN(F219,Reprogramaciones!O$9),11)/NETWORKDAYS.INTL(E219,F219,11)*100,1)))-IF(Reprogramaciones!N$9&lt;E219,0,IF(NETWORKDAYS.INTL(E219,F219,11)=0,IF(Reprogramaciones!N$9&gt;=F219,100,0),ROUND(NETWORKDAYS.INTL(E219,MIN(F219,Reprogramaciones!N$9),11)/NETWORKDAYS.INTL(E219,F219,11)*100,1))))</f>
        <v/>
      </c>
      <c r="L219" s="36" t="str">
        <f aca="false">IF(OR(NOT(AND(ISNUMBER(E219),ISNUMBER(F219))),$J$2=""),"",IF(Reprogramaciones!P$9&lt;E219,0,IF(NETWORKDAYS.INTL(E219,F219,11)=0,IF(Reprogramaciones!P$9&gt;=F219,100,0),ROUND(NETWORKDAYS.INTL(E219,MIN(F219,Reprogramaciones!P$9),11)/NETWORKDAYS.INTL(E219,F219,11)*100,1)))-IF(Reprogramaciones!O$9&lt;E219,0,IF(NETWORKDAYS.INTL(E219,F219,11)=0,IF(Reprogramaciones!O$9&gt;=F219,100,0),ROUND(NETWORKDAYS.INTL(E219,MIN(F219,Reprogramaciones!O$9),11)/NETWORKDAYS.INTL(E219,F219,11)*100,1))))</f>
        <v/>
      </c>
      <c r="M219" s="36" t="str">
        <f aca="false">IF(OR(NOT(AND(ISNUMBER(E219),ISNUMBER(F219))),$J$2=""),"",IF(Reprogramaciones!Q$9&lt;E219,0,IF(NETWORKDAYS.INTL(E219,F219,11)=0,IF(Reprogramaciones!Q$9&gt;=F219,100,0),ROUND(NETWORKDAYS.INTL(E219,MIN(F219,Reprogramaciones!Q$9),11)/NETWORKDAYS.INTL(E219,F219,11)*100,1)))-IF(Reprogramaciones!P$9&lt;E219,0,IF(NETWORKDAYS.INTL(E219,F219,11)=0,IF(Reprogramaciones!P$9&gt;=F219,100,0),ROUND(NETWORKDAYS.INTL(E219,MIN(F219,Reprogramaciones!P$9),11)/NETWORKDAYS.INTL(E219,F219,11)*100,1))))</f>
        <v/>
      </c>
      <c r="N219" s="36" t="str">
        <f aca="false">IF(OR(NOT(AND(ISNUMBER(E219),ISNUMBER(F219))),$J$2=""),"",IF(Reprogramaciones!R$9&lt;E219,0,IF(NETWORKDAYS.INTL(E219,F219,11)=0,IF(Reprogramaciones!R$9&gt;=F219,100,0),ROUND(NETWORKDAYS.INTL(E219,MIN(F219,Reprogramaciones!R$9),11)/NETWORKDAYS.INTL(E219,F219,11)*100,1)))-IF(Reprogramaciones!Q$9&lt;E219,0,IF(NETWORKDAYS.INTL(E219,F219,11)=0,IF(Reprogramaciones!Q$9&gt;=F219,100,0),ROUND(NETWORKDAYS.INTL(E219,MIN(F219,Reprogramaciones!Q$9),11)/NETWORKDAYS.INTL(E219,F219,11)*100,1))))</f>
        <v/>
      </c>
      <c r="O219" s="36" t="str">
        <f aca="false">IF(OR(NOT(AND(ISNUMBER(E219),ISNUMBER(F219))),$J$2=""),"",IF(Reprogramaciones!S$9&lt;E219,0,IF(NETWORKDAYS.INTL(E219,F219,11)=0,IF(Reprogramaciones!S$9&gt;=F219,100,0),ROUND(NETWORKDAYS.INTL(E219,MIN(F219,Reprogramaciones!S$9),11)/NETWORKDAYS.INTL(E219,F219,11)*100,1)))-IF(Reprogramaciones!R$9&lt;E219,0,IF(NETWORKDAYS.INTL(E219,F219,11)=0,IF(Reprogramaciones!R$9&gt;=F219,100,0),ROUND(NETWORKDAYS.INTL(E219,MIN(F219,Reprogramaciones!R$9),11)/NETWORKDAYS.INTL(E219,F219,11)*100,1))))</f>
        <v/>
      </c>
      <c r="P219" s="36" t="str">
        <f aca="false">IF(OR(NOT(AND(ISNUMBER(E219),ISNUMBER(F219))),$J$2=""),"",IF(Reprogramaciones!T$9&lt;E219,0,IF(NETWORKDAYS.INTL(E219,F219,11)=0,IF(Reprogramaciones!T$9&gt;=F219,100,0),ROUND(NETWORKDAYS.INTL(E219,MIN(F219,Reprogramaciones!T$9),11)/NETWORKDAYS.INTL(E219,F219,11)*100,1)))-IF(Reprogramaciones!S$9&lt;E219,0,IF(NETWORKDAYS.INTL(E219,F219,11)=0,IF(Reprogramaciones!S$9&gt;=F219,100,0),ROUND(NETWORKDAYS.INTL(E219,MIN(F219,Reprogramaciones!S$9),11)/NETWORKDAYS.INTL(E219,F219,11)*100,1))))</f>
        <v/>
      </c>
      <c r="Q219" s="37"/>
      <c r="R219" s="37"/>
      <c r="S219" s="37"/>
      <c r="T219" s="37"/>
      <c r="U219" s="37"/>
      <c r="V219" s="37"/>
      <c r="W219" s="37"/>
      <c r="X219" s="37"/>
      <c r="Y219" s="37"/>
      <c r="Z219" s="37"/>
      <c r="AA219" s="37"/>
      <c r="AB219" s="37"/>
      <c r="AC219" s="37"/>
      <c r="AD219" s="37"/>
      <c r="AE219" s="37"/>
      <c r="AF219" s="37"/>
      <c r="AG219" s="38" t="str">
        <f aca="false">IF(AND(ISNUMBER(E219),ISNUMBER(F219)),NETWORKDAYS.INTL(E219,F219,11),"")</f>
        <v/>
      </c>
      <c r="AH219" s="38" t="str">
        <f aca="false">IF(OR(NOT(AND(ISNUMBER(E219),ISNUMBER(F219))),$J$2=""),"",IF(Reprogramaciones!$P$15&lt;Reprogramaciones!$T$15,0,IF(Reprogramaciones!$R$15&gt;10,MIN(100,SUM($G219:$P219)),MIN(100,SUMPRODUCT((COLUMN($G219:$P219)-COLUMN($G219)+1&lt;Reprogramaciones!$R$15)*$G219:$P219)+N(INDEX($G219:$P219,1,Reprogramaciones!$R$15))*IF(Reprogramaciones!$P$15&gt;=(Reprogramaciones!$T$15+7*(Reprogramaciones!$R$15-1))+6,1,IF(MAX(0,NETWORKDAYS.INTL(MAX(E219,(Reprogramaciones!$T$15+7*(Reprogramaciones!$R$15-1))),MIN(F219,(Reprogramaciones!$T$15+7*(Reprogramaciones!$R$15-1))+6),11))=0,0,MAX(0,NETWORKDAYS.INTL(MAX(E219,(Reprogramaciones!$T$15+7*(Reprogramaciones!$R$15-1))),MIN(F219,Reprogramaciones!$P$15),11))/MAX(0,NETWORKDAYS.INTL(MAX(E219,(Reprogramaciones!$T$15+7*(Reprogramaciones!$R$15-1))),MIN(F219,(Reprogramaciones!$T$15+7*(Reprogramaciones!$R$15-1))+6),11))))))))</f>
        <v/>
      </c>
      <c r="AI219" s="38" t="str">
        <f aca="false">IF(COUNT($Q219:$AF219)=0,"",IF(ROUND(SUM($Q219:$AF219),1)&gt;=99.5,100,MIN(100,ROUND(SUM($Q219:$AF219),1))))</f>
        <v/>
      </c>
      <c r="AJ219" s="38" t="str">
        <f aca="false">IF(OR(AH219="",AI219=""),"",AI219-AH219)</f>
        <v/>
      </c>
      <c r="AK219" s="39" t="str">
        <f aca="true">IF(AH219="","",IF(OR(Ficha!$C$10="Suspendida",Ficha!$C$10="Cancelada"),Ficha!$C$10,IF(AND(AI219&lt;&gt;"",N(AI219)&gt;=100),"Completada",IF(AND(E219&gt;TODAY(),N(AI219)=0),"Por iniciar",IF(N(AI219)+0.5&lt;AH219,"Retrasada",IF(N(AI219)+0.5&lt;DA219,IF(Reprogramaciones!$K$15&gt;0,"Al día · Sem "&amp;Reprogramaciones!$K$15&amp;" en curso","Al día · en curso"),"A tiempo"))))))</f>
        <v/>
      </c>
      <c r="AL219" s="39" t="str">
        <f aca="true">IF(AND(A219="",AND(B219="",C219="",E219="",F219="",COUNT(Q219:AF219)=0)),"",IF(AND(B219="",C219="",E219="",F219="",COUNT(Q219:AF219)=0),"Falta la partida o subpartida",IF(AND(A219&lt;&gt;"",COUNTIF($A$6:$A$305,A219)&gt;1),"Ítem repetido",IF(AND(C219="",E219="",F219="",COUNT(Q219:AF219)=0),"Título de partida",IF(OR(E219="",F219=""),"Faltan fechas",IF(OR(ISTEXT(E219),ISTEXT(F219)),"Fecha escrita como texto: usa dd/mm/aaaa",IF(F219&lt;E219,"Fin antes del inicio",IF(IF($J$2="",FALSE(),OR(E219&lt;$J$2,F219&gt;Reprogramaciones!$T$15+69)),"Fuera de las 10 semanas",IF(ABS(SUM(G219:P219)-100)&gt;0.5,"La meta no suma 100%",IF(ROUND(SUM(Q219:AF219),1)&gt;100.5,"El avance pasa de 100%",IF(MIN(Q219:AF219)&lt;0,"Avance negativo",IF(COUNTA(Q219:AF219)&gt;COUNT(Q219:AF219),"Avance escrito como texto",IF(SUMPRODUCT((Q219:AF219&gt;0)*(Q219:AF219&lt;1))&gt;0,"Avance menor a 1: escribe 50, no 50%",IF(SUMPRODUCT(ISNUMBER(Q219:AF219)*(Reprogramaciones!$K$8:$Z$8&gt;TODAY()))&gt;0,"Avance en semana que aún no llega",IF(AND(N(Reprogramaciones!$E$21)&gt;0,F219&gt;Reprogramaciones!$E$21),"Pasa el fin de la obra: registra una reprogramación",IF(AND(N(Reprogramaciones!$E$21)&gt;0,SUMPRODUCT(ISNUMBER(Q219:AF219)*(Reprogramaciones!$K$8:$Z$8&gt;Reprogramaciones!$E$21))&gt;0),"Avance después del fin de la obra: registra una reprogramación por atraso","OK"))))))))))))))))</f>
        <v/>
      </c>
      <c r="AM219" s="40" t="str">
        <f aca="false">IF(OR(OR(NOT(AND(ISNUMBER(E219),ISNUMBER(F219))),$J$2=""),1&gt;MAX(1,Reprogramaciones!$U$15)),"",IF(Reprogramaciones!K$12&gt;=7,"",IF(OR(BT219-N(0)&gt;0.05,N(Q219)&gt;0),ROUNDDOWN(ROUND(BT219,6),0)&amp;"%"&amp;IF(CJ219="",""," / "&amp;CJ219&amp;"%"),IF(AND(N(0)&gt;=99.95,CJ219&lt;&gt;"",N(CJ219)&lt;100),"Pend. "&amp;CJ219&amp;"%",""))))</f>
        <v/>
      </c>
      <c r="AN219" s="40" t="str">
        <f aca="false">IF(OR(OR(NOT(AND(ISNUMBER(E219),ISNUMBER(F219))),$J$2=""),2&gt;MAX(1,Reprogramaciones!$U$15)),"",IF(Reprogramaciones!L$12&gt;=7,"",IF(OR(BU219-N(BT219)&gt;0.05,N(R219)&gt;0),ROUNDDOWN(ROUND(BU219,6),0)&amp;"%"&amp;IF(CK219="",""," / "&amp;CK219&amp;"%"),IF(AND(N(BT219)&gt;=99.95,CK219&lt;&gt;"",N(CK219)&lt;100),"Pend. "&amp;CK219&amp;"%",""))))</f>
        <v/>
      </c>
      <c r="AO219" s="40" t="str">
        <f aca="false">IF(OR(OR(NOT(AND(ISNUMBER(E219),ISNUMBER(F219))),$J$2=""),3&gt;MAX(1,Reprogramaciones!$U$15)),"",IF(Reprogramaciones!M$12&gt;=7,"",IF(OR(BV219-N(BU219)&gt;0.05,N(S219)&gt;0),ROUNDDOWN(ROUND(BV219,6),0)&amp;"%"&amp;IF(CL219="",""," / "&amp;CL219&amp;"%"),IF(AND(N(BU219)&gt;=99.95,CL219&lt;&gt;"",N(CL219)&lt;100),"Pend. "&amp;CL219&amp;"%",""))))</f>
        <v/>
      </c>
      <c r="AP219" s="40" t="str">
        <f aca="false">IF(OR(OR(NOT(AND(ISNUMBER(E219),ISNUMBER(F219))),$J$2=""),4&gt;MAX(1,Reprogramaciones!$U$15)),"",IF(Reprogramaciones!N$12&gt;=7,"",IF(OR(BW219-N(BV219)&gt;0.05,N(T219)&gt;0),ROUNDDOWN(ROUND(BW219,6),0)&amp;"%"&amp;IF(CM219="",""," / "&amp;CM219&amp;"%"),IF(AND(N(BV219)&gt;=99.95,CM219&lt;&gt;"",N(CM219)&lt;100),"Pend. "&amp;CM219&amp;"%",""))))</f>
        <v/>
      </c>
      <c r="AQ219" s="40" t="str">
        <f aca="false">IF(OR(OR(NOT(AND(ISNUMBER(E219),ISNUMBER(F219))),$J$2=""),5&gt;MAX(1,Reprogramaciones!$U$15)),"",IF(Reprogramaciones!O$12&gt;=7,"",IF(OR(BX219-N(BW219)&gt;0.05,N(U219)&gt;0),ROUNDDOWN(ROUND(BX219,6),0)&amp;"%"&amp;IF(CN219="",""," / "&amp;CN219&amp;"%"),IF(AND(N(BW219)&gt;=99.95,CN219&lt;&gt;"",N(CN219)&lt;100),"Pend. "&amp;CN219&amp;"%",""))))</f>
        <v/>
      </c>
      <c r="AR219" s="40" t="str">
        <f aca="false">IF(OR(OR(NOT(AND(ISNUMBER(E219),ISNUMBER(F219))),$J$2=""),6&gt;MAX(1,Reprogramaciones!$U$15)),"",IF(Reprogramaciones!P$12&gt;=7,"",IF(OR(BY219-N(BX219)&gt;0.05,N(V219)&gt;0),ROUNDDOWN(ROUND(BY219,6),0)&amp;"%"&amp;IF(CO219="",""," / "&amp;CO219&amp;"%"),IF(AND(N(BX219)&gt;=99.95,CO219&lt;&gt;"",N(CO219)&lt;100),"Pend. "&amp;CO219&amp;"%",""))))</f>
        <v/>
      </c>
      <c r="AS219" s="40" t="str">
        <f aca="false">IF(OR(OR(NOT(AND(ISNUMBER(E219),ISNUMBER(F219))),$J$2=""),7&gt;MAX(1,Reprogramaciones!$U$15)),"",IF(Reprogramaciones!Q$12&gt;=7,"",IF(OR(BZ219-N(BY219)&gt;0.05,N(W219)&gt;0),ROUNDDOWN(ROUND(BZ219,6),0)&amp;"%"&amp;IF(CP219="",""," / "&amp;CP219&amp;"%"),IF(AND(N(BY219)&gt;=99.95,CP219&lt;&gt;"",N(CP219)&lt;100),"Pend. "&amp;CP219&amp;"%",""))))</f>
        <v/>
      </c>
      <c r="AT219" s="40" t="str">
        <f aca="false">IF(OR(OR(NOT(AND(ISNUMBER(E219),ISNUMBER(F219))),$J$2=""),8&gt;MAX(1,Reprogramaciones!$U$15)),"",IF(Reprogramaciones!R$12&gt;=7,"",IF(OR(CA219-N(BZ219)&gt;0.05,N(X219)&gt;0),ROUNDDOWN(ROUND(CA219,6),0)&amp;"%"&amp;IF(CQ219="",""," / "&amp;CQ219&amp;"%"),IF(AND(N(BZ219)&gt;=99.95,CQ219&lt;&gt;"",N(CQ219)&lt;100),"Pend. "&amp;CQ219&amp;"%",""))))</f>
        <v/>
      </c>
      <c r="AU219" s="40" t="str">
        <f aca="false">IF(OR(OR(NOT(AND(ISNUMBER(E219),ISNUMBER(F219))),$J$2=""),9&gt;MAX(1,Reprogramaciones!$U$15)),"",IF(Reprogramaciones!S$12&gt;=7,"",IF(OR(CB219-N(CA219)&gt;0.05,N(Y219)&gt;0),ROUNDDOWN(ROUND(CB219,6),0)&amp;"%"&amp;IF(CR219="",""," / "&amp;CR219&amp;"%"),IF(AND(N(CA219)&gt;=99.95,CR219&lt;&gt;"",N(CR219)&lt;100),"Pend. "&amp;CR219&amp;"%",""))))</f>
        <v/>
      </c>
      <c r="AV219" s="40" t="str">
        <f aca="false">IF(OR(OR(NOT(AND(ISNUMBER(E219),ISNUMBER(F219))),$J$2=""),10&gt;MAX(1,Reprogramaciones!$U$15)),"",IF(Reprogramaciones!T$12&gt;=7,"",IF(OR(CC219-N(CB219)&gt;0.05,N(Z219)&gt;0),ROUNDDOWN(ROUND(CC219,6),0)&amp;"%"&amp;IF(CS219="",""," / "&amp;CS219&amp;"%"),IF(AND(N(CB219)&gt;=99.95,CS219&lt;&gt;"",N(CS219)&lt;100),"Pend. "&amp;CS219&amp;"%",""))))</f>
        <v/>
      </c>
      <c r="AW219" s="40" t="str">
        <f aca="false">IF(OR(OR(NOT(AND(ISNUMBER(E219),ISNUMBER(F219))),$J$2=""),11&gt;MAX(1,Reprogramaciones!$U$15)),"",IF(Reprogramaciones!U$12&gt;=7,"",IF(OR(CD219-N(CC219)&gt;0.05,N(AA219)&gt;0),ROUNDDOWN(ROUND(CD219,6),0)&amp;"%"&amp;IF(CT219="",""," / "&amp;CT219&amp;"%"),IF(AND(N(CC219)&gt;=99.95,CT219&lt;&gt;"",N(CT219)&lt;100),"Pend. "&amp;CT219&amp;"%",""))))</f>
        <v/>
      </c>
      <c r="AX219" s="40" t="str">
        <f aca="false">IF(OR(OR(NOT(AND(ISNUMBER(E219),ISNUMBER(F219))),$J$2=""),12&gt;MAX(1,Reprogramaciones!$U$15)),"",IF(Reprogramaciones!V$12&gt;=7,"",IF(OR(CE219-N(CD219)&gt;0.05,N(AB219)&gt;0),ROUNDDOWN(ROUND(CE219,6),0)&amp;"%"&amp;IF(CU219="",""," / "&amp;CU219&amp;"%"),IF(AND(N(CD219)&gt;=99.95,CU219&lt;&gt;"",N(CU219)&lt;100),"Pend. "&amp;CU219&amp;"%",""))))</f>
        <v/>
      </c>
      <c r="AY219" s="40" t="str">
        <f aca="false">IF(OR(OR(NOT(AND(ISNUMBER(E219),ISNUMBER(F219))),$J$2=""),13&gt;MAX(1,Reprogramaciones!$U$15)),"",IF(Reprogramaciones!W$12&gt;=7,"",IF(OR(CF219-N(CE219)&gt;0.05,N(AC219)&gt;0),ROUNDDOWN(ROUND(CF219,6),0)&amp;"%"&amp;IF(CV219="",""," / "&amp;CV219&amp;"%"),IF(AND(N(CE219)&gt;=99.95,CV219&lt;&gt;"",N(CV219)&lt;100),"Pend. "&amp;CV219&amp;"%",""))))</f>
        <v/>
      </c>
      <c r="AZ219" s="40" t="str">
        <f aca="false">IF(OR(OR(NOT(AND(ISNUMBER(E219),ISNUMBER(F219))),$J$2=""),14&gt;MAX(1,Reprogramaciones!$U$15)),"",IF(Reprogramaciones!X$12&gt;=7,"",IF(OR(CG219-N(CF219)&gt;0.05,N(AD219)&gt;0),ROUNDDOWN(ROUND(CG219,6),0)&amp;"%"&amp;IF(CW219="",""," / "&amp;CW219&amp;"%"),IF(AND(N(CF219)&gt;=99.95,CW219&lt;&gt;"",N(CW219)&lt;100),"Pend. "&amp;CW219&amp;"%",""))))</f>
        <v/>
      </c>
      <c r="BA219" s="40" t="str">
        <f aca="false">IF(OR(OR(NOT(AND(ISNUMBER(E219),ISNUMBER(F219))),$J$2=""),15&gt;MAX(1,Reprogramaciones!$U$15)),"",IF(Reprogramaciones!Y$12&gt;=7,"",IF(OR(CH219-N(CG219)&gt;0.05,N(AE219)&gt;0),ROUNDDOWN(ROUND(CH219,6),0)&amp;"%"&amp;IF(CX219="",""," / "&amp;CX219&amp;"%"),IF(AND(N(CG219)&gt;=99.95,CX219&lt;&gt;"",N(CX219)&lt;100),"Pend. "&amp;CX219&amp;"%",""))))</f>
        <v/>
      </c>
      <c r="BB219" s="40" t="str">
        <f aca="false">IF(OR(OR(NOT(AND(ISNUMBER(E219),ISNUMBER(F219))),$J$2=""),16&gt;MAX(1,Reprogramaciones!$U$15)),"",IF(Reprogramaciones!Z$12&gt;=7,"",IF(OR(CI219-N(CH219)&gt;0.05,N(AF219)&gt;0),ROUNDDOWN(ROUND(CI219,6),0)&amp;"%"&amp;IF(CY219="",""," / "&amp;CY219&amp;"%"),IF(AND(N(CH219)&gt;=99.95,CY219&lt;&gt;"",N(CY219)&lt;100),"Pend. "&amp;CY219&amp;"%",""))))</f>
        <v/>
      </c>
      <c r="BC219" s="31" t="n">
        <f aca="false">IF(AND(ISNUMBER(E219),ISNUMBER(F219)),MAX(1,NETWORKDAYS.INTL(E219,F219,11)),0)</f>
        <v>0</v>
      </c>
      <c r="BD219" s="1" t="str">
        <f aca="false">IF(OR(NOT(AND(ISNUMBER(E219),ISNUMBER(F219))),$J$2=""),"",MIN(100,ROUND(SUM($G219:G219),1)))</f>
        <v/>
      </c>
      <c r="BE219" s="1" t="str">
        <f aca="false">IF(OR(NOT(AND(ISNUMBER(E219),ISNUMBER(F219))),$J$2=""),"",MIN(100,ROUND(SUM($G219:H219),1)))</f>
        <v/>
      </c>
      <c r="BF219" s="1" t="str">
        <f aca="false">IF(OR(NOT(AND(ISNUMBER(E219),ISNUMBER(F219))),$J$2=""),"",MIN(100,ROUND(SUM($G219:I219),1)))</f>
        <v/>
      </c>
      <c r="BG219" s="1" t="str">
        <f aca="false">IF(OR(NOT(AND(ISNUMBER(E219),ISNUMBER(F219))),$J$2=""),"",MIN(100,ROUND(SUM($G219:J219),1)))</f>
        <v/>
      </c>
      <c r="BH219" s="1" t="str">
        <f aca="false">IF(OR(NOT(AND(ISNUMBER(E219),ISNUMBER(F219))),$J$2=""),"",MIN(100,ROUND(SUM($G219:K219),1)))</f>
        <v/>
      </c>
      <c r="BI219" s="1" t="str">
        <f aca="false">IF(OR(NOT(AND(ISNUMBER(E219),ISNUMBER(F219))),$J$2=""),"",MIN(100,ROUND(SUM($G219:L219),1)))</f>
        <v/>
      </c>
      <c r="BJ219" s="1" t="str">
        <f aca="false">IF(OR(NOT(AND(ISNUMBER(E219),ISNUMBER(F219))),$J$2=""),"",MIN(100,ROUND(SUM($G219:M219),1)))</f>
        <v/>
      </c>
      <c r="BK219" s="1" t="str">
        <f aca="false">IF(OR(NOT(AND(ISNUMBER(E219),ISNUMBER(F219))),$J$2=""),"",MIN(100,ROUND(SUM($G219:N219),1)))</f>
        <v/>
      </c>
      <c r="BL219" s="1" t="str">
        <f aca="false">IF(OR(NOT(AND(ISNUMBER(E219),ISNUMBER(F219))),$J$2=""),"",MIN(100,ROUND(SUM($G219:O219),1)))</f>
        <v/>
      </c>
      <c r="BM219" s="1" t="str">
        <f aca="false">IF(OR(NOT(AND(ISNUMBER(E219),ISNUMBER(F219))),$J$2=""),"",MIN(100,ROUND(SUM($G219:P219),1)))</f>
        <v/>
      </c>
      <c r="BN219" s="1" t="str">
        <f aca="false">IF(OR(NOT(AND(ISNUMBER(E219),ISNUMBER(F219))),$J$2=""),"",MIN(100,ROUND(SUM($G219:P219),1)))</f>
        <v/>
      </c>
      <c r="BO219" s="1" t="str">
        <f aca="false">IF(OR(NOT(AND(ISNUMBER(E219),ISNUMBER(F219))),$J$2=""),"",MIN(100,ROUND(SUM($G219:P219),1)))</f>
        <v/>
      </c>
      <c r="BP219" s="1" t="str">
        <f aca="false">IF(OR(NOT(AND(ISNUMBER(E219),ISNUMBER(F219))),$J$2=""),"",MIN(100,ROUND(SUM($G219:P219),1)))</f>
        <v/>
      </c>
      <c r="BQ219" s="1" t="str">
        <f aca="false">IF(OR(NOT(AND(ISNUMBER(E219),ISNUMBER(F219))),$J$2=""),"",MIN(100,ROUND(SUM($G219:P219),1)))</f>
        <v/>
      </c>
      <c r="BR219" s="1" t="str">
        <f aca="false">IF(OR(NOT(AND(ISNUMBER(E219),ISNUMBER(F219))),$J$2=""),"",MIN(100,ROUND(SUM($G219:P219),1)))</f>
        <v/>
      </c>
      <c r="BS219" s="1" t="str">
        <f aca="false">IF(OR(NOT(AND(ISNUMBER(E219),ISNUMBER(F219))),$J$2=""),"",MIN(100,ROUND(SUM($G219:P219),1)))</f>
        <v/>
      </c>
      <c r="BT219" s="1" t="str">
        <f aca="false">IF(OR(NOT(AND(ISNUMBER(E219),ISNUMBER(F219))),$J$2=""),"",IF(Reprogramaciones!K$13&lt;Reprogramaciones!$T$15,0,IF(Reprogramaciones!K$14&gt;10,MIN(100,SUM($G219:$P219)),MIN(100,SUMPRODUCT((COLUMN($G219:$P219)-COLUMN($G219)+1&lt;Reprogramaciones!K$14)*$G219:$P219)+N(INDEX($G219:$P219,1,Reprogramaciones!K$14))*IF(Reprogramaciones!K$13&gt;=(Reprogramaciones!$T$15+7*(Reprogramaciones!K$14-1))+6,1,IF(MAX(0,NETWORKDAYS.INTL(MAX(E219,(Reprogramaciones!$T$15+7*(Reprogramaciones!K$14-1))),MIN(F219,(Reprogramaciones!$T$15+7*(Reprogramaciones!K$14-1))+6),11))=0,0,MAX(0,NETWORKDAYS.INTL(MAX(E219,(Reprogramaciones!$T$15+7*(Reprogramaciones!K$14-1))),MIN(F219,Reprogramaciones!K$13),11))/MAX(0,NETWORKDAYS.INTL(MAX(E219,(Reprogramaciones!$T$15+7*(Reprogramaciones!K$14-1))),MIN(F219,(Reprogramaciones!$T$15+7*(Reprogramaciones!K$14-1))+6),11))))))))</f>
        <v/>
      </c>
      <c r="BU219" s="1" t="str">
        <f aca="false">IF(OR(NOT(AND(ISNUMBER(E219),ISNUMBER(F219))),$J$2=""),"",IF(Reprogramaciones!L$13&lt;Reprogramaciones!$T$15,0,IF(Reprogramaciones!L$14&gt;10,MIN(100,SUM($G219:$P219)),MIN(100,SUMPRODUCT((COLUMN($G219:$P219)-COLUMN($G219)+1&lt;Reprogramaciones!L$14)*$G219:$P219)+N(INDEX($G219:$P219,1,Reprogramaciones!L$14))*IF(Reprogramaciones!L$13&gt;=(Reprogramaciones!$T$15+7*(Reprogramaciones!L$14-1))+6,1,IF(MAX(0,NETWORKDAYS.INTL(MAX(E219,(Reprogramaciones!$T$15+7*(Reprogramaciones!L$14-1))),MIN(F219,(Reprogramaciones!$T$15+7*(Reprogramaciones!L$14-1))+6),11))=0,0,MAX(0,NETWORKDAYS.INTL(MAX(E219,(Reprogramaciones!$T$15+7*(Reprogramaciones!L$14-1))),MIN(F219,Reprogramaciones!L$13),11))/MAX(0,NETWORKDAYS.INTL(MAX(E219,(Reprogramaciones!$T$15+7*(Reprogramaciones!L$14-1))),MIN(F219,(Reprogramaciones!$T$15+7*(Reprogramaciones!L$14-1))+6),11))))))))</f>
        <v/>
      </c>
      <c r="BV219" s="1" t="str">
        <f aca="false">IF(OR(NOT(AND(ISNUMBER(E219),ISNUMBER(F219))),$J$2=""),"",IF(Reprogramaciones!M$13&lt;Reprogramaciones!$T$15,0,IF(Reprogramaciones!M$14&gt;10,MIN(100,SUM($G219:$P219)),MIN(100,SUMPRODUCT((COLUMN($G219:$P219)-COLUMN($G219)+1&lt;Reprogramaciones!M$14)*$G219:$P219)+N(INDEX($G219:$P219,1,Reprogramaciones!M$14))*IF(Reprogramaciones!M$13&gt;=(Reprogramaciones!$T$15+7*(Reprogramaciones!M$14-1))+6,1,IF(MAX(0,NETWORKDAYS.INTL(MAX(E219,(Reprogramaciones!$T$15+7*(Reprogramaciones!M$14-1))),MIN(F219,(Reprogramaciones!$T$15+7*(Reprogramaciones!M$14-1))+6),11))=0,0,MAX(0,NETWORKDAYS.INTL(MAX(E219,(Reprogramaciones!$T$15+7*(Reprogramaciones!M$14-1))),MIN(F219,Reprogramaciones!M$13),11))/MAX(0,NETWORKDAYS.INTL(MAX(E219,(Reprogramaciones!$T$15+7*(Reprogramaciones!M$14-1))),MIN(F219,(Reprogramaciones!$T$15+7*(Reprogramaciones!M$14-1))+6),11))))))))</f>
        <v/>
      </c>
      <c r="BW219" s="1" t="str">
        <f aca="false">IF(OR(NOT(AND(ISNUMBER(E219),ISNUMBER(F219))),$J$2=""),"",IF(Reprogramaciones!N$13&lt;Reprogramaciones!$T$15,0,IF(Reprogramaciones!N$14&gt;10,MIN(100,SUM($G219:$P219)),MIN(100,SUMPRODUCT((COLUMN($G219:$P219)-COLUMN($G219)+1&lt;Reprogramaciones!N$14)*$G219:$P219)+N(INDEX($G219:$P219,1,Reprogramaciones!N$14))*IF(Reprogramaciones!N$13&gt;=(Reprogramaciones!$T$15+7*(Reprogramaciones!N$14-1))+6,1,IF(MAX(0,NETWORKDAYS.INTL(MAX(E219,(Reprogramaciones!$T$15+7*(Reprogramaciones!N$14-1))),MIN(F219,(Reprogramaciones!$T$15+7*(Reprogramaciones!N$14-1))+6),11))=0,0,MAX(0,NETWORKDAYS.INTL(MAX(E219,(Reprogramaciones!$T$15+7*(Reprogramaciones!N$14-1))),MIN(F219,Reprogramaciones!N$13),11))/MAX(0,NETWORKDAYS.INTL(MAX(E219,(Reprogramaciones!$T$15+7*(Reprogramaciones!N$14-1))),MIN(F219,(Reprogramaciones!$T$15+7*(Reprogramaciones!N$14-1))+6),11))))))))</f>
        <v/>
      </c>
      <c r="BX219" s="1" t="str">
        <f aca="false">IF(OR(NOT(AND(ISNUMBER(E219),ISNUMBER(F219))),$J$2=""),"",IF(Reprogramaciones!O$13&lt;Reprogramaciones!$T$15,0,IF(Reprogramaciones!O$14&gt;10,MIN(100,SUM($G219:$P219)),MIN(100,SUMPRODUCT((COLUMN($G219:$P219)-COLUMN($G219)+1&lt;Reprogramaciones!O$14)*$G219:$P219)+N(INDEX($G219:$P219,1,Reprogramaciones!O$14))*IF(Reprogramaciones!O$13&gt;=(Reprogramaciones!$T$15+7*(Reprogramaciones!O$14-1))+6,1,IF(MAX(0,NETWORKDAYS.INTL(MAX(E219,(Reprogramaciones!$T$15+7*(Reprogramaciones!O$14-1))),MIN(F219,(Reprogramaciones!$T$15+7*(Reprogramaciones!O$14-1))+6),11))=0,0,MAX(0,NETWORKDAYS.INTL(MAX(E219,(Reprogramaciones!$T$15+7*(Reprogramaciones!O$14-1))),MIN(F219,Reprogramaciones!O$13),11))/MAX(0,NETWORKDAYS.INTL(MAX(E219,(Reprogramaciones!$T$15+7*(Reprogramaciones!O$14-1))),MIN(F219,(Reprogramaciones!$T$15+7*(Reprogramaciones!O$14-1))+6),11))))))))</f>
        <v/>
      </c>
      <c r="BY219" s="1" t="str">
        <f aca="false">IF(OR(NOT(AND(ISNUMBER(E219),ISNUMBER(F219))),$J$2=""),"",IF(Reprogramaciones!P$13&lt;Reprogramaciones!$T$15,0,IF(Reprogramaciones!P$14&gt;10,MIN(100,SUM($G219:$P219)),MIN(100,SUMPRODUCT((COLUMN($G219:$P219)-COLUMN($G219)+1&lt;Reprogramaciones!P$14)*$G219:$P219)+N(INDEX($G219:$P219,1,Reprogramaciones!P$14))*IF(Reprogramaciones!P$13&gt;=(Reprogramaciones!$T$15+7*(Reprogramaciones!P$14-1))+6,1,IF(MAX(0,NETWORKDAYS.INTL(MAX(E219,(Reprogramaciones!$T$15+7*(Reprogramaciones!P$14-1))),MIN(F219,(Reprogramaciones!$T$15+7*(Reprogramaciones!P$14-1))+6),11))=0,0,MAX(0,NETWORKDAYS.INTL(MAX(E219,(Reprogramaciones!$T$15+7*(Reprogramaciones!P$14-1))),MIN(F219,Reprogramaciones!P$13),11))/MAX(0,NETWORKDAYS.INTL(MAX(E219,(Reprogramaciones!$T$15+7*(Reprogramaciones!P$14-1))),MIN(F219,(Reprogramaciones!$T$15+7*(Reprogramaciones!P$14-1))+6),11))))))))</f>
        <v/>
      </c>
      <c r="BZ219" s="1" t="str">
        <f aca="false">IF(OR(NOT(AND(ISNUMBER(E219),ISNUMBER(F219))),$J$2=""),"",IF(Reprogramaciones!Q$13&lt;Reprogramaciones!$T$15,0,IF(Reprogramaciones!Q$14&gt;10,MIN(100,SUM($G219:$P219)),MIN(100,SUMPRODUCT((COLUMN($G219:$P219)-COLUMN($G219)+1&lt;Reprogramaciones!Q$14)*$G219:$P219)+N(INDEX($G219:$P219,1,Reprogramaciones!Q$14))*IF(Reprogramaciones!Q$13&gt;=(Reprogramaciones!$T$15+7*(Reprogramaciones!Q$14-1))+6,1,IF(MAX(0,NETWORKDAYS.INTL(MAX(E219,(Reprogramaciones!$T$15+7*(Reprogramaciones!Q$14-1))),MIN(F219,(Reprogramaciones!$T$15+7*(Reprogramaciones!Q$14-1))+6),11))=0,0,MAX(0,NETWORKDAYS.INTL(MAX(E219,(Reprogramaciones!$T$15+7*(Reprogramaciones!Q$14-1))),MIN(F219,Reprogramaciones!Q$13),11))/MAX(0,NETWORKDAYS.INTL(MAX(E219,(Reprogramaciones!$T$15+7*(Reprogramaciones!Q$14-1))),MIN(F219,(Reprogramaciones!$T$15+7*(Reprogramaciones!Q$14-1))+6),11))))))))</f>
        <v/>
      </c>
      <c r="CA219" s="1" t="str">
        <f aca="false">IF(OR(NOT(AND(ISNUMBER(E219),ISNUMBER(F219))),$J$2=""),"",IF(Reprogramaciones!R$13&lt;Reprogramaciones!$T$15,0,IF(Reprogramaciones!R$14&gt;10,MIN(100,SUM($G219:$P219)),MIN(100,SUMPRODUCT((COLUMN($G219:$P219)-COLUMN($G219)+1&lt;Reprogramaciones!R$14)*$G219:$P219)+N(INDEX($G219:$P219,1,Reprogramaciones!R$14))*IF(Reprogramaciones!R$13&gt;=(Reprogramaciones!$T$15+7*(Reprogramaciones!R$14-1))+6,1,IF(MAX(0,NETWORKDAYS.INTL(MAX(E219,(Reprogramaciones!$T$15+7*(Reprogramaciones!R$14-1))),MIN(F219,(Reprogramaciones!$T$15+7*(Reprogramaciones!R$14-1))+6),11))=0,0,MAX(0,NETWORKDAYS.INTL(MAX(E219,(Reprogramaciones!$T$15+7*(Reprogramaciones!R$14-1))),MIN(F219,Reprogramaciones!R$13),11))/MAX(0,NETWORKDAYS.INTL(MAX(E219,(Reprogramaciones!$T$15+7*(Reprogramaciones!R$14-1))),MIN(F219,(Reprogramaciones!$T$15+7*(Reprogramaciones!R$14-1))+6),11))))))))</f>
        <v/>
      </c>
      <c r="CB219" s="1" t="str">
        <f aca="false">IF(OR(NOT(AND(ISNUMBER(E219),ISNUMBER(F219))),$J$2=""),"",IF(Reprogramaciones!S$13&lt;Reprogramaciones!$T$15,0,IF(Reprogramaciones!S$14&gt;10,MIN(100,SUM($G219:$P219)),MIN(100,SUMPRODUCT((COLUMN($G219:$P219)-COLUMN($G219)+1&lt;Reprogramaciones!S$14)*$G219:$P219)+N(INDEX($G219:$P219,1,Reprogramaciones!S$14))*IF(Reprogramaciones!S$13&gt;=(Reprogramaciones!$T$15+7*(Reprogramaciones!S$14-1))+6,1,IF(MAX(0,NETWORKDAYS.INTL(MAX(E219,(Reprogramaciones!$T$15+7*(Reprogramaciones!S$14-1))),MIN(F219,(Reprogramaciones!$T$15+7*(Reprogramaciones!S$14-1))+6),11))=0,0,MAX(0,NETWORKDAYS.INTL(MAX(E219,(Reprogramaciones!$T$15+7*(Reprogramaciones!S$14-1))),MIN(F219,Reprogramaciones!S$13),11))/MAX(0,NETWORKDAYS.INTL(MAX(E219,(Reprogramaciones!$T$15+7*(Reprogramaciones!S$14-1))),MIN(F219,(Reprogramaciones!$T$15+7*(Reprogramaciones!S$14-1))+6),11))))))))</f>
        <v/>
      </c>
      <c r="CC219" s="1" t="str">
        <f aca="false">IF(OR(NOT(AND(ISNUMBER(E219),ISNUMBER(F219))),$J$2=""),"",IF(Reprogramaciones!T$13&lt;Reprogramaciones!$T$15,0,IF(Reprogramaciones!T$14&gt;10,MIN(100,SUM($G219:$P219)),MIN(100,SUMPRODUCT((COLUMN($G219:$P219)-COLUMN($G219)+1&lt;Reprogramaciones!T$14)*$G219:$P219)+N(INDEX($G219:$P219,1,Reprogramaciones!T$14))*IF(Reprogramaciones!T$13&gt;=(Reprogramaciones!$T$15+7*(Reprogramaciones!T$14-1))+6,1,IF(MAX(0,NETWORKDAYS.INTL(MAX(E219,(Reprogramaciones!$T$15+7*(Reprogramaciones!T$14-1))),MIN(F219,(Reprogramaciones!$T$15+7*(Reprogramaciones!T$14-1))+6),11))=0,0,MAX(0,NETWORKDAYS.INTL(MAX(E219,(Reprogramaciones!$T$15+7*(Reprogramaciones!T$14-1))),MIN(F219,Reprogramaciones!T$13),11))/MAX(0,NETWORKDAYS.INTL(MAX(E219,(Reprogramaciones!$T$15+7*(Reprogramaciones!T$14-1))),MIN(F219,(Reprogramaciones!$T$15+7*(Reprogramaciones!T$14-1))+6),11))))))))</f>
        <v/>
      </c>
      <c r="CD219" s="1" t="str">
        <f aca="false">IF(OR(NOT(AND(ISNUMBER(E219),ISNUMBER(F219))),$J$2=""),"",IF(Reprogramaciones!U$13&lt;Reprogramaciones!$T$15,0,IF(Reprogramaciones!U$14&gt;10,MIN(100,SUM($G219:$P219)),MIN(100,SUMPRODUCT((COLUMN($G219:$P219)-COLUMN($G219)+1&lt;Reprogramaciones!U$14)*$G219:$P219)+N(INDEX($G219:$P219,1,Reprogramaciones!U$14))*IF(Reprogramaciones!U$13&gt;=(Reprogramaciones!$T$15+7*(Reprogramaciones!U$14-1))+6,1,IF(MAX(0,NETWORKDAYS.INTL(MAX(E219,(Reprogramaciones!$T$15+7*(Reprogramaciones!U$14-1))),MIN(F219,(Reprogramaciones!$T$15+7*(Reprogramaciones!U$14-1))+6),11))=0,0,MAX(0,NETWORKDAYS.INTL(MAX(E219,(Reprogramaciones!$T$15+7*(Reprogramaciones!U$14-1))),MIN(F219,Reprogramaciones!U$13),11))/MAX(0,NETWORKDAYS.INTL(MAX(E219,(Reprogramaciones!$T$15+7*(Reprogramaciones!U$14-1))),MIN(F219,(Reprogramaciones!$T$15+7*(Reprogramaciones!U$14-1))+6),11))))))))</f>
        <v/>
      </c>
      <c r="CE219" s="1" t="str">
        <f aca="false">IF(OR(NOT(AND(ISNUMBER(E219),ISNUMBER(F219))),$J$2=""),"",IF(Reprogramaciones!V$13&lt;Reprogramaciones!$T$15,0,IF(Reprogramaciones!V$14&gt;10,MIN(100,SUM($G219:$P219)),MIN(100,SUMPRODUCT((COLUMN($G219:$P219)-COLUMN($G219)+1&lt;Reprogramaciones!V$14)*$G219:$P219)+N(INDEX($G219:$P219,1,Reprogramaciones!V$14))*IF(Reprogramaciones!V$13&gt;=(Reprogramaciones!$T$15+7*(Reprogramaciones!V$14-1))+6,1,IF(MAX(0,NETWORKDAYS.INTL(MAX(E219,(Reprogramaciones!$T$15+7*(Reprogramaciones!V$14-1))),MIN(F219,(Reprogramaciones!$T$15+7*(Reprogramaciones!V$14-1))+6),11))=0,0,MAX(0,NETWORKDAYS.INTL(MAX(E219,(Reprogramaciones!$T$15+7*(Reprogramaciones!V$14-1))),MIN(F219,Reprogramaciones!V$13),11))/MAX(0,NETWORKDAYS.INTL(MAX(E219,(Reprogramaciones!$T$15+7*(Reprogramaciones!V$14-1))),MIN(F219,(Reprogramaciones!$T$15+7*(Reprogramaciones!V$14-1))+6),11))))))))</f>
        <v/>
      </c>
      <c r="CF219" s="1" t="str">
        <f aca="false">IF(OR(NOT(AND(ISNUMBER(E219),ISNUMBER(F219))),$J$2=""),"",IF(Reprogramaciones!W$13&lt;Reprogramaciones!$T$15,0,IF(Reprogramaciones!W$14&gt;10,MIN(100,SUM($G219:$P219)),MIN(100,SUMPRODUCT((COLUMN($G219:$P219)-COLUMN($G219)+1&lt;Reprogramaciones!W$14)*$G219:$P219)+N(INDEX($G219:$P219,1,Reprogramaciones!W$14))*IF(Reprogramaciones!W$13&gt;=(Reprogramaciones!$T$15+7*(Reprogramaciones!W$14-1))+6,1,IF(MAX(0,NETWORKDAYS.INTL(MAX(E219,(Reprogramaciones!$T$15+7*(Reprogramaciones!W$14-1))),MIN(F219,(Reprogramaciones!$T$15+7*(Reprogramaciones!W$14-1))+6),11))=0,0,MAX(0,NETWORKDAYS.INTL(MAX(E219,(Reprogramaciones!$T$15+7*(Reprogramaciones!W$14-1))),MIN(F219,Reprogramaciones!W$13),11))/MAX(0,NETWORKDAYS.INTL(MAX(E219,(Reprogramaciones!$T$15+7*(Reprogramaciones!W$14-1))),MIN(F219,(Reprogramaciones!$T$15+7*(Reprogramaciones!W$14-1))+6),11))))))))</f>
        <v/>
      </c>
      <c r="CG219" s="1" t="str">
        <f aca="false">IF(OR(NOT(AND(ISNUMBER(E219),ISNUMBER(F219))),$J$2=""),"",IF(Reprogramaciones!X$13&lt;Reprogramaciones!$T$15,0,IF(Reprogramaciones!X$14&gt;10,MIN(100,SUM($G219:$P219)),MIN(100,SUMPRODUCT((COLUMN($G219:$P219)-COLUMN($G219)+1&lt;Reprogramaciones!X$14)*$G219:$P219)+N(INDEX($G219:$P219,1,Reprogramaciones!X$14))*IF(Reprogramaciones!X$13&gt;=(Reprogramaciones!$T$15+7*(Reprogramaciones!X$14-1))+6,1,IF(MAX(0,NETWORKDAYS.INTL(MAX(E219,(Reprogramaciones!$T$15+7*(Reprogramaciones!X$14-1))),MIN(F219,(Reprogramaciones!$T$15+7*(Reprogramaciones!X$14-1))+6),11))=0,0,MAX(0,NETWORKDAYS.INTL(MAX(E219,(Reprogramaciones!$T$15+7*(Reprogramaciones!X$14-1))),MIN(F219,Reprogramaciones!X$13),11))/MAX(0,NETWORKDAYS.INTL(MAX(E219,(Reprogramaciones!$T$15+7*(Reprogramaciones!X$14-1))),MIN(F219,(Reprogramaciones!$T$15+7*(Reprogramaciones!X$14-1))+6),11))))))))</f>
        <v/>
      </c>
      <c r="CH219" s="1" t="str">
        <f aca="false">IF(OR(NOT(AND(ISNUMBER(E219),ISNUMBER(F219))),$J$2=""),"",IF(Reprogramaciones!Y$13&lt;Reprogramaciones!$T$15,0,IF(Reprogramaciones!Y$14&gt;10,MIN(100,SUM($G219:$P219)),MIN(100,SUMPRODUCT((COLUMN($G219:$P219)-COLUMN($G219)+1&lt;Reprogramaciones!Y$14)*$G219:$P219)+N(INDEX($G219:$P219,1,Reprogramaciones!Y$14))*IF(Reprogramaciones!Y$13&gt;=(Reprogramaciones!$T$15+7*(Reprogramaciones!Y$14-1))+6,1,IF(MAX(0,NETWORKDAYS.INTL(MAX(E219,(Reprogramaciones!$T$15+7*(Reprogramaciones!Y$14-1))),MIN(F219,(Reprogramaciones!$T$15+7*(Reprogramaciones!Y$14-1))+6),11))=0,0,MAX(0,NETWORKDAYS.INTL(MAX(E219,(Reprogramaciones!$T$15+7*(Reprogramaciones!Y$14-1))),MIN(F219,Reprogramaciones!Y$13),11))/MAX(0,NETWORKDAYS.INTL(MAX(E219,(Reprogramaciones!$T$15+7*(Reprogramaciones!Y$14-1))),MIN(F219,(Reprogramaciones!$T$15+7*(Reprogramaciones!Y$14-1))+6),11))))))))</f>
        <v/>
      </c>
      <c r="CI219" s="1" t="str">
        <f aca="false">IF(OR(NOT(AND(ISNUMBER(E219),ISNUMBER(F219))),$J$2=""),"",IF(Reprogramaciones!Z$13&lt;Reprogramaciones!$T$15,0,IF(Reprogramaciones!Z$14&gt;10,MIN(100,SUM($G219:$P219)),MIN(100,SUMPRODUCT((COLUMN($G219:$P219)-COLUMN($G219)+1&lt;Reprogramaciones!Z$14)*$G219:$P219)+N(INDEX($G219:$P219,1,Reprogramaciones!Z$14))*IF(Reprogramaciones!Z$13&gt;=(Reprogramaciones!$T$15+7*(Reprogramaciones!Z$14-1))+6,1,IF(MAX(0,NETWORKDAYS.INTL(MAX(E219,(Reprogramaciones!$T$15+7*(Reprogramaciones!Z$14-1))),MIN(F219,(Reprogramaciones!$T$15+7*(Reprogramaciones!Z$14-1))+6),11))=0,0,MAX(0,NETWORKDAYS.INTL(MAX(E219,(Reprogramaciones!$T$15+7*(Reprogramaciones!Z$14-1))),MIN(F219,Reprogramaciones!Z$13),11))/MAX(0,NETWORKDAYS.INTL(MAX(E219,(Reprogramaciones!$T$15+7*(Reprogramaciones!Z$14-1))),MIN(F219,(Reprogramaciones!$T$15+7*(Reprogramaciones!Z$14-1))+6),11))))))))</f>
        <v/>
      </c>
      <c r="CJ219" s="1" t="str">
        <f aca="false">IF(OR(OR(NOT(AND(ISNUMBER(E219),ISNUMBER(F219))),$J$2=""),1&gt;Reprogramaciones!$K$16),"",IF(ROUND(SUM($Q219:Q219),1)&gt;=99.5,100,MIN(100,ROUND(SUM($Q219:Q219),1))))</f>
        <v/>
      </c>
      <c r="CK219" s="1" t="str">
        <f aca="false">IF(OR(OR(NOT(AND(ISNUMBER(E219),ISNUMBER(F219))),$J$2=""),2&gt;Reprogramaciones!$K$16),"",IF(ROUND(SUM($Q219:R219),1)&gt;=99.5,100,MIN(100,ROUND(SUM($Q219:R219),1))))</f>
        <v/>
      </c>
      <c r="CL219" s="1" t="str">
        <f aca="false">IF(OR(OR(NOT(AND(ISNUMBER(E219),ISNUMBER(F219))),$J$2=""),3&gt;Reprogramaciones!$K$16),"",IF(ROUND(SUM($Q219:S219),1)&gt;=99.5,100,MIN(100,ROUND(SUM($Q219:S219),1))))</f>
        <v/>
      </c>
      <c r="CM219" s="1" t="str">
        <f aca="false">IF(OR(OR(NOT(AND(ISNUMBER(E219),ISNUMBER(F219))),$J$2=""),4&gt;Reprogramaciones!$K$16),"",IF(ROUND(SUM($Q219:T219),1)&gt;=99.5,100,MIN(100,ROUND(SUM($Q219:T219),1))))</f>
        <v/>
      </c>
      <c r="CN219" s="1" t="str">
        <f aca="false">IF(OR(OR(NOT(AND(ISNUMBER(E219),ISNUMBER(F219))),$J$2=""),5&gt;Reprogramaciones!$K$16),"",IF(ROUND(SUM($Q219:U219),1)&gt;=99.5,100,MIN(100,ROUND(SUM($Q219:U219),1))))</f>
        <v/>
      </c>
      <c r="CO219" s="1" t="str">
        <f aca="false">IF(OR(OR(NOT(AND(ISNUMBER(E219),ISNUMBER(F219))),$J$2=""),6&gt;Reprogramaciones!$K$16),"",IF(ROUND(SUM($Q219:V219),1)&gt;=99.5,100,MIN(100,ROUND(SUM($Q219:V219),1))))</f>
        <v/>
      </c>
      <c r="CP219" s="1" t="str">
        <f aca="false">IF(OR(OR(NOT(AND(ISNUMBER(E219),ISNUMBER(F219))),$J$2=""),7&gt;Reprogramaciones!$K$16),"",IF(ROUND(SUM($Q219:W219),1)&gt;=99.5,100,MIN(100,ROUND(SUM($Q219:W219),1))))</f>
        <v/>
      </c>
      <c r="CQ219" s="1" t="str">
        <f aca="false">IF(OR(OR(NOT(AND(ISNUMBER(E219),ISNUMBER(F219))),$J$2=""),8&gt;Reprogramaciones!$K$16),"",IF(ROUND(SUM($Q219:X219),1)&gt;=99.5,100,MIN(100,ROUND(SUM($Q219:X219),1))))</f>
        <v/>
      </c>
      <c r="CR219" s="1" t="str">
        <f aca="false">IF(OR(OR(NOT(AND(ISNUMBER(E219),ISNUMBER(F219))),$J$2=""),9&gt;Reprogramaciones!$K$16),"",IF(ROUND(SUM($Q219:Y219),1)&gt;=99.5,100,MIN(100,ROUND(SUM($Q219:Y219),1))))</f>
        <v/>
      </c>
      <c r="CS219" s="1" t="str">
        <f aca="false">IF(OR(OR(NOT(AND(ISNUMBER(E219),ISNUMBER(F219))),$J$2=""),10&gt;Reprogramaciones!$K$16),"",IF(ROUND(SUM($Q219:Z219),1)&gt;=99.5,100,MIN(100,ROUND(SUM($Q219:Z219),1))))</f>
        <v/>
      </c>
      <c r="CT219" s="1" t="str">
        <f aca="false">IF(OR(OR(NOT(AND(ISNUMBER(E219),ISNUMBER(F219))),$J$2=""),11&gt;Reprogramaciones!$K$16),"",IF(ROUND(SUM($Q219:AA219),1)&gt;=99.5,100,MIN(100,ROUND(SUM($Q219:AA219),1))))</f>
        <v/>
      </c>
      <c r="CU219" s="1" t="str">
        <f aca="false">IF(OR(OR(NOT(AND(ISNUMBER(E219),ISNUMBER(F219))),$J$2=""),12&gt;Reprogramaciones!$K$16),"",IF(ROUND(SUM($Q219:AB219),1)&gt;=99.5,100,MIN(100,ROUND(SUM($Q219:AB219),1))))</f>
        <v/>
      </c>
      <c r="CV219" s="1" t="str">
        <f aca="false">IF(OR(OR(NOT(AND(ISNUMBER(E219),ISNUMBER(F219))),$J$2=""),13&gt;Reprogramaciones!$K$16),"",IF(ROUND(SUM($Q219:AC219),1)&gt;=99.5,100,MIN(100,ROUND(SUM($Q219:AC219),1))))</f>
        <v/>
      </c>
      <c r="CW219" s="1" t="str">
        <f aca="false">IF(OR(OR(NOT(AND(ISNUMBER(E219),ISNUMBER(F219))),$J$2=""),14&gt;Reprogramaciones!$K$16),"",IF(ROUND(SUM($Q219:AD219),1)&gt;=99.5,100,MIN(100,ROUND(SUM($Q219:AD219),1))))</f>
        <v/>
      </c>
      <c r="CX219" s="1" t="str">
        <f aca="false">IF(OR(OR(NOT(AND(ISNUMBER(E219),ISNUMBER(F219))),$J$2=""),15&gt;Reprogramaciones!$K$16),"",IF(ROUND(SUM($Q219:AE219),1)&gt;=99.5,100,MIN(100,ROUND(SUM($Q219:AE219),1))))</f>
        <v/>
      </c>
      <c r="CY219" s="1" t="str">
        <f aca="false">IF(OR(OR(NOT(AND(ISNUMBER(E219),ISNUMBER(F219))),$J$2=""),16&gt;Reprogramaciones!$K$16),"",IF(ROUND(SUM($Q219:AF219),1)&gt;=99.5,100,MIN(100,ROUND(SUM($Q219:AF219),1))))</f>
        <v/>
      </c>
      <c r="CZ219" s="1" t="str">
        <f aca="false">IF(D219&lt;&gt;"",D219,IF(B219&lt;&gt;"","Contractual",CZ218))</f>
        <v>Contractual</v>
      </c>
      <c r="DA219" s="1" t="str">
        <f aca="false">IF(OR(NOT(AND(ISNUMBER(E219),ISNUMBER(F219))),$J$2=""),"",IF(Reprogramaciones!$Q$15&lt;Reprogramaciones!$T$15,0,IF(Reprogramaciones!$S$15&gt;10,MIN(100,SUM($G219:$P219)),MIN(100,SUMPRODUCT((COLUMN($G219:$P219)-COLUMN($G219)+1&lt;Reprogramaciones!$S$15)*$G219:$P219)+N(INDEX($G219:$P219,1,Reprogramaciones!$S$15))*IF(Reprogramaciones!$Q$15&gt;=(Reprogramaciones!$T$15+7*(Reprogramaciones!$S$15-1))+6,1,IF(MAX(0,NETWORKDAYS.INTL(MAX(E219,(Reprogramaciones!$T$15+7*(Reprogramaciones!$S$15-1))),MIN(F219,(Reprogramaciones!$T$15+7*(Reprogramaciones!$S$15-1))+6),11))=0,0,MAX(0,NETWORKDAYS.INTL(MAX(E219,(Reprogramaciones!$T$15+7*(Reprogramaciones!$S$15-1))),MIN(F219,Reprogramaciones!$Q$15),11))/MAX(0,NETWORKDAYS.INTL(MAX(E219,(Reprogramaciones!$T$15+7*(Reprogramaciones!$S$15-1))),MIN(F219,(Reprogramaciones!$T$15+7*(Reprogramaciones!$S$15-1))+6),11))))))))</f>
        <v/>
      </c>
    </row>
    <row r="220" customFormat="false" ht="15" hidden="false" customHeight="false" outlineLevel="0" collapsed="false">
      <c r="A220" s="32"/>
      <c r="B220" s="33"/>
      <c r="C220" s="33"/>
      <c r="D220" s="34"/>
      <c r="E220" s="35"/>
      <c r="F220" s="35"/>
      <c r="G220" s="36" t="str">
        <f aca="false">IF(OR(NOT(AND(ISNUMBER(E220),ISNUMBER(F220))),$J$2=""),"",IF(Reprogramaciones!K$9&lt;E220,0,IF(NETWORKDAYS.INTL(E220,F220,11)=0,IF(Reprogramaciones!K$9&gt;=F220,100,0),ROUND(NETWORKDAYS.INTL(E220,MIN(F220,Reprogramaciones!K$9),11)/NETWORKDAYS.INTL(E220,F220,11)*100,1)))-0)</f>
        <v/>
      </c>
      <c r="H220" s="36" t="str">
        <f aca="false">IF(OR(NOT(AND(ISNUMBER(E220),ISNUMBER(F220))),$J$2=""),"",IF(Reprogramaciones!L$9&lt;E220,0,IF(NETWORKDAYS.INTL(E220,F220,11)=0,IF(Reprogramaciones!L$9&gt;=F220,100,0),ROUND(NETWORKDAYS.INTL(E220,MIN(F220,Reprogramaciones!L$9),11)/NETWORKDAYS.INTL(E220,F220,11)*100,1)))-IF(Reprogramaciones!K$9&lt;E220,0,IF(NETWORKDAYS.INTL(E220,F220,11)=0,IF(Reprogramaciones!K$9&gt;=F220,100,0),ROUND(NETWORKDAYS.INTL(E220,MIN(F220,Reprogramaciones!K$9),11)/NETWORKDAYS.INTL(E220,F220,11)*100,1))))</f>
        <v/>
      </c>
      <c r="I220" s="36" t="str">
        <f aca="false">IF(OR(NOT(AND(ISNUMBER(E220),ISNUMBER(F220))),$J$2=""),"",IF(Reprogramaciones!M$9&lt;E220,0,IF(NETWORKDAYS.INTL(E220,F220,11)=0,IF(Reprogramaciones!M$9&gt;=F220,100,0),ROUND(NETWORKDAYS.INTL(E220,MIN(F220,Reprogramaciones!M$9),11)/NETWORKDAYS.INTL(E220,F220,11)*100,1)))-IF(Reprogramaciones!L$9&lt;E220,0,IF(NETWORKDAYS.INTL(E220,F220,11)=0,IF(Reprogramaciones!L$9&gt;=F220,100,0),ROUND(NETWORKDAYS.INTL(E220,MIN(F220,Reprogramaciones!L$9),11)/NETWORKDAYS.INTL(E220,F220,11)*100,1))))</f>
        <v/>
      </c>
      <c r="J220" s="36" t="str">
        <f aca="false">IF(OR(NOT(AND(ISNUMBER(E220),ISNUMBER(F220))),$J$2=""),"",IF(Reprogramaciones!N$9&lt;E220,0,IF(NETWORKDAYS.INTL(E220,F220,11)=0,IF(Reprogramaciones!N$9&gt;=F220,100,0),ROUND(NETWORKDAYS.INTL(E220,MIN(F220,Reprogramaciones!N$9),11)/NETWORKDAYS.INTL(E220,F220,11)*100,1)))-IF(Reprogramaciones!M$9&lt;E220,0,IF(NETWORKDAYS.INTL(E220,F220,11)=0,IF(Reprogramaciones!M$9&gt;=F220,100,0),ROUND(NETWORKDAYS.INTL(E220,MIN(F220,Reprogramaciones!M$9),11)/NETWORKDAYS.INTL(E220,F220,11)*100,1))))</f>
        <v/>
      </c>
      <c r="K220" s="36" t="str">
        <f aca="false">IF(OR(NOT(AND(ISNUMBER(E220),ISNUMBER(F220))),$J$2=""),"",IF(Reprogramaciones!O$9&lt;E220,0,IF(NETWORKDAYS.INTL(E220,F220,11)=0,IF(Reprogramaciones!O$9&gt;=F220,100,0),ROUND(NETWORKDAYS.INTL(E220,MIN(F220,Reprogramaciones!O$9),11)/NETWORKDAYS.INTL(E220,F220,11)*100,1)))-IF(Reprogramaciones!N$9&lt;E220,0,IF(NETWORKDAYS.INTL(E220,F220,11)=0,IF(Reprogramaciones!N$9&gt;=F220,100,0),ROUND(NETWORKDAYS.INTL(E220,MIN(F220,Reprogramaciones!N$9),11)/NETWORKDAYS.INTL(E220,F220,11)*100,1))))</f>
        <v/>
      </c>
      <c r="L220" s="36" t="str">
        <f aca="false">IF(OR(NOT(AND(ISNUMBER(E220),ISNUMBER(F220))),$J$2=""),"",IF(Reprogramaciones!P$9&lt;E220,0,IF(NETWORKDAYS.INTL(E220,F220,11)=0,IF(Reprogramaciones!P$9&gt;=F220,100,0),ROUND(NETWORKDAYS.INTL(E220,MIN(F220,Reprogramaciones!P$9),11)/NETWORKDAYS.INTL(E220,F220,11)*100,1)))-IF(Reprogramaciones!O$9&lt;E220,0,IF(NETWORKDAYS.INTL(E220,F220,11)=0,IF(Reprogramaciones!O$9&gt;=F220,100,0),ROUND(NETWORKDAYS.INTL(E220,MIN(F220,Reprogramaciones!O$9),11)/NETWORKDAYS.INTL(E220,F220,11)*100,1))))</f>
        <v/>
      </c>
      <c r="M220" s="36" t="str">
        <f aca="false">IF(OR(NOT(AND(ISNUMBER(E220),ISNUMBER(F220))),$J$2=""),"",IF(Reprogramaciones!Q$9&lt;E220,0,IF(NETWORKDAYS.INTL(E220,F220,11)=0,IF(Reprogramaciones!Q$9&gt;=F220,100,0),ROUND(NETWORKDAYS.INTL(E220,MIN(F220,Reprogramaciones!Q$9),11)/NETWORKDAYS.INTL(E220,F220,11)*100,1)))-IF(Reprogramaciones!P$9&lt;E220,0,IF(NETWORKDAYS.INTL(E220,F220,11)=0,IF(Reprogramaciones!P$9&gt;=F220,100,0),ROUND(NETWORKDAYS.INTL(E220,MIN(F220,Reprogramaciones!P$9),11)/NETWORKDAYS.INTL(E220,F220,11)*100,1))))</f>
        <v/>
      </c>
      <c r="N220" s="36" t="str">
        <f aca="false">IF(OR(NOT(AND(ISNUMBER(E220),ISNUMBER(F220))),$J$2=""),"",IF(Reprogramaciones!R$9&lt;E220,0,IF(NETWORKDAYS.INTL(E220,F220,11)=0,IF(Reprogramaciones!R$9&gt;=F220,100,0),ROUND(NETWORKDAYS.INTL(E220,MIN(F220,Reprogramaciones!R$9),11)/NETWORKDAYS.INTL(E220,F220,11)*100,1)))-IF(Reprogramaciones!Q$9&lt;E220,0,IF(NETWORKDAYS.INTL(E220,F220,11)=0,IF(Reprogramaciones!Q$9&gt;=F220,100,0),ROUND(NETWORKDAYS.INTL(E220,MIN(F220,Reprogramaciones!Q$9),11)/NETWORKDAYS.INTL(E220,F220,11)*100,1))))</f>
        <v/>
      </c>
      <c r="O220" s="36" t="str">
        <f aca="false">IF(OR(NOT(AND(ISNUMBER(E220),ISNUMBER(F220))),$J$2=""),"",IF(Reprogramaciones!S$9&lt;E220,0,IF(NETWORKDAYS.INTL(E220,F220,11)=0,IF(Reprogramaciones!S$9&gt;=F220,100,0),ROUND(NETWORKDAYS.INTL(E220,MIN(F220,Reprogramaciones!S$9),11)/NETWORKDAYS.INTL(E220,F220,11)*100,1)))-IF(Reprogramaciones!R$9&lt;E220,0,IF(NETWORKDAYS.INTL(E220,F220,11)=0,IF(Reprogramaciones!R$9&gt;=F220,100,0),ROUND(NETWORKDAYS.INTL(E220,MIN(F220,Reprogramaciones!R$9),11)/NETWORKDAYS.INTL(E220,F220,11)*100,1))))</f>
        <v/>
      </c>
      <c r="P220" s="36" t="str">
        <f aca="false">IF(OR(NOT(AND(ISNUMBER(E220),ISNUMBER(F220))),$J$2=""),"",IF(Reprogramaciones!T$9&lt;E220,0,IF(NETWORKDAYS.INTL(E220,F220,11)=0,IF(Reprogramaciones!T$9&gt;=F220,100,0),ROUND(NETWORKDAYS.INTL(E220,MIN(F220,Reprogramaciones!T$9),11)/NETWORKDAYS.INTL(E220,F220,11)*100,1)))-IF(Reprogramaciones!S$9&lt;E220,0,IF(NETWORKDAYS.INTL(E220,F220,11)=0,IF(Reprogramaciones!S$9&gt;=F220,100,0),ROUND(NETWORKDAYS.INTL(E220,MIN(F220,Reprogramaciones!S$9),11)/NETWORKDAYS.INTL(E220,F220,11)*100,1))))</f>
        <v/>
      </c>
      <c r="Q220" s="37"/>
      <c r="R220" s="37"/>
      <c r="S220" s="37"/>
      <c r="T220" s="37"/>
      <c r="U220" s="37"/>
      <c r="V220" s="37"/>
      <c r="W220" s="37"/>
      <c r="X220" s="37"/>
      <c r="Y220" s="37"/>
      <c r="Z220" s="37"/>
      <c r="AA220" s="37"/>
      <c r="AB220" s="37"/>
      <c r="AC220" s="37"/>
      <c r="AD220" s="37"/>
      <c r="AE220" s="37"/>
      <c r="AF220" s="37"/>
      <c r="AG220" s="38" t="str">
        <f aca="false">IF(AND(ISNUMBER(E220),ISNUMBER(F220)),NETWORKDAYS.INTL(E220,F220,11),"")</f>
        <v/>
      </c>
      <c r="AH220" s="38" t="str">
        <f aca="false">IF(OR(NOT(AND(ISNUMBER(E220),ISNUMBER(F220))),$J$2=""),"",IF(Reprogramaciones!$P$15&lt;Reprogramaciones!$T$15,0,IF(Reprogramaciones!$R$15&gt;10,MIN(100,SUM($G220:$P220)),MIN(100,SUMPRODUCT((COLUMN($G220:$P220)-COLUMN($G220)+1&lt;Reprogramaciones!$R$15)*$G220:$P220)+N(INDEX($G220:$P220,1,Reprogramaciones!$R$15))*IF(Reprogramaciones!$P$15&gt;=(Reprogramaciones!$T$15+7*(Reprogramaciones!$R$15-1))+6,1,IF(MAX(0,NETWORKDAYS.INTL(MAX(E220,(Reprogramaciones!$T$15+7*(Reprogramaciones!$R$15-1))),MIN(F220,(Reprogramaciones!$T$15+7*(Reprogramaciones!$R$15-1))+6),11))=0,0,MAX(0,NETWORKDAYS.INTL(MAX(E220,(Reprogramaciones!$T$15+7*(Reprogramaciones!$R$15-1))),MIN(F220,Reprogramaciones!$P$15),11))/MAX(0,NETWORKDAYS.INTL(MAX(E220,(Reprogramaciones!$T$15+7*(Reprogramaciones!$R$15-1))),MIN(F220,(Reprogramaciones!$T$15+7*(Reprogramaciones!$R$15-1))+6),11))))))))</f>
        <v/>
      </c>
      <c r="AI220" s="38" t="str">
        <f aca="false">IF(COUNT($Q220:$AF220)=0,"",IF(ROUND(SUM($Q220:$AF220),1)&gt;=99.5,100,MIN(100,ROUND(SUM($Q220:$AF220),1))))</f>
        <v/>
      </c>
      <c r="AJ220" s="38" t="str">
        <f aca="false">IF(OR(AH220="",AI220=""),"",AI220-AH220)</f>
        <v/>
      </c>
      <c r="AK220" s="39" t="str">
        <f aca="true">IF(AH220="","",IF(OR(Ficha!$C$10="Suspendida",Ficha!$C$10="Cancelada"),Ficha!$C$10,IF(AND(AI220&lt;&gt;"",N(AI220)&gt;=100),"Completada",IF(AND(E220&gt;TODAY(),N(AI220)=0),"Por iniciar",IF(N(AI220)+0.5&lt;AH220,"Retrasada",IF(N(AI220)+0.5&lt;DA220,IF(Reprogramaciones!$K$15&gt;0,"Al día · Sem "&amp;Reprogramaciones!$K$15&amp;" en curso","Al día · en curso"),"A tiempo"))))))</f>
        <v/>
      </c>
      <c r="AL220" s="39" t="str">
        <f aca="true">IF(AND(A220="",AND(B220="",C220="",E220="",F220="",COUNT(Q220:AF220)=0)),"",IF(AND(B220="",C220="",E220="",F220="",COUNT(Q220:AF220)=0),"Falta la partida o subpartida",IF(AND(A220&lt;&gt;"",COUNTIF($A$6:$A$305,A220)&gt;1),"Ítem repetido",IF(AND(C220="",E220="",F220="",COUNT(Q220:AF220)=0),"Título de partida",IF(OR(E220="",F220=""),"Faltan fechas",IF(OR(ISTEXT(E220),ISTEXT(F220)),"Fecha escrita como texto: usa dd/mm/aaaa",IF(F220&lt;E220,"Fin antes del inicio",IF(IF($J$2="",FALSE(),OR(E220&lt;$J$2,F220&gt;Reprogramaciones!$T$15+69)),"Fuera de las 10 semanas",IF(ABS(SUM(G220:P220)-100)&gt;0.5,"La meta no suma 100%",IF(ROUND(SUM(Q220:AF220),1)&gt;100.5,"El avance pasa de 100%",IF(MIN(Q220:AF220)&lt;0,"Avance negativo",IF(COUNTA(Q220:AF220)&gt;COUNT(Q220:AF220),"Avance escrito como texto",IF(SUMPRODUCT((Q220:AF220&gt;0)*(Q220:AF220&lt;1))&gt;0,"Avance menor a 1: escribe 50, no 50%",IF(SUMPRODUCT(ISNUMBER(Q220:AF220)*(Reprogramaciones!$K$8:$Z$8&gt;TODAY()))&gt;0,"Avance en semana que aún no llega",IF(AND(N(Reprogramaciones!$E$21)&gt;0,F220&gt;Reprogramaciones!$E$21),"Pasa el fin de la obra: registra una reprogramación",IF(AND(N(Reprogramaciones!$E$21)&gt;0,SUMPRODUCT(ISNUMBER(Q220:AF220)*(Reprogramaciones!$K$8:$Z$8&gt;Reprogramaciones!$E$21))&gt;0),"Avance después del fin de la obra: registra una reprogramación por atraso","OK"))))))))))))))))</f>
        <v/>
      </c>
      <c r="AM220" s="40" t="str">
        <f aca="false">IF(OR(OR(NOT(AND(ISNUMBER(E220),ISNUMBER(F220))),$J$2=""),1&gt;MAX(1,Reprogramaciones!$U$15)),"",IF(Reprogramaciones!K$12&gt;=7,"",IF(OR(BT220-N(0)&gt;0.05,N(Q220)&gt;0),ROUNDDOWN(ROUND(BT220,6),0)&amp;"%"&amp;IF(CJ220="",""," / "&amp;CJ220&amp;"%"),IF(AND(N(0)&gt;=99.95,CJ220&lt;&gt;"",N(CJ220)&lt;100),"Pend. "&amp;CJ220&amp;"%",""))))</f>
        <v/>
      </c>
      <c r="AN220" s="40" t="str">
        <f aca="false">IF(OR(OR(NOT(AND(ISNUMBER(E220),ISNUMBER(F220))),$J$2=""),2&gt;MAX(1,Reprogramaciones!$U$15)),"",IF(Reprogramaciones!L$12&gt;=7,"",IF(OR(BU220-N(BT220)&gt;0.05,N(R220)&gt;0),ROUNDDOWN(ROUND(BU220,6),0)&amp;"%"&amp;IF(CK220="",""," / "&amp;CK220&amp;"%"),IF(AND(N(BT220)&gt;=99.95,CK220&lt;&gt;"",N(CK220)&lt;100),"Pend. "&amp;CK220&amp;"%",""))))</f>
        <v/>
      </c>
      <c r="AO220" s="40" t="str">
        <f aca="false">IF(OR(OR(NOT(AND(ISNUMBER(E220),ISNUMBER(F220))),$J$2=""),3&gt;MAX(1,Reprogramaciones!$U$15)),"",IF(Reprogramaciones!M$12&gt;=7,"",IF(OR(BV220-N(BU220)&gt;0.05,N(S220)&gt;0),ROUNDDOWN(ROUND(BV220,6),0)&amp;"%"&amp;IF(CL220="",""," / "&amp;CL220&amp;"%"),IF(AND(N(BU220)&gt;=99.95,CL220&lt;&gt;"",N(CL220)&lt;100),"Pend. "&amp;CL220&amp;"%",""))))</f>
        <v/>
      </c>
      <c r="AP220" s="40" t="str">
        <f aca="false">IF(OR(OR(NOT(AND(ISNUMBER(E220),ISNUMBER(F220))),$J$2=""),4&gt;MAX(1,Reprogramaciones!$U$15)),"",IF(Reprogramaciones!N$12&gt;=7,"",IF(OR(BW220-N(BV220)&gt;0.05,N(T220)&gt;0),ROUNDDOWN(ROUND(BW220,6),0)&amp;"%"&amp;IF(CM220="",""," / "&amp;CM220&amp;"%"),IF(AND(N(BV220)&gt;=99.95,CM220&lt;&gt;"",N(CM220)&lt;100),"Pend. "&amp;CM220&amp;"%",""))))</f>
        <v/>
      </c>
      <c r="AQ220" s="40" t="str">
        <f aca="false">IF(OR(OR(NOT(AND(ISNUMBER(E220),ISNUMBER(F220))),$J$2=""),5&gt;MAX(1,Reprogramaciones!$U$15)),"",IF(Reprogramaciones!O$12&gt;=7,"",IF(OR(BX220-N(BW220)&gt;0.05,N(U220)&gt;0),ROUNDDOWN(ROUND(BX220,6),0)&amp;"%"&amp;IF(CN220="",""," / "&amp;CN220&amp;"%"),IF(AND(N(BW220)&gt;=99.95,CN220&lt;&gt;"",N(CN220)&lt;100),"Pend. "&amp;CN220&amp;"%",""))))</f>
        <v/>
      </c>
      <c r="AR220" s="40" t="str">
        <f aca="false">IF(OR(OR(NOT(AND(ISNUMBER(E220),ISNUMBER(F220))),$J$2=""),6&gt;MAX(1,Reprogramaciones!$U$15)),"",IF(Reprogramaciones!P$12&gt;=7,"",IF(OR(BY220-N(BX220)&gt;0.05,N(V220)&gt;0),ROUNDDOWN(ROUND(BY220,6),0)&amp;"%"&amp;IF(CO220="",""," / "&amp;CO220&amp;"%"),IF(AND(N(BX220)&gt;=99.95,CO220&lt;&gt;"",N(CO220)&lt;100),"Pend. "&amp;CO220&amp;"%",""))))</f>
        <v/>
      </c>
      <c r="AS220" s="40" t="str">
        <f aca="false">IF(OR(OR(NOT(AND(ISNUMBER(E220),ISNUMBER(F220))),$J$2=""),7&gt;MAX(1,Reprogramaciones!$U$15)),"",IF(Reprogramaciones!Q$12&gt;=7,"",IF(OR(BZ220-N(BY220)&gt;0.05,N(W220)&gt;0),ROUNDDOWN(ROUND(BZ220,6),0)&amp;"%"&amp;IF(CP220="",""," / "&amp;CP220&amp;"%"),IF(AND(N(BY220)&gt;=99.95,CP220&lt;&gt;"",N(CP220)&lt;100),"Pend. "&amp;CP220&amp;"%",""))))</f>
        <v/>
      </c>
      <c r="AT220" s="40" t="str">
        <f aca="false">IF(OR(OR(NOT(AND(ISNUMBER(E220),ISNUMBER(F220))),$J$2=""),8&gt;MAX(1,Reprogramaciones!$U$15)),"",IF(Reprogramaciones!R$12&gt;=7,"",IF(OR(CA220-N(BZ220)&gt;0.05,N(X220)&gt;0),ROUNDDOWN(ROUND(CA220,6),0)&amp;"%"&amp;IF(CQ220="",""," / "&amp;CQ220&amp;"%"),IF(AND(N(BZ220)&gt;=99.95,CQ220&lt;&gt;"",N(CQ220)&lt;100),"Pend. "&amp;CQ220&amp;"%",""))))</f>
        <v/>
      </c>
      <c r="AU220" s="40" t="str">
        <f aca="false">IF(OR(OR(NOT(AND(ISNUMBER(E220),ISNUMBER(F220))),$J$2=""),9&gt;MAX(1,Reprogramaciones!$U$15)),"",IF(Reprogramaciones!S$12&gt;=7,"",IF(OR(CB220-N(CA220)&gt;0.05,N(Y220)&gt;0),ROUNDDOWN(ROUND(CB220,6),0)&amp;"%"&amp;IF(CR220="",""," / "&amp;CR220&amp;"%"),IF(AND(N(CA220)&gt;=99.95,CR220&lt;&gt;"",N(CR220)&lt;100),"Pend. "&amp;CR220&amp;"%",""))))</f>
        <v/>
      </c>
      <c r="AV220" s="40" t="str">
        <f aca="false">IF(OR(OR(NOT(AND(ISNUMBER(E220),ISNUMBER(F220))),$J$2=""),10&gt;MAX(1,Reprogramaciones!$U$15)),"",IF(Reprogramaciones!T$12&gt;=7,"",IF(OR(CC220-N(CB220)&gt;0.05,N(Z220)&gt;0),ROUNDDOWN(ROUND(CC220,6),0)&amp;"%"&amp;IF(CS220="",""," / "&amp;CS220&amp;"%"),IF(AND(N(CB220)&gt;=99.95,CS220&lt;&gt;"",N(CS220)&lt;100),"Pend. "&amp;CS220&amp;"%",""))))</f>
        <v/>
      </c>
      <c r="AW220" s="40" t="str">
        <f aca="false">IF(OR(OR(NOT(AND(ISNUMBER(E220),ISNUMBER(F220))),$J$2=""),11&gt;MAX(1,Reprogramaciones!$U$15)),"",IF(Reprogramaciones!U$12&gt;=7,"",IF(OR(CD220-N(CC220)&gt;0.05,N(AA220)&gt;0),ROUNDDOWN(ROUND(CD220,6),0)&amp;"%"&amp;IF(CT220="",""," / "&amp;CT220&amp;"%"),IF(AND(N(CC220)&gt;=99.95,CT220&lt;&gt;"",N(CT220)&lt;100),"Pend. "&amp;CT220&amp;"%",""))))</f>
        <v/>
      </c>
      <c r="AX220" s="40" t="str">
        <f aca="false">IF(OR(OR(NOT(AND(ISNUMBER(E220),ISNUMBER(F220))),$J$2=""),12&gt;MAX(1,Reprogramaciones!$U$15)),"",IF(Reprogramaciones!V$12&gt;=7,"",IF(OR(CE220-N(CD220)&gt;0.05,N(AB220)&gt;0),ROUNDDOWN(ROUND(CE220,6),0)&amp;"%"&amp;IF(CU220="",""," / "&amp;CU220&amp;"%"),IF(AND(N(CD220)&gt;=99.95,CU220&lt;&gt;"",N(CU220)&lt;100),"Pend. "&amp;CU220&amp;"%",""))))</f>
        <v/>
      </c>
      <c r="AY220" s="40" t="str">
        <f aca="false">IF(OR(OR(NOT(AND(ISNUMBER(E220),ISNUMBER(F220))),$J$2=""),13&gt;MAX(1,Reprogramaciones!$U$15)),"",IF(Reprogramaciones!W$12&gt;=7,"",IF(OR(CF220-N(CE220)&gt;0.05,N(AC220)&gt;0),ROUNDDOWN(ROUND(CF220,6),0)&amp;"%"&amp;IF(CV220="",""," / "&amp;CV220&amp;"%"),IF(AND(N(CE220)&gt;=99.95,CV220&lt;&gt;"",N(CV220)&lt;100),"Pend. "&amp;CV220&amp;"%",""))))</f>
        <v/>
      </c>
      <c r="AZ220" s="40" t="str">
        <f aca="false">IF(OR(OR(NOT(AND(ISNUMBER(E220),ISNUMBER(F220))),$J$2=""),14&gt;MAX(1,Reprogramaciones!$U$15)),"",IF(Reprogramaciones!X$12&gt;=7,"",IF(OR(CG220-N(CF220)&gt;0.05,N(AD220)&gt;0),ROUNDDOWN(ROUND(CG220,6),0)&amp;"%"&amp;IF(CW220="",""," / "&amp;CW220&amp;"%"),IF(AND(N(CF220)&gt;=99.95,CW220&lt;&gt;"",N(CW220)&lt;100),"Pend. "&amp;CW220&amp;"%",""))))</f>
        <v/>
      </c>
      <c r="BA220" s="40" t="str">
        <f aca="false">IF(OR(OR(NOT(AND(ISNUMBER(E220),ISNUMBER(F220))),$J$2=""),15&gt;MAX(1,Reprogramaciones!$U$15)),"",IF(Reprogramaciones!Y$12&gt;=7,"",IF(OR(CH220-N(CG220)&gt;0.05,N(AE220)&gt;0),ROUNDDOWN(ROUND(CH220,6),0)&amp;"%"&amp;IF(CX220="",""," / "&amp;CX220&amp;"%"),IF(AND(N(CG220)&gt;=99.95,CX220&lt;&gt;"",N(CX220)&lt;100),"Pend. "&amp;CX220&amp;"%",""))))</f>
        <v/>
      </c>
      <c r="BB220" s="40" t="str">
        <f aca="false">IF(OR(OR(NOT(AND(ISNUMBER(E220),ISNUMBER(F220))),$J$2=""),16&gt;MAX(1,Reprogramaciones!$U$15)),"",IF(Reprogramaciones!Z$12&gt;=7,"",IF(OR(CI220-N(CH220)&gt;0.05,N(AF220)&gt;0),ROUNDDOWN(ROUND(CI220,6),0)&amp;"%"&amp;IF(CY220="",""," / "&amp;CY220&amp;"%"),IF(AND(N(CH220)&gt;=99.95,CY220&lt;&gt;"",N(CY220)&lt;100),"Pend. "&amp;CY220&amp;"%",""))))</f>
        <v/>
      </c>
      <c r="BC220" s="31" t="n">
        <f aca="false">IF(AND(ISNUMBER(E220),ISNUMBER(F220)),MAX(1,NETWORKDAYS.INTL(E220,F220,11)),0)</f>
        <v>0</v>
      </c>
      <c r="BD220" s="1" t="str">
        <f aca="false">IF(OR(NOT(AND(ISNUMBER(E220),ISNUMBER(F220))),$J$2=""),"",MIN(100,ROUND(SUM($G220:G220),1)))</f>
        <v/>
      </c>
      <c r="BE220" s="1" t="str">
        <f aca="false">IF(OR(NOT(AND(ISNUMBER(E220),ISNUMBER(F220))),$J$2=""),"",MIN(100,ROUND(SUM($G220:H220),1)))</f>
        <v/>
      </c>
      <c r="BF220" s="1" t="str">
        <f aca="false">IF(OR(NOT(AND(ISNUMBER(E220),ISNUMBER(F220))),$J$2=""),"",MIN(100,ROUND(SUM($G220:I220),1)))</f>
        <v/>
      </c>
      <c r="BG220" s="1" t="str">
        <f aca="false">IF(OR(NOT(AND(ISNUMBER(E220),ISNUMBER(F220))),$J$2=""),"",MIN(100,ROUND(SUM($G220:J220),1)))</f>
        <v/>
      </c>
      <c r="BH220" s="1" t="str">
        <f aca="false">IF(OR(NOT(AND(ISNUMBER(E220),ISNUMBER(F220))),$J$2=""),"",MIN(100,ROUND(SUM($G220:K220),1)))</f>
        <v/>
      </c>
      <c r="BI220" s="1" t="str">
        <f aca="false">IF(OR(NOT(AND(ISNUMBER(E220),ISNUMBER(F220))),$J$2=""),"",MIN(100,ROUND(SUM($G220:L220),1)))</f>
        <v/>
      </c>
      <c r="BJ220" s="1" t="str">
        <f aca="false">IF(OR(NOT(AND(ISNUMBER(E220),ISNUMBER(F220))),$J$2=""),"",MIN(100,ROUND(SUM($G220:M220),1)))</f>
        <v/>
      </c>
      <c r="BK220" s="1" t="str">
        <f aca="false">IF(OR(NOT(AND(ISNUMBER(E220),ISNUMBER(F220))),$J$2=""),"",MIN(100,ROUND(SUM($G220:N220),1)))</f>
        <v/>
      </c>
      <c r="BL220" s="1" t="str">
        <f aca="false">IF(OR(NOT(AND(ISNUMBER(E220),ISNUMBER(F220))),$J$2=""),"",MIN(100,ROUND(SUM($G220:O220),1)))</f>
        <v/>
      </c>
      <c r="BM220" s="1" t="str">
        <f aca="false">IF(OR(NOT(AND(ISNUMBER(E220),ISNUMBER(F220))),$J$2=""),"",MIN(100,ROUND(SUM($G220:P220),1)))</f>
        <v/>
      </c>
      <c r="BN220" s="1" t="str">
        <f aca="false">IF(OR(NOT(AND(ISNUMBER(E220),ISNUMBER(F220))),$J$2=""),"",MIN(100,ROUND(SUM($G220:P220),1)))</f>
        <v/>
      </c>
      <c r="BO220" s="1" t="str">
        <f aca="false">IF(OR(NOT(AND(ISNUMBER(E220),ISNUMBER(F220))),$J$2=""),"",MIN(100,ROUND(SUM($G220:P220),1)))</f>
        <v/>
      </c>
      <c r="BP220" s="1" t="str">
        <f aca="false">IF(OR(NOT(AND(ISNUMBER(E220),ISNUMBER(F220))),$J$2=""),"",MIN(100,ROUND(SUM($G220:P220),1)))</f>
        <v/>
      </c>
      <c r="BQ220" s="1" t="str">
        <f aca="false">IF(OR(NOT(AND(ISNUMBER(E220),ISNUMBER(F220))),$J$2=""),"",MIN(100,ROUND(SUM($G220:P220),1)))</f>
        <v/>
      </c>
      <c r="BR220" s="1" t="str">
        <f aca="false">IF(OR(NOT(AND(ISNUMBER(E220),ISNUMBER(F220))),$J$2=""),"",MIN(100,ROUND(SUM($G220:P220),1)))</f>
        <v/>
      </c>
      <c r="BS220" s="1" t="str">
        <f aca="false">IF(OR(NOT(AND(ISNUMBER(E220),ISNUMBER(F220))),$J$2=""),"",MIN(100,ROUND(SUM($G220:P220),1)))</f>
        <v/>
      </c>
      <c r="BT220" s="1" t="str">
        <f aca="false">IF(OR(NOT(AND(ISNUMBER(E220),ISNUMBER(F220))),$J$2=""),"",IF(Reprogramaciones!K$13&lt;Reprogramaciones!$T$15,0,IF(Reprogramaciones!K$14&gt;10,MIN(100,SUM($G220:$P220)),MIN(100,SUMPRODUCT((COLUMN($G220:$P220)-COLUMN($G220)+1&lt;Reprogramaciones!K$14)*$G220:$P220)+N(INDEX($G220:$P220,1,Reprogramaciones!K$14))*IF(Reprogramaciones!K$13&gt;=(Reprogramaciones!$T$15+7*(Reprogramaciones!K$14-1))+6,1,IF(MAX(0,NETWORKDAYS.INTL(MAX(E220,(Reprogramaciones!$T$15+7*(Reprogramaciones!K$14-1))),MIN(F220,(Reprogramaciones!$T$15+7*(Reprogramaciones!K$14-1))+6),11))=0,0,MAX(0,NETWORKDAYS.INTL(MAX(E220,(Reprogramaciones!$T$15+7*(Reprogramaciones!K$14-1))),MIN(F220,Reprogramaciones!K$13),11))/MAX(0,NETWORKDAYS.INTL(MAX(E220,(Reprogramaciones!$T$15+7*(Reprogramaciones!K$14-1))),MIN(F220,(Reprogramaciones!$T$15+7*(Reprogramaciones!K$14-1))+6),11))))))))</f>
        <v/>
      </c>
      <c r="BU220" s="1" t="str">
        <f aca="false">IF(OR(NOT(AND(ISNUMBER(E220),ISNUMBER(F220))),$J$2=""),"",IF(Reprogramaciones!L$13&lt;Reprogramaciones!$T$15,0,IF(Reprogramaciones!L$14&gt;10,MIN(100,SUM($G220:$P220)),MIN(100,SUMPRODUCT((COLUMN($G220:$P220)-COLUMN($G220)+1&lt;Reprogramaciones!L$14)*$G220:$P220)+N(INDEX($G220:$P220,1,Reprogramaciones!L$14))*IF(Reprogramaciones!L$13&gt;=(Reprogramaciones!$T$15+7*(Reprogramaciones!L$14-1))+6,1,IF(MAX(0,NETWORKDAYS.INTL(MAX(E220,(Reprogramaciones!$T$15+7*(Reprogramaciones!L$14-1))),MIN(F220,(Reprogramaciones!$T$15+7*(Reprogramaciones!L$14-1))+6),11))=0,0,MAX(0,NETWORKDAYS.INTL(MAX(E220,(Reprogramaciones!$T$15+7*(Reprogramaciones!L$14-1))),MIN(F220,Reprogramaciones!L$13),11))/MAX(0,NETWORKDAYS.INTL(MAX(E220,(Reprogramaciones!$T$15+7*(Reprogramaciones!L$14-1))),MIN(F220,(Reprogramaciones!$T$15+7*(Reprogramaciones!L$14-1))+6),11))))))))</f>
        <v/>
      </c>
      <c r="BV220" s="1" t="str">
        <f aca="false">IF(OR(NOT(AND(ISNUMBER(E220),ISNUMBER(F220))),$J$2=""),"",IF(Reprogramaciones!M$13&lt;Reprogramaciones!$T$15,0,IF(Reprogramaciones!M$14&gt;10,MIN(100,SUM($G220:$P220)),MIN(100,SUMPRODUCT((COLUMN($G220:$P220)-COLUMN($G220)+1&lt;Reprogramaciones!M$14)*$G220:$P220)+N(INDEX($G220:$P220,1,Reprogramaciones!M$14))*IF(Reprogramaciones!M$13&gt;=(Reprogramaciones!$T$15+7*(Reprogramaciones!M$14-1))+6,1,IF(MAX(0,NETWORKDAYS.INTL(MAX(E220,(Reprogramaciones!$T$15+7*(Reprogramaciones!M$14-1))),MIN(F220,(Reprogramaciones!$T$15+7*(Reprogramaciones!M$14-1))+6),11))=0,0,MAX(0,NETWORKDAYS.INTL(MAX(E220,(Reprogramaciones!$T$15+7*(Reprogramaciones!M$14-1))),MIN(F220,Reprogramaciones!M$13),11))/MAX(0,NETWORKDAYS.INTL(MAX(E220,(Reprogramaciones!$T$15+7*(Reprogramaciones!M$14-1))),MIN(F220,(Reprogramaciones!$T$15+7*(Reprogramaciones!M$14-1))+6),11))))))))</f>
        <v/>
      </c>
      <c r="BW220" s="1" t="str">
        <f aca="false">IF(OR(NOT(AND(ISNUMBER(E220),ISNUMBER(F220))),$J$2=""),"",IF(Reprogramaciones!N$13&lt;Reprogramaciones!$T$15,0,IF(Reprogramaciones!N$14&gt;10,MIN(100,SUM($G220:$P220)),MIN(100,SUMPRODUCT((COLUMN($G220:$P220)-COLUMN($G220)+1&lt;Reprogramaciones!N$14)*$G220:$P220)+N(INDEX($G220:$P220,1,Reprogramaciones!N$14))*IF(Reprogramaciones!N$13&gt;=(Reprogramaciones!$T$15+7*(Reprogramaciones!N$14-1))+6,1,IF(MAX(0,NETWORKDAYS.INTL(MAX(E220,(Reprogramaciones!$T$15+7*(Reprogramaciones!N$14-1))),MIN(F220,(Reprogramaciones!$T$15+7*(Reprogramaciones!N$14-1))+6),11))=0,0,MAX(0,NETWORKDAYS.INTL(MAX(E220,(Reprogramaciones!$T$15+7*(Reprogramaciones!N$14-1))),MIN(F220,Reprogramaciones!N$13),11))/MAX(0,NETWORKDAYS.INTL(MAX(E220,(Reprogramaciones!$T$15+7*(Reprogramaciones!N$14-1))),MIN(F220,(Reprogramaciones!$T$15+7*(Reprogramaciones!N$14-1))+6),11))))))))</f>
        <v/>
      </c>
      <c r="BX220" s="1" t="str">
        <f aca="false">IF(OR(NOT(AND(ISNUMBER(E220),ISNUMBER(F220))),$J$2=""),"",IF(Reprogramaciones!O$13&lt;Reprogramaciones!$T$15,0,IF(Reprogramaciones!O$14&gt;10,MIN(100,SUM($G220:$P220)),MIN(100,SUMPRODUCT((COLUMN($G220:$P220)-COLUMN($G220)+1&lt;Reprogramaciones!O$14)*$G220:$P220)+N(INDEX($G220:$P220,1,Reprogramaciones!O$14))*IF(Reprogramaciones!O$13&gt;=(Reprogramaciones!$T$15+7*(Reprogramaciones!O$14-1))+6,1,IF(MAX(0,NETWORKDAYS.INTL(MAX(E220,(Reprogramaciones!$T$15+7*(Reprogramaciones!O$14-1))),MIN(F220,(Reprogramaciones!$T$15+7*(Reprogramaciones!O$14-1))+6),11))=0,0,MAX(0,NETWORKDAYS.INTL(MAX(E220,(Reprogramaciones!$T$15+7*(Reprogramaciones!O$14-1))),MIN(F220,Reprogramaciones!O$13),11))/MAX(0,NETWORKDAYS.INTL(MAX(E220,(Reprogramaciones!$T$15+7*(Reprogramaciones!O$14-1))),MIN(F220,(Reprogramaciones!$T$15+7*(Reprogramaciones!O$14-1))+6),11))))))))</f>
        <v/>
      </c>
      <c r="BY220" s="1" t="str">
        <f aca="false">IF(OR(NOT(AND(ISNUMBER(E220),ISNUMBER(F220))),$J$2=""),"",IF(Reprogramaciones!P$13&lt;Reprogramaciones!$T$15,0,IF(Reprogramaciones!P$14&gt;10,MIN(100,SUM($G220:$P220)),MIN(100,SUMPRODUCT((COLUMN($G220:$P220)-COLUMN($G220)+1&lt;Reprogramaciones!P$14)*$G220:$P220)+N(INDEX($G220:$P220,1,Reprogramaciones!P$14))*IF(Reprogramaciones!P$13&gt;=(Reprogramaciones!$T$15+7*(Reprogramaciones!P$14-1))+6,1,IF(MAX(0,NETWORKDAYS.INTL(MAX(E220,(Reprogramaciones!$T$15+7*(Reprogramaciones!P$14-1))),MIN(F220,(Reprogramaciones!$T$15+7*(Reprogramaciones!P$14-1))+6),11))=0,0,MAX(0,NETWORKDAYS.INTL(MAX(E220,(Reprogramaciones!$T$15+7*(Reprogramaciones!P$14-1))),MIN(F220,Reprogramaciones!P$13),11))/MAX(0,NETWORKDAYS.INTL(MAX(E220,(Reprogramaciones!$T$15+7*(Reprogramaciones!P$14-1))),MIN(F220,(Reprogramaciones!$T$15+7*(Reprogramaciones!P$14-1))+6),11))))))))</f>
        <v/>
      </c>
      <c r="BZ220" s="1" t="str">
        <f aca="false">IF(OR(NOT(AND(ISNUMBER(E220),ISNUMBER(F220))),$J$2=""),"",IF(Reprogramaciones!Q$13&lt;Reprogramaciones!$T$15,0,IF(Reprogramaciones!Q$14&gt;10,MIN(100,SUM($G220:$P220)),MIN(100,SUMPRODUCT((COLUMN($G220:$P220)-COLUMN($G220)+1&lt;Reprogramaciones!Q$14)*$G220:$P220)+N(INDEX($G220:$P220,1,Reprogramaciones!Q$14))*IF(Reprogramaciones!Q$13&gt;=(Reprogramaciones!$T$15+7*(Reprogramaciones!Q$14-1))+6,1,IF(MAX(0,NETWORKDAYS.INTL(MAX(E220,(Reprogramaciones!$T$15+7*(Reprogramaciones!Q$14-1))),MIN(F220,(Reprogramaciones!$T$15+7*(Reprogramaciones!Q$14-1))+6),11))=0,0,MAX(0,NETWORKDAYS.INTL(MAX(E220,(Reprogramaciones!$T$15+7*(Reprogramaciones!Q$14-1))),MIN(F220,Reprogramaciones!Q$13),11))/MAX(0,NETWORKDAYS.INTL(MAX(E220,(Reprogramaciones!$T$15+7*(Reprogramaciones!Q$14-1))),MIN(F220,(Reprogramaciones!$T$15+7*(Reprogramaciones!Q$14-1))+6),11))))))))</f>
        <v/>
      </c>
      <c r="CA220" s="1" t="str">
        <f aca="false">IF(OR(NOT(AND(ISNUMBER(E220),ISNUMBER(F220))),$J$2=""),"",IF(Reprogramaciones!R$13&lt;Reprogramaciones!$T$15,0,IF(Reprogramaciones!R$14&gt;10,MIN(100,SUM($G220:$P220)),MIN(100,SUMPRODUCT((COLUMN($G220:$P220)-COLUMN($G220)+1&lt;Reprogramaciones!R$14)*$G220:$P220)+N(INDEX($G220:$P220,1,Reprogramaciones!R$14))*IF(Reprogramaciones!R$13&gt;=(Reprogramaciones!$T$15+7*(Reprogramaciones!R$14-1))+6,1,IF(MAX(0,NETWORKDAYS.INTL(MAX(E220,(Reprogramaciones!$T$15+7*(Reprogramaciones!R$14-1))),MIN(F220,(Reprogramaciones!$T$15+7*(Reprogramaciones!R$14-1))+6),11))=0,0,MAX(0,NETWORKDAYS.INTL(MAX(E220,(Reprogramaciones!$T$15+7*(Reprogramaciones!R$14-1))),MIN(F220,Reprogramaciones!R$13),11))/MAX(0,NETWORKDAYS.INTL(MAX(E220,(Reprogramaciones!$T$15+7*(Reprogramaciones!R$14-1))),MIN(F220,(Reprogramaciones!$T$15+7*(Reprogramaciones!R$14-1))+6),11))))))))</f>
        <v/>
      </c>
      <c r="CB220" s="1" t="str">
        <f aca="false">IF(OR(NOT(AND(ISNUMBER(E220),ISNUMBER(F220))),$J$2=""),"",IF(Reprogramaciones!S$13&lt;Reprogramaciones!$T$15,0,IF(Reprogramaciones!S$14&gt;10,MIN(100,SUM($G220:$P220)),MIN(100,SUMPRODUCT((COLUMN($G220:$P220)-COLUMN($G220)+1&lt;Reprogramaciones!S$14)*$G220:$P220)+N(INDEX($G220:$P220,1,Reprogramaciones!S$14))*IF(Reprogramaciones!S$13&gt;=(Reprogramaciones!$T$15+7*(Reprogramaciones!S$14-1))+6,1,IF(MAX(0,NETWORKDAYS.INTL(MAX(E220,(Reprogramaciones!$T$15+7*(Reprogramaciones!S$14-1))),MIN(F220,(Reprogramaciones!$T$15+7*(Reprogramaciones!S$14-1))+6),11))=0,0,MAX(0,NETWORKDAYS.INTL(MAX(E220,(Reprogramaciones!$T$15+7*(Reprogramaciones!S$14-1))),MIN(F220,Reprogramaciones!S$13),11))/MAX(0,NETWORKDAYS.INTL(MAX(E220,(Reprogramaciones!$T$15+7*(Reprogramaciones!S$14-1))),MIN(F220,(Reprogramaciones!$T$15+7*(Reprogramaciones!S$14-1))+6),11))))))))</f>
        <v/>
      </c>
      <c r="CC220" s="1" t="str">
        <f aca="false">IF(OR(NOT(AND(ISNUMBER(E220),ISNUMBER(F220))),$J$2=""),"",IF(Reprogramaciones!T$13&lt;Reprogramaciones!$T$15,0,IF(Reprogramaciones!T$14&gt;10,MIN(100,SUM($G220:$P220)),MIN(100,SUMPRODUCT((COLUMN($G220:$P220)-COLUMN($G220)+1&lt;Reprogramaciones!T$14)*$G220:$P220)+N(INDEX($G220:$P220,1,Reprogramaciones!T$14))*IF(Reprogramaciones!T$13&gt;=(Reprogramaciones!$T$15+7*(Reprogramaciones!T$14-1))+6,1,IF(MAX(0,NETWORKDAYS.INTL(MAX(E220,(Reprogramaciones!$T$15+7*(Reprogramaciones!T$14-1))),MIN(F220,(Reprogramaciones!$T$15+7*(Reprogramaciones!T$14-1))+6),11))=0,0,MAX(0,NETWORKDAYS.INTL(MAX(E220,(Reprogramaciones!$T$15+7*(Reprogramaciones!T$14-1))),MIN(F220,Reprogramaciones!T$13),11))/MAX(0,NETWORKDAYS.INTL(MAX(E220,(Reprogramaciones!$T$15+7*(Reprogramaciones!T$14-1))),MIN(F220,(Reprogramaciones!$T$15+7*(Reprogramaciones!T$14-1))+6),11))))))))</f>
        <v/>
      </c>
      <c r="CD220" s="1" t="str">
        <f aca="false">IF(OR(NOT(AND(ISNUMBER(E220),ISNUMBER(F220))),$J$2=""),"",IF(Reprogramaciones!U$13&lt;Reprogramaciones!$T$15,0,IF(Reprogramaciones!U$14&gt;10,MIN(100,SUM($G220:$P220)),MIN(100,SUMPRODUCT((COLUMN($G220:$P220)-COLUMN($G220)+1&lt;Reprogramaciones!U$14)*$G220:$P220)+N(INDEX($G220:$P220,1,Reprogramaciones!U$14))*IF(Reprogramaciones!U$13&gt;=(Reprogramaciones!$T$15+7*(Reprogramaciones!U$14-1))+6,1,IF(MAX(0,NETWORKDAYS.INTL(MAX(E220,(Reprogramaciones!$T$15+7*(Reprogramaciones!U$14-1))),MIN(F220,(Reprogramaciones!$T$15+7*(Reprogramaciones!U$14-1))+6),11))=0,0,MAX(0,NETWORKDAYS.INTL(MAX(E220,(Reprogramaciones!$T$15+7*(Reprogramaciones!U$14-1))),MIN(F220,Reprogramaciones!U$13),11))/MAX(0,NETWORKDAYS.INTL(MAX(E220,(Reprogramaciones!$T$15+7*(Reprogramaciones!U$14-1))),MIN(F220,(Reprogramaciones!$T$15+7*(Reprogramaciones!U$14-1))+6),11))))))))</f>
        <v/>
      </c>
      <c r="CE220" s="1" t="str">
        <f aca="false">IF(OR(NOT(AND(ISNUMBER(E220),ISNUMBER(F220))),$J$2=""),"",IF(Reprogramaciones!V$13&lt;Reprogramaciones!$T$15,0,IF(Reprogramaciones!V$14&gt;10,MIN(100,SUM($G220:$P220)),MIN(100,SUMPRODUCT((COLUMN($G220:$P220)-COLUMN($G220)+1&lt;Reprogramaciones!V$14)*$G220:$P220)+N(INDEX($G220:$P220,1,Reprogramaciones!V$14))*IF(Reprogramaciones!V$13&gt;=(Reprogramaciones!$T$15+7*(Reprogramaciones!V$14-1))+6,1,IF(MAX(0,NETWORKDAYS.INTL(MAX(E220,(Reprogramaciones!$T$15+7*(Reprogramaciones!V$14-1))),MIN(F220,(Reprogramaciones!$T$15+7*(Reprogramaciones!V$14-1))+6),11))=0,0,MAX(0,NETWORKDAYS.INTL(MAX(E220,(Reprogramaciones!$T$15+7*(Reprogramaciones!V$14-1))),MIN(F220,Reprogramaciones!V$13),11))/MAX(0,NETWORKDAYS.INTL(MAX(E220,(Reprogramaciones!$T$15+7*(Reprogramaciones!V$14-1))),MIN(F220,(Reprogramaciones!$T$15+7*(Reprogramaciones!V$14-1))+6),11))))))))</f>
        <v/>
      </c>
      <c r="CF220" s="1" t="str">
        <f aca="false">IF(OR(NOT(AND(ISNUMBER(E220),ISNUMBER(F220))),$J$2=""),"",IF(Reprogramaciones!W$13&lt;Reprogramaciones!$T$15,0,IF(Reprogramaciones!W$14&gt;10,MIN(100,SUM($G220:$P220)),MIN(100,SUMPRODUCT((COLUMN($G220:$P220)-COLUMN($G220)+1&lt;Reprogramaciones!W$14)*$G220:$P220)+N(INDEX($G220:$P220,1,Reprogramaciones!W$14))*IF(Reprogramaciones!W$13&gt;=(Reprogramaciones!$T$15+7*(Reprogramaciones!W$14-1))+6,1,IF(MAX(0,NETWORKDAYS.INTL(MAX(E220,(Reprogramaciones!$T$15+7*(Reprogramaciones!W$14-1))),MIN(F220,(Reprogramaciones!$T$15+7*(Reprogramaciones!W$14-1))+6),11))=0,0,MAX(0,NETWORKDAYS.INTL(MAX(E220,(Reprogramaciones!$T$15+7*(Reprogramaciones!W$14-1))),MIN(F220,Reprogramaciones!W$13),11))/MAX(0,NETWORKDAYS.INTL(MAX(E220,(Reprogramaciones!$T$15+7*(Reprogramaciones!W$14-1))),MIN(F220,(Reprogramaciones!$T$15+7*(Reprogramaciones!W$14-1))+6),11))))))))</f>
        <v/>
      </c>
      <c r="CG220" s="1" t="str">
        <f aca="false">IF(OR(NOT(AND(ISNUMBER(E220),ISNUMBER(F220))),$J$2=""),"",IF(Reprogramaciones!X$13&lt;Reprogramaciones!$T$15,0,IF(Reprogramaciones!X$14&gt;10,MIN(100,SUM($G220:$P220)),MIN(100,SUMPRODUCT((COLUMN($G220:$P220)-COLUMN($G220)+1&lt;Reprogramaciones!X$14)*$G220:$P220)+N(INDEX($G220:$P220,1,Reprogramaciones!X$14))*IF(Reprogramaciones!X$13&gt;=(Reprogramaciones!$T$15+7*(Reprogramaciones!X$14-1))+6,1,IF(MAX(0,NETWORKDAYS.INTL(MAX(E220,(Reprogramaciones!$T$15+7*(Reprogramaciones!X$14-1))),MIN(F220,(Reprogramaciones!$T$15+7*(Reprogramaciones!X$14-1))+6),11))=0,0,MAX(0,NETWORKDAYS.INTL(MAX(E220,(Reprogramaciones!$T$15+7*(Reprogramaciones!X$14-1))),MIN(F220,Reprogramaciones!X$13),11))/MAX(0,NETWORKDAYS.INTL(MAX(E220,(Reprogramaciones!$T$15+7*(Reprogramaciones!X$14-1))),MIN(F220,(Reprogramaciones!$T$15+7*(Reprogramaciones!X$14-1))+6),11))))))))</f>
        <v/>
      </c>
      <c r="CH220" s="1" t="str">
        <f aca="false">IF(OR(NOT(AND(ISNUMBER(E220),ISNUMBER(F220))),$J$2=""),"",IF(Reprogramaciones!Y$13&lt;Reprogramaciones!$T$15,0,IF(Reprogramaciones!Y$14&gt;10,MIN(100,SUM($G220:$P220)),MIN(100,SUMPRODUCT((COLUMN($G220:$P220)-COLUMN($G220)+1&lt;Reprogramaciones!Y$14)*$G220:$P220)+N(INDEX($G220:$P220,1,Reprogramaciones!Y$14))*IF(Reprogramaciones!Y$13&gt;=(Reprogramaciones!$T$15+7*(Reprogramaciones!Y$14-1))+6,1,IF(MAX(0,NETWORKDAYS.INTL(MAX(E220,(Reprogramaciones!$T$15+7*(Reprogramaciones!Y$14-1))),MIN(F220,(Reprogramaciones!$T$15+7*(Reprogramaciones!Y$14-1))+6),11))=0,0,MAX(0,NETWORKDAYS.INTL(MAX(E220,(Reprogramaciones!$T$15+7*(Reprogramaciones!Y$14-1))),MIN(F220,Reprogramaciones!Y$13),11))/MAX(0,NETWORKDAYS.INTL(MAX(E220,(Reprogramaciones!$T$15+7*(Reprogramaciones!Y$14-1))),MIN(F220,(Reprogramaciones!$T$15+7*(Reprogramaciones!Y$14-1))+6),11))))))))</f>
        <v/>
      </c>
      <c r="CI220" s="1" t="str">
        <f aca="false">IF(OR(NOT(AND(ISNUMBER(E220),ISNUMBER(F220))),$J$2=""),"",IF(Reprogramaciones!Z$13&lt;Reprogramaciones!$T$15,0,IF(Reprogramaciones!Z$14&gt;10,MIN(100,SUM($G220:$P220)),MIN(100,SUMPRODUCT((COLUMN($G220:$P220)-COLUMN($G220)+1&lt;Reprogramaciones!Z$14)*$G220:$P220)+N(INDEX($G220:$P220,1,Reprogramaciones!Z$14))*IF(Reprogramaciones!Z$13&gt;=(Reprogramaciones!$T$15+7*(Reprogramaciones!Z$14-1))+6,1,IF(MAX(0,NETWORKDAYS.INTL(MAX(E220,(Reprogramaciones!$T$15+7*(Reprogramaciones!Z$14-1))),MIN(F220,(Reprogramaciones!$T$15+7*(Reprogramaciones!Z$14-1))+6),11))=0,0,MAX(0,NETWORKDAYS.INTL(MAX(E220,(Reprogramaciones!$T$15+7*(Reprogramaciones!Z$14-1))),MIN(F220,Reprogramaciones!Z$13),11))/MAX(0,NETWORKDAYS.INTL(MAX(E220,(Reprogramaciones!$T$15+7*(Reprogramaciones!Z$14-1))),MIN(F220,(Reprogramaciones!$T$15+7*(Reprogramaciones!Z$14-1))+6),11))))))))</f>
        <v/>
      </c>
      <c r="CJ220" s="1" t="str">
        <f aca="false">IF(OR(OR(NOT(AND(ISNUMBER(E220),ISNUMBER(F220))),$J$2=""),1&gt;Reprogramaciones!$K$16),"",IF(ROUND(SUM($Q220:Q220),1)&gt;=99.5,100,MIN(100,ROUND(SUM($Q220:Q220),1))))</f>
        <v/>
      </c>
      <c r="CK220" s="1" t="str">
        <f aca="false">IF(OR(OR(NOT(AND(ISNUMBER(E220),ISNUMBER(F220))),$J$2=""),2&gt;Reprogramaciones!$K$16),"",IF(ROUND(SUM($Q220:R220),1)&gt;=99.5,100,MIN(100,ROUND(SUM($Q220:R220),1))))</f>
        <v/>
      </c>
      <c r="CL220" s="1" t="str">
        <f aca="false">IF(OR(OR(NOT(AND(ISNUMBER(E220),ISNUMBER(F220))),$J$2=""),3&gt;Reprogramaciones!$K$16),"",IF(ROUND(SUM($Q220:S220),1)&gt;=99.5,100,MIN(100,ROUND(SUM($Q220:S220),1))))</f>
        <v/>
      </c>
      <c r="CM220" s="1" t="str">
        <f aca="false">IF(OR(OR(NOT(AND(ISNUMBER(E220),ISNUMBER(F220))),$J$2=""),4&gt;Reprogramaciones!$K$16),"",IF(ROUND(SUM($Q220:T220),1)&gt;=99.5,100,MIN(100,ROUND(SUM($Q220:T220),1))))</f>
        <v/>
      </c>
      <c r="CN220" s="1" t="str">
        <f aca="false">IF(OR(OR(NOT(AND(ISNUMBER(E220),ISNUMBER(F220))),$J$2=""),5&gt;Reprogramaciones!$K$16),"",IF(ROUND(SUM($Q220:U220),1)&gt;=99.5,100,MIN(100,ROUND(SUM($Q220:U220),1))))</f>
        <v/>
      </c>
      <c r="CO220" s="1" t="str">
        <f aca="false">IF(OR(OR(NOT(AND(ISNUMBER(E220),ISNUMBER(F220))),$J$2=""),6&gt;Reprogramaciones!$K$16),"",IF(ROUND(SUM($Q220:V220),1)&gt;=99.5,100,MIN(100,ROUND(SUM($Q220:V220),1))))</f>
        <v/>
      </c>
      <c r="CP220" s="1" t="str">
        <f aca="false">IF(OR(OR(NOT(AND(ISNUMBER(E220),ISNUMBER(F220))),$J$2=""),7&gt;Reprogramaciones!$K$16),"",IF(ROUND(SUM($Q220:W220),1)&gt;=99.5,100,MIN(100,ROUND(SUM($Q220:W220),1))))</f>
        <v/>
      </c>
      <c r="CQ220" s="1" t="str">
        <f aca="false">IF(OR(OR(NOT(AND(ISNUMBER(E220),ISNUMBER(F220))),$J$2=""),8&gt;Reprogramaciones!$K$16),"",IF(ROUND(SUM($Q220:X220),1)&gt;=99.5,100,MIN(100,ROUND(SUM($Q220:X220),1))))</f>
        <v/>
      </c>
      <c r="CR220" s="1" t="str">
        <f aca="false">IF(OR(OR(NOT(AND(ISNUMBER(E220),ISNUMBER(F220))),$J$2=""),9&gt;Reprogramaciones!$K$16),"",IF(ROUND(SUM($Q220:Y220),1)&gt;=99.5,100,MIN(100,ROUND(SUM($Q220:Y220),1))))</f>
        <v/>
      </c>
      <c r="CS220" s="1" t="str">
        <f aca="false">IF(OR(OR(NOT(AND(ISNUMBER(E220),ISNUMBER(F220))),$J$2=""),10&gt;Reprogramaciones!$K$16),"",IF(ROUND(SUM($Q220:Z220),1)&gt;=99.5,100,MIN(100,ROUND(SUM($Q220:Z220),1))))</f>
        <v/>
      </c>
      <c r="CT220" s="1" t="str">
        <f aca="false">IF(OR(OR(NOT(AND(ISNUMBER(E220),ISNUMBER(F220))),$J$2=""),11&gt;Reprogramaciones!$K$16),"",IF(ROUND(SUM($Q220:AA220),1)&gt;=99.5,100,MIN(100,ROUND(SUM($Q220:AA220),1))))</f>
        <v/>
      </c>
      <c r="CU220" s="1" t="str">
        <f aca="false">IF(OR(OR(NOT(AND(ISNUMBER(E220),ISNUMBER(F220))),$J$2=""),12&gt;Reprogramaciones!$K$16),"",IF(ROUND(SUM($Q220:AB220),1)&gt;=99.5,100,MIN(100,ROUND(SUM($Q220:AB220),1))))</f>
        <v/>
      </c>
      <c r="CV220" s="1" t="str">
        <f aca="false">IF(OR(OR(NOT(AND(ISNUMBER(E220),ISNUMBER(F220))),$J$2=""),13&gt;Reprogramaciones!$K$16),"",IF(ROUND(SUM($Q220:AC220),1)&gt;=99.5,100,MIN(100,ROUND(SUM($Q220:AC220),1))))</f>
        <v/>
      </c>
      <c r="CW220" s="1" t="str">
        <f aca="false">IF(OR(OR(NOT(AND(ISNUMBER(E220),ISNUMBER(F220))),$J$2=""),14&gt;Reprogramaciones!$K$16),"",IF(ROUND(SUM($Q220:AD220),1)&gt;=99.5,100,MIN(100,ROUND(SUM($Q220:AD220),1))))</f>
        <v/>
      </c>
      <c r="CX220" s="1" t="str">
        <f aca="false">IF(OR(OR(NOT(AND(ISNUMBER(E220),ISNUMBER(F220))),$J$2=""),15&gt;Reprogramaciones!$K$16),"",IF(ROUND(SUM($Q220:AE220),1)&gt;=99.5,100,MIN(100,ROUND(SUM($Q220:AE220),1))))</f>
        <v/>
      </c>
      <c r="CY220" s="1" t="str">
        <f aca="false">IF(OR(OR(NOT(AND(ISNUMBER(E220),ISNUMBER(F220))),$J$2=""),16&gt;Reprogramaciones!$K$16),"",IF(ROUND(SUM($Q220:AF220),1)&gt;=99.5,100,MIN(100,ROUND(SUM($Q220:AF220),1))))</f>
        <v/>
      </c>
      <c r="CZ220" s="1" t="str">
        <f aca="false">IF(D220&lt;&gt;"",D220,IF(B220&lt;&gt;"","Contractual",CZ219))</f>
        <v>Contractual</v>
      </c>
      <c r="DA220" s="1" t="str">
        <f aca="false">IF(OR(NOT(AND(ISNUMBER(E220),ISNUMBER(F220))),$J$2=""),"",IF(Reprogramaciones!$Q$15&lt;Reprogramaciones!$T$15,0,IF(Reprogramaciones!$S$15&gt;10,MIN(100,SUM($G220:$P220)),MIN(100,SUMPRODUCT((COLUMN($G220:$P220)-COLUMN($G220)+1&lt;Reprogramaciones!$S$15)*$G220:$P220)+N(INDEX($G220:$P220,1,Reprogramaciones!$S$15))*IF(Reprogramaciones!$Q$15&gt;=(Reprogramaciones!$T$15+7*(Reprogramaciones!$S$15-1))+6,1,IF(MAX(0,NETWORKDAYS.INTL(MAX(E220,(Reprogramaciones!$T$15+7*(Reprogramaciones!$S$15-1))),MIN(F220,(Reprogramaciones!$T$15+7*(Reprogramaciones!$S$15-1))+6),11))=0,0,MAX(0,NETWORKDAYS.INTL(MAX(E220,(Reprogramaciones!$T$15+7*(Reprogramaciones!$S$15-1))),MIN(F220,Reprogramaciones!$Q$15),11))/MAX(0,NETWORKDAYS.INTL(MAX(E220,(Reprogramaciones!$T$15+7*(Reprogramaciones!$S$15-1))),MIN(F220,(Reprogramaciones!$T$15+7*(Reprogramaciones!$S$15-1))+6),11))))))))</f>
        <v/>
      </c>
    </row>
    <row r="221" customFormat="false" ht="15" hidden="false" customHeight="false" outlineLevel="0" collapsed="false">
      <c r="A221" s="32"/>
      <c r="B221" s="33"/>
      <c r="C221" s="33"/>
      <c r="D221" s="34"/>
      <c r="E221" s="35"/>
      <c r="F221" s="35"/>
      <c r="G221" s="36" t="str">
        <f aca="false">IF(OR(NOT(AND(ISNUMBER(E221),ISNUMBER(F221))),$J$2=""),"",IF(Reprogramaciones!K$9&lt;E221,0,IF(NETWORKDAYS.INTL(E221,F221,11)=0,IF(Reprogramaciones!K$9&gt;=F221,100,0),ROUND(NETWORKDAYS.INTL(E221,MIN(F221,Reprogramaciones!K$9),11)/NETWORKDAYS.INTL(E221,F221,11)*100,1)))-0)</f>
        <v/>
      </c>
      <c r="H221" s="36" t="str">
        <f aca="false">IF(OR(NOT(AND(ISNUMBER(E221),ISNUMBER(F221))),$J$2=""),"",IF(Reprogramaciones!L$9&lt;E221,0,IF(NETWORKDAYS.INTL(E221,F221,11)=0,IF(Reprogramaciones!L$9&gt;=F221,100,0),ROUND(NETWORKDAYS.INTL(E221,MIN(F221,Reprogramaciones!L$9),11)/NETWORKDAYS.INTL(E221,F221,11)*100,1)))-IF(Reprogramaciones!K$9&lt;E221,0,IF(NETWORKDAYS.INTL(E221,F221,11)=0,IF(Reprogramaciones!K$9&gt;=F221,100,0),ROUND(NETWORKDAYS.INTL(E221,MIN(F221,Reprogramaciones!K$9),11)/NETWORKDAYS.INTL(E221,F221,11)*100,1))))</f>
        <v/>
      </c>
      <c r="I221" s="36" t="str">
        <f aca="false">IF(OR(NOT(AND(ISNUMBER(E221),ISNUMBER(F221))),$J$2=""),"",IF(Reprogramaciones!M$9&lt;E221,0,IF(NETWORKDAYS.INTL(E221,F221,11)=0,IF(Reprogramaciones!M$9&gt;=F221,100,0),ROUND(NETWORKDAYS.INTL(E221,MIN(F221,Reprogramaciones!M$9),11)/NETWORKDAYS.INTL(E221,F221,11)*100,1)))-IF(Reprogramaciones!L$9&lt;E221,0,IF(NETWORKDAYS.INTL(E221,F221,11)=0,IF(Reprogramaciones!L$9&gt;=F221,100,0),ROUND(NETWORKDAYS.INTL(E221,MIN(F221,Reprogramaciones!L$9),11)/NETWORKDAYS.INTL(E221,F221,11)*100,1))))</f>
        <v/>
      </c>
      <c r="J221" s="36" t="str">
        <f aca="false">IF(OR(NOT(AND(ISNUMBER(E221),ISNUMBER(F221))),$J$2=""),"",IF(Reprogramaciones!N$9&lt;E221,0,IF(NETWORKDAYS.INTL(E221,F221,11)=0,IF(Reprogramaciones!N$9&gt;=F221,100,0),ROUND(NETWORKDAYS.INTL(E221,MIN(F221,Reprogramaciones!N$9),11)/NETWORKDAYS.INTL(E221,F221,11)*100,1)))-IF(Reprogramaciones!M$9&lt;E221,0,IF(NETWORKDAYS.INTL(E221,F221,11)=0,IF(Reprogramaciones!M$9&gt;=F221,100,0),ROUND(NETWORKDAYS.INTL(E221,MIN(F221,Reprogramaciones!M$9),11)/NETWORKDAYS.INTL(E221,F221,11)*100,1))))</f>
        <v/>
      </c>
      <c r="K221" s="36" t="str">
        <f aca="false">IF(OR(NOT(AND(ISNUMBER(E221),ISNUMBER(F221))),$J$2=""),"",IF(Reprogramaciones!O$9&lt;E221,0,IF(NETWORKDAYS.INTL(E221,F221,11)=0,IF(Reprogramaciones!O$9&gt;=F221,100,0),ROUND(NETWORKDAYS.INTL(E221,MIN(F221,Reprogramaciones!O$9),11)/NETWORKDAYS.INTL(E221,F221,11)*100,1)))-IF(Reprogramaciones!N$9&lt;E221,0,IF(NETWORKDAYS.INTL(E221,F221,11)=0,IF(Reprogramaciones!N$9&gt;=F221,100,0),ROUND(NETWORKDAYS.INTL(E221,MIN(F221,Reprogramaciones!N$9),11)/NETWORKDAYS.INTL(E221,F221,11)*100,1))))</f>
        <v/>
      </c>
      <c r="L221" s="36" t="str">
        <f aca="false">IF(OR(NOT(AND(ISNUMBER(E221),ISNUMBER(F221))),$J$2=""),"",IF(Reprogramaciones!P$9&lt;E221,0,IF(NETWORKDAYS.INTL(E221,F221,11)=0,IF(Reprogramaciones!P$9&gt;=F221,100,0),ROUND(NETWORKDAYS.INTL(E221,MIN(F221,Reprogramaciones!P$9),11)/NETWORKDAYS.INTL(E221,F221,11)*100,1)))-IF(Reprogramaciones!O$9&lt;E221,0,IF(NETWORKDAYS.INTL(E221,F221,11)=0,IF(Reprogramaciones!O$9&gt;=F221,100,0),ROUND(NETWORKDAYS.INTL(E221,MIN(F221,Reprogramaciones!O$9),11)/NETWORKDAYS.INTL(E221,F221,11)*100,1))))</f>
        <v/>
      </c>
      <c r="M221" s="36" t="str">
        <f aca="false">IF(OR(NOT(AND(ISNUMBER(E221),ISNUMBER(F221))),$J$2=""),"",IF(Reprogramaciones!Q$9&lt;E221,0,IF(NETWORKDAYS.INTL(E221,F221,11)=0,IF(Reprogramaciones!Q$9&gt;=F221,100,0),ROUND(NETWORKDAYS.INTL(E221,MIN(F221,Reprogramaciones!Q$9),11)/NETWORKDAYS.INTL(E221,F221,11)*100,1)))-IF(Reprogramaciones!P$9&lt;E221,0,IF(NETWORKDAYS.INTL(E221,F221,11)=0,IF(Reprogramaciones!P$9&gt;=F221,100,0),ROUND(NETWORKDAYS.INTL(E221,MIN(F221,Reprogramaciones!P$9),11)/NETWORKDAYS.INTL(E221,F221,11)*100,1))))</f>
        <v/>
      </c>
      <c r="N221" s="36" t="str">
        <f aca="false">IF(OR(NOT(AND(ISNUMBER(E221),ISNUMBER(F221))),$J$2=""),"",IF(Reprogramaciones!R$9&lt;E221,0,IF(NETWORKDAYS.INTL(E221,F221,11)=0,IF(Reprogramaciones!R$9&gt;=F221,100,0),ROUND(NETWORKDAYS.INTL(E221,MIN(F221,Reprogramaciones!R$9),11)/NETWORKDAYS.INTL(E221,F221,11)*100,1)))-IF(Reprogramaciones!Q$9&lt;E221,0,IF(NETWORKDAYS.INTL(E221,F221,11)=0,IF(Reprogramaciones!Q$9&gt;=F221,100,0),ROUND(NETWORKDAYS.INTL(E221,MIN(F221,Reprogramaciones!Q$9),11)/NETWORKDAYS.INTL(E221,F221,11)*100,1))))</f>
        <v/>
      </c>
      <c r="O221" s="36" t="str">
        <f aca="false">IF(OR(NOT(AND(ISNUMBER(E221),ISNUMBER(F221))),$J$2=""),"",IF(Reprogramaciones!S$9&lt;E221,0,IF(NETWORKDAYS.INTL(E221,F221,11)=0,IF(Reprogramaciones!S$9&gt;=F221,100,0),ROUND(NETWORKDAYS.INTL(E221,MIN(F221,Reprogramaciones!S$9),11)/NETWORKDAYS.INTL(E221,F221,11)*100,1)))-IF(Reprogramaciones!R$9&lt;E221,0,IF(NETWORKDAYS.INTL(E221,F221,11)=0,IF(Reprogramaciones!R$9&gt;=F221,100,0),ROUND(NETWORKDAYS.INTL(E221,MIN(F221,Reprogramaciones!R$9),11)/NETWORKDAYS.INTL(E221,F221,11)*100,1))))</f>
        <v/>
      </c>
      <c r="P221" s="36" t="str">
        <f aca="false">IF(OR(NOT(AND(ISNUMBER(E221),ISNUMBER(F221))),$J$2=""),"",IF(Reprogramaciones!T$9&lt;E221,0,IF(NETWORKDAYS.INTL(E221,F221,11)=0,IF(Reprogramaciones!T$9&gt;=F221,100,0),ROUND(NETWORKDAYS.INTL(E221,MIN(F221,Reprogramaciones!T$9),11)/NETWORKDAYS.INTL(E221,F221,11)*100,1)))-IF(Reprogramaciones!S$9&lt;E221,0,IF(NETWORKDAYS.INTL(E221,F221,11)=0,IF(Reprogramaciones!S$9&gt;=F221,100,0),ROUND(NETWORKDAYS.INTL(E221,MIN(F221,Reprogramaciones!S$9),11)/NETWORKDAYS.INTL(E221,F221,11)*100,1))))</f>
        <v/>
      </c>
      <c r="Q221" s="37"/>
      <c r="R221" s="37"/>
      <c r="S221" s="37"/>
      <c r="T221" s="37"/>
      <c r="U221" s="37"/>
      <c r="V221" s="37"/>
      <c r="W221" s="37"/>
      <c r="X221" s="37"/>
      <c r="Y221" s="37"/>
      <c r="Z221" s="37"/>
      <c r="AA221" s="37"/>
      <c r="AB221" s="37"/>
      <c r="AC221" s="37"/>
      <c r="AD221" s="37"/>
      <c r="AE221" s="37"/>
      <c r="AF221" s="37"/>
      <c r="AG221" s="38" t="str">
        <f aca="false">IF(AND(ISNUMBER(E221),ISNUMBER(F221)),NETWORKDAYS.INTL(E221,F221,11),"")</f>
        <v/>
      </c>
      <c r="AH221" s="38" t="str">
        <f aca="false">IF(OR(NOT(AND(ISNUMBER(E221),ISNUMBER(F221))),$J$2=""),"",IF(Reprogramaciones!$P$15&lt;Reprogramaciones!$T$15,0,IF(Reprogramaciones!$R$15&gt;10,MIN(100,SUM($G221:$P221)),MIN(100,SUMPRODUCT((COLUMN($G221:$P221)-COLUMN($G221)+1&lt;Reprogramaciones!$R$15)*$G221:$P221)+N(INDEX($G221:$P221,1,Reprogramaciones!$R$15))*IF(Reprogramaciones!$P$15&gt;=(Reprogramaciones!$T$15+7*(Reprogramaciones!$R$15-1))+6,1,IF(MAX(0,NETWORKDAYS.INTL(MAX(E221,(Reprogramaciones!$T$15+7*(Reprogramaciones!$R$15-1))),MIN(F221,(Reprogramaciones!$T$15+7*(Reprogramaciones!$R$15-1))+6),11))=0,0,MAX(0,NETWORKDAYS.INTL(MAX(E221,(Reprogramaciones!$T$15+7*(Reprogramaciones!$R$15-1))),MIN(F221,Reprogramaciones!$P$15),11))/MAX(0,NETWORKDAYS.INTL(MAX(E221,(Reprogramaciones!$T$15+7*(Reprogramaciones!$R$15-1))),MIN(F221,(Reprogramaciones!$T$15+7*(Reprogramaciones!$R$15-1))+6),11))))))))</f>
        <v/>
      </c>
      <c r="AI221" s="38" t="str">
        <f aca="false">IF(COUNT($Q221:$AF221)=0,"",IF(ROUND(SUM($Q221:$AF221),1)&gt;=99.5,100,MIN(100,ROUND(SUM($Q221:$AF221),1))))</f>
        <v/>
      </c>
      <c r="AJ221" s="38" t="str">
        <f aca="false">IF(OR(AH221="",AI221=""),"",AI221-AH221)</f>
        <v/>
      </c>
      <c r="AK221" s="39" t="str">
        <f aca="true">IF(AH221="","",IF(OR(Ficha!$C$10="Suspendida",Ficha!$C$10="Cancelada"),Ficha!$C$10,IF(AND(AI221&lt;&gt;"",N(AI221)&gt;=100),"Completada",IF(AND(E221&gt;TODAY(),N(AI221)=0),"Por iniciar",IF(N(AI221)+0.5&lt;AH221,"Retrasada",IF(N(AI221)+0.5&lt;DA221,IF(Reprogramaciones!$K$15&gt;0,"Al día · Sem "&amp;Reprogramaciones!$K$15&amp;" en curso","Al día · en curso"),"A tiempo"))))))</f>
        <v/>
      </c>
      <c r="AL221" s="39" t="str">
        <f aca="true">IF(AND(A221="",AND(B221="",C221="",E221="",F221="",COUNT(Q221:AF221)=0)),"",IF(AND(B221="",C221="",E221="",F221="",COUNT(Q221:AF221)=0),"Falta la partida o subpartida",IF(AND(A221&lt;&gt;"",COUNTIF($A$6:$A$305,A221)&gt;1),"Ítem repetido",IF(AND(C221="",E221="",F221="",COUNT(Q221:AF221)=0),"Título de partida",IF(OR(E221="",F221=""),"Faltan fechas",IF(OR(ISTEXT(E221),ISTEXT(F221)),"Fecha escrita como texto: usa dd/mm/aaaa",IF(F221&lt;E221,"Fin antes del inicio",IF(IF($J$2="",FALSE(),OR(E221&lt;$J$2,F221&gt;Reprogramaciones!$T$15+69)),"Fuera de las 10 semanas",IF(ABS(SUM(G221:P221)-100)&gt;0.5,"La meta no suma 100%",IF(ROUND(SUM(Q221:AF221),1)&gt;100.5,"El avance pasa de 100%",IF(MIN(Q221:AF221)&lt;0,"Avance negativo",IF(COUNTA(Q221:AF221)&gt;COUNT(Q221:AF221),"Avance escrito como texto",IF(SUMPRODUCT((Q221:AF221&gt;0)*(Q221:AF221&lt;1))&gt;0,"Avance menor a 1: escribe 50, no 50%",IF(SUMPRODUCT(ISNUMBER(Q221:AF221)*(Reprogramaciones!$K$8:$Z$8&gt;TODAY()))&gt;0,"Avance en semana que aún no llega",IF(AND(N(Reprogramaciones!$E$21)&gt;0,F221&gt;Reprogramaciones!$E$21),"Pasa el fin de la obra: registra una reprogramación",IF(AND(N(Reprogramaciones!$E$21)&gt;0,SUMPRODUCT(ISNUMBER(Q221:AF221)*(Reprogramaciones!$K$8:$Z$8&gt;Reprogramaciones!$E$21))&gt;0),"Avance después del fin de la obra: registra una reprogramación por atraso","OK"))))))))))))))))</f>
        <v/>
      </c>
      <c r="AM221" s="40" t="str">
        <f aca="false">IF(OR(OR(NOT(AND(ISNUMBER(E221),ISNUMBER(F221))),$J$2=""),1&gt;MAX(1,Reprogramaciones!$U$15)),"",IF(Reprogramaciones!K$12&gt;=7,"",IF(OR(BT221-N(0)&gt;0.05,N(Q221)&gt;0),ROUNDDOWN(ROUND(BT221,6),0)&amp;"%"&amp;IF(CJ221="",""," / "&amp;CJ221&amp;"%"),IF(AND(N(0)&gt;=99.95,CJ221&lt;&gt;"",N(CJ221)&lt;100),"Pend. "&amp;CJ221&amp;"%",""))))</f>
        <v/>
      </c>
      <c r="AN221" s="40" t="str">
        <f aca="false">IF(OR(OR(NOT(AND(ISNUMBER(E221),ISNUMBER(F221))),$J$2=""),2&gt;MAX(1,Reprogramaciones!$U$15)),"",IF(Reprogramaciones!L$12&gt;=7,"",IF(OR(BU221-N(BT221)&gt;0.05,N(R221)&gt;0),ROUNDDOWN(ROUND(BU221,6),0)&amp;"%"&amp;IF(CK221="",""," / "&amp;CK221&amp;"%"),IF(AND(N(BT221)&gt;=99.95,CK221&lt;&gt;"",N(CK221)&lt;100),"Pend. "&amp;CK221&amp;"%",""))))</f>
        <v/>
      </c>
      <c r="AO221" s="40" t="str">
        <f aca="false">IF(OR(OR(NOT(AND(ISNUMBER(E221),ISNUMBER(F221))),$J$2=""),3&gt;MAX(1,Reprogramaciones!$U$15)),"",IF(Reprogramaciones!M$12&gt;=7,"",IF(OR(BV221-N(BU221)&gt;0.05,N(S221)&gt;0),ROUNDDOWN(ROUND(BV221,6),0)&amp;"%"&amp;IF(CL221="",""," / "&amp;CL221&amp;"%"),IF(AND(N(BU221)&gt;=99.95,CL221&lt;&gt;"",N(CL221)&lt;100),"Pend. "&amp;CL221&amp;"%",""))))</f>
        <v/>
      </c>
      <c r="AP221" s="40" t="str">
        <f aca="false">IF(OR(OR(NOT(AND(ISNUMBER(E221),ISNUMBER(F221))),$J$2=""),4&gt;MAX(1,Reprogramaciones!$U$15)),"",IF(Reprogramaciones!N$12&gt;=7,"",IF(OR(BW221-N(BV221)&gt;0.05,N(T221)&gt;0),ROUNDDOWN(ROUND(BW221,6),0)&amp;"%"&amp;IF(CM221="",""," / "&amp;CM221&amp;"%"),IF(AND(N(BV221)&gt;=99.95,CM221&lt;&gt;"",N(CM221)&lt;100),"Pend. "&amp;CM221&amp;"%",""))))</f>
        <v/>
      </c>
      <c r="AQ221" s="40" t="str">
        <f aca="false">IF(OR(OR(NOT(AND(ISNUMBER(E221),ISNUMBER(F221))),$J$2=""),5&gt;MAX(1,Reprogramaciones!$U$15)),"",IF(Reprogramaciones!O$12&gt;=7,"",IF(OR(BX221-N(BW221)&gt;0.05,N(U221)&gt;0),ROUNDDOWN(ROUND(BX221,6),0)&amp;"%"&amp;IF(CN221="",""," / "&amp;CN221&amp;"%"),IF(AND(N(BW221)&gt;=99.95,CN221&lt;&gt;"",N(CN221)&lt;100),"Pend. "&amp;CN221&amp;"%",""))))</f>
        <v/>
      </c>
      <c r="AR221" s="40" t="str">
        <f aca="false">IF(OR(OR(NOT(AND(ISNUMBER(E221),ISNUMBER(F221))),$J$2=""),6&gt;MAX(1,Reprogramaciones!$U$15)),"",IF(Reprogramaciones!P$12&gt;=7,"",IF(OR(BY221-N(BX221)&gt;0.05,N(V221)&gt;0),ROUNDDOWN(ROUND(BY221,6),0)&amp;"%"&amp;IF(CO221="",""," / "&amp;CO221&amp;"%"),IF(AND(N(BX221)&gt;=99.95,CO221&lt;&gt;"",N(CO221)&lt;100),"Pend. "&amp;CO221&amp;"%",""))))</f>
        <v/>
      </c>
      <c r="AS221" s="40" t="str">
        <f aca="false">IF(OR(OR(NOT(AND(ISNUMBER(E221),ISNUMBER(F221))),$J$2=""),7&gt;MAX(1,Reprogramaciones!$U$15)),"",IF(Reprogramaciones!Q$12&gt;=7,"",IF(OR(BZ221-N(BY221)&gt;0.05,N(W221)&gt;0),ROUNDDOWN(ROUND(BZ221,6),0)&amp;"%"&amp;IF(CP221="",""," / "&amp;CP221&amp;"%"),IF(AND(N(BY221)&gt;=99.95,CP221&lt;&gt;"",N(CP221)&lt;100),"Pend. "&amp;CP221&amp;"%",""))))</f>
        <v/>
      </c>
      <c r="AT221" s="40" t="str">
        <f aca="false">IF(OR(OR(NOT(AND(ISNUMBER(E221),ISNUMBER(F221))),$J$2=""),8&gt;MAX(1,Reprogramaciones!$U$15)),"",IF(Reprogramaciones!R$12&gt;=7,"",IF(OR(CA221-N(BZ221)&gt;0.05,N(X221)&gt;0),ROUNDDOWN(ROUND(CA221,6),0)&amp;"%"&amp;IF(CQ221="",""," / "&amp;CQ221&amp;"%"),IF(AND(N(BZ221)&gt;=99.95,CQ221&lt;&gt;"",N(CQ221)&lt;100),"Pend. "&amp;CQ221&amp;"%",""))))</f>
        <v/>
      </c>
      <c r="AU221" s="40" t="str">
        <f aca="false">IF(OR(OR(NOT(AND(ISNUMBER(E221),ISNUMBER(F221))),$J$2=""),9&gt;MAX(1,Reprogramaciones!$U$15)),"",IF(Reprogramaciones!S$12&gt;=7,"",IF(OR(CB221-N(CA221)&gt;0.05,N(Y221)&gt;0),ROUNDDOWN(ROUND(CB221,6),0)&amp;"%"&amp;IF(CR221="",""," / "&amp;CR221&amp;"%"),IF(AND(N(CA221)&gt;=99.95,CR221&lt;&gt;"",N(CR221)&lt;100),"Pend. "&amp;CR221&amp;"%",""))))</f>
        <v/>
      </c>
      <c r="AV221" s="40" t="str">
        <f aca="false">IF(OR(OR(NOT(AND(ISNUMBER(E221),ISNUMBER(F221))),$J$2=""),10&gt;MAX(1,Reprogramaciones!$U$15)),"",IF(Reprogramaciones!T$12&gt;=7,"",IF(OR(CC221-N(CB221)&gt;0.05,N(Z221)&gt;0),ROUNDDOWN(ROUND(CC221,6),0)&amp;"%"&amp;IF(CS221="",""," / "&amp;CS221&amp;"%"),IF(AND(N(CB221)&gt;=99.95,CS221&lt;&gt;"",N(CS221)&lt;100),"Pend. "&amp;CS221&amp;"%",""))))</f>
        <v/>
      </c>
      <c r="AW221" s="40" t="str">
        <f aca="false">IF(OR(OR(NOT(AND(ISNUMBER(E221),ISNUMBER(F221))),$J$2=""),11&gt;MAX(1,Reprogramaciones!$U$15)),"",IF(Reprogramaciones!U$12&gt;=7,"",IF(OR(CD221-N(CC221)&gt;0.05,N(AA221)&gt;0),ROUNDDOWN(ROUND(CD221,6),0)&amp;"%"&amp;IF(CT221="",""," / "&amp;CT221&amp;"%"),IF(AND(N(CC221)&gt;=99.95,CT221&lt;&gt;"",N(CT221)&lt;100),"Pend. "&amp;CT221&amp;"%",""))))</f>
        <v/>
      </c>
      <c r="AX221" s="40" t="str">
        <f aca="false">IF(OR(OR(NOT(AND(ISNUMBER(E221),ISNUMBER(F221))),$J$2=""),12&gt;MAX(1,Reprogramaciones!$U$15)),"",IF(Reprogramaciones!V$12&gt;=7,"",IF(OR(CE221-N(CD221)&gt;0.05,N(AB221)&gt;0),ROUNDDOWN(ROUND(CE221,6),0)&amp;"%"&amp;IF(CU221="",""," / "&amp;CU221&amp;"%"),IF(AND(N(CD221)&gt;=99.95,CU221&lt;&gt;"",N(CU221)&lt;100),"Pend. "&amp;CU221&amp;"%",""))))</f>
        <v/>
      </c>
      <c r="AY221" s="40" t="str">
        <f aca="false">IF(OR(OR(NOT(AND(ISNUMBER(E221),ISNUMBER(F221))),$J$2=""),13&gt;MAX(1,Reprogramaciones!$U$15)),"",IF(Reprogramaciones!W$12&gt;=7,"",IF(OR(CF221-N(CE221)&gt;0.05,N(AC221)&gt;0),ROUNDDOWN(ROUND(CF221,6),0)&amp;"%"&amp;IF(CV221="",""," / "&amp;CV221&amp;"%"),IF(AND(N(CE221)&gt;=99.95,CV221&lt;&gt;"",N(CV221)&lt;100),"Pend. "&amp;CV221&amp;"%",""))))</f>
        <v/>
      </c>
      <c r="AZ221" s="40" t="str">
        <f aca="false">IF(OR(OR(NOT(AND(ISNUMBER(E221),ISNUMBER(F221))),$J$2=""),14&gt;MAX(1,Reprogramaciones!$U$15)),"",IF(Reprogramaciones!X$12&gt;=7,"",IF(OR(CG221-N(CF221)&gt;0.05,N(AD221)&gt;0),ROUNDDOWN(ROUND(CG221,6),0)&amp;"%"&amp;IF(CW221="",""," / "&amp;CW221&amp;"%"),IF(AND(N(CF221)&gt;=99.95,CW221&lt;&gt;"",N(CW221)&lt;100),"Pend. "&amp;CW221&amp;"%",""))))</f>
        <v/>
      </c>
      <c r="BA221" s="40" t="str">
        <f aca="false">IF(OR(OR(NOT(AND(ISNUMBER(E221),ISNUMBER(F221))),$J$2=""),15&gt;MAX(1,Reprogramaciones!$U$15)),"",IF(Reprogramaciones!Y$12&gt;=7,"",IF(OR(CH221-N(CG221)&gt;0.05,N(AE221)&gt;0),ROUNDDOWN(ROUND(CH221,6),0)&amp;"%"&amp;IF(CX221="",""," / "&amp;CX221&amp;"%"),IF(AND(N(CG221)&gt;=99.95,CX221&lt;&gt;"",N(CX221)&lt;100),"Pend. "&amp;CX221&amp;"%",""))))</f>
        <v/>
      </c>
      <c r="BB221" s="40" t="str">
        <f aca="false">IF(OR(OR(NOT(AND(ISNUMBER(E221),ISNUMBER(F221))),$J$2=""),16&gt;MAX(1,Reprogramaciones!$U$15)),"",IF(Reprogramaciones!Z$12&gt;=7,"",IF(OR(CI221-N(CH221)&gt;0.05,N(AF221)&gt;0),ROUNDDOWN(ROUND(CI221,6),0)&amp;"%"&amp;IF(CY221="",""," / "&amp;CY221&amp;"%"),IF(AND(N(CH221)&gt;=99.95,CY221&lt;&gt;"",N(CY221)&lt;100),"Pend. "&amp;CY221&amp;"%",""))))</f>
        <v/>
      </c>
      <c r="BC221" s="31" t="n">
        <f aca="false">IF(AND(ISNUMBER(E221),ISNUMBER(F221)),MAX(1,NETWORKDAYS.INTL(E221,F221,11)),0)</f>
        <v>0</v>
      </c>
      <c r="BD221" s="1" t="str">
        <f aca="false">IF(OR(NOT(AND(ISNUMBER(E221),ISNUMBER(F221))),$J$2=""),"",MIN(100,ROUND(SUM($G221:G221),1)))</f>
        <v/>
      </c>
      <c r="BE221" s="1" t="str">
        <f aca="false">IF(OR(NOT(AND(ISNUMBER(E221),ISNUMBER(F221))),$J$2=""),"",MIN(100,ROUND(SUM($G221:H221),1)))</f>
        <v/>
      </c>
      <c r="BF221" s="1" t="str">
        <f aca="false">IF(OR(NOT(AND(ISNUMBER(E221),ISNUMBER(F221))),$J$2=""),"",MIN(100,ROUND(SUM($G221:I221),1)))</f>
        <v/>
      </c>
      <c r="BG221" s="1" t="str">
        <f aca="false">IF(OR(NOT(AND(ISNUMBER(E221),ISNUMBER(F221))),$J$2=""),"",MIN(100,ROUND(SUM($G221:J221),1)))</f>
        <v/>
      </c>
      <c r="BH221" s="1" t="str">
        <f aca="false">IF(OR(NOT(AND(ISNUMBER(E221),ISNUMBER(F221))),$J$2=""),"",MIN(100,ROUND(SUM($G221:K221),1)))</f>
        <v/>
      </c>
      <c r="BI221" s="1" t="str">
        <f aca="false">IF(OR(NOT(AND(ISNUMBER(E221),ISNUMBER(F221))),$J$2=""),"",MIN(100,ROUND(SUM($G221:L221),1)))</f>
        <v/>
      </c>
      <c r="BJ221" s="1" t="str">
        <f aca="false">IF(OR(NOT(AND(ISNUMBER(E221),ISNUMBER(F221))),$J$2=""),"",MIN(100,ROUND(SUM($G221:M221),1)))</f>
        <v/>
      </c>
      <c r="BK221" s="1" t="str">
        <f aca="false">IF(OR(NOT(AND(ISNUMBER(E221),ISNUMBER(F221))),$J$2=""),"",MIN(100,ROUND(SUM($G221:N221),1)))</f>
        <v/>
      </c>
      <c r="BL221" s="1" t="str">
        <f aca="false">IF(OR(NOT(AND(ISNUMBER(E221),ISNUMBER(F221))),$J$2=""),"",MIN(100,ROUND(SUM($G221:O221),1)))</f>
        <v/>
      </c>
      <c r="BM221" s="1" t="str">
        <f aca="false">IF(OR(NOT(AND(ISNUMBER(E221),ISNUMBER(F221))),$J$2=""),"",MIN(100,ROUND(SUM($G221:P221),1)))</f>
        <v/>
      </c>
      <c r="BN221" s="1" t="str">
        <f aca="false">IF(OR(NOT(AND(ISNUMBER(E221),ISNUMBER(F221))),$J$2=""),"",MIN(100,ROUND(SUM($G221:P221),1)))</f>
        <v/>
      </c>
      <c r="BO221" s="1" t="str">
        <f aca="false">IF(OR(NOT(AND(ISNUMBER(E221),ISNUMBER(F221))),$J$2=""),"",MIN(100,ROUND(SUM($G221:P221),1)))</f>
        <v/>
      </c>
      <c r="BP221" s="1" t="str">
        <f aca="false">IF(OR(NOT(AND(ISNUMBER(E221),ISNUMBER(F221))),$J$2=""),"",MIN(100,ROUND(SUM($G221:P221),1)))</f>
        <v/>
      </c>
      <c r="BQ221" s="1" t="str">
        <f aca="false">IF(OR(NOT(AND(ISNUMBER(E221),ISNUMBER(F221))),$J$2=""),"",MIN(100,ROUND(SUM($G221:P221),1)))</f>
        <v/>
      </c>
      <c r="BR221" s="1" t="str">
        <f aca="false">IF(OR(NOT(AND(ISNUMBER(E221),ISNUMBER(F221))),$J$2=""),"",MIN(100,ROUND(SUM($G221:P221),1)))</f>
        <v/>
      </c>
      <c r="BS221" s="1" t="str">
        <f aca="false">IF(OR(NOT(AND(ISNUMBER(E221),ISNUMBER(F221))),$J$2=""),"",MIN(100,ROUND(SUM($G221:P221),1)))</f>
        <v/>
      </c>
      <c r="BT221" s="1" t="str">
        <f aca="false">IF(OR(NOT(AND(ISNUMBER(E221),ISNUMBER(F221))),$J$2=""),"",IF(Reprogramaciones!K$13&lt;Reprogramaciones!$T$15,0,IF(Reprogramaciones!K$14&gt;10,MIN(100,SUM($G221:$P221)),MIN(100,SUMPRODUCT((COLUMN($G221:$P221)-COLUMN($G221)+1&lt;Reprogramaciones!K$14)*$G221:$P221)+N(INDEX($G221:$P221,1,Reprogramaciones!K$14))*IF(Reprogramaciones!K$13&gt;=(Reprogramaciones!$T$15+7*(Reprogramaciones!K$14-1))+6,1,IF(MAX(0,NETWORKDAYS.INTL(MAX(E221,(Reprogramaciones!$T$15+7*(Reprogramaciones!K$14-1))),MIN(F221,(Reprogramaciones!$T$15+7*(Reprogramaciones!K$14-1))+6),11))=0,0,MAX(0,NETWORKDAYS.INTL(MAX(E221,(Reprogramaciones!$T$15+7*(Reprogramaciones!K$14-1))),MIN(F221,Reprogramaciones!K$13),11))/MAX(0,NETWORKDAYS.INTL(MAX(E221,(Reprogramaciones!$T$15+7*(Reprogramaciones!K$14-1))),MIN(F221,(Reprogramaciones!$T$15+7*(Reprogramaciones!K$14-1))+6),11))))))))</f>
        <v/>
      </c>
      <c r="BU221" s="1" t="str">
        <f aca="false">IF(OR(NOT(AND(ISNUMBER(E221),ISNUMBER(F221))),$J$2=""),"",IF(Reprogramaciones!L$13&lt;Reprogramaciones!$T$15,0,IF(Reprogramaciones!L$14&gt;10,MIN(100,SUM($G221:$P221)),MIN(100,SUMPRODUCT((COLUMN($G221:$P221)-COLUMN($G221)+1&lt;Reprogramaciones!L$14)*$G221:$P221)+N(INDEX($G221:$P221,1,Reprogramaciones!L$14))*IF(Reprogramaciones!L$13&gt;=(Reprogramaciones!$T$15+7*(Reprogramaciones!L$14-1))+6,1,IF(MAX(0,NETWORKDAYS.INTL(MAX(E221,(Reprogramaciones!$T$15+7*(Reprogramaciones!L$14-1))),MIN(F221,(Reprogramaciones!$T$15+7*(Reprogramaciones!L$14-1))+6),11))=0,0,MAX(0,NETWORKDAYS.INTL(MAX(E221,(Reprogramaciones!$T$15+7*(Reprogramaciones!L$14-1))),MIN(F221,Reprogramaciones!L$13),11))/MAX(0,NETWORKDAYS.INTL(MAX(E221,(Reprogramaciones!$T$15+7*(Reprogramaciones!L$14-1))),MIN(F221,(Reprogramaciones!$T$15+7*(Reprogramaciones!L$14-1))+6),11))))))))</f>
        <v/>
      </c>
      <c r="BV221" s="1" t="str">
        <f aca="false">IF(OR(NOT(AND(ISNUMBER(E221),ISNUMBER(F221))),$J$2=""),"",IF(Reprogramaciones!M$13&lt;Reprogramaciones!$T$15,0,IF(Reprogramaciones!M$14&gt;10,MIN(100,SUM($G221:$P221)),MIN(100,SUMPRODUCT((COLUMN($G221:$P221)-COLUMN($G221)+1&lt;Reprogramaciones!M$14)*$G221:$P221)+N(INDEX($G221:$P221,1,Reprogramaciones!M$14))*IF(Reprogramaciones!M$13&gt;=(Reprogramaciones!$T$15+7*(Reprogramaciones!M$14-1))+6,1,IF(MAX(0,NETWORKDAYS.INTL(MAX(E221,(Reprogramaciones!$T$15+7*(Reprogramaciones!M$14-1))),MIN(F221,(Reprogramaciones!$T$15+7*(Reprogramaciones!M$14-1))+6),11))=0,0,MAX(0,NETWORKDAYS.INTL(MAX(E221,(Reprogramaciones!$T$15+7*(Reprogramaciones!M$14-1))),MIN(F221,Reprogramaciones!M$13),11))/MAX(0,NETWORKDAYS.INTL(MAX(E221,(Reprogramaciones!$T$15+7*(Reprogramaciones!M$14-1))),MIN(F221,(Reprogramaciones!$T$15+7*(Reprogramaciones!M$14-1))+6),11))))))))</f>
        <v/>
      </c>
      <c r="BW221" s="1" t="str">
        <f aca="false">IF(OR(NOT(AND(ISNUMBER(E221),ISNUMBER(F221))),$J$2=""),"",IF(Reprogramaciones!N$13&lt;Reprogramaciones!$T$15,0,IF(Reprogramaciones!N$14&gt;10,MIN(100,SUM($G221:$P221)),MIN(100,SUMPRODUCT((COLUMN($G221:$P221)-COLUMN($G221)+1&lt;Reprogramaciones!N$14)*$G221:$P221)+N(INDEX($G221:$P221,1,Reprogramaciones!N$14))*IF(Reprogramaciones!N$13&gt;=(Reprogramaciones!$T$15+7*(Reprogramaciones!N$14-1))+6,1,IF(MAX(0,NETWORKDAYS.INTL(MAX(E221,(Reprogramaciones!$T$15+7*(Reprogramaciones!N$14-1))),MIN(F221,(Reprogramaciones!$T$15+7*(Reprogramaciones!N$14-1))+6),11))=0,0,MAX(0,NETWORKDAYS.INTL(MAX(E221,(Reprogramaciones!$T$15+7*(Reprogramaciones!N$14-1))),MIN(F221,Reprogramaciones!N$13),11))/MAX(0,NETWORKDAYS.INTL(MAX(E221,(Reprogramaciones!$T$15+7*(Reprogramaciones!N$14-1))),MIN(F221,(Reprogramaciones!$T$15+7*(Reprogramaciones!N$14-1))+6),11))))))))</f>
        <v/>
      </c>
      <c r="BX221" s="1" t="str">
        <f aca="false">IF(OR(NOT(AND(ISNUMBER(E221),ISNUMBER(F221))),$J$2=""),"",IF(Reprogramaciones!O$13&lt;Reprogramaciones!$T$15,0,IF(Reprogramaciones!O$14&gt;10,MIN(100,SUM($G221:$P221)),MIN(100,SUMPRODUCT((COLUMN($G221:$P221)-COLUMN($G221)+1&lt;Reprogramaciones!O$14)*$G221:$P221)+N(INDEX($G221:$P221,1,Reprogramaciones!O$14))*IF(Reprogramaciones!O$13&gt;=(Reprogramaciones!$T$15+7*(Reprogramaciones!O$14-1))+6,1,IF(MAX(0,NETWORKDAYS.INTL(MAX(E221,(Reprogramaciones!$T$15+7*(Reprogramaciones!O$14-1))),MIN(F221,(Reprogramaciones!$T$15+7*(Reprogramaciones!O$14-1))+6),11))=0,0,MAX(0,NETWORKDAYS.INTL(MAX(E221,(Reprogramaciones!$T$15+7*(Reprogramaciones!O$14-1))),MIN(F221,Reprogramaciones!O$13),11))/MAX(0,NETWORKDAYS.INTL(MAX(E221,(Reprogramaciones!$T$15+7*(Reprogramaciones!O$14-1))),MIN(F221,(Reprogramaciones!$T$15+7*(Reprogramaciones!O$14-1))+6),11))))))))</f>
        <v/>
      </c>
      <c r="BY221" s="1" t="str">
        <f aca="false">IF(OR(NOT(AND(ISNUMBER(E221),ISNUMBER(F221))),$J$2=""),"",IF(Reprogramaciones!P$13&lt;Reprogramaciones!$T$15,0,IF(Reprogramaciones!P$14&gt;10,MIN(100,SUM($G221:$P221)),MIN(100,SUMPRODUCT((COLUMN($G221:$P221)-COLUMN($G221)+1&lt;Reprogramaciones!P$14)*$G221:$P221)+N(INDEX($G221:$P221,1,Reprogramaciones!P$14))*IF(Reprogramaciones!P$13&gt;=(Reprogramaciones!$T$15+7*(Reprogramaciones!P$14-1))+6,1,IF(MAX(0,NETWORKDAYS.INTL(MAX(E221,(Reprogramaciones!$T$15+7*(Reprogramaciones!P$14-1))),MIN(F221,(Reprogramaciones!$T$15+7*(Reprogramaciones!P$14-1))+6),11))=0,0,MAX(0,NETWORKDAYS.INTL(MAX(E221,(Reprogramaciones!$T$15+7*(Reprogramaciones!P$14-1))),MIN(F221,Reprogramaciones!P$13),11))/MAX(0,NETWORKDAYS.INTL(MAX(E221,(Reprogramaciones!$T$15+7*(Reprogramaciones!P$14-1))),MIN(F221,(Reprogramaciones!$T$15+7*(Reprogramaciones!P$14-1))+6),11))))))))</f>
        <v/>
      </c>
      <c r="BZ221" s="1" t="str">
        <f aca="false">IF(OR(NOT(AND(ISNUMBER(E221),ISNUMBER(F221))),$J$2=""),"",IF(Reprogramaciones!Q$13&lt;Reprogramaciones!$T$15,0,IF(Reprogramaciones!Q$14&gt;10,MIN(100,SUM($G221:$P221)),MIN(100,SUMPRODUCT((COLUMN($G221:$P221)-COLUMN($G221)+1&lt;Reprogramaciones!Q$14)*$G221:$P221)+N(INDEX($G221:$P221,1,Reprogramaciones!Q$14))*IF(Reprogramaciones!Q$13&gt;=(Reprogramaciones!$T$15+7*(Reprogramaciones!Q$14-1))+6,1,IF(MAX(0,NETWORKDAYS.INTL(MAX(E221,(Reprogramaciones!$T$15+7*(Reprogramaciones!Q$14-1))),MIN(F221,(Reprogramaciones!$T$15+7*(Reprogramaciones!Q$14-1))+6),11))=0,0,MAX(0,NETWORKDAYS.INTL(MAX(E221,(Reprogramaciones!$T$15+7*(Reprogramaciones!Q$14-1))),MIN(F221,Reprogramaciones!Q$13),11))/MAX(0,NETWORKDAYS.INTL(MAX(E221,(Reprogramaciones!$T$15+7*(Reprogramaciones!Q$14-1))),MIN(F221,(Reprogramaciones!$T$15+7*(Reprogramaciones!Q$14-1))+6),11))))))))</f>
        <v/>
      </c>
      <c r="CA221" s="1" t="str">
        <f aca="false">IF(OR(NOT(AND(ISNUMBER(E221),ISNUMBER(F221))),$J$2=""),"",IF(Reprogramaciones!R$13&lt;Reprogramaciones!$T$15,0,IF(Reprogramaciones!R$14&gt;10,MIN(100,SUM($G221:$P221)),MIN(100,SUMPRODUCT((COLUMN($G221:$P221)-COLUMN($G221)+1&lt;Reprogramaciones!R$14)*$G221:$P221)+N(INDEX($G221:$P221,1,Reprogramaciones!R$14))*IF(Reprogramaciones!R$13&gt;=(Reprogramaciones!$T$15+7*(Reprogramaciones!R$14-1))+6,1,IF(MAX(0,NETWORKDAYS.INTL(MAX(E221,(Reprogramaciones!$T$15+7*(Reprogramaciones!R$14-1))),MIN(F221,(Reprogramaciones!$T$15+7*(Reprogramaciones!R$14-1))+6),11))=0,0,MAX(0,NETWORKDAYS.INTL(MAX(E221,(Reprogramaciones!$T$15+7*(Reprogramaciones!R$14-1))),MIN(F221,Reprogramaciones!R$13),11))/MAX(0,NETWORKDAYS.INTL(MAX(E221,(Reprogramaciones!$T$15+7*(Reprogramaciones!R$14-1))),MIN(F221,(Reprogramaciones!$T$15+7*(Reprogramaciones!R$14-1))+6),11))))))))</f>
        <v/>
      </c>
      <c r="CB221" s="1" t="str">
        <f aca="false">IF(OR(NOT(AND(ISNUMBER(E221),ISNUMBER(F221))),$J$2=""),"",IF(Reprogramaciones!S$13&lt;Reprogramaciones!$T$15,0,IF(Reprogramaciones!S$14&gt;10,MIN(100,SUM($G221:$P221)),MIN(100,SUMPRODUCT((COLUMN($G221:$P221)-COLUMN($G221)+1&lt;Reprogramaciones!S$14)*$G221:$P221)+N(INDEX($G221:$P221,1,Reprogramaciones!S$14))*IF(Reprogramaciones!S$13&gt;=(Reprogramaciones!$T$15+7*(Reprogramaciones!S$14-1))+6,1,IF(MAX(0,NETWORKDAYS.INTL(MAX(E221,(Reprogramaciones!$T$15+7*(Reprogramaciones!S$14-1))),MIN(F221,(Reprogramaciones!$T$15+7*(Reprogramaciones!S$14-1))+6),11))=0,0,MAX(0,NETWORKDAYS.INTL(MAX(E221,(Reprogramaciones!$T$15+7*(Reprogramaciones!S$14-1))),MIN(F221,Reprogramaciones!S$13),11))/MAX(0,NETWORKDAYS.INTL(MAX(E221,(Reprogramaciones!$T$15+7*(Reprogramaciones!S$14-1))),MIN(F221,(Reprogramaciones!$T$15+7*(Reprogramaciones!S$14-1))+6),11))))))))</f>
        <v/>
      </c>
      <c r="CC221" s="1" t="str">
        <f aca="false">IF(OR(NOT(AND(ISNUMBER(E221),ISNUMBER(F221))),$J$2=""),"",IF(Reprogramaciones!T$13&lt;Reprogramaciones!$T$15,0,IF(Reprogramaciones!T$14&gt;10,MIN(100,SUM($G221:$P221)),MIN(100,SUMPRODUCT((COLUMN($G221:$P221)-COLUMN($G221)+1&lt;Reprogramaciones!T$14)*$G221:$P221)+N(INDEX($G221:$P221,1,Reprogramaciones!T$14))*IF(Reprogramaciones!T$13&gt;=(Reprogramaciones!$T$15+7*(Reprogramaciones!T$14-1))+6,1,IF(MAX(0,NETWORKDAYS.INTL(MAX(E221,(Reprogramaciones!$T$15+7*(Reprogramaciones!T$14-1))),MIN(F221,(Reprogramaciones!$T$15+7*(Reprogramaciones!T$14-1))+6),11))=0,0,MAX(0,NETWORKDAYS.INTL(MAX(E221,(Reprogramaciones!$T$15+7*(Reprogramaciones!T$14-1))),MIN(F221,Reprogramaciones!T$13),11))/MAX(0,NETWORKDAYS.INTL(MAX(E221,(Reprogramaciones!$T$15+7*(Reprogramaciones!T$14-1))),MIN(F221,(Reprogramaciones!$T$15+7*(Reprogramaciones!T$14-1))+6),11))))))))</f>
        <v/>
      </c>
      <c r="CD221" s="1" t="str">
        <f aca="false">IF(OR(NOT(AND(ISNUMBER(E221),ISNUMBER(F221))),$J$2=""),"",IF(Reprogramaciones!U$13&lt;Reprogramaciones!$T$15,0,IF(Reprogramaciones!U$14&gt;10,MIN(100,SUM($G221:$P221)),MIN(100,SUMPRODUCT((COLUMN($G221:$P221)-COLUMN($G221)+1&lt;Reprogramaciones!U$14)*$G221:$P221)+N(INDEX($G221:$P221,1,Reprogramaciones!U$14))*IF(Reprogramaciones!U$13&gt;=(Reprogramaciones!$T$15+7*(Reprogramaciones!U$14-1))+6,1,IF(MAX(0,NETWORKDAYS.INTL(MAX(E221,(Reprogramaciones!$T$15+7*(Reprogramaciones!U$14-1))),MIN(F221,(Reprogramaciones!$T$15+7*(Reprogramaciones!U$14-1))+6),11))=0,0,MAX(0,NETWORKDAYS.INTL(MAX(E221,(Reprogramaciones!$T$15+7*(Reprogramaciones!U$14-1))),MIN(F221,Reprogramaciones!U$13),11))/MAX(0,NETWORKDAYS.INTL(MAX(E221,(Reprogramaciones!$T$15+7*(Reprogramaciones!U$14-1))),MIN(F221,(Reprogramaciones!$T$15+7*(Reprogramaciones!U$14-1))+6),11))))))))</f>
        <v/>
      </c>
      <c r="CE221" s="1" t="str">
        <f aca="false">IF(OR(NOT(AND(ISNUMBER(E221),ISNUMBER(F221))),$J$2=""),"",IF(Reprogramaciones!V$13&lt;Reprogramaciones!$T$15,0,IF(Reprogramaciones!V$14&gt;10,MIN(100,SUM($G221:$P221)),MIN(100,SUMPRODUCT((COLUMN($G221:$P221)-COLUMN($G221)+1&lt;Reprogramaciones!V$14)*$G221:$P221)+N(INDEX($G221:$P221,1,Reprogramaciones!V$14))*IF(Reprogramaciones!V$13&gt;=(Reprogramaciones!$T$15+7*(Reprogramaciones!V$14-1))+6,1,IF(MAX(0,NETWORKDAYS.INTL(MAX(E221,(Reprogramaciones!$T$15+7*(Reprogramaciones!V$14-1))),MIN(F221,(Reprogramaciones!$T$15+7*(Reprogramaciones!V$14-1))+6),11))=0,0,MAX(0,NETWORKDAYS.INTL(MAX(E221,(Reprogramaciones!$T$15+7*(Reprogramaciones!V$14-1))),MIN(F221,Reprogramaciones!V$13),11))/MAX(0,NETWORKDAYS.INTL(MAX(E221,(Reprogramaciones!$T$15+7*(Reprogramaciones!V$14-1))),MIN(F221,(Reprogramaciones!$T$15+7*(Reprogramaciones!V$14-1))+6),11))))))))</f>
        <v/>
      </c>
      <c r="CF221" s="1" t="str">
        <f aca="false">IF(OR(NOT(AND(ISNUMBER(E221),ISNUMBER(F221))),$J$2=""),"",IF(Reprogramaciones!W$13&lt;Reprogramaciones!$T$15,0,IF(Reprogramaciones!W$14&gt;10,MIN(100,SUM($G221:$P221)),MIN(100,SUMPRODUCT((COLUMN($G221:$P221)-COLUMN($G221)+1&lt;Reprogramaciones!W$14)*$G221:$P221)+N(INDEX($G221:$P221,1,Reprogramaciones!W$14))*IF(Reprogramaciones!W$13&gt;=(Reprogramaciones!$T$15+7*(Reprogramaciones!W$14-1))+6,1,IF(MAX(0,NETWORKDAYS.INTL(MAX(E221,(Reprogramaciones!$T$15+7*(Reprogramaciones!W$14-1))),MIN(F221,(Reprogramaciones!$T$15+7*(Reprogramaciones!W$14-1))+6),11))=0,0,MAX(0,NETWORKDAYS.INTL(MAX(E221,(Reprogramaciones!$T$15+7*(Reprogramaciones!W$14-1))),MIN(F221,Reprogramaciones!W$13),11))/MAX(0,NETWORKDAYS.INTL(MAX(E221,(Reprogramaciones!$T$15+7*(Reprogramaciones!W$14-1))),MIN(F221,(Reprogramaciones!$T$15+7*(Reprogramaciones!W$14-1))+6),11))))))))</f>
        <v/>
      </c>
      <c r="CG221" s="1" t="str">
        <f aca="false">IF(OR(NOT(AND(ISNUMBER(E221),ISNUMBER(F221))),$J$2=""),"",IF(Reprogramaciones!X$13&lt;Reprogramaciones!$T$15,0,IF(Reprogramaciones!X$14&gt;10,MIN(100,SUM($G221:$P221)),MIN(100,SUMPRODUCT((COLUMN($G221:$P221)-COLUMN($G221)+1&lt;Reprogramaciones!X$14)*$G221:$P221)+N(INDEX($G221:$P221,1,Reprogramaciones!X$14))*IF(Reprogramaciones!X$13&gt;=(Reprogramaciones!$T$15+7*(Reprogramaciones!X$14-1))+6,1,IF(MAX(0,NETWORKDAYS.INTL(MAX(E221,(Reprogramaciones!$T$15+7*(Reprogramaciones!X$14-1))),MIN(F221,(Reprogramaciones!$T$15+7*(Reprogramaciones!X$14-1))+6),11))=0,0,MAX(0,NETWORKDAYS.INTL(MAX(E221,(Reprogramaciones!$T$15+7*(Reprogramaciones!X$14-1))),MIN(F221,Reprogramaciones!X$13),11))/MAX(0,NETWORKDAYS.INTL(MAX(E221,(Reprogramaciones!$T$15+7*(Reprogramaciones!X$14-1))),MIN(F221,(Reprogramaciones!$T$15+7*(Reprogramaciones!X$14-1))+6),11))))))))</f>
        <v/>
      </c>
      <c r="CH221" s="1" t="str">
        <f aca="false">IF(OR(NOT(AND(ISNUMBER(E221),ISNUMBER(F221))),$J$2=""),"",IF(Reprogramaciones!Y$13&lt;Reprogramaciones!$T$15,0,IF(Reprogramaciones!Y$14&gt;10,MIN(100,SUM($G221:$P221)),MIN(100,SUMPRODUCT((COLUMN($G221:$P221)-COLUMN($G221)+1&lt;Reprogramaciones!Y$14)*$G221:$P221)+N(INDEX($G221:$P221,1,Reprogramaciones!Y$14))*IF(Reprogramaciones!Y$13&gt;=(Reprogramaciones!$T$15+7*(Reprogramaciones!Y$14-1))+6,1,IF(MAX(0,NETWORKDAYS.INTL(MAX(E221,(Reprogramaciones!$T$15+7*(Reprogramaciones!Y$14-1))),MIN(F221,(Reprogramaciones!$T$15+7*(Reprogramaciones!Y$14-1))+6),11))=0,0,MAX(0,NETWORKDAYS.INTL(MAX(E221,(Reprogramaciones!$T$15+7*(Reprogramaciones!Y$14-1))),MIN(F221,Reprogramaciones!Y$13),11))/MAX(0,NETWORKDAYS.INTL(MAX(E221,(Reprogramaciones!$T$15+7*(Reprogramaciones!Y$14-1))),MIN(F221,(Reprogramaciones!$T$15+7*(Reprogramaciones!Y$14-1))+6),11))))))))</f>
        <v/>
      </c>
      <c r="CI221" s="1" t="str">
        <f aca="false">IF(OR(NOT(AND(ISNUMBER(E221),ISNUMBER(F221))),$J$2=""),"",IF(Reprogramaciones!Z$13&lt;Reprogramaciones!$T$15,0,IF(Reprogramaciones!Z$14&gt;10,MIN(100,SUM($G221:$P221)),MIN(100,SUMPRODUCT((COLUMN($G221:$P221)-COLUMN($G221)+1&lt;Reprogramaciones!Z$14)*$G221:$P221)+N(INDEX($G221:$P221,1,Reprogramaciones!Z$14))*IF(Reprogramaciones!Z$13&gt;=(Reprogramaciones!$T$15+7*(Reprogramaciones!Z$14-1))+6,1,IF(MAX(0,NETWORKDAYS.INTL(MAX(E221,(Reprogramaciones!$T$15+7*(Reprogramaciones!Z$14-1))),MIN(F221,(Reprogramaciones!$T$15+7*(Reprogramaciones!Z$14-1))+6),11))=0,0,MAX(0,NETWORKDAYS.INTL(MAX(E221,(Reprogramaciones!$T$15+7*(Reprogramaciones!Z$14-1))),MIN(F221,Reprogramaciones!Z$13),11))/MAX(0,NETWORKDAYS.INTL(MAX(E221,(Reprogramaciones!$T$15+7*(Reprogramaciones!Z$14-1))),MIN(F221,(Reprogramaciones!$T$15+7*(Reprogramaciones!Z$14-1))+6),11))))))))</f>
        <v/>
      </c>
      <c r="CJ221" s="1" t="str">
        <f aca="false">IF(OR(OR(NOT(AND(ISNUMBER(E221),ISNUMBER(F221))),$J$2=""),1&gt;Reprogramaciones!$K$16),"",IF(ROUND(SUM($Q221:Q221),1)&gt;=99.5,100,MIN(100,ROUND(SUM($Q221:Q221),1))))</f>
        <v/>
      </c>
      <c r="CK221" s="1" t="str">
        <f aca="false">IF(OR(OR(NOT(AND(ISNUMBER(E221),ISNUMBER(F221))),$J$2=""),2&gt;Reprogramaciones!$K$16),"",IF(ROUND(SUM($Q221:R221),1)&gt;=99.5,100,MIN(100,ROUND(SUM($Q221:R221),1))))</f>
        <v/>
      </c>
      <c r="CL221" s="1" t="str">
        <f aca="false">IF(OR(OR(NOT(AND(ISNUMBER(E221),ISNUMBER(F221))),$J$2=""),3&gt;Reprogramaciones!$K$16),"",IF(ROUND(SUM($Q221:S221),1)&gt;=99.5,100,MIN(100,ROUND(SUM($Q221:S221),1))))</f>
        <v/>
      </c>
      <c r="CM221" s="1" t="str">
        <f aca="false">IF(OR(OR(NOT(AND(ISNUMBER(E221),ISNUMBER(F221))),$J$2=""),4&gt;Reprogramaciones!$K$16),"",IF(ROUND(SUM($Q221:T221),1)&gt;=99.5,100,MIN(100,ROUND(SUM($Q221:T221),1))))</f>
        <v/>
      </c>
      <c r="CN221" s="1" t="str">
        <f aca="false">IF(OR(OR(NOT(AND(ISNUMBER(E221),ISNUMBER(F221))),$J$2=""),5&gt;Reprogramaciones!$K$16),"",IF(ROUND(SUM($Q221:U221),1)&gt;=99.5,100,MIN(100,ROUND(SUM($Q221:U221),1))))</f>
        <v/>
      </c>
      <c r="CO221" s="1" t="str">
        <f aca="false">IF(OR(OR(NOT(AND(ISNUMBER(E221),ISNUMBER(F221))),$J$2=""),6&gt;Reprogramaciones!$K$16),"",IF(ROUND(SUM($Q221:V221),1)&gt;=99.5,100,MIN(100,ROUND(SUM($Q221:V221),1))))</f>
        <v/>
      </c>
      <c r="CP221" s="1" t="str">
        <f aca="false">IF(OR(OR(NOT(AND(ISNUMBER(E221),ISNUMBER(F221))),$J$2=""),7&gt;Reprogramaciones!$K$16),"",IF(ROUND(SUM($Q221:W221),1)&gt;=99.5,100,MIN(100,ROUND(SUM($Q221:W221),1))))</f>
        <v/>
      </c>
      <c r="CQ221" s="1" t="str">
        <f aca="false">IF(OR(OR(NOT(AND(ISNUMBER(E221),ISNUMBER(F221))),$J$2=""),8&gt;Reprogramaciones!$K$16),"",IF(ROUND(SUM($Q221:X221),1)&gt;=99.5,100,MIN(100,ROUND(SUM($Q221:X221),1))))</f>
        <v/>
      </c>
      <c r="CR221" s="1" t="str">
        <f aca="false">IF(OR(OR(NOT(AND(ISNUMBER(E221),ISNUMBER(F221))),$J$2=""),9&gt;Reprogramaciones!$K$16),"",IF(ROUND(SUM($Q221:Y221),1)&gt;=99.5,100,MIN(100,ROUND(SUM($Q221:Y221),1))))</f>
        <v/>
      </c>
      <c r="CS221" s="1" t="str">
        <f aca="false">IF(OR(OR(NOT(AND(ISNUMBER(E221),ISNUMBER(F221))),$J$2=""),10&gt;Reprogramaciones!$K$16),"",IF(ROUND(SUM($Q221:Z221),1)&gt;=99.5,100,MIN(100,ROUND(SUM($Q221:Z221),1))))</f>
        <v/>
      </c>
      <c r="CT221" s="1" t="str">
        <f aca="false">IF(OR(OR(NOT(AND(ISNUMBER(E221),ISNUMBER(F221))),$J$2=""),11&gt;Reprogramaciones!$K$16),"",IF(ROUND(SUM($Q221:AA221),1)&gt;=99.5,100,MIN(100,ROUND(SUM($Q221:AA221),1))))</f>
        <v/>
      </c>
      <c r="CU221" s="1" t="str">
        <f aca="false">IF(OR(OR(NOT(AND(ISNUMBER(E221),ISNUMBER(F221))),$J$2=""),12&gt;Reprogramaciones!$K$16),"",IF(ROUND(SUM($Q221:AB221),1)&gt;=99.5,100,MIN(100,ROUND(SUM($Q221:AB221),1))))</f>
        <v/>
      </c>
      <c r="CV221" s="1" t="str">
        <f aca="false">IF(OR(OR(NOT(AND(ISNUMBER(E221),ISNUMBER(F221))),$J$2=""),13&gt;Reprogramaciones!$K$16),"",IF(ROUND(SUM($Q221:AC221),1)&gt;=99.5,100,MIN(100,ROUND(SUM($Q221:AC221),1))))</f>
        <v/>
      </c>
      <c r="CW221" s="1" t="str">
        <f aca="false">IF(OR(OR(NOT(AND(ISNUMBER(E221),ISNUMBER(F221))),$J$2=""),14&gt;Reprogramaciones!$K$16),"",IF(ROUND(SUM($Q221:AD221),1)&gt;=99.5,100,MIN(100,ROUND(SUM($Q221:AD221),1))))</f>
        <v/>
      </c>
      <c r="CX221" s="1" t="str">
        <f aca="false">IF(OR(OR(NOT(AND(ISNUMBER(E221),ISNUMBER(F221))),$J$2=""),15&gt;Reprogramaciones!$K$16),"",IF(ROUND(SUM($Q221:AE221),1)&gt;=99.5,100,MIN(100,ROUND(SUM($Q221:AE221),1))))</f>
        <v/>
      </c>
      <c r="CY221" s="1" t="str">
        <f aca="false">IF(OR(OR(NOT(AND(ISNUMBER(E221),ISNUMBER(F221))),$J$2=""),16&gt;Reprogramaciones!$K$16),"",IF(ROUND(SUM($Q221:AF221),1)&gt;=99.5,100,MIN(100,ROUND(SUM($Q221:AF221),1))))</f>
        <v/>
      </c>
      <c r="CZ221" s="1" t="str">
        <f aca="false">IF(D221&lt;&gt;"",D221,IF(B221&lt;&gt;"","Contractual",CZ220))</f>
        <v>Contractual</v>
      </c>
      <c r="DA221" s="1" t="str">
        <f aca="false">IF(OR(NOT(AND(ISNUMBER(E221),ISNUMBER(F221))),$J$2=""),"",IF(Reprogramaciones!$Q$15&lt;Reprogramaciones!$T$15,0,IF(Reprogramaciones!$S$15&gt;10,MIN(100,SUM($G221:$P221)),MIN(100,SUMPRODUCT((COLUMN($G221:$P221)-COLUMN($G221)+1&lt;Reprogramaciones!$S$15)*$G221:$P221)+N(INDEX($G221:$P221,1,Reprogramaciones!$S$15))*IF(Reprogramaciones!$Q$15&gt;=(Reprogramaciones!$T$15+7*(Reprogramaciones!$S$15-1))+6,1,IF(MAX(0,NETWORKDAYS.INTL(MAX(E221,(Reprogramaciones!$T$15+7*(Reprogramaciones!$S$15-1))),MIN(F221,(Reprogramaciones!$T$15+7*(Reprogramaciones!$S$15-1))+6),11))=0,0,MAX(0,NETWORKDAYS.INTL(MAX(E221,(Reprogramaciones!$T$15+7*(Reprogramaciones!$S$15-1))),MIN(F221,Reprogramaciones!$Q$15),11))/MAX(0,NETWORKDAYS.INTL(MAX(E221,(Reprogramaciones!$T$15+7*(Reprogramaciones!$S$15-1))),MIN(F221,(Reprogramaciones!$T$15+7*(Reprogramaciones!$S$15-1))+6),11))))))))</f>
        <v/>
      </c>
    </row>
    <row r="222" customFormat="false" ht="15" hidden="false" customHeight="false" outlineLevel="0" collapsed="false">
      <c r="A222" s="32"/>
      <c r="B222" s="33"/>
      <c r="C222" s="33"/>
      <c r="D222" s="34"/>
      <c r="E222" s="35"/>
      <c r="F222" s="35"/>
      <c r="G222" s="36" t="str">
        <f aca="false">IF(OR(NOT(AND(ISNUMBER(E222),ISNUMBER(F222))),$J$2=""),"",IF(Reprogramaciones!K$9&lt;E222,0,IF(NETWORKDAYS.INTL(E222,F222,11)=0,IF(Reprogramaciones!K$9&gt;=F222,100,0),ROUND(NETWORKDAYS.INTL(E222,MIN(F222,Reprogramaciones!K$9),11)/NETWORKDAYS.INTL(E222,F222,11)*100,1)))-0)</f>
        <v/>
      </c>
      <c r="H222" s="36" t="str">
        <f aca="false">IF(OR(NOT(AND(ISNUMBER(E222),ISNUMBER(F222))),$J$2=""),"",IF(Reprogramaciones!L$9&lt;E222,0,IF(NETWORKDAYS.INTL(E222,F222,11)=0,IF(Reprogramaciones!L$9&gt;=F222,100,0),ROUND(NETWORKDAYS.INTL(E222,MIN(F222,Reprogramaciones!L$9),11)/NETWORKDAYS.INTL(E222,F222,11)*100,1)))-IF(Reprogramaciones!K$9&lt;E222,0,IF(NETWORKDAYS.INTL(E222,F222,11)=0,IF(Reprogramaciones!K$9&gt;=F222,100,0),ROUND(NETWORKDAYS.INTL(E222,MIN(F222,Reprogramaciones!K$9),11)/NETWORKDAYS.INTL(E222,F222,11)*100,1))))</f>
        <v/>
      </c>
      <c r="I222" s="36" t="str">
        <f aca="false">IF(OR(NOT(AND(ISNUMBER(E222),ISNUMBER(F222))),$J$2=""),"",IF(Reprogramaciones!M$9&lt;E222,0,IF(NETWORKDAYS.INTL(E222,F222,11)=0,IF(Reprogramaciones!M$9&gt;=F222,100,0),ROUND(NETWORKDAYS.INTL(E222,MIN(F222,Reprogramaciones!M$9),11)/NETWORKDAYS.INTL(E222,F222,11)*100,1)))-IF(Reprogramaciones!L$9&lt;E222,0,IF(NETWORKDAYS.INTL(E222,F222,11)=0,IF(Reprogramaciones!L$9&gt;=F222,100,0),ROUND(NETWORKDAYS.INTL(E222,MIN(F222,Reprogramaciones!L$9),11)/NETWORKDAYS.INTL(E222,F222,11)*100,1))))</f>
        <v/>
      </c>
      <c r="J222" s="36" t="str">
        <f aca="false">IF(OR(NOT(AND(ISNUMBER(E222),ISNUMBER(F222))),$J$2=""),"",IF(Reprogramaciones!N$9&lt;E222,0,IF(NETWORKDAYS.INTL(E222,F222,11)=0,IF(Reprogramaciones!N$9&gt;=F222,100,0),ROUND(NETWORKDAYS.INTL(E222,MIN(F222,Reprogramaciones!N$9),11)/NETWORKDAYS.INTL(E222,F222,11)*100,1)))-IF(Reprogramaciones!M$9&lt;E222,0,IF(NETWORKDAYS.INTL(E222,F222,11)=0,IF(Reprogramaciones!M$9&gt;=F222,100,0),ROUND(NETWORKDAYS.INTL(E222,MIN(F222,Reprogramaciones!M$9),11)/NETWORKDAYS.INTL(E222,F222,11)*100,1))))</f>
        <v/>
      </c>
      <c r="K222" s="36" t="str">
        <f aca="false">IF(OR(NOT(AND(ISNUMBER(E222),ISNUMBER(F222))),$J$2=""),"",IF(Reprogramaciones!O$9&lt;E222,0,IF(NETWORKDAYS.INTL(E222,F222,11)=0,IF(Reprogramaciones!O$9&gt;=F222,100,0),ROUND(NETWORKDAYS.INTL(E222,MIN(F222,Reprogramaciones!O$9),11)/NETWORKDAYS.INTL(E222,F222,11)*100,1)))-IF(Reprogramaciones!N$9&lt;E222,0,IF(NETWORKDAYS.INTL(E222,F222,11)=0,IF(Reprogramaciones!N$9&gt;=F222,100,0),ROUND(NETWORKDAYS.INTL(E222,MIN(F222,Reprogramaciones!N$9),11)/NETWORKDAYS.INTL(E222,F222,11)*100,1))))</f>
        <v/>
      </c>
      <c r="L222" s="36" t="str">
        <f aca="false">IF(OR(NOT(AND(ISNUMBER(E222),ISNUMBER(F222))),$J$2=""),"",IF(Reprogramaciones!P$9&lt;E222,0,IF(NETWORKDAYS.INTL(E222,F222,11)=0,IF(Reprogramaciones!P$9&gt;=F222,100,0),ROUND(NETWORKDAYS.INTL(E222,MIN(F222,Reprogramaciones!P$9),11)/NETWORKDAYS.INTL(E222,F222,11)*100,1)))-IF(Reprogramaciones!O$9&lt;E222,0,IF(NETWORKDAYS.INTL(E222,F222,11)=0,IF(Reprogramaciones!O$9&gt;=F222,100,0),ROUND(NETWORKDAYS.INTL(E222,MIN(F222,Reprogramaciones!O$9),11)/NETWORKDAYS.INTL(E222,F222,11)*100,1))))</f>
        <v/>
      </c>
      <c r="M222" s="36" t="str">
        <f aca="false">IF(OR(NOT(AND(ISNUMBER(E222),ISNUMBER(F222))),$J$2=""),"",IF(Reprogramaciones!Q$9&lt;E222,0,IF(NETWORKDAYS.INTL(E222,F222,11)=0,IF(Reprogramaciones!Q$9&gt;=F222,100,0),ROUND(NETWORKDAYS.INTL(E222,MIN(F222,Reprogramaciones!Q$9),11)/NETWORKDAYS.INTL(E222,F222,11)*100,1)))-IF(Reprogramaciones!P$9&lt;E222,0,IF(NETWORKDAYS.INTL(E222,F222,11)=0,IF(Reprogramaciones!P$9&gt;=F222,100,0),ROUND(NETWORKDAYS.INTL(E222,MIN(F222,Reprogramaciones!P$9),11)/NETWORKDAYS.INTL(E222,F222,11)*100,1))))</f>
        <v/>
      </c>
      <c r="N222" s="36" t="str">
        <f aca="false">IF(OR(NOT(AND(ISNUMBER(E222),ISNUMBER(F222))),$J$2=""),"",IF(Reprogramaciones!R$9&lt;E222,0,IF(NETWORKDAYS.INTL(E222,F222,11)=0,IF(Reprogramaciones!R$9&gt;=F222,100,0),ROUND(NETWORKDAYS.INTL(E222,MIN(F222,Reprogramaciones!R$9),11)/NETWORKDAYS.INTL(E222,F222,11)*100,1)))-IF(Reprogramaciones!Q$9&lt;E222,0,IF(NETWORKDAYS.INTL(E222,F222,11)=0,IF(Reprogramaciones!Q$9&gt;=F222,100,0),ROUND(NETWORKDAYS.INTL(E222,MIN(F222,Reprogramaciones!Q$9),11)/NETWORKDAYS.INTL(E222,F222,11)*100,1))))</f>
        <v/>
      </c>
      <c r="O222" s="36" t="str">
        <f aca="false">IF(OR(NOT(AND(ISNUMBER(E222),ISNUMBER(F222))),$J$2=""),"",IF(Reprogramaciones!S$9&lt;E222,0,IF(NETWORKDAYS.INTL(E222,F222,11)=0,IF(Reprogramaciones!S$9&gt;=F222,100,0),ROUND(NETWORKDAYS.INTL(E222,MIN(F222,Reprogramaciones!S$9),11)/NETWORKDAYS.INTL(E222,F222,11)*100,1)))-IF(Reprogramaciones!R$9&lt;E222,0,IF(NETWORKDAYS.INTL(E222,F222,11)=0,IF(Reprogramaciones!R$9&gt;=F222,100,0),ROUND(NETWORKDAYS.INTL(E222,MIN(F222,Reprogramaciones!R$9),11)/NETWORKDAYS.INTL(E222,F222,11)*100,1))))</f>
        <v/>
      </c>
      <c r="P222" s="36" t="str">
        <f aca="false">IF(OR(NOT(AND(ISNUMBER(E222),ISNUMBER(F222))),$J$2=""),"",IF(Reprogramaciones!T$9&lt;E222,0,IF(NETWORKDAYS.INTL(E222,F222,11)=0,IF(Reprogramaciones!T$9&gt;=F222,100,0),ROUND(NETWORKDAYS.INTL(E222,MIN(F222,Reprogramaciones!T$9),11)/NETWORKDAYS.INTL(E222,F222,11)*100,1)))-IF(Reprogramaciones!S$9&lt;E222,0,IF(NETWORKDAYS.INTL(E222,F222,11)=0,IF(Reprogramaciones!S$9&gt;=F222,100,0),ROUND(NETWORKDAYS.INTL(E222,MIN(F222,Reprogramaciones!S$9),11)/NETWORKDAYS.INTL(E222,F222,11)*100,1))))</f>
        <v/>
      </c>
      <c r="Q222" s="37"/>
      <c r="R222" s="37"/>
      <c r="S222" s="37"/>
      <c r="T222" s="37"/>
      <c r="U222" s="37"/>
      <c r="V222" s="37"/>
      <c r="W222" s="37"/>
      <c r="X222" s="37"/>
      <c r="Y222" s="37"/>
      <c r="Z222" s="37"/>
      <c r="AA222" s="37"/>
      <c r="AB222" s="37"/>
      <c r="AC222" s="37"/>
      <c r="AD222" s="37"/>
      <c r="AE222" s="37"/>
      <c r="AF222" s="37"/>
      <c r="AG222" s="38" t="str">
        <f aca="false">IF(AND(ISNUMBER(E222),ISNUMBER(F222)),NETWORKDAYS.INTL(E222,F222,11),"")</f>
        <v/>
      </c>
      <c r="AH222" s="38" t="str">
        <f aca="false">IF(OR(NOT(AND(ISNUMBER(E222),ISNUMBER(F222))),$J$2=""),"",IF(Reprogramaciones!$P$15&lt;Reprogramaciones!$T$15,0,IF(Reprogramaciones!$R$15&gt;10,MIN(100,SUM($G222:$P222)),MIN(100,SUMPRODUCT((COLUMN($G222:$P222)-COLUMN($G222)+1&lt;Reprogramaciones!$R$15)*$G222:$P222)+N(INDEX($G222:$P222,1,Reprogramaciones!$R$15))*IF(Reprogramaciones!$P$15&gt;=(Reprogramaciones!$T$15+7*(Reprogramaciones!$R$15-1))+6,1,IF(MAX(0,NETWORKDAYS.INTL(MAX(E222,(Reprogramaciones!$T$15+7*(Reprogramaciones!$R$15-1))),MIN(F222,(Reprogramaciones!$T$15+7*(Reprogramaciones!$R$15-1))+6),11))=0,0,MAX(0,NETWORKDAYS.INTL(MAX(E222,(Reprogramaciones!$T$15+7*(Reprogramaciones!$R$15-1))),MIN(F222,Reprogramaciones!$P$15),11))/MAX(0,NETWORKDAYS.INTL(MAX(E222,(Reprogramaciones!$T$15+7*(Reprogramaciones!$R$15-1))),MIN(F222,(Reprogramaciones!$T$15+7*(Reprogramaciones!$R$15-1))+6),11))))))))</f>
        <v/>
      </c>
      <c r="AI222" s="38" t="str">
        <f aca="false">IF(COUNT($Q222:$AF222)=0,"",IF(ROUND(SUM($Q222:$AF222),1)&gt;=99.5,100,MIN(100,ROUND(SUM($Q222:$AF222),1))))</f>
        <v/>
      </c>
      <c r="AJ222" s="38" t="str">
        <f aca="false">IF(OR(AH222="",AI222=""),"",AI222-AH222)</f>
        <v/>
      </c>
      <c r="AK222" s="39" t="str">
        <f aca="true">IF(AH222="","",IF(OR(Ficha!$C$10="Suspendida",Ficha!$C$10="Cancelada"),Ficha!$C$10,IF(AND(AI222&lt;&gt;"",N(AI222)&gt;=100),"Completada",IF(AND(E222&gt;TODAY(),N(AI222)=0),"Por iniciar",IF(N(AI222)+0.5&lt;AH222,"Retrasada",IF(N(AI222)+0.5&lt;DA222,IF(Reprogramaciones!$K$15&gt;0,"Al día · Sem "&amp;Reprogramaciones!$K$15&amp;" en curso","Al día · en curso"),"A tiempo"))))))</f>
        <v/>
      </c>
      <c r="AL222" s="39" t="str">
        <f aca="true">IF(AND(A222="",AND(B222="",C222="",E222="",F222="",COUNT(Q222:AF222)=0)),"",IF(AND(B222="",C222="",E222="",F222="",COUNT(Q222:AF222)=0),"Falta la partida o subpartida",IF(AND(A222&lt;&gt;"",COUNTIF($A$6:$A$305,A222)&gt;1),"Ítem repetido",IF(AND(C222="",E222="",F222="",COUNT(Q222:AF222)=0),"Título de partida",IF(OR(E222="",F222=""),"Faltan fechas",IF(OR(ISTEXT(E222),ISTEXT(F222)),"Fecha escrita como texto: usa dd/mm/aaaa",IF(F222&lt;E222,"Fin antes del inicio",IF(IF($J$2="",FALSE(),OR(E222&lt;$J$2,F222&gt;Reprogramaciones!$T$15+69)),"Fuera de las 10 semanas",IF(ABS(SUM(G222:P222)-100)&gt;0.5,"La meta no suma 100%",IF(ROUND(SUM(Q222:AF222),1)&gt;100.5,"El avance pasa de 100%",IF(MIN(Q222:AF222)&lt;0,"Avance negativo",IF(COUNTA(Q222:AF222)&gt;COUNT(Q222:AF222),"Avance escrito como texto",IF(SUMPRODUCT((Q222:AF222&gt;0)*(Q222:AF222&lt;1))&gt;0,"Avance menor a 1: escribe 50, no 50%",IF(SUMPRODUCT(ISNUMBER(Q222:AF222)*(Reprogramaciones!$K$8:$Z$8&gt;TODAY()))&gt;0,"Avance en semana que aún no llega",IF(AND(N(Reprogramaciones!$E$21)&gt;0,F222&gt;Reprogramaciones!$E$21),"Pasa el fin de la obra: registra una reprogramación",IF(AND(N(Reprogramaciones!$E$21)&gt;0,SUMPRODUCT(ISNUMBER(Q222:AF222)*(Reprogramaciones!$K$8:$Z$8&gt;Reprogramaciones!$E$21))&gt;0),"Avance después del fin de la obra: registra una reprogramación por atraso","OK"))))))))))))))))</f>
        <v/>
      </c>
      <c r="AM222" s="40" t="str">
        <f aca="false">IF(OR(OR(NOT(AND(ISNUMBER(E222),ISNUMBER(F222))),$J$2=""),1&gt;MAX(1,Reprogramaciones!$U$15)),"",IF(Reprogramaciones!K$12&gt;=7,"",IF(OR(BT222-N(0)&gt;0.05,N(Q222)&gt;0),ROUNDDOWN(ROUND(BT222,6),0)&amp;"%"&amp;IF(CJ222="",""," / "&amp;CJ222&amp;"%"),IF(AND(N(0)&gt;=99.95,CJ222&lt;&gt;"",N(CJ222)&lt;100),"Pend. "&amp;CJ222&amp;"%",""))))</f>
        <v/>
      </c>
      <c r="AN222" s="40" t="str">
        <f aca="false">IF(OR(OR(NOT(AND(ISNUMBER(E222),ISNUMBER(F222))),$J$2=""),2&gt;MAX(1,Reprogramaciones!$U$15)),"",IF(Reprogramaciones!L$12&gt;=7,"",IF(OR(BU222-N(BT222)&gt;0.05,N(R222)&gt;0),ROUNDDOWN(ROUND(BU222,6),0)&amp;"%"&amp;IF(CK222="",""," / "&amp;CK222&amp;"%"),IF(AND(N(BT222)&gt;=99.95,CK222&lt;&gt;"",N(CK222)&lt;100),"Pend. "&amp;CK222&amp;"%",""))))</f>
        <v/>
      </c>
      <c r="AO222" s="40" t="str">
        <f aca="false">IF(OR(OR(NOT(AND(ISNUMBER(E222),ISNUMBER(F222))),$J$2=""),3&gt;MAX(1,Reprogramaciones!$U$15)),"",IF(Reprogramaciones!M$12&gt;=7,"",IF(OR(BV222-N(BU222)&gt;0.05,N(S222)&gt;0),ROUNDDOWN(ROUND(BV222,6),0)&amp;"%"&amp;IF(CL222="",""," / "&amp;CL222&amp;"%"),IF(AND(N(BU222)&gt;=99.95,CL222&lt;&gt;"",N(CL222)&lt;100),"Pend. "&amp;CL222&amp;"%",""))))</f>
        <v/>
      </c>
      <c r="AP222" s="40" t="str">
        <f aca="false">IF(OR(OR(NOT(AND(ISNUMBER(E222),ISNUMBER(F222))),$J$2=""),4&gt;MAX(1,Reprogramaciones!$U$15)),"",IF(Reprogramaciones!N$12&gt;=7,"",IF(OR(BW222-N(BV222)&gt;0.05,N(T222)&gt;0),ROUNDDOWN(ROUND(BW222,6),0)&amp;"%"&amp;IF(CM222="",""," / "&amp;CM222&amp;"%"),IF(AND(N(BV222)&gt;=99.95,CM222&lt;&gt;"",N(CM222)&lt;100),"Pend. "&amp;CM222&amp;"%",""))))</f>
        <v/>
      </c>
      <c r="AQ222" s="40" t="str">
        <f aca="false">IF(OR(OR(NOT(AND(ISNUMBER(E222),ISNUMBER(F222))),$J$2=""),5&gt;MAX(1,Reprogramaciones!$U$15)),"",IF(Reprogramaciones!O$12&gt;=7,"",IF(OR(BX222-N(BW222)&gt;0.05,N(U222)&gt;0),ROUNDDOWN(ROUND(BX222,6),0)&amp;"%"&amp;IF(CN222="",""," / "&amp;CN222&amp;"%"),IF(AND(N(BW222)&gt;=99.95,CN222&lt;&gt;"",N(CN222)&lt;100),"Pend. "&amp;CN222&amp;"%",""))))</f>
        <v/>
      </c>
      <c r="AR222" s="40" t="str">
        <f aca="false">IF(OR(OR(NOT(AND(ISNUMBER(E222),ISNUMBER(F222))),$J$2=""),6&gt;MAX(1,Reprogramaciones!$U$15)),"",IF(Reprogramaciones!P$12&gt;=7,"",IF(OR(BY222-N(BX222)&gt;0.05,N(V222)&gt;0),ROUNDDOWN(ROUND(BY222,6),0)&amp;"%"&amp;IF(CO222="",""," / "&amp;CO222&amp;"%"),IF(AND(N(BX222)&gt;=99.95,CO222&lt;&gt;"",N(CO222)&lt;100),"Pend. "&amp;CO222&amp;"%",""))))</f>
        <v/>
      </c>
      <c r="AS222" s="40" t="str">
        <f aca="false">IF(OR(OR(NOT(AND(ISNUMBER(E222),ISNUMBER(F222))),$J$2=""),7&gt;MAX(1,Reprogramaciones!$U$15)),"",IF(Reprogramaciones!Q$12&gt;=7,"",IF(OR(BZ222-N(BY222)&gt;0.05,N(W222)&gt;0),ROUNDDOWN(ROUND(BZ222,6),0)&amp;"%"&amp;IF(CP222="",""," / "&amp;CP222&amp;"%"),IF(AND(N(BY222)&gt;=99.95,CP222&lt;&gt;"",N(CP222)&lt;100),"Pend. "&amp;CP222&amp;"%",""))))</f>
        <v/>
      </c>
      <c r="AT222" s="40" t="str">
        <f aca="false">IF(OR(OR(NOT(AND(ISNUMBER(E222),ISNUMBER(F222))),$J$2=""),8&gt;MAX(1,Reprogramaciones!$U$15)),"",IF(Reprogramaciones!R$12&gt;=7,"",IF(OR(CA222-N(BZ222)&gt;0.05,N(X222)&gt;0),ROUNDDOWN(ROUND(CA222,6),0)&amp;"%"&amp;IF(CQ222="",""," / "&amp;CQ222&amp;"%"),IF(AND(N(BZ222)&gt;=99.95,CQ222&lt;&gt;"",N(CQ222)&lt;100),"Pend. "&amp;CQ222&amp;"%",""))))</f>
        <v/>
      </c>
      <c r="AU222" s="40" t="str">
        <f aca="false">IF(OR(OR(NOT(AND(ISNUMBER(E222),ISNUMBER(F222))),$J$2=""),9&gt;MAX(1,Reprogramaciones!$U$15)),"",IF(Reprogramaciones!S$12&gt;=7,"",IF(OR(CB222-N(CA222)&gt;0.05,N(Y222)&gt;0),ROUNDDOWN(ROUND(CB222,6),0)&amp;"%"&amp;IF(CR222="",""," / "&amp;CR222&amp;"%"),IF(AND(N(CA222)&gt;=99.95,CR222&lt;&gt;"",N(CR222)&lt;100),"Pend. "&amp;CR222&amp;"%",""))))</f>
        <v/>
      </c>
      <c r="AV222" s="40" t="str">
        <f aca="false">IF(OR(OR(NOT(AND(ISNUMBER(E222),ISNUMBER(F222))),$J$2=""),10&gt;MAX(1,Reprogramaciones!$U$15)),"",IF(Reprogramaciones!T$12&gt;=7,"",IF(OR(CC222-N(CB222)&gt;0.05,N(Z222)&gt;0),ROUNDDOWN(ROUND(CC222,6),0)&amp;"%"&amp;IF(CS222="",""," / "&amp;CS222&amp;"%"),IF(AND(N(CB222)&gt;=99.95,CS222&lt;&gt;"",N(CS222)&lt;100),"Pend. "&amp;CS222&amp;"%",""))))</f>
        <v/>
      </c>
      <c r="AW222" s="40" t="str">
        <f aca="false">IF(OR(OR(NOT(AND(ISNUMBER(E222),ISNUMBER(F222))),$J$2=""),11&gt;MAX(1,Reprogramaciones!$U$15)),"",IF(Reprogramaciones!U$12&gt;=7,"",IF(OR(CD222-N(CC222)&gt;0.05,N(AA222)&gt;0),ROUNDDOWN(ROUND(CD222,6),0)&amp;"%"&amp;IF(CT222="",""," / "&amp;CT222&amp;"%"),IF(AND(N(CC222)&gt;=99.95,CT222&lt;&gt;"",N(CT222)&lt;100),"Pend. "&amp;CT222&amp;"%",""))))</f>
        <v/>
      </c>
      <c r="AX222" s="40" t="str">
        <f aca="false">IF(OR(OR(NOT(AND(ISNUMBER(E222),ISNUMBER(F222))),$J$2=""),12&gt;MAX(1,Reprogramaciones!$U$15)),"",IF(Reprogramaciones!V$12&gt;=7,"",IF(OR(CE222-N(CD222)&gt;0.05,N(AB222)&gt;0),ROUNDDOWN(ROUND(CE222,6),0)&amp;"%"&amp;IF(CU222="",""," / "&amp;CU222&amp;"%"),IF(AND(N(CD222)&gt;=99.95,CU222&lt;&gt;"",N(CU222)&lt;100),"Pend. "&amp;CU222&amp;"%",""))))</f>
        <v/>
      </c>
      <c r="AY222" s="40" t="str">
        <f aca="false">IF(OR(OR(NOT(AND(ISNUMBER(E222),ISNUMBER(F222))),$J$2=""),13&gt;MAX(1,Reprogramaciones!$U$15)),"",IF(Reprogramaciones!W$12&gt;=7,"",IF(OR(CF222-N(CE222)&gt;0.05,N(AC222)&gt;0),ROUNDDOWN(ROUND(CF222,6),0)&amp;"%"&amp;IF(CV222="",""," / "&amp;CV222&amp;"%"),IF(AND(N(CE222)&gt;=99.95,CV222&lt;&gt;"",N(CV222)&lt;100),"Pend. "&amp;CV222&amp;"%",""))))</f>
        <v/>
      </c>
      <c r="AZ222" s="40" t="str">
        <f aca="false">IF(OR(OR(NOT(AND(ISNUMBER(E222),ISNUMBER(F222))),$J$2=""),14&gt;MAX(1,Reprogramaciones!$U$15)),"",IF(Reprogramaciones!X$12&gt;=7,"",IF(OR(CG222-N(CF222)&gt;0.05,N(AD222)&gt;0),ROUNDDOWN(ROUND(CG222,6),0)&amp;"%"&amp;IF(CW222="",""," / "&amp;CW222&amp;"%"),IF(AND(N(CF222)&gt;=99.95,CW222&lt;&gt;"",N(CW222)&lt;100),"Pend. "&amp;CW222&amp;"%",""))))</f>
        <v/>
      </c>
      <c r="BA222" s="40" t="str">
        <f aca="false">IF(OR(OR(NOT(AND(ISNUMBER(E222),ISNUMBER(F222))),$J$2=""),15&gt;MAX(1,Reprogramaciones!$U$15)),"",IF(Reprogramaciones!Y$12&gt;=7,"",IF(OR(CH222-N(CG222)&gt;0.05,N(AE222)&gt;0),ROUNDDOWN(ROUND(CH222,6),0)&amp;"%"&amp;IF(CX222="",""," / "&amp;CX222&amp;"%"),IF(AND(N(CG222)&gt;=99.95,CX222&lt;&gt;"",N(CX222)&lt;100),"Pend. "&amp;CX222&amp;"%",""))))</f>
        <v/>
      </c>
      <c r="BB222" s="40" t="str">
        <f aca="false">IF(OR(OR(NOT(AND(ISNUMBER(E222),ISNUMBER(F222))),$J$2=""),16&gt;MAX(1,Reprogramaciones!$U$15)),"",IF(Reprogramaciones!Z$12&gt;=7,"",IF(OR(CI222-N(CH222)&gt;0.05,N(AF222)&gt;0),ROUNDDOWN(ROUND(CI222,6),0)&amp;"%"&amp;IF(CY222="",""," / "&amp;CY222&amp;"%"),IF(AND(N(CH222)&gt;=99.95,CY222&lt;&gt;"",N(CY222)&lt;100),"Pend. "&amp;CY222&amp;"%",""))))</f>
        <v/>
      </c>
      <c r="BC222" s="31" t="n">
        <f aca="false">IF(AND(ISNUMBER(E222),ISNUMBER(F222)),MAX(1,NETWORKDAYS.INTL(E222,F222,11)),0)</f>
        <v>0</v>
      </c>
      <c r="BD222" s="1" t="str">
        <f aca="false">IF(OR(NOT(AND(ISNUMBER(E222),ISNUMBER(F222))),$J$2=""),"",MIN(100,ROUND(SUM($G222:G222),1)))</f>
        <v/>
      </c>
      <c r="BE222" s="1" t="str">
        <f aca="false">IF(OR(NOT(AND(ISNUMBER(E222),ISNUMBER(F222))),$J$2=""),"",MIN(100,ROUND(SUM($G222:H222),1)))</f>
        <v/>
      </c>
      <c r="BF222" s="1" t="str">
        <f aca="false">IF(OR(NOT(AND(ISNUMBER(E222),ISNUMBER(F222))),$J$2=""),"",MIN(100,ROUND(SUM($G222:I222),1)))</f>
        <v/>
      </c>
      <c r="BG222" s="1" t="str">
        <f aca="false">IF(OR(NOT(AND(ISNUMBER(E222),ISNUMBER(F222))),$J$2=""),"",MIN(100,ROUND(SUM($G222:J222),1)))</f>
        <v/>
      </c>
      <c r="BH222" s="1" t="str">
        <f aca="false">IF(OR(NOT(AND(ISNUMBER(E222),ISNUMBER(F222))),$J$2=""),"",MIN(100,ROUND(SUM($G222:K222),1)))</f>
        <v/>
      </c>
      <c r="BI222" s="1" t="str">
        <f aca="false">IF(OR(NOT(AND(ISNUMBER(E222),ISNUMBER(F222))),$J$2=""),"",MIN(100,ROUND(SUM($G222:L222),1)))</f>
        <v/>
      </c>
      <c r="BJ222" s="1" t="str">
        <f aca="false">IF(OR(NOT(AND(ISNUMBER(E222),ISNUMBER(F222))),$J$2=""),"",MIN(100,ROUND(SUM($G222:M222),1)))</f>
        <v/>
      </c>
      <c r="BK222" s="1" t="str">
        <f aca="false">IF(OR(NOT(AND(ISNUMBER(E222),ISNUMBER(F222))),$J$2=""),"",MIN(100,ROUND(SUM($G222:N222),1)))</f>
        <v/>
      </c>
      <c r="BL222" s="1" t="str">
        <f aca="false">IF(OR(NOT(AND(ISNUMBER(E222),ISNUMBER(F222))),$J$2=""),"",MIN(100,ROUND(SUM($G222:O222),1)))</f>
        <v/>
      </c>
      <c r="BM222" s="1" t="str">
        <f aca="false">IF(OR(NOT(AND(ISNUMBER(E222),ISNUMBER(F222))),$J$2=""),"",MIN(100,ROUND(SUM($G222:P222),1)))</f>
        <v/>
      </c>
      <c r="BN222" s="1" t="str">
        <f aca="false">IF(OR(NOT(AND(ISNUMBER(E222),ISNUMBER(F222))),$J$2=""),"",MIN(100,ROUND(SUM($G222:P222),1)))</f>
        <v/>
      </c>
      <c r="BO222" s="1" t="str">
        <f aca="false">IF(OR(NOT(AND(ISNUMBER(E222),ISNUMBER(F222))),$J$2=""),"",MIN(100,ROUND(SUM($G222:P222),1)))</f>
        <v/>
      </c>
      <c r="BP222" s="1" t="str">
        <f aca="false">IF(OR(NOT(AND(ISNUMBER(E222),ISNUMBER(F222))),$J$2=""),"",MIN(100,ROUND(SUM($G222:P222),1)))</f>
        <v/>
      </c>
      <c r="BQ222" s="1" t="str">
        <f aca="false">IF(OR(NOT(AND(ISNUMBER(E222),ISNUMBER(F222))),$J$2=""),"",MIN(100,ROUND(SUM($G222:P222),1)))</f>
        <v/>
      </c>
      <c r="BR222" s="1" t="str">
        <f aca="false">IF(OR(NOT(AND(ISNUMBER(E222),ISNUMBER(F222))),$J$2=""),"",MIN(100,ROUND(SUM($G222:P222),1)))</f>
        <v/>
      </c>
      <c r="BS222" s="1" t="str">
        <f aca="false">IF(OR(NOT(AND(ISNUMBER(E222),ISNUMBER(F222))),$J$2=""),"",MIN(100,ROUND(SUM($G222:P222),1)))</f>
        <v/>
      </c>
      <c r="BT222" s="1" t="str">
        <f aca="false">IF(OR(NOT(AND(ISNUMBER(E222),ISNUMBER(F222))),$J$2=""),"",IF(Reprogramaciones!K$13&lt;Reprogramaciones!$T$15,0,IF(Reprogramaciones!K$14&gt;10,MIN(100,SUM($G222:$P222)),MIN(100,SUMPRODUCT((COLUMN($G222:$P222)-COLUMN($G222)+1&lt;Reprogramaciones!K$14)*$G222:$P222)+N(INDEX($G222:$P222,1,Reprogramaciones!K$14))*IF(Reprogramaciones!K$13&gt;=(Reprogramaciones!$T$15+7*(Reprogramaciones!K$14-1))+6,1,IF(MAX(0,NETWORKDAYS.INTL(MAX(E222,(Reprogramaciones!$T$15+7*(Reprogramaciones!K$14-1))),MIN(F222,(Reprogramaciones!$T$15+7*(Reprogramaciones!K$14-1))+6),11))=0,0,MAX(0,NETWORKDAYS.INTL(MAX(E222,(Reprogramaciones!$T$15+7*(Reprogramaciones!K$14-1))),MIN(F222,Reprogramaciones!K$13),11))/MAX(0,NETWORKDAYS.INTL(MAX(E222,(Reprogramaciones!$T$15+7*(Reprogramaciones!K$14-1))),MIN(F222,(Reprogramaciones!$T$15+7*(Reprogramaciones!K$14-1))+6),11))))))))</f>
        <v/>
      </c>
      <c r="BU222" s="1" t="str">
        <f aca="false">IF(OR(NOT(AND(ISNUMBER(E222),ISNUMBER(F222))),$J$2=""),"",IF(Reprogramaciones!L$13&lt;Reprogramaciones!$T$15,0,IF(Reprogramaciones!L$14&gt;10,MIN(100,SUM($G222:$P222)),MIN(100,SUMPRODUCT((COLUMN($G222:$P222)-COLUMN($G222)+1&lt;Reprogramaciones!L$14)*$G222:$P222)+N(INDEX($G222:$P222,1,Reprogramaciones!L$14))*IF(Reprogramaciones!L$13&gt;=(Reprogramaciones!$T$15+7*(Reprogramaciones!L$14-1))+6,1,IF(MAX(0,NETWORKDAYS.INTL(MAX(E222,(Reprogramaciones!$T$15+7*(Reprogramaciones!L$14-1))),MIN(F222,(Reprogramaciones!$T$15+7*(Reprogramaciones!L$14-1))+6),11))=0,0,MAX(0,NETWORKDAYS.INTL(MAX(E222,(Reprogramaciones!$T$15+7*(Reprogramaciones!L$14-1))),MIN(F222,Reprogramaciones!L$13),11))/MAX(0,NETWORKDAYS.INTL(MAX(E222,(Reprogramaciones!$T$15+7*(Reprogramaciones!L$14-1))),MIN(F222,(Reprogramaciones!$T$15+7*(Reprogramaciones!L$14-1))+6),11))))))))</f>
        <v/>
      </c>
      <c r="BV222" s="1" t="str">
        <f aca="false">IF(OR(NOT(AND(ISNUMBER(E222),ISNUMBER(F222))),$J$2=""),"",IF(Reprogramaciones!M$13&lt;Reprogramaciones!$T$15,0,IF(Reprogramaciones!M$14&gt;10,MIN(100,SUM($G222:$P222)),MIN(100,SUMPRODUCT((COLUMN($G222:$P222)-COLUMN($G222)+1&lt;Reprogramaciones!M$14)*$G222:$P222)+N(INDEX($G222:$P222,1,Reprogramaciones!M$14))*IF(Reprogramaciones!M$13&gt;=(Reprogramaciones!$T$15+7*(Reprogramaciones!M$14-1))+6,1,IF(MAX(0,NETWORKDAYS.INTL(MAX(E222,(Reprogramaciones!$T$15+7*(Reprogramaciones!M$14-1))),MIN(F222,(Reprogramaciones!$T$15+7*(Reprogramaciones!M$14-1))+6),11))=0,0,MAX(0,NETWORKDAYS.INTL(MAX(E222,(Reprogramaciones!$T$15+7*(Reprogramaciones!M$14-1))),MIN(F222,Reprogramaciones!M$13),11))/MAX(0,NETWORKDAYS.INTL(MAX(E222,(Reprogramaciones!$T$15+7*(Reprogramaciones!M$14-1))),MIN(F222,(Reprogramaciones!$T$15+7*(Reprogramaciones!M$14-1))+6),11))))))))</f>
        <v/>
      </c>
      <c r="BW222" s="1" t="str">
        <f aca="false">IF(OR(NOT(AND(ISNUMBER(E222),ISNUMBER(F222))),$J$2=""),"",IF(Reprogramaciones!N$13&lt;Reprogramaciones!$T$15,0,IF(Reprogramaciones!N$14&gt;10,MIN(100,SUM($G222:$P222)),MIN(100,SUMPRODUCT((COLUMN($G222:$P222)-COLUMN($G222)+1&lt;Reprogramaciones!N$14)*$G222:$P222)+N(INDEX($G222:$P222,1,Reprogramaciones!N$14))*IF(Reprogramaciones!N$13&gt;=(Reprogramaciones!$T$15+7*(Reprogramaciones!N$14-1))+6,1,IF(MAX(0,NETWORKDAYS.INTL(MAX(E222,(Reprogramaciones!$T$15+7*(Reprogramaciones!N$14-1))),MIN(F222,(Reprogramaciones!$T$15+7*(Reprogramaciones!N$14-1))+6),11))=0,0,MAX(0,NETWORKDAYS.INTL(MAX(E222,(Reprogramaciones!$T$15+7*(Reprogramaciones!N$14-1))),MIN(F222,Reprogramaciones!N$13),11))/MAX(0,NETWORKDAYS.INTL(MAX(E222,(Reprogramaciones!$T$15+7*(Reprogramaciones!N$14-1))),MIN(F222,(Reprogramaciones!$T$15+7*(Reprogramaciones!N$14-1))+6),11))))))))</f>
        <v/>
      </c>
      <c r="BX222" s="1" t="str">
        <f aca="false">IF(OR(NOT(AND(ISNUMBER(E222),ISNUMBER(F222))),$J$2=""),"",IF(Reprogramaciones!O$13&lt;Reprogramaciones!$T$15,0,IF(Reprogramaciones!O$14&gt;10,MIN(100,SUM($G222:$P222)),MIN(100,SUMPRODUCT((COLUMN($G222:$P222)-COLUMN($G222)+1&lt;Reprogramaciones!O$14)*$G222:$P222)+N(INDEX($G222:$P222,1,Reprogramaciones!O$14))*IF(Reprogramaciones!O$13&gt;=(Reprogramaciones!$T$15+7*(Reprogramaciones!O$14-1))+6,1,IF(MAX(0,NETWORKDAYS.INTL(MAX(E222,(Reprogramaciones!$T$15+7*(Reprogramaciones!O$14-1))),MIN(F222,(Reprogramaciones!$T$15+7*(Reprogramaciones!O$14-1))+6),11))=0,0,MAX(0,NETWORKDAYS.INTL(MAX(E222,(Reprogramaciones!$T$15+7*(Reprogramaciones!O$14-1))),MIN(F222,Reprogramaciones!O$13),11))/MAX(0,NETWORKDAYS.INTL(MAX(E222,(Reprogramaciones!$T$15+7*(Reprogramaciones!O$14-1))),MIN(F222,(Reprogramaciones!$T$15+7*(Reprogramaciones!O$14-1))+6),11))))))))</f>
        <v/>
      </c>
      <c r="BY222" s="1" t="str">
        <f aca="false">IF(OR(NOT(AND(ISNUMBER(E222),ISNUMBER(F222))),$J$2=""),"",IF(Reprogramaciones!P$13&lt;Reprogramaciones!$T$15,0,IF(Reprogramaciones!P$14&gt;10,MIN(100,SUM($G222:$P222)),MIN(100,SUMPRODUCT((COLUMN($G222:$P222)-COLUMN($G222)+1&lt;Reprogramaciones!P$14)*$G222:$P222)+N(INDEX($G222:$P222,1,Reprogramaciones!P$14))*IF(Reprogramaciones!P$13&gt;=(Reprogramaciones!$T$15+7*(Reprogramaciones!P$14-1))+6,1,IF(MAX(0,NETWORKDAYS.INTL(MAX(E222,(Reprogramaciones!$T$15+7*(Reprogramaciones!P$14-1))),MIN(F222,(Reprogramaciones!$T$15+7*(Reprogramaciones!P$14-1))+6),11))=0,0,MAX(0,NETWORKDAYS.INTL(MAX(E222,(Reprogramaciones!$T$15+7*(Reprogramaciones!P$14-1))),MIN(F222,Reprogramaciones!P$13),11))/MAX(0,NETWORKDAYS.INTL(MAX(E222,(Reprogramaciones!$T$15+7*(Reprogramaciones!P$14-1))),MIN(F222,(Reprogramaciones!$T$15+7*(Reprogramaciones!P$14-1))+6),11))))))))</f>
        <v/>
      </c>
      <c r="BZ222" s="1" t="str">
        <f aca="false">IF(OR(NOT(AND(ISNUMBER(E222),ISNUMBER(F222))),$J$2=""),"",IF(Reprogramaciones!Q$13&lt;Reprogramaciones!$T$15,0,IF(Reprogramaciones!Q$14&gt;10,MIN(100,SUM($G222:$P222)),MIN(100,SUMPRODUCT((COLUMN($G222:$P222)-COLUMN($G222)+1&lt;Reprogramaciones!Q$14)*$G222:$P222)+N(INDEX($G222:$P222,1,Reprogramaciones!Q$14))*IF(Reprogramaciones!Q$13&gt;=(Reprogramaciones!$T$15+7*(Reprogramaciones!Q$14-1))+6,1,IF(MAX(0,NETWORKDAYS.INTL(MAX(E222,(Reprogramaciones!$T$15+7*(Reprogramaciones!Q$14-1))),MIN(F222,(Reprogramaciones!$T$15+7*(Reprogramaciones!Q$14-1))+6),11))=0,0,MAX(0,NETWORKDAYS.INTL(MAX(E222,(Reprogramaciones!$T$15+7*(Reprogramaciones!Q$14-1))),MIN(F222,Reprogramaciones!Q$13),11))/MAX(0,NETWORKDAYS.INTL(MAX(E222,(Reprogramaciones!$T$15+7*(Reprogramaciones!Q$14-1))),MIN(F222,(Reprogramaciones!$T$15+7*(Reprogramaciones!Q$14-1))+6),11))))))))</f>
        <v/>
      </c>
      <c r="CA222" s="1" t="str">
        <f aca="false">IF(OR(NOT(AND(ISNUMBER(E222),ISNUMBER(F222))),$J$2=""),"",IF(Reprogramaciones!R$13&lt;Reprogramaciones!$T$15,0,IF(Reprogramaciones!R$14&gt;10,MIN(100,SUM($G222:$P222)),MIN(100,SUMPRODUCT((COLUMN($G222:$P222)-COLUMN($G222)+1&lt;Reprogramaciones!R$14)*$G222:$P222)+N(INDEX($G222:$P222,1,Reprogramaciones!R$14))*IF(Reprogramaciones!R$13&gt;=(Reprogramaciones!$T$15+7*(Reprogramaciones!R$14-1))+6,1,IF(MAX(0,NETWORKDAYS.INTL(MAX(E222,(Reprogramaciones!$T$15+7*(Reprogramaciones!R$14-1))),MIN(F222,(Reprogramaciones!$T$15+7*(Reprogramaciones!R$14-1))+6),11))=0,0,MAX(0,NETWORKDAYS.INTL(MAX(E222,(Reprogramaciones!$T$15+7*(Reprogramaciones!R$14-1))),MIN(F222,Reprogramaciones!R$13),11))/MAX(0,NETWORKDAYS.INTL(MAX(E222,(Reprogramaciones!$T$15+7*(Reprogramaciones!R$14-1))),MIN(F222,(Reprogramaciones!$T$15+7*(Reprogramaciones!R$14-1))+6),11))))))))</f>
        <v/>
      </c>
      <c r="CB222" s="1" t="str">
        <f aca="false">IF(OR(NOT(AND(ISNUMBER(E222),ISNUMBER(F222))),$J$2=""),"",IF(Reprogramaciones!S$13&lt;Reprogramaciones!$T$15,0,IF(Reprogramaciones!S$14&gt;10,MIN(100,SUM($G222:$P222)),MIN(100,SUMPRODUCT((COLUMN($G222:$P222)-COLUMN($G222)+1&lt;Reprogramaciones!S$14)*$G222:$P222)+N(INDEX($G222:$P222,1,Reprogramaciones!S$14))*IF(Reprogramaciones!S$13&gt;=(Reprogramaciones!$T$15+7*(Reprogramaciones!S$14-1))+6,1,IF(MAX(0,NETWORKDAYS.INTL(MAX(E222,(Reprogramaciones!$T$15+7*(Reprogramaciones!S$14-1))),MIN(F222,(Reprogramaciones!$T$15+7*(Reprogramaciones!S$14-1))+6),11))=0,0,MAX(0,NETWORKDAYS.INTL(MAX(E222,(Reprogramaciones!$T$15+7*(Reprogramaciones!S$14-1))),MIN(F222,Reprogramaciones!S$13),11))/MAX(0,NETWORKDAYS.INTL(MAX(E222,(Reprogramaciones!$T$15+7*(Reprogramaciones!S$14-1))),MIN(F222,(Reprogramaciones!$T$15+7*(Reprogramaciones!S$14-1))+6),11))))))))</f>
        <v/>
      </c>
      <c r="CC222" s="1" t="str">
        <f aca="false">IF(OR(NOT(AND(ISNUMBER(E222),ISNUMBER(F222))),$J$2=""),"",IF(Reprogramaciones!T$13&lt;Reprogramaciones!$T$15,0,IF(Reprogramaciones!T$14&gt;10,MIN(100,SUM($G222:$P222)),MIN(100,SUMPRODUCT((COLUMN($G222:$P222)-COLUMN($G222)+1&lt;Reprogramaciones!T$14)*$G222:$P222)+N(INDEX($G222:$P222,1,Reprogramaciones!T$14))*IF(Reprogramaciones!T$13&gt;=(Reprogramaciones!$T$15+7*(Reprogramaciones!T$14-1))+6,1,IF(MAX(0,NETWORKDAYS.INTL(MAX(E222,(Reprogramaciones!$T$15+7*(Reprogramaciones!T$14-1))),MIN(F222,(Reprogramaciones!$T$15+7*(Reprogramaciones!T$14-1))+6),11))=0,0,MAX(0,NETWORKDAYS.INTL(MAX(E222,(Reprogramaciones!$T$15+7*(Reprogramaciones!T$14-1))),MIN(F222,Reprogramaciones!T$13),11))/MAX(0,NETWORKDAYS.INTL(MAX(E222,(Reprogramaciones!$T$15+7*(Reprogramaciones!T$14-1))),MIN(F222,(Reprogramaciones!$T$15+7*(Reprogramaciones!T$14-1))+6),11))))))))</f>
        <v/>
      </c>
      <c r="CD222" s="1" t="str">
        <f aca="false">IF(OR(NOT(AND(ISNUMBER(E222),ISNUMBER(F222))),$J$2=""),"",IF(Reprogramaciones!U$13&lt;Reprogramaciones!$T$15,0,IF(Reprogramaciones!U$14&gt;10,MIN(100,SUM($G222:$P222)),MIN(100,SUMPRODUCT((COLUMN($G222:$P222)-COLUMN($G222)+1&lt;Reprogramaciones!U$14)*$G222:$P222)+N(INDEX($G222:$P222,1,Reprogramaciones!U$14))*IF(Reprogramaciones!U$13&gt;=(Reprogramaciones!$T$15+7*(Reprogramaciones!U$14-1))+6,1,IF(MAX(0,NETWORKDAYS.INTL(MAX(E222,(Reprogramaciones!$T$15+7*(Reprogramaciones!U$14-1))),MIN(F222,(Reprogramaciones!$T$15+7*(Reprogramaciones!U$14-1))+6),11))=0,0,MAX(0,NETWORKDAYS.INTL(MAX(E222,(Reprogramaciones!$T$15+7*(Reprogramaciones!U$14-1))),MIN(F222,Reprogramaciones!U$13),11))/MAX(0,NETWORKDAYS.INTL(MAX(E222,(Reprogramaciones!$T$15+7*(Reprogramaciones!U$14-1))),MIN(F222,(Reprogramaciones!$T$15+7*(Reprogramaciones!U$14-1))+6),11))))))))</f>
        <v/>
      </c>
      <c r="CE222" s="1" t="str">
        <f aca="false">IF(OR(NOT(AND(ISNUMBER(E222),ISNUMBER(F222))),$J$2=""),"",IF(Reprogramaciones!V$13&lt;Reprogramaciones!$T$15,0,IF(Reprogramaciones!V$14&gt;10,MIN(100,SUM($G222:$P222)),MIN(100,SUMPRODUCT((COLUMN($G222:$P222)-COLUMN($G222)+1&lt;Reprogramaciones!V$14)*$G222:$P222)+N(INDEX($G222:$P222,1,Reprogramaciones!V$14))*IF(Reprogramaciones!V$13&gt;=(Reprogramaciones!$T$15+7*(Reprogramaciones!V$14-1))+6,1,IF(MAX(0,NETWORKDAYS.INTL(MAX(E222,(Reprogramaciones!$T$15+7*(Reprogramaciones!V$14-1))),MIN(F222,(Reprogramaciones!$T$15+7*(Reprogramaciones!V$14-1))+6),11))=0,0,MAX(0,NETWORKDAYS.INTL(MAX(E222,(Reprogramaciones!$T$15+7*(Reprogramaciones!V$14-1))),MIN(F222,Reprogramaciones!V$13),11))/MAX(0,NETWORKDAYS.INTL(MAX(E222,(Reprogramaciones!$T$15+7*(Reprogramaciones!V$14-1))),MIN(F222,(Reprogramaciones!$T$15+7*(Reprogramaciones!V$14-1))+6),11))))))))</f>
        <v/>
      </c>
      <c r="CF222" s="1" t="str">
        <f aca="false">IF(OR(NOT(AND(ISNUMBER(E222),ISNUMBER(F222))),$J$2=""),"",IF(Reprogramaciones!W$13&lt;Reprogramaciones!$T$15,0,IF(Reprogramaciones!W$14&gt;10,MIN(100,SUM($G222:$P222)),MIN(100,SUMPRODUCT((COLUMN($G222:$P222)-COLUMN($G222)+1&lt;Reprogramaciones!W$14)*$G222:$P222)+N(INDEX($G222:$P222,1,Reprogramaciones!W$14))*IF(Reprogramaciones!W$13&gt;=(Reprogramaciones!$T$15+7*(Reprogramaciones!W$14-1))+6,1,IF(MAX(0,NETWORKDAYS.INTL(MAX(E222,(Reprogramaciones!$T$15+7*(Reprogramaciones!W$14-1))),MIN(F222,(Reprogramaciones!$T$15+7*(Reprogramaciones!W$14-1))+6),11))=0,0,MAX(0,NETWORKDAYS.INTL(MAX(E222,(Reprogramaciones!$T$15+7*(Reprogramaciones!W$14-1))),MIN(F222,Reprogramaciones!W$13),11))/MAX(0,NETWORKDAYS.INTL(MAX(E222,(Reprogramaciones!$T$15+7*(Reprogramaciones!W$14-1))),MIN(F222,(Reprogramaciones!$T$15+7*(Reprogramaciones!W$14-1))+6),11))))))))</f>
        <v/>
      </c>
      <c r="CG222" s="1" t="str">
        <f aca="false">IF(OR(NOT(AND(ISNUMBER(E222),ISNUMBER(F222))),$J$2=""),"",IF(Reprogramaciones!X$13&lt;Reprogramaciones!$T$15,0,IF(Reprogramaciones!X$14&gt;10,MIN(100,SUM($G222:$P222)),MIN(100,SUMPRODUCT((COLUMN($G222:$P222)-COLUMN($G222)+1&lt;Reprogramaciones!X$14)*$G222:$P222)+N(INDEX($G222:$P222,1,Reprogramaciones!X$14))*IF(Reprogramaciones!X$13&gt;=(Reprogramaciones!$T$15+7*(Reprogramaciones!X$14-1))+6,1,IF(MAX(0,NETWORKDAYS.INTL(MAX(E222,(Reprogramaciones!$T$15+7*(Reprogramaciones!X$14-1))),MIN(F222,(Reprogramaciones!$T$15+7*(Reprogramaciones!X$14-1))+6),11))=0,0,MAX(0,NETWORKDAYS.INTL(MAX(E222,(Reprogramaciones!$T$15+7*(Reprogramaciones!X$14-1))),MIN(F222,Reprogramaciones!X$13),11))/MAX(0,NETWORKDAYS.INTL(MAX(E222,(Reprogramaciones!$T$15+7*(Reprogramaciones!X$14-1))),MIN(F222,(Reprogramaciones!$T$15+7*(Reprogramaciones!X$14-1))+6),11))))))))</f>
        <v/>
      </c>
      <c r="CH222" s="1" t="str">
        <f aca="false">IF(OR(NOT(AND(ISNUMBER(E222),ISNUMBER(F222))),$J$2=""),"",IF(Reprogramaciones!Y$13&lt;Reprogramaciones!$T$15,0,IF(Reprogramaciones!Y$14&gt;10,MIN(100,SUM($G222:$P222)),MIN(100,SUMPRODUCT((COLUMN($G222:$P222)-COLUMN($G222)+1&lt;Reprogramaciones!Y$14)*$G222:$P222)+N(INDEX($G222:$P222,1,Reprogramaciones!Y$14))*IF(Reprogramaciones!Y$13&gt;=(Reprogramaciones!$T$15+7*(Reprogramaciones!Y$14-1))+6,1,IF(MAX(0,NETWORKDAYS.INTL(MAX(E222,(Reprogramaciones!$T$15+7*(Reprogramaciones!Y$14-1))),MIN(F222,(Reprogramaciones!$T$15+7*(Reprogramaciones!Y$14-1))+6),11))=0,0,MAX(0,NETWORKDAYS.INTL(MAX(E222,(Reprogramaciones!$T$15+7*(Reprogramaciones!Y$14-1))),MIN(F222,Reprogramaciones!Y$13),11))/MAX(0,NETWORKDAYS.INTL(MAX(E222,(Reprogramaciones!$T$15+7*(Reprogramaciones!Y$14-1))),MIN(F222,(Reprogramaciones!$T$15+7*(Reprogramaciones!Y$14-1))+6),11))))))))</f>
        <v/>
      </c>
      <c r="CI222" s="1" t="str">
        <f aca="false">IF(OR(NOT(AND(ISNUMBER(E222),ISNUMBER(F222))),$J$2=""),"",IF(Reprogramaciones!Z$13&lt;Reprogramaciones!$T$15,0,IF(Reprogramaciones!Z$14&gt;10,MIN(100,SUM($G222:$P222)),MIN(100,SUMPRODUCT((COLUMN($G222:$P222)-COLUMN($G222)+1&lt;Reprogramaciones!Z$14)*$G222:$P222)+N(INDEX($G222:$P222,1,Reprogramaciones!Z$14))*IF(Reprogramaciones!Z$13&gt;=(Reprogramaciones!$T$15+7*(Reprogramaciones!Z$14-1))+6,1,IF(MAX(0,NETWORKDAYS.INTL(MAX(E222,(Reprogramaciones!$T$15+7*(Reprogramaciones!Z$14-1))),MIN(F222,(Reprogramaciones!$T$15+7*(Reprogramaciones!Z$14-1))+6),11))=0,0,MAX(0,NETWORKDAYS.INTL(MAX(E222,(Reprogramaciones!$T$15+7*(Reprogramaciones!Z$14-1))),MIN(F222,Reprogramaciones!Z$13),11))/MAX(0,NETWORKDAYS.INTL(MAX(E222,(Reprogramaciones!$T$15+7*(Reprogramaciones!Z$14-1))),MIN(F222,(Reprogramaciones!$T$15+7*(Reprogramaciones!Z$14-1))+6),11))))))))</f>
        <v/>
      </c>
      <c r="CJ222" s="1" t="str">
        <f aca="false">IF(OR(OR(NOT(AND(ISNUMBER(E222),ISNUMBER(F222))),$J$2=""),1&gt;Reprogramaciones!$K$16),"",IF(ROUND(SUM($Q222:Q222),1)&gt;=99.5,100,MIN(100,ROUND(SUM($Q222:Q222),1))))</f>
        <v/>
      </c>
      <c r="CK222" s="1" t="str">
        <f aca="false">IF(OR(OR(NOT(AND(ISNUMBER(E222),ISNUMBER(F222))),$J$2=""),2&gt;Reprogramaciones!$K$16),"",IF(ROUND(SUM($Q222:R222),1)&gt;=99.5,100,MIN(100,ROUND(SUM($Q222:R222),1))))</f>
        <v/>
      </c>
      <c r="CL222" s="1" t="str">
        <f aca="false">IF(OR(OR(NOT(AND(ISNUMBER(E222),ISNUMBER(F222))),$J$2=""),3&gt;Reprogramaciones!$K$16),"",IF(ROUND(SUM($Q222:S222),1)&gt;=99.5,100,MIN(100,ROUND(SUM($Q222:S222),1))))</f>
        <v/>
      </c>
      <c r="CM222" s="1" t="str">
        <f aca="false">IF(OR(OR(NOT(AND(ISNUMBER(E222),ISNUMBER(F222))),$J$2=""),4&gt;Reprogramaciones!$K$16),"",IF(ROUND(SUM($Q222:T222),1)&gt;=99.5,100,MIN(100,ROUND(SUM($Q222:T222),1))))</f>
        <v/>
      </c>
      <c r="CN222" s="1" t="str">
        <f aca="false">IF(OR(OR(NOT(AND(ISNUMBER(E222),ISNUMBER(F222))),$J$2=""),5&gt;Reprogramaciones!$K$16),"",IF(ROUND(SUM($Q222:U222),1)&gt;=99.5,100,MIN(100,ROUND(SUM($Q222:U222),1))))</f>
        <v/>
      </c>
      <c r="CO222" s="1" t="str">
        <f aca="false">IF(OR(OR(NOT(AND(ISNUMBER(E222),ISNUMBER(F222))),$J$2=""),6&gt;Reprogramaciones!$K$16),"",IF(ROUND(SUM($Q222:V222),1)&gt;=99.5,100,MIN(100,ROUND(SUM($Q222:V222),1))))</f>
        <v/>
      </c>
      <c r="CP222" s="1" t="str">
        <f aca="false">IF(OR(OR(NOT(AND(ISNUMBER(E222),ISNUMBER(F222))),$J$2=""),7&gt;Reprogramaciones!$K$16),"",IF(ROUND(SUM($Q222:W222),1)&gt;=99.5,100,MIN(100,ROUND(SUM($Q222:W222),1))))</f>
        <v/>
      </c>
      <c r="CQ222" s="1" t="str">
        <f aca="false">IF(OR(OR(NOT(AND(ISNUMBER(E222),ISNUMBER(F222))),$J$2=""),8&gt;Reprogramaciones!$K$16),"",IF(ROUND(SUM($Q222:X222),1)&gt;=99.5,100,MIN(100,ROUND(SUM($Q222:X222),1))))</f>
        <v/>
      </c>
      <c r="CR222" s="1" t="str">
        <f aca="false">IF(OR(OR(NOT(AND(ISNUMBER(E222),ISNUMBER(F222))),$J$2=""),9&gt;Reprogramaciones!$K$16),"",IF(ROUND(SUM($Q222:Y222),1)&gt;=99.5,100,MIN(100,ROUND(SUM($Q222:Y222),1))))</f>
        <v/>
      </c>
      <c r="CS222" s="1" t="str">
        <f aca="false">IF(OR(OR(NOT(AND(ISNUMBER(E222),ISNUMBER(F222))),$J$2=""),10&gt;Reprogramaciones!$K$16),"",IF(ROUND(SUM($Q222:Z222),1)&gt;=99.5,100,MIN(100,ROUND(SUM($Q222:Z222),1))))</f>
        <v/>
      </c>
      <c r="CT222" s="1" t="str">
        <f aca="false">IF(OR(OR(NOT(AND(ISNUMBER(E222),ISNUMBER(F222))),$J$2=""),11&gt;Reprogramaciones!$K$16),"",IF(ROUND(SUM($Q222:AA222),1)&gt;=99.5,100,MIN(100,ROUND(SUM($Q222:AA222),1))))</f>
        <v/>
      </c>
      <c r="CU222" s="1" t="str">
        <f aca="false">IF(OR(OR(NOT(AND(ISNUMBER(E222),ISNUMBER(F222))),$J$2=""),12&gt;Reprogramaciones!$K$16),"",IF(ROUND(SUM($Q222:AB222),1)&gt;=99.5,100,MIN(100,ROUND(SUM($Q222:AB222),1))))</f>
        <v/>
      </c>
      <c r="CV222" s="1" t="str">
        <f aca="false">IF(OR(OR(NOT(AND(ISNUMBER(E222),ISNUMBER(F222))),$J$2=""),13&gt;Reprogramaciones!$K$16),"",IF(ROUND(SUM($Q222:AC222),1)&gt;=99.5,100,MIN(100,ROUND(SUM($Q222:AC222),1))))</f>
        <v/>
      </c>
      <c r="CW222" s="1" t="str">
        <f aca="false">IF(OR(OR(NOT(AND(ISNUMBER(E222),ISNUMBER(F222))),$J$2=""),14&gt;Reprogramaciones!$K$16),"",IF(ROUND(SUM($Q222:AD222),1)&gt;=99.5,100,MIN(100,ROUND(SUM($Q222:AD222),1))))</f>
        <v/>
      </c>
      <c r="CX222" s="1" t="str">
        <f aca="false">IF(OR(OR(NOT(AND(ISNUMBER(E222),ISNUMBER(F222))),$J$2=""),15&gt;Reprogramaciones!$K$16),"",IF(ROUND(SUM($Q222:AE222),1)&gt;=99.5,100,MIN(100,ROUND(SUM($Q222:AE222),1))))</f>
        <v/>
      </c>
      <c r="CY222" s="1" t="str">
        <f aca="false">IF(OR(OR(NOT(AND(ISNUMBER(E222),ISNUMBER(F222))),$J$2=""),16&gt;Reprogramaciones!$K$16),"",IF(ROUND(SUM($Q222:AF222),1)&gt;=99.5,100,MIN(100,ROUND(SUM($Q222:AF222),1))))</f>
        <v/>
      </c>
      <c r="CZ222" s="1" t="str">
        <f aca="false">IF(D222&lt;&gt;"",D222,IF(B222&lt;&gt;"","Contractual",CZ221))</f>
        <v>Contractual</v>
      </c>
      <c r="DA222" s="1" t="str">
        <f aca="false">IF(OR(NOT(AND(ISNUMBER(E222),ISNUMBER(F222))),$J$2=""),"",IF(Reprogramaciones!$Q$15&lt;Reprogramaciones!$T$15,0,IF(Reprogramaciones!$S$15&gt;10,MIN(100,SUM($G222:$P222)),MIN(100,SUMPRODUCT((COLUMN($G222:$P222)-COLUMN($G222)+1&lt;Reprogramaciones!$S$15)*$G222:$P222)+N(INDEX($G222:$P222,1,Reprogramaciones!$S$15))*IF(Reprogramaciones!$Q$15&gt;=(Reprogramaciones!$T$15+7*(Reprogramaciones!$S$15-1))+6,1,IF(MAX(0,NETWORKDAYS.INTL(MAX(E222,(Reprogramaciones!$T$15+7*(Reprogramaciones!$S$15-1))),MIN(F222,(Reprogramaciones!$T$15+7*(Reprogramaciones!$S$15-1))+6),11))=0,0,MAX(0,NETWORKDAYS.INTL(MAX(E222,(Reprogramaciones!$T$15+7*(Reprogramaciones!$S$15-1))),MIN(F222,Reprogramaciones!$Q$15),11))/MAX(0,NETWORKDAYS.INTL(MAX(E222,(Reprogramaciones!$T$15+7*(Reprogramaciones!$S$15-1))),MIN(F222,(Reprogramaciones!$T$15+7*(Reprogramaciones!$S$15-1))+6),11))))))))</f>
        <v/>
      </c>
    </row>
    <row r="223" customFormat="false" ht="15" hidden="false" customHeight="false" outlineLevel="0" collapsed="false">
      <c r="A223" s="32"/>
      <c r="B223" s="33"/>
      <c r="C223" s="33"/>
      <c r="D223" s="34"/>
      <c r="E223" s="35"/>
      <c r="F223" s="35"/>
      <c r="G223" s="36" t="str">
        <f aca="false">IF(OR(NOT(AND(ISNUMBER(E223),ISNUMBER(F223))),$J$2=""),"",IF(Reprogramaciones!K$9&lt;E223,0,IF(NETWORKDAYS.INTL(E223,F223,11)=0,IF(Reprogramaciones!K$9&gt;=F223,100,0),ROUND(NETWORKDAYS.INTL(E223,MIN(F223,Reprogramaciones!K$9),11)/NETWORKDAYS.INTL(E223,F223,11)*100,1)))-0)</f>
        <v/>
      </c>
      <c r="H223" s="36" t="str">
        <f aca="false">IF(OR(NOT(AND(ISNUMBER(E223),ISNUMBER(F223))),$J$2=""),"",IF(Reprogramaciones!L$9&lt;E223,0,IF(NETWORKDAYS.INTL(E223,F223,11)=0,IF(Reprogramaciones!L$9&gt;=F223,100,0),ROUND(NETWORKDAYS.INTL(E223,MIN(F223,Reprogramaciones!L$9),11)/NETWORKDAYS.INTL(E223,F223,11)*100,1)))-IF(Reprogramaciones!K$9&lt;E223,0,IF(NETWORKDAYS.INTL(E223,F223,11)=0,IF(Reprogramaciones!K$9&gt;=F223,100,0),ROUND(NETWORKDAYS.INTL(E223,MIN(F223,Reprogramaciones!K$9),11)/NETWORKDAYS.INTL(E223,F223,11)*100,1))))</f>
        <v/>
      </c>
      <c r="I223" s="36" t="str">
        <f aca="false">IF(OR(NOT(AND(ISNUMBER(E223),ISNUMBER(F223))),$J$2=""),"",IF(Reprogramaciones!M$9&lt;E223,0,IF(NETWORKDAYS.INTL(E223,F223,11)=0,IF(Reprogramaciones!M$9&gt;=F223,100,0),ROUND(NETWORKDAYS.INTL(E223,MIN(F223,Reprogramaciones!M$9),11)/NETWORKDAYS.INTL(E223,F223,11)*100,1)))-IF(Reprogramaciones!L$9&lt;E223,0,IF(NETWORKDAYS.INTL(E223,F223,11)=0,IF(Reprogramaciones!L$9&gt;=F223,100,0),ROUND(NETWORKDAYS.INTL(E223,MIN(F223,Reprogramaciones!L$9),11)/NETWORKDAYS.INTL(E223,F223,11)*100,1))))</f>
        <v/>
      </c>
      <c r="J223" s="36" t="str">
        <f aca="false">IF(OR(NOT(AND(ISNUMBER(E223),ISNUMBER(F223))),$J$2=""),"",IF(Reprogramaciones!N$9&lt;E223,0,IF(NETWORKDAYS.INTL(E223,F223,11)=0,IF(Reprogramaciones!N$9&gt;=F223,100,0),ROUND(NETWORKDAYS.INTL(E223,MIN(F223,Reprogramaciones!N$9),11)/NETWORKDAYS.INTL(E223,F223,11)*100,1)))-IF(Reprogramaciones!M$9&lt;E223,0,IF(NETWORKDAYS.INTL(E223,F223,11)=0,IF(Reprogramaciones!M$9&gt;=F223,100,0),ROUND(NETWORKDAYS.INTL(E223,MIN(F223,Reprogramaciones!M$9),11)/NETWORKDAYS.INTL(E223,F223,11)*100,1))))</f>
        <v/>
      </c>
      <c r="K223" s="36" t="str">
        <f aca="false">IF(OR(NOT(AND(ISNUMBER(E223),ISNUMBER(F223))),$J$2=""),"",IF(Reprogramaciones!O$9&lt;E223,0,IF(NETWORKDAYS.INTL(E223,F223,11)=0,IF(Reprogramaciones!O$9&gt;=F223,100,0),ROUND(NETWORKDAYS.INTL(E223,MIN(F223,Reprogramaciones!O$9),11)/NETWORKDAYS.INTL(E223,F223,11)*100,1)))-IF(Reprogramaciones!N$9&lt;E223,0,IF(NETWORKDAYS.INTL(E223,F223,11)=0,IF(Reprogramaciones!N$9&gt;=F223,100,0),ROUND(NETWORKDAYS.INTL(E223,MIN(F223,Reprogramaciones!N$9),11)/NETWORKDAYS.INTL(E223,F223,11)*100,1))))</f>
        <v/>
      </c>
      <c r="L223" s="36" t="str">
        <f aca="false">IF(OR(NOT(AND(ISNUMBER(E223),ISNUMBER(F223))),$J$2=""),"",IF(Reprogramaciones!P$9&lt;E223,0,IF(NETWORKDAYS.INTL(E223,F223,11)=0,IF(Reprogramaciones!P$9&gt;=F223,100,0),ROUND(NETWORKDAYS.INTL(E223,MIN(F223,Reprogramaciones!P$9),11)/NETWORKDAYS.INTL(E223,F223,11)*100,1)))-IF(Reprogramaciones!O$9&lt;E223,0,IF(NETWORKDAYS.INTL(E223,F223,11)=0,IF(Reprogramaciones!O$9&gt;=F223,100,0),ROUND(NETWORKDAYS.INTL(E223,MIN(F223,Reprogramaciones!O$9),11)/NETWORKDAYS.INTL(E223,F223,11)*100,1))))</f>
        <v/>
      </c>
      <c r="M223" s="36" t="str">
        <f aca="false">IF(OR(NOT(AND(ISNUMBER(E223),ISNUMBER(F223))),$J$2=""),"",IF(Reprogramaciones!Q$9&lt;E223,0,IF(NETWORKDAYS.INTL(E223,F223,11)=0,IF(Reprogramaciones!Q$9&gt;=F223,100,0),ROUND(NETWORKDAYS.INTL(E223,MIN(F223,Reprogramaciones!Q$9),11)/NETWORKDAYS.INTL(E223,F223,11)*100,1)))-IF(Reprogramaciones!P$9&lt;E223,0,IF(NETWORKDAYS.INTL(E223,F223,11)=0,IF(Reprogramaciones!P$9&gt;=F223,100,0),ROUND(NETWORKDAYS.INTL(E223,MIN(F223,Reprogramaciones!P$9),11)/NETWORKDAYS.INTL(E223,F223,11)*100,1))))</f>
        <v/>
      </c>
      <c r="N223" s="36" t="str">
        <f aca="false">IF(OR(NOT(AND(ISNUMBER(E223),ISNUMBER(F223))),$J$2=""),"",IF(Reprogramaciones!R$9&lt;E223,0,IF(NETWORKDAYS.INTL(E223,F223,11)=0,IF(Reprogramaciones!R$9&gt;=F223,100,0),ROUND(NETWORKDAYS.INTL(E223,MIN(F223,Reprogramaciones!R$9),11)/NETWORKDAYS.INTL(E223,F223,11)*100,1)))-IF(Reprogramaciones!Q$9&lt;E223,0,IF(NETWORKDAYS.INTL(E223,F223,11)=0,IF(Reprogramaciones!Q$9&gt;=F223,100,0),ROUND(NETWORKDAYS.INTL(E223,MIN(F223,Reprogramaciones!Q$9),11)/NETWORKDAYS.INTL(E223,F223,11)*100,1))))</f>
        <v/>
      </c>
      <c r="O223" s="36" t="str">
        <f aca="false">IF(OR(NOT(AND(ISNUMBER(E223),ISNUMBER(F223))),$J$2=""),"",IF(Reprogramaciones!S$9&lt;E223,0,IF(NETWORKDAYS.INTL(E223,F223,11)=0,IF(Reprogramaciones!S$9&gt;=F223,100,0),ROUND(NETWORKDAYS.INTL(E223,MIN(F223,Reprogramaciones!S$9),11)/NETWORKDAYS.INTL(E223,F223,11)*100,1)))-IF(Reprogramaciones!R$9&lt;E223,0,IF(NETWORKDAYS.INTL(E223,F223,11)=0,IF(Reprogramaciones!R$9&gt;=F223,100,0),ROUND(NETWORKDAYS.INTL(E223,MIN(F223,Reprogramaciones!R$9),11)/NETWORKDAYS.INTL(E223,F223,11)*100,1))))</f>
        <v/>
      </c>
      <c r="P223" s="36" t="str">
        <f aca="false">IF(OR(NOT(AND(ISNUMBER(E223),ISNUMBER(F223))),$J$2=""),"",IF(Reprogramaciones!T$9&lt;E223,0,IF(NETWORKDAYS.INTL(E223,F223,11)=0,IF(Reprogramaciones!T$9&gt;=F223,100,0),ROUND(NETWORKDAYS.INTL(E223,MIN(F223,Reprogramaciones!T$9),11)/NETWORKDAYS.INTL(E223,F223,11)*100,1)))-IF(Reprogramaciones!S$9&lt;E223,0,IF(NETWORKDAYS.INTL(E223,F223,11)=0,IF(Reprogramaciones!S$9&gt;=F223,100,0),ROUND(NETWORKDAYS.INTL(E223,MIN(F223,Reprogramaciones!S$9),11)/NETWORKDAYS.INTL(E223,F223,11)*100,1))))</f>
        <v/>
      </c>
      <c r="Q223" s="37"/>
      <c r="R223" s="37"/>
      <c r="S223" s="37"/>
      <c r="T223" s="37"/>
      <c r="U223" s="37"/>
      <c r="V223" s="37"/>
      <c r="W223" s="37"/>
      <c r="X223" s="37"/>
      <c r="Y223" s="37"/>
      <c r="Z223" s="37"/>
      <c r="AA223" s="37"/>
      <c r="AB223" s="37"/>
      <c r="AC223" s="37"/>
      <c r="AD223" s="37"/>
      <c r="AE223" s="37"/>
      <c r="AF223" s="37"/>
      <c r="AG223" s="38" t="str">
        <f aca="false">IF(AND(ISNUMBER(E223),ISNUMBER(F223)),NETWORKDAYS.INTL(E223,F223,11),"")</f>
        <v/>
      </c>
      <c r="AH223" s="38" t="str">
        <f aca="false">IF(OR(NOT(AND(ISNUMBER(E223),ISNUMBER(F223))),$J$2=""),"",IF(Reprogramaciones!$P$15&lt;Reprogramaciones!$T$15,0,IF(Reprogramaciones!$R$15&gt;10,MIN(100,SUM($G223:$P223)),MIN(100,SUMPRODUCT((COLUMN($G223:$P223)-COLUMN($G223)+1&lt;Reprogramaciones!$R$15)*$G223:$P223)+N(INDEX($G223:$P223,1,Reprogramaciones!$R$15))*IF(Reprogramaciones!$P$15&gt;=(Reprogramaciones!$T$15+7*(Reprogramaciones!$R$15-1))+6,1,IF(MAX(0,NETWORKDAYS.INTL(MAX(E223,(Reprogramaciones!$T$15+7*(Reprogramaciones!$R$15-1))),MIN(F223,(Reprogramaciones!$T$15+7*(Reprogramaciones!$R$15-1))+6),11))=0,0,MAX(0,NETWORKDAYS.INTL(MAX(E223,(Reprogramaciones!$T$15+7*(Reprogramaciones!$R$15-1))),MIN(F223,Reprogramaciones!$P$15),11))/MAX(0,NETWORKDAYS.INTL(MAX(E223,(Reprogramaciones!$T$15+7*(Reprogramaciones!$R$15-1))),MIN(F223,(Reprogramaciones!$T$15+7*(Reprogramaciones!$R$15-1))+6),11))))))))</f>
        <v/>
      </c>
      <c r="AI223" s="38" t="str">
        <f aca="false">IF(COUNT($Q223:$AF223)=0,"",IF(ROUND(SUM($Q223:$AF223),1)&gt;=99.5,100,MIN(100,ROUND(SUM($Q223:$AF223),1))))</f>
        <v/>
      </c>
      <c r="AJ223" s="38" t="str">
        <f aca="false">IF(OR(AH223="",AI223=""),"",AI223-AH223)</f>
        <v/>
      </c>
      <c r="AK223" s="39" t="str">
        <f aca="true">IF(AH223="","",IF(OR(Ficha!$C$10="Suspendida",Ficha!$C$10="Cancelada"),Ficha!$C$10,IF(AND(AI223&lt;&gt;"",N(AI223)&gt;=100),"Completada",IF(AND(E223&gt;TODAY(),N(AI223)=0),"Por iniciar",IF(N(AI223)+0.5&lt;AH223,"Retrasada",IF(N(AI223)+0.5&lt;DA223,IF(Reprogramaciones!$K$15&gt;0,"Al día · Sem "&amp;Reprogramaciones!$K$15&amp;" en curso","Al día · en curso"),"A tiempo"))))))</f>
        <v/>
      </c>
      <c r="AL223" s="39" t="str">
        <f aca="true">IF(AND(A223="",AND(B223="",C223="",E223="",F223="",COUNT(Q223:AF223)=0)),"",IF(AND(B223="",C223="",E223="",F223="",COUNT(Q223:AF223)=0),"Falta la partida o subpartida",IF(AND(A223&lt;&gt;"",COUNTIF($A$6:$A$305,A223)&gt;1),"Ítem repetido",IF(AND(C223="",E223="",F223="",COUNT(Q223:AF223)=0),"Título de partida",IF(OR(E223="",F223=""),"Faltan fechas",IF(OR(ISTEXT(E223),ISTEXT(F223)),"Fecha escrita como texto: usa dd/mm/aaaa",IF(F223&lt;E223,"Fin antes del inicio",IF(IF($J$2="",FALSE(),OR(E223&lt;$J$2,F223&gt;Reprogramaciones!$T$15+69)),"Fuera de las 10 semanas",IF(ABS(SUM(G223:P223)-100)&gt;0.5,"La meta no suma 100%",IF(ROUND(SUM(Q223:AF223),1)&gt;100.5,"El avance pasa de 100%",IF(MIN(Q223:AF223)&lt;0,"Avance negativo",IF(COUNTA(Q223:AF223)&gt;COUNT(Q223:AF223),"Avance escrito como texto",IF(SUMPRODUCT((Q223:AF223&gt;0)*(Q223:AF223&lt;1))&gt;0,"Avance menor a 1: escribe 50, no 50%",IF(SUMPRODUCT(ISNUMBER(Q223:AF223)*(Reprogramaciones!$K$8:$Z$8&gt;TODAY()))&gt;0,"Avance en semana que aún no llega",IF(AND(N(Reprogramaciones!$E$21)&gt;0,F223&gt;Reprogramaciones!$E$21),"Pasa el fin de la obra: registra una reprogramación",IF(AND(N(Reprogramaciones!$E$21)&gt;0,SUMPRODUCT(ISNUMBER(Q223:AF223)*(Reprogramaciones!$K$8:$Z$8&gt;Reprogramaciones!$E$21))&gt;0),"Avance después del fin de la obra: registra una reprogramación por atraso","OK"))))))))))))))))</f>
        <v/>
      </c>
      <c r="AM223" s="40" t="str">
        <f aca="false">IF(OR(OR(NOT(AND(ISNUMBER(E223),ISNUMBER(F223))),$J$2=""),1&gt;MAX(1,Reprogramaciones!$U$15)),"",IF(Reprogramaciones!K$12&gt;=7,"",IF(OR(BT223-N(0)&gt;0.05,N(Q223)&gt;0),ROUNDDOWN(ROUND(BT223,6),0)&amp;"%"&amp;IF(CJ223="",""," / "&amp;CJ223&amp;"%"),IF(AND(N(0)&gt;=99.95,CJ223&lt;&gt;"",N(CJ223)&lt;100),"Pend. "&amp;CJ223&amp;"%",""))))</f>
        <v/>
      </c>
      <c r="AN223" s="40" t="str">
        <f aca="false">IF(OR(OR(NOT(AND(ISNUMBER(E223),ISNUMBER(F223))),$J$2=""),2&gt;MAX(1,Reprogramaciones!$U$15)),"",IF(Reprogramaciones!L$12&gt;=7,"",IF(OR(BU223-N(BT223)&gt;0.05,N(R223)&gt;0),ROUNDDOWN(ROUND(BU223,6),0)&amp;"%"&amp;IF(CK223="",""," / "&amp;CK223&amp;"%"),IF(AND(N(BT223)&gt;=99.95,CK223&lt;&gt;"",N(CK223)&lt;100),"Pend. "&amp;CK223&amp;"%",""))))</f>
        <v/>
      </c>
      <c r="AO223" s="40" t="str">
        <f aca="false">IF(OR(OR(NOT(AND(ISNUMBER(E223),ISNUMBER(F223))),$J$2=""),3&gt;MAX(1,Reprogramaciones!$U$15)),"",IF(Reprogramaciones!M$12&gt;=7,"",IF(OR(BV223-N(BU223)&gt;0.05,N(S223)&gt;0),ROUNDDOWN(ROUND(BV223,6),0)&amp;"%"&amp;IF(CL223="",""," / "&amp;CL223&amp;"%"),IF(AND(N(BU223)&gt;=99.95,CL223&lt;&gt;"",N(CL223)&lt;100),"Pend. "&amp;CL223&amp;"%",""))))</f>
        <v/>
      </c>
      <c r="AP223" s="40" t="str">
        <f aca="false">IF(OR(OR(NOT(AND(ISNUMBER(E223),ISNUMBER(F223))),$J$2=""),4&gt;MAX(1,Reprogramaciones!$U$15)),"",IF(Reprogramaciones!N$12&gt;=7,"",IF(OR(BW223-N(BV223)&gt;0.05,N(T223)&gt;0),ROUNDDOWN(ROUND(BW223,6),0)&amp;"%"&amp;IF(CM223="",""," / "&amp;CM223&amp;"%"),IF(AND(N(BV223)&gt;=99.95,CM223&lt;&gt;"",N(CM223)&lt;100),"Pend. "&amp;CM223&amp;"%",""))))</f>
        <v/>
      </c>
      <c r="AQ223" s="40" t="str">
        <f aca="false">IF(OR(OR(NOT(AND(ISNUMBER(E223),ISNUMBER(F223))),$J$2=""),5&gt;MAX(1,Reprogramaciones!$U$15)),"",IF(Reprogramaciones!O$12&gt;=7,"",IF(OR(BX223-N(BW223)&gt;0.05,N(U223)&gt;0),ROUNDDOWN(ROUND(BX223,6),0)&amp;"%"&amp;IF(CN223="",""," / "&amp;CN223&amp;"%"),IF(AND(N(BW223)&gt;=99.95,CN223&lt;&gt;"",N(CN223)&lt;100),"Pend. "&amp;CN223&amp;"%",""))))</f>
        <v/>
      </c>
      <c r="AR223" s="40" t="str">
        <f aca="false">IF(OR(OR(NOT(AND(ISNUMBER(E223),ISNUMBER(F223))),$J$2=""),6&gt;MAX(1,Reprogramaciones!$U$15)),"",IF(Reprogramaciones!P$12&gt;=7,"",IF(OR(BY223-N(BX223)&gt;0.05,N(V223)&gt;0),ROUNDDOWN(ROUND(BY223,6),0)&amp;"%"&amp;IF(CO223="",""," / "&amp;CO223&amp;"%"),IF(AND(N(BX223)&gt;=99.95,CO223&lt;&gt;"",N(CO223)&lt;100),"Pend. "&amp;CO223&amp;"%",""))))</f>
        <v/>
      </c>
      <c r="AS223" s="40" t="str">
        <f aca="false">IF(OR(OR(NOT(AND(ISNUMBER(E223),ISNUMBER(F223))),$J$2=""),7&gt;MAX(1,Reprogramaciones!$U$15)),"",IF(Reprogramaciones!Q$12&gt;=7,"",IF(OR(BZ223-N(BY223)&gt;0.05,N(W223)&gt;0),ROUNDDOWN(ROUND(BZ223,6),0)&amp;"%"&amp;IF(CP223="",""," / "&amp;CP223&amp;"%"),IF(AND(N(BY223)&gt;=99.95,CP223&lt;&gt;"",N(CP223)&lt;100),"Pend. "&amp;CP223&amp;"%",""))))</f>
        <v/>
      </c>
      <c r="AT223" s="40" t="str">
        <f aca="false">IF(OR(OR(NOT(AND(ISNUMBER(E223),ISNUMBER(F223))),$J$2=""),8&gt;MAX(1,Reprogramaciones!$U$15)),"",IF(Reprogramaciones!R$12&gt;=7,"",IF(OR(CA223-N(BZ223)&gt;0.05,N(X223)&gt;0),ROUNDDOWN(ROUND(CA223,6),0)&amp;"%"&amp;IF(CQ223="",""," / "&amp;CQ223&amp;"%"),IF(AND(N(BZ223)&gt;=99.95,CQ223&lt;&gt;"",N(CQ223)&lt;100),"Pend. "&amp;CQ223&amp;"%",""))))</f>
        <v/>
      </c>
      <c r="AU223" s="40" t="str">
        <f aca="false">IF(OR(OR(NOT(AND(ISNUMBER(E223),ISNUMBER(F223))),$J$2=""),9&gt;MAX(1,Reprogramaciones!$U$15)),"",IF(Reprogramaciones!S$12&gt;=7,"",IF(OR(CB223-N(CA223)&gt;0.05,N(Y223)&gt;0),ROUNDDOWN(ROUND(CB223,6),0)&amp;"%"&amp;IF(CR223="",""," / "&amp;CR223&amp;"%"),IF(AND(N(CA223)&gt;=99.95,CR223&lt;&gt;"",N(CR223)&lt;100),"Pend. "&amp;CR223&amp;"%",""))))</f>
        <v/>
      </c>
      <c r="AV223" s="40" t="str">
        <f aca="false">IF(OR(OR(NOT(AND(ISNUMBER(E223),ISNUMBER(F223))),$J$2=""),10&gt;MAX(1,Reprogramaciones!$U$15)),"",IF(Reprogramaciones!T$12&gt;=7,"",IF(OR(CC223-N(CB223)&gt;0.05,N(Z223)&gt;0),ROUNDDOWN(ROUND(CC223,6),0)&amp;"%"&amp;IF(CS223="",""," / "&amp;CS223&amp;"%"),IF(AND(N(CB223)&gt;=99.95,CS223&lt;&gt;"",N(CS223)&lt;100),"Pend. "&amp;CS223&amp;"%",""))))</f>
        <v/>
      </c>
      <c r="AW223" s="40" t="str">
        <f aca="false">IF(OR(OR(NOT(AND(ISNUMBER(E223),ISNUMBER(F223))),$J$2=""),11&gt;MAX(1,Reprogramaciones!$U$15)),"",IF(Reprogramaciones!U$12&gt;=7,"",IF(OR(CD223-N(CC223)&gt;0.05,N(AA223)&gt;0),ROUNDDOWN(ROUND(CD223,6),0)&amp;"%"&amp;IF(CT223="",""," / "&amp;CT223&amp;"%"),IF(AND(N(CC223)&gt;=99.95,CT223&lt;&gt;"",N(CT223)&lt;100),"Pend. "&amp;CT223&amp;"%",""))))</f>
        <v/>
      </c>
      <c r="AX223" s="40" t="str">
        <f aca="false">IF(OR(OR(NOT(AND(ISNUMBER(E223),ISNUMBER(F223))),$J$2=""),12&gt;MAX(1,Reprogramaciones!$U$15)),"",IF(Reprogramaciones!V$12&gt;=7,"",IF(OR(CE223-N(CD223)&gt;0.05,N(AB223)&gt;0),ROUNDDOWN(ROUND(CE223,6),0)&amp;"%"&amp;IF(CU223="",""," / "&amp;CU223&amp;"%"),IF(AND(N(CD223)&gt;=99.95,CU223&lt;&gt;"",N(CU223)&lt;100),"Pend. "&amp;CU223&amp;"%",""))))</f>
        <v/>
      </c>
      <c r="AY223" s="40" t="str">
        <f aca="false">IF(OR(OR(NOT(AND(ISNUMBER(E223),ISNUMBER(F223))),$J$2=""),13&gt;MAX(1,Reprogramaciones!$U$15)),"",IF(Reprogramaciones!W$12&gt;=7,"",IF(OR(CF223-N(CE223)&gt;0.05,N(AC223)&gt;0),ROUNDDOWN(ROUND(CF223,6),0)&amp;"%"&amp;IF(CV223="",""," / "&amp;CV223&amp;"%"),IF(AND(N(CE223)&gt;=99.95,CV223&lt;&gt;"",N(CV223)&lt;100),"Pend. "&amp;CV223&amp;"%",""))))</f>
        <v/>
      </c>
      <c r="AZ223" s="40" t="str">
        <f aca="false">IF(OR(OR(NOT(AND(ISNUMBER(E223),ISNUMBER(F223))),$J$2=""),14&gt;MAX(1,Reprogramaciones!$U$15)),"",IF(Reprogramaciones!X$12&gt;=7,"",IF(OR(CG223-N(CF223)&gt;0.05,N(AD223)&gt;0),ROUNDDOWN(ROUND(CG223,6),0)&amp;"%"&amp;IF(CW223="",""," / "&amp;CW223&amp;"%"),IF(AND(N(CF223)&gt;=99.95,CW223&lt;&gt;"",N(CW223)&lt;100),"Pend. "&amp;CW223&amp;"%",""))))</f>
        <v/>
      </c>
      <c r="BA223" s="40" t="str">
        <f aca="false">IF(OR(OR(NOT(AND(ISNUMBER(E223),ISNUMBER(F223))),$J$2=""),15&gt;MAX(1,Reprogramaciones!$U$15)),"",IF(Reprogramaciones!Y$12&gt;=7,"",IF(OR(CH223-N(CG223)&gt;0.05,N(AE223)&gt;0),ROUNDDOWN(ROUND(CH223,6),0)&amp;"%"&amp;IF(CX223="",""," / "&amp;CX223&amp;"%"),IF(AND(N(CG223)&gt;=99.95,CX223&lt;&gt;"",N(CX223)&lt;100),"Pend. "&amp;CX223&amp;"%",""))))</f>
        <v/>
      </c>
      <c r="BB223" s="40" t="str">
        <f aca="false">IF(OR(OR(NOT(AND(ISNUMBER(E223),ISNUMBER(F223))),$J$2=""),16&gt;MAX(1,Reprogramaciones!$U$15)),"",IF(Reprogramaciones!Z$12&gt;=7,"",IF(OR(CI223-N(CH223)&gt;0.05,N(AF223)&gt;0),ROUNDDOWN(ROUND(CI223,6),0)&amp;"%"&amp;IF(CY223="",""," / "&amp;CY223&amp;"%"),IF(AND(N(CH223)&gt;=99.95,CY223&lt;&gt;"",N(CY223)&lt;100),"Pend. "&amp;CY223&amp;"%",""))))</f>
        <v/>
      </c>
      <c r="BC223" s="31" t="n">
        <f aca="false">IF(AND(ISNUMBER(E223),ISNUMBER(F223)),MAX(1,NETWORKDAYS.INTL(E223,F223,11)),0)</f>
        <v>0</v>
      </c>
      <c r="BD223" s="1" t="str">
        <f aca="false">IF(OR(NOT(AND(ISNUMBER(E223),ISNUMBER(F223))),$J$2=""),"",MIN(100,ROUND(SUM($G223:G223),1)))</f>
        <v/>
      </c>
      <c r="BE223" s="1" t="str">
        <f aca="false">IF(OR(NOT(AND(ISNUMBER(E223),ISNUMBER(F223))),$J$2=""),"",MIN(100,ROUND(SUM($G223:H223),1)))</f>
        <v/>
      </c>
      <c r="BF223" s="1" t="str">
        <f aca="false">IF(OR(NOT(AND(ISNUMBER(E223),ISNUMBER(F223))),$J$2=""),"",MIN(100,ROUND(SUM($G223:I223),1)))</f>
        <v/>
      </c>
      <c r="BG223" s="1" t="str">
        <f aca="false">IF(OR(NOT(AND(ISNUMBER(E223),ISNUMBER(F223))),$J$2=""),"",MIN(100,ROUND(SUM($G223:J223),1)))</f>
        <v/>
      </c>
      <c r="BH223" s="1" t="str">
        <f aca="false">IF(OR(NOT(AND(ISNUMBER(E223),ISNUMBER(F223))),$J$2=""),"",MIN(100,ROUND(SUM($G223:K223),1)))</f>
        <v/>
      </c>
      <c r="BI223" s="1" t="str">
        <f aca="false">IF(OR(NOT(AND(ISNUMBER(E223),ISNUMBER(F223))),$J$2=""),"",MIN(100,ROUND(SUM($G223:L223),1)))</f>
        <v/>
      </c>
      <c r="BJ223" s="1" t="str">
        <f aca="false">IF(OR(NOT(AND(ISNUMBER(E223),ISNUMBER(F223))),$J$2=""),"",MIN(100,ROUND(SUM($G223:M223),1)))</f>
        <v/>
      </c>
      <c r="BK223" s="1" t="str">
        <f aca="false">IF(OR(NOT(AND(ISNUMBER(E223),ISNUMBER(F223))),$J$2=""),"",MIN(100,ROUND(SUM($G223:N223),1)))</f>
        <v/>
      </c>
      <c r="BL223" s="1" t="str">
        <f aca="false">IF(OR(NOT(AND(ISNUMBER(E223),ISNUMBER(F223))),$J$2=""),"",MIN(100,ROUND(SUM($G223:O223),1)))</f>
        <v/>
      </c>
      <c r="BM223" s="1" t="str">
        <f aca="false">IF(OR(NOT(AND(ISNUMBER(E223),ISNUMBER(F223))),$J$2=""),"",MIN(100,ROUND(SUM($G223:P223),1)))</f>
        <v/>
      </c>
      <c r="BN223" s="1" t="str">
        <f aca="false">IF(OR(NOT(AND(ISNUMBER(E223),ISNUMBER(F223))),$J$2=""),"",MIN(100,ROUND(SUM($G223:P223),1)))</f>
        <v/>
      </c>
      <c r="BO223" s="1" t="str">
        <f aca="false">IF(OR(NOT(AND(ISNUMBER(E223),ISNUMBER(F223))),$J$2=""),"",MIN(100,ROUND(SUM($G223:P223),1)))</f>
        <v/>
      </c>
      <c r="BP223" s="1" t="str">
        <f aca="false">IF(OR(NOT(AND(ISNUMBER(E223),ISNUMBER(F223))),$J$2=""),"",MIN(100,ROUND(SUM($G223:P223),1)))</f>
        <v/>
      </c>
      <c r="BQ223" s="1" t="str">
        <f aca="false">IF(OR(NOT(AND(ISNUMBER(E223),ISNUMBER(F223))),$J$2=""),"",MIN(100,ROUND(SUM($G223:P223),1)))</f>
        <v/>
      </c>
      <c r="BR223" s="1" t="str">
        <f aca="false">IF(OR(NOT(AND(ISNUMBER(E223),ISNUMBER(F223))),$J$2=""),"",MIN(100,ROUND(SUM($G223:P223),1)))</f>
        <v/>
      </c>
      <c r="BS223" s="1" t="str">
        <f aca="false">IF(OR(NOT(AND(ISNUMBER(E223),ISNUMBER(F223))),$J$2=""),"",MIN(100,ROUND(SUM($G223:P223),1)))</f>
        <v/>
      </c>
      <c r="BT223" s="1" t="str">
        <f aca="false">IF(OR(NOT(AND(ISNUMBER(E223),ISNUMBER(F223))),$J$2=""),"",IF(Reprogramaciones!K$13&lt;Reprogramaciones!$T$15,0,IF(Reprogramaciones!K$14&gt;10,MIN(100,SUM($G223:$P223)),MIN(100,SUMPRODUCT((COLUMN($G223:$P223)-COLUMN($G223)+1&lt;Reprogramaciones!K$14)*$G223:$P223)+N(INDEX($G223:$P223,1,Reprogramaciones!K$14))*IF(Reprogramaciones!K$13&gt;=(Reprogramaciones!$T$15+7*(Reprogramaciones!K$14-1))+6,1,IF(MAX(0,NETWORKDAYS.INTL(MAX(E223,(Reprogramaciones!$T$15+7*(Reprogramaciones!K$14-1))),MIN(F223,(Reprogramaciones!$T$15+7*(Reprogramaciones!K$14-1))+6),11))=0,0,MAX(0,NETWORKDAYS.INTL(MAX(E223,(Reprogramaciones!$T$15+7*(Reprogramaciones!K$14-1))),MIN(F223,Reprogramaciones!K$13),11))/MAX(0,NETWORKDAYS.INTL(MAX(E223,(Reprogramaciones!$T$15+7*(Reprogramaciones!K$14-1))),MIN(F223,(Reprogramaciones!$T$15+7*(Reprogramaciones!K$14-1))+6),11))))))))</f>
        <v/>
      </c>
      <c r="BU223" s="1" t="str">
        <f aca="false">IF(OR(NOT(AND(ISNUMBER(E223),ISNUMBER(F223))),$J$2=""),"",IF(Reprogramaciones!L$13&lt;Reprogramaciones!$T$15,0,IF(Reprogramaciones!L$14&gt;10,MIN(100,SUM($G223:$P223)),MIN(100,SUMPRODUCT((COLUMN($G223:$P223)-COLUMN($G223)+1&lt;Reprogramaciones!L$14)*$G223:$P223)+N(INDEX($G223:$P223,1,Reprogramaciones!L$14))*IF(Reprogramaciones!L$13&gt;=(Reprogramaciones!$T$15+7*(Reprogramaciones!L$14-1))+6,1,IF(MAX(0,NETWORKDAYS.INTL(MAX(E223,(Reprogramaciones!$T$15+7*(Reprogramaciones!L$14-1))),MIN(F223,(Reprogramaciones!$T$15+7*(Reprogramaciones!L$14-1))+6),11))=0,0,MAX(0,NETWORKDAYS.INTL(MAX(E223,(Reprogramaciones!$T$15+7*(Reprogramaciones!L$14-1))),MIN(F223,Reprogramaciones!L$13),11))/MAX(0,NETWORKDAYS.INTL(MAX(E223,(Reprogramaciones!$T$15+7*(Reprogramaciones!L$14-1))),MIN(F223,(Reprogramaciones!$T$15+7*(Reprogramaciones!L$14-1))+6),11))))))))</f>
        <v/>
      </c>
      <c r="BV223" s="1" t="str">
        <f aca="false">IF(OR(NOT(AND(ISNUMBER(E223),ISNUMBER(F223))),$J$2=""),"",IF(Reprogramaciones!M$13&lt;Reprogramaciones!$T$15,0,IF(Reprogramaciones!M$14&gt;10,MIN(100,SUM($G223:$P223)),MIN(100,SUMPRODUCT((COLUMN($G223:$P223)-COLUMN($G223)+1&lt;Reprogramaciones!M$14)*$G223:$P223)+N(INDEX($G223:$P223,1,Reprogramaciones!M$14))*IF(Reprogramaciones!M$13&gt;=(Reprogramaciones!$T$15+7*(Reprogramaciones!M$14-1))+6,1,IF(MAX(0,NETWORKDAYS.INTL(MAX(E223,(Reprogramaciones!$T$15+7*(Reprogramaciones!M$14-1))),MIN(F223,(Reprogramaciones!$T$15+7*(Reprogramaciones!M$14-1))+6),11))=0,0,MAX(0,NETWORKDAYS.INTL(MAX(E223,(Reprogramaciones!$T$15+7*(Reprogramaciones!M$14-1))),MIN(F223,Reprogramaciones!M$13),11))/MAX(0,NETWORKDAYS.INTL(MAX(E223,(Reprogramaciones!$T$15+7*(Reprogramaciones!M$14-1))),MIN(F223,(Reprogramaciones!$T$15+7*(Reprogramaciones!M$14-1))+6),11))))))))</f>
        <v/>
      </c>
      <c r="BW223" s="1" t="str">
        <f aca="false">IF(OR(NOT(AND(ISNUMBER(E223),ISNUMBER(F223))),$J$2=""),"",IF(Reprogramaciones!N$13&lt;Reprogramaciones!$T$15,0,IF(Reprogramaciones!N$14&gt;10,MIN(100,SUM($G223:$P223)),MIN(100,SUMPRODUCT((COLUMN($G223:$P223)-COLUMN($G223)+1&lt;Reprogramaciones!N$14)*$G223:$P223)+N(INDEX($G223:$P223,1,Reprogramaciones!N$14))*IF(Reprogramaciones!N$13&gt;=(Reprogramaciones!$T$15+7*(Reprogramaciones!N$14-1))+6,1,IF(MAX(0,NETWORKDAYS.INTL(MAX(E223,(Reprogramaciones!$T$15+7*(Reprogramaciones!N$14-1))),MIN(F223,(Reprogramaciones!$T$15+7*(Reprogramaciones!N$14-1))+6),11))=0,0,MAX(0,NETWORKDAYS.INTL(MAX(E223,(Reprogramaciones!$T$15+7*(Reprogramaciones!N$14-1))),MIN(F223,Reprogramaciones!N$13),11))/MAX(0,NETWORKDAYS.INTL(MAX(E223,(Reprogramaciones!$T$15+7*(Reprogramaciones!N$14-1))),MIN(F223,(Reprogramaciones!$T$15+7*(Reprogramaciones!N$14-1))+6),11))))))))</f>
        <v/>
      </c>
      <c r="BX223" s="1" t="str">
        <f aca="false">IF(OR(NOT(AND(ISNUMBER(E223),ISNUMBER(F223))),$J$2=""),"",IF(Reprogramaciones!O$13&lt;Reprogramaciones!$T$15,0,IF(Reprogramaciones!O$14&gt;10,MIN(100,SUM($G223:$P223)),MIN(100,SUMPRODUCT((COLUMN($G223:$P223)-COLUMN($G223)+1&lt;Reprogramaciones!O$14)*$G223:$P223)+N(INDEX($G223:$P223,1,Reprogramaciones!O$14))*IF(Reprogramaciones!O$13&gt;=(Reprogramaciones!$T$15+7*(Reprogramaciones!O$14-1))+6,1,IF(MAX(0,NETWORKDAYS.INTL(MAX(E223,(Reprogramaciones!$T$15+7*(Reprogramaciones!O$14-1))),MIN(F223,(Reprogramaciones!$T$15+7*(Reprogramaciones!O$14-1))+6),11))=0,0,MAX(0,NETWORKDAYS.INTL(MAX(E223,(Reprogramaciones!$T$15+7*(Reprogramaciones!O$14-1))),MIN(F223,Reprogramaciones!O$13),11))/MAX(0,NETWORKDAYS.INTL(MAX(E223,(Reprogramaciones!$T$15+7*(Reprogramaciones!O$14-1))),MIN(F223,(Reprogramaciones!$T$15+7*(Reprogramaciones!O$14-1))+6),11))))))))</f>
        <v/>
      </c>
      <c r="BY223" s="1" t="str">
        <f aca="false">IF(OR(NOT(AND(ISNUMBER(E223),ISNUMBER(F223))),$J$2=""),"",IF(Reprogramaciones!P$13&lt;Reprogramaciones!$T$15,0,IF(Reprogramaciones!P$14&gt;10,MIN(100,SUM($G223:$P223)),MIN(100,SUMPRODUCT((COLUMN($G223:$P223)-COLUMN($G223)+1&lt;Reprogramaciones!P$14)*$G223:$P223)+N(INDEX($G223:$P223,1,Reprogramaciones!P$14))*IF(Reprogramaciones!P$13&gt;=(Reprogramaciones!$T$15+7*(Reprogramaciones!P$14-1))+6,1,IF(MAX(0,NETWORKDAYS.INTL(MAX(E223,(Reprogramaciones!$T$15+7*(Reprogramaciones!P$14-1))),MIN(F223,(Reprogramaciones!$T$15+7*(Reprogramaciones!P$14-1))+6),11))=0,0,MAX(0,NETWORKDAYS.INTL(MAX(E223,(Reprogramaciones!$T$15+7*(Reprogramaciones!P$14-1))),MIN(F223,Reprogramaciones!P$13),11))/MAX(0,NETWORKDAYS.INTL(MAX(E223,(Reprogramaciones!$T$15+7*(Reprogramaciones!P$14-1))),MIN(F223,(Reprogramaciones!$T$15+7*(Reprogramaciones!P$14-1))+6),11))))))))</f>
        <v/>
      </c>
      <c r="BZ223" s="1" t="str">
        <f aca="false">IF(OR(NOT(AND(ISNUMBER(E223),ISNUMBER(F223))),$J$2=""),"",IF(Reprogramaciones!Q$13&lt;Reprogramaciones!$T$15,0,IF(Reprogramaciones!Q$14&gt;10,MIN(100,SUM($G223:$P223)),MIN(100,SUMPRODUCT((COLUMN($G223:$P223)-COLUMN($G223)+1&lt;Reprogramaciones!Q$14)*$G223:$P223)+N(INDEX($G223:$P223,1,Reprogramaciones!Q$14))*IF(Reprogramaciones!Q$13&gt;=(Reprogramaciones!$T$15+7*(Reprogramaciones!Q$14-1))+6,1,IF(MAX(0,NETWORKDAYS.INTL(MAX(E223,(Reprogramaciones!$T$15+7*(Reprogramaciones!Q$14-1))),MIN(F223,(Reprogramaciones!$T$15+7*(Reprogramaciones!Q$14-1))+6),11))=0,0,MAX(0,NETWORKDAYS.INTL(MAX(E223,(Reprogramaciones!$T$15+7*(Reprogramaciones!Q$14-1))),MIN(F223,Reprogramaciones!Q$13),11))/MAX(0,NETWORKDAYS.INTL(MAX(E223,(Reprogramaciones!$T$15+7*(Reprogramaciones!Q$14-1))),MIN(F223,(Reprogramaciones!$T$15+7*(Reprogramaciones!Q$14-1))+6),11))))))))</f>
        <v/>
      </c>
      <c r="CA223" s="1" t="str">
        <f aca="false">IF(OR(NOT(AND(ISNUMBER(E223),ISNUMBER(F223))),$J$2=""),"",IF(Reprogramaciones!R$13&lt;Reprogramaciones!$T$15,0,IF(Reprogramaciones!R$14&gt;10,MIN(100,SUM($G223:$P223)),MIN(100,SUMPRODUCT((COLUMN($G223:$P223)-COLUMN($G223)+1&lt;Reprogramaciones!R$14)*$G223:$P223)+N(INDEX($G223:$P223,1,Reprogramaciones!R$14))*IF(Reprogramaciones!R$13&gt;=(Reprogramaciones!$T$15+7*(Reprogramaciones!R$14-1))+6,1,IF(MAX(0,NETWORKDAYS.INTL(MAX(E223,(Reprogramaciones!$T$15+7*(Reprogramaciones!R$14-1))),MIN(F223,(Reprogramaciones!$T$15+7*(Reprogramaciones!R$14-1))+6),11))=0,0,MAX(0,NETWORKDAYS.INTL(MAX(E223,(Reprogramaciones!$T$15+7*(Reprogramaciones!R$14-1))),MIN(F223,Reprogramaciones!R$13),11))/MAX(0,NETWORKDAYS.INTL(MAX(E223,(Reprogramaciones!$T$15+7*(Reprogramaciones!R$14-1))),MIN(F223,(Reprogramaciones!$T$15+7*(Reprogramaciones!R$14-1))+6),11))))))))</f>
        <v/>
      </c>
      <c r="CB223" s="1" t="str">
        <f aca="false">IF(OR(NOT(AND(ISNUMBER(E223),ISNUMBER(F223))),$J$2=""),"",IF(Reprogramaciones!S$13&lt;Reprogramaciones!$T$15,0,IF(Reprogramaciones!S$14&gt;10,MIN(100,SUM($G223:$P223)),MIN(100,SUMPRODUCT((COLUMN($G223:$P223)-COLUMN($G223)+1&lt;Reprogramaciones!S$14)*$G223:$P223)+N(INDEX($G223:$P223,1,Reprogramaciones!S$14))*IF(Reprogramaciones!S$13&gt;=(Reprogramaciones!$T$15+7*(Reprogramaciones!S$14-1))+6,1,IF(MAX(0,NETWORKDAYS.INTL(MAX(E223,(Reprogramaciones!$T$15+7*(Reprogramaciones!S$14-1))),MIN(F223,(Reprogramaciones!$T$15+7*(Reprogramaciones!S$14-1))+6),11))=0,0,MAX(0,NETWORKDAYS.INTL(MAX(E223,(Reprogramaciones!$T$15+7*(Reprogramaciones!S$14-1))),MIN(F223,Reprogramaciones!S$13),11))/MAX(0,NETWORKDAYS.INTL(MAX(E223,(Reprogramaciones!$T$15+7*(Reprogramaciones!S$14-1))),MIN(F223,(Reprogramaciones!$T$15+7*(Reprogramaciones!S$14-1))+6),11))))))))</f>
        <v/>
      </c>
      <c r="CC223" s="1" t="str">
        <f aca="false">IF(OR(NOT(AND(ISNUMBER(E223),ISNUMBER(F223))),$J$2=""),"",IF(Reprogramaciones!T$13&lt;Reprogramaciones!$T$15,0,IF(Reprogramaciones!T$14&gt;10,MIN(100,SUM($G223:$P223)),MIN(100,SUMPRODUCT((COLUMN($G223:$P223)-COLUMN($G223)+1&lt;Reprogramaciones!T$14)*$G223:$P223)+N(INDEX($G223:$P223,1,Reprogramaciones!T$14))*IF(Reprogramaciones!T$13&gt;=(Reprogramaciones!$T$15+7*(Reprogramaciones!T$14-1))+6,1,IF(MAX(0,NETWORKDAYS.INTL(MAX(E223,(Reprogramaciones!$T$15+7*(Reprogramaciones!T$14-1))),MIN(F223,(Reprogramaciones!$T$15+7*(Reprogramaciones!T$14-1))+6),11))=0,0,MAX(0,NETWORKDAYS.INTL(MAX(E223,(Reprogramaciones!$T$15+7*(Reprogramaciones!T$14-1))),MIN(F223,Reprogramaciones!T$13),11))/MAX(0,NETWORKDAYS.INTL(MAX(E223,(Reprogramaciones!$T$15+7*(Reprogramaciones!T$14-1))),MIN(F223,(Reprogramaciones!$T$15+7*(Reprogramaciones!T$14-1))+6),11))))))))</f>
        <v/>
      </c>
      <c r="CD223" s="1" t="str">
        <f aca="false">IF(OR(NOT(AND(ISNUMBER(E223),ISNUMBER(F223))),$J$2=""),"",IF(Reprogramaciones!U$13&lt;Reprogramaciones!$T$15,0,IF(Reprogramaciones!U$14&gt;10,MIN(100,SUM($G223:$P223)),MIN(100,SUMPRODUCT((COLUMN($G223:$P223)-COLUMN($G223)+1&lt;Reprogramaciones!U$14)*$G223:$P223)+N(INDEX($G223:$P223,1,Reprogramaciones!U$14))*IF(Reprogramaciones!U$13&gt;=(Reprogramaciones!$T$15+7*(Reprogramaciones!U$14-1))+6,1,IF(MAX(0,NETWORKDAYS.INTL(MAX(E223,(Reprogramaciones!$T$15+7*(Reprogramaciones!U$14-1))),MIN(F223,(Reprogramaciones!$T$15+7*(Reprogramaciones!U$14-1))+6),11))=0,0,MAX(0,NETWORKDAYS.INTL(MAX(E223,(Reprogramaciones!$T$15+7*(Reprogramaciones!U$14-1))),MIN(F223,Reprogramaciones!U$13),11))/MAX(0,NETWORKDAYS.INTL(MAX(E223,(Reprogramaciones!$T$15+7*(Reprogramaciones!U$14-1))),MIN(F223,(Reprogramaciones!$T$15+7*(Reprogramaciones!U$14-1))+6),11))))))))</f>
        <v/>
      </c>
      <c r="CE223" s="1" t="str">
        <f aca="false">IF(OR(NOT(AND(ISNUMBER(E223),ISNUMBER(F223))),$J$2=""),"",IF(Reprogramaciones!V$13&lt;Reprogramaciones!$T$15,0,IF(Reprogramaciones!V$14&gt;10,MIN(100,SUM($G223:$P223)),MIN(100,SUMPRODUCT((COLUMN($G223:$P223)-COLUMN($G223)+1&lt;Reprogramaciones!V$14)*$G223:$P223)+N(INDEX($G223:$P223,1,Reprogramaciones!V$14))*IF(Reprogramaciones!V$13&gt;=(Reprogramaciones!$T$15+7*(Reprogramaciones!V$14-1))+6,1,IF(MAX(0,NETWORKDAYS.INTL(MAX(E223,(Reprogramaciones!$T$15+7*(Reprogramaciones!V$14-1))),MIN(F223,(Reprogramaciones!$T$15+7*(Reprogramaciones!V$14-1))+6),11))=0,0,MAX(0,NETWORKDAYS.INTL(MAX(E223,(Reprogramaciones!$T$15+7*(Reprogramaciones!V$14-1))),MIN(F223,Reprogramaciones!V$13),11))/MAX(0,NETWORKDAYS.INTL(MAX(E223,(Reprogramaciones!$T$15+7*(Reprogramaciones!V$14-1))),MIN(F223,(Reprogramaciones!$T$15+7*(Reprogramaciones!V$14-1))+6),11))))))))</f>
        <v/>
      </c>
      <c r="CF223" s="1" t="str">
        <f aca="false">IF(OR(NOT(AND(ISNUMBER(E223),ISNUMBER(F223))),$J$2=""),"",IF(Reprogramaciones!W$13&lt;Reprogramaciones!$T$15,0,IF(Reprogramaciones!W$14&gt;10,MIN(100,SUM($G223:$P223)),MIN(100,SUMPRODUCT((COLUMN($G223:$P223)-COLUMN($G223)+1&lt;Reprogramaciones!W$14)*$G223:$P223)+N(INDEX($G223:$P223,1,Reprogramaciones!W$14))*IF(Reprogramaciones!W$13&gt;=(Reprogramaciones!$T$15+7*(Reprogramaciones!W$14-1))+6,1,IF(MAX(0,NETWORKDAYS.INTL(MAX(E223,(Reprogramaciones!$T$15+7*(Reprogramaciones!W$14-1))),MIN(F223,(Reprogramaciones!$T$15+7*(Reprogramaciones!W$14-1))+6),11))=0,0,MAX(0,NETWORKDAYS.INTL(MAX(E223,(Reprogramaciones!$T$15+7*(Reprogramaciones!W$14-1))),MIN(F223,Reprogramaciones!W$13),11))/MAX(0,NETWORKDAYS.INTL(MAX(E223,(Reprogramaciones!$T$15+7*(Reprogramaciones!W$14-1))),MIN(F223,(Reprogramaciones!$T$15+7*(Reprogramaciones!W$14-1))+6),11))))))))</f>
        <v/>
      </c>
      <c r="CG223" s="1" t="str">
        <f aca="false">IF(OR(NOT(AND(ISNUMBER(E223),ISNUMBER(F223))),$J$2=""),"",IF(Reprogramaciones!X$13&lt;Reprogramaciones!$T$15,0,IF(Reprogramaciones!X$14&gt;10,MIN(100,SUM($G223:$P223)),MIN(100,SUMPRODUCT((COLUMN($G223:$P223)-COLUMN($G223)+1&lt;Reprogramaciones!X$14)*$G223:$P223)+N(INDEX($G223:$P223,1,Reprogramaciones!X$14))*IF(Reprogramaciones!X$13&gt;=(Reprogramaciones!$T$15+7*(Reprogramaciones!X$14-1))+6,1,IF(MAX(0,NETWORKDAYS.INTL(MAX(E223,(Reprogramaciones!$T$15+7*(Reprogramaciones!X$14-1))),MIN(F223,(Reprogramaciones!$T$15+7*(Reprogramaciones!X$14-1))+6),11))=0,0,MAX(0,NETWORKDAYS.INTL(MAX(E223,(Reprogramaciones!$T$15+7*(Reprogramaciones!X$14-1))),MIN(F223,Reprogramaciones!X$13),11))/MAX(0,NETWORKDAYS.INTL(MAX(E223,(Reprogramaciones!$T$15+7*(Reprogramaciones!X$14-1))),MIN(F223,(Reprogramaciones!$T$15+7*(Reprogramaciones!X$14-1))+6),11))))))))</f>
        <v/>
      </c>
      <c r="CH223" s="1" t="str">
        <f aca="false">IF(OR(NOT(AND(ISNUMBER(E223),ISNUMBER(F223))),$J$2=""),"",IF(Reprogramaciones!Y$13&lt;Reprogramaciones!$T$15,0,IF(Reprogramaciones!Y$14&gt;10,MIN(100,SUM($G223:$P223)),MIN(100,SUMPRODUCT((COLUMN($G223:$P223)-COLUMN($G223)+1&lt;Reprogramaciones!Y$14)*$G223:$P223)+N(INDEX($G223:$P223,1,Reprogramaciones!Y$14))*IF(Reprogramaciones!Y$13&gt;=(Reprogramaciones!$T$15+7*(Reprogramaciones!Y$14-1))+6,1,IF(MAX(0,NETWORKDAYS.INTL(MAX(E223,(Reprogramaciones!$T$15+7*(Reprogramaciones!Y$14-1))),MIN(F223,(Reprogramaciones!$T$15+7*(Reprogramaciones!Y$14-1))+6),11))=0,0,MAX(0,NETWORKDAYS.INTL(MAX(E223,(Reprogramaciones!$T$15+7*(Reprogramaciones!Y$14-1))),MIN(F223,Reprogramaciones!Y$13),11))/MAX(0,NETWORKDAYS.INTL(MAX(E223,(Reprogramaciones!$T$15+7*(Reprogramaciones!Y$14-1))),MIN(F223,(Reprogramaciones!$T$15+7*(Reprogramaciones!Y$14-1))+6),11))))))))</f>
        <v/>
      </c>
      <c r="CI223" s="1" t="str">
        <f aca="false">IF(OR(NOT(AND(ISNUMBER(E223),ISNUMBER(F223))),$J$2=""),"",IF(Reprogramaciones!Z$13&lt;Reprogramaciones!$T$15,0,IF(Reprogramaciones!Z$14&gt;10,MIN(100,SUM($G223:$P223)),MIN(100,SUMPRODUCT((COLUMN($G223:$P223)-COLUMN($G223)+1&lt;Reprogramaciones!Z$14)*$G223:$P223)+N(INDEX($G223:$P223,1,Reprogramaciones!Z$14))*IF(Reprogramaciones!Z$13&gt;=(Reprogramaciones!$T$15+7*(Reprogramaciones!Z$14-1))+6,1,IF(MAX(0,NETWORKDAYS.INTL(MAX(E223,(Reprogramaciones!$T$15+7*(Reprogramaciones!Z$14-1))),MIN(F223,(Reprogramaciones!$T$15+7*(Reprogramaciones!Z$14-1))+6),11))=0,0,MAX(0,NETWORKDAYS.INTL(MAX(E223,(Reprogramaciones!$T$15+7*(Reprogramaciones!Z$14-1))),MIN(F223,Reprogramaciones!Z$13),11))/MAX(0,NETWORKDAYS.INTL(MAX(E223,(Reprogramaciones!$T$15+7*(Reprogramaciones!Z$14-1))),MIN(F223,(Reprogramaciones!$T$15+7*(Reprogramaciones!Z$14-1))+6),11))))))))</f>
        <v/>
      </c>
      <c r="CJ223" s="1" t="str">
        <f aca="false">IF(OR(OR(NOT(AND(ISNUMBER(E223),ISNUMBER(F223))),$J$2=""),1&gt;Reprogramaciones!$K$16),"",IF(ROUND(SUM($Q223:Q223),1)&gt;=99.5,100,MIN(100,ROUND(SUM($Q223:Q223),1))))</f>
        <v/>
      </c>
      <c r="CK223" s="1" t="str">
        <f aca="false">IF(OR(OR(NOT(AND(ISNUMBER(E223),ISNUMBER(F223))),$J$2=""),2&gt;Reprogramaciones!$K$16),"",IF(ROUND(SUM($Q223:R223),1)&gt;=99.5,100,MIN(100,ROUND(SUM($Q223:R223),1))))</f>
        <v/>
      </c>
      <c r="CL223" s="1" t="str">
        <f aca="false">IF(OR(OR(NOT(AND(ISNUMBER(E223),ISNUMBER(F223))),$J$2=""),3&gt;Reprogramaciones!$K$16),"",IF(ROUND(SUM($Q223:S223),1)&gt;=99.5,100,MIN(100,ROUND(SUM($Q223:S223),1))))</f>
        <v/>
      </c>
      <c r="CM223" s="1" t="str">
        <f aca="false">IF(OR(OR(NOT(AND(ISNUMBER(E223),ISNUMBER(F223))),$J$2=""),4&gt;Reprogramaciones!$K$16),"",IF(ROUND(SUM($Q223:T223),1)&gt;=99.5,100,MIN(100,ROUND(SUM($Q223:T223),1))))</f>
        <v/>
      </c>
      <c r="CN223" s="1" t="str">
        <f aca="false">IF(OR(OR(NOT(AND(ISNUMBER(E223),ISNUMBER(F223))),$J$2=""),5&gt;Reprogramaciones!$K$16),"",IF(ROUND(SUM($Q223:U223),1)&gt;=99.5,100,MIN(100,ROUND(SUM($Q223:U223),1))))</f>
        <v/>
      </c>
      <c r="CO223" s="1" t="str">
        <f aca="false">IF(OR(OR(NOT(AND(ISNUMBER(E223),ISNUMBER(F223))),$J$2=""),6&gt;Reprogramaciones!$K$16),"",IF(ROUND(SUM($Q223:V223),1)&gt;=99.5,100,MIN(100,ROUND(SUM($Q223:V223),1))))</f>
        <v/>
      </c>
      <c r="CP223" s="1" t="str">
        <f aca="false">IF(OR(OR(NOT(AND(ISNUMBER(E223),ISNUMBER(F223))),$J$2=""),7&gt;Reprogramaciones!$K$16),"",IF(ROUND(SUM($Q223:W223),1)&gt;=99.5,100,MIN(100,ROUND(SUM($Q223:W223),1))))</f>
        <v/>
      </c>
      <c r="CQ223" s="1" t="str">
        <f aca="false">IF(OR(OR(NOT(AND(ISNUMBER(E223),ISNUMBER(F223))),$J$2=""),8&gt;Reprogramaciones!$K$16),"",IF(ROUND(SUM($Q223:X223),1)&gt;=99.5,100,MIN(100,ROUND(SUM($Q223:X223),1))))</f>
        <v/>
      </c>
      <c r="CR223" s="1" t="str">
        <f aca="false">IF(OR(OR(NOT(AND(ISNUMBER(E223),ISNUMBER(F223))),$J$2=""),9&gt;Reprogramaciones!$K$16),"",IF(ROUND(SUM($Q223:Y223),1)&gt;=99.5,100,MIN(100,ROUND(SUM($Q223:Y223),1))))</f>
        <v/>
      </c>
      <c r="CS223" s="1" t="str">
        <f aca="false">IF(OR(OR(NOT(AND(ISNUMBER(E223),ISNUMBER(F223))),$J$2=""),10&gt;Reprogramaciones!$K$16),"",IF(ROUND(SUM($Q223:Z223),1)&gt;=99.5,100,MIN(100,ROUND(SUM($Q223:Z223),1))))</f>
        <v/>
      </c>
      <c r="CT223" s="1" t="str">
        <f aca="false">IF(OR(OR(NOT(AND(ISNUMBER(E223),ISNUMBER(F223))),$J$2=""),11&gt;Reprogramaciones!$K$16),"",IF(ROUND(SUM($Q223:AA223),1)&gt;=99.5,100,MIN(100,ROUND(SUM($Q223:AA223),1))))</f>
        <v/>
      </c>
      <c r="CU223" s="1" t="str">
        <f aca="false">IF(OR(OR(NOT(AND(ISNUMBER(E223),ISNUMBER(F223))),$J$2=""),12&gt;Reprogramaciones!$K$16),"",IF(ROUND(SUM($Q223:AB223),1)&gt;=99.5,100,MIN(100,ROUND(SUM($Q223:AB223),1))))</f>
        <v/>
      </c>
      <c r="CV223" s="1" t="str">
        <f aca="false">IF(OR(OR(NOT(AND(ISNUMBER(E223),ISNUMBER(F223))),$J$2=""),13&gt;Reprogramaciones!$K$16),"",IF(ROUND(SUM($Q223:AC223),1)&gt;=99.5,100,MIN(100,ROUND(SUM($Q223:AC223),1))))</f>
        <v/>
      </c>
      <c r="CW223" s="1" t="str">
        <f aca="false">IF(OR(OR(NOT(AND(ISNUMBER(E223),ISNUMBER(F223))),$J$2=""),14&gt;Reprogramaciones!$K$16),"",IF(ROUND(SUM($Q223:AD223),1)&gt;=99.5,100,MIN(100,ROUND(SUM($Q223:AD223),1))))</f>
        <v/>
      </c>
      <c r="CX223" s="1" t="str">
        <f aca="false">IF(OR(OR(NOT(AND(ISNUMBER(E223),ISNUMBER(F223))),$J$2=""),15&gt;Reprogramaciones!$K$16),"",IF(ROUND(SUM($Q223:AE223),1)&gt;=99.5,100,MIN(100,ROUND(SUM($Q223:AE223),1))))</f>
        <v/>
      </c>
      <c r="CY223" s="1" t="str">
        <f aca="false">IF(OR(OR(NOT(AND(ISNUMBER(E223),ISNUMBER(F223))),$J$2=""),16&gt;Reprogramaciones!$K$16),"",IF(ROUND(SUM($Q223:AF223),1)&gt;=99.5,100,MIN(100,ROUND(SUM($Q223:AF223),1))))</f>
        <v/>
      </c>
      <c r="CZ223" s="1" t="str">
        <f aca="false">IF(D223&lt;&gt;"",D223,IF(B223&lt;&gt;"","Contractual",CZ222))</f>
        <v>Contractual</v>
      </c>
      <c r="DA223" s="1" t="str">
        <f aca="false">IF(OR(NOT(AND(ISNUMBER(E223),ISNUMBER(F223))),$J$2=""),"",IF(Reprogramaciones!$Q$15&lt;Reprogramaciones!$T$15,0,IF(Reprogramaciones!$S$15&gt;10,MIN(100,SUM($G223:$P223)),MIN(100,SUMPRODUCT((COLUMN($G223:$P223)-COLUMN($G223)+1&lt;Reprogramaciones!$S$15)*$G223:$P223)+N(INDEX($G223:$P223,1,Reprogramaciones!$S$15))*IF(Reprogramaciones!$Q$15&gt;=(Reprogramaciones!$T$15+7*(Reprogramaciones!$S$15-1))+6,1,IF(MAX(0,NETWORKDAYS.INTL(MAX(E223,(Reprogramaciones!$T$15+7*(Reprogramaciones!$S$15-1))),MIN(F223,(Reprogramaciones!$T$15+7*(Reprogramaciones!$S$15-1))+6),11))=0,0,MAX(0,NETWORKDAYS.INTL(MAX(E223,(Reprogramaciones!$T$15+7*(Reprogramaciones!$S$15-1))),MIN(F223,Reprogramaciones!$Q$15),11))/MAX(0,NETWORKDAYS.INTL(MAX(E223,(Reprogramaciones!$T$15+7*(Reprogramaciones!$S$15-1))),MIN(F223,(Reprogramaciones!$T$15+7*(Reprogramaciones!$S$15-1))+6),11))))))))</f>
        <v/>
      </c>
    </row>
    <row r="224" customFormat="false" ht="15" hidden="false" customHeight="false" outlineLevel="0" collapsed="false">
      <c r="A224" s="32"/>
      <c r="B224" s="33"/>
      <c r="C224" s="33"/>
      <c r="D224" s="34"/>
      <c r="E224" s="35"/>
      <c r="F224" s="35"/>
      <c r="G224" s="36" t="str">
        <f aca="false">IF(OR(NOT(AND(ISNUMBER(E224),ISNUMBER(F224))),$J$2=""),"",IF(Reprogramaciones!K$9&lt;E224,0,IF(NETWORKDAYS.INTL(E224,F224,11)=0,IF(Reprogramaciones!K$9&gt;=F224,100,0),ROUND(NETWORKDAYS.INTL(E224,MIN(F224,Reprogramaciones!K$9),11)/NETWORKDAYS.INTL(E224,F224,11)*100,1)))-0)</f>
        <v/>
      </c>
      <c r="H224" s="36" t="str">
        <f aca="false">IF(OR(NOT(AND(ISNUMBER(E224),ISNUMBER(F224))),$J$2=""),"",IF(Reprogramaciones!L$9&lt;E224,0,IF(NETWORKDAYS.INTL(E224,F224,11)=0,IF(Reprogramaciones!L$9&gt;=F224,100,0),ROUND(NETWORKDAYS.INTL(E224,MIN(F224,Reprogramaciones!L$9),11)/NETWORKDAYS.INTL(E224,F224,11)*100,1)))-IF(Reprogramaciones!K$9&lt;E224,0,IF(NETWORKDAYS.INTL(E224,F224,11)=0,IF(Reprogramaciones!K$9&gt;=F224,100,0),ROUND(NETWORKDAYS.INTL(E224,MIN(F224,Reprogramaciones!K$9),11)/NETWORKDAYS.INTL(E224,F224,11)*100,1))))</f>
        <v/>
      </c>
      <c r="I224" s="36" t="str">
        <f aca="false">IF(OR(NOT(AND(ISNUMBER(E224),ISNUMBER(F224))),$J$2=""),"",IF(Reprogramaciones!M$9&lt;E224,0,IF(NETWORKDAYS.INTL(E224,F224,11)=0,IF(Reprogramaciones!M$9&gt;=F224,100,0),ROUND(NETWORKDAYS.INTL(E224,MIN(F224,Reprogramaciones!M$9),11)/NETWORKDAYS.INTL(E224,F224,11)*100,1)))-IF(Reprogramaciones!L$9&lt;E224,0,IF(NETWORKDAYS.INTL(E224,F224,11)=0,IF(Reprogramaciones!L$9&gt;=F224,100,0),ROUND(NETWORKDAYS.INTL(E224,MIN(F224,Reprogramaciones!L$9),11)/NETWORKDAYS.INTL(E224,F224,11)*100,1))))</f>
        <v/>
      </c>
      <c r="J224" s="36" t="str">
        <f aca="false">IF(OR(NOT(AND(ISNUMBER(E224),ISNUMBER(F224))),$J$2=""),"",IF(Reprogramaciones!N$9&lt;E224,0,IF(NETWORKDAYS.INTL(E224,F224,11)=0,IF(Reprogramaciones!N$9&gt;=F224,100,0),ROUND(NETWORKDAYS.INTL(E224,MIN(F224,Reprogramaciones!N$9),11)/NETWORKDAYS.INTL(E224,F224,11)*100,1)))-IF(Reprogramaciones!M$9&lt;E224,0,IF(NETWORKDAYS.INTL(E224,F224,11)=0,IF(Reprogramaciones!M$9&gt;=F224,100,0),ROUND(NETWORKDAYS.INTL(E224,MIN(F224,Reprogramaciones!M$9),11)/NETWORKDAYS.INTL(E224,F224,11)*100,1))))</f>
        <v/>
      </c>
      <c r="K224" s="36" t="str">
        <f aca="false">IF(OR(NOT(AND(ISNUMBER(E224),ISNUMBER(F224))),$J$2=""),"",IF(Reprogramaciones!O$9&lt;E224,0,IF(NETWORKDAYS.INTL(E224,F224,11)=0,IF(Reprogramaciones!O$9&gt;=F224,100,0),ROUND(NETWORKDAYS.INTL(E224,MIN(F224,Reprogramaciones!O$9),11)/NETWORKDAYS.INTL(E224,F224,11)*100,1)))-IF(Reprogramaciones!N$9&lt;E224,0,IF(NETWORKDAYS.INTL(E224,F224,11)=0,IF(Reprogramaciones!N$9&gt;=F224,100,0),ROUND(NETWORKDAYS.INTL(E224,MIN(F224,Reprogramaciones!N$9),11)/NETWORKDAYS.INTL(E224,F224,11)*100,1))))</f>
        <v/>
      </c>
      <c r="L224" s="36" t="str">
        <f aca="false">IF(OR(NOT(AND(ISNUMBER(E224),ISNUMBER(F224))),$J$2=""),"",IF(Reprogramaciones!P$9&lt;E224,0,IF(NETWORKDAYS.INTL(E224,F224,11)=0,IF(Reprogramaciones!P$9&gt;=F224,100,0),ROUND(NETWORKDAYS.INTL(E224,MIN(F224,Reprogramaciones!P$9),11)/NETWORKDAYS.INTL(E224,F224,11)*100,1)))-IF(Reprogramaciones!O$9&lt;E224,0,IF(NETWORKDAYS.INTL(E224,F224,11)=0,IF(Reprogramaciones!O$9&gt;=F224,100,0),ROUND(NETWORKDAYS.INTL(E224,MIN(F224,Reprogramaciones!O$9),11)/NETWORKDAYS.INTL(E224,F224,11)*100,1))))</f>
        <v/>
      </c>
      <c r="M224" s="36" t="str">
        <f aca="false">IF(OR(NOT(AND(ISNUMBER(E224),ISNUMBER(F224))),$J$2=""),"",IF(Reprogramaciones!Q$9&lt;E224,0,IF(NETWORKDAYS.INTL(E224,F224,11)=0,IF(Reprogramaciones!Q$9&gt;=F224,100,0),ROUND(NETWORKDAYS.INTL(E224,MIN(F224,Reprogramaciones!Q$9),11)/NETWORKDAYS.INTL(E224,F224,11)*100,1)))-IF(Reprogramaciones!P$9&lt;E224,0,IF(NETWORKDAYS.INTL(E224,F224,11)=0,IF(Reprogramaciones!P$9&gt;=F224,100,0),ROUND(NETWORKDAYS.INTL(E224,MIN(F224,Reprogramaciones!P$9),11)/NETWORKDAYS.INTL(E224,F224,11)*100,1))))</f>
        <v/>
      </c>
      <c r="N224" s="36" t="str">
        <f aca="false">IF(OR(NOT(AND(ISNUMBER(E224),ISNUMBER(F224))),$J$2=""),"",IF(Reprogramaciones!R$9&lt;E224,0,IF(NETWORKDAYS.INTL(E224,F224,11)=0,IF(Reprogramaciones!R$9&gt;=F224,100,0),ROUND(NETWORKDAYS.INTL(E224,MIN(F224,Reprogramaciones!R$9),11)/NETWORKDAYS.INTL(E224,F224,11)*100,1)))-IF(Reprogramaciones!Q$9&lt;E224,0,IF(NETWORKDAYS.INTL(E224,F224,11)=0,IF(Reprogramaciones!Q$9&gt;=F224,100,0),ROUND(NETWORKDAYS.INTL(E224,MIN(F224,Reprogramaciones!Q$9),11)/NETWORKDAYS.INTL(E224,F224,11)*100,1))))</f>
        <v/>
      </c>
      <c r="O224" s="36" t="str">
        <f aca="false">IF(OR(NOT(AND(ISNUMBER(E224),ISNUMBER(F224))),$J$2=""),"",IF(Reprogramaciones!S$9&lt;E224,0,IF(NETWORKDAYS.INTL(E224,F224,11)=0,IF(Reprogramaciones!S$9&gt;=F224,100,0),ROUND(NETWORKDAYS.INTL(E224,MIN(F224,Reprogramaciones!S$9),11)/NETWORKDAYS.INTL(E224,F224,11)*100,1)))-IF(Reprogramaciones!R$9&lt;E224,0,IF(NETWORKDAYS.INTL(E224,F224,11)=0,IF(Reprogramaciones!R$9&gt;=F224,100,0),ROUND(NETWORKDAYS.INTL(E224,MIN(F224,Reprogramaciones!R$9),11)/NETWORKDAYS.INTL(E224,F224,11)*100,1))))</f>
        <v/>
      </c>
      <c r="P224" s="36" t="str">
        <f aca="false">IF(OR(NOT(AND(ISNUMBER(E224),ISNUMBER(F224))),$J$2=""),"",IF(Reprogramaciones!T$9&lt;E224,0,IF(NETWORKDAYS.INTL(E224,F224,11)=0,IF(Reprogramaciones!T$9&gt;=F224,100,0),ROUND(NETWORKDAYS.INTL(E224,MIN(F224,Reprogramaciones!T$9),11)/NETWORKDAYS.INTL(E224,F224,11)*100,1)))-IF(Reprogramaciones!S$9&lt;E224,0,IF(NETWORKDAYS.INTL(E224,F224,11)=0,IF(Reprogramaciones!S$9&gt;=F224,100,0),ROUND(NETWORKDAYS.INTL(E224,MIN(F224,Reprogramaciones!S$9),11)/NETWORKDAYS.INTL(E224,F224,11)*100,1))))</f>
        <v/>
      </c>
      <c r="Q224" s="37"/>
      <c r="R224" s="37"/>
      <c r="S224" s="37"/>
      <c r="T224" s="37"/>
      <c r="U224" s="37"/>
      <c r="V224" s="37"/>
      <c r="W224" s="37"/>
      <c r="X224" s="37"/>
      <c r="Y224" s="37"/>
      <c r="Z224" s="37"/>
      <c r="AA224" s="37"/>
      <c r="AB224" s="37"/>
      <c r="AC224" s="37"/>
      <c r="AD224" s="37"/>
      <c r="AE224" s="37"/>
      <c r="AF224" s="37"/>
      <c r="AG224" s="38" t="str">
        <f aca="false">IF(AND(ISNUMBER(E224),ISNUMBER(F224)),NETWORKDAYS.INTL(E224,F224,11),"")</f>
        <v/>
      </c>
      <c r="AH224" s="38" t="str">
        <f aca="false">IF(OR(NOT(AND(ISNUMBER(E224),ISNUMBER(F224))),$J$2=""),"",IF(Reprogramaciones!$P$15&lt;Reprogramaciones!$T$15,0,IF(Reprogramaciones!$R$15&gt;10,MIN(100,SUM($G224:$P224)),MIN(100,SUMPRODUCT((COLUMN($G224:$P224)-COLUMN($G224)+1&lt;Reprogramaciones!$R$15)*$G224:$P224)+N(INDEX($G224:$P224,1,Reprogramaciones!$R$15))*IF(Reprogramaciones!$P$15&gt;=(Reprogramaciones!$T$15+7*(Reprogramaciones!$R$15-1))+6,1,IF(MAX(0,NETWORKDAYS.INTL(MAX(E224,(Reprogramaciones!$T$15+7*(Reprogramaciones!$R$15-1))),MIN(F224,(Reprogramaciones!$T$15+7*(Reprogramaciones!$R$15-1))+6),11))=0,0,MAX(0,NETWORKDAYS.INTL(MAX(E224,(Reprogramaciones!$T$15+7*(Reprogramaciones!$R$15-1))),MIN(F224,Reprogramaciones!$P$15),11))/MAX(0,NETWORKDAYS.INTL(MAX(E224,(Reprogramaciones!$T$15+7*(Reprogramaciones!$R$15-1))),MIN(F224,(Reprogramaciones!$T$15+7*(Reprogramaciones!$R$15-1))+6),11))))))))</f>
        <v/>
      </c>
      <c r="AI224" s="38" t="str">
        <f aca="false">IF(COUNT($Q224:$AF224)=0,"",IF(ROUND(SUM($Q224:$AF224),1)&gt;=99.5,100,MIN(100,ROUND(SUM($Q224:$AF224),1))))</f>
        <v/>
      </c>
      <c r="AJ224" s="38" t="str">
        <f aca="false">IF(OR(AH224="",AI224=""),"",AI224-AH224)</f>
        <v/>
      </c>
      <c r="AK224" s="39" t="str">
        <f aca="true">IF(AH224="","",IF(OR(Ficha!$C$10="Suspendida",Ficha!$C$10="Cancelada"),Ficha!$C$10,IF(AND(AI224&lt;&gt;"",N(AI224)&gt;=100),"Completada",IF(AND(E224&gt;TODAY(),N(AI224)=0),"Por iniciar",IF(N(AI224)+0.5&lt;AH224,"Retrasada",IF(N(AI224)+0.5&lt;DA224,IF(Reprogramaciones!$K$15&gt;0,"Al día · Sem "&amp;Reprogramaciones!$K$15&amp;" en curso","Al día · en curso"),"A tiempo"))))))</f>
        <v/>
      </c>
      <c r="AL224" s="39" t="str">
        <f aca="true">IF(AND(A224="",AND(B224="",C224="",E224="",F224="",COUNT(Q224:AF224)=0)),"",IF(AND(B224="",C224="",E224="",F224="",COUNT(Q224:AF224)=0),"Falta la partida o subpartida",IF(AND(A224&lt;&gt;"",COUNTIF($A$6:$A$305,A224)&gt;1),"Ítem repetido",IF(AND(C224="",E224="",F224="",COUNT(Q224:AF224)=0),"Título de partida",IF(OR(E224="",F224=""),"Faltan fechas",IF(OR(ISTEXT(E224),ISTEXT(F224)),"Fecha escrita como texto: usa dd/mm/aaaa",IF(F224&lt;E224,"Fin antes del inicio",IF(IF($J$2="",FALSE(),OR(E224&lt;$J$2,F224&gt;Reprogramaciones!$T$15+69)),"Fuera de las 10 semanas",IF(ABS(SUM(G224:P224)-100)&gt;0.5,"La meta no suma 100%",IF(ROUND(SUM(Q224:AF224),1)&gt;100.5,"El avance pasa de 100%",IF(MIN(Q224:AF224)&lt;0,"Avance negativo",IF(COUNTA(Q224:AF224)&gt;COUNT(Q224:AF224),"Avance escrito como texto",IF(SUMPRODUCT((Q224:AF224&gt;0)*(Q224:AF224&lt;1))&gt;0,"Avance menor a 1: escribe 50, no 50%",IF(SUMPRODUCT(ISNUMBER(Q224:AF224)*(Reprogramaciones!$K$8:$Z$8&gt;TODAY()))&gt;0,"Avance en semana que aún no llega",IF(AND(N(Reprogramaciones!$E$21)&gt;0,F224&gt;Reprogramaciones!$E$21),"Pasa el fin de la obra: registra una reprogramación",IF(AND(N(Reprogramaciones!$E$21)&gt;0,SUMPRODUCT(ISNUMBER(Q224:AF224)*(Reprogramaciones!$K$8:$Z$8&gt;Reprogramaciones!$E$21))&gt;0),"Avance después del fin de la obra: registra una reprogramación por atraso","OK"))))))))))))))))</f>
        <v/>
      </c>
      <c r="AM224" s="40" t="str">
        <f aca="false">IF(OR(OR(NOT(AND(ISNUMBER(E224),ISNUMBER(F224))),$J$2=""),1&gt;MAX(1,Reprogramaciones!$U$15)),"",IF(Reprogramaciones!K$12&gt;=7,"",IF(OR(BT224-N(0)&gt;0.05,N(Q224)&gt;0),ROUNDDOWN(ROUND(BT224,6),0)&amp;"%"&amp;IF(CJ224="",""," / "&amp;CJ224&amp;"%"),IF(AND(N(0)&gt;=99.95,CJ224&lt;&gt;"",N(CJ224)&lt;100),"Pend. "&amp;CJ224&amp;"%",""))))</f>
        <v/>
      </c>
      <c r="AN224" s="40" t="str">
        <f aca="false">IF(OR(OR(NOT(AND(ISNUMBER(E224),ISNUMBER(F224))),$J$2=""),2&gt;MAX(1,Reprogramaciones!$U$15)),"",IF(Reprogramaciones!L$12&gt;=7,"",IF(OR(BU224-N(BT224)&gt;0.05,N(R224)&gt;0),ROUNDDOWN(ROUND(BU224,6),0)&amp;"%"&amp;IF(CK224="",""," / "&amp;CK224&amp;"%"),IF(AND(N(BT224)&gt;=99.95,CK224&lt;&gt;"",N(CK224)&lt;100),"Pend. "&amp;CK224&amp;"%",""))))</f>
        <v/>
      </c>
      <c r="AO224" s="40" t="str">
        <f aca="false">IF(OR(OR(NOT(AND(ISNUMBER(E224),ISNUMBER(F224))),$J$2=""),3&gt;MAX(1,Reprogramaciones!$U$15)),"",IF(Reprogramaciones!M$12&gt;=7,"",IF(OR(BV224-N(BU224)&gt;0.05,N(S224)&gt;0),ROUNDDOWN(ROUND(BV224,6),0)&amp;"%"&amp;IF(CL224="",""," / "&amp;CL224&amp;"%"),IF(AND(N(BU224)&gt;=99.95,CL224&lt;&gt;"",N(CL224)&lt;100),"Pend. "&amp;CL224&amp;"%",""))))</f>
        <v/>
      </c>
      <c r="AP224" s="40" t="str">
        <f aca="false">IF(OR(OR(NOT(AND(ISNUMBER(E224),ISNUMBER(F224))),$J$2=""),4&gt;MAX(1,Reprogramaciones!$U$15)),"",IF(Reprogramaciones!N$12&gt;=7,"",IF(OR(BW224-N(BV224)&gt;0.05,N(T224)&gt;0),ROUNDDOWN(ROUND(BW224,6),0)&amp;"%"&amp;IF(CM224="",""," / "&amp;CM224&amp;"%"),IF(AND(N(BV224)&gt;=99.95,CM224&lt;&gt;"",N(CM224)&lt;100),"Pend. "&amp;CM224&amp;"%",""))))</f>
        <v/>
      </c>
      <c r="AQ224" s="40" t="str">
        <f aca="false">IF(OR(OR(NOT(AND(ISNUMBER(E224),ISNUMBER(F224))),$J$2=""),5&gt;MAX(1,Reprogramaciones!$U$15)),"",IF(Reprogramaciones!O$12&gt;=7,"",IF(OR(BX224-N(BW224)&gt;0.05,N(U224)&gt;0),ROUNDDOWN(ROUND(BX224,6),0)&amp;"%"&amp;IF(CN224="",""," / "&amp;CN224&amp;"%"),IF(AND(N(BW224)&gt;=99.95,CN224&lt;&gt;"",N(CN224)&lt;100),"Pend. "&amp;CN224&amp;"%",""))))</f>
        <v/>
      </c>
      <c r="AR224" s="40" t="str">
        <f aca="false">IF(OR(OR(NOT(AND(ISNUMBER(E224),ISNUMBER(F224))),$J$2=""),6&gt;MAX(1,Reprogramaciones!$U$15)),"",IF(Reprogramaciones!P$12&gt;=7,"",IF(OR(BY224-N(BX224)&gt;0.05,N(V224)&gt;0),ROUNDDOWN(ROUND(BY224,6),0)&amp;"%"&amp;IF(CO224="",""," / "&amp;CO224&amp;"%"),IF(AND(N(BX224)&gt;=99.95,CO224&lt;&gt;"",N(CO224)&lt;100),"Pend. "&amp;CO224&amp;"%",""))))</f>
        <v/>
      </c>
      <c r="AS224" s="40" t="str">
        <f aca="false">IF(OR(OR(NOT(AND(ISNUMBER(E224),ISNUMBER(F224))),$J$2=""),7&gt;MAX(1,Reprogramaciones!$U$15)),"",IF(Reprogramaciones!Q$12&gt;=7,"",IF(OR(BZ224-N(BY224)&gt;0.05,N(W224)&gt;0),ROUNDDOWN(ROUND(BZ224,6),0)&amp;"%"&amp;IF(CP224="",""," / "&amp;CP224&amp;"%"),IF(AND(N(BY224)&gt;=99.95,CP224&lt;&gt;"",N(CP224)&lt;100),"Pend. "&amp;CP224&amp;"%",""))))</f>
        <v/>
      </c>
      <c r="AT224" s="40" t="str">
        <f aca="false">IF(OR(OR(NOT(AND(ISNUMBER(E224),ISNUMBER(F224))),$J$2=""),8&gt;MAX(1,Reprogramaciones!$U$15)),"",IF(Reprogramaciones!R$12&gt;=7,"",IF(OR(CA224-N(BZ224)&gt;0.05,N(X224)&gt;0),ROUNDDOWN(ROUND(CA224,6),0)&amp;"%"&amp;IF(CQ224="",""," / "&amp;CQ224&amp;"%"),IF(AND(N(BZ224)&gt;=99.95,CQ224&lt;&gt;"",N(CQ224)&lt;100),"Pend. "&amp;CQ224&amp;"%",""))))</f>
        <v/>
      </c>
      <c r="AU224" s="40" t="str">
        <f aca="false">IF(OR(OR(NOT(AND(ISNUMBER(E224),ISNUMBER(F224))),$J$2=""),9&gt;MAX(1,Reprogramaciones!$U$15)),"",IF(Reprogramaciones!S$12&gt;=7,"",IF(OR(CB224-N(CA224)&gt;0.05,N(Y224)&gt;0),ROUNDDOWN(ROUND(CB224,6),0)&amp;"%"&amp;IF(CR224="",""," / "&amp;CR224&amp;"%"),IF(AND(N(CA224)&gt;=99.95,CR224&lt;&gt;"",N(CR224)&lt;100),"Pend. "&amp;CR224&amp;"%",""))))</f>
        <v/>
      </c>
      <c r="AV224" s="40" t="str">
        <f aca="false">IF(OR(OR(NOT(AND(ISNUMBER(E224),ISNUMBER(F224))),$J$2=""),10&gt;MAX(1,Reprogramaciones!$U$15)),"",IF(Reprogramaciones!T$12&gt;=7,"",IF(OR(CC224-N(CB224)&gt;0.05,N(Z224)&gt;0),ROUNDDOWN(ROUND(CC224,6),0)&amp;"%"&amp;IF(CS224="",""," / "&amp;CS224&amp;"%"),IF(AND(N(CB224)&gt;=99.95,CS224&lt;&gt;"",N(CS224)&lt;100),"Pend. "&amp;CS224&amp;"%",""))))</f>
        <v/>
      </c>
      <c r="AW224" s="40" t="str">
        <f aca="false">IF(OR(OR(NOT(AND(ISNUMBER(E224),ISNUMBER(F224))),$J$2=""),11&gt;MAX(1,Reprogramaciones!$U$15)),"",IF(Reprogramaciones!U$12&gt;=7,"",IF(OR(CD224-N(CC224)&gt;0.05,N(AA224)&gt;0),ROUNDDOWN(ROUND(CD224,6),0)&amp;"%"&amp;IF(CT224="",""," / "&amp;CT224&amp;"%"),IF(AND(N(CC224)&gt;=99.95,CT224&lt;&gt;"",N(CT224)&lt;100),"Pend. "&amp;CT224&amp;"%",""))))</f>
        <v/>
      </c>
      <c r="AX224" s="40" t="str">
        <f aca="false">IF(OR(OR(NOT(AND(ISNUMBER(E224),ISNUMBER(F224))),$J$2=""),12&gt;MAX(1,Reprogramaciones!$U$15)),"",IF(Reprogramaciones!V$12&gt;=7,"",IF(OR(CE224-N(CD224)&gt;0.05,N(AB224)&gt;0),ROUNDDOWN(ROUND(CE224,6),0)&amp;"%"&amp;IF(CU224="",""," / "&amp;CU224&amp;"%"),IF(AND(N(CD224)&gt;=99.95,CU224&lt;&gt;"",N(CU224)&lt;100),"Pend. "&amp;CU224&amp;"%",""))))</f>
        <v/>
      </c>
      <c r="AY224" s="40" t="str">
        <f aca="false">IF(OR(OR(NOT(AND(ISNUMBER(E224),ISNUMBER(F224))),$J$2=""),13&gt;MAX(1,Reprogramaciones!$U$15)),"",IF(Reprogramaciones!W$12&gt;=7,"",IF(OR(CF224-N(CE224)&gt;0.05,N(AC224)&gt;0),ROUNDDOWN(ROUND(CF224,6),0)&amp;"%"&amp;IF(CV224="",""," / "&amp;CV224&amp;"%"),IF(AND(N(CE224)&gt;=99.95,CV224&lt;&gt;"",N(CV224)&lt;100),"Pend. "&amp;CV224&amp;"%",""))))</f>
        <v/>
      </c>
      <c r="AZ224" s="40" t="str">
        <f aca="false">IF(OR(OR(NOT(AND(ISNUMBER(E224),ISNUMBER(F224))),$J$2=""),14&gt;MAX(1,Reprogramaciones!$U$15)),"",IF(Reprogramaciones!X$12&gt;=7,"",IF(OR(CG224-N(CF224)&gt;0.05,N(AD224)&gt;0),ROUNDDOWN(ROUND(CG224,6),0)&amp;"%"&amp;IF(CW224="",""," / "&amp;CW224&amp;"%"),IF(AND(N(CF224)&gt;=99.95,CW224&lt;&gt;"",N(CW224)&lt;100),"Pend. "&amp;CW224&amp;"%",""))))</f>
        <v/>
      </c>
      <c r="BA224" s="40" t="str">
        <f aca="false">IF(OR(OR(NOT(AND(ISNUMBER(E224),ISNUMBER(F224))),$J$2=""),15&gt;MAX(1,Reprogramaciones!$U$15)),"",IF(Reprogramaciones!Y$12&gt;=7,"",IF(OR(CH224-N(CG224)&gt;0.05,N(AE224)&gt;0),ROUNDDOWN(ROUND(CH224,6),0)&amp;"%"&amp;IF(CX224="",""," / "&amp;CX224&amp;"%"),IF(AND(N(CG224)&gt;=99.95,CX224&lt;&gt;"",N(CX224)&lt;100),"Pend. "&amp;CX224&amp;"%",""))))</f>
        <v/>
      </c>
      <c r="BB224" s="40" t="str">
        <f aca="false">IF(OR(OR(NOT(AND(ISNUMBER(E224),ISNUMBER(F224))),$J$2=""),16&gt;MAX(1,Reprogramaciones!$U$15)),"",IF(Reprogramaciones!Z$12&gt;=7,"",IF(OR(CI224-N(CH224)&gt;0.05,N(AF224)&gt;0),ROUNDDOWN(ROUND(CI224,6),0)&amp;"%"&amp;IF(CY224="",""," / "&amp;CY224&amp;"%"),IF(AND(N(CH224)&gt;=99.95,CY224&lt;&gt;"",N(CY224)&lt;100),"Pend. "&amp;CY224&amp;"%",""))))</f>
        <v/>
      </c>
      <c r="BC224" s="31" t="n">
        <f aca="false">IF(AND(ISNUMBER(E224),ISNUMBER(F224)),MAX(1,NETWORKDAYS.INTL(E224,F224,11)),0)</f>
        <v>0</v>
      </c>
      <c r="BD224" s="1" t="str">
        <f aca="false">IF(OR(NOT(AND(ISNUMBER(E224),ISNUMBER(F224))),$J$2=""),"",MIN(100,ROUND(SUM($G224:G224),1)))</f>
        <v/>
      </c>
      <c r="BE224" s="1" t="str">
        <f aca="false">IF(OR(NOT(AND(ISNUMBER(E224),ISNUMBER(F224))),$J$2=""),"",MIN(100,ROUND(SUM($G224:H224),1)))</f>
        <v/>
      </c>
      <c r="BF224" s="1" t="str">
        <f aca="false">IF(OR(NOT(AND(ISNUMBER(E224),ISNUMBER(F224))),$J$2=""),"",MIN(100,ROUND(SUM($G224:I224),1)))</f>
        <v/>
      </c>
      <c r="BG224" s="1" t="str">
        <f aca="false">IF(OR(NOT(AND(ISNUMBER(E224),ISNUMBER(F224))),$J$2=""),"",MIN(100,ROUND(SUM($G224:J224),1)))</f>
        <v/>
      </c>
      <c r="BH224" s="1" t="str">
        <f aca="false">IF(OR(NOT(AND(ISNUMBER(E224),ISNUMBER(F224))),$J$2=""),"",MIN(100,ROUND(SUM($G224:K224),1)))</f>
        <v/>
      </c>
      <c r="BI224" s="1" t="str">
        <f aca="false">IF(OR(NOT(AND(ISNUMBER(E224),ISNUMBER(F224))),$J$2=""),"",MIN(100,ROUND(SUM($G224:L224),1)))</f>
        <v/>
      </c>
      <c r="BJ224" s="1" t="str">
        <f aca="false">IF(OR(NOT(AND(ISNUMBER(E224),ISNUMBER(F224))),$J$2=""),"",MIN(100,ROUND(SUM($G224:M224),1)))</f>
        <v/>
      </c>
      <c r="BK224" s="1" t="str">
        <f aca="false">IF(OR(NOT(AND(ISNUMBER(E224),ISNUMBER(F224))),$J$2=""),"",MIN(100,ROUND(SUM($G224:N224),1)))</f>
        <v/>
      </c>
      <c r="BL224" s="1" t="str">
        <f aca="false">IF(OR(NOT(AND(ISNUMBER(E224),ISNUMBER(F224))),$J$2=""),"",MIN(100,ROUND(SUM($G224:O224),1)))</f>
        <v/>
      </c>
      <c r="BM224" s="1" t="str">
        <f aca="false">IF(OR(NOT(AND(ISNUMBER(E224),ISNUMBER(F224))),$J$2=""),"",MIN(100,ROUND(SUM($G224:P224),1)))</f>
        <v/>
      </c>
      <c r="BN224" s="1" t="str">
        <f aca="false">IF(OR(NOT(AND(ISNUMBER(E224),ISNUMBER(F224))),$J$2=""),"",MIN(100,ROUND(SUM($G224:P224),1)))</f>
        <v/>
      </c>
      <c r="BO224" s="1" t="str">
        <f aca="false">IF(OR(NOT(AND(ISNUMBER(E224),ISNUMBER(F224))),$J$2=""),"",MIN(100,ROUND(SUM($G224:P224),1)))</f>
        <v/>
      </c>
      <c r="BP224" s="1" t="str">
        <f aca="false">IF(OR(NOT(AND(ISNUMBER(E224),ISNUMBER(F224))),$J$2=""),"",MIN(100,ROUND(SUM($G224:P224),1)))</f>
        <v/>
      </c>
      <c r="BQ224" s="1" t="str">
        <f aca="false">IF(OR(NOT(AND(ISNUMBER(E224),ISNUMBER(F224))),$J$2=""),"",MIN(100,ROUND(SUM($G224:P224),1)))</f>
        <v/>
      </c>
      <c r="BR224" s="1" t="str">
        <f aca="false">IF(OR(NOT(AND(ISNUMBER(E224),ISNUMBER(F224))),$J$2=""),"",MIN(100,ROUND(SUM($G224:P224),1)))</f>
        <v/>
      </c>
      <c r="BS224" s="1" t="str">
        <f aca="false">IF(OR(NOT(AND(ISNUMBER(E224),ISNUMBER(F224))),$J$2=""),"",MIN(100,ROUND(SUM($G224:P224),1)))</f>
        <v/>
      </c>
      <c r="BT224" s="1" t="str">
        <f aca="false">IF(OR(NOT(AND(ISNUMBER(E224),ISNUMBER(F224))),$J$2=""),"",IF(Reprogramaciones!K$13&lt;Reprogramaciones!$T$15,0,IF(Reprogramaciones!K$14&gt;10,MIN(100,SUM($G224:$P224)),MIN(100,SUMPRODUCT((COLUMN($G224:$P224)-COLUMN($G224)+1&lt;Reprogramaciones!K$14)*$G224:$P224)+N(INDEX($G224:$P224,1,Reprogramaciones!K$14))*IF(Reprogramaciones!K$13&gt;=(Reprogramaciones!$T$15+7*(Reprogramaciones!K$14-1))+6,1,IF(MAX(0,NETWORKDAYS.INTL(MAX(E224,(Reprogramaciones!$T$15+7*(Reprogramaciones!K$14-1))),MIN(F224,(Reprogramaciones!$T$15+7*(Reprogramaciones!K$14-1))+6),11))=0,0,MAX(0,NETWORKDAYS.INTL(MAX(E224,(Reprogramaciones!$T$15+7*(Reprogramaciones!K$14-1))),MIN(F224,Reprogramaciones!K$13),11))/MAX(0,NETWORKDAYS.INTL(MAX(E224,(Reprogramaciones!$T$15+7*(Reprogramaciones!K$14-1))),MIN(F224,(Reprogramaciones!$T$15+7*(Reprogramaciones!K$14-1))+6),11))))))))</f>
        <v/>
      </c>
      <c r="BU224" s="1" t="str">
        <f aca="false">IF(OR(NOT(AND(ISNUMBER(E224),ISNUMBER(F224))),$J$2=""),"",IF(Reprogramaciones!L$13&lt;Reprogramaciones!$T$15,0,IF(Reprogramaciones!L$14&gt;10,MIN(100,SUM($G224:$P224)),MIN(100,SUMPRODUCT((COLUMN($G224:$P224)-COLUMN($G224)+1&lt;Reprogramaciones!L$14)*$G224:$P224)+N(INDEX($G224:$P224,1,Reprogramaciones!L$14))*IF(Reprogramaciones!L$13&gt;=(Reprogramaciones!$T$15+7*(Reprogramaciones!L$14-1))+6,1,IF(MAX(0,NETWORKDAYS.INTL(MAX(E224,(Reprogramaciones!$T$15+7*(Reprogramaciones!L$14-1))),MIN(F224,(Reprogramaciones!$T$15+7*(Reprogramaciones!L$14-1))+6),11))=0,0,MAX(0,NETWORKDAYS.INTL(MAX(E224,(Reprogramaciones!$T$15+7*(Reprogramaciones!L$14-1))),MIN(F224,Reprogramaciones!L$13),11))/MAX(0,NETWORKDAYS.INTL(MAX(E224,(Reprogramaciones!$T$15+7*(Reprogramaciones!L$14-1))),MIN(F224,(Reprogramaciones!$T$15+7*(Reprogramaciones!L$14-1))+6),11))))))))</f>
        <v/>
      </c>
      <c r="BV224" s="1" t="str">
        <f aca="false">IF(OR(NOT(AND(ISNUMBER(E224),ISNUMBER(F224))),$J$2=""),"",IF(Reprogramaciones!M$13&lt;Reprogramaciones!$T$15,0,IF(Reprogramaciones!M$14&gt;10,MIN(100,SUM($G224:$P224)),MIN(100,SUMPRODUCT((COLUMN($G224:$P224)-COLUMN($G224)+1&lt;Reprogramaciones!M$14)*$G224:$P224)+N(INDEX($G224:$P224,1,Reprogramaciones!M$14))*IF(Reprogramaciones!M$13&gt;=(Reprogramaciones!$T$15+7*(Reprogramaciones!M$14-1))+6,1,IF(MAX(0,NETWORKDAYS.INTL(MAX(E224,(Reprogramaciones!$T$15+7*(Reprogramaciones!M$14-1))),MIN(F224,(Reprogramaciones!$T$15+7*(Reprogramaciones!M$14-1))+6),11))=0,0,MAX(0,NETWORKDAYS.INTL(MAX(E224,(Reprogramaciones!$T$15+7*(Reprogramaciones!M$14-1))),MIN(F224,Reprogramaciones!M$13),11))/MAX(0,NETWORKDAYS.INTL(MAX(E224,(Reprogramaciones!$T$15+7*(Reprogramaciones!M$14-1))),MIN(F224,(Reprogramaciones!$T$15+7*(Reprogramaciones!M$14-1))+6),11))))))))</f>
        <v/>
      </c>
      <c r="BW224" s="1" t="str">
        <f aca="false">IF(OR(NOT(AND(ISNUMBER(E224),ISNUMBER(F224))),$J$2=""),"",IF(Reprogramaciones!N$13&lt;Reprogramaciones!$T$15,0,IF(Reprogramaciones!N$14&gt;10,MIN(100,SUM($G224:$P224)),MIN(100,SUMPRODUCT((COLUMN($G224:$P224)-COLUMN($G224)+1&lt;Reprogramaciones!N$14)*$G224:$P224)+N(INDEX($G224:$P224,1,Reprogramaciones!N$14))*IF(Reprogramaciones!N$13&gt;=(Reprogramaciones!$T$15+7*(Reprogramaciones!N$14-1))+6,1,IF(MAX(0,NETWORKDAYS.INTL(MAX(E224,(Reprogramaciones!$T$15+7*(Reprogramaciones!N$14-1))),MIN(F224,(Reprogramaciones!$T$15+7*(Reprogramaciones!N$14-1))+6),11))=0,0,MAX(0,NETWORKDAYS.INTL(MAX(E224,(Reprogramaciones!$T$15+7*(Reprogramaciones!N$14-1))),MIN(F224,Reprogramaciones!N$13),11))/MAX(0,NETWORKDAYS.INTL(MAX(E224,(Reprogramaciones!$T$15+7*(Reprogramaciones!N$14-1))),MIN(F224,(Reprogramaciones!$T$15+7*(Reprogramaciones!N$14-1))+6),11))))))))</f>
        <v/>
      </c>
      <c r="BX224" s="1" t="str">
        <f aca="false">IF(OR(NOT(AND(ISNUMBER(E224),ISNUMBER(F224))),$J$2=""),"",IF(Reprogramaciones!O$13&lt;Reprogramaciones!$T$15,0,IF(Reprogramaciones!O$14&gt;10,MIN(100,SUM($G224:$P224)),MIN(100,SUMPRODUCT((COLUMN($G224:$P224)-COLUMN($G224)+1&lt;Reprogramaciones!O$14)*$G224:$P224)+N(INDEX($G224:$P224,1,Reprogramaciones!O$14))*IF(Reprogramaciones!O$13&gt;=(Reprogramaciones!$T$15+7*(Reprogramaciones!O$14-1))+6,1,IF(MAX(0,NETWORKDAYS.INTL(MAX(E224,(Reprogramaciones!$T$15+7*(Reprogramaciones!O$14-1))),MIN(F224,(Reprogramaciones!$T$15+7*(Reprogramaciones!O$14-1))+6),11))=0,0,MAX(0,NETWORKDAYS.INTL(MAX(E224,(Reprogramaciones!$T$15+7*(Reprogramaciones!O$14-1))),MIN(F224,Reprogramaciones!O$13),11))/MAX(0,NETWORKDAYS.INTL(MAX(E224,(Reprogramaciones!$T$15+7*(Reprogramaciones!O$14-1))),MIN(F224,(Reprogramaciones!$T$15+7*(Reprogramaciones!O$14-1))+6),11))))))))</f>
        <v/>
      </c>
      <c r="BY224" s="1" t="str">
        <f aca="false">IF(OR(NOT(AND(ISNUMBER(E224),ISNUMBER(F224))),$J$2=""),"",IF(Reprogramaciones!P$13&lt;Reprogramaciones!$T$15,0,IF(Reprogramaciones!P$14&gt;10,MIN(100,SUM($G224:$P224)),MIN(100,SUMPRODUCT((COLUMN($G224:$P224)-COLUMN($G224)+1&lt;Reprogramaciones!P$14)*$G224:$P224)+N(INDEX($G224:$P224,1,Reprogramaciones!P$14))*IF(Reprogramaciones!P$13&gt;=(Reprogramaciones!$T$15+7*(Reprogramaciones!P$14-1))+6,1,IF(MAX(0,NETWORKDAYS.INTL(MAX(E224,(Reprogramaciones!$T$15+7*(Reprogramaciones!P$14-1))),MIN(F224,(Reprogramaciones!$T$15+7*(Reprogramaciones!P$14-1))+6),11))=0,0,MAX(0,NETWORKDAYS.INTL(MAX(E224,(Reprogramaciones!$T$15+7*(Reprogramaciones!P$14-1))),MIN(F224,Reprogramaciones!P$13),11))/MAX(0,NETWORKDAYS.INTL(MAX(E224,(Reprogramaciones!$T$15+7*(Reprogramaciones!P$14-1))),MIN(F224,(Reprogramaciones!$T$15+7*(Reprogramaciones!P$14-1))+6),11))))))))</f>
        <v/>
      </c>
      <c r="BZ224" s="1" t="str">
        <f aca="false">IF(OR(NOT(AND(ISNUMBER(E224),ISNUMBER(F224))),$J$2=""),"",IF(Reprogramaciones!Q$13&lt;Reprogramaciones!$T$15,0,IF(Reprogramaciones!Q$14&gt;10,MIN(100,SUM($G224:$P224)),MIN(100,SUMPRODUCT((COLUMN($G224:$P224)-COLUMN($G224)+1&lt;Reprogramaciones!Q$14)*$G224:$P224)+N(INDEX($G224:$P224,1,Reprogramaciones!Q$14))*IF(Reprogramaciones!Q$13&gt;=(Reprogramaciones!$T$15+7*(Reprogramaciones!Q$14-1))+6,1,IF(MAX(0,NETWORKDAYS.INTL(MAX(E224,(Reprogramaciones!$T$15+7*(Reprogramaciones!Q$14-1))),MIN(F224,(Reprogramaciones!$T$15+7*(Reprogramaciones!Q$14-1))+6),11))=0,0,MAX(0,NETWORKDAYS.INTL(MAX(E224,(Reprogramaciones!$T$15+7*(Reprogramaciones!Q$14-1))),MIN(F224,Reprogramaciones!Q$13),11))/MAX(0,NETWORKDAYS.INTL(MAX(E224,(Reprogramaciones!$T$15+7*(Reprogramaciones!Q$14-1))),MIN(F224,(Reprogramaciones!$T$15+7*(Reprogramaciones!Q$14-1))+6),11))))))))</f>
        <v/>
      </c>
      <c r="CA224" s="1" t="str">
        <f aca="false">IF(OR(NOT(AND(ISNUMBER(E224),ISNUMBER(F224))),$J$2=""),"",IF(Reprogramaciones!R$13&lt;Reprogramaciones!$T$15,0,IF(Reprogramaciones!R$14&gt;10,MIN(100,SUM($G224:$P224)),MIN(100,SUMPRODUCT((COLUMN($G224:$P224)-COLUMN($G224)+1&lt;Reprogramaciones!R$14)*$G224:$P224)+N(INDEX($G224:$P224,1,Reprogramaciones!R$14))*IF(Reprogramaciones!R$13&gt;=(Reprogramaciones!$T$15+7*(Reprogramaciones!R$14-1))+6,1,IF(MAX(0,NETWORKDAYS.INTL(MAX(E224,(Reprogramaciones!$T$15+7*(Reprogramaciones!R$14-1))),MIN(F224,(Reprogramaciones!$T$15+7*(Reprogramaciones!R$14-1))+6),11))=0,0,MAX(0,NETWORKDAYS.INTL(MAX(E224,(Reprogramaciones!$T$15+7*(Reprogramaciones!R$14-1))),MIN(F224,Reprogramaciones!R$13),11))/MAX(0,NETWORKDAYS.INTL(MAX(E224,(Reprogramaciones!$T$15+7*(Reprogramaciones!R$14-1))),MIN(F224,(Reprogramaciones!$T$15+7*(Reprogramaciones!R$14-1))+6),11))))))))</f>
        <v/>
      </c>
      <c r="CB224" s="1" t="str">
        <f aca="false">IF(OR(NOT(AND(ISNUMBER(E224),ISNUMBER(F224))),$J$2=""),"",IF(Reprogramaciones!S$13&lt;Reprogramaciones!$T$15,0,IF(Reprogramaciones!S$14&gt;10,MIN(100,SUM($G224:$P224)),MIN(100,SUMPRODUCT((COLUMN($G224:$P224)-COLUMN($G224)+1&lt;Reprogramaciones!S$14)*$G224:$P224)+N(INDEX($G224:$P224,1,Reprogramaciones!S$14))*IF(Reprogramaciones!S$13&gt;=(Reprogramaciones!$T$15+7*(Reprogramaciones!S$14-1))+6,1,IF(MAX(0,NETWORKDAYS.INTL(MAX(E224,(Reprogramaciones!$T$15+7*(Reprogramaciones!S$14-1))),MIN(F224,(Reprogramaciones!$T$15+7*(Reprogramaciones!S$14-1))+6),11))=0,0,MAX(0,NETWORKDAYS.INTL(MAX(E224,(Reprogramaciones!$T$15+7*(Reprogramaciones!S$14-1))),MIN(F224,Reprogramaciones!S$13),11))/MAX(0,NETWORKDAYS.INTL(MAX(E224,(Reprogramaciones!$T$15+7*(Reprogramaciones!S$14-1))),MIN(F224,(Reprogramaciones!$T$15+7*(Reprogramaciones!S$14-1))+6),11))))))))</f>
        <v/>
      </c>
      <c r="CC224" s="1" t="str">
        <f aca="false">IF(OR(NOT(AND(ISNUMBER(E224),ISNUMBER(F224))),$J$2=""),"",IF(Reprogramaciones!T$13&lt;Reprogramaciones!$T$15,0,IF(Reprogramaciones!T$14&gt;10,MIN(100,SUM($G224:$P224)),MIN(100,SUMPRODUCT((COLUMN($G224:$P224)-COLUMN($G224)+1&lt;Reprogramaciones!T$14)*$G224:$P224)+N(INDEX($G224:$P224,1,Reprogramaciones!T$14))*IF(Reprogramaciones!T$13&gt;=(Reprogramaciones!$T$15+7*(Reprogramaciones!T$14-1))+6,1,IF(MAX(0,NETWORKDAYS.INTL(MAX(E224,(Reprogramaciones!$T$15+7*(Reprogramaciones!T$14-1))),MIN(F224,(Reprogramaciones!$T$15+7*(Reprogramaciones!T$14-1))+6),11))=0,0,MAX(0,NETWORKDAYS.INTL(MAX(E224,(Reprogramaciones!$T$15+7*(Reprogramaciones!T$14-1))),MIN(F224,Reprogramaciones!T$13),11))/MAX(0,NETWORKDAYS.INTL(MAX(E224,(Reprogramaciones!$T$15+7*(Reprogramaciones!T$14-1))),MIN(F224,(Reprogramaciones!$T$15+7*(Reprogramaciones!T$14-1))+6),11))))))))</f>
        <v/>
      </c>
      <c r="CD224" s="1" t="str">
        <f aca="false">IF(OR(NOT(AND(ISNUMBER(E224),ISNUMBER(F224))),$J$2=""),"",IF(Reprogramaciones!U$13&lt;Reprogramaciones!$T$15,0,IF(Reprogramaciones!U$14&gt;10,MIN(100,SUM($G224:$P224)),MIN(100,SUMPRODUCT((COLUMN($G224:$P224)-COLUMN($G224)+1&lt;Reprogramaciones!U$14)*$G224:$P224)+N(INDEX($G224:$P224,1,Reprogramaciones!U$14))*IF(Reprogramaciones!U$13&gt;=(Reprogramaciones!$T$15+7*(Reprogramaciones!U$14-1))+6,1,IF(MAX(0,NETWORKDAYS.INTL(MAX(E224,(Reprogramaciones!$T$15+7*(Reprogramaciones!U$14-1))),MIN(F224,(Reprogramaciones!$T$15+7*(Reprogramaciones!U$14-1))+6),11))=0,0,MAX(0,NETWORKDAYS.INTL(MAX(E224,(Reprogramaciones!$T$15+7*(Reprogramaciones!U$14-1))),MIN(F224,Reprogramaciones!U$13),11))/MAX(0,NETWORKDAYS.INTL(MAX(E224,(Reprogramaciones!$T$15+7*(Reprogramaciones!U$14-1))),MIN(F224,(Reprogramaciones!$T$15+7*(Reprogramaciones!U$14-1))+6),11))))))))</f>
        <v/>
      </c>
      <c r="CE224" s="1" t="str">
        <f aca="false">IF(OR(NOT(AND(ISNUMBER(E224),ISNUMBER(F224))),$J$2=""),"",IF(Reprogramaciones!V$13&lt;Reprogramaciones!$T$15,0,IF(Reprogramaciones!V$14&gt;10,MIN(100,SUM($G224:$P224)),MIN(100,SUMPRODUCT((COLUMN($G224:$P224)-COLUMN($G224)+1&lt;Reprogramaciones!V$14)*$G224:$P224)+N(INDEX($G224:$P224,1,Reprogramaciones!V$14))*IF(Reprogramaciones!V$13&gt;=(Reprogramaciones!$T$15+7*(Reprogramaciones!V$14-1))+6,1,IF(MAX(0,NETWORKDAYS.INTL(MAX(E224,(Reprogramaciones!$T$15+7*(Reprogramaciones!V$14-1))),MIN(F224,(Reprogramaciones!$T$15+7*(Reprogramaciones!V$14-1))+6),11))=0,0,MAX(0,NETWORKDAYS.INTL(MAX(E224,(Reprogramaciones!$T$15+7*(Reprogramaciones!V$14-1))),MIN(F224,Reprogramaciones!V$13),11))/MAX(0,NETWORKDAYS.INTL(MAX(E224,(Reprogramaciones!$T$15+7*(Reprogramaciones!V$14-1))),MIN(F224,(Reprogramaciones!$T$15+7*(Reprogramaciones!V$14-1))+6),11))))))))</f>
        <v/>
      </c>
      <c r="CF224" s="1" t="str">
        <f aca="false">IF(OR(NOT(AND(ISNUMBER(E224),ISNUMBER(F224))),$J$2=""),"",IF(Reprogramaciones!W$13&lt;Reprogramaciones!$T$15,0,IF(Reprogramaciones!W$14&gt;10,MIN(100,SUM($G224:$P224)),MIN(100,SUMPRODUCT((COLUMN($G224:$P224)-COLUMN($G224)+1&lt;Reprogramaciones!W$14)*$G224:$P224)+N(INDEX($G224:$P224,1,Reprogramaciones!W$14))*IF(Reprogramaciones!W$13&gt;=(Reprogramaciones!$T$15+7*(Reprogramaciones!W$14-1))+6,1,IF(MAX(0,NETWORKDAYS.INTL(MAX(E224,(Reprogramaciones!$T$15+7*(Reprogramaciones!W$14-1))),MIN(F224,(Reprogramaciones!$T$15+7*(Reprogramaciones!W$14-1))+6),11))=0,0,MAX(0,NETWORKDAYS.INTL(MAX(E224,(Reprogramaciones!$T$15+7*(Reprogramaciones!W$14-1))),MIN(F224,Reprogramaciones!W$13),11))/MAX(0,NETWORKDAYS.INTL(MAX(E224,(Reprogramaciones!$T$15+7*(Reprogramaciones!W$14-1))),MIN(F224,(Reprogramaciones!$T$15+7*(Reprogramaciones!W$14-1))+6),11))))))))</f>
        <v/>
      </c>
      <c r="CG224" s="1" t="str">
        <f aca="false">IF(OR(NOT(AND(ISNUMBER(E224),ISNUMBER(F224))),$J$2=""),"",IF(Reprogramaciones!X$13&lt;Reprogramaciones!$T$15,0,IF(Reprogramaciones!X$14&gt;10,MIN(100,SUM($G224:$P224)),MIN(100,SUMPRODUCT((COLUMN($G224:$P224)-COLUMN($G224)+1&lt;Reprogramaciones!X$14)*$G224:$P224)+N(INDEX($G224:$P224,1,Reprogramaciones!X$14))*IF(Reprogramaciones!X$13&gt;=(Reprogramaciones!$T$15+7*(Reprogramaciones!X$14-1))+6,1,IF(MAX(0,NETWORKDAYS.INTL(MAX(E224,(Reprogramaciones!$T$15+7*(Reprogramaciones!X$14-1))),MIN(F224,(Reprogramaciones!$T$15+7*(Reprogramaciones!X$14-1))+6),11))=0,0,MAX(0,NETWORKDAYS.INTL(MAX(E224,(Reprogramaciones!$T$15+7*(Reprogramaciones!X$14-1))),MIN(F224,Reprogramaciones!X$13),11))/MAX(0,NETWORKDAYS.INTL(MAX(E224,(Reprogramaciones!$T$15+7*(Reprogramaciones!X$14-1))),MIN(F224,(Reprogramaciones!$T$15+7*(Reprogramaciones!X$14-1))+6),11))))))))</f>
        <v/>
      </c>
      <c r="CH224" s="1" t="str">
        <f aca="false">IF(OR(NOT(AND(ISNUMBER(E224),ISNUMBER(F224))),$J$2=""),"",IF(Reprogramaciones!Y$13&lt;Reprogramaciones!$T$15,0,IF(Reprogramaciones!Y$14&gt;10,MIN(100,SUM($G224:$P224)),MIN(100,SUMPRODUCT((COLUMN($G224:$P224)-COLUMN($G224)+1&lt;Reprogramaciones!Y$14)*$G224:$P224)+N(INDEX($G224:$P224,1,Reprogramaciones!Y$14))*IF(Reprogramaciones!Y$13&gt;=(Reprogramaciones!$T$15+7*(Reprogramaciones!Y$14-1))+6,1,IF(MAX(0,NETWORKDAYS.INTL(MAX(E224,(Reprogramaciones!$T$15+7*(Reprogramaciones!Y$14-1))),MIN(F224,(Reprogramaciones!$T$15+7*(Reprogramaciones!Y$14-1))+6),11))=0,0,MAX(0,NETWORKDAYS.INTL(MAX(E224,(Reprogramaciones!$T$15+7*(Reprogramaciones!Y$14-1))),MIN(F224,Reprogramaciones!Y$13),11))/MAX(0,NETWORKDAYS.INTL(MAX(E224,(Reprogramaciones!$T$15+7*(Reprogramaciones!Y$14-1))),MIN(F224,(Reprogramaciones!$T$15+7*(Reprogramaciones!Y$14-1))+6),11))))))))</f>
        <v/>
      </c>
      <c r="CI224" s="1" t="str">
        <f aca="false">IF(OR(NOT(AND(ISNUMBER(E224),ISNUMBER(F224))),$J$2=""),"",IF(Reprogramaciones!Z$13&lt;Reprogramaciones!$T$15,0,IF(Reprogramaciones!Z$14&gt;10,MIN(100,SUM($G224:$P224)),MIN(100,SUMPRODUCT((COLUMN($G224:$P224)-COLUMN($G224)+1&lt;Reprogramaciones!Z$14)*$G224:$P224)+N(INDEX($G224:$P224,1,Reprogramaciones!Z$14))*IF(Reprogramaciones!Z$13&gt;=(Reprogramaciones!$T$15+7*(Reprogramaciones!Z$14-1))+6,1,IF(MAX(0,NETWORKDAYS.INTL(MAX(E224,(Reprogramaciones!$T$15+7*(Reprogramaciones!Z$14-1))),MIN(F224,(Reprogramaciones!$T$15+7*(Reprogramaciones!Z$14-1))+6),11))=0,0,MAX(0,NETWORKDAYS.INTL(MAX(E224,(Reprogramaciones!$T$15+7*(Reprogramaciones!Z$14-1))),MIN(F224,Reprogramaciones!Z$13),11))/MAX(0,NETWORKDAYS.INTL(MAX(E224,(Reprogramaciones!$T$15+7*(Reprogramaciones!Z$14-1))),MIN(F224,(Reprogramaciones!$T$15+7*(Reprogramaciones!Z$14-1))+6),11))))))))</f>
        <v/>
      </c>
      <c r="CJ224" s="1" t="str">
        <f aca="false">IF(OR(OR(NOT(AND(ISNUMBER(E224),ISNUMBER(F224))),$J$2=""),1&gt;Reprogramaciones!$K$16),"",IF(ROUND(SUM($Q224:Q224),1)&gt;=99.5,100,MIN(100,ROUND(SUM($Q224:Q224),1))))</f>
        <v/>
      </c>
      <c r="CK224" s="1" t="str">
        <f aca="false">IF(OR(OR(NOT(AND(ISNUMBER(E224),ISNUMBER(F224))),$J$2=""),2&gt;Reprogramaciones!$K$16),"",IF(ROUND(SUM($Q224:R224),1)&gt;=99.5,100,MIN(100,ROUND(SUM($Q224:R224),1))))</f>
        <v/>
      </c>
      <c r="CL224" s="1" t="str">
        <f aca="false">IF(OR(OR(NOT(AND(ISNUMBER(E224),ISNUMBER(F224))),$J$2=""),3&gt;Reprogramaciones!$K$16),"",IF(ROUND(SUM($Q224:S224),1)&gt;=99.5,100,MIN(100,ROUND(SUM($Q224:S224),1))))</f>
        <v/>
      </c>
      <c r="CM224" s="1" t="str">
        <f aca="false">IF(OR(OR(NOT(AND(ISNUMBER(E224),ISNUMBER(F224))),$J$2=""),4&gt;Reprogramaciones!$K$16),"",IF(ROUND(SUM($Q224:T224),1)&gt;=99.5,100,MIN(100,ROUND(SUM($Q224:T224),1))))</f>
        <v/>
      </c>
      <c r="CN224" s="1" t="str">
        <f aca="false">IF(OR(OR(NOT(AND(ISNUMBER(E224),ISNUMBER(F224))),$J$2=""),5&gt;Reprogramaciones!$K$16),"",IF(ROUND(SUM($Q224:U224),1)&gt;=99.5,100,MIN(100,ROUND(SUM($Q224:U224),1))))</f>
        <v/>
      </c>
      <c r="CO224" s="1" t="str">
        <f aca="false">IF(OR(OR(NOT(AND(ISNUMBER(E224),ISNUMBER(F224))),$J$2=""),6&gt;Reprogramaciones!$K$16),"",IF(ROUND(SUM($Q224:V224),1)&gt;=99.5,100,MIN(100,ROUND(SUM($Q224:V224),1))))</f>
        <v/>
      </c>
      <c r="CP224" s="1" t="str">
        <f aca="false">IF(OR(OR(NOT(AND(ISNUMBER(E224),ISNUMBER(F224))),$J$2=""),7&gt;Reprogramaciones!$K$16),"",IF(ROUND(SUM($Q224:W224),1)&gt;=99.5,100,MIN(100,ROUND(SUM($Q224:W224),1))))</f>
        <v/>
      </c>
      <c r="CQ224" s="1" t="str">
        <f aca="false">IF(OR(OR(NOT(AND(ISNUMBER(E224),ISNUMBER(F224))),$J$2=""),8&gt;Reprogramaciones!$K$16),"",IF(ROUND(SUM($Q224:X224),1)&gt;=99.5,100,MIN(100,ROUND(SUM($Q224:X224),1))))</f>
        <v/>
      </c>
      <c r="CR224" s="1" t="str">
        <f aca="false">IF(OR(OR(NOT(AND(ISNUMBER(E224),ISNUMBER(F224))),$J$2=""),9&gt;Reprogramaciones!$K$16),"",IF(ROUND(SUM($Q224:Y224),1)&gt;=99.5,100,MIN(100,ROUND(SUM($Q224:Y224),1))))</f>
        <v/>
      </c>
      <c r="CS224" s="1" t="str">
        <f aca="false">IF(OR(OR(NOT(AND(ISNUMBER(E224),ISNUMBER(F224))),$J$2=""),10&gt;Reprogramaciones!$K$16),"",IF(ROUND(SUM($Q224:Z224),1)&gt;=99.5,100,MIN(100,ROUND(SUM($Q224:Z224),1))))</f>
        <v/>
      </c>
      <c r="CT224" s="1" t="str">
        <f aca="false">IF(OR(OR(NOT(AND(ISNUMBER(E224),ISNUMBER(F224))),$J$2=""),11&gt;Reprogramaciones!$K$16),"",IF(ROUND(SUM($Q224:AA224),1)&gt;=99.5,100,MIN(100,ROUND(SUM($Q224:AA224),1))))</f>
        <v/>
      </c>
      <c r="CU224" s="1" t="str">
        <f aca="false">IF(OR(OR(NOT(AND(ISNUMBER(E224),ISNUMBER(F224))),$J$2=""),12&gt;Reprogramaciones!$K$16),"",IF(ROUND(SUM($Q224:AB224),1)&gt;=99.5,100,MIN(100,ROUND(SUM($Q224:AB224),1))))</f>
        <v/>
      </c>
      <c r="CV224" s="1" t="str">
        <f aca="false">IF(OR(OR(NOT(AND(ISNUMBER(E224),ISNUMBER(F224))),$J$2=""),13&gt;Reprogramaciones!$K$16),"",IF(ROUND(SUM($Q224:AC224),1)&gt;=99.5,100,MIN(100,ROUND(SUM($Q224:AC224),1))))</f>
        <v/>
      </c>
      <c r="CW224" s="1" t="str">
        <f aca="false">IF(OR(OR(NOT(AND(ISNUMBER(E224),ISNUMBER(F224))),$J$2=""),14&gt;Reprogramaciones!$K$16),"",IF(ROUND(SUM($Q224:AD224),1)&gt;=99.5,100,MIN(100,ROUND(SUM($Q224:AD224),1))))</f>
        <v/>
      </c>
      <c r="CX224" s="1" t="str">
        <f aca="false">IF(OR(OR(NOT(AND(ISNUMBER(E224),ISNUMBER(F224))),$J$2=""),15&gt;Reprogramaciones!$K$16),"",IF(ROUND(SUM($Q224:AE224),1)&gt;=99.5,100,MIN(100,ROUND(SUM($Q224:AE224),1))))</f>
        <v/>
      </c>
      <c r="CY224" s="1" t="str">
        <f aca="false">IF(OR(OR(NOT(AND(ISNUMBER(E224),ISNUMBER(F224))),$J$2=""),16&gt;Reprogramaciones!$K$16),"",IF(ROUND(SUM($Q224:AF224),1)&gt;=99.5,100,MIN(100,ROUND(SUM($Q224:AF224),1))))</f>
        <v/>
      </c>
      <c r="CZ224" s="1" t="str">
        <f aca="false">IF(D224&lt;&gt;"",D224,IF(B224&lt;&gt;"","Contractual",CZ223))</f>
        <v>Contractual</v>
      </c>
      <c r="DA224" s="1" t="str">
        <f aca="false">IF(OR(NOT(AND(ISNUMBER(E224),ISNUMBER(F224))),$J$2=""),"",IF(Reprogramaciones!$Q$15&lt;Reprogramaciones!$T$15,0,IF(Reprogramaciones!$S$15&gt;10,MIN(100,SUM($G224:$P224)),MIN(100,SUMPRODUCT((COLUMN($G224:$P224)-COLUMN($G224)+1&lt;Reprogramaciones!$S$15)*$G224:$P224)+N(INDEX($G224:$P224,1,Reprogramaciones!$S$15))*IF(Reprogramaciones!$Q$15&gt;=(Reprogramaciones!$T$15+7*(Reprogramaciones!$S$15-1))+6,1,IF(MAX(0,NETWORKDAYS.INTL(MAX(E224,(Reprogramaciones!$T$15+7*(Reprogramaciones!$S$15-1))),MIN(F224,(Reprogramaciones!$T$15+7*(Reprogramaciones!$S$15-1))+6),11))=0,0,MAX(0,NETWORKDAYS.INTL(MAX(E224,(Reprogramaciones!$T$15+7*(Reprogramaciones!$S$15-1))),MIN(F224,Reprogramaciones!$Q$15),11))/MAX(0,NETWORKDAYS.INTL(MAX(E224,(Reprogramaciones!$T$15+7*(Reprogramaciones!$S$15-1))),MIN(F224,(Reprogramaciones!$T$15+7*(Reprogramaciones!$S$15-1))+6),11))))))))</f>
        <v/>
      </c>
    </row>
    <row r="225" customFormat="false" ht="15" hidden="false" customHeight="false" outlineLevel="0" collapsed="false">
      <c r="A225" s="32"/>
      <c r="B225" s="33"/>
      <c r="C225" s="33"/>
      <c r="D225" s="34"/>
      <c r="E225" s="35"/>
      <c r="F225" s="35"/>
      <c r="G225" s="36" t="str">
        <f aca="false">IF(OR(NOT(AND(ISNUMBER(E225),ISNUMBER(F225))),$J$2=""),"",IF(Reprogramaciones!K$9&lt;E225,0,IF(NETWORKDAYS.INTL(E225,F225,11)=0,IF(Reprogramaciones!K$9&gt;=F225,100,0),ROUND(NETWORKDAYS.INTL(E225,MIN(F225,Reprogramaciones!K$9),11)/NETWORKDAYS.INTL(E225,F225,11)*100,1)))-0)</f>
        <v/>
      </c>
      <c r="H225" s="36" t="str">
        <f aca="false">IF(OR(NOT(AND(ISNUMBER(E225),ISNUMBER(F225))),$J$2=""),"",IF(Reprogramaciones!L$9&lt;E225,0,IF(NETWORKDAYS.INTL(E225,F225,11)=0,IF(Reprogramaciones!L$9&gt;=F225,100,0),ROUND(NETWORKDAYS.INTL(E225,MIN(F225,Reprogramaciones!L$9),11)/NETWORKDAYS.INTL(E225,F225,11)*100,1)))-IF(Reprogramaciones!K$9&lt;E225,0,IF(NETWORKDAYS.INTL(E225,F225,11)=0,IF(Reprogramaciones!K$9&gt;=F225,100,0),ROUND(NETWORKDAYS.INTL(E225,MIN(F225,Reprogramaciones!K$9),11)/NETWORKDAYS.INTL(E225,F225,11)*100,1))))</f>
        <v/>
      </c>
      <c r="I225" s="36" t="str">
        <f aca="false">IF(OR(NOT(AND(ISNUMBER(E225),ISNUMBER(F225))),$J$2=""),"",IF(Reprogramaciones!M$9&lt;E225,0,IF(NETWORKDAYS.INTL(E225,F225,11)=0,IF(Reprogramaciones!M$9&gt;=F225,100,0),ROUND(NETWORKDAYS.INTL(E225,MIN(F225,Reprogramaciones!M$9),11)/NETWORKDAYS.INTL(E225,F225,11)*100,1)))-IF(Reprogramaciones!L$9&lt;E225,0,IF(NETWORKDAYS.INTL(E225,F225,11)=0,IF(Reprogramaciones!L$9&gt;=F225,100,0),ROUND(NETWORKDAYS.INTL(E225,MIN(F225,Reprogramaciones!L$9),11)/NETWORKDAYS.INTL(E225,F225,11)*100,1))))</f>
        <v/>
      </c>
      <c r="J225" s="36" t="str">
        <f aca="false">IF(OR(NOT(AND(ISNUMBER(E225),ISNUMBER(F225))),$J$2=""),"",IF(Reprogramaciones!N$9&lt;E225,0,IF(NETWORKDAYS.INTL(E225,F225,11)=0,IF(Reprogramaciones!N$9&gt;=F225,100,0),ROUND(NETWORKDAYS.INTL(E225,MIN(F225,Reprogramaciones!N$9),11)/NETWORKDAYS.INTL(E225,F225,11)*100,1)))-IF(Reprogramaciones!M$9&lt;E225,0,IF(NETWORKDAYS.INTL(E225,F225,11)=0,IF(Reprogramaciones!M$9&gt;=F225,100,0),ROUND(NETWORKDAYS.INTL(E225,MIN(F225,Reprogramaciones!M$9),11)/NETWORKDAYS.INTL(E225,F225,11)*100,1))))</f>
        <v/>
      </c>
      <c r="K225" s="36" t="str">
        <f aca="false">IF(OR(NOT(AND(ISNUMBER(E225),ISNUMBER(F225))),$J$2=""),"",IF(Reprogramaciones!O$9&lt;E225,0,IF(NETWORKDAYS.INTL(E225,F225,11)=0,IF(Reprogramaciones!O$9&gt;=F225,100,0),ROUND(NETWORKDAYS.INTL(E225,MIN(F225,Reprogramaciones!O$9),11)/NETWORKDAYS.INTL(E225,F225,11)*100,1)))-IF(Reprogramaciones!N$9&lt;E225,0,IF(NETWORKDAYS.INTL(E225,F225,11)=0,IF(Reprogramaciones!N$9&gt;=F225,100,0),ROUND(NETWORKDAYS.INTL(E225,MIN(F225,Reprogramaciones!N$9),11)/NETWORKDAYS.INTL(E225,F225,11)*100,1))))</f>
        <v/>
      </c>
      <c r="L225" s="36" t="str">
        <f aca="false">IF(OR(NOT(AND(ISNUMBER(E225),ISNUMBER(F225))),$J$2=""),"",IF(Reprogramaciones!P$9&lt;E225,0,IF(NETWORKDAYS.INTL(E225,F225,11)=0,IF(Reprogramaciones!P$9&gt;=F225,100,0),ROUND(NETWORKDAYS.INTL(E225,MIN(F225,Reprogramaciones!P$9),11)/NETWORKDAYS.INTL(E225,F225,11)*100,1)))-IF(Reprogramaciones!O$9&lt;E225,0,IF(NETWORKDAYS.INTL(E225,F225,11)=0,IF(Reprogramaciones!O$9&gt;=F225,100,0),ROUND(NETWORKDAYS.INTL(E225,MIN(F225,Reprogramaciones!O$9),11)/NETWORKDAYS.INTL(E225,F225,11)*100,1))))</f>
        <v/>
      </c>
      <c r="M225" s="36" t="str">
        <f aca="false">IF(OR(NOT(AND(ISNUMBER(E225),ISNUMBER(F225))),$J$2=""),"",IF(Reprogramaciones!Q$9&lt;E225,0,IF(NETWORKDAYS.INTL(E225,F225,11)=0,IF(Reprogramaciones!Q$9&gt;=F225,100,0),ROUND(NETWORKDAYS.INTL(E225,MIN(F225,Reprogramaciones!Q$9),11)/NETWORKDAYS.INTL(E225,F225,11)*100,1)))-IF(Reprogramaciones!P$9&lt;E225,0,IF(NETWORKDAYS.INTL(E225,F225,11)=0,IF(Reprogramaciones!P$9&gt;=F225,100,0),ROUND(NETWORKDAYS.INTL(E225,MIN(F225,Reprogramaciones!P$9),11)/NETWORKDAYS.INTL(E225,F225,11)*100,1))))</f>
        <v/>
      </c>
      <c r="N225" s="36" t="str">
        <f aca="false">IF(OR(NOT(AND(ISNUMBER(E225),ISNUMBER(F225))),$J$2=""),"",IF(Reprogramaciones!R$9&lt;E225,0,IF(NETWORKDAYS.INTL(E225,F225,11)=0,IF(Reprogramaciones!R$9&gt;=F225,100,0),ROUND(NETWORKDAYS.INTL(E225,MIN(F225,Reprogramaciones!R$9),11)/NETWORKDAYS.INTL(E225,F225,11)*100,1)))-IF(Reprogramaciones!Q$9&lt;E225,0,IF(NETWORKDAYS.INTL(E225,F225,11)=0,IF(Reprogramaciones!Q$9&gt;=F225,100,0),ROUND(NETWORKDAYS.INTL(E225,MIN(F225,Reprogramaciones!Q$9),11)/NETWORKDAYS.INTL(E225,F225,11)*100,1))))</f>
        <v/>
      </c>
      <c r="O225" s="36" t="str">
        <f aca="false">IF(OR(NOT(AND(ISNUMBER(E225),ISNUMBER(F225))),$J$2=""),"",IF(Reprogramaciones!S$9&lt;E225,0,IF(NETWORKDAYS.INTL(E225,F225,11)=0,IF(Reprogramaciones!S$9&gt;=F225,100,0),ROUND(NETWORKDAYS.INTL(E225,MIN(F225,Reprogramaciones!S$9),11)/NETWORKDAYS.INTL(E225,F225,11)*100,1)))-IF(Reprogramaciones!R$9&lt;E225,0,IF(NETWORKDAYS.INTL(E225,F225,11)=0,IF(Reprogramaciones!R$9&gt;=F225,100,0),ROUND(NETWORKDAYS.INTL(E225,MIN(F225,Reprogramaciones!R$9),11)/NETWORKDAYS.INTL(E225,F225,11)*100,1))))</f>
        <v/>
      </c>
      <c r="P225" s="36" t="str">
        <f aca="false">IF(OR(NOT(AND(ISNUMBER(E225),ISNUMBER(F225))),$J$2=""),"",IF(Reprogramaciones!T$9&lt;E225,0,IF(NETWORKDAYS.INTL(E225,F225,11)=0,IF(Reprogramaciones!T$9&gt;=F225,100,0),ROUND(NETWORKDAYS.INTL(E225,MIN(F225,Reprogramaciones!T$9),11)/NETWORKDAYS.INTL(E225,F225,11)*100,1)))-IF(Reprogramaciones!S$9&lt;E225,0,IF(NETWORKDAYS.INTL(E225,F225,11)=0,IF(Reprogramaciones!S$9&gt;=F225,100,0),ROUND(NETWORKDAYS.INTL(E225,MIN(F225,Reprogramaciones!S$9),11)/NETWORKDAYS.INTL(E225,F225,11)*100,1))))</f>
        <v/>
      </c>
      <c r="Q225" s="37"/>
      <c r="R225" s="37"/>
      <c r="S225" s="37"/>
      <c r="T225" s="37"/>
      <c r="U225" s="37"/>
      <c r="V225" s="37"/>
      <c r="W225" s="37"/>
      <c r="X225" s="37"/>
      <c r="Y225" s="37"/>
      <c r="Z225" s="37"/>
      <c r="AA225" s="37"/>
      <c r="AB225" s="37"/>
      <c r="AC225" s="37"/>
      <c r="AD225" s="37"/>
      <c r="AE225" s="37"/>
      <c r="AF225" s="37"/>
      <c r="AG225" s="38" t="str">
        <f aca="false">IF(AND(ISNUMBER(E225),ISNUMBER(F225)),NETWORKDAYS.INTL(E225,F225,11),"")</f>
        <v/>
      </c>
      <c r="AH225" s="38" t="str">
        <f aca="false">IF(OR(NOT(AND(ISNUMBER(E225),ISNUMBER(F225))),$J$2=""),"",IF(Reprogramaciones!$P$15&lt;Reprogramaciones!$T$15,0,IF(Reprogramaciones!$R$15&gt;10,MIN(100,SUM($G225:$P225)),MIN(100,SUMPRODUCT((COLUMN($G225:$P225)-COLUMN($G225)+1&lt;Reprogramaciones!$R$15)*$G225:$P225)+N(INDEX($G225:$P225,1,Reprogramaciones!$R$15))*IF(Reprogramaciones!$P$15&gt;=(Reprogramaciones!$T$15+7*(Reprogramaciones!$R$15-1))+6,1,IF(MAX(0,NETWORKDAYS.INTL(MAX(E225,(Reprogramaciones!$T$15+7*(Reprogramaciones!$R$15-1))),MIN(F225,(Reprogramaciones!$T$15+7*(Reprogramaciones!$R$15-1))+6),11))=0,0,MAX(0,NETWORKDAYS.INTL(MAX(E225,(Reprogramaciones!$T$15+7*(Reprogramaciones!$R$15-1))),MIN(F225,Reprogramaciones!$P$15),11))/MAX(0,NETWORKDAYS.INTL(MAX(E225,(Reprogramaciones!$T$15+7*(Reprogramaciones!$R$15-1))),MIN(F225,(Reprogramaciones!$T$15+7*(Reprogramaciones!$R$15-1))+6),11))))))))</f>
        <v/>
      </c>
      <c r="AI225" s="38" t="str">
        <f aca="false">IF(COUNT($Q225:$AF225)=0,"",IF(ROUND(SUM($Q225:$AF225),1)&gt;=99.5,100,MIN(100,ROUND(SUM($Q225:$AF225),1))))</f>
        <v/>
      </c>
      <c r="AJ225" s="38" t="str">
        <f aca="false">IF(OR(AH225="",AI225=""),"",AI225-AH225)</f>
        <v/>
      </c>
      <c r="AK225" s="39" t="str">
        <f aca="true">IF(AH225="","",IF(OR(Ficha!$C$10="Suspendida",Ficha!$C$10="Cancelada"),Ficha!$C$10,IF(AND(AI225&lt;&gt;"",N(AI225)&gt;=100),"Completada",IF(AND(E225&gt;TODAY(),N(AI225)=0),"Por iniciar",IF(N(AI225)+0.5&lt;AH225,"Retrasada",IF(N(AI225)+0.5&lt;DA225,IF(Reprogramaciones!$K$15&gt;0,"Al día · Sem "&amp;Reprogramaciones!$K$15&amp;" en curso","Al día · en curso"),"A tiempo"))))))</f>
        <v/>
      </c>
      <c r="AL225" s="39" t="str">
        <f aca="true">IF(AND(A225="",AND(B225="",C225="",E225="",F225="",COUNT(Q225:AF225)=0)),"",IF(AND(B225="",C225="",E225="",F225="",COUNT(Q225:AF225)=0),"Falta la partida o subpartida",IF(AND(A225&lt;&gt;"",COUNTIF($A$6:$A$305,A225)&gt;1),"Ítem repetido",IF(AND(C225="",E225="",F225="",COUNT(Q225:AF225)=0),"Título de partida",IF(OR(E225="",F225=""),"Faltan fechas",IF(OR(ISTEXT(E225),ISTEXT(F225)),"Fecha escrita como texto: usa dd/mm/aaaa",IF(F225&lt;E225,"Fin antes del inicio",IF(IF($J$2="",FALSE(),OR(E225&lt;$J$2,F225&gt;Reprogramaciones!$T$15+69)),"Fuera de las 10 semanas",IF(ABS(SUM(G225:P225)-100)&gt;0.5,"La meta no suma 100%",IF(ROUND(SUM(Q225:AF225),1)&gt;100.5,"El avance pasa de 100%",IF(MIN(Q225:AF225)&lt;0,"Avance negativo",IF(COUNTA(Q225:AF225)&gt;COUNT(Q225:AF225),"Avance escrito como texto",IF(SUMPRODUCT((Q225:AF225&gt;0)*(Q225:AF225&lt;1))&gt;0,"Avance menor a 1: escribe 50, no 50%",IF(SUMPRODUCT(ISNUMBER(Q225:AF225)*(Reprogramaciones!$K$8:$Z$8&gt;TODAY()))&gt;0,"Avance en semana que aún no llega",IF(AND(N(Reprogramaciones!$E$21)&gt;0,F225&gt;Reprogramaciones!$E$21),"Pasa el fin de la obra: registra una reprogramación",IF(AND(N(Reprogramaciones!$E$21)&gt;0,SUMPRODUCT(ISNUMBER(Q225:AF225)*(Reprogramaciones!$K$8:$Z$8&gt;Reprogramaciones!$E$21))&gt;0),"Avance después del fin de la obra: registra una reprogramación por atraso","OK"))))))))))))))))</f>
        <v/>
      </c>
      <c r="AM225" s="40" t="str">
        <f aca="false">IF(OR(OR(NOT(AND(ISNUMBER(E225),ISNUMBER(F225))),$J$2=""),1&gt;MAX(1,Reprogramaciones!$U$15)),"",IF(Reprogramaciones!K$12&gt;=7,"",IF(OR(BT225-N(0)&gt;0.05,N(Q225)&gt;0),ROUNDDOWN(ROUND(BT225,6),0)&amp;"%"&amp;IF(CJ225="",""," / "&amp;CJ225&amp;"%"),IF(AND(N(0)&gt;=99.95,CJ225&lt;&gt;"",N(CJ225)&lt;100),"Pend. "&amp;CJ225&amp;"%",""))))</f>
        <v/>
      </c>
      <c r="AN225" s="40" t="str">
        <f aca="false">IF(OR(OR(NOT(AND(ISNUMBER(E225),ISNUMBER(F225))),$J$2=""),2&gt;MAX(1,Reprogramaciones!$U$15)),"",IF(Reprogramaciones!L$12&gt;=7,"",IF(OR(BU225-N(BT225)&gt;0.05,N(R225)&gt;0),ROUNDDOWN(ROUND(BU225,6),0)&amp;"%"&amp;IF(CK225="",""," / "&amp;CK225&amp;"%"),IF(AND(N(BT225)&gt;=99.95,CK225&lt;&gt;"",N(CK225)&lt;100),"Pend. "&amp;CK225&amp;"%",""))))</f>
        <v/>
      </c>
      <c r="AO225" s="40" t="str">
        <f aca="false">IF(OR(OR(NOT(AND(ISNUMBER(E225),ISNUMBER(F225))),$J$2=""),3&gt;MAX(1,Reprogramaciones!$U$15)),"",IF(Reprogramaciones!M$12&gt;=7,"",IF(OR(BV225-N(BU225)&gt;0.05,N(S225)&gt;0),ROUNDDOWN(ROUND(BV225,6),0)&amp;"%"&amp;IF(CL225="",""," / "&amp;CL225&amp;"%"),IF(AND(N(BU225)&gt;=99.95,CL225&lt;&gt;"",N(CL225)&lt;100),"Pend. "&amp;CL225&amp;"%",""))))</f>
        <v/>
      </c>
      <c r="AP225" s="40" t="str">
        <f aca="false">IF(OR(OR(NOT(AND(ISNUMBER(E225),ISNUMBER(F225))),$J$2=""),4&gt;MAX(1,Reprogramaciones!$U$15)),"",IF(Reprogramaciones!N$12&gt;=7,"",IF(OR(BW225-N(BV225)&gt;0.05,N(T225)&gt;0),ROUNDDOWN(ROUND(BW225,6),0)&amp;"%"&amp;IF(CM225="",""," / "&amp;CM225&amp;"%"),IF(AND(N(BV225)&gt;=99.95,CM225&lt;&gt;"",N(CM225)&lt;100),"Pend. "&amp;CM225&amp;"%",""))))</f>
        <v/>
      </c>
      <c r="AQ225" s="40" t="str">
        <f aca="false">IF(OR(OR(NOT(AND(ISNUMBER(E225),ISNUMBER(F225))),$J$2=""),5&gt;MAX(1,Reprogramaciones!$U$15)),"",IF(Reprogramaciones!O$12&gt;=7,"",IF(OR(BX225-N(BW225)&gt;0.05,N(U225)&gt;0),ROUNDDOWN(ROUND(BX225,6),0)&amp;"%"&amp;IF(CN225="",""," / "&amp;CN225&amp;"%"),IF(AND(N(BW225)&gt;=99.95,CN225&lt;&gt;"",N(CN225)&lt;100),"Pend. "&amp;CN225&amp;"%",""))))</f>
        <v/>
      </c>
      <c r="AR225" s="40" t="str">
        <f aca="false">IF(OR(OR(NOT(AND(ISNUMBER(E225),ISNUMBER(F225))),$J$2=""),6&gt;MAX(1,Reprogramaciones!$U$15)),"",IF(Reprogramaciones!P$12&gt;=7,"",IF(OR(BY225-N(BX225)&gt;0.05,N(V225)&gt;0),ROUNDDOWN(ROUND(BY225,6),0)&amp;"%"&amp;IF(CO225="",""," / "&amp;CO225&amp;"%"),IF(AND(N(BX225)&gt;=99.95,CO225&lt;&gt;"",N(CO225)&lt;100),"Pend. "&amp;CO225&amp;"%",""))))</f>
        <v/>
      </c>
      <c r="AS225" s="40" t="str">
        <f aca="false">IF(OR(OR(NOT(AND(ISNUMBER(E225),ISNUMBER(F225))),$J$2=""),7&gt;MAX(1,Reprogramaciones!$U$15)),"",IF(Reprogramaciones!Q$12&gt;=7,"",IF(OR(BZ225-N(BY225)&gt;0.05,N(W225)&gt;0),ROUNDDOWN(ROUND(BZ225,6),0)&amp;"%"&amp;IF(CP225="",""," / "&amp;CP225&amp;"%"),IF(AND(N(BY225)&gt;=99.95,CP225&lt;&gt;"",N(CP225)&lt;100),"Pend. "&amp;CP225&amp;"%",""))))</f>
        <v/>
      </c>
      <c r="AT225" s="40" t="str">
        <f aca="false">IF(OR(OR(NOT(AND(ISNUMBER(E225),ISNUMBER(F225))),$J$2=""),8&gt;MAX(1,Reprogramaciones!$U$15)),"",IF(Reprogramaciones!R$12&gt;=7,"",IF(OR(CA225-N(BZ225)&gt;0.05,N(X225)&gt;0),ROUNDDOWN(ROUND(CA225,6),0)&amp;"%"&amp;IF(CQ225="",""," / "&amp;CQ225&amp;"%"),IF(AND(N(BZ225)&gt;=99.95,CQ225&lt;&gt;"",N(CQ225)&lt;100),"Pend. "&amp;CQ225&amp;"%",""))))</f>
        <v/>
      </c>
      <c r="AU225" s="40" t="str">
        <f aca="false">IF(OR(OR(NOT(AND(ISNUMBER(E225),ISNUMBER(F225))),$J$2=""),9&gt;MAX(1,Reprogramaciones!$U$15)),"",IF(Reprogramaciones!S$12&gt;=7,"",IF(OR(CB225-N(CA225)&gt;0.05,N(Y225)&gt;0),ROUNDDOWN(ROUND(CB225,6),0)&amp;"%"&amp;IF(CR225="",""," / "&amp;CR225&amp;"%"),IF(AND(N(CA225)&gt;=99.95,CR225&lt;&gt;"",N(CR225)&lt;100),"Pend. "&amp;CR225&amp;"%",""))))</f>
        <v/>
      </c>
      <c r="AV225" s="40" t="str">
        <f aca="false">IF(OR(OR(NOT(AND(ISNUMBER(E225),ISNUMBER(F225))),$J$2=""),10&gt;MAX(1,Reprogramaciones!$U$15)),"",IF(Reprogramaciones!T$12&gt;=7,"",IF(OR(CC225-N(CB225)&gt;0.05,N(Z225)&gt;0),ROUNDDOWN(ROUND(CC225,6),0)&amp;"%"&amp;IF(CS225="",""," / "&amp;CS225&amp;"%"),IF(AND(N(CB225)&gt;=99.95,CS225&lt;&gt;"",N(CS225)&lt;100),"Pend. "&amp;CS225&amp;"%",""))))</f>
        <v/>
      </c>
      <c r="AW225" s="40" t="str">
        <f aca="false">IF(OR(OR(NOT(AND(ISNUMBER(E225),ISNUMBER(F225))),$J$2=""),11&gt;MAX(1,Reprogramaciones!$U$15)),"",IF(Reprogramaciones!U$12&gt;=7,"",IF(OR(CD225-N(CC225)&gt;0.05,N(AA225)&gt;0),ROUNDDOWN(ROUND(CD225,6),0)&amp;"%"&amp;IF(CT225="",""," / "&amp;CT225&amp;"%"),IF(AND(N(CC225)&gt;=99.95,CT225&lt;&gt;"",N(CT225)&lt;100),"Pend. "&amp;CT225&amp;"%",""))))</f>
        <v/>
      </c>
      <c r="AX225" s="40" t="str">
        <f aca="false">IF(OR(OR(NOT(AND(ISNUMBER(E225),ISNUMBER(F225))),$J$2=""),12&gt;MAX(1,Reprogramaciones!$U$15)),"",IF(Reprogramaciones!V$12&gt;=7,"",IF(OR(CE225-N(CD225)&gt;0.05,N(AB225)&gt;0),ROUNDDOWN(ROUND(CE225,6),0)&amp;"%"&amp;IF(CU225="",""," / "&amp;CU225&amp;"%"),IF(AND(N(CD225)&gt;=99.95,CU225&lt;&gt;"",N(CU225)&lt;100),"Pend. "&amp;CU225&amp;"%",""))))</f>
        <v/>
      </c>
      <c r="AY225" s="40" t="str">
        <f aca="false">IF(OR(OR(NOT(AND(ISNUMBER(E225),ISNUMBER(F225))),$J$2=""),13&gt;MAX(1,Reprogramaciones!$U$15)),"",IF(Reprogramaciones!W$12&gt;=7,"",IF(OR(CF225-N(CE225)&gt;0.05,N(AC225)&gt;0),ROUNDDOWN(ROUND(CF225,6),0)&amp;"%"&amp;IF(CV225="",""," / "&amp;CV225&amp;"%"),IF(AND(N(CE225)&gt;=99.95,CV225&lt;&gt;"",N(CV225)&lt;100),"Pend. "&amp;CV225&amp;"%",""))))</f>
        <v/>
      </c>
      <c r="AZ225" s="40" t="str">
        <f aca="false">IF(OR(OR(NOT(AND(ISNUMBER(E225),ISNUMBER(F225))),$J$2=""),14&gt;MAX(1,Reprogramaciones!$U$15)),"",IF(Reprogramaciones!X$12&gt;=7,"",IF(OR(CG225-N(CF225)&gt;0.05,N(AD225)&gt;0),ROUNDDOWN(ROUND(CG225,6),0)&amp;"%"&amp;IF(CW225="",""," / "&amp;CW225&amp;"%"),IF(AND(N(CF225)&gt;=99.95,CW225&lt;&gt;"",N(CW225)&lt;100),"Pend. "&amp;CW225&amp;"%",""))))</f>
        <v/>
      </c>
      <c r="BA225" s="40" t="str">
        <f aca="false">IF(OR(OR(NOT(AND(ISNUMBER(E225),ISNUMBER(F225))),$J$2=""),15&gt;MAX(1,Reprogramaciones!$U$15)),"",IF(Reprogramaciones!Y$12&gt;=7,"",IF(OR(CH225-N(CG225)&gt;0.05,N(AE225)&gt;0),ROUNDDOWN(ROUND(CH225,6),0)&amp;"%"&amp;IF(CX225="",""," / "&amp;CX225&amp;"%"),IF(AND(N(CG225)&gt;=99.95,CX225&lt;&gt;"",N(CX225)&lt;100),"Pend. "&amp;CX225&amp;"%",""))))</f>
        <v/>
      </c>
      <c r="BB225" s="40" t="str">
        <f aca="false">IF(OR(OR(NOT(AND(ISNUMBER(E225),ISNUMBER(F225))),$J$2=""),16&gt;MAX(1,Reprogramaciones!$U$15)),"",IF(Reprogramaciones!Z$12&gt;=7,"",IF(OR(CI225-N(CH225)&gt;0.05,N(AF225)&gt;0),ROUNDDOWN(ROUND(CI225,6),0)&amp;"%"&amp;IF(CY225="",""," / "&amp;CY225&amp;"%"),IF(AND(N(CH225)&gt;=99.95,CY225&lt;&gt;"",N(CY225)&lt;100),"Pend. "&amp;CY225&amp;"%",""))))</f>
        <v/>
      </c>
      <c r="BC225" s="31" t="n">
        <f aca="false">IF(AND(ISNUMBER(E225),ISNUMBER(F225)),MAX(1,NETWORKDAYS.INTL(E225,F225,11)),0)</f>
        <v>0</v>
      </c>
      <c r="BD225" s="1" t="str">
        <f aca="false">IF(OR(NOT(AND(ISNUMBER(E225),ISNUMBER(F225))),$J$2=""),"",MIN(100,ROUND(SUM($G225:G225),1)))</f>
        <v/>
      </c>
      <c r="BE225" s="1" t="str">
        <f aca="false">IF(OR(NOT(AND(ISNUMBER(E225),ISNUMBER(F225))),$J$2=""),"",MIN(100,ROUND(SUM($G225:H225),1)))</f>
        <v/>
      </c>
      <c r="BF225" s="1" t="str">
        <f aca="false">IF(OR(NOT(AND(ISNUMBER(E225),ISNUMBER(F225))),$J$2=""),"",MIN(100,ROUND(SUM($G225:I225),1)))</f>
        <v/>
      </c>
      <c r="BG225" s="1" t="str">
        <f aca="false">IF(OR(NOT(AND(ISNUMBER(E225),ISNUMBER(F225))),$J$2=""),"",MIN(100,ROUND(SUM($G225:J225),1)))</f>
        <v/>
      </c>
      <c r="BH225" s="1" t="str">
        <f aca="false">IF(OR(NOT(AND(ISNUMBER(E225),ISNUMBER(F225))),$J$2=""),"",MIN(100,ROUND(SUM($G225:K225),1)))</f>
        <v/>
      </c>
      <c r="BI225" s="1" t="str">
        <f aca="false">IF(OR(NOT(AND(ISNUMBER(E225),ISNUMBER(F225))),$J$2=""),"",MIN(100,ROUND(SUM($G225:L225),1)))</f>
        <v/>
      </c>
      <c r="BJ225" s="1" t="str">
        <f aca="false">IF(OR(NOT(AND(ISNUMBER(E225),ISNUMBER(F225))),$J$2=""),"",MIN(100,ROUND(SUM($G225:M225),1)))</f>
        <v/>
      </c>
      <c r="BK225" s="1" t="str">
        <f aca="false">IF(OR(NOT(AND(ISNUMBER(E225),ISNUMBER(F225))),$J$2=""),"",MIN(100,ROUND(SUM($G225:N225),1)))</f>
        <v/>
      </c>
      <c r="BL225" s="1" t="str">
        <f aca="false">IF(OR(NOT(AND(ISNUMBER(E225),ISNUMBER(F225))),$J$2=""),"",MIN(100,ROUND(SUM($G225:O225),1)))</f>
        <v/>
      </c>
      <c r="BM225" s="1" t="str">
        <f aca="false">IF(OR(NOT(AND(ISNUMBER(E225),ISNUMBER(F225))),$J$2=""),"",MIN(100,ROUND(SUM($G225:P225),1)))</f>
        <v/>
      </c>
      <c r="BN225" s="1" t="str">
        <f aca="false">IF(OR(NOT(AND(ISNUMBER(E225),ISNUMBER(F225))),$J$2=""),"",MIN(100,ROUND(SUM($G225:P225),1)))</f>
        <v/>
      </c>
      <c r="BO225" s="1" t="str">
        <f aca="false">IF(OR(NOT(AND(ISNUMBER(E225),ISNUMBER(F225))),$J$2=""),"",MIN(100,ROUND(SUM($G225:P225),1)))</f>
        <v/>
      </c>
      <c r="BP225" s="1" t="str">
        <f aca="false">IF(OR(NOT(AND(ISNUMBER(E225),ISNUMBER(F225))),$J$2=""),"",MIN(100,ROUND(SUM($G225:P225),1)))</f>
        <v/>
      </c>
      <c r="BQ225" s="1" t="str">
        <f aca="false">IF(OR(NOT(AND(ISNUMBER(E225),ISNUMBER(F225))),$J$2=""),"",MIN(100,ROUND(SUM($G225:P225),1)))</f>
        <v/>
      </c>
      <c r="BR225" s="1" t="str">
        <f aca="false">IF(OR(NOT(AND(ISNUMBER(E225),ISNUMBER(F225))),$J$2=""),"",MIN(100,ROUND(SUM($G225:P225),1)))</f>
        <v/>
      </c>
      <c r="BS225" s="1" t="str">
        <f aca="false">IF(OR(NOT(AND(ISNUMBER(E225),ISNUMBER(F225))),$J$2=""),"",MIN(100,ROUND(SUM($G225:P225),1)))</f>
        <v/>
      </c>
      <c r="BT225" s="1" t="str">
        <f aca="false">IF(OR(NOT(AND(ISNUMBER(E225),ISNUMBER(F225))),$J$2=""),"",IF(Reprogramaciones!K$13&lt;Reprogramaciones!$T$15,0,IF(Reprogramaciones!K$14&gt;10,MIN(100,SUM($G225:$P225)),MIN(100,SUMPRODUCT((COLUMN($G225:$P225)-COLUMN($G225)+1&lt;Reprogramaciones!K$14)*$G225:$P225)+N(INDEX($G225:$P225,1,Reprogramaciones!K$14))*IF(Reprogramaciones!K$13&gt;=(Reprogramaciones!$T$15+7*(Reprogramaciones!K$14-1))+6,1,IF(MAX(0,NETWORKDAYS.INTL(MAX(E225,(Reprogramaciones!$T$15+7*(Reprogramaciones!K$14-1))),MIN(F225,(Reprogramaciones!$T$15+7*(Reprogramaciones!K$14-1))+6),11))=0,0,MAX(0,NETWORKDAYS.INTL(MAX(E225,(Reprogramaciones!$T$15+7*(Reprogramaciones!K$14-1))),MIN(F225,Reprogramaciones!K$13),11))/MAX(0,NETWORKDAYS.INTL(MAX(E225,(Reprogramaciones!$T$15+7*(Reprogramaciones!K$14-1))),MIN(F225,(Reprogramaciones!$T$15+7*(Reprogramaciones!K$14-1))+6),11))))))))</f>
        <v/>
      </c>
      <c r="BU225" s="1" t="str">
        <f aca="false">IF(OR(NOT(AND(ISNUMBER(E225),ISNUMBER(F225))),$J$2=""),"",IF(Reprogramaciones!L$13&lt;Reprogramaciones!$T$15,0,IF(Reprogramaciones!L$14&gt;10,MIN(100,SUM($G225:$P225)),MIN(100,SUMPRODUCT((COLUMN($G225:$P225)-COLUMN($G225)+1&lt;Reprogramaciones!L$14)*$G225:$P225)+N(INDEX($G225:$P225,1,Reprogramaciones!L$14))*IF(Reprogramaciones!L$13&gt;=(Reprogramaciones!$T$15+7*(Reprogramaciones!L$14-1))+6,1,IF(MAX(0,NETWORKDAYS.INTL(MAX(E225,(Reprogramaciones!$T$15+7*(Reprogramaciones!L$14-1))),MIN(F225,(Reprogramaciones!$T$15+7*(Reprogramaciones!L$14-1))+6),11))=0,0,MAX(0,NETWORKDAYS.INTL(MAX(E225,(Reprogramaciones!$T$15+7*(Reprogramaciones!L$14-1))),MIN(F225,Reprogramaciones!L$13),11))/MAX(0,NETWORKDAYS.INTL(MAX(E225,(Reprogramaciones!$T$15+7*(Reprogramaciones!L$14-1))),MIN(F225,(Reprogramaciones!$T$15+7*(Reprogramaciones!L$14-1))+6),11))))))))</f>
        <v/>
      </c>
      <c r="BV225" s="1" t="str">
        <f aca="false">IF(OR(NOT(AND(ISNUMBER(E225),ISNUMBER(F225))),$J$2=""),"",IF(Reprogramaciones!M$13&lt;Reprogramaciones!$T$15,0,IF(Reprogramaciones!M$14&gt;10,MIN(100,SUM($G225:$P225)),MIN(100,SUMPRODUCT((COLUMN($G225:$P225)-COLUMN($G225)+1&lt;Reprogramaciones!M$14)*$G225:$P225)+N(INDEX($G225:$P225,1,Reprogramaciones!M$14))*IF(Reprogramaciones!M$13&gt;=(Reprogramaciones!$T$15+7*(Reprogramaciones!M$14-1))+6,1,IF(MAX(0,NETWORKDAYS.INTL(MAX(E225,(Reprogramaciones!$T$15+7*(Reprogramaciones!M$14-1))),MIN(F225,(Reprogramaciones!$T$15+7*(Reprogramaciones!M$14-1))+6),11))=0,0,MAX(0,NETWORKDAYS.INTL(MAX(E225,(Reprogramaciones!$T$15+7*(Reprogramaciones!M$14-1))),MIN(F225,Reprogramaciones!M$13),11))/MAX(0,NETWORKDAYS.INTL(MAX(E225,(Reprogramaciones!$T$15+7*(Reprogramaciones!M$14-1))),MIN(F225,(Reprogramaciones!$T$15+7*(Reprogramaciones!M$14-1))+6),11))))))))</f>
        <v/>
      </c>
      <c r="BW225" s="1" t="str">
        <f aca="false">IF(OR(NOT(AND(ISNUMBER(E225),ISNUMBER(F225))),$J$2=""),"",IF(Reprogramaciones!N$13&lt;Reprogramaciones!$T$15,0,IF(Reprogramaciones!N$14&gt;10,MIN(100,SUM($G225:$P225)),MIN(100,SUMPRODUCT((COLUMN($G225:$P225)-COLUMN($G225)+1&lt;Reprogramaciones!N$14)*$G225:$P225)+N(INDEX($G225:$P225,1,Reprogramaciones!N$14))*IF(Reprogramaciones!N$13&gt;=(Reprogramaciones!$T$15+7*(Reprogramaciones!N$14-1))+6,1,IF(MAX(0,NETWORKDAYS.INTL(MAX(E225,(Reprogramaciones!$T$15+7*(Reprogramaciones!N$14-1))),MIN(F225,(Reprogramaciones!$T$15+7*(Reprogramaciones!N$14-1))+6),11))=0,0,MAX(0,NETWORKDAYS.INTL(MAX(E225,(Reprogramaciones!$T$15+7*(Reprogramaciones!N$14-1))),MIN(F225,Reprogramaciones!N$13),11))/MAX(0,NETWORKDAYS.INTL(MAX(E225,(Reprogramaciones!$T$15+7*(Reprogramaciones!N$14-1))),MIN(F225,(Reprogramaciones!$T$15+7*(Reprogramaciones!N$14-1))+6),11))))))))</f>
        <v/>
      </c>
      <c r="BX225" s="1" t="str">
        <f aca="false">IF(OR(NOT(AND(ISNUMBER(E225),ISNUMBER(F225))),$J$2=""),"",IF(Reprogramaciones!O$13&lt;Reprogramaciones!$T$15,0,IF(Reprogramaciones!O$14&gt;10,MIN(100,SUM($G225:$P225)),MIN(100,SUMPRODUCT((COLUMN($G225:$P225)-COLUMN($G225)+1&lt;Reprogramaciones!O$14)*$G225:$P225)+N(INDEX($G225:$P225,1,Reprogramaciones!O$14))*IF(Reprogramaciones!O$13&gt;=(Reprogramaciones!$T$15+7*(Reprogramaciones!O$14-1))+6,1,IF(MAX(0,NETWORKDAYS.INTL(MAX(E225,(Reprogramaciones!$T$15+7*(Reprogramaciones!O$14-1))),MIN(F225,(Reprogramaciones!$T$15+7*(Reprogramaciones!O$14-1))+6),11))=0,0,MAX(0,NETWORKDAYS.INTL(MAX(E225,(Reprogramaciones!$T$15+7*(Reprogramaciones!O$14-1))),MIN(F225,Reprogramaciones!O$13),11))/MAX(0,NETWORKDAYS.INTL(MAX(E225,(Reprogramaciones!$T$15+7*(Reprogramaciones!O$14-1))),MIN(F225,(Reprogramaciones!$T$15+7*(Reprogramaciones!O$14-1))+6),11))))))))</f>
        <v/>
      </c>
      <c r="BY225" s="1" t="str">
        <f aca="false">IF(OR(NOT(AND(ISNUMBER(E225),ISNUMBER(F225))),$J$2=""),"",IF(Reprogramaciones!P$13&lt;Reprogramaciones!$T$15,0,IF(Reprogramaciones!P$14&gt;10,MIN(100,SUM($G225:$P225)),MIN(100,SUMPRODUCT((COLUMN($G225:$P225)-COLUMN($G225)+1&lt;Reprogramaciones!P$14)*$G225:$P225)+N(INDEX($G225:$P225,1,Reprogramaciones!P$14))*IF(Reprogramaciones!P$13&gt;=(Reprogramaciones!$T$15+7*(Reprogramaciones!P$14-1))+6,1,IF(MAX(0,NETWORKDAYS.INTL(MAX(E225,(Reprogramaciones!$T$15+7*(Reprogramaciones!P$14-1))),MIN(F225,(Reprogramaciones!$T$15+7*(Reprogramaciones!P$14-1))+6),11))=0,0,MAX(0,NETWORKDAYS.INTL(MAX(E225,(Reprogramaciones!$T$15+7*(Reprogramaciones!P$14-1))),MIN(F225,Reprogramaciones!P$13),11))/MAX(0,NETWORKDAYS.INTL(MAX(E225,(Reprogramaciones!$T$15+7*(Reprogramaciones!P$14-1))),MIN(F225,(Reprogramaciones!$T$15+7*(Reprogramaciones!P$14-1))+6),11))))))))</f>
        <v/>
      </c>
      <c r="BZ225" s="1" t="str">
        <f aca="false">IF(OR(NOT(AND(ISNUMBER(E225),ISNUMBER(F225))),$J$2=""),"",IF(Reprogramaciones!Q$13&lt;Reprogramaciones!$T$15,0,IF(Reprogramaciones!Q$14&gt;10,MIN(100,SUM($G225:$P225)),MIN(100,SUMPRODUCT((COLUMN($G225:$P225)-COLUMN($G225)+1&lt;Reprogramaciones!Q$14)*$G225:$P225)+N(INDEX($G225:$P225,1,Reprogramaciones!Q$14))*IF(Reprogramaciones!Q$13&gt;=(Reprogramaciones!$T$15+7*(Reprogramaciones!Q$14-1))+6,1,IF(MAX(0,NETWORKDAYS.INTL(MAX(E225,(Reprogramaciones!$T$15+7*(Reprogramaciones!Q$14-1))),MIN(F225,(Reprogramaciones!$T$15+7*(Reprogramaciones!Q$14-1))+6),11))=0,0,MAX(0,NETWORKDAYS.INTL(MAX(E225,(Reprogramaciones!$T$15+7*(Reprogramaciones!Q$14-1))),MIN(F225,Reprogramaciones!Q$13),11))/MAX(0,NETWORKDAYS.INTL(MAX(E225,(Reprogramaciones!$T$15+7*(Reprogramaciones!Q$14-1))),MIN(F225,(Reprogramaciones!$T$15+7*(Reprogramaciones!Q$14-1))+6),11))))))))</f>
        <v/>
      </c>
      <c r="CA225" s="1" t="str">
        <f aca="false">IF(OR(NOT(AND(ISNUMBER(E225),ISNUMBER(F225))),$J$2=""),"",IF(Reprogramaciones!R$13&lt;Reprogramaciones!$T$15,0,IF(Reprogramaciones!R$14&gt;10,MIN(100,SUM($G225:$P225)),MIN(100,SUMPRODUCT((COLUMN($G225:$P225)-COLUMN($G225)+1&lt;Reprogramaciones!R$14)*$G225:$P225)+N(INDEX($G225:$P225,1,Reprogramaciones!R$14))*IF(Reprogramaciones!R$13&gt;=(Reprogramaciones!$T$15+7*(Reprogramaciones!R$14-1))+6,1,IF(MAX(0,NETWORKDAYS.INTL(MAX(E225,(Reprogramaciones!$T$15+7*(Reprogramaciones!R$14-1))),MIN(F225,(Reprogramaciones!$T$15+7*(Reprogramaciones!R$14-1))+6),11))=0,0,MAX(0,NETWORKDAYS.INTL(MAX(E225,(Reprogramaciones!$T$15+7*(Reprogramaciones!R$14-1))),MIN(F225,Reprogramaciones!R$13),11))/MAX(0,NETWORKDAYS.INTL(MAX(E225,(Reprogramaciones!$T$15+7*(Reprogramaciones!R$14-1))),MIN(F225,(Reprogramaciones!$T$15+7*(Reprogramaciones!R$14-1))+6),11))))))))</f>
        <v/>
      </c>
      <c r="CB225" s="1" t="str">
        <f aca="false">IF(OR(NOT(AND(ISNUMBER(E225),ISNUMBER(F225))),$J$2=""),"",IF(Reprogramaciones!S$13&lt;Reprogramaciones!$T$15,0,IF(Reprogramaciones!S$14&gt;10,MIN(100,SUM($G225:$P225)),MIN(100,SUMPRODUCT((COLUMN($G225:$P225)-COLUMN($G225)+1&lt;Reprogramaciones!S$14)*$G225:$P225)+N(INDEX($G225:$P225,1,Reprogramaciones!S$14))*IF(Reprogramaciones!S$13&gt;=(Reprogramaciones!$T$15+7*(Reprogramaciones!S$14-1))+6,1,IF(MAX(0,NETWORKDAYS.INTL(MAX(E225,(Reprogramaciones!$T$15+7*(Reprogramaciones!S$14-1))),MIN(F225,(Reprogramaciones!$T$15+7*(Reprogramaciones!S$14-1))+6),11))=0,0,MAX(0,NETWORKDAYS.INTL(MAX(E225,(Reprogramaciones!$T$15+7*(Reprogramaciones!S$14-1))),MIN(F225,Reprogramaciones!S$13),11))/MAX(0,NETWORKDAYS.INTL(MAX(E225,(Reprogramaciones!$T$15+7*(Reprogramaciones!S$14-1))),MIN(F225,(Reprogramaciones!$T$15+7*(Reprogramaciones!S$14-1))+6),11))))))))</f>
        <v/>
      </c>
      <c r="CC225" s="1" t="str">
        <f aca="false">IF(OR(NOT(AND(ISNUMBER(E225),ISNUMBER(F225))),$J$2=""),"",IF(Reprogramaciones!T$13&lt;Reprogramaciones!$T$15,0,IF(Reprogramaciones!T$14&gt;10,MIN(100,SUM($G225:$P225)),MIN(100,SUMPRODUCT((COLUMN($G225:$P225)-COLUMN($G225)+1&lt;Reprogramaciones!T$14)*$G225:$P225)+N(INDEX($G225:$P225,1,Reprogramaciones!T$14))*IF(Reprogramaciones!T$13&gt;=(Reprogramaciones!$T$15+7*(Reprogramaciones!T$14-1))+6,1,IF(MAX(0,NETWORKDAYS.INTL(MAX(E225,(Reprogramaciones!$T$15+7*(Reprogramaciones!T$14-1))),MIN(F225,(Reprogramaciones!$T$15+7*(Reprogramaciones!T$14-1))+6),11))=0,0,MAX(0,NETWORKDAYS.INTL(MAX(E225,(Reprogramaciones!$T$15+7*(Reprogramaciones!T$14-1))),MIN(F225,Reprogramaciones!T$13),11))/MAX(0,NETWORKDAYS.INTL(MAX(E225,(Reprogramaciones!$T$15+7*(Reprogramaciones!T$14-1))),MIN(F225,(Reprogramaciones!$T$15+7*(Reprogramaciones!T$14-1))+6),11))))))))</f>
        <v/>
      </c>
      <c r="CD225" s="1" t="str">
        <f aca="false">IF(OR(NOT(AND(ISNUMBER(E225),ISNUMBER(F225))),$J$2=""),"",IF(Reprogramaciones!U$13&lt;Reprogramaciones!$T$15,0,IF(Reprogramaciones!U$14&gt;10,MIN(100,SUM($G225:$P225)),MIN(100,SUMPRODUCT((COLUMN($G225:$P225)-COLUMN($G225)+1&lt;Reprogramaciones!U$14)*$G225:$P225)+N(INDEX($G225:$P225,1,Reprogramaciones!U$14))*IF(Reprogramaciones!U$13&gt;=(Reprogramaciones!$T$15+7*(Reprogramaciones!U$14-1))+6,1,IF(MAX(0,NETWORKDAYS.INTL(MAX(E225,(Reprogramaciones!$T$15+7*(Reprogramaciones!U$14-1))),MIN(F225,(Reprogramaciones!$T$15+7*(Reprogramaciones!U$14-1))+6),11))=0,0,MAX(0,NETWORKDAYS.INTL(MAX(E225,(Reprogramaciones!$T$15+7*(Reprogramaciones!U$14-1))),MIN(F225,Reprogramaciones!U$13),11))/MAX(0,NETWORKDAYS.INTL(MAX(E225,(Reprogramaciones!$T$15+7*(Reprogramaciones!U$14-1))),MIN(F225,(Reprogramaciones!$T$15+7*(Reprogramaciones!U$14-1))+6),11))))))))</f>
        <v/>
      </c>
      <c r="CE225" s="1" t="str">
        <f aca="false">IF(OR(NOT(AND(ISNUMBER(E225),ISNUMBER(F225))),$J$2=""),"",IF(Reprogramaciones!V$13&lt;Reprogramaciones!$T$15,0,IF(Reprogramaciones!V$14&gt;10,MIN(100,SUM($G225:$P225)),MIN(100,SUMPRODUCT((COLUMN($G225:$P225)-COLUMN($G225)+1&lt;Reprogramaciones!V$14)*$G225:$P225)+N(INDEX($G225:$P225,1,Reprogramaciones!V$14))*IF(Reprogramaciones!V$13&gt;=(Reprogramaciones!$T$15+7*(Reprogramaciones!V$14-1))+6,1,IF(MAX(0,NETWORKDAYS.INTL(MAX(E225,(Reprogramaciones!$T$15+7*(Reprogramaciones!V$14-1))),MIN(F225,(Reprogramaciones!$T$15+7*(Reprogramaciones!V$14-1))+6),11))=0,0,MAX(0,NETWORKDAYS.INTL(MAX(E225,(Reprogramaciones!$T$15+7*(Reprogramaciones!V$14-1))),MIN(F225,Reprogramaciones!V$13),11))/MAX(0,NETWORKDAYS.INTL(MAX(E225,(Reprogramaciones!$T$15+7*(Reprogramaciones!V$14-1))),MIN(F225,(Reprogramaciones!$T$15+7*(Reprogramaciones!V$14-1))+6),11))))))))</f>
        <v/>
      </c>
      <c r="CF225" s="1" t="str">
        <f aca="false">IF(OR(NOT(AND(ISNUMBER(E225),ISNUMBER(F225))),$J$2=""),"",IF(Reprogramaciones!W$13&lt;Reprogramaciones!$T$15,0,IF(Reprogramaciones!W$14&gt;10,MIN(100,SUM($G225:$P225)),MIN(100,SUMPRODUCT((COLUMN($G225:$P225)-COLUMN($G225)+1&lt;Reprogramaciones!W$14)*$G225:$P225)+N(INDEX($G225:$P225,1,Reprogramaciones!W$14))*IF(Reprogramaciones!W$13&gt;=(Reprogramaciones!$T$15+7*(Reprogramaciones!W$14-1))+6,1,IF(MAX(0,NETWORKDAYS.INTL(MAX(E225,(Reprogramaciones!$T$15+7*(Reprogramaciones!W$14-1))),MIN(F225,(Reprogramaciones!$T$15+7*(Reprogramaciones!W$14-1))+6),11))=0,0,MAX(0,NETWORKDAYS.INTL(MAX(E225,(Reprogramaciones!$T$15+7*(Reprogramaciones!W$14-1))),MIN(F225,Reprogramaciones!W$13),11))/MAX(0,NETWORKDAYS.INTL(MAX(E225,(Reprogramaciones!$T$15+7*(Reprogramaciones!W$14-1))),MIN(F225,(Reprogramaciones!$T$15+7*(Reprogramaciones!W$14-1))+6),11))))))))</f>
        <v/>
      </c>
      <c r="CG225" s="1" t="str">
        <f aca="false">IF(OR(NOT(AND(ISNUMBER(E225),ISNUMBER(F225))),$J$2=""),"",IF(Reprogramaciones!X$13&lt;Reprogramaciones!$T$15,0,IF(Reprogramaciones!X$14&gt;10,MIN(100,SUM($G225:$P225)),MIN(100,SUMPRODUCT((COLUMN($G225:$P225)-COLUMN($G225)+1&lt;Reprogramaciones!X$14)*$G225:$P225)+N(INDEX($G225:$P225,1,Reprogramaciones!X$14))*IF(Reprogramaciones!X$13&gt;=(Reprogramaciones!$T$15+7*(Reprogramaciones!X$14-1))+6,1,IF(MAX(0,NETWORKDAYS.INTL(MAX(E225,(Reprogramaciones!$T$15+7*(Reprogramaciones!X$14-1))),MIN(F225,(Reprogramaciones!$T$15+7*(Reprogramaciones!X$14-1))+6),11))=0,0,MAX(0,NETWORKDAYS.INTL(MAX(E225,(Reprogramaciones!$T$15+7*(Reprogramaciones!X$14-1))),MIN(F225,Reprogramaciones!X$13),11))/MAX(0,NETWORKDAYS.INTL(MAX(E225,(Reprogramaciones!$T$15+7*(Reprogramaciones!X$14-1))),MIN(F225,(Reprogramaciones!$T$15+7*(Reprogramaciones!X$14-1))+6),11))))))))</f>
        <v/>
      </c>
      <c r="CH225" s="1" t="str">
        <f aca="false">IF(OR(NOT(AND(ISNUMBER(E225),ISNUMBER(F225))),$J$2=""),"",IF(Reprogramaciones!Y$13&lt;Reprogramaciones!$T$15,0,IF(Reprogramaciones!Y$14&gt;10,MIN(100,SUM($G225:$P225)),MIN(100,SUMPRODUCT((COLUMN($G225:$P225)-COLUMN($G225)+1&lt;Reprogramaciones!Y$14)*$G225:$P225)+N(INDEX($G225:$P225,1,Reprogramaciones!Y$14))*IF(Reprogramaciones!Y$13&gt;=(Reprogramaciones!$T$15+7*(Reprogramaciones!Y$14-1))+6,1,IF(MAX(0,NETWORKDAYS.INTL(MAX(E225,(Reprogramaciones!$T$15+7*(Reprogramaciones!Y$14-1))),MIN(F225,(Reprogramaciones!$T$15+7*(Reprogramaciones!Y$14-1))+6),11))=0,0,MAX(0,NETWORKDAYS.INTL(MAX(E225,(Reprogramaciones!$T$15+7*(Reprogramaciones!Y$14-1))),MIN(F225,Reprogramaciones!Y$13),11))/MAX(0,NETWORKDAYS.INTL(MAX(E225,(Reprogramaciones!$T$15+7*(Reprogramaciones!Y$14-1))),MIN(F225,(Reprogramaciones!$T$15+7*(Reprogramaciones!Y$14-1))+6),11))))))))</f>
        <v/>
      </c>
      <c r="CI225" s="1" t="str">
        <f aca="false">IF(OR(NOT(AND(ISNUMBER(E225),ISNUMBER(F225))),$J$2=""),"",IF(Reprogramaciones!Z$13&lt;Reprogramaciones!$T$15,0,IF(Reprogramaciones!Z$14&gt;10,MIN(100,SUM($G225:$P225)),MIN(100,SUMPRODUCT((COLUMN($G225:$P225)-COLUMN($G225)+1&lt;Reprogramaciones!Z$14)*$G225:$P225)+N(INDEX($G225:$P225,1,Reprogramaciones!Z$14))*IF(Reprogramaciones!Z$13&gt;=(Reprogramaciones!$T$15+7*(Reprogramaciones!Z$14-1))+6,1,IF(MAX(0,NETWORKDAYS.INTL(MAX(E225,(Reprogramaciones!$T$15+7*(Reprogramaciones!Z$14-1))),MIN(F225,(Reprogramaciones!$T$15+7*(Reprogramaciones!Z$14-1))+6),11))=0,0,MAX(0,NETWORKDAYS.INTL(MAX(E225,(Reprogramaciones!$T$15+7*(Reprogramaciones!Z$14-1))),MIN(F225,Reprogramaciones!Z$13),11))/MAX(0,NETWORKDAYS.INTL(MAX(E225,(Reprogramaciones!$T$15+7*(Reprogramaciones!Z$14-1))),MIN(F225,(Reprogramaciones!$T$15+7*(Reprogramaciones!Z$14-1))+6),11))))))))</f>
        <v/>
      </c>
      <c r="CJ225" s="1" t="str">
        <f aca="false">IF(OR(OR(NOT(AND(ISNUMBER(E225),ISNUMBER(F225))),$J$2=""),1&gt;Reprogramaciones!$K$16),"",IF(ROUND(SUM($Q225:Q225),1)&gt;=99.5,100,MIN(100,ROUND(SUM($Q225:Q225),1))))</f>
        <v/>
      </c>
      <c r="CK225" s="1" t="str">
        <f aca="false">IF(OR(OR(NOT(AND(ISNUMBER(E225),ISNUMBER(F225))),$J$2=""),2&gt;Reprogramaciones!$K$16),"",IF(ROUND(SUM($Q225:R225),1)&gt;=99.5,100,MIN(100,ROUND(SUM($Q225:R225),1))))</f>
        <v/>
      </c>
      <c r="CL225" s="1" t="str">
        <f aca="false">IF(OR(OR(NOT(AND(ISNUMBER(E225),ISNUMBER(F225))),$J$2=""),3&gt;Reprogramaciones!$K$16),"",IF(ROUND(SUM($Q225:S225),1)&gt;=99.5,100,MIN(100,ROUND(SUM($Q225:S225),1))))</f>
        <v/>
      </c>
      <c r="CM225" s="1" t="str">
        <f aca="false">IF(OR(OR(NOT(AND(ISNUMBER(E225),ISNUMBER(F225))),$J$2=""),4&gt;Reprogramaciones!$K$16),"",IF(ROUND(SUM($Q225:T225),1)&gt;=99.5,100,MIN(100,ROUND(SUM($Q225:T225),1))))</f>
        <v/>
      </c>
      <c r="CN225" s="1" t="str">
        <f aca="false">IF(OR(OR(NOT(AND(ISNUMBER(E225),ISNUMBER(F225))),$J$2=""),5&gt;Reprogramaciones!$K$16),"",IF(ROUND(SUM($Q225:U225),1)&gt;=99.5,100,MIN(100,ROUND(SUM($Q225:U225),1))))</f>
        <v/>
      </c>
      <c r="CO225" s="1" t="str">
        <f aca="false">IF(OR(OR(NOT(AND(ISNUMBER(E225),ISNUMBER(F225))),$J$2=""),6&gt;Reprogramaciones!$K$16),"",IF(ROUND(SUM($Q225:V225),1)&gt;=99.5,100,MIN(100,ROUND(SUM($Q225:V225),1))))</f>
        <v/>
      </c>
      <c r="CP225" s="1" t="str">
        <f aca="false">IF(OR(OR(NOT(AND(ISNUMBER(E225),ISNUMBER(F225))),$J$2=""),7&gt;Reprogramaciones!$K$16),"",IF(ROUND(SUM($Q225:W225),1)&gt;=99.5,100,MIN(100,ROUND(SUM($Q225:W225),1))))</f>
        <v/>
      </c>
      <c r="CQ225" s="1" t="str">
        <f aca="false">IF(OR(OR(NOT(AND(ISNUMBER(E225),ISNUMBER(F225))),$J$2=""),8&gt;Reprogramaciones!$K$16),"",IF(ROUND(SUM($Q225:X225),1)&gt;=99.5,100,MIN(100,ROUND(SUM($Q225:X225),1))))</f>
        <v/>
      </c>
      <c r="CR225" s="1" t="str">
        <f aca="false">IF(OR(OR(NOT(AND(ISNUMBER(E225),ISNUMBER(F225))),$J$2=""),9&gt;Reprogramaciones!$K$16),"",IF(ROUND(SUM($Q225:Y225),1)&gt;=99.5,100,MIN(100,ROUND(SUM($Q225:Y225),1))))</f>
        <v/>
      </c>
      <c r="CS225" s="1" t="str">
        <f aca="false">IF(OR(OR(NOT(AND(ISNUMBER(E225),ISNUMBER(F225))),$J$2=""),10&gt;Reprogramaciones!$K$16),"",IF(ROUND(SUM($Q225:Z225),1)&gt;=99.5,100,MIN(100,ROUND(SUM($Q225:Z225),1))))</f>
        <v/>
      </c>
      <c r="CT225" s="1" t="str">
        <f aca="false">IF(OR(OR(NOT(AND(ISNUMBER(E225),ISNUMBER(F225))),$J$2=""),11&gt;Reprogramaciones!$K$16),"",IF(ROUND(SUM($Q225:AA225),1)&gt;=99.5,100,MIN(100,ROUND(SUM($Q225:AA225),1))))</f>
        <v/>
      </c>
      <c r="CU225" s="1" t="str">
        <f aca="false">IF(OR(OR(NOT(AND(ISNUMBER(E225),ISNUMBER(F225))),$J$2=""),12&gt;Reprogramaciones!$K$16),"",IF(ROUND(SUM($Q225:AB225),1)&gt;=99.5,100,MIN(100,ROUND(SUM($Q225:AB225),1))))</f>
        <v/>
      </c>
      <c r="CV225" s="1" t="str">
        <f aca="false">IF(OR(OR(NOT(AND(ISNUMBER(E225),ISNUMBER(F225))),$J$2=""),13&gt;Reprogramaciones!$K$16),"",IF(ROUND(SUM($Q225:AC225),1)&gt;=99.5,100,MIN(100,ROUND(SUM($Q225:AC225),1))))</f>
        <v/>
      </c>
      <c r="CW225" s="1" t="str">
        <f aca="false">IF(OR(OR(NOT(AND(ISNUMBER(E225),ISNUMBER(F225))),$J$2=""),14&gt;Reprogramaciones!$K$16),"",IF(ROUND(SUM($Q225:AD225),1)&gt;=99.5,100,MIN(100,ROUND(SUM($Q225:AD225),1))))</f>
        <v/>
      </c>
      <c r="CX225" s="1" t="str">
        <f aca="false">IF(OR(OR(NOT(AND(ISNUMBER(E225),ISNUMBER(F225))),$J$2=""),15&gt;Reprogramaciones!$K$16),"",IF(ROUND(SUM($Q225:AE225),1)&gt;=99.5,100,MIN(100,ROUND(SUM($Q225:AE225),1))))</f>
        <v/>
      </c>
      <c r="CY225" s="1" t="str">
        <f aca="false">IF(OR(OR(NOT(AND(ISNUMBER(E225),ISNUMBER(F225))),$J$2=""),16&gt;Reprogramaciones!$K$16),"",IF(ROUND(SUM($Q225:AF225),1)&gt;=99.5,100,MIN(100,ROUND(SUM($Q225:AF225),1))))</f>
        <v/>
      </c>
      <c r="CZ225" s="1" t="str">
        <f aca="false">IF(D225&lt;&gt;"",D225,IF(B225&lt;&gt;"","Contractual",CZ224))</f>
        <v>Contractual</v>
      </c>
      <c r="DA225" s="1" t="str">
        <f aca="false">IF(OR(NOT(AND(ISNUMBER(E225),ISNUMBER(F225))),$J$2=""),"",IF(Reprogramaciones!$Q$15&lt;Reprogramaciones!$T$15,0,IF(Reprogramaciones!$S$15&gt;10,MIN(100,SUM($G225:$P225)),MIN(100,SUMPRODUCT((COLUMN($G225:$P225)-COLUMN($G225)+1&lt;Reprogramaciones!$S$15)*$G225:$P225)+N(INDEX($G225:$P225,1,Reprogramaciones!$S$15))*IF(Reprogramaciones!$Q$15&gt;=(Reprogramaciones!$T$15+7*(Reprogramaciones!$S$15-1))+6,1,IF(MAX(0,NETWORKDAYS.INTL(MAX(E225,(Reprogramaciones!$T$15+7*(Reprogramaciones!$S$15-1))),MIN(F225,(Reprogramaciones!$T$15+7*(Reprogramaciones!$S$15-1))+6),11))=0,0,MAX(0,NETWORKDAYS.INTL(MAX(E225,(Reprogramaciones!$T$15+7*(Reprogramaciones!$S$15-1))),MIN(F225,Reprogramaciones!$Q$15),11))/MAX(0,NETWORKDAYS.INTL(MAX(E225,(Reprogramaciones!$T$15+7*(Reprogramaciones!$S$15-1))),MIN(F225,(Reprogramaciones!$T$15+7*(Reprogramaciones!$S$15-1))+6),11))))))))</f>
        <v/>
      </c>
    </row>
    <row r="226" customFormat="false" ht="15" hidden="false" customHeight="false" outlineLevel="0" collapsed="false">
      <c r="A226" s="32"/>
      <c r="B226" s="33"/>
      <c r="C226" s="33"/>
      <c r="D226" s="34"/>
      <c r="E226" s="35"/>
      <c r="F226" s="35"/>
      <c r="G226" s="36" t="str">
        <f aca="false">IF(OR(NOT(AND(ISNUMBER(E226),ISNUMBER(F226))),$J$2=""),"",IF(Reprogramaciones!K$9&lt;E226,0,IF(NETWORKDAYS.INTL(E226,F226,11)=0,IF(Reprogramaciones!K$9&gt;=F226,100,0),ROUND(NETWORKDAYS.INTL(E226,MIN(F226,Reprogramaciones!K$9),11)/NETWORKDAYS.INTL(E226,F226,11)*100,1)))-0)</f>
        <v/>
      </c>
      <c r="H226" s="36" t="str">
        <f aca="false">IF(OR(NOT(AND(ISNUMBER(E226),ISNUMBER(F226))),$J$2=""),"",IF(Reprogramaciones!L$9&lt;E226,0,IF(NETWORKDAYS.INTL(E226,F226,11)=0,IF(Reprogramaciones!L$9&gt;=F226,100,0),ROUND(NETWORKDAYS.INTL(E226,MIN(F226,Reprogramaciones!L$9),11)/NETWORKDAYS.INTL(E226,F226,11)*100,1)))-IF(Reprogramaciones!K$9&lt;E226,0,IF(NETWORKDAYS.INTL(E226,F226,11)=0,IF(Reprogramaciones!K$9&gt;=F226,100,0),ROUND(NETWORKDAYS.INTL(E226,MIN(F226,Reprogramaciones!K$9),11)/NETWORKDAYS.INTL(E226,F226,11)*100,1))))</f>
        <v/>
      </c>
      <c r="I226" s="36" t="str">
        <f aca="false">IF(OR(NOT(AND(ISNUMBER(E226),ISNUMBER(F226))),$J$2=""),"",IF(Reprogramaciones!M$9&lt;E226,0,IF(NETWORKDAYS.INTL(E226,F226,11)=0,IF(Reprogramaciones!M$9&gt;=F226,100,0),ROUND(NETWORKDAYS.INTL(E226,MIN(F226,Reprogramaciones!M$9),11)/NETWORKDAYS.INTL(E226,F226,11)*100,1)))-IF(Reprogramaciones!L$9&lt;E226,0,IF(NETWORKDAYS.INTL(E226,F226,11)=0,IF(Reprogramaciones!L$9&gt;=F226,100,0),ROUND(NETWORKDAYS.INTL(E226,MIN(F226,Reprogramaciones!L$9),11)/NETWORKDAYS.INTL(E226,F226,11)*100,1))))</f>
        <v/>
      </c>
      <c r="J226" s="36" t="str">
        <f aca="false">IF(OR(NOT(AND(ISNUMBER(E226),ISNUMBER(F226))),$J$2=""),"",IF(Reprogramaciones!N$9&lt;E226,0,IF(NETWORKDAYS.INTL(E226,F226,11)=0,IF(Reprogramaciones!N$9&gt;=F226,100,0),ROUND(NETWORKDAYS.INTL(E226,MIN(F226,Reprogramaciones!N$9),11)/NETWORKDAYS.INTL(E226,F226,11)*100,1)))-IF(Reprogramaciones!M$9&lt;E226,0,IF(NETWORKDAYS.INTL(E226,F226,11)=0,IF(Reprogramaciones!M$9&gt;=F226,100,0),ROUND(NETWORKDAYS.INTL(E226,MIN(F226,Reprogramaciones!M$9),11)/NETWORKDAYS.INTL(E226,F226,11)*100,1))))</f>
        <v/>
      </c>
      <c r="K226" s="36" t="str">
        <f aca="false">IF(OR(NOT(AND(ISNUMBER(E226),ISNUMBER(F226))),$J$2=""),"",IF(Reprogramaciones!O$9&lt;E226,0,IF(NETWORKDAYS.INTL(E226,F226,11)=0,IF(Reprogramaciones!O$9&gt;=F226,100,0),ROUND(NETWORKDAYS.INTL(E226,MIN(F226,Reprogramaciones!O$9),11)/NETWORKDAYS.INTL(E226,F226,11)*100,1)))-IF(Reprogramaciones!N$9&lt;E226,0,IF(NETWORKDAYS.INTL(E226,F226,11)=0,IF(Reprogramaciones!N$9&gt;=F226,100,0),ROUND(NETWORKDAYS.INTL(E226,MIN(F226,Reprogramaciones!N$9),11)/NETWORKDAYS.INTL(E226,F226,11)*100,1))))</f>
        <v/>
      </c>
      <c r="L226" s="36" t="str">
        <f aca="false">IF(OR(NOT(AND(ISNUMBER(E226),ISNUMBER(F226))),$J$2=""),"",IF(Reprogramaciones!P$9&lt;E226,0,IF(NETWORKDAYS.INTL(E226,F226,11)=0,IF(Reprogramaciones!P$9&gt;=F226,100,0),ROUND(NETWORKDAYS.INTL(E226,MIN(F226,Reprogramaciones!P$9),11)/NETWORKDAYS.INTL(E226,F226,11)*100,1)))-IF(Reprogramaciones!O$9&lt;E226,0,IF(NETWORKDAYS.INTL(E226,F226,11)=0,IF(Reprogramaciones!O$9&gt;=F226,100,0),ROUND(NETWORKDAYS.INTL(E226,MIN(F226,Reprogramaciones!O$9),11)/NETWORKDAYS.INTL(E226,F226,11)*100,1))))</f>
        <v/>
      </c>
      <c r="M226" s="36" t="str">
        <f aca="false">IF(OR(NOT(AND(ISNUMBER(E226),ISNUMBER(F226))),$J$2=""),"",IF(Reprogramaciones!Q$9&lt;E226,0,IF(NETWORKDAYS.INTL(E226,F226,11)=0,IF(Reprogramaciones!Q$9&gt;=F226,100,0),ROUND(NETWORKDAYS.INTL(E226,MIN(F226,Reprogramaciones!Q$9),11)/NETWORKDAYS.INTL(E226,F226,11)*100,1)))-IF(Reprogramaciones!P$9&lt;E226,0,IF(NETWORKDAYS.INTL(E226,F226,11)=0,IF(Reprogramaciones!P$9&gt;=F226,100,0),ROUND(NETWORKDAYS.INTL(E226,MIN(F226,Reprogramaciones!P$9),11)/NETWORKDAYS.INTL(E226,F226,11)*100,1))))</f>
        <v/>
      </c>
      <c r="N226" s="36" t="str">
        <f aca="false">IF(OR(NOT(AND(ISNUMBER(E226),ISNUMBER(F226))),$J$2=""),"",IF(Reprogramaciones!R$9&lt;E226,0,IF(NETWORKDAYS.INTL(E226,F226,11)=0,IF(Reprogramaciones!R$9&gt;=F226,100,0),ROUND(NETWORKDAYS.INTL(E226,MIN(F226,Reprogramaciones!R$9),11)/NETWORKDAYS.INTL(E226,F226,11)*100,1)))-IF(Reprogramaciones!Q$9&lt;E226,0,IF(NETWORKDAYS.INTL(E226,F226,11)=0,IF(Reprogramaciones!Q$9&gt;=F226,100,0),ROUND(NETWORKDAYS.INTL(E226,MIN(F226,Reprogramaciones!Q$9),11)/NETWORKDAYS.INTL(E226,F226,11)*100,1))))</f>
        <v/>
      </c>
      <c r="O226" s="36" t="str">
        <f aca="false">IF(OR(NOT(AND(ISNUMBER(E226),ISNUMBER(F226))),$J$2=""),"",IF(Reprogramaciones!S$9&lt;E226,0,IF(NETWORKDAYS.INTL(E226,F226,11)=0,IF(Reprogramaciones!S$9&gt;=F226,100,0),ROUND(NETWORKDAYS.INTL(E226,MIN(F226,Reprogramaciones!S$9),11)/NETWORKDAYS.INTL(E226,F226,11)*100,1)))-IF(Reprogramaciones!R$9&lt;E226,0,IF(NETWORKDAYS.INTL(E226,F226,11)=0,IF(Reprogramaciones!R$9&gt;=F226,100,0),ROUND(NETWORKDAYS.INTL(E226,MIN(F226,Reprogramaciones!R$9),11)/NETWORKDAYS.INTL(E226,F226,11)*100,1))))</f>
        <v/>
      </c>
      <c r="P226" s="36" t="str">
        <f aca="false">IF(OR(NOT(AND(ISNUMBER(E226),ISNUMBER(F226))),$J$2=""),"",IF(Reprogramaciones!T$9&lt;E226,0,IF(NETWORKDAYS.INTL(E226,F226,11)=0,IF(Reprogramaciones!T$9&gt;=F226,100,0),ROUND(NETWORKDAYS.INTL(E226,MIN(F226,Reprogramaciones!T$9),11)/NETWORKDAYS.INTL(E226,F226,11)*100,1)))-IF(Reprogramaciones!S$9&lt;E226,0,IF(NETWORKDAYS.INTL(E226,F226,11)=0,IF(Reprogramaciones!S$9&gt;=F226,100,0),ROUND(NETWORKDAYS.INTL(E226,MIN(F226,Reprogramaciones!S$9),11)/NETWORKDAYS.INTL(E226,F226,11)*100,1))))</f>
        <v/>
      </c>
      <c r="Q226" s="37"/>
      <c r="R226" s="37"/>
      <c r="S226" s="37"/>
      <c r="T226" s="37"/>
      <c r="U226" s="37"/>
      <c r="V226" s="37"/>
      <c r="W226" s="37"/>
      <c r="X226" s="37"/>
      <c r="Y226" s="37"/>
      <c r="Z226" s="37"/>
      <c r="AA226" s="37"/>
      <c r="AB226" s="37"/>
      <c r="AC226" s="37"/>
      <c r="AD226" s="37"/>
      <c r="AE226" s="37"/>
      <c r="AF226" s="37"/>
      <c r="AG226" s="38" t="str">
        <f aca="false">IF(AND(ISNUMBER(E226),ISNUMBER(F226)),NETWORKDAYS.INTL(E226,F226,11),"")</f>
        <v/>
      </c>
      <c r="AH226" s="38" t="str">
        <f aca="false">IF(OR(NOT(AND(ISNUMBER(E226),ISNUMBER(F226))),$J$2=""),"",IF(Reprogramaciones!$P$15&lt;Reprogramaciones!$T$15,0,IF(Reprogramaciones!$R$15&gt;10,MIN(100,SUM($G226:$P226)),MIN(100,SUMPRODUCT((COLUMN($G226:$P226)-COLUMN($G226)+1&lt;Reprogramaciones!$R$15)*$G226:$P226)+N(INDEX($G226:$P226,1,Reprogramaciones!$R$15))*IF(Reprogramaciones!$P$15&gt;=(Reprogramaciones!$T$15+7*(Reprogramaciones!$R$15-1))+6,1,IF(MAX(0,NETWORKDAYS.INTL(MAX(E226,(Reprogramaciones!$T$15+7*(Reprogramaciones!$R$15-1))),MIN(F226,(Reprogramaciones!$T$15+7*(Reprogramaciones!$R$15-1))+6),11))=0,0,MAX(0,NETWORKDAYS.INTL(MAX(E226,(Reprogramaciones!$T$15+7*(Reprogramaciones!$R$15-1))),MIN(F226,Reprogramaciones!$P$15),11))/MAX(0,NETWORKDAYS.INTL(MAX(E226,(Reprogramaciones!$T$15+7*(Reprogramaciones!$R$15-1))),MIN(F226,(Reprogramaciones!$T$15+7*(Reprogramaciones!$R$15-1))+6),11))))))))</f>
        <v/>
      </c>
      <c r="AI226" s="38" t="str">
        <f aca="false">IF(COUNT($Q226:$AF226)=0,"",IF(ROUND(SUM($Q226:$AF226),1)&gt;=99.5,100,MIN(100,ROUND(SUM($Q226:$AF226),1))))</f>
        <v/>
      </c>
      <c r="AJ226" s="38" t="str">
        <f aca="false">IF(OR(AH226="",AI226=""),"",AI226-AH226)</f>
        <v/>
      </c>
      <c r="AK226" s="39" t="str">
        <f aca="true">IF(AH226="","",IF(OR(Ficha!$C$10="Suspendida",Ficha!$C$10="Cancelada"),Ficha!$C$10,IF(AND(AI226&lt;&gt;"",N(AI226)&gt;=100),"Completada",IF(AND(E226&gt;TODAY(),N(AI226)=0),"Por iniciar",IF(N(AI226)+0.5&lt;AH226,"Retrasada",IF(N(AI226)+0.5&lt;DA226,IF(Reprogramaciones!$K$15&gt;0,"Al día · Sem "&amp;Reprogramaciones!$K$15&amp;" en curso","Al día · en curso"),"A tiempo"))))))</f>
        <v/>
      </c>
      <c r="AL226" s="39" t="str">
        <f aca="true">IF(AND(A226="",AND(B226="",C226="",E226="",F226="",COUNT(Q226:AF226)=0)),"",IF(AND(B226="",C226="",E226="",F226="",COUNT(Q226:AF226)=0),"Falta la partida o subpartida",IF(AND(A226&lt;&gt;"",COUNTIF($A$6:$A$305,A226)&gt;1),"Ítem repetido",IF(AND(C226="",E226="",F226="",COUNT(Q226:AF226)=0),"Título de partida",IF(OR(E226="",F226=""),"Faltan fechas",IF(OR(ISTEXT(E226),ISTEXT(F226)),"Fecha escrita como texto: usa dd/mm/aaaa",IF(F226&lt;E226,"Fin antes del inicio",IF(IF($J$2="",FALSE(),OR(E226&lt;$J$2,F226&gt;Reprogramaciones!$T$15+69)),"Fuera de las 10 semanas",IF(ABS(SUM(G226:P226)-100)&gt;0.5,"La meta no suma 100%",IF(ROUND(SUM(Q226:AF226),1)&gt;100.5,"El avance pasa de 100%",IF(MIN(Q226:AF226)&lt;0,"Avance negativo",IF(COUNTA(Q226:AF226)&gt;COUNT(Q226:AF226),"Avance escrito como texto",IF(SUMPRODUCT((Q226:AF226&gt;0)*(Q226:AF226&lt;1))&gt;0,"Avance menor a 1: escribe 50, no 50%",IF(SUMPRODUCT(ISNUMBER(Q226:AF226)*(Reprogramaciones!$K$8:$Z$8&gt;TODAY()))&gt;0,"Avance en semana que aún no llega",IF(AND(N(Reprogramaciones!$E$21)&gt;0,F226&gt;Reprogramaciones!$E$21),"Pasa el fin de la obra: registra una reprogramación",IF(AND(N(Reprogramaciones!$E$21)&gt;0,SUMPRODUCT(ISNUMBER(Q226:AF226)*(Reprogramaciones!$K$8:$Z$8&gt;Reprogramaciones!$E$21))&gt;0),"Avance después del fin de la obra: registra una reprogramación por atraso","OK"))))))))))))))))</f>
        <v/>
      </c>
      <c r="AM226" s="40" t="str">
        <f aca="false">IF(OR(OR(NOT(AND(ISNUMBER(E226),ISNUMBER(F226))),$J$2=""),1&gt;MAX(1,Reprogramaciones!$U$15)),"",IF(Reprogramaciones!K$12&gt;=7,"",IF(OR(BT226-N(0)&gt;0.05,N(Q226)&gt;0),ROUNDDOWN(ROUND(BT226,6),0)&amp;"%"&amp;IF(CJ226="",""," / "&amp;CJ226&amp;"%"),IF(AND(N(0)&gt;=99.95,CJ226&lt;&gt;"",N(CJ226)&lt;100),"Pend. "&amp;CJ226&amp;"%",""))))</f>
        <v/>
      </c>
      <c r="AN226" s="40" t="str">
        <f aca="false">IF(OR(OR(NOT(AND(ISNUMBER(E226),ISNUMBER(F226))),$J$2=""),2&gt;MAX(1,Reprogramaciones!$U$15)),"",IF(Reprogramaciones!L$12&gt;=7,"",IF(OR(BU226-N(BT226)&gt;0.05,N(R226)&gt;0),ROUNDDOWN(ROUND(BU226,6),0)&amp;"%"&amp;IF(CK226="",""," / "&amp;CK226&amp;"%"),IF(AND(N(BT226)&gt;=99.95,CK226&lt;&gt;"",N(CK226)&lt;100),"Pend. "&amp;CK226&amp;"%",""))))</f>
        <v/>
      </c>
      <c r="AO226" s="40" t="str">
        <f aca="false">IF(OR(OR(NOT(AND(ISNUMBER(E226),ISNUMBER(F226))),$J$2=""),3&gt;MAX(1,Reprogramaciones!$U$15)),"",IF(Reprogramaciones!M$12&gt;=7,"",IF(OR(BV226-N(BU226)&gt;0.05,N(S226)&gt;0),ROUNDDOWN(ROUND(BV226,6),0)&amp;"%"&amp;IF(CL226="",""," / "&amp;CL226&amp;"%"),IF(AND(N(BU226)&gt;=99.95,CL226&lt;&gt;"",N(CL226)&lt;100),"Pend. "&amp;CL226&amp;"%",""))))</f>
        <v/>
      </c>
      <c r="AP226" s="40" t="str">
        <f aca="false">IF(OR(OR(NOT(AND(ISNUMBER(E226),ISNUMBER(F226))),$J$2=""),4&gt;MAX(1,Reprogramaciones!$U$15)),"",IF(Reprogramaciones!N$12&gt;=7,"",IF(OR(BW226-N(BV226)&gt;0.05,N(T226)&gt;0),ROUNDDOWN(ROUND(BW226,6),0)&amp;"%"&amp;IF(CM226="",""," / "&amp;CM226&amp;"%"),IF(AND(N(BV226)&gt;=99.95,CM226&lt;&gt;"",N(CM226)&lt;100),"Pend. "&amp;CM226&amp;"%",""))))</f>
        <v/>
      </c>
      <c r="AQ226" s="40" t="str">
        <f aca="false">IF(OR(OR(NOT(AND(ISNUMBER(E226),ISNUMBER(F226))),$J$2=""),5&gt;MAX(1,Reprogramaciones!$U$15)),"",IF(Reprogramaciones!O$12&gt;=7,"",IF(OR(BX226-N(BW226)&gt;0.05,N(U226)&gt;0),ROUNDDOWN(ROUND(BX226,6),0)&amp;"%"&amp;IF(CN226="",""," / "&amp;CN226&amp;"%"),IF(AND(N(BW226)&gt;=99.95,CN226&lt;&gt;"",N(CN226)&lt;100),"Pend. "&amp;CN226&amp;"%",""))))</f>
        <v/>
      </c>
      <c r="AR226" s="40" t="str">
        <f aca="false">IF(OR(OR(NOT(AND(ISNUMBER(E226),ISNUMBER(F226))),$J$2=""),6&gt;MAX(1,Reprogramaciones!$U$15)),"",IF(Reprogramaciones!P$12&gt;=7,"",IF(OR(BY226-N(BX226)&gt;0.05,N(V226)&gt;0),ROUNDDOWN(ROUND(BY226,6),0)&amp;"%"&amp;IF(CO226="",""," / "&amp;CO226&amp;"%"),IF(AND(N(BX226)&gt;=99.95,CO226&lt;&gt;"",N(CO226)&lt;100),"Pend. "&amp;CO226&amp;"%",""))))</f>
        <v/>
      </c>
      <c r="AS226" s="40" t="str">
        <f aca="false">IF(OR(OR(NOT(AND(ISNUMBER(E226),ISNUMBER(F226))),$J$2=""),7&gt;MAX(1,Reprogramaciones!$U$15)),"",IF(Reprogramaciones!Q$12&gt;=7,"",IF(OR(BZ226-N(BY226)&gt;0.05,N(W226)&gt;0),ROUNDDOWN(ROUND(BZ226,6),0)&amp;"%"&amp;IF(CP226="",""," / "&amp;CP226&amp;"%"),IF(AND(N(BY226)&gt;=99.95,CP226&lt;&gt;"",N(CP226)&lt;100),"Pend. "&amp;CP226&amp;"%",""))))</f>
        <v/>
      </c>
      <c r="AT226" s="40" t="str">
        <f aca="false">IF(OR(OR(NOT(AND(ISNUMBER(E226),ISNUMBER(F226))),$J$2=""),8&gt;MAX(1,Reprogramaciones!$U$15)),"",IF(Reprogramaciones!R$12&gt;=7,"",IF(OR(CA226-N(BZ226)&gt;0.05,N(X226)&gt;0),ROUNDDOWN(ROUND(CA226,6),0)&amp;"%"&amp;IF(CQ226="",""," / "&amp;CQ226&amp;"%"),IF(AND(N(BZ226)&gt;=99.95,CQ226&lt;&gt;"",N(CQ226)&lt;100),"Pend. "&amp;CQ226&amp;"%",""))))</f>
        <v/>
      </c>
      <c r="AU226" s="40" t="str">
        <f aca="false">IF(OR(OR(NOT(AND(ISNUMBER(E226),ISNUMBER(F226))),$J$2=""),9&gt;MAX(1,Reprogramaciones!$U$15)),"",IF(Reprogramaciones!S$12&gt;=7,"",IF(OR(CB226-N(CA226)&gt;0.05,N(Y226)&gt;0),ROUNDDOWN(ROUND(CB226,6),0)&amp;"%"&amp;IF(CR226="",""," / "&amp;CR226&amp;"%"),IF(AND(N(CA226)&gt;=99.95,CR226&lt;&gt;"",N(CR226)&lt;100),"Pend. "&amp;CR226&amp;"%",""))))</f>
        <v/>
      </c>
      <c r="AV226" s="40" t="str">
        <f aca="false">IF(OR(OR(NOT(AND(ISNUMBER(E226),ISNUMBER(F226))),$J$2=""),10&gt;MAX(1,Reprogramaciones!$U$15)),"",IF(Reprogramaciones!T$12&gt;=7,"",IF(OR(CC226-N(CB226)&gt;0.05,N(Z226)&gt;0),ROUNDDOWN(ROUND(CC226,6),0)&amp;"%"&amp;IF(CS226="",""," / "&amp;CS226&amp;"%"),IF(AND(N(CB226)&gt;=99.95,CS226&lt;&gt;"",N(CS226)&lt;100),"Pend. "&amp;CS226&amp;"%",""))))</f>
        <v/>
      </c>
      <c r="AW226" s="40" t="str">
        <f aca="false">IF(OR(OR(NOT(AND(ISNUMBER(E226),ISNUMBER(F226))),$J$2=""),11&gt;MAX(1,Reprogramaciones!$U$15)),"",IF(Reprogramaciones!U$12&gt;=7,"",IF(OR(CD226-N(CC226)&gt;0.05,N(AA226)&gt;0),ROUNDDOWN(ROUND(CD226,6),0)&amp;"%"&amp;IF(CT226="",""," / "&amp;CT226&amp;"%"),IF(AND(N(CC226)&gt;=99.95,CT226&lt;&gt;"",N(CT226)&lt;100),"Pend. "&amp;CT226&amp;"%",""))))</f>
        <v/>
      </c>
      <c r="AX226" s="40" t="str">
        <f aca="false">IF(OR(OR(NOT(AND(ISNUMBER(E226),ISNUMBER(F226))),$J$2=""),12&gt;MAX(1,Reprogramaciones!$U$15)),"",IF(Reprogramaciones!V$12&gt;=7,"",IF(OR(CE226-N(CD226)&gt;0.05,N(AB226)&gt;0),ROUNDDOWN(ROUND(CE226,6),0)&amp;"%"&amp;IF(CU226="",""," / "&amp;CU226&amp;"%"),IF(AND(N(CD226)&gt;=99.95,CU226&lt;&gt;"",N(CU226)&lt;100),"Pend. "&amp;CU226&amp;"%",""))))</f>
        <v/>
      </c>
      <c r="AY226" s="40" t="str">
        <f aca="false">IF(OR(OR(NOT(AND(ISNUMBER(E226),ISNUMBER(F226))),$J$2=""),13&gt;MAX(1,Reprogramaciones!$U$15)),"",IF(Reprogramaciones!W$12&gt;=7,"",IF(OR(CF226-N(CE226)&gt;0.05,N(AC226)&gt;0),ROUNDDOWN(ROUND(CF226,6),0)&amp;"%"&amp;IF(CV226="",""," / "&amp;CV226&amp;"%"),IF(AND(N(CE226)&gt;=99.95,CV226&lt;&gt;"",N(CV226)&lt;100),"Pend. "&amp;CV226&amp;"%",""))))</f>
        <v/>
      </c>
      <c r="AZ226" s="40" t="str">
        <f aca="false">IF(OR(OR(NOT(AND(ISNUMBER(E226),ISNUMBER(F226))),$J$2=""),14&gt;MAX(1,Reprogramaciones!$U$15)),"",IF(Reprogramaciones!X$12&gt;=7,"",IF(OR(CG226-N(CF226)&gt;0.05,N(AD226)&gt;0),ROUNDDOWN(ROUND(CG226,6),0)&amp;"%"&amp;IF(CW226="",""," / "&amp;CW226&amp;"%"),IF(AND(N(CF226)&gt;=99.95,CW226&lt;&gt;"",N(CW226)&lt;100),"Pend. "&amp;CW226&amp;"%",""))))</f>
        <v/>
      </c>
      <c r="BA226" s="40" t="str">
        <f aca="false">IF(OR(OR(NOT(AND(ISNUMBER(E226),ISNUMBER(F226))),$J$2=""),15&gt;MAX(1,Reprogramaciones!$U$15)),"",IF(Reprogramaciones!Y$12&gt;=7,"",IF(OR(CH226-N(CG226)&gt;0.05,N(AE226)&gt;0),ROUNDDOWN(ROUND(CH226,6),0)&amp;"%"&amp;IF(CX226="",""," / "&amp;CX226&amp;"%"),IF(AND(N(CG226)&gt;=99.95,CX226&lt;&gt;"",N(CX226)&lt;100),"Pend. "&amp;CX226&amp;"%",""))))</f>
        <v/>
      </c>
      <c r="BB226" s="40" t="str">
        <f aca="false">IF(OR(OR(NOT(AND(ISNUMBER(E226),ISNUMBER(F226))),$J$2=""),16&gt;MAX(1,Reprogramaciones!$U$15)),"",IF(Reprogramaciones!Z$12&gt;=7,"",IF(OR(CI226-N(CH226)&gt;0.05,N(AF226)&gt;0),ROUNDDOWN(ROUND(CI226,6),0)&amp;"%"&amp;IF(CY226="",""," / "&amp;CY226&amp;"%"),IF(AND(N(CH226)&gt;=99.95,CY226&lt;&gt;"",N(CY226)&lt;100),"Pend. "&amp;CY226&amp;"%",""))))</f>
        <v/>
      </c>
      <c r="BC226" s="31" t="n">
        <f aca="false">IF(AND(ISNUMBER(E226),ISNUMBER(F226)),MAX(1,NETWORKDAYS.INTL(E226,F226,11)),0)</f>
        <v>0</v>
      </c>
      <c r="BD226" s="1" t="str">
        <f aca="false">IF(OR(NOT(AND(ISNUMBER(E226),ISNUMBER(F226))),$J$2=""),"",MIN(100,ROUND(SUM($G226:G226),1)))</f>
        <v/>
      </c>
      <c r="BE226" s="1" t="str">
        <f aca="false">IF(OR(NOT(AND(ISNUMBER(E226),ISNUMBER(F226))),$J$2=""),"",MIN(100,ROUND(SUM($G226:H226),1)))</f>
        <v/>
      </c>
      <c r="BF226" s="1" t="str">
        <f aca="false">IF(OR(NOT(AND(ISNUMBER(E226),ISNUMBER(F226))),$J$2=""),"",MIN(100,ROUND(SUM($G226:I226),1)))</f>
        <v/>
      </c>
      <c r="BG226" s="1" t="str">
        <f aca="false">IF(OR(NOT(AND(ISNUMBER(E226),ISNUMBER(F226))),$J$2=""),"",MIN(100,ROUND(SUM($G226:J226),1)))</f>
        <v/>
      </c>
      <c r="BH226" s="1" t="str">
        <f aca="false">IF(OR(NOT(AND(ISNUMBER(E226),ISNUMBER(F226))),$J$2=""),"",MIN(100,ROUND(SUM($G226:K226),1)))</f>
        <v/>
      </c>
      <c r="BI226" s="1" t="str">
        <f aca="false">IF(OR(NOT(AND(ISNUMBER(E226),ISNUMBER(F226))),$J$2=""),"",MIN(100,ROUND(SUM($G226:L226),1)))</f>
        <v/>
      </c>
      <c r="BJ226" s="1" t="str">
        <f aca="false">IF(OR(NOT(AND(ISNUMBER(E226),ISNUMBER(F226))),$J$2=""),"",MIN(100,ROUND(SUM($G226:M226),1)))</f>
        <v/>
      </c>
      <c r="BK226" s="1" t="str">
        <f aca="false">IF(OR(NOT(AND(ISNUMBER(E226),ISNUMBER(F226))),$J$2=""),"",MIN(100,ROUND(SUM($G226:N226),1)))</f>
        <v/>
      </c>
      <c r="BL226" s="1" t="str">
        <f aca="false">IF(OR(NOT(AND(ISNUMBER(E226),ISNUMBER(F226))),$J$2=""),"",MIN(100,ROUND(SUM($G226:O226),1)))</f>
        <v/>
      </c>
      <c r="BM226" s="1" t="str">
        <f aca="false">IF(OR(NOT(AND(ISNUMBER(E226),ISNUMBER(F226))),$J$2=""),"",MIN(100,ROUND(SUM($G226:P226),1)))</f>
        <v/>
      </c>
      <c r="BN226" s="1" t="str">
        <f aca="false">IF(OR(NOT(AND(ISNUMBER(E226),ISNUMBER(F226))),$J$2=""),"",MIN(100,ROUND(SUM($G226:P226),1)))</f>
        <v/>
      </c>
      <c r="BO226" s="1" t="str">
        <f aca="false">IF(OR(NOT(AND(ISNUMBER(E226),ISNUMBER(F226))),$J$2=""),"",MIN(100,ROUND(SUM($G226:P226),1)))</f>
        <v/>
      </c>
      <c r="BP226" s="1" t="str">
        <f aca="false">IF(OR(NOT(AND(ISNUMBER(E226),ISNUMBER(F226))),$J$2=""),"",MIN(100,ROUND(SUM($G226:P226),1)))</f>
        <v/>
      </c>
      <c r="BQ226" s="1" t="str">
        <f aca="false">IF(OR(NOT(AND(ISNUMBER(E226),ISNUMBER(F226))),$J$2=""),"",MIN(100,ROUND(SUM($G226:P226),1)))</f>
        <v/>
      </c>
      <c r="BR226" s="1" t="str">
        <f aca="false">IF(OR(NOT(AND(ISNUMBER(E226),ISNUMBER(F226))),$J$2=""),"",MIN(100,ROUND(SUM($G226:P226),1)))</f>
        <v/>
      </c>
      <c r="BS226" s="1" t="str">
        <f aca="false">IF(OR(NOT(AND(ISNUMBER(E226),ISNUMBER(F226))),$J$2=""),"",MIN(100,ROUND(SUM($G226:P226),1)))</f>
        <v/>
      </c>
      <c r="BT226" s="1" t="str">
        <f aca="false">IF(OR(NOT(AND(ISNUMBER(E226),ISNUMBER(F226))),$J$2=""),"",IF(Reprogramaciones!K$13&lt;Reprogramaciones!$T$15,0,IF(Reprogramaciones!K$14&gt;10,MIN(100,SUM($G226:$P226)),MIN(100,SUMPRODUCT((COLUMN($G226:$P226)-COLUMN($G226)+1&lt;Reprogramaciones!K$14)*$G226:$P226)+N(INDEX($G226:$P226,1,Reprogramaciones!K$14))*IF(Reprogramaciones!K$13&gt;=(Reprogramaciones!$T$15+7*(Reprogramaciones!K$14-1))+6,1,IF(MAX(0,NETWORKDAYS.INTL(MAX(E226,(Reprogramaciones!$T$15+7*(Reprogramaciones!K$14-1))),MIN(F226,(Reprogramaciones!$T$15+7*(Reprogramaciones!K$14-1))+6),11))=0,0,MAX(0,NETWORKDAYS.INTL(MAX(E226,(Reprogramaciones!$T$15+7*(Reprogramaciones!K$14-1))),MIN(F226,Reprogramaciones!K$13),11))/MAX(0,NETWORKDAYS.INTL(MAX(E226,(Reprogramaciones!$T$15+7*(Reprogramaciones!K$14-1))),MIN(F226,(Reprogramaciones!$T$15+7*(Reprogramaciones!K$14-1))+6),11))))))))</f>
        <v/>
      </c>
      <c r="BU226" s="1" t="str">
        <f aca="false">IF(OR(NOT(AND(ISNUMBER(E226),ISNUMBER(F226))),$J$2=""),"",IF(Reprogramaciones!L$13&lt;Reprogramaciones!$T$15,0,IF(Reprogramaciones!L$14&gt;10,MIN(100,SUM($G226:$P226)),MIN(100,SUMPRODUCT((COLUMN($G226:$P226)-COLUMN($G226)+1&lt;Reprogramaciones!L$14)*$G226:$P226)+N(INDEX($G226:$P226,1,Reprogramaciones!L$14))*IF(Reprogramaciones!L$13&gt;=(Reprogramaciones!$T$15+7*(Reprogramaciones!L$14-1))+6,1,IF(MAX(0,NETWORKDAYS.INTL(MAX(E226,(Reprogramaciones!$T$15+7*(Reprogramaciones!L$14-1))),MIN(F226,(Reprogramaciones!$T$15+7*(Reprogramaciones!L$14-1))+6),11))=0,0,MAX(0,NETWORKDAYS.INTL(MAX(E226,(Reprogramaciones!$T$15+7*(Reprogramaciones!L$14-1))),MIN(F226,Reprogramaciones!L$13),11))/MAX(0,NETWORKDAYS.INTL(MAX(E226,(Reprogramaciones!$T$15+7*(Reprogramaciones!L$14-1))),MIN(F226,(Reprogramaciones!$T$15+7*(Reprogramaciones!L$14-1))+6),11))))))))</f>
        <v/>
      </c>
      <c r="BV226" s="1" t="str">
        <f aca="false">IF(OR(NOT(AND(ISNUMBER(E226),ISNUMBER(F226))),$J$2=""),"",IF(Reprogramaciones!M$13&lt;Reprogramaciones!$T$15,0,IF(Reprogramaciones!M$14&gt;10,MIN(100,SUM($G226:$P226)),MIN(100,SUMPRODUCT((COLUMN($G226:$P226)-COLUMN($G226)+1&lt;Reprogramaciones!M$14)*$G226:$P226)+N(INDEX($G226:$P226,1,Reprogramaciones!M$14))*IF(Reprogramaciones!M$13&gt;=(Reprogramaciones!$T$15+7*(Reprogramaciones!M$14-1))+6,1,IF(MAX(0,NETWORKDAYS.INTL(MAX(E226,(Reprogramaciones!$T$15+7*(Reprogramaciones!M$14-1))),MIN(F226,(Reprogramaciones!$T$15+7*(Reprogramaciones!M$14-1))+6),11))=0,0,MAX(0,NETWORKDAYS.INTL(MAX(E226,(Reprogramaciones!$T$15+7*(Reprogramaciones!M$14-1))),MIN(F226,Reprogramaciones!M$13),11))/MAX(0,NETWORKDAYS.INTL(MAX(E226,(Reprogramaciones!$T$15+7*(Reprogramaciones!M$14-1))),MIN(F226,(Reprogramaciones!$T$15+7*(Reprogramaciones!M$14-1))+6),11))))))))</f>
        <v/>
      </c>
      <c r="BW226" s="1" t="str">
        <f aca="false">IF(OR(NOT(AND(ISNUMBER(E226),ISNUMBER(F226))),$J$2=""),"",IF(Reprogramaciones!N$13&lt;Reprogramaciones!$T$15,0,IF(Reprogramaciones!N$14&gt;10,MIN(100,SUM($G226:$P226)),MIN(100,SUMPRODUCT((COLUMN($G226:$P226)-COLUMN($G226)+1&lt;Reprogramaciones!N$14)*$G226:$P226)+N(INDEX($G226:$P226,1,Reprogramaciones!N$14))*IF(Reprogramaciones!N$13&gt;=(Reprogramaciones!$T$15+7*(Reprogramaciones!N$14-1))+6,1,IF(MAX(0,NETWORKDAYS.INTL(MAX(E226,(Reprogramaciones!$T$15+7*(Reprogramaciones!N$14-1))),MIN(F226,(Reprogramaciones!$T$15+7*(Reprogramaciones!N$14-1))+6),11))=0,0,MAX(0,NETWORKDAYS.INTL(MAX(E226,(Reprogramaciones!$T$15+7*(Reprogramaciones!N$14-1))),MIN(F226,Reprogramaciones!N$13),11))/MAX(0,NETWORKDAYS.INTL(MAX(E226,(Reprogramaciones!$T$15+7*(Reprogramaciones!N$14-1))),MIN(F226,(Reprogramaciones!$T$15+7*(Reprogramaciones!N$14-1))+6),11))))))))</f>
        <v/>
      </c>
      <c r="BX226" s="1" t="str">
        <f aca="false">IF(OR(NOT(AND(ISNUMBER(E226),ISNUMBER(F226))),$J$2=""),"",IF(Reprogramaciones!O$13&lt;Reprogramaciones!$T$15,0,IF(Reprogramaciones!O$14&gt;10,MIN(100,SUM($G226:$P226)),MIN(100,SUMPRODUCT((COLUMN($G226:$P226)-COLUMN($G226)+1&lt;Reprogramaciones!O$14)*$G226:$P226)+N(INDEX($G226:$P226,1,Reprogramaciones!O$14))*IF(Reprogramaciones!O$13&gt;=(Reprogramaciones!$T$15+7*(Reprogramaciones!O$14-1))+6,1,IF(MAX(0,NETWORKDAYS.INTL(MAX(E226,(Reprogramaciones!$T$15+7*(Reprogramaciones!O$14-1))),MIN(F226,(Reprogramaciones!$T$15+7*(Reprogramaciones!O$14-1))+6),11))=0,0,MAX(0,NETWORKDAYS.INTL(MAX(E226,(Reprogramaciones!$T$15+7*(Reprogramaciones!O$14-1))),MIN(F226,Reprogramaciones!O$13),11))/MAX(0,NETWORKDAYS.INTL(MAX(E226,(Reprogramaciones!$T$15+7*(Reprogramaciones!O$14-1))),MIN(F226,(Reprogramaciones!$T$15+7*(Reprogramaciones!O$14-1))+6),11))))))))</f>
        <v/>
      </c>
      <c r="BY226" s="1" t="str">
        <f aca="false">IF(OR(NOT(AND(ISNUMBER(E226),ISNUMBER(F226))),$J$2=""),"",IF(Reprogramaciones!P$13&lt;Reprogramaciones!$T$15,0,IF(Reprogramaciones!P$14&gt;10,MIN(100,SUM($G226:$P226)),MIN(100,SUMPRODUCT((COLUMN($G226:$P226)-COLUMN($G226)+1&lt;Reprogramaciones!P$14)*$G226:$P226)+N(INDEX($G226:$P226,1,Reprogramaciones!P$14))*IF(Reprogramaciones!P$13&gt;=(Reprogramaciones!$T$15+7*(Reprogramaciones!P$14-1))+6,1,IF(MAX(0,NETWORKDAYS.INTL(MAX(E226,(Reprogramaciones!$T$15+7*(Reprogramaciones!P$14-1))),MIN(F226,(Reprogramaciones!$T$15+7*(Reprogramaciones!P$14-1))+6),11))=0,0,MAX(0,NETWORKDAYS.INTL(MAX(E226,(Reprogramaciones!$T$15+7*(Reprogramaciones!P$14-1))),MIN(F226,Reprogramaciones!P$13),11))/MAX(0,NETWORKDAYS.INTL(MAX(E226,(Reprogramaciones!$T$15+7*(Reprogramaciones!P$14-1))),MIN(F226,(Reprogramaciones!$T$15+7*(Reprogramaciones!P$14-1))+6),11))))))))</f>
        <v/>
      </c>
      <c r="BZ226" s="1" t="str">
        <f aca="false">IF(OR(NOT(AND(ISNUMBER(E226),ISNUMBER(F226))),$J$2=""),"",IF(Reprogramaciones!Q$13&lt;Reprogramaciones!$T$15,0,IF(Reprogramaciones!Q$14&gt;10,MIN(100,SUM($G226:$P226)),MIN(100,SUMPRODUCT((COLUMN($G226:$P226)-COLUMN($G226)+1&lt;Reprogramaciones!Q$14)*$G226:$P226)+N(INDEX($G226:$P226,1,Reprogramaciones!Q$14))*IF(Reprogramaciones!Q$13&gt;=(Reprogramaciones!$T$15+7*(Reprogramaciones!Q$14-1))+6,1,IF(MAX(0,NETWORKDAYS.INTL(MAX(E226,(Reprogramaciones!$T$15+7*(Reprogramaciones!Q$14-1))),MIN(F226,(Reprogramaciones!$T$15+7*(Reprogramaciones!Q$14-1))+6),11))=0,0,MAX(0,NETWORKDAYS.INTL(MAX(E226,(Reprogramaciones!$T$15+7*(Reprogramaciones!Q$14-1))),MIN(F226,Reprogramaciones!Q$13),11))/MAX(0,NETWORKDAYS.INTL(MAX(E226,(Reprogramaciones!$T$15+7*(Reprogramaciones!Q$14-1))),MIN(F226,(Reprogramaciones!$T$15+7*(Reprogramaciones!Q$14-1))+6),11))))))))</f>
        <v/>
      </c>
      <c r="CA226" s="1" t="str">
        <f aca="false">IF(OR(NOT(AND(ISNUMBER(E226),ISNUMBER(F226))),$J$2=""),"",IF(Reprogramaciones!R$13&lt;Reprogramaciones!$T$15,0,IF(Reprogramaciones!R$14&gt;10,MIN(100,SUM($G226:$P226)),MIN(100,SUMPRODUCT((COLUMN($G226:$P226)-COLUMN($G226)+1&lt;Reprogramaciones!R$14)*$G226:$P226)+N(INDEX($G226:$P226,1,Reprogramaciones!R$14))*IF(Reprogramaciones!R$13&gt;=(Reprogramaciones!$T$15+7*(Reprogramaciones!R$14-1))+6,1,IF(MAX(0,NETWORKDAYS.INTL(MAX(E226,(Reprogramaciones!$T$15+7*(Reprogramaciones!R$14-1))),MIN(F226,(Reprogramaciones!$T$15+7*(Reprogramaciones!R$14-1))+6),11))=0,0,MAX(0,NETWORKDAYS.INTL(MAX(E226,(Reprogramaciones!$T$15+7*(Reprogramaciones!R$14-1))),MIN(F226,Reprogramaciones!R$13),11))/MAX(0,NETWORKDAYS.INTL(MAX(E226,(Reprogramaciones!$T$15+7*(Reprogramaciones!R$14-1))),MIN(F226,(Reprogramaciones!$T$15+7*(Reprogramaciones!R$14-1))+6),11))))))))</f>
        <v/>
      </c>
      <c r="CB226" s="1" t="str">
        <f aca="false">IF(OR(NOT(AND(ISNUMBER(E226),ISNUMBER(F226))),$J$2=""),"",IF(Reprogramaciones!S$13&lt;Reprogramaciones!$T$15,0,IF(Reprogramaciones!S$14&gt;10,MIN(100,SUM($G226:$P226)),MIN(100,SUMPRODUCT((COLUMN($G226:$P226)-COLUMN($G226)+1&lt;Reprogramaciones!S$14)*$G226:$P226)+N(INDEX($G226:$P226,1,Reprogramaciones!S$14))*IF(Reprogramaciones!S$13&gt;=(Reprogramaciones!$T$15+7*(Reprogramaciones!S$14-1))+6,1,IF(MAX(0,NETWORKDAYS.INTL(MAX(E226,(Reprogramaciones!$T$15+7*(Reprogramaciones!S$14-1))),MIN(F226,(Reprogramaciones!$T$15+7*(Reprogramaciones!S$14-1))+6),11))=0,0,MAX(0,NETWORKDAYS.INTL(MAX(E226,(Reprogramaciones!$T$15+7*(Reprogramaciones!S$14-1))),MIN(F226,Reprogramaciones!S$13),11))/MAX(0,NETWORKDAYS.INTL(MAX(E226,(Reprogramaciones!$T$15+7*(Reprogramaciones!S$14-1))),MIN(F226,(Reprogramaciones!$T$15+7*(Reprogramaciones!S$14-1))+6),11))))))))</f>
        <v/>
      </c>
      <c r="CC226" s="1" t="str">
        <f aca="false">IF(OR(NOT(AND(ISNUMBER(E226),ISNUMBER(F226))),$J$2=""),"",IF(Reprogramaciones!T$13&lt;Reprogramaciones!$T$15,0,IF(Reprogramaciones!T$14&gt;10,MIN(100,SUM($G226:$P226)),MIN(100,SUMPRODUCT((COLUMN($G226:$P226)-COLUMN($G226)+1&lt;Reprogramaciones!T$14)*$G226:$P226)+N(INDEX($G226:$P226,1,Reprogramaciones!T$14))*IF(Reprogramaciones!T$13&gt;=(Reprogramaciones!$T$15+7*(Reprogramaciones!T$14-1))+6,1,IF(MAX(0,NETWORKDAYS.INTL(MAX(E226,(Reprogramaciones!$T$15+7*(Reprogramaciones!T$14-1))),MIN(F226,(Reprogramaciones!$T$15+7*(Reprogramaciones!T$14-1))+6),11))=0,0,MAX(0,NETWORKDAYS.INTL(MAX(E226,(Reprogramaciones!$T$15+7*(Reprogramaciones!T$14-1))),MIN(F226,Reprogramaciones!T$13),11))/MAX(0,NETWORKDAYS.INTL(MAX(E226,(Reprogramaciones!$T$15+7*(Reprogramaciones!T$14-1))),MIN(F226,(Reprogramaciones!$T$15+7*(Reprogramaciones!T$14-1))+6),11))))))))</f>
        <v/>
      </c>
      <c r="CD226" s="1" t="str">
        <f aca="false">IF(OR(NOT(AND(ISNUMBER(E226),ISNUMBER(F226))),$J$2=""),"",IF(Reprogramaciones!U$13&lt;Reprogramaciones!$T$15,0,IF(Reprogramaciones!U$14&gt;10,MIN(100,SUM($G226:$P226)),MIN(100,SUMPRODUCT((COLUMN($G226:$P226)-COLUMN($G226)+1&lt;Reprogramaciones!U$14)*$G226:$P226)+N(INDEX($G226:$P226,1,Reprogramaciones!U$14))*IF(Reprogramaciones!U$13&gt;=(Reprogramaciones!$T$15+7*(Reprogramaciones!U$14-1))+6,1,IF(MAX(0,NETWORKDAYS.INTL(MAX(E226,(Reprogramaciones!$T$15+7*(Reprogramaciones!U$14-1))),MIN(F226,(Reprogramaciones!$T$15+7*(Reprogramaciones!U$14-1))+6),11))=0,0,MAX(0,NETWORKDAYS.INTL(MAX(E226,(Reprogramaciones!$T$15+7*(Reprogramaciones!U$14-1))),MIN(F226,Reprogramaciones!U$13),11))/MAX(0,NETWORKDAYS.INTL(MAX(E226,(Reprogramaciones!$T$15+7*(Reprogramaciones!U$14-1))),MIN(F226,(Reprogramaciones!$T$15+7*(Reprogramaciones!U$14-1))+6),11))))))))</f>
        <v/>
      </c>
      <c r="CE226" s="1" t="str">
        <f aca="false">IF(OR(NOT(AND(ISNUMBER(E226),ISNUMBER(F226))),$J$2=""),"",IF(Reprogramaciones!V$13&lt;Reprogramaciones!$T$15,0,IF(Reprogramaciones!V$14&gt;10,MIN(100,SUM($G226:$P226)),MIN(100,SUMPRODUCT((COLUMN($G226:$P226)-COLUMN($G226)+1&lt;Reprogramaciones!V$14)*$G226:$P226)+N(INDEX($G226:$P226,1,Reprogramaciones!V$14))*IF(Reprogramaciones!V$13&gt;=(Reprogramaciones!$T$15+7*(Reprogramaciones!V$14-1))+6,1,IF(MAX(0,NETWORKDAYS.INTL(MAX(E226,(Reprogramaciones!$T$15+7*(Reprogramaciones!V$14-1))),MIN(F226,(Reprogramaciones!$T$15+7*(Reprogramaciones!V$14-1))+6),11))=0,0,MAX(0,NETWORKDAYS.INTL(MAX(E226,(Reprogramaciones!$T$15+7*(Reprogramaciones!V$14-1))),MIN(F226,Reprogramaciones!V$13),11))/MAX(0,NETWORKDAYS.INTL(MAX(E226,(Reprogramaciones!$T$15+7*(Reprogramaciones!V$14-1))),MIN(F226,(Reprogramaciones!$T$15+7*(Reprogramaciones!V$14-1))+6),11))))))))</f>
        <v/>
      </c>
      <c r="CF226" s="1" t="str">
        <f aca="false">IF(OR(NOT(AND(ISNUMBER(E226),ISNUMBER(F226))),$J$2=""),"",IF(Reprogramaciones!W$13&lt;Reprogramaciones!$T$15,0,IF(Reprogramaciones!W$14&gt;10,MIN(100,SUM($G226:$P226)),MIN(100,SUMPRODUCT((COLUMN($G226:$P226)-COLUMN($G226)+1&lt;Reprogramaciones!W$14)*$G226:$P226)+N(INDEX($G226:$P226,1,Reprogramaciones!W$14))*IF(Reprogramaciones!W$13&gt;=(Reprogramaciones!$T$15+7*(Reprogramaciones!W$14-1))+6,1,IF(MAX(0,NETWORKDAYS.INTL(MAX(E226,(Reprogramaciones!$T$15+7*(Reprogramaciones!W$14-1))),MIN(F226,(Reprogramaciones!$T$15+7*(Reprogramaciones!W$14-1))+6),11))=0,0,MAX(0,NETWORKDAYS.INTL(MAX(E226,(Reprogramaciones!$T$15+7*(Reprogramaciones!W$14-1))),MIN(F226,Reprogramaciones!W$13),11))/MAX(0,NETWORKDAYS.INTL(MAX(E226,(Reprogramaciones!$T$15+7*(Reprogramaciones!W$14-1))),MIN(F226,(Reprogramaciones!$T$15+7*(Reprogramaciones!W$14-1))+6),11))))))))</f>
        <v/>
      </c>
      <c r="CG226" s="1" t="str">
        <f aca="false">IF(OR(NOT(AND(ISNUMBER(E226),ISNUMBER(F226))),$J$2=""),"",IF(Reprogramaciones!X$13&lt;Reprogramaciones!$T$15,0,IF(Reprogramaciones!X$14&gt;10,MIN(100,SUM($G226:$P226)),MIN(100,SUMPRODUCT((COLUMN($G226:$P226)-COLUMN($G226)+1&lt;Reprogramaciones!X$14)*$G226:$P226)+N(INDEX($G226:$P226,1,Reprogramaciones!X$14))*IF(Reprogramaciones!X$13&gt;=(Reprogramaciones!$T$15+7*(Reprogramaciones!X$14-1))+6,1,IF(MAX(0,NETWORKDAYS.INTL(MAX(E226,(Reprogramaciones!$T$15+7*(Reprogramaciones!X$14-1))),MIN(F226,(Reprogramaciones!$T$15+7*(Reprogramaciones!X$14-1))+6),11))=0,0,MAX(0,NETWORKDAYS.INTL(MAX(E226,(Reprogramaciones!$T$15+7*(Reprogramaciones!X$14-1))),MIN(F226,Reprogramaciones!X$13),11))/MAX(0,NETWORKDAYS.INTL(MAX(E226,(Reprogramaciones!$T$15+7*(Reprogramaciones!X$14-1))),MIN(F226,(Reprogramaciones!$T$15+7*(Reprogramaciones!X$14-1))+6),11))))))))</f>
        <v/>
      </c>
      <c r="CH226" s="1" t="str">
        <f aca="false">IF(OR(NOT(AND(ISNUMBER(E226),ISNUMBER(F226))),$J$2=""),"",IF(Reprogramaciones!Y$13&lt;Reprogramaciones!$T$15,0,IF(Reprogramaciones!Y$14&gt;10,MIN(100,SUM($G226:$P226)),MIN(100,SUMPRODUCT((COLUMN($G226:$P226)-COLUMN($G226)+1&lt;Reprogramaciones!Y$14)*$G226:$P226)+N(INDEX($G226:$P226,1,Reprogramaciones!Y$14))*IF(Reprogramaciones!Y$13&gt;=(Reprogramaciones!$T$15+7*(Reprogramaciones!Y$14-1))+6,1,IF(MAX(0,NETWORKDAYS.INTL(MAX(E226,(Reprogramaciones!$T$15+7*(Reprogramaciones!Y$14-1))),MIN(F226,(Reprogramaciones!$T$15+7*(Reprogramaciones!Y$14-1))+6),11))=0,0,MAX(0,NETWORKDAYS.INTL(MAX(E226,(Reprogramaciones!$T$15+7*(Reprogramaciones!Y$14-1))),MIN(F226,Reprogramaciones!Y$13),11))/MAX(0,NETWORKDAYS.INTL(MAX(E226,(Reprogramaciones!$T$15+7*(Reprogramaciones!Y$14-1))),MIN(F226,(Reprogramaciones!$T$15+7*(Reprogramaciones!Y$14-1))+6),11))))))))</f>
        <v/>
      </c>
      <c r="CI226" s="1" t="str">
        <f aca="false">IF(OR(NOT(AND(ISNUMBER(E226),ISNUMBER(F226))),$J$2=""),"",IF(Reprogramaciones!Z$13&lt;Reprogramaciones!$T$15,0,IF(Reprogramaciones!Z$14&gt;10,MIN(100,SUM($G226:$P226)),MIN(100,SUMPRODUCT((COLUMN($G226:$P226)-COLUMN($G226)+1&lt;Reprogramaciones!Z$14)*$G226:$P226)+N(INDEX($G226:$P226,1,Reprogramaciones!Z$14))*IF(Reprogramaciones!Z$13&gt;=(Reprogramaciones!$T$15+7*(Reprogramaciones!Z$14-1))+6,1,IF(MAX(0,NETWORKDAYS.INTL(MAX(E226,(Reprogramaciones!$T$15+7*(Reprogramaciones!Z$14-1))),MIN(F226,(Reprogramaciones!$T$15+7*(Reprogramaciones!Z$14-1))+6),11))=0,0,MAX(0,NETWORKDAYS.INTL(MAX(E226,(Reprogramaciones!$T$15+7*(Reprogramaciones!Z$14-1))),MIN(F226,Reprogramaciones!Z$13),11))/MAX(0,NETWORKDAYS.INTL(MAX(E226,(Reprogramaciones!$T$15+7*(Reprogramaciones!Z$14-1))),MIN(F226,(Reprogramaciones!$T$15+7*(Reprogramaciones!Z$14-1))+6),11))))))))</f>
        <v/>
      </c>
      <c r="CJ226" s="1" t="str">
        <f aca="false">IF(OR(OR(NOT(AND(ISNUMBER(E226),ISNUMBER(F226))),$J$2=""),1&gt;Reprogramaciones!$K$16),"",IF(ROUND(SUM($Q226:Q226),1)&gt;=99.5,100,MIN(100,ROUND(SUM($Q226:Q226),1))))</f>
        <v/>
      </c>
      <c r="CK226" s="1" t="str">
        <f aca="false">IF(OR(OR(NOT(AND(ISNUMBER(E226),ISNUMBER(F226))),$J$2=""),2&gt;Reprogramaciones!$K$16),"",IF(ROUND(SUM($Q226:R226),1)&gt;=99.5,100,MIN(100,ROUND(SUM($Q226:R226),1))))</f>
        <v/>
      </c>
      <c r="CL226" s="1" t="str">
        <f aca="false">IF(OR(OR(NOT(AND(ISNUMBER(E226),ISNUMBER(F226))),$J$2=""),3&gt;Reprogramaciones!$K$16),"",IF(ROUND(SUM($Q226:S226),1)&gt;=99.5,100,MIN(100,ROUND(SUM($Q226:S226),1))))</f>
        <v/>
      </c>
      <c r="CM226" s="1" t="str">
        <f aca="false">IF(OR(OR(NOT(AND(ISNUMBER(E226),ISNUMBER(F226))),$J$2=""),4&gt;Reprogramaciones!$K$16),"",IF(ROUND(SUM($Q226:T226),1)&gt;=99.5,100,MIN(100,ROUND(SUM($Q226:T226),1))))</f>
        <v/>
      </c>
      <c r="CN226" s="1" t="str">
        <f aca="false">IF(OR(OR(NOT(AND(ISNUMBER(E226),ISNUMBER(F226))),$J$2=""),5&gt;Reprogramaciones!$K$16),"",IF(ROUND(SUM($Q226:U226),1)&gt;=99.5,100,MIN(100,ROUND(SUM($Q226:U226),1))))</f>
        <v/>
      </c>
      <c r="CO226" s="1" t="str">
        <f aca="false">IF(OR(OR(NOT(AND(ISNUMBER(E226),ISNUMBER(F226))),$J$2=""),6&gt;Reprogramaciones!$K$16),"",IF(ROUND(SUM($Q226:V226),1)&gt;=99.5,100,MIN(100,ROUND(SUM($Q226:V226),1))))</f>
        <v/>
      </c>
      <c r="CP226" s="1" t="str">
        <f aca="false">IF(OR(OR(NOT(AND(ISNUMBER(E226),ISNUMBER(F226))),$J$2=""),7&gt;Reprogramaciones!$K$16),"",IF(ROUND(SUM($Q226:W226),1)&gt;=99.5,100,MIN(100,ROUND(SUM($Q226:W226),1))))</f>
        <v/>
      </c>
      <c r="CQ226" s="1" t="str">
        <f aca="false">IF(OR(OR(NOT(AND(ISNUMBER(E226),ISNUMBER(F226))),$J$2=""),8&gt;Reprogramaciones!$K$16),"",IF(ROUND(SUM($Q226:X226),1)&gt;=99.5,100,MIN(100,ROUND(SUM($Q226:X226),1))))</f>
        <v/>
      </c>
      <c r="CR226" s="1" t="str">
        <f aca="false">IF(OR(OR(NOT(AND(ISNUMBER(E226),ISNUMBER(F226))),$J$2=""),9&gt;Reprogramaciones!$K$16),"",IF(ROUND(SUM($Q226:Y226),1)&gt;=99.5,100,MIN(100,ROUND(SUM($Q226:Y226),1))))</f>
        <v/>
      </c>
      <c r="CS226" s="1" t="str">
        <f aca="false">IF(OR(OR(NOT(AND(ISNUMBER(E226),ISNUMBER(F226))),$J$2=""),10&gt;Reprogramaciones!$K$16),"",IF(ROUND(SUM($Q226:Z226),1)&gt;=99.5,100,MIN(100,ROUND(SUM($Q226:Z226),1))))</f>
        <v/>
      </c>
      <c r="CT226" s="1" t="str">
        <f aca="false">IF(OR(OR(NOT(AND(ISNUMBER(E226),ISNUMBER(F226))),$J$2=""),11&gt;Reprogramaciones!$K$16),"",IF(ROUND(SUM($Q226:AA226),1)&gt;=99.5,100,MIN(100,ROUND(SUM($Q226:AA226),1))))</f>
        <v/>
      </c>
      <c r="CU226" s="1" t="str">
        <f aca="false">IF(OR(OR(NOT(AND(ISNUMBER(E226),ISNUMBER(F226))),$J$2=""),12&gt;Reprogramaciones!$K$16),"",IF(ROUND(SUM($Q226:AB226),1)&gt;=99.5,100,MIN(100,ROUND(SUM($Q226:AB226),1))))</f>
        <v/>
      </c>
      <c r="CV226" s="1" t="str">
        <f aca="false">IF(OR(OR(NOT(AND(ISNUMBER(E226),ISNUMBER(F226))),$J$2=""),13&gt;Reprogramaciones!$K$16),"",IF(ROUND(SUM($Q226:AC226),1)&gt;=99.5,100,MIN(100,ROUND(SUM($Q226:AC226),1))))</f>
        <v/>
      </c>
      <c r="CW226" s="1" t="str">
        <f aca="false">IF(OR(OR(NOT(AND(ISNUMBER(E226),ISNUMBER(F226))),$J$2=""),14&gt;Reprogramaciones!$K$16),"",IF(ROUND(SUM($Q226:AD226),1)&gt;=99.5,100,MIN(100,ROUND(SUM($Q226:AD226),1))))</f>
        <v/>
      </c>
      <c r="CX226" s="1" t="str">
        <f aca="false">IF(OR(OR(NOT(AND(ISNUMBER(E226),ISNUMBER(F226))),$J$2=""),15&gt;Reprogramaciones!$K$16),"",IF(ROUND(SUM($Q226:AE226),1)&gt;=99.5,100,MIN(100,ROUND(SUM($Q226:AE226),1))))</f>
        <v/>
      </c>
      <c r="CY226" s="1" t="str">
        <f aca="false">IF(OR(OR(NOT(AND(ISNUMBER(E226),ISNUMBER(F226))),$J$2=""),16&gt;Reprogramaciones!$K$16),"",IF(ROUND(SUM($Q226:AF226),1)&gt;=99.5,100,MIN(100,ROUND(SUM($Q226:AF226),1))))</f>
        <v/>
      </c>
      <c r="CZ226" s="1" t="str">
        <f aca="false">IF(D226&lt;&gt;"",D226,IF(B226&lt;&gt;"","Contractual",CZ225))</f>
        <v>Contractual</v>
      </c>
      <c r="DA226" s="1" t="str">
        <f aca="false">IF(OR(NOT(AND(ISNUMBER(E226),ISNUMBER(F226))),$J$2=""),"",IF(Reprogramaciones!$Q$15&lt;Reprogramaciones!$T$15,0,IF(Reprogramaciones!$S$15&gt;10,MIN(100,SUM($G226:$P226)),MIN(100,SUMPRODUCT((COLUMN($G226:$P226)-COLUMN($G226)+1&lt;Reprogramaciones!$S$15)*$G226:$P226)+N(INDEX($G226:$P226,1,Reprogramaciones!$S$15))*IF(Reprogramaciones!$Q$15&gt;=(Reprogramaciones!$T$15+7*(Reprogramaciones!$S$15-1))+6,1,IF(MAX(0,NETWORKDAYS.INTL(MAX(E226,(Reprogramaciones!$T$15+7*(Reprogramaciones!$S$15-1))),MIN(F226,(Reprogramaciones!$T$15+7*(Reprogramaciones!$S$15-1))+6),11))=0,0,MAX(0,NETWORKDAYS.INTL(MAX(E226,(Reprogramaciones!$T$15+7*(Reprogramaciones!$S$15-1))),MIN(F226,Reprogramaciones!$Q$15),11))/MAX(0,NETWORKDAYS.INTL(MAX(E226,(Reprogramaciones!$T$15+7*(Reprogramaciones!$S$15-1))),MIN(F226,(Reprogramaciones!$T$15+7*(Reprogramaciones!$S$15-1))+6),11))))))))</f>
        <v/>
      </c>
    </row>
    <row r="227" customFormat="false" ht="15" hidden="false" customHeight="false" outlineLevel="0" collapsed="false">
      <c r="A227" s="32"/>
      <c r="B227" s="33"/>
      <c r="C227" s="33"/>
      <c r="D227" s="34"/>
      <c r="E227" s="35"/>
      <c r="F227" s="35"/>
      <c r="G227" s="36" t="str">
        <f aca="false">IF(OR(NOT(AND(ISNUMBER(E227),ISNUMBER(F227))),$J$2=""),"",IF(Reprogramaciones!K$9&lt;E227,0,IF(NETWORKDAYS.INTL(E227,F227,11)=0,IF(Reprogramaciones!K$9&gt;=F227,100,0),ROUND(NETWORKDAYS.INTL(E227,MIN(F227,Reprogramaciones!K$9),11)/NETWORKDAYS.INTL(E227,F227,11)*100,1)))-0)</f>
        <v/>
      </c>
      <c r="H227" s="36" t="str">
        <f aca="false">IF(OR(NOT(AND(ISNUMBER(E227),ISNUMBER(F227))),$J$2=""),"",IF(Reprogramaciones!L$9&lt;E227,0,IF(NETWORKDAYS.INTL(E227,F227,11)=0,IF(Reprogramaciones!L$9&gt;=F227,100,0),ROUND(NETWORKDAYS.INTL(E227,MIN(F227,Reprogramaciones!L$9),11)/NETWORKDAYS.INTL(E227,F227,11)*100,1)))-IF(Reprogramaciones!K$9&lt;E227,0,IF(NETWORKDAYS.INTL(E227,F227,11)=0,IF(Reprogramaciones!K$9&gt;=F227,100,0),ROUND(NETWORKDAYS.INTL(E227,MIN(F227,Reprogramaciones!K$9),11)/NETWORKDAYS.INTL(E227,F227,11)*100,1))))</f>
        <v/>
      </c>
      <c r="I227" s="36" t="str">
        <f aca="false">IF(OR(NOT(AND(ISNUMBER(E227),ISNUMBER(F227))),$J$2=""),"",IF(Reprogramaciones!M$9&lt;E227,0,IF(NETWORKDAYS.INTL(E227,F227,11)=0,IF(Reprogramaciones!M$9&gt;=F227,100,0),ROUND(NETWORKDAYS.INTL(E227,MIN(F227,Reprogramaciones!M$9),11)/NETWORKDAYS.INTL(E227,F227,11)*100,1)))-IF(Reprogramaciones!L$9&lt;E227,0,IF(NETWORKDAYS.INTL(E227,F227,11)=0,IF(Reprogramaciones!L$9&gt;=F227,100,0),ROUND(NETWORKDAYS.INTL(E227,MIN(F227,Reprogramaciones!L$9),11)/NETWORKDAYS.INTL(E227,F227,11)*100,1))))</f>
        <v/>
      </c>
      <c r="J227" s="36" t="str">
        <f aca="false">IF(OR(NOT(AND(ISNUMBER(E227),ISNUMBER(F227))),$J$2=""),"",IF(Reprogramaciones!N$9&lt;E227,0,IF(NETWORKDAYS.INTL(E227,F227,11)=0,IF(Reprogramaciones!N$9&gt;=F227,100,0),ROUND(NETWORKDAYS.INTL(E227,MIN(F227,Reprogramaciones!N$9),11)/NETWORKDAYS.INTL(E227,F227,11)*100,1)))-IF(Reprogramaciones!M$9&lt;E227,0,IF(NETWORKDAYS.INTL(E227,F227,11)=0,IF(Reprogramaciones!M$9&gt;=F227,100,0),ROUND(NETWORKDAYS.INTL(E227,MIN(F227,Reprogramaciones!M$9),11)/NETWORKDAYS.INTL(E227,F227,11)*100,1))))</f>
        <v/>
      </c>
      <c r="K227" s="36" t="str">
        <f aca="false">IF(OR(NOT(AND(ISNUMBER(E227),ISNUMBER(F227))),$J$2=""),"",IF(Reprogramaciones!O$9&lt;E227,0,IF(NETWORKDAYS.INTL(E227,F227,11)=0,IF(Reprogramaciones!O$9&gt;=F227,100,0),ROUND(NETWORKDAYS.INTL(E227,MIN(F227,Reprogramaciones!O$9),11)/NETWORKDAYS.INTL(E227,F227,11)*100,1)))-IF(Reprogramaciones!N$9&lt;E227,0,IF(NETWORKDAYS.INTL(E227,F227,11)=0,IF(Reprogramaciones!N$9&gt;=F227,100,0),ROUND(NETWORKDAYS.INTL(E227,MIN(F227,Reprogramaciones!N$9),11)/NETWORKDAYS.INTL(E227,F227,11)*100,1))))</f>
        <v/>
      </c>
      <c r="L227" s="36" t="str">
        <f aca="false">IF(OR(NOT(AND(ISNUMBER(E227),ISNUMBER(F227))),$J$2=""),"",IF(Reprogramaciones!P$9&lt;E227,0,IF(NETWORKDAYS.INTL(E227,F227,11)=0,IF(Reprogramaciones!P$9&gt;=F227,100,0),ROUND(NETWORKDAYS.INTL(E227,MIN(F227,Reprogramaciones!P$9),11)/NETWORKDAYS.INTL(E227,F227,11)*100,1)))-IF(Reprogramaciones!O$9&lt;E227,0,IF(NETWORKDAYS.INTL(E227,F227,11)=0,IF(Reprogramaciones!O$9&gt;=F227,100,0),ROUND(NETWORKDAYS.INTL(E227,MIN(F227,Reprogramaciones!O$9),11)/NETWORKDAYS.INTL(E227,F227,11)*100,1))))</f>
        <v/>
      </c>
      <c r="M227" s="36" t="str">
        <f aca="false">IF(OR(NOT(AND(ISNUMBER(E227),ISNUMBER(F227))),$J$2=""),"",IF(Reprogramaciones!Q$9&lt;E227,0,IF(NETWORKDAYS.INTL(E227,F227,11)=0,IF(Reprogramaciones!Q$9&gt;=F227,100,0),ROUND(NETWORKDAYS.INTL(E227,MIN(F227,Reprogramaciones!Q$9),11)/NETWORKDAYS.INTL(E227,F227,11)*100,1)))-IF(Reprogramaciones!P$9&lt;E227,0,IF(NETWORKDAYS.INTL(E227,F227,11)=0,IF(Reprogramaciones!P$9&gt;=F227,100,0),ROUND(NETWORKDAYS.INTL(E227,MIN(F227,Reprogramaciones!P$9),11)/NETWORKDAYS.INTL(E227,F227,11)*100,1))))</f>
        <v/>
      </c>
      <c r="N227" s="36" t="str">
        <f aca="false">IF(OR(NOT(AND(ISNUMBER(E227),ISNUMBER(F227))),$J$2=""),"",IF(Reprogramaciones!R$9&lt;E227,0,IF(NETWORKDAYS.INTL(E227,F227,11)=0,IF(Reprogramaciones!R$9&gt;=F227,100,0),ROUND(NETWORKDAYS.INTL(E227,MIN(F227,Reprogramaciones!R$9),11)/NETWORKDAYS.INTL(E227,F227,11)*100,1)))-IF(Reprogramaciones!Q$9&lt;E227,0,IF(NETWORKDAYS.INTL(E227,F227,11)=0,IF(Reprogramaciones!Q$9&gt;=F227,100,0),ROUND(NETWORKDAYS.INTL(E227,MIN(F227,Reprogramaciones!Q$9),11)/NETWORKDAYS.INTL(E227,F227,11)*100,1))))</f>
        <v/>
      </c>
      <c r="O227" s="36" t="str">
        <f aca="false">IF(OR(NOT(AND(ISNUMBER(E227),ISNUMBER(F227))),$J$2=""),"",IF(Reprogramaciones!S$9&lt;E227,0,IF(NETWORKDAYS.INTL(E227,F227,11)=0,IF(Reprogramaciones!S$9&gt;=F227,100,0),ROUND(NETWORKDAYS.INTL(E227,MIN(F227,Reprogramaciones!S$9),11)/NETWORKDAYS.INTL(E227,F227,11)*100,1)))-IF(Reprogramaciones!R$9&lt;E227,0,IF(NETWORKDAYS.INTL(E227,F227,11)=0,IF(Reprogramaciones!R$9&gt;=F227,100,0),ROUND(NETWORKDAYS.INTL(E227,MIN(F227,Reprogramaciones!R$9),11)/NETWORKDAYS.INTL(E227,F227,11)*100,1))))</f>
        <v/>
      </c>
      <c r="P227" s="36" t="str">
        <f aca="false">IF(OR(NOT(AND(ISNUMBER(E227),ISNUMBER(F227))),$J$2=""),"",IF(Reprogramaciones!T$9&lt;E227,0,IF(NETWORKDAYS.INTL(E227,F227,11)=0,IF(Reprogramaciones!T$9&gt;=F227,100,0),ROUND(NETWORKDAYS.INTL(E227,MIN(F227,Reprogramaciones!T$9),11)/NETWORKDAYS.INTL(E227,F227,11)*100,1)))-IF(Reprogramaciones!S$9&lt;E227,0,IF(NETWORKDAYS.INTL(E227,F227,11)=0,IF(Reprogramaciones!S$9&gt;=F227,100,0),ROUND(NETWORKDAYS.INTL(E227,MIN(F227,Reprogramaciones!S$9),11)/NETWORKDAYS.INTL(E227,F227,11)*100,1))))</f>
        <v/>
      </c>
      <c r="Q227" s="37"/>
      <c r="R227" s="37"/>
      <c r="S227" s="37"/>
      <c r="T227" s="37"/>
      <c r="U227" s="37"/>
      <c r="V227" s="37"/>
      <c r="W227" s="37"/>
      <c r="X227" s="37"/>
      <c r="Y227" s="37"/>
      <c r="Z227" s="37"/>
      <c r="AA227" s="37"/>
      <c r="AB227" s="37"/>
      <c r="AC227" s="37"/>
      <c r="AD227" s="37"/>
      <c r="AE227" s="37"/>
      <c r="AF227" s="37"/>
      <c r="AG227" s="38" t="str">
        <f aca="false">IF(AND(ISNUMBER(E227),ISNUMBER(F227)),NETWORKDAYS.INTL(E227,F227,11),"")</f>
        <v/>
      </c>
      <c r="AH227" s="38" t="str">
        <f aca="false">IF(OR(NOT(AND(ISNUMBER(E227),ISNUMBER(F227))),$J$2=""),"",IF(Reprogramaciones!$P$15&lt;Reprogramaciones!$T$15,0,IF(Reprogramaciones!$R$15&gt;10,MIN(100,SUM($G227:$P227)),MIN(100,SUMPRODUCT((COLUMN($G227:$P227)-COLUMN($G227)+1&lt;Reprogramaciones!$R$15)*$G227:$P227)+N(INDEX($G227:$P227,1,Reprogramaciones!$R$15))*IF(Reprogramaciones!$P$15&gt;=(Reprogramaciones!$T$15+7*(Reprogramaciones!$R$15-1))+6,1,IF(MAX(0,NETWORKDAYS.INTL(MAX(E227,(Reprogramaciones!$T$15+7*(Reprogramaciones!$R$15-1))),MIN(F227,(Reprogramaciones!$T$15+7*(Reprogramaciones!$R$15-1))+6),11))=0,0,MAX(0,NETWORKDAYS.INTL(MAX(E227,(Reprogramaciones!$T$15+7*(Reprogramaciones!$R$15-1))),MIN(F227,Reprogramaciones!$P$15),11))/MAX(0,NETWORKDAYS.INTL(MAX(E227,(Reprogramaciones!$T$15+7*(Reprogramaciones!$R$15-1))),MIN(F227,(Reprogramaciones!$T$15+7*(Reprogramaciones!$R$15-1))+6),11))))))))</f>
        <v/>
      </c>
      <c r="AI227" s="38" t="str">
        <f aca="false">IF(COUNT($Q227:$AF227)=0,"",IF(ROUND(SUM($Q227:$AF227),1)&gt;=99.5,100,MIN(100,ROUND(SUM($Q227:$AF227),1))))</f>
        <v/>
      </c>
      <c r="AJ227" s="38" t="str">
        <f aca="false">IF(OR(AH227="",AI227=""),"",AI227-AH227)</f>
        <v/>
      </c>
      <c r="AK227" s="39" t="str">
        <f aca="true">IF(AH227="","",IF(OR(Ficha!$C$10="Suspendida",Ficha!$C$10="Cancelada"),Ficha!$C$10,IF(AND(AI227&lt;&gt;"",N(AI227)&gt;=100),"Completada",IF(AND(E227&gt;TODAY(),N(AI227)=0),"Por iniciar",IF(N(AI227)+0.5&lt;AH227,"Retrasada",IF(N(AI227)+0.5&lt;DA227,IF(Reprogramaciones!$K$15&gt;0,"Al día · Sem "&amp;Reprogramaciones!$K$15&amp;" en curso","Al día · en curso"),"A tiempo"))))))</f>
        <v/>
      </c>
      <c r="AL227" s="39" t="str">
        <f aca="true">IF(AND(A227="",AND(B227="",C227="",E227="",F227="",COUNT(Q227:AF227)=0)),"",IF(AND(B227="",C227="",E227="",F227="",COUNT(Q227:AF227)=0),"Falta la partida o subpartida",IF(AND(A227&lt;&gt;"",COUNTIF($A$6:$A$305,A227)&gt;1),"Ítem repetido",IF(AND(C227="",E227="",F227="",COUNT(Q227:AF227)=0),"Título de partida",IF(OR(E227="",F227=""),"Faltan fechas",IF(OR(ISTEXT(E227),ISTEXT(F227)),"Fecha escrita como texto: usa dd/mm/aaaa",IF(F227&lt;E227,"Fin antes del inicio",IF(IF($J$2="",FALSE(),OR(E227&lt;$J$2,F227&gt;Reprogramaciones!$T$15+69)),"Fuera de las 10 semanas",IF(ABS(SUM(G227:P227)-100)&gt;0.5,"La meta no suma 100%",IF(ROUND(SUM(Q227:AF227),1)&gt;100.5,"El avance pasa de 100%",IF(MIN(Q227:AF227)&lt;0,"Avance negativo",IF(COUNTA(Q227:AF227)&gt;COUNT(Q227:AF227),"Avance escrito como texto",IF(SUMPRODUCT((Q227:AF227&gt;0)*(Q227:AF227&lt;1))&gt;0,"Avance menor a 1: escribe 50, no 50%",IF(SUMPRODUCT(ISNUMBER(Q227:AF227)*(Reprogramaciones!$K$8:$Z$8&gt;TODAY()))&gt;0,"Avance en semana que aún no llega",IF(AND(N(Reprogramaciones!$E$21)&gt;0,F227&gt;Reprogramaciones!$E$21),"Pasa el fin de la obra: registra una reprogramación",IF(AND(N(Reprogramaciones!$E$21)&gt;0,SUMPRODUCT(ISNUMBER(Q227:AF227)*(Reprogramaciones!$K$8:$Z$8&gt;Reprogramaciones!$E$21))&gt;0),"Avance después del fin de la obra: registra una reprogramación por atraso","OK"))))))))))))))))</f>
        <v/>
      </c>
      <c r="AM227" s="40" t="str">
        <f aca="false">IF(OR(OR(NOT(AND(ISNUMBER(E227),ISNUMBER(F227))),$J$2=""),1&gt;MAX(1,Reprogramaciones!$U$15)),"",IF(Reprogramaciones!K$12&gt;=7,"",IF(OR(BT227-N(0)&gt;0.05,N(Q227)&gt;0),ROUNDDOWN(ROUND(BT227,6),0)&amp;"%"&amp;IF(CJ227="",""," / "&amp;CJ227&amp;"%"),IF(AND(N(0)&gt;=99.95,CJ227&lt;&gt;"",N(CJ227)&lt;100),"Pend. "&amp;CJ227&amp;"%",""))))</f>
        <v/>
      </c>
      <c r="AN227" s="40" t="str">
        <f aca="false">IF(OR(OR(NOT(AND(ISNUMBER(E227),ISNUMBER(F227))),$J$2=""),2&gt;MAX(1,Reprogramaciones!$U$15)),"",IF(Reprogramaciones!L$12&gt;=7,"",IF(OR(BU227-N(BT227)&gt;0.05,N(R227)&gt;0),ROUNDDOWN(ROUND(BU227,6),0)&amp;"%"&amp;IF(CK227="",""," / "&amp;CK227&amp;"%"),IF(AND(N(BT227)&gt;=99.95,CK227&lt;&gt;"",N(CK227)&lt;100),"Pend. "&amp;CK227&amp;"%",""))))</f>
        <v/>
      </c>
      <c r="AO227" s="40" t="str">
        <f aca="false">IF(OR(OR(NOT(AND(ISNUMBER(E227),ISNUMBER(F227))),$J$2=""),3&gt;MAX(1,Reprogramaciones!$U$15)),"",IF(Reprogramaciones!M$12&gt;=7,"",IF(OR(BV227-N(BU227)&gt;0.05,N(S227)&gt;0),ROUNDDOWN(ROUND(BV227,6),0)&amp;"%"&amp;IF(CL227="",""," / "&amp;CL227&amp;"%"),IF(AND(N(BU227)&gt;=99.95,CL227&lt;&gt;"",N(CL227)&lt;100),"Pend. "&amp;CL227&amp;"%",""))))</f>
        <v/>
      </c>
      <c r="AP227" s="40" t="str">
        <f aca="false">IF(OR(OR(NOT(AND(ISNUMBER(E227),ISNUMBER(F227))),$J$2=""),4&gt;MAX(1,Reprogramaciones!$U$15)),"",IF(Reprogramaciones!N$12&gt;=7,"",IF(OR(BW227-N(BV227)&gt;0.05,N(T227)&gt;0),ROUNDDOWN(ROUND(BW227,6),0)&amp;"%"&amp;IF(CM227="",""," / "&amp;CM227&amp;"%"),IF(AND(N(BV227)&gt;=99.95,CM227&lt;&gt;"",N(CM227)&lt;100),"Pend. "&amp;CM227&amp;"%",""))))</f>
        <v/>
      </c>
      <c r="AQ227" s="40" t="str">
        <f aca="false">IF(OR(OR(NOT(AND(ISNUMBER(E227),ISNUMBER(F227))),$J$2=""),5&gt;MAX(1,Reprogramaciones!$U$15)),"",IF(Reprogramaciones!O$12&gt;=7,"",IF(OR(BX227-N(BW227)&gt;0.05,N(U227)&gt;0),ROUNDDOWN(ROUND(BX227,6),0)&amp;"%"&amp;IF(CN227="",""," / "&amp;CN227&amp;"%"),IF(AND(N(BW227)&gt;=99.95,CN227&lt;&gt;"",N(CN227)&lt;100),"Pend. "&amp;CN227&amp;"%",""))))</f>
        <v/>
      </c>
      <c r="AR227" s="40" t="str">
        <f aca="false">IF(OR(OR(NOT(AND(ISNUMBER(E227),ISNUMBER(F227))),$J$2=""),6&gt;MAX(1,Reprogramaciones!$U$15)),"",IF(Reprogramaciones!P$12&gt;=7,"",IF(OR(BY227-N(BX227)&gt;0.05,N(V227)&gt;0),ROUNDDOWN(ROUND(BY227,6),0)&amp;"%"&amp;IF(CO227="",""," / "&amp;CO227&amp;"%"),IF(AND(N(BX227)&gt;=99.95,CO227&lt;&gt;"",N(CO227)&lt;100),"Pend. "&amp;CO227&amp;"%",""))))</f>
        <v/>
      </c>
      <c r="AS227" s="40" t="str">
        <f aca="false">IF(OR(OR(NOT(AND(ISNUMBER(E227),ISNUMBER(F227))),$J$2=""),7&gt;MAX(1,Reprogramaciones!$U$15)),"",IF(Reprogramaciones!Q$12&gt;=7,"",IF(OR(BZ227-N(BY227)&gt;0.05,N(W227)&gt;0),ROUNDDOWN(ROUND(BZ227,6),0)&amp;"%"&amp;IF(CP227="",""," / "&amp;CP227&amp;"%"),IF(AND(N(BY227)&gt;=99.95,CP227&lt;&gt;"",N(CP227)&lt;100),"Pend. "&amp;CP227&amp;"%",""))))</f>
        <v/>
      </c>
      <c r="AT227" s="40" t="str">
        <f aca="false">IF(OR(OR(NOT(AND(ISNUMBER(E227),ISNUMBER(F227))),$J$2=""),8&gt;MAX(1,Reprogramaciones!$U$15)),"",IF(Reprogramaciones!R$12&gt;=7,"",IF(OR(CA227-N(BZ227)&gt;0.05,N(X227)&gt;0),ROUNDDOWN(ROUND(CA227,6),0)&amp;"%"&amp;IF(CQ227="",""," / "&amp;CQ227&amp;"%"),IF(AND(N(BZ227)&gt;=99.95,CQ227&lt;&gt;"",N(CQ227)&lt;100),"Pend. "&amp;CQ227&amp;"%",""))))</f>
        <v/>
      </c>
      <c r="AU227" s="40" t="str">
        <f aca="false">IF(OR(OR(NOT(AND(ISNUMBER(E227),ISNUMBER(F227))),$J$2=""),9&gt;MAX(1,Reprogramaciones!$U$15)),"",IF(Reprogramaciones!S$12&gt;=7,"",IF(OR(CB227-N(CA227)&gt;0.05,N(Y227)&gt;0),ROUNDDOWN(ROUND(CB227,6),0)&amp;"%"&amp;IF(CR227="",""," / "&amp;CR227&amp;"%"),IF(AND(N(CA227)&gt;=99.95,CR227&lt;&gt;"",N(CR227)&lt;100),"Pend. "&amp;CR227&amp;"%",""))))</f>
        <v/>
      </c>
      <c r="AV227" s="40" t="str">
        <f aca="false">IF(OR(OR(NOT(AND(ISNUMBER(E227),ISNUMBER(F227))),$J$2=""),10&gt;MAX(1,Reprogramaciones!$U$15)),"",IF(Reprogramaciones!T$12&gt;=7,"",IF(OR(CC227-N(CB227)&gt;0.05,N(Z227)&gt;0),ROUNDDOWN(ROUND(CC227,6),0)&amp;"%"&amp;IF(CS227="",""," / "&amp;CS227&amp;"%"),IF(AND(N(CB227)&gt;=99.95,CS227&lt;&gt;"",N(CS227)&lt;100),"Pend. "&amp;CS227&amp;"%",""))))</f>
        <v/>
      </c>
      <c r="AW227" s="40" t="str">
        <f aca="false">IF(OR(OR(NOT(AND(ISNUMBER(E227),ISNUMBER(F227))),$J$2=""),11&gt;MAX(1,Reprogramaciones!$U$15)),"",IF(Reprogramaciones!U$12&gt;=7,"",IF(OR(CD227-N(CC227)&gt;0.05,N(AA227)&gt;0),ROUNDDOWN(ROUND(CD227,6),0)&amp;"%"&amp;IF(CT227="",""," / "&amp;CT227&amp;"%"),IF(AND(N(CC227)&gt;=99.95,CT227&lt;&gt;"",N(CT227)&lt;100),"Pend. "&amp;CT227&amp;"%",""))))</f>
        <v/>
      </c>
      <c r="AX227" s="40" t="str">
        <f aca="false">IF(OR(OR(NOT(AND(ISNUMBER(E227),ISNUMBER(F227))),$J$2=""),12&gt;MAX(1,Reprogramaciones!$U$15)),"",IF(Reprogramaciones!V$12&gt;=7,"",IF(OR(CE227-N(CD227)&gt;0.05,N(AB227)&gt;0),ROUNDDOWN(ROUND(CE227,6),0)&amp;"%"&amp;IF(CU227="",""," / "&amp;CU227&amp;"%"),IF(AND(N(CD227)&gt;=99.95,CU227&lt;&gt;"",N(CU227)&lt;100),"Pend. "&amp;CU227&amp;"%",""))))</f>
        <v/>
      </c>
      <c r="AY227" s="40" t="str">
        <f aca="false">IF(OR(OR(NOT(AND(ISNUMBER(E227),ISNUMBER(F227))),$J$2=""),13&gt;MAX(1,Reprogramaciones!$U$15)),"",IF(Reprogramaciones!W$12&gt;=7,"",IF(OR(CF227-N(CE227)&gt;0.05,N(AC227)&gt;0),ROUNDDOWN(ROUND(CF227,6),0)&amp;"%"&amp;IF(CV227="",""," / "&amp;CV227&amp;"%"),IF(AND(N(CE227)&gt;=99.95,CV227&lt;&gt;"",N(CV227)&lt;100),"Pend. "&amp;CV227&amp;"%",""))))</f>
        <v/>
      </c>
      <c r="AZ227" s="40" t="str">
        <f aca="false">IF(OR(OR(NOT(AND(ISNUMBER(E227),ISNUMBER(F227))),$J$2=""),14&gt;MAX(1,Reprogramaciones!$U$15)),"",IF(Reprogramaciones!X$12&gt;=7,"",IF(OR(CG227-N(CF227)&gt;0.05,N(AD227)&gt;0),ROUNDDOWN(ROUND(CG227,6),0)&amp;"%"&amp;IF(CW227="",""," / "&amp;CW227&amp;"%"),IF(AND(N(CF227)&gt;=99.95,CW227&lt;&gt;"",N(CW227)&lt;100),"Pend. "&amp;CW227&amp;"%",""))))</f>
        <v/>
      </c>
      <c r="BA227" s="40" t="str">
        <f aca="false">IF(OR(OR(NOT(AND(ISNUMBER(E227),ISNUMBER(F227))),$J$2=""),15&gt;MAX(1,Reprogramaciones!$U$15)),"",IF(Reprogramaciones!Y$12&gt;=7,"",IF(OR(CH227-N(CG227)&gt;0.05,N(AE227)&gt;0),ROUNDDOWN(ROUND(CH227,6),0)&amp;"%"&amp;IF(CX227="",""," / "&amp;CX227&amp;"%"),IF(AND(N(CG227)&gt;=99.95,CX227&lt;&gt;"",N(CX227)&lt;100),"Pend. "&amp;CX227&amp;"%",""))))</f>
        <v/>
      </c>
      <c r="BB227" s="40" t="str">
        <f aca="false">IF(OR(OR(NOT(AND(ISNUMBER(E227),ISNUMBER(F227))),$J$2=""),16&gt;MAX(1,Reprogramaciones!$U$15)),"",IF(Reprogramaciones!Z$12&gt;=7,"",IF(OR(CI227-N(CH227)&gt;0.05,N(AF227)&gt;0),ROUNDDOWN(ROUND(CI227,6),0)&amp;"%"&amp;IF(CY227="",""," / "&amp;CY227&amp;"%"),IF(AND(N(CH227)&gt;=99.95,CY227&lt;&gt;"",N(CY227)&lt;100),"Pend. "&amp;CY227&amp;"%",""))))</f>
        <v/>
      </c>
      <c r="BC227" s="31" t="n">
        <f aca="false">IF(AND(ISNUMBER(E227),ISNUMBER(F227)),MAX(1,NETWORKDAYS.INTL(E227,F227,11)),0)</f>
        <v>0</v>
      </c>
      <c r="BD227" s="1" t="str">
        <f aca="false">IF(OR(NOT(AND(ISNUMBER(E227),ISNUMBER(F227))),$J$2=""),"",MIN(100,ROUND(SUM($G227:G227),1)))</f>
        <v/>
      </c>
      <c r="BE227" s="1" t="str">
        <f aca="false">IF(OR(NOT(AND(ISNUMBER(E227),ISNUMBER(F227))),$J$2=""),"",MIN(100,ROUND(SUM($G227:H227),1)))</f>
        <v/>
      </c>
      <c r="BF227" s="1" t="str">
        <f aca="false">IF(OR(NOT(AND(ISNUMBER(E227),ISNUMBER(F227))),$J$2=""),"",MIN(100,ROUND(SUM($G227:I227),1)))</f>
        <v/>
      </c>
      <c r="BG227" s="1" t="str">
        <f aca="false">IF(OR(NOT(AND(ISNUMBER(E227),ISNUMBER(F227))),$J$2=""),"",MIN(100,ROUND(SUM($G227:J227),1)))</f>
        <v/>
      </c>
      <c r="BH227" s="1" t="str">
        <f aca="false">IF(OR(NOT(AND(ISNUMBER(E227),ISNUMBER(F227))),$J$2=""),"",MIN(100,ROUND(SUM($G227:K227),1)))</f>
        <v/>
      </c>
      <c r="BI227" s="1" t="str">
        <f aca="false">IF(OR(NOT(AND(ISNUMBER(E227),ISNUMBER(F227))),$J$2=""),"",MIN(100,ROUND(SUM($G227:L227),1)))</f>
        <v/>
      </c>
      <c r="BJ227" s="1" t="str">
        <f aca="false">IF(OR(NOT(AND(ISNUMBER(E227),ISNUMBER(F227))),$J$2=""),"",MIN(100,ROUND(SUM($G227:M227),1)))</f>
        <v/>
      </c>
      <c r="BK227" s="1" t="str">
        <f aca="false">IF(OR(NOT(AND(ISNUMBER(E227),ISNUMBER(F227))),$J$2=""),"",MIN(100,ROUND(SUM($G227:N227),1)))</f>
        <v/>
      </c>
      <c r="BL227" s="1" t="str">
        <f aca="false">IF(OR(NOT(AND(ISNUMBER(E227),ISNUMBER(F227))),$J$2=""),"",MIN(100,ROUND(SUM($G227:O227),1)))</f>
        <v/>
      </c>
      <c r="BM227" s="1" t="str">
        <f aca="false">IF(OR(NOT(AND(ISNUMBER(E227),ISNUMBER(F227))),$J$2=""),"",MIN(100,ROUND(SUM($G227:P227),1)))</f>
        <v/>
      </c>
      <c r="BN227" s="1" t="str">
        <f aca="false">IF(OR(NOT(AND(ISNUMBER(E227),ISNUMBER(F227))),$J$2=""),"",MIN(100,ROUND(SUM($G227:P227),1)))</f>
        <v/>
      </c>
      <c r="BO227" s="1" t="str">
        <f aca="false">IF(OR(NOT(AND(ISNUMBER(E227),ISNUMBER(F227))),$J$2=""),"",MIN(100,ROUND(SUM($G227:P227),1)))</f>
        <v/>
      </c>
      <c r="BP227" s="1" t="str">
        <f aca="false">IF(OR(NOT(AND(ISNUMBER(E227),ISNUMBER(F227))),$J$2=""),"",MIN(100,ROUND(SUM($G227:P227),1)))</f>
        <v/>
      </c>
      <c r="BQ227" s="1" t="str">
        <f aca="false">IF(OR(NOT(AND(ISNUMBER(E227),ISNUMBER(F227))),$J$2=""),"",MIN(100,ROUND(SUM($G227:P227),1)))</f>
        <v/>
      </c>
      <c r="BR227" s="1" t="str">
        <f aca="false">IF(OR(NOT(AND(ISNUMBER(E227),ISNUMBER(F227))),$J$2=""),"",MIN(100,ROUND(SUM($G227:P227),1)))</f>
        <v/>
      </c>
      <c r="BS227" s="1" t="str">
        <f aca="false">IF(OR(NOT(AND(ISNUMBER(E227),ISNUMBER(F227))),$J$2=""),"",MIN(100,ROUND(SUM($G227:P227),1)))</f>
        <v/>
      </c>
      <c r="BT227" s="1" t="str">
        <f aca="false">IF(OR(NOT(AND(ISNUMBER(E227),ISNUMBER(F227))),$J$2=""),"",IF(Reprogramaciones!K$13&lt;Reprogramaciones!$T$15,0,IF(Reprogramaciones!K$14&gt;10,MIN(100,SUM($G227:$P227)),MIN(100,SUMPRODUCT((COLUMN($G227:$P227)-COLUMN($G227)+1&lt;Reprogramaciones!K$14)*$G227:$P227)+N(INDEX($G227:$P227,1,Reprogramaciones!K$14))*IF(Reprogramaciones!K$13&gt;=(Reprogramaciones!$T$15+7*(Reprogramaciones!K$14-1))+6,1,IF(MAX(0,NETWORKDAYS.INTL(MAX(E227,(Reprogramaciones!$T$15+7*(Reprogramaciones!K$14-1))),MIN(F227,(Reprogramaciones!$T$15+7*(Reprogramaciones!K$14-1))+6),11))=0,0,MAX(0,NETWORKDAYS.INTL(MAX(E227,(Reprogramaciones!$T$15+7*(Reprogramaciones!K$14-1))),MIN(F227,Reprogramaciones!K$13),11))/MAX(0,NETWORKDAYS.INTL(MAX(E227,(Reprogramaciones!$T$15+7*(Reprogramaciones!K$14-1))),MIN(F227,(Reprogramaciones!$T$15+7*(Reprogramaciones!K$14-1))+6),11))))))))</f>
        <v/>
      </c>
      <c r="BU227" s="1" t="str">
        <f aca="false">IF(OR(NOT(AND(ISNUMBER(E227),ISNUMBER(F227))),$J$2=""),"",IF(Reprogramaciones!L$13&lt;Reprogramaciones!$T$15,0,IF(Reprogramaciones!L$14&gt;10,MIN(100,SUM($G227:$P227)),MIN(100,SUMPRODUCT((COLUMN($G227:$P227)-COLUMN($G227)+1&lt;Reprogramaciones!L$14)*$G227:$P227)+N(INDEX($G227:$P227,1,Reprogramaciones!L$14))*IF(Reprogramaciones!L$13&gt;=(Reprogramaciones!$T$15+7*(Reprogramaciones!L$14-1))+6,1,IF(MAX(0,NETWORKDAYS.INTL(MAX(E227,(Reprogramaciones!$T$15+7*(Reprogramaciones!L$14-1))),MIN(F227,(Reprogramaciones!$T$15+7*(Reprogramaciones!L$14-1))+6),11))=0,0,MAX(0,NETWORKDAYS.INTL(MAX(E227,(Reprogramaciones!$T$15+7*(Reprogramaciones!L$14-1))),MIN(F227,Reprogramaciones!L$13),11))/MAX(0,NETWORKDAYS.INTL(MAX(E227,(Reprogramaciones!$T$15+7*(Reprogramaciones!L$14-1))),MIN(F227,(Reprogramaciones!$T$15+7*(Reprogramaciones!L$14-1))+6),11))))))))</f>
        <v/>
      </c>
      <c r="BV227" s="1" t="str">
        <f aca="false">IF(OR(NOT(AND(ISNUMBER(E227),ISNUMBER(F227))),$J$2=""),"",IF(Reprogramaciones!M$13&lt;Reprogramaciones!$T$15,0,IF(Reprogramaciones!M$14&gt;10,MIN(100,SUM($G227:$P227)),MIN(100,SUMPRODUCT((COLUMN($G227:$P227)-COLUMN($G227)+1&lt;Reprogramaciones!M$14)*$G227:$P227)+N(INDEX($G227:$P227,1,Reprogramaciones!M$14))*IF(Reprogramaciones!M$13&gt;=(Reprogramaciones!$T$15+7*(Reprogramaciones!M$14-1))+6,1,IF(MAX(0,NETWORKDAYS.INTL(MAX(E227,(Reprogramaciones!$T$15+7*(Reprogramaciones!M$14-1))),MIN(F227,(Reprogramaciones!$T$15+7*(Reprogramaciones!M$14-1))+6),11))=0,0,MAX(0,NETWORKDAYS.INTL(MAX(E227,(Reprogramaciones!$T$15+7*(Reprogramaciones!M$14-1))),MIN(F227,Reprogramaciones!M$13),11))/MAX(0,NETWORKDAYS.INTL(MAX(E227,(Reprogramaciones!$T$15+7*(Reprogramaciones!M$14-1))),MIN(F227,(Reprogramaciones!$T$15+7*(Reprogramaciones!M$14-1))+6),11))))))))</f>
        <v/>
      </c>
      <c r="BW227" s="1" t="str">
        <f aca="false">IF(OR(NOT(AND(ISNUMBER(E227),ISNUMBER(F227))),$J$2=""),"",IF(Reprogramaciones!N$13&lt;Reprogramaciones!$T$15,0,IF(Reprogramaciones!N$14&gt;10,MIN(100,SUM($G227:$P227)),MIN(100,SUMPRODUCT((COLUMN($G227:$P227)-COLUMN($G227)+1&lt;Reprogramaciones!N$14)*$G227:$P227)+N(INDEX($G227:$P227,1,Reprogramaciones!N$14))*IF(Reprogramaciones!N$13&gt;=(Reprogramaciones!$T$15+7*(Reprogramaciones!N$14-1))+6,1,IF(MAX(0,NETWORKDAYS.INTL(MAX(E227,(Reprogramaciones!$T$15+7*(Reprogramaciones!N$14-1))),MIN(F227,(Reprogramaciones!$T$15+7*(Reprogramaciones!N$14-1))+6),11))=0,0,MAX(0,NETWORKDAYS.INTL(MAX(E227,(Reprogramaciones!$T$15+7*(Reprogramaciones!N$14-1))),MIN(F227,Reprogramaciones!N$13),11))/MAX(0,NETWORKDAYS.INTL(MAX(E227,(Reprogramaciones!$T$15+7*(Reprogramaciones!N$14-1))),MIN(F227,(Reprogramaciones!$T$15+7*(Reprogramaciones!N$14-1))+6),11))))))))</f>
        <v/>
      </c>
      <c r="BX227" s="1" t="str">
        <f aca="false">IF(OR(NOT(AND(ISNUMBER(E227),ISNUMBER(F227))),$J$2=""),"",IF(Reprogramaciones!O$13&lt;Reprogramaciones!$T$15,0,IF(Reprogramaciones!O$14&gt;10,MIN(100,SUM($G227:$P227)),MIN(100,SUMPRODUCT((COLUMN($G227:$P227)-COLUMN($G227)+1&lt;Reprogramaciones!O$14)*$G227:$P227)+N(INDEX($G227:$P227,1,Reprogramaciones!O$14))*IF(Reprogramaciones!O$13&gt;=(Reprogramaciones!$T$15+7*(Reprogramaciones!O$14-1))+6,1,IF(MAX(0,NETWORKDAYS.INTL(MAX(E227,(Reprogramaciones!$T$15+7*(Reprogramaciones!O$14-1))),MIN(F227,(Reprogramaciones!$T$15+7*(Reprogramaciones!O$14-1))+6),11))=0,0,MAX(0,NETWORKDAYS.INTL(MAX(E227,(Reprogramaciones!$T$15+7*(Reprogramaciones!O$14-1))),MIN(F227,Reprogramaciones!O$13),11))/MAX(0,NETWORKDAYS.INTL(MAX(E227,(Reprogramaciones!$T$15+7*(Reprogramaciones!O$14-1))),MIN(F227,(Reprogramaciones!$T$15+7*(Reprogramaciones!O$14-1))+6),11))))))))</f>
        <v/>
      </c>
      <c r="BY227" s="1" t="str">
        <f aca="false">IF(OR(NOT(AND(ISNUMBER(E227),ISNUMBER(F227))),$J$2=""),"",IF(Reprogramaciones!P$13&lt;Reprogramaciones!$T$15,0,IF(Reprogramaciones!P$14&gt;10,MIN(100,SUM($G227:$P227)),MIN(100,SUMPRODUCT((COLUMN($G227:$P227)-COLUMN($G227)+1&lt;Reprogramaciones!P$14)*$G227:$P227)+N(INDEX($G227:$P227,1,Reprogramaciones!P$14))*IF(Reprogramaciones!P$13&gt;=(Reprogramaciones!$T$15+7*(Reprogramaciones!P$14-1))+6,1,IF(MAX(0,NETWORKDAYS.INTL(MAX(E227,(Reprogramaciones!$T$15+7*(Reprogramaciones!P$14-1))),MIN(F227,(Reprogramaciones!$T$15+7*(Reprogramaciones!P$14-1))+6),11))=0,0,MAX(0,NETWORKDAYS.INTL(MAX(E227,(Reprogramaciones!$T$15+7*(Reprogramaciones!P$14-1))),MIN(F227,Reprogramaciones!P$13),11))/MAX(0,NETWORKDAYS.INTL(MAX(E227,(Reprogramaciones!$T$15+7*(Reprogramaciones!P$14-1))),MIN(F227,(Reprogramaciones!$T$15+7*(Reprogramaciones!P$14-1))+6),11))))))))</f>
        <v/>
      </c>
      <c r="BZ227" s="1" t="str">
        <f aca="false">IF(OR(NOT(AND(ISNUMBER(E227),ISNUMBER(F227))),$J$2=""),"",IF(Reprogramaciones!Q$13&lt;Reprogramaciones!$T$15,0,IF(Reprogramaciones!Q$14&gt;10,MIN(100,SUM($G227:$P227)),MIN(100,SUMPRODUCT((COLUMN($G227:$P227)-COLUMN($G227)+1&lt;Reprogramaciones!Q$14)*$G227:$P227)+N(INDEX($G227:$P227,1,Reprogramaciones!Q$14))*IF(Reprogramaciones!Q$13&gt;=(Reprogramaciones!$T$15+7*(Reprogramaciones!Q$14-1))+6,1,IF(MAX(0,NETWORKDAYS.INTL(MAX(E227,(Reprogramaciones!$T$15+7*(Reprogramaciones!Q$14-1))),MIN(F227,(Reprogramaciones!$T$15+7*(Reprogramaciones!Q$14-1))+6),11))=0,0,MAX(0,NETWORKDAYS.INTL(MAX(E227,(Reprogramaciones!$T$15+7*(Reprogramaciones!Q$14-1))),MIN(F227,Reprogramaciones!Q$13),11))/MAX(0,NETWORKDAYS.INTL(MAX(E227,(Reprogramaciones!$T$15+7*(Reprogramaciones!Q$14-1))),MIN(F227,(Reprogramaciones!$T$15+7*(Reprogramaciones!Q$14-1))+6),11))))))))</f>
        <v/>
      </c>
      <c r="CA227" s="1" t="str">
        <f aca="false">IF(OR(NOT(AND(ISNUMBER(E227),ISNUMBER(F227))),$J$2=""),"",IF(Reprogramaciones!R$13&lt;Reprogramaciones!$T$15,0,IF(Reprogramaciones!R$14&gt;10,MIN(100,SUM($G227:$P227)),MIN(100,SUMPRODUCT((COLUMN($G227:$P227)-COLUMN($G227)+1&lt;Reprogramaciones!R$14)*$G227:$P227)+N(INDEX($G227:$P227,1,Reprogramaciones!R$14))*IF(Reprogramaciones!R$13&gt;=(Reprogramaciones!$T$15+7*(Reprogramaciones!R$14-1))+6,1,IF(MAX(0,NETWORKDAYS.INTL(MAX(E227,(Reprogramaciones!$T$15+7*(Reprogramaciones!R$14-1))),MIN(F227,(Reprogramaciones!$T$15+7*(Reprogramaciones!R$14-1))+6),11))=0,0,MAX(0,NETWORKDAYS.INTL(MAX(E227,(Reprogramaciones!$T$15+7*(Reprogramaciones!R$14-1))),MIN(F227,Reprogramaciones!R$13),11))/MAX(0,NETWORKDAYS.INTL(MAX(E227,(Reprogramaciones!$T$15+7*(Reprogramaciones!R$14-1))),MIN(F227,(Reprogramaciones!$T$15+7*(Reprogramaciones!R$14-1))+6),11))))))))</f>
        <v/>
      </c>
      <c r="CB227" s="1" t="str">
        <f aca="false">IF(OR(NOT(AND(ISNUMBER(E227),ISNUMBER(F227))),$J$2=""),"",IF(Reprogramaciones!S$13&lt;Reprogramaciones!$T$15,0,IF(Reprogramaciones!S$14&gt;10,MIN(100,SUM($G227:$P227)),MIN(100,SUMPRODUCT((COLUMN($G227:$P227)-COLUMN($G227)+1&lt;Reprogramaciones!S$14)*$G227:$P227)+N(INDEX($G227:$P227,1,Reprogramaciones!S$14))*IF(Reprogramaciones!S$13&gt;=(Reprogramaciones!$T$15+7*(Reprogramaciones!S$14-1))+6,1,IF(MAX(0,NETWORKDAYS.INTL(MAX(E227,(Reprogramaciones!$T$15+7*(Reprogramaciones!S$14-1))),MIN(F227,(Reprogramaciones!$T$15+7*(Reprogramaciones!S$14-1))+6),11))=0,0,MAX(0,NETWORKDAYS.INTL(MAX(E227,(Reprogramaciones!$T$15+7*(Reprogramaciones!S$14-1))),MIN(F227,Reprogramaciones!S$13),11))/MAX(0,NETWORKDAYS.INTL(MAX(E227,(Reprogramaciones!$T$15+7*(Reprogramaciones!S$14-1))),MIN(F227,(Reprogramaciones!$T$15+7*(Reprogramaciones!S$14-1))+6),11))))))))</f>
        <v/>
      </c>
      <c r="CC227" s="1" t="str">
        <f aca="false">IF(OR(NOT(AND(ISNUMBER(E227),ISNUMBER(F227))),$J$2=""),"",IF(Reprogramaciones!T$13&lt;Reprogramaciones!$T$15,0,IF(Reprogramaciones!T$14&gt;10,MIN(100,SUM($G227:$P227)),MIN(100,SUMPRODUCT((COLUMN($G227:$P227)-COLUMN($G227)+1&lt;Reprogramaciones!T$14)*$G227:$P227)+N(INDEX($G227:$P227,1,Reprogramaciones!T$14))*IF(Reprogramaciones!T$13&gt;=(Reprogramaciones!$T$15+7*(Reprogramaciones!T$14-1))+6,1,IF(MAX(0,NETWORKDAYS.INTL(MAX(E227,(Reprogramaciones!$T$15+7*(Reprogramaciones!T$14-1))),MIN(F227,(Reprogramaciones!$T$15+7*(Reprogramaciones!T$14-1))+6),11))=0,0,MAX(0,NETWORKDAYS.INTL(MAX(E227,(Reprogramaciones!$T$15+7*(Reprogramaciones!T$14-1))),MIN(F227,Reprogramaciones!T$13),11))/MAX(0,NETWORKDAYS.INTL(MAX(E227,(Reprogramaciones!$T$15+7*(Reprogramaciones!T$14-1))),MIN(F227,(Reprogramaciones!$T$15+7*(Reprogramaciones!T$14-1))+6),11))))))))</f>
        <v/>
      </c>
      <c r="CD227" s="1" t="str">
        <f aca="false">IF(OR(NOT(AND(ISNUMBER(E227),ISNUMBER(F227))),$J$2=""),"",IF(Reprogramaciones!U$13&lt;Reprogramaciones!$T$15,0,IF(Reprogramaciones!U$14&gt;10,MIN(100,SUM($G227:$P227)),MIN(100,SUMPRODUCT((COLUMN($G227:$P227)-COLUMN($G227)+1&lt;Reprogramaciones!U$14)*$G227:$P227)+N(INDEX($G227:$P227,1,Reprogramaciones!U$14))*IF(Reprogramaciones!U$13&gt;=(Reprogramaciones!$T$15+7*(Reprogramaciones!U$14-1))+6,1,IF(MAX(0,NETWORKDAYS.INTL(MAX(E227,(Reprogramaciones!$T$15+7*(Reprogramaciones!U$14-1))),MIN(F227,(Reprogramaciones!$T$15+7*(Reprogramaciones!U$14-1))+6),11))=0,0,MAX(0,NETWORKDAYS.INTL(MAX(E227,(Reprogramaciones!$T$15+7*(Reprogramaciones!U$14-1))),MIN(F227,Reprogramaciones!U$13),11))/MAX(0,NETWORKDAYS.INTL(MAX(E227,(Reprogramaciones!$T$15+7*(Reprogramaciones!U$14-1))),MIN(F227,(Reprogramaciones!$T$15+7*(Reprogramaciones!U$14-1))+6),11))))))))</f>
        <v/>
      </c>
      <c r="CE227" s="1" t="str">
        <f aca="false">IF(OR(NOT(AND(ISNUMBER(E227),ISNUMBER(F227))),$J$2=""),"",IF(Reprogramaciones!V$13&lt;Reprogramaciones!$T$15,0,IF(Reprogramaciones!V$14&gt;10,MIN(100,SUM($G227:$P227)),MIN(100,SUMPRODUCT((COLUMN($G227:$P227)-COLUMN($G227)+1&lt;Reprogramaciones!V$14)*$G227:$P227)+N(INDEX($G227:$P227,1,Reprogramaciones!V$14))*IF(Reprogramaciones!V$13&gt;=(Reprogramaciones!$T$15+7*(Reprogramaciones!V$14-1))+6,1,IF(MAX(0,NETWORKDAYS.INTL(MAX(E227,(Reprogramaciones!$T$15+7*(Reprogramaciones!V$14-1))),MIN(F227,(Reprogramaciones!$T$15+7*(Reprogramaciones!V$14-1))+6),11))=0,0,MAX(0,NETWORKDAYS.INTL(MAX(E227,(Reprogramaciones!$T$15+7*(Reprogramaciones!V$14-1))),MIN(F227,Reprogramaciones!V$13),11))/MAX(0,NETWORKDAYS.INTL(MAX(E227,(Reprogramaciones!$T$15+7*(Reprogramaciones!V$14-1))),MIN(F227,(Reprogramaciones!$T$15+7*(Reprogramaciones!V$14-1))+6),11))))))))</f>
        <v/>
      </c>
      <c r="CF227" s="1" t="str">
        <f aca="false">IF(OR(NOT(AND(ISNUMBER(E227),ISNUMBER(F227))),$J$2=""),"",IF(Reprogramaciones!W$13&lt;Reprogramaciones!$T$15,0,IF(Reprogramaciones!W$14&gt;10,MIN(100,SUM($G227:$P227)),MIN(100,SUMPRODUCT((COLUMN($G227:$P227)-COLUMN($G227)+1&lt;Reprogramaciones!W$14)*$G227:$P227)+N(INDEX($G227:$P227,1,Reprogramaciones!W$14))*IF(Reprogramaciones!W$13&gt;=(Reprogramaciones!$T$15+7*(Reprogramaciones!W$14-1))+6,1,IF(MAX(0,NETWORKDAYS.INTL(MAX(E227,(Reprogramaciones!$T$15+7*(Reprogramaciones!W$14-1))),MIN(F227,(Reprogramaciones!$T$15+7*(Reprogramaciones!W$14-1))+6),11))=0,0,MAX(0,NETWORKDAYS.INTL(MAX(E227,(Reprogramaciones!$T$15+7*(Reprogramaciones!W$14-1))),MIN(F227,Reprogramaciones!W$13),11))/MAX(0,NETWORKDAYS.INTL(MAX(E227,(Reprogramaciones!$T$15+7*(Reprogramaciones!W$14-1))),MIN(F227,(Reprogramaciones!$T$15+7*(Reprogramaciones!W$14-1))+6),11))))))))</f>
        <v/>
      </c>
      <c r="CG227" s="1" t="str">
        <f aca="false">IF(OR(NOT(AND(ISNUMBER(E227),ISNUMBER(F227))),$J$2=""),"",IF(Reprogramaciones!X$13&lt;Reprogramaciones!$T$15,0,IF(Reprogramaciones!X$14&gt;10,MIN(100,SUM($G227:$P227)),MIN(100,SUMPRODUCT((COLUMN($G227:$P227)-COLUMN($G227)+1&lt;Reprogramaciones!X$14)*$G227:$P227)+N(INDEX($G227:$P227,1,Reprogramaciones!X$14))*IF(Reprogramaciones!X$13&gt;=(Reprogramaciones!$T$15+7*(Reprogramaciones!X$14-1))+6,1,IF(MAX(0,NETWORKDAYS.INTL(MAX(E227,(Reprogramaciones!$T$15+7*(Reprogramaciones!X$14-1))),MIN(F227,(Reprogramaciones!$T$15+7*(Reprogramaciones!X$14-1))+6),11))=0,0,MAX(0,NETWORKDAYS.INTL(MAX(E227,(Reprogramaciones!$T$15+7*(Reprogramaciones!X$14-1))),MIN(F227,Reprogramaciones!X$13),11))/MAX(0,NETWORKDAYS.INTL(MAX(E227,(Reprogramaciones!$T$15+7*(Reprogramaciones!X$14-1))),MIN(F227,(Reprogramaciones!$T$15+7*(Reprogramaciones!X$14-1))+6),11))))))))</f>
        <v/>
      </c>
      <c r="CH227" s="1" t="str">
        <f aca="false">IF(OR(NOT(AND(ISNUMBER(E227),ISNUMBER(F227))),$J$2=""),"",IF(Reprogramaciones!Y$13&lt;Reprogramaciones!$T$15,0,IF(Reprogramaciones!Y$14&gt;10,MIN(100,SUM($G227:$P227)),MIN(100,SUMPRODUCT((COLUMN($G227:$P227)-COLUMN($G227)+1&lt;Reprogramaciones!Y$14)*$G227:$P227)+N(INDEX($G227:$P227,1,Reprogramaciones!Y$14))*IF(Reprogramaciones!Y$13&gt;=(Reprogramaciones!$T$15+7*(Reprogramaciones!Y$14-1))+6,1,IF(MAX(0,NETWORKDAYS.INTL(MAX(E227,(Reprogramaciones!$T$15+7*(Reprogramaciones!Y$14-1))),MIN(F227,(Reprogramaciones!$T$15+7*(Reprogramaciones!Y$14-1))+6),11))=0,0,MAX(0,NETWORKDAYS.INTL(MAX(E227,(Reprogramaciones!$T$15+7*(Reprogramaciones!Y$14-1))),MIN(F227,Reprogramaciones!Y$13),11))/MAX(0,NETWORKDAYS.INTL(MAX(E227,(Reprogramaciones!$T$15+7*(Reprogramaciones!Y$14-1))),MIN(F227,(Reprogramaciones!$T$15+7*(Reprogramaciones!Y$14-1))+6),11))))))))</f>
        <v/>
      </c>
      <c r="CI227" s="1" t="str">
        <f aca="false">IF(OR(NOT(AND(ISNUMBER(E227),ISNUMBER(F227))),$J$2=""),"",IF(Reprogramaciones!Z$13&lt;Reprogramaciones!$T$15,0,IF(Reprogramaciones!Z$14&gt;10,MIN(100,SUM($G227:$P227)),MIN(100,SUMPRODUCT((COLUMN($G227:$P227)-COLUMN($G227)+1&lt;Reprogramaciones!Z$14)*$G227:$P227)+N(INDEX($G227:$P227,1,Reprogramaciones!Z$14))*IF(Reprogramaciones!Z$13&gt;=(Reprogramaciones!$T$15+7*(Reprogramaciones!Z$14-1))+6,1,IF(MAX(0,NETWORKDAYS.INTL(MAX(E227,(Reprogramaciones!$T$15+7*(Reprogramaciones!Z$14-1))),MIN(F227,(Reprogramaciones!$T$15+7*(Reprogramaciones!Z$14-1))+6),11))=0,0,MAX(0,NETWORKDAYS.INTL(MAX(E227,(Reprogramaciones!$T$15+7*(Reprogramaciones!Z$14-1))),MIN(F227,Reprogramaciones!Z$13),11))/MAX(0,NETWORKDAYS.INTL(MAX(E227,(Reprogramaciones!$T$15+7*(Reprogramaciones!Z$14-1))),MIN(F227,(Reprogramaciones!$T$15+7*(Reprogramaciones!Z$14-1))+6),11))))))))</f>
        <v/>
      </c>
      <c r="CJ227" s="1" t="str">
        <f aca="false">IF(OR(OR(NOT(AND(ISNUMBER(E227),ISNUMBER(F227))),$J$2=""),1&gt;Reprogramaciones!$K$16),"",IF(ROUND(SUM($Q227:Q227),1)&gt;=99.5,100,MIN(100,ROUND(SUM($Q227:Q227),1))))</f>
        <v/>
      </c>
      <c r="CK227" s="1" t="str">
        <f aca="false">IF(OR(OR(NOT(AND(ISNUMBER(E227),ISNUMBER(F227))),$J$2=""),2&gt;Reprogramaciones!$K$16),"",IF(ROUND(SUM($Q227:R227),1)&gt;=99.5,100,MIN(100,ROUND(SUM($Q227:R227),1))))</f>
        <v/>
      </c>
      <c r="CL227" s="1" t="str">
        <f aca="false">IF(OR(OR(NOT(AND(ISNUMBER(E227),ISNUMBER(F227))),$J$2=""),3&gt;Reprogramaciones!$K$16),"",IF(ROUND(SUM($Q227:S227),1)&gt;=99.5,100,MIN(100,ROUND(SUM($Q227:S227),1))))</f>
        <v/>
      </c>
      <c r="CM227" s="1" t="str">
        <f aca="false">IF(OR(OR(NOT(AND(ISNUMBER(E227),ISNUMBER(F227))),$J$2=""),4&gt;Reprogramaciones!$K$16),"",IF(ROUND(SUM($Q227:T227),1)&gt;=99.5,100,MIN(100,ROUND(SUM($Q227:T227),1))))</f>
        <v/>
      </c>
      <c r="CN227" s="1" t="str">
        <f aca="false">IF(OR(OR(NOT(AND(ISNUMBER(E227),ISNUMBER(F227))),$J$2=""),5&gt;Reprogramaciones!$K$16),"",IF(ROUND(SUM($Q227:U227),1)&gt;=99.5,100,MIN(100,ROUND(SUM($Q227:U227),1))))</f>
        <v/>
      </c>
      <c r="CO227" s="1" t="str">
        <f aca="false">IF(OR(OR(NOT(AND(ISNUMBER(E227),ISNUMBER(F227))),$J$2=""),6&gt;Reprogramaciones!$K$16),"",IF(ROUND(SUM($Q227:V227),1)&gt;=99.5,100,MIN(100,ROUND(SUM($Q227:V227),1))))</f>
        <v/>
      </c>
      <c r="CP227" s="1" t="str">
        <f aca="false">IF(OR(OR(NOT(AND(ISNUMBER(E227),ISNUMBER(F227))),$J$2=""),7&gt;Reprogramaciones!$K$16),"",IF(ROUND(SUM($Q227:W227),1)&gt;=99.5,100,MIN(100,ROUND(SUM($Q227:W227),1))))</f>
        <v/>
      </c>
      <c r="CQ227" s="1" t="str">
        <f aca="false">IF(OR(OR(NOT(AND(ISNUMBER(E227),ISNUMBER(F227))),$J$2=""),8&gt;Reprogramaciones!$K$16),"",IF(ROUND(SUM($Q227:X227),1)&gt;=99.5,100,MIN(100,ROUND(SUM($Q227:X227),1))))</f>
        <v/>
      </c>
      <c r="CR227" s="1" t="str">
        <f aca="false">IF(OR(OR(NOT(AND(ISNUMBER(E227),ISNUMBER(F227))),$J$2=""),9&gt;Reprogramaciones!$K$16),"",IF(ROUND(SUM($Q227:Y227),1)&gt;=99.5,100,MIN(100,ROUND(SUM($Q227:Y227),1))))</f>
        <v/>
      </c>
      <c r="CS227" s="1" t="str">
        <f aca="false">IF(OR(OR(NOT(AND(ISNUMBER(E227),ISNUMBER(F227))),$J$2=""),10&gt;Reprogramaciones!$K$16),"",IF(ROUND(SUM($Q227:Z227),1)&gt;=99.5,100,MIN(100,ROUND(SUM($Q227:Z227),1))))</f>
        <v/>
      </c>
      <c r="CT227" s="1" t="str">
        <f aca="false">IF(OR(OR(NOT(AND(ISNUMBER(E227),ISNUMBER(F227))),$J$2=""),11&gt;Reprogramaciones!$K$16),"",IF(ROUND(SUM($Q227:AA227),1)&gt;=99.5,100,MIN(100,ROUND(SUM($Q227:AA227),1))))</f>
        <v/>
      </c>
      <c r="CU227" s="1" t="str">
        <f aca="false">IF(OR(OR(NOT(AND(ISNUMBER(E227),ISNUMBER(F227))),$J$2=""),12&gt;Reprogramaciones!$K$16),"",IF(ROUND(SUM($Q227:AB227),1)&gt;=99.5,100,MIN(100,ROUND(SUM($Q227:AB227),1))))</f>
        <v/>
      </c>
      <c r="CV227" s="1" t="str">
        <f aca="false">IF(OR(OR(NOT(AND(ISNUMBER(E227),ISNUMBER(F227))),$J$2=""),13&gt;Reprogramaciones!$K$16),"",IF(ROUND(SUM($Q227:AC227),1)&gt;=99.5,100,MIN(100,ROUND(SUM($Q227:AC227),1))))</f>
        <v/>
      </c>
      <c r="CW227" s="1" t="str">
        <f aca="false">IF(OR(OR(NOT(AND(ISNUMBER(E227),ISNUMBER(F227))),$J$2=""),14&gt;Reprogramaciones!$K$16),"",IF(ROUND(SUM($Q227:AD227),1)&gt;=99.5,100,MIN(100,ROUND(SUM($Q227:AD227),1))))</f>
        <v/>
      </c>
      <c r="CX227" s="1" t="str">
        <f aca="false">IF(OR(OR(NOT(AND(ISNUMBER(E227),ISNUMBER(F227))),$J$2=""),15&gt;Reprogramaciones!$K$16),"",IF(ROUND(SUM($Q227:AE227),1)&gt;=99.5,100,MIN(100,ROUND(SUM($Q227:AE227),1))))</f>
        <v/>
      </c>
      <c r="CY227" s="1" t="str">
        <f aca="false">IF(OR(OR(NOT(AND(ISNUMBER(E227),ISNUMBER(F227))),$J$2=""),16&gt;Reprogramaciones!$K$16),"",IF(ROUND(SUM($Q227:AF227),1)&gt;=99.5,100,MIN(100,ROUND(SUM($Q227:AF227),1))))</f>
        <v/>
      </c>
      <c r="CZ227" s="1" t="str">
        <f aca="false">IF(D227&lt;&gt;"",D227,IF(B227&lt;&gt;"","Contractual",CZ226))</f>
        <v>Contractual</v>
      </c>
      <c r="DA227" s="1" t="str">
        <f aca="false">IF(OR(NOT(AND(ISNUMBER(E227),ISNUMBER(F227))),$J$2=""),"",IF(Reprogramaciones!$Q$15&lt;Reprogramaciones!$T$15,0,IF(Reprogramaciones!$S$15&gt;10,MIN(100,SUM($G227:$P227)),MIN(100,SUMPRODUCT((COLUMN($G227:$P227)-COLUMN($G227)+1&lt;Reprogramaciones!$S$15)*$G227:$P227)+N(INDEX($G227:$P227,1,Reprogramaciones!$S$15))*IF(Reprogramaciones!$Q$15&gt;=(Reprogramaciones!$T$15+7*(Reprogramaciones!$S$15-1))+6,1,IF(MAX(0,NETWORKDAYS.INTL(MAX(E227,(Reprogramaciones!$T$15+7*(Reprogramaciones!$S$15-1))),MIN(F227,(Reprogramaciones!$T$15+7*(Reprogramaciones!$S$15-1))+6),11))=0,0,MAX(0,NETWORKDAYS.INTL(MAX(E227,(Reprogramaciones!$T$15+7*(Reprogramaciones!$S$15-1))),MIN(F227,Reprogramaciones!$Q$15),11))/MAX(0,NETWORKDAYS.INTL(MAX(E227,(Reprogramaciones!$T$15+7*(Reprogramaciones!$S$15-1))),MIN(F227,(Reprogramaciones!$T$15+7*(Reprogramaciones!$S$15-1))+6),11))))))))</f>
        <v/>
      </c>
    </row>
    <row r="228" customFormat="false" ht="15" hidden="false" customHeight="false" outlineLevel="0" collapsed="false">
      <c r="A228" s="32"/>
      <c r="B228" s="33"/>
      <c r="C228" s="33"/>
      <c r="D228" s="34"/>
      <c r="E228" s="35"/>
      <c r="F228" s="35"/>
      <c r="G228" s="36" t="str">
        <f aca="false">IF(OR(NOT(AND(ISNUMBER(E228),ISNUMBER(F228))),$J$2=""),"",IF(Reprogramaciones!K$9&lt;E228,0,IF(NETWORKDAYS.INTL(E228,F228,11)=0,IF(Reprogramaciones!K$9&gt;=F228,100,0),ROUND(NETWORKDAYS.INTL(E228,MIN(F228,Reprogramaciones!K$9),11)/NETWORKDAYS.INTL(E228,F228,11)*100,1)))-0)</f>
        <v/>
      </c>
      <c r="H228" s="36" t="str">
        <f aca="false">IF(OR(NOT(AND(ISNUMBER(E228),ISNUMBER(F228))),$J$2=""),"",IF(Reprogramaciones!L$9&lt;E228,0,IF(NETWORKDAYS.INTL(E228,F228,11)=0,IF(Reprogramaciones!L$9&gt;=F228,100,0),ROUND(NETWORKDAYS.INTL(E228,MIN(F228,Reprogramaciones!L$9),11)/NETWORKDAYS.INTL(E228,F228,11)*100,1)))-IF(Reprogramaciones!K$9&lt;E228,0,IF(NETWORKDAYS.INTL(E228,F228,11)=0,IF(Reprogramaciones!K$9&gt;=F228,100,0),ROUND(NETWORKDAYS.INTL(E228,MIN(F228,Reprogramaciones!K$9),11)/NETWORKDAYS.INTL(E228,F228,11)*100,1))))</f>
        <v/>
      </c>
      <c r="I228" s="36" t="str">
        <f aca="false">IF(OR(NOT(AND(ISNUMBER(E228),ISNUMBER(F228))),$J$2=""),"",IF(Reprogramaciones!M$9&lt;E228,0,IF(NETWORKDAYS.INTL(E228,F228,11)=0,IF(Reprogramaciones!M$9&gt;=F228,100,0),ROUND(NETWORKDAYS.INTL(E228,MIN(F228,Reprogramaciones!M$9),11)/NETWORKDAYS.INTL(E228,F228,11)*100,1)))-IF(Reprogramaciones!L$9&lt;E228,0,IF(NETWORKDAYS.INTL(E228,F228,11)=0,IF(Reprogramaciones!L$9&gt;=F228,100,0),ROUND(NETWORKDAYS.INTL(E228,MIN(F228,Reprogramaciones!L$9),11)/NETWORKDAYS.INTL(E228,F228,11)*100,1))))</f>
        <v/>
      </c>
      <c r="J228" s="36" t="str">
        <f aca="false">IF(OR(NOT(AND(ISNUMBER(E228),ISNUMBER(F228))),$J$2=""),"",IF(Reprogramaciones!N$9&lt;E228,0,IF(NETWORKDAYS.INTL(E228,F228,11)=0,IF(Reprogramaciones!N$9&gt;=F228,100,0),ROUND(NETWORKDAYS.INTL(E228,MIN(F228,Reprogramaciones!N$9),11)/NETWORKDAYS.INTL(E228,F228,11)*100,1)))-IF(Reprogramaciones!M$9&lt;E228,0,IF(NETWORKDAYS.INTL(E228,F228,11)=0,IF(Reprogramaciones!M$9&gt;=F228,100,0),ROUND(NETWORKDAYS.INTL(E228,MIN(F228,Reprogramaciones!M$9),11)/NETWORKDAYS.INTL(E228,F228,11)*100,1))))</f>
        <v/>
      </c>
      <c r="K228" s="36" t="str">
        <f aca="false">IF(OR(NOT(AND(ISNUMBER(E228),ISNUMBER(F228))),$J$2=""),"",IF(Reprogramaciones!O$9&lt;E228,0,IF(NETWORKDAYS.INTL(E228,F228,11)=0,IF(Reprogramaciones!O$9&gt;=F228,100,0),ROUND(NETWORKDAYS.INTL(E228,MIN(F228,Reprogramaciones!O$9),11)/NETWORKDAYS.INTL(E228,F228,11)*100,1)))-IF(Reprogramaciones!N$9&lt;E228,0,IF(NETWORKDAYS.INTL(E228,F228,11)=0,IF(Reprogramaciones!N$9&gt;=F228,100,0),ROUND(NETWORKDAYS.INTL(E228,MIN(F228,Reprogramaciones!N$9),11)/NETWORKDAYS.INTL(E228,F228,11)*100,1))))</f>
        <v/>
      </c>
      <c r="L228" s="36" t="str">
        <f aca="false">IF(OR(NOT(AND(ISNUMBER(E228),ISNUMBER(F228))),$J$2=""),"",IF(Reprogramaciones!P$9&lt;E228,0,IF(NETWORKDAYS.INTL(E228,F228,11)=0,IF(Reprogramaciones!P$9&gt;=F228,100,0),ROUND(NETWORKDAYS.INTL(E228,MIN(F228,Reprogramaciones!P$9),11)/NETWORKDAYS.INTL(E228,F228,11)*100,1)))-IF(Reprogramaciones!O$9&lt;E228,0,IF(NETWORKDAYS.INTL(E228,F228,11)=0,IF(Reprogramaciones!O$9&gt;=F228,100,0),ROUND(NETWORKDAYS.INTL(E228,MIN(F228,Reprogramaciones!O$9),11)/NETWORKDAYS.INTL(E228,F228,11)*100,1))))</f>
        <v/>
      </c>
      <c r="M228" s="36" t="str">
        <f aca="false">IF(OR(NOT(AND(ISNUMBER(E228),ISNUMBER(F228))),$J$2=""),"",IF(Reprogramaciones!Q$9&lt;E228,0,IF(NETWORKDAYS.INTL(E228,F228,11)=0,IF(Reprogramaciones!Q$9&gt;=F228,100,0),ROUND(NETWORKDAYS.INTL(E228,MIN(F228,Reprogramaciones!Q$9),11)/NETWORKDAYS.INTL(E228,F228,11)*100,1)))-IF(Reprogramaciones!P$9&lt;E228,0,IF(NETWORKDAYS.INTL(E228,F228,11)=0,IF(Reprogramaciones!P$9&gt;=F228,100,0),ROUND(NETWORKDAYS.INTL(E228,MIN(F228,Reprogramaciones!P$9),11)/NETWORKDAYS.INTL(E228,F228,11)*100,1))))</f>
        <v/>
      </c>
      <c r="N228" s="36" t="str">
        <f aca="false">IF(OR(NOT(AND(ISNUMBER(E228),ISNUMBER(F228))),$J$2=""),"",IF(Reprogramaciones!R$9&lt;E228,0,IF(NETWORKDAYS.INTL(E228,F228,11)=0,IF(Reprogramaciones!R$9&gt;=F228,100,0),ROUND(NETWORKDAYS.INTL(E228,MIN(F228,Reprogramaciones!R$9),11)/NETWORKDAYS.INTL(E228,F228,11)*100,1)))-IF(Reprogramaciones!Q$9&lt;E228,0,IF(NETWORKDAYS.INTL(E228,F228,11)=0,IF(Reprogramaciones!Q$9&gt;=F228,100,0),ROUND(NETWORKDAYS.INTL(E228,MIN(F228,Reprogramaciones!Q$9),11)/NETWORKDAYS.INTL(E228,F228,11)*100,1))))</f>
        <v/>
      </c>
      <c r="O228" s="36" t="str">
        <f aca="false">IF(OR(NOT(AND(ISNUMBER(E228),ISNUMBER(F228))),$J$2=""),"",IF(Reprogramaciones!S$9&lt;E228,0,IF(NETWORKDAYS.INTL(E228,F228,11)=0,IF(Reprogramaciones!S$9&gt;=F228,100,0),ROUND(NETWORKDAYS.INTL(E228,MIN(F228,Reprogramaciones!S$9),11)/NETWORKDAYS.INTL(E228,F228,11)*100,1)))-IF(Reprogramaciones!R$9&lt;E228,0,IF(NETWORKDAYS.INTL(E228,F228,11)=0,IF(Reprogramaciones!R$9&gt;=F228,100,0),ROUND(NETWORKDAYS.INTL(E228,MIN(F228,Reprogramaciones!R$9),11)/NETWORKDAYS.INTL(E228,F228,11)*100,1))))</f>
        <v/>
      </c>
      <c r="P228" s="36" t="str">
        <f aca="false">IF(OR(NOT(AND(ISNUMBER(E228),ISNUMBER(F228))),$J$2=""),"",IF(Reprogramaciones!T$9&lt;E228,0,IF(NETWORKDAYS.INTL(E228,F228,11)=0,IF(Reprogramaciones!T$9&gt;=F228,100,0),ROUND(NETWORKDAYS.INTL(E228,MIN(F228,Reprogramaciones!T$9),11)/NETWORKDAYS.INTL(E228,F228,11)*100,1)))-IF(Reprogramaciones!S$9&lt;E228,0,IF(NETWORKDAYS.INTL(E228,F228,11)=0,IF(Reprogramaciones!S$9&gt;=F228,100,0),ROUND(NETWORKDAYS.INTL(E228,MIN(F228,Reprogramaciones!S$9),11)/NETWORKDAYS.INTL(E228,F228,11)*100,1))))</f>
        <v/>
      </c>
      <c r="Q228" s="37"/>
      <c r="R228" s="37"/>
      <c r="S228" s="37"/>
      <c r="T228" s="37"/>
      <c r="U228" s="37"/>
      <c r="V228" s="37"/>
      <c r="W228" s="37"/>
      <c r="X228" s="37"/>
      <c r="Y228" s="37"/>
      <c r="Z228" s="37"/>
      <c r="AA228" s="37"/>
      <c r="AB228" s="37"/>
      <c r="AC228" s="37"/>
      <c r="AD228" s="37"/>
      <c r="AE228" s="37"/>
      <c r="AF228" s="37"/>
      <c r="AG228" s="38" t="str">
        <f aca="false">IF(AND(ISNUMBER(E228),ISNUMBER(F228)),NETWORKDAYS.INTL(E228,F228,11),"")</f>
        <v/>
      </c>
      <c r="AH228" s="38" t="str">
        <f aca="false">IF(OR(NOT(AND(ISNUMBER(E228),ISNUMBER(F228))),$J$2=""),"",IF(Reprogramaciones!$P$15&lt;Reprogramaciones!$T$15,0,IF(Reprogramaciones!$R$15&gt;10,MIN(100,SUM($G228:$P228)),MIN(100,SUMPRODUCT((COLUMN($G228:$P228)-COLUMN($G228)+1&lt;Reprogramaciones!$R$15)*$G228:$P228)+N(INDEX($G228:$P228,1,Reprogramaciones!$R$15))*IF(Reprogramaciones!$P$15&gt;=(Reprogramaciones!$T$15+7*(Reprogramaciones!$R$15-1))+6,1,IF(MAX(0,NETWORKDAYS.INTL(MAX(E228,(Reprogramaciones!$T$15+7*(Reprogramaciones!$R$15-1))),MIN(F228,(Reprogramaciones!$T$15+7*(Reprogramaciones!$R$15-1))+6),11))=0,0,MAX(0,NETWORKDAYS.INTL(MAX(E228,(Reprogramaciones!$T$15+7*(Reprogramaciones!$R$15-1))),MIN(F228,Reprogramaciones!$P$15),11))/MAX(0,NETWORKDAYS.INTL(MAX(E228,(Reprogramaciones!$T$15+7*(Reprogramaciones!$R$15-1))),MIN(F228,(Reprogramaciones!$T$15+7*(Reprogramaciones!$R$15-1))+6),11))))))))</f>
        <v/>
      </c>
      <c r="AI228" s="38" t="str">
        <f aca="false">IF(COUNT($Q228:$AF228)=0,"",IF(ROUND(SUM($Q228:$AF228),1)&gt;=99.5,100,MIN(100,ROUND(SUM($Q228:$AF228),1))))</f>
        <v/>
      </c>
      <c r="AJ228" s="38" t="str">
        <f aca="false">IF(OR(AH228="",AI228=""),"",AI228-AH228)</f>
        <v/>
      </c>
      <c r="AK228" s="39" t="str">
        <f aca="true">IF(AH228="","",IF(OR(Ficha!$C$10="Suspendida",Ficha!$C$10="Cancelada"),Ficha!$C$10,IF(AND(AI228&lt;&gt;"",N(AI228)&gt;=100),"Completada",IF(AND(E228&gt;TODAY(),N(AI228)=0),"Por iniciar",IF(N(AI228)+0.5&lt;AH228,"Retrasada",IF(N(AI228)+0.5&lt;DA228,IF(Reprogramaciones!$K$15&gt;0,"Al día · Sem "&amp;Reprogramaciones!$K$15&amp;" en curso","Al día · en curso"),"A tiempo"))))))</f>
        <v/>
      </c>
      <c r="AL228" s="39" t="str">
        <f aca="true">IF(AND(A228="",AND(B228="",C228="",E228="",F228="",COUNT(Q228:AF228)=0)),"",IF(AND(B228="",C228="",E228="",F228="",COUNT(Q228:AF228)=0),"Falta la partida o subpartida",IF(AND(A228&lt;&gt;"",COUNTIF($A$6:$A$305,A228)&gt;1),"Ítem repetido",IF(AND(C228="",E228="",F228="",COUNT(Q228:AF228)=0),"Título de partida",IF(OR(E228="",F228=""),"Faltan fechas",IF(OR(ISTEXT(E228),ISTEXT(F228)),"Fecha escrita como texto: usa dd/mm/aaaa",IF(F228&lt;E228,"Fin antes del inicio",IF(IF($J$2="",FALSE(),OR(E228&lt;$J$2,F228&gt;Reprogramaciones!$T$15+69)),"Fuera de las 10 semanas",IF(ABS(SUM(G228:P228)-100)&gt;0.5,"La meta no suma 100%",IF(ROUND(SUM(Q228:AF228),1)&gt;100.5,"El avance pasa de 100%",IF(MIN(Q228:AF228)&lt;0,"Avance negativo",IF(COUNTA(Q228:AF228)&gt;COUNT(Q228:AF228),"Avance escrito como texto",IF(SUMPRODUCT((Q228:AF228&gt;0)*(Q228:AF228&lt;1))&gt;0,"Avance menor a 1: escribe 50, no 50%",IF(SUMPRODUCT(ISNUMBER(Q228:AF228)*(Reprogramaciones!$K$8:$Z$8&gt;TODAY()))&gt;0,"Avance en semana que aún no llega",IF(AND(N(Reprogramaciones!$E$21)&gt;0,F228&gt;Reprogramaciones!$E$21),"Pasa el fin de la obra: registra una reprogramación",IF(AND(N(Reprogramaciones!$E$21)&gt;0,SUMPRODUCT(ISNUMBER(Q228:AF228)*(Reprogramaciones!$K$8:$Z$8&gt;Reprogramaciones!$E$21))&gt;0),"Avance después del fin de la obra: registra una reprogramación por atraso","OK"))))))))))))))))</f>
        <v/>
      </c>
      <c r="AM228" s="40" t="str">
        <f aca="false">IF(OR(OR(NOT(AND(ISNUMBER(E228),ISNUMBER(F228))),$J$2=""),1&gt;MAX(1,Reprogramaciones!$U$15)),"",IF(Reprogramaciones!K$12&gt;=7,"",IF(OR(BT228-N(0)&gt;0.05,N(Q228)&gt;0),ROUNDDOWN(ROUND(BT228,6),0)&amp;"%"&amp;IF(CJ228="",""," / "&amp;CJ228&amp;"%"),IF(AND(N(0)&gt;=99.95,CJ228&lt;&gt;"",N(CJ228)&lt;100),"Pend. "&amp;CJ228&amp;"%",""))))</f>
        <v/>
      </c>
      <c r="AN228" s="40" t="str">
        <f aca="false">IF(OR(OR(NOT(AND(ISNUMBER(E228),ISNUMBER(F228))),$J$2=""),2&gt;MAX(1,Reprogramaciones!$U$15)),"",IF(Reprogramaciones!L$12&gt;=7,"",IF(OR(BU228-N(BT228)&gt;0.05,N(R228)&gt;0),ROUNDDOWN(ROUND(BU228,6),0)&amp;"%"&amp;IF(CK228="",""," / "&amp;CK228&amp;"%"),IF(AND(N(BT228)&gt;=99.95,CK228&lt;&gt;"",N(CK228)&lt;100),"Pend. "&amp;CK228&amp;"%",""))))</f>
        <v/>
      </c>
      <c r="AO228" s="40" t="str">
        <f aca="false">IF(OR(OR(NOT(AND(ISNUMBER(E228),ISNUMBER(F228))),$J$2=""),3&gt;MAX(1,Reprogramaciones!$U$15)),"",IF(Reprogramaciones!M$12&gt;=7,"",IF(OR(BV228-N(BU228)&gt;0.05,N(S228)&gt;0),ROUNDDOWN(ROUND(BV228,6),0)&amp;"%"&amp;IF(CL228="",""," / "&amp;CL228&amp;"%"),IF(AND(N(BU228)&gt;=99.95,CL228&lt;&gt;"",N(CL228)&lt;100),"Pend. "&amp;CL228&amp;"%",""))))</f>
        <v/>
      </c>
      <c r="AP228" s="40" t="str">
        <f aca="false">IF(OR(OR(NOT(AND(ISNUMBER(E228),ISNUMBER(F228))),$J$2=""),4&gt;MAX(1,Reprogramaciones!$U$15)),"",IF(Reprogramaciones!N$12&gt;=7,"",IF(OR(BW228-N(BV228)&gt;0.05,N(T228)&gt;0),ROUNDDOWN(ROUND(BW228,6),0)&amp;"%"&amp;IF(CM228="",""," / "&amp;CM228&amp;"%"),IF(AND(N(BV228)&gt;=99.95,CM228&lt;&gt;"",N(CM228)&lt;100),"Pend. "&amp;CM228&amp;"%",""))))</f>
        <v/>
      </c>
      <c r="AQ228" s="40" t="str">
        <f aca="false">IF(OR(OR(NOT(AND(ISNUMBER(E228),ISNUMBER(F228))),$J$2=""),5&gt;MAX(1,Reprogramaciones!$U$15)),"",IF(Reprogramaciones!O$12&gt;=7,"",IF(OR(BX228-N(BW228)&gt;0.05,N(U228)&gt;0),ROUNDDOWN(ROUND(BX228,6),0)&amp;"%"&amp;IF(CN228="",""," / "&amp;CN228&amp;"%"),IF(AND(N(BW228)&gt;=99.95,CN228&lt;&gt;"",N(CN228)&lt;100),"Pend. "&amp;CN228&amp;"%",""))))</f>
        <v/>
      </c>
      <c r="AR228" s="40" t="str">
        <f aca="false">IF(OR(OR(NOT(AND(ISNUMBER(E228),ISNUMBER(F228))),$J$2=""),6&gt;MAX(1,Reprogramaciones!$U$15)),"",IF(Reprogramaciones!P$12&gt;=7,"",IF(OR(BY228-N(BX228)&gt;0.05,N(V228)&gt;0),ROUNDDOWN(ROUND(BY228,6),0)&amp;"%"&amp;IF(CO228="",""," / "&amp;CO228&amp;"%"),IF(AND(N(BX228)&gt;=99.95,CO228&lt;&gt;"",N(CO228)&lt;100),"Pend. "&amp;CO228&amp;"%",""))))</f>
        <v/>
      </c>
      <c r="AS228" s="40" t="str">
        <f aca="false">IF(OR(OR(NOT(AND(ISNUMBER(E228),ISNUMBER(F228))),$J$2=""),7&gt;MAX(1,Reprogramaciones!$U$15)),"",IF(Reprogramaciones!Q$12&gt;=7,"",IF(OR(BZ228-N(BY228)&gt;0.05,N(W228)&gt;0),ROUNDDOWN(ROUND(BZ228,6),0)&amp;"%"&amp;IF(CP228="",""," / "&amp;CP228&amp;"%"),IF(AND(N(BY228)&gt;=99.95,CP228&lt;&gt;"",N(CP228)&lt;100),"Pend. "&amp;CP228&amp;"%",""))))</f>
        <v/>
      </c>
      <c r="AT228" s="40" t="str">
        <f aca="false">IF(OR(OR(NOT(AND(ISNUMBER(E228),ISNUMBER(F228))),$J$2=""),8&gt;MAX(1,Reprogramaciones!$U$15)),"",IF(Reprogramaciones!R$12&gt;=7,"",IF(OR(CA228-N(BZ228)&gt;0.05,N(X228)&gt;0),ROUNDDOWN(ROUND(CA228,6),0)&amp;"%"&amp;IF(CQ228="",""," / "&amp;CQ228&amp;"%"),IF(AND(N(BZ228)&gt;=99.95,CQ228&lt;&gt;"",N(CQ228)&lt;100),"Pend. "&amp;CQ228&amp;"%",""))))</f>
        <v/>
      </c>
      <c r="AU228" s="40" t="str">
        <f aca="false">IF(OR(OR(NOT(AND(ISNUMBER(E228),ISNUMBER(F228))),$J$2=""),9&gt;MAX(1,Reprogramaciones!$U$15)),"",IF(Reprogramaciones!S$12&gt;=7,"",IF(OR(CB228-N(CA228)&gt;0.05,N(Y228)&gt;0),ROUNDDOWN(ROUND(CB228,6),0)&amp;"%"&amp;IF(CR228="",""," / "&amp;CR228&amp;"%"),IF(AND(N(CA228)&gt;=99.95,CR228&lt;&gt;"",N(CR228)&lt;100),"Pend. "&amp;CR228&amp;"%",""))))</f>
        <v/>
      </c>
      <c r="AV228" s="40" t="str">
        <f aca="false">IF(OR(OR(NOT(AND(ISNUMBER(E228),ISNUMBER(F228))),$J$2=""),10&gt;MAX(1,Reprogramaciones!$U$15)),"",IF(Reprogramaciones!T$12&gt;=7,"",IF(OR(CC228-N(CB228)&gt;0.05,N(Z228)&gt;0),ROUNDDOWN(ROUND(CC228,6),0)&amp;"%"&amp;IF(CS228="",""," / "&amp;CS228&amp;"%"),IF(AND(N(CB228)&gt;=99.95,CS228&lt;&gt;"",N(CS228)&lt;100),"Pend. "&amp;CS228&amp;"%",""))))</f>
        <v/>
      </c>
      <c r="AW228" s="40" t="str">
        <f aca="false">IF(OR(OR(NOT(AND(ISNUMBER(E228),ISNUMBER(F228))),$J$2=""),11&gt;MAX(1,Reprogramaciones!$U$15)),"",IF(Reprogramaciones!U$12&gt;=7,"",IF(OR(CD228-N(CC228)&gt;0.05,N(AA228)&gt;0),ROUNDDOWN(ROUND(CD228,6),0)&amp;"%"&amp;IF(CT228="",""," / "&amp;CT228&amp;"%"),IF(AND(N(CC228)&gt;=99.95,CT228&lt;&gt;"",N(CT228)&lt;100),"Pend. "&amp;CT228&amp;"%",""))))</f>
        <v/>
      </c>
      <c r="AX228" s="40" t="str">
        <f aca="false">IF(OR(OR(NOT(AND(ISNUMBER(E228),ISNUMBER(F228))),$J$2=""),12&gt;MAX(1,Reprogramaciones!$U$15)),"",IF(Reprogramaciones!V$12&gt;=7,"",IF(OR(CE228-N(CD228)&gt;0.05,N(AB228)&gt;0),ROUNDDOWN(ROUND(CE228,6),0)&amp;"%"&amp;IF(CU228="",""," / "&amp;CU228&amp;"%"),IF(AND(N(CD228)&gt;=99.95,CU228&lt;&gt;"",N(CU228)&lt;100),"Pend. "&amp;CU228&amp;"%",""))))</f>
        <v/>
      </c>
      <c r="AY228" s="40" t="str">
        <f aca="false">IF(OR(OR(NOT(AND(ISNUMBER(E228),ISNUMBER(F228))),$J$2=""),13&gt;MAX(1,Reprogramaciones!$U$15)),"",IF(Reprogramaciones!W$12&gt;=7,"",IF(OR(CF228-N(CE228)&gt;0.05,N(AC228)&gt;0),ROUNDDOWN(ROUND(CF228,6),0)&amp;"%"&amp;IF(CV228="",""," / "&amp;CV228&amp;"%"),IF(AND(N(CE228)&gt;=99.95,CV228&lt;&gt;"",N(CV228)&lt;100),"Pend. "&amp;CV228&amp;"%",""))))</f>
        <v/>
      </c>
      <c r="AZ228" s="40" t="str">
        <f aca="false">IF(OR(OR(NOT(AND(ISNUMBER(E228),ISNUMBER(F228))),$J$2=""),14&gt;MAX(1,Reprogramaciones!$U$15)),"",IF(Reprogramaciones!X$12&gt;=7,"",IF(OR(CG228-N(CF228)&gt;0.05,N(AD228)&gt;0),ROUNDDOWN(ROUND(CG228,6),0)&amp;"%"&amp;IF(CW228="",""," / "&amp;CW228&amp;"%"),IF(AND(N(CF228)&gt;=99.95,CW228&lt;&gt;"",N(CW228)&lt;100),"Pend. "&amp;CW228&amp;"%",""))))</f>
        <v/>
      </c>
      <c r="BA228" s="40" t="str">
        <f aca="false">IF(OR(OR(NOT(AND(ISNUMBER(E228),ISNUMBER(F228))),$J$2=""),15&gt;MAX(1,Reprogramaciones!$U$15)),"",IF(Reprogramaciones!Y$12&gt;=7,"",IF(OR(CH228-N(CG228)&gt;0.05,N(AE228)&gt;0),ROUNDDOWN(ROUND(CH228,6),0)&amp;"%"&amp;IF(CX228="",""," / "&amp;CX228&amp;"%"),IF(AND(N(CG228)&gt;=99.95,CX228&lt;&gt;"",N(CX228)&lt;100),"Pend. "&amp;CX228&amp;"%",""))))</f>
        <v/>
      </c>
      <c r="BB228" s="40" t="str">
        <f aca="false">IF(OR(OR(NOT(AND(ISNUMBER(E228),ISNUMBER(F228))),$J$2=""),16&gt;MAX(1,Reprogramaciones!$U$15)),"",IF(Reprogramaciones!Z$12&gt;=7,"",IF(OR(CI228-N(CH228)&gt;0.05,N(AF228)&gt;0),ROUNDDOWN(ROUND(CI228,6),0)&amp;"%"&amp;IF(CY228="",""," / "&amp;CY228&amp;"%"),IF(AND(N(CH228)&gt;=99.95,CY228&lt;&gt;"",N(CY228)&lt;100),"Pend. "&amp;CY228&amp;"%",""))))</f>
        <v/>
      </c>
      <c r="BC228" s="31" t="n">
        <f aca="false">IF(AND(ISNUMBER(E228),ISNUMBER(F228)),MAX(1,NETWORKDAYS.INTL(E228,F228,11)),0)</f>
        <v>0</v>
      </c>
      <c r="BD228" s="1" t="str">
        <f aca="false">IF(OR(NOT(AND(ISNUMBER(E228),ISNUMBER(F228))),$J$2=""),"",MIN(100,ROUND(SUM($G228:G228),1)))</f>
        <v/>
      </c>
      <c r="BE228" s="1" t="str">
        <f aca="false">IF(OR(NOT(AND(ISNUMBER(E228),ISNUMBER(F228))),$J$2=""),"",MIN(100,ROUND(SUM($G228:H228),1)))</f>
        <v/>
      </c>
      <c r="BF228" s="1" t="str">
        <f aca="false">IF(OR(NOT(AND(ISNUMBER(E228),ISNUMBER(F228))),$J$2=""),"",MIN(100,ROUND(SUM($G228:I228),1)))</f>
        <v/>
      </c>
      <c r="BG228" s="1" t="str">
        <f aca="false">IF(OR(NOT(AND(ISNUMBER(E228),ISNUMBER(F228))),$J$2=""),"",MIN(100,ROUND(SUM($G228:J228),1)))</f>
        <v/>
      </c>
      <c r="BH228" s="1" t="str">
        <f aca="false">IF(OR(NOT(AND(ISNUMBER(E228),ISNUMBER(F228))),$J$2=""),"",MIN(100,ROUND(SUM($G228:K228),1)))</f>
        <v/>
      </c>
      <c r="BI228" s="1" t="str">
        <f aca="false">IF(OR(NOT(AND(ISNUMBER(E228),ISNUMBER(F228))),$J$2=""),"",MIN(100,ROUND(SUM($G228:L228),1)))</f>
        <v/>
      </c>
      <c r="BJ228" s="1" t="str">
        <f aca="false">IF(OR(NOT(AND(ISNUMBER(E228),ISNUMBER(F228))),$J$2=""),"",MIN(100,ROUND(SUM($G228:M228),1)))</f>
        <v/>
      </c>
      <c r="BK228" s="1" t="str">
        <f aca="false">IF(OR(NOT(AND(ISNUMBER(E228),ISNUMBER(F228))),$J$2=""),"",MIN(100,ROUND(SUM($G228:N228),1)))</f>
        <v/>
      </c>
      <c r="BL228" s="1" t="str">
        <f aca="false">IF(OR(NOT(AND(ISNUMBER(E228),ISNUMBER(F228))),$J$2=""),"",MIN(100,ROUND(SUM($G228:O228),1)))</f>
        <v/>
      </c>
      <c r="BM228" s="1" t="str">
        <f aca="false">IF(OR(NOT(AND(ISNUMBER(E228),ISNUMBER(F228))),$J$2=""),"",MIN(100,ROUND(SUM($G228:P228),1)))</f>
        <v/>
      </c>
      <c r="BN228" s="1" t="str">
        <f aca="false">IF(OR(NOT(AND(ISNUMBER(E228),ISNUMBER(F228))),$J$2=""),"",MIN(100,ROUND(SUM($G228:P228),1)))</f>
        <v/>
      </c>
      <c r="BO228" s="1" t="str">
        <f aca="false">IF(OR(NOT(AND(ISNUMBER(E228),ISNUMBER(F228))),$J$2=""),"",MIN(100,ROUND(SUM($G228:P228),1)))</f>
        <v/>
      </c>
      <c r="BP228" s="1" t="str">
        <f aca="false">IF(OR(NOT(AND(ISNUMBER(E228),ISNUMBER(F228))),$J$2=""),"",MIN(100,ROUND(SUM($G228:P228),1)))</f>
        <v/>
      </c>
      <c r="BQ228" s="1" t="str">
        <f aca="false">IF(OR(NOT(AND(ISNUMBER(E228),ISNUMBER(F228))),$J$2=""),"",MIN(100,ROUND(SUM($G228:P228),1)))</f>
        <v/>
      </c>
      <c r="BR228" s="1" t="str">
        <f aca="false">IF(OR(NOT(AND(ISNUMBER(E228),ISNUMBER(F228))),$J$2=""),"",MIN(100,ROUND(SUM($G228:P228),1)))</f>
        <v/>
      </c>
      <c r="BS228" s="1" t="str">
        <f aca="false">IF(OR(NOT(AND(ISNUMBER(E228),ISNUMBER(F228))),$J$2=""),"",MIN(100,ROUND(SUM($G228:P228),1)))</f>
        <v/>
      </c>
      <c r="BT228" s="1" t="str">
        <f aca="false">IF(OR(NOT(AND(ISNUMBER(E228),ISNUMBER(F228))),$J$2=""),"",IF(Reprogramaciones!K$13&lt;Reprogramaciones!$T$15,0,IF(Reprogramaciones!K$14&gt;10,MIN(100,SUM($G228:$P228)),MIN(100,SUMPRODUCT((COLUMN($G228:$P228)-COLUMN($G228)+1&lt;Reprogramaciones!K$14)*$G228:$P228)+N(INDEX($G228:$P228,1,Reprogramaciones!K$14))*IF(Reprogramaciones!K$13&gt;=(Reprogramaciones!$T$15+7*(Reprogramaciones!K$14-1))+6,1,IF(MAX(0,NETWORKDAYS.INTL(MAX(E228,(Reprogramaciones!$T$15+7*(Reprogramaciones!K$14-1))),MIN(F228,(Reprogramaciones!$T$15+7*(Reprogramaciones!K$14-1))+6),11))=0,0,MAX(0,NETWORKDAYS.INTL(MAX(E228,(Reprogramaciones!$T$15+7*(Reprogramaciones!K$14-1))),MIN(F228,Reprogramaciones!K$13),11))/MAX(0,NETWORKDAYS.INTL(MAX(E228,(Reprogramaciones!$T$15+7*(Reprogramaciones!K$14-1))),MIN(F228,(Reprogramaciones!$T$15+7*(Reprogramaciones!K$14-1))+6),11))))))))</f>
        <v/>
      </c>
      <c r="BU228" s="1" t="str">
        <f aca="false">IF(OR(NOT(AND(ISNUMBER(E228),ISNUMBER(F228))),$J$2=""),"",IF(Reprogramaciones!L$13&lt;Reprogramaciones!$T$15,0,IF(Reprogramaciones!L$14&gt;10,MIN(100,SUM($G228:$P228)),MIN(100,SUMPRODUCT((COLUMN($G228:$P228)-COLUMN($G228)+1&lt;Reprogramaciones!L$14)*$G228:$P228)+N(INDEX($G228:$P228,1,Reprogramaciones!L$14))*IF(Reprogramaciones!L$13&gt;=(Reprogramaciones!$T$15+7*(Reprogramaciones!L$14-1))+6,1,IF(MAX(0,NETWORKDAYS.INTL(MAX(E228,(Reprogramaciones!$T$15+7*(Reprogramaciones!L$14-1))),MIN(F228,(Reprogramaciones!$T$15+7*(Reprogramaciones!L$14-1))+6),11))=0,0,MAX(0,NETWORKDAYS.INTL(MAX(E228,(Reprogramaciones!$T$15+7*(Reprogramaciones!L$14-1))),MIN(F228,Reprogramaciones!L$13),11))/MAX(0,NETWORKDAYS.INTL(MAX(E228,(Reprogramaciones!$T$15+7*(Reprogramaciones!L$14-1))),MIN(F228,(Reprogramaciones!$T$15+7*(Reprogramaciones!L$14-1))+6),11))))))))</f>
        <v/>
      </c>
      <c r="BV228" s="1" t="str">
        <f aca="false">IF(OR(NOT(AND(ISNUMBER(E228),ISNUMBER(F228))),$J$2=""),"",IF(Reprogramaciones!M$13&lt;Reprogramaciones!$T$15,0,IF(Reprogramaciones!M$14&gt;10,MIN(100,SUM($G228:$P228)),MIN(100,SUMPRODUCT((COLUMN($G228:$P228)-COLUMN($G228)+1&lt;Reprogramaciones!M$14)*$G228:$P228)+N(INDEX($G228:$P228,1,Reprogramaciones!M$14))*IF(Reprogramaciones!M$13&gt;=(Reprogramaciones!$T$15+7*(Reprogramaciones!M$14-1))+6,1,IF(MAX(0,NETWORKDAYS.INTL(MAX(E228,(Reprogramaciones!$T$15+7*(Reprogramaciones!M$14-1))),MIN(F228,(Reprogramaciones!$T$15+7*(Reprogramaciones!M$14-1))+6),11))=0,0,MAX(0,NETWORKDAYS.INTL(MAX(E228,(Reprogramaciones!$T$15+7*(Reprogramaciones!M$14-1))),MIN(F228,Reprogramaciones!M$13),11))/MAX(0,NETWORKDAYS.INTL(MAX(E228,(Reprogramaciones!$T$15+7*(Reprogramaciones!M$14-1))),MIN(F228,(Reprogramaciones!$T$15+7*(Reprogramaciones!M$14-1))+6),11))))))))</f>
        <v/>
      </c>
      <c r="BW228" s="1" t="str">
        <f aca="false">IF(OR(NOT(AND(ISNUMBER(E228),ISNUMBER(F228))),$J$2=""),"",IF(Reprogramaciones!N$13&lt;Reprogramaciones!$T$15,0,IF(Reprogramaciones!N$14&gt;10,MIN(100,SUM($G228:$P228)),MIN(100,SUMPRODUCT((COLUMN($G228:$P228)-COLUMN($G228)+1&lt;Reprogramaciones!N$14)*$G228:$P228)+N(INDEX($G228:$P228,1,Reprogramaciones!N$14))*IF(Reprogramaciones!N$13&gt;=(Reprogramaciones!$T$15+7*(Reprogramaciones!N$14-1))+6,1,IF(MAX(0,NETWORKDAYS.INTL(MAX(E228,(Reprogramaciones!$T$15+7*(Reprogramaciones!N$14-1))),MIN(F228,(Reprogramaciones!$T$15+7*(Reprogramaciones!N$14-1))+6),11))=0,0,MAX(0,NETWORKDAYS.INTL(MAX(E228,(Reprogramaciones!$T$15+7*(Reprogramaciones!N$14-1))),MIN(F228,Reprogramaciones!N$13),11))/MAX(0,NETWORKDAYS.INTL(MAX(E228,(Reprogramaciones!$T$15+7*(Reprogramaciones!N$14-1))),MIN(F228,(Reprogramaciones!$T$15+7*(Reprogramaciones!N$14-1))+6),11))))))))</f>
        <v/>
      </c>
      <c r="BX228" s="1" t="str">
        <f aca="false">IF(OR(NOT(AND(ISNUMBER(E228),ISNUMBER(F228))),$J$2=""),"",IF(Reprogramaciones!O$13&lt;Reprogramaciones!$T$15,0,IF(Reprogramaciones!O$14&gt;10,MIN(100,SUM($G228:$P228)),MIN(100,SUMPRODUCT((COLUMN($G228:$P228)-COLUMN($G228)+1&lt;Reprogramaciones!O$14)*$G228:$P228)+N(INDEX($G228:$P228,1,Reprogramaciones!O$14))*IF(Reprogramaciones!O$13&gt;=(Reprogramaciones!$T$15+7*(Reprogramaciones!O$14-1))+6,1,IF(MAX(0,NETWORKDAYS.INTL(MAX(E228,(Reprogramaciones!$T$15+7*(Reprogramaciones!O$14-1))),MIN(F228,(Reprogramaciones!$T$15+7*(Reprogramaciones!O$14-1))+6),11))=0,0,MAX(0,NETWORKDAYS.INTL(MAX(E228,(Reprogramaciones!$T$15+7*(Reprogramaciones!O$14-1))),MIN(F228,Reprogramaciones!O$13),11))/MAX(0,NETWORKDAYS.INTL(MAX(E228,(Reprogramaciones!$T$15+7*(Reprogramaciones!O$14-1))),MIN(F228,(Reprogramaciones!$T$15+7*(Reprogramaciones!O$14-1))+6),11))))))))</f>
        <v/>
      </c>
      <c r="BY228" s="1" t="str">
        <f aca="false">IF(OR(NOT(AND(ISNUMBER(E228),ISNUMBER(F228))),$J$2=""),"",IF(Reprogramaciones!P$13&lt;Reprogramaciones!$T$15,0,IF(Reprogramaciones!P$14&gt;10,MIN(100,SUM($G228:$P228)),MIN(100,SUMPRODUCT((COLUMN($G228:$P228)-COLUMN($G228)+1&lt;Reprogramaciones!P$14)*$G228:$P228)+N(INDEX($G228:$P228,1,Reprogramaciones!P$14))*IF(Reprogramaciones!P$13&gt;=(Reprogramaciones!$T$15+7*(Reprogramaciones!P$14-1))+6,1,IF(MAX(0,NETWORKDAYS.INTL(MAX(E228,(Reprogramaciones!$T$15+7*(Reprogramaciones!P$14-1))),MIN(F228,(Reprogramaciones!$T$15+7*(Reprogramaciones!P$14-1))+6),11))=0,0,MAX(0,NETWORKDAYS.INTL(MAX(E228,(Reprogramaciones!$T$15+7*(Reprogramaciones!P$14-1))),MIN(F228,Reprogramaciones!P$13),11))/MAX(0,NETWORKDAYS.INTL(MAX(E228,(Reprogramaciones!$T$15+7*(Reprogramaciones!P$14-1))),MIN(F228,(Reprogramaciones!$T$15+7*(Reprogramaciones!P$14-1))+6),11))))))))</f>
        <v/>
      </c>
      <c r="BZ228" s="1" t="str">
        <f aca="false">IF(OR(NOT(AND(ISNUMBER(E228),ISNUMBER(F228))),$J$2=""),"",IF(Reprogramaciones!Q$13&lt;Reprogramaciones!$T$15,0,IF(Reprogramaciones!Q$14&gt;10,MIN(100,SUM($G228:$P228)),MIN(100,SUMPRODUCT((COLUMN($G228:$P228)-COLUMN($G228)+1&lt;Reprogramaciones!Q$14)*$G228:$P228)+N(INDEX($G228:$P228,1,Reprogramaciones!Q$14))*IF(Reprogramaciones!Q$13&gt;=(Reprogramaciones!$T$15+7*(Reprogramaciones!Q$14-1))+6,1,IF(MAX(0,NETWORKDAYS.INTL(MAX(E228,(Reprogramaciones!$T$15+7*(Reprogramaciones!Q$14-1))),MIN(F228,(Reprogramaciones!$T$15+7*(Reprogramaciones!Q$14-1))+6),11))=0,0,MAX(0,NETWORKDAYS.INTL(MAX(E228,(Reprogramaciones!$T$15+7*(Reprogramaciones!Q$14-1))),MIN(F228,Reprogramaciones!Q$13),11))/MAX(0,NETWORKDAYS.INTL(MAX(E228,(Reprogramaciones!$T$15+7*(Reprogramaciones!Q$14-1))),MIN(F228,(Reprogramaciones!$T$15+7*(Reprogramaciones!Q$14-1))+6),11))))))))</f>
        <v/>
      </c>
      <c r="CA228" s="1" t="str">
        <f aca="false">IF(OR(NOT(AND(ISNUMBER(E228),ISNUMBER(F228))),$J$2=""),"",IF(Reprogramaciones!R$13&lt;Reprogramaciones!$T$15,0,IF(Reprogramaciones!R$14&gt;10,MIN(100,SUM($G228:$P228)),MIN(100,SUMPRODUCT((COLUMN($G228:$P228)-COLUMN($G228)+1&lt;Reprogramaciones!R$14)*$G228:$P228)+N(INDEX($G228:$P228,1,Reprogramaciones!R$14))*IF(Reprogramaciones!R$13&gt;=(Reprogramaciones!$T$15+7*(Reprogramaciones!R$14-1))+6,1,IF(MAX(0,NETWORKDAYS.INTL(MAX(E228,(Reprogramaciones!$T$15+7*(Reprogramaciones!R$14-1))),MIN(F228,(Reprogramaciones!$T$15+7*(Reprogramaciones!R$14-1))+6),11))=0,0,MAX(0,NETWORKDAYS.INTL(MAX(E228,(Reprogramaciones!$T$15+7*(Reprogramaciones!R$14-1))),MIN(F228,Reprogramaciones!R$13),11))/MAX(0,NETWORKDAYS.INTL(MAX(E228,(Reprogramaciones!$T$15+7*(Reprogramaciones!R$14-1))),MIN(F228,(Reprogramaciones!$T$15+7*(Reprogramaciones!R$14-1))+6),11))))))))</f>
        <v/>
      </c>
      <c r="CB228" s="1" t="str">
        <f aca="false">IF(OR(NOT(AND(ISNUMBER(E228),ISNUMBER(F228))),$J$2=""),"",IF(Reprogramaciones!S$13&lt;Reprogramaciones!$T$15,0,IF(Reprogramaciones!S$14&gt;10,MIN(100,SUM($G228:$P228)),MIN(100,SUMPRODUCT((COLUMN($G228:$P228)-COLUMN($G228)+1&lt;Reprogramaciones!S$14)*$G228:$P228)+N(INDEX($G228:$P228,1,Reprogramaciones!S$14))*IF(Reprogramaciones!S$13&gt;=(Reprogramaciones!$T$15+7*(Reprogramaciones!S$14-1))+6,1,IF(MAX(0,NETWORKDAYS.INTL(MAX(E228,(Reprogramaciones!$T$15+7*(Reprogramaciones!S$14-1))),MIN(F228,(Reprogramaciones!$T$15+7*(Reprogramaciones!S$14-1))+6),11))=0,0,MAX(0,NETWORKDAYS.INTL(MAX(E228,(Reprogramaciones!$T$15+7*(Reprogramaciones!S$14-1))),MIN(F228,Reprogramaciones!S$13),11))/MAX(0,NETWORKDAYS.INTL(MAX(E228,(Reprogramaciones!$T$15+7*(Reprogramaciones!S$14-1))),MIN(F228,(Reprogramaciones!$T$15+7*(Reprogramaciones!S$14-1))+6),11))))))))</f>
        <v/>
      </c>
      <c r="CC228" s="1" t="str">
        <f aca="false">IF(OR(NOT(AND(ISNUMBER(E228),ISNUMBER(F228))),$J$2=""),"",IF(Reprogramaciones!T$13&lt;Reprogramaciones!$T$15,0,IF(Reprogramaciones!T$14&gt;10,MIN(100,SUM($G228:$P228)),MIN(100,SUMPRODUCT((COLUMN($G228:$P228)-COLUMN($G228)+1&lt;Reprogramaciones!T$14)*$G228:$P228)+N(INDEX($G228:$P228,1,Reprogramaciones!T$14))*IF(Reprogramaciones!T$13&gt;=(Reprogramaciones!$T$15+7*(Reprogramaciones!T$14-1))+6,1,IF(MAX(0,NETWORKDAYS.INTL(MAX(E228,(Reprogramaciones!$T$15+7*(Reprogramaciones!T$14-1))),MIN(F228,(Reprogramaciones!$T$15+7*(Reprogramaciones!T$14-1))+6),11))=0,0,MAX(0,NETWORKDAYS.INTL(MAX(E228,(Reprogramaciones!$T$15+7*(Reprogramaciones!T$14-1))),MIN(F228,Reprogramaciones!T$13),11))/MAX(0,NETWORKDAYS.INTL(MAX(E228,(Reprogramaciones!$T$15+7*(Reprogramaciones!T$14-1))),MIN(F228,(Reprogramaciones!$T$15+7*(Reprogramaciones!T$14-1))+6),11))))))))</f>
        <v/>
      </c>
      <c r="CD228" s="1" t="str">
        <f aca="false">IF(OR(NOT(AND(ISNUMBER(E228),ISNUMBER(F228))),$J$2=""),"",IF(Reprogramaciones!U$13&lt;Reprogramaciones!$T$15,0,IF(Reprogramaciones!U$14&gt;10,MIN(100,SUM($G228:$P228)),MIN(100,SUMPRODUCT((COLUMN($G228:$P228)-COLUMN($G228)+1&lt;Reprogramaciones!U$14)*$G228:$P228)+N(INDEX($G228:$P228,1,Reprogramaciones!U$14))*IF(Reprogramaciones!U$13&gt;=(Reprogramaciones!$T$15+7*(Reprogramaciones!U$14-1))+6,1,IF(MAX(0,NETWORKDAYS.INTL(MAX(E228,(Reprogramaciones!$T$15+7*(Reprogramaciones!U$14-1))),MIN(F228,(Reprogramaciones!$T$15+7*(Reprogramaciones!U$14-1))+6),11))=0,0,MAX(0,NETWORKDAYS.INTL(MAX(E228,(Reprogramaciones!$T$15+7*(Reprogramaciones!U$14-1))),MIN(F228,Reprogramaciones!U$13),11))/MAX(0,NETWORKDAYS.INTL(MAX(E228,(Reprogramaciones!$T$15+7*(Reprogramaciones!U$14-1))),MIN(F228,(Reprogramaciones!$T$15+7*(Reprogramaciones!U$14-1))+6),11))))))))</f>
        <v/>
      </c>
      <c r="CE228" s="1" t="str">
        <f aca="false">IF(OR(NOT(AND(ISNUMBER(E228),ISNUMBER(F228))),$J$2=""),"",IF(Reprogramaciones!V$13&lt;Reprogramaciones!$T$15,0,IF(Reprogramaciones!V$14&gt;10,MIN(100,SUM($G228:$P228)),MIN(100,SUMPRODUCT((COLUMN($G228:$P228)-COLUMN($G228)+1&lt;Reprogramaciones!V$14)*$G228:$P228)+N(INDEX($G228:$P228,1,Reprogramaciones!V$14))*IF(Reprogramaciones!V$13&gt;=(Reprogramaciones!$T$15+7*(Reprogramaciones!V$14-1))+6,1,IF(MAX(0,NETWORKDAYS.INTL(MAX(E228,(Reprogramaciones!$T$15+7*(Reprogramaciones!V$14-1))),MIN(F228,(Reprogramaciones!$T$15+7*(Reprogramaciones!V$14-1))+6),11))=0,0,MAX(0,NETWORKDAYS.INTL(MAX(E228,(Reprogramaciones!$T$15+7*(Reprogramaciones!V$14-1))),MIN(F228,Reprogramaciones!V$13),11))/MAX(0,NETWORKDAYS.INTL(MAX(E228,(Reprogramaciones!$T$15+7*(Reprogramaciones!V$14-1))),MIN(F228,(Reprogramaciones!$T$15+7*(Reprogramaciones!V$14-1))+6),11))))))))</f>
        <v/>
      </c>
      <c r="CF228" s="1" t="str">
        <f aca="false">IF(OR(NOT(AND(ISNUMBER(E228),ISNUMBER(F228))),$J$2=""),"",IF(Reprogramaciones!W$13&lt;Reprogramaciones!$T$15,0,IF(Reprogramaciones!W$14&gt;10,MIN(100,SUM($G228:$P228)),MIN(100,SUMPRODUCT((COLUMN($G228:$P228)-COLUMN($G228)+1&lt;Reprogramaciones!W$14)*$G228:$P228)+N(INDEX($G228:$P228,1,Reprogramaciones!W$14))*IF(Reprogramaciones!W$13&gt;=(Reprogramaciones!$T$15+7*(Reprogramaciones!W$14-1))+6,1,IF(MAX(0,NETWORKDAYS.INTL(MAX(E228,(Reprogramaciones!$T$15+7*(Reprogramaciones!W$14-1))),MIN(F228,(Reprogramaciones!$T$15+7*(Reprogramaciones!W$14-1))+6),11))=0,0,MAX(0,NETWORKDAYS.INTL(MAX(E228,(Reprogramaciones!$T$15+7*(Reprogramaciones!W$14-1))),MIN(F228,Reprogramaciones!W$13),11))/MAX(0,NETWORKDAYS.INTL(MAX(E228,(Reprogramaciones!$T$15+7*(Reprogramaciones!W$14-1))),MIN(F228,(Reprogramaciones!$T$15+7*(Reprogramaciones!W$14-1))+6),11))))))))</f>
        <v/>
      </c>
      <c r="CG228" s="1" t="str">
        <f aca="false">IF(OR(NOT(AND(ISNUMBER(E228),ISNUMBER(F228))),$J$2=""),"",IF(Reprogramaciones!X$13&lt;Reprogramaciones!$T$15,0,IF(Reprogramaciones!X$14&gt;10,MIN(100,SUM($G228:$P228)),MIN(100,SUMPRODUCT((COLUMN($G228:$P228)-COLUMN($G228)+1&lt;Reprogramaciones!X$14)*$G228:$P228)+N(INDEX($G228:$P228,1,Reprogramaciones!X$14))*IF(Reprogramaciones!X$13&gt;=(Reprogramaciones!$T$15+7*(Reprogramaciones!X$14-1))+6,1,IF(MAX(0,NETWORKDAYS.INTL(MAX(E228,(Reprogramaciones!$T$15+7*(Reprogramaciones!X$14-1))),MIN(F228,(Reprogramaciones!$T$15+7*(Reprogramaciones!X$14-1))+6),11))=0,0,MAX(0,NETWORKDAYS.INTL(MAX(E228,(Reprogramaciones!$T$15+7*(Reprogramaciones!X$14-1))),MIN(F228,Reprogramaciones!X$13),11))/MAX(0,NETWORKDAYS.INTL(MAX(E228,(Reprogramaciones!$T$15+7*(Reprogramaciones!X$14-1))),MIN(F228,(Reprogramaciones!$T$15+7*(Reprogramaciones!X$14-1))+6),11))))))))</f>
        <v/>
      </c>
      <c r="CH228" s="1" t="str">
        <f aca="false">IF(OR(NOT(AND(ISNUMBER(E228),ISNUMBER(F228))),$J$2=""),"",IF(Reprogramaciones!Y$13&lt;Reprogramaciones!$T$15,0,IF(Reprogramaciones!Y$14&gt;10,MIN(100,SUM($G228:$P228)),MIN(100,SUMPRODUCT((COLUMN($G228:$P228)-COLUMN($G228)+1&lt;Reprogramaciones!Y$14)*$G228:$P228)+N(INDEX($G228:$P228,1,Reprogramaciones!Y$14))*IF(Reprogramaciones!Y$13&gt;=(Reprogramaciones!$T$15+7*(Reprogramaciones!Y$14-1))+6,1,IF(MAX(0,NETWORKDAYS.INTL(MAX(E228,(Reprogramaciones!$T$15+7*(Reprogramaciones!Y$14-1))),MIN(F228,(Reprogramaciones!$T$15+7*(Reprogramaciones!Y$14-1))+6),11))=0,0,MAX(0,NETWORKDAYS.INTL(MAX(E228,(Reprogramaciones!$T$15+7*(Reprogramaciones!Y$14-1))),MIN(F228,Reprogramaciones!Y$13),11))/MAX(0,NETWORKDAYS.INTL(MAX(E228,(Reprogramaciones!$T$15+7*(Reprogramaciones!Y$14-1))),MIN(F228,(Reprogramaciones!$T$15+7*(Reprogramaciones!Y$14-1))+6),11))))))))</f>
        <v/>
      </c>
      <c r="CI228" s="1" t="str">
        <f aca="false">IF(OR(NOT(AND(ISNUMBER(E228),ISNUMBER(F228))),$J$2=""),"",IF(Reprogramaciones!Z$13&lt;Reprogramaciones!$T$15,0,IF(Reprogramaciones!Z$14&gt;10,MIN(100,SUM($G228:$P228)),MIN(100,SUMPRODUCT((COLUMN($G228:$P228)-COLUMN($G228)+1&lt;Reprogramaciones!Z$14)*$G228:$P228)+N(INDEX($G228:$P228,1,Reprogramaciones!Z$14))*IF(Reprogramaciones!Z$13&gt;=(Reprogramaciones!$T$15+7*(Reprogramaciones!Z$14-1))+6,1,IF(MAX(0,NETWORKDAYS.INTL(MAX(E228,(Reprogramaciones!$T$15+7*(Reprogramaciones!Z$14-1))),MIN(F228,(Reprogramaciones!$T$15+7*(Reprogramaciones!Z$14-1))+6),11))=0,0,MAX(0,NETWORKDAYS.INTL(MAX(E228,(Reprogramaciones!$T$15+7*(Reprogramaciones!Z$14-1))),MIN(F228,Reprogramaciones!Z$13),11))/MAX(0,NETWORKDAYS.INTL(MAX(E228,(Reprogramaciones!$T$15+7*(Reprogramaciones!Z$14-1))),MIN(F228,(Reprogramaciones!$T$15+7*(Reprogramaciones!Z$14-1))+6),11))))))))</f>
        <v/>
      </c>
      <c r="CJ228" s="1" t="str">
        <f aca="false">IF(OR(OR(NOT(AND(ISNUMBER(E228),ISNUMBER(F228))),$J$2=""),1&gt;Reprogramaciones!$K$16),"",IF(ROUND(SUM($Q228:Q228),1)&gt;=99.5,100,MIN(100,ROUND(SUM($Q228:Q228),1))))</f>
        <v/>
      </c>
      <c r="CK228" s="1" t="str">
        <f aca="false">IF(OR(OR(NOT(AND(ISNUMBER(E228),ISNUMBER(F228))),$J$2=""),2&gt;Reprogramaciones!$K$16),"",IF(ROUND(SUM($Q228:R228),1)&gt;=99.5,100,MIN(100,ROUND(SUM($Q228:R228),1))))</f>
        <v/>
      </c>
      <c r="CL228" s="1" t="str">
        <f aca="false">IF(OR(OR(NOT(AND(ISNUMBER(E228),ISNUMBER(F228))),$J$2=""),3&gt;Reprogramaciones!$K$16),"",IF(ROUND(SUM($Q228:S228),1)&gt;=99.5,100,MIN(100,ROUND(SUM($Q228:S228),1))))</f>
        <v/>
      </c>
      <c r="CM228" s="1" t="str">
        <f aca="false">IF(OR(OR(NOT(AND(ISNUMBER(E228),ISNUMBER(F228))),$J$2=""),4&gt;Reprogramaciones!$K$16),"",IF(ROUND(SUM($Q228:T228),1)&gt;=99.5,100,MIN(100,ROUND(SUM($Q228:T228),1))))</f>
        <v/>
      </c>
      <c r="CN228" s="1" t="str">
        <f aca="false">IF(OR(OR(NOT(AND(ISNUMBER(E228),ISNUMBER(F228))),$J$2=""),5&gt;Reprogramaciones!$K$16),"",IF(ROUND(SUM($Q228:U228),1)&gt;=99.5,100,MIN(100,ROUND(SUM($Q228:U228),1))))</f>
        <v/>
      </c>
      <c r="CO228" s="1" t="str">
        <f aca="false">IF(OR(OR(NOT(AND(ISNUMBER(E228),ISNUMBER(F228))),$J$2=""),6&gt;Reprogramaciones!$K$16),"",IF(ROUND(SUM($Q228:V228),1)&gt;=99.5,100,MIN(100,ROUND(SUM($Q228:V228),1))))</f>
        <v/>
      </c>
      <c r="CP228" s="1" t="str">
        <f aca="false">IF(OR(OR(NOT(AND(ISNUMBER(E228),ISNUMBER(F228))),$J$2=""),7&gt;Reprogramaciones!$K$16),"",IF(ROUND(SUM($Q228:W228),1)&gt;=99.5,100,MIN(100,ROUND(SUM($Q228:W228),1))))</f>
        <v/>
      </c>
      <c r="CQ228" s="1" t="str">
        <f aca="false">IF(OR(OR(NOT(AND(ISNUMBER(E228),ISNUMBER(F228))),$J$2=""),8&gt;Reprogramaciones!$K$16),"",IF(ROUND(SUM($Q228:X228),1)&gt;=99.5,100,MIN(100,ROUND(SUM($Q228:X228),1))))</f>
        <v/>
      </c>
      <c r="CR228" s="1" t="str">
        <f aca="false">IF(OR(OR(NOT(AND(ISNUMBER(E228),ISNUMBER(F228))),$J$2=""),9&gt;Reprogramaciones!$K$16),"",IF(ROUND(SUM($Q228:Y228),1)&gt;=99.5,100,MIN(100,ROUND(SUM($Q228:Y228),1))))</f>
        <v/>
      </c>
      <c r="CS228" s="1" t="str">
        <f aca="false">IF(OR(OR(NOT(AND(ISNUMBER(E228),ISNUMBER(F228))),$J$2=""),10&gt;Reprogramaciones!$K$16),"",IF(ROUND(SUM($Q228:Z228),1)&gt;=99.5,100,MIN(100,ROUND(SUM($Q228:Z228),1))))</f>
        <v/>
      </c>
      <c r="CT228" s="1" t="str">
        <f aca="false">IF(OR(OR(NOT(AND(ISNUMBER(E228),ISNUMBER(F228))),$J$2=""),11&gt;Reprogramaciones!$K$16),"",IF(ROUND(SUM($Q228:AA228),1)&gt;=99.5,100,MIN(100,ROUND(SUM($Q228:AA228),1))))</f>
        <v/>
      </c>
      <c r="CU228" s="1" t="str">
        <f aca="false">IF(OR(OR(NOT(AND(ISNUMBER(E228),ISNUMBER(F228))),$J$2=""),12&gt;Reprogramaciones!$K$16),"",IF(ROUND(SUM($Q228:AB228),1)&gt;=99.5,100,MIN(100,ROUND(SUM($Q228:AB228),1))))</f>
        <v/>
      </c>
      <c r="CV228" s="1" t="str">
        <f aca="false">IF(OR(OR(NOT(AND(ISNUMBER(E228),ISNUMBER(F228))),$J$2=""),13&gt;Reprogramaciones!$K$16),"",IF(ROUND(SUM($Q228:AC228),1)&gt;=99.5,100,MIN(100,ROUND(SUM($Q228:AC228),1))))</f>
        <v/>
      </c>
      <c r="CW228" s="1" t="str">
        <f aca="false">IF(OR(OR(NOT(AND(ISNUMBER(E228),ISNUMBER(F228))),$J$2=""),14&gt;Reprogramaciones!$K$16),"",IF(ROUND(SUM($Q228:AD228),1)&gt;=99.5,100,MIN(100,ROUND(SUM($Q228:AD228),1))))</f>
        <v/>
      </c>
      <c r="CX228" s="1" t="str">
        <f aca="false">IF(OR(OR(NOT(AND(ISNUMBER(E228),ISNUMBER(F228))),$J$2=""),15&gt;Reprogramaciones!$K$16),"",IF(ROUND(SUM($Q228:AE228),1)&gt;=99.5,100,MIN(100,ROUND(SUM($Q228:AE228),1))))</f>
        <v/>
      </c>
      <c r="CY228" s="1" t="str">
        <f aca="false">IF(OR(OR(NOT(AND(ISNUMBER(E228),ISNUMBER(F228))),$J$2=""),16&gt;Reprogramaciones!$K$16),"",IF(ROUND(SUM($Q228:AF228),1)&gt;=99.5,100,MIN(100,ROUND(SUM($Q228:AF228),1))))</f>
        <v/>
      </c>
      <c r="CZ228" s="1" t="str">
        <f aca="false">IF(D228&lt;&gt;"",D228,IF(B228&lt;&gt;"","Contractual",CZ227))</f>
        <v>Contractual</v>
      </c>
      <c r="DA228" s="1" t="str">
        <f aca="false">IF(OR(NOT(AND(ISNUMBER(E228),ISNUMBER(F228))),$J$2=""),"",IF(Reprogramaciones!$Q$15&lt;Reprogramaciones!$T$15,0,IF(Reprogramaciones!$S$15&gt;10,MIN(100,SUM($G228:$P228)),MIN(100,SUMPRODUCT((COLUMN($G228:$P228)-COLUMN($G228)+1&lt;Reprogramaciones!$S$15)*$G228:$P228)+N(INDEX($G228:$P228,1,Reprogramaciones!$S$15))*IF(Reprogramaciones!$Q$15&gt;=(Reprogramaciones!$T$15+7*(Reprogramaciones!$S$15-1))+6,1,IF(MAX(0,NETWORKDAYS.INTL(MAX(E228,(Reprogramaciones!$T$15+7*(Reprogramaciones!$S$15-1))),MIN(F228,(Reprogramaciones!$T$15+7*(Reprogramaciones!$S$15-1))+6),11))=0,0,MAX(0,NETWORKDAYS.INTL(MAX(E228,(Reprogramaciones!$T$15+7*(Reprogramaciones!$S$15-1))),MIN(F228,Reprogramaciones!$Q$15),11))/MAX(0,NETWORKDAYS.INTL(MAX(E228,(Reprogramaciones!$T$15+7*(Reprogramaciones!$S$15-1))),MIN(F228,(Reprogramaciones!$T$15+7*(Reprogramaciones!$S$15-1))+6),11))))))))</f>
        <v/>
      </c>
    </row>
    <row r="229" customFormat="false" ht="15" hidden="false" customHeight="false" outlineLevel="0" collapsed="false">
      <c r="A229" s="32"/>
      <c r="B229" s="33"/>
      <c r="C229" s="33"/>
      <c r="D229" s="34"/>
      <c r="E229" s="35"/>
      <c r="F229" s="35"/>
      <c r="G229" s="36" t="str">
        <f aca="false">IF(OR(NOT(AND(ISNUMBER(E229),ISNUMBER(F229))),$J$2=""),"",IF(Reprogramaciones!K$9&lt;E229,0,IF(NETWORKDAYS.INTL(E229,F229,11)=0,IF(Reprogramaciones!K$9&gt;=F229,100,0),ROUND(NETWORKDAYS.INTL(E229,MIN(F229,Reprogramaciones!K$9),11)/NETWORKDAYS.INTL(E229,F229,11)*100,1)))-0)</f>
        <v/>
      </c>
      <c r="H229" s="36" t="str">
        <f aca="false">IF(OR(NOT(AND(ISNUMBER(E229),ISNUMBER(F229))),$J$2=""),"",IF(Reprogramaciones!L$9&lt;E229,0,IF(NETWORKDAYS.INTL(E229,F229,11)=0,IF(Reprogramaciones!L$9&gt;=F229,100,0),ROUND(NETWORKDAYS.INTL(E229,MIN(F229,Reprogramaciones!L$9),11)/NETWORKDAYS.INTL(E229,F229,11)*100,1)))-IF(Reprogramaciones!K$9&lt;E229,0,IF(NETWORKDAYS.INTL(E229,F229,11)=0,IF(Reprogramaciones!K$9&gt;=F229,100,0),ROUND(NETWORKDAYS.INTL(E229,MIN(F229,Reprogramaciones!K$9),11)/NETWORKDAYS.INTL(E229,F229,11)*100,1))))</f>
        <v/>
      </c>
      <c r="I229" s="36" t="str">
        <f aca="false">IF(OR(NOT(AND(ISNUMBER(E229),ISNUMBER(F229))),$J$2=""),"",IF(Reprogramaciones!M$9&lt;E229,0,IF(NETWORKDAYS.INTL(E229,F229,11)=0,IF(Reprogramaciones!M$9&gt;=F229,100,0),ROUND(NETWORKDAYS.INTL(E229,MIN(F229,Reprogramaciones!M$9),11)/NETWORKDAYS.INTL(E229,F229,11)*100,1)))-IF(Reprogramaciones!L$9&lt;E229,0,IF(NETWORKDAYS.INTL(E229,F229,11)=0,IF(Reprogramaciones!L$9&gt;=F229,100,0),ROUND(NETWORKDAYS.INTL(E229,MIN(F229,Reprogramaciones!L$9),11)/NETWORKDAYS.INTL(E229,F229,11)*100,1))))</f>
        <v/>
      </c>
      <c r="J229" s="36" t="str">
        <f aca="false">IF(OR(NOT(AND(ISNUMBER(E229),ISNUMBER(F229))),$J$2=""),"",IF(Reprogramaciones!N$9&lt;E229,0,IF(NETWORKDAYS.INTL(E229,F229,11)=0,IF(Reprogramaciones!N$9&gt;=F229,100,0),ROUND(NETWORKDAYS.INTL(E229,MIN(F229,Reprogramaciones!N$9),11)/NETWORKDAYS.INTL(E229,F229,11)*100,1)))-IF(Reprogramaciones!M$9&lt;E229,0,IF(NETWORKDAYS.INTL(E229,F229,11)=0,IF(Reprogramaciones!M$9&gt;=F229,100,0),ROUND(NETWORKDAYS.INTL(E229,MIN(F229,Reprogramaciones!M$9),11)/NETWORKDAYS.INTL(E229,F229,11)*100,1))))</f>
        <v/>
      </c>
      <c r="K229" s="36" t="str">
        <f aca="false">IF(OR(NOT(AND(ISNUMBER(E229),ISNUMBER(F229))),$J$2=""),"",IF(Reprogramaciones!O$9&lt;E229,0,IF(NETWORKDAYS.INTL(E229,F229,11)=0,IF(Reprogramaciones!O$9&gt;=F229,100,0),ROUND(NETWORKDAYS.INTL(E229,MIN(F229,Reprogramaciones!O$9),11)/NETWORKDAYS.INTL(E229,F229,11)*100,1)))-IF(Reprogramaciones!N$9&lt;E229,0,IF(NETWORKDAYS.INTL(E229,F229,11)=0,IF(Reprogramaciones!N$9&gt;=F229,100,0),ROUND(NETWORKDAYS.INTL(E229,MIN(F229,Reprogramaciones!N$9),11)/NETWORKDAYS.INTL(E229,F229,11)*100,1))))</f>
        <v/>
      </c>
      <c r="L229" s="36" t="str">
        <f aca="false">IF(OR(NOT(AND(ISNUMBER(E229),ISNUMBER(F229))),$J$2=""),"",IF(Reprogramaciones!P$9&lt;E229,0,IF(NETWORKDAYS.INTL(E229,F229,11)=0,IF(Reprogramaciones!P$9&gt;=F229,100,0),ROUND(NETWORKDAYS.INTL(E229,MIN(F229,Reprogramaciones!P$9),11)/NETWORKDAYS.INTL(E229,F229,11)*100,1)))-IF(Reprogramaciones!O$9&lt;E229,0,IF(NETWORKDAYS.INTL(E229,F229,11)=0,IF(Reprogramaciones!O$9&gt;=F229,100,0),ROUND(NETWORKDAYS.INTL(E229,MIN(F229,Reprogramaciones!O$9),11)/NETWORKDAYS.INTL(E229,F229,11)*100,1))))</f>
        <v/>
      </c>
      <c r="M229" s="36" t="str">
        <f aca="false">IF(OR(NOT(AND(ISNUMBER(E229),ISNUMBER(F229))),$J$2=""),"",IF(Reprogramaciones!Q$9&lt;E229,0,IF(NETWORKDAYS.INTL(E229,F229,11)=0,IF(Reprogramaciones!Q$9&gt;=F229,100,0),ROUND(NETWORKDAYS.INTL(E229,MIN(F229,Reprogramaciones!Q$9),11)/NETWORKDAYS.INTL(E229,F229,11)*100,1)))-IF(Reprogramaciones!P$9&lt;E229,0,IF(NETWORKDAYS.INTL(E229,F229,11)=0,IF(Reprogramaciones!P$9&gt;=F229,100,0),ROUND(NETWORKDAYS.INTL(E229,MIN(F229,Reprogramaciones!P$9),11)/NETWORKDAYS.INTL(E229,F229,11)*100,1))))</f>
        <v/>
      </c>
      <c r="N229" s="36" t="str">
        <f aca="false">IF(OR(NOT(AND(ISNUMBER(E229),ISNUMBER(F229))),$J$2=""),"",IF(Reprogramaciones!R$9&lt;E229,0,IF(NETWORKDAYS.INTL(E229,F229,11)=0,IF(Reprogramaciones!R$9&gt;=F229,100,0),ROUND(NETWORKDAYS.INTL(E229,MIN(F229,Reprogramaciones!R$9),11)/NETWORKDAYS.INTL(E229,F229,11)*100,1)))-IF(Reprogramaciones!Q$9&lt;E229,0,IF(NETWORKDAYS.INTL(E229,F229,11)=0,IF(Reprogramaciones!Q$9&gt;=F229,100,0),ROUND(NETWORKDAYS.INTL(E229,MIN(F229,Reprogramaciones!Q$9),11)/NETWORKDAYS.INTL(E229,F229,11)*100,1))))</f>
        <v/>
      </c>
      <c r="O229" s="36" t="str">
        <f aca="false">IF(OR(NOT(AND(ISNUMBER(E229),ISNUMBER(F229))),$J$2=""),"",IF(Reprogramaciones!S$9&lt;E229,0,IF(NETWORKDAYS.INTL(E229,F229,11)=0,IF(Reprogramaciones!S$9&gt;=F229,100,0),ROUND(NETWORKDAYS.INTL(E229,MIN(F229,Reprogramaciones!S$9),11)/NETWORKDAYS.INTL(E229,F229,11)*100,1)))-IF(Reprogramaciones!R$9&lt;E229,0,IF(NETWORKDAYS.INTL(E229,F229,11)=0,IF(Reprogramaciones!R$9&gt;=F229,100,0),ROUND(NETWORKDAYS.INTL(E229,MIN(F229,Reprogramaciones!R$9),11)/NETWORKDAYS.INTL(E229,F229,11)*100,1))))</f>
        <v/>
      </c>
      <c r="P229" s="36" t="str">
        <f aca="false">IF(OR(NOT(AND(ISNUMBER(E229),ISNUMBER(F229))),$J$2=""),"",IF(Reprogramaciones!T$9&lt;E229,0,IF(NETWORKDAYS.INTL(E229,F229,11)=0,IF(Reprogramaciones!T$9&gt;=F229,100,0),ROUND(NETWORKDAYS.INTL(E229,MIN(F229,Reprogramaciones!T$9),11)/NETWORKDAYS.INTL(E229,F229,11)*100,1)))-IF(Reprogramaciones!S$9&lt;E229,0,IF(NETWORKDAYS.INTL(E229,F229,11)=0,IF(Reprogramaciones!S$9&gt;=F229,100,0),ROUND(NETWORKDAYS.INTL(E229,MIN(F229,Reprogramaciones!S$9),11)/NETWORKDAYS.INTL(E229,F229,11)*100,1))))</f>
        <v/>
      </c>
      <c r="Q229" s="37"/>
      <c r="R229" s="37"/>
      <c r="S229" s="37"/>
      <c r="T229" s="37"/>
      <c r="U229" s="37"/>
      <c r="V229" s="37"/>
      <c r="W229" s="37"/>
      <c r="X229" s="37"/>
      <c r="Y229" s="37"/>
      <c r="Z229" s="37"/>
      <c r="AA229" s="37"/>
      <c r="AB229" s="37"/>
      <c r="AC229" s="37"/>
      <c r="AD229" s="37"/>
      <c r="AE229" s="37"/>
      <c r="AF229" s="37"/>
      <c r="AG229" s="38" t="str">
        <f aca="false">IF(AND(ISNUMBER(E229),ISNUMBER(F229)),NETWORKDAYS.INTL(E229,F229,11),"")</f>
        <v/>
      </c>
      <c r="AH229" s="38" t="str">
        <f aca="false">IF(OR(NOT(AND(ISNUMBER(E229),ISNUMBER(F229))),$J$2=""),"",IF(Reprogramaciones!$P$15&lt;Reprogramaciones!$T$15,0,IF(Reprogramaciones!$R$15&gt;10,MIN(100,SUM($G229:$P229)),MIN(100,SUMPRODUCT((COLUMN($G229:$P229)-COLUMN($G229)+1&lt;Reprogramaciones!$R$15)*$G229:$P229)+N(INDEX($G229:$P229,1,Reprogramaciones!$R$15))*IF(Reprogramaciones!$P$15&gt;=(Reprogramaciones!$T$15+7*(Reprogramaciones!$R$15-1))+6,1,IF(MAX(0,NETWORKDAYS.INTL(MAX(E229,(Reprogramaciones!$T$15+7*(Reprogramaciones!$R$15-1))),MIN(F229,(Reprogramaciones!$T$15+7*(Reprogramaciones!$R$15-1))+6),11))=0,0,MAX(0,NETWORKDAYS.INTL(MAX(E229,(Reprogramaciones!$T$15+7*(Reprogramaciones!$R$15-1))),MIN(F229,Reprogramaciones!$P$15),11))/MAX(0,NETWORKDAYS.INTL(MAX(E229,(Reprogramaciones!$T$15+7*(Reprogramaciones!$R$15-1))),MIN(F229,(Reprogramaciones!$T$15+7*(Reprogramaciones!$R$15-1))+6),11))))))))</f>
        <v/>
      </c>
      <c r="AI229" s="38" t="str">
        <f aca="false">IF(COUNT($Q229:$AF229)=0,"",IF(ROUND(SUM($Q229:$AF229),1)&gt;=99.5,100,MIN(100,ROUND(SUM($Q229:$AF229),1))))</f>
        <v/>
      </c>
      <c r="AJ229" s="38" t="str">
        <f aca="false">IF(OR(AH229="",AI229=""),"",AI229-AH229)</f>
        <v/>
      </c>
      <c r="AK229" s="39" t="str">
        <f aca="true">IF(AH229="","",IF(OR(Ficha!$C$10="Suspendida",Ficha!$C$10="Cancelada"),Ficha!$C$10,IF(AND(AI229&lt;&gt;"",N(AI229)&gt;=100),"Completada",IF(AND(E229&gt;TODAY(),N(AI229)=0),"Por iniciar",IF(N(AI229)+0.5&lt;AH229,"Retrasada",IF(N(AI229)+0.5&lt;DA229,IF(Reprogramaciones!$K$15&gt;0,"Al día · Sem "&amp;Reprogramaciones!$K$15&amp;" en curso","Al día · en curso"),"A tiempo"))))))</f>
        <v/>
      </c>
      <c r="AL229" s="39" t="str">
        <f aca="true">IF(AND(A229="",AND(B229="",C229="",E229="",F229="",COUNT(Q229:AF229)=0)),"",IF(AND(B229="",C229="",E229="",F229="",COUNT(Q229:AF229)=0),"Falta la partida o subpartida",IF(AND(A229&lt;&gt;"",COUNTIF($A$6:$A$305,A229)&gt;1),"Ítem repetido",IF(AND(C229="",E229="",F229="",COUNT(Q229:AF229)=0),"Título de partida",IF(OR(E229="",F229=""),"Faltan fechas",IF(OR(ISTEXT(E229),ISTEXT(F229)),"Fecha escrita como texto: usa dd/mm/aaaa",IF(F229&lt;E229,"Fin antes del inicio",IF(IF($J$2="",FALSE(),OR(E229&lt;$J$2,F229&gt;Reprogramaciones!$T$15+69)),"Fuera de las 10 semanas",IF(ABS(SUM(G229:P229)-100)&gt;0.5,"La meta no suma 100%",IF(ROUND(SUM(Q229:AF229),1)&gt;100.5,"El avance pasa de 100%",IF(MIN(Q229:AF229)&lt;0,"Avance negativo",IF(COUNTA(Q229:AF229)&gt;COUNT(Q229:AF229),"Avance escrito como texto",IF(SUMPRODUCT((Q229:AF229&gt;0)*(Q229:AF229&lt;1))&gt;0,"Avance menor a 1: escribe 50, no 50%",IF(SUMPRODUCT(ISNUMBER(Q229:AF229)*(Reprogramaciones!$K$8:$Z$8&gt;TODAY()))&gt;0,"Avance en semana que aún no llega",IF(AND(N(Reprogramaciones!$E$21)&gt;0,F229&gt;Reprogramaciones!$E$21),"Pasa el fin de la obra: registra una reprogramación",IF(AND(N(Reprogramaciones!$E$21)&gt;0,SUMPRODUCT(ISNUMBER(Q229:AF229)*(Reprogramaciones!$K$8:$Z$8&gt;Reprogramaciones!$E$21))&gt;0),"Avance después del fin de la obra: registra una reprogramación por atraso","OK"))))))))))))))))</f>
        <v/>
      </c>
      <c r="AM229" s="40" t="str">
        <f aca="false">IF(OR(OR(NOT(AND(ISNUMBER(E229),ISNUMBER(F229))),$J$2=""),1&gt;MAX(1,Reprogramaciones!$U$15)),"",IF(Reprogramaciones!K$12&gt;=7,"",IF(OR(BT229-N(0)&gt;0.05,N(Q229)&gt;0),ROUNDDOWN(ROUND(BT229,6),0)&amp;"%"&amp;IF(CJ229="",""," / "&amp;CJ229&amp;"%"),IF(AND(N(0)&gt;=99.95,CJ229&lt;&gt;"",N(CJ229)&lt;100),"Pend. "&amp;CJ229&amp;"%",""))))</f>
        <v/>
      </c>
      <c r="AN229" s="40" t="str">
        <f aca="false">IF(OR(OR(NOT(AND(ISNUMBER(E229),ISNUMBER(F229))),$J$2=""),2&gt;MAX(1,Reprogramaciones!$U$15)),"",IF(Reprogramaciones!L$12&gt;=7,"",IF(OR(BU229-N(BT229)&gt;0.05,N(R229)&gt;0),ROUNDDOWN(ROUND(BU229,6),0)&amp;"%"&amp;IF(CK229="",""," / "&amp;CK229&amp;"%"),IF(AND(N(BT229)&gt;=99.95,CK229&lt;&gt;"",N(CK229)&lt;100),"Pend. "&amp;CK229&amp;"%",""))))</f>
        <v/>
      </c>
      <c r="AO229" s="40" t="str">
        <f aca="false">IF(OR(OR(NOT(AND(ISNUMBER(E229),ISNUMBER(F229))),$J$2=""),3&gt;MAX(1,Reprogramaciones!$U$15)),"",IF(Reprogramaciones!M$12&gt;=7,"",IF(OR(BV229-N(BU229)&gt;0.05,N(S229)&gt;0),ROUNDDOWN(ROUND(BV229,6),0)&amp;"%"&amp;IF(CL229="",""," / "&amp;CL229&amp;"%"),IF(AND(N(BU229)&gt;=99.95,CL229&lt;&gt;"",N(CL229)&lt;100),"Pend. "&amp;CL229&amp;"%",""))))</f>
        <v/>
      </c>
      <c r="AP229" s="40" t="str">
        <f aca="false">IF(OR(OR(NOT(AND(ISNUMBER(E229),ISNUMBER(F229))),$J$2=""),4&gt;MAX(1,Reprogramaciones!$U$15)),"",IF(Reprogramaciones!N$12&gt;=7,"",IF(OR(BW229-N(BV229)&gt;0.05,N(T229)&gt;0),ROUNDDOWN(ROUND(BW229,6),0)&amp;"%"&amp;IF(CM229="",""," / "&amp;CM229&amp;"%"),IF(AND(N(BV229)&gt;=99.95,CM229&lt;&gt;"",N(CM229)&lt;100),"Pend. "&amp;CM229&amp;"%",""))))</f>
        <v/>
      </c>
      <c r="AQ229" s="40" t="str">
        <f aca="false">IF(OR(OR(NOT(AND(ISNUMBER(E229),ISNUMBER(F229))),$J$2=""),5&gt;MAX(1,Reprogramaciones!$U$15)),"",IF(Reprogramaciones!O$12&gt;=7,"",IF(OR(BX229-N(BW229)&gt;0.05,N(U229)&gt;0),ROUNDDOWN(ROUND(BX229,6),0)&amp;"%"&amp;IF(CN229="",""," / "&amp;CN229&amp;"%"),IF(AND(N(BW229)&gt;=99.95,CN229&lt;&gt;"",N(CN229)&lt;100),"Pend. "&amp;CN229&amp;"%",""))))</f>
        <v/>
      </c>
      <c r="AR229" s="40" t="str">
        <f aca="false">IF(OR(OR(NOT(AND(ISNUMBER(E229),ISNUMBER(F229))),$J$2=""),6&gt;MAX(1,Reprogramaciones!$U$15)),"",IF(Reprogramaciones!P$12&gt;=7,"",IF(OR(BY229-N(BX229)&gt;0.05,N(V229)&gt;0),ROUNDDOWN(ROUND(BY229,6),0)&amp;"%"&amp;IF(CO229="",""," / "&amp;CO229&amp;"%"),IF(AND(N(BX229)&gt;=99.95,CO229&lt;&gt;"",N(CO229)&lt;100),"Pend. "&amp;CO229&amp;"%",""))))</f>
        <v/>
      </c>
      <c r="AS229" s="40" t="str">
        <f aca="false">IF(OR(OR(NOT(AND(ISNUMBER(E229),ISNUMBER(F229))),$J$2=""),7&gt;MAX(1,Reprogramaciones!$U$15)),"",IF(Reprogramaciones!Q$12&gt;=7,"",IF(OR(BZ229-N(BY229)&gt;0.05,N(W229)&gt;0),ROUNDDOWN(ROUND(BZ229,6),0)&amp;"%"&amp;IF(CP229="",""," / "&amp;CP229&amp;"%"),IF(AND(N(BY229)&gt;=99.95,CP229&lt;&gt;"",N(CP229)&lt;100),"Pend. "&amp;CP229&amp;"%",""))))</f>
        <v/>
      </c>
      <c r="AT229" s="40" t="str">
        <f aca="false">IF(OR(OR(NOT(AND(ISNUMBER(E229),ISNUMBER(F229))),$J$2=""),8&gt;MAX(1,Reprogramaciones!$U$15)),"",IF(Reprogramaciones!R$12&gt;=7,"",IF(OR(CA229-N(BZ229)&gt;0.05,N(X229)&gt;0),ROUNDDOWN(ROUND(CA229,6),0)&amp;"%"&amp;IF(CQ229="",""," / "&amp;CQ229&amp;"%"),IF(AND(N(BZ229)&gt;=99.95,CQ229&lt;&gt;"",N(CQ229)&lt;100),"Pend. "&amp;CQ229&amp;"%",""))))</f>
        <v/>
      </c>
      <c r="AU229" s="40" t="str">
        <f aca="false">IF(OR(OR(NOT(AND(ISNUMBER(E229),ISNUMBER(F229))),$J$2=""),9&gt;MAX(1,Reprogramaciones!$U$15)),"",IF(Reprogramaciones!S$12&gt;=7,"",IF(OR(CB229-N(CA229)&gt;0.05,N(Y229)&gt;0),ROUNDDOWN(ROUND(CB229,6),0)&amp;"%"&amp;IF(CR229="",""," / "&amp;CR229&amp;"%"),IF(AND(N(CA229)&gt;=99.95,CR229&lt;&gt;"",N(CR229)&lt;100),"Pend. "&amp;CR229&amp;"%",""))))</f>
        <v/>
      </c>
      <c r="AV229" s="40" t="str">
        <f aca="false">IF(OR(OR(NOT(AND(ISNUMBER(E229),ISNUMBER(F229))),$J$2=""),10&gt;MAX(1,Reprogramaciones!$U$15)),"",IF(Reprogramaciones!T$12&gt;=7,"",IF(OR(CC229-N(CB229)&gt;0.05,N(Z229)&gt;0),ROUNDDOWN(ROUND(CC229,6),0)&amp;"%"&amp;IF(CS229="",""," / "&amp;CS229&amp;"%"),IF(AND(N(CB229)&gt;=99.95,CS229&lt;&gt;"",N(CS229)&lt;100),"Pend. "&amp;CS229&amp;"%",""))))</f>
        <v/>
      </c>
      <c r="AW229" s="40" t="str">
        <f aca="false">IF(OR(OR(NOT(AND(ISNUMBER(E229),ISNUMBER(F229))),$J$2=""),11&gt;MAX(1,Reprogramaciones!$U$15)),"",IF(Reprogramaciones!U$12&gt;=7,"",IF(OR(CD229-N(CC229)&gt;0.05,N(AA229)&gt;0),ROUNDDOWN(ROUND(CD229,6),0)&amp;"%"&amp;IF(CT229="",""," / "&amp;CT229&amp;"%"),IF(AND(N(CC229)&gt;=99.95,CT229&lt;&gt;"",N(CT229)&lt;100),"Pend. "&amp;CT229&amp;"%",""))))</f>
        <v/>
      </c>
      <c r="AX229" s="40" t="str">
        <f aca="false">IF(OR(OR(NOT(AND(ISNUMBER(E229),ISNUMBER(F229))),$J$2=""),12&gt;MAX(1,Reprogramaciones!$U$15)),"",IF(Reprogramaciones!V$12&gt;=7,"",IF(OR(CE229-N(CD229)&gt;0.05,N(AB229)&gt;0),ROUNDDOWN(ROUND(CE229,6),0)&amp;"%"&amp;IF(CU229="",""," / "&amp;CU229&amp;"%"),IF(AND(N(CD229)&gt;=99.95,CU229&lt;&gt;"",N(CU229)&lt;100),"Pend. "&amp;CU229&amp;"%",""))))</f>
        <v/>
      </c>
      <c r="AY229" s="40" t="str">
        <f aca="false">IF(OR(OR(NOT(AND(ISNUMBER(E229),ISNUMBER(F229))),$J$2=""),13&gt;MAX(1,Reprogramaciones!$U$15)),"",IF(Reprogramaciones!W$12&gt;=7,"",IF(OR(CF229-N(CE229)&gt;0.05,N(AC229)&gt;0),ROUNDDOWN(ROUND(CF229,6),0)&amp;"%"&amp;IF(CV229="",""," / "&amp;CV229&amp;"%"),IF(AND(N(CE229)&gt;=99.95,CV229&lt;&gt;"",N(CV229)&lt;100),"Pend. "&amp;CV229&amp;"%",""))))</f>
        <v/>
      </c>
      <c r="AZ229" s="40" t="str">
        <f aca="false">IF(OR(OR(NOT(AND(ISNUMBER(E229),ISNUMBER(F229))),$J$2=""),14&gt;MAX(1,Reprogramaciones!$U$15)),"",IF(Reprogramaciones!X$12&gt;=7,"",IF(OR(CG229-N(CF229)&gt;0.05,N(AD229)&gt;0),ROUNDDOWN(ROUND(CG229,6),0)&amp;"%"&amp;IF(CW229="",""," / "&amp;CW229&amp;"%"),IF(AND(N(CF229)&gt;=99.95,CW229&lt;&gt;"",N(CW229)&lt;100),"Pend. "&amp;CW229&amp;"%",""))))</f>
        <v/>
      </c>
      <c r="BA229" s="40" t="str">
        <f aca="false">IF(OR(OR(NOT(AND(ISNUMBER(E229),ISNUMBER(F229))),$J$2=""),15&gt;MAX(1,Reprogramaciones!$U$15)),"",IF(Reprogramaciones!Y$12&gt;=7,"",IF(OR(CH229-N(CG229)&gt;0.05,N(AE229)&gt;0),ROUNDDOWN(ROUND(CH229,6),0)&amp;"%"&amp;IF(CX229="",""," / "&amp;CX229&amp;"%"),IF(AND(N(CG229)&gt;=99.95,CX229&lt;&gt;"",N(CX229)&lt;100),"Pend. "&amp;CX229&amp;"%",""))))</f>
        <v/>
      </c>
      <c r="BB229" s="40" t="str">
        <f aca="false">IF(OR(OR(NOT(AND(ISNUMBER(E229),ISNUMBER(F229))),$J$2=""),16&gt;MAX(1,Reprogramaciones!$U$15)),"",IF(Reprogramaciones!Z$12&gt;=7,"",IF(OR(CI229-N(CH229)&gt;0.05,N(AF229)&gt;0),ROUNDDOWN(ROUND(CI229,6),0)&amp;"%"&amp;IF(CY229="",""," / "&amp;CY229&amp;"%"),IF(AND(N(CH229)&gt;=99.95,CY229&lt;&gt;"",N(CY229)&lt;100),"Pend. "&amp;CY229&amp;"%",""))))</f>
        <v/>
      </c>
      <c r="BC229" s="31" t="n">
        <f aca="false">IF(AND(ISNUMBER(E229),ISNUMBER(F229)),MAX(1,NETWORKDAYS.INTL(E229,F229,11)),0)</f>
        <v>0</v>
      </c>
      <c r="BD229" s="1" t="str">
        <f aca="false">IF(OR(NOT(AND(ISNUMBER(E229),ISNUMBER(F229))),$J$2=""),"",MIN(100,ROUND(SUM($G229:G229),1)))</f>
        <v/>
      </c>
      <c r="BE229" s="1" t="str">
        <f aca="false">IF(OR(NOT(AND(ISNUMBER(E229),ISNUMBER(F229))),$J$2=""),"",MIN(100,ROUND(SUM($G229:H229),1)))</f>
        <v/>
      </c>
      <c r="BF229" s="1" t="str">
        <f aca="false">IF(OR(NOT(AND(ISNUMBER(E229),ISNUMBER(F229))),$J$2=""),"",MIN(100,ROUND(SUM($G229:I229),1)))</f>
        <v/>
      </c>
      <c r="BG229" s="1" t="str">
        <f aca="false">IF(OR(NOT(AND(ISNUMBER(E229),ISNUMBER(F229))),$J$2=""),"",MIN(100,ROUND(SUM($G229:J229),1)))</f>
        <v/>
      </c>
      <c r="BH229" s="1" t="str">
        <f aca="false">IF(OR(NOT(AND(ISNUMBER(E229),ISNUMBER(F229))),$J$2=""),"",MIN(100,ROUND(SUM($G229:K229),1)))</f>
        <v/>
      </c>
      <c r="BI229" s="1" t="str">
        <f aca="false">IF(OR(NOT(AND(ISNUMBER(E229),ISNUMBER(F229))),$J$2=""),"",MIN(100,ROUND(SUM($G229:L229),1)))</f>
        <v/>
      </c>
      <c r="BJ229" s="1" t="str">
        <f aca="false">IF(OR(NOT(AND(ISNUMBER(E229),ISNUMBER(F229))),$J$2=""),"",MIN(100,ROUND(SUM($G229:M229),1)))</f>
        <v/>
      </c>
      <c r="BK229" s="1" t="str">
        <f aca="false">IF(OR(NOT(AND(ISNUMBER(E229),ISNUMBER(F229))),$J$2=""),"",MIN(100,ROUND(SUM($G229:N229),1)))</f>
        <v/>
      </c>
      <c r="BL229" s="1" t="str">
        <f aca="false">IF(OR(NOT(AND(ISNUMBER(E229),ISNUMBER(F229))),$J$2=""),"",MIN(100,ROUND(SUM($G229:O229),1)))</f>
        <v/>
      </c>
      <c r="BM229" s="1" t="str">
        <f aca="false">IF(OR(NOT(AND(ISNUMBER(E229),ISNUMBER(F229))),$J$2=""),"",MIN(100,ROUND(SUM($G229:P229),1)))</f>
        <v/>
      </c>
      <c r="BN229" s="1" t="str">
        <f aca="false">IF(OR(NOT(AND(ISNUMBER(E229),ISNUMBER(F229))),$J$2=""),"",MIN(100,ROUND(SUM($G229:P229),1)))</f>
        <v/>
      </c>
      <c r="BO229" s="1" t="str">
        <f aca="false">IF(OR(NOT(AND(ISNUMBER(E229),ISNUMBER(F229))),$J$2=""),"",MIN(100,ROUND(SUM($G229:P229),1)))</f>
        <v/>
      </c>
      <c r="BP229" s="1" t="str">
        <f aca="false">IF(OR(NOT(AND(ISNUMBER(E229),ISNUMBER(F229))),$J$2=""),"",MIN(100,ROUND(SUM($G229:P229),1)))</f>
        <v/>
      </c>
      <c r="BQ229" s="1" t="str">
        <f aca="false">IF(OR(NOT(AND(ISNUMBER(E229),ISNUMBER(F229))),$J$2=""),"",MIN(100,ROUND(SUM($G229:P229),1)))</f>
        <v/>
      </c>
      <c r="BR229" s="1" t="str">
        <f aca="false">IF(OR(NOT(AND(ISNUMBER(E229),ISNUMBER(F229))),$J$2=""),"",MIN(100,ROUND(SUM($G229:P229),1)))</f>
        <v/>
      </c>
      <c r="BS229" s="1" t="str">
        <f aca="false">IF(OR(NOT(AND(ISNUMBER(E229),ISNUMBER(F229))),$J$2=""),"",MIN(100,ROUND(SUM($G229:P229),1)))</f>
        <v/>
      </c>
      <c r="BT229" s="1" t="str">
        <f aca="false">IF(OR(NOT(AND(ISNUMBER(E229),ISNUMBER(F229))),$J$2=""),"",IF(Reprogramaciones!K$13&lt;Reprogramaciones!$T$15,0,IF(Reprogramaciones!K$14&gt;10,MIN(100,SUM($G229:$P229)),MIN(100,SUMPRODUCT((COLUMN($G229:$P229)-COLUMN($G229)+1&lt;Reprogramaciones!K$14)*$G229:$P229)+N(INDEX($G229:$P229,1,Reprogramaciones!K$14))*IF(Reprogramaciones!K$13&gt;=(Reprogramaciones!$T$15+7*(Reprogramaciones!K$14-1))+6,1,IF(MAX(0,NETWORKDAYS.INTL(MAX(E229,(Reprogramaciones!$T$15+7*(Reprogramaciones!K$14-1))),MIN(F229,(Reprogramaciones!$T$15+7*(Reprogramaciones!K$14-1))+6),11))=0,0,MAX(0,NETWORKDAYS.INTL(MAX(E229,(Reprogramaciones!$T$15+7*(Reprogramaciones!K$14-1))),MIN(F229,Reprogramaciones!K$13),11))/MAX(0,NETWORKDAYS.INTL(MAX(E229,(Reprogramaciones!$T$15+7*(Reprogramaciones!K$14-1))),MIN(F229,(Reprogramaciones!$T$15+7*(Reprogramaciones!K$14-1))+6),11))))))))</f>
        <v/>
      </c>
      <c r="BU229" s="1" t="str">
        <f aca="false">IF(OR(NOT(AND(ISNUMBER(E229),ISNUMBER(F229))),$J$2=""),"",IF(Reprogramaciones!L$13&lt;Reprogramaciones!$T$15,0,IF(Reprogramaciones!L$14&gt;10,MIN(100,SUM($G229:$P229)),MIN(100,SUMPRODUCT((COLUMN($G229:$P229)-COLUMN($G229)+1&lt;Reprogramaciones!L$14)*$G229:$P229)+N(INDEX($G229:$P229,1,Reprogramaciones!L$14))*IF(Reprogramaciones!L$13&gt;=(Reprogramaciones!$T$15+7*(Reprogramaciones!L$14-1))+6,1,IF(MAX(0,NETWORKDAYS.INTL(MAX(E229,(Reprogramaciones!$T$15+7*(Reprogramaciones!L$14-1))),MIN(F229,(Reprogramaciones!$T$15+7*(Reprogramaciones!L$14-1))+6),11))=0,0,MAX(0,NETWORKDAYS.INTL(MAX(E229,(Reprogramaciones!$T$15+7*(Reprogramaciones!L$14-1))),MIN(F229,Reprogramaciones!L$13),11))/MAX(0,NETWORKDAYS.INTL(MAX(E229,(Reprogramaciones!$T$15+7*(Reprogramaciones!L$14-1))),MIN(F229,(Reprogramaciones!$T$15+7*(Reprogramaciones!L$14-1))+6),11))))))))</f>
        <v/>
      </c>
      <c r="BV229" s="1" t="str">
        <f aca="false">IF(OR(NOT(AND(ISNUMBER(E229),ISNUMBER(F229))),$J$2=""),"",IF(Reprogramaciones!M$13&lt;Reprogramaciones!$T$15,0,IF(Reprogramaciones!M$14&gt;10,MIN(100,SUM($G229:$P229)),MIN(100,SUMPRODUCT((COLUMN($G229:$P229)-COLUMN($G229)+1&lt;Reprogramaciones!M$14)*$G229:$P229)+N(INDEX($G229:$P229,1,Reprogramaciones!M$14))*IF(Reprogramaciones!M$13&gt;=(Reprogramaciones!$T$15+7*(Reprogramaciones!M$14-1))+6,1,IF(MAX(0,NETWORKDAYS.INTL(MAX(E229,(Reprogramaciones!$T$15+7*(Reprogramaciones!M$14-1))),MIN(F229,(Reprogramaciones!$T$15+7*(Reprogramaciones!M$14-1))+6),11))=0,0,MAX(0,NETWORKDAYS.INTL(MAX(E229,(Reprogramaciones!$T$15+7*(Reprogramaciones!M$14-1))),MIN(F229,Reprogramaciones!M$13),11))/MAX(0,NETWORKDAYS.INTL(MAX(E229,(Reprogramaciones!$T$15+7*(Reprogramaciones!M$14-1))),MIN(F229,(Reprogramaciones!$T$15+7*(Reprogramaciones!M$14-1))+6),11))))))))</f>
        <v/>
      </c>
      <c r="BW229" s="1" t="str">
        <f aca="false">IF(OR(NOT(AND(ISNUMBER(E229),ISNUMBER(F229))),$J$2=""),"",IF(Reprogramaciones!N$13&lt;Reprogramaciones!$T$15,0,IF(Reprogramaciones!N$14&gt;10,MIN(100,SUM($G229:$P229)),MIN(100,SUMPRODUCT((COLUMN($G229:$P229)-COLUMN($G229)+1&lt;Reprogramaciones!N$14)*$G229:$P229)+N(INDEX($G229:$P229,1,Reprogramaciones!N$14))*IF(Reprogramaciones!N$13&gt;=(Reprogramaciones!$T$15+7*(Reprogramaciones!N$14-1))+6,1,IF(MAX(0,NETWORKDAYS.INTL(MAX(E229,(Reprogramaciones!$T$15+7*(Reprogramaciones!N$14-1))),MIN(F229,(Reprogramaciones!$T$15+7*(Reprogramaciones!N$14-1))+6),11))=0,0,MAX(0,NETWORKDAYS.INTL(MAX(E229,(Reprogramaciones!$T$15+7*(Reprogramaciones!N$14-1))),MIN(F229,Reprogramaciones!N$13),11))/MAX(0,NETWORKDAYS.INTL(MAX(E229,(Reprogramaciones!$T$15+7*(Reprogramaciones!N$14-1))),MIN(F229,(Reprogramaciones!$T$15+7*(Reprogramaciones!N$14-1))+6),11))))))))</f>
        <v/>
      </c>
      <c r="BX229" s="1" t="str">
        <f aca="false">IF(OR(NOT(AND(ISNUMBER(E229),ISNUMBER(F229))),$J$2=""),"",IF(Reprogramaciones!O$13&lt;Reprogramaciones!$T$15,0,IF(Reprogramaciones!O$14&gt;10,MIN(100,SUM($G229:$P229)),MIN(100,SUMPRODUCT((COLUMN($G229:$P229)-COLUMN($G229)+1&lt;Reprogramaciones!O$14)*$G229:$P229)+N(INDEX($G229:$P229,1,Reprogramaciones!O$14))*IF(Reprogramaciones!O$13&gt;=(Reprogramaciones!$T$15+7*(Reprogramaciones!O$14-1))+6,1,IF(MAX(0,NETWORKDAYS.INTL(MAX(E229,(Reprogramaciones!$T$15+7*(Reprogramaciones!O$14-1))),MIN(F229,(Reprogramaciones!$T$15+7*(Reprogramaciones!O$14-1))+6),11))=0,0,MAX(0,NETWORKDAYS.INTL(MAX(E229,(Reprogramaciones!$T$15+7*(Reprogramaciones!O$14-1))),MIN(F229,Reprogramaciones!O$13),11))/MAX(0,NETWORKDAYS.INTL(MAX(E229,(Reprogramaciones!$T$15+7*(Reprogramaciones!O$14-1))),MIN(F229,(Reprogramaciones!$T$15+7*(Reprogramaciones!O$14-1))+6),11))))))))</f>
        <v/>
      </c>
      <c r="BY229" s="1" t="str">
        <f aca="false">IF(OR(NOT(AND(ISNUMBER(E229),ISNUMBER(F229))),$J$2=""),"",IF(Reprogramaciones!P$13&lt;Reprogramaciones!$T$15,0,IF(Reprogramaciones!P$14&gt;10,MIN(100,SUM($G229:$P229)),MIN(100,SUMPRODUCT((COLUMN($G229:$P229)-COLUMN($G229)+1&lt;Reprogramaciones!P$14)*$G229:$P229)+N(INDEX($G229:$P229,1,Reprogramaciones!P$14))*IF(Reprogramaciones!P$13&gt;=(Reprogramaciones!$T$15+7*(Reprogramaciones!P$14-1))+6,1,IF(MAX(0,NETWORKDAYS.INTL(MAX(E229,(Reprogramaciones!$T$15+7*(Reprogramaciones!P$14-1))),MIN(F229,(Reprogramaciones!$T$15+7*(Reprogramaciones!P$14-1))+6),11))=0,0,MAX(0,NETWORKDAYS.INTL(MAX(E229,(Reprogramaciones!$T$15+7*(Reprogramaciones!P$14-1))),MIN(F229,Reprogramaciones!P$13),11))/MAX(0,NETWORKDAYS.INTL(MAX(E229,(Reprogramaciones!$T$15+7*(Reprogramaciones!P$14-1))),MIN(F229,(Reprogramaciones!$T$15+7*(Reprogramaciones!P$14-1))+6),11))))))))</f>
        <v/>
      </c>
      <c r="BZ229" s="1" t="str">
        <f aca="false">IF(OR(NOT(AND(ISNUMBER(E229),ISNUMBER(F229))),$J$2=""),"",IF(Reprogramaciones!Q$13&lt;Reprogramaciones!$T$15,0,IF(Reprogramaciones!Q$14&gt;10,MIN(100,SUM($G229:$P229)),MIN(100,SUMPRODUCT((COLUMN($G229:$P229)-COLUMN($G229)+1&lt;Reprogramaciones!Q$14)*$G229:$P229)+N(INDEX($G229:$P229,1,Reprogramaciones!Q$14))*IF(Reprogramaciones!Q$13&gt;=(Reprogramaciones!$T$15+7*(Reprogramaciones!Q$14-1))+6,1,IF(MAX(0,NETWORKDAYS.INTL(MAX(E229,(Reprogramaciones!$T$15+7*(Reprogramaciones!Q$14-1))),MIN(F229,(Reprogramaciones!$T$15+7*(Reprogramaciones!Q$14-1))+6),11))=0,0,MAX(0,NETWORKDAYS.INTL(MAX(E229,(Reprogramaciones!$T$15+7*(Reprogramaciones!Q$14-1))),MIN(F229,Reprogramaciones!Q$13),11))/MAX(0,NETWORKDAYS.INTL(MAX(E229,(Reprogramaciones!$T$15+7*(Reprogramaciones!Q$14-1))),MIN(F229,(Reprogramaciones!$T$15+7*(Reprogramaciones!Q$14-1))+6),11))))))))</f>
        <v/>
      </c>
      <c r="CA229" s="1" t="str">
        <f aca="false">IF(OR(NOT(AND(ISNUMBER(E229),ISNUMBER(F229))),$J$2=""),"",IF(Reprogramaciones!R$13&lt;Reprogramaciones!$T$15,0,IF(Reprogramaciones!R$14&gt;10,MIN(100,SUM($G229:$P229)),MIN(100,SUMPRODUCT((COLUMN($G229:$P229)-COLUMN($G229)+1&lt;Reprogramaciones!R$14)*$G229:$P229)+N(INDEX($G229:$P229,1,Reprogramaciones!R$14))*IF(Reprogramaciones!R$13&gt;=(Reprogramaciones!$T$15+7*(Reprogramaciones!R$14-1))+6,1,IF(MAX(0,NETWORKDAYS.INTL(MAX(E229,(Reprogramaciones!$T$15+7*(Reprogramaciones!R$14-1))),MIN(F229,(Reprogramaciones!$T$15+7*(Reprogramaciones!R$14-1))+6),11))=0,0,MAX(0,NETWORKDAYS.INTL(MAX(E229,(Reprogramaciones!$T$15+7*(Reprogramaciones!R$14-1))),MIN(F229,Reprogramaciones!R$13),11))/MAX(0,NETWORKDAYS.INTL(MAX(E229,(Reprogramaciones!$T$15+7*(Reprogramaciones!R$14-1))),MIN(F229,(Reprogramaciones!$T$15+7*(Reprogramaciones!R$14-1))+6),11))))))))</f>
        <v/>
      </c>
      <c r="CB229" s="1" t="str">
        <f aca="false">IF(OR(NOT(AND(ISNUMBER(E229),ISNUMBER(F229))),$J$2=""),"",IF(Reprogramaciones!S$13&lt;Reprogramaciones!$T$15,0,IF(Reprogramaciones!S$14&gt;10,MIN(100,SUM($G229:$P229)),MIN(100,SUMPRODUCT((COLUMN($G229:$P229)-COLUMN($G229)+1&lt;Reprogramaciones!S$14)*$G229:$P229)+N(INDEX($G229:$P229,1,Reprogramaciones!S$14))*IF(Reprogramaciones!S$13&gt;=(Reprogramaciones!$T$15+7*(Reprogramaciones!S$14-1))+6,1,IF(MAX(0,NETWORKDAYS.INTL(MAX(E229,(Reprogramaciones!$T$15+7*(Reprogramaciones!S$14-1))),MIN(F229,(Reprogramaciones!$T$15+7*(Reprogramaciones!S$14-1))+6),11))=0,0,MAX(0,NETWORKDAYS.INTL(MAX(E229,(Reprogramaciones!$T$15+7*(Reprogramaciones!S$14-1))),MIN(F229,Reprogramaciones!S$13),11))/MAX(0,NETWORKDAYS.INTL(MAX(E229,(Reprogramaciones!$T$15+7*(Reprogramaciones!S$14-1))),MIN(F229,(Reprogramaciones!$T$15+7*(Reprogramaciones!S$14-1))+6),11))))))))</f>
        <v/>
      </c>
      <c r="CC229" s="1" t="str">
        <f aca="false">IF(OR(NOT(AND(ISNUMBER(E229),ISNUMBER(F229))),$J$2=""),"",IF(Reprogramaciones!T$13&lt;Reprogramaciones!$T$15,0,IF(Reprogramaciones!T$14&gt;10,MIN(100,SUM($G229:$P229)),MIN(100,SUMPRODUCT((COLUMN($G229:$P229)-COLUMN($G229)+1&lt;Reprogramaciones!T$14)*$G229:$P229)+N(INDEX($G229:$P229,1,Reprogramaciones!T$14))*IF(Reprogramaciones!T$13&gt;=(Reprogramaciones!$T$15+7*(Reprogramaciones!T$14-1))+6,1,IF(MAX(0,NETWORKDAYS.INTL(MAX(E229,(Reprogramaciones!$T$15+7*(Reprogramaciones!T$14-1))),MIN(F229,(Reprogramaciones!$T$15+7*(Reprogramaciones!T$14-1))+6),11))=0,0,MAX(0,NETWORKDAYS.INTL(MAX(E229,(Reprogramaciones!$T$15+7*(Reprogramaciones!T$14-1))),MIN(F229,Reprogramaciones!T$13),11))/MAX(0,NETWORKDAYS.INTL(MAX(E229,(Reprogramaciones!$T$15+7*(Reprogramaciones!T$14-1))),MIN(F229,(Reprogramaciones!$T$15+7*(Reprogramaciones!T$14-1))+6),11))))))))</f>
        <v/>
      </c>
      <c r="CD229" s="1" t="str">
        <f aca="false">IF(OR(NOT(AND(ISNUMBER(E229),ISNUMBER(F229))),$J$2=""),"",IF(Reprogramaciones!U$13&lt;Reprogramaciones!$T$15,0,IF(Reprogramaciones!U$14&gt;10,MIN(100,SUM($G229:$P229)),MIN(100,SUMPRODUCT((COLUMN($G229:$P229)-COLUMN($G229)+1&lt;Reprogramaciones!U$14)*$G229:$P229)+N(INDEX($G229:$P229,1,Reprogramaciones!U$14))*IF(Reprogramaciones!U$13&gt;=(Reprogramaciones!$T$15+7*(Reprogramaciones!U$14-1))+6,1,IF(MAX(0,NETWORKDAYS.INTL(MAX(E229,(Reprogramaciones!$T$15+7*(Reprogramaciones!U$14-1))),MIN(F229,(Reprogramaciones!$T$15+7*(Reprogramaciones!U$14-1))+6),11))=0,0,MAX(0,NETWORKDAYS.INTL(MAX(E229,(Reprogramaciones!$T$15+7*(Reprogramaciones!U$14-1))),MIN(F229,Reprogramaciones!U$13),11))/MAX(0,NETWORKDAYS.INTL(MAX(E229,(Reprogramaciones!$T$15+7*(Reprogramaciones!U$14-1))),MIN(F229,(Reprogramaciones!$T$15+7*(Reprogramaciones!U$14-1))+6),11))))))))</f>
        <v/>
      </c>
      <c r="CE229" s="1" t="str">
        <f aca="false">IF(OR(NOT(AND(ISNUMBER(E229),ISNUMBER(F229))),$J$2=""),"",IF(Reprogramaciones!V$13&lt;Reprogramaciones!$T$15,0,IF(Reprogramaciones!V$14&gt;10,MIN(100,SUM($G229:$P229)),MIN(100,SUMPRODUCT((COLUMN($G229:$P229)-COLUMN($G229)+1&lt;Reprogramaciones!V$14)*$G229:$P229)+N(INDEX($G229:$P229,1,Reprogramaciones!V$14))*IF(Reprogramaciones!V$13&gt;=(Reprogramaciones!$T$15+7*(Reprogramaciones!V$14-1))+6,1,IF(MAX(0,NETWORKDAYS.INTL(MAX(E229,(Reprogramaciones!$T$15+7*(Reprogramaciones!V$14-1))),MIN(F229,(Reprogramaciones!$T$15+7*(Reprogramaciones!V$14-1))+6),11))=0,0,MAX(0,NETWORKDAYS.INTL(MAX(E229,(Reprogramaciones!$T$15+7*(Reprogramaciones!V$14-1))),MIN(F229,Reprogramaciones!V$13),11))/MAX(0,NETWORKDAYS.INTL(MAX(E229,(Reprogramaciones!$T$15+7*(Reprogramaciones!V$14-1))),MIN(F229,(Reprogramaciones!$T$15+7*(Reprogramaciones!V$14-1))+6),11))))))))</f>
        <v/>
      </c>
      <c r="CF229" s="1" t="str">
        <f aca="false">IF(OR(NOT(AND(ISNUMBER(E229),ISNUMBER(F229))),$J$2=""),"",IF(Reprogramaciones!W$13&lt;Reprogramaciones!$T$15,0,IF(Reprogramaciones!W$14&gt;10,MIN(100,SUM($G229:$P229)),MIN(100,SUMPRODUCT((COLUMN($G229:$P229)-COLUMN($G229)+1&lt;Reprogramaciones!W$14)*$G229:$P229)+N(INDEX($G229:$P229,1,Reprogramaciones!W$14))*IF(Reprogramaciones!W$13&gt;=(Reprogramaciones!$T$15+7*(Reprogramaciones!W$14-1))+6,1,IF(MAX(0,NETWORKDAYS.INTL(MAX(E229,(Reprogramaciones!$T$15+7*(Reprogramaciones!W$14-1))),MIN(F229,(Reprogramaciones!$T$15+7*(Reprogramaciones!W$14-1))+6),11))=0,0,MAX(0,NETWORKDAYS.INTL(MAX(E229,(Reprogramaciones!$T$15+7*(Reprogramaciones!W$14-1))),MIN(F229,Reprogramaciones!W$13),11))/MAX(0,NETWORKDAYS.INTL(MAX(E229,(Reprogramaciones!$T$15+7*(Reprogramaciones!W$14-1))),MIN(F229,(Reprogramaciones!$T$15+7*(Reprogramaciones!W$14-1))+6),11))))))))</f>
        <v/>
      </c>
      <c r="CG229" s="1" t="str">
        <f aca="false">IF(OR(NOT(AND(ISNUMBER(E229),ISNUMBER(F229))),$J$2=""),"",IF(Reprogramaciones!X$13&lt;Reprogramaciones!$T$15,0,IF(Reprogramaciones!X$14&gt;10,MIN(100,SUM($G229:$P229)),MIN(100,SUMPRODUCT((COLUMN($G229:$P229)-COLUMN($G229)+1&lt;Reprogramaciones!X$14)*$G229:$P229)+N(INDEX($G229:$P229,1,Reprogramaciones!X$14))*IF(Reprogramaciones!X$13&gt;=(Reprogramaciones!$T$15+7*(Reprogramaciones!X$14-1))+6,1,IF(MAX(0,NETWORKDAYS.INTL(MAX(E229,(Reprogramaciones!$T$15+7*(Reprogramaciones!X$14-1))),MIN(F229,(Reprogramaciones!$T$15+7*(Reprogramaciones!X$14-1))+6),11))=0,0,MAX(0,NETWORKDAYS.INTL(MAX(E229,(Reprogramaciones!$T$15+7*(Reprogramaciones!X$14-1))),MIN(F229,Reprogramaciones!X$13),11))/MAX(0,NETWORKDAYS.INTL(MAX(E229,(Reprogramaciones!$T$15+7*(Reprogramaciones!X$14-1))),MIN(F229,(Reprogramaciones!$T$15+7*(Reprogramaciones!X$14-1))+6),11))))))))</f>
        <v/>
      </c>
      <c r="CH229" s="1" t="str">
        <f aca="false">IF(OR(NOT(AND(ISNUMBER(E229),ISNUMBER(F229))),$J$2=""),"",IF(Reprogramaciones!Y$13&lt;Reprogramaciones!$T$15,0,IF(Reprogramaciones!Y$14&gt;10,MIN(100,SUM($G229:$P229)),MIN(100,SUMPRODUCT((COLUMN($G229:$P229)-COLUMN($G229)+1&lt;Reprogramaciones!Y$14)*$G229:$P229)+N(INDEX($G229:$P229,1,Reprogramaciones!Y$14))*IF(Reprogramaciones!Y$13&gt;=(Reprogramaciones!$T$15+7*(Reprogramaciones!Y$14-1))+6,1,IF(MAX(0,NETWORKDAYS.INTL(MAX(E229,(Reprogramaciones!$T$15+7*(Reprogramaciones!Y$14-1))),MIN(F229,(Reprogramaciones!$T$15+7*(Reprogramaciones!Y$14-1))+6),11))=0,0,MAX(0,NETWORKDAYS.INTL(MAX(E229,(Reprogramaciones!$T$15+7*(Reprogramaciones!Y$14-1))),MIN(F229,Reprogramaciones!Y$13),11))/MAX(0,NETWORKDAYS.INTL(MAX(E229,(Reprogramaciones!$T$15+7*(Reprogramaciones!Y$14-1))),MIN(F229,(Reprogramaciones!$T$15+7*(Reprogramaciones!Y$14-1))+6),11))))))))</f>
        <v/>
      </c>
      <c r="CI229" s="1" t="str">
        <f aca="false">IF(OR(NOT(AND(ISNUMBER(E229),ISNUMBER(F229))),$J$2=""),"",IF(Reprogramaciones!Z$13&lt;Reprogramaciones!$T$15,0,IF(Reprogramaciones!Z$14&gt;10,MIN(100,SUM($G229:$P229)),MIN(100,SUMPRODUCT((COLUMN($G229:$P229)-COLUMN($G229)+1&lt;Reprogramaciones!Z$14)*$G229:$P229)+N(INDEX($G229:$P229,1,Reprogramaciones!Z$14))*IF(Reprogramaciones!Z$13&gt;=(Reprogramaciones!$T$15+7*(Reprogramaciones!Z$14-1))+6,1,IF(MAX(0,NETWORKDAYS.INTL(MAX(E229,(Reprogramaciones!$T$15+7*(Reprogramaciones!Z$14-1))),MIN(F229,(Reprogramaciones!$T$15+7*(Reprogramaciones!Z$14-1))+6),11))=0,0,MAX(0,NETWORKDAYS.INTL(MAX(E229,(Reprogramaciones!$T$15+7*(Reprogramaciones!Z$14-1))),MIN(F229,Reprogramaciones!Z$13),11))/MAX(0,NETWORKDAYS.INTL(MAX(E229,(Reprogramaciones!$T$15+7*(Reprogramaciones!Z$14-1))),MIN(F229,(Reprogramaciones!$T$15+7*(Reprogramaciones!Z$14-1))+6),11))))))))</f>
        <v/>
      </c>
      <c r="CJ229" s="1" t="str">
        <f aca="false">IF(OR(OR(NOT(AND(ISNUMBER(E229),ISNUMBER(F229))),$J$2=""),1&gt;Reprogramaciones!$K$16),"",IF(ROUND(SUM($Q229:Q229),1)&gt;=99.5,100,MIN(100,ROUND(SUM($Q229:Q229),1))))</f>
        <v/>
      </c>
      <c r="CK229" s="1" t="str">
        <f aca="false">IF(OR(OR(NOT(AND(ISNUMBER(E229),ISNUMBER(F229))),$J$2=""),2&gt;Reprogramaciones!$K$16),"",IF(ROUND(SUM($Q229:R229),1)&gt;=99.5,100,MIN(100,ROUND(SUM($Q229:R229),1))))</f>
        <v/>
      </c>
      <c r="CL229" s="1" t="str">
        <f aca="false">IF(OR(OR(NOT(AND(ISNUMBER(E229),ISNUMBER(F229))),$J$2=""),3&gt;Reprogramaciones!$K$16),"",IF(ROUND(SUM($Q229:S229),1)&gt;=99.5,100,MIN(100,ROUND(SUM($Q229:S229),1))))</f>
        <v/>
      </c>
      <c r="CM229" s="1" t="str">
        <f aca="false">IF(OR(OR(NOT(AND(ISNUMBER(E229),ISNUMBER(F229))),$J$2=""),4&gt;Reprogramaciones!$K$16),"",IF(ROUND(SUM($Q229:T229),1)&gt;=99.5,100,MIN(100,ROUND(SUM($Q229:T229),1))))</f>
        <v/>
      </c>
      <c r="CN229" s="1" t="str">
        <f aca="false">IF(OR(OR(NOT(AND(ISNUMBER(E229),ISNUMBER(F229))),$J$2=""),5&gt;Reprogramaciones!$K$16),"",IF(ROUND(SUM($Q229:U229),1)&gt;=99.5,100,MIN(100,ROUND(SUM($Q229:U229),1))))</f>
        <v/>
      </c>
      <c r="CO229" s="1" t="str">
        <f aca="false">IF(OR(OR(NOT(AND(ISNUMBER(E229),ISNUMBER(F229))),$J$2=""),6&gt;Reprogramaciones!$K$16),"",IF(ROUND(SUM($Q229:V229),1)&gt;=99.5,100,MIN(100,ROUND(SUM($Q229:V229),1))))</f>
        <v/>
      </c>
      <c r="CP229" s="1" t="str">
        <f aca="false">IF(OR(OR(NOT(AND(ISNUMBER(E229),ISNUMBER(F229))),$J$2=""),7&gt;Reprogramaciones!$K$16),"",IF(ROUND(SUM($Q229:W229),1)&gt;=99.5,100,MIN(100,ROUND(SUM($Q229:W229),1))))</f>
        <v/>
      </c>
      <c r="CQ229" s="1" t="str">
        <f aca="false">IF(OR(OR(NOT(AND(ISNUMBER(E229),ISNUMBER(F229))),$J$2=""),8&gt;Reprogramaciones!$K$16),"",IF(ROUND(SUM($Q229:X229),1)&gt;=99.5,100,MIN(100,ROUND(SUM($Q229:X229),1))))</f>
        <v/>
      </c>
      <c r="CR229" s="1" t="str">
        <f aca="false">IF(OR(OR(NOT(AND(ISNUMBER(E229),ISNUMBER(F229))),$J$2=""),9&gt;Reprogramaciones!$K$16),"",IF(ROUND(SUM($Q229:Y229),1)&gt;=99.5,100,MIN(100,ROUND(SUM($Q229:Y229),1))))</f>
        <v/>
      </c>
      <c r="CS229" s="1" t="str">
        <f aca="false">IF(OR(OR(NOT(AND(ISNUMBER(E229),ISNUMBER(F229))),$J$2=""),10&gt;Reprogramaciones!$K$16),"",IF(ROUND(SUM($Q229:Z229),1)&gt;=99.5,100,MIN(100,ROUND(SUM($Q229:Z229),1))))</f>
        <v/>
      </c>
      <c r="CT229" s="1" t="str">
        <f aca="false">IF(OR(OR(NOT(AND(ISNUMBER(E229),ISNUMBER(F229))),$J$2=""),11&gt;Reprogramaciones!$K$16),"",IF(ROUND(SUM($Q229:AA229),1)&gt;=99.5,100,MIN(100,ROUND(SUM($Q229:AA229),1))))</f>
        <v/>
      </c>
      <c r="CU229" s="1" t="str">
        <f aca="false">IF(OR(OR(NOT(AND(ISNUMBER(E229),ISNUMBER(F229))),$J$2=""),12&gt;Reprogramaciones!$K$16),"",IF(ROUND(SUM($Q229:AB229),1)&gt;=99.5,100,MIN(100,ROUND(SUM($Q229:AB229),1))))</f>
        <v/>
      </c>
      <c r="CV229" s="1" t="str">
        <f aca="false">IF(OR(OR(NOT(AND(ISNUMBER(E229),ISNUMBER(F229))),$J$2=""),13&gt;Reprogramaciones!$K$16),"",IF(ROUND(SUM($Q229:AC229),1)&gt;=99.5,100,MIN(100,ROUND(SUM($Q229:AC229),1))))</f>
        <v/>
      </c>
      <c r="CW229" s="1" t="str">
        <f aca="false">IF(OR(OR(NOT(AND(ISNUMBER(E229),ISNUMBER(F229))),$J$2=""),14&gt;Reprogramaciones!$K$16),"",IF(ROUND(SUM($Q229:AD229),1)&gt;=99.5,100,MIN(100,ROUND(SUM($Q229:AD229),1))))</f>
        <v/>
      </c>
      <c r="CX229" s="1" t="str">
        <f aca="false">IF(OR(OR(NOT(AND(ISNUMBER(E229),ISNUMBER(F229))),$J$2=""),15&gt;Reprogramaciones!$K$16),"",IF(ROUND(SUM($Q229:AE229),1)&gt;=99.5,100,MIN(100,ROUND(SUM($Q229:AE229),1))))</f>
        <v/>
      </c>
      <c r="CY229" s="1" t="str">
        <f aca="false">IF(OR(OR(NOT(AND(ISNUMBER(E229),ISNUMBER(F229))),$J$2=""),16&gt;Reprogramaciones!$K$16),"",IF(ROUND(SUM($Q229:AF229),1)&gt;=99.5,100,MIN(100,ROUND(SUM($Q229:AF229),1))))</f>
        <v/>
      </c>
      <c r="CZ229" s="1" t="str">
        <f aca="false">IF(D229&lt;&gt;"",D229,IF(B229&lt;&gt;"","Contractual",CZ228))</f>
        <v>Contractual</v>
      </c>
      <c r="DA229" s="1" t="str">
        <f aca="false">IF(OR(NOT(AND(ISNUMBER(E229),ISNUMBER(F229))),$J$2=""),"",IF(Reprogramaciones!$Q$15&lt;Reprogramaciones!$T$15,0,IF(Reprogramaciones!$S$15&gt;10,MIN(100,SUM($G229:$P229)),MIN(100,SUMPRODUCT((COLUMN($G229:$P229)-COLUMN($G229)+1&lt;Reprogramaciones!$S$15)*$G229:$P229)+N(INDEX($G229:$P229,1,Reprogramaciones!$S$15))*IF(Reprogramaciones!$Q$15&gt;=(Reprogramaciones!$T$15+7*(Reprogramaciones!$S$15-1))+6,1,IF(MAX(0,NETWORKDAYS.INTL(MAX(E229,(Reprogramaciones!$T$15+7*(Reprogramaciones!$S$15-1))),MIN(F229,(Reprogramaciones!$T$15+7*(Reprogramaciones!$S$15-1))+6),11))=0,0,MAX(0,NETWORKDAYS.INTL(MAX(E229,(Reprogramaciones!$T$15+7*(Reprogramaciones!$S$15-1))),MIN(F229,Reprogramaciones!$Q$15),11))/MAX(0,NETWORKDAYS.INTL(MAX(E229,(Reprogramaciones!$T$15+7*(Reprogramaciones!$S$15-1))),MIN(F229,(Reprogramaciones!$T$15+7*(Reprogramaciones!$S$15-1))+6),11))))))))</f>
        <v/>
      </c>
    </row>
    <row r="230" customFormat="false" ht="15" hidden="false" customHeight="false" outlineLevel="0" collapsed="false">
      <c r="A230" s="32"/>
      <c r="B230" s="33"/>
      <c r="C230" s="33"/>
      <c r="D230" s="34"/>
      <c r="E230" s="35"/>
      <c r="F230" s="35"/>
      <c r="G230" s="36" t="str">
        <f aca="false">IF(OR(NOT(AND(ISNUMBER(E230),ISNUMBER(F230))),$J$2=""),"",IF(Reprogramaciones!K$9&lt;E230,0,IF(NETWORKDAYS.INTL(E230,F230,11)=0,IF(Reprogramaciones!K$9&gt;=F230,100,0),ROUND(NETWORKDAYS.INTL(E230,MIN(F230,Reprogramaciones!K$9),11)/NETWORKDAYS.INTL(E230,F230,11)*100,1)))-0)</f>
        <v/>
      </c>
      <c r="H230" s="36" t="str">
        <f aca="false">IF(OR(NOT(AND(ISNUMBER(E230),ISNUMBER(F230))),$J$2=""),"",IF(Reprogramaciones!L$9&lt;E230,0,IF(NETWORKDAYS.INTL(E230,F230,11)=0,IF(Reprogramaciones!L$9&gt;=F230,100,0),ROUND(NETWORKDAYS.INTL(E230,MIN(F230,Reprogramaciones!L$9),11)/NETWORKDAYS.INTL(E230,F230,11)*100,1)))-IF(Reprogramaciones!K$9&lt;E230,0,IF(NETWORKDAYS.INTL(E230,F230,11)=0,IF(Reprogramaciones!K$9&gt;=F230,100,0),ROUND(NETWORKDAYS.INTL(E230,MIN(F230,Reprogramaciones!K$9),11)/NETWORKDAYS.INTL(E230,F230,11)*100,1))))</f>
        <v/>
      </c>
      <c r="I230" s="36" t="str">
        <f aca="false">IF(OR(NOT(AND(ISNUMBER(E230),ISNUMBER(F230))),$J$2=""),"",IF(Reprogramaciones!M$9&lt;E230,0,IF(NETWORKDAYS.INTL(E230,F230,11)=0,IF(Reprogramaciones!M$9&gt;=F230,100,0),ROUND(NETWORKDAYS.INTL(E230,MIN(F230,Reprogramaciones!M$9),11)/NETWORKDAYS.INTL(E230,F230,11)*100,1)))-IF(Reprogramaciones!L$9&lt;E230,0,IF(NETWORKDAYS.INTL(E230,F230,11)=0,IF(Reprogramaciones!L$9&gt;=F230,100,0),ROUND(NETWORKDAYS.INTL(E230,MIN(F230,Reprogramaciones!L$9),11)/NETWORKDAYS.INTL(E230,F230,11)*100,1))))</f>
        <v/>
      </c>
      <c r="J230" s="36" t="str">
        <f aca="false">IF(OR(NOT(AND(ISNUMBER(E230),ISNUMBER(F230))),$J$2=""),"",IF(Reprogramaciones!N$9&lt;E230,0,IF(NETWORKDAYS.INTL(E230,F230,11)=0,IF(Reprogramaciones!N$9&gt;=F230,100,0),ROUND(NETWORKDAYS.INTL(E230,MIN(F230,Reprogramaciones!N$9),11)/NETWORKDAYS.INTL(E230,F230,11)*100,1)))-IF(Reprogramaciones!M$9&lt;E230,0,IF(NETWORKDAYS.INTL(E230,F230,11)=0,IF(Reprogramaciones!M$9&gt;=F230,100,0),ROUND(NETWORKDAYS.INTL(E230,MIN(F230,Reprogramaciones!M$9),11)/NETWORKDAYS.INTL(E230,F230,11)*100,1))))</f>
        <v/>
      </c>
      <c r="K230" s="36" t="str">
        <f aca="false">IF(OR(NOT(AND(ISNUMBER(E230),ISNUMBER(F230))),$J$2=""),"",IF(Reprogramaciones!O$9&lt;E230,0,IF(NETWORKDAYS.INTL(E230,F230,11)=0,IF(Reprogramaciones!O$9&gt;=F230,100,0),ROUND(NETWORKDAYS.INTL(E230,MIN(F230,Reprogramaciones!O$9),11)/NETWORKDAYS.INTL(E230,F230,11)*100,1)))-IF(Reprogramaciones!N$9&lt;E230,0,IF(NETWORKDAYS.INTL(E230,F230,11)=0,IF(Reprogramaciones!N$9&gt;=F230,100,0),ROUND(NETWORKDAYS.INTL(E230,MIN(F230,Reprogramaciones!N$9),11)/NETWORKDAYS.INTL(E230,F230,11)*100,1))))</f>
        <v/>
      </c>
      <c r="L230" s="36" t="str">
        <f aca="false">IF(OR(NOT(AND(ISNUMBER(E230),ISNUMBER(F230))),$J$2=""),"",IF(Reprogramaciones!P$9&lt;E230,0,IF(NETWORKDAYS.INTL(E230,F230,11)=0,IF(Reprogramaciones!P$9&gt;=F230,100,0),ROUND(NETWORKDAYS.INTL(E230,MIN(F230,Reprogramaciones!P$9),11)/NETWORKDAYS.INTL(E230,F230,11)*100,1)))-IF(Reprogramaciones!O$9&lt;E230,0,IF(NETWORKDAYS.INTL(E230,F230,11)=0,IF(Reprogramaciones!O$9&gt;=F230,100,0),ROUND(NETWORKDAYS.INTL(E230,MIN(F230,Reprogramaciones!O$9),11)/NETWORKDAYS.INTL(E230,F230,11)*100,1))))</f>
        <v/>
      </c>
      <c r="M230" s="36" t="str">
        <f aca="false">IF(OR(NOT(AND(ISNUMBER(E230),ISNUMBER(F230))),$J$2=""),"",IF(Reprogramaciones!Q$9&lt;E230,0,IF(NETWORKDAYS.INTL(E230,F230,11)=0,IF(Reprogramaciones!Q$9&gt;=F230,100,0),ROUND(NETWORKDAYS.INTL(E230,MIN(F230,Reprogramaciones!Q$9),11)/NETWORKDAYS.INTL(E230,F230,11)*100,1)))-IF(Reprogramaciones!P$9&lt;E230,0,IF(NETWORKDAYS.INTL(E230,F230,11)=0,IF(Reprogramaciones!P$9&gt;=F230,100,0),ROUND(NETWORKDAYS.INTL(E230,MIN(F230,Reprogramaciones!P$9),11)/NETWORKDAYS.INTL(E230,F230,11)*100,1))))</f>
        <v/>
      </c>
      <c r="N230" s="36" t="str">
        <f aca="false">IF(OR(NOT(AND(ISNUMBER(E230),ISNUMBER(F230))),$J$2=""),"",IF(Reprogramaciones!R$9&lt;E230,0,IF(NETWORKDAYS.INTL(E230,F230,11)=0,IF(Reprogramaciones!R$9&gt;=F230,100,0),ROUND(NETWORKDAYS.INTL(E230,MIN(F230,Reprogramaciones!R$9),11)/NETWORKDAYS.INTL(E230,F230,11)*100,1)))-IF(Reprogramaciones!Q$9&lt;E230,0,IF(NETWORKDAYS.INTL(E230,F230,11)=0,IF(Reprogramaciones!Q$9&gt;=F230,100,0),ROUND(NETWORKDAYS.INTL(E230,MIN(F230,Reprogramaciones!Q$9),11)/NETWORKDAYS.INTL(E230,F230,11)*100,1))))</f>
        <v/>
      </c>
      <c r="O230" s="36" t="str">
        <f aca="false">IF(OR(NOT(AND(ISNUMBER(E230),ISNUMBER(F230))),$J$2=""),"",IF(Reprogramaciones!S$9&lt;E230,0,IF(NETWORKDAYS.INTL(E230,F230,11)=0,IF(Reprogramaciones!S$9&gt;=F230,100,0),ROUND(NETWORKDAYS.INTL(E230,MIN(F230,Reprogramaciones!S$9),11)/NETWORKDAYS.INTL(E230,F230,11)*100,1)))-IF(Reprogramaciones!R$9&lt;E230,0,IF(NETWORKDAYS.INTL(E230,F230,11)=0,IF(Reprogramaciones!R$9&gt;=F230,100,0),ROUND(NETWORKDAYS.INTL(E230,MIN(F230,Reprogramaciones!R$9),11)/NETWORKDAYS.INTL(E230,F230,11)*100,1))))</f>
        <v/>
      </c>
      <c r="P230" s="36" t="str">
        <f aca="false">IF(OR(NOT(AND(ISNUMBER(E230),ISNUMBER(F230))),$J$2=""),"",IF(Reprogramaciones!T$9&lt;E230,0,IF(NETWORKDAYS.INTL(E230,F230,11)=0,IF(Reprogramaciones!T$9&gt;=F230,100,0),ROUND(NETWORKDAYS.INTL(E230,MIN(F230,Reprogramaciones!T$9),11)/NETWORKDAYS.INTL(E230,F230,11)*100,1)))-IF(Reprogramaciones!S$9&lt;E230,0,IF(NETWORKDAYS.INTL(E230,F230,11)=0,IF(Reprogramaciones!S$9&gt;=F230,100,0),ROUND(NETWORKDAYS.INTL(E230,MIN(F230,Reprogramaciones!S$9),11)/NETWORKDAYS.INTL(E230,F230,11)*100,1))))</f>
        <v/>
      </c>
      <c r="Q230" s="37"/>
      <c r="R230" s="37"/>
      <c r="S230" s="37"/>
      <c r="T230" s="37"/>
      <c r="U230" s="37"/>
      <c r="V230" s="37"/>
      <c r="W230" s="37"/>
      <c r="X230" s="37"/>
      <c r="Y230" s="37"/>
      <c r="Z230" s="37"/>
      <c r="AA230" s="37"/>
      <c r="AB230" s="37"/>
      <c r="AC230" s="37"/>
      <c r="AD230" s="37"/>
      <c r="AE230" s="37"/>
      <c r="AF230" s="37"/>
      <c r="AG230" s="38" t="str">
        <f aca="false">IF(AND(ISNUMBER(E230),ISNUMBER(F230)),NETWORKDAYS.INTL(E230,F230,11),"")</f>
        <v/>
      </c>
      <c r="AH230" s="38" t="str">
        <f aca="false">IF(OR(NOT(AND(ISNUMBER(E230),ISNUMBER(F230))),$J$2=""),"",IF(Reprogramaciones!$P$15&lt;Reprogramaciones!$T$15,0,IF(Reprogramaciones!$R$15&gt;10,MIN(100,SUM($G230:$P230)),MIN(100,SUMPRODUCT((COLUMN($G230:$P230)-COLUMN($G230)+1&lt;Reprogramaciones!$R$15)*$G230:$P230)+N(INDEX($G230:$P230,1,Reprogramaciones!$R$15))*IF(Reprogramaciones!$P$15&gt;=(Reprogramaciones!$T$15+7*(Reprogramaciones!$R$15-1))+6,1,IF(MAX(0,NETWORKDAYS.INTL(MAX(E230,(Reprogramaciones!$T$15+7*(Reprogramaciones!$R$15-1))),MIN(F230,(Reprogramaciones!$T$15+7*(Reprogramaciones!$R$15-1))+6),11))=0,0,MAX(0,NETWORKDAYS.INTL(MAX(E230,(Reprogramaciones!$T$15+7*(Reprogramaciones!$R$15-1))),MIN(F230,Reprogramaciones!$P$15),11))/MAX(0,NETWORKDAYS.INTL(MAX(E230,(Reprogramaciones!$T$15+7*(Reprogramaciones!$R$15-1))),MIN(F230,(Reprogramaciones!$T$15+7*(Reprogramaciones!$R$15-1))+6),11))))))))</f>
        <v/>
      </c>
      <c r="AI230" s="38" t="str">
        <f aca="false">IF(COUNT($Q230:$AF230)=0,"",IF(ROUND(SUM($Q230:$AF230),1)&gt;=99.5,100,MIN(100,ROUND(SUM($Q230:$AF230),1))))</f>
        <v/>
      </c>
      <c r="AJ230" s="38" t="str">
        <f aca="false">IF(OR(AH230="",AI230=""),"",AI230-AH230)</f>
        <v/>
      </c>
      <c r="AK230" s="39" t="str">
        <f aca="true">IF(AH230="","",IF(OR(Ficha!$C$10="Suspendida",Ficha!$C$10="Cancelada"),Ficha!$C$10,IF(AND(AI230&lt;&gt;"",N(AI230)&gt;=100),"Completada",IF(AND(E230&gt;TODAY(),N(AI230)=0),"Por iniciar",IF(N(AI230)+0.5&lt;AH230,"Retrasada",IF(N(AI230)+0.5&lt;DA230,IF(Reprogramaciones!$K$15&gt;0,"Al día · Sem "&amp;Reprogramaciones!$K$15&amp;" en curso","Al día · en curso"),"A tiempo"))))))</f>
        <v/>
      </c>
      <c r="AL230" s="39" t="str">
        <f aca="true">IF(AND(A230="",AND(B230="",C230="",E230="",F230="",COUNT(Q230:AF230)=0)),"",IF(AND(B230="",C230="",E230="",F230="",COUNT(Q230:AF230)=0),"Falta la partida o subpartida",IF(AND(A230&lt;&gt;"",COUNTIF($A$6:$A$305,A230)&gt;1),"Ítem repetido",IF(AND(C230="",E230="",F230="",COUNT(Q230:AF230)=0),"Título de partida",IF(OR(E230="",F230=""),"Faltan fechas",IF(OR(ISTEXT(E230),ISTEXT(F230)),"Fecha escrita como texto: usa dd/mm/aaaa",IF(F230&lt;E230,"Fin antes del inicio",IF(IF($J$2="",FALSE(),OR(E230&lt;$J$2,F230&gt;Reprogramaciones!$T$15+69)),"Fuera de las 10 semanas",IF(ABS(SUM(G230:P230)-100)&gt;0.5,"La meta no suma 100%",IF(ROUND(SUM(Q230:AF230),1)&gt;100.5,"El avance pasa de 100%",IF(MIN(Q230:AF230)&lt;0,"Avance negativo",IF(COUNTA(Q230:AF230)&gt;COUNT(Q230:AF230),"Avance escrito como texto",IF(SUMPRODUCT((Q230:AF230&gt;0)*(Q230:AF230&lt;1))&gt;0,"Avance menor a 1: escribe 50, no 50%",IF(SUMPRODUCT(ISNUMBER(Q230:AF230)*(Reprogramaciones!$K$8:$Z$8&gt;TODAY()))&gt;0,"Avance en semana que aún no llega",IF(AND(N(Reprogramaciones!$E$21)&gt;0,F230&gt;Reprogramaciones!$E$21),"Pasa el fin de la obra: registra una reprogramación",IF(AND(N(Reprogramaciones!$E$21)&gt;0,SUMPRODUCT(ISNUMBER(Q230:AF230)*(Reprogramaciones!$K$8:$Z$8&gt;Reprogramaciones!$E$21))&gt;0),"Avance después del fin de la obra: registra una reprogramación por atraso","OK"))))))))))))))))</f>
        <v/>
      </c>
      <c r="AM230" s="40" t="str">
        <f aca="false">IF(OR(OR(NOT(AND(ISNUMBER(E230),ISNUMBER(F230))),$J$2=""),1&gt;MAX(1,Reprogramaciones!$U$15)),"",IF(Reprogramaciones!K$12&gt;=7,"",IF(OR(BT230-N(0)&gt;0.05,N(Q230)&gt;0),ROUNDDOWN(ROUND(BT230,6),0)&amp;"%"&amp;IF(CJ230="",""," / "&amp;CJ230&amp;"%"),IF(AND(N(0)&gt;=99.95,CJ230&lt;&gt;"",N(CJ230)&lt;100),"Pend. "&amp;CJ230&amp;"%",""))))</f>
        <v/>
      </c>
      <c r="AN230" s="40" t="str">
        <f aca="false">IF(OR(OR(NOT(AND(ISNUMBER(E230),ISNUMBER(F230))),$J$2=""),2&gt;MAX(1,Reprogramaciones!$U$15)),"",IF(Reprogramaciones!L$12&gt;=7,"",IF(OR(BU230-N(BT230)&gt;0.05,N(R230)&gt;0),ROUNDDOWN(ROUND(BU230,6),0)&amp;"%"&amp;IF(CK230="",""," / "&amp;CK230&amp;"%"),IF(AND(N(BT230)&gt;=99.95,CK230&lt;&gt;"",N(CK230)&lt;100),"Pend. "&amp;CK230&amp;"%",""))))</f>
        <v/>
      </c>
      <c r="AO230" s="40" t="str">
        <f aca="false">IF(OR(OR(NOT(AND(ISNUMBER(E230),ISNUMBER(F230))),$J$2=""),3&gt;MAX(1,Reprogramaciones!$U$15)),"",IF(Reprogramaciones!M$12&gt;=7,"",IF(OR(BV230-N(BU230)&gt;0.05,N(S230)&gt;0),ROUNDDOWN(ROUND(BV230,6),0)&amp;"%"&amp;IF(CL230="",""," / "&amp;CL230&amp;"%"),IF(AND(N(BU230)&gt;=99.95,CL230&lt;&gt;"",N(CL230)&lt;100),"Pend. "&amp;CL230&amp;"%",""))))</f>
        <v/>
      </c>
      <c r="AP230" s="40" t="str">
        <f aca="false">IF(OR(OR(NOT(AND(ISNUMBER(E230),ISNUMBER(F230))),$J$2=""),4&gt;MAX(1,Reprogramaciones!$U$15)),"",IF(Reprogramaciones!N$12&gt;=7,"",IF(OR(BW230-N(BV230)&gt;0.05,N(T230)&gt;0),ROUNDDOWN(ROUND(BW230,6),0)&amp;"%"&amp;IF(CM230="",""," / "&amp;CM230&amp;"%"),IF(AND(N(BV230)&gt;=99.95,CM230&lt;&gt;"",N(CM230)&lt;100),"Pend. "&amp;CM230&amp;"%",""))))</f>
        <v/>
      </c>
      <c r="AQ230" s="40" t="str">
        <f aca="false">IF(OR(OR(NOT(AND(ISNUMBER(E230),ISNUMBER(F230))),$J$2=""),5&gt;MAX(1,Reprogramaciones!$U$15)),"",IF(Reprogramaciones!O$12&gt;=7,"",IF(OR(BX230-N(BW230)&gt;0.05,N(U230)&gt;0),ROUNDDOWN(ROUND(BX230,6),0)&amp;"%"&amp;IF(CN230="",""," / "&amp;CN230&amp;"%"),IF(AND(N(BW230)&gt;=99.95,CN230&lt;&gt;"",N(CN230)&lt;100),"Pend. "&amp;CN230&amp;"%",""))))</f>
        <v/>
      </c>
      <c r="AR230" s="40" t="str">
        <f aca="false">IF(OR(OR(NOT(AND(ISNUMBER(E230),ISNUMBER(F230))),$J$2=""),6&gt;MAX(1,Reprogramaciones!$U$15)),"",IF(Reprogramaciones!P$12&gt;=7,"",IF(OR(BY230-N(BX230)&gt;0.05,N(V230)&gt;0),ROUNDDOWN(ROUND(BY230,6),0)&amp;"%"&amp;IF(CO230="",""," / "&amp;CO230&amp;"%"),IF(AND(N(BX230)&gt;=99.95,CO230&lt;&gt;"",N(CO230)&lt;100),"Pend. "&amp;CO230&amp;"%",""))))</f>
        <v/>
      </c>
      <c r="AS230" s="40" t="str">
        <f aca="false">IF(OR(OR(NOT(AND(ISNUMBER(E230),ISNUMBER(F230))),$J$2=""),7&gt;MAX(1,Reprogramaciones!$U$15)),"",IF(Reprogramaciones!Q$12&gt;=7,"",IF(OR(BZ230-N(BY230)&gt;0.05,N(W230)&gt;0),ROUNDDOWN(ROUND(BZ230,6),0)&amp;"%"&amp;IF(CP230="",""," / "&amp;CP230&amp;"%"),IF(AND(N(BY230)&gt;=99.95,CP230&lt;&gt;"",N(CP230)&lt;100),"Pend. "&amp;CP230&amp;"%",""))))</f>
        <v/>
      </c>
      <c r="AT230" s="40" t="str">
        <f aca="false">IF(OR(OR(NOT(AND(ISNUMBER(E230),ISNUMBER(F230))),$J$2=""),8&gt;MAX(1,Reprogramaciones!$U$15)),"",IF(Reprogramaciones!R$12&gt;=7,"",IF(OR(CA230-N(BZ230)&gt;0.05,N(X230)&gt;0),ROUNDDOWN(ROUND(CA230,6),0)&amp;"%"&amp;IF(CQ230="",""," / "&amp;CQ230&amp;"%"),IF(AND(N(BZ230)&gt;=99.95,CQ230&lt;&gt;"",N(CQ230)&lt;100),"Pend. "&amp;CQ230&amp;"%",""))))</f>
        <v/>
      </c>
      <c r="AU230" s="40" t="str">
        <f aca="false">IF(OR(OR(NOT(AND(ISNUMBER(E230),ISNUMBER(F230))),$J$2=""),9&gt;MAX(1,Reprogramaciones!$U$15)),"",IF(Reprogramaciones!S$12&gt;=7,"",IF(OR(CB230-N(CA230)&gt;0.05,N(Y230)&gt;0),ROUNDDOWN(ROUND(CB230,6),0)&amp;"%"&amp;IF(CR230="",""," / "&amp;CR230&amp;"%"),IF(AND(N(CA230)&gt;=99.95,CR230&lt;&gt;"",N(CR230)&lt;100),"Pend. "&amp;CR230&amp;"%",""))))</f>
        <v/>
      </c>
      <c r="AV230" s="40" t="str">
        <f aca="false">IF(OR(OR(NOT(AND(ISNUMBER(E230),ISNUMBER(F230))),$J$2=""),10&gt;MAX(1,Reprogramaciones!$U$15)),"",IF(Reprogramaciones!T$12&gt;=7,"",IF(OR(CC230-N(CB230)&gt;0.05,N(Z230)&gt;0),ROUNDDOWN(ROUND(CC230,6),0)&amp;"%"&amp;IF(CS230="",""," / "&amp;CS230&amp;"%"),IF(AND(N(CB230)&gt;=99.95,CS230&lt;&gt;"",N(CS230)&lt;100),"Pend. "&amp;CS230&amp;"%",""))))</f>
        <v/>
      </c>
      <c r="AW230" s="40" t="str">
        <f aca="false">IF(OR(OR(NOT(AND(ISNUMBER(E230),ISNUMBER(F230))),$J$2=""),11&gt;MAX(1,Reprogramaciones!$U$15)),"",IF(Reprogramaciones!U$12&gt;=7,"",IF(OR(CD230-N(CC230)&gt;0.05,N(AA230)&gt;0),ROUNDDOWN(ROUND(CD230,6),0)&amp;"%"&amp;IF(CT230="",""," / "&amp;CT230&amp;"%"),IF(AND(N(CC230)&gt;=99.95,CT230&lt;&gt;"",N(CT230)&lt;100),"Pend. "&amp;CT230&amp;"%",""))))</f>
        <v/>
      </c>
      <c r="AX230" s="40" t="str">
        <f aca="false">IF(OR(OR(NOT(AND(ISNUMBER(E230),ISNUMBER(F230))),$J$2=""),12&gt;MAX(1,Reprogramaciones!$U$15)),"",IF(Reprogramaciones!V$12&gt;=7,"",IF(OR(CE230-N(CD230)&gt;0.05,N(AB230)&gt;0),ROUNDDOWN(ROUND(CE230,6),0)&amp;"%"&amp;IF(CU230="",""," / "&amp;CU230&amp;"%"),IF(AND(N(CD230)&gt;=99.95,CU230&lt;&gt;"",N(CU230)&lt;100),"Pend. "&amp;CU230&amp;"%",""))))</f>
        <v/>
      </c>
      <c r="AY230" s="40" t="str">
        <f aca="false">IF(OR(OR(NOT(AND(ISNUMBER(E230),ISNUMBER(F230))),$J$2=""),13&gt;MAX(1,Reprogramaciones!$U$15)),"",IF(Reprogramaciones!W$12&gt;=7,"",IF(OR(CF230-N(CE230)&gt;0.05,N(AC230)&gt;0),ROUNDDOWN(ROUND(CF230,6),0)&amp;"%"&amp;IF(CV230="",""," / "&amp;CV230&amp;"%"),IF(AND(N(CE230)&gt;=99.95,CV230&lt;&gt;"",N(CV230)&lt;100),"Pend. "&amp;CV230&amp;"%",""))))</f>
        <v/>
      </c>
      <c r="AZ230" s="40" t="str">
        <f aca="false">IF(OR(OR(NOT(AND(ISNUMBER(E230),ISNUMBER(F230))),$J$2=""),14&gt;MAX(1,Reprogramaciones!$U$15)),"",IF(Reprogramaciones!X$12&gt;=7,"",IF(OR(CG230-N(CF230)&gt;0.05,N(AD230)&gt;0),ROUNDDOWN(ROUND(CG230,6),0)&amp;"%"&amp;IF(CW230="",""," / "&amp;CW230&amp;"%"),IF(AND(N(CF230)&gt;=99.95,CW230&lt;&gt;"",N(CW230)&lt;100),"Pend. "&amp;CW230&amp;"%",""))))</f>
        <v/>
      </c>
      <c r="BA230" s="40" t="str">
        <f aca="false">IF(OR(OR(NOT(AND(ISNUMBER(E230),ISNUMBER(F230))),$J$2=""),15&gt;MAX(1,Reprogramaciones!$U$15)),"",IF(Reprogramaciones!Y$12&gt;=7,"",IF(OR(CH230-N(CG230)&gt;0.05,N(AE230)&gt;0),ROUNDDOWN(ROUND(CH230,6),0)&amp;"%"&amp;IF(CX230="",""," / "&amp;CX230&amp;"%"),IF(AND(N(CG230)&gt;=99.95,CX230&lt;&gt;"",N(CX230)&lt;100),"Pend. "&amp;CX230&amp;"%",""))))</f>
        <v/>
      </c>
      <c r="BB230" s="40" t="str">
        <f aca="false">IF(OR(OR(NOT(AND(ISNUMBER(E230),ISNUMBER(F230))),$J$2=""),16&gt;MAX(1,Reprogramaciones!$U$15)),"",IF(Reprogramaciones!Z$12&gt;=7,"",IF(OR(CI230-N(CH230)&gt;0.05,N(AF230)&gt;0),ROUNDDOWN(ROUND(CI230,6),0)&amp;"%"&amp;IF(CY230="",""," / "&amp;CY230&amp;"%"),IF(AND(N(CH230)&gt;=99.95,CY230&lt;&gt;"",N(CY230)&lt;100),"Pend. "&amp;CY230&amp;"%",""))))</f>
        <v/>
      </c>
      <c r="BC230" s="31" t="n">
        <f aca="false">IF(AND(ISNUMBER(E230),ISNUMBER(F230)),MAX(1,NETWORKDAYS.INTL(E230,F230,11)),0)</f>
        <v>0</v>
      </c>
      <c r="BD230" s="1" t="str">
        <f aca="false">IF(OR(NOT(AND(ISNUMBER(E230),ISNUMBER(F230))),$J$2=""),"",MIN(100,ROUND(SUM($G230:G230),1)))</f>
        <v/>
      </c>
      <c r="BE230" s="1" t="str">
        <f aca="false">IF(OR(NOT(AND(ISNUMBER(E230),ISNUMBER(F230))),$J$2=""),"",MIN(100,ROUND(SUM($G230:H230),1)))</f>
        <v/>
      </c>
      <c r="BF230" s="1" t="str">
        <f aca="false">IF(OR(NOT(AND(ISNUMBER(E230),ISNUMBER(F230))),$J$2=""),"",MIN(100,ROUND(SUM($G230:I230),1)))</f>
        <v/>
      </c>
      <c r="BG230" s="1" t="str">
        <f aca="false">IF(OR(NOT(AND(ISNUMBER(E230),ISNUMBER(F230))),$J$2=""),"",MIN(100,ROUND(SUM($G230:J230),1)))</f>
        <v/>
      </c>
      <c r="BH230" s="1" t="str">
        <f aca="false">IF(OR(NOT(AND(ISNUMBER(E230),ISNUMBER(F230))),$J$2=""),"",MIN(100,ROUND(SUM($G230:K230),1)))</f>
        <v/>
      </c>
      <c r="BI230" s="1" t="str">
        <f aca="false">IF(OR(NOT(AND(ISNUMBER(E230),ISNUMBER(F230))),$J$2=""),"",MIN(100,ROUND(SUM($G230:L230),1)))</f>
        <v/>
      </c>
      <c r="BJ230" s="1" t="str">
        <f aca="false">IF(OR(NOT(AND(ISNUMBER(E230),ISNUMBER(F230))),$J$2=""),"",MIN(100,ROUND(SUM($G230:M230),1)))</f>
        <v/>
      </c>
      <c r="BK230" s="1" t="str">
        <f aca="false">IF(OR(NOT(AND(ISNUMBER(E230),ISNUMBER(F230))),$J$2=""),"",MIN(100,ROUND(SUM($G230:N230),1)))</f>
        <v/>
      </c>
      <c r="BL230" s="1" t="str">
        <f aca="false">IF(OR(NOT(AND(ISNUMBER(E230),ISNUMBER(F230))),$J$2=""),"",MIN(100,ROUND(SUM($G230:O230),1)))</f>
        <v/>
      </c>
      <c r="BM230" s="1" t="str">
        <f aca="false">IF(OR(NOT(AND(ISNUMBER(E230),ISNUMBER(F230))),$J$2=""),"",MIN(100,ROUND(SUM($G230:P230),1)))</f>
        <v/>
      </c>
      <c r="BN230" s="1" t="str">
        <f aca="false">IF(OR(NOT(AND(ISNUMBER(E230),ISNUMBER(F230))),$J$2=""),"",MIN(100,ROUND(SUM($G230:P230),1)))</f>
        <v/>
      </c>
      <c r="BO230" s="1" t="str">
        <f aca="false">IF(OR(NOT(AND(ISNUMBER(E230),ISNUMBER(F230))),$J$2=""),"",MIN(100,ROUND(SUM($G230:P230),1)))</f>
        <v/>
      </c>
      <c r="BP230" s="1" t="str">
        <f aca="false">IF(OR(NOT(AND(ISNUMBER(E230),ISNUMBER(F230))),$J$2=""),"",MIN(100,ROUND(SUM($G230:P230),1)))</f>
        <v/>
      </c>
      <c r="BQ230" s="1" t="str">
        <f aca="false">IF(OR(NOT(AND(ISNUMBER(E230),ISNUMBER(F230))),$J$2=""),"",MIN(100,ROUND(SUM($G230:P230),1)))</f>
        <v/>
      </c>
      <c r="BR230" s="1" t="str">
        <f aca="false">IF(OR(NOT(AND(ISNUMBER(E230),ISNUMBER(F230))),$J$2=""),"",MIN(100,ROUND(SUM($G230:P230),1)))</f>
        <v/>
      </c>
      <c r="BS230" s="1" t="str">
        <f aca="false">IF(OR(NOT(AND(ISNUMBER(E230),ISNUMBER(F230))),$J$2=""),"",MIN(100,ROUND(SUM($G230:P230),1)))</f>
        <v/>
      </c>
      <c r="BT230" s="1" t="str">
        <f aca="false">IF(OR(NOT(AND(ISNUMBER(E230),ISNUMBER(F230))),$J$2=""),"",IF(Reprogramaciones!K$13&lt;Reprogramaciones!$T$15,0,IF(Reprogramaciones!K$14&gt;10,MIN(100,SUM($G230:$P230)),MIN(100,SUMPRODUCT((COLUMN($G230:$P230)-COLUMN($G230)+1&lt;Reprogramaciones!K$14)*$G230:$P230)+N(INDEX($G230:$P230,1,Reprogramaciones!K$14))*IF(Reprogramaciones!K$13&gt;=(Reprogramaciones!$T$15+7*(Reprogramaciones!K$14-1))+6,1,IF(MAX(0,NETWORKDAYS.INTL(MAX(E230,(Reprogramaciones!$T$15+7*(Reprogramaciones!K$14-1))),MIN(F230,(Reprogramaciones!$T$15+7*(Reprogramaciones!K$14-1))+6),11))=0,0,MAX(0,NETWORKDAYS.INTL(MAX(E230,(Reprogramaciones!$T$15+7*(Reprogramaciones!K$14-1))),MIN(F230,Reprogramaciones!K$13),11))/MAX(0,NETWORKDAYS.INTL(MAX(E230,(Reprogramaciones!$T$15+7*(Reprogramaciones!K$14-1))),MIN(F230,(Reprogramaciones!$T$15+7*(Reprogramaciones!K$14-1))+6),11))))))))</f>
        <v/>
      </c>
      <c r="BU230" s="1" t="str">
        <f aca="false">IF(OR(NOT(AND(ISNUMBER(E230),ISNUMBER(F230))),$J$2=""),"",IF(Reprogramaciones!L$13&lt;Reprogramaciones!$T$15,0,IF(Reprogramaciones!L$14&gt;10,MIN(100,SUM($G230:$P230)),MIN(100,SUMPRODUCT((COLUMN($G230:$P230)-COLUMN($G230)+1&lt;Reprogramaciones!L$14)*$G230:$P230)+N(INDEX($G230:$P230,1,Reprogramaciones!L$14))*IF(Reprogramaciones!L$13&gt;=(Reprogramaciones!$T$15+7*(Reprogramaciones!L$14-1))+6,1,IF(MAX(0,NETWORKDAYS.INTL(MAX(E230,(Reprogramaciones!$T$15+7*(Reprogramaciones!L$14-1))),MIN(F230,(Reprogramaciones!$T$15+7*(Reprogramaciones!L$14-1))+6),11))=0,0,MAX(0,NETWORKDAYS.INTL(MAX(E230,(Reprogramaciones!$T$15+7*(Reprogramaciones!L$14-1))),MIN(F230,Reprogramaciones!L$13),11))/MAX(0,NETWORKDAYS.INTL(MAX(E230,(Reprogramaciones!$T$15+7*(Reprogramaciones!L$14-1))),MIN(F230,(Reprogramaciones!$T$15+7*(Reprogramaciones!L$14-1))+6),11))))))))</f>
        <v/>
      </c>
      <c r="BV230" s="1" t="str">
        <f aca="false">IF(OR(NOT(AND(ISNUMBER(E230),ISNUMBER(F230))),$J$2=""),"",IF(Reprogramaciones!M$13&lt;Reprogramaciones!$T$15,0,IF(Reprogramaciones!M$14&gt;10,MIN(100,SUM($G230:$P230)),MIN(100,SUMPRODUCT((COLUMN($G230:$P230)-COLUMN($G230)+1&lt;Reprogramaciones!M$14)*$G230:$P230)+N(INDEX($G230:$P230,1,Reprogramaciones!M$14))*IF(Reprogramaciones!M$13&gt;=(Reprogramaciones!$T$15+7*(Reprogramaciones!M$14-1))+6,1,IF(MAX(0,NETWORKDAYS.INTL(MAX(E230,(Reprogramaciones!$T$15+7*(Reprogramaciones!M$14-1))),MIN(F230,(Reprogramaciones!$T$15+7*(Reprogramaciones!M$14-1))+6),11))=0,0,MAX(0,NETWORKDAYS.INTL(MAX(E230,(Reprogramaciones!$T$15+7*(Reprogramaciones!M$14-1))),MIN(F230,Reprogramaciones!M$13),11))/MAX(0,NETWORKDAYS.INTL(MAX(E230,(Reprogramaciones!$T$15+7*(Reprogramaciones!M$14-1))),MIN(F230,(Reprogramaciones!$T$15+7*(Reprogramaciones!M$14-1))+6),11))))))))</f>
        <v/>
      </c>
      <c r="BW230" s="1" t="str">
        <f aca="false">IF(OR(NOT(AND(ISNUMBER(E230),ISNUMBER(F230))),$J$2=""),"",IF(Reprogramaciones!N$13&lt;Reprogramaciones!$T$15,0,IF(Reprogramaciones!N$14&gt;10,MIN(100,SUM($G230:$P230)),MIN(100,SUMPRODUCT((COLUMN($G230:$P230)-COLUMN($G230)+1&lt;Reprogramaciones!N$14)*$G230:$P230)+N(INDEX($G230:$P230,1,Reprogramaciones!N$14))*IF(Reprogramaciones!N$13&gt;=(Reprogramaciones!$T$15+7*(Reprogramaciones!N$14-1))+6,1,IF(MAX(0,NETWORKDAYS.INTL(MAX(E230,(Reprogramaciones!$T$15+7*(Reprogramaciones!N$14-1))),MIN(F230,(Reprogramaciones!$T$15+7*(Reprogramaciones!N$14-1))+6),11))=0,0,MAX(0,NETWORKDAYS.INTL(MAX(E230,(Reprogramaciones!$T$15+7*(Reprogramaciones!N$14-1))),MIN(F230,Reprogramaciones!N$13),11))/MAX(0,NETWORKDAYS.INTL(MAX(E230,(Reprogramaciones!$T$15+7*(Reprogramaciones!N$14-1))),MIN(F230,(Reprogramaciones!$T$15+7*(Reprogramaciones!N$14-1))+6),11))))))))</f>
        <v/>
      </c>
      <c r="BX230" s="1" t="str">
        <f aca="false">IF(OR(NOT(AND(ISNUMBER(E230),ISNUMBER(F230))),$J$2=""),"",IF(Reprogramaciones!O$13&lt;Reprogramaciones!$T$15,0,IF(Reprogramaciones!O$14&gt;10,MIN(100,SUM($G230:$P230)),MIN(100,SUMPRODUCT((COLUMN($G230:$P230)-COLUMN($G230)+1&lt;Reprogramaciones!O$14)*$G230:$P230)+N(INDEX($G230:$P230,1,Reprogramaciones!O$14))*IF(Reprogramaciones!O$13&gt;=(Reprogramaciones!$T$15+7*(Reprogramaciones!O$14-1))+6,1,IF(MAX(0,NETWORKDAYS.INTL(MAX(E230,(Reprogramaciones!$T$15+7*(Reprogramaciones!O$14-1))),MIN(F230,(Reprogramaciones!$T$15+7*(Reprogramaciones!O$14-1))+6),11))=0,0,MAX(0,NETWORKDAYS.INTL(MAX(E230,(Reprogramaciones!$T$15+7*(Reprogramaciones!O$14-1))),MIN(F230,Reprogramaciones!O$13),11))/MAX(0,NETWORKDAYS.INTL(MAX(E230,(Reprogramaciones!$T$15+7*(Reprogramaciones!O$14-1))),MIN(F230,(Reprogramaciones!$T$15+7*(Reprogramaciones!O$14-1))+6),11))))))))</f>
        <v/>
      </c>
      <c r="BY230" s="1" t="str">
        <f aca="false">IF(OR(NOT(AND(ISNUMBER(E230),ISNUMBER(F230))),$J$2=""),"",IF(Reprogramaciones!P$13&lt;Reprogramaciones!$T$15,0,IF(Reprogramaciones!P$14&gt;10,MIN(100,SUM($G230:$P230)),MIN(100,SUMPRODUCT((COLUMN($G230:$P230)-COLUMN($G230)+1&lt;Reprogramaciones!P$14)*$G230:$P230)+N(INDEX($G230:$P230,1,Reprogramaciones!P$14))*IF(Reprogramaciones!P$13&gt;=(Reprogramaciones!$T$15+7*(Reprogramaciones!P$14-1))+6,1,IF(MAX(0,NETWORKDAYS.INTL(MAX(E230,(Reprogramaciones!$T$15+7*(Reprogramaciones!P$14-1))),MIN(F230,(Reprogramaciones!$T$15+7*(Reprogramaciones!P$14-1))+6),11))=0,0,MAX(0,NETWORKDAYS.INTL(MAX(E230,(Reprogramaciones!$T$15+7*(Reprogramaciones!P$14-1))),MIN(F230,Reprogramaciones!P$13),11))/MAX(0,NETWORKDAYS.INTL(MAX(E230,(Reprogramaciones!$T$15+7*(Reprogramaciones!P$14-1))),MIN(F230,(Reprogramaciones!$T$15+7*(Reprogramaciones!P$14-1))+6),11))))))))</f>
        <v/>
      </c>
      <c r="BZ230" s="1" t="str">
        <f aca="false">IF(OR(NOT(AND(ISNUMBER(E230),ISNUMBER(F230))),$J$2=""),"",IF(Reprogramaciones!Q$13&lt;Reprogramaciones!$T$15,0,IF(Reprogramaciones!Q$14&gt;10,MIN(100,SUM($G230:$P230)),MIN(100,SUMPRODUCT((COLUMN($G230:$P230)-COLUMN($G230)+1&lt;Reprogramaciones!Q$14)*$G230:$P230)+N(INDEX($G230:$P230,1,Reprogramaciones!Q$14))*IF(Reprogramaciones!Q$13&gt;=(Reprogramaciones!$T$15+7*(Reprogramaciones!Q$14-1))+6,1,IF(MAX(0,NETWORKDAYS.INTL(MAX(E230,(Reprogramaciones!$T$15+7*(Reprogramaciones!Q$14-1))),MIN(F230,(Reprogramaciones!$T$15+7*(Reprogramaciones!Q$14-1))+6),11))=0,0,MAX(0,NETWORKDAYS.INTL(MAX(E230,(Reprogramaciones!$T$15+7*(Reprogramaciones!Q$14-1))),MIN(F230,Reprogramaciones!Q$13),11))/MAX(0,NETWORKDAYS.INTL(MAX(E230,(Reprogramaciones!$T$15+7*(Reprogramaciones!Q$14-1))),MIN(F230,(Reprogramaciones!$T$15+7*(Reprogramaciones!Q$14-1))+6),11))))))))</f>
        <v/>
      </c>
      <c r="CA230" s="1" t="str">
        <f aca="false">IF(OR(NOT(AND(ISNUMBER(E230),ISNUMBER(F230))),$J$2=""),"",IF(Reprogramaciones!R$13&lt;Reprogramaciones!$T$15,0,IF(Reprogramaciones!R$14&gt;10,MIN(100,SUM($G230:$P230)),MIN(100,SUMPRODUCT((COLUMN($G230:$P230)-COLUMN($G230)+1&lt;Reprogramaciones!R$14)*$G230:$P230)+N(INDEX($G230:$P230,1,Reprogramaciones!R$14))*IF(Reprogramaciones!R$13&gt;=(Reprogramaciones!$T$15+7*(Reprogramaciones!R$14-1))+6,1,IF(MAX(0,NETWORKDAYS.INTL(MAX(E230,(Reprogramaciones!$T$15+7*(Reprogramaciones!R$14-1))),MIN(F230,(Reprogramaciones!$T$15+7*(Reprogramaciones!R$14-1))+6),11))=0,0,MAX(0,NETWORKDAYS.INTL(MAX(E230,(Reprogramaciones!$T$15+7*(Reprogramaciones!R$14-1))),MIN(F230,Reprogramaciones!R$13),11))/MAX(0,NETWORKDAYS.INTL(MAX(E230,(Reprogramaciones!$T$15+7*(Reprogramaciones!R$14-1))),MIN(F230,(Reprogramaciones!$T$15+7*(Reprogramaciones!R$14-1))+6),11))))))))</f>
        <v/>
      </c>
      <c r="CB230" s="1" t="str">
        <f aca="false">IF(OR(NOT(AND(ISNUMBER(E230),ISNUMBER(F230))),$J$2=""),"",IF(Reprogramaciones!S$13&lt;Reprogramaciones!$T$15,0,IF(Reprogramaciones!S$14&gt;10,MIN(100,SUM($G230:$P230)),MIN(100,SUMPRODUCT((COLUMN($G230:$P230)-COLUMN($G230)+1&lt;Reprogramaciones!S$14)*$G230:$P230)+N(INDEX($G230:$P230,1,Reprogramaciones!S$14))*IF(Reprogramaciones!S$13&gt;=(Reprogramaciones!$T$15+7*(Reprogramaciones!S$14-1))+6,1,IF(MAX(0,NETWORKDAYS.INTL(MAX(E230,(Reprogramaciones!$T$15+7*(Reprogramaciones!S$14-1))),MIN(F230,(Reprogramaciones!$T$15+7*(Reprogramaciones!S$14-1))+6),11))=0,0,MAX(0,NETWORKDAYS.INTL(MAX(E230,(Reprogramaciones!$T$15+7*(Reprogramaciones!S$14-1))),MIN(F230,Reprogramaciones!S$13),11))/MAX(0,NETWORKDAYS.INTL(MAX(E230,(Reprogramaciones!$T$15+7*(Reprogramaciones!S$14-1))),MIN(F230,(Reprogramaciones!$T$15+7*(Reprogramaciones!S$14-1))+6),11))))))))</f>
        <v/>
      </c>
      <c r="CC230" s="1" t="str">
        <f aca="false">IF(OR(NOT(AND(ISNUMBER(E230),ISNUMBER(F230))),$J$2=""),"",IF(Reprogramaciones!T$13&lt;Reprogramaciones!$T$15,0,IF(Reprogramaciones!T$14&gt;10,MIN(100,SUM($G230:$P230)),MIN(100,SUMPRODUCT((COLUMN($G230:$P230)-COLUMN($G230)+1&lt;Reprogramaciones!T$14)*$G230:$P230)+N(INDEX($G230:$P230,1,Reprogramaciones!T$14))*IF(Reprogramaciones!T$13&gt;=(Reprogramaciones!$T$15+7*(Reprogramaciones!T$14-1))+6,1,IF(MAX(0,NETWORKDAYS.INTL(MAX(E230,(Reprogramaciones!$T$15+7*(Reprogramaciones!T$14-1))),MIN(F230,(Reprogramaciones!$T$15+7*(Reprogramaciones!T$14-1))+6),11))=0,0,MAX(0,NETWORKDAYS.INTL(MAX(E230,(Reprogramaciones!$T$15+7*(Reprogramaciones!T$14-1))),MIN(F230,Reprogramaciones!T$13),11))/MAX(0,NETWORKDAYS.INTL(MAX(E230,(Reprogramaciones!$T$15+7*(Reprogramaciones!T$14-1))),MIN(F230,(Reprogramaciones!$T$15+7*(Reprogramaciones!T$14-1))+6),11))))))))</f>
        <v/>
      </c>
      <c r="CD230" s="1" t="str">
        <f aca="false">IF(OR(NOT(AND(ISNUMBER(E230),ISNUMBER(F230))),$J$2=""),"",IF(Reprogramaciones!U$13&lt;Reprogramaciones!$T$15,0,IF(Reprogramaciones!U$14&gt;10,MIN(100,SUM($G230:$P230)),MIN(100,SUMPRODUCT((COLUMN($G230:$P230)-COLUMN($G230)+1&lt;Reprogramaciones!U$14)*$G230:$P230)+N(INDEX($G230:$P230,1,Reprogramaciones!U$14))*IF(Reprogramaciones!U$13&gt;=(Reprogramaciones!$T$15+7*(Reprogramaciones!U$14-1))+6,1,IF(MAX(0,NETWORKDAYS.INTL(MAX(E230,(Reprogramaciones!$T$15+7*(Reprogramaciones!U$14-1))),MIN(F230,(Reprogramaciones!$T$15+7*(Reprogramaciones!U$14-1))+6),11))=0,0,MAX(0,NETWORKDAYS.INTL(MAX(E230,(Reprogramaciones!$T$15+7*(Reprogramaciones!U$14-1))),MIN(F230,Reprogramaciones!U$13),11))/MAX(0,NETWORKDAYS.INTL(MAX(E230,(Reprogramaciones!$T$15+7*(Reprogramaciones!U$14-1))),MIN(F230,(Reprogramaciones!$T$15+7*(Reprogramaciones!U$14-1))+6),11))))))))</f>
        <v/>
      </c>
      <c r="CE230" s="1" t="str">
        <f aca="false">IF(OR(NOT(AND(ISNUMBER(E230),ISNUMBER(F230))),$J$2=""),"",IF(Reprogramaciones!V$13&lt;Reprogramaciones!$T$15,0,IF(Reprogramaciones!V$14&gt;10,MIN(100,SUM($G230:$P230)),MIN(100,SUMPRODUCT((COLUMN($G230:$P230)-COLUMN($G230)+1&lt;Reprogramaciones!V$14)*$G230:$P230)+N(INDEX($G230:$P230,1,Reprogramaciones!V$14))*IF(Reprogramaciones!V$13&gt;=(Reprogramaciones!$T$15+7*(Reprogramaciones!V$14-1))+6,1,IF(MAX(0,NETWORKDAYS.INTL(MAX(E230,(Reprogramaciones!$T$15+7*(Reprogramaciones!V$14-1))),MIN(F230,(Reprogramaciones!$T$15+7*(Reprogramaciones!V$14-1))+6),11))=0,0,MAX(0,NETWORKDAYS.INTL(MAX(E230,(Reprogramaciones!$T$15+7*(Reprogramaciones!V$14-1))),MIN(F230,Reprogramaciones!V$13),11))/MAX(0,NETWORKDAYS.INTL(MAX(E230,(Reprogramaciones!$T$15+7*(Reprogramaciones!V$14-1))),MIN(F230,(Reprogramaciones!$T$15+7*(Reprogramaciones!V$14-1))+6),11))))))))</f>
        <v/>
      </c>
      <c r="CF230" s="1" t="str">
        <f aca="false">IF(OR(NOT(AND(ISNUMBER(E230),ISNUMBER(F230))),$J$2=""),"",IF(Reprogramaciones!W$13&lt;Reprogramaciones!$T$15,0,IF(Reprogramaciones!W$14&gt;10,MIN(100,SUM($G230:$P230)),MIN(100,SUMPRODUCT((COLUMN($G230:$P230)-COLUMN($G230)+1&lt;Reprogramaciones!W$14)*$G230:$P230)+N(INDEX($G230:$P230,1,Reprogramaciones!W$14))*IF(Reprogramaciones!W$13&gt;=(Reprogramaciones!$T$15+7*(Reprogramaciones!W$14-1))+6,1,IF(MAX(0,NETWORKDAYS.INTL(MAX(E230,(Reprogramaciones!$T$15+7*(Reprogramaciones!W$14-1))),MIN(F230,(Reprogramaciones!$T$15+7*(Reprogramaciones!W$14-1))+6),11))=0,0,MAX(0,NETWORKDAYS.INTL(MAX(E230,(Reprogramaciones!$T$15+7*(Reprogramaciones!W$14-1))),MIN(F230,Reprogramaciones!W$13),11))/MAX(0,NETWORKDAYS.INTL(MAX(E230,(Reprogramaciones!$T$15+7*(Reprogramaciones!W$14-1))),MIN(F230,(Reprogramaciones!$T$15+7*(Reprogramaciones!W$14-1))+6),11))))))))</f>
        <v/>
      </c>
      <c r="CG230" s="1" t="str">
        <f aca="false">IF(OR(NOT(AND(ISNUMBER(E230),ISNUMBER(F230))),$J$2=""),"",IF(Reprogramaciones!X$13&lt;Reprogramaciones!$T$15,0,IF(Reprogramaciones!X$14&gt;10,MIN(100,SUM($G230:$P230)),MIN(100,SUMPRODUCT((COLUMN($G230:$P230)-COLUMN($G230)+1&lt;Reprogramaciones!X$14)*$G230:$P230)+N(INDEX($G230:$P230,1,Reprogramaciones!X$14))*IF(Reprogramaciones!X$13&gt;=(Reprogramaciones!$T$15+7*(Reprogramaciones!X$14-1))+6,1,IF(MAX(0,NETWORKDAYS.INTL(MAX(E230,(Reprogramaciones!$T$15+7*(Reprogramaciones!X$14-1))),MIN(F230,(Reprogramaciones!$T$15+7*(Reprogramaciones!X$14-1))+6),11))=0,0,MAX(0,NETWORKDAYS.INTL(MAX(E230,(Reprogramaciones!$T$15+7*(Reprogramaciones!X$14-1))),MIN(F230,Reprogramaciones!X$13),11))/MAX(0,NETWORKDAYS.INTL(MAX(E230,(Reprogramaciones!$T$15+7*(Reprogramaciones!X$14-1))),MIN(F230,(Reprogramaciones!$T$15+7*(Reprogramaciones!X$14-1))+6),11))))))))</f>
        <v/>
      </c>
      <c r="CH230" s="1" t="str">
        <f aca="false">IF(OR(NOT(AND(ISNUMBER(E230),ISNUMBER(F230))),$J$2=""),"",IF(Reprogramaciones!Y$13&lt;Reprogramaciones!$T$15,0,IF(Reprogramaciones!Y$14&gt;10,MIN(100,SUM($G230:$P230)),MIN(100,SUMPRODUCT((COLUMN($G230:$P230)-COLUMN($G230)+1&lt;Reprogramaciones!Y$14)*$G230:$P230)+N(INDEX($G230:$P230,1,Reprogramaciones!Y$14))*IF(Reprogramaciones!Y$13&gt;=(Reprogramaciones!$T$15+7*(Reprogramaciones!Y$14-1))+6,1,IF(MAX(0,NETWORKDAYS.INTL(MAX(E230,(Reprogramaciones!$T$15+7*(Reprogramaciones!Y$14-1))),MIN(F230,(Reprogramaciones!$T$15+7*(Reprogramaciones!Y$14-1))+6),11))=0,0,MAX(0,NETWORKDAYS.INTL(MAX(E230,(Reprogramaciones!$T$15+7*(Reprogramaciones!Y$14-1))),MIN(F230,Reprogramaciones!Y$13),11))/MAX(0,NETWORKDAYS.INTL(MAX(E230,(Reprogramaciones!$T$15+7*(Reprogramaciones!Y$14-1))),MIN(F230,(Reprogramaciones!$T$15+7*(Reprogramaciones!Y$14-1))+6),11))))))))</f>
        <v/>
      </c>
      <c r="CI230" s="1" t="str">
        <f aca="false">IF(OR(NOT(AND(ISNUMBER(E230),ISNUMBER(F230))),$J$2=""),"",IF(Reprogramaciones!Z$13&lt;Reprogramaciones!$T$15,0,IF(Reprogramaciones!Z$14&gt;10,MIN(100,SUM($G230:$P230)),MIN(100,SUMPRODUCT((COLUMN($G230:$P230)-COLUMN($G230)+1&lt;Reprogramaciones!Z$14)*$G230:$P230)+N(INDEX($G230:$P230,1,Reprogramaciones!Z$14))*IF(Reprogramaciones!Z$13&gt;=(Reprogramaciones!$T$15+7*(Reprogramaciones!Z$14-1))+6,1,IF(MAX(0,NETWORKDAYS.INTL(MAX(E230,(Reprogramaciones!$T$15+7*(Reprogramaciones!Z$14-1))),MIN(F230,(Reprogramaciones!$T$15+7*(Reprogramaciones!Z$14-1))+6),11))=0,0,MAX(0,NETWORKDAYS.INTL(MAX(E230,(Reprogramaciones!$T$15+7*(Reprogramaciones!Z$14-1))),MIN(F230,Reprogramaciones!Z$13),11))/MAX(0,NETWORKDAYS.INTL(MAX(E230,(Reprogramaciones!$T$15+7*(Reprogramaciones!Z$14-1))),MIN(F230,(Reprogramaciones!$T$15+7*(Reprogramaciones!Z$14-1))+6),11))))))))</f>
        <v/>
      </c>
      <c r="CJ230" s="1" t="str">
        <f aca="false">IF(OR(OR(NOT(AND(ISNUMBER(E230),ISNUMBER(F230))),$J$2=""),1&gt;Reprogramaciones!$K$16),"",IF(ROUND(SUM($Q230:Q230),1)&gt;=99.5,100,MIN(100,ROUND(SUM($Q230:Q230),1))))</f>
        <v/>
      </c>
      <c r="CK230" s="1" t="str">
        <f aca="false">IF(OR(OR(NOT(AND(ISNUMBER(E230),ISNUMBER(F230))),$J$2=""),2&gt;Reprogramaciones!$K$16),"",IF(ROUND(SUM($Q230:R230),1)&gt;=99.5,100,MIN(100,ROUND(SUM($Q230:R230),1))))</f>
        <v/>
      </c>
      <c r="CL230" s="1" t="str">
        <f aca="false">IF(OR(OR(NOT(AND(ISNUMBER(E230),ISNUMBER(F230))),$J$2=""),3&gt;Reprogramaciones!$K$16),"",IF(ROUND(SUM($Q230:S230),1)&gt;=99.5,100,MIN(100,ROUND(SUM($Q230:S230),1))))</f>
        <v/>
      </c>
      <c r="CM230" s="1" t="str">
        <f aca="false">IF(OR(OR(NOT(AND(ISNUMBER(E230),ISNUMBER(F230))),$J$2=""),4&gt;Reprogramaciones!$K$16),"",IF(ROUND(SUM($Q230:T230),1)&gt;=99.5,100,MIN(100,ROUND(SUM($Q230:T230),1))))</f>
        <v/>
      </c>
      <c r="CN230" s="1" t="str">
        <f aca="false">IF(OR(OR(NOT(AND(ISNUMBER(E230),ISNUMBER(F230))),$J$2=""),5&gt;Reprogramaciones!$K$16),"",IF(ROUND(SUM($Q230:U230),1)&gt;=99.5,100,MIN(100,ROUND(SUM($Q230:U230),1))))</f>
        <v/>
      </c>
      <c r="CO230" s="1" t="str">
        <f aca="false">IF(OR(OR(NOT(AND(ISNUMBER(E230),ISNUMBER(F230))),$J$2=""),6&gt;Reprogramaciones!$K$16),"",IF(ROUND(SUM($Q230:V230),1)&gt;=99.5,100,MIN(100,ROUND(SUM($Q230:V230),1))))</f>
        <v/>
      </c>
      <c r="CP230" s="1" t="str">
        <f aca="false">IF(OR(OR(NOT(AND(ISNUMBER(E230),ISNUMBER(F230))),$J$2=""),7&gt;Reprogramaciones!$K$16),"",IF(ROUND(SUM($Q230:W230),1)&gt;=99.5,100,MIN(100,ROUND(SUM($Q230:W230),1))))</f>
        <v/>
      </c>
      <c r="CQ230" s="1" t="str">
        <f aca="false">IF(OR(OR(NOT(AND(ISNUMBER(E230),ISNUMBER(F230))),$J$2=""),8&gt;Reprogramaciones!$K$16),"",IF(ROUND(SUM($Q230:X230),1)&gt;=99.5,100,MIN(100,ROUND(SUM($Q230:X230),1))))</f>
        <v/>
      </c>
      <c r="CR230" s="1" t="str">
        <f aca="false">IF(OR(OR(NOT(AND(ISNUMBER(E230),ISNUMBER(F230))),$J$2=""),9&gt;Reprogramaciones!$K$16),"",IF(ROUND(SUM($Q230:Y230),1)&gt;=99.5,100,MIN(100,ROUND(SUM($Q230:Y230),1))))</f>
        <v/>
      </c>
      <c r="CS230" s="1" t="str">
        <f aca="false">IF(OR(OR(NOT(AND(ISNUMBER(E230),ISNUMBER(F230))),$J$2=""),10&gt;Reprogramaciones!$K$16),"",IF(ROUND(SUM($Q230:Z230),1)&gt;=99.5,100,MIN(100,ROUND(SUM($Q230:Z230),1))))</f>
        <v/>
      </c>
      <c r="CT230" s="1" t="str">
        <f aca="false">IF(OR(OR(NOT(AND(ISNUMBER(E230),ISNUMBER(F230))),$J$2=""),11&gt;Reprogramaciones!$K$16),"",IF(ROUND(SUM($Q230:AA230),1)&gt;=99.5,100,MIN(100,ROUND(SUM($Q230:AA230),1))))</f>
        <v/>
      </c>
      <c r="CU230" s="1" t="str">
        <f aca="false">IF(OR(OR(NOT(AND(ISNUMBER(E230),ISNUMBER(F230))),$J$2=""),12&gt;Reprogramaciones!$K$16),"",IF(ROUND(SUM($Q230:AB230),1)&gt;=99.5,100,MIN(100,ROUND(SUM($Q230:AB230),1))))</f>
        <v/>
      </c>
      <c r="CV230" s="1" t="str">
        <f aca="false">IF(OR(OR(NOT(AND(ISNUMBER(E230),ISNUMBER(F230))),$J$2=""),13&gt;Reprogramaciones!$K$16),"",IF(ROUND(SUM($Q230:AC230),1)&gt;=99.5,100,MIN(100,ROUND(SUM($Q230:AC230),1))))</f>
        <v/>
      </c>
      <c r="CW230" s="1" t="str">
        <f aca="false">IF(OR(OR(NOT(AND(ISNUMBER(E230),ISNUMBER(F230))),$J$2=""),14&gt;Reprogramaciones!$K$16),"",IF(ROUND(SUM($Q230:AD230),1)&gt;=99.5,100,MIN(100,ROUND(SUM($Q230:AD230),1))))</f>
        <v/>
      </c>
      <c r="CX230" s="1" t="str">
        <f aca="false">IF(OR(OR(NOT(AND(ISNUMBER(E230),ISNUMBER(F230))),$J$2=""),15&gt;Reprogramaciones!$K$16),"",IF(ROUND(SUM($Q230:AE230),1)&gt;=99.5,100,MIN(100,ROUND(SUM($Q230:AE230),1))))</f>
        <v/>
      </c>
      <c r="CY230" s="1" t="str">
        <f aca="false">IF(OR(OR(NOT(AND(ISNUMBER(E230),ISNUMBER(F230))),$J$2=""),16&gt;Reprogramaciones!$K$16),"",IF(ROUND(SUM($Q230:AF230),1)&gt;=99.5,100,MIN(100,ROUND(SUM($Q230:AF230),1))))</f>
        <v/>
      </c>
      <c r="CZ230" s="1" t="str">
        <f aca="false">IF(D230&lt;&gt;"",D230,IF(B230&lt;&gt;"","Contractual",CZ229))</f>
        <v>Contractual</v>
      </c>
      <c r="DA230" s="1" t="str">
        <f aca="false">IF(OR(NOT(AND(ISNUMBER(E230),ISNUMBER(F230))),$J$2=""),"",IF(Reprogramaciones!$Q$15&lt;Reprogramaciones!$T$15,0,IF(Reprogramaciones!$S$15&gt;10,MIN(100,SUM($G230:$P230)),MIN(100,SUMPRODUCT((COLUMN($G230:$P230)-COLUMN($G230)+1&lt;Reprogramaciones!$S$15)*$G230:$P230)+N(INDEX($G230:$P230,1,Reprogramaciones!$S$15))*IF(Reprogramaciones!$Q$15&gt;=(Reprogramaciones!$T$15+7*(Reprogramaciones!$S$15-1))+6,1,IF(MAX(0,NETWORKDAYS.INTL(MAX(E230,(Reprogramaciones!$T$15+7*(Reprogramaciones!$S$15-1))),MIN(F230,(Reprogramaciones!$T$15+7*(Reprogramaciones!$S$15-1))+6),11))=0,0,MAX(0,NETWORKDAYS.INTL(MAX(E230,(Reprogramaciones!$T$15+7*(Reprogramaciones!$S$15-1))),MIN(F230,Reprogramaciones!$Q$15),11))/MAX(0,NETWORKDAYS.INTL(MAX(E230,(Reprogramaciones!$T$15+7*(Reprogramaciones!$S$15-1))),MIN(F230,(Reprogramaciones!$T$15+7*(Reprogramaciones!$S$15-1))+6),11))))))))</f>
        <v/>
      </c>
    </row>
    <row r="231" customFormat="false" ht="15" hidden="false" customHeight="false" outlineLevel="0" collapsed="false">
      <c r="A231" s="32"/>
      <c r="B231" s="33"/>
      <c r="C231" s="33"/>
      <c r="D231" s="34"/>
      <c r="E231" s="35"/>
      <c r="F231" s="35"/>
      <c r="G231" s="36" t="str">
        <f aca="false">IF(OR(NOT(AND(ISNUMBER(E231),ISNUMBER(F231))),$J$2=""),"",IF(Reprogramaciones!K$9&lt;E231,0,IF(NETWORKDAYS.INTL(E231,F231,11)=0,IF(Reprogramaciones!K$9&gt;=F231,100,0),ROUND(NETWORKDAYS.INTL(E231,MIN(F231,Reprogramaciones!K$9),11)/NETWORKDAYS.INTL(E231,F231,11)*100,1)))-0)</f>
        <v/>
      </c>
      <c r="H231" s="36" t="str">
        <f aca="false">IF(OR(NOT(AND(ISNUMBER(E231),ISNUMBER(F231))),$J$2=""),"",IF(Reprogramaciones!L$9&lt;E231,0,IF(NETWORKDAYS.INTL(E231,F231,11)=0,IF(Reprogramaciones!L$9&gt;=F231,100,0),ROUND(NETWORKDAYS.INTL(E231,MIN(F231,Reprogramaciones!L$9),11)/NETWORKDAYS.INTL(E231,F231,11)*100,1)))-IF(Reprogramaciones!K$9&lt;E231,0,IF(NETWORKDAYS.INTL(E231,F231,11)=0,IF(Reprogramaciones!K$9&gt;=F231,100,0),ROUND(NETWORKDAYS.INTL(E231,MIN(F231,Reprogramaciones!K$9),11)/NETWORKDAYS.INTL(E231,F231,11)*100,1))))</f>
        <v/>
      </c>
      <c r="I231" s="36" t="str">
        <f aca="false">IF(OR(NOT(AND(ISNUMBER(E231),ISNUMBER(F231))),$J$2=""),"",IF(Reprogramaciones!M$9&lt;E231,0,IF(NETWORKDAYS.INTL(E231,F231,11)=0,IF(Reprogramaciones!M$9&gt;=F231,100,0),ROUND(NETWORKDAYS.INTL(E231,MIN(F231,Reprogramaciones!M$9),11)/NETWORKDAYS.INTL(E231,F231,11)*100,1)))-IF(Reprogramaciones!L$9&lt;E231,0,IF(NETWORKDAYS.INTL(E231,F231,11)=0,IF(Reprogramaciones!L$9&gt;=F231,100,0),ROUND(NETWORKDAYS.INTL(E231,MIN(F231,Reprogramaciones!L$9),11)/NETWORKDAYS.INTL(E231,F231,11)*100,1))))</f>
        <v/>
      </c>
      <c r="J231" s="36" t="str">
        <f aca="false">IF(OR(NOT(AND(ISNUMBER(E231),ISNUMBER(F231))),$J$2=""),"",IF(Reprogramaciones!N$9&lt;E231,0,IF(NETWORKDAYS.INTL(E231,F231,11)=0,IF(Reprogramaciones!N$9&gt;=F231,100,0),ROUND(NETWORKDAYS.INTL(E231,MIN(F231,Reprogramaciones!N$9),11)/NETWORKDAYS.INTL(E231,F231,11)*100,1)))-IF(Reprogramaciones!M$9&lt;E231,0,IF(NETWORKDAYS.INTL(E231,F231,11)=0,IF(Reprogramaciones!M$9&gt;=F231,100,0),ROUND(NETWORKDAYS.INTL(E231,MIN(F231,Reprogramaciones!M$9),11)/NETWORKDAYS.INTL(E231,F231,11)*100,1))))</f>
        <v/>
      </c>
      <c r="K231" s="36" t="str">
        <f aca="false">IF(OR(NOT(AND(ISNUMBER(E231),ISNUMBER(F231))),$J$2=""),"",IF(Reprogramaciones!O$9&lt;E231,0,IF(NETWORKDAYS.INTL(E231,F231,11)=0,IF(Reprogramaciones!O$9&gt;=F231,100,0),ROUND(NETWORKDAYS.INTL(E231,MIN(F231,Reprogramaciones!O$9),11)/NETWORKDAYS.INTL(E231,F231,11)*100,1)))-IF(Reprogramaciones!N$9&lt;E231,0,IF(NETWORKDAYS.INTL(E231,F231,11)=0,IF(Reprogramaciones!N$9&gt;=F231,100,0),ROUND(NETWORKDAYS.INTL(E231,MIN(F231,Reprogramaciones!N$9),11)/NETWORKDAYS.INTL(E231,F231,11)*100,1))))</f>
        <v/>
      </c>
      <c r="L231" s="36" t="str">
        <f aca="false">IF(OR(NOT(AND(ISNUMBER(E231),ISNUMBER(F231))),$J$2=""),"",IF(Reprogramaciones!P$9&lt;E231,0,IF(NETWORKDAYS.INTL(E231,F231,11)=0,IF(Reprogramaciones!P$9&gt;=F231,100,0),ROUND(NETWORKDAYS.INTL(E231,MIN(F231,Reprogramaciones!P$9),11)/NETWORKDAYS.INTL(E231,F231,11)*100,1)))-IF(Reprogramaciones!O$9&lt;E231,0,IF(NETWORKDAYS.INTL(E231,F231,11)=0,IF(Reprogramaciones!O$9&gt;=F231,100,0),ROUND(NETWORKDAYS.INTL(E231,MIN(F231,Reprogramaciones!O$9),11)/NETWORKDAYS.INTL(E231,F231,11)*100,1))))</f>
        <v/>
      </c>
      <c r="M231" s="36" t="str">
        <f aca="false">IF(OR(NOT(AND(ISNUMBER(E231),ISNUMBER(F231))),$J$2=""),"",IF(Reprogramaciones!Q$9&lt;E231,0,IF(NETWORKDAYS.INTL(E231,F231,11)=0,IF(Reprogramaciones!Q$9&gt;=F231,100,0),ROUND(NETWORKDAYS.INTL(E231,MIN(F231,Reprogramaciones!Q$9),11)/NETWORKDAYS.INTL(E231,F231,11)*100,1)))-IF(Reprogramaciones!P$9&lt;E231,0,IF(NETWORKDAYS.INTL(E231,F231,11)=0,IF(Reprogramaciones!P$9&gt;=F231,100,0),ROUND(NETWORKDAYS.INTL(E231,MIN(F231,Reprogramaciones!P$9),11)/NETWORKDAYS.INTL(E231,F231,11)*100,1))))</f>
        <v/>
      </c>
      <c r="N231" s="36" t="str">
        <f aca="false">IF(OR(NOT(AND(ISNUMBER(E231),ISNUMBER(F231))),$J$2=""),"",IF(Reprogramaciones!R$9&lt;E231,0,IF(NETWORKDAYS.INTL(E231,F231,11)=0,IF(Reprogramaciones!R$9&gt;=F231,100,0),ROUND(NETWORKDAYS.INTL(E231,MIN(F231,Reprogramaciones!R$9),11)/NETWORKDAYS.INTL(E231,F231,11)*100,1)))-IF(Reprogramaciones!Q$9&lt;E231,0,IF(NETWORKDAYS.INTL(E231,F231,11)=0,IF(Reprogramaciones!Q$9&gt;=F231,100,0),ROUND(NETWORKDAYS.INTL(E231,MIN(F231,Reprogramaciones!Q$9),11)/NETWORKDAYS.INTL(E231,F231,11)*100,1))))</f>
        <v/>
      </c>
      <c r="O231" s="36" t="str">
        <f aca="false">IF(OR(NOT(AND(ISNUMBER(E231),ISNUMBER(F231))),$J$2=""),"",IF(Reprogramaciones!S$9&lt;E231,0,IF(NETWORKDAYS.INTL(E231,F231,11)=0,IF(Reprogramaciones!S$9&gt;=F231,100,0),ROUND(NETWORKDAYS.INTL(E231,MIN(F231,Reprogramaciones!S$9),11)/NETWORKDAYS.INTL(E231,F231,11)*100,1)))-IF(Reprogramaciones!R$9&lt;E231,0,IF(NETWORKDAYS.INTL(E231,F231,11)=0,IF(Reprogramaciones!R$9&gt;=F231,100,0),ROUND(NETWORKDAYS.INTL(E231,MIN(F231,Reprogramaciones!R$9),11)/NETWORKDAYS.INTL(E231,F231,11)*100,1))))</f>
        <v/>
      </c>
      <c r="P231" s="36" t="str">
        <f aca="false">IF(OR(NOT(AND(ISNUMBER(E231),ISNUMBER(F231))),$J$2=""),"",IF(Reprogramaciones!T$9&lt;E231,0,IF(NETWORKDAYS.INTL(E231,F231,11)=0,IF(Reprogramaciones!T$9&gt;=F231,100,0),ROUND(NETWORKDAYS.INTL(E231,MIN(F231,Reprogramaciones!T$9),11)/NETWORKDAYS.INTL(E231,F231,11)*100,1)))-IF(Reprogramaciones!S$9&lt;E231,0,IF(NETWORKDAYS.INTL(E231,F231,11)=0,IF(Reprogramaciones!S$9&gt;=F231,100,0),ROUND(NETWORKDAYS.INTL(E231,MIN(F231,Reprogramaciones!S$9),11)/NETWORKDAYS.INTL(E231,F231,11)*100,1))))</f>
        <v/>
      </c>
      <c r="Q231" s="37"/>
      <c r="R231" s="37"/>
      <c r="S231" s="37"/>
      <c r="T231" s="37"/>
      <c r="U231" s="37"/>
      <c r="V231" s="37"/>
      <c r="W231" s="37"/>
      <c r="X231" s="37"/>
      <c r="Y231" s="37"/>
      <c r="Z231" s="37"/>
      <c r="AA231" s="37"/>
      <c r="AB231" s="37"/>
      <c r="AC231" s="37"/>
      <c r="AD231" s="37"/>
      <c r="AE231" s="37"/>
      <c r="AF231" s="37"/>
      <c r="AG231" s="38" t="str">
        <f aca="false">IF(AND(ISNUMBER(E231),ISNUMBER(F231)),NETWORKDAYS.INTL(E231,F231,11),"")</f>
        <v/>
      </c>
      <c r="AH231" s="38" t="str">
        <f aca="false">IF(OR(NOT(AND(ISNUMBER(E231),ISNUMBER(F231))),$J$2=""),"",IF(Reprogramaciones!$P$15&lt;Reprogramaciones!$T$15,0,IF(Reprogramaciones!$R$15&gt;10,MIN(100,SUM($G231:$P231)),MIN(100,SUMPRODUCT((COLUMN($G231:$P231)-COLUMN($G231)+1&lt;Reprogramaciones!$R$15)*$G231:$P231)+N(INDEX($G231:$P231,1,Reprogramaciones!$R$15))*IF(Reprogramaciones!$P$15&gt;=(Reprogramaciones!$T$15+7*(Reprogramaciones!$R$15-1))+6,1,IF(MAX(0,NETWORKDAYS.INTL(MAX(E231,(Reprogramaciones!$T$15+7*(Reprogramaciones!$R$15-1))),MIN(F231,(Reprogramaciones!$T$15+7*(Reprogramaciones!$R$15-1))+6),11))=0,0,MAX(0,NETWORKDAYS.INTL(MAX(E231,(Reprogramaciones!$T$15+7*(Reprogramaciones!$R$15-1))),MIN(F231,Reprogramaciones!$P$15),11))/MAX(0,NETWORKDAYS.INTL(MAX(E231,(Reprogramaciones!$T$15+7*(Reprogramaciones!$R$15-1))),MIN(F231,(Reprogramaciones!$T$15+7*(Reprogramaciones!$R$15-1))+6),11))))))))</f>
        <v/>
      </c>
      <c r="AI231" s="38" t="str">
        <f aca="false">IF(COUNT($Q231:$AF231)=0,"",IF(ROUND(SUM($Q231:$AF231),1)&gt;=99.5,100,MIN(100,ROUND(SUM($Q231:$AF231),1))))</f>
        <v/>
      </c>
      <c r="AJ231" s="38" t="str">
        <f aca="false">IF(OR(AH231="",AI231=""),"",AI231-AH231)</f>
        <v/>
      </c>
      <c r="AK231" s="39" t="str">
        <f aca="true">IF(AH231="","",IF(OR(Ficha!$C$10="Suspendida",Ficha!$C$10="Cancelada"),Ficha!$C$10,IF(AND(AI231&lt;&gt;"",N(AI231)&gt;=100),"Completada",IF(AND(E231&gt;TODAY(),N(AI231)=0),"Por iniciar",IF(N(AI231)+0.5&lt;AH231,"Retrasada",IF(N(AI231)+0.5&lt;DA231,IF(Reprogramaciones!$K$15&gt;0,"Al día · Sem "&amp;Reprogramaciones!$K$15&amp;" en curso","Al día · en curso"),"A tiempo"))))))</f>
        <v/>
      </c>
      <c r="AL231" s="39" t="str">
        <f aca="true">IF(AND(A231="",AND(B231="",C231="",E231="",F231="",COUNT(Q231:AF231)=0)),"",IF(AND(B231="",C231="",E231="",F231="",COUNT(Q231:AF231)=0),"Falta la partida o subpartida",IF(AND(A231&lt;&gt;"",COUNTIF($A$6:$A$305,A231)&gt;1),"Ítem repetido",IF(AND(C231="",E231="",F231="",COUNT(Q231:AF231)=0),"Título de partida",IF(OR(E231="",F231=""),"Faltan fechas",IF(OR(ISTEXT(E231),ISTEXT(F231)),"Fecha escrita como texto: usa dd/mm/aaaa",IF(F231&lt;E231,"Fin antes del inicio",IF(IF($J$2="",FALSE(),OR(E231&lt;$J$2,F231&gt;Reprogramaciones!$T$15+69)),"Fuera de las 10 semanas",IF(ABS(SUM(G231:P231)-100)&gt;0.5,"La meta no suma 100%",IF(ROUND(SUM(Q231:AF231),1)&gt;100.5,"El avance pasa de 100%",IF(MIN(Q231:AF231)&lt;0,"Avance negativo",IF(COUNTA(Q231:AF231)&gt;COUNT(Q231:AF231),"Avance escrito como texto",IF(SUMPRODUCT((Q231:AF231&gt;0)*(Q231:AF231&lt;1))&gt;0,"Avance menor a 1: escribe 50, no 50%",IF(SUMPRODUCT(ISNUMBER(Q231:AF231)*(Reprogramaciones!$K$8:$Z$8&gt;TODAY()))&gt;0,"Avance en semana que aún no llega",IF(AND(N(Reprogramaciones!$E$21)&gt;0,F231&gt;Reprogramaciones!$E$21),"Pasa el fin de la obra: registra una reprogramación",IF(AND(N(Reprogramaciones!$E$21)&gt;0,SUMPRODUCT(ISNUMBER(Q231:AF231)*(Reprogramaciones!$K$8:$Z$8&gt;Reprogramaciones!$E$21))&gt;0),"Avance después del fin de la obra: registra una reprogramación por atraso","OK"))))))))))))))))</f>
        <v/>
      </c>
      <c r="AM231" s="40" t="str">
        <f aca="false">IF(OR(OR(NOT(AND(ISNUMBER(E231),ISNUMBER(F231))),$J$2=""),1&gt;MAX(1,Reprogramaciones!$U$15)),"",IF(Reprogramaciones!K$12&gt;=7,"",IF(OR(BT231-N(0)&gt;0.05,N(Q231)&gt;0),ROUNDDOWN(ROUND(BT231,6),0)&amp;"%"&amp;IF(CJ231="",""," / "&amp;CJ231&amp;"%"),IF(AND(N(0)&gt;=99.95,CJ231&lt;&gt;"",N(CJ231)&lt;100),"Pend. "&amp;CJ231&amp;"%",""))))</f>
        <v/>
      </c>
      <c r="AN231" s="40" t="str">
        <f aca="false">IF(OR(OR(NOT(AND(ISNUMBER(E231),ISNUMBER(F231))),$J$2=""),2&gt;MAX(1,Reprogramaciones!$U$15)),"",IF(Reprogramaciones!L$12&gt;=7,"",IF(OR(BU231-N(BT231)&gt;0.05,N(R231)&gt;0),ROUNDDOWN(ROUND(BU231,6),0)&amp;"%"&amp;IF(CK231="",""," / "&amp;CK231&amp;"%"),IF(AND(N(BT231)&gt;=99.95,CK231&lt;&gt;"",N(CK231)&lt;100),"Pend. "&amp;CK231&amp;"%",""))))</f>
        <v/>
      </c>
      <c r="AO231" s="40" t="str">
        <f aca="false">IF(OR(OR(NOT(AND(ISNUMBER(E231),ISNUMBER(F231))),$J$2=""),3&gt;MAX(1,Reprogramaciones!$U$15)),"",IF(Reprogramaciones!M$12&gt;=7,"",IF(OR(BV231-N(BU231)&gt;0.05,N(S231)&gt;0),ROUNDDOWN(ROUND(BV231,6),0)&amp;"%"&amp;IF(CL231="",""," / "&amp;CL231&amp;"%"),IF(AND(N(BU231)&gt;=99.95,CL231&lt;&gt;"",N(CL231)&lt;100),"Pend. "&amp;CL231&amp;"%",""))))</f>
        <v/>
      </c>
      <c r="AP231" s="40" t="str">
        <f aca="false">IF(OR(OR(NOT(AND(ISNUMBER(E231),ISNUMBER(F231))),$J$2=""),4&gt;MAX(1,Reprogramaciones!$U$15)),"",IF(Reprogramaciones!N$12&gt;=7,"",IF(OR(BW231-N(BV231)&gt;0.05,N(T231)&gt;0),ROUNDDOWN(ROUND(BW231,6),0)&amp;"%"&amp;IF(CM231="",""," / "&amp;CM231&amp;"%"),IF(AND(N(BV231)&gt;=99.95,CM231&lt;&gt;"",N(CM231)&lt;100),"Pend. "&amp;CM231&amp;"%",""))))</f>
        <v/>
      </c>
      <c r="AQ231" s="40" t="str">
        <f aca="false">IF(OR(OR(NOT(AND(ISNUMBER(E231),ISNUMBER(F231))),$J$2=""),5&gt;MAX(1,Reprogramaciones!$U$15)),"",IF(Reprogramaciones!O$12&gt;=7,"",IF(OR(BX231-N(BW231)&gt;0.05,N(U231)&gt;0),ROUNDDOWN(ROUND(BX231,6),0)&amp;"%"&amp;IF(CN231="",""," / "&amp;CN231&amp;"%"),IF(AND(N(BW231)&gt;=99.95,CN231&lt;&gt;"",N(CN231)&lt;100),"Pend. "&amp;CN231&amp;"%",""))))</f>
        <v/>
      </c>
      <c r="AR231" s="40" t="str">
        <f aca="false">IF(OR(OR(NOT(AND(ISNUMBER(E231),ISNUMBER(F231))),$J$2=""),6&gt;MAX(1,Reprogramaciones!$U$15)),"",IF(Reprogramaciones!P$12&gt;=7,"",IF(OR(BY231-N(BX231)&gt;0.05,N(V231)&gt;0),ROUNDDOWN(ROUND(BY231,6),0)&amp;"%"&amp;IF(CO231="",""," / "&amp;CO231&amp;"%"),IF(AND(N(BX231)&gt;=99.95,CO231&lt;&gt;"",N(CO231)&lt;100),"Pend. "&amp;CO231&amp;"%",""))))</f>
        <v/>
      </c>
      <c r="AS231" s="40" t="str">
        <f aca="false">IF(OR(OR(NOT(AND(ISNUMBER(E231),ISNUMBER(F231))),$J$2=""),7&gt;MAX(1,Reprogramaciones!$U$15)),"",IF(Reprogramaciones!Q$12&gt;=7,"",IF(OR(BZ231-N(BY231)&gt;0.05,N(W231)&gt;0),ROUNDDOWN(ROUND(BZ231,6),0)&amp;"%"&amp;IF(CP231="",""," / "&amp;CP231&amp;"%"),IF(AND(N(BY231)&gt;=99.95,CP231&lt;&gt;"",N(CP231)&lt;100),"Pend. "&amp;CP231&amp;"%",""))))</f>
        <v/>
      </c>
      <c r="AT231" s="40" t="str">
        <f aca="false">IF(OR(OR(NOT(AND(ISNUMBER(E231),ISNUMBER(F231))),$J$2=""),8&gt;MAX(1,Reprogramaciones!$U$15)),"",IF(Reprogramaciones!R$12&gt;=7,"",IF(OR(CA231-N(BZ231)&gt;0.05,N(X231)&gt;0),ROUNDDOWN(ROUND(CA231,6),0)&amp;"%"&amp;IF(CQ231="",""," / "&amp;CQ231&amp;"%"),IF(AND(N(BZ231)&gt;=99.95,CQ231&lt;&gt;"",N(CQ231)&lt;100),"Pend. "&amp;CQ231&amp;"%",""))))</f>
        <v/>
      </c>
      <c r="AU231" s="40" t="str">
        <f aca="false">IF(OR(OR(NOT(AND(ISNUMBER(E231),ISNUMBER(F231))),$J$2=""),9&gt;MAX(1,Reprogramaciones!$U$15)),"",IF(Reprogramaciones!S$12&gt;=7,"",IF(OR(CB231-N(CA231)&gt;0.05,N(Y231)&gt;0),ROUNDDOWN(ROUND(CB231,6),0)&amp;"%"&amp;IF(CR231="",""," / "&amp;CR231&amp;"%"),IF(AND(N(CA231)&gt;=99.95,CR231&lt;&gt;"",N(CR231)&lt;100),"Pend. "&amp;CR231&amp;"%",""))))</f>
        <v/>
      </c>
      <c r="AV231" s="40" t="str">
        <f aca="false">IF(OR(OR(NOT(AND(ISNUMBER(E231),ISNUMBER(F231))),$J$2=""),10&gt;MAX(1,Reprogramaciones!$U$15)),"",IF(Reprogramaciones!T$12&gt;=7,"",IF(OR(CC231-N(CB231)&gt;0.05,N(Z231)&gt;0),ROUNDDOWN(ROUND(CC231,6),0)&amp;"%"&amp;IF(CS231="",""," / "&amp;CS231&amp;"%"),IF(AND(N(CB231)&gt;=99.95,CS231&lt;&gt;"",N(CS231)&lt;100),"Pend. "&amp;CS231&amp;"%",""))))</f>
        <v/>
      </c>
      <c r="AW231" s="40" t="str">
        <f aca="false">IF(OR(OR(NOT(AND(ISNUMBER(E231),ISNUMBER(F231))),$J$2=""),11&gt;MAX(1,Reprogramaciones!$U$15)),"",IF(Reprogramaciones!U$12&gt;=7,"",IF(OR(CD231-N(CC231)&gt;0.05,N(AA231)&gt;0),ROUNDDOWN(ROUND(CD231,6),0)&amp;"%"&amp;IF(CT231="",""," / "&amp;CT231&amp;"%"),IF(AND(N(CC231)&gt;=99.95,CT231&lt;&gt;"",N(CT231)&lt;100),"Pend. "&amp;CT231&amp;"%",""))))</f>
        <v/>
      </c>
      <c r="AX231" s="40" t="str">
        <f aca="false">IF(OR(OR(NOT(AND(ISNUMBER(E231),ISNUMBER(F231))),$J$2=""),12&gt;MAX(1,Reprogramaciones!$U$15)),"",IF(Reprogramaciones!V$12&gt;=7,"",IF(OR(CE231-N(CD231)&gt;0.05,N(AB231)&gt;0),ROUNDDOWN(ROUND(CE231,6),0)&amp;"%"&amp;IF(CU231="",""," / "&amp;CU231&amp;"%"),IF(AND(N(CD231)&gt;=99.95,CU231&lt;&gt;"",N(CU231)&lt;100),"Pend. "&amp;CU231&amp;"%",""))))</f>
        <v/>
      </c>
      <c r="AY231" s="40" t="str">
        <f aca="false">IF(OR(OR(NOT(AND(ISNUMBER(E231),ISNUMBER(F231))),$J$2=""),13&gt;MAX(1,Reprogramaciones!$U$15)),"",IF(Reprogramaciones!W$12&gt;=7,"",IF(OR(CF231-N(CE231)&gt;0.05,N(AC231)&gt;0),ROUNDDOWN(ROUND(CF231,6),0)&amp;"%"&amp;IF(CV231="",""," / "&amp;CV231&amp;"%"),IF(AND(N(CE231)&gt;=99.95,CV231&lt;&gt;"",N(CV231)&lt;100),"Pend. "&amp;CV231&amp;"%",""))))</f>
        <v/>
      </c>
      <c r="AZ231" s="40" t="str">
        <f aca="false">IF(OR(OR(NOT(AND(ISNUMBER(E231),ISNUMBER(F231))),$J$2=""),14&gt;MAX(1,Reprogramaciones!$U$15)),"",IF(Reprogramaciones!X$12&gt;=7,"",IF(OR(CG231-N(CF231)&gt;0.05,N(AD231)&gt;0),ROUNDDOWN(ROUND(CG231,6),0)&amp;"%"&amp;IF(CW231="",""," / "&amp;CW231&amp;"%"),IF(AND(N(CF231)&gt;=99.95,CW231&lt;&gt;"",N(CW231)&lt;100),"Pend. "&amp;CW231&amp;"%",""))))</f>
        <v/>
      </c>
      <c r="BA231" s="40" t="str">
        <f aca="false">IF(OR(OR(NOT(AND(ISNUMBER(E231),ISNUMBER(F231))),$J$2=""),15&gt;MAX(1,Reprogramaciones!$U$15)),"",IF(Reprogramaciones!Y$12&gt;=7,"",IF(OR(CH231-N(CG231)&gt;0.05,N(AE231)&gt;0),ROUNDDOWN(ROUND(CH231,6),0)&amp;"%"&amp;IF(CX231="",""," / "&amp;CX231&amp;"%"),IF(AND(N(CG231)&gt;=99.95,CX231&lt;&gt;"",N(CX231)&lt;100),"Pend. "&amp;CX231&amp;"%",""))))</f>
        <v/>
      </c>
      <c r="BB231" s="40" t="str">
        <f aca="false">IF(OR(OR(NOT(AND(ISNUMBER(E231),ISNUMBER(F231))),$J$2=""),16&gt;MAX(1,Reprogramaciones!$U$15)),"",IF(Reprogramaciones!Z$12&gt;=7,"",IF(OR(CI231-N(CH231)&gt;0.05,N(AF231)&gt;0),ROUNDDOWN(ROUND(CI231,6),0)&amp;"%"&amp;IF(CY231="",""," / "&amp;CY231&amp;"%"),IF(AND(N(CH231)&gt;=99.95,CY231&lt;&gt;"",N(CY231)&lt;100),"Pend. "&amp;CY231&amp;"%",""))))</f>
        <v/>
      </c>
      <c r="BC231" s="31" t="n">
        <f aca="false">IF(AND(ISNUMBER(E231),ISNUMBER(F231)),MAX(1,NETWORKDAYS.INTL(E231,F231,11)),0)</f>
        <v>0</v>
      </c>
      <c r="BD231" s="1" t="str">
        <f aca="false">IF(OR(NOT(AND(ISNUMBER(E231),ISNUMBER(F231))),$J$2=""),"",MIN(100,ROUND(SUM($G231:G231),1)))</f>
        <v/>
      </c>
      <c r="BE231" s="1" t="str">
        <f aca="false">IF(OR(NOT(AND(ISNUMBER(E231),ISNUMBER(F231))),$J$2=""),"",MIN(100,ROUND(SUM($G231:H231),1)))</f>
        <v/>
      </c>
      <c r="BF231" s="1" t="str">
        <f aca="false">IF(OR(NOT(AND(ISNUMBER(E231),ISNUMBER(F231))),$J$2=""),"",MIN(100,ROUND(SUM($G231:I231),1)))</f>
        <v/>
      </c>
      <c r="BG231" s="1" t="str">
        <f aca="false">IF(OR(NOT(AND(ISNUMBER(E231),ISNUMBER(F231))),$J$2=""),"",MIN(100,ROUND(SUM($G231:J231),1)))</f>
        <v/>
      </c>
      <c r="BH231" s="1" t="str">
        <f aca="false">IF(OR(NOT(AND(ISNUMBER(E231),ISNUMBER(F231))),$J$2=""),"",MIN(100,ROUND(SUM($G231:K231),1)))</f>
        <v/>
      </c>
      <c r="BI231" s="1" t="str">
        <f aca="false">IF(OR(NOT(AND(ISNUMBER(E231),ISNUMBER(F231))),$J$2=""),"",MIN(100,ROUND(SUM($G231:L231),1)))</f>
        <v/>
      </c>
      <c r="BJ231" s="1" t="str">
        <f aca="false">IF(OR(NOT(AND(ISNUMBER(E231),ISNUMBER(F231))),$J$2=""),"",MIN(100,ROUND(SUM($G231:M231),1)))</f>
        <v/>
      </c>
      <c r="BK231" s="1" t="str">
        <f aca="false">IF(OR(NOT(AND(ISNUMBER(E231),ISNUMBER(F231))),$J$2=""),"",MIN(100,ROUND(SUM($G231:N231),1)))</f>
        <v/>
      </c>
      <c r="BL231" s="1" t="str">
        <f aca="false">IF(OR(NOT(AND(ISNUMBER(E231),ISNUMBER(F231))),$J$2=""),"",MIN(100,ROUND(SUM($G231:O231),1)))</f>
        <v/>
      </c>
      <c r="BM231" s="1" t="str">
        <f aca="false">IF(OR(NOT(AND(ISNUMBER(E231),ISNUMBER(F231))),$J$2=""),"",MIN(100,ROUND(SUM($G231:P231),1)))</f>
        <v/>
      </c>
      <c r="BN231" s="1" t="str">
        <f aca="false">IF(OR(NOT(AND(ISNUMBER(E231),ISNUMBER(F231))),$J$2=""),"",MIN(100,ROUND(SUM($G231:P231),1)))</f>
        <v/>
      </c>
      <c r="BO231" s="1" t="str">
        <f aca="false">IF(OR(NOT(AND(ISNUMBER(E231),ISNUMBER(F231))),$J$2=""),"",MIN(100,ROUND(SUM($G231:P231),1)))</f>
        <v/>
      </c>
      <c r="BP231" s="1" t="str">
        <f aca="false">IF(OR(NOT(AND(ISNUMBER(E231),ISNUMBER(F231))),$J$2=""),"",MIN(100,ROUND(SUM($G231:P231),1)))</f>
        <v/>
      </c>
      <c r="BQ231" s="1" t="str">
        <f aca="false">IF(OR(NOT(AND(ISNUMBER(E231),ISNUMBER(F231))),$J$2=""),"",MIN(100,ROUND(SUM($G231:P231),1)))</f>
        <v/>
      </c>
      <c r="BR231" s="1" t="str">
        <f aca="false">IF(OR(NOT(AND(ISNUMBER(E231),ISNUMBER(F231))),$J$2=""),"",MIN(100,ROUND(SUM($G231:P231),1)))</f>
        <v/>
      </c>
      <c r="BS231" s="1" t="str">
        <f aca="false">IF(OR(NOT(AND(ISNUMBER(E231),ISNUMBER(F231))),$J$2=""),"",MIN(100,ROUND(SUM($G231:P231),1)))</f>
        <v/>
      </c>
      <c r="BT231" s="1" t="str">
        <f aca="false">IF(OR(NOT(AND(ISNUMBER(E231),ISNUMBER(F231))),$J$2=""),"",IF(Reprogramaciones!K$13&lt;Reprogramaciones!$T$15,0,IF(Reprogramaciones!K$14&gt;10,MIN(100,SUM($G231:$P231)),MIN(100,SUMPRODUCT((COLUMN($G231:$P231)-COLUMN($G231)+1&lt;Reprogramaciones!K$14)*$G231:$P231)+N(INDEX($G231:$P231,1,Reprogramaciones!K$14))*IF(Reprogramaciones!K$13&gt;=(Reprogramaciones!$T$15+7*(Reprogramaciones!K$14-1))+6,1,IF(MAX(0,NETWORKDAYS.INTL(MAX(E231,(Reprogramaciones!$T$15+7*(Reprogramaciones!K$14-1))),MIN(F231,(Reprogramaciones!$T$15+7*(Reprogramaciones!K$14-1))+6),11))=0,0,MAX(0,NETWORKDAYS.INTL(MAX(E231,(Reprogramaciones!$T$15+7*(Reprogramaciones!K$14-1))),MIN(F231,Reprogramaciones!K$13),11))/MAX(0,NETWORKDAYS.INTL(MAX(E231,(Reprogramaciones!$T$15+7*(Reprogramaciones!K$14-1))),MIN(F231,(Reprogramaciones!$T$15+7*(Reprogramaciones!K$14-1))+6),11))))))))</f>
        <v/>
      </c>
      <c r="BU231" s="1" t="str">
        <f aca="false">IF(OR(NOT(AND(ISNUMBER(E231),ISNUMBER(F231))),$J$2=""),"",IF(Reprogramaciones!L$13&lt;Reprogramaciones!$T$15,0,IF(Reprogramaciones!L$14&gt;10,MIN(100,SUM($G231:$P231)),MIN(100,SUMPRODUCT((COLUMN($G231:$P231)-COLUMN($G231)+1&lt;Reprogramaciones!L$14)*$G231:$P231)+N(INDEX($G231:$P231,1,Reprogramaciones!L$14))*IF(Reprogramaciones!L$13&gt;=(Reprogramaciones!$T$15+7*(Reprogramaciones!L$14-1))+6,1,IF(MAX(0,NETWORKDAYS.INTL(MAX(E231,(Reprogramaciones!$T$15+7*(Reprogramaciones!L$14-1))),MIN(F231,(Reprogramaciones!$T$15+7*(Reprogramaciones!L$14-1))+6),11))=0,0,MAX(0,NETWORKDAYS.INTL(MAX(E231,(Reprogramaciones!$T$15+7*(Reprogramaciones!L$14-1))),MIN(F231,Reprogramaciones!L$13),11))/MAX(0,NETWORKDAYS.INTL(MAX(E231,(Reprogramaciones!$T$15+7*(Reprogramaciones!L$14-1))),MIN(F231,(Reprogramaciones!$T$15+7*(Reprogramaciones!L$14-1))+6),11))))))))</f>
        <v/>
      </c>
      <c r="BV231" s="1" t="str">
        <f aca="false">IF(OR(NOT(AND(ISNUMBER(E231),ISNUMBER(F231))),$J$2=""),"",IF(Reprogramaciones!M$13&lt;Reprogramaciones!$T$15,0,IF(Reprogramaciones!M$14&gt;10,MIN(100,SUM($G231:$P231)),MIN(100,SUMPRODUCT((COLUMN($G231:$P231)-COLUMN($G231)+1&lt;Reprogramaciones!M$14)*$G231:$P231)+N(INDEX($G231:$P231,1,Reprogramaciones!M$14))*IF(Reprogramaciones!M$13&gt;=(Reprogramaciones!$T$15+7*(Reprogramaciones!M$14-1))+6,1,IF(MAX(0,NETWORKDAYS.INTL(MAX(E231,(Reprogramaciones!$T$15+7*(Reprogramaciones!M$14-1))),MIN(F231,(Reprogramaciones!$T$15+7*(Reprogramaciones!M$14-1))+6),11))=0,0,MAX(0,NETWORKDAYS.INTL(MAX(E231,(Reprogramaciones!$T$15+7*(Reprogramaciones!M$14-1))),MIN(F231,Reprogramaciones!M$13),11))/MAX(0,NETWORKDAYS.INTL(MAX(E231,(Reprogramaciones!$T$15+7*(Reprogramaciones!M$14-1))),MIN(F231,(Reprogramaciones!$T$15+7*(Reprogramaciones!M$14-1))+6),11))))))))</f>
        <v/>
      </c>
      <c r="BW231" s="1" t="str">
        <f aca="false">IF(OR(NOT(AND(ISNUMBER(E231),ISNUMBER(F231))),$J$2=""),"",IF(Reprogramaciones!N$13&lt;Reprogramaciones!$T$15,0,IF(Reprogramaciones!N$14&gt;10,MIN(100,SUM($G231:$P231)),MIN(100,SUMPRODUCT((COLUMN($G231:$P231)-COLUMN($G231)+1&lt;Reprogramaciones!N$14)*$G231:$P231)+N(INDEX($G231:$P231,1,Reprogramaciones!N$14))*IF(Reprogramaciones!N$13&gt;=(Reprogramaciones!$T$15+7*(Reprogramaciones!N$14-1))+6,1,IF(MAX(0,NETWORKDAYS.INTL(MAX(E231,(Reprogramaciones!$T$15+7*(Reprogramaciones!N$14-1))),MIN(F231,(Reprogramaciones!$T$15+7*(Reprogramaciones!N$14-1))+6),11))=0,0,MAX(0,NETWORKDAYS.INTL(MAX(E231,(Reprogramaciones!$T$15+7*(Reprogramaciones!N$14-1))),MIN(F231,Reprogramaciones!N$13),11))/MAX(0,NETWORKDAYS.INTL(MAX(E231,(Reprogramaciones!$T$15+7*(Reprogramaciones!N$14-1))),MIN(F231,(Reprogramaciones!$T$15+7*(Reprogramaciones!N$14-1))+6),11))))))))</f>
        <v/>
      </c>
      <c r="BX231" s="1" t="str">
        <f aca="false">IF(OR(NOT(AND(ISNUMBER(E231),ISNUMBER(F231))),$J$2=""),"",IF(Reprogramaciones!O$13&lt;Reprogramaciones!$T$15,0,IF(Reprogramaciones!O$14&gt;10,MIN(100,SUM($G231:$P231)),MIN(100,SUMPRODUCT((COLUMN($G231:$P231)-COLUMN($G231)+1&lt;Reprogramaciones!O$14)*$G231:$P231)+N(INDEX($G231:$P231,1,Reprogramaciones!O$14))*IF(Reprogramaciones!O$13&gt;=(Reprogramaciones!$T$15+7*(Reprogramaciones!O$14-1))+6,1,IF(MAX(0,NETWORKDAYS.INTL(MAX(E231,(Reprogramaciones!$T$15+7*(Reprogramaciones!O$14-1))),MIN(F231,(Reprogramaciones!$T$15+7*(Reprogramaciones!O$14-1))+6),11))=0,0,MAX(0,NETWORKDAYS.INTL(MAX(E231,(Reprogramaciones!$T$15+7*(Reprogramaciones!O$14-1))),MIN(F231,Reprogramaciones!O$13),11))/MAX(0,NETWORKDAYS.INTL(MAX(E231,(Reprogramaciones!$T$15+7*(Reprogramaciones!O$14-1))),MIN(F231,(Reprogramaciones!$T$15+7*(Reprogramaciones!O$14-1))+6),11))))))))</f>
        <v/>
      </c>
      <c r="BY231" s="1" t="str">
        <f aca="false">IF(OR(NOT(AND(ISNUMBER(E231),ISNUMBER(F231))),$J$2=""),"",IF(Reprogramaciones!P$13&lt;Reprogramaciones!$T$15,0,IF(Reprogramaciones!P$14&gt;10,MIN(100,SUM($G231:$P231)),MIN(100,SUMPRODUCT((COLUMN($G231:$P231)-COLUMN($G231)+1&lt;Reprogramaciones!P$14)*$G231:$P231)+N(INDEX($G231:$P231,1,Reprogramaciones!P$14))*IF(Reprogramaciones!P$13&gt;=(Reprogramaciones!$T$15+7*(Reprogramaciones!P$14-1))+6,1,IF(MAX(0,NETWORKDAYS.INTL(MAX(E231,(Reprogramaciones!$T$15+7*(Reprogramaciones!P$14-1))),MIN(F231,(Reprogramaciones!$T$15+7*(Reprogramaciones!P$14-1))+6),11))=0,0,MAX(0,NETWORKDAYS.INTL(MAX(E231,(Reprogramaciones!$T$15+7*(Reprogramaciones!P$14-1))),MIN(F231,Reprogramaciones!P$13),11))/MAX(0,NETWORKDAYS.INTL(MAX(E231,(Reprogramaciones!$T$15+7*(Reprogramaciones!P$14-1))),MIN(F231,(Reprogramaciones!$T$15+7*(Reprogramaciones!P$14-1))+6),11))))))))</f>
        <v/>
      </c>
      <c r="BZ231" s="1" t="str">
        <f aca="false">IF(OR(NOT(AND(ISNUMBER(E231),ISNUMBER(F231))),$J$2=""),"",IF(Reprogramaciones!Q$13&lt;Reprogramaciones!$T$15,0,IF(Reprogramaciones!Q$14&gt;10,MIN(100,SUM($G231:$P231)),MIN(100,SUMPRODUCT((COLUMN($G231:$P231)-COLUMN($G231)+1&lt;Reprogramaciones!Q$14)*$G231:$P231)+N(INDEX($G231:$P231,1,Reprogramaciones!Q$14))*IF(Reprogramaciones!Q$13&gt;=(Reprogramaciones!$T$15+7*(Reprogramaciones!Q$14-1))+6,1,IF(MAX(0,NETWORKDAYS.INTL(MAX(E231,(Reprogramaciones!$T$15+7*(Reprogramaciones!Q$14-1))),MIN(F231,(Reprogramaciones!$T$15+7*(Reprogramaciones!Q$14-1))+6),11))=0,0,MAX(0,NETWORKDAYS.INTL(MAX(E231,(Reprogramaciones!$T$15+7*(Reprogramaciones!Q$14-1))),MIN(F231,Reprogramaciones!Q$13),11))/MAX(0,NETWORKDAYS.INTL(MAX(E231,(Reprogramaciones!$T$15+7*(Reprogramaciones!Q$14-1))),MIN(F231,(Reprogramaciones!$T$15+7*(Reprogramaciones!Q$14-1))+6),11))))))))</f>
        <v/>
      </c>
      <c r="CA231" s="1" t="str">
        <f aca="false">IF(OR(NOT(AND(ISNUMBER(E231),ISNUMBER(F231))),$J$2=""),"",IF(Reprogramaciones!R$13&lt;Reprogramaciones!$T$15,0,IF(Reprogramaciones!R$14&gt;10,MIN(100,SUM($G231:$P231)),MIN(100,SUMPRODUCT((COLUMN($G231:$P231)-COLUMN($G231)+1&lt;Reprogramaciones!R$14)*$G231:$P231)+N(INDEX($G231:$P231,1,Reprogramaciones!R$14))*IF(Reprogramaciones!R$13&gt;=(Reprogramaciones!$T$15+7*(Reprogramaciones!R$14-1))+6,1,IF(MAX(0,NETWORKDAYS.INTL(MAX(E231,(Reprogramaciones!$T$15+7*(Reprogramaciones!R$14-1))),MIN(F231,(Reprogramaciones!$T$15+7*(Reprogramaciones!R$14-1))+6),11))=0,0,MAX(0,NETWORKDAYS.INTL(MAX(E231,(Reprogramaciones!$T$15+7*(Reprogramaciones!R$14-1))),MIN(F231,Reprogramaciones!R$13),11))/MAX(0,NETWORKDAYS.INTL(MAX(E231,(Reprogramaciones!$T$15+7*(Reprogramaciones!R$14-1))),MIN(F231,(Reprogramaciones!$T$15+7*(Reprogramaciones!R$14-1))+6),11))))))))</f>
        <v/>
      </c>
      <c r="CB231" s="1" t="str">
        <f aca="false">IF(OR(NOT(AND(ISNUMBER(E231),ISNUMBER(F231))),$J$2=""),"",IF(Reprogramaciones!S$13&lt;Reprogramaciones!$T$15,0,IF(Reprogramaciones!S$14&gt;10,MIN(100,SUM($G231:$P231)),MIN(100,SUMPRODUCT((COLUMN($G231:$P231)-COLUMN($G231)+1&lt;Reprogramaciones!S$14)*$G231:$P231)+N(INDEX($G231:$P231,1,Reprogramaciones!S$14))*IF(Reprogramaciones!S$13&gt;=(Reprogramaciones!$T$15+7*(Reprogramaciones!S$14-1))+6,1,IF(MAX(0,NETWORKDAYS.INTL(MAX(E231,(Reprogramaciones!$T$15+7*(Reprogramaciones!S$14-1))),MIN(F231,(Reprogramaciones!$T$15+7*(Reprogramaciones!S$14-1))+6),11))=0,0,MAX(0,NETWORKDAYS.INTL(MAX(E231,(Reprogramaciones!$T$15+7*(Reprogramaciones!S$14-1))),MIN(F231,Reprogramaciones!S$13),11))/MAX(0,NETWORKDAYS.INTL(MAX(E231,(Reprogramaciones!$T$15+7*(Reprogramaciones!S$14-1))),MIN(F231,(Reprogramaciones!$T$15+7*(Reprogramaciones!S$14-1))+6),11))))))))</f>
        <v/>
      </c>
      <c r="CC231" s="1" t="str">
        <f aca="false">IF(OR(NOT(AND(ISNUMBER(E231),ISNUMBER(F231))),$J$2=""),"",IF(Reprogramaciones!T$13&lt;Reprogramaciones!$T$15,0,IF(Reprogramaciones!T$14&gt;10,MIN(100,SUM($G231:$P231)),MIN(100,SUMPRODUCT((COLUMN($G231:$P231)-COLUMN($G231)+1&lt;Reprogramaciones!T$14)*$G231:$P231)+N(INDEX($G231:$P231,1,Reprogramaciones!T$14))*IF(Reprogramaciones!T$13&gt;=(Reprogramaciones!$T$15+7*(Reprogramaciones!T$14-1))+6,1,IF(MAX(0,NETWORKDAYS.INTL(MAX(E231,(Reprogramaciones!$T$15+7*(Reprogramaciones!T$14-1))),MIN(F231,(Reprogramaciones!$T$15+7*(Reprogramaciones!T$14-1))+6),11))=0,0,MAX(0,NETWORKDAYS.INTL(MAX(E231,(Reprogramaciones!$T$15+7*(Reprogramaciones!T$14-1))),MIN(F231,Reprogramaciones!T$13),11))/MAX(0,NETWORKDAYS.INTL(MAX(E231,(Reprogramaciones!$T$15+7*(Reprogramaciones!T$14-1))),MIN(F231,(Reprogramaciones!$T$15+7*(Reprogramaciones!T$14-1))+6),11))))))))</f>
        <v/>
      </c>
      <c r="CD231" s="1" t="str">
        <f aca="false">IF(OR(NOT(AND(ISNUMBER(E231),ISNUMBER(F231))),$J$2=""),"",IF(Reprogramaciones!U$13&lt;Reprogramaciones!$T$15,0,IF(Reprogramaciones!U$14&gt;10,MIN(100,SUM($G231:$P231)),MIN(100,SUMPRODUCT((COLUMN($G231:$P231)-COLUMN($G231)+1&lt;Reprogramaciones!U$14)*$G231:$P231)+N(INDEX($G231:$P231,1,Reprogramaciones!U$14))*IF(Reprogramaciones!U$13&gt;=(Reprogramaciones!$T$15+7*(Reprogramaciones!U$14-1))+6,1,IF(MAX(0,NETWORKDAYS.INTL(MAX(E231,(Reprogramaciones!$T$15+7*(Reprogramaciones!U$14-1))),MIN(F231,(Reprogramaciones!$T$15+7*(Reprogramaciones!U$14-1))+6),11))=0,0,MAX(0,NETWORKDAYS.INTL(MAX(E231,(Reprogramaciones!$T$15+7*(Reprogramaciones!U$14-1))),MIN(F231,Reprogramaciones!U$13),11))/MAX(0,NETWORKDAYS.INTL(MAX(E231,(Reprogramaciones!$T$15+7*(Reprogramaciones!U$14-1))),MIN(F231,(Reprogramaciones!$T$15+7*(Reprogramaciones!U$14-1))+6),11))))))))</f>
        <v/>
      </c>
      <c r="CE231" s="1" t="str">
        <f aca="false">IF(OR(NOT(AND(ISNUMBER(E231),ISNUMBER(F231))),$J$2=""),"",IF(Reprogramaciones!V$13&lt;Reprogramaciones!$T$15,0,IF(Reprogramaciones!V$14&gt;10,MIN(100,SUM($G231:$P231)),MIN(100,SUMPRODUCT((COLUMN($G231:$P231)-COLUMN($G231)+1&lt;Reprogramaciones!V$14)*$G231:$P231)+N(INDEX($G231:$P231,1,Reprogramaciones!V$14))*IF(Reprogramaciones!V$13&gt;=(Reprogramaciones!$T$15+7*(Reprogramaciones!V$14-1))+6,1,IF(MAX(0,NETWORKDAYS.INTL(MAX(E231,(Reprogramaciones!$T$15+7*(Reprogramaciones!V$14-1))),MIN(F231,(Reprogramaciones!$T$15+7*(Reprogramaciones!V$14-1))+6),11))=0,0,MAX(0,NETWORKDAYS.INTL(MAX(E231,(Reprogramaciones!$T$15+7*(Reprogramaciones!V$14-1))),MIN(F231,Reprogramaciones!V$13),11))/MAX(0,NETWORKDAYS.INTL(MAX(E231,(Reprogramaciones!$T$15+7*(Reprogramaciones!V$14-1))),MIN(F231,(Reprogramaciones!$T$15+7*(Reprogramaciones!V$14-1))+6),11))))))))</f>
        <v/>
      </c>
      <c r="CF231" s="1" t="str">
        <f aca="false">IF(OR(NOT(AND(ISNUMBER(E231),ISNUMBER(F231))),$J$2=""),"",IF(Reprogramaciones!W$13&lt;Reprogramaciones!$T$15,0,IF(Reprogramaciones!W$14&gt;10,MIN(100,SUM($G231:$P231)),MIN(100,SUMPRODUCT((COLUMN($G231:$P231)-COLUMN($G231)+1&lt;Reprogramaciones!W$14)*$G231:$P231)+N(INDEX($G231:$P231,1,Reprogramaciones!W$14))*IF(Reprogramaciones!W$13&gt;=(Reprogramaciones!$T$15+7*(Reprogramaciones!W$14-1))+6,1,IF(MAX(0,NETWORKDAYS.INTL(MAX(E231,(Reprogramaciones!$T$15+7*(Reprogramaciones!W$14-1))),MIN(F231,(Reprogramaciones!$T$15+7*(Reprogramaciones!W$14-1))+6),11))=0,0,MAX(0,NETWORKDAYS.INTL(MAX(E231,(Reprogramaciones!$T$15+7*(Reprogramaciones!W$14-1))),MIN(F231,Reprogramaciones!W$13),11))/MAX(0,NETWORKDAYS.INTL(MAX(E231,(Reprogramaciones!$T$15+7*(Reprogramaciones!W$14-1))),MIN(F231,(Reprogramaciones!$T$15+7*(Reprogramaciones!W$14-1))+6),11))))))))</f>
        <v/>
      </c>
      <c r="CG231" s="1" t="str">
        <f aca="false">IF(OR(NOT(AND(ISNUMBER(E231),ISNUMBER(F231))),$J$2=""),"",IF(Reprogramaciones!X$13&lt;Reprogramaciones!$T$15,0,IF(Reprogramaciones!X$14&gt;10,MIN(100,SUM($G231:$P231)),MIN(100,SUMPRODUCT((COLUMN($G231:$P231)-COLUMN($G231)+1&lt;Reprogramaciones!X$14)*$G231:$P231)+N(INDEX($G231:$P231,1,Reprogramaciones!X$14))*IF(Reprogramaciones!X$13&gt;=(Reprogramaciones!$T$15+7*(Reprogramaciones!X$14-1))+6,1,IF(MAX(0,NETWORKDAYS.INTL(MAX(E231,(Reprogramaciones!$T$15+7*(Reprogramaciones!X$14-1))),MIN(F231,(Reprogramaciones!$T$15+7*(Reprogramaciones!X$14-1))+6),11))=0,0,MAX(0,NETWORKDAYS.INTL(MAX(E231,(Reprogramaciones!$T$15+7*(Reprogramaciones!X$14-1))),MIN(F231,Reprogramaciones!X$13),11))/MAX(0,NETWORKDAYS.INTL(MAX(E231,(Reprogramaciones!$T$15+7*(Reprogramaciones!X$14-1))),MIN(F231,(Reprogramaciones!$T$15+7*(Reprogramaciones!X$14-1))+6),11))))))))</f>
        <v/>
      </c>
      <c r="CH231" s="1" t="str">
        <f aca="false">IF(OR(NOT(AND(ISNUMBER(E231),ISNUMBER(F231))),$J$2=""),"",IF(Reprogramaciones!Y$13&lt;Reprogramaciones!$T$15,0,IF(Reprogramaciones!Y$14&gt;10,MIN(100,SUM($G231:$P231)),MIN(100,SUMPRODUCT((COLUMN($G231:$P231)-COLUMN($G231)+1&lt;Reprogramaciones!Y$14)*$G231:$P231)+N(INDEX($G231:$P231,1,Reprogramaciones!Y$14))*IF(Reprogramaciones!Y$13&gt;=(Reprogramaciones!$T$15+7*(Reprogramaciones!Y$14-1))+6,1,IF(MAX(0,NETWORKDAYS.INTL(MAX(E231,(Reprogramaciones!$T$15+7*(Reprogramaciones!Y$14-1))),MIN(F231,(Reprogramaciones!$T$15+7*(Reprogramaciones!Y$14-1))+6),11))=0,0,MAX(0,NETWORKDAYS.INTL(MAX(E231,(Reprogramaciones!$T$15+7*(Reprogramaciones!Y$14-1))),MIN(F231,Reprogramaciones!Y$13),11))/MAX(0,NETWORKDAYS.INTL(MAX(E231,(Reprogramaciones!$T$15+7*(Reprogramaciones!Y$14-1))),MIN(F231,(Reprogramaciones!$T$15+7*(Reprogramaciones!Y$14-1))+6),11))))))))</f>
        <v/>
      </c>
      <c r="CI231" s="1" t="str">
        <f aca="false">IF(OR(NOT(AND(ISNUMBER(E231),ISNUMBER(F231))),$J$2=""),"",IF(Reprogramaciones!Z$13&lt;Reprogramaciones!$T$15,0,IF(Reprogramaciones!Z$14&gt;10,MIN(100,SUM($G231:$P231)),MIN(100,SUMPRODUCT((COLUMN($G231:$P231)-COLUMN($G231)+1&lt;Reprogramaciones!Z$14)*$G231:$P231)+N(INDEX($G231:$P231,1,Reprogramaciones!Z$14))*IF(Reprogramaciones!Z$13&gt;=(Reprogramaciones!$T$15+7*(Reprogramaciones!Z$14-1))+6,1,IF(MAX(0,NETWORKDAYS.INTL(MAX(E231,(Reprogramaciones!$T$15+7*(Reprogramaciones!Z$14-1))),MIN(F231,(Reprogramaciones!$T$15+7*(Reprogramaciones!Z$14-1))+6),11))=0,0,MAX(0,NETWORKDAYS.INTL(MAX(E231,(Reprogramaciones!$T$15+7*(Reprogramaciones!Z$14-1))),MIN(F231,Reprogramaciones!Z$13),11))/MAX(0,NETWORKDAYS.INTL(MAX(E231,(Reprogramaciones!$T$15+7*(Reprogramaciones!Z$14-1))),MIN(F231,(Reprogramaciones!$T$15+7*(Reprogramaciones!Z$14-1))+6),11))))))))</f>
        <v/>
      </c>
      <c r="CJ231" s="1" t="str">
        <f aca="false">IF(OR(OR(NOT(AND(ISNUMBER(E231),ISNUMBER(F231))),$J$2=""),1&gt;Reprogramaciones!$K$16),"",IF(ROUND(SUM($Q231:Q231),1)&gt;=99.5,100,MIN(100,ROUND(SUM($Q231:Q231),1))))</f>
        <v/>
      </c>
      <c r="CK231" s="1" t="str">
        <f aca="false">IF(OR(OR(NOT(AND(ISNUMBER(E231),ISNUMBER(F231))),$J$2=""),2&gt;Reprogramaciones!$K$16),"",IF(ROUND(SUM($Q231:R231),1)&gt;=99.5,100,MIN(100,ROUND(SUM($Q231:R231),1))))</f>
        <v/>
      </c>
      <c r="CL231" s="1" t="str">
        <f aca="false">IF(OR(OR(NOT(AND(ISNUMBER(E231),ISNUMBER(F231))),$J$2=""),3&gt;Reprogramaciones!$K$16),"",IF(ROUND(SUM($Q231:S231),1)&gt;=99.5,100,MIN(100,ROUND(SUM($Q231:S231),1))))</f>
        <v/>
      </c>
      <c r="CM231" s="1" t="str">
        <f aca="false">IF(OR(OR(NOT(AND(ISNUMBER(E231),ISNUMBER(F231))),$J$2=""),4&gt;Reprogramaciones!$K$16),"",IF(ROUND(SUM($Q231:T231),1)&gt;=99.5,100,MIN(100,ROUND(SUM($Q231:T231),1))))</f>
        <v/>
      </c>
      <c r="CN231" s="1" t="str">
        <f aca="false">IF(OR(OR(NOT(AND(ISNUMBER(E231),ISNUMBER(F231))),$J$2=""),5&gt;Reprogramaciones!$K$16),"",IF(ROUND(SUM($Q231:U231),1)&gt;=99.5,100,MIN(100,ROUND(SUM($Q231:U231),1))))</f>
        <v/>
      </c>
      <c r="CO231" s="1" t="str">
        <f aca="false">IF(OR(OR(NOT(AND(ISNUMBER(E231),ISNUMBER(F231))),$J$2=""),6&gt;Reprogramaciones!$K$16),"",IF(ROUND(SUM($Q231:V231),1)&gt;=99.5,100,MIN(100,ROUND(SUM($Q231:V231),1))))</f>
        <v/>
      </c>
      <c r="CP231" s="1" t="str">
        <f aca="false">IF(OR(OR(NOT(AND(ISNUMBER(E231),ISNUMBER(F231))),$J$2=""),7&gt;Reprogramaciones!$K$16),"",IF(ROUND(SUM($Q231:W231),1)&gt;=99.5,100,MIN(100,ROUND(SUM($Q231:W231),1))))</f>
        <v/>
      </c>
      <c r="CQ231" s="1" t="str">
        <f aca="false">IF(OR(OR(NOT(AND(ISNUMBER(E231),ISNUMBER(F231))),$J$2=""),8&gt;Reprogramaciones!$K$16),"",IF(ROUND(SUM($Q231:X231),1)&gt;=99.5,100,MIN(100,ROUND(SUM($Q231:X231),1))))</f>
        <v/>
      </c>
      <c r="CR231" s="1" t="str">
        <f aca="false">IF(OR(OR(NOT(AND(ISNUMBER(E231),ISNUMBER(F231))),$J$2=""),9&gt;Reprogramaciones!$K$16),"",IF(ROUND(SUM($Q231:Y231),1)&gt;=99.5,100,MIN(100,ROUND(SUM($Q231:Y231),1))))</f>
        <v/>
      </c>
      <c r="CS231" s="1" t="str">
        <f aca="false">IF(OR(OR(NOT(AND(ISNUMBER(E231),ISNUMBER(F231))),$J$2=""),10&gt;Reprogramaciones!$K$16),"",IF(ROUND(SUM($Q231:Z231),1)&gt;=99.5,100,MIN(100,ROUND(SUM($Q231:Z231),1))))</f>
        <v/>
      </c>
      <c r="CT231" s="1" t="str">
        <f aca="false">IF(OR(OR(NOT(AND(ISNUMBER(E231),ISNUMBER(F231))),$J$2=""),11&gt;Reprogramaciones!$K$16),"",IF(ROUND(SUM($Q231:AA231),1)&gt;=99.5,100,MIN(100,ROUND(SUM($Q231:AA231),1))))</f>
        <v/>
      </c>
      <c r="CU231" s="1" t="str">
        <f aca="false">IF(OR(OR(NOT(AND(ISNUMBER(E231),ISNUMBER(F231))),$J$2=""),12&gt;Reprogramaciones!$K$16),"",IF(ROUND(SUM($Q231:AB231),1)&gt;=99.5,100,MIN(100,ROUND(SUM($Q231:AB231),1))))</f>
        <v/>
      </c>
      <c r="CV231" s="1" t="str">
        <f aca="false">IF(OR(OR(NOT(AND(ISNUMBER(E231),ISNUMBER(F231))),$J$2=""),13&gt;Reprogramaciones!$K$16),"",IF(ROUND(SUM($Q231:AC231),1)&gt;=99.5,100,MIN(100,ROUND(SUM($Q231:AC231),1))))</f>
        <v/>
      </c>
      <c r="CW231" s="1" t="str">
        <f aca="false">IF(OR(OR(NOT(AND(ISNUMBER(E231),ISNUMBER(F231))),$J$2=""),14&gt;Reprogramaciones!$K$16),"",IF(ROUND(SUM($Q231:AD231),1)&gt;=99.5,100,MIN(100,ROUND(SUM($Q231:AD231),1))))</f>
        <v/>
      </c>
      <c r="CX231" s="1" t="str">
        <f aca="false">IF(OR(OR(NOT(AND(ISNUMBER(E231),ISNUMBER(F231))),$J$2=""),15&gt;Reprogramaciones!$K$16),"",IF(ROUND(SUM($Q231:AE231),1)&gt;=99.5,100,MIN(100,ROUND(SUM($Q231:AE231),1))))</f>
        <v/>
      </c>
      <c r="CY231" s="1" t="str">
        <f aca="false">IF(OR(OR(NOT(AND(ISNUMBER(E231),ISNUMBER(F231))),$J$2=""),16&gt;Reprogramaciones!$K$16),"",IF(ROUND(SUM($Q231:AF231),1)&gt;=99.5,100,MIN(100,ROUND(SUM($Q231:AF231),1))))</f>
        <v/>
      </c>
      <c r="CZ231" s="1" t="str">
        <f aca="false">IF(D231&lt;&gt;"",D231,IF(B231&lt;&gt;"","Contractual",CZ230))</f>
        <v>Contractual</v>
      </c>
      <c r="DA231" s="1" t="str">
        <f aca="false">IF(OR(NOT(AND(ISNUMBER(E231),ISNUMBER(F231))),$J$2=""),"",IF(Reprogramaciones!$Q$15&lt;Reprogramaciones!$T$15,0,IF(Reprogramaciones!$S$15&gt;10,MIN(100,SUM($G231:$P231)),MIN(100,SUMPRODUCT((COLUMN($G231:$P231)-COLUMN($G231)+1&lt;Reprogramaciones!$S$15)*$G231:$P231)+N(INDEX($G231:$P231,1,Reprogramaciones!$S$15))*IF(Reprogramaciones!$Q$15&gt;=(Reprogramaciones!$T$15+7*(Reprogramaciones!$S$15-1))+6,1,IF(MAX(0,NETWORKDAYS.INTL(MAX(E231,(Reprogramaciones!$T$15+7*(Reprogramaciones!$S$15-1))),MIN(F231,(Reprogramaciones!$T$15+7*(Reprogramaciones!$S$15-1))+6),11))=0,0,MAX(0,NETWORKDAYS.INTL(MAX(E231,(Reprogramaciones!$T$15+7*(Reprogramaciones!$S$15-1))),MIN(F231,Reprogramaciones!$Q$15),11))/MAX(0,NETWORKDAYS.INTL(MAX(E231,(Reprogramaciones!$T$15+7*(Reprogramaciones!$S$15-1))),MIN(F231,(Reprogramaciones!$T$15+7*(Reprogramaciones!$S$15-1))+6),11))))))))</f>
        <v/>
      </c>
    </row>
    <row r="232" customFormat="false" ht="15" hidden="false" customHeight="false" outlineLevel="0" collapsed="false">
      <c r="A232" s="32"/>
      <c r="B232" s="33"/>
      <c r="C232" s="33"/>
      <c r="D232" s="34"/>
      <c r="E232" s="35"/>
      <c r="F232" s="35"/>
      <c r="G232" s="36" t="str">
        <f aca="false">IF(OR(NOT(AND(ISNUMBER(E232),ISNUMBER(F232))),$J$2=""),"",IF(Reprogramaciones!K$9&lt;E232,0,IF(NETWORKDAYS.INTL(E232,F232,11)=0,IF(Reprogramaciones!K$9&gt;=F232,100,0),ROUND(NETWORKDAYS.INTL(E232,MIN(F232,Reprogramaciones!K$9),11)/NETWORKDAYS.INTL(E232,F232,11)*100,1)))-0)</f>
        <v/>
      </c>
      <c r="H232" s="36" t="str">
        <f aca="false">IF(OR(NOT(AND(ISNUMBER(E232),ISNUMBER(F232))),$J$2=""),"",IF(Reprogramaciones!L$9&lt;E232,0,IF(NETWORKDAYS.INTL(E232,F232,11)=0,IF(Reprogramaciones!L$9&gt;=F232,100,0),ROUND(NETWORKDAYS.INTL(E232,MIN(F232,Reprogramaciones!L$9),11)/NETWORKDAYS.INTL(E232,F232,11)*100,1)))-IF(Reprogramaciones!K$9&lt;E232,0,IF(NETWORKDAYS.INTL(E232,F232,11)=0,IF(Reprogramaciones!K$9&gt;=F232,100,0),ROUND(NETWORKDAYS.INTL(E232,MIN(F232,Reprogramaciones!K$9),11)/NETWORKDAYS.INTL(E232,F232,11)*100,1))))</f>
        <v/>
      </c>
      <c r="I232" s="36" t="str">
        <f aca="false">IF(OR(NOT(AND(ISNUMBER(E232),ISNUMBER(F232))),$J$2=""),"",IF(Reprogramaciones!M$9&lt;E232,0,IF(NETWORKDAYS.INTL(E232,F232,11)=0,IF(Reprogramaciones!M$9&gt;=F232,100,0),ROUND(NETWORKDAYS.INTL(E232,MIN(F232,Reprogramaciones!M$9),11)/NETWORKDAYS.INTL(E232,F232,11)*100,1)))-IF(Reprogramaciones!L$9&lt;E232,0,IF(NETWORKDAYS.INTL(E232,F232,11)=0,IF(Reprogramaciones!L$9&gt;=F232,100,0),ROUND(NETWORKDAYS.INTL(E232,MIN(F232,Reprogramaciones!L$9),11)/NETWORKDAYS.INTL(E232,F232,11)*100,1))))</f>
        <v/>
      </c>
      <c r="J232" s="36" t="str">
        <f aca="false">IF(OR(NOT(AND(ISNUMBER(E232),ISNUMBER(F232))),$J$2=""),"",IF(Reprogramaciones!N$9&lt;E232,0,IF(NETWORKDAYS.INTL(E232,F232,11)=0,IF(Reprogramaciones!N$9&gt;=F232,100,0),ROUND(NETWORKDAYS.INTL(E232,MIN(F232,Reprogramaciones!N$9),11)/NETWORKDAYS.INTL(E232,F232,11)*100,1)))-IF(Reprogramaciones!M$9&lt;E232,0,IF(NETWORKDAYS.INTL(E232,F232,11)=0,IF(Reprogramaciones!M$9&gt;=F232,100,0),ROUND(NETWORKDAYS.INTL(E232,MIN(F232,Reprogramaciones!M$9),11)/NETWORKDAYS.INTL(E232,F232,11)*100,1))))</f>
        <v/>
      </c>
      <c r="K232" s="36" t="str">
        <f aca="false">IF(OR(NOT(AND(ISNUMBER(E232),ISNUMBER(F232))),$J$2=""),"",IF(Reprogramaciones!O$9&lt;E232,0,IF(NETWORKDAYS.INTL(E232,F232,11)=0,IF(Reprogramaciones!O$9&gt;=F232,100,0),ROUND(NETWORKDAYS.INTL(E232,MIN(F232,Reprogramaciones!O$9),11)/NETWORKDAYS.INTL(E232,F232,11)*100,1)))-IF(Reprogramaciones!N$9&lt;E232,0,IF(NETWORKDAYS.INTL(E232,F232,11)=0,IF(Reprogramaciones!N$9&gt;=F232,100,0),ROUND(NETWORKDAYS.INTL(E232,MIN(F232,Reprogramaciones!N$9),11)/NETWORKDAYS.INTL(E232,F232,11)*100,1))))</f>
        <v/>
      </c>
      <c r="L232" s="36" t="str">
        <f aca="false">IF(OR(NOT(AND(ISNUMBER(E232),ISNUMBER(F232))),$J$2=""),"",IF(Reprogramaciones!P$9&lt;E232,0,IF(NETWORKDAYS.INTL(E232,F232,11)=0,IF(Reprogramaciones!P$9&gt;=F232,100,0),ROUND(NETWORKDAYS.INTL(E232,MIN(F232,Reprogramaciones!P$9),11)/NETWORKDAYS.INTL(E232,F232,11)*100,1)))-IF(Reprogramaciones!O$9&lt;E232,0,IF(NETWORKDAYS.INTL(E232,F232,11)=0,IF(Reprogramaciones!O$9&gt;=F232,100,0),ROUND(NETWORKDAYS.INTL(E232,MIN(F232,Reprogramaciones!O$9),11)/NETWORKDAYS.INTL(E232,F232,11)*100,1))))</f>
        <v/>
      </c>
      <c r="M232" s="36" t="str">
        <f aca="false">IF(OR(NOT(AND(ISNUMBER(E232),ISNUMBER(F232))),$J$2=""),"",IF(Reprogramaciones!Q$9&lt;E232,0,IF(NETWORKDAYS.INTL(E232,F232,11)=0,IF(Reprogramaciones!Q$9&gt;=F232,100,0),ROUND(NETWORKDAYS.INTL(E232,MIN(F232,Reprogramaciones!Q$9),11)/NETWORKDAYS.INTL(E232,F232,11)*100,1)))-IF(Reprogramaciones!P$9&lt;E232,0,IF(NETWORKDAYS.INTL(E232,F232,11)=0,IF(Reprogramaciones!P$9&gt;=F232,100,0),ROUND(NETWORKDAYS.INTL(E232,MIN(F232,Reprogramaciones!P$9),11)/NETWORKDAYS.INTL(E232,F232,11)*100,1))))</f>
        <v/>
      </c>
      <c r="N232" s="36" t="str">
        <f aca="false">IF(OR(NOT(AND(ISNUMBER(E232),ISNUMBER(F232))),$J$2=""),"",IF(Reprogramaciones!R$9&lt;E232,0,IF(NETWORKDAYS.INTL(E232,F232,11)=0,IF(Reprogramaciones!R$9&gt;=F232,100,0),ROUND(NETWORKDAYS.INTL(E232,MIN(F232,Reprogramaciones!R$9),11)/NETWORKDAYS.INTL(E232,F232,11)*100,1)))-IF(Reprogramaciones!Q$9&lt;E232,0,IF(NETWORKDAYS.INTL(E232,F232,11)=0,IF(Reprogramaciones!Q$9&gt;=F232,100,0),ROUND(NETWORKDAYS.INTL(E232,MIN(F232,Reprogramaciones!Q$9),11)/NETWORKDAYS.INTL(E232,F232,11)*100,1))))</f>
        <v/>
      </c>
      <c r="O232" s="36" t="str">
        <f aca="false">IF(OR(NOT(AND(ISNUMBER(E232),ISNUMBER(F232))),$J$2=""),"",IF(Reprogramaciones!S$9&lt;E232,0,IF(NETWORKDAYS.INTL(E232,F232,11)=0,IF(Reprogramaciones!S$9&gt;=F232,100,0),ROUND(NETWORKDAYS.INTL(E232,MIN(F232,Reprogramaciones!S$9),11)/NETWORKDAYS.INTL(E232,F232,11)*100,1)))-IF(Reprogramaciones!R$9&lt;E232,0,IF(NETWORKDAYS.INTL(E232,F232,11)=0,IF(Reprogramaciones!R$9&gt;=F232,100,0),ROUND(NETWORKDAYS.INTL(E232,MIN(F232,Reprogramaciones!R$9),11)/NETWORKDAYS.INTL(E232,F232,11)*100,1))))</f>
        <v/>
      </c>
      <c r="P232" s="36" t="str">
        <f aca="false">IF(OR(NOT(AND(ISNUMBER(E232),ISNUMBER(F232))),$J$2=""),"",IF(Reprogramaciones!T$9&lt;E232,0,IF(NETWORKDAYS.INTL(E232,F232,11)=0,IF(Reprogramaciones!T$9&gt;=F232,100,0),ROUND(NETWORKDAYS.INTL(E232,MIN(F232,Reprogramaciones!T$9),11)/NETWORKDAYS.INTL(E232,F232,11)*100,1)))-IF(Reprogramaciones!S$9&lt;E232,0,IF(NETWORKDAYS.INTL(E232,F232,11)=0,IF(Reprogramaciones!S$9&gt;=F232,100,0),ROUND(NETWORKDAYS.INTL(E232,MIN(F232,Reprogramaciones!S$9),11)/NETWORKDAYS.INTL(E232,F232,11)*100,1))))</f>
        <v/>
      </c>
      <c r="Q232" s="37"/>
      <c r="R232" s="37"/>
      <c r="S232" s="37"/>
      <c r="T232" s="37"/>
      <c r="U232" s="37"/>
      <c r="V232" s="37"/>
      <c r="W232" s="37"/>
      <c r="X232" s="37"/>
      <c r="Y232" s="37"/>
      <c r="Z232" s="37"/>
      <c r="AA232" s="37"/>
      <c r="AB232" s="37"/>
      <c r="AC232" s="37"/>
      <c r="AD232" s="37"/>
      <c r="AE232" s="37"/>
      <c r="AF232" s="37"/>
      <c r="AG232" s="38" t="str">
        <f aca="false">IF(AND(ISNUMBER(E232),ISNUMBER(F232)),NETWORKDAYS.INTL(E232,F232,11),"")</f>
        <v/>
      </c>
      <c r="AH232" s="38" t="str">
        <f aca="false">IF(OR(NOT(AND(ISNUMBER(E232),ISNUMBER(F232))),$J$2=""),"",IF(Reprogramaciones!$P$15&lt;Reprogramaciones!$T$15,0,IF(Reprogramaciones!$R$15&gt;10,MIN(100,SUM($G232:$P232)),MIN(100,SUMPRODUCT((COLUMN($G232:$P232)-COLUMN($G232)+1&lt;Reprogramaciones!$R$15)*$G232:$P232)+N(INDEX($G232:$P232,1,Reprogramaciones!$R$15))*IF(Reprogramaciones!$P$15&gt;=(Reprogramaciones!$T$15+7*(Reprogramaciones!$R$15-1))+6,1,IF(MAX(0,NETWORKDAYS.INTL(MAX(E232,(Reprogramaciones!$T$15+7*(Reprogramaciones!$R$15-1))),MIN(F232,(Reprogramaciones!$T$15+7*(Reprogramaciones!$R$15-1))+6),11))=0,0,MAX(0,NETWORKDAYS.INTL(MAX(E232,(Reprogramaciones!$T$15+7*(Reprogramaciones!$R$15-1))),MIN(F232,Reprogramaciones!$P$15),11))/MAX(0,NETWORKDAYS.INTL(MAX(E232,(Reprogramaciones!$T$15+7*(Reprogramaciones!$R$15-1))),MIN(F232,(Reprogramaciones!$T$15+7*(Reprogramaciones!$R$15-1))+6),11))))))))</f>
        <v/>
      </c>
      <c r="AI232" s="38" t="str">
        <f aca="false">IF(COUNT($Q232:$AF232)=0,"",IF(ROUND(SUM($Q232:$AF232),1)&gt;=99.5,100,MIN(100,ROUND(SUM($Q232:$AF232),1))))</f>
        <v/>
      </c>
      <c r="AJ232" s="38" t="str">
        <f aca="false">IF(OR(AH232="",AI232=""),"",AI232-AH232)</f>
        <v/>
      </c>
      <c r="AK232" s="39" t="str">
        <f aca="true">IF(AH232="","",IF(OR(Ficha!$C$10="Suspendida",Ficha!$C$10="Cancelada"),Ficha!$C$10,IF(AND(AI232&lt;&gt;"",N(AI232)&gt;=100),"Completada",IF(AND(E232&gt;TODAY(),N(AI232)=0),"Por iniciar",IF(N(AI232)+0.5&lt;AH232,"Retrasada",IF(N(AI232)+0.5&lt;DA232,IF(Reprogramaciones!$K$15&gt;0,"Al día · Sem "&amp;Reprogramaciones!$K$15&amp;" en curso","Al día · en curso"),"A tiempo"))))))</f>
        <v/>
      </c>
      <c r="AL232" s="39" t="str">
        <f aca="true">IF(AND(A232="",AND(B232="",C232="",E232="",F232="",COUNT(Q232:AF232)=0)),"",IF(AND(B232="",C232="",E232="",F232="",COUNT(Q232:AF232)=0),"Falta la partida o subpartida",IF(AND(A232&lt;&gt;"",COUNTIF($A$6:$A$305,A232)&gt;1),"Ítem repetido",IF(AND(C232="",E232="",F232="",COUNT(Q232:AF232)=0),"Título de partida",IF(OR(E232="",F232=""),"Faltan fechas",IF(OR(ISTEXT(E232),ISTEXT(F232)),"Fecha escrita como texto: usa dd/mm/aaaa",IF(F232&lt;E232,"Fin antes del inicio",IF(IF($J$2="",FALSE(),OR(E232&lt;$J$2,F232&gt;Reprogramaciones!$T$15+69)),"Fuera de las 10 semanas",IF(ABS(SUM(G232:P232)-100)&gt;0.5,"La meta no suma 100%",IF(ROUND(SUM(Q232:AF232),1)&gt;100.5,"El avance pasa de 100%",IF(MIN(Q232:AF232)&lt;0,"Avance negativo",IF(COUNTA(Q232:AF232)&gt;COUNT(Q232:AF232),"Avance escrito como texto",IF(SUMPRODUCT((Q232:AF232&gt;0)*(Q232:AF232&lt;1))&gt;0,"Avance menor a 1: escribe 50, no 50%",IF(SUMPRODUCT(ISNUMBER(Q232:AF232)*(Reprogramaciones!$K$8:$Z$8&gt;TODAY()))&gt;0,"Avance en semana que aún no llega",IF(AND(N(Reprogramaciones!$E$21)&gt;0,F232&gt;Reprogramaciones!$E$21),"Pasa el fin de la obra: registra una reprogramación",IF(AND(N(Reprogramaciones!$E$21)&gt;0,SUMPRODUCT(ISNUMBER(Q232:AF232)*(Reprogramaciones!$K$8:$Z$8&gt;Reprogramaciones!$E$21))&gt;0),"Avance después del fin de la obra: registra una reprogramación por atraso","OK"))))))))))))))))</f>
        <v/>
      </c>
      <c r="AM232" s="40" t="str">
        <f aca="false">IF(OR(OR(NOT(AND(ISNUMBER(E232),ISNUMBER(F232))),$J$2=""),1&gt;MAX(1,Reprogramaciones!$U$15)),"",IF(Reprogramaciones!K$12&gt;=7,"",IF(OR(BT232-N(0)&gt;0.05,N(Q232)&gt;0),ROUNDDOWN(ROUND(BT232,6),0)&amp;"%"&amp;IF(CJ232="",""," / "&amp;CJ232&amp;"%"),IF(AND(N(0)&gt;=99.95,CJ232&lt;&gt;"",N(CJ232)&lt;100),"Pend. "&amp;CJ232&amp;"%",""))))</f>
        <v/>
      </c>
      <c r="AN232" s="40" t="str">
        <f aca="false">IF(OR(OR(NOT(AND(ISNUMBER(E232),ISNUMBER(F232))),$J$2=""),2&gt;MAX(1,Reprogramaciones!$U$15)),"",IF(Reprogramaciones!L$12&gt;=7,"",IF(OR(BU232-N(BT232)&gt;0.05,N(R232)&gt;0),ROUNDDOWN(ROUND(BU232,6),0)&amp;"%"&amp;IF(CK232="",""," / "&amp;CK232&amp;"%"),IF(AND(N(BT232)&gt;=99.95,CK232&lt;&gt;"",N(CK232)&lt;100),"Pend. "&amp;CK232&amp;"%",""))))</f>
        <v/>
      </c>
      <c r="AO232" s="40" t="str">
        <f aca="false">IF(OR(OR(NOT(AND(ISNUMBER(E232),ISNUMBER(F232))),$J$2=""),3&gt;MAX(1,Reprogramaciones!$U$15)),"",IF(Reprogramaciones!M$12&gt;=7,"",IF(OR(BV232-N(BU232)&gt;0.05,N(S232)&gt;0),ROUNDDOWN(ROUND(BV232,6),0)&amp;"%"&amp;IF(CL232="",""," / "&amp;CL232&amp;"%"),IF(AND(N(BU232)&gt;=99.95,CL232&lt;&gt;"",N(CL232)&lt;100),"Pend. "&amp;CL232&amp;"%",""))))</f>
        <v/>
      </c>
      <c r="AP232" s="40" t="str">
        <f aca="false">IF(OR(OR(NOT(AND(ISNUMBER(E232),ISNUMBER(F232))),$J$2=""),4&gt;MAX(1,Reprogramaciones!$U$15)),"",IF(Reprogramaciones!N$12&gt;=7,"",IF(OR(BW232-N(BV232)&gt;0.05,N(T232)&gt;0),ROUNDDOWN(ROUND(BW232,6),0)&amp;"%"&amp;IF(CM232="",""," / "&amp;CM232&amp;"%"),IF(AND(N(BV232)&gt;=99.95,CM232&lt;&gt;"",N(CM232)&lt;100),"Pend. "&amp;CM232&amp;"%",""))))</f>
        <v/>
      </c>
      <c r="AQ232" s="40" t="str">
        <f aca="false">IF(OR(OR(NOT(AND(ISNUMBER(E232),ISNUMBER(F232))),$J$2=""),5&gt;MAX(1,Reprogramaciones!$U$15)),"",IF(Reprogramaciones!O$12&gt;=7,"",IF(OR(BX232-N(BW232)&gt;0.05,N(U232)&gt;0),ROUNDDOWN(ROUND(BX232,6),0)&amp;"%"&amp;IF(CN232="",""," / "&amp;CN232&amp;"%"),IF(AND(N(BW232)&gt;=99.95,CN232&lt;&gt;"",N(CN232)&lt;100),"Pend. "&amp;CN232&amp;"%",""))))</f>
        <v/>
      </c>
      <c r="AR232" s="40" t="str">
        <f aca="false">IF(OR(OR(NOT(AND(ISNUMBER(E232),ISNUMBER(F232))),$J$2=""),6&gt;MAX(1,Reprogramaciones!$U$15)),"",IF(Reprogramaciones!P$12&gt;=7,"",IF(OR(BY232-N(BX232)&gt;0.05,N(V232)&gt;0),ROUNDDOWN(ROUND(BY232,6),0)&amp;"%"&amp;IF(CO232="",""," / "&amp;CO232&amp;"%"),IF(AND(N(BX232)&gt;=99.95,CO232&lt;&gt;"",N(CO232)&lt;100),"Pend. "&amp;CO232&amp;"%",""))))</f>
        <v/>
      </c>
      <c r="AS232" s="40" t="str">
        <f aca="false">IF(OR(OR(NOT(AND(ISNUMBER(E232),ISNUMBER(F232))),$J$2=""),7&gt;MAX(1,Reprogramaciones!$U$15)),"",IF(Reprogramaciones!Q$12&gt;=7,"",IF(OR(BZ232-N(BY232)&gt;0.05,N(W232)&gt;0),ROUNDDOWN(ROUND(BZ232,6),0)&amp;"%"&amp;IF(CP232="",""," / "&amp;CP232&amp;"%"),IF(AND(N(BY232)&gt;=99.95,CP232&lt;&gt;"",N(CP232)&lt;100),"Pend. "&amp;CP232&amp;"%",""))))</f>
        <v/>
      </c>
      <c r="AT232" s="40" t="str">
        <f aca="false">IF(OR(OR(NOT(AND(ISNUMBER(E232),ISNUMBER(F232))),$J$2=""),8&gt;MAX(1,Reprogramaciones!$U$15)),"",IF(Reprogramaciones!R$12&gt;=7,"",IF(OR(CA232-N(BZ232)&gt;0.05,N(X232)&gt;0),ROUNDDOWN(ROUND(CA232,6),0)&amp;"%"&amp;IF(CQ232="",""," / "&amp;CQ232&amp;"%"),IF(AND(N(BZ232)&gt;=99.95,CQ232&lt;&gt;"",N(CQ232)&lt;100),"Pend. "&amp;CQ232&amp;"%",""))))</f>
        <v/>
      </c>
      <c r="AU232" s="40" t="str">
        <f aca="false">IF(OR(OR(NOT(AND(ISNUMBER(E232),ISNUMBER(F232))),$J$2=""),9&gt;MAX(1,Reprogramaciones!$U$15)),"",IF(Reprogramaciones!S$12&gt;=7,"",IF(OR(CB232-N(CA232)&gt;0.05,N(Y232)&gt;0),ROUNDDOWN(ROUND(CB232,6),0)&amp;"%"&amp;IF(CR232="",""," / "&amp;CR232&amp;"%"),IF(AND(N(CA232)&gt;=99.95,CR232&lt;&gt;"",N(CR232)&lt;100),"Pend. "&amp;CR232&amp;"%",""))))</f>
        <v/>
      </c>
      <c r="AV232" s="40" t="str">
        <f aca="false">IF(OR(OR(NOT(AND(ISNUMBER(E232),ISNUMBER(F232))),$J$2=""),10&gt;MAX(1,Reprogramaciones!$U$15)),"",IF(Reprogramaciones!T$12&gt;=7,"",IF(OR(CC232-N(CB232)&gt;0.05,N(Z232)&gt;0),ROUNDDOWN(ROUND(CC232,6),0)&amp;"%"&amp;IF(CS232="",""," / "&amp;CS232&amp;"%"),IF(AND(N(CB232)&gt;=99.95,CS232&lt;&gt;"",N(CS232)&lt;100),"Pend. "&amp;CS232&amp;"%",""))))</f>
        <v/>
      </c>
      <c r="AW232" s="40" t="str">
        <f aca="false">IF(OR(OR(NOT(AND(ISNUMBER(E232),ISNUMBER(F232))),$J$2=""),11&gt;MAX(1,Reprogramaciones!$U$15)),"",IF(Reprogramaciones!U$12&gt;=7,"",IF(OR(CD232-N(CC232)&gt;0.05,N(AA232)&gt;0),ROUNDDOWN(ROUND(CD232,6),0)&amp;"%"&amp;IF(CT232="",""," / "&amp;CT232&amp;"%"),IF(AND(N(CC232)&gt;=99.95,CT232&lt;&gt;"",N(CT232)&lt;100),"Pend. "&amp;CT232&amp;"%",""))))</f>
        <v/>
      </c>
      <c r="AX232" s="40" t="str">
        <f aca="false">IF(OR(OR(NOT(AND(ISNUMBER(E232),ISNUMBER(F232))),$J$2=""),12&gt;MAX(1,Reprogramaciones!$U$15)),"",IF(Reprogramaciones!V$12&gt;=7,"",IF(OR(CE232-N(CD232)&gt;0.05,N(AB232)&gt;0),ROUNDDOWN(ROUND(CE232,6),0)&amp;"%"&amp;IF(CU232="",""," / "&amp;CU232&amp;"%"),IF(AND(N(CD232)&gt;=99.95,CU232&lt;&gt;"",N(CU232)&lt;100),"Pend. "&amp;CU232&amp;"%",""))))</f>
        <v/>
      </c>
      <c r="AY232" s="40" t="str">
        <f aca="false">IF(OR(OR(NOT(AND(ISNUMBER(E232),ISNUMBER(F232))),$J$2=""),13&gt;MAX(1,Reprogramaciones!$U$15)),"",IF(Reprogramaciones!W$12&gt;=7,"",IF(OR(CF232-N(CE232)&gt;0.05,N(AC232)&gt;0),ROUNDDOWN(ROUND(CF232,6),0)&amp;"%"&amp;IF(CV232="",""," / "&amp;CV232&amp;"%"),IF(AND(N(CE232)&gt;=99.95,CV232&lt;&gt;"",N(CV232)&lt;100),"Pend. "&amp;CV232&amp;"%",""))))</f>
        <v/>
      </c>
      <c r="AZ232" s="40" t="str">
        <f aca="false">IF(OR(OR(NOT(AND(ISNUMBER(E232),ISNUMBER(F232))),$J$2=""),14&gt;MAX(1,Reprogramaciones!$U$15)),"",IF(Reprogramaciones!X$12&gt;=7,"",IF(OR(CG232-N(CF232)&gt;0.05,N(AD232)&gt;0),ROUNDDOWN(ROUND(CG232,6),0)&amp;"%"&amp;IF(CW232="",""," / "&amp;CW232&amp;"%"),IF(AND(N(CF232)&gt;=99.95,CW232&lt;&gt;"",N(CW232)&lt;100),"Pend. "&amp;CW232&amp;"%",""))))</f>
        <v/>
      </c>
      <c r="BA232" s="40" t="str">
        <f aca="false">IF(OR(OR(NOT(AND(ISNUMBER(E232),ISNUMBER(F232))),$J$2=""),15&gt;MAX(1,Reprogramaciones!$U$15)),"",IF(Reprogramaciones!Y$12&gt;=7,"",IF(OR(CH232-N(CG232)&gt;0.05,N(AE232)&gt;0),ROUNDDOWN(ROUND(CH232,6),0)&amp;"%"&amp;IF(CX232="",""," / "&amp;CX232&amp;"%"),IF(AND(N(CG232)&gt;=99.95,CX232&lt;&gt;"",N(CX232)&lt;100),"Pend. "&amp;CX232&amp;"%",""))))</f>
        <v/>
      </c>
      <c r="BB232" s="40" t="str">
        <f aca="false">IF(OR(OR(NOT(AND(ISNUMBER(E232),ISNUMBER(F232))),$J$2=""),16&gt;MAX(1,Reprogramaciones!$U$15)),"",IF(Reprogramaciones!Z$12&gt;=7,"",IF(OR(CI232-N(CH232)&gt;0.05,N(AF232)&gt;0),ROUNDDOWN(ROUND(CI232,6),0)&amp;"%"&amp;IF(CY232="",""," / "&amp;CY232&amp;"%"),IF(AND(N(CH232)&gt;=99.95,CY232&lt;&gt;"",N(CY232)&lt;100),"Pend. "&amp;CY232&amp;"%",""))))</f>
        <v/>
      </c>
      <c r="BC232" s="31" t="n">
        <f aca="false">IF(AND(ISNUMBER(E232),ISNUMBER(F232)),MAX(1,NETWORKDAYS.INTL(E232,F232,11)),0)</f>
        <v>0</v>
      </c>
      <c r="BD232" s="1" t="str">
        <f aca="false">IF(OR(NOT(AND(ISNUMBER(E232),ISNUMBER(F232))),$J$2=""),"",MIN(100,ROUND(SUM($G232:G232),1)))</f>
        <v/>
      </c>
      <c r="BE232" s="1" t="str">
        <f aca="false">IF(OR(NOT(AND(ISNUMBER(E232),ISNUMBER(F232))),$J$2=""),"",MIN(100,ROUND(SUM($G232:H232),1)))</f>
        <v/>
      </c>
      <c r="BF232" s="1" t="str">
        <f aca="false">IF(OR(NOT(AND(ISNUMBER(E232),ISNUMBER(F232))),$J$2=""),"",MIN(100,ROUND(SUM($G232:I232),1)))</f>
        <v/>
      </c>
      <c r="BG232" s="1" t="str">
        <f aca="false">IF(OR(NOT(AND(ISNUMBER(E232),ISNUMBER(F232))),$J$2=""),"",MIN(100,ROUND(SUM($G232:J232),1)))</f>
        <v/>
      </c>
      <c r="BH232" s="1" t="str">
        <f aca="false">IF(OR(NOT(AND(ISNUMBER(E232),ISNUMBER(F232))),$J$2=""),"",MIN(100,ROUND(SUM($G232:K232),1)))</f>
        <v/>
      </c>
      <c r="BI232" s="1" t="str">
        <f aca="false">IF(OR(NOT(AND(ISNUMBER(E232),ISNUMBER(F232))),$J$2=""),"",MIN(100,ROUND(SUM($G232:L232),1)))</f>
        <v/>
      </c>
      <c r="BJ232" s="1" t="str">
        <f aca="false">IF(OR(NOT(AND(ISNUMBER(E232),ISNUMBER(F232))),$J$2=""),"",MIN(100,ROUND(SUM($G232:M232),1)))</f>
        <v/>
      </c>
      <c r="BK232" s="1" t="str">
        <f aca="false">IF(OR(NOT(AND(ISNUMBER(E232),ISNUMBER(F232))),$J$2=""),"",MIN(100,ROUND(SUM($G232:N232),1)))</f>
        <v/>
      </c>
      <c r="BL232" s="1" t="str">
        <f aca="false">IF(OR(NOT(AND(ISNUMBER(E232),ISNUMBER(F232))),$J$2=""),"",MIN(100,ROUND(SUM($G232:O232),1)))</f>
        <v/>
      </c>
      <c r="BM232" s="1" t="str">
        <f aca="false">IF(OR(NOT(AND(ISNUMBER(E232),ISNUMBER(F232))),$J$2=""),"",MIN(100,ROUND(SUM($G232:P232),1)))</f>
        <v/>
      </c>
      <c r="BN232" s="1" t="str">
        <f aca="false">IF(OR(NOT(AND(ISNUMBER(E232),ISNUMBER(F232))),$J$2=""),"",MIN(100,ROUND(SUM($G232:P232),1)))</f>
        <v/>
      </c>
      <c r="BO232" s="1" t="str">
        <f aca="false">IF(OR(NOT(AND(ISNUMBER(E232),ISNUMBER(F232))),$J$2=""),"",MIN(100,ROUND(SUM($G232:P232),1)))</f>
        <v/>
      </c>
      <c r="BP232" s="1" t="str">
        <f aca="false">IF(OR(NOT(AND(ISNUMBER(E232),ISNUMBER(F232))),$J$2=""),"",MIN(100,ROUND(SUM($G232:P232),1)))</f>
        <v/>
      </c>
      <c r="BQ232" s="1" t="str">
        <f aca="false">IF(OR(NOT(AND(ISNUMBER(E232),ISNUMBER(F232))),$J$2=""),"",MIN(100,ROUND(SUM($G232:P232),1)))</f>
        <v/>
      </c>
      <c r="BR232" s="1" t="str">
        <f aca="false">IF(OR(NOT(AND(ISNUMBER(E232),ISNUMBER(F232))),$J$2=""),"",MIN(100,ROUND(SUM($G232:P232),1)))</f>
        <v/>
      </c>
      <c r="BS232" s="1" t="str">
        <f aca="false">IF(OR(NOT(AND(ISNUMBER(E232),ISNUMBER(F232))),$J$2=""),"",MIN(100,ROUND(SUM($G232:P232),1)))</f>
        <v/>
      </c>
      <c r="BT232" s="1" t="str">
        <f aca="false">IF(OR(NOT(AND(ISNUMBER(E232),ISNUMBER(F232))),$J$2=""),"",IF(Reprogramaciones!K$13&lt;Reprogramaciones!$T$15,0,IF(Reprogramaciones!K$14&gt;10,MIN(100,SUM($G232:$P232)),MIN(100,SUMPRODUCT((COLUMN($G232:$P232)-COLUMN($G232)+1&lt;Reprogramaciones!K$14)*$G232:$P232)+N(INDEX($G232:$P232,1,Reprogramaciones!K$14))*IF(Reprogramaciones!K$13&gt;=(Reprogramaciones!$T$15+7*(Reprogramaciones!K$14-1))+6,1,IF(MAX(0,NETWORKDAYS.INTL(MAX(E232,(Reprogramaciones!$T$15+7*(Reprogramaciones!K$14-1))),MIN(F232,(Reprogramaciones!$T$15+7*(Reprogramaciones!K$14-1))+6),11))=0,0,MAX(0,NETWORKDAYS.INTL(MAX(E232,(Reprogramaciones!$T$15+7*(Reprogramaciones!K$14-1))),MIN(F232,Reprogramaciones!K$13),11))/MAX(0,NETWORKDAYS.INTL(MAX(E232,(Reprogramaciones!$T$15+7*(Reprogramaciones!K$14-1))),MIN(F232,(Reprogramaciones!$T$15+7*(Reprogramaciones!K$14-1))+6),11))))))))</f>
        <v/>
      </c>
      <c r="BU232" s="1" t="str">
        <f aca="false">IF(OR(NOT(AND(ISNUMBER(E232),ISNUMBER(F232))),$J$2=""),"",IF(Reprogramaciones!L$13&lt;Reprogramaciones!$T$15,0,IF(Reprogramaciones!L$14&gt;10,MIN(100,SUM($G232:$P232)),MIN(100,SUMPRODUCT((COLUMN($G232:$P232)-COLUMN($G232)+1&lt;Reprogramaciones!L$14)*$G232:$P232)+N(INDEX($G232:$P232,1,Reprogramaciones!L$14))*IF(Reprogramaciones!L$13&gt;=(Reprogramaciones!$T$15+7*(Reprogramaciones!L$14-1))+6,1,IF(MAX(0,NETWORKDAYS.INTL(MAX(E232,(Reprogramaciones!$T$15+7*(Reprogramaciones!L$14-1))),MIN(F232,(Reprogramaciones!$T$15+7*(Reprogramaciones!L$14-1))+6),11))=0,0,MAX(0,NETWORKDAYS.INTL(MAX(E232,(Reprogramaciones!$T$15+7*(Reprogramaciones!L$14-1))),MIN(F232,Reprogramaciones!L$13),11))/MAX(0,NETWORKDAYS.INTL(MAX(E232,(Reprogramaciones!$T$15+7*(Reprogramaciones!L$14-1))),MIN(F232,(Reprogramaciones!$T$15+7*(Reprogramaciones!L$14-1))+6),11))))))))</f>
        <v/>
      </c>
      <c r="BV232" s="1" t="str">
        <f aca="false">IF(OR(NOT(AND(ISNUMBER(E232),ISNUMBER(F232))),$J$2=""),"",IF(Reprogramaciones!M$13&lt;Reprogramaciones!$T$15,0,IF(Reprogramaciones!M$14&gt;10,MIN(100,SUM($G232:$P232)),MIN(100,SUMPRODUCT((COLUMN($G232:$P232)-COLUMN($G232)+1&lt;Reprogramaciones!M$14)*$G232:$P232)+N(INDEX($G232:$P232,1,Reprogramaciones!M$14))*IF(Reprogramaciones!M$13&gt;=(Reprogramaciones!$T$15+7*(Reprogramaciones!M$14-1))+6,1,IF(MAX(0,NETWORKDAYS.INTL(MAX(E232,(Reprogramaciones!$T$15+7*(Reprogramaciones!M$14-1))),MIN(F232,(Reprogramaciones!$T$15+7*(Reprogramaciones!M$14-1))+6),11))=0,0,MAX(0,NETWORKDAYS.INTL(MAX(E232,(Reprogramaciones!$T$15+7*(Reprogramaciones!M$14-1))),MIN(F232,Reprogramaciones!M$13),11))/MAX(0,NETWORKDAYS.INTL(MAX(E232,(Reprogramaciones!$T$15+7*(Reprogramaciones!M$14-1))),MIN(F232,(Reprogramaciones!$T$15+7*(Reprogramaciones!M$14-1))+6),11))))))))</f>
        <v/>
      </c>
      <c r="BW232" s="1" t="str">
        <f aca="false">IF(OR(NOT(AND(ISNUMBER(E232),ISNUMBER(F232))),$J$2=""),"",IF(Reprogramaciones!N$13&lt;Reprogramaciones!$T$15,0,IF(Reprogramaciones!N$14&gt;10,MIN(100,SUM($G232:$P232)),MIN(100,SUMPRODUCT((COLUMN($G232:$P232)-COLUMN($G232)+1&lt;Reprogramaciones!N$14)*$G232:$P232)+N(INDEX($G232:$P232,1,Reprogramaciones!N$14))*IF(Reprogramaciones!N$13&gt;=(Reprogramaciones!$T$15+7*(Reprogramaciones!N$14-1))+6,1,IF(MAX(0,NETWORKDAYS.INTL(MAX(E232,(Reprogramaciones!$T$15+7*(Reprogramaciones!N$14-1))),MIN(F232,(Reprogramaciones!$T$15+7*(Reprogramaciones!N$14-1))+6),11))=0,0,MAX(0,NETWORKDAYS.INTL(MAX(E232,(Reprogramaciones!$T$15+7*(Reprogramaciones!N$14-1))),MIN(F232,Reprogramaciones!N$13),11))/MAX(0,NETWORKDAYS.INTL(MAX(E232,(Reprogramaciones!$T$15+7*(Reprogramaciones!N$14-1))),MIN(F232,(Reprogramaciones!$T$15+7*(Reprogramaciones!N$14-1))+6),11))))))))</f>
        <v/>
      </c>
      <c r="BX232" s="1" t="str">
        <f aca="false">IF(OR(NOT(AND(ISNUMBER(E232),ISNUMBER(F232))),$J$2=""),"",IF(Reprogramaciones!O$13&lt;Reprogramaciones!$T$15,0,IF(Reprogramaciones!O$14&gt;10,MIN(100,SUM($G232:$P232)),MIN(100,SUMPRODUCT((COLUMN($G232:$P232)-COLUMN($G232)+1&lt;Reprogramaciones!O$14)*$G232:$P232)+N(INDEX($G232:$P232,1,Reprogramaciones!O$14))*IF(Reprogramaciones!O$13&gt;=(Reprogramaciones!$T$15+7*(Reprogramaciones!O$14-1))+6,1,IF(MAX(0,NETWORKDAYS.INTL(MAX(E232,(Reprogramaciones!$T$15+7*(Reprogramaciones!O$14-1))),MIN(F232,(Reprogramaciones!$T$15+7*(Reprogramaciones!O$14-1))+6),11))=0,0,MAX(0,NETWORKDAYS.INTL(MAX(E232,(Reprogramaciones!$T$15+7*(Reprogramaciones!O$14-1))),MIN(F232,Reprogramaciones!O$13),11))/MAX(0,NETWORKDAYS.INTL(MAX(E232,(Reprogramaciones!$T$15+7*(Reprogramaciones!O$14-1))),MIN(F232,(Reprogramaciones!$T$15+7*(Reprogramaciones!O$14-1))+6),11))))))))</f>
        <v/>
      </c>
      <c r="BY232" s="1" t="str">
        <f aca="false">IF(OR(NOT(AND(ISNUMBER(E232),ISNUMBER(F232))),$J$2=""),"",IF(Reprogramaciones!P$13&lt;Reprogramaciones!$T$15,0,IF(Reprogramaciones!P$14&gt;10,MIN(100,SUM($G232:$P232)),MIN(100,SUMPRODUCT((COLUMN($G232:$P232)-COLUMN($G232)+1&lt;Reprogramaciones!P$14)*$G232:$P232)+N(INDEX($G232:$P232,1,Reprogramaciones!P$14))*IF(Reprogramaciones!P$13&gt;=(Reprogramaciones!$T$15+7*(Reprogramaciones!P$14-1))+6,1,IF(MAX(0,NETWORKDAYS.INTL(MAX(E232,(Reprogramaciones!$T$15+7*(Reprogramaciones!P$14-1))),MIN(F232,(Reprogramaciones!$T$15+7*(Reprogramaciones!P$14-1))+6),11))=0,0,MAX(0,NETWORKDAYS.INTL(MAX(E232,(Reprogramaciones!$T$15+7*(Reprogramaciones!P$14-1))),MIN(F232,Reprogramaciones!P$13),11))/MAX(0,NETWORKDAYS.INTL(MAX(E232,(Reprogramaciones!$T$15+7*(Reprogramaciones!P$14-1))),MIN(F232,(Reprogramaciones!$T$15+7*(Reprogramaciones!P$14-1))+6),11))))))))</f>
        <v/>
      </c>
      <c r="BZ232" s="1" t="str">
        <f aca="false">IF(OR(NOT(AND(ISNUMBER(E232),ISNUMBER(F232))),$J$2=""),"",IF(Reprogramaciones!Q$13&lt;Reprogramaciones!$T$15,0,IF(Reprogramaciones!Q$14&gt;10,MIN(100,SUM($G232:$P232)),MIN(100,SUMPRODUCT((COLUMN($G232:$P232)-COLUMN($G232)+1&lt;Reprogramaciones!Q$14)*$G232:$P232)+N(INDEX($G232:$P232,1,Reprogramaciones!Q$14))*IF(Reprogramaciones!Q$13&gt;=(Reprogramaciones!$T$15+7*(Reprogramaciones!Q$14-1))+6,1,IF(MAX(0,NETWORKDAYS.INTL(MAX(E232,(Reprogramaciones!$T$15+7*(Reprogramaciones!Q$14-1))),MIN(F232,(Reprogramaciones!$T$15+7*(Reprogramaciones!Q$14-1))+6),11))=0,0,MAX(0,NETWORKDAYS.INTL(MAX(E232,(Reprogramaciones!$T$15+7*(Reprogramaciones!Q$14-1))),MIN(F232,Reprogramaciones!Q$13),11))/MAX(0,NETWORKDAYS.INTL(MAX(E232,(Reprogramaciones!$T$15+7*(Reprogramaciones!Q$14-1))),MIN(F232,(Reprogramaciones!$T$15+7*(Reprogramaciones!Q$14-1))+6),11))))))))</f>
        <v/>
      </c>
      <c r="CA232" s="1" t="str">
        <f aca="false">IF(OR(NOT(AND(ISNUMBER(E232),ISNUMBER(F232))),$J$2=""),"",IF(Reprogramaciones!R$13&lt;Reprogramaciones!$T$15,0,IF(Reprogramaciones!R$14&gt;10,MIN(100,SUM($G232:$P232)),MIN(100,SUMPRODUCT((COLUMN($G232:$P232)-COLUMN($G232)+1&lt;Reprogramaciones!R$14)*$G232:$P232)+N(INDEX($G232:$P232,1,Reprogramaciones!R$14))*IF(Reprogramaciones!R$13&gt;=(Reprogramaciones!$T$15+7*(Reprogramaciones!R$14-1))+6,1,IF(MAX(0,NETWORKDAYS.INTL(MAX(E232,(Reprogramaciones!$T$15+7*(Reprogramaciones!R$14-1))),MIN(F232,(Reprogramaciones!$T$15+7*(Reprogramaciones!R$14-1))+6),11))=0,0,MAX(0,NETWORKDAYS.INTL(MAX(E232,(Reprogramaciones!$T$15+7*(Reprogramaciones!R$14-1))),MIN(F232,Reprogramaciones!R$13),11))/MAX(0,NETWORKDAYS.INTL(MAX(E232,(Reprogramaciones!$T$15+7*(Reprogramaciones!R$14-1))),MIN(F232,(Reprogramaciones!$T$15+7*(Reprogramaciones!R$14-1))+6),11))))))))</f>
        <v/>
      </c>
      <c r="CB232" s="1" t="str">
        <f aca="false">IF(OR(NOT(AND(ISNUMBER(E232),ISNUMBER(F232))),$J$2=""),"",IF(Reprogramaciones!S$13&lt;Reprogramaciones!$T$15,0,IF(Reprogramaciones!S$14&gt;10,MIN(100,SUM($G232:$P232)),MIN(100,SUMPRODUCT((COLUMN($G232:$P232)-COLUMN($G232)+1&lt;Reprogramaciones!S$14)*$G232:$P232)+N(INDEX($G232:$P232,1,Reprogramaciones!S$14))*IF(Reprogramaciones!S$13&gt;=(Reprogramaciones!$T$15+7*(Reprogramaciones!S$14-1))+6,1,IF(MAX(0,NETWORKDAYS.INTL(MAX(E232,(Reprogramaciones!$T$15+7*(Reprogramaciones!S$14-1))),MIN(F232,(Reprogramaciones!$T$15+7*(Reprogramaciones!S$14-1))+6),11))=0,0,MAX(0,NETWORKDAYS.INTL(MAX(E232,(Reprogramaciones!$T$15+7*(Reprogramaciones!S$14-1))),MIN(F232,Reprogramaciones!S$13),11))/MAX(0,NETWORKDAYS.INTL(MAX(E232,(Reprogramaciones!$T$15+7*(Reprogramaciones!S$14-1))),MIN(F232,(Reprogramaciones!$T$15+7*(Reprogramaciones!S$14-1))+6),11))))))))</f>
        <v/>
      </c>
      <c r="CC232" s="1" t="str">
        <f aca="false">IF(OR(NOT(AND(ISNUMBER(E232),ISNUMBER(F232))),$J$2=""),"",IF(Reprogramaciones!T$13&lt;Reprogramaciones!$T$15,0,IF(Reprogramaciones!T$14&gt;10,MIN(100,SUM($G232:$P232)),MIN(100,SUMPRODUCT((COLUMN($G232:$P232)-COLUMN($G232)+1&lt;Reprogramaciones!T$14)*$G232:$P232)+N(INDEX($G232:$P232,1,Reprogramaciones!T$14))*IF(Reprogramaciones!T$13&gt;=(Reprogramaciones!$T$15+7*(Reprogramaciones!T$14-1))+6,1,IF(MAX(0,NETWORKDAYS.INTL(MAX(E232,(Reprogramaciones!$T$15+7*(Reprogramaciones!T$14-1))),MIN(F232,(Reprogramaciones!$T$15+7*(Reprogramaciones!T$14-1))+6),11))=0,0,MAX(0,NETWORKDAYS.INTL(MAX(E232,(Reprogramaciones!$T$15+7*(Reprogramaciones!T$14-1))),MIN(F232,Reprogramaciones!T$13),11))/MAX(0,NETWORKDAYS.INTL(MAX(E232,(Reprogramaciones!$T$15+7*(Reprogramaciones!T$14-1))),MIN(F232,(Reprogramaciones!$T$15+7*(Reprogramaciones!T$14-1))+6),11))))))))</f>
        <v/>
      </c>
      <c r="CD232" s="1" t="str">
        <f aca="false">IF(OR(NOT(AND(ISNUMBER(E232),ISNUMBER(F232))),$J$2=""),"",IF(Reprogramaciones!U$13&lt;Reprogramaciones!$T$15,0,IF(Reprogramaciones!U$14&gt;10,MIN(100,SUM($G232:$P232)),MIN(100,SUMPRODUCT((COLUMN($G232:$P232)-COLUMN($G232)+1&lt;Reprogramaciones!U$14)*$G232:$P232)+N(INDEX($G232:$P232,1,Reprogramaciones!U$14))*IF(Reprogramaciones!U$13&gt;=(Reprogramaciones!$T$15+7*(Reprogramaciones!U$14-1))+6,1,IF(MAX(0,NETWORKDAYS.INTL(MAX(E232,(Reprogramaciones!$T$15+7*(Reprogramaciones!U$14-1))),MIN(F232,(Reprogramaciones!$T$15+7*(Reprogramaciones!U$14-1))+6),11))=0,0,MAX(0,NETWORKDAYS.INTL(MAX(E232,(Reprogramaciones!$T$15+7*(Reprogramaciones!U$14-1))),MIN(F232,Reprogramaciones!U$13),11))/MAX(0,NETWORKDAYS.INTL(MAX(E232,(Reprogramaciones!$T$15+7*(Reprogramaciones!U$14-1))),MIN(F232,(Reprogramaciones!$T$15+7*(Reprogramaciones!U$14-1))+6),11))))))))</f>
        <v/>
      </c>
      <c r="CE232" s="1" t="str">
        <f aca="false">IF(OR(NOT(AND(ISNUMBER(E232),ISNUMBER(F232))),$J$2=""),"",IF(Reprogramaciones!V$13&lt;Reprogramaciones!$T$15,0,IF(Reprogramaciones!V$14&gt;10,MIN(100,SUM($G232:$P232)),MIN(100,SUMPRODUCT((COLUMN($G232:$P232)-COLUMN($G232)+1&lt;Reprogramaciones!V$14)*$G232:$P232)+N(INDEX($G232:$P232,1,Reprogramaciones!V$14))*IF(Reprogramaciones!V$13&gt;=(Reprogramaciones!$T$15+7*(Reprogramaciones!V$14-1))+6,1,IF(MAX(0,NETWORKDAYS.INTL(MAX(E232,(Reprogramaciones!$T$15+7*(Reprogramaciones!V$14-1))),MIN(F232,(Reprogramaciones!$T$15+7*(Reprogramaciones!V$14-1))+6),11))=0,0,MAX(0,NETWORKDAYS.INTL(MAX(E232,(Reprogramaciones!$T$15+7*(Reprogramaciones!V$14-1))),MIN(F232,Reprogramaciones!V$13),11))/MAX(0,NETWORKDAYS.INTL(MAX(E232,(Reprogramaciones!$T$15+7*(Reprogramaciones!V$14-1))),MIN(F232,(Reprogramaciones!$T$15+7*(Reprogramaciones!V$14-1))+6),11))))))))</f>
        <v/>
      </c>
      <c r="CF232" s="1" t="str">
        <f aca="false">IF(OR(NOT(AND(ISNUMBER(E232),ISNUMBER(F232))),$J$2=""),"",IF(Reprogramaciones!W$13&lt;Reprogramaciones!$T$15,0,IF(Reprogramaciones!W$14&gt;10,MIN(100,SUM($G232:$P232)),MIN(100,SUMPRODUCT((COLUMN($G232:$P232)-COLUMN($G232)+1&lt;Reprogramaciones!W$14)*$G232:$P232)+N(INDEX($G232:$P232,1,Reprogramaciones!W$14))*IF(Reprogramaciones!W$13&gt;=(Reprogramaciones!$T$15+7*(Reprogramaciones!W$14-1))+6,1,IF(MAX(0,NETWORKDAYS.INTL(MAX(E232,(Reprogramaciones!$T$15+7*(Reprogramaciones!W$14-1))),MIN(F232,(Reprogramaciones!$T$15+7*(Reprogramaciones!W$14-1))+6),11))=0,0,MAX(0,NETWORKDAYS.INTL(MAX(E232,(Reprogramaciones!$T$15+7*(Reprogramaciones!W$14-1))),MIN(F232,Reprogramaciones!W$13),11))/MAX(0,NETWORKDAYS.INTL(MAX(E232,(Reprogramaciones!$T$15+7*(Reprogramaciones!W$14-1))),MIN(F232,(Reprogramaciones!$T$15+7*(Reprogramaciones!W$14-1))+6),11))))))))</f>
        <v/>
      </c>
      <c r="CG232" s="1" t="str">
        <f aca="false">IF(OR(NOT(AND(ISNUMBER(E232),ISNUMBER(F232))),$J$2=""),"",IF(Reprogramaciones!X$13&lt;Reprogramaciones!$T$15,0,IF(Reprogramaciones!X$14&gt;10,MIN(100,SUM($G232:$P232)),MIN(100,SUMPRODUCT((COLUMN($G232:$P232)-COLUMN($G232)+1&lt;Reprogramaciones!X$14)*$G232:$P232)+N(INDEX($G232:$P232,1,Reprogramaciones!X$14))*IF(Reprogramaciones!X$13&gt;=(Reprogramaciones!$T$15+7*(Reprogramaciones!X$14-1))+6,1,IF(MAX(0,NETWORKDAYS.INTL(MAX(E232,(Reprogramaciones!$T$15+7*(Reprogramaciones!X$14-1))),MIN(F232,(Reprogramaciones!$T$15+7*(Reprogramaciones!X$14-1))+6),11))=0,0,MAX(0,NETWORKDAYS.INTL(MAX(E232,(Reprogramaciones!$T$15+7*(Reprogramaciones!X$14-1))),MIN(F232,Reprogramaciones!X$13),11))/MAX(0,NETWORKDAYS.INTL(MAX(E232,(Reprogramaciones!$T$15+7*(Reprogramaciones!X$14-1))),MIN(F232,(Reprogramaciones!$T$15+7*(Reprogramaciones!X$14-1))+6),11))))))))</f>
        <v/>
      </c>
      <c r="CH232" s="1" t="str">
        <f aca="false">IF(OR(NOT(AND(ISNUMBER(E232),ISNUMBER(F232))),$J$2=""),"",IF(Reprogramaciones!Y$13&lt;Reprogramaciones!$T$15,0,IF(Reprogramaciones!Y$14&gt;10,MIN(100,SUM($G232:$P232)),MIN(100,SUMPRODUCT((COLUMN($G232:$P232)-COLUMN($G232)+1&lt;Reprogramaciones!Y$14)*$G232:$P232)+N(INDEX($G232:$P232,1,Reprogramaciones!Y$14))*IF(Reprogramaciones!Y$13&gt;=(Reprogramaciones!$T$15+7*(Reprogramaciones!Y$14-1))+6,1,IF(MAX(0,NETWORKDAYS.INTL(MAX(E232,(Reprogramaciones!$T$15+7*(Reprogramaciones!Y$14-1))),MIN(F232,(Reprogramaciones!$T$15+7*(Reprogramaciones!Y$14-1))+6),11))=0,0,MAX(0,NETWORKDAYS.INTL(MAX(E232,(Reprogramaciones!$T$15+7*(Reprogramaciones!Y$14-1))),MIN(F232,Reprogramaciones!Y$13),11))/MAX(0,NETWORKDAYS.INTL(MAX(E232,(Reprogramaciones!$T$15+7*(Reprogramaciones!Y$14-1))),MIN(F232,(Reprogramaciones!$T$15+7*(Reprogramaciones!Y$14-1))+6),11))))))))</f>
        <v/>
      </c>
      <c r="CI232" s="1" t="str">
        <f aca="false">IF(OR(NOT(AND(ISNUMBER(E232),ISNUMBER(F232))),$J$2=""),"",IF(Reprogramaciones!Z$13&lt;Reprogramaciones!$T$15,0,IF(Reprogramaciones!Z$14&gt;10,MIN(100,SUM($G232:$P232)),MIN(100,SUMPRODUCT((COLUMN($G232:$P232)-COLUMN($G232)+1&lt;Reprogramaciones!Z$14)*$G232:$P232)+N(INDEX($G232:$P232,1,Reprogramaciones!Z$14))*IF(Reprogramaciones!Z$13&gt;=(Reprogramaciones!$T$15+7*(Reprogramaciones!Z$14-1))+6,1,IF(MAX(0,NETWORKDAYS.INTL(MAX(E232,(Reprogramaciones!$T$15+7*(Reprogramaciones!Z$14-1))),MIN(F232,(Reprogramaciones!$T$15+7*(Reprogramaciones!Z$14-1))+6),11))=0,0,MAX(0,NETWORKDAYS.INTL(MAX(E232,(Reprogramaciones!$T$15+7*(Reprogramaciones!Z$14-1))),MIN(F232,Reprogramaciones!Z$13),11))/MAX(0,NETWORKDAYS.INTL(MAX(E232,(Reprogramaciones!$T$15+7*(Reprogramaciones!Z$14-1))),MIN(F232,(Reprogramaciones!$T$15+7*(Reprogramaciones!Z$14-1))+6),11))))))))</f>
        <v/>
      </c>
      <c r="CJ232" s="1" t="str">
        <f aca="false">IF(OR(OR(NOT(AND(ISNUMBER(E232),ISNUMBER(F232))),$J$2=""),1&gt;Reprogramaciones!$K$16),"",IF(ROUND(SUM($Q232:Q232),1)&gt;=99.5,100,MIN(100,ROUND(SUM($Q232:Q232),1))))</f>
        <v/>
      </c>
      <c r="CK232" s="1" t="str">
        <f aca="false">IF(OR(OR(NOT(AND(ISNUMBER(E232),ISNUMBER(F232))),$J$2=""),2&gt;Reprogramaciones!$K$16),"",IF(ROUND(SUM($Q232:R232),1)&gt;=99.5,100,MIN(100,ROUND(SUM($Q232:R232),1))))</f>
        <v/>
      </c>
      <c r="CL232" s="1" t="str">
        <f aca="false">IF(OR(OR(NOT(AND(ISNUMBER(E232),ISNUMBER(F232))),$J$2=""),3&gt;Reprogramaciones!$K$16),"",IF(ROUND(SUM($Q232:S232),1)&gt;=99.5,100,MIN(100,ROUND(SUM($Q232:S232),1))))</f>
        <v/>
      </c>
      <c r="CM232" s="1" t="str">
        <f aca="false">IF(OR(OR(NOT(AND(ISNUMBER(E232),ISNUMBER(F232))),$J$2=""),4&gt;Reprogramaciones!$K$16),"",IF(ROUND(SUM($Q232:T232),1)&gt;=99.5,100,MIN(100,ROUND(SUM($Q232:T232),1))))</f>
        <v/>
      </c>
      <c r="CN232" s="1" t="str">
        <f aca="false">IF(OR(OR(NOT(AND(ISNUMBER(E232),ISNUMBER(F232))),$J$2=""),5&gt;Reprogramaciones!$K$16),"",IF(ROUND(SUM($Q232:U232),1)&gt;=99.5,100,MIN(100,ROUND(SUM($Q232:U232),1))))</f>
        <v/>
      </c>
      <c r="CO232" s="1" t="str">
        <f aca="false">IF(OR(OR(NOT(AND(ISNUMBER(E232),ISNUMBER(F232))),$J$2=""),6&gt;Reprogramaciones!$K$16),"",IF(ROUND(SUM($Q232:V232),1)&gt;=99.5,100,MIN(100,ROUND(SUM($Q232:V232),1))))</f>
        <v/>
      </c>
      <c r="CP232" s="1" t="str">
        <f aca="false">IF(OR(OR(NOT(AND(ISNUMBER(E232),ISNUMBER(F232))),$J$2=""),7&gt;Reprogramaciones!$K$16),"",IF(ROUND(SUM($Q232:W232),1)&gt;=99.5,100,MIN(100,ROUND(SUM($Q232:W232),1))))</f>
        <v/>
      </c>
      <c r="CQ232" s="1" t="str">
        <f aca="false">IF(OR(OR(NOT(AND(ISNUMBER(E232),ISNUMBER(F232))),$J$2=""),8&gt;Reprogramaciones!$K$16),"",IF(ROUND(SUM($Q232:X232),1)&gt;=99.5,100,MIN(100,ROUND(SUM($Q232:X232),1))))</f>
        <v/>
      </c>
      <c r="CR232" s="1" t="str">
        <f aca="false">IF(OR(OR(NOT(AND(ISNUMBER(E232),ISNUMBER(F232))),$J$2=""),9&gt;Reprogramaciones!$K$16),"",IF(ROUND(SUM($Q232:Y232),1)&gt;=99.5,100,MIN(100,ROUND(SUM($Q232:Y232),1))))</f>
        <v/>
      </c>
      <c r="CS232" s="1" t="str">
        <f aca="false">IF(OR(OR(NOT(AND(ISNUMBER(E232),ISNUMBER(F232))),$J$2=""),10&gt;Reprogramaciones!$K$16),"",IF(ROUND(SUM($Q232:Z232),1)&gt;=99.5,100,MIN(100,ROUND(SUM($Q232:Z232),1))))</f>
        <v/>
      </c>
      <c r="CT232" s="1" t="str">
        <f aca="false">IF(OR(OR(NOT(AND(ISNUMBER(E232),ISNUMBER(F232))),$J$2=""),11&gt;Reprogramaciones!$K$16),"",IF(ROUND(SUM($Q232:AA232),1)&gt;=99.5,100,MIN(100,ROUND(SUM($Q232:AA232),1))))</f>
        <v/>
      </c>
      <c r="CU232" s="1" t="str">
        <f aca="false">IF(OR(OR(NOT(AND(ISNUMBER(E232),ISNUMBER(F232))),$J$2=""),12&gt;Reprogramaciones!$K$16),"",IF(ROUND(SUM($Q232:AB232),1)&gt;=99.5,100,MIN(100,ROUND(SUM($Q232:AB232),1))))</f>
        <v/>
      </c>
      <c r="CV232" s="1" t="str">
        <f aca="false">IF(OR(OR(NOT(AND(ISNUMBER(E232),ISNUMBER(F232))),$J$2=""),13&gt;Reprogramaciones!$K$16),"",IF(ROUND(SUM($Q232:AC232),1)&gt;=99.5,100,MIN(100,ROUND(SUM($Q232:AC232),1))))</f>
        <v/>
      </c>
      <c r="CW232" s="1" t="str">
        <f aca="false">IF(OR(OR(NOT(AND(ISNUMBER(E232),ISNUMBER(F232))),$J$2=""),14&gt;Reprogramaciones!$K$16),"",IF(ROUND(SUM($Q232:AD232),1)&gt;=99.5,100,MIN(100,ROUND(SUM($Q232:AD232),1))))</f>
        <v/>
      </c>
      <c r="CX232" s="1" t="str">
        <f aca="false">IF(OR(OR(NOT(AND(ISNUMBER(E232),ISNUMBER(F232))),$J$2=""),15&gt;Reprogramaciones!$K$16),"",IF(ROUND(SUM($Q232:AE232),1)&gt;=99.5,100,MIN(100,ROUND(SUM($Q232:AE232),1))))</f>
        <v/>
      </c>
      <c r="CY232" s="1" t="str">
        <f aca="false">IF(OR(OR(NOT(AND(ISNUMBER(E232),ISNUMBER(F232))),$J$2=""),16&gt;Reprogramaciones!$K$16),"",IF(ROUND(SUM($Q232:AF232),1)&gt;=99.5,100,MIN(100,ROUND(SUM($Q232:AF232),1))))</f>
        <v/>
      </c>
      <c r="CZ232" s="1" t="str">
        <f aca="false">IF(D232&lt;&gt;"",D232,IF(B232&lt;&gt;"","Contractual",CZ231))</f>
        <v>Contractual</v>
      </c>
      <c r="DA232" s="1" t="str">
        <f aca="false">IF(OR(NOT(AND(ISNUMBER(E232),ISNUMBER(F232))),$J$2=""),"",IF(Reprogramaciones!$Q$15&lt;Reprogramaciones!$T$15,0,IF(Reprogramaciones!$S$15&gt;10,MIN(100,SUM($G232:$P232)),MIN(100,SUMPRODUCT((COLUMN($G232:$P232)-COLUMN($G232)+1&lt;Reprogramaciones!$S$15)*$G232:$P232)+N(INDEX($G232:$P232,1,Reprogramaciones!$S$15))*IF(Reprogramaciones!$Q$15&gt;=(Reprogramaciones!$T$15+7*(Reprogramaciones!$S$15-1))+6,1,IF(MAX(0,NETWORKDAYS.INTL(MAX(E232,(Reprogramaciones!$T$15+7*(Reprogramaciones!$S$15-1))),MIN(F232,(Reprogramaciones!$T$15+7*(Reprogramaciones!$S$15-1))+6),11))=0,0,MAX(0,NETWORKDAYS.INTL(MAX(E232,(Reprogramaciones!$T$15+7*(Reprogramaciones!$S$15-1))),MIN(F232,Reprogramaciones!$Q$15),11))/MAX(0,NETWORKDAYS.INTL(MAX(E232,(Reprogramaciones!$T$15+7*(Reprogramaciones!$S$15-1))),MIN(F232,(Reprogramaciones!$T$15+7*(Reprogramaciones!$S$15-1))+6),11))))))))</f>
        <v/>
      </c>
    </row>
    <row r="233" customFormat="false" ht="15" hidden="false" customHeight="false" outlineLevel="0" collapsed="false">
      <c r="A233" s="32"/>
      <c r="B233" s="33"/>
      <c r="C233" s="33"/>
      <c r="D233" s="34"/>
      <c r="E233" s="35"/>
      <c r="F233" s="35"/>
      <c r="G233" s="36" t="str">
        <f aca="false">IF(OR(NOT(AND(ISNUMBER(E233),ISNUMBER(F233))),$J$2=""),"",IF(Reprogramaciones!K$9&lt;E233,0,IF(NETWORKDAYS.INTL(E233,F233,11)=0,IF(Reprogramaciones!K$9&gt;=F233,100,0),ROUND(NETWORKDAYS.INTL(E233,MIN(F233,Reprogramaciones!K$9),11)/NETWORKDAYS.INTL(E233,F233,11)*100,1)))-0)</f>
        <v/>
      </c>
      <c r="H233" s="36" t="str">
        <f aca="false">IF(OR(NOT(AND(ISNUMBER(E233),ISNUMBER(F233))),$J$2=""),"",IF(Reprogramaciones!L$9&lt;E233,0,IF(NETWORKDAYS.INTL(E233,F233,11)=0,IF(Reprogramaciones!L$9&gt;=F233,100,0),ROUND(NETWORKDAYS.INTL(E233,MIN(F233,Reprogramaciones!L$9),11)/NETWORKDAYS.INTL(E233,F233,11)*100,1)))-IF(Reprogramaciones!K$9&lt;E233,0,IF(NETWORKDAYS.INTL(E233,F233,11)=0,IF(Reprogramaciones!K$9&gt;=F233,100,0),ROUND(NETWORKDAYS.INTL(E233,MIN(F233,Reprogramaciones!K$9),11)/NETWORKDAYS.INTL(E233,F233,11)*100,1))))</f>
        <v/>
      </c>
      <c r="I233" s="36" t="str">
        <f aca="false">IF(OR(NOT(AND(ISNUMBER(E233),ISNUMBER(F233))),$J$2=""),"",IF(Reprogramaciones!M$9&lt;E233,0,IF(NETWORKDAYS.INTL(E233,F233,11)=0,IF(Reprogramaciones!M$9&gt;=F233,100,0),ROUND(NETWORKDAYS.INTL(E233,MIN(F233,Reprogramaciones!M$9),11)/NETWORKDAYS.INTL(E233,F233,11)*100,1)))-IF(Reprogramaciones!L$9&lt;E233,0,IF(NETWORKDAYS.INTL(E233,F233,11)=0,IF(Reprogramaciones!L$9&gt;=F233,100,0),ROUND(NETWORKDAYS.INTL(E233,MIN(F233,Reprogramaciones!L$9),11)/NETWORKDAYS.INTL(E233,F233,11)*100,1))))</f>
        <v/>
      </c>
      <c r="J233" s="36" t="str">
        <f aca="false">IF(OR(NOT(AND(ISNUMBER(E233),ISNUMBER(F233))),$J$2=""),"",IF(Reprogramaciones!N$9&lt;E233,0,IF(NETWORKDAYS.INTL(E233,F233,11)=0,IF(Reprogramaciones!N$9&gt;=F233,100,0),ROUND(NETWORKDAYS.INTL(E233,MIN(F233,Reprogramaciones!N$9),11)/NETWORKDAYS.INTL(E233,F233,11)*100,1)))-IF(Reprogramaciones!M$9&lt;E233,0,IF(NETWORKDAYS.INTL(E233,F233,11)=0,IF(Reprogramaciones!M$9&gt;=F233,100,0),ROUND(NETWORKDAYS.INTL(E233,MIN(F233,Reprogramaciones!M$9),11)/NETWORKDAYS.INTL(E233,F233,11)*100,1))))</f>
        <v/>
      </c>
      <c r="K233" s="36" t="str">
        <f aca="false">IF(OR(NOT(AND(ISNUMBER(E233),ISNUMBER(F233))),$J$2=""),"",IF(Reprogramaciones!O$9&lt;E233,0,IF(NETWORKDAYS.INTL(E233,F233,11)=0,IF(Reprogramaciones!O$9&gt;=F233,100,0),ROUND(NETWORKDAYS.INTL(E233,MIN(F233,Reprogramaciones!O$9),11)/NETWORKDAYS.INTL(E233,F233,11)*100,1)))-IF(Reprogramaciones!N$9&lt;E233,0,IF(NETWORKDAYS.INTL(E233,F233,11)=0,IF(Reprogramaciones!N$9&gt;=F233,100,0),ROUND(NETWORKDAYS.INTL(E233,MIN(F233,Reprogramaciones!N$9),11)/NETWORKDAYS.INTL(E233,F233,11)*100,1))))</f>
        <v/>
      </c>
      <c r="L233" s="36" t="str">
        <f aca="false">IF(OR(NOT(AND(ISNUMBER(E233),ISNUMBER(F233))),$J$2=""),"",IF(Reprogramaciones!P$9&lt;E233,0,IF(NETWORKDAYS.INTL(E233,F233,11)=0,IF(Reprogramaciones!P$9&gt;=F233,100,0),ROUND(NETWORKDAYS.INTL(E233,MIN(F233,Reprogramaciones!P$9),11)/NETWORKDAYS.INTL(E233,F233,11)*100,1)))-IF(Reprogramaciones!O$9&lt;E233,0,IF(NETWORKDAYS.INTL(E233,F233,11)=0,IF(Reprogramaciones!O$9&gt;=F233,100,0),ROUND(NETWORKDAYS.INTL(E233,MIN(F233,Reprogramaciones!O$9),11)/NETWORKDAYS.INTL(E233,F233,11)*100,1))))</f>
        <v/>
      </c>
      <c r="M233" s="36" t="str">
        <f aca="false">IF(OR(NOT(AND(ISNUMBER(E233),ISNUMBER(F233))),$J$2=""),"",IF(Reprogramaciones!Q$9&lt;E233,0,IF(NETWORKDAYS.INTL(E233,F233,11)=0,IF(Reprogramaciones!Q$9&gt;=F233,100,0),ROUND(NETWORKDAYS.INTL(E233,MIN(F233,Reprogramaciones!Q$9),11)/NETWORKDAYS.INTL(E233,F233,11)*100,1)))-IF(Reprogramaciones!P$9&lt;E233,0,IF(NETWORKDAYS.INTL(E233,F233,11)=0,IF(Reprogramaciones!P$9&gt;=F233,100,0),ROUND(NETWORKDAYS.INTL(E233,MIN(F233,Reprogramaciones!P$9),11)/NETWORKDAYS.INTL(E233,F233,11)*100,1))))</f>
        <v/>
      </c>
      <c r="N233" s="36" t="str">
        <f aca="false">IF(OR(NOT(AND(ISNUMBER(E233),ISNUMBER(F233))),$J$2=""),"",IF(Reprogramaciones!R$9&lt;E233,0,IF(NETWORKDAYS.INTL(E233,F233,11)=0,IF(Reprogramaciones!R$9&gt;=F233,100,0),ROUND(NETWORKDAYS.INTL(E233,MIN(F233,Reprogramaciones!R$9),11)/NETWORKDAYS.INTL(E233,F233,11)*100,1)))-IF(Reprogramaciones!Q$9&lt;E233,0,IF(NETWORKDAYS.INTL(E233,F233,11)=0,IF(Reprogramaciones!Q$9&gt;=F233,100,0),ROUND(NETWORKDAYS.INTL(E233,MIN(F233,Reprogramaciones!Q$9),11)/NETWORKDAYS.INTL(E233,F233,11)*100,1))))</f>
        <v/>
      </c>
      <c r="O233" s="36" t="str">
        <f aca="false">IF(OR(NOT(AND(ISNUMBER(E233),ISNUMBER(F233))),$J$2=""),"",IF(Reprogramaciones!S$9&lt;E233,0,IF(NETWORKDAYS.INTL(E233,F233,11)=0,IF(Reprogramaciones!S$9&gt;=F233,100,0),ROUND(NETWORKDAYS.INTL(E233,MIN(F233,Reprogramaciones!S$9),11)/NETWORKDAYS.INTL(E233,F233,11)*100,1)))-IF(Reprogramaciones!R$9&lt;E233,0,IF(NETWORKDAYS.INTL(E233,F233,11)=0,IF(Reprogramaciones!R$9&gt;=F233,100,0),ROUND(NETWORKDAYS.INTL(E233,MIN(F233,Reprogramaciones!R$9),11)/NETWORKDAYS.INTL(E233,F233,11)*100,1))))</f>
        <v/>
      </c>
      <c r="P233" s="36" t="str">
        <f aca="false">IF(OR(NOT(AND(ISNUMBER(E233),ISNUMBER(F233))),$J$2=""),"",IF(Reprogramaciones!T$9&lt;E233,0,IF(NETWORKDAYS.INTL(E233,F233,11)=0,IF(Reprogramaciones!T$9&gt;=F233,100,0),ROUND(NETWORKDAYS.INTL(E233,MIN(F233,Reprogramaciones!T$9),11)/NETWORKDAYS.INTL(E233,F233,11)*100,1)))-IF(Reprogramaciones!S$9&lt;E233,0,IF(NETWORKDAYS.INTL(E233,F233,11)=0,IF(Reprogramaciones!S$9&gt;=F233,100,0),ROUND(NETWORKDAYS.INTL(E233,MIN(F233,Reprogramaciones!S$9),11)/NETWORKDAYS.INTL(E233,F233,11)*100,1))))</f>
        <v/>
      </c>
      <c r="Q233" s="37"/>
      <c r="R233" s="37"/>
      <c r="S233" s="37"/>
      <c r="T233" s="37"/>
      <c r="U233" s="37"/>
      <c r="V233" s="37"/>
      <c r="W233" s="37"/>
      <c r="X233" s="37"/>
      <c r="Y233" s="37"/>
      <c r="Z233" s="37"/>
      <c r="AA233" s="37"/>
      <c r="AB233" s="37"/>
      <c r="AC233" s="37"/>
      <c r="AD233" s="37"/>
      <c r="AE233" s="37"/>
      <c r="AF233" s="37"/>
      <c r="AG233" s="38" t="str">
        <f aca="false">IF(AND(ISNUMBER(E233),ISNUMBER(F233)),NETWORKDAYS.INTL(E233,F233,11),"")</f>
        <v/>
      </c>
      <c r="AH233" s="38" t="str">
        <f aca="false">IF(OR(NOT(AND(ISNUMBER(E233),ISNUMBER(F233))),$J$2=""),"",IF(Reprogramaciones!$P$15&lt;Reprogramaciones!$T$15,0,IF(Reprogramaciones!$R$15&gt;10,MIN(100,SUM($G233:$P233)),MIN(100,SUMPRODUCT((COLUMN($G233:$P233)-COLUMN($G233)+1&lt;Reprogramaciones!$R$15)*$G233:$P233)+N(INDEX($G233:$P233,1,Reprogramaciones!$R$15))*IF(Reprogramaciones!$P$15&gt;=(Reprogramaciones!$T$15+7*(Reprogramaciones!$R$15-1))+6,1,IF(MAX(0,NETWORKDAYS.INTL(MAX(E233,(Reprogramaciones!$T$15+7*(Reprogramaciones!$R$15-1))),MIN(F233,(Reprogramaciones!$T$15+7*(Reprogramaciones!$R$15-1))+6),11))=0,0,MAX(0,NETWORKDAYS.INTL(MAX(E233,(Reprogramaciones!$T$15+7*(Reprogramaciones!$R$15-1))),MIN(F233,Reprogramaciones!$P$15),11))/MAX(0,NETWORKDAYS.INTL(MAX(E233,(Reprogramaciones!$T$15+7*(Reprogramaciones!$R$15-1))),MIN(F233,(Reprogramaciones!$T$15+7*(Reprogramaciones!$R$15-1))+6),11))))))))</f>
        <v/>
      </c>
      <c r="AI233" s="38" t="str">
        <f aca="false">IF(COUNT($Q233:$AF233)=0,"",IF(ROUND(SUM($Q233:$AF233),1)&gt;=99.5,100,MIN(100,ROUND(SUM($Q233:$AF233),1))))</f>
        <v/>
      </c>
      <c r="AJ233" s="38" t="str">
        <f aca="false">IF(OR(AH233="",AI233=""),"",AI233-AH233)</f>
        <v/>
      </c>
      <c r="AK233" s="39" t="str">
        <f aca="true">IF(AH233="","",IF(OR(Ficha!$C$10="Suspendida",Ficha!$C$10="Cancelada"),Ficha!$C$10,IF(AND(AI233&lt;&gt;"",N(AI233)&gt;=100),"Completada",IF(AND(E233&gt;TODAY(),N(AI233)=0),"Por iniciar",IF(N(AI233)+0.5&lt;AH233,"Retrasada",IF(N(AI233)+0.5&lt;DA233,IF(Reprogramaciones!$K$15&gt;0,"Al día · Sem "&amp;Reprogramaciones!$K$15&amp;" en curso","Al día · en curso"),"A tiempo"))))))</f>
        <v/>
      </c>
      <c r="AL233" s="39" t="str">
        <f aca="true">IF(AND(A233="",AND(B233="",C233="",E233="",F233="",COUNT(Q233:AF233)=0)),"",IF(AND(B233="",C233="",E233="",F233="",COUNT(Q233:AF233)=0),"Falta la partida o subpartida",IF(AND(A233&lt;&gt;"",COUNTIF($A$6:$A$305,A233)&gt;1),"Ítem repetido",IF(AND(C233="",E233="",F233="",COUNT(Q233:AF233)=0),"Título de partida",IF(OR(E233="",F233=""),"Faltan fechas",IF(OR(ISTEXT(E233),ISTEXT(F233)),"Fecha escrita como texto: usa dd/mm/aaaa",IF(F233&lt;E233,"Fin antes del inicio",IF(IF($J$2="",FALSE(),OR(E233&lt;$J$2,F233&gt;Reprogramaciones!$T$15+69)),"Fuera de las 10 semanas",IF(ABS(SUM(G233:P233)-100)&gt;0.5,"La meta no suma 100%",IF(ROUND(SUM(Q233:AF233),1)&gt;100.5,"El avance pasa de 100%",IF(MIN(Q233:AF233)&lt;0,"Avance negativo",IF(COUNTA(Q233:AF233)&gt;COUNT(Q233:AF233),"Avance escrito como texto",IF(SUMPRODUCT((Q233:AF233&gt;0)*(Q233:AF233&lt;1))&gt;0,"Avance menor a 1: escribe 50, no 50%",IF(SUMPRODUCT(ISNUMBER(Q233:AF233)*(Reprogramaciones!$K$8:$Z$8&gt;TODAY()))&gt;0,"Avance en semana que aún no llega",IF(AND(N(Reprogramaciones!$E$21)&gt;0,F233&gt;Reprogramaciones!$E$21),"Pasa el fin de la obra: registra una reprogramación",IF(AND(N(Reprogramaciones!$E$21)&gt;0,SUMPRODUCT(ISNUMBER(Q233:AF233)*(Reprogramaciones!$K$8:$Z$8&gt;Reprogramaciones!$E$21))&gt;0),"Avance después del fin de la obra: registra una reprogramación por atraso","OK"))))))))))))))))</f>
        <v/>
      </c>
      <c r="AM233" s="40" t="str">
        <f aca="false">IF(OR(OR(NOT(AND(ISNUMBER(E233),ISNUMBER(F233))),$J$2=""),1&gt;MAX(1,Reprogramaciones!$U$15)),"",IF(Reprogramaciones!K$12&gt;=7,"",IF(OR(BT233-N(0)&gt;0.05,N(Q233)&gt;0),ROUNDDOWN(ROUND(BT233,6),0)&amp;"%"&amp;IF(CJ233="",""," / "&amp;CJ233&amp;"%"),IF(AND(N(0)&gt;=99.95,CJ233&lt;&gt;"",N(CJ233)&lt;100),"Pend. "&amp;CJ233&amp;"%",""))))</f>
        <v/>
      </c>
      <c r="AN233" s="40" t="str">
        <f aca="false">IF(OR(OR(NOT(AND(ISNUMBER(E233),ISNUMBER(F233))),$J$2=""),2&gt;MAX(1,Reprogramaciones!$U$15)),"",IF(Reprogramaciones!L$12&gt;=7,"",IF(OR(BU233-N(BT233)&gt;0.05,N(R233)&gt;0),ROUNDDOWN(ROUND(BU233,6),0)&amp;"%"&amp;IF(CK233="",""," / "&amp;CK233&amp;"%"),IF(AND(N(BT233)&gt;=99.95,CK233&lt;&gt;"",N(CK233)&lt;100),"Pend. "&amp;CK233&amp;"%",""))))</f>
        <v/>
      </c>
      <c r="AO233" s="40" t="str">
        <f aca="false">IF(OR(OR(NOT(AND(ISNUMBER(E233),ISNUMBER(F233))),$J$2=""),3&gt;MAX(1,Reprogramaciones!$U$15)),"",IF(Reprogramaciones!M$12&gt;=7,"",IF(OR(BV233-N(BU233)&gt;0.05,N(S233)&gt;0),ROUNDDOWN(ROUND(BV233,6),0)&amp;"%"&amp;IF(CL233="",""," / "&amp;CL233&amp;"%"),IF(AND(N(BU233)&gt;=99.95,CL233&lt;&gt;"",N(CL233)&lt;100),"Pend. "&amp;CL233&amp;"%",""))))</f>
        <v/>
      </c>
      <c r="AP233" s="40" t="str">
        <f aca="false">IF(OR(OR(NOT(AND(ISNUMBER(E233),ISNUMBER(F233))),$J$2=""),4&gt;MAX(1,Reprogramaciones!$U$15)),"",IF(Reprogramaciones!N$12&gt;=7,"",IF(OR(BW233-N(BV233)&gt;0.05,N(T233)&gt;0),ROUNDDOWN(ROUND(BW233,6),0)&amp;"%"&amp;IF(CM233="",""," / "&amp;CM233&amp;"%"),IF(AND(N(BV233)&gt;=99.95,CM233&lt;&gt;"",N(CM233)&lt;100),"Pend. "&amp;CM233&amp;"%",""))))</f>
        <v/>
      </c>
      <c r="AQ233" s="40" t="str">
        <f aca="false">IF(OR(OR(NOT(AND(ISNUMBER(E233),ISNUMBER(F233))),$J$2=""),5&gt;MAX(1,Reprogramaciones!$U$15)),"",IF(Reprogramaciones!O$12&gt;=7,"",IF(OR(BX233-N(BW233)&gt;0.05,N(U233)&gt;0),ROUNDDOWN(ROUND(BX233,6),0)&amp;"%"&amp;IF(CN233="",""," / "&amp;CN233&amp;"%"),IF(AND(N(BW233)&gt;=99.95,CN233&lt;&gt;"",N(CN233)&lt;100),"Pend. "&amp;CN233&amp;"%",""))))</f>
        <v/>
      </c>
      <c r="AR233" s="40" t="str">
        <f aca="false">IF(OR(OR(NOT(AND(ISNUMBER(E233),ISNUMBER(F233))),$J$2=""),6&gt;MAX(1,Reprogramaciones!$U$15)),"",IF(Reprogramaciones!P$12&gt;=7,"",IF(OR(BY233-N(BX233)&gt;0.05,N(V233)&gt;0),ROUNDDOWN(ROUND(BY233,6),0)&amp;"%"&amp;IF(CO233="",""," / "&amp;CO233&amp;"%"),IF(AND(N(BX233)&gt;=99.95,CO233&lt;&gt;"",N(CO233)&lt;100),"Pend. "&amp;CO233&amp;"%",""))))</f>
        <v/>
      </c>
      <c r="AS233" s="40" t="str">
        <f aca="false">IF(OR(OR(NOT(AND(ISNUMBER(E233),ISNUMBER(F233))),$J$2=""),7&gt;MAX(1,Reprogramaciones!$U$15)),"",IF(Reprogramaciones!Q$12&gt;=7,"",IF(OR(BZ233-N(BY233)&gt;0.05,N(W233)&gt;0),ROUNDDOWN(ROUND(BZ233,6),0)&amp;"%"&amp;IF(CP233="",""," / "&amp;CP233&amp;"%"),IF(AND(N(BY233)&gt;=99.95,CP233&lt;&gt;"",N(CP233)&lt;100),"Pend. "&amp;CP233&amp;"%",""))))</f>
        <v/>
      </c>
      <c r="AT233" s="40" t="str">
        <f aca="false">IF(OR(OR(NOT(AND(ISNUMBER(E233),ISNUMBER(F233))),$J$2=""),8&gt;MAX(1,Reprogramaciones!$U$15)),"",IF(Reprogramaciones!R$12&gt;=7,"",IF(OR(CA233-N(BZ233)&gt;0.05,N(X233)&gt;0),ROUNDDOWN(ROUND(CA233,6),0)&amp;"%"&amp;IF(CQ233="",""," / "&amp;CQ233&amp;"%"),IF(AND(N(BZ233)&gt;=99.95,CQ233&lt;&gt;"",N(CQ233)&lt;100),"Pend. "&amp;CQ233&amp;"%",""))))</f>
        <v/>
      </c>
      <c r="AU233" s="40" t="str">
        <f aca="false">IF(OR(OR(NOT(AND(ISNUMBER(E233),ISNUMBER(F233))),$J$2=""),9&gt;MAX(1,Reprogramaciones!$U$15)),"",IF(Reprogramaciones!S$12&gt;=7,"",IF(OR(CB233-N(CA233)&gt;0.05,N(Y233)&gt;0),ROUNDDOWN(ROUND(CB233,6),0)&amp;"%"&amp;IF(CR233="",""," / "&amp;CR233&amp;"%"),IF(AND(N(CA233)&gt;=99.95,CR233&lt;&gt;"",N(CR233)&lt;100),"Pend. "&amp;CR233&amp;"%",""))))</f>
        <v/>
      </c>
      <c r="AV233" s="40" t="str">
        <f aca="false">IF(OR(OR(NOT(AND(ISNUMBER(E233),ISNUMBER(F233))),$J$2=""),10&gt;MAX(1,Reprogramaciones!$U$15)),"",IF(Reprogramaciones!T$12&gt;=7,"",IF(OR(CC233-N(CB233)&gt;0.05,N(Z233)&gt;0),ROUNDDOWN(ROUND(CC233,6),0)&amp;"%"&amp;IF(CS233="",""," / "&amp;CS233&amp;"%"),IF(AND(N(CB233)&gt;=99.95,CS233&lt;&gt;"",N(CS233)&lt;100),"Pend. "&amp;CS233&amp;"%",""))))</f>
        <v/>
      </c>
      <c r="AW233" s="40" t="str">
        <f aca="false">IF(OR(OR(NOT(AND(ISNUMBER(E233),ISNUMBER(F233))),$J$2=""),11&gt;MAX(1,Reprogramaciones!$U$15)),"",IF(Reprogramaciones!U$12&gt;=7,"",IF(OR(CD233-N(CC233)&gt;0.05,N(AA233)&gt;0),ROUNDDOWN(ROUND(CD233,6),0)&amp;"%"&amp;IF(CT233="",""," / "&amp;CT233&amp;"%"),IF(AND(N(CC233)&gt;=99.95,CT233&lt;&gt;"",N(CT233)&lt;100),"Pend. "&amp;CT233&amp;"%",""))))</f>
        <v/>
      </c>
      <c r="AX233" s="40" t="str">
        <f aca="false">IF(OR(OR(NOT(AND(ISNUMBER(E233),ISNUMBER(F233))),$J$2=""),12&gt;MAX(1,Reprogramaciones!$U$15)),"",IF(Reprogramaciones!V$12&gt;=7,"",IF(OR(CE233-N(CD233)&gt;0.05,N(AB233)&gt;0),ROUNDDOWN(ROUND(CE233,6),0)&amp;"%"&amp;IF(CU233="",""," / "&amp;CU233&amp;"%"),IF(AND(N(CD233)&gt;=99.95,CU233&lt;&gt;"",N(CU233)&lt;100),"Pend. "&amp;CU233&amp;"%",""))))</f>
        <v/>
      </c>
      <c r="AY233" s="40" t="str">
        <f aca="false">IF(OR(OR(NOT(AND(ISNUMBER(E233),ISNUMBER(F233))),$J$2=""),13&gt;MAX(1,Reprogramaciones!$U$15)),"",IF(Reprogramaciones!W$12&gt;=7,"",IF(OR(CF233-N(CE233)&gt;0.05,N(AC233)&gt;0),ROUNDDOWN(ROUND(CF233,6),0)&amp;"%"&amp;IF(CV233="",""," / "&amp;CV233&amp;"%"),IF(AND(N(CE233)&gt;=99.95,CV233&lt;&gt;"",N(CV233)&lt;100),"Pend. "&amp;CV233&amp;"%",""))))</f>
        <v/>
      </c>
      <c r="AZ233" s="40" t="str">
        <f aca="false">IF(OR(OR(NOT(AND(ISNUMBER(E233),ISNUMBER(F233))),$J$2=""),14&gt;MAX(1,Reprogramaciones!$U$15)),"",IF(Reprogramaciones!X$12&gt;=7,"",IF(OR(CG233-N(CF233)&gt;0.05,N(AD233)&gt;0),ROUNDDOWN(ROUND(CG233,6),0)&amp;"%"&amp;IF(CW233="",""," / "&amp;CW233&amp;"%"),IF(AND(N(CF233)&gt;=99.95,CW233&lt;&gt;"",N(CW233)&lt;100),"Pend. "&amp;CW233&amp;"%",""))))</f>
        <v/>
      </c>
      <c r="BA233" s="40" t="str">
        <f aca="false">IF(OR(OR(NOT(AND(ISNUMBER(E233),ISNUMBER(F233))),$J$2=""),15&gt;MAX(1,Reprogramaciones!$U$15)),"",IF(Reprogramaciones!Y$12&gt;=7,"",IF(OR(CH233-N(CG233)&gt;0.05,N(AE233)&gt;0),ROUNDDOWN(ROUND(CH233,6),0)&amp;"%"&amp;IF(CX233="",""," / "&amp;CX233&amp;"%"),IF(AND(N(CG233)&gt;=99.95,CX233&lt;&gt;"",N(CX233)&lt;100),"Pend. "&amp;CX233&amp;"%",""))))</f>
        <v/>
      </c>
      <c r="BB233" s="40" t="str">
        <f aca="false">IF(OR(OR(NOT(AND(ISNUMBER(E233),ISNUMBER(F233))),$J$2=""),16&gt;MAX(1,Reprogramaciones!$U$15)),"",IF(Reprogramaciones!Z$12&gt;=7,"",IF(OR(CI233-N(CH233)&gt;0.05,N(AF233)&gt;0),ROUNDDOWN(ROUND(CI233,6),0)&amp;"%"&amp;IF(CY233="",""," / "&amp;CY233&amp;"%"),IF(AND(N(CH233)&gt;=99.95,CY233&lt;&gt;"",N(CY233)&lt;100),"Pend. "&amp;CY233&amp;"%",""))))</f>
        <v/>
      </c>
      <c r="BC233" s="31" t="n">
        <f aca="false">IF(AND(ISNUMBER(E233),ISNUMBER(F233)),MAX(1,NETWORKDAYS.INTL(E233,F233,11)),0)</f>
        <v>0</v>
      </c>
      <c r="BD233" s="1" t="str">
        <f aca="false">IF(OR(NOT(AND(ISNUMBER(E233),ISNUMBER(F233))),$J$2=""),"",MIN(100,ROUND(SUM($G233:G233),1)))</f>
        <v/>
      </c>
      <c r="BE233" s="1" t="str">
        <f aca="false">IF(OR(NOT(AND(ISNUMBER(E233),ISNUMBER(F233))),$J$2=""),"",MIN(100,ROUND(SUM($G233:H233),1)))</f>
        <v/>
      </c>
      <c r="BF233" s="1" t="str">
        <f aca="false">IF(OR(NOT(AND(ISNUMBER(E233),ISNUMBER(F233))),$J$2=""),"",MIN(100,ROUND(SUM($G233:I233),1)))</f>
        <v/>
      </c>
      <c r="BG233" s="1" t="str">
        <f aca="false">IF(OR(NOT(AND(ISNUMBER(E233),ISNUMBER(F233))),$J$2=""),"",MIN(100,ROUND(SUM($G233:J233),1)))</f>
        <v/>
      </c>
      <c r="BH233" s="1" t="str">
        <f aca="false">IF(OR(NOT(AND(ISNUMBER(E233),ISNUMBER(F233))),$J$2=""),"",MIN(100,ROUND(SUM($G233:K233),1)))</f>
        <v/>
      </c>
      <c r="BI233" s="1" t="str">
        <f aca="false">IF(OR(NOT(AND(ISNUMBER(E233),ISNUMBER(F233))),$J$2=""),"",MIN(100,ROUND(SUM($G233:L233),1)))</f>
        <v/>
      </c>
      <c r="BJ233" s="1" t="str">
        <f aca="false">IF(OR(NOT(AND(ISNUMBER(E233),ISNUMBER(F233))),$J$2=""),"",MIN(100,ROUND(SUM($G233:M233),1)))</f>
        <v/>
      </c>
      <c r="BK233" s="1" t="str">
        <f aca="false">IF(OR(NOT(AND(ISNUMBER(E233),ISNUMBER(F233))),$J$2=""),"",MIN(100,ROUND(SUM($G233:N233),1)))</f>
        <v/>
      </c>
      <c r="BL233" s="1" t="str">
        <f aca="false">IF(OR(NOT(AND(ISNUMBER(E233),ISNUMBER(F233))),$J$2=""),"",MIN(100,ROUND(SUM($G233:O233),1)))</f>
        <v/>
      </c>
      <c r="BM233" s="1" t="str">
        <f aca="false">IF(OR(NOT(AND(ISNUMBER(E233),ISNUMBER(F233))),$J$2=""),"",MIN(100,ROUND(SUM($G233:P233),1)))</f>
        <v/>
      </c>
      <c r="BN233" s="1" t="str">
        <f aca="false">IF(OR(NOT(AND(ISNUMBER(E233),ISNUMBER(F233))),$J$2=""),"",MIN(100,ROUND(SUM($G233:P233),1)))</f>
        <v/>
      </c>
      <c r="BO233" s="1" t="str">
        <f aca="false">IF(OR(NOT(AND(ISNUMBER(E233),ISNUMBER(F233))),$J$2=""),"",MIN(100,ROUND(SUM($G233:P233),1)))</f>
        <v/>
      </c>
      <c r="BP233" s="1" t="str">
        <f aca="false">IF(OR(NOT(AND(ISNUMBER(E233),ISNUMBER(F233))),$J$2=""),"",MIN(100,ROUND(SUM($G233:P233),1)))</f>
        <v/>
      </c>
      <c r="BQ233" s="1" t="str">
        <f aca="false">IF(OR(NOT(AND(ISNUMBER(E233),ISNUMBER(F233))),$J$2=""),"",MIN(100,ROUND(SUM($G233:P233),1)))</f>
        <v/>
      </c>
      <c r="BR233" s="1" t="str">
        <f aca="false">IF(OR(NOT(AND(ISNUMBER(E233),ISNUMBER(F233))),$J$2=""),"",MIN(100,ROUND(SUM($G233:P233),1)))</f>
        <v/>
      </c>
      <c r="BS233" s="1" t="str">
        <f aca="false">IF(OR(NOT(AND(ISNUMBER(E233),ISNUMBER(F233))),$J$2=""),"",MIN(100,ROUND(SUM($G233:P233),1)))</f>
        <v/>
      </c>
      <c r="BT233" s="1" t="str">
        <f aca="false">IF(OR(NOT(AND(ISNUMBER(E233),ISNUMBER(F233))),$J$2=""),"",IF(Reprogramaciones!K$13&lt;Reprogramaciones!$T$15,0,IF(Reprogramaciones!K$14&gt;10,MIN(100,SUM($G233:$P233)),MIN(100,SUMPRODUCT((COLUMN($G233:$P233)-COLUMN($G233)+1&lt;Reprogramaciones!K$14)*$G233:$P233)+N(INDEX($G233:$P233,1,Reprogramaciones!K$14))*IF(Reprogramaciones!K$13&gt;=(Reprogramaciones!$T$15+7*(Reprogramaciones!K$14-1))+6,1,IF(MAX(0,NETWORKDAYS.INTL(MAX(E233,(Reprogramaciones!$T$15+7*(Reprogramaciones!K$14-1))),MIN(F233,(Reprogramaciones!$T$15+7*(Reprogramaciones!K$14-1))+6),11))=0,0,MAX(0,NETWORKDAYS.INTL(MAX(E233,(Reprogramaciones!$T$15+7*(Reprogramaciones!K$14-1))),MIN(F233,Reprogramaciones!K$13),11))/MAX(0,NETWORKDAYS.INTL(MAX(E233,(Reprogramaciones!$T$15+7*(Reprogramaciones!K$14-1))),MIN(F233,(Reprogramaciones!$T$15+7*(Reprogramaciones!K$14-1))+6),11))))))))</f>
        <v/>
      </c>
      <c r="BU233" s="1" t="str">
        <f aca="false">IF(OR(NOT(AND(ISNUMBER(E233),ISNUMBER(F233))),$J$2=""),"",IF(Reprogramaciones!L$13&lt;Reprogramaciones!$T$15,0,IF(Reprogramaciones!L$14&gt;10,MIN(100,SUM($G233:$P233)),MIN(100,SUMPRODUCT((COLUMN($G233:$P233)-COLUMN($G233)+1&lt;Reprogramaciones!L$14)*$G233:$P233)+N(INDEX($G233:$P233,1,Reprogramaciones!L$14))*IF(Reprogramaciones!L$13&gt;=(Reprogramaciones!$T$15+7*(Reprogramaciones!L$14-1))+6,1,IF(MAX(0,NETWORKDAYS.INTL(MAX(E233,(Reprogramaciones!$T$15+7*(Reprogramaciones!L$14-1))),MIN(F233,(Reprogramaciones!$T$15+7*(Reprogramaciones!L$14-1))+6),11))=0,0,MAX(0,NETWORKDAYS.INTL(MAX(E233,(Reprogramaciones!$T$15+7*(Reprogramaciones!L$14-1))),MIN(F233,Reprogramaciones!L$13),11))/MAX(0,NETWORKDAYS.INTL(MAX(E233,(Reprogramaciones!$T$15+7*(Reprogramaciones!L$14-1))),MIN(F233,(Reprogramaciones!$T$15+7*(Reprogramaciones!L$14-1))+6),11))))))))</f>
        <v/>
      </c>
      <c r="BV233" s="1" t="str">
        <f aca="false">IF(OR(NOT(AND(ISNUMBER(E233),ISNUMBER(F233))),$J$2=""),"",IF(Reprogramaciones!M$13&lt;Reprogramaciones!$T$15,0,IF(Reprogramaciones!M$14&gt;10,MIN(100,SUM($G233:$P233)),MIN(100,SUMPRODUCT((COLUMN($G233:$P233)-COLUMN($G233)+1&lt;Reprogramaciones!M$14)*$G233:$P233)+N(INDEX($G233:$P233,1,Reprogramaciones!M$14))*IF(Reprogramaciones!M$13&gt;=(Reprogramaciones!$T$15+7*(Reprogramaciones!M$14-1))+6,1,IF(MAX(0,NETWORKDAYS.INTL(MAX(E233,(Reprogramaciones!$T$15+7*(Reprogramaciones!M$14-1))),MIN(F233,(Reprogramaciones!$T$15+7*(Reprogramaciones!M$14-1))+6),11))=0,0,MAX(0,NETWORKDAYS.INTL(MAX(E233,(Reprogramaciones!$T$15+7*(Reprogramaciones!M$14-1))),MIN(F233,Reprogramaciones!M$13),11))/MAX(0,NETWORKDAYS.INTL(MAX(E233,(Reprogramaciones!$T$15+7*(Reprogramaciones!M$14-1))),MIN(F233,(Reprogramaciones!$T$15+7*(Reprogramaciones!M$14-1))+6),11))))))))</f>
        <v/>
      </c>
      <c r="BW233" s="1" t="str">
        <f aca="false">IF(OR(NOT(AND(ISNUMBER(E233),ISNUMBER(F233))),$J$2=""),"",IF(Reprogramaciones!N$13&lt;Reprogramaciones!$T$15,0,IF(Reprogramaciones!N$14&gt;10,MIN(100,SUM($G233:$P233)),MIN(100,SUMPRODUCT((COLUMN($G233:$P233)-COLUMN($G233)+1&lt;Reprogramaciones!N$14)*$G233:$P233)+N(INDEX($G233:$P233,1,Reprogramaciones!N$14))*IF(Reprogramaciones!N$13&gt;=(Reprogramaciones!$T$15+7*(Reprogramaciones!N$14-1))+6,1,IF(MAX(0,NETWORKDAYS.INTL(MAX(E233,(Reprogramaciones!$T$15+7*(Reprogramaciones!N$14-1))),MIN(F233,(Reprogramaciones!$T$15+7*(Reprogramaciones!N$14-1))+6),11))=0,0,MAX(0,NETWORKDAYS.INTL(MAX(E233,(Reprogramaciones!$T$15+7*(Reprogramaciones!N$14-1))),MIN(F233,Reprogramaciones!N$13),11))/MAX(0,NETWORKDAYS.INTL(MAX(E233,(Reprogramaciones!$T$15+7*(Reprogramaciones!N$14-1))),MIN(F233,(Reprogramaciones!$T$15+7*(Reprogramaciones!N$14-1))+6),11))))))))</f>
        <v/>
      </c>
      <c r="BX233" s="1" t="str">
        <f aca="false">IF(OR(NOT(AND(ISNUMBER(E233),ISNUMBER(F233))),$J$2=""),"",IF(Reprogramaciones!O$13&lt;Reprogramaciones!$T$15,0,IF(Reprogramaciones!O$14&gt;10,MIN(100,SUM($G233:$P233)),MIN(100,SUMPRODUCT((COLUMN($G233:$P233)-COLUMN($G233)+1&lt;Reprogramaciones!O$14)*$G233:$P233)+N(INDEX($G233:$P233,1,Reprogramaciones!O$14))*IF(Reprogramaciones!O$13&gt;=(Reprogramaciones!$T$15+7*(Reprogramaciones!O$14-1))+6,1,IF(MAX(0,NETWORKDAYS.INTL(MAX(E233,(Reprogramaciones!$T$15+7*(Reprogramaciones!O$14-1))),MIN(F233,(Reprogramaciones!$T$15+7*(Reprogramaciones!O$14-1))+6),11))=0,0,MAX(0,NETWORKDAYS.INTL(MAX(E233,(Reprogramaciones!$T$15+7*(Reprogramaciones!O$14-1))),MIN(F233,Reprogramaciones!O$13),11))/MAX(0,NETWORKDAYS.INTL(MAX(E233,(Reprogramaciones!$T$15+7*(Reprogramaciones!O$14-1))),MIN(F233,(Reprogramaciones!$T$15+7*(Reprogramaciones!O$14-1))+6),11))))))))</f>
        <v/>
      </c>
      <c r="BY233" s="1" t="str">
        <f aca="false">IF(OR(NOT(AND(ISNUMBER(E233),ISNUMBER(F233))),$J$2=""),"",IF(Reprogramaciones!P$13&lt;Reprogramaciones!$T$15,0,IF(Reprogramaciones!P$14&gt;10,MIN(100,SUM($G233:$P233)),MIN(100,SUMPRODUCT((COLUMN($G233:$P233)-COLUMN($G233)+1&lt;Reprogramaciones!P$14)*$G233:$P233)+N(INDEX($G233:$P233,1,Reprogramaciones!P$14))*IF(Reprogramaciones!P$13&gt;=(Reprogramaciones!$T$15+7*(Reprogramaciones!P$14-1))+6,1,IF(MAX(0,NETWORKDAYS.INTL(MAX(E233,(Reprogramaciones!$T$15+7*(Reprogramaciones!P$14-1))),MIN(F233,(Reprogramaciones!$T$15+7*(Reprogramaciones!P$14-1))+6),11))=0,0,MAX(0,NETWORKDAYS.INTL(MAX(E233,(Reprogramaciones!$T$15+7*(Reprogramaciones!P$14-1))),MIN(F233,Reprogramaciones!P$13),11))/MAX(0,NETWORKDAYS.INTL(MAX(E233,(Reprogramaciones!$T$15+7*(Reprogramaciones!P$14-1))),MIN(F233,(Reprogramaciones!$T$15+7*(Reprogramaciones!P$14-1))+6),11))))))))</f>
        <v/>
      </c>
      <c r="BZ233" s="1" t="str">
        <f aca="false">IF(OR(NOT(AND(ISNUMBER(E233),ISNUMBER(F233))),$J$2=""),"",IF(Reprogramaciones!Q$13&lt;Reprogramaciones!$T$15,0,IF(Reprogramaciones!Q$14&gt;10,MIN(100,SUM($G233:$P233)),MIN(100,SUMPRODUCT((COLUMN($G233:$P233)-COLUMN($G233)+1&lt;Reprogramaciones!Q$14)*$G233:$P233)+N(INDEX($G233:$P233,1,Reprogramaciones!Q$14))*IF(Reprogramaciones!Q$13&gt;=(Reprogramaciones!$T$15+7*(Reprogramaciones!Q$14-1))+6,1,IF(MAX(0,NETWORKDAYS.INTL(MAX(E233,(Reprogramaciones!$T$15+7*(Reprogramaciones!Q$14-1))),MIN(F233,(Reprogramaciones!$T$15+7*(Reprogramaciones!Q$14-1))+6),11))=0,0,MAX(0,NETWORKDAYS.INTL(MAX(E233,(Reprogramaciones!$T$15+7*(Reprogramaciones!Q$14-1))),MIN(F233,Reprogramaciones!Q$13),11))/MAX(0,NETWORKDAYS.INTL(MAX(E233,(Reprogramaciones!$T$15+7*(Reprogramaciones!Q$14-1))),MIN(F233,(Reprogramaciones!$T$15+7*(Reprogramaciones!Q$14-1))+6),11))))))))</f>
        <v/>
      </c>
      <c r="CA233" s="1" t="str">
        <f aca="false">IF(OR(NOT(AND(ISNUMBER(E233),ISNUMBER(F233))),$J$2=""),"",IF(Reprogramaciones!R$13&lt;Reprogramaciones!$T$15,0,IF(Reprogramaciones!R$14&gt;10,MIN(100,SUM($G233:$P233)),MIN(100,SUMPRODUCT((COLUMN($G233:$P233)-COLUMN($G233)+1&lt;Reprogramaciones!R$14)*$G233:$P233)+N(INDEX($G233:$P233,1,Reprogramaciones!R$14))*IF(Reprogramaciones!R$13&gt;=(Reprogramaciones!$T$15+7*(Reprogramaciones!R$14-1))+6,1,IF(MAX(0,NETWORKDAYS.INTL(MAX(E233,(Reprogramaciones!$T$15+7*(Reprogramaciones!R$14-1))),MIN(F233,(Reprogramaciones!$T$15+7*(Reprogramaciones!R$14-1))+6),11))=0,0,MAX(0,NETWORKDAYS.INTL(MAX(E233,(Reprogramaciones!$T$15+7*(Reprogramaciones!R$14-1))),MIN(F233,Reprogramaciones!R$13),11))/MAX(0,NETWORKDAYS.INTL(MAX(E233,(Reprogramaciones!$T$15+7*(Reprogramaciones!R$14-1))),MIN(F233,(Reprogramaciones!$T$15+7*(Reprogramaciones!R$14-1))+6),11))))))))</f>
        <v/>
      </c>
      <c r="CB233" s="1" t="str">
        <f aca="false">IF(OR(NOT(AND(ISNUMBER(E233),ISNUMBER(F233))),$J$2=""),"",IF(Reprogramaciones!S$13&lt;Reprogramaciones!$T$15,0,IF(Reprogramaciones!S$14&gt;10,MIN(100,SUM($G233:$P233)),MIN(100,SUMPRODUCT((COLUMN($G233:$P233)-COLUMN($G233)+1&lt;Reprogramaciones!S$14)*$G233:$P233)+N(INDEX($G233:$P233,1,Reprogramaciones!S$14))*IF(Reprogramaciones!S$13&gt;=(Reprogramaciones!$T$15+7*(Reprogramaciones!S$14-1))+6,1,IF(MAX(0,NETWORKDAYS.INTL(MAX(E233,(Reprogramaciones!$T$15+7*(Reprogramaciones!S$14-1))),MIN(F233,(Reprogramaciones!$T$15+7*(Reprogramaciones!S$14-1))+6),11))=0,0,MAX(0,NETWORKDAYS.INTL(MAX(E233,(Reprogramaciones!$T$15+7*(Reprogramaciones!S$14-1))),MIN(F233,Reprogramaciones!S$13),11))/MAX(0,NETWORKDAYS.INTL(MAX(E233,(Reprogramaciones!$T$15+7*(Reprogramaciones!S$14-1))),MIN(F233,(Reprogramaciones!$T$15+7*(Reprogramaciones!S$14-1))+6),11))))))))</f>
        <v/>
      </c>
      <c r="CC233" s="1" t="str">
        <f aca="false">IF(OR(NOT(AND(ISNUMBER(E233),ISNUMBER(F233))),$J$2=""),"",IF(Reprogramaciones!T$13&lt;Reprogramaciones!$T$15,0,IF(Reprogramaciones!T$14&gt;10,MIN(100,SUM($G233:$P233)),MIN(100,SUMPRODUCT((COLUMN($G233:$P233)-COLUMN($G233)+1&lt;Reprogramaciones!T$14)*$G233:$P233)+N(INDEX($G233:$P233,1,Reprogramaciones!T$14))*IF(Reprogramaciones!T$13&gt;=(Reprogramaciones!$T$15+7*(Reprogramaciones!T$14-1))+6,1,IF(MAX(0,NETWORKDAYS.INTL(MAX(E233,(Reprogramaciones!$T$15+7*(Reprogramaciones!T$14-1))),MIN(F233,(Reprogramaciones!$T$15+7*(Reprogramaciones!T$14-1))+6),11))=0,0,MAX(0,NETWORKDAYS.INTL(MAX(E233,(Reprogramaciones!$T$15+7*(Reprogramaciones!T$14-1))),MIN(F233,Reprogramaciones!T$13),11))/MAX(0,NETWORKDAYS.INTL(MAX(E233,(Reprogramaciones!$T$15+7*(Reprogramaciones!T$14-1))),MIN(F233,(Reprogramaciones!$T$15+7*(Reprogramaciones!T$14-1))+6),11))))))))</f>
        <v/>
      </c>
      <c r="CD233" s="1" t="str">
        <f aca="false">IF(OR(NOT(AND(ISNUMBER(E233),ISNUMBER(F233))),$J$2=""),"",IF(Reprogramaciones!U$13&lt;Reprogramaciones!$T$15,0,IF(Reprogramaciones!U$14&gt;10,MIN(100,SUM($G233:$P233)),MIN(100,SUMPRODUCT((COLUMN($G233:$P233)-COLUMN($G233)+1&lt;Reprogramaciones!U$14)*$G233:$P233)+N(INDEX($G233:$P233,1,Reprogramaciones!U$14))*IF(Reprogramaciones!U$13&gt;=(Reprogramaciones!$T$15+7*(Reprogramaciones!U$14-1))+6,1,IF(MAX(0,NETWORKDAYS.INTL(MAX(E233,(Reprogramaciones!$T$15+7*(Reprogramaciones!U$14-1))),MIN(F233,(Reprogramaciones!$T$15+7*(Reprogramaciones!U$14-1))+6),11))=0,0,MAX(0,NETWORKDAYS.INTL(MAX(E233,(Reprogramaciones!$T$15+7*(Reprogramaciones!U$14-1))),MIN(F233,Reprogramaciones!U$13),11))/MAX(0,NETWORKDAYS.INTL(MAX(E233,(Reprogramaciones!$T$15+7*(Reprogramaciones!U$14-1))),MIN(F233,(Reprogramaciones!$T$15+7*(Reprogramaciones!U$14-1))+6),11))))))))</f>
        <v/>
      </c>
      <c r="CE233" s="1" t="str">
        <f aca="false">IF(OR(NOT(AND(ISNUMBER(E233),ISNUMBER(F233))),$J$2=""),"",IF(Reprogramaciones!V$13&lt;Reprogramaciones!$T$15,0,IF(Reprogramaciones!V$14&gt;10,MIN(100,SUM($G233:$P233)),MIN(100,SUMPRODUCT((COLUMN($G233:$P233)-COLUMN($G233)+1&lt;Reprogramaciones!V$14)*$G233:$P233)+N(INDEX($G233:$P233,1,Reprogramaciones!V$14))*IF(Reprogramaciones!V$13&gt;=(Reprogramaciones!$T$15+7*(Reprogramaciones!V$14-1))+6,1,IF(MAX(0,NETWORKDAYS.INTL(MAX(E233,(Reprogramaciones!$T$15+7*(Reprogramaciones!V$14-1))),MIN(F233,(Reprogramaciones!$T$15+7*(Reprogramaciones!V$14-1))+6),11))=0,0,MAX(0,NETWORKDAYS.INTL(MAX(E233,(Reprogramaciones!$T$15+7*(Reprogramaciones!V$14-1))),MIN(F233,Reprogramaciones!V$13),11))/MAX(0,NETWORKDAYS.INTL(MAX(E233,(Reprogramaciones!$T$15+7*(Reprogramaciones!V$14-1))),MIN(F233,(Reprogramaciones!$T$15+7*(Reprogramaciones!V$14-1))+6),11))))))))</f>
        <v/>
      </c>
      <c r="CF233" s="1" t="str">
        <f aca="false">IF(OR(NOT(AND(ISNUMBER(E233),ISNUMBER(F233))),$J$2=""),"",IF(Reprogramaciones!W$13&lt;Reprogramaciones!$T$15,0,IF(Reprogramaciones!W$14&gt;10,MIN(100,SUM($G233:$P233)),MIN(100,SUMPRODUCT((COLUMN($G233:$P233)-COLUMN($G233)+1&lt;Reprogramaciones!W$14)*$G233:$P233)+N(INDEX($G233:$P233,1,Reprogramaciones!W$14))*IF(Reprogramaciones!W$13&gt;=(Reprogramaciones!$T$15+7*(Reprogramaciones!W$14-1))+6,1,IF(MAX(0,NETWORKDAYS.INTL(MAX(E233,(Reprogramaciones!$T$15+7*(Reprogramaciones!W$14-1))),MIN(F233,(Reprogramaciones!$T$15+7*(Reprogramaciones!W$14-1))+6),11))=0,0,MAX(0,NETWORKDAYS.INTL(MAX(E233,(Reprogramaciones!$T$15+7*(Reprogramaciones!W$14-1))),MIN(F233,Reprogramaciones!W$13),11))/MAX(0,NETWORKDAYS.INTL(MAX(E233,(Reprogramaciones!$T$15+7*(Reprogramaciones!W$14-1))),MIN(F233,(Reprogramaciones!$T$15+7*(Reprogramaciones!W$14-1))+6),11))))))))</f>
        <v/>
      </c>
      <c r="CG233" s="1" t="str">
        <f aca="false">IF(OR(NOT(AND(ISNUMBER(E233),ISNUMBER(F233))),$J$2=""),"",IF(Reprogramaciones!X$13&lt;Reprogramaciones!$T$15,0,IF(Reprogramaciones!X$14&gt;10,MIN(100,SUM($G233:$P233)),MIN(100,SUMPRODUCT((COLUMN($G233:$P233)-COLUMN($G233)+1&lt;Reprogramaciones!X$14)*$G233:$P233)+N(INDEX($G233:$P233,1,Reprogramaciones!X$14))*IF(Reprogramaciones!X$13&gt;=(Reprogramaciones!$T$15+7*(Reprogramaciones!X$14-1))+6,1,IF(MAX(0,NETWORKDAYS.INTL(MAX(E233,(Reprogramaciones!$T$15+7*(Reprogramaciones!X$14-1))),MIN(F233,(Reprogramaciones!$T$15+7*(Reprogramaciones!X$14-1))+6),11))=0,0,MAX(0,NETWORKDAYS.INTL(MAX(E233,(Reprogramaciones!$T$15+7*(Reprogramaciones!X$14-1))),MIN(F233,Reprogramaciones!X$13),11))/MAX(0,NETWORKDAYS.INTL(MAX(E233,(Reprogramaciones!$T$15+7*(Reprogramaciones!X$14-1))),MIN(F233,(Reprogramaciones!$T$15+7*(Reprogramaciones!X$14-1))+6),11))))))))</f>
        <v/>
      </c>
      <c r="CH233" s="1" t="str">
        <f aca="false">IF(OR(NOT(AND(ISNUMBER(E233),ISNUMBER(F233))),$J$2=""),"",IF(Reprogramaciones!Y$13&lt;Reprogramaciones!$T$15,0,IF(Reprogramaciones!Y$14&gt;10,MIN(100,SUM($G233:$P233)),MIN(100,SUMPRODUCT((COLUMN($G233:$P233)-COLUMN($G233)+1&lt;Reprogramaciones!Y$14)*$G233:$P233)+N(INDEX($G233:$P233,1,Reprogramaciones!Y$14))*IF(Reprogramaciones!Y$13&gt;=(Reprogramaciones!$T$15+7*(Reprogramaciones!Y$14-1))+6,1,IF(MAX(0,NETWORKDAYS.INTL(MAX(E233,(Reprogramaciones!$T$15+7*(Reprogramaciones!Y$14-1))),MIN(F233,(Reprogramaciones!$T$15+7*(Reprogramaciones!Y$14-1))+6),11))=0,0,MAX(0,NETWORKDAYS.INTL(MAX(E233,(Reprogramaciones!$T$15+7*(Reprogramaciones!Y$14-1))),MIN(F233,Reprogramaciones!Y$13),11))/MAX(0,NETWORKDAYS.INTL(MAX(E233,(Reprogramaciones!$T$15+7*(Reprogramaciones!Y$14-1))),MIN(F233,(Reprogramaciones!$T$15+7*(Reprogramaciones!Y$14-1))+6),11))))))))</f>
        <v/>
      </c>
      <c r="CI233" s="1" t="str">
        <f aca="false">IF(OR(NOT(AND(ISNUMBER(E233),ISNUMBER(F233))),$J$2=""),"",IF(Reprogramaciones!Z$13&lt;Reprogramaciones!$T$15,0,IF(Reprogramaciones!Z$14&gt;10,MIN(100,SUM($G233:$P233)),MIN(100,SUMPRODUCT((COLUMN($G233:$P233)-COLUMN($G233)+1&lt;Reprogramaciones!Z$14)*$G233:$P233)+N(INDEX($G233:$P233,1,Reprogramaciones!Z$14))*IF(Reprogramaciones!Z$13&gt;=(Reprogramaciones!$T$15+7*(Reprogramaciones!Z$14-1))+6,1,IF(MAX(0,NETWORKDAYS.INTL(MAX(E233,(Reprogramaciones!$T$15+7*(Reprogramaciones!Z$14-1))),MIN(F233,(Reprogramaciones!$T$15+7*(Reprogramaciones!Z$14-1))+6),11))=0,0,MAX(0,NETWORKDAYS.INTL(MAX(E233,(Reprogramaciones!$T$15+7*(Reprogramaciones!Z$14-1))),MIN(F233,Reprogramaciones!Z$13),11))/MAX(0,NETWORKDAYS.INTL(MAX(E233,(Reprogramaciones!$T$15+7*(Reprogramaciones!Z$14-1))),MIN(F233,(Reprogramaciones!$T$15+7*(Reprogramaciones!Z$14-1))+6),11))))))))</f>
        <v/>
      </c>
      <c r="CJ233" s="1" t="str">
        <f aca="false">IF(OR(OR(NOT(AND(ISNUMBER(E233),ISNUMBER(F233))),$J$2=""),1&gt;Reprogramaciones!$K$16),"",IF(ROUND(SUM($Q233:Q233),1)&gt;=99.5,100,MIN(100,ROUND(SUM($Q233:Q233),1))))</f>
        <v/>
      </c>
      <c r="CK233" s="1" t="str">
        <f aca="false">IF(OR(OR(NOT(AND(ISNUMBER(E233),ISNUMBER(F233))),$J$2=""),2&gt;Reprogramaciones!$K$16),"",IF(ROUND(SUM($Q233:R233),1)&gt;=99.5,100,MIN(100,ROUND(SUM($Q233:R233),1))))</f>
        <v/>
      </c>
      <c r="CL233" s="1" t="str">
        <f aca="false">IF(OR(OR(NOT(AND(ISNUMBER(E233),ISNUMBER(F233))),$J$2=""),3&gt;Reprogramaciones!$K$16),"",IF(ROUND(SUM($Q233:S233),1)&gt;=99.5,100,MIN(100,ROUND(SUM($Q233:S233),1))))</f>
        <v/>
      </c>
      <c r="CM233" s="1" t="str">
        <f aca="false">IF(OR(OR(NOT(AND(ISNUMBER(E233),ISNUMBER(F233))),$J$2=""),4&gt;Reprogramaciones!$K$16),"",IF(ROUND(SUM($Q233:T233),1)&gt;=99.5,100,MIN(100,ROUND(SUM($Q233:T233),1))))</f>
        <v/>
      </c>
      <c r="CN233" s="1" t="str">
        <f aca="false">IF(OR(OR(NOT(AND(ISNUMBER(E233),ISNUMBER(F233))),$J$2=""),5&gt;Reprogramaciones!$K$16),"",IF(ROUND(SUM($Q233:U233),1)&gt;=99.5,100,MIN(100,ROUND(SUM($Q233:U233),1))))</f>
        <v/>
      </c>
      <c r="CO233" s="1" t="str">
        <f aca="false">IF(OR(OR(NOT(AND(ISNUMBER(E233),ISNUMBER(F233))),$J$2=""),6&gt;Reprogramaciones!$K$16),"",IF(ROUND(SUM($Q233:V233),1)&gt;=99.5,100,MIN(100,ROUND(SUM($Q233:V233),1))))</f>
        <v/>
      </c>
      <c r="CP233" s="1" t="str">
        <f aca="false">IF(OR(OR(NOT(AND(ISNUMBER(E233),ISNUMBER(F233))),$J$2=""),7&gt;Reprogramaciones!$K$16),"",IF(ROUND(SUM($Q233:W233),1)&gt;=99.5,100,MIN(100,ROUND(SUM($Q233:W233),1))))</f>
        <v/>
      </c>
      <c r="CQ233" s="1" t="str">
        <f aca="false">IF(OR(OR(NOT(AND(ISNUMBER(E233),ISNUMBER(F233))),$J$2=""),8&gt;Reprogramaciones!$K$16),"",IF(ROUND(SUM($Q233:X233),1)&gt;=99.5,100,MIN(100,ROUND(SUM($Q233:X233),1))))</f>
        <v/>
      </c>
      <c r="CR233" s="1" t="str">
        <f aca="false">IF(OR(OR(NOT(AND(ISNUMBER(E233),ISNUMBER(F233))),$J$2=""),9&gt;Reprogramaciones!$K$16),"",IF(ROUND(SUM($Q233:Y233),1)&gt;=99.5,100,MIN(100,ROUND(SUM($Q233:Y233),1))))</f>
        <v/>
      </c>
      <c r="CS233" s="1" t="str">
        <f aca="false">IF(OR(OR(NOT(AND(ISNUMBER(E233),ISNUMBER(F233))),$J$2=""),10&gt;Reprogramaciones!$K$16),"",IF(ROUND(SUM($Q233:Z233),1)&gt;=99.5,100,MIN(100,ROUND(SUM($Q233:Z233),1))))</f>
        <v/>
      </c>
      <c r="CT233" s="1" t="str">
        <f aca="false">IF(OR(OR(NOT(AND(ISNUMBER(E233),ISNUMBER(F233))),$J$2=""),11&gt;Reprogramaciones!$K$16),"",IF(ROUND(SUM($Q233:AA233),1)&gt;=99.5,100,MIN(100,ROUND(SUM($Q233:AA233),1))))</f>
        <v/>
      </c>
      <c r="CU233" s="1" t="str">
        <f aca="false">IF(OR(OR(NOT(AND(ISNUMBER(E233),ISNUMBER(F233))),$J$2=""),12&gt;Reprogramaciones!$K$16),"",IF(ROUND(SUM($Q233:AB233),1)&gt;=99.5,100,MIN(100,ROUND(SUM($Q233:AB233),1))))</f>
        <v/>
      </c>
      <c r="CV233" s="1" t="str">
        <f aca="false">IF(OR(OR(NOT(AND(ISNUMBER(E233),ISNUMBER(F233))),$J$2=""),13&gt;Reprogramaciones!$K$16),"",IF(ROUND(SUM($Q233:AC233),1)&gt;=99.5,100,MIN(100,ROUND(SUM($Q233:AC233),1))))</f>
        <v/>
      </c>
      <c r="CW233" s="1" t="str">
        <f aca="false">IF(OR(OR(NOT(AND(ISNUMBER(E233),ISNUMBER(F233))),$J$2=""),14&gt;Reprogramaciones!$K$16),"",IF(ROUND(SUM($Q233:AD233),1)&gt;=99.5,100,MIN(100,ROUND(SUM($Q233:AD233),1))))</f>
        <v/>
      </c>
      <c r="CX233" s="1" t="str">
        <f aca="false">IF(OR(OR(NOT(AND(ISNUMBER(E233),ISNUMBER(F233))),$J$2=""),15&gt;Reprogramaciones!$K$16),"",IF(ROUND(SUM($Q233:AE233),1)&gt;=99.5,100,MIN(100,ROUND(SUM($Q233:AE233),1))))</f>
        <v/>
      </c>
      <c r="CY233" s="1" t="str">
        <f aca="false">IF(OR(OR(NOT(AND(ISNUMBER(E233),ISNUMBER(F233))),$J$2=""),16&gt;Reprogramaciones!$K$16),"",IF(ROUND(SUM($Q233:AF233),1)&gt;=99.5,100,MIN(100,ROUND(SUM($Q233:AF233),1))))</f>
        <v/>
      </c>
      <c r="CZ233" s="1" t="str">
        <f aca="false">IF(D233&lt;&gt;"",D233,IF(B233&lt;&gt;"","Contractual",CZ232))</f>
        <v>Contractual</v>
      </c>
      <c r="DA233" s="1" t="str">
        <f aca="false">IF(OR(NOT(AND(ISNUMBER(E233),ISNUMBER(F233))),$J$2=""),"",IF(Reprogramaciones!$Q$15&lt;Reprogramaciones!$T$15,0,IF(Reprogramaciones!$S$15&gt;10,MIN(100,SUM($G233:$P233)),MIN(100,SUMPRODUCT((COLUMN($G233:$P233)-COLUMN($G233)+1&lt;Reprogramaciones!$S$15)*$G233:$P233)+N(INDEX($G233:$P233,1,Reprogramaciones!$S$15))*IF(Reprogramaciones!$Q$15&gt;=(Reprogramaciones!$T$15+7*(Reprogramaciones!$S$15-1))+6,1,IF(MAX(0,NETWORKDAYS.INTL(MAX(E233,(Reprogramaciones!$T$15+7*(Reprogramaciones!$S$15-1))),MIN(F233,(Reprogramaciones!$T$15+7*(Reprogramaciones!$S$15-1))+6),11))=0,0,MAX(0,NETWORKDAYS.INTL(MAX(E233,(Reprogramaciones!$T$15+7*(Reprogramaciones!$S$15-1))),MIN(F233,Reprogramaciones!$Q$15),11))/MAX(0,NETWORKDAYS.INTL(MAX(E233,(Reprogramaciones!$T$15+7*(Reprogramaciones!$S$15-1))),MIN(F233,(Reprogramaciones!$T$15+7*(Reprogramaciones!$S$15-1))+6),11))))))))</f>
        <v/>
      </c>
    </row>
    <row r="234" customFormat="false" ht="15" hidden="false" customHeight="false" outlineLevel="0" collapsed="false">
      <c r="A234" s="32"/>
      <c r="B234" s="33"/>
      <c r="C234" s="33"/>
      <c r="D234" s="34"/>
      <c r="E234" s="35"/>
      <c r="F234" s="35"/>
      <c r="G234" s="36" t="str">
        <f aca="false">IF(OR(NOT(AND(ISNUMBER(E234),ISNUMBER(F234))),$J$2=""),"",IF(Reprogramaciones!K$9&lt;E234,0,IF(NETWORKDAYS.INTL(E234,F234,11)=0,IF(Reprogramaciones!K$9&gt;=F234,100,0),ROUND(NETWORKDAYS.INTL(E234,MIN(F234,Reprogramaciones!K$9),11)/NETWORKDAYS.INTL(E234,F234,11)*100,1)))-0)</f>
        <v/>
      </c>
      <c r="H234" s="36" t="str">
        <f aca="false">IF(OR(NOT(AND(ISNUMBER(E234),ISNUMBER(F234))),$J$2=""),"",IF(Reprogramaciones!L$9&lt;E234,0,IF(NETWORKDAYS.INTL(E234,F234,11)=0,IF(Reprogramaciones!L$9&gt;=F234,100,0),ROUND(NETWORKDAYS.INTL(E234,MIN(F234,Reprogramaciones!L$9),11)/NETWORKDAYS.INTL(E234,F234,11)*100,1)))-IF(Reprogramaciones!K$9&lt;E234,0,IF(NETWORKDAYS.INTL(E234,F234,11)=0,IF(Reprogramaciones!K$9&gt;=F234,100,0),ROUND(NETWORKDAYS.INTL(E234,MIN(F234,Reprogramaciones!K$9),11)/NETWORKDAYS.INTL(E234,F234,11)*100,1))))</f>
        <v/>
      </c>
      <c r="I234" s="36" t="str">
        <f aca="false">IF(OR(NOT(AND(ISNUMBER(E234),ISNUMBER(F234))),$J$2=""),"",IF(Reprogramaciones!M$9&lt;E234,0,IF(NETWORKDAYS.INTL(E234,F234,11)=0,IF(Reprogramaciones!M$9&gt;=F234,100,0),ROUND(NETWORKDAYS.INTL(E234,MIN(F234,Reprogramaciones!M$9),11)/NETWORKDAYS.INTL(E234,F234,11)*100,1)))-IF(Reprogramaciones!L$9&lt;E234,0,IF(NETWORKDAYS.INTL(E234,F234,11)=0,IF(Reprogramaciones!L$9&gt;=F234,100,0),ROUND(NETWORKDAYS.INTL(E234,MIN(F234,Reprogramaciones!L$9),11)/NETWORKDAYS.INTL(E234,F234,11)*100,1))))</f>
        <v/>
      </c>
      <c r="J234" s="36" t="str">
        <f aca="false">IF(OR(NOT(AND(ISNUMBER(E234),ISNUMBER(F234))),$J$2=""),"",IF(Reprogramaciones!N$9&lt;E234,0,IF(NETWORKDAYS.INTL(E234,F234,11)=0,IF(Reprogramaciones!N$9&gt;=F234,100,0),ROUND(NETWORKDAYS.INTL(E234,MIN(F234,Reprogramaciones!N$9),11)/NETWORKDAYS.INTL(E234,F234,11)*100,1)))-IF(Reprogramaciones!M$9&lt;E234,0,IF(NETWORKDAYS.INTL(E234,F234,11)=0,IF(Reprogramaciones!M$9&gt;=F234,100,0),ROUND(NETWORKDAYS.INTL(E234,MIN(F234,Reprogramaciones!M$9),11)/NETWORKDAYS.INTL(E234,F234,11)*100,1))))</f>
        <v/>
      </c>
      <c r="K234" s="36" t="str">
        <f aca="false">IF(OR(NOT(AND(ISNUMBER(E234),ISNUMBER(F234))),$J$2=""),"",IF(Reprogramaciones!O$9&lt;E234,0,IF(NETWORKDAYS.INTL(E234,F234,11)=0,IF(Reprogramaciones!O$9&gt;=F234,100,0),ROUND(NETWORKDAYS.INTL(E234,MIN(F234,Reprogramaciones!O$9),11)/NETWORKDAYS.INTL(E234,F234,11)*100,1)))-IF(Reprogramaciones!N$9&lt;E234,0,IF(NETWORKDAYS.INTL(E234,F234,11)=0,IF(Reprogramaciones!N$9&gt;=F234,100,0),ROUND(NETWORKDAYS.INTL(E234,MIN(F234,Reprogramaciones!N$9),11)/NETWORKDAYS.INTL(E234,F234,11)*100,1))))</f>
        <v/>
      </c>
      <c r="L234" s="36" t="str">
        <f aca="false">IF(OR(NOT(AND(ISNUMBER(E234),ISNUMBER(F234))),$J$2=""),"",IF(Reprogramaciones!P$9&lt;E234,0,IF(NETWORKDAYS.INTL(E234,F234,11)=0,IF(Reprogramaciones!P$9&gt;=F234,100,0),ROUND(NETWORKDAYS.INTL(E234,MIN(F234,Reprogramaciones!P$9),11)/NETWORKDAYS.INTL(E234,F234,11)*100,1)))-IF(Reprogramaciones!O$9&lt;E234,0,IF(NETWORKDAYS.INTL(E234,F234,11)=0,IF(Reprogramaciones!O$9&gt;=F234,100,0),ROUND(NETWORKDAYS.INTL(E234,MIN(F234,Reprogramaciones!O$9),11)/NETWORKDAYS.INTL(E234,F234,11)*100,1))))</f>
        <v/>
      </c>
      <c r="M234" s="36" t="str">
        <f aca="false">IF(OR(NOT(AND(ISNUMBER(E234),ISNUMBER(F234))),$J$2=""),"",IF(Reprogramaciones!Q$9&lt;E234,0,IF(NETWORKDAYS.INTL(E234,F234,11)=0,IF(Reprogramaciones!Q$9&gt;=F234,100,0),ROUND(NETWORKDAYS.INTL(E234,MIN(F234,Reprogramaciones!Q$9),11)/NETWORKDAYS.INTL(E234,F234,11)*100,1)))-IF(Reprogramaciones!P$9&lt;E234,0,IF(NETWORKDAYS.INTL(E234,F234,11)=0,IF(Reprogramaciones!P$9&gt;=F234,100,0),ROUND(NETWORKDAYS.INTL(E234,MIN(F234,Reprogramaciones!P$9),11)/NETWORKDAYS.INTL(E234,F234,11)*100,1))))</f>
        <v/>
      </c>
      <c r="N234" s="36" t="str">
        <f aca="false">IF(OR(NOT(AND(ISNUMBER(E234),ISNUMBER(F234))),$J$2=""),"",IF(Reprogramaciones!R$9&lt;E234,0,IF(NETWORKDAYS.INTL(E234,F234,11)=0,IF(Reprogramaciones!R$9&gt;=F234,100,0),ROUND(NETWORKDAYS.INTL(E234,MIN(F234,Reprogramaciones!R$9),11)/NETWORKDAYS.INTL(E234,F234,11)*100,1)))-IF(Reprogramaciones!Q$9&lt;E234,0,IF(NETWORKDAYS.INTL(E234,F234,11)=0,IF(Reprogramaciones!Q$9&gt;=F234,100,0),ROUND(NETWORKDAYS.INTL(E234,MIN(F234,Reprogramaciones!Q$9),11)/NETWORKDAYS.INTL(E234,F234,11)*100,1))))</f>
        <v/>
      </c>
      <c r="O234" s="36" t="str">
        <f aca="false">IF(OR(NOT(AND(ISNUMBER(E234),ISNUMBER(F234))),$J$2=""),"",IF(Reprogramaciones!S$9&lt;E234,0,IF(NETWORKDAYS.INTL(E234,F234,11)=0,IF(Reprogramaciones!S$9&gt;=F234,100,0),ROUND(NETWORKDAYS.INTL(E234,MIN(F234,Reprogramaciones!S$9),11)/NETWORKDAYS.INTL(E234,F234,11)*100,1)))-IF(Reprogramaciones!R$9&lt;E234,0,IF(NETWORKDAYS.INTL(E234,F234,11)=0,IF(Reprogramaciones!R$9&gt;=F234,100,0),ROUND(NETWORKDAYS.INTL(E234,MIN(F234,Reprogramaciones!R$9),11)/NETWORKDAYS.INTL(E234,F234,11)*100,1))))</f>
        <v/>
      </c>
      <c r="P234" s="36" t="str">
        <f aca="false">IF(OR(NOT(AND(ISNUMBER(E234),ISNUMBER(F234))),$J$2=""),"",IF(Reprogramaciones!T$9&lt;E234,0,IF(NETWORKDAYS.INTL(E234,F234,11)=0,IF(Reprogramaciones!T$9&gt;=F234,100,0),ROUND(NETWORKDAYS.INTL(E234,MIN(F234,Reprogramaciones!T$9),11)/NETWORKDAYS.INTL(E234,F234,11)*100,1)))-IF(Reprogramaciones!S$9&lt;E234,0,IF(NETWORKDAYS.INTL(E234,F234,11)=0,IF(Reprogramaciones!S$9&gt;=F234,100,0),ROUND(NETWORKDAYS.INTL(E234,MIN(F234,Reprogramaciones!S$9),11)/NETWORKDAYS.INTL(E234,F234,11)*100,1))))</f>
        <v/>
      </c>
      <c r="Q234" s="37"/>
      <c r="R234" s="37"/>
      <c r="S234" s="37"/>
      <c r="T234" s="37"/>
      <c r="U234" s="37"/>
      <c r="V234" s="37"/>
      <c r="W234" s="37"/>
      <c r="X234" s="37"/>
      <c r="Y234" s="37"/>
      <c r="Z234" s="37"/>
      <c r="AA234" s="37"/>
      <c r="AB234" s="37"/>
      <c r="AC234" s="37"/>
      <c r="AD234" s="37"/>
      <c r="AE234" s="37"/>
      <c r="AF234" s="37"/>
      <c r="AG234" s="38" t="str">
        <f aca="false">IF(AND(ISNUMBER(E234),ISNUMBER(F234)),NETWORKDAYS.INTL(E234,F234,11),"")</f>
        <v/>
      </c>
      <c r="AH234" s="38" t="str">
        <f aca="false">IF(OR(NOT(AND(ISNUMBER(E234),ISNUMBER(F234))),$J$2=""),"",IF(Reprogramaciones!$P$15&lt;Reprogramaciones!$T$15,0,IF(Reprogramaciones!$R$15&gt;10,MIN(100,SUM($G234:$P234)),MIN(100,SUMPRODUCT((COLUMN($G234:$P234)-COLUMN($G234)+1&lt;Reprogramaciones!$R$15)*$G234:$P234)+N(INDEX($G234:$P234,1,Reprogramaciones!$R$15))*IF(Reprogramaciones!$P$15&gt;=(Reprogramaciones!$T$15+7*(Reprogramaciones!$R$15-1))+6,1,IF(MAX(0,NETWORKDAYS.INTL(MAX(E234,(Reprogramaciones!$T$15+7*(Reprogramaciones!$R$15-1))),MIN(F234,(Reprogramaciones!$T$15+7*(Reprogramaciones!$R$15-1))+6),11))=0,0,MAX(0,NETWORKDAYS.INTL(MAX(E234,(Reprogramaciones!$T$15+7*(Reprogramaciones!$R$15-1))),MIN(F234,Reprogramaciones!$P$15),11))/MAX(0,NETWORKDAYS.INTL(MAX(E234,(Reprogramaciones!$T$15+7*(Reprogramaciones!$R$15-1))),MIN(F234,(Reprogramaciones!$T$15+7*(Reprogramaciones!$R$15-1))+6),11))))))))</f>
        <v/>
      </c>
      <c r="AI234" s="38" t="str">
        <f aca="false">IF(COUNT($Q234:$AF234)=0,"",IF(ROUND(SUM($Q234:$AF234),1)&gt;=99.5,100,MIN(100,ROUND(SUM($Q234:$AF234),1))))</f>
        <v/>
      </c>
      <c r="AJ234" s="38" t="str">
        <f aca="false">IF(OR(AH234="",AI234=""),"",AI234-AH234)</f>
        <v/>
      </c>
      <c r="AK234" s="39" t="str">
        <f aca="true">IF(AH234="","",IF(OR(Ficha!$C$10="Suspendida",Ficha!$C$10="Cancelada"),Ficha!$C$10,IF(AND(AI234&lt;&gt;"",N(AI234)&gt;=100),"Completada",IF(AND(E234&gt;TODAY(),N(AI234)=0),"Por iniciar",IF(N(AI234)+0.5&lt;AH234,"Retrasada",IF(N(AI234)+0.5&lt;DA234,IF(Reprogramaciones!$K$15&gt;0,"Al día · Sem "&amp;Reprogramaciones!$K$15&amp;" en curso","Al día · en curso"),"A tiempo"))))))</f>
        <v/>
      </c>
      <c r="AL234" s="39" t="str">
        <f aca="true">IF(AND(A234="",AND(B234="",C234="",E234="",F234="",COUNT(Q234:AF234)=0)),"",IF(AND(B234="",C234="",E234="",F234="",COUNT(Q234:AF234)=0),"Falta la partida o subpartida",IF(AND(A234&lt;&gt;"",COUNTIF($A$6:$A$305,A234)&gt;1),"Ítem repetido",IF(AND(C234="",E234="",F234="",COUNT(Q234:AF234)=0),"Título de partida",IF(OR(E234="",F234=""),"Faltan fechas",IF(OR(ISTEXT(E234),ISTEXT(F234)),"Fecha escrita como texto: usa dd/mm/aaaa",IF(F234&lt;E234,"Fin antes del inicio",IF(IF($J$2="",FALSE(),OR(E234&lt;$J$2,F234&gt;Reprogramaciones!$T$15+69)),"Fuera de las 10 semanas",IF(ABS(SUM(G234:P234)-100)&gt;0.5,"La meta no suma 100%",IF(ROUND(SUM(Q234:AF234),1)&gt;100.5,"El avance pasa de 100%",IF(MIN(Q234:AF234)&lt;0,"Avance negativo",IF(COUNTA(Q234:AF234)&gt;COUNT(Q234:AF234),"Avance escrito como texto",IF(SUMPRODUCT((Q234:AF234&gt;0)*(Q234:AF234&lt;1))&gt;0,"Avance menor a 1: escribe 50, no 50%",IF(SUMPRODUCT(ISNUMBER(Q234:AF234)*(Reprogramaciones!$K$8:$Z$8&gt;TODAY()))&gt;0,"Avance en semana que aún no llega",IF(AND(N(Reprogramaciones!$E$21)&gt;0,F234&gt;Reprogramaciones!$E$21),"Pasa el fin de la obra: registra una reprogramación",IF(AND(N(Reprogramaciones!$E$21)&gt;0,SUMPRODUCT(ISNUMBER(Q234:AF234)*(Reprogramaciones!$K$8:$Z$8&gt;Reprogramaciones!$E$21))&gt;0),"Avance después del fin de la obra: registra una reprogramación por atraso","OK"))))))))))))))))</f>
        <v/>
      </c>
      <c r="AM234" s="40" t="str">
        <f aca="false">IF(OR(OR(NOT(AND(ISNUMBER(E234),ISNUMBER(F234))),$J$2=""),1&gt;MAX(1,Reprogramaciones!$U$15)),"",IF(Reprogramaciones!K$12&gt;=7,"",IF(OR(BT234-N(0)&gt;0.05,N(Q234)&gt;0),ROUNDDOWN(ROUND(BT234,6),0)&amp;"%"&amp;IF(CJ234="",""," / "&amp;CJ234&amp;"%"),IF(AND(N(0)&gt;=99.95,CJ234&lt;&gt;"",N(CJ234)&lt;100),"Pend. "&amp;CJ234&amp;"%",""))))</f>
        <v/>
      </c>
      <c r="AN234" s="40" t="str">
        <f aca="false">IF(OR(OR(NOT(AND(ISNUMBER(E234),ISNUMBER(F234))),$J$2=""),2&gt;MAX(1,Reprogramaciones!$U$15)),"",IF(Reprogramaciones!L$12&gt;=7,"",IF(OR(BU234-N(BT234)&gt;0.05,N(R234)&gt;0),ROUNDDOWN(ROUND(BU234,6),0)&amp;"%"&amp;IF(CK234="",""," / "&amp;CK234&amp;"%"),IF(AND(N(BT234)&gt;=99.95,CK234&lt;&gt;"",N(CK234)&lt;100),"Pend. "&amp;CK234&amp;"%",""))))</f>
        <v/>
      </c>
      <c r="AO234" s="40" t="str">
        <f aca="false">IF(OR(OR(NOT(AND(ISNUMBER(E234),ISNUMBER(F234))),$J$2=""),3&gt;MAX(1,Reprogramaciones!$U$15)),"",IF(Reprogramaciones!M$12&gt;=7,"",IF(OR(BV234-N(BU234)&gt;0.05,N(S234)&gt;0),ROUNDDOWN(ROUND(BV234,6),0)&amp;"%"&amp;IF(CL234="",""," / "&amp;CL234&amp;"%"),IF(AND(N(BU234)&gt;=99.95,CL234&lt;&gt;"",N(CL234)&lt;100),"Pend. "&amp;CL234&amp;"%",""))))</f>
        <v/>
      </c>
      <c r="AP234" s="40" t="str">
        <f aca="false">IF(OR(OR(NOT(AND(ISNUMBER(E234),ISNUMBER(F234))),$J$2=""),4&gt;MAX(1,Reprogramaciones!$U$15)),"",IF(Reprogramaciones!N$12&gt;=7,"",IF(OR(BW234-N(BV234)&gt;0.05,N(T234)&gt;0),ROUNDDOWN(ROUND(BW234,6),0)&amp;"%"&amp;IF(CM234="",""," / "&amp;CM234&amp;"%"),IF(AND(N(BV234)&gt;=99.95,CM234&lt;&gt;"",N(CM234)&lt;100),"Pend. "&amp;CM234&amp;"%",""))))</f>
        <v/>
      </c>
      <c r="AQ234" s="40" t="str">
        <f aca="false">IF(OR(OR(NOT(AND(ISNUMBER(E234),ISNUMBER(F234))),$J$2=""),5&gt;MAX(1,Reprogramaciones!$U$15)),"",IF(Reprogramaciones!O$12&gt;=7,"",IF(OR(BX234-N(BW234)&gt;0.05,N(U234)&gt;0),ROUNDDOWN(ROUND(BX234,6),0)&amp;"%"&amp;IF(CN234="",""," / "&amp;CN234&amp;"%"),IF(AND(N(BW234)&gt;=99.95,CN234&lt;&gt;"",N(CN234)&lt;100),"Pend. "&amp;CN234&amp;"%",""))))</f>
        <v/>
      </c>
      <c r="AR234" s="40" t="str">
        <f aca="false">IF(OR(OR(NOT(AND(ISNUMBER(E234),ISNUMBER(F234))),$J$2=""),6&gt;MAX(1,Reprogramaciones!$U$15)),"",IF(Reprogramaciones!P$12&gt;=7,"",IF(OR(BY234-N(BX234)&gt;0.05,N(V234)&gt;0),ROUNDDOWN(ROUND(BY234,6),0)&amp;"%"&amp;IF(CO234="",""," / "&amp;CO234&amp;"%"),IF(AND(N(BX234)&gt;=99.95,CO234&lt;&gt;"",N(CO234)&lt;100),"Pend. "&amp;CO234&amp;"%",""))))</f>
        <v/>
      </c>
      <c r="AS234" s="40" t="str">
        <f aca="false">IF(OR(OR(NOT(AND(ISNUMBER(E234),ISNUMBER(F234))),$J$2=""),7&gt;MAX(1,Reprogramaciones!$U$15)),"",IF(Reprogramaciones!Q$12&gt;=7,"",IF(OR(BZ234-N(BY234)&gt;0.05,N(W234)&gt;0),ROUNDDOWN(ROUND(BZ234,6),0)&amp;"%"&amp;IF(CP234="",""," / "&amp;CP234&amp;"%"),IF(AND(N(BY234)&gt;=99.95,CP234&lt;&gt;"",N(CP234)&lt;100),"Pend. "&amp;CP234&amp;"%",""))))</f>
        <v/>
      </c>
      <c r="AT234" s="40" t="str">
        <f aca="false">IF(OR(OR(NOT(AND(ISNUMBER(E234),ISNUMBER(F234))),$J$2=""),8&gt;MAX(1,Reprogramaciones!$U$15)),"",IF(Reprogramaciones!R$12&gt;=7,"",IF(OR(CA234-N(BZ234)&gt;0.05,N(X234)&gt;0),ROUNDDOWN(ROUND(CA234,6),0)&amp;"%"&amp;IF(CQ234="",""," / "&amp;CQ234&amp;"%"),IF(AND(N(BZ234)&gt;=99.95,CQ234&lt;&gt;"",N(CQ234)&lt;100),"Pend. "&amp;CQ234&amp;"%",""))))</f>
        <v/>
      </c>
      <c r="AU234" s="40" t="str">
        <f aca="false">IF(OR(OR(NOT(AND(ISNUMBER(E234),ISNUMBER(F234))),$J$2=""),9&gt;MAX(1,Reprogramaciones!$U$15)),"",IF(Reprogramaciones!S$12&gt;=7,"",IF(OR(CB234-N(CA234)&gt;0.05,N(Y234)&gt;0),ROUNDDOWN(ROUND(CB234,6),0)&amp;"%"&amp;IF(CR234="",""," / "&amp;CR234&amp;"%"),IF(AND(N(CA234)&gt;=99.95,CR234&lt;&gt;"",N(CR234)&lt;100),"Pend. "&amp;CR234&amp;"%",""))))</f>
        <v/>
      </c>
      <c r="AV234" s="40" t="str">
        <f aca="false">IF(OR(OR(NOT(AND(ISNUMBER(E234),ISNUMBER(F234))),$J$2=""),10&gt;MAX(1,Reprogramaciones!$U$15)),"",IF(Reprogramaciones!T$12&gt;=7,"",IF(OR(CC234-N(CB234)&gt;0.05,N(Z234)&gt;0),ROUNDDOWN(ROUND(CC234,6),0)&amp;"%"&amp;IF(CS234="",""," / "&amp;CS234&amp;"%"),IF(AND(N(CB234)&gt;=99.95,CS234&lt;&gt;"",N(CS234)&lt;100),"Pend. "&amp;CS234&amp;"%",""))))</f>
        <v/>
      </c>
      <c r="AW234" s="40" t="str">
        <f aca="false">IF(OR(OR(NOT(AND(ISNUMBER(E234),ISNUMBER(F234))),$J$2=""),11&gt;MAX(1,Reprogramaciones!$U$15)),"",IF(Reprogramaciones!U$12&gt;=7,"",IF(OR(CD234-N(CC234)&gt;0.05,N(AA234)&gt;0),ROUNDDOWN(ROUND(CD234,6),0)&amp;"%"&amp;IF(CT234="",""," / "&amp;CT234&amp;"%"),IF(AND(N(CC234)&gt;=99.95,CT234&lt;&gt;"",N(CT234)&lt;100),"Pend. "&amp;CT234&amp;"%",""))))</f>
        <v/>
      </c>
      <c r="AX234" s="40" t="str">
        <f aca="false">IF(OR(OR(NOT(AND(ISNUMBER(E234),ISNUMBER(F234))),$J$2=""),12&gt;MAX(1,Reprogramaciones!$U$15)),"",IF(Reprogramaciones!V$12&gt;=7,"",IF(OR(CE234-N(CD234)&gt;0.05,N(AB234)&gt;0),ROUNDDOWN(ROUND(CE234,6),0)&amp;"%"&amp;IF(CU234="",""," / "&amp;CU234&amp;"%"),IF(AND(N(CD234)&gt;=99.95,CU234&lt;&gt;"",N(CU234)&lt;100),"Pend. "&amp;CU234&amp;"%",""))))</f>
        <v/>
      </c>
      <c r="AY234" s="40" t="str">
        <f aca="false">IF(OR(OR(NOT(AND(ISNUMBER(E234),ISNUMBER(F234))),$J$2=""),13&gt;MAX(1,Reprogramaciones!$U$15)),"",IF(Reprogramaciones!W$12&gt;=7,"",IF(OR(CF234-N(CE234)&gt;0.05,N(AC234)&gt;0),ROUNDDOWN(ROUND(CF234,6),0)&amp;"%"&amp;IF(CV234="",""," / "&amp;CV234&amp;"%"),IF(AND(N(CE234)&gt;=99.95,CV234&lt;&gt;"",N(CV234)&lt;100),"Pend. "&amp;CV234&amp;"%",""))))</f>
        <v/>
      </c>
      <c r="AZ234" s="40" t="str">
        <f aca="false">IF(OR(OR(NOT(AND(ISNUMBER(E234),ISNUMBER(F234))),$J$2=""),14&gt;MAX(1,Reprogramaciones!$U$15)),"",IF(Reprogramaciones!X$12&gt;=7,"",IF(OR(CG234-N(CF234)&gt;0.05,N(AD234)&gt;0),ROUNDDOWN(ROUND(CG234,6),0)&amp;"%"&amp;IF(CW234="",""," / "&amp;CW234&amp;"%"),IF(AND(N(CF234)&gt;=99.95,CW234&lt;&gt;"",N(CW234)&lt;100),"Pend. "&amp;CW234&amp;"%",""))))</f>
        <v/>
      </c>
      <c r="BA234" s="40" t="str">
        <f aca="false">IF(OR(OR(NOT(AND(ISNUMBER(E234),ISNUMBER(F234))),$J$2=""),15&gt;MAX(1,Reprogramaciones!$U$15)),"",IF(Reprogramaciones!Y$12&gt;=7,"",IF(OR(CH234-N(CG234)&gt;0.05,N(AE234)&gt;0),ROUNDDOWN(ROUND(CH234,6),0)&amp;"%"&amp;IF(CX234="",""," / "&amp;CX234&amp;"%"),IF(AND(N(CG234)&gt;=99.95,CX234&lt;&gt;"",N(CX234)&lt;100),"Pend. "&amp;CX234&amp;"%",""))))</f>
        <v/>
      </c>
      <c r="BB234" s="40" t="str">
        <f aca="false">IF(OR(OR(NOT(AND(ISNUMBER(E234),ISNUMBER(F234))),$J$2=""),16&gt;MAX(1,Reprogramaciones!$U$15)),"",IF(Reprogramaciones!Z$12&gt;=7,"",IF(OR(CI234-N(CH234)&gt;0.05,N(AF234)&gt;0),ROUNDDOWN(ROUND(CI234,6),0)&amp;"%"&amp;IF(CY234="",""," / "&amp;CY234&amp;"%"),IF(AND(N(CH234)&gt;=99.95,CY234&lt;&gt;"",N(CY234)&lt;100),"Pend. "&amp;CY234&amp;"%",""))))</f>
        <v/>
      </c>
      <c r="BC234" s="31" t="n">
        <f aca="false">IF(AND(ISNUMBER(E234),ISNUMBER(F234)),MAX(1,NETWORKDAYS.INTL(E234,F234,11)),0)</f>
        <v>0</v>
      </c>
      <c r="BD234" s="1" t="str">
        <f aca="false">IF(OR(NOT(AND(ISNUMBER(E234),ISNUMBER(F234))),$J$2=""),"",MIN(100,ROUND(SUM($G234:G234),1)))</f>
        <v/>
      </c>
      <c r="BE234" s="1" t="str">
        <f aca="false">IF(OR(NOT(AND(ISNUMBER(E234),ISNUMBER(F234))),$J$2=""),"",MIN(100,ROUND(SUM($G234:H234),1)))</f>
        <v/>
      </c>
      <c r="BF234" s="1" t="str">
        <f aca="false">IF(OR(NOT(AND(ISNUMBER(E234),ISNUMBER(F234))),$J$2=""),"",MIN(100,ROUND(SUM($G234:I234),1)))</f>
        <v/>
      </c>
      <c r="BG234" s="1" t="str">
        <f aca="false">IF(OR(NOT(AND(ISNUMBER(E234),ISNUMBER(F234))),$J$2=""),"",MIN(100,ROUND(SUM($G234:J234),1)))</f>
        <v/>
      </c>
      <c r="BH234" s="1" t="str">
        <f aca="false">IF(OR(NOT(AND(ISNUMBER(E234),ISNUMBER(F234))),$J$2=""),"",MIN(100,ROUND(SUM($G234:K234),1)))</f>
        <v/>
      </c>
      <c r="BI234" s="1" t="str">
        <f aca="false">IF(OR(NOT(AND(ISNUMBER(E234),ISNUMBER(F234))),$J$2=""),"",MIN(100,ROUND(SUM($G234:L234),1)))</f>
        <v/>
      </c>
      <c r="BJ234" s="1" t="str">
        <f aca="false">IF(OR(NOT(AND(ISNUMBER(E234),ISNUMBER(F234))),$J$2=""),"",MIN(100,ROUND(SUM($G234:M234),1)))</f>
        <v/>
      </c>
      <c r="BK234" s="1" t="str">
        <f aca="false">IF(OR(NOT(AND(ISNUMBER(E234),ISNUMBER(F234))),$J$2=""),"",MIN(100,ROUND(SUM($G234:N234),1)))</f>
        <v/>
      </c>
      <c r="BL234" s="1" t="str">
        <f aca="false">IF(OR(NOT(AND(ISNUMBER(E234),ISNUMBER(F234))),$J$2=""),"",MIN(100,ROUND(SUM($G234:O234),1)))</f>
        <v/>
      </c>
      <c r="BM234" s="1" t="str">
        <f aca="false">IF(OR(NOT(AND(ISNUMBER(E234),ISNUMBER(F234))),$J$2=""),"",MIN(100,ROUND(SUM($G234:P234),1)))</f>
        <v/>
      </c>
      <c r="BN234" s="1" t="str">
        <f aca="false">IF(OR(NOT(AND(ISNUMBER(E234),ISNUMBER(F234))),$J$2=""),"",MIN(100,ROUND(SUM($G234:P234),1)))</f>
        <v/>
      </c>
      <c r="BO234" s="1" t="str">
        <f aca="false">IF(OR(NOT(AND(ISNUMBER(E234),ISNUMBER(F234))),$J$2=""),"",MIN(100,ROUND(SUM($G234:P234),1)))</f>
        <v/>
      </c>
      <c r="BP234" s="1" t="str">
        <f aca="false">IF(OR(NOT(AND(ISNUMBER(E234),ISNUMBER(F234))),$J$2=""),"",MIN(100,ROUND(SUM($G234:P234),1)))</f>
        <v/>
      </c>
      <c r="BQ234" s="1" t="str">
        <f aca="false">IF(OR(NOT(AND(ISNUMBER(E234),ISNUMBER(F234))),$J$2=""),"",MIN(100,ROUND(SUM($G234:P234),1)))</f>
        <v/>
      </c>
      <c r="BR234" s="1" t="str">
        <f aca="false">IF(OR(NOT(AND(ISNUMBER(E234),ISNUMBER(F234))),$J$2=""),"",MIN(100,ROUND(SUM($G234:P234),1)))</f>
        <v/>
      </c>
      <c r="BS234" s="1" t="str">
        <f aca="false">IF(OR(NOT(AND(ISNUMBER(E234),ISNUMBER(F234))),$J$2=""),"",MIN(100,ROUND(SUM($G234:P234),1)))</f>
        <v/>
      </c>
      <c r="BT234" s="1" t="str">
        <f aca="false">IF(OR(NOT(AND(ISNUMBER(E234),ISNUMBER(F234))),$J$2=""),"",IF(Reprogramaciones!K$13&lt;Reprogramaciones!$T$15,0,IF(Reprogramaciones!K$14&gt;10,MIN(100,SUM($G234:$P234)),MIN(100,SUMPRODUCT((COLUMN($G234:$P234)-COLUMN($G234)+1&lt;Reprogramaciones!K$14)*$G234:$P234)+N(INDEX($G234:$P234,1,Reprogramaciones!K$14))*IF(Reprogramaciones!K$13&gt;=(Reprogramaciones!$T$15+7*(Reprogramaciones!K$14-1))+6,1,IF(MAX(0,NETWORKDAYS.INTL(MAX(E234,(Reprogramaciones!$T$15+7*(Reprogramaciones!K$14-1))),MIN(F234,(Reprogramaciones!$T$15+7*(Reprogramaciones!K$14-1))+6),11))=0,0,MAX(0,NETWORKDAYS.INTL(MAX(E234,(Reprogramaciones!$T$15+7*(Reprogramaciones!K$14-1))),MIN(F234,Reprogramaciones!K$13),11))/MAX(0,NETWORKDAYS.INTL(MAX(E234,(Reprogramaciones!$T$15+7*(Reprogramaciones!K$14-1))),MIN(F234,(Reprogramaciones!$T$15+7*(Reprogramaciones!K$14-1))+6),11))))))))</f>
        <v/>
      </c>
      <c r="BU234" s="1" t="str">
        <f aca="false">IF(OR(NOT(AND(ISNUMBER(E234),ISNUMBER(F234))),$J$2=""),"",IF(Reprogramaciones!L$13&lt;Reprogramaciones!$T$15,0,IF(Reprogramaciones!L$14&gt;10,MIN(100,SUM($G234:$P234)),MIN(100,SUMPRODUCT((COLUMN($G234:$P234)-COLUMN($G234)+1&lt;Reprogramaciones!L$14)*$G234:$P234)+N(INDEX($G234:$P234,1,Reprogramaciones!L$14))*IF(Reprogramaciones!L$13&gt;=(Reprogramaciones!$T$15+7*(Reprogramaciones!L$14-1))+6,1,IF(MAX(0,NETWORKDAYS.INTL(MAX(E234,(Reprogramaciones!$T$15+7*(Reprogramaciones!L$14-1))),MIN(F234,(Reprogramaciones!$T$15+7*(Reprogramaciones!L$14-1))+6),11))=0,0,MAX(0,NETWORKDAYS.INTL(MAX(E234,(Reprogramaciones!$T$15+7*(Reprogramaciones!L$14-1))),MIN(F234,Reprogramaciones!L$13),11))/MAX(0,NETWORKDAYS.INTL(MAX(E234,(Reprogramaciones!$T$15+7*(Reprogramaciones!L$14-1))),MIN(F234,(Reprogramaciones!$T$15+7*(Reprogramaciones!L$14-1))+6),11))))))))</f>
        <v/>
      </c>
      <c r="BV234" s="1" t="str">
        <f aca="false">IF(OR(NOT(AND(ISNUMBER(E234),ISNUMBER(F234))),$J$2=""),"",IF(Reprogramaciones!M$13&lt;Reprogramaciones!$T$15,0,IF(Reprogramaciones!M$14&gt;10,MIN(100,SUM($G234:$P234)),MIN(100,SUMPRODUCT((COLUMN($G234:$P234)-COLUMN($G234)+1&lt;Reprogramaciones!M$14)*$G234:$P234)+N(INDEX($G234:$P234,1,Reprogramaciones!M$14))*IF(Reprogramaciones!M$13&gt;=(Reprogramaciones!$T$15+7*(Reprogramaciones!M$14-1))+6,1,IF(MAX(0,NETWORKDAYS.INTL(MAX(E234,(Reprogramaciones!$T$15+7*(Reprogramaciones!M$14-1))),MIN(F234,(Reprogramaciones!$T$15+7*(Reprogramaciones!M$14-1))+6),11))=0,0,MAX(0,NETWORKDAYS.INTL(MAX(E234,(Reprogramaciones!$T$15+7*(Reprogramaciones!M$14-1))),MIN(F234,Reprogramaciones!M$13),11))/MAX(0,NETWORKDAYS.INTL(MAX(E234,(Reprogramaciones!$T$15+7*(Reprogramaciones!M$14-1))),MIN(F234,(Reprogramaciones!$T$15+7*(Reprogramaciones!M$14-1))+6),11))))))))</f>
        <v/>
      </c>
      <c r="BW234" s="1" t="str">
        <f aca="false">IF(OR(NOT(AND(ISNUMBER(E234),ISNUMBER(F234))),$J$2=""),"",IF(Reprogramaciones!N$13&lt;Reprogramaciones!$T$15,0,IF(Reprogramaciones!N$14&gt;10,MIN(100,SUM($G234:$P234)),MIN(100,SUMPRODUCT((COLUMN($G234:$P234)-COLUMN($G234)+1&lt;Reprogramaciones!N$14)*$G234:$P234)+N(INDEX($G234:$P234,1,Reprogramaciones!N$14))*IF(Reprogramaciones!N$13&gt;=(Reprogramaciones!$T$15+7*(Reprogramaciones!N$14-1))+6,1,IF(MAX(0,NETWORKDAYS.INTL(MAX(E234,(Reprogramaciones!$T$15+7*(Reprogramaciones!N$14-1))),MIN(F234,(Reprogramaciones!$T$15+7*(Reprogramaciones!N$14-1))+6),11))=0,0,MAX(0,NETWORKDAYS.INTL(MAX(E234,(Reprogramaciones!$T$15+7*(Reprogramaciones!N$14-1))),MIN(F234,Reprogramaciones!N$13),11))/MAX(0,NETWORKDAYS.INTL(MAX(E234,(Reprogramaciones!$T$15+7*(Reprogramaciones!N$14-1))),MIN(F234,(Reprogramaciones!$T$15+7*(Reprogramaciones!N$14-1))+6),11))))))))</f>
        <v/>
      </c>
      <c r="BX234" s="1" t="str">
        <f aca="false">IF(OR(NOT(AND(ISNUMBER(E234),ISNUMBER(F234))),$J$2=""),"",IF(Reprogramaciones!O$13&lt;Reprogramaciones!$T$15,0,IF(Reprogramaciones!O$14&gt;10,MIN(100,SUM($G234:$P234)),MIN(100,SUMPRODUCT((COLUMN($G234:$P234)-COLUMN($G234)+1&lt;Reprogramaciones!O$14)*$G234:$P234)+N(INDEX($G234:$P234,1,Reprogramaciones!O$14))*IF(Reprogramaciones!O$13&gt;=(Reprogramaciones!$T$15+7*(Reprogramaciones!O$14-1))+6,1,IF(MAX(0,NETWORKDAYS.INTL(MAX(E234,(Reprogramaciones!$T$15+7*(Reprogramaciones!O$14-1))),MIN(F234,(Reprogramaciones!$T$15+7*(Reprogramaciones!O$14-1))+6),11))=0,0,MAX(0,NETWORKDAYS.INTL(MAX(E234,(Reprogramaciones!$T$15+7*(Reprogramaciones!O$14-1))),MIN(F234,Reprogramaciones!O$13),11))/MAX(0,NETWORKDAYS.INTL(MAX(E234,(Reprogramaciones!$T$15+7*(Reprogramaciones!O$14-1))),MIN(F234,(Reprogramaciones!$T$15+7*(Reprogramaciones!O$14-1))+6),11))))))))</f>
        <v/>
      </c>
      <c r="BY234" s="1" t="str">
        <f aca="false">IF(OR(NOT(AND(ISNUMBER(E234),ISNUMBER(F234))),$J$2=""),"",IF(Reprogramaciones!P$13&lt;Reprogramaciones!$T$15,0,IF(Reprogramaciones!P$14&gt;10,MIN(100,SUM($G234:$P234)),MIN(100,SUMPRODUCT((COLUMN($G234:$P234)-COLUMN($G234)+1&lt;Reprogramaciones!P$14)*$G234:$P234)+N(INDEX($G234:$P234,1,Reprogramaciones!P$14))*IF(Reprogramaciones!P$13&gt;=(Reprogramaciones!$T$15+7*(Reprogramaciones!P$14-1))+6,1,IF(MAX(0,NETWORKDAYS.INTL(MAX(E234,(Reprogramaciones!$T$15+7*(Reprogramaciones!P$14-1))),MIN(F234,(Reprogramaciones!$T$15+7*(Reprogramaciones!P$14-1))+6),11))=0,0,MAX(0,NETWORKDAYS.INTL(MAX(E234,(Reprogramaciones!$T$15+7*(Reprogramaciones!P$14-1))),MIN(F234,Reprogramaciones!P$13),11))/MAX(0,NETWORKDAYS.INTL(MAX(E234,(Reprogramaciones!$T$15+7*(Reprogramaciones!P$14-1))),MIN(F234,(Reprogramaciones!$T$15+7*(Reprogramaciones!P$14-1))+6),11))))))))</f>
        <v/>
      </c>
      <c r="BZ234" s="1" t="str">
        <f aca="false">IF(OR(NOT(AND(ISNUMBER(E234),ISNUMBER(F234))),$J$2=""),"",IF(Reprogramaciones!Q$13&lt;Reprogramaciones!$T$15,0,IF(Reprogramaciones!Q$14&gt;10,MIN(100,SUM($G234:$P234)),MIN(100,SUMPRODUCT((COLUMN($G234:$P234)-COLUMN($G234)+1&lt;Reprogramaciones!Q$14)*$G234:$P234)+N(INDEX($G234:$P234,1,Reprogramaciones!Q$14))*IF(Reprogramaciones!Q$13&gt;=(Reprogramaciones!$T$15+7*(Reprogramaciones!Q$14-1))+6,1,IF(MAX(0,NETWORKDAYS.INTL(MAX(E234,(Reprogramaciones!$T$15+7*(Reprogramaciones!Q$14-1))),MIN(F234,(Reprogramaciones!$T$15+7*(Reprogramaciones!Q$14-1))+6),11))=0,0,MAX(0,NETWORKDAYS.INTL(MAX(E234,(Reprogramaciones!$T$15+7*(Reprogramaciones!Q$14-1))),MIN(F234,Reprogramaciones!Q$13),11))/MAX(0,NETWORKDAYS.INTL(MAX(E234,(Reprogramaciones!$T$15+7*(Reprogramaciones!Q$14-1))),MIN(F234,(Reprogramaciones!$T$15+7*(Reprogramaciones!Q$14-1))+6),11))))))))</f>
        <v/>
      </c>
      <c r="CA234" s="1" t="str">
        <f aca="false">IF(OR(NOT(AND(ISNUMBER(E234),ISNUMBER(F234))),$J$2=""),"",IF(Reprogramaciones!R$13&lt;Reprogramaciones!$T$15,0,IF(Reprogramaciones!R$14&gt;10,MIN(100,SUM($G234:$P234)),MIN(100,SUMPRODUCT((COLUMN($G234:$P234)-COLUMN($G234)+1&lt;Reprogramaciones!R$14)*$G234:$P234)+N(INDEX($G234:$P234,1,Reprogramaciones!R$14))*IF(Reprogramaciones!R$13&gt;=(Reprogramaciones!$T$15+7*(Reprogramaciones!R$14-1))+6,1,IF(MAX(0,NETWORKDAYS.INTL(MAX(E234,(Reprogramaciones!$T$15+7*(Reprogramaciones!R$14-1))),MIN(F234,(Reprogramaciones!$T$15+7*(Reprogramaciones!R$14-1))+6),11))=0,0,MAX(0,NETWORKDAYS.INTL(MAX(E234,(Reprogramaciones!$T$15+7*(Reprogramaciones!R$14-1))),MIN(F234,Reprogramaciones!R$13),11))/MAX(0,NETWORKDAYS.INTL(MAX(E234,(Reprogramaciones!$T$15+7*(Reprogramaciones!R$14-1))),MIN(F234,(Reprogramaciones!$T$15+7*(Reprogramaciones!R$14-1))+6),11))))))))</f>
        <v/>
      </c>
      <c r="CB234" s="1" t="str">
        <f aca="false">IF(OR(NOT(AND(ISNUMBER(E234),ISNUMBER(F234))),$J$2=""),"",IF(Reprogramaciones!S$13&lt;Reprogramaciones!$T$15,0,IF(Reprogramaciones!S$14&gt;10,MIN(100,SUM($G234:$P234)),MIN(100,SUMPRODUCT((COLUMN($G234:$P234)-COLUMN($G234)+1&lt;Reprogramaciones!S$14)*$G234:$P234)+N(INDEX($G234:$P234,1,Reprogramaciones!S$14))*IF(Reprogramaciones!S$13&gt;=(Reprogramaciones!$T$15+7*(Reprogramaciones!S$14-1))+6,1,IF(MAX(0,NETWORKDAYS.INTL(MAX(E234,(Reprogramaciones!$T$15+7*(Reprogramaciones!S$14-1))),MIN(F234,(Reprogramaciones!$T$15+7*(Reprogramaciones!S$14-1))+6),11))=0,0,MAX(0,NETWORKDAYS.INTL(MAX(E234,(Reprogramaciones!$T$15+7*(Reprogramaciones!S$14-1))),MIN(F234,Reprogramaciones!S$13),11))/MAX(0,NETWORKDAYS.INTL(MAX(E234,(Reprogramaciones!$T$15+7*(Reprogramaciones!S$14-1))),MIN(F234,(Reprogramaciones!$T$15+7*(Reprogramaciones!S$14-1))+6),11))))))))</f>
        <v/>
      </c>
      <c r="CC234" s="1" t="str">
        <f aca="false">IF(OR(NOT(AND(ISNUMBER(E234),ISNUMBER(F234))),$J$2=""),"",IF(Reprogramaciones!T$13&lt;Reprogramaciones!$T$15,0,IF(Reprogramaciones!T$14&gt;10,MIN(100,SUM($G234:$P234)),MIN(100,SUMPRODUCT((COLUMN($G234:$P234)-COLUMN($G234)+1&lt;Reprogramaciones!T$14)*$G234:$P234)+N(INDEX($G234:$P234,1,Reprogramaciones!T$14))*IF(Reprogramaciones!T$13&gt;=(Reprogramaciones!$T$15+7*(Reprogramaciones!T$14-1))+6,1,IF(MAX(0,NETWORKDAYS.INTL(MAX(E234,(Reprogramaciones!$T$15+7*(Reprogramaciones!T$14-1))),MIN(F234,(Reprogramaciones!$T$15+7*(Reprogramaciones!T$14-1))+6),11))=0,0,MAX(0,NETWORKDAYS.INTL(MAX(E234,(Reprogramaciones!$T$15+7*(Reprogramaciones!T$14-1))),MIN(F234,Reprogramaciones!T$13),11))/MAX(0,NETWORKDAYS.INTL(MAX(E234,(Reprogramaciones!$T$15+7*(Reprogramaciones!T$14-1))),MIN(F234,(Reprogramaciones!$T$15+7*(Reprogramaciones!T$14-1))+6),11))))))))</f>
        <v/>
      </c>
      <c r="CD234" s="1" t="str">
        <f aca="false">IF(OR(NOT(AND(ISNUMBER(E234),ISNUMBER(F234))),$J$2=""),"",IF(Reprogramaciones!U$13&lt;Reprogramaciones!$T$15,0,IF(Reprogramaciones!U$14&gt;10,MIN(100,SUM($G234:$P234)),MIN(100,SUMPRODUCT((COLUMN($G234:$P234)-COLUMN($G234)+1&lt;Reprogramaciones!U$14)*$G234:$P234)+N(INDEX($G234:$P234,1,Reprogramaciones!U$14))*IF(Reprogramaciones!U$13&gt;=(Reprogramaciones!$T$15+7*(Reprogramaciones!U$14-1))+6,1,IF(MAX(0,NETWORKDAYS.INTL(MAX(E234,(Reprogramaciones!$T$15+7*(Reprogramaciones!U$14-1))),MIN(F234,(Reprogramaciones!$T$15+7*(Reprogramaciones!U$14-1))+6),11))=0,0,MAX(0,NETWORKDAYS.INTL(MAX(E234,(Reprogramaciones!$T$15+7*(Reprogramaciones!U$14-1))),MIN(F234,Reprogramaciones!U$13),11))/MAX(0,NETWORKDAYS.INTL(MAX(E234,(Reprogramaciones!$T$15+7*(Reprogramaciones!U$14-1))),MIN(F234,(Reprogramaciones!$T$15+7*(Reprogramaciones!U$14-1))+6),11))))))))</f>
        <v/>
      </c>
      <c r="CE234" s="1" t="str">
        <f aca="false">IF(OR(NOT(AND(ISNUMBER(E234),ISNUMBER(F234))),$J$2=""),"",IF(Reprogramaciones!V$13&lt;Reprogramaciones!$T$15,0,IF(Reprogramaciones!V$14&gt;10,MIN(100,SUM($G234:$P234)),MIN(100,SUMPRODUCT((COLUMN($G234:$P234)-COLUMN($G234)+1&lt;Reprogramaciones!V$14)*$G234:$P234)+N(INDEX($G234:$P234,1,Reprogramaciones!V$14))*IF(Reprogramaciones!V$13&gt;=(Reprogramaciones!$T$15+7*(Reprogramaciones!V$14-1))+6,1,IF(MAX(0,NETWORKDAYS.INTL(MAX(E234,(Reprogramaciones!$T$15+7*(Reprogramaciones!V$14-1))),MIN(F234,(Reprogramaciones!$T$15+7*(Reprogramaciones!V$14-1))+6),11))=0,0,MAX(0,NETWORKDAYS.INTL(MAX(E234,(Reprogramaciones!$T$15+7*(Reprogramaciones!V$14-1))),MIN(F234,Reprogramaciones!V$13),11))/MAX(0,NETWORKDAYS.INTL(MAX(E234,(Reprogramaciones!$T$15+7*(Reprogramaciones!V$14-1))),MIN(F234,(Reprogramaciones!$T$15+7*(Reprogramaciones!V$14-1))+6),11))))))))</f>
        <v/>
      </c>
      <c r="CF234" s="1" t="str">
        <f aca="false">IF(OR(NOT(AND(ISNUMBER(E234),ISNUMBER(F234))),$J$2=""),"",IF(Reprogramaciones!W$13&lt;Reprogramaciones!$T$15,0,IF(Reprogramaciones!W$14&gt;10,MIN(100,SUM($G234:$P234)),MIN(100,SUMPRODUCT((COLUMN($G234:$P234)-COLUMN($G234)+1&lt;Reprogramaciones!W$14)*$G234:$P234)+N(INDEX($G234:$P234,1,Reprogramaciones!W$14))*IF(Reprogramaciones!W$13&gt;=(Reprogramaciones!$T$15+7*(Reprogramaciones!W$14-1))+6,1,IF(MAX(0,NETWORKDAYS.INTL(MAX(E234,(Reprogramaciones!$T$15+7*(Reprogramaciones!W$14-1))),MIN(F234,(Reprogramaciones!$T$15+7*(Reprogramaciones!W$14-1))+6),11))=0,0,MAX(0,NETWORKDAYS.INTL(MAX(E234,(Reprogramaciones!$T$15+7*(Reprogramaciones!W$14-1))),MIN(F234,Reprogramaciones!W$13),11))/MAX(0,NETWORKDAYS.INTL(MAX(E234,(Reprogramaciones!$T$15+7*(Reprogramaciones!W$14-1))),MIN(F234,(Reprogramaciones!$T$15+7*(Reprogramaciones!W$14-1))+6),11))))))))</f>
        <v/>
      </c>
      <c r="CG234" s="1" t="str">
        <f aca="false">IF(OR(NOT(AND(ISNUMBER(E234),ISNUMBER(F234))),$J$2=""),"",IF(Reprogramaciones!X$13&lt;Reprogramaciones!$T$15,0,IF(Reprogramaciones!X$14&gt;10,MIN(100,SUM($G234:$P234)),MIN(100,SUMPRODUCT((COLUMN($G234:$P234)-COLUMN($G234)+1&lt;Reprogramaciones!X$14)*$G234:$P234)+N(INDEX($G234:$P234,1,Reprogramaciones!X$14))*IF(Reprogramaciones!X$13&gt;=(Reprogramaciones!$T$15+7*(Reprogramaciones!X$14-1))+6,1,IF(MAX(0,NETWORKDAYS.INTL(MAX(E234,(Reprogramaciones!$T$15+7*(Reprogramaciones!X$14-1))),MIN(F234,(Reprogramaciones!$T$15+7*(Reprogramaciones!X$14-1))+6),11))=0,0,MAX(0,NETWORKDAYS.INTL(MAX(E234,(Reprogramaciones!$T$15+7*(Reprogramaciones!X$14-1))),MIN(F234,Reprogramaciones!X$13),11))/MAX(0,NETWORKDAYS.INTL(MAX(E234,(Reprogramaciones!$T$15+7*(Reprogramaciones!X$14-1))),MIN(F234,(Reprogramaciones!$T$15+7*(Reprogramaciones!X$14-1))+6),11))))))))</f>
        <v/>
      </c>
      <c r="CH234" s="1" t="str">
        <f aca="false">IF(OR(NOT(AND(ISNUMBER(E234),ISNUMBER(F234))),$J$2=""),"",IF(Reprogramaciones!Y$13&lt;Reprogramaciones!$T$15,0,IF(Reprogramaciones!Y$14&gt;10,MIN(100,SUM($G234:$P234)),MIN(100,SUMPRODUCT((COLUMN($G234:$P234)-COLUMN($G234)+1&lt;Reprogramaciones!Y$14)*$G234:$P234)+N(INDEX($G234:$P234,1,Reprogramaciones!Y$14))*IF(Reprogramaciones!Y$13&gt;=(Reprogramaciones!$T$15+7*(Reprogramaciones!Y$14-1))+6,1,IF(MAX(0,NETWORKDAYS.INTL(MAX(E234,(Reprogramaciones!$T$15+7*(Reprogramaciones!Y$14-1))),MIN(F234,(Reprogramaciones!$T$15+7*(Reprogramaciones!Y$14-1))+6),11))=0,0,MAX(0,NETWORKDAYS.INTL(MAX(E234,(Reprogramaciones!$T$15+7*(Reprogramaciones!Y$14-1))),MIN(F234,Reprogramaciones!Y$13),11))/MAX(0,NETWORKDAYS.INTL(MAX(E234,(Reprogramaciones!$T$15+7*(Reprogramaciones!Y$14-1))),MIN(F234,(Reprogramaciones!$T$15+7*(Reprogramaciones!Y$14-1))+6),11))))))))</f>
        <v/>
      </c>
      <c r="CI234" s="1" t="str">
        <f aca="false">IF(OR(NOT(AND(ISNUMBER(E234),ISNUMBER(F234))),$J$2=""),"",IF(Reprogramaciones!Z$13&lt;Reprogramaciones!$T$15,0,IF(Reprogramaciones!Z$14&gt;10,MIN(100,SUM($G234:$P234)),MIN(100,SUMPRODUCT((COLUMN($G234:$P234)-COLUMN($G234)+1&lt;Reprogramaciones!Z$14)*$G234:$P234)+N(INDEX($G234:$P234,1,Reprogramaciones!Z$14))*IF(Reprogramaciones!Z$13&gt;=(Reprogramaciones!$T$15+7*(Reprogramaciones!Z$14-1))+6,1,IF(MAX(0,NETWORKDAYS.INTL(MAX(E234,(Reprogramaciones!$T$15+7*(Reprogramaciones!Z$14-1))),MIN(F234,(Reprogramaciones!$T$15+7*(Reprogramaciones!Z$14-1))+6),11))=0,0,MAX(0,NETWORKDAYS.INTL(MAX(E234,(Reprogramaciones!$T$15+7*(Reprogramaciones!Z$14-1))),MIN(F234,Reprogramaciones!Z$13),11))/MAX(0,NETWORKDAYS.INTL(MAX(E234,(Reprogramaciones!$T$15+7*(Reprogramaciones!Z$14-1))),MIN(F234,(Reprogramaciones!$T$15+7*(Reprogramaciones!Z$14-1))+6),11))))))))</f>
        <v/>
      </c>
      <c r="CJ234" s="1" t="str">
        <f aca="false">IF(OR(OR(NOT(AND(ISNUMBER(E234),ISNUMBER(F234))),$J$2=""),1&gt;Reprogramaciones!$K$16),"",IF(ROUND(SUM($Q234:Q234),1)&gt;=99.5,100,MIN(100,ROUND(SUM($Q234:Q234),1))))</f>
        <v/>
      </c>
      <c r="CK234" s="1" t="str">
        <f aca="false">IF(OR(OR(NOT(AND(ISNUMBER(E234),ISNUMBER(F234))),$J$2=""),2&gt;Reprogramaciones!$K$16),"",IF(ROUND(SUM($Q234:R234),1)&gt;=99.5,100,MIN(100,ROUND(SUM($Q234:R234),1))))</f>
        <v/>
      </c>
      <c r="CL234" s="1" t="str">
        <f aca="false">IF(OR(OR(NOT(AND(ISNUMBER(E234),ISNUMBER(F234))),$J$2=""),3&gt;Reprogramaciones!$K$16),"",IF(ROUND(SUM($Q234:S234),1)&gt;=99.5,100,MIN(100,ROUND(SUM($Q234:S234),1))))</f>
        <v/>
      </c>
      <c r="CM234" s="1" t="str">
        <f aca="false">IF(OR(OR(NOT(AND(ISNUMBER(E234),ISNUMBER(F234))),$J$2=""),4&gt;Reprogramaciones!$K$16),"",IF(ROUND(SUM($Q234:T234),1)&gt;=99.5,100,MIN(100,ROUND(SUM($Q234:T234),1))))</f>
        <v/>
      </c>
      <c r="CN234" s="1" t="str">
        <f aca="false">IF(OR(OR(NOT(AND(ISNUMBER(E234),ISNUMBER(F234))),$J$2=""),5&gt;Reprogramaciones!$K$16),"",IF(ROUND(SUM($Q234:U234),1)&gt;=99.5,100,MIN(100,ROUND(SUM($Q234:U234),1))))</f>
        <v/>
      </c>
      <c r="CO234" s="1" t="str">
        <f aca="false">IF(OR(OR(NOT(AND(ISNUMBER(E234),ISNUMBER(F234))),$J$2=""),6&gt;Reprogramaciones!$K$16),"",IF(ROUND(SUM($Q234:V234),1)&gt;=99.5,100,MIN(100,ROUND(SUM($Q234:V234),1))))</f>
        <v/>
      </c>
      <c r="CP234" s="1" t="str">
        <f aca="false">IF(OR(OR(NOT(AND(ISNUMBER(E234),ISNUMBER(F234))),$J$2=""),7&gt;Reprogramaciones!$K$16),"",IF(ROUND(SUM($Q234:W234),1)&gt;=99.5,100,MIN(100,ROUND(SUM($Q234:W234),1))))</f>
        <v/>
      </c>
      <c r="CQ234" s="1" t="str">
        <f aca="false">IF(OR(OR(NOT(AND(ISNUMBER(E234),ISNUMBER(F234))),$J$2=""),8&gt;Reprogramaciones!$K$16),"",IF(ROUND(SUM($Q234:X234),1)&gt;=99.5,100,MIN(100,ROUND(SUM($Q234:X234),1))))</f>
        <v/>
      </c>
      <c r="CR234" s="1" t="str">
        <f aca="false">IF(OR(OR(NOT(AND(ISNUMBER(E234),ISNUMBER(F234))),$J$2=""),9&gt;Reprogramaciones!$K$16),"",IF(ROUND(SUM($Q234:Y234),1)&gt;=99.5,100,MIN(100,ROUND(SUM($Q234:Y234),1))))</f>
        <v/>
      </c>
      <c r="CS234" s="1" t="str">
        <f aca="false">IF(OR(OR(NOT(AND(ISNUMBER(E234),ISNUMBER(F234))),$J$2=""),10&gt;Reprogramaciones!$K$16),"",IF(ROUND(SUM($Q234:Z234),1)&gt;=99.5,100,MIN(100,ROUND(SUM($Q234:Z234),1))))</f>
        <v/>
      </c>
      <c r="CT234" s="1" t="str">
        <f aca="false">IF(OR(OR(NOT(AND(ISNUMBER(E234),ISNUMBER(F234))),$J$2=""),11&gt;Reprogramaciones!$K$16),"",IF(ROUND(SUM($Q234:AA234),1)&gt;=99.5,100,MIN(100,ROUND(SUM($Q234:AA234),1))))</f>
        <v/>
      </c>
      <c r="CU234" s="1" t="str">
        <f aca="false">IF(OR(OR(NOT(AND(ISNUMBER(E234),ISNUMBER(F234))),$J$2=""),12&gt;Reprogramaciones!$K$16),"",IF(ROUND(SUM($Q234:AB234),1)&gt;=99.5,100,MIN(100,ROUND(SUM($Q234:AB234),1))))</f>
        <v/>
      </c>
      <c r="CV234" s="1" t="str">
        <f aca="false">IF(OR(OR(NOT(AND(ISNUMBER(E234),ISNUMBER(F234))),$J$2=""),13&gt;Reprogramaciones!$K$16),"",IF(ROUND(SUM($Q234:AC234),1)&gt;=99.5,100,MIN(100,ROUND(SUM($Q234:AC234),1))))</f>
        <v/>
      </c>
      <c r="CW234" s="1" t="str">
        <f aca="false">IF(OR(OR(NOT(AND(ISNUMBER(E234),ISNUMBER(F234))),$J$2=""),14&gt;Reprogramaciones!$K$16),"",IF(ROUND(SUM($Q234:AD234),1)&gt;=99.5,100,MIN(100,ROUND(SUM($Q234:AD234),1))))</f>
        <v/>
      </c>
      <c r="CX234" s="1" t="str">
        <f aca="false">IF(OR(OR(NOT(AND(ISNUMBER(E234),ISNUMBER(F234))),$J$2=""),15&gt;Reprogramaciones!$K$16),"",IF(ROUND(SUM($Q234:AE234),1)&gt;=99.5,100,MIN(100,ROUND(SUM($Q234:AE234),1))))</f>
        <v/>
      </c>
      <c r="CY234" s="1" t="str">
        <f aca="false">IF(OR(OR(NOT(AND(ISNUMBER(E234),ISNUMBER(F234))),$J$2=""),16&gt;Reprogramaciones!$K$16),"",IF(ROUND(SUM($Q234:AF234),1)&gt;=99.5,100,MIN(100,ROUND(SUM($Q234:AF234),1))))</f>
        <v/>
      </c>
      <c r="CZ234" s="1" t="str">
        <f aca="false">IF(D234&lt;&gt;"",D234,IF(B234&lt;&gt;"","Contractual",CZ233))</f>
        <v>Contractual</v>
      </c>
      <c r="DA234" s="1" t="str">
        <f aca="false">IF(OR(NOT(AND(ISNUMBER(E234),ISNUMBER(F234))),$J$2=""),"",IF(Reprogramaciones!$Q$15&lt;Reprogramaciones!$T$15,0,IF(Reprogramaciones!$S$15&gt;10,MIN(100,SUM($G234:$P234)),MIN(100,SUMPRODUCT((COLUMN($G234:$P234)-COLUMN($G234)+1&lt;Reprogramaciones!$S$15)*$G234:$P234)+N(INDEX($G234:$P234,1,Reprogramaciones!$S$15))*IF(Reprogramaciones!$Q$15&gt;=(Reprogramaciones!$T$15+7*(Reprogramaciones!$S$15-1))+6,1,IF(MAX(0,NETWORKDAYS.INTL(MAX(E234,(Reprogramaciones!$T$15+7*(Reprogramaciones!$S$15-1))),MIN(F234,(Reprogramaciones!$T$15+7*(Reprogramaciones!$S$15-1))+6),11))=0,0,MAX(0,NETWORKDAYS.INTL(MAX(E234,(Reprogramaciones!$T$15+7*(Reprogramaciones!$S$15-1))),MIN(F234,Reprogramaciones!$Q$15),11))/MAX(0,NETWORKDAYS.INTL(MAX(E234,(Reprogramaciones!$T$15+7*(Reprogramaciones!$S$15-1))),MIN(F234,(Reprogramaciones!$T$15+7*(Reprogramaciones!$S$15-1))+6),11))))))))</f>
        <v/>
      </c>
    </row>
    <row r="235" customFormat="false" ht="15" hidden="false" customHeight="false" outlineLevel="0" collapsed="false">
      <c r="A235" s="32"/>
      <c r="B235" s="33"/>
      <c r="C235" s="33"/>
      <c r="D235" s="34"/>
      <c r="E235" s="35"/>
      <c r="F235" s="35"/>
      <c r="G235" s="36" t="str">
        <f aca="false">IF(OR(NOT(AND(ISNUMBER(E235),ISNUMBER(F235))),$J$2=""),"",IF(Reprogramaciones!K$9&lt;E235,0,IF(NETWORKDAYS.INTL(E235,F235,11)=0,IF(Reprogramaciones!K$9&gt;=F235,100,0),ROUND(NETWORKDAYS.INTL(E235,MIN(F235,Reprogramaciones!K$9),11)/NETWORKDAYS.INTL(E235,F235,11)*100,1)))-0)</f>
        <v/>
      </c>
      <c r="H235" s="36" t="str">
        <f aca="false">IF(OR(NOT(AND(ISNUMBER(E235),ISNUMBER(F235))),$J$2=""),"",IF(Reprogramaciones!L$9&lt;E235,0,IF(NETWORKDAYS.INTL(E235,F235,11)=0,IF(Reprogramaciones!L$9&gt;=F235,100,0),ROUND(NETWORKDAYS.INTL(E235,MIN(F235,Reprogramaciones!L$9),11)/NETWORKDAYS.INTL(E235,F235,11)*100,1)))-IF(Reprogramaciones!K$9&lt;E235,0,IF(NETWORKDAYS.INTL(E235,F235,11)=0,IF(Reprogramaciones!K$9&gt;=F235,100,0),ROUND(NETWORKDAYS.INTL(E235,MIN(F235,Reprogramaciones!K$9),11)/NETWORKDAYS.INTL(E235,F235,11)*100,1))))</f>
        <v/>
      </c>
      <c r="I235" s="36" t="str">
        <f aca="false">IF(OR(NOT(AND(ISNUMBER(E235),ISNUMBER(F235))),$J$2=""),"",IF(Reprogramaciones!M$9&lt;E235,0,IF(NETWORKDAYS.INTL(E235,F235,11)=0,IF(Reprogramaciones!M$9&gt;=F235,100,0),ROUND(NETWORKDAYS.INTL(E235,MIN(F235,Reprogramaciones!M$9),11)/NETWORKDAYS.INTL(E235,F235,11)*100,1)))-IF(Reprogramaciones!L$9&lt;E235,0,IF(NETWORKDAYS.INTL(E235,F235,11)=0,IF(Reprogramaciones!L$9&gt;=F235,100,0),ROUND(NETWORKDAYS.INTL(E235,MIN(F235,Reprogramaciones!L$9),11)/NETWORKDAYS.INTL(E235,F235,11)*100,1))))</f>
        <v/>
      </c>
      <c r="J235" s="36" t="str">
        <f aca="false">IF(OR(NOT(AND(ISNUMBER(E235),ISNUMBER(F235))),$J$2=""),"",IF(Reprogramaciones!N$9&lt;E235,0,IF(NETWORKDAYS.INTL(E235,F235,11)=0,IF(Reprogramaciones!N$9&gt;=F235,100,0),ROUND(NETWORKDAYS.INTL(E235,MIN(F235,Reprogramaciones!N$9),11)/NETWORKDAYS.INTL(E235,F235,11)*100,1)))-IF(Reprogramaciones!M$9&lt;E235,0,IF(NETWORKDAYS.INTL(E235,F235,11)=0,IF(Reprogramaciones!M$9&gt;=F235,100,0),ROUND(NETWORKDAYS.INTL(E235,MIN(F235,Reprogramaciones!M$9),11)/NETWORKDAYS.INTL(E235,F235,11)*100,1))))</f>
        <v/>
      </c>
      <c r="K235" s="36" t="str">
        <f aca="false">IF(OR(NOT(AND(ISNUMBER(E235),ISNUMBER(F235))),$J$2=""),"",IF(Reprogramaciones!O$9&lt;E235,0,IF(NETWORKDAYS.INTL(E235,F235,11)=0,IF(Reprogramaciones!O$9&gt;=F235,100,0),ROUND(NETWORKDAYS.INTL(E235,MIN(F235,Reprogramaciones!O$9),11)/NETWORKDAYS.INTL(E235,F235,11)*100,1)))-IF(Reprogramaciones!N$9&lt;E235,0,IF(NETWORKDAYS.INTL(E235,F235,11)=0,IF(Reprogramaciones!N$9&gt;=F235,100,0),ROUND(NETWORKDAYS.INTL(E235,MIN(F235,Reprogramaciones!N$9),11)/NETWORKDAYS.INTL(E235,F235,11)*100,1))))</f>
        <v/>
      </c>
      <c r="L235" s="36" t="str">
        <f aca="false">IF(OR(NOT(AND(ISNUMBER(E235),ISNUMBER(F235))),$J$2=""),"",IF(Reprogramaciones!P$9&lt;E235,0,IF(NETWORKDAYS.INTL(E235,F235,11)=0,IF(Reprogramaciones!P$9&gt;=F235,100,0),ROUND(NETWORKDAYS.INTL(E235,MIN(F235,Reprogramaciones!P$9),11)/NETWORKDAYS.INTL(E235,F235,11)*100,1)))-IF(Reprogramaciones!O$9&lt;E235,0,IF(NETWORKDAYS.INTL(E235,F235,11)=0,IF(Reprogramaciones!O$9&gt;=F235,100,0),ROUND(NETWORKDAYS.INTL(E235,MIN(F235,Reprogramaciones!O$9),11)/NETWORKDAYS.INTL(E235,F235,11)*100,1))))</f>
        <v/>
      </c>
      <c r="M235" s="36" t="str">
        <f aca="false">IF(OR(NOT(AND(ISNUMBER(E235),ISNUMBER(F235))),$J$2=""),"",IF(Reprogramaciones!Q$9&lt;E235,0,IF(NETWORKDAYS.INTL(E235,F235,11)=0,IF(Reprogramaciones!Q$9&gt;=F235,100,0),ROUND(NETWORKDAYS.INTL(E235,MIN(F235,Reprogramaciones!Q$9),11)/NETWORKDAYS.INTL(E235,F235,11)*100,1)))-IF(Reprogramaciones!P$9&lt;E235,0,IF(NETWORKDAYS.INTL(E235,F235,11)=0,IF(Reprogramaciones!P$9&gt;=F235,100,0),ROUND(NETWORKDAYS.INTL(E235,MIN(F235,Reprogramaciones!P$9),11)/NETWORKDAYS.INTL(E235,F235,11)*100,1))))</f>
        <v/>
      </c>
      <c r="N235" s="36" t="str">
        <f aca="false">IF(OR(NOT(AND(ISNUMBER(E235),ISNUMBER(F235))),$J$2=""),"",IF(Reprogramaciones!R$9&lt;E235,0,IF(NETWORKDAYS.INTL(E235,F235,11)=0,IF(Reprogramaciones!R$9&gt;=F235,100,0),ROUND(NETWORKDAYS.INTL(E235,MIN(F235,Reprogramaciones!R$9),11)/NETWORKDAYS.INTL(E235,F235,11)*100,1)))-IF(Reprogramaciones!Q$9&lt;E235,0,IF(NETWORKDAYS.INTL(E235,F235,11)=0,IF(Reprogramaciones!Q$9&gt;=F235,100,0),ROUND(NETWORKDAYS.INTL(E235,MIN(F235,Reprogramaciones!Q$9),11)/NETWORKDAYS.INTL(E235,F235,11)*100,1))))</f>
        <v/>
      </c>
      <c r="O235" s="36" t="str">
        <f aca="false">IF(OR(NOT(AND(ISNUMBER(E235),ISNUMBER(F235))),$J$2=""),"",IF(Reprogramaciones!S$9&lt;E235,0,IF(NETWORKDAYS.INTL(E235,F235,11)=0,IF(Reprogramaciones!S$9&gt;=F235,100,0),ROUND(NETWORKDAYS.INTL(E235,MIN(F235,Reprogramaciones!S$9),11)/NETWORKDAYS.INTL(E235,F235,11)*100,1)))-IF(Reprogramaciones!R$9&lt;E235,0,IF(NETWORKDAYS.INTL(E235,F235,11)=0,IF(Reprogramaciones!R$9&gt;=F235,100,0),ROUND(NETWORKDAYS.INTL(E235,MIN(F235,Reprogramaciones!R$9),11)/NETWORKDAYS.INTL(E235,F235,11)*100,1))))</f>
        <v/>
      </c>
      <c r="P235" s="36" t="str">
        <f aca="false">IF(OR(NOT(AND(ISNUMBER(E235),ISNUMBER(F235))),$J$2=""),"",IF(Reprogramaciones!T$9&lt;E235,0,IF(NETWORKDAYS.INTL(E235,F235,11)=0,IF(Reprogramaciones!T$9&gt;=F235,100,0),ROUND(NETWORKDAYS.INTL(E235,MIN(F235,Reprogramaciones!T$9),11)/NETWORKDAYS.INTL(E235,F235,11)*100,1)))-IF(Reprogramaciones!S$9&lt;E235,0,IF(NETWORKDAYS.INTL(E235,F235,11)=0,IF(Reprogramaciones!S$9&gt;=F235,100,0),ROUND(NETWORKDAYS.INTL(E235,MIN(F235,Reprogramaciones!S$9),11)/NETWORKDAYS.INTL(E235,F235,11)*100,1))))</f>
        <v/>
      </c>
      <c r="Q235" s="37"/>
      <c r="R235" s="37"/>
      <c r="S235" s="37"/>
      <c r="T235" s="37"/>
      <c r="U235" s="37"/>
      <c r="V235" s="37"/>
      <c r="W235" s="37"/>
      <c r="X235" s="37"/>
      <c r="Y235" s="37"/>
      <c r="Z235" s="37"/>
      <c r="AA235" s="37"/>
      <c r="AB235" s="37"/>
      <c r="AC235" s="37"/>
      <c r="AD235" s="37"/>
      <c r="AE235" s="37"/>
      <c r="AF235" s="37"/>
      <c r="AG235" s="38" t="str">
        <f aca="false">IF(AND(ISNUMBER(E235),ISNUMBER(F235)),NETWORKDAYS.INTL(E235,F235,11),"")</f>
        <v/>
      </c>
      <c r="AH235" s="38" t="str">
        <f aca="false">IF(OR(NOT(AND(ISNUMBER(E235),ISNUMBER(F235))),$J$2=""),"",IF(Reprogramaciones!$P$15&lt;Reprogramaciones!$T$15,0,IF(Reprogramaciones!$R$15&gt;10,MIN(100,SUM($G235:$P235)),MIN(100,SUMPRODUCT((COLUMN($G235:$P235)-COLUMN($G235)+1&lt;Reprogramaciones!$R$15)*$G235:$P235)+N(INDEX($G235:$P235,1,Reprogramaciones!$R$15))*IF(Reprogramaciones!$P$15&gt;=(Reprogramaciones!$T$15+7*(Reprogramaciones!$R$15-1))+6,1,IF(MAX(0,NETWORKDAYS.INTL(MAX(E235,(Reprogramaciones!$T$15+7*(Reprogramaciones!$R$15-1))),MIN(F235,(Reprogramaciones!$T$15+7*(Reprogramaciones!$R$15-1))+6),11))=0,0,MAX(0,NETWORKDAYS.INTL(MAX(E235,(Reprogramaciones!$T$15+7*(Reprogramaciones!$R$15-1))),MIN(F235,Reprogramaciones!$P$15),11))/MAX(0,NETWORKDAYS.INTL(MAX(E235,(Reprogramaciones!$T$15+7*(Reprogramaciones!$R$15-1))),MIN(F235,(Reprogramaciones!$T$15+7*(Reprogramaciones!$R$15-1))+6),11))))))))</f>
        <v/>
      </c>
      <c r="AI235" s="38" t="str">
        <f aca="false">IF(COUNT($Q235:$AF235)=0,"",IF(ROUND(SUM($Q235:$AF235),1)&gt;=99.5,100,MIN(100,ROUND(SUM($Q235:$AF235),1))))</f>
        <v/>
      </c>
      <c r="AJ235" s="38" t="str">
        <f aca="false">IF(OR(AH235="",AI235=""),"",AI235-AH235)</f>
        <v/>
      </c>
      <c r="AK235" s="39" t="str">
        <f aca="true">IF(AH235="","",IF(OR(Ficha!$C$10="Suspendida",Ficha!$C$10="Cancelada"),Ficha!$C$10,IF(AND(AI235&lt;&gt;"",N(AI235)&gt;=100),"Completada",IF(AND(E235&gt;TODAY(),N(AI235)=0),"Por iniciar",IF(N(AI235)+0.5&lt;AH235,"Retrasada",IF(N(AI235)+0.5&lt;DA235,IF(Reprogramaciones!$K$15&gt;0,"Al día · Sem "&amp;Reprogramaciones!$K$15&amp;" en curso","Al día · en curso"),"A tiempo"))))))</f>
        <v/>
      </c>
      <c r="AL235" s="39" t="str">
        <f aca="true">IF(AND(A235="",AND(B235="",C235="",E235="",F235="",COUNT(Q235:AF235)=0)),"",IF(AND(B235="",C235="",E235="",F235="",COUNT(Q235:AF235)=0),"Falta la partida o subpartida",IF(AND(A235&lt;&gt;"",COUNTIF($A$6:$A$305,A235)&gt;1),"Ítem repetido",IF(AND(C235="",E235="",F235="",COUNT(Q235:AF235)=0),"Título de partida",IF(OR(E235="",F235=""),"Faltan fechas",IF(OR(ISTEXT(E235),ISTEXT(F235)),"Fecha escrita como texto: usa dd/mm/aaaa",IF(F235&lt;E235,"Fin antes del inicio",IF(IF($J$2="",FALSE(),OR(E235&lt;$J$2,F235&gt;Reprogramaciones!$T$15+69)),"Fuera de las 10 semanas",IF(ABS(SUM(G235:P235)-100)&gt;0.5,"La meta no suma 100%",IF(ROUND(SUM(Q235:AF235),1)&gt;100.5,"El avance pasa de 100%",IF(MIN(Q235:AF235)&lt;0,"Avance negativo",IF(COUNTA(Q235:AF235)&gt;COUNT(Q235:AF235),"Avance escrito como texto",IF(SUMPRODUCT((Q235:AF235&gt;0)*(Q235:AF235&lt;1))&gt;0,"Avance menor a 1: escribe 50, no 50%",IF(SUMPRODUCT(ISNUMBER(Q235:AF235)*(Reprogramaciones!$K$8:$Z$8&gt;TODAY()))&gt;0,"Avance en semana que aún no llega",IF(AND(N(Reprogramaciones!$E$21)&gt;0,F235&gt;Reprogramaciones!$E$21),"Pasa el fin de la obra: registra una reprogramación",IF(AND(N(Reprogramaciones!$E$21)&gt;0,SUMPRODUCT(ISNUMBER(Q235:AF235)*(Reprogramaciones!$K$8:$Z$8&gt;Reprogramaciones!$E$21))&gt;0),"Avance después del fin de la obra: registra una reprogramación por atraso","OK"))))))))))))))))</f>
        <v/>
      </c>
      <c r="AM235" s="40" t="str">
        <f aca="false">IF(OR(OR(NOT(AND(ISNUMBER(E235),ISNUMBER(F235))),$J$2=""),1&gt;MAX(1,Reprogramaciones!$U$15)),"",IF(Reprogramaciones!K$12&gt;=7,"",IF(OR(BT235-N(0)&gt;0.05,N(Q235)&gt;0),ROUNDDOWN(ROUND(BT235,6),0)&amp;"%"&amp;IF(CJ235="",""," / "&amp;CJ235&amp;"%"),IF(AND(N(0)&gt;=99.95,CJ235&lt;&gt;"",N(CJ235)&lt;100),"Pend. "&amp;CJ235&amp;"%",""))))</f>
        <v/>
      </c>
      <c r="AN235" s="40" t="str">
        <f aca="false">IF(OR(OR(NOT(AND(ISNUMBER(E235),ISNUMBER(F235))),$J$2=""),2&gt;MAX(1,Reprogramaciones!$U$15)),"",IF(Reprogramaciones!L$12&gt;=7,"",IF(OR(BU235-N(BT235)&gt;0.05,N(R235)&gt;0),ROUNDDOWN(ROUND(BU235,6),0)&amp;"%"&amp;IF(CK235="",""," / "&amp;CK235&amp;"%"),IF(AND(N(BT235)&gt;=99.95,CK235&lt;&gt;"",N(CK235)&lt;100),"Pend. "&amp;CK235&amp;"%",""))))</f>
        <v/>
      </c>
      <c r="AO235" s="40" t="str">
        <f aca="false">IF(OR(OR(NOT(AND(ISNUMBER(E235),ISNUMBER(F235))),$J$2=""),3&gt;MAX(1,Reprogramaciones!$U$15)),"",IF(Reprogramaciones!M$12&gt;=7,"",IF(OR(BV235-N(BU235)&gt;0.05,N(S235)&gt;0),ROUNDDOWN(ROUND(BV235,6),0)&amp;"%"&amp;IF(CL235="",""," / "&amp;CL235&amp;"%"),IF(AND(N(BU235)&gt;=99.95,CL235&lt;&gt;"",N(CL235)&lt;100),"Pend. "&amp;CL235&amp;"%",""))))</f>
        <v/>
      </c>
      <c r="AP235" s="40" t="str">
        <f aca="false">IF(OR(OR(NOT(AND(ISNUMBER(E235),ISNUMBER(F235))),$J$2=""),4&gt;MAX(1,Reprogramaciones!$U$15)),"",IF(Reprogramaciones!N$12&gt;=7,"",IF(OR(BW235-N(BV235)&gt;0.05,N(T235)&gt;0),ROUNDDOWN(ROUND(BW235,6),0)&amp;"%"&amp;IF(CM235="",""," / "&amp;CM235&amp;"%"),IF(AND(N(BV235)&gt;=99.95,CM235&lt;&gt;"",N(CM235)&lt;100),"Pend. "&amp;CM235&amp;"%",""))))</f>
        <v/>
      </c>
      <c r="AQ235" s="40" t="str">
        <f aca="false">IF(OR(OR(NOT(AND(ISNUMBER(E235),ISNUMBER(F235))),$J$2=""),5&gt;MAX(1,Reprogramaciones!$U$15)),"",IF(Reprogramaciones!O$12&gt;=7,"",IF(OR(BX235-N(BW235)&gt;0.05,N(U235)&gt;0),ROUNDDOWN(ROUND(BX235,6),0)&amp;"%"&amp;IF(CN235="",""," / "&amp;CN235&amp;"%"),IF(AND(N(BW235)&gt;=99.95,CN235&lt;&gt;"",N(CN235)&lt;100),"Pend. "&amp;CN235&amp;"%",""))))</f>
        <v/>
      </c>
      <c r="AR235" s="40" t="str">
        <f aca="false">IF(OR(OR(NOT(AND(ISNUMBER(E235),ISNUMBER(F235))),$J$2=""),6&gt;MAX(1,Reprogramaciones!$U$15)),"",IF(Reprogramaciones!P$12&gt;=7,"",IF(OR(BY235-N(BX235)&gt;0.05,N(V235)&gt;0),ROUNDDOWN(ROUND(BY235,6),0)&amp;"%"&amp;IF(CO235="",""," / "&amp;CO235&amp;"%"),IF(AND(N(BX235)&gt;=99.95,CO235&lt;&gt;"",N(CO235)&lt;100),"Pend. "&amp;CO235&amp;"%",""))))</f>
        <v/>
      </c>
      <c r="AS235" s="40" t="str">
        <f aca="false">IF(OR(OR(NOT(AND(ISNUMBER(E235),ISNUMBER(F235))),$J$2=""),7&gt;MAX(1,Reprogramaciones!$U$15)),"",IF(Reprogramaciones!Q$12&gt;=7,"",IF(OR(BZ235-N(BY235)&gt;0.05,N(W235)&gt;0),ROUNDDOWN(ROUND(BZ235,6),0)&amp;"%"&amp;IF(CP235="",""," / "&amp;CP235&amp;"%"),IF(AND(N(BY235)&gt;=99.95,CP235&lt;&gt;"",N(CP235)&lt;100),"Pend. "&amp;CP235&amp;"%",""))))</f>
        <v/>
      </c>
      <c r="AT235" s="40" t="str">
        <f aca="false">IF(OR(OR(NOT(AND(ISNUMBER(E235),ISNUMBER(F235))),$J$2=""),8&gt;MAX(1,Reprogramaciones!$U$15)),"",IF(Reprogramaciones!R$12&gt;=7,"",IF(OR(CA235-N(BZ235)&gt;0.05,N(X235)&gt;0),ROUNDDOWN(ROUND(CA235,6),0)&amp;"%"&amp;IF(CQ235="",""," / "&amp;CQ235&amp;"%"),IF(AND(N(BZ235)&gt;=99.95,CQ235&lt;&gt;"",N(CQ235)&lt;100),"Pend. "&amp;CQ235&amp;"%",""))))</f>
        <v/>
      </c>
      <c r="AU235" s="40" t="str">
        <f aca="false">IF(OR(OR(NOT(AND(ISNUMBER(E235),ISNUMBER(F235))),$J$2=""),9&gt;MAX(1,Reprogramaciones!$U$15)),"",IF(Reprogramaciones!S$12&gt;=7,"",IF(OR(CB235-N(CA235)&gt;0.05,N(Y235)&gt;0),ROUNDDOWN(ROUND(CB235,6),0)&amp;"%"&amp;IF(CR235="",""," / "&amp;CR235&amp;"%"),IF(AND(N(CA235)&gt;=99.95,CR235&lt;&gt;"",N(CR235)&lt;100),"Pend. "&amp;CR235&amp;"%",""))))</f>
        <v/>
      </c>
      <c r="AV235" s="40" t="str">
        <f aca="false">IF(OR(OR(NOT(AND(ISNUMBER(E235),ISNUMBER(F235))),$J$2=""),10&gt;MAX(1,Reprogramaciones!$U$15)),"",IF(Reprogramaciones!T$12&gt;=7,"",IF(OR(CC235-N(CB235)&gt;0.05,N(Z235)&gt;0),ROUNDDOWN(ROUND(CC235,6),0)&amp;"%"&amp;IF(CS235="",""," / "&amp;CS235&amp;"%"),IF(AND(N(CB235)&gt;=99.95,CS235&lt;&gt;"",N(CS235)&lt;100),"Pend. "&amp;CS235&amp;"%",""))))</f>
        <v/>
      </c>
      <c r="AW235" s="40" t="str">
        <f aca="false">IF(OR(OR(NOT(AND(ISNUMBER(E235),ISNUMBER(F235))),$J$2=""),11&gt;MAX(1,Reprogramaciones!$U$15)),"",IF(Reprogramaciones!U$12&gt;=7,"",IF(OR(CD235-N(CC235)&gt;0.05,N(AA235)&gt;0),ROUNDDOWN(ROUND(CD235,6),0)&amp;"%"&amp;IF(CT235="",""," / "&amp;CT235&amp;"%"),IF(AND(N(CC235)&gt;=99.95,CT235&lt;&gt;"",N(CT235)&lt;100),"Pend. "&amp;CT235&amp;"%",""))))</f>
        <v/>
      </c>
      <c r="AX235" s="40" t="str">
        <f aca="false">IF(OR(OR(NOT(AND(ISNUMBER(E235),ISNUMBER(F235))),$J$2=""),12&gt;MAX(1,Reprogramaciones!$U$15)),"",IF(Reprogramaciones!V$12&gt;=7,"",IF(OR(CE235-N(CD235)&gt;0.05,N(AB235)&gt;0),ROUNDDOWN(ROUND(CE235,6),0)&amp;"%"&amp;IF(CU235="",""," / "&amp;CU235&amp;"%"),IF(AND(N(CD235)&gt;=99.95,CU235&lt;&gt;"",N(CU235)&lt;100),"Pend. "&amp;CU235&amp;"%",""))))</f>
        <v/>
      </c>
      <c r="AY235" s="40" t="str">
        <f aca="false">IF(OR(OR(NOT(AND(ISNUMBER(E235),ISNUMBER(F235))),$J$2=""),13&gt;MAX(1,Reprogramaciones!$U$15)),"",IF(Reprogramaciones!W$12&gt;=7,"",IF(OR(CF235-N(CE235)&gt;0.05,N(AC235)&gt;0),ROUNDDOWN(ROUND(CF235,6),0)&amp;"%"&amp;IF(CV235="",""," / "&amp;CV235&amp;"%"),IF(AND(N(CE235)&gt;=99.95,CV235&lt;&gt;"",N(CV235)&lt;100),"Pend. "&amp;CV235&amp;"%",""))))</f>
        <v/>
      </c>
      <c r="AZ235" s="40" t="str">
        <f aca="false">IF(OR(OR(NOT(AND(ISNUMBER(E235),ISNUMBER(F235))),$J$2=""),14&gt;MAX(1,Reprogramaciones!$U$15)),"",IF(Reprogramaciones!X$12&gt;=7,"",IF(OR(CG235-N(CF235)&gt;0.05,N(AD235)&gt;0),ROUNDDOWN(ROUND(CG235,6),0)&amp;"%"&amp;IF(CW235="",""," / "&amp;CW235&amp;"%"),IF(AND(N(CF235)&gt;=99.95,CW235&lt;&gt;"",N(CW235)&lt;100),"Pend. "&amp;CW235&amp;"%",""))))</f>
        <v/>
      </c>
      <c r="BA235" s="40" t="str">
        <f aca="false">IF(OR(OR(NOT(AND(ISNUMBER(E235),ISNUMBER(F235))),$J$2=""),15&gt;MAX(1,Reprogramaciones!$U$15)),"",IF(Reprogramaciones!Y$12&gt;=7,"",IF(OR(CH235-N(CG235)&gt;0.05,N(AE235)&gt;0),ROUNDDOWN(ROUND(CH235,6),0)&amp;"%"&amp;IF(CX235="",""," / "&amp;CX235&amp;"%"),IF(AND(N(CG235)&gt;=99.95,CX235&lt;&gt;"",N(CX235)&lt;100),"Pend. "&amp;CX235&amp;"%",""))))</f>
        <v/>
      </c>
      <c r="BB235" s="40" t="str">
        <f aca="false">IF(OR(OR(NOT(AND(ISNUMBER(E235),ISNUMBER(F235))),$J$2=""),16&gt;MAX(1,Reprogramaciones!$U$15)),"",IF(Reprogramaciones!Z$12&gt;=7,"",IF(OR(CI235-N(CH235)&gt;0.05,N(AF235)&gt;0),ROUNDDOWN(ROUND(CI235,6),0)&amp;"%"&amp;IF(CY235="",""," / "&amp;CY235&amp;"%"),IF(AND(N(CH235)&gt;=99.95,CY235&lt;&gt;"",N(CY235)&lt;100),"Pend. "&amp;CY235&amp;"%",""))))</f>
        <v/>
      </c>
      <c r="BC235" s="31" t="n">
        <f aca="false">IF(AND(ISNUMBER(E235),ISNUMBER(F235)),MAX(1,NETWORKDAYS.INTL(E235,F235,11)),0)</f>
        <v>0</v>
      </c>
      <c r="BD235" s="1" t="str">
        <f aca="false">IF(OR(NOT(AND(ISNUMBER(E235),ISNUMBER(F235))),$J$2=""),"",MIN(100,ROUND(SUM($G235:G235),1)))</f>
        <v/>
      </c>
      <c r="BE235" s="1" t="str">
        <f aca="false">IF(OR(NOT(AND(ISNUMBER(E235),ISNUMBER(F235))),$J$2=""),"",MIN(100,ROUND(SUM($G235:H235),1)))</f>
        <v/>
      </c>
      <c r="BF235" s="1" t="str">
        <f aca="false">IF(OR(NOT(AND(ISNUMBER(E235),ISNUMBER(F235))),$J$2=""),"",MIN(100,ROUND(SUM($G235:I235),1)))</f>
        <v/>
      </c>
      <c r="BG235" s="1" t="str">
        <f aca="false">IF(OR(NOT(AND(ISNUMBER(E235),ISNUMBER(F235))),$J$2=""),"",MIN(100,ROUND(SUM($G235:J235),1)))</f>
        <v/>
      </c>
      <c r="BH235" s="1" t="str">
        <f aca="false">IF(OR(NOT(AND(ISNUMBER(E235),ISNUMBER(F235))),$J$2=""),"",MIN(100,ROUND(SUM($G235:K235),1)))</f>
        <v/>
      </c>
      <c r="BI235" s="1" t="str">
        <f aca="false">IF(OR(NOT(AND(ISNUMBER(E235),ISNUMBER(F235))),$J$2=""),"",MIN(100,ROUND(SUM($G235:L235),1)))</f>
        <v/>
      </c>
      <c r="BJ235" s="1" t="str">
        <f aca="false">IF(OR(NOT(AND(ISNUMBER(E235),ISNUMBER(F235))),$J$2=""),"",MIN(100,ROUND(SUM($G235:M235),1)))</f>
        <v/>
      </c>
      <c r="BK235" s="1" t="str">
        <f aca="false">IF(OR(NOT(AND(ISNUMBER(E235),ISNUMBER(F235))),$J$2=""),"",MIN(100,ROUND(SUM($G235:N235),1)))</f>
        <v/>
      </c>
      <c r="BL235" s="1" t="str">
        <f aca="false">IF(OR(NOT(AND(ISNUMBER(E235),ISNUMBER(F235))),$J$2=""),"",MIN(100,ROUND(SUM($G235:O235),1)))</f>
        <v/>
      </c>
      <c r="BM235" s="1" t="str">
        <f aca="false">IF(OR(NOT(AND(ISNUMBER(E235),ISNUMBER(F235))),$J$2=""),"",MIN(100,ROUND(SUM($G235:P235),1)))</f>
        <v/>
      </c>
      <c r="BN235" s="1" t="str">
        <f aca="false">IF(OR(NOT(AND(ISNUMBER(E235),ISNUMBER(F235))),$J$2=""),"",MIN(100,ROUND(SUM($G235:P235),1)))</f>
        <v/>
      </c>
      <c r="BO235" s="1" t="str">
        <f aca="false">IF(OR(NOT(AND(ISNUMBER(E235),ISNUMBER(F235))),$J$2=""),"",MIN(100,ROUND(SUM($G235:P235),1)))</f>
        <v/>
      </c>
      <c r="BP235" s="1" t="str">
        <f aca="false">IF(OR(NOT(AND(ISNUMBER(E235),ISNUMBER(F235))),$J$2=""),"",MIN(100,ROUND(SUM($G235:P235),1)))</f>
        <v/>
      </c>
      <c r="BQ235" s="1" t="str">
        <f aca="false">IF(OR(NOT(AND(ISNUMBER(E235),ISNUMBER(F235))),$J$2=""),"",MIN(100,ROUND(SUM($G235:P235),1)))</f>
        <v/>
      </c>
      <c r="BR235" s="1" t="str">
        <f aca="false">IF(OR(NOT(AND(ISNUMBER(E235),ISNUMBER(F235))),$J$2=""),"",MIN(100,ROUND(SUM($G235:P235),1)))</f>
        <v/>
      </c>
      <c r="BS235" s="1" t="str">
        <f aca="false">IF(OR(NOT(AND(ISNUMBER(E235),ISNUMBER(F235))),$J$2=""),"",MIN(100,ROUND(SUM($G235:P235),1)))</f>
        <v/>
      </c>
      <c r="BT235" s="1" t="str">
        <f aca="false">IF(OR(NOT(AND(ISNUMBER(E235),ISNUMBER(F235))),$J$2=""),"",IF(Reprogramaciones!K$13&lt;Reprogramaciones!$T$15,0,IF(Reprogramaciones!K$14&gt;10,MIN(100,SUM($G235:$P235)),MIN(100,SUMPRODUCT((COLUMN($G235:$P235)-COLUMN($G235)+1&lt;Reprogramaciones!K$14)*$G235:$P235)+N(INDEX($G235:$P235,1,Reprogramaciones!K$14))*IF(Reprogramaciones!K$13&gt;=(Reprogramaciones!$T$15+7*(Reprogramaciones!K$14-1))+6,1,IF(MAX(0,NETWORKDAYS.INTL(MAX(E235,(Reprogramaciones!$T$15+7*(Reprogramaciones!K$14-1))),MIN(F235,(Reprogramaciones!$T$15+7*(Reprogramaciones!K$14-1))+6),11))=0,0,MAX(0,NETWORKDAYS.INTL(MAX(E235,(Reprogramaciones!$T$15+7*(Reprogramaciones!K$14-1))),MIN(F235,Reprogramaciones!K$13),11))/MAX(0,NETWORKDAYS.INTL(MAX(E235,(Reprogramaciones!$T$15+7*(Reprogramaciones!K$14-1))),MIN(F235,(Reprogramaciones!$T$15+7*(Reprogramaciones!K$14-1))+6),11))))))))</f>
        <v/>
      </c>
      <c r="BU235" s="1" t="str">
        <f aca="false">IF(OR(NOT(AND(ISNUMBER(E235),ISNUMBER(F235))),$J$2=""),"",IF(Reprogramaciones!L$13&lt;Reprogramaciones!$T$15,0,IF(Reprogramaciones!L$14&gt;10,MIN(100,SUM($G235:$P235)),MIN(100,SUMPRODUCT((COLUMN($G235:$P235)-COLUMN($G235)+1&lt;Reprogramaciones!L$14)*$G235:$P235)+N(INDEX($G235:$P235,1,Reprogramaciones!L$14))*IF(Reprogramaciones!L$13&gt;=(Reprogramaciones!$T$15+7*(Reprogramaciones!L$14-1))+6,1,IF(MAX(0,NETWORKDAYS.INTL(MAX(E235,(Reprogramaciones!$T$15+7*(Reprogramaciones!L$14-1))),MIN(F235,(Reprogramaciones!$T$15+7*(Reprogramaciones!L$14-1))+6),11))=0,0,MAX(0,NETWORKDAYS.INTL(MAX(E235,(Reprogramaciones!$T$15+7*(Reprogramaciones!L$14-1))),MIN(F235,Reprogramaciones!L$13),11))/MAX(0,NETWORKDAYS.INTL(MAX(E235,(Reprogramaciones!$T$15+7*(Reprogramaciones!L$14-1))),MIN(F235,(Reprogramaciones!$T$15+7*(Reprogramaciones!L$14-1))+6),11))))))))</f>
        <v/>
      </c>
      <c r="BV235" s="1" t="str">
        <f aca="false">IF(OR(NOT(AND(ISNUMBER(E235),ISNUMBER(F235))),$J$2=""),"",IF(Reprogramaciones!M$13&lt;Reprogramaciones!$T$15,0,IF(Reprogramaciones!M$14&gt;10,MIN(100,SUM($G235:$P235)),MIN(100,SUMPRODUCT((COLUMN($G235:$P235)-COLUMN($G235)+1&lt;Reprogramaciones!M$14)*$G235:$P235)+N(INDEX($G235:$P235,1,Reprogramaciones!M$14))*IF(Reprogramaciones!M$13&gt;=(Reprogramaciones!$T$15+7*(Reprogramaciones!M$14-1))+6,1,IF(MAX(0,NETWORKDAYS.INTL(MAX(E235,(Reprogramaciones!$T$15+7*(Reprogramaciones!M$14-1))),MIN(F235,(Reprogramaciones!$T$15+7*(Reprogramaciones!M$14-1))+6),11))=0,0,MAX(0,NETWORKDAYS.INTL(MAX(E235,(Reprogramaciones!$T$15+7*(Reprogramaciones!M$14-1))),MIN(F235,Reprogramaciones!M$13),11))/MAX(0,NETWORKDAYS.INTL(MAX(E235,(Reprogramaciones!$T$15+7*(Reprogramaciones!M$14-1))),MIN(F235,(Reprogramaciones!$T$15+7*(Reprogramaciones!M$14-1))+6),11))))))))</f>
        <v/>
      </c>
      <c r="BW235" s="1" t="str">
        <f aca="false">IF(OR(NOT(AND(ISNUMBER(E235),ISNUMBER(F235))),$J$2=""),"",IF(Reprogramaciones!N$13&lt;Reprogramaciones!$T$15,0,IF(Reprogramaciones!N$14&gt;10,MIN(100,SUM($G235:$P235)),MIN(100,SUMPRODUCT((COLUMN($G235:$P235)-COLUMN($G235)+1&lt;Reprogramaciones!N$14)*$G235:$P235)+N(INDEX($G235:$P235,1,Reprogramaciones!N$14))*IF(Reprogramaciones!N$13&gt;=(Reprogramaciones!$T$15+7*(Reprogramaciones!N$14-1))+6,1,IF(MAX(0,NETWORKDAYS.INTL(MAX(E235,(Reprogramaciones!$T$15+7*(Reprogramaciones!N$14-1))),MIN(F235,(Reprogramaciones!$T$15+7*(Reprogramaciones!N$14-1))+6),11))=0,0,MAX(0,NETWORKDAYS.INTL(MAX(E235,(Reprogramaciones!$T$15+7*(Reprogramaciones!N$14-1))),MIN(F235,Reprogramaciones!N$13),11))/MAX(0,NETWORKDAYS.INTL(MAX(E235,(Reprogramaciones!$T$15+7*(Reprogramaciones!N$14-1))),MIN(F235,(Reprogramaciones!$T$15+7*(Reprogramaciones!N$14-1))+6),11))))))))</f>
        <v/>
      </c>
      <c r="BX235" s="1" t="str">
        <f aca="false">IF(OR(NOT(AND(ISNUMBER(E235),ISNUMBER(F235))),$J$2=""),"",IF(Reprogramaciones!O$13&lt;Reprogramaciones!$T$15,0,IF(Reprogramaciones!O$14&gt;10,MIN(100,SUM($G235:$P235)),MIN(100,SUMPRODUCT((COLUMN($G235:$P235)-COLUMN($G235)+1&lt;Reprogramaciones!O$14)*$G235:$P235)+N(INDEX($G235:$P235,1,Reprogramaciones!O$14))*IF(Reprogramaciones!O$13&gt;=(Reprogramaciones!$T$15+7*(Reprogramaciones!O$14-1))+6,1,IF(MAX(0,NETWORKDAYS.INTL(MAX(E235,(Reprogramaciones!$T$15+7*(Reprogramaciones!O$14-1))),MIN(F235,(Reprogramaciones!$T$15+7*(Reprogramaciones!O$14-1))+6),11))=0,0,MAX(0,NETWORKDAYS.INTL(MAX(E235,(Reprogramaciones!$T$15+7*(Reprogramaciones!O$14-1))),MIN(F235,Reprogramaciones!O$13),11))/MAX(0,NETWORKDAYS.INTL(MAX(E235,(Reprogramaciones!$T$15+7*(Reprogramaciones!O$14-1))),MIN(F235,(Reprogramaciones!$T$15+7*(Reprogramaciones!O$14-1))+6),11))))))))</f>
        <v/>
      </c>
      <c r="BY235" s="1" t="str">
        <f aca="false">IF(OR(NOT(AND(ISNUMBER(E235),ISNUMBER(F235))),$J$2=""),"",IF(Reprogramaciones!P$13&lt;Reprogramaciones!$T$15,0,IF(Reprogramaciones!P$14&gt;10,MIN(100,SUM($G235:$P235)),MIN(100,SUMPRODUCT((COLUMN($G235:$P235)-COLUMN($G235)+1&lt;Reprogramaciones!P$14)*$G235:$P235)+N(INDEX($G235:$P235,1,Reprogramaciones!P$14))*IF(Reprogramaciones!P$13&gt;=(Reprogramaciones!$T$15+7*(Reprogramaciones!P$14-1))+6,1,IF(MAX(0,NETWORKDAYS.INTL(MAX(E235,(Reprogramaciones!$T$15+7*(Reprogramaciones!P$14-1))),MIN(F235,(Reprogramaciones!$T$15+7*(Reprogramaciones!P$14-1))+6),11))=0,0,MAX(0,NETWORKDAYS.INTL(MAX(E235,(Reprogramaciones!$T$15+7*(Reprogramaciones!P$14-1))),MIN(F235,Reprogramaciones!P$13),11))/MAX(0,NETWORKDAYS.INTL(MAX(E235,(Reprogramaciones!$T$15+7*(Reprogramaciones!P$14-1))),MIN(F235,(Reprogramaciones!$T$15+7*(Reprogramaciones!P$14-1))+6),11))))))))</f>
        <v/>
      </c>
      <c r="BZ235" s="1" t="str">
        <f aca="false">IF(OR(NOT(AND(ISNUMBER(E235),ISNUMBER(F235))),$J$2=""),"",IF(Reprogramaciones!Q$13&lt;Reprogramaciones!$T$15,0,IF(Reprogramaciones!Q$14&gt;10,MIN(100,SUM($G235:$P235)),MIN(100,SUMPRODUCT((COLUMN($G235:$P235)-COLUMN($G235)+1&lt;Reprogramaciones!Q$14)*$G235:$P235)+N(INDEX($G235:$P235,1,Reprogramaciones!Q$14))*IF(Reprogramaciones!Q$13&gt;=(Reprogramaciones!$T$15+7*(Reprogramaciones!Q$14-1))+6,1,IF(MAX(0,NETWORKDAYS.INTL(MAX(E235,(Reprogramaciones!$T$15+7*(Reprogramaciones!Q$14-1))),MIN(F235,(Reprogramaciones!$T$15+7*(Reprogramaciones!Q$14-1))+6),11))=0,0,MAX(0,NETWORKDAYS.INTL(MAX(E235,(Reprogramaciones!$T$15+7*(Reprogramaciones!Q$14-1))),MIN(F235,Reprogramaciones!Q$13),11))/MAX(0,NETWORKDAYS.INTL(MAX(E235,(Reprogramaciones!$T$15+7*(Reprogramaciones!Q$14-1))),MIN(F235,(Reprogramaciones!$T$15+7*(Reprogramaciones!Q$14-1))+6),11))))))))</f>
        <v/>
      </c>
      <c r="CA235" s="1" t="str">
        <f aca="false">IF(OR(NOT(AND(ISNUMBER(E235),ISNUMBER(F235))),$J$2=""),"",IF(Reprogramaciones!R$13&lt;Reprogramaciones!$T$15,0,IF(Reprogramaciones!R$14&gt;10,MIN(100,SUM($G235:$P235)),MIN(100,SUMPRODUCT((COLUMN($G235:$P235)-COLUMN($G235)+1&lt;Reprogramaciones!R$14)*$G235:$P235)+N(INDEX($G235:$P235,1,Reprogramaciones!R$14))*IF(Reprogramaciones!R$13&gt;=(Reprogramaciones!$T$15+7*(Reprogramaciones!R$14-1))+6,1,IF(MAX(0,NETWORKDAYS.INTL(MAX(E235,(Reprogramaciones!$T$15+7*(Reprogramaciones!R$14-1))),MIN(F235,(Reprogramaciones!$T$15+7*(Reprogramaciones!R$14-1))+6),11))=0,0,MAX(0,NETWORKDAYS.INTL(MAX(E235,(Reprogramaciones!$T$15+7*(Reprogramaciones!R$14-1))),MIN(F235,Reprogramaciones!R$13),11))/MAX(0,NETWORKDAYS.INTL(MAX(E235,(Reprogramaciones!$T$15+7*(Reprogramaciones!R$14-1))),MIN(F235,(Reprogramaciones!$T$15+7*(Reprogramaciones!R$14-1))+6),11))))))))</f>
        <v/>
      </c>
      <c r="CB235" s="1" t="str">
        <f aca="false">IF(OR(NOT(AND(ISNUMBER(E235),ISNUMBER(F235))),$J$2=""),"",IF(Reprogramaciones!S$13&lt;Reprogramaciones!$T$15,0,IF(Reprogramaciones!S$14&gt;10,MIN(100,SUM($G235:$P235)),MIN(100,SUMPRODUCT((COLUMN($G235:$P235)-COLUMN($G235)+1&lt;Reprogramaciones!S$14)*$G235:$P235)+N(INDEX($G235:$P235,1,Reprogramaciones!S$14))*IF(Reprogramaciones!S$13&gt;=(Reprogramaciones!$T$15+7*(Reprogramaciones!S$14-1))+6,1,IF(MAX(0,NETWORKDAYS.INTL(MAX(E235,(Reprogramaciones!$T$15+7*(Reprogramaciones!S$14-1))),MIN(F235,(Reprogramaciones!$T$15+7*(Reprogramaciones!S$14-1))+6),11))=0,0,MAX(0,NETWORKDAYS.INTL(MAX(E235,(Reprogramaciones!$T$15+7*(Reprogramaciones!S$14-1))),MIN(F235,Reprogramaciones!S$13),11))/MAX(0,NETWORKDAYS.INTL(MAX(E235,(Reprogramaciones!$T$15+7*(Reprogramaciones!S$14-1))),MIN(F235,(Reprogramaciones!$T$15+7*(Reprogramaciones!S$14-1))+6),11))))))))</f>
        <v/>
      </c>
      <c r="CC235" s="1" t="str">
        <f aca="false">IF(OR(NOT(AND(ISNUMBER(E235),ISNUMBER(F235))),$J$2=""),"",IF(Reprogramaciones!T$13&lt;Reprogramaciones!$T$15,0,IF(Reprogramaciones!T$14&gt;10,MIN(100,SUM($G235:$P235)),MIN(100,SUMPRODUCT((COLUMN($G235:$P235)-COLUMN($G235)+1&lt;Reprogramaciones!T$14)*$G235:$P235)+N(INDEX($G235:$P235,1,Reprogramaciones!T$14))*IF(Reprogramaciones!T$13&gt;=(Reprogramaciones!$T$15+7*(Reprogramaciones!T$14-1))+6,1,IF(MAX(0,NETWORKDAYS.INTL(MAX(E235,(Reprogramaciones!$T$15+7*(Reprogramaciones!T$14-1))),MIN(F235,(Reprogramaciones!$T$15+7*(Reprogramaciones!T$14-1))+6),11))=0,0,MAX(0,NETWORKDAYS.INTL(MAX(E235,(Reprogramaciones!$T$15+7*(Reprogramaciones!T$14-1))),MIN(F235,Reprogramaciones!T$13),11))/MAX(0,NETWORKDAYS.INTL(MAX(E235,(Reprogramaciones!$T$15+7*(Reprogramaciones!T$14-1))),MIN(F235,(Reprogramaciones!$T$15+7*(Reprogramaciones!T$14-1))+6),11))))))))</f>
        <v/>
      </c>
      <c r="CD235" s="1" t="str">
        <f aca="false">IF(OR(NOT(AND(ISNUMBER(E235),ISNUMBER(F235))),$J$2=""),"",IF(Reprogramaciones!U$13&lt;Reprogramaciones!$T$15,0,IF(Reprogramaciones!U$14&gt;10,MIN(100,SUM($G235:$P235)),MIN(100,SUMPRODUCT((COLUMN($G235:$P235)-COLUMN($G235)+1&lt;Reprogramaciones!U$14)*$G235:$P235)+N(INDEX($G235:$P235,1,Reprogramaciones!U$14))*IF(Reprogramaciones!U$13&gt;=(Reprogramaciones!$T$15+7*(Reprogramaciones!U$14-1))+6,1,IF(MAX(0,NETWORKDAYS.INTL(MAX(E235,(Reprogramaciones!$T$15+7*(Reprogramaciones!U$14-1))),MIN(F235,(Reprogramaciones!$T$15+7*(Reprogramaciones!U$14-1))+6),11))=0,0,MAX(0,NETWORKDAYS.INTL(MAX(E235,(Reprogramaciones!$T$15+7*(Reprogramaciones!U$14-1))),MIN(F235,Reprogramaciones!U$13),11))/MAX(0,NETWORKDAYS.INTL(MAX(E235,(Reprogramaciones!$T$15+7*(Reprogramaciones!U$14-1))),MIN(F235,(Reprogramaciones!$T$15+7*(Reprogramaciones!U$14-1))+6),11))))))))</f>
        <v/>
      </c>
      <c r="CE235" s="1" t="str">
        <f aca="false">IF(OR(NOT(AND(ISNUMBER(E235),ISNUMBER(F235))),$J$2=""),"",IF(Reprogramaciones!V$13&lt;Reprogramaciones!$T$15,0,IF(Reprogramaciones!V$14&gt;10,MIN(100,SUM($G235:$P235)),MIN(100,SUMPRODUCT((COLUMN($G235:$P235)-COLUMN($G235)+1&lt;Reprogramaciones!V$14)*$G235:$P235)+N(INDEX($G235:$P235,1,Reprogramaciones!V$14))*IF(Reprogramaciones!V$13&gt;=(Reprogramaciones!$T$15+7*(Reprogramaciones!V$14-1))+6,1,IF(MAX(0,NETWORKDAYS.INTL(MAX(E235,(Reprogramaciones!$T$15+7*(Reprogramaciones!V$14-1))),MIN(F235,(Reprogramaciones!$T$15+7*(Reprogramaciones!V$14-1))+6),11))=0,0,MAX(0,NETWORKDAYS.INTL(MAX(E235,(Reprogramaciones!$T$15+7*(Reprogramaciones!V$14-1))),MIN(F235,Reprogramaciones!V$13),11))/MAX(0,NETWORKDAYS.INTL(MAX(E235,(Reprogramaciones!$T$15+7*(Reprogramaciones!V$14-1))),MIN(F235,(Reprogramaciones!$T$15+7*(Reprogramaciones!V$14-1))+6),11))))))))</f>
        <v/>
      </c>
      <c r="CF235" s="1" t="str">
        <f aca="false">IF(OR(NOT(AND(ISNUMBER(E235),ISNUMBER(F235))),$J$2=""),"",IF(Reprogramaciones!W$13&lt;Reprogramaciones!$T$15,0,IF(Reprogramaciones!W$14&gt;10,MIN(100,SUM($G235:$P235)),MIN(100,SUMPRODUCT((COLUMN($G235:$P235)-COLUMN($G235)+1&lt;Reprogramaciones!W$14)*$G235:$P235)+N(INDEX($G235:$P235,1,Reprogramaciones!W$14))*IF(Reprogramaciones!W$13&gt;=(Reprogramaciones!$T$15+7*(Reprogramaciones!W$14-1))+6,1,IF(MAX(0,NETWORKDAYS.INTL(MAX(E235,(Reprogramaciones!$T$15+7*(Reprogramaciones!W$14-1))),MIN(F235,(Reprogramaciones!$T$15+7*(Reprogramaciones!W$14-1))+6),11))=0,0,MAX(0,NETWORKDAYS.INTL(MAX(E235,(Reprogramaciones!$T$15+7*(Reprogramaciones!W$14-1))),MIN(F235,Reprogramaciones!W$13),11))/MAX(0,NETWORKDAYS.INTL(MAX(E235,(Reprogramaciones!$T$15+7*(Reprogramaciones!W$14-1))),MIN(F235,(Reprogramaciones!$T$15+7*(Reprogramaciones!W$14-1))+6),11))))))))</f>
        <v/>
      </c>
      <c r="CG235" s="1" t="str">
        <f aca="false">IF(OR(NOT(AND(ISNUMBER(E235),ISNUMBER(F235))),$J$2=""),"",IF(Reprogramaciones!X$13&lt;Reprogramaciones!$T$15,0,IF(Reprogramaciones!X$14&gt;10,MIN(100,SUM($G235:$P235)),MIN(100,SUMPRODUCT((COLUMN($G235:$P235)-COLUMN($G235)+1&lt;Reprogramaciones!X$14)*$G235:$P235)+N(INDEX($G235:$P235,1,Reprogramaciones!X$14))*IF(Reprogramaciones!X$13&gt;=(Reprogramaciones!$T$15+7*(Reprogramaciones!X$14-1))+6,1,IF(MAX(0,NETWORKDAYS.INTL(MAX(E235,(Reprogramaciones!$T$15+7*(Reprogramaciones!X$14-1))),MIN(F235,(Reprogramaciones!$T$15+7*(Reprogramaciones!X$14-1))+6),11))=0,0,MAX(0,NETWORKDAYS.INTL(MAX(E235,(Reprogramaciones!$T$15+7*(Reprogramaciones!X$14-1))),MIN(F235,Reprogramaciones!X$13),11))/MAX(0,NETWORKDAYS.INTL(MAX(E235,(Reprogramaciones!$T$15+7*(Reprogramaciones!X$14-1))),MIN(F235,(Reprogramaciones!$T$15+7*(Reprogramaciones!X$14-1))+6),11))))))))</f>
        <v/>
      </c>
      <c r="CH235" s="1" t="str">
        <f aca="false">IF(OR(NOT(AND(ISNUMBER(E235),ISNUMBER(F235))),$J$2=""),"",IF(Reprogramaciones!Y$13&lt;Reprogramaciones!$T$15,0,IF(Reprogramaciones!Y$14&gt;10,MIN(100,SUM($G235:$P235)),MIN(100,SUMPRODUCT((COLUMN($G235:$P235)-COLUMN($G235)+1&lt;Reprogramaciones!Y$14)*$G235:$P235)+N(INDEX($G235:$P235,1,Reprogramaciones!Y$14))*IF(Reprogramaciones!Y$13&gt;=(Reprogramaciones!$T$15+7*(Reprogramaciones!Y$14-1))+6,1,IF(MAX(0,NETWORKDAYS.INTL(MAX(E235,(Reprogramaciones!$T$15+7*(Reprogramaciones!Y$14-1))),MIN(F235,(Reprogramaciones!$T$15+7*(Reprogramaciones!Y$14-1))+6),11))=0,0,MAX(0,NETWORKDAYS.INTL(MAX(E235,(Reprogramaciones!$T$15+7*(Reprogramaciones!Y$14-1))),MIN(F235,Reprogramaciones!Y$13),11))/MAX(0,NETWORKDAYS.INTL(MAX(E235,(Reprogramaciones!$T$15+7*(Reprogramaciones!Y$14-1))),MIN(F235,(Reprogramaciones!$T$15+7*(Reprogramaciones!Y$14-1))+6),11))))))))</f>
        <v/>
      </c>
      <c r="CI235" s="1" t="str">
        <f aca="false">IF(OR(NOT(AND(ISNUMBER(E235),ISNUMBER(F235))),$J$2=""),"",IF(Reprogramaciones!Z$13&lt;Reprogramaciones!$T$15,0,IF(Reprogramaciones!Z$14&gt;10,MIN(100,SUM($G235:$P235)),MIN(100,SUMPRODUCT((COLUMN($G235:$P235)-COLUMN($G235)+1&lt;Reprogramaciones!Z$14)*$G235:$P235)+N(INDEX($G235:$P235,1,Reprogramaciones!Z$14))*IF(Reprogramaciones!Z$13&gt;=(Reprogramaciones!$T$15+7*(Reprogramaciones!Z$14-1))+6,1,IF(MAX(0,NETWORKDAYS.INTL(MAX(E235,(Reprogramaciones!$T$15+7*(Reprogramaciones!Z$14-1))),MIN(F235,(Reprogramaciones!$T$15+7*(Reprogramaciones!Z$14-1))+6),11))=0,0,MAX(0,NETWORKDAYS.INTL(MAX(E235,(Reprogramaciones!$T$15+7*(Reprogramaciones!Z$14-1))),MIN(F235,Reprogramaciones!Z$13),11))/MAX(0,NETWORKDAYS.INTL(MAX(E235,(Reprogramaciones!$T$15+7*(Reprogramaciones!Z$14-1))),MIN(F235,(Reprogramaciones!$T$15+7*(Reprogramaciones!Z$14-1))+6),11))))))))</f>
        <v/>
      </c>
      <c r="CJ235" s="1" t="str">
        <f aca="false">IF(OR(OR(NOT(AND(ISNUMBER(E235),ISNUMBER(F235))),$J$2=""),1&gt;Reprogramaciones!$K$16),"",IF(ROUND(SUM($Q235:Q235),1)&gt;=99.5,100,MIN(100,ROUND(SUM($Q235:Q235),1))))</f>
        <v/>
      </c>
      <c r="CK235" s="1" t="str">
        <f aca="false">IF(OR(OR(NOT(AND(ISNUMBER(E235),ISNUMBER(F235))),$J$2=""),2&gt;Reprogramaciones!$K$16),"",IF(ROUND(SUM($Q235:R235),1)&gt;=99.5,100,MIN(100,ROUND(SUM($Q235:R235),1))))</f>
        <v/>
      </c>
      <c r="CL235" s="1" t="str">
        <f aca="false">IF(OR(OR(NOT(AND(ISNUMBER(E235),ISNUMBER(F235))),$J$2=""),3&gt;Reprogramaciones!$K$16),"",IF(ROUND(SUM($Q235:S235),1)&gt;=99.5,100,MIN(100,ROUND(SUM($Q235:S235),1))))</f>
        <v/>
      </c>
      <c r="CM235" s="1" t="str">
        <f aca="false">IF(OR(OR(NOT(AND(ISNUMBER(E235),ISNUMBER(F235))),$J$2=""),4&gt;Reprogramaciones!$K$16),"",IF(ROUND(SUM($Q235:T235),1)&gt;=99.5,100,MIN(100,ROUND(SUM($Q235:T235),1))))</f>
        <v/>
      </c>
      <c r="CN235" s="1" t="str">
        <f aca="false">IF(OR(OR(NOT(AND(ISNUMBER(E235),ISNUMBER(F235))),$J$2=""),5&gt;Reprogramaciones!$K$16),"",IF(ROUND(SUM($Q235:U235),1)&gt;=99.5,100,MIN(100,ROUND(SUM($Q235:U235),1))))</f>
        <v/>
      </c>
      <c r="CO235" s="1" t="str">
        <f aca="false">IF(OR(OR(NOT(AND(ISNUMBER(E235),ISNUMBER(F235))),$J$2=""),6&gt;Reprogramaciones!$K$16),"",IF(ROUND(SUM($Q235:V235),1)&gt;=99.5,100,MIN(100,ROUND(SUM($Q235:V235),1))))</f>
        <v/>
      </c>
      <c r="CP235" s="1" t="str">
        <f aca="false">IF(OR(OR(NOT(AND(ISNUMBER(E235),ISNUMBER(F235))),$J$2=""),7&gt;Reprogramaciones!$K$16),"",IF(ROUND(SUM($Q235:W235),1)&gt;=99.5,100,MIN(100,ROUND(SUM($Q235:W235),1))))</f>
        <v/>
      </c>
      <c r="CQ235" s="1" t="str">
        <f aca="false">IF(OR(OR(NOT(AND(ISNUMBER(E235),ISNUMBER(F235))),$J$2=""),8&gt;Reprogramaciones!$K$16),"",IF(ROUND(SUM($Q235:X235),1)&gt;=99.5,100,MIN(100,ROUND(SUM($Q235:X235),1))))</f>
        <v/>
      </c>
      <c r="CR235" s="1" t="str">
        <f aca="false">IF(OR(OR(NOT(AND(ISNUMBER(E235),ISNUMBER(F235))),$J$2=""),9&gt;Reprogramaciones!$K$16),"",IF(ROUND(SUM($Q235:Y235),1)&gt;=99.5,100,MIN(100,ROUND(SUM($Q235:Y235),1))))</f>
        <v/>
      </c>
      <c r="CS235" s="1" t="str">
        <f aca="false">IF(OR(OR(NOT(AND(ISNUMBER(E235),ISNUMBER(F235))),$J$2=""),10&gt;Reprogramaciones!$K$16),"",IF(ROUND(SUM($Q235:Z235),1)&gt;=99.5,100,MIN(100,ROUND(SUM($Q235:Z235),1))))</f>
        <v/>
      </c>
      <c r="CT235" s="1" t="str">
        <f aca="false">IF(OR(OR(NOT(AND(ISNUMBER(E235),ISNUMBER(F235))),$J$2=""),11&gt;Reprogramaciones!$K$16),"",IF(ROUND(SUM($Q235:AA235),1)&gt;=99.5,100,MIN(100,ROUND(SUM($Q235:AA235),1))))</f>
        <v/>
      </c>
      <c r="CU235" s="1" t="str">
        <f aca="false">IF(OR(OR(NOT(AND(ISNUMBER(E235),ISNUMBER(F235))),$J$2=""),12&gt;Reprogramaciones!$K$16),"",IF(ROUND(SUM($Q235:AB235),1)&gt;=99.5,100,MIN(100,ROUND(SUM($Q235:AB235),1))))</f>
        <v/>
      </c>
      <c r="CV235" s="1" t="str">
        <f aca="false">IF(OR(OR(NOT(AND(ISNUMBER(E235),ISNUMBER(F235))),$J$2=""),13&gt;Reprogramaciones!$K$16),"",IF(ROUND(SUM($Q235:AC235),1)&gt;=99.5,100,MIN(100,ROUND(SUM($Q235:AC235),1))))</f>
        <v/>
      </c>
      <c r="CW235" s="1" t="str">
        <f aca="false">IF(OR(OR(NOT(AND(ISNUMBER(E235),ISNUMBER(F235))),$J$2=""),14&gt;Reprogramaciones!$K$16),"",IF(ROUND(SUM($Q235:AD235),1)&gt;=99.5,100,MIN(100,ROUND(SUM($Q235:AD235),1))))</f>
        <v/>
      </c>
      <c r="CX235" s="1" t="str">
        <f aca="false">IF(OR(OR(NOT(AND(ISNUMBER(E235),ISNUMBER(F235))),$J$2=""),15&gt;Reprogramaciones!$K$16),"",IF(ROUND(SUM($Q235:AE235),1)&gt;=99.5,100,MIN(100,ROUND(SUM($Q235:AE235),1))))</f>
        <v/>
      </c>
      <c r="CY235" s="1" t="str">
        <f aca="false">IF(OR(OR(NOT(AND(ISNUMBER(E235),ISNUMBER(F235))),$J$2=""),16&gt;Reprogramaciones!$K$16),"",IF(ROUND(SUM($Q235:AF235),1)&gt;=99.5,100,MIN(100,ROUND(SUM($Q235:AF235),1))))</f>
        <v/>
      </c>
      <c r="CZ235" s="1" t="str">
        <f aca="false">IF(D235&lt;&gt;"",D235,IF(B235&lt;&gt;"","Contractual",CZ234))</f>
        <v>Contractual</v>
      </c>
      <c r="DA235" s="1" t="str">
        <f aca="false">IF(OR(NOT(AND(ISNUMBER(E235),ISNUMBER(F235))),$J$2=""),"",IF(Reprogramaciones!$Q$15&lt;Reprogramaciones!$T$15,0,IF(Reprogramaciones!$S$15&gt;10,MIN(100,SUM($G235:$P235)),MIN(100,SUMPRODUCT((COLUMN($G235:$P235)-COLUMN($G235)+1&lt;Reprogramaciones!$S$15)*$G235:$P235)+N(INDEX($G235:$P235,1,Reprogramaciones!$S$15))*IF(Reprogramaciones!$Q$15&gt;=(Reprogramaciones!$T$15+7*(Reprogramaciones!$S$15-1))+6,1,IF(MAX(0,NETWORKDAYS.INTL(MAX(E235,(Reprogramaciones!$T$15+7*(Reprogramaciones!$S$15-1))),MIN(F235,(Reprogramaciones!$T$15+7*(Reprogramaciones!$S$15-1))+6),11))=0,0,MAX(0,NETWORKDAYS.INTL(MAX(E235,(Reprogramaciones!$T$15+7*(Reprogramaciones!$S$15-1))),MIN(F235,Reprogramaciones!$Q$15),11))/MAX(0,NETWORKDAYS.INTL(MAX(E235,(Reprogramaciones!$T$15+7*(Reprogramaciones!$S$15-1))),MIN(F235,(Reprogramaciones!$T$15+7*(Reprogramaciones!$S$15-1))+6),11))))))))</f>
        <v/>
      </c>
    </row>
    <row r="236" customFormat="false" ht="15" hidden="false" customHeight="false" outlineLevel="0" collapsed="false">
      <c r="A236" s="32"/>
      <c r="B236" s="33"/>
      <c r="C236" s="33"/>
      <c r="D236" s="34"/>
      <c r="E236" s="35"/>
      <c r="F236" s="35"/>
      <c r="G236" s="36" t="str">
        <f aca="false">IF(OR(NOT(AND(ISNUMBER(E236),ISNUMBER(F236))),$J$2=""),"",IF(Reprogramaciones!K$9&lt;E236,0,IF(NETWORKDAYS.INTL(E236,F236,11)=0,IF(Reprogramaciones!K$9&gt;=F236,100,0),ROUND(NETWORKDAYS.INTL(E236,MIN(F236,Reprogramaciones!K$9),11)/NETWORKDAYS.INTL(E236,F236,11)*100,1)))-0)</f>
        <v/>
      </c>
      <c r="H236" s="36" t="str">
        <f aca="false">IF(OR(NOT(AND(ISNUMBER(E236),ISNUMBER(F236))),$J$2=""),"",IF(Reprogramaciones!L$9&lt;E236,0,IF(NETWORKDAYS.INTL(E236,F236,11)=0,IF(Reprogramaciones!L$9&gt;=F236,100,0),ROUND(NETWORKDAYS.INTL(E236,MIN(F236,Reprogramaciones!L$9),11)/NETWORKDAYS.INTL(E236,F236,11)*100,1)))-IF(Reprogramaciones!K$9&lt;E236,0,IF(NETWORKDAYS.INTL(E236,F236,11)=0,IF(Reprogramaciones!K$9&gt;=F236,100,0),ROUND(NETWORKDAYS.INTL(E236,MIN(F236,Reprogramaciones!K$9),11)/NETWORKDAYS.INTL(E236,F236,11)*100,1))))</f>
        <v/>
      </c>
      <c r="I236" s="36" t="str">
        <f aca="false">IF(OR(NOT(AND(ISNUMBER(E236),ISNUMBER(F236))),$J$2=""),"",IF(Reprogramaciones!M$9&lt;E236,0,IF(NETWORKDAYS.INTL(E236,F236,11)=0,IF(Reprogramaciones!M$9&gt;=F236,100,0),ROUND(NETWORKDAYS.INTL(E236,MIN(F236,Reprogramaciones!M$9),11)/NETWORKDAYS.INTL(E236,F236,11)*100,1)))-IF(Reprogramaciones!L$9&lt;E236,0,IF(NETWORKDAYS.INTL(E236,F236,11)=0,IF(Reprogramaciones!L$9&gt;=F236,100,0),ROUND(NETWORKDAYS.INTL(E236,MIN(F236,Reprogramaciones!L$9),11)/NETWORKDAYS.INTL(E236,F236,11)*100,1))))</f>
        <v/>
      </c>
      <c r="J236" s="36" t="str">
        <f aca="false">IF(OR(NOT(AND(ISNUMBER(E236),ISNUMBER(F236))),$J$2=""),"",IF(Reprogramaciones!N$9&lt;E236,0,IF(NETWORKDAYS.INTL(E236,F236,11)=0,IF(Reprogramaciones!N$9&gt;=F236,100,0),ROUND(NETWORKDAYS.INTL(E236,MIN(F236,Reprogramaciones!N$9),11)/NETWORKDAYS.INTL(E236,F236,11)*100,1)))-IF(Reprogramaciones!M$9&lt;E236,0,IF(NETWORKDAYS.INTL(E236,F236,11)=0,IF(Reprogramaciones!M$9&gt;=F236,100,0),ROUND(NETWORKDAYS.INTL(E236,MIN(F236,Reprogramaciones!M$9),11)/NETWORKDAYS.INTL(E236,F236,11)*100,1))))</f>
        <v/>
      </c>
      <c r="K236" s="36" t="str">
        <f aca="false">IF(OR(NOT(AND(ISNUMBER(E236),ISNUMBER(F236))),$J$2=""),"",IF(Reprogramaciones!O$9&lt;E236,0,IF(NETWORKDAYS.INTL(E236,F236,11)=0,IF(Reprogramaciones!O$9&gt;=F236,100,0),ROUND(NETWORKDAYS.INTL(E236,MIN(F236,Reprogramaciones!O$9),11)/NETWORKDAYS.INTL(E236,F236,11)*100,1)))-IF(Reprogramaciones!N$9&lt;E236,0,IF(NETWORKDAYS.INTL(E236,F236,11)=0,IF(Reprogramaciones!N$9&gt;=F236,100,0),ROUND(NETWORKDAYS.INTL(E236,MIN(F236,Reprogramaciones!N$9),11)/NETWORKDAYS.INTL(E236,F236,11)*100,1))))</f>
        <v/>
      </c>
      <c r="L236" s="36" t="str">
        <f aca="false">IF(OR(NOT(AND(ISNUMBER(E236),ISNUMBER(F236))),$J$2=""),"",IF(Reprogramaciones!P$9&lt;E236,0,IF(NETWORKDAYS.INTL(E236,F236,11)=0,IF(Reprogramaciones!P$9&gt;=F236,100,0),ROUND(NETWORKDAYS.INTL(E236,MIN(F236,Reprogramaciones!P$9),11)/NETWORKDAYS.INTL(E236,F236,11)*100,1)))-IF(Reprogramaciones!O$9&lt;E236,0,IF(NETWORKDAYS.INTL(E236,F236,11)=0,IF(Reprogramaciones!O$9&gt;=F236,100,0),ROUND(NETWORKDAYS.INTL(E236,MIN(F236,Reprogramaciones!O$9),11)/NETWORKDAYS.INTL(E236,F236,11)*100,1))))</f>
        <v/>
      </c>
      <c r="M236" s="36" t="str">
        <f aca="false">IF(OR(NOT(AND(ISNUMBER(E236),ISNUMBER(F236))),$J$2=""),"",IF(Reprogramaciones!Q$9&lt;E236,0,IF(NETWORKDAYS.INTL(E236,F236,11)=0,IF(Reprogramaciones!Q$9&gt;=F236,100,0),ROUND(NETWORKDAYS.INTL(E236,MIN(F236,Reprogramaciones!Q$9),11)/NETWORKDAYS.INTL(E236,F236,11)*100,1)))-IF(Reprogramaciones!P$9&lt;E236,0,IF(NETWORKDAYS.INTL(E236,F236,11)=0,IF(Reprogramaciones!P$9&gt;=F236,100,0),ROUND(NETWORKDAYS.INTL(E236,MIN(F236,Reprogramaciones!P$9),11)/NETWORKDAYS.INTL(E236,F236,11)*100,1))))</f>
        <v/>
      </c>
      <c r="N236" s="36" t="str">
        <f aca="false">IF(OR(NOT(AND(ISNUMBER(E236),ISNUMBER(F236))),$J$2=""),"",IF(Reprogramaciones!R$9&lt;E236,0,IF(NETWORKDAYS.INTL(E236,F236,11)=0,IF(Reprogramaciones!R$9&gt;=F236,100,0),ROUND(NETWORKDAYS.INTL(E236,MIN(F236,Reprogramaciones!R$9),11)/NETWORKDAYS.INTL(E236,F236,11)*100,1)))-IF(Reprogramaciones!Q$9&lt;E236,0,IF(NETWORKDAYS.INTL(E236,F236,11)=0,IF(Reprogramaciones!Q$9&gt;=F236,100,0),ROUND(NETWORKDAYS.INTL(E236,MIN(F236,Reprogramaciones!Q$9),11)/NETWORKDAYS.INTL(E236,F236,11)*100,1))))</f>
        <v/>
      </c>
      <c r="O236" s="36" t="str">
        <f aca="false">IF(OR(NOT(AND(ISNUMBER(E236),ISNUMBER(F236))),$J$2=""),"",IF(Reprogramaciones!S$9&lt;E236,0,IF(NETWORKDAYS.INTL(E236,F236,11)=0,IF(Reprogramaciones!S$9&gt;=F236,100,0),ROUND(NETWORKDAYS.INTL(E236,MIN(F236,Reprogramaciones!S$9),11)/NETWORKDAYS.INTL(E236,F236,11)*100,1)))-IF(Reprogramaciones!R$9&lt;E236,0,IF(NETWORKDAYS.INTL(E236,F236,11)=0,IF(Reprogramaciones!R$9&gt;=F236,100,0),ROUND(NETWORKDAYS.INTL(E236,MIN(F236,Reprogramaciones!R$9),11)/NETWORKDAYS.INTL(E236,F236,11)*100,1))))</f>
        <v/>
      </c>
      <c r="P236" s="36" t="str">
        <f aca="false">IF(OR(NOT(AND(ISNUMBER(E236),ISNUMBER(F236))),$J$2=""),"",IF(Reprogramaciones!T$9&lt;E236,0,IF(NETWORKDAYS.INTL(E236,F236,11)=0,IF(Reprogramaciones!T$9&gt;=F236,100,0),ROUND(NETWORKDAYS.INTL(E236,MIN(F236,Reprogramaciones!T$9),11)/NETWORKDAYS.INTL(E236,F236,11)*100,1)))-IF(Reprogramaciones!S$9&lt;E236,0,IF(NETWORKDAYS.INTL(E236,F236,11)=0,IF(Reprogramaciones!S$9&gt;=F236,100,0),ROUND(NETWORKDAYS.INTL(E236,MIN(F236,Reprogramaciones!S$9),11)/NETWORKDAYS.INTL(E236,F236,11)*100,1))))</f>
        <v/>
      </c>
      <c r="Q236" s="37"/>
      <c r="R236" s="37"/>
      <c r="S236" s="37"/>
      <c r="T236" s="37"/>
      <c r="U236" s="37"/>
      <c r="V236" s="37"/>
      <c r="W236" s="37"/>
      <c r="X236" s="37"/>
      <c r="Y236" s="37"/>
      <c r="Z236" s="37"/>
      <c r="AA236" s="37"/>
      <c r="AB236" s="37"/>
      <c r="AC236" s="37"/>
      <c r="AD236" s="37"/>
      <c r="AE236" s="37"/>
      <c r="AF236" s="37"/>
      <c r="AG236" s="38" t="str">
        <f aca="false">IF(AND(ISNUMBER(E236),ISNUMBER(F236)),NETWORKDAYS.INTL(E236,F236,11),"")</f>
        <v/>
      </c>
      <c r="AH236" s="38" t="str">
        <f aca="false">IF(OR(NOT(AND(ISNUMBER(E236),ISNUMBER(F236))),$J$2=""),"",IF(Reprogramaciones!$P$15&lt;Reprogramaciones!$T$15,0,IF(Reprogramaciones!$R$15&gt;10,MIN(100,SUM($G236:$P236)),MIN(100,SUMPRODUCT((COLUMN($G236:$P236)-COLUMN($G236)+1&lt;Reprogramaciones!$R$15)*$G236:$P236)+N(INDEX($G236:$P236,1,Reprogramaciones!$R$15))*IF(Reprogramaciones!$P$15&gt;=(Reprogramaciones!$T$15+7*(Reprogramaciones!$R$15-1))+6,1,IF(MAX(0,NETWORKDAYS.INTL(MAX(E236,(Reprogramaciones!$T$15+7*(Reprogramaciones!$R$15-1))),MIN(F236,(Reprogramaciones!$T$15+7*(Reprogramaciones!$R$15-1))+6),11))=0,0,MAX(0,NETWORKDAYS.INTL(MAX(E236,(Reprogramaciones!$T$15+7*(Reprogramaciones!$R$15-1))),MIN(F236,Reprogramaciones!$P$15),11))/MAX(0,NETWORKDAYS.INTL(MAX(E236,(Reprogramaciones!$T$15+7*(Reprogramaciones!$R$15-1))),MIN(F236,(Reprogramaciones!$T$15+7*(Reprogramaciones!$R$15-1))+6),11))))))))</f>
        <v/>
      </c>
      <c r="AI236" s="38" t="str">
        <f aca="false">IF(COUNT($Q236:$AF236)=0,"",IF(ROUND(SUM($Q236:$AF236),1)&gt;=99.5,100,MIN(100,ROUND(SUM($Q236:$AF236),1))))</f>
        <v/>
      </c>
      <c r="AJ236" s="38" t="str">
        <f aca="false">IF(OR(AH236="",AI236=""),"",AI236-AH236)</f>
        <v/>
      </c>
      <c r="AK236" s="39" t="str">
        <f aca="true">IF(AH236="","",IF(OR(Ficha!$C$10="Suspendida",Ficha!$C$10="Cancelada"),Ficha!$C$10,IF(AND(AI236&lt;&gt;"",N(AI236)&gt;=100),"Completada",IF(AND(E236&gt;TODAY(),N(AI236)=0),"Por iniciar",IF(N(AI236)+0.5&lt;AH236,"Retrasada",IF(N(AI236)+0.5&lt;DA236,IF(Reprogramaciones!$K$15&gt;0,"Al día · Sem "&amp;Reprogramaciones!$K$15&amp;" en curso","Al día · en curso"),"A tiempo"))))))</f>
        <v/>
      </c>
      <c r="AL236" s="39" t="str">
        <f aca="true">IF(AND(A236="",AND(B236="",C236="",E236="",F236="",COUNT(Q236:AF236)=0)),"",IF(AND(B236="",C236="",E236="",F236="",COUNT(Q236:AF236)=0),"Falta la partida o subpartida",IF(AND(A236&lt;&gt;"",COUNTIF($A$6:$A$305,A236)&gt;1),"Ítem repetido",IF(AND(C236="",E236="",F236="",COUNT(Q236:AF236)=0),"Título de partida",IF(OR(E236="",F236=""),"Faltan fechas",IF(OR(ISTEXT(E236),ISTEXT(F236)),"Fecha escrita como texto: usa dd/mm/aaaa",IF(F236&lt;E236,"Fin antes del inicio",IF(IF($J$2="",FALSE(),OR(E236&lt;$J$2,F236&gt;Reprogramaciones!$T$15+69)),"Fuera de las 10 semanas",IF(ABS(SUM(G236:P236)-100)&gt;0.5,"La meta no suma 100%",IF(ROUND(SUM(Q236:AF236),1)&gt;100.5,"El avance pasa de 100%",IF(MIN(Q236:AF236)&lt;0,"Avance negativo",IF(COUNTA(Q236:AF236)&gt;COUNT(Q236:AF236),"Avance escrito como texto",IF(SUMPRODUCT((Q236:AF236&gt;0)*(Q236:AF236&lt;1))&gt;0,"Avance menor a 1: escribe 50, no 50%",IF(SUMPRODUCT(ISNUMBER(Q236:AF236)*(Reprogramaciones!$K$8:$Z$8&gt;TODAY()))&gt;0,"Avance en semana que aún no llega",IF(AND(N(Reprogramaciones!$E$21)&gt;0,F236&gt;Reprogramaciones!$E$21),"Pasa el fin de la obra: registra una reprogramación",IF(AND(N(Reprogramaciones!$E$21)&gt;0,SUMPRODUCT(ISNUMBER(Q236:AF236)*(Reprogramaciones!$K$8:$Z$8&gt;Reprogramaciones!$E$21))&gt;0),"Avance después del fin de la obra: registra una reprogramación por atraso","OK"))))))))))))))))</f>
        <v/>
      </c>
      <c r="AM236" s="40" t="str">
        <f aca="false">IF(OR(OR(NOT(AND(ISNUMBER(E236),ISNUMBER(F236))),$J$2=""),1&gt;MAX(1,Reprogramaciones!$U$15)),"",IF(Reprogramaciones!K$12&gt;=7,"",IF(OR(BT236-N(0)&gt;0.05,N(Q236)&gt;0),ROUNDDOWN(ROUND(BT236,6),0)&amp;"%"&amp;IF(CJ236="",""," / "&amp;CJ236&amp;"%"),IF(AND(N(0)&gt;=99.95,CJ236&lt;&gt;"",N(CJ236)&lt;100),"Pend. "&amp;CJ236&amp;"%",""))))</f>
        <v/>
      </c>
      <c r="AN236" s="40" t="str">
        <f aca="false">IF(OR(OR(NOT(AND(ISNUMBER(E236),ISNUMBER(F236))),$J$2=""),2&gt;MAX(1,Reprogramaciones!$U$15)),"",IF(Reprogramaciones!L$12&gt;=7,"",IF(OR(BU236-N(BT236)&gt;0.05,N(R236)&gt;0),ROUNDDOWN(ROUND(BU236,6),0)&amp;"%"&amp;IF(CK236="",""," / "&amp;CK236&amp;"%"),IF(AND(N(BT236)&gt;=99.95,CK236&lt;&gt;"",N(CK236)&lt;100),"Pend. "&amp;CK236&amp;"%",""))))</f>
        <v/>
      </c>
      <c r="AO236" s="40" t="str">
        <f aca="false">IF(OR(OR(NOT(AND(ISNUMBER(E236),ISNUMBER(F236))),$J$2=""),3&gt;MAX(1,Reprogramaciones!$U$15)),"",IF(Reprogramaciones!M$12&gt;=7,"",IF(OR(BV236-N(BU236)&gt;0.05,N(S236)&gt;0),ROUNDDOWN(ROUND(BV236,6),0)&amp;"%"&amp;IF(CL236="",""," / "&amp;CL236&amp;"%"),IF(AND(N(BU236)&gt;=99.95,CL236&lt;&gt;"",N(CL236)&lt;100),"Pend. "&amp;CL236&amp;"%",""))))</f>
        <v/>
      </c>
      <c r="AP236" s="40" t="str">
        <f aca="false">IF(OR(OR(NOT(AND(ISNUMBER(E236),ISNUMBER(F236))),$J$2=""),4&gt;MAX(1,Reprogramaciones!$U$15)),"",IF(Reprogramaciones!N$12&gt;=7,"",IF(OR(BW236-N(BV236)&gt;0.05,N(T236)&gt;0),ROUNDDOWN(ROUND(BW236,6),0)&amp;"%"&amp;IF(CM236="",""," / "&amp;CM236&amp;"%"),IF(AND(N(BV236)&gt;=99.95,CM236&lt;&gt;"",N(CM236)&lt;100),"Pend. "&amp;CM236&amp;"%",""))))</f>
        <v/>
      </c>
      <c r="AQ236" s="40" t="str">
        <f aca="false">IF(OR(OR(NOT(AND(ISNUMBER(E236),ISNUMBER(F236))),$J$2=""),5&gt;MAX(1,Reprogramaciones!$U$15)),"",IF(Reprogramaciones!O$12&gt;=7,"",IF(OR(BX236-N(BW236)&gt;0.05,N(U236)&gt;0),ROUNDDOWN(ROUND(BX236,6),0)&amp;"%"&amp;IF(CN236="",""," / "&amp;CN236&amp;"%"),IF(AND(N(BW236)&gt;=99.95,CN236&lt;&gt;"",N(CN236)&lt;100),"Pend. "&amp;CN236&amp;"%",""))))</f>
        <v/>
      </c>
      <c r="AR236" s="40" t="str">
        <f aca="false">IF(OR(OR(NOT(AND(ISNUMBER(E236),ISNUMBER(F236))),$J$2=""),6&gt;MAX(1,Reprogramaciones!$U$15)),"",IF(Reprogramaciones!P$12&gt;=7,"",IF(OR(BY236-N(BX236)&gt;0.05,N(V236)&gt;0),ROUNDDOWN(ROUND(BY236,6),0)&amp;"%"&amp;IF(CO236="",""," / "&amp;CO236&amp;"%"),IF(AND(N(BX236)&gt;=99.95,CO236&lt;&gt;"",N(CO236)&lt;100),"Pend. "&amp;CO236&amp;"%",""))))</f>
        <v/>
      </c>
      <c r="AS236" s="40" t="str">
        <f aca="false">IF(OR(OR(NOT(AND(ISNUMBER(E236),ISNUMBER(F236))),$J$2=""),7&gt;MAX(1,Reprogramaciones!$U$15)),"",IF(Reprogramaciones!Q$12&gt;=7,"",IF(OR(BZ236-N(BY236)&gt;0.05,N(W236)&gt;0),ROUNDDOWN(ROUND(BZ236,6),0)&amp;"%"&amp;IF(CP236="",""," / "&amp;CP236&amp;"%"),IF(AND(N(BY236)&gt;=99.95,CP236&lt;&gt;"",N(CP236)&lt;100),"Pend. "&amp;CP236&amp;"%",""))))</f>
        <v/>
      </c>
      <c r="AT236" s="40" t="str">
        <f aca="false">IF(OR(OR(NOT(AND(ISNUMBER(E236),ISNUMBER(F236))),$J$2=""),8&gt;MAX(1,Reprogramaciones!$U$15)),"",IF(Reprogramaciones!R$12&gt;=7,"",IF(OR(CA236-N(BZ236)&gt;0.05,N(X236)&gt;0),ROUNDDOWN(ROUND(CA236,6),0)&amp;"%"&amp;IF(CQ236="",""," / "&amp;CQ236&amp;"%"),IF(AND(N(BZ236)&gt;=99.95,CQ236&lt;&gt;"",N(CQ236)&lt;100),"Pend. "&amp;CQ236&amp;"%",""))))</f>
        <v/>
      </c>
      <c r="AU236" s="40" t="str">
        <f aca="false">IF(OR(OR(NOT(AND(ISNUMBER(E236),ISNUMBER(F236))),$J$2=""),9&gt;MAX(1,Reprogramaciones!$U$15)),"",IF(Reprogramaciones!S$12&gt;=7,"",IF(OR(CB236-N(CA236)&gt;0.05,N(Y236)&gt;0),ROUNDDOWN(ROUND(CB236,6),0)&amp;"%"&amp;IF(CR236="",""," / "&amp;CR236&amp;"%"),IF(AND(N(CA236)&gt;=99.95,CR236&lt;&gt;"",N(CR236)&lt;100),"Pend. "&amp;CR236&amp;"%",""))))</f>
        <v/>
      </c>
      <c r="AV236" s="40" t="str">
        <f aca="false">IF(OR(OR(NOT(AND(ISNUMBER(E236),ISNUMBER(F236))),$J$2=""),10&gt;MAX(1,Reprogramaciones!$U$15)),"",IF(Reprogramaciones!T$12&gt;=7,"",IF(OR(CC236-N(CB236)&gt;0.05,N(Z236)&gt;0),ROUNDDOWN(ROUND(CC236,6),0)&amp;"%"&amp;IF(CS236="",""," / "&amp;CS236&amp;"%"),IF(AND(N(CB236)&gt;=99.95,CS236&lt;&gt;"",N(CS236)&lt;100),"Pend. "&amp;CS236&amp;"%",""))))</f>
        <v/>
      </c>
      <c r="AW236" s="40" t="str">
        <f aca="false">IF(OR(OR(NOT(AND(ISNUMBER(E236),ISNUMBER(F236))),$J$2=""),11&gt;MAX(1,Reprogramaciones!$U$15)),"",IF(Reprogramaciones!U$12&gt;=7,"",IF(OR(CD236-N(CC236)&gt;0.05,N(AA236)&gt;0),ROUNDDOWN(ROUND(CD236,6),0)&amp;"%"&amp;IF(CT236="",""," / "&amp;CT236&amp;"%"),IF(AND(N(CC236)&gt;=99.95,CT236&lt;&gt;"",N(CT236)&lt;100),"Pend. "&amp;CT236&amp;"%",""))))</f>
        <v/>
      </c>
      <c r="AX236" s="40" t="str">
        <f aca="false">IF(OR(OR(NOT(AND(ISNUMBER(E236),ISNUMBER(F236))),$J$2=""),12&gt;MAX(1,Reprogramaciones!$U$15)),"",IF(Reprogramaciones!V$12&gt;=7,"",IF(OR(CE236-N(CD236)&gt;0.05,N(AB236)&gt;0),ROUNDDOWN(ROUND(CE236,6),0)&amp;"%"&amp;IF(CU236="",""," / "&amp;CU236&amp;"%"),IF(AND(N(CD236)&gt;=99.95,CU236&lt;&gt;"",N(CU236)&lt;100),"Pend. "&amp;CU236&amp;"%",""))))</f>
        <v/>
      </c>
      <c r="AY236" s="40" t="str">
        <f aca="false">IF(OR(OR(NOT(AND(ISNUMBER(E236),ISNUMBER(F236))),$J$2=""),13&gt;MAX(1,Reprogramaciones!$U$15)),"",IF(Reprogramaciones!W$12&gt;=7,"",IF(OR(CF236-N(CE236)&gt;0.05,N(AC236)&gt;0),ROUNDDOWN(ROUND(CF236,6),0)&amp;"%"&amp;IF(CV236="",""," / "&amp;CV236&amp;"%"),IF(AND(N(CE236)&gt;=99.95,CV236&lt;&gt;"",N(CV236)&lt;100),"Pend. "&amp;CV236&amp;"%",""))))</f>
        <v/>
      </c>
      <c r="AZ236" s="40" t="str">
        <f aca="false">IF(OR(OR(NOT(AND(ISNUMBER(E236),ISNUMBER(F236))),$J$2=""),14&gt;MAX(1,Reprogramaciones!$U$15)),"",IF(Reprogramaciones!X$12&gt;=7,"",IF(OR(CG236-N(CF236)&gt;0.05,N(AD236)&gt;0),ROUNDDOWN(ROUND(CG236,6),0)&amp;"%"&amp;IF(CW236="",""," / "&amp;CW236&amp;"%"),IF(AND(N(CF236)&gt;=99.95,CW236&lt;&gt;"",N(CW236)&lt;100),"Pend. "&amp;CW236&amp;"%",""))))</f>
        <v/>
      </c>
      <c r="BA236" s="40" t="str">
        <f aca="false">IF(OR(OR(NOT(AND(ISNUMBER(E236),ISNUMBER(F236))),$J$2=""),15&gt;MAX(1,Reprogramaciones!$U$15)),"",IF(Reprogramaciones!Y$12&gt;=7,"",IF(OR(CH236-N(CG236)&gt;0.05,N(AE236)&gt;0),ROUNDDOWN(ROUND(CH236,6),0)&amp;"%"&amp;IF(CX236="",""," / "&amp;CX236&amp;"%"),IF(AND(N(CG236)&gt;=99.95,CX236&lt;&gt;"",N(CX236)&lt;100),"Pend. "&amp;CX236&amp;"%",""))))</f>
        <v/>
      </c>
      <c r="BB236" s="40" t="str">
        <f aca="false">IF(OR(OR(NOT(AND(ISNUMBER(E236),ISNUMBER(F236))),$J$2=""),16&gt;MAX(1,Reprogramaciones!$U$15)),"",IF(Reprogramaciones!Z$12&gt;=7,"",IF(OR(CI236-N(CH236)&gt;0.05,N(AF236)&gt;0),ROUNDDOWN(ROUND(CI236,6),0)&amp;"%"&amp;IF(CY236="",""," / "&amp;CY236&amp;"%"),IF(AND(N(CH236)&gt;=99.95,CY236&lt;&gt;"",N(CY236)&lt;100),"Pend. "&amp;CY236&amp;"%",""))))</f>
        <v/>
      </c>
      <c r="BC236" s="31" t="n">
        <f aca="false">IF(AND(ISNUMBER(E236),ISNUMBER(F236)),MAX(1,NETWORKDAYS.INTL(E236,F236,11)),0)</f>
        <v>0</v>
      </c>
      <c r="BD236" s="1" t="str">
        <f aca="false">IF(OR(NOT(AND(ISNUMBER(E236),ISNUMBER(F236))),$J$2=""),"",MIN(100,ROUND(SUM($G236:G236),1)))</f>
        <v/>
      </c>
      <c r="BE236" s="1" t="str">
        <f aca="false">IF(OR(NOT(AND(ISNUMBER(E236),ISNUMBER(F236))),$J$2=""),"",MIN(100,ROUND(SUM($G236:H236),1)))</f>
        <v/>
      </c>
      <c r="BF236" s="1" t="str">
        <f aca="false">IF(OR(NOT(AND(ISNUMBER(E236),ISNUMBER(F236))),$J$2=""),"",MIN(100,ROUND(SUM($G236:I236),1)))</f>
        <v/>
      </c>
      <c r="BG236" s="1" t="str">
        <f aca="false">IF(OR(NOT(AND(ISNUMBER(E236),ISNUMBER(F236))),$J$2=""),"",MIN(100,ROUND(SUM($G236:J236),1)))</f>
        <v/>
      </c>
      <c r="BH236" s="1" t="str">
        <f aca="false">IF(OR(NOT(AND(ISNUMBER(E236),ISNUMBER(F236))),$J$2=""),"",MIN(100,ROUND(SUM($G236:K236),1)))</f>
        <v/>
      </c>
      <c r="BI236" s="1" t="str">
        <f aca="false">IF(OR(NOT(AND(ISNUMBER(E236),ISNUMBER(F236))),$J$2=""),"",MIN(100,ROUND(SUM($G236:L236),1)))</f>
        <v/>
      </c>
      <c r="BJ236" s="1" t="str">
        <f aca="false">IF(OR(NOT(AND(ISNUMBER(E236),ISNUMBER(F236))),$J$2=""),"",MIN(100,ROUND(SUM($G236:M236),1)))</f>
        <v/>
      </c>
      <c r="BK236" s="1" t="str">
        <f aca="false">IF(OR(NOT(AND(ISNUMBER(E236),ISNUMBER(F236))),$J$2=""),"",MIN(100,ROUND(SUM($G236:N236),1)))</f>
        <v/>
      </c>
      <c r="BL236" s="1" t="str">
        <f aca="false">IF(OR(NOT(AND(ISNUMBER(E236),ISNUMBER(F236))),$J$2=""),"",MIN(100,ROUND(SUM($G236:O236),1)))</f>
        <v/>
      </c>
      <c r="BM236" s="1" t="str">
        <f aca="false">IF(OR(NOT(AND(ISNUMBER(E236),ISNUMBER(F236))),$J$2=""),"",MIN(100,ROUND(SUM($G236:P236),1)))</f>
        <v/>
      </c>
      <c r="BN236" s="1" t="str">
        <f aca="false">IF(OR(NOT(AND(ISNUMBER(E236),ISNUMBER(F236))),$J$2=""),"",MIN(100,ROUND(SUM($G236:P236),1)))</f>
        <v/>
      </c>
      <c r="BO236" s="1" t="str">
        <f aca="false">IF(OR(NOT(AND(ISNUMBER(E236),ISNUMBER(F236))),$J$2=""),"",MIN(100,ROUND(SUM($G236:P236),1)))</f>
        <v/>
      </c>
      <c r="BP236" s="1" t="str">
        <f aca="false">IF(OR(NOT(AND(ISNUMBER(E236),ISNUMBER(F236))),$J$2=""),"",MIN(100,ROUND(SUM($G236:P236),1)))</f>
        <v/>
      </c>
      <c r="BQ236" s="1" t="str">
        <f aca="false">IF(OR(NOT(AND(ISNUMBER(E236),ISNUMBER(F236))),$J$2=""),"",MIN(100,ROUND(SUM($G236:P236),1)))</f>
        <v/>
      </c>
      <c r="BR236" s="1" t="str">
        <f aca="false">IF(OR(NOT(AND(ISNUMBER(E236),ISNUMBER(F236))),$J$2=""),"",MIN(100,ROUND(SUM($G236:P236),1)))</f>
        <v/>
      </c>
      <c r="BS236" s="1" t="str">
        <f aca="false">IF(OR(NOT(AND(ISNUMBER(E236),ISNUMBER(F236))),$J$2=""),"",MIN(100,ROUND(SUM($G236:P236),1)))</f>
        <v/>
      </c>
      <c r="BT236" s="1" t="str">
        <f aca="false">IF(OR(NOT(AND(ISNUMBER(E236),ISNUMBER(F236))),$J$2=""),"",IF(Reprogramaciones!K$13&lt;Reprogramaciones!$T$15,0,IF(Reprogramaciones!K$14&gt;10,MIN(100,SUM($G236:$P236)),MIN(100,SUMPRODUCT((COLUMN($G236:$P236)-COLUMN($G236)+1&lt;Reprogramaciones!K$14)*$G236:$P236)+N(INDEX($G236:$P236,1,Reprogramaciones!K$14))*IF(Reprogramaciones!K$13&gt;=(Reprogramaciones!$T$15+7*(Reprogramaciones!K$14-1))+6,1,IF(MAX(0,NETWORKDAYS.INTL(MAX(E236,(Reprogramaciones!$T$15+7*(Reprogramaciones!K$14-1))),MIN(F236,(Reprogramaciones!$T$15+7*(Reprogramaciones!K$14-1))+6),11))=0,0,MAX(0,NETWORKDAYS.INTL(MAX(E236,(Reprogramaciones!$T$15+7*(Reprogramaciones!K$14-1))),MIN(F236,Reprogramaciones!K$13),11))/MAX(0,NETWORKDAYS.INTL(MAX(E236,(Reprogramaciones!$T$15+7*(Reprogramaciones!K$14-1))),MIN(F236,(Reprogramaciones!$T$15+7*(Reprogramaciones!K$14-1))+6),11))))))))</f>
        <v/>
      </c>
      <c r="BU236" s="1" t="str">
        <f aca="false">IF(OR(NOT(AND(ISNUMBER(E236),ISNUMBER(F236))),$J$2=""),"",IF(Reprogramaciones!L$13&lt;Reprogramaciones!$T$15,0,IF(Reprogramaciones!L$14&gt;10,MIN(100,SUM($G236:$P236)),MIN(100,SUMPRODUCT((COLUMN($G236:$P236)-COLUMN($G236)+1&lt;Reprogramaciones!L$14)*$G236:$P236)+N(INDEX($G236:$P236,1,Reprogramaciones!L$14))*IF(Reprogramaciones!L$13&gt;=(Reprogramaciones!$T$15+7*(Reprogramaciones!L$14-1))+6,1,IF(MAX(0,NETWORKDAYS.INTL(MAX(E236,(Reprogramaciones!$T$15+7*(Reprogramaciones!L$14-1))),MIN(F236,(Reprogramaciones!$T$15+7*(Reprogramaciones!L$14-1))+6),11))=0,0,MAX(0,NETWORKDAYS.INTL(MAX(E236,(Reprogramaciones!$T$15+7*(Reprogramaciones!L$14-1))),MIN(F236,Reprogramaciones!L$13),11))/MAX(0,NETWORKDAYS.INTL(MAX(E236,(Reprogramaciones!$T$15+7*(Reprogramaciones!L$14-1))),MIN(F236,(Reprogramaciones!$T$15+7*(Reprogramaciones!L$14-1))+6),11))))))))</f>
        <v/>
      </c>
      <c r="BV236" s="1" t="str">
        <f aca="false">IF(OR(NOT(AND(ISNUMBER(E236),ISNUMBER(F236))),$J$2=""),"",IF(Reprogramaciones!M$13&lt;Reprogramaciones!$T$15,0,IF(Reprogramaciones!M$14&gt;10,MIN(100,SUM($G236:$P236)),MIN(100,SUMPRODUCT((COLUMN($G236:$P236)-COLUMN($G236)+1&lt;Reprogramaciones!M$14)*$G236:$P236)+N(INDEX($G236:$P236,1,Reprogramaciones!M$14))*IF(Reprogramaciones!M$13&gt;=(Reprogramaciones!$T$15+7*(Reprogramaciones!M$14-1))+6,1,IF(MAX(0,NETWORKDAYS.INTL(MAX(E236,(Reprogramaciones!$T$15+7*(Reprogramaciones!M$14-1))),MIN(F236,(Reprogramaciones!$T$15+7*(Reprogramaciones!M$14-1))+6),11))=0,0,MAX(0,NETWORKDAYS.INTL(MAX(E236,(Reprogramaciones!$T$15+7*(Reprogramaciones!M$14-1))),MIN(F236,Reprogramaciones!M$13),11))/MAX(0,NETWORKDAYS.INTL(MAX(E236,(Reprogramaciones!$T$15+7*(Reprogramaciones!M$14-1))),MIN(F236,(Reprogramaciones!$T$15+7*(Reprogramaciones!M$14-1))+6),11))))))))</f>
        <v/>
      </c>
      <c r="BW236" s="1" t="str">
        <f aca="false">IF(OR(NOT(AND(ISNUMBER(E236),ISNUMBER(F236))),$J$2=""),"",IF(Reprogramaciones!N$13&lt;Reprogramaciones!$T$15,0,IF(Reprogramaciones!N$14&gt;10,MIN(100,SUM($G236:$P236)),MIN(100,SUMPRODUCT((COLUMN($G236:$P236)-COLUMN($G236)+1&lt;Reprogramaciones!N$14)*$G236:$P236)+N(INDEX($G236:$P236,1,Reprogramaciones!N$14))*IF(Reprogramaciones!N$13&gt;=(Reprogramaciones!$T$15+7*(Reprogramaciones!N$14-1))+6,1,IF(MAX(0,NETWORKDAYS.INTL(MAX(E236,(Reprogramaciones!$T$15+7*(Reprogramaciones!N$14-1))),MIN(F236,(Reprogramaciones!$T$15+7*(Reprogramaciones!N$14-1))+6),11))=0,0,MAX(0,NETWORKDAYS.INTL(MAX(E236,(Reprogramaciones!$T$15+7*(Reprogramaciones!N$14-1))),MIN(F236,Reprogramaciones!N$13),11))/MAX(0,NETWORKDAYS.INTL(MAX(E236,(Reprogramaciones!$T$15+7*(Reprogramaciones!N$14-1))),MIN(F236,(Reprogramaciones!$T$15+7*(Reprogramaciones!N$14-1))+6),11))))))))</f>
        <v/>
      </c>
      <c r="BX236" s="1" t="str">
        <f aca="false">IF(OR(NOT(AND(ISNUMBER(E236),ISNUMBER(F236))),$J$2=""),"",IF(Reprogramaciones!O$13&lt;Reprogramaciones!$T$15,0,IF(Reprogramaciones!O$14&gt;10,MIN(100,SUM($G236:$P236)),MIN(100,SUMPRODUCT((COLUMN($G236:$P236)-COLUMN($G236)+1&lt;Reprogramaciones!O$14)*$G236:$P236)+N(INDEX($G236:$P236,1,Reprogramaciones!O$14))*IF(Reprogramaciones!O$13&gt;=(Reprogramaciones!$T$15+7*(Reprogramaciones!O$14-1))+6,1,IF(MAX(0,NETWORKDAYS.INTL(MAX(E236,(Reprogramaciones!$T$15+7*(Reprogramaciones!O$14-1))),MIN(F236,(Reprogramaciones!$T$15+7*(Reprogramaciones!O$14-1))+6),11))=0,0,MAX(0,NETWORKDAYS.INTL(MAX(E236,(Reprogramaciones!$T$15+7*(Reprogramaciones!O$14-1))),MIN(F236,Reprogramaciones!O$13),11))/MAX(0,NETWORKDAYS.INTL(MAX(E236,(Reprogramaciones!$T$15+7*(Reprogramaciones!O$14-1))),MIN(F236,(Reprogramaciones!$T$15+7*(Reprogramaciones!O$14-1))+6),11))))))))</f>
        <v/>
      </c>
      <c r="BY236" s="1" t="str">
        <f aca="false">IF(OR(NOT(AND(ISNUMBER(E236),ISNUMBER(F236))),$J$2=""),"",IF(Reprogramaciones!P$13&lt;Reprogramaciones!$T$15,0,IF(Reprogramaciones!P$14&gt;10,MIN(100,SUM($G236:$P236)),MIN(100,SUMPRODUCT((COLUMN($G236:$P236)-COLUMN($G236)+1&lt;Reprogramaciones!P$14)*$G236:$P236)+N(INDEX($G236:$P236,1,Reprogramaciones!P$14))*IF(Reprogramaciones!P$13&gt;=(Reprogramaciones!$T$15+7*(Reprogramaciones!P$14-1))+6,1,IF(MAX(0,NETWORKDAYS.INTL(MAX(E236,(Reprogramaciones!$T$15+7*(Reprogramaciones!P$14-1))),MIN(F236,(Reprogramaciones!$T$15+7*(Reprogramaciones!P$14-1))+6),11))=0,0,MAX(0,NETWORKDAYS.INTL(MAX(E236,(Reprogramaciones!$T$15+7*(Reprogramaciones!P$14-1))),MIN(F236,Reprogramaciones!P$13),11))/MAX(0,NETWORKDAYS.INTL(MAX(E236,(Reprogramaciones!$T$15+7*(Reprogramaciones!P$14-1))),MIN(F236,(Reprogramaciones!$T$15+7*(Reprogramaciones!P$14-1))+6),11))))))))</f>
        <v/>
      </c>
      <c r="BZ236" s="1" t="str">
        <f aca="false">IF(OR(NOT(AND(ISNUMBER(E236),ISNUMBER(F236))),$J$2=""),"",IF(Reprogramaciones!Q$13&lt;Reprogramaciones!$T$15,0,IF(Reprogramaciones!Q$14&gt;10,MIN(100,SUM($G236:$P236)),MIN(100,SUMPRODUCT((COLUMN($G236:$P236)-COLUMN($G236)+1&lt;Reprogramaciones!Q$14)*$G236:$P236)+N(INDEX($G236:$P236,1,Reprogramaciones!Q$14))*IF(Reprogramaciones!Q$13&gt;=(Reprogramaciones!$T$15+7*(Reprogramaciones!Q$14-1))+6,1,IF(MAX(0,NETWORKDAYS.INTL(MAX(E236,(Reprogramaciones!$T$15+7*(Reprogramaciones!Q$14-1))),MIN(F236,(Reprogramaciones!$T$15+7*(Reprogramaciones!Q$14-1))+6),11))=0,0,MAX(0,NETWORKDAYS.INTL(MAX(E236,(Reprogramaciones!$T$15+7*(Reprogramaciones!Q$14-1))),MIN(F236,Reprogramaciones!Q$13),11))/MAX(0,NETWORKDAYS.INTL(MAX(E236,(Reprogramaciones!$T$15+7*(Reprogramaciones!Q$14-1))),MIN(F236,(Reprogramaciones!$T$15+7*(Reprogramaciones!Q$14-1))+6),11))))))))</f>
        <v/>
      </c>
      <c r="CA236" s="1" t="str">
        <f aca="false">IF(OR(NOT(AND(ISNUMBER(E236),ISNUMBER(F236))),$J$2=""),"",IF(Reprogramaciones!R$13&lt;Reprogramaciones!$T$15,0,IF(Reprogramaciones!R$14&gt;10,MIN(100,SUM($G236:$P236)),MIN(100,SUMPRODUCT((COLUMN($G236:$P236)-COLUMN($G236)+1&lt;Reprogramaciones!R$14)*$G236:$P236)+N(INDEX($G236:$P236,1,Reprogramaciones!R$14))*IF(Reprogramaciones!R$13&gt;=(Reprogramaciones!$T$15+7*(Reprogramaciones!R$14-1))+6,1,IF(MAX(0,NETWORKDAYS.INTL(MAX(E236,(Reprogramaciones!$T$15+7*(Reprogramaciones!R$14-1))),MIN(F236,(Reprogramaciones!$T$15+7*(Reprogramaciones!R$14-1))+6),11))=0,0,MAX(0,NETWORKDAYS.INTL(MAX(E236,(Reprogramaciones!$T$15+7*(Reprogramaciones!R$14-1))),MIN(F236,Reprogramaciones!R$13),11))/MAX(0,NETWORKDAYS.INTL(MAX(E236,(Reprogramaciones!$T$15+7*(Reprogramaciones!R$14-1))),MIN(F236,(Reprogramaciones!$T$15+7*(Reprogramaciones!R$14-1))+6),11))))))))</f>
        <v/>
      </c>
      <c r="CB236" s="1" t="str">
        <f aca="false">IF(OR(NOT(AND(ISNUMBER(E236),ISNUMBER(F236))),$J$2=""),"",IF(Reprogramaciones!S$13&lt;Reprogramaciones!$T$15,0,IF(Reprogramaciones!S$14&gt;10,MIN(100,SUM($G236:$P236)),MIN(100,SUMPRODUCT((COLUMN($G236:$P236)-COLUMN($G236)+1&lt;Reprogramaciones!S$14)*$G236:$P236)+N(INDEX($G236:$P236,1,Reprogramaciones!S$14))*IF(Reprogramaciones!S$13&gt;=(Reprogramaciones!$T$15+7*(Reprogramaciones!S$14-1))+6,1,IF(MAX(0,NETWORKDAYS.INTL(MAX(E236,(Reprogramaciones!$T$15+7*(Reprogramaciones!S$14-1))),MIN(F236,(Reprogramaciones!$T$15+7*(Reprogramaciones!S$14-1))+6),11))=0,0,MAX(0,NETWORKDAYS.INTL(MAX(E236,(Reprogramaciones!$T$15+7*(Reprogramaciones!S$14-1))),MIN(F236,Reprogramaciones!S$13),11))/MAX(0,NETWORKDAYS.INTL(MAX(E236,(Reprogramaciones!$T$15+7*(Reprogramaciones!S$14-1))),MIN(F236,(Reprogramaciones!$T$15+7*(Reprogramaciones!S$14-1))+6),11))))))))</f>
        <v/>
      </c>
      <c r="CC236" s="1" t="str">
        <f aca="false">IF(OR(NOT(AND(ISNUMBER(E236),ISNUMBER(F236))),$J$2=""),"",IF(Reprogramaciones!T$13&lt;Reprogramaciones!$T$15,0,IF(Reprogramaciones!T$14&gt;10,MIN(100,SUM($G236:$P236)),MIN(100,SUMPRODUCT((COLUMN($G236:$P236)-COLUMN($G236)+1&lt;Reprogramaciones!T$14)*$G236:$P236)+N(INDEX($G236:$P236,1,Reprogramaciones!T$14))*IF(Reprogramaciones!T$13&gt;=(Reprogramaciones!$T$15+7*(Reprogramaciones!T$14-1))+6,1,IF(MAX(0,NETWORKDAYS.INTL(MAX(E236,(Reprogramaciones!$T$15+7*(Reprogramaciones!T$14-1))),MIN(F236,(Reprogramaciones!$T$15+7*(Reprogramaciones!T$14-1))+6),11))=0,0,MAX(0,NETWORKDAYS.INTL(MAX(E236,(Reprogramaciones!$T$15+7*(Reprogramaciones!T$14-1))),MIN(F236,Reprogramaciones!T$13),11))/MAX(0,NETWORKDAYS.INTL(MAX(E236,(Reprogramaciones!$T$15+7*(Reprogramaciones!T$14-1))),MIN(F236,(Reprogramaciones!$T$15+7*(Reprogramaciones!T$14-1))+6),11))))))))</f>
        <v/>
      </c>
      <c r="CD236" s="1" t="str">
        <f aca="false">IF(OR(NOT(AND(ISNUMBER(E236),ISNUMBER(F236))),$J$2=""),"",IF(Reprogramaciones!U$13&lt;Reprogramaciones!$T$15,0,IF(Reprogramaciones!U$14&gt;10,MIN(100,SUM($G236:$P236)),MIN(100,SUMPRODUCT((COLUMN($G236:$P236)-COLUMN($G236)+1&lt;Reprogramaciones!U$14)*$G236:$P236)+N(INDEX($G236:$P236,1,Reprogramaciones!U$14))*IF(Reprogramaciones!U$13&gt;=(Reprogramaciones!$T$15+7*(Reprogramaciones!U$14-1))+6,1,IF(MAX(0,NETWORKDAYS.INTL(MAX(E236,(Reprogramaciones!$T$15+7*(Reprogramaciones!U$14-1))),MIN(F236,(Reprogramaciones!$T$15+7*(Reprogramaciones!U$14-1))+6),11))=0,0,MAX(0,NETWORKDAYS.INTL(MAX(E236,(Reprogramaciones!$T$15+7*(Reprogramaciones!U$14-1))),MIN(F236,Reprogramaciones!U$13),11))/MAX(0,NETWORKDAYS.INTL(MAX(E236,(Reprogramaciones!$T$15+7*(Reprogramaciones!U$14-1))),MIN(F236,(Reprogramaciones!$T$15+7*(Reprogramaciones!U$14-1))+6),11))))))))</f>
        <v/>
      </c>
      <c r="CE236" s="1" t="str">
        <f aca="false">IF(OR(NOT(AND(ISNUMBER(E236),ISNUMBER(F236))),$J$2=""),"",IF(Reprogramaciones!V$13&lt;Reprogramaciones!$T$15,0,IF(Reprogramaciones!V$14&gt;10,MIN(100,SUM($G236:$P236)),MIN(100,SUMPRODUCT((COLUMN($G236:$P236)-COLUMN($G236)+1&lt;Reprogramaciones!V$14)*$G236:$P236)+N(INDEX($G236:$P236,1,Reprogramaciones!V$14))*IF(Reprogramaciones!V$13&gt;=(Reprogramaciones!$T$15+7*(Reprogramaciones!V$14-1))+6,1,IF(MAX(0,NETWORKDAYS.INTL(MAX(E236,(Reprogramaciones!$T$15+7*(Reprogramaciones!V$14-1))),MIN(F236,(Reprogramaciones!$T$15+7*(Reprogramaciones!V$14-1))+6),11))=0,0,MAX(0,NETWORKDAYS.INTL(MAX(E236,(Reprogramaciones!$T$15+7*(Reprogramaciones!V$14-1))),MIN(F236,Reprogramaciones!V$13),11))/MAX(0,NETWORKDAYS.INTL(MAX(E236,(Reprogramaciones!$T$15+7*(Reprogramaciones!V$14-1))),MIN(F236,(Reprogramaciones!$T$15+7*(Reprogramaciones!V$14-1))+6),11))))))))</f>
        <v/>
      </c>
      <c r="CF236" s="1" t="str">
        <f aca="false">IF(OR(NOT(AND(ISNUMBER(E236),ISNUMBER(F236))),$J$2=""),"",IF(Reprogramaciones!W$13&lt;Reprogramaciones!$T$15,0,IF(Reprogramaciones!W$14&gt;10,MIN(100,SUM($G236:$P236)),MIN(100,SUMPRODUCT((COLUMN($G236:$P236)-COLUMN($G236)+1&lt;Reprogramaciones!W$14)*$G236:$P236)+N(INDEX($G236:$P236,1,Reprogramaciones!W$14))*IF(Reprogramaciones!W$13&gt;=(Reprogramaciones!$T$15+7*(Reprogramaciones!W$14-1))+6,1,IF(MAX(0,NETWORKDAYS.INTL(MAX(E236,(Reprogramaciones!$T$15+7*(Reprogramaciones!W$14-1))),MIN(F236,(Reprogramaciones!$T$15+7*(Reprogramaciones!W$14-1))+6),11))=0,0,MAX(0,NETWORKDAYS.INTL(MAX(E236,(Reprogramaciones!$T$15+7*(Reprogramaciones!W$14-1))),MIN(F236,Reprogramaciones!W$13),11))/MAX(0,NETWORKDAYS.INTL(MAX(E236,(Reprogramaciones!$T$15+7*(Reprogramaciones!W$14-1))),MIN(F236,(Reprogramaciones!$T$15+7*(Reprogramaciones!W$14-1))+6),11))))))))</f>
        <v/>
      </c>
      <c r="CG236" s="1" t="str">
        <f aca="false">IF(OR(NOT(AND(ISNUMBER(E236),ISNUMBER(F236))),$J$2=""),"",IF(Reprogramaciones!X$13&lt;Reprogramaciones!$T$15,0,IF(Reprogramaciones!X$14&gt;10,MIN(100,SUM($G236:$P236)),MIN(100,SUMPRODUCT((COLUMN($G236:$P236)-COLUMN($G236)+1&lt;Reprogramaciones!X$14)*$G236:$P236)+N(INDEX($G236:$P236,1,Reprogramaciones!X$14))*IF(Reprogramaciones!X$13&gt;=(Reprogramaciones!$T$15+7*(Reprogramaciones!X$14-1))+6,1,IF(MAX(0,NETWORKDAYS.INTL(MAX(E236,(Reprogramaciones!$T$15+7*(Reprogramaciones!X$14-1))),MIN(F236,(Reprogramaciones!$T$15+7*(Reprogramaciones!X$14-1))+6),11))=0,0,MAX(0,NETWORKDAYS.INTL(MAX(E236,(Reprogramaciones!$T$15+7*(Reprogramaciones!X$14-1))),MIN(F236,Reprogramaciones!X$13),11))/MAX(0,NETWORKDAYS.INTL(MAX(E236,(Reprogramaciones!$T$15+7*(Reprogramaciones!X$14-1))),MIN(F236,(Reprogramaciones!$T$15+7*(Reprogramaciones!X$14-1))+6),11))))))))</f>
        <v/>
      </c>
      <c r="CH236" s="1" t="str">
        <f aca="false">IF(OR(NOT(AND(ISNUMBER(E236),ISNUMBER(F236))),$J$2=""),"",IF(Reprogramaciones!Y$13&lt;Reprogramaciones!$T$15,0,IF(Reprogramaciones!Y$14&gt;10,MIN(100,SUM($G236:$P236)),MIN(100,SUMPRODUCT((COLUMN($G236:$P236)-COLUMN($G236)+1&lt;Reprogramaciones!Y$14)*$G236:$P236)+N(INDEX($G236:$P236,1,Reprogramaciones!Y$14))*IF(Reprogramaciones!Y$13&gt;=(Reprogramaciones!$T$15+7*(Reprogramaciones!Y$14-1))+6,1,IF(MAX(0,NETWORKDAYS.INTL(MAX(E236,(Reprogramaciones!$T$15+7*(Reprogramaciones!Y$14-1))),MIN(F236,(Reprogramaciones!$T$15+7*(Reprogramaciones!Y$14-1))+6),11))=0,0,MAX(0,NETWORKDAYS.INTL(MAX(E236,(Reprogramaciones!$T$15+7*(Reprogramaciones!Y$14-1))),MIN(F236,Reprogramaciones!Y$13),11))/MAX(0,NETWORKDAYS.INTL(MAX(E236,(Reprogramaciones!$T$15+7*(Reprogramaciones!Y$14-1))),MIN(F236,(Reprogramaciones!$T$15+7*(Reprogramaciones!Y$14-1))+6),11))))))))</f>
        <v/>
      </c>
      <c r="CI236" s="1" t="str">
        <f aca="false">IF(OR(NOT(AND(ISNUMBER(E236),ISNUMBER(F236))),$J$2=""),"",IF(Reprogramaciones!Z$13&lt;Reprogramaciones!$T$15,0,IF(Reprogramaciones!Z$14&gt;10,MIN(100,SUM($G236:$P236)),MIN(100,SUMPRODUCT((COLUMN($G236:$P236)-COLUMN($G236)+1&lt;Reprogramaciones!Z$14)*$G236:$P236)+N(INDEX($G236:$P236,1,Reprogramaciones!Z$14))*IF(Reprogramaciones!Z$13&gt;=(Reprogramaciones!$T$15+7*(Reprogramaciones!Z$14-1))+6,1,IF(MAX(0,NETWORKDAYS.INTL(MAX(E236,(Reprogramaciones!$T$15+7*(Reprogramaciones!Z$14-1))),MIN(F236,(Reprogramaciones!$T$15+7*(Reprogramaciones!Z$14-1))+6),11))=0,0,MAX(0,NETWORKDAYS.INTL(MAX(E236,(Reprogramaciones!$T$15+7*(Reprogramaciones!Z$14-1))),MIN(F236,Reprogramaciones!Z$13),11))/MAX(0,NETWORKDAYS.INTL(MAX(E236,(Reprogramaciones!$T$15+7*(Reprogramaciones!Z$14-1))),MIN(F236,(Reprogramaciones!$T$15+7*(Reprogramaciones!Z$14-1))+6),11))))))))</f>
        <v/>
      </c>
      <c r="CJ236" s="1" t="str">
        <f aca="false">IF(OR(OR(NOT(AND(ISNUMBER(E236),ISNUMBER(F236))),$J$2=""),1&gt;Reprogramaciones!$K$16),"",IF(ROUND(SUM($Q236:Q236),1)&gt;=99.5,100,MIN(100,ROUND(SUM($Q236:Q236),1))))</f>
        <v/>
      </c>
      <c r="CK236" s="1" t="str">
        <f aca="false">IF(OR(OR(NOT(AND(ISNUMBER(E236),ISNUMBER(F236))),$J$2=""),2&gt;Reprogramaciones!$K$16),"",IF(ROUND(SUM($Q236:R236),1)&gt;=99.5,100,MIN(100,ROUND(SUM($Q236:R236),1))))</f>
        <v/>
      </c>
      <c r="CL236" s="1" t="str">
        <f aca="false">IF(OR(OR(NOT(AND(ISNUMBER(E236),ISNUMBER(F236))),$J$2=""),3&gt;Reprogramaciones!$K$16),"",IF(ROUND(SUM($Q236:S236),1)&gt;=99.5,100,MIN(100,ROUND(SUM($Q236:S236),1))))</f>
        <v/>
      </c>
      <c r="CM236" s="1" t="str">
        <f aca="false">IF(OR(OR(NOT(AND(ISNUMBER(E236),ISNUMBER(F236))),$J$2=""),4&gt;Reprogramaciones!$K$16),"",IF(ROUND(SUM($Q236:T236),1)&gt;=99.5,100,MIN(100,ROUND(SUM($Q236:T236),1))))</f>
        <v/>
      </c>
      <c r="CN236" s="1" t="str">
        <f aca="false">IF(OR(OR(NOT(AND(ISNUMBER(E236),ISNUMBER(F236))),$J$2=""),5&gt;Reprogramaciones!$K$16),"",IF(ROUND(SUM($Q236:U236),1)&gt;=99.5,100,MIN(100,ROUND(SUM($Q236:U236),1))))</f>
        <v/>
      </c>
      <c r="CO236" s="1" t="str">
        <f aca="false">IF(OR(OR(NOT(AND(ISNUMBER(E236),ISNUMBER(F236))),$J$2=""),6&gt;Reprogramaciones!$K$16),"",IF(ROUND(SUM($Q236:V236),1)&gt;=99.5,100,MIN(100,ROUND(SUM($Q236:V236),1))))</f>
        <v/>
      </c>
      <c r="CP236" s="1" t="str">
        <f aca="false">IF(OR(OR(NOT(AND(ISNUMBER(E236),ISNUMBER(F236))),$J$2=""),7&gt;Reprogramaciones!$K$16),"",IF(ROUND(SUM($Q236:W236),1)&gt;=99.5,100,MIN(100,ROUND(SUM($Q236:W236),1))))</f>
        <v/>
      </c>
      <c r="CQ236" s="1" t="str">
        <f aca="false">IF(OR(OR(NOT(AND(ISNUMBER(E236),ISNUMBER(F236))),$J$2=""),8&gt;Reprogramaciones!$K$16),"",IF(ROUND(SUM($Q236:X236),1)&gt;=99.5,100,MIN(100,ROUND(SUM($Q236:X236),1))))</f>
        <v/>
      </c>
      <c r="CR236" s="1" t="str">
        <f aca="false">IF(OR(OR(NOT(AND(ISNUMBER(E236),ISNUMBER(F236))),$J$2=""),9&gt;Reprogramaciones!$K$16),"",IF(ROUND(SUM($Q236:Y236),1)&gt;=99.5,100,MIN(100,ROUND(SUM($Q236:Y236),1))))</f>
        <v/>
      </c>
      <c r="CS236" s="1" t="str">
        <f aca="false">IF(OR(OR(NOT(AND(ISNUMBER(E236),ISNUMBER(F236))),$J$2=""),10&gt;Reprogramaciones!$K$16),"",IF(ROUND(SUM($Q236:Z236),1)&gt;=99.5,100,MIN(100,ROUND(SUM($Q236:Z236),1))))</f>
        <v/>
      </c>
      <c r="CT236" s="1" t="str">
        <f aca="false">IF(OR(OR(NOT(AND(ISNUMBER(E236),ISNUMBER(F236))),$J$2=""),11&gt;Reprogramaciones!$K$16),"",IF(ROUND(SUM($Q236:AA236),1)&gt;=99.5,100,MIN(100,ROUND(SUM($Q236:AA236),1))))</f>
        <v/>
      </c>
      <c r="CU236" s="1" t="str">
        <f aca="false">IF(OR(OR(NOT(AND(ISNUMBER(E236),ISNUMBER(F236))),$J$2=""),12&gt;Reprogramaciones!$K$16),"",IF(ROUND(SUM($Q236:AB236),1)&gt;=99.5,100,MIN(100,ROUND(SUM($Q236:AB236),1))))</f>
        <v/>
      </c>
      <c r="CV236" s="1" t="str">
        <f aca="false">IF(OR(OR(NOT(AND(ISNUMBER(E236),ISNUMBER(F236))),$J$2=""),13&gt;Reprogramaciones!$K$16),"",IF(ROUND(SUM($Q236:AC236),1)&gt;=99.5,100,MIN(100,ROUND(SUM($Q236:AC236),1))))</f>
        <v/>
      </c>
      <c r="CW236" s="1" t="str">
        <f aca="false">IF(OR(OR(NOT(AND(ISNUMBER(E236),ISNUMBER(F236))),$J$2=""),14&gt;Reprogramaciones!$K$16),"",IF(ROUND(SUM($Q236:AD236),1)&gt;=99.5,100,MIN(100,ROUND(SUM($Q236:AD236),1))))</f>
        <v/>
      </c>
      <c r="CX236" s="1" t="str">
        <f aca="false">IF(OR(OR(NOT(AND(ISNUMBER(E236),ISNUMBER(F236))),$J$2=""),15&gt;Reprogramaciones!$K$16),"",IF(ROUND(SUM($Q236:AE236),1)&gt;=99.5,100,MIN(100,ROUND(SUM($Q236:AE236),1))))</f>
        <v/>
      </c>
      <c r="CY236" s="1" t="str">
        <f aca="false">IF(OR(OR(NOT(AND(ISNUMBER(E236),ISNUMBER(F236))),$J$2=""),16&gt;Reprogramaciones!$K$16),"",IF(ROUND(SUM($Q236:AF236),1)&gt;=99.5,100,MIN(100,ROUND(SUM($Q236:AF236),1))))</f>
        <v/>
      </c>
      <c r="CZ236" s="1" t="str">
        <f aca="false">IF(D236&lt;&gt;"",D236,IF(B236&lt;&gt;"","Contractual",CZ235))</f>
        <v>Contractual</v>
      </c>
      <c r="DA236" s="1" t="str">
        <f aca="false">IF(OR(NOT(AND(ISNUMBER(E236),ISNUMBER(F236))),$J$2=""),"",IF(Reprogramaciones!$Q$15&lt;Reprogramaciones!$T$15,0,IF(Reprogramaciones!$S$15&gt;10,MIN(100,SUM($G236:$P236)),MIN(100,SUMPRODUCT((COLUMN($G236:$P236)-COLUMN($G236)+1&lt;Reprogramaciones!$S$15)*$G236:$P236)+N(INDEX($G236:$P236,1,Reprogramaciones!$S$15))*IF(Reprogramaciones!$Q$15&gt;=(Reprogramaciones!$T$15+7*(Reprogramaciones!$S$15-1))+6,1,IF(MAX(0,NETWORKDAYS.INTL(MAX(E236,(Reprogramaciones!$T$15+7*(Reprogramaciones!$S$15-1))),MIN(F236,(Reprogramaciones!$T$15+7*(Reprogramaciones!$S$15-1))+6),11))=0,0,MAX(0,NETWORKDAYS.INTL(MAX(E236,(Reprogramaciones!$T$15+7*(Reprogramaciones!$S$15-1))),MIN(F236,Reprogramaciones!$Q$15),11))/MAX(0,NETWORKDAYS.INTL(MAX(E236,(Reprogramaciones!$T$15+7*(Reprogramaciones!$S$15-1))),MIN(F236,(Reprogramaciones!$T$15+7*(Reprogramaciones!$S$15-1))+6),11))))))))</f>
        <v/>
      </c>
    </row>
    <row r="237" customFormat="false" ht="15" hidden="false" customHeight="false" outlineLevel="0" collapsed="false">
      <c r="A237" s="32"/>
      <c r="B237" s="33"/>
      <c r="C237" s="33"/>
      <c r="D237" s="34"/>
      <c r="E237" s="35"/>
      <c r="F237" s="35"/>
      <c r="G237" s="36" t="str">
        <f aca="false">IF(OR(NOT(AND(ISNUMBER(E237),ISNUMBER(F237))),$J$2=""),"",IF(Reprogramaciones!K$9&lt;E237,0,IF(NETWORKDAYS.INTL(E237,F237,11)=0,IF(Reprogramaciones!K$9&gt;=F237,100,0),ROUND(NETWORKDAYS.INTL(E237,MIN(F237,Reprogramaciones!K$9),11)/NETWORKDAYS.INTL(E237,F237,11)*100,1)))-0)</f>
        <v/>
      </c>
      <c r="H237" s="36" t="str">
        <f aca="false">IF(OR(NOT(AND(ISNUMBER(E237),ISNUMBER(F237))),$J$2=""),"",IF(Reprogramaciones!L$9&lt;E237,0,IF(NETWORKDAYS.INTL(E237,F237,11)=0,IF(Reprogramaciones!L$9&gt;=F237,100,0),ROUND(NETWORKDAYS.INTL(E237,MIN(F237,Reprogramaciones!L$9),11)/NETWORKDAYS.INTL(E237,F237,11)*100,1)))-IF(Reprogramaciones!K$9&lt;E237,0,IF(NETWORKDAYS.INTL(E237,F237,11)=0,IF(Reprogramaciones!K$9&gt;=F237,100,0),ROUND(NETWORKDAYS.INTL(E237,MIN(F237,Reprogramaciones!K$9),11)/NETWORKDAYS.INTL(E237,F237,11)*100,1))))</f>
        <v/>
      </c>
      <c r="I237" s="36" t="str">
        <f aca="false">IF(OR(NOT(AND(ISNUMBER(E237),ISNUMBER(F237))),$J$2=""),"",IF(Reprogramaciones!M$9&lt;E237,0,IF(NETWORKDAYS.INTL(E237,F237,11)=0,IF(Reprogramaciones!M$9&gt;=F237,100,0),ROUND(NETWORKDAYS.INTL(E237,MIN(F237,Reprogramaciones!M$9),11)/NETWORKDAYS.INTL(E237,F237,11)*100,1)))-IF(Reprogramaciones!L$9&lt;E237,0,IF(NETWORKDAYS.INTL(E237,F237,11)=0,IF(Reprogramaciones!L$9&gt;=F237,100,0),ROUND(NETWORKDAYS.INTL(E237,MIN(F237,Reprogramaciones!L$9),11)/NETWORKDAYS.INTL(E237,F237,11)*100,1))))</f>
        <v/>
      </c>
      <c r="J237" s="36" t="str">
        <f aca="false">IF(OR(NOT(AND(ISNUMBER(E237),ISNUMBER(F237))),$J$2=""),"",IF(Reprogramaciones!N$9&lt;E237,0,IF(NETWORKDAYS.INTL(E237,F237,11)=0,IF(Reprogramaciones!N$9&gt;=F237,100,0),ROUND(NETWORKDAYS.INTL(E237,MIN(F237,Reprogramaciones!N$9),11)/NETWORKDAYS.INTL(E237,F237,11)*100,1)))-IF(Reprogramaciones!M$9&lt;E237,0,IF(NETWORKDAYS.INTL(E237,F237,11)=0,IF(Reprogramaciones!M$9&gt;=F237,100,0),ROUND(NETWORKDAYS.INTL(E237,MIN(F237,Reprogramaciones!M$9),11)/NETWORKDAYS.INTL(E237,F237,11)*100,1))))</f>
        <v/>
      </c>
      <c r="K237" s="36" t="str">
        <f aca="false">IF(OR(NOT(AND(ISNUMBER(E237),ISNUMBER(F237))),$J$2=""),"",IF(Reprogramaciones!O$9&lt;E237,0,IF(NETWORKDAYS.INTL(E237,F237,11)=0,IF(Reprogramaciones!O$9&gt;=F237,100,0),ROUND(NETWORKDAYS.INTL(E237,MIN(F237,Reprogramaciones!O$9),11)/NETWORKDAYS.INTL(E237,F237,11)*100,1)))-IF(Reprogramaciones!N$9&lt;E237,0,IF(NETWORKDAYS.INTL(E237,F237,11)=0,IF(Reprogramaciones!N$9&gt;=F237,100,0),ROUND(NETWORKDAYS.INTL(E237,MIN(F237,Reprogramaciones!N$9),11)/NETWORKDAYS.INTL(E237,F237,11)*100,1))))</f>
        <v/>
      </c>
      <c r="L237" s="36" t="str">
        <f aca="false">IF(OR(NOT(AND(ISNUMBER(E237),ISNUMBER(F237))),$J$2=""),"",IF(Reprogramaciones!P$9&lt;E237,0,IF(NETWORKDAYS.INTL(E237,F237,11)=0,IF(Reprogramaciones!P$9&gt;=F237,100,0),ROUND(NETWORKDAYS.INTL(E237,MIN(F237,Reprogramaciones!P$9),11)/NETWORKDAYS.INTL(E237,F237,11)*100,1)))-IF(Reprogramaciones!O$9&lt;E237,0,IF(NETWORKDAYS.INTL(E237,F237,11)=0,IF(Reprogramaciones!O$9&gt;=F237,100,0),ROUND(NETWORKDAYS.INTL(E237,MIN(F237,Reprogramaciones!O$9),11)/NETWORKDAYS.INTL(E237,F237,11)*100,1))))</f>
        <v/>
      </c>
      <c r="M237" s="36" t="str">
        <f aca="false">IF(OR(NOT(AND(ISNUMBER(E237),ISNUMBER(F237))),$J$2=""),"",IF(Reprogramaciones!Q$9&lt;E237,0,IF(NETWORKDAYS.INTL(E237,F237,11)=0,IF(Reprogramaciones!Q$9&gt;=F237,100,0),ROUND(NETWORKDAYS.INTL(E237,MIN(F237,Reprogramaciones!Q$9),11)/NETWORKDAYS.INTL(E237,F237,11)*100,1)))-IF(Reprogramaciones!P$9&lt;E237,0,IF(NETWORKDAYS.INTL(E237,F237,11)=0,IF(Reprogramaciones!P$9&gt;=F237,100,0),ROUND(NETWORKDAYS.INTL(E237,MIN(F237,Reprogramaciones!P$9),11)/NETWORKDAYS.INTL(E237,F237,11)*100,1))))</f>
        <v/>
      </c>
      <c r="N237" s="36" t="str">
        <f aca="false">IF(OR(NOT(AND(ISNUMBER(E237),ISNUMBER(F237))),$J$2=""),"",IF(Reprogramaciones!R$9&lt;E237,0,IF(NETWORKDAYS.INTL(E237,F237,11)=0,IF(Reprogramaciones!R$9&gt;=F237,100,0),ROUND(NETWORKDAYS.INTL(E237,MIN(F237,Reprogramaciones!R$9),11)/NETWORKDAYS.INTL(E237,F237,11)*100,1)))-IF(Reprogramaciones!Q$9&lt;E237,0,IF(NETWORKDAYS.INTL(E237,F237,11)=0,IF(Reprogramaciones!Q$9&gt;=F237,100,0),ROUND(NETWORKDAYS.INTL(E237,MIN(F237,Reprogramaciones!Q$9),11)/NETWORKDAYS.INTL(E237,F237,11)*100,1))))</f>
        <v/>
      </c>
      <c r="O237" s="36" t="str">
        <f aca="false">IF(OR(NOT(AND(ISNUMBER(E237),ISNUMBER(F237))),$J$2=""),"",IF(Reprogramaciones!S$9&lt;E237,0,IF(NETWORKDAYS.INTL(E237,F237,11)=0,IF(Reprogramaciones!S$9&gt;=F237,100,0),ROUND(NETWORKDAYS.INTL(E237,MIN(F237,Reprogramaciones!S$9),11)/NETWORKDAYS.INTL(E237,F237,11)*100,1)))-IF(Reprogramaciones!R$9&lt;E237,0,IF(NETWORKDAYS.INTL(E237,F237,11)=0,IF(Reprogramaciones!R$9&gt;=F237,100,0),ROUND(NETWORKDAYS.INTL(E237,MIN(F237,Reprogramaciones!R$9),11)/NETWORKDAYS.INTL(E237,F237,11)*100,1))))</f>
        <v/>
      </c>
      <c r="P237" s="36" t="str">
        <f aca="false">IF(OR(NOT(AND(ISNUMBER(E237),ISNUMBER(F237))),$J$2=""),"",IF(Reprogramaciones!T$9&lt;E237,0,IF(NETWORKDAYS.INTL(E237,F237,11)=0,IF(Reprogramaciones!T$9&gt;=F237,100,0),ROUND(NETWORKDAYS.INTL(E237,MIN(F237,Reprogramaciones!T$9),11)/NETWORKDAYS.INTL(E237,F237,11)*100,1)))-IF(Reprogramaciones!S$9&lt;E237,0,IF(NETWORKDAYS.INTL(E237,F237,11)=0,IF(Reprogramaciones!S$9&gt;=F237,100,0),ROUND(NETWORKDAYS.INTL(E237,MIN(F237,Reprogramaciones!S$9),11)/NETWORKDAYS.INTL(E237,F237,11)*100,1))))</f>
        <v/>
      </c>
      <c r="Q237" s="37"/>
      <c r="R237" s="37"/>
      <c r="S237" s="37"/>
      <c r="T237" s="37"/>
      <c r="U237" s="37"/>
      <c r="V237" s="37"/>
      <c r="W237" s="37"/>
      <c r="X237" s="37"/>
      <c r="Y237" s="37"/>
      <c r="Z237" s="37"/>
      <c r="AA237" s="37"/>
      <c r="AB237" s="37"/>
      <c r="AC237" s="37"/>
      <c r="AD237" s="37"/>
      <c r="AE237" s="37"/>
      <c r="AF237" s="37"/>
      <c r="AG237" s="38" t="str">
        <f aca="false">IF(AND(ISNUMBER(E237),ISNUMBER(F237)),NETWORKDAYS.INTL(E237,F237,11),"")</f>
        <v/>
      </c>
      <c r="AH237" s="38" t="str">
        <f aca="false">IF(OR(NOT(AND(ISNUMBER(E237),ISNUMBER(F237))),$J$2=""),"",IF(Reprogramaciones!$P$15&lt;Reprogramaciones!$T$15,0,IF(Reprogramaciones!$R$15&gt;10,MIN(100,SUM($G237:$P237)),MIN(100,SUMPRODUCT((COLUMN($G237:$P237)-COLUMN($G237)+1&lt;Reprogramaciones!$R$15)*$G237:$P237)+N(INDEX($G237:$P237,1,Reprogramaciones!$R$15))*IF(Reprogramaciones!$P$15&gt;=(Reprogramaciones!$T$15+7*(Reprogramaciones!$R$15-1))+6,1,IF(MAX(0,NETWORKDAYS.INTL(MAX(E237,(Reprogramaciones!$T$15+7*(Reprogramaciones!$R$15-1))),MIN(F237,(Reprogramaciones!$T$15+7*(Reprogramaciones!$R$15-1))+6),11))=0,0,MAX(0,NETWORKDAYS.INTL(MAX(E237,(Reprogramaciones!$T$15+7*(Reprogramaciones!$R$15-1))),MIN(F237,Reprogramaciones!$P$15),11))/MAX(0,NETWORKDAYS.INTL(MAX(E237,(Reprogramaciones!$T$15+7*(Reprogramaciones!$R$15-1))),MIN(F237,(Reprogramaciones!$T$15+7*(Reprogramaciones!$R$15-1))+6),11))))))))</f>
        <v/>
      </c>
      <c r="AI237" s="38" t="str">
        <f aca="false">IF(COUNT($Q237:$AF237)=0,"",IF(ROUND(SUM($Q237:$AF237),1)&gt;=99.5,100,MIN(100,ROUND(SUM($Q237:$AF237),1))))</f>
        <v/>
      </c>
      <c r="AJ237" s="38" t="str">
        <f aca="false">IF(OR(AH237="",AI237=""),"",AI237-AH237)</f>
        <v/>
      </c>
      <c r="AK237" s="39" t="str">
        <f aca="true">IF(AH237="","",IF(OR(Ficha!$C$10="Suspendida",Ficha!$C$10="Cancelada"),Ficha!$C$10,IF(AND(AI237&lt;&gt;"",N(AI237)&gt;=100),"Completada",IF(AND(E237&gt;TODAY(),N(AI237)=0),"Por iniciar",IF(N(AI237)+0.5&lt;AH237,"Retrasada",IF(N(AI237)+0.5&lt;DA237,IF(Reprogramaciones!$K$15&gt;0,"Al día · Sem "&amp;Reprogramaciones!$K$15&amp;" en curso","Al día · en curso"),"A tiempo"))))))</f>
        <v/>
      </c>
      <c r="AL237" s="39" t="str">
        <f aca="true">IF(AND(A237="",AND(B237="",C237="",E237="",F237="",COUNT(Q237:AF237)=0)),"",IF(AND(B237="",C237="",E237="",F237="",COUNT(Q237:AF237)=0),"Falta la partida o subpartida",IF(AND(A237&lt;&gt;"",COUNTIF($A$6:$A$305,A237)&gt;1),"Ítem repetido",IF(AND(C237="",E237="",F237="",COUNT(Q237:AF237)=0),"Título de partida",IF(OR(E237="",F237=""),"Faltan fechas",IF(OR(ISTEXT(E237),ISTEXT(F237)),"Fecha escrita como texto: usa dd/mm/aaaa",IF(F237&lt;E237,"Fin antes del inicio",IF(IF($J$2="",FALSE(),OR(E237&lt;$J$2,F237&gt;Reprogramaciones!$T$15+69)),"Fuera de las 10 semanas",IF(ABS(SUM(G237:P237)-100)&gt;0.5,"La meta no suma 100%",IF(ROUND(SUM(Q237:AF237),1)&gt;100.5,"El avance pasa de 100%",IF(MIN(Q237:AF237)&lt;0,"Avance negativo",IF(COUNTA(Q237:AF237)&gt;COUNT(Q237:AF237),"Avance escrito como texto",IF(SUMPRODUCT((Q237:AF237&gt;0)*(Q237:AF237&lt;1))&gt;0,"Avance menor a 1: escribe 50, no 50%",IF(SUMPRODUCT(ISNUMBER(Q237:AF237)*(Reprogramaciones!$K$8:$Z$8&gt;TODAY()))&gt;0,"Avance en semana que aún no llega",IF(AND(N(Reprogramaciones!$E$21)&gt;0,F237&gt;Reprogramaciones!$E$21),"Pasa el fin de la obra: registra una reprogramación",IF(AND(N(Reprogramaciones!$E$21)&gt;0,SUMPRODUCT(ISNUMBER(Q237:AF237)*(Reprogramaciones!$K$8:$Z$8&gt;Reprogramaciones!$E$21))&gt;0),"Avance después del fin de la obra: registra una reprogramación por atraso","OK"))))))))))))))))</f>
        <v/>
      </c>
      <c r="AM237" s="40" t="str">
        <f aca="false">IF(OR(OR(NOT(AND(ISNUMBER(E237),ISNUMBER(F237))),$J$2=""),1&gt;MAX(1,Reprogramaciones!$U$15)),"",IF(Reprogramaciones!K$12&gt;=7,"",IF(OR(BT237-N(0)&gt;0.05,N(Q237)&gt;0),ROUNDDOWN(ROUND(BT237,6),0)&amp;"%"&amp;IF(CJ237="",""," / "&amp;CJ237&amp;"%"),IF(AND(N(0)&gt;=99.95,CJ237&lt;&gt;"",N(CJ237)&lt;100),"Pend. "&amp;CJ237&amp;"%",""))))</f>
        <v/>
      </c>
      <c r="AN237" s="40" t="str">
        <f aca="false">IF(OR(OR(NOT(AND(ISNUMBER(E237),ISNUMBER(F237))),$J$2=""),2&gt;MAX(1,Reprogramaciones!$U$15)),"",IF(Reprogramaciones!L$12&gt;=7,"",IF(OR(BU237-N(BT237)&gt;0.05,N(R237)&gt;0),ROUNDDOWN(ROUND(BU237,6),0)&amp;"%"&amp;IF(CK237="",""," / "&amp;CK237&amp;"%"),IF(AND(N(BT237)&gt;=99.95,CK237&lt;&gt;"",N(CK237)&lt;100),"Pend. "&amp;CK237&amp;"%",""))))</f>
        <v/>
      </c>
      <c r="AO237" s="40" t="str">
        <f aca="false">IF(OR(OR(NOT(AND(ISNUMBER(E237),ISNUMBER(F237))),$J$2=""),3&gt;MAX(1,Reprogramaciones!$U$15)),"",IF(Reprogramaciones!M$12&gt;=7,"",IF(OR(BV237-N(BU237)&gt;0.05,N(S237)&gt;0),ROUNDDOWN(ROUND(BV237,6),0)&amp;"%"&amp;IF(CL237="",""," / "&amp;CL237&amp;"%"),IF(AND(N(BU237)&gt;=99.95,CL237&lt;&gt;"",N(CL237)&lt;100),"Pend. "&amp;CL237&amp;"%",""))))</f>
        <v/>
      </c>
      <c r="AP237" s="40" t="str">
        <f aca="false">IF(OR(OR(NOT(AND(ISNUMBER(E237),ISNUMBER(F237))),$J$2=""),4&gt;MAX(1,Reprogramaciones!$U$15)),"",IF(Reprogramaciones!N$12&gt;=7,"",IF(OR(BW237-N(BV237)&gt;0.05,N(T237)&gt;0),ROUNDDOWN(ROUND(BW237,6),0)&amp;"%"&amp;IF(CM237="",""," / "&amp;CM237&amp;"%"),IF(AND(N(BV237)&gt;=99.95,CM237&lt;&gt;"",N(CM237)&lt;100),"Pend. "&amp;CM237&amp;"%",""))))</f>
        <v/>
      </c>
      <c r="AQ237" s="40" t="str">
        <f aca="false">IF(OR(OR(NOT(AND(ISNUMBER(E237),ISNUMBER(F237))),$J$2=""),5&gt;MAX(1,Reprogramaciones!$U$15)),"",IF(Reprogramaciones!O$12&gt;=7,"",IF(OR(BX237-N(BW237)&gt;0.05,N(U237)&gt;0),ROUNDDOWN(ROUND(BX237,6),0)&amp;"%"&amp;IF(CN237="",""," / "&amp;CN237&amp;"%"),IF(AND(N(BW237)&gt;=99.95,CN237&lt;&gt;"",N(CN237)&lt;100),"Pend. "&amp;CN237&amp;"%",""))))</f>
        <v/>
      </c>
      <c r="AR237" s="40" t="str">
        <f aca="false">IF(OR(OR(NOT(AND(ISNUMBER(E237),ISNUMBER(F237))),$J$2=""),6&gt;MAX(1,Reprogramaciones!$U$15)),"",IF(Reprogramaciones!P$12&gt;=7,"",IF(OR(BY237-N(BX237)&gt;0.05,N(V237)&gt;0),ROUNDDOWN(ROUND(BY237,6),0)&amp;"%"&amp;IF(CO237="",""," / "&amp;CO237&amp;"%"),IF(AND(N(BX237)&gt;=99.95,CO237&lt;&gt;"",N(CO237)&lt;100),"Pend. "&amp;CO237&amp;"%",""))))</f>
        <v/>
      </c>
      <c r="AS237" s="40" t="str">
        <f aca="false">IF(OR(OR(NOT(AND(ISNUMBER(E237),ISNUMBER(F237))),$J$2=""),7&gt;MAX(1,Reprogramaciones!$U$15)),"",IF(Reprogramaciones!Q$12&gt;=7,"",IF(OR(BZ237-N(BY237)&gt;0.05,N(W237)&gt;0),ROUNDDOWN(ROUND(BZ237,6),0)&amp;"%"&amp;IF(CP237="",""," / "&amp;CP237&amp;"%"),IF(AND(N(BY237)&gt;=99.95,CP237&lt;&gt;"",N(CP237)&lt;100),"Pend. "&amp;CP237&amp;"%",""))))</f>
        <v/>
      </c>
      <c r="AT237" s="40" t="str">
        <f aca="false">IF(OR(OR(NOT(AND(ISNUMBER(E237),ISNUMBER(F237))),$J$2=""),8&gt;MAX(1,Reprogramaciones!$U$15)),"",IF(Reprogramaciones!R$12&gt;=7,"",IF(OR(CA237-N(BZ237)&gt;0.05,N(X237)&gt;0),ROUNDDOWN(ROUND(CA237,6),0)&amp;"%"&amp;IF(CQ237="",""," / "&amp;CQ237&amp;"%"),IF(AND(N(BZ237)&gt;=99.95,CQ237&lt;&gt;"",N(CQ237)&lt;100),"Pend. "&amp;CQ237&amp;"%",""))))</f>
        <v/>
      </c>
      <c r="AU237" s="40" t="str">
        <f aca="false">IF(OR(OR(NOT(AND(ISNUMBER(E237),ISNUMBER(F237))),$J$2=""),9&gt;MAX(1,Reprogramaciones!$U$15)),"",IF(Reprogramaciones!S$12&gt;=7,"",IF(OR(CB237-N(CA237)&gt;0.05,N(Y237)&gt;0),ROUNDDOWN(ROUND(CB237,6),0)&amp;"%"&amp;IF(CR237="",""," / "&amp;CR237&amp;"%"),IF(AND(N(CA237)&gt;=99.95,CR237&lt;&gt;"",N(CR237)&lt;100),"Pend. "&amp;CR237&amp;"%",""))))</f>
        <v/>
      </c>
      <c r="AV237" s="40" t="str">
        <f aca="false">IF(OR(OR(NOT(AND(ISNUMBER(E237),ISNUMBER(F237))),$J$2=""),10&gt;MAX(1,Reprogramaciones!$U$15)),"",IF(Reprogramaciones!T$12&gt;=7,"",IF(OR(CC237-N(CB237)&gt;0.05,N(Z237)&gt;0),ROUNDDOWN(ROUND(CC237,6),0)&amp;"%"&amp;IF(CS237="",""," / "&amp;CS237&amp;"%"),IF(AND(N(CB237)&gt;=99.95,CS237&lt;&gt;"",N(CS237)&lt;100),"Pend. "&amp;CS237&amp;"%",""))))</f>
        <v/>
      </c>
      <c r="AW237" s="40" t="str">
        <f aca="false">IF(OR(OR(NOT(AND(ISNUMBER(E237),ISNUMBER(F237))),$J$2=""),11&gt;MAX(1,Reprogramaciones!$U$15)),"",IF(Reprogramaciones!U$12&gt;=7,"",IF(OR(CD237-N(CC237)&gt;0.05,N(AA237)&gt;0),ROUNDDOWN(ROUND(CD237,6),0)&amp;"%"&amp;IF(CT237="",""," / "&amp;CT237&amp;"%"),IF(AND(N(CC237)&gt;=99.95,CT237&lt;&gt;"",N(CT237)&lt;100),"Pend. "&amp;CT237&amp;"%",""))))</f>
        <v/>
      </c>
      <c r="AX237" s="40" t="str">
        <f aca="false">IF(OR(OR(NOT(AND(ISNUMBER(E237),ISNUMBER(F237))),$J$2=""),12&gt;MAX(1,Reprogramaciones!$U$15)),"",IF(Reprogramaciones!V$12&gt;=7,"",IF(OR(CE237-N(CD237)&gt;0.05,N(AB237)&gt;0),ROUNDDOWN(ROUND(CE237,6),0)&amp;"%"&amp;IF(CU237="",""," / "&amp;CU237&amp;"%"),IF(AND(N(CD237)&gt;=99.95,CU237&lt;&gt;"",N(CU237)&lt;100),"Pend. "&amp;CU237&amp;"%",""))))</f>
        <v/>
      </c>
      <c r="AY237" s="40" t="str">
        <f aca="false">IF(OR(OR(NOT(AND(ISNUMBER(E237),ISNUMBER(F237))),$J$2=""),13&gt;MAX(1,Reprogramaciones!$U$15)),"",IF(Reprogramaciones!W$12&gt;=7,"",IF(OR(CF237-N(CE237)&gt;0.05,N(AC237)&gt;0),ROUNDDOWN(ROUND(CF237,6),0)&amp;"%"&amp;IF(CV237="",""," / "&amp;CV237&amp;"%"),IF(AND(N(CE237)&gt;=99.95,CV237&lt;&gt;"",N(CV237)&lt;100),"Pend. "&amp;CV237&amp;"%",""))))</f>
        <v/>
      </c>
      <c r="AZ237" s="40" t="str">
        <f aca="false">IF(OR(OR(NOT(AND(ISNUMBER(E237),ISNUMBER(F237))),$J$2=""),14&gt;MAX(1,Reprogramaciones!$U$15)),"",IF(Reprogramaciones!X$12&gt;=7,"",IF(OR(CG237-N(CF237)&gt;0.05,N(AD237)&gt;0),ROUNDDOWN(ROUND(CG237,6),0)&amp;"%"&amp;IF(CW237="",""," / "&amp;CW237&amp;"%"),IF(AND(N(CF237)&gt;=99.95,CW237&lt;&gt;"",N(CW237)&lt;100),"Pend. "&amp;CW237&amp;"%",""))))</f>
        <v/>
      </c>
      <c r="BA237" s="40" t="str">
        <f aca="false">IF(OR(OR(NOT(AND(ISNUMBER(E237),ISNUMBER(F237))),$J$2=""),15&gt;MAX(1,Reprogramaciones!$U$15)),"",IF(Reprogramaciones!Y$12&gt;=7,"",IF(OR(CH237-N(CG237)&gt;0.05,N(AE237)&gt;0),ROUNDDOWN(ROUND(CH237,6),0)&amp;"%"&amp;IF(CX237="",""," / "&amp;CX237&amp;"%"),IF(AND(N(CG237)&gt;=99.95,CX237&lt;&gt;"",N(CX237)&lt;100),"Pend. "&amp;CX237&amp;"%",""))))</f>
        <v/>
      </c>
      <c r="BB237" s="40" t="str">
        <f aca="false">IF(OR(OR(NOT(AND(ISNUMBER(E237),ISNUMBER(F237))),$J$2=""),16&gt;MAX(1,Reprogramaciones!$U$15)),"",IF(Reprogramaciones!Z$12&gt;=7,"",IF(OR(CI237-N(CH237)&gt;0.05,N(AF237)&gt;0),ROUNDDOWN(ROUND(CI237,6),0)&amp;"%"&amp;IF(CY237="",""," / "&amp;CY237&amp;"%"),IF(AND(N(CH237)&gt;=99.95,CY237&lt;&gt;"",N(CY237)&lt;100),"Pend. "&amp;CY237&amp;"%",""))))</f>
        <v/>
      </c>
      <c r="BC237" s="31" t="n">
        <f aca="false">IF(AND(ISNUMBER(E237),ISNUMBER(F237)),MAX(1,NETWORKDAYS.INTL(E237,F237,11)),0)</f>
        <v>0</v>
      </c>
      <c r="BD237" s="1" t="str">
        <f aca="false">IF(OR(NOT(AND(ISNUMBER(E237),ISNUMBER(F237))),$J$2=""),"",MIN(100,ROUND(SUM($G237:G237),1)))</f>
        <v/>
      </c>
      <c r="BE237" s="1" t="str">
        <f aca="false">IF(OR(NOT(AND(ISNUMBER(E237),ISNUMBER(F237))),$J$2=""),"",MIN(100,ROUND(SUM($G237:H237),1)))</f>
        <v/>
      </c>
      <c r="BF237" s="1" t="str">
        <f aca="false">IF(OR(NOT(AND(ISNUMBER(E237),ISNUMBER(F237))),$J$2=""),"",MIN(100,ROUND(SUM($G237:I237),1)))</f>
        <v/>
      </c>
      <c r="BG237" s="1" t="str">
        <f aca="false">IF(OR(NOT(AND(ISNUMBER(E237),ISNUMBER(F237))),$J$2=""),"",MIN(100,ROUND(SUM($G237:J237),1)))</f>
        <v/>
      </c>
      <c r="BH237" s="1" t="str">
        <f aca="false">IF(OR(NOT(AND(ISNUMBER(E237),ISNUMBER(F237))),$J$2=""),"",MIN(100,ROUND(SUM($G237:K237),1)))</f>
        <v/>
      </c>
      <c r="BI237" s="1" t="str">
        <f aca="false">IF(OR(NOT(AND(ISNUMBER(E237),ISNUMBER(F237))),$J$2=""),"",MIN(100,ROUND(SUM($G237:L237),1)))</f>
        <v/>
      </c>
      <c r="BJ237" s="1" t="str">
        <f aca="false">IF(OR(NOT(AND(ISNUMBER(E237),ISNUMBER(F237))),$J$2=""),"",MIN(100,ROUND(SUM($G237:M237),1)))</f>
        <v/>
      </c>
      <c r="BK237" s="1" t="str">
        <f aca="false">IF(OR(NOT(AND(ISNUMBER(E237),ISNUMBER(F237))),$J$2=""),"",MIN(100,ROUND(SUM($G237:N237),1)))</f>
        <v/>
      </c>
      <c r="BL237" s="1" t="str">
        <f aca="false">IF(OR(NOT(AND(ISNUMBER(E237),ISNUMBER(F237))),$J$2=""),"",MIN(100,ROUND(SUM($G237:O237),1)))</f>
        <v/>
      </c>
      <c r="BM237" s="1" t="str">
        <f aca="false">IF(OR(NOT(AND(ISNUMBER(E237),ISNUMBER(F237))),$J$2=""),"",MIN(100,ROUND(SUM($G237:P237),1)))</f>
        <v/>
      </c>
      <c r="BN237" s="1" t="str">
        <f aca="false">IF(OR(NOT(AND(ISNUMBER(E237),ISNUMBER(F237))),$J$2=""),"",MIN(100,ROUND(SUM($G237:P237),1)))</f>
        <v/>
      </c>
      <c r="BO237" s="1" t="str">
        <f aca="false">IF(OR(NOT(AND(ISNUMBER(E237),ISNUMBER(F237))),$J$2=""),"",MIN(100,ROUND(SUM($G237:P237),1)))</f>
        <v/>
      </c>
      <c r="BP237" s="1" t="str">
        <f aca="false">IF(OR(NOT(AND(ISNUMBER(E237),ISNUMBER(F237))),$J$2=""),"",MIN(100,ROUND(SUM($G237:P237),1)))</f>
        <v/>
      </c>
      <c r="BQ237" s="1" t="str">
        <f aca="false">IF(OR(NOT(AND(ISNUMBER(E237),ISNUMBER(F237))),$J$2=""),"",MIN(100,ROUND(SUM($G237:P237),1)))</f>
        <v/>
      </c>
      <c r="BR237" s="1" t="str">
        <f aca="false">IF(OR(NOT(AND(ISNUMBER(E237),ISNUMBER(F237))),$J$2=""),"",MIN(100,ROUND(SUM($G237:P237),1)))</f>
        <v/>
      </c>
      <c r="BS237" s="1" t="str">
        <f aca="false">IF(OR(NOT(AND(ISNUMBER(E237),ISNUMBER(F237))),$J$2=""),"",MIN(100,ROUND(SUM($G237:P237),1)))</f>
        <v/>
      </c>
      <c r="BT237" s="1" t="str">
        <f aca="false">IF(OR(NOT(AND(ISNUMBER(E237),ISNUMBER(F237))),$J$2=""),"",IF(Reprogramaciones!K$13&lt;Reprogramaciones!$T$15,0,IF(Reprogramaciones!K$14&gt;10,MIN(100,SUM($G237:$P237)),MIN(100,SUMPRODUCT((COLUMN($G237:$P237)-COLUMN($G237)+1&lt;Reprogramaciones!K$14)*$G237:$P237)+N(INDEX($G237:$P237,1,Reprogramaciones!K$14))*IF(Reprogramaciones!K$13&gt;=(Reprogramaciones!$T$15+7*(Reprogramaciones!K$14-1))+6,1,IF(MAX(0,NETWORKDAYS.INTL(MAX(E237,(Reprogramaciones!$T$15+7*(Reprogramaciones!K$14-1))),MIN(F237,(Reprogramaciones!$T$15+7*(Reprogramaciones!K$14-1))+6),11))=0,0,MAX(0,NETWORKDAYS.INTL(MAX(E237,(Reprogramaciones!$T$15+7*(Reprogramaciones!K$14-1))),MIN(F237,Reprogramaciones!K$13),11))/MAX(0,NETWORKDAYS.INTL(MAX(E237,(Reprogramaciones!$T$15+7*(Reprogramaciones!K$14-1))),MIN(F237,(Reprogramaciones!$T$15+7*(Reprogramaciones!K$14-1))+6),11))))))))</f>
        <v/>
      </c>
      <c r="BU237" s="1" t="str">
        <f aca="false">IF(OR(NOT(AND(ISNUMBER(E237),ISNUMBER(F237))),$J$2=""),"",IF(Reprogramaciones!L$13&lt;Reprogramaciones!$T$15,0,IF(Reprogramaciones!L$14&gt;10,MIN(100,SUM($G237:$P237)),MIN(100,SUMPRODUCT((COLUMN($G237:$P237)-COLUMN($G237)+1&lt;Reprogramaciones!L$14)*$G237:$P237)+N(INDEX($G237:$P237,1,Reprogramaciones!L$14))*IF(Reprogramaciones!L$13&gt;=(Reprogramaciones!$T$15+7*(Reprogramaciones!L$14-1))+6,1,IF(MAX(0,NETWORKDAYS.INTL(MAX(E237,(Reprogramaciones!$T$15+7*(Reprogramaciones!L$14-1))),MIN(F237,(Reprogramaciones!$T$15+7*(Reprogramaciones!L$14-1))+6),11))=0,0,MAX(0,NETWORKDAYS.INTL(MAX(E237,(Reprogramaciones!$T$15+7*(Reprogramaciones!L$14-1))),MIN(F237,Reprogramaciones!L$13),11))/MAX(0,NETWORKDAYS.INTL(MAX(E237,(Reprogramaciones!$T$15+7*(Reprogramaciones!L$14-1))),MIN(F237,(Reprogramaciones!$T$15+7*(Reprogramaciones!L$14-1))+6),11))))))))</f>
        <v/>
      </c>
      <c r="BV237" s="1" t="str">
        <f aca="false">IF(OR(NOT(AND(ISNUMBER(E237),ISNUMBER(F237))),$J$2=""),"",IF(Reprogramaciones!M$13&lt;Reprogramaciones!$T$15,0,IF(Reprogramaciones!M$14&gt;10,MIN(100,SUM($G237:$P237)),MIN(100,SUMPRODUCT((COLUMN($G237:$P237)-COLUMN($G237)+1&lt;Reprogramaciones!M$14)*$G237:$P237)+N(INDEX($G237:$P237,1,Reprogramaciones!M$14))*IF(Reprogramaciones!M$13&gt;=(Reprogramaciones!$T$15+7*(Reprogramaciones!M$14-1))+6,1,IF(MAX(0,NETWORKDAYS.INTL(MAX(E237,(Reprogramaciones!$T$15+7*(Reprogramaciones!M$14-1))),MIN(F237,(Reprogramaciones!$T$15+7*(Reprogramaciones!M$14-1))+6),11))=0,0,MAX(0,NETWORKDAYS.INTL(MAX(E237,(Reprogramaciones!$T$15+7*(Reprogramaciones!M$14-1))),MIN(F237,Reprogramaciones!M$13),11))/MAX(0,NETWORKDAYS.INTL(MAX(E237,(Reprogramaciones!$T$15+7*(Reprogramaciones!M$14-1))),MIN(F237,(Reprogramaciones!$T$15+7*(Reprogramaciones!M$14-1))+6),11))))))))</f>
        <v/>
      </c>
      <c r="BW237" s="1" t="str">
        <f aca="false">IF(OR(NOT(AND(ISNUMBER(E237),ISNUMBER(F237))),$J$2=""),"",IF(Reprogramaciones!N$13&lt;Reprogramaciones!$T$15,0,IF(Reprogramaciones!N$14&gt;10,MIN(100,SUM($G237:$P237)),MIN(100,SUMPRODUCT((COLUMN($G237:$P237)-COLUMN($G237)+1&lt;Reprogramaciones!N$14)*$G237:$P237)+N(INDEX($G237:$P237,1,Reprogramaciones!N$14))*IF(Reprogramaciones!N$13&gt;=(Reprogramaciones!$T$15+7*(Reprogramaciones!N$14-1))+6,1,IF(MAX(0,NETWORKDAYS.INTL(MAX(E237,(Reprogramaciones!$T$15+7*(Reprogramaciones!N$14-1))),MIN(F237,(Reprogramaciones!$T$15+7*(Reprogramaciones!N$14-1))+6),11))=0,0,MAX(0,NETWORKDAYS.INTL(MAX(E237,(Reprogramaciones!$T$15+7*(Reprogramaciones!N$14-1))),MIN(F237,Reprogramaciones!N$13),11))/MAX(0,NETWORKDAYS.INTL(MAX(E237,(Reprogramaciones!$T$15+7*(Reprogramaciones!N$14-1))),MIN(F237,(Reprogramaciones!$T$15+7*(Reprogramaciones!N$14-1))+6),11))))))))</f>
        <v/>
      </c>
      <c r="BX237" s="1" t="str">
        <f aca="false">IF(OR(NOT(AND(ISNUMBER(E237),ISNUMBER(F237))),$J$2=""),"",IF(Reprogramaciones!O$13&lt;Reprogramaciones!$T$15,0,IF(Reprogramaciones!O$14&gt;10,MIN(100,SUM($G237:$P237)),MIN(100,SUMPRODUCT((COLUMN($G237:$P237)-COLUMN($G237)+1&lt;Reprogramaciones!O$14)*$G237:$P237)+N(INDEX($G237:$P237,1,Reprogramaciones!O$14))*IF(Reprogramaciones!O$13&gt;=(Reprogramaciones!$T$15+7*(Reprogramaciones!O$14-1))+6,1,IF(MAX(0,NETWORKDAYS.INTL(MAX(E237,(Reprogramaciones!$T$15+7*(Reprogramaciones!O$14-1))),MIN(F237,(Reprogramaciones!$T$15+7*(Reprogramaciones!O$14-1))+6),11))=0,0,MAX(0,NETWORKDAYS.INTL(MAX(E237,(Reprogramaciones!$T$15+7*(Reprogramaciones!O$14-1))),MIN(F237,Reprogramaciones!O$13),11))/MAX(0,NETWORKDAYS.INTL(MAX(E237,(Reprogramaciones!$T$15+7*(Reprogramaciones!O$14-1))),MIN(F237,(Reprogramaciones!$T$15+7*(Reprogramaciones!O$14-1))+6),11))))))))</f>
        <v/>
      </c>
      <c r="BY237" s="1" t="str">
        <f aca="false">IF(OR(NOT(AND(ISNUMBER(E237),ISNUMBER(F237))),$J$2=""),"",IF(Reprogramaciones!P$13&lt;Reprogramaciones!$T$15,0,IF(Reprogramaciones!P$14&gt;10,MIN(100,SUM($G237:$P237)),MIN(100,SUMPRODUCT((COLUMN($G237:$P237)-COLUMN($G237)+1&lt;Reprogramaciones!P$14)*$G237:$P237)+N(INDEX($G237:$P237,1,Reprogramaciones!P$14))*IF(Reprogramaciones!P$13&gt;=(Reprogramaciones!$T$15+7*(Reprogramaciones!P$14-1))+6,1,IF(MAX(0,NETWORKDAYS.INTL(MAX(E237,(Reprogramaciones!$T$15+7*(Reprogramaciones!P$14-1))),MIN(F237,(Reprogramaciones!$T$15+7*(Reprogramaciones!P$14-1))+6),11))=0,0,MAX(0,NETWORKDAYS.INTL(MAX(E237,(Reprogramaciones!$T$15+7*(Reprogramaciones!P$14-1))),MIN(F237,Reprogramaciones!P$13),11))/MAX(0,NETWORKDAYS.INTL(MAX(E237,(Reprogramaciones!$T$15+7*(Reprogramaciones!P$14-1))),MIN(F237,(Reprogramaciones!$T$15+7*(Reprogramaciones!P$14-1))+6),11))))))))</f>
        <v/>
      </c>
      <c r="BZ237" s="1" t="str">
        <f aca="false">IF(OR(NOT(AND(ISNUMBER(E237),ISNUMBER(F237))),$J$2=""),"",IF(Reprogramaciones!Q$13&lt;Reprogramaciones!$T$15,0,IF(Reprogramaciones!Q$14&gt;10,MIN(100,SUM($G237:$P237)),MIN(100,SUMPRODUCT((COLUMN($G237:$P237)-COLUMN($G237)+1&lt;Reprogramaciones!Q$14)*$G237:$P237)+N(INDEX($G237:$P237,1,Reprogramaciones!Q$14))*IF(Reprogramaciones!Q$13&gt;=(Reprogramaciones!$T$15+7*(Reprogramaciones!Q$14-1))+6,1,IF(MAX(0,NETWORKDAYS.INTL(MAX(E237,(Reprogramaciones!$T$15+7*(Reprogramaciones!Q$14-1))),MIN(F237,(Reprogramaciones!$T$15+7*(Reprogramaciones!Q$14-1))+6),11))=0,0,MAX(0,NETWORKDAYS.INTL(MAX(E237,(Reprogramaciones!$T$15+7*(Reprogramaciones!Q$14-1))),MIN(F237,Reprogramaciones!Q$13),11))/MAX(0,NETWORKDAYS.INTL(MAX(E237,(Reprogramaciones!$T$15+7*(Reprogramaciones!Q$14-1))),MIN(F237,(Reprogramaciones!$T$15+7*(Reprogramaciones!Q$14-1))+6),11))))))))</f>
        <v/>
      </c>
      <c r="CA237" s="1" t="str">
        <f aca="false">IF(OR(NOT(AND(ISNUMBER(E237),ISNUMBER(F237))),$J$2=""),"",IF(Reprogramaciones!R$13&lt;Reprogramaciones!$T$15,0,IF(Reprogramaciones!R$14&gt;10,MIN(100,SUM($G237:$P237)),MIN(100,SUMPRODUCT((COLUMN($G237:$P237)-COLUMN($G237)+1&lt;Reprogramaciones!R$14)*$G237:$P237)+N(INDEX($G237:$P237,1,Reprogramaciones!R$14))*IF(Reprogramaciones!R$13&gt;=(Reprogramaciones!$T$15+7*(Reprogramaciones!R$14-1))+6,1,IF(MAX(0,NETWORKDAYS.INTL(MAX(E237,(Reprogramaciones!$T$15+7*(Reprogramaciones!R$14-1))),MIN(F237,(Reprogramaciones!$T$15+7*(Reprogramaciones!R$14-1))+6),11))=0,0,MAX(0,NETWORKDAYS.INTL(MAX(E237,(Reprogramaciones!$T$15+7*(Reprogramaciones!R$14-1))),MIN(F237,Reprogramaciones!R$13),11))/MAX(0,NETWORKDAYS.INTL(MAX(E237,(Reprogramaciones!$T$15+7*(Reprogramaciones!R$14-1))),MIN(F237,(Reprogramaciones!$T$15+7*(Reprogramaciones!R$14-1))+6),11))))))))</f>
        <v/>
      </c>
      <c r="CB237" s="1" t="str">
        <f aca="false">IF(OR(NOT(AND(ISNUMBER(E237),ISNUMBER(F237))),$J$2=""),"",IF(Reprogramaciones!S$13&lt;Reprogramaciones!$T$15,0,IF(Reprogramaciones!S$14&gt;10,MIN(100,SUM($G237:$P237)),MIN(100,SUMPRODUCT((COLUMN($G237:$P237)-COLUMN($G237)+1&lt;Reprogramaciones!S$14)*$G237:$P237)+N(INDEX($G237:$P237,1,Reprogramaciones!S$14))*IF(Reprogramaciones!S$13&gt;=(Reprogramaciones!$T$15+7*(Reprogramaciones!S$14-1))+6,1,IF(MAX(0,NETWORKDAYS.INTL(MAX(E237,(Reprogramaciones!$T$15+7*(Reprogramaciones!S$14-1))),MIN(F237,(Reprogramaciones!$T$15+7*(Reprogramaciones!S$14-1))+6),11))=0,0,MAX(0,NETWORKDAYS.INTL(MAX(E237,(Reprogramaciones!$T$15+7*(Reprogramaciones!S$14-1))),MIN(F237,Reprogramaciones!S$13),11))/MAX(0,NETWORKDAYS.INTL(MAX(E237,(Reprogramaciones!$T$15+7*(Reprogramaciones!S$14-1))),MIN(F237,(Reprogramaciones!$T$15+7*(Reprogramaciones!S$14-1))+6),11))))))))</f>
        <v/>
      </c>
      <c r="CC237" s="1" t="str">
        <f aca="false">IF(OR(NOT(AND(ISNUMBER(E237),ISNUMBER(F237))),$J$2=""),"",IF(Reprogramaciones!T$13&lt;Reprogramaciones!$T$15,0,IF(Reprogramaciones!T$14&gt;10,MIN(100,SUM($G237:$P237)),MIN(100,SUMPRODUCT((COLUMN($G237:$P237)-COLUMN($G237)+1&lt;Reprogramaciones!T$14)*$G237:$P237)+N(INDEX($G237:$P237,1,Reprogramaciones!T$14))*IF(Reprogramaciones!T$13&gt;=(Reprogramaciones!$T$15+7*(Reprogramaciones!T$14-1))+6,1,IF(MAX(0,NETWORKDAYS.INTL(MAX(E237,(Reprogramaciones!$T$15+7*(Reprogramaciones!T$14-1))),MIN(F237,(Reprogramaciones!$T$15+7*(Reprogramaciones!T$14-1))+6),11))=0,0,MAX(0,NETWORKDAYS.INTL(MAX(E237,(Reprogramaciones!$T$15+7*(Reprogramaciones!T$14-1))),MIN(F237,Reprogramaciones!T$13),11))/MAX(0,NETWORKDAYS.INTL(MAX(E237,(Reprogramaciones!$T$15+7*(Reprogramaciones!T$14-1))),MIN(F237,(Reprogramaciones!$T$15+7*(Reprogramaciones!T$14-1))+6),11))))))))</f>
        <v/>
      </c>
      <c r="CD237" s="1" t="str">
        <f aca="false">IF(OR(NOT(AND(ISNUMBER(E237),ISNUMBER(F237))),$J$2=""),"",IF(Reprogramaciones!U$13&lt;Reprogramaciones!$T$15,0,IF(Reprogramaciones!U$14&gt;10,MIN(100,SUM($G237:$P237)),MIN(100,SUMPRODUCT((COLUMN($G237:$P237)-COLUMN($G237)+1&lt;Reprogramaciones!U$14)*$G237:$P237)+N(INDEX($G237:$P237,1,Reprogramaciones!U$14))*IF(Reprogramaciones!U$13&gt;=(Reprogramaciones!$T$15+7*(Reprogramaciones!U$14-1))+6,1,IF(MAX(0,NETWORKDAYS.INTL(MAX(E237,(Reprogramaciones!$T$15+7*(Reprogramaciones!U$14-1))),MIN(F237,(Reprogramaciones!$T$15+7*(Reprogramaciones!U$14-1))+6),11))=0,0,MAX(0,NETWORKDAYS.INTL(MAX(E237,(Reprogramaciones!$T$15+7*(Reprogramaciones!U$14-1))),MIN(F237,Reprogramaciones!U$13),11))/MAX(0,NETWORKDAYS.INTL(MAX(E237,(Reprogramaciones!$T$15+7*(Reprogramaciones!U$14-1))),MIN(F237,(Reprogramaciones!$T$15+7*(Reprogramaciones!U$14-1))+6),11))))))))</f>
        <v/>
      </c>
      <c r="CE237" s="1" t="str">
        <f aca="false">IF(OR(NOT(AND(ISNUMBER(E237),ISNUMBER(F237))),$J$2=""),"",IF(Reprogramaciones!V$13&lt;Reprogramaciones!$T$15,0,IF(Reprogramaciones!V$14&gt;10,MIN(100,SUM($G237:$P237)),MIN(100,SUMPRODUCT((COLUMN($G237:$P237)-COLUMN($G237)+1&lt;Reprogramaciones!V$14)*$G237:$P237)+N(INDEX($G237:$P237,1,Reprogramaciones!V$14))*IF(Reprogramaciones!V$13&gt;=(Reprogramaciones!$T$15+7*(Reprogramaciones!V$14-1))+6,1,IF(MAX(0,NETWORKDAYS.INTL(MAX(E237,(Reprogramaciones!$T$15+7*(Reprogramaciones!V$14-1))),MIN(F237,(Reprogramaciones!$T$15+7*(Reprogramaciones!V$14-1))+6),11))=0,0,MAX(0,NETWORKDAYS.INTL(MAX(E237,(Reprogramaciones!$T$15+7*(Reprogramaciones!V$14-1))),MIN(F237,Reprogramaciones!V$13),11))/MAX(0,NETWORKDAYS.INTL(MAX(E237,(Reprogramaciones!$T$15+7*(Reprogramaciones!V$14-1))),MIN(F237,(Reprogramaciones!$T$15+7*(Reprogramaciones!V$14-1))+6),11))))))))</f>
        <v/>
      </c>
      <c r="CF237" s="1" t="str">
        <f aca="false">IF(OR(NOT(AND(ISNUMBER(E237),ISNUMBER(F237))),$J$2=""),"",IF(Reprogramaciones!W$13&lt;Reprogramaciones!$T$15,0,IF(Reprogramaciones!W$14&gt;10,MIN(100,SUM($G237:$P237)),MIN(100,SUMPRODUCT((COLUMN($G237:$P237)-COLUMN($G237)+1&lt;Reprogramaciones!W$14)*$G237:$P237)+N(INDEX($G237:$P237,1,Reprogramaciones!W$14))*IF(Reprogramaciones!W$13&gt;=(Reprogramaciones!$T$15+7*(Reprogramaciones!W$14-1))+6,1,IF(MAX(0,NETWORKDAYS.INTL(MAX(E237,(Reprogramaciones!$T$15+7*(Reprogramaciones!W$14-1))),MIN(F237,(Reprogramaciones!$T$15+7*(Reprogramaciones!W$14-1))+6),11))=0,0,MAX(0,NETWORKDAYS.INTL(MAX(E237,(Reprogramaciones!$T$15+7*(Reprogramaciones!W$14-1))),MIN(F237,Reprogramaciones!W$13),11))/MAX(0,NETWORKDAYS.INTL(MAX(E237,(Reprogramaciones!$T$15+7*(Reprogramaciones!W$14-1))),MIN(F237,(Reprogramaciones!$T$15+7*(Reprogramaciones!W$14-1))+6),11))))))))</f>
        <v/>
      </c>
      <c r="CG237" s="1" t="str">
        <f aca="false">IF(OR(NOT(AND(ISNUMBER(E237),ISNUMBER(F237))),$J$2=""),"",IF(Reprogramaciones!X$13&lt;Reprogramaciones!$T$15,0,IF(Reprogramaciones!X$14&gt;10,MIN(100,SUM($G237:$P237)),MIN(100,SUMPRODUCT((COLUMN($G237:$P237)-COLUMN($G237)+1&lt;Reprogramaciones!X$14)*$G237:$P237)+N(INDEX($G237:$P237,1,Reprogramaciones!X$14))*IF(Reprogramaciones!X$13&gt;=(Reprogramaciones!$T$15+7*(Reprogramaciones!X$14-1))+6,1,IF(MAX(0,NETWORKDAYS.INTL(MAX(E237,(Reprogramaciones!$T$15+7*(Reprogramaciones!X$14-1))),MIN(F237,(Reprogramaciones!$T$15+7*(Reprogramaciones!X$14-1))+6),11))=0,0,MAX(0,NETWORKDAYS.INTL(MAX(E237,(Reprogramaciones!$T$15+7*(Reprogramaciones!X$14-1))),MIN(F237,Reprogramaciones!X$13),11))/MAX(0,NETWORKDAYS.INTL(MAX(E237,(Reprogramaciones!$T$15+7*(Reprogramaciones!X$14-1))),MIN(F237,(Reprogramaciones!$T$15+7*(Reprogramaciones!X$14-1))+6),11))))))))</f>
        <v/>
      </c>
      <c r="CH237" s="1" t="str">
        <f aca="false">IF(OR(NOT(AND(ISNUMBER(E237),ISNUMBER(F237))),$J$2=""),"",IF(Reprogramaciones!Y$13&lt;Reprogramaciones!$T$15,0,IF(Reprogramaciones!Y$14&gt;10,MIN(100,SUM($G237:$P237)),MIN(100,SUMPRODUCT((COLUMN($G237:$P237)-COLUMN($G237)+1&lt;Reprogramaciones!Y$14)*$G237:$P237)+N(INDEX($G237:$P237,1,Reprogramaciones!Y$14))*IF(Reprogramaciones!Y$13&gt;=(Reprogramaciones!$T$15+7*(Reprogramaciones!Y$14-1))+6,1,IF(MAX(0,NETWORKDAYS.INTL(MAX(E237,(Reprogramaciones!$T$15+7*(Reprogramaciones!Y$14-1))),MIN(F237,(Reprogramaciones!$T$15+7*(Reprogramaciones!Y$14-1))+6),11))=0,0,MAX(0,NETWORKDAYS.INTL(MAX(E237,(Reprogramaciones!$T$15+7*(Reprogramaciones!Y$14-1))),MIN(F237,Reprogramaciones!Y$13),11))/MAX(0,NETWORKDAYS.INTL(MAX(E237,(Reprogramaciones!$T$15+7*(Reprogramaciones!Y$14-1))),MIN(F237,(Reprogramaciones!$T$15+7*(Reprogramaciones!Y$14-1))+6),11))))))))</f>
        <v/>
      </c>
      <c r="CI237" s="1" t="str">
        <f aca="false">IF(OR(NOT(AND(ISNUMBER(E237),ISNUMBER(F237))),$J$2=""),"",IF(Reprogramaciones!Z$13&lt;Reprogramaciones!$T$15,0,IF(Reprogramaciones!Z$14&gt;10,MIN(100,SUM($G237:$P237)),MIN(100,SUMPRODUCT((COLUMN($G237:$P237)-COLUMN($G237)+1&lt;Reprogramaciones!Z$14)*$G237:$P237)+N(INDEX($G237:$P237,1,Reprogramaciones!Z$14))*IF(Reprogramaciones!Z$13&gt;=(Reprogramaciones!$T$15+7*(Reprogramaciones!Z$14-1))+6,1,IF(MAX(0,NETWORKDAYS.INTL(MAX(E237,(Reprogramaciones!$T$15+7*(Reprogramaciones!Z$14-1))),MIN(F237,(Reprogramaciones!$T$15+7*(Reprogramaciones!Z$14-1))+6),11))=0,0,MAX(0,NETWORKDAYS.INTL(MAX(E237,(Reprogramaciones!$T$15+7*(Reprogramaciones!Z$14-1))),MIN(F237,Reprogramaciones!Z$13),11))/MAX(0,NETWORKDAYS.INTL(MAX(E237,(Reprogramaciones!$T$15+7*(Reprogramaciones!Z$14-1))),MIN(F237,(Reprogramaciones!$T$15+7*(Reprogramaciones!Z$14-1))+6),11))))))))</f>
        <v/>
      </c>
      <c r="CJ237" s="1" t="str">
        <f aca="false">IF(OR(OR(NOT(AND(ISNUMBER(E237),ISNUMBER(F237))),$J$2=""),1&gt;Reprogramaciones!$K$16),"",IF(ROUND(SUM($Q237:Q237),1)&gt;=99.5,100,MIN(100,ROUND(SUM($Q237:Q237),1))))</f>
        <v/>
      </c>
      <c r="CK237" s="1" t="str">
        <f aca="false">IF(OR(OR(NOT(AND(ISNUMBER(E237),ISNUMBER(F237))),$J$2=""),2&gt;Reprogramaciones!$K$16),"",IF(ROUND(SUM($Q237:R237),1)&gt;=99.5,100,MIN(100,ROUND(SUM($Q237:R237),1))))</f>
        <v/>
      </c>
      <c r="CL237" s="1" t="str">
        <f aca="false">IF(OR(OR(NOT(AND(ISNUMBER(E237),ISNUMBER(F237))),$J$2=""),3&gt;Reprogramaciones!$K$16),"",IF(ROUND(SUM($Q237:S237),1)&gt;=99.5,100,MIN(100,ROUND(SUM($Q237:S237),1))))</f>
        <v/>
      </c>
      <c r="CM237" s="1" t="str">
        <f aca="false">IF(OR(OR(NOT(AND(ISNUMBER(E237),ISNUMBER(F237))),$J$2=""),4&gt;Reprogramaciones!$K$16),"",IF(ROUND(SUM($Q237:T237),1)&gt;=99.5,100,MIN(100,ROUND(SUM($Q237:T237),1))))</f>
        <v/>
      </c>
      <c r="CN237" s="1" t="str">
        <f aca="false">IF(OR(OR(NOT(AND(ISNUMBER(E237),ISNUMBER(F237))),$J$2=""),5&gt;Reprogramaciones!$K$16),"",IF(ROUND(SUM($Q237:U237),1)&gt;=99.5,100,MIN(100,ROUND(SUM($Q237:U237),1))))</f>
        <v/>
      </c>
      <c r="CO237" s="1" t="str">
        <f aca="false">IF(OR(OR(NOT(AND(ISNUMBER(E237),ISNUMBER(F237))),$J$2=""),6&gt;Reprogramaciones!$K$16),"",IF(ROUND(SUM($Q237:V237),1)&gt;=99.5,100,MIN(100,ROUND(SUM($Q237:V237),1))))</f>
        <v/>
      </c>
      <c r="CP237" s="1" t="str">
        <f aca="false">IF(OR(OR(NOT(AND(ISNUMBER(E237),ISNUMBER(F237))),$J$2=""),7&gt;Reprogramaciones!$K$16),"",IF(ROUND(SUM($Q237:W237),1)&gt;=99.5,100,MIN(100,ROUND(SUM($Q237:W237),1))))</f>
        <v/>
      </c>
      <c r="CQ237" s="1" t="str">
        <f aca="false">IF(OR(OR(NOT(AND(ISNUMBER(E237),ISNUMBER(F237))),$J$2=""),8&gt;Reprogramaciones!$K$16),"",IF(ROUND(SUM($Q237:X237),1)&gt;=99.5,100,MIN(100,ROUND(SUM($Q237:X237),1))))</f>
        <v/>
      </c>
      <c r="CR237" s="1" t="str">
        <f aca="false">IF(OR(OR(NOT(AND(ISNUMBER(E237),ISNUMBER(F237))),$J$2=""),9&gt;Reprogramaciones!$K$16),"",IF(ROUND(SUM($Q237:Y237),1)&gt;=99.5,100,MIN(100,ROUND(SUM($Q237:Y237),1))))</f>
        <v/>
      </c>
      <c r="CS237" s="1" t="str">
        <f aca="false">IF(OR(OR(NOT(AND(ISNUMBER(E237),ISNUMBER(F237))),$J$2=""),10&gt;Reprogramaciones!$K$16),"",IF(ROUND(SUM($Q237:Z237),1)&gt;=99.5,100,MIN(100,ROUND(SUM($Q237:Z237),1))))</f>
        <v/>
      </c>
      <c r="CT237" s="1" t="str">
        <f aca="false">IF(OR(OR(NOT(AND(ISNUMBER(E237),ISNUMBER(F237))),$J$2=""),11&gt;Reprogramaciones!$K$16),"",IF(ROUND(SUM($Q237:AA237),1)&gt;=99.5,100,MIN(100,ROUND(SUM($Q237:AA237),1))))</f>
        <v/>
      </c>
      <c r="CU237" s="1" t="str">
        <f aca="false">IF(OR(OR(NOT(AND(ISNUMBER(E237),ISNUMBER(F237))),$J$2=""),12&gt;Reprogramaciones!$K$16),"",IF(ROUND(SUM($Q237:AB237),1)&gt;=99.5,100,MIN(100,ROUND(SUM($Q237:AB237),1))))</f>
        <v/>
      </c>
      <c r="CV237" s="1" t="str">
        <f aca="false">IF(OR(OR(NOT(AND(ISNUMBER(E237),ISNUMBER(F237))),$J$2=""),13&gt;Reprogramaciones!$K$16),"",IF(ROUND(SUM($Q237:AC237),1)&gt;=99.5,100,MIN(100,ROUND(SUM($Q237:AC237),1))))</f>
        <v/>
      </c>
      <c r="CW237" s="1" t="str">
        <f aca="false">IF(OR(OR(NOT(AND(ISNUMBER(E237),ISNUMBER(F237))),$J$2=""),14&gt;Reprogramaciones!$K$16),"",IF(ROUND(SUM($Q237:AD237),1)&gt;=99.5,100,MIN(100,ROUND(SUM($Q237:AD237),1))))</f>
        <v/>
      </c>
      <c r="CX237" s="1" t="str">
        <f aca="false">IF(OR(OR(NOT(AND(ISNUMBER(E237),ISNUMBER(F237))),$J$2=""),15&gt;Reprogramaciones!$K$16),"",IF(ROUND(SUM($Q237:AE237),1)&gt;=99.5,100,MIN(100,ROUND(SUM($Q237:AE237),1))))</f>
        <v/>
      </c>
      <c r="CY237" s="1" t="str">
        <f aca="false">IF(OR(OR(NOT(AND(ISNUMBER(E237),ISNUMBER(F237))),$J$2=""),16&gt;Reprogramaciones!$K$16),"",IF(ROUND(SUM($Q237:AF237),1)&gt;=99.5,100,MIN(100,ROUND(SUM($Q237:AF237),1))))</f>
        <v/>
      </c>
      <c r="CZ237" s="1" t="str">
        <f aca="false">IF(D237&lt;&gt;"",D237,IF(B237&lt;&gt;"","Contractual",CZ236))</f>
        <v>Contractual</v>
      </c>
      <c r="DA237" s="1" t="str">
        <f aca="false">IF(OR(NOT(AND(ISNUMBER(E237),ISNUMBER(F237))),$J$2=""),"",IF(Reprogramaciones!$Q$15&lt;Reprogramaciones!$T$15,0,IF(Reprogramaciones!$S$15&gt;10,MIN(100,SUM($G237:$P237)),MIN(100,SUMPRODUCT((COLUMN($G237:$P237)-COLUMN($G237)+1&lt;Reprogramaciones!$S$15)*$G237:$P237)+N(INDEX($G237:$P237,1,Reprogramaciones!$S$15))*IF(Reprogramaciones!$Q$15&gt;=(Reprogramaciones!$T$15+7*(Reprogramaciones!$S$15-1))+6,1,IF(MAX(0,NETWORKDAYS.INTL(MAX(E237,(Reprogramaciones!$T$15+7*(Reprogramaciones!$S$15-1))),MIN(F237,(Reprogramaciones!$T$15+7*(Reprogramaciones!$S$15-1))+6),11))=0,0,MAX(0,NETWORKDAYS.INTL(MAX(E237,(Reprogramaciones!$T$15+7*(Reprogramaciones!$S$15-1))),MIN(F237,Reprogramaciones!$Q$15),11))/MAX(0,NETWORKDAYS.INTL(MAX(E237,(Reprogramaciones!$T$15+7*(Reprogramaciones!$S$15-1))),MIN(F237,(Reprogramaciones!$T$15+7*(Reprogramaciones!$S$15-1))+6),11))))))))</f>
        <v/>
      </c>
    </row>
    <row r="238" customFormat="false" ht="15" hidden="false" customHeight="false" outlineLevel="0" collapsed="false">
      <c r="A238" s="32"/>
      <c r="B238" s="33"/>
      <c r="C238" s="33"/>
      <c r="D238" s="34"/>
      <c r="E238" s="35"/>
      <c r="F238" s="35"/>
      <c r="G238" s="36" t="str">
        <f aca="false">IF(OR(NOT(AND(ISNUMBER(E238),ISNUMBER(F238))),$J$2=""),"",IF(Reprogramaciones!K$9&lt;E238,0,IF(NETWORKDAYS.INTL(E238,F238,11)=0,IF(Reprogramaciones!K$9&gt;=F238,100,0),ROUND(NETWORKDAYS.INTL(E238,MIN(F238,Reprogramaciones!K$9),11)/NETWORKDAYS.INTL(E238,F238,11)*100,1)))-0)</f>
        <v/>
      </c>
      <c r="H238" s="36" t="str">
        <f aca="false">IF(OR(NOT(AND(ISNUMBER(E238),ISNUMBER(F238))),$J$2=""),"",IF(Reprogramaciones!L$9&lt;E238,0,IF(NETWORKDAYS.INTL(E238,F238,11)=0,IF(Reprogramaciones!L$9&gt;=F238,100,0),ROUND(NETWORKDAYS.INTL(E238,MIN(F238,Reprogramaciones!L$9),11)/NETWORKDAYS.INTL(E238,F238,11)*100,1)))-IF(Reprogramaciones!K$9&lt;E238,0,IF(NETWORKDAYS.INTL(E238,F238,11)=0,IF(Reprogramaciones!K$9&gt;=F238,100,0),ROUND(NETWORKDAYS.INTL(E238,MIN(F238,Reprogramaciones!K$9),11)/NETWORKDAYS.INTL(E238,F238,11)*100,1))))</f>
        <v/>
      </c>
      <c r="I238" s="36" t="str">
        <f aca="false">IF(OR(NOT(AND(ISNUMBER(E238),ISNUMBER(F238))),$J$2=""),"",IF(Reprogramaciones!M$9&lt;E238,0,IF(NETWORKDAYS.INTL(E238,F238,11)=0,IF(Reprogramaciones!M$9&gt;=F238,100,0),ROUND(NETWORKDAYS.INTL(E238,MIN(F238,Reprogramaciones!M$9),11)/NETWORKDAYS.INTL(E238,F238,11)*100,1)))-IF(Reprogramaciones!L$9&lt;E238,0,IF(NETWORKDAYS.INTL(E238,F238,11)=0,IF(Reprogramaciones!L$9&gt;=F238,100,0),ROUND(NETWORKDAYS.INTL(E238,MIN(F238,Reprogramaciones!L$9),11)/NETWORKDAYS.INTL(E238,F238,11)*100,1))))</f>
        <v/>
      </c>
      <c r="J238" s="36" t="str">
        <f aca="false">IF(OR(NOT(AND(ISNUMBER(E238),ISNUMBER(F238))),$J$2=""),"",IF(Reprogramaciones!N$9&lt;E238,0,IF(NETWORKDAYS.INTL(E238,F238,11)=0,IF(Reprogramaciones!N$9&gt;=F238,100,0),ROUND(NETWORKDAYS.INTL(E238,MIN(F238,Reprogramaciones!N$9),11)/NETWORKDAYS.INTL(E238,F238,11)*100,1)))-IF(Reprogramaciones!M$9&lt;E238,0,IF(NETWORKDAYS.INTL(E238,F238,11)=0,IF(Reprogramaciones!M$9&gt;=F238,100,0),ROUND(NETWORKDAYS.INTL(E238,MIN(F238,Reprogramaciones!M$9),11)/NETWORKDAYS.INTL(E238,F238,11)*100,1))))</f>
        <v/>
      </c>
      <c r="K238" s="36" t="str">
        <f aca="false">IF(OR(NOT(AND(ISNUMBER(E238),ISNUMBER(F238))),$J$2=""),"",IF(Reprogramaciones!O$9&lt;E238,0,IF(NETWORKDAYS.INTL(E238,F238,11)=0,IF(Reprogramaciones!O$9&gt;=F238,100,0),ROUND(NETWORKDAYS.INTL(E238,MIN(F238,Reprogramaciones!O$9),11)/NETWORKDAYS.INTL(E238,F238,11)*100,1)))-IF(Reprogramaciones!N$9&lt;E238,0,IF(NETWORKDAYS.INTL(E238,F238,11)=0,IF(Reprogramaciones!N$9&gt;=F238,100,0),ROUND(NETWORKDAYS.INTL(E238,MIN(F238,Reprogramaciones!N$9),11)/NETWORKDAYS.INTL(E238,F238,11)*100,1))))</f>
        <v/>
      </c>
      <c r="L238" s="36" t="str">
        <f aca="false">IF(OR(NOT(AND(ISNUMBER(E238),ISNUMBER(F238))),$J$2=""),"",IF(Reprogramaciones!P$9&lt;E238,0,IF(NETWORKDAYS.INTL(E238,F238,11)=0,IF(Reprogramaciones!P$9&gt;=F238,100,0),ROUND(NETWORKDAYS.INTL(E238,MIN(F238,Reprogramaciones!P$9),11)/NETWORKDAYS.INTL(E238,F238,11)*100,1)))-IF(Reprogramaciones!O$9&lt;E238,0,IF(NETWORKDAYS.INTL(E238,F238,11)=0,IF(Reprogramaciones!O$9&gt;=F238,100,0),ROUND(NETWORKDAYS.INTL(E238,MIN(F238,Reprogramaciones!O$9),11)/NETWORKDAYS.INTL(E238,F238,11)*100,1))))</f>
        <v/>
      </c>
      <c r="M238" s="36" t="str">
        <f aca="false">IF(OR(NOT(AND(ISNUMBER(E238),ISNUMBER(F238))),$J$2=""),"",IF(Reprogramaciones!Q$9&lt;E238,0,IF(NETWORKDAYS.INTL(E238,F238,11)=0,IF(Reprogramaciones!Q$9&gt;=F238,100,0),ROUND(NETWORKDAYS.INTL(E238,MIN(F238,Reprogramaciones!Q$9),11)/NETWORKDAYS.INTL(E238,F238,11)*100,1)))-IF(Reprogramaciones!P$9&lt;E238,0,IF(NETWORKDAYS.INTL(E238,F238,11)=0,IF(Reprogramaciones!P$9&gt;=F238,100,0),ROUND(NETWORKDAYS.INTL(E238,MIN(F238,Reprogramaciones!P$9),11)/NETWORKDAYS.INTL(E238,F238,11)*100,1))))</f>
        <v/>
      </c>
      <c r="N238" s="36" t="str">
        <f aca="false">IF(OR(NOT(AND(ISNUMBER(E238),ISNUMBER(F238))),$J$2=""),"",IF(Reprogramaciones!R$9&lt;E238,0,IF(NETWORKDAYS.INTL(E238,F238,11)=0,IF(Reprogramaciones!R$9&gt;=F238,100,0),ROUND(NETWORKDAYS.INTL(E238,MIN(F238,Reprogramaciones!R$9),11)/NETWORKDAYS.INTL(E238,F238,11)*100,1)))-IF(Reprogramaciones!Q$9&lt;E238,0,IF(NETWORKDAYS.INTL(E238,F238,11)=0,IF(Reprogramaciones!Q$9&gt;=F238,100,0),ROUND(NETWORKDAYS.INTL(E238,MIN(F238,Reprogramaciones!Q$9),11)/NETWORKDAYS.INTL(E238,F238,11)*100,1))))</f>
        <v/>
      </c>
      <c r="O238" s="36" t="str">
        <f aca="false">IF(OR(NOT(AND(ISNUMBER(E238),ISNUMBER(F238))),$J$2=""),"",IF(Reprogramaciones!S$9&lt;E238,0,IF(NETWORKDAYS.INTL(E238,F238,11)=0,IF(Reprogramaciones!S$9&gt;=F238,100,0),ROUND(NETWORKDAYS.INTL(E238,MIN(F238,Reprogramaciones!S$9),11)/NETWORKDAYS.INTL(E238,F238,11)*100,1)))-IF(Reprogramaciones!R$9&lt;E238,0,IF(NETWORKDAYS.INTL(E238,F238,11)=0,IF(Reprogramaciones!R$9&gt;=F238,100,0),ROUND(NETWORKDAYS.INTL(E238,MIN(F238,Reprogramaciones!R$9),11)/NETWORKDAYS.INTL(E238,F238,11)*100,1))))</f>
        <v/>
      </c>
      <c r="P238" s="36" t="str">
        <f aca="false">IF(OR(NOT(AND(ISNUMBER(E238),ISNUMBER(F238))),$J$2=""),"",IF(Reprogramaciones!T$9&lt;E238,0,IF(NETWORKDAYS.INTL(E238,F238,11)=0,IF(Reprogramaciones!T$9&gt;=F238,100,0),ROUND(NETWORKDAYS.INTL(E238,MIN(F238,Reprogramaciones!T$9),11)/NETWORKDAYS.INTL(E238,F238,11)*100,1)))-IF(Reprogramaciones!S$9&lt;E238,0,IF(NETWORKDAYS.INTL(E238,F238,11)=0,IF(Reprogramaciones!S$9&gt;=F238,100,0),ROUND(NETWORKDAYS.INTL(E238,MIN(F238,Reprogramaciones!S$9),11)/NETWORKDAYS.INTL(E238,F238,11)*100,1))))</f>
        <v/>
      </c>
      <c r="Q238" s="37"/>
      <c r="R238" s="37"/>
      <c r="S238" s="37"/>
      <c r="T238" s="37"/>
      <c r="U238" s="37"/>
      <c r="V238" s="37"/>
      <c r="W238" s="37"/>
      <c r="X238" s="37"/>
      <c r="Y238" s="37"/>
      <c r="Z238" s="37"/>
      <c r="AA238" s="37"/>
      <c r="AB238" s="37"/>
      <c r="AC238" s="37"/>
      <c r="AD238" s="37"/>
      <c r="AE238" s="37"/>
      <c r="AF238" s="37"/>
      <c r="AG238" s="38" t="str">
        <f aca="false">IF(AND(ISNUMBER(E238),ISNUMBER(F238)),NETWORKDAYS.INTL(E238,F238,11),"")</f>
        <v/>
      </c>
      <c r="AH238" s="38" t="str">
        <f aca="false">IF(OR(NOT(AND(ISNUMBER(E238),ISNUMBER(F238))),$J$2=""),"",IF(Reprogramaciones!$P$15&lt;Reprogramaciones!$T$15,0,IF(Reprogramaciones!$R$15&gt;10,MIN(100,SUM($G238:$P238)),MIN(100,SUMPRODUCT((COLUMN($G238:$P238)-COLUMN($G238)+1&lt;Reprogramaciones!$R$15)*$G238:$P238)+N(INDEX($G238:$P238,1,Reprogramaciones!$R$15))*IF(Reprogramaciones!$P$15&gt;=(Reprogramaciones!$T$15+7*(Reprogramaciones!$R$15-1))+6,1,IF(MAX(0,NETWORKDAYS.INTL(MAX(E238,(Reprogramaciones!$T$15+7*(Reprogramaciones!$R$15-1))),MIN(F238,(Reprogramaciones!$T$15+7*(Reprogramaciones!$R$15-1))+6),11))=0,0,MAX(0,NETWORKDAYS.INTL(MAX(E238,(Reprogramaciones!$T$15+7*(Reprogramaciones!$R$15-1))),MIN(F238,Reprogramaciones!$P$15),11))/MAX(0,NETWORKDAYS.INTL(MAX(E238,(Reprogramaciones!$T$15+7*(Reprogramaciones!$R$15-1))),MIN(F238,(Reprogramaciones!$T$15+7*(Reprogramaciones!$R$15-1))+6),11))))))))</f>
        <v/>
      </c>
      <c r="AI238" s="38" t="str">
        <f aca="false">IF(COUNT($Q238:$AF238)=0,"",IF(ROUND(SUM($Q238:$AF238),1)&gt;=99.5,100,MIN(100,ROUND(SUM($Q238:$AF238),1))))</f>
        <v/>
      </c>
      <c r="AJ238" s="38" t="str">
        <f aca="false">IF(OR(AH238="",AI238=""),"",AI238-AH238)</f>
        <v/>
      </c>
      <c r="AK238" s="39" t="str">
        <f aca="true">IF(AH238="","",IF(OR(Ficha!$C$10="Suspendida",Ficha!$C$10="Cancelada"),Ficha!$C$10,IF(AND(AI238&lt;&gt;"",N(AI238)&gt;=100),"Completada",IF(AND(E238&gt;TODAY(),N(AI238)=0),"Por iniciar",IF(N(AI238)+0.5&lt;AH238,"Retrasada",IF(N(AI238)+0.5&lt;DA238,IF(Reprogramaciones!$K$15&gt;0,"Al día · Sem "&amp;Reprogramaciones!$K$15&amp;" en curso","Al día · en curso"),"A tiempo"))))))</f>
        <v/>
      </c>
      <c r="AL238" s="39" t="str">
        <f aca="true">IF(AND(A238="",AND(B238="",C238="",E238="",F238="",COUNT(Q238:AF238)=0)),"",IF(AND(B238="",C238="",E238="",F238="",COUNT(Q238:AF238)=0),"Falta la partida o subpartida",IF(AND(A238&lt;&gt;"",COUNTIF($A$6:$A$305,A238)&gt;1),"Ítem repetido",IF(AND(C238="",E238="",F238="",COUNT(Q238:AF238)=0),"Título de partida",IF(OR(E238="",F238=""),"Faltan fechas",IF(OR(ISTEXT(E238),ISTEXT(F238)),"Fecha escrita como texto: usa dd/mm/aaaa",IF(F238&lt;E238,"Fin antes del inicio",IF(IF($J$2="",FALSE(),OR(E238&lt;$J$2,F238&gt;Reprogramaciones!$T$15+69)),"Fuera de las 10 semanas",IF(ABS(SUM(G238:P238)-100)&gt;0.5,"La meta no suma 100%",IF(ROUND(SUM(Q238:AF238),1)&gt;100.5,"El avance pasa de 100%",IF(MIN(Q238:AF238)&lt;0,"Avance negativo",IF(COUNTA(Q238:AF238)&gt;COUNT(Q238:AF238),"Avance escrito como texto",IF(SUMPRODUCT((Q238:AF238&gt;0)*(Q238:AF238&lt;1))&gt;0,"Avance menor a 1: escribe 50, no 50%",IF(SUMPRODUCT(ISNUMBER(Q238:AF238)*(Reprogramaciones!$K$8:$Z$8&gt;TODAY()))&gt;0,"Avance en semana que aún no llega",IF(AND(N(Reprogramaciones!$E$21)&gt;0,F238&gt;Reprogramaciones!$E$21),"Pasa el fin de la obra: registra una reprogramación",IF(AND(N(Reprogramaciones!$E$21)&gt;0,SUMPRODUCT(ISNUMBER(Q238:AF238)*(Reprogramaciones!$K$8:$Z$8&gt;Reprogramaciones!$E$21))&gt;0),"Avance después del fin de la obra: registra una reprogramación por atraso","OK"))))))))))))))))</f>
        <v/>
      </c>
      <c r="AM238" s="40" t="str">
        <f aca="false">IF(OR(OR(NOT(AND(ISNUMBER(E238),ISNUMBER(F238))),$J$2=""),1&gt;MAX(1,Reprogramaciones!$U$15)),"",IF(Reprogramaciones!K$12&gt;=7,"",IF(OR(BT238-N(0)&gt;0.05,N(Q238)&gt;0),ROUNDDOWN(ROUND(BT238,6),0)&amp;"%"&amp;IF(CJ238="",""," / "&amp;CJ238&amp;"%"),IF(AND(N(0)&gt;=99.95,CJ238&lt;&gt;"",N(CJ238)&lt;100),"Pend. "&amp;CJ238&amp;"%",""))))</f>
        <v/>
      </c>
      <c r="AN238" s="40" t="str">
        <f aca="false">IF(OR(OR(NOT(AND(ISNUMBER(E238),ISNUMBER(F238))),$J$2=""),2&gt;MAX(1,Reprogramaciones!$U$15)),"",IF(Reprogramaciones!L$12&gt;=7,"",IF(OR(BU238-N(BT238)&gt;0.05,N(R238)&gt;0),ROUNDDOWN(ROUND(BU238,6),0)&amp;"%"&amp;IF(CK238="",""," / "&amp;CK238&amp;"%"),IF(AND(N(BT238)&gt;=99.95,CK238&lt;&gt;"",N(CK238)&lt;100),"Pend. "&amp;CK238&amp;"%",""))))</f>
        <v/>
      </c>
      <c r="AO238" s="40" t="str">
        <f aca="false">IF(OR(OR(NOT(AND(ISNUMBER(E238),ISNUMBER(F238))),$J$2=""),3&gt;MAX(1,Reprogramaciones!$U$15)),"",IF(Reprogramaciones!M$12&gt;=7,"",IF(OR(BV238-N(BU238)&gt;0.05,N(S238)&gt;0),ROUNDDOWN(ROUND(BV238,6),0)&amp;"%"&amp;IF(CL238="",""," / "&amp;CL238&amp;"%"),IF(AND(N(BU238)&gt;=99.95,CL238&lt;&gt;"",N(CL238)&lt;100),"Pend. "&amp;CL238&amp;"%",""))))</f>
        <v/>
      </c>
      <c r="AP238" s="40" t="str">
        <f aca="false">IF(OR(OR(NOT(AND(ISNUMBER(E238),ISNUMBER(F238))),$J$2=""),4&gt;MAX(1,Reprogramaciones!$U$15)),"",IF(Reprogramaciones!N$12&gt;=7,"",IF(OR(BW238-N(BV238)&gt;0.05,N(T238)&gt;0),ROUNDDOWN(ROUND(BW238,6),0)&amp;"%"&amp;IF(CM238="",""," / "&amp;CM238&amp;"%"),IF(AND(N(BV238)&gt;=99.95,CM238&lt;&gt;"",N(CM238)&lt;100),"Pend. "&amp;CM238&amp;"%",""))))</f>
        <v/>
      </c>
      <c r="AQ238" s="40" t="str">
        <f aca="false">IF(OR(OR(NOT(AND(ISNUMBER(E238),ISNUMBER(F238))),$J$2=""),5&gt;MAX(1,Reprogramaciones!$U$15)),"",IF(Reprogramaciones!O$12&gt;=7,"",IF(OR(BX238-N(BW238)&gt;0.05,N(U238)&gt;0),ROUNDDOWN(ROUND(BX238,6),0)&amp;"%"&amp;IF(CN238="",""," / "&amp;CN238&amp;"%"),IF(AND(N(BW238)&gt;=99.95,CN238&lt;&gt;"",N(CN238)&lt;100),"Pend. "&amp;CN238&amp;"%",""))))</f>
        <v/>
      </c>
      <c r="AR238" s="40" t="str">
        <f aca="false">IF(OR(OR(NOT(AND(ISNUMBER(E238),ISNUMBER(F238))),$J$2=""),6&gt;MAX(1,Reprogramaciones!$U$15)),"",IF(Reprogramaciones!P$12&gt;=7,"",IF(OR(BY238-N(BX238)&gt;0.05,N(V238)&gt;0),ROUNDDOWN(ROUND(BY238,6),0)&amp;"%"&amp;IF(CO238="",""," / "&amp;CO238&amp;"%"),IF(AND(N(BX238)&gt;=99.95,CO238&lt;&gt;"",N(CO238)&lt;100),"Pend. "&amp;CO238&amp;"%",""))))</f>
        <v/>
      </c>
      <c r="AS238" s="40" t="str">
        <f aca="false">IF(OR(OR(NOT(AND(ISNUMBER(E238),ISNUMBER(F238))),$J$2=""),7&gt;MAX(1,Reprogramaciones!$U$15)),"",IF(Reprogramaciones!Q$12&gt;=7,"",IF(OR(BZ238-N(BY238)&gt;0.05,N(W238)&gt;0),ROUNDDOWN(ROUND(BZ238,6),0)&amp;"%"&amp;IF(CP238="",""," / "&amp;CP238&amp;"%"),IF(AND(N(BY238)&gt;=99.95,CP238&lt;&gt;"",N(CP238)&lt;100),"Pend. "&amp;CP238&amp;"%",""))))</f>
        <v/>
      </c>
      <c r="AT238" s="40" t="str">
        <f aca="false">IF(OR(OR(NOT(AND(ISNUMBER(E238),ISNUMBER(F238))),$J$2=""),8&gt;MAX(1,Reprogramaciones!$U$15)),"",IF(Reprogramaciones!R$12&gt;=7,"",IF(OR(CA238-N(BZ238)&gt;0.05,N(X238)&gt;0),ROUNDDOWN(ROUND(CA238,6),0)&amp;"%"&amp;IF(CQ238="",""," / "&amp;CQ238&amp;"%"),IF(AND(N(BZ238)&gt;=99.95,CQ238&lt;&gt;"",N(CQ238)&lt;100),"Pend. "&amp;CQ238&amp;"%",""))))</f>
        <v/>
      </c>
      <c r="AU238" s="40" t="str">
        <f aca="false">IF(OR(OR(NOT(AND(ISNUMBER(E238),ISNUMBER(F238))),$J$2=""),9&gt;MAX(1,Reprogramaciones!$U$15)),"",IF(Reprogramaciones!S$12&gt;=7,"",IF(OR(CB238-N(CA238)&gt;0.05,N(Y238)&gt;0),ROUNDDOWN(ROUND(CB238,6),0)&amp;"%"&amp;IF(CR238="",""," / "&amp;CR238&amp;"%"),IF(AND(N(CA238)&gt;=99.95,CR238&lt;&gt;"",N(CR238)&lt;100),"Pend. "&amp;CR238&amp;"%",""))))</f>
        <v/>
      </c>
      <c r="AV238" s="40" t="str">
        <f aca="false">IF(OR(OR(NOT(AND(ISNUMBER(E238),ISNUMBER(F238))),$J$2=""),10&gt;MAX(1,Reprogramaciones!$U$15)),"",IF(Reprogramaciones!T$12&gt;=7,"",IF(OR(CC238-N(CB238)&gt;0.05,N(Z238)&gt;0),ROUNDDOWN(ROUND(CC238,6),0)&amp;"%"&amp;IF(CS238="",""," / "&amp;CS238&amp;"%"),IF(AND(N(CB238)&gt;=99.95,CS238&lt;&gt;"",N(CS238)&lt;100),"Pend. "&amp;CS238&amp;"%",""))))</f>
        <v/>
      </c>
      <c r="AW238" s="40" t="str">
        <f aca="false">IF(OR(OR(NOT(AND(ISNUMBER(E238),ISNUMBER(F238))),$J$2=""),11&gt;MAX(1,Reprogramaciones!$U$15)),"",IF(Reprogramaciones!U$12&gt;=7,"",IF(OR(CD238-N(CC238)&gt;0.05,N(AA238)&gt;0),ROUNDDOWN(ROUND(CD238,6),0)&amp;"%"&amp;IF(CT238="",""," / "&amp;CT238&amp;"%"),IF(AND(N(CC238)&gt;=99.95,CT238&lt;&gt;"",N(CT238)&lt;100),"Pend. "&amp;CT238&amp;"%",""))))</f>
        <v/>
      </c>
      <c r="AX238" s="40" t="str">
        <f aca="false">IF(OR(OR(NOT(AND(ISNUMBER(E238),ISNUMBER(F238))),$J$2=""),12&gt;MAX(1,Reprogramaciones!$U$15)),"",IF(Reprogramaciones!V$12&gt;=7,"",IF(OR(CE238-N(CD238)&gt;0.05,N(AB238)&gt;0),ROUNDDOWN(ROUND(CE238,6),0)&amp;"%"&amp;IF(CU238="",""," / "&amp;CU238&amp;"%"),IF(AND(N(CD238)&gt;=99.95,CU238&lt;&gt;"",N(CU238)&lt;100),"Pend. "&amp;CU238&amp;"%",""))))</f>
        <v/>
      </c>
      <c r="AY238" s="40" t="str">
        <f aca="false">IF(OR(OR(NOT(AND(ISNUMBER(E238),ISNUMBER(F238))),$J$2=""),13&gt;MAX(1,Reprogramaciones!$U$15)),"",IF(Reprogramaciones!W$12&gt;=7,"",IF(OR(CF238-N(CE238)&gt;0.05,N(AC238)&gt;0),ROUNDDOWN(ROUND(CF238,6),0)&amp;"%"&amp;IF(CV238="",""," / "&amp;CV238&amp;"%"),IF(AND(N(CE238)&gt;=99.95,CV238&lt;&gt;"",N(CV238)&lt;100),"Pend. "&amp;CV238&amp;"%",""))))</f>
        <v/>
      </c>
      <c r="AZ238" s="40" t="str">
        <f aca="false">IF(OR(OR(NOT(AND(ISNUMBER(E238),ISNUMBER(F238))),$J$2=""),14&gt;MAX(1,Reprogramaciones!$U$15)),"",IF(Reprogramaciones!X$12&gt;=7,"",IF(OR(CG238-N(CF238)&gt;0.05,N(AD238)&gt;0),ROUNDDOWN(ROUND(CG238,6),0)&amp;"%"&amp;IF(CW238="",""," / "&amp;CW238&amp;"%"),IF(AND(N(CF238)&gt;=99.95,CW238&lt;&gt;"",N(CW238)&lt;100),"Pend. "&amp;CW238&amp;"%",""))))</f>
        <v/>
      </c>
      <c r="BA238" s="40" t="str">
        <f aca="false">IF(OR(OR(NOT(AND(ISNUMBER(E238),ISNUMBER(F238))),$J$2=""),15&gt;MAX(1,Reprogramaciones!$U$15)),"",IF(Reprogramaciones!Y$12&gt;=7,"",IF(OR(CH238-N(CG238)&gt;0.05,N(AE238)&gt;0),ROUNDDOWN(ROUND(CH238,6),0)&amp;"%"&amp;IF(CX238="",""," / "&amp;CX238&amp;"%"),IF(AND(N(CG238)&gt;=99.95,CX238&lt;&gt;"",N(CX238)&lt;100),"Pend. "&amp;CX238&amp;"%",""))))</f>
        <v/>
      </c>
      <c r="BB238" s="40" t="str">
        <f aca="false">IF(OR(OR(NOT(AND(ISNUMBER(E238),ISNUMBER(F238))),$J$2=""),16&gt;MAX(1,Reprogramaciones!$U$15)),"",IF(Reprogramaciones!Z$12&gt;=7,"",IF(OR(CI238-N(CH238)&gt;0.05,N(AF238)&gt;0),ROUNDDOWN(ROUND(CI238,6),0)&amp;"%"&amp;IF(CY238="",""," / "&amp;CY238&amp;"%"),IF(AND(N(CH238)&gt;=99.95,CY238&lt;&gt;"",N(CY238)&lt;100),"Pend. "&amp;CY238&amp;"%",""))))</f>
        <v/>
      </c>
      <c r="BC238" s="31" t="n">
        <f aca="false">IF(AND(ISNUMBER(E238),ISNUMBER(F238)),MAX(1,NETWORKDAYS.INTL(E238,F238,11)),0)</f>
        <v>0</v>
      </c>
      <c r="BD238" s="1" t="str">
        <f aca="false">IF(OR(NOT(AND(ISNUMBER(E238),ISNUMBER(F238))),$J$2=""),"",MIN(100,ROUND(SUM($G238:G238),1)))</f>
        <v/>
      </c>
      <c r="BE238" s="1" t="str">
        <f aca="false">IF(OR(NOT(AND(ISNUMBER(E238),ISNUMBER(F238))),$J$2=""),"",MIN(100,ROUND(SUM($G238:H238),1)))</f>
        <v/>
      </c>
      <c r="BF238" s="1" t="str">
        <f aca="false">IF(OR(NOT(AND(ISNUMBER(E238),ISNUMBER(F238))),$J$2=""),"",MIN(100,ROUND(SUM($G238:I238),1)))</f>
        <v/>
      </c>
      <c r="BG238" s="1" t="str">
        <f aca="false">IF(OR(NOT(AND(ISNUMBER(E238),ISNUMBER(F238))),$J$2=""),"",MIN(100,ROUND(SUM($G238:J238),1)))</f>
        <v/>
      </c>
      <c r="BH238" s="1" t="str">
        <f aca="false">IF(OR(NOT(AND(ISNUMBER(E238),ISNUMBER(F238))),$J$2=""),"",MIN(100,ROUND(SUM($G238:K238),1)))</f>
        <v/>
      </c>
      <c r="BI238" s="1" t="str">
        <f aca="false">IF(OR(NOT(AND(ISNUMBER(E238),ISNUMBER(F238))),$J$2=""),"",MIN(100,ROUND(SUM($G238:L238),1)))</f>
        <v/>
      </c>
      <c r="BJ238" s="1" t="str">
        <f aca="false">IF(OR(NOT(AND(ISNUMBER(E238),ISNUMBER(F238))),$J$2=""),"",MIN(100,ROUND(SUM($G238:M238),1)))</f>
        <v/>
      </c>
      <c r="BK238" s="1" t="str">
        <f aca="false">IF(OR(NOT(AND(ISNUMBER(E238),ISNUMBER(F238))),$J$2=""),"",MIN(100,ROUND(SUM($G238:N238),1)))</f>
        <v/>
      </c>
      <c r="BL238" s="1" t="str">
        <f aca="false">IF(OR(NOT(AND(ISNUMBER(E238),ISNUMBER(F238))),$J$2=""),"",MIN(100,ROUND(SUM($G238:O238),1)))</f>
        <v/>
      </c>
      <c r="BM238" s="1" t="str">
        <f aca="false">IF(OR(NOT(AND(ISNUMBER(E238),ISNUMBER(F238))),$J$2=""),"",MIN(100,ROUND(SUM($G238:P238),1)))</f>
        <v/>
      </c>
      <c r="BN238" s="1" t="str">
        <f aca="false">IF(OR(NOT(AND(ISNUMBER(E238),ISNUMBER(F238))),$J$2=""),"",MIN(100,ROUND(SUM($G238:P238),1)))</f>
        <v/>
      </c>
      <c r="BO238" s="1" t="str">
        <f aca="false">IF(OR(NOT(AND(ISNUMBER(E238),ISNUMBER(F238))),$J$2=""),"",MIN(100,ROUND(SUM($G238:P238),1)))</f>
        <v/>
      </c>
      <c r="BP238" s="1" t="str">
        <f aca="false">IF(OR(NOT(AND(ISNUMBER(E238),ISNUMBER(F238))),$J$2=""),"",MIN(100,ROUND(SUM($G238:P238),1)))</f>
        <v/>
      </c>
      <c r="BQ238" s="1" t="str">
        <f aca="false">IF(OR(NOT(AND(ISNUMBER(E238),ISNUMBER(F238))),$J$2=""),"",MIN(100,ROUND(SUM($G238:P238),1)))</f>
        <v/>
      </c>
      <c r="BR238" s="1" t="str">
        <f aca="false">IF(OR(NOT(AND(ISNUMBER(E238),ISNUMBER(F238))),$J$2=""),"",MIN(100,ROUND(SUM($G238:P238),1)))</f>
        <v/>
      </c>
      <c r="BS238" s="1" t="str">
        <f aca="false">IF(OR(NOT(AND(ISNUMBER(E238),ISNUMBER(F238))),$J$2=""),"",MIN(100,ROUND(SUM($G238:P238),1)))</f>
        <v/>
      </c>
      <c r="BT238" s="1" t="str">
        <f aca="false">IF(OR(NOT(AND(ISNUMBER(E238),ISNUMBER(F238))),$J$2=""),"",IF(Reprogramaciones!K$13&lt;Reprogramaciones!$T$15,0,IF(Reprogramaciones!K$14&gt;10,MIN(100,SUM($G238:$P238)),MIN(100,SUMPRODUCT((COLUMN($G238:$P238)-COLUMN($G238)+1&lt;Reprogramaciones!K$14)*$G238:$P238)+N(INDEX($G238:$P238,1,Reprogramaciones!K$14))*IF(Reprogramaciones!K$13&gt;=(Reprogramaciones!$T$15+7*(Reprogramaciones!K$14-1))+6,1,IF(MAX(0,NETWORKDAYS.INTL(MAX(E238,(Reprogramaciones!$T$15+7*(Reprogramaciones!K$14-1))),MIN(F238,(Reprogramaciones!$T$15+7*(Reprogramaciones!K$14-1))+6),11))=0,0,MAX(0,NETWORKDAYS.INTL(MAX(E238,(Reprogramaciones!$T$15+7*(Reprogramaciones!K$14-1))),MIN(F238,Reprogramaciones!K$13),11))/MAX(0,NETWORKDAYS.INTL(MAX(E238,(Reprogramaciones!$T$15+7*(Reprogramaciones!K$14-1))),MIN(F238,(Reprogramaciones!$T$15+7*(Reprogramaciones!K$14-1))+6),11))))))))</f>
        <v/>
      </c>
      <c r="BU238" s="1" t="str">
        <f aca="false">IF(OR(NOT(AND(ISNUMBER(E238),ISNUMBER(F238))),$J$2=""),"",IF(Reprogramaciones!L$13&lt;Reprogramaciones!$T$15,0,IF(Reprogramaciones!L$14&gt;10,MIN(100,SUM($G238:$P238)),MIN(100,SUMPRODUCT((COLUMN($G238:$P238)-COLUMN($G238)+1&lt;Reprogramaciones!L$14)*$G238:$P238)+N(INDEX($G238:$P238,1,Reprogramaciones!L$14))*IF(Reprogramaciones!L$13&gt;=(Reprogramaciones!$T$15+7*(Reprogramaciones!L$14-1))+6,1,IF(MAX(0,NETWORKDAYS.INTL(MAX(E238,(Reprogramaciones!$T$15+7*(Reprogramaciones!L$14-1))),MIN(F238,(Reprogramaciones!$T$15+7*(Reprogramaciones!L$14-1))+6),11))=0,0,MAX(0,NETWORKDAYS.INTL(MAX(E238,(Reprogramaciones!$T$15+7*(Reprogramaciones!L$14-1))),MIN(F238,Reprogramaciones!L$13),11))/MAX(0,NETWORKDAYS.INTL(MAX(E238,(Reprogramaciones!$T$15+7*(Reprogramaciones!L$14-1))),MIN(F238,(Reprogramaciones!$T$15+7*(Reprogramaciones!L$14-1))+6),11))))))))</f>
        <v/>
      </c>
      <c r="BV238" s="1" t="str">
        <f aca="false">IF(OR(NOT(AND(ISNUMBER(E238),ISNUMBER(F238))),$J$2=""),"",IF(Reprogramaciones!M$13&lt;Reprogramaciones!$T$15,0,IF(Reprogramaciones!M$14&gt;10,MIN(100,SUM($G238:$P238)),MIN(100,SUMPRODUCT((COLUMN($G238:$P238)-COLUMN($G238)+1&lt;Reprogramaciones!M$14)*$G238:$P238)+N(INDEX($G238:$P238,1,Reprogramaciones!M$14))*IF(Reprogramaciones!M$13&gt;=(Reprogramaciones!$T$15+7*(Reprogramaciones!M$14-1))+6,1,IF(MAX(0,NETWORKDAYS.INTL(MAX(E238,(Reprogramaciones!$T$15+7*(Reprogramaciones!M$14-1))),MIN(F238,(Reprogramaciones!$T$15+7*(Reprogramaciones!M$14-1))+6),11))=0,0,MAX(0,NETWORKDAYS.INTL(MAX(E238,(Reprogramaciones!$T$15+7*(Reprogramaciones!M$14-1))),MIN(F238,Reprogramaciones!M$13),11))/MAX(0,NETWORKDAYS.INTL(MAX(E238,(Reprogramaciones!$T$15+7*(Reprogramaciones!M$14-1))),MIN(F238,(Reprogramaciones!$T$15+7*(Reprogramaciones!M$14-1))+6),11))))))))</f>
        <v/>
      </c>
      <c r="BW238" s="1" t="str">
        <f aca="false">IF(OR(NOT(AND(ISNUMBER(E238),ISNUMBER(F238))),$J$2=""),"",IF(Reprogramaciones!N$13&lt;Reprogramaciones!$T$15,0,IF(Reprogramaciones!N$14&gt;10,MIN(100,SUM($G238:$P238)),MIN(100,SUMPRODUCT((COLUMN($G238:$P238)-COLUMN($G238)+1&lt;Reprogramaciones!N$14)*$G238:$P238)+N(INDEX($G238:$P238,1,Reprogramaciones!N$14))*IF(Reprogramaciones!N$13&gt;=(Reprogramaciones!$T$15+7*(Reprogramaciones!N$14-1))+6,1,IF(MAX(0,NETWORKDAYS.INTL(MAX(E238,(Reprogramaciones!$T$15+7*(Reprogramaciones!N$14-1))),MIN(F238,(Reprogramaciones!$T$15+7*(Reprogramaciones!N$14-1))+6),11))=0,0,MAX(0,NETWORKDAYS.INTL(MAX(E238,(Reprogramaciones!$T$15+7*(Reprogramaciones!N$14-1))),MIN(F238,Reprogramaciones!N$13),11))/MAX(0,NETWORKDAYS.INTL(MAX(E238,(Reprogramaciones!$T$15+7*(Reprogramaciones!N$14-1))),MIN(F238,(Reprogramaciones!$T$15+7*(Reprogramaciones!N$14-1))+6),11))))))))</f>
        <v/>
      </c>
      <c r="BX238" s="1" t="str">
        <f aca="false">IF(OR(NOT(AND(ISNUMBER(E238),ISNUMBER(F238))),$J$2=""),"",IF(Reprogramaciones!O$13&lt;Reprogramaciones!$T$15,0,IF(Reprogramaciones!O$14&gt;10,MIN(100,SUM($G238:$P238)),MIN(100,SUMPRODUCT((COLUMN($G238:$P238)-COLUMN($G238)+1&lt;Reprogramaciones!O$14)*$G238:$P238)+N(INDEX($G238:$P238,1,Reprogramaciones!O$14))*IF(Reprogramaciones!O$13&gt;=(Reprogramaciones!$T$15+7*(Reprogramaciones!O$14-1))+6,1,IF(MAX(0,NETWORKDAYS.INTL(MAX(E238,(Reprogramaciones!$T$15+7*(Reprogramaciones!O$14-1))),MIN(F238,(Reprogramaciones!$T$15+7*(Reprogramaciones!O$14-1))+6),11))=0,0,MAX(0,NETWORKDAYS.INTL(MAX(E238,(Reprogramaciones!$T$15+7*(Reprogramaciones!O$14-1))),MIN(F238,Reprogramaciones!O$13),11))/MAX(0,NETWORKDAYS.INTL(MAX(E238,(Reprogramaciones!$T$15+7*(Reprogramaciones!O$14-1))),MIN(F238,(Reprogramaciones!$T$15+7*(Reprogramaciones!O$14-1))+6),11))))))))</f>
        <v/>
      </c>
      <c r="BY238" s="1" t="str">
        <f aca="false">IF(OR(NOT(AND(ISNUMBER(E238),ISNUMBER(F238))),$J$2=""),"",IF(Reprogramaciones!P$13&lt;Reprogramaciones!$T$15,0,IF(Reprogramaciones!P$14&gt;10,MIN(100,SUM($G238:$P238)),MIN(100,SUMPRODUCT((COLUMN($G238:$P238)-COLUMN($G238)+1&lt;Reprogramaciones!P$14)*$G238:$P238)+N(INDEX($G238:$P238,1,Reprogramaciones!P$14))*IF(Reprogramaciones!P$13&gt;=(Reprogramaciones!$T$15+7*(Reprogramaciones!P$14-1))+6,1,IF(MAX(0,NETWORKDAYS.INTL(MAX(E238,(Reprogramaciones!$T$15+7*(Reprogramaciones!P$14-1))),MIN(F238,(Reprogramaciones!$T$15+7*(Reprogramaciones!P$14-1))+6),11))=0,0,MAX(0,NETWORKDAYS.INTL(MAX(E238,(Reprogramaciones!$T$15+7*(Reprogramaciones!P$14-1))),MIN(F238,Reprogramaciones!P$13),11))/MAX(0,NETWORKDAYS.INTL(MAX(E238,(Reprogramaciones!$T$15+7*(Reprogramaciones!P$14-1))),MIN(F238,(Reprogramaciones!$T$15+7*(Reprogramaciones!P$14-1))+6),11))))))))</f>
        <v/>
      </c>
      <c r="BZ238" s="1" t="str">
        <f aca="false">IF(OR(NOT(AND(ISNUMBER(E238),ISNUMBER(F238))),$J$2=""),"",IF(Reprogramaciones!Q$13&lt;Reprogramaciones!$T$15,0,IF(Reprogramaciones!Q$14&gt;10,MIN(100,SUM($G238:$P238)),MIN(100,SUMPRODUCT((COLUMN($G238:$P238)-COLUMN($G238)+1&lt;Reprogramaciones!Q$14)*$G238:$P238)+N(INDEX($G238:$P238,1,Reprogramaciones!Q$14))*IF(Reprogramaciones!Q$13&gt;=(Reprogramaciones!$T$15+7*(Reprogramaciones!Q$14-1))+6,1,IF(MAX(0,NETWORKDAYS.INTL(MAX(E238,(Reprogramaciones!$T$15+7*(Reprogramaciones!Q$14-1))),MIN(F238,(Reprogramaciones!$T$15+7*(Reprogramaciones!Q$14-1))+6),11))=0,0,MAX(0,NETWORKDAYS.INTL(MAX(E238,(Reprogramaciones!$T$15+7*(Reprogramaciones!Q$14-1))),MIN(F238,Reprogramaciones!Q$13),11))/MAX(0,NETWORKDAYS.INTL(MAX(E238,(Reprogramaciones!$T$15+7*(Reprogramaciones!Q$14-1))),MIN(F238,(Reprogramaciones!$T$15+7*(Reprogramaciones!Q$14-1))+6),11))))))))</f>
        <v/>
      </c>
      <c r="CA238" s="1" t="str">
        <f aca="false">IF(OR(NOT(AND(ISNUMBER(E238),ISNUMBER(F238))),$J$2=""),"",IF(Reprogramaciones!R$13&lt;Reprogramaciones!$T$15,0,IF(Reprogramaciones!R$14&gt;10,MIN(100,SUM($G238:$P238)),MIN(100,SUMPRODUCT((COLUMN($G238:$P238)-COLUMN($G238)+1&lt;Reprogramaciones!R$14)*$G238:$P238)+N(INDEX($G238:$P238,1,Reprogramaciones!R$14))*IF(Reprogramaciones!R$13&gt;=(Reprogramaciones!$T$15+7*(Reprogramaciones!R$14-1))+6,1,IF(MAX(0,NETWORKDAYS.INTL(MAX(E238,(Reprogramaciones!$T$15+7*(Reprogramaciones!R$14-1))),MIN(F238,(Reprogramaciones!$T$15+7*(Reprogramaciones!R$14-1))+6),11))=0,0,MAX(0,NETWORKDAYS.INTL(MAX(E238,(Reprogramaciones!$T$15+7*(Reprogramaciones!R$14-1))),MIN(F238,Reprogramaciones!R$13),11))/MAX(0,NETWORKDAYS.INTL(MAX(E238,(Reprogramaciones!$T$15+7*(Reprogramaciones!R$14-1))),MIN(F238,(Reprogramaciones!$T$15+7*(Reprogramaciones!R$14-1))+6),11))))))))</f>
        <v/>
      </c>
      <c r="CB238" s="1" t="str">
        <f aca="false">IF(OR(NOT(AND(ISNUMBER(E238),ISNUMBER(F238))),$J$2=""),"",IF(Reprogramaciones!S$13&lt;Reprogramaciones!$T$15,0,IF(Reprogramaciones!S$14&gt;10,MIN(100,SUM($G238:$P238)),MIN(100,SUMPRODUCT((COLUMN($G238:$P238)-COLUMN($G238)+1&lt;Reprogramaciones!S$14)*$G238:$P238)+N(INDEX($G238:$P238,1,Reprogramaciones!S$14))*IF(Reprogramaciones!S$13&gt;=(Reprogramaciones!$T$15+7*(Reprogramaciones!S$14-1))+6,1,IF(MAX(0,NETWORKDAYS.INTL(MAX(E238,(Reprogramaciones!$T$15+7*(Reprogramaciones!S$14-1))),MIN(F238,(Reprogramaciones!$T$15+7*(Reprogramaciones!S$14-1))+6),11))=0,0,MAX(0,NETWORKDAYS.INTL(MAX(E238,(Reprogramaciones!$T$15+7*(Reprogramaciones!S$14-1))),MIN(F238,Reprogramaciones!S$13),11))/MAX(0,NETWORKDAYS.INTL(MAX(E238,(Reprogramaciones!$T$15+7*(Reprogramaciones!S$14-1))),MIN(F238,(Reprogramaciones!$T$15+7*(Reprogramaciones!S$14-1))+6),11))))))))</f>
        <v/>
      </c>
      <c r="CC238" s="1" t="str">
        <f aca="false">IF(OR(NOT(AND(ISNUMBER(E238),ISNUMBER(F238))),$J$2=""),"",IF(Reprogramaciones!T$13&lt;Reprogramaciones!$T$15,0,IF(Reprogramaciones!T$14&gt;10,MIN(100,SUM($G238:$P238)),MIN(100,SUMPRODUCT((COLUMN($G238:$P238)-COLUMN($G238)+1&lt;Reprogramaciones!T$14)*$G238:$P238)+N(INDEX($G238:$P238,1,Reprogramaciones!T$14))*IF(Reprogramaciones!T$13&gt;=(Reprogramaciones!$T$15+7*(Reprogramaciones!T$14-1))+6,1,IF(MAX(0,NETWORKDAYS.INTL(MAX(E238,(Reprogramaciones!$T$15+7*(Reprogramaciones!T$14-1))),MIN(F238,(Reprogramaciones!$T$15+7*(Reprogramaciones!T$14-1))+6),11))=0,0,MAX(0,NETWORKDAYS.INTL(MAX(E238,(Reprogramaciones!$T$15+7*(Reprogramaciones!T$14-1))),MIN(F238,Reprogramaciones!T$13),11))/MAX(0,NETWORKDAYS.INTL(MAX(E238,(Reprogramaciones!$T$15+7*(Reprogramaciones!T$14-1))),MIN(F238,(Reprogramaciones!$T$15+7*(Reprogramaciones!T$14-1))+6),11))))))))</f>
        <v/>
      </c>
      <c r="CD238" s="1" t="str">
        <f aca="false">IF(OR(NOT(AND(ISNUMBER(E238),ISNUMBER(F238))),$J$2=""),"",IF(Reprogramaciones!U$13&lt;Reprogramaciones!$T$15,0,IF(Reprogramaciones!U$14&gt;10,MIN(100,SUM($G238:$P238)),MIN(100,SUMPRODUCT((COLUMN($G238:$P238)-COLUMN($G238)+1&lt;Reprogramaciones!U$14)*$G238:$P238)+N(INDEX($G238:$P238,1,Reprogramaciones!U$14))*IF(Reprogramaciones!U$13&gt;=(Reprogramaciones!$T$15+7*(Reprogramaciones!U$14-1))+6,1,IF(MAX(0,NETWORKDAYS.INTL(MAX(E238,(Reprogramaciones!$T$15+7*(Reprogramaciones!U$14-1))),MIN(F238,(Reprogramaciones!$T$15+7*(Reprogramaciones!U$14-1))+6),11))=0,0,MAX(0,NETWORKDAYS.INTL(MAX(E238,(Reprogramaciones!$T$15+7*(Reprogramaciones!U$14-1))),MIN(F238,Reprogramaciones!U$13),11))/MAX(0,NETWORKDAYS.INTL(MAX(E238,(Reprogramaciones!$T$15+7*(Reprogramaciones!U$14-1))),MIN(F238,(Reprogramaciones!$T$15+7*(Reprogramaciones!U$14-1))+6),11))))))))</f>
        <v/>
      </c>
      <c r="CE238" s="1" t="str">
        <f aca="false">IF(OR(NOT(AND(ISNUMBER(E238),ISNUMBER(F238))),$J$2=""),"",IF(Reprogramaciones!V$13&lt;Reprogramaciones!$T$15,0,IF(Reprogramaciones!V$14&gt;10,MIN(100,SUM($G238:$P238)),MIN(100,SUMPRODUCT((COLUMN($G238:$P238)-COLUMN($G238)+1&lt;Reprogramaciones!V$14)*$G238:$P238)+N(INDEX($G238:$P238,1,Reprogramaciones!V$14))*IF(Reprogramaciones!V$13&gt;=(Reprogramaciones!$T$15+7*(Reprogramaciones!V$14-1))+6,1,IF(MAX(0,NETWORKDAYS.INTL(MAX(E238,(Reprogramaciones!$T$15+7*(Reprogramaciones!V$14-1))),MIN(F238,(Reprogramaciones!$T$15+7*(Reprogramaciones!V$14-1))+6),11))=0,0,MAX(0,NETWORKDAYS.INTL(MAX(E238,(Reprogramaciones!$T$15+7*(Reprogramaciones!V$14-1))),MIN(F238,Reprogramaciones!V$13),11))/MAX(0,NETWORKDAYS.INTL(MAX(E238,(Reprogramaciones!$T$15+7*(Reprogramaciones!V$14-1))),MIN(F238,(Reprogramaciones!$T$15+7*(Reprogramaciones!V$14-1))+6),11))))))))</f>
        <v/>
      </c>
      <c r="CF238" s="1" t="str">
        <f aca="false">IF(OR(NOT(AND(ISNUMBER(E238),ISNUMBER(F238))),$J$2=""),"",IF(Reprogramaciones!W$13&lt;Reprogramaciones!$T$15,0,IF(Reprogramaciones!W$14&gt;10,MIN(100,SUM($G238:$P238)),MIN(100,SUMPRODUCT((COLUMN($G238:$P238)-COLUMN($G238)+1&lt;Reprogramaciones!W$14)*$G238:$P238)+N(INDEX($G238:$P238,1,Reprogramaciones!W$14))*IF(Reprogramaciones!W$13&gt;=(Reprogramaciones!$T$15+7*(Reprogramaciones!W$14-1))+6,1,IF(MAX(0,NETWORKDAYS.INTL(MAX(E238,(Reprogramaciones!$T$15+7*(Reprogramaciones!W$14-1))),MIN(F238,(Reprogramaciones!$T$15+7*(Reprogramaciones!W$14-1))+6),11))=0,0,MAX(0,NETWORKDAYS.INTL(MAX(E238,(Reprogramaciones!$T$15+7*(Reprogramaciones!W$14-1))),MIN(F238,Reprogramaciones!W$13),11))/MAX(0,NETWORKDAYS.INTL(MAX(E238,(Reprogramaciones!$T$15+7*(Reprogramaciones!W$14-1))),MIN(F238,(Reprogramaciones!$T$15+7*(Reprogramaciones!W$14-1))+6),11))))))))</f>
        <v/>
      </c>
      <c r="CG238" s="1" t="str">
        <f aca="false">IF(OR(NOT(AND(ISNUMBER(E238),ISNUMBER(F238))),$J$2=""),"",IF(Reprogramaciones!X$13&lt;Reprogramaciones!$T$15,0,IF(Reprogramaciones!X$14&gt;10,MIN(100,SUM($G238:$P238)),MIN(100,SUMPRODUCT((COLUMN($G238:$P238)-COLUMN($G238)+1&lt;Reprogramaciones!X$14)*$G238:$P238)+N(INDEX($G238:$P238,1,Reprogramaciones!X$14))*IF(Reprogramaciones!X$13&gt;=(Reprogramaciones!$T$15+7*(Reprogramaciones!X$14-1))+6,1,IF(MAX(0,NETWORKDAYS.INTL(MAX(E238,(Reprogramaciones!$T$15+7*(Reprogramaciones!X$14-1))),MIN(F238,(Reprogramaciones!$T$15+7*(Reprogramaciones!X$14-1))+6),11))=0,0,MAX(0,NETWORKDAYS.INTL(MAX(E238,(Reprogramaciones!$T$15+7*(Reprogramaciones!X$14-1))),MIN(F238,Reprogramaciones!X$13),11))/MAX(0,NETWORKDAYS.INTL(MAX(E238,(Reprogramaciones!$T$15+7*(Reprogramaciones!X$14-1))),MIN(F238,(Reprogramaciones!$T$15+7*(Reprogramaciones!X$14-1))+6),11))))))))</f>
        <v/>
      </c>
      <c r="CH238" s="1" t="str">
        <f aca="false">IF(OR(NOT(AND(ISNUMBER(E238),ISNUMBER(F238))),$J$2=""),"",IF(Reprogramaciones!Y$13&lt;Reprogramaciones!$T$15,0,IF(Reprogramaciones!Y$14&gt;10,MIN(100,SUM($G238:$P238)),MIN(100,SUMPRODUCT((COLUMN($G238:$P238)-COLUMN($G238)+1&lt;Reprogramaciones!Y$14)*$G238:$P238)+N(INDEX($G238:$P238,1,Reprogramaciones!Y$14))*IF(Reprogramaciones!Y$13&gt;=(Reprogramaciones!$T$15+7*(Reprogramaciones!Y$14-1))+6,1,IF(MAX(0,NETWORKDAYS.INTL(MAX(E238,(Reprogramaciones!$T$15+7*(Reprogramaciones!Y$14-1))),MIN(F238,(Reprogramaciones!$T$15+7*(Reprogramaciones!Y$14-1))+6),11))=0,0,MAX(0,NETWORKDAYS.INTL(MAX(E238,(Reprogramaciones!$T$15+7*(Reprogramaciones!Y$14-1))),MIN(F238,Reprogramaciones!Y$13),11))/MAX(0,NETWORKDAYS.INTL(MAX(E238,(Reprogramaciones!$T$15+7*(Reprogramaciones!Y$14-1))),MIN(F238,(Reprogramaciones!$T$15+7*(Reprogramaciones!Y$14-1))+6),11))))))))</f>
        <v/>
      </c>
      <c r="CI238" s="1" t="str">
        <f aca="false">IF(OR(NOT(AND(ISNUMBER(E238),ISNUMBER(F238))),$J$2=""),"",IF(Reprogramaciones!Z$13&lt;Reprogramaciones!$T$15,0,IF(Reprogramaciones!Z$14&gt;10,MIN(100,SUM($G238:$P238)),MIN(100,SUMPRODUCT((COLUMN($G238:$P238)-COLUMN($G238)+1&lt;Reprogramaciones!Z$14)*$G238:$P238)+N(INDEX($G238:$P238,1,Reprogramaciones!Z$14))*IF(Reprogramaciones!Z$13&gt;=(Reprogramaciones!$T$15+7*(Reprogramaciones!Z$14-1))+6,1,IF(MAX(0,NETWORKDAYS.INTL(MAX(E238,(Reprogramaciones!$T$15+7*(Reprogramaciones!Z$14-1))),MIN(F238,(Reprogramaciones!$T$15+7*(Reprogramaciones!Z$14-1))+6),11))=0,0,MAX(0,NETWORKDAYS.INTL(MAX(E238,(Reprogramaciones!$T$15+7*(Reprogramaciones!Z$14-1))),MIN(F238,Reprogramaciones!Z$13),11))/MAX(0,NETWORKDAYS.INTL(MAX(E238,(Reprogramaciones!$T$15+7*(Reprogramaciones!Z$14-1))),MIN(F238,(Reprogramaciones!$T$15+7*(Reprogramaciones!Z$14-1))+6),11))))))))</f>
        <v/>
      </c>
      <c r="CJ238" s="1" t="str">
        <f aca="false">IF(OR(OR(NOT(AND(ISNUMBER(E238),ISNUMBER(F238))),$J$2=""),1&gt;Reprogramaciones!$K$16),"",IF(ROUND(SUM($Q238:Q238),1)&gt;=99.5,100,MIN(100,ROUND(SUM($Q238:Q238),1))))</f>
        <v/>
      </c>
      <c r="CK238" s="1" t="str">
        <f aca="false">IF(OR(OR(NOT(AND(ISNUMBER(E238),ISNUMBER(F238))),$J$2=""),2&gt;Reprogramaciones!$K$16),"",IF(ROUND(SUM($Q238:R238),1)&gt;=99.5,100,MIN(100,ROUND(SUM($Q238:R238),1))))</f>
        <v/>
      </c>
      <c r="CL238" s="1" t="str">
        <f aca="false">IF(OR(OR(NOT(AND(ISNUMBER(E238),ISNUMBER(F238))),$J$2=""),3&gt;Reprogramaciones!$K$16),"",IF(ROUND(SUM($Q238:S238),1)&gt;=99.5,100,MIN(100,ROUND(SUM($Q238:S238),1))))</f>
        <v/>
      </c>
      <c r="CM238" s="1" t="str">
        <f aca="false">IF(OR(OR(NOT(AND(ISNUMBER(E238),ISNUMBER(F238))),$J$2=""),4&gt;Reprogramaciones!$K$16),"",IF(ROUND(SUM($Q238:T238),1)&gt;=99.5,100,MIN(100,ROUND(SUM($Q238:T238),1))))</f>
        <v/>
      </c>
      <c r="CN238" s="1" t="str">
        <f aca="false">IF(OR(OR(NOT(AND(ISNUMBER(E238),ISNUMBER(F238))),$J$2=""),5&gt;Reprogramaciones!$K$16),"",IF(ROUND(SUM($Q238:U238),1)&gt;=99.5,100,MIN(100,ROUND(SUM($Q238:U238),1))))</f>
        <v/>
      </c>
      <c r="CO238" s="1" t="str">
        <f aca="false">IF(OR(OR(NOT(AND(ISNUMBER(E238),ISNUMBER(F238))),$J$2=""),6&gt;Reprogramaciones!$K$16),"",IF(ROUND(SUM($Q238:V238),1)&gt;=99.5,100,MIN(100,ROUND(SUM($Q238:V238),1))))</f>
        <v/>
      </c>
      <c r="CP238" s="1" t="str">
        <f aca="false">IF(OR(OR(NOT(AND(ISNUMBER(E238),ISNUMBER(F238))),$J$2=""),7&gt;Reprogramaciones!$K$16),"",IF(ROUND(SUM($Q238:W238),1)&gt;=99.5,100,MIN(100,ROUND(SUM($Q238:W238),1))))</f>
        <v/>
      </c>
      <c r="CQ238" s="1" t="str">
        <f aca="false">IF(OR(OR(NOT(AND(ISNUMBER(E238),ISNUMBER(F238))),$J$2=""),8&gt;Reprogramaciones!$K$16),"",IF(ROUND(SUM($Q238:X238),1)&gt;=99.5,100,MIN(100,ROUND(SUM($Q238:X238),1))))</f>
        <v/>
      </c>
      <c r="CR238" s="1" t="str">
        <f aca="false">IF(OR(OR(NOT(AND(ISNUMBER(E238),ISNUMBER(F238))),$J$2=""),9&gt;Reprogramaciones!$K$16),"",IF(ROUND(SUM($Q238:Y238),1)&gt;=99.5,100,MIN(100,ROUND(SUM($Q238:Y238),1))))</f>
        <v/>
      </c>
      <c r="CS238" s="1" t="str">
        <f aca="false">IF(OR(OR(NOT(AND(ISNUMBER(E238),ISNUMBER(F238))),$J$2=""),10&gt;Reprogramaciones!$K$16),"",IF(ROUND(SUM($Q238:Z238),1)&gt;=99.5,100,MIN(100,ROUND(SUM($Q238:Z238),1))))</f>
        <v/>
      </c>
      <c r="CT238" s="1" t="str">
        <f aca="false">IF(OR(OR(NOT(AND(ISNUMBER(E238),ISNUMBER(F238))),$J$2=""),11&gt;Reprogramaciones!$K$16),"",IF(ROUND(SUM($Q238:AA238),1)&gt;=99.5,100,MIN(100,ROUND(SUM($Q238:AA238),1))))</f>
        <v/>
      </c>
      <c r="CU238" s="1" t="str">
        <f aca="false">IF(OR(OR(NOT(AND(ISNUMBER(E238),ISNUMBER(F238))),$J$2=""),12&gt;Reprogramaciones!$K$16),"",IF(ROUND(SUM($Q238:AB238),1)&gt;=99.5,100,MIN(100,ROUND(SUM($Q238:AB238),1))))</f>
        <v/>
      </c>
      <c r="CV238" s="1" t="str">
        <f aca="false">IF(OR(OR(NOT(AND(ISNUMBER(E238),ISNUMBER(F238))),$J$2=""),13&gt;Reprogramaciones!$K$16),"",IF(ROUND(SUM($Q238:AC238),1)&gt;=99.5,100,MIN(100,ROUND(SUM($Q238:AC238),1))))</f>
        <v/>
      </c>
      <c r="CW238" s="1" t="str">
        <f aca="false">IF(OR(OR(NOT(AND(ISNUMBER(E238),ISNUMBER(F238))),$J$2=""),14&gt;Reprogramaciones!$K$16),"",IF(ROUND(SUM($Q238:AD238),1)&gt;=99.5,100,MIN(100,ROUND(SUM($Q238:AD238),1))))</f>
        <v/>
      </c>
      <c r="CX238" s="1" t="str">
        <f aca="false">IF(OR(OR(NOT(AND(ISNUMBER(E238),ISNUMBER(F238))),$J$2=""),15&gt;Reprogramaciones!$K$16),"",IF(ROUND(SUM($Q238:AE238),1)&gt;=99.5,100,MIN(100,ROUND(SUM($Q238:AE238),1))))</f>
        <v/>
      </c>
      <c r="CY238" s="1" t="str">
        <f aca="false">IF(OR(OR(NOT(AND(ISNUMBER(E238),ISNUMBER(F238))),$J$2=""),16&gt;Reprogramaciones!$K$16),"",IF(ROUND(SUM($Q238:AF238),1)&gt;=99.5,100,MIN(100,ROUND(SUM($Q238:AF238),1))))</f>
        <v/>
      </c>
      <c r="CZ238" s="1" t="str">
        <f aca="false">IF(D238&lt;&gt;"",D238,IF(B238&lt;&gt;"","Contractual",CZ237))</f>
        <v>Contractual</v>
      </c>
      <c r="DA238" s="1" t="str">
        <f aca="false">IF(OR(NOT(AND(ISNUMBER(E238),ISNUMBER(F238))),$J$2=""),"",IF(Reprogramaciones!$Q$15&lt;Reprogramaciones!$T$15,0,IF(Reprogramaciones!$S$15&gt;10,MIN(100,SUM($G238:$P238)),MIN(100,SUMPRODUCT((COLUMN($G238:$P238)-COLUMN($G238)+1&lt;Reprogramaciones!$S$15)*$G238:$P238)+N(INDEX($G238:$P238,1,Reprogramaciones!$S$15))*IF(Reprogramaciones!$Q$15&gt;=(Reprogramaciones!$T$15+7*(Reprogramaciones!$S$15-1))+6,1,IF(MAX(0,NETWORKDAYS.INTL(MAX(E238,(Reprogramaciones!$T$15+7*(Reprogramaciones!$S$15-1))),MIN(F238,(Reprogramaciones!$T$15+7*(Reprogramaciones!$S$15-1))+6),11))=0,0,MAX(0,NETWORKDAYS.INTL(MAX(E238,(Reprogramaciones!$T$15+7*(Reprogramaciones!$S$15-1))),MIN(F238,Reprogramaciones!$Q$15),11))/MAX(0,NETWORKDAYS.INTL(MAX(E238,(Reprogramaciones!$T$15+7*(Reprogramaciones!$S$15-1))),MIN(F238,(Reprogramaciones!$T$15+7*(Reprogramaciones!$S$15-1))+6),11))))))))</f>
        <v/>
      </c>
    </row>
    <row r="239" customFormat="false" ht="15" hidden="false" customHeight="false" outlineLevel="0" collapsed="false">
      <c r="A239" s="32"/>
      <c r="B239" s="33"/>
      <c r="C239" s="33"/>
      <c r="D239" s="34"/>
      <c r="E239" s="35"/>
      <c r="F239" s="35"/>
      <c r="G239" s="36" t="str">
        <f aca="false">IF(OR(NOT(AND(ISNUMBER(E239),ISNUMBER(F239))),$J$2=""),"",IF(Reprogramaciones!K$9&lt;E239,0,IF(NETWORKDAYS.INTL(E239,F239,11)=0,IF(Reprogramaciones!K$9&gt;=F239,100,0),ROUND(NETWORKDAYS.INTL(E239,MIN(F239,Reprogramaciones!K$9),11)/NETWORKDAYS.INTL(E239,F239,11)*100,1)))-0)</f>
        <v/>
      </c>
      <c r="H239" s="36" t="str">
        <f aca="false">IF(OR(NOT(AND(ISNUMBER(E239),ISNUMBER(F239))),$J$2=""),"",IF(Reprogramaciones!L$9&lt;E239,0,IF(NETWORKDAYS.INTL(E239,F239,11)=0,IF(Reprogramaciones!L$9&gt;=F239,100,0),ROUND(NETWORKDAYS.INTL(E239,MIN(F239,Reprogramaciones!L$9),11)/NETWORKDAYS.INTL(E239,F239,11)*100,1)))-IF(Reprogramaciones!K$9&lt;E239,0,IF(NETWORKDAYS.INTL(E239,F239,11)=0,IF(Reprogramaciones!K$9&gt;=F239,100,0),ROUND(NETWORKDAYS.INTL(E239,MIN(F239,Reprogramaciones!K$9),11)/NETWORKDAYS.INTL(E239,F239,11)*100,1))))</f>
        <v/>
      </c>
      <c r="I239" s="36" t="str">
        <f aca="false">IF(OR(NOT(AND(ISNUMBER(E239),ISNUMBER(F239))),$J$2=""),"",IF(Reprogramaciones!M$9&lt;E239,0,IF(NETWORKDAYS.INTL(E239,F239,11)=0,IF(Reprogramaciones!M$9&gt;=F239,100,0),ROUND(NETWORKDAYS.INTL(E239,MIN(F239,Reprogramaciones!M$9),11)/NETWORKDAYS.INTL(E239,F239,11)*100,1)))-IF(Reprogramaciones!L$9&lt;E239,0,IF(NETWORKDAYS.INTL(E239,F239,11)=0,IF(Reprogramaciones!L$9&gt;=F239,100,0),ROUND(NETWORKDAYS.INTL(E239,MIN(F239,Reprogramaciones!L$9),11)/NETWORKDAYS.INTL(E239,F239,11)*100,1))))</f>
        <v/>
      </c>
      <c r="J239" s="36" t="str">
        <f aca="false">IF(OR(NOT(AND(ISNUMBER(E239),ISNUMBER(F239))),$J$2=""),"",IF(Reprogramaciones!N$9&lt;E239,0,IF(NETWORKDAYS.INTL(E239,F239,11)=0,IF(Reprogramaciones!N$9&gt;=F239,100,0),ROUND(NETWORKDAYS.INTL(E239,MIN(F239,Reprogramaciones!N$9),11)/NETWORKDAYS.INTL(E239,F239,11)*100,1)))-IF(Reprogramaciones!M$9&lt;E239,0,IF(NETWORKDAYS.INTL(E239,F239,11)=0,IF(Reprogramaciones!M$9&gt;=F239,100,0),ROUND(NETWORKDAYS.INTL(E239,MIN(F239,Reprogramaciones!M$9),11)/NETWORKDAYS.INTL(E239,F239,11)*100,1))))</f>
        <v/>
      </c>
      <c r="K239" s="36" t="str">
        <f aca="false">IF(OR(NOT(AND(ISNUMBER(E239),ISNUMBER(F239))),$J$2=""),"",IF(Reprogramaciones!O$9&lt;E239,0,IF(NETWORKDAYS.INTL(E239,F239,11)=0,IF(Reprogramaciones!O$9&gt;=F239,100,0),ROUND(NETWORKDAYS.INTL(E239,MIN(F239,Reprogramaciones!O$9),11)/NETWORKDAYS.INTL(E239,F239,11)*100,1)))-IF(Reprogramaciones!N$9&lt;E239,0,IF(NETWORKDAYS.INTL(E239,F239,11)=0,IF(Reprogramaciones!N$9&gt;=F239,100,0),ROUND(NETWORKDAYS.INTL(E239,MIN(F239,Reprogramaciones!N$9),11)/NETWORKDAYS.INTL(E239,F239,11)*100,1))))</f>
        <v/>
      </c>
      <c r="L239" s="36" t="str">
        <f aca="false">IF(OR(NOT(AND(ISNUMBER(E239),ISNUMBER(F239))),$J$2=""),"",IF(Reprogramaciones!P$9&lt;E239,0,IF(NETWORKDAYS.INTL(E239,F239,11)=0,IF(Reprogramaciones!P$9&gt;=F239,100,0),ROUND(NETWORKDAYS.INTL(E239,MIN(F239,Reprogramaciones!P$9),11)/NETWORKDAYS.INTL(E239,F239,11)*100,1)))-IF(Reprogramaciones!O$9&lt;E239,0,IF(NETWORKDAYS.INTL(E239,F239,11)=0,IF(Reprogramaciones!O$9&gt;=F239,100,0),ROUND(NETWORKDAYS.INTL(E239,MIN(F239,Reprogramaciones!O$9),11)/NETWORKDAYS.INTL(E239,F239,11)*100,1))))</f>
        <v/>
      </c>
      <c r="M239" s="36" t="str">
        <f aca="false">IF(OR(NOT(AND(ISNUMBER(E239),ISNUMBER(F239))),$J$2=""),"",IF(Reprogramaciones!Q$9&lt;E239,0,IF(NETWORKDAYS.INTL(E239,F239,11)=0,IF(Reprogramaciones!Q$9&gt;=F239,100,0),ROUND(NETWORKDAYS.INTL(E239,MIN(F239,Reprogramaciones!Q$9),11)/NETWORKDAYS.INTL(E239,F239,11)*100,1)))-IF(Reprogramaciones!P$9&lt;E239,0,IF(NETWORKDAYS.INTL(E239,F239,11)=0,IF(Reprogramaciones!P$9&gt;=F239,100,0),ROUND(NETWORKDAYS.INTL(E239,MIN(F239,Reprogramaciones!P$9),11)/NETWORKDAYS.INTL(E239,F239,11)*100,1))))</f>
        <v/>
      </c>
      <c r="N239" s="36" t="str">
        <f aca="false">IF(OR(NOT(AND(ISNUMBER(E239),ISNUMBER(F239))),$J$2=""),"",IF(Reprogramaciones!R$9&lt;E239,0,IF(NETWORKDAYS.INTL(E239,F239,11)=0,IF(Reprogramaciones!R$9&gt;=F239,100,0),ROUND(NETWORKDAYS.INTL(E239,MIN(F239,Reprogramaciones!R$9),11)/NETWORKDAYS.INTL(E239,F239,11)*100,1)))-IF(Reprogramaciones!Q$9&lt;E239,0,IF(NETWORKDAYS.INTL(E239,F239,11)=0,IF(Reprogramaciones!Q$9&gt;=F239,100,0),ROUND(NETWORKDAYS.INTL(E239,MIN(F239,Reprogramaciones!Q$9),11)/NETWORKDAYS.INTL(E239,F239,11)*100,1))))</f>
        <v/>
      </c>
      <c r="O239" s="36" t="str">
        <f aca="false">IF(OR(NOT(AND(ISNUMBER(E239),ISNUMBER(F239))),$J$2=""),"",IF(Reprogramaciones!S$9&lt;E239,0,IF(NETWORKDAYS.INTL(E239,F239,11)=0,IF(Reprogramaciones!S$9&gt;=F239,100,0),ROUND(NETWORKDAYS.INTL(E239,MIN(F239,Reprogramaciones!S$9),11)/NETWORKDAYS.INTL(E239,F239,11)*100,1)))-IF(Reprogramaciones!R$9&lt;E239,0,IF(NETWORKDAYS.INTL(E239,F239,11)=0,IF(Reprogramaciones!R$9&gt;=F239,100,0),ROUND(NETWORKDAYS.INTL(E239,MIN(F239,Reprogramaciones!R$9),11)/NETWORKDAYS.INTL(E239,F239,11)*100,1))))</f>
        <v/>
      </c>
      <c r="P239" s="36" t="str">
        <f aca="false">IF(OR(NOT(AND(ISNUMBER(E239),ISNUMBER(F239))),$J$2=""),"",IF(Reprogramaciones!T$9&lt;E239,0,IF(NETWORKDAYS.INTL(E239,F239,11)=0,IF(Reprogramaciones!T$9&gt;=F239,100,0),ROUND(NETWORKDAYS.INTL(E239,MIN(F239,Reprogramaciones!T$9),11)/NETWORKDAYS.INTL(E239,F239,11)*100,1)))-IF(Reprogramaciones!S$9&lt;E239,0,IF(NETWORKDAYS.INTL(E239,F239,11)=0,IF(Reprogramaciones!S$9&gt;=F239,100,0),ROUND(NETWORKDAYS.INTL(E239,MIN(F239,Reprogramaciones!S$9),11)/NETWORKDAYS.INTL(E239,F239,11)*100,1))))</f>
        <v/>
      </c>
      <c r="Q239" s="37"/>
      <c r="R239" s="37"/>
      <c r="S239" s="37"/>
      <c r="T239" s="37"/>
      <c r="U239" s="37"/>
      <c r="V239" s="37"/>
      <c r="W239" s="37"/>
      <c r="X239" s="37"/>
      <c r="Y239" s="37"/>
      <c r="Z239" s="37"/>
      <c r="AA239" s="37"/>
      <c r="AB239" s="37"/>
      <c r="AC239" s="37"/>
      <c r="AD239" s="37"/>
      <c r="AE239" s="37"/>
      <c r="AF239" s="37"/>
      <c r="AG239" s="38" t="str">
        <f aca="false">IF(AND(ISNUMBER(E239),ISNUMBER(F239)),NETWORKDAYS.INTL(E239,F239,11),"")</f>
        <v/>
      </c>
      <c r="AH239" s="38" t="str">
        <f aca="false">IF(OR(NOT(AND(ISNUMBER(E239),ISNUMBER(F239))),$J$2=""),"",IF(Reprogramaciones!$P$15&lt;Reprogramaciones!$T$15,0,IF(Reprogramaciones!$R$15&gt;10,MIN(100,SUM($G239:$P239)),MIN(100,SUMPRODUCT((COLUMN($G239:$P239)-COLUMN($G239)+1&lt;Reprogramaciones!$R$15)*$G239:$P239)+N(INDEX($G239:$P239,1,Reprogramaciones!$R$15))*IF(Reprogramaciones!$P$15&gt;=(Reprogramaciones!$T$15+7*(Reprogramaciones!$R$15-1))+6,1,IF(MAX(0,NETWORKDAYS.INTL(MAX(E239,(Reprogramaciones!$T$15+7*(Reprogramaciones!$R$15-1))),MIN(F239,(Reprogramaciones!$T$15+7*(Reprogramaciones!$R$15-1))+6),11))=0,0,MAX(0,NETWORKDAYS.INTL(MAX(E239,(Reprogramaciones!$T$15+7*(Reprogramaciones!$R$15-1))),MIN(F239,Reprogramaciones!$P$15),11))/MAX(0,NETWORKDAYS.INTL(MAX(E239,(Reprogramaciones!$T$15+7*(Reprogramaciones!$R$15-1))),MIN(F239,(Reprogramaciones!$T$15+7*(Reprogramaciones!$R$15-1))+6),11))))))))</f>
        <v/>
      </c>
      <c r="AI239" s="38" t="str">
        <f aca="false">IF(COUNT($Q239:$AF239)=0,"",IF(ROUND(SUM($Q239:$AF239),1)&gt;=99.5,100,MIN(100,ROUND(SUM($Q239:$AF239),1))))</f>
        <v/>
      </c>
      <c r="AJ239" s="38" t="str">
        <f aca="false">IF(OR(AH239="",AI239=""),"",AI239-AH239)</f>
        <v/>
      </c>
      <c r="AK239" s="39" t="str">
        <f aca="true">IF(AH239="","",IF(OR(Ficha!$C$10="Suspendida",Ficha!$C$10="Cancelada"),Ficha!$C$10,IF(AND(AI239&lt;&gt;"",N(AI239)&gt;=100),"Completada",IF(AND(E239&gt;TODAY(),N(AI239)=0),"Por iniciar",IF(N(AI239)+0.5&lt;AH239,"Retrasada",IF(N(AI239)+0.5&lt;DA239,IF(Reprogramaciones!$K$15&gt;0,"Al día · Sem "&amp;Reprogramaciones!$K$15&amp;" en curso","Al día · en curso"),"A tiempo"))))))</f>
        <v/>
      </c>
      <c r="AL239" s="39" t="str">
        <f aca="true">IF(AND(A239="",AND(B239="",C239="",E239="",F239="",COUNT(Q239:AF239)=0)),"",IF(AND(B239="",C239="",E239="",F239="",COUNT(Q239:AF239)=0),"Falta la partida o subpartida",IF(AND(A239&lt;&gt;"",COUNTIF($A$6:$A$305,A239)&gt;1),"Ítem repetido",IF(AND(C239="",E239="",F239="",COUNT(Q239:AF239)=0),"Título de partida",IF(OR(E239="",F239=""),"Faltan fechas",IF(OR(ISTEXT(E239),ISTEXT(F239)),"Fecha escrita como texto: usa dd/mm/aaaa",IF(F239&lt;E239,"Fin antes del inicio",IF(IF($J$2="",FALSE(),OR(E239&lt;$J$2,F239&gt;Reprogramaciones!$T$15+69)),"Fuera de las 10 semanas",IF(ABS(SUM(G239:P239)-100)&gt;0.5,"La meta no suma 100%",IF(ROUND(SUM(Q239:AF239),1)&gt;100.5,"El avance pasa de 100%",IF(MIN(Q239:AF239)&lt;0,"Avance negativo",IF(COUNTA(Q239:AF239)&gt;COUNT(Q239:AF239),"Avance escrito como texto",IF(SUMPRODUCT((Q239:AF239&gt;0)*(Q239:AF239&lt;1))&gt;0,"Avance menor a 1: escribe 50, no 50%",IF(SUMPRODUCT(ISNUMBER(Q239:AF239)*(Reprogramaciones!$K$8:$Z$8&gt;TODAY()))&gt;0,"Avance en semana que aún no llega",IF(AND(N(Reprogramaciones!$E$21)&gt;0,F239&gt;Reprogramaciones!$E$21),"Pasa el fin de la obra: registra una reprogramación",IF(AND(N(Reprogramaciones!$E$21)&gt;0,SUMPRODUCT(ISNUMBER(Q239:AF239)*(Reprogramaciones!$K$8:$Z$8&gt;Reprogramaciones!$E$21))&gt;0),"Avance después del fin de la obra: registra una reprogramación por atraso","OK"))))))))))))))))</f>
        <v/>
      </c>
      <c r="AM239" s="40" t="str">
        <f aca="false">IF(OR(OR(NOT(AND(ISNUMBER(E239),ISNUMBER(F239))),$J$2=""),1&gt;MAX(1,Reprogramaciones!$U$15)),"",IF(Reprogramaciones!K$12&gt;=7,"",IF(OR(BT239-N(0)&gt;0.05,N(Q239)&gt;0),ROUNDDOWN(ROUND(BT239,6),0)&amp;"%"&amp;IF(CJ239="",""," / "&amp;CJ239&amp;"%"),IF(AND(N(0)&gt;=99.95,CJ239&lt;&gt;"",N(CJ239)&lt;100),"Pend. "&amp;CJ239&amp;"%",""))))</f>
        <v/>
      </c>
      <c r="AN239" s="40" t="str">
        <f aca="false">IF(OR(OR(NOT(AND(ISNUMBER(E239),ISNUMBER(F239))),$J$2=""),2&gt;MAX(1,Reprogramaciones!$U$15)),"",IF(Reprogramaciones!L$12&gt;=7,"",IF(OR(BU239-N(BT239)&gt;0.05,N(R239)&gt;0),ROUNDDOWN(ROUND(BU239,6),0)&amp;"%"&amp;IF(CK239="",""," / "&amp;CK239&amp;"%"),IF(AND(N(BT239)&gt;=99.95,CK239&lt;&gt;"",N(CK239)&lt;100),"Pend. "&amp;CK239&amp;"%",""))))</f>
        <v/>
      </c>
      <c r="AO239" s="40" t="str">
        <f aca="false">IF(OR(OR(NOT(AND(ISNUMBER(E239),ISNUMBER(F239))),$J$2=""),3&gt;MAX(1,Reprogramaciones!$U$15)),"",IF(Reprogramaciones!M$12&gt;=7,"",IF(OR(BV239-N(BU239)&gt;0.05,N(S239)&gt;0),ROUNDDOWN(ROUND(BV239,6),0)&amp;"%"&amp;IF(CL239="",""," / "&amp;CL239&amp;"%"),IF(AND(N(BU239)&gt;=99.95,CL239&lt;&gt;"",N(CL239)&lt;100),"Pend. "&amp;CL239&amp;"%",""))))</f>
        <v/>
      </c>
      <c r="AP239" s="40" t="str">
        <f aca="false">IF(OR(OR(NOT(AND(ISNUMBER(E239),ISNUMBER(F239))),$J$2=""),4&gt;MAX(1,Reprogramaciones!$U$15)),"",IF(Reprogramaciones!N$12&gt;=7,"",IF(OR(BW239-N(BV239)&gt;0.05,N(T239)&gt;0),ROUNDDOWN(ROUND(BW239,6),0)&amp;"%"&amp;IF(CM239="",""," / "&amp;CM239&amp;"%"),IF(AND(N(BV239)&gt;=99.95,CM239&lt;&gt;"",N(CM239)&lt;100),"Pend. "&amp;CM239&amp;"%",""))))</f>
        <v/>
      </c>
      <c r="AQ239" s="40" t="str">
        <f aca="false">IF(OR(OR(NOT(AND(ISNUMBER(E239),ISNUMBER(F239))),$J$2=""),5&gt;MAX(1,Reprogramaciones!$U$15)),"",IF(Reprogramaciones!O$12&gt;=7,"",IF(OR(BX239-N(BW239)&gt;0.05,N(U239)&gt;0),ROUNDDOWN(ROUND(BX239,6),0)&amp;"%"&amp;IF(CN239="",""," / "&amp;CN239&amp;"%"),IF(AND(N(BW239)&gt;=99.95,CN239&lt;&gt;"",N(CN239)&lt;100),"Pend. "&amp;CN239&amp;"%",""))))</f>
        <v/>
      </c>
      <c r="AR239" s="40" t="str">
        <f aca="false">IF(OR(OR(NOT(AND(ISNUMBER(E239),ISNUMBER(F239))),$J$2=""),6&gt;MAX(1,Reprogramaciones!$U$15)),"",IF(Reprogramaciones!P$12&gt;=7,"",IF(OR(BY239-N(BX239)&gt;0.05,N(V239)&gt;0),ROUNDDOWN(ROUND(BY239,6),0)&amp;"%"&amp;IF(CO239="",""," / "&amp;CO239&amp;"%"),IF(AND(N(BX239)&gt;=99.95,CO239&lt;&gt;"",N(CO239)&lt;100),"Pend. "&amp;CO239&amp;"%",""))))</f>
        <v/>
      </c>
      <c r="AS239" s="40" t="str">
        <f aca="false">IF(OR(OR(NOT(AND(ISNUMBER(E239),ISNUMBER(F239))),$J$2=""),7&gt;MAX(1,Reprogramaciones!$U$15)),"",IF(Reprogramaciones!Q$12&gt;=7,"",IF(OR(BZ239-N(BY239)&gt;0.05,N(W239)&gt;0),ROUNDDOWN(ROUND(BZ239,6),0)&amp;"%"&amp;IF(CP239="",""," / "&amp;CP239&amp;"%"),IF(AND(N(BY239)&gt;=99.95,CP239&lt;&gt;"",N(CP239)&lt;100),"Pend. "&amp;CP239&amp;"%",""))))</f>
        <v/>
      </c>
      <c r="AT239" s="40" t="str">
        <f aca="false">IF(OR(OR(NOT(AND(ISNUMBER(E239),ISNUMBER(F239))),$J$2=""),8&gt;MAX(1,Reprogramaciones!$U$15)),"",IF(Reprogramaciones!R$12&gt;=7,"",IF(OR(CA239-N(BZ239)&gt;0.05,N(X239)&gt;0),ROUNDDOWN(ROUND(CA239,6),0)&amp;"%"&amp;IF(CQ239="",""," / "&amp;CQ239&amp;"%"),IF(AND(N(BZ239)&gt;=99.95,CQ239&lt;&gt;"",N(CQ239)&lt;100),"Pend. "&amp;CQ239&amp;"%",""))))</f>
        <v/>
      </c>
      <c r="AU239" s="40" t="str">
        <f aca="false">IF(OR(OR(NOT(AND(ISNUMBER(E239),ISNUMBER(F239))),$J$2=""),9&gt;MAX(1,Reprogramaciones!$U$15)),"",IF(Reprogramaciones!S$12&gt;=7,"",IF(OR(CB239-N(CA239)&gt;0.05,N(Y239)&gt;0),ROUNDDOWN(ROUND(CB239,6),0)&amp;"%"&amp;IF(CR239="",""," / "&amp;CR239&amp;"%"),IF(AND(N(CA239)&gt;=99.95,CR239&lt;&gt;"",N(CR239)&lt;100),"Pend. "&amp;CR239&amp;"%",""))))</f>
        <v/>
      </c>
      <c r="AV239" s="40" t="str">
        <f aca="false">IF(OR(OR(NOT(AND(ISNUMBER(E239),ISNUMBER(F239))),$J$2=""),10&gt;MAX(1,Reprogramaciones!$U$15)),"",IF(Reprogramaciones!T$12&gt;=7,"",IF(OR(CC239-N(CB239)&gt;0.05,N(Z239)&gt;0),ROUNDDOWN(ROUND(CC239,6),0)&amp;"%"&amp;IF(CS239="",""," / "&amp;CS239&amp;"%"),IF(AND(N(CB239)&gt;=99.95,CS239&lt;&gt;"",N(CS239)&lt;100),"Pend. "&amp;CS239&amp;"%",""))))</f>
        <v/>
      </c>
      <c r="AW239" s="40" t="str">
        <f aca="false">IF(OR(OR(NOT(AND(ISNUMBER(E239),ISNUMBER(F239))),$J$2=""),11&gt;MAX(1,Reprogramaciones!$U$15)),"",IF(Reprogramaciones!U$12&gt;=7,"",IF(OR(CD239-N(CC239)&gt;0.05,N(AA239)&gt;0),ROUNDDOWN(ROUND(CD239,6),0)&amp;"%"&amp;IF(CT239="",""," / "&amp;CT239&amp;"%"),IF(AND(N(CC239)&gt;=99.95,CT239&lt;&gt;"",N(CT239)&lt;100),"Pend. "&amp;CT239&amp;"%",""))))</f>
        <v/>
      </c>
      <c r="AX239" s="40" t="str">
        <f aca="false">IF(OR(OR(NOT(AND(ISNUMBER(E239),ISNUMBER(F239))),$J$2=""),12&gt;MAX(1,Reprogramaciones!$U$15)),"",IF(Reprogramaciones!V$12&gt;=7,"",IF(OR(CE239-N(CD239)&gt;0.05,N(AB239)&gt;0),ROUNDDOWN(ROUND(CE239,6),0)&amp;"%"&amp;IF(CU239="",""," / "&amp;CU239&amp;"%"),IF(AND(N(CD239)&gt;=99.95,CU239&lt;&gt;"",N(CU239)&lt;100),"Pend. "&amp;CU239&amp;"%",""))))</f>
        <v/>
      </c>
      <c r="AY239" s="40" t="str">
        <f aca="false">IF(OR(OR(NOT(AND(ISNUMBER(E239),ISNUMBER(F239))),$J$2=""),13&gt;MAX(1,Reprogramaciones!$U$15)),"",IF(Reprogramaciones!W$12&gt;=7,"",IF(OR(CF239-N(CE239)&gt;0.05,N(AC239)&gt;0),ROUNDDOWN(ROUND(CF239,6),0)&amp;"%"&amp;IF(CV239="",""," / "&amp;CV239&amp;"%"),IF(AND(N(CE239)&gt;=99.95,CV239&lt;&gt;"",N(CV239)&lt;100),"Pend. "&amp;CV239&amp;"%",""))))</f>
        <v/>
      </c>
      <c r="AZ239" s="40" t="str">
        <f aca="false">IF(OR(OR(NOT(AND(ISNUMBER(E239),ISNUMBER(F239))),$J$2=""),14&gt;MAX(1,Reprogramaciones!$U$15)),"",IF(Reprogramaciones!X$12&gt;=7,"",IF(OR(CG239-N(CF239)&gt;0.05,N(AD239)&gt;0),ROUNDDOWN(ROUND(CG239,6),0)&amp;"%"&amp;IF(CW239="",""," / "&amp;CW239&amp;"%"),IF(AND(N(CF239)&gt;=99.95,CW239&lt;&gt;"",N(CW239)&lt;100),"Pend. "&amp;CW239&amp;"%",""))))</f>
        <v/>
      </c>
      <c r="BA239" s="40" t="str">
        <f aca="false">IF(OR(OR(NOT(AND(ISNUMBER(E239),ISNUMBER(F239))),$J$2=""),15&gt;MAX(1,Reprogramaciones!$U$15)),"",IF(Reprogramaciones!Y$12&gt;=7,"",IF(OR(CH239-N(CG239)&gt;0.05,N(AE239)&gt;0),ROUNDDOWN(ROUND(CH239,6),0)&amp;"%"&amp;IF(CX239="",""," / "&amp;CX239&amp;"%"),IF(AND(N(CG239)&gt;=99.95,CX239&lt;&gt;"",N(CX239)&lt;100),"Pend. "&amp;CX239&amp;"%",""))))</f>
        <v/>
      </c>
      <c r="BB239" s="40" t="str">
        <f aca="false">IF(OR(OR(NOT(AND(ISNUMBER(E239),ISNUMBER(F239))),$J$2=""),16&gt;MAX(1,Reprogramaciones!$U$15)),"",IF(Reprogramaciones!Z$12&gt;=7,"",IF(OR(CI239-N(CH239)&gt;0.05,N(AF239)&gt;0),ROUNDDOWN(ROUND(CI239,6),0)&amp;"%"&amp;IF(CY239="",""," / "&amp;CY239&amp;"%"),IF(AND(N(CH239)&gt;=99.95,CY239&lt;&gt;"",N(CY239)&lt;100),"Pend. "&amp;CY239&amp;"%",""))))</f>
        <v/>
      </c>
      <c r="BC239" s="31" t="n">
        <f aca="false">IF(AND(ISNUMBER(E239),ISNUMBER(F239)),MAX(1,NETWORKDAYS.INTL(E239,F239,11)),0)</f>
        <v>0</v>
      </c>
      <c r="BD239" s="1" t="str">
        <f aca="false">IF(OR(NOT(AND(ISNUMBER(E239),ISNUMBER(F239))),$J$2=""),"",MIN(100,ROUND(SUM($G239:G239),1)))</f>
        <v/>
      </c>
      <c r="BE239" s="1" t="str">
        <f aca="false">IF(OR(NOT(AND(ISNUMBER(E239),ISNUMBER(F239))),$J$2=""),"",MIN(100,ROUND(SUM($G239:H239),1)))</f>
        <v/>
      </c>
      <c r="BF239" s="1" t="str">
        <f aca="false">IF(OR(NOT(AND(ISNUMBER(E239),ISNUMBER(F239))),$J$2=""),"",MIN(100,ROUND(SUM($G239:I239),1)))</f>
        <v/>
      </c>
      <c r="BG239" s="1" t="str">
        <f aca="false">IF(OR(NOT(AND(ISNUMBER(E239),ISNUMBER(F239))),$J$2=""),"",MIN(100,ROUND(SUM($G239:J239),1)))</f>
        <v/>
      </c>
      <c r="BH239" s="1" t="str">
        <f aca="false">IF(OR(NOT(AND(ISNUMBER(E239),ISNUMBER(F239))),$J$2=""),"",MIN(100,ROUND(SUM($G239:K239),1)))</f>
        <v/>
      </c>
      <c r="BI239" s="1" t="str">
        <f aca="false">IF(OR(NOT(AND(ISNUMBER(E239),ISNUMBER(F239))),$J$2=""),"",MIN(100,ROUND(SUM($G239:L239),1)))</f>
        <v/>
      </c>
      <c r="BJ239" s="1" t="str">
        <f aca="false">IF(OR(NOT(AND(ISNUMBER(E239),ISNUMBER(F239))),$J$2=""),"",MIN(100,ROUND(SUM($G239:M239),1)))</f>
        <v/>
      </c>
      <c r="BK239" s="1" t="str">
        <f aca="false">IF(OR(NOT(AND(ISNUMBER(E239),ISNUMBER(F239))),$J$2=""),"",MIN(100,ROUND(SUM($G239:N239),1)))</f>
        <v/>
      </c>
      <c r="BL239" s="1" t="str">
        <f aca="false">IF(OR(NOT(AND(ISNUMBER(E239),ISNUMBER(F239))),$J$2=""),"",MIN(100,ROUND(SUM($G239:O239),1)))</f>
        <v/>
      </c>
      <c r="BM239" s="1" t="str">
        <f aca="false">IF(OR(NOT(AND(ISNUMBER(E239),ISNUMBER(F239))),$J$2=""),"",MIN(100,ROUND(SUM($G239:P239),1)))</f>
        <v/>
      </c>
      <c r="BN239" s="1" t="str">
        <f aca="false">IF(OR(NOT(AND(ISNUMBER(E239),ISNUMBER(F239))),$J$2=""),"",MIN(100,ROUND(SUM($G239:P239),1)))</f>
        <v/>
      </c>
      <c r="BO239" s="1" t="str">
        <f aca="false">IF(OR(NOT(AND(ISNUMBER(E239),ISNUMBER(F239))),$J$2=""),"",MIN(100,ROUND(SUM($G239:P239),1)))</f>
        <v/>
      </c>
      <c r="BP239" s="1" t="str">
        <f aca="false">IF(OR(NOT(AND(ISNUMBER(E239),ISNUMBER(F239))),$J$2=""),"",MIN(100,ROUND(SUM($G239:P239),1)))</f>
        <v/>
      </c>
      <c r="BQ239" s="1" t="str">
        <f aca="false">IF(OR(NOT(AND(ISNUMBER(E239),ISNUMBER(F239))),$J$2=""),"",MIN(100,ROUND(SUM($G239:P239),1)))</f>
        <v/>
      </c>
      <c r="BR239" s="1" t="str">
        <f aca="false">IF(OR(NOT(AND(ISNUMBER(E239),ISNUMBER(F239))),$J$2=""),"",MIN(100,ROUND(SUM($G239:P239),1)))</f>
        <v/>
      </c>
      <c r="BS239" s="1" t="str">
        <f aca="false">IF(OR(NOT(AND(ISNUMBER(E239),ISNUMBER(F239))),$J$2=""),"",MIN(100,ROUND(SUM($G239:P239),1)))</f>
        <v/>
      </c>
      <c r="BT239" s="1" t="str">
        <f aca="false">IF(OR(NOT(AND(ISNUMBER(E239),ISNUMBER(F239))),$J$2=""),"",IF(Reprogramaciones!K$13&lt;Reprogramaciones!$T$15,0,IF(Reprogramaciones!K$14&gt;10,MIN(100,SUM($G239:$P239)),MIN(100,SUMPRODUCT((COLUMN($G239:$P239)-COLUMN($G239)+1&lt;Reprogramaciones!K$14)*$G239:$P239)+N(INDEX($G239:$P239,1,Reprogramaciones!K$14))*IF(Reprogramaciones!K$13&gt;=(Reprogramaciones!$T$15+7*(Reprogramaciones!K$14-1))+6,1,IF(MAX(0,NETWORKDAYS.INTL(MAX(E239,(Reprogramaciones!$T$15+7*(Reprogramaciones!K$14-1))),MIN(F239,(Reprogramaciones!$T$15+7*(Reprogramaciones!K$14-1))+6),11))=0,0,MAX(0,NETWORKDAYS.INTL(MAX(E239,(Reprogramaciones!$T$15+7*(Reprogramaciones!K$14-1))),MIN(F239,Reprogramaciones!K$13),11))/MAX(0,NETWORKDAYS.INTL(MAX(E239,(Reprogramaciones!$T$15+7*(Reprogramaciones!K$14-1))),MIN(F239,(Reprogramaciones!$T$15+7*(Reprogramaciones!K$14-1))+6),11))))))))</f>
        <v/>
      </c>
      <c r="BU239" s="1" t="str">
        <f aca="false">IF(OR(NOT(AND(ISNUMBER(E239),ISNUMBER(F239))),$J$2=""),"",IF(Reprogramaciones!L$13&lt;Reprogramaciones!$T$15,0,IF(Reprogramaciones!L$14&gt;10,MIN(100,SUM($G239:$P239)),MIN(100,SUMPRODUCT((COLUMN($G239:$P239)-COLUMN($G239)+1&lt;Reprogramaciones!L$14)*$G239:$P239)+N(INDEX($G239:$P239,1,Reprogramaciones!L$14))*IF(Reprogramaciones!L$13&gt;=(Reprogramaciones!$T$15+7*(Reprogramaciones!L$14-1))+6,1,IF(MAX(0,NETWORKDAYS.INTL(MAX(E239,(Reprogramaciones!$T$15+7*(Reprogramaciones!L$14-1))),MIN(F239,(Reprogramaciones!$T$15+7*(Reprogramaciones!L$14-1))+6),11))=0,0,MAX(0,NETWORKDAYS.INTL(MAX(E239,(Reprogramaciones!$T$15+7*(Reprogramaciones!L$14-1))),MIN(F239,Reprogramaciones!L$13),11))/MAX(0,NETWORKDAYS.INTL(MAX(E239,(Reprogramaciones!$T$15+7*(Reprogramaciones!L$14-1))),MIN(F239,(Reprogramaciones!$T$15+7*(Reprogramaciones!L$14-1))+6),11))))))))</f>
        <v/>
      </c>
      <c r="BV239" s="1" t="str">
        <f aca="false">IF(OR(NOT(AND(ISNUMBER(E239),ISNUMBER(F239))),$J$2=""),"",IF(Reprogramaciones!M$13&lt;Reprogramaciones!$T$15,0,IF(Reprogramaciones!M$14&gt;10,MIN(100,SUM($G239:$P239)),MIN(100,SUMPRODUCT((COLUMN($G239:$P239)-COLUMN($G239)+1&lt;Reprogramaciones!M$14)*$G239:$P239)+N(INDEX($G239:$P239,1,Reprogramaciones!M$14))*IF(Reprogramaciones!M$13&gt;=(Reprogramaciones!$T$15+7*(Reprogramaciones!M$14-1))+6,1,IF(MAX(0,NETWORKDAYS.INTL(MAX(E239,(Reprogramaciones!$T$15+7*(Reprogramaciones!M$14-1))),MIN(F239,(Reprogramaciones!$T$15+7*(Reprogramaciones!M$14-1))+6),11))=0,0,MAX(0,NETWORKDAYS.INTL(MAX(E239,(Reprogramaciones!$T$15+7*(Reprogramaciones!M$14-1))),MIN(F239,Reprogramaciones!M$13),11))/MAX(0,NETWORKDAYS.INTL(MAX(E239,(Reprogramaciones!$T$15+7*(Reprogramaciones!M$14-1))),MIN(F239,(Reprogramaciones!$T$15+7*(Reprogramaciones!M$14-1))+6),11))))))))</f>
        <v/>
      </c>
      <c r="BW239" s="1" t="str">
        <f aca="false">IF(OR(NOT(AND(ISNUMBER(E239),ISNUMBER(F239))),$J$2=""),"",IF(Reprogramaciones!N$13&lt;Reprogramaciones!$T$15,0,IF(Reprogramaciones!N$14&gt;10,MIN(100,SUM($G239:$P239)),MIN(100,SUMPRODUCT((COLUMN($G239:$P239)-COLUMN($G239)+1&lt;Reprogramaciones!N$14)*$G239:$P239)+N(INDEX($G239:$P239,1,Reprogramaciones!N$14))*IF(Reprogramaciones!N$13&gt;=(Reprogramaciones!$T$15+7*(Reprogramaciones!N$14-1))+6,1,IF(MAX(0,NETWORKDAYS.INTL(MAX(E239,(Reprogramaciones!$T$15+7*(Reprogramaciones!N$14-1))),MIN(F239,(Reprogramaciones!$T$15+7*(Reprogramaciones!N$14-1))+6),11))=0,0,MAX(0,NETWORKDAYS.INTL(MAX(E239,(Reprogramaciones!$T$15+7*(Reprogramaciones!N$14-1))),MIN(F239,Reprogramaciones!N$13),11))/MAX(0,NETWORKDAYS.INTL(MAX(E239,(Reprogramaciones!$T$15+7*(Reprogramaciones!N$14-1))),MIN(F239,(Reprogramaciones!$T$15+7*(Reprogramaciones!N$14-1))+6),11))))))))</f>
        <v/>
      </c>
      <c r="BX239" s="1" t="str">
        <f aca="false">IF(OR(NOT(AND(ISNUMBER(E239),ISNUMBER(F239))),$J$2=""),"",IF(Reprogramaciones!O$13&lt;Reprogramaciones!$T$15,0,IF(Reprogramaciones!O$14&gt;10,MIN(100,SUM($G239:$P239)),MIN(100,SUMPRODUCT((COLUMN($G239:$P239)-COLUMN($G239)+1&lt;Reprogramaciones!O$14)*$G239:$P239)+N(INDEX($G239:$P239,1,Reprogramaciones!O$14))*IF(Reprogramaciones!O$13&gt;=(Reprogramaciones!$T$15+7*(Reprogramaciones!O$14-1))+6,1,IF(MAX(0,NETWORKDAYS.INTL(MAX(E239,(Reprogramaciones!$T$15+7*(Reprogramaciones!O$14-1))),MIN(F239,(Reprogramaciones!$T$15+7*(Reprogramaciones!O$14-1))+6),11))=0,0,MAX(0,NETWORKDAYS.INTL(MAX(E239,(Reprogramaciones!$T$15+7*(Reprogramaciones!O$14-1))),MIN(F239,Reprogramaciones!O$13),11))/MAX(0,NETWORKDAYS.INTL(MAX(E239,(Reprogramaciones!$T$15+7*(Reprogramaciones!O$14-1))),MIN(F239,(Reprogramaciones!$T$15+7*(Reprogramaciones!O$14-1))+6),11))))))))</f>
        <v/>
      </c>
      <c r="BY239" s="1" t="str">
        <f aca="false">IF(OR(NOT(AND(ISNUMBER(E239),ISNUMBER(F239))),$J$2=""),"",IF(Reprogramaciones!P$13&lt;Reprogramaciones!$T$15,0,IF(Reprogramaciones!P$14&gt;10,MIN(100,SUM($G239:$P239)),MIN(100,SUMPRODUCT((COLUMN($G239:$P239)-COLUMN($G239)+1&lt;Reprogramaciones!P$14)*$G239:$P239)+N(INDEX($G239:$P239,1,Reprogramaciones!P$14))*IF(Reprogramaciones!P$13&gt;=(Reprogramaciones!$T$15+7*(Reprogramaciones!P$14-1))+6,1,IF(MAX(0,NETWORKDAYS.INTL(MAX(E239,(Reprogramaciones!$T$15+7*(Reprogramaciones!P$14-1))),MIN(F239,(Reprogramaciones!$T$15+7*(Reprogramaciones!P$14-1))+6),11))=0,0,MAX(0,NETWORKDAYS.INTL(MAX(E239,(Reprogramaciones!$T$15+7*(Reprogramaciones!P$14-1))),MIN(F239,Reprogramaciones!P$13),11))/MAX(0,NETWORKDAYS.INTL(MAX(E239,(Reprogramaciones!$T$15+7*(Reprogramaciones!P$14-1))),MIN(F239,(Reprogramaciones!$T$15+7*(Reprogramaciones!P$14-1))+6),11))))))))</f>
        <v/>
      </c>
      <c r="BZ239" s="1" t="str">
        <f aca="false">IF(OR(NOT(AND(ISNUMBER(E239),ISNUMBER(F239))),$J$2=""),"",IF(Reprogramaciones!Q$13&lt;Reprogramaciones!$T$15,0,IF(Reprogramaciones!Q$14&gt;10,MIN(100,SUM($G239:$P239)),MIN(100,SUMPRODUCT((COLUMN($G239:$P239)-COLUMN($G239)+1&lt;Reprogramaciones!Q$14)*$G239:$P239)+N(INDEX($G239:$P239,1,Reprogramaciones!Q$14))*IF(Reprogramaciones!Q$13&gt;=(Reprogramaciones!$T$15+7*(Reprogramaciones!Q$14-1))+6,1,IF(MAX(0,NETWORKDAYS.INTL(MAX(E239,(Reprogramaciones!$T$15+7*(Reprogramaciones!Q$14-1))),MIN(F239,(Reprogramaciones!$T$15+7*(Reprogramaciones!Q$14-1))+6),11))=0,0,MAX(0,NETWORKDAYS.INTL(MAX(E239,(Reprogramaciones!$T$15+7*(Reprogramaciones!Q$14-1))),MIN(F239,Reprogramaciones!Q$13),11))/MAX(0,NETWORKDAYS.INTL(MAX(E239,(Reprogramaciones!$T$15+7*(Reprogramaciones!Q$14-1))),MIN(F239,(Reprogramaciones!$T$15+7*(Reprogramaciones!Q$14-1))+6),11))))))))</f>
        <v/>
      </c>
      <c r="CA239" s="1" t="str">
        <f aca="false">IF(OR(NOT(AND(ISNUMBER(E239),ISNUMBER(F239))),$J$2=""),"",IF(Reprogramaciones!R$13&lt;Reprogramaciones!$T$15,0,IF(Reprogramaciones!R$14&gt;10,MIN(100,SUM($G239:$P239)),MIN(100,SUMPRODUCT((COLUMN($G239:$P239)-COLUMN($G239)+1&lt;Reprogramaciones!R$14)*$G239:$P239)+N(INDEX($G239:$P239,1,Reprogramaciones!R$14))*IF(Reprogramaciones!R$13&gt;=(Reprogramaciones!$T$15+7*(Reprogramaciones!R$14-1))+6,1,IF(MAX(0,NETWORKDAYS.INTL(MAX(E239,(Reprogramaciones!$T$15+7*(Reprogramaciones!R$14-1))),MIN(F239,(Reprogramaciones!$T$15+7*(Reprogramaciones!R$14-1))+6),11))=0,0,MAX(0,NETWORKDAYS.INTL(MAX(E239,(Reprogramaciones!$T$15+7*(Reprogramaciones!R$14-1))),MIN(F239,Reprogramaciones!R$13),11))/MAX(0,NETWORKDAYS.INTL(MAX(E239,(Reprogramaciones!$T$15+7*(Reprogramaciones!R$14-1))),MIN(F239,(Reprogramaciones!$T$15+7*(Reprogramaciones!R$14-1))+6),11))))))))</f>
        <v/>
      </c>
      <c r="CB239" s="1" t="str">
        <f aca="false">IF(OR(NOT(AND(ISNUMBER(E239),ISNUMBER(F239))),$J$2=""),"",IF(Reprogramaciones!S$13&lt;Reprogramaciones!$T$15,0,IF(Reprogramaciones!S$14&gt;10,MIN(100,SUM($G239:$P239)),MIN(100,SUMPRODUCT((COLUMN($G239:$P239)-COLUMN($G239)+1&lt;Reprogramaciones!S$14)*$G239:$P239)+N(INDEX($G239:$P239,1,Reprogramaciones!S$14))*IF(Reprogramaciones!S$13&gt;=(Reprogramaciones!$T$15+7*(Reprogramaciones!S$14-1))+6,1,IF(MAX(0,NETWORKDAYS.INTL(MAX(E239,(Reprogramaciones!$T$15+7*(Reprogramaciones!S$14-1))),MIN(F239,(Reprogramaciones!$T$15+7*(Reprogramaciones!S$14-1))+6),11))=0,0,MAX(0,NETWORKDAYS.INTL(MAX(E239,(Reprogramaciones!$T$15+7*(Reprogramaciones!S$14-1))),MIN(F239,Reprogramaciones!S$13),11))/MAX(0,NETWORKDAYS.INTL(MAX(E239,(Reprogramaciones!$T$15+7*(Reprogramaciones!S$14-1))),MIN(F239,(Reprogramaciones!$T$15+7*(Reprogramaciones!S$14-1))+6),11))))))))</f>
        <v/>
      </c>
      <c r="CC239" s="1" t="str">
        <f aca="false">IF(OR(NOT(AND(ISNUMBER(E239),ISNUMBER(F239))),$J$2=""),"",IF(Reprogramaciones!T$13&lt;Reprogramaciones!$T$15,0,IF(Reprogramaciones!T$14&gt;10,MIN(100,SUM($G239:$P239)),MIN(100,SUMPRODUCT((COLUMN($G239:$P239)-COLUMN($G239)+1&lt;Reprogramaciones!T$14)*$G239:$P239)+N(INDEX($G239:$P239,1,Reprogramaciones!T$14))*IF(Reprogramaciones!T$13&gt;=(Reprogramaciones!$T$15+7*(Reprogramaciones!T$14-1))+6,1,IF(MAX(0,NETWORKDAYS.INTL(MAX(E239,(Reprogramaciones!$T$15+7*(Reprogramaciones!T$14-1))),MIN(F239,(Reprogramaciones!$T$15+7*(Reprogramaciones!T$14-1))+6),11))=0,0,MAX(0,NETWORKDAYS.INTL(MAX(E239,(Reprogramaciones!$T$15+7*(Reprogramaciones!T$14-1))),MIN(F239,Reprogramaciones!T$13),11))/MAX(0,NETWORKDAYS.INTL(MAX(E239,(Reprogramaciones!$T$15+7*(Reprogramaciones!T$14-1))),MIN(F239,(Reprogramaciones!$T$15+7*(Reprogramaciones!T$14-1))+6),11))))))))</f>
        <v/>
      </c>
      <c r="CD239" s="1" t="str">
        <f aca="false">IF(OR(NOT(AND(ISNUMBER(E239),ISNUMBER(F239))),$J$2=""),"",IF(Reprogramaciones!U$13&lt;Reprogramaciones!$T$15,0,IF(Reprogramaciones!U$14&gt;10,MIN(100,SUM($G239:$P239)),MIN(100,SUMPRODUCT((COLUMN($G239:$P239)-COLUMN($G239)+1&lt;Reprogramaciones!U$14)*$G239:$P239)+N(INDEX($G239:$P239,1,Reprogramaciones!U$14))*IF(Reprogramaciones!U$13&gt;=(Reprogramaciones!$T$15+7*(Reprogramaciones!U$14-1))+6,1,IF(MAX(0,NETWORKDAYS.INTL(MAX(E239,(Reprogramaciones!$T$15+7*(Reprogramaciones!U$14-1))),MIN(F239,(Reprogramaciones!$T$15+7*(Reprogramaciones!U$14-1))+6),11))=0,0,MAX(0,NETWORKDAYS.INTL(MAX(E239,(Reprogramaciones!$T$15+7*(Reprogramaciones!U$14-1))),MIN(F239,Reprogramaciones!U$13),11))/MAX(0,NETWORKDAYS.INTL(MAX(E239,(Reprogramaciones!$T$15+7*(Reprogramaciones!U$14-1))),MIN(F239,(Reprogramaciones!$T$15+7*(Reprogramaciones!U$14-1))+6),11))))))))</f>
        <v/>
      </c>
      <c r="CE239" s="1" t="str">
        <f aca="false">IF(OR(NOT(AND(ISNUMBER(E239),ISNUMBER(F239))),$J$2=""),"",IF(Reprogramaciones!V$13&lt;Reprogramaciones!$T$15,0,IF(Reprogramaciones!V$14&gt;10,MIN(100,SUM($G239:$P239)),MIN(100,SUMPRODUCT((COLUMN($G239:$P239)-COLUMN($G239)+1&lt;Reprogramaciones!V$14)*$G239:$P239)+N(INDEX($G239:$P239,1,Reprogramaciones!V$14))*IF(Reprogramaciones!V$13&gt;=(Reprogramaciones!$T$15+7*(Reprogramaciones!V$14-1))+6,1,IF(MAX(0,NETWORKDAYS.INTL(MAX(E239,(Reprogramaciones!$T$15+7*(Reprogramaciones!V$14-1))),MIN(F239,(Reprogramaciones!$T$15+7*(Reprogramaciones!V$14-1))+6),11))=0,0,MAX(0,NETWORKDAYS.INTL(MAX(E239,(Reprogramaciones!$T$15+7*(Reprogramaciones!V$14-1))),MIN(F239,Reprogramaciones!V$13),11))/MAX(0,NETWORKDAYS.INTL(MAX(E239,(Reprogramaciones!$T$15+7*(Reprogramaciones!V$14-1))),MIN(F239,(Reprogramaciones!$T$15+7*(Reprogramaciones!V$14-1))+6),11))))))))</f>
        <v/>
      </c>
      <c r="CF239" s="1" t="str">
        <f aca="false">IF(OR(NOT(AND(ISNUMBER(E239),ISNUMBER(F239))),$J$2=""),"",IF(Reprogramaciones!W$13&lt;Reprogramaciones!$T$15,0,IF(Reprogramaciones!W$14&gt;10,MIN(100,SUM($G239:$P239)),MIN(100,SUMPRODUCT((COLUMN($G239:$P239)-COLUMN($G239)+1&lt;Reprogramaciones!W$14)*$G239:$P239)+N(INDEX($G239:$P239,1,Reprogramaciones!W$14))*IF(Reprogramaciones!W$13&gt;=(Reprogramaciones!$T$15+7*(Reprogramaciones!W$14-1))+6,1,IF(MAX(0,NETWORKDAYS.INTL(MAX(E239,(Reprogramaciones!$T$15+7*(Reprogramaciones!W$14-1))),MIN(F239,(Reprogramaciones!$T$15+7*(Reprogramaciones!W$14-1))+6),11))=0,0,MAX(0,NETWORKDAYS.INTL(MAX(E239,(Reprogramaciones!$T$15+7*(Reprogramaciones!W$14-1))),MIN(F239,Reprogramaciones!W$13),11))/MAX(0,NETWORKDAYS.INTL(MAX(E239,(Reprogramaciones!$T$15+7*(Reprogramaciones!W$14-1))),MIN(F239,(Reprogramaciones!$T$15+7*(Reprogramaciones!W$14-1))+6),11))))))))</f>
        <v/>
      </c>
      <c r="CG239" s="1" t="str">
        <f aca="false">IF(OR(NOT(AND(ISNUMBER(E239),ISNUMBER(F239))),$J$2=""),"",IF(Reprogramaciones!X$13&lt;Reprogramaciones!$T$15,0,IF(Reprogramaciones!X$14&gt;10,MIN(100,SUM($G239:$P239)),MIN(100,SUMPRODUCT((COLUMN($G239:$P239)-COLUMN($G239)+1&lt;Reprogramaciones!X$14)*$G239:$P239)+N(INDEX($G239:$P239,1,Reprogramaciones!X$14))*IF(Reprogramaciones!X$13&gt;=(Reprogramaciones!$T$15+7*(Reprogramaciones!X$14-1))+6,1,IF(MAX(0,NETWORKDAYS.INTL(MAX(E239,(Reprogramaciones!$T$15+7*(Reprogramaciones!X$14-1))),MIN(F239,(Reprogramaciones!$T$15+7*(Reprogramaciones!X$14-1))+6),11))=0,0,MAX(0,NETWORKDAYS.INTL(MAX(E239,(Reprogramaciones!$T$15+7*(Reprogramaciones!X$14-1))),MIN(F239,Reprogramaciones!X$13),11))/MAX(0,NETWORKDAYS.INTL(MAX(E239,(Reprogramaciones!$T$15+7*(Reprogramaciones!X$14-1))),MIN(F239,(Reprogramaciones!$T$15+7*(Reprogramaciones!X$14-1))+6),11))))))))</f>
        <v/>
      </c>
      <c r="CH239" s="1" t="str">
        <f aca="false">IF(OR(NOT(AND(ISNUMBER(E239),ISNUMBER(F239))),$J$2=""),"",IF(Reprogramaciones!Y$13&lt;Reprogramaciones!$T$15,0,IF(Reprogramaciones!Y$14&gt;10,MIN(100,SUM($G239:$P239)),MIN(100,SUMPRODUCT((COLUMN($G239:$P239)-COLUMN($G239)+1&lt;Reprogramaciones!Y$14)*$G239:$P239)+N(INDEX($G239:$P239,1,Reprogramaciones!Y$14))*IF(Reprogramaciones!Y$13&gt;=(Reprogramaciones!$T$15+7*(Reprogramaciones!Y$14-1))+6,1,IF(MAX(0,NETWORKDAYS.INTL(MAX(E239,(Reprogramaciones!$T$15+7*(Reprogramaciones!Y$14-1))),MIN(F239,(Reprogramaciones!$T$15+7*(Reprogramaciones!Y$14-1))+6),11))=0,0,MAX(0,NETWORKDAYS.INTL(MAX(E239,(Reprogramaciones!$T$15+7*(Reprogramaciones!Y$14-1))),MIN(F239,Reprogramaciones!Y$13),11))/MAX(0,NETWORKDAYS.INTL(MAX(E239,(Reprogramaciones!$T$15+7*(Reprogramaciones!Y$14-1))),MIN(F239,(Reprogramaciones!$T$15+7*(Reprogramaciones!Y$14-1))+6),11))))))))</f>
        <v/>
      </c>
      <c r="CI239" s="1" t="str">
        <f aca="false">IF(OR(NOT(AND(ISNUMBER(E239),ISNUMBER(F239))),$J$2=""),"",IF(Reprogramaciones!Z$13&lt;Reprogramaciones!$T$15,0,IF(Reprogramaciones!Z$14&gt;10,MIN(100,SUM($G239:$P239)),MIN(100,SUMPRODUCT((COLUMN($G239:$P239)-COLUMN($G239)+1&lt;Reprogramaciones!Z$14)*$G239:$P239)+N(INDEX($G239:$P239,1,Reprogramaciones!Z$14))*IF(Reprogramaciones!Z$13&gt;=(Reprogramaciones!$T$15+7*(Reprogramaciones!Z$14-1))+6,1,IF(MAX(0,NETWORKDAYS.INTL(MAX(E239,(Reprogramaciones!$T$15+7*(Reprogramaciones!Z$14-1))),MIN(F239,(Reprogramaciones!$T$15+7*(Reprogramaciones!Z$14-1))+6),11))=0,0,MAX(0,NETWORKDAYS.INTL(MAX(E239,(Reprogramaciones!$T$15+7*(Reprogramaciones!Z$14-1))),MIN(F239,Reprogramaciones!Z$13),11))/MAX(0,NETWORKDAYS.INTL(MAX(E239,(Reprogramaciones!$T$15+7*(Reprogramaciones!Z$14-1))),MIN(F239,(Reprogramaciones!$T$15+7*(Reprogramaciones!Z$14-1))+6),11))))))))</f>
        <v/>
      </c>
      <c r="CJ239" s="1" t="str">
        <f aca="false">IF(OR(OR(NOT(AND(ISNUMBER(E239),ISNUMBER(F239))),$J$2=""),1&gt;Reprogramaciones!$K$16),"",IF(ROUND(SUM($Q239:Q239),1)&gt;=99.5,100,MIN(100,ROUND(SUM($Q239:Q239),1))))</f>
        <v/>
      </c>
      <c r="CK239" s="1" t="str">
        <f aca="false">IF(OR(OR(NOT(AND(ISNUMBER(E239),ISNUMBER(F239))),$J$2=""),2&gt;Reprogramaciones!$K$16),"",IF(ROUND(SUM($Q239:R239),1)&gt;=99.5,100,MIN(100,ROUND(SUM($Q239:R239),1))))</f>
        <v/>
      </c>
      <c r="CL239" s="1" t="str">
        <f aca="false">IF(OR(OR(NOT(AND(ISNUMBER(E239),ISNUMBER(F239))),$J$2=""),3&gt;Reprogramaciones!$K$16),"",IF(ROUND(SUM($Q239:S239),1)&gt;=99.5,100,MIN(100,ROUND(SUM($Q239:S239),1))))</f>
        <v/>
      </c>
      <c r="CM239" s="1" t="str">
        <f aca="false">IF(OR(OR(NOT(AND(ISNUMBER(E239),ISNUMBER(F239))),$J$2=""),4&gt;Reprogramaciones!$K$16),"",IF(ROUND(SUM($Q239:T239),1)&gt;=99.5,100,MIN(100,ROUND(SUM($Q239:T239),1))))</f>
        <v/>
      </c>
      <c r="CN239" s="1" t="str">
        <f aca="false">IF(OR(OR(NOT(AND(ISNUMBER(E239),ISNUMBER(F239))),$J$2=""),5&gt;Reprogramaciones!$K$16),"",IF(ROUND(SUM($Q239:U239),1)&gt;=99.5,100,MIN(100,ROUND(SUM($Q239:U239),1))))</f>
        <v/>
      </c>
      <c r="CO239" s="1" t="str">
        <f aca="false">IF(OR(OR(NOT(AND(ISNUMBER(E239),ISNUMBER(F239))),$J$2=""),6&gt;Reprogramaciones!$K$16),"",IF(ROUND(SUM($Q239:V239),1)&gt;=99.5,100,MIN(100,ROUND(SUM($Q239:V239),1))))</f>
        <v/>
      </c>
      <c r="CP239" s="1" t="str">
        <f aca="false">IF(OR(OR(NOT(AND(ISNUMBER(E239),ISNUMBER(F239))),$J$2=""),7&gt;Reprogramaciones!$K$16),"",IF(ROUND(SUM($Q239:W239),1)&gt;=99.5,100,MIN(100,ROUND(SUM($Q239:W239),1))))</f>
        <v/>
      </c>
      <c r="CQ239" s="1" t="str">
        <f aca="false">IF(OR(OR(NOT(AND(ISNUMBER(E239),ISNUMBER(F239))),$J$2=""),8&gt;Reprogramaciones!$K$16),"",IF(ROUND(SUM($Q239:X239),1)&gt;=99.5,100,MIN(100,ROUND(SUM($Q239:X239),1))))</f>
        <v/>
      </c>
      <c r="CR239" s="1" t="str">
        <f aca="false">IF(OR(OR(NOT(AND(ISNUMBER(E239),ISNUMBER(F239))),$J$2=""),9&gt;Reprogramaciones!$K$16),"",IF(ROUND(SUM($Q239:Y239),1)&gt;=99.5,100,MIN(100,ROUND(SUM($Q239:Y239),1))))</f>
        <v/>
      </c>
      <c r="CS239" s="1" t="str">
        <f aca="false">IF(OR(OR(NOT(AND(ISNUMBER(E239),ISNUMBER(F239))),$J$2=""),10&gt;Reprogramaciones!$K$16),"",IF(ROUND(SUM($Q239:Z239),1)&gt;=99.5,100,MIN(100,ROUND(SUM($Q239:Z239),1))))</f>
        <v/>
      </c>
      <c r="CT239" s="1" t="str">
        <f aca="false">IF(OR(OR(NOT(AND(ISNUMBER(E239),ISNUMBER(F239))),$J$2=""),11&gt;Reprogramaciones!$K$16),"",IF(ROUND(SUM($Q239:AA239),1)&gt;=99.5,100,MIN(100,ROUND(SUM($Q239:AA239),1))))</f>
        <v/>
      </c>
      <c r="CU239" s="1" t="str">
        <f aca="false">IF(OR(OR(NOT(AND(ISNUMBER(E239),ISNUMBER(F239))),$J$2=""),12&gt;Reprogramaciones!$K$16),"",IF(ROUND(SUM($Q239:AB239),1)&gt;=99.5,100,MIN(100,ROUND(SUM($Q239:AB239),1))))</f>
        <v/>
      </c>
      <c r="CV239" s="1" t="str">
        <f aca="false">IF(OR(OR(NOT(AND(ISNUMBER(E239),ISNUMBER(F239))),$J$2=""),13&gt;Reprogramaciones!$K$16),"",IF(ROUND(SUM($Q239:AC239),1)&gt;=99.5,100,MIN(100,ROUND(SUM($Q239:AC239),1))))</f>
        <v/>
      </c>
      <c r="CW239" s="1" t="str">
        <f aca="false">IF(OR(OR(NOT(AND(ISNUMBER(E239),ISNUMBER(F239))),$J$2=""),14&gt;Reprogramaciones!$K$16),"",IF(ROUND(SUM($Q239:AD239),1)&gt;=99.5,100,MIN(100,ROUND(SUM($Q239:AD239),1))))</f>
        <v/>
      </c>
      <c r="CX239" s="1" t="str">
        <f aca="false">IF(OR(OR(NOT(AND(ISNUMBER(E239),ISNUMBER(F239))),$J$2=""),15&gt;Reprogramaciones!$K$16),"",IF(ROUND(SUM($Q239:AE239),1)&gt;=99.5,100,MIN(100,ROUND(SUM($Q239:AE239),1))))</f>
        <v/>
      </c>
      <c r="CY239" s="1" t="str">
        <f aca="false">IF(OR(OR(NOT(AND(ISNUMBER(E239),ISNUMBER(F239))),$J$2=""),16&gt;Reprogramaciones!$K$16),"",IF(ROUND(SUM($Q239:AF239),1)&gt;=99.5,100,MIN(100,ROUND(SUM($Q239:AF239),1))))</f>
        <v/>
      </c>
      <c r="CZ239" s="1" t="str">
        <f aca="false">IF(D239&lt;&gt;"",D239,IF(B239&lt;&gt;"","Contractual",CZ238))</f>
        <v>Contractual</v>
      </c>
      <c r="DA239" s="1" t="str">
        <f aca="false">IF(OR(NOT(AND(ISNUMBER(E239),ISNUMBER(F239))),$J$2=""),"",IF(Reprogramaciones!$Q$15&lt;Reprogramaciones!$T$15,0,IF(Reprogramaciones!$S$15&gt;10,MIN(100,SUM($G239:$P239)),MIN(100,SUMPRODUCT((COLUMN($G239:$P239)-COLUMN($G239)+1&lt;Reprogramaciones!$S$15)*$G239:$P239)+N(INDEX($G239:$P239,1,Reprogramaciones!$S$15))*IF(Reprogramaciones!$Q$15&gt;=(Reprogramaciones!$T$15+7*(Reprogramaciones!$S$15-1))+6,1,IF(MAX(0,NETWORKDAYS.INTL(MAX(E239,(Reprogramaciones!$T$15+7*(Reprogramaciones!$S$15-1))),MIN(F239,(Reprogramaciones!$T$15+7*(Reprogramaciones!$S$15-1))+6),11))=0,0,MAX(0,NETWORKDAYS.INTL(MAX(E239,(Reprogramaciones!$T$15+7*(Reprogramaciones!$S$15-1))),MIN(F239,Reprogramaciones!$Q$15),11))/MAX(0,NETWORKDAYS.INTL(MAX(E239,(Reprogramaciones!$T$15+7*(Reprogramaciones!$S$15-1))),MIN(F239,(Reprogramaciones!$T$15+7*(Reprogramaciones!$S$15-1))+6),11))))))))</f>
        <v/>
      </c>
    </row>
    <row r="240" customFormat="false" ht="15" hidden="false" customHeight="false" outlineLevel="0" collapsed="false">
      <c r="A240" s="32"/>
      <c r="B240" s="33"/>
      <c r="C240" s="33"/>
      <c r="D240" s="34"/>
      <c r="E240" s="35"/>
      <c r="F240" s="35"/>
      <c r="G240" s="36" t="str">
        <f aca="false">IF(OR(NOT(AND(ISNUMBER(E240),ISNUMBER(F240))),$J$2=""),"",IF(Reprogramaciones!K$9&lt;E240,0,IF(NETWORKDAYS.INTL(E240,F240,11)=0,IF(Reprogramaciones!K$9&gt;=F240,100,0),ROUND(NETWORKDAYS.INTL(E240,MIN(F240,Reprogramaciones!K$9),11)/NETWORKDAYS.INTL(E240,F240,11)*100,1)))-0)</f>
        <v/>
      </c>
      <c r="H240" s="36" t="str">
        <f aca="false">IF(OR(NOT(AND(ISNUMBER(E240),ISNUMBER(F240))),$J$2=""),"",IF(Reprogramaciones!L$9&lt;E240,0,IF(NETWORKDAYS.INTL(E240,F240,11)=0,IF(Reprogramaciones!L$9&gt;=F240,100,0),ROUND(NETWORKDAYS.INTL(E240,MIN(F240,Reprogramaciones!L$9),11)/NETWORKDAYS.INTL(E240,F240,11)*100,1)))-IF(Reprogramaciones!K$9&lt;E240,0,IF(NETWORKDAYS.INTL(E240,F240,11)=0,IF(Reprogramaciones!K$9&gt;=F240,100,0),ROUND(NETWORKDAYS.INTL(E240,MIN(F240,Reprogramaciones!K$9),11)/NETWORKDAYS.INTL(E240,F240,11)*100,1))))</f>
        <v/>
      </c>
      <c r="I240" s="36" t="str">
        <f aca="false">IF(OR(NOT(AND(ISNUMBER(E240),ISNUMBER(F240))),$J$2=""),"",IF(Reprogramaciones!M$9&lt;E240,0,IF(NETWORKDAYS.INTL(E240,F240,11)=0,IF(Reprogramaciones!M$9&gt;=F240,100,0),ROUND(NETWORKDAYS.INTL(E240,MIN(F240,Reprogramaciones!M$9),11)/NETWORKDAYS.INTL(E240,F240,11)*100,1)))-IF(Reprogramaciones!L$9&lt;E240,0,IF(NETWORKDAYS.INTL(E240,F240,11)=0,IF(Reprogramaciones!L$9&gt;=F240,100,0),ROUND(NETWORKDAYS.INTL(E240,MIN(F240,Reprogramaciones!L$9),11)/NETWORKDAYS.INTL(E240,F240,11)*100,1))))</f>
        <v/>
      </c>
      <c r="J240" s="36" t="str">
        <f aca="false">IF(OR(NOT(AND(ISNUMBER(E240),ISNUMBER(F240))),$J$2=""),"",IF(Reprogramaciones!N$9&lt;E240,0,IF(NETWORKDAYS.INTL(E240,F240,11)=0,IF(Reprogramaciones!N$9&gt;=F240,100,0),ROUND(NETWORKDAYS.INTL(E240,MIN(F240,Reprogramaciones!N$9),11)/NETWORKDAYS.INTL(E240,F240,11)*100,1)))-IF(Reprogramaciones!M$9&lt;E240,0,IF(NETWORKDAYS.INTL(E240,F240,11)=0,IF(Reprogramaciones!M$9&gt;=F240,100,0),ROUND(NETWORKDAYS.INTL(E240,MIN(F240,Reprogramaciones!M$9),11)/NETWORKDAYS.INTL(E240,F240,11)*100,1))))</f>
        <v/>
      </c>
      <c r="K240" s="36" t="str">
        <f aca="false">IF(OR(NOT(AND(ISNUMBER(E240),ISNUMBER(F240))),$J$2=""),"",IF(Reprogramaciones!O$9&lt;E240,0,IF(NETWORKDAYS.INTL(E240,F240,11)=0,IF(Reprogramaciones!O$9&gt;=F240,100,0),ROUND(NETWORKDAYS.INTL(E240,MIN(F240,Reprogramaciones!O$9),11)/NETWORKDAYS.INTL(E240,F240,11)*100,1)))-IF(Reprogramaciones!N$9&lt;E240,0,IF(NETWORKDAYS.INTL(E240,F240,11)=0,IF(Reprogramaciones!N$9&gt;=F240,100,0),ROUND(NETWORKDAYS.INTL(E240,MIN(F240,Reprogramaciones!N$9),11)/NETWORKDAYS.INTL(E240,F240,11)*100,1))))</f>
        <v/>
      </c>
      <c r="L240" s="36" t="str">
        <f aca="false">IF(OR(NOT(AND(ISNUMBER(E240),ISNUMBER(F240))),$J$2=""),"",IF(Reprogramaciones!P$9&lt;E240,0,IF(NETWORKDAYS.INTL(E240,F240,11)=0,IF(Reprogramaciones!P$9&gt;=F240,100,0),ROUND(NETWORKDAYS.INTL(E240,MIN(F240,Reprogramaciones!P$9),11)/NETWORKDAYS.INTL(E240,F240,11)*100,1)))-IF(Reprogramaciones!O$9&lt;E240,0,IF(NETWORKDAYS.INTL(E240,F240,11)=0,IF(Reprogramaciones!O$9&gt;=F240,100,0),ROUND(NETWORKDAYS.INTL(E240,MIN(F240,Reprogramaciones!O$9),11)/NETWORKDAYS.INTL(E240,F240,11)*100,1))))</f>
        <v/>
      </c>
      <c r="M240" s="36" t="str">
        <f aca="false">IF(OR(NOT(AND(ISNUMBER(E240),ISNUMBER(F240))),$J$2=""),"",IF(Reprogramaciones!Q$9&lt;E240,0,IF(NETWORKDAYS.INTL(E240,F240,11)=0,IF(Reprogramaciones!Q$9&gt;=F240,100,0),ROUND(NETWORKDAYS.INTL(E240,MIN(F240,Reprogramaciones!Q$9),11)/NETWORKDAYS.INTL(E240,F240,11)*100,1)))-IF(Reprogramaciones!P$9&lt;E240,0,IF(NETWORKDAYS.INTL(E240,F240,11)=0,IF(Reprogramaciones!P$9&gt;=F240,100,0),ROUND(NETWORKDAYS.INTL(E240,MIN(F240,Reprogramaciones!P$9),11)/NETWORKDAYS.INTL(E240,F240,11)*100,1))))</f>
        <v/>
      </c>
      <c r="N240" s="36" t="str">
        <f aca="false">IF(OR(NOT(AND(ISNUMBER(E240),ISNUMBER(F240))),$J$2=""),"",IF(Reprogramaciones!R$9&lt;E240,0,IF(NETWORKDAYS.INTL(E240,F240,11)=0,IF(Reprogramaciones!R$9&gt;=F240,100,0),ROUND(NETWORKDAYS.INTL(E240,MIN(F240,Reprogramaciones!R$9),11)/NETWORKDAYS.INTL(E240,F240,11)*100,1)))-IF(Reprogramaciones!Q$9&lt;E240,0,IF(NETWORKDAYS.INTL(E240,F240,11)=0,IF(Reprogramaciones!Q$9&gt;=F240,100,0),ROUND(NETWORKDAYS.INTL(E240,MIN(F240,Reprogramaciones!Q$9),11)/NETWORKDAYS.INTL(E240,F240,11)*100,1))))</f>
        <v/>
      </c>
      <c r="O240" s="36" t="str">
        <f aca="false">IF(OR(NOT(AND(ISNUMBER(E240),ISNUMBER(F240))),$J$2=""),"",IF(Reprogramaciones!S$9&lt;E240,0,IF(NETWORKDAYS.INTL(E240,F240,11)=0,IF(Reprogramaciones!S$9&gt;=F240,100,0),ROUND(NETWORKDAYS.INTL(E240,MIN(F240,Reprogramaciones!S$9),11)/NETWORKDAYS.INTL(E240,F240,11)*100,1)))-IF(Reprogramaciones!R$9&lt;E240,0,IF(NETWORKDAYS.INTL(E240,F240,11)=0,IF(Reprogramaciones!R$9&gt;=F240,100,0),ROUND(NETWORKDAYS.INTL(E240,MIN(F240,Reprogramaciones!R$9),11)/NETWORKDAYS.INTL(E240,F240,11)*100,1))))</f>
        <v/>
      </c>
      <c r="P240" s="36" t="str">
        <f aca="false">IF(OR(NOT(AND(ISNUMBER(E240),ISNUMBER(F240))),$J$2=""),"",IF(Reprogramaciones!T$9&lt;E240,0,IF(NETWORKDAYS.INTL(E240,F240,11)=0,IF(Reprogramaciones!T$9&gt;=F240,100,0),ROUND(NETWORKDAYS.INTL(E240,MIN(F240,Reprogramaciones!T$9),11)/NETWORKDAYS.INTL(E240,F240,11)*100,1)))-IF(Reprogramaciones!S$9&lt;E240,0,IF(NETWORKDAYS.INTL(E240,F240,11)=0,IF(Reprogramaciones!S$9&gt;=F240,100,0),ROUND(NETWORKDAYS.INTL(E240,MIN(F240,Reprogramaciones!S$9),11)/NETWORKDAYS.INTL(E240,F240,11)*100,1))))</f>
        <v/>
      </c>
      <c r="Q240" s="37"/>
      <c r="R240" s="37"/>
      <c r="S240" s="37"/>
      <c r="T240" s="37"/>
      <c r="U240" s="37"/>
      <c r="V240" s="37"/>
      <c r="W240" s="37"/>
      <c r="X240" s="37"/>
      <c r="Y240" s="37"/>
      <c r="Z240" s="37"/>
      <c r="AA240" s="37"/>
      <c r="AB240" s="37"/>
      <c r="AC240" s="37"/>
      <c r="AD240" s="37"/>
      <c r="AE240" s="37"/>
      <c r="AF240" s="37"/>
      <c r="AG240" s="38" t="str">
        <f aca="false">IF(AND(ISNUMBER(E240),ISNUMBER(F240)),NETWORKDAYS.INTL(E240,F240,11),"")</f>
        <v/>
      </c>
      <c r="AH240" s="38" t="str">
        <f aca="false">IF(OR(NOT(AND(ISNUMBER(E240),ISNUMBER(F240))),$J$2=""),"",IF(Reprogramaciones!$P$15&lt;Reprogramaciones!$T$15,0,IF(Reprogramaciones!$R$15&gt;10,MIN(100,SUM($G240:$P240)),MIN(100,SUMPRODUCT((COLUMN($G240:$P240)-COLUMN($G240)+1&lt;Reprogramaciones!$R$15)*$G240:$P240)+N(INDEX($G240:$P240,1,Reprogramaciones!$R$15))*IF(Reprogramaciones!$P$15&gt;=(Reprogramaciones!$T$15+7*(Reprogramaciones!$R$15-1))+6,1,IF(MAX(0,NETWORKDAYS.INTL(MAX(E240,(Reprogramaciones!$T$15+7*(Reprogramaciones!$R$15-1))),MIN(F240,(Reprogramaciones!$T$15+7*(Reprogramaciones!$R$15-1))+6),11))=0,0,MAX(0,NETWORKDAYS.INTL(MAX(E240,(Reprogramaciones!$T$15+7*(Reprogramaciones!$R$15-1))),MIN(F240,Reprogramaciones!$P$15),11))/MAX(0,NETWORKDAYS.INTL(MAX(E240,(Reprogramaciones!$T$15+7*(Reprogramaciones!$R$15-1))),MIN(F240,(Reprogramaciones!$T$15+7*(Reprogramaciones!$R$15-1))+6),11))))))))</f>
        <v/>
      </c>
      <c r="AI240" s="38" t="str">
        <f aca="false">IF(COUNT($Q240:$AF240)=0,"",IF(ROUND(SUM($Q240:$AF240),1)&gt;=99.5,100,MIN(100,ROUND(SUM($Q240:$AF240),1))))</f>
        <v/>
      </c>
      <c r="AJ240" s="38" t="str">
        <f aca="false">IF(OR(AH240="",AI240=""),"",AI240-AH240)</f>
        <v/>
      </c>
      <c r="AK240" s="39" t="str">
        <f aca="true">IF(AH240="","",IF(OR(Ficha!$C$10="Suspendida",Ficha!$C$10="Cancelada"),Ficha!$C$10,IF(AND(AI240&lt;&gt;"",N(AI240)&gt;=100),"Completada",IF(AND(E240&gt;TODAY(),N(AI240)=0),"Por iniciar",IF(N(AI240)+0.5&lt;AH240,"Retrasada",IF(N(AI240)+0.5&lt;DA240,IF(Reprogramaciones!$K$15&gt;0,"Al día · Sem "&amp;Reprogramaciones!$K$15&amp;" en curso","Al día · en curso"),"A tiempo"))))))</f>
        <v/>
      </c>
      <c r="AL240" s="39" t="str">
        <f aca="true">IF(AND(A240="",AND(B240="",C240="",E240="",F240="",COUNT(Q240:AF240)=0)),"",IF(AND(B240="",C240="",E240="",F240="",COUNT(Q240:AF240)=0),"Falta la partida o subpartida",IF(AND(A240&lt;&gt;"",COUNTIF($A$6:$A$305,A240)&gt;1),"Ítem repetido",IF(AND(C240="",E240="",F240="",COUNT(Q240:AF240)=0),"Título de partida",IF(OR(E240="",F240=""),"Faltan fechas",IF(OR(ISTEXT(E240),ISTEXT(F240)),"Fecha escrita como texto: usa dd/mm/aaaa",IF(F240&lt;E240,"Fin antes del inicio",IF(IF($J$2="",FALSE(),OR(E240&lt;$J$2,F240&gt;Reprogramaciones!$T$15+69)),"Fuera de las 10 semanas",IF(ABS(SUM(G240:P240)-100)&gt;0.5,"La meta no suma 100%",IF(ROUND(SUM(Q240:AF240),1)&gt;100.5,"El avance pasa de 100%",IF(MIN(Q240:AF240)&lt;0,"Avance negativo",IF(COUNTA(Q240:AF240)&gt;COUNT(Q240:AF240),"Avance escrito como texto",IF(SUMPRODUCT((Q240:AF240&gt;0)*(Q240:AF240&lt;1))&gt;0,"Avance menor a 1: escribe 50, no 50%",IF(SUMPRODUCT(ISNUMBER(Q240:AF240)*(Reprogramaciones!$K$8:$Z$8&gt;TODAY()))&gt;0,"Avance en semana que aún no llega",IF(AND(N(Reprogramaciones!$E$21)&gt;0,F240&gt;Reprogramaciones!$E$21),"Pasa el fin de la obra: registra una reprogramación",IF(AND(N(Reprogramaciones!$E$21)&gt;0,SUMPRODUCT(ISNUMBER(Q240:AF240)*(Reprogramaciones!$K$8:$Z$8&gt;Reprogramaciones!$E$21))&gt;0),"Avance después del fin de la obra: registra una reprogramación por atraso","OK"))))))))))))))))</f>
        <v/>
      </c>
      <c r="AM240" s="40" t="str">
        <f aca="false">IF(OR(OR(NOT(AND(ISNUMBER(E240),ISNUMBER(F240))),$J$2=""),1&gt;MAX(1,Reprogramaciones!$U$15)),"",IF(Reprogramaciones!K$12&gt;=7,"",IF(OR(BT240-N(0)&gt;0.05,N(Q240)&gt;0),ROUNDDOWN(ROUND(BT240,6),0)&amp;"%"&amp;IF(CJ240="",""," / "&amp;CJ240&amp;"%"),IF(AND(N(0)&gt;=99.95,CJ240&lt;&gt;"",N(CJ240)&lt;100),"Pend. "&amp;CJ240&amp;"%",""))))</f>
        <v/>
      </c>
      <c r="AN240" s="40" t="str">
        <f aca="false">IF(OR(OR(NOT(AND(ISNUMBER(E240),ISNUMBER(F240))),$J$2=""),2&gt;MAX(1,Reprogramaciones!$U$15)),"",IF(Reprogramaciones!L$12&gt;=7,"",IF(OR(BU240-N(BT240)&gt;0.05,N(R240)&gt;0),ROUNDDOWN(ROUND(BU240,6),0)&amp;"%"&amp;IF(CK240="",""," / "&amp;CK240&amp;"%"),IF(AND(N(BT240)&gt;=99.95,CK240&lt;&gt;"",N(CK240)&lt;100),"Pend. "&amp;CK240&amp;"%",""))))</f>
        <v/>
      </c>
      <c r="AO240" s="40" t="str">
        <f aca="false">IF(OR(OR(NOT(AND(ISNUMBER(E240),ISNUMBER(F240))),$J$2=""),3&gt;MAX(1,Reprogramaciones!$U$15)),"",IF(Reprogramaciones!M$12&gt;=7,"",IF(OR(BV240-N(BU240)&gt;0.05,N(S240)&gt;0),ROUNDDOWN(ROUND(BV240,6),0)&amp;"%"&amp;IF(CL240="",""," / "&amp;CL240&amp;"%"),IF(AND(N(BU240)&gt;=99.95,CL240&lt;&gt;"",N(CL240)&lt;100),"Pend. "&amp;CL240&amp;"%",""))))</f>
        <v/>
      </c>
      <c r="AP240" s="40" t="str">
        <f aca="false">IF(OR(OR(NOT(AND(ISNUMBER(E240),ISNUMBER(F240))),$J$2=""),4&gt;MAX(1,Reprogramaciones!$U$15)),"",IF(Reprogramaciones!N$12&gt;=7,"",IF(OR(BW240-N(BV240)&gt;0.05,N(T240)&gt;0),ROUNDDOWN(ROUND(BW240,6),0)&amp;"%"&amp;IF(CM240="",""," / "&amp;CM240&amp;"%"),IF(AND(N(BV240)&gt;=99.95,CM240&lt;&gt;"",N(CM240)&lt;100),"Pend. "&amp;CM240&amp;"%",""))))</f>
        <v/>
      </c>
      <c r="AQ240" s="40" t="str">
        <f aca="false">IF(OR(OR(NOT(AND(ISNUMBER(E240),ISNUMBER(F240))),$J$2=""),5&gt;MAX(1,Reprogramaciones!$U$15)),"",IF(Reprogramaciones!O$12&gt;=7,"",IF(OR(BX240-N(BW240)&gt;0.05,N(U240)&gt;0),ROUNDDOWN(ROUND(BX240,6),0)&amp;"%"&amp;IF(CN240="",""," / "&amp;CN240&amp;"%"),IF(AND(N(BW240)&gt;=99.95,CN240&lt;&gt;"",N(CN240)&lt;100),"Pend. "&amp;CN240&amp;"%",""))))</f>
        <v/>
      </c>
      <c r="AR240" s="40" t="str">
        <f aca="false">IF(OR(OR(NOT(AND(ISNUMBER(E240),ISNUMBER(F240))),$J$2=""),6&gt;MAX(1,Reprogramaciones!$U$15)),"",IF(Reprogramaciones!P$12&gt;=7,"",IF(OR(BY240-N(BX240)&gt;0.05,N(V240)&gt;0),ROUNDDOWN(ROUND(BY240,6),0)&amp;"%"&amp;IF(CO240="",""," / "&amp;CO240&amp;"%"),IF(AND(N(BX240)&gt;=99.95,CO240&lt;&gt;"",N(CO240)&lt;100),"Pend. "&amp;CO240&amp;"%",""))))</f>
        <v/>
      </c>
      <c r="AS240" s="40" t="str">
        <f aca="false">IF(OR(OR(NOT(AND(ISNUMBER(E240),ISNUMBER(F240))),$J$2=""),7&gt;MAX(1,Reprogramaciones!$U$15)),"",IF(Reprogramaciones!Q$12&gt;=7,"",IF(OR(BZ240-N(BY240)&gt;0.05,N(W240)&gt;0),ROUNDDOWN(ROUND(BZ240,6),0)&amp;"%"&amp;IF(CP240="",""," / "&amp;CP240&amp;"%"),IF(AND(N(BY240)&gt;=99.95,CP240&lt;&gt;"",N(CP240)&lt;100),"Pend. "&amp;CP240&amp;"%",""))))</f>
        <v/>
      </c>
      <c r="AT240" s="40" t="str">
        <f aca="false">IF(OR(OR(NOT(AND(ISNUMBER(E240),ISNUMBER(F240))),$J$2=""),8&gt;MAX(1,Reprogramaciones!$U$15)),"",IF(Reprogramaciones!R$12&gt;=7,"",IF(OR(CA240-N(BZ240)&gt;0.05,N(X240)&gt;0),ROUNDDOWN(ROUND(CA240,6),0)&amp;"%"&amp;IF(CQ240="",""," / "&amp;CQ240&amp;"%"),IF(AND(N(BZ240)&gt;=99.95,CQ240&lt;&gt;"",N(CQ240)&lt;100),"Pend. "&amp;CQ240&amp;"%",""))))</f>
        <v/>
      </c>
      <c r="AU240" s="40" t="str">
        <f aca="false">IF(OR(OR(NOT(AND(ISNUMBER(E240),ISNUMBER(F240))),$J$2=""),9&gt;MAX(1,Reprogramaciones!$U$15)),"",IF(Reprogramaciones!S$12&gt;=7,"",IF(OR(CB240-N(CA240)&gt;0.05,N(Y240)&gt;0),ROUNDDOWN(ROUND(CB240,6),0)&amp;"%"&amp;IF(CR240="",""," / "&amp;CR240&amp;"%"),IF(AND(N(CA240)&gt;=99.95,CR240&lt;&gt;"",N(CR240)&lt;100),"Pend. "&amp;CR240&amp;"%",""))))</f>
        <v/>
      </c>
      <c r="AV240" s="40" t="str">
        <f aca="false">IF(OR(OR(NOT(AND(ISNUMBER(E240),ISNUMBER(F240))),$J$2=""),10&gt;MAX(1,Reprogramaciones!$U$15)),"",IF(Reprogramaciones!T$12&gt;=7,"",IF(OR(CC240-N(CB240)&gt;0.05,N(Z240)&gt;0),ROUNDDOWN(ROUND(CC240,6),0)&amp;"%"&amp;IF(CS240="",""," / "&amp;CS240&amp;"%"),IF(AND(N(CB240)&gt;=99.95,CS240&lt;&gt;"",N(CS240)&lt;100),"Pend. "&amp;CS240&amp;"%",""))))</f>
        <v/>
      </c>
      <c r="AW240" s="40" t="str">
        <f aca="false">IF(OR(OR(NOT(AND(ISNUMBER(E240),ISNUMBER(F240))),$J$2=""),11&gt;MAX(1,Reprogramaciones!$U$15)),"",IF(Reprogramaciones!U$12&gt;=7,"",IF(OR(CD240-N(CC240)&gt;0.05,N(AA240)&gt;0),ROUNDDOWN(ROUND(CD240,6),0)&amp;"%"&amp;IF(CT240="",""," / "&amp;CT240&amp;"%"),IF(AND(N(CC240)&gt;=99.95,CT240&lt;&gt;"",N(CT240)&lt;100),"Pend. "&amp;CT240&amp;"%",""))))</f>
        <v/>
      </c>
      <c r="AX240" s="40" t="str">
        <f aca="false">IF(OR(OR(NOT(AND(ISNUMBER(E240),ISNUMBER(F240))),$J$2=""),12&gt;MAX(1,Reprogramaciones!$U$15)),"",IF(Reprogramaciones!V$12&gt;=7,"",IF(OR(CE240-N(CD240)&gt;0.05,N(AB240)&gt;0),ROUNDDOWN(ROUND(CE240,6),0)&amp;"%"&amp;IF(CU240="",""," / "&amp;CU240&amp;"%"),IF(AND(N(CD240)&gt;=99.95,CU240&lt;&gt;"",N(CU240)&lt;100),"Pend. "&amp;CU240&amp;"%",""))))</f>
        <v/>
      </c>
      <c r="AY240" s="40" t="str">
        <f aca="false">IF(OR(OR(NOT(AND(ISNUMBER(E240),ISNUMBER(F240))),$J$2=""),13&gt;MAX(1,Reprogramaciones!$U$15)),"",IF(Reprogramaciones!W$12&gt;=7,"",IF(OR(CF240-N(CE240)&gt;0.05,N(AC240)&gt;0),ROUNDDOWN(ROUND(CF240,6),0)&amp;"%"&amp;IF(CV240="",""," / "&amp;CV240&amp;"%"),IF(AND(N(CE240)&gt;=99.95,CV240&lt;&gt;"",N(CV240)&lt;100),"Pend. "&amp;CV240&amp;"%",""))))</f>
        <v/>
      </c>
      <c r="AZ240" s="40" t="str">
        <f aca="false">IF(OR(OR(NOT(AND(ISNUMBER(E240),ISNUMBER(F240))),$J$2=""),14&gt;MAX(1,Reprogramaciones!$U$15)),"",IF(Reprogramaciones!X$12&gt;=7,"",IF(OR(CG240-N(CF240)&gt;0.05,N(AD240)&gt;0),ROUNDDOWN(ROUND(CG240,6),0)&amp;"%"&amp;IF(CW240="",""," / "&amp;CW240&amp;"%"),IF(AND(N(CF240)&gt;=99.95,CW240&lt;&gt;"",N(CW240)&lt;100),"Pend. "&amp;CW240&amp;"%",""))))</f>
        <v/>
      </c>
      <c r="BA240" s="40" t="str">
        <f aca="false">IF(OR(OR(NOT(AND(ISNUMBER(E240),ISNUMBER(F240))),$J$2=""),15&gt;MAX(1,Reprogramaciones!$U$15)),"",IF(Reprogramaciones!Y$12&gt;=7,"",IF(OR(CH240-N(CG240)&gt;0.05,N(AE240)&gt;0),ROUNDDOWN(ROUND(CH240,6),0)&amp;"%"&amp;IF(CX240="",""," / "&amp;CX240&amp;"%"),IF(AND(N(CG240)&gt;=99.95,CX240&lt;&gt;"",N(CX240)&lt;100),"Pend. "&amp;CX240&amp;"%",""))))</f>
        <v/>
      </c>
      <c r="BB240" s="40" t="str">
        <f aca="false">IF(OR(OR(NOT(AND(ISNUMBER(E240),ISNUMBER(F240))),$J$2=""),16&gt;MAX(1,Reprogramaciones!$U$15)),"",IF(Reprogramaciones!Z$12&gt;=7,"",IF(OR(CI240-N(CH240)&gt;0.05,N(AF240)&gt;0),ROUNDDOWN(ROUND(CI240,6),0)&amp;"%"&amp;IF(CY240="",""," / "&amp;CY240&amp;"%"),IF(AND(N(CH240)&gt;=99.95,CY240&lt;&gt;"",N(CY240)&lt;100),"Pend. "&amp;CY240&amp;"%",""))))</f>
        <v/>
      </c>
      <c r="BC240" s="31" t="n">
        <f aca="false">IF(AND(ISNUMBER(E240),ISNUMBER(F240)),MAX(1,NETWORKDAYS.INTL(E240,F240,11)),0)</f>
        <v>0</v>
      </c>
      <c r="BD240" s="1" t="str">
        <f aca="false">IF(OR(NOT(AND(ISNUMBER(E240),ISNUMBER(F240))),$J$2=""),"",MIN(100,ROUND(SUM($G240:G240),1)))</f>
        <v/>
      </c>
      <c r="BE240" s="1" t="str">
        <f aca="false">IF(OR(NOT(AND(ISNUMBER(E240),ISNUMBER(F240))),$J$2=""),"",MIN(100,ROUND(SUM($G240:H240),1)))</f>
        <v/>
      </c>
      <c r="BF240" s="1" t="str">
        <f aca="false">IF(OR(NOT(AND(ISNUMBER(E240),ISNUMBER(F240))),$J$2=""),"",MIN(100,ROUND(SUM($G240:I240),1)))</f>
        <v/>
      </c>
      <c r="BG240" s="1" t="str">
        <f aca="false">IF(OR(NOT(AND(ISNUMBER(E240),ISNUMBER(F240))),$J$2=""),"",MIN(100,ROUND(SUM($G240:J240),1)))</f>
        <v/>
      </c>
      <c r="BH240" s="1" t="str">
        <f aca="false">IF(OR(NOT(AND(ISNUMBER(E240),ISNUMBER(F240))),$J$2=""),"",MIN(100,ROUND(SUM($G240:K240),1)))</f>
        <v/>
      </c>
      <c r="BI240" s="1" t="str">
        <f aca="false">IF(OR(NOT(AND(ISNUMBER(E240),ISNUMBER(F240))),$J$2=""),"",MIN(100,ROUND(SUM($G240:L240),1)))</f>
        <v/>
      </c>
      <c r="BJ240" s="1" t="str">
        <f aca="false">IF(OR(NOT(AND(ISNUMBER(E240),ISNUMBER(F240))),$J$2=""),"",MIN(100,ROUND(SUM($G240:M240),1)))</f>
        <v/>
      </c>
      <c r="BK240" s="1" t="str">
        <f aca="false">IF(OR(NOT(AND(ISNUMBER(E240),ISNUMBER(F240))),$J$2=""),"",MIN(100,ROUND(SUM($G240:N240),1)))</f>
        <v/>
      </c>
      <c r="BL240" s="1" t="str">
        <f aca="false">IF(OR(NOT(AND(ISNUMBER(E240),ISNUMBER(F240))),$J$2=""),"",MIN(100,ROUND(SUM($G240:O240),1)))</f>
        <v/>
      </c>
      <c r="BM240" s="1" t="str">
        <f aca="false">IF(OR(NOT(AND(ISNUMBER(E240),ISNUMBER(F240))),$J$2=""),"",MIN(100,ROUND(SUM($G240:P240),1)))</f>
        <v/>
      </c>
      <c r="BN240" s="1" t="str">
        <f aca="false">IF(OR(NOT(AND(ISNUMBER(E240),ISNUMBER(F240))),$J$2=""),"",MIN(100,ROUND(SUM($G240:P240),1)))</f>
        <v/>
      </c>
      <c r="BO240" s="1" t="str">
        <f aca="false">IF(OR(NOT(AND(ISNUMBER(E240),ISNUMBER(F240))),$J$2=""),"",MIN(100,ROUND(SUM($G240:P240),1)))</f>
        <v/>
      </c>
      <c r="BP240" s="1" t="str">
        <f aca="false">IF(OR(NOT(AND(ISNUMBER(E240),ISNUMBER(F240))),$J$2=""),"",MIN(100,ROUND(SUM($G240:P240),1)))</f>
        <v/>
      </c>
      <c r="BQ240" s="1" t="str">
        <f aca="false">IF(OR(NOT(AND(ISNUMBER(E240),ISNUMBER(F240))),$J$2=""),"",MIN(100,ROUND(SUM($G240:P240),1)))</f>
        <v/>
      </c>
      <c r="BR240" s="1" t="str">
        <f aca="false">IF(OR(NOT(AND(ISNUMBER(E240),ISNUMBER(F240))),$J$2=""),"",MIN(100,ROUND(SUM($G240:P240),1)))</f>
        <v/>
      </c>
      <c r="BS240" s="1" t="str">
        <f aca="false">IF(OR(NOT(AND(ISNUMBER(E240),ISNUMBER(F240))),$J$2=""),"",MIN(100,ROUND(SUM($G240:P240),1)))</f>
        <v/>
      </c>
      <c r="BT240" s="1" t="str">
        <f aca="false">IF(OR(NOT(AND(ISNUMBER(E240),ISNUMBER(F240))),$J$2=""),"",IF(Reprogramaciones!K$13&lt;Reprogramaciones!$T$15,0,IF(Reprogramaciones!K$14&gt;10,MIN(100,SUM($G240:$P240)),MIN(100,SUMPRODUCT((COLUMN($G240:$P240)-COLUMN($G240)+1&lt;Reprogramaciones!K$14)*$G240:$P240)+N(INDEX($G240:$P240,1,Reprogramaciones!K$14))*IF(Reprogramaciones!K$13&gt;=(Reprogramaciones!$T$15+7*(Reprogramaciones!K$14-1))+6,1,IF(MAX(0,NETWORKDAYS.INTL(MAX(E240,(Reprogramaciones!$T$15+7*(Reprogramaciones!K$14-1))),MIN(F240,(Reprogramaciones!$T$15+7*(Reprogramaciones!K$14-1))+6),11))=0,0,MAX(0,NETWORKDAYS.INTL(MAX(E240,(Reprogramaciones!$T$15+7*(Reprogramaciones!K$14-1))),MIN(F240,Reprogramaciones!K$13),11))/MAX(0,NETWORKDAYS.INTL(MAX(E240,(Reprogramaciones!$T$15+7*(Reprogramaciones!K$14-1))),MIN(F240,(Reprogramaciones!$T$15+7*(Reprogramaciones!K$14-1))+6),11))))))))</f>
        <v/>
      </c>
      <c r="BU240" s="1" t="str">
        <f aca="false">IF(OR(NOT(AND(ISNUMBER(E240),ISNUMBER(F240))),$J$2=""),"",IF(Reprogramaciones!L$13&lt;Reprogramaciones!$T$15,0,IF(Reprogramaciones!L$14&gt;10,MIN(100,SUM($G240:$P240)),MIN(100,SUMPRODUCT((COLUMN($G240:$P240)-COLUMN($G240)+1&lt;Reprogramaciones!L$14)*$G240:$P240)+N(INDEX($G240:$P240,1,Reprogramaciones!L$14))*IF(Reprogramaciones!L$13&gt;=(Reprogramaciones!$T$15+7*(Reprogramaciones!L$14-1))+6,1,IF(MAX(0,NETWORKDAYS.INTL(MAX(E240,(Reprogramaciones!$T$15+7*(Reprogramaciones!L$14-1))),MIN(F240,(Reprogramaciones!$T$15+7*(Reprogramaciones!L$14-1))+6),11))=0,0,MAX(0,NETWORKDAYS.INTL(MAX(E240,(Reprogramaciones!$T$15+7*(Reprogramaciones!L$14-1))),MIN(F240,Reprogramaciones!L$13),11))/MAX(0,NETWORKDAYS.INTL(MAX(E240,(Reprogramaciones!$T$15+7*(Reprogramaciones!L$14-1))),MIN(F240,(Reprogramaciones!$T$15+7*(Reprogramaciones!L$14-1))+6),11))))))))</f>
        <v/>
      </c>
      <c r="BV240" s="1" t="str">
        <f aca="false">IF(OR(NOT(AND(ISNUMBER(E240),ISNUMBER(F240))),$J$2=""),"",IF(Reprogramaciones!M$13&lt;Reprogramaciones!$T$15,0,IF(Reprogramaciones!M$14&gt;10,MIN(100,SUM($G240:$P240)),MIN(100,SUMPRODUCT((COLUMN($G240:$P240)-COLUMN($G240)+1&lt;Reprogramaciones!M$14)*$G240:$P240)+N(INDEX($G240:$P240,1,Reprogramaciones!M$14))*IF(Reprogramaciones!M$13&gt;=(Reprogramaciones!$T$15+7*(Reprogramaciones!M$14-1))+6,1,IF(MAX(0,NETWORKDAYS.INTL(MAX(E240,(Reprogramaciones!$T$15+7*(Reprogramaciones!M$14-1))),MIN(F240,(Reprogramaciones!$T$15+7*(Reprogramaciones!M$14-1))+6),11))=0,0,MAX(0,NETWORKDAYS.INTL(MAX(E240,(Reprogramaciones!$T$15+7*(Reprogramaciones!M$14-1))),MIN(F240,Reprogramaciones!M$13),11))/MAX(0,NETWORKDAYS.INTL(MAX(E240,(Reprogramaciones!$T$15+7*(Reprogramaciones!M$14-1))),MIN(F240,(Reprogramaciones!$T$15+7*(Reprogramaciones!M$14-1))+6),11))))))))</f>
        <v/>
      </c>
      <c r="BW240" s="1" t="str">
        <f aca="false">IF(OR(NOT(AND(ISNUMBER(E240),ISNUMBER(F240))),$J$2=""),"",IF(Reprogramaciones!N$13&lt;Reprogramaciones!$T$15,0,IF(Reprogramaciones!N$14&gt;10,MIN(100,SUM($G240:$P240)),MIN(100,SUMPRODUCT((COLUMN($G240:$P240)-COLUMN($G240)+1&lt;Reprogramaciones!N$14)*$G240:$P240)+N(INDEX($G240:$P240,1,Reprogramaciones!N$14))*IF(Reprogramaciones!N$13&gt;=(Reprogramaciones!$T$15+7*(Reprogramaciones!N$14-1))+6,1,IF(MAX(0,NETWORKDAYS.INTL(MAX(E240,(Reprogramaciones!$T$15+7*(Reprogramaciones!N$14-1))),MIN(F240,(Reprogramaciones!$T$15+7*(Reprogramaciones!N$14-1))+6),11))=0,0,MAX(0,NETWORKDAYS.INTL(MAX(E240,(Reprogramaciones!$T$15+7*(Reprogramaciones!N$14-1))),MIN(F240,Reprogramaciones!N$13),11))/MAX(0,NETWORKDAYS.INTL(MAX(E240,(Reprogramaciones!$T$15+7*(Reprogramaciones!N$14-1))),MIN(F240,(Reprogramaciones!$T$15+7*(Reprogramaciones!N$14-1))+6),11))))))))</f>
        <v/>
      </c>
      <c r="BX240" s="1" t="str">
        <f aca="false">IF(OR(NOT(AND(ISNUMBER(E240),ISNUMBER(F240))),$J$2=""),"",IF(Reprogramaciones!O$13&lt;Reprogramaciones!$T$15,0,IF(Reprogramaciones!O$14&gt;10,MIN(100,SUM($G240:$P240)),MIN(100,SUMPRODUCT((COLUMN($G240:$P240)-COLUMN($G240)+1&lt;Reprogramaciones!O$14)*$G240:$P240)+N(INDEX($G240:$P240,1,Reprogramaciones!O$14))*IF(Reprogramaciones!O$13&gt;=(Reprogramaciones!$T$15+7*(Reprogramaciones!O$14-1))+6,1,IF(MAX(0,NETWORKDAYS.INTL(MAX(E240,(Reprogramaciones!$T$15+7*(Reprogramaciones!O$14-1))),MIN(F240,(Reprogramaciones!$T$15+7*(Reprogramaciones!O$14-1))+6),11))=0,0,MAX(0,NETWORKDAYS.INTL(MAX(E240,(Reprogramaciones!$T$15+7*(Reprogramaciones!O$14-1))),MIN(F240,Reprogramaciones!O$13),11))/MAX(0,NETWORKDAYS.INTL(MAX(E240,(Reprogramaciones!$T$15+7*(Reprogramaciones!O$14-1))),MIN(F240,(Reprogramaciones!$T$15+7*(Reprogramaciones!O$14-1))+6),11))))))))</f>
        <v/>
      </c>
      <c r="BY240" s="1" t="str">
        <f aca="false">IF(OR(NOT(AND(ISNUMBER(E240),ISNUMBER(F240))),$J$2=""),"",IF(Reprogramaciones!P$13&lt;Reprogramaciones!$T$15,0,IF(Reprogramaciones!P$14&gt;10,MIN(100,SUM($G240:$P240)),MIN(100,SUMPRODUCT((COLUMN($G240:$P240)-COLUMN($G240)+1&lt;Reprogramaciones!P$14)*$G240:$P240)+N(INDEX($G240:$P240,1,Reprogramaciones!P$14))*IF(Reprogramaciones!P$13&gt;=(Reprogramaciones!$T$15+7*(Reprogramaciones!P$14-1))+6,1,IF(MAX(0,NETWORKDAYS.INTL(MAX(E240,(Reprogramaciones!$T$15+7*(Reprogramaciones!P$14-1))),MIN(F240,(Reprogramaciones!$T$15+7*(Reprogramaciones!P$14-1))+6),11))=0,0,MAX(0,NETWORKDAYS.INTL(MAX(E240,(Reprogramaciones!$T$15+7*(Reprogramaciones!P$14-1))),MIN(F240,Reprogramaciones!P$13),11))/MAX(0,NETWORKDAYS.INTL(MAX(E240,(Reprogramaciones!$T$15+7*(Reprogramaciones!P$14-1))),MIN(F240,(Reprogramaciones!$T$15+7*(Reprogramaciones!P$14-1))+6),11))))))))</f>
        <v/>
      </c>
      <c r="BZ240" s="1" t="str">
        <f aca="false">IF(OR(NOT(AND(ISNUMBER(E240),ISNUMBER(F240))),$J$2=""),"",IF(Reprogramaciones!Q$13&lt;Reprogramaciones!$T$15,0,IF(Reprogramaciones!Q$14&gt;10,MIN(100,SUM($G240:$P240)),MIN(100,SUMPRODUCT((COLUMN($G240:$P240)-COLUMN($G240)+1&lt;Reprogramaciones!Q$14)*$G240:$P240)+N(INDEX($G240:$P240,1,Reprogramaciones!Q$14))*IF(Reprogramaciones!Q$13&gt;=(Reprogramaciones!$T$15+7*(Reprogramaciones!Q$14-1))+6,1,IF(MAX(0,NETWORKDAYS.INTL(MAX(E240,(Reprogramaciones!$T$15+7*(Reprogramaciones!Q$14-1))),MIN(F240,(Reprogramaciones!$T$15+7*(Reprogramaciones!Q$14-1))+6),11))=0,0,MAX(0,NETWORKDAYS.INTL(MAX(E240,(Reprogramaciones!$T$15+7*(Reprogramaciones!Q$14-1))),MIN(F240,Reprogramaciones!Q$13),11))/MAX(0,NETWORKDAYS.INTL(MAX(E240,(Reprogramaciones!$T$15+7*(Reprogramaciones!Q$14-1))),MIN(F240,(Reprogramaciones!$T$15+7*(Reprogramaciones!Q$14-1))+6),11))))))))</f>
        <v/>
      </c>
      <c r="CA240" s="1" t="str">
        <f aca="false">IF(OR(NOT(AND(ISNUMBER(E240),ISNUMBER(F240))),$J$2=""),"",IF(Reprogramaciones!R$13&lt;Reprogramaciones!$T$15,0,IF(Reprogramaciones!R$14&gt;10,MIN(100,SUM($G240:$P240)),MIN(100,SUMPRODUCT((COLUMN($G240:$P240)-COLUMN($G240)+1&lt;Reprogramaciones!R$14)*$G240:$P240)+N(INDEX($G240:$P240,1,Reprogramaciones!R$14))*IF(Reprogramaciones!R$13&gt;=(Reprogramaciones!$T$15+7*(Reprogramaciones!R$14-1))+6,1,IF(MAX(0,NETWORKDAYS.INTL(MAX(E240,(Reprogramaciones!$T$15+7*(Reprogramaciones!R$14-1))),MIN(F240,(Reprogramaciones!$T$15+7*(Reprogramaciones!R$14-1))+6),11))=0,0,MAX(0,NETWORKDAYS.INTL(MAX(E240,(Reprogramaciones!$T$15+7*(Reprogramaciones!R$14-1))),MIN(F240,Reprogramaciones!R$13),11))/MAX(0,NETWORKDAYS.INTL(MAX(E240,(Reprogramaciones!$T$15+7*(Reprogramaciones!R$14-1))),MIN(F240,(Reprogramaciones!$T$15+7*(Reprogramaciones!R$14-1))+6),11))))))))</f>
        <v/>
      </c>
      <c r="CB240" s="1" t="str">
        <f aca="false">IF(OR(NOT(AND(ISNUMBER(E240),ISNUMBER(F240))),$J$2=""),"",IF(Reprogramaciones!S$13&lt;Reprogramaciones!$T$15,0,IF(Reprogramaciones!S$14&gt;10,MIN(100,SUM($G240:$P240)),MIN(100,SUMPRODUCT((COLUMN($G240:$P240)-COLUMN($G240)+1&lt;Reprogramaciones!S$14)*$G240:$P240)+N(INDEX($G240:$P240,1,Reprogramaciones!S$14))*IF(Reprogramaciones!S$13&gt;=(Reprogramaciones!$T$15+7*(Reprogramaciones!S$14-1))+6,1,IF(MAX(0,NETWORKDAYS.INTL(MAX(E240,(Reprogramaciones!$T$15+7*(Reprogramaciones!S$14-1))),MIN(F240,(Reprogramaciones!$T$15+7*(Reprogramaciones!S$14-1))+6),11))=0,0,MAX(0,NETWORKDAYS.INTL(MAX(E240,(Reprogramaciones!$T$15+7*(Reprogramaciones!S$14-1))),MIN(F240,Reprogramaciones!S$13),11))/MAX(0,NETWORKDAYS.INTL(MAX(E240,(Reprogramaciones!$T$15+7*(Reprogramaciones!S$14-1))),MIN(F240,(Reprogramaciones!$T$15+7*(Reprogramaciones!S$14-1))+6),11))))))))</f>
        <v/>
      </c>
      <c r="CC240" s="1" t="str">
        <f aca="false">IF(OR(NOT(AND(ISNUMBER(E240),ISNUMBER(F240))),$J$2=""),"",IF(Reprogramaciones!T$13&lt;Reprogramaciones!$T$15,0,IF(Reprogramaciones!T$14&gt;10,MIN(100,SUM($G240:$P240)),MIN(100,SUMPRODUCT((COLUMN($G240:$P240)-COLUMN($G240)+1&lt;Reprogramaciones!T$14)*$G240:$P240)+N(INDEX($G240:$P240,1,Reprogramaciones!T$14))*IF(Reprogramaciones!T$13&gt;=(Reprogramaciones!$T$15+7*(Reprogramaciones!T$14-1))+6,1,IF(MAX(0,NETWORKDAYS.INTL(MAX(E240,(Reprogramaciones!$T$15+7*(Reprogramaciones!T$14-1))),MIN(F240,(Reprogramaciones!$T$15+7*(Reprogramaciones!T$14-1))+6),11))=0,0,MAX(0,NETWORKDAYS.INTL(MAX(E240,(Reprogramaciones!$T$15+7*(Reprogramaciones!T$14-1))),MIN(F240,Reprogramaciones!T$13),11))/MAX(0,NETWORKDAYS.INTL(MAX(E240,(Reprogramaciones!$T$15+7*(Reprogramaciones!T$14-1))),MIN(F240,(Reprogramaciones!$T$15+7*(Reprogramaciones!T$14-1))+6),11))))))))</f>
        <v/>
      </c>
      <c r="CD240" s="1" t="str">
        <f aca="false">IF(OR(NOT(AND(ISNUMBER(E240),ISNUMBER(F240))),$J$2=""),"",IF(Reprogramaciones!U$13&lt;Reprogramaciones!$T$15,0,IF(Reprogramaciones!U$14&gt;10,MIN(100,SUM($G240:$P240)),MIN(100,SUMPRODUCT((COLUMN($G240:$P240)-COLUMN($G240)+1&lt;Reprogramaciones!U$14)*$G240:$P240)+N(INDEX($G240:$P240,1,Reprogramaciones!U$14))*IF(Reprogramaciones!U$13&gt;=(Reprogramaciones!$T$15+7*(Reprogramaciones!U$14-1))+6,1,IF(MAX(0,NETWORKDAYS.INTL(MAX(E240,(Reprogramaciones!$T$15+7*(Reprogramaciones!U$14-1))),MIN(F240,(Reprogramaciones!$T$15+7*(Reprogramaciones!U$14-1))+6),11))=0,0,MAX(0,NETWORKDAYS.INTL(MAX(E240,(Reprogramaciones!$T$15+7*(Reprogramaciones!U$14-1))),MIN(F240,Reprogramaciones!U$13),11))/MAX(0,NETWORKDAYS.INTL(MAX(E240,(Reprogramaciones!$T$15+7*(Reprogramaciones!U$14-1))),MIN(F240,(Reprogramaciones!$T$15+7*(Reprogramaciones!U$14-1))+6),11))))))))</f>
        <v/>
      </c>
      <c r="CE240" s="1" t="str">
        <f aca="false">IF(OR(NOT(AND(ISNUMBER(E240),ISNUMBER(F240))),$J$2=""),"",IF(Reprogramaciones!V$13&lt;Reprogramaciones!$T$15,0,IF(Reprogramaciones!V$14&gt;10,MIN(100,SUM($G240:$P240)),MIN(100,SUMPRODUCT((COLUMN($G240:$P240)-COLUMN($G240)+1&lt;Reprogramaciones!V$14)*$G240:$P240)+N(INDEX($G240:$P240,1,Reprogramaciones!V$14))*IF(Reprogramaciones!V$13&gt;=(Reprogramaciones!$T$15+7*(Reprogramaciones!V$14-1))+6,1,IF(MAX(0,NETWORKDAYS.INTL(MAX(E240,(Reprogramaciones!$T$15+7*(Reprogramaciones!V$14-1))),MIN(F240,(Reprogramaciones!$T$15+7*(Reprogramaciones!V$14-1))+6),11))=0,0,MAX(0,NETWORKDAYS.INTL(MAX(E240,(Reprogramaciones!$T$15+7*(Reprogramaciones!V$14-1))),MIN(F240,Reprogramaciones!V$13),11))/MAX(0,NETWORKDAYS.INTL(MAX(E240,(Reprogramaciones!$T$15+7*(Reprogramaciones!V$14-1))),MIN(F240,(Reprogramaciones!$T$15+7*(Reprogramaciones!V$14-1))+6),11))))))))</f>
        <v/>
      </c>
      <c r="CF240" s="1" t="str">
        <f aca="false">IF(OR(NOT(AND(ISNUMBER(E240),ISNUMBER(F240))),$J$2=""),"",IF(Reprogramaciones!W$13&lt;Reprogramaciones!$T$15,0,IF(Reprogramaciones!W$14&gt;10,MIN(100,SUM($G240:$P240)),MIN(100,SUMPRODUCT((COLUMN($G240:$P240)-COLUMN($G240)+1&lt;Reprogramaciones!W$14)*$G240:$P240)+N(INDEX($G240:$P240,1,Reprogramaciones!W$14))*IF(Reprogramaciones!W$13&gt;=(Reprogramaciones!$T$15+7*(Reprogramaciones!W$14-1))+6,1,IF(MAX(0,NETWORKDAYS.INTL(MAX(E240,(Reprogramaciones!$T$15+7*(Reprogramaciones!W$14-1))),MIN(F240,(Reprogramaciones!$T$15+7*(Reprogramaciones!W$14-1))+6),11))=0,0,MAX(0,NETWORKDAYS.INTL(MAX(E240,(Reprogramaciones!$T$15+7*(Reprogramaciones!W$14-1))),MIN(F240,Reprogramaciones!W$13),11))/MAX(0,NETWORKDAYS.INTL(MAX(E240,(Reprogramaciones!$T$15+7*(Reprogramaciones!W$14-1))),MIN(F240,(Reprogramaciones!$T$15+7*(Reprogramaciones!W$14-1))+6),11))))))))</f>
        <v/>
      </c>
      <c r="CG240" s="1" t="str">
        <f aca="false">IF(OR(NOT(AND(ISNUMBER(E240),ISNUMBER(F240))),$J$2=""),"",IF(Reprogramaciones!X$13&lt;Reprogramaciones!$T$15,0,IF(Reprogramaciones!X$14&gt;10,MIN(100,SUM($G240:$P240)),MIN(100,SUMPRODUCT((COLUMN($G240:$P240)-COLUMN($G240)+1&lt;Reprogramaciones!X$14)*$G240:$P240)+N(INDEX($G240:$P240,1,Reprogramaciones!X$14))*IF(Reprogramaciones!X$13&gt;=(Reprogramaciones!$T$15+7*(Reprogramaciones!X$14-1))+6,1,IF(MAX(0,NETWORKDAYS.INTL(MAX(E240,(Reprogramaciones!$T$15+7*(Reprogramaciones!X$14-1))),MIN(F240,(Reprogramaciones!$T$15+7*(Reprogramaciones!X$14-1))+6),11))=0,0,MAX(0,NETWORKDAYS.INTL(MAX(E240,(Reprogramaciones!$T$15+7*(Reprogramaciones!X$14-1))),MIN(F240,Reprogramaciones!X$13),11))/MAX(0,NETWORKDAYS.INTL(MAX(E240,(Reprogramaciones!$T$15+7*(Reprogramaciones!X$14-1))),MIN(F240,(Reprogramaciones!$T$15+7*(Reprogramaciones!X$14-1))+6),11))))))))</f>
        <v/>
      </c>
      <c r="CH240" s="1" t="str">
        <f aca="false">IF(OR(NOT(AND(ISNUMBER(E240),ISNUMBER(F240))),$J$2=""),"",IF(Reprogramaciones!Y$13&lt;Reprogramaciones!$T$15,0,IF(Reprogramaciones!Y$14&gt;10,MIN(100,SUM($G240:$P240)),MIN(100,SUMPRODUCT((COLUMN($G240:$P240)-COLUMN($G240)+1&lt;Reprogramaciones!Y$14)*$G240:$P240)+N(INDEX($G240:$P240,1,Reprogramaciones!Y$14))*IF(Reprogramaciones!Y$13&gt;=(Reprogramaciones!$T$15+7*(Reprogramaciones!Y$14-1))+6,1,IF(MAX(0,NETWORKDAYS.INTL(MAX(E240,(Reprogramaciones!$T$15+7*(Reprogramaciones!Y$14-1))),MIN(F240,(Reprogramaciones!$T$15+7*(Reprogramaciones!Y$14-1))+6),11))=0,0,MAX(0,NETWORKDAYS.INTL(MAX(E240,(Reprogramaciones!$T$15+7*(Reprogramaciones!Y$14-1))),MIN(F240,Reprogramaciones!Y$13),11))/MAX(0,NETWORKDAYS.INTL(MAX(E240,(Reprogramaciones!$T$15+7*(Reprogramaciones!Y$14-1))),MIN(F240,(Reprogramaciones!$T$15+7*(Reprogramaciones!Y$14-1))+6),11))))))))</f>
        <v/>
      </c>
      <c r="CI240" s="1" t="str">
        <f aca="false">IF(OR(NOT(AND(ISNUMBER(E240),ISNUMBER(F240))),$J$2=""),"",IF(Reprogramaciones!Z$13&lt;Reprogramaciones!$T$15,0,IF(Reprogramaciones!Z$14&gt;10,MIN(100,SUM($G240:$P240)),MIN(100,SUMPRODUCT((COLUMN($G240:$P240)-COLUMN($G240)+1&lt;Reprogramaciones!Z$14)*$G240:$P240)+N(INDEX($G240:$P240,1,Reprogramaciones!Z$14))*IF(Reprogramaciones!Z$13&gt;=(Reprogramaciones!$T$15+7*(Reprogramaciones!Z$14-1))+6,1,IF(MAX(0,NETWORKDAYS.INTL(MAX(E240,(Reprogramaciones!$T$15+7*(Reprogramaciones!Z$14-1))),MIN(F240,(Reprogramaciones!$T$15+7*(Reprogramaciones!Z$14-1))+6),11))=0,0,MAX(0,NETWORKDAYS.INTL(MAX(E240,(Reprogramaciones!$T$15+7*(Reprogramaciones!Z$14-1))),MIN(F240,Reprogramaciones!Z$13),11))/MAX(0,NETWORKDAYS.INTL(MAX(E240,(Reprogramaciones!$T$15+7*(Reprogramaciones!Z$14-1))),MIN(F240,(Reprogramaciones!$T$15+7*(Reprogramaciones!Z$14-1))+6),11))))))))</f>
        <v/>
      </c>
      <c r="CJ240" s="1" t="str">
        <f aca="false">IF(OR(OR(NOT(AND(ISNUMBER(E240),ISNUMBER(F240))),$J$2=""),1&gt;Reprogramaciones!$K$16),"",IF(ROUND(SUM($Q240:Q240),1)&gt;=99.5,100,MIN(100,ROUND(SUM($Q240:Q240),1))))</f>
        <v/>
      </c>
      <c r="CK240" s="1" t="str">
        <f aca="false">IF(OR(OR(NOT(AND(ISNUMBER(E240),ISNUMBER(F240))),$J$2=""),2&gt;Reprogramaciones!$K$16),"",IF(ROUND(SUM($Q240:R240),1)&gt;=99.5,100,MIN(100,ROUND(SUM($Q240:R240),1))))</f>
        <v/>
      </c>
      <c r="CL240" s="1" t="str">
        <f aca="false">IF(OR(OR(NOT(AND(ISNUMBER(E240),ISNUMBER(F240))),$J$2=""),3&gt;Reprogramaciones!$K$16),"",IF(ROUND(SUM($Q240:S240),1)&gt;=99.5,100,MIN(100,ROUND(SUM($Q240:S240),1))))</f>
        <v/>
      </c>
      <c r="CM240" s="1" t="str">
        <f aca="false">IF(OR(OR(NOT(AND(ISNUMBER(E240),ISNUMBER(F240))),$J$2=""),4&gt;Reprogramaciones!$K$16),"",IF(ROUND(SUM($Q240:T240),1)&gt;=99.5,100,MIN(100,ROUND(SUM($Q240:T240),1))))</f>
        <v/>
      </c>
      <c r="CN240" s="1" t="str">
        <f aca="false">IF(OR(OR(NOT(AND(ISNUMBER(E240),ISNUMBER(F240))),$J$2=""),5&gt;Reprogramaciones!$K$16),"",IF(ROUND(SUM($Q240:U240),1)&gt;=99.5,100,MIN(100,ROUND(SUM($Q240:U240),1))))</f>
        <v/>
      </c>
      <c r="CO240" s="1" t="str">
        <f aca="false">IF(OR(OR(NOT(AND(ISNUMBER(E240),ISNUMBER(F240))),$J$2=""),6&gt;Reprogramaciones!$K$16),"",IF(ROUND(SUM($Q240:V240),1)&gt;=99.5,100,MIN(100,ROUND(SUM($Q240:V240),1))))</f>
        <v/>
      </c>
      <c r="CP240" s="1" t="str">
        <f aca="false">IF(OR(OR(NOT(AND(ISNUMBER(E240),ISNUMBER(F240))),$J$2=""),7&gt;Reprogramaciones!$K$16),"",IF(ROUND(SUM($Q240:W240),1)&gt;=99.5,100,MIN(100,ROUND(SUM($Q240:W240),1))))</f>
        <v/>
      </c>
      <c r="CQ240" s="1" t="str">
        <f aca="false">IF(OR(OR(NOT(AND(ISNUMBER(E240),ISNUMBER(F240))),$J$2=""),8&gt;Reprogramaciones!$K$16),"",IF(ROUND(SUM($Q240:X240),1)&gt;=99.5,100,MIN(100,ROUND(SUM($Q240:X240),1))))</f>
        <v/>
      </c>
      <c r="CR240" s="1" t="str">
        <f aca="false">IF(OR(OR(NOT(AND(ISNUMBER(E240),ISNUMBER(F240))),$J$2=""),9&gt;Reprogramaciones!$K$16),"",IF(ROUND(SUM($Q240:Y240),1)&gt;=99.5,100,MIN(100,ROUND(SUM($Q240:Y240),1))))</f>
        <v/>
      </c>
      <c r="CS240" s="1" t="str">
        <f aca="false">IF(OR(OR(NOT(AND(ISNUMBER(E240),ISNUMBER(F240))),$J$2=""),10&gt;Reprogramaciones!$K$16),"",IF(ROUND(SUM($Q240:Z240),1)&gt;=99.5,100,MIN(100,ROUND(SUM($Q240:Z240),1))))</f>
        <v/>
      </c>
      <c r="CT240" s="1" t="str">
        <f aca="false">IF(OR(OR(NOT(AND(ISNUMBER(E240),ISNUMBER(F240))),$J$2=""),11&gt;Reprogramaciones!$K$16),"",IF(ROUND(SUM($Q240:AA240),1)&gt;=99.5,100,MIN(100,ROUND(SUM($Q240:AA240),1))))</f>
        <v/>
      </c>
      <c r="CU240" s="1" t="str">
        <f aca="false">IF(OR(OR(NOT(AND(ISNUMBER(E240),ISNUMBER(F240))),$J$2=""),12&gt;Reprogramaciones!$K$16),"",IF(ROUND(SUM($Q240:AB240),1)&gt;=99.5,100,MIN(100,ROUND(SUM($Q240:AB240),1))))</f>
        <v/>
      </c>
      <c r="CV240" s="1" t="str">
        <f aca="false">IF(OR(OR(NOT(AND(ISNUMBER(E240),ISNUMBER(F240))),$J$2=""),13&gt;Reprogramaciones!$K$16),"",IF(ROUND(SUM($Q240:AC240),1)&gt;=99.5,100,MIN(100,ROUND(SUM($Q240:AC240),1))))</f>
        <v/>
      </c>
      <c r="CW240" s="1" t="str">
        <f aca="false">IF(OR(OR(NOT(AND(ISNUMBER(E240),ISNUMBER(F240))),$J$2=""),14&gt;Reprogramaciones!$K$16),"",IF(ROUND(SUM($Q240:AD240),1)&gt;=99.5,100,MIN(100,ROUND(SUM($Q240:AD240),1))))</f>
        <v/>
      </c>
      <c r="CX240" s="1" t="str">
        <f aca="false">IF(OR(OR(NOT(AND(ISNUMBER(E240),ISNUMBER(F240))),$J$2=""),15&gt;Reprogramaciones!$K$16),"",IF(ROUND(SUM($Q240:AE240),1)&gt;=99.5,100,MIN(100,ROUND(SUM($Q240:AE240),1))))</f>
        <v/>
      </c>
      <c r="CY240" s="1" t="str">
        <f aca="false">IF(OR(OR(NOT(AND(ISNUMBER(E240),ISNUMBER(F240))),$J$2=""),16&gt;Reprogramaciones!$K$16),"",IF(ROUND(SUM($Q240:AF240),1)&gt;=99.5,100,MIN(100,ROUND(SUM($Q240:AF240),1))))</f>
        <v/>
      </c>
      <c r="CZ240" s="1" t="str">
        <f aca="false">IF(D240&lt;&gt;"",D240,IF(B240&lt;&gt;"","Contractual",CZ239))</f>
        <v>Contractual</v>
      </c>
      <c r="DA240" s="1" t="str">
        <f aca="false">IF(OR(NOT(AND(ISNUMBER(E240),ISNUMBER(F240))),$J$2=""),"",IF(Reprogramaciones!$Q$15&lt;Reprogramaciones!$T$15,0,IF(Reprogramaciones!$S$15&gt;10,MIN(100,SUM($G240:$P240)),MIN(100,SUMPRODUCT((COLUMN($G240:$P240)-COLUMN($G240)+1&lt;Reprogramaciones!$S$15)*$G240:$P240)+N(INDEX($G240:$P240,1,Reprogramaciones!$S$15))*IF(Reprogramaciones!$Q$15&gt;=(Reprogramaciones!$T$15+7*(Reprogramaciones!$S$15-1))+6,1,IF(MAX(0,NETWORKDAYS.INTL(MAX(E240,(Reprogramaciones!$T$15+7*(Reprogramaciones!$S$15-1))),MIN(F240,(Reprogramaciones!$T$15+7*(Reprogramaciones!$S$15-1))+6),11))=0,0,MAX(0,NETWORKDAYS.INTL(MAX(E240,(Reprogramaciones!$T$15+7*(Reprogramaciones!$S$15-1))),MIN(F240,Reprogramaciones!$Q$15),11))/MAX(0,NETWORKDAYS.INTL(MAX(E240,(Reprogramaciones!$T$15+7*(Reprogramaciones!$S$15-1))),MIN(F240,(Reprogramaciones!$T$15+7*(Reprogramaciones!$S$15-1))+6),11))))))))</f>
        <v/>
      </c>
    </row>
    <row r="241" customFormat="false" ht="15" hidden="false" customHeight="false" outlineLevel="0" collapsed="false">
      <c r="A241" s="32"/>
      <c r="B241" s="33"/>
      <c r="C241" s="33"/>
      <c r="D241" s="34"/>
      <c r="E241" s="35"/>
      <c r="F241" s="35"/>
      <c r="G241" s="36" t="str">
        <f aca="false">IF(OR(NOT(AND(ISNUMBER(E241),ISNUMBER(F241))),$J$2=""),"",IF(Reprogramaciones!K$9&lt;E241,0,IF(NETWORKDAYS.INTL(E241,F241,11)=0,IF(Reprogramaciones!K$9&gt;=F241,100,0),ROUND(NETWORKDAYS.INTL(E241,MIN(F241,Reprogramaciones!K$9),11)/NETWORKDAYS.INTL(E241,F241,11)*100,1)))-0)</f>
        <v/>
      </c>
      <c r="H241" s="36" t="str">
        <f aca="false">IF(OR(NOT(AND(ISNUMBER(E241),ISNUMBER(F241))),$J$2=""),"",IF(Reprogramaciones!L$9&lt;E241,0,IF(NETWORKDAYS.INTL(E241,F241,11)=0,IF(Reprogramaciones!L$9&gt;=F241,100,0),ROUND(NETWORKDAYS.INTL(E241,MIN(F241,Reprogramaciones!L$9),11)/NETWORKDAYS.INTL(E241,F241,11)*100,1)))-IF(Reprogramaciones!K$9&lt;E241,0,IF(NETWORKDAYS.INTL(E241,F241,11)=0,IF(Reprogramaciones!K$9&gt;=F241,100,0),ROUND(NETWORKDAYS.INTL(E241,MIN(F241,Reprogramaciones!K$9),11)/NETWORKDAYS.INTL(E241,F241,11)*100,1))))</f>
        <v/>
      </c>
      <c r="I241" s="36" t="str">
        <f aca="false">IF(OR(NOT(AND(ISNUMBER(E241),ISNUMBER(F241))),$J$2=""),"",IF(Reprogramaciones!M$9&lt;E241,0,IF(NETWORKDAYS.INTL(E241,F241,11)=0,IF(Reprogramaciones!M$9&gt;=F241,100,0),ROUND(NETWORKDAYS.INTL(E241,MIN(F241,Reprogramaciones!M$9),11)/NETWORKDAYS.INTL(E241,F241,11)*100,1)))-IF(Reprogramaciones!L$9&lt;E241,0,IF(NETWORKDAYS.INTL(E241,F241,11)=0,IF(Reprogramaciones!L$9&gt;=F241,100,0),ROUND(NETWORKDAYS.INTL(E241,MIN(F241,Reprogramaciones!L$9),11)/NETWORKDAYS.INTL(E241,F241,11)*100,1))))</f>
        <v/>
      </c>
      <c r="J241" s="36" t="str">
        <f aca="false">IF(OR(NOT(AND(ISNUMBER(E241),ISNUMBER(F241))),$J$2=""),"",IF(Reprogramaciones!N$9&lt;E241,0,IF(NETWORKDAYS.INTL(E241,F241,11)=0,IF(Reprogramaciones!N$9&gt;=F241,100,0),ROUND(NETWORKDAYS.INTL(E241,MIN(F241,Reprogramaciones!N$9),11)/NETWORKDAYS.INTL(E241,F241,11)*100,1)))-IF(Reprogramaciones!M$9&lt;E241,0,IF(NETWORKDAYS.INTL(E241,F241,11)=0,IF(Reprogramaciones!M$9&gt;=F241,100,0),ROUND(NETWORKDAYS.INTL(E241,MIN(F241,Reprogramaciones!M$9),11)/NETWORKDAYS.INTL(E241,F241,11)*100,1))))</f>
        <v/>
      </c>
      <c r="K241" s="36" t="str">
        <f aca="false">IF(OR(NOT(AND(ISNUMBER(E241),ISNUMBER(F241))),$J$2=""),"",IF(Reprogramaciones!O$9&lt;E241,0,IF(NETWORKDAYS.INTL(E241,F241,11)=0,IF(Reprogramaciones!O$9&gt;=F241,100,0),ROUND(NETWORKDAYS.INTL(E241,MIN(F241,Reprogramaciones!O$9),11)/NETWORKDAYS.INTL(E241,F241,11)*100,1)))-IF(Reprogramaciones!N$9&lt;E241,0,IF(NETWORKDAYS.INTL(E241,F241,11)=0,IF(Reprogramaciones!N$9&gt;=F241,100,0),ROUND(NETWORKDAYS.INTL(E241,MIN(F241,Reprogramaciones!N$9),11)/NETWORKDAYS.INTL(E241,F241,11)*100,1))))</f>
        <v/>
      </c>
      <c r="L241" s="36" t="str">
        <f aca="false">IF(OR(NOT(AND(ISNUMBER(E241),ISNUMBER(F241))),$J$2=""),"",IF(Reprogramaciones!P$9&lt;E241,0,IF(NETWORKDAYS.INTL(E241,F241,11)=0,IF(Reprogramaciones!P$9&gt;=F241,100,0),ROUND(NETWORKDAYS.INTL(E241,MIN(F241,Reprogramaciones!P$9),11)/NETWORKDAYS.INTL(E241,F241,11)*100,1)))-IF(Reprogramaciones!O$9&lt;E241,0,IF(NETWORKDAYS.INTL(E241,F241,11)=0,IF(Reprogramaciones!O$9&gt;=F241,100,0),ROUND(NETWORKDAYS.INTL(E241,MIN(F241,Reprogramaciones!O$9),11)/NETWORKDAYS.INTL(E241,F241,11)*100,1))))</f>
        <v/>
      </c>
      <c r="M241" s="36" t="str">
        <f aca="false">IF(OR(NOT(AND(ISNUMBER(E241),ISNUMBER(F241))),$J$2=""),"",IF(Reprogramaciones!Q$9&lt;E241,0,IF(NETWORKDAYS.INTL(E241,F241,11)=0,IF(Reprogramaciones!Q$9&gt;=F241,100,0),ROUND(NETWORKDAYS.INTL(E241,MIN(F241,Reprogramaciones!Q$9),11)/NETWORKDAYS.INTL(E241,F241,11)*100,1)))-IF(Reprogramaciones!P$9&lt;E241,0,IF(NETWORKDAYS.INTL(E241,F241,11)=0,IF(Reprogramaciones!P$9&gt;=F241,100,0),ROUND(NETWORKDAYS.INTL(E241,MIN(F241,Reprogramaciones!P$9),11)/NETWORKDAYS.INTL(E241,F241,11)*100,1))))</f>
        <v/>
      </c>
      <c r="N241" s="36" t="str">
        <f aca="false">IF(OR(NOT(AND(ISNUMBER(E241),ISNUMBER(F241))),$J$2=""),"",IF(Reprogramaciones!R$9&lt;E241,0,IF(NETWORKDAYS.INTL(E241,F241,11)=0,IF(Reprogramaciones!R$9&gt;=F241,100,0),ROUND(NETWORKDAYS.INTL(E241,MIN(F241,Reprogramaciones!R$9),11)/NETWORKDAYS.INTL(E241,F241,11)*100,1)))-IF(Reprogramaciones!Q$9&lt;E241,0,IF(NETWORKDAYS.INTL(E241,F241,11)=0,IF(Reprogramaciones!Q$9&gt;=F241,100,0),ROUND(NETWORKDAYS.INTL(E241,MIN(F241,Reprogramaciones!Q$9),11)/NETWORKDAYS.INTL(E241,F241,11)*100,1))))</f>
        <v/>
      </c>
      <c r="O241" s="36" t="str">
        <f aca="false">IF(OR(NOT(AND(ISNUMBER(E241),ISNUMBER(F241))),$J$2=""),"",IF(Reprogramaciones!S$9&lt;E241,0,IF(NETWORKDAYS.INTL(E241,F241,11)=0,IF(Reprogramaciones!S$9&gt;=F241,100,0),ROUND(NETWORKDAYS.INTL(E241,MIN(F241,Reprogramaciones!S$9),11)/NETWORKDAYS.INTL(E241,F241,11)*100,1)))-IF(Reprogramaciones!R$9&lt;E241,0,IF(NETWORKDAYS.INTL(E241,F241,11)=0,IF(Reprogramaciones!R$9&gt;=F241,100,0),ROUND(NETWORKDAYS.INTL(E241,MIN(F241,Reprogramaciones!R$9),11)/NETWORKDAYS.INTL(E241,F241,11)*100,1))))</f>
        <v/>
      </c>
      <c r="P241" s="36" t="str">
        <f aca="false">IF(OR(NOT(AND(ISNUMBER(E241),ISNUMBER(F241))),$J$2=""),"",IF(Reprogramaciones!T$9&lt;E241,0,IF(NETWORKDAYS.INTL(E241,F241,11)=0,IF(Reprogramaciones!T$9&gt;=F241,100,0),ROUND(NETWORKDAYS.INTL(E241,MIN(F241,Reprogramaciones!T$9),11)/NETWORKDAYS.INTL(E241,F241,11)*100,1)))-IF(Reprogramaciones!S$9&lt;E241,0,IF(NETWORKDAYS.INTL(E241,F241,11)=0,IF(Reprogramaciones!S$9&gt;=F241,100,0),ROUND(NETWORKDAYS.INTL(E241,MIN(F241,Reprogramaciones!S$9),11)/NETWORKDAYS.INTL(E241,F241,11)*100,1))))</f>
        <v/>
      </c>
      <c r="Q241" s="37"/>
      <c r="R241" s="37"/>
      <c r="S241" s="37"/>
      <c r="T241" s="37"/>
      <c r="U241" s="37"/>
      <c r="V241" s="37"/>
      <c r="W241" s="37"/>
      <c r="X241" s="37"/>
      <c r="Y241" s="37"/>
      <c r="Z241" s="37"/>
      <c r="AA241" s="37"/>
      <c r="AB241" s="37"/>
      <c r="AC241" s="37"/>
      <c r="AD241" s="37"/>
      <c r="AE241" s="37"/>
      <c r="AF241" s="37"/>
      <c r="AG241" s="38" t="str">
        <f aca="false">IF(AND(ISNUMBER(E241),ISNUMBER(F241)),NETWORKDAYS.INTL(E241,F241,11),"")</f>
        <v/>
      </c>
      <c r="AH241" s="38" t="str">
        <f aca="false">IF(OR(NOT(AND(ISNUMBER(E241),ISNUMBER(F241))),$J$2=""),"",IF(Reprogramaciones!$P$15&lt;Reprogramaciones!$T$15,0,IF(Reprogramaciones!$R$15&gt;10,MIN(100,SUM($G241:$P241)),MIN(100,SUMPRODUCT((COLUMN($G241:$P241)-COLUMN($G241)+1&lt;Reprogramaciones!$R$15)*$G241:$P241)+N(INDEX($G241:$P241,1,Reprogramaciones!$R$15))*IF(Reprogramaciones!$P$15&gt;=(Reprogramaciones!$T$15+7*(Reprogramaciones!$R$15-1))+6,1,IF(MAX(0,NETWORKDAYS.INTL(MAX(E241,(Reprogramaciones!$T$15+7*(Reprogramaciones!$R$15-1))),MIN(F241,(Reprogramaciones!$T$15+7*(Reprogramaciones!$R$15-1))+6),11))=0,0,MAX(0,NETWORKDAYS.INTL(MAX(E241,(Reprogramaciones!$T$15+7*(Reprogramaciones!$R$15-1))),MIN(F241,Reprogramaciones!$P$15),11))/MAX(0,NETWORKDAYS.INTL(MAX(E241,(Reprogramaciones!$T$15+7*(Reprogramaciones!$R$15-1))),MIN(F241,(Reprogramaciones!$T$15+7*(Reprogramaciones!$R$15-1))+6),11))))))))</f>
        <v/>
      </c>
      <c r="AI241" s="38" t="str">
        <f aca="false">IF(COUNT($Q241:$AF241)=0,"",IF(ROUND(SUM($Q241:$AF241),1)&gt;=99.5,100,MIN(100,ROUND(SUM($Q241:$AF241),1))))</f>
        <v/>
      </c>
      <c r="AJ241" s="38" t="str">
        <f aca="false">IF(OR(AH241="",AI241=""),"",AI241-AH241)</f>
        <v/>
      </c>
      <c r="AK241" s="39" t="str">
        <f aca="true">IF(AH241="","",IF(OR(Ficha!$C$10="Suspendida",Ficha!$C$10="Cancelada"),Ficha!$C$10,IF(AND(AI241&lt;&gt;"",N(AI241)&gt;=100),"Completada",IF(AND(E241&gt;TODAY(),N(AI241)=0),"Por iniciar",IF(N(AI241)+0.5&lt;AH241,"Retrasada",IF(N(AI241)+0.5&lt;DA241,IF(Reprogramaciones!$K$15&gt;0,"Al día · Sem "&amp;Reprogramaciones!$K$15&amp;" en curso","Al día · en curso"),"A tiempo"))))))</f>
        <v/>
      </c>
      <c r="AL241" s="39" t="str">
        <f aca="true">IF(AND(A241="",AND(B241="",C241="",E241="",F241="",COUNT(Q241:AF241)=0)),"",IF(AND(B241="",C241="",E241="",F241="",COUNT(Q241:AF241)=0),"Falta la partida o subpartida",IF(AND(A241&lt;&gt;"",COUNTIF($A$6:$A$305,A241)&gt;1),"Ítem repetido",IF(AND(C241="",E241="",F241="",COUNT(Q241:AF241)=0),"Título de partida",IF(OR(E241="",F241=""),"Faltan fechas",IF(OR(ISTEXT(E241),ISTEXT(F241)),"Fecha escrita como texto: usa dd/mm/aaaa",IF(F241&lt;E241,"Fin antes del inicio",IF(IF($J$2="",FALSE(),OR(E241&lt;$J$2,F241&gt;Reprogramaciones!$T$15+69)),"Fuera de las 10 semanas",IF(ABS(SUM(G241:P241)-100)&gt;0.5,"La meta no suma 100%",IF(ROUND(SUM(Q241:AF241),1)&gt;100.5,"El avance pasa de 100%",IF(MIN(Q241:AF241)&lt;0,"Avance negativo",IF(COUNTA(Q241:AF241)&gt;COUNT(Q241:AF241),"Avance escrito como texto",IF(SUMPRODUCT((Q241:AF241&gt;0)*(Q241:AF241&lt;1))&gt;0,"Avance menor a 1: escribe 50, no 50%",IF(SUMPRODUCT(ISNUMBER(Q241:AF241)*(Reprogramaciones!$K$8:$Z$8&gt;TODAY()))&gt;0,"Avance en semana que aún no llega",IF(AND(N(Reprogramaciones!$E$21)&gt;0,F241&gt;Reprogramaciones!$E$21),"Pasa el fin de la obra: registra una reprogramación",IF(AND(N(Reprogramaciones!$E$21)&gt;0,SUMPRODUCT(ISNUMBER(Q241:AF241)*(Reprogramaciones!$K$8:$Z$8&gt;Reprogramaciones!$E$21))&gt;0),"Avance después del fin de la obra: registra una reprogramación por atraso","OK"))))))))))))))))</f>
        <v/>
      </c>
      <c r="AM241" s="40" t="str">
        <f aca="false">IF(OR(OR(NOT(AND(ISNUMBER(E241),ISNUMBER(F241))),$J$2=""),1&gt;MAX(1,Reprogramaciones!$U$15)),"",IF(Reprogramaciones!K$12&gt;=7,"",IF(OR(BT241-N(0)&gt;0.05,N(Q241)&gt;0),ROUNDDOWN(ROUND(BT241,6),0)&amp;"%"&amp;IF(CJ241="",""," / "&amp;CJ241&amp;"%"),IF(AND(N(0)&gt;=99.95,CJ241&lt;&gt;"",N(CJ241)&lt;100),"Pend. "&amp;CJ241&amp;"%",""))))</f>
        <v/>
      </c>
      <c r="AN241" s="40" t="str">
        <f aca="false">IF(OR(OR(NOT(AND(ISNUMBER(E241),ISNUMBER(F241))),$J$2=""),2&gt;MAX(1,Reprogramaciones!$U$15)),"",IF(Reprogramaciones!L$12&gt;=7,"",IF(OR(BU241-N(BT241)&gt;0.05,N(R241)&gt;0),ROUNDDOWN(ROUND(BU241,6),0)&amp;"%"&amp;IF(CK241="",""," / "&amp;CK241&amp;"%"),IF(AND(N(BT241)&gt;=99.95,CK241&lt;&gt;"",N(CK241)&lt;100),"Pend. "&amp;CK241&amp;"%",""))))</f>
        <v/>
      </c>
      <c r="AO241" s="40" t="str">
        <f aca="false">IF(OR(OR(NOT(AND(ISNUMBER(E241),ISNUMBER(F241))),$J$2=""),3&gt;MAX(1,Reprogramaciones!$U$15)),"",IF(Reprogramaciones!M$12&gt;=7,"",IF(OR(BV241-N(BU241)&gt;0.05,N(S241)&gt;0),ROUNDDOWN(ROUND(BV241,6),0)&amp;"%"&amp;IF(CL241="",""," / "&amp;CL241&amp;"%"),IF(AND(N(BU241)&gt;=99.95,CL241&lt;&gt;"",N(CL241)&lt;100),"Pend. "&amp;CL241&amp;"%",""))))</f>
        <v/>
      </c>
      <c r="AP241" s="40" t="str">
        <f aca="false">IF(OR(OR(NOT(AND(ISNUMBER(E241),ISNUMBER(F241))),$J$2=""),4&gt;MAX(1,Reprogramaciones!$U$15)),"",IF(Reprogramaciones!N$12&gt;=7,"",IF(OR(BW241-N(BV241)&gt;0.05,N(T241)&gt;0),ROUNDDOWN(ROUND(BW241,6),0)&amp;"%"&amp;IF(CM241="",""," / "&amp;CM241&amp;"%"),IF(AND(N(BV241)&gt;=99.95,CM241&lt;&gt;"",N(CM241)&lt;100),"Pend. "&amp;CM241&amp;"%",""))))</f>
        <v/>
      </c>
      <c r="AQ241" s="40" t="str">
        <f aca="false">IF(OR(OR(NOT(AND(ISNUMBER(E241),ISNUMBER(F241))),$J$2=""),5&gt;MAX(1,Reprogramaciones!$U$15)),"",IF(Reprogramaciones!O$12&gt;=7,"",IF(OR(BX241-N(BW241)&gt;0.05,N(U241)&gt;0),ROUNDDOWN(ROUND(BX241,6),0)&amp;"%"&amp;IF(CN241="",""," / "&amp;CN241&amp;"%"),IF(AND(N(BW241)&gt;=99.95,CN241&lt;&gt;"",N(CN241)&lt;100),"Pend. "&amp;CN241&amp;"%",""))))</f>
        <v/>
      </c>
      <c r="AR241" s="40" t="str">
        <f aca="false">IF(OR(OR(NOT(AND(ISNUMBER(E241),ISNUMBER(F241))),$J$2=""),6&gt;MAX(1,Reprogramaciones!$U$15)),"",IF(Reprogramaciones!P$12&gt;=7,"",IF(OR(BY241-N(BX241)&gt;0.05,N(V241)&gt;0),ROUNDDOWN(ROUND(BY241,6),0)&amp;"%"&amp;IF(CO241="",""," / "&amp;CO241&amp;"%"),IF(AND(N(BX241)&gt;=99.95,CO241&lt;&gt;"",N(CO241)&lt;100),"Pend. "&amp;CO241&amp;"%",""))))</f>
        <v/>
      </c>
      <c r="AS241" s="40" t="str">
        <f aca="false">IF(OR(OR(NOT(AND(ISNUMBER(E241),ISNUMBER(F241))),$J$2=""),7&gt;MAX(1,Reprogramaciones!$U$15)),"",IF(Reprogramaciones!Q$12&gt;=7,"",IF(OR(BZ241-N(BY241)&gt;0.05,N(W241)&gt;0),ROUNDDOWN(ROUND(BZ241,6),0)&amp;"%"&amp;IF(CP241="",""," / "&amp;CP241&amp;"%"),IF(AND(N(BY241)&gt;=99.95,CP241&lt;&gt;"",N(CP241)&lt;100),"Pend. "&amp;CP241&amp;"%",""))))</f>
        <v/>
      </c>
      <c r="AT241" s="40" t="str">
        <f aca="false">IF(OR(OR(NOT(AND(ISNUMBER(E241),ISNUMBER(F241))),$J$2=""),8&gt;MAX(1,Reprogramaciones!$U$15)),"",IF(Reprogramaciones!R$12&gt;=7,"",IF(OR(CA241-N(BZ241)&gt;0.05,N(X241)&gt;0),ROUNDDOWN(ROUND(CA241,6),0)&amp;"%"&amp;IF(CQ241="",""," / "&amp;CQ241&amp;"%"),IF(AND(N(BZ241)&gt;=99.95,CQ241&lt;&gt;"",N(CQ241)&lt;100),"Pend. "&amp;CQ241&amp;"%",""))))</f>
        <v/>
      </c>
      <c r="AU241" s="40" t="str">
        <f aca="false">IF(OR(OR(NOT(AND(ISNUMBER(E241),ISNUMBER(F241))),$J$2=""),9&gt;MAX(1,Reprogramaciones!$U$15)),"",IF(Reprogramaciones!S$12&gt;=7,"",IF(OR(CB241-N(CA241)&gt;0.05,N(Y241)&gt;0),ROUNDDOWN(ROUND(CB241,6),0)&amp;"%"&amp;IF(CR241="",""," / "&amp;CR241&amp;"%"),IF(AND(N(CA241)&gt;=99.95,CR241&lt;&gt;"",N(CR241)&lt;100),"Pend. "&amp;CR241&amp;"%",""))))</f>
        <v/>
      </c>
      <c r="AV241" s="40" t="str">
        <f aca="false">IF(OR(OR(NOT(AND(ISNUMBER(E241),ISNUMBER(F241))),$J$2=""),10&gt;MAX(1,Reprogramaciones!$U$15)),"",IF(Reprogramaciones!T$12&gt;=7,"",IF(OR(CC241-N(CB241)&gt;0.05,N(Z241)&gt;0),ROUNDDOWN(ROUND(CC241,6),0)&amp;"%"&amp;IF(CS241="",""," / "&amp;CS241&amp;"%"),IF(AND(N(CB241)&gt;=99.95,CS241&lt;&gt;"",N(CS241)&lt;100),"Pend. "&amp;CS241&amp;"%",""))))</f>
        <v/>
      </c>
      <c r="AW241" s="40" t="str">
        <f aca="false">IF(OR(OR(NOT(AND(ISNUMBER(E241),ISNUMBER(F241))),$J$2=""),11&gt;MAX(1,Reprogramaciones!$U$15)),"",IF(Reprogramaciones!U$12&gt;=7,"",IF(OR(CD241-N(CC241)&gt;0.05,N(AA241)&gt;0),ROUNDDOWN(ROUND(CD241,6),0)&amp;"%"&amp;IF(CT241="",""," / "&amp;CT241&amp;"%"),IF(AND(N(CC241)&gt;=99.95,CT241&lt;&gt;"",N(CT241)&lt;100),"Pend. "&amp;CT241&amp;"%",""))))</f>
        <v/>
      </c>
      <c r="AX241" s="40" t="str">
        <f aca="false">IF(OR(OR(NOT(AND(ISNUMBER(E241),ISNUMBER(F241))),$J$2=""),12&gt;MAX(1,Reprogramaciones!$U$15)),"",IF(Reprogramaciones!V$12&gt;=7,"",IF(OR(CE241-N(CD241)&gt;0.05,N(AB241)&gt;0),ROUNDDOWN(ROUND(CE241,6),0)&amp;"%"&amp;IF(CU241="",""," / "&amp;CU241&amp;"%"),IF(AND(N(CD241)&gt;=99.95,CU241&lt;&gt;"",N(CU241)&lt;100),"Pend. "&amp;CU241&amp;"%",""))))</f>
        <v/>
      </c>
      <c r="AY241" s="40" t="str">
        <f aca="false">IF(OR(OR(NOT(AND(ISNUMBER(E241),ISNUMBER(F241))),$J$2=""),13&gt;MAX(1,Reprogramaciones!$U$15)),"",IF(Reprogramaciones!W$12&gt;=7,"",IF(OR(CF241-N(CE241)&gt;0.05,N(AC241)&gt;0),ROUNDDOWN(ROUND(CF241,6),0)&amp;"%"&amp;IF(CV241="",""," / "&amp;CV241&amp;"%"),IF(AND(N(CE241)&gt;=99.95,CV241&lt;&gt;"",N(CV241)&lt;100),"Pend. "&amp;CV241&amp;"%",""))))</f>
        <v/>
      </c>
      <c r="AZ241" s="40" t="str">
        <f aca="false">IF(OR(OR(NOT(AND(ISNUMBER(E241),ISNUMBER(F241))),$J$2=""),14&gt;MAX(1,Reprogramaciones!$U$15)),"",IF(Reprogramaciones!X$12&gt;=7,"",IF(OR(CG241-N(CF241)&gt;0.05,N(AD241)&gt;0),ROUNDDOWN(ROUND(CG241,6),0)&amp;"%"&amp;IF(CW241="",""," / "&amp;CW241&amp;"%"),IF(AND(N(CF241)&gt;=99.95,CW241&lt;&gt;"",N(CW241)&lt;100),"Pend. "&amp;CW241&amp;"%",""))))</f>
        <v/>
      </c>
      <c r="BA241" s="40" t="str">
        <f aca="false">IF(OR(OR(NOT(AND(ISNUMBER(E241),ISNUMBER(F241))),$J$2=""),15&gt;MAX(1,Reprogramaciones!$U$15)),"",IF(Reprogramaciones!Y$12&gt;=7,"",IF(OR(CH241-N(CG241)&gt;0.05,N(AE241)&gt;0),ROUNDDOWN(ROUND(CH241,6),0)&amp;"%"&amp;IF(CX241="",""," / "&amp;CX241&amp;"%"),IF(AND(N(CG241)&gt;=99.95,CX241&lt;&gt;"",N(CX241)&lt;100),"Pend. "&amp;CX241&amp;"%",""))))</f>
        <v/>
      </c>
      <c r="BB241" s="40" t="str">
        <f aca="false">IF(OR(OR(NOT(AND(ISNUMBER(E241),ISNUMBER(F241))),$J$2=""),16&gt;MAX(1,Reprogramaciones!$U$15)),"",IF(Reprogramaciones!Z$12&gt;=7,"",IF(OR(CI241-N(CH241)&gt;0.05,N(AF241)&gt;0),ROUNDDOWN(ROUND(CI241,6),0)&amp;"%"&amp;IF(CY241="",""," / "&amp;CY241&amp;"%"),IF(AND(N(CH241)&gt;=99.95,CY241&lt;&gt;"",N(CY241)&lt;100),"Pend. "&amp;CY241&amp;"%",""))))</f>
        <v/>
      </c>
      <c r="BC241" s="31" t="n">
        <f aca="false">IF(AND(ISNUMBER(E241),ISNUMBER(F241)),MAX(1,NETWORKDAYS.INTL(E241,F241,11)),0)</f>
        <v>0</v>
      </c>
      <c r="BD241" s="1" t="str">
        <f aca="false">IF(OR(NOT(AND(ISNUMBER(E241),ISNUMBER(F241))),$J$2=""),"",MIN(100,ROUND(SUM($G241:G241),1)))</f>
        <v/>
      </c>
      <c r="BE241" s="1" t="str">
        <f aca="false">IF(OR(NOT(AND(ISNUMBER(E241),ISNUMBER(F241))),$J$2=""),"",MIN(100,ROUND(SUM($G241:H241),1)))</f>
        <v/>
      </c>
      <c r="BF241" s="1" t="str">
        <f aca="false">IF(OR(NOT(AND(ISNUMBER(E241),ISNUMBER(F241))),$J$2=""),"",MIN(100,ROUND(SUM($G241:I241),1)))</f>
        <v/>
      </c>
      <c r="BG241" s="1" t="str">
        <f aca="false">IF(OR(NOT(AND(ISNUMBER(E241),ISNUMBER(F241))),$J$2=""),"",MIN(100,ROUND(SUM($G241:J241),1)))</f>
        <v/>
      </c>
      <c r="BH241" s="1" t="str">
        <f aca="false">IF(OR(NOT(AND(ISNUMBER(E241),ISNUMBER(F241))),$J$2=""),"",MIN(100,ROUND(SUM($G241:K241),1)))</f>
        <v/>
      </c>
      <c r="BI241" s="1" t="str">
        <f aca="false">IF(OR(NOT(AND(ISNUMBER(E241),ISNUMBER(F241))),$J$2=""),"",MIN(100,ROUND(SUM($G241:L241),1)))</f>
        <v/>
      </c>
      <c r="BJ241" s="1" t="str">
        <f aca="false">IF(OR(NOT(AND(ISNUMBER(E241),ISNUMBER(F241))),$J$2=""),"",MIN(100,ROUND(SUM($G241:M241),1)))</f>
        <v/>
      </c>
      <c r="BK241" s="1" t="str">
        <f aca="false">IF(OR(NOT(AND(ISNUMBER(E241),ISNUMBER(F241))),$J$2=""),"",MIN(100,ROUND(SUM($G241:N241),1)))</f>
        <v/>
      </c>
      <c r="BL241" s="1" t="str">
        <f aca="false">IF(OR(NOT(AND(ISNUMBER(E241),ISNUMBER(F241))),$J$2=""),"",MIN(100,ROUND(SUM($G241:O241),1)))</f>
        <v/>
      </c>
      <c r="BM241" s="1" t="str">
        <f aca="false">IF(OR(NOT(AND(ISNUMBER(E241),ISNUMBER(F241))),$J$2=""),"",MIN(100,ROUND(SUM($G241:P241),1)))</f>
        <v/>
      </c>
      <c r="BN241" s="1" t="str">
        <f aca="false">IF(OR(NOT(AND(ISNUMBER(E241),ISNUMBER(F241))),$J$2=""),"",MIN(100,ROUND(SUM($G241:P241),1)))</f>
        <v/>
      </c>
      <c r="BO241" s="1" t="str">
        <f aca="false">IF(OR(NOT(AND(ISNUMBER(E241),ISNUMBER(F241))),$J$2=""),"",MIN(100,ROUND(SUM($G241:P241),1)))</f>
        <v/>
      </c>
      <c r="BP241" s="1" t="str">
        <f aca="false">IF(OR(NOT(AND(ISNUMBER(E241),ISNUMBER(F241))),$J$2=""),"",MIN(100,ROUND(SUM($G241:P241),1)))</f>
        <v/>
      </c>
      <c r="BQ241" s="1" t="str">
        <f aca="false">IF(OR(NOT(AND(ISNUMBER(E241),ISNUMBER(F241))),$J$2=""),"",MIN(100,ROUND(SUM($G241:P241),1)))</f>
        <v/>
      </c>
      <c r="BR241" s="1" t="str">
        <f aca="false">IF(OR(NOT(AND(ISNUMBER(E241),ISNUMBER(F241))),$J$2=""),"",MIN(100,ROUND(SUM($G241:P241),1)))</f>
        <v/>
      </c>
      <c r="BS241" s="1" t="str">
        <f aca="false">IF(OR(NOT(AND(ISNUMBER(E241),ISNUMBER(F241))),$J$2=""),"",MIN(100,ROUND(SUM($G241:P241),1)))</f>
        <v/>
      </c>
      <c r="BT241" s="1" t="str">
        <f aca="false">IF(OR(NOT(AND(ISNUMBER(E241),ISNUMBER(F241))),$J$2=""),"",IF(Reprogramaciones!K$13&lt;Reprogramaciones!$T$15,0,IF(Reprogramaciones!K$14&gt;10,MIN(100,SUM($G241:$P241)),MIN(100,SUMPRODUCT((COLUMN($G241:$P241)-COLUMN($G241)+1&lt;Reprogramaciones!K$14)*$G241:$P241)+N(INDEX($G241:$P241,1,Reprogramaciones!K$14))*IF(Reprogramaciones!K$13&gt;=(Reprogramaciones!$T$15+7*(Reprogramaciones!K$14-1))+6,1,IF(MAX(0,NETWORKDAYS.INTL(MAX(E241,(Reprogramaciones!$T$15+7*(Reprogramaciones!K$14-1))),MIN(F241,(Reprogramaciones!$T$15+7*(Reprogramaciones!K$14-1))+6),11))=0,0,MAX(0,NETWORKDAYS.INTL(MAX(E241,(Reprogramaciones!$T$15+7*(Reprogramaciones!K$14-1))),MIN(F241,Reprogramaciones!K$13),11))/MAX(0,NETWORKDAYS.INTL(MAX(E241,(Reprogramaciones!$T$15+7*(Reprogramaciones!K$14-1))),MIN(F241,(Reprogramaciones!$T$15+7*(Reprogramaciones!K$14-1))+6),11))))))))</f>
        <v/>
      </c>
      <c r="BU241" s="1" t="str">
        <f aca="false">IF(OR(NOT(AND(ISNUMBER(E241),ISNUMBER(F241))),$J$2=""),"",IF(Reprogramaciones!L$13&lt;Reprogramaciones!$T$15,0,IF(Reprogramaciones!L$14&gt;10,MIN(100,SUM($G241:$P241)),MIN(100,SUMPRODUCT((COLUMN($G241:$P241)-COLUMN($G241)+1&lt;Reprogramaciones!L$14)*$G241:$P241)+N(INDEX($G241:$P241,1,Reprogramaciones!L$14))*IF(Reprogramaciones!L$13&gt;=(Reprogramaciones!$T$15+7*(Reprogramaciones!L$14-1))+6,1,IF(MAX(0,NETWORKDAYS.INTL(MAX(E241,(Reprogramaciones!$T$15+7*(Reprogramaciones!L$14-1))),MIN(F241,(Reprogramaciones!$T$15+7*(Reprogramaciones!L$14-1))+6),11))=0,0,MAX(0,NETWORKDAYS.INTL(MAX(E241,(Reprogramaciones!$T$15+7*(Reprogramaciones!L$14-1))),MIN(F241,Reprogramaciones!L$13),11))/MAX(0,NETWORKDAYS.INTL(MAX(E241,(Reprogramaciones!$T$15+7*(Reprogramaciones!L$14-1))),MIN(F241,(Reprogramaciones!$T$15+7*(Reprogramaciones!L$14-1))+6),11))))))))</f>
        <v/>
      </c>
      <c r="BV241" s="1" t="str">
        <f aca="false">IF(OR(NOT(AND(ISNUMBER(E241),ISNUMBER(F241))),$J$2=""),"",IF(Reprogramaciones!M$13&lt;Reprogramaciones!$T$15,0,IF(Reprogramaciones!M$14&gt;10,MIN(100,SUM($G241:$P241)),MIN(100,SUMPRODUCT((COLUMN($G241:$P241)-COLUMN($G241)+1&lt;Reprogramaciones!M$14)*$G241:$P241)+N(INDEX($G241:$P241,1,Reprogramaciones!M$14))*IF(Reprogramaciones!M$13&gt;=(Reprogramaciones!$T$15+7*(Reprogramaciones!M$14-1))+6,1,IF(MAX(0,NETWORKDAYS.INTL(MAX(E241,(Reprogramaciones!$T$15+7*(Reprogramaciones!M$14-1))),MIN(F241,(Reprogramaciones!$T$15+7*(Reprogramaciones!M$14-1))+6),11))=0,0,MAX(0,NETWORKDAYS.INTL(MAX(E241,(Reprogramaciones!$T$15+7*(Reprogramaciones!M$14-1))),MIN(F241,Reprogramaciones!M$13),11))/MAX(0,NETWORKDAYS.INTL(MAX(E241,(Reprogramaciones!$T$15+7*(Reprogramaciones!M$14-1))),MIN(F241,(Reprogramaciones!$T$15+7*(Reprogramaciones!M$14-1))+6),11))))))))</f>
        <v/>
      </c>
      <c r="BW241" s="1" t="str">
        <f aca="false">IF(OR(NOT(AND(ISNUMBER(E241),ISNUMBER(F241))),$J$2=""),"",IF(Reprogramaciones!N$13&lt;Reprogramaciones!$T$15,0,IF(Reprogramaciones!N$14&gt;10,MIN(100,SUM($G241:$P241)),MIN(100,SUMPRODUCT((COLUMN($G241:$P241)-COLUMN($G241)+1&lt;Reprogramaciones!N$14)*$G241:$P241)+N(INDEX($G241:$P241,1,Reprogramaciones!N$14))*IF(Reprogramaciones!N$13&gt;=(Reprogramaciones!$T$15+7*(Reprogramaciones!N$14-1))+6,1,IF(MAX(0,NETWORKDAYS.INTL(MAX(E241,(Reprogramaciones!$T$15+7*(Reprogramaciones!N$14-1))),MIN(F241,(Reprogramaciones!$T$15+7*(Reprogramaciones!N$14-1))+6),11))=0,0,MAX(0,NETWORKDAYS.INTL(MAX(E241,(Reprogramaciones!$T$15+7*(Reprogramaciones!N$14-1))),MIN(F241,Reprogramaciones!N$13),11))/MAX(0,NETWORKDAYS.INTL(MAX(E241,(Reprogramaciones!$T$15+7*(Reprogramaciones!N$14-1))),MIN(F241,(Reprogramaciones!$T$15+7*(Reprogramaciones!N$14-1))+6),11))))))))</f>
        <v/>
      </c>
      <c r="BX241" s="1" t="str">
        <f aca="false">IF(OR(NOT(AND(ISNUMBER(E241),ISNUMBER(F241))),$J$2=""),"",IF(Reprogramaciones!O$13&lt;Reprogramaciones!$T$15,0,IF(Reprogramaciones!O$14&gt;10,MIN(100,SUM($G241:$P241)),MIN(100,SUMPRODUCT((COLUMN($G241:$P241)-COLUMN($G241)+1&lt;Reprogramaciones!O$14)*$G241:$P241)+N(INDEX($G241:$P241,1,Reprogramaciones!O$14))*IF(Reprogramaciones!O$13&gt;=(Reprogramaciones!$T$15+7*(Reprogramaciones!O$14-1))+6,1,IF(MAX(0,NETWORKDAYS.INTL(MAX(E241,(Reprogramaciones!$T$15+7*(Reprogramaciones!O$14-1))),MIN(F241,(Reprogramaciones!$T$15+7*(Reprogramaciones!O$14-1))+6),11))=0,0,MAX(0,NETWORKDAYS.INTL(MAX(E241,(Reprogramaciones!$T$15+7*(Reprogramaciones!O$14-1))),MIN(F241,Reprogramaciones!O$13),11))/MAX(0,NETWORKDAYS.INTL(MAX(E241,(Reprogramaciones!$T$15+7*(Reprogramaciones!O$14-1))),MIN(F241,(Reprogramaciones!$T$15+7*(Reprogramaciones!O$14-1))+6),11))))))))</f>
        <v/>
      </c>
      <c r="BY241" s="1" t="str">
        <f aca="false">IF(OR(NOT(AND(ISNUMBER(E241),ISNUMBER(F241))),$J$2=""),"",IF(Reprogramaciones!P$13&lt;Reprogramaciones!$T$15,0,IF(Reprogramaciones!P$14&gt;10,MIN(100,SUM($G241:$P241)),MIN(100,SUMPRODUCT((COLUMN($G241:$P241)-COLUMN($G241)+1&lt;Reprogramaciones!P$14)*$G241:$P241)+N(INDEX($G241:$P241,1,Reprogramaciones!P$14))*IF(Reprogramaciones!P$13&gt;=(Reprogramaciones!$T$15+7*(Reprogramaciones!P$14-1))+6,1,IF(MAX(0,NETWORKDAYS.INTL(MAX(E241,(Reprogramaciones!$T$15+7*(Reprogramaciones!P$14-1))),MIN(F241,(Reprogramaciones!$T$15+7*(Reprogramaciones!P$14-1))+6),11))=0,0,MAX(0,NETWORKDAYS.INTL(MAX(E241,(Reprogramaciones!$T$15+7*(Reprogramaciones!P$14-1))),MIN(F241,Reprogramaciones!P$13),11))/MAX(0,NETWORKDAYS.INTL(MAX(E241,(Reprogramaciones!$T$15+7*(Reprogramaciones!P$14-1))),MIN(F241,(Reprogramaciones!$T$15+7*(Reprogramaciones!P$14-1))+6),11))))))))</f>
        <v/>
      </c>
      <c r="BZ241" s="1" t="str">
        <f aca="false">IF(OR(NOT(AND(ISNUMBER(E241),ISNUMBER(F241))),$J$2=""),"",IF(Reprogramaciones!Q$13&lt;Reprogramaciones!$T$15,0,IF(Reprogramaciones!Q$14&gt;10,MIN(100,SUM($G241:$P241)),MIN(100,SUMPRODUCT((COLUMN($G241:$P241)-COLUMN($G241)+1&lt;Reprogramaciones!Q$14)*$G241:$P241)+N(INDEX($G241:$P241,1,Reprogramaciones!Q$14))*IF(Reprogramaciones!Q$13&gt;=(Reprogramaciones!$T$15+7*(Reprogramaciones!Q$14-1))+6,1,IF(MAX(0,NETWORKDAYS.INTL(MAX(E241,(Reprogramaciones!$T$15+7*(Reprogramaciones!Q$14-1))),MIN(F241,(Reprogramaciones!$T$15+7*(Reprogramaciones!Q$14-1))+6),11))=0,0,MAX(0,NETWORKDAYS.INTL(MAX(E241,(Reprogramaciones!$T$15+7*(Reprogramaciones!Q$14-1))),MIN(F241,Reprogramaciones!Q$13),11))/MAX(0,NETWORKDAYS.INTL(MAX(E241,(Reprogramaciones!$T$15+7*(Reprogramaciones!Q$14-1))),MIN(F241,(Reprogramaciones!$T$15+7*(Reprogramaciones!Q$14-1))+6),11))))))))</f>
        <v/>
      </c>
      <c r="CA241" s="1" t="str">
        <f aca="false">IF(OR(NOT(AND(ISNUMBER(E241),ISNUMBER(F241))),$J$2=""),"",IF(Reprogramaciones!R$13&lt;Reprogramaciones!$T$15,0,IF(Reprogramaciones!R$14&gt;10,MIN(100,SUM($G241:$P241)),MIN(100,SUMPRODUCT((COLUMN($G241:$P241)-COLUMN($G241)+1&lt;Reprogramaciones!R$14)*$G241:$P241)+N(INDEX($G241:$P241,1,Reprogramaciones!R$14))*IF(Reprogramaciones!R$13&gt;=(Reprogramaciones!$T$15+7*(Reprogramaciones!R$14-1))+6,1,IF(MAX(0,NETWORKDAYS.INTL(MAX(E241,(Reprogramaciones!$T$15+7*(Reprogramaciones!R$14-1))),MIN(F241,(Reprogramaciones!$T$15+7*(Reprogramaciones!R$14-1))+6),11))=0,0,MAX(0,NETWORKDAYS.INTL(MAX(E241,(Reprogramaciones!$T$15+7*(Reprogramaciones!R$14-1))),MIN(F241,Reprogramaciones!R$13),11))/MAX(0,NETWORKDAYS.INTL(MAX(E241,(Reprogramaciones!$T$15+7*(Reprogramaciones!R$14-1))),MIN(F241,(Reprogramaciones!$T$15+7*(Reprogramaciones!R$14-1))+6),11))))))))</f>
        <v/>
      </c>
      <c r="CB241" s="1" t="str">
        <f aca="false">IF(OR(NOT(AND(ISNUMBER(E241),ISNUMBER(F241))),$J$2=""),"",IF(Reprogramaciones!S$13&lt;Reprogramaciones!$T$15,0,IF(Reprogramaciones!S$14&gt;10,MIN(100,SUM($G241:$P241)),MIN(100,SUMPRODUCT((COLUMN($G241:$P241)-COLUMN($G241)+1&lt;Reprogramaciones!S$14)*$G241:$P241)+N(INDEX($G241:$P241,1,Reprogramaciones!S$14))*IF(Reprogramaciones!S$13&gt;=(Reprogramaciones!$T$15+7*(Reprogramaciones!S$14-1))+6,1,IF(MAX(0,NETWORKDAYS.INTL(MAX(E241,(Reprogramaciones!$T$15+7*(Reprogramaciones!S$14-1))),MIN(F241,(Reprogramaciones!$T$15+7*(Reprogramaciones!S$14-1))+6),11))=0,0,MAX(0,NETWORKDAYS.INTL(MAX(E241,(Reprogramaciones!$T$15+7*(Reprogramaciones!S$14-1))),MIN(F241,Reprogramaciones!S$13),11))/MAX(0,NETWORKDAYS.INTL(MAX(E241,(Reprogramaciones!$T$15+7*(Reprogramaciones!S$14-1))),MIN(F241,(Reprogramaciones!$T$15+7*(Reprogramaciones!S$14-1))+6),11))))))))</f>
        <v/>
      </c>
      <c r="CC241" s="1" t="str">
        <f aca="false">IF(OR(NOT(AND(ISNUMBER(E241),ISNUMBER(F241))),$J$2=""),"",IF(Reprogramaciones!T$13&lt;Reprogramaciones!$T$15,0,IF(Reprogramaciones!T$14&gt;10,MIN(100,SUM($G241:$P241)),MIN(100,SUMPRODUCT((COLUMN($G241:$P241)-COLUMN($G241)+1&lt;Reprogramaciones!T$14)*$G241:$P241)+N(INDEX($G241:$P241,1,Reprogramaciones!T$14))*IF(Reprogramaciones!T$13&gt;=(Reprogramaciones!$T$15+7*(Reprogramaciones!T$14-1))+6,1,IF(MAX(0,NETWORKDAYS.INTL(MAX(E241,(Reprogramaciones!$T$15+7*(Reprogramaciones!T$14-1))),MIN(F241,(Reprogramaciones!$T$15+7*(Reprogramaciones!T$14-1))+6),11))=0,0,MAX(0,NETWORKDAYS.INTL(MAX(E241,(Reprogramaciones!$T$15+7*(Reprogramaciones!T$14-1))),MIN(F241,Reprogramaciones!T$13),11))/MAX(0,NETWORKDAYS.INTL(MAX(E241,(Reprogramaciones!$T$15+7*(Reprogramaciones!T$14-1))),MIN(F241,(Reprogramaciones!$T$15+7*(Reprogramaciones!T$14-1))+6),11))))))))</f>
        <v/>
      </c>
      <c r="CD241" s="1" t="str">
        <f aca="false">IF(OR(NOT(AND(ISNUMBER(E241),ISNUMBER(F241))),$J$2=""),"",IF(Reprogramaciones!U$13&lt;Reprogramaciones!$T$15,0,IF(Reprogramaciones!U$14&gt;10,MIN(100,SUM($G241:$P241)),MIN(100,SUMPRODUCT((COLUMN($G241:$P241)-COLUMN($G241)+1&lt;Reprogramaciones!U$14)*$G241:$P241)+N(INDEX($G241:$P241,1,Reprogramaciones!U$14))*IF(Reprogramaciones!U$13&gt;=(Reprogramaciones!$T$15+7*(Reprogramaciones!U$14-1))+6,1,IF(MAX(0,NETWORKDAYS.INTL(MAX(E241,(Reprogramaciones!$T$15+7*(Reprogramaciones!U$14-1))),MIN(F241,(Reprogramaciones!$T$15+7*(Reprogramaciones!U$14-1))+6),11))=0,0,MAX(0,NETWORKDAYS.INTL(MAX(E241,(Reprogramaciones!$T$15+7*(Reprogramaciones!U$14-1))),MIN(F241,Reprogramaciones!U$13),11))/MAX(0,NETWORKDAYS.INTL(MAX(E241,(Reprogramaciones!$T$15+7*(Reprogramaciones!U$14-1))),MIN(F241,(Reprogramaciones!$T$15+7*(Reprogramaciones!U$14-1))+6),11))))))))</f>
        <v/>
      </c>
      <c r="CE241" s="1" t="str">
        <f aca="false">IF(OR(NOT(AND(ISNUMBER(E241),ISNUMBER(F241))),$J$2=""),"",IF(Reprogramaciones!V$13&lt;Reprogramaciones!$T$15,0,IF(Reprogramaciones!V$14&gt;10,MIN(100,SUM($G241:$P241)),MIN(100,SUMPRODUCT((COLUMN($G241:$P241)-COLUMN($G241)+1&lt;Reprogramaciones!V$14)*$G241:$P241)+N(INDEX($G241:$P241,1,Reprogramaciones!V$14))*IF(Reprogramaciones!V$13&gt;=(Reprogramaciones!$T$15+7*(Reprogramaciones!V$14-1))+6,1,IF(MAX(0,NETWORKDAYS.INTL(MAX(E241,(Reprogramaciones!$T$15+7*(Reprogramaciones!V$14-1))),MIN(F241,(Reprogramaciones!$T$15+7*(Reprogramaciones!V$14-1))+6),11))=0,0,MAX(0,NETWORKDAYS.INTL(MAX(E241,(Reprogramaciones!$T$15+7*(Reprogramaciones!V$14-1))),MIN(F241,Reprogramaciones!V$13),11))/MAX(0,NETWORKDAYS.INTL(MAX(E241,(Reprogramaciones!$T$15+7*(Reprogramaciones!V$14-1))),MIN(F241,(Reprogramaciones!$T$15+7*(Reprogramaciones!V$14-1))+6),11))))))))</f>
        <v/>
      </c>
      <c r="CF241" s="1" t="str">
        <f aca="false">IF(OR(NOT(AND(ISNUMBER(E241),ISNUMBER(F241))),$J$2=""),"",IF(Reprogramaciones!W$13&lt;Reprogramaciones!$T$15,0,IF(Reprogramaciones!W$14&gt;10,MIN(100,SUM($G241:$P241)),MIN(100,SUMPRODUCT((COLUMN($G241:$P241)-COLUMN($G241)+1&lt;Reprogramaciones!W$14)*$G241:$P241)+N(INDEX($G241:$P241,1,Reprogramaciones!W$14))*IF(Reprogramaciones!W$13&gt;=(Reprogramaciones!$T$15+7*(Reprogramaciones!W$14-1))+6,1,IF(MAX(0,NETWORKDAYS.INTL(MAX(E241,(Reprogramaciones!$T$15+7*(Reprogramaciones!W$14-1))),MIN(F241,(Reprogramaciones!$T$15+7*(Reprogramaciones!W$14-1))+6),11))=0,0,MAX(0,NETWORKDAYS.INTL(MAX(E241,(Reprogramaciones!$T$15+7*(Reprogramaciones!W$14-1))),MIN(F241,Reprogramaciones!W$13),11))/MAX(0,NETWORKDAYS.INTL(MAX(E241,(Reprogramaciones!$T$15+7*(Reprogramaciones!W$14-1))),MIN(F241,(Reprogramaciones!$T$15+7*(Reprogramaciones!W$14-1))+6),11))))))))</f>
        <v/>
      </c>
      <c r="CG241" s="1" t="str">
        <f aca="false">IF(OR(NOT(AND(ISNUMBER(E241),ISNUMBER(F241))),$J$2=""),"",IF(Reprogramaciones!X$13&lt;Reprogramaciones!$T$15,0,IF(Reprogramaciones!X$14&gt;10,MIN(100,SUM($G241:$P241)),MIN(100,SUMPRODUCT((COLUMN($G241:$P241)-COLUMN($G241)+1&lt;Reprogramaciones!X$14)*$G241:$P241)+N(INDEX($G241:$P241,1,Reprogramaciones!X$14))*IF(Reprogramaciones!X$13&gt;=(Reprogramaciones!$T$15+7*(Reprogramaciones!X$14-1))+6,1,IF(MAX(0,NETWORKDAYS.INTL(MAX(E241,(Reprogramaciones!$T$15+7*(Reprogramaciones!X$14-1))),MIN(F241,(Reprogramaciones!$T$15+7*(Reprogramaciones!X$14-1))+6),11))=0,0,MAX(0,NETWORKDAYS.INTL(MAX(E241,(Reprogramaciones!$T$15+7*(Reprogramaciones!X$14-1))),MIN(F241,Reprogramaciones!X$13),11))/MAX(0,NETWORKDAYS.INTL(MAX(E241,(Reprogramaciones!$T$15+7*(Reprogramaciones!X$14-1))),MIN(F241,(Reprogramaciones!$T$15+7*(Reprogramaciones!X$14-1))+6),11))))))))</f>
        <v/>
      </c>
      <c r="CH241" s="1" t="str">
        <f aca="false">IF(OR(NOT(AND(ISNUMBER(E241),ISNUMBER(F241))),$J$2=""),"",IF(Reprogramaciones!Y$13&lt;Reprogramaciones!$T$15,0,IF(Reprogramaciones!Y$14&gt;10,MIN(100,SUM($G241:$P241)),MIN(100,SUMPRODUCT((COLUMN($G241:$P241)-COLUMN($G241)+1&lt;Reprogramaciones!Y$14)*$G241:$P241)+N(INDEX($G241:$P241,1,Reprogramaciones!Y$14))*IF(Reprogramaciones!Y$13&gt;=(Reprogramaciones!$T$15+7*(Reprogramaciones!Y$14-1))+6,1,IF(MAX(0,NETWORKDAYS.INTL(MAX(E241,(Reprogramaciones!$T$15+7*(Reprogramaciones!Y$14-1))),MIN(F241,(Reprogramaciones!$T$15+7*(Reprogramaciones!Y$14-1))+6),11))=0,0,MAX(0,NETWORKDAYS.INTL(MAX(E241,(Reprogramaciones!$T$15+7*(Reprogramaciones!Y$14-1))),MIN(F241,Reprogramaciones!Y$13),11))/MAX(0,NETWORKDAYS.INTL(MAX(E241,(Reprogramaciones!$T$15+7*(Reprogramaciones!Y$14-1))),MIN(F241,(Reprogramaciones!$T$15+7*(Reprogramaciones!Y$14-1))+6),11))))))))</f>
        <v/>
      </c>
      <c r="CI241" s="1" t="str">
        <f aca="false">IF(OR(NOT(AND(ISNUMBER(E241),ISNUMBER(F241))),$J$2=""),"",IF(Reprogramaciones!Z$13&lt;Reprogramaciones!$T$15,0,IF(Reprogramaciones!Z$14&gt;10,MIN(100,SUM($G241:$P241)),MIN(100,SUMPRODUCT((COLUMN($G241:$P241)-COLUMN($G241)+1&lt;Reprogramaciones!Z$14)*$G241:$P241)+N(INDEX($G241:$P241,1,Reprogramaciones!Z$14))*IF(Reprogramaciones!Z$13&gt;=(Reprogramaciones!$T$15+7*(Reprogramaciones!Z$14-1))+6,1,IF(MAX(0,NETWORKDAYS.INTL(MAX(E241,(Reprogramaciones!$T$15+7*(Reprogramaciones!Z$14-1))),MIN(F241,(Reprogramaciones!$T$15+7*(Reprogramaciones!Z$14-1))+6),11))=0,0,MAX(0,NETWORKDAYS.INTL(MAX(E241,(Reprogramaciones!$T$15+7*(Reprogramaciones!Z$14-1))),MIN(F241,Reprogramaciones!Z$13),11))/MAX(0,NETWORKDAYS.INTL(MAX(E241,(Reprogramaciones!$T$15+7*(Reprogramaciones!Z$14-1))),MIN(F241,(Reprogramaciones!$T$15+7*(Reprogramaciones!Z$14-1))+6),11))))))))</f>
        <v/>
      </c>
      <c r="CJ241" s="1" t="str">
        <f aca="false">IF(OR(OR(NOT(AND(ISNUMBER(E241),ISNUMBER(F241))),$J$2=""),1&gt;Reprogramaciones!$K$16),"",IF(ROUND(SUM($Q241:Q241),1)&gt;=99.5,100,MIN(100,ROUND(SUM($Q241:Q241),1))))</f>
        <v/>
      </c>
      <c r="CK241" s="1" t="str">
        <f aca="false">IF(OR(OR(NOT(AND(ISNUMBER(E241),ISNUMBER(F241))),$J$2=""),2&gt;Reprogramaciones!$K$16),"",IF(ROUND(SUM($Q241:R241),1)&gt;=99.5,100,MIN(100,ROUND(SUM($Q241:R241),1))))</f>
        <v/>
      </c>
      <c r="CL241" s="1" t="str">
        <f aca="false">IF(OR(OR(NOT(AND(ISNUMBER(E241),ISNUMBER(F241))),$J$2=""),3&gt;Reprogramaciones!$K$16),"",IF(ROUND(SUM($Q241:S241),1)&gt;=99.5,100,MIN(100,ROUND(SUM($Q241:S241),1))))</f>
        <v/>
      </c>
      <c r="CM241" s="1" t="str">
        <f aca="false">IF(OR(OR(NOT(AND(ISNUMBER(E241),ISNUMBER(F241))),$J$2=""),4&gt;Reprogramaciones!$K$16),"",IF(ROUND(SUM($Q241:T241),1)&gt;=99.5,100,MIN(100,ROUND(SUM($Q241:T241),1))))</f>
        <v/>
      </c>
      <c r="CN241" s="1" t="str">
        <f aca="false">IF(OR(OR(NOT(AND(ISNUMBER(E241),ISNUMBER(F241))),$J$2=""),5&gt;Reprogramaciones!$K$16),"",IF(ROUND(SUM($Q241:U241),1)&gt;=99.5,100,MIN(100,ROUND(SUM($Q241:U241),1))))</f>
        <v/>
      </c>
      <c r="CO241" s="1" t="str">
        <f aca="false">IF(OR(OR(NOT(AND(ISNUMBER(E241),ISNUMBER(F241))),$J$2=""),6&gt;Reprogramaciones!$K$16),"",IF(ROUND(SUM($Q241:V241),1)&gt;=99.5,100,MIN(100,ROUND(SUM($Q241:V241),1))))</f>
        <v/>
      </c>
      <c r="CP241" s="1" t="str">
        <f aca="false">IF(OR(OR(NOT(AND(ISNUMBER(E241),ISNUMBER(F241))),$J$2=""),7&gt;Reprogramaciones!$K$16),"",IF(ROUND(SUM($Q241:W241),1)&gt;=99.5,100,MIN(100,ROUND(SUM($Q241:W241),1))))</f>
        <v/>
      </c>
      <c r="CQ241" s="1" t="str">
        <f aca="false">IF(OR(OR(NOT(AND(ISNUMBER(E241),ISNUMBER(F241))),$J$2=""),8&gt;Reprogramaciones!$K$16),"",IF(ROUND(SUM($Q241:X241),1)&gt;=99.5,100,MIN(100,ROUND(SUM($Q241:X241),1))))</f>
        <v/>
      </c>
      <c r="CR241" s="1" t="str">
        <f aca="false">IF(OR(OR(NOT(AND(ISNUMBER(E241),ISNUMBER(F241))),$J$2=""),9&gt;Reprogramaciones!$K$16),"",IF(ROUND(SUM($Q241:Y241),1)&gt;=99.5,100,MIN(100,ROUND(SUM($Q241:Y241),1))))</f>
        <v/>
      </c>
      <c r="CS241" s="1" t="str">
        <f aca="false">IF(OR(OR(NOT(AND(ISNUMBER(E241),ISNUMBER(F241))),$J$2=""),10&gt;Reprogramaciones!$K$16),"",IF(ROUND(SUM($Q241:Z241),1)&gt;=99.5,100,MIN(100,ROUND(SUM($Q241:Z241),1))))</f>
        <v/>
      </c>
      <c r="CT241" s="1" t="str">
        <f aca="false">IF(OR(OR(NOT(AND(ISNUMBER(E241),ISNUMBER(F241))),$J$2=""),11&gt;Reprogramaciones!$K$16),"",IF(ROUND(SUM($Q241:AA241),1)&gt;=99.5,100,MIN(100,ROUND(SUM($Q241:AA241),1))))</f>
        <v/>
      </c>
      <c r="CU241" s="1" t="str">
        <f aca="false">IF(OR(OR(NOT(AND(ISNUMBER(E241),ISNUMBER(F241))),$J$2=""),12&gt;Reprogramaciones!$K$16),"",IF(ROUND(SUM($Q241:AB241),1)&gt;=99.5,100,MIN(100,ROUND(SUM($Q241:AB241),1))))</f>
        <v/>
      </c>
      <c r="CV241" s="1" t="str">
        <f aca="false">IF(OR(OR(NOT(AND(ISNUMBER(E241),ISNUMBER(F241))),$J$2=""),13&gt;Reprogramaciones!$K$16),"",IF(ROUND(SUM($Q241:AC241),1)&gt;=99.5,100,MIN(100,ROUND(SUM($Q241:AC241),1))))</f>
        <v/>
      </c>
      <c r="CW241" s="1" t="str">
        <f aca="false">IF(OR(OR(NOT(AND(ISNUMBER(E241),ISNUMBER(F241))),$J$2=""),14&gt;Reprogramaciones!$K$16),"",IF(ROUND(SUM($Q241:AD241),1)&gt;=99.5,100,MIN(100,ROUND(SUM($Q241:AD241),1))))</f>
        <v/>
      </c>
      <c r="CX241" s="1" t="str">
        <f aca="false">IF(OR(OR(NOT(AND(ISNUMBER(E241),ISNUMBER(F241))),$J$2=""),15&gt;Reprogramaciones!$K$16),"",IF(ROUND(SUM($Q241:AE241),1)&gt;=99.5,100,MIN(100,ROUND(SUM($Q241:AE241),1))))</f>
        <v/>
      </c>
      <c r="CY241" s="1" t="str">
        <f aca="false">IF(OR(OR(NOT(AND(ISNUMBER(E241),ISNUMBER(F241))),$J$2=""),16&gt;Reprogramaciones!$K$16),"",IF(ROUND(SUM($Q241:AF241),1)&gt;=99.5,100,MIN(100,ROUND(SUM($Q241:AF241),1))))</f>
        <v/>
      </c>
      <c r="CZ241" s="1" t="str">
        <f aca="false">IF(D241&lt;&gt;"",D241,IF(B241&lt;&gt;"","Contractual",CZ240))</f>
        <v>Contractual</v>
      </c>
      <c r="DA241" s="1" t="str">
        <f aca="false">IF(OR(NOT(AND(ISNUMBER(E241),ISNUMBER(F241))),$J$2=""),"",IF(Reprogramaciones!$Q$15&lt;Reprogramaciones!$T$15,0,IF(Reprogramaciones!$S$15&gt;10,MIN(100,SUM($G241:$P241)),MIN(100,SUMPRODUCT((COLUMN($G241:$P241)-COLUMN($G241)+1&lt;Reprogramaciones!$S$15)*$G241:$P241)+N(INDEX($G241:$P241,1,Reprogramaciones!$S$15))*IF(Reprogramaciones!$Q$15&gt;=(Reprogramaciones!$T$15+7*(Reprogramaciones!$S$15-1))+6,1,IF(MAX(0,NETWORKDAYS.INTL(MAX(E241,(Reprogramaciones!$T$15+7*(Reprogramaciones!$S$15-1))),MIN(F241,(Reprogramaciones!$T$15+7*(Reprogramaciones!$S$15-1))+6),11))=0,0,MAX(0,NETWORKDAYS.INTL(MAX(E241,(Reprogramaciones!$T$15+7*(Reprogramaciones!$S$15-1))),MIN(F241,Reprogramaciones!$Q$15),11))/MAX(0,NETWORKDAYS.INTL(MAX(E241,(Reprogramaciones!$T$15+7*(Reprogramaciones!$S$15-1))),MIN(F241,(Reprogramaciones!$T$15+7*(Reprogramaciones!$S$15-1))+6),11))))))))</f>
        <v/>
      </c>
    </row>
    <row r="242" customFormat="false" ht="15" hidden="false" customHeight="false" outlineLevel="0" collapsed="false">
      <c r="A242" s="32"/>
      <c r="B242" s="33"/>
      <c r="C242" s="33"/>
      <c r="D242" s="34"/>
      <c r="E242" s="35"/>
      <c r="F242" s="35"/>
      <c r="G242" s="36" t="str">
        <f aca="false">IF(OR(NOT(AND(ISNUMBER(E242),ISNUMBER(F242))),$J$2=""),"",IF(Reprogramaciones!K$9&lt;E242,0,IF(NETWORKDAYS.INTL(E242,F242,11)=0,IF(Reprogramaciones!K$9&gt;=F242,100,0),ROUND(NETWORKDAYS.INTL(E242,MIN(F242,Reprogramaciones!K$9),11)/NETWORKDAYS.INTL(E242,F242,11)*100,1)))-0)</f>
        <v/>
      </c>
      <c r="H242" s="36" t="str">
        <f aca="false">IF(OR(NOT(AND(ISNUMBER(E242),ISNUMBER(F242))),$J$2=""),"",IF(Reprogramaciones!L$9&lt;E242,0,IF(NETWORKDAYS.INTL(E242,F242,11)=0,IF(Reprogramaciones!L$9&gt;=F242,100,0),ROUND(NETWORKDAYS.INTL(E242,MIN(F242,Reprogramaciones!L$9),11)/NETWORKDAYS.INTL(E242,F242,11)*100,1)))-IF(Reprogramaciones!K$9&lt;E242,0,IF(NETWORKDAYS.INTL(E242,F242,11)=0,IF(Reprogramaciones!K$9&gt;=F242,100,0),ROUND(NETWORKDAYS.INTL(E242,MIN(F242,Reprogramaciones!K$9),11)/NETWORKDAYS.INTL(E242,F242,11)*100,1))))</f>
        <v/>
      </c>
      <c r="I242" s="36" t="str">
        <f aca="false">IF(OR(NOT(AND(ISNUMBER(E242),ISNUMBER(F242))),$J$2=""),"",IF(Reprogramaciones!M$9&lt;E242,0,IF(NETWORKDAYS.INTL(E242,F242,11)=0,IF(Reprogramaciones!M$9&gt;=F242,100,0),ROUND(NETWORKDAYS.INTL(E242,MIN(F242,Reprogramaciones!M$9),11)/NETWORKDAYS.INTL(E242,F242,11)*100,1)))-IF(Reprogramaciones!L$9&lt;E242,0,IF(NETWORKDAYS.INTL(E242,F242,11)=0,IF(Reprogramaciones!L$9&gt;=F242,100,0),ROUND(NETWORKDAYS.INTL(E242,MIN(F242,Reprogramaciones!L$9),11)/NETWORKDAYS.INTL(E242,F242,11)*100,1))))</f>
        <v/>
      </c>
      <c r="J242" s="36" t="str">
        <f aca="false">IF(OR(NOT(AND(ISNUMBER(E242),ISNUMBER(F242))),$J$2=""),"",IF(Reprogramaciones!N$9&lt;E242,0,IF(NETWORKDAYS.INTL(E242,F242,11)=0,IF(Reprogramaciones!N$9&gt;=F242,100,0),ROUND(NETWORKDAYS.INTL(E242,MIN(F242,Reprogramaciones!N$9),11)/NETWORKDAYS.INTL(E242,F242,11)*100,1)))-IF(Reprogramaciones!M$9&lt;E242,0,IF(NETWORKDAYS.INTL(E242,F242,11)=0,IF(Reprogramaciones!M$9&gt;=F242,100,0),ROUND(NETWORKDAYS.INTL(E242,MIN(F242,Reprogramaciones!M$9),11)/NETWORKDAYS.INTL(E242,F242,11)*100,1))))</f>
        <v/>
      </c>
      <c r="K242" s="36" t="str">
        <f aca="false">IF(OR(NOT(AND(ISNUMBER(E242),ISNUMBER(F242))),$J$2=""),"",IF(Reprogramaciones!O$9&lt;E242,0,IF(NETWORKDAYS.INTL(E242,F242,11)=0,IF(Reprogramaciones!O$9&gt;=F242,100,0),ROUND(NETWORKDAYS.INTL(E242,MIN(F242,Reprogramaciones!O$9),11)/NETWORKDAYS.INTL(E242,F242,11)*100,1)))-IF(Reprogramaciones!N$9&lt;E242,0,IF(NETWORKDAYS.INTL(E242,F242,11)=0,IF(Reprogramaciones!N$9&gt;=F242,100,0),ROUND(NETWORKDAYS.INTL(E242,MIN(F242,Reprogramaciones!N$9),11)/NETWORKDAYS.INTL(E242,F242,11)*100,1))))</f>
        <v/>
      </c>
      <c r="L242" s="36" t="str">
        <f aca="false">IF(OR(NOT(AND(ISNUMBER(E242),ISNUMBER(F242))),$J$2=""),"",IF(Reprogramaciones!P$9&lt;E242,0,IF(NETWORKDAYS.INTL(E242,F242,11)=0,IF(Reprogramaciones!P$9&gt;=F242,100,0),ROUND(NETWORKDAYS.INTL(E242,MIN(F242,Reprogramaciones!P$9),11)/NETWORKDAYS.INTL(E242,F242,11)*100,1)))-IF(Reprogramaciones!O$9&lt;E242,0,IF(NETWORKDAYS.INTL(E242,F242,11)=0,IF(Reprogramaciones!O$9&gt;=F242,100,0),ROUND(NETWORKDAYS.INTL(E242,MIN(F242,Reprogramaciones!O$9),11)/NETWORKDAYS.INTL(E242,F242,11)*100,1))))</f>
        <v/>
      </c>
      <c r="M242" s="36" t="str">
        <f aca="false">IF(OR(NOT(AND(ISNUMBER(E242),ISNUMBER(F242))),$J$2=""),"",IF(Reprogramaciones!Q$9&lt;E242,0,IF(NETWORKDAYS.INTL(E242,F242,11)=0,IF(Reprogramaciones!Q$9&gt;=F242,100,0),ROUND(NETWORKDAYS.INTL(E242,MIN(F242,Reprogramaciones!Q$9),11)/NETWORKDAYS.INTL(E242,F242,11)*100,1)))-IF(Reprogramaciones!P$9&lt;E242,0,IF(NETWORKDAYS.INTL(E242,F242,11)=0,IF(Reprogramaciones!P$9&gt;=F242,100,0),ROUND(NETWORKDAYS.INTL(E242,MIN(F242,Reprogramaciones!P$9),11)/NETWORKDAYS.INTL(E242,F242,11)*100,1))))</f>
        <v/>
      </c>
      <c r="N242" s="36" t="str">
        <f aca="false">IF(OR(NOT(AND(ISNUMBER(E242),ISNUMBER(F242))),$J$2=""),"",IF(Reprogramaciones!R$9&lt;E242,0,IF(NETWORKDAYS.INTL(E242,F242,11)=0,IF(Reprogramaciones!R$9&gt;=F242,100,0),ROUND(NETWORKDAYS.INTL(E242,MIN(F242,Reprogramaciones!R$9),11)/NETWORKDAYS.INTL(E242,F242,11)*100,1)))-IF(Reprogramaciones!Q$9&lt;E242,0,IF(NETWORKDAYS.INTL(E242,F242,11)=0,IF(Reprogramaciones!Q$9&gt;=F242,100,0),ROUND(NETWORKDAYS.INTL(E242,MIN(F242,Reprogramaciones!Q$9),11)/NETWORKDAYS.INTL(E242,F242,11)*100,1))))</f>
        <v/>
      </c>
      <c r="O242" s="36" t="str">
        <f aca="false">IF(OR(NOT(AND(ISNUMBER(E242),ISNUMBER(F242))),$J$2=""),"",IF(Reprogramaciones!S$9&lt;E242,0,IF(NETWORKDAYS.INTL(E242,F242,11)=0,IF(Reprogramaciones!S$9&gt;=F242,100,0),ROUND(NETWORKDAYS.INTL(E242,MIN(F242,Reprogramaciones!S$9),11)/NETWORKDAYS.INTL(E242,F242,11)*100,1)))-IF(Reprogramaciones!R$9&lt;E242,0,IF(NETWORKDAYS.INTL(E242,F242,11)=0,IF(Reprogramaciones!R$9&gt;=F242,100,0),ROUND(NETWORKDAYS.INTL(E242,MIN(F242,Reprogramaciones!R$9),11)/NETWORKDAYS.INTL(E242,F242,11)*100,1))))</f>
        <v/>
      </c>
      <c r="P242" s="36" t="str">
        <f aca="false">IF(OR(NOT(AND(ISNUMBER(E242),ISNUMBER(F242))),$J$2=""),"",IF(Reprogramaciones!T$9&lt;E242,0,IF(NETWORKDAYS.INTL(E242,F242,11)=0,IF(Reprogramaciones!T$9&gt;=F242,100,0),ROUND(NETWORKDAYS.INTL(E242,MIN(F242,Reprogramaciones!T$9),11)/NETWORKDAYS.INTL(E242,F242,11)*100,1)))-IF(Reprogramaciones!S$9&lt;E242,0,IF(NETWORKDAYS.INTL(E242,F242,11)=0,IF(Reprogramaciones!S$9&gt;=F242,100,0),ROUND(NETWORKDAYS.INTL(E242,MIN(F242,Reprogramaciones!S$9),11)/NETWORKDAYS.INTL(E242,F242,11)*100,1))))</f>
        <v/>
      </c>
      <c r="Q242" s="37"/>
      <c r="R242" s="37"/>
      <c r="S242" s="37"/>
      <c r="T242" s="37"/>
      <c r="U242" s="37"/>
      <c r="V242" s="37"/>
      <c r="W242" s="37"/>
      <c r="X242" s="37"/>
      <c r="Y242" s="37"/>
      <c r="Z242" s="37"/>
      <c r="AA242" s="37"/>
      <c r="AB242" s="37"/>
      <c r="AC242" s="37"/>
      <c r="AD242" s="37"/>
      <c r="AE242" s="37"/>
      <c r="AF242" s="37"/>
      <c r="AG242" s="38" t="str">
        <f aca="false">IF(AND(ISNUMBER(E242),ISNUMBER(F242)),NETWORKDAYS.INTL(E242,F242,11),"")</f>
        <v/>
      </c>
      <c r="AH242" s="38" t="str">
        <f aca="false">IF(OR(NOT(AND(ISNUMBER(E242),ISNUMBER(F242))),$J$2=""),"",IF(Reprogramaciones!$P$15&lt;Reprogramaciones!$T$15,0,IF(Reprogramaciones!$R$15&gt;10,MIN(100,SUM($G242:$P242)),MIN(100,SUMPRODUCT((COLUMN($G242:$P242)-COLUMN($G242)+1&lt;Reprogramaciones!$R$15)*$G242:$P242)+N(INDEX($G242:$P242,1,Reprogramaciones!$R$15))*IF(Reprogramaciones!$P$15&gt;=(Reprogramaciones!$T$15+7*(Reprogramaciones!$R$15-1))+6,1,IF(MAX(0,NETWORKDAYS.INTL(MAX(E242,(Reprogramaciones!$T$15+7*(Reprogramaciones!$R$15-1))),MIN(F242,(Reprogramaciones!$T$15+7*(Reprogramaciones!$R$15-1))+6),11))=0,0,MAX(0,NETWORKDAYS.INTL(MAX(E242,(Reprogramaciones!$T$15+7*(Reprogramaciones!$R$15-1))),MIN(F242,Reprogramaciones!$P$15),11))/MAX(0,NETWORKDAYS.INTL(MAX(E242,(Reprogramaciones!$T$15+7*(Reprogramaciones!$R$15-1))),MIN(F242,(Reprogramaciones!$T$15+7*(Reprogramaciones!$R$15-1))+6),11))))))))</f>
        <v/>
      </c>
      <c r="AI242" s="38" t="str">
        <f aca="false">IF(COUNT($Q242:$AF242)=0,"",IF(ROUND(SUM($Q242:$AF242),1)&gt;=99.5,100,MIN(100,ROUND(SUM($Q242:$AF242),1))))</f>
        <v/>
      </c>
      <c r="AJ242" s="38" t="str">
        <f aca="false">IF(OR(AH242="",AI242=""),"",AI242-AH242)</f>
        <v/>
      </c>
      <c r="AK242" s="39" t="str">
        <f aca="true">IF(AH242="","",IF(OR(Ficha!$C$10="Suspendida",Ficha!$C$10="Cancelada"),Ficha!$C$10,IF(AND(AI242&lt;&gt;"",N(AI242)&gt;=100),"Completada",IF(AND(E242&gt;TODAY(),N(AI242)=0),"Por iniciar",IF(N(AI242)+0.5&lt;AH242,"Retrasada",IF(N(AI242)+0.5&lt;DA242,IF(Reprogramaciones!$K$15&gt;0,"Al día · Sem "&amp;Reprogramaciones!$K$15&amp;" en curso","Al día · en curso"),"A tiempo"))))))</f>
        <v/>
      </c>
      <c r="AL242" s="39" t="str">
        <f aca="true">IF(AND(A242="",AND(B242="",C242="",E242="",F242="",COUNT(Q242:AF242)=0)),"",IF(AND(B242="",C242="",E242="",F242="",COUNT(Q242:AF242)=0),"Falta la partida o subpartida",IF(AND(A242&lt;&gt;"",COUNTIF($A$6:$A$305,A242)&gt;1),"Ítem repetido",IF(AND(C242="",E242="",F242="",COUNT(Q242:AF242)=0),"Título de partida",IF(OR(E242="",F242=""),"Faltan fechas",IF(OR(ISTEXT(E242),ISTEXT(F242)),"Fecha escrita como texto: usa dd/mm/aaaa",IF(F242&lt;E242,"Fin antes del inicio",IF(IF($J$2="",FALSE(),OR(E242&lt;$J$2,F242&gt;Reprogramaciones!$T$15+69)),"Fuera de las 10 semanas",IF(ABS(SUM(G242:P242)-100)&gt;0.5,"La meta no suma 100%",IF(ROUND(SUM(Q242:AF242),1)&gt;100.5,"El avance pasa de 100%",IF(MIN(Q242:AF242)&lt;0,"Avance negativo",IF(COUNTA(Q242:AF242)&gt;COUNT(Q242:AF242),"Avance escrito como texto",IF(SUMPRODUCT((Q242:AF242&gt;0)*(Q242:AF242&lt;1))&gt;0,"Avance menor a 1: escribe 50, no 50%",IF(SUMPRODUCT(ISNUMBER(Q242:AF242)*(Reprogramaciones!$K$8:$Z$8&gt;TODAY()))&gt;0,"Avance en semana que aún no llega",IF(AND(N(Reprogramaciones!$E$21)&gt;0,F242&gt;Reprogramaciones!$E$21),"Pasa el fin de la obra: registra una reprogramación",IF(AND(N(Reprogramaciones!$E$21)&gt;0,SUMPRODUCT(ISNUMBER(Q242:AF242)*(Reprogramaciones!$K$8:$Z$8&gt;Reprogramaciones!$E$21))&gt;0),"Avance después del fin de la obra: registra una reprogramación por atraso","OK"))))))))))))))))</f>
        <v/>
      </c>
      <c r="AM242" s="40" t="str">
        <f aca="false">IF(OR(OR(NOT(AND(ISNUMBER(E242),ISNUMBER(F242))),$J$2=""),1&gt;MAX(1,Reprogramaciones!$U$15)),"",IF(Reprogramaciones!K$12&gt;=7,"",IF(OR(BT242-N(0)&gt;0.05,N(Q242)&gt;0),ROUNDDOWN(ROUND(BT242,6),0)&amp;"%"&amp;IF(CJ242="",""," / "&amp;CJ242&amp;"%"),IF(AND(N(0)&gt;=99.95,CJ242&lt;&gt;"",N(CJ242)&lt;100),"Pend. "&amp;CJ242&amp;"%",""))))</f>
        <v/>
      </c>
      <c r="AN242" s="40" t="str">
        <f aca="false">IF(OR(OR(NOT(AND(ISNUMBER(E242),ISNUMBER(F242))),$J$2=""),2&gt;MAX(1,Reprogramaciones!$U$15)),"",IF(Reprogramaciones!L$12&gt;=7,"",IF(OR(BU242-N(BT242)&gt;0.05,N(R242)&gt;0),ROUNDDOWN(ROUND(BU242,6),0)&amp;"%"&amp;IF(CK242="",""," / "&amp;CK242&amp;"%"),IF(AND(N(BT242)&gt;=99.95,CK242&lt;&gt;"",N(CK242)&lt;100),"Pend. "&amp;CK242&amp;"%",""))))</f>
        <v/>
      </c>
      <c r="AO242" s="40" t="str">
        <f aca="false">IF(OR(OR(NOT(AND(ISNUMBER(E242),ISNUMBER(F242))),$J$2=""),3&gt;MAX(1,Reprogramaciones!$U$15)),"",IF(Reprogramaciones!M$12&gt;=7,"",IF(OR(BV242-N(BU242)&gt;0.05,N(S242)&gt;0),ROUNDDOWN(ROUND(BV242,6),0)&amp;"%"&amp;IF(CL242="",""," / "&amp;CL242&amp;"%"),IF(AND(N(BU242)&gt;=99.95,CL242&lt;&gt;"",N(CL242)&lt;100),"Pend. "&amp;CL242&amp;"%",""))))</f>
        <v/>
      </c>
      <c r="AP242" s="40" t="str">
        <f aca="false">IF(OR(OR(NOT(AND(ISNUMBER(E242),ISNUMBER(F242))),$J$2=""),4&gt;MAX(1,Reprogramaciones!$U$15)),"",IF(Reprogramaciones!N$12&gt;=7,"",IF(OR(BW242-N(BV242)&gt;0.05,N(T242)&gt;0),ROUNDDOWN(ROUND(BW242,6),0)&amp;"%"&amp;IF(CM242="",""," / "&amp;CM242&amp;"%"),IF(AND(N(BV242)&gt;=99.95,CM242&lt;&gt;"",N(CM242)&lt;100),"Pend. "&amp;CM242&amp;"%",""))))</f>
        <v/>
      </c>
      <c r="AQ242" s="40" t="str">
        <f aca="false">IF(OR(OR(NOT(AND(ISNUMBER(E242),ISNUMBER(F242))),$J$2=""),5&gt;MAX(1,Reprogramaciones!$U$15)),"",IF(Reprogramaciones!O$12&gt;=7,"",IF(OR(BX242-N(BW242)&gt;0.05,N(U242)&gt;0),ROUNDDOWN(ROUND(BX242,6),0)&amp;"%"&amp;IF(CN242="",""," / "&amp;CN242&amp;"%"),IF(AND(N(BW242)&gt;=99.95,CN242&lt;&gt;"",N(CN242)&lt;100),"Pend. "&amp;CN242&amp;"%",""))))</f>
        <v/>
      </c>
      <c r="AR242" s="40" t="str">
        <f aca="false">IF(OR(OR(NOT(AND(ISNUMBER(E242),ISNUMBER(F242))),$J$2=""),6&gt;MAX(1,Reprogramaciones!$U$15)),"",IF(Reprogramaciones!P$12&gt;=7,"",IF(OR(BY242-N(BX242)&gt;0.05,N(V242)&gt;0),ROUNDDOWN(ROUND(BY242,6),0)&amp;"%"&amp;IF(CO242="",""," / "&amp;CO242&amp;"%"),IF(AND(N(BX242)&gt;=99.95,CO242&lt;&gt;"",N(CO242)&lt;100),"Pend. "&amp;CO242&amp;"%",""))))</f>
        <v/>
      </c>
      <c r="AS242" s="40" t="str">
        <f aca="false">IF(OR(OR(NOT(AND(ISNUMBER(E242),ISNUMBER(F242))),$J$2=""),7&gt;MAX(1,Reprogramaciones!$U$15)),"",IF(Reprogramaciones!Q$12&gt;=7,"",IF(OR(BZ242-N(BY242)&gt;0.05,N(W242)&gt;0),ROUNDDOWN(ROUND(BZ242,6),0)&amp;"%"&amp;IF(CP242="",""," / "&amp;CP242&amp;"%"),IF(AND(N(BY242)&gt;=99.95,CP242&lt;&gt;"",N(CP242)&lt;100),"Pend. "&amp;CP242&amp;"%",""))))</f>
        <v/>
      </c>
      <c r="AT242" s="40" t="str">
        <f aca="false">IF(OR(OR(NOT(AND(ISNUMBER(E242),ISNUMBER(F242))),$J$2=""),8&gt;MAX(1,Reprogramaciones!$U$15)),"",IF(Reprogramaciones!R$12&gt;=7,"",IF(OR(CA242-N(BZ242)&gt;0.05,N(X242)&gt;0),ROUNDDOWN(ROUND(CA242,6),0)&amp;"%"&amp;IF(CQ242="",""," / "&amp;CQ242&amp;"%"),IF(AND(N(BZ242)&gt;=99.95,CQ242&lt;&gt;"",N(CQ242)&lt;100),"Pend. "&amp;CQ242&amp;"%",""))))</f>
        <v/>
      </c>
      <c r="AU242" s="40" t="str">
        <f aca="false">IF(OR(OR(NOT(AND(ISNUMBER(E242),ISNUMBER(F242))),$J$2=""),9&gt;MAX(1,Reprogramaciones!$U$15)),"",IF(Reprogramaciones!S$12&gt;=7,"",IF(OR(CB242-N(CA242)&gt;0.05,N(Y242)&gt;0),ROUNDDOWN(ROUND(CB242,6),0)&amp;"%"&amp;IF(CR242="",""," / "&amp;CR242&amp;"%"),IF(AND(N(CA242)&gt;=99.95,CR242&lt;&gt;"",N(CR242)&lt;100),"Pend. "&amp;CR242&amp;"%",""))))</f>
        <v/>
      </c>
      <c r="AV242" s="40" t="str">
        <f aca="false">IF(OR(OR(NOT(AND(ISNUMBER(E242),ISNUMBER(F242))),$J$2=""),10&gt;MAX(1,Reprogramaciones!$U$15)),"",IF(Reprogramaciones!T$12&gt;=7,"",IF(OR(CC242-N(CB242)&gt;0.05,N(Z242)&gt;0),ROUNDDOWN(ROUND(CC242,6),0)&amp;"%"&amp;IF(CS242="",""," / "&amp;CS242&amp;"%"),IF(AND(N(CB242)&gt;=99.95,CS242&lt;&gt;"",N(CS242)&lt;100),"Pend. "&amp;CS242&amp;"%",""))))</f>
        <v/>
      </c>
      <c r="AW242" s="40" t="str">
        <f aca="false">IF(OR(OR(NOT(AND(ISNUMBER(E242),ISNUMBER(F242))),$J$2=""),11&gt;MAX(1,Reprogramaciones!$U$15)),"",IF(Reprogramaciones!U$12&gt;=7,"",IF(OR(CD242-N(CC242)&gt;0.05,N(AA242)&gt;0),ROUNDDOWN(ROUND(CD242,6),0)&amp;"%"&amp;IF(CT242="",""," / "&amp;CT242&amp;"%"),IF(AND(N(CC242)&gt;=99.95,CT242&lt;&gt;"",N(CT242)&lt;100),"Pend. "&amp;CT242&amp;"%",""))))</f>
        <v/>
      </c>
      <c r="AX242" s="40" t="str">
        <f aca="false">IF(OR(OR(NOT(AND(ISNUMBER(E242),ISNUMBER(F242))),$J$2=""),12&gt;MAX(1,Reprogramaciones!$U$15)),"",IF(Reprogramaciones!V$12&gt;=7,"",IF(OR(CE242-N(CD242)&gt;0.05,N(AB242)&gt;0),ROUNDDOWN(ROUND(CE242,6),0)&amp;"%"&amp;IF(CU242="",""," / "&amp;CU242&amp;"%"),IF(AND(N(CD242)&gt;=99.95,CU242&lt;&gt;"",N(CU242)&lt;100),"Pend. "&amp;CU242&amp;"%",""))))</f>
        <v/>
      </c>
      <c r="AY242" s="40" t="str">
        <f aca="false">IF(OR(OR(NOT(AND(ISNUMBER(E242),ISNUMBER(F242))),$J$2=""),13&gt;MAX(1,Reprogramaciones!$U$15)),"",IF(Reprogramaciones!W$12&gt;=7,"",IF(OR(CF242-N(CE242)&gt;0.05,N(AC242)&gt;0),ROUNDDOWN(ROUND(CF242,6),0)&amp;"%"&amp;IF(CV242="",""," / "&amp;CV242&amp;"%"),IF(AND(N(CE242)&gt;=99.95,CV242&lt;&gt;"",N(CV242)&lt;100),"Pend. "&amp;CV242&amp;"%",""))))</f>
        <v/>
      </c>
      <c r="AZ242" s="40" t="str">
        <f aca="false">IF(OR(OR(NOT(AND(ISNUMBER(E242),ISNUMBER(F242))),$J$2=""),14&gt;MAX(1,Reprogramaciones!$U$15)),"",IF(Reprogramaciones!X$12&gt;=7,"",IF(OR(CG242-N(CF242)&gt;0.05,N(AD242)&gt;0),ROUNDDOWN(ROUND(CG242,6),0)&amp;"%"&amp;IF(CW242="",""," / "&amp;CW242&amp;"%"),IF(AND(N(CF242)&gt;=99.95,CW242&lt;&gt;"",N(CW242)&lt;100),"Pend. "&amp;CW242&amp;"%",""))))</f>
        <v/>
      </c>
      <c r="BA242" s="40" t="str">
        <f aca="false">IF(OR(OR(NOT(AND(ISNUMBER(E242),ISNUMBER(F242))),$J$2=""),15&gt;MAX(1,Reprogramaciones!$U$15)),"",IF(Reprogramaciones!Y$12&gt;=7,"",IF(OR(CH242-N(CG242)&gt;0.05,N(AE242)&gt;0),ROUNDDOWN(ROUND(CH242,6),0)&amp;"%"&amp;IF(CX242="",""," / "&amp;CX242&amp;"%"),IF(AND(N(CG242)&gt;=99.95,CX242&lt;&gt;"",N(CX242)&lt;100),"Pend. "&amp;CX242&amp;"%",""))))</f>
        <v/>
      </c>
      <c r="BB242" s="40" t="str">
        <f aca="false">IF(OR(OR(NOT(AND(ISNUMBER(E242),ISNUMBER(F242))),$J$2=""),16&gt;MAX(1,Reprogramaciones!$U$15)),"",IF(Reprogramaciones!Z$12&gt;=7,"",IF(OR(CI242-N(CH242)&gt;0.05,N(AF242)&gt;0),ROUNDDOWN(ROUND(CI242,6),0)&amp;"%"&amp;IF(CY242="",""," / "&amp;CY242&amp;"%"),IF(AND(N(CH242)&gt;=99.95,CY242&lt;&gt;"",N(CY242)&lt;100),"Pend. "&amp;CY242&amp;"%",""))))</f>
        <v/>
      </c>
      <c r="BC242" s="31" t="n">
        <f aca="false">IF(AND(ISNUMBER(E242),ISNUMBER(F242)),MAX(1,NETWORKDAYS.INTL(E242,F242,11)),0)</f>
        <v>0</v>
      </c>
      <c r="BD242" s="1" t="str">
        <f aca="false">IF(OR(NOT(AND(ISNUMBER(E242),ISNUMBER(F242))),$J$2=""),"",MIN(100,ROUND(SUM($G242:G242),1)))</f>
        <v/>
      </c>
      <c r="BE242" s="1" t="str">
        <f aca="false">IF(OR(NOT(AND(ISNUMBER(E242),ISNUMBER(F242))),$J$2=""),"",MIN(100,ROUND(SUM($G242:H242),1)))</f>
        <v/>
      </c>
      <c r="BF242" s="1" t="str">
        <f aca="false">IF(OR(NOT(AND(ISNUMBER(E242),ISNUMBER(F242))),$J$2=""),"",MIN(100,ROUND(SUM($G242:I242),1)))</f>
        <v/>
      </c>
      <c r="BG242" s="1" t="str">
        <f aca="false">IF(OR(NOT(AND(ISNUMBER(E242),ISNUMBER(F242))),$J$2=""),"",MIN(100,ROUND(SUM($G242:J242),1)))</f>
        <v/>
      </c>
      <c r="BH242" s="1" t="str">
        <f aca="false">IF(OR(NOT(AND(ISNUMBER(E242),ISNUMBER(F242))),$J$2=""),"",MIN(100,ROUND(SUM($G242:K242),1)))</f>
        <v/>
      </c>
      <c r="BI242" s="1" t="str">
        <f aca="false">IF(OR(NOT(AND(ISNUMBER(E242),ISNUMBER(F242))),$J$2=""),"",MIN(100,ROUND(SUM($G242:L242),1)))</f>
        <v/>
      </c>
      <c r="BJ242" s="1" t="str">
        <f aca="false">IF(OR(NOT(AND(ISNUMBER(E242),ISNUMBER(F242))),$J$2=""),"",MIN(100,ROUND(SUM($G242:M242),1)))</f>
        <v/>
      </c>
      <c r="BK242" s="1" t="str">
        <f aca="false">IF(OR(NOT(AND(ISNUMBER(E242),ISNUMBER(F242))),$J$2=""),"",MIN(100,ROUND(SUM($G242:N242),1)))</f>
        <v/>
      </c>
      <c r="BL242" s="1" t="str">
        <f aca="false">IF(OR(NOT(AND(ISNUMBER(E242),ISNUMBER(F242))),$J$2=""),"",MIN(100,ROUND(SUM($G242:O242),1)))</f>
        <v/>
      </c>
      <c r="BM242" s="1" t="str">
        <f aca="false">IF(OR(NOT(AND(ISNUMBER(E242),ISNUMBER(F242))),$J$2=""),"",MIN(100,ROUND(SUM($G242:P242),1)))</f>
        <v/>
      </c>
      <c r="BN242" s="1" t="str">
        <f aca="false">IF(OR(NOT(AND(ISNUMBER(E242),ISNUMBER(F242))),$J$2=""),"",MIN(100,ROUND(SUM($G242:P242),1)))</f>
        <v/>
      </c>
      <c r="BO242" s="1" t="str">
        <f aca="false">IF(OR(NOT(AND(ISNUMBER(E242),ISNUMBER(F242))),$J$2=""),"",MIN(100,ROUND(SUM($G242:P242),1)))</f>
        <v/>
      </c>
      <c r="BP242" s="1" t="str">
        <f aca="false">IF(OR(NOT(AND(ISNUMBER(E242),ISNUMBER(F242))),$J$2=""),"",MIN(100,ROUND(SUM($G242:P242),1)))</f>
        <v/>
      </c>
      <c r="BQ242" s="1" t="str">
        <f aca="false">IF(OR(NOT(AND(ISNUMBER(E242),ISNUMBER(F242))),$J$2=""),"",MIN(100,ROUND(SUM($G242:P242),1)))</f>
        <v/>
      </c>
      <c r="BR242" s="1" t="str">
        <f aca="false">IF(OR(NOT(AND(ISNUMBER(E242),ISNUMBER(F242))),$J$2=""),"",MIN(100,ROUND(SUM($G242:P242),1)))</f>
        <v/>
      </c>
      <c r="BS242" s="1" t="str">
        <f aca="false">IF(OR(NOT(AND(ISNUMBER(E242),ISNUMBER(F242))),$J$2=""),"",MIN(100,ROUND(SUM($G242:P242),1)))</f>
        <v/>
      </c>
      <c r="BT242" s="1" t="str">
        <f aca="false">IF(OR(NOT(AND(ISNUMBER(E242),ISNUMBER(F242))),$J$2=""),"",IF(Reprogramaciones!K$13&lt;Reprogramaciones!$T$15,0,IF(Reprogramaciones!K$14&gt;10,MIN(100,SUM($G242:$P242)),MIN(100,SUMPRODUCT((COLUMN($G242:$P242)-COLUMN($G242)+1&lt;Reprogramaciones!K$14)*$G242:$P242)+N(INDEX($G242:$P242,1,Reprogramaciones!K$14))*IF(Reprogramaciones!K$13&gt;=(Reprogramaciones!$T$15+7*(Reprogramaciones!K$14-1))+6,1,IF(MAX(0,NETWORKDAYS.INTL(MAX(E242,(Reprogramaciones!$T$15+7*(Reprogramaciones!K$14-1))),MIN(F242,(Reprogramaciones!$T$15+7*(Reprogramaciones!K$14-1))+6),11))=0,0,MAX(0,NETWORKDAYS.INTL(MAX(E242,(Reprogramaciones!$T$15+7*(Reprogramaciones!K$14-1))),MIN(F242,Reprogramaciones!K$13),11))/MAX(0,NETWORKDAYS.INTL(MAX(E242,(Reprogramaciones!$T$15+7*(Reprogramaciones!K$14-1))),MIN(F242,(Reprogramaciones!$T$15+7*(Reprogramaciones!K$14-1))+6),11))))))))</f>
        <v/>
      </c>
      <c r="BU242" s="1" t="str">
        <f aca="false">IF(OR(NOT(AND(ISNUMBER(E242),ISNUMBER(F242))),$J$2=""),"",IF(Reprogramaciones!L$13&lt;Reprogramaciones!$T$15,0,IF(Reprogramaciones!L$14&gt;10,MIN(100,SUM($G242:$P242)),MIN(100,SUMPRODUCT((COLUMN($G242:$P242)-COLUMN($G242)+1&lt;Reprogramaciones!L$14)*$G242:$P242)+N(INDEX($G242:$P242,1,Reprogramaciones!L$14))*IF(Reprogramaciones!L$13&gt;=(Reprogramaciones!$T$15+7*(Reprogramaciones!L$14-1))+6,1,IF(MAX(0,NETWORKDAYS.INTL(MAX(E242,(Reprogramaciones!$T$15+7*(Reprogramaciones!L$14-1))),MIN(F242,(Reprogramaciones!$T$15+7*(Reprogramaciones!L$14-1))+6),11))=0,0,MAX(0,NETWORKDAYS.INTL(MAX(E242,(Reprogramaciones!$T$15+7*(Reprogramaciones!L$14-1))),MIN(F242,Reprogramaciones!L$13),11))/MAX(0,NETWORKDAYS.INTL(MAX(E242,(Reprogramaciones!$T$15+7*(Reprogramaciones!L$14-1))),MIN(F242,(Reprogramaciones!$T$15+7*(Reprogramaciones!L$14-1))+6),11))))))))</f>
        <v/>
      </c>
      <c r="BV242" s="1" t="str">
        <f aca="false">IF(OR(NOT(AND(ISNUMBER(E242),ISNUMBER(F242))),$J$2=""),"",IF(Reprogramaciones!M$13&lt;Reprogramaciones!$T$15,0,IF(Reprogramaciones!M$14&gt;10,MIN(100,SUM($G242:$P242)),MIN(100,SUMPRODUCT((COLUMN($G242:$P242)-COLUMN($G242)+1&lt;Reprogramaciones!M$14)*$G242:$P242)+N(INDEX($G242:$P242,1,Reprogramaciones!M$14))*IF(Reprogramaciones!M$13&gt;=(Reprogramaciones!$T$15+7*(Reprogramaciones!M$14-1))+6,1,IF(MAX(0,NETWORKDAYS.INTL(MAX(E242,(Reprogramaciones!$T$15+7*(Reprogramaciones!M$14-1))),MIN(F242,(Reprogramaciones!$T$15+7*(Reprogramaciones!M$14-1))+6),11))=0,0,MAX(0,NETWORKDAYS.INTL(MAX(E242,(Reprogramaciones!$T$15+7*(Reprogramaciones!M$14-1))),MIN(F242,Reprogramaciones!M$13),11))/MAX(0,NETWORKDAYS.INTL(MAX(E242,(Reprogramaciones!$T$15+7*(Reprogramaciones!M$14-1))),MIN(F242,(Reprogramaciones!$T$15+7*(Reprogramaciones!M$14-1))+6),11))))))))</f>
        <v/>
      </c>
      <c r="BW242" s="1" t="str">
        <f aca="false">IF(OR(NOT(AND(ISNUMBER(E242),ISNUMBER(F242))),$J$2=""),"",IF(Reprogramaciones!N$13&lt;Reprogramaciones!$T$15,0,IF(Reprogramaciones!N$14&gt;10,MIN(100,SUM($G242:$P242)),MIN(100,SUMPRODUCT((COLUMN($G242:$P242)-COLUMN($G242)+1&lt;Reprogramaciones!N$14)*$G242:$P242)+N(INDEX($G242:$P242,1,Reprogramaciones!N$14))*IF(Reprogramaciones!N$13&gt;=(Reprogramaciones!$T$15+7*(Reprogramaciones!N$14-1))+6,1,IF(MAX(0,NETWORKDAYS.INTL(MAX(E242,(Reprogramaciones!$T$15+7*(Reprogramaciones!N$14-1))),MIN(F242,(Reprogramaciones!$T$15+7*(Reprogramaciones!N$14-1))+6),11))=0,0,MAX(0,NETWORKDAYS.INTL(MAX(E242,(Reprogramaciones!$T$15+7*(Reprogramaciones!N$14-1))),MIN(F242,Reprogramaciones!N$13),11))/MAX(0,NETWORKDAYS.INTL(MAX(E242,(Reprogramaciones!$T$15+7*(Reprogramaciones!N$14-1))),MIN(F242,(Reprogramaciones!$T$15+7*(Reprogramaciones!N$14-1))+6),11))))))))</f>
        <v/>
      </c>
      <c r="BX242" s="1" t="str">
        <f aca="false">IF(OR(NOT(AND(ISNUMBER(E242),ISNUMBER(F242))),$J$2=""),"",IF(Reprogramaciones!O$13&lt;Reprogramaciones!$T$15,0,IF(Reprogramaciones!O$14&gt;10,MIN(100,SUM($G242:$P242)),MIN(100,SUMPRODUCT((COLUMN($G242:$P242)-COLUMN($G242)+1&lt;Reprogramaciones!O$14)*$G242:$P242)+N(INDEX($G242:$P242,1,Reprogramaciones!O$14))*IF(Reprogramaciones!O$13&gt;=(Reprogramaciones!$T$15+7*(Reprogramaciones!O$14-1))+6,1,IF(MAX(0,NETWORKDAYS.INTL(MAX(E242,(Reprogramaciones!$T$15+7*(Reprogramaciones!O$14-1))),MIN(F242,(Reprogramaciones!$T$15+7*(Reprogramaciones!O$14-1))+6),11))=0,0,MAX(0,NETWORKDAYS.INTL(MAX(E242,(Reprogramaciones!$T$15+7*(Reprogramaciones!O$14-1))),MIN(F242,Reprogramaciones!O$13),11))/MAX(0,NETWORKDAYS.INTL(MAX(E242,(Reprogramaciones!$T$15+7*(Reprogramaciones!O$14-1))),MIN(F242,(Reprogramaciones!$T$15+7*(Reprogramaciones!O$14-1))+6),11))))))))</f>
        <v/>
      </c>
      <c r="BY242" s="1" t="str">
        <f aca="false">IF(OR(NOT(AND(ISNUMBER(E242),ISNUMBER(F242))),$J$2=""),"",IF(Reprogramaciones!P$13&lt;Reprogramaciones!$T$15,0,IF(Reprogramaciones!P$14&gt;10,MIN(100,SUM($G242:$P242)),MIN(100,SUMPRODUCT((COLUMN($G242:$P242)-COLUMN($G242)+1&lt;Reprogramaciones!P$14)*$G242:$P242)+N(INDEX($G242:$P242,1,Reprogramaciones!P$14))*IF(Reprogramaciones!P$13&gt;=(Reprogramaciones!$T$15+7*(Reprogramaciones!P$14-1))+6,1,IF(MAX(0,NETWORKDAYS.INTL(MAX(E242,(Reprogramaciones!$T$15+7*(Reprogramaciones!P$14-1))),MIN(F242,(Reprogramaciones!$T$15+7*(Reprogramaciones!P$14-1))+6),11))=0,0,MAX(0,NETWORKDAYS.INTL(MAX(E242,(Reprogramaciones!$T$15+7*(Reprogramaciones!P$14-1))),MIN(F242,Reprogramaciones!P$13),11))/MAX(0,NETWORKDAYS.INTL(MAX(E242,(Reprogramaciones!$T$15+7*(Reprogramaciones!P$14-1))),MIN(F242,(Reprogramaciones!$T$15+7*(Reprogramaciones!P$14-1))+6),11))))))))</f>
        <v/>
      </c>
      <c r="BZ242" s="1" t="str">
        <f aca="false">IF(OR(NOT(AND(ISNUMBER(E242),ISNUMBER(F242))),$J$2=""),"",IF(Reprogramaciones!Q$13&lt;Reprogramaciones!$T$15,0,IF(Reprogramaciones!Q$14&gt;10,MIN(100,SUM($G242:$P242)),MIN(100,SUMPRODUCT((COLUMN($G242:$P242)-COLUMN($G242)+1&lt;Reprogramaciones!Q$14)*$G242:$P242)+N(INDEX($G242:$P242,1,Reprogramaciones!Q$14))*IF(Reprogramaciones!Q$13&gt;=(Reprogramaciones!$T$15+7*(Reprogramaciones!Q$14-1))+6,1,IF(MAX(0,NETWORKDAYS.INTL(MAX(E242,(Reprogramaciones!$T$15+7*(Reprogramaciones!Q$14-1))),MIN(F242,(Reprogramaciones!$T$15+7*(Reprogramaciones!Q$14-1))+6),11))=0,0,MAX(0,NETWORKDAYS.INTL(MAX(E242,(Reprogramaciones!$T$15+7*(Reprogramaciones!Q$14-1))),MIN(F242,Reprogramaciones!Q$13),11))/MAX(0,NETWORKDAYS.INTL(MAX(E242,(Reprogramaciones!$T$15+7*(Reprogramaciones!Q$14-1))),MIN(F242,(Reprogramaciones!$T$15+7*(Reprogramaciones!Q$14-1))+6),11))))))))</f>
        <v/>
      </c>
      <c r="CA242" s="1" t="str">
        <f aca="false">IF(OR(NOT(AND(ISNUMBER(E242),ISNUMBER(F242))),$J$2=""),"",IF(Reprogramaciones!R$13&lt;Reprogramaciones!$T$15,0,IF(Reprogramaciones!R$14&gt;10,MIN(100,SUM($G242:$P242)),MIN(100,SUMPRODUCT((COLUMN($G242:$P242)-COLUMN($G242)+1&lt;Reprogramaciones!R$14)*$G242:$P242)+N(INDEX($G242:$P242,1,Reprogramaciones!R$14))*IF(Reprogramaciones!R$13&gt;=(Reprogramaciones!$T$15+7*(Reprogramaciones!R$14-1))+6,1,IF(MAX(0,NETWORKDAYS.INTL(MAX(E242,(Reprogramaciones!$T$15+7*(Reprogramaciones!R$14-1))),MIN(F242,(Reprogramaciones!$T$15+7*(Reprogramaciones!R$14-1))+6),11))=0,0,MAX(0,NETWORKDAYS.INTL(MAX(E242,(Reprogramaciones!$T$15+7*(Reprogramaciones!R$14-1))),MIN(F242,Reprogramaciones!R$13),11))/MAX(0,NETWORKDAYS.INTL(MAX(E242,(Reprogramaciones!$T$15+7*(Reprogramaciones!R$14-1))),MIN(F242,(Reprogramaciones!$T$15+7*(Reprogramaciones!R$14-1))+6),11))))))))</f>
        <v/>
      </c>
      <c r="CB242" s="1" t="str">
        <f aca="false">IF(OR(NOT(AND(ISNUMBER(E242),ISNUMBER(F242))),$J$2=""),"",IF(Reprogramaciones!S$13&lt;Reprogramaciones!$T$15,0,IF(Reprogramaciones!S$14&gt;10,MIN(100,SUM($G242:$P242)),MIN(100,SUMPRODUCT((COLUMN($G242:$P242)-COLUMN($G242)+1&lt;Reprogramaciones!S$14)*$G242:$P242)+N(INDEX($G242:$P242,1,Reprogramaciones!S$14))*IF(Reprogramaciones!S$13&gt;=(Reprogramaciones!$T$15+7*(Reprogramaciones!S$14-1))+6,1,IF(MAX(0,NETWORKDAYS.INTL(MAX(E242,(Reprogramaciones!$T$15+7*(Reprogramaciones!S$14-1))),MIN(F242,(Reprogramaciones!$T$15+7*(Reprogramaciones!S$14-1))+6),11))=0,0,MAX(0,NETWORKDAYS.INTL(MAX(E242,(Reprogramaciones!$T$15+7*(Reprogramaciones!S$14-1))),MIN(F242,Reprogramaciones!S$13),11))/MAX(0,NETWORKDAYS.INTL(MAX(E242,(Reprogramaciones!$T$15+7*(Reprogramaciones!S$14-1))),MIN(F242,(Reprogramaciones!$T$15+7*(Reprogramaciones!S$14-1))+6),11))))))))</f>
        <v/>
      </c>
      <c r="CC242" s="1" t="str">
        <f aca="false">IF(OR(NOT(AND(ISNUMBER(E242),ISNUMBER(F242))),$J$2=""),"",IF(Reprogramaciones!T$13&lt;Reprogramaciones!$T$15,0,IF(Reprogramaciones!T$14&gt;10,MIN(100,SUM($G242:$P242)),MIN(100,SUMPRODUCT((COLUMN($G242:$P242)-COLUMN($G242)+1&lt;Reprogramaciones!T$14)*$G242:$P242)+N(INDEX($G242:$P242,1,Reprogramaciones!T$14))*IF(Reprogramaciones!T$13&gt;=(Reprogramaciones!$T$15+7*(Reprogramaciones!T$14-1))+6,1,IF(MAX(0,NETWORKDAYS.INTL(MAX(E242,(Reprogramaciones!$T$15+7*(Reprogramaciones!T$14-1))),MIN(F242,(Reprogramaciones!$T$15+7*(Reprogramaciones!T$14-1))+6),11))=0,0,MAX(0,NETWORKDAYS.INTL(MAX(E242,(Reprogramaciones!$T$15+7*(Reprogramaciones!T$14-1))),MIN(F242,Reprogramaciones!T$13),11))/MAX(0,NETWORKDAYS.INTL(MAX(E242,(Reprogramaciones!$T$15+7*(Reprogramaciones!T$14-1))),MIN(F242,(Reprogramaciones!$T$15+7*(Reprogramaciones!T$14-1))+6),11))))))))</f>
        <v/>
      </c>
      <c r="CD242" s="1" t="str">
        <f aca="false">IF(OR(NOT(AND(ISNUMBER(E242),ISNUMBER(F242))),$J$2=""),"",IF(Reprogramaciones!U$13&lt;Reprogramaciones!$T$15,0,IF(Reprogramaciones!U$14&gt;10,MIN(100,SUM($G242:$P242)),MIN(100,SUMPRODUCT((COLUMN($G242:$P242)-COLUMN($G242)+1&lt;Reprogramaciones!U$14)*$G242:$P242)+N(INDEX($G242:$P242,1,Reprogramaciones!U$14))*IF(Reprogramaciones!U$13&gt;=(Reprogramaciones!$T$15+7*(Reprogramaciones!U$14-1))+6,1,IF(MAX(0,NETWORKDAYS.INTL(MAX(E242,(Reprogramaciones!$T$15+7*(Reprogramaciones!U$14-1))),MIN(F242,(Reprogramaciones!$T$15+7*(Reprogramaciones!U$14-1))+6),11))=0,0,MAX(0,NETWORKDAYS.INTL(MAX(E242,(Reprogramaciones!$T$15+7*(Reprogramaciones!U$14-1))),MIN(F242,Reprogramaciones!U$13),11))/MAX(0,NETWORKDAYS.INTL(MAX(E242,(Reprogramaciones!$T$15+7*(Reprogramaciones!U$14-1))),MIN(F242,(Reprogramaciones!$T$15+7*(Reprogramaciones!U$14-1))+6),11))))))))</f>
        <v/>
      </c>
      <c r="CE242" s="1" t="str">
        <f aca="false">IF(OR(NOT(AND(ISNUMBER(E242),ISNUMBER(F242))),$J$2=""),"",IF(Reprogramaciones!V$13&lt;Reprogramaciones!$T$15,0,IF(Reprogramaciones!V$14&gt;10,MIN(100,SUM($G242:$P242)),MIN(100,SUMPRODUCT((COLUMN($G242:$P242)-COLUMN($G242)+1&lt;Reprogramaciones!V$14)*$G242:$P242)+N(INDEX($G242:$P242,1,Reprogramaciones!V$14))*IF(Reprogramaciones!V$13&gt;=(Reprogramaciones!$T$15+7*(Reprogramaciones!V$14-1))+6,1,IF(MAX(0,NETWORKDAYS.INTL(MAX(E242,(Reprogramaciones!$T$15+7*(Reprogramaciones!V$14-1))),MIN(F242,(Reprogramaciones!$T$15+7*(Reprogramaciones!V$14-1))+6),11))=0,0,MAX(0,NETWORKDAYS.INTL(MAX(E242,(Reprogramaciones!$T$15+7*(Reprogramaciones!V$14-1))),MIN(F242,Reprogramaciones!V$13),11))/MAX(0,NETWORKDAYS.INTL(MAX(E242,(Reprogramaciones!$T$15+7*(Reprogramaciones!V$14-1))),MIN(F242,(Reprogramaciones!$T$15+7*(Reprogramaciones!V$14-1))+6),11))))))))</f>
        <v/>
      </c>
      <c r="CF242" s="1" t="str">
        <f aca="false">IF(OR(NOT(AND(ISNUMBER(E242),ISNUMBER(F242))),$J$2=""),"",IF(Reprogramaciones!W$13&lt;Reprogramaciones!$T$15,0,IF(Reprogramaciones!W$14&gt;10,MIN(100,SUM($G242:$P242)),MIN(100,SUMPRODUCT((COLUMN($G242:$P242)-COLUMN($G242)+1&lt;Reprogramaciones!W$14)*$G242:$P242)+N(INDEX($G242:$P242,1,Reprogramaciones!W$14))*IF(Reprogramaciones!W$13&gt;=(Reprogramaciones!$T$15+7*(Reprogramaciones!W$14-1))+6,1,IF(MAX(0,NETWORKDAYS.INTL(MAX(E242,(Reprogramaciones!$T$15+7*(Reprogramaciones!W$14-1))),MIN(F242,(Reprogramaciones!$T$15+7*(Reprogramaciones!W$14-1))+6),11))=0,0,MAX(0,NETWORKDAYS.INTL(MAX(E242,(Reprogramaciones!$T$15+7*(Reprogramaciones!W$14-1))),MIN(F242,Reprogramaciones!W$13),11))/MAX(0,NETWORKDAYS.INTL(MAX(E242,(Reprogramaciones!$T$15+7*(Reprogramaciones!W$14-1))),MIN(F242,(Reprogramaciones!$T$15+7*(Reprogramaciones!W$14-1))+6),11))))))))</f>
        <v/>
      </c>
      <c r="CG242" s="1" t="str">
        <f aca="false">IF(OR(NOT(AND(ISNUMBER(E242),ISNUMBER(F242))),$J$2=""),"",IF(Reprogramaciones!X$13&lt;Reprogramaciones!$T$15,0,IF(Reprogramaciones!X$14&gt;10,MIN(100,SUM($G242:$P242)),MIN(100,SUMPRODUCT((COLUMN($G242:$P242)-COLUMN($G242)+1&lt;Reprogramaciones!X$14)*$G242:$P242)+N(INDEX($G242:$P242,1,Reprogramaciones!X$14))*IF(Reprogramaciones!X$13&gt;=(Reprogramaciones!$T$15+7*(Reprogramaciones!X$14-1))+6,1,IF(MAX(0,NETWORKDAYS.INTL(MAX(E242,(Reprogramaciones!$T$15+7*(Reprogramaciones!X$14-1))),MIN(F242,(Reprogramaciones!$T$15+7*(Reprogramaciones!X$14-1))+6),11))=0,0,MAX(0,NETWORKDAYS.INTL(MAX(E242,(Reprogramaciones!$T$15+7*(Reprogramaciones!X$14-1))),MIN(F242,Reprogramaciones!X$13),11))/MAX(0,NETWORKDAYS.INTL(MAX(E242,(Reprogramaciones!$T$15+7*(Reprogramaciones!X$14-1))),MIN(F242,(Reprogramaciones!$T$15+7*(Reprogramaciones!X$14-1))+6),11))))))))</f>
        <v/>
      </c>
      <c r="CH242" s="1" t="str">
        <f aca="false">IF(OR(NOT(AND(ISNUMBER(E242),ISNUMBER(F242))),$J$2=""),"",IF(Reprogramaciones!Y$13&lt;Reprogramaciones!$T$15,0,IF(Reprogramaciones!Y$14&gt;10,MIN(100,SUM($G242:$P242)),MIN(100,SUMPRODUCT((COLUMN($G242:$P242)-COLUMN($G242)+1&lt;Reprogramaciones!Y$14)*$G242:$P242)+N(INDEX($G242:$P242,1,Reprogramaciones!Y$14))*IF(Reprogramaciones!Y$13&gt;=(Reprogramaciones!$T$15+7*(Reprogramaciones!Y$14-1))+6,1,IF(MAX(0,NETWORKDAYS.INTL(MAX(E242,(Reprogramaciones!$T$15+7*(Reprogramaciones!Y$14-1))),MIN(F242,(Reprogramaciones!$T$15+7*(Reprogramaciones!Y$14-1))+6),11))=0,0,MAX(0,NETWORKDAYS.INTL(MAX(E242,(Reprogramaciones!$T$15+7*(Reprogramaciones!Y$14-1))),MIN(F242,Reprogramaciones!Y$13),11))/MAX(0,NETWORKDAYS.INTL(MAX(E242,(Reprogramaciones!$T$15+7*(Reprogramaciones!Y$14-1))),MIN(F242,(Reprogramaciones!$T$15+7*(Reprogramaciones!Y$14-1))+6),11))))))))</f>
        <v/>
      </c>
      <c r="CI242" s="1" t="str">
        <f aca="false">IF(OR(NOT(AND(ISNUMBER(E242),ISNUMBER(F242))),$J$2=""),"",IF(Reprogramaciones!Z$13&lt;Reprogramaciones!$T$15,0,IF(Reprogramaciones!Z$14&gt;10,MIN(100,SUM($G242:$P242)),MIN(100,SUMPRODUCT((COLUMN($G242:$P242)-COLUMN($G242)+1&lt;Reprogramaciones!Z$14)*$G242:$P242)+N(INDEX($G242:$P242,1,Reprogramaciones!Z$14))*IF(Reprogramaciones!Z$13&gt;=(Reprogramaciones!$T$15+7*(Reprogramaciones!Z$14-1))+6,1,IF(MAX(0,NETWORKDAYS.INTL(MAX(E242,(Reprogramaciones!$T$15+7*(Reprogramaciones!Z$14-1))),MIN(F242,(Reprogramaciones!$T$15+7*(Reprogramaciones!Z$14-1))+6),11))=0,0,MAX(0,NETWORKDAYS.INTL(MAX(E242,(Reprogramaciones!$T$15+7*(Reprogramaciones!Z$14-1))),MIN(F242,Reprogramaciones!Z$13),11))/MAX(0,NETWORKDAYS.INTL(MAX(E242,(Reprogramaciones!$T$15+7*(Reprogramaciones!Z$14-1))),MIN(F242,(Reprogramaciones!$T$15+7*(Reprogramaciones!Z$14-1))+6),11))))))))</f>
        <v/>
      </c>
      <c r="CJ242" s="1" t="str">
        <f aca="false">IF(OR(OR(NOT(AND(ISNUMBER(E242),ISNUMBER(F242))),$J$2=""),1&gt;Reprogramaciones!$K$16),"",IF(ROUND(SUM($Q242:Q242),1)&gt;=99.5,100,MIN(100,ROUND(SUM($Q242:Q242),1))))</f>
        <v/>
      </c>
      <c r="CK242" s="1" t="str">
        <f aca="false">IF(OR(OR(NOT(AND(ISNUMBER(E242),ISNUMBER(F242))),$J$2=""),2&gt;Reprogramaciones!$K$16),"",IF(ROUND(SUM($Q242:R242),1)&gt;=99.5,100,MIN(100,ROUND(SUM($Q242:R242),1))))</f>
        <v/>
      </c>
      <c r="CL242" s="1" t="str">
        <f aca="false">IF(OR(OR(NOT(AND(ISNUMBER(E242),ISNUMBER(F242))),$J$2=""),3&gt;Reprogramaciones!$K$16),"",IF(ROUND(SUM($Q242:S242),1)&gt;=99.5,100,MIN(100,ROUND(SUM($Q242:S242),1))))</f>
        <v/>
      </c>
      <c r="CM242" s="1" t="str">
        <f aca="false">IF(OR(OR(NOT(AND(ISNUMBER(E242),ISNUMBER(F242))),$J$2=""),4&gt;Reprogramaciones!$K$16),"",IF(ROUND(SUM($Q242:T242),1)&gt;=99.5,100,MIN(100,ROUND(SUM($Q242:T242),1))))</f>
        <v/>
      </c>
      <c r="CN242" s="1" t="str">
        <f aca="false">IF(OR(OR(NOT(AND(ISNUMBER(E242),ISNUMBER(F242))),$J$2=""),5&gt;Reprogramaciones!$K$16),"",IF(ROUND(SUM($Q242:U242),1)&gt;=99.5,100,MIN(100,ROUND(SUM($Q242:U242),1))))</f>
        <v/>
      </c>
      <c r="CO242" s="1" t="str">
        <f aca="false">IF(OR(OR(NOT(AND(ISNUMBER(E242),ISNUMBER(F242))),$J$2=""),6&gt;Reprogramaciones!$K$16),"",IF(ROUND(SUM($Q242:V242),1)&gt;=99.5,100,MIN(100,ROUND(SUM($Q242:V242),1))))</f>
        <v/>
      </c>
      <c r="CP242" s="1" t="str">
        <f aca="false">IF(OR(OR(NOT(AND(ISNUMBER(E242),ISNUMBER(F242))),$J$2=""),7&gt;Reprogramaciones!$K$16),"",IF(ROUND(SUM($Q242:W242),1)&gt;=99.5,100,MIN(100,ROUND(SUM($Q242:W242),1))))</f>
        <v/>
      </c>
      <c r="CQ242" s="1" t="str">
        <f aca="false">IF(OR(OR(NOT(AND(ISNUMBER(E242),ISNUMBER(F242))),$J$2=""),8&gt;Reprogramaciones!$K$16),"",IF(ROUND(SUM($Q242:X242),1)&gt;=99.5,100,MIN(100,ROUND(SUM($Q242:X242),1))))</f>
        <v/>
      </c>
      <c r="CR242" s="1" t="str">
        <f aca="false">IF(OR(OR(NOT(AND(ISNUMBER(E242),ISNUMBER(F242))),$J$2=""),9&gt;Reprogramaciones!$K$16),"",IF(ROUND(SUM($Q242:Y242),1)&gt;=99.5,100,MIN(100,ROUND(SUM($Q242:Y242),1))))</f>
        <v/>
      </c>
      <c r="CS242" s="1" t="str">
        <f aca="false">IF(OR(OR(NOT(AND(ISNUMBER(E242),ISNUMBER(F242))),$J$2=""),10&gt;Reprogramaciones!$K$16),"",IF(ROUND(SUM($Q242:Z242),1)&gt;=99.5,100,MIN(100,ROUND(SUM($Q242:Z242),1))))</f>
        <v/>
      </c>
      <c r="CT242" s="1" t="str">
        <f aca="false">IF(OR(OR(NOT(AND(ISNUMBER(E242),ISNUMBER(F242))),$J$2=""),11&gt;Reprogramaciones!$K$16),"",IF(ROUND(SUM($Q242:AA242),1)&gt;=99.5,100,MIN(100,ROUND(SUM($Q242:AA242),1))))</f>
        <v/>
      </c>
      <c r="CU242" s="1" t="str">
        <f aca="false">IF(OR(OR(NOT(AND(ISNUMBER(E242),ISNUMBER(F242))),$J$2=""),12&gt;Reprogramaciones!$K$16),"",IF(ROUND(SUM($Q242:AB242),1)&gt;=99.5,100,MIN(100,ROUND(SUM($Q242:AB242),1))))</f>
        <v/>
      </c>
      <c r="CV242" s="1" t="str">
        <f aca="false">IF(OR(OR(NOT(AND(ISNUMBER(E242),ISNUMBER(F242))),$J$2=""),13&gt;Reprogramaciones!$K$16),"",IF(ROUND(SUM($Q242:AC242),1)&gt;=99.5,100,MIN(100,ROUND(SUM($Q242:AC242),1))))</f>
        <v/>
      </c>
      <c r="CW242" s="1" t="str">
        <f aca="false">IF(OR(OR(NOT(AND(ISNUMBER(E242),ISNUMBER(F242))),$J$2=""),14&gt;Reprogramaciones!$K$16),"",IF(ROUND(SUM($Q242:AD242),1)&gt;=99.5,100,MIN(100,ROUND(SUM($Q242:AD242),1))))</f>
        <v/>
      </c>
      <c r="CX242" s="1" t="str">
        <f aca="false">IF(OR(OR(NOT(AND(ISNUMBER(E242),ISNUMBER(F242))),$J$2=""),15&gt;Reprogramaciones!$K$16),"",IF(ROUND(SUM($Q242:AE242),1)&gt;=99.5,100,MIN(100,ROUND(SUM($Q242:AE242),1))))</f>
        <v/>
      </c>
      <c r="CY242" s="1" t="str">
        <f aca="false">IF(OR(OR(NOT(AND(ISNUMBER(E242),ISNUMBER(F242))),$J$2=""),16&gt;Reprogramaciones!$K$16),"",IF(ROUND(SUM($Q242:AF242),1)&gt;=99.5,100,MIN(100,ROUND(SUM($Q242:AF242),1))))</f>
        <v/>
      </c>
      <c r="CZ242" s="1" t="str">
        <f aca="false">IF(D242&lt;&gt;"",D242,IF(B242&lt;&gt;"","Contractual",CZ241))</f>
        <v>Contractual</v>
      </c>
      <c r="DA242" s="1" t="str">
        <f aca="false">IF(OR(NOT(AND(ISNUMBER(E242),ISNUMBER(F242))),$J$2=""),"",IF(Reprogramaciones!$Q$15&lt;Reprogramaciones!$T$15,0,IF(Reprogramaciones!$S$15&gt;10,MIN(100,SUM($G242:$P242)),MIN(100,SUMPRODUCT((COLUMN($G242:$P242)-COLUMN($G242)+1&lt;Reprogramaciones!$S$15)*$G242:$P242)+N(INDEX($G242:$P242,1,Reprogramaciones!$S$15))*IF(Reprogramaciones!$Q$15&gt;=(Reprogramaciones!$T$15+7*(Reprogramaciones!$S$15-1))+6,1,IF(MAX(0,NETWORKDAYS.INTL(MAX(E242,(Reprogramaciones!$T$15+7*(Reprogramaciones!$S$15-1))),MIN(F242,(Reprogramaciones!$T$15+7*(Reprogramaciones!$S$15-1))+6),11))=0,0,MAX(0,NETWORKDAYS.INTL(MAX(E242,(Reprogramaciones!$T$15+7*(Reprogramaciones!$S$15-1))),MIN(F242,Reprogramaciones!$Q$15),11))/MAX(0,NETWORKDAYS.INTL(MAX(E242,(Reprogramaciones!$T$15+7*(Reprogramaciones!$S$15-1))),MIN(F242,(Reprogramaciones!$T$15+7*(Reprogramaciones!$S$15-1))+6),11))))))))</f>
        <v/>
      </c>
    </row>
    <row r="243" customFormat="false" ht="15" hidden="false" customHeight="false" outlineLevel="0" collapsed="false">
      <c r="A243" s="32"/>
      <c r="B243" s="33"/>
      <c r="C243" s="33"/>
      <c r="D243" s="34"/>
      <c r="E243" s="35"/>
      <c r="F243" s="35"/>
      <c r="G243" s="36" t="str">
        <f aca="false">IF(OR(NOT(AND(ISNUMBER(E243),ISNUMBER(F243))),$J$2=""),"",IF(Reprogramaciones!K$9&lt;E243,0,IF(NETWORKDAYS.INTL(E243,F243,11)=0,IF(Reprogramaciones!K$9&gt;=F243,100,0),ROUND(NETWORKDAYS.INTL(E243,MIN(F243,Reprogramaciones!K$9),11)/NETWORKDAYS.INTL(E243,F243,11)*100,1)))-0)</f>
        <v/>
      </c>
      <c r="H243" s="36" t="str">
        <f aca="false">IF(OR(NOT(AND(ISNUMBER(E243),ISNUMBER(F243))),$J$2=""),"",IF(Reprogramaciones!L$9&lt;E243,0,IF(NETWORKDAYS.INTL(E243,F243,11)=0,IF(Reprogramaciones!L$9&gt;=F243,100,0),ROUND(NETWORKDAYS.INTL(E243,MIN(F243,Reprogramaciones!L$9),11)/NETWORKDAYS.INTL(E243,F243,11)*100,1)))-IF(Reprogramaciones!K$9&lt;E243,0,IF(NETWORKDAYS.INTL(E243,F243,11)=0,IF(Reprogramaciones!K$9&gt;=F243,100,0),ROUND(NETWORKDAYS.INTL(E243,MIN(F243,Reprogramaciones!K$9),11)/NETWORKDAYS.INTL(E243,F243,11)*100,1))))</f>
        <v/>
      </c>
      <c r="I243" s="36" t="str">
        <f aca="false">IF(OR(NOT(AND(ISNUMBER(E243),ISNUMBER(F243))),$J$2=""),"",IF(Reprogramaciones!M$9&lt;E243,0,IF(NETWORKDAYS.INTL(E243,F243,11)=0,IF(Reprogramaciones!M$9&gt;=F243,100,0),ROUND(NETWORKDAYS.INTL(E243,MIN(F243,Reprogramaciones!M$9),11)/NETWORKDAYS.INTL(E243,F243,11)*100,1)))-IF(Reprogramaciones!L$9&lt;E243,0,IF(NETWORKDAYS.INTL(E243,F243,11)=0,IF(Reprogramaciones!L$9&gt;=F243,100,0),ROUND(NETWORKDAYS.INTL(E243,MIN(F243,Reprogramaciones!L$9),11)/NETWORKDAYS.INTL(E243,F243,11)*100,1))))</f>
        <v/>
      </c>
      <c r="J243" s="36" t="str">
        <f aca="false">IF(OR(NOT(AND(ISNUMBER(E243),ISNUMBER(F243))),$J$2=""),"",IF(Reprogramaciones!N$9&lt;E243,0,IF(NETWORKDAYS.INTL(E243,F243,11)=0,IF(Reprogramaciones!N$9&gt;=F243,100,0),ROUND(NETWORKDAYS.INTL(E243,MIN(F243,Reprogramaciones!N$9),11)/NETWORKDAYS.INTL(E243,F243,11)*100,1)))-IF(Reprogramaciones!M$9&lt;E243,0,IF(NETWORKDAYS.INTL(E243,F243,11)=0,IF(Reprogramaciones!M$9&gt;=F243,100,0),ROUND(NETWORKDAYS.INTL(E243,MIN(F243,Reprogramaciones!M$9),11)/NETWORKDAYS.INTL(E243,F243,11)*100,1))))</f>
        <v/>
      </c>
      <c r="K243" s="36" t="str">
        <f aca="false">IF(OR(NOT(AND(ISNUMBER(E243),ISNUMBER(F243))),$J$2=""),"",IF(Reprogramaciones!O$9&lt;E243,0,IF(NETWORKDAYS.INTL(E243,F243,11)=0,IF(Reprogramaciones!O$9&gt;=F243,100,0),ROUND(NETWORKDAYS.INTL(E243,MIN(F243,Reprogramaciones!O$9),11)/NETWORKDAYS.INTL(E243,F243,11)*100,1)))-IF(Reprogramaciones!N$9&lt;E243,0,IF(NETWORKDAYS.INTL(E243,F243,11)=0,IF(Reprogramaciones!N$9&gt;=F243,100,0),ROUND(NETWORKDAYS.INTL(E243,MIN(F243,Reprogramaciones!N$9),11)/NETWORKDAYS.INTL(E243,F243,11)*100,1))))</f>
        <v/>
      </c>
      <c r="L243" s="36" t="str">
        <f aca="false">IF(OR(NOT(AND(ISNUMBER(E243),ISNUMBER(F243))),$J$2=""),"",IF(Reprogramaciones!P$9&lt;E243,0,IF(NETWORKDAYS.INTL(E243,F243,11)=0,IF(Reprogramaciones!P$9&gt;=F243,100,0),ROUND(NETWORKDAYS.INTL(E243,MIN(F243,Reprogramaciones!P$9),11)/NETWORKDAYS.INTL(E243,F243,11)*100,1)))-IF(Reprogramaciones!O$9&lt;E243,0,IF(NETWORKDAYS.INTL(E243,F243,11)=0,IF(Reprogramaciones!O$9&gt;=F243,100,0),ROUND(NETWORKDAYS.INTL(E243,MIN(F243,Reprogramaciones!O$9),11)/NETWORKDAYS.INTL(E243,F243,11)*100,1))))</f>
        <v/>
      </c>
      <c r="M243" s="36" t="str">
        <f aca="false">IF(OR(NOT(AND(ISNUMBER(E243),ISNUMBER(F243))),$J$2=""),"",IF(Reprogramaciones!Q$9&lt;E243,0,IF(NETWORKDAYS.INTL(E243,F243,11)=0,IF(Reprogramaciones!Q$9&gt;=F243,100,0),ROUND(NETWORKDAYS.INTL(E243,MIN(F243,Reprogramaciones!Q$9),11)/NETWORKDAYS.INTL(E243,F243,11)*100,1)))-IF(Reprogramaciones!P$9&lt;E243,0,IF(NETWORKDAYS.INTL(E243,F243,11)=0,IF(Reprogramaciones!P$9&gt;=F243,100,0),ROUND(NETWORKDAYS.INTL(E243,MIN(F243,Reprogramaciones!P$9),11)/NETWORKDAYS.INTL(E243,F243,11)*100,1))))</f>
        <v/>
      </c>
      <c r="N243" s="36" t="str">
        <f aca="false">IF(OR(NOT(AND(ISNUMBER(E243),ISNUMBER(F243))),$J$2=""),"",IF(Reprogramaciones!R$9&lt;E243,0,IF(NETWORKDAYS.INTL(E243,F243,11)=0,IF(Reprogramaciones!R$9&gt;=F243,100,0),ROUND(NETWORKDAYS.INTL(E243,MIN(F243,Reprogramaciones!R$9),11)/NETWORKDAYS.INTL(E243,F243,11)*100,1)))-IF(Reprogramaciones!Q$9&lt;E243,0,IF(NETWORKDAYS.INTL(E243,F243,11)=0,IF(Reprogramaciones!Q$9&gt;=F243,100,0),ROUND(NETWORKDAYS.INTL(E243,MIN(F243,Reprogramaciones!Q$9),11)/NETWORKDAYS.INTL(E243,F243,11)*100,1))))</f>
        <v/>
      </c>
      <c r="O243" s="36" t="str">
        <f aca="false">IF(OR(NOT(AND(ISNUMBER(E243),ISNUMBER(F243))),$J$2=""),"",IF(Reprogramaciones!S$9&lt;E243,0,IF(NETWORKDAYS.INTL(E243,F243,11)=0,IF(Reprogramaciones!S$9&gt;=F243,100,0),ROUND(NETWORKDAYS.INTL(E243,MIN(F243,Reprogramaciones!S$9),11)/NETWORKDAYS.INTL(E243,F243,11)*100,1)))-IF(Reprogramaciones!R$9&lt;E243,0,IF(NETWORKDAYS.INTL(E243,F243,11)=0,IF(Reprogramaciones!R$9&gt;=F243,100,0),ROUND(NETWORKDAYS.INTL(E243,MIN(F243,Reprogramaciones!R$9),11)/NETWORKDAYS.INTL(E243,F243,11)*100,1))))</f>
        <v/>
      </c>
      <c r="P243" s="36" t="str">
        <f aca="false">IF(OR(NOT(AND(ISNUMBER(E243),ISNUMBER(F243))),$J$2=""),"",IF(Reprogramaciones!T$9&lt;E243,0,IF(NETWORKDAYS.INTL(E243,F243,11)=0,IF(Reprogramaciones!T$9&gt;=F243,100,0),ROUND(NETWORKDAYS.INTL(E243,MIN(F243,Reprogramaciones!T$9),11)/NETWORKDAYS.INTL(E243,F243,11)*100,1)))-IF(Reprogramaciones!S$9&lt;E243,0,IF(NETWORKDAYS.INTL(E243,F243,11)=0,IF(Reprogramaciones!S$9&gt;=F243,100,0),ROUND(NETWORKDAYS.INTL(E243,MIN(F243,Reprogramaciones!S$9),11)/NETWORKDAYS.INTL(E243,F243,11)*100,1))))</f>
        <v/>
      </c>
      <c r="Q243" s="37"/>
      <c r="R243" s="37"/>
      <c r="S243" s="37"/>
      <c r="T243" s="37"/>
      <c r="U243" s="37"/>
      <c r="V243" s="37"/>
      <c r="W243" s="37"/>
      <c r="X243" s="37"/>
      <c r="Y243" s="37"/>
      <c r="Z243" s="37"/>
      <c r="AA243" s="37"/>
      <c r="AB243" s="37"/>
      <c r="AC243" s="37"/>
      <c r="AD243" s="37"/>
      <c r="AE243" s="37"/>
      <c r="AF243" s="37"/>
      <c r="AG243" s="38" t="str">
        <f aca="false">IF(AND(ISNUMBER(E243),ISNUMBER(F243)),NETWORKDAYS.INTL(E243,F243,11),"")</f>
        <v/>
      </c>
      <c r="AH243" s="38" t="str">
        <f aca="false">IF(OR(NOT(AND(ISNUMBER(E243),ISNUMBER(F243))),$J$2=""),"",IF(Reprogramaciones!$P$15&lt;Reprogramaciones!$T$15,0,IF(Reprogramaciones!$R$15&gt;10,MIN(100,SUM($G243:$P243)),MIN(100,SUMPRODUCT((COLUMN($G243:$P243)-COLUMN($G243)+1&lt;Reprogramaciones!$R$15)*$G243:$P243)+N(INDEX($G243:$P243,1,Reprogramaciones!$R$15))*IF(Reprogramaciones!$P$15&gt;=(Reprogramaciones!$T$15+7*(Reprogramaciones!$R$15-1))+6,1,IF(MAX(0,NETWORKDAYS.INTL(MAX(E243,(Reprogramaciones!$T$15+7*(Reprogramaciones!$R$15-1))),MIN(F243,(Reprogramaciones!$T$15+7*(Reprogramaciones!$R$15-1))+6),11))=0,0,MAX(0,NETWORKDAYS.INTL(MAX(E243,(Reprogramaciones!$T$15+7*(Reprogramaciones!$R$15-1))),MIN(F243,Reprogramaciones!$P$15),11))/MAX(0,NETWORKDAYS.INTL(MAX(E243,(Reprogramaciones!$T$15+7*(Reprogramaciones!$R$15-1))),MIN(F243,(Reprogramaciones!$T$15+7*(Reprogramaciones!$R$15-1))+6),11))))))))</f>
        <v/>
      </c>
      <c r="AI243" s="38" t="str">
        <f aca="false">IF(COUNT($Q243:$AF243)=0,"",IF(ROUND(SUM($Q243:$AF243),1)&gt;=99.5,100,MIN(100,ROUND(SUM($Q243:$AF243),1))))</f>
        <v/>
      </c>
      <c r="AJ243" s="38" t="str">
        <f aca="false">IF(OR(AH243="",AI243=""),"",AI243-AH243)</f>
        <v/>
      </c>
      <c r="AK243" s="39" t="str">
        <f aca="true">IF(AH243="","",IF(OR(Ficha!$C$10="Suspendida",Ficha!$C$10="Cancelada"),Ficha!$C$10,IF(AND(AI243&lt;&gt;"",N(AI243)&gt;=100),"Completada",IF(AND(E243&gt;TODAY(),N(AI243)=0),"Por iniciar",IF(N(AI243)+0.5&lt;AH243,"Retrasada",IF(N(AI243)+0.5&lt;DA243,IF(Reprogramaciones!$K$15&gt;0,"Al día · Sem "&amp;Reprogramaciones!$K$15&amp;" en curso","Al día · en curso"),"A tiempo"))))))</f>
        <v/>
      </c>
      <c r="AL243" s="39" t="str">
        <f aca="true">IF(AND(A243="",AND(B243="",C243="",E243="",F243="",COUNT(Q243:AF243)=0)),"",IF(AND(B243="",C243="",E243="",F243="",COUNT(Q243:AF243)=0),"Falta la partida o subpartida",IF(AND(A243&lt;&gt;"",COUNTIF($A$6:$A$305,A243)&gt;1),"Ítem repetido",IF(AND(C243="",E243="",F243="",COUNT(Q243:AF243)=0),"Título de partida",IF(OR(E243="",F243=""),"Faltan fechas",IF(OR(ISTEXT(E243),ISTEXT(F243)),"Fecha escrita como texto: usa dd/mm/aaaa",IF(F243&lt;E243,"Fin antes del inicio",IF(IF($J$2="",FALSE(),OR(E243&lt;$J$2,F243&gt;Reprogramaciones!$T$15+69)),"Fuera de las 10 semanas",IF(ABS(SUM(G243:P243)-100)&gt;0.5,"La meta no suma 100%",IF(ROUND(SUM(Q243:AF243),1)&gt;100.5,"El avance pasa de 100%",IF(MIN(Q243:AF243)&lt;0,"Avance negativo",IF(COUNTA(Q243:AF243)&gt;COUNT(Q243:AF243),"Avance escrito como texto",IF(SUMPRODUCT((Q243:AF243&gt;0)*(Q243:AF243&lt;1))&gt;0,"Avance menor a 1: escribe 50, no 50%",IF(SUMPRODUCT(ISNUMBER(Q243:AF243)*(Reprogramaciones!$K$8:$Z$8&gt;TODAY()))&gt;0,"Avance en semana que aún no llega",IF(AND(N(Reprogramaciones!$E$21)&gt;0,F243&gt;Reprogramaciones!$E$21),"Pasa el fin de la obra: registra una reprogramación",IF(AND(N(Reprogramaciones!$E$21)&gt;0,SUMPRODUCT(ISNUMBER(Q243:AF243)*(Reprogramaciones!$K$8:$Z$8&gt;Reprogramaciones!$E$21))&gt;0),"Avance después del fin de la obra: registra una reprogramación por atraso","OK"))))))))))))))))</f>
        <v/>
      </c>
      <c r="AM243" s="40" t="str">
        <f aca="false">IF(OR(OR(NOT(AND(ISNUMBER(E243),ISNUMBER(F243))),$J$2=""),1&gt;MAX(1,Reprogramaciones!$U$15)),"",IF(Reprogramaciones!K$12&gt;=7,"",IF(OR(BT243-N(0)&gt;0.05,N(Q243)&gt;0),ROUNDDOWN(ROUND(BT243,6),0)&amp;"%"&amp;IF(CJ243="",""," / "&amp;CJ243&amp;"%"),IF(AND(N(0)&gt;=99.95,CJ243&lt;&gt;"",N(CJ243)&lt;100),"Pend. "&amp;CJ243&amp;"%",""))))</f>
        <v/>
      </c>
      <c r="AN243" s="40" t="str">
        <f aca="false">IF(OR(OR(NOT(AND(ISNUMBER(E243),ISNUMBER(F243))),$J$2=""),2&gt;MAX(1,Reprogramaciones!$U$15)),"",IF(Reprogramaciones!L$12&gt;=7,"",IF(OR(BU243-N(BT243)&gt;0.05,N(R243)&gt;0),ROUNDDOWN(ROUND(BU243,6),0)&amp;"%"&amp;IF(CK243="",""," / "&amp;CK243&amp;"%"),IF(AND(N(BT243)&gt;=99.95,CK243&lt;&gt;"",N(CK243)&lt;100),"Pend. "&amp;CK243&amp;"%",""))))</f>
        <v/>
      </c>
      <c r="AO243" s="40" t="str">
        <f aca="false">IF(OR(OR(NOT(AND(ISNUMBER(E243),ISNUMBER(F243))),$J$2=""),3&gt;MAX(1,Reprogramaciones!$U$15)),"",IF(Reprogramaciones!M$12&gt;=7,"",IF(OR(BV243-N(BU243)&gt;0.05,N(S243)&gt;0),ROUNDDOWN(ROUND(BV243,6),0)&amp;"%"&amp;IF(CL243="",""," / "&amp;CL243&amp;"%"),IF(AND(N(BU243)&gt;=99.95,CL243&lt;&gt;"",N(CL243)&lt;100),"Pend. "&amp;CL243&amp;"%",""))))</f>
        <v/>
      </c>
      <c r="AP243" s="40" t="str">
        <f aca="false">IF(OR(OR(NOT(AND(ISNUMBER(E243),ISNUMBER(F243))),$J$2=""),4&gt;MAX(1,Reprogramaciones!$U$15)),"",IF(Reprogramaciones!N$12&gt;=7,"",IF(OR(BW243-N(BV243)&gt;0.05,N(T243)&gt;0),ROUNDDOWN(ROUND(BW243,6),0)&amp;"%"&amp;IF(CM243="",""," / "&amp;CM243&amp;"%"),IF(AND(N(BV243)&gt;=99.95,CM243&lt;&gt;"",N(CM243)&lt;100),"Pend. "&amp;CM243&amp;"%",""))))</f>
        <v/>
      </c>
      <c r="AQ243" s="40" t="str">
        <f aca="false">IF(OR(OR(NOT(AND(ISNUMBER(E243),ISNUMBER(F243))),$J$2=""),5&gt;MAX(1,Reprogramaciones!$U$15)),"",IF(Reprogramaciones!O$12&gt;=7,"",IF(OR(BX243-N(BW243)&gt;0.05,N(U243)&gt;0),ROUNDDOWN(ROUND(BX243,6),0)&amp;"%"&amp;IF(CN243="",""," / "&amp;CN243&amp;"%"),IF(AND(N(BW243)&gt;=99.95,CN243&lt;&gt;"",N(CN243)&lt;100),"Pend. "&amp;CN243&amp;"%",""))))</f>
        <v/>
      </c>
      <c r="AR243" s="40" t="str">
        <f aca="false">IF(OR(OR(NOT(AND(ISNUMBER(E243),ISNUMBER(F243))),$J$2=""),6&gt;MAX(1,Reprogramaciones!$U$15)),"",IF(Reprogramaciones!P$12&gt;=7,"",IF(OR(BY243-N(BX243)&gt;0.05,N(V243)&gt;0),ROUNDDOWN(ROUND(BY243,6),0)&amp;"%"&amp;IF(CO243="",""," / "&amp;CO243&amp;"%"),IF(AND(N(BX243)&gt;=99.95,CO243&lt;&gt;"",N(CO243)&lt;100),"Pend. "&amp;CO243&amp;"%",""))))</f>
        <v/>
      </c>
      <c r="AS243" s="40" t="str">
        <f aca="false">IF(OR(OR(NOT(AND(ISNUMBER(E243),ISNUMBER(F243))),$J$2=""),7&gt;MAX(1,Reprogramaciones!$U$15)),"",IF(Reprogramaciones!Q$12&gt;=7,"",IF(OR(BZ243-N(BY243)&gt;0.05,N(W243)&gt;0),ROUNDDOWN(ROUND(BZ243,6),0)&amp;"%"&amp;IF(CP243="",""," / "&amp;CP243&amp;"%"),IF(AND(N(BY243)&gt;=99.95,CP243&lt;&gt;"",N(CP243)&lt;100),"Pend. "&amp;CP243&amp;"%",""))))</f>
        <v/>
      </c>
      <c r="AT243" s="40" t="str">
        <f aca="false">IF(OR(OR(NOT(AND(ISNUMBER(E243),ISNUMBER(F243))),$J$2=""),8&gt;MAX(1,Reprogramaciones!$U$15)),"",IF(Reprogramaciones!R$12&gt;=7,"",IF(OR(CA243-N(BZ243)&gt;0.05,N(X243)&gt;0),ROUNDDOWN(ROUND(CA243,6),0)&amp;"%"&amp;IF(CQ243="",""," / "&amp;CQ243&amp;"%"),IF(AND(N(BZ243)&gt;=99.95,CQ243&lt;&gt;"",N(CQ243)&lt;100),"Pend. "&amp;CQ243&amp;"%",""))))</f>
        <v/>
      </c>
      <c r="AU243" s="40" t="str">
        <f aca="false">IF(OR(OR(NOT(AND(ISNUMBER(E243),ISNUMBER(F243))),$J$2=""),9&gt;MAX(1,Reprogramaciones!$U$15)),"",IF(Reprogramaciones!S$12&gt;=7,"",IF(OR(CB243-N(CA243)&gt;0.05,N(Y243)&gt;0),ROUNDDOWN(ROUND(CB243,6),0)&amp;"%"&amp;IF(CR243="",""," / "&amp;CR243&amp;"%"),IF(AND(N(CA243)&gt;=99.95,CR243&lt;&gt;"",N(CR243)&lt;100),"Pend. "&amp;CR243&amp;"%",""))))</f>
        <v/>
      </c>
      <c r="AV243" s="40" t="str">
        <f aca="false">IF(OR(OR(NOT(AND(ISNUMBER(E243),ISNUMBER(F243))),$J$2=""),10&gt;MAX(1,Reprogramaciones!$U$15)),"",IF(Reprogramaciones!T$12&gt;=7,"",IF(OR(CC243-N(CB243)&gt;0.05,N(Z243)&gt;0),ROUNDDOWN(ROUND(CC243,6),0)&amp;"%"&amp;IF(CS243="",""," / "&amp;CS243&amp;"%"),IF(AND(N(CB243)&gt;=99.95,CS243&lt;&gt;"",N(CS243)&lt;100),"Pend. "&amp;CS243&amp;"%",""))))</f>
        <v/>
      </c>
      <c r="AW243" s="40" t="str">
        <f aca="false">IF(OR(OR(NOT(AND(ISNUMBER(E243),ISNUMBER(F243))),$J$2=""),11&gt;MAX(1,Reprogramaciones!$U$15)),"",IF(Reprogramaciones!U$12&gt;=7,"",IF(OR(CD243-N(CC243)&gt;0.05,N(AA243)&gt;0),ROUNDDOWN(ROUND(CD243,6),0)&amp;"%"&amp;IF(CT243="",""," / "&amp;CT243&amp;"%"),IF(AND(N(CC243)&gt;=99.95,CT243&lt;&gt;"",N(CT243)&lt;100),"Pend. "&amp;CT243&amp;"%",""))))</f>
        <v/>
      </c>
      <c r="AX243" s="40" t="str">
        <f aca="false">IF(OR(OR(NOT(AND(ISNUMBER(E243),ISNUMBER(F243))),$J$2=""),12&gt;MAX(1,Reprogramaciones!$U$15)),"",IF(Reprogramaciones!V$12&gt;=7,"",IF(OR(CE243-N(CD243)&gt;0.05,N(AB243)&gt;0),ROUNDDOWN(ROUND(CE243,6),0)&amp;"%"&amp;IF(CU243="",""," / "&amp;CU243&amp;"%"),IF(AND(N(CD243)&gt;=99.95,CU243&lt;&gt;"",N(CU243)&lt;100),"Pend. "&amp;CU243&amp;"%",""))))</f>
        <v/>
      </c>
      <c r="AY243" s="40" t="str">
        <f aca="false">IF(OR(OR(NOT(AND(ISNUMBER(E243),ISNUMBER(F243))),$J$2=""),13&gt;MAX(1,Reprogramaciones!$U$15)),"",IF(Reprogramaciones!W$12&gt;=7,"",IF(OR(CF243-N(CE243)&gt;0.05,N(AC243)&gt;0),ROUNDDOWN(ROUND(CF243,6),0)&amp;"%"&amp;IF(CV243="",""," / "&amp;CV243&amp;"%"),IF(AND(N(CE243)&gt;=99.95,CV243&lt;&gt;"",N(CV243)&lt;100),"Pend. "&amp;CV243&amp;"%",""))))</f>
        <v/>
      </c>
      <c r="AZ243" s="40" t="str">
        <f aca="false">IF(OR(OR(NOT(AND(ISNUMBER(E243),ISNUMBER(F243))),$J$2=""),14&gt;MAX(1,Reprogramaciones!$U$15)),"",IF(Reprogramaciones!X$12&gt;=7,"",IF(OR(CG243-N(CF243)&gt;0.05,N(AD243)&gt;0),ROUNDDOWN(ROUND(CG243,6),0)&amp;"%"&amp;IF(CW243="",""," / "&amp;CW243&amp;"%"),IF(AND(N(CF243)&gt;=99.95,CW243&lt;&gt;"",N(CW243)&lt;100),"Pend. "&amp;CW243&amp;"%",""))))</f>
        <v/>
      </c>
      <c r="BA243" s="40" t="str">
        <f aca="false">IF(OR(OR(NOT(AND(ISNUMBER(E243),ISNUMBER(F243))),$J$2=""),15&gt;MAX(1,Reprogramaciones!$U$15)),"",IF(Reprogramaciones!Y$12&gt;=7,"",IF(OR(CH243-N(CG243)&gt;0.05,N(AE243)&gt;0),ROUNDDOWN(ROUND(CH243,6),0)&amp;"%"&amp;IF(CX243="",""," / "&amp;CX243&amp;"%"),IF(AND(N(CG243)&gt;=99.95,CX243&lt;&gt;"",N(CX243)&lt;100),"Pend. "&amp;CX243&amp;"%",""))))</f>
        <v/>
      </c>
      <c r="BB243" s="40" t="str">
        <f aca="false">IF(OR(OR(NOT(AND(ISNUMBER(E243),ISNUMBER(F243))),$J$2=""),16&gt;MAX(1,Reprogramaciones!$U$15)),"",IF(Reprogramaciones!Z$12&gt;=7,"",IF(OR(CI243-N(CH243)&gt;0.05,N(AF243)&gt;0),ROUNDDOWN(ROUND(CI243,6),0)&amp;"%"&amp;IF(CY243="",""," / "&amp;CY243&amp;"%"),IF(AND(N(CH243)&gt;=99.95,CY243&lt;&gt;"",N(CY243)&lt;100),"Pend. "&amp;CY243&amp;"%",""))))</f>
        <v/>
      </c>
      <c r="BC243" s="31" t="n">
        <f aca="false">IF(AND(ISNUMBER(E243),ISNUMBER(F243)),MAX(1,NETWORKDAYS.INTL(E243,F243,11)),0)</f>
        <v>0</v>
      </c>
      <c r="BD243" s="1" t="str">
        <f aca="false">IF(OR(NOT(AND(ISNUMBER(E243),ISNUMBER(F243))),$J$2=""),"",MIN(100,ROUND(SUM($G243:G243),1)))</f>
        <v/>
      </c>
      <c r="BE243" s="1" t="str">
        <f aca="false">IF(OR(NOT(AND(ISNUMBER(E243),ISNUMBER(F243))),$J$2=""),"",MIN(100,ROUND(SUM($G243:H243),1)))</f>
        <v/>
      </c>
      <c r="BF243" s="1" t="str">
        <f aca="false">IF(OR(NOT(AND(ISNUMBER(E243),ISNUMBER(F243))),$J$2=""),"",MIN(100,ROUND(SUM($G243:I243),1)))</f>
        <v/>
      </c>
      <c r="BG243" s="1" t="str">
        <f aca="false">IF(OR(NOT(AND(ISNUMBER(E243),ISNUMBER(F243))),$J$2=""),"",MIN(100,ROUND(SUM($G243:J243),1)))</f>
        <v/>
      </c>
      <c r="BH243" s="1" t="str">
        <f aca="false">IF(OR(NOT(AND(ISNUMBER(E243),ISNUMBER(F243))),$J$2=""),"",MIN(100,ROUND(SUM($G243:K243),1)))</f>
        <v/>
      </c>
      <c r="BI243" s="1" t="str">
        <f aca="false">IF(OR(NOT(AND(ISNUMBER(E243),ISNUMBER(F243))),$J$2=""),"",MIN(100,ROUND(SUM($G243:L243),1)))</f>
        <v/>
      </c>
      <c r="BJ243" s="1" t="str">
        <f aca="false">IF(OR(NOT(AND(ISNUMBER(E243),ISNUMBER(F243))),$J$2=""),"",MIN(100,ROUND(SUM($G243:M243),1)))</f>
        <v/>
      </c>
      <c r="BK243" s="1" t="str">
        <f aca="false">IF(OR(NOT(AND(ISNUMBER(E243),ISNUMBER(F243))),$J$2=""),"",MIN(100,ROUND(SUM($G243:N243),1)))</f>
        <v/>
      </c>
      <c r="BL243" s="1" t="str">
        <f aca="false">IF(OR(NOT(AND(ISNUMBER(E243),ISNUMBER(F243))),$J$2=""),"",MIN(100,ROUND(SUM($G243:O243),1)))</f>
        <v/>
      </c>
      <c r="BM243" s="1" t="str">
        <f aca="false">IF(OR(NOT(AND(ISNUMBER(E243),ISNUMBER(F243))),$J$2=""),"",MIN(100,ROUND(SUM($G243:P243),1)))</f>
        <v/>
      </c>
      <c r="BN243" s="1" t="str">
        <f aca="false">IF(OR(NOT(AND(ISNUMBER(E243),ISNUMBER(F243))),$J$2=""),"",MIN(100,ROUND(SUM($G243:P243),1)))</f>
        <v/>
      </c>
      <c r="BO243" s="1" t="str">
        <f aca="false">IF(OR(NOT(AND(ISNUMBER(E243),ISNUMBER(F243))),$J$2=""),"",MIN(100,ROUND(SUM($G243:P243),1)))</f>
        <v/>
      </c>
      <c r="BP243" s="1" t="str">
        <f aca="false">IF(OR(NOT(AND(ISNUMBER(E243),ISNUMBER(F243))),$J$2=""),"",MIN(100,ROUND(SUM($G243:P243),1)))</f>
        <v/>
      </c>
      <c r="BQ243" s="1" t="str">
        <f aca="false">IF(OR(NOT(AND(ISNUMBER(E243),ISNUMBER(F243))),$J$2=""),"",MIN(100,ROUND(SUM($G243:P243),1)))</f>
        <v/>
      </c>
      <c r="BR243" s="1" t="str">
        <f aca="false">IF(OR(NOT(AND(ISNUMBER(E243),ISNUMBER(F243))),$J$2=""),"",MIN(100,ROUND(SUM($G243:P243),1)))</f>
        <v/>
      </c>
      <c r="BS243" s="1" t="str">
        <f aca="false">IF(OR(NOT(AND(ISNUMBER(E243),ISNUMBER(F243))),$J$2=""),"",MIN(100,ROUND(SUM($G243:P243),1)))</f>
        <v/>
      </c>
      <c r="BT243" s="1" t="str">
        <f aca="false">IF(OR(NOT(AND(ISNUMBER(E243),ISNUMBER(F243))),$J$2=""),"",IF(Reprogramaciones!K$13&lt;Reprogramaciones!$T$15,0,IF(Reprogramaciones!K$14&gt;10,MIN(100,SUM($G243:$P243)),MIN(100,SUMPRODUCT((COLUMN($G243:$P243)-COLUMN($G243)+1&lt;Reprogramaciones!K$14)*$G243:$P243)+N(INDEX($G243:$P243,1,Reprogramaciones!K$14))*IF(Reprogramaciones!K$13&gt;=(Reprogramaciones!$T$15+7*(Reprogramaciones!K$14-1))+6,1,IF(MAX(0,NETWORKDAYS.INTL(MAX(E243,(Reprogramaciones!$T$15+7*(Reprogramaciones!K$14-1))),MIN(F243,(Reprogramaciones!$T$15+7*(Reprogramaciones!K$14-1))+6),11))=0,0,MAX(0,NETWORKDAYS.INTL(MAX(E243,(Reprogramaciones!$T$15+7*(Reprogramaciones!K$14-1))),MIN(F243,Reprogramaciones!K$13),11))/MAX(0,NETWORKDAYS.INTL(MAX(E243,(Reprogramaciones!$T$15+7*(Reprogramaciones!K$14-1))),MIN(F243,(Reprogramaciones!$T$15+7*(Reprogramaciones!K$14-1))+6),11))))))))</f>
        <v/>
      </c>
      <c r="BU243" s="1" t="str">
        <f aca="false">IF(OR(NOT(AND(ISNUMBER(E243),ISNUMBER(F243))),$J$2=""),"",IF(Reprogramaciones!L$13&lt;Reprogramaciones!$T$15,0,IF(Reprogramaciones!L$14&gt;10,MIN(100,SUM($G243:$P243)),MIN(100,SUMPRODUCT((COLUMN($G243:$P243)-COLUMN($G243)+1&lt;Reprogramaciones!L$14)*$G243:$P243)+N(INDEX($G243:$P243,1,Reprogramaciones!L$14))*IF(Reprogramaciones!L$13&gt;=(Reprogramaciones!$T$15+7*(Reprogramaciones!L$14-1))+6,1,IF(MAX(0,NETWORKDAYS.INTL(MAX(E243,(Reprogramaciones!$T$15+7*(Reprogramaciones!L$14-1))),MIN(F243,(Reprogramaciones!$T$15+7*(Reprogramaciones!L$14-1))+6),11))=0,0,MAX(0,NETWORKDAYS.INTL(MAX(E243,(Reprogramaciones!$T$15+7*(Reprogramaciones!L$14-1))),MIN(F243,Reprogramaciones!L$13),11))/MAX(0,NETWORKDAYS.INTL(MAX(E243,(Reprogramaciones!$T$15+7*(Reprogramaciones!L$14-1))),MIN(F243,(Reprogramaciones!$T$15+7*(Reprogramaciones!L$14-1))+6),11))))))))</f>
        <v/>
      </c>
      <c r="BV243" s="1" t="str">
        <f aca="false">IF(OR(NOT(AND(ISNUMBER(E243),ISNUMBER(F243))),$J$2=""),"",IF(Reprogramaciones!M$13&lt;Reprogramaciones!$T$15,0,IF(Reprogramaciones!M$14&gt;10,MIN(100,SUM($G243:$P243)),MIN(100,SUMPRODUCT((COLUMN($G243:$P243)-COLUMN($G243)+1&lt;Reprogramaciones!M$14)*$G243:$P243)+N(INDEX($G243:$P243,1,Reprogramaciones!M$14))*IF(Reprogramaciones!M$13&gt;=(Reprogramaciones!$T$15+7*(Reprogramaciones!M$14-1))+6,1,IF(MAX(0,NETWORKDAYS.INTL(MAX(E243,(Reprogramaciones!$T$15+7*(Reprogramaciones!M$14-1))),MIN(F243,(Reprogramaciones!$T$15+7*(Reprogramaciones!M$14-1))+6),11))=0,0,MAX(0,NETWORKDAYS.INTL(MAX(E243,(Reprogramaciones!$T$15+7*(Reprogramaciones!M$14-1))),MIN(F243,Reprogramaciones!M$13),11))/MAX(0,NETWORKDAYS.INTL(MAX(E243,(Reprogramaciones!$T$15+7*(Reprogramaciones!M$14-1))),MIN(F243,(Reprogramaciones!$T$15+7*(Reprogramaciones!M$14-1))+6),11))))))))</f>
        <v/>
      </c>
      <c r="BW243" s="1" t="str">
        <f aca="false">IF(OR(NOT(AND(ISNUMBER(E243),ISNUMBER(F243))),$J$2=""),"",IF(Reprogramaciones!N$13&lt;Reprogramaciones!$T$15,0,IF(Reprogramaciones!N$14&gt;10,MIN(100,SUM($G243:$P243)),MIN(100,SUMPRODUCT((COLUMN($G243:$P243)-COLUMN($G243)+1&lt;Reprogramaciones!N$14)*$G243:$P243)+N(INDEX($G243:$P243,1,Reprogramaciones!N$14))*IF(Reprogramaciones!N$13&gt;=(Reprogramaciones!$T$15+7*(Reprogramaciones!N$14-1))+6,1,IF(MAX(0,NETWORKDAYS.INTL(MAX(E243,(Reprogramaciones!$T$15+7*(Reprogramaciones!N$14-1))),MIN(F243,(Reprogramaciones!$T$15+7*(Reprogramaciones!N$14-1))+6),11))=0,0,MAX(0,NETWORKDAYS.INTL(MAX(E243,(Reprogramaciones!$T$15+7*(Reprogramaciones!N$14-1))),MIN(F243,Reprogramaciones!N$13),11))/MAX(0,NETWORKDAYS.INTL(MAX(E243,(Reprogramaciones!$T$15+7*(Reprogramaciones!N$14-1))),MIN(F243,(Reprogramaciones!$T$15+7*(Reprogramaciones!N$14-1))+6),11))))))))</f>
        <v/>
      </c>
      <c r="BX243" s="1" t="str">
        <f aca="false">IF(OR(NOT(AND(ISNUMBER(E243),ISNUMBER(F243))),$J$2=""),"",IF(Reprogramaciones!O$13&lt;Reprogramaciones!$T$15,0,IF(Reprogramaciones!O$14&gt;10,MIN(100,SUM($G243:$P243)),MIN(100,SUMPRODUCT((COLUMN($G243:$P243)-COLUMN($G243)+1&lt;Reprogramaciones!O$14)*$G243:$P243)+N(INDEX($G243:$P243,1,Reprogramaciones!O$14))*IF(Reprogramaciones!O$13&gt;=(Reprogramaciones!$T$15+7*(Reprogramaciones!O$14-1))+6,1,IF(MAX(0,NETWORKDAYS.INTL(MAX(E243,(Reprogramaciones!$T$15+7*(Reprogramaciones!O$14-1))),MIN(F243,(Reprogramaciones!$T$15+7*(Reprogramaciones!O$14-1))+6),11))=0,0,MAX(0,NETWORKDAYS.INTL(MAX(E243,(Reprogramaciones!$T$15+7*(Reprogramaciones!O$14-1))),MIN(F243,Reprogramaciones!O$13),11))/MAX(0,NETWORKDAYS.INTL(MAX(E243,(Reprogramaciones!$T$15+7*(Reprogramaciones!O$14-1))),MIN(F243,(Reprogramaciones!$T$15+7*(Reprogramaciones!O$14-1))+6),11))))))))</f>
        <v/>
      </c>
      <c r="BY243" s="1" t="str">
        <f aca="false">IF(OR(NOT(AND(ISNUMBER(E243),ISNUMBER(F243))),$J$2=""),"",IF(Reprogramaciones!P$13&lt;Reprogramaciones!$T$15,0,IF(Reprogramaciones!P$14&gt;10,MIN(100,SUM($G243:$P243)),MIN(100,SUMPRODUCT((COLUMN($G243:$P243)-COLUMN($G243)+1&lt;Reprogramaciones!P$14)*$G243:$P243)+N(INDEX($G243:$P243,1,Reprogramaciones!P$14))*IF(Reprogramaciones!P$13&gt;=(Reprogramaciones!$T$15+7*(Reprogramaciones!P$14-1))+6,1,IF(MAX(0,NETWORKDAYS.INTL(MAX(E243,(Reprogramaciones!$T$15+7*(Reprogramaciones!P$14-1))),MIN(F243,(Reprogramaciones!$T$15+7*(Reprogramaciones!P$14-1))+6),11))=0,0,MAX(0,NETWORKDAYS.INTL(MAX(E243,(Reprogramaciones!$T$15+7*(Reprogramaciones!P$14-1))),MIN(F243,Reprogramaciones!P$13),11))/MAX(0,NETWORKDAYS.INTL(MAX(E243,(Reprogramaciones!$T$15+7*(Reprogramaciones!P$14-1))),MIN(F243,(Reprogramaciones!$T$15+7*(Reprogramaciones!P$14-1))+6),11))))))))</f>
        <v/>
      </c>
      <c r="BZ243" s="1" t="str">
        <f aca="false">IF(OR(NOT(AND(ISNUMBER(E243),ISNUMBER(F243))),$J$2=""),"",IF(Reprogramaciones!Q$13&lt;Reprogramaciones!$T$15,0,IF(Reprogramaciones!Q$14&gt;10,MIN(100,SUM($G243:$P243)),MIN(100,SUMPRODUCT((COLUMN($G243:$P243)-COLUMN($G243)+1&lt;Reprogramaciones!Q$14)*$G243:$P243)+N(INDEX($G243:$P243,1,Reprogramaciones!Q$14))*IF(Reprogramaciones!Q$13&gt;=(Reprogramaciones!$T$15+7*(Reprogramaciones!Q$14-1))+6,1,IF(MAX(0,NETWORKDAYS.INTL(MAX(E243,(Reprogramaciones!$T$15+7*(Reprogramaciones!Q$14-1))),MIN(F243,(Reprogramaciones!$T$15+7*(Reprogramaciones!Q$14-1))+6),11))=0,0,MAX(0,NETWORKDAYS.INTL(MAX(E243,(Reprogramaciones!$T$15+7*(Reprogramaciones!Q$14-1))),MIN(F243,Reprogramaciones!Q$13),11))/MAX(0,NETWORKDAYS.INTL(MAX(E243,(Reprogramaciones!$T$15+7*(Reprogramaciones!Q$14-1))),MIN(F243,(Reprogramaciones!$T$15+7*(Reprogramaciones!Q$14-1))+6),11))))))))</f>
        <v/>
      </c>
      <c r="CA243" s="1" t="str">
        <f aca="false">IF(OR(NOT(AND(ISNUMBER(E243),ISNUMBER(F243))),$J$2=""),"",IF(Reprogramaciones!R$13&lt;Reprogramaciones!$T$15,0,IF(Reprogramaciones!R$14&gt;10,MIN(100,SUM($G243:$P243)),MIN(100,SUMPRODUCT((COLUMN($G243:$P243)-COLUMN($G243)+1&lt;Reprogramaciones!R$14)*$G243:$P243)+N(INDEX($G243:$P243,1,Reprogramaciones!R$14))*IF(Reprogramaciones!R$13&gt;=(Reprogramaciones!$T$15+7*(Reprogramaciones!R$14-1))+6,1,IF(MAX(0,NETWORKDAYS.INTL(MAX(E243,(Reprogramaciones!$T$15+7*(Reprogramaciones!R$14-1))),MIN(F243,(Reprogramaciones!$T$15+7*(Reprogramaciones!R$14-1))+6),11))=0,0,MAX(0,NETWORKDAYS.INTL(MAX(E243,(Reprogramaciones!$T$15+7*(Reprogramaciones!R$14-1))),MIN(F243,Reprogramaciones!R$13),11))/MAX(0,NETWORKDAYS.INTL(MAX(E243,(Reprogramaciones!$T$15+7*(Reprogramaciones!R$14-1))),MIN(F243,(Reprogramaciones!$T$15+7*(Reprogramaciones!R$14-1))+6),11))))))))</f>
        <v/>
      </c>
      <c r="CB243" s="1" t="str">
        <f aca="false">IF(OR(NOT(AND(ISNUMBER(E243),ISNUMBER(F243))),$J$2=""),"",IF(Reprogramaciones!S$13&lt;Reprogramaciones!$T$15,0,IF(Reprogramaciones!S$14&gt;10,MIN(100,SUM($G243:$P243)),MIN(100,SUMPRODUCT((COLUMN($G243:$P243)-COLUMN($G243)+1&lt;Reprogramaciones!S$14)*$G243:$P243)+N(INDEX($G243:$P243,1,Reprogramaciones!S$14))*IF(Reprogramaciones!S$13&gt;=(Reprogramaciones!$T$15+7*(Reprogramaciones!S$14-1))+6,1,IF(MAX(0,NETWORKDAYS.INTL(MAX(E243,(Reprogramaciones!$T$15+7*(Reprogramaciones!S$14-1))),MIN(F243,(Reprogramaciones!$T$15+7*(Reprogramaciones!S$14-1))+6),11))=0,0,MAX(0,NETWORKDAYS.INTL(MAX(E243,(Reprogramaciones!$T$15+7*(Reprogramaciones!S$14-1))),MIN(F243,Reprogramaciones!S$13),11))/MAX(0,NETWORKDAYS.INTL(MAX(E243,(Reprogramaciones!$T$15+7*(Reprogramaciones!S$14-1))),MIN(F243,(Reprogramaciones!$T$15+7*(Reprogramaciones!S$14-1))+6),11))))))))</f>
        <v/>
      </c>
      <c r="CC243" s="1" t="str">
        <f aca="false">IF(OR(NOT(AND(ISNUMBER(E243),ISNUMBER(F243))),$J$2=""),"",IF(Reprogramaciones!T$13&lt;Reprogramaciones!$T$15,0,IF(Reprogramaciones!T$14&gt;10,MIN(100,SUM($G243:$P243)),MIN(100,SUMPRODUCT((COLUMN($G243:$P243)-COLUMN($G243)+1&lt;Reprogramaciones!T$14)*$G243:$P243)+N(INDEX($G243:$P243,1,Reprogramaciones!T$14))*IF(Reprogramaciones!T$13&gt;=(Reprogramaciones!$T$15+7*(Reprogramaciones!T$14-1))+6,1,IF(MAX(0,NETWORKDAYS.INTL(MAX(E243,(Reprogramaciones!$T$15+7*(Reprogramaciones!T$14-1))),MIN(F243,(Reprogramaciones!$T$15+7*(Reprogramaciones!T$14-1))+6),11))=0,0,MAX(0,NETWORKDAYS.INTL(MAX(E243,(Reprogramaciones!$T$15+7*(Reprogramaciones!T$14-1))),MIN(F243,Reprogramaciones!T$13),11))/MAX(0,NETWORKDAYS.INTL(MAX(E243,(Reprogramaciones!$T$15+7*(Reprogramaciones!T$14-1))),MIN(F243,(Reprogramaciones!$T$15+7*(Reprogramaciones!T$14-1))+6),11))))))))</f>
        <v/>
      </c>
      <c r="CD243" s="1" t="str">
        <f aca="false">IF(OR(NOT(AND(ISNUMBER(E243),ISNUMBER(F243))),$J$2=""),"",IF(Reprogramaciones!U$13&lt;Reprogramaciones!$T$15,0,IF(Reprogramaciones!U$14&gt;10,MIN(100,SUM($G243:$P243)),MIN(100,SUMPRODUCT((COLUMN($G243:$P243)-COLUMN($G243)+1&lt;Reprogramaciones!U$14)*$G243:$P243)+N(INDEX($G243:$P243,1,Reprogramaciones!U$14))*IF(Reprogramaciones!U$13&gt;=(Reprogramaciones!$T$15+7*(Reprogramaciones!U$14-1))+6,1,IF(MAX(0,NETWORKDAYS.INTL(MAX(E243,(Reprogramaciones!$T$15+7*(Reprogramaciones!U$14-1))),MIN(F243,(Reprogramaciones!$T$15+7*(Reprogramaciones!U$14-1))+6),11))=0,0,MAX(0,NETWORKDAYS.INTL(MAX(E243,(Reprogramaciones!$T$15+7*(Reprogramaciones!U$14-1))),MIN(F243,Reprogramaciones!U$13),11))/MAX(0,NETWORKDAYS.INTL(MAX(E243,(Reprogramaciones!$T$15+7*(Reprogramaciones!U$14-1))),MIN(F243,(Reprogramaciones!$T$15+7*(Reprogramaciones!U$14-1))+6),11))))))))</f>
        <v/>
      </c>
      <c r="CE243" s="1" t="str">
        <f aca="false">IF(OR(NOT(AND(ISNUMBER(E243),ISNUMBER(F243))),$J$2=""),"",IF(Reprogramaciones!V$13&lt;Reprogramaciones!$T$15,0,IF(Reprogramaciones!V$14&gt;10,MIN(100,SUM($G243:$P243)),MIN(100,SUMPRODUCT((COLUMN($G243:$P243)-COLUMN($G243)+1&lt;Reprogramaciones!V$14)*$G243:$P243)+N(INDEX($G243:$P243,1,Reprogramaciones!V$14))*IF(Reprogramaciones!V$13&gt;=(Reprogramaciones!$T$15+7*(Reprogramaciones!V$14-1))+6,1,IF(MAX(0,NETWORKDAYS.INTL(MAX(E243,(Reprogramaciones!$T$15+7*(Reprogramaciones!V$14-1))),MIN(F243,(Reprogramaciones!$T$15+7*(Reprogramaciones!V$14-1))+6),11))=0,0,MAX(0,NETWORKDAYS.INTL(MAX(E243,(Reprogramaciones!$T$15+7*(Reprogramaciones!V$14-1))),MIN(F243,Reprogramaciones!V$13),11))/MAX(0,NETWORKDAYS.INTL(MAX(E243,(Reprogramaciones!$T$15+7*(Reprogramaciones!V$14-1))),MIN(F243,(Reprogramaciones!$T$15+7*(Reprogramaciones!V$14-1))+6),11))))))))</f>
        <v/>
      </c>
      <c r="CF243" s="1" t="str">
        <f aca="false">IF(OR(NOT(AND(ISNUMBER(E243),ISNUMBER(F243))),$J$2=""),"",IF(Reprogramaciones!W$13&lt;Reprogramaciones!$T$15,0,IF(Reprogramaciones!W$14&gt;10,MIN(100,SUM($G243:$P243)),MIN(100,SUMPRODUCT((COLUMN($G243:$P243)-COLUMN($G243)+1&lt;Reprogramaciones!W$14)*$G243:$P243)+N(INDEX($G243:$P243,1,Reprogramaciones!W$14))*IF(Reprogramaciones!W$13&gt;=(Reprogramaciones!$T$15+7*(Reprogramaciones!W$14-1))+6,1,IF(MAX(0,NETWORKDAYS.INTL(MAX(E243,(Reprogramaciones!$T$15+7*(Reprogramaciones!W$14-1))),MIN(F243,(Reprogramaciones!$T$15+7*(Reprogramaciones!W$14-1))+6),11))=0,0,MAX(0,NETWORKDAYS.INTL(MAX(E243,(Reprogramaciones!$T$15+7*(Reprogramaciones!W$14-1))),MIN(F243,Reprogramaciones!W$13),11))/MAX(0,NETWORKDAYS.INTL(MAX(E243,(Reprogramaciones!$T$15+7*(Reprogramaciones!W$14-1))),MIN(F243,(Reprogramaciones!$T$15+7*(Reprogramaciones!W$14-1))+6),11))))))))</f>
        <v/>
      </c>
      <c r="CG243" s="1" t="str">
        <f aca="false">IF(OR(NOT(AND(ISNUMBER(E243),ISNUMBER(F243))),$J$2=""),"",IF(Reprogramaciones!X$13&lt;Reprogramaciones!$T$15,0,IF(Reprogramaciones!X$14&gt;10,MIN(100,SUM($G243:$P243)),MIN(100,SUMPRODUCT((COLUMN($G243:$P243)-COLUMN($G243)+1&lt;Reprogramaciones!X$14)*$G243:$P243)+N(INDEX($G243:$P243,1,Reprogramaciones!X$14))*IF(Reprogramaciones!X$13&gt;=(Reprogramaciones!$T$15+7*(Reprogramaciones!X$14-1))+6,1,IF(MAX(0,NETWORKDAYS.INTL(MAX(E243,(Reprogramaciones!$T$15+7*(Reprogramaciones!X$14-1))),MIN(F243,(Reprogramaciones!$T$15+7*(Reprogramaciones!X$14-1))+6),11))=0,0,MAX(0,NETWORKDAYS.INTL(MAX(E243,(Reprogramaciones!$T$15+7*(Reprogramaciones!X$14-1))),MIN(F243,Reprogramaciones!X$13),11))/MAX(0,NETWORKDAYS.INTL(MAX(E243,(Reprogramaciones!$T$15+7*(Reprogramaciones!X$14-1))),MIN(F243,(Reprogramaciones!$T$15+7*(Reprogramaciones!X$14-1))+6),11))))))))</f>
        <v/>
      </c>
      <c r="CH243" s="1" t="str">
        <f aca="false">IF(OR(NOT(AND(ISNUMBER(E243),ISNUMBER(F243))),$J$2=""),"",IF(Reprogramaciones!Y$13&lt;Reprogramaciones!$T$15,0,IF(Reprogramaciones!Y$14&gt;10,MIN(100,SUM($G243:$P243)),MIN(100,SUMPRODUCT((COLUMN($G243:$P243)-COLUMN($G243)+1&lt;Reprogramaciones!Y$14)*$G243:$P243)+N(INDEX($G243:$P243,1,Reprogramaciones!Y$14))*IF(Reprogramaciones!Y$13&gt;=(Reprogramaciones!$T$15+7*(Reprogramaciones!Y$14-1))+6,1,IF(MAX(0,NETWORKDAYS.INTL(MAX(E243,(Reprogramaciones!$T$15+7*(Reprogramaciones!Y$14-1))),MIN(F243,(Reprogramaciones!$T$15+7*(Reprogramaciones!Y$14-1))+6),11))=0,0,MAX(0,NETWORKDAYS.INTL(MAX(E243,(Reprogramaciones!$T$15+7*(Reprogramaciones!Y$14-1))),MIN(F243,Reprogramaciones!Y$13),11))/MAX(0,NETWORKDAYS.INTL(MAX(E243,(Reprogramaciones!$T$15+7*(Reprogramaciones!Y$14-1))),MIN(F243,(Reprogramaciones!$T$15+7*(Reprogramaciones!Y$14-1))+6),11))))))))</f>
        <v/>
      </c>
      <c r="CI243" s="1" t="str">
        <f aca="false">IF(OR(NOT(AND(ISNUMBER(E243),ISNUMBER(F243))),$J$2=""),"",IF(Reprogramaciones!Z$13&lt;Reprogramaciones!$T$15,0,IF(Reprogramaciones!Z$14&gt;10,MIN(100,SUM($G243:$P243)),MIN(100,SUMPRODUCT((COLUMN($G243:$P243)-COLUMN($G243)+1&lt;Reprogramaciones!Z$14)*$G243:$P243)+N(INDEX($G243:$P243,1,Reprogramaciones!Z$14))*IF(Reprogramaciones!Z$13&gt;=(Reprogramaciones!$T$15+7*(Reprogramaciones!Z$14-1))+6,1,IF(MAX(0,NETWORKDAYS.INTL(MAX(E243,(Reprogramaciones!$T$15+7*(Reprogramaciones!Z$14-1))),MIN(F243,(Reprogramaciones!$T$15+7*(Reprogramaciones!Z$14-1))+6),11))=0,0,MAX(0,NETWORKDAYS.INTL(MAX(E243,(Reprogramaciones!$T$15+7*(Reprogramaciones!Z$14-1))),MIN(F243,Reprogramaciones!Z$13),11))/MAX(0,NETWORKDAYS.INTL(MAX(E243,(Reprogramaciones!$T$15+7*(Reprogramaciones!Z$14-1))),MIN(F243,(Reprogramaciones!$T$15+7*(Reprogramaciones!Z$14-1))+6),11))))))))</f>
        <v/>
      </c>
      <c r="CJ243" s="1" t="str">
        <f aca="false">IF(OR(OR(NOT(AND(ISNUMBER(E243),ISNUMBER(F243))),$J$2=""),1&gt;Reprogramaciones!$K$16),"",IF(ROUND(SUM($Q243:Q243),1)&gt;=99.5,100,MIN(100,ROUND(SUM($Q243:Q243),1))))</f>
        <v/>
      </c>
      <c r="CK243" s="1" t="str">
        <f aca="false">IF(OR(OR(NOT(AND(ISNUMBER(E243),ISNUMBER(F243))),$J$2=""),2&gt;Reprogramaciones!$K$16),"",IF(ROUND(SUM($Q243:R243),1)&gt;=99.5,100,MIN(100,ROUND(SUM($Q243:R243),1))))</f>
        <v/>
      </c>
      <c r="CL243" s="1" t="str">
        <f aca="false">IF(OR(OR(NOT(AND(ISNUMBER(E243),ISNUMBER(F243))),$J$2=""),3&gt;Reprogramaciones!$K$16),"",IF(ROUND(SUM($Q243:S243),1)&gt;=99.5,100,MIN(100,ROUND(SUM($Q243:S243),1))))</f>
        <v/>
      </c>
      <c r="CM243" s="1" t="str">
        <f aca="false">IF(OR(OR(NOT(AND(ISNUMBER(E243),ISNUMBER(F243))),$J$2=""),4&gt;Reprogramaciones!$K$16),"",IF(ROUND(SUM($Q243:T243),1)&gt;=99.5,100,MIN(100,ROUND(SUM($Q243:T243),1))))</f>
        <v/>
      </c>
      <c r="CN243" s="1" t="str">
        <f aca="false">IF(OR(OR(NOT(AND(ISNUMBER(E243),ISNUMBER(F243))),$J$2=""),5&gt;Reprogramaciones!$K$16),"",IF(ROUND(SUM($Q243:U243),1)&gt;=99.5,100,MIN(100,ROUND(SUM($Q243:U243),1))))</f>
        <v/>
      </c>
      <c r="CO243" s="1" t="str">
        <f aca="false">IF(OR(OR(NOT(AND(ISNUMBER(E243),ISNUMBER(F243))),$J$2=""),6&gt;Reprogramaciones!$K$16),"",IF(ROUND(SUM($Q243:V243),1)&gt;=99.5,100,MIN(100,ROUND(SUM($Q243:V243),1))))</f>
        <v/>
      </c>
      <c r="CP243" s="1" t="str">
        <f aca="false">IF(OR(OR(NOT(AND(ISNUMBER(E243),ISNUMBER(F243))),$J$2=""),7&gt;Reprogramaciones!$K$16),"",IF(ROUND(SUM($Q243:W243),1)&gt;=99.5,100,MIN(100,ROUND(SUM($Q243:W243),1))))</f>
        <v/>
      </c>
      <c r="CQ243" s="1" t="str">
        <f aca="false">IF(OR(OR(NOT(AND(ISNUMBER(E243),ISNUMBER(F243))),$J$2=""),8&gt;Reprogramaciones!$K$16),"",IF(ROUND(SUM($Q243:X243),1)&gt;=99.5,100,MIN(100,ROUND(SUM($Q243:X243),1))))</f>
        <v/>
      </c>
      <c r="CR243" s="1" t="str">
        <f aca="false">IF(OR(OR(NOT(AND(ISNUMBER(E243),ISNUMBER(F243))),$J$2=""),9&gt;Reprogramaciones!$K$16),"",IF(ROUND(SUM($Q243:Y243),1)&gt;=99.5,100,MIN(100,ROUND(SUM($Q243:Y243),1))))</f>
        <v/>
      </c>
      <c r="CS243" s="1" t="str">
        <f aca="false">IF(OR(OR(NOT(AND(ISNUMBER(E243),ISNUMBER(F243))),$J$2=""),10&gt;Reprogramaciones!$K$16),"",IF(ROUND(SUM($Q243:Z243),1)&gt;=99.5,100,MIN(100,ROUND(SUM($Q243:Z243),1))))</f>
        <v/>
      </c>
      <c r="CT243" s="1" t="str">
        <f aca="false">IF(OR(OR(NOT(AND(ISNUMBER(E243),ISNUMBER(F243))),$J$2=""),11&gt;Reprogramaciones!$K$16),"",IF(ROUND(SUM($Q243:AA243),1)&gt;=99.5,100,MIN(100,ROUND(SUM($Q243:AA243),1))))</f>
        <v/>
      </c>
      <c r="CU243" s="1" t="str">
        <f aca="false">IF(OR(OR(NOT(AND(ISNUMBER(E243),ISNUMBER(F243))),$J$2=""),12&gt;Reprogramaciones!$K$16),"",IF(ROUND(SUM($Q243:AB243),1)&gt;=99.5,100,MIN(100,ROUND(SUM($Q243:AB243),1))))</f>
        <v/>
      </c>
      <c r="CV243" s="1" t="str">
        <f aca="false">IF(OR(OR(NOT(AND(ISNUMBER(E243),ISNUMBER(F243))),$J$2=""),13&gt;Reprogramaciones!$K$16),"",IF(ROUND(SUM($Q243:AC243),1)&gt;=99.5,100,MIN(100,ROUND(SUM($Q243:AC243),1))))</f>
        <v/>
      </c>
      <c r="CW243" s="1" t="str">
        <f aca="false">IF(OR(OR(NOT(AND(ISNUMBER(E243),ISNUMBER(F243))),$J$2=""),14&gt;Reprogramaciones!$K$16),"",IF(ROUND(SUM($Q243:AD243),1)&gt;=99.5,100,MIN(100,ROUND(SUM($Q243:AD243),1))))</f>
        <v/>
      </c>
      <c r="CX243" s="1" t="str">
        <f aca="false">IF(OR(OR(NOT(AND(ISNUMBER(E243),ISNUMBER(F243))),$J$2=""),15&gt;Reprogramaciones!$K$16),"",IF(ROUND(SUM($Q243:AE243),1)&gt;=99.5,100,MIN(100,ROUND(SUM($Q243:AE243),1))))</f>
        <v/>
      </c>
      <c r="CY243" s="1" t="str">
        <f aca="false">IF(OR(OR(NOT(AND(ISNUMBER(E243),ISNUMBER(F243))),$J$2=""),16&gt;Reprogramaciones!$K$16),"",IF(ROUND(SUM($Q243:AF243),1)&gt;=99.5,100,MIN(100,ROUND(SUM($Q243:AF243),1))))</f>
        <v/>
      </c>
      <c r="CZ243" s="1" t="str">
        <f aca="false">IF(D243&lt;&gt;"",D243,IF(B243&lt;&gt;"","Contractual",CZ242))</f>
        <v>Contractual</v>
      </c>
      <c r="DA243" s="1" t="str">
        <f aca="false">IF(OR(NOT(AND(ISNUMBER(E243),ISNUMBER(F243))),$J$2=""),"",IF(Reprogramaciones!$Q$15&lt;Reprogramaciones!$T$15,0,IF(Reprogramaciones!$S$15&gt;10,MIN(100,SUM($G243:$P243)),MIN(100,SUMPRODUCT((COLUMN($G243:$P243)-COLUMN($G243)+1&lt;Reprogramaciones!$S$15)*$G243:$P243)+N(INDEX($G243:$P243,1,Reprogramaciones!$S$15))*IF(Reprogramaciones!$Q$15&gt;=(Reprogramaciones!$T$15+7*(Reprogramaciones!$S$15-1))+6,1,IF(MAX(0,NETWORKDAYS.INTL(MAX(E243,(Reprogramaciones!$T$15+7*(Reprogramaciones!$S$15-1))),MIN(F243,(Reprogramaciones!$T$15+7*(Reprogramaciones!$S$15-1))+6),11))=0,0,MAX(0,NETWORKDAYS.INTL(MAX(E243,(Reprogramaciones!$T$15+7*(Reprogramaciones!$S$15-1))),MIN(F243,Reprogramaciones!$Q$15),11))/MAX(0,NETWORKDAYS.INTL(MAX(E243,(Reprogramaciones!$T$15+7*(Reprogramaciones!$S$15-1))),MIN(F243,(Reprogramaciones!$T$15+7*(Reprogramaciones!$S$15-1))+6),11))))))))</f>
        <v/>
      </c>
    </row>
    <row r="244" customFormat="false" ht="15" hidden="false" customHeight="false" outlineLevel="0" collapsed="false">
      <c r="A244" s="32"/>
      <c r="B244" s="33"/>
      <c r="C244" s="33"/>
      <c r="D244" s="34"/>
      <c r="E244" s="35"/>
      <c r="F244" s="35"/>
      <c r="G244" s="36" t="str">
        <f aca="false">IF(OR(NOT(AND(ISNUMBER(E244),ISNUMBER(F244))),$J$2=""),"",IF(Reprogramaciones!K$9&lt;E244,0,IF(NETWORKDAYS.INTL(E244,F244,11)=0,IF(Reprogramaciones!K$9&gt;=F244,100,0),ROUND(NETWORKDAYS.INTL(E244,MIN(F244,Reprogramaciones!K$9),11)/NETWORKDAYS.INTL(E244,F244,11)*100,1)))-0)</f>
        <v/>
      </c>
      <c r="H244" s="36" t="str">
        <f aca="false">IF(OR(NOT(AND(ISNUMBER(E244),ISNUMBER(F244))),$J$2=""),"",IF(Reprogramaciones!L$9&lt;E244,0,IF(NETWORKDAYS.INTL(E244,F244,11)=0,IF(Reprogramaciones!L$9&gt;=F244,100,0),ROUND(NETWORKDAYS.INTL(E244,MIN(F244,Reprogramaciones!L$9),11)/NETWORKDAYS.INTL(E244,F244,11)*100,1)))-IF(Reprogramaciones!K$9&lt;E244,0,IF(NETWORKDAYS.INTL(E244,F244,11)=0,IF(Reprogramaciones!K$9&gt;=F244,100,0),ROUND(NETWORKDAYS.INTL(E244,MIN(F244,Reprogramaciones!K$9),11)/NETWORKDAYS.INTL(E244,F244,11)*100,1))))</f>
        <v/>
      </c>
      <c r="I244" s="36" t="str">
        <f aca="false">IF(OR(NOT(AND(ISNUMBER(E244),ISNUMBER(F244))),$J$2=""),"",IF(Reprogramaciones!M$9&lt;E244,0,IF(NETWORKDAYS.INTL(E244,F244,11)=0,IF(Reprogramaciones!M$9&gt;=F244,100,0),ROUND(NETWORKDAYS.INTL(E244,MIN(F244,Reprogramaciones!M$9),11)/NETWORKDAYS.INTL(E244,F244,11)*100,1)))-IF(Reprogramaciones!L$9&lt;E244,0,IF(NETWORKDAYS.INTL(E244,F244,11)=0,IF(Reprogramaciones!L$9&gt;=F244,100,0),ROUND(NETWORKDAYS.INTL(E244,MIN(F244,Reprogramaciones!L$9),11)/NETWORKDAYS.INTL(E244,F244,11)*100,1))))</f>
        <v/>
      </c>
      <c r="J244" s="36" t="str">
        <f aca="false">IF(OR(NOT(AND(ISNUMBER(E244),ISNUMBER(F244))),$J$2=""),"",IF(Reprogramaciones!N$9&lt;E244,0,IF(NETWORKDAYS.INTL(E244,F244,11)=0,IF(Reprogramaciones!N$9&gt;=F244,100,0),ROUND(NETWORKDAYS.INTL(E244,MIN(F244,Reprogramaciones!N$9),11)/NETWORKDAYS.INTL(E244,F244,11)*100,1)))-IF(Reprogramaciones!M$9&lt;E244,0,IF(NETWORKDAYS.INTL(E244,F244,11)=0,IF(Reprogramaciones!M$9&gt;=F244,100,0),ROUND(NETWORKDAYS.INTL(E244,MIN(F244,Reprogramaciones!M$9),11)/NETWORKDAYS.INTL(E244,F244,11)*100,1))))</f>
        <v/>
      </c>
      <c r="K244" s="36" t="str">
        <f aca="false">IF(OR(NOT(AND(ISNUMBER(E244),ISNUMBER(F244))),$J$2=""),"",IF(Reprogramaciones!O$9&lt;E244,0,IF(NETWORKDAYS.INTL(E244,F244,11)=0,IF(Reprogramaciones!O$9&gt;=F244,100,0),ROUND(NETWORKDAYS.INTL(E244,MIN(F244,Reprogramaciones!O$9),11)/NETWORKDAYS.INTL(E244,F244,11)*100,1)))-IF(Reprogramaciones!N$9&lt;E244,0,IF(NETWORKDAYS.INTL(E244,F244,11)=0,IF(Reprogramaciones!N$9&gt;=F244,100,0),ROUND(NETWORKDAYS.INTL(E244,MIN(F244,Reprogramaciones!N$9),11)/NETWORKDAYS.INTL(E244,F244,11)*100,1))))</f>
        <v/>
      </c>
      <c r="L244" s="36" t="str">
        <f aca="false">IF(OR(NOT(AND(ISNUMBER(E244),ISNUMBER(F244))),$J$2=""),"",IF(Reprogramaciones!P$9&lt;E244,0,IF(NETWORKDAYS.INTL(E244,F244,11)=0,IF(Reprogramaciones!P$9&gt;=F244,100,0),ROUND(NETWORKDAYS.INTL(E244,MIN(F244,Reprogramaciones!P$9),11)/NETWORKDAYS.INTL(E244,F244,11)*100,1)))-IF(Reprogramaciones!O$9&lt;E244,0,IF(NETWORKDAYS.INTL(E244,F244,11)=0,IF(Reprogramaciones!O$9&gt;=F244,100,0),ROUND(NETWORKDAYS.INTL(E244,MIN(F244,Reprogramaciones!O$9),11)/NETWORKDAYS.INTL(E244,F244,11)*100,1))))</f>
        <v/>
      </c>
      <c r="M244" s="36" t="str">
        <f aca="false">IF(OR(NOT(AND(ISNUMBER(E244),ISNUMBER(F244))),$J$2=""),"",IF(Reprogramaciones!Q$9&lt;E244,0,IF(NETWORKDAYS.INTL(E244,F244,11)=0,IF(Reprogramaciones!Q$9&gt;=F244,100,0),ROUND(NETWORKDAYS.INTL(E244,MIN(F244,Reprogramaciones!Q$9),11)/NETWORKDAYS.INTL(E244,F244,11)*100,1)))-IF(Reprogramaciones!P$9&lt;E244,0,IF(NETWORKDAYS.INTL(E244,F244,11)=0,IF(Reprogramaciones!P$9&gt;=F244,100,0),ROUND(NETWORKDAYS.INTL(E244,MIN(F244,Reprogramaciones!P$9),11)/NETWORKDAYS.INTL(E244,F244,11)*100,1))))</f>
        <v/>
      </c>
      <c r="N244" s="36" t="str">
        <f aca="false">IF(OR(NOT(AND(ISNUMBER(E244),ISNUMBER(F244))),$J$2=""),"",IF(Reprogramaciones!R$9&lt;E244,0,IF(NETWORKDAYS.INTL(E244,F244,11)=0,IF(Reprogramaciones!R$9&gt;=F244,100,0),ROUND(NETWORKDAYS.INTL(E244,MIN(F244,Reprogramaciones!R$9),11)/NETWORKDAYS.INTL(E244,F244,11)*100,1)))-IF(Reprogramaciones!Q$9&lt;E244,0,IF(NETWORKDAYS.INTL(E244,F244,11)=0,IF(Reprogramaciones!Q$9&gt;=F244,100,0),ROUND(NETWORKDAYS.INTL(E244,MIN(F244,Reprogramaciones!Q$9),11)/NETWORKDAYS.INTL(E244,F244,11)*100,1))))</f>
        <v/>
      </c>
      <c r="O244" s="36" t="str">
        <f aca="false">IF(OR(NOT(AND(ISNUMBER(E244),ISNUMBER(F244))),$J$2=""),"",IF(Reprogramaciones!S$9&lt;E244,0,IF(NETWORKDAYS.INTL(E244,F244,11)=0,IF(Reprogramaciones!S$9&gt;=F244,100,0),ROUND(NETWORKDAYS.INTL(E244,MIN(F244,Reprogramaciones!S$9),11)/NETWORKDAYS.INTL(E244,F244,11)*100,1)))-IF(Reprogramaciones!R$9&lt;E244,0,IF(NETWORKDAYS.INTL(E244,F244,11)=0,IF(Reprogramaciones!R$9&gt;=F244,100,0),ROUND(NETWORKDAYS.INTL(E244,MIN(F244,Reprogramaciones!R$9),11)/NETWORKDAYS.INTL(E244,F244,11)*100,1))))</f>
        <v/>
      </c>
      <c r="P244" s="36" t="str">
        <f aca="false">IF(OR(NOT(AND(ISNUMBER(E244),ISNUMBER(F244))),$J$2=""),"",IF(Reprogramaciones!T$9&lt;E244,0,IF(NETWORKDAYS.INTL(E244,F244,11)=0,IF(Reprogramaciones!T$9&gt;=F244,100,0),ROUND(NETWORKDAYS.INTL(E244,MIN(F244,Reprogramaciones!T$9),11)/NETWORKDAYS.INTL(E244,F244,11)*100,1)))-IF(Reprogramaciones!S$9&lt;E244,0,IF(NETWORKDAYS.INTL(E244,F244,11)=0,IF(Reprogramaciones!S$9&gt;=F244,100,0),ROUND(NETWORKDAYS.INTL(E244,MIN(F244,Reprogramaciones!S$9),11)/NETWORKDAYS.INTL(E244,F244,11)*100,1))))</f>
        <v/>
      </c>
      <c r="Q244" s="37"/>
      <c r="R244" s="37"/>
      <c r="S244" s="37"/>
      <c r="T244" s="37"/>
      <c r="U244" s="37"/>
      <c r="V244" s="37"/>
      <c r="W244" s="37"/>
      <c r="X244" s="37"/>
      <c r="Y244" s="37"/>
      <c r="Z244" s="37"/>
      <c r="AA244" s="37"/>
      <c r="AB244" s="37"/>
      <c r="AC244" s="37"/>
      <c r="AD244" s="37"/>
      <c r="AE244" s="37"/>
      <c r="AF244" s="37"/>
      <c r="AG244" s="38" t="str">
        <f aca="false">IF(AND(ISNUMBER(E244),ISNUMBER(F244)),NETWORKDAYS.INTL(E244,F244,11),"")</f>
        <v/>
      </c>
      <c r="AH244" s="38" t="str">
        <f aca="false">IF(OR(NOT(AND(ISNUMBER(E244),ISNUMBER(F244))),$J$2=""),"",IF(Reprogramaciones!$P$15&lt;Reprogramaciones!$T$15,0,IF(Reprogramaciones!$R$15&gt;10,MIN(100,SUM($G244:$P244)),MIN(100,SUMPRODUCT((COLUMN($G244:$P244)-COLUMN($G244)+1&lt;Reprogramaciones!$R$15)*$G244:$P244)+N(INDEX($G244:$P244,1,Reprogramaciones!$R$15))*IF(Reprogramaciones!$P$15&gt;=(Reprogramaciones!$T$15+7*(Reprogramaciones!$R$15-1))+6,1,IF(MAX(0,NETWORKDAYS.INTL(MAX(E244,(Reprogramaciones!$T$15+7*(Reprogramaciones!$R$15-1))),MIN(F244,(Reprogramaciones!$T$15+7*(Reprogramaciones!$R$15-1))+6),11))=0,0,MAX(0,NETWORKDAYS.INTL(MAX(E244,(Reprogramaciones!$T$15+7*(Reprogramaciones!$R$15-1))),MIN(F244,Reprogramaciones!$P$15),11))/MAX(0,NETWORKDAYS.INTL(MAX(E244,(Reprogramaciones!$T$15+7*(Reprogramaciones!$R$15-1))),MIN(F244,(Reprogramaciones!$T$15+7*(Reprogramaciones!$R$15-1))+6),11))))))))</f>
        <v/>
      </c>
      <c r="AI244" s="38" t="str">
        <f aca="false">IF(COUNT($Q244:$AF244)=0,"",IF(ROUND(SUM($Q244:$AF244),1)&gt;=99.5,100,MIN(100,ROUND(SUM($Q244:$AF244),1))))</f>
        <v/>
      </c>
      <c r="AJ244" s="38" t="str">
        <f aca="false">IF(OR(AH244="",AI244=""),"",AI244-AH244)</f>
        <v/>
      </c>
      <c r="AK244" s="39" t="str">
        <f aca="true">IF(AH244="","",IF(OR(Ficha!$C$10="Suspendida",Ficha!$C$10="Cancelada"),Ficha!$C$10,IF(AND(AI244&lt;&gt;"",N(AI244)&gt;=100),"Completada",IF(AND(E244&gt;TODAY(),N(AI244)=0),"Por iniciar",IF(N(AI244)+0.5&lt;AH244,"Retrasada",IF(N(AI244)+0.5&lt;DA244,IF(Reprogramaciones!$K$15&gt;0,"Al día · Sem "&amp;Reprogramaciones!$K$15&amp;" en curso","Al día · en curso"),"A tiempo"))))))</f>
        <v/>
      </c>
      <c r="AL244" s="39" t="str">
        <f aca="true">IF(AND(A244="",AND(B244="",C244="",E244="",F244="",COUNT(Q244:AF244)=0)),"",IF(AND(B244="",C244="",E244="",F244="",COUNT(Q244:AF244)=0),"Falta la partida o subpartida",IF(AND(A244&lt;&gt;"",COUNTIF($A$6:$A$305,A244)&gt;1),"Ítem repetido",IF(AND(C244="",E244="",F244="",COUNT(Q244:AF244)=0),"Título de partida",IF(OR(E244="",F244=""),"Faltan fechas",IF(OR(ISTEXT(E244),ISTEXT(F244)),"Fecha escrita como texto: usa dd/mm/aaaa",IF(F244&lt;E244,"Fin antes del inicio",IF(IF($J$2="",FALSE(),OR(E244&lt;$J$2,F244&gt;Reprogramaciones!$T$15+69)),"Fuera de las 10 semanas",IF(ABS(SUM(G244:P244)-100)&gt;0.5,"La meta no suma 100%",IF(ROUND(SUM(Q244:AF244),1)&gt;100.5,"El avance pasa de 100%",IF(MIN(Q244:AF244)&lt;0,"Avance negativo",IF(COUNTA(Q244:AF244)&gt;COUNT(Q244:AF244),"Avance escrito como texto",IF(SUMPRODUCT((Q244:AF244&gt;0)*(Q244:AF244&lt;1))&gt;0,"Avance menor a 1: escribe 50, no 50%",IF(SUMPRODUCT(ISNUMBER(Q244:AF244)*(Reprogramaciones!$K$8:$Z$8&gt;TODAY()))&gt;0,"Avance en semana que aún no llega",IF(AND(N(Reprogramaciones!$E$21)&gt;0,F244&gt;Reprogramaciones!$E$21),"Pasa el fin de la obra: registra una reprogramación",IF(AND(N(Reprogramaciones!$E$21)&gt;0,SUMPRODUCT(ISNUMBER(Q244:AF244)*(Reprogramaciones!$K$8:$Z$8&gt;Reprogramaciones!$E$21))&gt;0),"Avance después del fin de la obra: registra una reprogramación por atraso","OK"))))))))))))))))</f>
        <v/>
      </c>
      <c r="AM244" s="40" t="str">
        <f aca="false">IF(OR(OR(NOT(AND(ISNUMBER(E244),ISNUMBER(F244))),$J$2=""),1&gt;MAX(1,Reprogramaciones!$U$15)),"",IF(Reprogramaciones!K$12&gt;=7,"",IF(OR(BT244-N(0)&gt;0.05,N(Q244)&gt;0),ROUNDDOWN(ROUND(BT244,6),0)&amp;"%"&amp;IF(CJ244="",""," / "&amp;CJ244&amp;"%"),IF(AND(N(0)&gt;=99.95,CJ244&lt;&gt;"",N(CJ244)&lt;100),"Pend. "&amp;CJ244&amp;"%",""))))</f>
        <v/>
      </c>
      <c r="AN244" s="40" t="str">
        <f aca="false">IF(OR(OR(NOT(AND(ISNUMBER(E244),ISNUMBER(F244))),$J$2=""),2&gt;MAX(1,Reprogramaciones!$U$15)),"",IF(Reprogramaciones!L$12&gt;=7,"",IF(OR(BU244-N(BT244)&gt;0.05,N(R244)&gt;0),ROUNDDOWN(ROUND(BU244,6),0)&amp;"%"&amp;IF(CK244="",""," / "&amp;CK244&amp;"%"),IF(AND(N(BT244)&gt;=99.95,CK244&lt;&gt;"",N(CK244)&lt;100),"Pend. "&amp;CK244&amp;"%",""))))</f>
        <v/>
      </c>
      <c r="AO244" s="40" t="str">
        <f aca="false">IF(OR(OR(NOT(AND(ISNUMBER(E244),ISNUMBER(F244))),$J$2=""),3&gt;MAX(1,Reprogramaciones!$U$15)),"",IF(Reprogramaciones!M$12&gt;=7,"",IF(OR(BV244-N(BU244)&gt;0.05,N(S244)&gt;0),ROUNDDOWN(ROUND(BV244,6),0)&amp;"%"&amp;IF(CL244="",""," / "&amp;CL244&amp;"%"),IF(AND(N(BU244)&gt;=99.95,CL244&lt;&gt;"",N(CL244)&lt;100),"Pend. "&amp;CL244&amp;"%",""))))</f>
        <v/>
      </c>
      <c r="AP244" s="40" t="str">
        <f aca="false">IF(OR(OR(NOT(AND(ISNUMBER(E244),ISNUMBER(F244))),$J$2=""),4&gt;MAX(1,Reprogramaciones!$U$15)),"",IF(Reprogramaciones!N$12&gt;=7,"",IF(OR(BW244-N(BV244)&gt;0.05,N(T244)&gt;0),ROUNDDOWN(ROUND(BW244,6),0)&amp;"%"&amp;IF(CM244="",""," / "&amp;CM244&amp;"%"),IF(AND(N(BV244)&gt;=99.95,CM244&lt;&gt;"",N(CM244)&lt;100),"Pend. "&amp;CM244&amp;"%",""))))</f>
        <v/>
      </c>
      <c r="AQ244" s="40" t="str">
        <f aca="false">IF(OR(OR(NOT(AND(ISNUMBER(E244),ISNUMBER(F244))),$J$2=""),5&gt;MAX(1,Reprogramaciones!$U$15)),"",IF(Reprogramaciones!O$12&gt;=7,"",IF(OR(BX244-N(BW244)&gt;0.05,N(U244)&gt;0),ROUNDDOWN(ROUND(BX244,6),0)&amp;"%"&amp;IF(CN244="",""," / "&amp;CN244&amp;"%"),IF(AND(N(BW244)&gt;=99.95,CN244&lt;&gt;"",N(CN244)&lt;100),"Pend. "&amp;CN244&amp;"%",""))))</f>
        <v/>
      </c>
      <c r="AR244" s="40" t="str">
        <f aca="false">IF(OR(OR(NOT(AND(ISNUMBER(E244),ISNUMBER(F244))),$J$2=""),6&gt;MAX(1,Reprogramaciones!$U$15)),"",IF(Reprogramaciones!P$12&gt;=7,"",IF(OR(BY244-N(BX244)&gt;0.05,N(V244)&gt;0),ROUNDDOWN(ROUND(BY244,6),0)&amp;"%"&amp;IF(CO244="",""," / "&amp;CO244&amp;"%"),IF(AND(N(BX244)&gt;=99.95,CO244&lt;&gt;"",N(CO244)&lt;100),"Pend. "&amp;CO244&amp;"%",""))))</f>
        <v/>
      </c>
      <c r="AS244" s="40" t="str">
        <f aca="false">IF(OR(OR(NOT(AND(ISNUMBER(E244),ISNUMBER(F244))),$J$2=""),7&gt;MAX(1,Reprogramaciones!$U$15)),"",IF(Reprogramaciones!Q$12&gt;=7,"",IF(OR(BZ244-N(BY244)&gt;0.05,N(W244)&gt;0),ROUNDDOWN(ROUND(BZ244,6),0)&amp;"%"&amp;IF(CP244="",""," / "&amp;CP244&amp;"%"),IF(AND(N(BY244)&gt;=99.95,CP244&lt;&gt;"",N(CP244)&lt;100),"Pend. "&amp;CP244&amp;"%",""))))</f>
        <v/>
      </c>
      <c r="AT244" s="40" t="str">
        <f aca="false">IF(OR(OR(NOT(AND(ISNUMBER(E244),ISNUMBER(F244))),$J$2=""),8&gt;MAX(1,Reprogramaciones!$U$15)),"",IF(Reprogramaciones!R$12&gt;=7,"",IF(OR(CA244-N(BZ244)&gt;0.05,N(X244)&gt;0),ROUNDDOWN(ROUND(CA244,6),0)&amp;"%"&amp;IF(CQ244="",""," / "&amp;CQ244&amp;"%"),IF(AND(N(BZ244)&gt;=99.95,CQ244&lt;&gt;"",N(CQ244)&lt;100),"Pend. "&amp;CQ244&amp;"%",""))))</f>
        <v/>
      </c>
      <c r="AU244" s="40" t="str">
        <f aca="false">IF(OR(OR(NOT(AND(ISNUMBER(E244),ISNUMBER(F244))),$J$2=""),9&gt;MAX(1,Reprogramaciones!$U$15)),"",IF(Reprogramaciones!S$12&gt;=7,"",IF(OR(CB244-N(CA244)&gt;0.05,N(Y244)&gt;0),ROUNDDOWN(ROUND(CB244,6),0)&amp;"%"&amp;IF(CR244="",""," / "&amp;CR244&amp;"%"),IF(AND(N(CA244)&gt;=99.95,CR244&lt;&gt;"",N(CR244)&lt;100),"Pend. "&amp;CR244&amp;"%",""))))</f>
        <v/>
      </c>
      <c r="AV244" s="40" t="str">
        <f aca="false">IF(OR(OR(NOT(AND(ISNUMBER(E244),ISNUMBER(F244))),$J$2=""),10&gt;MAX(1,Reprogramaciones!$U$15)),"",IF(Reprogramaciones!T$12&gt;=7,"",IF(OR(CC244-N(CB244)&gt;0.05,N(Z244)&gt;0),ROUNDDOWN(ROUND(CC244,6),0)&amp;"%"&amp;IF(CS244="",""," / "&amp;CS244&amp;"%"),IF(AND(N(CB244)&gt;=99.95,CS244&lt;&gt;"",N(CS244)&lt;100),"Pend. "&amp;CS244&amp;"%",""))))</f>
        <v/>
      </c>
      <c r="AW244" s="40" t="str">
        <f aca="false">IF(OR(OR(NOT(AND(ISNUMBER(E244),ISNUMBER(F244))),$J$2=""),11&gt;MAX(1,Reprogramaciones!$U$15)),"",IF(Reprogramaciones!U$12&gt;=7,"",IF(OR(CD244-N(CC244)&gt;0.05,N(AA244)&gt;0),ROUNDDOWN(ROUND(CD244,6),0)&amp;"%"&amp;IF(CT244="",""," / "&amp;CT244&amp;"%"),IF(AND(N(CC244)&gt;=99.95,CT244&lt;&gt;"",N(CT244)&lt;100),"Pend. "&amp;CT244&amp;"%",""))))</f>
        <v/>
      </c>
      <c r="AX244" s="40" t="str">
        <f aca="false">IF(OR(OR(NOT(AND(ISNUMBER(E244),ISNUMBER(F244))),$J$2=""),12&gt;MAX(1,Reprogramaciones!$U$15)),"",IF(Reprogramaciones!V$12&gt;=7,"",IF(OR(CE244-N(CD244)&gt;0.05,N(AB244)&gt;0),ROUNDDOWN(ROUND(CE244,6),0)&amp;"%"&amp;IF(CU244="",""," / "&amp;CU244&amp;"%"),IF(AND(N(CD244)&gt;=99.95,CU244&lt;&gt;"",N(CU244)&lt;100),"Pend. "&amp;CU244&amp;"%",""))))</f>
        <v/>
      </c>
      <c r="AY244" s="40" t="str">
        <f aca="false">IF(OR(OR(NOT(AND(ISNUMBER(E244),ISNUMBER(F244))),$J$2=""),13&gt;MAX(1,Reprogramaciones!$U$15)),"",IF(Reprogramaciones!W$12&gt;=7,"",IF(OR(CF244-N(CE244)&gt;0.05,N(AC244)&gt;0),ROUNDDOWN(ROUND(CF244,6),0)&amp;"%"&amp;IF(CV244="",""," / "&amp;CV244&amp;"%"),IF(AND(N(CE244)&gt;=99.95,CV244&lt;&gt;"",N(CV244)&lt;100),"Pend. "&amp;CV244&amp;"%",""))))</f>
        <v/>
      </c>
      <c r="AZ244" s="40" t="str">
        <f aca="false">IF(OR(OR(NOT(AND(ISNUMBER(E244),ISNUMBER(F244))),$J$2=""),14&gt;MAX(1,Reprogramaciones!$U$15)),"",IF(Reprogramaciones!X$12&gt;=7,"",IF(OR(CG244-N(CF244)&gt;0.05,N(AD244)&gt;0),ROUNDDOWN(ROUND(CG244,6),0)&amp;"%"&amp;IF(CW244="",""," / "&amp;CW244&amp;"%"),IF(AND(N(CF244)&gt;=99.95,CW244&lt;&gt;"",N(CW244)&lt;100),"Pend. "&amp;CW244&amp;"%",""))))</f>
        <v/>
      </c>
      <c r="BA244" s="40" t="str">
        <f aca="false">IF(OR(OR(NOT(AND(ISNUMBER(E244),ISNUMBER(F244))),$J$2=""),15&gt;MAX(1,Reprogramaciones!$U$15)),"",IF(Reprogramaciones!Y$12&gt;=7,"",IF(OR(CH244-N(CG244)&gt;0.05,N(AE244)&gt;0),ROUNDDOWN(ROUND(CH244,6),0)&amp;"%"&amp;IF(CX244="",""," / "&amp;CX244&amp;"%"),IF(AND(N(CG244)&gt;=99.95,CX244&lt;&gt;"",N(CX244)&lt;100),"Pend. "&amp;CX244&amp;"%",""))))</f>
        <v/>
      </c>
      <c r="BB244" s="40" t="str">
        <f aca="false">IF(OR(OR(NOT(AND(ISNUMBER(E244),ISNUMBER(F244))),$J$2=""),16&gt;MAX(1,Reprogramaciones!$U$15)),"",IF(Reprogramaciones!Z$12&gt;=7,"",IF(OR(CI244-N(CH244)&gt;0.05,N(AF244)&gt;0),ROUNDDOWN(ROUND(CI244,6),0)&amp;"%"&amp;IF(CY244="",""," / "&amp;CY244&amp;"%"),IF(AND(N(CH244)&gt;=99.95,CY244&lt;&gt;"",N(CY244)&lt;100),"Pend. "&amp;CY244&amp;"%",""))))</f>
        <v/>
      </c>
      <c r="BC244" s="31" t="n">
        <f aca="false">IF(AND(ISNUMBER(E244),ISNUMBER(F244)),MAX(1,NETWORKDAYS.INTL(E244,F244,11)),0)</f>
        <v>0</v>
      </c>
      <c r="BD244" s="1" t="str">
        <f aca="false">IF(OR(NOT(AND(ISNUMBER(E244),ISNUMBER(F244))),$J$2=""),"",MIN(100,ROUND(SUM($G244:G244),1)))</f>
        <v/>
      </c>
      <c r="BE244" s="1" t="str">
        <f aca="false">IF(OR(NOT(AND(ISNUMBER(E244),ISNUMBER(F244))),$J$2=""),"",MIN(100,ROUND(SUM($G244:H244),1)))</f>
        <v/>
      </c>
      <c r="BF244" s="1" t="str">
        <f aca="false">IF(OR(NOT(AND(ISNUMBER(E244),ISNUMBER(F244))),$J$2=""),"",MIN(100,ROUND(SUM($G244:I244),1)))</f>
        <v/>
      </c>
      <c r="BG244" s="1" t="str">
        <f aca="false">IF(OR(NOT(AND(ISNUMBER(E244),ISNUMBER(F244))),$J$2=""),"",MIN(100,ROUND(SUM($G244:J244),1)))</f>
        <v/>
      </c>
      <c r="BH244" s="1" t="str">
        <f aca="false">IF(OR(NOT(AND(ISNUMBER(E244),ISNUMBER(F244))),$J$2=""),"",MIN(100,ROUND(SUM($G244:K244),1)))</f>
        <v/>
      </c>
      <c r="BI244" s="1" t="str">
        <f aca="false">IF(OR(NOT(AND(ISNUMBER(E244),ISNUMBER(F244))),$J$2=""),"",MIN(100,ROUND(SUM($G244:L244),1)))</f>
        <v/>
      </c>
      <c r="BJ244" s="1" t="str">
        <f aca="false">IF(OR(NOT(AND(ISNUMBER(E244),ISNUMBER(F244))),$J$2=""),"",MIN(100,ROUND(SUM($G244:M244),1)))</f>
        <v/>
      </c>
      <c r="BK244" s="1" t="str">
        <f aca="false">IF(OR(NOT(AND(ISNUMBER(E244),ISNUMBER(F244))),$J$2=""),"",MIN(100,ROUND(SUM($G244:N244),1)))</f>
        <v/>
      </c>
      <c r="BL244" s="1" t="str">
        <f aca="false">IF(OR(NOT(AND(ISNUMBER(E244),ISNUMBER(F244))),$J$2=""),"",MIN(100,ROUND(SUM($G244:O244),1)))</f>
        <v/>
      </c>
      <c r="BM244" s="1" t="str">
        <f aca="false">IF(OR(NOT(AND(ISNUMBER(E244),ISNUMBER(F244))),$J$2=""),"",MIN(100,ROUND(SUM($G244:P244),1)))</f>
        <v/>
      </c>
      <c r="BN244" s="1" t="str">
        <f aca="false">IF(OR(NOT(AND(ISNUMBER(E244),ISNUMBER(F244))),$J$2=""),"",MIN(100,ROUND(SUM($G244:P244),1)))</f>
        <v/>
      </c>
      <c r="BO244" s="1" t="str">
        <f aca="false">IF(OR(NOT(AND(ISNUMBER(E244),ISNUMBER(F244))),$J$2=""),"",MIN(100,ROUND(SUM($G244:P244),1)))</f>
        <v/>
      </c>
      <c r="BP244" s="1" t="str">
        <f aca="false">IF(OR(NOT(AND(ISNUMBER(E244),ISNUMBER(F244))),$J$2=""),"",MIN(100,ROUND(SUM($G244:P244),1)))</f>
        <v/>
      </c>
      <c r="BQ244" s="1" t="str">
        <f aca="false">IF(OR(NOT(AND(ISNUMBER(E244),ISNUMBER(F244))),$J$2=""),"",MIN(100,ROUND(SUM($G244:P244),1)))</f>
        <v/>
      </c>
      <c r="BR244" s="1" t="str">
        <f aca="false">IF(OR(NOT(AND(ISNUMBER(E244),ISNUMBER(F244))),$J$2=""),"",MIN(100,ROUND(SUM($G244:P244),1)))</f>
        <v/>
      </c>
      <c r="BS244" s="1" t="str">
        <f aca="false">IF(OR(NOT(AND(ISNUMBER(E244),ISNUMBER(F244))),$J$2=""),"",MIN(100,ROUND(SUM($G244:P244),1)))</f>
        <v/>
      </c>
      <c r="BT244" s="1" t="str">
        <f aca="false">IF(OR(NOT(AND(ISNUMBER(E244),ISNUMBER(F244))),$J$2=""),"",IF(Reprogramaciones!K$13&lt;Reprogramaciones!$T$15,0,IF(Reprogramaciones!K$14&gt;10,MIN(100,SUM($G244:$P244)),MIN(100,SUMPRODUCT((COLUMN($G244:$P244)-COLUMN($G244)+1&lt;Reprogramaciones!K$14)*$G244:$P244)+N(INDEX($G244:$P244,1,Reprogramaciones!K$14))*IF(Reprogramaciones!K$13&gt;=(Reprogramaciones!$T$15+7*(Reprogramaciones!K$14-1))+6,1,IF(MAX(0,NETWORKDAYS.INTL(MAX(E244,(Reprogramaciones!$T$15+7*(Reprogramaciones!K$14-1))),MIN(F244,(Reprogramaciones!$T$15+7*(Reprogramaciones!K$14-1))+6),11))=0,0,MAX(0,NETWORKDAYS.INTL(MAX(E244,(Reprogramaciones!$T$15+7*(Reprogramaciones!K$14-1))),MIN(F244,Reprogramaciones!K$13),11))/MAX(0,NETWORKDAYS.INTL(MAX(E244,(Reprogramaciones!$T$15+7*(Reprogramaciones!K$14-1))),MIN(F244,(Reprogramaciones!$T$15+7*(Reprogramaciones!K$14-1))+6),11))))))))</f>
        <v/>
      </c>
      <c r="BU244" s="1" t="str">
        <f aca="false">IF(OR(NOT(AND(ISNUMBER(E244),ISNUMBER(F244))),$J$2=""),"",IF(Reprogramaciones!L$13&lt;Reprogramaciones!$T$15,0,IF(Reprogramaciones!L$14&gt;10,MIN(100,SUM($G244:$P244)),MIN(100,SUMPRODUCT((COLUMN($G244:$P244)-COLUMN($G244)+1&lt;Reprogramaciones!L$14)*$G244:$P244)+N(INDEX($G244:$P244,1,Reprogramaciones!L$14))*IF(Reprogramaciones!L$13&gt;=(Reprogramaciones!$T$15+7*(Reprogramaciones!L$14-1))+6,1,IF(MAX(0,NETWORKDAYS.INTL(MAX(E244,(Reprogramaciones!$T$15+7*(Reprogramaciones!L$14-1))),MIN(F244,(Reprogramaciones!$T$15+7*(Reprogramaciones!L$14-1))+6),11))=0,0,MAX(0,NETWORKDAYS.INTL(MAX(E244,(Reprogramaciones!$T$15+7*(Reprogramaciones!L$14-1))),MIN(F244,Reprogramaciones!L$13),11))/MAX(0,NETWORKDAYS.INTL(MAX(E244,(Reprogramaciones!$T$15+7*(Reprogramaciones!L$14-1))),MIN(F244,(Reprogramaciones!$T$15+7*(Reprogramaciones!L$14-1))+6),11))))))))</f>
        <v/>
      </c>
      <c r="BV244" s="1" t="str">
        <f aca="false">IF(OR(NOT(AND(ISNUMBER(E244),ISNUMBER(F244))),$J$2=""),"",IF(Reprogramaciones!M$13&lt;Reprogramaciones!$T$15,0,IF(Reprogramaciones!M$14&gt;10,MIN(100,SUM($G244:$P244)),MIN(100,SUMPRODUCT((COLUMN($G244:$P244)-COLUMN($G244)+1&lt;Reprogramaciones!M$14)*$G244:$P244)+N(INDEX($G244:$P244,1,Reprogramaciones!M$14))*IF(Reprogramaciones!M$13&gt;=(Reprogramaciones!$T$15+7*(Reprogramaciones!M$14-1))+6,1,IF(MAX(0,NETWORKDAYS.INTL(MAX(E244,(Reprogramaciones!$T$15+7*(Reprogramaciones!M$14-1))),MIN(F244,(Reprogramaciones!$T$15+7*(Reprogramaciones!M$14-1))+6),11))=0,0,MAX(0,NETWORKDAYS.INTL(MAX(E244,(Reprogramaciones!$T$15+7*(Reprogramaciones!M$14-1))),MIN(F244,Reprogramaciones!M$13),11))/MAX(0,NETWORKDAYS.INTL(MAX(E244,(Reprogramaciones!$T$15+7*(Reprogramaciones!M$14-1))),MIN(F244,(Reprogramaciones!$T$15+7*(Reprogramaciones!M$14-1))+6),11))))))))</f>
        <v/>
      </c>
      <c r="BW244" s="1" t="str">
        <f aca="false">IF(OR(NOT(AND(ISNUMBER(E244),ISNUMBER(F244))),$J$2=""),"",IF(Reprogramaciones!N$13&lt;Reprogramaciones!$T$15,0,IF(Reprogramaciones!N$14&gt;10,MIN(100,SUM($G244:$P244)),MIN(100,SUMPRODUCT((COLUMN($G244:$P244)-COLUMN($G244)+1&lt;Reprogramaciones!N$14)*$G244:$P244)+N(INDEX($G244:$P244,1,Reprogramaciones!N$14))*IF(Reprogramaciones!N$13&gt;=(Reprogramaciones!$T$15+7*(Reprogramaciones!N$14-1))+6,1,IF(MAX(0,NETWORKDAYS.INTL(MAX(E244,(Reprogramaciones!$T$15+7*(Reprogramaciones!N$14-1))),MIN(F244,(Reprogramaciones!$T$15+7*(Reprogramaciones!N$14-1))+6),11))=0,0,MAX(0,NETWORKDAYS.INTL(MAX(E244,(Reprogramaciones!$T$15+7*(Reprogramaciones!N$14-1))),MIN(F244,Reprogramaciones!N$13),11))/MAX(0,NETWORKDAYS.INTL(MAX(E244,(Reprogramaciones!$T$15+7*(Reprogramaciones!N$14-1))),MIN(F244,(Reprogramaciones!$T$15+7*(Reprogramaciones!N$14-1))+6),11))))))))</f>
        <v/>
      </c>
      <c r="BX244" s="1" t="str">
        <f aca="false">IF(OR(NOT(AND(ISNUMBER(E244),ISNUMBER(F244))),$J$2=""),"",IF(Reprogramaciones!O$13&lt;Reprogramaciones!$T$15,0,IF(Reprogramaciones!O$14&gt;10,MIN(100,SUM($G244:$P244)),MIN(100,SUMPRODUCT((COLUMN($G244:$P244)-COLUMN($G244)+1&lt;Reprogramaciones!O$14)*$G244:$P244)+N(INDEX($G244:$P244,1,Reprogramaciones!O$14))*IF(Reprogramaciones!O$13&gt;=(Reprogramaciones!$T$15+7*(Reprogramaciones!O$14-1))+6,1,IF(MAX(0,NETWORKDAYS.INTL(MAX(E244,(Reprogramaciones!$T$15+7*(Reprogramaciones!O$14-1))),MIN(F244,(Reprogramaciones!$T$15+7*(Reprogramaciones!O$14-1))+6),11))=0,0,MAX(0,NETWORKDAYS.INTL(MAX(E244,(Reprogramaciones!$T$15+7*(Reprogramaciones!O$14-1))),MIN(F244,Reprogramaciones!O$13),11))/MAX(0,NETWORKDAYS.INTL(MAX(E244,(Reprogramaciones!$T$15+7*(Reprogramaciones!O$14-1))),MIN(F244,(Reprogramaciones!$T$15+7*(Reprogramaciones!O$14-1))+6),11))))))))</f>
        <v/>
      </c>
      <c r="BY244" s="1" t="str">
        <f aca="false">IF(OR(NOT(AND(ISNUMBER(E244),ISNUMBER(F244))),$J$2=""),"",IF(Reprogramaciones!P$13&lt;Reprogramaciones!$T$15,0,IF(Reprogramaciones!P$14&gt;10,MIN(100,SUM($G244:$P244)),MIN(100,SUMPRODUCT((COLUMN($G244:$P244)-COLUMN($G244)+1&lt;Reprogramaciones!P$14)*$G244:$P244)+N(INDEX($G244:$P244,1,Reprogramaciones!P$14))*IF(Reprogramaciones!P$13&gt;=(Reprogramaciones!$T$15+7*(Reprogramaciones!P$14-1))+6,1,IF(MAX(0,NETWORKDAYS.INTL(MAX(E244,(Reprogramaciones!$T$15+7*(Reprogramaciones!P$14-1))),MIN(F244,(Reprogramaciones!$T$15+7*(Reprogramaciones!P$14-1))+6),11))=0,0,MAX(0,NETWORKDAYS.INTL(MAX(E244,(Reprogramaciones!$T$15+7*(Reprogramaciones!P$14-1))),MIN(F244,Reprogramaciones!P$13),11))/MAX(0,NETWORKDAYS.INTL(MAX(E244,(Reprogramaciones!$T$15+7*(Reprogramaciones!P$14-1))),MIN(F244,(Reprogramaciones!$T$15+7*(Reprogramaciones!P$14-1))+6),11))))))))</f>
        <v/>
      </c>
      <c r="BZ244" s="1" t="str">
        <f aca="false">IF(OR(NOT(AND(ISNUMBER(E244),ISNUMBER(F244))),$J$2=""),"",IF(Reprogramaciones!Q$13&lt;Reprogramaciones!$T$15,0,IF(Reprogramaciones!Q$14&gt;10,MIN(100,SUM($G244:$P244)),MIN(100,SUMPRODUCT((COLUMN($G244:$P244)-COLUMN($G244)+1&lt;Reprogramaciones!Q$14)*$G244:$P244)+N(INDEX($G244:$P244,1,Reprogramaciones!Q$14))*IF(Reprogramaciones!Q$13&gt;=(Reprogramaciones!$T$15+7*(Reprogramaciones!Q$14-1))+6,1,IF(MAX(0,NETWORKDAYS.INTL(MAX(E244,(Reprogramaciones!$T$15+7*(Reprogramaciones!Q$14-1))),MIN(F244,(Reprogramaciones!$T$15+7*(Reprogramaciones!Q$14-1))+6),11))=0,0,MAX(0,NETWORKDAYS.INTL(MAX(E244,(Reprogramaciones!$T$15+7*(Reprogramaciones!Q$14-1))),MIN(F244,Reprogramaciones!Q$13),11))/MAX(0,NETWORKDAYS.INTL(MAX(E244,(Reprogramaciones!$T$15+7*(Reprogramaciones!Q$14-1))),MIN(F244,(Reprogramaciones!$T$15+7*(Reprogramaciones!Q$14-1))+6),11))))))))</f>
        <v/>
      </c>
      <c r="CA244" s="1" t="str">
        <f aca="false">IF(OR(NOT(AND(ISNUMBER(E244),ISNUMBER(F244))),$J$2=""),"",IF(Reprogramaciones!R$13&lt;Reprogramaciones!$T$15,0,IF(Reprogramaciones!R$14&gt;10,MIN(100,SUM($G244:$P244)),MIN(100,SUMPRODUCT((COLUMN($G244:$P244)-COLUMN($G244)+1&lt;Reprogramaciones!R$14)*$G244:$P244)+N(INDEX($G244:$P244,1,Reprogramaciones!R$14))*IF(Reprogramaciones!R$13&gt;=(Reprogramaciones!$T$15+7*(Reprogramaciones!R$14-1))+6,1,IF(MAX(0,NETWORKDAYS.INTL(MAX(E244,(Reprogramaciones!$T$15+7*(Reprogramaciones!R$14-1))),MIN(F244,(Reprogramaciones!$T$15+7*(Reprogramaciones!R$14-1))+6),11))=0,0,MAX(0,NETWORKDAYS.INTL(MAX(E244,(Reprogramaciones!$T$15+7*(Reprogramaciones!R$14-1))),MIN(F244,Reprogramaciones!R$13),11))/MAX(0,NETWORKDAYS.INTL(MAX(E244,(Reprogramaciones!$T$15+7*(Reprogramaciones!R$14-1))),MIN(F244,(Reprogramaciones!$T$15+7*(Reprogramaciones!R$14-1))+6),11))))))))</f>
        <v/>
      </c>
      <c r="CB244" s="1" t="str">
        <f aca="false">IF(OR(NOT(AND(ISNUMBER(E244),ISNUMBER(F244))),$J$2=""),"",IF(Reprogramaciones!S$13&lt;Reprogramaciones!$T$15,0,IF(Reprogramaciones!S$14&gt;10,MIN(100,SUM($G244:$P244)),MIN(100,SUMPRODUCT((COLUMN($G244:$P244)-COLUMN($G244)+1&lt;Reprogramaciones!S$14)*$G244:$P244)+N(INDEX($G244:$P244,1,Reprogramaciones!S$14))*IF(Reprogramaciones!S$13&gt;=(Reprogramaciones!$T$15+7*(Reprogramaciones!S$14-1))+6,1,IF(MAX(0,NETWORKDAYS.INTL(MAX(E244,(Reprogramaciones!$T$15+7*(Reprogramaciones!S$14-1))),MIN(F244,(Reprogramaciones!$T$15+7*(Reprogramaciones!S$14-1))+6),11))=0,0,MAX(0,NETWORKDAYS.INTL(MAX(E244,(Reprogramaciones!$T$15+7*(Reprogramaciones!S$14-1))),MIN(F244,Reprogramaciones!S$13),11))/MAX(0,NETWORKDAYS.INTL(MAX(E244,(Reprogramaciones!$T$15+7*(Reprogramaciones!S$14-1))),MIN(F244,(Reprogramaciones!$T$15+7*(Reprogramaciones!S$14-1))+6),11))))))))</f>
        <v/>
      </c>
      <c r="CC244" s="1" t="str">
        <f aca="false">IF(OR(NOT(AND(ISNUMBER(E244),ISNUMBER(F244))),$J$2=""),"",IF(Reprogramaciones!T$13&lt;Reprogramaciones!$T$15,0,IF(Reprogramaciones!T$14&gt;10,MIN(100,SUM($G244:$P244)),MIN(100,SUMPRODUCT((COLUMN($G244:$P244)-COLUMN($G244)+1&lt;Reprogramaciones!T$14)*$G244:$P244)+N(INDEX($G244:$P244,1,Reprogramaciones!T$14))*IF(Reprogramaciones!T$13&gt;=(Reprogramaciones!$T$15+7*(Reprogramaciones!T$14-1))+6,1,IF(MAX(0,NETWORKDAYS.INTL(MAX(E244,(Reprogramaciones!$T$15+7*(Reprogramaciones!T$14-1))),MIN(F244,(Reprogramaciones!$T$15+7*(Reprogramaciones!T$14-1))+6),11))=0,0,MAX(0,NETWORKDAYS.INTL(MAX(E244,(Reprogramaciones!$T$15+7*(Reprogramaciones!T$14-1))),MIN(F244,Reprogramaciones!T$13),11))/MAX(0,NETWORKDAYS.INTL(MAX(E244,(Reprogramaciones!$T$15+7*(Reprogramaciones!T$14-1))),MIN(F244,(Reprogramaciones!$T$15+7*(Reprogramaciones!T$14-1))+6),11))))))))</f>
        <v/>
      </c>
      <c r="CD244" s="1" t="str">
        <f aca="false">IF(OR(NOT(AND(ISNUMBER(E244),ISNUMBER(F244))),$J$2=""),"",IF(Reprogramaciones!U$13&lt;Reprogramaciones!$T$15,0,IF(Reprogramaciones!U$14&gt;10,MIN(100,SUM($G244:$P244)),MIN(100,SUMPRODUCT((COLUMN($G244:$P244)-COLUMN($G244)+1&lt;Reprogramaciones!U$14)*$G244:$P244)+N(INDEX($G244:$P244,1,Reprogramaciones!U$14))*IF(Reprogramaciones!U$13&gt;=(Reprogramaciones!$T$15+7*(Reprogramaciones!U$14-1))+6,1,IF(MAX(0,NETWORKDAYS.INTL(MAX(E244,(Reprogramaciones!$T$15+7*(Reprogramaciones!U$14-1))),MIN(F244,(Reprogramaciones!$T$15+7*(Reprogramaciones!U$14-1))+6),11))=0,0,MAX(0,NETWORKDAYS.INTL(MAX(E244,(Reprogramaciones!$T$15+7*(Reprogramaciones!U$14-1))),MIN(F244,Reprogramaciones!U$13),11))/MAX(0,NETWORKDAYS.INTL(MAX(E244,(Reprogramaciones!$T$15+7*(Reprogramaciones!U$14-1))),MIN(F244,(Reprogramaciones!$T$15+7*(Reprogramaciones!U$14-1))+6),11))))))))</f>
        <v/>
      </c>
      <c r="CE244" s="1" t="str">
        <f aca="false">IF(OR(NOT(AND(ISNUMBER(E244),ISNUMBER(F244))),$J$2=""),"",IF(Reprogramaciones!V$13&lt;Reprogramaciones!$T$15,0,IF(Reprogramaciones!V$14&gt;10,MIN(100,SUM($G244:$P244)),MIN(100,SUMPRODUCT((COLUMN($G244:$P244)-COLUMN($G244)+1&lt;Reprogramaciones!V$14)*$G244:$P244)+N(INDEX($G244:$P244,1,Reprogramaciones!V$14))*IF(Reprogramaciones!V$13&gt;=(Reprogramaciones!$T$15+7*(Reprogramaciones!V$14-1))+6,1,IF(MAX(0,NETWORKDAYS.INTL(MAX(E244,(Reprogramaciones!$T$15+7*(Reprogramaciones!V$14-1))),MIN(F244,(Reprogramaciones!$T$15+7*(Reprogramaciones!V$14-1))+6),11))=0,0,MAX(0,NETWORKDAYS.INTL(MAX(E244,(Reprogramaciones!$T$15+7*(Reprogramaciones!V$14-1))),MIN(F244,Reprogramaciones!V$13),11))/MAX(0,NETWORKDAYS.INTL(MAX(E244,(Reprogramaciones!$T$15+7*(Reprogramaciones!V$14-1))),MIN(F244,(Reprogramaciones!$T$15+7*(Reprogramaciones!V$14-1))+6),11))))))))</f>
        <v/>
      </c>
      <c r="CF244" s="1" t="str">
        <f aca="false">IF(OR(NOT(AND(ISNUMBER(E244),ISNUMBER(F244))),$J$2=""),"",IF(Reprogramaciones!W$13&lt;Reprogramaciones!$T$15,0,IF(Reprogramaciones!W$14&gt;10,MIN(100,SUM($G244:$P244)),MIN(100,SUMPRODUCT((COLUMN($G244:$P244)-COLUMN($G244)+1&lt;Reprogramaciones!W$14)*$G244:$P244)+N(INDEX($G244:$P244,1,Reprogramaciones!W$14))*IF(Reprogramaciones!W$13&gt;=(Reprogramaciones!$T$15+7*(Reprogramaciones!W$14-1))+6,1,IF(MAX(0,NETWORKDAYS.INTL(MAX(E244,(Reprogramaciones!$T$15+7*(Reprogramaciones!W$14-1))),MIN(F244,(Reprogramaciones!$T$15+7*(Reprogramaciones!W$14-1))+6),11))=0,0,MAX(0,NETWORKDAYS.INTL(MAX(E244,(Reprogramaciones!$T$15+7*(Reprogramaciones!W$14-1))),MIN(F244,Reprogramaciones!W$13),11))/MAX(0,NETWORKDAYS.INTL(MAX(E244,(Reprogramaciones!$T$15+7*(Reprogramaciones!W$14-1))),MIN(F244,(Reprogramaciones!$T$15+7*(Reprogramaciones!W$14-1))+6),11))))))))</f>
        <v/>
      </c>
      <c r="CG244" s="1" t="str">
        <f aca="false">IF(OR(NOT(AND(ISNUMBER(E244),ISNUMBER(F244))),$J$2=""),"",IF(Reprogramaciones!X$13&lt;Reprogramaciones!$T$15,0,IF(Reprogramaciones!X$14&gt;10,MIN(100,SUM($G244:$P244)),MIN(100,SUMPRODUCT((COLUMN($G244:$P244)-COLUMN($G244)+1&lt;Reprogramaciones!X$14)*$G244:$P244)+N(INDEX($G244:$P244,1,Reprogramaciones!X$14))*IF(Reprogramaciones!X$13&gt;=(Reprogramaciones!$T$15+7*(Reprogramaciones!X$14-1))+6,1,IF(MAX(0,NETWORKDAYS.INTL(MAX(E244,(Reprogramaciones!$T$15+7*(Reprogramaciones!X$14-1))),MIN(F244,(Reprogramaciones!$T$15+7*(Reprogramaciones!X$14-1))+6),11))=0,0,MAX(0,NETWORKDAYS.INTL(MAX(E244,(Reprogramaciones!$T$15+7*(Reprogramaciones!X$14-1))),MIN(F244,Reprogramaciones!X$13),11))/MAX(0,NETWORKDAYS.INTL(MAX(E244,(Reprogramaciones!$T$15+7*(Reprogramaciones!X$14-1))),MIN(F244,(Reprogramaciones!$T$15+7*(Reprogramaciones!X$14-1))+6),11))))))))</f>
        <v/>
      </c>
      <c r="CH244" s="1" t="str">
        <f aca="false">IF(OR(NOT(AND(ISNUMBER(E244),ISNUMBER(F244))),$J$2=""),"",IF(Reprogramaciones!Y$13&lt;Reprogramaciones!$T$15,0,IF(Reprogramaciones!Y$14&gt;10,MIN(100,SUM($G244:$P244)),MIN(100,SUMPRODUCT((COLUMN($G244:$P244)-COLUMN($G244)+1&lt;Reprogramaciones!Y$14)*$G244:$P244)+N(INDEX($G244:$P244,1,Reprogramaciones!Y$14))*IF(Reprogramaciones!Y$13&gt;=(Reprogramaciones!$T$15+7*(Reprogramaciones!Y$14-1))+6,1,IF(MAX(0,NETWORKDAYS.INTL(MAX(E244,(Reprogramaciones!$T$15+7*(Reprogramaciones!Y$14-1))),MIN(F244,(Reprogramaciones!$T$15+7*(Reprogramaciones!Y$14-1))+6),11))=0,0,MAX(0,NETWORKDAYS.INTL(MAX(E244,(Reprogramaciones!$T$15+7*(Reprogramaciones!Y$14-1))),MIN(F244,Reprogramaciones!Y$13),11))/MAX(0,NETWORKDAYS.INTL(MAX(E244,(Reprogramaciones!$T$15+7*(Reprogramaciones!Y$14-1))),MIN(F244,(Reprogramaciones!$T$15+7*(Reprogramaciones!Y$14-1))+6),11))))))))</f>
        <v/>
      </c>
      <c r="CI244" s="1" t="str">
        <f aca="false">IF(OR(NOT(AND(ISNUMBER(E244),ISNUMBER(F244))),$J$2=""),"",IF(Reprogramaciones!Z$13&lt;Reprogramaciones!$T$15,0,IF(Reprogramaciones!Z$14&gt;10,MIN(100,SUM($G244:$P244)),MIN(100,SUMPRODUCT((COLUMN($G244:$P244)-COLUMN($G244)+1&lt;Reprogramaciones!Z$14)*$G244:$P244)+N(INDEX($G244:$P244,1,Reprogramaciones!Z$14))*IF(Reprogramaciones!Z$13&gt;=(Reprogramaciones!$T$15+7*(Reprogramaciones!Z$14-1))+6,1,IF(MAX(0,NETWORKDAYS.INTL(MAX(E244,(Reprogramaciones!$T$15+7*(Reprogramaciones!Z$14-1))),MIN(F244,(Reprogramaciones!$T$15+7*(Reprogramaciones!Z$14-1))+6),11))=0,0,MAX(0,NETWORKDAYS.INTL(MAX(E244,(Reprogramaciones!$T$15+7*(Reprogramaciones!Z$14-1))),MIN(F244,Reprogramaciones!Z$13),11))/MAX(0,NETWORKDAYS.INTL(MAX(E244,(Reprogramaciones!$T$15+7*(Reprogramaciones!Z$14-1))),MIN(F244,(Reprogramaciones!$T$15+7*(Reprogramaciones!Z$14-1))+6),11))))))))</f>
        <v/>
      </c>
      <c r="CJ244" s="1" t="str">
        <f aca="false">IF(OR(OR(NOT(AND(ISNUMBER(E244),ISNUMBER(F244))),$J$2=""),1&gt;Reprogramaciones!$K$16),"",IF(ROUND(SUM($Q244:Q244),1)&gt;=99.5,100,MIN(100,ROUND(SUM($Q244:Q244),1))))</f>
        <v/>
      </c>
      <c r="CK244" s="1" t="str">
        <f aca="false">IF(OR(OR(NOT(AND(ISNUMBER(E244),ISNUMBER(F244))),$J$2=""),2&gt;Reprogramaciones!$K$16),"",IF(ROUND(SUM($Q244:R244),1)&gt;=99.5,100,MIN(100,ROUND(SUM($Q244:R244),1))))</f>
        <v/>
      </c>
      <c r="CL244" s="1" t="str">
        <f aca="false">IF(OR(OR(NOT(AND(ISNUMBER(E244),ISNUMBER(F244))),$J$2=""),3&gt;Reprogramaciones!$K$16),"",IF(ROUND(SUM($Q244:S244),1)&gt;=99.5,100,MIN(100,ROUND(SUM($Q244:S244),1))))</f>
        <v/>
      </c>
      <c r="CM244" s="1" t="str">
        <f aca="false">IF(OR(OR(NOT(AND(ISNUMBER(E244),ISNUMBER(F244))),$J$2=""),4&gt;Reprogramaciones!$K$16),"",IF(ROUND(SUM($Q244:T244),1)&gt;=99.5,100,MIN(100,ROUND(SUM($Q244:T244),1))))</f>
        <v/>
      </c>
      <c r="CN244" s="1" t="str">
        <f aca="false">IF(OR(OR(NOT(AND(ISNUMBER(E244),ISNUMBER(F244))),$J$2=""),5&gt;Reprogramaciones!$K$16),"",IF(ROUND(SUM($Q244:U244),1)&gt;=99.5,100,MIN(100,ROUND(SUM($Q244:U244),1))))</f>
        <v/>
      </c>
      <c r="CO244" s="1" t="str">
        <f aca="false">IF(OR(OR(NOT(AND(ISNUMBER(E244),ISNUMBER(F244))),$J$2=""),6&gt;Reprogramaciones!$K$16),"",IF(ROUND(SUM($Q244:V244),1)&gt;=99.5,100,MIN(100,ROUND(SUM($Q244:V244),1))))</f>
        <v/>
      </c>
      <c r="CP244" s="1" t="str">
        <f aca="false">IF(OR(OR(NOT(AND(ISNUMBER(E244),ISNUMBER(F244))),$J$2=""),7&gt;Reprogramaciones!$K$16),"",IF(ROUND(SUM($Q244:W244),1)&gt;=99.5,100,MIN(100,ROUND(SUM($Q244:W244),1))))</f>
        <v/>
      </c>
      <c r="CQ244" s="1" t="str">
        <f aca="false">IF(OR(OR(NOT(AND(ISNUMBER(E244),ISNUMBER(F244))),$J$2=""),8&gt;Reprogramaciones!$K$16),"",IF(ROUND(SUM($Q244:X244),1)&gt;=99.5,100,MIN(100,ROUND(SUM($Q244:X244),1))))</f>
        <v/>
      </c>
      <c r="CR244" s="1" t="str">
        <f aca="false">IF(OR(OR(NOT(AND(ISNUMBER(E244),ISNUMBER(F244))),$J$2=""),9&gt;Reprogramaciones!$K$16),"",IF(ROUND(SUM($Q244:Y244),1)&gt;=99.5,100,MIN(100,ROUND(SUM($Q244:Y244),1))))</f>
        <v/>
      </c>
      <c r="CS244" s="1" t="str">
        <f aca="false">IF(OR(OR(NOT(AND(ISNUMBER(E244),ISNUMBER(F244))),$J$2=""),10&gt;Reprogramaciones!$K$16),"",IF(ROUND(SUM($Q244:Z244),1)&gt;=99.5,100,MIN(100,ROUND(SUM($Q244:Z244),1))))</f>
        <v/>
      </c>
      <c r="CT244" s="1" t="str">
        <f aca="false">IF(OR(OR(NOT(AND(ISNUMBER(E244),ISNUMBER(F244))),$J$2=""),11&gt;Reprogramaciones!$K$16),"",IF(ROUND(SUM($Q244:AA244),1)&gt;=99.5,100,MIN(100,ROUND(SUM($Q244:AA244),1))))</f>
        <v/>
      </c>
      <c r="CU244" s="1" t="str">
        <f aca="false">IF(OR(OR(NOT(AND(ISNUMBER(E244),ISNUMBER(F244))),$J$2=""),12&gt;Reprogramaciones!$K$16),"",IF(ROUND(SUM($Q244:AB244),1)&gt;=99.5,100,MIN(100,ROUND(SUM($Q244:AB244),1))))</f>
        <v/>
      </c>
      <c r="CV244" s="1" t="str">
        <f aca="false">IF(OR(OR(NOT(AND(ISNUMBER(E244),ISNUMBER(F244))),$J$2=""),13&gt;Reprogramaciones!$K$16),"",IF(ROUND(SUM($Q244:AC244),1)&gt;=99.5,100,MIN(100,ROUND(SUM($Q244:AC244),1))))</f>
        <v/>
      </c>
      <c r="CW244" s="1" t="str">
        <f aca="false">IF(OR(OR(NOT(AND(ISNUMBER(E244),ISNUMBER(F244))),$J$2=""),14&gt;Reprogramaciones!$K$16),"",IF(ROUND(SUM($Q244:AD244),1)&gt;=99.5,100,MIN(100,ROUND(SUM($Q244:AD244),1))))</f>
        <v/>
      </c>
      <c r="CX244" s="1" t="str">
        <f aca="false">IF(OR(OR(NOT(AND(ISNUMBER(E244),ISNUMBER(F244))),$J$2=""),15&gt;Reprogramaciones!$K$16),"",IF(ROUND(SUM($Q244:AE244),1)&gt;=99.5,100,MIN(100,ROUND(SUM($Q244:AE244),1))))</f>
        <v/>
      </c>
      <c r="CY244" s="1" t="str">
        <f aca="false">IF(OR(OR(NOT(AND(ISNUMBER(E244),ISNUMBER(F244))),$J$2=""),16&gt;Reprogramaciones!$K$16),"",IF(ROUND(SUM($Q244:AF244),1)&gt;=99.5,100,MIN(100,ROUND(SUM($Q244:AF244),1))))</f>
        <v/>
      </c>
      <c r="CZ244" s="1" t="str">
        <f aca="false">IF(D244&lt;&gt;"",D244,IF(B244&lt;&gt;"","Contractual",CZ243))</f>
        <v>Contractual</v>
      </c>
      <c r="DA244" s="1" t="str">
        <f aca="false">IF(OR(NOT(AND(ISNUMBER(E244),ISNUMBER(F244))),$J$2=""),"",IF(Reprogramaciones!$Q$15&lt;Reprogramaciones!$T$15,0,IF(Reprogramaciones!$S$15&gt;10,MIN(100,SUM($G244:$P244)),MIN(100,SUMPRODUCT((COLUMN($G244:$P244)-COLUMN($G244)+1&lt;Reprogramaciones!$S$15)*$G244:$P244)+N(INDEX($G244:$P244,1,Reprogramaciones!$S$15))*IF(Reprogramaciones!$Q$15&gt;=(Reprogramaciones!$T$15+7*(Reprogramaciones!$S$15-1))+6,1,IF(MAX(0,NETWORKDAYS.INTL(MAX(E244,(Reprogramaciones!$T$15+7*(Reprogramaciones!$S$15-1))),MIN(F244,(Reprogramaciones!$T$15+7*(Reprogramaciones!$S$15-1))+6),11))=0,0,MAX(0,NETWORKDAYS.INTL(MAX(E244,(Reprogramaciones!$T$15+7*(Reprogramaciones!$S$15-1))),MIN(F244,Reprogramaciones!$Q$15),11))/MAX(0,NETWORKDAYS.INTL(MAX(E244,(Reprogramaciones!$T$15+7*(Reprogramaciones!$S$15-1))),MIN(F244,(Reprogramaciones!$T$15+7*(Reprogramaciones!$S$15-1))+6),11))))))))</f>
        <v/>
      </c>
    </row>
    <row r="245" customFormat="false" ht="15" hidden="false" customHeight="false" outlineLevel="0" collapsed="false">
      <c r="A245" s="32"/>
      <c r="B245" s="33"/>
      <c r="C245" s="33"/>
      <c r="D245" s="34"/>
      <c r="E245" s="35"/>
      <c r="F245" s="35"/>
      <c r="G245" s="36" t="str">
        <f aca="false">IF(OR(NOT(AND(ISNUMBER(E245),ISNUMBER(F245))),$J$2=""),"",IF(Reprogramaciones!K$9&lt;E245,0,IF(NETWORKDAYS.INTL(E245,F245,11)=0,IF(Reprogramaciones!K$9&gt;=F245,100,0),ROUND(NETWORKDAYS.INTL(E245,MIN(F245,Reprogramaciones!K$9),11)/NETWORKDAYS.INTL(E245,F245,11)*100,1)))-0)</f>
        <v/>
      </c>
      <c r="H245" s="36" t="str">
        <f aca="false">IF(OR(NOT(AND(ISNUMBER(E245),ISNUMBER(F245))),$J$2=""),"",IF(Reprogramaciones!L$9&lt;E245,0,IF(NETWORKDAYS.INTL(E245,F245,11)=0,IF(Reprogramaciones!L$9&gt;=F245,100,0),ROUND(NETWORKDAYS.INTL(E245,MIN(F245,Reprogramaciones!L$9),11)/NETWORKDAYS.INTL(E245,F245,11)*100,1)))-IF(Reprogramaciones!K$9&lt;E245,0,IF(NETWORKDAYS.INTL(E245,F245,11)=0,IF(Reprogramaciones!K$9&gt;=F245,100,0),ROUND(NETWORKDAYS.INTL(E245,MIN(F245,Reprogramaciones!K$9),11)/NETWORKDAYS.INTL(E245,F245,11)*100,1))))</f>
        <v/>
      </c>
      <c r="I245" s="36" t="str">
        <f aca="false">IF(OR(NOT(AND(ISNUMBER(E245),ISNUMBER(F245))),$J$2=""),"",IF(Reprogramaciones!M$9&lt;E245,0,IF(NETWORKDAYS.INTL(E245,F245,11)=0,IF(Reprogramaciones!M$9&gt;=F245,100,0),ROUND(NETWORKDAYS.INTL(E245,MIN(F245,Reprogramaciones!M$9),11)/NETWORKDAYS.INTL(E245,F245,11)*100,1)))-IF(Reprogramaciones!L$9&lt;E245,0,IF(NETWORKDAYS.INTL(E245,F245,11)=0,IF(Reprogramaciones!L$9&gt;=F245,100,0),ROUND(NETWORKDAYS.INTL(E245,MIN(F245,Reprogramaciones!L$9),11)/NETWORKDAYS.INTL(E245,F245,11)*100,1))))</f>
        <v/>
      </c>
      <c r="J245" s="36" t="str">
        <f aca="false">IF(OR(NOT(AND(ISNUMBER(E245),ISNUMBER(F245))),$J$2=""),"",IF(Reprogramaciones!N$9&lt;E245,0,IF(NETWORKDAYS.INTL(E245,F245,11)=0,IF(Reprogramaciones!N$9&gt;=F245,100,0),ROUND(NETWORKDAYS.INTL(E245,MIN(F245,Reprogramaciones!N$9),11)/NETWORKDAYS.INTL(E245,F245,11)*100,1)))-IF(Reprogramaciones!M$9&lt;E245,0,IF(NETWORKDAYS.INTL(E245,F245,11)=0,IF(Reprogramaciones!M$9&gt;=F245,100,0),ROUND(NETWORKDAYS.INTL(E245,MIN(F245,Reprogramaciones!M$9),11)/NETWORKDAYS.INTL(E245,F245,11)*100,1))))</f>
        <v/>
      </c>
      <c r="K245" s="36" t="str">
        <f aca="false">IF(OR(NOT(AND(ISNUMBER(E245),ISNUMBER(F245))),$J$2=""),"",IF(Reprogramaciones!O$9&lt;E245,0,IF(NETWORKDAYS.INTL(E245,F245,11)=0,IF(Reprogramaciones!O$9&gt;=F245,100,0),ROUND(NETWORKDAYS.INTL(E245,MIN(F245,Reprogramaciones!O$9),11)/NETWORKDAYS.INTL(E245,F245,11)*100,1)))-IF(Reprogramaciones!N$9&lt;E245,0,IF(NETWORKDAYS.INTL(E245,F245,11)=0,IF(Reprogramaciones!N$9&gt;=F245,100,0),ROUND(NETWORKDAYS.INTL(E245,MIN(F245,Reprogramaciones!N$9),11)/NETWORKDAYS.INTL(E245,F245,11)*100,1))))</f>
        <v/>
      </c>
      <c r="L245" s="36" t="str">
        <f aca="false">IF(OR(NOT(AND(ISNUMBER(E245),ISNUMBER(F245))),$J$2=""),"",IF(Reprogramaciones!P$9&lt;E245,0,IF(NETWORKDAYS.INTL(E245,F245,11)=0,IF(Reprogramaciones!P$9&gt;=F245,100,0),ROUND(NETWORKDAYS.INTL(E245,MIN(F245,Reprogramaciones!P$9),11)/NETWORKDAYS.INTL(E245,F245,11)*100,1)))-IF(Reprogramaciones!O$9&lt;E245,0,IF(NETWORKDAYS.INTL(E245,F245,11)=0,IF(Reprogramaciones!O$9&gt;=F245,100,0),ROUND(NETWORKDAYS.INTL(E245,MIN(F245,Reprogramaciones!O$9),11)/NETWORKDAYS.INTL(E245,F245,11)*100,1))))</f>
        <v/>
      </c>
      <c r="M245" s="36" t="str">
        <f aca="false">IF(OR(NOT(AND(ISNUMBER(E245),ISNUMBER(F245))),$J$2=""),"",IF(Reprogramaciones!Q$9&lt;E245,0,IF(NETWORKDAYS.INTL(E245,F245,11)=0,IF(Reprogramaciones!Q$9&gt;=F245,100,0),ROUND(NETWORKDAYS.INTL(E245,MIN(F245,Reprogramaciones!Q$9),11)/NETWORKDAYS.INTL(E245,F245,11)*100,1)))-IF(Reprogramaciones!P$9&lt;E245,0,IF(NETWORKDAYS.INTL(E245,F245,11)=0,IF(Reprogramaciones!P$9&gt;=F245,100,0),ROUND(NETWORKDAYS.INTL(E245,MIN(F245,Reprogramaciones!P$9),11)/NETWORKDAYS.INTL(E245,F245,11)*100,1))))</f>
        <v/>
      </c>
      <c r="N245" s="36" t="str">
        <f aca="false">IF(OR(NOT(AND(ISNUMBER(E245),ISNUMBER(F245))),$J$2=""),"",IF(Reprogramaciones!R$9&lt;E245,0,IF(NETWORKDAYS.INTL(E245,F245,11)=0,IF(Reprogramaciones!R$9&gt;=F245,100,0),ROUND(NETWORKDAYS.INTL(E245,MIN(F245,Reprogramaciones!R$9),11)/NETWORKDAYS.INTL(E245,F245,11)*100,1)))-IF(Reprogramaciones!Q$9&lt;E245,0,IF(NETWORKDAYS.INTL(E245,F245,11)=0,IF(Reprogramaciones!Q$9&gt;=F245,100,0),ROUND(NETWORKDAYS.INTL(E245,MIN(F245,Reprogramaciones!Q$9),11)/NETWORKDAYS.INTL(E245,F245,11)*100,1))))</f>
        <v/>
      </c>
      <c r="O245" s="36" t="str">
        <f aca="false">IF(OR(NOT(AND(ISNUMBER(E245),ISNUMBER(F245))),$J$2=""),"",IF(Reprogramaciones!S$9&lt;E245,0,IF(NETWORKDAYS.INTL(E245,F245,11)=0,IF(Reprogramaciones!S$9&gt;=F245,100,0),ROUND(NETWORKDAYS.INTL(E245,MIN(F245,Reprogramaciones!S$9),11)/NETWORKDAYS.INTL(E245,F245,11)*100,1)))-IF(Reprogramaciones!R$9&lt;E245,0,IF(NETWORKDAYS.INTL(E245,F245,11)=0,IF(Reprogramaciones!R$9&gt;=F245,100,0),ROUND(NETWORKDAYS.INTL(E245,MIN(F245,Reprogramaciones!R$9),11)/NETWORKDAYS.INTL(E245,F245,11)*100,1))))</f>
        <v/>
      </c>
      <c r="P245" s="36" t="str">
        <f aca="false">IF(OR(NOT(AND(ISNUMBER(E245),ISNUMBER(F245))),$J$2=""),"",IF(Reprogramaciones!T$9&lt;E245,0,IF(NETWORKDAYS.INTL(E245,F245,11)=0,IF(Reprogramaciones!T$9&gt;=F245,100,0),ROUND(NETWORKDAYS.INTL(E245,MIN(F245,Reprogramaciones!T$9),11)/NETWORKDAYS.INTL(E245,F245,11)*100,1)))-IF(Reprogramaciones!S$9&lt;E245,0,IF(NETWORKDAYS.INTL(E245,F245,11)=0,IF(Reprogramaciones!S$9&gt;=F245,100,0),ROUND(NETWORKDAYS.INTL(E245,MIN(F245,Reprogramaciones!S$9),11)/NETWORKDAYS.INTL(E245,F245,11)*100,1))))</f>
        <v/>
      </c>
      <c r="Q245" s="37"/>
      <c r="R245" s="37"/>
      <c r="S245" s="37"/>
      <c r="T245" s="37"/>
      <c r="U245" s="37"/>
      <c r="V245" s="37"/>
      <c r="W245" s="37"/>
      <c r="X245" s="37"/>
      <c r="Y245" s="37"/>
      <c r="Z245" s="37"/>
      <c r="AA245" s="37"/>
      <c r="AB245" s="37"/>
      <c r="AC245" s="37"/>
      <c r="AD245" s="37"/>
      <c r="AE245" s="37"/>
      <c r="AF245" s="37"/>
      <c r="AG245" s="38" t="str">
        <f aca="false">IF(AND(ISNUMBER(E245),ISNUMBER(F245)),NETWORKDAYS.INTL(E245,F245,11),"")</f>
        <v/>
      </c>
      <c r="AH245" s="38" t="str">
        <f aca="false">IF(OR(NOT(AND(ISNUMBER(E245),ISNUMBER(F245))),$J$2=""),"",IF(Reprogramaciones!$P$15&lt;Reprogramaciones!$T$15,0,IF(Reprogramaciones!$R$15&gt;10,MIN(100,SUM($G245:$P245)),MIN(100,SUMPRODUCT((COLUMN($G245:$P245)-COLUMN($G245)+1&lt;Reprogramaciones!$R$15)*$G245:$P245)+N(INDEX($G245:$P245,1,Reprogramaciones!$R$15))*IF(Reprogramaciones!$P$15&gt;=(Reprogramaciones!$T$15+7*(Reprogramaciones!$R$15-1))+6,1,IF(MAX(0,NETWORKDAYS.INTL(MAX(E245,(Reprogramaciones!$T$15+7*(Reprogramaciones!$R$15-1))),MIN(F245,(Reprogramaciones!$T$15+7*(Reprogramaciones!$R$15-1))+6),11))=0,0,MAX(0,NETWORKDAYS.INTL(MAX(E245,(Reprogramaciones!$T$15+7*(Reprogramaciones!$R$15-1))),MIN(F245,Reprogramaciones!$P$15),11))/MAX(0,NETWORKDAYS.INTL(MAX(E245,(Reprogramaciones!$T$15+7*(Reprogramaciones!$R$15-1))),MIN(F245,(Reprogramaciones!$T$15+7*(Reprogramaciones!$R$15-1))+6),11))))))))</f>
        <v/>
      </c>
      <c r="AI245" s="38" t="str">
        <f aca="false">IF(COUNT($Q245:$AF245)=0,"",IF(ROUND(SUM($Q245:$AF245),1)&gt;=99.5,100,MIN(100,ROUND(SUM($Q245:$AF245),1))))</f>
        <v/>
      </c>
      <c r="AJ245" s="38" t="str">
        <f aca="false">IF(OR(AH245="",AI245=""),"",AI245-AH245)</f>
        <v/>
      </c>
      <c r="AK245" s="39" t="str">
        <f aca="true">IF(AH245="","",IF(OR(Ficha!$C$10="Suspendida",Ficha!$C$10="Cancelada"),Ficha!$C$10,IF(AND(AI245&lt;&gt;"",N(AI245)&gt;=100),"Completada",IF(AND(E245&gt;TODAY(),N(AI245)=0),"Por iniciar",IF(N(AI245)+0.5&lt;AH245,"Retrasada",IF(N(AI245)+0.5&lt;DA245,IF(Reprogramaciones!$K$15&gt;0,"Al día · Sem "&amp;Reprogramaciones!$K$15&amp;" en curso","Al día · en curso"),"A tiempo"))))))</f>
        <v/>
      </c>
      <c r="AL245" s="39" t="str">
        <f aca="true">IF(AND(A245="",AND(B245="",C245="",E245="",F245="",COUNT(Q245:AF245)=0)),"",IF(AND(B245="",C245="",E245="",F245="",COUNT(Q245:AF245)=0),"Falta la partida o subpartida",IF(AND(A245&lt;&gt;"",COUNTIF($A$6:$A$305,A245)&gt;1),"Ítem repetido",IF(AND(C245="",E245="",F245="",COUNT(Q245:AF245)=0),"Título de partida",IF(OR(E245="",F245=""),"Faltan fechas",IF(OR(ISTEXT(E245),ISTEXT(F245)),"Fecha escrita como texto: usa dd/mm/aaaa",IF(F245&lt;E245,"Fin antes del inicio",IF(IF($J$2="",FALSE(),OR(E245&lt;$J$2,F245&gt;Reprogramaciones!$T$15+69)),"Fuera de las 10 semanas",IF(ABS(SUM(G245:P245)-100)&gt;0.5,"La meta no suma 100%",IF(ROUND(SUM(Q245:AF245),1)&gt;100.5,"El avance pasa de 100%",IF(MIN(Q245:AF245)&lt;0,"Avance negativo",IF(COUNTA(Q245:AF245)&gt;COUNT(Q245:AF245),"Avance escrito como texto",IF(SUMPRODUCT((Q245:AF245&gt;0)*(Q245:AF245&lt;1))&gt;0,"Avance menor a 1: escribe 50, no 50%",IF(SUMPRODUCT(ISNUMBER(Q245:AF245)*(Reprogramaciones!$K$8:$Z$8&gt;TODAY()))&gt;0,"Avance en semana que aún no llega",IF(AND(N(Reprogramaciones!$E$21)&gt;0,F245&gt;Reprogramaciones!$E$21),"Pasa el fin de la obra: registra una reprogramación",IF(AND(N(Reprogramaciones!$E$21)&gt;0,SUMPRODUCT(ISNUMBER(Q245:AF245)*(Reprogramaciones!$K$8:$Z$8&gt;Reprogramaciones!$E$21))&gt;0),"Avance después del fin de la obra: registra una reprogramación por atraso","OK"))))))))))))))))</f>
        <v/>
      </c>
      <c r="AM245" s="40" t="str">
        <f aca="false">IF(OR(OR(NOT(AND(ISNUMBER(E245),ISNUMBER(F245))),$J$2=""),1&gt;MAX(1,Reprogramaciones!$U$15)),"",IF(Reprogramaciones!K$12&gt;=7,"",IF(OR(BT245-N(0)&gt;0.05,N(Q245)&gt;0),ROUNDDOWN(ROUND(BT245,6),0)&amp;"%"&amp;IF(CJ245="",""," / "&amp;CJ245&amp;"%"),IF(AND(N(0)&gt;=99.95,CJ245&lt;&gt;"",N(CJ245)&lt;100),"Pend. "&amp;CJ245&amp;"%",""))))</f>
        <v/>
      </c>
      <c r="AN245" s="40" t="str">
        <f aca="false">IF(OR(OR(NOT(AND(ISNUMBER(E245),ISNUMBER(F245))),$J$2=""),2&gt;MAX(1,Reprogramaciones!$U$15)),"",IF(Reprogramaciones!L$12&gt;=7,"",IF(OR(BU245-N(BT245)&gt;0.05,N(R245)&gt;0),ROUNDDOWN(ROUND(BU245,6),0)&amp;"%"&amp;IF(CK245="",""," / "&amp;CK245&amp;"%"),IF(AND(N(BT245)&gt;=99.95,CK245&lt;&gt;"",N(CK245)&lt;100),"Pend. "&amp;CK245&amp;"%",""))))</f>
        <v/>
      </c>
      <c r="AO245" s="40" t="str">
        <f aca="false">IF(OR(OR(NOT(AND(ISNUMBER(E245),ISNUMBER(F245))),$J$2=""),3&gt;MAX(1,Reprogramaciones!$U$15)),"",IF(Reprogramaciones!M$12&gt;=7,"",IF(OR(BV245-N(BU245)&gt;0.05,N(S245)&gt;0),ROUNDDOWN(ROUND(BV245,6),0)&amp;"%"&amp;IF(CL245="",""," / "&amp;CL245&amp;"%"),IF(AND(N(BU245)&gt;=99.95,CL245&lt;&gt;"",N(CL245)&lt;100),"Pend. "&amp;CL245&amp;"%",""))))</f>
        <v/>
      </c>
      <c r="AP245" s="40" t="str">
        <f aca="false">IF(OR(OR(NOT(AND(ISNUMBER(E245),ISNUMBER(F245))),$J$2=""),4&gt;MAX(1,Reprogramaciones!$U$15)),"",IF(Reprogramaciones!N$12&gt;=7,"",IF(OR(BW245-N(BV245)&gt;0.05,N(T245)&gt;0),ROUNDDOWN(ROUND(BW245,6),0)&amp;"%"&amp;IF(CM245="",""," / "&amp;CM245&amp;"%"),IF(AND(N(BV245)&gt;=99.95,CM245&lt;&gt;"",N(CM245)&lt;100),"Pend. "&amp;CM245&amp;"%",""))))</f>
        <v/>
      </c>
      <c r="AQ245" s="40" t="str">
        <f aca="false">IF(OR(OR(NOT(AND(ISNUMBER(E245),ISNUMBER(F245))),$J$2=""),5&gt;MAX(1,Reprogramaciones!$U$15)),"",IF(Reprogramaciones!O$12&gt;=7,"",IF(OR(BX245-N(BW245)&gt;0.05,N(U245)&gt;0),ROUNDDOWN(ROUND(BX245,6),0)&amp;"%"&amp;IF(CN245="",""," / "&amp;CN245&amp;"%"),IF(AND(N(BW245)&gt;=99.95,CN245&lt;&gt;"",N(CN245)&lt;100),"Pend. "&amp;CN245&amp;"%",""))))</f>
        <v/>
      </c>
      <c r="AR245" s="40" t="str">
        <f aca="false">IF(OR(OR(NOT(AND(ISNUMBER(E245),ISNUMBER(F245))),$J$2=""),6&gt;MAX(1,Reprogramaciones!$U$15)),"",IF(Reprogramaciones!P$12&gt;=7,"",IF(OR(BY245-N(BX245)&gt;0.05,N(V245)&gt;0),ROUNDDOWN(ROUND(BY245,6),0)&amp;"%"&amp;IF(CO245="",""," / "&amp;CO245&amp;"%"),IF(AND(N(BX245)&gt;=99.95,CO245&lt;&gt;"",N(CO245)&lt;100),"Pend. "&amp;CO245&amp;"%",""))))</f>
        <v/>
      </c>
      <c r="AS245" s="40" t="str">
        <f aca="false">IF(OR(OR(NOT(AND(ISNUMBER(E245),ISNUMBER(F245))),$J$2=""),7&gt;MAX(1,Reprogramaciones!$U$15)),"",IF(Reprogramaciones!Q$12&gt;=7,"",IF(OR(BZ245-N(BY245)&gt;0.05,N(W245)&gt;0),ROUNDDOWN(ROUND(BZ245,6),0)&amp;"%"&amp;IF(CP245="",""," / "&amp;CP245&amp;"%"),IF(AND(N(BY245)&gt;=99.95,CP245&lt;&gt;"",N(CP245)&lt;100),"Pend. "&amp;CP245&amp;"%",""))))</f>
        <v/>
      </c>
      <c r="AT245" s="40" t="str">
        <f aca="false">IF(OR(OR(NOT(AND(ISNUMBER(E245),ISNUMBER(F245))),$J$2=""),8&gt;MAX(1,Reprogramaciones!$U$15)),"",IF(Reprogramaciones!R$12&gt;=7,"",IF(OR(CA245-N(BZ245)&gt;0.05,N(X245)&gt;0),ROUNDDOWN(ROUND(CA245,6),0)&amp;"%"&amp;IF(CQ245="",""," / "&amp;CQ245&amp;"%"),IF(AND(N(BZ245)&gt;=99.95,CQ245&lt;&gt;"",N(CQ245)&lt;100),"Pend. "&amp;CQ245&amp;"%",""))))</f>
        <v/>
      </c>
      <c r="AU245" s="40" t="str">
        <f aca="false">IF(OR(OR(NOT(AND(ISNUMBER(E245),ISNUMBER(F245))),$J$2=""),9&gt;MAX(1,Reprogramaciones!$U$15)),"",IF(Reprogramaciones!S$12&gt;=7,"",IF(OR(CB245-N(CA245)&gt;0.05,N(Y245)&gt;0),ROUNDDOWN(ROUND(CB245,6),0)&amp;"%"&amp;IF(CR245="",""," / "&amp;CR245&amp;"%"),IF(AND(N(CA245)&gt;=99.95,CR245&lt;&gt;"",N(CR245)&lt;100),"Pend. "&amp;CR245&amp;"%",""))))</f>
        <v/>
      </c>
      <c r="AV245" s="40" t="str">
        <f aca="false">IF(OR(OR(NOT(AND(ISNUMBER(E245),ISNUMBER(F245))),$J$2=""),10&gt;MAX(1,Reprogramaciones!$U$15)),"",IF(Reprogramaciones!T$12&gt;=7,"",IF(OR(CC245-N(CB245)&gt;0.05,N(Z245)&gt;0),ROUNDDOWN(ROUND(CC245,6),0)&amp;"%"&amp;IF(CS245="",""," / "&amp;CS245&amp;"%"),IF(AND(N(CB245)&gt;=99.95,CS245&lt;&gt;"",N(CS245)&lt;100),"Pend. "&amp;CS245&amp;"%",""))))</f>
        <v/>
      </c>
      <c r="AW245" s="40" t="str">
        <f aca="false">IF(OR(OR(NOT(AND(ISNUMBER(E245),ISNUMBER(F245))),$J$2=""),11&gt;MAX(1,Reprogramaciones!$U$15)),"",IF(Reprogramaciones!U$12&gt;=7,"",IF(OR(CD245-N(CC245)&gt;0.05,N(AA245)&gt;0),ROUNDDOWN(ROUND(CD245,6),0)&amp;"%"&amp;IF(CT245="",""," / "&amp;CT245&amp;"%"),IF(AND(N(CC245)&gt;=99.95,CT245&lt;&gt;"",N(CT245)&lt;100),"Pend. "&amp;CT245&amp;"%",""))))</f>
        <v/>
      </c>
      <c r="AX245" s="40" t="str">
        <f aca="false">IF(OR(OR(NOT(AND(ISNUMBER(E245),ISNUMBER(F245))),$J$2=""),12&gt;MAX(1,Reprogramaciones!$U$15)),"",IF(Reprogramaciones!V$12&gt;=7,"",IF(OR(CE245-N(CD245)&gt;0.05,N(AB245)&gt;0),ROUNDDOWN(ROUND(CE245,6),0)&amp;"%"&amp;IF(CU245="",""," / "&amp;CU245&amp;"%"),IF(AND(N(CD245)&gt;=99.95,CU245&lt;&gt;"",N(CU245)&lt;100),"Pend. "&amp;CU245&amp;"%",""))))</f>
        <v/>
      </c>
      <c r="AY245" s="40" t="str">
        <f aca="false">IF(OR(OR(NOT(AND(ISNUMBER(E245),ISNUMBER(F245))),$J$2=""),13&gt;MAX(1,Reprogramaciones!$U$15)),"",IF(Reprogramaciones!W$12&gt;=7,"",IF(OR(CF245-N(CE245)&gt;0.05,N(AC245)&gt;0),ROUNDDOWN(ROUND(CF245,6),0)&amp;"%"&amp;IF(CV245="",""," / "&amp;CV245&amp;"%"),IF(AND(N(CE245)&gt;=99.95,CV245&lt;&gt;"",N(CV245)&lt;100),"Pend. "&amp;CV245&amp;"%",""))))</f>
        <v/>
      </c>
      <c r="AZ245" s="40" t="str">
        <f aca="false">IF(OR(OR(NOT(AND(ISNUMBER(E245),ISNUMBER(F245))),$J$2=""),14&gt;MAX(1,Reprogramaciones!$U$15)),"",IF(Reprogramaciones!X$12&gt;=7,"",IF(OR(CG245-N(CF245)&gt;0.05,N(AD245)&gt;0),ROUNDDOWN(ROUND(CG245,6),0)&amp;"%"&amp;IF(CW245="",""," / "&amp;CW245&amp;"%"),IF(AND(N(CF245)&gt;=99.95,CW245&lt;&gt;"",N(CW245)&lt;100),"Pend. "&amp;CW245&amp;"%",""))))</f>
        <v/>
      </c>
      <c r="BA245" s="40" t="str">
        <f aca="false">IF(OR(OR(NOT(AND(ISNUMBER(E245),ISNUMBER(F245))),$J$2=""),15&gt;MAX(1,Reprogramaciones!$U$15)),"",IF(Reprogramaciones!Y$12&gt;=7,"",IF(OR(CH245-N(CG245)&gt;0.05,N(AE245)&gt;0),ROUNDDOWN(ROUND(CH245,6),0)&amp;"%"&amp;IF(CX245="",""," / "&amp;CX245&amp;"%"),IF(AND(N(CG245)&gt;=99.95,CX245&lt;&gt;"",N(CX245)&lt;100),"Pend. "&amp;CX245&amp;"%",""))))</f>
        <v/>
      </c>
      <c r="BB245" s="40" t="str">
        <f aca="false">IF(OR(OR(NOT(AND(ISNUMBER(E245),ISNUMBER(F245))),$J$2=""),16&gt;MAX(1,Reprogramaciones!$U$15)),"",IF(Reprogramaciones!Z$12&gt;=7,"",IF(OR(CI245-N(CH245)&gt;0.05,N(AF245)&gt;0),ROUNDDOWN(ROUND(CI245,6),0)&amp;"%"&amp;IF(CY245="",""," / "&amp;CY245&amp;"%"),IF(AND(N(CH245)&gt;=99.95,CY245&lt;&gt;"",N(CY245)&lt;100),"Pend. "&amp;CY245&amp;"%",""))))</f>
        <v/>
      </c>
      <c r="BC245" s="31" t="n">
        <f aca="false">IF(AND(ISNUMBER(E245),ISNUMBER(F245)),MAX(1,NETWORKDAYS.INTL(E245,F245,11)),0)</f>
        <v>0</v>
      </c>
      <c r="BD245" s="1" t="str">
        <f aca="false">IF(OR(NOT(AND(ISNUMBER(E245),ISNUMBER(F245))),$J$2=""),"",MIN(100,ROUND(SUM($G245:G245),1)))</f>
        <v/>
      </c>
      <c r="BE245" s="1" t="str">
        <f aca="false">IF(OR(NOT(AND(ISNUMBER(E245),ISNUMBER(F245))),$J$2=""),"",MIN(100,ROUND(SUM($G245:H245),1)))</f>
        <v/>
      </c>
      <c r="BF245" s="1" t="str">
        <f aca="false">IF(OR(NOT(AND(ISNUMBER(E245),ISNUMBER(F245))),$J$2=""),"",MIN(100,ROUND(SUM($G245:I245),1)))</f>
        <v/>
      </c>
      <c r="BG245" s="1" t="str">
        <f aca="false">IF(OR(NOT(AND(ISNUMBER(E245),ISNUMBER(F245))),$J$2=""),"",MIN(100,ROUND(SUM($G245:J245),1)))</f>
        <v/>
      </c>
      <c r="BH245" s="1" t="str">
        <f aca="false">IF(OR(NOT(AND(ISNUMBER(E245),ISNUMBER(F245))),$J$2=""),"",MIN(100,ROUND(SUM($G245:K245),1)))</f>
        <v/>
      </c>
      <c r="BI245" s="1" t="str">
        <f aca="false">IF(OR(NOT(AND(ISNUMBER(E245),ISNUMBER(F245))),$J$2=""),"",MIN(100,ROUND(SUM($G245:L245),1)))</f>
        <v/>
      </c>
      <c r="BJ245" s="1" t="str">
        <f aca="false">IF(OR(NOT(AND(ISNUMBER(E245),ISNUMBER(F245))),$J$2=""),"",MIN(100,ROUND(SUM($G245:M245),1)))</f>
        <v/>
      </c>
      <c r="BK245" s="1" t="str">
        <f aca="false">IF(OR(NOT(AND(ISNUMBER(E245),ISNUMBER(F245))),$J$2=""),"",MIN(100,ROUND(SUM($G245:N245),1)))</f>
        <v/>
      </c>
      <c r="BL245" s="1" t="str">
        <f aca="false">IF(OR(NOT(AND(ISNUMBER(E245),ISNUMBER(F245))),$J$2=""),"",MIN(100,ROUND(SUM($G245:O245),1)))</f>
        <v/>
      </c>
      <c r="BM245" s="1" t="str">
        <f aca="false">IF(OR(NOT(AND(ISNUMBER(E245),ISNUMBER(F245))),$J$2=""),"",MIN(100,ROUND(SUM($G245:P245),1)))</f>
        <v/>
      </c>
      <c r="BN245" s="1" t="str">
        <f aca="false">IF(OR(NOT(AND(ISNUMBER(E245),ISNUMBER(F245))),$J$2=""),"",MIN(100,ROUND(SUM($G245:P245),1)))</f>
        <v/>
      </c>
      <c r="BO245" s="1" t="str">
        <f aca="false">IF(OR(NOT(AND(ISNUMBER(E245),ISNUMBER(F245))),$J$2=""),"",MIN(100,ROUND(SUM($G245:P245),1)))</f>
        <v/>
      </c>
      <c r="BP245" s="1" t="str">
        <f aca="false">IF(OR(NOT(AND(ISNUMBER(E245),ISNUMBER(F245))),$J$2=""),"",MIN(100,ROUND(SUM($G245:P245),1)))</f>
        <v/>
      </c>
      <c r="BQ245" s="1" t="str">
        <f aca="false">IF(OR(NOT(AND(ISNUMBER(E245),ISNUMBER(F245))),$J$2=""),"",MIN(100,ROUND(SUM($G245:P245),1)))</f>
        <v/>
      </c>
      <c r="BR245" s="1" t="str">
        <f aca="false">IF(OR(NOT(AND(ISNUMBER(E245),ISNUMBER(F245))),$J$2=""),"",MIN(100,ROUND(SUM($G245:P245),1)))</f>
        <v/>
      </c>
      <c r="BS245" s="1" t="str">
        <f aca="false">IF(OR(NOT(AND(ISNUMBER(E245),ISNUMBER(F245))),$J$2=""),"",MIN(100,ROUND(SUM($G245:P245),1)))</f>
        <v/>
      </c>
      <c r="BT245" s="1" t="str">
        <f aca="false">IF(OR(NOT(AND(ISNUMBER(E245),ISNUMBER(F245))),$J$2=""),"",IF(Reprogramaciones!K$13&lt;Reprogramaciones!$T$15,0,IF(Reprogramaciones!K$14&gt;10,MIN(100,SUM($G245:$P245)),MIN(100,SUMPRODUCT((COLUMN($G245:$P245)-COLUMN($G245)+1&lt;Reprogramaciones!K$14)*$G245:$P245)+N(INDEX($G245:$P245,1,Reprogramaciones!K$14))*IF(Reprogramaciones!K$13&gt;=(Reprogramaciones!$T$15+7*(Reprogramaciones!K$14-1))+6,1,IF(MAX(0,NETWORKDAYS.INTL(MAX(E245,(Reprogramaciones!$T$15+7*(Reprogramaciones!K$14-1))),MIN(F245,(Reprogramaciones!$T$15+7*(Reprogramaciones!K$14-1))+6),11))=0,0,MAX(0,NETWORKDAYS.INTL(MAX(E245,(Reprogramaciones!$T$15+7*(Reprogramaciones!K$14-1))),MIN(F245,Reprogramaciones!K$13),11))/MAX(0,NETWORKDAYS.INTL(MAX(E245,(Reprogramaciones!$T$15+7*(Reprogramaciones!K$14-1))),MIN(F245,(Reprogramaciones!$T$15+7*(Reprogramaciones!K$14-1))+6),11))))))))</f>
        <v/>
      </c>
      <c r="BU245" s="1" t="str">
        <f aca="false">IF(OR(NOT(AND(ISNUMBER(E245),ISNUMBER(F245))),$J$2=""),"",IF(Reprogramaciones!L$13&lt;Reprogramaciones!$T$15,0,IF(Reprogramaciones!L$14&gt;10,MIN(100,SUM($G245:$P245)),MIN(100,SUMPRODUCT((COLUMN($G245:$P245)-COLUMN($G245)+1&lt;Reprogramaciones!L$14)*$G245:$P245)+N(INDEX($G245:$P245,1,Reprogramaciones!L$14))*IF(Reprogramaciones!L$13&gt;=(Reprogramaciones!$T$15+7*(Reprogramaciones!L$14-1))+6,1,IF(MAX(0,NETWORKDAYS.INTL(MAX(E245,(Reprogramaciones!$T$15+7*(Reprogramaciones!L$14-1))),MIN(F245,(Reprogramaciones!$T$15+7*(Reprogramaciones!L$14-1))+6),11))=0,0,MAX(0,NETWORKDAYS.INTL(MAX(E245,(Reprogramaciones!$T$15+7*(Reprogramaciones!L$14-1))),MIN(F245,Reprogramaciones!L$13),11))/MAX(0,NETWORKDAYS.INTL(MAX(E245,(Reprogramaciones!$T$15+7*(Reprogramaciones!L$14-1))),MIN(F245,(Reprogramaciones!$T$15+7*(Reprogramaciones!L$14-1))+6),11))))))))</f>
        <v/>
      </c>
      <c r="BV245" s="1" t="str">
        <f aca="false">IF(OR(NOT(AND(ISNUMBER(E245),ISNUMBER(F245))),$J$2=""),"",IF(Reprogramaciones!M$13&lt;Reprogramaciones!$T$15,0,IF(Reprogramaciones!M$14&gt;10,MIN(100,SUM($G245:$P245)),MIN(100,SUMPRODUCT((COLUMN($G245:$P245)-COLUMN($G245)+1&lt;Reprogramaciones!M$14)*$G245:$P245)+N(INDEX($G245:$P245,1,Reprogramaciones!M$14))*IF(Reprogramaciones!M$13&gt;=(Reprogramaciones!$T$15+7*(Reprogramaciones!M$14-1))+6,1,IF(MAX(0,NETWORKDAYS.INTL(MAX(E245,(Reprogramaciones!$T$15+7*(Reprogramaciones!M$14-1))),MIN(F245,(Reprogramaciones!$T$15+7*(Reprogramaciones!M$14-1))+6),11))=0,0,MAX(0,NETWORKDAYS.INTL(MAX(E245,(Reprogramaciones!$T$15+7*(Reprogramaciones!M$14-1))),MIN(F245,Reprogramaciones!M$13),11))/MAX(0,NETWORKDAYS.INTL(MAX(E245,(Reprogramaciones!$T$15+7*(Reprogramaciones!M$14-1))),MIN(F245,(Reprogramaciones!$T$15+7*(Reprogramaciones!M$14-1))+6),11))))))))</f>
        <v/>
      </c>
      <c r="BW245" s="1" t="str">
        <f aca="false">IF(OR(NOT(AND(ISNUMBER(E245),ISNUMBER(F245))),$J$2=""),"",IF(Reprogramaciones!N$13&lt;Reprogramaciones!$T$15,0,IF(Reprogramaciones!N$14&gt;10,MIN(100,SUM($G245:$P245)),MIN(100,SUMPRODUCT((COLUMN($G245:$P245)-COLUMN($G245)+1&lt;Reprogramaciones!N$14)*$G245:$P245)+N(INDEX($G245:$P245,1,Reprogramaciones!N$14))*IF(Reprogramaciones!N$13&gt;=(Reprogramaciones!$T$15+7*(Reprogramaciones!N$14-1))+6,1,IF(MAX(0,NETWORKDAYS.INTL(MAX(E245,(Reprogramaciones!$T$15+7*(Reprogramaciones!N$14-1))),MIN(F245,(Reprogramaciones!$T$15+7*(Reprogramaciones!N$14-1))+6),11))=0,0,MAX(0,NETWORKDAYS.INTL(MAX(E245,(Reprogramaciones!$T$15+7*(Reprogramaciones!N$14-1))),MIN(F245,Reprogramaciones!N$13),11))/MAX(0,NETWORKDAYS.INTL(MAX(E245,(Reprogramaciones!$T$15+7*(Reprogramaciones!N$14-1))),MIN(F245,(Reprogramaciones!$T$15+7*(Reprogramaciones!N$14-1))+6),11))))))))</f>
        <v/>
      </c>
      <c r="BX245" s="1" t="str">
        <f aca="false">IF(OR(NOT(AND(ISNUMBER(E245),ISNUMBER(F245))),$J$2=""),"",IF(Reprogramaciones!O$13&lt;Reprogramaciones!$T$15,0,IF(Reprogramaciones!O$14&gt;10,MIN(100,SUM($G245:$P245)),MIN(100,SUMPRODUCT((COLUMN($G245:$P245)-COLUMN($G245)+1&lt;Reprogramaciones!O$14)*$G245:$P245)+N(INDEX($G245:$P245,1,Reprogramaciones!O$14))*IF(Reprogramaciones!O$13&gt;=(Reprogramaciones!$T$15+7*(Reprogramaciones!O$14-1))+6,1,IF(MAX(0,NETWORKDAYS.INTL(MAX(E245,(Reprogramaciones!$T$15+7*(Reprogramaciones!O$14-1))),MIN(F245,(Reprogramaciones!$T$15+7*(Reprogramaciones!O$14-1))+6),11))=0,0,MAX(0,NETWORKDAYS.INTL(MAX(E245,(Reprogramaciones!$T$15+7*(Reprogramaciones!O$14-1))),MIN(F245,Reprogramaciones!O$13),11))/MAX(0,NETWORKDAYS.INTL(MAX(E245,(Reprogramaciones!$T$15+7*(Reprogramaciones!O$14-1))),MIN(F245,(Reprogramaciones!$T$15+7*(Reprogramaciones!O$14-1))+6),11))))))))</f>
        <v/>
      </c>
      <c r="BY245" s="1" t="str">
        <f aca="false">IF(OR(NOT(AND(ISNUMBER(E245),ISNUMBER(F245))),$J$2=""),"",IF(Reprogramaciones!P$13&lt;Reprogramaciones!$T$15,0,IF(Reprogramaciones!P$14&gt;10,MIN(100,SUM($G245:$P245)),MIN(100,SUMPRODUCT((COLUMN($G245:$P245)-COLUMN($G245)+1&lt;Reprogramaciones!P$14)*$G245:$P245)+N(INDEX($G245:$P245,1,Reprogramaciones!P$14))*IF(Reprogramaciones!P$13&gt;=(Reprogramaciones!$T$15+7*(Reprogramaciones!P$14-1))+6,1,IF(MAX(0,NETWORKDAYS.INTL(MAX(E245,(Reprogramaciones!$T$15+7*(Reprogramaciones!P$14-1))),MIN(F245,(Reprogramaciones!$T$15+7*(Reprogramaciones!P$14-1))+6),11))=0,0,MAX(0,NETWORKDAYS.INTL(MAX(E245,(Reprogramaciones!$T$15+7*(Reprogramaciones!P$14-1))),MIN(F245,Reprogramaciones!P$13),11))/MAX(0,NETWORKDAYS.INTL(MAX(E245,(Reprogramaciones!$T$15+7*(Reprogramaciones!P$14-1))),MIN(F245,(Reprogramaciones!$T$15+7*(Reprogramaciones!P$14-1))+6),11))))))))</f>
        <v/>
      </c>
      <c r="BZ245" s="1" t="str">
        <f aca="false">IF(OR(NOT(AND(ISNUMBER(E245),ISNUMBER(F245))),$J$2=""),"",IF(Reprogramaciones!Q$13&lt;Reprogramaciones!$T$15,0,IF(Reprogramaciones!Q$14&gt;10,MIN(100,SUM($G245:$P245)),MIN(100,SUMPRODUCT((COLUMN($G245:$P245)-COLUMN($G245)+1&lt;Reprogramaciones!Q$14)*$G245:$P245)+N(INDEX($G245:$P245,1,Reprogramaciones!Q$14))*IF(Reprogramaciones!Q$13&gt;=(Reprogramaciones!$T$15+7*(Reprogramaciones!Q$14-1))+6,1,IF(MAX(0,NETWORKDAYS.INTL(MAX(E245,(Reprogramaciones!$T$15+7*(Reprogramaciones!Q$14-1))),MIN(F245,(Reprogramaciones!$T$15+7*(Reprogramaciones!Q$14-1))+6),11))=0,0,MAX(0,NETWORKDAYS.INTL(MAX(E245,(Reprogramaciones!$T$15+7*(Reprogramaciones!Q$14-1))),MIN(F245,Reprogramaciones!Q$13),11))/MAX(0,NETWORKDAYS.INTL(MAX(E245,(Reprogramaciones!$T$15+7*(Reprogramaciones!Q$14-1))),MIN(F245,(Reprogramaciones!$T$15+7*(Reprogramaciones!Q$14-1))+6),11))))))))</f>
        <v/>
      </c>
      <c r="CA245" s="1" t="str">
        <f aca="false">IF(OR(NOT(AND(ISNUMBER(E245),ISNUMBER(F245))),$J$2=""),"",IF(Reprogramaciones!R$13&lt;Reprogramaciones!$T$15,0,IF(Reprogramaciones!R$14&gt;10,MIN(100,SUM($G245:$P245)),MIN(100,SUMPRODUCT((COLUMN($G245:$P245)-COLUMN($G245)+1&lt;Reprogramaciones!R$14)*$G245:$P245)+N(INDEX($G245:$P245,1,Reprogramaciones!R$14))*IF(Reprogramaciones!R$13&gt;=(Reprogramaciones!$T$15+7*(Reprogramaciones!R$14-1))+6,1,IF(MAX(0,NETWORKDAYS.INTL(MAX(E245,(Reprogramaciones!$T$15+7*(Reprogramaciones!R$14-1))),MIN(F245,(Reprogramaciones!$T$15+7*(Reprogramaciones!R$14-1))+6),11))=0,0,MAX(0,NETWORKDAYS.INTL(MAX(E245,(Reprogramaciones!$T$15+7*(Reprogramaciones!R$14-1))),MIN(F245,Reprogramaciones!R$13),11))/MAX(0,NETWORKDAYS.INTL(MAX(E245,(Reprogramaciones!$T$15+7*(Reprogramaciones!R$14-1))),MIN(F245,(Reprogramaciones!$T$15+7*(Reprogramaciones!R$14-1))+6),11))))))))</f>
        <v/>
      </c>
      <c r="CB245" s="1" t="str">
        <f aca="false">IF(OR(NOT(AND(ISNUMBER(E245),ISNUMBER(F245))),$J$2=""),"",IF(Reprogramaciones!S$13&lt;Reprogramaciones!$T$15,0,IF(Reprogramaciones!S$14&gt;10,MIN(100,SUM($G245:$P245)),MIN(100,SUMPRODUCT((COLUMN($G245:$P245)-COLUMN($G245)+1&lt;Reprogramaciones!S$14)*$G245:$P245)+N(INDEX($G245:$P245,1,Reprogramaciones!S$14))*IF(Reprogramaciones!S$13&gt;=(Reprogramaciones!$T$15+7*(Reprogramaciones!S$14-1))+6,1,IF(MAX(0,NETWORKDAYS.INTL(MAX(E245,(Reprogramaciones!$T$15+7*(Reprogramaciones!S$14-1))),MIN(F245,(Reprogramaciones!$T$15+7*(Reprogramaciones!S$14-1))+6),11))=0,0,MAX(0,NETWORKDAYS.INTL(MAX(E245,(Reprogramaciones!$T$15+7*(Reprogramaciones!S$14-1))),MIN(F245,Reprogramaciones!S$13),11))/MAX(0,NETWORKDAYS.INTL(MAX(E245,(Reprogramaciones!$T$15+7*(Reprogramaciones!S$14-1))),MIN(F245,(Reprogramaciones!$T$15+7*(Reprogramaciones!S$14-1))+6),11))))))))</f>
        <v/>
      </c>
      <c r="CC245" s="1" t="str">
        <f aca="false">IF(OR(NOT(AND(ISNUMBER(E245),ISNUMBER(F245))),$J$2=""),"",IF(Reprogramaciones!T$13&lt;Reprogramaciones!$T$15,0,IF(Reprogramaciones!T$14&gt;10,MIN(100,SUM($G245:$P245)),MIN(100,SUMPRODUCT((COLUMN($G245:$P245)-COLUMN($G245)+1&lt;Reprogramaciones!T$14)*$G245:$P245)+N(INDEX($G245:$P245,1,Reprogramaciones!T$14))*IF(Reprogramaciones!T$13&gt;=(Reprogramaciones!$T$15+7*(Reprogramaciones!T$14-1))+6,1,IF(MAX(0,NETWORKDAYS.INTL(MAX(E245,(Reprogramaciones!$T$15+7*(Reprogramaciones!T$14-1))),MIN(F245,(Reprogramaciones!$T$15+7*(Reprogramaciones!T$14-1))+6),11))=0,0,MAX(0,NETWORKDAYS.INTL(MAX(E245,(Reprogramaciones!$T$15+7*(Reprogramaciones!T$14-1))),MIN(F245,Reprogramaciones!T$13),11))/MAX(0,NETWORKDAYS.INTL(MAX(E245,(Reprogramaciones!$T$15+7*(Reprogramaciones!T$14-1))),MIN(F245,(Reprogramaciones!$T$15+7*(Reprogramaciones!T$14-1))+6),11))))))))</f>
        <v/>
      </c>
      <c r="CD245" s="1" t="str">
        <f aca="false">IF(OR(NOT(AND(ISNUMBER(E245),ISNUMBER(F245))),$J$2=""),"",IF(Reprogramaciones!U$13&lt;Reprogramaciones!$T$15,0,IF(Reprogramaciones!U$14&gt;10,MIN(100,SUM($G245:$P245)),MIN(100,SUMPRODUCT((COLUMN($G245:$P245)-COLUMN($G245)+1&lt;Reprogramaciones!U$14)*$G245:$P245)+N(INDEX($G245:$P245,1,Reprogramaciones!U$14))*IF(Reprogramaciones!U$13&gt;=(Reprogramaciones!$T$15+7*(Reprogramaciones!U$14-1))+6,1,IF(MAX(0,NETWORKDAYS.INTL(MAX(E245,(Reprogramaciones!$T$15+7*(Reprogramaciones!U$14-1))),MIN(F245,(Reprogramaciones!$T$15+7*(Reprogramaciones!U$14-1))+6),11))=0,0,MAX(0,NETWORKDAYS.INTL(MAX(E245,(Reprogramaciones!$T$15+7*(Reprogramaciones!U$14-1))),MIN(F245,Reprogramaciones!U$13),11))/MAX(0,NETWORKDAYS.INTL(MAX(E245,(Reprogramaciones!$T$15+7*(Reprogramaciones!U$14-1))),MIN(F245,(Reprogramaciones!$T$15+7*(Reprogramaciones!U$14-1))+6),11))))))))</f>
        <v/>
      </c>
      <c r="CE245" s="1" t="str">
        <f aca="false">IF(OR(NOT(AND(ISNUMBER(E245),ISNUMBER(F245))),$J$2=""),"",IF(Reprogramaciones!V$13&lt;Reprogramaciones!$T$15,0,IF(Reprogramaciones!V$14&gt;10,MIN(100,SUM($G245:$P245)),MIN(100,SUMPRODUCT((COLUMN($G245:$P245)-COLUMN($G245)+1&lt;Reprogramaciones!V$14)*$G245:$P245)+N(INDEX($G245:$P245,1,Reprogramaciones!V$14))*IF(Reprogramaciones!V$13&gt;=(Reprogramaciones!$T$15+7*(Reprogramaciones!V$14-1))+6,1,IF(MAX(0,NETWORKDAYS.INTL(MAX(E245,(Reprogramaciones!$T$15+7*(Reprogramaciones!V$14-1))),MIN(F245,(Reprogramaciones!$T$15+7*(Reprogramaciones!V$14-1))+6),11))=0,0,MAX(0,NETWORKDAYS.INTL(MAX(E245,(Reprogramaciones!$T$15+7*(Reprogramaciones!V$14-1))),MIN(F245,Reprogramaciones!V$13),11))/MAX(0,NETWORKDAYS.INTL(MAX(E245,(Reprogramaciones!$T$15+7*(Reprogramaciones!V$14-1))),MIN(F245,(Reprogramaciones!$T$15+7*(Reprogramaciones!V$14-1))+6),11))))))))</f>
        <v/>
      </c>
      <c r="CF245" s="1" t="str">
        <f aca="false">IF(OR(NOT(AND(ISNUMBER(E245),ISNUMBER(F245))),$J$2=""),"",IF(Reprogramaciones!W$13&lt;Reprogramaciones!$T$15,0,IF(Reprogramaciones!W$14&gt;10,MIN(100,SUM($G245:$P245)),MIN(100,SUMPRODUCT((COLUMN($G245:$P245)-COLUMN($G245)+1&lt;Reprogramaciones!W$14)*$G245:$P245)+N(INDEX($G245:$P245,1,Reprogramaciones!W$14))*IF(Reprogramaciones!W$13&gt;=(Reprogramaciones!$T$15+7*(Reprogramaciones!W$14-1))+6,1,IF(MAX(0,NETWORKDAYS.INTL(MAX(E245,(Reprogramaciones!$T$15+7*(Reprogramaciones!W$14-1))),MIN(F245,(Reprogramaciones!$T$15+7*(Reprogramaciones!W$14-1))+6),11))=0,0,MAX(0,NETWORKDAYS.INTL(MAX(E245,(Reprogramaciones!$T$15+7*(Reprogramaciones!W$14-1))),MIN(F245,Reprogramaciones!W$13),11))/MAX(0,NETWORKDAYS.INTL(MAX(E245,(Reprogramaciones!$T$15+7*(Reprogramaciones!W$14-1))),MIN(F245,(Reprogramaciones!$T$15+7*(Reprogramaciones!W$14-1))+6),11))))))))</f>
        <v/>
      </c>
      <c r="CG245" s="1" t="str">
        <f aca="false">IF(OR(NOT(AND(ISNUMBER(E245),ISNUMBER(F245))),$J$2=""),"",IF(Reprogramaciones!X$13&lt;Reprogramaciones!$T$15,0,IF(Reprogramaciones!X$14&gt;10,MIN(100,SUM($G245:$P245)),MIN(100,SUMPRODUCT((COLUMN($G245:$P245)-COLUMN($G245)+1&lt;Reprogramaciones!X$14)*$G245:$P245)+N(INDEX($G245:$P245,1,Reprogramaciones!X$14))*IF(Reprogramaciones!X$13&gt;=(Reprogramaciones!$T$15+7*(Reprogramaciones!X$14-1))+6,1,IF(MAX(0,NETWORKDAYS.INTL(MAX(E245,(Reprogramaciones!$T$15+7*(Reprogramaciones!X$14-1))),MIN(F245,(Reprogramaciones!$T$15+7*(Reprogramaciones!X$14-1))+6),11))=0,0,MAX(0,NETWORKDAYS.INTL(MAX(E245,(Reprogramaciones!$T$15+7*(Reprogramaciones!X$14-1))),MIN(F245,Reprogramaciones!X$13),11))/MAX(0,NETWORKDAYS.INTL(MAX(E245,(Reprogramaciones!$T$15+7*(Reprogramaciones!X$14-1))),MIN(F245,(Reprogramaciones!$T$15+7*(Reprogramaciones!X$14-1))+6),11))))))))</f>
        <v/>
      </c>
      <c r="CH245" s="1" t="str">
        <f aca="false">IF(OR(NOT(AND(ISNUMBER(E245),ISNUMBER(F245))),$J$2=""),"",IF(Reprogramaciones!Y$13&lt;Reprogramaciones!$T$15,0,IF(Reprogramaciones!Y$14&gt;10,MIN(100,SUM($G245:$P245)),MIN(100,SUMPRODUCT((COLUMN($G245:$P245)-COLUMN($G245)+1&lt;Reprogramaciones!Y$14)*$G245:$P245)+N(INDEX($G245:$P245,1,Reprogramaciones!Y$14))*IF(Reprogramaciones!Y$13&gt;=(Reprogramaciones!$T$15+7*(Reprogramaciones!Y$14-1))+6,1,IF(MAX(0,NETWORKDAYS.INTL(MAX(E245,(Reprogramaciones!$T$15+7*(Reprogramaciones!Y$14-1))),MIN(F245,(Reprogramaciones!$T$15+7*(Reprogramaciones!Y$14-1))+6),11))=0,0,MAX(0,NETWORKDAYS.INTL(MAX(E245,(Reprogramaciones!$T$15+7*(Reprogramaciones!Y$14-1))),MIN(F245,Reprogramaciones!Y$13),11))/MAX(0,NETWORKDAYS.INTL(MAX(E245,(Reprogramaciones!$T$15+7*(Reprogramaciones!Y$14-1))),MIN(F245,(Reprogramaciones!$T$15+7*(Reprogramaciones!Y$14-1))+6),11))))))))</f>
        <v/>
      </c>
      <c r="CI245" s="1" t="str">
        <f aca="false">IF(OR(NOT(AND(ISNUMBER(E245),ISNUMBER(F245))),$J$2=""),"",IF(Reprogramaciones!Z$13&lt;Reprogramaciones!$T$15,0,IF(Reprogramaciones!Z$14&gt;10,MIN(100,SUM($G245:$P245)),MIN(100,SUMPRODUCT((COLUMN($G245:$P245)-COLUMN($G245)+1&lt;Reprogramaciones!Z$14)*$G245:$P245)+N(INDEX($G245:$P245,1,Reprogramaciones!Z$14))*IF(Reprogramaciones!Z$13&gt;=(Reprogramaciones!$T$15+7*(Reprogramaciones!Z$14-1))+6,1,IF(MAX(0,NETWORKDAYS.INTL(MAX(E245,(Reprogramaciones!$T$15+7*(Reprogramaciones!Z$14-1))),MIN(F245,(Reprogramaciones!$T$15+7*(Reprogramaciones!Z$14-1))+6),11))=0,0,MAX(0,NETWORKDAYS.INTL(MAX(E245,(Reprogramaciones!$T$15+7*(Reprogramaciones!Z$14-1))),MIN(F245,Reprogramaciones!Z$13),11))/MAX(0,NETWORKDAYS.INTL(MAX(E245,(Reprogramaciones!$T$15+7*(Reprogramaciones!Z$14-1))),MIN(F245,(Reprogramaciones!$T$15+7*(Reprogramaciones!Z$14-1))+6),11))))))))</f>
        <v/>
      </c>
      <c r="CJ245" s="1" t="str">
        <f aca="false">IF(OR(OR(NOT(AND(ISNUMBER(E245),ISNUMBER(F245))),$J$2=""),1&gt;Reprogramaciones!$K$16),"",IF(ROUND(SUM($Q245:Q245),1)&gt;=99.5,100,MIN(100,ROUND(SUM($Q245:Q245),1))))</f>
        <v/>
      </c>
      <c r="CK245" s="1" t="str">
        <f aca="false">IF(OR(OR(NOT(AND(ISNUMBER(E245),ISNUMBER(F245))),$J$2=""),2&gt;Reprogramaciones!$K$16),"",IF(ROUND(SUM($Q245:R245),1)&gt;=99.5,100,MIN(100,ROUND(SUM($Q245:R245),1))))</f>
        <v/>
      </c>
      <c r="CL245" s="1" t="str">
        <f aca="false">IF(OR(OR(NOT(AND(ISNUMBER(E245),ISNUMBER(F245))),$J$2=""),3&gt;Reprogramaciones!$K$16),"",IF(ROUND(SUM($Q245:S245),1)&gt;=99.5,100,MIN(100,ROUND(SUM($Q245:S245),1))))</f>
        <v/>
      </c>
      <c r="CM245" s="1" t="str">
        <f aca="false">IF(OR(OR(NOT(AND(ISNUMBER(E245),ISNUMBER(F245))),$J$2=""),4&gt;Reprogramaciones!$K$16),"",IF(ROUND(SUM($Q245:T245),1)&gt;=99.5,100,MIN(100,ROUND(SUM($Q245:T245),1))))</f>
        <v/>
      </c>
      <c r="CN245" s="1" t="str">
        <f aca="false">IF(OR(OR(NOT(AND(ISNUMBER(E245),ISNUMBER(F245))),$J$2=""),5&gt;Reprogramaciones!$K$16),"",IF(ROUND(SUM($Q245:U245),1)&gt;=99.5,100,MIN(100,ROUND(SUM($Q245:U245),1))))</f>
        <v/>
      </c>
      <c r="CO245" s="1" t="str">
        <f aca="false">IF(OR(OR(NOT(AND(ISNUMBER(E245),ISNUMBER(F245))),$J$2=""),6&gt;Reprogramaciones!$K$16),"",IF(ROUND(SUM($Q245:V245),1)&gt;=99.5,100,MIN(100,ROUND(SUM($Q245:V245),1))))</f>
        <v/>
      </c>
      <c r="CP245" s="1" t="str">
        <f aca="false">IF(OR(OR(NOT(AND(ISNUMBER(E245),ISNUMBER(F245))),$J$2=""),7&gt;Reprogramaciones!$K$16),"",IF(ROUND(SUM($Q245:W245),1)&gt;=99.5,100,MIN(100,ROUND(SUM($Q245:W245),1))))</f>
        <v/>
      </c>
      <c r="CQ245" s="1" t="str">
        <f aca="false">IF(OR(OR(NOT(AND(ISNUMBER(E245),ISNUMBER(F245))),$J$2=""),8&gt;Reprogramaciones!$K$16),"",IF(ROUND(SUM($Q245:X245),1)&gt;=99.5,100,MIN(100,ROUND(SUM($Q245:X245),1))))</f>
        <v/>
      </c>
      <c r="CR245" s="1" t="str">
        <f aca="false">IF(OR(OR(NOT(AND(ISNUMBER(E245),ISNUMBER(F245))),$J$2=""),9&gt;Reprogramaciones!$K$16),"",IF(ROUND(SUM($Q245:Y245),1)&gt;=99.5,100,MIN(100,ROUND(SUM($Q245:Y245),1))))</f>
        <v/>
      </c>
      <c r="CS245" s="1" t="str">
        <f aca="false">IF(OR(OR(NOT(AND(ISNUMBER(E245),ISNUMBER(F245))),$J$2=""),10&gt;Reprogramaciones!$K$16),"",IF(ROUND(SUM($Q245:Z245),1)&gt;=99.5,100,MIN(100,ROUND(SUM($Q245:Z245),1))))</f>
        <v/>
      </c>
      <c r="CT245" s="1" t="str">
        <f aca="false">IF(OR(OR(NOT(AND(ISNUMBER(E245),ISNUMBER(F245))),$J$2=""),11&gt;Reprogramaciones!$K$16),"",IF(ROUND(SUM($Q245:AA245),1)&gt;=99.5,100,MIN(100,ROUND(SUM($Q245:AA245),1))))</f>
        <v/>
      </c>
      <c r="CU245" s="1" t="str">
        <f aca="false">IF(OR(OR(NOT(AND(ISNUMBER(E245),ISNUMBER(F245))),$J$2=""),12&gt;Reprogramaciones!$K$16),"",IF(ROUND(SUM($Q245:AB245),1)&gt;=99.5,100,MIN(100,ROUND(SUM($Q245:AB245),1))))</f>
        <v/>
      </c>
      <c r="CV245" s="1" t="str">
        <f aca="false">IF(OR(OR(NOT(AND(ISNUMBER(E245),ISNUMBER(F245))),$J$2=""),13&gt;Reprogramaciones!$K$16),"",IF(ROUND(SUM($Q245:AC245),1)&gt;=99.5,100,MIN(100,ROUND(SUM($Q245:AC245),1))))</f>
        <v/>
      </c>
      <c r="CW245" s="1" t="str">
        <f aca="false">IF(OR(OR(NOT(AND(ISNUMBER(E245),ISNUMBER(F245))),$J$2=""),14&gt;Reprogramaciones!$K$16),"",IF(ROUND(SUM($Q245:AD245),1)&gt;=99.5,100,MIN(100,ROUND(SUM($Q245:AD245),1))))</f>
        <v/>
      </c>
      <c r="CX245" s="1" t="str">
        <f aca="false">IF(OR(OR(NOT(AND(ISNUMBER(E245),ISNUMBER(F245))),$J$2=""),15&gt;Reprogramaciones!$K$16),"",IF(ROUND(SUM($Q245:AE245),1)&gt;=99.5,100,MIN(100,ROUND(SUM($Q245:AE245),1))))</f>
        <v/>
      </c>
      <c r="CY245" s="1" t="str">
        <f aca="false">IF(OR(OR(NOT(AND(ISNUMBER(E245),ISNUMBER(F245))),$J$2=""),16&gt;Reprogramaciones!$K$16),"",IF(ROUND(SUM($Q245:AF245),1)&gt;=99.5,100,MIN(100,ROUND(SUM($Q245:AF245),1))))</f>
        <v/>
      </c>
      <c r="CZ245" s="1" t="str">
        <f aca="false">IF(D245&lt;&gt;"",D245,IF(B245&lt;&gt;"","Contractual",CZ244))</f>
        <v>Contractual</v>
      </c>
      <c r="DA245" s="1" t="str">
        <f aca="false">IF(OR(NOT(AND(ISNUMBER(E245),ISNUMBER(F245))),$J$2=""),"",IF(Reprogramaciones!$Q$15&lt;Reprogramaciones!$T$15,0,IF(Reprogramaciones!$S$15&gt;10,MIN(100,SUM($G245:$P245)),MIN(100,SUMPRODUCT((COLUMN($G245:$P245)-COLUMN($G245)+1&lt;Reprogramaciones!$S$15)*$G245:$P245)+N(INDEX($G245:$P245,1,Reprogramaciones!$S$15))*IF(Reprogramaciones!$Q$15&gt;=(Reprogramaciones!$T$15+7*(Reprogramaciones!$S$15-1))+6,1,IF(MAX(0,NETWORKDAYS.INTL(MAX(E245,(Reprogramaciones!$T$15+7*(Reprogramaciones!$S$15-1))),MIN(F245,(Reprogramaciones!$T$15+7*(Reprogramaciones!$S$15-1))+6),11))=0,0,MAX(0,NETWORKDAYS.INTL(MAX(E245,(Reprogramaciones!$T$15+7*(Reprogramaciones!$S$15-1))),MIN(F245,Reprogramaciones!$Q$15),11))/MAX(0,NETWORKDAYS.INTL(MAX(E245,(Reprogramaciones!$T$15+7*(Reprogramaciones!$S$15-1))),MIN(F245,(Reprogramaciones!$T$15+7*(Reprogramaciones!$S$15-1))+6),11))))))))</f>
        <v/>
      </c>
    </row>
    <row r="246" customFormat="false" ht="15" hidden="false" customHeight="false" outlineLevel="0" collapsed="false">
      <c r="A246" s="32"/>
      <c r="B246" s="33"/>
      <c r="C246" s="33"/>
      <c r="D246" s="34"/>
      <c r="E246" s="35"/>
      <c r="F246" s="35"/>
      <c r="G246" s="36" t="str">
        <f aca="false">IF(OR(NOT(AND(ISNUMBER(E246),ISNUMBER(F246))),$J$2=""),"",IF(Reprogramaciones!K$9&lt;E246,0,IF(NETWORKDAYS.INTL(E246,F246,11)=0,IF(Reprogramaciones!K$9&gt;=F246,100,0),ROUND(NETWORKDAYS.INTL(E246,MIN(F246,Reprogramaciones!K$9),11)/NETWORKDAYS.INTL(E246,F246,11)*100,1)))-0)</f>
        <v/>
      </c>
      <c r="H246" s="36" t="str">
        <f aca="false">IF(OR(NOT(AND(ISNUMBER(E246),ISNUMBER(F246))),$J$2=""),"",IF(Reprogramaciones!L$9&lt;E246,0,IF(NETWORKDAYS.INTL(E246,F246,11)=0,IF(Reprogramaciones!L$9&gt;=F246,100,0),ROUND(NETWORKDAYS.INTL(E246,MIN(F246,Reprogramaciones!L$9),11)/NETWORKDAYS.INTL(E246,F246,11)*100,1)))-IF(Reprogramaciones!K$9&lt;E246,0,IF(NETWORKDAYS.INTL(E246,F246,11)=0,IF(Reprogramaciones!K$9&gt;=F246,100,0),ROUND(NETWORKDAYS.INTL(E246,MIN(F246,Reprogramaciones!K$9),11)/NETWORKDAYS.INTL(E246,F246,11)*100,1))))</f>
        <v/>
      </c>
      <c r="I246" s="36" t="str">
        <f aca="false">IF(OR(NOT(AND(ISNUMBER(E246),ISNUMBER(F246))),$J$2=""),"",IF(Reprogramaciones!M$9&lt;E246,0,IF(NETWORKDAYS.INTL(E246,F246,11)=0,IF(Reprogramaciones!M$9&gt;=F246,100,0),ROUND(NETWORKDAYS.INTL(E246,MIN(F246,Reprogramaciones!M$9),11)/NETWORKDAYS.INTL(E246,F246,11)*100,1)))-IF(Reprogramaciones!L$9&lt;E246,0,IF(NETWORKDAYS.INTL(E246,F246,11)=0,IF(Reprogramaciones!L$9&gt;=F246,100,0),ROUND(NETWORKDAYS.INTL(E246,MIN(F246,Reprogramaciones!L$9),11)/NETWORKDAYS.INTL(E246,F246,11)*100,1))))</f>
        <v/>
      </c>
      <c r="J246" s="36" t="str">
        <f aca="false">IF(OR(NOT(AND(ISNUMBER(E246),ISNUMBER(F246))),$J$2=""),"",IF(Reprogramaciones!N$9&lt;E246,0,IF(NETWORKDAYS.INTL(E246,F246,11)=0,IF(Reprogramaciones!N$9&gt;=F246,100,0),ROUND(NETWORKDAYS.INTL(E246,MIN(F246,Reprogramaciones!N$9),11)/NETWORKDAYS.INTL(E246,F246,11)*100,1)))-IF(Reprogramaciones!M$9&lt;E246,0,IF(NETWORKDAYS.INTL(E246,F246,11)=0,IF(Reprogramaciones!M$9&gt;=F246,100,0),ROUND(NETWORKDAYS.INTL(E246,MIN(F246,Reprogramaciones!M$9),11)/NETWORKDAYS.INTL(E246,F246,11)*100,1))))</f>
        <v/>
      </c>
      <c r="K246" s="36" t="str">
        <f aca="false">IF(OR(NOT(AND(ISNUMBER(E246),ISNUMBER(F246))),$J$2=""),"",IF(Reprogramaciones!O$9&lt;E246,0,IF(NETWORKDAYS.INTL(E246,F246,11)=0,IF(Reprogramaciones!O$9&gt;=F246,100,0),ROUND(NETWORKDAYS.INTL(E246,MIN(F246,Reprogramaciones!O$9),11)/NETWORKDAYS.INTL(E246,F246,11)*100,1)))-IF(Reprogramaciones!N$9&lt;E246,0,IF(NETWORKDAYS.INTL(E246,F246,11)=0,IF(Reprogramaciones!N$9&gt;=F246,100,0),ROUND(NETWORKDAYS.INTL(E246,MIN(F246,Reprogramaciones!N$9),11)/NETWORKDAYS.INTL(E246,F246,11)*100,1))))</f>
        <v/>
      </c>
      <c r="L246" s="36" t="str">
        <f aca="false">IF(OR(NOT(AND(ISNUMBER(E246),ISNUMBER(F246))),$J$2=""),"",IF(Reprogramaciones!P$9&lt;E246,0,IF(NETWORKDAYS.INTL(E246,F246,11)=0,IF(Reprogramaciones!P$9&gt;=F246,100,0),ROUND(NETWORKDAYS.INTL(E246,MIN(F246,Reprogramaciones!P$9),11)/NETWORKDAYS.INTL(E246,F246,11)*100,1)))-IF(Reprogramaciones!O$9&lt;E246,0,IF(NETWORKDAYS.INTL(E246,F246,11)=0,IF(Reprogramaciones!O$9&gt;=F246,100,0),ROUND(NETWORKDAYS.INTL(E246,MIN(F246,Reprogramaciones!O$9),11)/NETWORKDAYS.INTL(E246,F246,11)*100,1))))</f>
        <v/>
      </c>
      <c r="M246" s="36" t="str">
        <f aca="false">IF(OR(NOT(AND(ISNUMBER(E246),ISNUMBER(F246))),$J$2=""),"",IF(Reprogramaciones!Q$9&lt;E246,0,IF(NETWORKDAYS.INTL(E246,F246,11)=0,IF(Reprogramaciones!Q$9&gt;=F246,100,0),ROUND(NETWORKDAYS.INTL(E246,MIN(F246,Reprogramaciones!Q$9),11)/NETWORKDAYS.INTL(E246,F246,11)*100,1)))-IF(Reprogramaciones!P$9&lt;E246,0,IF(NETWORKDAYS.INTL(E246,F246,11)=0,IF(Reprogramaciones!P$9&gt;=F246,100,0),ROUND(NETWORKDAYS.INTL(E246,MIN(F246,Reprogramaciones!P$9),11)/NETWORKDAYS.INTL(E246,F246,11)*100,1))))</f>
        <v/>
      </c>
      <c r="N246" s="36" t="str">
        <f aca="false">IF(OR(NOT(AND(ISNUMBER(E246),ISNUMBER(F246))),$J$2=""),"",IF(Reprogramaciones!R$9&lt;E246,0,IF(NETWORKDAYS.INTL(E246,F246,11)=0,IF(Reprogramaciones!R$9&gt;=F246,100,0),ROUND(NETWORKDAYS.INTL(E246,MIN(F246,Reprogramaciones!R$9),11)/NETWORKDAYS.INTL(E246,F246,11)*100,1)))-IF(Reprogramaciones!Q$9&lt;E246,0,IF(NETWORKDAYS.INTL(E246,F246,11)=0,IF(Reprogramaciones!Q$9&gt;=F246,100,0),ROUND(NETWORKDAYS.INTL(E246,MIN(F246,Reprogramaciones!Q$9),11)/NETWORKDAYS.INTL(E246,F246,11)*100,1))))</f>
        <v/>
      </c>
      <c r="O246" s="36" t="str">
        <f aca="false">IF(OR(NOT(AND(ISNUMBER(E246),ISNUMBER(F246))),$J$2=""),"",IF(Reprogramaciones!S$9&lt;E246,0,IF(NETWORKDAYS.INTL(E246,F246,11)=0,IF(Reprogramaciones!S$9&gt;=F246,100,0),ROUND(NETWORKDAYS.INTL(E246,MIN(F246,Reprogramaciones!S$9),11)/NETWORKDAYS.INTL(E246,F246,11)*100,1)))-IF(Reprogramaciones!R$9&lt;E246,0,IF(NETWORKDAYS.INTL(E246,F246,11)=0,IF(Reprogramaciones!R$9&gt;=F246,100,0),ROUND(NETWORKDAYS.INTL(E246,MIN(F246,Reprogramaciones!R$9),11)/NETWORKDAYS.INTL(E246,F246,11)*100,1))))</f>
        <v/>
      </c>
      <c r="P246" s="36" t="str">
        <f aca="false">IF(OR(NOT(AND(ISNUMBER(E246),ISNUMBER(F246))),$J$2=""),"",IF(Reprogramaciones!T$9&lt;E246,0,IF(NETWORKDAYS.INTL(E246,F246,11)=0,IF(Reprogramaciones!T$9&gt;=F246,100,0),ROUND(NETWORKDAYS.INTL(E246,MIN(F246,Reprogramaciones!T$9),11)/NETWORKDAYS.INTL(E246,F246,11)*100,1)))-IF(Reprogramaciones!S$9&lt;E246,0,IF(NETWORKDAYS.INTL(E246,F246,11)=0,IF(Reprogramaciones!S$9&gt;=F246,100,0),ROUND(NETWORKDAYS.INTL(E246,MIN(F246,Reprogramaciones!S$9),11)/NETWORKDAYS.INTL(E246,F246,11)*100,1))))</f>
        <v/>
      </c>
      <c r="Q246" s="37"/>
      <c r="R246" s="37"/>
      <c r="S246" s="37"/>
      <c r="T246" s="37"/>
      <c r="U246" s="37"/>
      <c r="V246" s="37"/>
      <c r="W246" s="37"/>
      <c r="X246" s="37"/>
      <c r="Y246" s="37"/>
      <c r="Z246" s="37"/>
      <c r="AA246" s="37"/>
      <c r="AB246" s="37"/>
      <c r="AC246" s="37"/>
      <c r="AD246" s="37"/>
      <c r="AE246" s="37"/>
      <c r="AF246" s="37"/>
      <c r="AG246" s="38" t="str">
        <f aca="false">IF(AND(ISNUMBER(E246),ISNUMBER(F246)),NETWORKDAYS.INTL(E246,F246,11),"")</f>
        <v/>
      </c>
      <c r="AH246" s="38" t="str">
        <f aca="false">IF(OR(NOT(AND(ISNUMBER(E246),ISNUMBER(F246))),$J$2=""),"",IF(Reprogramaciones!$P$15&lt;Reprogramaciones!$T$15,0,IF(Reprogramaciones!$R$15&gt;10,MIN(100,SUM($G246:$P246)),MIN(100,SUMPRODUCT((COLUMN($G246:$P246)-COLUMN($G246)+1&lt;Reprogramaciones!$R$15)*$G246:$P246)+N(INDEX($G246:$P246,1,Reprogramaciones!$R$15))*IF(Reprogramaciones!$P$15&gt;=(Reprogramaciones!$T$15+7*(Reprogramaciones!$R$15-1))+6,1,IF(MAX(0,NETWORKDAYS.INTL(MAX(E246,(Reprogramaciones!$T$15+7*(Reprogramaciones!$R$15-1))),MIN(F246,(Reprogramaciones!$T$15+7*(Reprogramaciones!$R$15-1))+6),11))=0,0,MAX(0,NETWORKDAYS.INTL(MAX(E246,(Reprogramaciones!$T$15+7*(Reprogramaciones!$R$15-1))),MIN(F246,Reprogramaciones!$P$15),11))/MAX(0,NETWORKDAYS.INTL(MAX(E246,(Reprogramaciones!$T$15+7*(Reprogramaciones!$R$15-1))),MIN(F246,(Reprogramaciones!$T$15+7*(Reprogramaciones!$R$15-1))+6),11))))))))</f>
        <v/>
      </c>
      <c r="AI246" s="38" t="str">
        <f aca="false">IF(COUNT($Q246:$AF246)=0,"",IF(ROUND(SUM($Q246:$AF246),1)&gt;=99.5,100,MIN(100,ROUND(SUM($Q246:$AF246),1))))</f>
        <v/>
      </c>
      <c r="AJ246" s="38" t="str">
        <f aca="false">IF(OR(AH246="",AI246=""),"",AI246-AH246)</f>
        <v/>
      </c>
      <c r="AK246" s="39" t="str">
        <f aca="true">IF(AH246="","",IF(OR(Ficha!$C$10="Suspendida",Ficha!$C$10="Cancelada"),Ficha!$C$10,IF(AND(AI246&lt;&gt;"",N(AI246)&gt;=100),"Completada",IF(AND(E246&gt;TODAY(),N(AI246)=0),"Por iniciar",IF(N(AI246)+0.5&lt;AH246,"Retrasada",IF(N(AI246)+0.5&lt;DA246,IF(Reprogramaciones!$K$15&gt;0,"Al día · Sem "&amp;Reprogramaciones!$K$15&amp;" en curso","Al día · en curso"),"A tiempo"))))))</f>
        <v/>
      </c>
      <c r="AL246" s="39" t="str">
        <f aca="true">IF(AND(A246="",AND(B246="",C246="",E246="",F246="",COUNT(Q246:AF246)=0)),"",IF(AND(B246="",C246="",E246="",F246="",COUNT(Q246:AF246)=0),"Falta la partida o subpartida",IF(AND(A246&lt;&gt;"",COUNTIF($A$6:$A$305,A246)&gt;1),"Ítem repetido",IF(AND(C246="",E246="",F246="",COUNT(Q246:AF246)=0),"Título de partida",IF(OR(E246="",F246=""),"Faltan fechas",IF(OR(ISTEXT(E246),ISTEXT(F246)),"Fecha escrita como texto: usa dd/mm/aaaa",IF(F246&lt;E246,"Fin antes del inicio",IF(IF($J$2="",FALSE(),OR(E246&lt;$J$2,F246&gt;Reprogramaciones!$T$15+69)),"Fuera de las 10 semanas",IF(ABS(SUM(G246:P246)-100)&gt;0.5,"La meta no suma 100%",IF(ROUND(SUM(Q246:AF246),1)&gt;100.5,"El avance pasa de 100%",IF(MIN(Q246:AF246)&lt;0,"Avance negativo",IF(COUNTA(Q246:AF246)&gt;COUNT(Q246:AF246),"Avance escrito como texto",IF(SUMPRODUCT((Q246:AF246&gt;0)*(Q246:AF246&lt;1))&gt;0,"Avance menor a 1: escribe 50, no 50%",IF(SUMPRODUCT(ISNUMBER(Q246:AF246)*(Reprogramaciones!$K$8:$Z$8&gt;TODAY()))&gt;0,"Avance en semana que aún no llega",IF(AND(N(Reprogramaciones!$E$21)&gt;0,F246&gt;Reprogramaciones!$E$21),"Pasa el fin de la obra: registra una reprogramación",IF(AND(N(Reprogramaciones!$E$21)&gt;0,SUMPRODUCT(ISNUMBER(Q246:AF246)*(Reprogramaciones!$K$8:$Z$8&gt;Reprogramaciones!$E$21))&gt;0),"Avance después del fin de la obra: registra una reprogramación por atraso","OK"))))))))))))))))</f>
        <v/>
      </c>
      <c r="AM246" s="40" t="str">
        <f aca="false">IF(OR(OR(NOT(AND(ISNUMBER(E246),ISNUMBER(F246))),$J$2=""),1&gt;MAX(1,Reprogramaciones!$U$15)),"",IF(Reprogramaciones!K$12&gt;=7,"",IF(OR(BT246-N(0)&gt;0.05,N(Q246)&gt;0),ROUNDDOWN(ROUND(BT246,6),0)&amp;"%"&amp;IF(CJ246="",""," / "&amp;CJ246&amp;"%"),IF(AND(N(0)&gt;=99.95,CJ246&lt;&gt;"",N(CJ246)&lt;100),"Pend. "&amp;CJ246&amp;"%",""))))</f>
        <v/>
      </c>
      <c r="AN246" s="40" t="str">
        <f aca="false">IF(OR(OR(NOT(AND(ISNUMBER(E246),ISNUMBER(F246))),$J$2=""),2&gt;MAX(1,Reprogramaciones!$U$15)),"",IF(Reprogramaciones!L$12&gt;=7,"",IF(OR(BU246-N(BT246)&gt;0.05,N(R246)&gt;0),ROUNDDOWN(ROUND(BU246,6),0)&amp;"%"&amp;IF(CK246="",""," / "&amp;CK246&amp;"%"),IF(AND(N(BT246)&gt;=99.95,CK246&lt;&gt;"",N(CK246)&lt;100),"Pend. "&amp;CK246&amp;"%",""))))</f>
        <v/>
      </c>
      <c r="AO246" s="40" t="str">
        <f aca="false">IF(OR(OR(NOT(AND(ISNUMBER(E246),ISNUMBER(F246))),$J$2=""),3&gt;MAX(1,Reprogramaciones!$U$15)),"",IF(Reprogramaciones!M$12&gt;=7,"",IF(OR(BV246-N(BU246)&gt;0.05,N(S246)&gt;0),ROUNDDOWN(ROUND(BV246,6),0)&amp;"%"&amp;IF(CL246="",""," / "&amp;CL246&amp;"%"),IF(AND(N(BU246)&gt;=99.95,CL246&lt;&gt;"",N(CL246)&lt;100),"Pend. "&amp;CL246&amp;"%",""))))</f>
        <v/>
      </c>
      <c r="AP246" s="40" t="str">
        <f aca="false">IF(OR(OR(NOT(AND(ISNUMBER(E246),ISNUMBER(F246))),$J$2=""),4&gt;MAX(1,Reprogramaciones!$U$15)),"",IF(Reprogramaciones!N$12&gt;=7,"",IF(OR(BW246-N(BV246)&gt;0.05,N(T246)&gt;0),ROUNDDOWN(ROUND(BW246,6),0)&amp;"%"&amp;IF(CM246="",""," / "&amp;CM246&amp;"%"),IF(AND(N(BV246)&gt;=99.95,CM246&lt;&gt;"",N(CM246)&lt;100),"Pend. "&amp;CM246&amp;"%",""))))</f>
        <v/>
      </c>
      <c r="AQ246" s="40" t="str">
        <f aca="false">IF(OR(OR(NOT(AND(ISNUMBER(E246),ISNUMBER(F246))),$J$2=""),5&gt;MAX(1,Reprogramaciones!$U$15)),"",IF(Reprogramaciones!O$12&gt;=7,"",IF(OR(BX246-N(BW246)&gt;0.05,N(U246)&gt;0),ROUNDDOWN(ROUND(BX246,6),0)&amp;"%"&amp;IF(CN246="",""," / "&amp;CN246&amp;"%"),IF(AND(N(BW246)&gt;=99.95,CN246&lt;&gt;"",N(CN246)&lt;100),"Pend. "&amp;CN246&amp;"%",""))))</f>
        <v/>
      </c>
      <c r="AR246" s="40" t="str">
        <f aca="false">IF(OR(OR(NOT(AND(ISNUMBER(E246),ISNUMBER(F246))),$J$2=""),6&gt;MAX(1,Reprogramaciones!$U$15)),"",IF(Reprogramaciones!P$12&gt;=7,"",IF(OR(BY246-N(BX246)&gt;0.05,N(V246)&gt;0),ROUNDDOWN(ROUND(BY246,6),0)&amp;"%"&amp;IF(CO246="",""," / "&amp;CO246&amp;"%"),IF(AND(N(BX246)&gt;=99.95,CO246&lt;&gt;"",N(CO246)&lt;100),"Pend. "&amp;CO246&amp;"%",""))))</f>
        <v/>
      </c>
      <c r="AS246" s="40" t="str">
        <f aca="false">IF(OR(OR(NOT(AND(ISNUMBER(E246),ISNUMBER(F246))),$J$2=""),7&gt;MAX(1,Reprogramaciones!$U$15)),"",IF(Reprogramaciones!Q$12&gt;=7,"",IF(OR(BZ246-N(BY246)&gt;0.05,N(W246)&gt;0),ROUNDDOWN(ROUND(BZ246,6),0)&amp;"%"&amp;IF(CP246="",""," / "&amp;CP246&amp;"%"),IF(AND(N(BY246)&gt;=99.95,CP246&lt;&gt;"",N(CP246)&lt;100),"Pend. "&amp;CP246&amp;"%",""))))</f>
        <v/>
      </c>
      <c r="AT246" s="40" t="str">
        <f aca="false">IF(OR(OR(NOT(AND(ISNUMBER(E246),ISNUMBER(F246))),$J$2=""),8&gt;MAX(1,Reprogramaciones!$U$15)),"",IF(Reprogramaciones!R$12&gt;=7,"",IF(OR(CA246-N(BZ246)&gt;0.05,N(X246)&gt;0),ROUNDDOWN(ROUND(CA246,6),0)&amp;"%"&amp;IF(CQ246="",""," / "&amp;CQ246&amp;"%"),IF(AND(N(BZ246)&gt;=99.95,CQ246&lt;&gt;"",N(CQ246)&lt;100),"Pend. "&amp;CQ246&amp;"%",""))))</f>
        <v/>
      </c>
      <c r="AU246" s="40" t="str">
        <f aca="false">IF(OR(OR(NOT(AND(ISNUMBER(E246),ISNUMBER(F246))),$J$2=""),9&gt;MAX(1,Reprogramaciones!$U$15)),"",IF(Reprogramaciones!S$12&gt;=7,"",IF(OR(CB246-N(CA246)&gt;0.05,N(Y246)&gt;0),ROUNDDOWN(ROUND(CB246,6),0)&amp;"%"&amp;IF(CR246="",""," / "&amp;CR246&amp;"%"),IF(AND(N(CA246)&gt;=99.95,CR246&lt;&gt;"",N(CR246)&lt;100),"Pend. "&amp;CR246&amp;"%",""))))</f>
        <v/>
      </c>
      <c r="AV246" s="40" t="str">
        <f aca="false">IF(OR(OR(NOT(AND(ISNUMBER(E246),ISNUMBER(F246))),$J$2=""),10&gt;MAX(1,Reprogramaciones!$U$15)),"",IF(Reprogramaciones!T$12&gt;=7,"",IF(OR(CC246-N(CB246)&gt;0.05,N(Z246)&gt;0),ROUNDDOWN(ROUND(CC246,6),0)&amp;"%"&amp;IF(CS246="",""," / "&amp;CS246&amp;"%"),IF(AND(N(CB246)&gt;=99.95,CS246&lt;&gt;"",N(CS246)&lt;100),"Pend. "&amp;CS246&amp;"%",""))))</f>
        <v/>
      </c>
      <c r="AW246" s="40" t="str">
        <f aca="false">IF(OR(OR(NOT(AND(ISNUMBER(E246),ISNUMBER(F246))),$J$2=""),11&gt;MAX(1,Reprogramaciones!$U$15)),"",IF(Reprogramaciones!U$12&gt;=7,"",IF(OR(CD246-N(CC246)&gt;0.05,N(AA246)&gt;0),ROUNDDOWN(ROUND(CD246,6),0)&amp;"%"&amp;IF(CT246="",""," / "&amp;CT246&amp;"%"),IF(AND(N(CC246)&gt;=99.95,CT246&lt;&gt;"",N(CT246)&lt;100),"Pend. "&amp;CT246&amp;"%",""))))</f>
        <v/>
      </c>
      <c r="AX246" s="40" t="str">
        <f aca="false">IF(OR(OR(NOT(AND(ISNUMBER(E246),ISNUMBER(F246))),$J$2=""),12&gt;MAX(1,Reprogramaciones!$U$15)),"",IF(Reprogramaciones!V$12&gt;=7,"",IF(OR(CE246-N(CD246)&gt;0.05,N(AB246)&gt;0),ROUNDDOWN(ROUND(CE246,6),0)&amp;"%"&amp;IF(CU246="",""," / "&amp;CU246&amp;"%"),IF(AND(N(CD246)&gt;=99.95,CU246&lt;&gt;"",N(CU246)&lt;100),"Pend. "&amp;CU246&amp;"%",""))))</f>
        <v/>
      </c>
      <c r="AY246" s="40" t="str">
        <f aca="false">IF(OR(OR(NOT(AND(ISNUMBER(E246),ISNUMBER(F246))),$J$2=""),13&gt;MAX(1,Reprogramaciones!$U$15)),"",IF(Reprogramaciones!W$12&gt;=7,"",IF(OR(CF246-N(CE246)&gt;0.05,N(AC246)&gt;0),ROUNDDOWN(ROUND(CF246,6),0)&amp;"%"&amp;IF(CV246="",""," / "&amp;CV246&amp;"%"),IF(AND(N(CE246)&gt;=99.95,CV246&lt;&gt;"",N(CV246)&lt;100),"Pend. "&amp;CV246&amp;"%",""))))</f>
        <v/>
      </c>
      <c r="AZ246" s="40" t="str">
        <f aca="false">IF(OR(OR(NOT(AND(ISNUMBER(E246),ISNUMBER(F246))),$J$2=""),14&gt;MAX(1,Reprogramaciones!$U$15)),"",IF(Reprogramaciones!X$12&gt;=7,"",IF(OR(CG246-N(CF246)&gt;0.05,N(AD246)&gt;0),ROUNDDOWN(ROUND(CG246,6),0)&amp;"%"&amp;IF(CW246="",""," / "&amp;CW246&amp;"%"),IF(AND(N(CF246)&gt;=99.95,CW246&lt;&gt;"",N(CW246)&lt;100),"Pend. "&amp;CW246&amp;"%",""))))</f>
        <v/>
      </c>
      <c r="BA246" s="40" t="str">
        <f aca="false">IF(OR(OR(NOT(AND(ISNUMBER(E246),ISNUMBER(F246))),$J$2=""),15&gt;MAX(1,Reprogramaciones!$U$15)),"",IF(Reprogramaciones!Y$12&gt;=7,"",IF(OR(CH246-N(CG246)&gt;0.05,N(AE246)&gt;0),ROUNDDOWN(ROUND(CH246,6),0)&amp;"%"&amp;IF(CX246="",""," / "&amp;CX246&amp;"%"),IF(AND(N(CG246)&gt;=99.95,CX246&lt;&gt;"",N(CX246)&lt;100),"Pend. "&amp;CX246&amp;"%",""))))</f>
        <v/>
      </c>
      <c r="BB246" s="40" t="str">
        <f aca="false">IF(OR(OR(NOT(AND(ISNUMBER(E246),ISNUMBER(F246))),$J$2=""),16&gt;MAX(1,Reprogramaciones!$U$15)),"",IF(Reprogramaciones!Z$12&gt;=7,"",IF(OR(CI246-N(CH246)&gt;0.05,N(AF246)&gt;0),ROUNDDOWN(ROUND(CI246,6),0)&amp;"%"&amp;IF(CY246="",""," / "&amp;CY246&amp;"%"),IF(AND(N(CH246)&gt;=99.95,CY246&lt;&gt;"",N(CY246)&lt;100),"Pend. "&amp;CY246&amp;"%",""))))</f>
        <v/>
      </c>
      <c r="BC246" s="31" t="n">
        <f aca="false">IF(AND(ISNUMBER(E246),ISNUMBER(F246)),MAX(1,NETWORKDAYS.INTL(E246,F246,11)),0)</f>
        <v>0</v>
      </c>
      <c r="BD246" s="1" t="str">
        <f aca="false">IF(OR(NOT(AND(ISNUMBER(E246),ISNUMBER(F246))),$J$2=""),"",MIN(100,ROUND(SUM($G246:G246),1)))</f>
        <v/>
      </c>
      <c r="BE246" s="1" t="str">
        <f aca="false">IF(OR(NOT(AND(ISNUMBER(E246),ISNUMBER(F246))),$J$2=""),"",MIN(100,ROUND(SUM($G246:H246),1)))</f>
        <v/>
      </c>
      <c r="BF246" s="1" t="str">
        <f aca="false">IF(OR(NOT(AND(ISNUMBER(E246),ISNUMBER(F246))),$J$2=""),"",MIN(100,ROUND(SUM($G246:I246),1)))</f>
        <v/>
      </c>
      <c r="BG246" s="1" t="str">
        <f aca="false">IF(OR(NOT(AND(ISNUMBER(E246),ISNUMBER(F246))),$J$2=""),"",MIN(100,ROUND(SUM($G246:J246),1)))</f>
        <v/>
      </c>
      <c r="BH246" s="1" t="str">
        <f aca="false">IF(OR(NOT(AND(ISNUMBER(E246),ISNUMBER(F246))),$J$2=""),"",MIN(100,ROUND(SUM($G246:K246),1)))</f>
        <v/>
      </c>
      <c r="BI246" s="1" t="str">
        <f aca="false">IF(OR(NOT(AND(ISNUMBER(E246),ISNUMBER(F246))),$J$2=""),"",MIN(100,ROUND(SUM($G246:L246),1)))</f>
        <v/>
      </c>
      <c r="BJ246" s="1" t="str">
        <f aca="false">IF(OR(NOT(AND(ISNUMBER(E246),ISNUMBER(F246))),$J$2=""),"",MIN(100,ROUND(SUM($G246:M246),1)))</f>
        <v/>
      </c>
      <c r="BK246" s="1" t="str">
        <f aca="false">IF(OR(NOT(AND(ISNUMBER(E246),ISNUMBER(F246))),$J$2=""),"",MIN(100,ROUND(SUM($G246:N246),1)))</f>
        <v/>
      </c>
      <c r="BL246" s="1" t="str">
        <f aca="false">IF(OR(NOT(AND(ISNUMBER(E246),ISNUMBER(F246))),$J$2=""),"",MIN(100,ROUND(SUM($G246:O246),1)))</f>
        <v/>
      </c>
      <c r="BM246" s="1" t="str">
        <f aca="false">IF(OR(NOT(AND(ISNUMBER(E246),ISNUMBER(F246))),$J$2=""),"",MIN(100,ROUND(SUM($G246:P246),1)))</f>
        <v/>
      </c>
      <c r="BN246" s="1" t="str">
        <f aca="false">IF(OR(NOT(AND(ISNUMBER(E246),ISNUMBER(F246))),$J$2=""),"",MIN(100,ROUND(SUM($G246:P246),1)))</f>
        <v/>
      </c>
      <c r="BO246" s="1" t="str">
        <f aca="false">IF(OR(NOT(AND(ISNUMBER(E246),ISNUMBER(F246))),$J$2=""),"",MIN(100,ROUND(SUM($G246:P246),1)))</f>
        <v/>
      </c>
      <c r="BP246" s="1" t="str">
        <f aca="false">IF(OR(NOT(AND(ISNUMBER(E246),ISNUMBER(F246))),$J$2=""),"",MIN(100,ROUND(SUM($G246:P246),1)))</f>
        <v/>
      </c>
      <c r="BQ246" s="1" t="str">
        <f aca="false">IF(OR(NOT(AND(ISNUMBER(E246),ISNUMBER(F246))),$J$2=""),"",MIN(100,ROUND(SUM($G246:P246),1)))</f>
        <v/>
      </c>
      <c r="BR246" s="1" t="str">
        <f aca="false">IF(OR(NOT(AND(ISNUMBER(E246),ISNUMBER(F246))),$J$2=""),"",MIN(100,ROUND(SUM($G246:P246),1)))</f>
        <v/>
      </c>
      <c r="BS246" s="1" t="str">
        <f aca="false">IF(OR(NOT(AND(ISNUMBER(E246),ISNUMBER(F246))),$J$2=""),"",MIN(100,ROUND(SUM($G246:P246),1)))</f>
        <v/>
      </c>
      <c r="BT246" s="1" t="str">
        <f aca="false">IF(OR(NOT(AND(ISNUMBER(E246),ISNUMBER(F246))),$J$2=""),"",IF(Reprogramaciones!K$13&lt;Reprogramaciones!$T$15,0,IF(Reprogramaciones!K$14&gt;10,MIN(100,SUM($G246:$P246)),MIN(100,SUMPRODUCT((COLUMN($G246:$P246)-COLUMN($G246)+1&lt;Reprogramaciones!K$14)*$G246:$P246)+N(INDEX($G246:$P246,1,Reprogramaciones!K$14))*IF(Reprogramaciones!K$13&gt;=(Reprogramaciones!$T$15+7*(Reprogramaciones!K$14-1))+6,1,IF(MAX(0,NETWORKDAYS.INTL(MAX(E246,(Reprogramaciones!$T$15+7*(Reprogramaciones!K$14-1))),MIN(F246,(Reprogramaciones!$T$15+7*(Reprogramaciones!K$14-1))+6),11))=0,0,MAX(0,NETWORKDAYS.INTL(MAX(E246,(Reprogramaciones!$T$15+7*(Reprogramaciones!K$14-1))),MIN(F246,Reprogramaciones!K$13),11))/MAX(0,NETWORKDAYS.INTL(MAX(E246,(Reprogramaciones!$T$15+7*(Reprogramaciones!K$14-1))),MIN(F246,(Reprogramaciones!$T$15+7*(Reprogramaciones!K$14-1))+6),11))))))))</f>
        <v/>
      </c>
      <c r="BU246" s="1" t="str">
        <f aca="false">IF(OR(NOT(AND(ISNUMBER(E246),ISNUMBER(F246))),$J$2=""),"",IF(Reprogramaciones!L$13&lt;Reprogramaciones!$T$15,0,IF(Reprogramaciones!L$14&gt;10,MIN(100,SUM($G246:$P246)),MIN(100,SUMPRODUCT((COLUMN($G246:$P246)-COLUMN($G246)+1&lt;Reprogramaciones!L$14)*$G246:$P246)+N(INDEX($G246:$P246,1,Reprogramaciones!L$14))*IF(Reprogramaciones!L$13&gt;=(Reprogramaciones!$T$15+7*(Reprogramaciones!L$14-1))+6,1,IF(MAX(0,NETWORKDAYS.INTL(MAX(E246,(Reprogramaciones!$T$15+7*(Reprogramaciones!L$14-1))),MIN(F246,(Reprogramaciones!$T$15+7*(Reprogramaciones!L$14-1))+6),11))=0,0,MAX(0,NETWORKDAYS.INTL(MAX(E246,(Reprogramaciones!$T$15+7*(Reprogramaciones!L$14-1))),MIN(F246,Reprogramaciones!L$13),11))/MAX(0,NETWORKDAYS.INTL(MAX(E246,(Reprogramaciones!$T$15+7*(Reprogramaciones!L$14-1))),MIN(F246,(Reprogramaciones!$T$15+7*(Reprogramaciones!L$14-1))+6),11))))))))</f>
        <v/>
      </c>
      <c r="BV246" s="1" t="str">
        <f aca="false">IF(OR(NOT(AND(ISNUMBER(E246),ISNUMBER(F246))),$J$2=""),"",IF(Reprogramaciones!M$13&lt;Reprogramaciones!$T$15,0,IF(Reprogramaciones!M$14&gt;10,MIN(100,SUM($G246:$P246)),MIN(100,SUMPRODUCT((COLUMN($G246:$P246)-COLUMN($G246)+1&lt;Reprogramaciones!M$14)*$G246:$P246)+N(INDEX($G246:$P246,1,Reprogramaciones!M$14))*IF(Reprogramaciones!M$13&gt;=(Reprogramaciones!$T$15+7*(Reprogramaciones!M$14-1))+6,1,IF(MAX(0,NETWORKDAYS.INTL(MAX(E246,(Reprogramaciones!$T$15+7*(Reprogramaciones!M$14-1))),MIN(F246,(Reprogramaciones!$T$15+7*(Reprogramaciones!M$14-1))+6),11))=0,0,MAX(0,NETWORKDAYS.INTL(MAX(E246,(Reprogramaciones!$T$15+7*(Reprogramaciones!M$14-1))),MIN(F246,Reprogramaciones!M$13),11))/MAX(0,NETWORKDAYS.INTL(MAX(E246,(Reprogramaciones!$T$15+7*(Reprogramaciones!M$14-1))),MIN(F246,(Reprogramaciones!$T$15+7*(Reprogramaciones!M$14-1))+6),11))))))))</f>
        <v/>
      </c>
      <c r="BW246" s="1" t="str">
        <f aca="false">IF(OR(NOT(AND(ISNUMBER(E246),ISNUMBER(F246))),$J$2=""),"",IF(Reprogramaciones!N$13&lt;Reprogramaciones!$T$15,0,IF(Reprogramaciones!N$14&gt;10,MIN(100,SUM($G246:$P246)),MIN(100,SUMPRODUCT((COLUMN($G246:$P246)-COLUMN($G246)+1&lt;Reprogramaciones!N$14)*$G246:$P246)+N(INDEX($G246:$P246,1,Reprogramaciones!N$14))*IF(Reprogramaciones!N$13&gt;=(Reprogramaciones!$T$15+7*(Reprogramaciones!N$14-1))+6,1,IF(MAX(0,NETWORKDAYS.INTL(MAX(E246,(Reprogramaciones!$T$15+7*(Reprogramaciones!N$14-1))),MIN(F246,(Reprogramaciones!$T$15+7*(Reprogramaciones!N$14-1))+6),11))=0,0,MAX(0,NETWORKDAYS.INTL(MAX(E246,(Reprogramaciones!$T$15+7*(Reprogramaciones!N$14-1))),MIN(F246,Reprogramaciones!N$13),11))/MAX(0,NETWORKDAYS.INTL(MAX(E246,(Reprogramaciones!$T$15+7*(Reprogramaciones!N$14-1))),MIN(F246,(Reprogramaciones!$T$15+7*(Reprogramaciones!N$14-1))+6),11))))))))</f>
        <v/>
      </c>
      <c r="BX246" s="1" t="str">
        <f aca="false">IF(OR(NOT(AND(ISNUMBER(E246),ISNUMBER(F246))),$J$2=""),"",IF(Reprogramaciones!O$13&lt;Reprogramaciones!$T$15,0,IF(Reprogramaciones!O$14&gt;10,MIN(100,SUM($G246:$P246)),MIN(100,SUMPRODUCT((COLUMN($G246:$P246)-COLUMN($G246)+1&lt;Reprogramaciones!O$14)*$G246:$P246)+N(INDEX($G246:$P246,1,Reprogramaciones!O$14))*IF(Reprogramaciones!O$13&gt;=(Reprogramaciones!$T$15+7*(Reprogramaciones!O$14-1))+6,1,IF(MAX(0,NETWORKDAYS.INTL(MAX(E246,(Reprogramaciones!$T$15+7*(Reprogramaciones!O$14-1))),MIN(F246,(Reprogramaciones!$T$15+7*(Reprogramaciones!O$14-1))+6),11))=0,0,MAX(0,NETWORKDAYS.INTL(MAX(E246,(Reprogramaciones!$T$15+7*(Reprogramaciones!O$14-1))),MIN(F246,Reprogramaciones!O$13),11))/MAX(0,NETWORKDAYS.INTL(MAX(E246,(Reprogramaciones!$T$15+7*(Reprogramaciones!O$14-1))),MIN(F246,(Reprogramaciones!$T$15+7*(Reprogramaciones!O$14-1))+6),11))))))))</f>
        <v/>
      </c>
      <c r="BY246" s="1" t="str">
        <f aca="false">IF(OR(NOT(AND(ISNUMBER(E246),ISNUMBER(F246))),$J$2=""),"",IF(Reprogramaciones!P$13&lt;Reprogramaciones!$T$15,0,IF(Reprogramaciones!P$14&gt;10,MIN(100,SUM($G246:$P246)),MIN(100,SUMPRODUCT((COLUMN($G246:$P246)-COLUMN($G246)+1&lt;Reprogramaciones!P$14)*$G246:$P246)+N(INDEX($G246:$P246,1,Reprogramaciones!P$14))*IF(Reprogramaciones!P$13&gt;=(Reprogramaciones!$T$15+7*(Reprogramaciones!P$14-1))+6,1,IF(MAX(0,NETWORKDAYS.INTL(MAX(E246,(Reprogramaciones!$T$15+7*(Reprogramaciones!P$14-1))),MIN(F246,(Reprogramaciones!$T$15+7*(Reprogramaciones!P$14-1))+6),11))=0,0,MAX(0,NETWORKDAYS.INTL(MAX(E246,(Reprogramaciones!$T$15+7*(Reprogramaciones!P$14-1))),MIN(F246,Reprogramaciones!P$13),11))/MAX(0,NETWORKDAYS.INTL(MAX(E246,(Reprogramaciones!$T$15+7*(Reprogramaciones!P$14-1))),MIN(F246,(Reprogramaciones!$T$15+7*(Reprogramaciones!P$14-1))+6),11))))))))</f>
        <v/>
      </c>
      <c r="BZ246" s="1" t="str">
        <f aca="false">IF(OR(NOT(AND(ISNUMBER(E246),ISNUMBER(F246))),$J$2=""),"",IF(Reprogramaciones!Q$13&lt;Reprogramaciones!$T$15,0,IF(Reprogramaciones!Q$14&gt;10,MIN(100,SUM($G246:$P246)),MIN(100,SUMPRODUCT((COLUMN($G246:$P246)-COLUMN($G246)+1&lt;Reprogramaciones!Q$14)*$G246:$P246)+N(INDEX($G246:$P246,1,Reprogramaciones!Q$14))*IF(Reprogramaciones!Q$13&gt;=(Reprogramaciones!$T$15+7*(Reprogramaciones!Q$14-1))+6,1,IF(MAX(0,NETWORKDAYS.INTL(MAX(E246,(Reprogramaciones!$T$15+7*(Reprogramaciones!Q$14-1))),MIN(F246,(Reprogramaciones!$T$15+7*(Reprogramaciones!Q$14-1))+6),11))=0,0,MAX(0,NETWORKDAYS.INTL(MAX(E246,(Reprogramaciones!$T$15+7*(Reprogramaciones!Q$14-1))),MIN(F246,Reprogramaciones!Q$13),11))/MAX(0,NETWORKDAYS.INTL(MAX(E246,(Reprogramaciones!$T$15+7*(Reprogramaciones!Q$14-1))),MIN(F246,(Reprogramaciones!$T$15+7*(Reprogramaciones!Q$14-1))+6),11))))))))</f>
        <v/>
      </c>
      <c r="CA246" s="1" t="str">
        <f aca="false">IF(OR(NOT(AND(ISNUMBER(E246),ISNUMBER(F246))),$J$2=""),"",IF(Reprogramaciones!R$13&lt;Reprogramaciones!$T$15,0,IF(Reprogramaciones!R$14&gt;10,MIN(100,SUM($G246:$P246)),MIN(100,SUMPRODUCT((COLUMN($G246:$P246)-COLUMN($G246)+1&lt;Reprogramaciones!R$14)*$G246:$P246)+N(INDEX($G246:$P246,1,Reprogramaciones!R$14))*IF(Reprogramaciones!R$13&gt;=(Reprogramaciones!$T$15+7*(Reprogramaciones!R$14-1))+6,1,IF(MAX(0,NETWORKDAYS.INTL(MAX(E246,(Reprogramaciones!$T$15+7*(Reprogramaciones!R$14-1))),MIN(F246,(Reprogramaciones!$T$15+7*(Reprogramaciones!R$14-1))+6),11))=0,0,MAX(0,NETWORKDAYS.INTL(MAX(E246,(Reprogramaciones!$T$15+7*(Reprogramaciones!R$14-1))),MIN(F246,Reprogramaciones!R$13),11))/MAX(0,NETWORKDAYS.INTL(MAX(E246,(Reprogramaciones!$T$15+7*(Reprogramaciones!R$14-1))),MIN(F246,(Reprogramaciones!$T$15+7*(Reprogramaciones!R$14-1))+6),11))))))))</f>
        <v/>
      </c>
      <c r="CB246" s="1" t="str">
        <f aca="false">IF(OR(NOT(AND(ISNUMBER(E246),ISNUMBER(F246))),$J$2=""),"",IF(Reprogramaciones!S$13&lt;Reprogramaciones!$T$15,0,IF(Reprogramaciones!S$14&gt;10,MIN(100,SUM($G246:$P246)),MIN(100,SUMPRODUCT((COLUMN($G246:$P246)-COLUMN($G246)+1&lt;Reprogramaciones!S$14)*$G246:$P246)+N(INDEX($G246:$P246,1,Reprogramaciones!S$14))*IF(Reprogramaciones!S$13&gt;=(Reprogramaciones!$T$15+7*(Reprogramaciones!S$14-1))+6,1,IF(MAX(0,NETWORKDAYS.INTL(MAX(E246,(Reprogramaciones!$T$15+7*(Reprogramaciones!S$14-1))),MIN(F246,(Reprogramaciones!$T$15+7*(Reprogramaciones!S$14-1))+6),11))=0,0,MAX(0,NETWORKDAYS.INTL(MAX(E246,(Reprogramaciones!$T$15+7*(Reprogramaciones!S$14-1))),MIN(F246,Reprogramaciones!S$13),11))/MAX(0,NETWORKDAYS.INTL(MAX(E246,(Reprogramaciones!$T$15+7*(Reprogramaciones!S$14-1))),MIN(F246,(Reprogramaciones!$T$15+7*(Reprogramaciones!S$14-1))+6),11))))))))</f>
        <v/>
      </c>
      <c r="CC246" s="1" t="str">
        <f aca="false">IF(OR(NOT(AND(ISNUMBER(E246),ISNUMBER(F246))),$J$2=""),"",IF(Reprogramaciones!T$13&lt;Reprogramaciones!$T$15,0,IF(Reprogramaciones!T$14&gt;10,MIN(100,SUM($G246:$P246)),MIN(100,SUMPRODUCT((COLUMN($G246:$P246)-COLUMN($G246)+1&lt;Reprogramaciones!T$14)*$G246:$P246)+N(INDEX($G246:$P246,1,Reprogramaciones!T$14))*IF(Reprogramaciones!T$13&gt;=(Reprogramaciones!$T$15+7*(Reprogramaciones!T$14-1))+6,1,IF(MAX(0,NETWORKDAYS.INTL(MAX(E246,(Reprogramaciones!$T$15+7*(Reprogramaciones!T$14-1))),MIN(F246,(Reprogramaciones!$T$15+7*(Reprogramaciones!T$14-1))+6),11))=0,0,MAX(0,NETWORKDAYS.INTL(MAX(E246,(Reprogramaciones!$T$15+7*(Reprogramaciones!T$14-1))),MIN(F246,Reprogramaciones!T$13),11))/MAX(0,NETWORKDAYS.INTL(MAX(E246,(Reprogramaciones!$T$15+7*(Reprogramaciones!T$14-1))),MIN(F246,(Reprogramaciones!$T$15+7*(Reprogramaciones!T$14-1))+6),11))))))))</f>
        <v/>
      </c>
      <c r="CD246" s="1" t="str">
        <f aca="false">IF(OR(NOT(AND(ISNUMBER(E246),ISNUMBER(F246))),$J$2=""),"",IF(Reprogramaciones!U$13&lt;Reprogramaciones!$T$15,0,IF(Reprogramaciones!U$14&gt;10,MIN(100,SUM($G246:$P246)),MIN(100,SUMPRODUCT((COLUMN($G246:$P246)-COLUMN($G246)+1&lt;Reprogramaciones!U$14)*$G246:$P246)+N(INDEX($G246:$P246,1,Reprogramaciones!U$14))*IF(Reprogramaciones!U$13&gt;=(Reprogramaciones!$T$15+7*(Reprogramaciones!U$14-1))+6,1,IF(MAX(0,NETWORKDAYS.INTL(MAX(E246,(Reprogramaciones!$T$15+7*(Reprogramaciones!U$14-1))),MIN(F246,(Reprogramaciones!$T$15+7*(Reprogramaciones!U$14-1))+6),11))=0,0,MAX(0,NETWORKDAYS.INTL(MAX(E246,(Reprogramaciones!$T$15+7*(Reprogramaciones!U$14-1))),MIN(F246,Reprogramaciones!U$13),11))/MAX(0,NETWORKDAYS.INTL(MAX(E246,(Reprogramaciones!$T$15+7*(Reprogramaciones!U$14-1))),MIN(F246,(Reprogramaciones!$T$15+7*(Reprogramaciones!U$14-1))+6),11))))))))</f>
        <v/>
      </c>
      <c r="CE246" s="1" t="str">
        <f aca="false">IF(OR(NOT(AND(ISNUMBER(E246),ISNUMBER(F246))),$J$2=""),"",IF(Reprogramaciones!V$13&lt;Reprogramaciones!$T$15,0,IF(Reprogramaciones!V$14&gt;10,MIN(100,SUM($G246:$P246)),MIN(100,SUMPRODUCT((COLUMN($G246:$P246)-COLUMN($G246)+1&lt;Reprogramaciones!V$14)*$G246:$P246)+N(INDEX($G246:$P246,1,Reprogramaciones!V$14))*IF(Reprogramaciones!V$13&gt;=(Reprogramaciones!$T$15+7*(Reprogramaciones!V$14-1))+6,1,IF(MAX(0,NETWORKDAYS.INTL(MAX(E246,(Reprogramaciones!$T$15+7*(Reprogramaciones!V$14-1))),MIN(F246,(Reprogramaciones!$T$15+7*(Reprogramaciones!V$14-1))+6),11))=0,0,MAX(0,NETWORKDAYS.INTL(MAX(E246,(Reprogramaciones!$T$15+7*(Reprogramaciones!V$14-1))),MIN(F246,Reprogramaciones!V$13),11))/MAX(0,NETWORKDAYS.INTL(MAX(E246,(Reprogramaciones!$T$15+7*(Reprogramaciones!V$14-1))),MIN(F246,(Reprogramaciones!$T$15+7*(Reprogramaciones!V$14-1))+6),11))))))))</f>
        <v/>
      </c>
      <c r="CF246" s="1" t="str">
        <f aca="false">IF(OR(NOT(AND(ISNUMBER(E246),ISNUMBER(F246))),$J$2=""),"",IF(Reprogramaciones!W$13&lt;Reprogramaciones!$T$15,0,IF(Reprogramaciones!W$14&gt;10,MIN(100,SUM($G246:$P246)),MIN(100,SUMPRODUCT((COLUMN($G246:$P246)-COLUMN($G246)+1&lt;Reprogramaciones!W$14)*$G246:$P246)+N(INDEX($G246:$P246,1,Reprogramaciones!W$14))*IF(Reprogramaciones!W$13&gt;=(Reprogramaciones!$T$15+7*(Reprogramaciones!W$14-1))+6,1,IF(MAX(0,NETWORKDAYS.INTL(MAX(E246,(Reprogramaciones!$T$15+7*(Reprogramaciones!W$14-1))),MIN(F246,(Reprogramaciones!$T$15+7*(Reprogramaciones!W$14-1))+6),11))=0,0,MAX(0,NETWORKDAYS.INTL(MAX(E246,(Reprogramaciones!$T$15+7*(Reprogramaciones!W$14-1))),MIN(F246,Reprogramaciones!W$13),11))/MAX(0,NETWORKDAYS.INTL(MAX(E246,(Reprogramaciones!$T$15+7*(Reprogramaciones!W$14-1))),MIN(F246,(Reprogramaciones!$T$15+7*(Reprogramaciones!W$14-1))+6),11))))))))</f>
        <v/>
      </c>
      <c r="CG246" s="1" t="str">
        <f aca="false">IF(OR(NOT(AND(ISNUMBER(E246),ISNUMBER(F246))),$J$2=""),"",IF(Reprogramaciones!X$13&lt;Reprogramaciones!$T$15,0,IF(Reprogramaciones!X$14&gt;10,MIN(100,SUM($G246:$P246)),MIN(100,SUMPRODUCT((COLUMN($G246:$P246)-COLUMN($G246)+1&lt;Reprogramaciones!X$14)*$G246:$P246)+N(INDEX($G246:$P246,1,Reprogramaciones!X$14))*IF(Reprogramaciones!X$13&gt;=(Reprogramaciones!$T$15+7*(Reprogramaciones!X$14-1))+6,1,IF(MAX(0,NETWORKDAYS.INTL(MAX(E246,(Reprogramaciones!$T$15+7*(Reprogramaciones!X$14-1))),MIN(F246,(Reprogramaciones!$T$15+7*(Reprogramaciones!X$14-1))+6),11))=0,0,MAX(0,NETWORKDAYS.INTL(MAX(E246,(Reprogramaciones!$T$15+7*(Reprogramaciones!X$14-1))),MIN(F246,Reprogramaciones!X$13),11))/MAX(0,NETWORKDAYS.INTL(MAX(E246,(Reprogramaciones!$T$15+7*(Reprogramaciones!X$14-1))),MIN(F246,(Reprogramaciones!$T$15+7*(Reprogramaciones!X$14-1))+6),11))))))))</f>
        <v/>
      </c>
      <c r="CH246" s="1" t="str">
        <f aca="false">IF(OR(NOT(AND(ISNUMBER(E246),ISNUMBER(F246))),$J$2=""),"",IF(Reprogramaciones!Y$13&lt;Reprogramaciones!$T$15,0,IF(Reprogramaciones!Y$14&gt;10,MIN(100,SUM($G246:$P246)),MIN(100,SUMPRODUCT((COLUMN($G246:$P246)-COLUMN($G246)+1&lt;Reprogramaciones!Y$14)*$G246:$P246)+N(INDEX($G246:$P246,1,Reprogramaciones!Y$14))*IF(Reprogramaciones!Y$13&gt;=(Reprogramaciones!$T$15+7*(Reprogramaciones!Y$14-1))+6,1,IF(MAX(0,NETWORKDAYS.INTL(MAX(E246,(Reprogramaciones!$T$15+7*(Reprogramaciones!Y$14-1))),MIN(F246,(Reprogramaciones!$T$15+7*(Reprogramaciones!Y$14-1))+6),11))=0,0,MAX(0,NETWORKDAYS.INTL(MAX(E246,(Reprogramaciones!$T$15+7*(Reprogramaciones!Y$14-1))),MIN(F246,Reprogramaciones!Y$13),11))/MAX(0,NETWORKDAYS.INTL(MAX(E246,(Reprogramaciones!$T$15+7*(Reprogramaciones!Y$14-1))),MIN(F246,(Reprogramaciones!$T$15+7*(Reprogramaciones!Y$14-1))+6),11))))))))</f>
        <v/>
      </c>
      <c r="CI246" s="1" t="str">
        <f aca="false">IF(OR(NOT(AND(ISNUMBER(E246),ISNUMBER(F246))),$J$2=""),"",IF(Reprogramaciones!Z$13&lt;Reprogramaciones!$T$15,0,IF(Reprogramaciones!Z$14&gt;10,MIN(100,SUM($G246:$P246)),MIN(100,SUMPRODUCT((COLUMN($G246:$P246)-COLUMN($G246)+1&lt;Reprogramaciones!Z$14)*$G246:$P246)+N(INDEX($G246:$P246,1,Reprogramaciones!Z$14))*IF(Reprogramaciones!Z$13&gt;=(Reprogramaciones!$T$15+7*(Reprogramaciones!Z$14-1))+6,1,IF(MAX(0,NETWORKDAYS.INTL(MAX(E246,(Reprogramaciones!$T$15+7*(Reprogramaciones!Z$14-1))),MIN(F246,(Reprogramaciones!$T$15+7*(Reprogramaciones!Z$14-1))+6),11))=0,0,MAX(0,NETWORKDAYS.INTL(MAX(E246,(Reprogramaciones!$T$15+7*(Reprogramaciones!Z$14-1))),MIN(F246,Reprogramaciones!Z$13),11))/MAX(0,NETWORKDAYS.INTL(MAX(E246,(Reprogramaciones!$T$15+7*(Reprogramaciones!Z$14-1))),MIN(F246,(Reprogramaciones!$T$15+7*(Reprogramaciones!Z$14-1))+6),11))))))))</f>
        <v/>
      </c>
      <c r="CJ246" s="1" t="str">
        <f aca="false">IF(OR(OR(NOT(AND(ISNUMBER(E246),ISNUMBER(F246))),$J$2=""),1&gt;Reprogramaciones!$K$16),"",IF(ROUND(SUM($Q246:Q246),1)&gt;=99.5,100,MIN(100,ROUND(SUM($Q246:Q246),1))))</f>
        <v/>
      </c>
      <c r="CK246" s="1" t="str">
        <f aca="false">IF(OR(OR(NOT(AND(ISNUMBER(E246),ISNUMBER(F246))),$J$2=""),2&gt;Reprogramaciones!$K$16),"",IF(ROUND(SUM($Q246:R246),1)&gt;=99.5,100,MIN(100,ROUND(SUM($Q246:R246),1))))</f>
        <v/>
      </c>
      <c r="CL246" s="1" t="str">
        <f aca="false">IF(OR(OR(NOT(AND(ISNUMBER(E246),ISNUMBER(F246))),$J$2=""),3&gt;Reprogramaciones!$K$16),"",IF(ROUND(SUM($Q246:S246),1)&gt;=99.5,100,MIN(100,ROUND(SUM($Q246:S246),1))))</f>
        <v/>
      </c>
      <c r="CM246" s="1" t="str">
        <f aca="false">IF(OR(OR(NOT(AND(ISNUMBER(E246),ISNUMBER(F246))),$J$2=""),4&gt;Reprogramaciones!$K$16),"",IF(ROUND(SUM($Q246:T246),1)&gt;=99.5,100,MIN(100,ROUND(SUM($Q246:T246),1))))</f>
        <v/>
      </c>
      <c r="CN246" s="1" t="str">
        <f aca="false">IF(OR(OR(NOT(AND(ISNUMBER(E246),ISNUMBER(F246))),$J$2=""),5&gt;Reprogramaciones!$K$16),"",IF(ROUND(SUM($Q246:U246),1)&gt;=99.5,100,MIN(100,ROUND(SUM($Q246:U246),1))))</f>
        <v/>
      </c>
      <c r="CO246" s="1" t="str">
        <f aca="false">IF(OR(OR(NOT(AND(ISNUMBER(E246),ISNUMBER(F246))),$J$2=""),6&gt;Reprogramaciones!$K$16),"",IF(ROUND(SUM($Q246:V246),1)&gt;=99.5,100,MIN(100,ROUND(SUM($Q246:V246),1))))</f>
        <v/>
      </c>
      <c r="CP246" s="1" t="str">
        <f aca="false">IF(OR(OR(NOT(AND(ISNUMBER(E246),ISNUMBER(F246))),$J$2=""),7&gt;Reprogramaciones!$K$16),"",IF(ROUND(SUM($Q246:W246),1)&gt;=99.5,100,MIN(100,ROUND(SUM($Q246:W246),1))))</f>
        <v/>
      </c>
      <c r="CQ246" s="1" t="str">
        <f aca="false">IF(OR(OR(NOT(AND(ISNUMBER(E246),ISNUMBER(F246))),$J$2=""),8&gt;Reprogramaciones!$K$16),"",IF(ROUND(SUM($Q246:X246),1)&gt;=99.5,100,MIN(100,ROUND(SUM($Q246:X246),1))))</f>
        <v/>
      </c>
      <c r="CR246" s="1" t="str">
        <f aca="false">IF(OR(OR(NOT(AND(ISNUMBER(E246),ISNUMBER(F246))),$J$2=""),9&gt;Reprogramaciones!$K$16),"",IF(ROUND(SUM($Q246:Y246),1)&gt;=99.5,100,MIN(100,ROUND(SUM($Q246:Y246),1))))</f>
        <v/>
      </c>
      <c r="CS246" s="1" t="str">
        <f aca="false">IF(OR(OR(NOT(AND(ISNUMBER(E246),ISNUMBER(F246))),$J$2=""),10&gt;Reprogramaciones!$K$16),"",IF(ROUND(SUM($Q246:Z246),1)&gt;=99.5,100,MIN(100,ROUND(SUM($Q246:Z246),1))))</f>
        <v/>
      </c>
      <c r="CT246" s="1" t="str">
        <f aca="false">IF(OR(OR(NOT(AND(ISNUMBER(E246),ISNUMBER(F246))),$J$2=""),11&gt;Reprogramaciones!$K$16),"",IF(ROUND(SUM($Q246:AA246),1)&gt;=99.5,100,MIN(100,ROUND(SUM($Q246:AA246),1))))</f>
        <v/>
      </c>
      <c r="CU246" s="1" t="str">
        <f aca="false">IF(OR(OR(NOT(AND(ISNUMBER(E246),ISNUMBER(F246))),$J$2=""),12&gt;Reprogramaciones!$K$16),"",IF(ROUND(SUM($Q246:AB246),1)&gt;=99.5,100,MIN(100,ROUND(SUM($Q246:AB246),1))))</f>
        <v/>
      </c>
      <c r="CV246" s="1" t="str">
        <f aca="false">IF(OR(OR(NOT(AND(ISNUMBER(E246),ISNUMBER(F246))),$J$2=""),13&gt;Reprogramaciones!$K$16),"",IF(ROUND(SUM($Q246:AC246),1)&gt;=99.5,100,MIN(100,ROUND(SUM($Q246:AC246),1))))</f>
        <v/>
      </c>
      <c r="CW246" s="1" t="str">
        <f aca="false">IF(OR(OR(NOT(AND(ISNUMBER(E246),ISNUMBER(F246))),$J$2=""),14&gt;Reprogramaciones!$K$16),"",IF(ROUND(SUM($Q246:AD246),1)&gt;=99.5,100,MIN(100,ROUND(SUM($Q246:AD246),1))))</f>
        <v/>
      </c>
      <c r="CX246" s="1" t="str">
        <f aca="false">IF(OR(OR(NOT(AND(ISNUMBER(E246),ISNUMBER(F246))),$J$2=""),15&gt;Reprogramaciones!$K$16),"",IF(ROUND(SUM($Q246:AE246),1)&gt;=99.5,100,MIN(100,ROUND(SUM($Q246:AE246),1))))</f>
        <v/>
      </c>
      <c r="CY246" s="1" t="str">
        <f aca="false">IF(OR(OR(NOT(AND(ISNUMBER(E246),ISNUMBER(F246))),$J$2=""),16&gt;Reprogramaciones!$K$16),"",IF(ROUND(SUM($Q246:AF246),1)&gt;=99.5,100,MIN(100,ROUND(SUM($Q246:AF246),1))))</f>
        <v/>
      </c>
      <c r="CZ246" s="1" t="str">
        <f aca="false">IF(D246&lt;&gt;"",D246,IF(B246&lt;&gt;"","Contractual",CZ245))</f>
        <v>Contractual</v>
      </c>
      <c r="DA246" s="1" t="str">
        <f aca="false">IF(OR(NOT(AND(ISNUMBER(E246),ISNUMBER(F246))),$J$2=""),"",IF(Reprogramaciones!$Q$15&lt;Reprogramaciones!$T$15,0,IF(Reprogramaciones!$S$15&gt;10,MIN(100,SUM($G246:$P246)),MIN(100,SUMPRODUCT((COLUMN($G246:$P246)-COLUMN($G246)+1&lt;Reprogramaciones!$S$15)*$G246:$P246)+N(INDEX($G246:$P246,1,Reprogramaciones!$S$15))*IF(Reprogramaciones!$Q$15&gt;=(Reprogramaciones!$T$15+7*(Reprogramaciones!$S$15-1))+6,1,IF(MAX(0,NETWORKDAYS.INTL(MAX(E246,(Reprogramaciones!$T$15+7*(Reprogramaciones!$S$15-1))),MIN(F246,(Reprogramaciones!$T$15+7*(Reprogramaciones!$S$15-1))+6),11))=0,0,MAX(0,NETWORKDAYS.INTL(MAX(E246,(Reprogramaciones!$T$15+7*(Reprogramaciones!$S$15-1))),MIN(F246,Reprogramaciones!$Q$15),11))/MAX(0,NETWORKDAYS.INTL(MAX(E246,(Reprogramaciones!$T$15+7*(Reprogramaciones!$S$15-1))),MIN(F246,(Reprogramaciones!$T$15+7*(Reprogramaciones!$S$15-1))+6),11))))))))</f>
        <v/>
      </c>
    </row>
    <row r="247" customFormat="false" ht="15" hidden="false" customHeight="false" outlineLevel="0" collapsed="false">
      <c r="A247" s="32"/>
      <c r="B247" s="33"/>
      <c r="C247" s="33"/>
      <c r="D247" s="34"/>
      <c r="E247" s="35"/>
      <c r="F247" s="35"/>
      <c r="G247" s="36" t="str">
        <f aca="false">IF(OR(NOT(AND(ISNUMBER(E247),ISNUMBER(F247))),$J$2=""),"",IF(Reprogramaciones!K$9&lt;E247,0,IF(NETWORKDAYS.INTL(E247,F247,11)=0,IF(Reprogramaciones!K$9&gt;=F247,100,0),ROUND(NETWORKDAYS.INTL(E247,MIN(F247,Reprogramaciones!K$9),11)/NETWORKDAYS.INTL(E247,F247,11)*100,1)))-0)</f>
        <v/>
      </c>
      <c r="H247" s="36" t="str">
        <f aca="false">IF(OR(NOT(AND(ISNUMBER(E247),ISNUMBER(F247))),$J$2=""),"",IF(Reprogramaciones!L$9&lt;E247,0,IF(NETWORKDAYS.INTL(E247,F247,11)=0,IF(Reprogramaciones!L$9&gt;=F247,100,0),ROUND(NETWORKDAYS.INTL(E247,MIN(F247,Reprogramaciones!L$9),11)/NETWORKDAYS.INTL(E247,F247,11)*100,1)))-IF(Reprogramaciones!K$9&lt;E247,0,IF(NETWORKDAYS.INTL(E247,F247,11)=0,IF(Reprogramaciones!K$9&gt;=F247,100,0),ROUND(NETWORKDAYS.INTL(E247,MIN(F247,Reprogramaciones!K$9),11)/NETWORKDAYS.INTL(E247,F247,11)*100,1))))</f>
        <v/>
      </c>
      <c r="I247" s="36" t="str">
        <f aca="false">IF(OR(NOT(AND(ISNUMBER(E247),ISNUMBER(F247))),$J$2=""),"",IF(Reprogramaciones!M$9&lt;E247,0,IF(NETWORKDAYS.INTL(E247,F247,11)=0,IF(Reprogramaciones!M$9&gt;=F247,100,0),ROUND(NETWORKDAYS.INTL(E247,MIN(F247,Reprogramaciones!M$9),11)/NETWORKDAYS.INTL(E247,F247,11)*100,1)))-IF(Reprogramaciones!L$9&lt;E247,0,IF(NETWORKDAYS.INTL(E247,F247,11)=0,IF(Reprogramaciones!L$9&gt;=F247,100,0),ROUND(NETWORKDAYS.INTL(E247,MIN(F247,Reprogramaciones!L$9),11)/NETWORKDAYS.INTL(E247,F247,11)*100,1))))</f>
        <v/>
      </c>
      <c r="J247" s="36" t="str">
        <f aca="false">IF(OR(NOT(AND(ISNUMBER(E247),ISNUMBER(F247))),$J$2=""),"",IF(Reprogramaciones!N$9&lt;E247,0,IF(NETWORKDAYS.INTL(E247,F247,11)=0,IF(Reprogramaciones!N$9&gt;=F247,100,0),ROUND(NETWORKDAYS.INTL(E247,MIN(F247,Reprogramaciones!N$9),11)/NETWORKDAYS.INTL(E247,F247,11)*100,1)))-IF(Reprogramaciones!M$9&lt;E247,0,IF(NETWORKDAYS.INTL(E247,F247,11)=0,IF(Reprogramaciones!M$9&gt;=F247,100,0),ROUND(NETWORKDAYS.INTL(E247,MIN(F247,Reprogramaciones!M$9),11)/NETWORKDAYS.INTL(E247,F247,11)*100,1))))</f>
        <v/>
      </c>
      <c r="K247" s="36" t="str">
        <f aca="false">IF(OR(NOT(AND(ISNUMBER(E247),ISNUMBER(F247))),$J$2=""),"",IF(Reprogramaciones!O$9&lt;E247,0,IF(NETWORKDAYS.INTL(E247,F247,11)=0,IF(Reprogramaciones!O$9&gt;=F247,100,0),ROUND(NETWORKDAYS.INTL(E247,MIN(F247,Reprogramaciones!O$9),11)/NETWORKDAYS.INTL(E247,F247,11)*100,1)))-IF(Reprogramaciones!N$9&lt;E247,0,IF(NETWORKDAYS.INTL(E247,F247,11)=0,IF(Reprogramaciones!N$9&gt;=F247,100,0),ROUND(NETWORKDAYS.INTL(E247,MIN(F247,Reprogramaciones!N$9),11)/NETWORKDAYS.INTL(E247,F247,11)*100,1))))</f>
        <v/>
      </c>
      <c r="L247" s="36" t="str">
        <f aca="false">IF(OR(NOT(AND(ISNUMBER(E247),ISNUMBER(F247))),$J$2=""),"",IF(Reprogramaciones!P$9&lt;E247,0,IF(NETWORKDAYS.INTL(E247,F247,11)=0,IF(Reprogramaciones!P$9&gt;=F247,100,0),ROUND(NETWORKDAYS.INTL(E247,MIN(F247,Reprogramaciones!P$9),11)/NETWORKDAYS.INTL(E247,F247,11)*100,1)))-IF(Reprogramaciones!O$9&lt;E247,0,IF(NETWORKDAYS.INTL(E247,F247,11)=0,IF(Reprogramaciones!O$9&gt;=F247,100,0),ROUND(NETWORKDAYS.INTL(E247,MIN(F247,Reprogramaciones!O$9),11)/NETWORKDAYS.INTL(E247,F247,11)*100,1))))</f>
        <v/>
      </c>
      <c r="M247" s="36" t="str">
        <f aca="false">IF(OR(NOT(AND(ISNUMBER(E247),ISNUMBER(F247))),$J$2=""),"",IF(Reprogramaciones!Q$9&lt;E247,0,IF(NETWORKDAYS.INTL(E247,F247,11)=0,IF(Reprogramaciones!Q$9&gt;=F247,100,0),ROUND(NETWORKDAYS.INTL(E247,MIN(F247,Reprogramaciones!Q$9),11)/NETWORKDAYS.INTL(E247,F247,11)*100,1)))-IF(Reprogramaciones!P$9&lt;E247,0,IF(NETWORKDAYS.INTL(E247,F247,11)=0,IF(Reprogramaciones!P$9&gt;=F247,100,0),ROUND(NETWORKDAYS.INTL(E247,MIN(F247,Reprogramaciones!P$9),11)/NETWORKDAYS.INTL(E247,F247,11)*100,1))))</f>
        <v/>
      </c>
      <c r="N247" s="36" t="str">
        <f aca="false">IF(OR(NOT(AND(ISNUMBER(E247),ISNUMBER(F247))),$J$2=""),"",IF(Reprogramaciones!R$9&lt;E247,0,IF(NETWORKDAYS.INTL(E247,F247,11)=0,IF(Reprogramaciones!R$9&gt;=F247,100,0),ROUND(NETWORKDAYS.INTL(E247,MIN(F247,Reprogramaciones!R$9),11)/NETWORKDAYS.INTL(E247,F247,11)*100,1)))-IF(Reprogramaciones!Q$9&lt;E247,0,IF(NETWORKDAYS.INTL(E247,F247,11)=0,IF(Reprogramaciones!Q$9&gt;=F247,100,0),ROUND(NETWORKDAYS.INTL(E247,MIN(F247,Reprogramaciones!Q$9),11)/NETWORKDAYS.INTL(E247,F247,11)*100,1))))</f>
        <v/>
      </c>
      <c r="O247" s="36" t="str">
        <f aca="false">IF(OR(NOT(AND(ISNUMBER(E247),ISNUMBER(F247))),$J$2=""),"",IF(Reprogramaciones!S$9&lt;E247,0,IF(NETWORKDAYS.INTL(E247,F247,11)=0,IF(Reprogramaciones!S$9&gt;=F247,100,0),ROUND(NETWORKDAYS.INTL(E247,MIN(F247,Reprogramaciones!S$9),11)/NETWORKDAYS.INTL(E247,F247,11)*100,1)))-IF(Reprogramaciones!R$9&lt;E247,0,IF(NETWORKDAYS.INTL(E247,F247,11)=0,IF(Reprogramaciones!R$9&gt;=F247,100,0),ROUND(NETWORKDAYS.INTL(E247,MIN(F247,Reprogramaciones!R$9),11)/NETWORKDAYS.INTL(E247,F247,11)*100,1))))</f>
        <v/>
      </c>
      <c r="P247" s="36" t="str">
        <f aca="false">IF(OR(NOT(AND(ISNUMBER(E247),ISNUMBER(F247))),$J$2=""),"",IF(Reprogramaciones!T$9&lt;E247,0,IF(NETWORKDAYS.INTL(E247,F247,11)=0,IF(Reprogramaciones!T$9&gt;=F247,100,0),ROUND(NETWORKDAYS.INTL(E247,MIN(F247,Reprogramaciones!T$9),11)/NETWORKDAYS.INTL(E247,F247,11)*100,1)))-IF(Reprogramaciones!S$9&lt;E247,0,IF(NETWORKDAYS.INTL(E247,F247,11)=0,IF(Reprogramaciones!S$9&gt;=F247,100,0),ROUND(NETWORKDAYS.INTL(E247,MIN(F247,Reprogramaciones!S$9),11)/NETWORKDAYS.INTL(E247,F247,11)*100,1))))</f>
        <v/>
      </c>
      <c r="Q247" s="37"/>
      <c r="R247" s="37"/>
      <c r="S247" s="37"/>
      <c r="T247" s="37"/>
      <c r="U247" s="37"/>
      <c r="V247" s="37"/>
      <c r="W247" s="37"/>
      <c r="X247" s="37"/>
      <c r="Y247" s="37"/>
      <c r="Z247" s="37"/>
      <c r="AA247" s="37"/>
      <c r="AB247" s="37"/>
      <c r="AC247" s="37"/>
      <c r="AD247" s="37"/>
      <c r="AE247" s="37"/>
      <c r="AF247" s="37"/>
      <c r="AG247" s="38" t="str">
        <f aca="false">IF(AND(ISNUMBER(E247),ISNUMBER(F247)),NETWORKDAYS.INTL(E247,F247,11),"")</f>
        <v/>
      </c>
      <c r="AH247" s="38" t="str">
        <f aca="false">IF(OR(NOT(AND(ISNUMBER(E247),ISNUMBER(F247))),$J$2=""),"",IF(Reprogramaciones!$P$15&lt;Reprogramaciones!$T$15,0,IF(Reprogramaciones!$R$15&gt;10,MIN(100,SUM($G247:$P247)),MIN(100,SUMPRODUCT((COLUMN($G247:$P247)-COLUMN($G247)+1&lt;Reprogramaciones!$R$15)*$G247:$P247)+N(INDEX($G247:$P247,1,Reprogramaciones!$R$15))*IF(Reprogramaciones!$P$15&gt;=(Reprogramaciones!$T$15+7*(Reprogramaciones!$R$15-1))+6,1,IF(MAX(0,NETWORKDAYS.INTL(MAX(E247,(Reprogramaciones!$T$15+7*(Reprogramaciones!$R$15-1))),MIN(F247,(Reprogramaciones!$T$15+7*(Reprogramaciones!$R$15-1))+6),11))=0,0,MAX(0,NETWORKDAYS.INTL(MAX(E247,(Reprogramaciones!$T$15+7*(Reprogramaciones!$R$15-1))),MIN(F247,Reprogramaciones!$P$15),11))/MAX(0,NETWORKDAYS.INTL(MAX(E247,(Reprogramaciones!$T$15+7*(Reprogramaciones!$R$15-1))),MIN(F247,(Reprogramaciones!$T$15+7*(Reprogramaciones!$R$15-1))+6),11))))))))</f>
        <v/>
      </c>
      <c r="AI247" s="38" t="str">
        <f aca="false">IF(COUNT($Q247:$AF247)=0,"",IF(ROUND(SUM($Q247:$AF247),1)&gt;=99.5,100,MIN(100,ROUND(SUM($Q247:$AF247),1))))</f>
        <v/>
      </c>
      <c r="AJ247" s="38" t="str">
        <f aca="false">IF(OR(AH247="",AI247=""),"",AI247-AH247)</f>
        <v/>
      </c>
      <c r="AK247" s="39" t="str">
        <f aca="true">IF(AH247="","",IF(OR(Ficha!$C$10="Suspendida",Ficha!$C$10="Cancelada"),Ficha!$C$10,IF(AND(AI247&lt;&gt;"",N(AI247)&gt;=100),"Completada",IF(AND(E247&gt;TODAY(),N(AI247)=0),"Por iniciar",IF(N(AI247)+0.5&lt;AH247,"Retrasada",IF(N(AI247)+0.5&lt;DA247,IF(Reprogramaciones!$K$15&gt;0,"Al día · Sem "&amp;Reprogramaciones!$K$15&amp;" en curso","Al día · en curso"),"A tiempo"))))))</f>
        <v/>
      </c>
      <c r="AL247" s="39" t="str">
        <f aca="true">IF(AND(A247="",AND(B247="",C247="",E247="",F247="",COUNT(Q247:AF247)=0)),"",IF(AND(B247="",C247="",E247="",F247="",COUNT(Q247:AF247)=0),"Falta la partida o subpartida",IF(AND(A247&lt;&gt;"",COUNTIF($A$6:$A$305,A247)&gt;1),"Ítem repetido",IF(AND(C247="",E247="",F247="",COUNT(Q247:AF247)=0),"Título de partida",IF(OR(E247="",F247=""),"Faltan fechas",IF(OR(ISTEXT(E247),ISTEXT(F247)),"Fecha escrita como texto: usa dd/mm/aaaa",IF(F247&lt;E247,"Fin antes del inicio",IF(IF($J$2="",FALSE(),OR(E247&lt;$J$2,F247&gt;Reprogramaciones!$T$15+69)),"Fuera de las 10 semanas",IF(ABS(SUM(G247:P247)-100)&gt;0.5,"La meta no suma 100%",IF(ROUND(SUM(Q247:AF247),1)&gt;100.5,"El avance pasa de 100%",IF(MIN(Q247:AF247)&lt;0,"Avance negativo",IF(COUNTA(Q247:AF247)&gt;COUNT(Q247:AF247),"Avance escrito como texto",IF(SUMPRODUCT((Q247:AF247&gt;0)*(Q247:AF247&lt;1))&gt;0,"Avance menor a 1: escribe 50, no 50%",IF(SUMPRODUCT(ISNUMBER(Q247:AF247)*(Reprogramaciones!$K$8:$Z$8&gt;TODAY()))&gt;0,"Avance en semana que aún no llega",IF(AND(N(Reprogramaciones!$E$21)&gt;0,F247&gt;Reprogramaciones!$E$21),"Pasa el fin de la obra: registra una reprogramación",IF(AND(N(Reprogramaciones!$E$21)&gt;0,SUMPRODUCT(ISNUMBER(Q247:AF247)*(Reprogramaciones!$K$8:$Z$8&gt;Reprogramaciones!$E$21))&gt;0),"Avance después del fin de la obra: registra una reprogramación por atraso","OK"))))))))))))))))</f>
        <v/>
      </c>
      <c r="AM247" s="40" t="str">
        <f aca="false">IF(OR(OR(NOT(AND(ISNUMBER(E247),ISNUMBER(F247))),$J$2=""),1&gt;MAX(1,Reprogramaciones!$U$15)),"",IF(Reprogramaciones!K$12&gt;=7,"",IF(OR(BT247-N(0)&gt;0.05,N(Q247)&gt;0),ROUNDDOWN(ROUND(BT247,6),0)&amp;"%"&amp;IF(CJ247="",""," / "&amp;CJ247&amp;"%"),IF(AND(N(0)&gt;=99.95,CJ247&lt;&gt;"",N(CJ247)&lt;100),"Pend. "&amp;CJ247&amp;"%",""))))</f>
        <v/>
      </c>
      <c r="AN247" s="40" t="str">
        <f aca="false">IF(OR(OR(NOT(AND(ISNUMBER(E247),ISNUMBER(F247))),$J$2=""),2&gt;MAX(1,Reprogramaciones!$U$15)),"",IF(Reprogramaciones!L$12&gt;=7,"",IF(OR(BU247-N(BT247)&gt;0.05,N(R247)&gt;0),ROUNDDOWN(ROUND(BU247,6),0)&amp;"%"&amp;IF(CK247="",""," / "&amp;CK247&amp;"%"),IF(AND(N(BT247)&gt;=99.95,CK247&lt;&gt;"",N(CK247)&lt;100),"Pend. "&amp;CK247&amp;"%",""))))</f>
        <v/>
      </c>
      <c r="AO247" s="40" t="str">
        <f aca="false">IF(OR(OR(NOT(AND(ISNUMBER(E247),ISNUMBER(F247))),$J$2=""),3&gt;MAX(1,Reprogramaciones!$U$15)),"",IF(Reprogramaciones!M$12&gt;=7,"",IF(OR(BV247-N(BU247)&gt;0.05,N(S247)&gt;0),ROUNDDOWN(ROUND(BV247,6),0)&amp;"%"&amp;IF(CL247="",""," / "&amp;CL247&amp;"%"),IF(AND(N(BU247)&gt;=99.95,CL247&lt;&gt;"",N(CL247)&lt;100),"Pend. "&amp;CL247&amp;"%",""))))</f>
        <v/>
      </c>
      <c r="AP247" s="40" t="str">
        <f aca="false">IF(OR(OR(NOT(AND(ISNUMBER(E247),ISNUMBER(F247))),$J$2=""),4&gt;MAX(1,Reprogramaciones!$U$15)),"",IF(Reprogramaciones!N$12&gt;=7,"",IF(OR(BW247-N(BV247)&gt;0.05,N(T247)&gt;0),ROUNDDOWN(ROUND(BW247,6),0)&amp;"%"&amp;IF(CM247="",""," / "&amp;CM247&amp;"%"),IF(AND(N(BV247)&gt;=99.95,CM247&lt;&gt;"",N(CM247)&lt;100),"Pend. "&amp;CM247&amp;"%",""))))</f>
        <v/>
      </c>
      <c r="AQ247" s="40" t="str">
        <f aca="false">IF(OR(OR(NOT(AND(ISNUMBER(E247),ISNUMBER(F247))),$J$2=""),5&gt;MAX(1,Reprogramaciones!$U$15)),"",IF(Reprogramaciones!O$12&gt;=7,"",IF(OR(BX247-N(BW247)&gt;0.05,N(U247)&gt;0),ROUNDDOWN(ROUND(BX247,6),0)&amp;"%"&amp;IF(CN247="",""," / "&amp;CN247&amp;"%"),IF(AND(N(BW247)&gt;=99.95,CN247&lt;&gt;"",N(CN247)&lt;100),"Pend. "&amp;CN247&amp;"%",""))))</f>
        <v/>
      </c>
      <c r="AR247" s="40" t="str">
        <f aca="false">IF(OR(OR(NOT(AND(ISNUMBER(E247),ISNUMBER(F247))),$J$2=""),6&gt;MAX(1,Reprogramaciones!$U$15)),"",IF(Reprogramaciones!P$12&gt;=7,"",IF(OR(BY247-N(BX247)&gt;0.05,N(V247)&gt;0),ROUNDDOWN(ROUND(BY247,6),0)&amp;"%"&amp;IF(CO247="",""," / "&amp;CO247&amp;"%"),IF(AND(N(BX247)&gt;=99.95,CO247&lt;&gt;"",N(CO247)&lt;100),"Pend. "&amp;CO247&amp;"%",""))))</f>
        <v/>
      </c>
      <c r="AS247" s="40" t="str">
        <f aca="false">IF(OR(OR(NOT(AND(ISNUMBER(E247),ISNUMBER(F247))),$J$2=""),7&gt;MAX(1,Reprogramaciones!$U$15)),"",IF(Reprogramaciones!Q$12&gt;=7,"",IF(OR(BZ247-N(BY247)&gt;0.05,N(W247)&gt;0),ROUNDDOWN(ROUND(BZ247,6),0)&amp;"%"&amp;IF(CP247="",""," / "&amp;CP247&amp;"%"),IF(AND(N(BY247)&gt;=99.95,CP247&lt;&gt;"",N(CP247)&lt;100),"Pend. "&amp;CP247&amp;"%",""))))</f>
        <v/>
      </c>
      <c r="AT247" s="40" t="str">
        <f aca="false">IF(OR(OR(NOT(AND(ISNUMBER(E247),ISNUMBER(F247))),$J$2=""),8&gt;MAX(1,Reprogramaciones!$U$15)),"",IF(Reprogramaciones!R$12&gt;=7,"",IF(OR(CA247-N(BZ247)&gt;0.05,N(X247)&gt;0),ROUNDDOWN(ROUND(CA247,6),0)&amp;"%"&amp;IF(CQ247="",""," / "&amp;CQ247&amp;"%"),IF(AND(N(BZ247)&gt;=99.95,CQ247&lt;&gt;"",N(CQ247)&lt;100),"Pend. "&amp;CQ247&amp;"%",""))))</f>
        <v/>
      </c>
      <c r="AU247" s="40" t="str">
        <f aca="false">IF(OR(OR(NOT(AND(ISNUMBER(E247),ISNUMBER(F247))),$J$2=""),9&gt;MAX(1,Reprogramaciones!$U$15)),"",IF(Reprogramaciones!S$12&gt;=7,"",IF(OR(CB247-N(CA247)&gt;0.05,N(Y247)&gt;0),ROUNDDOWN(ROUND(CB247,6),0)&amp;"%"&amp;IF(CR247="",""," / "&amp;CR247&amp;"%"),IF(AND(N(CA247)&gt;=99.95,CR247&lt;&gt;"",N(CR247)&lt;100),"Pend. "&amp;CR247&amp;"%",""))))</f>
        <v/>
      </c>
      <c r="AV247" s="40" t="str">
        <f aca="false">IF(OR(OR(NOT(AND(ISNUMBER(E247),ISNUMBER(F247))),$J$2=""),10&gt;MAX(1,Reprogramaciones!$U$15)),"",IF(Reprogramaciones!T$12&gt;=7,"",IF(OR(CC247-N(CB247)&gt;0.05,N(Z247)&gt;0),ROUNDDOWN(ROUND(CC247,6),0)&amp;"%"&amp;IF(CS247="",""," / "&amp;CS247&amp;"%"),IF(AND(N(CB247)&gt;=99.95,CS247&lt;&gt;"",N(CS247)&lt;100),"Pend. "&amp;CS247&amp;"%",""))))</f>
        <v/>
      </c>
      <c r="AW247" s="40" t="str">
        <f aca="false">IF(OR(OR(NOT(AND(ISNUMBER(E247),ISNUMBER(F247))),$J$2=""),11&gt;MAX(1,Reprogramaciones!$U$15)),"",IF(Reprogramaciones!U$12&gt;=7,"",IF(OR(CD247-N(CC247)&gt;0.05,N(AA247)&gt;0),ROUNDDOWN(ROUND(CD247,6),0)&amp;"%"&amp;IF(CT247="",""," / "&amp;CT247&amp;"%"),IF(AND(N(CC247)&gt;=99.95,CT247&lt;&gt;"",N(CT247)&lt;100),"Pend. "&amp;CT247&amp;"%",""))))</f>
        <v/>
      </c>
      <c r="AX247" s="40" t="str">
        <f aca="false">IF(OR(OR(NOT(AND(ISNUMBER(E247),ISNUMBER(F247))),$J$2=""),12&gt;MAX(1,Reprogramaciones!$U$15)),"",IF(Reprogramaciones!V$12&gt;=7,"",IF(OR(CE247-N(CD247)&gt;0.05,N(AB247)&gt;0),ROUNDDOWN(ROUND(CE247,6),0)&amp;"%"&amp;IF(CU247="",""," / "&amp;CU247&amp;"%"),IF(AND(N(CD247)&gt;=99.95,CU247&lt;&gt;"",N(CU247)&lt;100),"Pend. "&amp;CU247&amp;"%",""))))</f>
        <v/>
      </c>
      <c r="AY247" s="40" t="str">
        <f aca="false">IF(OR(OR(NOT(AND(ISNUMBER(E247),ISNUMBER(F247))),$J$2=""),13&gt;MAX(1,Reprogramaciones!$U$15)),"",IF(Reprogramaciones!W$12&gt;=7,"",IF(OR(CF247-N(CE247)&gt;0.05,N(AC247)&gt;0),ROUNDDOWN(ROUND(CF247,6),0)&amp;"%"&amp;IF(CV247="",""," / "&amp;CV247&amp;"%"),IF(AND(N(CE247)&gt;=99.95,CV247&lt;&gt;"",N(CV247)&lt;100),"Pend. "&amp;CV247&amp;"%",""))))</f>
        <v/>
      </c>
      <c r="AZ247" s="40" t="str">
        <f aca="false">IF(OR(OR(NOT(AND(ISNUMBER(E247),ISNUMBER(F247))),$J$2=""),14&gt;MAX(1,Reprogramaciones!$U$15)),"",IF(Reprogramaciones!X$12&gt;=7,"",IF(OR(CG247-N(CF247)&gt;0.05,N(AD247)&gt;0),ROUNDDOWN(ROUND(CG247,6),0)&amp;"%"&amp;IF(CW247="",""," / "&amp;CW247&amp;"%"),IF(AND(N(CF247)&gt;=99.95,CW247&lt;&gt;"",N(CW247)&lt;100),"Pend. "&amp;CW247&amp;"%",""))))</f>
        <v/>
      </c>
      <c r="BA247" s="40" t="str">
        <f aca="false">IF(OR(OR(NOT(AND(ISNUMBER(E247),ISNUMBER(F247))),$J$2=""),15&gt;MAX(1,Reprogramaciones!$U$15)),"",IF(Reprogramaciones!Y$12&gt;=7,"",IF(OR(CH247-N(CG247)&gt;0.05,N(AE247)&gt;0),ROUNDDOWN(ROUND(CH247,6),0)&amp;"%"&amp;IF(CX247="",""," / "&amp;CX247&amp;"%"),IF(AND(N(CG247)&gt;=99.95,CX247&lt;&gt;"",N(CX247)&lt;100),"Pend. "&amp;CX247&amp;"%",""))))</f>
        <v/>
      </c>
      <c r="BB247" s="40" t="str">
        <f aca="false">IF(OR(OR(NOT(AND(ISNUMBER(E247),ISNUMBER(F247))),$J$2=""),16&gt;MAX(1,Reprogramaciones!$U$15)),"",IF(Reprogramaciones!Z$12&gt;=7,"",IF(OR(CI247-N(CH247)&gt;0.05,N(AF247)&gt;0),ROUNDDOWN(ROUND(CI247,6),0)&amp;"%"&amp;IF(CY247="",""," / "&amp;CY247&amp;"%"),IF(AND(N(CH247)&gt;=99.95,CY247&lt;&gt;"",N(CY247)&lt;100),"Pend. "&amp;CY247&amp;"%",""))))</f>
        <v/>
      </c>
      <c r="BC247" s="31" t="n">
        <f aca="false">IF(AND(ISNUMBER(E247),ISNUMBER(F247)),MAX(1,NETWORKDAYS.INTL(E247,F247,11)),0)</f>
        <v>0</v>
      </c>
      <c r="BD247" s="1" t="str">
        <f aca="false">IF(OR(NOT(AND(ISNUMBER(E247),ISNUMBER(F247))),$J$2=""),"",MIN(100,ROUND(SUM($G247:G247),1)))</f>
        <v/>
      </c>
      <c r="BE247" s="1" t="str">
        <f aca="false">IF(OR(NOT(AND(ISNUMBER(E247),ISNUMBER(F247))),$J$2=""),"",MIN(100,ROUND(SUM($G247:H247),1)))</f>
        <v/>
      </c>
      <c r="BF247" s="1" t="str">
        <f aca="false">IF(OR(NOT(AND(ISNUMBER(E247),ISNUMBER(F247))),$J$2=""),"",MIN(100,ROUND(SUM($G247:I247),1)))</f>
        <v/>
      </c>
      <c r="BG247" s="1" t="str">
        <f aca="false">IF(OR(NOT(AND(ISNUMBER(E247),ISNUMBER(F247))),$J$2=""),"",MIN(100,ROUND(SUM($G247:J247),1)))</f>
        <v/>
      </c>
      <c r="BH247" s="1" t="str">
        <f aca="false">IF(OR(NOT(AND(ISNUMBER(E247),ISNUMBER(F247))),$J$2=""),"",MIN(100,ROUND(SUM($G247:K247),1)))</f>
        <v/>
      </c>
      <c r="BI247" s="1" t="str">
        <f aca="false">IF(OR(NOT(AND(ISNUMBER(E247),ISNUMBER(F247))),$J$2=""),"",MIN(100,ROUND(SUM($G247:L247),1)))</f>
        <v/>
      </c>
      <c r="BJ247" s="1" t="str">
        <f aca="false">IF(OR(NOT(AND(ISNUMBER(E247),ISNUMBER(F247))),$J$2=""),"",MIN(100,ROUND(SUM($G247:M247),1)))</f>
        <v/>
      </c>
      <c r="BK247" s="1" t="str">
        <f aca="false">IF(OR(NOT(AND(ISNUMBER(E247),ISNUMBER(F247))),$J$2=""),"",MIN(100,ROUND(SUM($G247:N247),1)))</f>
        <v/>
      </c>
      <c r="BL247" s="1" t="str">
        <f aca="false">IF(OR(NOT(AND(ISNUMBER(E247),ISNUMBER(F247))),$J$2=""),"",MIN(100,ROUND(SUM($G247:O247),1)))</f>
        <v/>
      </c>
      <c r="BM247" s="1" t="str">
        <f aca="false">IF(OR(NOT(AND(ISNUMBER(E247),ISNUMBER(F247))),$J$2=""),"",MIN(100,ROUND(SUM($G247:P247),1)))</f>
        <v/>
      </c>
      <c r="BN247" s="1" t="str">
        <f aca="false">IF(OR(NOT(AND(ISNUMBER(E247),ISNUMBER(F247))),$J$2=""),"",MIN(100,ROUND(SUM($G247:P247),1)))</f>
        <v/>
      </c>
      <c r="BO247" s="1" t="str">
        <f aca="false">IF(OR(NOT(AND(ISNUMBER(E247),ISNUMBER(F247))),$J$2=""),"",MIN(100,ROUND(SUM($G247:P247),1)))</f>
        <v/>
      </c>
      <c r="BP247" s="1" t="str">
        <f aca="false">IF(OR(NOT(AND(ISNUMBER(E247),ISNUMBER(F247))),$J$2=""),"",MIN(100,ROUND(SUM($G247:P247),1)))</f>
        <v/>
      </c>
      <c r="BQ247" s="1" t="str">
        <f aca="false">IF(OR(NOT(AND(ISNUMBER(E247),ISNUMBER(F247))),$J$2=""),"",MIN(100,ROUND(SUM($G247:P247),1)))</f>
        <v/>
      </c>
      <c r="BR247" s="1" t="str">
        <f aca="false">IF(OR(NOT(AND(ISNUMBER(E247),ISNUMBER(F247))),$J$2=""),"",MIN(100,ROUND(SUM($G247:P247),1)))</f>
        <v/>
      </c>
      <c r="BS247" s="1" t="str">
        <f aca="false">IF(OR(NOT(AND(ISNUMBER(E247),ISNUMBER(F247))),$J$2=""),"",MIN(100,ROUND(SUM($G247:P247),1)))</f>
        <v/>
      </c>
      <c r="BT247" s="1" t="str">
        <f aca="false">IF(OR(NOT(AND(ISNUMBER(E247),ISNUMBER(F247))),$J$2=""),"",IF(Reprogramaciones!K$13&lt;Reprogramaciones!$T$15,0,IF(Reprogramaciones!K$14&gt;10,MIN(100,SUM($G247:$P247)),MIN(100,SUMPRODUCT((COLUMN($G247:$P247)-COLUMN($G247)+1&lt;Reprogramaciones!K$14)*$G247:$P247)+N(INDEX($G247:$P247,1,Reprogramaciones!K$14))*IF(Reprogramaciones!K$13&gt;=(Reprogramaciones!$T$15+7*(Reprogramaciones!K$14-1))+6,1,IF(MAX(0,NETWORKDAYS.INTL(MAX(E247,(Reprogramaciones!$T$15+7*(Reprogramaciones!K$14-1))),MIN(F247,(Reprogramaciones!$T$15+7*(Reprogramaciones!K$14-1))+6),11))=0,0,MAX(0,NETWORKDAYS.INTL(MAX(E247,(Reprogramaciones!$T$15+7*(Reprogramaciones!K$14-1))),MIN(F247,Reprogramaciones!K$13),11))/MAX(0,NETWORKDAYS.INTL(MAX(E247,(Reprogramaciones!$T$15+7*(Reprogramaciones!K$14-1))),MIN(F247,(Reprogramaciones!$T$15+7*(Reprogramaciones!K$14-1))+6),11))))))))</f>
        <v/>
      </c>
      <c r="BU247" s="1" t="str">
        <f aca="false">IF(OR(NOT(AND(ISNUMBER(E247),ISNUMBER(F247))),$J$2=""),"",IF(Reprogramaciones!L$13&lt;Reprogramaciones!$T$15,0,IF(Reprogramaciones!L$14&gt;10,MIN(100,SUM($G247:$P247)),MIN(100,SUMPRODUCT((COLUMN($G247:$P247)-COLUMN($G247)+1&lt;Reprogramaciones!L$14)*$G247:$P247)+N(INDEX($G247:$P247,1,Reprogramaciones!L$14))*IF(Reprogramaciones!L$13&gt;=(Reprogramaciones!$T$15+7*(Reprogramaciones!L$14-1))+6,1,IF(MAX(0,NETWORKDAYS.INTL(MAX(E247,(Reprogramaciones!$T$15+7*(Reprogramaciones!L$14-1))),MIN(F247,(Reprogramaciones!$T$15+7*(Reprogramaciones!L$14-1))+6),11))=0,0,MAX(0,NETWORKDAYS.INTL(MAX(E247,(Reprogramaciones!$T$15+7*(Reprogramaciones!L$14-1))),MIN(F247,Reprogramaciones!L$13),11))/MAX(0,NETWORKDAYS.INTL(MAX(E247,(Reprogramaciones!$T$15+7*(Reprogramaciones!L$14-1))),MIN(F247,(Reprogramaciones!$T$15+7*(Reprogramaciones!L$14-1))+6),11))))))))</f>
        <v/>
      </c>
      <c r="BV247" s="1" t="str">
        <f aca="false">IF(OR(NOT(AND(ISNUMBER(E247),ISNUMBER(F247))),$J$2=""),"",IF(Reprogramaciones!M$13&lt;Reprogramaciones!$T$15,0,IF(Reprogramaciones!M$14&gt;10,MIN(100,SUM($G247:$P247)),MIN(100,SUMPRODUCT((COLUMN($G247:$P247)-COLUMN($G247)+1&lt;Reprogramaciones!M$14)*$G247:$P247)+N(INDEX($G247:$P247,1,Reprogramaciones!M$14))*IF(Reprogramaciones!M$13&gt;=(Reprogramaciones!$T$15+7*(Reprogramaciones!M$14-1))+6,1,IF(MAX(0,NETWORKDAYS.INTL(MAX(E247,(Reprogramaciones!$T$15+7*(Reprogramaciones!M$14-1))),MIN(F247,(Reprogramaciones!$T$15+7*(Reprogramaciones!M$14-1))+6),11))=0,0,MAX(0,NETWORKDAYS.INTL(MAX(E247,(Reprogramaciones!$T$15+7*(Reprogramaciones!M$14-1))),MIN(F247,Reprogramaciones!M$13),11))/MAX(0,NETWORKDAYS.INTL(MAX(E247,(Reprogramaciones!$T$15+7*(Reprogramaciones!M$14-1))),MIN(F247,(Reprogramaciones!$T$15+7*(Reprogramaciones!M$14-1))+6),11))))))))</f>
        <v/>
      </c>
      <c r="BW247" s="1" t="str">
        <f aca="false">IF(OR(NOT(AND(ISNUMBER(E247),ISNUMBER(F247))),$J$2=""),"",IF(Reprogramaciones!N$13&lt;Reprogramaciones!$T$15,0,IF(Reprogramaciones!N$14&gt;10,MIN(100,SUM($G247:$P247)),MIN(100,SUMPRODUCT((COLUMN($G247:$P247)-COLUMN($G247)+1&lt;Reprogramaciones!N$14)*$G247:$P247)+N(INDEX($G247:$P247,1,Reprogramaciones!N$14))*IF(Reprogramaciones!N$13&gt;=(Reprogramaciones!$T$15+7*(Reprogramaciones!N$14-1))+6,1,IF(MAX(0,NETWORKDAYS.INTL(MAX(E247,(Reprogramaciones!$T$15+7*(Reprogramaciones!N$14-1))),MIN(F247,(Reprogramaciones!$T$15+7*(Reprogramaciones!N$14-1))+6),11))=0,0,MAX(0,NETWORKDAYS.INTL(MAX(E247,(Reprogramaciones!$T$15+7*(Reprogramaciones!N$14-1))),MIN(F247,Reprogramaciones!N$13),11))/MAX(0,NETWORKDAYS.INTL(MAX(E247,(Reprogramaciones!$T$15+7*(Reprogramaciones!N$14-1))),MIN(F247,(Reprogramaciones!$T$15+7*(Reprogramaciones!N$14-1))+6),11))))))))</f>
        <v/>
      </c>
      <c r="BX247" s="1" t="str">
        <f aca="false">IF(OR(NOT(AND(ISNUMBER(E247),ISNUMBER(F247))),$J$2=""),"",IF(Reprogramaciones!O$13&lt;Reprogramaciones!$T$15,0,IF(Reprogramaciones!O$14&gt;10,MIN(100,SUM($G247:$P247)),MIN(100,SUMPRODUCT((COLUMN($G247:$P247)-COLUMN($G247)+1&lt;Reprogramaciones!O$14)*$G247:$P247)+N(INDEX($G247:$P247,1,Reprogramaciones!O$14))*IF(Reprogramaciones!O$13&gt;=(Reprogramaciones!$T$15+7*(Reprogramaciones!O$14-1))+6,1,IF(MAX(0,NETWORKDAYS.INTL(MAX(E247,(Reprogramaciones!$T$15+7*(Reprogramaciones!O$14-1))),MIN(F247,(Reprogramaciones!$T$15+7*(Reprogramaciones!O$14-1))+6),11))=0,0,MAX(0,NETWORKDAYS.INTL(MAX(E247,(Reprogramaciones!$T$15+7*(Reprogramaciones!O$14-1))),MIN(F247,Reprogramaciones!O$13),11))/MAX(0,NETWORKDAYS.INTL(MAX(E247,(Reprogramaciones!$T$15+7*(Reprogramaciones!O$14-1))),MIN(F247,(Reprogramaciones!$T$15+7*(Reprogramaciones!O$14-1))+6),11))))))))</f>
        <v/>
      </c>
      <c r="BY247" s="1" t="str">
        <f aca="false">IF(OR(NOT(AND(ISNUMBER(E247),ISNUMBER(F247))),$J$2=""),"",IF(Reprogramaciones!P$13&lt;Reprogramaciones!$T$15,0,IF(Reprogramaciones!P$14&gt;10,MIN(100,SUM($G247:$P247)),MIN(100,SUMPRODUCT((COLUMN($G247:$P247)-COLUMN($G247)+1&lt;Reprogramaciones!P$14)*$G247:$P247)+N(INDEX($G247:$P247,1,Reprogramaciones!P$14))*IF(Reprogramaciones!P$13&gt;=(Reprogramaciones!$T$15+7*(Reprogramaciones!P$14-1))+6,1,IF(MAX(0,NETWORKDAYS.INTL(MAX(E247,(Reprogramaciones!$T$15+7*(Reprogramaciones!P$14-1))),MIN(F247,(Reprogramaciones!$T$15+7*(Reprogramaciones!P$14-1))+6),11))=0,0,MAX(0,NETWORKDAYS.INTL(MAX(E247,(Reprogramaciones!$T$15+7*(Reprogramaciones!P$14-1))),MIN(F247,Reprogramaciones!P$13),11))/MAX(0,NETWORKDAYS.INTL(MAX(E247,(Reprogramaciones!$T$15+7*(Reprogramaciones!P$14-1))),MIN(F247,(Reprogramaciones!$T$15+7*(Reprogramaciones!P$14-1))+6),11))))))))</f>
        <v/>
      </c>
      <c r="BZ247" s="1" t="str">
        <f aca="false">IF(OR(NOT(AND(ISNUMBER(E247),ISNUMBER(F247))),$J$2=""),"",IF(Reprogramaciones!Q$13&lt;Reprogramaciones!$T$15,0,IF(Reprogramaciones!Q$14&gt;10,MIN(100,SUM($G247:$P247)),MIN(100,SUMPRODUCT((COLUMN($G247:$P247)-COLUMN($G247)+1&lt;Reprogramaciones!Q$14)*$G247:$P247)+N(INDEX($G247:$P247,1,Reprogramaciones!Q$14))*IF(Reprogramaciones!Q$13&gt;=(Reprogramaciones!$T$15+7*(Reprogramaciones!Q$14-1))+6,1,IF(MAX(0,NETWORKDAYS.INTL(MAX(E247,(Reprogramaciones!$T$15+7*(Reprogramaciones!Q$14-1))),MIN(F247,(Reprogramaciones!$T$15+7*(Reprogramaciones!Q$14-1))+6),11))=0,0,MAX(0,NETWORKDAYS.INTL(MAX(E247,(Reprogramaciones!$T$15+7*(Reprogramaciones!Q$14-1))),MIN(F247,Reprogramaciones!Q$13),11))/MAX(0,NETWORKDAYS.INTL(MAX(E247,(Reprogramaciones!$T$15+7*(Reprogramaciones!Q$14-1))),MIN(F247,(Reprogramaciones!$T$15+7*(Reprogramaciones!Q$14-1))+6),11))))))))</f>
        <v/>
      </c>
      <c r="CA247" s="1" t="str">
        <f aca="false">IF(OR(NOT(AND(ISNUMBER(E247),ISNUMBER(F247))),$J$2=""),"",IF(Reprogramaciones!R$13&lt;Reprogramaciones!$T$15,0,IF(Reprogramaciones!R$14&gt;10,MIN(100,SUM($G247:$P247)),MIN(100,SUMPRODUCT((COLUMN($G247:$P247)-COLUMN($G247)+1&lt;Reprogramaciones!R$14)*$G247:$P247)+N(INDEX($G247:$P247,1,Reprogramaciones!R$14))*IF(Reprogramaciones!R$13&gt;=(Reprogramaciones!$T$15+7*(Reprogramaciones!R$14-1))+6,1,IF(MAX(0,NETWORKDAYS.INTL(MAX(E247,(Reprogramaciones!$T$15+7*(Reprogramaciones!R$14-1))),MIN(F247,(Reprogramaciones!$T$15+7*(Reprogramaciones!R$14-1))+6),11))=0,0,MAX(0,NETWORKDAYS.INTL(MAX(E247,(Reprogramaciones!$T$15+7*(Reprogramaciones!R$14-1))),MIN(F247,Reprogramaciones!R$13),11))/MAX(0,NETWORKDAYS.INTL(MAX(E247,(Reprogramaciones!$T$15+7*(Reprogramaciones!R$14-1))),MIN(F247,(Reprogramaciones!$T$15+7*(Reprogramaciones!R$14-1))+6),11))))))))</f>
        <v/>
      </c>
      <c r="CB247" s="1" t="str">
        <f aca="false">IF(OR(NOT(AND(ISNUMBER(E247),ISNUMBER(F247))),$J$2=""),"",IF(Reprogramaciones!S$13&lt;Reprogramaciones!$T$15,0,IF(Reprogramaciones!S$14&gt;10,MIN(100,SUM($G247:$P247)),MIN(100,SUMPRODUCT((COLUMN($G247:$P247)-COLUMN($G247)+1&lt;Reprogramaciones!S$14)*$G247:$P247)+N(INDEX($G247:$P247,1,Reprogramaciones!S$14))*IF(Reprogramaciones!S$13&gt;=(Reprogramaciones!$T$15+7*(Reprogramaciones!S$14-1))+6,1,IF(MAX(0,NETWORKDAYS.INTL(MAX(E247,(Reprogramaciones!$T$15+7*(Reprogramaciones!S$14-1))),MIN(F247,(Reprogramaciones!$T$15+7*(Reprogramaciones!S$14-1))+6),11))=0,0,MAX(0,NETWORKDAYS.INTL(MAX(E247,(Reprogramaciones!$T$15+7*(Reprogramaciones!S$14-1))),MIN(F247,Reprogramaciones!S$13),11))/MAX(0,NETWORKDAYS.INTL(MAX(E247,(Reprogramaciones!$T$15+7*(Reprogramaciones!S$14-1))),MIN(F247,(Reprogramaciones!$T$15+7*(Reprogramaciones!S$14-1))+6),11))))))))</f>
        <v/>
      </c>
      <c r="CC247" s="1" t="str">
        <f aca="false">IF(OR(NOT(AND(ISNUMBER(E247),ISNUMBER(F247))),$J$2=""),"",IF(Reprogramaciones!T$13&lt;Reprogramaciones!$T$15,0,IF(Reprogramaciones!T$14&gt;10,MIN(100,SUM($G247:$P247)),MIN(100,SUMPRODUCT((COLUMN($G247:$P247)-COLUMN($G247)+1&lt;Reprogramaciones!T$14)*$G247:$P247)+N(INDEX($G247:$P247,1,Reprogramaciones!T$14))*IF(Reprogramaciones!T$13&gt;=(Reprogramaciones!$T$15+7*(Reprogramaciones!T$14-1))+6,1,IF(MAX(0,NETWORKDAYS.INTL(MAX(E247,(Reprogramaciones!$T$15+7*(Reprogramaciones!T$14-1))),MIN(F247,(Reprogramaciones!$T$15+7*(Reprogramaciones!T$14-1))+6),11))=0,0,MAX(0,NETWORKDAYS.INTL(MAX(E247,(Reprogramaciones!$T$15+7*(Reprogramaciones!T$14-1))),MIN(F247,Reprogramaciones!T$13),11))/MAX(0,NETWORKDAYS.INTL(MAX(E247,(Reprogramaciones!$T$15+7*(Reprogramaciones!T$14-1))),MIN(F247,(Reprogramaciones!$T$15+7*(Reprogramaciones!T$14-1))+6),11))))))))</f>
        <v/>
      </c>
      <c r="CD247" s="1" t="str">
        <f aca="false">IF(OR(NOT(AND(ISNUMBER(E247),ISNUMBER(F247))),$J$2=""),"",IF(Reprogramaciones!U$13&lt;Reprogramaciones!$T$15,0,IF(Reprogramaciones!U$14&gt;10,MIN(100,SUM($G247:$P247)),MIN(100,SUMPRODUCT((COLUMN($G247:$P247)-COLUMN($G247)+1&lt;Reprogramaciones!U$14)*$G247:$P247)+N(INDEX($G247:$P247,1,Reprogramaciones!U$14))*IF(Reprogramaciones!U$13&gt;=(Reprogramaciones!$T$15+7*(Reprogramaciones!U$14-1))+6,1,IF(MAX(0,NETWORKDAYS.INTL(MAX(E247,(Reprogramaciones!$T$15+7*(Reprogramaciones!U$14-1))),MIN(F247,(Reprogramaciones!$T$15+7*(Reprogramaciones!U$14-1))+6),11))=0,0,MAX(0,NETWORKDAYS.INTL(MAX(E247,(Reprogramaciones!$T$15+7*(Reprogramaciones!U$14-1))),MIN(F247,Reprogramaciones!U$13),11))/MAX(0,NETWORKDAYS.INTL(MAX(E247,(Reprogramaciones!$T$15+7*(Reprogramaciones!U$14-1))),MIN(F247,(Reprogramaciones!$T$15+7*(Reprogramaciones!U$14-1))+6),11))))))))</f>
        <v/>
      </c>
      <c r="CE247" s="1" t="str">
        <f aca="false">IF(OR(NOT(AND(ISNUMBER(E247),ISNUMBER(F247))),$J$2=""),"",IF(Reprogramaciones!V$13&lt;Reprogramaciones!$T$15,0,IF(Reprogramaciones!V$14&gt;10,MIN(100,SUM($G247:$P247)),MIN(100,SUMPRODUCT((COLUMN($G247:$P247)-COLUMN($G247)+1&lt;Reprogramaciones!V$14)*$G247:$P247)+N(INDEX($G247:$P247,1,Reprogramaciones!V$14))*IF(Reprogramaciones!V$13&gt;=(Reprogramaciones!$T$15+7*(Reprogramaciones!V$14-1))+6,1,IF(MAX(0,NETWORKDAYS.INTL(MAX(E247,(Reprogramaciones!$T$15+7*(Reprogramaciones!V$14-1))),MIN(F247,(Reprogramaciones!$T$15+7*(Reprogramaciones!V$14-1))+6),11))=0,0,MAX(0,NETWORKDAYS.INTL(MAX(E247,(Reprogramaciones!$T$15+7*(Reprogramaciones!V$14-1))),MIN(F247,Reprogramaciones!V$13),11))/MAX(0,NETWORKDAYS.INTL(MAX(E247,(Reprogramaciones!$T$15+7*(Reprogramaciones!V$14-1))),MIN(F247,(Reprogramaciones!$T$15+7*(Reprogramaciones!V$14-1))+6),11))))))))</f>
        <v/>
      </c>
      <c r="CF247" s="1" t="str">
        <f aca="false">IF(OR(NOT(AND(ISNUMBER(E247),ISNUMBER(F247))),$J$2=""),"",IF(Reprogramaciones!W$13&lt;Reprogramaciones!$T$15,0,IF(Reprogramaciones!W$14&gt;10,MIN(100,SUM($G247:$P247)),MIN(100,SUMPRODUCT((COLUMN($G247:$P247)-COLUMN($G247)+1&lt;Reprogramaciones!W$14)*$G247:$P247)+N(INDEX($G247:$P247,1,Reprogramaciones!W$14))*IF(Reprogramaciones!W$13&gt;=(Reprogramaciones!$T$15+7*(Reprogramaciones!W$14-1))+6,1,IF(MAX(0,NETWORKDAYS.INTL(MAX(E247,(Reprogramaciones!$T$15+7*(Reprogramaciones!W$14-1))),MIN(F247,(Reprogramaciones!$T$15+7*(Reprogramaciones!W$14-1))+6),11))=0,0,MAX(0,NETWORKDAYS.INTL(MAX(E247,(Reprogramaciones!$T$15+7*(Reprogramaciones!W$14-1))),MIN(F247,Reprogramaciones!W$13),11))/MAX(0,NETWORKDAYS.INTL(MAX(E247,(Reprogramaciones!$T$15+7*(Reprogramaciones!W$14-1))),MIN(F247,(Reprogramaciones!$T$15+7*(Reprogramaciones!W$14-1))+6),11))))))))</f>
        <v/>
      </c>
      <c r="CG247" s="1" t="str">
        <f aca="false">IF(OR(NOT(AND(ISNUMBER(E247),ISNUMBER(F247))),$J$2=""),"",IF(Reprogramaciones!X$13&lt;Reprogramaciones!$T$15,0,IF(Reprogramaciones!X$14&gt;10,MIN(100,SUM($G247:$P247)),MIN(100,SUMPRODUCT((COLUMN($G247:$P247)-COLUMN($G247)+1&lt;Reprogramaciones!X$14)*$G247:$P247)+N(INDEX($G247:$P247,1,Reprogramaciones!X$14))*IF(Reprogramaciones!X$13&gt;=(Reprogramaciones!$T$15+7*(Reprogramaciones!X$14-1))+6,1,IF(MAX(0,NETWORKDAYS.INTL(MAX(E247,(Reprogramaciones!$T$15+7*(Reprogramaciones!X$14-1))),MIN(F247,(Reprogramaciones!$T$15+7*(Reprogramaciones!X$14-1))+6),11))=0,0,MAX(0,NETWORKDAYS.INTL(MAX(E247,(Reprogramaciones!$T$15+7*(Reprogramaciones!X$14-1))),MIN(F247,Reprogramaciones!X$13),11))/MAX(0,NETWORKDAYS.INTL(MAX(E247,(Reprogramaciones!$T$15+7*(Reprogramaciones!X$14-1))),MIN(F247,(Reprogramaciones!$T$15+7*(Reprogramaciones!X$14-1))+6),11))))))))</f>
        <v/>
      </c>
      <c r="CH247" s="1" t="str">
        <f aca="false">IF(OR(NOT(AND(ISNUMBER(E247),ISNUMBER(F247))),$J$2=""),"",IF(Reprogramaciones!Y$13&lt;Reprogramaciones!$T$15,0,IF(Reprogramaciones!Y$14&gt;10,MIN(100,SUM($G247:$P247)),MIN(100,SUMPRODUCT((COLUMN($G247:$P247)-COLUMN($G247)+1&lt;Reprogramaciones!Y$14)*$G247:$P247)+N(INDEX($G247:$P247,1,Reprogramaciones!Y$14))*IF(Reprogramaciones!Y$13&gt;=(Reprogramaciones!$T$15+7*(Reprogramaciones!Y$14-1))+6,1,IF(MAX(0,NETWORKDAYS.INTL(MAX(E247,(Reprogramaciones!$T$15+7*(Reprogramaciones!Y$14-1))),MIN(F247,(Reprogramaciones!$T$15+7*(Reprogramaciones!Y$14-1))+6),11))=0,0,MAX(0,NETWORKDAYS.INTL(MAX(E247,(Reprogramaciones!$T$15+7*(Reprogramaciones!Y$14-1))),MIN(F247,Reprogramaciones!Y$13),11))/MAX(0,NETWORKDAYS.INTL(MAX(E247,(Reprogramaciones!$T$15+7*(Reprogramaciones!Y$14-1))),MIN(F247,(Reprogramaciones!$T$15+7*(Reprogramaciones!Y$14-1))+6),11))))))))</f>
        <v/>
      </c>
      <c r="CI247" s="1" t="str">
        <f aca="false">IF(OR(NOT(AND(ISNUMBER(E247),ISNUMBER(F247))),$J$2=""),"",IF(Reprogramaciones!Z$13&lt;Reprogramaciones!$T$15,0,IF(Reprogramaciones!Z$14&gt;10,MIN(100,SUM($G247:$P247)),MIN(100,SUMPRODUCT((COLUMN($G247:$P247)-COLUMN($G247)+1&lt;Reprogramaciones!Z$14)*$G247:$P247)+N(INDEX($G247:$P247,1,Reprogramaciones!Z$14))*IF(Reprogramaciones!Z$13&gt;=(Reprogramaciones!$T$15+7*(Reprogramaciones!Z$14-1))+6,1,IF(MAX(0,NETWORKDAYS.INTL(MAX(E247,(Reprogramaciones!$T$15+7*(Reprogramaciones!Z$14-1))),MIN(F247,(Reprogramaciones!$T$15+7*(Reprogramaciones!Z$14-1))+6),11))=0,0,MAX(0,NETWORKDAYS.INTL(MAX(E247,(Reprogramaciones!$T$15+7*(Reprogramaciones!Z$14-1))),MIN(F247,Reprogramaciones!Z$13),11))/MAX(0,NETWORKDAYS.INTL(MAX(E247,(Reprogramaciones!$T$15+7*(Reprogramaciones!Z$14-1))),MIN(F247,(Reprogramaciones!$T$15+7*(Reprogramaciones!Z$14-1))+6),11))))))))</f>
        <v/>
      </c>
      <c r="CJ247" s="1" t="str">
        <f aca="false">IF(OR(OR(NOT(AND(ISNUMBER(E247),ISNUMBER(F247))),$J$2=""),1&gt;Reprogramaciones!$K$16),"",IF(ROUND(SUM($Q247:Q247),1)&gt;=99.5,100,MIN(100,ROUND(SUM($Q247:Q247),1))))</f>
        <v/>
      </c>
      <c r="CK247" s="1" t="str">
        <f aca="false">IF(OR(OR(NOT(AND(ISNUMBER(E247),ISNUMBER(F247))),$J$2=""),2&gt;Reprogramaciones!$K$16),"",IF(ROUND(SUM($Q247:R247),1)&gt;=99.5,100,MIN(100,ROUND(SUM($Q247:R247),1))))</f>
        <v/>
      </c>
      <c r="CL247" s="1" t="str">
        <f aca="false">IF(OR(OR(NOT(AND(ISNUMBER(E247),ISNUMBER(F247))),$J$2=""),3&gt;Reprogramaciones!$K$16),"",IF(ROUND(SUM($Q247:S247),1)&gt;=99.5,100,MIN(100,ROUND(SUM($Q247:S247),1))))</f>
        <v/>
      </c>
      <c r="CM247" s="1" t="str">
        <f aca="false">IF(OR(OR(NOT(AND(ISNUMBER(E247),ISNUMBER(F247))),$J$2=""),4&gt;Reprogramaciones!$K$16),"",IF(ROUND(SUM($Q247:T247),1)&gt;=99.5,100,MIN(100,ROUND(SUM($Q247:T247),1))))</f>
        <v/>
      </c>
      <c r="CN247" s="1" t="str">
        <f aca="false">IF(OR(OR(NOT(AND(ISNUMBER(E247),ISNUMBER(F247))),$J$2=""),5&gt;Reprogramaciones!$K$16),"",IF(ROUND(SUM($Q247:U247),1)&gt;=99.5,100,MIN(100,ROUND(SUM($Q247:U247),1))))</f>
        <v/>
      </c>
      <c r="CO247" s="1" t="str">
        <f aca="false">IF(OR(OR(NOT(AND(ISNUMBER(E247),ISNUMBER(F247))),$J$2=""),6&gt;Reprogramaciones!$K$16),"",IF(ROUND(SUM($Q247:V247),1)&gt;=99.5,100,MIN(100,ROUND(SUM($Q247:V247),1))))</f>
        <v/>
      </c>
      <c r="CP247" s="1" t="str">
        <f aca="false">IF(OR(OR(NOT(AND(ISNUMBER(E247),ISNUMBER(F247))),$J$2=""),7&gt;Reprogramaciones!$K$16),"",IF(ROUND(SUM($Q247:W247),1)&gt;=99.5,100,MIN(100,ROUND(SUM($Q247:W247),1))))</f>
        <v/>
      </c>
      <c r="CQ247" s="1" t="str">
        <f aca="false">IF(OR(OR(NOT(AND(ISNUMBER(E247),ISNUMBER(F247))),$J$2=""),8&gt;Reprogramaciones!$K$16),"",IF(ROUND(SUM($Q247:X247),1)&gt;=99.5,100,MIN(100,ROUND(SUM($Q247:X247),1))))</f>
        <v/>
      </c>
      <c r="CR247" s="1" t="str">
        <f aca="false">IF(OR(OR(NOT(AND(ISNUMBER(E247),ISNUMBER(F247))),$J$2=""),9&gt;Reprogramaciones!$K$16),"",IF(ROUND(SUM($Q247:Y247),1)&gt;=99.5,100,MIN(100,ROUND(SUM($Q247:Y247),1))))</f>
        <v/>
      </c>
      <c r="CS247" s="1" t="str">
        <f aca="false">IF(OR(OR(NOT(AND(ISNUMBER(E247),ISNUMBER(F247))),$J$2=""),10&gt;Reprogramaciones!$K$16),"",IF(ROUND(SUM($Q247:Z247),1)&gt;=99.5,100,MIN(100,ROUND(SUM($Q247:Z247),1))))</f>
        <v/>
      </c>
      <c r="CT247" s="1" t="str">
        <f aca="false">IF(OR(OR(NOT(AND(ISNUMBER(E247),ISNUMBER(F247))),$J$2=""),11&gt;Reprogramaciones!$K$16),"",IF(ROUND(SUM($Q247:AA247),1)&gt;=99.5,100,MIN(100,ROUND(SUM($Q247:AA247),1))))</f>
        <v/>
      </c>
      <c r="CU247" s="1" t="str">
        <f aca="false">IF(OR(OR(NOT(AND(ISNUMBER(E247),ISNUMBER(F247))),$J$2=""),12&gt;Reprogramaciones!$K$16),"",IF(ROUND(SUM($Q247:AB247),1)&gt;=99.5,100,MIN(100,ROUND(SUM($Q247:AB247),1))))</f>
        <v/>
      </c>
      <c r="CV247" s="1" t="str">
        <f aca="false">IF(OR(OR(NOT(AND(ISNUMBER(E247),ISNUMBER(F247))),$J$2=""),13&gt;Reprogramaciones!$K$16),"",IF(ROUND(SUM($Q247:AC247),1)&gt;=99.5,100,MIN(100,ROUND(SUM($Q247:AC247),1))))</f>
        <v/>
      </c>
      <c r="CW247" s="1" t="str">
        <f aca="false">IF(OR(OR(NOT(AND(ISNUMBER(E247),ISNUMBER(F247))),$J$2=""),14&gt;Reprogramaciones!$K$16),"",IF(ROUND(SUM($Q247:AD247),1)&gt;=99.5,100,MIN(100,ROUND(SUM($Q247:AD247),1))))</f>
        <v/>
      </c>
      <c r="CX247" s="1" t="str">
        <f aca="false">IF(OR(OR(NOT(AND(ISNUMBER(E247),ISNUMBER(F247))),$J$2=""),15&gt;Reprogramaciones!$K$16),"",IF(ROUND(SUM($Q247:AE247),1)&gt;=99.5,100,MIN(100,ROUND(SUM($Q247:AE247),1))))</f>
        <v/>
      </c>
      <c r="CY247" s="1" t="str">
        <f aca="false">IF(OR(OR(NOT(AND(ISNUMBER(E247),ISNUMBER(F247))),$J$2=""),16&gt;Reprogramaciones!$K$16),"",IF(ROUND(SUM($Q247:AF247),1)&gt;=99.5,100,MIN(100,ROUND(SUM($Q247:AF247),1))))</f>
        <v/>
      </c>
      <c r="CZ247" s="1" t="str">
        <f aca="false">IF(D247&lt;&gt;"",D247,IF(B247&lt;&gt;"","Contractual",CZ246))</f>
        <v>Contractual</v>
      </c>
      <c r="DA247" s="1" t="str">
        <f aca="false">IF(OR(NOT(AND(ISNUMBER(E247),ISNUMBER(F247))),$J$2=""),"",IF(Reprogramaciones!$Q$15&lt;Reprogramaciones!$T$15,0,IF(Reprogramaciones!$S$15&gt;10,MIN(100,SUM($G247:$P247)),MIN(100,SUMPRODUCT((COLUMN($G247:$P247)-COLUMN($G247)+1&lt;Reprogramaciones!$S$15)*$G247:$P247)+N(INDEX($G247:$P247,1,Reprogramaciones!$S$15))*IF(Reprogramaciones!$Q$15&gt;=(Reprogramaciones!$T$15+7*(Reprogramaciones!$S$15-1))+6,1,IF(MAX(0,NETWORKDAYS.INTL(MAX(E247,(Reprogramaciones!$T$15+7*(Reprogramaciones!$S$15-1))),MIN(F247,(Reprogramaciones!$T$15+7*(Reprogramaciones!$S$15-1))+6),11))=0,0,MAX(0,NETWORKDAYS.INTL(MAX(E247,(Reprogramaciones!$T$15+7*(Reprogramaciones!$S$15-1))),MIN(F247,Reprogramaciones!$Q$15),11))/MAX(0,NETWORKDAYS.INTL(MAX(E247,(Reprogramaciones!$T$15+7*(Reprogramaciones!$S$15-1))),MIN(F247,(Reprogramaciones!$T$15+7*(Reprogramaciones!$S$15-1))+6),11))))))))</f>
        <v/>
      </c>
    </row>
    <row r="248" customFormat="false" ht="15" hidden="false" customHeight="false" outlineLevel="0" collapsed="false">
      <c r="A248" s="32"/>
      <c r="B248" s="33"/>
      <c r="C248" s="33"/>
      <c r="D248" s="34"/>
      <c r="E248" s="35"/>
      <c r="F248" s="35"/>
      <c r="G248" s="36" t="str">
        <f aca="false">IF(OR(NOT(AND(ISNUMBER(E248),ISNUMBER(F248))),$J$2=""),"",IF(Reprogramaciones!K$9&lt;E248,0,IF(NETWORKDAYS.INTL(E248,F248,11)=0,IF(Reprogramaciones!K$9&gt;=F248,100,0),ROUND(NETWORKDAYS.INTL(E248,MIN(F248,Reprogramaciones!K$9),11)/NETWORKDAYS.INTL(E248,F248,11)*100,1)))-0)</f>
        <v/>
      </c>
      <c r="H248" s="36" t="str">
        <f aca="false">IF(OR(NOT(AND(ISNUMBER(E248),ISNUMBER(F248))),$J$2=""),"",IF(Reprogramaciones!L$9&lt;E248,0,IF(NETWORKDAYS.INTL(E248,F248,11)=0,IF(Reprogramaciones!L$9&gt;=F248,100,0),ROUND(NETWORKDAYS.INTL(E248,MIN(F248,Reprogramaciones!L$9),11)/NETWORKDAYS.INTL(E248,F248,11)*100,1)))-IF(Reprogramaciones!K$9&lt;E248,0,IF(NETWORKDAYS.INTL(E248,F248,11)=0,IF(Reprogramaciones!K$9&gt;=F248,100,0),ROUND(NETWORKDAYS.INTL(E248,MIN(F248,Reprogramaciones!K$9),11)/NETWORKDAYS.INTL(E248,F248,11)*100,1))))</f>
        <v/>
      </c>
      <c r="I248" s="36" t="str">
        <f aca="false">IF(OR(NOT(AND(ISNUMBER(E248),ISNUMBER(F248))),$J$2=""),"",IF(Reprogramaciones!M$9&lt;E248,0,IF(NETWORKDAYS.INTL(E248,F248,11)=0,IF(Reprogramaciones!M$9&gt;=F248,100,0),ROUND(NETWORKDAYS.INTL(E248,MIN(F248,Reprogramaciones!M$9),11)/NETWORKDAYS.INTL(E248,F248,11)*100,1)))-IF(Reprogramaciones!L$9&lt;E248,0,IF(NETWORKDAYS.INTL(E248,F248,11)=0,IF(Reprogramaciones!L$9&gt;=F248,100,0),ROUND(NETWORKDAYS.INTL(E248,MIN(F248,Reprogramaciones!L$9),11)/NETWORKDAYS.INTL(E248,F248,11)*100,1))))</f>
        <v/>
      </c>
      <c r="J248" s="36" t="str">
        <f aca="false">IF(OR(NOT(AND(ISNUMBER(E248),ISNUMBER(F248))),$J$2=""),"",IF(Reprogramaciones!N$9&lt;E248,0,IF(NETWORKDAYS.INTL(E248,F248,11)=0,IF(Reprogramaciones!N$9&gt;=F248,100,0),ROUND(NETWORKDAYS.INTL(E248,MIN(F248,Reprogramaciones!N$9),11)/NETWORKDAYS.INTL(E248,F248,11)*100,1)))-IF(Reprogramaciones!M$9&lt;E248,0,IF(NETWORKDAYS.INTL(E248,F248,11)=0,IF(Reprogramaciones!M$9&gt;=F248,100,0),ROUND(NETWORKDAYS.INTL(E248,MIN(F248,Reprogramaciones!M$9),11)/NETWORKDAYS.INTL(E248,F248,11)*100,1))))</f>
        <v/>
      </c>
      <c r="K248" s="36" t="str">
        <f aca="false">IF(OR(NOT(AND(ISNUMBER(E248),ISNUMBER(F248))),$J$2=""),"",IF(Reprogramaciones!O$9&lt;E248,0,IF(NETWORKDAYS.INTL(E248,F248,11)=0,IF(Reprogramaciones!O$9&gt;=F248,100,0),ROUND(NETWORKDAYS.INTL(E248,MIN(F248,Reprogramaciones!O$9),11)/NETWORKDAYS.INTL(E248,F248,11)*100,1)))-IF(Reprogramaciones!N$9&lt;E248,0,IF(NETWORKDAYS.INTL(E248,F248,11)=0,IF(Reprogramaciones!N$9&gt;=F248,100,0),ROUND(NETWORKDAYS.INTL(E248,MIN(F248,Reprogramaciones!N$9),11)/NETWORKDAYS.INTL(E248,F248,11)*100,1))))</f>
        <v/>
      </c>
      <c r="L248" s="36" t="str">
        <f aca="false">IF(OR(NOT(AND(ISNUMBER(E248),ISNUMBER(F248))),$J$2=""),"",IF(Reprogramaciones!P$9&lt;E248,0,IF(NETWORKDAYS.INTL(E248,F248,11)=0,IF(Reprogramaciones!P$9&gt;=F248,100,0),ROUND(NETWORKDAYS.INTL(E248,MIN(F248,Reprogramaciones!P$9),11)/NETWORKDAYS.INTL(E248,F248,11)*100,1)))-IF(Reprogramaciones!O$9&lt;E248,0,IF(NETWORKDAYS.INTL(E248,F248,11)=0,IF(Reprogramaciones!O$9&gt;=F248,100,0),ROUND(NETWORKDAYS.INTL(E248,MIN(F248,Reprogramaciones!O$9),11)/NETWORKDAYS.INTL(E248,F248,11)*100,1))))</f>
        <v/>
      </c>
      <c r="M248" s="36" t="str">
        <f aca="false">IF(OR(NOT(AND(ISNUMBER(E248),ISNUMBER(F248))),$J$2=""),"",IF(Reprogramaciones!Q$9&lt;E248,0,IF(NETWORKDAYS.INTL(E248,F248,11)=0,IF(Reprogramaciones!Q$9&gt;=F248,100,0),ROUND(NETWORKDAYS.INTL(E248,MIN(F248,Reprogramaciones!Q$9),11)/NETWORKDAYS.INTL(E248,F248,11)*100,1)))-IF(Reprogramaciones!P$9&lt;E248,0,IF(NETWORKDAYS.INTL(E248,F248,11)=0,IF(Reprogramaciones!P$9&gt;=F248,100,0),ROUND(NETWORKDAYS.INTL(E248,MIN(F248,Reprogramaciones!P$9),11)/NETWORKDAYS.INTL(E248,F248,11)*100,1))))</f>
        <v/>
      </c>
      <c r="N248" s="36" t="str">
        <f aca="false">IF(OR(NOT(AND(ISNUMBER(E248),ISNUMBER(F248))),$J$2=""),"",IF(Reprogramaciones!R$9&lt;E248,0,IF(NETWORKDAYS.INTL(E248,F248,11)=0,IF(Reprogramaciones!R$9&gt;=F248,100,0),ROUND(NETWORKDAYS.INTL(E248,MIN(F248,Reprogramaciones!R$9),11)/NETWORKDAYS.INTL(E248,F248,11)*100,1)))-IF(Reprogramaciones!Q$9&lt;E248,0,IF(NETWORKDAYS.INTL(E248,F248,11)=0,IF(Reprogramaciones!Q$9&gt;=F248,100,0),ROUND(NETWORKDAYS.INTL(E248,MIN(F248,Reprogramaciones!Q$9),11)/NETWORKDAYS.INTL(E248,F248,11)*100,1))))</f>
        <v/>
      </c>
      <c r="O248" s="36" t="str">
        <f aca="false">IF(OR(NOT(AND(ISNUMBER(E248),ISNUMBER(F248))),$J$2=""),"",IF(Reprogramaciones!S$9&lt;E248,0,IF(NETWORKDAYS.INTL(E248,F248,11)=0,IF(Reprogramaciones!S$9&gt;=F248,100,0),ROUND(NETWORKDAYS.INTL(E248,MIN(F248,Reprogramaciones!S$9),11)/NETWORKDAYS.INTL(E248,F248,11)*100,1)))-IF(Reprogramaciones!R$9&lt;E248,0,IF(NETWORKDAYS.INTL(E248,F248,11)=0,IF(Reprogramaciones!R$9&gt;=F248,100,0),ROUND(NETWORKDAYS.INTL(E248,MIN(F248,Reprogramaciones!R$9),11)/NETWORKDAYS.INTL(E248,F248,11)*100,1))))</f>
        <v/>
      </c>
      <c r="P248" s="36" t="str">
        <f aca="false">IF(OR(NOT(AND(ISNUMBER(E248),ISNUMBER(F248))),$J$2=""),"",IF(Reprogramaciones!T$9&lt;E248,0,IF(NETWORKDAYS.INTL(E248,F248,11)=0,IF(Reprogramaciones!T$9&gt;=F248,100,0),ROUND(NETWORKDAYS.INTL(E248,MIN(F248,Reprogramaciones!T$9),11)/NETWORKDAYS.INTL(E248,F248,11)*100,1)))-IF(Reprogramaciones!S$9&lt;E248,0,IF(NETWORKDAYS.INTL(E248,F248,11)=0,IF(Reprogramaciones!S$9&gt;=F248,100,0),ROUND(NETWORKDAYS.INTL(E248,MIN(F248,Reprogramaciones!S$9),11)/NETWORKDAYS.INTL(E248,F248,11)*100,1))))</f>
        <v/>
      </c>
      <c r="Q248" s="37"/>
      <c r="R248" s="37"/>
      <c r="S248" s="37"/>
      <c r="T248" s="37"/>
      <c r="U248" s="37"/>
      <c r="V248" s="37"/>
      <c r="W248" s="37"/>
      <c r="X248" s="37"/>
      <c r="Y248" s="37"/>
      <c r="Z248" s="37"/>
      <c r="AA248" s="37"/>
      <c r="AB248" s="37"/>
      <c r="AC248" s="37"/>
      <c r="AD248" s="37"/>
      <c r="AE248" s="37"/>
      <c r="AF248" s="37"/>
      <c r="AG248" s="38" t="str">
        <f aca="false">IF(AND(ISNUMBER(E248),ISNUMBER(F248)),NETWORKDAYS.INTL(E248,F248,11),"")</f>
        <v/>
      </c>
      <c r="AH248" s="38" t="str">
        <f aca="false">IF(OR(NOT(AND(ISNUMBER(E248),ISNUMBER(F248))),$J$2=""),"",IF(Reprogramaciones!$P$15&lt;Reprogramaciones!$T$15,0,IF(Reprogramaciones!$R$15&gt;10,MIN(100,SUM($G248:$P248)),MIN(100,SUMPRODUCT((COLUMN($G248:$P248)-COLUMN($G248)+1&lt;Reprogramaciones!$R$15)*$G248:$P248)+N(INDEX($G248:$P248,1,Reprogramaciones!$R$15))*IF(Reprogramaciones!$P$15&gt;=(Reprogramaciones!$T$15+7*(Reprogramaciones!$R$15-1))+6,1,IF(MAX(0,NETWORKDAYS.INTL(MAX(E248,(Reprogramaciones!$T$15+7*(Reprogramaciones!$R$15-1))),MIN(F248,(Reprogramaciones!$T$15+7*(Reprogramaciones!$R$15-1))+6),11))=0,0,MAX(0,NETWORKDAYS.INTL(MAX(E248,(Reprogramaciones!$T$15+7*(Reprogramaciones!$R$15-1))),MIN(F248,Reprogramaciones!$P$15),11))/MAX(0,NETWORKDAYS.INTL(MAX(E248,(Reprogramaciones!$T$15+7*(Reprogramaciones!$R$15-1))),MIN(F248,(Reprogramaciones!$T$15+7*(Reprogramaciones!$R$15-1))+6),11))))))))</f>
        <v/>
      </c>
      <c r="AI248" s="38" t="str">
        <f aca="false">IF(COUNT($Q248:$AF248)=0,"",IF(ROUND(SUM($Q248:$AF248),1)&gt;=99.5,100,MIN(100,ROUND(SUM($Q248:$AF248),1))))</f>
        <v/>
      </c>
      <c r="AJ248" s="38" t="str">
        <f aca="false">IF(OR(AH248="",AI248=""),"",AI248-AH248)</f>
        <v/>
      </c>
      <c r="AK248" s="39" t="str">
        <f aca="true">IF(AH248="","",IF(OR(Ficha!$C$10="Suspendida",Ficha!$C$10="Cancelada"),Ficha!$C$10,IF(AND(AI248&lt;&gt;"",N(AI248)&gt;=100),"Completada",IF(AND(E248&gt;TODAY(),N(AI248)=0),"Por iniciar",IF(N(AI248)+0.5&lt;AH248,"Retrasada",IF(N(AI248)+0.5&lt;DA248,IF(Reprogramaciones!$K$15&gt;0,"Al día · Sem "&amp;Reprogramaciones!$K$15&amp;" en curso","Al día · en curso"),"A tiempo"))))))</f>
        <v/>
      </c>
      <c r="AL248" s="39" t="str">
        <f aca="true">IF(AND(A248="",AND(B248="",C248="",E248="",F248="",COUNT(Q248:AF248)=0)),"",IF(AND(B248="",C248="",E248="",F248="",COUNT(Q248:AF248)=0),"Falta la partida o subpartida",IF(AND(A248&lt;&gt;"",COUNTIF($A$6:$A$305,A248)&gt;1),"Ítem repetido",IF(AND(C248="",E248="",F248="",COUNT(Q248:AF248)=0),"Título de partida",IF(OR(E248="",F248=""),"Faltan fechas",IF(OR(ISTEXT(E248),ISTEXT(F248)),"Fecha escrita como texto: usa dd/mm/aaaa",IF(F248&lt;E248,"Fin antes del inicio",IF(IF($J$2="",FALSE(),OR(E248&lt;$J$2,F248&gt;Reprogramaciones!$T$15+69)),"Fuera de las 10 semanas",IF(ABS(SUM(G248:P248)-100)&gt;0.5,"La meta no suma 100%",IF(ROUND(SUM(Q248:AF248),1)&gt;100.5,"El avance pasa de 100%",IF(MIN(Q248:AF248)&lt;0,"Avance negativo",IF(COUNTA(Q248:AF248)&gt;COUNT(Q248:AF248),"Avance escrito como texto",IF(SUMPRODUCT((Q248:AF248&gt;0)*(Q248:AF248&lt;1))&gt;0,"Avance menor a 1: escribe 50, no 50%",IF(SUMPRODUCT(ISNUMBER(Q248:AF248)*(Reprogramaciones!$K$8:$Z$8&gt;TODAY()))&gt;0,"Avance en semana que aún no llega",IF(AND(N(Reprogramaciones!$E$21)&gt;0,F248&gt;Reprogramaciones!$E$21),"Pasa el fin de la obra: registra una reprogramación",IF(AND(N(Reprogramaciones!$E$21)&gt;0,SUMPRODUCT(ISNUMBER(Q248:AF248)*(Reprogramaciones!$K$8:$Z$8&gt;Reprogramaciones!$E$21))&gt;0),"Avance después del fin de la obra: registra una reprogramación por atraso","OK"))))))))))))))))</f>
        <v/>
      </c>
      <c r="AM248" s="40" t="str">
        <f aca="false">IF(OR(OR(NOT(AND(ISNUMBER(E248),ISNUMBER(F248))),$J$2=""),1&gt;MAX(1,Reprogramaciones!$U$15)),"",IF(Reprogramaciones!K$12&gt;=7,"",IF(OR(BT248-N(0)&gt;0.05,N(Q248)&gt;0),ROUNDDOWN(ROUND(BT248,6),0)&amp;"%"&amp;IF(CJ248="",""," / "&amp;CJ248&amp;"%"),IF(AND(N(0)&gt;=99.95,CJ248&lt;&gt;"",N(CJ248)&lt;100),"Pend. "&amp;CJ248&amp;"%",""))))</f>
        <v/>
      </c>
      <c r="AN248" s="40" t="str">
        <f aca="false">IF(OR(OR(NOT(AND(ISNUMBER(E248),ISNUMBER(F248))),$J$2=""),2&gt;MAX(1,Reprogramaciones!$U$15)),"",IF(Reprogramaciones!L$12&gt;=7,"",IF(OR(BU248-N(BT248)&gt;0.05,N(R248)&gt;0),ROUNDDOWN(ROUND(BU248,6),0)&amp;"%"&amp;IF(CK248="",""," / "&amp;CK248&amp;"%"),IF(AND(N(BT248)&gt;=99.95,CK248&lt;&gt;"",N(CK248)&lt;100),"Pend. "&amp;CK248&amp;"%",""))))</f>
        <v/>
      </c>
      <c r="AO248" s="40" t="str">
        <f aca="false">IF(OR(OR(NOT(AND(ISNUMBER(E248),ISNUMBER(F248))),$J$2=""),3&gt;MAX(1,Reprogramaciones!$U$15)),"",IF(Reprogramaciones!M$12&gt;=7,"",IF(OR(BV248-N(BU248)&gt;0.05,N(S248)&gt;0),ROUNDDOWN(ROUND(BV248,6),0)&amp;"%"&amp;IF(CL248="",""," / "&amp;CL248&amp;"%"),IF(AND(N(BU248)&gt;=99.95,CL248&lt;&gt;"",N(CL248)&lt;100),"Pend. "&amp;CL248&amp;"%",""))))</f>
        <v/>
      </c>
      <c r="AP248" s="40" t="str">
        <f aca="false">IF(OR(OR(NOT(AND(ISNUMBER(E248),ISNUMBER(F248))),$J$2=""),4&gt;MAX(1,Reprogramaciones!$U$15)),"",IF(Reprogramaciones!N$12&gt;=7,"",IF(OR(BW248-N(BV248)&gt;0.05,N(T248)&gt;0),ROUNDDOWN(ROUND(BW248,6),0)&amp;"%"&amp;IF(CM248="",""," / "&amp;CM248&amp;"%"),IF(AND(N(BV248)&gt;=99.95,CM248&lt;&gt;"",N(CM248)&lt;100),"Pend. "&amp;CM248&amp;"%",""))))</f>
        <v/>
      </c>
      <c r="AQ248" s="40" t="str">
        <f aca="false">IF(OR(OR(NOT(AND(ISNUMBER(E248),ISNUMBER(F248))),$J$2=""),5&gt;MAX(1,Reprogramaciones!$U$15)),"",IF(Reprogramaciones!O$12&gt;=7,"",IF(OR(BX248-N(BW248)&gt;0.05,N(U248)&gt;0),ROUNDDOWN(ROUND(BX248,6),0)&amp;"%"&amp;IF(CN248="",""," / "&amp;CN248&amp;"%"),IF(AND(N(BW248)&gt;=99.95,CN248&lt;&gt;"",N(CN248)&lt;100),"Pend. "&amp;CN248&amp;"%",""))))</f>
        <v/>
      </c>
      <c r="AR248" s="40" t="str">
        <f aca="false">IF(OR(OR(NOT(AND(ISNUMBER(E248),ISNUMBER(F248))),$J$2=""),6&gt;MAX(1,Reprogramaciones!$U$15)),"",IF(Reprogramaciones!P$12&gt;=7,"",IF(OR(BY248-N(BX248)&gt;0.05,N(V248)&gt;0),ROUNDDOWN(ROUND(BY248,6),0)&amp;"%"&amp;IF(CO248="",""," / "&amp;CO248&amp;"%"),IF(AND(N(BX248)&gt;=99.95,CO248&lt;&gt;"",N(CO248)&lt;100),"Pend. "&amp;CO248&amp;"%",""))))</f>
        <v/>
      </c>
      <c r="AS248" s="40" t="str">
        <f aca="false">IF(OR(OR(NOT(AND(ISNUMBER(E248),ISNUMBER(F248))),$J$2=""),7&gt;MAX(1,Reprogramaciones!$U$15)),"",IF(Reprogramaciones!Q$12&gt;=7,"",IF(OR(BZ248-N(BY248)&gt;0.05,N(W248)&gt;0),ROUNDDOWN(ROUND(BZ248,6),0)&amp;"%"&amp;IF(CP248="",""," / "&amp;CP248&amp;"%"),IF(AND(N(BY248)&gt;=99.95,CP248&lt;&gt;"",N(CP248)&lt;100),"Pend. "&amp;CP248&amp;"%",""))))</f>
        <v/>
      </c>
      <c r="AT248" s="40" t="str">
        <f aca="false">IF(OR(OR(NOT(AND(ISNUMBER(E248),ISNUMBER(F248))),$J$2=""),8&gt;MAX(1,Reprogramaciones!$U$15)),"",IF(Reprogramaciones!R$12&gt;=7,"",IF(OR(CA248-N(BZ248)&gt;0.05,N(X248)&gt;0),ROUNDDOWN(ROUND(CA248,6),0)&amp;"%"&amp;IF(CQ248="",""," / "&amp;CQ248&amp;"%"),IF(AND(N(BZ248)&gt;=99.95,CQ248&lt;&gt;"",N(CQ248)&lt;100),"Pend. "&amp;CQ248&amp;"%",""))))</f>
        <v/>
      </c>
      <c r="AU248" s="40" t="str">
        <f aca="false">IF(OR(OR(NOT(AND(ISNUMBER(E248),ISNUMBER(F248))),$J$2=""),9&gt;MAX(1,Reprogramaciones!$U$15)),"",IF(Reprogramaciones!S$12&gt;=7,"",IF(OR(CB248-N(CA248)&gt;0.05,N(Y248)&gt;0),ROUNDDOWN(ROUND(CB248,6),0)&amp;"%"&amp;IF(CR248="",""," / "&amp;CR248&amp;"%"),IF(AND(N(CA248)&gt;=99.95,CR248&lt;&gt;"",N(CR248)&lt;100),"Pend. "&amp;CR248&amp;"%",""))))</f>
        <v/>
      </c>
      <c r="AV248" s="40" t="str">
        <f aca="false">IF(OR(OR(NOT(AND(ISNUMBER(E248),ISNUMBER(F248))),$J$2=""),10&gt;MAX(1,Reprogramaciones!$U$15)),"",IF(Reprogramaciones!T$12&gt;=7,"",IF(OR(CC248-N(CB248)&gt;0.05,N(Z248)&gt;0),ROUNDDOWN(ROUND(CC248,6),0)&amp;"%"&amp;IF(CS248="",""," / "&amp;CS248&amp;"%"),IF(AND(N(CB248)&gt;=99.95,CS248&lt;&gt;"",N(CS248)&lt;100),"Pend. "&amp;CS248&amp;"%",""))))</f>
        <v/>
      </c>
      <c r="AW248" s="40" t="str">
        <f aca="false">IF(OR(OR(NOT(AND(ISNUMBER(E248),ISNUMBER(F248))),$J$2=""),11&gt;MAX(1,Reprogramaciones!$U$15)),"",IF(Reprogramaciones!U$12&gt;=7,"",IF(OR(CD248-N(CC248)&gt;0.05,N(AA248)&gt;0),ROUNDDOWN(ROUND(CD248,6),0)&amp;"%"&amp;IF(CT248="",""," / "&amp;CT248&amp;"%"),IF(AND(N(CC248)&gt;=99.95,CT248&lt;&gt;"",N(CT248)&lt;100),"Pend. "&amp;CT248&amp;"%",""))))</f>
        <v/>
      </c>
      <c r="AX248" s="40" t="str">
        <f aca="false">IF(OR(OR(NOT(AND(ISNUMBER(E248),ISNUMBER(F248))),$J$2=""),12&gt;MAX(1,Reprogramaciones!$U$15)),"",IF(Reprogramaciones!V$12&gt;=7,"",IF(OR(CE248-N(CD248)&gt;0.05,N(AB248)&gt;0),ROUNDDOWN(ROUND(CE248,6),0)&amp;"%"&amp;IF(CU248="",""," / "&amp;CU248&amp;"%"),IF(AND(N(CD248)&gt;=99.95,CU248&lt;&gt;"",N(CU248)&lt;100),"Pend. "&amp;CU248&amp;"%",""))))</f>
        <v/>
      </c>
      <c r="AY248" s="40" t="str">
        <f aca="false">IF(OR(OR(NOT(AND(ISNUMBER(E248),ISNUMBER(F248))),$J$2=""),13&gt;MAX(1,Reprogramaciones!$U$15)),"",IF(Reprogramaciones!W$12&gt;=7,"",IF(OR(CF248-N(CE248)&gt;0.05,N(AC248)&gt;0),ROUNDDOWN(ROUND(CF248,6),0)&amp;"%"&amp;IF(CV248="",""," / "&amp;CV248&amp;"%"),IF(AND(N(CE248)&gt;=99.95,CV248&lt;&gt;"",N(CV248)&lt;100),"Pend. "&amp;CV248&amp;"%",""))))</f>
        <v/>
      </c>
      <c r="AZ248" s="40" t="str">
        <f aca="false">IF(OR(OR(NOT(AND(ISNUMBER(E248),ISNUMBER(F248))),$J$2=""),14&gt;MAX(1,Reprogramaciones!$U$15)),"",IF(Reprogramaciones!X$12&gt;=7,"",IF(OR(CG248-N(CF248)&gt;0.05,N(AD248)&gt;0),ROUNDDOWN(ROUND(CG248,6),0)&amp;"%"&amp;IF(CW248="",""," / "&amp;CW248&amp;"%"),IF(AND(N(CF248)&gt;=99.95,CW248&lt;&gt;"",N(CW248)&lt;100),"Pend. "&amp;CW248&amp;"%",""))))</f>
        <v/>
      </c>
      <c r="BA248" s="40" t="str">
        <f aca="false">IF(OR(OR(NOT(AND(ISNUMBER(E248),ISNUMBER(F248))),$J$2=""),15&gt;MAX(1,Reprogramaciones!$U$15)),"",IF(Reprogramaciones!Y$12&gt;=7,"",IF(OR(CH248-N(CG248)&gt;0.05,N(AE248)&gt;0),ROUNDDOWN(ROUND(CH248,6),0)&amp;"%"&amp;IF(CX248="",""," / "&amp;CX248&amp;"%"),IF(AND(N(CG248)&gt;=99.95,CX248&lt;&gt;"",N(CX248)&lt;100),"Pend. "&amp;CX248&amp;"%",""))))</f>
        <v/>
      </c>
      <c r="BB248" s="40" t="str">
        <f aca="false">IF(OR(OR(NOT(AND(ISNUMBER(E248),ISNUMBER(F248))),$J$2=""),16&gt;MAX(1,Reprogramaciones!$U$15)),"",IF(Reprogramaciones!Z$12&gt;=7,"",IF(OR(CI248-N(CH248)&gt;0.05,N(AF248)&gt;0),ROUNDDOWN(ROUND(CI248,6),0)&amp;"%"&amp;IF(CY248="",""," / "&amp;CY248&amp;"%"),IF(AND(N(CH248)&gt;=99.95,CY248&lt;&gt;"",N(CY248)&lt;100),"Pend. "&amp;CY248&amp;"%",""))))</f>
        <v/>
      </c>
      <c r="BC248" s="31" t="n">
        <f aca="false">IF(AND(ISNUMBER(E248),ISNUMBER(F248)),MAX(1,NETWORKDAYS.INTL(E248,F248,11)),0)</f>
        <v>0</v>
      </c>
      <c r="BD248" s="1" t="str">
        <f aca="false">IF(OR(NOT(AND(ISNUMBER(E248),ISNUMBER(F248))),$J$2=""),"",MIN(100,ROUND(SUM($G248:G248),1)))</f>
        <v/>
      </c>
      <c r="BE248" s="1" t="str">
        <f aca="false">IF(OR(NOT(AND(ISNUMBER(E248),ISNUMBER(F248))),$J$2=""),"",MIN(100,ROUND(SUM($G248:H248),1)))</f>
        <v/>
      </c>
      <c r="BF248" s="1" t="str">
        <f aca="false">IF(OR(NOT(AND(ISNUMBER(E248),ISNUMBER(F248))),$J$2=""),"",MIN(100,ROUND(SUM($G248:I248),1)))</f>
        <v/>
      </c>
      <c r="BG248" s="1" t="str">
        <f aca="false">IF(OR(NOT(AND(ISNUMBER(E248),ISNUMBER(F248))),$J$2=""),"",MIN(100,ROUND(SUM($G248:J248),1)))</f>
        <v/>
      </c>
      <c r="BH248" s="1" t="str">
        <f aca="false">IF(OR(NOT(AND(ISNUMBER(E248),ISNUMBER(F248))),$J$2=""),"",MIN(100,ROUND(SUM($G248:K248),1)))</f>
        <v/>
      </c>
      <c r="BI248" s="1" t="str">
        <f aca="false">IF(OR(NOT(AND(ISNUMBER(E248),ISNUMBER(F248))),$J$2=""),"",MIN(100,ROUND(SUM($G248:L248),1)))</f>
        <v/>
      </c>
      <c r="BJ248" s="1" t="str">
        <f aca="false">IF(OR(NOT(AND(ISNUMBER(E248),ISNUMBER(F248))),$J$2=""),"",MIN(100,ROUND(SUM($G248:M248),1)))</f>
        <v/>
      </c>
      <c r="BK248" s="1" t="str">
        <f aca="false">IF(OR(NOT(AND(ISNUMBER(E248),ISNUMBER(F248))),$J$2=""),"",MIN(100,ROUND(SUM($G248:N248),1)))</f>
        <v/>
      </c>
      <c r="BL248" s="1" t="str">
        <f aca="false">IF(OR(NOT(AND(ISNUMBER(E248),ISNUMBER(F248))),$J$2=""),"",MIN(100,ROUND(SUM($G248:O248),1)))</f>
        <v/>
      </c>
      <c r="BM248" s="1" t="str">
        <f aca="false">IF(OR(NOT(AND(ISNUMBER(E248),ISNUMBER(F248))),$J$2=""),"",MIN(100,ROUND(SUM($G248:P248),1)))</f>
        <v/>
      </c>
      <c r="BN248" s="1" t="str">
        <f aca="false">IF(OR(NOT(AND(ISNUMBER(E248),ISNUMBER(F248))),$J$2=""),"",MIN(100,ROUND(SUM($G248:P248),1)))</f>
        <v/>
      </c>
      <c r="BO248" s="1" t="str">
        <f aca="false">IF(OR(NOT(AND(ISNUMBER(E248),ISNUMBER(F248))),$J$2=""),"",MIN(100,ROUND(SUM($G248:P248),1)))</f>
        <v/>
      </c>
      <c r="BP248" s="1" t="str">
        <f aca="false">IF(OR(NOT(AND(ISNUMBER(E248),ISNUMBER(F248))),$J$2=""),"",MIN(100,ROUND(SUM($G248:P248),1)))</f>
        <v/>
      </c>
      <c r="BQ248" s="1" t="str">
        <f aca="false">IF(OR(NOT(AND(ISNUMBER(E248),ISNUMBER(F248))),$J$2=""),"",MIN(100,ROUND(SUM($G248:P248),1)))</f>
        <v/>
      </c>
      <c r="BR248" s="1" t="str">
        <f aca="false">IF(OR(NOT(AND(ISNUMBER(E248),ISNUMBER(F248))),$J$2=""),"",MIN(100,ROUND(SUM($G248:P248),1)))</f>
        <v/>
      </c>
      <c r="BS248" s="1" t="str">
        <f aca="false">IF(OR(NOT(AND(ISNUMBER(E248),ISNUMBER(F248))),$J$2=""),"",MIN(100,ROUND(SUM($G248:P248),1)))</f>
        <v/>
      </c>
      <c r="BT248" s="1" t="str">
        <f aca="false">IF(OR(NOT(AND(ISNUMBER(E248),ISNUMBER(F248))),$J$2=""),"",IF(Reprogramaciones!K$13&lt;Reprogramaciones!$T$15,0,IF(Reprogramaciones!K$14&gt;10,MIN(100,SUM($G248:$P248)),MIN(100,SUMPRODUCT((COLUMN($G248:$P248)-COLUMN($G248)+1&lt;Reprogramaciones!K$14)*$G248:$P248)+N(INDEX($G248:$P248,1,Reprogramaciones!K$14))*IF(Reprogramaciones!K$13&gt;=(Reprogramaciones!$T$15+7*(Reprogramaciones!K$14-1))+6,1,IF(MAX(0,NETWORKDAYS.INTL(MAX(E248,(Reprogramaciones!$T$15+7*(Reprogramaciones!K$14-1))),MIN(F248,(Reprogramaciones!$T$15+7*(Reprogramaciones!K$14-1))+6),11))=0,0,MAX(0,NETWORKDAYS.INTL(MAX(E248,(Reprogramaciones!$T$15+7*(Reprogramaciones!K$14-1))),MIN(F248,Reprogramaciones!K$13),11))/MAX(0,NETWORKDAYS.INTL(MAX(E248,(Reprogramaciones!$T$15+7*(Reprogramaciones!K$14-1))),MIN(F248,(Reprogramaciones!$T$15+7*(Reprogramaciones!K$14-1))+6),11))))))))</f>
        <v/>
      </c>
      <c r="BU248" s="1" t="str">
        <f aca="false">IF(OR(NOT(AND(ISNUMBER(E248),ISNUMBER(F248))),$J$2=""),"",IF(Reprogramaciones!L$13&lt;Reprogramaciones!$T$15,0,IF(Reprogramaciones!L$14&gt;10,MIN(100,SUM($G248:$P248)),MIN(100,SUMPRODUCT((COLUMN($G248:$P248)-COLUMN($G248)+1&lt;Reprogramaciones!L$14)*$G248:$P248)+N(INDEX($G248:$P248,1,Reprogramaciones!L$14))*IF(Reprogramaciones!L$13&gt;=(Reprogramaciones!$T$15+7*(Reprogramaciones!L$14-1))+6,1,IF(MAX(0,NETWORKDAYS.INTL(MAX(E248,(Reprogramaciones!$T$15+7*(Reprogramaciones!L$14-1))),MIN(F248,(Reprogramaciones!$T$15+7*(Reprogramaciones!L$14-1))+6),11))=0,0,MAX(0,NETWORKDAYS.INTL(MAX(E248,(Reprogramaciones!$T$15+7*(Reprogramaciones!L$14-1))),MIN(F248,Reprogramaciones!L$13),11))/MAX(0,NETWORKDAYS.INTL(MAX(E248,(Reprogramaciones!$T$15+7*(Reprogramaciones!L$14-1))),MIN(F248,(Reprogramaciones!$T$15+7*(Reprogramaciones!L$14-1))+6),11))))))))</f>
        <v/>
      </c>
      <c r="BV248" s="1" t="str">
        <f aca="false">IF(OR(NOT(AND(ISNUMBER(E248),ISNUMBER(F248))),$J$2=""),"",IF(Reprogramaciones!M$13&lt;Reprogramaciones!$T$15,0,IF(Reprogramaciones!M$14&gt;10,MIN(100,SUM($G248:$P248)),MIN(100,SUMPRODUCT((COLUMN($G248:$P248)-COLUMN($G248)+1&lt;Reprogramaciones!M$14)*$G248:$P248)+N(INDEX($G248:$P248,1,Reprogramaciones!M$14))*IF(Reprogramaciones!M$13&gt;=(Reprogramaciones!$T$15+7*(Reprogramaciones!M$14-1))+6,1,IF(MAX(0,NETWORKDAYS.INTL(MAX(E248,(Reprogramaciones!$T$15+7*(Reprogramaciones!M$14-1))),MIN(F248,(Reprogramaciones!$T$15+7*(Reprogramaciones!M$14-1))+6),11))=0,0,MAX(0,NETWORKDAYS.INTL(MAX(E248,(Reprogramaciones!$T$15+7*(Reprogramaciones!M$14-1))),MIN(F248,Reprogramaciones!M$13),11))/MAX(0,NETWORKDAYS.INTL(MAX(E248,(Reprogramaciones!$T$15+7*(Reprogramaciones!M$14-1))),MIN(F248,(Reprogramaciones!$T$15+7*(Reprogramaciones!M$14-1))+6),11))))))))</f>
        <v/>
      </c>
      <c r="BW248" s="1" t="str">
        <f aca="false">IF(OR(NOT(AND(ISNUMBER(E248),ISNUMBER(F248))),$J$2=""),"",IF(Reprogramaciones!N$13&lt;Reprogramaciones!$T$15,0,IF(Reprogramaciones!N$14&gt;10,MIN(100,SUM($G248:$P248)),MIN(100,SUMPRODUCT((COLUMN($G248:$P248)-COLUMN($G248)+1&lt;Reprogramaciones!N$14)*$G248:$P248)+N(INDEX($G248:$P248,1,Reprogramaciones!N$14))*IF(Reprogramaciones!N$13&gt;=(Reprogramaciones!$T$15+7*(Reprogramaciones!N$14-1))+6,1,IF(MAX(0,NETWORKDAYS.INTL(MAX(E248,(Reprogramaciones!$T$15+7*(Reprogramaciones!N$14-1))),MIN(F248,(Reprogramaciones!$T$15+7*(Reprogramaciones!N$14-1))+6),11))=0,0,MAX(0,NETWORKDAYS.INTL(MAX(E248,(Reprogramaciones!$T$15+7*(Reprogramaciones!N$14-1))),MIN(F248,Reprogramaciones!N$13),11))/MAX(0,NETWORKDAYS.INTL(MAX(E248,(Reprogramaciones!$T$15+7*(Reprogramaciones!N$14-1))),MIN(F248,(Reprogramaciones!$T$15+7*(Reprogramaciones!N$14-1))+6),11))))))))</f>
        <v/>
      </c>
      <c r="BX248" s="1" t="str">
        <f aca="false">IF(OR(NOT(AND(ISNUMBER(E248),ISNUMBER(F248))),$J$2=""),"",IF(Reprogramaciones!O$13&lt;Reprogramaciones!$T$15,0,IF(Reprogramaciones!O$14&gt;10,MIN(100,SUM($G248:$P248)),MIN(100,SUMPRODUCT((COLUMN($G248:$P248)-COLUMN($G248)+1&lt;Reprogramaciones!O$14)*$G248:$P248)+N(INDEX($G248:$P248,1,Reprogramaciones!O$14))*IF(Reprogramaciones!O$13&gt;=(Reprogramaciones!$T$15+7*(Reprogramaciones!O$14-1))+6,1,IF(MAX(0,NETWORKDAYS.INTL(MAX(E248,(Reprogramaciones!$T$15+7*(Reprogramaciones!O$14-1))),MIN(F248,(Reprogramaciones!$T$15+7*(Reprogramaciones!O$14-1))+6),11))=0,0,MAX(0,NETWORKDAYS.INTL(MAX(E248,(Reprogramaciones!$T$15+7*(Reprogramaciones!O$14-1))),MIN(F248,Reprogramaciones!O$13),11))/MAX(0,NETWORKDAYS.INTL(MAX(E248,(Reprogramaciones!$T$15+7*(Reprogramaciones!O$14-1))),MIN(F248,(Reprogramaciones!$T$15+7*(Reprogramaciones!O$14-1))+6),11))))))))</f>
        <v/>
      </c>
      <c r="BY248" s="1" t="str">
        <f aca="false">IF(OR(NOT(AND(ISNUMBER(E248),ISNUMBER(F248))),$J$2=""),"",IF(Reprogramaciones!P$13&lt;Reprogramaciones!$T$15,0,IF(Reprogramaciones!P$14&gt;10,MIN(100,SUM($G248:$P248)),MIN(100,SUMPRODUCT((COLUMN($G248:$P248)-COLUMN($G248)+1&lt;Reprogramaciones!P$14)*$G248:$P248)+N(INDEX($G248:$P248,1,Reprogramaciones!P$14))*IF(Reprogramaciones!P$13&gt;=(Reprogramaciones!$T$15+7*(Reprogramaciones!P$14-1))+6,1,IF(MAX(0,NETWORKDAYS.INTL(MAX(E248,(Reprogramaciones!$T$15+7*(Reprogramaciones!P$14-1))),MIN(F248,(Reprogramaciones!$T$15+7*(Reprogramaciones!P$14-1))+6),11))=0,0,MAX(0,NETWORKDAYS.INTL(MAX(E248,(Reprogramaciones!$T$15+7*(Reprogramaciones!P$14-1))),MIN(F248,Reprogramaciones!P$13),11))/MAX(0,NETWORKDAYS.INTL(MAX(E248,(Reprogramaciones!$T$15+7*(Reprogramaciones!P$14-1))),MIN(F248,(Reprogramaciones!$T$15+7*(Reprogramaciones!P$14-1))+6),11))))))))</f>
        <v/>
      </c>
      <c r="BZ248" s="1" t="str">
        <f aca="false">IF(OR(NOT(AND(ISNUMBER(E248),ISNUMBER(F248))),$J$2=""),"",IF(Reprogramaciones!Q$13&lt;Reprogramaciones!$T$15,0,IF(Reprogramaciones!Q$14&gt;10,MIN(100,SUM($G248:$P248)),MIN(100,SUMPRODUCT((COLUMN($G248:$P248)-COLUMN($G248)+1&lt;Reprogramaciones!Q$14)*$G248:$P248)+N(INDEX($G248:$P248,1,Reprogramaciones!Q$14))*IF(Reprogramaciones!Q$13&gt;=(Reprogramaciones!$T$15+7*(Reprogramaciones!Q$14-1))+6,1,IF(MAX(0,NETWORKDAYS.INTL(MAX(E248,(Reprogramaciones!$T$15+7*(Reprogramaciones!Q$14-1))),MIN(F248,(Reprogramaciones!$T$15+7*(Reprogramaciones!Q$14-1))+6),11))=0,0,MAX(0,NETWORKDAYS.INTL(MAX(E248,(Reprogramaciones!$T$15+7*(Reprogramaciones!Q$14-1))),MIN(F248,Reprogramaciones!Q$13),11))/MAX(0,NETWORKDAYS.INTL(MAX(E248,(Reprogramaciones!$T$15+7*(Reprogramaciones!Q$14-1))),MIN(F248,(Reprogramaciones!$T$15+7*(Reprogramaciones!Q$14-1))+6),11))))))))</f>
        <v/>
      </c>
      <c r="CA248" s="1" t="str">
        <f aca="false">IF(OR(NOT(AND(ISNUMBER(E248),ISNUMBER(F248))),$J$2=""),"",IF(Reprogramaciones!R$13&lt;Reprogramaciones!$T$15,0,IF(Reprogramaciones!R$14&gt;10,MIN(100,SUM($G248:$P248)),MIN(100,SUMPRODUCT((COLUMN($G248:$P248)-COLUMN($G248)+1&lt;Reprogramaciones!R$14)*$G248:$P248)+N(INDEX($G248:$P248,1,Reprogramaciones!R$14))*IF(Reprogramaciones!R$13&gt;=(Reprogramaciones!$T$15+7*(Reprogramaciones!R$14-1))+6,1,IF(MAX(0,NETWORKDAYS.INTL(MAX(E248,(Reprogramaciones!$T$15+7*(Reprogramaciones!R$14-1))),MIN(F248,(Reprogramaciones!$T$15+7*(Reprogramaciones!R$14-1))+6),11))=0,0,MAX(0,NETWORKDAYS.INTL(MAX(E248,(Reprogramaciones!$T$15+7*(Reprogramaciones!R$14-1))),MIN(F248,Reprogramaciones!R$13),11))/MAX(0,NETWORKDAYS.INTL(MAX(E248,(Reprogramaciones!$T$15+7*(Reprogramaciones!R$14-1))),MIN(F248,(Reprogramaciones!$T$15+7*(Reprogramaciones!R$14-1))+6),11))))))))</f>
        <v/>
      </c>
      <c r="CB248" s="1" t="str">
        <f aca="false">IF(OR(NOT(AND(ISNUMBER(E248),ISNUMBER(F248))),$J$2=""),"",IF(Reprogramaciones!S$13&lt;Reprogramaciones!$T$15,0,IF(Reprogramaciones!S$14&gt;10,MIN(100,SUM($G248:$P248)),MIN(100,SUMPRODUCT((COLUMN($G248:$P248)-COLUMN($G248)+1&lt;Reprogramaciones!S$14)*$G248:$P248)+N(INDEX($G248:$P248,1,Reprogramaciones!S$14))*IF(Reprogramaciones!S$13&gt;=(Reprogramaciones!$T$15+7*(Reprogramaciones!S$14-1))+6,1,IF(MAX(0,NETWORKDAYS.INTL(MAX(E248,(Reprogramaciones!$T$15+7*(Reprogramaciones!S$14-1))),MIN(F248,(Reprogramaciones!$T$15+7*(Reprogramaciones!S$14-1))+6),11))=0,0,MAX(0,NETWORKDAYS.INTL(MAX(E248,(Reprogramaciones!$T$15+7*(Reprogramaciones!S$14-1))),MIN(F248,Reprogramaciones!S$13),11))/MAX(0,NETWORKDAYS.INTL(MAX(E248,(Reprogramaciones!$T$15+7*(Reprogramaciones!S$14-1))),MIN(F248,(Reprogramaciones!$T$15+7*(Reprogramaciones!S$14-1))+6),11))))))))</f>
        <v/>
      </c>
      <c r="CC248" s="1" t="str">
        <f aca="false">IF(OR(NOT(AND(ISNUMBER(E248),ISNUMBER(F248))),$J$2=""),"",IF(Reprogramaciones!T$13&lt;Reprogramaciones!$T$15,0,IF(Reprogramaciones!T$14&gt;10,MIN(100,SUM($G248:$P248)),MIN(100,SUMPRODUCT((COLUMN($G248:$P248)-COLUMN($G248)+1&lt;Reprogramaciones!T$14)*$G248:$P248)+N(INDEX($G248:$P248,1,Reprogramaciones!T$14))*IF(Reprogramaciones!T$13&gt;=(Reprogramaciones!$T$15+7*(Reprogramaciones!T$14-1))+6,1,IF(MAX(0,NETWORKDAYS.INTL(MAX(E248,(Reprogramaciones!$T$15+7*(Reprogramaciones!T$14-1))),MIN(F248,(Reprogramaciones!$T$15+7*(Reprogramaciones!T$14-1))+6),11))=0,0,MAX(0,NETWORKDAYS.INTL(MAX(E248,(Reprogramaciones!$T$15+7*(Reprogramaciones!T$14-1))),MIN(F248,Reprogramaciones!T$13),11))/MAX(0,NETWORKDAYS.INTL(MAX(E248,(Reprogramaciones!$T$15+7*(Reprogramaciones!T$14-1))),MIN(F248,(Reprogramaciones!$T$15+7*(Reprogramaciones!T$14-1))+6),11))))))))</f>
        <v/>
      </c>
      <c r="CD248" s="1" t="str">
        <f aca="false">IF(OR(NOT(AND(ISNUMBER(E248),ISNUMBER(F248))),$J$2=""),"",IF(Reprogramaciones!U$13&lt;Reprogramaciones!$T$15,0,IF(Reprogramaciones!U$14&gt;10,MIN(100,SUM($G248:$P248)),MIN(100,SUMPRODUCT((COLUMN($G248:$P248)-COLUMN($G248)+1&lt;Reprogramaciones!U$14)*$G248:$P248)+N(INDEX($G248:$P248,1,Reprogramaciones!U$14))*IF(Reprogramaciones!U$13&gt;=(Reprogramaciones!$T$15+7*(Reprogramaciones!U$14-1))+6,1,IF(MAX(0,NETWORKDAYS.INTL(MAX(E248,(Reprogramaciones!$T$15+7*(Reprogramaciones!U$14-1))),MIN(F248,(Reprogramaciones!$T$15+7*(Reprogramaciones!U$14-1))+6),11))=0,0,MAX(0,NETWORKDAYS.INTL(MAX(E248,(Reprogramaciones!$T$15+7*(Reprogramaciones!U$14-1))),MIN(F248,Reprogramaciones!U$13),11))/MAX(0,NETWORKDAYS.INTL(MAX(E248,(Reprogramaciones!$T$15+7*(Reprogramaciones!U$14-1))),MIN(F248,(Reprogramaciones!$T$15+7*(Reprogramaciones!U$14-1))+6),11))))))))</f>
        <v/>
      </c>
      <c r="CE248" s="1" t="str">
        <f aca="false">IF(OR(NOT(AND(ISNUMBER(E248),ISNUMBER(F248))),$J$2=""),"",IF(Reprogramaciones!V$13&lt;Reprogramaciones!$T$15,0,IF(Reprogramaciones!V$14&gt;10,MIN(100,SUM($G248:$P248)),MIN(100,SUMPRODUCT((COLUMN($G248:$P248)-COLUMN($G248)+1&lt;Reprogramaciones!V$14)*$G248:$P248)+N(INDEX($G248:$P248,1,Reprogramaciones!V$14))*IF(Reprogramaciones!V$13&gt;=(Reprogramaciones!$T$15+7*(Reprogramaciones!V$14-1))+6,1,IF(MAX(0,NETWORKDAYS.INTL(MAX(E248,(Reprogramaciones!$T$15+7*(Reprogramaciones!V$14-1))),MIN(F248,(Reprogramaciones!$T$15+7*(Reprogramaciones!V$14-1))+6),11))=0,0,MAX(0,NETWORKDAYS.INTL(MAX(E248,(Reprogramaciones!$T$15+7*(Reprogramaciones!V$14-1))),MIN(F248,Reprogramaciones!V$13),11))/MAX(0,NETWORKDAYS.INTL(MAX(E248,(Reprogramaciones!$T$15+7*(Reprogramaciones!V$14-1))),MIN(F248,(Reprogramaciones!$T$15+7*(Reprogramaciones!V$14-1))+6),11))))))))</f>
        <v/>
      </c>
      <c r="CF248" s="1" t="str">
        <f aca="false">IF(OR(NOT(AND(ISNUMBER(E248),ISNUMBER(F248))),$J$2=""),"",IF(Reprogramaciones!W$13&lt;Reprogramaciones!$T$15,0,IF(Reprogramaciones!W$14&gt;10,MIN(100,SUM($G248:$P248)),MIN(100,SUMPRODUCT((COLUMN($G248:$P248)-COLUMN($G248)+1&lt;Reprogramaciones!W$14)*$G248:$P248)+N(INDEX($G248:$P248,1,Reprogramaciones!W$14))*IF(Reprogramaciones!W$13&gt;=(Reprogramaciones!$T$15+7*(Reprogramaciones!W$14-1))+6,1,IF(MAX(0,NETWORKDAYS.INTL(MAX(E248,(Reprogramaciones!$T$15+7*(Reprogramaciones!W$14-1))),MIN(F248,(Reprogramaciones!$T$15+7*(Reprogramaciones!W$14-1))+6),11))=0,0,MAX(0,NETWORKDAYS.INTL(MAX(E248,(Reprogramaciones!$T$15+7*(Reprogramaciones!W$14-1))),MIN(F248,Reprogramaciones!W$13),11))/MAX(0,NETWORKDAYS.INTL(MAX(E248,(Reprogramaciones!$T$15+7*(Reprogramaciones!W$14-1))),MIN(F248,(Reprogramaciones!$T$15+7*(Reprogramaciones!W$14-1))+6),11))))))))</f>
        <v/>
      </c>
      <c r="CG248" s="1" t="str">
        <f aca="false">IF(OR(NOT(AND(ISNUMBER(E248),ISNUMBER(F248))),$J$2=""),"",IF(Reprogramaciones!X$13&lt;Reprogramaciones!$T$15,0,IF(Reprogramaciones!X$14&gt;10,MIN(100,SUM($G248:$P248)),MIN(100,SUMPRODUCT((COLUMN($G248:$P248)-COLUMN($G248)+1&lt;Reprogramaciones!X$14)*$G248:$P248)+N(INDEX($G248:$P248,1,Reprogramaciones!X$14))*IF(Reprogramaciones!X$13&gt;=(Reprogramaciones!$T$15+7*(Reprogramaciones!X$14-1))+6,1,IF(MAX(0,NETWORKDAYS.INTL(MAX(E248,(Reprogramaciones!$T$15+7*(Reprogramaciones!X$14-1))),MIN(F248,(Reprogramaciones!$T$15+7*(Reprogramaciones!X$14-1))+6),11))=0,0,MAX(0,NETWORKDAYS.INTL(MAX(E248,(Reprogramaciones!$T$15+7*(Reprogramaciones!X$14-1))),MIN(F248,Reprogramaciones!X$13),11))/MAX(0,NETWORKDAYS.INTL(MAX(E248,(Reprogramaciones!$T$15+7*(Reprogramaciones!X$14-1))),MIN(F248,(Reprogramaciones!$T$15+7*(Reprogramaciones!X$14-1))+6),11))))))))</f>
        <v/>
      </c>
      <c r="CH248" s="1" t="str">
        <f aca="false">IF(OR(NOT(AND(ISNUMBER(E248),ISNUMBER(F248))),$J$2=""),"",IF(Reprogramaciones!Y$13&lt;Reprogramaciones!$T$15,0,IF(Reprogramaciones!Y$14&gt;10,MIN(100,SUM($G248:$P248)),MIN(100,SUMPRODUCT((COLUMN($G248:$P248)-COLUMN($G248)+1&lt;Reprogramaciones!Y$14)*$G248:$P248)+N(INDEX($G248:$P248,1,Reprogramaciones!Y$14))*IF(Reprogramaciones!Y$13&gt;=(Reprogramaciones!$T$15+7*(Reprogramaciones!Y$14-1))+6,1,IF(MAX(0,NETWORKDAYS.INTL(MAX(E248,(Reprogramaciones!$T$15+7*(Reprogramaciones!Y$14-1))),MIN(F248,(Reprogramaciones!$T$15+7*(Reprogramaciones!Y$14-1))+6),11))=0,0,MAX(0,NETWORKDAYS.INTL(MAX(E248,(Reprogramaciones!$T$15+7*(Reprogramaciones!Y$14-1))),MIN(F248,Reprogramaciones!Y$13),11))/MAX(0,NETWORKDAYS.INTL(MAX(E248,(Reprogramaciones!$T$15+7*(Reprogramaciones!Y$14-1))),MIN(F248,(Reprogramaciones!$T$15+7*(Reprogramaciones!Y$14-1))+6),11))))))))</f>
        <v/>
      </c>
      <c r="CI248" s="1" t="str">
        <f aca="false">IF(OR(NOT(AND(ISNUMBER(E248),ISNUMBER(F248))),$J$2=""),"",IF(Reprogramaciones!Z$13&lt;Reprogramaciones!$T$15,0,IF(Reprogramaciones!Z$14&gt;10,MIN(100,SUM($G248:$P248)),MIN(100,SUMPRODUCT((COLUMN($G248:$P248)-COLUMN($G248)+1&lt;Reprogramaciones!Z$14)*$G248:$P248)+N(INDEX($G248:$P248,1,Reprogramaciones!Z$14))*IF(Reprogramaciones!Z$13&gt;=(Reprogramaciones!$T$15+7*(Reprogramaciones!Z$14-1))+6,1,IF(MAX(0,NETWORKDAYS.INTL(MAX(E248,(Reprogramaciones!$T$15+7*(Reprogramaciones!Z$14-1))),MIN(F248,(Reprogramaciones!$T$15+7*(Reprogramaciones!Z$14-1))+6),11))=0,0,MAX(0,NETWORKDAYS.INTL(MAX(E248,(Reprogramaciones!$T$15+7*(Reprogramaciones!Z$14-1))),MIN(F248,Reprogramaciones!Z$13),11))/MAX(0,NETWORKDAYS.INTL(MAX(E248,(Reprogramaciones!$T$15+7*(Reprogramaciones!Z$14-1))),MIN(F248,(Reprogramaciones!$T$15+7*(Reprogramaciones!Z$14-1))+6),11))))))))</f>
        <v/>
      </c>
      <c r="CJ248" s="1" t="str">
        <f aca="false">IF(OR(OR(NOT(AND(ISNUMBER(E248),ISNUMBER(F248))),$J$2=""),1&gt;Reprogramaciones!$K$16),"",IF(ROUND(SUM($Q248:Q248),1)&gt;=99.5,100,MIN(100,ROUND(SUM($Q248:Q248),1))))</f>
        <v/>
      </c>
      <c r="CK248" s="1" t="str">
        <f aca="false">IF(OR(OR(NOT(AND(ISNUMBER(E248),ISNUMBER(F248))),$J$2=""),2&gt;Reprogramaciones!$K$16),"",IF(ROUND(SUM($Q248:R248),1)&gt;=99.5,100,MIN(100,ROUND(SUM($Q248:R248),1))))</f>
        <v/>
      </c>
      <c r="CL248" s="1" t="str">
        <f aca="false">IF(OR(OR(NOT(AND(ISNUMBER(E248),ISNUMBER(F248))),$J$2=""),3&gt;Reprogramaciones!$K$16),"",IF(ROUND(SUM($Q248:S248),1)&gt;=99.5,100,MIN(100,ROUND(SUM($Q248:S248),1))))</f>
        <v/>
      </c>
      <c r="CM248" s="1" t="str">
        <f aca="false">IF(OR(OR(NOT(AND(ISNUMBER(E248),ISNUMBER(F248))),$J$2=""),4&gt;Reprogramaciones!$K$16),"",IF(ROUND(SUM($Q248:T248),1)&gt;=99.5,100,MIN(100,ROUND(SUM($Q248:T248),1))))</f>
        <v/>
      </c>
      <c r="CN248" s="1" t="str">
        <f aca="false">IF(OR(OR(NOT(AND(ISNUMBER(E248),ISNUMBER(F248))),$J$2=""),5&gt;Reprogramaciones!$K$16),"",IF(ROUND(SUM($Q248:U248),1)&gt;=99.5,100,MIN(100,ROUND(SUM($Q248:U248),1))))</f>
        <v/>
      </c>
      <c r="CO248" s="1" t="str">
        <f aca="false">IF(OR(OR(NOT(AND(ISNUMBER(E248),ISNUMBER(F248))),$J$2=""),6&gt;Reprogramaciones!$K$16),"",IF(ROUND(SUM($Q248:V248),1)&gt;=99.5,100,MIN(100,ROUND(SUM($Q248:V248),1))))</f>
        <v/>
      </c>
      <c r="CP248" s="1" t="str">
        <f aca="false">IF(OR(OR(NOT(AND(ISNUMBER(E248),ISNUMBER(F248))),$J$2=""),7&gt;Reprogramaciones!$K$16),"",IF(ROUND(SUM($Q248:W248),1)&gt;=99.5,100,MIN(100,ROUND(SUM($Q248:W248),1))))</f>
        <v/>
      </c>
      <c r="CQ248" s="1" t="str">
        <f aca="false">IF(OR(OR(NOT(AND(ISNUMBER(E248),ISNUMBER(F248))),$J$2=""),8&gt;Reprogramaciones!$K$16),"",IF(ROUND(SUM($Q248:X248),1)&gt;=99.5,100,MIN(100,ROUND(SUM($Q248:X248),1))))</f>
        <v/>
      </c>
      <c r="CR248" s="1" t="str">
        <f aca="false">IF(OR(OR(NOT(AND(ISNUMBER(E248),ISNUMBER(F248))),$J$2=""),9&gt;Reprogramaciones!$K$16),"",IF(ROUND(SUM($Q248:Y248),1)&gt;=99.5,100,MIN(100,ROUND(SUM($Q248:Y248),1))))</f>
        <v/>
      </c>
      <c r="CS248" s="1" t="str">
        <f aca="false">IF(OR(OR(NOT(AND(ISNUMBER(E248),ISNUMBER(F248))),$J$2=""),10&gt;Reprogramaciones!$K$16),"",IF(ROUND(SUM($Q248:Z248),1)&gt;=99.5,100,MIN(100,ROUND(SUM($Q248:Z248),1))))</f>
        <v/>
      </c>
      <c r="CT248" s="1" t="str">
        <f aca="false">IF(OR(OR(NOT(AND(ISNUMBER(E248),ISNUMBER(F248))),$J$2=""),11&gt;Reprogramaciones!$K$16),"",IF(ROUND(SUM($Q248:AA248),1)&gt;=99.5,100,MIN(100,ROUND(SUM($Q248:AA248),1))))</f>
        <v/>
      </c>
      <c r="CU248" s="1" t="str">
        <f aca="false">IF(OR(OR(NOT(AND(ISNUMBER(E248),ISNUMBER(F248))),$J$2=""),12&gt;Reprogramaciones!$K$16),"",IF(ROUND(SUM($Q248:AB248),1)&gt;=99.5,100,MIN(100,ROUND(SUM($Q248:AB248),1))))</f>
        <v/>
      </c>
      <c r="CV248" s="1" t="str">
        <f aca="false">IF(OR(OR(NOT(AND(ISNUMBER(E248),ISNUMBER(F248))),$J$2=""),13&gt;Reprogramaciones!$K$16),"",IF(ROUND(SUM($Q248:AC248),1)&gt;=99.5,100,MIN(100,ROUND(SUM($Q248:AC248),1))))</f>
        <v/>
      </c>
      <c r="CW248" s="1" t="str">
        <f aca="false">IF(OR(OR(NOT(AND(ISNUMBER(E248),ISNUMBER(F248))),$J$2=""),14&gt;Reprogramaciones!$K$16),"",IF(ROUND(SUM($Q248:AD248),1)&gt;=99.5,100,MIN(100,ROUND(SUM($Q248:AD248),1))))</f>
        <v/>
      </c>
      <c r="CX248" s="1" t="str">
        <f aca="false">IF(OR(OR(NOT(AND(ISNUMBER(E248),ISNUMBER(F248))),$J$2=""),15&gt;Reprogramaciones!$K$16),"",IF(ROUND(SUM($Q248:AE248),1)&gt;=99.5,100,MIN(100,ROUND(SUM($Q248:AE248),1))))</f>
        <v/>
      </c>
      <c r="CY248" s="1" t="str">
        <f aca="false">IF(OR(OR(NOT(AND(ISNUMBER(E248),ISNUMBER(F248))),$J$2=""),16&gt;Reprogramaciones!$K$16),"",IF(ROUND(SUM($Q248:AF248),1)&gt;=99.5,100,MIN(100,ROUND(SUM($Q248:AF248),1))))</f>
        <v/>
      </c>
      <c r="CZ248" s="1" t="str">
        <f aca="false">IF(D248&lt;&gt;"",D248,IF(B248&lt;&gt;"","Contractual",CZ247))</f>
        <v>Contractual</v>
      </c>
      <c r="DA248" s="1" t="str">
        <f aca="false">IF(OR(NOT(AND(ISNUMBER(E248),ISNUMBER(F248))),$J$2=""),"",IF(Reprogramaciones!$Q$15&lt;Reprogramaciones!$T$15,0,IF(Reprogramaciones!$S$15&gt;10,MIN(100,SUM($G248:$P248)),MIN(100,SUMPRODUCT((COLUMN($G248:$P248)-COLUMN($G248)+1&lt;Reprogramaciones!$S$15)*$G248:$P248)+N(INDEX($G248:$P248,1,Reprogramaciones!$S$15))*IF(Reprogramaciones!$Q$15&gt;=(Reprogramaciones!$T$15+7*(Reprogramaciones!$S$15-1))+6,1,IF(MAX(0,NETWORKDAYS.INTL(MAX(E248,(Reprogramaciones!$T$15+7*(Reprogramaciones!$S$15-1))),MIN(F248,(Reprogramaciones!$T$15+7*(Reprogramaciones!$S$15-1))+6),11))=0,0,MAX(0,NETWORKDAYS.INTL(MAX(E248,(Reprogramaciones!$T$15+7*(Reprogramaciones!$S$15-1))),MIN(F248,Reprogramaciones!$Q$15),11))/MAX(0,NETWORKDAYS.INTL(MAX(E248,(Reprogramaciones!$T$15+7*(Reprogramaciones!$S$15-1))),MIN(F248,(Reprogramaciones!$T$15+7*(Reprogramaciones!$S$15-1))+6),11))))))))</f>
        <v/>
      </c>
    </row>
    <row r="249" customFormat="false" ht="15" hidden="false" customHeight="false" outlineLevel="0" collapsed="false">
      <c r="A249" s="32"/>
      <c r="B249" s="33"/>
      <c r="C249" s="33"/>
      <c r="D249" s="34"/>
      <c r="E249" s="35"/>
      <c r="F249" s="35"/>
      <c r="G249" s="36" t="str">
        <f aca="false">IF(OR(NOT(AND(ISNUMBER(E249),ISNUMBER(F249))),$J$2=""),"",IF(Reprogramaciones!K$9&lt;E249,0,IF(NETWORKDAYS.INTL(E249,F249,11)=0,IF(Reprogramaciones!K$9&gt;=F249,100,0),ROUND(NETWORKDAYS.INTL(E249,MIN(F249,Reprogramaciones!K$9),11)/NETWORKDAYS.INTL(E249,F249,11)*100,1)))-0)</f>
        <v/>
      </c>
      <c r="H249" s="36" t="str">
        <f aca="false">IF(OR(NOT(AND(ISNUMBER(E249),ISNUMBER(F249))),$J$2=""),"",IF(Reprogramaciones!L$9&lt;E249,0,IF(NETWORKDAYS.INTL(E249,F249,11)=0,IF(Reprogramaciones!L$9&gt;=F249,100,0),ROUND(NETWORKDAYS.INTL(E249,MIN(F249,Reprogramaciones!L$9),11)/NETWORKDAYS.INTL(E249,F249,11)*100,1)))-IF(Reprogramaciones!K$9&lt;E249,0,IF(NETWORKDAYS.INTL(E249,F249,11)=0,IF(Reprogramaciones!K$9&gt;=F249,100,0),ROUND(NETWORKDAYS.INTL(E249,MIN(F249,Reprogramaciones!K$9),11)/NETWORKDAYS.INTL(E249,F249,11)*100,1))))</f>
        <v/>
      </c>
      <c r="I249" s="36" t="str">
        <f aca="false">IF(OR(NOT(AND(ISNUMBER(E249),ISNUMBER(F249))),$J$2=""),"",IF(Reprogramaciones!M$9&lt;E249,0,IF(NETWORKDAYS.INTL(E249,F249,11)=0,IF(Reprogramaciones!M$9&gt;=F249,100,0),ROUND(NETWORKDAYS.INTL(E249,MIN(F249,Reprogramaciones!M$9),11)/NETWORKDAYS.INTL(E249,F249,11)*100,1)))-IF(Reprogramaciones!L$9&lt;E249,0,IF(NETWORKDAYS.INTL(E249,F249,11)=0,IF(Reprogramaciones!L$9&gt;=F249,100,0),ROUND(NETWORKDAYS.INTL(E249,MIN(F249,Reprogramaciones!L$9),11)/NETWORKDAYS.INTL(E249,F249,11)*100,1))))</f>
        <v/>
      </c>
      <c r="J249" s="36" t="str">
        <f aca="false">IF(OR(NOT(AND(ISNUMBER(E249),ISNUMBER(F249))),$J$2=""),"",IF(Reprogramaciones!N$9&lt;E249,0,IF(NETWORKDAYS.INTL(E249,F249,11)=0,IF(Reprogramaciones!N$9&gt;=F249,100,0),ROUND(NETWORKDAYS.INTL(E249,MIN(F249,Reprogramaciones!N$9),11)/NETWORKDAYS.INTL(E249,F249,11)*100,1)))-IF(Reprogramaciones!M$9&lt;E249,0,IF(NETWORKDAYS.INTL(E249,F249,11)=0,IF(Reprogramaciones!M$9&gt;=F249,100,0),ROUND(NETWORKDAYS.INTL(E249,MIN(F249,Reprogramaciones!M$9),11)/NETWORKDAYS.INTL(E249,F249,11)*100,1))))</f>
        <v/>
      </c>
      <c r="K249" s="36" t="str">
        <f aca="false">IF(OR(NOT(AND(ISNUMBER(E249),ISNUMBER(F249))),$J$2=""),"",IF(Reprogramaciones!O$9&lt;E249,0,IF(NETWORKDAYS.INTL(E249,F249,11)=0,IF(Reprogramaciones!O$9&gt;=F249,100,0),ROUND(NETWORKDAYS.INTL(E249,MIN(F249,Reprogramaciones!O$9),11)/NETWORKDAYS.INTL(E249,F249,11)*100,1)))-IF(Reprogramaciones!N$9&lt;E249,0,IF(NETWORKDAYS.INTL(E249,F249,11)=0,IF(Reprogramaciones!N$9&gt;=F249,100,0),ROUND(NETWORKDAYS.INTL(E249,MIN(F249,Reprogramaciones!N$9),11)/NETWORKDAYS.INTL(E249,F249,11)*100,1))))</f>
        <v/>
      </c>
      <c r="L249" s="36" t="str">
        <f aca="false">IF(OR(NOT(AND(ISNUMBER(E249),ISNUMBER(F249))),$J$2=""),"",IF(Reprogramaciones!P$9&lt;E249,0,IF(NETWORKDAYS.INTL(E249,F249,11)=0,IF(Reprogramaciones!P$9&gt;=F249,100,0),ROUND(NETWORKDAYS.INTL(E249,MIN(F249,Reprogramaciones!P$9),11)/NETWORKDAYS.INTL(E249,F249,11)*100,1)))-IF(Reprogramaciones!O$9&lt;E249,0,IF(NETWORKDAYS.INTL(E249,F249,11)=0,IF(Reprogramaciones!O$9&gt;=F249,100,0),ROUND(NETWORKDAYS.INTL(E249,MIN(F249,Reprogramaciones!O$9),11)/NETWORKDAYS.INTL(E249,F249,11)*100,1))))</f>
        <v/>
      </c>
      <c r="M249" s="36" t="str">
        <f aca="false">IF(OR(NOT(AND(ISNUMBER(E249),ISNUMBER(F249))),$J$2=""),"",IF(Reprogramaciones!Q$9&lt;E249,0,IF(NETWORKDAYS.INTL(E249,F249,11)=0,IF(Reprogramaciones!Q$9&gt;=F249,100,0),ROUND(NETWORKDAYS.INTL(E249,MIN(F249,Reprogramaciones!Q$9),11)/NETWORKDAYS.INTL(E249,F249,11)*100,1)))-IF(Reprogramaciones!P$9&lt;E249,0,IF(NETWORKDAYS.INTL(E249,F249,11)=0,IF(Reprogramaciones!P$9&gt;=F249,100,0),ROUND(NETWORKDAYS.INTL(E249,MIN(F249,Reprogramaciones!P$9),11)/NETWORKDAYS.INTL(E249,F249,11)*100,1))))</f>
        <v/>
      </c>
      <c r="N249" s="36" t="str">
        <f aca="false">IF(OR(NOT(AND(ISNUMBER(E249),ISNUMBER(F249))),$J$2=""),"",IF(Reprogramaciones!R$9&lt;E249,0,IF(NETWORKDAYS.INTL(E249,F249,11)=0,IF(Reprogramaciones!R$9&gt;=F249,100,0),ROUND(NETWORKDAYS.INTL(E249,MIN(F249,Reprogramaciones!R$9),11)/NETWORKDAYS.INTL(E249,F249,11)*100,1)))-IF(Reprogramaciones!Q$9&lt;E249,0,IF(NETWORKDAYS.INTL(E249,F249,11)=0,IF(Reprogramaciones!Q$9&gt;=F249,100,0),ROUND(NETWORKDAYS.INTL(E249,MIN(F249,Reprogramaciones!Q$9),11)/NETWORKDAYS.INTL(E249,F249,11)*100,1))))</f>
        <v/>
      </c>
      <c r="O249" s="36" t="str">
        <f aca="false">IF(OR(NOT(AND(ISNUMBER(E249),ISNUMBER(F249))),$J$2=""),"",IF(Reprogramaciones!S$9&lt;E249,0,IF(NETWORKDAYS.INTL(E249,F249,11)=0,IF(Reprogramaciones!S$9&gt;=F249,100,0),ROUND(NETWORKDAYS.INTL(E249,MIN(F249,Reprogramaciones!S$9),11)/NETWORKDAYS.INTL(E249,F249,11)*100,1)))-IF(Reprogramaciones!R$9&lt;E249,0,IF(NETWORKDAYS.INTL(E249,F249,11)=0,IF(Reprogramaciones!R$9&gt;=F249,100,0),ROUND(NETWORKDAYS.INTL(E249,MIN(F249,Reprogramaciones!R$9),11)/NETWORKDAYS.INTL(E249,F249,11)*100,1))))</f>
        <v/>
      </c>
      <c r="P249" s="36" t="str">
        <f aca="false">IF(OR(NOT(AND(ISNUMBER(E249),ISNUMBER(F249))),$J$2=""),"",IF(Reprogramaciones!T$9&lt;E249,0,IF(NETWORKDAYS.INTL(E249,F249,11)=0,IF(Reprogramaciones!T$9&gt;=F249,100,0),ROUND(NETWORKDAYS.INTL(E249,MIN(F249,Reprogramaciones!T$9),11)/NETWORKDAYS.INTL(E249,F249,11)*100,1)))-IF(Reprogramaciones!S$9&lt;E249,0,IF(NETWORKDAYS.INTL(E249,F249,11)=0,IF(Reprogramaciones!S$9&gt;=F249,100,0),ROUND(NETWORKDAYS.INTL(E249,MIN(F249,Reprogramaciones!S$9),11)/NETWORKDAYS.INTL(E249,F249,11)*100,1))))</f>
        <v/>
      </c>
      <c r="Q249" s="37"/>
      <c r="R249" s="37"/>
      <c r="S249" s="37"/>
      <c r="T249" s="37"/>
      <c r="U249" s="37"/>
      <c r="V249" s="37"/>
      <c r="W249" s="37"/>
      <c r="X249" s="37"/>
      <c r="Y249" s="37"/>
      <c r="Z249" s="37"/>
      <c r="AA249" s="37"/>
      <c r="AB249" s="37"/>
      <c r="AC249" s="37"/>
      <c r="AD249" s="37"/>
      <c r="AE249" s="37"/>
      <c r="AF249" s="37"/>
      <c r="AG249" s="38" t="str">
        <f aca="false">IF(AND(ISNUMBER(E249),ISNUMBER(F249)),NETWORKDAYS.INTL(E249,F249,11),"")</f>
        <v/>
      </c>
      <c r="AH249" s="38" t="str">
        <f aca="false">IF(OR(NOT(AND(ISNUMBER(E249),ISNUMBER(F249))),$J$2=""),"",IF(Reprogramaciones!$P$15&lt;Reprogramaciones!$T$15,0,IF(Reprogramaciones!$R$15&gt;10,MIN(100,SUM($G249:$P249)),MIN(100,SUMPRODUCT((COLUMN($G249:$P249)-COLUMN($G249)+1&lt;Reprogramaciones!$R$15)*$G249:$P249)+N(INDEX($G249:$P249,1,Reprogramaciones!$R$15))*IF(Reprogramaciones!$P$15&gt;=(Reprogramaciones!$T$15+7*(Reprogramaciones!$R$15-1))+6,1,IF(MAX(0,NETWORKDAYS.INTL(MAX(E249,(Reprogramaciones!$T$15+7*(Reprogramaciones!$R$15-1))),MIN(F249,(Reprogramaciones!$T$15+7*(Reprogramaciones!$R$15-1))+6),11))=0,0,MAX(0,NETWORKDAYS.INTL(MAX(E249,(Reprogramaciones!$T$15+7*(Reprogramaciones!$R$15-1))),MIN(F249,Reprogramaciones!$P$15),11))/MAX(0,NETWORKDAYS.INTL(MAX(E249,(Reprogramaciones!$T$15+7*(Reprogramaciones!$R$15-1))),MIN(F249,(Reprogramaciones!$T$15+7*(Reprogramaciones!$R$15-1))+6),11))))))))</f>
        <v/>
      </c>
      <c r="AI249" s="38" t="str">
        <f aca="false">IF(COUNT($Q249:$AF249)=0,"",IF(ROUND(SUM($Q249:$AF249),1)&gt;=99.5,100,MIN(100,ROUND(SUM($Q249:$AF249),1))))</f>
        <v/>
      </c>
      <c r="AJ249" s="38" t="str">
        <f aca="false">IF(OR(AH249="",AI249=""),"",AI249-AH249)</f>
        <v/>
      </c>
      <c r="AK249" s="39" t="str">
        <f aca="true">IF(AH249="","",IF(OR(Ficha!$C$10="Suspendida",Ficha!$C$10="Cancelada"),Ficha!$C$10,IF(AND(AI249&lt;&gt;"",N(AI249)&gt;=100),"Completada",IF(AND(E249&gt;TODAY(),N(AI249)=0),"Por iniciar",IF(N(AI249)+0.5&lt;AH249,"Retrasada",IF(N(AI249)+0.5&lt;DA249,IF(Reprogramaciones!$K$15&gt;0,"Al día · Sem "&amp;Reprogramaciones!$K$15&amp;" en curso","Al día · en curso"),"A tiempo"))))))</f>
        <v/>
      </c>
      <c r="AL249" s="39" t="str">
        <f aca="true">IF(AND(A249="",AND(B249="",C249="",E249="",F249="",COUNT(Q249:AF249)=0)),"",IF(AND(B249="",C249="",E249="",F249="",COUNT(Q249:AF249)=0),"Falta la partida o subpartida",IF(AND(A249&lt;&gt;"",COUNTIF($A$6:$A$305,A249)&gt;1),"Ítem repetido",IF(AND(C249="",E249="",F249="",COUNT(Q249:AF249)=0),"Título de partida",IF(OR(E249="",F249=""),"Faltan fechas",IF(OR(ISTEXT(E249),ISTEXT(F249)),"Fecha escrita como texto: usa dd/mm/aaaa",IF(F249&lt;E249,"Fin antes del inicio",IF(IF($J$2="",FALSE(),OR(E249&lt;$J$2,F249&gt;Reprogramaciones!$T$15+69)),"Fuera de las 10 semanas",IF(ABS(SUM(G249:P249)-100)&gt;0.5,"La meta no suma 100%",IF(ROUND(SUM(Q249:AF249),1)&gt;100.5,"El avance pasa de 100%",IF(MIN(Q249:AF249)&lt;0,"Avance negativo",IF(COUNTA(Q249:AF249)&gt;COUNT(Q249:AF249),"Avance escrito como texto",IF(SUMPRODUCT((Q249:AF249&gt;0)*(Q249:AF249&lt;1))&gt;0,"Avance menor a 1: escribe 50, no 50%",IF(SUMPRODUCT(ISNUMBER(Q249:AF249)*(Reprogramaciones!$K$8:$Z$8&gt;TODAY()))&gt;0,"Avance en semana que aún no llega",IF(AND(N(Reprogramaciones!$E$21)&gt;0,F249&gt;Reprogramaciones!$E$21),"Pasa el fin de la obra: registra una reprogramación",IF(AND(N(Reprogramaciones!$E$21)&gt;0,SUMPRODUCT(ISNUMBER(Q249:AF249)*(Reprogramaciones!$K$8:$Z$8&gt;Reprogramaciones!$E$21))&gt;0),"Avance después del fin de la obra: registra una reprogramación por atraso","OK"))))))))))))))))</f>
        <v/>
      </c>
      <c r="AM249" s="40" t="str">
        <f aca="false">IF(OR(OR(NOT(AND(ISNUMBER(E249),ISNUMBER(F249))),$J$2=""),1&gt;MAX(1,Reprogramaciones!$U$15)),"",IF(Reprogramaciones!K$12&gt;=7,"",IF(OR(BT249-N(0)&gt;0.05,N(Q249)&gt;0),ROUNDDOWN(ROUND(BT249,6),0)&amp;"%"&amp;IF(CJ249="",""," / "&amp;CJ249&amp;"%"),IF(AND(N(0)&gt;=99.95,CJ249&lt;&gt;"",N(CJ249)&lt;100),"Pend. "&amp;CJ249&amp;"%",""))))</f>
        <v/>
      </c>
      <c r="AN249" s="40" t="str">
        <f aca="false">IF(OR(OR(NOT(AND(ISNUMBER(E249),ISNUMBER(F249))),$J$2=""),2&gt;MAX(1,Reprogramaciones!$U$15)),"",IF(Reprogramaciones!L$12&gt;=7,"",IF(OR(BU249-N(BT249)&gt;0.05,N(R249)&gt;0),ROUNDDOWN(ROUND(BU249,6),0)&amp;"%"&amp;IF(CK249="",""," / "&amp;CK249&amp;"%"),IF(AND(N(BT249)&gt;=99.95,CK249&lt;&gt;"",N(CK249)&lt;100),"Pend. "&amp;CK249&amp;"%",""))))</f>
        <v/>
      </c>
      <c r="AO249" s="40" t="str">
        <f aca="false">IF(OR(OR(NOT(AND(ISNUMBER(E249),ISNUMBER(F249))),$J$2=""),3&gt;MAX(1,Reprogramaciones!$U$15)),"",IF(Reprogramaciones!M$12&gt;=7,"",IF(OR(BV249-N(BU249)&gt;0.05,N(S249)&gt;0),ROUNDDOWN(ROUND(BV249,6),0)&amp;"%"&amp;IF(CL249="",""," / "&amp;CL249&amp;"%"),IF(AND(N(BU249)&gt;=99.95,CL249&lt;&gt;"",N(CL249)&lt;100),"Pend. "&amp;CL249&amp;"%",""))))</f>
        <v/>
      </c>
      <c r="AP249" s="40" t="str">
        <f aca="false">IF(OR(OR(NOT(AND(ISNUMBER(E249),ISNUMBER(F249))),$J$2=""),4&gt;MAX(1,Reprogramaciones!$U$15)),"",IF(Reprogramaciones!N$12&gt;=7,"",IF(OR(BW249-N(BV249)&gt;0.05,N(T249)&gt;0),ROUNDDOWN(ROUND(BW249,6),0)&amp;"%"&amp;IF(CM249="",""," / "&amp;CM249&amp;"%"),IF(AND(N(BV249)&gt;=99.95,CM249&lt;&gt;"",N(CM249)&lt;100),"Pend. "&amp;CM249&amp;"%",""))))</f>
        <v/>
      </c>
      <c r="AQ249" s="40" t="str">
        <f aca="false">IF(OR(OR(NOT(AND(ISNUMBER(E249),ISNUMBER(F249))),$J$2=""),5&gt;MAX(1,Reprogramaciones!$U$15)),"",IF(Reprogramaciones!O$12&gt;=7,"",IF(OR(BX249-N(BW249)&gt;0.05,N(U249)&gt;0),ROUNDDOWN(ROUND(BX249,6),0)&amp;"%"&amp;IF(CN249="",""," / "&amp;CN249&amp;"%"),IF(AND(N(BW249)&gt;=99.95,CN249&lt;&gt;"",N(CN249)&lt;100),"Pend. "&amp;CN249&amp;"%",""))))</f>
        <v/>
      </c>
      <c r="AR249" s="40" t="str">
        <f aca="false">IF(OR(OR(NOT(AND(ISNUMBER(E249),ISNUMBER(F249))),$J$2=""),6&gt;MAX(1,Reprogramaciones!$U$15)),"",IF(Reprogramaciones!P$12&gt;=7,"",IF(OR(BY249-N(BX249)&gt;0.05,N(V249)&gt;0),ROUNDDOWN(ROUND(BY249,6),0)&amp;"%"&amp;IF(CO249="",""," / "&amp;CO249&amp;"%"),IF(AND(N(BX249)&gt;=99.95,CO249&lt;&gt;"",N(CO249)&lt;100),"Pend. "&amp;CO249&amp;"%",""))))</f>
        <v/>
      </c>
      <c r="AS249" s="40" t="str">
        <f aca="false">IF(OR(OR(NOT(AND(ISNUMBER(E249),ISNUMBER(F249))),$J$2=""),7&gt;MAX(1,Reprogramaciones!$U$15)),"",IF(Reprogramaciones!Q$12&gt;=7,"",IF(OR(BZ249-N(BY249)&gt;0.05,N(W249)&gt;0),ROUNDDOWN(ROUND(BZ249,6),0)&amp;"%"&amp;IF(CP249="",""," / "&amp;CP249&amp;"%"),IF(AND(N(BY249)&gt;=99.95,CP249&lt;&gt;"",N(CP249)&lt;100),"Pend. "&amp;CP249&amp;"%",""))))</f>
        <v/>
      </c>
      <c r="AT249" s="40" t="str">
        <f aca="false">IF(OR(OR(NOT(AND(ISNUMBER(E249),ISNUMBER(F249))),$J$2=""),8&gt;MAX(1,Reprogramaciones!$U$15)),"",IF(Reprogramaciones!R$12&gt;=7,"",IF(OR(CA249-N(BZ249)&gt;0.05,N(X249)&gt;0),ROUNDDOWN(ROUND(CA249,6),0)&amp;"%"&amp;IF(CQ249="",""," / "&amp;CQ249&amp;"%"),IF(AND(N(BZ249)&gt;=99.95,CQ249&lt;&gt;"",N(CQ249)&lt;100),"Pend. "&amp;CQ249&amp;"%",""))))</f>
        <v/>
      </c>
      <c r="AU249" s="40" t="str">
        <f aca="false">IF(OR(OR(NOT(AND(ISNUMBER(E249),ISNUMBER(F249))),$J$2=""),9&gt;MAX(1,Reprogramaciones!$U$15)),"",IF(Reprogramaciones!S$12&gt;=7,"",IF(OR(CB249-N(CA249)&gt;0.05,N(Y249)&gt;0),ROUNDDOWN(ROUND(CB249,6),0)&amp;"%"&amp;IF(CR249="",""," / "&amp;CR249&amp;"%"),IF(AND(N(CA249)&gt;=99.95,CR249&lt;&gt;"",N(CR249)&lt;100),"Pend. "&amp;CR249&amp;"%",""))))</f>
        <v/>
      </c>
      <c r="AV249" s="40" t="str">
        <f aca="false">IF(OR(OR(NOT(AND(ISNUMBER(E249),ISNUMBER(F249))),$J$2=""),10&gt;MAX(1,Reprogramaciones!$U$15)),"",IF(Reprogramaciones!T$12&gt;=7,"",IF(OR(CC249-N(CB249)&gt;0.05,N(Z249)&gt;0),ROUNDDOWN(ROUND(CC249,6),0)&amp;"%"&amp;IF(CS249="",""," / "&amp;CS249&amp;"%"),IF(AND(N(CB249)&gt;=99.95,CS249&lt;&gt;"",N(CS249)&lt;100),"Pend. "&amp;CS249&amp;"%",""))))</f>
        <v/>
      </c>
      <c r="AW249" s="40" t="str">
        <f aca="false">IF(OR(OR(NOT(AND(ISNUMBER(E249),ISNUMBER(F249))),$J$2=""),11&gt;MAX(1,Reprogramaciones!$U$15)),"",IF(Reprogramaciones!U$12&gt;=7,"",IF(OR(CD249-N(CC249)&gt;0.05,N(AA249)&gt;0),ROUNDDOWN(ROUND(CD249,6),0)&amp;"%"&amp;IF(CT249="",""," / "&amp;CT249&amp;"%"),IF(AND(N(CC249)&gt;=99.95,CT249&lt;&gt;"",N(CT249)&lt;100),"Pend. "&amp;CT249&amp;"%",""))))</f>
        <v/>
      </c>
      <c r="AX249" s="40" t="str">
        <f aca="false">IF(OR(OR(NOT(AND(ISNUMBER(E249),ISNUMBER(F249))),$J$2=""),12&gt;MAX(1,Reprogramaciones!$U$15)),"",IF(Reprogramaciones!V$12&gt;=7,"",IF(OR(CE249-N(CD249)&gt;0.05,N(AB249)&gt;0),ROUNDDOWN(ROUND(CE249,6),0)&amp;"%"&amp;IF(CU249="",""," / "&amp;CU249&amp;"%"),IF(AND(N(CD249)&gt;=99.95,CU249&lt;&gt;"",N(CU249)&lt;100),"Pend. "&amp;CU249&amp;"%",""))))</f>
        <v/>
      </c>
      <c r="AY249" s="40" t="str">
        <f aca="false">IF(OR(OR(NOT(AND(ISNUMBER(E249),ISNUMBER(F249))),$J$2=""),13&gt;MAX(1,Reprogramaciones!$U$15)),"",IF(Reprogramaciones!W$12&gt;=7,"",IF(OR(CF249-N(CE249)&gt;0.05,N(AC249)&gt;0),ROUNDDOWN(ROUND(CF249,6),0)&amp;"%"&amp;IF(CV249="",""," / "&amp;CV249&amp;"%"),IF(AND(N(CE249)&gt;=99.95,CV249&lt;&gt;"",N(CV249)&lt;100),"Pend. "&amp;CV249&amp;"%",""))))</f>
        <v/>
      </c>
      <c r="AZ249" s="40" t="str">
        <f aca="false">IF(OR(OR(NOT(AND(ISNUMBER(E249),ISNUMBER(F249))),$J$2=""),14&gt;MAX(1,Reprogramaciones!$U$15)),"",IF(Reprogramaciones!X$12&gt;=7,"",IF(OR(CG249-N(CF249)&gt;0.05,N(AD249)&gt;0),ROUNDDOWN(ROUND(CG249,6),0)&amp;"%"&amp;IF(CW249="",""," / "&amp;CW249&amp;"%"),IF(AND(N(CF249)&gt;=99.95,CW249&lt;&gt;"",N(CW249)&lt;100),"Pend. "&amp;CW249&amp;"%",""))))</f>
        <v/>
      </c>
      <c r="BA249" s="40" t="str">
        <f aca="false">IF(OR(OR(NOT(AND(ISNUMBER(E249),ISNUMBER(F249))),$J$2=""),15&gt;MAX(1,Reprogramaciones!$U$15)),"",IF(Reprogramaciones!Y$12&gt;=7,"",IF(OR(CH249-N(CG249)&gt;0.05,N(AE249)&gt;0),ROUNDDOWN(ROUND(CH249,6),0)&amp;"%"&amp;IF(CX249="",""," / "&amp;CX249&amp;"%"),IF(AND(N(CG249)&gt;=99.95,CX249&lt;&gt;"",N(CX249)&lt;100),"Pend. "&amp;CX249&amp;"%",""))))</f>
        <v/>
      </c>
      <c r="BB249" s="40" t="str">
        <f aca="false">IF(OR(OR(NOT(AND(ISNUMBER(E249),ISNUMBER(F249))),$J$2=""),16&gt;MAX(1,Reprogramaciones!$U$15)),"",IF(Reprogramaciones!Z$12&gt;=7,"",IF(OR(CI249-N(CH249)&gt;0.05,N(AF249)&gt;0),ROUNDDOWN(ROUND(CI249,6),0)&amp;"%"&amp;IF(CY249="",""," / "&amp;CY249&amp;"%"),IF(AND(N(CH249)&gt;=99.95,CY249&lt;&gt;"",N(CY249)&lt;100),"Pend. "&amp;CY249&amp;"%",""))))</f>
        <v/>
      </c>
      <c r="BC249" s="31" t="n">
        <f aca="false">IF(AND(ISNUMBER(E249),ISNUMBER(F249)),MAX(1,NETWORKDAYS.INTL(E249,F249,11)),0)</f>
        <v>0</v>
      </c>
      <c r="BD249" s="1" t="str">
        <f aca="false">IF(OR(NOT(AND(ISNUMBER(E249),ISNUMBER(F249))),$J$2=""),"",MIN(100,ROUND(SUM($G249:G249),1)))</f>
        <v/>
      </c>
      <c r="BE249" s="1" t="str">
        <f aca="false">IF(OR(NOT(AND(ISNUMBER(E249),ISNUMBER(F249))),$J$2=""),"",MIN(100,ROUND(SUM($G249:H249),1)))</f>
        <v/>
      </c>
      <c r="BF249" s="1" t="str">
        <f aca="false">IF(OR(NOT(AND(ISNUMBER(E249),ISNUMBER(F249))),$J$2=""),"",MIN(100,ROUND(SUM($G249:I249),1)))</f>
        <v/>
      </c>
      <c r="BG249" s="1" t="str">
        <f aca="false">IF(OR(NOT(AND(ISNUMBER(E249),ISNUMBER(F249))),$J$2=""),"",MIN(100,ROUND(SUM($G249:J249),1)))</f>
        <v/>
      </c>
      <c r="BH249" s="1" t="str">
        <f aca="false">IF(OR(NOT(AND(ISNUMBER(E249),ISNUMBER(F249))),$J$2=""),"",MIN(100,ROUND(SUM($G249:K249),1)))</f>
        <v/>
      </c>
      <c r="BI249" s="1" t="str">
        <f aca="false">IF(OR(NOT(AND(ISNUMBER(E249),ISNUMBER(F249))),$J$2=""),"",MIN(100,ROUND(SUM($G249:L249),1)))</f>
        <v/>
      </c>
      <c r="BJ249" s="1" t="str">
        <f aca="false">IF(OR(NOT(AND(ISNUMBER(E249),ISNUMBER(F249))),$J$2=""),"",MIN(100,ROUND(SUM($G249:M249),1)))</f>
        <v/>
      </c>
      <c r="BK249" s="1" t="str">
        <f aca="false">IF(OR(NOT(AND(ISNUMBER(E249),ISNUMBER(F249))),$J$2=""),"",MIN(100,ROUND(SUM($G249:N249),1)))</f>
        <v/>
      </c>
      <c r="BL249" s="1" t="str">
        <f aca="false">IF(OR(NOT(AND(ISNUMBER(E249),ISNUMBER(F249))),$J$2=""),"",MIN(100,ROUND(SUM($G249:O249),1)))</f>
        <v/>
      </c>
      <c r="BM249" s="1" t="str">
        <f aca="false">IF(OR(NOT(AND(ISNUMBER(E249),ISNUMBER(F249))),$J$2=""),"",MIN(100,ROUND(SUM($G249:P249),1)))</f>
        <v/>
      </c>
      <c r="BN249" s="1" t="str">
        <f aca="false">IF(OR(NOT(AND(ISNUMBER(E249),ISNUMBER(F249))),$J$2=""),"",MIN(100,ROUND(SUM($G249:P249),1)))</f>
        <v/>
      </c>
      <c r="BO249" s="1" t="str">
        <f aca="false">IF(OR(NOT(AND(ISNUMBER(E249),ISNUMBER(F249))),$J$2=""),"",MIN(100,ROUND(SUM($G249:P249),1)))</f>
        <v/>
      </c>
      <c r="BP249" s="1" t="str">
        <f aca="false">IF(OR(NOT(AND(ISNUMBER(E249),ISNUMBER(F249))),$J$2=""),"",MIN(100,ROUND(SUM($G249:P249),1)))</f>
        <v/>
      </c>
      <c r="BQ249" s="1" t="str">
        <f aca="false">IF(OR(NOT(AND(ISNUMBER(E249),ISNUMBER(F249))),$J$2=""),"",MIN(100,ROUND(SUM($G249:P249),1)))</f>
        <v/>
      </c>
      <c r="BR249" s="1" t="str">
        <f aca="false">IF(OR(NOT(AND(ISNUMBER(E249),ISNUMBER(F249))),$J$2=""),"",MIN(100,ROUND(SUM($G249:P249),1)))</f>
        <v/>
      </c>
      <c r="BS249" s="1" t="str">
        <f aca="false">IF(OR(NOT(AND(ISNUMBER(E249),ISNUMBER(F249))),$J$2=""),"",MIN(100,ROUND(SUM($G249:P249),1)))</f>
        <v/>
      </c>
      <c r="BT249" s="1" t="str">
        <f aca="false">IF(OR(NOT(AND(ISNUMBER(E249),ISNUMBER(F249))),$J$2=""),"",IF(Reprogramaciones!K$13&lt;Reprogramaciones!$T$15,0,IF(Reprogramaciones!K$14&gt;10,MIN(100,SUM($G249:$P249)),MIN(100,SUMPRODUCT((COLUMN($G249:$P249)-COLUMN($G249)+1&lt;Reprogramaciones!K$14)*$G249:$P249)+N(INDEX($G249:$P249,1,Reprogramaciones!K$14))*IF(Reprogramaciones!K$13&gt;=(Reprogramaciones!$T$15+7*(Reprogramaciones!K$14-1))+6,1,IF(MAX(0,NETWORKDAYS.INTL(MAX(E249,(Reprogramaciones!$T$15+7*(Reprogramaciones!K$14-1))),MIN(F249,(Reprogramaciones!$T$15+7*(Reprogramaciones!K$14-1))+6),11))=0,0,MAX(0,NETWORKDAYS.INTL(MAX(E249,(Reprogramaciones!$T$15+7*(Reprogramaciones!K$14-1))),MIN(F249,Reprogramaciones!K$13),11))/MAX(0,NETWORKDAYS.INTL(MAX(E249,(Reprogramaciones!$T$15+7*(Reprogramaciones!K$14-1))),MIN(F249,(Reprogramaciones!$T$15+7*(Reprogramaciones!K$14-1))+6),11))))))))</f>
        <v/>
      </c>
      <c r="BU249" s="1" t="str">
        <f aca="false">IF(OR(NOT(AND(ISNUMBER(E249),ISNUMBER(F249))),$J$2=""),"",IF(Reprogramaciones!L$13&lt;Reprogramaciones!$T$15,0,IF(Reprogramaciones!L$14&gt;10,MIN(100,SUM($G249:$P249)),MIN(100,SUMPRODUCT((COLUMN($G249:$P249)-COLUMN($G249)+1&lt;Reprogramaciones!L$14)*$G249:$P249)+N(INDEX($G249:$P249,1,Reprogramaciones!L$14))*IF(Reprogramaciones!L$13&gt;=(Reprogramaciones!$T$15+7*(Reprogramaciones!L$14-1))+6,1,IF(MAX(0,NETWORKDAYS.INTL(MAX(E249,(Reprogramaciones!$T$15+7*(Reprogramaciones!L$14-1))),MIN(F249,(Reprogramaciones!$T$15+7*(Reprogramaciones!L$14-1))+6),11))=0,0,MAX(0,NETWORKDAYS.INTL(MAX(E249,(Reprogramaciones!$T$15+7*(Reprogramaciones!L$14-1))),MIN(F249,Reprogramaciones!L$13),11))/MAX(0,NETWORKDAYS.INTL(MAX(E249,(Reprogramaciones!$T$15+7*(Reprogramaciones!L$14-1))),MIN(F249,(Reprogramaciones!$T$15+7*(Reprogramaciones!L$14-1))+6),11))))))))</f>
        <v/>
      </c>
      <c r="BV249" s="1" t="str">
        <f aca="false">IF(OR(NOT(AND(ISNUMBER(E249),ISNUMBER(F249))),$J$2=""),"",IF(Reprogramaciones!M$13&lt;Reprogramaciones!$T$15,0,IF(Reprogramaciones!M$14&gt;10,MIN(100,SUM($G249:$P249)),MIN(100,SUMPRODUCT((COLUMN($G249:$P249)-COLUMN($G249)+1&lt;Reprogramaciones!M$14)*$G249:$P249)+N(INDEX($G249:$P249,1,Reprogramaciones!M$14))*IF(Reprogramaciones!M$13&gt;=(Reprogramaciones!$T$15+7*(Reprogramaciones!M$14-1))+6,1,IF(MAX(0,NETWORKDAYS.INTL(MAX(E249,(Reprogramaciones!$T$15+7*(Reprogramaciones!M$14-1))),MIN(F249,(Reprogramaciones!$T$15+7*(Reprogramaciones!M$14-1))+6),11))=0,0,MAX(0,NETWORKDAYS.INTL(MAX(E249,(Reprogramaciones!$T$15+7*(Reprogramaciones!M$14-1))),MIN(F249,Reprogramaciones!M$13),11))/MAX(0,NETWORKDAYS.INTL(MAX(E249,(Reprogramaciones!$T$15+7*(Reprogramaciones!M$14-1))),MIN(F249,(Reprogramaciones!$T$15+7*(Reprogramaciones!M$14-1))+6),11))))))))</f>
        <v/>
      </c>
      <c r="BW249" s="1" t="str">
        <f aca="false">IF(OR(NOT(AND(ISNUMBER(E249),ISNUMBER(F249))),$J$2=""),"",IF(Reprogramaciones!N$13&lt;Reprogramaciones!$T$15,0,IF(Reprogramaciones!N$14&gt;10,MIN(100,SUM($G249:$P249)),MIN(100,SUMPRODUCT((COLUMN($G249:$P249)-COLUMN($G249)+1&lt;Reprogramaciones!N$14)*$G249:$P249)+N(INDEX($G249:$P249,1,Reprogramaciones!N$14))*IF(Reprogramaciones!N$13&gt;=(Reprogramaciones!$T$15+7*(Reprogramaciones!N$14-1))+6,1,IF(MAX(0,NETWORKDAYS.INTL(MAX(E249,(Reprogramaciones!$T$15+7*(Reprogramaciones!N$14-1))),MIN(F249,(Reprogramaciones!$T$15+7*(Reprogramaciones!N$14-1))+6),11))=0,0,MAX(0,NETWORKDAYS.INTL(MAX(E249,(Reprogramaciones!$T$15+7*(Reprogramaciones!N$14-1))),MIN(F249,Reprogramaciones!N$13),11))/MAX(0,NETWORKDAYS.INTL(MAX(E249,(Reprogramaciones!$T$15+7*(Reprogramaciones!N$14-1))),MIN(F249,(Reprogramaciones!$T$15+7*(Reprogramaciones!N$14-1))+6),11))))))))</f>
        <v/>
      </c>
      <c r="BX249" s="1" t="str">
        <f aca="false">IF(OR(NOT(AND(ISNUMBER(E249),ISNUMBER(F249))),$J$2=""),"",IF(Reprogramaciones!O$13&lt;Reprogramaciones!$T$15,0,IF(Reprogramaciones!O$14&gt;10,MIN(100,SUM($G249:$P249)),MIN(100,SUMPRODUCT((COLUMN($G249:$P249)-COLUMN($G249)+1&lt;Reprogramaciones!O$14)*$G249:$P249)+N(INDEX($G249:$P249,1,Reprogramaciones!O$14))*IF(Reprogramaciones!O$13&gt;=(Reprogramaciones!$T$15+7*(Reprogramaciones!O$14-1))+6,1,IF(MAX(0,NETWORKDAYS.INTL(MAX(E249,(Reprogramaciones!$T$15+7*(Reprogramaciones!O$14-1))),MIN(F249,(Reprogramaciones!$T$15+7*(Reprogramaciones!O$14-1))+6),11))=0,0,MAX(0,NETWORKDAYS.INTL(MAX(E249,(Reprogramaciones!$T$15+7*(Reprogramaciones!O$14-1))),MIN(F249,Reprogramaciones!O$13),11))/MAX(0,NETWORKDAYS.INTL(MAX(E249,(Reprogramaciones!$T$15+7*(Reprogramaciones!O$14-1))),MIN(F249,(Reprogramaciones!$T$15+7*(Reprogramaciones!O$14-1))+6),11))))))))</f>
        <v/>
      </c>
      <c r="BY249" s="1" t="str">
        <f aca="false">IF(OR(NOT(AND(ISNUMBER(E249),ISNUMBER(F249))),$J$2=""),"",IF(Reprogramaciones!P$13&lt;Reprogramaciones!$T$15,0,IF(Reprogramaciones!P$14&gt;10,MIN(100,SUM($G249:$P249)),MIN(100,SUMPRODUCT((COLUMN($G249:$P249)-COLUMN($G249)+1&lt;Reprogramaciones!P$14)*$G249:$P249)+N(INDEX($G249:$P249,1,Reprogramaciones!P$14))*IF(Reprogramaciones!P$13&gt;=(Reprogramaciones!$T$15+7*(Reprogramaciones!P$14-1))+6,1,IF(MAX(0,NETWORKDAYS.INTL(MAX(E249,(Reprogramaciones!$T$15+7*(Reprogramaciones!P$14-1))),MIN(F249,(Reprogramaciones!$T$15+7*(Reprogramaciones!P$14-1))+6),11))=0,0,MAX(0,NETWORKDAYS.INTL(MAX(E249,(Reprogramaciones!$T$15+7*(Reprogramaciones!P$14-1))),MIN(F249,Reprogramaciones!P$13),11))/MAX(0,NETWORKDAYS.INTL(MAX(E249,(Reprogramaciones!$T$15+7*(Reprogramaciones!P$14-1))),MIN(F249,(Reprogramaciones!$T$15+7*(Reprogramaciones!P$14-1))+6),11))))))))</f>
        <v/>
      </c>
      <c r="BZ249" s="1" t="str">
        <f aca="false">IF(OR(NOT(AND(ISNUMBER(E249),ISNUMBER(F249))),$J$2=""),"",IF(Reprogramaciones!Q$13&lt;Reprogramaciones!$T$15,0,IF(Reprogramaciones!Q$14&gt;10,MIN(100,SUM($G249:$P249)),MIN(100,SUMPRODUCT((COLUMN($G249:$P249)-COLUMN($G249)+1&lt;Reprogramaciones!Q$14)*$G249:$P249)+N(INDEX($G249:$P249,1,Reprogramaciones!Q$14))*IF(Reprogramaciones!Q$13&gt;=(Reprogramaciones!$T$15+7*(Reprogramaciones!Q$14-1))+6,1,IF(MAX(0,NETWORKDAYS.INTL(MAX(E249,(Reprogramaciones!$T$15+7*(Reprogramaciones!Q$14-1))),MIN(F249,(Reprogramaciones!$T$15+7*(Reprogramaciones!Q$14-1))+6),11))=0,0,MAX(0,NETWORKDAYS.INTL(MAX(E249,(Reprogramaciones!$T$15+7*(Reprogramaciones!Q$14-1))),MIN(F249,Reprogramaciones!Q$13),11))/MAX(0,NETWORKDAYS.INTL(MAX(E249,(Reprogramaciones!$T$15+7*(Reprogramaciones!Q$14-1))),MIN(F249,(Reprogramaciones!$T$15+7*(Reprogramaciones!Q$14-1))+6),11))))))))</f>
        <v/>
      </c>
      <c r="CA249" s="1" t="str">
        <f aca="false">IF(OR(NOT(AND(ISNUMBER(E249),ISNUMBER(F249))),$J$2=""),"",IF(Reprogramaciones!R$13&lt;Reprogramaciones!$T$15,0,IF(Reprogramaciones!R$14&gt;10,MIN(100,SUM($G249:$P249)),MIN(100,SUMPRODUCT((COLUMN($G249:$P249)-COLUMN($G249)+1&lt;Reprogramaciones!R$14)*$G249:$P249)+N(INDEX($G249:$P249,1,Reprogramaciones!R$14))*IF(Reprogramaciones!R$13&gt;=(Reprogramaciones!$T$15+7*(Reprogramaciones!R$14-1))+6,1,IF(MAX(0,NETWORKDAYS.INTL(MAX(E249,(Reprogramaciones!$T$15+7*(Reprogramaciones!R$14-1))),MIN(F249,(Reprogramaciones!$T$15+7*(Reprogramaciones!R$14-1))+6),11))=0,0,MAX(0,NETWORKDAYS.INTL(MAX(E249,(Reprogramaciones!$T$15+7*(Reprogramaciones!R$14-1))),MIN(F249,Reprogramaciones!R$13),11))/MAX(0,NETWORKDAYS.INTL(MAX(E249,(Reprogramaciones!$T$15+7*(Reprogramaciones!R$14-1))),MIN(F249,(Reprogramaciones!$T$15+7*(Reprogramaciones!R$14-1))+6),11))))))))</f>
        <v/>
      </c>
      <c r="CB249" s="1" t="str">
        <f aca="false">IF(OR(NOT(AND(ISNUMBER(E249),ISNUMBER(F249))),$J$2=""),"",IF(Reprogramaciones!S$13&lt;Reprogramaciones!$T$15,0,IF(Reprogramaciones!S$14&gt;10,MIN(100,SUM($G249:$P249)),MIN(100,SUMPRODUCT((COLUMN($G249:$P249)-COLUMN($G249)+1&lt;Reprogramaciones!S$14)*$G249:$P249)+N(INDEX($G249:$P249,1,Reprogramaciones!S$14))*IF(Reprogramaciones!S$13&gt;=(Reprogramaciones!$T$15+7*(Reprogramaciones!S$14-1))+6,1,IF(MAX(0,NETWORKDAYS.INTL(MAX(E249,(Reprogramaciones!$T$15+7*(Reprogramaciones!S$14-1))),MIN(F249,(Reprogramaciones!$T$15+7*(Reprogramaciones!S$14-1))+6),11))=0,0,MAX(0,NETWORKDAYS.INTL(MAX(E249,(Reprogramaciones!$T$15+7*(Reprogramaciones!S$14-1))),MIN(F249,Reprogramaciones!S$13),11))/MAX(0,NETWORKDAYS.INTL(MAX(E249,(Reprogramaciones!$T$15+7*(Reprogramaciones!S$14-1))),MIN(F249,(Reprogramaciones!$T$15+7*(Reprogramaciones!S$14-1))+6),11))))))))</f>
        <v/>
      </c>
      <c r="CC249" s="1" t="str">
        <f aca="false">IF(OR(NOT(AND(ISNUMBER(E249),ISNUMBER(F249))),$J$2=""),"",IF(Reprogramaciones!T$13&lt;Reprogramaciones!$T$15,0,IF(Reprogramaciones!T$14&gt;10,MIN(100,SUM($G249:$P249)),MIN(100,SUMPRODUCT((COLUMN($G249:$P249)-COLUMN($G249)+1&lt;Reprogramaciones!T$14)*$G249:$P249)+N(INDEX($G249:$P249,1,Reprogramaciones!T$14))*IF(Reprogramaciones!T$13&gt;=(Reprogramaciones!$T$15+7*(Reprogramaciones!T$14-1))+6,1,IF(MAX(0,NETWORKDAYS.INTL(MAX(E249,(Reprogramaciones!$T$15+7*(Reprogramaciones!T$14-1))),MIN(F249,(Reprogramaciones!$T$15+7*(Reprogramaciones!T$14-1))+6),11))=0,0,MAX(0,NETWORKDAYS.INTL(MAX(E249,(Reprogramaciones!$T$15+7*(Reprogramaciones!T$14-1))),MIN(F249,Reprogramaciones!T$13),11))/MAX(0,NETWORKDAYS.INTL(MAX(E249,(Reprogramaciones!$T$15+7*(Reprogramaciones!T$14-1))),MIN(F249,(Reprogramaciones!$T$15+7*(Reprogramaciones!T$14-1))+6),11))))))))</f>
        <v/>
      </c>
      <c r="CD249" s="1" t="str">
        <f aca="false">IF(OR(NOT(AND(ISNUMBER(E249),ISNUMBER(F249))),$J$2=""),"",IF(Reprogramaciones!U$13&lt;Reprogramaciones!$T$15,0,IF(Reprogramaciones!U$14&gt;10,MIN(100,SUM($G249:$P249)),MIN(100,SUMPRODUCT((COLUMN($G249:$P249)-COLUMN($G249)+1&lt;Reprogramaciones!U$14)*$G249:$P249)+N(INDEX($G249:$P249,1,Reprogramaciones!U$14))*IF(Reprogramaciones!U$13&gt;=(Reprogramaciones!$T$15+7*(Reprogramaciones!U$14-1))+6,1,IF(MAX(0,NETWORKDAYS.INTL(MAX(E249,(Reprogramaciones!$T$15+7*(Reprogramaciones!U$14-1))),MIN(F249,(Reprogramaciones!$T$15+7*(Reprogramaciones!U$14-1))+6),11))=0,0,MAX(0,NETWORKDAYS.INTL(MAX(E249,(Reprogramaciones!$T$15+7*(Reprogramaciones!U$14-1))),MIN(F249,Reprogramaciones!U$13),11))/MAX(0,NETWORKDAYS.INTL(MAX(E249,(Reprogramaciones!$T$15+7*(Reprogramaciones!U$14-1))),MIN(F249,(Reprogramaciones!$T$15+7*(Reprogramaciones!U$14-1))+6),11))))))))</f>
        <v/>
      </c>
      <c r="CE249" s="1" t="str">
        <f aca="false">IF(OR(NOT(AND(ISNUMBER(E249),ISNUMBER(F249))),$J$2=""),"",IF(Reprogramaciones!V$13&lt;Reprogramaciones!$T$15,0,IF(Reprogramaciones!V$14&gt;10,MIN(100,SUM($G249:$P249)),MIN(100,SUMPRODUCT((COLUMN($G249:$P249)-COLUMN($G249)+1&lt;Reprogramaciones!V$14)*$G249:$P249)+N(INDEX($G249:$P249,1,Reprogramaciones!V$14))*IF(Reprogramaciones!V$13&gt;=(Reprogramaciones!$T$15+7*(Reprogramaciones!V$14-1))+6,1,IF(MAX(0,NETWORKDAYS.INTL(MAX(E249,(Reprogramaciones!$T$15+7*(Reprogramaciones!V$14-1))),MIN(F249,(Reprogramaciones!$T$15+7*(Reprogramaciones!V$14-1))+6),11))=0,0,MAX(0,NETWORKDAYS.INTL(MAX(E249,(Reprogramaciones!$T$15+7*(Reprogramaciones!V$14-1))),MIN(F249,Reprogramaciones!V$13),11))/MAX(0,NETWORKDAYS.INTL(MAX(E249,(Reprogramaciones!$T$15+7*(Reprogramaciones!V$14-1))),MIN(F249,(Reprogramaciones!$T$15+7*(Reprogramaciones!V$14-1))+6),11))))))))</f>
        <v/>
      </c>
      <c r="CF249" s="1" t="str">
        <f aca="false">IF(OR(NOT(AND(ISNUMBER(E249),ISNUMBER(F249))),$J$2=""),"",IF(Reprogramaciones!W$13&lt;Reprogramaciones!$T$15,0,IF(Reprogramaciones!W$14&gt;10,MIN(100,SUM($G249:$P249)),MIN(100,SUMPRODUCT((COLUMN($G249:$P249)-COLUMN($G249)+1&lt;Reprogramaciones!W$14)*$G249:$P249)+N(INDEX($G249:$P249,1,Reprogramaciones!W$14))*IF(Reprogramaciones!W$13&gt;=(Reprogramaciones!$T$15+7*(Reprogramaciones!W$14-1))+6,1,IF(MAX(0,NETWORKDAYS.INTL(MAX(E249,(Reprogramaciones!$T$15+7*(Reprogramaciones!W$14-1))),MIN(F249,(Reprogramaciones!$T$15+7*(Reprogramaciones!W$14-1))+6),11))=0,0,MAX(0,NETWORKDAYS.INTL(MAX(E249,(Reprogramaciones!$T$15+7*(Reprogramaciones!W$14-1))),MIN(F249,Reprogramaciones!W$13),11))/MAX(0,NETWORKDAYS.INTL(MAX(E249,(Reprogramaciones!$T$15+7*(Reprogramaciones!W$14-1))),MIN(F249,(Reprogramaciones!$T$15+7*(Reprogramaciones!W$14-1))+6),11))))))))</f>
        <v/>
      </c>
      <c r="CG249" s="1" t="str">
        <f aca="false">IF(OR(NOT(AND(ISNUMBER(E249),ISNUMBER(F249))),$J$2=""),"",IF(Reprogramaciones!X$13&lt;Reprogramaciones!$T$15,0,IF(Reprogramaciones!X$14&gt;10,MIN(100,SUM($G249:$P249)),MIN(100,SUMPRODUCT((COLUMN($G249:$P249)-COLUMN($G249)+1&lt;Reprogramaciones!X$14)*$G249:$P249)+N(INDEX($G249:$P249,1,Reprogramaciones!X$14))*IF(Reprogramaciones!X$13&gt;=(Reprogramaciones!$T$15+7*(Reprogramaciones!X$14-1))+6,1,IF(MAX(0,NETWORKDAYS.INTL(MAX(E249,(Reprogramaciones!$T$15+7*(Reprogramaciones!X$14-1))),MIN(F249,(Reprogramaciones!$T$15+7*(Reprogramaciones!X$14-1))+6),11))=0,0,MAX(0,NETWORKDAYS.INTL(MAX(E249,(Reprogramaciones!$T$15+7*(Reprogramaciones!X$14-1))),MIN(F249,Reprogramaciones!X$13),11))/MAX(0,NETWORKDAYS.INTL(MAX(E249,(Reprogramaciones!$T$15+7*(Reprogramaciones!X$14-1))),MIN(F249,(Reprogramaciones!$T$15+7*(Reprogramaciones!X$14-1))+6),11))))))))</f>
        <v/>
      </c>
      <c r="CH249" s="1" t="str">
        <f aca="false">IF(OR(NOT(AND(ISNUMBER(E249),ISNUMBER(F249))),$J$2=""),"",IF(Reprogramaciones!Y$13&lt;Reprogramaciones!$T$15,0,IF(Reprogramaciones!Y$14&gt;10,MIN(100,SUM($G249:$P249)),MIN(100,SUMPRODUCT((COLUMN($G249:$P249)-COLUMN($G249)+1&lt;Reprogramaciones!Y$14)*$G249:$P249)+N(INDEX($G249:$P249,1,Reprogramaciones!Y$14))*IF(Reprogramaciones!Y$13&gt;=(Reprogramaciones!$T$15+7*(Reprogramaciones!Y$14-1))+6,1,IF(MAX(0,NETWORKDAYS.INTL(MAX(E249,(Reprogramaciones!$T$15+7*(Reprogramaciones!Y$14-1))),MIN(F249,(Reprogramaciones!$T$15+7*(Reprogramaciones!Y$14-1))+6),11))=0,0,MAX(0,NETWORKDAYS.INTL(MAX(E249,(Reprogramaciones!$T$15+7*(Reprogramaciones!Y$14-1))),MIN(F249,Reprogramaciones!Y$13),11))/MAX(0,NETWORKDAYS.INTL(MAX(E249,(Reprogramaciones!$T$15+7*(Reprogramaciones!Y$14-1))),MIN(F249,(Reprogramaciones!$T$15+7*(Reprogramaciones!Y$14-1))+6),11))))))))</f>
        <v/>
      </c>
      <c r="CI249" s="1" t="str">
        <f aca="false">IF(OR(NOT(AND(ISNUMBER(E249),ISNUMBER(F249))),$J$2=""),"",IF(Reprogramaciones!Z$13&lt;Reprogramaciones!$T$15,0,IF(Reprogramaciones!Z$14&gt;10,MIN(100,SUM($G249:$P249)),MIN(100,SUMPRODUCT((COLUMN($G249:$P249)-COLUMN($G249)+1&lt;Reprogramaciones!Z$14)*$G249:$P249)+N(INDEX($G249:$P249,1,Reprogramaciones!Z$14))*IF(Reprogramaciones!Z$13&gt;=(Reprogramaciones!$T$15+7*(Reprogramaciones!Z$14-1))+6,1,IF(MAX(0,NETWORKDAYS.INTL(MAX(E249,(Reprogramaciones!$T$15+7*(Reprogramaciones!Z$14-1))),MIN(F249,(Reprogramaciones!$T$15+7*(Reprogramaciones!Z$14-1))+6),11))=0,0,MAX(0,NETWORKDAYS.INTL(MAX(E249,(Reprogramaciones!$T$15+7*(Reprogramaciones!Z$14-1))),MIN(F249,Reprogramaciones!Z$13),11))/MAX(0,NETWORKDAYS.INTL(MAX(E249,(Reprogramaciones!$T$15+7*(Reprogramaciones!Z$14-1))),MIN(F249,(Reprogramaciones!$T$15+7*(Reprogramaciones!Z$14-1))+6),11))))))))</f>
        <v/>
      </c>
      <c r="CJ249" s="1" t="str">
        <f aca="false">IF(OR(OR(NOT(AND(ISNUMBER(E249),ISNUMBER(F249))),$J$2=""),1&gt;Reprogramaciones!$K$16),"",IF(ROUND(SUM($Q249:Q249),1)&gt;=99.5,100,MIN(100,ROUND(SUM($Q249:Q249),1))))</f>
        <v/>
      </c>
      <c r="CK249" s="1" t="str">
        <f aca="false">IF(OR(OR(NOT(AND(ISNUMBER(E249),ISNUMBER(F249))),$J$2=""),2&gt;Reprogramaciones!$K$16),"",IF(ROUND(SUM($Q249:R249),1)&gt;=99.5,100,MIN(100,ROUND(SUM($Q249:R249),1))))</f>
        <v/>
      </c>
      <c r="CL249" s="1" t="str">
        <f aca="false">IF(OR(OR(NOT(AND(ISNUMBER(E249),ISNUMBER(F249))),$J$2=""),3&gt;Reprogramaciones!$K$16),"",IF(ROUND(SUM($Q249:S249),1)&gt;=99.5,100,MIN(100,ROUND(SUM($Q249:S249),1))))</f>
        <v/>
      </c>
      <c r="CM249" s="1" t="str">
        <f aca="false">IF(OR(OR(NOT(AND(ISNUMBER(E249),ISNUMBER(F249))),$J$2=""),4&gt;Reprogramaciones!$K$16),"",IF(ROUND(SUM($Q249:T249),1)&gt;=99.5,100,MIN(100,ROUND(SUM($Q249:T249),1))))</f>
        <v/>
      </c>
      <c r="CN249" s="1" t="str">
        <f aca="false">IF(OR(OR(NOT(AND(ISNUMBER(E249),ISNUMBER(F249))),$J$2=""),5&gt;Reprogramaciones!$K$16),"",IF(ROUND(SUM($Q249:U249),1)&gt;=99.5,100,MIN(100,ROUND(SUM($Q249:U249),1))))</f>
        <v/>
      </c>
      <c r="CO249" s="1" t="str">
        <f aca="false">IF(OR(OR(NOT(AND(ISNUMBER(E249),ISNUMBER(F249))),$J$2=""),6&gt;Reprogramaciones!$K$16),"",IF(ROUND(SUM($Q249:V249),1)&gt;=99.5,100,MIN(100,ROUND(SUM($Q249:V249),1))))</f>
        <v/>
      </c>
      <c r="CP249" s="1" t="str">
        <f aca="false">IF(OR(OR(NOT(AND(ISNUMBER(E249),ISNUMBER(F249))),$J$2=""),7&gt;Reprogramaciones!$K$16),"",IF(ROUND(SUM($Q249:W249),1)&gt;=99.5,100,MIN(100,ROUND(SUM($Q249:W249),1))))</f>
        <v/>
      </c>
      <c r="CQ249" s="1" t="str">
        <f aca="false">IF(OR(OR(NOT(AND(ISNUMBER(E249),ISNUMBER(F249))),$J$2=""),8&gt;Reprogramaciones!$K$16),"",IF(ROUND(SUM($Q249:X249),1)&gt;=99.5,100,MIN(100,ROUND(SUM($Q249:X249),1))))</f>
        <v/>
      </c>
      <c r="CR249" s="1" t="str">
        <f aca="false">IF(OR(OR(NOT(AND(ISNUMBER(E249),ISNUMBER(F249))),$J$2=""),9&gt;Reprogramaciones!$K$16),"",IF(ROUND(SUM($Q249:Y249),1)&gt;=99.5,100,MIN(100,ROUND(SUM($Q249:Y249),1))))</f>
        <v/>
      </c>
      <c r="CS249" s="1" t="str">
        <f aca="false">IF(OR(OR(NOT(AND(ISNUMBER(E249),ISNUMBER(F249))),$J$2=""),10&gt;Reprogramaciones!$K$16),"",IF(ROUND(SUM($Q249:Z249),1)&gt;=99.5,100,MIN(100,ROUND(SUM($Q249:Z249),1))))</f>
        <v/>
      </c>
      <c r="CT249" s="1" t="str">
        <f aca="false">IF(OR(OR(NOT(AND(ISNUMBER(E249),ISNUMBER(F249))),$J$2=""),11&gt;Reprogramaciones!$K$16),"",IF(ROUND(SUM($Q249:AA249),1)&gt;=99.5,100,MIN(100,ROUND(SUM($Q249:AA249),1))))</f>
        <v/>
      </c>
      <c r="CU249" s="1" t="str">
        <f aca="false">IF(OR(OR(NOT(AND(ISNUMBER(E249),ISNUMBER(F249))),$J$2=""),12&gt;Reprogramaciones!$K$16),"",IF(ROUND(SUM($Q249:AB249),1)&gt;=99.5,100,MIN(100,ROUND(SUM($Q249:AB249),1))))</f>
        <v/>
      </c>
      <c r="CV249" s="1" t="str">
        <f aca="false">IF(OR(OR(NOT(AND(ISNUMBER(E249),ISNUMBER(F249))),$J$2=""),13&gt;Reprogramaciones!$K$16),"",IF(ROUND(SUM($Q249:AC249),1)&gt;=99.5,100,MIN(100,ROUND(SUM($Q249:AC249),1))))</f>
        <v/>
      </c>
      <c r="CW249" s="1" t="str">
        <f aca="false">IF(OR(OR(NOT(AND(ISNUMBER(E249),ISNUMBER(F249))),$J$2=""),14&gt;Reprogramaciones!$K$16),"",IF(ROUND(SUM($Q249:AD249),1)&gt;=99.5,100,MIN(100,ROUND(SUM($Q249:AD249),1))))</f>
        <v/>
      </c>
      <c r="CX249" s="1" t="str">
        <f aca="false">IF(OR(OR(NOT(AND(ISNUMBER(E249),ISNUMBER(F249))),$J$2=""),15&gt;Reprogramaciones!$K$16),"",IF(ROUND(SUM($Q249:AE249),1)&gt;=99.5,100,MIN(100,ROUND(SUM($Q249:AE249),1))))</f>
        <v/>
      </c>
      <c r="CY249" s="1" t="str">
        <f aca="false">IF(OR(OR(NOT(AND(ISNUMBER(E249),ISNUMBER(F249))),$J$2=""),16&gt;Reprogramaciones!$K$16),"",IF(ROUND(SUM($Q249:AF249),1)&gt;=99.5,100,MIN(100,ROUND(SUM($Q249:AF249),1))))</f>
        <v/>
      </c>
      <c r="CZ249" s="1" t="str">
        <f aca="false">IF(D249&lt;&gt;"",D249,IF(B249&lt;&gt;"","Contractual",CZ248))</f>
        <v>Contractual</v>
      </c>
      <c r="DA249" s="1" t="str">
        <f aca="false">IF(OR(NOT(AND(ISNUMBER(E249),ISNUMBER(F249))),$J$2=""),"",IF(Reprogramaciones!$Q$15&lt;Reprogramaciones!$T$15,0,IF(Reprogramaciones!$S$15&gt;10,MIN(100,SUM($G249:$P249)),MIN(100,SUMPRODUCT((COLUMN($G249:$P249)-COLUMN($G249)+1&lt;Reprogramaciones!$S$15)*$G249:$P249)+N(INDEX($G249:$P249,1,Reprogramaciones!$S$15))*IF(Reprogramaciones!$Q$15&gt;=(Reprogramaciones!$T$15+7*(Reprogramaciones!$S$15-1))+6,1,IF(MAX(0,NETWORKDAYS.INTL(MAX(E249,(Reprogramaciones!$T$15+7*(Reprogramaciones!$S$15-1))),MIN(F249,(Reprogramaciones!$T$15+7*(Reprogramaciones!$S$15-1))+6),11))=0,0,MAX(0,NETWORKDAYS.INTL(MAX(E249,(Reprogramaciones!$T$15+7*(Reprogramaciones!$S$15-1))),MIN(F249,Reprogramaciones!$Q$15),11))/MAX(0,NETWORKDAYS.INTL(MAX(E249,(Reprogramaciones!$T$15+7*(Reprogramaciones!$S$15-1))),MIN(F249,(Reprogramaciones!$T$15+7*(Reprogramaciones!$S$15-1))+6),11))))))))</f>
        <v/>
      </c>
    </row>
    <row r="250" customFormat="false" ht="15" hidden="false" customHeight="false" outlineLevel="0" collapsed="false">
      <c r="A250" s="32"/>
      <c r="B250" s="33"/>
      <c r="C250" s="33"/>
      <c r="D250" s="34"/>
      <c r="E250" s="35"/>
      <c r="F250" s="35"/>
      <c r="G250" s="36" t="str">
        <f aca="false">IF(OR(NOT(AND(ISNUMBER(E250),ISNUMBER(F250))),$J$2=""),"",IF(Reprogramaciones!K$9&lt;E250,0,IF(NETWORKDAYS.INTL(E250,F250,11)=0,IF(Reprogramaciones!K$9&gt;=F250,100,0),ROUND(NETWORKDAYS.INTL(E250,MIN(F250,Reprogramaciones!K$9),11)/NETWORKDAYS.INTL(E250,F250,11)*100,1)))-0)</f>
        <v/>
      </c>
      <c r="H250" s="36" t="str">
        <f aca="false">IF(OR(NOT(AND(ISNUMBER(E250),ISNUMBER(F250))),$J$2=""),"",IF(Reprogramaciones!L$9&lt;E250,0,IF(NETWORKDAYS.INTL(E250,F250,11)=0,IF(Reprogramaciones!L$9&gt;=F250,100,0),ROUND(NETWORKDAYS.INTL(E250,MIN(F250,Reprogramaciones!L$9),11)/NETWORKDAYS.INTL(E250,F250,11)*100,1)))-IF(Reprogramaciones!K$9&lt;E250,0,IF(NETWORKDAYS.INTL(E250,F250,11)=0,IF(Reprogramaciones!K$9&gt;=F250,100,0),ROUND(NETWORKDAYS.INTL(E250,MIN(F250,Reprogramaciones!K$9),11)/NETWORKDAYS.INTL(E250,F250,11)*100,1))))</f>
        <v/>
      </c>
      <c r="I250" s="36" t="str">
        <f aca="false">IF(OR(NOT(AND(ISNUMBER(E250),ISNUMBER(F250))),$J$2=""),"",IF(Reprogramaciones!M$9&lt;E250,0,IF(NETWORKDAYS.INTL(E250,F250,11)=0,IF(Reprogramaciones!M$9&gt;=F250,100,0),ROUND(NETWORKDAYS.INTL(E250,MIN(F250,Reprogramaciones!M$9),11)/NETWORKDAYS.INTL(E250,F250,11)*100,1)))-IF(Reprogramaciones!L$9&lt;E250,0,IF(NETWORKDAYS.INTL(E250,F250,11)=0,IF(Reprogramaciones!L$9&gt;=F250,100,0),ROUND(NETWORKDAYS.INTL(E250,MIN(F250,Reprogramaciones!L$9),11)/NETWORKDAYS.INTL(E250,F250,11)*100,1))))</f>
        <v/>
      </c>
      <c r="J250" s="36" t="str">
        <f aca="false">IF(OR(NOT(AND(ISNUMBER(E250),ISNUMBER(F250))),$J$2=""),"",IF(Reprogramaciones!N$9&lt;E250,0,IF(NETWORKDAYS.INTL(E250,F250,11)=0,IF(Reprogramaciones!N$9&gt;=F250,100,0),ROUND(NETWORKDAYS.INTL(E250,MIN(F250,Reprogramaciones!N$9),11)/NETWORKDAYS.INTL(E250,F250,11)*100,1)))-IF(Reprogramaciones!M$9&lt;E250,0,IF(NETWORKDAYS.INTL(E250,F250,11)=0,IF(Reprogramaciones!M$9&gt;=F250,100,0),ROUND(NETWORKDAYS.INTL(E250,MIN(F250,Reprogramaciones!M$9),11)/NETWORKDAYS.INTL(E250,F250,11)*100,1))))</f>
        <v/>
      </c>
      <c r="K250" s="36" t="str">
        <f aca="false">IF(OR(NOT(AND(ISNUMBER(E250),ISNUMBER(F250))),$J$2=""),"",IF(Reprogramaciones!O$9&lt;E250,0,IF(NETWORKDAYS.INTL(E250,F250,11)=0,IF(Reprogramaciones!O$9&gt;=F250,100,0),ROUND(NETWORKDAYS.INTL(E250,MIN(F250,Reprogramaciones!O$9),11)/NETWORKDAYS.INTL(E250,F250,11)*100,1)))-IF(Reprogramaciones!N$9&lt;E250,0,IF(NETWORKDAYS.INTL(E250,F250,11)=0,IF(Reprogramaciones!N$9&gt;=F250,100,0),ROUND(NETWORKDAYS.INTL(E250,MIN(F250,Reprogramaciones!N$9),11)/NETWORKDAYS.INTL(E250,F250,11)*100,1))))</f>
        <v/>
      </c>
      <c r="L250" s="36" t="str">
        <f aca="false">IF(OR(NOT(AND(ISNUMBER(E250),ISNUMBER(F250))),$J$2=""),"",IF(Reprogramaciones!P$9&lt;E250,0,IF(NETWORKDAYS.INTL(E250,F250,11)=0,IF(Reprogramaciones!P$9&gt;=F250,100,0),ROUND(NETWORKDAYS.INTL(E250,MIN(F250,Reprogramaciones!P$9),11)/NETWORKDAYS.INTL(E250,F250,11)*100,1)))-IF(Reprogramaciones!O$9&lt;E250,0,IF(NETWORKDAYS.INTL(E250,F250,11)=0,IF(Reprogramaciones!O$9&gt;=F250,100,0),ROUND(NETWORKDAYS.INTL(E250,MIN(F250,Reprogramaciones!O$9),11)/NETWORKDAYS.INTL(E250,F250,11)*100,1))))</f>
        <v/>
      </c>
      <c r="M250" s="36" t="str">
        <f aca="false">IF(OR(NOT(AND(ISNUMBER(E250),ISNUMBER(F250))),$J$2=""),"",IF(Reprogramaciones!Q$9&lt;E250,0,IF(NETWORKDAYS.INTL(E250,F250,11)=0,IF(Reprogramaciones!Q$9&gt;=F250,100,0),ROUND(NETWORKDAYS.INTL(E250,MIN(F250,Reprogramaciones!Q$9),11)/NETWORKDAYS.INTL(E250,F250,11)*100,1)))-IF(Reprogramaciones!P$9&lt;E250,0,IF(NETWORKDAYS.INTL(E250,F250,11)=0,IF(Reprogramaciones!P$9&gt;=F250,100,0),ROUND(NETWORKDAYS.INTL(E250,MIN(F250,Reprogramaciones!P$9),11)/NETWORKDAYS.INTL(E250,F250,11)*100,1))))</f>
        <v/>
      </c>
      <c r="N250" s="36" t="str">
        <f aca="false">IF(OR(NOT(AND(ISNUMBER(E250),ISNUMBER(F250))),$J$2=""),"",IF(Reprogramaciones!R$9&lt;E250,0,IF(NETWORKDAYS.INTL(E250,F250,11)=0,IF(Reprogramaciones!R$9&gt;=F250,100,0),ROUND(NETWORKDAYS.INTL(E250,MIN(F250,Reprogramaciones!R$9),11)/NETWORKDAYS.INTL(E250,F250,11)*100,1)))-IF(Reprogramaciones!Q$9&lt;E250,0,IF(NETWORKDAYS.INTL(E250,F250,11)=0,IF(Reprogramaciones!Q$9&gt;=F250,100,0),ROUND(NETWORKDAYS.INTL(E250,MIN(F250,Reprogramaciones!Q$9),11)/NETWORKDAYS.INTL(E250,F250,11)*100,1))))</f>
        <v/>
      </c>
      <c r="O250" s="36" t="str">
        <f aca="false">IF(OR(NOT(AND(ISNUMBER(E250),ISNUMBER(F250))),$J$2=""),"",IF(Reprogramaciones!S$9&lt;E250,0,IF(NETWORKDAYS.INTL(E250,F250,11)=0,IF(Reprogramaciones!S$9&gt;=F250,100,0),ROUND(NETWORKDAYS.INTL(E250,MIN(F250,Reprogramaciones!S$9),11)/NETWORKDAYS.INTL(E250,F250,11)*100,1)))-IF(Reprogramaciones!R$9&lt;E250,0,IF(NETWORKDAYS.INTL(E250,F250,11)=0,IF(Reprogramaciones!R$9&gt;=F250,100,0),ROUND(NETWORKDAYS.INTL(E250,MIN(F250,Reprogramaciones!R$9),11)/NETWORKDAYS.INTL(E250,F250,11)*100,1))))</f>
        <v/>
      </c>
      <c r="P250" s="36" t="str">
        <f aca="false">IF(OR(NOT(AND(ISNUMBER(E250),ISNUMBER(F250))),$J$2=""),"",IF(Reprogramaciones!T$9&lt;E250,0,IF(NETWORKDAYS.INTL(E250,F250,11)=0,IF(Reprogramaciones!T$9&gt;=F250,100,0),ROUND(NETWORKDAYS.INTL(E250,MIN(F250,Reprogramaciones!T$9),11)/NETWORKDAYS.INTL(E250,F250,11)*100,1)))-IF(Reprogramaciones!S$9&lt;E250,0,IF(NETWORKDAYS.INTL(E250,F250,11)=0,IF(Reprogramaciones!S$9&gt;=F250,100,0),ROUND(NETWORKDAYS.INTL(E250,MIN(F250,Reprogramaciones!S$9),11)/NETWORKDAYS.INTL(E250,F250,11)*100,1))))</f>
        <v/>
      </c>
      <c r="Q250" s="37"/>
      <c r="R250" s="37"/>
      <c r="S250" s="37"/>
      <c r="T250" s="37"/>
      <c r="U250" s="37"/>
      <c r="V250" s="37"/>
      <c r="W250" s="37"/>
      <c r="X250" s="37"/>
      <c r="Y250" s="37"/>
      <c r="Z250" s="37"/>
      <c r="AA250" s="37"/>
      <c r="AB250" s="37"/>
      <c r="AC250" s="37"/>
      <c r="AD250" s="37"/>
      <c r="AE250" s="37"/>
      <c r="AF250" s="37"/>
      <c r="AG250" s="38" t="str">
        <f aca="false">IF(AND(ISNUMBER(E250),ISNUMBER(F250)),NETWORKDAYS.INTL(E250,F250,11),"")</f>
        <v/>
      </c>
      <c r="AH250" s="38" t="str">
        <f aca="false">IF(OR(NOT(AND(ISNUMBER(E250),ISNUMBER(F250))),$J$2=""),"",IF(Reprogramaciones!$P$15&lt;Reprogramaciones!$T$15,0,IF(Reprogramaciones!$R$15&gt;10,MIN(100,SUM($G250:$P250)),MIN(100,SUMPRODUCT((COLUMN($G250:$P250)-COLUMN($G250)+1&lt;Reprogramaciones!$R$15)*$G250:$P250)+N(INDEX($G250:$P250,1,Reprogramaciones!$R$15))*IF(Reprogramaciones!$P$15&gt;=(Reprogramaciones!$T$15+7*(Reprogramaciones!$R$15-1))+6,1,IF(MAX(0,NETWORKDAYS.INTL(MAX(E250,(Reprogramaciones!$T$15+7*(Reprogramaciones!$R$15-1))),MIN(F250,(Reprogramaciones!$T$15+7*(Reprogramaciones!$R$15-1))+6),11))=0,0,MAX(0,NETWORKDAYS.INTL(MAX(E250,(Reprogramaciones!$T$15+7*(Reprogramaciones!$R$15-1))),MIN(F250,Reprogramaciones!$P$15),11))/MAX(0,NETWORKDAYS.INTL(MAX(E250,(Reprogramaciones!$T$15+7*(Reprogramaciones!$R$15-1))),MIN(F250,(Reprogramaciones!$T$15+7*(Reprogramaciones!$R$15-1))+6),11))))))))</f>
        <v/>
      </c>
      <c r="AI250" s="38" t="str">
        <f aca="false">IF(COUNT($Q250:$AF250)=0,"",IF(ROUND(SUM($Q250:$AF250),1)&gt;=99.5,100,MIN(100,ROUND(SUM($Q250:$AF250),1))))</f>
        <v/>
      </c>
      <c r="AJ250" s="38" t="str">
        <f aca="false">IF(OR(AH250="",AI250=""),"",AI250-AH250)</f>
        <v/>
      </c>
      <c r="AK250" s="39" t="str">
        <f aca="true">IF(AH250="","",IF(OR(Ficha!$C$10="Suspendida",Ficha!$C$10="Cancelada"),Ficha!$C$10,IF(AND(AI250&lt;&gt;"",N(AI250)&gt;=100),"Completada",IF(AND(E250&gt;TODAY(),N(AI250)=0),"Por iniciar",IF(N(AI250)+0.5&lt;AH250,"Retrasada",IF(N(AI250)+0.5&lt;DA250,IF(Reprogramaciones!$K$15&gt;0,"Al día · Sem "&amp;Reprogramaciones!$K$15&amp;" en curso","Al día · en curso"),"A tiempo"))))))</f>
        <v/>
      </c>
      <c r="AL250" s="39" t="str">
        <f aca="true">IF(AND(A250="",AND(B250="",C250="",E250="",F250="",COUNT(Q250:AF250)=0)),"",IF(AND(B250="",C250="",E250="",F250="",COUNT(Q250:AF250)=0),"Falta la partida o subpartida",IF(AND(A250&lt;&gt;"",COUNTIF($A$6:$A$305,A250)&gt;1),"Ítem repetido",IF(AND(C250="",E250="",F250="",COUNT(Q250:AF250)=0),"Título de partida",IF(OR(E250="",F250=""),"Faltan fechas",IF(OR(ISTEXT(E250),ISTEXT(F250)),"Fecha escrita como texto: usa dd/mm/aaaa",IF(F250&lt;E250,"Fin antes del inicio",IF(IF($J$2="",FALSE(),OR(E250&lt;$J$2,F250&gt;Reprogramaciones!$T$15+69)),"Fuera de las 10 semanas",IF(ABS(SUM(G250:P250)-100)&gt;0.5,"La meta no suma 100%",IF(ROUND(SUM(Q250:AF250),1)&gt;100.5,"El avance pasa de 100%",IF(MIN(Q250:AF250)&lt;0,"Avance negativo",IF(COUNTA(Q250:AF250)&gt;COUNT(Q250:AF250),"Avance escrito como texto",IF(SUMPRODUCT((Q250:AF250&gt;0)*(Q250:AF250&lt;1))&gt;0,"Avance menor a 1: escribe 50, no 50%",IF(SUMPRODUCT(ISNUMBER(Q250:AF250)*(Reprogramaciones!$K$8:$Z$8&gt;TODAY()))&gt;0,"Avance en semana que aún no llega",IF(AND(N(Reprogramaciones!$E$21)&gt;0,F250&gt;Reprogramaciones!$E$21),"Pasa el fin de la obra: registra una reprogramación",IF(AND(N(Reprogramaciones!$E$21)&gt;0,SUMPRODUCT(ISNUMBER(Q250:AF250)*(Reprogramaciones!$K$8:$Z$8&gt;Reprogramaciones!$E$21))&gt;0),"Avance después del fin de la obra: registra una reprogramación por atraso","OK"))))))))))))))))</f>
        <v/>
      </c>
      <c r="AM250" s="40" t="str">
        <f aca="false">IF(OR(OR(NOT(AND(ISNUMBER(E250),ISNUMBER(F250))),$J$2=""),1&gt;MAX(1,Reprogramaciones!$U$15)),"",IF(Reprogramaciones!K$12&gt;=7,"",IF(OR(BT250-N(0)&gt;0.05,N(Q250)&gt;0),ROUNDDOWN(ROUND(BT250,6),0)&amp;"%"&amp;IF(CJ250="",""," / "&amp;CJ250&amp;"%"),IF(AND(N(0)&gt;=99.95,CJ250&lt;&gt;"",N(CJ250)&lt;100),"Pend. "&amp;CJ250&amp;"%",""))))</f>
        <v/>
      </c>
      <c r="AN250" s="40" t="str">
        <f aca="false">IF(OR(OR(NOT(AND(ISNUMBER(E250),ISNUMBER(F250))),$J$2=""),2&gt;MAX(1,Reprogramaciones!$U$15)),"",IF(Reprogramaciones!L$12&gt;=7,"",IF(OR(BU250-N(BT250)&gt;0.05,N(R250)&gt;0),ROUNDDOWN(ROUND(BU250,6),0)&amp;"%"&amp;IF(CK250="",""," / "&amp;CK250&amp;"%"),IF(AND(N(BT250)&gt;=99.95,CK250&lt;&gt;"",N(CK250)&lt;100),"Pend. "&amp;CK250&amp;"%",""))))</f>
        <v/>
      </c>
      <c r="AO250" s="40" t="str">
        <f aca="false">IF(OR(OR(NOT(AND(ISNUMBER(E250),ISNUMBER(F250))),$J$2=""),3&gt;MAX(1,Reprogramaciones!$U$15)),"",IF(Reprogramaciones!M$12&gt;=7,"",IF(OR(BV250-N(BU250)&gt;0.05,N(S250)&gt;0),ROUNDDOWN(ROUND(BV250,6),0)&amp;"%"&amp;IF(CL250="",""," / "&amp;CL250&amp;"%"),IF(AND(N(BU250)&gt;=99.95,CL250&lt;&gt;"",N(CL250)&lt;100),"Pend. "&amp;CL250&amp;"%",""))))</f>
        <v/>
      </c>
      <c r="AP250" s="40" t="str">
        <f aca="false">IF(OR(OR(NOT(AND(ISNUMBER(E250),ISNUMBER(F250))),$J$2=""),4&gt;MAX(1,Reprogramaciones!$U$15)),"",IF(Reprogramaciones!N$12&gt;=7,"",IF(OR(BW250-N(BV250)&gt;0.05,N(T250)&gt;0),ROUNDDOWN(ROUND(BW250,6),0)&amp;"%"&amp;IF(CM250="",""," / "&amp;CM250&amp;"%"),IF(AND(N(BV250)&gt;=99.95,CM250&lt;&gt;"",N(CM250)&lt;100),"Pend. "&amp;CM250&amp;"%",""))))</f>
        <v/>
      </c>
      <c r="AQ250" s="40" t="str">
        <f aca="false">IF(OR(OR(NOT(AND(ISNUMBER(E250),ISNUMBER(F250))),$J$2=""),5&gt;MAX(1,Reprogramaciones!$U$15)),"",IF(Reprogramaciones!O$12&gt;=7,"",IF(OR(BX250-N(BW250)&gt;0.05,N(U250)&gt;0),ROUNDDOWN(ROUND(BX250,6),0)&amp;"%"&amp;IF(CN250="",""," / "&amp;CN250&amp;"%"),IF(AND(N(BW250)&gt;=99.95,CN250&lt;&gt;"",N(CN250)&lt;100),"Pend. "&amp;CN250&amp;"%",""))))</f>
        <v/>
      </c>
      <c r="AR250" s="40" t="str">
        <f aca="false">IF(OR(OR(NOT(AND(ISNUMBER(E250),ISNUMBER(F250))),$J$2=""),6&gt;MAX(1,Reprogramaciones!$U$15)),"",IF(Reprogramaciones!P$12&gt;=7,"",IF(OR(BY250-N(BX250)&gt;0.05,N(V250)&gt;0),ROUNDDOWN(ROUND(BY250,6),0)&amp;"%"&amp;IF(CO250="",""," / "&amp;CO250&amp;"%"),IF(AND(N(BX250)&gt;=99.95,CO250&lt;&gt;"",N(CO250)&lt;100),"Pend. "&amp;CO250&amp;"%",""))))</f>
        <v/>
      </c>
      <c r="AS250" s="40" t="str">
        <f aca="false">IF(OR(OR(NOT(AND(ISNUMBER(E250),ISNUMBER(F250))),$J$2=""),7&gt;MAX(1,Reprogramaciones!$U$15)),"",IF(Reprogramaciones!Q$12&gt;=7,"",IF(OR(BZ250-N(BY250)&gt;0.05,N(W250)&gt;0),ROUNDDOWN(ROUND(BZ250,6),0)&amp;"%"&amp;IF(CP250="",""," / "&amp;CP250&amp;"%"),IF(AND(N(BY250)&gt;=99.95,CP250&lt;&gt;"",N(CP250)&lt;100),"Pend. "&amp;CP250&amp;"%",""))))</f>
        <v/>
      </c>
      <c r="AT250" s="40" t="str">
        <f aca="false">IF(OR(OR(NOT(AND(ISNUMBER(E250),ISNUMBER(F250))),$J$2=""),8&gt;MAX(1,Reprogramaciones!$U$15)),"",IF(Reprogramaciones!R$12&gt;=7,"",IF(OR(CA250-N(BZ250)&gt;0.05,N(X250)&gt;0),ROUNDDOWN(ROUND(CA250,6),0)&amp;"%"&amp;IF(CQ250="",""," / "&amp;CQ250&amp;"%"),IF(AND(N(BZ250)&gt;=99.95,CQ250&lt;&gt;"",N(CQ250)&lt;100),"Pend. "&amp;CQ250&amp;"%",""))))</f>
        <v/>
      </c>
      <c r="AU250" s="40" t="str">
        <f aca="false">IF(OR(OR(NOT(AND(ISNUMBER(E250),ISNUMBER(F250))),$J$2=""),9&gt;MAX(1,Reprogramaciones!$U$15)),"",IF(Reprogramaciones!S$12&gt;=7,"",IF(OR(CB250-N(CA250)&gt;0.05,N(Y250)&gt;0),ROUNDDOWN(ROUND(CB250,6),0)&amp;"%"&amp;IF(CR250="",""," / "&amp;CR250&amp;"%"),IF(AND(N(CA250)&gt;=99.95,CR250&lt;&gt;"",N(CR250)&lt;100),"Pend. "&amp;CR250&amp;"%",""))))</f>
        <v/>
      </c>
      <c r="AV250" s="40" t="str">
        <f aca="false">IF(OR(OR(NOT(AND(ISNUMBER(E250),ISNUMBER(F250))),$J$2=""),10&gt;MAX(1,Reprogramaciones!$U$15)),"",IF(Reprogramaciones!T$12&gt;=7,"",IF(OR(CC250-N(CB250)&gt;0.05,N(Z250)&gt;0),ROUNDDOWN(ROUND(CC250,6),0)&amp;"%"&amp;IF(CS250="",""," / "&amp;CS250&amp;"%"),IF(AND(N(CB250)&gt;=99.95,CS250&lt;&gt;"",N(CS250)&lt;100),"Pend. "&amp;CS250&amp;"%",""))))</f>
        <v/>
      </c>
      <c r="AW250" s="40" t="str">
        <f aca="false">IF(OR(OR(NOT(AND(ISNUMBER(E250),ISNUMBER(F250))),$J$2=""),11&gt;MAX(1,Reprogramaciones!$U$15)),"",IF(Reprogramaciones!U$12&gt;=7,"",IF(OR(CD250-N(CC250)&gt;0.05,N(AA250)&gt;0),ROUNDDOWN(ROUND(CD250,6),0)&amp;"%"&amp;IF(CT250="",""," / "&amp;CT250&amp;"%"),IF(AND(N(CC250)&gt;=99.95,CT250&lt;&gt;"",N(CT250)&lt;100),"Pend. "&amp;CT250&amp;"%",""))))</f>
        <v/>
      </c>
      <c r="AX250" s="40" t="str">
        <f aca="false">IF(OR(OR(NOT(AND(ISNUMBER(E250),ISNUMBER(F250))),$J$2=""),12&gt;MAX(1,Reprogramaciones!$U$15)),"",IF(Reprogramaciones!V$12&gt;=7,"",IF(OR(CE250-N(CD250)&gt;0.05,N(AB250)&gt;0),ROUNDDOWN(ROUND(CE250,6),0)&amp;"%"&amp;IF(CU250="",""," / "&amp;CU250&amp;"%"),IF(AND(N(CD250)&gt;=99.95,CU250&lt;&gt;"",N(CU250)&lt;100),"Pend. "&amp;CU250&amp;"%",""))))</f>
        <v/>
      </c>
      <c r="AY250" s="40" t="str">
        <f aca="false">IF(OR(OR(NOT(AND(ISNUMBER(E250),ISNUMBER(F250))),$J$2=""),13&gt;MAX(1,Reprogramaciones!$U$15)),"",IF(Reprogramaciones!W$12&gt;=7,"",IF(OR(CF250-N(CE250)&gt;0.05,N(AC250)&gt;0),ROUNDDOWN(ROUND(CF250,6),0)&amp;"%"&amp;IF(CV250="",""," / "&amp;CV250&amp;"%"),IF(AND(N(CE250)&gt;=99.95,CV250&lt;&gt;"",N(CV250)&lt;100),"Pend. "&amp;CV250&amp;"%",""))))</f>
        <v/>
      </c>
      <c r="AZ250" s="40" t="str">
        <f aca="false">IF(OR(OR(NOT(AND(ISNUMBER(E250),ISNUMBER(F250))),$J$2=""),14&gt;MAX(1,Reprogramaciones!$U$15)),"",IF(Reprogramaciones!X$12&gt;=7,"",IF(OR(CG250-N(CF250)&gt;0.05,N(AD250)&gt;0),ROUNDDOWN(ROUND(CG250,6),0)&amp;"%"&amp;IF(CW250="",""," / "&amp;CW250&amp;"%"),IF(AND(N(CF250)&gt;=99.95,CW250&lt;&gt;"",N(CW250)&lt;100),"Pend. "&amp;CW250&amp;"%",""))))</f>
        <v/>
      </c>
      <c r="BA250" s="40" t="str">
        <f aca="false">IF(OR(OR(NOT(AND(ISNUMBER(E250),ISNUMBER(F250))),$J$2=""),15&gt;MAX(1,Reprogramaciones!$U$15)),"",IF(Reprogramaciones!Y$12&gt;=7,"",IF(OR(CH250-N(CG250)&gt;0.05,N(AE250)&gt;0),ROUNDDOWN(ROUND(CH250,6),0)&amp;"%"&amp;IF(CX250="",""," / "&amp;CX250&amp;"%"),IF(AND(N(CG250)&gt;=99.95,CX250&lt;&gt;"",N(CX250)&lt;100),"Pend. "&amp;CX250&amp;"%",""))))</f>
        <v/>
      </c>
      <c r="BB250" s="40" t="str">
        <f aca="false">IF(OR(OR(NOT(AND(ISNUMBER(E250),ISNUMBER(F250))),$J$2=""),16&gt;MAX(1,Reprogramaciones!$U$15)),"",IF(Reprogramaciones!Z$12&gt;=7,"",IF(OR(CI250-N(CH250)&gt;0.05,N(AF250)&gt;0),ROUNDDOWN(ROUND(CI250,6),0)&amp;"%"&amp;IF(CY250="",""," / "&amp;CY250&amp;"%"),IF(AND(N(CH250)&gt;=99.95,CY250&lt;&gt;"",N(CY250)&lt;100),"Pend. "&amp;CY250&amp;"%",""))))</f>
        <v/>
      </c>
      <c r="BC250" s="31" t="n">
        <f aca="false">IF(AND(ISNUMBER(E250),ISNUMBER(F250)),MAX(1,NETWORKDAYS.INTL(E250,F250,11)),0)</f>
        <v>0</v>
      </c>
      <c r="BD250" s="1" t="str">
        <f aca="false">IF(OR(NOT(AND(ISNUMBER(E250),ISNUMBER(F250))),$J$2=""),"",MIN(100,ROUND(SUM($G250:G250),1)))</f>
        <v/>
      </c>
      <c r="BE250" s="1" t="str">
        <f aca="false">IF(OR(NOT(AND(ISNUMBER(E250),ISNUMBER(F250))),$J$2=""),"",MIN(100,ROUND(SUM($G250:H250),1)))</f>
        <v/>
      </c>
      <c r="BF250" s="1" t="str">
        <f aca="false">IF(OR(NOT(AND(ISNUMBER(E250),ISNUMBER(F250))),$J$2=""),"",MIN(100,ROUND(SUM($G250:I250),1)))</f>
        <v/>
      </c>
      <c r="BG250" s="1" t="str">
        <f aca="false">IF(OR(NOT(AND(ISNUMBER(E250),ISNUMBER(F250))),$J$2=""),"",MIN(100,ROUND(SUM($G250:J250),1)))</f>
        <v/>
      </c>
      <c r="BH250" s="1" t="str">
        <f aca="false">IF(OR(NOT(AND(ISNUMBER(E250),ISNUMBER(F250))),$J$2=""),"",MIN(100,ROUND(SUM($G250:K250),1)))</f>
        <v/>
      </c>
      <c r="BI250" s="1" t="str">
        <f aca="false">IF(OR(NOT(AND(ISNUMBER(E250),ISNUMBER(F250))),$J$2=""),"",MIN(100,ROUND(SUM($G250:L250),1)))</f>
        <v/>
      </c>
      <c r="BJ250" s="1" t="str">
        <f aca="false">IF(OR(NOT(AND(ISNUMBER(E250),ISNUMBER(F250))),$J$2=""),"",MIN(100,ROUND(SUM($G250:M250),1)))</f>
        <v/>
      </c>
      <c r="BK250" s="1" t="str">
        <f aca="false">IF(OR(NOT(AND(ISNUMBER(E250),ISNUMBER(F250))),$J$2=""),"",MIN(100,ROUND(SUM($G250:N250),1)))</f>
        <v/>
      </c>
      <c r="BL250" s="1" t="str">
        <f aca="false">IF(OR(NOT(AND(ISNUMBER(E250),ISNUMBER(F250))),$J$2=""),"",MIN(100,ROUND(SUM($G250:O250),1)))</f>
        <v/>
      </c>
      <c r="BM250" s="1" t="str">
        <f aca="false">IF(OR(NOT(AND(ISNUMBER(E250),ISNUMBER(F250))),$J$2=""),"",MIN(100,ROUND(SUM($G250:P250),1)))</f>
        <v/>
      </c>
      <c r="BN250" s="1" t="str">
        <f aca="false">IF(OR(NOT(AND(ISNUMBER(E250),ISNUMBER(F250))),$J$2=""),"",MIN(100,ROUND(SUM($G250:P250),1)))</f>
        <v/>
      </c>
      <c r="BO250" s="1" t="str">
        <f aca="false">IF(OR(NOT(AND(ISNUMBER(E250),ISNUMBER(F250))),$J$2=""),"",MIN(100,ROUND(SUM($G250:P250),1)))</f>
        <v/>
      </c>
      <c r="BP250" s="1" t="str">
        <f aca="false">IF(OR(NOT(AND(ISNUMBER(E250),ISNUMBER(F250))),$J$2=""),"",MIN(100,ROUND(SUM($G250:P250),1)))</f>
        <v/>
      </c>
      <c r="BQ250" s="1" t="str">
        <f aca="false">IF(OR(NOT(AND(ISNUMBER(E250),ISNUMBER(F250))),$J$2=""),"",MIN(100,ROUND(SUM($G250:P250),1)))</f>
        <v/>
      </c>
      <c r="BR250" s="1" t="str">
        <f aca="false">IF(OR(NOT(AND(ISNUMBER(E250),ISNUMBER(F250))),$J$2=""),"",MIN(100,ROUND(SUM($G250:P250),1)))</f>
        <v/>
      </c>
      <c r="BS250" s="1" t="str">
        <f aca="false">IF(OR(NOT(AND(ISNUMBER(E250),ISNUMBER(F250))),$J$2=""),"",MIN(100,ROUND(SUM($G250:P250),1)))</f>
        <v/>
      </c>
      <c r="BT250" s="1" t="str">
        <f aca="false">IF(OR(NOT(AND(ISNUMBER(E250),ISNUMBER(F250))),$J$2=""),"",IF(Reprogramaciones!K$13&lt;Reprogramaciones!$T$15,0,IF(Reprogramaciones!K$14&gt;10,MIN(100,SUM($G250:$P250)),MIN(100,SUMPRODUCT((COLUMN($G250:$P250)-COLUMN($G250)+1&lt;Reprogramaciones!K$14)*$G250:$P250)+N(INDEX($G250:$P250,1,Reprogramaciones!K$14))*IF(Reprogramaciones!K$13&gt;=(Reprogramaciones!$T$15+7*(Reprogramaciones!K$14-1))+6,1,IF(MAX(0,NETWORKDAYS.INTL(MAX(E250,(Reprogramaciones!$T$15+7*(Reprogramaciones!K$14-1))),MIN(F250,(Reprogramaciones!$T$15+7*(Reprogramaciones!K$14-1))+6),11))=0,0,MAX(0,NETWORKDAYS.INTL(MAX(E250,(Reprogramaciones!$T$15+7*(Reprogramaciones!K$14-1))),MIN(F250,Reprogramaciones!K$13),11))/MAX(0,NETWORKDAYS.INTL(MAX(E250,(Reprogramaciones!$T$15+7*(Reprogramaciones!K$14-1))),MIN(F250,(Reprogramaciones!$T$15+7*(Reprogramaciones!K$14-1))+6),11))))))))</f>
        <v/>
      </c>
      <c r="BU250" s="1" t="str">
        <f aca="false">IF(OR(NOT(AND(ISNUMBER(E250),ISNUMBER(F250))),$J$2=""),"",IF(Reprogramaciones!L$13&lt;Reprogramaciones!$T$15,0,IF(Reprogramaciones!L$14&gt;10,MIN(100,SUM($G250:$P250)),MIN(100,SUMPRODUCT((COLUMN($G250:$P250)-COLUMN($G250)+1&lt;Reprogramaciones!L$14)*$G250:$P250)+N(INDEX($G250:$P250,1,Reprogramaciones!L$14))*IF(Reprogramaciones!L$13&gt;=(Reprogramaciones!$T$15+7*(Reprogramaciones!L$14-1))+6,1,IF(MAX(0,NETWORKDAYS.INTL(MAX(E250,(Reprogramaciones!$T$15+7*(Reprogramaciones!L$14-1))),MIN(F250,(Reprogramaciones!$T$15+7*(Reprogramaciones!L$14-1))+6),11))=0,0,MAX(0,NETWORKDAYS.INTL(MAX(E250,(Reprogramaciones!$T$15+7*(Reprogramaciones!L$14-1))),MIN(F250,Reprogramaciones!L$13),11))/MAX(0,NETWORKDAYS.INTL(MAX(E250,(Reprogramaciones!$T$15+7*(Reprogramaciones!L$14-1))),MIN(F250,(Reprogramaciones!$T$15+7*(Reprogramaciones!L$14-1))+6),11))))))))</f>
        <v/>
      </c>
      <c r="BV250" s="1" t="str">
        <f aca="false">IF(OR(NOT(AND(ISNUMBER(E250),ISNUMBER(F250))),$J$2=""),"",IF(Reprogramaciones!M$13&lt;Reprogramaciones!$T$15,0,IF(Reprogramaciones!M$14&gt;10,MIN(100,SUM($G250:$P250)),MIN(100,SUMPRODUCT((COLUMN($G250:$P250)-COLUMN($G250)+1&lt;Reprogramaciones!M$14)*$G250:$P250)+N(INDEX($G250:$P250,1,Reprogramaciones!M$14))*IF(Reprogramaciones!M$13&gt;=(Reprogramaciones!$T$15+7*(Reprogramaciones!M$14-1))+6,1,IF(MAX(0,NETWORKDAYS.INTL(MAX(E250,(Reprogramaciones!$T$15+7*(Reprogramaciones!M$14-1))),MIN(F250,(Reprogramaciones!$T$15+7*(Reprogramaciones!M$14-1))+6),11))=0,0,MAX(0,NETWORKDAYS.INTL(MAX(E250,(Reprogramaciones!$T$15+7*(Reprogramaciones!M$14-1))),MIN(F250,Reprogramaciones!M$13),11))/MAX(0,NETWORKDAYS.INTL(MAX(E250,(Reprogramaciones!$T$15+7*(Reprogramaciones!M$14-1))),MIN(F250,(Reprogramaciones!$T$15+7*(Reprogramaciones!M$14-1))+6),11))))))))</f>
        <v/>
      </c>
      <c r="BW250" s="1" t="str">
        <f aca="false">IF(OR(NOT(AND(ISNUMBER(E250),ISNUMBER(F250))),$J$2=""),"",IF(Reprogramaciones!N$13&lt;Reprogramaciones!$T$15,0,IF(Reprogramaciones!N$14&gt;10,MIN(100,SUM($G250:$P250)),MIN(100,SUMPRODUCT((COLUMN($G250:$P250)-COLUMN($G250)+1&lt;Reprogramaciones!N$14)*$G250:$P250)+N(INDEX($G250:$P250,1,Reprogramaciones!N$14))*IF(Reprogramaciones!N$13&gt;=(Reprogramaciones!$T$15+7*(Reprogramaciones!N$14-1))+6,1,IF(MAX(0,NETWORKDAYS.INTL(MAX(E250,(Reprogramaciones!$T$15+7*(Reprogramaciones!N$14-1))),MIN(F250,(Reprogramaciones!$T$15+7*(Reprogramaciones!N$14-1))+6),11))=0,0,MAX(0,NETWORKDAYS.INTL(MAX(E250,(Reprogramaciones!$T$15+7*(Reprogramaciones!N$14-1))),MIN(F250,Reprogramaciones!N$13),11))/MAX(0,NETWORKDAYS.INTL(MAX(E250,(Reprogramaciones!$T$15+7*(Reprogramaciones!N$14-1))),MIN(F250,(Reprogramaciones!$T$15+7*(Reprogramaciones!N$14-1))+6),11))))))))</f>
        <v/>
      </c>
      <c r="BX250" s="1" t="str">
        <f aca="false">IF(OR(NOT(AND(ISNUMBER(E250),ISNUMBER(F250))),$J$2=""),"",IF(Reprogramaciones!O$13&lt;Reprogramaciones!$T$15,0,IF(Reprogramaciones!O$14&gt;10,MIN(100,SUM($G250:$P250)),MIN(100,SUMPRODUCT((COLUMN($G250:$P250)-COLUMN($G250)+1&lt;Reprogramaciones!O$14)*$G250:$P250)+N(INDEX($G250:$P250,1,Reprogramaciones!O$14))*IF(Reprogramaciones!O$13&gt;=(Reprogramaciones!$T$15+7*(Reprogramaciones!O$14-1))+6,1,IF(MAX(0,NETWORKDAYS.INTL(MAX(E250,(Reprogramaciones!$T$15+7*(Reprogramaciones!O$14-1))),MIN(F250,(Reprogramaciones!$T$15+7*(Reprogramaciones!O$14-1))+6),11))=0,0,MAX(0,NETWORKDAYS.INTL(MAX(E250,(Reprogramaciones!$T$15+7*(Reprogramaciones!O$14-1))),MIN(F250,Reprogramaciones!O$13),11))/MAX(0,NETWORKDAYS.INTL(MAX(E250,(Reprogramaciones!$T$15+7*(Reprogramaciones!O$14-1))),MIN(F250,(Reprogramaciones!$T$15+7*(Reprogramaciones!O$14-1))+6),11))))))))</f>
        <v/>
      </c>
      <c r="BY250" s="1" t="str">
        <f aca="false">IF(OR(NOT(AND(ISNUMBER(E250),ISNUMBER(F250))),$J$2=""),"",IF(Reprogramaciones!P$13&lt;Reprogramaciones!$T$15,0,IF(Reprogramaciones!P$14&gt;10,MIN(100,SUM($G250:$P250)),MIN(100,SUMPRODUCT((COLUMN($G250:$P250)-COLUMN($G250)+1&lt;Reprogramaciones!P$14)*$G250:$P250)+N(INDEX($G250:$P250,1,Reprogramaciones!P$14))*IF(Reprogramaciones!P$13&gt;=(Reprogramaciones!$T$15+7*(Reprogramaciones!P$14-1))+6,1,IF(MAX(0,NETWORKDAYS.INTL(MAX(E250,(Reprogramaciones!$T$15+7*(Reprogramaciones!P$14-1))),MIN(F250,(Reprogramaciones!$T$15+7*(Reprogramaciones!P$14-1))+6),11))=0,0,MAX(0,NETWORKDAYS.INTL(MAX(E250,(Reprogramaciones!$T$15+7*(Reprogramaciones!P$14-1))),MIN(F250,Reprogramaciones!P$13),11))/MAX(0,NETWORKDAYS.INTL(MAX(E250,(Reprogramaciones!$T$15+7*(Reprogramaciones!P$14-1))),MIN(F250,(Reprogramaciones!$T$15+7*(Reprogramaciones!P$14-1))+6),11))))))))</f>
        <v/>
      </c>
      <c r="BZ250" s="1" t="str">
        <f aca="false">IF(OR(NOT(AND(ISNUMBER(E250),ISNUMBER(F250))),$J$2=""),"",IF(Reprogramaciones!Q$13&lt;Reprogramaciones!$T$15,0,IF(Reprogramaciones!Q$14&gt;10,MIN(100,SUM($G250:$P250)),MIN(100,SUMPRODUCT((COLUMN($G250:$P250)-COLUMN($G250)+1&lt;Reprogramaciones!Q$14)*$G250:$P250)+N(INDEX($G250:$P250,1,Reprogramaciones!Q$14))*IF(Reprogramaciones!Q$13&gt;=(Reprogramaciones!$T$15+7*(Reprogramaciones!Q$14-1))+6,1,IF(MAX(0,NETWORKDAYS.INTL(MAX(E250,(Reprogramaciones!$T$15+7*(Reprogramaciones!Q$14-1))),MIN(F250,(Reprogramaciones!$T$15+7*(Reprogramaciones!Q$14-1))+6),11))=0,0,MAX(0,NETWORKDAYS.INTL(MAX(E250,(Reprogramaciones!$T$15+7*(Reprogramaciones!Q$14-1))),MIN(F250,Reprogramaciones!Q$13),11))/MAX(0,NETWORKDAYS.INTL(MAX(E250,(Reprogramaciones!$T$15+7*(Reprogramaciones!Q$14-1))),MIN(F250,(Reprogramaciones!$T$15+7*(Reprogramaciones!Q$14-1))+6),11))))))))</f>
        <v/>
      </c>
      <c r="CA250" s="1" t="str">
        <f aca="false">IF(OR(NOT(AND(ISNUMBER(E250),ISNUMBER(F250))),$J$2=""),"",IF(Reprogramaciones!R$13&lt;Reprogramaciones!$T$15,0,IF(Reprogramaciones!R$14&gt;10,MIN(100,SUM($G250:$P250)),MIN(100,SUMPRODUCT((COLUMN($G250:$P250)-COLUMN($G250)+1&lt;Reprogramaciones!R$14)*$G250:$P250)+N(INDEX($G250:$P250,1,Reprogramaciones!R$14))*IF(Reprogramaciones!R$13&gt;=(Reprogramaciones!$T$15+7*(Reprogramaciones!R$14-1))+6,1,IF(MAX(0,NETWORKDAYS.INTL(MAX(E250,(Reprogramaciones!$T$15+7*(Reprogramaciones!R$14-1))),MIN(F250,(Reprogramaciones!$T$15+7*(Reprogramaciones!R$14-1))+6),11))=0,0,MAX(0,NETWORKDAYS.INTL(MAX(E250,(Reprogramaciones!$T$15+7*(Reprogramaciones!R$14-1))),MIN(F250,Reprogramaciones!R$13),11))/MAX(0,NETWORKDAYS.INTL(MAX(E250,(Reprogramaciones!$T$15+7*(Reprogramaciones!R$14-1))),MIN(F250,(Reprogramaciones!$T$15+7*(Reprogramaciones!R$14-1))+6),11))))))))</f>
        <v/>
      </c>
      <c r="CB250" s="1" t="str">
        <f aca="false">IF(OR(NOT(AND(ISNUMBER(E250),ISNUMBER(F250))),$J$2=""),"",IF(Reprogramaciones!S$13&lt;Reprogramaciones!$T$15,0,IF(Reprogramaciones!S$14&gt;10,MIN(100,SUM($G250:$P250)),MIN(100,SUMPRODUCT((COLUMN($G250:$P250)-COLUMN($G250)+1&lt;Reprogramaciones!S$14)*$G250:$P250)+N(INDEX($G250:$P250,1,Reprogramaciones!S$14))*IF(Reprogramaciones!S$13&gt;=(Reprogramaciones!$T$15+7*(Reprogramaciones!S$14-1))+6,1,IF(MAX(0,NETWORKDAYS.INTL(MAX(E250,(Reprogramaciones!$T$15+7*(Reprogramaciones!S$14-1))),MIN(F250,(Reprogramaciones!$T$15+7*(Reprogramaciones!S$14-1))+6),11))=0,0,MAX(0,NETWORKDAYS.INTL(MAX(E250,(Reprogramaciones!$T$15+7*(Reprogramaciones!S$14-1))),MIN(F250,Reprogramaciones!S$13),11))/MAX(0,NETWORKDAYS.INTL(MAX(E250,(Reprogramaciones!$T$15+7*(Reprogramaciones!S$14-1))),MIN(F250,(Reprogramaciones!$T$15+7*(Reprogramaciones!S$14-1))+6),11))))))))</f>
        <v/>
      </c>
      <c r="CC250" s="1" t="str">
        <f aca="false">IF(OR(NOT(AND(ISNUMBER(E250),ISNUMBER(F250))),$J$2=""),"",IF(Reprogramaciones!T$13&lt;Reprogramaciones!$T$15,0,IF(Reprogramaciones!T$14&gt;10,MIN(100,SUM($G250:$P250)),MIN(100,SUMPRODUCT((COLUMN($G250:$P250)-COLUMN($G250)+1&lt;Reprogramaciones!T$14)*$G250:$P250)+N(INDEX($G250:$P250,1,Reprogramaciones!T$14))*IF(Reprogramaciones!T$13&gt;=(Reprogramaciones!$T$15+7*(Reprogramaciones!T$14-1))+6,1,IF(MAX(0,NETWORKDAYS.INTL(MAX(E250,(Reprogramaciones!$T$15+7*(Reprogramaciones!T$14-1))),MIN(F250,(Reprogramaciones!$T$15+7*(Reprogramaciones!T$14-1))+6),11))=0,0,MAX(0,NETWORKDAYS.INTL(MAX(E250,(Reprogramaciones!$T$15+7*(Reprogramaciones!T$14-1))),MIN(F250,Reprogramaciones!T$13),11))/MAX(0,NETWORKDAYS.INTL(MAX(E250,(Reprogramaciones!$T$15+7*(Reprogramaciones!T$14-1))),MIN(F250,(Reprogramaciones!$T$15+7*(Reprogramaciones!T$14-1))+6),11))))))))</f>
        <v/>
      </c>
      <c r="CD250" s="1" t="str">
        <f aca="false">IF(OR(NOT(AND(ISNUMBER(E250),ISNUMBER(F250))),$J$2=""),"",IF(Reprogramaciones!U$13&lt;Reprogramaciones!$T$15,0,IF(Reprogramaciones!U$14&gt;10,MIN(100,SUM($G250:$P250)),MIN(100,SUMPRODUCT((COLUMN($G250:$P250)-COLUMN($G250)+1&lt;Reprogramaciones!U$14)*$G250:$P250)+N(INDEX($G250:$P250,1,Reprogramaciones!U$14))*IF(Reprogramaciones!U$13&gt;=(Reprogramaciones!$T$15+7*(Reprogramaciones!U$14-1))+6,1,IF(MAX(0,NETWORKDAYS.INTL(MAX(E250,(Reprogramaciones!$T$15+7*(Reprogramaciones!U$14-1))),MIN(F250,(Reprogramaciones!$T$15+7*(Reprogramaciones!U$14-1))+6),11))=0,0,MAX(0,NETWORKDAYS.INTL(MAX(E250,(Reprogramaciones!$T$15+7*(Reprogramaciones!U$14-1))),MIN(F250,Reprogramaciones!U$13),11))/MAX(0,NETWORKDAYS.INTL(MAX(E250,(Reprogramaciones!$T$15+7*(Reprogramaciones!U$14-1))),MIN(F250,(Reprogramaciones!$T$15+7*(Reprogramaciones!U$14-1))+6),11))))))))</f>
        <v/>
      </c>
      <c r="CE250" s="1" t="str">
        <f aca="false">IF(OR(NOT(AND(ISNUMBER(E250),ISNUMBER(F250))),$J$2=""),"",IF(Reprogramaciones!V$13&lt;Reprogramaciones!$T$15,0,IF(Reprogramaciones!V$14&gt;10,MIN(100,SUM($G250:$P250)),MIN(100,SUMPRODUCT((COLUMN($G250:$P250)-COLUMN($G250)+1&lt;Reprogramaciones!V$14)*$G250:$P250)+N(INDEX($G250:$P250,1,Reprogramaciones!V$14))*IF(Reprogramaciones!V$13&gt;=(Reprogramaciones!$T$15+7*(Reprogramaciones!V$14-1))+6,1,IF(MAX(0,NETWORKDAYS.INTL(MAX(E250,(Reprogramaciones!$T$15+7*(Reprogramaciones!V$14-1))),MIN(F250,(Reprogramaciones!$T$15+7*(Reprogramaciones!V$14-1))+6),11))=0,0,MAX(0,NETWORKDAYS.INTL(MAX(E250,(Reprogramaciones!$T$15+7*(Reprogramaciones!V$14-1))),MIN(F250,Reprogramaciones!V$13),11))/MAX(0,NETWORKDAYS.INTL(MAX(E250,(Reprogramaciones!$T$15+7*(Reprogramaciones!V$14-1))),MIN(F250,(Reprogramaciones!$T$15+7*(Reprogramaciones!V$14-1))+6),11))))))))</f>
        <v/>
      </c>
      <c r="CF250" s="1" t="str">
        <f aca="false">IF(OR(NOT(AND(ISNUMBER(E250),ISNUMBER(F250))),$J$2=""),"",IF(Reprogramaciones!W$13&lt;Reprogramaciones!$T$15,0,IF(Reprogramaciones!W$14&gt;10,MIN(100,SUM($G250:$P250)),MIN(100,SUMPRODUCT((COLUMN($G250:$P250)-COLUMN($G250)+1&lt;Reprogramaciones!W$14)*$G250:$P250)+N(INDEX($G250:$P250,1,Reprogramaciones!W$14))*IF(Reprogramaciones!W$13&gt;=(Reprogramaciones!$T$15+7*(Reprogramaciones!W$14-1))+6,1,IF(MAX(0,NETWORKDAYS.INTL(MAX(E250,(Reprogramaciones!$T$15+7*(Reprogramaciones!W$14-1))),MIN(F250,(Reprogramaciones!$T$15+7*(Reprogramaciones!W$14-1))+6),11))=0,0,MAX(0,NETWORKDAYS.INTL(MAX(E250,(Reprogramaciones!$T$15+7*(Reprogramaciones!W$14-1))),MIN(F250,Reprogramaciones!W$13),11))/MAX(0,NETWORKDAYS.INTL(MAX(E250,(Reprogramaciones!$T$15+7*(Reprogramaciones!W$14-1))),MIN(F250,(Reprogramaciones!$T$15+7*(Reprogramaciones!W$14-1))+6),11))))))))</f>
        <v/>
      </c>
      <c r="CG250" s="1" t="str">
        <f aca="false">IF(OR(NOT(AND(ISNUMBER(E250),ISNUMBER(F250))),$J$2=""),"",IF(Reprogramaciones!X$13&lt;Reprogramaciones!$T$15,0,IF(Reprogramaciones!X$14&gt;10,MIN(100,SUM($G250:$P250)),MIN(100,SUMPRODUCT((COLUMN($G250:$P250)-COLUMN($G250)+1&lt;Reprogramaciones!X$14)*$G250:$P250)+N(INDEX($G250:$P250,1,Reprogramaciones!X$14))*IF(Reprogramaciones!X$13&gt;=(Reprogramaciones!$T$15+7*(Reprogramaciones!X$14-1))+6,1,IF(MAX(0,NETWORKDAYS.INTL(MAX(E250,(Reprogramaciones!$T$15+7*(Reprogramaciones!X$14-1))),MIN(F250,(Reprogramaciones!$T$15+7*(Reprogramaciones!X$14-1))+6),11))=0,0,MAX(0,NETWORKDAYS.INTL(MAX(E250,(Reprogramaciones!$T$15+7*(Reprogramaciones!X$14-1))),MIN(F250,Reprogramaciones!X$13),11))/MAX(0,NETWORKDAYS.INTL(MAX(E250,(Reprogramaciones!$T$15+7*(Reprogramaciones!X$14-1))),MIN(F250,(Reprogramaciones!$T$15+7*(Reprogramaciones!X$14-1))+6),11))))))))</f>
        <v/>
      </c>
      <c r="CH250" s="1" t="str">
        <f aca="false">IF(OR(NOT(AND(ISNUMBER(E250),ISNUMBER(F250))),$J$2=""),"",IF(Reprogramaciones!Y$13&lt;Reprogramaciones!$T$15,0,IF(Reprogramaciones!Y$14&gt;10,MIN(100,SUM($G250:$P250)),MIN(100,SUMPRODUCT((COLUMN($G250:$P250)-COLUMN($G250)+1&lt;Reprogramaciones!Y$14)*$G250:$P250)+N(INDEX($G250:$P250,1,Reprogramaciones!Y$14))*IF(Reprogramaciones!Y$13&gt;=(Reprogramaciones!$T$15+7*(Reprogramaciones!Y$14-1))+6,1,IF(MAX(0,NETWORKDAYS.INTL(MAX(E250,(Reprogramaciones!$T$15+7*(Reprogramaciones!Y$14-1))),MIN(F250,(Reprogramaciones!$T$15+7*(Reprogramaciones!Y$14-1))+6),11))=0,0,MAX(0,NETWORKDAYS.INTL(MAX(E250,(Reprogramaciones!$T$15+7*(Reprogramaciones!Y$14-1))),MIN(F250,Reprogramaciones!Y$13),11))/MAX(0,NETWORKDAYS.INTL(MAX(E250,(Reprogramaciones!$T$15+7*(Reprogramaciones!Y$14-1))),MIN(F250,(Reprogramaciones!$T$15+7*(Reprogramaciones!Y$14-1))+6),11))))))))</f>
        <v/>
      </c>
      <c r="CI250" s="1" t="str">
        <f aca="false">IF(OR(NOT(AND(ISNUMBER(E250),ISNUMBER(F250))),$J$2=""),"",IF(Reprogramaciones!Z$13&lt;Reprogramaciones!$T$15,0,IF(Reprogramaciones!Z$14&gt;10,MIN(100,SUM($G250:$P250)),MIN(100,SUMPRODUCT((COLUMN($G250:$P250)-COLUMN($G250)+1&lt;Reprogramaciones!Z$14)*$G250:$P250)+N(INDEX($G250:$P250,1,Reprogramaciones!Z$14))*IF(Reprogramaciones!Z$13&gt;=(Reprogramaciones!$T$15+7*(Reprogramaciones!Z$14-1))+6,1,IF(MAX(0,NETWORKDAYS.INTL(MAX(E250,(Reprogramaciones!$T$15+7*(Reprogramaciones!Z$14-1))),MIN(F250,(Reprogramaciones!$T$15+7*(Reprogramaciones!Z$14-1))+6),11))=0,0,MAX(0,NETWORKDAYS.INTL(MAX(E250,(Reprogramaciones!$T$15+7*(Reprogramaciones!Z$14-1))),MIN(F250,Reprogramaciones!Z$13),11))/MAX(0,NETWORKDAYS.INTL(MAX(E250,(Reprogramaciones!$T$15+7*(Reprogramaciones!Z$14-1))),MIN(F250,(Reprogramaciones!$T$15+7*(Reprogramaciones!Z$14-1))+6),11))))))))</f>
        <v/>
      </c>
      <c r="CJ250" s="1" t="str">
        <f aca="false">IF(OR(OR(NOT(AND(ISNUMBER(E250),ISNUMBER(F250))),$J$2=""),1&gt;Reprogramaciones!$K$16),"",IF(ROUND(SUM($Q250:Q250),1)&gt;=99.5,100,MIN(100,ROUND(SUM($Q250:Q250),1))))</f>
        <v/>
      </c>
      <c r="CK250" s="1" t="str">
        <f aca="false">IF(OR(OR(NOT(AND(ISNUMBER(E250),ISNUMBER(F250))),$J$2=""),2&gt;Reprogramaciones!$K$16),"",IF(ROUND(SUM($Q250:R250),1)&gt;=99.5,100,MIN(100,ROUND(SUM($Q250:R250),1))))</f>
        <v/>
      </c>
      <c r="CL250" s="1" t="str">
        <f aca="false">IF(OR(OR(NOT(AND(ISNUMBER(E250),ISNUMBER(F250))),$J$2=""),3&gt;Reprogramaciones!$K$16),"",IF(ROUND(SUM($Q250:S250),1)&gt;=99.5,100,MIN(100,ROUND(SUM($Q250:S250),1))))</f>
        <v/>
      </c>
      <c r="CM250" s="1" t="str">
        <f aca="false">IF(OR(OR(NOT(AND(ISNUMBER(E250),ISNUMBER(F250))),$J$2=""),4&gt;Reprogramaciones!$K$16),"",IF(ROUND(SUM($Q250:T250),1)&gt;=99.5,100,MIN(100,ROUND(SUM($Q250:T250),1))))</f>
        <v/>
      </c>
      <c r="CN250" s="1" t="str">
        <f aca="false">IF(OR(OR(NOT(AND(ISNUMBER(E250),ISNUMBER(F250))),$J$2=""),5&gt;Reprogramaciones!$K$16),"",IF(ROUND(SUM($Q250:U250),1)&gt;=99.5,100,MIN(100,ROUND(SUM($Q250:U250),1))))</f>
        <v/>
      </c>
      <c r="CO250" s="1" t="str">
        <f aca="false">IF(OR(OR(NOT(AND(ISNUMBER(E250),ISNUMBER(F250))),$J$2=""),6&gt;Reprogramaciones!$K$16),"",IF(ROUND(SUM($Q250:V250),1)&gt;=99.5,100,MIN(100,ROUND(SUM($Q250:V250),1))))</f>
        <v/>
      </c>
      <c r="CP250" s="1" t="str">
        <f aca="false">IF(OR(OR(NOT(AND(ISNUMBER(E250),ISNUMBER(F250))),$J$2=""),7&gt;Reprogramaciones!$K$16),"",IF(ROUND(SUM($Q250:W250),1)&gt;=99.5,100,MIN(100,ROUND(SUM($Q250:W250),1))))</f>
        <v/>
      </c>
      <c r="CQ250" s="1" t="str">
        <f aca="false">IF(OR(OR(NOT(AND(ISNUMBER(E250),ISNUMBER(F250))),$J$2=""),8&gt;Reprogramaciones!$K$16),"",IF(ROUND(SUM($Q250:X250),1)&gt;=99.5,100,MIN(100,ROUND(SUM($Q250:X250),1))))</f>
        <v/>
      </c>
      <c r="CR250" s="1" t="str">
        <f aca="false">IF(OR(OR(NOT(AND(ISNUMBER(E250),ISNUMBER(F250))),$J$2=""),9&gt;Reprogramaciones!$K$16),"",IF(ROUND(SUM($Q250:Y250),1)&gt;=99.5,100,MIN(100,ROUND(SUM($Q250:Y250),1))))</f>
        <v/>
      </c>
      <c r="CS250" s="1" t="str">
        <f aca="false">IF(OR(OR(NOT(AND(ISNUMBER(E250),ISNUMBER(F250))),$J$2=""),10&gt;Reprogramaciones!$K$16),"",IF(ROUND(SUM($Q250:Z250),1)&gt;=99.5,100,MIN(100,ROUND(SUM($Q250:Z250),1))))</f>
        <v/>
      </c>
      <c r="CT250" s="1" t="str">
        <f aca="false">IF(OR(OR(NOT(AND(ISNUMBER(E250),ISNUMBER(F250))),$J$2=""),11&gt;Reprogramaciones!$K$16),"",IF(ROUND(SUM($Q250:AA250),1)&gt;=99.5,100,MIN(100,ROUND(SUM($Q250:AA250),1))))</f>
        <v/>
      </c>
      <c r="CU250" s="1" t="str">
        <f aca="false">IF(OR(OR(NOT(AND(ISNUMBER(E250),ISNUMBER(F250))),$J$2=""),12&gt;Reprogramaciones!$K$16),"",IF(ROUND(SUM($Q250:AB250),1)&gt;=99.5,100,MIN(100,ROUND(SUM($Q250:AB250),1))))</f>
        <v/>
      </c>
      <c r="CV250" s="1" t="str">
        <f aca="false">IF(OR(OR(NOT(AND(ISNUMBER(E250),ISNUMBER(F250))),$J$2=""),13&gt;Reprogramaciones!$K$16),"",IF(ROUND(SUM($Q250:AC250),1)&gt;=99.5,100,MIN(100,ROUND(SUM($Q250:AC250),1))))</f>
        <v/>
      </c>
      <c r="CW250" s="1" t="str">
        <f aca="false">IF(OR(OR(NOT(AND(ISNUMBER(E250),ISNUMBER(F250))),$J$2=""),14&gt;Reprogramaciones!$K$16),"",IF(ROUND(SUM($Q250:AD250),1)&gt;=99.5,100,MIN(100,ROUND(SUM($Q250:AD250),1))))</f>
        <v/>
      </c>
      <c r="CX250" s="1" t="str">
        <f aca="false">IF(OR(OR(NOT(AND(ISNUMBER(E250),ISNUMBER(F250))),$J$2=""),15&gt;Reprogramaciones!$K$16),"",IF(ROUND(SUM($Q250:AE250),1)&gt;=99.5,100,MIN(100,ROUND(SUM($Q250:AE250),1))))</f>
        <v/>
      </c>
      <c r="CY250" s="1" t="str">
        <f aca="false">IF(OR(OR(NOT(AND(ISNUMBER(E250),ISNUMBER(F250))),$J$2=""),16&gt;Reprogramaciones!$K$16),"",IF(ROUND(SUM($Q250:AF250),1)&gt;=99.5,100,MIN(100,ROUND(SUM($Q250:AF250),1))))</f>
        <v/>
      </c>
      <c r="CZ250" s="1" t="str">
        <f aca="false">IF(D250&lt;&gt;"",D250,IF(B250&lt;&gt;"","Contractual",CZ249))</f>
        <v>Contractual</v>
      </c>
      <c r="DA250" s="1" t="str">
        <f aca="false">IF(OR(NOT(AND(ISNUMBER(E250),ISNUMBER(F250))),$J$2=""),"",IF(Reprogramaciones!$Q$15&lt;Reprogramaciones!$T$15,0,IF(Reprogramaciones!$S$15&gt;10,MIN(100,SUM($G250:$P250)),MIN(100,SUMPRODUCT((COLUMN($G250:$P250)-COLUMN($G250)+1&lt;Reprogramaciones!$S$15)*$G250:$P250)+N(INDEX($G250:$P250,1,Reprogramaciones!$S$15))*IF(Reprogramaciones!$Q$15&gt;=(Reprogramaciones!$T$15+7*(Reprogramaciones!$S$15-1))+6,1,IF(MAX(0,NETWORKDAYS.INTL(MAX(E250,(Reprogramaciones!$T$15+7*(Reprogramaciones!$S$15-1))),MIN(F250,(Reprogramaciones!$T$15+7*(Reprogramaciones!$S$15-1))+6),11))=0,0,MAX(0,NETWORKDAYS.INTL(MAX(E250,(Reprogramaciones!$T$15+7*(Reprogramaciones!$S$15-1))),MIN(F250,Reprogramaciones!$Q$15),11))/MAX(0,NETWORKDAYS.INTL(MAX(E250,(Reprogramaciones!$T$15+7*(Reprogramaciones!$S$15-1))),MIN(F250,(Reprogramaciones!$T$15+7*(Reprogramaciones!$S$15-1))+6),11))))))))</f>
        <v/>
      </c>
    </row>
    <row r="251" customFormat="false" ht="15" hidden="false" customHeight="false" outlineLevel="0" collapsed="false">
      <c r="A251" s="32"/>
      <c r="B251" s="33"/>
      <c r="C251" s="33"/>
      <c r="D251" s="34"/>
      <c r="E251" s="35"/>
      <c r="F251" s="35"/>
      <c r="G251" s="36" t="str">
        <f aca="false">IF(OR(NOT(AND(ISNUMBER(E251),ISNUMBER(F251))),$J$2=""),"",IF(Reprogramaciones!K$9&lt;E251,0,IF(NETWORKDAYS.INTL(E251,F251,11)=0,IF(Reprogramaciones!K$9&gt;=F251,100,0),ROUND(NETWORKDAYS.INTL(E251,MIN(F251,Reprogramaciones!K$9),11)/NETWORKDAYS.INTL(E251,F251,11)*100,1)))-0)</f>
        <v/>
      </c>
      <c r="H251" s="36" t="str">
        <f aca="false">IF(OR(NOT(AND(ISNUMBER(E251),ISNUMBER(F251))),$J$2=""),"",IF(Reprogramaciones!L$9&lt;E251,0,IF(NETWORKDAYS.INTL(E251,F251,11)=0,IF(Reprogramaciones!L$9&gt;=F251,100,0),ROUND(NETWORKDAYS.INTL(E251,MIN(F251,Reprogramaciones!L$9),11)/NETWORKDAYS.INTL(E251,F251,11)*100,1)))-IF(Reprogramaciones!K$9&lt;E251,0,IF(NETWORKDAYS.INTL(E251,F251,11)=0,IF(Reprogramaciones!K$9&gt;=F251,100,0),ROUND(NETWORKDAYS.INTL(E251,MIN(F251,Reprogramaciones!K$9),11)/NETWORKDAYS.INTL(E251,F251,11)*100,1))))</f>
        <v/>
      </c>
      <c r="I251" s="36" t="str">
        <f aca="false">IF(OR(NOT(AND(ISNUMBER(E251),ISNUMBER(F251))),$J$2=""),"",IF(Reprogramaciones!M$9&lt;E251,0,IF(NETWORKDAYS.INTL(E251,F251,11)=0,IF(Reprogramaciones!M$9&gt;=F251,100,0),ROUND(NETWORKDAYS.INTL(E251,MIN(F251,Reprogramaciones!M$9),11)/NETWORKDAYS.INTL(E251,F251,11)*100,1)))-IF(Reprogramaciones!L$9&lt;E251,0,IF(NETWORKDAYS.INTL(E251,F251,11)=0,IF(Reprogramaciones!L$9&gt;=F251,100,0),ROUND(NETWORKDAYS.INTL(E251,MIN(F251,Reprogramaciones!L$9),11)/NETWORKDAYS.INTL(E251,F251,11)*100,1))))</f>
        <v/>
      </c>
      <c r="J251" s="36" t="str">
        <f aca="false">IF(OR(NOT(AND(ISNUMBER(E251),ISNUMBER(F251))),$J$2=""),"",IF(Reprogramaciones!N$9&lt;E251,0,IF(NETWORKDAYS.INTL(E251,F251,11)=0,IF(Reprogramaciones!N$9&gt;=F251,100,0),ROUND(NETWORKDAYS.INTL(E251,MIN(F251,Reprogramaciones!N$9),11)/NETWORKDAYS.INTL(E251,F251,11)*100,1)))-IF(Reprogramaciones!M$9&lt;E251,0,IF(NETWORKDAYS.INTL(E251,F251,11)=0,IF(Reprogramaciones!M$9&gt;=F251,100,0),ROUND(NETWORKDAYS.INTL(E251,MIN(F251,Reprogramaciones!M$9),11)/NETWORKDAYS.INTL(E251,F251,11)*100,1))))</f>
        <v/>
      </c>
      <c r="K251" s="36" t="str">
        <f aca="false">IF(OR(NOT(AND(ISNUMBER(E251),ISNUMBER(F251))),$J$2=""),"",IF(Reprogramaciones!O$9&lt;E251,0,IF(NETWORKDAYS.INTL(E251,F251,11)=0,IF(Reprogramaciones!O$9&gt;=F251,100,0),ROUND(NETWORKDAYS.INTL(E251,MIN(F251,Reprogramaciones!O$9),11)/NETWORKDAYS.INTL(E251,F251,11)*100,1)))-IF(Reprogramaciones!N$9&lt;E251,0,IF(NETWORKDAYS.INTL(E251,F251,11)=0,IF(Reprogramaciones!N$9&gt;=F251,100,0),ROUND(NETWORKDAYS.INTL(E251,MIN(F251,Reprogramaciones!N$9),11)/NETWORKDAYS.INTL(E251,F251,11)*100,1))))</f>
        <v/>
      </c>
      <c r="L251" s="36" t="str">
        <f aca="false">IF(OR(NOT(AND(ISNUMBER(E251),ISNUMBER(F251))),$J$2=""),"",IF(Reprogramaciones!P$9&lt;E251,0,IF(NETWORKDAYS.INTL(E251,F251,11)=0,IF(Reprogramaciones!P$9&gt;=F251,100,0),ROUND(NETWORKDAYS.INTL(E251,MIN(F251,Reprogramaciones!P$9),11)/NETWORKDAYS.INTL(E251,F251,11)*100,1)))-IF(Reprogramaciones!O$9&lt;E251,0,IF(NETWORKDAYS.INTL(E251,F251,11)=0,IF(Reprogramaciones!O$9&gt;=F251,100,0),ROUND(NETWORKDAYS.INTL(E251,MIN(F251,Reprogramaciones!O$9),11)/NETWORKDAYS.INTL(E251,F251,11)*100,1))))</f>
        <v/>
      </c>
      <c r="M251" s="36" t="str">
        <f aca="false">IF(OR(NOT(AND(ISNUMBER(E251),ISNUMBER(F251))),$J$2=""),"",IF(Reprogramaciones!Q$9&lt;E251,0,IF(NETWORKDAYS.INTL(E251,F251,11)=0,IF(Reprogramaciones!Q$9&gt;=F251,100,0),ROUND(NETWORKDAYS.INTL(E251,MIN(F251,Reprogramaciones!Q$9),11)/NETWORKDAYS.INTL(E251,F251,11)*100,1)))-IF(Reprogramaciones!P$9&lt;E251,0,IF(NETWORKDAYS.INTL(E251,F251,11)=0,IF(Reprogramaciones!P$9&gt;=F251,100,0),ROUND(NETWORKDAYS.INTL(E251,MIN(F251,Reprogramaciones!P$9),11)/NETWORKDAYS.INTL(E251,F251,11)*100,1))))</f>
        <v/>
      </c>
      <c r="N251" s="36" t="str">
        <f aca="false">IF(OR(NOT(AND(ISNUMBER(E251),ISNUMBER(F251))),$J$2=""),"",IF(Reprogramaciones!R$9&lt;E251,0,IF(NETWORKDAYS.INTL(E251,F251,11)=0,IF(Reprogramaciones!R$9&gt;=F251,100,0),ROUND(NETWORKDAYS.INTL(E251,MIN(F251,Reprogramaciones!R$9),11)/NETWORKDAYS.INTL(E251,F251,11)*100,1)))-IF(Reprogramaciones!Q$9&lt;E251,0,IF(NETWORKDAYS.INTL(E251,F251,11)=0,IF(Reprogramaciones!Q$9&gt;=F251,100,0),ROUND(NETWORKDAYS.INTL(E251,MIN(F251,Reprogramaciones!Q$9),11)/NETWORKDAYS.INTL(E251,F251,11)*100,1))))</f>
        <v/>
      </c>
      <c r="O251" s="36" t="str">
        <f aca="false">IF(OR(NOT(AND(ISNUMBER(E251),ISNUMBER(F251))),$J$2=""),"",IF(Reprogramaciones!S$9&lt;E251,0,IF(NETWORKDAYS.INTL(E251,F251,11)=0,IF(Reprogramaciones!S$9&gt;=F251,100,0),ROUND(NETWORKDAYS.INTL(E251,MIN(F251,Reprogramaciones!S$9),11)/NETWORKDAYS.INTL(E251,F251,11)*100,1)))-IF(Reprogramaciones!R$9&lt;E251,0,IF(NETWORKDAYS.INTL(E251,F251,11)=0,IF(Reprogramaciones!R$9&gt;=F251,100,0),ROUND(NETWORKDAYS.INTL(E251,MIN(F251,Reprogramaciones!R$9),11)/NETWORKDAYS.INTL(E251,F251,11)*100,1))))</f>
        <v/>
      </c>
      <c r="P251" s="36" t="str">
        <f aca="false">IF(OR(NOT(AND(ISNUMBER(E251),ISNUMBER(F251))),$J$2=""),"",IF(Reprogramaciones!T$9&lt;E251,0,IF(NETWORKDAYS.INTL(E251,F251,11)=0,IF(Reprogramaciones!T$9&gt;=F251,100,0),ROUND(NETWORKDAYS.INTL(E251,MIN(F251,Reprogramaciones!T$9),11)/NETWORKDAYS.INTL(E251,F251,11)*100,1)))-IF(Reprogramaciones!S$9&lt;E251,0,IF(NETWORKDAYS.INTL(E251,F251,11)=0,IF(Reprogramaciones!S$9&gt;=F251,100,0),ROUND(NETWORKDAYS.INTL(E251,MIN(F251,Reprogramaciones!S$9),11)/NETWORKDAYS.INTL(E251,F251,11)*100,1))))</f>
        <v/>
      </c>
      <c r="Q251" s="37"/>
      <c r="R251" s="37"/>
      <c r="S251" s="37"/>
      <c r="T251" s="37"/>
      <c r="U251" s="37"/>
      <c r="V251" s="37"/>
      <c r="W251" s="37"/>
      <c r="X251" s="37"/>
      <c r="Y251" s="37"/>
      <c r="Z251" s="37"/>
      <c r="AA251" s="37"/>
      <c r="AB251" s="37"/>
      <c r="AC251" s="37"/>
      <c r="AD251" s="37"/>
      <c r="AE251" s="37"/>
      <c r="AF251" s="37"/>
      <c r="AG251" s="38" t="str">
        <f aca="false">IF(AND(ISNUMBER(E251),ISNUMBER(F251)),NETWORKDAYS.INTL(E251,F251,11),"")</f>
        <v/>
      </c>
      <c r="AH251" s="38" t="str">
        <f aca="false">IF(OR(NOT(AND(ISNUMBER(E251),ISNUMBER(F251))),$J$2=""),"",IF(Reprogramaciones!$P$15&lt;Reprogramaciones!$T$15,0,IF(Reprogramaciones!$R$15&gt;10,MIN(100,SUM($G251:$P251)),MIN(100,SUMPRODUCT((COLUMN($G251:$P251)-COLUMN($G251)+1&lt;Reprogramaciones!$R$15)*$G251:$P251)+N(INDEX($G251:$P251,1,Reprogramaciones!$R$15))*IF(Reprogramaciones!$P$15&gt;=(Reprogramaciones!$T$15+7*(Reprogramaciones!$R$15-1))+6,1,IF(MAX(0,NETWORKDAYS.INTL(MAX(E251,(Reprogramaciones!$T$15+7*(Reprogramaciones!$R$15-1))),MIN(F251,(Reprogramaciones!$T$15+7*(Reprogramaciones!$R$15-1))+6),11))=0,0,MAX(0,NETWORKDAYS.INTL(MAX(E251,(Reprogramaciones!$T$15+7*(Reprogramaciones!$R$15-1))),MIN(F251,Reprogramaciones!$P$15),11))/MAX(0,NETWORKDAYS.INTL(MAX(E251,(Reprogramaciones!$T$15+7*(Reprogramaciones!$R$15-1))),MIN(F251,(Reprogramaciones!$T$15+7*(Reprogramaciones!$R$15-1))+6),11))))))))</f>
        <v/>
      </c>
      <c r="AI251" s="38" t="str">
        <f aca="false">IF(COUNT($Q251:$AF251)=0,"",IF(ROUND(SUM($Q251:$AF251),1)&gt;=99.5,100,MIN(100,ROUND(SUM($Q251:$AF251),1))))</f>
        <v/>
      </c>
      <c r="AJ251" s="38" t="str">
        <f aca="false">IF(OR(AH251="",AI251=""),"",AI251-AH251)</f>
        <v/>
      </c>
      <c r="AK251" s="39" t="str">
        <f aca="true">IF(AH251="","",IF(OR(Ficha!$C$10="Suspendida",Ficha!$C$10="Cancelada"),Ficha!$C$10,IF(AND(AI251&lt;&gt;"",N(AI251)&gt;=100),"Completada",IF(AND(E251&gt;TODAY(),N(AI251)=0),"Por iniciar",IF(N(AI251)+0.5&lt;AH251,"Retrasada",IF(N(AI251)+0.5&lt;DA251,IF(Reprogramaciones!$K$15&gt;0,"Al día · Sem "&amp;Reprogramaciones!$K$15&amp;" en curso","Al día · en curso"),"A tiempo"))))))</f>
        <v/>
      </c>
      <c r="AL251" s="39" t="str">
        <f aca="true">IF(AND(A251="",AND(B251="",C251="",E251="",F251="",COUNT(Q251:AF251)=0)),"",IF(AND(B251="",C251="",E251="",F251="",COUNT(Q251:AF251)=0),"Falta la partida o subpartida",IF(AND(A251&lt;&gt;"",COUNTIF($A$6:$A$305,A251)&gt;1),"Ítem repetido",IF(AND(C251="",E251="",F251="",COUNT(Q251:AF251)=0),"Título de partida",IF(OR(E251="",F251=""),"Faltan fechas",IF(OR(ISTEXT(E251),ISTEXT(F251)),"Fecha escrita como texto: usa dd/mm/aaaa",IF(F251&lt;E251,"Fin antes del inicio",IF(IF($J$2="",FALSE(),OR(E251&lt;$J$2,F251&gt;Reprogramaciones!$T$15+69)),"Fuera de las 10 semanas",IF(ABS(SUM(G251:P251)-100)&gt;0.5,"La meta no suma 100%",IF(ROUND(SUM(Q251:AF251),1)&gt;100.5,"El avance pasa de 100%",IF(MIN(Q251:AF251)&lt;0,"Avance negativo",IF(COUNTA(Q251:AF251)&gt;COUNT(Q251:AF251),"Avance escrito como texto",IF(SUMPRODUCT((Q251:AF251&gt;0)*(Q251:AF251&lt;1))&gt;0,"Avance menor a 1: escribe 50, no 50%",IF(SUMPRODUCT(ISNUMBER(Q251:AF251)*(Reprogramaciones!$K$8:$Z$8&gt;TODAY()))&gt;0,"Avance en semana que aún no llega",IF(AND(N(Reprogramaciones!$E$21)&gt;0,F251&gt;Reprogramaciones!$E$21),"Pasa el fin de la obra: registra una reprogramación",IF(AND(N(Reprogramaciones!$E$21)&gt;0,SUMPRODUCT(ISNUMBER(Q251:AF251)*(Reprogramaciones!$K$8:$Z$8&gt;Reprogramaciones!$E$21))&gt;0),"Avance después del fin de la obra: registra una reprogramación por atraso","OK"))))))))))))))))</f>
        <v/>
      </c>
      <c r="AM251" s="40" t="str">
        <f aca="false">IF(OR(OR(NOT(AND(ISNUMBER(E251),ISNUMBER(F251))),$J$2=""),1&gt;MAX(1,Reprogramaciones!$U$15)),"",IF(Reprogramaciones!K$12&gt;=7,"",IF(OR(BT251-N(0)&gt;0.05,N(Q251)&gt;0),ROUNDDOWN(ROUND(BT251,6),0)&amp;"%"&amp;IF(CJ251="",""," / "&amp;CJ251&amp;"%"),IF(AND(N(0)&gt;=99.95,CJ251&lt;&gt;"",N(CJ251)&lt;100),"Pend. "&amp;CJ251&amp;"%",""))))</f>
        <v/>
      </c>
      <c r="AN251" s="40" t="str">
        <f aca="false">IF(OR(OR(NOT(AND(ISNUMBER(E251),ISNUMBER(F251))),$J$2=""),2&gt;MAX(1,Reprogramaciones!$U$15)),"",IF(Reprogramaciones!L$12&gt;=7,"",IF(OR(BU251-N(BT251)&gt;0.05,N(R251)&gt;0),ROUNDDOWN(ROUND(BU251,6),0)&amp;"%"&amp;IF(CK251="",""," / "&amp;CK251&amp;"%"),IF(AND(N(BT251)&gt;=99.95,CK251&lt;&gt;"",N(CK251)&lt;100),"Pend. "&amp;CK251&amp;"%",""))))</f>
        <v/>
      </c>
      <c r="AO251" s="40" t="str">
        <f aca="false">IF(OR(OR(NOT(AND(ISNUMBER(E251),ISNUMBER(F251))),$J$2=""),3&gt;MAX(1,Reprogramaciones!$U$15)),"",IF(Reprogramaciones!M$12&gt;=7,"",IF(OR(BV251-N(BU251)&gt;0.05,N(S251)&gt;0),ROUNDDOWN(ROUND(BV251,6),0)&amp;"%"&amp;IF(CL251="",""," / "&amp;CL251&amp;"%"),IF(AND(N(BU251)&gt;=99.95,CL251&lt;&gt;"",N(CL251)&lt;100),"Pend. "&amp;CL251&amp;"%",""))))</f>
        <v/>
      </c>
      <c r="AP251" s="40" t="str">
        <f aca="false">IF(OR(OR(NOT(AND(ISNUMBER(E251),ISNUMBER(F251))),$J$2=""),4&gt;MAX(1,Reprogramaciones!$U$15)),"",IF(Reprogramaciones!N$12&gt;=7,"",IF(OR(BW251-N(BV251)&gt;0.05,N(T251)&gt;0),ROUNDDOWN(ROUND(BW251,6),0)&amp;"%"&amp;IF(CM251="",""," / "&amp;CM251&amp;"%"),IF(AND(N(BV251)&gt;=99.95,CM251&lt;&gt;"",N(CM251)&lt;100),"Pend. "&amp;CM251&amp;"%",""))))</f>
        <v/>
      </c>
      <c r="AQ251" s="40" t="str">
        <f aca="false">IF(OR(OR(NOT(AND(ISNUMBER(E251),ISNUMBER(F251))),$J$2=""),5&gt;MAX(1,Reprogramaciones!$U$15)),"",IF(Reprogramaciones!O$12&gt;=7,"",IF(OR(BX251-N(BW251)&gt;0.05,N(U251)&gt;0),ROUNDDOWN(ROUND(BX251,6),0)&amp;"%"&amp;IF(CN251="",""," / "&amp;CN251&amp;"%"),IF(AND(N(BW251)&gt;=99.95,CN251&lt;&gt;"",N(CN251)&lt;100),"Pend. "&amp;CN251&amp;"%",""))))</f>
        <v/>
      </c>
      <c r="AR251" s="40" t="str">
        <f aca="false">IF(OR(OR(NOT(AND(ISNUMBER(E251),ISNUMBER(F251))),$J$2=""),6&gt;MAX(1,Reprogramaciones!$U$15)),"",IF(Reprogramaciones!P$12&gt;=7,"",IF(OR(BY251-N(BX251)&gt;0.05,N(V251)&gt;0),ROUNDDOWN(ROUND(BY251,6),0)&amp;"%"&amp;IF(CO251="",""," / "&amp;CO251&amp;"%"),IF(AND(N(BX251)&gt;=99.95,CO251&lt;&gt;"",N(CO251)&lt;100),"Pend. "&amp;CO251&amp;"%",""))))</f>
        <v/>
      </c>
      <c r="AS251" s="40" t="str">
        <f aca="false">IF(OR(OR(NOT(AND(ISNUMBER(E251),ISNUMBER(F251))),$J$2=""),7&gt;MAX(1,Reprogramaciones!$U$15)),"",IF(Reprogramaciones!Q$12&gt;=7,"",IF(OR(BZ251-N(BY251)&gt;0.05,N(W251)&gt;0),ROUNDDOWN(ROUND(BZ251,6),0)&amp;"%"&amp;IF(CP251="",""," / "&amp;CP251&amp;"%"),IF(AND(N(BY251)&gt;=99.95,CP251&lt;&gt;"",N(CP251)&lt;100),"Pend. "&amp;CP251&amp;"%",""))))</f>
        <v/>
      </c>
      <c r="AT251" s="40" t="str">
        <f aca="false">IF(OR(OR(NOT(AND(ISNUMBER(E251),ISNUMBER(F251))),$J$2=""),8&gt;MAX(1,Reprogramaciones!$U$15)),"",IF(Reprogramaciones!R$12&gt;=7,"",IF(OR(CA251-N(BZ251)&gt;0.05,N(X251)&gt;0),ROUNDDOWN(ROUND(CA251,6),0)&amp;"%"&amp;IF(CQ251="",""," / "&amp;CQ251&amp;"%"),IF(AND(N(BZ251)&gt;=99.95,CQ251&lt;&gt;"",N(CQ251)&lt;100),"Pend. "&amp;CQ251&amp;"%",""))))</f>
        <v/>
      </c>
      <c r="AU251" s="40" t="str">
        <f aca="false">IF(OR(OR(NOT(AND(ISNUMBER(E251),ISNUMBER(F251))),$J$2=""),9&gt;MAX(1,Reprogramaciones!$U$15)),"",IF(Reprogramaciones!S$12&gt;=7,"",IF(OR(CB251-N(CA251)&gt;0.05,N(Y251)&gt;0),ROUNDDOWN(ROUND(CB251,6),0)&amp;"%"&amp;IF(CR251="",""," / "&amp;CR251&amp;"%"),IF(AND(N(CA251)&gt;=99.95,CR251&lt;&gt;"",N(CR251)&lt;100),"Pend. "&amp;CR251&amp;"%",""))))</f>
        <v/>
      </c>
      <c r="AV251" s="40" t="str">
        <f aca="false">IF(OR(OR(NOT(AND(ISNUMBER(E251),ISNUMBER(F251))),$J$2=""),10&gt;MAX(1,Reprogramaciones!$U$15)),"",IF(Reprogramaciones!T$12&gt;=7,"",IF(OR(CC251-N(CB251)&gt;0.05,N(Z251)&gt;0),ROUNDDOWN(ROUND(CC251,6),0)&amp;"%"&amp;IF(CS251="",""," / "&amp;CS251&amp;"%"),IF(AND(N(CB251)&gt;=99.95,CS251&lt;&gt;"",N(CS251)&lt;100),"Pend. "&amp;CS251&amp;"%",""))))</f>
        <v/>
      </c>
      <c r="AW251" s="40" t="str">
        <f aca="false">IF(OR(OR(NOT(AND(ISNUMBER(E251),ISNUMBER(F251))),$J$2=""),11&gt;MAX(1,Reprogramaciones!$U$15)),"",IF(Reprogramaciones!U$12&gt;=7,"",IF(OR(CD251-N(CC251)&gt;0.05,N(AA251)&gt;0),ROUNDDOWN(ROUND(CD251,6),0)&amp;"%"&amp;IF(CT251="",""," / "&amp;CT251&amp;"%"),IF(AND(N(CC251)&gt;=99.95,CT251&lt;&gt;"",N(CT251)&lt;100),"Pend. "&amp;CT251&amp;"%",""))))</f>
        <v/>
      </c>
      <c r="AX251" s="40" t="str">
        <f aca="false">IF(OR(OR(NOT(AND(ISNUMBER(E251),ISNUMBER(F251))),$J$2=""),12&gt;MAX(1,Reprogramaciones!$U$15)),"",IF(Reprogramaciones!V$12&gt;=7,"",IF(OR(CE251-N(CD251)&gt;0.05,N(AB251)&gt;0),ROUNDDOWN(ROUND(CE251,6),0)&amp;"%"&amp;IF(CU251="",""," / "&amp;CU251&amp;"%"),IF(AND(N(CD251)&gt;=99.95,CU251&lt;&gt;"",N(CU251)&lt;100),"Pend. "&amp;CU251&amp;"%",""))))</f>
        <v/>
      </c>
      <c r="AY251" s="40" t="str">
        <f aca="false">IF(OR(OR(NOT(AND(ISNUMBER(E251),ISNUMBER(F251))),$J$2=""),13&gt;MAX(1,Reprogramaciones!$U$15)),"",IF(Reprogramaciones!W$12&gt;=7,"",IF(OR(CF251-N(CE251)&gt;0.05,N(AC251)&gt;0),ROUNDDOWN(ROUND(CF251,6),0)&amp;"%"&amp;IF(CV251="",""," / "&amp;CV251&amp;"%"),IF(AND(N(CE251)&gt;=99.95,CV251&lt;&gt;"",N(CV251)&lt;100),"Pend. "&amp;CV251&amp;"%",""))))</f>
        <v/>
      </c>
      <c r="AZ251" s="40" t="str">
        <f aca="false">IF(OR(OR(NOT(AND(ISNUMBER(E251),ISNUMBER(F251))),$J$2=""),14&gt;MAX(1,Reprogramaciones!$U$15)),"",IF(Reprogramaciones!X$12&gt;=7,"",IF(OR(CG251-N(CF251)&gt;0.05,N(AD251)&gt;0),ROUNDDOWN(ROUND(CG251,6),0)&amp;"%"&amp;IF(CW251="",""," / "&amp;CW251&amp;"%"),IF(AND(N(CF251)&gt;=99.95,CW251&lt;&gt;"",N(CW251)&lt;100),"Pend. "&amp;CW251&amp;"%",""))))</f>
        <v/>
      </c>
      <c r="BA251" s="40" t="str">
        <f aca="false">IF(OR(OR(NOT(AND(ISNUMBER(E251),ISNUMBER(F251))),$J$2=""),15&gt;MAX(1,Reprogramaciones!$U$15)),"",IF(Reprogramaciones!Y$12&gt;=7,"",IF(OR(CH251-N(CG251)&gt;0.05,N(AE251)&gt;0),ROUNDDOWN(ROUND(CH251,6),0)&amp;"%"&amp;IF(CX251="",""," / "&amp;CX251&amp;"%"),IF(AND(N(CG251)&gt;=99.95,CX251&lt;&gt;"",N(CX251)&lt;100),"Pend. "&amp;CX251&amp;"%",""))))</f>
        <v/>
      </c>
      <c r="BB251" s="40" t="str">
        <f aca="false">IF(OR(OR(NOT(AND(ISNUMBER(E251),ISNUMBER(F251))),$J$2=""),16&gt;MAX(1,Reprogramaciones!$U$15)),"",IF(Reprogramaciones!Z$12&gt;=7,"",IF(OR(CI251-N(CH251)&gt;0.05,N(AF251)&gt;0),ROUNDDOWN(ROUND(CI251,6),0)&amp;"%"&amp;IF(CY251="",""," / "&amp;CY251&amp;"%"),IF(AND(N(CH251)&gt;=99.95,CY251&lt;&gt;"",N(CY251)&lt;100),"Pend. "&amp;CY251&amp;"%",""))))</f>
        <v/>
      </c>
      <c r="BC251" s="31" t="n">
        <f aca="false">IF(AND(ISNUMBER(E251),ISNUMBER(F251)),MAX(1,NETWORKDAYS.INTL(E251,F251,11)),0)</f>
        <v>0</v>
      </c>
      <c r="BD251" s="1" t="str">
        <f aca="false">IF(OR(NOT(AND(ISNUMBER(E251),ISNUMBER(F251))),$J$2=""),"",MIN(100,ROUND(SUM($G251:G251),1)))</f>
        <v/>
      </c>
      <c r="BE251" s="1" t="str">
        <f aca="false">IF(OR(NOT(AND(ISNUMBER(E251),ISNUMBER(F251))),$J$2=""),"",MIN(100,ROUND(SUM($G251:H251),1)))</f>
        <v/>
      </c>
      <c r="BF251" s="1" t="str">
        <f aca="false">IF(OR(NOT(AND(ISNUMBER(E251),ISNUMBER(F251))),$J$2=""),"",MIN(100,ROUND(SUM($G251:I251),1)))</f>
        <v/>
      </c>
      <c r="BG251" s="1" t="str">
        <f aca="false">IF(OR(NOT(AND(ISNUMBER(E251),ISNUMBER(F251))),$J$2=""),"",MIN(100,ROUND(SUM($G251:J251),1)))</f>
        <v/>
      </c>
      <c r="BH251" s="1" t="str">
        <f aca="false">IF(OR(NOT(AND(ISNUMBER(E251),ISNUMBER(F251))),$J$2=""),"",MIN(100,ROUND(SUM($G251:K251),1)))</f>
        <v/>
      </c>
      <c r="BI251" s="1" t="str">
        <f aca="false">IF(OR(NOT(AND(ISNUMBER(E251),ISNUMBER(F251))),$J$2=""),"",MIN(100,ROUND(SUM($G251:L251),1)))</f>
        <v/>
      </c>
      <c r="BJ251" s="1" t="str">
        <f aca="false">IF(OR(NOT(AND(ISNUMBER(E251),ISNUMBER(F251))),$J$2=""),"",MIN(100,ROUND(SUM($G251:M251),1)))</f>
        <v/>
      </c>
      <c r="BK251" s="1" t="str">
        <f aca="false">IF(OR(NOT(AND(ISNUMBER(E251),ISNUMBER(F251))),$J$2=""),"",MIN(100,ROUND(SUM($G251:N251),1)))</f>
        <v/>
      </c>
      <c r="BL251" s="1" t="str">
        <f aca="false">IF(OR(NOT(AND(ISNUMBER(E251),ISNUMBER(F251))),$J$2=""),"",MIN(100,ROUND(SUM($G251:O251),1)))</f>
        <v/>
      </c>
      <c r="BM251" s="1" t="str">
        <f aca="false">IF(OR(NOT(AND(ISNUMBER(E251),ISNUMBER(F251))),$J$2=""),"",MIN(100,ROUND(SUM($G251:P251),1)))</f>
        <v/>
      </c>
      <c r="BN251" s="1" t="str">
        <f aca="false">IF(OR(NOT(AND(ISNUMBER(E251),ISNUMBER(F251))),$J$2=""),"",MIN(100,ROUND(SUM($G251:P251),1)))</f>
        <v/>
      </c>
      <c r="BO251" s="1" t="str">
        <f aca="false">IF(OR(NOT(AND(ISNUMBER(E251),ISNUMBER(F251))),$J$2=""),"",MIN(100,ROUND(SUM($G251:P251),1)))</f>
        <v/>
      </c>
      <c r="BP251" s="1" t="str">
        <f aca="false">IF(OR(NOT(AND(ISNUMBER(E251),ISNUMBER(F251))),$J$2=""),"",MIN(100,ROUND(SUM($G251:P251),1)))</f>
        <v/>
      </c>
      <c r="BQ251" s="1" t="str">
        <f aca="false">IF(OR(NOT(AND(ISNUMBER(E251),ISNUMBER(F251))),$J$2=""),"",MIN(100,ROUND(SUM($G251:P251),1)))</f>
        <v/>
      </c>
      <c r="BR251" s="1" t="str">
        <f aca="false">IF(OR(NOT(AND(ISNUMBER(E251),ISNUMBER(F251))),$J$2=""),"",MIN(100,ROUND(SUM($G251:P251),1)))</f>
        <v/>
      </c>
      <c r="BS251" s="1" t="str">
        <f aca="false">IF(OR(NOT(AND(ISNUMBER(E251),ISNUMBER(F251))),$J$2=""),"",MIN(100,ROUND(SUM($G251:P251),1)))</f>
        <v/>
      </c>
      <c r="BT251" s="1" t="str">
        <f aca="false">IF(OR(NOT(AND(ISNUMBER(E251),ISNUMBER(F251))),$J$2=""),"",IF(Reprogramaciones!K$13&lt;Reprogramaciones!$T$15,0,IF(Reprogramaciones!K$14&gt;10,MIN(100,SUM($G251:$P251)),MIN(100,SUMPRODUCT((COLUMN($G251:$P251)-COLUMN($G251)+1&lt;Reprogramaciones!K$14)*$G251:$P251)+N(INDEX($G251:$P251,1,Reprogramaciones!K$14))*IF(Reprogramaciones!K$13&gt;=(Reprogramaciones!$T$15+7*(Reprogramaciones!K$14-1))+6,1,IF(MAX(0,NETWORKDAYS.INTL(MAX(E251,(Reprogramaciones!$T$15+7*(Reprogramaciones!K$14-1))),MIN(F251,(Reprogramaciones!$T$15+7*(Reprogramaciones!K$14-1))+6),11))=0,0,MAX(0,NETWORKDAYS.INTL(MAX(E251,(Reprogramaciones!$T$15+7*(Reprogramaciones!K$14-1))),MIN(F251,Reprogramaciones!K$13),11))/MAX(0,NETWORKDAYS.INTL(MAX(E251,(Reprogramaciones!$T$15+7*(Reprogramaciones!K$14-1))),MIN(F251,(Reprogramaciones!$T$15+7*(Reprogramaciones!K$14-1))+6),11))))))))</f>
        <v/>
      </c>
      <c r="BU251" s="1" t="str">
        <f aca="false">IF(OR(NOT(AND(ISNUMBER(E251),ISNUMBER(F251))),$J$2=""),"",IF(Reprogramaciones!L$13&lt;Reprogramaciones!$T$15,0,IF(Reprogramaciones!L$14&gt;10,MIN(100,SUM($G251:$P251)),MIN(100,SUMPRODUCT((COLUMN($G251:$P251)-COLUMN($G251)+1&lt;Reprogramaciones!L$14)*$G251:$P251)+N(INDEX($G251:$P251,1,Reprogramaciones!L$14))*IF(Reprogramaciones!L$13&gt;=(Reprogramaciones!$T$15+7*(Reprogramaciones!L$14-1))+6,1,IF(MAX(0,NETWORKDAYS.INTL(MAX(E251,(Reprogramaciones!$T$15+7*(Reprogramaciones!L$14-1))),MIN(F251,(Reprogramaciones!$T$15+7*(Reprogramaciones!L$14-1))+6),11))=0,0,MAX(0,NETWORKDAYS.INTL(MAX(E251,(Reprogramaciones!$T$15+7*(Reprogramaciones!L$14-1))),MIN(F251,Reprogramaciones!L$13),11))/MAX(0,NETWORKDAYS.INTL(MAX(E251,(Reprogramaciones!$T$15+7*(Reprogramaciones!L$14-1))),MIN(F251,(Reprogramaciones!$T$15+7*(Reprogramaciones!L$14-1))+6),11))))))))</f>
        <v/>
      </c>
      <c r="BV251" s="1" t="str">
        <f aca="false">IF(OR(NOT(AND(ISNUMBER(E251),ISNUMBER(F251))),$J$2=""),"",IF(Reprogramaciones!M$13&lt;Reprogramaciones!$T$15,0,IF(Reprogramaciones!M$14&gt;10,MIN(100,SUM($G251:$P251)),MIN(100,SUMPRODUCT((COLUMN($G251:$P251)-COLUMN($G251)+1&lt;Reprogramaciones!M$14)*$G251:$P251)+N(INDEX($G251:$P251,1,Reprogramaciones!M$14))*IF(Reprogramaciones!M$13&gt;=(Reprogramaciones!$T$15+7*(Reprogramaciones!M$14-1))+6,1,IF(MAX(0,NETWORKDAYS.INTL(MAX(E251,(Reprogramaciones!$T$15+7*(Reprogramaciones!M$14-1))),MIN(F251,(Reprogramaciones!$T$15+7*(Reprogramaciones!M$14-1))+6),11))=0,0,MAX(0,NETWORKDAYS.INTL(MAX(E251,(Reprogramaciones!$T$15+7*(Reprogramaciones!M$14-1))),MIN(F251,Reprogramaciones!M$13),11))/MAX(0,NETWORKDAYS.INTL(MAX(E251,(Reprogramaciones!$T$15+7*(Reprogramaciones!M$14-1))),MIN(F251,(Reprogramaciones!$T$15+7*(Reprogramaciones!M$14-1))+6),11))))))))</f>
        <v/>
      </c>
      <c r="BW251" s="1" t="str">
        <f aca="false">IF(OR(NOT(AND(ISNUMBER(E251),ISNUMBER(F251))),$J$2=""),"",IF(Reprogramaciones!N$13&lt;Reprogramaciones!$T$15,0,IF(Reprogramaciones!N$14&gt;10,MIN(100,SUM($G251:$P251)),MIN(100,SUMPRODUCT((COLUMN($G251:$P251)-COLUMN($G251)+1&lt;Reprogramaciones!N$14)*$G251:$P251)+N(INDEX($G251:$P251,1,Reprogramaciones!N$14))*IF(Reprogramaciones!N$13&gt;=(Reprogramaciones!$T$15+7*(Reprogramaciones!N$14-1))+6,1,IF(MAX(0,NETWORKDAYS.INTL(MAX(E251,(Reprogramaciones!$T$15+7*(Reprogramaciones!N$14-1))),MIN(F251,(Reprogramaciones!$T$15+7*(Reprogramaciones!N$14-1))+6),11))=0,0,MAX(0,NETWORKDAYS.INTL(MAX(E251,(Reprogramaciones!$T$15+7*(Reprogramaciones!N$14-1))),MIN(F251,Reprogramaciones!N$13),11))/MAX(0,NETWORKDAYS.INTL(MAX(E251,(Reprogramaciones!$T$15+7*(Reprogramaciones!N$14-1))),MIN(F251,(Reprogramaciones!$T$15+7*(Reprogramaciones!N$14-1))+6),11))))))))</f>
        <v/>
      </c>
      <c r="BX251" s="1" t="str">
        <f aca="false">IF(OR(NOT(AND(ISNUMBER(E251),ISNUMBER(F251))),$J$2=""),"",IF(Reprogramaciones!O$13&lt;Reprogramaciones!$T$15,0,IF(Reprogramaciones!O$14&gt;10,MIN(100,SUM($G251:$P251)),MIN(100,SUMPRODUCT((COLUMN($G251:$P251)-COLUMN($G251)+1&lt;Reprogramaciones!O$14)*$G251:$P251)+N(INDEX($G251:$P251,1,Reprogramaciones!O$14))*IF(Reprogramaciones!O$13&gt;=(Reprogramaciones!$T$15+7*(Reprogramaciones!O$14-1))+6,1,IF(MAX(0,NETWORKDAYS.INTL(MAX(E251,(Reprogramaciones!$T$15+7*(Reprogramaciones!O$14-1))),MIN(F251,(Reprogramaciones!$T$15+7*(Reprogramaciones!O$14-1))+6),11))=0,0,MAX(0,NETWORKDAYS.INTL(MAX(E251,(Reprogramaciones!$T$15+7*(Reprogramaciones!O$14-1))),MIN(F251,Reprogramaciones!O$13),11))/MAX(0,NETWORKDAYS.INTL(MAX(E251,(Reprogramaciones!$T$15+7*(Reprogramaciones!O$14-1))),MIN(F251,(Reprogramaciones!$T$15+7*(Reprogramaciones!O$14-1))+6),11))))))))</f>
        <v/>
      </c>
      <c r="BY251" s="1" t="str">
        <f aca="false">IF(OR(NOT(AND(ISNUMBER(E251),ISNUMBER(F251))),$J$2=""),"",IF(Reprogramaciones!P$13&lt;Reprogramaciones!$T$15,0,IF(Reprogramaciones!P$14&gt;10,MIN(100,SUM($G251:$P251)),MIN(100,SUMPRODUCT((COLUMN($G251:$P251)-COLUMN($G251)+1&lt;Reprogramaciones!P$14)*$G251:$P251)+N(INDEX($G251:$P251,1,Reprogramaciones!P$14))*IF(Reprogramaciones!P$13&gt;=(Reprogramaciones!$T$15+7*(Reprogramaciones!P$14-1))+6,1,IF(MAX(0,NETWORKDAYS.INTL(MAX(E251,(Reprogramaciones!$T$15+7*(Reprogramaciones!P$14-1))),MIN(F251,(Reprogramaciones!$T$15+7*(Reprogramaciones!P$14-1))+6),11))=0,0,MAX(0,NETWORKDAYS.INTL(MAX(E251,(Reprogramaciones!$T$15+7*(Reprogramaciones!P$14-1))),MIN(F251,Reprogramaciones!P$13),11))/MAX(0,NETWORKDAYS.INTL(MAX(E251,(Reprogramaciones!$T$15+7*(Reprogramaciones!P$14-1))),MIN(F251,(Reprogramaciones!$T$15+7*(Reprogramaciones!P$14-1))+6),11))))))))</f>
        <v/>
      </c>
      <c r="BZ251" s="1" t="str">
        <f aca="false">IF(OR(NOT(AND(ISNUMBER(E251),ISNUMBER(F251))),$J$2=""),"",IF(Reprogramaciones!Q$13&lt;Reprogramaciones!$T$15,0,IF(Reprogramaciones!Q$14&gt;10,MIN(100,SUM($G251:$P251)),MIN(100,SUMPRODUCT((COLUMN($G251:$P251)-COLUMN($G251)+1&lt;Reprogramaciones!Q$14)*$G251:$P251)+N(INDEX($G251:$P251,1,Reprogramaciones!Q$14))*IF(Reprogramaciones!Q$13&gt;=(Reprogramaciones!$T$15+7*(Reprogramaciones!Q$14-1))+6,1,IF(MAX(0,NETWORKDAYS.INTL(MAX(E251,(Reprogramaciones!$T$15+7*(Reprogramaciones!Q$14-1))),MIN(F251,(Reprogramaciones!$T$15+7*(Reprogramaciones!Q$14-1))+6),11))=0,0,MAX(0,NETWORKDAYS.INTL(MAX(E251,(Reprogramaciones!$T$15+7*(Reprogramaciones!Q$14-1))),MIN(F251,Reprogramaciones!Q$13),11))/MAX(0,NETWORKDAYS.INTL(MAX(E251,(Reprogramaciones!$T$15+7*(Reprogramaciones!Q$14-1))),MIN(F251,(Reprogramaciones!$T$15+7*(Reprogramaciones!Q$14-1))+6),11))))))))</f>
        <v/>
      </c>
      <c r="CA251" s="1" t="str">
        <f aca="false">IF(OR(NOT(AND(ISNUMBER(E251),ISNUMBER(F251))),$J$2=""),"",IF(Reprogramaciones!R$13&lt;Reprogramaciones!$T$15,0,IF(Reprogramaciones!R$14&gt;10,MIN(100,SUM($G251:$P251)),MIN(100,SUMPRODUCT((COLUMN($G251:$P251)-COLUMN($G251)+1&lt;Reprogramaciones!R$14)*$G251:$P251)+N(INDEX($G251:$P251,1,Reprogramaciones!R$14))*IF(Reprogramaciones!R$13&gt;=(Reprogramaciones!$T$15+7*(Reprogramaciones!R$14-1))+6,1,IF(MAX(0,NETWORKDAYS.INTL(MAX(E251,(Reprogramaciones!$T$15+7*(Reprogramaciones!R$14-1))),MIN(F251,(Reprogramaciones!$T$15+7*(Reprogramaciones!R$14-1))+6),11))=0,0,MAX(0,NETWORKDAYS.INTL(MAX(E251,(Reprogramaciones!$T$15+7*(Reprogramaciones!R$14-1))),MIN(F251,Reprogramaciones!R$13),11))/MAX(0,NETWORKDAYS.INTL(MAX(E251,(Reprogramaciones!$T$15+7*(Reprogramaciones!R$14-1))),MIN(F251,(Reprogramaciones!$T$15+7*(Reprogramaciones!R$14-1))+6),11))))))))</f>
        <v/>
      </c>
      <c r="CB251" s="1" t="str">
        <f aca="false">IF(OR(NOT(AND(ISNUMBER(E251),ISNUMBER(F251))),$J$2=""),"",IF(Reprogramaciones!S$13&lt;Reprogramaciones!$T$15,0,IF(Reprogramaciones!S$14&gt;10,MIN(100,SUM($G251:$P251)),MIN(100,SUMPRODUCT((COLUMN($G251:$P251)-COLUMN($G251)+1&lt;Reprogramaciones!S$14)*$G251:$P251)+N(INDEX($G251:$P251,1,Reprogramaciones!S$14))*IF(Reprogramaciones!S$13&gt;=(Reprogramaciones!$T$15+7*(Reprogramaciones!S$14-1))+6,1,IF(MAX(0,NETWORKDAYS.INTL(MAX(E251,(Reprogramaciones!$T$15+7*(Reprogramaciones!S$14-1))),MIN(F251,(Reprogramaciones!$T$15+7*(Reprogramaciones!S$14-1))+6),11))=0,0,MAX(0,NETWORKDAYS.INTL(MAX(E251,(Reprogramaciones!$T$15+7*(Reprogramaciones!S$14-1))),MIN(F251,Reprogramaciones!S$13),11))/MAX(0,NETWORKDAYS.INTL(MAX(E251,(Reprogramaciones!$T$15+7*(Reprogramaciones!S$14-1))),MIN(F251,(Reprogramaciones!$T$15+7*(Reprogramaciones!S$14-1))+6),11))))))))</f>
        <v/>
      </c>
      <c r="CC251" s="1" t="str">
        <f aca="false">IF(OR(NOT(AND(ISNUMBER(E251),ISNUMBER(F251))),$J$2=""),"",IF(Reprogramaciones!T$13&lt;Reprogramaciones!$T$15,0,IF(Reprogramaciones!T$14&gt;10,MIN(100,SUM($G251:$P251)),MIN(100,SUMPRODUCT((COLUMN($G251:$P251)-COLUMN($G251)+1&lt;Reprogramaciones!T$14)*$G251:$P251)+N(INDEX($G251:$P251,1,Reprogramaciones!T$14))*IF(Reprogramaciones!T$13&gt;=(Reprogramaciones!$T$15+7*(Reprogramaciones!T$14-1))+6,1,IF(MAX(0,NETWORKDAYS.INTL(MAX(E251,(Reprogramaciones!$T$15+7*(Reprogramaciones!T$14-1))),MIN(F251,(Reprogramaciones!$T$15+7*(Reprogramaciones!T$14-1))+6),11))=0,0,MAX(0,NETWORKDAYS.INTL(MAX(E251,(Reprogramaciones!$T$15+7*(Reprogramaciones!T$14-1))),MIN(F251,Reprogramaciones!T$13),11))/MAX(0,NETWORKDAYS.INTL(MAX(E251,(Reprogramaciones!$T$15+7*(Reprogramaciones!T$14-1))),MIN(F251,(Reprogramaciones!$T$15+7*(Reprogramaciones!T$14-1))+6),11))))))))</f>
        <v/>
      </c>
      <c r="CD251" s="1" t="str">
        <f aca="false">IF(OR(NOT(AND(ISNUMBER(E251),ISNUMBER(F251))),$J$2=""),"",IF(Reprogramaciones!U$13&lt;Reprogramaciones!$T$15,0,IF(Reprogramaciones!U$14&gt;10,MIN(100,SUM($G251:$P251)),MIN(100,SUMPRODUCT((COLUMN($G251:$P251)-COLUMN($G251)+1&lt;Reprogramaciones!U$14)*$G251:$P251)+N(INDEX($G251:$P251,1,Reprogramaciones!U$14))*IF(Reprogramaciones!U$13&gt;=(Reprogramaciones!$T$15+7*(Reprogramaciones!U$14-1))+6,1,IF(MAX(0,NETWORKDAYS.INTL(MAX(E251,(Reprogramaciones!$T$15+7*(Reprogramaciones!U$14-1))),MIN(F251,(Reprogramaciones!$T$15+7*(Reprogramaciones!U$14-1))+6),11))=0,0,MAX(0,NETWORKDAYS.INTL(MAX(E251,(Reprogramaciones!$T$15+7*(Reprogramaciones!U$14-1))),MIN(F251,Reprogramaciones!U$13),11))/MAX(0,NETWORKDAYS.INTL(MAX(E251,(Reprogramaciones!$T$15+7*(Reprogramaciones!U$14-1))),MIN(F251,(Reprogramaciones!$T$15+7*(Reprogramaciones!U$14-1))+6),11))))))))</f>
        <v/>
      </c>
      <c r="CE251" s="1" t="str">
        <f aca="false">IF(OR(NOT(AND(ISNUMBER(E251),ISNUMBER(F251))),$J$2=""),"",IF(Reprogramaciones!V$13&lt;Reprogramaciones!$T$15,0,IF(Reprogramaciones!V$14&gt;10,MIN(100,SUM($G251:$P251)),MIN(100,SUMPRODUCT((COLUMN($G251:$P251)-COLUMN($G251)+1&lt;Reprogramaciones!V$14)*$G251:$P251)+N(INDEX($G251:$P251,1,Reprogramaciones!V$14))*IF(Reprogramaciones!V$13&gt;=(Reprogramaciones!$T$15+7*(Reprogramaciones!V$14-1))+6,1,IF(MAX(0,NETWORKDAYS.INTL(MAX(E251,(Reprogramaciones!$T$15+7*(Reprogramaciones!V$14-1))),MIN(F251,(Reprogramaciones!$T$15+7*(Reprogramaciones!V$14-1))+6),11))=0,0,MAX(0,NETWORKDAYS.INTL(MAX(E251,(Reprogramaciones!$T$15+7*(Reprogramaciones!V$14-1))),MIN(F251,Reprogramaciones!V$13),11))/MAX(0,NETWORKDAYS.INTL(MAX(E251,(Reprogramaciones!$T$15+7*(Reprogramaciones!V$14-1))),MIN(F251,(Reprogramaciones!$T$15+7*(Reprogramaciones!V$14-1))+6),11))))))))</f>
        <v/>
      </c>
      <c r="CF251" s="1" t="str">
        <f aca="false">IF(OR(NOT(AND(ISNUMBER(E251),ISNUMBER(F251))),$J$2=""),"",IF(Reprogramaciones!W$13&lt;Reprogramaciones!$T$15,0,IF(Reprogramaciones!W$14&gt;10,MIN(100,SUM($G251:$P251)),MIN(100,SUMPRODUCT((COLUMN($G251:$P251)-COLUMN($G251)+1&lt;Reprogramaciones!W$14)*$G251:$P251)+N(INDEX($G251:$P251,1,Reprogramaciones!W$14))*IF(Reprogramaciones!W$13&gt;=(Reprogramaciones!$T$15+7*(Reprogramaciones!W$14-1))+6,1,IF(MAX(0,NETWORKDAYS.INTL(MAX(E251,(Reprogramaciones!$T$15+7*(Reprogramaciones!W$14-1))),MIN(F251,(Reprogramaciones!$T$15+7*(Reprogramaciones!W$14-1))+6),11))=0,0,MAX(0,NETWORKDAYS.INTL(MAX(E251,(Reprogramaciones!$T$15+7*(Reprogramaciones!W$14-1))),MIN(F251,Reprogramaciones!W$13),11))/MAX(0,NETWORKDAYS.INTL(MAX(E251,(Reprogramaciones!$T$15+7*(Reprogramaciones!W$14-1))),MIN(F251,(Reprogramaciones!$T$15+7*(Reprogramaciones!W$14-1))+6),11))))))))</f>
        <v/>
      </c>
      <c r="CG251" s="1" t="str">
        <f aca="false">IF(OR(NOT(AND(ISNUMBER(E251),ISNUMBER(F251))),$J$2=""),"",IF(Reprogramaciones!X$13&lt;Reprogramaciones!$T$15,0,IF(Reprogramaciones!X$14&gt;10,MIN(100,SUM($G251:$P251)),MIN(100,SUMPRODUCT((COLUMN($G251:$P251)-COLUMN($G251)+1&lt;Reprogramaciones!X$14)*$G251:$P251)+N(INDEX($G251:$P251,1,Reprogramaciones!X$14))*IF(Reprogramaciones!X$13&gt;=(Reprogramaciones!$T$15+7*(Reprogramaciones!X$14-1))+6,1,IF(MAX(0,NETWORKDAYS.INTL(MAX(E251,(Reprogramaciones!$T$15+7*(Reprogramaciones!X$14-1))),MIN(F251,(Reprogramaciones!$T$15+7*(Reprogramaciones!X$14-1))+6),11))=0,0,MAX(0,NETWORKDAYS.INTL(MAX(E251,(Reprogramaciones!$T$15+7*(Reprogramaciones!X$14-1))),MIN(F251,Reprogramaciones!X$13),11))/MAX(0,NETWORKDAYS.INTL(MAX(E251,(Reprogramaciones!$T$15+7*(Reprogramaciones!X$14-1))),MIN(F251,(Reprogramaciones!$T$15+7*(Reprogramaciones!X$14-1))+6),11))))))))</f>
        <v/>
      </c>
      <c r="CH251" s="1" t="str">
        <f aca="false">IF(OR(NOT(AND(ISNUMBER(E251),ISNUMBER(F251))),$J$2=""),"",IF(Reprogramaciones!Y$13&lt;Reprogramaciones!$T$15,0,IF(Reprogramaciones!Y$14&gt;10,MIN(100,SUM($G251:$P251)),MIN(100,SUMPRODUCT((COLUMN($G251:$P251)-COLUMN($G251)+1&lt;Reprogramaciones!Y$14)*$G251:$P251)+N(INDEX($G251:$P251,1,Reprogramaciones!Y$14))*IF(Reprogramaciones!Y$13&gt;=(Reprogramaciones!$T$15+7*(Reprogramaciones!Y$14-1))+6,1,IF(MAX(0,NETWORKDAYS.INTL(MAX(E251,(Reprogramaciones!$T$15+7*(Reprogramaciones!Y$14-1))),MIN(F251,(Reprogramaciones!$T$15+7*(Reprogramaciones!Y$14-1))+6),11))=0,0,MAX(0,NETWORKDAYS.INTL(MAX(E251,(Reprogramaciones!$T$15+7*(Reprogramaciones!Y$14-1))),MIN(F251,Reprogramaciones!Y$13),11))/MAX(0,NETWORKDAYS.INTL(MAX(E251,(Reprogramaciones!$T$15+7*(Reprogramaciones!Y$14-1))),MIN(F251,(Reprogramaciones!$T$15+7*(Reprogramaciones!Y$14-1))+6),11))))))))</f>
        <v/>
      </c>
      <c r="CI251" s="1" t="str">
        <f aca="false">IF(OR(NOT(AND(ISNUMBER(E251),ISNUMBER(F251))),$J$2=""),"",IF(Reprogramaciones!Z$13&lt;Reprogramaciones!$T$15,0,IF(Reprogramaciones!Z$14&gt;10,MIN(100,SUM($G251:$P251)),MIN(100,SUMPRODUCT((COLUMN($G251:$P251)-COLUMN($G251)+1&lt;Reprogramaciones!Z$14)*$G251:$P251)+N(INDEX($G251:$P251,1,Reprogramaciones!Z$14))*IF(Reprogramaciones!Z$13&gt;=(Reprogramaciones!$T$15+7*(Reprogramaciones!Z$14-1))+6,1,IF(MAX(0,NETWORKDAYS.INTL(MAX(E251,(Reprogramaciones!$T$15+7*(Reprogramaciones!Z$14-1))),MIN(F251,(Reprogramaciones!$T$15+7*(Reprogramaciones!Z$14-1))+6),11))=0,0,MAX(0,NETWORKDAYS.INTL(MAX(E251,(Reprogramaciones!$T$15+7*(Reprogramaciones!Z$14-1))),MIN(F251,Reprogramaciones!Z$13),11))/MAX(0,NETWORKDAYS.INTL(MAX(E251,(Reprogramaciones!$T$15+7*(Reprogramaciones!Z$14-1))),MIN(F251,(Reprogramaciones!$T$15+7*(Reprogramaciones!Z$14-1))+6),11))))))))</f>
        <v/>
      </c>
      <c r="CJ251" s="1" t="str">
        <f aca="false">IF(OR(OR(NOT(AND(ISNUMBER(E251),ISNUMBER(F251))),$J$2=""),1&gt;Reprogramaciones!$K$16),"",IF(ROUND(SUM($Q251:Q251),1)&gt;=99.5,100,MIN(100,ROUND(SUM($Q251:Q251),1))))</f>
        <v/>
      </c>
      <c r="CK251" s="1" t="str">
        <f aca="false">IF(OR(OR(NOT(AND(ISNUMBER(E251),ISNUMBER(F251))),$J$2=""),2&gt;Reprogramaciones!$K$16),"",IF(ROUND(SUM($Q251:R251),1)&gt;=99.5,100,MIN(100,ROUND(SUM($Q251:R251),1))))</f>
        <v/>
      </c>
      <c r="CL251" s="1" t="str">
        <f aca="false">IF(OR(OR(NOT(AND(ISNUMBER(E251),ISNUMBER(F251))),$J$2=""),3&gt;Reprogramaciones!$K$16),"",IF(ROUND(SUM($Q251:S251),1)&gt;=99.5,100,MIN(100,ROUND(SUM($Q251:S251),1))))</f>
        <v/>
      </c>
      <c r="CM251" s="1" t="str">
        <f aca="false">IF(OR(OR(NOT(AND(ISNUMBER(E251),ISNUMBER(F251))),$J$2=""),4&gt;Reprogramaciones!$K$16),"",IF(ROUND(SUM($Q251:T251),1)&gt;=99.5,100,MIN(100,ROUND(SUM($Q251:T251),1))))</f>
        <v/>
      </c>
      <c r="CN251" s="1" t="str">
        <f aca="false">IF(OR(OR(NOT(AND(ISNUMBER(E251),ISNUMBER(F251))),$J$2=""),5&gt;Reprogramaciones!$K$16),"",IF(ROUND(SUM($Q251:U251),1)&gt;=99.5,100,MIN(100,ROUND(SUM($Q251:U251),1))))</f>
        <v/>
      </c>
      <c r="CO251" s="1" t="str">
        <f aca="false">IF(OR(OR(NOT(AND(ISNUMBER(E251),ISNUMBER(F251))),$J$2=""),6&gt;Reprogramaciones!$K$16),"",IF(ROUND(SUM($Q251:V251),1)&gt;=99.5,100,MIN(100,ROUND(SUM($Q251:V251),1))))</f>
        <v/>
      </c>
      <c r="CP251" s="1" t="str">
        <f aca="false">IF(OR(OR(NOT(AND(ISNUMBER(E251),ISNUMBER(F251))),$J$2=""),7&gt;Reprogramaciones!$K$16),"",IF(ROUND(SUM($Q251:W251),1)&gt;=99.5,100,MIN(100,ROUND(SUM($Q251:W251),1))))</f>
        <v/>
      </c>
      <c r="CQ251" s="1" t="str">
        <f aca="false">IF(OR(OR(NOT(AND(ISNUMBER(E251),ISNUMBER(F251))),$J$2=""),8&gt;Reprogramaciones!$K$16),"",IF(ROUND(SUM($Q251:X251),1)&gt;=99.5,100,MIN(100,ROUND(SUM($Q251:X251),1))))</f>
        <v/>
      </c>
      <c r="CR251" s="1" t="str">
        <f aca="false">IF(OR(OR(NOT(AND(ISNUMBER(E251),ISNUMBER(F251))),$J$2=""),9&gt;Reprogramaciones!$K$16),"",IF(ROUND(SUM($Q251:Y251),1)&gt;=99.5,100,MIN(100,ROUND(SUM($Q251:Y251),1))))</f>
        <v/>
      </c>
      <c r="CS251" s="1" t="str">
        <f aca="false">IF(OR(OR(NOT(AND(ISNUMBER(E251),ISNUMBER(F251))),$J$2=""),10&gt;Reprogramaciones!$K$16),"",IF(ROUND(SUM($Q251:Z251),1)&gt;=99.5,100,MIN(100,ROUND(SUM($Q251:Z251),1))))</f>
        <v/>
      </c>
      <c r="CT251" s="1" t="str">
        <f aca="false">IF(OR(OR(NOT(AND(ISNUMBER(E251),ISNUMBER(F251))),$J$2=""),11&gt;Reprogramaciones!$K$16),"",IF(ROUND(SUM($Q251:AA251),1)&gt;=99.5,100,MIN(100,ROUND(SUM($Q251:AA251),1))))</f>
        <v/>
      </c>
      <c r="CU251" s="1" t="str">
        <f aca="false">IF(OR(OR(NOT(AND(ISNUMBER(E251),ISNUMBER(F251))),$J$2=""),12&gt;Reprogramaciones!$K$16),"",IF(ROUND(SUM($Q251:AB251),1)&gt;=99.5,100,MIN(100,ROUND(SUM($Q251:AB251),1))))</f>
        <v/>
      </c>
      <c r="CV251" s="1" t="str">
        <f aca="false">IF(OR(OR(NOT(AND(ISNUMBER(E251),ISNUMBER(F251))),$J$2=""),13&gt;Reprogramaciones!$K$16),"",IF(ROUND(SUM($Q251:AC251),1)&gt;=99.5,100,MIN(100,ROUND(SUM($Q251:AC251),1))))</f>
        <v/>
      </c>
      <c r="CW251" s="1" t="str">
        <f aca="false">IF(OR(OR(NOT(AND(ISNUMBER(E251),ISNUMBER(F251))),$J$2=""),14&gt;Reprogramaciones!$K$16),"",IF(ROUND(SUM($Q251:AD251),1)&gt;=99.5,100,MIN(100,ROUND(SUM($Q251:AD251),1))))</f>
        <v/>
      </c>
      <c r="CX251" s="1" t="str">
        <f aca="false">IF(OR(OR(NOT(AND(ISNUMBER(E251),ISNUMBER(F251))),$J$2=""),15&gt;Reprogramaciones!$K$16),"",IF(ROUND(SUM($Q251:AE251),1)&gt;=99.5,100,MIN(100,ROUND(SUM($Q251:AE251),1))))</f>
        <v/>
      </c>
      <c r="CY251" s="1" t="str">
        <f aca="false">IF(OR(OR(NOT(AND(ISNUMBER(E251),ISNUMBER(F251))),$J$2=""),16&gt;Reprogramaciones!$K$16),"",IF(ROUND(SUM($Q251:AF251),1)&gt;=99.5,100,MIN(100,ROUND(SUM($Q251:AF251),1))))</f>
        <v/>
      </c>
      <c r="CZ251" s="1" t="str">
        <f aca="false">IF(D251&lt;&gt;"",D251,IF(B251&lt;&gt;"","Contractual",CZ250))</f>
        <v>Contractual</v>
      </c>
      <c r="DA251" s="1" t="str">
        <f aca="false">IF(OR(NOT(AND(ISNUMBER(E251),ISNUMBER(F251))),$J$2=""),"",IF(Reprogramaciones!$Q$15&lt;Reprogramaciones!$T$15,0,IF(Reprogramaciones!$S$15&gt;10,MIN(100,SUM($G251:$P251)),MIN(100,SUMPRODUCT((COLUMN($G251:$P251)-COLUMN($G251)+1&lt;Reprogramaciones!$S$15)*$G251:$P251)+N(INDEX($G251:$P251,1,Reprogramaciones!$S$15))*IF(Reprogramaciones!$Q$15&gt;=(Reprogramaciones!$T$15+7*(Reprogramaciones!$S$15-1))+6,1,IF(MAX(0,NETWORKDAYS.INTL(MAX(E251,(Reprogramaciones!$T$15+7*(Reprogramaciones!$S$15-1))),MIN(F251,(Reprogramaciones!$T$15+7*(Reprogramaciones!$S$15-1))+6),11))=0,0,MAX(0,NETWORKDAYS.INTL(MAX(E251,(Reprogramaciones!$T$15+7*(Reprogramaciones!$S$15-1))),MIN(F251,Reprogramaciones!$Q$15),11))/MAX(0,NETWORKDAYS.INTL(MAX(E251,(Reprogramaciones!$T$15+7*(Reprogramaciones!$S$15-1))),MIN(F251,(Reprogramaciones!$T$15+7*(Reprogramaciones!$S$15-1))+6),11))))))))</f>
        <v/>
      </c>
    </row>
    <row r="252" customFormat="false" ht="15" hidden="false" customHeight="false" outlineLevel="0" collapsed="false">
      <c r="A252" s="32"/>
      <c r="B252" s="33"/>
      <c r="C252" s="33"/>
      <c r="D252" s="34"/>
      <c r="E252" s="35"/>
      <c r="F252" s="35"/>
      <c r="G252" s="36" t="str">
        <f aca="false">IF(OR(NOT(AND(ISNUMBER(E252),ISNUMBER(F252))),$J$2=""),"",IF(Reprogramaciones!K$9&lt;E252,0,IF(NETWORKDAYS.INTL(E252,F252,11)=0,IF(Reprogramaciones!K$9&gt;=F252,100,0),ROUND(NETWORKDAYS.INTL(E252,MIN(F252,Reprogramaciones!K$9),11)/NETWORKDAYS.INTL(E252,F252,11)*100,1)))-0)</f>
        <v/>
      </c>
      <c r="H252" s="36" t="str">
        <f aca="false">IF(OR(NOT(AND(ISNUMBER(E252),ISNUMBER(F252))),$J$2=""),"",IF(Reprogramaciones!L$9&lt;E252,0,IF(NETWORKDAYS.INTL(E252,F252,11)=0,IF(Reprogramaciones!L$9&gt;=F252,100,0),ROUND(NETWORKDAYS.INTL(E252,MIN(F252,Reprogramaciones!L$9),11)/NETWORKDAYS.INTL(E252,F252,11)*100,1)))-IF(Reprogramaciones!K$9&lt;E252,0,IF(NETWORKDAYS.INTL(E252,F252,11)=0,IF(Reprogramaciones!K$9&gt;=F252,100,0),ROUND(NETWORKDAYS.INTL(E252,MIN(F252,Reprogramaciones!K$9),11)/NETWORKDAYS.INTL(E252,F252,11)*100,1))))</f>
        <v/>
      </c>
      <c r="I252" s="36" t="str">
        <f aca="false">IF(OR(NOT(AND(ISNUMBER(E252),ISNUMBER(F252))),$J$2=""),"",IF(Reprogramaciones!M$9&lt;E252,0,IF(NETWORKDAYS.INTL(E252,F252,11)=0,IF(Reprogramaciones!M$9&gt;=F252,100,0),ROUND(NETWORKDAYS.INTL(E252,MIN(F252,Reprogramaciones!M$9),11)/NETWORKDAYS.INTL(E252,F252,11)*100,1)))-IF(Reprogramaciones!L$9&lt;E252,0,IF(NETWORKDAYS.INTL(E252,F252,11)=0,IF(Reprogramaciones!L$9&gt;=F252,100,0),ROUND(NETWORKDAYS.INTL(E252,MIN(F252,Reprogramaciones!L$9),11)/NETWORKDAYS.INTL(E252,F252,11)*100,1))))</f>
        <v/>
      </c>
      <c r="J252" s="36" t="str">
        <f aca="false">IF(OR(NOT(AND(ISNUMBER(E252),ISNUMBER(F252))),$J$2=""),"",IF(Reprogramaciones!N$9&lt;E252,0,IF(NETWORKDAYS.INTL(E252,F252,11)=0,IF(Reprogramaciones!N$9&gt;=F252,100,0),ROUND(NETWORKDAYS.INTL(E252,MIN(F252,Reprogramaciones!N$9),11)/NETWORKDAYS.INTL(E252,F252,11)*100,1)))-IF(Reprogramaciones!M$9&lt;E252,0,IF(NETWORKDAYS.INTL(E252,F252,11)=0,IF(Reprogramaciones!M$9&gt;=F252,100,0),ROUND(NETWORKDAYS.INTL(E252,MIN(F252,Reprogramaciones!M$9),11)/NETWORKDAYS.INTL(E252,F252,11)*100,1))))</f>
        <v/>
      </c>
      <c r="K252" s="36" t="str">
        <f aca="false">IF(OR(NOT(AND(ISNUMBER(E252),ISNUMBER(F252))),$J$2=""),"",IF(Reprogramaciones!O$9&lt;E252,0,IF(NETWORKDAYS.INTL(E252,F252,11)=0,IF(Reprogramaciones!O$9&gt;=F252,100,0),ROUND(NETWORKDAYS.INTL(E252,MIN(F252,Reprogramaciones!O$9),11)/NETWORKDAYS.INTL(E252,F252,11)*100,1)))-IF(Reprogramaciones!N$9&lt;E252,0,IF(NETWORKDAYS.INTL(E252,F252,11)=0,IF(Reprogramaciones!N$9&gt;=F252,100,0),ROUND(NETWORKDAYS.INTL(E252,MIN(F252,Reprogramaciones!N$9),11)/NETWORKDAYS.INTL(E252,F252,11)*100,1))))</f>
        <v/>
      </c>
      <c r="L252" s="36" t="str">
        <f aca="false">IF(OR(NOT(AND(ISNUMBER(E252),ISNUMBER(F252))),$J$2=""),"",IF(Reprogramaciones!P$9&lt;E252,0,IF(NETWORKDAYS.INTL(E252,F252,11)=0,IF(Reprogramaciones!P$9&gt;=F252,100,0),ROUND(NETWORKDAYS.INTL(E252,MIN(F252,Reprogramaciones!P$9),11)/NETWORKDAYS.INTL(E252,F252,11)*100,1)))-IF(Reprogramaciones!O$9&lt;E252,0,IF(NETWORKDAYS.INTL(E252,F252,11)=0,IF(Reprogramaciones!O$9&gt;=F252,100,0),ROUND(NETWORKDAYS.INTL(E252,MIN(F252,Reprogramaciones!O$9),11)/NETWORKDAYS.INTL(E252,F252,11)*100,1))))</f>
        <v/>
      </c>
      <c r="M252" s="36" t="str">
        <f aca="false">IF(OR(NOT(AND(ISNUMBER(E252),ISNUMBER(F252))),$J$2=""),"",IF(Reprogramaciones!Q$9&lt;E252,0,IF(NETWORKDAYS.INTL(E252,F252,11)=0,IF(Reprogramaciones!Q$9&gt;=F252,100,0),ROUND(NETWORKDAYS.INTL(E252,MIN(F252,Reprogramaciones!Q$9),11)/NETWORKDAYS.INTL(E252,F252,11)*100,1)))-IF(Reprogramaciones!P$9&lt;E252,0,IF(NETWORKDAYS.INTL(E252,F252,11)=0,IF(Reprogramaciones!P$9&gt;=F252,100,0),ROUND(NETWORKDAYS.INTL(E252,MIN(F252,Reprogramaciones!P$9),11)/NETWORKDAYS.INTL(E252,F252,11)*100,1))))</f>
        <v/>
      </c>
      <c r="N252" s="36" t="str">
        <f aca="false">IF(OR(NOT(AND(ISNUMBER(E252),ISNUMBER(F252))),$J$2=""),"",IF(Reprogramaciones!R$9&lt;E252,0,IF(NETWORKDAYS.INTL(E252,F252,11)=0,IF(Reprogramaciones!R$9&gt;=F252,100,0),ROUND(NETWORKDAYS.INTL(E252,MIN(F252,Reprogramaciones!R$9),11)/NETWORKDAYS.INTL(E252,F252,11)*100,1)))-IF(Reprogramaciones!Q$9&lt;E252,0,IF(NETWORKDAYS.INTL(E252,F252,11)=0,IF(Reprogramaciones!Q$9&gt;=F252,100,0),ROUND(NETWORKDAYS.INTL(E252,MIN(F252,Reprogramaciones!Q$9),11)/NETWORKDAYS.INTL(E252,F252,11)*100,1))))</f>
        <v/>
      </c>
      <c r="O252" s="36" t="str">
        <f aca="false">IF(OR(NOT(AND(ISNUMBER(E252),ISNUMBER(F252))),$J$2=""),"",IF(Reprogramaciones!S$9&lt;E252,0,IF(NETWORKDAYS.INTL(E252,F252,11)=0,IF(Reprogramaciones!S$9&gt;=F252,100,0),ROUND(NETWORKDAYS.INTL(E252,MIN(F252,Reprogramaciones!S$9),11)/NETWORKDAYS.INTL(E252,F252,11)*100,1)))-IF(Reprogramaciones!R$9&lt;E252,0,IF(NETWORKDAYS.INTL(E252,F252,11)=0,IF(Reprogramaciones!R$9&gt;=F252,100,0),ROUND(NETWORKDAYS.INTL(E252,MIN(F252,Reprogramaciones!R$9),11)/NETWORKDAYS.INTL(E252,F252,11)*100,1))))</f>
        <v/>
      </c>
      <c r="P252" s="36" t="str">
        <f aca="false">IF(OR(NOT(AND(ISNUMBER(E252),ISNUMBER(F252))),$J$2=""),"",IF(Reprogramaciones!T$9&lt;E252,0,IF(NETWORKDAYS.INTL(E252,F252,11)=0,IF(Reprogramaciones!T$9&gt;=F252,100,0),ROUND(NETWORKDAYS.INTL(E252,MIN(F252,Reprogramaciones!T$9),11)/NETWORKDAYS.INTL(E252,F252,11)*100,1)))-IF(Reprogramaciones!S$9&lt;E252,0,IF(NETWORKDAYS.INTL(E252,F252,11)=0,IF(Reprogramaciones!S$9&gt;=F252,100,0),ROUND(NETWORKDAYS.INTL(E252,MIN(F252,Reprogramaciones!S$9),11)/NETWORKDAYS.INTL(E252,F252,11)*100,1))))</f>
        <v/>
      </c>
      <c r="Q252" s="37"/>
      <c r="R252" s="37"/>
      <c r="S252" s="37"/>
      <c r="T252" s="37"/>
      <c r="U252" s="37"/>
      <c r="V252" s="37"/>
      <c r="W252" s="37"/>
      <c r="X252" s="37"/>
      <c r="Y252" s="37"/>
      <c r="Z252" s="37"/>
      <c r="AA252" s="37"/>
      <c r="AB252" s="37"/>
      <c r="AC252" s="37"/>
      <c r="AD252" s="37"/>
      <c r="AE252" s="37"/>
      <c r="AF252" s="37"/>
      <c r="AG252" s="38" t="str">
        <f aca="false">IF(AND(ISNUMBER(E252),ISNUMBER(F252)),NETWORKDAYS.INTL(E252,F252,11),"")</f>
        <v/>
      </c>
      <c r="AH252" s="38" t="str">
        <f aca="false">IF(OR(NOT(AND(ISNUMBER(E252),ISNUMBER(F252))),$J$2=""),"",IF(Reprogramaciones!$P$15&lt;Reprogramaciones!$T$15,0,IF(Reprogramaciones!$R$15&gt;10,MIN(100,SUM($G252:$P252)),MIN(100,SUMPRODUCT((COLUMN($G252:$P252)-COLUMN($G252)+1&lt;Reprogramaciones!$R$15)*$G252:$P252)+N(INDEX($G252:$P252,1,Reprogramaciones!$R$15))*IF(Reprogramaciones!$P$15&gt;=(Reprogramaciones!$T$15+7*(Reprogramaciones!$R$15-1))+6,1,IF(MAX(0,NETWORKDAYS.INTL(MAX(E252,(Reprogramaciones!$T$15+7*(Reprogramaciones!$R$15-1))),MIN(F252,(Reprogramaciones!$T$15+7*(Reprogramaciones!$R$15-1))+6),11))=0,0,MAX(0,NETWORKDAYS.INTL(MAX(E252,(Reprogramaciones!$T$15+7*(Reprogramaciones!$R$15-1))),MIN(F252,Reprogramaciones!$P$15),11))/MAX(0,NETWORKDAYS.INTL(MAX(E252,(Reprogramaciones!$T$15+7*(Reprogramaciones!$R$15-1))),MIN(F252,(Reprogramaciones!$T$15+7*(Reprogramaciones!$R$15-1))+6),11))))))))</f>
        <v/>
      </c>
      <c r="AI252" s="38" t="str">
        <f aca="false">IF(COUNT($Q252:$AF252)=0,"",IF(ROUND(SUM($Q252:$AF252),1)&gt;=99.5,100,MIN(100,ROUND(SUM($Q252:$AF252),1))))</f>
        <v/>
      </c>
      <c r="AJ252" s="38" t="str">
        <f aca="false">IF(OR(AH252="",AI252=""),"",AI252-AH252)</f>
        <v/>
      </c>
      <c r="AK252" s="39" t="str">
        <f aca="true">IF(AH252="","",IF(OR(Ficha!$C$10="Suspendida",Ficha!$C$10="Cancelada"),Ficha!$C$10,IF(AND(AI252&lt;&gt;"",N(AI252)&gt;=100),"Completada",IF(AND(E252&gt;TODAY(),N(AI252)=0),"Por iniciar",IF(N(AI252)+0.5&lt;AH252,"Retrasada",IF(N(AI252)+0.5&lt;DA252,IF(Reprogramaciones!$K$15&gt;0,"Al día · Sem "&amp;Reprogramaciones!$K$15&amp;" en curso","Al día · en curso"),"A tiempo"))))))</f>
        <v/>
      </c>
      <c r="AL252" s="39" t="str">
        <f aca="true">IF(AND(A252="",AND(B252="",C252="",E252="",F252="",COUNT(Q252:AF252)=0)),"",IF(AND(B252="",C252="",E252="",F252="",COUNT(Q252:AF252)=0),"Falta la partida o subpartida",IF(AND(A252&lt;&gt;"",COUNTIF($A$6:$A$305,A252)&gt;1),"Ítem repetido",IF(AND(C252="",E252="",F252="",COUNT(Q252:AF252)=0),"Título de partida",IF(OR(E252="",F252=""),"Faltan fechas",IF(OR(ISTEXT(E252),ISTEXT(F252)),"Fecha escrita como texto: usa dd/mm/aaaa",IF(F252&lt;E252,"Fin antes del inicio",IF(IF($J$2="",FALSE(),OR(E252&lt;$J$2,F252&gt;Reprogramaciones!$T$15+69)),"Fuera de las 10 semanas",IF(ABS(SUM(G252:P252)-100)&gt;0.5,"La meta no suma 100%",IF(ROUND(SUM(Q252:AF252),1)&gt;100.5,"El avance pasa de 100%",IF(MIN(Q252:AF252)&lt;0,"Avance negativo",IF(COUNTA(Q252:AF252)&gt;COUNT(Q252:AF252),"Avance escrito como texto",IF(SUMPRODUCT((Q252:AF252&gt;0)*(Q252:AF252&lt;1))&gt;0,"Avance menor a 1: escribe 50, no 50%",IF(SUMPRODUCT(ISNUMBER(Q252:AF252)*(Reprogramaciones!$K$8:$Z$8&gt;TODAY()))&gt;0,"Avance en semana que aún no llega",IF(AND(N(Reprogramaciones!$E$21)&gt;0,F252&gt;Reprogramaciones!$E$21),"Pasa el fin de la obra: registra una reprogramación",IF(AND(N(Reprogramaciones!$E$21)&gt;0,SUMPRODUCT(ISNUMBER(Q252:AF252)*(Reprogramaciones!$K$8:$Z$8&gt;Reprogramaciones!$E$21))&gt;0),"Avance después del fin de la obra: registra una reprogramación por atraso","OK"))))))))))))))))</f>
        <v/>
      </c>
      <c r="AM252" s="40" t="str">
        <f aca="false">IF(OR(OR(NOT(AND(ISNUMBER(E252),ISNUMBER(F252))),$J$2=""),1&gt;MAX(1,Reprogramaciones!$U$15)),"",IF(Reprogramaciones!K$12&gt;=7,"",IF(OR(BT252-N(0)&gt;0.05,N(Q252)&gt;0),ROUNDDOWN(ROUND(BT252,6),0)&amp;"%"&amp;IF(CJ252="",""," / "&amp;CJ252&amp;"%"),IF(AND(N(0)&gt;=99.95,CJ252&lt;&gt;"",N(CJ252)&lt;100),"Pend. "&amp;CJ252&amp;"%",""))))</f>
        <v/>
      </c>
      <c r="AN252" s="40" t="str">
        <f aca="false">IF(OR(OR(NOT(AND(ISNUMBER(E252),ISNUMBER(F252))),$J$2=""),2&gt;MAX(1,Reprogramaciones!$U$15)),"",IF(Reprogramaciones!L$12&gt;=7,"",IF(OR(BU252-N(BT252)&gt;0.05,N(R252)&gt;0),ROUNDDOWN(ROUND(BU252,6),0)&amp;"%"&amp;IF(CK252="",""," / "&amp;CK252&amp;"%"),IF(AND(N(BT252)&gt;=99.95,CK252&lt;&gt;"",N(CK252)&lt;100),"Pend. "&amp;CK252&amp;"%",""))))</f>
        <v/>
      </c>
      <c r="AO252" s="40" t="str">
        <f aca="false">IF(OR(OR(NOT(AND(ISNUMBER(E252),ISNUMBER(F252))),$J$2=""),3&gt;MAX(1,Reprogramaciones!$U$15)),"",IF(Reprogramaciones!M$12&gt;=7,"",IF(OR(BV252-N(BU252)&gt;0.05,N(S252)&gt;0),ROUNDDOWN(ROUND(BV252,6),0)&amp;"%"&amp;IF(CL252="",""," / "&amp;CL252&amp;"%"),IF(AND(N(BU252)&gt;=99.95,CL252&lt;&gt;"",N(CL252)&lt;100),"Pend. "&amp;CL252&amp;"%",""))))</f>
        <v/>
      </c>
      <c r="AP252" s="40" t="str">
        <f aca="false">IF(OR(OR(NOT(AND(ISNUMBER(E252),ISNUMBER(F252))),$J$2=""),4&gt;MAX(1,Reprogramaciones!$U$15)),"",IF(Reprogramaciones!N$12&gt;=7,"",IF(OR(BW252-N(BV252)&gt;0.05,N(T252)&gt;0),ROUNDDOWN(ROUND(BW252,6),0)&amp;"%"&amp;IF(CM252="",""," / "&amp;CM252&amp;"%"),IF(AND(N(BV252)&gt;=99.95,CM252&lt;&gt;"",N(CM252)&lt;100),"Pend. "&amp;CM252&amp;"%",""))))</f>
        <v/>
      </c>
      <c r="AQ252" s="40" t="str">
        <f aca="false">IF(OR(OR(NOT(AND(ISNUMBER(E252),ISNUMBER(F252))),$J$2=""),5&gt;MAX(1,Reprogramaciones!$U$15)),"",IF(Reprogramaciones!O$12&gt;=7,"",IF(OR(BX252-N(BW252)&gt;0.05,N(U252)&gt;0),ROUNDDOWN(ROUND(BX252,6),0)&amp;"%"&amp;IF(CN252="",""," / "&amp;CN252&amp;"%"),IF(AND(N(BW252)&gt;=99.95,CN252&lt;&gt;"",N(CN252)&lt;100),"Pend. "&amp;CN252&amp;"%",""))))</f>
        <v/>
      </c>
      <c r="AR252" s="40" t="str">
        <f aca="false">IF(OR(OR(NOT(AND(ISNUMBER(E252),ISNUMBER(F252))),$J$2=""),6&gt;MAX(1,Reprogramaciones!$U$15)),"",IF(Reprogramaciones!P$12&gt;=7,"",IF(OR(BY252-N(BX252)&gt;0.05,N(V252)&gt;0),ROUNDDOWN(ROUND(BY252,6),0)&amp;"%"&amp;IF(CO252="",""," / "&amp;CO252&amp;"%"),IF(AND(N(BX252)&gt;=99.95,CO252&lt;&gt;"",N(CO252)&lt;100),"Pend. "&amp;CO252&amp;"%",""))))</f>
        <v/>
      </c>
      <c r="AS252" s="40" t="str">
        <f aca="false">IF(OR(OR(NOT(AND(ISNUMBER(E252),ISNUMBER(F252))),$J$2=""),7&gt;MAX(1,Reprogramaciones!$U$15)),"",IF(Reprogramaciones!Q$12&gt;=7,"",IF(OR(BZ252-N(BY252)&gt;0.05,N(W252)&gt;0),ROUNDDOWN(ROUND(BZ252,6),0)&amp;"%"&amp;IF(CP252="",""," / "&amp;CP252&amp;"%"),IF(AND(N(BY252)&gt;=99.95,CP252&lt;&gt;"",N(CP252)&lt;100),"Pend. "&amp;CP252&amp;"%",""))))</f>
        <v/>
      </c>
      <c r="AT252" s="40" t="str">
        <f aca="false">IF(OR(OR(NOT(AND(ISNUMBER(E252),ISNUMBER(F252))),$J$2=""),8&gt;MAX(1,Reprogramaciones!$U$15)),"",IF(Reprogramaciones!R$12&gt;=7,"",IF(OR(CA252-N(BZ252)&gt;0.05,N(X252)&gt;0),ROUNDDOWN(ROUND(CA252,6),0)&amp;"%"&amp;IF(CQ252="",""," / "&amp;CQ252&amp;"%"),IF(AND(N(BZ252)&gt;=99.95,CQ252&lt;&gt;"",N(CQ252)&lt;100),"Pend. "&amp;CQ252&amp;"%",""))))</f>
        <v/>
      </c>
      <c r="AU252" s="40" t="str">
        <f aca="false">IF(OR(OR(NOT(AND(ISNUMBER(E252),ISNUMBER(F252))),$J$2=""),9&gt;MAX(1,Reprogramaciones!$U$15)),"",IF(Reprogramaciones!S$12&gt;=7,"",IF(OR(CB252-N(CA252)&gt;0.05,N(Y252)&gt;0),ROUNDDOWN(ROUND(CB252,6),0)&amp;"%"&amp;IF(CR252="",""," / "&amp;CR252&amp;"%"),IF(AND(N(CA252)&gt;=99.95,CR252&lt;&gt;"",N(CR252)&lt;100),"Pend. "&amp;CR252&amp;"%",""))))</f>
        <v/>
      </c>
      <c r="AV252" s="40" t="str">
        <f aca="false">IF(OR(OR(NOT(AND(ISNUMBER(E252),ISNUMBER(F252))),$J$2=""),10&gt;MAX(1,Reprogramaciones!$U$15)),"",IF(Reprogramaciones!T$12&gt;=7,"",IF(OR(CC252-N(CB252)&gt;0.05,N(Z252)&gt;0),ROUNDDOWN(ROUND(CC252,6),0)&amp;"%"&amp;IF(CS252="",""," / "&amp;CS252&amp;"%"),IF(AND(N(CB252)&gt;=99.95,CS252&lt;&gt;"",N(CS252)&lt;100),"Pend. "&amp;CS252&amp;"%",""))))</f>
        <v/>
      </c>
      <c r="AW252" s="40" t="str">
        <f aca="false">IF(OR(OR(NOT(AND(ISNUMBER(E252),ISNUMBER(F252))),$J$2=""),11&gt;MAX(1,Reprogramaciones!$U$15)),"",IF(Reprogramaciones!U$12&gt;=7,"",IF(OR(CD252-N(CC252)&gt;0.05,N(AA252)&gt;0),ROUNDDOWN(ROUND(CD252,6),0)&amp;"%"&amp;IF(CT252="",""," / "&amp;CT252&amp;"%"),IF(AND(N(CC252)&gt;=99.95,CT252&lt;&gt;"",N(CT252)&lt;100),"Pend. "&amp;CT252&amp;"%",""))))</f>
        <v/>
      </c>
      <c r="AX252" s="40" t="str">
        <f aca="false">IF(OR(OR(NOT(AND(ISNUMBER(E252),ISNUMBER(F252))),$J$2=""),12&gt;MAX(1,Reprogramaciones!$U$15)),"",IF(Reprogramaciones!V$12&gt;=7,"",IF(OR(CE252-N(CD252)&gt;0.05,N(AB252)&gt;0),ROUNDDOWN(ROUND(CE252,6),0)&amp;"%"&amp;IF(CU252="",""," / "&amp;CU252&amp;"%"),IF(AND(N(CD252)&gt;=99.95,CU252&lt;&gt;"",N(CU252)&lt;100),"Pend. "&amp;CU252&amp;"%",""))))</f>
        <v/>
      </c>
      <c r="AY252" s="40" t="str">
        <f aca="false">IF(OR(OR(NOT(AND(ISNUMBER(E252),ISNUMBER(F252))),$J$2=""),13&gt;MAX(1,Reprogramaciones!$U$15)),"",IF(Reprogramaciones!W$12&gt;=7,"",IF(OR(CF252-N(CE252)&gt;0.05,N(AC252)&gt;0),ROUNDDOWN(ROUND(CF252,6),0)&amp;"%"&amp;IF(CV252="",""," / "&amp;CV252&amp;"%"),IF(AND(N(CE252)&gt;=99.95,CV252&lt;&gt;"",N(CV252)&lt;100),"Pend. "&amp;CV252&amp;"%",""))))</f>
        <v/>
      </c>
      <c r="AZ252" s="40" t="str">
        <f aca="false">IF(OR(OR(NOT(AND(ISNUMBER(E252),ISNUMBER(F252))),$J$2=""),14&gt;MAX(1,Reprogramaciones!$U$15)),"",IF(Reprogramaciones!X$12&gt;=7,"",IF(OR(CG252-N(CF252)&gt;0.05,N(AD252)&gt;0),ROUNDDOWN(ROUND(CG252,6),0)&amp;"%"&amp;IF(CW252="",""," / "&amp;CW252&amp;"%"),IF(AND(N(CF252)&gt;=99.95,CW252&lt;&gt;"",N(CW252)&lt;100),"Pend. "&amp;CW252&amp;"%",""))))</f>
        <v/>
      </c>
      <c r="BA252" s="40" t="str">
        <f aca="false">IF(OR(OR(NOT(AND(ISNUMBER(E252),ISNUMBER(F252))),$J$2=""),15&gt;MAX(1,Reprogramaciones!$U$15)),"",IF(Reprogramaciones!Y$12&gt;=7,"",IF(OR(CH252-N(CG252)&gt;0.05,N(AE252)&gt;0),ROUNDDOWN(ROUND(CH252,6),0)&amp;"%"&amp;IF(CX252="",""," / "&amp;CX252&amp;"%"),IF(AND(N(CG252)&gt;=99.95,CX252&lt;&gt;"",N(CX252)&lt;100),"Pend. "&amp;CX252&amp;"%",""))))</f>
        <v/>
      </c>
      <c r="BB252" s="40" t="str">
        <f aca="false">IF(OR(OR(NOT(AND(ISNUMBER(E252),ISNUMBER(F252))),$J$2=""),16&gt;MAX(1,Reprogramaciones!$U$15)),"",IF(Reprogramaciones!Z$12&gt;=7,"",IF(OR(CI252-N(CH252)&gt;0.05,N(AF252)&gt;0),ROUNDDOWN(ROUND(CI252,6),0)&amp;"%"&amp;IF(CY252="",""," / "&amp;CY252&amp;"%"),IF(AND(N(CH252)&gt;=99.95,CY252&lt;&gt;"",N(CY252)&lt;100),"Pend. "&amp;CY252&amp;"%",""))))</f>
        <v/>
      </c>
      <c r="BC252" s="31" t="n">
        <f aca="false">IF(AND(ISNUMBER(E252),ISNUMBER(F252)),MAX(1,NETWORKDAYS.INTL(E252,F252,11)),0)</f>
        <v>0</v>
      </c>
      <c r="BD252" s="1" t="str">
        <f aca="false">IF(OR(NOT(AND(ISNUMBER(E252),ISNUMBER(F252))),$J$2=""),"",MIN(100,ROUND(SUM($G252:G252),1)))</f>
        <v/>
      </c>
      <c r="BE252" s="1" t="str">
        <f aca="false">IF(OR(NOT(AND(ISNUMBER(E252),ISNUMBER(F252))),$J$2=""),"",MIN(100,ROUND(SUM($G252:H252),1)))</f>
        <v/>
      </c>
      <c r="BF252" s="1" t="str">
        <f aca="false">IF(OR(NOT(AND(ISNUMBER(E252),ISNUMBER(F252))),$J$2=""),"",MIN(100,ROUND(SUM($G252:I252),1)))</f>
        <v/>
      </c>
      <c r="BG252" s="1" t="str">
        <f aca="false">IF(OR(NOT(AND(ISNUMBER(E252),ISNUMBER(F252))),$J$2=""),"",MIN(100,ROUND(SUM($G252:J252),1)))</f>
        <v/>
      </c>
      <c r="BH252" s="1" t="str">
        <f aca="false">IF(OR(NOT(AND(ISNUMBER(E252),ISNUMBER(F252))),$J$2=""),"",MIN(100,ROUND(SUM($G252:K252),1)))</f>
        <v/>
      </c>
      <c r="BI252" s="1" t="str">
        <f aca="false">IF(OR(NOT(AND(ISNUMBER(E252),ISNUMBER(F252))),$J$2=""),"",MIN(100,ROUND(SUM($G252:L252),1)))</f>
        <v/>
      </c>
      <c r="BJ252" s="1" t="str">
        <f aca="false">IF(OR(NOT(AND(ISNUMBER(E252),ISNUMBER(F252))),$J$2=""),"",MIN(100,ROUND(SUM($G252:M252),1)))</f>
        <v/>
      </c>
      <c r="BK252" s="1" t="str">
        <f aca="false">IF(OR(NOT(AND(ISNUMBER(E252),ISNUMBER(F252))),$J$2=""),"",MIN(100,ROUND(SUM($G252:N252),1)))</f>
        <v/>
      </c>
      <c r="BL252" s="1" t="str">
        <f aca="false">IF(OR(NOT(AND(ISNUMBER(E252),ISNUMBER(F252))),$J$2=""),"",MIN(100,ROUND(SUM($G252:O252),1)))</f>
        <v/>
      </c>
      <c r="BM252" s="1" t="str">
        <f aca="false">IF(OR(NOT(AND(ISNUMBER(E252),ISNUMBER(F252))),$J$2=""),"",MIN(100,ROUND(SUM($G252:P252),1)))</f>
        <v/>
      </c>
      <c r="BN252" s="1" t="str">
        <f aca="false">IF(OR(NOT(AND(ISNUMBER(E252),ISNUMBER(F252))),$J$2=""),"",MIN(100,ROUND(SUM($G252:P252),1)))</f>
        <v/>
      </c>
      <c r="BO252" s="1" t="str">
        <f aca="false">IF(OR(NOT(AND(ISNUMBER(E252),ISNUMBER(F252))),$J$2=""),"",MIN(100,ROUND(SUM($G252:P252),1)))</f>
        <v/>
      </c>
      <c r="BP252" s="1" t="str">
        <f aca="false">IF(OR(NOT(AND(ISNUMBER(E252),ISNUMBER(F252))),$J$2=""),"",MIN(100,ROUND(SUM($G252:P252),1)))</f>
        <v/>
      </c>
      <c r="BQ252" s="1" t="str">
        <f aca="false">IF(OR(NOT(AND(ISNUMBER(E252),ISNUMBER(F252))),$J$2=""),"",MIN(100,ROUND(SUM($G252:P252),1)))</f>
        <v/>
      </c>
      <c r="BR252" s="1" t="str">
        <f aca="false">IF(OR(NOT(AND(ISNUMBER(E252),ISNUMBER(F252))),$J$2=""),"",MIN(100,ROUND(SUM($G252:P252),1)))</f>
        <v/>
      </c>
      <c r="BS252" s="1" t="str">
        <f aca="false">IF(OR(NOT(AND(ISNUMBER(E252),ISNUMBER(F252))),$J$2=""),"",MIN(100,ROUND(SUM($G252:P252),1)))</f>
        <v/>
      </c>
      <c r="BT252" s="1" t="str">
        <f aca="false">IF(OR(NOT(AND(ISNUMBER(E252),ISNUMBER(F252))),$J$2=""),"",IF(Reprogramaciones!K$13&lt;Reprogramaciones!$T$15,0,IF(Reprogramaciones!K$14&gt;10,MIN(100,SUM($G252:$P252)),MIN(100,SUMPRODUCT((COLUMN($G252:$P252)-COLUMN($G252)+1&lt;Reprogramaciones!K$14)*$G252:$P252)+N(INDEX($G252:$P252,1,Reprogramaciones!K$14))*IF(Reprogramaciones!K$13&gt;=(Reprogramaciones!$T$15+7*(Reprogramaciones!K$14-1))+6,1,IF(MAX(0,NETWORKDAYS.INTL(MAX(E252,(Reprogramaciones!$T$15+7*(Reprogramaciones!K$14-1))),MIN(F252,(Reprogramaciones!$T$15+7*(Reprogramaciones!K$14-1))+6),11))=0,0,MAX(0,NETWORKDAYS.INTL(MAX(E252,(Reprogramaciones!$T$15+7*(Reprogramaciones!K$14-1))),MIN(F252,Reprogramaciones!K$13),11))/MAX(0,NETWORKDAYS.INTL(MAX(E252,(Reprogramaciones!$T$15+7*(Reprogramaciones!K$14-1))),MIN(F252,(Reprogramaciones!$T$15+7*(Reprogramaciones!K$14-1))+6),11))))))))</f>
        <v/>
      </c>
      <c r="BU252" s="1" t="str">
        <f aca="false">IF(OR(NOT(AND(ISNUMBER(E252),ISNUMBER(F252))),$J$2=""),"",IF(Reprogramaciones!L$13&lt;Reprogramaciones!$T$15,0,IF(Reprogramaciones!L$14&gt;10,MIN(100,SUM($G252:$P252)),MIN(100,SUMPRODUCT((COLUMN($G252:$P252)-COLUMN($G252)+1&lt;Reprogramaciones!L$14)*$G252:$P252)+N(INDEX($G252:$P252,1,Reprogramaciones!L$14))*IF(Reprogramaciones!L$13&gt;=(Reprogramaciones!$T$15+7*(Reprogramaciones!L$14-1))+6,1,IF(MAX(0,NETWORKDAYS.INTL(MAX(E252,(Reprogramaciones!$T$15+7*(Reprogramaciones!L$14-1))),MIN(F252,(Reprogramaciones!$T$15+7*(Reprogramaciones!L$14-1))+6),11))=0,0,MAX(0,NETWORKDAYS.INTL(MAX(E252,(Reprogramaciones!$T$15+7*(Reprogramaciones!L$14-1))),MIN(F252,Reprogramaciones!L$13),11))/MAX(0,NETWORKDAYS.INTL(MAX(E252,(Reprogramaciones!$T$15+7*(Reprogramaciones!L$14-1))),MIN(F252,(Reprogramaciones!$T$15+7*(Reprogramaciones!L$14-1))+6),11))))))))</f>
        <v/>
      </c>
      <c r="BV252" s="1" t="str">
        <f aca="false">IF(OR(NOT(AND(ISNUMBER(E252),ISNUMBER(F252))),$J$2=""),"",IF(Reprogramaciones!M$13&lt;Reprogramaciones!$T$15,0,IF(Reprogramaciones!M$14&gt;10,MIN(100,SUM($G252:$P252)),MIN(100,SUMPRODUCT((COLUMN($G252:$P252)-COLUMN($G252)+1&lt;Reprogramaciones!M$14)*$G252:$P252)+N(INDEX($G252:$P252,1,Reprogramaciones!M$14))*IF(Reprogramaciones!M$13&gt;=(Reprogramaciones!$T$15+7*(Reprogramaciones!M$14-1))+6,1,IF(MAX(0,NETWORKDAYS.INTL(MAX(E252,(Reprogramaciones!$T$15+7*(Reprogramaciones!M$14-1))),MIN(F252,(Reprogramaciones!$T$15+7*(Reprogramaciones!M$14-1))+6),11))=0,0,MAX(0,NETWORKDAYS.INTL(MAX(E252,(Reprogramaciones!$T$15+7*(Reprogramaciones!M$14-1))),MIN(F252,Reprogramaciones!M$13),11))/MAX(0,NETWORKDAYS.INTL(MAX(E252,(Reprogramaciones!$T$15+7*(Reprogramaciones!M$14-1))),MIN(F252,(Reprogramaciones!$T$15+7*(Reprogramaciones!M$14-1))+6),11))))))))</f>
        <v/>
      </c>
      <c r="BW252" s="1" t="str">
        <f aca="false">IF(OR(NOT(AND(ISNUMBER(E252),ISNUMBER(F252))),$J$2=""),"",IF(Reprogramaciones!N$13&lt;Reprogramaciones!$T$15,0,IF(Reprogramaciones!N$14&gt;10,MIN(100,SUM($G252:$P252)),MIN(100,SUMPRODUCT((COLUMN($G252:$P252)-COLUMN($G252)+1&lt;Reprogramaciones!N$14)*$G252:$P252)+N(INDEX($G252:$P252,1,Reprogramaciones!N$14))*IF(Reprogramaciones!N$13&gt;=(Reprogramaciones!$T$15+7*(Reprogramaciones!N$14-1))+6,1,IF(MAX(0,NETWORKDAYS.INTL(MAX(E252,(Reprogramaciones!$T$15+7*(Reprogramaciones!N$14-1))),MIN(F252,(Reprogramaciones!$T$15+7*(Reprogramaciones!N$14-1))+6),11))=0,0,MAX(0,NETWORKDAYS.INTL(MAX(E252,(Reprogramaciones!$T$15+7*(Reprogramaciones!N$14-1))),MIN(F252,Reprogramaciones!N$13),11))/MAX(0,NETWORKDAYS.INTL(MAX(E252,(Reprogramaciones!$T$15+7*(Reprogramaciones!N$14-1))),MIN(F252,(Reprogramaciones!$T$15+7*(Reprogramaciones!N$14-1))+6),11))))))))</f>
        <v/>
      </c>
      <c r="BX252" s="1" t="str">
        <f aca="false">IF(OR(NOT(AND(ISNUMBER(E252),ISNUMBER(F252))),$J$2=""),"",IF(Reprogramaciones!O$13&lt;Reprogramaciones!$T$15,0,IF(Reprogramaciones!O$14&gt;10,MIN(100,SUM($G252:$P252)),MIN(100,SUMPRODUCT((COLUMN($G252:$P252)-COLUMN($G252)+1&lt;Reprogramaciones!O$14)*$G252:$P252)+N(INDEX($G252:$P252,1,Reprogramaciones!O$14))*IF(Reprogramaciones!O$13&gt;=(Reprogramaciones!$T$15+7*(Reprogramaciones!O$14-1))+6,1,IF(MAX(0,NETWORKDAYS.INTL(MAX(E252,(Reprogramaciones!$T$15+7*(Reprogramaciones!O$14-1))),MIN(F252,(Reprogramaciones!$T$15+7*(Reprogramaciones!O$14-1))+6),11))=0,0,MAX(0,NETWORKDAYS.INTL(MAX(E252,(Reprogramaciones!$T$15+7*(Reprogramaciones!O$14-1))),MIN(F252,Reprogramaciones!O$13),11))/MAX(0,NETWORKDAYS.INTL(MAX(E252,(Reprogramaciones!$T$15+7*(Reprogramaciones!O$14-1))),MIN(F252,(Reprogramaciones!$T$15+7*(Reprogramaciones!O$14-1))+6),11))))))))</f>
        <v/>
      </c>
      <c r="BY252" s="1" t="str">
        <f aca="false">IF(OR(NOT(AND(ISNUMBER(E252),ISNUMBER(F252))),$J$2=""),"",IF(Reprogramaciones!P$13&lt;Reprogramaciones!$T$15,0,IF(Reprogramaciones!P$14&gt;10,MIN(100,SUM($G252:$P252)),MIN(100,SUMPRODUCT((COLUMN($G252:$P252)-COLUMN($G252)+1&lt;Reprogramaciones!P$14)*$G252:$P252)+N(INDEX($G252:$P252,1,Reprogramaciones!P$14))*IF(Reprogramaciones!P$13&gt;=(Reprogramaciones!$T$15+7*(Reprogramaciones!P$14-1))+6,1,IF(MAX(0,NETWORKDAYS.INTL(MAX(E252,(Reprogramaciones!$T$15+7*(Reprogramaciones!P$14-1))),MIN(F252,(Reprogramaciones!$T$15+7*(Reprogramaciones!P$14-1))+6),11))=0,0,MAX(0,NETWORKDAYS.INTL(MAX(E252,(Reprogramaciones!$T$15+7*(Reprogramaciones!P$14-1))),MIN(F252,Reprogramaciones!P$13),11))/MAX(0,NETWORKDAYS.INTL(MAX(E252,(Reprogramaciones!$T$15+7*(Reprogramaciones!P$14-1))),MIN(F252,(Reprogramaciones!$T$15+7*(Reprogramaciones!P$14-1))+6),11))))))))</f>
        <v/>
      </c>
      <c r="BZ252" s="1" t="str">
        <f aca="false">IF(OR(NOT(AND(ISNUMBER(E252),ISNUMBER(F252))),$J$2=""),"",IF(Reprogramaciones!Q$13&lt;Reprogramaciones!$T$15,0,IF(Reprogramaciones!Q$14&gt;10,MIN(100,SUM($G252:$P252)),MIN(100,SUMPRODUCT((COLUMN($G252:$P252)-COLUMN($G252)+1&lt;Reprogramaciones!Q$14)*$G252:$P252)+N(INDEX($G252:$P252,1,Reprogramaciones!Q$14))*IF(Reprogramaciones!Q$13&gt;=(Reprogramaciones!$T$15+7*(Reprogramaciones!Q$14-1))+6,1,IF(MAX(0,NETWORKDAYS.INTL(MAX(E252,(Reprogramaciones!$T$15+7*(Reprogramaciones!Q$14-1))),MIN(F252,(Reprogramaciones!$T$15+7*(Reprogramaciones!Q$14-1))+6),11))=0,0,MAX(0,NETWORKDAYS.INTL(MAX(E252,(Reprogramaciones!$T$15+7*(Reprogramaciones!Q$14-1))),MIN(F252,Reprogramaciones!Q$13),11))/MAX(0,NETWORKDAYS.INTL(MAX(E252,(Reprogramaciones!$T$15+7*(Reprogramaciones!Q$14-1))),MIN(F252,(Reprogramaciones!$T$15+7*(Reprogramaciones!Q$14-1))+6),11))))))))</f>
        <v/>
      </c>
      <c r="CA252" s="1" t="str">
        <f aca="false">IF(OR(NOT(AND(ISNUMBER(E252),ISNUMBER(F252))),$J$2=""),"",IF(Reprogramaciones!R$13&lt;Reprogramaciones!$T$15,0,IF(Reprogramaciones!R$14&gt;10,MIN(100,SUM($G252:$P252)),MIN(100,SUMPRODUCT((COLUMN($G252:$P252)-COLUMN($G252)+1&lt;Reprogramaciones!R$14)*$G252:$P252)+N(INDEX($G252:$P252,1,Reprogramaciones!R$14))*IF(Reprogramaciones!R$13&gt;=(Reprogramaciones!$T$15+7*(Reprogramaciones!R$14-1))+6,1,IF(MAX(0,NETWORKDAYS.INTL(MAX(E252,(Reprogramaciones!$T$15+7*(Reprogramaciones!R$14-1))),MIN(F252,(Reprogramaciones!$T$15+7*(Reprogramaciones!R$14-1))+6),11))=0,0,MAX(0,NETWORKDAYS.INTL(MAX(E252,(Reprogramaciones!$T$15+7*(Reprogramaciones!R$14-1))),MIN(F252,Reprogramaciones!R$13),11))/MAX(0,NETWORKDAYS.INTL(MAX(E252,(Reprogramaciones!$T$15+7*(Reprogramaciones!R$14-1))),MIN(F252,(Reprogramaciones!$T$15+7*(Reprogramaciones!R$14-1))+6),11))))))))</f>
        <v/>
      </c>
      <c r="CB252" s="1" t="str">
        <f aca="false">IF(OR(NOT(AND(ISNUMBER(E252),ISNUMBER(F252))),$J$2=""),"",IF(Reprogramaciones!S$13&lt;Reprogramaciones!$T$15,0,IF(Reprogramaciones!S$14&gt;10,MIN(100,SUM($G252:$P252)),MIN(100,SUMPRODUCT((COLUMN($G252:$P252)-COLUMN($G252)+1&lt;Reprogramaciones!S$14)*$G252:$P252)+N(INDEX($G252:$P252,1,Reprogramaciones!S$14))*IF(Reprogramaciones!S$13&gt;=(Reprogramaciones!$T$15+7*(Reprogramaciones!S$14-1))+6,1,IF(MAX(0,NETWORKDAYS.INTL(MAX(E252,(Reprogramaciones!$T$15+7*(Reprogramaciones!S$14-1))),MIN(F252,(Reprogramaciones!$T$15+7*(Reprogramaciones!S$14-1))+6),11))=0,0,MAX(0,NETWORKDAYS.INTL(MAX(E252,(Reprogramaciones!$T$15+7*(Reprogramaciones!S$14-1))),MIN(F252,Reprogramaciones!S$13),11))/MAX(0,NETWORKDAYS.INTL(MAX(E252,(Reprogramaciones!$T$15+7*(Reprogramaciones!S$14-1))),MIN(F252,(Reprogramaciones!$T$15+7*(Reprogramaciones!S$14-1))+6),11))))))))</f>
        <v/>
      </c>
      <c r="CC252" s="1" t="str">
        <f aca="false">IF(OR(NOT(AND(ISNUMBER(E252),ISNUMBER(F252))),$J$2=""),"",IF(Reprogramaciones!T$13&lt;Reprogramaciones!$T$15,0,IF(Reprogramaciones!T$14&gt;10,MIN(100,SUM($G252:$P252)),MIN(100,SUMPRODUCT((COLUMN($G252:$P252)-COLUMN($G252)+1&lt;Reprogramaciones!T$14)*$G252:$P252)+N(INDEX($G252:$P252,1,Reprogramaciones!T$14))*IF(Reprogramaciones!T$13&gt;=(Reprogramaciones!$T$15+7*(Reprogramaciones!T$14-1))+6,1,IF(MAX(0,NETWORKDAYS.INTL(MAX(E252,(Reprogramaciones!$T$15+7*(Reprogramaciones!T$14-1))),MIN(F252,(Reprogramaciones!$T$15+7*(Reprogramaciones!T$14-1))+6),11))=0,0,MAX(0,NETWORKDAYS.INTL(MAX(E252,(Reprogramaciones!$T$15+7*(Reprogramaciones!T$14-1))),MIN(F252,Reprogramaciones!T$13),11))/MAX(0,NETWORKDAYS.INTL(MAX(E252,(Reprogramaciones!$T$15+7*(Reprogramaciones!T$14-1))),MIN(F252,(Reprogramaciones!$T$15+7*(Reprogramaciones!T$14-1))+6),11))))))))</f>
        <v/>
      </c>
      <c r="CD252" s="1" t="str">
        <f aca="false">IF(OR(NOT(AND(ISNUMBER(E252),ISNUMBER(F252))),$J$2=""),"",IF(Reprogramaciones!U$13&lt;Reprogramaciones!$T$15,0,IF(Reprogramaciones!U$14&gt;10,MIN(100,SUM($G252:$P252)),MIN(100,SUMPRODUCT((COLUMN($G252:$P252)-COLUMN($G252)+1&lt;Reprogramaciones!U$14)*$G252:$P252)+N(INDEX($G252:$P252,1,Reprogramaciones!U$14))*IF(Reprogramaciones!U$13&gt;=(Reprogramaciones!$T$15+7*(Reprogramaciones!U$14-1))+6,1,IF(MAX(0,NETWORKDAYS.INTL(MAX(E252,(Reprogramaciones!$T$15+7*(Reprogramaciones!U$14-1))),MIN(F252,(Reprogramaciones!$T$15+7*(Reprogramaciones!U$14-1))+6),11))=0,0,MAX(0,NETWORKDAYS.INTL(MAX(E252,(Reprogramaciones!$T$15+7*(Reprogramaciones!U$14-1))),MIN(F252,Reprogramaciones!U$13),11))/MAX(0,NETWORKDAYS.INTL(MAX(E252,(Reprogramaciones!$T$15+7*(Reprogramaciones!U$14-1))),MIN(F252,(Reprogramaciones!$T$15+7*(Reprogramaciones!U$14-1))+6),11))))))))</f>
        <v/>
      </c>
      <c r="CE252" s="1" t="str">
        <f aca="false">IF(OR(NOT(AND(ISNUMBER(E252),ISNUMBER(F252))),$J$2=""),"",IF(Reprogramaciones!V$13&lt;Reprogramaciones!$T$15,0,IF(Reprogramaciones!V$14&gt;10,MIN(100,SUM($G252:$P252)),MIN(100,SUMPRODUCT((COLUMN($G252:$P252)-COLUMN($G252)+1&lt;Reprogramaciones!V$14)*$G252:$P252)+N(INDEX($G252:$P252,1,Reprogramaciones!V$14))*IF(Reprogramaciones!V$13&gt;=(Reprogramaciones!$T$15+7*(Reprogramaciones!V$14-1))+6,1,IF(MAX(0,NETWORKDAYS.INTL(MAX(E252,(Reprogramaciones!$T$15+7*(Reprogramaciones!V$14-1))),MIN(F252,(Reprogramaciones!$T$15+7*(Reprogramaciones!V$14-1))+6),11))=0,0,MAX(0,NETWORKDAYS.INTL(MAX(E252,(Reprogramaciones!$T$15+7*(Reprogramaciones!V$14-1))),MIN(F252,Reprogramaciones!V$13),11))/MAX(0,NETWORKDAYS.INTL(MAX(E252,(Reprogramaciones!$T$15+7*(Reprogramaciones!V$14-1))),MIN(F252,(Reprogramaciones!$T$15+7*(Reprogramaciones!V$14-1))+6),11))))))))</f>
        <v/>
      </c>
      <c r="CF252" s="1" t="str">
        <f aca="false">IF(OR(NOT(AND(ISNUMBER(E252),ISNUMBER(F252))),$J$2=""),"",IF(Reprogramaciones!W$13&lt;Reprogramaciones!$T$15,0,IF(Reprogramaciones!W$14&gt;10,MIN(100,SUM($G252:$P252)),MIN(100,SUMPRODUCT((COLUMN($G252:$P252)-COLUMN($G252)+1&lt;Reprogramaciones!W$14)*$G252:$P252)+N(INDEX($G252:$P252,1,Reprogramaciones!W$14))*IF(Reprogramaciones!W$13&gt;=(Reprogramaciones!$T$15+7*(Reprogramaciones!W$14-1))+6,1,IF(MAX(0,NETWORKDAYS.INTL(MAX(E252,(Reprogramaciones!$T$15+7*(Reprogramaciones!W$14-1))),MIN(F252,(Reprogramaciones!$T$15+7*(Reprogramaciones!W$14-1))+6),11))=0,0,MAX(0,NETWORKDAYS.INTL(MAX(E252,(Reprogramaciones!$T$15+7*(Reprogramaciones!W$14-1))),MIN(F252,Reprogramaciones!W$13),11))/MAX(0,NETWORKDAYS.INTL(MAX(E252,(Reprogramaciones!$T$15+7*(Reprogramaciones!W$14-1))),MIN(F252,(Reprogramaciones!$T$15+7*(Reprogramaciones!W$14-1))+6),11))))))))</f>
        <v/>
      </c>
      <c r="CG252" s="1" t="str">
        <f aca="false">IF(OR(NOT(AND(ISNUMBER(E252),ISNUMBER(F252))),$J$2=""),"",IF(Reprogramaciones!X$13&lt;Reprogramaciones!$T$15,0,IF(Reprogramaciones!X$14&gt;10,MIN(100,SUM($G252:$P252)),MIN(100,SUMPRODUCT((COLUMN($G252:$P252)-COLUMN($G252)+1&lt;Reprogramaciones!X$14)*$G252:$P252)+N(INDEX($G252:$P252,1,Reprogramaciones!X$14))*IF(Reprogramaciones!X$13&gt;=(Reprogramaciones!$T$15+7*(Reprogramaciones!X$14-1))+6,1,IF(MAX(0,NETWORKDAYS.INTL(MAX(E252,(Reprogramaciones!$T$15+7*(Reprogramaciones!X$14-1))),MIN(F252,(Reprogramaciones!$T$15+7*(Reprogramaciones!X$14-1))+6),11))=0,0,MAX(0,NETWORKDAYS.INTL(MAX(E252,(Reprogramaciones!$T$15+7*(Reprogramaciones!X$14-1))),MIN(F252,Reprogramaciones!X$13),11))/MAX(0,NETWORKDAYS.INTL(MAX(E252,(Reprogramaciones!$T$15+7*(Reprogramaciones!X$14-1))),MIN(F252,(Reprogramaciones!$T$15+7*(Reprogramaciones!X$14-1))+6),11))))))))</f>
        <v/>
      </c>
      <c r="CH252" s="1" t="str">
        <f aca="false">IF(OR(NOT(AND(ISNUMBER(E252),ISNUMBER(F252))),$J$2=""),"",IF(Reprogramaciones!Y$13&lt;Reprogramaciones!$T$15,0,IF(Reprogramaciones!Y$14&gt;10,MIN(100,SUM($G252:$P252)),MIN(100,SUMPRODUCT((COLUMN($G252:$P252)-COLUMN($G252)+1&lt;Reprogramaciones!Y$14)*$G252:$P252)+N(INDEX($G252:$P252,1,Reprogramaciones!Y$14))*IF(Reprogramaciones!Y$13&gt;=(Reprogramaciones!$T$15+7*(Reprogramaciones!Y$14-1))+6,1,IF(MAX(0,NETWORKDAYS.INTL(MAX(E252,(Reprogramaciones!$T$15+7*(Reprogramaciones!Y$14-1))),MIN(F252,(Reprogramaciones!$T$15+7*(Reprogramaciones!Y$14-1))+6),11))=0,0,MAX(0,NETWORKDAYS.INTL(MAX(E252,(Reprogramaciones!$T$15+7*(Reprogramaciones!Y$14-1))),MIN(F252,Reprogramaciones!Y$13),11))/MAX(0,NETWORKDAYS.INTL(MAX(E252,(Reprogramaciones!$T$15+7*(Reprogramaciones!Y$14-1))),MIN(F252,(Reprogramaciones!$T$15+7*(Reprogramaciones!Y$14-1))+6),11))))))))</f>
        <v/>
      </c>
      <c r="CI252" s="1" t="str">
        <f aca="false">IF(OR(NOT(AND(ISNUMBER(E252),ISNUMBER(F252))),$J$2=""),"",IF(Reprogramaciones!Z$13&lt;Reprogramaciones!$T$15,0,IF(Reprogramaciones!Z$14&gt;10,MIN(100,SUM($G252:$P252)),MIN(100,SUMPRODUCT((COLUMN($G252:$P252)-COLUMN($G252)+1&lt;Reprogramaciones!Z$14)*$G252:$P252)+N(INDEX($G252:$P252,1,Reprogramaciones!Z$14))*IF(Reprogramaciones!Z$13&gt;=(Reprogramaciones!$T$15+7*(Reprogramaciones!Z$14-1))+6,1,IF(MAX(0,NETWORKDAYS.INTL(MAX(E252,(Reprogramaciones!$T$15+7*(Reprogramaciones!Z$14-1))),MIN(F252,(Reprogramaciones!$T$15+7*(Reprogramaciones!Z$14-1))+6),11))=0,0,MAX(0,NETWORKDAYS.INTL(MAX(E252,(Reprogramaciones!$T$15+7*(Reprogramaciones!Z$14-1))),MIN(F252,Reprogramaciones!Z$13),11))/MAX(0,NETWORKDAYS.INTL(MAX(E252,(Reprogramaciones!$T$15+7*(Reprogramaciones!Z$14-1))),MIN(F252,(Reprogramaciones!$T$15+7*(Reprogramaciones!Z$14-1))+6),11))))))))</f>
        <v/>
      </c>
      <c r="CJ252" s="1" t="str">
        <f aca="false">IF(OR(OR(NOT(AND(ISNUMBER(E252),ISNUMBER(F252))),$J$2=""),1&gt;Reprogramaciones!$K$16),"",IF(ROUND(SUM($Q252:Q252),1)&gt;=99.5,100,MIN(100,ROUND(SUM($Q252:Q252),1))))</f>
        <v/>
      </c>
      <c r="CK252" s="1" t="str">
        <f aca="false">IF(OR(OR(NOT(AND(ISNUMBER(E252),ISNUMBER(F252))),$J$2=""),2&gt;Reprogramaciones!$K$16),"",IF(ROUND(SUM($Q252:R252),1)&gt;=99.5,100,MIN(100,ROUND(SUM($Q252:R252),1))))</f>
        <v/>
      </c>
      <c r="CL252" s="1" t="str">
        <f aca="false">IF(OR(OR(NOT(AND(ISNUMBER(E252),ISNUMBER(F252))),$J$2=""),3&gt;Reprogramaciones!$K$16),"",IF(ROUND(SUM($Q252:S252),1)&gt;=99.5,100,MIN(100,ROUND(SUM($Q252:S252),1))))</f>
        <v/>
      </c>
      <c r="CM252" s="1" t="str">
        <f aca="false">IF(OR(OR(NOT(AND(ISNUMBER(E252),ISNUMBER(F252))),$J$2=""),4&gt;Reprogramaciones!$K$16),"",IF(ROUND(SUM($Q252:T252),1)&gt;=99.5,100,MIN(100,ROUND(SUM($Q252:T252),1))))</f>
        <v/>
      </c>
      <c r="CN252" s="1" t="str">
        <f aca="false">IF(OR(OR(NOT(AND(ISNUMBER(E252),ISNUMBER(F252))),$J$2=""),5&gt;Reprogramaciones!$K$16),"",IF(ROUND(SUM($Q252:U252),1)&gt;=99.5,100,MIN(100,ROUND(SUM($Q252:U252),1))))</f>
        <v/>
      </c>
      <c r="CO252" s="1" t="str">
        <f aca="false">IF(OR(OR(NOT(AND(ISNUMBER(E252),ISNUMBER(F252))),$J$2=""),6&gt;Reprogramaciones!$K$16),"",IF(ROUND(SUM($Q252:V252),1)&gt;=99.5,100,MIN(100,ROUND(SUM($Q252:V252),1))))</f>
        <v/>
      </c>
      <c r="CP252" s="1" t="str">
        <f aca="false">IF(OR(OR(NOT(AND(ISNUMBER(E252),ISNUMBER(F252))),$J$2=""),7&gt;Reprogramaciones!$K$16),"",IF(ROUND(SUM($Q252:W252),1)&gt;=99.5,100,MIN(100,ROUND(SUM($Q252:W252),1))))</f>
        <v/>
      </c>
      <c r="CQ252" s="1" t="str">
        <f aca="false">IF(OR(OR(NOT(AND(ISNUMBER(E252),ISNUMBER(F252))),$J$2=""),8&gt;Reprogramaciones!$K$16),"",IF(ROUND(SUM($Q252:X252),1)&gt;=99.5,100,MIN(100,ROUND(SUM($Q252:X252),1))))</f>
        <v/>
      </c>
      <c r="CR252" s="1" t="str">
        <f aca="false">IF(OR(OR(NOT(AND(ISNUMBER(E252),ISNUMBER(F252))),$J$2=""),9&gt;Reprogramaciones!$K$16),"",IF(ROUND(SUM($Q252:Y252),1)&gt;=99.5,100,MIN(100,ROUND(SUM($Q252:Y252),1))))</f>
        <v/>
      </c>
      <c r="CS252" s="1" t="str">
        <f aca="false">IF(OR(OR(NOT(AND(ISNUMBER(E252),ISNUMBER(F252))),$J$2=""),10&gt;Reprogramaciones!$K$16),"",IF(ROUND(SUM($Q252:Z252),1)&gt;=99.5,100,MIN(100,ROUND(SUM($Q252:Z252),1))))</f>
        <v/>
      </c>
      <c r="CT252" s="1" t="str">
        <f aca="false">IF(OR(OR(NOT(AND(ISNUMBER(E252),ISNUMBER(F252))),$J$2=""),11&gt;Reprogramaciones!$K$16),"",IF(ROUND(SUM($Q252:AA252),1)&gt;=99.5,100,MIN(100,ROUND(SUM($Q252:AA252),1))))</f>
        <v/>
      </c>
      <c r="CU252" s="1" t="str">
        <f aca="false">IF(OR(OR(NOT(AND(ISNUMBER(E252),ISNUMBER(F252))),$J$2=""),12&gt;Reprogramaciones!$K$16),"",IF(ROUND(SUM($Q252:AB252),1)&gt;=99.5,100,MIN(100,ROUND(SUM($Q252:AB252),1))))</f>
        <v/>
      </c>
      <c r="CV252" s="1" t="str">
        <f aca="false">IF(OR(OR(NOT(AND(ISNUMBER(E252),ISNUMBER(F252))),$J$2=""),13&gt;Reprogramaciones!$K$16),"",IF(ROUND(SUM($Q252:AC252),1)&gt;=99.5,100,MIN(100,ROUND(SUM($Q252:AC252),1))))</f>
        <v/>
      </c>
      <c r="CW252" s="1" t="str">
        <f aca="false">IF(OR(OR(NOT(AND(ISNUMBER(E252),ISNUMBER(F252))),$J$2=""),14&gt;Reprogramaciones!$K$16),"",IF(ROUND(SUM($Q252:AD252),1)&gt;=99.5,100,MIN(100,ROUND(SUM($Q252:AD252),1))))</f>
        <v/>
      </c>
      <c r="CX252" s="1" t="str">
        <f aca="false">IF(OR(OR(NOT(AND(ISNUMBER(E252),ISNUMBER(F252))),$J$2=""),15&gt;Reprogramaciones!$K$16),"",IF(ROUND(SUM($Q252:AE252),1)&gt;=99.5,100,MIN(100,ROUND(SUM($Q252:AE252),1))))</f>
        <v/>
      </c>
      <c r="CY252" s="1" t="str">
        <f aca="false">IF(OR(OR(NOT(AND(ISNUMBER(E252),ISNUMBER(F252))),$J$2=""),16&gt;Reprogramaciones!$K$16),"",IF(ROUND(SUM($Q252:AF252),1)&gt;=99.5,100,MIN(100,ROUND(SUM($Q252:AF252),1))))</f>
        <v/>
      </c>
      <c r="CZ252" s="1" t="str">
        <f aca="false">IF(D252&lt;&gt;"",D252,IF(B252&lt;&gt;"","Contractual",CZ251))</f>
        <v>Contractual</v>
      </c>
      <c r="DA252" s="1" t="str">
        <f aca="false">IF(OR(NOT(AND(ISNUMBER(E252),ISNUMBER(F252))),$J$2=""),"",IF(Reprogramaciones!$Q$15&lt;Reprogramaciones!$T$15,0,IF(Reprogramaciones!$S$15&gt;10,MIN(100,SUM($G252:$P252)),MIN(100,SUMPRODUCT((COLUMN($G252:$P252)-COLUMN($G252)+1&lt;Reprogramaciones!$S$15)*$G252:$P252)+N(INDEX($G252:$P252,1,Reprogramaciones!$S$15))*IF(Reprogramaciones!$Q$15&gt;=(Reprogramaciones!$T$15+7*(Reprogramaciones!$S$15-1))+6,1,IF(MAX(0,NETWORKDAYS.INTL(MAX(E252,(Reprogramaciones!$T$15+7*(Reprogramaciones!$S$15-1))),MIN(F252,(Reprogramaciones!$T$15+7*(Reprogramaciones!$S$15-1))+6),11))=0,0,MAX(0,NETWORKDAYS.INTL(MAX(E252,(Reprogramaciones!$T$15+7*(Reprogramaciones!$S$15-1))),MIN(F252,Reprogramaciones!$Q$15),11))/MAX(0,NETWORKDAYS.INTL(MAX(E252,(Reprogramaciones!$T$15+7*(Reprogramaciones!$S$15-1))),MIN(F252,(Reprogramaciones!$T$15+7*(Reprogramaciones!$S$15-1))+6),11))))))))</f>
        <v/>
      </c>
    </row>
    <row r="253" customFormat="false" ht="15" hidden="false" customHeight="false" outlineLevel="0" collapsed="false">
      <c r="A253" s="32"/>
      <c r="B253" s="33"/>
      <c r="C253" s="33"/>
      <c r="D253" s="34"/>
      <c r="E253" s="35"/>
      <c r="F253" s="35"/>
      <c r="G253" s="36" t="str">
        <f aca="false">IF(OR(NOT(AND(ISNUMBER(E253),ISNUMBER(F253))),$J$2=""),"",IF(Reprogramaciones!K$9&lt;E253,0,IF(NETWORKDAYS.INTL(E253,F253,11)=0,IF(Reprogramaciones!K$9&gt;=F253,100,0),ROUND(NETWORKDAYS.INTL(E253,MIN(F253,Reprogramaciones!K$9),11)/NETWORKDAYS.INTL(E253,F253,11)*100,1)))-0)</f>
        <v/>
      </c>
      <c r="H253" s="36" t="str">
        <f aca="false">IF(OR(NOT(AND(ISNUMBER(E253),ISNUMBER(F253))),$J$2=""),"",IF(Reprogramaciones!L$9&lt;E253,0,IF(NETWORKDAYS.INTL(E253,F253,11)=0,IF(Reprogramaciones!L$9&gt;=F253,100,0),ROUND(NETWORKDAYS.INTL(E253,MIN(F253,Reprogramaciones!L$9),11)/NETWORKDAYS.INTL(E253,F253,11)*100,1)))-IF(Reprogramaciones!K$9&lt;E253,0,IF(NETWORKDAYS.INTL(E253,F253,11)=0,IF(Reprogramaciones!K$9&gt;=F253,100,0),ROUND(NETWORKDAYS.INTL(E253,MIN(F253,Reprogramaciones!K$9),11)/NETWORKDAYS.INTL(E253,F253,11)*100,1))))</f>
        <v/>
      </c>
      <c r="I253" s="36" t="str">
        <f aca="false">IF(OR(NOT(AND(ISNUMBER(E253),ISNUMBER(F253))),$J$2=""),"",IF(Reprogramaciones!M$9&lt;E253,0,IF(NETWORKDAYS.INTL(E253,F253,11)=0,IF(Reprogramaciones!M$9&gt;=F253,100,0),ROUND(NETWORKDAYS.INTL(E253,MIN(F253,Reprogramaciones!M$9),11)/NETWORKDAYS.INTL(E253,F253,11)*100,1)))-IF(Reprogramaciones!L$9&lt;E253,0,IF(NETWORKDAYS.INTL(E253,F253,11)=0,IF(Reprogramaciones!L$9&gt;=F253,100,0),ROUND(NETWORKDAYS.INTL(E253,MIN(F253,Reprogramaciones!L$9),11)/NETWORKDAYS.INTL(E253,F253,11)*100,1))))</f>
        <v/>
      </c>
      <c r="J253" s="36" t="str">
        <f aca="false">IF(OR(NOT(AND(ISNUMBER(E253),ISNUMBER(F253))),$J$2=""),"",IF(Reprogramaciones!N$9&lt;E253,0,IF(NETWORKDAYS.INTL(E253,F253,11)=0,IF(Reprogramaciones!N$9&gt;=F253,100,0),ROUND(NETWORKDAYS.INTL(E253,MIN(F253,Reprogramaciones!N$9),11)/NETWORKDAYS.INTL(E253,F253,11)*100,1)))-IF(Reprogramaciones!M$9&lt;E253,0,IF(NETWORKDAYS.INTL(E253,F253,11)=0,IF(Reprogramaciones!M$9&gt;=F253,100,0),ROUND(NETWORKDAYS.INTL(E253,MIN(F253,Reprogramaciones!M$9),11)/NETWORKDAYS.INTL(E253,F253,11)*100,1))))</f>
        <v/>
      </c>
      <c r="K253" s="36" t="str">
        <f aca="false">IF(OR(NOT(AND(ISNUMBER(E253),ISNUMBER(F253))),$J$2=""),"",IF(Reprogramaciones!O$9&lt;E253,0,IF(NETWORKDAYS.INTL(E253,F253,11)=0,IF(Reprogramaciones!O$9&gt;=F253,100,0),ROUND(NETWORKDAYS.INTL(E253,MIN(F253,Reprogramaciones!O$9),11)/NETWORKDAYS.INTL(E253,F253,11)*100,1)))-IF(Reprogramaciones!N$9&lt;E253,0,IF(NETWORKDAYS.INTL(E253,F253,11)=0,IF(Reprogramaciones!N$9&gt;=F253,100,0),ROUND(NETWORKDAYS.INTL(E253,MIN(F253,Reprogramaciones!N$9),11)/NETWORKDAYS.INTL(E253,F253,11)*100,1))))</f>
        <v/>
      </c>
      <c r="L253" s="36" t="str">
        <f aca="false">IF(OR(NOT(AND(ISNUMBER(E253),ISNUMBER(F253))),$J$2=""),"",IF(Reprogramaciones!P$9&lt;E253,0,IF(NETWORKDAYS.INTL(E253,F253,11)=0,IF(Reprogramaciones!P$9&gt;=F253,100,0),ROUND(NETWORKDAYS.INTL(E253,MIN(F253,Reprogramaciones!P$9),11)/NETWORKDAYS.INTL(E253,F253,11)*100,1)))-IF(Reprogramaciones!O$9&lt;E253,0,IF(NETWORKDAYS.INTL(E253,F253,11)=0,IF(Reprogramaciones!O$9&gt;=F253,100,0),ROUND(NETWORKDAYS.INTL(E253,MIN(F253,Reprogramaciones!O$9),11)/NETWORKDAYS.INTL(E253,F253,11)*100,1))))</f>
        <v/>
      </c>
      <c r="M253" s="36" t="str">
        <f aca="false">IF(OR(NOT(AND(ISNUMBER(E253),ISNUMBER(F253))),$J$2=""),"",IF(Reprogramaciones!Q$9&lt;E253,0,IF(NETWORKDAYS.INTL(E253,F253,11)=0,IF(Reprogramaciones!Q$9&gt;=F253,100,0),ROUND(NETWORKDAYS.INTL(E253,MIN(F253,Reprogramaciones!Q$9),11)/NETWORKDAYS.INTL(E253,F253,11)*100,1)))-IF(Reprogramaciones!P$9&lt;E253,0,IF(NETWORKDAYS.INTL(E253,F253,11)=0,IF(Reprogramaciones!P$9&gt;=F253,100,0),ROUND(NETWORKDAYS.INTL(E253,MIN(F253,Reprogramaciones!P$9),11)/NETWORKDAYS.INTL(E253,F253,11)*100,1))))</f>
        <v/>
      </c>
      <c r="N253" s="36" t="str">
        <f aca="false">IF(OR(NOT(AND(ISNUMBER(E253),ISNUMBER(F253))),$J$2=""),"",IF(Reprogramaciones!R$9&lt;E253,0,IF(NETWORKDAYS.INTL(E253,F253,11)=0,IF(Reprogramaciones!R$9&gt;=F253,100,0),ROUND(NETWORKDAYS.INTL(E253,MIN(F253,Reprogramaciones!R$9),11)/NETWORKDAYS.INTL(E253,F253,11)*100,1)))-IF(Reprogramaciones!Q$9&lt;E253,0,IF(NETWORKDAYS.INTL(E253,F253,11)=0,IF(Reprogramaciones!Q$9&gt;=F253,100,0),ROUND(NETWORKDAYS.INTL(E253,MIN(F253,Reprogramaciones!Q$9),11)/NETWORKDAYS.INTL(E253,F253,11)*100,1))))</f>
        <v/>
      </c>
      <c r="O253" s="36" t="str">
        <f aca="false">IF(OR(NOT(AND(ISNUMBER(E253),ISNUMBER(F253))),$J$2=""),"",IF(Reprogramaciones!S$9&lt;E253,0,IF(NETWORKDAYS.INTL(E253,F253,11)=0,IF(Reprogramaciones!S$9&gt;=F253,100,0),ROUND(NETWORKDAYS.INTL(E253,MIN(F253,Reprogramaciones!S$9),11)/NETWORKDAYS.INTL(E253,F253,11)*100,1)))-IF(Reprogramaciones!R$9&lt;E253,0,IF(NETWORKDAYS.INTL(E253,F253,11)=0,IF(Reprogramaciones!R$9&gt;=F253,100,0),ROUND(NETWORKDAYS.INTL(E253,MIN(F253,Reprogramaciones!R$9),11)/NETWORKDAYS.INTL(E253,F253,11)*100,1))))</f>
        <v/>
      </c>
      <c r="P253" s="36" t="str">
        <f aca="false">IF(OR(NOT(AND(ISNUMBER(E253),ISNUMBER(F253))),$J$2=""),"",IF(Reprogramaciones!T$9&lt;E253,0,IF(NETWORKDAYS.INTL(E253,F253,11)=0,IF(Reprogramaciones!T$9&gt;=F253,100,0),ROUND(NETWORKDAYS.INTL(E253,MIN(F253,Reprogramaciones!T$9),11)/NETWORKDAYS.INTL(E253,F253,11)*100,1)))-IF(Reprogramaciones!S$9&lt;E253,0,IF(NETWORKDAYS.INTL(E253,F253,11)=0,IF(Reprogramaciones!S$9&gt;=F253,100,0),ROUND(NETWORKDAYS.INTL(E253,MIN(F253,Reprogramaciones!S$9),11)/NETWORKDAYS.INTL(E253,F253,11)*100,1))))</f>
        <v/>
      </c>
      <c r="Q253" s="37"/>
      <c r="R253" s="37"/>
      <c r="S253" s="37"/>
      <c r="T253" s="37"/>
      <c r="U253" s="37"/>
      <c r="V253" s="37"/>
      <c r="W253" s="37"/>
      <c r="X253" s="37"/>
      <c r="Y253" s="37"/>
      <c r="Z253" s="37"/>
      <c r="AA253" s="37"/>
      <c r="AB253" s="37"/>
      <c r="AC253" s="37"/>
      <c r="AD253" s="37"/>
      <c r="AE253" s="37"/>
      <c r="AF253" s="37"/>
      <c r="AG253" s="38" t="str">
        <f aca="false">IF(AND(ISNUMBER(E253),ISNUMBER(F253)),NETWORKDAYS.INTL(E253,F253,11),"")</f>
        <v/>
      </c>
      <c r="AH253" s="38" t="str">
        <f aca="false">IF(OR(NOT(AND(ISNUMBER(E253),ISNUMBER(F253))),$J$2=""),"",IF(Reprogramaciones!$P$15&lt;Reprogramaciones!$T$15,0,IF(Reprogramaciones!$R$15&gt;10,MIN(100,SUM($G253:$P253)),MIN(100,SUMPRODUCT((COLUMN($G253:$P253)-COLUMN($G253)+1&lt;Reprogramaciones!$R$15)*$G253:$P253)+N(INDEX($G253:$P253,1,Reprogramaciones!$R$15))*IF(Reprogramaciones!$P$15&gt;=(Reprogramaciones!$T$15+7*(Reprogramaciones!$R$15-1))+6,1,IF(MAX(0,NETWORKDAYS.INTL(MAX(E253,(Reprogramaciones!$T$15+7*(Reprogramaciones!$R$15-1))),MIN(F253,(Reprogramaciones!$T$15+7*(Reprogramaciones!$R$15-1))+6),11))=0,0,MAX(0,NETWORKDAYS.INTL(MAX(E253,(Reprogramaciones!$T$15+7*(Reprogramaciones!$R$15-1))),MIN(F253,Reprogramaciones!$P$15),11))/MAX(0,NETWORKDAYS.INTL(MAX(E253,(Reprogramaciones!$T$15+7*(Reprogramaciones!$R$15-1))),MIN(F253,(Reprogramaciones!$T$15+7*(Reprogramaciones!$R$15-1))+6),11))))))))</f>
        <v/>
      </c>
      <c r="AI253" s="38" t="str">
        <f aca="false">IF(COUNT($Q253:$AF253)=0,"",IF(ROUND(SUM($Q253:$AF253),1)&gt;=99.5,100,MIN(100,ROUND(SUM($Q253:$AF253),1))))</f>
        <v/>
      </c>
      <c r="AJ253" s="38" t="str">
        <f aca="false">IF(OR(AH253="",AI253=""),"",AI253-AH253)</f>
        <v/>
      </c>
      <c r="AK253" s="39" t="str">
        <f aca="true">IF(AH253="","",IF(OR(Ficha!$C$10="Suspendida",Ficha!$C$10="Cancelada"),Ficha!$C$10,IF(AND(AI253&lt;&gt;"",N(AI253)&gt;=100),"Completada",IF(AND(E253&gt;TODAY(),N(AI253)=0),"Por iniciar",IF(N(AI253)+0.5&lt;AH253,"Retrasada",IF(N(AI253)+0.5&lt;DA253,IF(Reprogramaciones!$K$15&gt;0,"Al día · Sem "&amp;Reprogramaciones!$K$15&amp;" en curso","Al día · en curso"),"A tiempo"))))))</f>
        <v/>
      </c>
      <c r="AL253" s="39" t="str">
        <f aca="true">IF(AND(A253="",AND(B253="",C253="",E253="",F253="",COUNT(Q253:AF253)=0)),"",IF(AND(B253="",C253="",E253="",F253="",COUNT(Q253:AF253)=0),"Falta la partida o subpartida",IF(AND(A253&lt;&gt;"",COUNTIF($A$6:$A$305,A253)&gt;1),"Ítem repetido",IF(AND(C253="",E253="",F253="",COUNT(Q253:AF253)=0),"Título de partida",IF(OR(E253="",F253=""),"Faltan fechas",IF(OR(ISTEXT(E253),ISTEXT(F253)),"Fecha escrita como texto: usa dd/mm/aaaa",IF(F253&lt;E253,"Fin antes del inicio",IF(IF($J$2="",FALSE(),OR(E253&lt;$J$2,F253&gt;Reprogramaciones!$T$15+69)),"Fuera de las 10 semanas",IF(ABS(SUM(G253:P253)-100)&gt;0.5,"La meta no suma 100%",IF(ROUND(SUM(Q253:AF253),1)&gt;100.5,"El avance pasa de 100%",IF(MIN(Q253:AF253)&lt;0,"Avance negativo",IF(COUNTA(Q253:AF253)&gt;COUNT(Q253:AF253),"Avance escrito como texto",IF(SUMPRODUCT((Q253:AF253&gt;0)*(Q253:AF253&lt;1))&gt;0,"Avance menor a 1: escribe 50, no 50%",IF(SUMPRODUCT(ISNUMBER(Q253:AF253)*(Reprogramaciones!$K$8:$Z$8&gt;TODAY()))&gt;0,"Avance en semana que aún no llega",IF(AND(N(Reprogramaciones!$E$21)&gt;0,F253&gt;Reprogramaciones!$E$21),"Pasa el fin de la obra: registra una reprogramación",IF(AND(N(Reprogramaciones!$E$21)&gt;0,SUMPRODUCT(ISNUMBER(Q253:AF253)*(Reprogramaciones!$K$8:$Z$8&gt;Reprogramaciones!$E$21))&gt;0),"Avance después del fin de la obra: registra una reprogramación por atraso","OK"))))))))))))))))</f>
        <v/>
      </c>
      <c r="AM253" s="40" t="str">
        <f aca="false">IF(OR(OR(NOT(AND(ISNUMBER(E253),ISNUMBER(F253))),$J$2=""),1&gt;MAX(1,Reprogramaciones!$U$15)),"",IF(Reprogramaciones!K$12&gt;=7,"",IF(OR(BT253-N(0)&gt;0.05,N(Q253)&gt;0),ROUNDDOWN(ROUND(BT253,6),0)&amp;"%"&amp;IF(CJ253="",""," / "&amp;CJ253&amp;"%"),IF(AND(N(0)&gt;=99.95,CJ253&lt;&gt;"",N(CJ253)&lt;100),"Pend. "&amp;CJ253&amp;"%",""))))</f>
        <v/>
      </c>
      <c r="AN253" s="40" t="str">
        <f aca="false">IF(OR(OR(NOT(AND(ISNUMBER(E253),ISNUMBER(F253))),$J$2=""),2&gt;MAX(1,Reprogramaciones!$U$15)),"",IF(Reprogramaciones!L$12&gt;=7,"",IF(OR(BU253-N(BT253)&gt;0.05,N(R253)&gt;0),ROUNDDOWN(ROUND(BU253,6),0)&amp;"%"&amp;IF(CK253="",""," / "&amp;CK253&amp;"%"),IF(AND(N(BT253)&gt;=99.95,CK253&lt;&gt;"",N(CK253)&lt;100),"Pend. "&amp;CK253&amp;"%",""))))</f>
        <v/>
      </c>
      <c r="AO253" s="40" t="str">
        <f aca="false">IF(OR(OR(NOT(AND(ISNUMBER(E253),ISNUMBER(F253))),$J$2=""),3&gt;MAX(1,Reprogramaciones!$U$15)),"",IF(Reprogramaciones!M$12&gt;=7,"",IF(OR(BV253-N(BU253)&gt;0.05,N(S253)&gt;0),ROUNDDOWN(ROUND(BV253,6),0)&amp;"%"&amp;IF(CL253="",""," / "&amp;CL253&amp;"%"),IF(AND(N(BU253)&gt;=99.95,CL253&lt;&gt;"",N(CL253)&lt;100),"Pend. "&amp;CL253&amp;"%",""))))</f>
        <v/>
      </c>
      <c r="AP253" s="40" t="str">
        <f aca="false">IF(OR(OR(NOT(AND(ISNUMBER(E253),ISNUMBER(F253))),$J$2=""),4&gt;MAX(1,Reprogramaciones!$U$15)),"",IF(Reprogramaciones!N$12&gt;=7,"",IF(OR(BW253-N(BV253)&gt;0.05,N(T253)&gt;0),ROUNDDOWN(ROUND(BW253,6),0)&amp;"%"&amp;IF(CM253="",""," / "&amp;CM253&amp;"%"),IF(AND(N(BV253)&gt;=99.95,CM253&lt;&gt;"",N(CM253)&lt;100),"Pend. "&amp;CM253&amp;"%",""))))</f>
        <v/>
      </c>
      <c r="AQ253" s="40" t="str">
        <f aca="false">IF(OR(OR(NOT(AND(ISNUMBER(E253),ISNUMBER(F253))),$J$2=""),5&gt;MAX(1,Reprogramaciones!$U$15)),"",IF(Reprogramaciones!O$12&gt;=7,"",IF(OR(BX253-N(BW253)&gt;0.05,N(U253)&gt;0),ROUNDDOWN(ROUND(BX253,6),0)&amp;"%"&amp;IF(CN253="",""," / "&amp;CN253&amp;"%"),IF(AND(N(BW253)&gt;=99.95,CN253&lt;&gt;"",N(CN253)&lt;100),"Pend. "&amp;CN253&amp;"%",""))))</f>
        <v/>
      </c>
      <c r="AR253" s="40" t="str">
        <f aca="false">IF(OR(OR(NOT(AND(ISNUMBER(E253),ISNUMBER(F253))),$J$2=""),6&gt;MAX(1,Reprogramaciones!$U$15)),"",IF(Reprogramaciones!P$12&gt;=7,"",IF(OR(BY253-N(BX253)&gt;0.05,N(V253)&gt;0),ROUNDDOWN(ROUND(BY253,6),0)&amp;"%"&amp;IF(CO253="",""," / "&amp;CO253&amp;"%"),IF(AND(N(BX253)&gt;=99.95,CO253&lt;&gt;"",N(CO253)&lt;100),"Pend. "&amp;CO253&amp;"%",""))))</f>
        <v/>
      </c>
      <c r="AS253" s="40" t="str">
        <f aca="false">IF(OR(OR(NOT(AND(ISNUMBER(E253),ISNUMBER(F253))),$J$2=""),7&gt;MAX(1,Reprogramaciones!$U$15)),"",IF(Reprogramaciones!Q$12&gt;=7,"",IF(OR(BZ253-N(BY253)&gt;0.05,N(W253)&gt;0),ROUNDDOWN(ROUND(BZ253,6),0)&amp;"%"&amp;IF(CP253="",""," / "&amp;CP253&amp;"%"),IF(AND(N(BY253)&gt;=99.95,CP253&lt;&gt;"",N(CP253)&lt;100),"Pend. "&amp;CP253&amp;"%",""))))</f>
        <v/>
      </c>
      <c r="AT253" s="40" t="str">
        <f aca="false">IF(OR(OR(NOT(AND(ISNUMBER(E253),ISNUMBER(F253))),$J$2=""),8&gt;MAX(1,Reprogramaciones!$U$15)),"",IF(Reprogramaciones!R$12&gt;=7,"",IF(OR(CA253-N(BZ253)&gt;0.05,N(X253)&gt;0),ROUNDDOWN(ROUND(CA253,6),0)&amp;"%"&amp;IF(CQ253="",""," / "&amp;CQ253&amp;"%"),IF(AND(N(BZ253)&gt;=99.95,CQ253&lt;&gt;"",N(CQ253)&lt;100),"Pend. "&amp;CQ253&amp;"%",""))))</f>
        <v/>
      </c>
      <c r="AU253" s="40" t="str">
        <f aca="false">IF(OR(OR(NOT(AND(ISNUMBER(E253),ISNUMBER(F253))),$J$2=""),9&gt;MAX(1,Reprogramaciones!$U$15)),"",IF(Reprogramaciones!S$12&gt;=7,"",IF(OR(CB253-N(CA253)&gt;0.05,N(Y253)&gt;0),ROUNDDOWN(ROUND(CB253,6),0)&amp;"%"&amp;IF(CR253="",""," / "&amp;CR253&amp;"%"),IF(AND(N(CA253)&gt;=99.95,CR253&lt;&gt;"",N(CR253)&lt;100),"Pend. "&amp;CR253&amp;"%",""))))</f>
        <v/>
      </c>
      <c r="AV253" s="40" t="str">
        <f aca="false">IF(OR(OR(NOT(AND(ISNUMBER(E253),ISNUMBER(F253))),$J$2=""),10&gt;MAX(1,Reprogramaciones!$U$15)),"",IF(Reprogramaciones!T$12&gt;=7,"",IF(OR(CC253-N(CB253)&gt;0.05,N(Z253)&gt;0),ROUNDDOWN(ROUND(CC253,6),0)&amp;"%"&amp;IF(CS253="",""," / "&amp;CS253&amp;"%"),IF(AND(N(CB253)&gt;=99.95,CS253&lt;&gt;"",N(CS253)&lt;100),"Pend. "&amp;CS253&amp;"%",""))))</f>
        <v/>
      </c>
      <c r="AW253" s="40" t="str">
        <f aca="false">IF(OR(OR(NOT(AND(ISNUMBER(E253),ISNUMBER(F253))),$J$2=""),11&gt;MAX(1,Reprogramaciones!$U$15)),"",IF(Reprogramaciones!U$12&gt;=7,"",IF(OR(CD253-N(CC253)&gt;0.05,N(AA253)&gt;0),ROUNDDOWN(ROUND(CD253,6),0)&amp;"%"&amp;IF(CT253="",""," / "&amp;CT253&amp;"%"),IF(AND(N(CC253)&gt;=99.95,CT253&lt;&gt;"",N(CT253)&lt;100),"Pend. "&amp;CT253&amp;"%",""))))</f>
        <v/>
      </c>
      <c r="AX253" s="40" t="str">
        <f aca="false">IF(OR(OR(NOT(AND(ISNUMBER(E253),ISNUMBER(F253))),$J$2=""),12&gt;MAX(1,Reprogramaciones!$U$15)),"",IF(Reprogramaciones!V$12&gt;=7,"",IF(OR(CE253-N(CD253)&gt;0.05,N(AB253)&gt;0),ROUNDDOWN(ROUND(CE253,6),0)&amp;"%"&amp;IF(CU253="",""," / "&amp;CU253&amp;"%"),IF(AND(N(CD253)&gt;=99.95,CU253&lt;&gt;"",N(CU253)&lt;100),"Pend. "&amp;CU253&amp;"%",""))))</f>
        <v/>
      </c>
      <c r="AY253" s="40" t="str">
        <f aca="false">IF(OR(OR(NOT(AND(ISNUMBER(E253),ISNUMBER(F253))),$J$2=""),13&gt;MAX(1,Reprogramaciones!$U$15)),"",IF(Reprogramaciones!W$12&gt;=7,"",IF(OR(CF253-N(CE253)&gt;0.05,N(AC253)&gt;0),ROUNDDOWN(ROUND(CF253,6),0)&amp;"%"&amp;IF(CV253="",""," / "&amp;CV253&amp;"%"),IF(AND(N(CE253)&gt;=99.95,CV253&lt;&gt;"",N(CV253)&lt;100),"Pend. "&amp;CV253&amp;"%",""))))</f>
        <v/>
      </c>
      <c r="AZ253" s="40" t="str">
        <f aca="false">IF(OR(OR(NOT(AND(ISNUMBER(E253),ISNUMBER(F253))),$J$2=""),14&gt;MAX(1,Reprogramaciones!$U$15)),"",IF(Reprogramaciones!X$12&gt;=7,"",IF(OR(CG253-N(CF253)&gt;0.05,N(AD253)&gt;0),ROUNDDOWN(ROUND(CG253,6),0)&amp;"%"&amp;IF(CW253="",""," / "&amp;CW253&amp;"%"),IF(AND(N(CF253)&gt;=99.95,CW253&lt;&gt;"",N(CW253)&lt;100),"Pend. "&amp;CW253&amp;"%",""))))</f>
        <v/>
      </c>
      <c r="BA253" s="40" t="str">
        <f aca="false">IF(OR(OR(NOT(AND(ISNUMBER(E253),ISNUMBER(F253))),$J$2=""),15&gt;MAX(1,Reprogramaciones!$U$15)),"",IF(Reprogramaciones!Y$12&gt;=7,"",IF(OR(CH253-N(CG253)&gt;0.05,N(AE253)&gt;0),ROUNDDOWN(ROUND(CH253,6),0)&amp;"%"&amp;IF(CX253="",""," / "&amp;CX253&amp;"%"),IF(AND(N(CG253)&gt;=99.95,CX253&lt;&gt;"",N(CX253)&lt;100),"Pend. "&amp;CX253&amp;"%",""))))</f>
        <v/>
      </c>
      <c r="BB253" s="40" t="str">
        <f aca="false">IF(OR(OR(NOT(AND(ISNUMBER(E253),ISNUMBER(F253))),$J$2=""),16&gt;MAX(1,Reprogramaciones!$U$15)),"",IF(Reprogramaciones!Z$12&gt;=7,"",IF(OR(CI253-N(CH253)&gt;0.05,N(AF253)&gt;0),ROUNDDOWN(ROUND(CI253,6),0)&amp;"%"&amp;IF(CY253="",""," / "&amp;CY253&amp;"%"),IF(AND(N(CH253)&gt;=99.95,CY253&lt;&gt;"",N(CY253)&lt;100),"Pend. "&amp;CY253&amp;"%",""))))</f>
        <v/>
      </c>
      <c r="BC253" s="31" t="n">
        <f aca="false">IF(AND(ISNUMBER(E253),ISNUMBER(F253)),MAX(1,NETWORKDAYS.INTL(E253,F253,11)),0)</f>
        <v>0</v>
      </c>
      <c r="BD253" s="1" t="str">
        <f aca="false">IF(OR(NOT(AND(ISNUMBER(E253),ISNUMBER(F253))),$J$2=""),"",MIN(100,ROUND(SUM($G253:G253),1)))</f>
        <v/>
      </c>
      <c r="BE253" s="1" t="str">
        <f aca="false">IF(OR(NOT(AND(ISNUMBER(E253),ISNUMBER(F253))),$J$2=""),"",MIN(100,ROUND(SUM($G253:H253),1)))</f>
        <v/>
      </c>
      <c r="BF253" s="1" t="str">
        <f aca="false">IF(OR(NOT(AND(ISNUMBER(E253),ISNUMBER(F253))),$J$2=""),"",MIN(100,ROUND(SUM($G253:I253),1)))</f>
        <v/>
      </c>
      <c r="BG253" s="1" t="str">
        <f aca="false">IF(OR(NOT(AND(ISNUMBER(E253),ISNUMBER(F253))),$J$2=""),"",MIN(100,ROUND(SUM($G253:J253),1)))</f>
        <v/>
      </c>
      <c r="BH253" s="1" t="str">
        <f aca="false">IF(OR(NOT(AND(ISNUMBER(E253),ISNUMBER(F253))),$J$2=""),"",MIN(100,ROUND(SUM($G253:K253),1)))</f>
        <v/>
      </c>
      <c r="BI253" s="1" t="str">
        <f aca="false">IF(OR(NOT(AND(ISNUMBER(E253),ISNUMBER(F253))),$J$2=""),"",MIN(100,ROUND(SUM($G253:L253),1)))</f>
        <v/>
      </c>
      <c r="BJ253" s="1" t="str">
        <f aca="false">IF(OR(NOT(AND(ISNUMBER(E253),ISNUMBER(F253))),$J$2=""),"",MIN(100,ROUND(SUM($G253:M253),1)))</f>
        <v/>
      </c>
      <c r="BK253" s="1" t="str">
        <f aca="false">IF(OR(NOT(AND(ISNUMBER(E253),ISNUMBER(F253))),$J$2=""),"",MIN(100,ROUND(SUM($G253:N253),1)))</f>
        <v/>
      </c>
      <c r="BL253" s="1" t="str">
        <f aca="false">IF(OR(NOT(AND(ISNUMBER(E253),ISNUMBER(F253))),$J$2=""),"",MIN(100,ROUND(SUM($G253:O253),1)))</f>
        <v/>
      </c>
      <c r="BM253" s="1" t="str">
        <f aca="false">IF(OR(NOT(AND(ISNUMBER(E253),ISNUMBER(F253))),$J$2=""),"",MIN(100,ROUND(SUM($G253:P253),1)))</f>
        <v/>
      </c>
      <c r="BN253" s="1" t="str">
        <f aca="false">IF(OR(NOT(AND(ISNUMBER(E253),ISNUMBER(F253))),$J$2=""),"",MIN(100,ROUND(SUM($G253:P253),1)))</f>
        <v/>
      </c>
      <c r="BO253" s="1" t="str">
        <f aca="false">IF(OR(NOT(AND(ISNUMBER(E253),ISNUMBER(F253))),$J$2=""),"",MIN(100,ROUND(SUM($G253:P253),1)))</f>
        <v/>
      </c>
      <c r="BP253" s="1" t="str">
        <f aca="false">IF(OR(NOT(AND(ISNUMBER(E253),ISNUMBER(F253))),$J$2=""),"",MIN(100,ROUND(SUM($G253:P253),1)))</f>
        <v/>
      </c>
      <c r="BQ253" s="1" t="str">
        <f aca="false">IF(OR(NOT(AND(ISNUMBER(E253),ISNUMBER(F253))),$J$2=""),"",MIN(100,ROUND(SUM($G253:P253),1)))</f>
        <v/>
      </c>
      <c r="BR253" s="1" t="str">
        <f aca="false">IF(OR(NOT(AND(ISNUMBER(E253),ISNUMBER(F253))),$J$2=""),"",MIN(100,ROUND(SUM($G253:P253),1)))</f>
        <v/>
      </c>
      <c r="BS253" s="1" t="str">
        <f aca="false">IF(OR(NOT(AND(ISNUMBER(E253),ISNUMBER(F253))),$J$2=""),"",MIN(100,ROUND(SUM($G253:P253),1)))</f>
        <v/>
      </c>
      <c r="BT253" s="1" t="str">
        <f aca="false">IF(OR(NOT(AND(ISNUMBER(E253),ISNUMBER(F253))),$J$2=""),"",IF(Reprogramaciones!K$13&lt;Reprogramaciones!$T$15,0,IF(Reprogramaciones!K$14&gt;10,MIN(100,SUM($G253:$P253)),MIN(100,SUMPRODUCT((COLUMN($G253:$P253)-COLUMN($G253)+1&lt;Reprogramaciones!K$14)*$G253:$P253)+N(INDEX($G253:$P253,1,Reprogramaciones!K$14))*IF(Reprogramaciones!K$13&gt;=(Reprogramaciones!$T$15+7*(Reprogramaciones!K$14-1))+6,1,IF(MAX(0,NETWORKDAYS.INTL(MAX(E253,(Reprogramaciones!$T$15+7*(Reprogramaciones!K$14-1))),MIN(F253,(Reprogramaciones!$T$15+7*(Reprogramaciones!K$14-1))+6),11))=0,0,MAX(0,NETWORKDAYS.INTL(MAX(E253,(Reprogramaciones!$T$15+7*(Reprogramaciones!K$14-1))),MIN(F253,Reprogramaciones!K$13),11))/MAX(0,NETWORKDAYS.INTL(MAX(E253,(Reprogramaciones!$T$15+7*(Reprogramaciones!K$14-1))),MIN(F253,(Reprogramaciones!$T$15+7*(Reprogramaciones!K$14-1))+6),11))))))))</f>
        <v/>
      </c>
      <c r="BU253" s="1" t="str">
        <f aca="false">IF(OR(NOT(AND(ISNUMBER(E253),ISNUMBER(F253))),$J$2=""),"",IF(Reprogramaciones!L$13&lt;Reprogramaciones!$T$15,0,IF(Reprogramaciones!L$14&gt;10,MIN(100,SUM($G253:$P253)),MIN(100,SUMPRODUCT((COLUMN($G253:$P253)-COLUMN($G253)+1&lt;Reprogramaciones!L$14)*$G253:$P253)+N(INDEX($G253:$P253,1,Reprogramaciones!L$14))*IF(Reprogramaciones!L$13&gt;=(Reprogramaciones!$T$15+7*(Reprogramaciones!L$14-1))+6,1,IF(MAX(0,NETWORKDAYS.INTL(MAX(E253,(Reprogramaciones!$T$15+7*(Reprogramaciones!L$14-1))),MIN(F253,(Reprogramaciones!$T$15+7*(Reprogramaciones!L$14-1))+6),11))=0,0,MAX(0,NETWORKDAYS.INTL(MAX(E253,(Reprogramaciones!$T$15+7*(Reprogramaciones!L$14-1))),MIN(F253,Reprogramaciones!L$13),11))/MAX(0,NETWORKDAYS.INTL(MAX(E253,(Reprogramaciones!$T$15+7*(Reprogramaciones!L$14-1))),MIN(F253,(Reprogramaciones!$T$15+7*(Reprogramaciones!L$14-1))+6),11))))))))</f>
        <v/>
      </c>
      <c r="BV253" s="1" t="str">
        <f aca="false">IF(OR(NOT(AND(ISNUMBER(E253),ISNUMBER(F253))),$J$2=""),"",IF(Reprogramaciones!M$13&lt;Reprogramaciones!$T$15,0,IF(Reprogramaciones!M$14&gt;10,MIN(100,SUM($G253:$P253)),MIN(100,SUMPRODUCT((COLUMN($G253:$P253)-COLUMN($G253)+1&lt;Reprogramaciones!M$14)*$G253:$P253)+N(INDEX($G253:$P253,1,Reprogramaciones!M$14))*IF(Reprogramaciones!M$13&gt;=(Reprogramaciones!$T$15+7*(Reprogramaciones!M$14-1))+6,1,IF(MAX(0,NETWORKDAYS.INTL(MAX(E253,(Reprogramaciones!$T$15+7*(Reprogramaciones!M$14-1))),MIN(F253,(Reprogramaciones!$T$15+7*(Reprogramaciones!M$14-1))+6),11))=0,0,MAX(0,NETWORKDAYS.INTL(MAX(E253,(Reprogramaciones!$T$15+7*(Reprogramaciones!M$14-1))),MIN(F253,Reprogramaciones!M$13),11))/MAX(0,NETWORKDAYS.INTL(MAX(E253,(Reprogramaciones!$T$15+7*(Reprogramaciones!M$14-1))),MIN(F253,(Reprogramaciones!$T$15+7*(Reprogramaciones!M$14-1))+6),11))))))))</f>
        <v/>
      </c>
      <c r="BW253" s="1" t="str">
        <f aca="false">IF(OR(NOT(AND(ISNUMBER(E253),ISNUMBER(F253))),$J$2=""),"",IF(Reprogramaciones!N$13&lt;Reprogramaciones!$T$15,0,IF(Reprogramaciones!N$14&gt;10,MIN(100,SUM($G253:$P253)),MIN(100,SUMPRODUCT((COLUMN($G253:$P253)-COLUMN($G253)+1&lt;Reprogramaciones!N$14)*$G253:$P253)+N(INDEX($G253:$P253,1,Reprogramaciones!N$14))*IF(Reprogramaciones!N$13&gt;=(Reprogramaciones!$T$15+7*(Reprogramaciones!N$14-1))+6,1,IF(MAX(0,NETWORKDAYS.INTL(MAX(E253,(Reprogramaciones!$T$15+7*(Reprogramaciones!N$14-1))),MIN(F253,(Reprogramaciones!$T$15+7*(Reprogramaciones!N$14-1))+6),11))=0,0,MAX(0,NETWORKDAYS.INTL(MAX(E253,(Reprogramaciones!$T$15+7*(Reprogramaciones!N$14-1))),MIN(F253,Reprogramaciones!N$13),11))/MAX(0,NETWORKDAYS.INTL(MAX(E253,(Reprogramaciones!$T$15+7*(Reprogramaciones!N$14-1))),MIN(F253,(Reprogramaciones!$T$15+7*(Reprogramaciones!N$14-1))+6),11))))))))</f>
        <v/>
      </c>
      <c r="BX253" s="1" t="str">
        <f aca="false">IF(OR(NOT(AND(ISNUMBER(E253),ISNUMBER(F253))),$J$2=""),"",IF(Reprogramaciones!O$13&lt;Reprogramaciones!$T$15,0,IF(Reprogramaciones!O$14&gt;10,MIN(100,SUM($G253:$P253)),MIN(100,SUMPRODUCT((COLUMN($G253:$P253)-COLUMN($G253)+1&lt;Reprogramaciones!O$14)*$G253:$P253)+N(INDEX($G253:$P253,1,Reprogramaciones!O$14))*IF(Reprogramaciones!O$13&gt;=(Reprogramaciones!$T$15+7*(Reprogramaciones!O$14-1))+6,1,IF(MAX(0,NETWORKDAYS.INTL(MAX(E253,(Reprogramaciones!$T$15+7*(Reprogramaciones!O$14-1))),MIN(F253,(Reprogramaciones!$T$15+7*(Reprogramaciones!O$14-1))+6),11))=0,0,MAX(0,NETWORKDAYS.INTL(MAX(E253,(Reprogramaciones!$T$15+7*(Reprogramaciones!O$14-1))),MIN(F253,Reprogramaciones!O$13),11))/MAX(0,NETWORKDAYS.INTL(MAX(E253,(Reprogramaciones!$T$15+7*(Reprogramaciones!O$14-1))),MIN(F253,(Reprogramaciones!$T$15+7*(Reprogramaciones!O$14-1))+6),11))))))))</f>
        <v/>
      </c>
      <c r="BY253" s="1" t="str">
        <f aca="false">IF(OR(NOT(AND(ISNUMBER(E253),ISNUMBER(F253))),$J$2=""),"",IF(Reprogramaciones!P$13&lt;Reprogramaciones!$T$15,0,IF(Reprogramaciones!P$14&gt;10,MIN(100,SUM($G253:$P253)),MIN(100,SUMPRODUCT((COLUMN($G253:$P253)-COLUMN($G253)+1&lt;Reprogramaciones!P$14)*$G253:$P253)+N(INDEX($G253:$P253,1,Reprogramaciones!P$14))*IF(Reprogramaciones!P$13&gt;=(Reprogramaciones!$T$15+7*(Reprogramaciones!P$14-1))+6,1,IF(MAX(0,NETWORKDAYS.INTL(MAX(E253,(Reprogramaciones!$T$15+7*(Reprogramaciones!P$14-1))),MIN(F253,(Reprogramaciones!$T$15+7*(Reprogramaciones!P$14-1))+6),11))=0,0,MAX(0,NETWORKDAYS.INTL(MAX(E253,(Reprogramaciones!$T$15+7*(Reprogramaciones!P$14-1))),MIN(F253,Reprogramaciones!P$13),11))/MAX(0,NETWORKDAYS.INTL(MAX(E253,(Reprogramaciones!$T$15+7*(Reprogramaciones!P$14-1))),MIN(F253,(Reprogramaciones!$T$15+7*(Reprogramaciones!P$14-1))+6),11))))))))</f>
        <v/>
      </c>
      <c r="BZ253" s="1" t="str">
        <f aca="false">IF(OR(NOT(AND(ISNUMBER(E253),ISNUMBER(F253))),$J$2=""),"",IF(Reprogramaciones!Q$13&lt;Reprogramaciones!$T$15,0,IF(Reprogramaciones!Q$14&gt;10,MIN(100,SUM($G253:$P253)),MIN(100,SUMPRODUCT((COLUMN($G253:$P253)-COLUMN($G253)+1&lt;Reprogramaciones!Q$14)*$G253:$P253)+N(INDEX($G253:$P253,1,Reprogramaciones!Q$14))*IF(Reprogramaciones!Q$13&gt;=(Reprogramaciones!$T$15+7*(Reprogramaciones!Q$14-1))+6,1,IF(MAX(0,NETWORKDAYS.INTL(MAX(E253,(Reprogramaciones!$T$15+7*(Reprogramaciones!Q$14-1))),MIN(F253,(Reprogramaciones!$T$15+7*(Reprogramaciones!Q$14-1))+6),11))=0,0,MAX(0,NETWORKDAYS.INTL(MAX(E253,(Reprogramaciones!$T$15+7*(Reprogramaciones!Q$14-1))),MIN(F253,Reprogramaciones!Q$13),11))/MAX(0,NETWORKDAYS.INTL(MAX(E253,(Reprogramaciones!$T$15+7*(Reprogramaciones!Q$14-1))),MIN(F253,(Reprogramaciones!$T$15+7*(Reprogramaciones!Q$14-1))+6),11))))))))</f>
        <v/>
      </c>
      <c r="CA253" s="1" t="str">
        <f aca="false">IF(OR(NOT(AND(ISNUMBER(E253),ISNUMBER(F253))),$J$2=""),"",IF(Reprogramaciones!R$13&lt;Reprogramaciones!$T$15,0,IF(Reprogramaciones!R$14&gt;10,MIN(100,SUM($G253:$P253)),MIN(100,SUMPRODUCT((COLUMN($G253:$P253)-COLUMN($G253)+1&lt;Reprogramaciones!R$14)*$G253:$P253)+N(INDEX($G253:$P253,1,Reprogramaciones!R$14))*IF(Reprogramaciones!R$13&gt;=(Reprogramaciones!$T$15+7*(Reprogramaciones!R$14-1))+6,1,IF(MAX(0,NETWORKDAYS.INTL(MAX(E253,(Reprogramaciones!$T$15+7*(Reprogramaciones!R$14-1))),MIN(F253,(Reprogramaciones!$T$15+7*(Reprogramaciones!R$14-1))+6),11))=0,0,MAX(0,NETWORKDAYS.INTL(MAX(E253,(Reprogramaciones!$T$15+7*(Reprogramaciones!R$14-1))),MIN(F253,Reprogramaciones!R$13),11))/MAX(0,NETWORKDAYS.INTL(MAX(E253,(Reprogramaciones!$T$15+7*(Reprogramaciones!R$14-1))),MIN(F253,(Reprogramaciones!$T$15+7*(Reprogramaciones!R$14-1))+6),11))))))))</f>
        <v/>
      </c>
      <c r="CB253" s="1" t="str">
        <f aca="false">IF(OR(NOT(AND(ISNUMBER(E253),ISNUMBER(F253))),$J$2=""),"",IF(Reprogramaciones!S$13&lt;Reprogramaciones!$T$15,0,IF(Reprogramaciones!S$14&gt;10,MIN(100,SUM($G253:$P253)),MIN(100,SUMPRODUCT((COLUMN($G253:$P253)-COLUMN($G253)+1&lt;Reprogramaciones!S$14)*$G253:$P253)+N(INDEX($G253:$P253,1,Reprogramaciones!S$14))*IF(Reprogramaciones!S$13&gt;=(Reprogramaciones!$T$15+7*(Reprogramaciones!S$14-1))+6,1,IF(MAX(0,NETWORKDAYS.INTL(MAX(E253,(Reprogramaciones!$T$15+7*(Reprogramaciones!S$14-1))),MIN(F253,(Reprogramaciones!$T$15+7*(Reprogramaciones!S$14-1))+6),11))=0,0,MAX(0,NETWORKDAYS.INTL(MAX(E253,(Reprogramaciones!$T$15+7*(Reprogramaciones!S$14-1))),MIN(F253,Reprogramaciones!S$13),11))/MAX(0,NETWORKDAYS.INTL(MAX(E253,(Reprogramaciones!$T$15+7*(Reprogramaciones!S$14-1))),MIN(F253,(Reprogramaciones!$T$15+7*(Reprogramaciones!S$14-1))+6),11))))))))</f>
        <v/>
      </c>
      <c r="CC253" s="1" t="str">
        <f aca="false">IF(OR(NOT(AND(ISNUMBER(E253),ISNUMBER(F253))),$J$2=""),"",IF(Reprogramaciones!T$13&lt;Reprogramaciones!$T$15,0,IF(Reprogramaciones!T$14&gt;10,MIN(100,SUM($G253:$P253)),MIN(100,SUMPRODUCT((COLUMN($G253:$P253)-COLUMN($G253)+1&lt;Reprogramaciones!T$14)*$G253:$P253)+N(INDEX($G253:$P253,1,Reprogramaciones!T$14))*IF(Reprogramaciones!T$13&gt;=(Reprogramaciones!$T$15+7*(Reprogramaciones!T$14-1))+6,1,IF(MAX(0,NETWORKDAYS.INTL(MAX(E253,(Reprogramaciones!$T$15+7*(Reprogramaciones!T$14-1))),MIN(F253,(Reprogramaciones!$T$15+7*(Reprogramaciones!T$14-1))+6),11))=0,0,MAX(0,NETWORKDAYS.INTL(MAX(E253,(Reprogramaciones!$T$15+7*(Reprogramaciones!T$14-1))),MIN(F253,Reprogramaciones!T$13),11))/MAX(0,NETWORKDAYS.INTL(MAX(E253,(Reprogramaciones!$T$15+7*(Reprogramaciones!T$14-1))),MIN(F253,(Reprogramaciones!$T$15+7*(Reprogramaciones!T$14-1))+6),11))))))))</f>
        <v/>
      </c>
      <c r="CD253" s="1" t="str">
        <f aca="false">IF(OR(NOT(AND(ISNUMBER(E253),ISNUMBER(F253))),$J$2=""),"",IF(Reprogramaciones!U$13&lt;Reprogramaciones!$T$15,0,IF(Reprogramaciones!U$14&gt;10,MIN(100,SUM($G253:$P253)),MIN(100,SUMPRODUCT((COLUMN($G253:$P253)-COLUMN($G253)+1&lt;Reprogramaciones!U$14)*$G253:$P253)+N(INDEX($G253:$P253,1,Reprogramaciones!U$14))*IF(Reprogramaciones!U$13&gt;=(Reprogramaciones!$T$15+7*(Reprogramaciones!U$14-1))+6,1,IF(MAX(0,NETWORKDAYS.INTL(MAX(E253,(Reprogramaciones!$T$15+7*(Reprogramaciones!U$14-1))),MIN(F253,(Reprogramaciones!$T$15+7*(Reprogramaciones!U$14-1))+6),11))=0,0,MAX(0,NETWORKDAYS.INTL(MAX(E253,(Reprogramaciones!$T$15+7*(Reprogramaciones!U$14-1))),MIN(F253,Reprogramaciones!U$13),11))/MAX(0,NETWORKDAYS.INTL(MAX(E253,(Reprogramaciones!$T$15+7*(Reprogramaciones!U$14-1))),MIN(F253,(Reprogramaciones!$T$15+7*(Reprogramaciones!U$14-1))+6),11))))))))</f>
        <v/>
      </c>
      <c r="CE253" s="1" t="str">
        <f aca="false">IF(OR(NOT(AND(ISNUMBER(E253),ISNUMBER(F253))),$J$2=""),"",IF(Reprogramaciones!V$13&lt;Reprogramaciones!$T$15,0,IF(Reprogramaciones!V$14&gt;10,MIN(100,SUM($G253:$P253)),MIN(100,SUMPRODUCT((COLUMN($G253:$P253)-COLUMN($G253)+1&lt;Reprogramaciones!V$14)*$G253:$P253)+N(INDEX($G253:$P253,1,Reprogramaciones!V$14))*IF(Reprogramaciones!V$13&gt;=(Reprogramaciones!$T$15+7*(Reprogramaciones!V$14-1))+6,1,IF(MAX(0,NETWORKDAYS.INTL(MAX(E253,(Reprogramaciones!$T$15+7*(Reprogramaciones!V$14-1))),MIN(F253,(Reprogramaciones!$T$15+7*(Reprogramaciones!V$14-1))+6),11))=0,0,MAX(0,NETWORKDAYS.INTL(MAX(E253,(Reprogramaciones!$T$15+7*(Reprogramaciones!V$14-1))),MIN(F253,Reprogramaciones!V$13),11))/MAX(0,NETWORKDAYS.INTL(MAX(E253,(Reprogramaciones!$T$15+7*(Reprogramaciones!V$14-1))),MIN(F253,(Reprogramaciones!$T$15+7*(Reprogramaciones!V$14-1))+6),11))))))))</f>
        <v/>
      </c>
      <c r="CF253" s="1" t="str">
        <f aca="false">IF(OR(NOT(AND(ISNUMBER(E253),ISNUMBER(F253))),$J$2=""),"",IF(Reprogramaciones!W$13&lt;Reprogramaciones!$T$15,0,IF(Reprogramaciones!W$14&gt;10,MIN(100,SUM($G253:$P253)),MIN(100,SUMPRODUCT((COLUMN($G253:$P253)-COLUMN($G253)+1&lt;Reprogramaciones!W$14)*$G253:$P253)+N(INDEX($G253:$P253,1,Reprogramaciones!W$14))*IF(Reprogramaciones!W$13&gt;=(Reprogramaciones!$T$15+7*(Reprogramaciones!W$14-1))+6,1,IF(MAX(0,NETWORKDAYS.INTL(MAX(E253,(Reprogramaciones!$T$15+7*(Reprogramaciones!W$14-1))),MIN(F253,(Reprogramaciones!$T$15+7*(Reprogramaciones!W$14-1))+6),11))=0,0,MAX(0,NETWORKDAYS.INTL(MAX(E253,(Reprogramaciones!$T$15+7*(Reprogramaciones!W$14-1))),MIN(F253,Reprogramaciones!W$13),11))/MAX(0,NETWORKDAYS.INTL(MAX(E253,(Reprogramaciones!$T$15+7*(Reprogramaciones!W$14-1))),MIN(F253,(Reprogramaciones!$T$15+7*(Reprogramaciones!W$14-1))+6),11))))))))</f>
        <v/>
      </c>
      <c r="CG253" s="1" t="str">
        <f aca="false">IF(OR(NOT(AND(ISNUMBER(E253),ISNUMBER(F253))),$J$2=""),"",IF(Reprogramaciones!X$13&lt;Reprogramaciones!$T$15,0,IF(Reprogramaciones!X$14&gt;10,MIN(100,SUM($G253:$P253)),MIN(100,SUMPRODUCT((COLUMN($G253:$P253)-COLUMN($G253)+1&lt;Reprogramaciones!X$14)*$G253:$P253)+N(INDEX($G253:$P253,1,Reprogramaciones!X$14))*IF(Reprogramaciones!X$13&gt;=(Reprogramaciones!$T$15+7*(Reprogramaciones!X$14-1))+6,1,IF(MAX(0,NETWORKDAYS.INTL(MAX(E253,(Reprogramaciones!$T$15+7*(Reprogramaciones!X$14-1))),MIN(F253,(Reprogramaciones!$T$15+7*(Reprogramaciones!X$14-1))+6),11))=0,0,MAX(0,NETWORKDAYS.INTL(MAX(E253,(Reprogramaciones!$T$15+7*(Reprogramaciones!X$14-1))),MIN(F253,Reprogramaciones!X$13),11))/MAX(0,NETWORKDAYS.INTL(MAX(E253,(Reprogramaciones!$T$15+7*(Reprogramaciones!X$14-1))),MIN(F253,(Reprogramaciones!$T$15+7*(Reprogramaciones!X$14-1))+6),11))))))))</f>
        <v/>
      </c>
      <c r="CH253" s="1" t="str">
        <f aca="false">IF(OR(NOT(AND(ISNUMBER(E253),ISNUMBER(F253))),$J$2=""),"",IF(Reprogramaciones!Y$13&lt;Reprogramaciones!$T$15,0,IF(Reprogramaciones!Y$14&gt;10,MIN(100,SUM($G253:$P253)),MIN(100,SUMPRODUCT((COLUMN($G253:$P253)-COLUMN($G253)+1&lt;Reprogramaciones!Y$14)*$G253:$P253)+N(INDEX($G253:$P253,1,Reprogramaciones!Y$14))*IF(Reprogramaciones!Y$13&gt;=(Reprogramaciones!$T$15+7*(Reprogramaciones!Y$14-1))+6,1,IF(MAX(0,NETWORKDAYS.INTL(MAX(E253,(Reprogramaciones!$T$15+7*(Reprogramaciones!Y$14-1))),MIN(F253,(Reprogramaciones!$T$15+7*(Reprogramaciones!Y$14-1))+6),11))=0,0,MAX(0,NETWORKDAYS.INTL(MAX(E253,(Reprogramaciones!$T$15+7*(Reprogramaciones!Y$14-1))),MIN(F253,Reprogramaciones!Y$13),11))/MAX(0,NETWORKDAYS.INTL(MAX(E253,(Reprogramaciones!$T$15+7*(Reprogramaciones!Y$14-1))),MIN(F253,(Reprogramaciones!$T$15+7*(Reprogramaciones!Y$14-1))+6),11))))))))</f>
        <v/>
      </c>
      <c r="CI253" s="1" t="str">
        <f aca="false">IF(OR(NOT(AND(ISNUMBER(E253),ISNUMBER(F253))),$J$2=""),"",IF(Reprogramaciones!Z$13&lt;Reprogramaciones!$T$15,0,IF(Reprogramaciones!Z$14&gt;10,MIN(100,SUM($G253:$P253)),MIN(100,SUMPRODUCT((COLUMN($G253:$P253)-COLUMN($G253)+1&lt;Reprogramaciones!Z$14)*$G253:$P253)+N(INDEX($G253:$P253,1,Reprogramaciones!Z$14))*IF(Reprogramaciones!Z$13&gt;=(Reprogramaciones!$T$15+7*(Reprogramaciones!Z$14-1))+6,1,IF(MAX(0,NETWORKDAYS.INTL(MAX(E253,(Reprogramaciones!$T$15+7*(Reprogramaciones!Z$14-1))),MIN(F253,(Reprogramaciones!$T$15+7*(Reprogramaciones!Z$14-1))+6),11))=0,0,MAX(0,NETWORKDAYS.INTL(MAX(E253,(Reprogramaciones!$T$15+7*(Reprogramaciones!Z$14-1))),MIN(F253,Reprogramaciones!Z$13),11))/MAX(0,NETWORKDAYS.INTL(MAX(E253,(Reprogramaciones!$T$15+7*(Reprogramaciones!Z$14-1))),MIN(F253,(Reprogramaciones!$T$15+7*(Reprogramaciones!Z$14-1))+6),11))))))))</f>
        <v/>
      </c>
      <c r="CJ253" s="1" t="str">
        <f aca="false">IF(OR(OR(NOT(AND(ISNUMBER(E253),ISNUMBER(F253))),$J$2=""),1&gt;Reprogramaciones!$K$16),"",IF(ROUND(SUM($Q253:Q253),1)&gt;=99.5,100,MIN(100,ROUND(SUM($Q253:Q253),1))))</f>
        <v/>
      </c>
      <c r="CK253" s="1" t="str">
        <f aca="false">IF(OR(OR(NOT(AND(ISNUMBER(E253),ISNUMBER(F253))),$J$2=""),2&gt;Reprogramaciones!$K$16),"",IF(ROUND(SUM($Q253:R253),1)&gt;=99.5,100,MIN(100,ROUND(SUM($Q253:R253),1))))</f>
        <v/>
      </c>
      <c r="CL253" s="1" t="str">
        <f aca="false">IF(OR(OR(NOT(AND(ISNUMBER(E253),ISNUMBER(F253))),$J$2=""),3&gt;Reprogramaciones!$K$16),"",IF(ROUND(SUM($Q253:S253),1)&gt;=99.5,100,MIN(100,ROUND(SUM($Q253:S253),1))))</f>
        <v/>
      </c>
      <c r="CM253" s="1" t="str">
        <f aca="false">IF(OR(OR(NOT(AND(ISNUMBER(E253),ISNUMBER(F253))),$J$2=""),4&gt;Reprogramaciones!$K$16),"",IF(ROUND(SUM($Q253:T253),1)&gt;=99.5,100,MIN(100,ROUND(SUM($Q253:T253),1))))</f>
        <v/>
      </c>
      <c r="CN253" s="1" t="str">
        <f aca="false">IF(OR(OR(NOT(AND(ISNUMBER(E253),ISNUMBER(F253))),$J$2=""),5&gt;Reprogramaciones!$K$16),"",IF(ROUND(SUM($Q253:U253),1)&gt;=99.5,100,MIN(100,ROUND(SUM($Q253:U253),1))))</f>
        <v/>
      </c>
      <c r="CO253" s="1" t="str">
        <f aca="false">IF(OR(OR(NOT(AND(ISNUMBER(E253),ISNUMBER(F253))),$J$2=""),6&gt;Reprogramaciones!$K$16),"",IF(ROUND(SUM($Q253:V253),1)&gt;=99.5,100,MIN(100,ROUND(SUM($Q253:V253),1))))</f>
        <v/>
      </c>
      <c r="CP253" s="1" t="str">
        <f aca="false">IF(OR(OR(NOT(AND(ISNUMBER(E253),ISNUMBER(F253))),$J$2=""),7&gt;Reprogramaciones!$K$16),"",IF(ROUND(SUM($Q253:W253),1)&gt;=99.5,100,MIN(100,ROUND(SUM($Q253:W253),1))))</f>
        <v/>
      </c>
      <c r="CQ253" s="1" t="str">
        <f aca="false">IF(OR(OR(NOT(AND(ISNUMBER(E253),ISNUMBER(F253))),$J$2=""),8&gt;Reprogramaciones!$K$16),"",IF(ROUND(SUM($Q253:X253),1)&gt;=99.5,100,MIN(100,ROUND(SUM($Q253:X253),1))))</f>
        <v/>
      </c>
      <c r="CR253" s="1" t="str">
        <f aca="false">IF(OR(OR(NOT(AND(ISNUMBER(E253),ISNUMBER(F253))),$J$2=""),9&gt;Reprogramaciones!$K$16),"",IF(ROUND(SUM($Q253:Y253),1)&gt;=99.5,100,MIN(100,ROUND(SUM($Q253:Y253),1))))</f>
        <v/>
      </c>
      <c r="CS253" s="1" t="str">
        <f aca="false">IF(OR(OR(NOT(AND(ISNUMBER(E253),ISNUMBER(F253))),$J$2=""),10&gt;Reprogramaciones!$K$16),"",IF(ROUND(SUM($Q253:Z253),1)&gt;=99.5,100,MIN(100,ROUND(SUM($Q253:Z253),1))))</f>
        <v/>
      </c>
      <c r="CT253" s="1" t="str">
        <f aca="false">IF(OR(OR(NOT(AND(ISNUMBER(E253),ISNUMBER(F253))),$J$2=""),11&gt;Reprogramaciones!$K$16),"",IF(ROUND(SUM($Q253:AA253),1)&gt;=99.5,100,MIN(100,ROUND(SUM($Q253:AA253),1))))</f>
        <v/>
      </c>
      <c r="CU253" s="1" t="str">
        <f aca="false">IF(OR(OR(NOT(AND(ISNUMBER(E253),ISNUMBER(F253))),$J$2=""),12&gt;Reprogramaciones!$K$16),"",IF(ROUND(SUM($Q253:AB253),1)&gt;=99.5,100,MIN(100,ROUND(SUM($Q253:AB253),1))))</f>
        <v/>
      </c>
      <c r="CV253" s="1" t="str">
        <f aca="false">IF(OR(OR(NOT(AND(ISNUMBER(E253),ISNUMBER(F253))),$J$2=""),13&gt;Reprogramaciones!$K$16),"",IF(ROUND(SUM($Q253:AC253),1)&gt;=99.5,100,MIN(100,ROUND(SUM($Q253:AC253),1))))</f>
        <v/>
      </c>
      <c r="CW253" s="1" t="str">
        <f aca="false">IF(OR(OR(NOT(AND(ISNUMBER(E253),ISNUMBER(F253))),$J$2=""),14&gt;Reprogramaciones!$K$16),"",IF(ROUND(SUM($Q253:AD253),1)&gt;=99.5,100,MIN(100,ROUND(SUM($Q253:AD253),1))))</f>
        <v/>
      </c>
      <c r="CX253" s="1" t="str">
        <f aca="false">IF(OR(OR(NOT(AND(ISNUMBER(E253),ISNUMBER(F253))),$J$2=""),15&gt;Reprogramaciones!$K$16),"",IF(ROUND(SUM($Q253:AE253),1)&gt;=99.5,100,MIN(100,ROUND(SUM($Q253:AE253),1))))</f>
        <v/>
      </c>
      <c r="CY253" s="1" t="str">
        <f aca="false">IF(OR(OR(NOT(AND(ISNUMBER(E253),ISNUMBER(F253))),$J$2=""),16&gt;Reprogramaciones!$K$16),"",IF(ROUND(SUM($Q253:AF253),1)&gt;=99.5,100,MIN(100,ROUND(SUM($Q253:AF253),1))))</f>
        <v/>
      </c>
      <c r="CZ253" s="1" t="str">
        <f aca="false">IF(D253&lt;&gt;"",D253,IF(B253&lt;&gt;"","Contractual",CZ252))</f>
        <v>Contractual</v>
      </c>
      <c r="DA253" s="1" t="str">
        <f aca="false">IF(OR(NOT(AND(ISNUMBER(E253),ISNUMBER(F253))),$J$2=""),"",IF(Reprogramaciones!$Q$15&lt;Reprogramaciones!$T$15,0,IF(Reprogramaciones!$S$15&gt;10,MIN(100,SUM($G253:$P253)),MIN(100,SUMPRODUCT((COLUMN($G253:$P253)-COLUMN($G253)+1&lt;Reprogramaciones!$S$15)*$G253:$P253)+N(INDEX($G253:$P253,1,Reprogramaciones!$S$15))*IF(Reprogramaciones!$Q$15&gt;=(Reprogramaciones!$T$15+7*(Reprogramaciones!$S$15-1))+6,1,IF(MAX(0,NETWORKDAYS.INTL(MAX(E253,(Reprogramaciones!$T$15+7*(Reprogramaciones!$S$15-1))),MIN(F253,(Reprogramaciones!$T$15+7*(Reprogramaciones!$S$15-1))+6),11))=0,0,MAX(0,NETWORKDAYS.INTL(MAX(E253,(Reprogramaciones!$T$15+7*(Reprogramaciones!$S$15-1))),MIN(F253,Reprogramaciones!$Q$15),11))/MAX(0,NETWORKDAYS.INTL(MAX(E253,(Reprogramaciones!$T$15+7*(Reprogramaciones!$S$15-1))),MIN(F253,(Reprogramaciones!$T$15+7*(Reprogramaciones!$S$15-1))+6),11))))))))</f>
        <v/>
      </c>
    </row>
    <row r="254" customFormat="false" ht="15" hidden="false" customHeight="false" outlineLevel="0" collapsed="false">
      <c r="A254" s="32"/>
      <c r="B254" s="33"/>
      <c r="C254" s="33"/>
      <c r="D254" s="34"/>
      <c r="E254" s="35"/>
      <c r="F254" s="35"/>
      <c r="G254" s="36" t="str">
        <f aca="false">IF(OR(NOT(AND(ISNUMBER(E254),ISNUMBER(F254))),$J$2=""),"",IF(Reprogramaciones!K$9&lt;E254,0,IF(NETWORKDAYS.INTL(E254,F254,11)=0,IF(Reprogramaciones!K$9&gt;=F254,100,0),ROUND(NETWORKDAYS.INTL(E254,MIN(F254,Reprogramaciones!K$9),11)/NETWORKDAYS.INTL(E254,F254,11)*100,1)))-0)</f>
        <v/>
      </c>
      <c r="H254" s="36" t="str">
        <f aca="false">IF(OR(NOT(AND(ISNUMBER(E254),ISNUMBER(F254))),$J$2=""),"",IF(Reprogramaciones!L$9&lt;E254,0,IF(NETWORKDAYS.INTL(E254,F254,11)=0,IF(Reprogramaciones!L$9&gt;=F254,100,0),ROUND(NETWORKDAYS.INTL(E254,MIN(F254,Reprogramaciones!L$9),11)/NETWORKDAYS.INTL(E254,F254,11)*100,1)))-IF(Reprogramaciones!K$9&lt;E254,0,IF(NETWORKDAYS.INTL(E254,F254,11)=0,IF(Reprogramaciones!K$9&gt;=F254,100,0),ROUND(NETWORKDAYS.INTL(E254,MIN(F254,Reprogramaciones!K$9),11)/NETWORKDAYS.INTL(E254,F254,11)*100,1))))</f>
        <v/>
      </c>
      <c r="I254" s="36" t="str">
        <f aca="false">IF(OR(NOT(AND(ISNUMBER(E254),ISNUMBER(F254))),$J$2=""),"",IF(Reprogramaciones!M$9&lt;E254,0,IF(NETWORKDAYS.INTL(E254,F254,11)=0,IF(Reprogramaciones!M$9&gt;=F254,100,0),ROUND(NETWORKDAYS.INTL(E254,MIN(F254,Reprogramaciones!M$9),11)/NETWORKDAYS.INTL(E254,F254,11)*100,1)))-IF(Reprogramaciones!L$9&lt;E254,0,IF(NETWORKDAYS.INTL(E254,F254,11)=0,IF(Reprogramaciones!L$9&gt;=F254,100,0),ROUND(NETWORKDAYS.INTL(E254,MIN(F254,Reprogramaciones!L$9),11)/NETWORKDAYS.INTL(E254,F254,11)*100,1))))</f>
        <v/>
      </c>
      <c r="J254" s="36" t="str">
        <f aca="false">IF(OR(NOT(AND(ISNUMBER(E254),ISNUMBER(F254))),$J$2=""),"",IF(Reprogramaciones!N$9&lt;E254,0,IF(NETWORKDAYS.INTL(E254,F254,11)=0,IF(Reprogramaciones!N$9&gt;=F254,100,0),ROUND(NETWORKDAYS.INTL(E254,MIN(F254,Reprogramaciones!N$9),11)/NETWORKDAYS.INTL(E254,F254,11)*100,1)))-IF(Reprogramaciones!M$9&lt;E254,0,IF(NETWORKDAYS.INTL(E254,F254,11)=0,IF(Reprogramaciones!M$9&gt;=F254,100,0),ROUND(NETWORKDAYS.INTL(E254,MIN(F254,Reprogramaciones!M$9),11)/NETWORKDAYS.INTL(E254,F254,11)*100,1))))</f>
        <v/>
      </c>
      <c r="K254" s="36" t="str">
        <f aca="false">IF(OR(NOT(AND(ISNUMBER(E254),ISNUMBER(F254))),$J$2=""),"",IF(Reprogramaciones!O$9&lt;E254,0,IF(NETWORKDAYS.INTL(E254,F254,11)=0,IF(Reprogramaciones!O$9&gt;=F254,100,0),ROUND(NETWORKDAYS.INTL(E254,MIN(F254,Reprogramaciones!O$9),11)/NETWORKDAYS.INTL(E254,F254,11)*100,1)))-IF(Reprogramaciones!N$9&lt;E254,0,IF(NETWORKDAYS.INTL(E254,F254,11)=0,IF(Reprogramaciones!N$9&gt;=F254,100,0),ROUND(NETWORKDAYS.INTL(E254,MIN(F254,Reprogramaciones!N$9),11)/NETWORKDAYS.INTL(E254,F254,11)*100,1))))</f>
        <v/>
      </c>
      <c r="L254" s="36" t="str">
        <f aca="false">IF(OR(NOT(AND(ISNUMBER(E254),ISNUMBER(F254))),$J$2=""),"",IF(Reprogramaciones!P$9&lt;E254,0,IF(NETWORKDAYS.INTL(E254,F254,11)=0,IF(Reprogramaciones!P$9&gt;=F254,100,0),ROUND(NETWORKDAYS.INTL(E254,MIN(F254,Reprogramaciones!P$9),11)/NETWORKDAYS.INTL(E254,F254,11)*100,1)))-IF(Reprogramaciones!O$9&lt;E254,0,IF(NETWORKDAYS.INTL(E254,F254,11)=0,IF(Reprogramaciones!O$9&gt;=F254,100,0),ROUND(NETWORKDAYS.INTL(E254,MIN(F254,Reprogramaciones!O$9),11)/NETWORKDAYS.INTL(E254,F254,11)*100,1))))</f>
        <v/>
      </c>
      <c r="M254" s="36" t="str">
        <f aca="false">IF(OR(NOT(AND(ISNUMBER(E254),ISNUMBER(F254))),$J$2=""),"",IF(Reprogramaciones!Q$9&lt;E254,0,IF(NETWORKDAYS.INTL(E254,F254,11)=0,IF(Reprogramaciones!Q$9&gt;=F254,100,0),ROUND(NETWORKDAYS.INTL(E254,MIN(F254,Reprogramaciones!Q$9),11)/NETWORKDAYS.INTL(E254,F254,11)*100,1)))-IF(Reprogramaciones!P$9&lt;E254,0,IF(NETWORKDAYS.INTL(E254,F254,11)=0,IF(Reprogramaciones!P$9&gt;=F254,100,0),ROUND(NETWORKDAYS.INTL(E254,MIN(F254,Reprogramaciones!P$9),11)/NETWORKDAYS.INTL(E254,F254,11)*100,1))))</f>
        <v/>
      </c>
      <c r="N254" s="36" t="str">
        <f aca="false">IF(OR(NOT(AND(ISNUMBER(E254),ISNUMBER(F254))),$J$2=""),"",IF(Reprogramaciones!R$9&lt;E254,0,IF(NETWORKDAYS.INTL(E254,F254,11)=0,IF(Reprogramaciones!R$9&gt;=F254,100,0),ROUND(NETWORKDAYS.INTL(E254,MIN(F254,Reprogramaciones!R$9),11)/NETWORKDAYS.INTL(E254,F254,11)*100,1)))-IF(Reprogramaciones!Q$9&lt;E254,0,IF(NETWORKDAYS.INTL(E254,F254,11)=0,IF(Reprogramaciones!Q$9&gt;=F254,100,0),ROUND(NETWORKDAYS.INTL(E254,MIN(F254,Reprogramaciones!Q$9),11)/NETWORKDAYS.INTL(E254,F254,11)*100,1))))</f>
        <v/>
      </c>
      <c r="O254" s="36" t="str">
        <f aca="false">IF(OR(NOT(AND(ISNUMBER(E254),ISNUMBER(F254))),$J$2=""),"",IF(Reprogramaciones!S$9&lt;E254,0,IF(NETWORKDAYS.INTL(E254,F254,11)=0,IF(Reprogramaciones!S$9&gt;=F254,100,0),ROUND(NETWORKDAYS.INTL(E254,MIN(F254,Reprogramaciones!S$9),11)/NETWORKDAYS.INTL(E254,F254,11)*100,1)))-IF(Reprogramaciones!R$9&lt;E254,0,IF(NETWORKDAYS.INTL(E254,F254,11)=0,IF(Reprogramaciones!R$9&gt;=F254,100,0),ROUND(NETWORKDAYS.INTL(E254,MIN(F254,Reprogramaciones!R$9),11)/NETWORKDAYS.INTL(E254,F254,11)*100,1))))</f>
        <v/>
      </c>
      <c r="P254" s="36" t="str">
        <f aca="false">IF(OR(NOT(AND(ISNUMBER(E254),ISNUMBER(F254))),$J$2=""),"",IF(Reprogramaciones!T$9&lt;E254,0,IF(NETWORKDAYS.INTL(E254,F254,11)=0,IF(Reprogramaciones!T$9&gt;=F254,100,0),ROUND(NETWORKDAYS.INTL(E254,MIN(F254,Reprogramaciones!T$9),11)/NETWORKDAYS.INTL(E254,F254,11)*100,1)))-IF(Reprogramaciones!S$9&lt;E254,0,IF(NETWORKDAYS.INTL(E254,F254,11)=0,IF(Reprogramaciones!S$9&gt;=F254,100,0),ROUND(NETWORKDAYS.INTL(E254,MIN(F254,Reprogramaciones!S$9),11)/NETWORKDAYS.INTL(E254,F254,11)*100,1))))</f>
        <v/>
      </c>
      <c r="Q254" s="37"/>
      <c r="R254" s="37"/>
      <c r="S254" s="37"/>
      <c r="T254" s="37"/>
      <c r="U254" s="37"/>
      <c r="V254" s="37"/>
      <c r="W254" s="37"/>
      <c r="X254" s="37"/>
      <c r="Y254" s="37"/>
      <c r="Z254" s="37"/>
      <c r="AA254" s="37"/>
      <c r="AB254" s="37"/>
      <c r="AC254" s="37"/>
      <c r="AD254" s="37"/>
      <c r="AE254" s="37"/>
      <c r="AF254" s="37"/>
      <c r="AG254" s="38" t="str">
        <f aca="false">IF(AND(ISNUMBER(E254),ISNUMBER(F254)),NETWORKDAYS.INTL(E254,F254,11),"")</f>
        <v/>
      </c>
      <c r="AH254" s="38" t="str">
        <f aca="false">IF(OR(NOT(AND(ISNUMBER(E254),ISNUMBER(F254))),$J$2=""),"",IF(Reprogramaciones!$P$15&lt;Reprogramaciones!$T$15,0,IF(Reprogramaciones!$R$15&gt;10,MIN(100,SUM($G254:$P254)),MIN(100,SUMPRODUCT((COLUMN($G254:$P254)-COLUMN($G254)+1&lt;Reprogramaciones!$R$15)*$G254:$P254)+N(INDEX($G254:$P254,1,Reprogramaciones!$R$15))*IF(Reprogramaciones!$P$15&gt;=(Reprogramaciones!$T$15+7*(Reprogramaciones!$R$15-1))+6,1,IF(MAX(0,NETWORKDAYS.INTL(MAX(E254,(Reprogramaciones!$T$15+7*(Reprogramaciones!$R$15-1))),MIN(F254,(Reprogramaciones!$T$15+7*(Reprogramaciones!$R$15-1))+6),11))=0,0,MAX(0,NETWORKDAYS.INTL(MAX(E254,(Reprogramaciones!$T$15+7*(Reprogramaciones!$R$15-1))),MIN(F254,Reprogramaciones!$P$15),11))/MAX(0,NETWORKDAYS.INTL(MAX(E254,(Reprogramaciones!$T$15+7*(Reprogramaciones!$R$15-1))),MIN(F254,(Reprogramaciones!$T$15+7*(Reprogramaciones!$R$15-1))+6),11))))))))</f>
        <v/>
      </c>
      <c r="AI254" s="38" t="str">
        <f aca="false">IF(COUNT($Q254:$AF254)=0,"",IF(ROUND(SUM($Q254:$AF254),1)&gt;=99.5,100,MIN(100,ROUND(SUM($Q254:$AF254),1))))</f>
        <v/>
      </c>
      <c r="AJ254" s="38" t="str">
        <f aca="false">IF(OR(AH254="",AI254=""),"",AI254-AH254)</f>
        <v/>
      </c>
      <c r="AK254" s="39" t="str">
        <f aca="true">IF(AH254="","",IF(OR(Ficha!$C$10="Suspendida",Ficha!$C$10="Cancelada"),Ficha!$C$10,IF(AND(AI254&lt;&gt;"",N(AI254)&gt;=100),"Completada",IF(AND(E254&gt;TODAY(),N(AI254)=0),"Por iniciar",IF(N(AI254)+0.5&lt;AH254,"Retrasada",IF(N(AI254)+0.5&lt;DA254,IF(Reprogramaciones!$K$15&gt;0,"Al día · Sem "&amp;Reprogramaciones!$K$15&amp;" en curso","Al día · en curso"),"A tiempo"))))))</f>
        <v/>
      </c>
      <c r="AL254" s="39" t="str">
        <f aca="true">IF(AND(A254="",AND(B254="",C254="",E254="",F254="",COUNT(Q254:AF254)=0)),"",IF(AND(B254="",C254="",E254="",F254="",COUNT(Q254:AF254)=0),"Falta la partida o subpartida",IF(AND(A254&lt;&gt;"",COUNTIF($A$6:$A$305,A254)&gt;1),"Ítem repetido",IF(AND(C254="",E254="",F254="",COUNT(Q254:AF254)=0),"Título de partida",IF(OR(E254="",F254=""),"Faltan fechas",IF(OR(ISTEXT(E254),ISTEXT(F254)),"Fecha escrita como texto: usa dd/mm/aaaa",IF(F254&lt;E254,"Fin antes del inicio",IF(IF($J$2="",FALSE(),OR(E254&lt;$J$2,F254&gt;Reprogramaciones!$T$15+69)),"Fuera de las 10 semanas",IF(ABS(SUM(G254:P254)-100)&gt;0.5,"La meta no suma 100%",IF(ROUND(SUM(Q254:AF254),1)&gt;100.5,"El avance pasa de 100%",IF(MIN(Q254:AF254)&lt;0,"Avance negativo",IF(COUNTA(Q254:AF254)&gt;COUNT(Q254:AF254),"Avance escrito como texto",IF(SUMPRODUCT((Q254:AF254&gt;0)*(Q254:AF254&lt;1))&gt;0,"Avance menor a 1: escribe 50, no 50%",IF(SUMPRODUCT(ISNUMBER(Q254:AF254)*(Reprogramaciones!$K$8:$Z$8&gt;TODAY()))&gt;0,"Avance en semana que aún no llega",IF(AND(N(Reprogramaciones!$E$21)&gt;0,F254&gt;Reprogramaciones!$E$21),"Pasa el fin de la obra: registra una reprogramación",IF(AND(N(Reprogramaciones!$E$21)&gt;0,SUMPRODUCT(ISNUMBER(Q254:AF254)*(Reprogramaciones!$K$8:$Z$8&gt;Reprogramaciones!$E$21))&gt;0),"Avance después del fin de la obra: registra una reprogramación por atraso","OK"))))))))))))))))</f>
        <v/>
      </c>
      <c r="AM254" s="40" t="str">
        <f aca="false">IF(OR(OR(NOT(AND(ISNUMBER(E254),ISNUMBER(F254))),$J$2=""),1&gt;MAX(1,Reprogramaciones!$U$15)),"",IF(Reprogramaciones!K$12&gt;=7,"",IF(OR(BT254-N(0)&gt;0.05,N(Q254)&gt;0),ROUNDDOWN(ROUND(BT254,6),0)&amp;"%"&amp;IF(CJ254="",""," / "&amp;CJ254&amp;"%"),IF(AND(N(0)&gt;=99.95,CJ254&lt;&gt;"",N(CJ254)&lt;100),"Pend. "&amp;CJ254&amp;"%",""))))</f>
        <v/>
      </c>
      <c r="AN254" s="40" t="str">
        <f aca="false">IF(OR(OR(NOT(AND(ISNUMBER(E254),ISNUMBER(F254))),$J$2=""),2&gt;MAX(1,Reprogramaciones!$U$15)),"",IF(Reprogramaciones!L$12&gt;=7,"",IF(OR(BU254-N(BT254)&gt;0.05,N(R254)&gt;0),ROUNDDOWN(ROUND(BU254,6),0)&amp;"%"&amp;IF(CK254="",""," / "&amp;CK254&amp;"%"),IF(AND(N(BT254)&gt;=99.95,CK254&lt;&gt;"",N(CK254)&lt;100),"Pend. "&amp;CK254&amp;"%",""))))</f>
        <v/>
      </c>
      <c r="AO254" s="40" t="str">
        <f aca="false">IF(OR(OR(NOT(AND(ISNUMBER(E254),ISNUMBER(F254))),$J$2=""),3&gt;MAX(1,Reprogramaciones!$U$15)),"",IF(Reprogramaciones!M$12&gt;=7,"",IF(OR(BV254-N(BU254)&gt;0.05,N(S254)&gt;0),ROUNDDOWN(ROUND(BV254,6),0)&amp;"%"&amp;IF(CL254="",""," / "&amp;CL254&amp;"%"),IF(AND(N(BU254)&gt;=99.95,CL254&lt;&gt;"",N(CL254)&lt;100),"Pend. "&amp;CL254&amp;"%",""))))</f>
        <v/>
      </c>
      <c r="AP254" s="40" t="str">
        <f aca="false">IF(OR(OR(NOT(AND(ISNUMBER(E254),ISNUMBER(F254))),$J$2=""),4&gt;MAX(1,Reprogramaciones!$U$15)),"",IF(Reprogramaciones!N$12&gt;=7,"",IF(OR(BW254-N(BV254)&gt;0.05,N(T254)&gt;0),ROUNDDOWN(ROUND(BW254,6),0)&amp;"%"&amp;IF(CM254="",""," / "&amp;CM254&amp;"%"),IF(AND(N(BV254)&gt;=99.95,CM254&lt;&gt;"",N(CM254)&lt;100),"Pend. "&amp;CM254&amp;"%",""))))</f>
        <v/>
      </c>
      <c r="AQ254" s="40" t="str">
        <f aca="false">IF(OR(OR(NOT(AND(ISNUMBER(E254),ISNUMBER(F254))),$J$2=""),5&gt;MAX(1,Reprogramaciones!$U$15)),"",IF(Reprogramaciones!O$12&gt;=7,"",IF(OR(BX254-N(BW254)&gt;0.05,N(U254)&gt;0),ROUNDDOWN(ROUND(BX254,6),0)&amp;"%"&amp;IF(CN254="",""," / "&amp;CN254&amp;"%"),IF(AND(N(BW254)&gt;=99.95,CN254&lt;&gt;"",N(CN254)&lt;100),"Pend. "&amp;CN254&amp;"%",""))))</f>
        <v/>
      </c>
      <c r="AR254" s="40" t="str">
        <f aca="false">IF(OR(OR(NOT(AND(ISNUMBER(E254),ISNUMBER(F254))),$J$2=""),6&gt;MAX(1,Reprogramaciones!$U$15)),"",IF(Reprogramaciones!P$12&gt;=7,"",IF(OR(BY254-N(BX254)&gt;0.05,N(V254)&gt;0),ROUNDDOWN(ROUND(BY254,6),0)&amp;"%"&amp;IF(CO254="",""," / "&amp;CO254&amp;"%"),IF(AND(N(BX254)&gt;=99.95,CO254&lt;&gt;"",N(CO254)&lt;100),"Pend. "&amp;CO254&amp;"%",""))))</f>
        <v/>
      </c>
      <c r="AS254" s="40" t="str">
        <f aca="false">IF(OR(OR(NOT(AND(ISNUMBER(E254),ISNUMBER(F254))),$J$2=""),7&gt;MAX(1,Reprogramaciones!$U$15)),"",IF(Reprogramaciones!Q$12&gt;=7,"",IF(OR(BZ254-N(BY254)&gt;0.05,N(W254)&gt;0),ROUNDDOWN(ROUND(BZ254,6),0)&amp;"%"&amp;IF(CP254="",""," / "&amp;CP254&amp;"%"),IF(AND(N(BY254)&gt;=99.95,CP254&lt;&gt;"",N(CP254)&lt;100),"Pend. "&amp;CP254&amp;"%",""))))</f>
        <v/>
      </c>
      <c r="AT254" s="40" t="str">
        <f aca="false">IF(OR(OR(NOT(AND(ISNUMBER(E254),ISNUMBER(F254))),$J$2=""),8&gt;MAX(1,Reprogramaciones!$U$15)),"",IF(Reprogramaciones!R$12&gt;=7,"",IF(OR(CA254-N(BZ254)&gt;0.05,N(X254)&gt;0),ROUNDDOWN(ROUND(CA254,6),0)&amp;"%"&amp;IF(CQ254="",""," / "&amp;CQ254&amp;"%"),IF(AND(N(BZ254)&gt;=99.95,CQ254&lt;&gt;"",N(CQ254)&lt;100),"Pend. "&amp;CQ254&amp;"%",""))))</f>
        <v/>
      </c>
      <c r="AU254" s="40" t="str">
        <f aca="false">IF(OR(OR(NOT(AND(ISNUMBER(E254),ISNUMBER(F254))),$J$2=""),9&gt;MAX(1,Reprogramaciones!$U$15)),"",IF(Reprogramaciones!S$12&gt;=7,"",IF(OR(CB254-N(CA254)&gt;0.05,N(Y254)&gt;0),ROUNDDOWN(ROUND(CB254,6),0)&amp;"%"&amp;IF(CR254="",""," / "&amp;CR254&amp;"%"),IF(AND(N(CA254)&gt;=99.95,CR254&lt;&gt;"",N(CR254)&lt;100),"Pend. "&amp;CR254&amp;"%",""))))</f>
        <v/>
      </c>
      <c r="AV254" s="40" t="str">
        <f aca="false">IF(OR(OR(NOT(AND(ISNUMBER(E254),ISNUMBER(F254))),$J$2=""),10&gt;MAX(1,Reprogramaciones!$U$15)),"",IF(Reprogramaciones!T$12&gt;=7,"",IF(OR(CC254-N(CB254)&gt;0.05,N(Z254)&gt;0),ROUNDDOWN(ROUND(CC254,6),0)&amp;"%"&amp;IF(CS254="",""," / "&amp;CS254&amp;"%"),IF(AND(N(CB254)&gt;=99.95,CS254&lt;&gt;"",N(CS254)&lt;100),"Pend. "&amp;CS254&amp;"%",""))))</f>
        <v/>
      </c>
      <c r="AW254" s="40" t="str">
        <f aca="false">IF(OR(OR(NOT(AND(ISNUMBER(E254),ISNUMBER(F254))),$J$2=""),11&gt;MAX(1,Reprogramaciones!$U$15)),"",IF(Reprogramaciones!U$12&gt;=7,"",IF(OR(CD254-N(CC254)&gt;0.05,N(AA254)&gt;0),ROUNDDOWN(ROUND(CD254,6),0)&amp;"%"&amp;IF(CT254="",""," / "&amp;CT254&amp;"%"),IF(AND(N(CC254)&gt;=99.95,CT254&lt;&gt;"",N(CT254)&lt;100),"Pend. "&amp;CT254&amp;"%",""))))</f>
        <v/>
      </c>
      <c r="AX254" s="40" t="str">
        <f aca="false">IF(OR(OR(NOT(AND(ISNUMBER(E254),ISNUMBER(F254))),$J$2=""),12&gt;MAX(1,Reprogramaciones!$U$15)),"",IF(Reprogramaciones!V$12&gt;=7,"",IF(OR(CE254-N(CD254)&gt;0.05,N(AB254)&gt;0),ROUNDDOWN(ROUND(CE254,6),0)&amp;"%"&amp;IF(CU254="",""," / "&amp;CU254&amp;"%"),IF(AND(N(CD254)&gt;=99.95,CU254&lt;&gt;"",N(CU254)&lt;100),"Pend. "&amp;CU254&amp;"%",""))))</f>
        <v/>
      </c>
      <c r="AY254" s="40" t="str">
        <f aca="false">IF(OR(OR(NOT(AND(ISNUMBER(E254),ISNUMBER(F254))),$J$2=""),13&gt;MAX(1,Reprogramaciones!$U$15)),"",IF(Reprogramaciones!W$12&gt;=7,"",IF(OR(CF254-N(CE254)&gt;0.05,N(AC254)&gt;0),ROUNDDOWN(ROUND(CF254,6),0)&amp;"%"&amp;IF(CV254="",""," / "&amp;CV254&amp;"%"),IF(AND(N(CE254)&gt;=99.95,CV254&lt;&gt;"",N(CV254)&lt;100),"Pend. "&amp;CV254&amp;"%",""))))</f>
        <v/>
      </c>
      <c r="AZ254" s="40" t="str">
        <f aca="false">IF(OR(OR(NOT(AND(ISNUMBER(E254),ISNUMBER(F254))),$J$2=""),14&gt;MAX(1,Reprogramaciones!$U$15)),"",IF(Reprogramaciones!X$12&gt;=7,"",IF(OR(CG254-N(CF254)&gt;0.05,N(AD254)&gt;0),ROUNDDOWN(ROUND(CG254,6),0)&amp;"%"&amp;IF(CW254="",""," / "&amp;CW254&amp;"%"),IF(AND(N(CF254)&gt;=99.95,CW254&lt;&gt;"",N(CW254)&lt;100),"Pend. "&amp;CW254&amp;"%",""))))</f>
        <v/>
      </c>
      <c r="BA254" s="40" t="str">
        <f aca="false">IF(OR(OR(NOT(AND(ISNUMBER(E254),ISNUMBER(F254))),$J$2=""),15&gt;MAX(1,Reprogramaciones!$U$15)),"",IF(Reprogramaciones!Y$12&gt;=7,"",IF(OR(CH254-N(CG254)&gt;0.05,N(AE254)&gt;0),ROUNDDOWN(ROUND(CH254,6),0)&amp;"%"&amp;IF(CX254="",""," / "&amp;CX254&amp;"%"),IF(AND(N(CG254)&gt;=99.95,CX254&lt;&gt;"",N(CX254)&lt;100),"Pend. "&amp;CX254&amp;"%",""))))</f>
        <v/>
      </c>
      <c r="BB254" s="40" t="str">
        <f aca="false">IF(OR(OR(NOT(AND(ISNUMBER(E254),ISNUMBER(F254))),$J$2=""),16&gt;MAX(1,Reprogramaciones!$U$15)),"",IF(Reprogramaciones!Z$12&gt;=7,"",IF(OR(CI254-N(CH254)&gt;0.05,N(AF254)&gt;0),ROUNDDOWN(ROUND(CI254,6),0)&amp;"%"&amp;IF(CY254="",""," / "&amp;CY254&amp;"%"),IF(AND(N(CH254)&gt;=99.95,CY254&lt;&gt;"",N(CY254)&lt;100),"Pend. "&amp;CY254&amp;"%",""))))</f>
        <v/>
      </c>
      <c r="BC254" s="31" t="n">
        <f aca="false">IF(AND(ISNUMBER(E254),ISNUMBER(F254)),MAX(1,NETWORKDAYS.INTL(E254,F254,11)),0)</f>
        <v>0</v>
      </c>
      <c r="BD254" s="1" t="str">
        <f aca="false">IF(OR(NOT(AND(ISNUMBER(E254),ISNUMBER(F254))),$J$2=""),"",MIN(100,ROUND(SUM($G254:G254),1)))</f>
        <v/>
      </c>
      <c r="BE254" s="1" t="str">
        <f aca="false">IF(OR(NOT(AND(ISNUMBER(E254),ISNUMBER(F254))),$J$2=""),"",MIN(100,ROUND(SUM($G254:H254),1)))</f>
        <v/>
      </c>
      <c r="BF254" s="1" t="str">
        <f aca="false">IF(OR(NOT(AND(ISNUMBER(E254),ISNUMBER(F254))),$J$2=""),"",MIN(100,ROUND(SUM($G254:I254),1)))</f>
        <v/>
      </c>
      <c r="BG254" s="1" t="str">
        <f aca="false">IF(OR(NOT(AND(ISNUMBER(E254),ISNUMBER(F254))),$J$2=""),"",MIN(100,ROUND(SUM($G254:J254),1)))</f>
        <v/>
      </c>
      <c r="BH254" s="1" t="str">
        <f aca="false">IF(OR(NOT(AND(ISNUMBER(E254),ISNUMBER(F254))),$J$2=""),"",MIN(100,ROUND(SUM($G254:K254),1)))</f>
        <v/>
      </c>
      <c r="BI254" s="1" t="str">
        <f aca="false">IF(OR(NOT(AND(ISNUMBER(E254),ISNUMBER(F254))),$J$2=""),"",MIN(100,ROUND(SUM($G254:L254),1)))</f>
        <v/>
      </c>
      <c r="BJ254" s="1" t="str">
        <f aca="false">IF(OR(NOT(AND(ISNUMBER(E254),ISNUMBER(F254))),$J$2=""),"",MIN(100,ROUND(SUM($G254:M254),1)))</f>
        <v/>
      </c>
      <c r="BK254" s="1" t="str">
        <f aca="false">IF(OR(NOT(AND(ISNUMBER(E254),ISNUMBER(F254))),$J$2=""),"",MIN(100,ROUND(SUM($G254:N254),1)))</f>
        <v/>
      </c>
      <c r="BL254" s="1" t="str">
        <f aca="false">IF(OR(NOT(AND(ISNUMBER(E254),ISNUMBER(F254))),$J$2=""),"",MIN(100,ROUND(SUM($G254:O254),1)))</f>
        <v/>
      </c>
      <c r="BM254" s="1" t="str">
        <f aca="false">IF(OR(NOT(AND(ISNUMBER(E254),ISNUMBER(F254))),$J$2=""),"",MIN(100,ROUND(SUM($G254:P254),1)))</f>
        <v/>
      </c>
      <c r="BN254" s="1" t="str">
        <f aca="false">IF(OR(NOT(AND(ISNUMBER(E254),ISNUMBER(F254))),$J$2=""),"",MIN(100,ROUND(SUM($G254:P254),1)))</f>
        <v/>
      </c>
      <c r="BO254" s="1" t="str">
        <f aca="false">IF(OR(NOT(AND(ISNUMBER(E254),ISNUMBER(F254))),$J$2=""),"",MIN(100,ROUND(SUM($G254:P254),1)))</f>
        <v/>
      </c>
      <c r="BP254" s="1" t="str">
        <f aca="false">IF(OR(NOT(AND(ISNUMBER(E254),ISNUMBER(F254))),$J$2=""),"",MIN(100,ROUND(SUM($G254:P254),1)))</f>
        <v/>
      </c>
      <c r="BQ254" s="1" t="str">
        <f aca="false">IF(OR(NOT(AND(ISNUMBER(E254),ISNUMBER(F254))),$J$2=""),"",MIN(100,ROUND(SUM($G254:P254),1)))</f>
        <v/>
      </c>
      <c r="BR254" s="1" t="str">
        <f aca="false">IF(OR(NOT(AND(ISNUMBER(E254),ISNUMBER(F254))),$J$2=""),"",MIN(100,ROUND(SUM($G254:P254),1)))</f>
        <v/>
      </c>
      <c r="BS254" s="1" t="str">
        <f aca="false">IF(OR(NOT(AND(ISNUMBER(E254),ISNUMBER(F254))),$J$2=""),"",MIN(100,ROUND(SUM($G254:P254),1)))</f>
        <v/>
      </c>
      <c r="BT254" s="1" t="str">
        <f aca="false">IF(OR(NOT(AND(ISNUMBER(E254),ISNUMBER(F254))),$J$2=""),"",IF(Reprogramaciones!K$13&lt;Reprogramaciones!$T$15,0,IF(Reprogramaciones!K$14&gt;10,MIN(100,SUM($G254:$P254)),MIN(100,SUMPRODUCT((COLUMN($G254:$P254)-COLUMN($G254)+1&lt;Reprogramaciones!K$14)*$G254:$P254)+N(INDEX($G254:$P254,1,Reprogramaciones!K$14))*IF(Reprogramaciones!K$13&gt;=(Reprogramaciones!$T$15+7*(Reprogramaciones!K$14-1))+6,1,IF(MAX(0,NETWORKDAYS.INTL(MAX(E254,(Reprogramaciones!$T$15+7*(Reprogramaciones!K$14-1))),MIN(F254,(Reprogramaciones!$T$15+7*(Reprogramaciones!K$14-1))+6),11))=0,0,MAX(0,NETWORKDAYS.INTL(MAX(E254,(Reprogramaciones!$T$15+7*(Reprogramaciones!K$14-1))),MIN(F254,Reprogramaciones!K$13),11))/MAX(0,NETWORKDAYS.INTL(MAX(E254,(Reprogramaciones!$T$15+7*(Reprogramaciones!K$14-1))),MIN(F254,(Reprogramaciones!$T$15+7*(Reprogramaciones!K$14-1))+6),11))))))))</f>
        <v/>
      </c>
      <c r="BU254" s="1" t="str">
        <f aca="false">IF(OR(NOT(AND(ISNUMBER(E254),ISNUMBER(F254))),$J$2=""),"",IF(Reprogramaciones!L$13&lt;Reprogramaciones!$T$15,0,IF(Reprogramaciones!L$14&gt;10,MIN(100,SUM($G254:$P254)),MIN(100,SUMPRODUCT((COLUMN($G254:$P254)-COLUMN($G254)+1&lt;Reprogramaciones!L$14)*$G254:$P254)+N(INDEX($G254:$P254,1,Reprogramaciones!L$14))*IF(Reprogramaciones!L$13&gt;=(Reprogramaciones!$T$15+7*(Reprogramaciones!L$14-1))+6,1,IF(MAX(0,NETWORKDAYS.INTL(MAX(E254,(Reprogramaciones!$T$15+7*(Reprogramaciones!L$14-1))),MIN(F254,(Reprogramaciones!$T$15+7*(Reprogramaciones!L$14-1))+6),11))=0,0,MAX(0,NETWORKDAYS.INTL(MAX(E254,(Reprogramaciones!$T$15+7*(Reprogramaciones!L$14-1))),MIN(F254,Reprogramaciones!L$13),11))/MAX(0,NETWORKDAYS.INTL(MAX(E254,(Reprogramaciones!$T$15+7*(Reprogramaciones!L$14-1))),MIN(F254,(Reprogramaciones!$T$15+7*(Reprogramaciones!L$14-1))+6),11))))))))</f>
        <v/>
      </c>
      <c r="BV254" s="1" t="str">
        <f aca="false">IF(OR(NOT(AND(ISNUMBER(E254),ISNUMBER(F254))),$J$2=""),"",IF(Reprogramaciones!M$13&lt;Reprogramaciones!$T$15,0,IF(Reprogramaciones!M$14&gt;10,MIN(100,SUM($G254:$P254)),MIN(100,SUMPRODUCT((COLUMN($G254:$P254)-COLUMN($G254)+1&lt;Reprogramaciones!M$14)*$G254:$P254)+N(INDEX($G254:$P254,1,Reprogramaciones!M$14))*IF(Reprogramaciones!M$13&gt;=(Reprogramaciones!$T$15+7*(Reprogramaciones!M$14-1))+6,1,IF(MAX(0,NETWORKDAYS.INTL(MAX(E254,(Reprogramaciones!$T$15+7*(Reprogramaciones!M$14-1))),MIN(F254,(Reprogramaciones!$T$15+7*(Reprogramaciones!M$14-1))+6),11))=0,0,MAX(0,NETWORKDAYS.INTL(MAX(E254,(Reprogramaciones!$T$15+7*(Reprogramaciones!M$14-1))),MIN(F254,Reprogramaciones!M$13),11))/MAX(0,NETWORKDAYS.INTL(MAX(E254,(Reprogramaciones!$T$15+7*(Reprogramaciones!M$14-1))),MIN(F254,(Reprogramaciones!$T$15+7*(Reprogramaciones!M$14-1))+6),11))))))))</f>
        <v/>
      </c>
      <c r="BW254" s="1" t="str">
        <f aca="false">IF(OR(NOT(AND(ISNUMBER(E254),ISNUMBER(F254))),$J$2=""),"",IF(Reprogramaciones!N$13&lt;Reprogramaciones!$T$15,0,IF(Reprogramaciones!N$14&gt;10,MIN(100,SUM($G254:$P254)),MIN(100,SUMPRODUCT((COLUMN($G254:$P254)-COLUMN($G254)+1&lt;Reprogramaciones!N$14)*$G254:$P254)+N(INDEX($G254:$P254,1,Reprogramaciones!N$14))*IF(Reprogramaciones!N$13&gt;=(Reprogramaciones!$T$15+7*(Reprogramaciones!N$14-1))+6,1,IF(MAX(0,NETWORKDAYS.INTL(MAX(E254,(Reprogramaciones!$T$15+7*(Reprogramaciones!N$14-1))),MIN(F254,(Reprogramaciones!$T$15+7*(Reprogramaciones!N$14-1))+6),11))=0,0,MAX(0,NETWORKDAYS.INTL(MAX(E254,(Reprogramaciones!$T$15+7*(Reprogramaciones!N$14-1))),MIN(F254,Reprogramaciones!N$13),11))/MAX(0,NETWORKDAYS.INTL(MAX(E254,(Reprogramaciones!$T$15+7*(Reprogramaciones!N$14-1))),MIN(F254,(Reprogramaciones!$T$15+7*(Reprogramaciones!N$14-1))+6),11))))))))</f>
        <v/>
      </c>
      <c r="BX254" s="1" t="str">
        <f aca="false">IF(OR(NOT(AND(ISNUMBER(E254),ISNUMBER(F254))),$J$2=""),"",IF(Reprogramaciones!O$13&lt;Reprogramaciones!$T$15,0,IF(Reprogramaciones!O$14&gt;10,MIN(100,SUM($G254:$P254)),MIN(100,SUMPRODUCT((COLUMN($G254:$P254)-COLUMN($G254)+1&lt;Reprogramaciones!O$14)*$G254:$P254)+N(INDEX($G254:$P254,1,Reprogramaciones!O$14))*IF(Reprogramaciones!O$13&gt;=(Reprogramaciones!$T$15+7*(Reprogramaciones!O$14-1))+6,1,IF(MAX(0,NETWORKDAYS.INTL(MAX(E254,(Reprogramaciones!$T$15+7*(Reprogramaciones!O$14-1))),MIN(F254,(Reprogramaciones!$T$15+7*(Reprogramaciones!O$14-1))+6),11))=0,0,MAX(0,NETWORKDAYS.INTL(MAX(E254,(Reprogramaciones!$T$15+7*(Reprogramaciones!O$14-1))),MIN(F254,Reprogramaciones!O$13),11))/MAX(0,NETWORKDAYS.INTL(MAX(E254,(Reprogramaciones!$T$15+7*(Reprogramaciones!O$14-1))),MIN(F254,(Reprogramaciones!$T$15+7*(Reprogramaciones!O$14-1))+6),11))))))))</f>
        <v/>
      </c>
      <c r="BY254" s="1" t="str">
        <f aca="false">IF(OR(NOT(AND(ISNUMBER(E254),ISNUMBER(F254))),$J$2=""),"",IF(Reprogramaciones!P$13&lt;Reprogramaciones!$T$15,0,IF(Reprogramaciones!P$14&gt;10,MIN(100,SUM($G254:$P254)),MIN(100,SUMPRODUCT((COLUMN($G254:$P254)-COLUMN($G254)+1&lt;Reprogramaciones!P$14)*$G254:$P254)+N(INDEX($G254:$P254,1,Reprogramaciones!P$14))*IF(Reprogramaciones!P$13&gt;=(Reprogramaciones!$T$15+7*(Reprogramaciones!P$14-1))+6,1,IF(MAX(0,NETWORKDAYS.INTL(MAX(E254,(Reprogramaciones!$T$15+7*(Reprogramaciones!P$14-1))),MIN(F254,(Reprogramaciones!$T$15+7*(Reprogramaciones!P$14-1))+6),11))=0,0,MAX(0,NETWORKDAYS.INTL(MAX(E254,(Reprogramaciones!$T$15+7*(Reprogramaciones!P$14-1))),MIN(F254,Reprogramaciones!P$13),11))/MAX(0,NETWORKDAYS.INTL(MAX(E254,(Reprogramaciones!$T$15+7*(Reprogramaciones!P$14-1))),MIN(F254,(Reprogramaciones!$T$15+7*(Reprogramaciones!P$14-1))+6),11))))))))</f>
        <v/>
      </c>
      <c r="BZ254" s="1" t="str">
        <f aca="false">IF(OR(NOT(AND(ISNUMBER(E254),ISNUMBER(F254))),$J$2=""),"",IF(Reprogramaciones!Q$13&lt;Reprogramaciones!$T$15,0,IF(Reprogramaciones!Q$14&gt;10,MIN(100,SUM($G254:$P254)),MIN(100,SUMPRODUCT((COLUMN($G254:$P254)-COLUMN($G254)+1&lt;Reprogramaciones!Q$14)*$G254:$P254)+N(INDEX($G254:$P254,1,Reprogramaciones!Q$14))*IF(Reprogramaciones!Q$13&gt;=(Reprogramaciones!$T$15+7*(Reprogramaciones!Q$14-1))+6,1,IF(MAX(0,NETWORKDAYS.INTL(MAX(E254,(Reprogramaciones!$T$15+7*(Reprogramaciones!Q$14-1))),MIN(F254,(Reprogramaciones!$T$15+7*(Reprogramaciones!Q$14-1))+6),11))=0,0,MAX(0,NETWORKDAYS.INTL(MAX(E254,(Reprogramaciones!$T$15+7*(Reprogramaciones!Q$14-1))),MIN(F254,Reprogramaciones!Q$13),11))/MAX(0,NETWORKDAYS.INTL(MAX(E254,(Reprogramaciones!$T$15+7*(Reprogramaciones!Q$14-1))),MIN(F254,(Reprogramaciones!$T$15+7*(Reprogramaciones!Q$14-1))+6),11))))))))</f>
        <v/>
      </c>
      <c r="CA254" s="1" t="str">
        <f aca="false">IF(OR(NOT(AND(ISNUMBER(E254),ISNUMBER(F254))),$J$2=""),"",IF(Reprogramaciones!R$13&lt;Reprogramaciones!$T$15,0,IF(Reprogramaciones!R$14&gt;10,MIN(100,SUM($G254:$P254)),MIN(100,SUMPRODUCT((COLUMN($G254:$P254)-COLUMN($G254)+1&lt;Reprogramaciones!R$14)*$G254:$P254)+N(INDEX($G254:$P254,1,Reprogramaciones!R$14))*IF(Reprogramaciones!R$13&gt;=(Reprogramaciones!$T$15+7*(Reprogramaciones!R$14-1))+6,1,IF(MAX(0,NETWORKDAYS.INTL(MAX(E254,(Reprogramaciones!$T$15+7*(Reprogramaciones!R$14-1))),MIN(F254,(Reprogramaciones!$T$15+7*(Reprogramaciones!R$14-1))+6),11))=0,0,MAX(0,NETWORKDAYS.INTL(MAX(E254,(Reprogramaciones!$T$15+7*(Reprogramaciones!R$14-1))),MIN(F254,Reprogramaciones!R$13),11))/MAX(0,NETWORKDAYS.INTL(MAX(E254,(Reprogramaciones!$T$15+7*(Reprogramaciones!R$14-1))),MIN(F254,(Reprogramaciones!$T$15+7*(Reprogramaciones!R$14-1))+6),11))))))))</f>
        <v/>
      </c>
      <c r="CB254" s="1" t="str">
        <f aca="false">IF(OR(NOT(AND(ISNUMBER(E254),ISNUMBER(F254))),$J$2=""),"",IF(Reprogramaciones!S$13&lt;Reprogramaciones!$T$15,0,IF(Reprogramaciones!S$14&gt;10,MIN(100,SUM($G254:$P254)),MIN(100,SUMPRODUCT((COLUMN($G254:$P254)-COLUMN($G254)+1&lt;Reprogramaciones!S$14)*$G254:$P254)+N(INDEX($G254:$P254,1,Reprogramaciones!S$14))*IF(Reprogramaciones!S$13&gt;=(Reprogramaciones!$T$15+7*(Reprogramaciones!S$14-1))+6,1,IF(MAX(0,NETWORKDAYS.INTL(MAX(E254,(Reprogramaciones!$T$15+7*(Reprogramaciones!S$14-1))),MIN(F254,(Reprogramaciones!$T$15+7*(Reprogramaciones!S$14-1))+6),11))=0,0,MAX(0,NETWORKDAYS.INTL(MAX(E254,(Reprogramaciones!$T$15+7*(Reprogramaciones!S$14-1))),MIN(F254,Reprogramaciones!S$13),11))/MAX(0,NETWORKDAYS.INTL(MAX(E254,(Reprogramaciones!$T$15+7*(Reprogramaciones!S$14-1))),MIN(F254,(Reprogramaciones!$T$15+7*(Reprogramaciones!S$14-1))+6),11))))))))</f>
        <v/>
      </c>
      <c r="CC254" s="1" t="str">
        <f aca="false">IF(OR(NOT(AND(ISNUMBER(E254),ISNUMBER(F254))),$J$2=""),"",IF(Reprogramaciones!T$13&lt;Reprogramaciones!$T$15,0,IF(Reprogramaciones!T$14&gt;10,MIN(100,SUM($G254:$P254)),MIN(100,SUMPRODUCT((COLUMN($G254:$P254)-COLUMN($G254)+1&lt;Reprogramaciones!T$14)*$G254:$P254)+N(INDEX($G254:$P254,1,Reprogramaciones!T$14))*IF(Reprogramaciones!T$13&gt;=(Reprogramaciones!$T$15+7*(Reprogramaciones!T$14-1))+6,1,IF(MAX(0,NETWORKDAYS.INTL(MAX(E254,(Reprogramaciones!$T$15+7*(Reprogramaciones!T$14-1))),MIN(F254,(Reprogramaciones!$T$15+7*(Reprogramaciones!T$14-1))+6),11))=0,0,MAX(0,NETWORKDAYS.INTL(MAX(E254,(Reprogramaciones!$T$15+7*(Reprogramaciones!T$14-1))),MIN(F254,Reprogramaciones!T$13),11))/MAX(0,NETWORKDAYS.INTL(MAX(E254,(Reprogramaciones!$T$15+7*(Reprogramaciones!T$14-1))),MIN(F254,(Reprogramaciones!$T$15+7*(Reprogramaciones!T$14-1))+6),11))))))))</f>
        <v/>
      </c>
      <c r="CD254" s="1" t="str">
        <f aca="false">IF(OR(NOT(AND(ISNUMBER(E254),ISNUMBER(F254))),$J$2=""),"",IF(Reprogramaciones!U$13&lt;Reprogramaciones!$T$15,0,IF(Reprogramaciones!U$14&gt;10,MIN(100,SUM($G254:$P254)),MIN(100,SUMPRODUCT((COLUMN($G254:$P254)-COLUMN($G254)+1&lt;Reprogramaciones!U$14)*$G254:$P254)+N(INDEX($G254:$P254,1,Reprogramaciones!U$14))*IF(Reprogramaciones!U$13&gt;=(Reprogramaciones!$T$15+7*(Reprogramaciones!U$14-1))+6,1,IF(MAX(0,NETWORKDAYS.INTL(MAX(E254,(Reprogramaciones!$T$15+7*(Reprogramaciones!U$14-1))),MIN(F254,(Reprogramaciones!$T$15+7*(Reprogramaciones!U$14-1))+6),11))=0,0,MAX(0,NETWORKDAYS.INTL(MAX(E254,(Reprogramaciones!$T$15+7*(Reprogramaciones!U$14-1))),MIN(F254,Reprogramaciones!U$13),11))/MAX(0,NETWORKDAYS.INTL(MAX(E254,(Reprogramaciones!$T$15+7*(Reprogramaciones!U$14-1))),MIN(F254,(Reprogramaciones!$T$15+7*(Reprogramaciones!U$14-1))+6),11))))))))</f>
        <v/>
      </c>
      <c r="CE254" s="1" t="str">
        <f aca="false">IF(OR(NOT(AND(ISNUMBER(E254),ISNUMBER(F254))),$J$2=""),"",IF(Reprogramaciones!V$13&lt;Reprogramaciones!$T$15,0,IF(Reprogramaciones!V$14&gt;10,MIN(100,SUM($G254:$P254)),MIN(100,SUMPRODUCT((COLUMN($G254:$P254)-COLUMN($G254)+1&lt;Reprogramaciones!V$14)*$G254:$P254)+N(INDEX($G254:$P254,1,Reprogramaciones!V$14))*IF(Reprogramaciones!V$13&gt;=(Reprogramaciones!$T$15+7*(Reprogramaciones!V$14-1))+6,1,IF(MAX(0,NETWORKDAYS.INTL(MAX(E254,(Reprogramaciones!$T$15+7*(Reprogramaciones!V$14-1))),MIN(F254,(Reprogramaciones!$T$15+7*(Reprogramaciones!V$14-1))+6),11))=0,0,MAX(0,NETWORKDAYS.INTL(MAX(E254,(Reprogramaciones!$T$15+7*(Reprogramaciones!V$14-1))),MIN(F254,Reprogramaciones!V$13),11))/MAX(0,NETWORKDAYS.INTL(MAX(E254,(Reprogramaciones!$T$15+7*(Reprogramaciones!V$14-1))),MIN(F254,(Reprogramaciones!$T$15+7*(Reprogramaciones!V$14-1))+6),11))))))))</f>
        <v/>
      </c>
      <c r="CF254" s="1" t="str">
        <f aca="false">IF(OR(NOT(AND(ISNUMBER(E254),ISNUMBER(F254))),$J$2=""),"",IF(Reprogramaciones!W$13&lt;Reprogramaciones!$T$15,0,IF(Reprogramaciones!W$14&gt;10,MIN(100,SUM($G254:$P254)),MIN(100,SUMPRODUCT((COLUMN($G254:$P254)-COLUMN($G254)+1&lt;Reprogramaciones!W$14)*$G254:$P254)+N(INDEX($G254:$P254,1,Reprogramaciones!W$14))*IF(Reprogramaciones!W$13&gt;=(Reprogramaciones!$T$15+7*(Reprogramaciones!W$14-1))+6,1,IF(MAX(0,NETWORKDAYS.INTL(MAX(E254,(Reprogramaciones!$T$15+7*(Reprogramaciones!W$14-1))),MIN(F254,(Reprogramaciones!$T$15+7*(Reprogramaciones!W$14-1))+6),11))=0,0,MAX(0,NETWORKDAYS.INTL(MAX(E254,(Reprogramaciones!$T$15+7*(Reprogramaciones!W$14-1))),MIN(F254,Reprogramaciones!W$13),11))/MAX(0,NETWORKDAYS.INTL(MAX(E254,(Reprogramaciones!$T$15+7*(Reprogramaciones!W$14-1))),MIN(F254,(Reprogramaciones!$T$15+7*(Reprogramaciones!W$14-1))+6),11))))))))</f>
        <v/>
      </c>
      <c r="CG254" s="1" t="str">
        <f aca="false">IF(OR(NOT(AND(ISNUMBER(E254),ISNUMBER(F254))),$J$2=""),"",IF(Reprogramaciones!X$13&lt;Reprogramaciones!$T$15,0,IF(Reprogramaciones!X$14&gt;10,MIN(100,SUM($G254:$P254)),MIN(100,SUMPRODUCT((COLUMN($G254:$P254)-COLUMN($G254)+1&lt;Reprogramaciones!X$14)*$G254:$P254)+N(INDEX($G254:$P254,1,Reprogramaciones!X$14))*IF(Reprogramaciones!X$13&gt;=(Reprogramaciones!$T$15+7*(Reprogramaciones!X$14-1))+6,1,IF(MAX(0,NETWORKDAYS.INTL(MAX(E254,(Reprogramaciones!$T$15+7*(Reprogramaciones!X$14-1))),MIN(F254,(Reprogramaciones!$T$15+7*(Reprogramaciones!X$14-1))+6),11))=0,0,MAX(0,NETWORKDAYS.INTL(MAX(E254,(Reprogramaciones!$T$15+7*(Reprogramaciones!X$14-1))),MIN(F254,Reprogramaciones!X$13),11))/MAX(0,NETWORKDAYS.INTL(MAX(E254,(Reprogramaciones!$T$15+7*(Reprogramaciones!X$14-1))),MIN(F254,(Reprogramaciones!$T$15+7*(Reprogramaciones!X$14-1))+6),11))))))))</f>
        <v/>
      </c>
      <c r="CH254" s="1" t="str">
        <f aca="false">IF(OR(NOT(AND(ISNUMBER(E254),ISNUMBER(F254))),$J$2=""),"",IF(Reprogramaciones!Y$13&lt;Reprogramaciones!$T$15,0,IF(Reprogramaciones!Y$14&gt;10,MIN(100,SUM($G254:$P254)),MIN(100,SUMPRODUCT((COLUMN($G254:$P254)-COLUMN($G254)+1&lt;Reprogramaciones!Y$14)*$G254:$P254)+N(INDEX($G254:$P254,1,Reprogramaciones!Y$14))*IF(Reprogramaciones!Y$13&gt;=(Reprogramaciones!$T$15+7*(Reprogramaciones!Y$14-1))+6,1,IF(MAX(0,NETWORKDAYS.INTL(MAX(E254,(Reprogramaciones!$T$15+7*(Reprogramaciones!Y$14-1))),MIN(F254,(Reprogramaciones!$T$15+7*(Reprogramaciones!Y$14-1))+6),11))=0,0,MAX(0,NETWORKDAYS.INTL(MAX(E254,(Reprogramaciones!$T$15+7*(Reprogramaciones!Y$14-1))),MIN(F254,Reprogramaciones!Y$13),11))/MAX(0,NETWORKDAYS.INTL(MAX(E254,(Reprogramaciones!$T$15+7*(Reprogramaciones!Y$14-1))),MIN(F254,(Reprogramaciones!$T$15+7*(Reprogramaciones!Y$14-1))+6),11))))))))</f>
        <v/>
      </c>
      <c r="CI254" s="1" t="str">
        <f aca="false">IF(OR(NOT(AND(ISNUMBER(E254),ISNUMBER(F254))),$J$2=""),"",IF(Reprogramaciones!Z$13&lt;Reprogramaciones!$T$15,0,IF(Reprogramaciones!Z$14&gt;10,MIN(100,SUM($G254:$P254)),MIN(100,SUMPRODUCT((COLUMN($G254:$P254)-COLUMN($G254)+1&lt;Reprogramaciones!Z$14)*$G254:$P254)+N(INDEX($G254:$P254,1,Reprogramaciones!Z$14))*IF(Reprogramaciones!Z$13&gt;=(Reprogramaciones!$T$15+7*(Reprogramaciones!Z$14-1))+6,1,IF(MAX(0,NETWORKDAYS.INTL(MAX(E254,(Reprogramaciones!$T$15+7*(Reprogramaciones!Z$14-1))),MIN(F254,(Reprogramaciones!$T$15+7*(Reprogramaciones!Z$14-1))+6),11))=0,0,MAX(0,NETWORKDAYS.INTL(MAX(E254,(Reprogramaciones!$T$15+7*(Reprogramaciones!Z$14-1))),MIN(F254,Reprogramaciones!Z$13),11))/MAX(0,NETWORKDAYS.INTL(MAX(E254,(Reprogramaciones!$T$15+7*(Reprogramaciones!Z$14-1))),MIN(F254,(Reprogramaciones!$T$15+7*(Reprogramaciones!Z$14-1))+6),11))))))))</f>
        <v/>
      </c>
      <c r="CJ254" s="1" t="str">
        <f aca="false">IF(OR(OR(NOT(AND(ISNUMBER(E254),ISNUMBER(F254))),$J$2=""),1&gt;Reprogramaciones!$K$16),"",IF(ROUND(SUM($Q254:Q254),1)&gt;=99.5,100,MIN(100,ROUND(SUM($Q254:Q254),1))))</f>
        <v/>
      </c>
      <c r="CK254" s="1" t="str">
        <f aca="false">IF(OR(OR(NOT(AND(ISNUMBER(E254),ISNUMBER(F254))),$J$2=""),2&gt;Reprogramaciones!$K$16),"",IF(ROUND(SUM($Q254:R254),1)&gt;=99.5,100,MIN(100,ROUND(SUM($Q254:R254),1))))</f>
        <v/>
      </c>
      <c r="CL254" s="1" t="str">
        <f aca="false">IF(OR(OR(NOT(AND(ISNUMBER(E254),ISNUMBER(F254))),$J$2=""),3&gt;Reprogramaciones!$K$16),"",IF(ROUND(SUM($Q254:S254),1)&gt;=99.5,100,MIN(100,ROUND(SUM($Q254:S254),1))))</f>
        <v/>
      </c>
      <c r="CM254" s="1" t="str">
        <f aca="false">IF(OR(OR(NOT(AND(ISNUMBER(E254),ISNUMBER(F254))),$J$2=""),4&gt;Reprogramaciones!$K$16),"",IF(ROUND(SUM($Q254:T254),1)&gt;=99.5,100,MIN(100,ROUND(SUM($Q254:T254),1))))</f>
        <v/>
      </c>
      <c r="CN254" s="1" t="str">
        <f aca="false">IF(OR(OR(NOT(AND(ISNUMBER(E254),ISNUMBER(F254))),$J$2=""),5&gt;Reprogramaciones!$K$16),"",IF(ROUND(SUM($Q254:U254),1)&gt;=99.5,100,MIN(100,ROUND(SUM($Q254:U254),1))))</f>
        <v/>
      </c>
      <c r="CO254" s="1" t="str">
        <f aca="false">IF(OR(OR(NOT(AND(ISNUMBER(E254),ISNUMBER(F254))),$J$2=""),6&gt;Reprogramaciones!$K$16),"",IF(ROUND(SUM($Q254:V254),1)&gt;=99.5,100,MIN(100,ROUND(SUM($Q254:V254),1))))</f>
        <v/>
      </c>
      <c r="CP254" s="1" t="str">
        <f aca="false">IF(OR(OR(NOT(AND(ISNUMBER(E254),ISNUMBER(F254))),$J$2=""),7&gt;Reprogramaciones!$K$16),"",IF(ROUND(SUM($Q254:W254),1)&gt;=99.5,100,MIN(100,ROUND(SUM($Q254:W254),1))))</f>
        <v/>
      </c>
      <c r="CQ254" s="1" t="str">
        <f aca="false">IF(OR(OR(NOT(AND(ISNUMBER(E254),ISNUMBER(F254))),$J$2=""),8&gt;Reprogramaciones!$K$16),"",IF(ROUND(SUM($Q254:X254),1)&gt;=99.5,100,MIN(100,ROUND(SUM($Q254:X254),1))))</f>
        <v/>
      </c>
      <c r="CR254" s="1" t="str">
        <f aca="false">IF(OR(OR(NOT(AND(ISNUMBER(E254),ISNUMBER(F254))),$J$2=""),9&gt;Reprogramaciones!$K$16),"",IF(ROUND(SUM($Q254:Y254),1)&gt;=99.5,100,MIN(100,ROUND(SUM($Q254:Y254),1))))</f>
        <v/>
      </c>
      <c r="CS254" s="1" t="str">
        <f aca="false">IF(OR(OR(NOT(AND(ISNUMBER(E254),ISNUMBER(F254))),$J$2=""),10&gt;Reprogramaciones!$K$16),"",IF(ROUND(SUM($Q254:Z254),1)&gt;=99.5,100,MIN(100,ROUND(SUM($Q254:Z254),1))))</f>
        <v/>
      </c>
      <c r="CT254" s="1" t="str">
        <f aca="false">IF(OR(OR(NOT(AND(ISNUMBER(E254),ISNUMBER(F254))),$J$2=""),11&gt;Reprogramaciones!$K$16),"",IF(ROUND(SUM($Q254:AA254),1)&gt;=99.5,100,MIN(100,ROUND(SUM($Q254:AA254),1))))</f>
        <v/>
      </c>
      <c r="CU254" s="1" t="str">
        <f aca="false">IF(OR(OR(NOT(AND(ISNUMBER(E254),ISNUMBER(F254))),$J$2=""),12&gt;Reprogramaciones!$K$16),"",IF(ROUND(SUM($Q254:AB254),1)&gt;=99.5,100,MIN(100,ROUND(SUM($Q254:AB254),1))))</f>
        <v/>
      </c>
      <c r="CV254" s="1" t="str">
        <f aca="false">IF(OR(OR(NOT(AND(ISNUMBER(E254),ISNUMBER(F254))),$J$2=""),13&gt;Reprogramaciones!$K$16),"",IF(ROUND(SUM($Q254:AC254),1)&gt;=99.5,100,MIN(100,ROUND(SUM($Q254:AC254),1))))</f>
        <v/>
      </c>
      <c r="CW254" s="1" t="str">
        <f aca="false">IF(OR(OR(NOT(AND(ISNUMBER(E254),ISNUMBER(F254))),$J$2=""),14&gt;Reprogramaciones!$K$16),"",IF(ROUND(SUM($Q254:AD254),1)&gt;=99.5,100,MIN(100,ROUND(SUM($Q254:AD254),1))))</f>
        <v/>
      </c>
      <c r="CX254" s="1" t="str">
        <f aca="false">IF(OR(OR(NOT(AND(ISNUMBER(E254),ISNUMBER(F254))),$J$2=""),15&gt;Reprogramaciones!$K$16),"",IF(ROUND(SUM($Q254:AE254),1)&gt;=99.5,100,MIN(100,ROUND(SUM($Q254:AE254),1))))</f>
        <v/>
      </c>
      <c r="CY254" s="1" t="str">
        <f aca="false">IF(OR(OR(NOT(AND(ISNUMBER(E254),ISNUMBER(F254))),$J$2=""),16&gt;Reprogramaciones!$K$16),"",IF(ROUND(SUM($Q254:AF254),1)&gt;=99.5,100,MIN(100,ROUND(SUM($Q254:AF254),1))))</f>
        <v/>
      </c>
      <c r="CZ254" s="1" t="str">
        <f aca="false">IF(D254&lt;&gt;"",D254,IF(B254&lt;&gt;"","Contractual",CZ253))</f>
        <v>Contractual</v>
      </c>
      <c r="DA254" s="1" t="str">
        <f aca="false">IF(OR(NOT(AND(ISNUMBER(E254),ISNUMBER(F254))),$J$2=""),"",IF(Reprogramaciones!$Q$15&lt;Reprogramaciones!$T$15,0,IF(Reprogramaciones!$S$15&gt;10,MIN(100,SUM($G254:$P254)),MIN(100,SUMPRODUCT((COLUMN($G254:$P254)-COLUMN($G254)+1&lt;Reprogramaciones!$S$15)*$G254:$P254)+N(INDEX($G254:$P254,1,Reprogramaciones!$S$15))*IF(Reprogramaciones!$Q$15&gt;=(Reprogramaciones!$T$15+7*(Reprogramaciones!$S$15-1))+6,1,IF(MAX(0,NETWORKDAYS.INTL(MAX(E254,(Reprogramaciones!$T$15+7*(Reprogramaciones!$S$15-1))),MIN(F254,(Reprogramaciones!$T$15+7*(Reprogramaciones!$S$15-1))+6),11))=0,0,MAX(0,NETWORKDAYS.INTL(MAX(E254,(Reprogramaciones!$T$15+7*(Reprogramaciones!$S$15-1))),MIN(F254,Reprogramaciones!$Q$15),11))/MAX(0,NETWORKDAYS.INTL(MAX(E254,(Reprogramaciones!$T$15+7*(Reprogramaciones!$S$15-1))),MIN(F254,(Reprogramaciones!$T$15+7*(Reprogramaciones!$S$15-1))+6),11))))))))</f>
        <v/>
      </c>
    </row>
    <row r="255" customFormat="false" ht="15" hidden="false" customHeight="false" outlineLevel="0" collapsed="false">
      <c r="A255" s="32"/>
      <c r="B255" s="33"/>
      <c r="C255" s="33"/>
      <c r="D255" s="34"/>
      <c r="E255" s="35"/>
      <c r="F255" s="35"/>
      <c r="G255" s="36" t="str">
        <f aca="false">IF(OR(NOT(AND(ISNUMBER(E255),ISNUMBER(F255))),$J$2=""),"",IF(Reprogramaciones!K$9&lt;E255,0,IF(NETWORKDAYS.INTL(E255,F255,11)=0,IF(Reprogramaciones!K$9&gt;=F255,100,0),ROUND(NETWORKDAYS.INTL(E255,MIN(F255,Reprogramaciones!K$9),11)/NETWORKDAYS.INTL(E255,F255,11)*100,1)))-0)</f>
        <v/>
      </c>
      <c r="H255" s="36" t="str">
        <f aca="false">IF(OR(NOT(AND(ISNUMBER(E255),ISNUMBER(F255))),$J$2=""),"",IF(Reprogramaciones!L$9&lt;E255,0,IF(NETWORKDAYS.INTL(E255,F255,11)=0,IF(Reprogramaciones!L$9&gt;=F255,100,0),ROUND(NETWORKDAYS.INTL(E255,MIN(F255,Reprogramaciones!L$9),11)/NETWORKDAYS.INTL(E255,F255,11)*100,1)))-IF(Reprogramaciones!K$9&lt;E255,0,IF(NETWORKDAYS.INTL(E255,F255,11)=0,IF(Reprogramaciones!K$9&gt;=F255,100,0),ROUND(NETWORKDAYS.INTL(E255,MIN(F255,Reprogramaciones!K$9),11)/NETWORKDAYS.INTL(E255,F255,11)*100,1))))</f>
        <v/>
      </c>
      <c r="I255" s="36" t="str">
        <f aca="false">IF(OR(NOT(AND(ISNUMBER(E255),ISNUMBER(F255))),$J$2=""),"",IF(Reprogramaciones!M$9&lt;E255,0,IF(NETWORKDAYS.INTL(E255,F255,11)=0,IF(Reprogramaciones!M$9&gt;=F255,100,0),ROUND(NETWORKDAYS.INTL(E255,MIN(F255,Reprogramaciones!M$9),11)/NETWORKDAYS.INTL(E255,F255,11)*100,1)))-IF(Reprogramaciones!L$9&lt;E255,0,IF(NETWORKDAYS.INTL(E255,F255,11)=0,IF(Reprogramaciones!L$9&gt;=F255,100,0),ROUND(NETWORKDAYS.INTL(E255,MIN(F255,Reprogramaciones!L$9),11)/NETWORKDAYS.INTL(E255,F255,11)*100,1))))</f>
        <v/>
      </c>
      <c r="J255" s="36" t="str">
        <f aca="false">IF(OR(NOT(AND(ISNUMBER(E255),ISNUMBER(F255))),$J$2=""),"",IF(Reprogramaciones!N$9&lt;E255,0,IF(NETWORKDAYS.INTL(E255,F255,11)=0,IF(Reprogramaciones!N$9&gt;=F255,100,0),ROUND(NETWORKDAYS.INTL(E255,MIN(F255,Reprogramaciones!N$9),11)/NETWORKDAYS.INTL(E255,F255,11)*100,1)))-IF(Reprogramaciones!M$9&lt;E255,0,IF(NETWORKDAYS.INTL(E255,F255,11)=0,IF(Reprogramaciones!M$9&gt;=F255,100,0),ROUND(NETWORKDAYS.INTL(E255,MIN(F255,Reprogramaciones!M$9),11)/NETWORKDAYS.INTL(E255,F255,11)*100,1))))</f>
        <v/>
      </c>
      <c r="K255" s="36" t="str">
        <f aca="false">IF(OR(NOT(AND(ISNUMBER(E255),ISNUMBER(F255))),$J$2=""),"",IF(Reprogramaciones!O$9&lt;E255,0,IF(NETWORKDAYS.INTL(E255,F255,11)=0,IF(Reprogramaciones!O$9&gt;=F255,100,0),ROUND(NETWORKDAYS.INTL(E255,MIN(F255,Reprogramaciones!O$9),11)/NETWORKDAYS.INTL(E255,F255,11)*100,1)))-IF(Reprogramaciones!N$9&lt;E255,0,IF(NETWORKDAYS.INTL(E255,F255,11)=0,IF(Reprogramaciones!N$9&gt;=F255,100,0),ROUND(NETWORKDAYS.INTL(E255,MIN(F255,Reprogramaciones!N$9),11)/NETWORKDAYS.INTL(E255,F255,11)*100,1))))</f>
        <v/>
      </c>
      <c r="L255" s="36" t="str">
        <f aca="false">IF(OR(NOT(AND(ISNUMBER(E255),ISNUMBER(F255))),$J$2=""),"",IF(Reprogramaciones!P$9&lt;E255,0,IF(NETWORKDAYS.INTL(E255,F255,11)=0,IF(Reprogramaciones!P$9&gt;=F255,100,0),ROUND(NETWORKDAYS.INTL(E255,MIN(F255,Reprogramaciones!P$9),11)/NETWORKDAYS.INTL(E255,F255,11)*100,1)))-IF(Reprogramaciones!O$9&lt;E255,0,IF(NETWORKDAYS.INTL(E255,F255,11)=0,IF(Reprogramaciones!O$9&gt;=F255,100,0),ROUND(NETWORKDAYS.INTL(E255,MIN(F255,Reprogramaciones!O$9),11)/NETWORKDAYS.INTL(E255,F255,11)*100,1))))</f>
        <v/>
      </c>
      <c r="M255" s="36" t="str">
        <f aca="false">IF(OR(NOT(AND(ISNUMBER(E255),ISNUMBER(F255))),$J$2=""),"",IF(Reprogramaciones!Q$9&lt;E255,0,IF(NETWORKDAYS.INTL(E255,F255,11)=0,IF(Reprogramaciones!Q$9&gt;=F255,100,0),ROUND(NETWORKDAYS.INTL(E255,MIN(F255,Reprogramaciones!Q$9),11)/NETWORKDAYS.INTL(E255,F255,11)*100,1)))-IF(Reprogramaciones!P$9&lt;E255,0,IF(NETWORKDAYS.INTL(E255,F255,11)=0,IF(Reprogramaciones!P$9&gt;=F255,100,0),ROUND(NETWORKDAYS.INTL(E255,MIN(F255,Reprogramaciones!P$9),11)/NETWORKDAYS.INTL(E255,F255,11)*100,1))))</f>
        <v/>
      </c>
      <c r="N255" s="36" t="str">
        <f aca="false">IF(OR(NOT(AND(ISNUMBER(E255),ISNUMBER(F255))),$J$2=""),"",IF(Reprogramaciones!R$9&lt;E255,0,IF(NETWORKDAYS.INTL(E255,F255,11)=0,IF(Reprogramaciones!R$9&gt;=F255,100,0),ROUND(NETWORKDAYS.INTL(E255,MIN(F255,Reprogramaciones!R$9),11)/NETWORKDAYS.INTL(E255,F255,11)*100,1)))-IF(Reprogramaciones!Q$9&lt;E255,0,IF(NETWORKDAYS.INTL(E255,F255,11)=0,IF(Reprogramaciones!Q$9&gt;=F255,100,0),ROUND(NETWORKDAYS.INTL(E255,MIN(F255,Reprogramaciones!Q$9),11)/NETWORKDAYS.INTL(E255,F255,11)*100,1))))</f>
        <v/>
      </c>
      <c r="O255" s="36" t="str">
        <f aca="false">IF(OR(NOT(AND(ISNUMBER(E255),ISNUMBER(F255))),$J$2=""),"",IF(Reprogramaciones!S$9&lt;E255,0,IF(NETWORKDAYS.INTL(E255,F255,11)=0,IF(Reprogramaciones!S$9&gt;=F255,100,0),ROUND(NETWORKDAYS.INTL(E255,MIN(F255,Reprogramaciones!S$9),11)/NETWORKDAYS.INTL(E255,F255,11)*100,1)))-IF(Reprogramaciones!R$9&lt;E255,0,IF(NETWORKDAYS.INTL(E255,F255,11)=0,IF(Reprogramaciones!R$9&gt;=F255,100,0),ROUND(NETWORKDAYS.INTL(E255,MIN(F255,Reprogramaciones!R$9),11)/NETWORKDAYS.INTL(E255,F255,11)*100,1))))</f>
        <v/>
      </c>
      <c r="P255" s="36" t="str">
        <f aca="false">IF(OR(NOT(AND(ISNUMBER(E255),ISNUMBER(F255))),$J$2=""),"",IF(Reprogramaciones!T$9&lt;E255,0,IF(NETWORKDAYS.INTL(E255,F255,11)=0,IF(Reprogramaciones!T$9&gt;=F255,100,0),ROUND(NETWORKDAYS.INTL(E255,MIN(F255,Reprogramaciones!T$9),11)/NETWORKDAYS.INTL(E255,F255,11)*100,1)))-IF(Reprogramaciones!S$9&lt;E255,0,IF(NETWORKDAYS.INTL(E255,F255,11)=0,IF(Reprogramaciones!S$9&gt;=F255,100,0),ROUND(NETWORKDAYS.INTL(E255,MIN(F255,Reprogramaciones!S$9),11)/NETWORKDAYS.INTL(E255,F255,11)*100,1))))</f>
        <v/>
      </c>
      <c r="Q255" s="37"/>
      <c r="R255" s="37"/>
      <c r="S255" s="37"/>
      <c r="T255" s="37"/>
      <c r="U255" s="37"/>
      <c r="V255" s="37"/>
      <c r="W255" s="37"/>
      <c r="X255" s="37"/>
      <c r="Y255" s="37"/>
      <c r="Z255" s="37"/>
      <c r="AA255" s="37"/>
      <c r="AB255" s="37"/>
      <c r="AC255" s="37"/>
      <c r="AD255" s="37"/>
      <c r="AE255" s="37"/>
      <c r="AF255" s="37"/>
      <c r="AG255" s="38" t="str">
        <f aca="false">IF(AND(ISNUMBER(E255),ISNUMBER(F255)),NETWORKDAYS.INTL(E255,F255,11),"")</f>
        <v/>
      </c>
      <c r="AH255" s="38" t="str">
        <f aca="false">IF(OR(NOT(AND(ISNUMBER(E255),ISNUMBER(F255))),$J$2=""),"",IF(Reprogramaciones!$P$15&lt;Reprogramaciones!$T$15,0,IF(Reprogramaciones!$R$15&gt;10,MIN(100,SUM($G255:$P255)),MIN(100,SUMPRODUCT((COLUMN($G255:$P255)-COLUMN($G255)+1&lt;Reprogramaciones!$R$15)*$G255:$P255)+N(INDEX($G255:$P255,1,Reprogramaciones!$R$15))*IF(Reprogramaciones!$P$15&gt;=(Reprogramaciones!$T$15+7*(Reprogramaciones!$R$15-1))+6,1,IF(MAX(0,NETWORKDAYS.INTL(MAX(E255,(Reprogramaciones!$T$15+7*(Reprogramaciones!$R$15-1))),MIN(F255,(Reprogramaciones!$T$15+7*(Reprogramaciones!$R$15-1))+6),11))=0,0,MAX(0,NETWORKDAYS.INTL(MAX(E255,(Reprogramaciones!$T$15+7*(Reprogramaciones!$R$15-1))),MIN(F255,Reprogramaciones!$P$15),11))/MAX(0,NETWORKDAYS.INTL(MAX(E255,(Reprogramaciones!$T$15+7*(Reprogramaciones!$R$15-1))),MIN(F255,(Reprogramaciones!$T$15+7*(Reprogramaciones!$R$15-1))+6),11))))))))</f>
        <v/>
      </c>
      <c r="AI255" s="38" t="str">
        <f aca="false">IF(COUNT($Q255:$AF255)=0,"",IF(ROUND(SUM($Q255:$AF255),1)&gt;=99.5,100,MIN(100,ROUND(SUM($Q255:$AF255),1))))</f>
        <v/>
      </c>
      <c r="AJ255" s="38" t="str">
        <f aca="false">IF(OR(AH255="",AI255=""),"",AI255-AH255)</f>
        <v/>
      </c>
      <c r="AK255" s="39" t="str">
        <f aca="true">IF(AH255="","",IF(OR(Ficha!$C$10="Suspendida",Ficha!$C$10="Cancelada"),Ficha!$C$10,IF(AND(AI255&lt;&gt;"",N(AI255)&gt;=100),"Completada",IF(AND(E255&gt;TODAY(),N(AI255)=0),"Por iniciar",IF(N(AI255)+0.5&lt;AH255,"Retrasada",IF(N(AI255)+0.5&lt;DA255,IF(Reprogramaciones!$K$15&gt;0,"Al día · Sem "&amp;Reprogramaciones!$K$15&amp;" en curso","Al día · en curso"),"A tiempo"))))))</f>
        <v/>
      </c>
      <c r="AL255" s="39" t="str">
        <f aca="true">IF(AND(A255="",AND(B255="",C255="",E255="",F255="",COUNT(Q255:AF255)=0)),"",IF(AND(B255="",C255="",E255="",F255="",COUNT(Q255:AF255)=0),"Falta la partida o subpartida",IF(AND(A255&lt;&gt;"",COUNTIF($A$6:$A$305,A255)&gt;1),"Ítem repetido",IF(AND(C255="",E255="",F255="",COUNT(Q255:AF255)=0),"Título de partida",IF(OR(E255="",F255=""),"Faltan fechas",IF(OR(ISTEXT(E255),ISTEXT(F255)),"Fecha escrita como texto: usa dd/mm/aaaa",IF(F255&lt;E255,"Fin antes del inicio",IF(IF($J$2="",FALSE(),OR(E255&lt;$J$2,F255&gt;Reprogramaciones!$T$15+69)),"Fuera de las 10 semanas",IF(ABS(SUM(G255:P255)-100)&gt;0.5,"La meta no suma 100%",IF(ROUND(SUM(Q255:AF255),1)&gt;100.5,"El avance pasa de 100%",IF(MIN(Q255:AF255)&lt;0,"Avance negativo",IF(COUNTA(Q255:AF255)&gt;COUNT(Q255:AF255),"Avance escrito como texto",IF(SUMPRODUCT((Q255:AF255&gt;0)*(Q255:AF255&lt;1))&gt;0,"Avance menor a 1: escribe 50, no 50%",IF(SUMPRODUCT(ISNUMBER(Q255:AF255)*(Reprogramaciones!$K$8:$Z$8&gt;TODAY()))&gt;0,"Avance en semana que aún no llega",IF(AND(N(Reprogramaciones!$E$21)&gt;0,F255&gt;Reprogramaciones!$E$21),"Pasa el fin de la obra: registra una reprogramación",IF(AND(N(Reprogramaciones!$E$21)&gt;0,SUMPRODUCT(ISNUMBER(Q255:AF255)*(Reprogramaciones!$K$8:$Z$8&gt;Reprogramaciones!$E$21))&gt;0),"Avance después del fin de la obra: registra una reprogramación por atraso","OK"))))))))))))))))</f>
        <v/>
      </c>
      <c r="AM255" s="40" t="str">
        <f aca="false">IF(OR(OR(NOT(AND(ISNUMBER(E255),ISNUMBER(F255))),$J$2=""),1&gt;MAX(1,Reprogramaciones!$U$15)),"",IF(Reprogramaciones!K$12&gt;=7,"",IF(OR(BT255-N(0)&gt;0.05,N(Q255)&gt;0),ROUNDDOWN(ROUND(BT255,6),0)&amp;"%"&amp;IF(CJ255="",""," / "&amp;CJ255&amp;"%"),IF(AND(N(0)&gt;=99.95,CJ255&lt;&gt;"",N(CJ255)&lt;100),"Pend. "&amp;CJ255&amp;"%",""))))</f>
        <v/>
      </c>
      <c r="AN255" s="40" t="str">
        <f aca="false">IF(OR(OR(NOT(AND(ISNUMBER(E255),ISNUMBER(F255))),$J$2=""),2&gt;MAX(1,Reprogramaciones!$U$15)),"",IF(Reprogramaciones!L$12&gt;=7,"",IF(OR(BU255-N(BT255)&gt;0.05,N(R255)&gt;0),ROUNDDOWN(ROUND(BU255,6),0)&amp;"%"&amp;IF(CK255="",""," / "&amp;CK255&amp;"%"),IF(AND(N(BT255)&gt;=99.95,CK255&lt;&gt;"",N(CK255)&lt;100),"Pend. "&amp;CK255&amp;"%",""))))</f>
        <v/>
      </c>
      <c r="AO255" s="40" t="str">
        <f aca="false">IF(OR(OR(NOT(AND(ISNUMBER(E255),ISNUMBER(F255))),$J$2=""),3&gt;MAX(1,Reprogramaciones!$U$15)),"",IF(Reprogramaciones!M$12&gt;=7,"",IF(OR(BV255-N(BU255)&gt;0.05,N(S255)&gt;0),ROUNDDOWN(ROUND(BV255,6),0)&amp;"%"&amp;IF(CL255="",""," / "&amp;CL255&amp;"%"),IF(AND(N(BU255)&gt;=99.95,CL255&lt;&gt;"",N(CL255)&lt;100),"Pend. "&amp;CL255&amp;"%",""))))</f>
        <v/>
      </c>
      <c r="AP255" s="40" t="str">
        <f aca="false">IF(OR(OR(NOT(AND(ISNUMBER(E255),ISNUMBER(F255))),$J$2=""),4&gt;MAX(1,Reprogramaciones!$U$15)),"",IF(Reprogramaciones!N$12&gt;=7,"",IF(OR(BW255-N(BV255)&gt;0.05,N(T255)&gt;0),ROUNDDOWN(ROUND(BW255,6),0)&amp;"%"&amp;IF(CM255="",""," / "&amp;CM255&amp;"%"),IF(AND(N(BV255)&gt;=99.95,CM255&lt;&gt;"",N(CM255)&lt;100),"Pend. "&amp;CM255&amp;"%",""))))</f>
        <v/>
      </c>
      <c r="AQ255" s="40" t="str">
        <f aca="false">IF(OR(OR(NOT(AND(ISNUMBER(E255),ISNUMBER(F255))),$J$2=""),5&gt;MAX(1,Reprogramaciones!$U$15)),"",IF(Reprogramaciones!O$12&gt;=7,"",IF(OR(BX255-N(BW255)&gt;0.05,N(U255)&gt;0),ROUNDDOWN(ROUND(BX255,6),0)&amp;"%"&amp;IF(CN255="",""," / "&amp;CN255&amp;"%"),IF(AND(N(BW255)&gt;=99.95,CN255&lt;&gt;"",N(CN255)&lt;100),"Pend. "&amp;CN255&amp;"%",""))))</f>
        <v/>
      </c>
      <c r="AR255" s="40" t="str">
        <f aca="false">IF(OR(OR(NOT(AND(ISNUMBER(E255),ISNUMBER(F255))),$J$2=""),6&gt;MAX(1,Reprogramaciones!$U$15)),"",IF(Reprogramaciones!P$12&gt;=7,"",IF(OR(BY255-N(BX255)&gt;0.05,N(V255)&gt;0),ROUNDDOWN(ROUND(BY255,6),0)&amp;"%"&amp;IF(CO255="",""," / "&amp;CO255&amp;"%"),IF(AND(N(BX255)&gt;=99.95,CO255&lt;&gt;"",N(CO255)&lt;100),"Pend. "&amp;CO255&amp;"%",""))))</f>
        <v/>
      </c>
      <c r="AS255" s="40" t="str">
        <f aca="false">IF(OR(OR(NOT(AND(ISNUMBER(E255),ISNUMBER(F255))),$J$2=""),7&gt;MAX(1,Reprogramaciones!$U$15)),"",IF(Reprogramaciones!Q$12&gt;=7,"",IF(OR(BZ255-N(BY255)&gt;0.05,N(W255)&gt;0),ROUNDDOWN(ROUND(BZ255,6),0)&amp;"%"&amp;IF(CP255="",""," / "&amp;CP255&amp;"%"),IF(AND(N(BY255)&gt;=99.95,CP255&lt;&gt;"",N(CP255)&lt;100),"Pend. "&amp;CP255&amp;"%",""))))</f>
        <v/>
      </c>
      <c r="AT255" s="40" t="str">
        <f aca="false">IF(OR(OR(NOT(AND(ISNUMBER(E255),ISNUMBER(F255))),$J$2=""),8&gt;MAX(1,Reprogramaciones!$U$15)),"",IF(Reprogramaciones!R$12&gt;=7,"",IF(OR(CA255-N(BZ255)&gt;0.05,N(X255)&gt;0),ROUNDDOWN(ROUND(CA255,6),0)&amp;"%"&amp;IF(CQ255="",""," / "&amp;CQ255&amp;"%"),IF(AND(N(BZ255)&gt;=99.95,CQ255&lt;&gt;"",N(CQ255)&lt;100),"Pend. "&amp;CQ255&amp;"%",""))))</f>
        <v/>
      </c>
      <c r="AU255" s="40" t="str">
        <f aca="false">IF(OR(OR(NOT(AND(ISNUMBER(E255),ISNUMBER(F255))),$J$2=""),9&gt;MAX(1,Reprogramaciones!$U$15)),"",IF(Reprogramaciones!S$12&gt;=7,"",IF(OR(CB255-N(CA255)&gt;0.05,N(Y255)&gt;0),ROUNDDOWN(ROUND(CB255,6),0)&amp;"%"&amp;IF(CR255="",""," / "&amp;CR255&amp;"%"),IF(AND(N(CA255)&gt;=99.95,CR255&lt;&gt;"",N(CR255)&lt;100),"Pend. "&amp;CR255&amp;"%",""))))</f>
        <v/>
      </c>
      <c r="AV255" s="40" t="str">
        <f aca="false">IF(OR(OR(NOT(AND(ISNUMBER(E255),ISNUMBER(F255))),$J$2=""),10&gt;MAX(1,Reprogramaciones!$U$15)),"",IF(Reprogramaciones!T$12&gt;=7,"",IF(OR(CC255-N(CB255)&gt;0.05,N(Z255)&gt;0),ROUNDDOWN(ROUND(CC255,6),0)&amp;"%"&amp;IF(CS255="",""," / "&amp;CS255&amp;"%"),IF(AND(N(CB255)&gt;=99.95,CS255&lt;&gt;"",N(CS255)&lt;100),"Pend. "&amp;CS255&amp;"%",""))))</f>
        <v/>
      </c>
      <c r="AW255" s="40" t="str">
        <f aca="false">IF(OR(OR(NOT(AND(ISNUMBER(E255),ISNUMBER(F255))),$J$2=""),11&gt;MAX(1,Reprogramaciones!$U$15)),"",IF(Reprogramaciones!U$12&gt;=7,"",IF(OR(CD255-N(CC255)&gt;0.05,N(AA255)&gt;0),ROUNDDOWN(ROUND(CD255,6),0)&amp;"%"&amp;IF(CT255="",""," / "&amp;CT255&amp;"%"),IF(AND(N(CC255)&gt;=99.95,CT255&lt;&gt;"",N(CT255)&lt;100),"Pend. "&amp;CT255&amp;"%",""))))</f>
        <v/>
      </c>
      <c r="AX255" s="40" t="str">
        <f aca="false">IF(OR(OR(NOT(AND(ISNUMBER(E255),ISNUMBER(F255))),$J$2=""),12&gt;MAX(1,Reprogramaciones!$U$15)),"",IF(Reprogramaciones!V$12&gt;=7,"",IF(OR(CE255-N(CD255)&gt;0.05,N(AB255)&gt;0),ROUNDDOWN(ROUND(CE255,6),0)&amp;"%"&amp;IF(CU255="",""," / "&amp;CU255&amp;"%"),IF(AND(N(CD255)&gt;=99.95,CU255&lt;&gt;"",N(CU255)&lt;100),"Pend. "&amp;CU255&amp;"%",""))))</f>
        <v/>
      </c>
      <c r="AY255" s="40" t="str">
        <f aca="false">IF(OR(OR(NOT(AND(ISNUMBER(E255),ISNUMBER(F255))),$J$2=""),13&gt;MAX(1,Reprogramaciones!$U$15)),"",IF(Reprogramaciones!W$12&gt;=7,"",IF(OR(CF255-N(CE255)&gt;0.05,N(AC255)&gt;0),ROUNDDOWN(ROUND(CF255,6),0)&amp;"%"&amp;IF(CV255="",""," / "&amp;CV255&amp;"%"),IF(AND(N(CE255)&gt;=99.95,CV255&lt;&gt;"",N(CV255)&lt;100),"Pend. "&amp;CV255&amp;"%",""))))</f>
        <v/>
      </c>
      <c r="AZ255" s="40" t="str">
        <f aca="false">IF(OR(OR(NOT(AND(ISNUMBER(E255),ISNUMBER(F255))),$J$2=""),14&gt;MAX(1,Reprogramaciones!$U$15)),"",IF(Reprogramaciones!X$12&gt;=7,"",IF(OR(CG255-N(CF255)&gt;0.05,N(AD255)&gt;0),ROUNDDOWN(ROUND(CG255,6),0)&amp;"%"&amp;IF(CW255="",""," / "&amp;CW255&amp;"%"),IF(AND(N(CF255)&gt;=99.95,CW255&lt;&gt;"",N(CW255)&lt;100),"Pend. "&amp;CW255&amp;"%",""))))</f>
        <v/>
      </c>
      <c r="BA255" s="40" t="str">
        <f aca="false">IF(OR(OR(NOT(AND(ISNUMBER(E255),ISNUMBER(F255))),$J$2=""),15&gt;MAX(1,Reprogramaciones!$U$15)),"",IF(Reprogramaciones!Y$12&gt;=7,"",IF(OR(CH255-N(CG255)&gt;0.05,N(AE255)&gt;0),ROUNDDOWN(ROUND(CH255,6),0)&amp;"%"&amp;IF(CX255="",""," / "&amp;CX255&amp;"%"),IF(AND(N(CG255)&gt;=99.95,CX255&lt;&gt;"",N(CX255)&lt;100),"Pend. "&amp;CX255&amp;"%",""))))</f>
        <v/>
      </c>
      <c r="BB255" s="40" t="str">
        <f aca="false">IF(OR(OR(NOT(AND(ISNUMBER(E255),ISNUMBER(F255))),$J$2=""),16&gt;MAX(1,Reprogramaciones!$U$15)),"",IF(Reprogramaciones!Z$12&gt;=7,"",IF(OR(CI255-N(CH255)&gt;0.05,N(AF255)&gt;0),ROUNDDOWN(ROUND(CI255,6),0)&amp;"%"&amp;IF(CY255="",""," / "&amp;CY255&amp;"%"),IF(AND(N(CH255)&gt;=99.95,CY255&lt;&gt;"",N(CY255)&lt;100),"Pend. "&amp;CY255&amp;"%",""))))</f>
        <v/>
      </c>
      <c r="BC255" s="31" t="n">
        <f aca="false">IF(AND(ISNUMBER(E255),ISNUMBER(F255)),MAX(1,NETWORKDAYS.INTL(E255,F255,11)),0)</f>
        <v>0</v>
      </c>
      <c r="BD255" s="1" t="str">
        <f aca="false">IF(OR(NOT(AND(ISNUMBER(E255),ISNUMBER(F255))),$J$2=""),"",MIN(100,ROUND(SUM($G255:G255),1)))</f>
        <v/>
      </c>
      <c r="BE255" s="1" t="str">
        <f aca="false">IF(OR(NOT(AND(ISNUMBER(E255),ISNUMBER(F255))),$J$2=""),"",MIN(100,ROUND(SUM($G255:H255),1)))</f>
        <v/>
      </c>
      <c r="BF255" s="1" t="str">
        <f aca="false">IF(OR(NOT(AND(ISNUMBER(E255),ISNUMBER(F255))),$J$2=""),"",MIN(100,ROUND(SUM($G255:I255),1)))</f>
        <v/>
      </c>
      <c r="BG255" s="1" t="str">
        <f aca="false">IF(OR(NOT(AND(ISNUMBER(E255),ISNUMBER(F255))),$J$2=""),"",MIN(100,ROUND(SUM($G255:J255),1)))</f>
        <v/>
      </c>
      <c r="BH255" s="1" t="str">
        <f aca="false">IF(OR(NOT(AND(ISNUMBER(E255),ISNUMBER(F255))),$J$2=""),"",MIN(100,ROUND(SUM($G255:K255),1)))</f>
        <v/>
      </c>
      <c r="BI255" s="1" t="str">
        <f aca="false">IF(OR(NOT(AND(ISNUMBER(E255),ISNUMBER(F255))),$J$2=""),"",MIN(100,ROUND(SUM($G255:L255),1)))</f>
        <v/>
      </c>
      <c r="BJ255" s="1" t="str">
        <f aca="false">IF(OR(NOT(AND(ISNUMBER(E255),ISNUMBER(F255))),$J$2=""),"",MIN(100,ROUND(SUM($G255:M255),1)))</f>
        <v/>
      </c>
      <c r="BK255" s="1" t="str">
        <f aca="false">IF(OR(NOT(AND(ISNUMBER(E255),ISNUMBER(F255))),$J$2=""),"",MIN(100,ROUND(SUM($G255:N255),1)))</f>
        <v/>
      </c>
      <c r="BL255" s="1" t="str">
        <f aca="false">IF(OR(NOT(AND(ISNUMBER(E255),ISNUMBER(F255))),$J$2=""),"",MIN(100,ROUND(SUM($G255:O255),1)))</f>
        <v/>
      </c>
      <c r="BM255" s="1" t="str">
        <f aca="false">IF(OR(NOT(AND(ISNUMBER(E255),ISNUMBER(F255))),$J$2=""),"",MIN(100,ROUND(SUM($G255:P255),1)))</f>
        <v/>
      </c>
      <c r="BN255" s="1" t="str">
        <f aca="false">IF(OR(NOT(AND(ISNUMBER(E255),ISNUMBER(F255))),$J$2=""),"",MIN(100,ROUND(SUM($G255:P255),1)))</f>
        <v/>
      </c>
      <c r="BO255" s="1" t="str">
        <f aca="false">IF(OR(NOT(AND(ISNUMBER(E255),ISNUMBER(F255))),$J$2=""),"",MIN(100,ROUND(SUM($G255:P255),1)))</f>
        <v/>
      </c>
      <c r="BP255" s="1" t="str">
        <f aca="false">IF(OR(NOT(AND(ISNUMBER(E255),ISNUMBER(F255))),$J$2=""),"",MIN(100,ROUND(SUM($G255:P255),1)))</f>
        <v/>
      </c>
      <c r="BQ255" s="1" t="str">
        <f aca="false">IF(OR(NOT(AND(ISNUMBER(E255),ISNUMBER(F255))),$J$2=""),"",MIN(100,ROUND(SUM($G255:P255),1)))</f>
        <v/>
      </c>
      <c r="BR255" s="1" t="str">
        <f aca="false">IF(OR(NOT(AND(ISNUMBER(E255),ISNUMBER(F255))),$J$2=""),"",MIN(100,ROUND(SUM($G255:P255),1)))</f>
        <v/>
      </c>
      <c r="BS255" s="1" t="str">
        <f aca="false">IF(OR(NOT(AND(ISNUMBER(E255),ISNUMBER(F255))),$J$2=""),"",MIN(100,ROUND(SUM($G255:P255),1)))</f>
        <v/>
      </c>
      <c r="BT255" s="1" t="str">
        <f aca="false">IF(OR(NOT(AND(ISNUMBER(E255),ISNUMBER(F255))),$J$2=""),"",IF(Reprogramaciones!K$13&lt;Reprogramaciones!$T$15,0,IF(Reprogramaciones!K$14&gt;10,MIN(100,SUM($G255:$P255)),MIN(100,SUMPRODUCT((COLUMN($G255:$P255)-COLUMN($G255)+1&lt;Reprogramaciones!K$14)*$G255:$P255)+N(INDEX($G255:$P255,1,Reprogramaciones!K$14))*IF(Reprogramaciones!K$13&gt;=(Reprogramaciones!$T$15+7*(Reprogramaciones!K$14-1))+6,1,IF(MAX(0,NETWORKDAYS.INTL(MAX(E255,(Reprogramaciones!$T$15+7*(Reprogramaciones!K$14-1))),MIN(F255,(Reprogramaciones!$T$15+7*(Reprogramaciones!K$14-1))+6),11))=0,0,MAX(0,NETWORKDAYS.INTL(MAX(E255,(Reprogramaciones!$T$15+7*(Reprogramaciones!K$14-1))),MIN(F255,Reprogramaciones!K$13),11))/MAX(0,NETWORKDAYS.INTL(MAX(E255,(Reprogramaciones!$T$15+7*(Reprogramaciones!K$14-1))),MIN(F255,(Reprogramaciones!$T$15+7*(Reprogramaciones!K$14-1))+6),11))))))))</f>
        <v/>
      </c>
      <c r="BU255" s="1" t="str">
        <f aca="false">IF(OR(NOT(AND(ISNUMBER(E255),ISNUMBER(F255))),$J$2=""),"",IF(Reprogramaciones!L$13&lt;Reprogramaciones!$T$15,0,IF(Reprogramaciones!L$14&gt;10,MIN(100,SUM($G255:$P255)),MIN(100,SUMPRODUCT((COLUMN($G255:$P255)-COLUMN($G255)+1&lt;Reprogramaciones!L$14)*$G255:$P255)+N(INDEX($G255:$P255,1,Reprogramaciones!L$14))*IF(Reprogramaciones!L$13&gt;=(Reprogramaciones!$T$15+7*(Reprogramaciones!L$14-1))+6,1,IF(MAX(0,NETWORKDAYS.INTL(MAX(E255,(Reprogramaciones!$T$15+7*(Reprogramaciones!L$14-1))),MIN(F255,(Reprogramaciones!$T$15+7*(Reprogramaciones!L$14-1))+6),11))=0,0,MAX(0,NETWORKDAYS.INTL(MAX(E255,(Reprogramaciones!$T$15+7*(Reprogramaciones!L$14-1))),MIN(F255,Reprogramaciones!L$13),11))/MAX(0,NETWORKDAYS.INTL(MAX(E255,(Reprogramaciones!$T$15+7*(Reprogramaciones!L$14-1))),MIN(F255,(Reprogramaciones!$T$15+7*(Reprogramaciones!L$14-1))+6),11))))))))</f>
        <v/>
      </c>
      <c r="BV255" s="1" t="str">
        <f aca="false">IF(OR(NOT(AND(ISNUMBER(E255),ISNUMBER(F255))),$J$2=""),"",IF(Reprogramaciones!M$13&lt;Reprogramaciones!$T$15,0,IF(Reprogramaciones!M$14&gt;10,MIN(100,SUM($G255:$P255)),MIN(100,SUMPRODUCT((COLUMN($G255:$P255)-COLUMN($G255)+1&lt;Reprogramaciones!M$14)*$G255:$P255)+N(INDEX($G255:$P255,1,Reprogramaciones!M$14))*IF(Reprogramaciones!M$13&gt;=(Reprogramaciones!$T$15+7*(Reprogramaciones!M$14-1))+6,1,IF(MAX(0,NETWORKDAYS.INTL(MAX(E255,(Reprogramaciones!$T$15+7*(Reprogramaciones!M$14-1))),MIN(F255,(Reprogramaciones!$T$15+7*(Reprogramaciones!M$14-1))+6),11))=0,0,MAX(0,NETWORKDAYS.INTL(MAX(E255,(Reprogramaciones!$T$15+7*(Reprogramaciones!M$14-1))),MIN(F255,Reprogramaciones!M$13),11))/MAX(0,NETWORKDAYS.INTL(MAX(E255,(Reprogramaciones!$T$15+7*(Reprogramaciones!M$14-1))),MIN(F255,(Reprogramaciones!$T$15+7*(Reprogramaciones!M$14-1))+6),11))))))))</f>
        <v/>
      </c>
      <c r="BW255" s="1" t="str">
        <f aca="false">IF(OR(NOT(AND(ISNUMBER(E255),ISNUMBER(F255))),$J$2=""),"",IF(Reprogramaciones!N$13&lt;Reprogramaciones!$T$15,0,IF(Reprogramaciones!N$14&gt;10,MIN(100,SUM($G255:$P255)),MIN(100,SUMPRODUCT((COLUMN($G255:$P255)-COLUMN($G255)+1&lt;Reprogramaciones!N$14)*$G255:$P255)+N(INDEX($G255:$P255,1,Reprogramaciones!N$14))*IF(Reprogramaciones!N$13&gt;=(Reprogramaciones!$T$15+7*(Reprogramaciones!N$14-1))+6,1,IF(MAX(0,NETWORKDAYS.INTL(MAX(E255,(Reprogramaciones!$T$15+7*(Reprogramaciones!N$14-1))),MIN(F255,(Reprogramaciones!$T$15+7*(Reprogramaciones!N$14-1))+6),11))=0,0,MAX(0,NETWORKDAYS.INTL(MAX(E255,(Reprogramaciones!$T$15+7*(Reprogramaciones!N$14-1))),MIN(F255,Reprogramaciones!N$13),11))/MAX(0,NETWORKDAYS.INTL(MAX(E255,(Reprogramaciones!$T$15+7*(Reprogramaciones!N$14-1))),MIN(F255,(Reprogramaciones!$T$15+7*(Reprogramaciones!N$14-1))+6),11))))))))</f>
        <v/>
      </c>
      <c r="BX255" s="1" t="str">
        <f aca="false">IF(OR(NOT(AND(ISNUMBER(E255),ISNUMBER(F255))),$J$2=""),"",IF(Reprogramaciones!O$13&lt;Reprogramaciones!$T$15,0,IF(Reprogramaciones!O$14&gt;10,MIN(100,SUM($G255:$P255)),MIN(100,SUMPRODUCT((COLUMN($G255:$P255)-COLUMN($G255)+1&lt;Reprogramaciones!O$14)*$G255:$P255)+N(INDEX($G255:$P255,1,Reprogramaciones!O$14))*IF(Reprogramaciones!O$13&gt;=(Reprogramaciones!$T$15+7*(Reprogramaciones!O$14-1))+6,1,IF(MAX(0,NETWORKDAYS.INTL(MAX(E255,(Reprogramaciones!$T$15+7*(Reprogramaciones!O$14-1))),MIN(F255,(Reprogramaciones!$T$15+7*(Reprogramaciones!O$14-1))+6),11))=0,0,MAX(0,NETWORKDAYS.INTL(MAX(E255,(Reprogramaciones!$T$15+7*(Reprogramaciones!O$14-1))),MIN(F255,Reprogramaciones!O$13),11))/MAX(0,NETWORKDAYS.INTL(MAX(E255,(Reprogramaciones!$T$15+7*(Reprogramaciones!O$14-1))),MIN(F255,(Reprogramaciones!$T$15+7*(Reprogramaciones!O$14-1))+6),11))))))))</f>
        <v/>
      </c>
      <c r="BY255" s="1" t="str">
        <f aca="false">IF(OR(NOT(AND(ISNUMBER(E255),ISNUMBER(F255))),$J$2=""),"",IF(Reprogramaciones!P$13&lt;Reprogramaciones!$T$15,0,IF(Reprogramaciones!P$14&gt;10,MIN(100,SUM($G255:$P255)),MIN(100,SUMPRODUCT((COLUMN($G255:$P255)-COLUMN($G255)+1&lt;Reprogramaciones!P$14)*$G255:$P255)+N(INDEX($G255:$P255,1,Reprogramaciones!P$14))*IF(Reprogramaciones!P$13&gt;=(Reprogramaciones!$T$15+7*(Reprogramaciones!P$14-1))+6,1,IF(MAX(0,NETWORKDAYS.INTL(MAX(E255,(Reprogramaciones!$T$15+7*(Reprogramaciones!P$14-1))),MIN(F255,(Reprogramaciones!$T$15+7*(Reprogramaciones!P$14-1))+6),11))=0,0,MAX(0,NETWORKDAYS.INTL(MAX(E255,(Reprogramaciones!$T$15+7*(Reprogramaciones!P$14-1))),MIN(F255,Reprogramaciones!P$13),11))/MAX(0,NETWORKDAYS.INTL(MAX(E255,(Reprogramaciones!$T$15+7*(Reprogramaciones!P$14-1))),MIN(F255,(Reprogramaciones!$T$15+7*(Reprogramaciones!P$14-1))+6),11))))))))</f>
        <v/>
      </c>
      <c r="BZ255" s="1" t="str">
        <f aca="false">IF(OR(NOT(AND(ISNUMBER(E255),ISNUMBER(F255))),$J$2=""),"",IF(Reprogramaciones!Q$13&lt;Reprogramaciones!$T$15,0,IF(Reprogramaciones!Q$14&gt;10,MIN(100,SUM($G255:$P255)),MIN(100,SUMPRODUCT((COLUMN($G255:$P255)-COLUMN($G255)+1&lt;Reprogramaciones!Q$14)*$G255:$P255)+N(INDEX($G255:$P255,1,Reprogramaciones!Q$14))*IF(Reprogramaciones!Q$13&gt;=(Reprogramaciones!$T$15+7*(Reprogramaciones!Q$14-1))+6,1,IF(MAX(0,NETWORKDAYS.INTL(MAX(E255,(Reprogramaciones!$T$15+7*(Reprogramaciones!Q$14-1))),MIN(F255,(Reprogramaciones!$T$15+7*(Reprogramaciones!Q$14-1))+6),11))=0,0,MAX(0,NETWORKDAYS.INTL(MAX(E255,(Reprogramaciones!$T$15+7*(Reprogramaciones!Q$14-1))),MIN(F255,Reprogramaciones!Q$13),11))/MAX(0,NETWORKDAYS.INTL(MAX(E255,(Reprogramaciones!$T$15+7*(Reprogramaciones!Q$14-1))),MIN(F255,(Reprogramaciones!$T$15+7*(Reprogramaciones!Q$14-1))+6),11))))))))</f>
        <v/>
      </c>
      <c r="CA255" s="1" t="str">
        <f aca="false">IF(OR(NOT(AND(ISNUMBER(E255),ISNUMBER(F255))),$J$2=""),"",IF(Reprogramaciones!R$13&lt;Reprogramaciones!$T$15,0,IF(Reprogramaciones!R$14&gt;10,MIN(100,SUM($G255:$P255)),MIN(100,SUMPRODUCT((COLUMN($G255:$P255)-COLUMN($G255)+1&lt;Reprogramaciones!R$14)*$G255:$P255)+N(INDEX($G255:$P255,1,Reprogramaciones!R$14))*IF(Reprogramaciones!R$13&gt;=(Reprogramaciones!$T$15+7*(Reprogramaciones!R$14-1))+6,1,IF(MAX(0,NETWORKDAYS.INTL(MAX(E255,(Reprogramaciones!$T$15+7*(Reprogramaciones!R$14-1))),MIN(F255,(Reprogramaciones!$T$15+7*(Reprogramaciones!R$14-1))+6),11))=0,0,MAX(0,NETWORKDAYS.INTL(MAX(E255,(Reprogramaciones!$T$15+7*(Reprogramaciones!R$14-1))),MIN(F255,Reprogramaciones!R$13),11))/MAX(0,NETWORKDAYS.INTL(MAX(E255,(Reprogramaciones!$T$15+7*(Reprogramaciones!R$14-1))),MIN(F255,(Reprogramaciones!$T$15+7*(Reprogramaciones!R$14-1))+6),11))))))))</f>
        <v/>
      </c>
      <c r="CB255" s="1" t="str">
        <f aca="false">IF(OR(NOT(AND(ISNUMBER(E255),ISNUMBER(F255))),$J$2=""),"",IF(Reprogramaciones!S$13&lt;Reprogramaciones!$T$15,0,IF(Reprogramaciones!S$14&gt;10,MIN(100,SUM($G255:$P255)),MIN(100,SUMPRODUCT((COLUMN($G255:$P255)-COLUMN($G255)+1&lt;Reprogramaciones!S$14)*$G255:$P255)+N(INDEX($G255:$P255,1,Reprogramaciones!S$14))*IF(Reprogramaciones!S$13&gt;=(Reprogramaciones!$T$15+7*(Reprogramaciones!S$14-1))+6,1,IF(MAX(0,NETWORKDAYS.INTL(MAX(E255,(Reprogramaciones!$T$15+7*(Reprogramaciones!S$14-1))),MIN(F255,(Reprogramaciones!$T$15+7*(Reprogramaciones!S$14-1))+6),11))=0,0,MAX(0,NETWORKDAYS.INTL(MAX(E255,(Reprogramaciones!$T$15+7*(Reprogramaciones!S$14-1))),MIN(F255,Reprogramaciones!S$13),11))/MAX(0,NETWORKDAYS.INTL(MAX(E255,(Reprogramaciones!$T$15+7*(Reprogramaciones!S$14-1))),MIN(F255,(Reprogramaciones!$T$15+7*(Reprogramaciones!S$14-1))+6),11))))))))</f>
        <v/>
      </c>
      <c r="CC255" s="1" t="str">
        <f aca="false">IF(OR(NOT(AND(ISNUMBER(E255),ISNUMBER(F255))),$J$2=""),"",IF(Reprogramaciones!T$13&lt;Reprogramaciones!$T$15,0,IF(Reprogramaciones!T$14&gt;10,MIN(100,SUM($G255:$P255)),MIN(100,SUMPRODUCT((COLUMN($G255:$P255)-COLUMN($G255)+1&lt;Reprogramaciones!T$14)*$G255:$P255)+N(INDEX($G255:$P255,1,Reprogramaciones!T$14))*IF(Reprogramaciones!T$13&gt;=(Reprogramaciones!$T$15+7*(Reprogramaciones!T$14-1))+6,1,IF(MAX(0,NETWORKDAYS.INTL(MAX(E255,(Reprogramaciones!$T$15+7*(Reprogramaciones!T$14-1))),MIN(F255,(Reprogramaciones!$T$15+7*(Reprogramaciones!T$14-1))+6),11))=0,0,MAX(0,NETWORKDAYS.INTL(MAX(E255,(Reprogramaciones!$T$15+7*(Reprogramaciones!T$14-1))),MIN(F255,Reprogramaciones!T$13),11))/MAX(0,NETWORKDAYS.INTL(MAX(E255,(Reprogramaciones!$T$15+7*(Reprogramaciones!T$14-1))),MIN(F255,(Reprogramaciones!$T$15+7*(Reprogramaciones!T$14-1))+6),11))))))))</f>
        <v/>
      </c>
      <c r="CD255" s="1" t="str">
        <f aca="false">IF(OR(NOT(AND(ISNUMBER(E255),ISNUMBER(F255))),$J$2=""),"",IF(Reprogramaciones!U$13&lt;Reprogramaciones!$T$15,0,IF(Reprogramaciones!U$14&gt;10,MIN(100,SUM($G255:$P255)),MIN(100,SUMPRODUCT((COLUMN($G255:$P255)-COLUMN($G255)+1&lt;Reprogramaciones!U$14)*$G255:$P255)+N(INDEX($G255:$P255,1,Reprogramaciones!U$14))*IF(Reprogramaciones!U$13&gt;=(Reprogramaciones!$T$15+7*(Reprogramaciones!U$14-1))+6,1,IF(MAX(0,NETWORKDAYS.INTL(MAX(E255,(Reprogramaciones!$T$15+7*(Reprogramaciones!U$14-1))),MIN(F255,(Reprogramaciones!$T$15+7*(Reprogramaciones!U$14-1))+6),11))=0,0,MAX(0,NETWORKDAYS.INTL(MAX(E255,(Reprogramaciones!$T$15+7*(Reprogramaciones!U$14-1))),MIN(F255,Reprogramaciones!U$13),11))/MAX(0,NETWORKDAYS.INTL(MAX(E255,(Reprogramaciones!$T$15+7*(Reprogramaciones!U$14-1))),MIN(F255,(Reprogramaciones!$T$15+7*(Reprogramaciones!U$14-1))+6),11))))))))</f>
        <v/>
      </c>
      <c r="CE255" s="1" t="str">
        <f aca="false">IF(OR(NOT(AND(ISNUMBER(E255),ISNUMBER(F255))),$J$2=""),"",IF(Reprogramaciones!V$13&lt;Reprogramaciones!$T$15,0,IF(Reprogramaciones!V$14&gt;10,MIN(100,SUM($G255:$P255)),MIN(100,SUMPRODUCT((COLUMN($G255:$P255)-COLUMN($G255)+1&lt;Reprogramaciones!V$14)*$G255:$P255)+N(INDEX($G255:$P255,1,Reprogramaciones!V$14))*IF(Reprogramaciones!V$13&gt;=(Reprogramaciones!$T$15+7*(Reprogramaciones!V$14-1))+6,1,IF(MAX(0,NETWORKDAYS.INTL(MAX(E255,(Reprogramaciones!$T$15+7*(Reprogramaciones!V$14-1))),MIN(F255,(Reprogramaciones!$T$15+7*(Reprogramaciones!V$14-1))+6),11))=0,0,MAX(0,NETWORKDAYS.INTL(MAX(E255,(Reprogramaciones!$T$15+7*(Reprogramaciones!V$14-1))),MIN(F255,Reprogramaciones!V$13),11))/MAX(0,NETWORKDAYS.INTL(MAX(E255,(Reprogramaciones!$T$15+7*(Reprogramaciones!V$14-1))),MIN(F255,(Reprogramaciones!$T$15+7*(Reprogramaciones!V$14-1))+6),11))))))))</f>
        <v/>
      </c>
      <c r="CF255" s="1" t="str">
        <f aca="false">IF(OR(NOT(AND(ISNUMBER(E255),ISNUMBER(F255))),$J$2=""),"",IF(Reprogramaciones!W$13&lt;Reprogramaciones!$T$15,0,IF(Reprogramaciones!W$14&gt;10,MIN(100,SUM($G255:$P255)),MIN(100,SUMPRODUCT((COLUMN($G255:$P255)-COLUMN($G255)+1&lt;Reprogramaciones!W$14)*$G255:$P255)+N(INDEX($G255:$P255,1,Reprogramaciones!W$14))*IF(Reprogramaciones!W$13&gt;=(Reprogramaciones!$T$15+7*(Reprogramaciones!W$14-1))+6,1,IF(MAX(0,NETWORKDAYS.INTL(MAX(E255,(Reprogramaciones!$T$15+7*(Reprogramaciones!W$14-1))),MIN(F255,(Reprogramaciones!$T$15+7*(Reprogramaciones!W$14-1))+6),11))=0,0,MAX(0,NETWORKDAYS.INTL(MAX(E255,(Reprogramaciones!$T$15+7*(Reprogramaciones!W$14-1))),MIN(F255,Reprogramaciones!W$13),11))/MAX(0,NETWORKDAYS.INTL(MAX(E255,(Reprogramaciones!$T$15+7*(Reprogramaciones!W$14-1))),MIN(F255,(Reprogramaciones!$T$15+7*(Reprogramaciones!W$14-1))+6),11))))))))</f>
        <v/>
      </c>
      <c r="CG255" s="1" t="str">
        <f aca="false">IF(OR(NOT(AND(ISNUMBER(E255),ISNUMBER(F255))),$J$2=""),"",IF(Reprogramaciones!X$13&lt;Reprogramaciones!$T$15,0,IF(Reprogramaciones!X$14&gt;10,MIN(100,SUM($G255:$P255)),MIN(100,SUMPRODUCT((COLUMN($G255:$P255)-COLUMN($G255)+1&lt;Reprogramaciones!X$14)*$G255:$P255)+N(INDEX($G255:$P255,1,Reprogramaciones!X$14))*IF(Reprogramaciones!X$13&gt;=(Reprogramaciones!$T$15+7*(Reprogramaciones!X$14-1))+6,1,IF(MAX(0,NETWORKDAYS.INTL(MAX(E255,(Reprogramaciones!$T$15+7*(Reprogramaciones!X$14-1))),MIN(F255,(Reprogramaciones!$T$15+7*(Reprogramaciones!X$14-1))+6),11))=0,0,MAX(0,NETWORKDAYS.INTL(MAX(E255,(Reprogramaciones!$T$15+7*(Reprogramaciones!X$14-1))),MIN(F255,Reprogramaciones!X$13),11))/MAX(0,NETWORKDAYS.INTL(MAX(E255,(Reprogramaciones!$T$15+7*(Reprogramaciones!X$14-1))),MIN(F255,(Reprogramaciones!$T$15+7*(Reprogramaciones!X$14-1))+6),11))))))))</f>
        <v/>
      </c>
      <c r="CH255" s="1" t="str">
        <f aca="false">IF(OR(NOT(AND(ISNUMBER(E255),ISNUMBER(F255))),$J$2=""),"",IF(Reprogramaciones!Y$13&lt;Reprogramaciones!$T$15,0,IF(Reprogramaciones!Y$14&gt;10,MIN(100,SUM($G255:$P255)),MIN(100,SUMPRODUCT((COLUMN($G255:$P255)-COLUMN($G255)+1&lt;Reprogramaciones!Y$14)*$G255:$P255)+N(INDEX($G255:$P255,1,Reprogramaciones!Y$14))*IF(Reprogramaciones!Y$13&gt;=(Reprogramaciones!$T$15+7*(Reprogramaciones!Y$14-1))+6,1,IF(MAX(0,NETWORKDAYS.INTL(MAX(E255,(Reprogramaciones!$T$15+7*(Reprogramaciones!Y$14-1))),MIN(F255,(Reprogramaciones!$T$15+7*(Reprogramaciones!Y$14-1))+6),11))=0,0,MAX(0,NETWORKDAYS.INTL(MAX(E255,(Reprogramaciones!$T$15+7*(Reprogramaciones!Y$14-1))),MIN(F255,Reprogramaciones!Y$13),11))/MAX(0,NETWORKDAYS.INTL(MAX(E255,(Reprogramaciones!$T$15+7*(Reprogramaciones!Y$14-1))),MIN(F255,(Reprogramaciones!$T$15+7*(Reprogramaciones!Y$14-1))+6),11))))))))</f>
        <v/>
      </c>
      <c r="CI255" s="1" t="str">
        <f aca="false">IF(OR(NOT(AND(ISNUMBER(E255),ISNUMBER(F255))),$J$2=""),"",IF(Reprogramaciones!Z$13&lt;Reprogramaciones!$T$15,0,IF(Reprogramaciones!Z$14&gt;10,MIN(100,SUM($G255:$P255)),MIN(100,SUMPRODUCT((COLUMN($G255:$P255)-COLUMN($G255)+1&lt;Reprogramaciones!Z$14)*$G255:$P255)+N(INDEX($G255:$P255,1,Reprogramaciones!Z$14))*IF(Reprogramaciones!Z$13&gt;=(Reprogramaciones!$T$15+7*(Reprogramaciones!Z$14-1))+6,1,IF(MAX(0,NETWORKDAYS.INTL(MAX(E255,(Reprogramaciones!$T$15+7*(Reprogramaciones!Z$14-1))),MIN(F255,(Reprogramaciones!$T$15+7*(Reprogramaciones!Z$14-1))+6),11))=0,0,MAX(0,NETWORKDAYS.INTL(MAX(E255,(Reprogramaciones!$T$15+7*(Reprogramaciones!Z$14-1))),MIN(F255,Reprogramaciones!Z$13),11))/MAX(0,NETWORKDAYS.INTL(MAX(E255,(Reprogramaciones!$T$15+7*(Reprogramaciones!Z$14-1))),MIN(F255,(Reprogramaciones!$T$15+7*(Reprogramaciones!Z$14-1))+6),11))))))))</f>
        <v/>
      </c>
      <c r="CJ255" s="1" t="str">
        <f aca="false">IF(OR(OR(NOT(AND(ISNUMBER(E255),ISNUMBER(F255))),$J$2=""),1&gt;Reprogramaciones!$K$16),"",IF(ROUND(SUM($Q255:Q255),1)&gt;=99.5,100,MIN(100,ROUND(SUM($Q255:Q255),1))))</f>
        <v/>
      </c>
      <c r="CK255" s="1" t="str">
        <f aca="false">IF(OR(OR(NOT(AND(ISNUMBER(E255),ISNUMBER(F255))),$J$2=""),2&gt;Reprogramaciones!$K$16),"",IF(ROUND(SUM($Q255:R255),1)&gt;=99.5,100,MIN(100,ROUND(SUM($Q255:R255),1))))</f>
        <v/>
      </c>
      <c r="CL255" s="1" t="str">
        <f aca="false">IF(OR(OR(NOT(AND(ISNUMBER(E255),ISNUMBER(F255))),$J$2=""),3&gt;Reprogramaciones!$K$16),"",IF(ROUND(SUM($Q255:S255),1)&gt;=99.5,100,MIN(100,ROUND(SUM($Q255:S255),1))))</f>
        <v/>
      </c>
      <c r="CM255" s="1" t="str">
        <f aca="false">IF(OR(OR(NOT(AND(ISNUMBER(E255),ISNUMBER(F255))),$J$2=""),4&gt;Reprogramaciones!$K$16),"",IF(ROUND(SUM($Q255:T255),1)&gt;=99.5,100,MIN(100,ROUND(SUM($Q255:T255),1))))</f>
        <v/>
      </c>
      <c r="CN255" s="1" t="str">
        <f aca="false">IF(OR(OR(NOT(AND(ISNUMBER(E255),ISNUMBER(F255))),$J$2=""),5&gt;Reprogramaciones!$K$16),"",IF(ROUND(SUM($Q255:U255),1)&gt;=99.5,100,MIN(100,ROUND(SUM($Q255:U255),1))))</f>
        <v/>
      </c>
      <c r="CO255" s="1" t="str">
        <f aca="false">IF(OR(OR(NOT(AND(ISNUMBER(E255),ISNUMBER(F255))),$J$2=""),6&gt;Reprogramaciones!$K$16),"",IF(ROUND(SUM($Q255:V255),1)&gt;=99.5,100,MIN(100,ROUND(SUM($Q255:V255),1))))</f>
        <v/>
      </c>
      <c r="CP255" s="1" t="str">
        <f aca="false">IF(OR(OR(NOT(AND(ISNUMBER(E255),ISNUMBER(F255))),$J$2=""),7&gt;Reprogramaciones!$K$16),"",IF(ROUND(SUM($Q255:W255),1)&gt;=99.5,100,MIN(100,ROUND(SUM($Q255:W255),1))))</f>
        <v/>
      </c>
      <c r="CQ255" s="1" t="str">
        <f aca="false">IF(OR(OR(NOT(AND(ISNUMBER(E255),ISNUMBER(F255))),$J$2=""),8&gt;Reprogramaciones!$K$16),"",IF(ROUND(SUM($Q255:X255),1)&gt;=99.5,100,MIN(100,ROUND(SUM($Q255:X255),1))))</f>
        <v/>
      </c>
      <c r="CR255" s="1" t="str">
        <f aca="false">IF(OR(OR(NOT(AND(ISNUMBER(E255),ISNUMBER(F255))),$J$2=""),9&gt;Reprogramaciones!$K$16),"",IF(ROUND(SUM($Q255:Y255),1)&gt;=99.5,100,MIN(100,ROUND(SUM($Q255:Y255),1))))</f>
        <v/>
      </c>
      <c r="CS255" s="1" t="str">
        <f aca="false">IF(OR(OR(NOT(AND(ISNUMBER(E255),ISNUMBER(F255))),$J$2=""),10&gt;Reprogramaciones!$K$16),"",IF(ROUND(SUM($Q255:Z255),1)&gt;=99.5,100,MIN(100,ROUND(SUM($Q255:Z255),1))))</f>
        <v/>
      </c>
      <c r="CT255" s="1" t="str">
        <f aca="false">IF(OR(OR(NOT(AND(ISNUMBER(E255),ISNUMBER(F255))),$J$2=""),11&gt;Reprogramaciones!$K$16),"",IF(ROUND(SUM($Q255:AA255),1)&gt;=99.5,100,MIN(100,ROUND(SUM($Q255:AA255),1))))</f>
        <v/>
      </c>
      <c r="CU255" s="1" t="str">
        <f aca="false">IF(OR(OR(NOT(AND(ISNUMBER(E255),ISNUMBER(F255))),$J$2=""),12&gt;Reprogramaciones!$K$16),"",IF(ROUND(SUM($Q255:AB255),1)&gt;=99.5,100,MIN(100,ROUND(SUM($Q255:AB255),1))))</f>
        <v/>
      </c>
      <c r="CV255" s="1" t="str">
        <f aca="false">IF(OR(OR(NOT(AND(ISNUMBER(E255),ISNUMBER(F255))),$J$2=""),13&gt;Reprogramaciones!$K$16),"",IF(ROUND(SUM($Q255:AC255),1)&gt;=99.5,100,MIN(100,ROUND(SUM($Q255:AC255),1))))</f>
        <v/>
      </c>
      <c r="CW255" s="1" t="str">
        <f aca="false">IF(OR(OR(NOT(AND(ISNUMBER(E255),ISNUMBER(F255))),$J$2=""),14&gt;Reprogramaciones!$K$16),"",IF(ROUND(SUM($Q255:AD255),1)&gt;=99.5,100,MIN(100,ROUND(SUM($Q255:AD255),1))))</f>
        <v/>
      </c>
      <c r="CX255" s="1" t="str">
        <f aca="false">IF(OR(OR(NOT(AND(ISNUMBER(E255),ISNUMBER(F255))),$J$2=""),15&gt;Reprogramaciones!$K$16),"",IF(ROUND(SUM($Q255:AE255),1)&gt;=99.5,100,MIN(100,ROUND(SUM($Q255:AE255),1))))</f>
        <v/>
      </c>
      <c r="CY255" s="1" t="str">
        <f aca="false">IF(OR(OR(NOT(AND(ISNUMBER(E255),ISNUMBER(F255))),$J$2=""),16&gt;Reprogramaciones!$K$16),"",IF(ROUND(SUM($Q255:AF255),1)&gt;=99.5,100,MIN(100,ROUND(SUM($Q255:AF255),1))))</f>
        <v/>
      </c>
      <c r="CZ255" s="1" t="str">
        <f aca="false">IF(D255&lt;&gt;"",D255,IF(B255&lt;&gt;"","Contractual",CZ254))</f>
        <v>Contractual</v>
      </c>
      <c r="DA255" s="1" t="str">
        <f aca="false">IF(OR(NOT(AND(ISNUMBER(E255),ISNUMBER(F255))),$J$2=""),"",IF(Reprogramaciones!$Q$15&lt;Reprogramaciones!$T$15,0,IF(Reprogramaciones!$S$15&gt;10,MIN(100,SUM($G255:$P255)),MIN(100,SUMPRODUCT((COLUMN($G255:$P255)-COLUMN($G255)+1&lt;Reprogramaciones!$S$15)*$G255:$P255)+N(INDEX($G255:$P255,1,Reprogramaciones!$S$15))*IF(Reprogramaciones!$Q$15&gt;=(Reprogramaciones!$T$15+7*(Reprogramaciones!$S$15-1))+6,1,IF(MAX(0,NETWORKDAYS.INTL(MAX(E255,(Reprogramaciones!$T$15+7*(Reprogramaciones!$S$15-1))),MIN(F255,(Reprogramaciones!$T$15+7*(Reprogramaciones!$S$15-1))+6),11))=0,0,MAX(0,NETWORKDAYS.INTL(MAX(E255,(Reprogramaciones!$T$15+7*(Reprogramaciones!$S$15-1))),MIN(F255,Reprogramaciones!$Q$15),11))/MAX(0,NETWORKDAYS.INTL(MAX(E255,(Reprogramaciones!$T$15+7*(Reprogramaciones!$S$15-1))),MIN(F255,(Reprogramaciones!$T$15+7*(Reprogramaciones!$S$15-1))+6),11))))))))</f>
        <v/>
      </c>
    </row>
    <row r="256" customFormat="false" ht="15" hidden="false" customHeight="false" outlineLevel="0" collapsed="false">
      <c r="A256" s="32"/>
      <c r="B256" s="33"/>
      <c r="C256" s="33"/>
      <c r="D256" s="34"/>
      <c r="E256" s="35"/>
      <c r="F256" s="35"/>
      <c r="G256" s="36" t="str">
        <f aca="false">IF(OR(NOT(AND(ISNUMBER(E256),ISNUMBER(F256))),$J$2=""),"",IF(Reprogramaciones!K$9&lt;E256,0,IF(NETWORKDAYS.INTL(E256,F256,11)=0,IF(Reprogramaciones!K$9&gt;=F256,100,0),ROUND(NETWORKDAYS.INTL(E256,MIN(F256,Reprogramaciones!K$9),11)/NETWORKDAYS.INTL(E256,F256,11)*100,1)))-0)</f>
        <v/>
      </c>
      <c r="H256" s="36" t="str">
        <f aca="false">IF(OR(NOT(AND(ISNUMBER(E256),ISNUMBER(F256))),$J$2=""),"",IF(Reprogramaciones!L$9&lt;E256,0,IF(NETWORKDAYS.INTL(E256,F256,11)=0,IF(Reprogramaciones!L$9&gt;=F256,100,0),ROUND(NETWORKDAYS.INTL(E256,MIN(F256,Reprogramaciones!L$9),11)/NETWORKDAYS.INTL(E256,F256,11)*100,1)))-IF(Reprogramaciones!K$9&lt;E256,0,IF(NETWORKDAYS.INTL(E256,F256,11)=0,IF(Reprogramaciones!K$9&gt;=F256,100,0),ROUND(NETWORKDAYS.INTL(E256,MIN(F256,Reprogramaciones!K$9),11)/NETWORKDAYS.INTL(E256,F256,11)*100,1))))</f>
        <v/>
      </c>
      <c r="I256" s="36" t="str">
        <f aca="false">IF(OR(NOT(AND(ISNUMBER(E256),ISNUMBER(F256))),$J$2=""),"",IF(Reprogramaciones!M$9&lt;E256,0,IF(NETWORKDAYS.INTL(E256,F256,11)=0,IF(Reprogramaciones!M$9&gt;=F256,100,0),ROUND(NETWORKDAYS.INTL(E256,MIN(F256,Reprogramaciones!M$9),11)/NETWORKDAYS.INTL(E256,F256,11)*100,1)))-IF(Reprogramaciones!L$9&lt;E256,0,IF(NETWORKDAYS.INTL(E256,F256,11)=0,IF(Reprogramaciones!L$9&gt;=F256,100,0),ROUND(NETWORKDAYS.INTL(E256,MIN(F256,Reprogramaciones!L$9),11)/NETWORKDAYS.INTL(E256,F256,11)*100,1))))</f>
        <v/>
      </c>
      <c r="J256" s="36" t="str">
        <f aca="false">IF(OR(NOT(AND(ISNUMBER(E256),ISNUMBER(F256))),$J$2=""),"",IF(Reprogramaciones!N$9&lt;E256,0,IF(NETWORKDAYS.INTL(E256,F256,11)=0,IF(Reprogramaciones!N$9&gt;=F256,100,0),ROUND(NETWORKDAYS.INTL(E256,MIN(F256,Reprogramaciones!N$9),11)/NETWORKDAYS.INTL(E256,F256,11)*100,1)))-IF(Reprogramaciones!M$9&lt;E256,0,IF(NETWORKDAYS.INTL(E256,F256,11)=0,IF(Reprogramaciones!M$9&gt;=F256,100,0),ROUND(NETWORKDAYS.INTL(E256,MIN(F256,Reprogramaciones!M$9),11)/NETWORKDAYS.INTL(E256,F256,11)*100,1))))</f>
        <v/>
      </c>
      <c r="K256" s="36" t="str">
        <f aca="false">IF(OR(NOT(AND(ISNUMBER(E256),ISNUMBER(F256))),$J$2=""),"",IF(Reprogramaciones!O$9&lt;E256,0,IF(NETWORKDAYS.INTL(E256,F256,11)=0,IF(Reprogramaciones!O$9&gt;=F256,100,0),ROUND(NETWORKDAYS.INTL(E256,MIN(F256,Reprogramaciones!O$9),11)/NETWORKDAYS.INTL(E256,F256,11)*100,1)))-IF(Reprogramaciones!N$9&lt;E256,0,IF(NETWORKDAYS.INTL(E256,F256,11)=0,IF(Reprogramaciones!N$9&gt;=F256,100,0),ROUND(NETWORKDAYS.INTL(E256,MIN(F256,Reprogramaciones!N$9),11)/NETWORKDAYS.INTL(E256,F256,11)*100,1))))</f>
        <v/>
      </c>
      <c r="L256" s="36" t="str">
        <f aca="false">IF(OR(NOT(AND(ISNUMBER(E256),ISNUMBER(F256))),$J$2=""),"",IF(Reprogramaciones!P$9&lt;E256,0,IF(NETWORKDAYS.INTL(E256,F256,11)=0,IF(Reprogramaciones!P$9&gt;=F256,100,0),ROUND(NETWORKDAYS.INTL(E256,MIN(F256,Reprogramaciones!P$9),11)/NETWORKDAYS.INTL(E256,F256,11)*100,1)))-IF(Reprogramaciones!O$9&lt;E256,0,IF(NETWORKDAYS.INTL(E256,F256,11)=0,IF(Reprogramaciones!O$9&gt;=F256,100,0),ROUND(NETWORKDAYS.INTL(E256,MIN(F256,Reprogramaciones!O$9),11)/NETWORKDAYS.INTL(E256,F256,11)*100,1))))</f>
        <v/>
      </c>
      <c r="M256" s="36" t="str">
        <f aca="false">IF(OR(NOT(AND(ISNUMBER(E256),ISNUMBER(F256))),$J$2=""),"",IF(Reprogramaciones!Q$9&lt;E256,0,IF(NETWORKDAYS.INTL(E256,F256,11)=0,IF(Reprogramaciones!Q$9&gt;=F256,100,0),ROUND(NETWORKDAYS.INTL(E256,MIN(F256,Reprogramaciones!Q$9),11)/NETWORKDAYS.INTL(E256,F256,11)*100,1)))-IF(Reprogramaciones!P$9&lt;E256,0,IF(NETWORKDAYS.INTL(E256,F256,11)=0,IF(Reprogramaciones!P$9&gt;=F256,100,0),ROUND(NETWORKDAYS.INTL(E256,MIN(F256,Reprogramaciones!P$9),11)/NETWORKDAYS.INTL(E256,F256,11)*100,1))))</f>
        <v/>
      </c>
      <c r="N256" s="36" t="str">
        <f aca="false">IF(OR(NOT(AND(ISNUMBER(E256),ISNUMBER(F256))),$J$2=""),"",IF(Reprogramaciones!R$9&lt;E256,0,IF(NETWORKDAYS.INTL(E256,F256,11)=0,IF(Reprogramaciones!R$9&gt;=F256,100,0),ROUND(NETWORKDAYS.INTL(E256,MIN(F256,Reprogramaciones!R$9),11)/NETWORKDAYS.INTL(E256,F256,11)*100,1)))-IF(Reprogramaciones!Q$9&lt;E256,0,IF(NETWORKDAYS.INTL(E256,F256,11)=0,IF(Reprogramaciones!Q$9&gt;=F256,100,0),ROUND(NETWORKDAYS.INTL(E256,MIN(F256,Reprogramaciones!Q$9),11)/NETWORKDAYS.INTL(E256,F256,11)*100,1))))</f>
        <v/>
      </c>
      <c r="O256" s="36" t="str">
        <f aca="false">IF(OR(NOT(AND(ISNUMBER(E256),ISNUMBER(F256))),$J$2=""),"",IF(Reprogramaciones!S$9&lt;E256,0,IF(NETWORKDAYS.INTL(E256,F256,11)=0,IF(Reprogramaciones!S$9&gt;=F256,100,0),ROUND(NETWORKDAYS.INTL(E256,MIN(F256,Reprogramaciones!S$9),11)/NETWORKDAYS.INTL(E256,F256,11)*100,1)))-IF(Reprogramaciones!R$9&lt;E256,0,IF(NETWORKDAYS.INTL(E256,F256,11)=0,IF(Reprogramaciones!R$9&gt;=F256,100,0),ROUND(NETWORKDAYS.INTL(E256,MIN(F256,Reprogramaciones!R$9),11)/NETWORKDAYS.INTL(E256,F256,11)*100,1))))</f>
        <v/>
      </c>
      <c r="P256" s="36" t="str">
        <f aca="false">IF(OR(NOT(AND(ISNUMBER(E256),ISNUMBER(F256))),$J$2=""),"",IF(Reprogramaciones!T$9&lt;E256,0,IF(NETWORKDAYS.INTL(E256,F256,11)=0,IF(Reprogramaciones!T$9&gt;=F256,100,0),ROUND(NETWORKDAYS.INTL(E256,MIN(F256,Reprogramaciones!T$9),11)/NETWORKDAYS.INTL(E256,F256,11)*100,1)))-IF(Reprogramaciones!S$9&lt;E256,0,IF(NETWORKDAYS.INTL(E256,F256,11)=0,IF(Reprogramaciones!S$9&gt;=F256,100,0),ROUND(NETWORKDAYS.INTL(E256,MIN(F256,Reprogramaciones!S$9),11)/NETWORKDAYS.INTL(E256,F256,11)*100,1))))</f>
        <v/>
      </c>
      <c r="Q256" s="37"/>
      <c r="R256" s="37"/>
      <c r="S256" s="37"/>
      <c r="T256" s="37"/>
      <c r="U256" s="37"/>
      <c r="V256" s="37"/>
      <c r="W256" s="37"/>
      <c r="X256" s="37"/>
      <c r="Y256" s="37"/>
      <c r="Z256" s="37"/>
      <c r="AA256" s="37"/>
      <c r="AB256" s="37"/>
      <c r="AC256" s="37"/>
      <c r="AD256" s="37"/>
      <c r="AE256" s="37"/>
      <c r="AF256" s="37"/>
      <c r="AG256" s="38" t="str">
        <f aca="false">IF(AND(ISNUMBER(E256),ISNUMBER(F256)),NETWORKDAYS.INTL(E256,F256,11),"")</f>
        <v/>
      </c>
      <c r="AH256" s="38" t="str">
        <f aca="false">IF(OR(NOT(AND(ISNUMBER(E256),ISNUMBER(F256))),$J$2=""),"",IF(Reprogramaciones!$P$15&lt;Reprogramaciones!$T$15,0,IF(Reprogramaciones!$R$15&gt;10,MIN(100,SUM($G256:$P256)),MIN(100,SUMPRODUCT((COLUMN($G256:$P256)-COLUMN($G256)+1&lt;Reprogramaciones!$R$15)*$G256:$P256)+N(INDEX($G256:$P256,1,Reprogramaciones!$R$15))*IF(Reprogramaciones!$P$15&gt;=(Reprogramaciones!$T$15+7*(Reprogramaciones!$R$15-1))+6,1,IF(MAX(0,NETWORKDAYS.INTL(MAX(E256,(Reprogramaciones!$T$15+7*(Reprogramaciones!$R$15-1))),MIN(F256,(Reprogramaciones!$T$15+7*(Reprogramaciones!$R$15-1))+6),11))=0,0,MAX(0,NETWORKDAYS.INTL(MAX(E256,(Reprogramaciones!$T$15+7*(Reprogramaciones!$R$15-1))),MIN(F256,Reprogramaciones!$P$15),11))/MAX(0,NETWORKDAYS.INTL(MAX(E256,(Reprogramaciones!$T$15+7*(Reprogramaciones!$R$15-1))),MIN(F256,(Reprogramaciones!$T$15+7*(Reprogramaciones!$R$15-1))+6),11))))))))</f>
        <v/>
      </c>
      <c r="AI256" s="38" t="str">
        <f aca="false">IF(COUNT($Q256:$AF256)=0,"",IF(ROUND(SUM($Q256:$AF256),1)&gt;=99.5,100,MIN(100,ROUND(SUM($Q256:$AF256),1))))</f>
        <v/>
      </c>
      <c r="AJ256" s="38" t="str">
        <f aca="false">IF(OR(AH256="",AI256=""),"",AI256-AH256)</f>
        <v/>
      </c>
      <c r="AK256" s="39" t="str">
        <f aca="true">IF(AH256="","",IF(OR(Ficha!$C$10="Suspendida",Ficha!$C$10="Cancelada"),Ficha!$C$10,IF(AND(AI256&lt;&gt;"",N(AI256)&gt;=100),"Completada",IF(AND(E256&gt;TODAY(),N(AI256)=0),"Por iniciar",IF(N(AI256)+0.5&lt;AH256,"Retrasada",IF(N(AI256)+0.5&lt;DA256,IF(Reprogramaciones!$K$15&gt;0,"Al día · Sem "&amp;Reprogramaciones!$K$15&amp;" en curso","Al día · en curso"),"A tiempo"))))))</f>
        <v/>
      </c>
      <c r="AL256" s="39" t="str">
        <f aca="true">IF(AND(A256="",AND(B256="",C256="",E256="",F256="",COUNT(Q256:AF256)=0)),"",IF(AND(B256="",C256="",E256="",F256="",COUNT(Q256:AF256)=0),"Falta la partida o subpartida",IF(AND(A256&lt;&gt;"",COUNTIF($A$6:$A$305,A256)&gt;1),"Ítem repetido",IF(AND(C256="",E256="",F256="",COUNT(Q256:AF256)=0),"Título de partida",IF(OR(E256="",F256=""),"Faltan fechas",IF(OR(ISTEXT(E256),ISTEXT(F256)),"Fecha escrita como texto: usa dd/mm/aaaa",IF(F256&lt;E256,"Fin antes del inicio",IF(IF($J$2="",FALSE(),OR(E256&lt;$J$2,F256&gt;Reprogramaciones!$T$15+69)),"Fuera de las 10 semanas",IF(ABS(SUM(G256:P256)-100)&gt;0.5,"La meta no suma 100%",IF(ROUND(SUM(Q256:AF256),1)&gt;100.5,"El avance pasa de 100%",IF(MIN(Q256:AF256)&lt;0,"Avance negativo",IF(COUNTA(Q256:AF256)&gt;COUNT(Q256:AF256),"Avance escrito como texto",IF(SUMPRODUCT((Q256:AF256&gt;0)*(Q256:AF256&lt;1))&gt;0,"Avance menor a 1: escribe 50, no 50%",IF(SUMPRODUCT(ISNUMBER(Q256:AF256)*(Reprogramaciones!$K$8:$Z$8&gt;TODAY()))&gt;0,"Avance en semana que aún no llega",IF(AND(N(Reprogramaciones!$E$21)&gt;0,F256&gt;Reprogramaciones!$E$21),"Pasa el fin de la obra: registra una reprogramación",IF(AND(N(Reprogramaciones!$E$21)&gt;0,SUMPRODUCT(ISNUMBER(Q256:AF256)*(Reprogramaciones!$K$8:$Z$8&gt;Reprogramaciones!$E$21))&gt;0),"Avance después del fin de la obra: registra una reprogramación por atraso","OK"))))))))))))))))</f>
        <v/>
      </c>
      <c r="AM256" s="40" t="str">
        <f aca="false">IF(OR(OR(NOT(AND(ISNUMBER(E256),ISNUMBER(F256))),$J$2=""),1&gt;MAX(1,Reprogramaciones!$U$15)),"",IF(Reprogramaciones!K$12&gt;=7,"",IF(OR(BT256-N(0)&gt;0.05,N(Q256)&gt;0),ROUNDDOWN(ROUND(BT256,6),0)&amp;"%"&amp;IF(CJ256="",""," / "&amp;CJ256&amp;"%"),IF(AND(N(0)&gt;=99.95,CJ256&lt;&gt;"",N(CJ256)&lt;100),"Pend. "&amp;CJ256&amp;"%",""))))</f>
        <v/>
      </c>
      <c r="AN256" s="40" t="str">
        <f aca="false">IF(OR(OR(NOT(AND(ISNUMBER(E256),ISNUMBER(F256))),$J$2=""),2&gt;MAX(1,Reprogramaciones!$U$15)),"",IF(Reprogramaciones!L$12&gt;=7,"",IF(OR(BU256-N(BT256)&gt;0.05,N(R256)&gt;0),ROUNDDOWN(ROUND(BU256,6),0)&amp;"%"&amp;IF(CK256="",""," / "&amp;CK256&amp;"%"),IF(AND(N(BT256)&gt;=99.95,CK256&lt;&gt;"",N(CK256)&lt;100),"Pend. "&amp;CK256&amp;"%",""))))</f>
        <v/>
      </c>
      <c r="AO256" s="40" t="str">
        <f aca="false">IF(OR(OR(NOT(AND(ISNUMBER(E256),ISNUMBER(F256))),$J$2=""),3&gt;MAX(1,Reprogramaciones!$U$15)),"",IF(Reprogramaciones!M$12&gt;=7,"",IF(OR(BV256-N(BU256)&gt;0.05,N(S256)&gt;0),ROUNDDOWN(ROUND(BV256,6),0)&amp;"%"&amp;IF(CL256="",""," / "&amp;CL256&amp;"%"),IF(AND(N(BU256)&gt;=99.95,CL256&lt;&gt;"",N(CL256)&lt;100),"Pend. "&amp;CL256&amp;"%",""))))</f>
        <v/>
      </c>
      <c r="AP256" s="40" t="str">
        <f aca="false">IF(OR(OR(NOT(AND(ISNUMBER(E256),ISNUMBER(F256))),$J$2=""),4&gt;MAX(1,Reprogramaciones!$U$15)),"",IF(Reprogramaciones!N$12&gt;=7,"",IF(OR(BW256-N(BV256)&gt;0.05,N(T256)&gt;0),ROUNDDOWN(ROUND(BW256,6),0)&amp;"%"&amp;IF(CM256="",""," / "&amp;CM256&amp;"%"),IF(AND(N(BV256)&gt;=99.95,CM256&lt;&gt;"",N(CM256)&lt;100),"Pend. "&amp;CM256&amp;"%",""))))</f>
        <v/>
      </c>
      <c r="AQ256" s="40" t="str">
        <f aca="false">IF(OR(OR(NOT(AND(ISNUMBER(E256),ISNUMBER(F256))),$J$2=""),5&gt;MAX(1,Reprogramaciones!$U$15)),"",IF(Reprogramaciones!O$12&gt;=7,"",IF(OR(BX256-N(BW256)&gt;0.05,N(U256)&gt;0),ROUNDDOWN(ROUND(BX256,6),0)&amp;"%"&amp;IF(CN256="",""," / "&amp;CN256&amp;"%"),IF(AND(N(BW256)&gt;=99.95,CN256&lt;&gt;"",N(CN256)&lt;100),"Pend. "&amp;CN256&amp;"%",""))))</f>
        <v/>
      </c>
      <c r="AR256" s="40" t="str">
        <f aca="false">IF(OR(OR(NOT(AND(ISNUMBER(E256),ISNUMBER(F256))),$J$2=""),6&gt;MAX(1,Reprogramaciones!$U$15)),"",IF(Reprogramaciones!P$12&gt;=7,"",IF(OR(BY256-N(BX256)&gt;0.05,N(V256)&gt;0),ROUNDDOWN(ROUND(BY256,6),0)&amp;"%"&amp;IF(CO256="",""," / "&amp;CO256&amp;"%"),IF(AND(N(BX256)&gt;=99.95,CO256&lt;&gt;"",N(CO256)&lt;100),"Pend. "&amp;CO256&amp;"%",""))))</f>
        <v/>
      </c>
      <c r="AS256" s="40" t="str">
        <f aca="false">IF(OR(OR(NOT(AND(ISNUMBER(E256),ISNUMBER(F256))),$J$2=""),7&gt;MAX(1,Reprogramaciones!$U$15)),"",IF(Reprogramaciones!Q$12&gt;=7,"",IF(OR(BZ256-N(BY256)&gt;0.05,N(W256)&gt;0),ROUNDDOWN(ROUND(BZ256,6),0)&amp;"%"&amp;IF(CP256="",""," / "&amp;CP256&amp;"%"),IF(AND(N(BY256)&gt;=99.95,CP256&lt;&gt;"",N(CP256)&lt;100),"Pend. "&amp;CP256&amp;"%",""))))</f>
        <v/>
      </c>
      <c r="AT256" s="40" t="str">
        <f aca="false">IF(OR(OR(NOT(AND(ISNUMBER(E256),ISNUMBER(F256))),$J$2=""),8&gt;MAX(1,Reprogramaciones!$U$15)),"",IF(Reprogramaciones!R$12&gt;=7,"",IF(OR(CA256-N(BZ256)&gt;0.05,N(X256)&gt;0),ROUNDDOWN(ROUND(CA256,6),0)&amp;"%"&amp;IF(CQ256="",""," / "&amp;CQ256&amp;"%"),IF(AND(N(BZ256)&gt;=99.95,CQ256&lt;&gt;"",N(CQ256)&lt;100),"Pend. "&amp;CQ256&amp;"%",""))))</f>
        <v/>
      </c>
      <c r="AU256" s="40" t="str">
        <f aca="false">IF(OR(OR(NOT(AND(ISNUMBER(E256),ISNUMBER(F256))),$J$2=""),9&gt;MAX(1,Reprogramaciones!$U$15)),"",IF(Reprogramaciones!S$12&gt;=7,"",IF(OR(CB256-N(CA256)&gt;0.05,N(Y256)&gt;0),ROUNDDOWN(ROUND(CB256,6),0)&amp;"%"&amp;IF(CR256="",""," / "&amp;CR256&amp;"%"),IF(AND(N(CA256)&gt;=99.95,CR256&lt;&gt;"",N(CR256)&lt;100),"Pend. "&amp;CR256&amp;"%",""))))</f>
        <v/>
      </c>
      <c r="AV256" s="40" t="str">
        <f aca="false">IF(OR(OR(NOT(AND(ISNUMBER(E256),ISNUMBER(F256))),$J$2=""),10&gt;MAX(1,Reprogramaciones!$U$15)),"",IF(Reprogramaciones!T$12&gt;=7,"",IF(OR(CC256-N(CB256)&gt;0.05,N(Z256)&gt;0),ROUNDDOWN(ROUND(CC256,6),0)&amp;"%"&amp;IF(CS256="",""," / "&amp;CS256&amp;"%"),IF(AND(N(CB256)&gt;=99.95,CS256&lt;&gt;"",N(CS256)&lt;100),"Pend. "&amp;CS256&amp;"%",""))))</f>
        <v/>
      </c>
      <c r="AW256" s="40" t="str">
        <f aca="false">IF(OR(OR(NOT(AND(ISNUMBER(E256),ISNUMBER(F256))),$J$2=""),11&gt;MAX(1,Reprogramaciones!$U$15)),"",IF(Reprogramaciones!U$12&gt;=7,"",IF(OR(CD256-N(CC256)&gt;0.05,N(AA256)&gt;0),ROUNDDOWN(ROUND(CD256,6),0)&amp;"%"&amp;IF(CT256="",""," / "&amp;CT256&amp;"%"),IF(AND(N(CC256)&gt;=99.95,CT256&lt;&gt;"",N(CT256)&lt;100),"Pend. "&amp;CT256&amp;"%",""))))</f>
        <v/>
      </c>
      <c r="AX256" s="40" t="str">
        <f aca="false">IF(OR(OR(NOT(AND(ISNUMBER(E256),ISNUMBER(F256))),$J$2=""),12&gt;MAX(1,Reprogramaciones!$U$15)),"",IF(Reprogramaciones!V$12&gt;=7,"",IF(OR(CE256-N(CD256)&gt;0.05,N(AB256)&gt;0),ROUNDDOWN(ROUND(CE256,6),0)&amp;"%"&amp;IF(CU256="",""," / "&amp;CU256&amp;"%"),IF(AND(N(CD256)&gt;=99.95,CU256&lt;&gt;"",N(CU256)&lt;100),"Pend. "&amp;CU256&amp;"%",""))))</f>
        <v/>
      </c>
      <c r="AY256" s="40" t="str">
        <f aca="false">IF(OR(OR(NOT(AND(ISNUMBER(E256),ISNUMBER(F256))),$J$2=""),13&gt;MAX(1,Reprogramaciones!$U$15)),"",IF(Reprogramaciones!W$12&gt;=7,"",IF(OR(CF256-N(CE256)&gt;0.05,N(AC256)&gt;0),ROUNDDOWN(ROUND(CF256,6),0)&amp;"%"&amp;IF(CV256="",""," / "&amp;CV256&amp;"%"),IF(AND(N(CE256)&gt;=99.95,CV256&lt;&gt;"",N(CV256)&lt;100),"Pend. "&amp;CV256&amp;"%",""))))</f>
        <v/>
      </c>
      <c r="AZ256" s="40" t="str">
        <f aca="false">IF(OR(OR(NOT(AND(ISNUMBER(E256),ISNUMBER(F256))),$J$2=""),14&gt;MAX(1,Reprogramaciones!$U$15)),"",IF(Reprogramaciones!X$12&gt;=7,"",IF(OR(CG256-N(CF256)&gt;0.05,N(AD256)&gt;0),ROUNDDOWN(ROUND(CG256,6),0)&amp;"%"&amp;IF(CW256="",""," / "&amp;CW256&amp;"%"),IF(AND(N(CF256)&gt;=99.95,CW256&lt;&gt;"",N(CW256)&lt;100),"Pend. "&amp;CW256&amp;"%",""))))</f>
        <v/>
      </c>
      <c r="BA256" s="40" t="str">
        <f aca="false">IF(OR(OR(NOT(AND(ISNUMBER(E256),ISNUMBER(F256))),$J$2=""),15&gt;MAX(1,Reprogramaciones!$U$15)),"",IF(Reprogramaciones!Y$12&gt;=7,"",IF(OR(CH256-N(CG256)&gt;0.05,N(AE256)&gt;0),ROUNDDOWN(ROUND(CH256,6),0)&amp;"%"&amp;IF(CX256="",""," / "&amp;CX256&amp;"%"),IF(AND(N(CG256)&gt;=99.95,CX256&lt;&gt;"",N(CX256)&lt;100),"Pend. "&amp;CX256&amp;"%",""))))</f>
        <v/>
      </c>
      <c r="BB256" s="40" t="str">
        <f aca="false">IF(OR(OR(NOT(AND(ISNUMBER(E256),ISNUMBER(F256))),$J$2=""),16&gt;MAX(1,Reprogramaciones!$U$15)),"",IF(Reprogramaciones!Z$12&gt;=7,"",IF(OR(CI256-N(CH256)&gt;0.05,N(AF256)&gt;0),ROUNDDOWN(ROUND(CI256,6),0)&amp;"%"&amp;IF(CY256="",""," / "&amp;CY256&amp;"%"),IF(AND(N(CH256)&gt;=99.95,CY256&lt;&gt;"",N(CY256)&lt;100),"Pend. "&amp;CY256&amp;"%",""))))</f>
        <v/>
      </c>
      <c r="BC256" s="31" t="n">
        <f aca="false">IF(AND(ISNUMBER(E256),ISNUMBER(F256)),MAX(1,NETWORKDAYS.INTL(E256,F256,11)),0)</f>
        <v>0</v>
      </c>
      <c r="BD256" s="1" t="str">
        <f aca="false">IF(OR(NOT(AND(ISNUMBER(E256),ISNUMBER(F256))),$J$2=""),"",MIN(100,ROUND(SUM($G256:G256),1)))</f>
        <v/>
      </c>
      <c r="BE256" s="1" t="str">
        <f aca="false">IF(OR(NOT(AND(ISNUMBER(E256),ISNUMBER(F256))),$J$2=""),"",MIN(100,ROUND(SUM($G256:H256),1)))</f>
        <v/>
      </c>
      <c r="BF256" s="1" t="str">
        <f aca="false">IF(OR(NOT(AND(ISNUMBER(E256),ISNUMBER(F256))),$J$2=""),"",MIN(100,ROUND(SUM($G256:I256),1)))</f>
        <v/>
      </c>
      <c r="BG256" s="1" t="str">
        <f aca="false">IF(OR(NOT(AND(ISNUMBER(E256),ISNUMBER(F256))),$J$2=""),"",MIN(100,ROUND(SUM($G256:J256),1)))</f>
        <v/>
      </c>
      <c r="BH256" s="1" t="str">
        <f aca="false">IF(OR(NOT(AND(ISNUMBER(E256),ISNUMBER(F256))),$J$2=""),"",MIN(100,ROUND(SUM($G256:K256),1)))</f>
        <v/>
      </c>
      <c r="BI256" s="1" t="str">
        <f aca="false">IF(OR(NOT(AND(ISNUMBER(E256),ISNUMBER(F256))),$J$2=""),"",MIN(100,ROUND(SUM($G256:L256),1)))</f>
        <v/>
      </c>
      <c r="BJ256" s="1" t="str">
        <f aca="false">IF(OR(NOT(AND(ISNUMBER(E256),ISNUMBER(F256))),$J$2=""),"",MIN(100,ROUND(SUM($G256:M256),1)))</f>
        <v/>
      </c>
      <c r="BK256" s="1" t="str">
        <f aca="false">IF(OR(NOT(AND(ISNUMBER(E256),ISNUMBER(F256))),$J$2=""),"",MIN(100,ROUND(SUM($G256:N256),1)))</f>
        <v/>
      </c>
      <c r="BL256" s="1" t="str">
        <f aca="false">IF(OR(NOT(AND(ISNUMBER(E256),ISNUMBER(F256))),$J$2=""),"",MIN(100,ROUND(SUM($G256:O256),1)))</f>
        <v/>
      </c>
      <c r="BM256" s="1" t="str">
        <f aca="false">IF(OR(NOT(AND(ISNUMBER(E256),ISNUMBER(F256))),$J$2=""),"",MIN(100,ROUND(SUM($G256:P256),1)))</f>
        <v/>
      </c>
      <c r="BN256" s="1" t="str">
        <f aca="false">IF(OR(NOT(AND(ISNUMBER(E256),ISNUMBER(F256))),$J$2=""),"",MIN(100,ROUND(SUM($G256:P256),1)))</f>
        <v/>
      </c>
      <c r="BO256" s="1" t="str">
        <f aca="false">IF(OR(NOT(AND(ISNUMBER(E256),ISNUMBER(F256))),$J$2=""),"",MIN(100,ROUND(SUM($G256:P256),1)))</f>
        <v/>
      </c>
      <c r="BP256" s="1" t="str">
        <f aca="false">IF(OR(NOT(AND(ISNUMBER(E256),ISNUMBER(F256))),$J$2=""),"",MIN(100,ROUND(SUM($G256:P256),1)))</f>
        <v/>
      </c>
      <c r="BQ256" s="1" t="str">
        <f aca="false">IF(OR(NOT(AND(ISNUMBER(E256),ISNUMBER(F256))),$J$2=""),"",MIN(100,ROUND(SUM($G256:P256),1)))</f>
        <v/>
      </c>
      <c r="BR256" s="1" t="str">
        <f aca="false">IF(OR(NOT(AND(ISNUMBER(E256),ISNUMBER(F256))),$J$2=""),"",MIN(100,ROUND(SUM($G256:P256),1)))</f>
        <v/>
      </c>
      <c r="BS256" s="1" t="str">
        <f aca="false">IF(OR(NOT(AND(ISNUMBER(E256),ISNUMBER(F256))),$J$2=""),"",MIN(100,ROUND(SUM($G256:P256),1)))</f>
        <v/>
      </c>
      <c r="BT256" s="1" t="str">
        <f aca="false">IF(OR(NOT(AND(ISNUMBER(E256),ISNUMBER(F256))),$J$2=""),"",IF(Reprogramaciones!K$13&lt;Reprogramaciones!$T$15,0,IF(Reprogramaciones!K$14&gt;10,MIN(100,SUM($G256:$P256)),MIN(100,SUMPRODUCT((COLUMN($G256:$P256)-COLUMN($G256)+1&lt;Reprogramaciones!K$14)*$G256:$P256)+N(INDEX($G256:$P256,1,Reprogramaciones!K$14))*IF(Reprogramaciones!K$13&gt;=(Reprogramaciones!$T$15+7*(Reprogramaciones!K$14-1))+6,1,IF(MAX(0,NETWORKDAYS.INTL(MAX(E256,(Reprogramaciones!$T$15+7*(Reprogramaciones!K$14-1))),MIN(F256,(Reprogramaciones!$T$15+7*(Reprogramaciones!K$14-1))+6),11))=0,0,MAX(0,NETWORKDAYS.INTL(MAX(E256,(Reprogramaciones!$T$15+7*(Reprogramaciones!K$14-1))),MIN(F256,Reprogramaciones!K$13),11))/MAX(0,NETWORKDAYS.INTL(MAX(E256,(Reprogramaciones!$T$15+7*(Reprogramaciones!K$14-1))),MIN(F256,(Reprogramaciones!$T$15+7*(Reprogramaciones!K$14-1))+6),11))))))))</f>
        <v/>
      </c>
      <c r="BU256" s="1" t="str">
        <f aca="false">IF(OR(NOT(AND(ISNUMBER(E256),ISNUMBER(F256))),$J$2=""),"",IF(Reprogramaciones!L$13&lt;Reprogramaciones!$T$15,0,IF(Reprogramaciones!L$14&gt;10,MIN(100,SUM($G256:$P256)),MIN(100,SUMPRODUCT((COLUMN($G256:$P256)-COLUMN($G256)+1&lt;Reprogramaciones!L$14)*$G256:$P256)+N(INDEX($G256:$P256,1,Reprogramaciones!L$14))*IF(Reprogramaciones!L$13&gt;=(Reprogramaciones!$T$15+7*(Reprogramaciones!L$14-1))+6,1,IF(MAX(0,NETWORKDAYS.INTL(MAX(E256,(Reprogramaciones!$T$15+7*(Reprogramaciones!L$14-1))),MIN(F256,(Reprogramaciones!$T$15+7*(Reprogramaciones!L$14-1))+6),11))=0,0,MAX(0,NETWORKDAYS.INTL(MAX(E256,(Reprogramaciones!$T$15+7*(Reprogramaciones!L$14-1))),MIN(F256,Reprogramaciones!L$13),11))/MAX(0,NETWORKDAYS.INTL(MAX(E256,(Reprogramaciones!$T$15+7*(Reprogramaciones!L$14-1))),MIN(F256,(Reprogramaciones!$T$15+7*(Reprogramaciones!L$14-1))+6),11))))))))</f>
        <v/>
      </c>
      <c r="BV256" s="1" t="str">
        <f aca="false">IF(OR(NOT(AND(ISNUMBER(E256),ISNUMBER(F256))),$J$2=""),"",IF(Reprogramaciones!M$13&lt;Reprogramaciones!$T$15,0,IF(Reprogramaciones!M$14&gt;10,MIN(100,SUM($G256:$P256)),MIN(100,SUMPRODUCT((COLUMN($G256:$P256)-COLUMN($G256)+1&lt;Reprogramaciones!M$14)*$G256:$P256)+N(INDEX($G256:$P256,1,Reprogramaciones!M$14))*IF(Reprogramaciones!M$13&gt;=(Reprogramaciones!$T$15+7*(Reprogramaciones!M$14-1))+6,1,IF(MAX(0,NETWORKDAYS.INTL(MAX(E256,(Reprogramaciones!$T$15+7*(Reprogramaciones!M$14-1))),MIN(F256,(Reprogramaciones!$T$15+7*(Reprogramaciones!M$14-1))+6),11))=0,0,MAX(0,NETWORKDAYS.INTL(MAX(E256,(Reprogramaciones!$T$15+7*(Reprogramaciones!M$14-1))),MIN(F256,Reprogramaciones!M$13),11))/MAX(0,NETWORKDAYS.INTL(MAX(E256,(Reprogramaciones!$T$15+7*(Reprogramaciones!M$14-1))),MIN(F256,(Reprogramaciones!$T$15+7*(Reprogramaciones!M$14-1))+6),11))))))))</f>
        <v/>
      </c>
      <c r="BW256" s="1" t="str">
        <f aca="false">IF(OR(NOT(AND(ISNUMBER(E256),ISNUMBER(F256))),$J$2=""),"",IF(Reprogramaciones!N$13&lt;Reprogramaciones!$T$15,0,IF(Reprogramaciones!N$14&gt;10,MIN(100,SUM($G256:$P256)),MIN(100,SUMPRODUCT((COLUMN($G256:$P256)-COLUMN($G256)+1&lt;Reprogramaciones!N$14)*$G256:$P256)+N(INDEX($G256:$P256,1,Reprogramaciones!N$14))*IF(Reprogramaciones!N$13&gt;=(Reprogramaciones!$T$15+7*(Reprogramaciones!N$14-1))+6,1,IF(MAX(0,NETWORKDAYS.INTL(MAX(E256,(Reprogramaciones!$T$15+7*(Reprogramaciones!N$14-1))),MIN(F256,(Reprogramaciones!$T$15+7*(Reprogramaciones!N$14-1))+6),11))=0,0,MAX(0,NETWORKDAYS.INTL(MAX(E256,(Reprogramaciones!$T$15+7*(Reprogramaciones!N$14-1))),MIN(F256,Reprogramaciones!N$13),11))/MAX(0,NETWORKDAYS.INTL(MAX(E256,(Reprogramaciones!$T$15+7*(Reprogramaciones!N$14-1))),MIN(F256,(Reprogramaciones!$T$15+7*(Reprogramaciones!N$14-1))+6),11))))))))</f>
        <v/>
      </c>
      <c r="BX256" s="1" t="str">
        <f aca="false">IF(OR(NOT(AND(ISNUMBER(E256),ISNUMBER(F256))),$J$2=""),"",IF(Reprogramaciones!O$13&lt;Reprogramaciones!$T$15,0,IF(Reprogramaciones!O$14&gt;10,MIN(100,SUM($G256:$P256)),MIN(100,SUMPRODUCT((COLUMN($G256:$P256)-COLUMN($G256)+1&lt;Reprogramaciones!O$14)*$G256:$P256)+N(INDEX($G256:$P256,1,Reprogramaciones!O$14))*IF(Reprogramaciones!O$13&gt;=(Reprogramaciones!$T$15+7*(Reprogramaciones!O$14-1))+6,1,IF(MAX(0,NETWORKDAYS.INTL(MAX(E256,(Reprogramaciones!$T$15+7*(Reprogramaciones!O$14-1))),MIN(F256,(Reprogramaciones!$T$15+7*(Reprogramaciones!O$14-1))+6),11))=0,0,MAX(0,NETWORKDAYS.INTL(MAX(E256,(Reprogramaciones!$T$15+7*(Reprogramaciones!O$14-1))),MIN(F256,Reprogramaciones!O$13),11))/MAX(0,NETWORKDAYS.INTL(MAX(E256,(Reprogramaciones!$T$15+7*(Reprogramaciones!O$14-1))),MIN(F256,(Reprogramaciones!$T$15+7*(Reprogramaciones!O$14-1))+6),11))))))))</f>
        <v/>
      </c>
      <c r="BY256" s="1" t="str">
        <f aca="false">IF(OR(NOT(AND(ISNUMBER(E256),ISNUMBER(F256))),$J$2=""),"",IF(Reprogramaciones!P$13&lt;Reprogramaciones!$T$15,0,IF(Reprogramaciones!P$14&gt;10,MIN(100,SUM($G256:$P256)),MIN(100,SUMPRODUCT((COLUMN($G256:$P256)-COLUMN($G256)+1&lt;Reprogramaciones!P$14)*$G256:$P256)+N(INDEX($G256:$P256,1,Reprogramaciones!P$14))*IF(Reprogramaciones!P$13&gt;=(Reprogramaciones!$T$15+7*(Reprogramaciones!P$14-1))+6,1,IF(MAX(0,NETWORKDAYS.INTL(MAX(E256,(Reprogramaciones!$T$15+7*(Reprogramaciones!P$14-1))),MIN(F256,(Reprogramaciones!$T$15+7*(Reprogramaciones!P$14-1))+6),11))=0,0,MAX(0,NETWORKDAYS.INTL(MAX(E256,(Reprogramaciones!$T$15+7*(Reprogramaciones!P$14-1))),MIN(F256,Reprogramaciones!P$13),11))/MAX(0,NETWORKDAYS.INTL(MAX(E256,(Reprogramaciones!$T$15+7*(Reprogramaciones!P$14-1))),MIN(F256,(Reprogramaciones!$T$15+7*(Reprogramaciones!P$14-1))+6),11))))))))</f>
        <v/>
      </c>
      <c r="BZ256" s="1" t="str">
        <f aca="false">IF(OR(NOT(AND(ISNUMBER(E256),ISNUMBER(F256))),$J$2=""),"",IF(Reprogramaciones!Q$13&lt;Reprogramaciones!$T$15,0,IF(Reprogramaciones!Q$14&gt;10,MIN(100,SUM($G256:$P256)),MIN(100,SUMPRODUCT((COLUMN($G256:$P256)-COLUMN($G256)+1&lt;Reprogramaciones!Q$14)*$G256:$P256)+N(INDEX($G256:$P256,1,Reprogramaciones!Q$14))*IF(Reprogramaciones!Q$13&gt;=(Reprogramaciones!$T$15+7*(Reprogramaciones!Q$14-1))+6,1,IF(MAX(0,NETWORKDAYS.INTL(MAX(E256,(Reprogramaciones!$T$15+7*(Reprogramaciones!Q$14-1))),MIN(F256,(Reprogramaciones!$T$15+7*(Reprogramaciones!Q$14-1))+6),11))=0,0,MAX(0,NETWORKDAYS.INTL(MAX(E256,(Reprogramaciones!$T$15+7*(Reprogramaciones!Q$14-1))),MIN(F256,Reprogramaciones!Q$13),11))/MAX(0,NETWORKDAYS.INTL(MAX(E256,(Reprogramaciones!$T$15+7*(Reprogramaciones!Q$14-1))),MIN(F256,(Reprogramaciones!$T$15+7*(Reprogramaciones!Q$14-1))+6),11))))))))</f>
        <v/>
      </c>
      <c r="CA256" s="1" t="str">
        <f aca="false">IF(OR(NOT(AND(ISNUMBER(E256),ISNUMBER(F256))),$J$2=""),"",IF(Reprogramaciones!R$13&lt;Reprogramaciones!$T$15,0,IF(Reprogramaciones!R$14&gt;10,MIN(100,SUM($G256:$P256)),MIN(100,SUMPRODUCT((COLUMN($G256:$P256)-COLUMN($G256)+1&lt;Reprogramaciones!R$14)*$G256:$P256)+N(INDEX($G256:$P256,1,Reprogramaciones!R$14))*IF(Reprogramaciones!R$13&gt;=(Reprogramaciones!$T$15+7*(Reprogramaciones!R$14-1))+6,1,IF(MAX(0,NETWORKDAYS.INTL(MAX(E256,(Reprogramaciones!$T$15+7*(Reprogramaciones!R$14-1))),MIN(F256,(Reprogramaciones!$T$15+7*(Reprogramaciones!R$14-1))+6),11))=0,0,MAX(0,NETWORKDAYS.INTL(MAX(E256,(Reprogramaciones!$T$15+7*(Reprogramaciones!R$14-1))),MIN(F256,Reprogramaciones!R$13),11))/MAX(0,NETWORKDAYS.INTL(MAX(E256,(Reprogramaciones!$T$15+7*(Reprogramaciones!R$14-1))),MIN(F256,(Reprogramaciones!$T$15+7*(Reprogramaciones!R$14-1))+6),11))))))))</f>
        <v/>
      </c>
      <c r="CB256" s="1" t="str">
        <f aca="false">IF(OR(NOT(AND(ISNUMBER(E256),ISNUMBER(F256))),$J$2=""),"",IF(Reprogramaciones!S$13&lt;Reprogramaciones!$T$15,0,IF(Reprogramaciones!S$14&gt;10,MIN(100,SUM($G256:$P256)),MIN(100,SUMPRODUCT((COLUMN($G256:$P256)-COLUMN($G256)+1&lt;Reprogramaciones!S$14)*$G256:$P256)+N(INDEX($G256:$P256,1,Reprogramaciones!S$14))*IF(Reprogramaciones!S$13&gt;=(Reprogramaciones!$T$15+7*(Reprogramaciones!S$14-1))+6,1,IF(MAX(0,NETWORKDAYS.INTL(MAX(E256,(Reprogramaciones!$T$15+7*(Reprogramaciones!S$14-1))),MIN(F256,(Reprogramaciones!$T$15+7*(Reprogramaciones!S$14-1))+6),11))=0,0,MAX(0,NETWORKDAYS.INTL(MAX(E256,(Reprogramaciones!$T$15+7*(Reprogramaciones!S$14-1))),MIN(F256,Reprogramaciones!S$13),11))/MAX(0,NETWORKDAYS.INTL(MAX(E256,(Reprogramaciones!$T$15+7*(Reprogramaciones!S$14-1))),MIN(F256,(Reprogramaciones!$T$15+7*(Reprogramaciones!S$14-1))+6),11))))))))</f>
        <v/>
      </c>
      <c r="CC256" s="1" t="str">
        <f aca="false">IF(OR(NOT(AND(ISNUMBER(E256),ISNUMBER(F256))),$J$2=""),"",IF(Reprogramaciones!T$13&lt;Reprogramaciones!$T$15,0,IF(Reprogramaciones!T$14&gt;10,MIN(100,SUM($G256:$P256)),MIN(100,SUMPRODUCT((COLUMN($G256:$P256)-COLUMN($G256)+1&lt;Reprogramaciones!T$14)*$G256:$P256)+N(INDEX($G256:$P256,1,Reprogramaciones!T$14))*IF(Reprogramaciones!T$13&gt;=(Reprogramaciones!$T$15+7*(Reprogramaciones!T$14-1))+6,1,IF(MAX(0,NETWORKDAYS.INTL(MAX(E256,(Reprogramaciones!$T$15+7*(Reprogramaciones!T$14-1))),MIN(F256,(Reprogramaciones!$T$15+7*(Reprogramaciones!T$14-1))+6),11))=0,0,MAX(0,NETWORKDAYS.INTL(MAX(E256,(Reprogramaciones!$T$15+7*(Reprogramaciones!T$14-1))),MIN(F256,Reprogramaciones!T$13),11))/MAX(0,NETWORKDAYS.INTL(MAX(E256,(Reprogramaciones!$T$15+7*(Reprogramaciones!T$14-1))),MIN(F256,(Reprogramaciones!$T$15+7*(Reprogramaciones!T$14-1))+6),11))))))))</f>
        <v/>
      </c>
      <c r="CD256" s="1" t="str">
        <f aca="false">IF(OR(NOT(AND(ISNUMBER(E256),ISNUMBER(F256))),$J$2=""),"",IF(Reprogramaciones!U$13&lt;Reprogramaciones!$T$15,0,IF(Reprogramaciones!U$14&gt;10,MIN(100,SUM($G256:$P256)),MIN(100,SUMPRODUCT((COLUMN($G256:$P256)-COLUMN($G256)+1&lt;Reprogramaciones!U$14)*$G256:$P256)+N(INDEX($G256:$P256,1,Reprogramaciones!U$14))*IF(Reprogramaciones!U$13&gt;=(Reprogramaciones!$T$15+7*(Reprogramaciones!U$14-1))+6,1,IF(MAX(0,NETWORKDAYS.INTL(MAX(E256,(Reprogramaciones!$T$15+7*(Reprogramaciones!U$14-1))),MIN(F256,(Reprogramaciones!$T$15+7*(Reprogramaciones!U$14-1))+6),11))=0,0,MAX(0,NETWORKDAYS.INTL(MAX(E256,(Reprogramaciones!$T$15+7*(Reprogramaciones!U$14-1))),MIN(F256,Reprogramaciones!U$13),11))/MAX(0,NETWORKDAYS.INTL(MAX(E256,(Reprogramaciones!$T$15+7*(Reprogramaciones!U$14-1))),MIN(F256,(Reprogramaciones!$T$15+7*(Reprogramaciones!U$14-1))+6),11))))))))</f>
        <v/>
      </c>
      <c r="CE256" s="1" t="str">
        <f aca="false">IF(OR(NOT(AND(ISNUMBER(E256),ISNUMBER(F256))),$J$2=""),"",IF(Reprogramaciones!V$13&lt;Reprogramaciones!$T$15,0,IF(Reprogramaciones!V$14&gt;10,MIN(100,SUM($G256:$P256)),MIN(100,SUMPRODUCT((COLUMN($G256:$P256)-COLUMN($G256)+1&lt;Reprogramaciones!V$14)*$G256:$P256)+N(INDEX($G256:$P256,1,Reprogramaciones!V$14))*IF(Reprogramaciones!V$13&gt;=(Reprogramaciones!$T$15+7*(Reprogramaciones!V$14-1))+6,1,IF(MAX(0,NETWORKDAYS.INTL(MAX(E256,(Reprogramaciones!$T$15+7*(Reprogramaciones!V$14-1))),MIN(F256,(Reprogramaciones!$T$15+7*(Reprogramaciones!V$14-1))+6),11))=0,0,MAX(0,NETWORKDAYS.INTL(MAX(E256,(Reprogramaciones!$T$15+7*(Reprogramaciones!V$14-1))),MIN(F256,Reprogramaciones!V$13),11))/MAX(0,NETWORKDAYS.INTL(MAX(E256,(Reprogramaciones!$T$15+7*(Reprogramaciones!V$14-1))),MIN(F256,(Reprogramaciones!$T$15+7*(Reprogramaciones!V$14-1))+6),11))))))))</f>
        <v/>
      </c>
      <c r="CF256" s="1" t="str">
        <f aca="false">IF(OR(NOT(AND(ISNUMBER(E256),ISNUMBER(F256))),$J$2=""),"",IF(Reprogramaciones!W$13&lt;Reprogramaciones!$T$15,0,IF(Reprogramaciones!W$14&gt;10,MIN(100,SUM($G256:$P256)),MIN(100,SUMPRODUCT((COLUMN($G256:$P256)-COLUMN($G256)+1&lt;Reprogramaciones!W$14)*$G256:$P256)+N(INDEX($G256:$P256,1,Reprogramaciones!W$14))*IF(Reprogramaciones!W$13&gt;=(Reprogramaciones!$T$15+7*(Reprogramaciones!W$14-1))+6,1,IF(MAX(0,NETWORKDAYS.INTL(MAX(E256,(Reprogramaciones!$T$15+7*(Reprogramaciones!W$14-1))),MIN(F256,(Reprogramaciones!$T$15+7*(Reprogramaciones!W$14-1))+6),11))=0,0,MAX(0,NETWORKDAYS.INTL(MAX(E256,(Reprogramaciones!$T$15+7*(Reprogramaciones!W$14-1))),MIN(F256,Reprogramaciones!W$13),11))/MAX(0,NETWORKDAYS.INTL(MAX(E256,(Reprogramaciones!$T$15+7*(Reprogramaciones!W$14-1))),MIN(F256,(Reprogramaciones!$T$15+7*(Reprogramaciones!W$14-1))+6),11))))))))</f>
        <v/>
      </c>
      <c r="CG256" s="1" t="str">
        <f aca="false">IF(OR(NOT(AND(ISNUMBER(E256),ISNUMBER(F256))),$J$2=""),"",IF(Reprogramaciones!X$13&lt;Reprogramaciones!$T$15,0,IF(Reprogramaciones!X$14&gt;10,MIN(100,SUM($G256:$P256)),MIN(100,SUMPRODUCT((COLUMN($G256:$P256)-COLUMN($G256)+1&lt;Reprogramaciones!X$14)*$G256:$P256)+N(INDEX($G256:$P256,1,Reprogramaciones!X$14))*IF(Reprogramaciones!X$13&gt;=(Reprogramaciones!$T$15+7*(Reprogramaciones!X$14-1))+6,1,IF(MAX(0,NETWORKDAYS.INTL(MAX(E256,(Reprogramaciones!$T$15+7*(Reprogramaciones!X$14-1))),MIN(F256,(Reprogramaciones!$T$15+7*(Reprogramaciones!X$14-1))+6),11))=0,0,MAX(0,NETWORKDAYS.INTL(MAX(E256,(Reprogramaciones!$T$15+7*(Reprogramaciones!X$14-1))),MIN(F256,Reprogramaciones!X$13),11))/MAX(0,NETWORKDAYS.INTL(MAX(E256,(Reprogramaciones!$T$15+7*(Reprogramaciones!X$14-1))),MIN(F256,(Reprogramaciones!$T$15+7*(Reprogramaciones!X$14-1))+6),11))))))))</f>
        <v/>
      </c>
      <c r="CH256" s="1" t="str">
        <f aca="false">IF(OR(NOT(AND(ISNUMBER(E256),ISNUMBER(F256))),$J$2=""),"",IF(Reprogramaciones!Y$13&lt;Reprogramaciones!$T$15,0,IF(Reprogramaciones!Y$14&gt;10,MIN(100,SUM($G256:$P256)),MIN(100,SUMPRODUCT((COLUMN($G256:$P256)-COLUMN($G256)+1&lt;Reprogramaciones!Y$14)*$G256:$P256)+N(INDEX($G256:$P256,1,Reprogramaciones!Y$14))*IF(Reprogramaciones!Y$13&gt;=(Reprogramaciones!$T$15+7*(Reprogramaciones!Y$14-1))+6,1,IF(MAX(0,NETWORKDAYS.INTL(MAX(E256,(Reprogramaciones!$T$15+7*(Reprogramaciones!Y$14-1))),MIN(F256,(Reprogramaciones!$T$15+7*(Reprogramaciones!Y$14-1))+6),11))=0,0,MAX(0,NETWORKDAYS.INTL(MAX(E256,(Reprogramaciones!$T$15+7*(Reprogramaciones!Y$14-1))),MIN(F256,Reprogramaciones!Y$13),11))/MAX(0,NETWORKDAYS.INTL(MAX(E256,(Reprogramaciones!$T$15+7*(Reprogramaciones!Y$14-1))),MIN(F256,(Reprogramaciones!$T$15+7*(Reprogramaciones!Y$14-1))+6),11))))))))</f>
        <v/>
      </c>
      <c r="CI256" s="1" t="str">
        <f aca="false">IF(OR(NOT(AND(ISNUMBER(E256),ISNUMBER(F256))),$J$2=""),"",IF(Reprogramaciones!Z$13&lt;Reprogramaciones!$T$15,0,IF(Reprogramaciones!Z$14&gt;10,MIN(100,SUM($G256:$P256)),MIN(100,SUMPRODUCT((COLUMN($G256:$P256)-COLUMN($G256)+1&lt;Reprogramaciones!Z$14)*$G256:$P256)+N(INDEX($G256:$P256,1,Reprogramaciones!Z$14))*IF(Reprogramaciones!Z$13&gt;=(Reprogramaciones!$T$15+7*(Reprogramaciones!Z$14-1))+6,1,IF(MAX(0,NETWORKDAYS.INTL(MAX(E256,(Reprogramaciones!$T$15+7*(Reprogramaciones!Z$14-1))),MIN(F256,(Reprogramaciones!$T$15+7*(Reprogramaciones!Z$14-1))+6),11))=0,0,MAX(0,NETWORKDAYS.INTL(MAX(E256,(Reprogramaciones!$T$15+7*(Reprogramaciones!Z$14-1))),MIN(F256,Reprogramaciones!Z$13),11))/MAX(0,NETWORKDAYS.INTL(MAX(E256,(Reprogramaciones!$T$15+7*(Reprogramaciones!Z$14-1))),MIN(F256,(Reprogramaciones!$T$15+7*(Reprogramaciones!Z$14-1))+6),11))))))))</f>
        <v/>
      </c>
      <c r="CJ256" s="1" t="str">
        <f aca="false">IF(OR(OR(NOT(AND(ISNUMBER(E256),ISNUMBER(F256))),$J$2=""),1&gt;Reprogramaciones!$K$16),"",IF(ROUND(SUM($Q256:Q256),1)&gt;=99.5,100,MIN(100,ROUND(SUM($Q256:Q256),1))))</f>
        <v/>
      </c>
      <c r="CK256" s="1" t="str">
        <f aca="false">IF(OR(OR(NOT(AND(ISNUMBER(E256),ISNUMBER(F256))),$J$2=""),2&gt;Reprogramaciones!$K$16),"",IF(ROUND(SUM($Q256:R256),1)&gt;=99.5,100,MIN(100,ROUND(SUM($Q256:R256),1))))</f>
        <v/>
      </c>
      <c r="CL256" s="1" t="str">
        <f aca="false">IF(OR(OR(NOT(AND(ISNUMBER(E256),ISNUMBER(F256))),$J$2=""),3&gt;Reprogramaciones!$K$16),"",IF(ROUND(SUM($Q256:S256),1)&gt;=99.5,100,MIN(100,ROUND(SUM($Q256:S256),1))))</f>
        <v/>
      </c>
      <c r="CM256" s="1" t="str">
        <f aca="false">IF(OR(OR(NOT(AND(ISNUMBER(E256),ISNUMBER(F256))),$J$2=""),4&gt;Reprogramaciones!$K$16),"",IF(ROUND(SUM($Q256:T256),1)&gt;=99.5,100,MIN(100,ROUND(SUM($Q256:T256),1))))</f>
        <v/>
      </c>
      <c r="CN256" s="1" t="str">
        <f aca="false">IF(OR(OR(NOT(AND(ISNUMBER(E256),ISNUMBER(F256))),$J$2=""),5&gt;Reprogramaciones!$K$16),"",IF(ROUND(SUM($Q256:U256),1)&gt;=99.5,100,MIN(100,ROUND(SUM($Q256:U256),1))))</f>
        <v/>
      </c>
      <c r="CO256" s="1" t="str">
        <f aca="false">IF(OR(OR(NOT(AND(ISNUMBER(E256),ISNUMBER(F256))),$J$2=""),6&gt;Reprogramaciones!$K$16),"",IF(ROUND(SUM($Q256:V256),1)&gt;=99.5,100,MIN(100,ROUND(SUM($Q256:V256),1))))</f>
        <v/>
      </c>
      <c r="CP256" s="1" t="str">
        <f aca="false">IF(OR(OR(NOT(AND(ISNUMBER(E256),ISNUMBER(F256))),$J$2=""),7&gt;Reprogramaciones!$K$16),"",IF(ROUND(SUM($Q256:W256),1)&gt;=99.5,100,MIN(100,ROUND(SUM($Q256:W256),1))))</f>
        <v/>
      </c>
      <c r="CQ256" s="1" t="str">
        <f aca="false">IF(OR(OR(NOT(AND(ISNUMBER(E256),ISNUMBER(F256))),$J$2=""),8&gt;Reprogramaciones!$K$16),"",IF(ROUND(SUM($Q256:X256),1)&gt;=99.5,100,MIN(100,ROUND(SUM($Q256:X256),1))))</f>
        <v/>
      </c>
      <c r="CR256" s="1" t="str">
        <f aca="false">IF(OR(OR(NOT(AND(ISNUMBER(E256),ISNUMBER(F256))),$J$2=""),9&gt;Reprogramaciones!$K$16),"",IF(ROUND(SUM($Q256:Y256),1)&gt;=99.5,100,MIN(100,ROUND(SUM($Q256:Y256),1))))</f>
        <v/>
      </c>
      <c r="CS256" s="1" t="str">
        <f aca="false">IF(OR(OR(NOT(AND(ISNUMBER(E256),ISNUMBER(F256))),$J$2=""),10&gt;Reprogramaciones!$K$16),"",IF(ROUND(SUM($Q256:Z256),1)&gt;=99.5,100,MIN(100,ROUND(SUM($Q256:Z256),1))))</f>
        <v/>
      </c>
      <c r="CT256" s="1" t="str">
        <f aca="false">IF(OR(OR(NOT(AND(ISNUMBER(E256),ISNUMBER(F256))),$J$2=""),11&gt;Reprogramaciones!$K$16),"",IF(ROUND(SUM($Q256:AA256),1)&gt;=99.5,100,MIN(100,ROUND(SUM($Q256:AA256),1))))</f>
        <v/>
      </c>
      <c r="CU256" s="1" t="str">
        <f aca="false">IF(OR(OR(NOT(AND(ISNUMBER(E256),ISNUMBER(F256))),$J$2=""),12&gt;Reprogramaciones!$K$16),"",IF(ROUND(SUM($Q256:AB256),1)&gt;=99.5,100,MIN(100,ROUND(SUM($Q256:AB256),1))))</f>
        <v/>
      </c>
      <c r="CV256" s="1" t="str">
        <f aca="false">IF(OR(OR(NOT(AND(ISNUMBER(E256),ISNUMBER(F256))),$J$2=""),13&gt;Reprogramaciones!$K$16),"",IF(ROUND(SUM($Q256:AC256),1)&gt;=99.5,100,MIN(100,ROUND(SUM($Q256:AC256),1))))</f>
        <v/>
      </c>
      <c r="CW256" s="1" t="str">
        <f aca="false">IF(OR(OR(NOT(AND(ISNUMBER(E256),ISNUMBER(F256))),$J$2=""),14&gt;Reprogramaciones!$K$16),"",IF(ROUND(SUM($Q256:AD256),1)&gt;=99.5,100,MIN(100,ROUND(SUM($Q256:AD256),1))))</f>
        <v/>
      </c>
      <c r="CX256" s="1" t="str">
        <f aca="false">IF(OR(OR(NOT(AND(ISNUMBER(E256),ISNUMBER(F256))),$J$2=""),15&gt;Reprogramaciones!$K$16),"",IF(ROUND(SUM($Q256:AE256),1)&gt;=99.5,100,MIN(100,ROUND(SUM($Q256:AE256),1))))</f>
        <v/>
      </c>
      <c r="CY256" s="1" t="str">
        <f aca="false">IF(OR(OR(NOT(AND(ISNUMBER(E256),ISNUMBER(F256))),$J$2=""),16&gt;Reprogramaciones!$K$16),"",IF(ROUND(SUM($Q256:AF256),1)&gt;=99.5,100,MIN(100,ROUND(SUM($Q256:AF256),1))))</f>
        <v/>
      </c>
      <c r="CZ256" s="1" t="str">
        <f aca="false">IF(D256&lt;&gt;"",D256,IF(B256&lt;&gt;"","Contractual",CZ255))</f>
        <v>Contractual</v>
      </c>
      <c r="DA256" s="1" t="str">
        <f aca="false">IF(OR(NOT(AND(ISNUMBER(E256),ISNUMBER(F256))),$J$2=""),"",IF(Reprogramaciones!$Q$15&lt;Reprogramaciones!$T$15,0,IF(Reprogramaciones!$S$15&gt;10,MIN(100,SUM($G256:$P256)),MIN(100,SUMPRODUCT((COLUMN($G256:$P256)-COLUMN($G256)+1&lt;Reprogramaciones!$S$15)*$G256:$P256)+N(INDEX($G256:$P256,1,Reprogramaciones!$S$15))*IF(Reprogramaciones!$Q$15&gt;=(Reprogramaciones!$T$15+7*(Reprogramaciones!$S$15-1))+6,1,IF(MAX(0,NETWORKDAYS.INTL(MAX(E256,(Reprogramaciones!$T$15+7*(Reprogramaciones!$S$15-1))),MIN(F256,(Reprogramaciones!$T$15+7*(Reprogramaciones!$S$15-1))+6),11))=0,0,MAX(0,NETWORKDAYS.INTL(MAX(E256,(Reprogramaciones!$T$15+7*(Reprogramaciones!$S$15-1))),MIN(F256,Reprogramaciones!$Q$15),11))/MAX(0,NETWORKDAYS.INTL(MAX(E256,(Reprogramaciones!$T$15+7*(Reprogramaciones!$S$15-1))),MIN(F256,(Reprogramaciones!$T$15+7*(Reprogramaciones!$S$15-1))+6),11))))))))</f>
        <v/>
      </c>
    </row>
    <row r="257" customFormat="false" ht="15" hidden="false" customHeight="false" outlineLevel="0" collapsed="false">
      <c r="A257" s="32"/>
      <c r="B257" s="33"/>
      <c r="C257" s="33"/>
      <c r="D257" s="34"/>
      <c r="E257" s="35"/>
      <c r="F257" s="35"/>
      <c r="G257" s="36" t="str">
        <f aca="false">IF(OR(NOT(AND(ISNUMBER(E257),ISNUMBER(F257))),$J$2=""),"",IF(Reprogramaciones!K$9&lt;E257,0,IF(NETWORKDAYS.INTL(E257,F257,11)=0,IF(Reprogramaciones!K$9&gt;=F257,100,0),ROUND(NETWORKDAYS.INTL(E257,MIN(F257,Reprogramaciones!K$9),11)/NETWORKDAYS.INTL(E257,F257,11)*100,1)))-0)</f>
        <v/>
      </c>
      <c r="H257" s="36" t="str">
        <f aca="false">IF(OR(NOT(AND(ISNUMBER(E257),ISNUMBER(F257))),$J$2=""),"",IF(Reprogramaciones!L$9&lt;E257,0,IF(NETWORKDAYS.INTL(E257,F257,11)=0,IF(Reprogramaciones!L$9&gt;=F257,100,0),ROUND(NETWORKDAYS.INTL(E257,MIN(F257,Reprogramaciones!L$9),11)/NETWORKDAYS.INTL(E257,F257,11)*100,1)))-IF(Reprogramaciones!K$9&lt;E257,0,IF(NETWORKDAYS.INTL(E257,F257,11)=0,IF(Reprogramaciones!K$9&gt;=F257,100,0),ROUND(NETWORKDAYS.INTL(E257,MIN(F257,Reprogramaciones!K$9),11)/NETWORKDAYS.INTL(E257,F257,11)*100,1))))</f>
        <v/>
      </c>
      <c r="I257" s="36" t="str">
        <f aca="false">IF(OR(NOT(AND(ISNUMBER(E257),ISNUMBER(F257))),$J$2=""),"",IF(Reprogramaciones!M$9&lt;E257,0,IF(NETWORKDAYS.INTL(E257,F257,11)=0,IF(Reprogramaciones!M$9&gt;=F257,100,0),ROUND(NETWORKDAYS.INTL(E257,MIN(F257,Reprogramaciones!M$9),11)/NETWORKDAYS.INTL(E257,F257,11)*100,1)))-IF(Reprogramaciones!L$9&lt;E257,0,IF(NETWORKDAYS.INTL(E257,F257,11)=0,IF(Reprogramaciones!L$9&gt;=F257,100,0),ROUND(NETWORKDAYS.INTL(E257,MIN(F257,Reprogramaciones!L$9),11)/NETWORKDAYS.INTL(E257,F257,11)*100,1))))</f>
        <v/>
      </c>
      <c r="J257" s="36" t="str">
        <f aca="false">IF(OR(NOT(AND(ISNUMBER(E257),ISNUMBER(F257))),$J$2=""),"",IF(Reprogramaciones!N$9&lt;E257,0,IF(NETWORKDAYS.INTL(E257,F257,11)=0,IF(Reprogramaciones!N$9&gt;=F257,100,0),ROUND(NETWORKDAYS.INTL(E257,MIN(F257,Reprogramaciones!N$9),11)/NETWORKDAYS.INTL(E257,F257,11)*100,1)))-IF(Reprogramaciones!M$9&lt;E257,0,IF(NETWORKDAYS.INTL(E257,F257,11)=0,IF(Reprogramaciones!M$9&gt;=F257,100,0),ROUND(NETWORKDAYS.INTL(E257,MIN(F257,Reprogramaciones!M$9),11)/NETWORKDAYS.INTL(E257,F257,11)*100,1))))</f>
        <v/>
      </c>
      <c r="K257" s="36" t="str">
        <f aca="false">IF(OR(NOT(AND(ISNUMBER(E257),ISNUMBER(F257))),$J$2=""),"",IF(Reprogramaciones!O$9&lt;E257,0,IF(NETWORKDAYS.INTL(E257,F257,11)=0,IF(Reprogramaciones!O$9&gt;=F257,100,0),ROUND(NETWORKDAYS.INTL(E257,MIN(F257,Reprogramaciones!O$9),11)/NETWORKDAYS.INTL(E257,F257,11)*100,1)))-IF(Reprogramaciones!N$9&lt;E257,0,IF(NETWORKDAYS.INTL(E257,F257,11)=0,IF(Reprogramaciones!N$9&gt;=F257,100,0),ROUND(NETWORKDAYS.INTL(E257,MIN(F257,Reprogramaciones!N$9),11)/NETWORKDAYS.INTL(E257,F257,11)*100,1))))</f>
        <v/>
      </c>
      <c r="L257" s="36" t="str">
        <f aca="false">IF(OR(NOT(AND(ISNUMBER(E257),ISNUMBER(F257))),$J$2=""),"",IF(Reprogramaciones!P$9&lt;E257,0,IF(NETWORKDAYS.INTL(E257,F257,11)=0,IF(Reprogramaciones!P$9&gt;=F257,100,0),ROUND(NETWORKDAYS.INTL(E257,MIN(F257,Reprogramaciones!P$9),11)/NETWORKDAYS.INTL(E257,F257,11)*100,1)))-IF(Reprogramaciones!O$9&lt;E257,0,IF(NETWORKDAYS.INTL(E257,F257,11)=0,IF(Reprogramaciones!O$9&gt;=F257,100,0),ROUND(NETWORKDAYS.INTL(E257,MIN(F257,Reprogramaciones!O$9),11)/NETWORKDAYS.INTL(E257,F257,11)*100,1))))</f>
        <v/>
      </c>
      <c r="M257" s="36" t="str">
        <f aca="false">IF(OR(NOT(AND(ISNUMBER(E257),ISNUMBER(F257))),$J$2=""),"",IF(Reprogramaciones!Q$9&lt;E257,0,IF(NETWORKDAYS.INTL(E257,F257,11)=0,IF(Reprogramaciones!Q$9&gt;=F257,100,0),ROUND(NETWORKDAYS.INTL(E257,MIN(F257,Reprogramaciones!Q$9),11)/NETWORKDAYS.INTL(E257,F257,11)*100,1)))-IF(Reprogramaciones!P$9&lt;E257,0,IF(NETWORKDAYS.INTL(E257,F257,11)=0,IF(Reprogramaciones!P$9&gt;=F257,100,0),ROUND(NETWORKDAYS.INTL(E257,MIN(F257,Reprogramaciones!P$9),11)/NETWORKDAYS.INTL(E257,F257,11)*100,1))))</f>
        <v/>
      </c>
      <c r="N257" s="36" t="str">
        <f aca="false">IF(OR(NOT(AND(ISNUMBER(E257),ISNUMBER(F257))),$J$2=""),"",IF(Reprogramaciones!R$9&lt;E257,0,IF(NETWORKDAYS.INTL(E257,F257,11)=0,IF(Reprogramaciones!R$9&gt;=F257,100,0),ROUND(NETWORKDAYS.INTL(E257,MIN(F257,Reprogramaciones!R$9),11)/NETWORKDAYS.INTL(E257,F257,11)*100,1)))-IF(Reprogramaciones!Q$9&lt;E257,0,IF(NETWORKDAYS.INTL(E257,F257,11)=0,IF(Reprogramaciones!Q$9&gt;=F257,100,0),ROUND(NETWORKDAYS.INTL(E257,MIN(F257,Reprogramaciones!Q$9),11)/NETWORKDAYS.INTL(E257,F257,11)*100,1))))</f>
        <v/>
      </c>
      <c r="O257" s="36" t="str">
        <f aca="false">IF(OR(NOT(AND(ISNUMBER(E257),ISNUMBER(F257))),$J$2=""),"",IF(Reprogramaciones!S$9&lt;E257,0,IF(NETWORKDAYS.INTL(E257,F257,11)=0,IF(Reprogramaciones!S$9&gt;=F257,100,0),ROUND(NETWORKDAYS.INTL(E257,MIN(F257,Reprogramaciones!S$9),11)/NETWORKDAYS.INTL(E257,F257,11)*100,1)))-IF(Reprogramaciones!R$9&lt;E257,0,IF(NETWORKDAYS.INTL(E257,F257,11)=0,IF(Reprogramaciones!R$9&gt;=F257,100,0),ROUND(NETWORKDAYS.INTL(E257,MIN(F257,Reprogramaciones!R$9),11)/NETWORKDAYS.INTL(E257,F257,11)*100,1))))</f>
        <v/>
      </c>
      <c r="P257" s="36" t="str">
        <f aca="false">IF(OR(NOT(AND(ISNUMBER(E257),ISNUMBER(F257))),$J$2=""),"",IF(Reprogramaciones!T$9&lt;E257,0,IF(NETWORKDAYS.INTL(E257,F257,11)=0,IF(Reprogramaciones!T$9&gt;=F257,100,0),ROUND(NETWORKDAYS.INTL(E257,MIN(F257,Reprogramaciones!T$9),11)/NETWORKDAYS.INTL(E257,F257,11)*100,1)))-IF(Reprogramaciones!S$9&lt;E257,0,IF(NETWORKDAYS.INTL(E257,F257,11)=0,IF(Reprogramaciones!S$9&gt;=F257,100,0),ROUND(NETWORKDAYS.INTL(E257,MIN(F257,Reprogramaciones!S$9),11)/NETWORKDAYS.INTL(E257,F257,11)*100,1))))</f>
        <v/>
      </c>
      <c r="Q257" s="37"/>
      <c r="R257" s="37"/>
      <c r="S257" s="37"/>
      <c r="T257" s="37"/>
      <c r="U257" s="37"/>
      <c r="V257" s="37"/>
      <c r="W257" s="37"/>
      <c r="X257" s="37"/>
      <c r="Y257" s="37"/>
      <c r="Z257" s="37"/>
      <c r="AA257" s="37"/>
      <c r="AB257" s="37"/>
      <c r="AC257" s="37"/>
      <c r="AD257" s="37"/>
      <c r="AE257" s="37"/>
      <c r="AF257" s="37"/>
      <c r="AG257" s="38" t="str">
        <f aca="false">IF(AND(ISNUMBER(E257),ISNUMBER(F257)),NETWORKDAYS.INTL(E257,F257,11),"")</f>
        <v/>
      </c>
      <c r="AH257" s="38" t="str">
        <f aca="false">IF(OR(NOT(AND(ISNUMBER(E257),ISNUMBER(F257))),$J$2=""),"",IF(Reprogramaciones!$P$15&lt;Reprogramaciones!$T$15,0,IF(Reprogramaciones!$R$15&gt;10,MIN(100,SUM($G257:$P257)),MIN(100,SUMPRODUCT((COLUMN($G257:$P257)-COLUMN($G257)+1&lt;Reprogramaciones!$R$15)*$G257:$P257)+N(INDEX($G257:$P257,1,Reprogramaciones!$R$15))*IF(Reprogramaciones!$P$15&gt;=(Reprogramaciones!$T$15+7*(Reprogramaciones!$R$15-1))+6,1,IF(MAX(0,NETWORKDAYS.INTL(MAX(E257,(Reprogramaciones!$T$15+7*(Reprogramaciones!$R$15-1))),MIN(F257,(Reprogramaciones!$T$15+7*(Reprogramaciones!$R$15-1))+6),11))=0,0,MAX(0,NETWORKDAYS.INTL(MAX(E257,(Reprogramaciones!$T$15+7*(Reprogramaciones!$R$15-1))),MIN(F257,Reprogramaciones!$P$15),11))/MAX(0,NETWORKDAYS.INTL(MAX(E257,(Reprogramaciones!$T$15+7*(Reprogramaciones!$R$15-1))),MIN(F257,(Reprogramaciones!$T$15+7*(Reprogramaciones!$R$15-1))+6),11))))))))</f>
        <v/>
      </c>
      <c r="AI257" s="38" t="str">
        <f aca="false">IF(COUNT($Q257:$AF257)=0,"",IF(ROUND(SUM($Q257:$AF257),1)&gt;=99.5,100,MIN(100,ROUND(SUM($Q257:$AF257),1))))</f>
        <v/>
      </c>
      <c r="AJ257" s="38" t="str">
        <f aca="false">IF(OR(AH257="",AI257=""),"",AI257-AH257)</f>
        <v/>
      </c>
      <c r="AK257" s="39" t="str">
        <f aca="true">IF(AH257="","",IF(OR(Ficha!$C$10="Suspendida",Ficha!$C$10="Cancelada"),Ficha!$C$10,IF(AND(AI257&lt;&gt;"",N(AI257)&gt;=100),"Completada",IF(AND(E257&gt;TODAY(),N(AI257)=0),"Por iniciar",IF(N(AI257)+0.5&lt;AH257,"Retrasada",IF(N(AI257)+0.5&lt;DA257,IF(Reprogramaciones!$K$15&gt;0,"Al día · Sem "&amp;Reprogramaciones!$K$15&amp;" en curso","Al día · en curso"),"A tiempo"))))))</f>
        <v/>
      </c>
      <c r="AL257" s="39" t="str">
        <f aca="true">IF(AND(A257="",AND(B257="",C257="",E257="",F257="",COUNT(Q257:AF257)=0)),"",IF(AND(B257="",C257="",E257="",F257="",COUNT(Q257:AF257)=0),"Falta la partida o subpartida",IF(AND(A257&lt;&gt;"",COUNTIF($A$6:$A$305,A257)&gt;1),"Ítem repetido",IF(AND(C257="",E257="",F257="",COUNT(Q257:AF257)=0),"Título de partida",IF(OR(E257="",F257=""),"Faltan fechas",IF(OR(ISTEXT(E257),ISTEXT(F257)),"Fecha escrita como texto: usa dd/mm/aaaa",IF(F257&lt;E257,"Fin antes del inicio",IF(IF($J$2="",FALSE(),OR(E257&lt;$J$2,F257&gt;Reprogramaciones!$T$15+69)),"Fuera de las 10 semanas",IF(ABS(SUM(G257:P257)-100)&gt;0.5,"La meta no suma 100%",IF(ROUND(SUM(Q257:AF257),1)&gt;100.5,"El avance pasa de 100%",IF(MIN(Q257:AF257)&lt;0,"Avance negativo",IF(COUNTA(Q257:AF257)&gt;COUNT(Q257:AF257),"Avance escrito como texto",IF(SUMPRODUCT((Q257:AF257&gt;0)*(Q257:AF257&lt;1))&gt;0,"Avance menor a 1: escribe 50, no 50%",IF(SUMPRODUCT(ISNUMBER(Q257:AF257)*(Reprogramaciones!$K$8:$Z$8&gt;TODAY()))&gt;0,"Avance en semana que aún no llega",IF(AND(N(Reprogramaciones!$E$21)&gt;0,F257&gt;Reprogramaciones!$E$21),"Pasa el fin de la obra: registra una reprogramación",IF(AND(N(Reprogramaciones!$E$21)&gt;0,SUMPRODUCT(ISNUMBER(Q257:AF257)*(Reprogramaciones!$K$8:$Z$8&gt;Reprogramaciones!$E$21))&gt;0),"Avance después del fin de la obra: registra una reprogramación por atraso","OK"))))))))))))))))</f>
        <v/>
      </c>
      <c r="AM257" s="40" t="str">
        <f aca="false">IF(OR(OR(NOT(AND(ISNUMBER(E257),ISNUMBER(F257))),$J$2=""),1&gt;MAX(1,Reprogramaciones!$U$15)),"",IF(Reprogramaciones!K$12&gt;=7,"",IF(OR(BT257-N(0)&gt;0.05,N(Q257)&gt;0),ROUNDDOWN(ROUND(BT257,6),0)&amp;"%"&amp;IF(CJ257="",""," / "&amp;CJ257&amp;"%"),IF(AND(N(0)&gt;=99.95,CJ257&lt;&gt;"",N(CJ257)&lt;100),"Pend. "&amp;CJ257&amp;"%",""))))</f>
        <v/>
      </c>
      <c r="AN257" s="40" t="str">
        <f aca="false">IF(OR(OR(NOT(AND(ISNUMBER(E257),ISNUMBER(F257))),$J$2=""),2&gt;MAX(1,Reprogramaciones!$U$15)),"",IF(Reprogramaciones!L$12&gt;=7,"",IF(OR(BU257-N(BT257)&gt;0.05,N(R257)&gt;0),ROUNDDOWN(ROUND(BU257,6),0)&amp;"%"&amp;IF(CK257="",""," / "&amp;CK257&amp;"%"),IF(AND(N(BT257)&gt;=99.95,CK257&lt;&gt;"",N(CK257)&lt;100),"Pend. "&amp;CK257&amp;"%",""))))</f>
        <v/>
      </c>
      <c r="AO257" s="40" t="str">
        <f aca="false">IF(OR(OR(NOT(AND(ISNUMBER(E257),ISNUMBER(F257))),$J$2=""),3&gt;MAX(1,Reprogramaciones!$U$15)),"",IF(Reprogramaciones!M$12&gt;=7,"",IF(OR(BV257-N(BU257)&gt;0.05,N(S257)&gt;0),ROUNDDOWN(ROUND(BV257,6),0)&amp;"%"&amp;IF(CL257="",""," / "&amp;CL257&amp;"%"),IF(AND(N(BU257)&gt;=99.95,CL257&lt;&gt;"",N(CL257)&lt;100),"Pend. "&amp;CL257&amp;"%",""))))</f>
        <v/>
      </c>
      <c r="AP257" s="40" t="str">
        <f aca="false">IF(OR(OR(NOT(AND(ISNUMBER(E257),ISNUMBER(F257))),$J$2=""),4&gt;MAX(1,Reprogramaciones!$U$15)),"",IF(Reprogramaciones!N$12&gt;=7,"",IF(OR(BW257-N(BV257)&gt;0.05,N(T257)&gt;0),ROUNDDOWN(ROUND(BW257,6),0)&amp;"%"&amp;IF(CM257="",""," / "&amp;CM257&amp;"%"),IF(AND(N(BV257)&gt;=99.95,CM257&lt;&gt;"",N(CM257)&lt;100),"Pend. "&amp;CM257&amp;"%",""))))</f>
        <v/>
      </c>
      <c r="AQ257" s="40" t="str">
        <f aca="false">IF(OR(OR(NOT(AND(ISNUMBER(E257),ISNUMBER(F257))),$J$2=""),5&gt;MAX(1,Reprogramaciones!$U$15)),"",IF(Reprogramaciones!O$12&gt;=7,"",IF(OR(BX257-N(BW257)&gt;0.05,N(U257)&gt;0),ROUNDDOWN(ROUND(BX257,6),0)&amp;"%"&amp;IF(CN257="",""," / "&amp;CN257&amp;"%"),IF(AND(N(BW257)&gt;=99.95,CN257&lt;&gt;"",N(CN257)&lt;100),"Pend. "&amp;CN257&amp;"%",""))))</f>
        <v/>
      </c>
      <c r="AR257" s="40" t="str">
        <f aca="false">IF(OR(OR(NOT(AND(ISNUMBER(E257),ISNUMBER(F257))),$J$2=""),6&gt;MAX(1,Reprogramaciones!$U$15)),"",IF(Reprogramaciones!P$12&gt;=7,"",IF(OR(BY257-N(BX257)&gt;0.05,N(V257)&gt;0),ROUNDDOWN(ROUND(BY257,6),0)&amp;"%"&amp;IF(CO257="",""," / "&amp;CO257&amp;"%"),IF(AND(N(BX257)&gt;=99.95,CO257&lt;&gt;"",N(CO257)&lt;100),"Pend. "&amp;CO257&amp;"%",""))))</f>
        <v/>
      </c>
      <c r="AS257" s="40" t="str">
        <f aca="false">IF(OR(OR(NOT(AND(ISNUMBER(E257),ISNUMBER(F257))),$J$2=""),7&gt;MAX(1,Reprogramaciones!$U$15)),"",IF(Reprogramaciones!Q$12&gt;=7,"",IF(OR(BZ257-N(BY257)&gt;0.05,N(W257)&gt;0),ROUNDDOWN(ROUND(BZ257,6),0)&amp;"%"&amp;IF(CP257="",""," / "&amp;CP257&amp;"%"),IF(AND(N(BY257)&gt;=99.95,CP257&lt;&gt;"",N(CP257)&lt;100),"Pend. "&amp;CP257&amp;"%",""))))</f>
        <v/>
      </c>
      <c r="AT257" s="40" t="str">
        <f aca="false">IF(OR(OR(NOT(AND(ISNUMBER(E257),ISNUMBER(F257))),$J$2=""),8&gt;MAX(1,Reprogramaciones!$U$15)),"",IF(Reprogramaciones!R$12&gt;=7,"",IF(OR(CA257-N(BZ257)&gt;0.05,N(X257)&gt;0),ROUNDDOWN(ROUND(CA257,6),0)&amp;"%"&amp;IF(CQ257="",""," / "&amp;CQ257&amp;"%"),IF(AND(N(BZ257)&gt;=99.95,CQ257&lt;&gt;"",N(CQ257)&lt;100),"Pend. "&amp;CQ257&amp;"%",""))))</f>
        <v/>
      </c>
      <c r="AU257" s="40" t="str">
        <f aca="false">IF(OR(OR(NOT(AND(ISNUMBER(E257),ISNUMBER(F257))),$J$2=""),9&gt;MAX(1,Reprogramaciones!$U$15)),"",IF(Reprogramaciones!S$12&gt;=7,"",IF(OR(CB257-N(CA257)&gt;0.05,N(Y257)&gt;0),ROUNDDOWN(ROUND(CB257,6),0)&amp;"%"&amp;IF(CR257="",""," / "&amp;CR257&amp;"%"),IF(AND(N(CA257)&gt;=99.95,CR257&lt;&gt;"",N(CR257)&lt;100),"Pend. "&amp;CR257&amp;"%",""))))</f>
        <v/>
      </c>
      <c r="AV257" s="40" t="str">
        <f aca="false">IF(OR(OR(NOT(AND(ISNUMBER(E257),ISNUMBER(F257))),$J$2=""),10&gt;MAX(1,Reprogramaciones!$U$15)),"",IF(Reprogramaciones!T$12&gt;=7,"",IF(OR(CC257-N(CB257)&gt;0.05,N(Z257)&gt;0),ROUNDDOWN(ROUND(CC257,6),0)&amp;"%"&amp;IF(CS257="",""," / "&amp;CS257&amp;"%"),IF(AND(N(CB257)&gt;=99.95,CS257&lt;&gt;"",N(CS257)&lt;100),"Pend. "&amp;CS257&amp;"%",""))))</f>
        <v/>
      </c>
      <c r="AW257" s="40" t="str">
        <f aca="false">IF(OR(OR(NOT(AND(ISNUMBER(E257),ISNUMBER(F257))),$J$2=""),11&gt;MAX(1,Reprogramaciones!$U$15)),"",IF(Reprogramaciones!U$12&gt;=7,"",IF(OR(CD257-N(CC257)&gt;0.05,N(AA257)&gt;0),ROUNDDOWN(ROUND(CD257,6),0)&amp;"%"&amp;IF(CT257="",""," / "&amp;CT257&amp;"%"),IF(AND(N(CC257)&gt;=99.95,CT257&lt;&gt;"",N(CT257)&lt;100),"Pend. "&amp;CT257&amp;"%",""))))</f>
        <v/>
      </c>
      <c r="AX257" s="40" t="str">
        <f aca="false">IF(OR(OR(NOT(AND(ISNUMBER(E257),ISNUMBER(F257))),$J$2=""),12&gt;MAX(1,Reprogramaciones!$U$15)),"",IF(Reprogramaciones!V$12&gt;=7,"",IF(OR(CE257-N(CD257)&gt;0.05,N(AB257)&gt;0),ROUNDDOWN(ROUND(CE257,6),0)&amp;"%"&amp;IF(CU257="",""," / "&amp;CU257&amp;"%"),IF(AND(N(CD257)&gt;=99.95,CU257&lt;&gt;"",N(CU257)&lt;100),"Pend. "&amp;CU257&amp;"%",""))))</f>
        <v/>
      </c>
      <c r="AY257" s="40" t="str">
        <f aca="false">IF(OR(OR(NOT(AND(ISNUMBER(E257),ISNUMBER(F257))),$J$2=""),13&gt;MAX(1,Reprogramaciones!$U$15)),"",IF(Reprogramaciones!W$12&gt;=7,"",IF(OR(CF257-N(CE257)&gt;0.05,N(AC257)&gt;0),ROUNDDOWN(ROUND(CF257,6),0)&amp;"%"&amp;IF(CV257="",""," / "&amp;CV257&amp;"%"),IF(AND(N(CE257)&gt;=99.95,CV257&lt;&gt;"",N(CV257)&lt;100),"Pend. "&amp;CV257&amp;"%",""))))</f>
        <v/>
      </c>
      <c r="AZ257" s="40" t="str">
        <f aca="false">IF(OR(OR(NOT(AND(ISNUMBER(E257),ISNUMBER(F257))),$J$2=""),14&gt;MAX(1,Reprogramaciones!$U$15)),"",IF(Reprogramaciones!X$12&gt;=7,"",IF(OR(CG257-N(CF257)&gt;0.05,N(AD257)&gt;0),ROUNDDOWN(ROUND(CG257,6),0)&amp;"%"&amp;IF(CW257="",""," / "&amp;CW257&amp;"%"),IF(AND(N(CF257)&gt;=99.95,CW257&lt;&gt;"",N(CW257)&lt;100),"Pend. "&amp;CW257&amp;"%",""))))</f>
        <v/>
      </c>
      <c r="BA257" s="40" t="str">
        <f aca="false">IF(OR(OR(NOT(AND(ISNUMBER(E257),ISNUMBER(F257))),$J$2=""),15&gt;MAX(1,Reprogramaciones!$U$15)),"",IF(Reprogramaciones!Y$12&gt;=7,"",IF(OR(CH257-N(CG257)&gt;0.05,N(AE257)&gt;0),ROUNDDOWN(ROUND(CH257,6),0)&amp;"%"&amp;IF(CX257="",""," / "&amp;CX257&amp;"%"),IF(AND(N(CG257)&gt;=99.95,CX257&lt;&gt;"",N(CX257)&lt;100),"Pend. "&amp;CX257&amp;"%",""))))</f>
        <v/>
      </c>
      <c r="BB257" s="40" t="str">
        <f aca="false">IF(OR(OR(NOT(AND(ISNUMBER(E257),ISNUMBER(F257))),$J$2=""),16&gt;MAX(1,Reprogramaciones!$U$15)),"",IF(Reprogramaciones!Z$12&gt;=7,"",IF(OR(CI257-N(CH257)&gt;0.05,N(AF257)&gt;0),ROUNDDOWN(ROUND(CI257,6),0)&amp;"%"&amp;IF(CY257="",""," / "&amp;CY257&amp;"%"),IF(AND(N(CH257)&gt;=99.95,CY257&lt;&gt;"",N(CY257)&lt;100),"Pend. "&amp;CY257&amp;"%",""))))</f>
        <v/>
      </c>
      <c r="BC257" s="31" t="n">
        <f aca="false">IF(AND(ISNUMBER(E257),ISNUMBER(F257)),MAX(1,NETWORKDAYS.INTL(E257,F257,11)),0)</f>
        <v>0</v>
      </c>
      <c r="BD257" s="1" t="str">
        <f aca="false">IF(OR(NOT(AND(ISNUMBER(E257),ISNUMBER(F257))),$J$2=""),"",MIN(100,ROUND(SUM($G257:G257),1)))</f>
        <v/>
      </c>
      <c r="BE257" s="1" t="str">
        <f aca="false">IF(OR(NOT(AND(ISNUMBER(E257),ISNUMBER(F257))),$J$2=""),"",MIN(100,ROUND(SUM($G257:H257),1)))</f>
        <v/>
      </c>
      <c r="BF257" s="1" t="str">
        <f aca="false">IF(OR(NOT(AND(ISNUMBER(E257),ISNUMBER(F257))),$J$2=""),"",MIN(100,ROUND(SUM($G257:I257),1)))</f>
        <v/>
      </c>
      <c r="BG257" s="1" t="str">
        <f aca="false">IF(OR(NOT(AND(ISNUMBER(E257),ISNUMBER(F257))),$J$2=""),"",MIN(100,ROUND(SUM($G257:J257),1)))</f>
        <v/>
      </c>
      <c r="BH257" s="1" t="str">
        <f aca="false">IF(OR(NOT(AND(ISNUMBER(E257),ISNUMBER(F257))),$J$2=""),"",MIN(100,ROUND(SUM($G257:K257),1)))</f>
        <v/>
      </c>
      <c r="BI257" s="1" t="str">
        <f aca="false">IF(OR(NOT(AND(ISNUMBER(E257),ISNUMBER(F257))),$J$2=""),"",MIN(100,ROUND(SUM($G257:L257),1)))</f>
        <v/>
      </c>
      <c r="BJ257" s="1" t="str">
        <f aca="false">IF(OR(NOT(AND(ISNUMBER(E257),ISNUMBER(F257))),$J$2=""),"",MIN(100,ROUND(SUM($G257:M257),1)))</f>
        <v/>
      </c>
      <c r="BK257" s="1" t="str">
        <f aca="false">IF(OR(NOT(AND(ISNUMBER(E257),ISNUMBER(F257))),$J$2=""),"",MIN(100,ROUND(SUM($G257:N257),1)))</f>
        <v/>
      </c>
      <c r="BL257" s="1" t="str">
        <f aca="false">IF(OR(NOT(AND(ISNUMBER(E257),ISNUMBER(F257))),$J$2=""),"",MIN(100,ROUND(SUM($G257:O257),1)))</f>
        <v/>
      </c>
      <c r="BM257" s="1" t="str">
        <f aca="false">IF(OR(NOT(AND(ISNUMBER(E257),ISNUMBER(F257))),$J$2=""),"",MIN(100,ROUND(SUM($G257:P257),1)))</f>
        <v/>
      </c>
      <c r="BN257" s="1" t="str">
        <f aca="false">IF(OR(NOT(AND(ISNUMBER(E257),ISNUMBER(F257))),$J$2=""),"",MIN(100,ROUND(SUM($G257:P257),1)))</f>
        <v/>
      </c>
      <c r="BO257" s="1" t="str">
        <f aca="false">IF(OR(NOT(AND(ISNUMBER(E257),ISNUMBER(F257))),$J$2=""),"",MIN(100,ROUND(SUM($G257:P257),1)))</f>
        <v/>
      </c>
      <c r="BP257" s="1" t="str">
        <f aca="false">IF(OR(NOT(AND(ISNUMBER(E257),ISNUMBER(F257))),$J$2=""),"",MIN(100,ROUND(SUM($G257:P257),1)))</f>
        <v/>
      </c>
      <c r="BQ257" s="1" t="str">
        <f aca="false">IF(OR(NOT(AND(ISNUMBER(E257),ISNUMBER(F257))),$J$2=""),"",MIN(100,ROUND(SUM($G257:P257),1)))</f>
        <v/>
      </c>
      <c r="BR257" s="1" t="str">
        <f aca="false">IF(OR(NOT(AND(ISNUMBER(E257),ISNUMBER(F257))),$J$2=""),"",MIN(100,ROUND(SUM($G257:P257),1)))</f>
        <v/>
      </c>
      <c r="BS257" s="1" t="str">
        <f aca="false">IF(OR(NOT(AND(ISNUMBER(E257),ISNUMBER(F257))),$J$2=""),"",MIN(100,ROUND(SUM($G257:P257),1)))</f>
        <v/>
      </c>
      <c r="BT257" s="1" t="str">
        <f aca="false">IF(OR(NOT(AND(ISNUMBER(E257),ISNUMBER(F257))),$J$2=""),"",IF(Reprogramaciones!K$13&lt;Reprogramaciones!$T$15,0,IF(Reprogramaciones!K$14&gt;10,MIN(100,SUM($G257:$P257)),MIN(100,SUMPRODUCT((COLUMN($G257:$P257)-COLUMN($G257)+1&lt;Reprogramaciones!K$14)*$G257:$P257)+N(INDEX($G257:$P257,1,Reprogramaciones!K$14))*IF(Reprogramaciones!K$13&gt;=(Reprogramaciones!$T$15+7*(Reprogramaciones!K$14-1))+6,1,IF(MAX(0,NETWORKDAYS.INTL(MAX(E257,(Reprogramaciones!$T$15+7*(Reprogramaciones!K$14-1))),MIN(F257,(Reprogramaciones!$T$15+7*(Reprogramaciones!K$14-1))+6),11))=0,0,MAX(0,NETWORKDAYS.INTL(MAX(E257,(Reprogramaciones!$T$15+7*(Reprogramaciones!K$14-1))),MIN(F257,Reprogramaciones!K$13),11))/MAX(0,NETWORKDAYS.INTL(MAX(E257,(Reprogramaciones!$T$15+7*(Reprogramaciones!K$14-1))),MIN(F257,(Reprogramaciones!$T$15+7*(Reprogramaciones!K$14-1))+6),11))))))))</f>
        <v/>
      </c>
      <c r="BU257" s="1" t="str">
        <f aca="false">IF(OR(NOT(AND(ISNUMBER(E257),ISNUMBER(F257))),$J$2=""),"",IF(Reprogramaciones!L$13&lt;Reprogramaciones!$T$15,0,IF(Reprogramaciones!L$14&gt;10,MIN(100,SUM($G257:$P257)),MIN(100,SUMPRODUCT((COLUMN($G257:$P257)-COLUMN($G257)+1&lt;Reprogramaciones!L$14)*$G257:$P257)+N(INDEX($G257:$P257,1,Reprogramaciones!L$14))*IF(Reprogramaciones!L$13&gt;=(Reprogramaciones!$T$15+7*(Reprogramaciones!L$14-1))+6,1,IF(MAX(0,NETWORKDAYS.INTL(MAX(E257,(Reprogramaciones!$T$15+7*(Reprogramaciones!L$14-1))),MIN(F257,(Reprogramaciones!$T$15+7*(Reprogramaciones!L$14-1))+6),11))=0,0,MAX(0,NETWORKDAYS.INTL(MAX(E257,(Reprogramaciones!$T$15+7*(Reprogramaciones!L$14-1))),MIN(F257,Reprogramaciones!L$13),11))/MAX(0,NETWORKDAYS.INTL(MAX(E257,(Reprogramaciones!$T$15+7*(Reprogramaciones!L$14-1))),MIN(F257,(Reprogramaciones!$T$15+7*(Reprogramaciones!L$14-1))+6),11))))))))</f>
        <v/>
      </c>
      <c r="BV257" s="1" t="str">
        <f aca="false">IF(OR(NOT(AND(ISNUMBER(E257),ISNUMBER(F257))),$J$2=""),"",IF(Reprogramaciones!M$13&lt;Reprogramaciones!$T$15,0,IF(Reprogramaciones!M$14&gt;10,MIN(100,SUM($G257:$P257)),MIN(100,SUMPRODUCT((COLUMN($G257:$P257)-COLUMN($G257)+1&lt;Reprogramaciones!M$14)*$G257:$P257)+N(INDEX($G257:$P257,1,Reprogramaciones!M$14))*IF(Reprogramaciones!M$13&gt;=(Reprogramaciones!$T$15+7*(Reprogramaciones!M$14-1))+6,1,IF(MAX(0,NETWORKDAYS.INTL(MAX(E257,(Reprogramaciones!$T$15+7*(Reprogramaciones!M$14-1))),MIN(F257,(Reprogramaciones!$T$15+7*(Reprogramaciones!M$14-1))+6),11))=0,0,MAX(0,NETWORKDAYS.INTL(MAX(E257,(Reprogramaciones!$T$15+7*(Reprogramaciones!M$14-1))),MIN(F257,Reprogramaciones!M$13),11))/MAX(0,NETWORKDAYS.INTL(MAX(E257,(Reprogramaciones!$T$15+7*(Reprogramaciones!M$14-1))),MIN(F257,(Reprogramaciones!$T$15+7*(Reprogramaciones!M$14-1))+6),11))))))))</f>
        <v/>
      </c>
      <c r="BW257" s="1" t="str">
        <f aca="false">IF(OR(NOT(AND(ISNUMBER(E257),ISNUMBER(F257))),$J$2=""),"",IF(Reprogramaciones!N$13&lt;Reprogramaciones!$T$15,0,IF(Reprogramaciones!N$14&gt;10,MIN(100,SUM($G257:$P257)),MIN(100,SUMPRODUCT((COLUMN($G257:$P257)-COLUMN($G257)+1&lt;Reprogramaciones!N$14)*$G257:$P257)+N(INDEX($G257:$P257,1,Reprogramaciones!N$14))*IF(Reprogramaciones!N$13&gt;=(Reprogramaciones!$T$15+7*(Reprogramaciones!N$14-1))+6,1,IF(MAX(0,NETWORKDAYS.INTL(MAX(E257,(Reprogramaciones!$T$15+7*(Reprogramaciones!N$14-1))),MIN(F257,(Reprogramaciones!$T$15+7*(Reprogramaciones!N$14-1))+6),11))=0,0,MAX(0,NETWORKDAYS.INTL(MAX(E257,(Reprogramaciones!$T$15+7*(Reprogramaciones!N$14-1))),MIN(F257,Reprogramaciones!N$13),11))/MAX(0,NETWORKDAYS.INTL(MAX(E257,(Reprogramaciones!$T$15+7*(Reprogramaciones!N$14-1))),MIN(F257,(Reprogramaciones!$T$15+7*(Reprogramaciones!N$14-1))+6),11))))))))</f>
        <v/>
      </c>
      <c r="BX257" s="1" t="str">
        <f aca="false">IF(OR(NOT(AND(ISNUMBER(E257),ISNUMBER(F257))),$J$2=""),"",IF(Reprogramaciones!O$13&lt;Reprogramaciones!$T$15,0,IF(Reprogramaciones!O$14&gt;10,MIN(100,SUM($G257:$P257)),MIN(100,SUMPRODUCT((COLUMN($G257:$P257)-COLUMN($G257)+1&lt;Reprogramaciones!O$14)*$G257:$P257)+N(INDEX($G257:$P257,1,Reprogramaciones!O$14))*IF(Reprogramaciones!O$13&gt;=(Reprogramaciones!$T$15+7*(Reprogramaciones!O$14-1))+6,1,IF(MAX(0,NETWORKDAYS.INTL(MAX(E257,(Reprogramaciones!$T$15+7*(Reprogramaciones!O$14-1))),MIN(F257,(Reprogramaciones!$T$15+7*(Reprogramaciones!O$14-1))+6),11))=0,0,MAX(0,NETWORKDAYS.INTL(MAX(E257,(Reprogramaciones!$T$15+7*(Reprogramaciones!O$14-1))),MIN(F257,Reprogramaciones!O$13),11))/MAX(0,NETWORKDAYS.INTL(MAX(E257,(Reprogramaciones!$T$15+7*(Reprogramaciones!O$14-1))),MIN(F257,(Reprogramaciones!$T$15+7*(Reprogramaciones!O$14-1))+6),11))))))))</f>
        <v/>
      </c>
      <c r="BY257" s="1" t="str">
        <f aca="false">IF(OR(NOT(AND(ISNUMBER(E257),ISNUMBER(F257))),$J$2=""),"",IF(Reprogramaciones!P$13&lt;Reprogramaciones!$T$15,0,IF(Reprogramaciones!P$14&gt;10,MIN(100,SUM($G257:$P257)),MIN(100,SUMPRODUCT((COLUMN($G257:$P257)-COLUMN($G257)+1&lt;Reprogramaciones!P$14)*$G257:$P257)+N(INDEX($G257:$P257,1,Reprogramaciones!P$14))*IF(Reprogramaciones!P$13&gt;=(Reprogramaciones!$T$15+7*(Reprogramaciones!P$14-1))+6,1,IF(MAX(0,NETWORKDAYS.INTL(MAX(E257,(Reprogramaciones!$T$15+7*(Reprogramaciones!P$14-1))),MIN(F257,(Reprogramaciones!$T$15+7*(Reprogramaciones!P$14-1))+6),11))=0,0,MAX(0,NETWORKDAYS.INTL(MAX(E257,(Reprogramaciones!$T$15+7*(Reprogramaciones!P$14-1))),MIN(F257,Reprogramaciones!P$13),11))/MAX(0,NETWORKDAYS.INTL(MAX(E257,(Reprogramaciones!$T$15+7*(Reprogramaciones!P$14-1))),MIN(F257,(Reprogramaciones!$T$15+7*(Reprogramaciones!P$14-1))+6),11))))))))</f>
        <v/>
      </c>
      <c r="BZ257" s="1" t="str">
        <f aca="false">IF(OR(NOT(AND(ISNUMBER(E257),ISNUMBER(F257))),$J$2=""),"",IF(Reprogramaciones!Q$13&lt;Reprogramaciones!$T$15,0,IF(Reprogramaciones!Q$14&gt;10,MIN(100,SUM($G257:$P257)),MIN(100,SUMPRODUCT((COLUMN($G257:$P257)-COLUMN($G257)+1&lt;Reprogramaciones!Q$14)*$G257:$P257)+N(INDEX($G257:$P257,1,Reprogramaciones!Q$14))*IF(Reprogramaciones!Q$13&gt;=(Reprogramaciones!$T$15+7*(Reprogramaciones!Q$14-1))+6,1,IF(MAX(0,NETWORKDAYS.INTL(MAX(E257,(Reprogramaciones!$T$15+7*(Reprogramaciones!Q$14-1))),MIN(F257,(Reprogramaciones!$T$15+7*(Reprogramaciones!Q$14-1))+6),11))=0,0,MAX(0,NETWORKDAYS.INTL(MAX(E257,(Reprogramaciones!$T$15+7*(Reprogramaciones!Q$14-1))),MIN(F257,Reprogramaciones!Q$13),11))/MAX(0,NETWORKDAYS.INTL(MAX(E257,(Reprogramaciones!$T$15+7*(Reprogramaciones!Q$14-1))),MIN(F257,(Reprogramaciones!$T$15+7*(Reprogramaciones!Q$14-1))+6),11))))))))</f>
        <v/>
      </c>
      <c r="CA257" s="1" t="str">
        <f aca="false">IF(OR(NOT(AND(ISNUMBER(E257),ISNUMBER(F257))),$J$2=""),"",IF(Reprogramaciones!R$13&lt;Reprogramaciones!$T$15,0,IF(Reprogramaciones!R$14&gt;10,MIN(100,SUM($G257:$P257)),MIN(100,SUMPRODUCT((COLUMN($G257:$P257)-COLUMN($G257)+1&lt;Reprogramaciones!R$14)*$G257:$P257)+N(INDEX($G257:$P257,1,Reprogramaciones!R$14))*IF(Reprogramaciones!R$13&gt;=(Reprogramaciones!$T$15+7*(Reprogramaciones!R$14-1))+6,1,IF(MAX(0,NETWORKDAYS.INTL(MAX(E257,(Reprogramaciones!$T$15+7*(Reprogramaciones!R$14-1))),MIN(F257,(Reprogramaciones!$T$15+7*(Reprogramaciones!R$14-1))+6),11))=0,0,MAX(0,NETWORKDAYS.INTL(MAX(E257,(Reprogramaciones!$T$15+7*(Reprogramaciones!R$14-1))),MIN(F257,Reprogramaciones!R$13),11))/MAX(0,NETWORKDAYS.INTL(MAX(E257,(Reprogramaciones!$T$15+7*(Reprogramaciones!R$14-1))),MIN(F257,(Reprogramaciones!$T$15+7*(Reprogramaciones!R$14-1))+6),11))))))))</f>
        <v/>
      </c>
      <c r="CB257" s="1" t="str">
        <f aca="false">IF(OR(NOT(AND(ISNUMBER(E257),ISNUMBER(F257))),$J$2=""),"",IF(Reprogramaciones!S$13&lt;Reprogramaciones!$T$15,0,IF(Reprogramaciones!S$14&gt;10,MIN(100,SUM($G257:$P257)),MIN(100,SUMPRODUCT((COLUMN($G257:$P257)-COLUMN($G257)+1&lt;Reprogramaciones!S$14)*$G257:$P257)+N(INDEX($G257:$P257,1,Reprogramaciones!S$14))*IF(Reprogramaciones!S$13&gt;=(Reprogramaciones!$T$15+7*(Reprogramaciones!S$14-1))+6,1,IF(MAX(0,NETWORKDAYS.INTL(MAX(E257,(Reprogramaciones!$T$15+7*(Reprogramaciones!S$14-1))),MIN(F257,(Reprogramaciones!$T$15+7*(Reprogramaciones!S$14-1))+6),11))=0,0,MAX(0,NETWORKDAYS.INTL(MAX(E257,(Reprogramaciones!$T$15+7*(Reprogramaciones!S$14-1))),MIN(F257,Reprogramaciones!S$13),11))/MAX(0,NETWORKDAYS.INTL(MAX(E257,(Reprogramaciones!$T$15+7*(Reprogramaciones!S$14-1))),MIN(F257,(Reprogramaciones!$T$15+7*(Reprogramaciones!S$14-1))+6),11))))))))</f>
        <v/>
      </c>
      <c r="CC257" s="1" t="str">
        <f aca="false">IF(OR(NOT(AND(ISNUMBER(E257),ISNUMBER(F257))),$J$2=""),"",IF(Reprogramaciones!T$13&lt;Reprogramaciones!$T$15,0,IF(Reprogramaciones!T$14&gt;10,MIN(100,SUM($G257:$P257)),MIN(100,SUMPRODUCT((COLUMN($G257:$P257)-COLUMN($G257)+1&lt;Reprogramaciones!T$14)*$G257:$P257)+N(INDEX($G257:$P257,1,Reprogramaciones!T$14))*IF(Reprogramaciones!T$13&gt;=(Reprogramaciones!$T$15+7*(Reprogramaciones!T$14-1))+6,1,IF(MAX(0,NETWORKDAYS.INTL(MAX(E257,(Reprogramaciones!$T$15+7*(Reprogramaciones!T$14-1))),MIN(F257,(Reprogramaciones!$T$15+7*(Reprogramaciones!T$14-1))+6),11))=0,0,MAX(0,NETWORKDAYS.INTL(MAX(E257,(Reprogramaciones!$T$15+7*(Reprogramaciones!T$14-1))),MIN(F257,Reprogramaciones!T$13),11))/MAX(0,NETWORKDAYS.INTL(MAX(E257,(Reprogramaciones!$T$15+7*(Reprogramaciones!T$14-1))),MIN(F257,(Reprogramaciones!$T$15+7*(Reprogramaciones!T$14-1))+6),11))))))))</f>
        <v/>
      </c>
      <c r="CD257" s="1" t="str">
        <f aca="false">IF(OR(NOT(AND(ISNUMBER(E257),ISNUMBER(F257))),$J$2=""),"",IF(Reprogramaciones!U$13&lt;Reprogramaciones!$T$15,0,IF(Reprogramaciones!U$14&gt;10,MIN(100,SUM($G257:$P257)),MIN(100,SUMPRODUCT((COLUMN($G257:$P257)-COLUMN($G257)+1&lt;Reprogramaciones!U$14)*$G257:$P257)+N(INDEX($G257:$P257,1,Reprogramaciones!U$14))*IF(Reprogramaciones!U$13&gt;=(Reprogramaciones!$T$15+7*(Reprogramaciones!U$14-1))+6,1,IF(MAX(0,NETWORKDAYS.INTL(MAX(E257,(Reprogramaciones!$T$15+7*(Reprogramaciones!U$14-1))),MIN(F257,(Reprogramaciones!$T$15+7*(Reprogramaciones!U$14-1))+6),11))=0,0,MAX(0,NETWORKDAYS.INTL(MAX(E257,(Reprogramaciones!$T$15+7*(Reprogramaciones!U$14-1))),MIN(F257,Reprogramaciones!U$13),11))/MAX(0,NETWORKDAYS.INTL(MAX(E257,(Reprogramaciones!$T$15+7*(Reprogramaciones!U$14-1))),MIN(F257,(Reprogramaciones!$T$15+7*(Reprogramaciones!U$14-1))+6),11))))))))</f>
        <v/>
      </c>
      <c r="CE257" s="1" t="str">
        <f aca="false">IF(OR(NOT(AND(ISNUMBER(E257),ISNUMBER(F257))),$J$2=""),"",IF(Reprogramaciones!V$13&lt;Reprogramaciones!$T$15,0,IF(Reprogramaciones!V$14&gt;10,MIN(100,SUM($G257:$P257)),MIN(100,SUMPRODUCT((COLUMN($G257:$P257)-COLUMN($G257)+1&lt;Reprogramaciones!V$14)*$G257:$P257)+N(INDEX($G257:$P257,1,Reprogramaciones!V$14))*IF(Reprogramaciones!V$13&gt;=(Reprogramaciones!$T$15+7*(Reprogramaciones!V$14-1))+6,1,IF(MAX(0,NETWORKDAYS.INTL(MAX(E257,(Reprogramaciones!$T$15+7*(Reprogramaciones!V$14-1))),MIN(F257,(Reprogramaciones!$T$15+7*(Reprogramaciones!V$14-1))+6),11))=0,0,MAX(0,NETWORKDAYS.INTL(MAX(E257,(Reprogramaciones!$T$15+7*(Reprogramaciones!V$14-1))),MIN(F257,Reprogramaciones!V$13),11))/MAX(0,NETWORKDAYS.INTL(MAX(E257,(Reprogramaciones!$T$15+7*(Reprogramaciones!V$14-1))),MIN(F257,(Reprogramaciones!$T$15+7*(Reprogramaciones!V$14-1))+6),11))))))))</f>
        <v/>
      </c>
      <c r="CF257" s="1" t="str">
        <f aca="false">IF(OR(NOT(AND(ISNUMBER(E257),ISNUMBER(F257))),$J$2=""),"",IF(Reprogramaciones!W$13&lt;Reprogramaciones!$T$15,0,IF(Reprogramaciones!W$14&gt;10,MIN(100,SUM($G257:$P257)),MIN(100,SUMPRODUCT((COLUMN($G257:$P257)-COLUMN($G257)+1&lt;Reprogramaciones!W$14)*$G257:$P257)+N(INDEX($G257:$P257,1,Reprogramaciones!W$14))*IF(Reprogramaciones!W$13&gt;=(Reprogramaciones!$T$15+7*(Reprogramaciones!W$14-1))+6,1,IF(MAX(0,NETWORKDAYS.INTL(MAX(E257,(Reprogramaciones!$T$15+7*(Reprogramaciones!W$14-1))),MIN(F257,(Reprogramaciones!$T$15+7*(Reprogramaciones!W$14-1))+6),11))=0,0,MAX(0,NETWORKDAYS.INTL(MAX(E257,(Reprogramaciones!$T$15+7*(Reprogramaciones!W$14-1))),MIN(F257,Reprogramaciones!W$13),11))/MAX(0,NETWORKDAYS.INTL(MAX(E257,(Reprogramaciones!$T$15+7*(Reprogramaciones!W$14-1))),MIN(F257,(Reprogramaciones!$T$15+7*(Reprogramaciones!W$14-1))+6),11))))))))</f>
        <v/>
      </c>
      <c r="CG257" s="1" t="str">
        <f aca="false">IF(OR(NOT(AND(ISNUMBER(E257),ISNUMBER(F257))),$J$2=""),"",IF(Reprogramaciones!X$13&lt;Reprogramaciones!$T$15,0,IF(Reprogramaciones!X$14&gt;10,MIN(100,SUM($G257:$P257)),MIN(100,SUMPRODUCT((COLUMN($G257:$P257)-COLUMN($G257)+1&lt;Reprogramaciones!X$14)*$G257:$P257)+N(INDEX($G257:$P257,1,Reprogramaciones!X$14))*IF(Reprogramaciones!X$13&gt;=(Reprogramaciones!$T$15+7*(Reprogramaciones!X$14-1))+6,1,IF(MAX(0,NETWORKDAYS.INTL(MAX(E257,(Reprogramaciones!$T$15+7*(Reprogramaciones!X$14-1))),MIN(F257,(Reprogramaciones!$T$15+7*(Reprogramaciones!X$14-1))+6),11))=0,0,MAX(0,NETWORKDAYS.INTL(MAX(E257,(Reprogramaciones!$T$15+7*(Reprogramaciones!X$14-1))),MIN(F257,Reprogramaciones!X$13),11))/MAX(0,NETWORKDAYS.INTL(MAX(E257,(Reprogramaciones!$T$15+7*(Reprogramaciones!X$14-1))),MIN(F257,(Reprogramaciones!$T$15+7*(Reprogramaciones!X$14-1))+6),11))))))))</f>
        <v/>
      </c>
      <c r="CH257" s="1" t="str">
        <f aca="false">IF(OR(NOT(AND(ISNUMBER(E257),ISNUMBER(F257))),$J$2=""),"",IF(Reprogramaciones!Y$13&lt;Reprogramaciones!$T$15,0,IF(Reprogramaciones!Y$14&gt;10,MIN(100,SUM($G257:$P257)),MIN(100,SUMPRODUCT((COLUMN($G257:$P257)-COLUMN($G257)+1&lt;Reprogramaciones!Y$14)*$G257:$P257)+N(INDEX($G257:$P257,1,Reprogramaciones!Y$14))*IF(Reprogramaciones!Y$13&gt;=(Reprogramaciones!$T$15+7*(Reprogramaciones!Y$14-1))+6,1,IF(MAX(0,NETWORKDAYS.INTL(MAX(E257,(Reprogramaciones!$T$15+7*(Reprogramaciones!Y$14-1))),MIN(F257,(Reprogramaciones!$T$15+7*(Reprogramaciones!Y$14-1))+6),11))=0,0,MAX(0,NETWORKDAYS.INTL(MAX(E257,(Reprogramaciones!$T$15+7*(Reprogramaciones!Y$14-1))),MIN(F257,Reprogramaciones!Y$13),11))/MAX(0,NETWORKDAYS.INTL(MAX(E257,(Reprogramaciones!$T$15+7*(Reprogramaciones!Y$14-1))),MIN(F257,(Reprogramaciones!$T$15+7*(Reprogramaciones!Y$14-1))+6),11))))))))</f>
        <v/>
      </c>
      <c r="CI257" s="1" t="str">
        <f aca="false">IF(OR(NOT(AND(ISNUMBER(E257),ISNUMBER(F257))),$J$2=""),"",IF(Reprogramaciones!Z$13&lt;Reprogramaciones!$T$15,0,IF(Reprogramaciones!Z$14&gt;10,MIN(100,SUM($G257:$P257)),MIN(100,SUMPRODUCT((COLUMN($G257:$P257)-COLUMN($G257)+1&lt;Reprogramaciones!Z$14)*$G257:$P257)+N(INDEX($G257:$P257,1,Reprogramaciones!Z$14))*IF(Reprogramaciones!Z$13&gt;=(Reprogramaciones!$T$15+7*(Reprogramaciones!Z$14-1))+6,1,IF(MAX(0,NETWORKDAYS.INTL(MAX(E257,(Reprogramaciones!$T$15+7*(Reprogramaciones!Z$14-1))),MIN(F257,(Reprogramaciones!$T$15+7*(Reprogramaciones!Z$14-1))+6),11))=0,0,MAX(0,NETWORKDAYS.INTL(MAX(E257,(Reprogramaciones!$T$15+7*(Reprogramaciones!Z$14-1))),MIN(F257,Reprogramaciones!Z$13),11))/MAX(0,NETWORKDAYS.INTL(MAX(E257,(Reprogramaciones!$T$15+7*(Reprogramaciones!Z$14-1))),MIN(F257,(Reprogramaciones!$T$15+7*(Reprogramaciones!Z$14-1))+6),11))))))))</f>
        <v/>
      </c>
      <c r="CJ257" s="1" t="str">
        <f aca="false">IF(OR(OR(NOT(AND(ISNUMBER(E257),ISNUMBER(F257))),$J$2=""),1&gt;Reprogramaciones!$K$16),"",IF(ROUND(SUM($Q257:Q257),1)&gt;=99.5,100,MIN(100,ROUND(SUM($Q257:Q257),1))))</f>
        <v/>
      </c>
      <c r="CK257" s="1" t="str">
        <f aca="false">IF(OR(OR(NOT(AND(ISNUMBER(E257),ISNUMBER(F257))),$J$2=""),2&gt;Reprogramaciones!$K$16),"",IF(ROUND(SUM($Q257:R257),1)&gt;=99.5,100,MIN(100,ROUND(SUM($Q257:R257),1))))</f>
        <v/>
      </c>
      <c r="CL257" s="1" t="str">
        <f aca="false">IF(OR(OR(NOT(AND(ISNUMBER(E257),ISNUMBER(F257))),$J$2=""),3&gt;Reprogramaciones!$K$16),"",IF(ROUND(SUM($Q257:S257),1)&gt;=99.5,100,MIN(100,ROUND(SUM($Q257:S257),1))))</f>
        <v/>
      </c>
      <c r="CM257" s="1" t="str">
        <f aca="false">IF(OR(OR(NOT(AND(ISNUMBER(E257),ISNUMBER(F257))),$J$2=""),4&gt;Reprogramaciones!$K$16),"",IF(ROUND(SUM($Q257:T257),1)&gt;=99.5,100,MIN(100,ROUND(SUM($Q257:T257),1))))</f>
        <v/>
      </c>
      <c r="CN257" s="1" t="str">
        <f aca="false">IF(OR(OR(NOT(AND(ISNUMBER(E257),ISNUMBER(F257))),$J$2=""),5&gt;Reprogramaciones!$K$16),"",IF(ROUND(SUM($Q257:U257),1)&gt;=99.5,100,MIN(100,ROUND(SUM($Q257:U257),1))))</f>
        <v/>
      </c>
      <c r="CO257" s="1" t="str">
        <f aca="false">IF(OR(OR(NOT(AND(ISNUMBER(E257),ISNUMBER(F257))),$J$2=""),6&gt;Reprogramaciones!$K$16),"",IF(ROUND(SUM($Q257:V257),1)&gt;=99.5,100,MIN(100,ROUND(SUM($Q257:V257),1))))</f>
        <v/>
      </c>
      <c r="CP257" s="1" t="str">
        <f aca="false">IF(OR(OR(NOT(AND(ISNUMBER(E257),ISNUMBER(F257))),$J$2=""),7&gt;Reprogramaciones!$K$16),"",IF(ROUND(SUM($Q257:W257),1)&gt;=99.5,100,MIN(100,ROUND(SUM($Q257:W257),1))))</f>
        <v/>
      </c>
      <c r="CQ257" s="1" t="str">
        <f aca="false">IF(OR(OR(NOT(AND(ISNUMBER(E257),ISNUMBER(F257))),$J$2=""),8&gt;Reprogramaciones!$K$16),"",IF(ROUND(SUM($Q257:X257),1)&gt;=99.5,100,MIN(100,ROUND(SUM($Q257:X257),1))))</f>
        <v/>
      </c>
      <c r="CR257" s="1" t="str">
        <f aca="false">IF(OR(OR(NOT(AND(ISNUMBER(E257),ISNUMBER(F257))),$J$2=""),9&gt;Reprogramaciones!$K$16),"",IF(ROUND(SUM($Q257:Y257),1)&gt;=99.5,100,MIN(100,ROUND(SUM($Q257:Y257),1))))</f>
        <v/>
      </c>
      <c r="CS257" s="1" t="str">
        <f aca="false">IF(OR(OR(NOT(AND(ISNUMBER(E257),ISNUMBER(F257))),$J$2=""),10&gt;Reprogramaciones!$K$16),"",IF(ROUND(SUM($Q257:Z257),1)&gt;=99.5,100,MIN(100,ROUND(SUM($Q257:Z257),1))))</f>
        <v/>
      </c>
      <c r="CT257" s="1" t="str">
        <f aca="false">IF(OR(OR(NOT(AND(ISNUMBER(E257),ISNUMBER(F257))),$J$2=""),11&gt;Reprogramaciones!$K$16),"",IF(ROUND(SUM($Q257:AA257),1)&gt;=99.5,100,MIN(100,ROUND(SUM($Q257:AA257),1))))</f>
        <v/>
      </c>
      <c r="CU257" s="1" t="str">
        <f aca="false">IF(OR(OR(NOT(AND(ISNUMBER(E257),ISNUMBER(F257))),$J$2=""),12&gt;Reprogramaciones!$K$16),"",IF(ROUND(SUM($Q257:AB257),1)&gt;=99.5,100,MIN(100,ROUND(SUM($Q257:AB257),1))))</f>
        <v/>
      </c>
      <c r="CV257" s="1" t="str">
        <f aca="false">IF(OR(OR(NOT(AND(ISNUMBER(E257),ISNUMBER(F257))),$J$2=""),13&gt;Reprogramaciones!$K$16),"",IF(ROUND(SUM($Q257:AC257),1)&gt;=99.5,100,MIN(100,ROUND(SUM($Q257:AC257),1))))</f>
        <v/>
      </c>
      <c r="CW257" s="1" t="str">
        <f aca="false">IF(OR(OR(NOT(AND(ISNUMBER(E257),ISNUMBER(F257))),$J$2=""),14&gt;Reprogramaciones!$K$16),"",IF(ROUND(SUM($Q257:AD257),1)&gt;=99.5,100,MIN(100,ROUND(SUM($Q257:AD257),1))))</f>
        <v/>
      </c>
      <c r="CX257" s="1" t="str">
        <f aca="false">IF(OR(OR(NOT(AND(ISNUMBER(E257),ISNUMBER(F257))),$J$2=""),15&gt;Reprogramaciones!$K$16),"",IF(ROUND(SUM($Q257:AE257),1)&gt;=99.5,100,MIN(100,ROUND(SUM($Q257:AE257),1))))</f>
        <v/>
      </c>
      <c r="CY257" s="1" t="str">
        <f aca="false">IF(OR(OR(NOT(AND(ISNUMBER(E257),ISNUMBER(F257))),$J$2=""),16&gt;Reprogramaciones!$K$16),"",IF(ROUND(SUM($Q257:AF257),1)&gt;=99.5,100,MIN(100,ROUND(SUM($Q257:AF257),1))))</f>
        <v/>
      </c>
      <c r="CZ257" s="1" t="str">
        <f aca="false">IF(D257&lt;&gt;"",D257,IF(B257&lt;&gt;"","Contractual",CZ256))</f>
        <v>Contractual</v>
      </c>
      <c r="DA257" s="1" t="str">
        <f aca="false">IF(OR(NOT(AND(ISNUMBER(E257),ISNUMBER(F257))),$J$2=""),"",IF(Reprogramaciones!$Q$15&lt;Reprogramaciones!$T$15,0,IF(Reprogramaciones!$S$15&gt;10,MIN(100,SUM($G257:$P257)),MIN(100,SUMPRODUCT((COLUMN($G257:$P257)-COLUMN($G257)+1&lt;Reprogramaciones!$S$15)*$G257:$P257)+N(INDEX($G257:$P257,1,Reprogramaciones!$S$15))*IF(Reprogramaciones!$Q$15&gt;=(Reprogramaciones!$T$15+7*(Reprogramaciones!$S$15-1))+6,1,IF(MAX(0,NETWORKDAYS.INTL(MAX(E257,(Reprogramaciones!$T$15+7*(Reprogramaciones!$S$15-1))),MIN(F257,(Reprogramaciones!$T$15+7*(Reprogramaciones!$S$15-1))+6),11))=0,0,MAX(0,NETWORKDAYS.INTL(MAX(E257,(Reprogramaciones!$T$15+7*(Reprogramaciones!$S$15-1))),MIN(F257,Reprogramaciones!$Q$15),11))/MAX(0,NETWORKDAYS.INTL(MAX(E257,(Reprogramaciones!$T$15+7*(Reprogramaciones!$S$15-1))),MIN(F257,(Reprogramaciones!$T$15+7*(Reprogramaciones!$S$15-1))+6),11))))))))</f>
        <v/>
      </c>
    </row>
    <row r="258" customFormat="false" ht="15" hidden="false" customHeight="false" outlineLevel="0" collapsed="false">
      <c r="A258" s="32"/>
      <c r="B258" s="33"/>
      <c r="C258" s="33"/>
      <c r="D258" s="34"/>
      <c r="E258" s="35"/>
      <c r="F258" s="35"/>
      <c r="G258" s="36" t="str">
        <f aca="false">IF(OR(NOT(AND(ISNUMBER(E258),ISNUMBER(F258))),$J$2=""),"",IF(Reprogramaciones!K$9&lt;E258,0,IF(NETWORKDAYS.INTL(E258,F258,11)=0,IF(Reprogramaciones!K$9&gt;=F258,100,0),ROUND(NETWORKDAYS.INTL(E258,MIN(F258,Reprogramaciones!K$9),11)/NETWORKDAYS.INTL(E258,F258,11)*100,1)))-0)</f>
        <v/>
      </c>
      <c r="H258" s="36" t="str">
        <f aca="false">IF(OR(NOT(AND(ISNUMBER(E258),ISNUMBER(F258))),$J$2=""),"",IF(Reprogramaciones!L$9&lt;E258,0,IF(NETWORKDAYS.INTL(E258,F258,11)=0,IF(Reprogramaciones!L$9&gt;=F258,100,0),ROUND(NETWORKDAYS.INTL(E258,MIN(F258,Reprogramaciones!L$9),11)/NETWORKDAYS.INTL(E258,F258,11)*100,1)))-IF(Reprogramaciones!K$9&lt;E258,0,IF(NETWORKDAYS.INTL(E258,F258,11)=0,IF(Reprogramaciones!K$9&gt;=F258,100,0),ROUND(NETWORKDAYS.INTL(E258,MIN(F258,Reprogramaciones!K$9),11)/NETWORKDAYS.INTL(E258,F258,11)*100,1))))</f>
        <v/>
      </c>
      <c r="I258" s="36" t="str">
        <f aca="false">IF(OR(NOT(AND(ISNUMBER(E258),ISNUMBER(F258))),$J$2=""),"",IF(Reprogramaciones!M$9&lt;E258,0,IF(NETWORKDAYS.INTL(E258,F258,11)=0,IF(Reprogramaciones!M$9&gt;=F258,100,0),ROUND(NETWORKDAYS.INTL(E258,MIN(F258,Reprogramaciones!M$9),11)/NETWORKDAYS.INTL(E258,F258,11)*100,1)))-IF(Reprogramaciones!L$9&lt;E258,0,IF(NETWORKDAYS.INTL(E258,F258,11)=0,IF(Reprogramaciones!L$9&gt;=F258,100,0),ROUND(NETWORKDAYS.INTL(E258,MIN(F258,Reprogramaciones!L$9),11)/NETWORKDAYS.INTL(E258,F258,11)*100,1))))</f>
        <v/>
      </c>
      <c r="J258" s="36" t="str">
        <f aca="false">IF(OR(NOT(AND(ISNUMBER(E258),ISNUMBER(F258))),$J$2=""),"",IF(Reprogramaciones!N$9&lt;E258,0,IF(NETWORKDAYS.INTL(E258,F258,11)=0,IF(Reprogramaciones!N$9&gt;=F258,100,0),ROUND(NETWORKDAYS.INTL(E258,MIN(F258,Reprogramaciones!N$9),11)/NETWORKDAYS.INTL(E258,F258,11)*100,1)))-IF(Reprogramaciones!M$9&lt;E258,0,IF(NETWORKDAYS.INTL(E258,F258,11)=0,IF(Reprogramaciones!M$9&gt;=F258,100,0),ROUND(NETWORKDAYS.INTL(E258,MIN(F258,Reprogramaciones!M$9),11)/NETWORKDAYS.INTL(E258,F258,11)*100,1))))</f>
        <v/>
      </c>
      <c r="K258" s="36" t="str">
        <f aca="false">IF(OR(NOT(AND(ISNUMBER(E258),ISNUMBER(F258))),$J$2=""),"",IF(Reprogramaciones!O$9&lt;E258,0,IF(NETWORKDAYS.INTL(E258,F258,11)=0,IF(Reprogramaciones!O$9&gt;=F258,100,0),ROUND(NETWORKDAYS.INTL(E258,MIN(F258,Reprogramaciones!O$9),11)/NETWORKDAYS.INTL(E258,F258,11)*100,1)))-IF(Reprogramaciones!N$9&lt;E258,0,IF(NETWORKDAYS.INTL(E258,F258,11)=0,IF(Reprogramaciones!N$9&gt;=F258,100,0),ROUND(NETWORKDAYS.INTL(E258,MIN(F258,Reprogramaciones!N$9),11)/NETWORKDAYS.INTL(E258,F258,11)*100,1))))</f>
        <v/>
      </c>
      <c r="L258" s="36" t="str">
        <f aca="false">IF(OR(NOT(AND(ISNUMBER(E258),ISNUMBER(F258))),$J$2=""),"",IF(Reprogramaciones!P$9&lt;E258,0,IF(NETWORKDAYS.INTL(E258,F258,11)=0,IF(Reprogramaciones!P$9&gt;=F258,100,0),ROUND(NETWORKDAYS.INTL(E258,MIN(F258,Reprogramaciones!P$9),11)/NETWORKDAYS.INTL(E258,F258,11)*100,1)))-IF(Reprogramaciones!O$9&lt;E258,0,IF(NETWORKDAYS.INTL(E258,F258,11)=0,IF(Reprogramaciones!O$9&gt;=F258,100,0),ROUND(NETWORKDAYS.INTL(E258,MIN(F258,Reprogramaciones!O$9),11)/NETWORKDAYS.INTL(E258,F258,11)*100,1))))</f>
        <v/>
      </c>
      <c r="M258" s="36" t="str">
        <f aca="false">IF(OR(NOT(AND(ISNUMBER(E258),ISNUMBER(F258))),$J$2=""),"",IF(Reprogramaciones!Q$9&lt;E258,0,IF(NETWORKDAYS.INTL(E258,F258,11)=0,IF(Reprogramaciones!Q$9&gt;=F258,100,0),ROUND(NETWORKDAYS.INTL(E258,MIN(F258,Reprogramaciones!Q$9),11)/NETWORKDAYS.INTL(E258,F258,11)*100,1)))-IF(Reprogramaciones!P$9&lt;E258,0,IF(NETWORKDAYS.INTL(E258,F258,11)=0,IF(Reprogramaciones!P$9&gt;=F258,100,0),ROUND(NETWORKDAYS.INTL(E258,MIN(F258,Reprogramaciones!P$9),11)/NETWORKDAYS.INTL(E258,F258,11)*100,1))))</f>
        <v/>
      </c>
      <c r="N258" s="36" t="str">
        <f aca="false">IF(OR(NOT(AND(ISNUMBER(E258),ISNUMBER(F258))),$J$2=""),"",IF(Reprogramaciones!R$9&lt;E258,0,IF(NETWORKDAYS.INTL(E258,F258,11)=0,IF(Reprogramaciones!R$9&gt;=F258,100,0),ROUND(NETWORKDAYS.INTL(E258,MIN(F258,Reprogramaciones!R$9),11)/NETWORKDAYS.INTL(E258,F258,11)*100,1)))-IF(Reprogramaciones!Q$9&lt;E258,0,IF(NETWORKDAYS.INTL(E258,F258,11)=0,IF(Reprogramaciones!Q$9&gt;=F258,100,0),ROUND(NETWORKDAYS.INTL(E258,MIN(F258,Reprogramaciones!Q$9),11)/NETWORKDAYS.INTL(E258,F258,11)*100,1))))</f>
        <v/>
      </c>
      <c r="O258" s="36" t="str">
        <f aca="false">IF(OR(NOT(AND(ISNUMBER(E258),ISNUMBER(F258))),$J$2=""),"",IF(Reprogramaciones!S$9&lt;E258,0,IF(NETWORKDAYS.INTL(E258,F258,11)=0,IF(Reprogramaciones!S$9&gt;=F258,100,0),ROUND(NETWORKDAYS.INTL(E258,MIN(F258,Reprogramaciones!S$9),11)/NETWORKDAYS.INTL(E258,F258,11)*100,1)))-IF(Reprogramaciones!R$9&lt;E258,0,IF(NETWORKDAYS.INTL(E258,F258,11)=0,IF(Reprogramaciones!R$9&gt;=F258,100,0),ROUND(NETWORKDAYS.INTL(E258,MIN(F258,Reprogramaciones!R$9),11)/NETWORKDAYS.INTL(E258,F258,11)*100,1))))</f>
        <v/>
      </c>
      <c r="P258" s="36" t="str">
        <f aca="false">IF(OR(NOT(AND(ISNUMBER(E258),ISNUMBER(F258))),$J$2=""),"",IF(Reprogramaciones!T$9&lt;E258,0,IF(NETWORKDAYS.INTL(E258,F258,11)=0,IF(Reprogramaciones!T$9&gt;=F258,100,0),ROUND(NETWORKDAYS.INTL(E258,MIN(F258,Reprogramaciones!T$9),11)/NETWORKDAYS.INTL(E258,F258,11)*100,1)))-IF(Reprogramaciones!S$9&lt;E258,0,IF(NETWORKDAYS.INTL(E258,F258,11)=0,IF(Reprogramaciones!S$9&gt;=F258,100,0),ROUND(NETWORKDAYS.INTL(E258,MIN(F258,Reprogramaciones!S$9),11)/NETWORKDAYS.INTL(E258,F258,11)*100,1))))</f>
        <v/>
      </c>
      <c r="Q258" s="37"/>
      <c r="R258" s="37"/>
      <c r="S258" s="37"/>
      <c r="T258" s="37"/>
      <c r="U258" s="37"/>
      <c r="V258" s="37"/>
      <c r="W258" s="37"/>
      <c r="X258" s="37"/>
      <c r="Y258" s="37"/>
      <c r="Z258" s="37"/>
      <c r="AA258" s="37"/>
      <c r="AB258" s="37"/>
      <c r="AC258" s="37"/>
      <c r="AD258" s="37"/>
      <c r="AE258" s="37"/>
      <c r="AF258" s="37"/>
      <c r="AG258" s="38" t="str">
        <f aca="false">IF(AND(ISNUMBER(E258),ISNUMBER(F258)),NETWORKDAYS.INTL(E258,F258,11),"")</f>
        <v/>
      </c>
      <c r="AH258" s="38" t="str">
        <f aca="false">IF(OR(NOT(AND(ISNUMBER(E258),ISNUMBER(F258))),$J$2=""),"",IF(Reprogramaciones!$P$15&lt;Reprogramaciones!$T$15,0,IF(Reprogramaciones!$R$15&gt;10,MIN(100,SUM($G258:$P258)),MIN(100,SUMPRODUCT((COLUMN($G258:$P258)-COLUMN($G258)+1&lt;Reprogramaciones!$R$15)*$G258:$P258)+N(INDEX($G258:$P258,1,Reprogramaciones!$R$15))*IF(Reprogramaciones!$P$15&gt;=(Reprogramaciones!$T$15+7*(Reprogramaciones!$R$15-1))+6,1,IF(MAX(0,NETWORKDAYS.INTL(MAX(E258,(Reprogramaciones!$T$15+7*(Reprogramaciones!$R$15-1))),MIN(F258,(Reprogramaciones!$T$15+7*(Reprogramaciones!$R$15-1))+6),11))=0,0,MAX(0,NETWORKDAYS.INTL(MAX(E258,(Reprogramaciones!$T$15+7*(Reprogramaciones!$R$15-1))),MIN(F258,Reprogramaciones!$P$15),11))/MAX(0,NETWORKDAYS.INTL(MAX(E258,(Reprogramaciones!$T$15+7*(Reprogramaciones!$R$15-1))),MIN(F258,(Reprogramaciones!$T$15+7*(Reprogramaciones!$R$15-1))+6),11))))))))</f>
        <v/>
      </c>
      <c r="AI258" s="38" t="str">
        <f aca="false">IF(COUNT($Q258:$AF258)=0,"",IF(ROUND(SUM($Q258:$AF258),1)&gt;=99.5,100,MIN(100,ROUND(SUM($Q258:$AF258),1))))</f>
        <v/>
      </c>
      <c r="AJ258" s="38" t="str">
        <f aca="false">IF(OR(AH258="",AI258=""),"",AI258-AH258)</f>
        <v/>
      </c>
      <c r="AK258" s="39" t="str">
        <f aca="true">IF(AH258="","",IF(OR(Ficha!$C$10="Suspendida",Ficha!$C$10="Cancelada"),Ficha!$C$10,IF(AND(AI258&lt;&gt;"",N(AI258)&gt;=100),"Completada",IF(AND(E258&gt;TODAY(),N(AI258)=0),"Por iniciar",IF(N(AI258)+0.5&lt;AH258,"Retrasada",IF(N(AI258)+0.5&lt;DA258,IF(Reprogramaciones!$K$15&gt;0,"Al día · Sem "&amp;Reprogramaciones!$K$15&amp;" en curso","Al día · en curso"),"A tiempo"))))))</f>
        <v/>
      </c>
      <c r="AL258" s="39" t="str">
        <f aca="true">IF(AND(A258="",AND(B258="",C258="",E258="",F258="",COUNT(Q258:AF258)=0)),"",IF(AND(B258="",C258="",E258="",F258="",COUNT(Q258:AF258)=0),"Falta la partida o subpartida",IF(AND(A258&lt;&gt;"",COUNTIF($A$6:$A$305,A258)&gt;1),"Ítem repetido",IF(AND(C258="",E258="",F258="",COUNT(Q258:AF258)=0),"Título de partida",IF(OR(E258="",F258=""),"Faltan fechas",IF(OR(ISTEXT(E258),ISTEXT(F258)),"Fecha escrita como texto: usa dd/mm/aaaa",IF(F258&lt;E258,"Fin antes del inicio",IF(IF($J$2="",FALSE(),OR(E258&lt;$J$2,F258&gt;Reprogramaciones!$T$15+69)),"Fuera de las 10 semanas",IF(ABS(SUM(G258:P258)-100)&gt;0.5,"La meta no suma 100%",IF(ROUND(SUM(Q258:AF258),1)&gt;100.5,"El avance pasa de 100%",IF(MIN(Q258:AF258)&lt;0,"Avance negativo",IF(COUNTA(Q258:AF258)&gt;COUNT(Q258:AF258),"Avance escrito como texto",IF(SUMPRODUCT((Q258:AF258&gt;0)*(Q258:AF258&lt;1))&gt;0,"Avance menor a 1: escribe 50, no 50%",IF(SUMPRODUCT(ISNUMBER(Q258:AF258)*(Reprogramaciones!$K$8:$Z$8&gt;TODAY()))&gt;0,"Avance en semana que aún no llega",IF(AND(N(Reprogramaciones!$E$21)&gt;0,F258&gt;Reprogramaciones!$E$21),"Pasa el fin de la obra: registra una reprogramación",IF(AND(N(Reprogramaciones!$E$21)&gt;0,SUMPRODUCT(ISNUMBER(Q258:AF258)*(Reprogramaciones!$K$8:$Z$8&gt;Reprogramaciones!$E$21))&gt;0),"Avance después del fin de la obra: registra una reprogramación por atraso","OK"))))))))))))))))</f>
        <v/>
      </c>
      <c r="AM258" s="40" t="str">
        <f aca="false">IF(OR(OR(NOT(AND(ISNUMBER(E258),ISNUMBER(F258))),$J$2=""),1&gt;MAX(1,Reprogramaciones!$U$15)),"",IF(Reprogramaciones!K$12&gt;=7,"",IF(OR(BT258-N(0)&gt;0.05,N(Q258)&gt;0),ROUNDDOWN(ROUND(BT258,6),0)&amp;"%"&amp;IF(CJ258="",""," / "&amp;CJ258&amp;"%"),IF(AND(N(0)&gt;=99.95,CJ258&lt;&gt;"",N(CJ258)&lt;100),"Pend. "&amp;CJ258&amp;"%",""))))</f>
        <v/>
      </c>
      <c r="AN258" s="40" t="str">
        <f aca="false">IF(OR(OR(NOT(AND(ISNUMBER(E258),ISNUMBER(F258))),$J$2=""),2&gt;MAX(1,Reprogramaciones!$U$15)),"",IF(Reprogramaciones!L$12&gt;=7,"",IF(OR(BU258-N(BT258)&gt;0.05,N(R258)&gt;0),ROUNDDOWN(ROUND(BU258,6),0)&amp;"%"&amp;IF(CK258="",""," / "&amp;CK258&amp;"%"),IF(AND(N(BT258)&gt;=99.95,CK258&lt;&gt;"",N(CK258)&lt;100),"Pend. "&amp;CK258&amp;"%",""))))</f>
        <v/>
      </c>
      <c r="AO258" s="40" t="str">
        <f aca="false">IF(OR(OR(NOT(AND(ISNUMBER(E258),ISNUMBER(F258))),$J$2=""),3&gt;MAX(1,Reprogramaciones!$U$15)),"",IF(Reprogramaciones!M$12&gt;=7,"",IF(OR(BV258-N(BU258)&gt;0.05,N(S258)&gt;0),ROUNDDOWN(ROUND(BV258,6),0)&amp;"%"&amp;IF(CL258="",""," / "&amp;CL258&amp;"%"),IF(AND(N(BU258)&gt;=99.95,CL258&lt;&gt;"",N(CL258)&lt;100),"Pend. "&amp;CL258&amp;"%",""))))</f>
        <v/>
      </c>
      <c r="AP258" s="40" t="str">
        <f aca="false">IF(OR(OR(NOT(AND(ISNUMBER(E258),ISNUMBER(F258))),$J$2=""),4&gt;MAX(1,Reprogramaciones!$U$15)),"",IF(Reprogramaciones!N$12&gt;=7,"",IF(OR(BW258-N(BV258)&gt;0.05,N(T258)&gt;0),ROUNDDOWN(ROUND(BW258,6),0)&amp;"%"&amp;IF(CM258="",""," / "&amp;CM258&amp;"%"),IF(AND(N(BV258)&gt;=99.95,CM258&lt;&gt;"",N(CM258)&lt;100),"Pend. "&amp;CM258&amp;"%",""))))</f>
        <v/>
      </c>
      <c r="AQ258" s="40" t="str">
        <f aca="false">IF(OR(OR(NOT(AND(ISNUMBER(E258),ISNUMBER(F258))),$J$2=""),5&gt;MAX(1,Reprogramaciones!$U$15)),"",IF(Reprogramaciones!O$12&gt;=7,"",IF(OR(BX258-N(BW258)&gt;0.05,N(U258)&gt;0),ROUNDDOWN(ROUND(BX258,6),0)&amp;"%"&amp;IF(CN258="",""," / "&amp;CN258&amp;"%"),IF(AND(N(BW258)&gt;=99.95,CN258&lt;&gt;"",N(CN258)&lt;100),"Pend. "&amp;CN258&amp;"%",""))))</f>
        <v/>
      </c>
      <c r="AR258" s="40" t="str">
        <f aca="false">IF(OR(OR(NOT(AND(ISNUMBER(E258),ISNUMBER(F258))),$J$2=""),6&gt;MAX(1,Reprogramaciones!$U$15)),"",IF(Reprogramaciones!P$12&gt;=7,"",IF(OR(BY258-N(BX258)&gt;0.05,N(V258)&gt;0),ROUNDDOWN(ROUND(BY258,6),0)&amp;"%"&amp;IF(CO258="",""," / "&amp;CO258&amp;"%"),IF(AND(N(BX258)&gt;=99.95,CO258&lt;&gt;"",N(CO258)&lt;100),"Pend. "&amp;CO258&amp;"%",""))))</f>
        <v/>
      </c>
      <c r="AS258" s="40" t="str">
        <f aca="false">IF(OR(OR(NOT(AND(ISNUMBER(E258),ISNUMBER(F258))),$J$2=""),7&gt;MAX(1,Reprogramaciones!$U$15)),"",IF(Reprogramaciones!Q$12&gt;=7,"",IF(OR(BZ258-N(BY258)&gt;0.05,N(W258)&gt;0),ROUNDDOWN(ROUND(BZ258,6),0)&amp;"%"&amp;IF(CP258="",""," / "&amp;CP258&amp;"%"),IF(AND(N(BY258)&gt;=99.95,CP258&lt;&gt;"",N(CP258)&lt;100),"Pend. "&amp;CP258&amp;"%",""))))</f>
        <v/>
      </c>
      <c r="AT258" s="40" t="str">
        <f aca="false">IF(OR(OR(NOT(AND(ISNUMBER(E258),ISNUMBER(F258))),$J$2=""),8&gt;MAX(1,Reprogramaciones!$U$15)),"",IF(Reprogramaciones!R$12&gt;=7,"",IF(OR(CA258-N(BZ258)&gt;0.05,N(X258)&gt;0),ROUNDDOWN(ROUND(CA258,6),0)&amp;"%"&amp;IF(CQ258="",""," / "&amp;CQ258&amp;"%"),IF(AND(N(BZ258)&gt;=99.95,CQ258&lt;&gt;"",N(CQ258)&lt;100),"Pend. "&amp;CQ258&amp;"%",""))))</f>
        <v/>
      </c>
      <c r="AU258" s="40" t="str">
        <f aca="false">IF(OR(OR(NOT(AND(ISNUMBER(E258),ISNUMBER(F258))),$J$2=""),9&gt;MAX(1,Reprogramaciones!$U$15)),"",IF(Reprogramaciones!S$12&gt;=7,"",IF(OR(CB258-N(CA258)&gt;0.05,N(Y258)&gt;0),ROUNDDOWN(ROUND(CB258,6),0)&amp;"%"&amp;IF(CR258="",""," / "&amp;CR258&amp;"%"),IF(AND(N(CA258)&gt;=99.95,CR258&lt;&gt;"",N(CR258)&lt;100),"Pend. "&amp;CR258&amp;"%",""))))</f>
        <v/>
      </c>
      <c r="AV258" s="40" t="str">
        <f aca="false">IF(OR(OR(NOT(AND(ISNUMBER(E258),ISNUMBER(F258))),$J$2=""),10&gt;MAX(1,Reprogramaciones!$U$15)),"",IF(Reprogramaciones!T$12&gt;=7,"",IF(OR(CC258-N(CB258)&gt;0.05,N(Z258)&gt;0),ROUNDDOWN(ROUND(CC258,6),0)&amp;"%"&amp;IF(CS258="",""," / "&amp;CS258&amp;"%"),IF(AND(N(CB258)&gt;=99.95,CS258&lt;&gt;"",N(CS258)&lt;100),"Pend. "&amp;CS258&amp;"%",""))))</f>
        <v/>
      </c>
      <c r="AW258" s="40" t="str">
        <f aca="false">IF(OR(OR(NOT(AND(ISNUMBER(E258),ISNUMBER(F258))),$J$2=""),11&gt;MAX(1,Reprogramaciones!$U$15)),"",IF(Reprogramaciones!U$12&gt;=7,"",IF(OR(CD258-N(CC258)&gt;0.05,N(AA258)&gt;0),ROUNDDOWN(ROUND(CD258,6),0)&amp;"%"&amp;IF(CT258="",""," / "&amp;CT258&amp;"%"),IF(AND(N(CC258)&gt;=99.95,CT258&lt;&gt;"",N(CT258)&lt;100),"Pend. "&amp;CT258&amp;"%",""))))</f>
        <v/>
      </c>
      <c r="AX258" s="40" t="str">
        <f aca="false">IF(OR(OR(NOT(AND(ISNUMBER(E258),ISNUMBER(F258))),$J$2=""),12&gt;MAX(1,Reprogramaciones!$U$15)),"",IF(Reprogramaciones!V$12&gt;=7,"",IF(OR(CE258-N(CD258)&gt;0.05,N(AB258)&gt;0),ROUNDDOWN(ROUND(CE258,6),0)&amp;"%"&amp;IF(CU258="",""," / "&amp;CU258&amp;"%"),IF(AND(N(CD258)&gt;=99.95,CU258&lt;&gt;"",N(CU258)&lt;100),"Pend. "&amp;CU258&amp;"%",""))))</f>
        <v/>
      </c>
      <c r="AY258" s="40" t="str">
        <f aca="false">IF(OR(OR(NOT(AND(ISNUMBER(E258),ISNUMBER(F258))),$J$2=""),13&gt;MAX(1,Reprogramaciones!$U$15)),"",IF(Reprogramaciones!W$12&gt;=7,"",IF(OR(CF258-N(CE258)&gt;0.05,N(AC258)&gt;0),ROUNDDOWN(ROUND(CF258,6),0)&amp;"%"&amp;IF(CV258="",""," / "&amp;CV258&amp;"%"),IF(AND(N(CE258)&gt;=99.95,CV258&lt;&gt;"",N(CV258)&lt;100),"Pend. "&amp;CV258&amp;"%",""))))</f>
        <v/>
      </c>
      <c r="AZ258" s="40" t="str">
        <f aca="false">IF(OR(OR(NOT(AND(ISNUMBER(E258),ISNUMBER(F258))),$J$2=""),14&gt;MAX(1,Reprogramaciones!$U$15)),"",IF(Reprogramaciones!X$12&gt;=7,"",IF(OR(CG258-N(CF258)&gt;0.05,N(AD258)&gt;0),ROUNDDOWN(ROUND(CG258,6),0)&amp;"%"&amp;IF(CW258="",""," / "&amp;CW258&amp;"%"),IF(AND(N(CF258)&gt;=99.95,CW258&lt;&gt;"",N(CW258)&lt;100),"Pend. "&amp;CW258&amp;"%",""))))</f>
        <v/>
      </c>
      <c r="BA258" s="40" t="str">
        <f aca="false">IF(OR(OR(NOT(AND(ISNUMBER(E258),ISNUMBER(F258))),$J$2=""),15&gt;MAX(1,Reprogramaciones!$U$15)),"",IF(Reprogramaciones!Y$12&gt;=7,"",IF(OR(CH258-N(CG258)&gt;0.05,N(AE258)&gt;0),ROUNDDOWN(ROUND(CH258,6),0)&amp;"%"&amp;IF(CX258="",""," / "&amp;CX258&amp;"%"),IF(AND(N(CG258)&gt;=99.95,CX258&lt;&gt;"",N(CX258)&lt;100),"Pend. "&amp;CX258&amp;"%",""))))</f>
        <v/>
      </c>
      <c r="BB258" s="40" t="str">
        <f aca="false">IF(OR(OR(NOT(AND(ISNUMBER(E258),ISNUMBER(F258))),$J$2=""),16&gt;MAX(1,Reprogramaciones!$U$15)),"",IF(Reprogramaciones!Z$12&gt;=7,"",IF(OR(CI258-N(CH258)&gt;0.05,N(AF258)&gt;0),ROUNDDOWN(ROUND(CI258,6),0)&amp;"%"&amp;IF(CY258="",""," / "&amp;CY258&amp;"%"),IF(AND(N(CH258)&gt;=99.95,CY258&lt;&gt;"",N(CY258)&lt;100),"Pend. "&amp;CY258&amp;"%",""))))</f>
        <v/>
      </c>
      <c r="BC258" s="31" t="n">
        <f aca="false">IF(AND(ISNUMBER(E258),ISNUMBER(F258)),MAX(1,NETWORKDAYS.INTL(E258,F258,11)),0)</f>
        <v>0</v>
      </c>
      <c r="BD258" s="1" t="str">
        <f aca="false">IF(OR(NOT(AND(ISNUMBER(E258),ISNUMBER(F258))),$J$2=""),"",MIN(100,ROUND(SUM($G258:G258),1)))</f>
        <v/>
      </c>
      <c r="BE258" s="1" t="str">
        <f aca="false">IF(OR(NOT(AND(ISNUMBER(E258),ISNUMBER(F258))),$J$2=""),"",MIN(100,ROUND(SUM($G258:H258),1)))</f>
        <v/>
      </c>
      <c r="BF258" s="1" t="str">
        <f aca="false">IF(OR(NOT(AND(ISNUMBER(E258),ISNUMBER(F258))),$J$2=""),"",MIN(100,ROUND(SUM($G258:I258),1)))</f>
        <v/>
      </c>
      <c r="BG258" s="1" t="str">
        <f aca="false">IF(OR(NOT(AND(ISNUMBER(E258),ISNUMBER(F258))),$J$2=""),"",MIN(100,ROUND(SUM($G258:J258),1)))</f>
        <v/>
      </c>
      <c r="BH258" s="1" t="str">
        <f aca="false">IF(OR(NOT(AND(ISNUMBER(E258),ISNUMBER(F258))),$J$2=""),"",MIN(100,ROUND(SUM($G258:K258),1)))</f>
        <v/>
      </c>
      <c r="BI258" s="1" t="str">
        <f aca="false">IF(OR(NOT(AND(ISNUMBER(E258),ISNUMBER(F258))),$J$2=""),"",MIN(100,ROUND(SUM($G258:L258),1)))</f>
        <v/>
      </c>
      <c r="BJ258" s="1" t="str">
        <f aca="false">IF(OR(NOT(AND(ISNUMBER(E258),ISNUMBER(F258))),$J$2=""),"",MIN(100,ROUND(SUM($G258:M258),1)))</f>
        <v/>
      </c>
      <c r="BK258" s="1" t="str">
        <f aca="false">IF(OR(NOT(AND(ISNUMBER(E258),ISNUMBER(F258))),$J$2=""),"",MIN(100,ROUND(SUM($G258:N258),1)))</f>
        <v/>
      </c>
      <c r="BL258" s="1" t="str">
        <f aca="false">IF(OR(NOT(AND(ISNUMBER(E258),ISNUMBER(F258))),$J$2=""),"",MIN(100,ROUND(SUM($G258:O258),1)))</f>
        <v/>
      </c>
      <c r="BM258" s="1" t="str">
        <f aca="false">IF(OR(NOT(AND(ISNUMBER(E258),ISNUMBER(F258))),$J$2=""),"",MIN(100,ROUND(SUM($G258:P258),1)))</f>
        <v/>
      </c>
      <c r="BN258" s="1" t="str">
        <f aca="false">IF(OR(NOT(AND(ISNUMBER(E258),ISNUMBER(F258))),$J$2=""),"",MIN(100,ROUND(SUM($G258:P258),1)))</f>
        <v/>
      </c>
      <c r="BO258" s="1" t="str">
        <f aca="false">IF(OR(NOT(AND(ISNUMBER(E258),ISNUMBER(F258))),$J$2=""),"",MIN(100,ROUND(SUM($G258:P258),1)))</f>
        <v/>
      </c>
      <c r="BP258" s="1" t="str">
        <f aca="false">IF(OR(NOT(AND(ISNUMBER(E258),ISNUMBER(F258))),$J$2=""),"",MIN(100,ROUND(SUM($G258:P258),1)))</f>
        <v/>
      </c>
      <c r="BQ258" s="1" t="str">
        <f aca="false">IF(OR(NOT(AND(ISNUMBER(E258),ISNUMBER(F258))),$J$2=""),"",MIN(100,ROUND(SUM($G258:P258),1)))</f>
        <v/>
      </c>
      <c r="BR258" s="1" t="str">
        <f aca="false">IF(OR(NOT(AND(ISNUMBER(E258),ISNUMBER(F258))),$J$2=""),"",MIN(100,ROUND(SUM($G258:P258),1)))</f>
        <v/>
      </c>
      <c r="BS258" s="1" t="str">
        <f aca="false">IF(OR(NOT(AND(ISNUMBER(E258),ISNUMBER(F258))),$J$2=""),"",MIN(100,ROUND(SUM($G258:P258),1)))</f>
        <v/>
      </c>
      <c r="BT258" s="1" t="str">
        <f aca="false">IF(OR(NOT(AND(ISNUMBER(E258),ISNUMBER(F258))),$J$2=""),"",IF(Reprogramaciones!K$13&lt;Reprogramaciones!$T$15,0,IF(Reprogramaciones!K$14&gt;10,MIN(100,SUM($G258:$P258)),MIN(100,SUMPRODUCT((COLUMN($G258:$P258)-COLUMN($G258)+1&lt;Reprogramaciones!K$14)*$G258:$P258)+N(INDEX($G258:$P258,1,Reprogramaciones!K$14))*IF(Reprogramaciones!K$13&gt;=(Reprogramaciones!$T$15+7*(Reprogramaciones!K$14-1))+6,1,IF(MAX(0,NETWORKDAYS.INTL(MAX(E258,(Reprogramaciones!$T$15+7*(Reprogramaciones!K$14-1))),MIN(F258,(Reprogramaciones!$T$15+7*(Reprogramaciones!K$14-1))+6),11))=0,0,MAX(0,NETWORKDAYS.INTL(MAX(E258,(Reprogramaciones!$T$15+7*(Reprogramaciones!K$14-1))),MIN(F258,Reprogramaciones!K$13),11))/MAX(0,NETWORKDAYS.INTL(MAX(E258,(Reprogramaciones!$T$15+7*(Reprogramaciones!K$14-1))),MIN(F258,(Reprogramaciones!$T$15+7*(Reprogramaciones!K$14-1))+6),11))))))))</f>
        <v/>
      </c>
      <c r="BU258" s="1" t="str">
        <f aca="false">IF(OR(NOT(AND(ISNUMBER(E258),ISNUMBER(F258))),$J$2=""),"",IF(Reprogramaciones!L$13&lt;Reprogramaciones!$T$15,0,IF(Reprogramaciones!L$14&gt;10,MIN(100,SUM($G258:$P258)),MIN(100,SUMPRODUCT((COLUMN($G258:$P258)-COLUMN($G258)+1&lt;Reprogramaciones!L$14)*$G258:$P258)+N(INDEX($G258:$P258,1,Reprogramaciones!L$14))*IF(Reprogramaciones!L$13&gt;=(Reprogramaciones!$T$15+7*(Reprogramaciones!L$14-1))+6,1,IF(MAX(0,NETWORKDAYS.INTL(MAX(E258,(Reprogramaciones!$T$15+7*(Reprogramaciones!L$14-1))),MIN(F258,(Reprogramaciones!$T$15+7*(Reprogramaciones!L$14-1))+6),11))=0,0,MAX(0,NETWORKDAYS.INTL(MAX(E258,(Reprogramaciones!$T$15+7*(Reprogramaciones!L$14-1))),MIN(F258,Reprogramaciones!L$13),11))/MAX(0,NETWORKDAYS.INTL(MAX(E258,(Reprogramaciones!$T$15+7*(Reprogramaciones!L$14-1))),MIN(F258,(Reprogramaciones!$T$15+7*(Reprogramaciones!L$14-1))+6),11))))))))</f>
        <v/>
      </c>
      <c r="BV258" s="1" t="str">
        <f aca="false">IF(OR(NOT(AND(ISNUMBER(E258),ISNUMBER(F258))),$J$2=""),"",IF(Reprogramaciones!M$13&lt;Reprogramaciones!$T$15,0,IF(Reprogramaciones!M$14&gt;10,MIN(100,SUM($G258:$P258)),MIN(100,SUMPRODUCT((COLUMN($G258:$P258)-COLUMN($G258)+1&lt;Reprogramaciones!M$14)*$G258:$P258)+N(INDEX($G258:$P258,1,Reprogramaciones!M$14))*IF(Reprogramaciones!M$13&gt;=(Reprogramaciones!$T$15+7*(Reprogramaciones!M$14-1))+6,1,IF(MAX(0,NETWORKDAYS.INTL(MAX(E258,(Reprogramaciones!$T$15+7*(Reprogramaciones!M$14-1))),MIN(F258,(Reprogramaciones!$T$15+7*(Reprogramaciones!M$14-1))+6),11))=0,0,MAX(0,NETWORKDAYS.INTL(MAX(E258,(Reprogramaciones!$T$15+7*(Reprogramaciones!M$14-1))),MIN(F258,Reprogramaciones!M$13),11))/MAX(0,NETWORKDAYS.INTL(MAX(E258,(Reprogramaciones!$T$15+7*(Reprogramaciones!M$14-1))),MIN(F258,(Reprogramaciones!$T$15+7*(Reprogramaciones!M$14-1))+6),11))))))))</f>
        <v/>
      </c>
      <c r="BW258" s="1" t="str">
        <f aca="false">IF(OR(NOT(AND(ISNUMBER(E258),ISNUMBER(F258))),$J$2=""),"",IF(Reprogramaciones!N$13&lt;Reprogramaciones!$T$15,0,IF(Reprogramaciones!N$14&gt;10,MIN(100,SUM($G258:$P258)),MIN(100,SUMPRODUCT((COLUMN($G258:$P258)-COLUMN($G258)+1&lt;Reprogramaciones!N$14)*$G258:$P258)+N(INDEX($G258:$P258,1,Reprogramaciones!N$14))*IF(Reprogramaciones!N$13&gt;=(Reprogramaciones!$T$15+7*(Reprogramaciones!N$14-1))+6,1,IF(MAX(0,NETWORKDAYS.INTL(MAX(E258,(Reprogramaciones!$T$15+7*(Reprogramaciones!N$14-1))),MIN(F258,(Reprogramaciones!$T$15+7*(Reprogramaciones!N$14-1))+6),11))=0,0,MAX(0,NETWORKDAYS.INTL(MAX(E258,(Reprogramaciones!$T$15+7*(Reprogramaciones!N$14-1))),MIN(F258,Reprogramaciones!N$13),11))/MAX(0,NETWORKDAYS.INTL(MAX(E258,(Reprogramaciones!$T$15+7*(Reprogramaciones!N$14-1))),MIN(F258,(Reprogramaciones!$T$15+7*(Reprogramaciones!N$14-1))+6),11))))))))</f>
        <v/>
      </c>
      <c r="BX258" s="1" t="str">
        <f aca="false">IF(OR(NOT(AND(ISNUMBER(E258),ISNUMBER(F258))),$J$2=""),"",IF(Reprogramaciones!O$13&lt;Reprogramaciones!$T$15,0,IF(Reprogramaciones!O$14&gt;10,MIN(100,SUM($G258:$P258)),MIN(100,SUMPRODUCT((COLUMN($G258:$P258)-COLUMN($G258)+1&lt;Reprogramaciones!O$14)*$G258:$P258)+N(INDEX($G258:$P258,1,Reprogramaciones!O$14))*IF(Reprogramaciones!O$13&gt;=(Reprogramaciones!$T$15+7*(Reprogramaciones!O$14-1))+6,1,IF(MAX(0,NETWORKDAYS.INTL(MAX(E258,(Reprogramaciones!$T$15+7*(Reprogramaciones!O$14-1))),MIN(F258,(Reprogramaciones!$T$15+7*(Reprogramaciones!O$14-1))+6),11))=0,0,MAX(0,NETWORKDAYS.INTL(MAX(E258,(Reprogramaciones!$T$15+7*(Reprogramaciones!O$14-1))),MIN(F258,Reprogramaciones!O$13),11))/MAX(0,NETWORKDAYS.INTL(MAX(E258,(Reprogramaciones!$T$15+7*(Reprogramaciones!O$14-1))),MIN(F258,(Reprogramaciones!$T$15+7*(Reprogramaciones!O$14-1))+6),11))))))))</f>
        <v/>
      </c>
      <c r="BY258" s="1" t="str">
        <f aca="false">IF(OR(NOT(AND(ISNUMBER(E258),ISNUMBER(F258))),$J$2=""),"",IF(Reprogramaciones!P$13&lt;Reprogramaciones!$T$15,0,IF(Reprogramaciones!P$14&gt;10,MIN(100,SUM($G258:$P258)),MIN(100,SUMPRODUCT((COLUMN($G258:$P258)-COLUMN($G258)+1&lt;Reprogramaciones!P$14)*$G258:$P258)+N(INDEX($G258:$P258,1,Reprogramaciones!P$14))*IF(Reprogramaciones!P$13&gt;=(Reprogramaciones!$T$15+7*(Reprogramaciones!P$14-1))+6,1,IF(MAX(0,NETWORKDAYS.INTL(MAX(E258,(Reprogramaciones!$T$15+7*(Reprogramaciones!P$14-1))),MIN(F258,(Reprogramaciones!$T$15+7*(Reprogramaciones!P$14-1))+6),11))=0,0,MAX(0,NETWORKDAYS.INTL(MAX(E258,(Reprogramaciones!$T$15+7*(Reprogramaciones!P$14-1))),MIN(F258,Reprogramaciones!P$13),11))/MAX(0,NETWORKDAYS.INTL(MAX(E258,(Reprogramaciones!$T$15+7*(Reprogramaciones!P$14-1))),MIN(F258,(Reprogramaciones!$T$15+7*(Reprogramaciones!P$14-1))+6),11))))))))</f>
        <v/>
      </c>
      <c r="BZ258" s="1" t="str">
        <f aca="false">IF(OR(NOT(AND(ISNUMBER(E258),ISNUMBER(F258))),$J$2=""),"",IF(Reprogramaciones!Q$13&lt;Reprogramaciones!$T$15,0,IF(Reprogramaciones!Q$14&gt;10,MIN(100,SUM($G258:$P258)),MIN(100,SUMPRODUCT((COLUMN($G258:$P258)-COLUMN($G258)+1&lt;Reprogramaciones!Q$14)*$G258:$P258)+N(INDEX($G258:$P258,1,Reprogramaciones!Q$14))*IF(Reprogramaciones!Q$13&gt;=(Reprogramaciones!$T$15+7*(Reprogramaciones!Q$14-1))+6,1,IF(MAX(0,NETWORKDAYS.INTL(MAX(E258,(Reprogramaciones!$T$15+7*(Reprogramaciones!Q$14-1))),MIN(F258,(Reprogramaciones!$T$15+7*(Reprogramaciones!Q$14-1))+6),11))=0,0,MAX(0,NETWORKDAYS.INTL(MAX(E258,(Reprogramaciones!$T$15+7*(Reprogramaciones!Q$14-1))),MIN(F258,Reprogramaciones!Q$13),11))/MAX(0,NETWORKDAYS.INTL(MAX(E258,(Reprogramaciones!$T$15+7*(Reprogramaciones!Q$14-1))),MIN(F258,(Reprogramaciones!$T$15+7*(Reprogramaciones!Q$14-1))+6),11))))))))</f>
        <v/>
      </c>
      <c r="CA258" s="1" t="str">
        <f aca="false">IF(OR(NOT(AND(ISNUMBER(E258),ISNUMBER(F258))),$J$2=""),"",IF(Reprogramaciones!R$13&lt;Reprogramaciones!$T$15,0,IF(Reprogramaciones!R$14&gt;10,MIN(100,SUM($G258:$P258)),MIN(100,SUMPRODUCT((COLUMN($G258:$P258)-COLUMN($G258)+1&lt;Reprogramaciones!R$14)*$G258:$P258)+N(INDEX($G258:$P258,1,Reprogramaciones!R$14))*IF(Reprogramaciones!R$13&gt;=(Reprogramaciones!$T$15+7*(Reprogramaciones!R$14-1))+6,1,IF(MAX(0,NETWORKDAYS.INTL(MAX(E258,(Reprogramaciones!$T$15+7*(Reprogramaciones!R$14-1))),MIN(F258,(Reprogramaciones!$T$15+7*(Reprogramaciones!R$14-1))+6),11))=0,0,MAX(0,NETWORKDAYS.INTL(MAX(E258,(Reprogramaciones!$T$15+7*(Reprogramaciones!R$14-1))),MIN(F258,Reprogramaciones!R$13),11))/MAX(0,NETWORKDAYS.INTL(MAX(E258,(Reprogramaciones!$T$15+7*(Reprogramaciones!R$14-1))),MIN(F258,(Reprogramaciones!$T$15+7*(Reprogramaciones!R$14-1))+6),11))))))))</f>
        <v/>
      </c>
      <c r="CB258" s="1" t="str">
        <f aca="false">IF(OR(NOT(AND(ISNUMBER(E258),ISNUMBER(F258))),$J$2=""),"",IF(Reprogramaciones!S$13&lt;Reprogramaciones!$T$15,0,IF(Reprogramaciones!S$14&gt;10,MIN(100,SUM($G258:$P258)),MIN(100,SUMPRODUCT((COLUMN($G258:$P258)-COLUMN($G258)+1&lt;Reprogramaciones!S$14)*$G258:$P258)+N(INDEX($G258:$P258,1,Reprogramaciones!S$14))*IF(Reprogramaciones!S$13&gt;=(Reprogramaciones!$T$15+7*(Reprogramaciones!S$14-1))+6,1,IF(MAX(0,NETWORKDAYS.INTL(MAX(E258,(Reprogramaciones!$T$15+7*(Reprogramaciones!S$14-1))),MIN(F258,(Reprogramaciones!$T$15+7*(Reprogramaciones!S$14-1))+6),11))=0,0,MAX(0,NETWORKDAYS.INTL(MAX(E258,(Reprogramaciones!$T$15+7*(Reprogramaciones!S$14-1))),MIN(F258,Reprogramaciones!S$13),11))/MAX(0,NETWORKDAYS.INTL(MAX(E258,(Reprogramaciones!$T$15+7*(Reprogramaciones!S$14-1))),MIN(F258,(Reprogramaciones!$T$15+7*(Reprogramaciones!S$14-1))+6),11))))))))</f>
        <v/>
      </c>
      <c r="CC258" s="1" t="str">
        <f aca="false">IF(OR(NOT(AND(ISNUMBER(E258),ISNUMBER(F258))),$J$2=""),"",IF(Reprogramaciones!T$13&lt;Reprogramaciones!$T$15,0,IF(Reprogramaciones!T$14&gt;10,MIN(100,SUM($G258:$P258)),MIN(100,SUMPRODUCT((COLUMN($G258:$P258)-COLUMN($G258)+1&lt;Reprogramaciones!T$14)*$G258:$P258)+N(INDEX($G258:$P258,1,Reprogramaciones!T$14))*IF(Reprogramaciones!T$13&gt;=(Reprogramaciones!$T$15+7*(Reprogramaciones!T$14-1))+6,1,IF(MAX(0,NETWORKDAYS.INTL(MAX(E258,(Reprogramaciones!$T$15+7*(Reprogramaciones!T$14-1))),MIN(F258,(Reprogramaciones!$T$15+7*(Reprogramaciones!T$14-1))+6),11))=0,0,MAX(0,NETWORKDAYS.INTL(MAX(E258,(Reprogramaciones!$T$15+7*(Reprogramaciones!T$14-1))),MIN(F258,Reprogramaciones!T$13),11))/MAX(0,NETWORKDAYS.INTL(MAX(E258,(Reprogramaciones!$T$15+7*(Reprogramaciones!T$14-1))),MIN(F258,(Reprogramaciones!$T$15+7*(Reprogramaciones!T$14-1))+6),11))))))))</f>
        <v/>
      </c>
      <c r="CD258" s="1" t="str">
        <f aca="false">IF(OR(NOT(AND(ISNUMBER(E258),ISNUMBER(F258))),$J$2=""),"",IF(Reprogramaciones!U$13&lt;Reprogramaciones!$T$15,0,IF(Reprogramaciones!U$14&gt;10,MIN(100,SUM($G258:$P258)),MIN(100,SUMPRODUCT((COLUMN($G258:$P258)-COLUMN($G258)+1&lt;Reprogramaciones!U$14)*$G258:$P258)+N(INDEX($G258:$P258,1,Reprogramaciones!U$14))*IF(Reprogramaciones!U$13&gt;=(Reprogramaciones!$T$15+7*(Reprogramaciones!U$14-1))+6,1,IF(MAX(0,NETWORKDAYS.INTL(MAX(E258,(Reprogramaciones!$T$15+7*(Reprogramaciones!U$14-1))),MIN(F258,(Reprogramaciones!$T$15+7*(Reprogramaciones!U$14-1))+6),11))=0,0,MAX(0,NETWORKDAYS.INTL(MAX(E258,(Reprogramaciones!$T$15+7*(Reprogramaciones!U$14-1))),MIN(F258,Reprogramaciones!U$13),11))/MAX(0,NETWORKDAYS.INTL(MAX(E258,(Reprogramaciones!$T$15+7*(Reprogramaciones!U$14-1))),MIN(F258,(Reprogramaciones!$T$15+7*(Reprogramaciones!U$14-1))+6),11))))))))</f>
        <v/>
      </c>
      <c r="CE258" s="1" t="str">
        <f aca="false">IF(OR(NOT(AND(ISNUMBER(E258),ISNUMBER(F258))),$J$2=""),"",IF(Reprogramaciones!V$13&lt;Reprogramaciones!$T$15,0,IF(Reprogramaciones!V$14&gt;10,MIN(100,SUM($G258:$P258)),MIN(100,SUMPRODUCT((COLUMN($G258:$P258)-COLUMN($G258)+1&lt;Reprogramaciones!V$14)*$G258:$P258)+N(INDEX($G258:$P258,1,Reprogramaciones!V$14))*IF(Reprogramaciones!V$13&gt;=(Reprogramaciones!$T$15+7*(Reprogramaciones!V$14-1))+6,1,IF(MAX(0,NETWORKDAYS.INTL(MAX(E258,(Reprogramaciones!$T$15+7*(Reprogramaciones!V$14-1))),MIN(F258,(Reprogramaciones!$T$15+7*(Reprogramaciones!V$14-1))+6),11))=0,0,MAX(0,NETWORKDAYS.INTL(MAX(E258,(Reprogramaciones!$T$15+7*(Reprogramaciones!V$14-1))),MIN(F258,Reprogramaciones!V$13),11))/MAX(0,NETWORKDAYS.INTL(MAX(E258,(Reprogramaciones!$T$15+7*(Reprogramaciones!V$14-1))),MIN(F258,(Reprogramaciones!$T$15+7*(Reprogramaciones!V$14-1))+6),11))))))))</f>
        <v/>
      </c>
      <c r="CF258" s="1" t="str">
        <f aca="false">IF(OR(NOT(AND(ISNUMBER(E258),ISNUMBER(F258))),$J$2=""),"",IF(Reprogramaciones!W$13&lt;Reprogramaciones!$T$15,0,IF(Reprogramaciones!W$14&gt;10,MIN(100,SUM($G258:$P258)),MIN(100,SUMPRODUCT((COLUMN($G258:$P258)-COLUMN($G258)+1&lt;Reprogramaciones!W$14)*$G258:$P258)+N(INDEX($G258:$P258,1,Reprogramaciones!W$14))*IF(Reprogramaciones!W$13&gt;=(Reprogramaciones!$T$15+7*(Reprogramaciones!W$14-1))+6,1,IF(MAX(0,NETWORKDAYS.INTL(MAX(E258,(Reprogramaciones!$T$15+7*(Reprogramaciones!W$14-1))),MIN(F258,(Reprogramaciones!$T$15+7*(Reprogramaciones!W$14-1))+6),11))=0,0,MAX(0,NETWORKDAYS.INTL(MAX(E258,(Reprogramaciones!$T$15+7*(Reprogramaciones!W$14-1))),MIN(F258,Reprogramaciones!W$13),11))/MAX(0,NETWORKDAYS.INTL(MAX(E258,(Reprogramaciones!$T$15+7*(Reprogramaciones!W$14-1))),MIN(F258,(Reprogramaciones!$T$15+7*(Reprogramaciones!W$14-1))+6),11))))))))</f>
        <v/>
      </c>
      <c r="CG258" s="1" t="str">
        <f aca="false">IF(OR(NOT(AND(ISNUMBER(E258),ISNUMBER(F258))),$J$2=""),"",IF(Reprogramaciones!X$13&lt;Reprogramaciones!$T$15,0,IF(Reprogramaciones!X$14&gt;10,MIN(100,SUM($G258:$P258)),MIN(100,SUMPRODUCT((COLUMN($G258:$P258)-COLUMN($G258)+1&lt;Reprogramaciones!X$14)*$G258:$P258)+N(INDEX($G258:$P258,1,Reprogramaciones!X$14))*IF(Reprogramaciones!X$13&gt;=(Reprogramaciones!$T$15+7*(Reprogramaciones!X$14-1))+6,1,IF(MAX(0,NETWORKDAYS.INTL(MAX(E258,(Reprogramaciones!$T$15+7*(Reprogramaciones!X$14-1))),MIN(F258,(Reprogramaciones!$T$15+7*(Reprogramaciones!X$14-1))+6),11))=0,0,MAX(0,NETWORKDAYS.INTL(MAX(E258,(Reprogramaciones!$T$15+7*(Reprogramaciones!X$14-1))),MIN(F258,Reprogramaciones!X$13),11))/MAX(0,NETWORKDAYS.INTL(MAX(E258,(Reprogramaciones!$T$15+7*(Reprogramaciones!X$14-1))),MIN(F258,(Reprogramaciones!$T$15+7*(Reprogramaciones!X$14-1))+6),11))))))))</f>
        <v/>
      </c>
      <c r="CH258" s="1" t="str">
        <f aca="false">IF(OR(NOT(AND(ISNUMBER(E258),ISNUMBER(F258))),$J$2=""),"",IF(Reprogramaciones!Y$13&lt;Reprogramaciones!$T$15,0,IF(Reprogramaciones!Y$14&gt;10,MIN(100,SUM($G258:$P258)),MIN(100,SUMPRODUCT((COLUMN($G258:$P258)-COLUMN($G258)+1&lt;Reprogramaciones!Y$14)*$G258:$P258)+N(INDEX($G258:$P258,1,Reprogramaciones!Y$14))*IF(Reprogramaciones!Y$13&gt;=(Reprogramaciones!$T$15+7*(Reprogramaciones!Y$14-1))+6,1,IF(MAX(0,NETWORKDAYS.INTL(MAX(E258,(Reprogramaciones!$T$15+7*(Reprogramaciones!Y$14-1))),MIN(F258,(Reprogramaciones!$T$15+7*(Reprogramaciones!Y$14-1))+6),11))=0,0,MAX(0,NETWORKDAYS.INTL(MAX(E258,(Reprogramaciones!$T$15+7*(Reprogramaciones!Y$14-1))),MIN(F258,Reprogramaciones!Y$13),11))/MAX(0,NETWORKDAYS.INTL(MAX(E258,(Reprogramaciones!$T$15+7*(Reprogramaciones!Y$14-1))),MIN(F258,(Reprogramaciones!$T$15+7*(Reprogramaciones!Y$14-1))+6),11))))))))</f>
        <v/>
      </c>
      <c r="CI258" s="1" t="str">
        <f aca="false">IF(OR(NOT(AND(ISNUMBER(E258),ISNUMBER(F258))),$J$2=""),"",IF(Reprogramaciones!Z$13&lt;Reprogramaciones!$T$15,0,IF(Reprogramaciones!Z$14&gt;10,MIN(100,SUM($G258:$P258)),MIN(100,SUMPRODUCT((COLUMN($G258:$P258)-COLUMN($G258)+1&lt;Reprogramaciones!Z$14)*$G258:$P258)+N(INDEX($G258:$P258,1,Reprogramaciones!Z$14))*IF(Reprogramaciones!Z$13&gt;=(Reprogramaciones!$T$15+7*(Reprogramaciones!Z$14-1))+6,1,IF(MAX(0,NETWORKDAYS.INTL(MAX(E258,(Reprogramaciones!$T$15+7*(Reprogramaciones!Z$14-1))),MIN(F258,(Reprogramaciones!$T$15+7*(Reprogramaciones!Z$14-1))+6),11))=0,0,MAX(0,NETWORKDAYS.INTL(MAX(E258,(Reprogramaciones!$T$15+7*(Reprogramaciones!Z$14-1))),MIN(F258,Reprogramaciones!Z$13),11))/MAX(0,NETWORKDAYS.INTL(MAX(E258,(Reprogramaciones!$T$15+7*(Reprogramaciones!Z$14-1))),MIN(F258,(Reprogramaciones!$T$15+7*(Reprogramaciones!Z$14-1))+6),11))))))))</f>
        <v/>
      </c>
      <c r="CJ258" s="1" t="str">
        <f aca="false">IF(OR(OR(NOT(AND(ISNUMBER(E258),ISNUMBER(F258))),$J$2=""),1&gt;Reprogramaciones!$K$16),"",IF(ROUND(SUM($Q258:Q258),1)&gt;=99.5,100,MIN(100,ROUND(SUM($Q258:Q258),1))))</f>
        <v/>
      </c>
      <c r="CK258" s="1" t="str">
        <f aca="false">IF(OR(OR(NOT(AND(ISNUMBER(E258),ISNUMBER(F258))),$J$2=""),2&gt;Reprogramaciones!$K$16),"",IF(ROUND(SUM($Q258:R258),1)&gt;=99.5,100,MIN(100,ROUND(SUM($Q258:R258),1))))</f>
        <v/>
      </c>
      <c r="CL258" s="1" t="str">
        <f aca="false">IF(OR(OR(NOT(AND(ISNUMBER(E258),ISNUMBER(F258))),$J$2=""),3&gt;Reprogramaciones!$K$16),"",IF(ROUND(SUM($Q258:S258),1)&gt;=99.5,100,MIN(100,ROUND(SUM($Q258:S258),1))))</f>
        <v/>
      </c>
      <c r="CM258" s="1" t="str">
        <f aca="false">IF(OR(OR(NOT(AND(ISNUMBER(E258),ISNUMBER(F258))),$J$2=""),4&gt;Reprogramaciones!$K$16),"",IF(ROUND(SUM($Q258:T258),1)&gt;=99.5,100,MIN(100,ROUND(SUM($Q258:T258),1))))</f>
        <v/>
      </c>
      <c r="CN258" s="1" t="str">
        <f aca="false">IF(OR(OR(NOT(AND(ISNUMBER(E258),ISNUMBER(F258))),$J$2=""),5&gt;Reprogramaciones!$K$16),"",IF(ROUND(SUM($Q258:U258),1)&gt;=99.5,100,MIN(100,ROUND(SUM($Q258:U258),1))))</f>
        <v/>
      </c>
      <c r="CO258" s="1" t="str">
        <f aca="false">IF(OR(OR(NOT(AND(ISNUMBER(E258),ISNUMBER(F258))),$J$2=""),6&gt;Reprogramaciones!$K$16),"",IF(ROUND(SUM($Q258:V258),1)&gt;=99.5,100,MIN(100,ROUND(SUM($Q258:V258),1))))</f>
        <v/>
      </c>
      <c r="CP258" s="1" t="str">
        <f aca="false">IF(OR(OR(NOT(AND(ISNUMBER(E258),ISNUMBER(F258))),$J$2=""),7&gt;Reprogramaciones!$K$16),"",IF(ROUND(SUM($Q258:W258),1)&gt;=99.5,100,MIN(100,ROUND(SUM($Q258:W258),1))))</f>
        <v/>
      </c>
      <c r="CQ258" s="1" t="str">
        <f aca="false">IF(OR(OR(NOT(AND(ISNUMBER(E258),ISNUMBER(F258))),$J$2=""),8&gt;Reprogramaciones!$K$16),"",IF(ROUND(SUM($Q258:X258),1)&gt;=99.5,100,MIN(100,ROUND(SUM($Q258:X258),1))))</f>
        <v/>
      </c>
      <c r="CR258" s="1" t="str">
        <f aca="false">IF(OR(OR(NOT(AND(ISNUMBER(E258),ISNUMBER(F258))),$J$2=""),9&gt;Reprogramaciones!$K$16),"",IF(ROUND(SUM($Q258:Y258),1)&gt;=99.5,100,MIN(100,ROUND(SUM($Q258:Y258),1))))</f>
        <v/>
      </c>
      <c r="CS258" s="1" t="str">
        <f aca="false">IF(OR(OR(NOT(AND(ISNUMBER(E258),ISNUMBER(F258))),$J$2=""),10&gt;Reprogramaciones!$K$16),"",IF(ROUND(SUM($Q258:Z258),1)&gt;=99.5,100,MIN(100,ROUND(SUM($Q258:Z258),1))))</f>
        <v/>
      </c>
      <c r="CT258" s="1" t="str">
        <f aca="false">IF(OR(OR(NOT(AND(ISNUMBER(E258),ISNUMBER(F258))),$J$2=""),11&gt;Reprogramaciones!$K$16),"",IF(ROUND(SUM($Q258:AA258),1)&gt;=99.5,100,MIN(100,ROUND(SUM($Q258:AA258),1))))</f>
        <v/>
      </c>
      <c r="CU258" s="1" t="str">
        <f aca="false">IF(OR(OR(NOT(AND(ISNUMBER(E258),ISNUMBER(F258))),$J$2=""),12&gt;Reprogramaciones!$K$16),"",IF(ROUND(SUM($Q258:AB258),1)&gt;=99.5,100,MIN(100,ROUND(SUM($Q258:AB258),1))))</f>
        <v/>
      </c>
      <c r="CV258" s="1" t="str">
        <f aca="false">IF(OR(OR(NOT(AND(ISNUMBER(E258),ISNUMBER(F258))),$J$2=""),13&gt;Reprogramaciones!$K$16),"",IF(ROUND(SUM($Q258:AC258),1)&gt;=99.5,100,MIN(100,ROUND(SUM($Q258:AC258),1))))</f>
        <v/>
      </c>
      <c r="CW258" s="1" t="str">
        <f aca="false">IF(OR(OR(NOT(AND(ISNUMBER(E258),ISNUMBER(F258))),$J$2=""),14&gt;Reprogramaciones!$K$16),"",IF(ROUND(SUM($Q258:AD258),1)&gt;=99.5,100,MIN(100,ROUND(SUM($Q258:AD258),1))))</f>
        <v/>
      </c>
      <c r="CX258" s="1" t="str">
        <f aca="false">IF(OR(OR(NOT(AND(ISNUMBER(E258),ISNUMBER(F258))),$J$2=""),15&gt;Reprogramaciones!$K$16),"",IF(ROUND(SUM($Q258:AE258),1)&gt;=99.5,100,MIN(100,ROUND(SUM($Q258:AE258),1))))</f>
        <v/>
      </c>
      <c r="CY258" s="1" t="str">
        <f aca="false">IF(OR(OR(NOT(AND(ISNUMBER(E258),ISNUMBER(F258))),$J$2=""),16&gt;Reprogramaciones!$K$16),"",IF(ROUND(SUM($Q258:AF258),1)&gt;=99.5,100,MIN(100,ROUND(SUM($Q258:AF258),1))))</f>
        <v/>
      </c>
      <c r="CZ258" s="1" t="str">
        <f aca="false">IF(D258&lt;&gt;"",D258,IF(B258&lt;&gt;"","Contractual",CZ257))</f>
        <v>Contractual</v>
      </c>
      <c r="DA258" s="1" t="str">
        <f aca="false">IF(OR(NOT(AND(ISNUMBER(E258),ISNUMBER(F258))),$J$2=""),"",IF(Reprogramaciones!$Q$15&lt;Reprogramaciones!$T$15,0,IF(Reprogramaciones!$S$15&gt;10,MIN(100,SUM($G258:$P258)),MIN(100,SUMPRODUCT((COLUMN($G258:$P258)-COLUMN($G258)+1&lt;Reprogramaciones!$S$15)*$G258:$P258)+N(INDEX($G258:$P258,1,Reprogramaciones!$S$15))*IF(Reprogramaciones!$Q$15&gt;=(Reprogramaciones!$T$15+7*(Reprogramaciones!$S$15-1))+6,1,IF(MAX(0,NETWORKDAYS.INTL(MAX(E258,(Reprogramaciones!$T$15+7*(Reprogramaciones!$S$15-1))),MIN(F258,(Reprogramaciones!$T$15+7*(Reprogramaciones!$S$15-1))+6),11))=0,0,MAX(0,NETWORKDAYS.INTL(MAX(E258,(Reprogramaciones!$T$15+7*(Reprogramaciones!$S$15-1))),MIN(F258,Reprogramaciones!$Q$15),11))/MAX(0,NETWORKDAYS.INTL(MAX(E258,(Reprogramaciones!$T$15+7*(Reprogramaciones!$S$15-1))),MIN(F258,(Reprogramaciones!$T$15+7*(Reprogramaciones!$S$15-1))+6),11))))))))</f>
        <v/>
      </c>
    </row>
    <row r="259" customFormat="false" ht="15" hidden="false" customHeight="false" outlineLevel="0" collapsed="false">
      <c r="A259" s="32"/>
      <c r="B259" s="33"/>
      <c r="C259" s="33"/>
      <c r="D259" s="34"/>
      <c r="E259" s="35"/>
      <c r="F259" s="35"/>
      <c r="G259" s="36" t="str">
        <f aca="false">IF(OR(NOT(AND(ISNUMBER(E259),ISNUMBER(F259))),$J$2=""),"",IF(Reprogramaciones!K$9&lt;E259,0,IF(NETWORKDAYS.INTL(E259,F259,11)=0,IF(Reprogramaciones!K$9&gt;=F259,100,0),ROUND(NETWORKDAYS.INTL(E259,MIN(F259,Reprogramaciones!K$9),11)/NETWORKDAYS.INTL(E259,F259,11)*100,1)))-0)</f>
        <v/>
      </c>
      <c r="H259" s="36" t="str">
        <f aca="false">IF(OR(NOT(AND(ISNUMBER(E259),ISNUMBER(F259))),$J$2=""),"",IF(Reprogramaciones!L$9&lt;E259,0,IF(NETWORKDAYS.INTL(E259,F259,11)=0,IF(Reprogramaciones!L$9&gt;=F259,100,0),ROUND(NETWORKDAYS.INTL(E259,MIN(F259,Reprogramaciones!L$9),11)/NETWORKDAYS.INTL(E259,F259,11)*100,1)))-IF(Reprogramaciones!K$9&lt;E259,0,IF(NETWORKDAYS.INTL(E259,F259,11)=0,IF(Reprogramaciones!K$9&gt;=F259,100,0),ROUND(NETWORKDAYS.INTL(E259,MIN(F259,Reprogramaciones!K$9),11)/NETWORKDAYS.INTL(E259,F259,11)*100,1))))</f>
        <v/>
      </c>
      <c r="I259" s="36" t="str">
        <f aca="false">IF(OR(NOT(AND(ISNUMBER(E259),ISNUMBER(F259))),$J$2=""),"",IF(Reprogramaciones!M$9&lt;E259,0,IF(NETWORKDAYS.INTL(E259,F259,11)=0,IF(Reprogramaciones!M$9&gt;=F259,100,0),ROUND(NETWORKDAYS.INTL(E259,MIN(F259,Reprogramaciones!M$9),11)/NETWORKDAYS.INTL(E259,F259,11)*100,1)))-IF(Reprogramaciones!L$9&lt;E259,0,IF(NETWORKDAYS.INTL(E259,F259,11)=0,IF(Reprogramaciones!L$9&gt;=F259,100,0),ROUND(NETWORKDAYS.INTL(E259,MIN(F259,Reprogramaciones!L$9),11)/NETWORKDAYS.INTL(E259,F259,11)*100,1))))</f>
        <v/>
      </c>
      <c r="J259" s="36" t="str">
        <f aca="false">IF(OR(NOT(AND(ISNUMBER(E259),ISNUMBER(F259))),$J$2=""),"",IF(Reprogramaciones!N$9&lt;E259,0,IF(NETWORKDAYS.INTL(E259,F259,11)=0,IF(Reprogramaciones!N$9&gt;=F259,100,0),ROUND(NETWORKDAYS.INTL(E259,MIN(F259,Reprogramaciones!N$9),11)/NETWORKDAYS.INTL(E259,F259,11)*100,1)))-IF(Reprogramaciones!M$9&lt;E259,0,IF(NETWORKDAYS.INTL(E259,F259,11)=0,IF(Reprogramaciones!M$9&gt;=F259,100,0),ROUND(NETWORKDAYS.INTL(E259,MIN(F259,Reprogramaciones!M$9),11)/NETWORKDAYS.INTL(E259,F259,11)*100,1))))</f>
        <v/>
      </c>
      <c r="K259" s="36" t="str">
        <f aca="false">IF(OR(NOT(AND(ISNUMBER(E259),ISNUMBER(F259))),$J$2=""),"",IF(Reprogramaciones!O$9&lt;E259,0,IF(NETWORKDAYS.INTL(E259,F259,11)=0,IF(Reprogramaciones!O$9&gt;=F259,100,0),ROUND(NETWORKDAYS.INTL(E259,MIN(F259,Reprogramaciones!O$9),11)/NETWORKDAYS.INTL(E259,F259,11)*100,1)))-IF(Reprogramaciones!N$9&lt;E259,0,IF(NETWORKDAYS.INTL(E259,F259,11)=0,IF(Reprogramaciones!N$9&gt;=F259,100,0),ROUND(NETWORKDAYS.INTL(E259,MIN(F259,Reprogramaciones!N$9),11)/NETWORKDAYS.INTL(E259,F259,11)*100,1))))</f>
        <v/>
      </c>
      <c r="L259" s="36" t="str">
        <f aca="false">IF(OR(NOT(AND(ISNUMBER(E259),ISNUMBER(F259))),$J$2=""),"",IF(Reprogramaciones!P$9&lt;E259,0,IF(NETWORKDAYS.INTL(E259,F259,11)=0,IF(Reprogramaciones!P$9&gt;=F259,100,0),ROUND(NETWORKDAYS.INTL(E259,MIN(F259,Reprogramaciones!P$9),11)/NETWORKDAYS.INTL(E259,F259,11)*100,1)))-IF(Reprogramaciones!O$9&lt;E259,0,IF(NETWORKDAYS.INTL(E259,F259,11)=0,IF(Reprogramaciones!O$9&gt;=F259,100,0),ROUND(NETWORKDAYS.INTL(E259,MIN(F259,Reprogramaciones!O$9),11)/NETWORKDAYS.INTL(E259,F259,11)*100,1))))</f>
        <v/>
      </c>
      <c r="M259" s="36" t="str">
        <f aca="false">IF(OR(NOT(AND(ISNUMBER(E259),ISNUMBER(F259))),$J$2=""),"",IF(Reprogramaciones!Q$9&lt;E259,0,IF(NETWORKDAYS.INTL(E259,F259,11)=0,IF(Reprogramaciones!Q$9&gt;=F259,100,0),ROUND(NETWORKDAYS.INTL(E259,MIN(F259,Reprogramaciones!Q$9),11)/NETWORKDAYS.INTL(E259,F259,11)*100,1)))-IF(Reprogramaciones!P$9&lt;E259,0,IF(NETWORKDAYS.INTL(E259,F259,11)=0,IF(Reprogramaciones!P$9&gt;=F259,100,0),ROUND(NETWORKDAYS.INTL(E259,MIN(F259,Reprogramaciones!P$9),11)/NETWORKDAYS.INTL(E259,F259,11)*100,1))))</f>
        <v/>
      </c>
      <c r="N259" s="36" t="str">
        <f aca="false">IF(OR(NOT(AND(ISNUMBER(E259),ISNUMBER(F259))),$J$2=""),"",IF(Reprogramaciones!R$9&lt;E259,0,IF(NETWORKDAYS.INTL(E259,F259,11)=0,IF(Reprogramaciones!R$9&gt;=F259,100,0),ROUND(NETWORKDAYS.INTL(E259,MIN(F259,Reprogramaciones!R$9),11)/NETWORKDAYS.INTL(E259,F259,11)*100,1)))-IF(Reprogramaciones!Q$9&lt;E259,0,IF(NETWORKDAYS.INTL(E259,F259,11)=0,IF(Reprogramaciones!Q$9&gt;=F259,100,0),ROUND(NETWORKDAYS.INTL(E259,MIN(F259,Reprogramaciones!Q$9),11)/NETWORKDAYS.INTL(E259,F259,11)*100,1))))</f>
        <v/>
      </c>
      <c r="O259" s="36" t="str">
        <f aca="false">IF(OR(NOT(AND(ISNUMBER(E259),ISNUMBER(F259))),$J$2=""),"",IF(Reprogramaciones!S$9&lt;E259,0,IF(NETWORKDAYS.INTL(E259,F259,11)=0,IF(Reprogramaciones!S$9&gt;=F259,100,0),ROUND(NETWORKDAYS.INTL(E259,MIN(F259,Reprogramaciones!S$9),11)/NETWORKDAYS.INTL(E259,F259,11)*100,1)))-IF(Reprogramaciones!R$9&lt;E259,0,IF(NETWORKDAYS.INTL(E259,F259,11)=0,IF(Reprogramaciones!R$9&gt;=F259,100,0),ROUND(NETWORKDAYS.INTL(E259,MIN(F259,Reprogramaciones!R$9),11)/NETWORKDAYS.INTL(E259,F259,11)*100,1))))</f>
        <v/>
      </c>
      <c r="P259" s="36" t="str">
        <f aca="false">IF(OR(NOT(AND(ISNUMBER(E259),ISNUMBER(F259))),$J$2=""),"",IF(Reprogramaciones!T$9&lt;E259,0,IF(NETWORKDAYS.INTL(E259,F259,11)=0,IF(Reprogramaciones!T$9&gt;=F259,100,0),ROUND(NETWORKDAYS.INTL(E259,MIN(F259,Reprogramaciones!T$9),11)/NETWORKDAYS.INTL(E259,F259,11)*100,1)))-IF(Reprogramaciones!S$9&lt;E259,0,IF(NETWORKDAYS.INTL(E259,F259,11)=0,IF(Reprogramaciones!S$9&gt;=F259,100,0),ROUND(NETWORKDAYS.INTL(E259,MIN(F259,Reprogramaciones!S$9),11)/NETWORKDAYS.INTL(E259,F259,11)*100,1))))</f>
        <v/>
      </c>
      <c r="Q259" s="37"/>
      <c r="R259" s="37"/>
      <c r="S259" s="37"/>
      <c r="T259" s="37"/>
      <c r="U259" s="37"/>
      <c r="V259" s="37"/>
      <c r="W259" s="37"/>
      <c r="X259" s="37"/>
      <c r="Y259" s="37"/>
      <c r="Z259" s="37"/>
      <c r="AA259" s="37"/>
      <c r="AB259" s="37"/>
      <c r="AC259" s="37"/>
      <c r="AD259" s="37"/>
      <c r="AE259" s="37"/>
      <c r="AF259" s="37"/>
      <c r="AG259" s="38" t="str">
        <f aca="false">IF(AND(ISNUMBER(E259),ISNUMBER(F259)),NETWORKDAYS.INTL(E259,F259,11),"")</f>
        <v/>
      </c>
      <c r="AH259" s="38" t="str">
        <f aca="false">IF(OR(NOT(AND(ISNUMBER(E259),ISNUMBER(F259))),$J$2=""),"",IF(Reprogramaciones!$P$15&lt;Reprogramaciones!$T$15,0,IF(Reprogramaciones!$R$15&gt;10,MIN(100,SUM($G259:$P259)),MIN(100,SUMPRODUCT((COLUMN($G259:$P259)-COLUMN($G259)+1&lt;Reprogramaciones!$R$15)*$G259:$P259)+N(INDEX($G259:$P259,1,Reprogramaciones!$R$15))*IF(Reprogramaciones!$P$15&gt;=(Reprogramaciones!$T$15+7*(Reprogramaciones!$R$15-1))+6,1,IF(MAX(0,NETWORKDAYS.INTL(MAX(E259,(Reprogramaciones!$T$15+7*(Reprogramaciones!$R$15-1))),MIN(F259,(Reprogramaciones!$T$15+7*(Reprogramaciones!$R$15-1))+6),11))=0,0,MAX(0,NETWORKDAYS.INTL(MAX(E259,(Reprogramaciones!$T$15+7*(Reprogramaciones!$R$15-1))),MIN(F259,Reprogramaciones!$P$15),11))/MAX(0,NETWORKDAYS.INTL(MAX(E259,(Reprogramaciones!$T$15+7*(Reprogramaciones!$R$15-1))),MIN(F259,(Reprogramaciones!$T$15+7*(Reprogramaciones!$R$15-1))+6),11))))))))</f>
        <v/>
      </c>
      <c r="AI259" s="38" t="str">
        <f aca="false">IF(COUNT($Q259:$AF259)=0,"",IF(ROUND(SUM($Q259:$AF259),1)&gt;=99.5,100,MIN(100,ROUND(SUM($Q259:$AF259),1))))</f>
        <v/>
      </c>
      <c r="AJ259" s="38" t="str">
        <f aca="false">IF(OR(AH259="",AI259=""),"",AI259-AH259)</f>
        <v/>
      </c>
      <c r="AK259" s="39" t="str">
        <f aca="true">IF(AH259="","",IF(OR(Ficha!$C$10="Suspendida",Ficha!$C$10="Cancelada"),Ficha!$C$10,IF(AND(AI259&lt;&gt;"",N(AI259)&gt;=100),"Completada",IF(AND(E259&gt;TODAY(),N(AI259)=0),"Por iniciar",IF(N(AI259)+0.5&lt;AH259,"Retrasada",IF(N(AI259)+0.5&lt;DA259,IF(Reprogramaciones!$K$15&gt;0,"Al día · Sem "&amp;Reprogramaciones!$K$15&amp;" en curso","Al día · en curso"),"A tiempo"))))))</f>
        <v/>
      </c>
      <c r="AL259" s="39" t="str">
        <f aca="true">IF(AND(A259="",AND(B259="",C259="",E259="",F259="",COUNT(Q259:AF259)=0)),"",IF(AND(B259="",C259="",E259="",F259="",COUNT(Q259:AF259)=0),"Falta la partida o subpartida",IF(AND(A259&lt;&gt;"",COUNTIF($A$6:$A$305,A259)&gt;1),"Ítem repetido",IF(AND(C259="",E259="",F259="",COUNT(Q259:AF259)=0),"Título de partida",IF(OR(E259="",F259=""),"Faltan fechas",IF(OR(ISTEXT(E259),ISTEXT(F259)),"Fecha escrita como texto: usa dd/mm/aaaa",IF(F259&lt;E259,"Fin antes del inicio",IF(IF($J$2="",FALSE(),OR(E259&lt;$J$2,F259&gt;Reprogramaciones!$T$15+69)),"Fuera de las 10 semanas",IF(ABS(SUM(G259:P259)-100)&gt;0.5,"La meta no suma 100%",IF(ROUND(SUM(Q259:AF259),1)&gt;100.5,"El avance pasa de 100%",IF(MIN(Q259:AF259)&lt;0,"Avance negativo",IF(COUNTA(Q259:AF259)&gt;COUNT(Q259:AF259),"Avance escrito como texto",IF(SUMPRODUCT((Q259:AF259&gt;0)*(Q259:AF259&lt;1))&gt;0,"Avance menor a 1: escribe 50, no 50%",IF(SUMPRODUCT(ISNUMBER(Q259:AF259)*(Reprogramaciones!$K$8:$Z$8&gt;TODAY()))&gt;0,"Avance en semana que aún no llega",IF(AND(N(Reprogramaciones!$E$21)&gt;0,F259&gt;Reprogramaciones!$E$21),"Pasa el fin de la obra: registra una reprogramación",IF(AND(N(Reprogramaciones!$E$21)&gt;0,SUMPRODUCT(ISNUMBER(Q259:AF259)*(Reprogramaciones!$K$8:$Z$8&gt;Reprogramaciones!$E$21))&gt;0),"Avance después del fin de la obra: registra una reprogramación por atraso","OK"))))))))))))))))</f>
        <v/>
      </c>
      <c r="AM259" s="40" t="str">
        <f aca="false">IF(OR(OR(NOT(AND(ISNUMBER(E259),ISNUMBER(F259))),$J$2=""),1&gt;MAX(1,Reprogramaciones!$U$15)),"",IF(Reprogramaciones!K$12&gt;=7,"",IF(OR(BT259-N(0)&gt;0.05,N(Q259)&gt;0),ROUNDDOWN(ROUND(BT259,6),0)&amp;"%"&amp;IF(CJ259="",""," / "&amp;CJ259&amp;"%"),IF(AND(N(0)&gt;=99.95,CJ259&lt;&gt;"",N(CJ259)&lt;100),"Pend. "&amp;CJ259&amp;"%",""))))</f>
        <v/>
      </c>
      <c r="AN259" s="40" t="str">
        <f aca="false">IF(OR(OR(NOT(AND(ISNUMBER(E259),ISNUMBER(F259))),$J$2=""),2&gt;MAX(1,Reprogramaciones!$U$15)),"",IF(Reprogramaciones!L$12&gt;=7,"",IF(OR(BU259-N(BT259)&gt;0.05,N(R259)&gt;0),ROUNDDOWN(ROUND(BU259,6),0)&amp;"%"&amp;IF(CK259="",""," / "&amp;CK259&amp;"%"),IF(AND(N(BT259)&gt;=99.95,CK259&lt;&gt;"",N(CK259)&lt;100),"Pend. "&amp;CK259&amp;"%",""))))</f>
        <v/>
      </c>
      <c r="AO259" s="40" t="str">
        <f aca="false">IF(OR(OR(NOT(AND(ISNUMBER(E259),ISNUMBER(F259))),$J$2=""),3&gt;MAX(1,Reprogramaciones!$U$15)),"",IF(Reprogramaciones!M$12&gt;=7,"",IF(OR(BV259-N(BU259)&gt;0.05,N(S259)&gt;0),ROUNDDOWN(ROUND(BV259,6),0)&amp;"%"&amp;IF(CL259="",""," / "&amp;CL259&amp;"%"),IF(AND(N(BU259)&gt;=99.95,CL259&lt;&gt;"",N(CL259)&lt;100),"Pend. "&amp;CL259&amp;"%",""))))</f>
        <v/>
      </c>
      <c r="AP259" s="40" t="str">
        <f aca="false">IF(OR(OR(NOT(AND(ISNUMBER(E259),ISNUMBER(F259))),$J$2=""),4&gt;MAX(1,Reprogramaciones!$U$15)),"",IF(Reprogramaciones!N$12&gt;=7,"",IF(OR(BW259-N(BV259)&gt;0.05,N(T259)&gt;0),ROUNDDOWN(ROUND(BW259,6),0)&amp;"%"&amp;IF(CM259="",""," / "&amp;CM259&amp;"%"),IF(AND(N(BV259)&gt;=99.95,CM259&lt;&gt;"",N(CM259)&lt;100),"Pend. "&amp;CM259&amp;"%",""))))</f>
        <v/>
      </c>
      <c r="AQ259" s="40" t="str">
        <f aca="false">IF(OR(OR(NOT(AND(ISNUMBER(E259),ISNUMBER(F259))),$J$2=""),5&gt;MAX(1,Reprogramaciones!$U$15)),"",IF(Reprogramaciones!O$12&gt;=7,"",IF(OR(BX259-N(BW259)&gt;0.05,N(U259)&gt;0),ROUNDDOWN(ROUND(BX259,6),0)&amp;"%"&amp;IF(CN259="",""," / "&amp;CN259&amp;"%"),IF(AND(N(BW259)&gt;=99.95,CN259&lt;&gt;"",N(CN259)&lt;100),"Pend. "&amp;CN259&amp;"%",""))))</f>
        <v/>
      </c>
      <c r="AR259" s="40" t="str">
        <f aca="false">IF(OR(OR(NOT(AND(ISNUMBER(E259),ISNUMBER(F259))),$J$2=""),6&gt;MAX(1,Reprogramaciones!$U$15)),"",IF(Reprogramaciones!P$12&gt;=7,"",IF(OR(BY259-N(BX259)&gt;0.05,N(V259)&gt;0),ROUNDDOWN(ROUND(BY259,6),0)&amp;"%"&amp;IF(CO259="",""," / "&amp;CO259&amp;"%"),IF(AND(N(BX259)&gt;=99.95,CO259&lt;&gt;"",N(CO259)&lt;100),"Pend. "&amp;CO259&amp;"%",""))))</f>
        <v/>
      </c>
      <c r="AS259" s="40" t="str">
        <f aca="false">IF(OR(OR(NOT(AND(ISNUMBER(E259),ISNUMBER(F259))),$J$2=""),7&gt;MAX(1,Reprogramaciones!$U$15)),"",IF(Reprogramaciones!Q$12&gt;=7,"",IF(OR(BZ259-N(BY259)&gt;0.05,N(W259)&gt;0),ROUNDDOWN(ROUND(BZ259,6),0)&amp;"%"&amp;IF(CP259="",""," / "&amp;CP259&amp;"%"),IF(AND(N(BY259)&gt;=99.95,CP259&lt;&gt;"",N(CP259)&lt;100),"Pend. "&amp;CP259&amp;"%",""))))</f>
        <v/>
      </c>
      <c r="AT259" s="40" t="str">
        <f aca="false">IF(OR(OR(NOT(AND(ISNUMBER(E259),ISNUMBER(F259))),$J$2=""),8&gt;MAX(1,Reprogramaciones!$U$15)),"",IF(Reprogramaciones!R$12&gt;=7,"",IF(OR(CA259-N(BZ259)&gt;0.05,N(X259)&gt;0),ROUNDDOWN(ROUND(CA259,6),0)&amp;"%"&amp;IF(CQ259="",""," / "&amp;CQ259&amp;"%"),IF(AND(N(BZ259)&gt;=99.95,CQ259&lt;&gt;"",N(CQ259)&lt;100),"Pend. "&amp;CQ259&amp;"%",""))))</f>
        <v/>
      </c>
      <c r="AU259" s="40" t="str">
        <f aca="false">IF(OR(OR(NOT(AND(ISNUMBER(E259),ISNUMBER(F259))),$J$2=""),9&gt;MAX(1,Reprogramaciones!$U$15)),"",IF(Reprogramaciones!S$12&gt;=7,"",IF(OR(CB259-N(CA259)&gt;0.05,N(Y259)&gt;0),ROUNDDOWN(ROUND(CB259,6),0)&amp;"%"&amp;IF(CR259="",""," / "&amp;CR259&amp;"%"),IF(AND(N(CA259)&gt;=99.95,CR259&lt;&gt;"",N(CR259)&lt;100),"Pend. "&amp;CR259&amp;"%",""))))</f>
        <v/>
      </c>
      <c r="AV259" s="40" t="str">
        <f aca="false">IF(OR(OR(NOT(AND(ISNUMBER(E259),ISNUMBER(F259))),$J$2=""),10&gt;MAX(1,Reprogramaciones!$U$15)),"",IF(Reprogramaciones!T$12&gt;=7,"",IF(OR(CC259-N(CB259)&gt;0.05,N(Z259)&gt;0),ROUNDDOWN(ROUND(CC259,6),0)&amp;"%"&amp;IF(CS259="",""," / "&amp;CS259&amp;"%"),IF(AND(N(CB259)&gt;=99.95,CS259&lt;&gt;"",N(CS259)&lt;100),"Pend. "&amp;CS259&amp;"%",""))))</f>
        <v/>
      </c>
      <c r="AW259" s="40" t="str">
        <f aca="false">IF(OR(OR(NOT(AND(ISNUMBER(E259),ISNUMBER(F259))),$J$2=""),11&gt;MAX(1,Reprogramaciones!$U$15)),"",IF(Reprogramaciones!U$12&gt;=7,"",IF(OR(CD259-N(CC259)&gt;0.05,N(AA259)&gt;0),ROUNDDOWN(ROUND(CD259,6),0)&amp;"%"&amp;IF(CT259="",""," / "&amp;CT259&amp;"%"),IF(AND(N(CC259)&gt;=99.95,CT259&lt;&gt;"",N(CT259)&lt;100),"Pend. "&amp;CT259&amp;"%",""))))</f>
        <v/>
      </c>
      <c r="AX259" s="40" t="str">
        <f aca="false">IF(OR(OR(NOT(AND(ISNUMBER(E259),ISNUMBER(F259))),$J$2=""),12&gt;MAX(1,Reprogramaciones!$U$15)),"",IF(Reprogramaciones!V$12&gt;=7,"",IF(OR(CE259-N(CD259)&gt;0.05,N(AB259)&gt;0),ROUNDDOWN(ROUND(CE259,6),0)&amp;"%"&amp;IF(CU259="",""," / "&amp;CU259&amp;"%"),IF(AND(N(CD259)&gt;=99.95,CU259&lt;&gt;"",N(CU259)&lt;100),"Pend. "&amp;CU259&amp;"%",""))))</f>
        <v/>
      </c>
      <c r="AY259" s="40" t="str">
        <f aca="false">IF(OR(OR(NOT(AND(ISNUMBER(E259),ISNUMBER(F259))),$J$2=""),13&gt;MAX(1,Reprogramaciones!$U$15)),"",IF(Reprogramaciones!W$12&gt;=7,"",IF(OR(CF259-N(CE259)&gt;0.05,N(AC259)&gt;0),ROUNDDOWN(ROUND(CF259,6),0)&amp;"%"&amp;IF(CV259="",""," / "&amp;CV259&amp;"%"),IF(AND(N(CE259)&gt;=99.95,CV259&lt;&gt;"",N(CV259)&lt;100),"Pend. "&amp;CV259&amp;"%",""))))</f>
        <v/>
      </c>
      <c r="AZ259" s="40" t="str">
        <f aca="false">IF(OR(OR(NOT(AND(ISNUMBER(E259),ISNUMBER(F259))),$J$2=""),14&gt;MAX(1,Reprogramaciones!$U$15)),"",IF(Reprogramaciones!X$12&gt;=7,"",IF(OR(CG259-N(CF259)&gt;0.05,N(AD259)&gt;0),ROUNDDOWN(ROUND(CG259,6),0)&amp;"%"&amp;IF(CW259="",""," / "&amp;CW259&amp;"%"),IF(AND(N(CF259)&gt;=99.95,CW259&lt;&gt;"",N(CW259)&lt;100),"Pend. "&amp;CW259&amp;"%",""))))</f>
        <v/>
      </c>
      <c r="BA259" s="40" t="str">
        <f aca="false">IF(OR(OR(NOT(AND(ISNUMBER(E259),ISNUMBER(F259))),$J$2=""),15&gt;MAX(1,Reprogramaciones!$U$15)),"",IF(Reprogramaciones!Y$12&gt;=7,"",IF(OR(CH259-N(CG259)&gt;0.05,N(AE259)&gt;0),ROUNDDOWN(ROUND(CH259,6),0)&amp;"%"&amp;IF(CX259="",""," / "&amp;CX259&amp;"%"),IF(AND(N(CG259)&gt;=99.95,CX259&lt;&gt;"",N(CX259)&lt;100),"Pend. "&amp;CX259&amp;"%",""))))</f>
        <v/>
      </c>
      <c r="BB259" s="40" t="str">
        <f aca="false">IF(OR(OR(NOT(AND(ISNUMBER(E259),ISNUMBER(F259))),$J$2=""),16&gt;MAX(1,Reprogramaciones!$U$15)),"",IF(Reprogramaciones!Z$12&gt;=7,"",IF(OR(CI259-N(CH259)&gt;0.05,N(AF259)&gt;0),ROUNDDOWN(ROUND(CI259,6),0)&amp;"%"&amp;IF(CY259="",""," / "&amp;CY259&amp;"%"),IF(AND(N(CH259)&gt;=99.95,CY259&lt;&gt;"",N(CY259)&lt;100),"Pend. "&amp;CY259&amp;"%",""))))</f>
        <v/>
      </c>
      <c r="BC259" s="31" t="n">
        <f aca="false">IF(AND(ISNUMBER(E259),ISNUMBER(F259)),MAX(1,NETWORKDAYS.INTL(E259,F259,11)),0)</f>
        <v>0</v>
      </c>
      <c r="BD259" s="1" t="str">
        <f aca="false">IF(OR(NOT(AND(ISNUMBER(E259),ISNUMBER(F259))),$J$2=""),"",MIN(100,ROUND(SUM($G259:G259),1)))</f>
        <v/>
      </c>
      <c r="BE259" s="1" t="str">
        <f aca="false">IF(OR(NOT(AND(ISNUMBER(E259),ISNUMBER(F259))),$J$2=""),"",MIN(100,ROUND(SUM($G259:H259),1)))</f>
        <v/>
      </c>
      <c r="BF259" s="1" t="str">
        <f aca="false">IF(OR(NOT(AND(ISNUMBER(E259),ISNUMBER(F259))),$J$2=""),"",MIN(100,ROUND(SUM($G259:I259),1)))</f>
        <v/>
      </c>
      <c r="BG259" s="1" t="str">
        <f aca="false">IF(OR(NOT(AND(ISNUMBER(E259),ISNUMBER(F259))),$J$2=""),"",MIN(100,ROUND(SUM($G259:J259),1)))</f>
        <v/>
      </c>
      <c r="BH259" s="1" t="str">
        <f aca="false">IF(OR(NOT(AND(ISNUMBER(E259),ISNUMBER(F259))),$J$2=""),"",MIN(100,ROUND(SUM($G259:K259),1)))</f>
        <v/>
      </c>
      <c r="BI259" s="1" t="str">
        <f aca="false">IF(OR(NOT(AND(ISNUMBER(E259),ISNUMBER(F259))),$J$2=""),"",MIN(100,ROUND(SUM($G259:L259),1)))</f>
        <v/>
      </c>
      <c r="BJ259" s="1" t="str">
        <f aca="false">IF(OR(NOT(AND(ISNUMBER(E259),ISNUMBER(F259))),$J$2=""),"",MIN(100,ROUND(SUM($G259:M259),1)))</f>
        <v/>
      </c>
      <c r="BK259" s="1" t="str">
        <f aca="false">IF(OR(NOT(AND(ISNUMBER(E259),ISNUMBER(F259))),$J$2=""),"",MIN(100,ROUND(SUM($G259:N259),1)))</f>
        <v/>
      </c>
      <c r="BL259" s="1" t="str">
        <f aca="false">IF(OR(NOT(AND(ISNUMBER(E259),ISNUMBER(F259))),$J$2=""),"",MIN(100,ROUND(SUM($G259:O259),1)))</f>
        <v/>
      </c>
      <c r="BM259" s="1" t="str">
        <f aca="false">IF(OR(NOT(AND(ISNUMBER(E259),ISNUMBER(F259))),$J$2=""),"",MIN(100,ROUND(SUM($G259:P259),1)))</f>
        <v/>
      </c>
      <c r="BN259" s="1" t="str">
        <f aca="false">IF(OR(NOT(AND(ISNUMBER(E259),ISNUMBER(F259))),$J$2=""),"",MIN(100,ROUND(SUM($G259:P259),1)))</f>
        <v/>
      </c>
      <c r="BO259" s="1" t="str">
        <f aca="false">IF(OR(NOT(AND(ISNUMBER(E259),ISNUMBER(F259))),$J$2=""),"",MIN(100,ROUND(SUM($G259:P259),1)))</f>
        <v/>
      </c>
      <c r="BP259" s="1" t="str">
        <f aca="false">IF(OR(NOT(AND(ISNUMBER(E259),ISNUMBER(F259))),$J$2=""),"",MIN(100,ROUND(SUM($G259:P259),1)))</f>
        <v/>
      </c>
      <c r="BQ259" s="1" t="str">
        <f aca="false">IF(OR(NOT(AND(ISNUMBER(E259),ISNUMBER(F259))),$J$2=""),"",MIN(100,ROUND(SUM($G259:P259),1)))</f>
        <v/>
      </c>
      <c r="BR259" s="1" t="str">
        <f aca="false">IF(OR(NOT(AND(ISNUMBER(E259),ISNUMBER(F259))),$J$2=""),"",MIN(100,ROUND(SUM($G259:P259),1)))</f>
        <v/>
      </c>
      <c r="BS259" s="1" t="str">
        <f aca="false">IF(OR(NOT(AND(ISNUMBER(E259),ISNUMBER(F259))),$J$2=""),"",MIN(100,ROUND(SUM($G259:P259),1)))</f>
        <v/>
      </c>
      <c r="BT259" s="1" t="str">
        <f aca="false">IF(OR(NOT(AND(ISNUMBER(E259),ISNUMBER(F259))),$J$2=""),"",IF(Reprogramaciones!K$13&lt;Reprogramaciones!$T$15,0,IF(Reprogramaciones!K$14&gt;10,MIN(100,SUM($G259:$P259)),MIN(100,SUMPRODUCT((COLUMN($G259:$P259)-COLUMN($G259)+1&lt;Reprogramaciones!K$14)*$G259:$P259)+N(INDEX($G259:$P259,1,Reprogramaciones!K$14))*IF(Reprogramaciones!K$13&gt;=(Reprogramaciones!$T$15+7*(Reprogramaciones!K$14-1))+6,1,IF(MAX(0,NETWORKDAYS.INTL(MAX(E259,(Reprogramaciones!$T$15+7*(Reprogramaciones!K$14-1))),MIN(F259,(Reprogramaciones!$T$15+7*(Reprogramaciones!K$14-1))+6),11))=0,0,MAX(0,NETWORKDAYS.INTL(MAX(E259,(Reprogramaciones!$T$15+7*(Reprogramaciones!K$14-1))),MIN(F259,Reprogramaciones!K$13),11))/MAX(0,NETWORKDAYS.INTL(MAX(E259,(Reprogramaciones!$T$15+7*(Reprogramaciones!K$14-1))),MIN(F259,(Reprogramaciones!$T$15+7*(Reprogramaciones!K$14-1))+6),11))))))))</f>
        <v/>
      </c>
      <c r="BU259" s="1" t="str">
        <f aca="false">IF(OR(NOT(AND(ISNUMBER(E259),ISNUMBER(F259))),$J$2=""),"",IF(Reprogramaciones!L$13&lt;Reprogramaciones!$T$15,0,IF(Reprogramaciones!L$14&gt;10,MIN(100,SUM($G259:$P259)),MIN(100,SUMPRODUCT((COLUMN($G259:$P259)-COLUMN($G259)+1&lt;Reprogramaciones!L$14)*$G259:$P259)+N(INDEX($G259:$P259,1,Reprogramaciones!L$14))*IF(Reprogramaciones!L$13&gt;=(Reprogramaciones!$T$15+7*(Reprogramaciones!L$14-1))+6,1,IF(MAX(0,NETWORKDAYS.INTL(MAX(E259,(Reprogramaciones!$T$15+7*(Reprogramaciones!L$14-1))),MIN(F259,(Reprogramaciones!$T$15+7*(Reprogramaciones!L$14-1))+6),11))=0,0,MAX(0,NETWORKDAYS.INTL(MAX(E259,(Reprogramaciones!$T$15+7*(Reprogramaciones!L$14-1))),MIN(F259,Reprogramaciones!L$13),11))/MAX(0,NETWORKDAYS.INTL(MAX(E259,(Reprogramaciones!$T$15+7*(Reprogramaciones!L$14-1))),MIN(F259,(Reprogramaciones!$T$15+7*(Reprogramaciones!L$14-1))+6),11))))))))</f>
        <v/>
      </c>
      <c r="BV259" s="1" t="str">
        <f aca="false">IF(OR(NOT(AND(ISNUMBER(E259),ISNUMBER(F259))),$J$2=""),"",IF(Reprogramaciones!M$13&lt;Reprogramaciones!$T$15,0,IF(Reprogramaciones!M$14&gt;10,MIN(100,SUM($G259:$P259)),MIN(100,SUMPRODUCT((COLUMN($G259:$P259)-COLUMN($G259)+1&lt;Reprogramaciones!M$14)*$G259:$P259)+N(INDEX($G259:$P259,1,Reprogramaciones!M$14))*IF(Reprogramaciones!M$13&gt;=(Reprogramaciones!$T$15+7*(Reprogramaciones!M$14-1))+6,1,IF(MAX(0,NETWORKDAYS.INTL(MAX(E259,(Reprogramaciones!$T$15+7*(Reprogramaciones!M$14-1))),MIN(F259,(Reprogramaciones!$T$15+7*(Reprogramaciones!M$14-1))+6),11))=0,0,MAX(0,NETWORKDAYS.INTL(MAX(E259,(Reprogramaciones!$T$15+7*(Reprogramaciones!M$14-1))),MIN(F259,Reprogramaciones!M$13),11))/MAX(0,NETWORKDAYS.INTL(MAX(E259,(Reprogramaciones!$T$15+7*(Reprogramaciones!M$14-1))),MIN(F259,(Reprogramaciones!$T$15+7*(Reprogramaciones!M$14-1))+6),11))))))))</f>
        <v/>
      </c>
      <c r="BW259" s="1" t="str">
        <f aca="false">IF(OR(NOT(AND(ISNUMBER(E259),ISNUMBER(F259))),$J$2=""),"",IF(Reprogramaciones!N$13&lt;Reprogramaciones!$T$15,0,IF(Reprogramaciones!N$14&gt;10,MIN(100,SUM($G259:$P259)),MIN(100,SUMPRODUCT((COLUMN($G259:$P259)-COLUMN($G259)+1&lt;Reprogramaciones!N$14)*$G259:$P259)+N(INDEX($G259:$P259,1,Reprogramaciones!N$14))*IF(Reprogramaciones!N$13&gt;=(Reprogramaciones!$T$15+7*(Reprogramaciones!N$14-1))+6,1,IF(MAX(0,NETWORKDAYS.INTL(MAX(E259,(Reprogramaciones!$T$15+7*(Reprogramaciones!N$14-1))),MIN(F259,(Reprogramaciones!$T$15+7*(Reprogramaciones!N$14-1))+6),11))=0,0,MAX(0,NETWORKDAYS.INTL(MAX(E259,(Reprogramaciones!$T$15+7*(Reprogramaciones!N$14-1))),MIN(F259,Reprogramaciones!N$13),11))/MAX(0,NETWORKDAYS.INTL(MAX(E259,(Reprogramaciones!$T$15+7*(Reprogramaciones!N$14-1))),MIN(F259,(Reprogramaciones!$T$15+7*(Reprogramaciones!N$14-1))+6),11))))))))</f>
        <v/>
      </c>
      <c r="BX259" s="1" t="str">
        <f aca="false">IF(OR(NOT(AND(ISNUMBER(E259),ISNUMBER(F259))),$J$2=""),"",IF(Reprogramaciones!O$13&lt;Reprogramaciones!$T$15,0,IF(Reprogramaciones!O$14&gt;10,MIN(100,SUM($G259:$P259)),MIN(100,SUMPRODUCT((COLUMN($G259:$P259)-COLUMN($G259)+1&lt;Reprogramaciones!O$14)*$G259:$P259)+N(INDEX($G259:$P259,1,Reprogramaciones!O$14))*IF(Reprogramaciones!O$13&gt;=(Reprogramaciones!$T$15+7*(Reprogramaciones!O$14-1))+6,1,IF(MAX(0,NETWORKDAYS.INTL(MAX(E259,(Reprogramaciones!$T$15+7*(Reprogramaciones!O$14-1))),MIN(F259,(Reprogramaciones!$T$15+7*(Reprogramaciones!O$14-1))+6),11))=0,0,MAX(0,NETWORKDAYS.INTL(MAX(E259,(Reprogramaciones!$T$15+7*(Reprogramaciones!O$14-1))),MIN(F259,Reprogramaciones!O$13),11))/MAX(0,NETWORKDAYS.INTL(MAX(E259,(Reprogramaciones!$T$15+7*(Reprogramaciones!O$14-1))),MIN(F259,(Reprogramaciones!$T$15+7*(Reprogramaciones!O$14-1))+6),11))))))))</f>
        <v/>
      </c>
      <c r="BY259" s="1" t="str">
        <f aca="false">IF(OR(NOT(AND(ISNUMBER(E259),ISNUMBER(F259))),$J$2=""),"",IF(Reprogramaciones!P$13&lt;Reprogramaciones!$T$15,0,IF(Reprogramaciones!P$14&gt;10,MIN(100,SUM($G259:$P259)),MIN(100,SUMPRODUCT((COLUMN($G259:$P259)-COLUMN($G259)+1&lt;Reprogramaciones!P$14)*$G259:$P259)+N(INDEX($G259:$P259,1,Reprogramaciones!P$14))*IF(Reprogramaciones!P$13&gt;=(Reprogramaciones!$T$15+7*(Reprogramaciones!P$14-1))+6,1,IF(MAX(0,NETWORKDAYS.INTL(MAX(E259,(Reprogramaciones!$T$15+7*(Reprogramaciones!P$14-1))),MIN(F259,(Reprogramaciones!$T$15+7*(Reprogramaciones!P$14-1))+6),11))=0,0,MAX(0,NETWORKDAYS.INTL(MAX(E259,(Reprogramaciones!$T$15+7*(Reprogramaciones!P$14-1))),MIN(F259,Reprogramaciones!P$13),11))/MAX(0,NETWORKDAYS.INTL(MAX(E259,(Reprogramaciones!$T$15+7*(Reprogramaciones!P$14-1))),MIN(F259,(Reprogramaciones!$T$15+7*(Reprogramaciones!P$14-1))+6),11))))))))</f>
        <v/>
      </c>
      <c r="BZ259" s="1" t="str">
        <f aca="false">IF(OR(NOT(AND(ISNUMBER(E259),ISNUMBER(F259))),$J$2=""),"",IF(Reprogramaciones!Q$13&lt;Reprogramaciones!$T$15,0,IF(Reprogramaciones!Q$14&gt;10,MIN(100,SUM($G259:$P259)),MIN(100,SUMPRODUCT((COLUMN($G259:$P259)-COLUMN($G259)+1&lt;Reprogramaciones!Q$14)*$G259:$P259)+N(INDEX($G259:$P259,1,Reprogramaciones!Q$14))*IF(Reprogramaciones!Q$13&gt;=(Reprogramaciones!$T$15+7*(Reprogramaciones!Q$14-1))+6,1,IF(MAX(0,NETWORKDAYS.INTL(MAX(E259,(Reprogramaciones!$T$15+7*(Reprogramaciones!Q$14-1))),MIN(F259,(Reprogramaciones!$T$15+7*(Reprogramaciones!Q$14-1))+6),11))=0,0,MAX(0,NETWORKDAYS.INTL(MAX(E259,(Reprogramaciones!$T$15+7*(Reprogramaciones!Q$14-1))),MIN(F259,Reprogramaciones!Q$13),11))/MAX(0,NETWORKDAYS.INTL(MAX(E259,(Reprogramaciones!$T$15+7*(Reprogramaciones!Q$14-1))),MIN(F259,(Reprogramaciones!$T$15+7*(Reprogramaciones!Q$14-1))+6),11))))))))</f>
        <v/>
      </c>
      <c r="CA259" s="1" t="str">
        <f aca="false">IF(OR(NOT(AND(ISNUMBER(E259),ISNUMBER(F259))),$J$2=""),"",IF(Reprogramaciones!R$13&lt;Reprogramaciones!$T$15,0,IF(Reprogramaciones!R$14&gt;10,MIN(100,SUM($G259:$P259)),MIN(100,SUMPRODUCT((COLUMN($G259:$P259)-COLUMN($G259)+1&lt;Reprogramaciones!R$14)*$G259:$P259)+N(INDEX($G259:$P259,1,Reprogramaciones!R$14))*IF(Reprogramaciones!R$13&gt;=(Reprogramaciones!$T$15+7*(Reprogramaciones!R$14-1))+6,1,IF(MAX(0,NETWORKDAYS.INTL(MAX(E259,(Reprogramaciones!$T$15+7*(Reprogramaciones!R$14-1))),MIN(F259,(Reprogramaciones!$T$15+7*(Reprogramaciones!R$14-1))+6),11))=0,0,MAX(0,NETWORKDAYS.INTL(MAX(E259,(Reprogramaciones!$T$15+7*(Reprogramaciones!R$14-1))),MIN(F259,Reprogramaciones!R$13),11))/MAX(0,NETWORKDAYS.INTL(MAX(E259,(Reprogramaciones!$T$15+7*(Reprogramaciones!R$14-1))),MIN(F259,(Reprogramaciones!$T$15+7*(Reprogramaciones!R$14-1))+6),11))))))))</f>
        <v/>
      </c>
      <c r="CB259" s="1" t="str">
        <f aca="false">IF(OR(NOT(AND(ISNUMBER(E259),ISNUMBER(F259))),$J$2=""),"",IF(Reprogramaciones!S$13&lt;Reprogramaciones!$T$15,0,IF(Reprogramaciones!S$14&gt;10,MIN(100,SUM($G259:$P259)),MIN(100,SUMPRODUCT((COLUMN($G259:$P259)-COLUMN($G259)+1&lt;Reprogramaciones!S$14)*$G259:$P259)+N(INDEX($G259:$P259,1,Reprogramaciones!S$14))*IF(Reprogramaciones!S$13&gt;=(Reprogramaciones!$T$15+7*(Reprogramaciones!S$14-1))+6,1,IF(MAX(0,NETWORKDAYS.INTL(MAX(E259,(Reprogramaciones!$T$15+7*(Reprogramaciones!S$14-1))),MIN(F259,(Reprogramaciones!$T$15+7*(Reprogramaciones!S$14-1))+6),11))=0,0,MAX(0,NETWORKDAYS.INTL(MAX(E259,(Reprogramaciones!$T$15+7*(Reprogramaciones!S$14-1))),MIN(F259,Reprogramaciones!S$13),11))/MAX(0,NETWORKDAYS.INTL(MAX(E259,(Reprogramaciones!$T$15+7*(Reprogramaciones!S$14-1))),MIN(F259,(Reprogramaciones!$T$15+7*(Reprogramaciones!S$14-1))+6),11))))))))</f>
        <v/>
      </c>
      <c r="CC259" s="1" t="str">
        <f aca="false">IF(OR(NOT(AND(ISNUMBER(E259),ISNUMBER(F259))),$J$2=""),"",IF(Reprogramaciones!T$13&lt;Reprogramaciones!$T$15,0,IF(Reprogramaciones!T$14&gt;10,MIN(100,SUM($G259:$P259)),MIN(100,SUMPRODUCT((COLUMN($G259:$P259)-COLUMN($G259)+1&lt;Reprogramaciones!T$14)*$G259:$P259)+N(INDEX($G259:$P259,1,Reprogramaciones!T$14))*IF(Reprogramaciones!T$13&gt;=(Reprogramaciones!$T$15+7*(Reprogramaciones!T$14-1))+6,1,IF(MAX(0,NETWORKDAYS.INTL(MAX(E259,(Reprogramaciones!$T$15+7*(Reprogramaciones!T$14-1))),MIN(F259,(Reprogramaciones!$T$15+7*(Reprogramaciones!T$14-1))+6),11))=0,0,MAX(0,NETWORKDAYS.INTL(MAX(E259,(Reprogramaciones!$T$15+7*(Reprogramaciones!T$14-1))),MIN(F259,Reprogramaciones!T$13),11))/MAX(0,NETWORKDAYS.INTL(MAX(E259,(Reprogramaciones!$T$15+7*(Reprogramaciones!T$14-1))),MIN(F259,(Reprogramaciones!$T$15+7*(Reprogramaciones!T$14-1))+6),11))))))))</f>
        <v/>
      </c>
      <c r="CD259" s="1" t="str">
        <f aca="false">IF(OR(NOT(AND(ISNUMBER(E259),ISNUMBER(F259))),$J$2=""),"",IF(Reprogramaciones!U$13&lt;Reprogramaciones!$T$15,0,IF(Reprogramaciones!U$14&gt;10,MIN(100,SUM($G259:$P259)),MIN(100,SUMPRODUCT((COLUMN($G259:$P259)-COLUMN($G259)+1&lt;Reprogramaciones!U$14)*$G259:$P259)+N(INDEX($G259:$P259,1,Reprogramaciones!U$14))*IF(Reprogramaciones!U$13&gt;=(Reprogramaciones!$T$15+7*(Reprogramaciones!U$14-1))+6,1,IF(MAX(0,NETWORKDAYS.INTL(MAX(E259,(Reprogramaciones!$T$15+7*(Reprogramaciones!U$14-1))),MIN(F259,(Reprogramaciones!$T$15+7*(Reprogramaciones!U$14-1))+6),11))=0,0,MAX(0,NETWORKDAYS.INTL(MAX(E259,(Reprogramaciones!$T$15+7*(Reprogramaciones!U$14-1))),MIN(F259,Reprogramaciones!U$13),11))/MAX(0,NETWORKDAYS.INTL(MAX(E259,(Reprogramaciones!$T$15+7*(Reprogramaciones!U$14-1))),MIN(F259,(Reprogramaciones!$T$15+7*(Reprogramaciones!U$14-1))+6),11))))))))</f>
        <v/>
      </c>
      <c r="CE259" s="1" t="str">
        <f aca="false">IF(OR(NOT(AND(ISNUMBER(E259),ISNUMBER(F259))),$J$2=""),"",IF(Reprogramaciones!V$13&lt;Reprogramaciones!$T$15,0,IF(Reprogramaciones!V$14&gt;10,MIN(100,SUM($G259:$P259)),MIN(100,SUMPRODUCT((COLUMN($G259:$P259)-COLUMN($G259)+1&lt;Reprogramaciones!V$14)*$G259:$P259)+N(INDEX($G259:$P259,1,Reprogramaciones!V$14))*IF(Reprogramaciones!V$13&gt;=(Reprogramaciones!$T$15+7*(Reprogramaciones!V$14-1))+6,1,IF(MAX(0,NETWORKDAYS.INTL(MAX(E259,(Reprogramaciones!$T$15+7*(Reprogramaciones!V$14-1))),MIN(F259,(Reprogramaciones!$T$15+7*(Reprogramaciones!V$14-1))+6),11))=0,0,MAX(0,NETWORKDAYS.INTL(MAX(E259,(Reprogramaciones!$T$15+7*(Reprogramaciones!V$14-1))),MIN(F259,Reprogramaciones!V$13),11))/MAX(0,NETWORKDAYS.INTL(MAX(E259,(Reprogramaciones!$T$15+7*(Reprogramaciones!V$14-1))),MIN(F259,(Reprogramaciones!$T$15+7*(Reprogramaciones!V$14-1))+6),11))))))))</f>
        <v/>
      </c>
      <c r="CF259" s="1" t="str">
        <f aca="false">IF(OR(NOT(AND(ISNUMBER(E259),ISNUMBER(F259))),$J$2=""),"",IF(Reprogramaciones!W$13&lt;Reprogramaciones!$T$15,0,IF(Reprogramaciones!W$14&gt;10,MIN(100,SUM($G259:$P259)),MIN(100,SUMPRODUCT((COLUMN($G259:$P259)-COLUMN($G259)+1&lt;Reprogramaciones!W$14)*$G259:$P259)+N(INDEX($G259:$P259,1,Reprogramaciones!W$14))*IF(Reprogramaciones!W$13&gt;=(Reprogramaciones!$T$15+7*(Reprogramaciones!W$14-1))+6,1,IF(MAX(0,NETWORKDAYS.INTL(MAX(E259,(Reprogramaciones!$T$15+7*(Reprogramaciones!W$14-1))),MIN(F259,(Reprogramaciones!$T$15+7*(Reprogramaciones!W$14-1))+6),11))=0,0,MAX(0,NETWORKDAYS.INTL(MAX(E259,(Reprogramaciones!$T$15+7*(Reprogramaciones!W$14-1))),MIN(F259,Reprogramaciones!W$13),11))/MAX(0,NETWORKDAYS.INTL(MAX(E259,(Reprogramaciones!$T$15+7*(Reprogramaciones!W$14-1))),MIN(F259,(Reprogramaciones!$T$15+7*(Reprogramaciones!W$14-1))+6),11))))))))</f>
        <v/>
      </c>
      <c r="CG259" s="1" t="str">
        <f aca="false">IF(OR(NOT(AND(ISNUMBER(E259),ISNUMBER(F259))),$J$2=""),"",IF(Reprogramaciones!X$13&lt;Reprogramaciones!$T$15,0,IF(Reprogramaciones!X$14&gt;10,MIN(100,SUM($G259:$P259)),MIN(100,SUMPRODUCT((COLUMN($G259:$P259)-COLUMN($G259)+1&lt;Reprogramaciones!X$14)*$G259:$P259)+N(INDEX($G259:$P259,1,Reprogramaciones!X$14))*IF(Reprogramaciones!X$13&gt;=(Reprogramaciones!$T$15+7*(Reprogramaciones!X$14-1))+6,1,IF(MAX(0,NETWORKDAYS.INTL(MAX(E259,(Reprogramaciones!$T$15+7*(Reprogramaciones!X$14-1))),MIN(F259,(Reprogramaciones!$T$15+7*(Reprogramaciones!X$14-1))+6),11))=0,0,MAX(0,NETWORKDAYS.INTL(MAX(E259,(Reprogramaciones!$T$15+7*(Reprogramaciones!X$14-1))),MIN(F259,Reprogramaciones!X$13),11))/MAX(0,NETWORKDAYS.INTL(MAX(E259,(Reprogramaciones!$T$15+7*(Reprogramaciones!X$14-1))),MIN(F259,(Reprogramaciones!$T$15+7*(Reprogramaciones!X$14-1))+6),11))))))))</f>
        <v/>
      </c>
      <c r="CH259" s="1" t="str">
        <f aca="false">IF(OR(NOT(AND(ISNUMBER(E259),ISNUMBER(F259))),$J$2=""),"",IF(Reprogramaciones!Y$13&lt;Reprogramaciones!$T$15,0,IF(Reprogramaciones!Y$14&gt;10,MIN(100,SUM($G259:$P259)),MIN(100,SUMPRODUCT((COLUMN($G259:$P259)-COLUMN($G259)+1&lt;Reprogramaciones!Y$14)*$G259:$P259)+N(INDEX($G259:$P259,1,Reprogramaciones!Y$14))*IF(Reprogramaciones!Y$13&gt;=(Reprogramaciones!$T$15+7*(Reprogramaciones!Y$14-1))+6,1,IF(MAX(0,NETWORKDAYS.INTL(MAX(E259,(Reprogramaciones!$T$15+7*(Reprogramaciones!Y$14-1))),MIN(F259,(Reprogramaciones!$T$15+7*(Reprogramaciones!Y$14-1))+6),11))=0,0,MAX(0,NETWORKDAYS.INTL(MAX(E259,(Reprogramaciones!$T$15+7*(Reprogramaciones!Y$14-1))),MIN(F259,Reprogramaciones!Y$13),11))/MAX(0,NETWORKDAYS.INTL(MAX(E259,(Reprogramaciones!$T$15+7*(Reprogramaciones!Y$14-1))),MIN(F259,(Reprogramaciones!$T$15+7*(Reprogramaciones!Y$14-1))+6),11))))))))</f>
        <v/>
      </c>
      <c r="CI259" s="1" t="str">
        <f aca="false">IF(OR(NOT(AND(ISNUMBER(E259),ISNUMBER(F259))),$J$2=""),"",IF(Reprogramaciones!Z$13&lt;Reprogramaciones!$T$15,0,IF(Reprogramaciones!Z$14&gt;10,MIN(100,SUM($G259:$P259)),MIN(100,SUMPRODUCT((COLUMN($G259:$P259)-COLUMN($G259)+1&lt;Reprogramaciones!Z$14)*$G259:$P259)+N(INDEX($G259:$P259,1,Reprogramaciones!Z$14))*IF(Reprogramaciones!Z$13&gt;=(Reprogramaciones!$T$15+7*(Reprogramaciones!Z$14-1))+6,1,IF(MAX(0,NETWORKDAYS.INTL(MAX(E259,(Reprogramaciones!$T$15+7*(Reprogramaciones!Z$14-1))),MIN(F259,(Reprogramaciones!$T$15+7*(Reprogramaciones!Z$14-1))+6),11))=0,0,MAX(0,NETWORKDAYS.INTL(MAX(E259,(Reprogramaciones!$T$15+7*(Reprogramaciones!Z$14-1))),MIN(F259,Reprogramaciones!Z$13),11))/MAX(0,NETWORKDAYS.INTL(MAX(E259,(Reprogramaciones!$T$15+7*(Reprogramaciones!Z$14-1))),MIN(F259,(Reprogramaciones!$T$15+7*(Reprogramaciones!Z$14-1))+6),11))))))))</f>
        <v/>
      </c>
      <c r="CJ259" s="1" t="str">
        <f aca="false">IF(OR(OR(NOT(AND(ISNUMBER(E259),ISNUMBER(F259))),$J$2=""),1&gt;Reprogramaciones!$K$16),"",IF(ROUND(SUM($Q259:Q259),1)&gt;=99.5,100,MIN(100,ROUND(SUM($Q259:Q259),1))))</f>
        <v/>
      </c>
      <c r="CK259" s="1" t="str">
        <f aca="false">IF(OR(OR(NOT(AND(ISNUMBER(E259),ISNUMBER(F259))),$J$2=""),2&gt;Reprogramaciones!$K$16),"",IF(ROUND(SUM($Q259:R259),1)&gt;=99.5,100,MIN(100,ROUND(SUM($Q259:R259),1))))</f>
        <v/>
      </c>
      <c r="CL259" s="1" t="str">
        <f aca="false">IF(OR(OR(NOT(AND(ISNUMBER(E259),ISNUMBER(F259))),$J$2=""),3&gt;Reprogramaciones!$K$16),"",IF(ROUND(SUM($Q259:S259),1)&gt;=99.5,100,MIN(100,ROUND(SUM($Q259:S259),1))))</f>
        <v/>
      </c>
      <c r="CM259" s="1" t="str">
        <f aca="false">IF(OR(OR(NOT(AND(ISNUMBER(E259),ISNUMBER(F259))),$J$2=""),4&gt;Reprogramaciones!$K$16),"",IF(ROUND(SUM($Q259:T259),1)&gt;=99.5,100,MIN(100,ROUND(SUM($Q259:T259),1))))</f>
        <v/>
      </c>
      <c r="CN259" s="1" t="str">
        <f aca="false">IF(OR(OR(NOT(AND(ISNUMBER(E259),ISNUMBER(F259))),$J$2=""),5&gt;Reprogramaciones!$K$16),"",IF(ROUND(SUM($Q259:U259),1)&gt;=99.5,100,MIN(100,ROUND(SUM($Q259:U259),1))))</f>
        <v/>
      </c>
      <c r="CO259" s="1" t="str">
        <f aca="false">IF(OR(OR(NOT(AND(ISNUMBER(E259),ISNUMBER(F259))),$J$2=""),6&gt;Reprogramaciones!$K$16),"",IF(ROUND(SUM($Q259:V259),1)&gt;=99.5,100,MIN(100,ROUND(SUM($Q259:V259),1))))</f>
        <v/>
      </c>
      <c r="CP259" s="1" t="str">
        <f aca="false">IF(OR(OR(NOT(AND(ISNUMBER(E259),ISNUMBER(F259))),$J$2=""),7&gt;Reprogramaciones!$K$16),"",IF(ROUND(SUM($Q259:W259),1)&gt;=99.5,100,MIN(100,ROUND(SUM($Q259:W259),1))))</f>
        <v/>
      </c>
      <c r="CQ259" s="1" t="str">
        <f aca="false">IF(OR(OR(NOT(AND(ISNUMBER(E259),ISNUMBER(F259))),$J$2=""),8&gt;Reprogramaciones!$K$16),"",IF(ROUND(SUM($Q259:X259),1)&gt;=99.5,100,MIN(100,ROUND(SUM($Q259:X259),1))))</f>
        <v/>
      </c>
      <c r="CR259" s="1" t="str">
        <f aca="false">IF(OR(OR(NOT(AND(ISNUMBER(E259),ISNUMBER(F259))),$J$2=""),9&gt;Reprogramaciones!$K$16),"",IF(ROUND(SUM($Q259:Y259),1)&gt;=99.5,100,MIN(100,ROUND(SUM($Q259:Y259),1))))</f>
        <v/>
      </c>
      <c r="CS259" s="1" t="str">
        <f aca="false">IF(OR(OR(NOT(AND(ISNUMBER(E259),ISNUMBER(F259))),$J$2=""),10&gt;Reprogramaciones!$K$16),"",IF(ROUND(SUM($Q259:Z259),1)&gt;=99.5,100,MIN(100,ROUND(SUM($Q259:Z259),1))))</f>
        <v/>
      </c>
      <c r="CT259" s="1" t="str">
        <f aca="false">IF(OR(OR(NOT(AND(ISNUMBER(E259),ISNUMBER(F259))),$J$2=""),11&gt;Reprogramaciones!$K$16),"",IF(ROUND(SUM($Q259:AA259),1)&gt;=99.5,100,MIN(100,ROUND(SUM($Q259:AA259),1))))</f>
        <v/>
      </c>
      <c r="CU259" s="1" t="str">
        <f aca="false">IF(OR(OR(NOT(AND(ISNUMBER(E259),ISNUMBER(F259))),$J$2=""),12&gt;Reprogramaciones!$K$16),"",IF(ROUND(SUM($Q259:AB259),1)&gt;=99.5,100,MIN(100,ROUND(SUM($Q259:AB259),1))))</f>
        <v/>
      </c>
      <c r="CV259" s="1" t="str">
        <f aca="false">IF(OR(OR(NOT(AND(ISNUMBER(E259),ISNUMBER(F259))),$J$2=""),13&gt;Reprogramaciones!$K$16),"",IF(ROUND(SUM($Q259:AC259),1)&gt;=99.5,100,MIN(100,ROUND(SUM($Q259:AC259),1))))</f>
        <v/>
      </c>
      <c r="CW259" s="1" t="str">
        <f aca="false">IF(OR(OR(NOT(AND(ISNUMBER(E259),ISNUMBER(F259))),$J$2=""),14&gt;Reprogramaciones!$K$16),"",IF(ROUND(SUM($Q259:AD259),1)&gt;=99.5,100,MIN(100,ROUND(SUM($Q259:AD259),1))))</f>
        <v/>
      </c>
      <c r="CX259" s="1" t="str">
        <f aca="false">IF(OR(OR(NOT(AND(ISNUMBER(E259),ISNUMBER(F259))),$J$2=""),15&gt;Reprogramaciones!$K$16),"",IF(ROUND(SUM($Q259:AE259),1)&gt;=99.5,100,MIN(100,ROUND(SUM($Q259:AE259),1))))</f>
        <v/>
      </c>
      <c r="CY259" s="1" t="str">
        <f aca="false">IF(OR(OR(NOT(AND(ISNUMBER(E259),ISNUMBER(F259))),$J$2=""),16&gt;Reprogramaciones!$K$16),"",IF(ROUND(SUM($Q259:AF259),1)&gt;=99.5,100,MIN(100,ROUND(SUM($Q259:AF259),1))))</f>
        <v/>
      </c>
      <c r="CZ259" s="1" t="str">
        <f aca="false">IF(D259&lt;&gt;"",D259,IF(B259&lt;&gt;"","Contractual",CZ258))</f>
        <v>Contractual</v>
      </c>
      <c r="DA259" s="1" t="str">
        <f aca="false">IF(OR(NOT(AND(ISNUMBER(E259),ISNUMBER(F259))),$J$2=""),"",IF(Reprogramaciones!$Q$15&lt;Reprogramaciones!$T$15,0,IF(Reprogramaciones!$S$15&gt;10,MIN(100,SUM($G259:$P259)),MIN(100,SUMPRODUCT((COLUMN($G259:$P259)-COLUMN($G259)+1&lt;Reprogramaciones!$S$15)*$G259:$P259)+N(INDEX($G259:$P259,1,Reprogramaciones!$S$15))*IF(Reprogramaciones!$Q$15&gt;=(Reprogramaciones!$T$15+7*(Reprogramaciones!$S$15-1))+6,1,IF(MAX(0,NETWORKDAYS.INTL(MAX(E259,(Reprogramaciones!$T$15+7*(Reprogramaciones!$S$15-1))),MIN(F259,(Reprogramaciones!$T$15+7*(Reprogramaciones!$S$15-1))+6),11))=0,0,MAX(0,NETWORKDAYS.INTL(MAX(E259,(Reprogramaciones!$T$15+7*(Reprogramaciones!$S$15-1))),MIN(F259,Reprogramaciones!$Q$15),11))/MAX(0,NETWORKDAYS.INTL(MAX(E259,(Reprogramaciones!$T$15+7*(Reprogramaciones!$S$15-1))),MIN(F259,(Reprogramaciones!$T$15+7*(Reprogramaciones!$S$15-1))+6),11))))))))</f>
        <v/>
      </c>
    </row>
    <row r="260" customFormat="false" ht="15" hidden="false" customHeight="false" outlineLevel="0" collapsed="false">
      <c r="A260" s="32"/>
      <c r="B260" s="33"/>
      <c r="C260" s="33"/>
      <c r="D260" s="34"/>
      <c r="E260" s="35"/>
      <c r="F260" s="35"/>
      <c r="G260" s="36" t="str">
        <f aca="false">IF(OR(NOT(AND(ISNUMBER(E260),ISNUMBER(F260))),$J$2=""),"",IF(Reprogramaciones!K$9&lt;E260,0,IF(NETWORKDAYS.INTL(E260,F260,11)=0,IF(Reprogramaciones!K$9&gt;=F260,100,0),ROUND(NETWORKDAYS.INTL(E260,MIN(F260,Reprogramaciones!K$9),11)/NETWORKDAYS.INTL(E260,F260,11)*100,1)))-0)</f>
        <v/>
      </c>
      <c r="H260" s="36" t="str">
        <f aca="false">IF(OR(NOT(AND(ISNUMBER(E260),ISNUMBER(F260))),$J$2=""),"",IF(Reprogramaciones!L$9&lt;E260,0,IF(NETWORKDAYS.INTL(E260,F260,11)=0,IF(Reprogramaciones!L$9&gt;=F260,100,0),ROUND(NETWORKDAYS.INTL(E260,MIN(F260,Reprogramaciones!L$9),11)/NETWORKDAYS.INTL(E260,F260,11)*100,1)))-IF(Reprogramaciones!K$9&lt;E260,0,IF(NETWORKDAYS.INTL(E260,F260,11)=0,IF(Reprogramaciones!K$9&gt;=F260,100,0),ROUND(NETWORKDAYS.INTL(E260,MIN(F260,Reprogramaciones!K$9),11)/NETWORKDAYS.INTL(E260,F260,11)*100,1))))</f>
        <v/>
      </c>
      <c r="I260" s="36" t="str">
        <f aca="false">IF(OR(NOT(AND(ISNUMBER(E260),ISNUMBER(F260))),$J$2=""),"",IF(Reprogramaciones!M$9&lt;E260,0,IF(NETWORKDAYS.INTL(E260,F260,11)=0,IF(Reprogramaciones!M$9&gt;=F260,100,0),ROUND(NETWORKDAYS.INTL(E260,MIN(F260,Reprogramaciones!M$9),11)/NETWORKDAYS.INTL(E260,F260,11)*100,1)))-IF(Reprogramaciones!L$9&lt;E260,0,IF(NETWORKDAYS.INTL(E260,F260,11)=0,IF(Reprogramaciones!L$9&gt;=F260,100,0),ROUND(NETWORKDAYS.INTL(E260,MIN(F260,Reprogramaciones!L$9),11)/NETWORKDAYS.INTL(E260,F260,11)*100,1))))</f>
        <v/>
      </c>
      <c r="J260" s="36" t="str">
        <f aca="false">IF(OR(NOT(AND(ISNUMBER(E260),ISNUMBER(F260))),$J$2=""),"",IF(Reprogramaciones!N$9&lt;E260,0,IF(NETWORKDAYS.INTL(E260,F260,11)=0,IF(Reprogramaciones!N$9&gt;=F260,100,0),ROUND(NETWORKDAYS.INTL(E260,MIN(F260,Reprogramaciones!N$9),11)/NETWORKDAYS.INTL(E260,F260,11)*100,1)))-IF(Reprogramaciones!M$9&lt;E260,0,IF(NETWORKDAYS.INTL(E260,F260,11)=0,IF(Reprogramaciones!M$9&gt;=F260,100,0),ROUND(NETWORKDAYS.INTL(E260,MIN(F260,Reprogramaciones!M$9),11)/NETWORKDAYS.INTL(E260,F260,11)*100,1))))</f>
        <v/>
      </c>
      <c r="K260" s="36" t="str">
        <f aca="false">IF(OR(NOT(AND(ISNUMBER(E260),ISNUMBER(F260))),$J$2=""),"",IF(Reprogramaciones!O$9&lt;E260,0,IF(NETWORKDAYS.INTL(E260,F260,11)=0,IF(Reprogramaciones!O$9&gt;=F260,100,0),ROUND(NETWORKDAYS.INTL(E260,MIN(F260,Reprogramaciones!O$9),11)/NETWORKDAYS.INTL(E260,F260,11)*100,1)))-IF(Reprogramaciones!N$9&lt;E260,0,IF(NETWORKDAYS.INTL(E260,F260,11)=0,IF(Reprogramaciones!N$9&gt;=F260,100,0),ROUND(NETWORKDAYS.INTL(E260,MIN(F260,Reprogramaciones!N$9),11)/NETWORKDAYS.INTL(E260,F260,11)*100,1))))</f>
        <v/>
      </c>
      <c r="L260" s="36" t="str">
        <f aca="false">IF(OR(NOT(AND(ISNUMBER(E260),ISNUMBER(F260))),$J$2=""),"",IF(Reprogramaciones!P$9&lt;E260,0,IF(NETWORKDAYS.INTL(E260,F260,11)=0,IF(Reprogramaciones!P$9&gt;=F260,100,0),ROUND(NETWORKDAYS.INTL(E260,MIN(F260,Reprogramaciones!P$9),11)/NETWORKDAYS.INTL(E260,F260,11)*100,1)))-IF(Reprogramaciones!O$9&lt;E260,0,IF(NETWORKDAYS.INTL(E260,F260,11)=0,IF(Reprogramaciones!O$9&gt;=F260,100,0),ROUND(NETWORKDAYS.INTL(E260,MIN(F260,Reprogramaciones!O$9),11)/NETWORKDAYS.INTL(E260,F260,11)*100,1))))</f>
        <v/>
      </c>
      <c r="M260" s="36" t="str">
        <f aca="false">IF(OR(NOT(AND(ISNUMBER(E260),ISNUMBER(F260))),$J$2=""),"",IF(Reprogramaciones!Q$9&lt;E260,0,IF(NETWORKDAYS.INTL(E260,F260,11)=0,IF(Reprogramaciones!Q$9&gt;=F260,100,0),ROUND(NETWORKDAYS.INTL(E260,MIN(F260,Reprogramaciones!Q$9),11)/NETWORKDAYS.INTL(E260,F260,11)*100,1)))-IF(Reprogramaciones!P$9&lt;E260,0,IF(NETWORKDAYS.INTL(E260,F260,11)=0,IF(Reprogramaciones!P$9&gt;=F260,100,0),ROUND(NETWORKDAYS.INTL(E260,MIN(F260,Reprogramaciones!P$9),11)/NETWORKDAYS.INTL(E260,F260,11)*100,1))))</f>
        <v/>
      </c>
      <c r="N260" s="36" t="str">
        <f aca="false">IF(OR(NOT(AND(ISNUMBER(E260),ISNUMBER(F260))),$J$2=""),"",IF(Reprogramaciones!R$9&lt;E260,0,IF(NETWORKDAYS.INTL(E260,F260,11)=0,IF(Reprogramaciones!R$9&gt;=F260,100,0),ROUND(NETWORKDAYS.INTL(E260,MIN(F260,Reprogramaciones!R$9),11)/NETWORKDAYS.INTL(E260,F260,11)*100,1)))-IF(Reprogramaciones!Q$9&lt;E260,0,IF(NETWORKDAYS.INTL(E260,F260,11)=0,IF(Reprogramaciones!Q$9&gt;=F260,100,0),ROUND(NETWORKDAYS.INTL(E260,MIN(F260,Reprogramaciones!Q$9),11)/NETWORKDAYS.INTL(E260,F260,11)*100,1))))</f>
        <v/>
      </c>
      <c r="O260" s="36" t="str">
        <f aca="false">IF(OR(NOT(AND(ISNUMBER(E260),ISNUMBER(F260))),$J$2=""),"",IF(Reprogramaciones!S$9&lt;E260,0,IF(NETWORKDAYS.INTL(E260,F260,11)=0,IF(Reprogramaciones!S$9&gt;=F260,100,0),ROUND(NETWORKDAYS.INTL(E260,MIN(F260,Reprogramaciones!S$9),11)/NETWORKDAYS.INTL(E260,F260,11)*100,1)))-IF(Reprogramaciones!R$9&lt;E260,0,IF(NETWORKDAYS.INTL(E260,F260,11)=0,IF(Reprogramaciones!R$9&gt;=F260,100,0),ROUND(NETWORKDAYS.INTL(E260,MIN(F260,Reprogramaciones!R$9),11)/NETWORKDAYS.INTL(E260,F260,11)*100,1))))</f>
        <v/>
      </c>
      <c r="P260" s="36" t="str">
        <f aca="false">IF(OR(NOT(AND(ISNUMBER(E260),ISNUMBER(F260))),$J$2=""),"",IF(Reprogramaciones!T$9&lt;E260,0,IF(NETWORKDAYS.INTL(E260,F260,11)=0,IF(Reprogramaciones!T$9&gt;=F260,100,0),ROUND(NETWORKDAYS.INTL(E260,MIN(F260,Reprogramaciones!T$9),11)/NETWORKDAYS.INTL(E260,F260,11)*100,1)))-IF(Reprogramaciones!S$9&lt;E260,0,IF(NETWORKDAYS.INTL(E260,F260,11)=0,IF(Reprogramaciones!S$9&gt;=F260,100,0),ROUND(NETWORKDAYS.INTL(E260,MIN(F260,Reprogramaciones!S$9),11)/NETWORKDAYS.INTL(E260,F260,11)*100,1))))</f>
        <v/>
      </c>
      <c r="Q260" s="37"/>
      <c r="R260" s="37"/>
      <c r="S260" s="37"/>
      <c r="T260" s="37"/>
      <c r="U260" s="37"/>
      <c r="V260" s="37"/>
      <c r="W260" s="37"/>
      <c r="X260" s="37"/>
      <c r="Y260" s="37"/>
      <c r="Z260" s="37"/>
      <c r="AA260" s="37"/>
      <c r="AB260" s="37"/>
      <c r="AC260" s="37"/>
      <c r="AD260" s="37"/>
      <c r="AE260" s="37"/>
      <c r="AF260" s="37"/>
      <c r="AG260" s="38" t="str">
        <f aca="false">IF(AND(ISNUMBER(E260),ISNUMBER(F260)),NETWORKDAYS.INTL(E260,F260,11),"")</f>
        <v/>
      </c>
      <c r="AH260" s="38" t="str">
        <f aca="false">IF(OR(NOT(AND(ISNUMBER(E260),ISNUMBER(F260))),$J$2=""),"",IF(Reprogramaciones!$P$15&lt;Reprogramaciones!$T$15,0,IF(Reprogramaciones!$R$15&gt;10,MIN(100,SUM($G260:$P260)),MIN(100,SUMPRODUCT((COLUMN($G260:$P260)-COLUMN($G260)+1&lt;Reprogramaciones!$R$15)*$G260:$P260)+N(INDEX($G260:$P260,1,Reprogramaciones!$R$15))*IF(Reprogramaciones!$P$15&gt;=(Reprogramaciones!$T$15+7*(Reprogramaciones!$R$15-1))+6,1,IF(MAX(0,NETWORKDAYS.INTL(MAX(E260,(Reprogramaciones!$T$15+7*(Reprogramaciones!$R$15-1))),MIN(F260,(Reprogramaciones!$T$15+7*(Reprogramaciones!$R$15-1))+6),11))=0,0,MAX(0,NETWORKDAYS.INTL(MAX(E260,(Reprogramaciones!$T$15+7*(Reprogramaciones!$R$15-1))),MIN(F260,Reprogramaciones!$P$15),11))/MAX(0,NETWORKDAYS.INTL(MAX(E260,(Reprogramaciones!$T$15+7*(Reprogramaciones!$R$15-1))),MIN(F260,(Reprogramaciones!$T$15+7*(Reprogramaciones!$R$15-1))+6),11))))))))</f>
        <v/>
      </c>
      <c r="AI260" s="38" t="str">
        <f aca="false">IF(COUNT($Q260:$AF260)=0,"",IF(ROUND(SUM($Q260:$AF260),1)&gt;=99.5,100,MIN(100,ROUND(SUM($Q260:$AF260),1))))</f>
        <v/>
      </c>
      <c r="AJ260" s="38" t="str">
        <f aca="false">IF(OR(AH260="",AI260=""),"",AI260-AH260)</f>
        <v/>
      </c>
      <c r="AK260" s="39" t="str">
        <f aca="true">IF(AH260="","",IF(OR(Ficha!$C$10="Suspendida",Ficha!$C$10="Cancelada"),Ficha!$C$10,IF(AND(AI260&lt;&gt;"",N(AI260)&gt;=100),"Completada",IF(AND(E260&gt;TODAY(),N(AI260)=0),"Por iniciar",IF(N(AI260)+0.5&lt;AH260,"Retrasada",IF(N(AI260)+0.5&lt;DA260,IF(Reprogramaciones!$K$15&gt;0,"Al día · Sem "&amp;Reprogramaciones!$K$15&amp;" en curso","Al día · en curso"),"A tiempo"))))))</f>
        <v/>
      </c>
      <c r="AL260" s="39" t="str">
        <f aca="true">IF(AND(A260="",AND(B260="",C260="",E260="",F260="",COUNT(Q260:AF260)=0)),"",IF(AND(B260="",C260="",E260="",F260="",COUNT(Q260:AF260)=0),"Falta la partida o subpartida",IF(AND(A260&lt;&gt;"",COUNTIF($A$6:$A$305,A260)&gt;1),"Ítem repetido",IF(AND(C260="",E260="",F260="",COUNT(Q260:AF260)=0),"Título de partida",IF(OR(E260="",F260=""),"Faltan fechas",IF(OR(ISTEXT(E260),ISTEXT(F260)),"Fecha escrita como texto: usa dd/mm/aaaa",IF(F260&lt;E260,"Fin antes del inicio",IF(IF($J$2="",FALSE(),OR(E260&lt;$J$2,F260&gt;Reprogramaciones!$T$15+69)),"Fuera de las 10 semanas",IF(ABS(SUM(G260:P260)-100)&gt;0.5,"La meta no suma 100%",IF(ROUND(SUM(Q260:AF260),1)&gt;100.5,"El avance pasa de 100%",IF(MIN(Q260:AF260)&lt;0,"Avance negativo",IF(COUNTA(Q260:AF260)&gt;COUNT(Q260:AF260),"Avance escrito como texto",IF(SUMPRODUCT((Q260:AF260&gt;0)*(Q260:AF260&lt;1))&gt;0,"Avance menor a 1: escribe 50, no 50%",IF(SUMPRODUCT(ISNUMBER(Q260:AF260)*(Reprogramaciones!$K$8:$Z$8&gt;TODAY()))&gt;0,"Avance en semana que aún no llega",IF(AND(N(Reprogramaciones!$E$21)&gt;0,F260&gt;Reprogramaciones!$E$21),"Pasa el fin de la obra: registra una reprogramación",IF(AND(N(Reprogramaciones!$E$21)&gt;0,SUMPRODUCT(ISNUMBER(Q260:AF260)*(Reprogramaciones!$K$8:$Z$8&gt;Reprogramaciones!$E$21))&gt;0),"Avance después del fin de la obra: registra una reprogramación por atraso","OK"))))))))))))))))</f>
        <v/>
      </c>
      <c r="AM260" s="40" t="str">
        <f aca="false">IF(OR(OR(NOT(AND(ISNUMBER(E260),ISNUMBER(F260))),$J$2=""),1&gt;MAX(1,Reprogramaciones!$U$15)),"",IF(Reprogramaciones!K$12&gt;=7,"",IF(OR(BT260-N(0)&gt;0.05,N(Q260)&gt;0),ROUNDDOWN(ROUND(BT260,6),0)&amp;"%"&amp;IF(CJ260="",""," / "&amp;CJ260&amp;"%"),IF(AND(N(0)&gt;=99.95,CJ260&lt;&gt;"",N(CJ260)&lt;100),"Pend. "&amp;CJ260&amp;"%",""))))</f>
        <v/>
      </c>
      <c r="AN260" s="40" t="str">
        <f aca="false">IF(OR(OR(NOT(AND(ISNUMBER(E260),ISNUMBER(F260))),$J$2=""),2&gt;MAX(1,Reprogramaciones!$U$15)),"",IF(Reprogramaciones!L$12&gt;=7,"",IF(OR(BU260-N(BT260)&gt;0.05,N(R260)&gt;0),ROUNDDOWN(ROUND(BU260,6),0)&amp;"%"&amp;IF(CK260="",""," / "&amp;CK260&amp;"%"),IF(AND(N(BT260)&gt;=99.95,CK260&lt;&gt;"",N(CK260)&lt;100),"Pend. "&amp;CK260&amp;"%",""))))</f>
        <v/>
      </c>
      <c r="AO260" s="40" t="str">
        <f aca="false">IF(OR(OR(NOT(AND(ISNUMBER(E260),ISNUMBER(F260))),$J$2=""),3&gt;MAX(1,Reprogramaciones!$U$15)),"",IF(Reprogramaciones!M$12&gt;=7,"",IF(OR(BV260-N(BU260)&gt;0.05,N(S260)&gt;0),ROUNDDOWN(ROUND(BV260,6),0)&amp;"%"&amp;IF(CL260="",""," / "&amp;CL260&amp;"%"),IF(AND(N(BU260)&gt;=99.95,CL260&lt;&gt;"",N(CL260)&lt;100),"Pend. "&amp;CL260&amp;"%",""))))</f>
        <v/>
      </c>
      <c r="AP260" s="40" t="str">
        <f aca="false">IF(OR(OR(NOT(AND(ISNUMBER(E260),ISNUMBER(F260))),$J$2=""),4&gt;MAX(1,Reprogramaciones!$U$15)),"",IF(Reprogramaciones!N$12&gt;=7,"",IF(OR(BW260-N(BV260)&gt;0.05,N(T260)&gt;0),ROUNDDOWN(ROUND(BW260,6),0)&amp;"%"&amp;IF(CM260="",""," / "&amp;CM260&amp;"%"),IF(AND(N(BV260)&gt;=99.95,CM260&lt;&gt;"",N(CM260)&lt;100),"Pend. "&amp;CM260&amp;"%",""))))</f>
        <v/>
      </c>
      <c r="AQ260" s="40" t="str">
        <f aca="false">IF(OR(OR(NOT(AND(ISNUMBER(E260),ISNUMBER(F260))),$J$2=""),5&gt;MAX(1,Reprogramaciones!$U$15)),"",IF(Reprogramaciones!O$12&gt;=7,"",IF(OR(BX260-N(BW260)&gt;0.05,N(U260)&gt;0),ROUNDDOWN(ROUND(BX260,6),0)&amp;"%"&amp;IF(CN260="",""," / "&amp;CN260&amp;"%"),IF(AND(N(BW260)&gt;=99.95,CN260&lt;&gt;"",N(CN260)&lt;100),"Pend. "&amp;CN260&amp;"%",""))))</f>
        <v/>
      </c>
      <c r="AR260" s="40" t="str">
        <f aca="false">IF(OR(OR(NOT(AND(ISNUMBER(E260),ISNUMBER(F260))),$J$2=""),6&gt;MAX(1,Reprogramaciones!$U$15)),"",IF(Reprogramaciones!P$12&gt;=7,"",IF(OR(BY260-N(BX260)&gt;0.05,N(V260)&gt;0),ROUNDDOWN(ROUND(BY260,6),0)&amp;"%"&amp;IF(CO260="",""," / "&amp;CO260&amp;"%"),IF(AND(N(BX260)&gt;=99.95,CO260&lt;&gt;"",N(CO260)&lt;100),"Pend. "&amp;CO260&amp;"%",""))))</f>
        <v/>
      </c>
      <c r="AS260" s="40" t="str">
        <f aca="false">IF(OR(OR(NOT(AND(ISNUMBER(E260),ISNUMBER(F260))),$J$2=""),7&gt;MAX(1,Reprogramaciones!$U$15)),"",IF(Reprogramaciones!Q$12&gt;=7,"",IF(OR(BZ260-N(BY260)&gt;0.05,N(W260)&gt;0),ROUNDDOWN(ROUND(BZ260,6),0)&amp;"%"&amp;IF(CP260="",""," / "&amp;CP260&amp;"%"),IF(AND(N(BY260)&gt;=99.95,CP260&lt;&gt;"",N(CP260)&lt;100),"Pend. "&amp;CP260&amp;"%",""))))</f>
        <v/>
      </c>
      <c r="AT260" s="40" t="str">
        <f aca="false">IF(OR(OR(NOT(AND(ISNUMBER(E260),ISNUMBER(F260))),$J$2=""),8&gt;MAX(1,Reprogramaciones!$U$15)),"",IF(Reprogramaciones!R$12&gt;=7,"",IF(OR(CA260-N(BZ260)&gt;0.05,N(X260)&gt;0),ROUNDDOWN(ROUND(CA260,6),0)&amp;"%"&amp;IF(CQ260="",""," / "&amp;CQ260&amp;"%"),IF(AND(N(BZ260)&gt;=99.95,CQ260&lt;&gt;"",N(CQ260)&lt;100),"Pend. "&amp;CQ260&amp;"%",""))))</f>
        <v/>
      </c>
      <c r="AU260" s="40" t="str">
        <f aca="false">IF(OR(OR(NOT(AND(ISNUMBER(E260),ISNUMBER(F260))),$J$2=""),9&gt;MAX(1,Reprogramaciones!$U$15)),"",IF(Reprogramaciones!S$12&gt;=7,"",IF(OR(CB260-N(CA260)&gt;0.05,N(Y260)&gt;0),ROUNDDOWN(ROUND(CB260,6),0)&amp;"%"&amp;IF(CR260="",""," / "&amp;CR260&amp;"%"),IF(AND(N(CA260)&gt;=99.95,CR260&lt;&gt;"",N(CR260)&lt;100),"Pend. "&amp;CR260&amp;"%",""))))</f>
        <v/>
      </c>
      <c r="AV260" s="40" t="str">
        <f aca="false">IF(OR(OR(NOT(AND(ISNUMBER(E260),ISNUMBER(F260))),$J$2=""),10&gt;MAX(1,Reprogramaciones!$U$15)),"",IF(Reprogramaciones!T$12&gt;=7,"",IF(OR(CC260-N(CB260)&gt;0.05,N(Z260)&gt;0),ROUNDDOWN(ROUND(CC260,6),0)&amp;"%"&amp;IF(CS260="",""," / "&amp;CS260&amp;"%"),IF(AND(N(CB260)&gt;=99.95,CS260&lt;&gt;"",N(CS260)&lt;100),"Pend. "&amp;CS260&amp;"%",""))))</f>
        <v/>
      </c>
      <c r="AW260" s="40" t="str">
        <f aca="false">IF(OR(OR(NOT(AND(ISNUMBER(E260),ISNUMBER(F260))),$J$2=""),11&gt;MAX(1,Reprogramaciones!$U$15)),"",IF(Reprogramaciones!U$12&gt;=7,"",IF(OR(CD260-N(CC260)&gt;0.05,N(AA260)&gt;0),ROUNDDOWN(ROUND(CD260,6),0)&amp;"%"&amp;IF(CT260="",""," / "&amp;CT260&amp;"%"),IF(AND(N(CC260)&gt;=99.95,CT260&lt;&gt;"",N(CT260)&lt;100),"Pend. "&amp;CT260&amp;"%",""))))</f>
        <v/>
      </c>
      <c r="AX260" s="40" t="str">
        <f aca="false">IF(OR(OR(NOT(AND(ISNUMBER(E260),ISNUMBER(F260))),$J$2=""),12&gt;MAX(1,Reprogramaciones!$U$15)),"",IF(Reprogramaciones!V$12&gt;=7,"",IF(OR(CE260-N(CD260)&gt;0.05,N(AB260)&gt;0),ROUNDDOWN(ROUND(CE260,6),0)&amp;"%"&amp;IF(CU260="",""," / "&amp;CU260&amp;"%"),IF(AND(N(CD260)&gt;=99.95,CU260&lt;&gt;"",N(CU260)&lt;100),"Pend. "&amp;CU260&amp;"%",""))))</f>
        <v/>
      </c>
      <c r="AY260" s="40" t="str">
        <f aca="false">IF(OR(OR(NOT(AND(ISNUMBER(E260),ISNUMBER(F260))),$J$2=""),13&gt;MAX(1,Reprogramaciones!$U$15)),"",IF(Reprogramaciones!W$12&gt;=7,"",IF(OR(CF260-N(CE260)&gt;0.05,N(AC260)&gt;0),ROUNDDOWN(ROUND(CF260,6),0)&amp;"%"&amp;IF(CV260="",""," / "&amp;CV260&amp;"%"),IF(AND(N(CE260)&gt;=99.95,CV260&lt;&gt;"",N(CV260)&lt;100),"Pend. "&amp;CV260&amp;"%",""))))</f>
        <v/>
      </c>
      <c r="AZ260" s="40" t="str">
        <f aca="false">IF(OR(OR(NOT(AND(ISNUMBER(E260),ISNUMBER(F260))),$J$2=""),14&gt;MAX(1,Reprogramaciones!$U$15)),"",IF(Reprogramaciones!X$12&gt;=7,"",IF(OR(CG260-N(CF260)&gt;0.05,N(AD260)&gt;0),ROUNDDOWN(ROUND(CG260,6),0)&amp;"%"&amp;IF(CW260="",""," / "&amp;CW260&amp;"%"),IF(AND(N(CF260)&gt;=99.95,CW260&lt;&gt;"",N(CW260)&lt;100),"Pend. "&amp;CW260&amp;"%",""))))</f>
        <v/>
      </c>
      <c r="BA260" s="40" t="str">
        <f aca="false">IF(OR(OR(NOT(AND(ISNUMBER(E260),ISNUMBER(F260))),$J$2=""),15&gt;MAX(1,Reprogramaciones!$U$15)),"",IF(Reprogramaciones!Y$12&gt;=7,"",IF(OR(CH260-N(CG260)&gt;0.05,N(AE260)&gt;0),ROUNDDOWN(ROUND(CH260,6),0)&amp;"%"&amp;IF(CX260="",""," / "&amp;CX260&amp;"%"),IF(AND(N(CG260)&gt;=99.95,CX260&lt;&gt;"",N(CX260)&lt;100),"Pend. "&amp;CX260&amp;"%",""))))</f>
        <v/>
      </c>
      <c r="BB260" s="40" t="str">
        <f aca="false">IF(OR(OR(NOT(AND(ISNUMBER(E260),ISNUMBER(F260))),$J$2=""),16&gt;MAX(1,Reprogramaciones!$U$15)),"",IF(Reprogramaciones!Z$12&gt;=7,"",IF(OR(CI260-N(CH260)&gt;0.05,N(AF260)&gt;0),ROUNDDOWN(ROUND(CI260,6),0)&amp;"%"&amp;IF(CY260="",""," / "&amp;CY260&amp;"%"),IF(AND(N(CH260)&gt;=99.95,CY260&lt;&gt;"",N(CY260)&lt;100),"Pend. "&amp;CY260&amp;"%",""))))</f>
        <v/>
      </c>
      <c r="BC260" s="31" t="n">
        <f aca="false">IF(AND(ISNUMBER(E260),ISNUMBER(F260)),MAX(1,NETWORKDAYS.INTL(E260,F260,11)),0)</f>
        <v>0</v>
      </c>
      <c r="BD260" s="1" t="str">
        <f aca="false">IF(OR(NOT(AND(ISNUMBER(E260),ISNUMBER(F260))),$J$2=""),"",MIN(100,ROUND(SUM($G260:G260),1)))</f>
        <v/>
      </c>
      <c r="BE260" s="1" t="str">
        <f aca="false">IF(OR(NOT(AND(ISNUMBER(E260),ISNUMBER(F260))),$J$2=""),"",MIN(100,ROUND(SUM($G260:H260),1)))</f>
        <v/>
      </c>
      <c r="BF260" s="1" t="str">
        <f aca="false">IF(OR(NOT(AND(ISNUMBER(E260),ISNUMBER(F260))),$J$2=""),"",MIN(100,ROUND(SUM($G260:I260),1)))</f>
        <v/>
      </c>
      <c r="BG260" s="1" t="str">
        <f aca="false">IF(OR(NOT(AND(ISNUMBER(E260),ISNUMBER(F260))),$J$2=""),"",MIN(100,ROUND(SUM($G260:J260),1)))</f>
        <v/>
      </c>
      <c r="BH260" s="1" t="str">
        <f aca="false">IF(OR(NOT(AND(ISNUMBER(E260),ISNUMBER(F260))),$J$2=""),"",MIN(100,ROUND(SUM($G260:K260),1)))</f>
        <v/>
      </c>
      <c r="BI260" s="1" t="str">
        <f aca="false">IF(OR(NOT(AND(ISNUMBER(E260),ISNUMBER(F260))),$J$2=""),"",MIN(100,ROUND(SUM($G260:L260),1)))</f>
        <v/>
      </c>
      <c r="BJ260" s="1" t="str">
        <f aca="false">IF(OR(NOT(AND(ISNUMBER(E260),ISNUMBER(F260))),$J$2=""),"",MIN(100,ROUND(SUM($G260:M260),1)))</f>
        <v/>
      </c>
      <c r="BK260" s="1" t="str">
        <f aca="false">IF(OR(NOT(AND(ISNUMBER(E260),ISNUMBER(F260))),$J$2=""),"",MIN(100,ROUND(SUM($G260:N260),1)))</f>
        <v/>
      </c>
      <c r="BL260" s="1" t="str">
        <f aca="false">IF(OR(NOT(AND(ISNUMBER(E260),ISNUMBER(F260))),$J$2=""),"",MIN(100,ROUND(SUM($G260:O260),1)))</f>
        <v/>
      </c>
      <c r="BM260" s="1" t="str">
        <f aca="false">IF(OR(NOT(AND(ISNUMBER(E260),ISNUMBER(F260))),$J$2=""),"",MIN(100,ROUND(SUM($G260:P260),1)))</f>
        <v/>
      </c>
      <c r="BN260" s="1" t="str">
        <f aca="false">IF(OR(NOT(AND(ISNUMBER(E260),ISNUMBER(F260))),$J$2=""),"",MIN(100,ROUND(SUM($G260:P260),1)))</f>
        <v/>
      </c>
      <c r="BO260" s="1" t="str">
        <f aca="false">IF(OR(NOT(AND(ISNUMBER(E260),ISNUMBER(F260))),$J$2=""),"",MIN(100,ROUND(SUM($G260:P260),1)))</f>
        <v/>
      </c>
      <c r="BP260" s="1" t="str">
        <f aca="false">IF(OR(NOT(AND(ISNUMBER(E260),ISNUMBER(F260))),$J$2=""),"",MIN(100,ROUND(SUM($G260:P260),1)))</f>
        <v/>
      </c>
      <c r="BQ260" s="1" t="str">
        <f aca="false">IF(OR(NOT(AND(ISNUMBER(E260),ISNUMBER(F260))),$J$2=""),"",MIN(100,ROUND(SUM($G260:P260),1)))</f>
        <v/>
      </c>
      <c r="BR260" s="1" t="str">
        <f aca="false">IF(OR(NOT(AND(ISNUMBER(E260),ISNUMBER(F260))),$J$2=""),"",MIN(100,ROUND(SUM($G260:P260),1)))</f>
        <v/>
      </c>
      <c r="BS260" s="1" t="str">
        <f aca="false">IF(OR(NOT(AND(ISNUMBER(E260),ISNUMBER(F260))),$J$2=""),"",MIN(100,ROUND(SUM($G260:P260),1)))</f>
        <v/>
      </c>
      <c r="BT260" s="1" t="str">
        <f aca="false">IF(OR(NOT(AND(ISNUMBER(E260),ISNUMBER(F260))),$J$2=""),"",IF(Reprogramaciones!K$13&lt;Reprogramaciones!$T$15,0,IF(Reprogramaciones!K$14&gt;10,MIN(100,SUM($G260:$P260)),MIN(100,SUMPRODUCT((COLUMN($G260:$P260)-COLUMN($G260)+1&lt;Reprogramaciones!K$14)*$G260:$P260)+N(INDEX($G260:$P260,1,Reprogramaciones!K$14))*IF(Reprogramaciones!K$13&gt;=(Reprogramaciones!$T$15+7*(Reprogramaciones!K$14-1))+6,1,IF(MAX(0,NETWORKDAYS.INTL(MAX(E260,(Reprogramaciones!$T$15+7*(Reprogramaciones!K$14-1))),MIN(F260,(Reprogramaciones!$T$15+7*(Reprogramaciones!K$14-1))+6),11))=0,0,MAX(0,NETWORKDAYS.INTL(MAX(E260,(Reprogramaciones!$T$15+7*(Reprogramaciones!K$14-1))),MIN(F260,Reprogramaciones!K$13),11))/MAX(0,NETWORKDAYS.INTL(MAX(E260,(Reprogramaciones!$T$15+7*(Reprogramaciones!K$14-1))),MIN(F260,(Reprogramaciones!$T$15+7*(Reprogramaciones!K$14-1))+6),11))))))))</f>
        <v/>
      </c>
      <c r="BU260" s="1" t="str">
        <f aca="false">IF(OR(NOT(AND(ISNUMBER(E260),ISNUMBER(F260))),$J$2=""),"",IF(Reprogramaciones!L$13&lt;Reprogramaciones!$T$15,0,IF(Reprogramaciones!L$14&gt;10,MIN(100,SUM($G260:$P260)),MIN(100,SUMPRODUCT((COLUMN($G260:$P260)-COLUMN($G260)+1&lt;Reprogramaciones!L$14)*$G260:$P260)+N(INDEX($G260:$P260,1,Reprogramaciones!L$14))*IF(Reprogramaciones!L$13&gt;=(Reprogramaciones!$T$15+7*(Reprogramaciones!L$14-1))+6,1,IF(MAX(0,NETWORKDAYS.INTL(MAX(E260,(Reprogramaciones!$T$15+7*(Reprogramaciones!L$14-1))),MIN(F260,(Reprogramaciones!$T$15+7*(Reprogramaciones!L$14-1))+6),11))=0,0,MAX(0,NETWORKDAYS.INTL(MAX(E260,(Reprogramaciones!$T$15+7*(Reprogramaciones!L$14-1))),MIN(F260,Reprogramaciones!L$13),11))/MAX(0,NETWORKDAYS.INTL(MAX(E260,(Reprogramaciones!$T$15+7*(Reprogramaciones!L$14-1))),MIN(F260,(Reprogramaciones!$T$15+7*(Reprogramaciones!L$14-1))+6),11))))))))</f>
        <v/>
      </c>
      <c r="BV260" s="1" t="str">
        <f aca="false">IF(OR(NOT(AND(ISNUMBER(E260),ISNUMBER(F260))),$J$2=""),"",IF(Reprogramaciones!M$13&lt;Reprogramaciones!$T$15,0,IF(Reprogramaciones!M$14&gt;10,MIN(100,SUM($G260:$P260)),MIN(100,SUMPRODUCT((COLUMN($G260:$P260)-COLUMN($G260)+1&lt;Reprogramaciones!M$14)*$G260:$P260)+N(INDEX($G260:$P260,1,Reprogramaciones!M$14))*IF(Reprogramaciones!M$13&gt;=(Reprogramaciones!$T$15+7*(Reprogramaciones!M$14-1))+6,1,IF(MAX(0,NETWORKDAYS.INTL(MAX(E260,(Reprogramaciones!$T$15+7*(Reprogramaciones!M$14-1))),MIN(F260,(Reprogramaciones!$T$15+7*(Reprogramaciones!M$14-1))+6),11))=0,0,MAX(0,NETWORKDAYS.INTL(MAX(E260,(Reprogramaciones!$T$15+7*(Reprogramaciones!M$14-1))),MIN(F260,Reprogramaciones!M$13),11))/MAX(0,NETWORKDAYS.INTL(MAX(E260,(Reprogramaciones!$T$15+7*(Reprogramaciones!M$14-1))),MIN(F260,(Reprogramaciones!$T$15+7*(Reprogramaciones!M$14-1))+6),11))))))))</f>
        <v/>
      </c>
      <c r="BW260" s="1" t="str">
        <f aca="false">IF(OR(NOT(AND(ISNUMBER(E260),ISNUMBER(F260))),$J$2=""),"",IF(Reprogramaciones!N$13&lt;Reprogramaciones!$T$15,0,IF(Reprogramaciones!N$14&gt;10,MIN(100,SUM($G260:$P260)),MIN(100,SUMPRODUCT((COLUMN($G260:$P260)-COLUMN($G260)+1&lt;Reprogramaciones!N$14)*$G260:$P260)+N(INDEX($G260:$P260,1,Reprogramaciones!N$14))*IF(Reprogramaciones!N$13&gt;=(Reprogramaciones!$T$15+7*(Reprogramaciones!N$14-1))+6,1,IF(MAX(0,NETWORKDAYS.INTL(MAX(E260,(Reprogramaciones!$T$15+7*(Reprogramaciones!N$14-1))),MIN(F260,(Reprogramaciones!$T$15+7*(Reprogramaciones!N$14-1))+6),11))=0,0,MAX(0,NETWORKDAYS.INTL(MAX(E260,(Reprogramaciones!$T$15+7*(Reprogramaciones!N$14-1))),MIN(F260,Reprogramaciones!N$13),11))/MAX(0,NETWORKDAYS.INTL(MAX(E260,(Reprogramaciones!$T$15+7*(Reprogramaciones!N$14-1))),MIN(F260,(Reprogramaciones!$T$15+7*(Reprogramaciones!N$14-1))+6),11))))))))</f>
        <v/>
      </c>
      <c r="BX260" s="1" t="str">
        <f aca="false">IF(OR(NOT(AND(ISNUMBER(E260),ISNUMBER(F260))),$J$2=""),"",IF(Reprogramaciones!O$13&lt;Reprogramaciones!$T$15,0,IF(Reprogramaciones!O$14&gt;10,MIN(100,SUM($G260:$P260)),MIN(100,SUMPRODUCT((COLUMN($G260:$P260)-COLUMN($G260)+1&lt;Reprogramaciones!O$14)*$G260:$P260)+N(INDEX($G260:$P260,1,Reprogramaciones!O$14))*IF(Reprogramaciones!O$13&gt;=(Reprogramaciones!$T$15+7*(Reprogramaciones!O$14-1))+6,1,IF(MAX(0,NETWORKDAYS.INTL(MAX(E260,(Reprogramaciones!$T$15+7*(Reprogramaciones!O$14-1))),MIN(F260,(Reprogramaciones!$T$15+7*(Reprogramaciones!O$14-1))+6),11))=0,0,MAX(0,NETWORKDAYS.INTL(MAX(E260,(Reprogramaciones!$T$15+7*(Reprogramaciones!O$14-1))),MIN(F260,Reprogramaciones!O$13),11))/MAX(0,NETWORKDAYS.INTL(MAX(E260,(Reprogramaciones!$T$15+7*(Reprogramaciones!O$14-1))),MIN(F260,(Reprogramaciones!$T$15+7*(Reprogramaciones!O$14-1))+6),11))))))))</f>
        <v/>
      </c>
      <c r="BY260" s="1" t="str">
        <f aca="false">IF(OR(NOT(AND(ISNUMBER(E260),ISNUMBER(F260))),$J$2=""),"",IF(Reprogramaciones!P$13&lt;Reprogramaciones!$T$15,0,IF(Reprogramaciones!P$14&gt;10,MIN(100,SUM($G260:$P260)),MIN(100,SUMPRODUCT((COLUMN($G260:$P260)-COLUMN($G260)+1&lt;Reprogramaciones!P$14)*$G260:$P260)+N(INDEX($G260:$P260,1,Reprogramaciones!P$14))*IF(Reprogramaciones!P$13&gt;=(Reprogramaciones!$T$15+7*(Reprogramaciones!P$14-1))+6,1,IF(MAX(0,NETWORKDAYS.INTL(MAX(E260,(Reprogramaciones!$T$15+7*(Reprogramaciones!P$14-1))),MIN(F260,(Reprogramaciones!$T$15+7*(Reprogramaciones!P$14-1))+6),11))=0,0,MAX(0,NETWORKDAYS.INTL(MAX(E260,(Reprogramaciones!$T$15+7*(Reprogramaciones!P$14-1))),MIN(F260,Reprogramaciones!P$13),11))/MAX(0,NETWORKDAYS.INTL(MAX(E260,(Reprogramaciones!$T$15+7*(Reprogramaciones!P$14-1))),MIN(F260,(Reprogramaciones!$T$15+7*(Reprogramaciones!P$14-1))+6),11))))))))</f>
        <v/>
      </c>
      <c r="BZ260" s="1" t="str">
        <f aca="false">IF(OR(NOT(AND(ISNUMBER(E260),ISNUMBER(F260))),$J$2=""),"",IF(Reprogramaciones!Q$13&lt;Reprogramaciones!$T$15,0,IF(Reprogramaciones!Q$14&gt;10,MIN(100,SUM($G260:$P260)),MIN(100,SUMPRODUCT((COLUMN($G260:$P260)-COLUMN($G260)+1&lt;Reprogramaciones!Q$14)*$G260:$P260)+N(INDEX($G260:$P260,1,Reprogramaciones!Q$14))*IF(Reprogramaciones!Q$13&gt;=(Reprogramaciones!$T$15+7*(Reprogramaciones!Q$14-1))+6,1,IF(MAX(0,NETWORKDAYS.INTL(MAX(E260,(Reprogramaciones!$T$15+7*(Reprogramaciones!Q$14-1))),MIN(F260,(Reprogramaciones!$T$15+7*(Reprogramaciones!Q$14-1))+6),11))=0,0,MAX(0,NETWORKDAYS.INTL(MAX(E260,(Reprogramaciones!$T$15+7*(Reprogramaciones!Q$14-1))),MIN(F260,Reprogramaciones!Q$13),11))/MAX(0,NETWORKDAYS.INTL(MAX(E260,(Reprogramaciones!$T$15+7*(Reprogramaciones!Q$14-1))),MIN(F260,(Reprogramaciones!$T$15+7*(Reprogramaciones!Q$14-1))+6),11))))))))</f>
        <v/>
      </c>
      <c r="CA260" s="1" t="str">
        <f aca="false">IF(OR(NOT(AND(ISNUMBER(E260),ISNUMBER(F260))),$J$2=""),"",IF(Reprogramaciones!R$13&lt;Reprogramaciones!$T$15,0,IF(Reprogramaciones!R$14&gt;10,MIN(100,SUM($G260:$P260)),MIN(100,SUMPRODUCT((COLUMN($G260:$P260)-COLUMN($G260)+1&lt;Reprogramaciones!R$14)*$G260:$P260)+N(INDEX($G260:$P260,1,Reprogramaciones!R$14))*IF(Reprogramaciones!R$13&gt;=(Reprogramaciones!$T$15+7*(Reprogramaciones!R$14-1))+6,1,IF(MAX(0,NETWORKDAYS.INTL(MAX(E260,(Reprogramaciones!$T$15+7*(Reprogramaciones!R$14-1))),MIN(F260,(Reprogramaciones!$T$15+7*(Reprogramaciones!R$14-1))+6),11))=0,0,MAX(0,NETWORKDAYS.INTL(MAX(E260,(Reprogramaciones!$T$15+7*(Reprogramaciones!R$14-1))),MIN(F260,Reprogramaciones!R$13),11))/MAX(0,NETWORKDAYS.INTL(MAX(E260,(Reprogramaciones!$T$15+7*(Reprogramaciones!R$14-1))),MIN(F260,(Reprogramaciones!$T$15+7*(Reprogramaciones!R$14-1))+6),11))))))))</f>
        <v/>
      </c>
      <c r="CB260" s="1" t="str">
        <f aca="false">IF(OR(NOT(AND(ISNUMBER(E260),ISNUMBER(F260))),$J$2=""),"",IF(Reprogramaciones!S$13&lt;Reprogramaciones!$T$15,0,IF(Reprogramaciones!S$14&gt;10,MIN(100,SUM($G260:$P260)),MIN(100,SUMPRODUCT((COLUMN($G260:$P260)-COLUMN($G260)+1&lt;Reprogramaciones!S$14)*$G260:$P260)+N(INDEX($G260:$P260,1,Reprogramaciones!S$14))*IF(Reprogramaciones!S$13&gt;=(Reprogramaciones!$T$15+7*(Reprogramaciones!S$14-1))+6,1,IF(MAX(0,NETWORKDAYS.INTL(MAX(E260,(Reprogramaciones!$T$15+7*(Reprogramaciones!S$14-1))),MIN(F260,(Reprogramaciones!$T$15+7*(Reprogramaciones!S$14-1))+6),11))=0,0,MAX(0,NETWORKDAYS.INTL(MAX(E260,(Reprogramaciones!$T$15+7*(Reprogramaciones!S$14-1))),MIN(F260,Reprogramaciones!S$13),11))/MAX(0,NETWORKDAYS.INTL(MAX(E260,(Reprogramaciones!$T$15+7*(Reprogramaciones!S$14-1))),MIN(F260,(Reprogramaciones!$T$15+7*(Reprogramaciones!S$14-1))+6),11))))))))</f>
        <v/>
      </c>
      <c r="CC260" s="1" t="str">
        <f aca="false">IF(OR(NOT(AND(ISNUMBER(E260),ISNUMBER(F260))),$J$2=""),"",IF(Reprogramaciones!T$13&lt;Reprogramaciones!$T$15,0,IF(Reprogramaciones!T$14&gt;10,MIN(100,SUM($G260:$P260)),MIN(100,SUMPRODUCT((COLUMN($G260:$P260)-COLUMN($G260)+1&lt;Reprogramaciones!T$14)*$G260:$P260)+N(INDEX($G260:$P260,1,Reprogramaciones!T$14))*IF(Reprogramaciones!T$13&gt;=(Reprogramaciones!$T$15+7*(Reprogramaciones!T$14-1))+6,1,IF(MAX(0,NETWORKDAYS.INTL(MAX(E260,(Reprogramaciones!$T$15+7*(Reprogramaciones!T$14-1))),MIN(F260,(Reprogramaciones!$T$15+7*(Reprogramaciones!T$14-1))+6),11))=0,0,MAX(0,NETWORKDAYS.INTL(MAX(E260,(Reprogramaciones!$T$15+7*(Reprogramaciones!T$14-1))),MIN(F260,Reprogramaciones!T$13),11))/MAX(0,NETWORKDAYS.INTL(MAX(E260,(Reprogramaciones!$T$15+7*(Reprogramaciones!T$14-1))),MIN(F260,(Reprogramaciones!$T$15+7*(Reprogramaciones!T$14-1))+6),11))))))))</f>
        <v/>
      </c>
      <c r="CD260" s="1" t="str">
        <f aca="false">IF(OR(NOT(AND(ISNUMBER(E260),ISNUMBER(F260))),$J$2=""),"",IF(Reprogramaciones!U$13&lt;Reprogramaciones!$T$15,0,IF(Reprogramaciones!U$14&gt;10,MIN(100,SUM($G260:$P260)),MIN(100,SUMPRODUCT((COLUMN($G260:$P260)-COLUMN($G260)+1&lt;Reprogramaciones!U$14)*$G260:$P260)+N(INDEX($G260:$P260,1,Reprogramaciones!U$14))*IF(Reprogramaciones!U$13&gt;=(Reprogramaciones!$T$15+7*(Reprogramaciones!U$14-1))+6,1,IF(MAX(0,NETWORKDAYS.INTL(MAX(E260,(Reprogramaciones!$T$15+7*(Reprogramaciones!U$14-1))),MIN(F260,(Reprogramaciones!$T$15+7*(Reprogramaciones!U$14-1))+6),11))=0,0,MAX(0,NETWORKDAYS.INTL(MAX(E260,(Reprogramaciones!$T$15+7*(Reprogramaciones!U$14-1))),MIN(F260,Reprogramaciones!U$13),11))/MAX(0,NETWORKDAYS.INTL(MAX(E260,(Reprogramaciones!$T$15+7*(Reprogramaciones!U$14-1))),MIN(F260,(Reprogramaciones!$T$15+7*(Reprogramaciones!U$14-1))+6),11))))))))</f>
        <v/>
      </c>
      <c r="CE260" s="1" t="str">
        <f aca="false">IF(OR(NOT(AND(ISNUMBER(E260),ISNUMBER(F260))),$J$2=""),"",IF(Reprogramaciones!V$13&lt;Reprogramaciones!$T$15,0,IF(Reprogramaciones!V$14&gt;10,MIN(100,SUM($G260:$P260)),MIN(100,SUMPRODUCT((COLUMN($G260:$P260)-COLUMN($G260)+1&lt;Reprogramaciones!V$14)*$G260:$P260)+N(INDEX($G260:$P260,1,Reprogramaciones!V$14))*IF(Reprogramaciones!V$13&gt;=(Reprogramaciones!$T$15+7*(Reprogramaciones!V$14-1))+6,1,IF(MAX(0,NETWORKDAYS.INTL(MAX(E260,(Reprogramaciones!$T$15+7*(Reprogramaciones!V$14-1))),MIN(F260,(Reprogramaciones!$T$15+7*(Reprogramaciones!V$14-1))+6),11))=0,0,MAX(0,NETWORKDAYS.INTL(MAX(E260,(Reprogramaciones!$T$15+7*(Reprogramaciones!V$14-1))),MIN(F260,Reprogramaciones!V$13),11))/MAX(0,NETWORKDAYS.INTL(MAX(E260,(Reprogramaciones!$T$15+7*(Reprogramaciones!V$14-1))),MIN(F260,(Reprogramaciones!$T$15+7*(Reprogramaciones!V$14-1))+6),11))))))))</f>
        <v/>
      </c>
      <c r="CF260" s="1" t="str">
        <f aca="false">IF(OR(NOT(AND(ISNUMBER(E260),ISNUMBER(F260))),$J$2=""),"",IF(Reprogramaciones!W$13&lt;Reprogramaciones!$T$15,0,IF(Reprogramaciones!W$14&gt;10,MIN(100,SUM($G260:$P260)),MIN(100,SUMPRODUCT((COLUMN($G260:$P260)-COLUMN($G260)+1&lt;Reprogramaciones!W$14)*$G260:$P260)+N(INDEX($G260:$P260,1,Reprogramaciones!W$14))*IF(Reprogramaciones!W$13&gt;=(Reprogramaciones!$T$15+7*(Reprogramaciones!W$14-1))+6,1,IF(MAX(0,NETWORKDAYS.INTL(MAX(E260,(Reprogramaciones!$T$15+7*(Reprogramaciones!W$14-1))),MIN(F260,(Reprogramaciones!$T$15+7*(Reprogramaciones!W$14-1))+6),11))=0,0,MAX(0,NETWORKDAYS.INTL(MAX(E260,(Reprogramaciones!$T$15+7*(Reprogramaciones!W$14-1))),MIN(F260,Reprogramaciones!W$13),11))/MAX(0,NETWORKDAYS.INTL(MAX(E260,(Reprogramaciones!$T$15+7*(Reprogramaciones!W$14-1))),MIN(F260,(Reprogramaciones!$T$15+7*(Reprogramaciones!W$14-1))+6),11))))))))</f>
        <v/>
      </c>
      <c r="CG260" s="1" t="str">
        <f aca="false">IF(OR(NOT(AND(ISNUMBER(E260),ISNUMBER(F260))),$J$2=""),"",IF(Reprogramaciones!X$13&lt;Reprogramaciones!$T$15,0,IF(Reprogramaciones!X$14&gt;10,MIN(100,SUM($G260:$P260)),MIN(100,SUMPRODUCT((COLUMN($G260:$P260)-COLUMN($G260)+1&lt;Reprogramaciones!X$14)*$G260:$P260)+N(INDEX($G260:$P260,1,Reprogramaciones!X$14))*IF(Reprogramaciones!X$13&gt;=(Reprogramaciones!$T$15+7*(Reprogramaciones!X$14-1))+6,1,IF(MAX(0,NETWORKDAYS.INTL(MAX(E260,(Reprogramaciones!$T$15+7*(Reprogramaciones!X$14-1))),MIN(F260,(Reprogramaciones!$T$15+7*(Reprogramaciones!X$14-1))+6),11))=0,0,MAX(0,NETWORKDAYS.INTL(MAX(E260,(Reprogramaciones!$T$15+7*(Reprogramaciones!X$14-1))),MIN(F260,Reprogramaciones!X$13),11))/MAX(0,NETWORKDAYS.INTL(MAX(E260,(Reprogramaciones!$T$15+7*(Reprogramaciones!X$14-1))),MIN(F260,(Reprogramaciones!$T$15+7*(Reprogramaciones!X$14-1))+6),11))))))))</f>
        <v/>
      </c>
      <c r="CH260" s="1" t="str">
        <f aca="false">IF(OR(NOT(AND(ISNUMBER(E260),ISNUMBER(F260))),$J$2=""),"",IF(Reprogramaciones!Y$13&lt;Reprogramaciones!$T$15,0,IF(Reprogramaciones!Y$14&gt;10,MIN(100,SUM($G260:$P260)),MIN(100,SUMPRODUCT((COLUMN($G260:$P260)-COLUMN($G260)+1&lt;Reprogramaciones!Y$14)*$G260:$P260)+N(INDEX($G260:$P260,1,Reprogramaciones!Y$14))*IF(Reprogramaciones!Y$13&gt;=(Reprogramaciones!$T$15+7*(Reprogramaciones!Y$14-1))+6,1,IF(MAX(0,NETWORKDAYS.INTL(MAX(E260,(Reprogramaciones!$T$15+7*(Reprogramaciones!Y$14-1))),MIN(F260,(Reprogramaciones!$T$15+7*(Reprogramaciones!Y$14-1))+6),11))=0,0,MAX(0,NETWORKDAYS.INTL(MAX(E260,(Reprogramaciones!$T$15+7*(Reprogramaciones!Y$14-1))),MIN(F260,Reprogramaciones!Y$13),11))/MAX(0,NETWORKDAYS.INTL(MAX(E260,(Reprogramaciones!$T$15+7*(Reprogramaciones!Y$14-1))),MIN(F260,(Reprogramaciones!$T$15+7*(Reprogramaciones!Y$14-1))+6),11))))))))</f>
        <v/>
      </c>
      <c r="CI260" s="1" t="str">
        <f aca="false">IF(OR(NOT(AND(ISNUMBER(E260),ISNUMBER(F260))),$J$2=""),"",IF(Reprogramaciones!Z$13&lt;Reprogramaciones!$T$15,0,IF(Reprogramaciones!Z$14&gt;10,MIN(100,SUM($G260:$P260)),MIN(100,SUMPRODUCT((COLUMN($G260:$P260)-COLUMN($G260)+1&lt;Reprogramaciones!Z$14)*$G260:$P260)+N(INDEX($G260:$P260,1,Reprogramaciones!Z$14))*IF(Reprogramaciones!Z$13&gt;=(Reprogramaciones!$T$15+7*(Reprogramaciones!Z$14-1))+6,1,IF(MAX(0,NETWORKDAYS.INTL(MAX(E260,(Reprogramaciones!$T$15+7*(Reprogramaciones!Z$14-1))),MIN(F260,(Reprogramaciones!$T$15+7*(Reprogramaciones!Z$14-1))+6),11))=0,0,MAX(0,NETWORKDAYS.INTL(MAX(E260,(Reprogramaciones!$T$15+7*(Reprogramaciones!Z$14-1))),MIN(F260,Reprogramaciones!Z$13),11))/MAX(0,NETWORKDAYS.INTL(MAX(E260,(Reprogramaciones!$T$15+7*(Reprogramaciones!Z$14-1))),MIN(F260,(Reprogramaciones!$T$15+7*(Reprogramaciones!Z$14-1))+6),11))))))))</f>
        <v/>
      </c>
      <c r="CJ260" s="1" t="str">
        <f aca="false">IF(OR(OR(NOT(AND(ISNUMBER(E260),ISNUMBER(F260))),$J$2=""),1&gt;Reprogramaciones!$K$16),"",IF(ROUND(SUM($Q260:Q260),1)&gt;=99.5,100,MIN(100,ROUND(SUM($Q260:Q260),1))))</f>
        <v/>
      </c>
      <c r="CK260" s="1" t="str">
        <f aca="false">IF(OR(OR(NOT(AND(ISNUMBER(E260),ISNUMBER(F260))),$J$2=""),2&gt;Reprogramaciones!$K$16),"",IF(ROUND(SUM($Q260:R260),1)&gt;=99.5,100,MIN(100,ROUND(SUM($Q260:R260),1))))</f>
        <v/>
      </c>
      <c r="CL260" s="1" t="str">
        <f aca="false">IF(OR(OR(NOT(AND(ISNUMBER(E260),ISNUMBER(F260))),$J$2=""),3&gt;Reprogramaciones!$K$16),"",IF(ROUND(SUM($Q260:S260),1)&gt;=99.5,100,MIN(100,ROUND(SUM($Q260:S260),1))))</f>
        <v/>
      </c>
      <c r="CM260" s="1" t="str">
        <f aca="false">IF(OR(OR(NOT(AND(ISNUMBER(E260),ISNUMBER(F260))),$J$2=""),4&gt;Reprogramaciones!$K$16),"",IF(ROUND(SUM($Q260:T260),1)&gt;=99.5,100,MIN(100,ROUND(SUM($Q260:T260),1))))</f>
        <v/>
      </c>
      <c r="CN260" s="1" t="str">
        <f aca="false">IF(OR(OR(NOT(AND(ISNUMBER(E260),ISNUMBER(F260))),$J$2=""),5&gt;Reprogramaciones!$K$16),"",IF(ROUND(SUM($Q260:U260),1)&gt;=99.5,100,MIN(100,ROUND(SUM($Q260:U260),1))))</f>
        <v/>
      </c>
      <c r="CO260" s="1" t="str">
        <f aca="false">IF(OR(OR(NOT(AND(ISNUMBER(E260),ISNUMBER(F260))),$J$2=""),6&gt;Reprogramaciones!$K$16),"",IF(ROUND(SUM($Q260:V260),1)&gt;=99.5,100,MIN(100,ROUND(SUM($Q260:V260),1))))</f>
        <v/>
      </c>
      <c r="CP260" s="1" t="str">
        <f aca="false">IF(OR(OR(NOT(AND(ISNUMBER(E260),ISNUMBER(F260))),$J$2=""),7&gt;Reprogramaciones!$K$16),"",IF(ROUND(SUM($Q260:W260),1)&gt;=99.5,100,MIN(100,ROUND(SUM($Q260:W260),1))))</f>
        <v/>
      </c>
      <c r="CQ260" s="1" t="str">
        <f aca="false">IF(OR(OR(NOT(AND(ISNUMBER(E260),ISNUMBER(F260))),$J$2=""),8&gt;Reprogramaciones!$K$16),"",IF(ROUND(SUM($Q260:X260),1)&gt;=99.5,100,MIN(100,ROUND(SUM($Q260:X260),1))))</f>
        <v/>
      </c>
      <c r="CR260" s="1" t="str">
        <f aca="false">IF(OR(OR(NOT(AND(ISNUMBER(E260),ISNUMBER(F260))),$J$2=""),9&gt;Reprogramaciones!$K$16),"",IF(ROUND(SUM($Q260:Y260),1)&gt;=99.5,100,MIN(100,ROUND(SUM($Q260:Y260),1))))</f>
        <v/>
      </c>
      <c r="CS260" s="1" t="str">
        <f aca="false">IF(OR(OR(NOT(AND(ISNUMBER(E260),ISNUMBER(F260))),$J$2=""),10&gt;Reprogramaciones!$K$16),"",IF(ROUND(SUM($Q260:Z260),1)&gt;=99.5,100,MIN(100,ROUND(SUM($Q260:Z260),1))))</f>
        <v/>
      </c>
      <c r="CT260" s="1" t="str">
        <f aca="false">IF(OR(OR(NOT(AND(ISNUMBER(E260),ISNUMBER(F260))),$J$2=""),11&gt;Reprogramaciones!$K$16),"",IF(ROUND(SUM($Q260:AA260),1)&gt;=99.5,100,MIN(100,ROUND(SUM($Q260:AA260),1))))</f>
        <v/>
      </c>
      <c r="CU260" s="1" t="str">
        <f aca="false">IF(OR(OR(NOT(AND(ISNUMBER(E260),ISNUMBER(F260))),$J$2=""),12&gt;Reprogramaciones!$K$16),"",IF(ROUND(SUM($Q260:AB260),1)&gt;=99.5,100,MIN(100,ROUND(SUM($Q260:AB260),1))))</f>
        <v/>
      </c>
      <c r="CV260" s="1" t="str">
        <f aca="false">IF(OR(OR(NOT(AND(ISNUMBER(E260),ISNUMBER(F260))),$J$2=""),13&gt;Reprogramaciones!$K$16),"",IF(ROUND(SUM($Q260:AC260),1)&gt;=99.5,100,MIN(100,ROUND(SUM($Q260:AC260),1))))</f>
        <v/>
      </c>
      <c r="CW260" s="1" t="str">
        <f aca="false">IF(OR(OR(NOT(AND(ISNUMBER(E260),ISNUMBER(F260))),$J$2=""),14&gt;Reprogramaciones!$K$16),"",IF(ROUND(SUM($Q260:AD260),1)&gt;=99.5,100,MIN(100,ROUND(SUM($Q260:AD260),1))))</f>
        <v/>
      </c>
      <c r="CX260" s="1" t="str">
        <f aca="false">IF(OR(OR(NOT(AND(ISNUMBER(E260),ISNUMBER(F260))),$J$2=""),15&gt;Reprogramaciones!$K$16),"",IF(ROUND(SUM($Q260:AE260),1)&gt;=99.5,100,MIN(100,ROUND(SUM($Q260:AE260),1))))</f>
        <v/>
      </c>
      <c r="CY260" s="1" t="str">
        <f aca="false">IF(OR(OR(NOT(AND(ISNUMBER(E260),ISNUMBER(F260))),$J$2=""),16&gt;Reprogramaciones!$K$16),"",IF(ROUND(SUM($Q260:AF260),1)&gt;=99.5,100,MIN(100,ROUND(SUM($Q260:AF260),1))))</f>
        <v/>
      </c>
      <c r="CZ260" s="1" t="str">
        <f aca="false">IF(D260&lt;&gt;"",D260,IF(B260&lt;&gt;"","Contractual",CZ259))</f>
        <v>Contractual</v>
      </c>
      <c r="DA260" s="1" t="str">
        <f aca="false">IF(OR(NOT(AND(ISNUMBER(E260),ISNUMBER(F260))),$J$2=""),"",IF(Reprogramaciones!$Q$15&lt;Reprogramaciones!$T$15,0,IF(Reprogramaciones!$S$15&gt;10,MIN(100,SUM($G260:$P260)),MIN(100,SUMPRODUCT((COLUMN($G260:$P260)-COLUMN($G260)+1&lt;Reprogramaciones!$S$15)*$G260:$P260)+N(INDEX($G260:$P260,1,Reprogramaciones!$S$15))*IF(Reprogramaciones!$Q$15&gt;=(Reprogramaciones!$T$15+7*(Reprogramaciones!$S$15-1))+6,1,IF(MAX(0,NETWORKDAYS.INTL(MAX(E260,(Reprogramaciones!$T$15+7*(Reprogramaciones!$S$15-1))),MIN(F260,(Reprogramaciones!$T$15+7*(Reprogramaciones!$S$15-1))+6),11))=0,0,MAX(0,NETWORKDAYS.INTL(MAX(E260,(Reprogramaciones!$T$15+7*(Reprogramaciones!$S$15-1))),MIN(F260,Reprogramaciones!$Q$15),11))/MAX(0,NETWORKDAYS.INTL(MAX(E260,(Reprogramaciones!$T$15+7*(Reprogramaciones!$S$15-1))),MIN(F260,(Reprogramaciones!$T$15+7*(Reprogramaciones!$S$15-1))+6),11))))))))</f>
        <v/>
      </c>
    </row>
    <row r="261" customFormat="false" ht="15" hidden="false" customHeight="false" outlineLevel="0" collapsed="false">
      <c r="A261" s="32"/>
      <c r="B261" s="33"/>
      <c r="C261" s="33"/>
      <c r="D261" s="34"/>
      <c r="E261" s="35"/>
      <c r="F261" s="35"/>
      <c r="G261" s="36" t="str">
        <f aca="false">IF(OR(NOT(AND(ISNUMBER(E261),ISNUMBER(F261))),$J$2=""),"",IF(Reprogramaciones!K$9&lt;E261,0,IF(NETWORKDAYS.INTL(E261,F261,11)=0,IF(Reprogramaciones!K$9&gt;=F261,100,0),ROUND(NETWORKDAYS.INTL(E261,MIN(F261,Reprogramaciones!K$9),11)/NETWORKDAYS.INTL(E261,F261,11)*100,1)))-0)</f>
        <v/>
      </c>
      <c r="H261" s="36" t="str">
        <f aca="false">IF(OR(NOT(AND(ISNUMBER(E261),ISNUMBER(F261))),$J$2=""),"",IF(Reprogramaciones!L$9&lt;E261,0,IF(NETWORKDAYS.INTL(E261,F261,11)=0,IF(Reprogramaciones!L$9&gt;=F261,100,0),ROUND(NETWORKDAYS.INTL(E261,MIN(F261,Reprogramaciones!L$9),11)/NETWORKDAYS.INTL(E261,F261,11)*100,1)))-IF(Reprogramaciones!K$9&lt;E261,0,IF(NETWORKDAYS.INTL(E261,F261,11)=0,IF(Reprogramaciones!K$9&gt;=F261,100,0),ROUND(NETWORKDAYS.INTL(E261,MIN(F261,Reprogramaciones!K$9),11)/NETWORKDAYS.INTL(E261,F261,11)*100,1))))</f>
        <v/>
      </c>
      <c r="I261" s="36" t="str">
        <f aca="false">IF(OR(NOT(AND(ISNUMBER(E261),ISNUMBER(F261))),$J$2=""),"",IF(Reprogramaciones!M$9&lt;E261,0,IF(NETWORKDAYS.INTL(E261,F261,11)=0,IF(Reprogramaciones!M$9&gt;=F261,100,0),ROUND(NETWORKDAYS.INTL(E261,MIN(F261,Reprogramaciones!M$9),11)/NETWORKDAYS.INTL(E261,F261,11)*100,1)))-IF(Reprogramaciones!L$9&lt;E261,0,IF(NETWORKDAYS.INTL(E261,F261,11)=0,IF(Reprogramaciones!L$9&gt;=F261,100,0),ROUND(NETWORKDAYS.INTL(E261,MIN(F261,Reprogramaciones!L$9),11)/NETWORKDAYS.INTL(E261,F261,11)*100,1))))</f>
        <v/>
      </c>
      <c r="J261" s="36" t="str">
        <f aca="false">IF(OR(NOT(AND(ISNUMBER(E261),ISNUMBER(F261))),$J$2=""),"",IF(Reprogramaciones!N$9&lt;E261,0,IF(NETWORKDAYS.INTL(E261,F261,11)=0,IF(Reprogramaciones!N$9&gt;=F261,100,0),ROUND(NETWORKDAYS.INTL(E261,MIN(F261,Reprogramaciones!N$9),11)/NETWORKDAYS.INTL(E261,F261,11)*100,1)))-IF(Reprogramaciones!M$9&lt;E261,0,IF(NETWORKDAYS.INTL(E261,F261,11)=0,IF(Reprogramaciones!M$9&gt;=F261,100,0),ROUND(NETWORKDAYS.INTL(E261,MIN(F261,Reprogramaciones!M$9),11)/NETWORKDAYS.INTL(E261,F261,11)*100,1))))</f>
        <v/>
      </c>
      <c r="K261" s="36" t="str">
        <f aca="false">IF(OR(NOT(AND(ISNUMBER(E261),ISNUMBER(F261))),$J$2=""),"",IF(Reprogramaciones!O$9&lt;E261,0,IF(NETWORKDAYS.INTL(E261,F261,11)=0,IF(Reprogramaciones!O$9&gt;=F261,100,0),ROUND(NETWORKDAYS.INTL(E261,MIN(F261,Reprogramaciones!O$9),11)/NETWORKDAYS.INTL(E261,F261,11)*100,1)))-IF(Reprogramaciones!N$9&lt;E261,0,IF(NETWORKDAYS.INTL(E261,F261,11)=0,IF(Reprogramaciones!N$9&gt;=F261,100,0),ROUND(NETWORKDAYS.INTL(E261,MIN(F261,Reprogramaciones!N$9),11)/NETWORKDAYS.INTL(E261,F261,11)*100,1))))</f>
        <v/>
      </c>
      <c r="L261" s="36" t="str">
        <f aca="false">IF(OR(NOT(AND(ISNUMBER(E261),ISNUMBER(F261))),$J$2=""),"",IF(Reprogramaciones!P$9&lt;E261,0,IF(NETWORKDAYS.INTL(E261,F261,11)=0,IF(Reprogramaciones!P$9&gt;=F261,100,0),ROUND(NETWORKDAYS.INTL(E261,MIN(F261,Reprogramaciones!P$9),11)/NETWORKDAYS.INTL(E261,F261,11)*100,1)))-IF(Reprogramaciones!O$9&lt;E261,0,IF(NETWORKDAYS.INTL(E261,F261,11)=0,IF(Reprogramaciones!O$9&gt;=F261,100,0),ROUND(NETWORKDAYS.INTL(E261,MIN(F261,Reprogramaciones!O$9),11)/NETWORKDAYS.INTL(E261,F261,11)*100,1))))</f>
        <v/>
      </c>
      <c r="M261" s="36" t="str">
        <f aca="false">IF(OR(NOT(AND(ISNUMBER(E261),ISNUMBER(F261))),$J$2=""),"",IF(Reprogramaciones!Q$9&lt;E261,0,IF(NETWORKDAYS.INTL(E261,F261,11)=0,IF(Reprogramaciones!Q$9&gt;=F261,100,0),ROUND(NETWORKDAYS.INTL(E261,MIN(F261,Reprogramaciones!Q$9),11)/NETWORKDAYS.INTL(E261,F261,11)*100,1)))-IF(Reprogramaciones!P$9&lt;E261,0,IF(NETWORKDAYS.INTL(E261,F261,11)=0,IF(Reprogramaciones!P$9&gt;=F261,100,0),ROUND(NETWORKDAYS.INTL(E261,MIN(F261,Reprogramaciones!P$9),11)/NETWORKDAYS.INTL(E261,F261,11)*100,1))))</f>
        <v/>
      </c>
      <c r="N261" s="36" t="str">
        <f aca="false">IF(OR(NOT(AND(ISNUMBER(E261),ISNUMBER(F261))),$J$2=""),"",IF(Reprogramaciones!R$9&lt;E261,0,IF(NETWORKDAYS.INTL(E261,F261,11)=0,IF(Reprogramaciones!R$9&gt;=F261,100,0),ROUND(NETWORKDAYS.INTL(E261,MIN(F261,Reprogramaciones!R$9),11)/NETWORKDAYS.INTL(E261,F261,11)*100,1)))-IF(Reprogramaciones!Q$9&lt;E261,0,IF(NETWORKDAYS.INTL(E261,F261,11)=0,IF(Reprogramaciones!Q$9&gt;=F261,100,0),ROUND(NETWORKDAYS.INTL(E261,MIN(F261,Reprogramaciones!Q$9),11)/NETWORKDAYS.INTL(E261,F261,11)*100,1))))</f>
        <v/>
      </c>
      <c r="O261" s="36" t="str">
        <f aca="false">IF(OR(NOT(AND(ISNUMBER(E261),ISNUMBER(F261))),$J$2=""),"",IF(Reprogramaciones!S$9&lt;E261,0,IF(NETWORKDAYS.INTL(E261,F261,11)=0,IF(Reprogramaciones!S$9&gt;=F261,100,0),ROUND(NETWORKDAYS.INTL(E261,MIN(F261,Reprogramaciones!S$9),11)/NETWORKDAYS.INTL(E261,F261,11)*100,1)))-IF(Reprogramaciones!R$9&lt;E261,0,IF(NETWORKDAYS.INTL(E261,F261,11)=0,IF(Reprogramaciones!R$9&gt;=F261,100,0),ROUND(NETWORKDAYS.INTL(E261,MIN(F261,Reprogramaciones!R$9),11)/NETWORKDAYS.INTL(E261,F261,11)*100,1))))</f>
        <v/>
      </c>
      <c r="P261" s="36" t="str">
        <f aca="false">IF(OR(NOT(AND(ISNUMBER(E261),ISNUMBER(F261))),$J$2=""),"",IF(Reprogramaciones!T$9&lt;E261,0,IF(NETWORKDAYS.INTL(E261,F261,11)=0,IF(Reprogramaciones!T$9&gt;=F261,100,0),ROUND(NETWORKDAYS.INTL(E261,MIN(F261,Reprogramaciones!T$9),11)/NETWORKDAYS.INTL(E261,F261,11)*100,1)))-IF(Reprogramaciones!S$9&lt;E261,0,IF(NETWORKDAYS.INTL(E261,F261,11)=0,IF(Reprogramaciones!S$9&gt;=F261,100,0),ROUND(NETWORKDAYS.INTL(E261,MIN(F261,Reprogramaciones!S$9),11)/NETWORKDAYS.INTL(E261,F261,11)*100,1))))</f>
        <v/>
      </c>
      <c r="Q261" s="37"/>
      <c r="R261" s="37"/>
      <c r="S261" s="37"/>
      <c r="T261" s="37"/>
      <c r="U261" s="37"/>
      <c r="V261" s="37"/>
      <c r="W261" s="37"/>
      <c r="X261" s="37"/>
      <c r="Y261" s="37"/>
      <c r="Z261" s="37"/>
      <c r="AA261" s="37"/>
      <c r="AB261" s="37"/>
      <c r="AC261" s="37"/>
      <c r="AD261" s="37"/>
      <c r="AE261" s="37"/>
      <c r="AF261" s="37"/>
      <c r="AG261" s="38" t="str">
        <f aca="false">IF(AND(ISNUMBER(E261),ISNUMBER(F261)),NETWORKDAYS.INTL(E261,F261,11),"")</f>
        <v/>
      </c>
      <c r="AH261" s="38" t="str">
        <f aca="false">IF(OR(NOT(AND(ISNUMBER(E261),ISNUMBER(F261))),$J$2=""),"",IF(Reprogramaciones!$P$15&lt;Reprogramaciones!$T$15,0,IF(Reprogramaciones!$R$15&gt;10,MIN(100,SUM($G261:$P261)),MIN(100,SUMPRODUCT((COLUMN($G261:$P261)-COLUMN($G261)+1&lt;Reprogramaciones!$R$15)*$G261:$P261)+N(INDEX($G261:$P261,1,Reprogramaciones!$R$15))*IF(Reprogramaciones!$P$15&gt;=(Reprogramaciones!$T$15+7*(Reprogramaciones!$R$15-1))+6,1,IF(MAX(0,NETWORKDAYS.INTL(MAX(E261,(Reprogramaciones!$T$15+7*(Reprogramaciones!$R$15-1))),MIN(F261,(Reprogramaciones!$T$15+7*(Reprogramaciones!$R$15-1))+6),11))=0,0,MAX(0,NETWORKDAYS.INTL(MAX(E261,(Reprogramaciones!$T$15+7*(Reprogramaciones!$R$15-1))),MIN(F261,Reprogramaciones!$P$15),11))/MAX(0,NETWORKDAYS.INTL(MAX(E261,(Reprogramaciones!$T$15+7*(Reprogramaciones!$R$15-1))),MIN(F261,(Reprogramaciones!$T$15+7*(Reprogramaciones!$R$15-1))+6),11))))))))</f>
        <v/>
      </c>
      <c r="AI261" s="38" t="str">
        <f aca="false">IF(COUNT($Q261:$AF261)=0,"",IF(ROUND(SUM($Q261:$AF261),1)&gt;=99.5,100,MIN(100,ROUND(SUM($Q261:$AF261),1))))</f>
        <v/>
      </c>
      <c r="AJ261" s="38" t="str">
        <f aca="false">IF(OR(AH261="",AI261=""),"",AI261-AH261)</f>
        <v/>
      </c>
      <c r="AK261" s="39" t="str">
        <f aca="true">IF(AH261="","",IF(OR(Ficha!$C$10="Suspendida",Ficha!$C$10="Cancelada"),Ficha!$C$10,IF(AND(AI261&lt;&gt;"",N(AI261)&gt;=100),"Completada",IF(AND(E261&gt;TODAY(),N(AI261)=0),"Por iniciar",IF(N(AI261)+0.5&lt;AH261,"Retrasada",IF(N(AI261)+0.5&lt;DA261,IF(Reprogramaciones!$K$15&gt;0,"Al día · Sem "&amp;Reprogramaciones!$K$15&amp;" en curso","Al día · en curso"),"A tiempo"))))))</f>
        <v/>
      </c>
      <c r="AL261" s="39" t="str">
        <f aca="true">IF(AND(A261="",AND(B261="",C261="",E261="",F261="",COUNT(Q261:AF261)=0)),"",IF(AND(B261="",C261="",E261="",F261="",COUNT(Q261:AF261)=0),"Falta la partida o subpartida",IF(AND(A261&lt;&gt;"",COUNTIF($A$6:$A$305,A261)&gt;1),"Ítem repetido",IF(AND(C261="",E261="",F261="",COUNT(Q261:AF261)=0),"Título de partida",IF(OR(E261="",F261=""),"Faltan fechas",IF(OR(ISTEXT(E261),ISTEXT(F261)),"Fecha escrita como texto: usa dd/mm/aaaa",IF(F261&lt;E261,"Fin antes del inicio",IF(IF($J$2="",FALSE(),OR(E261&lt;$J$2,F261&gt;Reprogramaciones!$T$15+69)),"Fuera de las 10 semanas",IF(ABS(SUM(G261:P261)-100)&gt;0.5,"La meta no suma 100%",IF(ROUND(SUM(Q261:AF261),1)&gt;100.5,"El avance pasa de 100%",IF(MIN(Q261:AF261)&lt;0,"Avance negativo",IF(COUNTA(Q261:AF261)&gt;COUNT(Q261:AF261),"Avance escrito como texto",IF(SUMPRODUCT((Q261:AF261&gt;0)*(Q261:AF261&lt;1))&gt;0,"Avance menor a 1: escribe 50, no 50%",IF(SUMPRODUCT(ISNUMBER(Q261:AF261)*(Reprogramaciones!$K$8:$Z$8&gt;TODAY()))&gt;0,"Avance en semana que aún no llega",IF(AND(N(Reprogramaciones!$E$21)&gt;0,F261&gt;Reprogramaciones!$E$21),"Pasa el fin de la obra: registra una reprogramación",IF(AND(N(Reprogramaciones!$E$21)&gt;0,SUMPRODUCT(ISNUMBER(Q261:AF261)*(Reprogramaciones!$K$8:$Z$8&gt;Reprogramaciones!$E$21))&gt;0),"Avance después del fin de la obra: registra una reprogramación por atraso","OK"))))))))))))))))</f>
        <v/>
      </c>
      <c r="AM261" s="40" t="str">
        <f aca="false">IF(OR(OR(NOT(AND(ISNUMBER(E261),ISNUMBER(F261))),$J$2=""),1&gt;MAX(1,Reprogramaciones!$U$15)),"",IF(Reprogramaciones!K$12&gt;=7,"",IF(OR(BT261-N(0)&gt;0.05,N(Q261)&gt;0),ROUNDDOWN(ROUND(BT261,6),0)&amp;"%"&amp;IF(CJ261="",""," / "&amp;CJ261&amp;"%"),IF(AND(N(0)&gt;=99.95,CJ261&lt;&gt;"",N(CJ261)&lt;100),"Pend. "&amp;CJ261&amp;"%",""))))</f>
        <v/>
      </c>
      <c r="AN261" s="40" t="str">
        <f aca="false">IF(OR(OR(NOT(AND(ISNUMBER(E261),ISNUMBER(F261))),$J$2=""),2&gt;MAX(1,Reprogramaciones!$U$15)),"",IF(Reprogramaciones!L$12&gt;=7,"",IF(OR(BU261-N(BT261)&gt;0.05,N(R261)&gt;0),ROUNDDOWN(ROUND(BU261,6),0)&amp;"%"&amp;IF(CK261="",""," / "&amp;CK261&amp;"%"),IF(AND(N(BT261)&gt;=99.95,CK261&lt;&gt;"",N(CK261)&lt;100),"Pend. "&amp;CK261&amp;"%",""))))</f>
        <v/>
      </c>
      <c r="AO261" s="40" t="str">
        <f aca="false">IF(OR(OR(NOT(AND(ISNUMBER(E261),ISNUMBER(F261))),$J$2=""),3&gt;MAX(1,Reprogramaciones!$U$15)),"",IF(Reprogramaciones!M$12&gt;=7,"",IF(OR(BV261-N(BU261)&gt;0.05,N(S261)&gt;0),ROUNDDOWN(ROUND(BV261,6),0)&amp;"%"&amp;IF(CL261="",""," / "&amp;CL261&amp;"%"),IF(AND(N(BU261)&gt;=99.95,CL261&lt;&gt;"",N(CL261)&lt;100),"Pend. "&amp;CL261&amp;"%",""))))</f>
        <v/>
      </c>
      <c r="AP261" s="40" t="str">
        <f aca="false">IF(OR(OR(NOT(AND(ISNUMBER(E261),ISNUMBER(F261))),$J$2=""),4&gt;MAX(1,Reprogramaciones!$U$15)),"",IF(Reprogramaciones!N$12&gt;=7,"",IF(OR(BW261-N(BV261)&gt;0.05,N(T261)&gt;0),ROUNDDOWN(ROUND(BW261,6),0)&amp;"%"&amp;IF(CM261="",""," / "&amp;CM261&amp;"%"),IF(AND(N(BV261)&gt;=99.95,CM261&lt;&gt;"",N(CM261)&lt;100),"Pend. "&amp;CM261&amp;"%",""))))</f>
        <v/>
      </c>
      <c r="AQ261" s="40" t="str">
        <f aca="false">IF(OR(OR(NOT(AND(ISNUMBER(E261),ISNUMBER(F261))),$J$2=""),5&gt;MAX(1,Reprogramaciones!$U$15)),"",IF(Reprogramaciones!O$12&gt;=7,"",IF(OR(BX261-N(BW261)&gt;0.05,N(U261)&gt;0),ROUNDDOWN(ROUND(BX261,6),0)&amp;"%"&amp;IF(CN261="",""," / "&amp;CN261&amp;"%"),IF(AND(N(BW261)&gt;=99.95,CN261&lt;&gt;"",N(CN261)&lt;100),"Pend. "&amp;CN261&amp;"%",""))))</f>
        <v/>
      </c>
      <c r="AR261" s="40" t="str">
        <f aca="false">IF(OR(OR(NOT(AND(ISNUMBER(E261),ISNUMBER(F261))),$J$2=""),6&gt;MAX(1,Reprogramaciones!$U$15)),"",IF(Reprogramaciones!P$12&gt;=7,"",IF(OR(BY261-N(BX261)&gt;0.05,N(V261)&gt;0),ROUNDDOWN(ROUND(BY261,6),0)&amp;"%"&amp;IF(CO261="",""," / "&amp;CO261&amp;"%"),IF(AND(N(BX261)&gt;=99.95,CO261&lt;&gt;"",N(CO261)&lt;100),"Pend. "&amp;CO261&amp;"%",""))))</f>
        <v/>
      </c>
      <c r="AS261" s="40" t="str">
        <f aca="false">IF(OR(OR(NOT(AND(ISNUMBER(E261),ISNUMBER(F261))),$J$2=""),7&gt;MAX(1,Reprogramaciones!$U$15)),"",IF(Reprogramaciones!Q$12&gt;=7,"",IF(OR(BZ261-N(BY261)&gt;0.05,N(W261)&gt;0),ROUNDDOWN(ROUND(BZ261,6),0)&amp;"%"&amp;IF(CP261="",""," / "&amp;CP261&amp;"%"),IF(AND(N(BY261)&gt;=99.95,CP261&lt;&gt;"",N(CP261)&lt;100),"Pend. "&amp;CP261&amp;"%",""))))</f>
        <v/>
      </c>
      <c r="AT261" s="40" t="str">
        <f aca="false">IF(OR(OR(NOT(AND(ISNUMBER(E261),ISNUMBER(F261))),$J$2=""),8&gt;MAX(1,Reprogramaciones!$U$15)),"",IF(Reprogramaciones!R$12&gt;=7,"",IF(OR(CA261-N(BZ261)&gt;0.05,N(X261)&gt;0),ROUNDDOWN(ROUND(CA261,6),0)&amp;"%"&amp;IF(CQ261="",""," / "&amp;CQ261&amp;"%"),IF(AND(N(BZ261)&gt;=99.95,CQ261&lt;&gt;"",N(CQ261)&lt;100),"Pend. "&amp;CQ261&amp;"%",""))))</f>
        <v/>
      </c>
      <c r="AU261" s="40" t="str">
        <f aca="false">IF(OR(OR(NOT(AND(ISNUMBER(E261),ISNUMBER(F261))),$J$2=""),9&gt;MAX(1,Reprogramaciones!$U$15)),"",IF(Reprogramaciones!S$12&gt;=7,"",IF(OR(CB261-N(CA261)&gt;0.05,N(Y261)&gt;0),ROUNDDOWN(ROUND(CB261,6),0)&amp;"%"&amp;IF(CR261="",""," / "&amp;CR261&amp;"%"),IF(AND(N(CA261)&gt;=99.95,CR261&lt;&gt;"",N(CR261)&lt;100),"Pend. "&amp;CR261&amp;"%",""))))</f>
        <v/>
      </c>
      <c r="AV261" s="40" t="str">
        <f aca="false">IF(OR(OR(NOT(AND(ISNUMBER(E261),ISNUMBER(F261))),$J$2=""),10&gt;MAX(1,Reprogramaciones!$U$15)),"",IF(Reprogramaciones!T$12&gt;=7,"",IF(OR(CC261-N(CB261)&gt;0.05,N(Z261)&gt;0),ROUNDDOWN(ROUND(CC261,6),0)&amp;"%"&amp;IF(CS261="",""," / "&amp;CS261&amp;"%"),IF(AND(N(CB261)&gt;=99.95,CS261&lt;&gt;"",N(CS261)&lt;100),"Pend. "&amp;CS261&amp;"%",""))))</f>
        <v/>
      </c>
      <c r="AW261" s="40" t="str">
        <f aca="false">IF(OR(OR(NOT(AND(ISNUMBER(E261),ISNUMBER(F261))),$J$2=""),11&gt;MAX(1,Reprogramaciones!$U$15)),"",IF(Reprogramaciones!U$12&gt;=7,"",IF(OR(CD261-N(CC261)&gt;0.05,N(AA261)&gt;0),ROUNDDOWN(ROUND(CD261,6),0)&amp;"%"&amp;IF(CT261="",""," / "&amp;CT261&amp;"%"),IF(AND(N(CC261)&gt;=99.95,CT261&lt;&gt;"",N(CT261)&lt;100),"Pend. "&amp;CT261&amp;"%",""))))</f>
        <v/>
      </c>
      <c r="AX261" s="40" t="str">
        <f aca="false">IF(OR(OR(NOT(AND(ISNUMBER(E261),ISNUMBER(F261))),$J$2=""),12&gt;MAX(1,Reprogramaciones!$U$15)),"",IF(Reprogramaciones!V$12&gt;=7,"",IF(OR(CE261-N(CD261)&gt;0.05,N(AB261)&gt;0),ROUNDDOWN(ROUND(CE261,6),0)&amp;"%"&amp;IF(CU261="",""," / "&amp;CU261&amp;"%"),IF(AND(N(CD261)&gt;=99.95,CU261&lt;&gt;"",N(CU261)&lt;100),"Pend. "&amp;CU261&amp;"%",""))))</f>
        <v/>
      </c>
      <c r="AY261" s="40" t="str">
        <f aca="false">IF(OR(OR(NOT(AND(ISNUMBER(E261),ISNUMBER(F261))),$J$2=""),13&gt;MAX(1,Reprogramaciones!$U$15)),"",IF(Reprogramaciones!W$12&gt;=7,"",IF(OR(CF261-N(CE261)&gt;0.05,N(AC261)&gt;0),ROUNDDOWN(ROUND(CF261,6),0)&amp;"%"&amp;IF(CV261="",""," / "&amp;CV261&amp;"%"),IF(AND(N(CE261)&gt;=99.95,CV261&lt;&gt;"",N(CV261)&lt;100),"Pend. "&amp;CV261&amp;"%",""))))</f>
        <v/>
      </c>
      <c r="AZ261" s="40" t="str">
        <f aca="false">IF(OR(OR(NOT(AND(ISNUMBER(E261),ISNUMBER(F261))),$J$2=""),14&gt;MAX(1,Reprogramaciones!$U$15)),"",IF(Reprogramaciones!X$12&gt;=7,"",IF(OR(CG261-N(CF261)&gt;0.05,N(AD261)&gt;0),ROUNDDOWN(ROUND(CG261,6),0)&amp;"%"&amp;IF(CW261="",""," / "&amp;CW261&amp;"%"),IF(AND(N(CF261)&gt;=99.95,CW261&lt;&gt;"",N(CW261)&lt;100),"Pend. "&amp;CW261&amp;"%",""))))</f>
        <v/>
      </c>
      <c r="BA261" s="40" t="str">
        <f aca="false">IF(OR(OR(NOT(AND(ISNUMBER(E261),ISNUMBER(F261))),$J$2=""),15&gt;MAX(1,Reprogramaciones!$U$15)),"",IF(Reprogramaciones!Y$12&gt;=7,"",IF(OR(CH261-N(CG261)&gt;0.05,N(AE261)&gt;0),ROUNDDOWN(ROUND(CH261,6),0)&amp;"%"&amp;IF(CX261="",""," / "&amp;CX261&amp;"%"),IF(AND(N(CG261)&gt;=99.95,CX261&lt;&gt;"",N(CX261)&lt;100),"Pend. "&amp;CX261&amp;"%",""))))</f>
        <v/>
      </c>
      <c r="BB261" s="40" t="str">
        <f aca="false">IF(OR(OR(NOT(AND(ISNUMBER(E261),ISNUMBER(F261))),$J$2=""),16&gt;MAX(1,Reprogramaciones!$U$15)),"",IF(Reprogramaciones!Z$12&gt;=7,"",IF(OR(CI261-N(CH261)&gt;0.05,N(AF261)&gt;0),ROUNDDOWN(ROUND(CI261,6),0)&amp;"%"&amp;IF(CY261="",""," / "&amp;CY261&amp;"%"),IF(AND(N(CH261)&gt;=99.95,CY261&lt;&gt;"",N(CY261)&lt;100),"Pend. "&amp;CY261&amp;"%",""))))</f>
        <v/>
      </c>
      <c r="BC261" s="31" t="n">
        <f aca="false">IF(AND(ISNUMBER(E261),ISNUMBER(F261)),MAX(1,NETWORKDAYS.INTL(E261,F261,11)),0)</f>
        <v>0</v>
      </c>
      <c r="BD261" s="1" t="str">
        <f aca="false">IF(OR(NOT(AND(ISNUMBER(E261),ISNUMBER(F261))),$J$2=""),"",MIN(100,ROUND(SUM($G261:G261),1)))</f>
        <v/>
      </c>
      <c r="BE261" s="1" t="str">
        <f aca="false">IF(OR(NOT(AND(ISNUMBER(E261),ISNUMBER(F261))),$J$2=""),"",MIN(100,ROUND(SUM($G261:H261),1)))</f>
        <v/>
      </c>
      <c r="BF261" s="1" t="str">
        <f aca="false">IF(OR(NOT(AND(ISNUMBER(E261),ISNUMBER(F261))),$J$2=""),"",MIN(100,ROUND(SUM($G261:I261),1)))</f>
        <v/>
      </c>
      <c r="BG261" s="1" t="str">
        <f aca="false">IF(OR(NOT(AND(ISNUMBER(E261),ISNUMBER(F261))),$J$2=""),"",MIN(100,ROUND(SUM($G261:J261),1)))</f>
        <v/>
      </c>
      <c r="BH261" s="1" t="str">
        <f aca="false">IF(OR(NOT(AND(ISNUMBER(E261),ISNUMBER(F261))),$J$2=""),"",MIN(100,ROUND(SUM($G261:K261),1)))</f>
        <v/>
      </c>
      <c r="BI261" s="1" t="str">
        <f aca="false">IF(OR(NOT(AND(ISNUMBER(E261),ISNUMBER(F261))),$J$2=""),"",MIN(100,ROUND(SUM($G261:L261),1)))</f>
        <v/>
      </c>
      <c r="BJ261" s="1" t="str">
        <f aca="false">IF(OR(NOT(AND(ISNUMBER(E261),ISNUMBER(F261))),$J$2=""),"",MIN(100,ROUND(SUM($G261:M261),1)))</f>
        <v/>
      </c>
      <c r="BK261" s="1" t="str">
        <f aca="false">IF(OR(NOT(AND(ISNUMBER(E261),ISNUMBER(F261))),$J$2=""),"",MIN(100,ROUND(SUM($G261:N261),1)))</f>
        <v/>
      </c>
      <c r="BL261" s="1" t="str">
        <f aca="false">IF(OR(NOT(AND(ISNUMBER(E261),ISNUMBER(F261))),$J$2=""),"",MIN(100,ROUND(SUM($G261:O261),1)))</f>
        <v/>
      </c>
      <c r="BM261" s="1" t="str">
        <f aca="false">IF(OR(NOT(AND(ISNUMBER(E261),ISNUMBER(F261))),$J$2=""),"",MIN(100,ROUND(SUM($G261:P261),1)))</f>
        <v/>
      </c>
      <c r="BN261" s="1" t="str">
        <f aca="false">IF(OR(NOT(AND(ISNUMBER(E261),ISNUMBER(F261))),$J$2=""),"",MIN(100,ROUND(SUM($G261:P261),1)))</f>
        <v/>
      </c>
      <c r="BO261" s="1" t="str">
        <f aca="false">IF(OR(NOT(AND(ISNUMBER(E261),ISNUMBER(F261))),$J$2=""),"",MIN(100,ROUND(SUM($G261:P261),1)))</f>
        <v/>
      </c>
      <c r="BP261" s="1" t="str">
        <f aca="false">IF(OR(NOT(AND(ISNUMBER(E261),ISNUMBER(F261))),$J$2=""),"",MIN(100,ROUND(SUM($G261:P261),1)))</f>
        <v/>
      </c>
      <c r="BQ261" s="1" t="str">
        <f aca="false">IF(OR(NOT(AND(ISNUMBER(E261),ISNUMBER(F261))),$J$2=""),"",MIN(100,ROUND(SUM($G261:P261),1)))</f>
        <v/>
      </c>
      <c r="BR261" s="1" t="str">
        <f aca="false">IF(OR(NOT(AND(ISNUMBER(E261),ISNUMBER(F261))),$J$2=""),"",MIN(100,ROUND(SUM($G261:P261),1)))</f>
        <v/>
      </c>
      <c r="BS261" s="1" t="str">
        <f aca="false">IF(OR(NOT(AND(ISNUMBER(E261),ISNUMBER(F261))),$J$2=""),"",MIN(100,ROUND(SUM($G261:P261),1)))</f>
        <v/>
      </c>
      <c r="BT261" s="1" t="str">
        <f aca="false">IF(OR(NOT(AND(ISNUMBER(E261),ISNUMBER(F261))),$J$2=""),"",IF(Reprogramaciones!K$13&lt;Reprogramaciones!$T$15,0,IF(Reprogramaciones!K$14&gt;10,MIN(100,SUM($G261:$P261)),MIN(100,SUMPRODUCT((COLUMN($G261:$P261)-COLUMN($G261)+1&lt;Reprogramaciones!K$14)*$G261:$P261)+N(INDEX($G261:$P261,1,Reprogramaciones!K$14))*IF(Reprogramaciones!K$13&gt;=(Reprogramaciones!$T$15+7*(Reprogramaciones!K$14-1))+6,1,IF(MAX(0,NETWORKDAYS.INTL(MAX(E261,(Reprogramaciones!$T$15+7*(Reprogramaciones!K$14-1))),MIN(F261,(Reprogramaciones!$T$15+7*(Reprogramaciones!K$14-1))+6),11))=0,0,MAX(0,NETWORKDAYS.INTL(MAX(E261,(Reprogramaciones!$T$15+7*(Reprogramaciones!K$14-1))),MIN(F261,Reprogramaciones!K$13),11))/MAX(0,NETWORKDAYS.INTL(MAX(E261,(Reprogramaciones!$T$15+7*(Reprogramaciones!K$14-1))),MIN(F261,(Reprogramaciones!$T$15+7*(Reprogramaciones!K$14-1))+6),11))))))))</f>
        <v/>
      </c>
      <c r="BU261" s="1" t="str">
        <f aca="false">IF(OR(NOT(AND(ISNUMBER(E261),ISNUMBER(F261))),$J$2=""),"",IF(Reprogramaciones!L$13&lt;Reprogramaciones!$T$15,0,IF(Reprogramaciones!L$14&gt;10,MIN(100,SUM($G261:$P261)),MIN(100,SUMPRODUCT((COLUMN($G261:$P261)-COLUMN($G261)+1&lt;Reprogramaciones!L$14)*$G261:$P261)+N(INDEX($G261:$P261,1,Reprogramaciones!L$14))*IF(Reprogramaciones!L$13&gt;=(Reprogramaciones!$T$15+7*(Reprogramaciones!L$14-1))+6,1,IF(MAX(0,NETWORKDAYS.INTL(MAX(E261,(Reprogramaciones!$T$15+7*(Reprogramaciones!L$14-1))),MIN(F261,(Reprogramaciones!$T$15+7*(Reprogramaciones!L$14-1))+6),11))=0,0,MAX(0,NETWORKDAYS.INTL(MAX(E261,(Reprogramaciones!$T$15+7*(Reprogramaciones!L$14-1))),MIN(F261,Reprogramaciones!L$13),11))/MAX(0,NETWORKDAYS.INTL(MAX(E261,(Reprogramaciones!$T$15+7*(Reprogramaciones!L$14-1))),MIN(F261,(Reprogramaciones!$T$15+7*(Reprogramaciones!L$14-1))+6),11))))))))</f>
        <v/>
      </c>
      <c r="BV261" s="1" t="str">
        <f aca="false">IF(OR(NOT(AND(ISNUMBER(E261),ISNUMBER(F261))),$J$2=""),"",IF(Reprogramaciones!M$13&lt;Reprogramaciones!$T$15,0,IF(Reprogramaciones!M$14&gt;10,MIN(100,SUM($G261:$P261)),MIN(100,SUMPRODUCT((COLUMN($G261:$P261)-COLUMN($G261)+1&lt;Reprogramaciones!M$14)*$G261:$P261)+N(INDEX($G261:$P261,1,Reprogramaciones!M$14))*IF(Reprogramaciones!M$13&gt;=(Reprogramaciones!$T$15+7*(Reprogramaciones!M$14-1))+6,1,IF(MAX(0,NETWORKDAYS.INTL(MAX(E261,(Reprogramaciones!$T$15+7*(Reprogramaciones!M$14-1))),MIN(F261,(Reprogramaciones!$T$15+7*(Reprogramaciones!M$14-1))+6),11))=0,0,MAX(0,NETWORKDAYS.INTL(MAX(E261,(Reprogramaciones!$T$15+7*(Reprogramaciones!M$14-1))),MIN(F261,Reprogramaciones!M$13),11))/MAX(0,NETWORKDAYS.INTL(MAX(E261,(Reprogramaciones!$T$15+7*(Reprogramaciones!M$14-1))),MIN(F261,(Reprogramaciones!$T$15+7*(Reprogramaciones!M$14-1))+6),11))))))))</f>
        <v/>
      </c>
      <c r="BW261" s="1" t="str">
        <f aca="false">IF(OR(NOT(AND(ISNUMBER(E261),ISNUMBER(F261))),$J$2=""),"",IF(Reprogramaciones!N$13&lt;Reprogramaciones!$T$15,0,IF(Reprogramaciones!N$14&gt;10,MIN(100,SUM($G261:$P261)),MIN(100,SUMPRODUCT((COLUMN($G261:$P261)-COLUMN($G261)+1&lt;Reprogramaciones!N$14)*$G261:$P261)+N(INDEX($G261:$P261,1,Reprogramaciones!N$14))*IF(Reprogramaciones!N$13&gt;=(Reprogramaciones!$T$15+7*(Reprogramaciones!N$14-1))+6,1,IF(MAX(0,NETWORKDAYS.INTL(MAX(E261,(Reprogramaciones!$T$15+7*(Reprogramaciones!N$14-1))),MIN(F261,(Reprogramaciones!$T$15+7*(Reprogramaciones!N$14-1))+6),11))=0,0,MAX(0,NETWORKDAYS.INTL(MAX(E261,(Reprogramaciones!$T$15+7*(Reprogramaciones!N$14-1))),MIN(F261,Reprogramaciones!N$13),11))/MAX(0,NETWORKDAYS.INTL(MAX(E261,(Reprogramaciones!$T$15+7*(Reprogramaciones!N$14-1))),MIN(F261,(Reprogramaciones!$T$15+7*(Reprogramaciones!N$14-1))+6),11))))))))</f>
        <v/>
      </c>
      <c r="BX261" s="1" t="str">
        <f aca="false">IF(OR(NOT(AND(ISNUMBER(E261),ISNUMBER(F261))),$J$2=""),"",IF(Reprogramaciones!O$13&lt;Reprogramaciones!$T$15,0,IF(Reprogramaciones!O$14&gt;10,MIN(100,SUM($G261:$P261)),MIN(100,SUMPRODUCT((COLUMN($G261:$P261)-COLUMN($G261)+1&lt;Reprogramaciones!O$14)*$G261:$P261)+N(INDEX($G261:$P261,1,Reprogramaciones!O$14))*IF(Reprogramaciones!O$13&gt;=(Reprogramaciones!$T$15+7*(Reprogramaciones!O$14-1))+6,1,IF(MAX(0,NETWORKDAYS.INTL(MAX(E261,(Reprogramaciones!$T$15+7*(Reprogramaciones!O$14-1))),MIN(F261,(Reprogramaciones!$T$15+7*(Reprogramaciones!O$14-1))+6),11))=0,0,MAX(0,NETWORKDAYS.INTL(MAX(E261,(Reprogramaciones!$T$15+7*(Reprogramaciones!O$14-1))),MIN(F261,Reprogramaciones!O$13),11))/MAX(0,NETWORKDAYS.INTL(MAX(E261,(Reprogramaciones!$T$15+7*(Reprogramaciones!O$14-1))),MIN(F261,(Reprogramaciones!$T$15+7*(Reprogramaciones!O$14-1))+6),11))))))))</f>
        <v/>
      </c>
      <c r="BY261" s="1" t="str">
        <f aca="false">IF(OR(NOT(AND(ISNUMBER(E261),ISNUMBER(F261))),$J$2=""),"",IF(Reprogramaciones!P$13&lt;Reprogramaciones!$T$15,0,IF(Reprogramaciones!P$14&gt;10,MIN(100,SUM($G261:$P261)),MIN(100,SUMPRODUCT((COLUMN($G261:$P261)-COLUMN($G261)+1&lt;Reprogramaciones!P$14)*$G261:$P261)+N(INDEX($G261:$P261,1,Reprogramaciones!P$14))*IF(Reprogramaciones!P$13&gt;=(Reprogramaciones!$T$15+7*(Reprogramaciones!P$14-1))+6,1,IF(MAX(0,NETWORKDAYS.INTL(MAX(E261,(Reprogramaciones!$T$15+7*(Reprogramaciones!P$14-1))),MIN(F261,(Reprogramaciones!$T$15+7*(Reprogramaciones!P$14-1))+6),11))=0,0,MAX(0,NETWORKDAYS.INTL(MAX(E261,(Reprogramaciones!$T$15+7*(Reprogramaciones!P$14-1))),MIN(F261,Reprogramaciones!P$13),11))/MAX(0,NETWORKDAYS.INTL(MAX(E261,(Reprogramaciones!$T$15+7*(Reprogramaciones!P$14-1))),MIN(F261,(Reprogramaciones!$T$15+7*(Reprogramaciones!P$14-1))+6),11))))))))</f>
        <v/>
      </c>
      <c r="BZ261" s="1" t="str">
        <f aca="false">IF(OR(NOT(AND(ISNUMBER(E261),ISNUMBER(F261))),$J$2=""),"",IF(Reprogramaciones!Q$13&lt;Reprogramaciones!$T$15,0,IF(Reprogramaciones!Q$14&gt;10,MIN(100,SUM($G261:$P261)),MIN(100,SUMPRODUCT((COLUMN($G261:$P261)-COLUMN($G261)+1&lt;Reprogramaciones!Q$14)*$G261:$P261)+N(INDEX($G261:$P261,1,Reprogramaciones!Q$14))*IF(Reprogramaciones!Q$13&gt;=(Reprogramaciones!$T$15+7*(Reprogramaciones!Q$14-1))+6,1,IF(MAX(0,NETWORKDAYS.INTL(MAX(E261,(Reprogramaciones!$T$15+7*(Reprogramaciones!Q$14-1))),MIN(F261,(Reprogramaciones!$T$15+7*(Reprogramaciones!Q$14-1))+6),11))=0,0,MAX(0,NETWORKDAYS.INTL(MAX(E261,(Reprogramaciones!$T$15+7*(Reprogramaciones!Q$14-1))),MIN(F261,Reprogramaciones!Q$13),11))/MAX(0,NETWORKDAYS.INTL(MAX(E261,(Reprogramaciones!$T$15+7*(Reprogramaciones!Q$14-1))),MIN(F261,(Reprogramaciones!$T$15+7*(Reprogramaciones!Q$14-1))+6),11))))))))</f>
        <v/>
      </c>
      <c r="CA261" s="1" t="str">
        <f aca="false">IF(OR(NOT(AND(ISNUMBER(E261),ISNUMBER(F261))),$J$2=""),"",IF(Reprogramaciones!R$13&lt;Reprogramaciones!$T$15,0,IF(Reprogramaciones!R$14&gt;10,MIN(100,SUM($G261:$P261)),MIN(100,SUMPRODUCT((COLUMN($G261:$P261)-COLUMN($G261)+1&lt;Reprogramaciones!R$14)*$G261:$P261)+N(INDEX($G261:$P261,1,Reprogramaciones!R$14))*IF(Reprogramaciones!R$13&gt;=(Reprogramaciones!$T$15+7*(Reprogramaciones!R$14-1))+6,1,IF(MAX(0,NETWORKDAYS.INTL(MAX(E261,(Reprogramaciones!$T$15+7*(Reprogramaciones!R$14-1))),MIN(F261,(Reprogramaciones!$T$15+7*(Reprogramaciones!R$14-1))+6),11))=0,0,MAX(0,NETWORKDAYS.INTL(MAX(E261,(Reprogramaciones!$T$15+7*(Reprogramaciones!R$14-1))),MIN(F261,Reprogramaciones!R$13),11))/MAX(0,NETWORKDAYS.INTL(MAX(E261,(Reprogramaciones!$T$15+7*(Reprogramaciones!R$14-1))),MIN(F261,(Reprogramaciones!$T$15+7*(Reprogramaciones!R$14-1))+6),11))))))))</f>
        <v/>
      </c>
      <c r="CB261" s="1" t="str">
        <f aca="false">IF(OR(NOT(AND(ISNUMBER(E261),ISNUMBER(F261))),$J$2=""),"",IF(Reprogramaciones!S$13&lt;Reprogramaciones!$T$15,0,IF(Reprogramaciones!S$14&gt;10,MIN(100,SUM($G261:$P261)),MIN(100,SUMPRODUCT((COLUMN($G261:$P261)-COLUMN($G261)+1&lt;Reprogramaciones!S$14)*$G261:$P261)+N(INDEX($G261:$P261,1,Reprogramaciones!S$14))*IF(Reprogramaciones!S$13&gt;=(Reprogramaciones!$T$15+7*(Reprogramaciones!S$14-1))+6,1,IF(MAX(0,NETWORKDAYS.INTL(MAX(E261,(Reprogramaciones!$T$15+7*(Reprogramaciones!S$14-1))),MIN(F261,(Reprogramaciones!$T$15+7*(Reprogramaciones!S$14-1))+6),11))=0,0,MAX(0,NETWORKDAYS.INTL(MAX(E261,(Reprogramaciones!$T$15+7*(Reprogramaciones!S$14-1))),MIN(F261,Reprogramaciones!S$13),11))/MAX(0,NETWORKDAYS.INTL(MAX(E261,(Reprogramaciones!$T$15+7*(Reprogramaciones!S$14-1))),MIN(F261,(Reprogramaciones!$T$15+7*(Reprogramaciones!S$14-1))+6),11))))))))</f>
        <v/>
      </c>
      <c r="CC261" s="1" t="str">
        <f aca="false">IF(OR(NOT(AND(ISNUMBER(E261),ISNUMBER(F261))),$J$2=""),"",IF(Reprogramaciones!T$13&lt;Reprogramaciones!$T$15,0,IF(Reprogramaciones!T$14&gt;10,MIN(100,SUM($G261:$P261)),MIN(100,SUMPRODUCT((COLUMN($G261:$P261)-COLUMN($G261)+1&lt;Reprogramaciones!T$14)*$G261:$P261)+N(INDEX($G261:$P261,1,Reprogramaciones!T$14))*IF(Reprogramaciones!T$13&gt;=(Reprogramaciones!$T$15+7*(Reprogramaciones!T$14-1))+6,1,IF(MAX(0,NETWORKDAYS.INTL(MAX(E261,(Reprogramaciones!$T$15+7*(Reprogramaciones!T$14-1))),MIN(F261,(Reprogramaciones!$T$15+7*(Reprogramaciones!T$14-1))+6),11))=0,0,MAX(0,NETWORKDAYS.INTL(MAX(E261,(Reprogramaciones!$T$15+7*(Reprogramaciones!T$14-1))),MIN(F261,Reprogramaciones!T$13),11))/MAX(0,NETWORKDAYS.INTL(MAX(E261,(Reprogramaciones!$T$15+7*(Reprogramaciones!T$14-1))),MIN(F261,(Reprogramaciones!$T$15+7*(Reprogramaciones!T$14-1))+6),11))))))))</f>
        <v/>
      </c>
      <c r="CD261" s="1" t="str">
        <f aca="false">IF(OR(NOT(AND(ISNUMBER(E261),ISNUMBER(F261))),$J$2=""),"",IF(Reprogramaciones!U$13&lt;Reprogramaciones!$T$15,0,IF(Reprogramaciones!U$14&gt;10,MIN(100,SUM($G261:$P261)),MIN(100,SUMPRODUCT((COLUMN($G261:$P261)-COLUMN($G261)+1&lt;Reprogramaciones!U$14)*$G261:$P261)+N(INDEX($G261:$P261,1,Reprogramaciones!U$14))*IF(Reprogramaciones!U$13&gt;=(Reprogramaciones!$T$15+7*(Reprogramaciones!U$14-1))+6,1,IF(MAX(0,NETWORKDAYS.INTL(MAX(E261,(Reprogramaciones!$T$15+7*(Reprogramaciones!U$14-1))),MIN(F261,(Reprogramaciones!$T$15+7*(Reprogramaciones!U$14-1))+6),11))=0,0,MAX(0,NETWORKDAYS.INTL(MAX(E261,(Reprogramaciones!$T$15+7*(Reprogramaciones!U$14-1))),MIN(F261,Reprogramaciones!U$13),11))/MAX(0,NETWORKDAYS.INTL(MAX(E261,(Reprogramaciones!$T$15+7*(Reprogramaciones!U$14-1))),MIN(F261,(Reprogramaciones!$T$15+7*(Reprogramaciones!U$14-1))+6),11))))))))</f>
        <v/>
      </c>
      <c r="CE261" s="1" t="str">
        <f aca="false">IF(OR(NOT(AND(ISNUMBER(E261),ISNUMBER(F261))),$J$2=""),"",IF(Reprogramaciones!V$13&lt;Reprogramaciones!$T$15,0,IF(Reprogramaciones!V$14&gt;10,MIN(100,SUM($G261:$P261)),MIN(100,SUMPRODUCT((COLUMN($G261:$P261)-COLUMN($G261)+1&lt;Reprogramaciones!V$14)*$G261:$P261)+N(INDEX($G261:$P261,1,Reprogramaciones!V$14))*IF(Reprogramaciones!V$13&gt;=(Reprogramaciones!$T$15+7*(Reprogramaciones!V$14-1))+6,1,IF(MAX(0,NETWORKDAYS.INTL(MAX(E261,(Reprogramaciones!$T$15+7*(Reprogramaciones!V$14-1))),MIN(F261,(Reprogramaciones!$T$15+7*(Reprogramaciones!V$14-1))+6),11))=0,0,MAX(0,NETWORKDAYS.INTL(MAX(E261,(Reprogramaciones!$T$15+7*(Reprogramaciones!V$14-1))),MIN(F261,Reprogramaciones!V$13),11))/MAX(0,NETWORKDAYS.INTL(MAX(E261,(Reprogramaciones!$T$15+7*(Reprogramaciones!V$14-1))),MIN(F261,(Reprogramaciones!$T$15+7*(Reprogramaciones!V$14-1))+6),11))))))))</f>
        <v/>
      </c>
      <c r="CF261" s="1" t="str">
        <f aca="false">IF(OR(NOT(AND(ISNUMBER(E261),ISNUMBER(F261))),$J$2=""),"",IF(Reprogramaciones!W$13&lt;Reprogramaciones!$T$15,0,IF(Reprogramaciones!W$14&gt;10,MIN(100,SUM($G261:$P261)),MIN(100,SUMPRODUCT((COLUMN($G261:$P261)-COLUMN($G261)+1&lt;Reprogramaciones!W$14)*$G261:$P261)+N(INDEX($G261:$P261,1,Reprogramaciones!W$14))*IF(Reprogramaciones!W$13&gt;=(Reprogramaciones!$T$15+7*(Reprogramaciones!W$14-1))+6,1,IF(MAX(0,NETWORKDAYS.INTL(MAX(E261,(Reprogramaciones!$T$15+7*(Reprogramaciones!W$14-1))),MIN(F261,(Reprogramaciones!$T$15+7*(Reprogramaciones!W$14-1))+6),11))=0,0,MAX(0,NETWORKDAYS.INTL(MAX(E261,(Reprogramaciones!$T$15+7*(Reprogramaciones!W$14-1))),MIN(F261,Reprogramaciones!W$13),11))/MAX(0,NETWORKDAYS.INTL(MAX(E261,(Reprogramaciones!$T$15+7*(Reprogramaciones!W$14-1))),MIN(F261,(Reprogramaciones!$T$15+7*(Reprogramaciones!W$14-1))+6),11))))))))</f>
        <v/>
      </c>
      <c r="CG261" s="1" t="str">
        <f aca="false">IF(OR(NOT(AND(ISNUMBER(E261),ISNUMBER(F261))),$J$2=""),"",IF(Reprogramaciones!X$13&lt;Reprogramaciones!$T$15,0,IF(Reprogramaciones!X$14&gt;10,MIN(100,SUM($G261:$P261)),MIN(100,SUMPRODUCT((COLUMN($G261:$P261)-COLUMN($G261)+1&lt;Reprogramaciones!X$14)*$G261:$P261)+N(INDEX($G261:$P261,1,Reprogramaciones!X$14))*IF(Reprogramaciones!X$13&gt;=(Reprogramaciones!$T$15+7*(Reprogramaciones!X$14-1))+6,1,IF(MAX(0,NETWORKDAYS.INTL(MAX(E261,(Reprogramaciones!$T$15+7*(Reprogramaciones!X$14-1))),MIN(F261,(Reprogramaciones!$T$15+7*(Reprogramaciones!X$14-1))+6),11))=0,0,MAX(0,NETWORKDAYS.INTL(MAX(E261,(Reprogramaciones!$T$15+7*(Reprogramaciones!X$14-1))),MIN(F261,Reprogramaciones!X$13),11))/MAX(0,NETWORKDAYS.INTL(MAX(E261,(Reprogramaciones!$T$15+7*(Reprogramaciones!X$14-1))),MIN(F261,(Reprogramaciones!$T$15+7*(Reprogramaciones!X$14-1))+6),11))))))))</f>
        <v/>
      </c>
      <c r="CH261" s="1" t="str">
        <f aca="false">IF(OR(NOT(AND(ISNUMBER(E261),ISNUMBER(F261))),$J$2=""),"",IF(Reprogramaciones!Y$13&lt;Reprogramaciones!$T$15,0,IF(Reprogramaciones!Y$14&gt;10,MIN(100,SUM($G261:$P261)),MIN(100,SUMPRODUCT((COLUMN($G261:$P261)-COLUMN($G261)+1&lt;Reprogramaciones!Y$14)*$G261:$P261)+N(INDEX($G261:$P261,1,Reprogramaciones!Y$14))*IF(Reprogramaciones!Y$13&gt;=(Reprogramaciones!$T$15+7*(Reprogramaciones!Y$14-1))+6,1,IF(MAX(0,NETWORKDAYS.INTL(MAX(E261,(Reprogramaciones!$T$15+7*(Reprogramaciones!Y$14-1))),MIN(F261,(Reprogramaciones!$T$15+7*(Reprogramaciones!Y$14-1))+6),11))=0,0,MAX(0,NETWORKDAYS.INTL(MAX(E261,(Reprogramaciones!$T$15+7*(Reprogramaciones!Y$14-1))),MIN(F261,Reprogramaciones!Y$13),11))/MAX(0,NETWORKDAYS.INTL(MAX(E261,(Reprogramaciones!$T$15+7*(Reprogramaciones!Y$14-1))),MIN(F261,(Reprogramaciones!$T$15+7*(Reprogramaciones!Y$14-1))+6),11))))))))</f>
        <v/>
      </c>
      <c r="CI261" s="1" t="str">
        <f aca="false">IF(OR(NOT(AND(ISNUMBER(E261),ISNUMBER(F261))),$J$2=""),"",IF(Reprogramaciones!Z$13&lt;Reprogramaciones!$T$15,0,IF(Reprogramaciones!Z$14&gt;10,MIN(100,SUM($G261:$P261)),MIN(100,SUMPRODUCT((COLUMN($G261:$P261)-COLUMN($G261)+1&lt;Reprogramaciones!Z$14)*$G261:$P261)+N(INDEX($G261:$P261,1,Reprogramaciones!Z$14))*IF(Reprogramaciones!Z$13&gt;=(Reprogramaciones!$T$15+7*(Reprogramaciones!Z$14-1))+6,1,IF(MAX(0,NETWORKDAYS.INTL(MAX(E261,(Reprogramaciones!$T$15+7*(Reprogramaciones!Z$14-1))),MIN(F261,(Reprogramaciones!$T$15+7*(Reprogramaciones!Z$14-1))+6),11))=0,0,MAX(0,NETWORKDAYS.INTL(MAX(E261,(Reprogramaciones!$T$15+7*(Reprogramaciones!Z$14-1))),MIN(F261,Reprogramaciones!Z$13),11))/MAX(0,NETWORKDAYS.INTL(MAX(E261,(Reprogramaciones!$T$15+7*(Reprogramaciones!Z$14-1))),MIN(F261,(Reprogramaciones!$T$15+7*(Reprogramaciones!Z$14-1))+6),11))))))))</f>
        <v/>
      </c>
      <c r="CJ261" s="1" t="str">
        <f aca="false">IF(OR(OR(NOT(AND(ISNUMBER(E261),ISNUMBER(F261))),$J$2=""),1&gt;Reprogramaciones!$K$16),"",IF(ROUND(SUM($Q261:Q261),1)&gt;=99.5,100,MIN(100,ROUND(SUM($Q261:Q261),1))))</f>
        <v/>
      </c>
      <c r="CK261" s="1" t="str">
        <f aca="false">IF(OR(OR(NOT(AND(ISNUMBER(E261),ISNUMBER(F261))),$J$2=""),2&gt;Reprogramaciones!$K$16),"",IF(ROUND(SUM($Q261:R261),1)&gt;=99.5,100,MIN(100,ROUND(SUM($Q261:R261),1))))</f>
        <v/>
      </c>
      <c r="CL261" s="1" t="str">
        <f aca="false">IF(OR(OR(NOT(AND(ISNUMBER(E261),ISNUMBER(F261))),$J$2=""),3&gt;Reprogramaciones!$K$16),"",IF(ROUND(SUM($Q261:S261),1)&gt;=99.5,100,MIN(100,ROUND(SUM($Q261:S261),1))))</f>
        <v/>
      </c>
      <c r="CM261" s="1" t="str">
        <f aca="false">IF(OR(OR(NOT(AND(ISNUMBER(E261),ISNUMBER(F261))),$J$2=""),4&gt;Reprogramaciones!$K$16),"",IF(ROUND(SUM($Q261:T261),1)&gt;=99.5,100,MIN(100,ROUND(SUM($Q261:T261),1))))</f>
        <v/>
      </c>
      <c r="CN261" s="1" t="str">
        <f aca="false">IF(OR(OR(NOT(AND(ISNUMBER(E261),ISNUMBER(F261))),$J$2=""),5&gt;Reprogramaciones!$K$16),"",IF(ROUND(SUM($Q261:U261),1)&gt;=99.5,100,MIN(100,ROUND(SUM($Q261:U261),1))))</f>
        <v/>
      </c>
      <c r="CO261" s="1" t="str">
        <f aca="false">IF(OR(OR(NOT(AND(ISNUMBER(E261),ISNUMBER(F261))),$J$2=""),6&gt;Reprogramaciones!$K$16),"",IF(ROUND(SUM($Q261:V261),1)&gt;=99.5,100,MIN(100,ROUND(SUM($Q261:V261),1))))</f>
        <v/>
      </c>
      <c r="CP261" s="1" t="str">
        <f aca="false">IF(OR(OR(NOT(AND(ISNUMBER(E261),ISNUMBER(F261))),$J$2=""),7&gt;Reprogramaciones!$K$16),"",IF(ROUND(SUM($Q261:W261),1)&gt;=99.5,100,MIN(100,ROUND(SUM($Q261:W261),1))))</f>
        <v/>
      </c>
      <c r="CQ261" s="1" t="str">
        <f aca="false">IF(OR(OR(NOT(AND(ISNUMBER(E261),ISNUMBER(F261))),$J$2=""),8&gt;Reprogramaciones!$K$16),"",IF(ROUND(SUM($Q261:X261),1)&gt;=99.5,100,MIN(100,ROUND(SUM($Q261:X261),1))))</f>
        <v/>
      </c>
      <c r="CR261" s="1" t="str">
        <f aca="false">IF(OR(OR(NOT(AND(ISNUMBER(E261),ISNUMBER(F261))),$J$2=""),9&gt;Reprogramaciones!$K$16),"",IF(ROUND(SUM($Q261:Y261),1)&gt;=99.5,100,MIN(100,ROUND(SUM($Q261:Y261),1))))</f>
        <v/>
      </c>
      <c r="CS261" s="1" t="str">
        <f aca="false">IF(OR(OR(NOT(AND(ISNUMBER(E261),ISNUMBER(F261))),$J$2=""),10&gt;Reprogramaciones!$K$16),"",IF(ROUND(SUM($Q261:Z261),1)&gt;=99.5,100,MIN(100,ROUND(SUM($Q261:Z261),1))))</f>
        <v/>
      </c>
      <c r="CT261" s="1" t="str">
        <f aca="false">IF(OR(OR(NOT(AND(ISNUMBER(E261),ISNUMBER(F261))),$J$2=""),11&gt;Reprogramaciones!$K$16),"",IF(ROUND(SUM($Q261:AA261),1)&gt;=99.5,100,MIN(100,ROUND(SUM($Q261:AA261),1))))</f>
        <v/>
      </c>
      <c r="CU261" s="1" t="str">
        <f aca="false">IF(OR(OR(NOT(AND(ISNUMBER(E261),ISNUMBER(F261))),$J$2=""),12&gt;Reprogramaciones!$K$16),"",IF(ROUND(SUM($Q261:AB261),1)&gt;=99.5,100,MIN(100,ROUND(SUM($Q261:AB261),1))))</f>
        <v/>
      </c>
      <c r="CV261" s="1" t="str">
        <f aca="false">IF(OR(OR(NOT(AND(ISNUMBER(E261),ISNUMBER(F261))),$J$2=""),13&gt;Reprogramaciones!$K$16),"",IF(ROUND(SUM($Q261:AC261),1)&gt;=99.5,100,MIN(100,ROUND(SUM($Q261:AC261),1))))</f>
        <v/>
      </c>
      <c r="CW261" s="1" t="str">
        <f aca="false">IF(OR(OR(NOT(AND(ISNUMBER(E261),ISNUMBER(F261))),$J$2=""),14&gt;Reprogramaciones!$K$16),"",IF(ROUND(SUM($Q261:AD261),1)&gt;=99.5,100,MIN(100,ROUND(SUM($Q261:AD261),1))))</f>
        <v/>
      </c>
      <c r="CX261" s="1" t="str">
        <f aca="false">IF(OR(OR(NOT(AND(ISNUMBER(E261),ISNUMBER(F261))),$J$2=""),15&gt;Reprogramaciones!$K$16),"",IF(ROUND(SUM($Q261:AE261),1)&gt;=99.5,100,MIN(100,ROUND(SUM($Q261:AE261),1))))</f>
        <v/>
      </c>
      <c r="CY261" s="1" t="str">
        <f aca="false">IF(OR(OR(NOT(AND(ISNUMBER(E261),ISNUMBER(F261))),$J$2=""),16&gt;Reprogramaciones!$K$16),"",IF(ROUND(SUM($Q261:AF261),1)&gt;=99.5,100,MIN(100,ROUND(SUM($Q261:AF261),1))))</f>
        <v/>
      </c>
      <c r="CZ261" s="1" t="str">
        <f aca="false">IF(D261&lt;&gt;"",D261,IF(B261&lt;&gt;"","Contractual",CZ260))</f>
        <v>Contractual</v>
      </c>
      <c r="DA261" s="1" t="str">
        <f aca="false">IF(OR(NOT(AND(ISNUMBER(E261),ISNUMBER(F261))),$J$2=""),"",IF(Reprogramaciones!$Q$15&lt;Reprogramaciones!$T$15,0,IF(Reprogramaciones!$S$15&gt;10,MIN(100,SUM($G261:$P261)),MIN(100,SUMPRODUCT((COLUMN($G261:$P261)-COLUMN($G261)+1&lt;Reprogramaciones!$S$15)*$G261:$P261)+N(INDEX($G261:$P261,1,Reprogramaciones!$S$15))*IF(Reprogramaciones!$Q$15&gt;=(Reprogramaciones!$T$15+7*(Reprogramaciones!$S$15-1))+6,1,IF(MAX(0,NETWORKDAYS.INTL(MAX(E261,(Reprogramaciones!$T$15+7*(Reprogramaciones!$S$15-1))),MIN(F261,(Reprogramaciones!$T$15+7*(Reprogramaciones!$S$15-1))+6),11))=0,0,MAX(0,NETWORKDAYS.INTL(MAX(E261,(Reprogramaciones!$T$15+7*(Reprogramaciones!$S$15-1))),MIN(F261,Reprogramaciones!$Q$15),11))/MAX(0,NETWORKDAYS.INTL(MAX(E261,(Reprogramaciones!$T$15+7*(Reprogramaciones!$S$15-1))),MIN(F261,(Reprogramaciones!$T$15+7*(Reprogramaciones!$S$15-1))+6),11))))))))</f>
        <v/>
      </c>
    </row>
    <row r="262" customFormat="false" ht="15" hidden="false" customHeight="false" outlineLevel="0" collapsed="false">
      <c r="A262" s="32"/>
      <c r="B262" s="33"/>
      <c r="C262" s="33"/>
      <c r="D262" s="34"/>
      <c r="E262" s="35"/>
      <c r="F262" s="35"/>
      <c r="G262" s="36" t="str">
        <f aca="false">IF(OR(NOT(AND(ISNUMBER(E262),ISNUMBER(F262))),$J$2=""),"",IF(Reprogramaciones!K$9&lt;E262,0,IF(NETWORKDAYS.INTL(E262,F262,11)=0,IF(Reprogramaciones!K$9&gt;=F262,100,0),ROUND(NETWORKDAYS.INTL(E262,MIN(F262,Reprogramaciones!K$9),11)/NETWORKDAYS.INTL(E262,F262,11)*100,1)))-0)</f>
        <v/>
      </c>
      <c r="H262" s="36" t="str">
        <f aca="false">IF(OR(NOT(AND(ISNUMBER(E262),ISNUMBER(F262))),$J$2=""),"",IF(Reprogramaciones!L$9&lt;E262,0,IF(NETWORKDAYS.INTL(E262,F262,11)=0,IF(Reprogramaciones!L$9&gt;=F262,100,0),ROUND(NETWORKDAYS.INTL(E262,MIN(F262,Reprogramaciones!L$9),11)/NETWORKDAYS.INTL(E262,F262,11)*100,1)))-IF(Reprogramaciones!K$9&lt;E262,0,IF(NETWORKDAYS.INTL(E262,F262,11)=0,IF(Reprogramaciones!K$9&gt;=F262,100,0),ROUND(NETWORKDAYS.INTL(E262,MIN(F262,Reprogramaciones!K$9),11)/NETWORKDAYS.INTL(E262,F262,11)*100,1))))</f>
        <v/>
      </c>
      <c r="I262" s="36" t="str">
        <f aca="false">IF(OR(NOT(AND(ISNUMBER(E262),ISNUMBER(F262))),$J$2=""),"",IF(Reprogramaciones!M$9&lt;E262,0,IF(NETWORKDAYS.INTL(E262,F262,11)=0,IF(Reprogramaciones!M$9&gt;=F262,100,0),ROUND(NETWORKDAYS.INTL(E262,MIN(F262,Reprogramaciones!M$9),11)/NETWORKDAYS.INTL(E262,F262,11)*100,1)))-IF(Reprogramaciones!L$9&lt;E262,0,IF(NETWORKDAYS.INTL(E262,F262,11)=0,IF(Reprogramaciones!L$9&gt;=F262,100,0),ROUND(NETWORKDAYS.INTL(E262,MIN(F262,Reprogramaciones!L$9),11)/NETWORKDAYS.INTL(E262,F262,11)*100,1))))</f>
        <v/>
      </c>
      <c r="J262" s="36" t="str">
        <f aca="false">IF(OR(NOT(AND(ISNUMBER(E262),ISNUMBER(F262))),$J$2=""),"",IF(Reprogramaciones!N$9&lt;E262,0,IF(NETWORKDAYS.INTL(E262,F262,11)=0,IF(Reprogramaciones!N$9&gt;=F262,100,0),ROUND(NETWORKDAYS.INTL(E262,MIN(F262,Reprogramaciones!N$9),11)/NETWORKDAYS.INTL(E262,F262,11)*100,1)))-IF(Reprogramaciones!M$9&lt;E262,0,IF(NETWORKDAYS.INTL(E262,F262,11)=0,IF(Reprogramaciones!M$9&gt;=F262,100,0),ROUND(NETWORKDAYS.INTL(E262,MIN(F262,Reprogramaciones!M$9),11)/NETWORKDAYS.INTL(E262,F262,11)*100,1))))</f>
        <v/>
      </c>
      <c r="K262" s="36" t="str">
        <f aca="false">IF(OR(NOT(AND(ISNUMBER(E262),ISNUMBER(F262))),$J$2=""),"",IF(Reprogramaciones!O$9&lt;E262,0,IF(NETWORKDAYS.INTL(E262,F262,11)=0,IF(Reprogramaciones!O$9&gt;=F262,100,0),ROUND(NETWORKDAYS.INTL(E262,MIN(F262,Reprogramaciones!O$9),11)/NETWORKDAYS.INTL(E262,F262,11)*100,1)))-IF(Reprogramaciones!N$9&lt;E262,0,IF(NETWORKDAYS.INTL(E262,F262,11)=0,IF(Reprogramaciones!N$9&gt;=F262,100,0),ROUND(NETWORKDAYS.INTL(E262,MIN(F262,Reprogramaciones!N$9),11)/NETWORKDAYS.INTL(E262,F262,11)*100,1))))</f>
        <v/>
      </c>
      <c r="L262" s="36" t="str">
        <f aca="false">IF(OR(NOT(AND(ISNUMBER(E262),ISNUMBER(F262))),$J$2=""),"",IF(Reprogramaciones!P$9&lt;E262,0,IF(NETWORKDAYS.INTL(E262,F262,11)=0,IF(Reprogramaciones!P$9&gt;=F262,100,0),ROUND(NETWORKDAYS.INTL(E262,MIN(F262,Reprogramaciones!P$9),11)/NETWORKDAYS.INTL(E262,F262,11)*100,1)))-IF(Reprogramaciones!O$9&lt;E262,0,IF(NETWORKDAYS.INTL(E262,F262,11)=0,IF(Reprogramaciones!O$9&gt;=F262,100,0),ROUND(NETWORKDAYS.INTL(E262,MIN(F262,Reprogramaciones!O$9),11)/NETWORKDAYS.INTL(E262,F262,11)*100,1))))</f>
        <v/>
      </c>
      <c r="M262" s="36" t="str">
        <f aca="false">IF(OR(NOT(AND(ISNUMBER(E262),ISNUMBER(F262))),$J$2=""),"",IF(Reprogramaciones!Q$9&lt;E262,0,IF(NETWORKDAYS.INTL(E262,F262,11)=0,IF(Reprogramaciones!Q$9&gt;=F262,100,0),ROUND(NETWORKDAYS.INTL(E262,MIN(F262,Reprogramaciones!Q$9),11)/NETWORKDAYS.INTL(E262,F262,11)*100,1)))-IF(Reprogramaciones!P$9&lt;E262,0,IF(NETWORKDAYS.INTL(E262,F262,11)=0,IF(Reprogramaciones!P$9&gt;=F262,100,0),ROUND(NETWORKDAYS.INTL(E262,MIN(F262,Reprogramaciones!P$9),11)/NETWORKDAYS.INTL(E262,F262,11)*100,1))))</f>
        <v/>
      </c>
      <c r="N262" s="36" t="str">
        <f aca="false">IF(OR(NOT(AND(ISNUMBER(E262),ISNUMBER(F262))),$J$2=""),"",IF(Reprogramaciones!R$9&lt;E262,0,IF(NETWORKDAYS.INTL(E262,F262,11)=0,IF(Reprogramaciones!R$9&gt;=F262,100,0),ROUND(NETWORKDAYS.INTL(E262,MIN(F262,Reprogramaciones!R$9),11)/NETWORKDAYS.INTL(E262,F262,11)*100,1)))-IF(Reprogramaciones!Q$9&lt;E262,0,IF(NETWORKDAYS.INTL(E262,F262,11)=0,IF(Reprogramaciones!Q$9&gt;=F262,100,0),ROUND(NETWORKDAYS.INTL(E262,MIN(F262,Reprogramaciones!Q$9),11)/NETWORKDAYS.INTL(E262,F262,11)*100,1))))</f>
        <v/>
      </c>
      <c r="O262" s="36" t="str">
        <f aca="false">IF(OR(NOT(AND(ISNUMBER(E262),ISNUMBER(F262))),$J$2=""),"",IF(Reprogramaciones!S$9&lt;E262,0,IF(NETWORKDAYS.INTL(E262,F262,11)=0,IF(Reprogramaciones!S$9&gt;=F262,100,0),ROUND(NETWORKDAYS.INTL(E262,MIN(F262,Reprogramaciones!S$9),11)/NETWORKDAYS.INTL(E262,F262,11)*100,1)))-IF(Reprogramaciones!R$9&lt;E262,0,IF(NETWORKDAYS.INTL(E262,F262,11)=0,IF(Reprogramaciones!R$9&gt;=F262,100,0),ROUND(NETWORKDAYS.INTL(E262,MIN(F262,Reprogramaciones!R$9),11)/NETWORKDAYS.INTL(E262,F262,11)*100,1))))</f>
        <v/>
      </c>
      <c r="P262" s="36" t="str">
        <f aca="false">IF(OR(NOT(AND(ISNUMBER(E262),ISNUMBER(F262))),$J$2=""),"",IF(Reprogramaciones!T$9&lt;E262,0,IF(NETWORKDAYS.INTL(E262,F262,11)=0,IF(Reprogramaciones!T$9&gt;=F262,100,0),ROUND(NETWORKDAYS.INTL(E262,MIN(F262,Reprogramaciones!T$9),11)/NETWORKDAYS.INTL(E262,F262,11)*100,1)))-IF(Reprogramaciones!S$9&lt;E262,0,IF(NETWORKDAYS.INTL(E262,F262,11)=0,IF(Reprogramaciones!S$9&gt;=F262,100,0),ROUND(NETWORKDAYS.INTL(E262,MIN(F262,Reprogramaciones!S$9),11)/NETWORKDAYS.INTL(E262,F262,11)*100,1))))</f>
        <v/>
      </c>
      <c r="Q262" s="37"/>
      <c r="R262" s="37"/>
      <c r="S262" s="37"/>
      <c r="T262" s="37"/>
      <c r="U262" s="37"/>
      <c r="V262" s="37"/>
      <c r="W262" s="37"/>
      <c r="X262" s="37"/>
      <c r="Y262" s="37"/>
      <c r="Z262" s="37"/>
      <c r="AA262" s="37"/>
      <c r="AB262" s="37"/>
      <c r="AC262" s="37"/>
      <c r="AD262" s="37"/>
      <c r="AE262" s="37"/>
      <c r="AF262" s="37"/>
      <c r="AG262" s="38" t="str">
        <f aca="false">IF(AND(ISNUMBER(E262),ISNUMBER(F262)),NETWORKDAYS.INTL(E262,F262,11),"")</f>
        <v/>
      </c>
      <c r="AH262" s="38" t="str">
        <f aca="false">IF(OR(NOT(AND(ISNUMBER(E262),ISNUMBER(F262))),$J$2=""),"",IF(Reprogramaciones!$P$15&lt;Reprogramaciones!$T$15,0,IF(Reprogramaciones!$R$15&gt;10,MIN(100,SUM($G262:$P262)),MIN(100,SUMPRODUCT((COLUMN($G262:$P262)-COLUMN($G262)+1&lt;Reprogramaciones!$R$15)*$G262:$P262)+N(INDEX($G262:$P262,1,Reprogramaciones!$R$15))*IF(Reprogramaciones!$P$15&gt;=(Reprogramaciones!$T$15+7*(Reprogramaciones!$R$15-1))+6,1,IF(MAX(0,NETWORKDAYS.INTL(MAX(E262,(Reprogramaciones!$T$15+7*(Reprogramaciones!$R$15-1))),MIN(F262,(Reprogramaciones!$T$15+7*(Reprogramaciones!$R$15-1))+6),11))=0,0,MAX(0,NETWORKDAYS.INTL(MAX(E262,(Reprogramaciones!$T$15+7*(Reprogramaciones!$R$15-1))),MIN(F262,Reprogramaciones!$P$15),11))/MAX(0,NETWORKDAYS.INTL(MAX(E262,(Reprogramaciones!$T$15+7*(Reprogramaciones!$R$15-1))),MIN(F262,(Reprogramaciones!$T$15+7*(Reprogramaciones!$R$15-1))+6),11))))))))</f>
        <v/>
      </c>
      <c r="AI262" s="38" t="str">
        <f aca="false">IF(COUNT($Q262:$AF262)=0,"",IF(ROUND(SUM($Q262:$AF262),1)&gt;=99.5,100,MIN(100,ROUND(SUM($Q262:$AF262),1))))</f>
        <v/>
      </c>
      <c r="AJ262" s="38" t="str">
        <f aca="false">IF(OR(AH262="",AI262=""),"",AI262-AH262)</f>
        <v/>
      </c>
      <c r="AK262" s="39" t="str">
        <f aca="true">IF(AH262="","",IF(OR(Ficha!$C$10="Suspendida",Ficha!$C$10="Cancelada"),Ficha!$C$10,IF(AND(AI262&lt;&gt;"",N(AI262)&gt;=100),"Completada",IF(AND(E262&gt;TODAY(),N(AI262)=0),"Por iniciar",IF(N(AI262)+0.5&lt;AH262,"Retrasada",IF(N(AI262)+0.5&lt;DA262,IF(Reprogramaciones!$K$15&gt;0,"Al día · Sem "&amp;Reprogramaciones!$K$15&amp;" en curso","Al día · en curso"),"A tiempo"))))))</f>
        <v/>
      </c>
      <c r="AL262" s="39" t="str">
        <f aca="true">IF(AND(A262="",AND(B262="",C262="",E262="",F262="",COUNT(Q262:AF262)=0)),"",IF(AND(B262="",C262="",E262="",F262="",COUNT(Q262:AF262)=0),"Falta la partida o subpartida",IF(AND(A262&lt;&gt;"",COUNTIF($A$6:$A$305,A262)&gt;1),"Ítem repetido",IF(AND(C262="",E262="",F262="",COUNT(Q262:AF262)=0),"Título de partida",IF(OR(E262="",F262=""),"Faltan fechas",IF(OR(ISTEXT(E262),ISTEXT(F262)),"Fecha escrita como texto: usa dd/mm/aaaa",IF(F262&lt;E262,"Fin antes del inicio",IF(IF($J$2="",FALSE(),OR(E262&lt;$J$2,F262&gt;Reprogramaciones!$T$15+69)),"Fuera de las 10 semanas",IF(ABS(SUM(G262:P262)-100)&gt;0.5,"La meta no suma 100%",IF(ROUND(SUM(Q262:AF262),1)&gt;100.5,"El avance pasa de 100%",IF(MIN(Q262:AF262)&lt;0,"Avance negativo",IF(COUNTA(Q262:AF262)&gt;COUNT(Q262:AF262),"Avance escrito como texto",IF(SUMPRODUCT((Q262:AF262&gt;0)*(Q262:AF262&lt;1))&gt;0,"Avance menor a 1: escribe 50, no 50%",IF(SUMPRODUCT(ISNUMBER(Q262:AF262)*(Reprogramaciones!$K$8:$Z$8&gt;TODAY()))&gt;0,"Avance en semana que aún no llega",IF(AND(N(Reprogramaciones!$E$21)&gt;0,F262&gt;Reprogramaciones!$E$21),"Pasa el fin de la obra: registra una reprogramación",IF(AND(N(Reprogramaciones!$E$21)&gt;0,SUMPRODUCT(ISNUMBER(Q262:AF262)*(Reprogramaciones!$K$8:$Z$8&gt;Reprogramaciones!$E$21))&gt;0),"Avance después del fin de la obra: registra una reprogramación por atraso","OK"))))))))))))))))</f>
        <v/>
      </c>
      <c r="AM262" s="40" t="str">
        <f aca="false">IF(OR(OR(NOT(AND(ISNUMBER(E262),ISNUMBER(F262))),$J$2=""),1&gt;MAX(1,Reprogramaciones!$U$15)),"",IF(Reprogramaciones!K$12&gt;=7,"",IF(OR(BT262-N(0)&gt;0.05,N(Q262)&gt;0),ROUNDDOWN(ROUND(BT262,6),0)&amp;"%"&amp;IF(CJ262="",""," / "&amp;CJ262&amp;"%"),IF(AND(N(0)&gt;=99.95,CJ262&lt;&gt;"",N(CJ262)&lt;100),"Pend. "&amp;CJ262&amp;"%",""))))</f>
        <v/>
      </c>
      <c r="AN262" s="40" t="str">
        <f aca="false">IF(OR(OR(NOT(AND(ISNUMBER(E262),ISNUMBER(F262))),$J$2=""),2&gt;MAX(1,Reprogramaciones!$U$15)),"",IF(Reprogramaciones!L$12&gt;=7,"",IF(OR(BU262-N(BT262)&gt;0.05,N(R262)&gt;0),ROUNDDOWN(ROUND(BU262,6),0)&amp;"%"&amp;IF(CK262="",""," / "&amp;CK262&amp;"%"),IF(AND(N(BT262)&gt;=99.95,CK262&lt;&gt;"",N(CK262)&lt;100),"Pend. "&amp;CK262&amp;"%",""))))</f>
        <v/>
      </c>
      <c r="AO262" s="40" t="str">
        <f aca="false">IF(OR(OR(NOT(AND(ISNUMBER(E262),ISNUMBER(F262))),$J$2=""),3&gt;MAX(1,Reprogramaciones!$U$15)),"",IF(Reprogramaciones!M$12&gt;=7,"",IF(OR(BV262-N(BU262)&gt;0.05,N(S262)&gt;0),ROUNDDOWN(ROUND(BV262,6),0)&amp;"%"&amp;IF(CL262="",""," / "&amp;CL262&amp;"%"),IF(AND(N(BU262)&gt;=99.95,CL262&lt;&gt;"",N(CL262)&lt;100),"Pend. "&amp;CL262&amp;"%",""))))</f>
        <v/>
      </c>
      <c r="AP262" s="40" t="str">
        <f aca="false">IF(OR(OR(NOT(AND(ISNUMBER(E262),ISNUMBER(F262))),$J$2=""),4&gt;MAX(1,Reprogramaciones!$U$15)),"",IF(Reprogramaciones!N$12&gt;=7,"",IF(OR(BW262-N(BV262)&gt;0.05,N(T262)&gt;0),ROUNDDOWN(ROUND(BW262,6),0)&amp;"%"&amp;IF(CM262="",""," / "&amp;CM262&amp;"%"),IF(AND(N(BV262)&gt;=99.95,CM262&lt;&gt;"",N(CM262)&lt;100),"Pend. "&amp;CM262&amp;"%",""))))</f>
        <v/>
      </c>
      <c r="AQ262" s="40" t="str">
        <f aca="false">IF(OR(OR(NOT(AND(ISNUMBER(E262),ISNUMBER(F262))),$J$2=""),5&gt;MAX(1,Reprogramaciones!$U$15)),"",IF(Reprogramaciones!O$12&gt;=7,"",IF(OR(BX262-N(BW262)&gt;0.05,N(U262)&gt;0),ROUNDDOWN(ROUND(BX262,6),0)&amp;"%"&amp;IF(CN262="",""," / "&amp;CN262&amp;"%"),IF(AND(N(BW262)&gt;=99.95,CN262&lt;&gt;"",N(CN262)&lt;100),"Pend. "&amp;CN262&amp;"%",""))))</f>
        <v/>
      </c>
      <c r="AR262" s="40" t="str">
        <f aca="false">IF(OR(OR(NOT(AND(ISNUMBER(E262),ISNUMBER(F262))),$J$2=""),6&gt;MAX(1,Reprogramaciones!$U$15)),"",IF(Reprogramaciones!P$12&gt;=7,"",IF(OR(BY262-N(BX262)&gt;0.05,N(V262)&gt;0),ROUNDDOWN(ROUND(BY262,6),0)&amp;"%"&amp;IF(CO262="",""," / "&amp;CO262&amp;"%"),IF(AND(N(BX262)&gt;=99.95,CO262&lt;&gt;"",N(CO262)&lt;100),"Pend. "&amp;CO262&amp;"%",""))))</f>
        <v/>
      </c>
      <c r="AS262" s="40" t="str">
        <f aca="false">IF(OR(OR(NOT(AND(ISNUMBER(E262),ISNUMBER(F262))),$J$2=""),7&gt;MAX(1,Reprogramaciones!$U$15)),"",IF(Reprogramaciones!Q$12&gt;=7,"",IF(OR(BZ262-N(BY262)&gt;0.05,N(W262)&gt;0),ROUNDDOWN(ROUND(BZ262,6),0)&amp;"%"&amp;IF(CP262="",""," / "&amp;CP262&amp;"%"),IF(AND(N(BY262)&gt;=99.95,CP262&lt;&gt;"",N(CP262)&lt;100),"Pend. "&amp;CP262&amp;"%",""))))</f>
        <v/>
      </c>
      <c r="AT262" s="40" t="str">
        <f aca="false">IF(OR(OR(NOT(AND(ISNUMBER(E262),ISNUMBER(F262))),$J$2=""),8&gt;MAX(1,Reprogramaciones!$U$15)),"",IF(Reprogramaciones!R$12&gt;=7,"",IF(OR(CA262-N(BZ262)&gt;0.05,N(X262)&gt;0),ROUNDDOWN(ROUND(CA262,6),0)&amp;"%"&amp;IF(CQ262="",""," / "&amp;CQ262&amp;"%"),IF(AND(N(BZ262)&gt;=99.95,CQ262&lt;&gt;"",N(CQ262)&lt;100),"Pend. "&amp;CQ262&amp;"%",""))))</f>
        <v/>
      </c>
      <c r="AU262" s="40" t="str">
        <f aca="false">IF(OR(OR(NOT(AND(ISNUMBER(E262),ISNUMBER(F262))),$J$2=""),9&gt;MAX(1,Reprogramaciones!$U$15)),"",IF(Reprogramaciones!S$12&gt;=7,"",IF(OR(CB262-N(CA262)&gt;0.05,N(Y262)&gt;0),ROUNDDOWN(ROUND(CB262,6),0)&amp;"%"&amp;IF(CR262="",""," / "&amp;CR262&amp;"%"),IF(AND(N(CA262)&gt;=99.95,CR262&lt;&gt;"",N(CR262)&lt;100),"Pend. "&amp;CR262&amp;"%",""))))</f>
        <v/>
      </c>
      <c r="AV262" s="40" t="str">
        <f aca="false">IF(OR(OR(NOT(AND(ISNUMBER(E262),ISNUMBER(F262))),$J$2=""),10&gt;MAX(1,Reprogramaciones!$U$15)),"",IF(Reprogramaciones!T$12&gt;=7,"",IF(OR(CC262-N(CB262)&gt;0.05,N(Z262)&gt;0),ROUNDDOWN(ROUND(CC262,6),0)&amp;"%"&amp;IF(CS262="",""," / "&amp;CS262&amp;"%"),IF(AND(N(CB262)&gt;=99.95,CS262&lt;&gt;"",N(CS262)&lt;100),"Pend. "&amp;CS262&amp;"%",""))))</f>
        <v/>
      </c>
      <c r="AW262" s="40" t="str">
        <f aca="false">IF(OR(OR(NOT(AND(ISNUMBER(E262),ISNUMBER(F262))),$J$2=""),11&gt;MAX(1,Reprogramaciones!$U$15)),"",IF(Reprogramaciones!U$12&gt;=7,"",IF(OR(CD262-N(CC262)&gt;0.05,N(AA262)&gt;0),ROUNDDOWN(ROUND(CD262,6),0)&amp;"%"&amp;IF(CT262="",""," / "&amp;CT262&amp;"%"),IF(AND(N(CC262)&gt;=99.95,CT262&lt;&gt;"",N(CT262)&lt;100),"Pend. "&amp;CT262&amp;"%",""))))</f>
        <v/>
      </c>
      <c r="AX262" s="40" t="str">
        <f aca="false">IF(OR(OR(NOT(AND(ISNUMBER(E262),ISNUMBER(F262))),$J$2=""),12&gt;MAX(1,Reprogramaciones!$U$15)),"",IF(Reprogramaciones!V$12&gt;=7,"",IF(OR(CE262-N(CD262)&gt;0.05,N(AB262)&gt;0),ROUNDDOWN(ROUND(CE262,6),0)&amp;"%"&amp;IF(CU262="",""," / "&amp;CU262&amp;"%"),IF(AND(N(CD262)&gt;=99.95,CU262&lt;&gt;"",N(CU262)&lt;100),"Pend. "&amp;CU262&amp;"%",""))))</f>
        <v/>
      </c>
      <c r="AY262" s="40" t="str">
        <f aca="false">IF(OR(OR(NOT(AND(ISNUMBER(E262),ISNUMBER(F262))),$J$2=""),13&gt;MAX(1,Reprogramaciones!$U$15)),"",IF(Reprogramaciones!W$12&gt;=7,"",IF(OR(CF262-N(CE262)&gt;0.05,N(AC262)&gt;0),ROUNDDOWN(ROUND(CF262,6),0)&amp;"%"&amp;IF(CV262="",""," / "&amp;CV262&amp;"%"),IF(AND(N(CE262)&gt;=99.95,CV262&lt;&gt;"",N(CV262)&lt;100),"Pend. "&amp;CV262&amp;"%",""))))</f>
        <v/>
      </c>
      <c r="AZ262" s="40" t="str">
        <f aca="false">IF(OR(OR(NOT(AND(ISNUMBER(E262),ISNUMBER(F262))),$J$2=""),14&gt;MAX(1,Reprogramaciones!$U$15)),"",IF(Reprogramaciones!X$12&gt;=7,"",IF(OR(CG262-N(CF262)&gt;0.05,N(AD262)&gt;0),ROUNDDOWN(ROUND(CG262,6),0)&amp;"%"&amp;IF(CW262="",""," / "&amp;CW262&amp;"%"),IF(AND(N(CF262)&gt;=99.95,CW262&lt;&gt;"",N(CW262)&lt;100),"Pend. "&amp;CW262&amp;"%",""))))</f>
        <v/>
      </c>
      <c r="BA262" s="40" t="str">
        <f aca="false">IF(OR(OR(NOT(AND(ISNUMBER(E262),ISNUMBER(F262))),$J$2=""),15&gt;MAX(1,Reprogramaciones!$U$15)),"",IF(Reprogramaciones!Y$12&gt;=7,"",IF(OR(CH262-N(CG262)&gt;0.05,N(AE262)&gt;0),ROUNDDOWN(ROUND(CH262,6),0)&amp;"%"&amp;IF(CX262="",""," / "&amp;CX262&amp;"%"),IF(AND(N(CG262)&gt;=99.95,CX262&lt;&gt;"",N(CX262)&lt;100),"Pend. "&amp;CX262&amp;"%",""))))</f>
        <v/>
      </c>
      <c r="BB262" s="40" t="str">
        <f aca="false">IF(OR(OR(NOT(AND(ISNUMBER(E262),ISNUMBER(F262))),$J$2=""),16&gt;MAX(1,Reprogramaciones!$U$15)),"",IF(Reprogramaciones!Z$12&gt;=7,"",IF(OR(CI262-N(CH262)&gt;0.05,N(AF262)&gt;0),ROUNDDOWN(ROUND(CI262,6),0)&amp;"%"&amp;IF(CY262="",""," / "&amp;CY262&amp;"%"),IF(AND(N(CH262)&gt;=99.95,CY262&lt;&gt;"",N(CY262)&lt;100),"Pend. "&amp;CY262&amp;"%",""))))</f>
        <v/>
      </c>
      <c r="BC262" s="31" t="n">
        <f aca="false">IF(AND(ISNUMBER(E262),ISNUMBER(F262)),MAX(1,NETWORKDAYS.INTL(E262,F262,11)),0)</f>
        <v>0</v>
      </c>
      <c r="BD262" s="1" t="str">
        <f aca="false">IF(OR(NOT(AND(ISNUMBER(E262),ISNUMBER(F262))),$J$2=""),"",MIN(100,ROUND(SUM($G262:G262),1)))</f>
        <v/>
      </c>
      <c r="BE262" s="1" t="str">
        <f aca="false">IF(OR(NOT(AND(ISNUMBER(E262),ISNUMBER(F262))),$J$2=""),"",MIN(100,ROUND(SUM($G262:H262),1)))</f>
        <v/>
      </c>
      <c r="BF262" s="1" t="str">
        <f aca="false">IF(OR(NOT(AND(ISNUMBER(E262),ISNUMBER(F262))),$J$2=""),"",MIN(100,ROUND(SUM($G262:I262),1)))</f>
        <v/>
      </c>
      <c r="BG262" s="1" t="str">
        <f aca="false">IF(OR(NOT(AND(ISNUMBER(E262),ISNUMBER(F262))),$J$2=""),"",MIN(100,ROUND(SUM($G262:J262),1)))</f>
        <v/>
      </c>
      <c r="BH262" s="1" t="str">
        <f aca="false">IF(OR(NOT(AND(ISNUMBER(E262),ISNUMBER(F262))),$J$2=""),"",MIN(100,ROUND(SUM($G262:K262),1)))</f>
        <v/>
      </c>
      <c r="BI262" s="1" t="str">
        <f aca="false">IF(OR(NOT(AND(ISNUMBER(E262),ISNUMBER(F262))),$J$2=""),"",MIN(100,ROUND(SUM($G262:L262),1)))</f>
        <v/>
      </c>
      <c r="BJ262" s="1" t="str">
        <f aca="false">IF(OR(NOT(AND(ISNUMBER(E262),ISNUMBER(F262))),$J$2=""),"",MIN(100,ROUND(SUM($G262:M262),1)))</f>
        <v/>
      </c>
      <c r="BK262" s="1" t="str">
        <f aca="false">IF(OR(NOT(AND(ISNUMBER(E262),ISNUMBER(F262))),$J$2=""),"",MIN(100,ROUND(SUM($G262:N262),1)))</f>
        <v/>
      </c>
      <c r="BL262" s="1" t="str">
        <f aca="false">IF(OR(NOT(AND(ISNUMBER(E262),ISNUMBER(F262))),$J$2=""),"",MIN(100,ROUND(SUM($G262:O262),1)))</f>
        <v/>
      </c>
      <c r="BM262" s="1" t="str">
        <f aca="false">IF(OR(NOT(AND(ISNUMBER(E262),ISNUMBER(F262))),$J$2=""),"",MIN(100,ROUND(SUM($G262:P262),1)))</f>
        <v/>
      </c>
      <c r="BN262" s="1" t="str">
        <f aca="false">IF(OR(NOT(AND(ISNUMBER(E262),ISNUMBER(F262))),$J$2=""),"",MIN(100,ROUND(SUM($G262:P262),1)))</f>
        <v/>
      </c>
      <c r="BO262" s="1" t="str">
        <f aca="false">IF(OR(NOT(AND(ISNUMBER(E262),ISNUMBER(F262))),$J$2=""),"",MIN(100,ROUND(SUM($G262:P262),1)))</f>
        <v/>
      </c>
      <c r="BP262" s="1" t="str">
        <f aca="false">IF(OR(NOT(AND(ISNUMBER(E262),ISNUMBER(F262))),$J$2=""),"",MIN(100,ROUND(SUM($G262:P262),1)))</f>
        <v/>
      </c>
      <c r="BQ262" s="1" t="str">
        <f aca="false">IF(OR(NOT(AND(ISNUMBER(E262),ISNUMBER(F262))),$J$2=""),"",MIN(100,ROUND(SUM($G262:P262),1)))</f>
        <v/>
      </c>
      <c r="BR262" s="1" t="str">
        <f aca="false">IF(OR(NOT(AND(ISNUMBER(E262),ISNUMBER(F262))),$J$2=""),"",MIN(100,ROUND(SUM($G262:P262),1)))</f>
        <v/>
      </c>
      <c r="BS262" s="1" t="str">
        <f aca="false">IF(OR(NOT(AND(ISNUMBER(E262),ISNUMBER(F262))),$J$2=""),"",MIN(100,ROUND(SUM($G262:P262),1)))</f>
        <v/>
      </c>
      <c r="BT262" s="1" t="str">
        <f aca="false">IF(OR(NOT(AND(ISNUMBER(E262),ISNUMBER(F262))),$J$2=""),"",IF(Reprogramaciones!K$13&lt;Reprogramaciones!$T$15,0,IF(Reprogramaciones!K$14&gt;10,MIN(100,SUM($G262:$P262)),MIN(100,SUMPRODUCT((COLUMN($G262:$P262)-COLUMN($G262)+1&lt;Reprogramaciones!K$14)*$G262:$P262)+N(INDEX($G262:$P262,1,Reprogramaciones!K$14))*IF(Reprogramaciones!K$13&gt;=(Reprogramaciones!$T$15+7*(Reprogramaciones!K$14-1))+6,1,IF(MAX(0,NETWORKDAYS.INTL(MAX(E262,(Reprogramaciones!$T$15+7*(Reprogramaciones!K$14-1))),MIN(F262,(Reprogramaciones!$T$15+7*(Reprogramaciones!K$14-1))+6),11))=0,0,MAX(0,NETWORKDAYS.INTL(MAX(E262,(Reprogramaciones!$T$15+7*(Reprogramaciones!K$14-1))),MIN(F262,Reprogramaciones!K$13),11))/MAX(0,NETWORKDAYS.INTL(MAX(E262,(Reprogramaciones!$T$15+7*(Reprogramaciones!K$14-1))),MIN(F262,(Reprogramaciones!$T$15+7*(Reprogramaciones!K$14-1))+6),11))))))))</f>
        <v/>
      </c>
      <c r="BU262" s="1" t="str">
        <f aca="false">IF(OR(NOT(AND(ISNUMBER(E262),ISNUMBER(F262))),$J$2=""),"",IF(Reprogramaciones!L$13&lt;Reprogramaciones!$T$15,0,IF(Reprogramaciones!L$14&gt;10,MIN(100,SUM($G262:$P262)),MIN(100,SUMPRODUCT((COLUMN($G262:$P262)-COLUMN($G262)+1&lt;Reprogramaciones!L$14)*$G262:$P262)+N(INDEX($G262:$P262,1,Reprogramaciones!L$14))*IF(Reprogramaciones!L$13&gt;=(Reprogramaciones!$T$15+7*(Reprogramaciones!L$14-1))+6,1,IF(MAX(0,NETWORKDAYS.INTL(MAX(E262,(Reprogramaciones!$T$15+7*(Reprogramaciones!L$14-1))),MIN(F262,(Reprogramaciones!$T$15+7*(Reprogramaciones!L$14-1))+6),11))=0,0,MAX(0,NETWORKDAYS.INTL(MAX(E262,(Reprogramaciones!$T$15+7*(Reprogramaciones!L$14-1))),MIN(F262,Reprogramaciones!L$13),11))/MAX(0,NETWORKDAYS.INTL(MAX(E262,(Reprogramaciones!$T$15+7*(Reprogramaciones!L$14-1))),MIN(F262,(Reprogramaciones!$T$15+7*(Reprogramaciones!L$14-1))+6),11))))))))</f>
        <v/>
      </c>
      <c r="BV262" s="1" t="str">
        <f aca="false">IF(OR(NOT(AND(ISNUMBER(E262),ISNUMBER(F262))),$J$2=""),"",IF(Reprogramaciones!M$13&lt;Reprogramaciones!$T$15,0,IF(Reprogramaciones!M$14&gt;10,MIN(100,SUM($G262:$P262)),MIN(100,SUMPRODUCT((COLUMN($G262:$P262)-COLUMN($G262)+1&lt;Reprogramaciones!M$14)*$G262:$P262)+N(INDEX($G262:$P262,1,Reprogramaciones!M$14))*IF(Reprogramaciones!M$13&gt;=(Reprogramaciones!$T$15+7*(Reprogramaciones!M$14-1))+6,1,IF(MAX(0,NETWORKDAYS.INTL(MAX(E262,(Reprogramaciones!$T$15+7*(Reprogramaciones!M$14-1))),MIN(F262,(Reprogramaciones!$T$15+7*(Reprogramaciones!M$14-1))+6),11))=0,0,MAX(0,NETWORKDAYS.INTL(MAX(E262,(Reprogramaciones!$T$15+7*(Reprogramaciones!M$14-1))),MIN(F262,Reprogramaciones!M$13),11))/MAX(0,NETWORKDAYS.INTL(MAX(E262,(Reprogramaciones!$T$15+7*(Reprogramaciones!M$14-1))),MIN(F262,(Reprogramaciones!$T$15+7*(Reprogramaciones!M$14-1))+6),11))))))))</f>
        <v/>
      </c>
      <c r="BW262" s="1" t="str">
        <f aca="false">IF(OR(NOT(AND(ISNUMBER(E262),ISNUMBER(F262))),$J$2=""),"",IF(Reprogramaciones!N$13&lt;Reprogramaciones!$T$15,0,IF(Reprogramaciones!N$14&gt;10,MIN(100,SUM($G262:$P262)),MIN(100,SUMPRODUCT((COLUMN($G262:$P262)-COLUMN($G262)+1&lt;Reprogramaciones!N$14)*$G262:$P262)+N(INDEX($G262:$P262,1,Reprogramaciones!N$14))*IF(Reprogramaciones!N$13&gt;=(Reprogramaciones!$T$15+7*(Reprogramaciones!N$14-1))+6,1,IF(MAX(0,NETWORKDAYS.INTL(MAX(E262,(Reprogramaciones!$T$15+7*(Reprogramaciones!N$14-1))),MIN(F262,(Reprogramaciones!$T$15+7*(Reprogramaciones!N$14-1))+6),11))=0,0,MAX(0,NETWORKDAYS.INTL(MAX(E262,(Reprogramaciones!$T$15+7*(Reprogramaciones!N$14-1))),MIN(F262,Reprogramaciones!N$13),11))/MAX(0,NETWORKDAYS.INTL(MAX(E262,(Reprogramaciones!$T$15+7*(Reprogramaciones!N$14-1))),MIN(F262,(Reprogramaciones!$T$15+7*(Reprogramaciones!N$14-1))+6),11))))))))</f>
        <v/>
      </c>
      <c r="BX262" s="1" t="str">
        <f aca="false">IF(OR(NOT(AND(ISNUMBER(E262),ISNUMBER(F262))),$J$2=""),"",IF(Reprogramaciones!O$13&lt;Reprogramaciones!$T$15,0,IF(Reprogramaciones!O$14&gt;10,MIN(100,SUM($G262:$P262)),MIN(100,SUMPRODUCT((COLUMN($G262:$P262)-COLUMN($G262)+1&lt;Reprogramaciones!O$14)*$G262:$P262)+N(INDEX($G262:$P262,1,Reprogramaciones!O$14))*IF(Reprogramaciones!O$13&gt;=(Reprogramaciones!$T$15+7*(Reprogramaciones!O$14-1))+6,1,IF(MAX(0,NETWORKDAYS.INTL(MAX(E262,(Reprogramaciones!$T$15+7*(Reprogramaciones!O$14-1))),MIN(F262,(Reprogramaciones!$T$15+7*(Reprogramaciones!O$14-1))+6),11))=0,0,MAX(0,NETWORKDAYS.INTL(MAX(E262,(Reprogramaciones!$T$15+7*(Reprogramaciones!O$14-1))),MIN(F262,Reprogramaciones!O$13),11))/MAX(0,NETWORKDAYS.INTL(MAX(E262,(Reprogramaciones!$T$15+7*(Reprogramaciones!O$14-1))),MIN(F262,(Reprogramaciones!$T$15+7*(Reprogramaciones!O$14-1))+6),11))))))))</f>
        <v/>
      </c>
      <c r="BY262" s="1" t="str">
        <f aca="false">IF(OR(NOT(AND(ISNUMBER(E262),ISNUMBER(F262))),$J$2=""),"",IF(Reprogramaciones!P$13&lt;Reprogramaciones!$T$15,0,IF(Reprogramaciones!P$14&gt;10,MIN(100,SUM($G262:$P262)),MIN(100,SUMPRODUCT((COLUMN($G262:$P262)-COLUMN($G262)+1&lt;Reprogramaciones!P$14)*$G262:$P262)+N(INDEX($G262:$P262,1,Reprogramaciones!P$14))*IF(Reprogramaciones!P$13&gt;=(Reprogramaciones!$T$15+7*(Reprogramaciones!P$14-1))+6,1,IF(MAX(0,NETWORKDAYS.INTL(MAX(E262,(Reprogramaciones!$T$15+7*(Reprogramaciones!P$14-1))),MIN(F262,(Reprogramaciones!$T$15+7*(Reprogramaciones!P$14-1))+6),11))=0,0,MAX(0,NETWORKDAYS.INTL(MAX(E262,(Reprogramaciones!$T$15+7*(Reprogramaciones!P$14-1))),MIN(F262,Reprogramaciones!P$13),11))/MAX(0,NETWORKDAYS.INTL(MAX(E262,(Reprogramaciones!$T$15+7*(Reprogramaciones!P$14-1))),MIN(F262,(Reprogramaciones!$T$15+7*(Reprogramaciones!P$14-1))+6),11))))))))</f>
        <v/>
      </c>
      <c r="BZ262" s="1" t="str">
        <f aca="false">IF(OR(NOT(AND(ISNUMBER(E262),ISNUMBER(F262))),$J$2=""),"",IF(Reprogramaciones!Q$13&lt;Reprogramaciones!$T$15,0,IF(Reprogramaciones!Q$14&gt;10,MIN(100,SUM($G262:$P262)),MIN(100,SUMPRODUCT((COLUMN($G262:$P262)-COLUMN($G262)+1&lt;Reprogramaciones!Q$14)*$G262:$P262)+N(INDEX($G262:$P262,1,Reprogramaciones!Q$14))*IF(Reprogramaciones!Q$13&gt;=(Reprogramaciones!$T$15+7*(Reprogramaciones!Q$14-1))+6,1,IF(MAX(0,NETWORKDAYS.INTL(MAX(E262,(Reprogramaciones!$T$15+7*(Reprogramaciones!Q$14-1))),MIN(F262,(Reprogramaciones!$T$15+7*(Reprogramaciones!Q$14-1))+6),11))=0,0,MAX(0,NETWORKDAYS.INTL(MAX(E262,(Reprogramaciones!$T$15+7*(Reprogramaciones!Q$14-1))),MIN(F262,Reprogramaciones!Q$13),11))/MAX(0,NETWORKDAYS.INTL(MAX(E262,(Reprogramaciones!$T$15+7*(Reprogramaciones!Q$14-1))),MIN(F262,(Reprogramaciones!$T$15+7*(Reprogramaciones!Q$14-1))+6),11))))))))</f>
        <v/>
      </c>
      <c r="CA262" s="1" t="str">
        <f aca="false">IF(OR(NOT(AND(ISNUMBER(E262),ISNUMBER(F262))),$J$2=""),"",IF(Reprogramaciones!R$13&lt;Reprogramaciones!$T$15,0,IF(Reprogramaciones!R$14&gt;10,MIN(100,SUM($G262:$P262)),MIN(100,SUMPRODUCT((COLUMN($G262:$P262)-COLUMN($G262)+1&lt;Reprogramaciones!R$14)*$G262:$P262)+N(INDEX($G262:$P262,1,Reprogramaciones!R$14))*IF(Reprogramaciones!R$13&gt;=(Reprogramaciones!$T$15+7*(Reprogramaciones!R$14-1))+6,1,IF(MAX(0,NETWORKDAYS.INTL(MAX(E262,(Reprogramaciones!$T$15+7*(Reprogramaciones!R$14-1))),MIN(F262,(Reprogramaciones!$T$15+7*(Reprogramaciones!R$14-1))+6),11))=0,0,MAX(0,NETWORKDAYS.INTL(MAX(E262,(Reprogramaciones!$T$15+7*(Reprogramaciones!R$14-1))),MIN(F262,Reprogramaciones!R$13),11))/MAX(0,NETWORKDAYS.INTL(MAX(E262,(Reprogramaciones!$T$15+7*(Reprogramaciones!R$14-1))),MIN(F262,(Reprogramaciones!$T$15+7*(Reprogramaciones!R$14-1))+6),11))))))))</f>
        <v/>
      </c>
      <c r="CB262" s="1" t="str">
        <f aca="false">IF(OR(NOT(AND(ISNUMBER(E262),ISNUMBER(F262))),$J$2=""),"",IF(Reprogramaciones!S$13&lt;Reprogramaciones!$T$15,0,IF(Reprogramaciones!S$14&gt;10,MIN(100,SUM($G262:$P262)),MIN(100,SUMPRODUCT((COLUMN($G262:$P262)-COLUMN($G262)+1&lt;Reprogramaciones!S$14)*$G262:$P262)+N(INDEX($G262:$P262,1,Reprogramaciones!S$14))*IF(Reprogramaciones!S$13&gt;=(Reprogramaciones!$T$15+7*(Reprogramaciones!S$14-1))+6,1,IF(MAX(0,NETWORKDAYS.INTL(MAX(E262,(Reprogramaciones!$T$15+7*(Reprogramaciones!S$14-1))),MIN(F262,(Reprogramaciones!$T$15+7*(Reprogramaciones!S$14-1))+6),11))=0,0,MAX(0,NETWORKDAYS.INTL(MAX(E262,(Reprogramaciones!$T$15+7*(Reprogramaciones!S$14-1))),MIN(F262,Reprogramaciones!S$13),11))/MAX(0,NETWORKDAYS.INTL(MAX(E262,(Reprogramaciones!$T$15+7*(Reprogramaciones!S$14-1))),MIN(F262,(Reprogramaciones!$T$15+7*(Reprogramaciones!S$14-1))+6),11))))))))</f>
        <v/>
      </c>
      <c r="CC262" s="1" t="str">
        <f aca="false">IF(OR(NOT(AND(ISNUMBER(E262),ISNUMBER(F262))),$J$2=""),"",IF(Reprogramaciones!T$13&lt;Reprogramaciones!$T$15,0,IF(Reprogramaciones!T$14&gt;10,MIN(100,SUM($G262:$P262)),MIN(100,SUMPRODUCT((COLUMN($G262:$P262)-COLUMN($G262)+1&lt;Reprogramaciones!T$14)*$G262:$P262)+N(INDEX($G262:$P262,1,Reprogramaciones!T$14))*IF(Reprogramaciones!T$13&gt;=(Reprogramaciones!$T$15+7*(Reprogramaciones!T$14-1))+6,1,IF(MAX(0,NETWORKDAYS.INTL(MAX(E262,(Reprogramaciones!$T$15+7*(Reprogramaciones!T$14-1))),MIN(F262,(Reprogramaciones!$T$15+7*(Reprogramaciones!T$14-1))+6),11))=0,0,MAX(0,NETWORKDAYS.INTL(MAX(E262,(Reprogramaciones!$T$15+7*(Reprogramaciones!T$14-1))),MIN(F262,Reprogramaciones!T$13),11))/MAX(0,NETWORKDAYS.INTL(MAX(E262,(Reprogramaciones!$T$15+7*(Reprogramaciones!T$14-1))),MIN(F262,(Reprogramaciones!$T$15+7*(Reprogramaciones!T$14-1))+6),11))))))))</f>
        <v/>
      </c>
      <c r="CD262" s="1" t="str">
        <f aca="false">IF(OR(NOT(AND(ISNUMBER(E262),ISNUMBER(F262))),$J$2=""),"",IF(Reprogramaciones!U$13&lt;Reprogramaciones!$T$15,0,IF(Reprogramaciones!U$14&gt;10,MIN(100,SUM($G262:$P262)),MIN(100,SUMPRODUCT((COLUMN($G262:$P262)-COLUMN($G262)+1&lt;Reprogramaciones!U$14)*$G262:$P262)+N(INDEX($G262:$P262,1,Reprogramaciones!U$14))*IF(Reprogramaciones!U$13&gt;=(Reprogramaciones!$T$15+7*(Reprogramaciones!U$14-1))+6,1,IF(MAX(0,NETWORKDAYS.INTL(MAX(E262,(Reprogramaciones!$T$15+7*(Reprogramaciones!U$14-1))),MIN(F262,(Reprogramaciones!$T$15+7*(Reprogramaciones!U$14-1))+6),11))=0,0,MAX(0,NETWORKDAYS.INTL(MAX(E262,(Reprogramaciones!$T$15+7*(Reprogramaciones!U$14-1))),MIN(F262,Reprogramaciones!U$13),11))/MAX(0,NETWORKDAYS.INTL(MAX(E262,(Reprogramaciones!$T$15+7*(Reprogramaciones!U$14-1))),MIN(F262,(Reprogramaciones!$T$15+7*(Reprogramaciones!U$14-1))+6),11))))))))</f>
        <v/>
      </c>
      <c r="CE262" s="1" t="str">
        <f aca="false">IF(OR(NOT(AND(ISNUMBER(E262),ISNUMBER(F262))),$J$2=""),"",IF(Reprogramaciones!V$13&lt;Reprogramaciones!$T$15,0,IF(Reprogramaciones!V$14&gt;10,MIN(100,SUM($G262:$P262)),MIN(100,SUMPRODUCT((COLUMN($G262:$P262)-COLUMN($G262)+1&lt;Reprogramaciones!V$14)*$G262:$P262)+N(INDEX($G262:$P262,1,Reprogramaciones!V$14))*IF(Reprogramaciones!V$13&gt;=(Reprogramaciones!$T$15+7*(Reprogramaciones!V$14-1))+6,1,IF(MAX(0,NETWORKDAYS.INTL(MAX(E262,(Reprogramaciones!$T$15+7*(Reprogramaciones!V$14-1))),MIN(F262,(Reprogramaciones!$T$15+7*(Reprogramaciones!V$14-1))+6),11))=0,0,MAX(0,NETWORKDAYS.INTL(MAX(E262,(Reprogramaciones!$T$15+7*(Reprogramaciones!V$14-1))),MIN(F262,Reprogramaciones!V$13),11))/MAX(0,NETWORKDAYS.INTL(MAX(E262,(Reprogramaciones!$T$15+7*(Reprogramaciones!V$14-1))),MIN(F262,(Reprogramaciones!$T$15+7*(Reprogramaciones!V$14-1))+6),11))))))))</f>
        <v/>
      </c>
      <c r="CF262" s="1" t="str">
        <f aca="false">IF(OR(NOT(AND(ISNUMBER(E262),ISNUMBER(F262))),$J$2=""),"",IF(Reprogramaciones!W$13&lt;Reprogramaciones!$T$15,0,IF(Reprogramaciones!W$14&gt;10,MIN(100,SUM($G262:$P262)),MIN(100,SUMPRODUCT((COLUMN($G262:$P262)-COLUMN($G262)+1&lt;Reprogramaciones!W$14)*$G262:$P262)+N(INDEX($G262:$P262,1,Reprogramaciones!W$14))*IF(Reprogramaciones!W$13&gt;=(Reprogramaciones!$T$15+7*(Reprogramaciones!W$14-1))+6,1,IF(MAX(0,NETWORKDAYS.INTL(MAX(E262,(Reprogramaciones!$T$15+7*(Reprogramaciones!W$14-1))),MIN(F262,(Reprogramaciones!$T$15+7*(Reprogramaciones!W$14-1))+6),11))=0,0,MAX(0,NETWORKDAYS.INTL(MAX(E262,(Reprogramaciones!$T$15+7*(Reprogramaciones!W$14-1))),MIN(F262,Reprogramaciones!W$13),11))/MAX(0,NETWORKDAYS.INTL(MAX(E262,(Reprogramaciones!$T$15+7*(Reprogramaciones!W$14-1))),MIN(F262,(Reprogramaciones!$T$15+7*(Reprogramaciones!W$14-1))+6),11))))))))</f>
        <v/>
      </c>
      <c r="CG262" s="1" t="str">
        <f aca="false">IF(OR(NOT(AND(ISNUMBER(E262),ISNUMBER(F262))),$J$2=""),"",IF(Reprogramaciones!X$13&lt;Reprogramaciones!$T$15,0,IF(Reprogramaciones!X$14&gt;10,MIN(100,SUM($G262:$P262)),MIN(100,SUMPRODUCT((COLUMN($G262:$P262)-COLUMN($G262)+1&lt;Reprogramaciones!X$14)*$G262:$P262)+N(INDEX($G262:$P262,1,Reprogramaciones!X$14))*IF(Reprogramaciones!X$13&gt;=(Reprogramaciones!$T$15+7*(Reprogramaciones!X$14-1))+6,1,IF(MAX(0,NETWORKDAYS.INTL(MAX(E262,(Reprogramaciones!$T$15+7*(Reprogramaciones!X$14-1))),MIN(F262,(Reprogramaciones!$T$15+7*(Reprogramaciones!X$14-1))+6),11))=0,0,MAX(0,NETWORKDAYS.INTL(MAX(E262,(Reprogramaciones!$T$15+7*(Reprogramaciones!X$14-1))),MIN(F262,Reprogramaciones!X$13),11))/MAX(0,NETWORKDAYS.INTL(MAX(E262,(Reprogramaciones!$T$15+7*(Reprogramaciones!X$14-1))),MIN(F262,(Reprogramaciones!$T$15+7*(Reprogramaciones!X$14-1))+6),11))))))))</f>
        <v/>
      </c>
      <c r="CH262" s="1" t="str">
        <f aca="false">IF(OR(NOT(AND(ISNUMBER(E262),ISNUMBER(F262))),$J$2=""),"",IF(Reprogramaciones!Y$13&lt;Reprogramaciones!$T$15,0,IF(Reprogramaciones!Y$14&gt;10,MIN(100,SUM($G262:$P262)),MIN(100,SUMPRODUCT((COLUMN($G262:$P262)-COLUMN($G262)+1&lt;Reprogramaciones!Y$14)*$G262:$P262)+N(INDEX($G262:$P262,1,Reprogramaciones!Y$14))*IF(Reprogramaciones!Y$13&gt;=(Reprogramaciones!$T$15+7*(Reprogramaciones!Y$14-1))+6,1,IF(MAX(0,NETWORKDAYS.INTL(MAX(E262,(Reprogramaciones!$T$15+7*(Reprogramaciones!Y$14-1))),MIN(F262,(Reprogramaciones!$T$15+7*(Reprogramaciones!Y$14-1))+6),11))=0,0,MAX(0,NETWORKDAYS.INTL(MAX(E262,(Reprogramaciones!$T$15+7*(Reprogramaciones!Y$14-1))),MIN(F262,Reprogramaciones!Y$13),11))/MAX(0,NETWORKDAYS.INTL(MAX(E262,(Reprogramaciones!$T$15+7*(Reprogramaciones!Y$14-1))),MIN(F262,(Reprogramaciones!$T$15+7*(Reprogramaciones!Y$14-1))+6),11))))))))</f>
        <v/>
      </c>
      <c r="CI262" s="1" t="str">
        <f aca="false">IF(OR(NOT(AND(ISNUMBER(E262),ISNUMBER(F262))),$J$2=""),"",IF(Reprogramaciones!Z$13&lt;Reprogramaciones!$T$15,0,IF(Reprogramaciones!Z$14&gt;10,MIN(100,SUM($G262:$P262)),MIN(100,SUMPRODUCT((COLUMN($G262:$P262)-COLUMN($G262)+1&lt;Reprogramaciones!Z$14)*$G262:$P262)+N(INDEX($G262:$P262,1,Reprogramaciones!Z$14))*IF(Reprogramaciones!Z$13&gt;=(Reprogramaciones!$T$15+7*(Reprogramaciones!Z$14-1))+6,1,IF(MAX(0,NETWORKDAYS.INTL(MAX(E262,(Reprogramaciones!$T$15+7*(Reprogramaciones!Z$14-1))),MIN(F262,(Reprogramaciones!$T$15+7*(Reprogramaciones!Z$14-1))+6),11))=0,0,MAX(0,NETWORKDAYS.INTL(MAX(E262,(Reprogramaciones!$T$15+7*(Reprogramaciones!Z$14-1))),MIN(F262,Reprogramaciones!Z$13),11))/MAX(0,NETWORKDAYS.INTL(MAX(E262,(Reprogramaciones!$T$15+7*(Reprogramaciones!Z$14-1))),MIN(F262,(Reprogramaciones!$T$15+7*(Reprogramaciones!Z$14-1))+6),11))))))))</f>
        <v/>
      </c>
      <c r="CJ262" s="1" t="str">
        <f aca="false">IF(OR(OR(NOT(AND(ISNUMBER(E262),ISNUMBER(F262))),$J$2=""),1&gt;Reprogramaciones!$K$16),"",IF(ROUND(SUM($Q262:Q262),1)&gt;=99.5,100,MIN(100,ROUND(SUM($Q262:Q262),1))))</f>
        <v/>
      </c>
      <c r="CK262" s="1" t="str">
        <f aca="false">IF(OR(OR(NOT(AND(ISNUMBER(E262),ISNUMBER(F262))),$J$2=""),2&gt;Reprogramaciones!$K$16),"",IF(ROUND(SUM($Q262:R262),1)&gt;=99.5,100,MIN(100,ROUND(SUM($Q262:R262),1))))</f>
        <v/>
      </c>
      <c r="CL262" s="1" t="str">
        <f aca="false">IF(OR(OR(NOT(AND(ISNUMBER(E262),ISNUMBER(F262))),$J$2=""),3&gt;Reprogramaciones!$K$16),"",IF(ROUND(SUM($Q262:S262),1)&gt;=99.5,100,MIN(100,ROUND(SUM($Q262:S262),1))))</f>
        <v/>
      </c>
      <c r="CM262" s="1" t="str">
        <f aca="false">IF(OR(OR(NOT(AND(ISNUMBER(E262),ISNUMBER(F262))),$J$2=""),4&gt;Reprogramaciones!$K$16),"",IF(ROUND(SUM($Q262:T262),1)&gt;=99.5,100,MIN(100,ROUND(SUM($Q262:T262),1))))</f>
        <v/>
      </c>
      <c r="CN262" s="1" t="str">
        <f aca="false">IF(OR(OR(NOT(AND(ISNUMBER(E262),ISNUMBER(F262))),$J$2=""),5&gt;Reprogramaciones!$K$16),"",IF(ROUND(SUM($Q262:U262),1)&gt;=99.5,100,MIN(100,ROUND(SUM($Q262:U262),1))))</f>
        <v/>
      </c>
      <c r="CO262" s="1" t="str">
        <f aca="false">IF(OR(OR(NOT(AND(ISNUMBER(E262),ISNUMBER(F262))),$J$2=""),6&gt;Reprogramaciones!$K$16),"",IF(ROUND(SUM($Q262:V262),1)&gt;=99.5,100,MIN(100,ROUND(SUM($Q262:V262),1))))</f>
        <v/>
      </c>
      <c r="CP262" s="1" t="str">
        <f aca="false">IF(OR(OR(NOT(AND(ISNUMBER(E262),ISNUMBER(F262))),$J$2=""),7&gt;Reprogramaciones!$K$16),"",IF(ROUND(SUM($Q262:W262),1)&gt;=99.5,100,MIN(100,ROUND(SUM($Q262:W262),1))))</f>
        <v/>
      </c>
      <c r="CQ262" s="1" t="str">
        <f aca="false">IF(OR(OR(NOT(AND(ISNUMBER(E262),ISNUMBER(F262))),$J$2=""),8&gt;Reprogramaciones!$K$16),"",IF(ROUND(SUM($Q262:X262),1)&gt;=99.5,100,MIN(100,ROUND(SUM($Q262:X262),1))))</f>
        <v/>
      </c>
      <c r="CR262" s="1" t="str">
        <f aca="false">IF(OR(OR(NOT(AND(ISNUMBER(E262),ISNUMBER(F262))),$J$2=""),9&gt;Reprogramaciones!$K$16),"",IF(ROUND(SUM($Q262:Y262),1)&gt;=99.5,100,MIN(100,ROUND(SUM($Q262:Y262),1))))</f>
        <v/>
      </c>
      <c r="CS262" s="1" t="str">
        <f aca="false">IF(OR(OR(NOT(AND(ISNUMBER(E262),ISNUMBER(F262))),$J$2=""),10&gt;Reprogramaciones!$K$16),"",IF(ROUND(SUM($Q262:Z262),1)&gt;=99.5,100,MIN(100,ROUND(SUM($Q262:Z262),1))))</f>
        <v/>
      </c>
      <c r="CT262" s="1" t="str">
        <f aca="false">IF(OR(OR(NOT(AND(ISNUMBER(E262),ISNUMBER(F262))),$J$2=""),11&gt;Reprogramaciones!$K$16),"",IF(ROUND(SUM($Q262:AA262),1)&gt;=99.5,100,MIN(100,ROUND(SUM($Q262:AA262),1))))</f>
        <v/>
      </c>
      <c r="CU262" s="1" t="str">
        <f aca="false">IF(OR(OR(NOT(AND(ISNUMBER(E262),ISNUMBER(F262))),$J$2=""),12&gt;Reprogramaciones!$K$16),"",IF(ROUND(SUM($Q262:AB262),1)&gt;=99.5,100,MIN(100,ROUND(SUM($Q262:AB262),1))))</f>
        <v/>
      </c>
      <c r="CV262" s="1" t="str">
        <f aca="false">IF(OR(OR(NOT(AND(ISNUMBER(E262),ISNUMBER(F262))),$J$2=""),13&gt;Reprogramaciones!$K$16),"",IF(ROUND(SUM($Q262:AC262),1)&gt;=99.5,100,MIN(100,ROUND(SUM($Q262:AC262),1))))</f>
        <v/>
      </c>
      <c r="CW262" s="1" t="str">
        <f aca="false">IF(OR(OR(NOT(AND(ISNUMBER(E262),ISNUMBER(F262))),$J$2=""),14&gt;Reprogramaciones!$K$16),"",IF(ROUND(SUM($Q262:AD262),1)&gt;=99.5,100,MIN(100,ROUND(SUM($Q262:AD262),1))))</f>
        <v/>
      </c>
      <c r="CX262" s="1" t="str">
        <f aca="false">IF(OR(OR(NOT(AND(ISNUMBER(E262),ISNUMBER(F262))),$J$2=""),15&gt;Reprogramaciones!$K$16),"",IF(ROUND(SUM($Q262:AE262),1)&gt;=99.5,100,MIN(100,ROUND(SUM($Q262:AE262),1))))</f>
        <v/>
      </c>
      <c r="CY262" s="1" t="str">
        <f aca="false">IF(OR(OR(NOT(AND(ISNUMBER(E262),ISNUMBER(F262))),$J$2=""),16&gt;Reprogramaciones!$K$16),"",IF(ROUND(SUM($Q262:AF262),1)&gt;=99.5,100,MIN(100,ROUND(SUM($Q262:AF262),1))))</f>
        <v/>
      </c>
      <c r="CZ262" s="1" t="str">
        <f aca="false">IF(D262&lt;&gt;"",D262,IF(B262&lt;&gt;"","Contractual",CZ261))</f>
        <v>Contractual</v>
      </c>
      <c r="DA262" s="1" t="str">
        <f aca="false">IF(OR(NOT(AND(ISNUMBER(E262),ISNUMBER(F262))),$J$2=""),"",IF(Reprogramaciones!$Q$15&lt;Reprogramaciones!$T$15,0,IF(Reprogramaciones!$S$15&gt;10,MIN(100,SUM($G262:$P262)),MIN(100,SUMPRODUCT((COLUMN($G262:$P262)-COLUMN($G262)+1&lt;Reprogramaciones!$S$15)*$G262:$P262)+N(INDEX($G262:$P262,1,Reprogramaciones!$S$15))*IF(Reprogramaciones!$Q$15&gt;=(Reprogramaciones!$T$15+7*(Reprogramaciones!$S$15-1))+6,1,IF(MAX(0,NETWORKDAYS.INTL(MAX(E262,(Reprogramaciones!$T$15+7*(Reprogramaciones!$S$15-1))),MIN(F262,(Reprogramaciones!$T$15+7*(Reprogramaciones!$S$15-1))+6),11))=0,0,MAX(0,NETWORKDAYS.INTL(MAX(E262,(Reprogramaciones!$T$15+7*(Reprogramaciones!$S$15-1))),MIN(F262,Reprogramaciones!$Q$15),11))/MAX(0,NETWORKDAYS.INTL(MAX(E262,(Reprogramaciones!$T$15+7*(Reprogramaciones!$S$15-1))),MIN(F262,(Reprogramaciones!$T$15+7*(Reprogramaciones!$S$15-1))+6),11))))))))</f>
        <v/>
      </c>
    </row>
    <row r="263" customFormat="false" ht="15" hidden="false" customHeight="false" outlineLevel="0" collapsed="false">
      <c r="A263" s="32"/>
      <c r="B263" s="33"/>
      <c r="C263" s="33"/>
      <c r="D263" s="34"/>
      <c r="E263" s="35"/>
      <c r="F263" s="35"/>
      <c r="G263" s="36" t="str">
        <f aca="false">IF(OR(NOT(AND(ISNUMBER(E263),ISNUMBER(F263))),$J$2=""),"",IF(Reprogramaciones!K$9&lt;E263,0,IF(NETWORKDAYS.INTL(E263,F263,11)=0,IF(Reprogramaciones!K$9&gt;=F263,100,0),ROUND(NETWORKDAYS.INTL(E263,MIN(F263,Reprogramaciones!K$9),11)/NETWORKDAYS.INTL(E263,F263,11)*100,1)))-0)</f>
        <v/>
      </c>
      <c r="H263" s="36" t="str">
        <f aca="false">IF(OR(NOT(AND(ISNUMBER(E263),ISNUMBER(F263))),$J$2=""),"",IF(Reprogramaciones!L$9&lt;E263,0,IF(NETWORKDAYS.INTL(E263,F263,11)=0,IF(Reprogramaciones!L$9&gt;=F263,100,0),ROUND(NETWORKDAYS.INTL(E263,MIN(F263,Reprogramaciones!L$9),11)/NETWORKDAYS.INTL(E263,F263,11)*100,1)))-IF(Reprogramaciones!K$9&lt;E263,0,IF(NETWORKDAYS.INTL(E263,F263,11)=0,IF(Reprogramaciones!K$9&gt;=F263,100,0),ROUND(NETWORKDAYS.INTL(E263,MIN(F263,Reprogramaciones!K$9),11)/NETWORKDAYS.INTL(E263,F263,11)*100,1))))</f>
        <v/>
      </c>
      <c r="I263" s="36" t="str">
        <f aca="false">IF(OR(NOT(AND(ISNUMBER(E263),ISNUMBER(F263))),$J$2=""),"",IF(Reprogramaciones!M$9&lt;E263,0,IF(NETWORKDAYS.INTL(E263,F263,11)=0,IF(Reprogramaciones!M$9&gt;=F263,100,0),ROUND(NETWORKDAYS.INTL(E263,MIN(F263,Reprogramaciones!M$9),11)/NETWORKDAYS.INTL(E263,F263,11)*100,1)))-IF(Reprogramaciones!L$9&lt;E263,0,IF(NETWORKDAYS.INTL(E263,F263,11)=0,IF(Reprogramaciones!L$9&gt;=F263,100,0),ROUND(NETWORKDAYS.INTL(E263,MIN(F263,Reprogramaciones!L$9),11)/NETWORKDAYS.INTL(E263,F263,11)*100,1))))</f>
        <v/>
      </c>
      <c r="J263" s="36" t="str">
        <f aca="false">IF(OR(NOT(AND(ISNUMBER(E263),ISNUMBER(F263))),$J$2=""),"",IF(Reprogramaciones!N$9&lt;E263,0,IF(NETWORKDAYS.INTL(E263,F263,11)=0,IF(Reprogramaciones!N$9&gt;=F263,100,0),ROUND(NETWORKDAYS.INTL(E263,MIN(F263,Reprogramaciones!N$9),11)/NETWORKDAYS.INTL(E263,F263,11)*100,1)))-IF(Reprogramaciones!M$9&lt;E263,0,IF(NETWORKDAYS.INTL(E263,F263,11)=0,IF(Reprogramaciones!M$9&gt;=F263,100,0),ROUND(NETWORKDAYS.INTL(E263,MIN(F263,Reprogramaciones!M$9),11)/NETWORKDAYS.INTL(E263,F263,11)*100,1))))</f>
        <v/>
      </c>
      <c r="K263" s="36" t="str">
        <f aca="false">IF(OR(NOT(AND(ISNUMBER(E263),ISNUMBER(F263))),$J$2=""),"",IF(Reprogramaciones!O$9&lt;E263,0,IF(NETWORKDAYS.INTL(E263,F263,11)=0,IF(Reprogramaciones!O$9&gt;=F263,100,0),ROUND(NETWORKDAYS.INTL(E263,MIN(F263,Reprogramaciones!O$9),11)/NETWORKDAYS.INTL(E263,F263,11)*100,1)))-IF(Reprogramaciones!N$9&lt;E263,0,IF(NETWORKDAYS.INTL(E263,F263,11)=0,IF(Reprogramaciones!N$9&gt;=F263,100,0),ROUND(NETWORKDAYS.INTL(E263,MIN(F263,Reprogramaciones!N$9),11)/NETWORKDAYS.INTL(E263,F263,11)*100,1))))</f>
        <v/>
      </c>
      <c r="L263" s="36" t="str">
        <f aca="false">IF(OR(NOT(AND(ISNUMBER(E263),ISNUMBER(F263))),$J$2=""),"",IF(Reprogramaciones!P$9&lt;E263,0,IF(NETWORKDAYS.INTL(E263,F263,11)=0,IF(Reprogramaciones!P$9&gt;=F263,100,0),ROUND(NETWORKDAYS.INTL(E263,MIN(F263,Reprogramaciones!P$9),11)/NETWORKDAYS.INTL(E263,F263,11)*100,1)))-IF(Reprogramaciones!O$9&lt;E263,0,IF(NETWORKDAYS.INTL(E263,F263,11)=0,IF(Reprogramaciones!O$9&gt;=F263,100,0),ROUND(NETWORKDAYS.INTL(E263,MIN(F263,Reprogramaciones!O$9),11)/NETWORKDAYS.INTL(E263,F263,11)*100,1))))</f>
        <v/>
      </c>
      <c r="M263" s="36" t="str">
        <f aca="false">IF(OR(NOT(AND(ISNUMBER(E263),ISNUMBER(F263))),$J$2=""),"",IF(Reprogramaciones!Q$9&lt;E263,0,IF(NETWORKDAYS.INTL(E263,F263,11)=0,IF(Reprogramaciones!Q$9&gt;=F263,100,0),ROUND(NETWORKDAYS.INTL(E263,MIN(F263,Reprogramaciones!Q$9),11)/NETWORKDAYS.INTL(E263,F263,11)*100,1)))-IF(Reprogramaciones!P$9&lt;E263,0,IF(NETWORKDAYS.INTL(E263,F263,11)=0,IF(Reprogramaciones!P$9&gt;=F263,100,0),ROUND(NETWORKDAYS.INTL(E263,MIN(F263,Reprogramaciones!P$9),11)/NETWORKDAYS.INTL(E263,F263,11)*100,1))))</f>
        <v/>
      </c>
      <c r="N263" s="36" t="str">
        <f aca="false">IF(OR(NOT(AND(ISNUMBER(E263),ISNUMBER(F263))),$J$2=""),"",IF(Reprogramaciones!R$9&lt;E263,0,IF(NETWORKDAYS.INTL(E263,F263,11)=0,IF(Reprogramaciones!R$9&gt;=F263,100,0),ROUND(NETWORKDAYS.INTL(E263,MIN(F263,Reprogramaciones!R$9),11)/NETWORKDAYS.INTL(E263,F263,11)*100,1)))-IF(Reprogramaciones!Q$9&lt;E263,0,IF(NETWORKDAYS.INTL(E263,F263,11)=0,IF(Reprogramaciones!Q$9&gt;=F263,100,0),ROUND(NETWORKDAYS.INTL(E263,MIN(F263,Reprogramaciones!Q$9),11)/NETWORKDAYS.INTL(E263,F263,11)*100,1))))</f>
        <v/>
      </c>
      <c r="O263" s="36" t="str">
        <f aca="false">IF(OR(NOT(AND(ISNUMBER(E263),ISNUMBER(F263))),$J$2=""),"",IF(Reprogramaciones!S$9&lt;E263,0,IF(NETWORKDAYS.INTL(E263,F263,11)=0,IF(Reprogramaciones!S$9&gt;=F263,100,0),ROUND(NETWORKDAYS.INTL(E263,MIN(F263,Reprogramaciones!S$9),11)/NETWORKDAYS.INTL(E263,F263,11)*100,1)))-IF(Reprogramaciones!R$9&lt;E263,0,IF(NETWORKDAYS.INTL(E263,F263,11)=0,IF(Reprogramaciones!R$9&gt;=F263,100,0),ROUND(NETWORKDAYS.INTL(E263,MIN(F263,Reprogramaciones!R$9),11)/NETWORKDAYS.INTL(E263,F263,11)*100,1))))</f>
        <v/>
      </c>
      <c r="P263" s="36" t="str">
        <f aca="false">IF(OR(NOT(AND(ISNUMBER(E263),ISNUMBER(F263))),$J$2=""),"",IF(Reprogramaciones!T$9&lt;E263,0,IF(NETWORKDAYS.INTL(E263,F263,11)=0,IF(Reprogramaciones!T$9&gt;=F263,100,0),ROUND(NETWORKDAYS.INTL(E263,MIN(F263,Reprogramaciones!T$9),11)/NETWORKDAYS.INTL(E263,F263,11)*100,1)))-IF(Reprogramaciones!S$9&lt;E263,0,IF(NETWORKDAYS.INTL(E263,F263,11)=0,IF(Reprogramaciones!S$9&gt;=F263,100,0),ROUND(NETWORKDAYS.INTL(E263,MIN(F263,Reprogramaciones!S$9),11)/NETWORKDAYS.INTL(E263,F263,11)*100,1))))</f>
        <v/>
      </c>
      <c r="Q263" s="37"/>
      <c r="R263" s="37"/>
      <c r="S263" s="37"/>
      <c r="T263" s="37"/>
      <c r="U263" s="37"/>
      <c r="V263" s="37"/>
      <c r="W263" s="37"/>
      <c r="X263" s="37"/>
      <c r="Y263" s="37"/>
      <c r="Z263" s="37"/>
      <c r="AA263" s="37"/>
      <c r="AB263" s="37"/>
      <c r="AC263" s="37"/>
      <c r="AD263" s="37"/>
      <c r="AE263" s="37"/>
      <c r="AF263" s="37"/>
      <c r="AG263" s="38" t="str">
        <f aca="false">IF(AND(ISNUMBER(E263),ISNUMBER(F263)),NETWORKDAYS.INTL(E263,F263,11),"")</f>
        <v/>
      </c>
      <c r="AH263" s="38" t="str">
        <f aca="false">IF(OR(NOT(AND(ISNUMBER(E263),ISNUMBER(F263))),$J$2=""),"",IF(Reprogramaciones!$P$15&lt;Reprogramaciones!$T$15,0,IF(Reprogramaciones!$R$15&gt;10,MIN(100,SUM($G263:$P263)),MIN(100,SUMPRODUCT((COLUMN($G263:$P263)-COLUMN($G263)+1&lt;Reprogramaciones!$R$15)*$G263:$P263)+N(INDEX($G263:$P263,1,Reprogramaciones!$R$15))*IF(Reprogramaciones!$P$15&gt;=(Reprogramaciones!$T$15+7*(Reprogramaciones!$R$15-1))+6,1,IF(MAX(0,NETWORKDAYS.INTL(MAX(E263,(Reprogramaciones!$T$15+7*(Reprogramaciones!$R$15-1))),MIN(F263,(Reprogramaciones!$T$15+7*(Reprogramaciones!$R$15-1))+6),11))=0,0,MAX(0,NETWORKDAYS.INTL(MAX(E263,(Reprogramaciones!$T$15+7*(Reprogramaciones!$R$15-1))),MIN(F263,Reprogramaciones!$P$15),11))/MAX(0,NETWORKDAYS.INTL(MAX(E263,(Reprogramaciones!$T$15+7*(Reprogramaciones!$R$15-1))),MIN(F263,(Reprogramaciones!$T$15+7*(Reprogramaciones!$R$15-1))+6),11))))))))</f>
        <v/>
      </c>
      <c r="AI263" s="38" t="str">
        <f aca="false">IF(COUNT($Q263:$AF263)=0,"",IF(ROUND(SUM($Q263:$AF263),1)&gt;=99.5,100,MIN(100,ROUND(SUM($Q263:$AF263),1))))</f>
        <v/>
      </c>
      <c r="AJ263" s="38" t="str">
        <f aca="false">IF(OR(AH263="",AI263=""),"",AI263-AH263)</f>
        <v/>
      </c>
      <c r="AK263" s="39" t="str">
        <f aca="true">IF(AH263="","",IF(OR(Ficha!$C$10="Suspendida",Ficha!$C$10="Cancelada"),Ficha!$C$10,IF(AND(AI263&lt;&gt;"",N(AI263)&gt;=100),"Completada",IF(AND(E263&gt;TODAY(),N(AI263)=0),"Por iniciar",IF(N(AI263)+0.5&lt;AH263,"Retrasada",IF(N(AI263)+0.5&lt;DA263,IF(Reprogramaciones!$K$15&gt;0,"Al día · Sem "&amp;Reprogramaciones!$K$15&amp;" en curso","Al día · en curso"),"A tiempo"))))))</f>
        <v/>
      </c>
      <c r="AL263" s="39" t="str">
        <f aca="true">IF(AND(A263="",AND(B263="",C263="",E263="",F263="",COUNT(Q263:AF263)=0)),"",IF(AND(B263="",C263="",E263="",F263="",COUNT(Q263:AF263)=0),"Falta la partida o subpartida",IF(AND(A263&lt;&gt;"",COUNTIF($A$6:$A$305,A263)&gt;1),"Ítem repetido",IF(AND(C263="",E263="",F263="",COUNT(Q263:AF263)=0),"Título de partida",IF(OR(E263="",F263=""),"Faltan fechas",IF(OR(ISTEXT(E263),ISTEXT(F263)),"Fecha escrita como texto: usa dd/mm/aaaa",IF(F263&lt;E263,"Fin antes del inicio",IF(IF($J$2="",FALSE(),OR(E263&lt;$J$2,F263&gt;Reprogramaciones!$T$15+69)),"Fuera de las 10 semanas",IF(ABS(SUM(G263:P263)-100)&gt;0.5,"La meta no suma 100%",IF(ROUND(SUM(Q263:AF263),1)&gt;100.5,"El avance pasa de 100%",IF(MIN(Q263:AF263)&lt;0,"Avance negativo",IF(COUNTA(Q263:AF263)&gt;COUNT(Q263:AF263),"Avance escrito como texto",IF(SUMPRODUCT((Q263:AF263&gt;0)*(Q263:AF263&lt;1))&gt;0,"Avance menor a 1: escribe 50, no 50%",IF(SUMPRODUCT(ISNUMBER(Q263:AF263)*(Reprogramaciones!$K$8:$Z$8&gt;TODAY()))&gt;0,"Avance en semana que aún no llega",IF(AND(N(Reprogramaciones!$E$21)&gt;0,F263&gt;Reprogramaciones!$E$21),"Pasa el fin de la obra: registra una reprogramación",IF(AND(N(Reprogramaciones!$E$21)&gt;0,SUMPRODUCT(ISNUMBER(Q263:AF263)*(Reprogramaciones!$K$8:$Z$8&gt;Reprogramaciones!$E$21))&gt;0),"Avance después del fin de la obra: registra una reprogramación por atraso","OK"))))))))))))))))</f>
        <v/>
      </c>
      <c r="AM263" s="40" t="str">
        <f aca="false">IF(OR(OR(NOT(AND(ISNUMBER(E263),ISNUMBER(F263))),$J$2=""),1&gt;MAX(1,Reprogramaciones!$U$15)),"",IF(Reprogramaciones!K$12&gt;=7,"",IF(OR(BT263-N(0)&gt;0.05,N(Q263)&gt;0),ROUNDDOWN(ROUND(BT263,6),0)&amp;"%"&amp;IF(CJ263="",""," / "&amp;CJ263&amp;"%"),IF(AND(N(0)&gt;=99.95,CJ263&lt;&gt;"",N(CJ263)&lt;100),"Pend. "&amp;CJ263&amp;"%",""))))</f>
        <v/>
      </c>
      <c r="AN263" s="40" t="str">
        <f aca="false">IF(OR(OR(NOT(AND(ISNUMBER(E263),ISNUMBER(F263))),$J$2=""),2&gt;MAX(1,Reprogramaciones!$U$15)),"",IF(Reprogramaciones!L$12&gt;=7,"",IF(OR(BU263-N(BT263)&gt;0.05,N(R263)&gt;0),ROUNDDOWN(ROUND(BU263,6),0)&amp;"%"&amp;IF(CK263="",""," / "&amp;CK263&amp;"%"),IF(AND(N(BT263)&gt;=99.95,CK263&lt;&gt;"",N(CK263)&lt;100),"Pend. "&amp;CK263&amp;"%",""))))</f>
        <v/>
      </c>
      <c r="AO263" s="40" t="str">
        <f aca="false">IF(OR(OR(NOT(AND(ISNUMBER(E263),ISNUMBER(F263))),$J$2=""),3&gt;MAX(1,Reprogramaciones!$U$15)),"",IF(Reprogramaciones!M$12&gt;=7,"",IF(OR(BV263-N(BU263)&gt;0.05,N(S263)&gt;0),ROUNDDOWN(ROUND(BV263,6),0)&amp;"%"&amp;IF(CL263="",""," / "&amp;CL263&amp;"%"),IF(AND(N(BU263)&gt;=99.95,CL263&lt;&gt;"",N(CL263)&lt;100),"Pend. "&amp;CL263&amp;"%",""))))</f>
        <v/>
      </c>
      <c r="AP263" s="40" t="str">
        <f aca="false">IF(OR(OR(NOT(AND(ISNUMBER(E263),ISNUMBER(F263))),$J$2=""),4&gt;MAX(1,Reprogramaciones!$U$15)),"",IF(Reprogramaciones!N$12&gt;=7,"",IF(OR(BW263-N(BV263)&gt;0.05,N(T263)&gt;0),ROUNDDOWN(ROUND(BW263,6),0)&amp;"%"&amp;IF(CM263="",""," / "&amp;CM263&amp;"%"),IF(AND(N(BV263)&gt;=99.95,CM263&lt;&gt;"",N(CM263)&lt;100),"Pend. "&amp;CM263&amp;"%",""))))</f>
        <v/>
      </c>
      <c r="AQ263" s="40" t="str">
        <f aca="false">IF(OR(OR(NOT(AND(ISNUMBER(E263),ISNUMBER(F263))),$J$2=""),5&gt;MAX(1,Reprogramaciones!$U$15)),"",IF(Reprogramaciones!O$12&gt;=7,"",IF(OR(BX263-N(BW263)&gt;0.05,N(U263)&gt;0),ROUNDDOWN(ROUND(BX263,6),0)&amp;"%"&amp;IF(CN263="",""," / "&amp;CN263&amp;"%"),IF(AND(N(BW263)&gt;=99.95,CN263&lt;&gt;"",N(CN263)&lt;100),"Pend. "&amp;CN263&amp;"%",""))))</f>
        <v/>
      </c>
      <c r="AR263" s="40" t="str">
        <f aca="false">IF(OR(OR(NOT(AND(ISNUMBER(E263),ISNUMBER(F263))),$J$2=""),6&gt;MAX(1,Reprogramaciones!$U$15)),"",IF(Reprogramaciones!P$12&gt;=7,"",IF(OR(BY263-N(BX263)&gt;0.05,N(V263)&gt;0),ROUNDDOWN(ROUND(BY263,6),0)&amp;"%"&amp;IF(CO263="",""," / "&amp;CO263&amp;"%"),IF(AND(N(BX263)&gt;=99.95,CO263&lt;&gt;"",N(CO263)&lt;100),"Pend. "&amp;CO263&amp;"%",""))))</f>
        <v/>
      </c>
      <c r="AS263" s="40" t="str">
        <f aca="false">IF(OR(OR(NOT(AND(ISNUMBER(E263),ISNUMBER(F263))),$J$2=""),7&gt;MAX(1,Reprogramaciones!$U$15)),"",IF(Reprogramaciones!Q$12&gt;=7,"",IF(OR(BZ263-N(BY263)&gt;0.05,N(W263)&gt;0),ROUNDDOWN(ROUND(BZ263,6),0)&amp;"%"&amp;IF(CP263="",""," / "&amp;CP263&amp;"%"),IF(AND(N(BY263)&gt;=99.95,CP263&lt;&gt;"",N(CP263)&lt;100),"Pend. "&amp;CP263&amp;"%",""))))</f>
        <v/>
      </c>
      <c r="AT263" s="40" t="str">
        <f aca="false">IF(OR(OR(NOT(AND(ISNUMBER(E263),ISNUMBER(F263))),$J$2=""),8&gt;MAX(1,Reprogramaciones!$U$15)),"",IF(Reprogramaciones!R$12&gt;=7,"",IF(OR(CA263-N(BZ263)&gt;0.05,N(X263)&gt;0),ROUNDDOWN(ROUND(CA263,6),0)&amp;"%"&amp;IF(CQ263="",""," / "&amp;CQ263&amp;"%"),IF(AND(N(BZ263)&gt;=99.95,CQ263&lt;&gt;"",N(CQ263)&lt;100),"Pend. "&amp;CQ263&amp;"%",""))))</f>
        <v/>
      </c>
      <c r="AU263" s="40" t="str">
        <f aca="false">IF(OR(OR(NOT(AND(ISNUMBER(E263),ISNUMBER(F263))),$J$2=""),9&gt;MAX(1,Reprogramaciones!$U$15)),"",IF(Reprogramaciones!S$12&gt;=7,"",IF(OR(CB263-N(CA263)&gt;0.05,N(Y263)&gt;0),ROUNDDOWN(ROUND(CB263,6),0)&amp;"%"&amp;IF(CR263="",""," / "&amp;CR263&amp;"%"),IF(AND(N(CA263)&gt;=99.95,CR263&lt;&gt;"",N(CR263)&lt;100),"Pend. "&amp;CR263&amp;"%",""))))</f>
        <v/>
      </c>
      <c r="AV263" s="40" t="str">
        <f aca="false">IF(OR(OR(NOT(AND(ISNUMBER(E263),ISNUMBER(F263))),$J$2=""),10&gt;MAX(1,Reprogramaciones!$U$15)),"",IF(Reprogramaciones!T$12&gt;=7,"",IF(OR(CC263-N(CB263)&gt;0.05,N(Z263)&gt;0),ROUNDDOWN(ROUND(CC263,6),0)&amp;"%"&amp;IF(CS263="",""," / "&amp;CS263&amp;"%"),IF(AND(N(CB263)&gt;=99.95,CS263&lt;&gt;"",N(CS263)&lt;100),"Pend. "&amp;CS263&amp;"%",""))))</f>
        <v/>
      </c>
      <c r="AW263" s="40" t="str">
        <f aca="false">IF(OR(OR(NOT(AND(ISNUMBER(E263),ISNUMBER(F263))),$J$2=""),11&gt;MAX(1,Reprogramaciones!$U$15)),"",IF(Reprogramaciones!U$12&gt;=7,"",IF(OR(CD263-N(CC263)&gt;0.05,N(AA263)&gt;0),ROUNDDOWN(ROUND(CD263,6),0)&amp;"%"&amp;IF(CT263="",""," / "&amp;CT263&amp;"%"),IF(AND(N(CC263)&gt;=99.95,CT263&lt;&gt;"",N(CT263)&lt;100),"Pend. "&amp;CT263&amp;"%",""))))</f>
        <v/>
      </c>
      <c r="AX263" s="40" t="str">
        <f aca="false">IF(OR(OR(NOT(AND(ISNUMBER(E263),ISNUMBER(F263))),$J$2=""),12&gt;MAX(1,Reprogramaciones!$U$15)),"",IF(Reprogramaciones!V$12&gt;=7,"",IF(OR(CE263-N(CD263)&gt;0.05,N(AB263)&gt;0),ROUNDDOWN(ROUND(CE263,6),0)&amp;"%"&amp;IF(CU263="",""," / "&amp;CU263&amp;"%"),IF(AND(N(CD263)&gt;=99.95,CU263&lt;&gt;"",N(CU263)&lt;100),"Pend. "&amp;CU263&amp;"%",""))))</f>
        <v/>
      </c>
      <c r="AY263" s="40" t="str">
        <f aca="false">IF(OR(OR(NOT(AND(ISNUMBER(E263),ISNUMBER(F263))),$J$2=""),13&gt;MAX(1,Reprogramaciones!$U$15)),"",IF(Reprogramaciones!W$12&gt;=7,"",IF(OR(CF263-N(CE263)&gt;0.05,N(AC263)&gt;0),ROUNDDOWN(ROUND(CF263,6),0)&amp;"%"&amp;IF(CV263="",""," / "&amp;CV263&amp;"%"),IF(AND(N(CE263)&gt;=99.95,CV263&lt;&gt;"",N(CV263)&lt;100),"Pend. "&amp;CV263&amp;"%",""))))</f>
        <v/>
      </c>
      <c r="AZ263" s="40" t="str">
        <f aca="false">IF(OR(OR(NOT(AND(ISNUMBER(E263),ISNUMBER(F263))),$J$2=""),14&gt;MAX(1,Reprogramaciones!$U$15)),"",IF(Reprogramaciones!X$12&gt;=7,"",IF(OR(CG263-N(CF263)&gt;0.05,N(AD263)&gt;0),ROUNDDOWN(ROUND(CG263,6),0)&amp;"%"&amp;IF(CW263="",""," / "&amp;CW263&amp;"%"),IF(AND(N(CF263)&gt;=99.95,CW263&lt;&gt;"",N(CW263)&lt;100),"Pend. "&amp;CW263&amp;"%",""))))</f>
        <v/>
      </c>
      <c r="BA263" s="40" t="str">
        <f aca="false">IF(OR(OR(NOT(AND(ISNUMBER(E263),ISNUMBER(F263))),$J$2=""),15&gt;MAX(1,Reprogramaciones!$U$15)),"",IF(Reprogramaciones!Y$12&gt;=7,"",IF(OR(CH263-N(CG263)&gt;0.05,N(AE263)&gt;0),ROUNDDOWN(ROUND(CH263,6),0)&amp;"%"&amp;IF(CX263="",""," / "&amp;CX263&amp;"%"),IF(AND(N(CG263)&gt;=99.95,CX263&lt;&gt;"",N(CX263)&lt;100),"Pend. "&amp;CX263&amp;"%",""))))</f>
        <v/>
      </c>
      <c r="BB263" s="40" t="str">
        <f aca="false">IF(OR(OR(NOT(AND(ISNUMBER(E263),ISNUMBER(F263))),$J$2=""),16&gt;MAX(1,Reprogramaciones!$U$15)),"",IF(Reprogramaciones!Z$12&gt;=7,"",IF(OR(CI263-N(CH263)&gt;0.05,N(AF263)&gt;0),ROUNDDOWN(ROUND(CI263,6),0)&amp;"%"&amp;IF(CY263="",""," / "&amp;CY263&amp;"%"),IF(AND(N(CH263)&gt;=99.95,CY263&lt;&gt;"",N(CY263)&lt;100),"Pend. "&amp;CY263&amp;"%",""))))</f>
        <v/>
      </c>
      <c r="BC263" s="31" t="n">
        <f aca="false">IF(AND(ISNUMBER(E263),ISNUMBER(F263)),MAX(1,NETWORKDAYS.INTL(E263,F263,11)),0)</f>
        <v>0</v>
      </c>
      <c r="BD263" s="1" t="str">
        <f aca="false">IF(OR(NOT(AND(ISNUMBER(E263),ISNUMBER(F263))),$J$2=""),"",MIN(100,ROUND(SUM($G263:G263),1)))</f>
        <v/>
      </c>
      <c r="BE263" s="1" t="str">
        <f aca="false">IF(OR(NOT(AND(ISNUMBER(E263),ISNUMBER(F263))),$J$2=""),"",MIN(100,ROUND(SUM($G263:H263),1)))</f>
        <v/>
      </c>
      <c r="BF263" s="1" t="str">
        <f aca="false">IF(OR(NOT(AND(ISNUMBER(E263),ISNUMBER(F263))),$J$2=""),"",MIN(100,ROUND(SUM($G263:I263),1)))</f>
        <v/>
      </c>
      <c r="BG263" s="1" t="str">
        <f aca="false">IF(OR(NOT(AND(ISNUMBER(E263),ISNUMBER(F263))),$J$2=""),"",MIN(100,ROUND(SUM($G263:J263),1)))</f>
        <v/>
      </c>
      <c r="BH263" s="1" t="str">
        <f aca="false">IF(OR(NOT(AND(ISNUMBER(E263),ISNUMBER(F263))),$J$2=""),"",MIN(100,ROUND(SUM($G263:K263),1)))</f>
        <v/>
      </c>
      <c r="BI263" s="1" t="str">
        <f aca="false">IF(OR(NOT(AND(ISNUMBER(E263),ISNUMBER(F263))),$J$2=""),"",MIN(100,ROUND(SUM($G263:L263),1)))</f>
        <v/>
      </c>
      <c r="BJ263" s="1" t="str">
        <f aca="false">IF(OR(NOT(AND(ISNUMBER(E263),ISNUMBER(F263))),$J$2=""),"",MIN(100,ROUND(SUM($G263:M263),1)))</f>
        <v/>
      </c>
      <c r="BK263" s="1" t="str">
        <f aca="false">IF(OR(NOT(AND(ISNUMBER(E263),ISNUMBER(F263))),$J$2=""),"",MIN(100,ROUND(SUM($G263:N263),1)))</f>
        <v/>
      </c>
      <c r="BL263" s="1" t="str">
        <f aca="false">IF(OR(NOT(AND(ISNUMBER(E263),ISNUMBER(F263))),$J$2=""),"",MIN(100,ROUND(SUM($G263:O263),1)))</f>
        <v/>
      </c>
      <c r="BM263" s="1" t="str">
        <f aca="false">IF(OR(NOT(AND(ISNUMBER(E263),ISNUMBER(F263))),$J$2=""),"",MIN(100,ROUND(SUM($G263:P263),1)))</f>
        <v/>
      </c>
      <c r="BN263" s="1" t="str">
        <f aca="false">IF(OR(NOT(AND(ISNUMBER(E263),ISNUMBER(F263))),$J$2=""),"",MIN(100,ROUND(SUM($G263:P263),1)))</f>
        <v/>
      </c>
      <c r="BO263" s="1" t="str">
        <f aca="false">IF(OR(NOT(AND(ISNUMBER(E263),ISNUMBER(F263))),$J$2=""),"",MIN(100,ROUND(SUM($G263:P263),1)))</f>
        <v/>
      </c>
      <c r="BP263" s="1" t="str">
        <f aca="false">IF(OR(NOT(AND(ISNUMBER(E263),ISNUMBER(F263))),$J$2=""),"",MIN(100,ROUND(SUM($G263:P263),1)))</f>
        <v/>
      </c>
      <c r="BQ263" s="1" t="str">
        <f aca="false">IF(OR(NOT(AND(ISNUMBER(E263),ISNUMBER(F263))),$J$2=""),"",MIN(100,ROUND(SUM($G263:P263),1)))</f>
        <v/>
      </c>
      <c r="BR263" s="1" t="str">
        <f aca="false">IF(OR(NOT(AND(ISNUMBER(E263),ISNUMBER(F263))),$J$2=""),"",MIN(100,ROUND(SUM($G263:P263),1)))</f>
        <v/>
      </c>
      <c r="BS263" s="1" t="str">
        <f aca="false">IF(OR(NOT(AND(ISNUMBER(E263),ISNUMBER(F263))),$J$2=""),"",MIN(100,ROUND(SUM($G263:P263),1)))</f>
        <v/>
      </c>
      <c r="BT263" s="1" t="str">
        <f aca="false">IF(OR(NOT(AND(ISNUMBER(E263),ISNUMBER(F263))),$J$2=""),"",IF(Reprogramaciones!K$13&lt;Reprogramaciones!$T$15,0,IF(Reprogramaciones!K$14&gt;10,MIN(100,SUM($G263:$P263)),MIN(100,SUMPRODUCT((COLUMN($G263:$P263)-COLUMN($G263)+1&lt;Reprogramaciones!K$14)*$G263:$P263)+N(INDEX($G263:$P263,1,Reprogramaciones!K$14))*IF(Reprogramaciones!K$13&gt;=(Reprogramaciones!$T$15+7*(Reprogramaciones!K$14-1))+6,1,IF(MAX(0,NETWORKDAYS.INTL(MAX(E263,(Reprogramaciones!$T$15+7*(Reprogramaciones!K$14-1))),MIN(F263,(Reprogramaciones!$T$15+7*(Reprogramaciones!K$14-1))+6),11))=0,0,MAX(0,NETWORKDAYS.INTL(MAX(E263,(Reprogramaciones!$T$15+7*(Reprogramaciones!K$14-1))),MIN(F263,Reprogramaciones!K$13),11))/MAX(0,NETWORKDAYS.INTL(MAX(E263,(Reprogramaciones!$T$15+7*(Reprogramaciones!K$14-1))),MIN(F263,(Reprogramaciones!$T$15+7*(Reprogramaciones!K$14-1))+6),11))))))))</f>
        <v/>
      </c>
      <c r="BU263" s="1" t="str">
        <f aca="false">IF(OR(NOT(AND(ISNUMBER(E263),ISNUMBER(F263))),$J$2=""),"",IF(Reprogramaciones!L$13&lt;Reprogramaciones!$T$15,0,IF(Reprogramaciones!L$14&gt;10,MIN(100,SUM($G263:$P263)),MIN(100,SUMPRODUCT((COLUMN($G263:$P263)-COLUMN($G263)+1&lt;Reprogramaciones!L$14)*$G263:$P263)+N(INDEX($G263:$P263,1,Reprogramaciones!L$14))*IF(Reprogramaciones!L$13&gt;=(Reprogramaciones!$T$15+7*(Reprogramaciones!L$14-1))+6,1,IF(MAX(0,NETWORKDAYS.INTL(MAX(E263,(Reprogramaciones!$T$15+7*(Reprogramaciones!L$14-1))),MIN(F263,(Reprogramaciones!$T$15+7*(Reprogramaciones!L$14-1))+6),11))=0,0,MAX(0,NETWORKDAYS.INTL(MAX(E263,(Reprogramaciones!$T$15+7*(Reprogramaciones!L$14-1))),MIN(F263,Reprogramaciones!L$13),11))/MAX(0,NETWORKDAYS.INTL(MAX(E263,(Reprogramaciones!$T$15+7*(Reprogramaciones!L$14-1))),MIN(F263,(Reprogramaciones!$T$15+7*(Reprogramaciones!L$14-1))+6),11))))))))</f>
        <v/>
      </c>
      <c r="BV263" s="1" t="str">
        <f aca="false">IF(OR(NOT(AND(ISNUMBER(E263),ISNUMBER(F263))),$J$2=""),"",IF(Reprogramaciones!M$13&lt;Reprogramaciones!$T$15,0,IF(Reprogramaciones!M$14&gt;10,MIN(100,SUM($G263:$P263)),MIN(100,SUMPRODUCT((COLUMN($G263:$P263)-COLUMN($G263)+1&lt;Reprogramaciones!M$14)*$G263:$P263)+N(INDEX($G263:$P263,1,Reprogramaciones!M$14))*IF(Reprogramaciones!M$13&gt;=(Reprogramaciones!$T$15+7*(Reprogramaciones!M$14-1))+6,1,IF(MAX(0,NETWORKDAYS.INTL(MAX(E263,(Reprogramaciones!$T$15+7*(Reprogramaciones!M$14-1))),MIN(F263,(Reprogramaciones!$T$15+7*(Reprogramaciones!M$14-1))+6),11))=0,0,MAX(0,NETWORKDAYS.INTL(MAX(E263,(Reprogramaciones!$T$15+7*(Reprogramaciones!M$14-1))),MIN(F263,Reprogramaciones!M$13),11))/MAX(0,NETWORKDAYS.INTL(MAX(E263,(Reprogramaciones!$T$15+7*(Reprogramaciones!M$14-1))),MIN(F263,(Reprogramaciones!$T$15+7*(Reprogramaciones!M$14-1))+6),11))))))))</f>
        <v/>
      </c>
      <c r="BW263" s="1" t="str">
        <f aca="false">IF(OR(NOT(AND(ISNUMBER(E263),ISNUMBER(F263))),$J$2=""),"",IF(Reprogramaciones!N$13&lt;Reprogramaciones!$T$15,0,IF(Reprogramaciones!N$14&gt;10,MIN(100,SUM($G263:$P263)),MIN(100,SUMPRODUCT((COLUMN($G263:$P263)-COLUMN($G263)+1&lt;Reprogramaciones!N$14)*$G263:$P263)+N(INDEX($G263:$P263,1,Reprogramaciones!N$14))*IF(Reprogramaciones!N$13&gt;=(Reprogramaciones!$T$15+7*(Reprogramaciones!N$14-1))+6,1,IF(MAX(0,NETWORKDAYS.INTL(MAX(E263,(Reprogramaciones!$T$15+7*(Reprogramaciones!N$14-1))),MIN(F263,(Reprogramaciones!$T$15+7*(Reprogramaciones!N$14-1))+6),11))=0,0,MAX(0,NETWORKDAYS.INTL(MAX(E263,(Reprogramaciones!$T$15+7*(Reprogramaciones!N$14-1))),MIN(F263,Reprogramaciones!N$13),11))/MAX(0,NETWORKDAYS.INTL(MAX(E263,(Reprogramaciones!$T$15+7*(Reprogramaciones!N$14-1))),MIN(F263,(Reprogramaciones!$T$15+7*(Reprogramaciones!N$14-1))+6),11))))))))</f>
        <v/>
      </c>
      <c r="BX263" s="1" t="str">
        <f aca="false">IF(OR(NOT(AND(ISNUMBER(E263),ISNUMBER(F263))),$J$2=""),"",IF(Reprogramaciones!O$13&lt;Reprogramaciones!$T$15,0,IF(Reprogramaciones!O$14&gt;10,MIN(100,SUM($G263:$P263)),MIN(100,SUMPRODUCT((COLUMN($G263:$P263)-COLUMN($G263)+1&lt;Reprogramaciones!O$14)*$G263:$P263)+N(INDEX($G263:$P263,1,Reprogramaciones!O$14))*IF(Reprogramaciones!O$13&gt;=(Reprogramaciones!$T$15+7*(Reprogramaciones!O$14-1))+6,1,IF(MAX(0,NETWORKDAYS.INTL(MAX(E263,(Reprogramaciones!$T$15+7*(Reprogramaciones!O$14-1))),MIN(F263,(Reprogramaciones!$T$15+7*(Reprogramaciones!O$14-1))+6),11))=0,0,MAX(0,NETWORKDAYS.INTL(MAX(E263,(Reprogramaciones!$T$15+7*(Reprogramaciones!O$14-1))),MIN(F263,Reprogramaciones!O$13),11))/MAX(0,NETWORKDAYS.INTL(MAX(E263,(Reprogramaciones!$T$15+7*(Reprogramaciones!O$14-1))),MIN(F263,(Reprogramaciones!$T$15+7*(Reprogramaciones!O$14-1))+6),11))))))))</f>
        <v/>
      </c>
      <c r="BY263" s="1" t="str">
        <f aca="false">IF(OR(NOT(AND(ISNUMBER(E263),ISNUMBER(F263))),$J$2=""),"",IF(Reprogramaciones!P$13&lt;Reprogramaciones!$T$15,0,IF(Reprogramaciones!P$14&gt;10,MIN(100,SUM($G263:$P263)),MIN(100,SUMPRODUCT((COLUMN($G263:$P263)-COLUMN($G263)+1&lt;Reprogramaciones!P$14)*$G263:$P263)+N(INDEX($G263:$P263,1,Reprogramaciones!P$14))*IF(Reprogramaciones!P$13&gt;=(Reprogramaciones!$T$15+7*(Reprogramaciones!P$14-1))+6,1,IF(MAX(0,NETWORKDAYS.INTL(MAX(E263,(Reprogramaciones!$T$15+7*(Reprogramaciones!P$14-1))),MIN(F263,(Reprogramaciones!$T$15+7*(Reprogramaciones!P$14-1))+6),11))=0,0,MAX(0,NETWORKDAYS.INTL(MAX(E263,(Reprogramaciones!$T$15+7*(Reprogramaciones!P$14-1))),MIN(F263,Reprogramaciones!P$13),11))/MAX(0,NETWORKDAYS.INTL(MAX(E263,(Reprogramaciones!$T$15+7*(Reprogramaciones!P$14-1))),MIN(F263,(Reprogramaciones!$T$15+7*(Reprogramaciones!P$14-1))+6),11))))))))</f>
        <v/>
      </c>
      <c r="BZ263" s="1" t="str">
        <f aca="false">IF(OR(NOT(AND(ISNUMBER(E263),ISNUMBER(F263))),$J$2=""),"",IF(Reprogramaciones!Q$13&lt;Reprogramaciones!$T$15,0,IF(Reprogramaciones!Q$14&gt;10,MIN(100,SUM($G263:$P263)),MIN(100,SUMPRODUCT((COLUMN($G263:$P263)-COLUMN($G263)+1&lt;Reprogramaciones!Q$14)*$G263:$P263)+N(INDEX($G263:$P263,1,Reprogramaciones!Q$14))*IF(Reprogramaciones!Q$13&gt;=(Reprogramaciones!$T$15+7*(Reprogramaciones!Q$14-1))+6,1,IF(MAX(0,NETWORKDAYS.INTL(MAX(E263,(Reprogramaciones!$T$15+7*(Reprogramaciones!Q$14-1))),MIN(F263,(Reprogramaciones!$T$15+7*(Reprogramaciones!Q$14-1))+6),11))=0,0,MAX(0,NETWORKDAYS.INTL(MAX(E263,(Reprogramaciones!$T$15+7*(Reprogramaciones!Q$14-1))),MIN(F263,Reprogramaciones!Q$13),11))/MAX(0,NETWORKDAYS.INTL(MAX(E263,(Reprogramaciones!$T$15+7*(Reprogramaciones!Q$14-1))),MIN(F263,(Reprogramaciones!$T$15+7*(Reprogramaciones!Q$14-1))+6),11))))))))</f>
        <v/>
      </c>
      <c r="CA263" s="1" t="str">
        <f aca="false">IF(OR(NOT(AND(ISNUMBER(E263),ISNUMBER(F263))),$J$2=""),"",IF(Reprogramaciones!R$13&lt;Reprogramaciones!$T$15,0,IF(Reprogramaciones!R$14&gt;10,MIN(100,SUM($G263:$P263)),MIN(100,SUMPRODUCT((COLUMN($G263:$P263)-COLUMN($G263)+1&lt;Reprogramaciones!R$14)*$G263:$P263)+N(INDEX($G263:$P263,1,Reprogramaciones!R$14))*IF(Reprogramaciones!R$13&gt;=(Reprogramaciones!$T$15+7*(Reprogramaciones!R$14-1))+6,1,IF(MAX(0,NETWORKDAYS.INTL(MAX(E263,(Reprogramaciones!$T$15+7*(Reprogramaciones!R$14-1))),MIN(F263,(Reprogramaciones!$T$15+7*(Reprogramaciones!R$14-1))+6),11))=0,0,MAX(0,NETWORKDAYS.INTL(MAX(E263,(Reprogramaciones!$T$15+7*(Reprogramaciones!R$14-1))),MIN(F263,Reprogramaciones!R$13),11))/MAX(0,NETWORKDAYS.INTL(MAX(E263,(Reprogramaciones!$T$15+7*(Reprogramaciones!R$14-1))),MIN(F263,(Reprogramaciones!$T$15+7*(Reprogramaciones!R$14-1))+6),11))))))))</f>
        <v/>
      </c>
      <c r="CB263" s="1" t="str">
        <f aca="false">IF(OR(NOT(AND(ISNUMBER(E263),ISNUMBER(F263))),$J$2=""),"",IF(Reprogramaciones!S$13&lt;Reprogramaciones!$T$15,0,IF(Reprogramaciones!S$14&gt;10,MIN(100,SUM($G263:$P263)),MIN(100,SUMPRODUCT((COLUMN($G263:$P263)-COLUMN($G263)+1&lt;Reprogramaciones!S$14)*$G263:$P263)+N(INDEX($G263:$P263,1,Reprogramaciones!S$14))*IF(Reprogramaciones!S$13&gt;=(Reprogramaciones!$T$15+7*(Reprogramaciones!S$14-1))+6,1,IF(MAX(0,NETWORKDAYS.INTL(MAX(E263,(Reprogramaciones!$T$15+7*(Reprogramaciones!S$14-1))),MIN(F263,(Reprogramaciones!$T$15+7*(Reprogramaciones!S$14-1))+6),11))=0,0,MAX(0,NETWORKDAYS.INTL(MAX(E263,(Reprogramaciones!$T$15+7*(Reprogramaciones!S$14-1))),MIN(F263,Reprogramaciones!S$13),11))/MAX(0,NETWORKDAYS.INTL(MAX(E263,(Reprogramaciones!$T$15+7*(Reprogramaciones!S$14-1))),MIN(F263,(Reprogramaciones!$T$15+7*(Reprogramaciones!S$14-1))+6),11))))))))</f>
        <v/>
      </c>
      <c r="CC263" s="1" t="str">
        <f aca="false">IF(OR(NOT(AND(ISNUMBER(E263),ISNUMBER(F263))),$J$2=""),"",IF(Reprogramaciones!T$13&lt;Reprogramaciones!$T$15,0,IF(Reprogramaciones!T$14&gt;10,MIN(100,SUM($G263:$P263)),MIN(100,SUMPRODUCT((COLUMN($G263:$P263)-COLUMN($G263)+1&lt;Reprogramaciones!T$14)*$G263:$P263)+N(INDEX($G263:$P263,1,Reprogramaciones!T$14))*IF(Reprogramaciones!T$13&gt;=(Reprogramaciones!$T$15+7*(Reprogramaciones!T$14-1))+6,1,IF(MAX(0,NETWORKDAYS.INTL(MAX(E263,(Reprogramaciones!$T$15+7*(Reprogramaciones!T$14-1))),MIN(F263,(Reprogramaciones!$T$15+7*(Reprogramaciones!T$14-1))+6),11))=0,0,MAX(0,NETWORKDAYS.INTL(MAX(E263,(Reprogramaciones!$T$15+7*(Reprogramaciones!T$14-1))),MIN(F263,Reprogramaciones!T$13),11))/MAX(0,NETWORKDAYS.INTL(MAX(E263,(Reprogramaciones!$T$15+7*(Reprogramaciones!T$14-1))),MIN(F263,(Reprogramaciones!$T$15+7*(Reprogramaciones!T$14-1))+6),11))))))))</f>
        <v/>
      </c>
      <c r="CD263" s="1" t="str">
        <f aca="false">IF(OR(NOT(AND(ISNUMBER(E263),ISNUMBER(F263))),$J$2=""),"",IF(Reprogramaciones!U$13&lt;Reprogramaciones!$T$15,0,IF(Reprogramaciones!U$14&gt;10,MIN(100,SUM($G263:$P263)),MIN(100,SUMPRODUCT((COLUMN($G263:$P263)-COLUMN($G263)+1&lt;Reprogramaciones!U$14)*$G263:$P263)+N(INDEX($G263:$P263,1,Reprogramaciones!U$14))*IF(Reprogramaciones!U$13&gt;=(Reprogramaciones!$T$15+7*(Reprogramaciones!U$14-1))+6,1,IF(MAX(0,NETWORKDAYS.INTL(MAX(E263,(Reprogramaciones!$T$15+7*(Reprogramaciones!U$14-1))),MIN(F263,(Reprogramaciones!$T$15+7*(Reprogramaciones!U$14-1))+6),11))=0,0,MAX(0,NETWORKDAYS.INTL(MAX(E263,(Reprogramaciones!$T$15+7*(Reprogramaciones!U$14-1))),MIN(F263,Reprogramaciones!U$13),11))/MAX(0,NETWORKDAYS.INTL(MAX(E263,(Reprogramaciones!$T$15+7*(Reprogramaciones!U$14-1))),MIN(F263,(Reprogramaciones!$T$15+7*(Reprogramaciones!U$14-1))+6),11))))))))</f>
        <v/>
      </c>
      <c r="CE263" s="1" t="str">
        <f aca="false">IF(OR(NOT(AND(ISNUMBER(E263),ISNUMBER(F263))),$J$2=""),"",IF(Reprogramaciones!V$13&lt;Reprogramaciones!$T$15,0,IF(Reprogramaciones!V$14&gt;10,MIN(100,SUM($G263:$P263)),MIN(100,SUMPRODUCT((COLUMN($G263:$P263)-COLUMN($G263)+1&lt;Reprogramaciones!V$14)*$G263:$P263)+N(INDEX($G263:$P263,1,Reprogramaciones!V$14))*IF(Reprogramaciones!V$13&gt;=(Reprogramaciones!$T$15+7*(Reprogramaciones!V$14-1))+6,1,IF(MAX(0,NETWORKDAYS.INTL(MAX(E263,(Reprogramaciones!$T$15+7*(Reprogramaciones!V$14-1))),MIN(F263,(Reprogramaciones!$T$15+7*(Reprogramaciones!V$14-1))+6),11))=0,0,MAX(0,NETWORKDAYS.INTL(MAX(E263,(Reprogramaciones!$T$15+7*(Reprogramaciones!V$14-1))),MIN(F263,Reprogramaciones!V$13),11))/MAX(0,NETWORKDAYS.INTL(MAX(E263,(Reprogramaciones!$T$15+7*(Reprogramaciones!V$14-1))),MIN(F263,(Reprogramaciones!$T$15+7*(Reprogramaciones!V$14-1))+6),11))))))))</f>
        <v/>
      </c>
      <c r="CF263" s="1" t="str">
        <f aca="false">IF(OR(NOT(AND(ISNUMBER(E263),ISNUMBER(F263))),$J$2=""),"",IF(Reprogramaciones!W$13&lt;Reprogramaciones!$T$15,0,IF(Reprogramaciones!W$14&gt;10,MIN(100,SUM($G263:$P263)),MIN(100,SUMPRODUCT((COLUMN($G263:$P263)-COLUMN($G263)+1&lt;Reprogramaciones!W$14)*$G263:$P263)+N(INDEX($G263:$P263,1,Reprogramaciones!W$14))*IF(Reprogramaciones!W$13&gt;=(Reprogramaciones!$T$15+7*(Reprogramaciones!W$14-1))+6,1,IF(MAX(0,NETWORKDAYS.INTL(MAX(E263,(Reprogramaciones!$T$15+7*(Reprogramaciones!W$14-1))),MIN(F263,(Reprogramaciones!$T$15+7*(Reprogramaciones!W$14-1))+6),11))=0,0,MAX(0,NETWORKDAYS.INTL(MAX(E263,(Reprogramaciones!$T$15+7*(Reprogramaciones!W$14-1))),MIN(F263,Reprogramaciones!W$13),11))/MAX(0,NETWORKDAYS.INTL(MAX(E263,(Reprogramaciones!$T$15+7*(Reprogramaciones!W$14-1))),MIN(F263,(Reprogramaciones!$T$15+7*(Reprogramaciones!W$14-1))+6),11))))))))</f>
        <v/>
      </c>
      <c r="CG263" s="1" t="str">
        <f aca="false">IF(OR(NOT(AND(ISNUMBER(E263),ISNUMBER(F263))),$J$2=""),"",IF(Reprogramaciones!X$13&lt;Reprogramaciones!$T$15,0,IF(Reprogramaciones!X$14&gt;10,MIN(100,SUM($G263:$P263)),MIN(100,SUMPRODUCT((COLUMN($G263:$P263)-COLUMN($G263)+1&lt;Reprogramaciones!X$14)*$G263:$P263)+N(INDEX($G263:$P263,1,Reprogramaciones!X$14))*IF(Reprogramaciones!X$13&gt;=(Reprogramaciones!$T$15+7*(Reprogramaciones!X$14-1))+6,1,IF(MAX(0,NETWORKDAYS.INTL(MAX(E263,(Reprogramaciones!$T$15+7*(Reprogramaciones!X$14-1))),MIN(F263,(Reprogramaciones!$T$15+7*(Reprogramaciones!X$14-1))+6),11))=0,0,MAX(0,NETWORKDAYS.INTL(MAX(E263,(Reprogramaciones!$T$15+7*(Reprogramaciones!X$14-1))),MIN(F263,Reprogramaciones!X$13),11))/MAX(0,NETWORKDAYS.INTL(MAX(E263,(Reprogramaciones!$T$15+7*(Reprogramaciones!X$14-1))),MIN(F263,(Reprogramaciones!$T$15+7*(Reprogramaciones!X$14-1))+6),11))))))))</f>
        <v/>
      </c>
      <c r="CH263" s="1" t="str">
        <f aca="false">IF(OR(NOT(AND(ISNUMBER(E263),ISNUMBER(F263))),$J$2=""),"",IF(Reprogramaciones!Y$13&lt;Reprogramaciones!$T$15,0,IF(Reprogramaciones!Y$14&gt;10,MIN(100,SUM($G263:$P263)),MIN(100,SUMPRODUCT((COLUMN($G263:$P263)-COLUMN($G263)+1&lt;Reprogramaciones!Y$14)*$G263:$P263)+N(INDEX($G263:$P263,1,Reprogramaciones!Y$14))*IF(Reprogramaciones!Y$13&gt;=(Reprogramaciones!$T$15+7*(Reprogramaciones!Y$14-1))+6,1,IF(MAX(0,NETWORKDAYS.INTL(MAX(E263,(Reprogramaciones!$T$15+7*(Reprogramaciones!Y$14-1))),MIN(F263,(Reprogramaciones!$T$15+7*(Reprogramaciones!Y$14-1))+6),11))=0,0,MAX(0,NETWORKDAYS.INTL(MAX(E263,(Reprogramaciones!$T$15+7*(Reprogramaciones!Y$14-1))),MIN(F263,Reprogramaciones!Y$13),11))/MAX(0,NETWORKDAYS.INTL(MAX(E263,(Reprogramaciones!$T$15+7*(Reprogramaciones!Y$14-1))),MIN(F263,(Reprogramaciones!$T$15+7*(Reprogramaciones!Y$14-1))+6),11))))))))</f>
        <v/>
      </c>
      <c r="CI263" s="1" t="str">
        <f aca="false">IF(OR(NOT(AND(ISNUMBER(E263),ISNUMBER(F263))),$J$2=""),"",IF(Reprogramaciones!Z$13&lt;Reprogramaciones!$T$15,0,IF(Reprogramaciones!Z$14&gt;10,MIN(100,SUM($G263:$P263)),MIN(100,SUMPRODUCT((COLUMN($G263:$P263)-COLUMN($G263)+1&lt;Reprogramaciones!Z$14)*$G263:$P263)+N(INDEX($G263:$P263,1,Reprogramaciones!Z$14))*IF(Reprogramaciones!Z$13&gt;=(Reprogramaciones!$T$15+7*(Reprogramaciones!Z$14-1))+6,1,IF(MAX(0,NETWORKDAYS.INTL(MAX(E263,(Reprogramaciones!$T$15+7*(Reprogramaciones!Z$14-1))),MIN(F263,(Reprogramaciones!$T$15+7*(Reprogramaciones!Z$14-1))+6),11))=0,0,MAX(0,NETWORKDAYS.INTL(MAX(E263,(Reprogramaciones!$T$15+7*(Reprogramaciones!Z$14-1))),MIN(F263,Reprogramaciones!Z$13),11))/MAX(0,NETWORKDAYS.INTL(MAX(E263,(Reprogramaciones!$T$15+7*(Reprogramaciones!Z$14-1))),MIN(F263,(Reprogramaciones!$T$15+7*(Reprogramaciones!Z$14-1))+6),11))))))))</f>
        <v/>
      </c>
      <c r="CJ263" s="1" t="str">
        <f aca="false">IF(OR(OR(NOT(AND(ISNUMBER(E263),ISNUMBER(F263))),$J$2=""),1&gt;Reprogramaciones!$K$16),"",IF(ROUND(SUM($Q263:Q263),1)&gt;=99.5,100,MIN(100,ROUND(SUM($Q263:Q263),1))))</f>
        <v/>
      </c>
      <c r="CK263" s="1" t="str">
        <f aca="false">IF(OR(OR(NOT(AND(ISNUMBER(E263),ISNUMBER(F263))),$J$2=""),2&gt;Reprogramaciones!$K$16),"",IF(ROUND(SUM($Q263:R263),1)&gt;=99.5,100,MIN(100,ROUND(SUM($Q263:R263),1))))</f>
        <v/>
      </c>
      <c r="CL263" s="1" t="str">
        <f aca="false">IF(OR(OR(NOT(AND(ISNUMBER(E263),ISNUMBER(F263))),$J$2=""),3&gt;Reprogramaciones!$K$16),"",IF(ROUND(SUM($Q263:S263),1)&gt;=99.5,100,MIN(100,ROUND(SUM($Q263:S263),1))))</f>
        <v/>
      </c>
      <c r="CM263" s="1" t="str">
        <f aca="false">IF(OR(OR(NOT(AND(ISNUMBER(E263),ISNUMBER(F263))),$J$2=""),4&gt;Reprogramaciones!$K$16),"",IF(ROUND(SUM($Q263:T263),1)&gt;=99.5,100,MIN(100,ROUND(SUM($Q263:T263),1))))</f>
        <v/>
      </c>
      <c r="CN263" s="1" t="str">
        <f aca="false">IF(OR(OR(NOT(AND(ISNUMBER(E263),ISNUMBER(F263))),$J$2=""),5&gt;Reprogramaciones!$K$16),"",IF(ROUND(SUM($Q263:U263),1)&gt;=99.5,100,MIN(100,ROUND(SUM($Q263:U263),1))))</f>
        <v/>
      </c>
      <c r="CO263" s="1" t="str">
        <f aca="false">IF(OR(OR(NOT(AND(ISNUMBER(E263),ISNUMBER(F263))),$J$2=""),6&gt;Reprogramaciones!$K$16),"",IF(ROUND(SUM($Q263:V263),1)&gt;=99.5,100,MIN(100,ROUND(SUM($Q263:V263),1))))</f>
        <v/>
      </c>
      <c r="CP263" s="1" t="str">
        <f aca="false">IF(OR(OR(NOT(AND(ISNUMBER(E263),ISNUMBER(F263))),$J$2=""),7&gt;Reprogramaciones!$K$16),"",IF(ROUND(SUM($Q263:W263),1)&gt;=99.5,100,MIN(100,ROUND(SUM($Q263:W263),1))))</f>
        <v/>
      </c>
      <c r="CQ263" s="1" t="str">
        <f aca="false">IF(OR(OR(NOT(AND(ISNUMBER(E263),ISNUMBER(F263))),$J$2=""),8&gt;Reprogramaciones!$K$16),"",IF(ROUND(SUM($Q263:X263),1)&gt;=99.5,100,MIN(100,ROUND(SUM($Q263:X263),1))))</f>
        <v/>
      </c>
      <c r="CR263" s="1" t="str">
        <f aca="false">IF(OR(OR(NOT(AND(ISNUMBER(E263),ISNUMBER(F263))),$J$2=""),9&gt;Reprogramaciones!$K$16),"",IF(ROUND(SUM($Q263:Y263),1)&gt;=99.5,100,MIN(100,ROUND(SUM($Q263:Y263),1))))</f>
        <v/>
      </c>
      <c r="CS263" s="1" t="str">
        <f aca="false">IF(OR(OR(NOT(AND(ISNUMBER(E263),ISNUMBER(F263))),$J$2=""),10&gt;Reprogramaciones!$K$16),"",IF(ROUND(SUM($Q263:Z263),1)&gt;=99.5,100,MIN(100,ROUND(SUM($Q263:Z263),1))))</f>
        <v/>
      </c>
      <c r="CT263" s="1" t="str">
        <f aca="false">IF(OR(OR(NOT(AND(ISNUMBER(E263),ISNUMBER(F263))),$J$2=""),11&gt;Reprogramaciones!$K$16),"",IF(ROUND(SUM($Q263:AA263),1)&gt;=99.5,100,MIN(100,ROUND(SUM($Q263:AA263),1))))</f>
        <v/>
      </c>
      <c r="CU263" s="1" t="str">
        <f aca="false">IF(OR(OR(NOT(AND(ISNUMBER(E263),ISNUMBER(F263))),$J$2=""),12&gt;Reprogramaciones!$K$16),"",IF(ROUND(SUM($Q263:AB263),1)&gt;=99.5,100,MIN(100,ROUND(SUM($Q263:AB263),1))))</f>
        <v/>
      </c>
      <c r="CV263" s="1" t="str">
        <f aca="false">IF(OR(OR(NOT(AND(ISNUMBER(E263),ISNUMBER(F263))),$J$2=""),13&gt;Reprogramaciones!$K$16),"",IF(ROUND(SUM($Q263:AC263),1)&gt;=99.5,100,MIN(100,ROUND(SUM($Q263:AC263),1))))</f>
        <v/>
      </c>
      <c r="CW263" s="1" t="str">
        <f aca="false">IF(OR(OR(NOT(AND(ISNUMBER(E263),ISNUMBER(F263))),$J$2=""),14&gt;Reprogramaciones!$K$16),"",IF(ROUND(SUM($Q263:AD263),1)&gt;=99.5,100,MIN(100,ROUND(SUM($Q263:AD263),1))))</f>
        <v/>
      </c>
      <c r="CX263" s="1" t="str">
        <f aca="false">IF(OR(OR(NOT(AND(ISNUMBER(E263),ISNUMBER(F263))),$J$2=""),15&gt;Reprogramaciones!$K$16),"",IF(ROUND(SUM($Q263:AE263),1)&gt;=99.5,100,MIN(100,ROUND(SUM($Q263:AE263),1))))</f>
        <v/>
      </c>
      <c r="CY263" s="1" t="str">
        <f aca="false">IF(OR(OR(NOT(AND(ISNUMBER(E263),ISNUMBER(F263))),$J$2=""),16&gt;Reprogramaciones!$K$16),"",IF(ROUND(SUM($Q263:AF263),1)&gt;=99.5,100,MIN(100,ROUND(SUM($Q263:AF263),1))))</f>
        <v/>
      </c>
      <c r="CZ263" s="1" t="str">
        <f aca="false">IF(D263&lt;&gt;"",D263,IF(B263&lt;&gt;"","Contractual",CZ262))</f>
        <v>Contractual</v>
      </c>
      <c r="DA263" s="1" t="str">
        <f aca="false">IF(OR(NOT(AND(ISNUMBER(E263),ISNUMBER(F263))),$J$2=""),"",IF(Reprogramaciones!$Q$15&lt;Reprogramaciones!$T$15,0,IF(Reprogramaciones!$S$15&gt;10,MIN(100,SUM($G263:$P263)),MIN(100,SUMPRODUCT((COLUMN($G263:$P263)-COLUMN($G263)+1&lt;Reprogramaciones!$S$15)*$G263:$P263)+N(INDEX($G263:$P263,1,Reprogramaciones!$S$15))*IF(Reprogramaciones!$Q$15&gt;=(Reprogramaciones!$T$15+7*(Reprogramaciones!$S$15-1))+6,1,IF(MAX(0,NETWORKDAYS.INTL(MAX(E263,(Reprogramaciones!$T$15+7*(Reprogramaciones!$S$15-1))),MIN(F263,(Reprogramaciones!$T$15+7*(Reprogramaciones!$S$15-1))+6),11))=0,0,MAX(0,NETWORKDAYS.INTL(MAX(E263,(Reprogramaciones!$T$15+7*(Reprogramaciones!$S$15-1))),MIN(F263,Reprogramaciones!$Q$15),11))/MAX(0,NETWORKDAYS.INTL(MAX(E263,(Reprogramaciones!$T$15+7*(Reprogramaciones!$S$15-1))),MIN(F263,(Reprogramaciones!$T$15+7*(Reprogramaciones!$S$15-1))+6),11))))))))</f>
        <v/>
      </c>
    </row>
    <row r="264" customFormat="false" ht="15" hidden="false" customHeight="false" outlineLevel="0" collapsed="false">
      <c r="A264" s="32"/>
      <c r="B264" s="33"/>
      <c r="C264" s="33"/>
      <c r="D264" s="34"/>
      <c r="E264" s="35"/>
      <c r="F264" s="35"/>
      <c r="G264" s="36" t="str">
        <f aca="false">IF(OR(NOT(AND(ISNUMBER(E264),ISNUMBER(F264))),$J$2=""),"",IF(Reprogramaciones!K$9&lt;E264,0,IF(NETWORKDAYS.INTL(E264,F264,11)=0,IF(Reprogramaciones!K$9&gt;=F264,100,0),ROUND(NETWORKDAYS.INTL(E264,MIN(F264,Reprogramaciones!K$9),11)/NETWORKDAYS.INTL(E264,F264,11)*100,1)))-0)</f>
        <v/>
      </c>
      <c r="H264" s="36" t="str">
        <f aca="false">IF(OR(NOT(AND(ISNUMBER(E264),ISNUMBER(F264))),$J$2=""),"",IF(Reprogramaciones!L$9&lt;E264,0,IF(NETWORKDAYS.INTL(E264,F264,11)=0,IF(Reprogramaciones!L$9&gt;=F264,100,0),ROUND(NETWORKDAYS.INTL(E264,MIN(F264,Reprogramaciones!L$9),11)/NETWORKDAYS.INTL(E264,F264,11)*100,1)))-IF(Reprogramaciones!K$9&lt;E264,0,IF(NETWORKDAYS.INTL(E264,F264,11)=0,IF(Reprogramaciones!K$9&gt;=F264,100,0),ROUND(NETWORKDAYS.INTL(E264,MIN(F264,Reprogramaciones!K$9),11)/NETWORKDAYS.INTL(E264,F264,11)*100,1))))</f>
        <v/>
      </c>
      <c r="I264" s="36" t="str">
        <f aca="false">IF(OR(NOT(AND(ISNUMBER(E264),ISNUMBER(F264))),$J$2=""),"",IF(Reprogramaciones!M$9&lt;E264,0,IF(NETWORKDAYS.INTL(E264,F264,11)=0,IF(Reprogramaciones!M$9&gt;=F264,100,0),ROUND(NETWORKDAYS.INTL(E264,MIN(F264,Reprogramaciones!M$9),11)/NETWORKDAYS.INTL(E264,F264,11)*100,1)))-IF(Reprogramaciones!L$9&lt;E264,0,IF(NETWORKDAYS.INTL(E264,F264,11)=0,IF(Reprogramaciones!L$9&gt;=F264,100,0),ROUND(NETWORKDAYS.INTL(E264,MIN(F264,Reprogramaciones!L$9),11)/NETWORKDAYS.INTL(E264,F264,11)*100,1))))</f>
        <v/>
      </c>
      <c r="J264" s="36" t="str">
        <f aca="false">IF(OR(NOT(AND(ISNUMBER(E264),ISNUMBER(F264))),$J$2=""),"",IF(Reprogramaciones!N$9&lt;E264,0,IF(NETWORKDAYS.INTL(E264,F264,11)=0,IF(Reprogramaciones!N$9&gt;=F264,100,0),ROUND(NETWORKDAYS.INTL(E264,MIN(F264,Reprogramaciones!N$9),11)/NETWORKDAYS.INTL(E264,F264,11)*100,1)))-IF(Reprogramaciones!M$9&lt;E264,0,IF(NETWORKDAYS.INTL(E264,F264,11)=0,IF(Reprogramaciones!M$9&gt;=F264,100,0),ROUND(NETWORKDAYS.INTL(E264,MIN(F264,Reprogramaciones!M$9),11)/NETWORKDAYS.INTL(E264,F264,11)*100,1))))</f>
        <v/>
      </c>
      <c r="K264" s="36" t="str">
        <f aca="false">IF(OR(NOT(AND(ISNUMBER(E264),ISNUMBER(F264))),$J$2=""),"",IF(Reprogramaciones!O$9&lt;E264,0,IF(NETWORKDAYS.INTL(E264,F264,11)=0,IF(Reprogramaciones!O$9&gt;=F264,100,0),ROUND(NETWORKDAYS.INTL(E264,MIN(F264,Reprogramaciones!O$9),11)/NETWORKDAYS.INTL(E264,F264,11)*100,1)))-IF(Reprogramaciones!N$9&lt;E264,0,IF(NETWORKDAYS.INTL(E264,F264,11)=0,IF(Reprogramaciones!N$9&gt;=F264,100,0),ROUND(NETWORKDAYS.INTL(E264,MIN(F264,Reprogramaciones!N$9),11)/NETWORKDAYS.INTL(E264,F264,11)*100,1))))</f>
        <v/>
      </c>
      <c r="L264" s="36" t="str">
        <f aca="false">IF(OR(NOT(AND(ISNUMBER(E264),ISNUMBER(F264))),$J$2=""),"",IF(Reprogramaciones!P$9&lt;E264,0,IF(NETWORKDAYS.INTL(E264,F264,11)=0,IF(Reprogramaciones!P$9&gt;=F264,100,0),ROUND(NETWORKDAYS.INTL(E264,MIN(F264,Reprogramaciones!P$9),11)/NETWORKDAYS.INTL(E264,F264,11)*100,1)))-IF(Reprogramaciones!O$9&lt;E264,0,IF(NETWORKDAYS.INTL(E264,F264,11)=0,IF(Reprogramaciones!O$9&gt;=F264,100,0),ROUND(NETWORKDAYS.INTL(E264,MIN(F264,Reprogramaciones!O$9),11)/NETWORKDAYS.INTL(E264,F264,11)*100,1))))</f>
        <v/>
      </c>
      <c r="M264" s="36" t="str">
        <f aca="false">IF(OR(NOT(AND(ISNUMBER(E264),ISNUMBER(F264))),$J$2=""),"",IF(Reprogramaciones!Q$9&lt;E264,0,IF(NETWORKDAYS.INTL(E264,F264,11)=0,IF(Reprogramaciones!Q$9&gt;=F264,100,0),ROUND(NETWORKDAYS.INTL(E264,MIN(F264,Reprogramaciones!Q$9),11)/NETWORKDAYS.INTL(E264,F264,11)*100,1)))-IF(Reprogramaciones!P$9&lt;E264,0,IF(NETWORKDAYS.INTL(E264,F264,11)=0,IF(Reprogramaciones!P$9&gt;=F264,100,0),ROUND(NETWORKDAYS.INTL(E264,MIN(F264,Reprogramaciones!P$9),11)/NETWORKDAYS.INTL(E264,F264,11)*100,1))))</f>
        <v/>
      </c>
      <c r="N264" s="36" t="str">
        <f aca="false">IF(OR(NOT(AND(ISNUMBER(E264),ISNUMBER(F264))),$J$2=""),"",IF(Reprogramaciones!R$9&lt;E264,0,IF(NETWORKDAYS.INTL(E264,F264,11)=0,IF(Reprogramaciones!R$9&gt;=F264,100,0),ROUND(NETWORKDAYS.INTL(E264,MIN(F264,Reprogramaciones!R$9),11)/NETWORKDAYS.INTL(E264,F264,11)*100,1)))-IF(Reprogramaciones!Q$9&lt;E264,0,IF(NETWORKDAYS.INTL(E264,F264,11)=0,IF(Reprogramaciones!Q$9&gt;=F264,100,0),ROUND(NETWORKDAYS.INTL(E264,MIN(F264,Reprogramaciones!Q$9),11)/NETWORKDAYS.INTL(E264,F264,11)*100,1))))</f>
        <v/>
      </c>
      <c r="O264" s="36" t="str">
        <f aca="false">IF(OR(NOT(AND(ISNUMBER(E264),ISNUMBER(F264))),$J$2=""),"",IF(Reprogramaciones!S$9&lt;E264,0,IF(NETWORKDAYS.INTL(E264,F264,11)=0,IF(Reprogramaciones!S$9&gt;=F264,100,0),ROUND(NETWORKDAYS.INTL(E264,MIN(F264,Reprogramaciones!S$9),11)/NETWORKDAYS.INTL(E264,F264,11)*100,1)))-IF(Reprogramaciones!R$9&lt;E264,0,IF(NETWORKDAYS.INTL(E264,F264,11)=0,IF(Reprogramaciones!R$9&gt;=F264,100,0),ROUND(NETWORKDAYS.INTL(E264,MIN(F264,Reprogramaciones!R$9),11)/NETWORKDAYS.INTL(E264,F264,11)*100,1))))</f>
        <v/>
      </c>
      <c r="P264" s="36" t="str">
        <f aca="false">IF(OR(NOT(AND(ISNUMBER(E264),ISNUMBER(F264))),$J$2=""),"",IF(Reprogramaciones!T$9&lt;E264,0,IF(NETWORKDAYS.INTL(E264,F264,11)=0,IF(Reprogramaciones!T$9&gt;=F264,100,0),ROUND(NETWORKDAYS.INTL(E264,MIN(F264,Reprogramaciones!T$9),11)/NETWORKDAYS.INTL(E264,F264,11)*100,1)))-IF(Reprogramaciones!S$9&lt;E264,0,IF(NETWORKDAYS.INTL(E264,F264,11)=0,IF(Reprogramaciones!S$9&gt;=F264,100,0),ROUND(NETWORKDAYS.INTL(E264,MIN(F264,Reprogramaciones!S$9),11)/NETWORKDAYS.INTL(E264,F264,11)*100,1))))</f>
        <v/>
      </c>
      <c r="Q264" s="37"/>
      <c r="R264" s="37"/>
      <c r="S264" s="37"/>
      <c r="T264" s="37"/>
      <c r="U264" s="37"/>
      <c r="V264" s="37"/>
      <c r="W264" s="37"/>
      <c r="X264" s="37"/>
      <c r="Y264" s="37"/>
      <c r="Z264" s="37"/>
      <c r="AA264" s="37"/>
      <c r="AB264" s="37"/>
      <c r="AC264" s="37"/>
      <c r="AD264" s="37"/>
      <c r="AE264" s="37"/>
      <c r="AF264" s="37"/>
      <c r="AG264" s="38" t="str">
        <f aca="false">IF(AND(ISNUMBER(E264),ISNUMBER(F264)),NETWORKDAYS.INTL(E264,F264,11),"")</f>
        <v/>
      </c>
      <c r="AH264" s="38" t="str">
        <f aca="false">IF(OR(NOT(AND(ISNUMBER(E264),ISNUMBER(F264))),$J$2=""),"",IF(Reprogramaciones!$P$15&lt;Reprogramaciones!$T$15,0,IF(Reprogramaciones!$R$15&gt;10,MIN(100,SUM($G264:$P264)),MIN(100,SUMPRODUCT((COLUMN($G264:$P264)-COLUMN($G264)+1&lt;Reprogramaciones!$R$15)*$G264:$P264)+N(INDEX($G264:$P264,1,Reprogramaciones!$R$15))*IF(Reprogramaciones!$P$15&gt;=(Reprogramaciones!$T$15+7*(Reprogramaciones!$R$15-1))+6,1,IF(MAX(0,NETWORKDAYS.INTL(MAX(E264,(Reprogramaciones!$T$15+7*(Reprogramaciones!$R$15-1))),MIN(F264,(Reprogramaciones!$T$15+7*(Reprogramaciones!$R$15-1))+6),11))=0,0,MAX(0,NETWORKDAYS.INTL(MAX(E264,(Reprogramaciones!$T$15+7*(Reprogramaciones!$R$15-1))),MIN(F264,Reprogramaciones!$P$15),11))/MAX(0,NETWORKDAYS.INTL(MAX(E264,(Reprogramaciones!$T$15+7*(Reprogramaciones!$R$15-1))),MIN(F264,(Reprogramaciones!$T$15+7*(Reprogramaciones!$R$15-1))+6),11))))))))</f>
        <v/>
      </c>
      <c r="AI264" s="38" t="str">
        <f aca="false">IF(COUNT($Q264:$AF264)=0,"",IF(ROUND(SUM($Q264:$AF264),1)&gt;=99.5,100,MIN(100,ROUND(SUM($Q264:$AF264),1))))</f>
        <v/>
      </c>
      <c r="AJ264" s="38" t="str">
        <f aca="false">IF(OR(AH264="",AI264=""),"",AI264-AH264)</f>
        <v/>
      </c>
      <c r="AK264" s="39" t="str">
        <f aca="true">IF(AH264="","",IF(OR(Ficha!$C$10="Suspendida",Ficha!$C$10="Cancelada"),Ficha!$C$10,IF(AND(AI264&lt;&gt;"",N(AI264)&gt;=100),"Completada",IF(AND(E264&gt;TODAY(),N(AI264)=0),"Por iniciar",IF(N(AI264)+0.5&lt;AH264,"Retrasada",IF(N(AI264)+0.5&lt;DA264,IF(Reprogramaciones!$K$15&gt;0,"Al día · Sem "&amp;Reprogramaciones!$K$15&amp;" en curso","Al día · en curso"),"A tiempo"))))))</f>
        <v/>
      </c>
      <c r="AL264" s="39" t="str">
        <f aca="true">IF(AND(A264="",AND(B264="",C264="",E264="",F264="",COUNT(Q264:AF264)=0)),"",IF(AND(B264="",C264="",E264="",F264="",COUNT(Q264:AF264)=0),"Falta la partida o subpartida",IF(AND(A264&lt;&gt;"",COUNTIF($A$6:$A$305,A264)&gt;1),"Ítem repetido",IF(AND(C264="",E264="",F264="",COUNT(Q264:AF264)=0),"Título de partida",IF(OR(E264="",F264=""),"Faltan fechas",IF(OR(ISTEXT(E264),ISTEXT(F264)),"Fecha escrita como texto: usa dd/mm/aaaa",IF(F264&lt;E264,"Fin antes del inicio",IF(IF($J$2="",FALSE(),OR(E264&lt;$J$2,F264&gt;Reprogramaciones!$T$15+69)),"Fuera de las 10 semanas",IF(ABS(SUM(G264:P264)-100)&gt;0.5,"La meta no suma 100%",IF(ROUND(SUM(Q264:AF264),1)&gt;100.5,"El avance pasa de 100%",IF(MIN(Q264:AF264)&lt;0,"Avance negativo",IF(COUNTA(Q264:AF264)&gt;COUNT(Q264:AF264),"Avance escrito como texto",IF(SUMPRODUCT((Q264:AF264&gt;0)*(Q264:AF264&lt;1))&gt;0,"Avance menor a 1: escribe 50, no 50%",IF(SUMPRODUCT(ISNUMBER(Q264:AF264)*(Reprogramaciones!$K$8:$Z$8&gt;TODAY()))&gt;0,"Avance en semana que aún no llega",IF(AND(N(Reprogramaciones!$E$21)&gt;0,F264&gt;Reprogramaciones!$E$21),"Pasa el fin de la obra: registra una reprogramación",IF(AND(N(Reprogramaciones!$E$21)&gt;0,SUMPRODUCT(ISNUMBER(Q264:AF264)*(Reprogramaciones!$K$8:$Z$8&gt;Reprogramaciones!$E$21))&gt;0),"Avance después del fin de la obra: registra una reprogramación por atraso","OK"))))))))))))))))</f>
        <v/>
      </c>
      <c r="AM264" s="40" t="str">
        <f aca="false">IF(OR(OR(NOT(AND(ISNUMBER(E264),ISNUMBER(F264))),$J$2=""),1&gt;MAX(1,Reprogramaciones!$U$15)),"",IF(Reprogramaciones!K$12&gt;=7,"",IF(OR(BT264-N(0)&gt;0.05,N(Q264)&gt;0),ROUNDDOWN(ROUND(BT264,6),0)&amp;"%"&amp;IF(CJ264="",""," / "&amp;CJ264&amp;"%"),IF(AND(N(0)&gt;=99.95,CJ264&lt;&gt;"",N(CJ264)&lt;100),"Pend. "&amp;CJ264&amp;"%",""))))</f>
        <v/>
      </c>
      <c r="AN264" s="40" t="str">
        <f aca="false">IF(OR(OR(NOT(AND(ISNUMBER(E264),ISNUMBER(F264))),$J$2=""),2&gt;MAX(1,Reprogramaciones!$U$15)),"",IF(Reprogramaciones!L$12&gt;=7,"",IF(OR(BU264-N(BT264)&gt;0.05,N(R264)&gt;0),ROUNDDOWN(ROUND(BU264,6),0)&amp;"%"&amp;IF(CK264="",""," / "&amp;CK264&amp;"%"),IF(AND(N(BT264)&gt;=99.95,CK264&lt;&gt;"",N(CK264)&lt;100),"Pend. "&amp;CK264&amp;"%",""))))</f>
        <v/>
      </c>
      <c r="AO264" s="40" t="str">
        <f aca="false">IF(OR(OR(NOT(AND(ISNUMBER(E264),ISNUMBER(F264))),$J$2=""),3&gt;MAX(1,Reprogramaciones!$U$15)),"",IF(Reprogramaciones!M$12&gt;=7,"",IF(OR(BV264-N(BU264)&gt;0.05,N(S264)&gt;0),ROUNDDOWN(ROUND(BV264,6),0)&amp;"%"&amp;IF(CL264="",""," / "&amp;CL264&amp;"%"),IF(AND(N(BU264)&gt;=99.95,CL264&lt;&gt;"",N(CL264)&lt;100),"Pend. "&amp;CL264&amp;"%",""))))</f>
        <v/>
      </c>
      <c r="AP264" s="40" t="str">
        <f aca="false">IF(OR(OR(NOT(AND(ISNUMBER(E264),ISNUMBER(F264))),$J$2=""),4&gt;MAX(1,Reprogramaciones!$U$15)),"",IF(Reprogramaciones!N$12&gt;=7,"",IF(OR(BW264-N(BV264)&gt;0.05,N(T264)&gt;0),ROUNDDOWN(ROUND(BW264,6),0)&amp;"%"&amp;IF(CM264="",""," / "&amp;CM264&amp;"%"),IF(AND(N(BV264)&gt;=99.95,CM264&lt;&gt;"",N(CM264)&lt;100),"Pend. "&amp;CM264&amp;"%",""))))</f>
        <v/>
      </c>
      <c r="AQ264" s="40" t="str">
        <f aca="false">IF(OR(OR(NOT(AND(ISNUMBER(E264),ISNUMBER(F264))),$J$2=""),5&gt;MAX(1,Reprogramaciones!$U$15)),"",IF(Reprogramaciones!O$12&gt;=7,"",IF(OR(BX264-N(BW264)&gt;0.05,N(U264)&gt;0),ROUNDDOWN(ROUND(BX264,6),0)&amp;"%"&amp;IF(CN264="",""," / "&amp;CN264&amp;"%"),IF(AND(N(BW264)&gt;=99.95,CN264&lt;&gt;"",N(CN264)&lt;100),"Pend. "&amp;CN264&amp;"%",""))))</f>
        <v/>
      </c>
      <c r="AR264" s="40" t="str">
        <f aca="false">IF(OR(OR(NOT(AND(ISNUMBER(E264),ISNUMBER(F264))),$J$2=""),6&gt;MAX(1,Reprogramaciones!$U$15)),"",IF(Reprogramaciones!P$12&gt;=7,"",IF(OR(BY264-N(BX264)&gt;0.05,N(V264)&gt;0),ROUNDDOWN(ROUND(BY264,6),0)&amp;"%"&amp;IF(CO264="",""," / "&amp;CO264&amp;"%"),IF(AND(N(BX264)&gt;=99.95,CO264&lt;&gt;"",N(CO264)&lt;100),"Pend. "&amp;CO264&amp;"%",""))))</f>
        <v/>
      </c>
      <c r="AS264" s="40" t="str">
        <f aca="false">IF(OR(OR(NOT(AND(ISNUMBER(E264),ISNUMBER(F264))),$J$2=""),7&gt;MAX(1,Reprogramaciones!$U$15)),"",IF(Reprogramaciones!Q$12&gt;=7,"",IF(OR(BZ264-N(BY264)&gt;0.05,N(W264)&gt;0),ROUNDDOWN(ROUND(BZ264,6),0)&amp;"%"&amp;IF(CP264="",""," / "&amp;CP264&amp;"%"),IF(AND(N(BY264)&gt;=99.95,CP264&lt;&gt;"",N(CP264)&lt;100),"Pend. "&amp;CP264&amp;"%",""))))</f>
        <v/>
      </c>
      <c r="AT264" s="40" t="str">
        <f aca="false">IF(OR(OR(NOT(AND(ISNUMBER(E264),ISNUMBER(F264))),$J$2=""),8&gt;MAX(1,Reprogramaciones!$U$15)),"",IF(Reprogramaciones!R$12&gt;=7,"",IF(OR(CA264-N(BZ264)&gt;0.05,N(X264)&gt;0),ROUNDDOWN(ROUND(CA264,6),0)&amp;"%"&amp;IF(CQ264="",""," / "&amp;CQ264&amp;"%"),IF(AND(N(BZ264)&gt;=99.95,CQ264&lt;&gt;"",N(CQ264)&lt;100),"Pend. "&amp;CQ264&amp;"%",""))))</f>
        <v/>
      </c>
      <c r="AU264" s="40" t="str">
        <f aca="false">IF(OR(OR(NOT(AND(ISNUMBER(E264),ISNUMBER(F264))),$J$2=""),9&gt;MAX(1,Reprogramaciones!$U$15)),"",IF(Reprogramaciones!S$12&gt;=7,"",IF(OR(CB264-N(CA264)&gt;0.05,N(Y264)&gt;0),ROUNDDOWN(ROUND(CB264,6),0)&amp;"%"&amp;IF(CR264="",""," / "&amp;CR264&amp;"%"),IF(AND(N(CA264)&gt;=99.95,CR264&lt;&gt;"",N(CR264)&lt;100),"Pend. "&amp;CR264&amp;"%",""))))</f>
        <v/>
      </c>
      <c r="AV264" s="40" t="str">
        <f aca="false">IF(OR(OR(NOT(AND(ISNUMBER(E264),ISNUMBER(F264))),$J$2=""),10&gt;MAX(1,Reprogramaciones!$U$15)),"",IF(Reprogramaciones!T$12&gt;=7,"",IF(OR(CC264-N(CB264)&gt;0.05,N(Z264)&gt;0),ROUNDDOWN(ROUND(CC264,6),0)&amp;"%"&amp;IF(CS264="",""," / "&amp;CS264&amp;"%"),IF(AND(N(CB264)&gt;=99.95,CS264&lt;&gt;"",N(CS264)&lt;100),"Pend. "&amp;CS264&amp;"%",""))))</f>
        <v/>
      </c>
      <c r="AW264" s="40" t="str">
        <f aca="false">IF(OR(OR(NOT(AND(ISNUMBER(E264),ISNUMBER(F264))),$J$2=""),11&gt;MAX(1,Reprogramaciones!$U$15)),"",IF(Reprogramaciones!U$12&gt;=7,"",IF(OR(CD264-N(CC264)&gt;0.05,N(AA264)&gt;0),ROUNDDOWN(ROUND(CD264,6),0)&amp;"%"&amp;IF(CT264="",""," / "&amp;CT264&amp;"%"),IF(AND(N(CC264)&gt;=99.95,CT264&lt;&gt;"",N(CT264)&lt;100),"Pend. "&amp;CT264&amp;"%",""))))</f>
        <v/>
      </c>
      <c r="AX264" s="40" t="str">
        <f aca="false">IF(OR(OR(NOT(AND(ISNUMBER(E264),ISNUMBER(F264))),$J$2=""),12&gt;MAX(1,Reprogramaciones!$U$15)),"",IF(Reprogramaciones!V$12&gt;=7,"",IF(OR(CE264-N(CD264)&gt;0.05,N(AB264)&gt;0),ROUNDDOWN(ROUND(CE264,6),0)&amp;"%"&amp;IF(CU264="",""," / "&amp;CU264&amp;"%"),IF(AND(N(CD264)&gt;=99.95,CU264&lt;&gt;"",N(CU264)&lt;100),"Pend. "&amp;CU264&amp;"%",""))))</f>
        <v/>
      </c>
      <c r="AY264" s="40" t="str">
        <f aca="false">IF(OR(OR(NOT(AND(ISNUMBER(E264),ISNUMBER(F264))),$J$2=""),13&gt;MAX(1,Reprogramaciones!$U$15)),"",IF(Reprogramaciones!W$12&gt;=7,"",IF(OR(CF264-N(CE264)&gt;0.05,N(AC264)&gt;0),ROUNDDOWN(ROUND(CF264,6),0)&amp;"%"&amp;IF(CV264="",""," / "&amp;CV264&amp;"%"),IF(AND(N(CE264)&gt;=99.95,CV264&lt;&gt;"",N(CV264)&lt;100),"Pend. "&amp;CV264&amp;"%",""))))</f>
        <v/>
      </c>
      <c r="AZ264" s="40" t="str">
        <f aca="false">IF(OR(OR(NOT(AND(ISNUMBER(E264),ISNUMBER(F264))),$J$2=""),14&gt;MAX(1,Reprogramaciones!$U$15)),"",IF(Reprogramaciones!X$12&gt;=7,"",IF(OR(CG264-N(CF264)&gt;0.05,N(AD264)&gt;0),ROUNDDOWN(ROUND(CG264,6),0)&amp;"%"&amp;IF(CW264="",""," / "&amp;CW264&amp;"%"),IF(AND(N(CF264)&gt;=99.95,CW264&lt;&gt;"",N(CW264)&lt;100),"Pend. "&amp;CW264&amp;"%",""))))</f>
        <v/>
      </c>
      <c r="BA264" s="40" t="str">
        <f aca="false">IF(OR(OR(NOT(AND(ISNUMBER(E264),ISNUMBER(F264))),$J$2=""),15&gt;MAX(1,Reprogramaciones!$U$15)),"",IF(Reprogramaciones!Y$12&gt;=7,"",IF(OR(CH264-N(CG264)&gt;0.05,N(AE264)&gt;0),ROUNDDOWN(ROUND(CH264,6),0)&amp;"%"&amp;IF(CX264="",""," / "&amp;CX264&amp;"%"),IF(AND(N(CG264)&gt;=99.95,CX264&lt;&gt;"",N(CX264)&lt;100),"Pend. "&amp;CX264&amp;"%",""))))</f>
        <v/>
      </c>
      <c r="BB264" s="40" t="str">
        <f aca="false">IF(OR(OR(NOT(AND(ISNUMBER(E264),ISNUMBER(F264))),$J$2=""),16&gt;MAX(1,Reprogramaciones!$U$15)),"",IF(Reprogramaciones!Z$12&gt;=7,"",IF(OR(CI264-N(CH264)&gt;0.05,N(AF264)&gt;0),ROUNDDOWN(ROUND(CI264,6),0)&amp;"%"&amp;IF(CY264="",""," / "&amp;CY264&amp;"%"),IF(AND(N(CH264)&gt;=99.95,CY264&lt;&gt;"",N(CY264)&lt;100),"Pend. "&amp;CY264&amp;"%",""))))</f>
        <v/>
      </c>
      <c r="BC264" s="31" t="n">
        <f aca="false">IF(AND(ISNUMBER(E264),ISNUMBER(F264)),MAX(1,NETWORKDAYS.INTL(E264,F264,11)),0)</f>
        <v>0</v>
      </c>
      <c r="BD264" s="1" t="str">
        <f aca="false">IF(OR(NOT(AND(ISNUMBER(E264),ISNUMBER(F264))),$J$2=""),"",MIN(100,ROUND(SUM($G264:G264),1)))</f>
        <v/>
      </c>
      <c r="BE264" s="1" t="str">
        <f aca="false">IF(OR(NOT(AND(ISNUMBER(E264),ISNUMBER(F264))),$J$2=""),"",MIN(100,ROUND(SUM($G264:H264),1)))</f>
        <v/>
      </c>
      <c r="BF264" s="1" t="str">
        <f aca="false">IF(OR(NOT(AND(ISNUMBER(E264),ISNUMBER(F264))),$J$2=""),"",MIN(100,ROUND(SUM($G264:I264),1)))</f>
        <v/>
      </c>
      <c r="BG264" s="1" t="str">
        <f aca="false">IF(OR(NOT(AND(ISNUMBER(E264),ISNUMBER(F264))),$J$2=""),"",MIN(100,ROUND(SUM($G264:J264),1)))</f>
        <v/>
      </c>
      <c r="BH264" s="1" t="str">
        <f aca="false">IF(OR(NOT(AND(ISNUMBER(E264),ISNUMBER(F264))),$J$2=""),"",MIN(100,ROUND(SUM($G264:K264),1)))</f>
        <v/>
      </c>
      <c r="BI264" s="1" t="str">
        <f aca="false">IF(OR(NOT(AND(ISNUMBER(E264),ISNUMBER(F264))),$J$2=""),"",MIN(100,ROUND(SUM($G264:L264),1)))</f>
        <v/>
      </c>
      <c r="BJ264" s="1" t="str">
        <f aca="false">IF(OR(NOT(AND(ISNUMBER(E264),ISNUMBER(F264))),$J$2=""),"",MIN(100,ROUND(SUM($G264:M264),1)))</f>
        <v/>
      </c>
      <c r="BK264" s="1" t="str">
        <f aca="false">IF(OR(NOT(AND(ISNUMBER(E264),ISNUMBER(F264))),$J$2=""),"",MIN(100,ROUND(SUM($G264:N264),1)))</f>
        <v/>
      </c>
      <c r="BL264" s="1" t="str">
        <f aca="false">IF(OR(NOT(AND(ISNUMBER(E264),ISNUMBER(F264))),$J$2=""),"",MIN(100,ROUND(SUM($G264:O264),1)))</f>
        <v/>
      </c>
      <c r="BM264" s="1" t="str">
        <f aca="false">IF(OR(NOT(AND(ISNUMBER(E264),ISNUMBER(F264))),$J$2=""),"",MIN(100,ROUND(SUM($G264:P264),1)))</f>
        <v/>
      </c>
      <c r="BN264" s="1" t="str">
        <f aca="false">IF(OR(NOT(AND(ISNUMBER(E264),ISNUMBER(F264))),$J$2=""),"",MIN(100,ROUND(SUM($G264:P264),1)))</f>
        <v/>
      </c>
      <c r="BO264" s="1" t="str">
        <f aca="false">IF(OR(NOT(AND(ISNUMBER(E264),ISNUMBER(F264))),$J$2=""),"",MIN(100,ROUND(SUM($G264:P264),1)))</f>
        <v/>
      </c>
      <c r="BP264" s="1" t="str">
        <f aca="false">IF(OR(NOT(AND(ISNUMBER(E264),ISNUMBER(F264))),$J$2=""),"",MIN(100,ROUND(SUM($G264:P264),1)))</f>
        <v/>
      </c>
      <c r="BQ264" s="1" t="str">
        <f aca="false">IF(OR(NOT(AND(ISNUMBER(E264),ISNUMBER(F264))),$J$2=""),"",MIN(100,ROUND(SUM($G264:P264),1)))</f>
        <v/>
      </c>
      <c r="BR264" s="1" t="str">
        <f aca="false">IF(OR(NOT(AND(ISNUMBER(E264),ISNUMBER(F264))),$J$2=""),"",MIN(100,ROUND(SUM($G264:P264),1)))</f>
        <v/>
      </c>
      <c r="BS264" s="1" t="str">
        <f aca="false">IF(OR(NOT(AND(ISNUMBER(E264),ISNUMBER(F264))),$J$2=""),"",MIN(100,ROUND(SUM($G264:P264),1)))</f>
        <v/>
      </c>
      <c r="BT264" s="1" t="str">
        <f aca="false">IF(OR(NOT(AND(ISNUMBER(E264),ISNUMBER(F264))),$J$2=""),"",IF(Reprogramaciones!K$13&lt;Reprogramaciones!$T$15,0,IF(Reprogramaciones!K$14&gt;10,MIN(100,SUM($G264:$P264)),MIN(100,SUMPRODUCT((COLUMN($G264:$P264)-COLUMN($G264)+1&lt;Reprogramaciones!K$14)*$G264:$P264)+N(INDEX($G264:$P264,1,Reprogramaciones!K$14))*IF(Reprogramaciones!K$13&gt;=(Reprogramaciones!$T$15+7*(Reprogramaciones!K$14-1))+6,1,IF(MAX(0,NETWORKDAYS.INTL(MAX(E264,(Reprogramaciones!$T$15+7*(Reprogramaciones!K$14-1))),MIN(F264,(Reprogramaciones!$T$15+7*(Reprogramaciones!K$14-1))+6),11))=0,0,MAX(0,NETWORKDAYS.INTL(MAX(E264,(Reprogramaciones!$T$15+7*(Reprogramaciones!K$14-1))),MIN(F264,Reprogramaciones!K$13),11))/MAX(0,NETWORKDAYS.INTL(MAX(E264,(Reprogramaciones!$T$15+7*(Reprogramaciones!K$14-1))),MIN(F264,(Reprogramaciones!$T$15+7*(Reprogramaciones!K$14-1))+6),11))))))))</f>
        <v/>
      </c>
      <c r="BU264" s="1" t="str">
        <f aca="false">IF(OR(NOT(AND(ISNUMBER(E264),ISNUMBER(F264))),$J$2=""),"",IF(Reprogramaciones!L$13&lt;Reprogramaciones!$T$15,0,IF(Reprogramaciones!L$14&gt;10,MIN(100,SUM($G264:$P264)),MIN(100,SUMPRODUCT((COLUMN($G264:$P264)-COLUMN($G264)+1&lt;Reprogramaciones!L$14)*$G264:$P264)+N(INDEX($G264:$P264,1,Reprogramaciones!L$14))*IF(Reprogramaciones!L$13&gt;=(Reprogramaciones!$T$15+7*(Reprogramaciones!L$14-1))+6,1,IF(MAX(0,NETWORKDAYS.INTL(MAX(E264,(Reprogramaciones!$T$15+7*(Reprogramaciones!L$14-1))),MIN(F264,(Reprogramaciones!$T$15+7*(Reprogramaciones!L$14-1))+6),11))=0,0,MAX(0,NETWORKDAYS.INTL(MAX(E264,(Reprogramaciones!$T$15+7*(Reprogramaciones!L$14-1))),MIN(F264,Reprogramaciones!L$13),11))/MAX(0,NETWORKDAYS.INTL(MAX(E264,(Reprogramaciones!$T$15+7*(Reprogramaciones!L$14-1))),MIN(F264,(Reprogramaciones!$T$15+7*(Reprogramaciones!L$14-1))+6),11))))))))</f>
        <v/>
      </c>
      <c r="BV264" s="1" t="str">
        <f aca="false">IF(OR(NOT(AND(ISNUMBER(E264),ISNUMBER(F264))),$J$2=""),"",IF(Reprogramaciones!M$13&lt;Reprogramaciones!$T$15,0,IF(Reprogramaciones!M$14&gt;10,MIN(100,SUM($G264:$P264)),MIN(100,SUMPRODUCT((COLUMN($G264:$P264)-COLUMN($G264)+1&lt;Reprogramaciones!M$14)*$G264:$P264)+N(INDEX($G264:$P264,1,Reprogramaciones!M$14))*IF(Reprogramaciones!M$13&gt;=(Reprogramaciones!$T$15+7*(Reprogramaciones!M$14-1))+6,1,IF(MAX(0,NETWORKDAYS.INTL(MAX(E264,(Reprogramaciones!$T$15+7*(Reprogramaciones!M$14-1))),MIN(F264,(Reprogramaciones!$T$15+7*(Reprogramaciones!M$14-1))+6),11))=0,0,MAX(0,NETWORKDAYS.INTL(MAX(E264,(Reprogramaciones!$T$15+7*(Reprogramaciones!M$14-1))),MIN(F264,Reprogramaciones!M$13),11))/MAX(0,NETWORKDAYS.INTL(MAX(E264,(Reprogramaciones!$T$15+7*(Reprogramaciones!M$14-1))),MIN(F264,(Reprogramaciones!$T$15+7*(Reprogramaciones!M$14-1))+6),11))))))))</f>
        <v/>
      </c>
      <c r="BW264" s="1" t="str">
        <f aca="false">IF(OR(NOT(AND(ISNUMBER(E264),ISNUMBER(F264))),$J$2=""),"",IF(Reprogramaciones!N$13&lt;Reprogramaciones!$T$15,0,IF(Reprogramaciones!N$14&gt;10,MIN(100,SUM($G264:$P264)),MIN(100,SUMPRODUCT((COLUMN($G264:$P264)-COLUMN($G264)+1&lt;Reprogramaciones!N$14)*$G264:$P264)+N(INDEX($G264:$P264,1,Reprogramaciones!N$14))*IF(Reprogramaciones!N$13&gt;=(Reprogramaciones!$T$15+7*(Reprogramaciones!N$14-1))+6,1,IF(MAX(0,NETWORKDAYS.INTL(MAX(E264,(Reprogramaciones!$T$15+7*(Reprogramaciones!N$14-1))),MIN(F264,(Reprogramaciones!$T$15+7*(Reprogramaciones!N$14-1))+6),11))=0,0,MAX(0,NETWORKDAYS.INTL(MAX(E264,(Reprogramaciones!$T$15+7*(Reprogramaciones!N$14-1))),MIN(F264,Reprogramaciones!N$13),11))/MAX(0,NETWORKDAYS.INTL(MAX(E264,(Reprogramaciones!$T$15+7*(Reprogramaciones!N$14-1))),MIN(F264,(Reprogramaciones!$T$15+7*(Reprogramaciones!N$14-1))+6),11))))))))</f>
        <v/>
      </c>
      <c r="BX264" s="1" t="str">
        <f aca="false">IF(OR(NOT(AND(ISNUMBER(E264),ISNUMBER(F264))),$J$2=""),"",IF(Reprogramaciones!O$13&lt;Reprogramaciones!$T$15,0,IF(Reprogramaciones!O$14&gt;10,MIN(100,SUM($G264:$P264)),MIN(100,SUMPRODUCT((COLUMN($G264:$P264)-COLUMN($G264)+1&lt;Reprogramaciones!O$14)*$G264:$P264)+N(INDEX($G264:$P264,1,Reprogramaciones!O$14))*IF(Reprogramaciones!O$13&gt;=(Reprogramaciones!$T$15+7*(Reprogramaciones!O$14-1))+6,1,IF(MAX(0,NETWORKDAYS.INTL(MAX(E264,(Reprogramaciones!$T$15+7*(Reprogramaciones!O$14-1))),MIN(F264,(Reprogramaciones!$T$15+7*(Reprogramaciones!O$14-1))+6),11))=0,0,MAX(0,NETWORKDAYS.INTL(MAX(E264,(Reprogramaciones!$T$15+7*(Reprogramaciones!O$14-1))),MIN(F264,Reprogramaciones!O$13),11))/MAX(0,NETWORKDAYS.INTL(MAX(E264,(Reprogramaciones!$T$15+7*(Reprogramaciones!O$14-1))),MIN(F264,(Reprogramaciones!$T$15+7*(Reprogramaciones!O$14-1))+6),11))))))))</f>
        <v/>
      </c>
      <c r="BY264" s="1" t="str">
        <f aca="false">IF(OR(NOT(AND(ISNUMBER(E264),ISNUMBER(F264))),$J$2=""),"",IF(Reprogramaciones!P$13&lt;Reprogramaciones!$T$15,0,IF(Reprogramaciones!P$14&gt;10,MIN(100,SUM($G264:$P264)),MIN(100,SUMPRODUCT((COLUMN($G264:$P264)-COLUMN($G264)+1&lt;Reprogramaciones!P$14)*$G264:$P264)+N(INDEX($G264:$P264,1,Reprogramaciones!P$14))*IF(Reprogramaciones!P$13&gt;=(Reprogramaciones!$T$15+7*(Reprogramaciones!P$14-1))+6,1,IF(MAX(0,NETWORKDAYS.INTL(MAX(E264,(Reprogramaciones!$T$15+7*(Reprogramaciones!P$14-1))),MIN(F264,(Reprogramaciones!$T$15+7*(Reprogramaciones!P$14-1))+6),11))=0,0,MAX(0,NETWORKDAYS.INTL(MAX(E264,(Reprogramaciones!$T$15+7*(Reprogramaciones!P$14-1))),MIN(F264,Reprogramaciones!P$13),11))/MAX(0,NETWORKDAYS.INTL(MAX(E264,(Reprogramaciones!$T$15+7*(Reprogramaciones!P$14-1))),MIN(F264,(Reprogramaciones!$T$15+7*(Reprogramaciones!P$14-1))+6),11))))))))</f>
        <v/>
      </c>
      <c r="BZ264" s="1" t="str">
        <f aca="false">IF(OR(NOT(AND(ISNUMBER(E264),ISNUMBER(F264))),$J$2=""),"",IF(Reprogramaciones!Q$13&lt;Reprogramaciones!$T$15,0,IF(Reprogramaciones!Q$14&gt;10,MIN(100,SUM($G264:$P264)),MIN(100,SUMPRODUCT((COLUMN($G264:$P264)-COLUMN($G264)+1&lt;Reprogramaciones!Q$14)*$G264:$P264)+N(INDEX($G264:$P264,1,Reprogramaciones!Q$14))*IF(Reprogramaciones!Q$13&gt;=(Reprogramaciones!$T$15+7*(Reprogramaciones!Q$14-1))+6,1,IF(MAX(0,NETWORKDAYS.INTL(MAX(E264,(Reprogramaciones!$T$15+7*(Reprogramaciones!Q$14-1))),MIN(F264,(Reprogramaciones!$T$15+7*(Reprogramaciones!Q$14-1))+6),11))=0,0,MAX(0,NETWORKDAYS.INTL(MAX(E264,(Reprogramaciones!$T$15+7*(Reprogramaciones!Q$14-1))),MIN(F264,Reprogramaciones!Q$13),11))/MAX(0,NETWORKDAYS.INTL(MAX(E264,(Reprogramaciones!$T$15+7*(Reprogramaciones!Q$14-1))),MIN(F264,(Reprogramaciones!$T$15+7*(Reprogramaciones!Q$14-1))+6),11))))))))</f>
        <v/>
      </c>
      <c r="CA264" s="1" t="str">
        <f aca="false">IF(OR(NOT(AND(ISNUMBER(E264),ISNUMBER(F264))),$J$2=""),"",IF(Reprogramaciones!R$13&lt;Reprogramaciones!$T$15,0,IF(Reprogramaciones!R$14&gt;10,MIN(100,SUM($G264:$P264)),MIN(100,SUMPRODUCT((COLUMN($G264:$P264)-COLUMN($G264)+1&lt;Reprogramaciones!R$14)*$G264:$P264)+N(INDEX($G264:$P264,1,Reprogramaciones!R$14))*IF(Reprogramaciones!R$13&gt;=(Reprogramaciones!$T$15+7*(Reprogramaciones!R$14-1))+6,1,IF(MAX(0,NETWORKDAYS.INTL(MAX(E264,(Reprogramaciones!$T$15+7*(Reprogramaciones!R$14-1))),MIN(F264,(Reprogramaciones!$T$15+7*(Reprogramaciones!R$14-1))+6),11))=0,0,MAX(0,NETWORKDAYS.INTL(MAX(E264,(Reprogramaciones!$T$15+7*(Reprogramaciones!R$14-1))),MIN(F264,Reprogramaciones!R$13),11))/MAX(0,NETWORKDAYS.INTL(MAX(E264,(Reprogramaciones!$T$15+7*(Reprogramaciones!R$14-1))),MIN(F264,(Reprogramaciones!$T$15+7*(Reprogramaciones!R$14-1))+6),11))))))))</f>
        <v/>
      </c>
      <c r="CB264" s="1" t="str">
        <f aca="false">IF(OR(NOT(AND(ISNUMBER(E264),ISNUMBER(F264))),$J$2=""),"",IF(Reprogramaciones!S$13&lt;Reprogramaciones!$T$15,0,IF(Reprogramaciones!S$14&gt;10,MIN(100,SUM($G264:$P264)),MIN(100,SUMPRODUCT((COLUMN($G264:$P264)-COLUMN($G264)+1&lt;Reprogramaciones!S$14)*$G264:$P264)+N(INDEX($G264:$P264,1,Reprogramaciones!S$14))*IF(Reprogramaciones!S$13&gt;=(Reprogramaciones!$T$15+7*(Reprogramaciones!S$14-1))+6,1,IF(MAX(0,NETWORKDAYS.INTL(MAX(E264,(Reprogramaciones!$T$15+7*(Reprogramaciones!S$14-1))),MIN(F264,(Reprogramaciones!$T$15+7*(Reprogramaciones!S$14-1))+6),11))=0,0,MAX(0,NETWORKDAYS.INTL(MAX(E264,(Reprogramaciones!$T$15+7*(Reprogramaciones!S$14-1))),MIN(F264,Reprogramaciones!S$13),11))/MAX(0,NETWORKDAYS.INTL(MAX(E264,(Reprogramaciones!$T$15+7*(Reprogramaciones!S$14-1))),MIN(F264,(Reprogramaciones!$T$15+7*(Reprogramaciones!S$14-1))+6),11))))))))</f>
        <v/>
      </c>
      <c r="CC264" s="1" t="str">
        <f aca="false">IF(OR(NOT(AND(ISNUMBER(E264),ISNUMBER(F264))),$J$2=""),"",IF(Reprogramaciones!T$13&lt;Reprogramaciones!$T$15,0,IF(Reprogramaciones!T$14&gt;10,MIN(100,SUM($G264:$P264)),MIN(100,SUMPRODUCT((COLUMN($G264:$P264)-COLUMN($G264)+1&lt;Reprogramaciones!T$14)*$G264:$P264)+N(INDEX($G264:$P264,1,Reprogramaciones!T$14))*IF(Reprogramaciones!T$13&gt;=(Reprogramaciones!$T$15+7*(Reprogramaciones!T$14-1))+6,1,IF(MAX(0,NETWORKDAYS.INTL(MAX(E264,(Reprogramaciones!$T$15+7*(Reprogramaciones!T$14-1))),MIN(F264,(Reprogramaciones!$T$15+7*(Reprogramaciones!T$14-1))+6),11))=0,0,MAX(0,NETWORKDAYS.INTL(MAX(E264,(Reprogramaciones!$T$15+7*(Reprogramaciones!T$14-1))),MIN(F264,Reprogramaciones!T$13),11))/MAX(0,NETWORKDAYS.INTL(MAX(E264,(Reprogramaciones!$T$15+7*(Reprogramaciones!T$14-1))),MIN(F264,(Reprogramaciones!$T$15+7*(Reprogramaciones!T$14-1))+6),11))))))))</f>
        <v/>
      </c>
      <c r="CD264" s="1" t="str">
        <f aca="false">IF(OR(NOT(AND(ISNUMBER(E264),ISNUMBER(F264))),$J$2=""),"",IF(Reprogramaciones!U$13&lt;Reprogramaciones!$T$15,0,IF(Reprogramaciones!U$14&gt;10,MIN(100,SUM($G264:$P264)),MIN(100,SUMPRODUCT((COLUMN($G264:$P264)-COLUMN($G264)+1&lt;Reprogramaciones!U$14)*$G264:$P264)+N(INDEX($G264:$P264,1,Reprogramaciones!U$14))*IF(Reprogramaciones!U$13&gt;=(Reprogramaciones!$T$15+7*(Reprogramaciones!U$14-1))+6,1,IF(MAX(0,NETWORKDAYS.INTL(MAX(E264,(Reprogramaciones!$T$15+7*(Reprogramaciones!U$14-1))),MIN(F264,(Reprogramaciones!$T$15+7*(Reprogramaciones!U$14-1))+6),11))=0,0,MAX(0,NETWORKDAYS.INTL(MAX(E264,(Reprogramaciones!$T$15+7*(Reprogramaciones!U$14-1))),MIN(F264,Reprogramaciones!U$13),11))/MAX(0,NETWORKDAYS.INTL(MAX(E264,(Reprogramaciones!$T$15+7*(Reprogramaciones!U$14-1))),MIN(F264,(Reprogramaciones!$T$15+7*(Reprogramaciones!U$14-1))+6),11))))))))</f>
        <v/>
      </c>
      <c r="CE264" s="1" t="str">
        <f aca="false">IF(OR(NOT(AND(ISNUMBER(E264),ISNUMBER(F264))),$J$2=""),"",IF(Reprogramaciones!V$13&lt;Reprogramaciones!$T$15,0,IF(Reprogramaciones!V$14&gt;10,MIN(100,SUM($G264:$P264)),MIN(100,SUMPRODUCT((COLUMN($G264:$P264)-COLUMN($G264)+1&lt;Reprogramaciones!V$14)*$G264:$P264)+N(INDEX($G264:$P264,1,Reprogramaciones!V$14))*IF(Reprogramaciones!V$13&gt;=(Reprogramaciones!$T$15+7*(Reprogramaciones!V$14-1))+6,1,IF(MAX(0,NETWORKDAYS.INTL(MAX(E264,(Reprogramaciones!$T$15+7*(Reprogramaciones!V$14-1))),MIN(F264,(Reprogramaciones!$T$15+7*(Reprogramaciones!V$14-1))+6),11))=0,0,MAX(0,NETWORKDAYS.INTL(MAX(E264,(Reprogramaciones!$T$15+7*(Reprogramaciones!V$14-1))),MIN(F264,Reprogramaciones!V$13),11))/MAX(0,NETWORKDAYS.INTL(MAX(E264,(Reprogramaciones!$T$15+7*(Reprogramaciones!V$14-1))),MIN(F264,(Reprogramaciones!$T$15+7*(Reprogramaciones!V$14-1))+6),11))))))))</f>
        <v/>
      </c>
      <c r="CF264" s="1" t="str">
        <f aca="false">IF(OR(NOT(AND(ISNUMBER(E264),ISNUMBER(F264))),$J$2=""),"",IF(Reprogramaciones!W$13&lt;Reprogramaciones!$T$15,0,IF(Reprogramaciones!W$14&gt;10,MIN(100,SUM($G264:$P264)),MIN(100,SUMPRODUCT((COLUMN($G264:$P264)-COLUMN($G264)+1&lt;Reprogramaciones!W$14)*$G264:$P264)+N(INDEX($G264:$P264,1,Reprogramaciones!W$14))*IF(Reprogramaciones!W$13&gt;=(Reprogramaciones!$T$15+7*(Reprogramaciones!W$14-1))+6,1,IF(MAX(0,NETWORKDAYS.INTL(MAX(E264,(Reprogramaciones!$T$15+7*(Reprogramaciones!W$14-1))),MIN(F264,(Reprogramaciones!$T$15+7*(Reprogramaciones!W$14-1))+6),11))=0,0,MAX(0,NETWORKDAYS.INTL(MAX(E264,(Reprogramaciones!$T$15+7*(Reprogramaciones!W$14-1))),MIN(F264,Reprogramaciones!W$13),11))/MAX(0,NETWORKDAYS.INTL(MAX(E264,(Reprogramaciones!$T$15+7*(Reprogramaciones!W$14-1))),MIN(F264,(Reprogramaciones!$T$15+7*(Reprogramaciones!W$14-1))+6),11))))))))</f>
        <v/>
      </c>
      <c r="CG264" s="1" t="str">
        <f aca="false">IF(OR(NOT(AND(ISNUMBER(E264),ISNUMBER(F264))),$J$2=""),"",IF(Reprogramaciones!X$13&lt;Reprogramaciones!$T$15,0,IF(Reprogramaciones!X$14&gt;10,MIN(100,SUM($G264:$P264)),MIN(100,SUMPRODUCT((COLUMN($G264:$P264)-COLUMN($G264)+1&lt;Reprogramaciones!X$14)*$G264:$P264)+N(INDEX($G264:$P264,1,Reprogramaciones!X$14))*IF(Reprogramaciones!X$13&gt;=(Reprogramaciones!$T$15+7*(Reprogramaciones!X$14-1))+6,1,IF(MAX(0,NETWORKDAYS.INTL(MAX(E264,(Reprogramaciones!$T$15+7*(Reprogramaciones!X$14-1))),MIN(F264,(Reprogramaciones!$T$15+7*(Reprogramaciones!X$14-1))+6),11))=0,0,MAX(0,NETWORKDAYS.INTL(MAX(E264,(Reprogramaciones!$T$15+7*(Reprogramaciones!X$14-1))),MIN(F264,Reprogramaciones!X$13),11))/MAX(0,NETWORKDAYS.INTL(MAX(E264,(Reprogramaciones!$T$15+7*(Reprogramaciones!X$14-1))),MIN(F264,(Reprogramaciones!$T$15+7*(Reprogramaciones!X$14-1))+6),11))))))))</f>
        <v/>
      </c>
      <c r="CH264" s="1" t="str">
        <f aca="false">IF(OR(NOT(AND(ISNUMBER(E264),ISNUMBER(F264))),$J$2=""),"",IF(Reprogramaciones!Y$13&lt;Reprogramaciones!$T$15,0,IF(Reprogramaciones!Y$14&gt;10,MIN(100,SUM($G264:$P264)),MIN(100,SUMPRODUCT((COLUMN($G264:$P264)-COLUMN($G264)+1&lt;Reprogramaciones!Y$14)*$G264:$P264)+N(INDEX($G264:$P264,1,Reprogramaciones!Y$14))*IF(Reprogramaciones!Y$13&gt;=(Reprogramaciones!$T$15+7*(Reprogramaciones!Y$14-1))+6,1,IF(MAX(0,NETWORKDAYS.INTL(MAX(E264,(Reprogramaciones!$T$15+7*(Reprogramaciones!Y$14-1))),MIN(F264,(Reprogramaciones!$T$15+7*(Reprogramaciones!Y$14-1))+6),11))=0,0,MAX(0,NETWORKDAYS.INTL(MAX(E264,(Reprogramaciones!$T$15+7*(Reprogramaciones!Y$14-1))),MIN(F264,Reprogramaciones!Y$13),11))/MAX(0,NETWORKDAYS.INTL(MAX(E264,(Reprogramaciones!$T$15+7*(Reprogramaciones!Y$14-1))),MIN(F264,(Reprogramaciones!$T$15+7*(Reprogramaciones!Y$14-1))+6),11))))))))</f>
        <v/>
      </c>
      <c r="CI264" s="1" t="str">
        <f aca="false">IF(OR(NOT(AND(ISNUMBER(E264),ISNUMBER(F264))),$J$2=""),"",IF(Reprogramaciones!Z$13&lt;Reprogramaciones!$T$15,0,IF(Reprogramaciones!Z$14&gt;10,MIN(100,SUM($G264:$P264)),MIN(100,SUMPRODUCT((COLUMN($G264:$P264)-COLUMN($G264)+1&lt;Reprogramaciones!Z$14)*$G264:$P264)+N(INDEX($G264:$P264,1,Reprogramaciones!Z$14))*IF(Reprogramaciones!Z$13&gt;=(Reprogramaciones!$T$15+7*(Reprogramaciones!Z$14-1))+6,1,IF(MAX(0,NETWORKDAYS.INTL(MAX(E264,(Reprogramaciones!$T$15+7*(Reprogramaciones!Z$14-1))),MIN(F264,(Reprogramaciones!$T$15+7*(Reprogramaciones!Z$14-1))+6),11))=0,0,MAX(0,NETWORKDAYS.INTL(MAX(E264,(Reprogramaciones!$T$15+7*(Reprogramaciones!Z$14-1))),MIN(F264,Reprogramaciones!Z$13),11))/MAX(0,NETWORKDAYS.INTL(MAX(E264,(Reprogramaciones!$T$15+7*(Reprogramaciones!Z$14-1))),MIN(F264,(Reprogramaciones!$T$15+7*(Reprogramaciones!Z$14-1))+6),11))))))))</f>
        <v/>
      </c>
      <c r="CJ264" s="1" t="str">
        <f aca="false">IF(OR(OR(NOT(AND(ISNUMBER(E264),ISNUMBER(F264))),$J$2=""),1&gt;Reprogramaciones!$K$16),"",IF(ROUND(SUM($Q264:Q264),1)&gt;=99.5,100,MIN(100,ROUND(SUM($Q264:Q264),1))))</f>
        <v/>
      </c>
      <c r="CK264" s="1" t="str">
        <f aca="false">IF(OR(OR(NOT(AND(ISNUMBER(E264),ISNUMBER(F264))),$J$2=""),2&gt;Reprogramaciones!$K$16),"",IF(ROUND(SUM($Q264:R264),1)&gt;=99.5,100,MIN(100,ROUND(SUM($Q264:R264),1))))</f>
        <v/>
      </c>
      <c r="CL264" s="1" t="str">
        <f aca="false">IF(OR(OR(NOT(AND(ISNUMBER(E264),ISNUMBER(F264))),$J$2=""),3&gt;Reprogramaciones!$K$16),"",IF(ROUND(SUM($Q264:S264),1)&gt;=99.5,100,MIN(100,ROUND(SUM($Q264:S264),1))))</f>
        <v/>
      </c>
      <c r="CM264" s="1" t="str">
        <f aca="false">IF(OR(OR(NOT(AND(ISNUMBER(E264),ISNUMBER(F264))),$J$2=""),4&gt;Reprogramaciones!$K$16),"",IF(ROUND(SUM($Q264:T264),1)&gt;=99.5,100,MIN(100,ROUND(SUM($Q264:T264),1))))</f>
        <v/>
      </c>
      <c r="CN264" s="1" t="str">
        <f aca="false">IF(OR(OR(NOT(AND(ISNUMBER(E264),ISNUMBER(F264))),$J$2=""),5&gt;Reprogramaciones!$K$16),"",IF(ROUND(SUM($Q264:U264),1)&gt;=99.5,100,MIN(100,ROUND(SUM($Q264:U264),1))))</f>
        <v/>
      </c>
      <c r="CO264" s="1" t="str">
        <f aca="false">IF(OR(OR(NOT(AND(ISNUMBER(E264),ISNUMBER(F264))),$J$2=""),6&gt;Reprogramaciones!$K$16),"",IF(ROUND(SUM($Q264:V264),1)&gt;=99.5,100,MIN(100,ROUND(SUM($Q264:V264),1))))</f>
        <v/>
      </c>
      <c r="CP264" s="1" t="str">
        <f aca="false">IF(OR(OR(NOT(AND(ISNUMBER(E264),ISNUMBER(F264))),$J$2=""),7&gt;Reprogramaciones!$K$16),"",IF(ROUND(SUM($Q264:W264),1)&gt;=99.5,100,MIN(100,ROUND(SUM($Q264:W264),1))))</f>
        <v/>
      </c>
      <c r="CQ264" s="1" t="str">
        <f aca="false">IF(OR(OR(NOT(AND(ISNUMBER(E264),ISNUMBER(F264))),$J$2=""),8&gt;Reprogramaciones!$K$16),"",IF(ROUND(SUM($Q264:X264),1)&gt;=99.5,100,MIN(100,ROUND(SUM($Q264:X264),1))))</f>
        <v/>
      </c>
      <c r="CR264" s="1" t="str">
        <f aca="false">IF(OR(OR(NOT(AND(ISNUMBER(E264),ISNUMBER(F264))),$J$2=""),9&gt;Reprogramaciones!$K$16),"",IF(ROUND(SUM($Q264:Y264),1)&gt;=99.5,100,MIN(100,ROUND(SUM($Q264:Y264),1))))</f>
        <v/>
      </c>
      <c r="CS264" s="1" t="str">
        <f aca="false">IF(OR(OR(NOT(AND(ISNUMBER(E264),ISNUMBER(F264))),$J$2=""),10&gt;Reprogramaciones!$K$16),"",IF(ROUND(SUM($Q264:Z264),1)&gt;=99.5,100,MIN(100,ROUND(SUM($Q264:Z264),1))))</f>
        <v/>
      </c>
      <c r="CT264" s="1" t="str">
        <f aca="false">IF(OR(OR(NOT(AND(ISNUMBER(E264),ISNUMBER(F264))),$J$2=""),11&gt;Reprogramaciones!$K$16),"",IF(ROUND(SUM($Q264:AA264),1)&gt;=99.5,100,MIN(100,ROUND(SUM($Q264:AA264),1))))</f>
        <v/>
      </c>
      <c r="CU264" s="1" t="str">
        <f aca="false">IF(OR(OR(NOT(AND(ISNUMBER(E264),ISNUMBER(F264))),$J$2=""),12&gt;Reprogramaciones!$K$16),"",IF(ROUND(SUM($Q264:AB264),1)&gt;=99.5,100,MIN(100,ROUND(SUM($Q264:AB264),1))))</f>
        <v/>
      </c>
      <c r="CV264" s="1" t="str">
        <f aca="false">IF(OR(OR(NOT(AND(ISNUMBER(E264),ISNUMBER(F264))),$J$2=""),13&gt;Reprogramaciones!$K$16),"",IF(ROUND(SUM($Q264:AC264),1)&gt;=99.5,100,MIN(100,ROUND(SUM($Q264:AC264),1))))</f>
        <v/>
      </c>
      <c r="CW264" s="1" t="str">
        <f aca="false">IF(OR(OR(NOT(AND(ISNUMBER(E264),ISNUMBER(F264))),$J$2=""),14&gt;Reprogramaciones!$K$16),"",IF(ROUND(SUM($Q264:AD264),1)&gt;=99.5,100,MIN(100,ROUND(SUM($Q264:AD264),1))))</f>
        <v/>
      </c>
      <c r="CX264" s="1" t="str">
        <f aca="false">IF(OR(OR(NOT(AND(ISNUMBER(E264),ISNUMBER(F264))),$J$2=""),15&gt;Reprogramaciones!$K$16),"",IF(ROUND(SUM($Q264:AE264),1)&gt;=99.5,100,MIN(100,ROUND(SUM($Q264:AE264),1))))</f>
        <v/>
      </c>
      <c r="CY264" s="1" t="str">
        <f aca="false">IF(OR(OR(NOT(AND(ISNUMBER(E264),ISNUMBER(F264))),$J$2=""),16&gt;Reprogramaciones!$K$16),"",IF(ROUND(SUM($Q264:AF264),1)&gt;=99.5,100,MIN(100,ROUND(SUM($Q264:AF264),1))))</f>
        <v/>
      </c>
      <c r="CZ264" s="1" t="str">
        <f aca="false">IF(D264&lt;&gt;"",D264,IF(B264&lt;&gt;"","Contractual",CZ263))</f>
        <v>Contractual</v>
      </c>
      <c r="DA264" s="1" t="str">
        <f aca="false">IF(OR(NOT(AND(ISNUMBER(E264),ISNUMBER(F264))),$J$2=""),"",IF(Reprogramaciones!$Q$15&lt;Reprogramaciones!$T$15,0,IF(Reprogramaciones!$S$15&gt;10,MIN(100,SUM($G264:$P264)),MIN(100,SUMPRODUCT((COLUMN($G264:$P264)-COLUMN($G264)+1&lt;Reprogramaciones!$S$15)*$G264:$P264)+N(INDEX($G264:$P264,1,Reprogramaciones!$S$15))*IF(Reprogramaciones!$Q$15&gt;=(Reprogramaciones!$T$15+7*(Reprogramaciones!$S$15-1))+6,1,IF(MAX(0,NETWORKDAYS.INTL(MAX(E264,(Reprogramaciones!$T$15+7*(Reprogramaciones!$S$15-1))),MIN(F264,(Reprogramaciones!$T$15+7*(Reprogramaciones!$S$15-1))+6),11))=0,0,MAX(0,NETWORKDAYS.INTL(MAX(E264,(Reprogramaciones!$T$15+7*(Reprogramaciones!$S$15-1))),MIN(F264,Reprogramaciones!$Q$15),11))/MAX(0,NETWORKDAYS.INTL(MAX(E264,(Reprogramaciones!$T$15+7*(Reprogramaciones!$S$15-1))),MIN(F264,(Reprogramaciones!$T$15+7*(Reprogramaciones!$S$15-1))+6),11))))))))</f>
        <v/>
      </c>
    </row>
    <row r="265" customFormat="false" ht="15" hidden="false" customHeight="false" outlineLevel="0" collapsed="false">
      <c r="A265" s="32"/>
      <c r="B265" s="33"/>
      <c r="C265" s="33"/>
      <c r="D265" s="34"/>
      <c r="E265" s="35"/>
      <c r="F265" s="35"/>
      <c r="G265" s="36" t="str">
        <f aca="false">IF(OR(NOT(AND(ISNUMBER(E265),ISNUMBER(F265))),$J$2=""),"",IF(Reprogramaciones!K$9&lt;E265,0,IF(NETWORKDAYS.INTL(E265,F265,11)=0,IF(Reprogramaciones!K$9&gt;=F265,100,0),ROUND(NETWORKDAYS.INTL(E265,MIN(F265,Reprogramaciones!K$9),11)/NETWORKDAYS.INTL(E265,F265,11)*100,1)))-0)</f>
        <v/>
      </c>
      <c r="H265" s="36" t="str">
        <f aca="false">IF(OR(NOT(AND(ISNUMBER(E265),ISNUMBER(F265))),$J$2=""),"",IF(Reprogramaciones!L$9&lt;E265,0,IF(NETWORKDAYS.INTL(E265,F265,11)=0,IF(Reprogramaciones!L$9&gt;=F265,100,0),ROUND(NETWORKDAYS.INTL(E265,MIN(F265,Reprogramaciones!L$9),11)/NETWORKDAYS.INTL(E265,F265,11)*100,1)))-IF(Reprogramaciones!K$9&lt;E265,0,IF(NETWORKDAYS.INTL(E265,F265,11)=0,IF(Reprogramaciones!K$9&gt;=F265,100,0),ROUND(NETWORKDAYS.INTL(E265,MIN(F265,Reprogramaciones!K$9),11)/NETWORKDAYS.INTL(E265,F265,11)*100,1))))</f>
        <v/>
      </c>
      <c r="I265" s="36" t="str">
        <f aca="false">IF(OR(NOT(AND(ISNUMBER(E265),ISNUMBER(F265))),$J$2=""),"",IF(Reprogramaciones!M$9&lt;E265,0,IF(NETWORKDAYS.INTL(E265,F265,11)=0,IF(Reprogramaciones!M$9&gt;=F265,100,0),ROUND(NETWORKDAYS.INTL(E265,MIN(F265,Reprogramaciones!M$9),11)/NETWORKDAYS.INTL(E265,F265,11)*100,1)))-IF(Reprogramaciones!L$9&lt;E265,0,IF(NETWORKDAYS.INTL(E265,F265,11)=0,IF(Reprogramaciones!L$9&gt;=F265,100,0),ROUND(NETWORKDAYS.INTL(E265,MIN(F265,Reprogramaciones!L$9),11)/NETWORKDAYS.INTL(E265,F265,11)*100,1))))</f>
        <v/>
      </c>
      <c r="J265" s="36" t="str">
        <f aca="false">IF(OR(NOT(AND(ISNUMBER(E265),ISNUMBER(F265))),$J$2=""),"",IF(Reprogramaciones!N$9&lt;E265,0,IF(NETWORKDAYS.INTL(E265,F265,11)=0,IF(Reprogramaciones!N$9&gt;=F265,100,0),ROUND(NETWORKDAYS.INTL(E265,MIN(F265,Reprogramaciones!N$9),11)/NETWORKDAYS.INTL(E265,F265,11)*100,1)))-IF(Reprogramaciones!M$9&lt;E265,0,IF(NETWORKDAYS.INTL(E265,F265,11)=0,IF(Reprogramaciones!M$9&gt;=F265,100,0),ROUND(NETWORKDAYS.INTL(E265,MIN(F265,Reprogramaciones!M$9),11)/NETWORKDAYS.INTL(E265,F265,11)*100,1))))</f>
        <v/>
      </c>
      <c r="K265" s="36" t="str">
        <f aca="false">IF(OR(NOT(AND(ISNUMBER(E265),ISNUMBER(F265))),$J$2=""),"",IF(Reprogramaciones!O$9&lt;E265,0,IF(NETWORKDAYS.INTL(E265,F265,11)=0,IF(Reprogramaciones!O$9&gt;=F265,100,0),ROUND(NETWORKDAYS.INTL(E265,MIN(F265,Reprogramaciones!O$9),11)/NETWORKDAYS.INTL(E265,F265,11)*100,1)))-IF(Reprogramaciones!N$9&lt;E265,0,IF(NETWORKDAYS.INTL(E265,F265,11)=0,IF(Reprogramaciones!N$9&gt;=F265,100,0),ROUND(NETWORKDAYS.INTL(E265,MIN(F265,Reprogramaciones!N$9),11)/NETWORKDAYS.INTL(E265,F265,11)*100,1))))</f>
        <v/>
      </c>
      <c r="L265" s="36" t="str">
        <f aca="false">IF(OR(NOT(AND(ISNUMBER(E265),ISNUMBER(F265))),$J$2=""),"",IF(Reprogramaciones!P$9&lt;E265,0,IF(NETWORKDAYS.INTL(E265,F265,11)=0,IF(Reprogramaciones!P$9&gt;=F265,100,0),ROUND(NETWORKDAYS.INTL(E265,MIN(F265,Reprogramaciones!P$9),11)/NETWORKDAYS.INTL(E265,F265,11)*100,1)))-IF(Reprogramaciones!O$9&lt;E265,0,IF(NETWORKDAYS.INTL(E265,F265,11)=0,IF(Reprogramaciones!O$9&gt;=F265,100,0),ROUND(NETWORKDAYS.INTL(E265,MIN(F265,Reprogramaciones!O$9),11)/NETWORKDAYS.INTL(E265,F265,11)*100,1))))</f>
        <v/>
      </c>
      <c r="M265" s="36" t="str">
        <f aca="false">IF(OR(NOT(AND(ISNUMBER(E265),ISNUMBER(F265))),$J$2=""),"",IF(Reprogramaciones!Q$9&lt;E265,0,IF(NETWORKDAYS.INTL(E265,F265,11)=0,IF(Reprogramaciones!Q$9&gt;=F265,100,0),ROUND(NETWORKDAYS.INTL(E265,MIN(F265,Reprogramaciones!Q$9),11)/NETWORKDAYS.INTL(E265,F265,11)*100,1)))-IF(Reprogramaciones!P$9&lt;E265,0,IF(NETWORKDAYS.INTL(E265,F265,11)=0,IF(Reprogramaciones!P$9&gt;=F265,100,0),ROUND(NETWORKDAYS.INTL(E265,MIN(F265,Reprogramaciones!P$9),11)/NETWORKDAYS.INTL(E265,F265,11)*100,1))))</f>
        <v/>
      </c>
      <c r="N265" s="36" t="str">
        <f aca="false">IF(OR(NOT(AND(ISNUMBER(E265),ISNUMBER(F265))),$J$2=""),"",IF(Reprogramaciones!R$9&lt;E265,0,IF(NETWORKDAYS.INTL(E265,F265,11)=0,IF(Reprogramaciones!R$9&gt;=F265,100,0),ROUND(NETWORKDAYS.INTL(E265,MIN(F265,Reprogramaciones!R$9),11)/NETWORKDAYS.INTL(E265,F265,11)*100,1)))-IF(Reprogramaciones!Q$9&lt;E265,0,IF(NETWORKDAYS.INTL(E265,F265,11)=0,IF(Reprogramaciones!Q$9&gt;=F265,100,0),ROUND(NETWORKDAYS.INTL(E265,MIN(F265,Reprogramaciones!Q$9),11)/NETWORKDAYS.INTL(E265,F265,11)*100,1))))</f>
        <v/>
      </c>
      <c r="O265" s="36" t="str">
        <f aca="false">IF(OR(NOT(AND(ISNUMBER(E265),ISNUMBER(F265))),$J$2=""),"",IF(Reprogramaciones!S$9&lt;E265,0,IF(NETWORKDAYS.INTL(E265,F265,11)=0,IF(Reprogramaciones!S$9&gt;=F265,100,0),ROUND(NETWORKDAYS.INTL(E265,MIN(F265,Reprogramaciones!S$9),11)/NETWORKDAYS.INTL(E265,F265,11)*100,1)))-IF(Reprogramaciones!R$9&lt;E265,0,IF(NETWORKDAYS.INTL(E265,F265,11)=0,IF(Reprogramaciones!R$9&gt;=F265,100,0),ROUND(NETWORKDAYS.INTL(E265,MIN(F265,Reprogramaciones!R$9),11)/NETWORKDAYS.INTL(E265,F265,11)*100,1))))</f>
        <v/>
      </c>
      <c r="P265" s="36" t="str">
        <f aca="false">IF(OR(NOT(AND(ISNUMBER(E265),ISNUMBER(F265))),$J$2=""),"",IF(Reprogramaciones!T$9&lt;E265,0,IF(NETWORKDAYS.INTL(E265,F265,11)=0,IF(Reprogramaciones!T$9&gt;=F265,100,0),ROUND(NETWORKDAYS.INTL(E265,MIN(F265,Reprogramaciones!T$9),11)/NETWORKDAYS.INTL(E265,F265,11)*100,1)))-IF(Reprogramaciones!S$9&lt;E265,0,IF(NETWORKDAYS.INTL(E265,F265,11)=0,IF(Reprogramaciones!S$9&gt;=F265,100,0),ROUND(NETWORKDAYS.INTL(E265,MIN(F265,Reprogramaciones!S$9),11)/NETWORKDAYS.INTL(E265,F265,11)*100,1))))</f>
        <v/>
      </c>
      <c r="Q265" s="37"/>
      <c r="R265" s="37"/>
      <c r="S265" s="37"/>
      <c r="T265" s="37"/>
      <c r="U265" s="37"/>
      <c r="V265" s="37"/>
      <c r="W265" s="37"/>
      <c r="X265" s="37"/>
      <c r="Y265" s="37"/>
      <c r="Z265" s="37"/>
      <c r="AA265" s="37"/>
      <c r="AB265" s="37"/>
      <c r="AC265" s="37"/>
      <c r="AD265" s="37"/>
      <c r="AE265" s="37"/>
      <c r="AF265" s="37"/>
      <c r="AG265" s="38" t="str">
        <f aca="false">IF(AND(ISNUMBER(E265),ISNUMBER(F265)),NETWORKDAYS.INTL(E265,F265,11),"")</f>
        <v/>
      </c>
      <c r="AH265" s="38" t="str">
        <f aca="false">IF(OR(NOT(AND(ISNUMBER(E265),ISNUMBER(F265))),$J$2=""),"",IF(Reprogramaciones!$P$15&lt;Reprogramaciones!$T$15,0,IF(Reprogramaciones!$R$15&gt;10,MIN(100,SUM($G265:$P265)),MIN(100,SUMPRODUCT((COLUMN($G265:$P265)-COLUMN($G265)+1&lt;Reprogramaciones!$R$15)*$G265:$P265)+N(INDEX($G265:$P265,1,Reprogramaciones!$R$15))*IF(Reprogramaciones!$P$15&gt;=(Reprogramaciones!$T$15+7*(Reprogramaciones!$R$15-1))+6,1,IF(MAX(0,NETWORKDAYS.INTL(MAX(E265,(Reprogramaciones!$T$15+7*(Reprogramaciones!$R$15-1))),MIN(F265,(Reprogramaciones!$T$15+7*(Reprogramaciones!$R$15-1))+6),11))=0,0,MAX(0,NETWORKDAYS.INTL(MAX(E265,(Reprogramaciones!$T$15+7*(Reprogramaciones!$R$15-1))),MIN(F265,Reprogramaciones!$P$15),11))/MAX(0,NETWORKDAYS.INTL(MAX(E265,(Reprogramaciones!$T$15+7*(Reprogramaciones!$R$15-1))),MIN(F265,(Reprogramaciones!$T$15+7*(Reprogramaciones!$R$15-1))+6),11))))))))</f>
        <v/>
      </c>
      <c r="AI265" s="38" t="str">
        <f aca="false">IF(COUNT($Q265:$AF265)=0,"",IF(ROUND(SUM($Q265:$AF265),1)&gt;=99.5,100,MIN(100,ROUND(SUM($Q265:$AF265),1))))</f>
        <v/>
      </c>
      <c r="AJ265" s="38" t="str">
        <f aca="false">IF(OR(AH265="",AI265=""),"",AI265-AH265)</f>
        <v/>
      </c>
      <c r="AK265" s="39" t="str">
        <f aca="true">IF(AH265="","",IF(OR(Ficha!$C$10="Suspendida",Ficha!$C$10="Cancelada"),Ficha!$C$10,IF(AND(AI265&lt;&gt;"",N(AI265)&gt;=100),"Completada",IF(AND(E265&gt;TODAY(),N(AI265)=0),"Por iniciar",IF(N(AI265)+0.5&lt;AH265,"Retrasada",IF(N(AI265)+0.5&lt;DA265,IF(Reprogramaciones!$K$15&gt;0,"Al día · Sem "&amp;Reprogramaciones!$K$15&amp;" en curso","Al día · en curso"),"A tiempo"))))))</f>
        <v/>
      </c>
      <c r="AL265" s="39" t="str">
        <f aca="true">IF(AND(A265="",AND(B265="",C265="",E265="",F265="",COUNT(Q265:AF265)=0)),"",IF(AND(B265="",C265="",E265="",F265="",COUNT(Q265:AF265)=0),"Falta la partida o subpartida",IF(AND(A265&lt;&gt;"",COUNTIF($A$6:$A$305,A265)&gt;1),"Ítem repetido",IF(AND(C265="",E265="",F265="",COUNT(Q265:AF265)=0),"Título de partida",IF(OR(E265="",F265=""),"Faltan fechas",IF(OR(ISTEXT(E265),ISTEXT(F265)),"Fecha escrita como texto: usa dd/mm/aaaa",IF(F265&lt;E265,"Fin antes del inicio",IF(IF($J$2="",FALSE(),OR(E265&lt;$J$2,F265&gt;Reprogramaciones!$T$15+69)),"Fuera de las 10 semanas",IF(ABS(SUM(G265:P265)-100)&gt;0.5,"La meta no suma 100%",IF(ROUND(SUM(Q265:AF265),1)&gt;100.5,"El avance pasa de 100%",IF(MIN(Q265:AF265)&lt;0,"Avance negativo",IF(COUNTA(Q265:AF265)&gt;COUNT(Q265:AF265),"Avance escrito como texto",IF(SUMPRODUCT((Q265:AF265&gt;0)*(Q265:AF265&lt;1))&gt;0,"Avance menor a 1: escribe 50, no 50%",IF(SUMPRODUCT(ISNUMBER(Q265:AF265)*(Reprogramaciones!$K$8:$Z$8&gt;TODAY()))&gt;0,"Avance en semana que aún no llega",IF(AND(N(Reprogramaciones!$E$21)&gt;0,F265&gt;Reprogramaciones!$E$21),"Pasa el fin de la obra: registra una reprogramación",IF(AND(N(Reprogramaciones!$E$21)&gt;0,SUMPRODUCT(ISNUMBER(Q265:AF265)*(Reprogramaciones!$K$8:$Z$8&gt;Reprogramaciones!$E$21))&gt;0),"Avance después del fin de la obra: registra una reprogramación por atraso","OK"))))))))))))))))</f>
        <v/>
      </c>
      <c r="AM265" s="40" t="str">
        <f aca="false">IF(OR(OR(NOT(AND(ISNUMBER(E265),ISNUMBER(F265))),$J$2=""),1&gt;MAX(1,Reprogramaciones!$U$15)),"",IF(Reprogramaciones!K$12&gt;=7,"",IF(OR(BT265-N(0)&gt;0.05,N(Q265)&gt;0),ROUNDDOWN(ROUND(BT265,6),0)&amp;"%"&amp;IF(CJ265="",""," / "&amp;CJ265&amp;"%"),IF(AND(N(0)&gt;=99.95,CJ265&lt;&gt;"",N(CJ265)&lt;100),"Pend. "&amp;CJ265&amp;"%",""))))</f>
        <v/>
      </c>
      <c r="AN265" s="40" t="str">
        <f aca="false">IF(OR(OR(NOT(AND(ISNUMBER(E265),ISNUMBER(F265))),$J$2=""),2&gt;MAX(1,Reprogramaciones!$U$15)),"",IF(Reprogramaciones!L$12&gt;=7,"",IF(OR(BU265-N(BT265)&gt;0.05,N(R265)&gt;0),ROUNDDOWN(ROUND(BU265,6),0)&amp;"%"&amp;IF(CK265="",""," / "&amp;CK265&amp;"%"),IF(AND(N(BT265)&gt;=99.95,CK265&lt;&gt;"",N(CK265)&lt;100),"Pend. "&amp;CK265&amp;"%",""))))</f>
        <v/>
      </c>
      <c r="AO265" s="40" t="str">
        <f aca="false">IF(OR(OR(NOT(AND(ISNUMBER(E265),ISNUMBER(F265))),$J$2=""),3&gt;MAX(1,Reprogramaciones!$U$15)),"",IF(Reprogramaciones!M$12&gt;=7,"",IF(OR(BV265-N(BU265)&gt;0.05,N(S265)&gt;0),ROUNDDOWN(ROUND(BV265,6),0)&amp;"%"&amp;IF(CL265="",""," / "&amp;CL265&amp;"%"),IF(AND(N(BU265)&gt;=99.95,CL265&lt;&gt;"",N(CL265)&lt;100),"Pend. "&amp;CL265&amp;"%",""))))</f>
        <v/>
      </c>
      <c r="AP265" s="40" t="str">
        <f aca="false">IF(OR(OR(NOT(AND(ISNUMBER(E265),ISNUMBER(F265))),$J$2=""),4&gt;MAX(1,Reprogramaciones!$U$15)),"",IF(Reprogramaciones!N$12&gt;=7,"",IF(OR(BW265-N(BV265)&gt;0.05,N(T265)&gt;0),ROUNDDOWN(ROUND(BW265,6),0)&amp;"%"&amp;IF(CM265="",""," / "&amp;CM265&amp;"%"),IF(AND(N(BV265)&gt;=99.95,CM265&lt;&gt;"",N(CM265)&lt;100),"Pend. "&amp;CM265&amp;"%",""))))</f>
        <v/>
      </c>
      <c r="AQ265" s="40" t="str">
        <f aca="false">IF(OR(OR(NOT(AND(ISNUMBER(E265),ISNUMBER(F265))),$J$2=""),5&gt;MAX(1,Reprogramaciones!$U$15)),"",IF(Reprogramaciones!O$12&gt;=7,"",IF(OR(BX265-N(BW265)&gt;0.05,N(U265)&gt;0),ROUNDDOWN(ROUND(BX265,6),0)&amp;"%"&amp;IF(CN265="",""," / "&amp;CN265&amp;"%"),IF(AND(N(BW265)&gt;=99.95,CN265&lt;&gt;"",N(CN265)&lt;100),"Pend. "&amp;CN265&amp;"%",""))))</f>
        <v/>
      </c>
      <c r="AR265" s="40" t="str">
        <f aca="false">IF(OR(OR(NOT(AND(ISNUMBER(E265),ISNUMBER(F265))),$J$2=""),6&gt;MAX(1,Reprogramaciones!$U$15)),"",IF(Reprogramaciones!P$12&gt;=7,"",IF(OR(BY265-N(BX265)&gt;0.05,N(V265)&gt;0),ROUNDDOWN(ROUND(BY265,6),0)&amp;"%"&amp;IF(CO265="",""," / "&amp;CO265&amp;"%"),IF(AND(N(BX265)&gt;=99.95,CO265&lt;&gt;"",N(CO265)&lt;100),"Pend. "&amp;CO265&amp;"%",""))))</f>
        <v/>
      </c>
      <c r="AS265" s="40" t="str">
        <f aca="false">IF(OR(OR(NOT(AND(ISNUMBER(E265),ISNUMBER(F265))),$J$2=""),7&gt;MAX(1,Reprogramaciones!$U$15)),"",IF(Reprogramaciones!Q$12&gt;=7,"",IF(OR(BZ265-N(BY265)&gt;0.05,N(W265)&gt;0),ROUNDDOWN(ROUND(BZ265,6),0)&amp;"%"&amp;IF(CP265="",""," / "&amp;CP265&amp;"%"),IF(AND(N(BY265)&gt;=99.95,CP265&lt;&gt;"",N(CP265)&lt;100),"Pend. "&amp;CP265&amp;"%",""))))</f>
        <v/>
      </c>
      <c r="AT265" s="40" t="str">
        <f aca="false">IF(OR(OR(NOT(AND(ISNUMBER(E265),ISNUMBER(F265))),$J$2=""),8&gt;MAX(1,Reprogramaciones!$U$15)),"",IF(Reprogramaciones!R$12&gt;=7,"",IF(OR(CA265-N(BZ265)&gt;0.05,N(X265)&gt;0),ROUNDDOWN(ROUND(CA265,6),0)&amp;"%"&amp;IF(CQ265="",""," / "&amp;CQ265&amp;"%"),IF(AND(N(BZ265)&gt;=99.95,CQ265&lt;&gt;"",N(CQ265)&lt;100),"Pend. "&amp;CQ265&amp;"%",""))))</f>
        <v/>
      </c>
      <c r="AU265" s="40" t="str">
        <f aca="false">IF(OR(OR(NOT(AND(ISNUMBER(E265),ISNUMBER(F265))),$J$2=""),9&gt;MAX(1,Reprogramaciones!$U$15)),"",IF(Reprogramaciones!S$12&gt;=7,"",IF(OR(CB265-N(CA265)&gt;0.05,N(Y265)&gt;0),ROUNDDOWN(ROUND(CB265,6),0)&amp;"%"&amp;IF(CR265="",""," / "&amp;CR265&amp;"%"),IF(AND(N(CA265)&gt;=99.95,CR265&lt;&gt;"",N(CR265)&lt;100),"Pend. "&amp;CR265&amp;"%",""))))</f>
        <v/>
      </c>
      <c r="AV265" s="40" t="str">
        <f aca="false">IF(OR(OR(NOT(AND(ISNUMBER(E265),ISNUMBER(F265))),$J$2=""),10&gt;MAX(1,Reprogramaciones!$U$15)),"",IF(Reprogramaciones!T$12&gt;=7,"",IF(OR(CC265-N(CB265)&gt;0.05,N(Z265)&gt;0),ROUNDDOWN(ROUND(CC265,6),0)&amp;"%"&amp;IF(CS265="",""," / "&amp;CS265&amp;"%"),IF(AND(N(CB265)&gt;=99.95,CS265&lt;&gt;"",N(CS265)&lt;100),"Pend. "&amp;CS265&amp;"%",""))))</f>
        <v/>
      </c>
      <c r="AW265" s="40" t="str">
        <f aca="false">IF(OR(OR(NOT(AND(ISNUMBER(E265),ISNUMBER(F265))),$J$2=""),11&gt;MAX(1,Reprogramaciones!$U$15)),"",IF(Reprogramaciones!U$12&gt;=7,"",IF(OR(CD265-N(CC265)&gt;0.05,N(AA265)&gt;0),ROUNDDOWN(ROUND(CD265,6),0)&amp;"%"&amp;IF(CT265="",""," / "&amp;CT265&amp;"%"),IF(AND(N(CC265)&gt;=99.95,CT265&lt;&gt;"",N(CT265)&lt;100),"Pend. "&amp;CT265&amp;"%",""))))</f>
        <v/>
      </c>
      <c r="AX265" s="40" t="str">
        <f aca="false">IF(OR(OR(NOT(AND(ISNUMBER(E265),ISNUMBER(F265))),$J$2=""),12&gt;MAX(1,Reprogramaciones!$U$15)),"",IF(Reprogramaciones!V$12&gt;=7,"",IF(OR(CE265-N(CD265)&gt;0.05,N(AB265)&gt;0),ROUNDDOWN(ROUND(CE265,6),0)&amp;"%"&amp;IF(CU265="",""," / "&amp;CU265&amp;"%"),IF(AND(N(CD265)&gt;=99.95,CU265&lt;&gt;"",N(CU265)&lt;100),"Pend. "&amp;CU265&amp;"%",""))))</f>
        <v/>
      </c>
      <c r="AY265" s="40" t="str">
        <f aca="false">IF(OR(OR(NOT(AND(ISNUMBER(E265),ISNUMBER(F265))),$J$2=""),13&gt;MAX(1,Reprogramaciones!$U$15)),"",IF(Reprogramaciones!W$12&gt;=7,"",IF(OR(CF265-N(CE265)&gt;0.05,N(AC265)&gt;0),ROUNDDOWN(ROUND(CF265,6),0)&amp;"%"&amp;IF(CV265="",""," / "&amp;CV265&amp;"%"),IF(AND(N(CE265)&gt;=99.95,CV265&lt;&gt;"",N(CV265)&lt;100),"Pend. "&amp;CV265&amp;"%",""))))</f>
        <v/>
      </c>
      <c r="AZ265" s="40" t="str">
        <f aca="false">IF(OR(OR(NOT(AND(ISNUMBER(E265),ISNUMBER(F265))),$J$2=""),14&gt;MAX(1,Reprogramaciones!$U$15)),"",IF(Reprogramaciones!X$12&gt;=7,"",IF(OR(CG265-N(CF265)&gt;0.05,N(AD265)&gt;0),ROUNDDOWN(ROUND(CG265,6),0)&amp;"%"&amp;IF(CW265="",""," / "&amp;CW265&amp;"%"),IF(AND(N(CF265)&gt;=99.95,CW265&lt;&gt;"",N(CW265)&lt;100),"Pend. "&amp;CW265&amp;"%",""))))</f>
        <v/>
      </c>
      <c r="BA265" s="40" t="str">
        <f aca="false">IF(OR(OR(NOT(AND(ISNUMBER(E265),ISNUMBER(F265))),$J$2=""),15&gt;MAX(1,Reprogramaciones!$U$15)),"",IF(Reprogramaciones!Y$12&gt;=7,"",IF(OR(CH265-N(CG265)&gt;0.05,N(AE265)&gt;0),ROUNDDOWN(ROUND(CH265,6),0)&amp;"%"&amp;IF(CX265="",""," / "&amp;CX265&amp;"%"),IF(AND(N(CG265)&gt;=99.95,CX265&lt;&gt;"",N(CX265)&lt;100),"Pend. "&amp;CX265&amp;"%",""))))</f>
        <v/>
      </c>
      <c r="BB265" s="40" t="str">
        <f aca="false">IF(OR(OR(NOT(AND(ISNUMBER(E265),ISNUMBER(F265))),$J$2=""),16&gt;MAX(1,Reprogramaciones!$U$15)),"",IF(Reprogramaciones!Z$12&gt;=7,"",IF(OR(CI265-N(CH265)&gt;0.05,N(AF265)&gt;0),ROUNDDOWN(ROUND(CI265,6),0)&amp;"%"&amp;IF(CY265="",""," / "&amp;CY265&amp;"%"),IF(AND(N(CH265)&gt;=99.95,CY265&lt;&gt;"",N(CY265)&lt;100),"Pend. "&amp;CY265&amp;"%",""))))</f>
        <v/>
      </c>
      <c r="BC265" s="31" t="n">
        <f aca="false">IF(AND(ISNUMBER(E265),ISNUMBER(F265)),MAX(1,NETWORKDAYS.INTL(E265,F265,11)),0)</f>
        <v>0</v>
      </c>
      <c r="BD265" s="1" t="str">
        <f aca="false">IF(OR(NOT(AND(ISNUMBER(E265),ISNUMBER(F265))),$J$2=""),"",MIN(100,ROUND(SUM($G265:G265),1)))</f>
        <v/>
      </c>
      <c r="BE265" s="1" t="str">
        <f aca="false">IF(OR(NOT(AND(ISNUMBER(E265),ISNUMBER(F265))),$J$2=""),"",MIN(100,ROUND(SUM($G265:H265),1)))</f>
        <v/>
      </c>
      <c r="BF265" s="1" t="str">
        <f aca="false">IF(OR(NOT(AND(ISNUMBER(E265),ISNUMBER(F265))),$J$2=""),"",MIN(100,ROUND(SUM($G265:I265),1)))</f>
        <v/>
      </c>
      <c r="BG265" s="1" t="str">
        <f aca="false">IF(OR(NOT(AND(ISNUMBER(E265),ISNUMBER(F265))),$J$2=""),"",MIN(100,ROUND(SUM($G265:J265),1)))</f>
        <v/>
      </c>
      <c r="BH265" s="1" t="str">
        <f aca="false">IF(OR(NOT(AND(ISNUMBER(E265),ISNUMBER(F265))),$J$2=""),"",MIN(100,ROUND(SUM($G265:K265),1)))</f>
        <v/>
      </c>
      <c r="BI265" s="1" t="str">
        <f aca="false">IF(OR(NOT(AND(ISNUMBER(E265),ISNUMBER(F265))),$J$2=""),"",MIN(100,ROUND(SUM($G265:L265),1)))</f>
        <v/>
      </c>
      <c r="BJ265" s="1" t="str">
        <f aca="false">IF(OR(NOT(AND(ISNUMBER(E265),ISNUMBER(F265))),$J$2=""),"",MIN(100,ROUND(SUM($G265:M265),1)))</f>
        <v/>
      </c>
      <c r="BK265" s="1" t="str">
        <f aca="false">IF(OR(NOT(AND(ISNUMBER(E265),ISNUMBER(F265))),$J$2=""),"",MIN(100,ROUND(SUM($G265:N265),1)))</f>
        <v/>
      </c>
      <c r="BL265" s="1" t="str">
        <f aca="false">IF(OR(NOT(AND(ISNUMBER(E265),ISNUMBER(F265))),$J$2=""),"",MIN(100,ROUND(SUM($G265:O265),1)))</f>
        <v/>
      </c>
      <c r="BM265" s="1" t="str">
        <f aca="false">IF(OR(NOT(AND(ISNUMBER(E265),ISNUMBER(F265))),$J$2=""),"",MIN(100,ROUND(SUM($G265:P265),1)))</f>
        <v/>
      </c>
      <c r="BN265" s="1" t="str">
        <f aca="false">IF(OR(NOT(AND(ISNUMBER(E265),ISNUMBER(F265))),$J$2=""),"",MIN(100,ROUND(SUM($G265:P265),1)))</f>
        <v/>
      </c>
      <c r="BO265" s="1" t="str">
        <f aca="false">IF(OR(NOT(AND(ISNUMBER(E265),ISNUMBER(F265))),$J$2=""),"",MIN(100,ROUND(SUM($G265:P265),1)))</f>
        <v/>
      </c>
      <c r="BP265" s="1" t="str">
        <f aca="false">IF(OR(NOT(AND(ISNUMBER(E265),ISNUMBER(F265))),$J$2=""),"",MIN(100,ROUND(SUM($G265:P265),1)))</f>
        <v/>
      </c>
      <c r="BQ265" s="1" t="str">
        <f aca="false">IF(OR(NOT(AND(ISNUMBER(E265),ISNUMBER(F265))),$J$2=""),"",MIN(100,ROUND(SUM($G265:P265),1)))</f>
        <v/>
      </c>
      <c r="BR265" s="1" t="str">
        <f aca="false">IF(OR(NOT(AND(ISNUMBER(E265),ISNUMBER(F265))),$J$2=""),"",MIN(100,ROUND(SUM($G265:P265),1)))</f>
        <v/>
      </c>
      <c r="BS265" s="1" t="str">
        <f aca="false">IF(OR(NOT(AND(ISNUMBER(E265),ISNUMBER(F265))),$J$2=""),"",MIN(100,ROUND(SUM($G265:P265),1)))</f>
        <v/>
      </c>
      <c r="BT265" s="1" t="str">
        <f aca="false">IF(OR(NOT(AND(ISNUMBER(E265),ISNUMBER(F265))),$J$2=""),"",IF(Reprogramaciones!K$13&lt;Reprogramaciones!$T$15,0,IF(Reprogramaciones!K$14&gt;10,MIN(100,SUM($G265:$P265)),MIN(100,SUMPRODUCT((COLUMN($G265:$P265)-COLUMN($G265)+1&lt;Reprogramaciones!K$14)*$G265:$P265)+N(INDEX($G265:$P265,1,Reprogramaciones!K$14))*IF(Reprogramaciones!K$13&gt;=(Reprogramaciones!$T$15+7*(Reprogramaciones!K$14-1))+6,1,IF(MAX(0,NETWORKDAYS.INTL(MAX(E265,(Reprogramaciones!$T$15+7*(Reprogramaciones!K$14-1))),MIN(F265,(Reprogramaciones!$T$15+7*(Reprogramaciones!K$14-1))+6),11))=0,0,MAX(0,NETWORKDAYS.INTL(MAX(E265,(Reprogramaciones!$T$15+7*(Reprogramaciones!K$14-1))),MIN(F265,Reprogramaciones!K$13),11))/MAX(0,NETWORKDAYS.INTL(MAX(E265,(Reprogramaciones!$T$15+7*(Reprogramaciones!K$14-1))),MIN(F265,(Reprogramaciones!$T$15+7*(Reprogramaciones!K$14-1))+6),11))))))))</f>
        <v/>
      </c>
      <c r="BU265" s="1" t="str">
        <f aca="false">IF(OR(NOT(AND(ISNUMBER(E265),ISNUMBER(F265))),$J$2=""),"",IF(Reprogramaciones!L$13&lt;Reprogramaciones!$T$15,0,IF(Reprogramaciones!L$14&gt;10,MIN(100,SUM($G265:$P265)),MIN(100,SUMPRODUCT((COLUMN($G265:$P265)-COLUMN($G265)+1&lt;Reprogramaciones!L$14)*$G265:$P265)+N(INDEX($G265:$P265,1,Reprogramaciones!L$14))*IF(Reprogramaciones!L$13&gt;=(Reprogramaciones!$T$15+7*(Reprogramaciones!L$14-1))+6,1,IF(MAX(0,NETWORKDAYS.INTL(MAX(E265,(Reprogramaciones!$T$15+7*(Reprogramaciones!L$14-1))),MIN(F265,(Reprogramaciones!$T$15+7*(Reprogramaciones!L$14-1))+6),11))=0,0,MAX(0,NETWORKDAYS.INTL(MAX(E265,(Reprogramaciones!$T$15+7*(Reprogramaciones!L$14-1))),MIN(F265,Reprogramaciones!L$13),11))/MAX(0,NETWORKDAYS.INTL(MAX(E265,(Reprogramaciones!$T$15+7*(Reprogramaciones!L$14-1))),MIN(F265,(Reprogramaciones!$T$15+7*(Reprogramaciones!L$14-1))+6),11))))))))</f>
        <v/>
      </c>
      <c r="BV265" s="1" t="str">
        <f aca="false">IF(OR(NOT(AND(ISNUMBER(E265),ISNUMBER(F265))),$J$2=""),"",IF(Reprogramaciones!M$13&lt;Reprogramaciones!$T$15,0,IF(Reprogramaciones!M$14&gt;10,MIN(100,SUM($G265:$P265)),MIN(100,SUMPRODUCT((COLUMN($G265:$P265)-COLUMN($G265)+1&lt;Reprogramaciones!M$14)*$G265:$P265)+N(INDEX($G265:$P265,1,Reprogramaciones!M$14))*IF(Reprogramaciones!M$13&gt;=(Reprogramaciones!$T$15+7*(Reprogramaciones!M$14-1))+6,1,IF(MAX(0,NETWORKDAYS.INTL(MAX(E265,(Reprogramaciones!$T$15+7*(Reprogramaciones!M$14-1))),MIN(F265,(Reprogramaciones!$T$15+7*(Reprogramaciones!M$14-1))+6),11))=0,0,MAX(0,NETWORKDAYS.INTL(MAX(E265,(Reprogramaciones!$T$15+7*(Reprogramaciones!M$14-1))),MIN(F265,Reprogramaciones!M$13),11))/MAX(0,NETWORKDAYS.INTL(MAX(E265,(Reprogramaciones!$T$15+7*(Reprogramaciones!M$14-1))),MIN(F265,(Reprogramaciones!$T$15+7*(Reprogramaciones!M$14-1))+6),11))))))))</f>
        <v/>
      </c>
      <c r="BW265" s="1" t="str">
        <f aca="false">IF(OR(NOT(AND(ISNUMBER(E265),ISNUMBER(F265))),$J$2=""),"",IF(Reprogramaciones!N$13&lt;Reprogramaciones!$T$15,0,IF(Reprogramaciones!N$14&gt;10,MIN(100,SUM($G265:$P265)),MIN(100,SUMPRODUCT((COLUMN($G265:$P265)-COLUMN($G265)+1&lt;Reprogramaciones!N$14)*$G265:$P265)+N(INDEX($G265:$P265,1,Reprogramaciones!N$14))*IF(Reprogramaciones!N$13&gt;=(Reprogramaciones!$T$15+7*(Reprogramaciones!N$14-1))+6,1,IF(MAX(0,NETWORKDAYS.INTL(MAX(E265,(Reprogramaciones!$T$15+7*(Reprogramaciones!N$14-1))),MIN(F265,(Reprogramaciones!$T$15+7*(Reprogramaciones!N$14-1))+6),11))=0,0,MAX(0,NETWORKDAYS.INTL(MAX(E265,(Reprogramaciones!$T$15+7*(Reprogramaciones!N$14-1))),MIN(F265,Reprogramaciones!N$13),11))/MAX(0,NETWORKDAYS.INTL(MAX(E265,(Reprogramaciones!$T$15+7*(Reprogramaciones!N$14-1))),MIN(F265,(Reprogramaciones!$T$15+7*(Reprogramaciones!N$14-1))+6),11))))))))</f>
        <v/>
      </c>
      <c r="BX265" s="1" t="str">
        <f aca="false">IF(OR(NOT(AND(ISNUMBER(E265),ISNUMBER(F265))),$J$2=""),"",IF(Reprogramaciones!O$13&lt;Reprogramaciones!$T$15,0,IF(Reprogramaciones!O$14&gt;10,MIN(100,SUM($G265:$P265)),MIN(100,SUMPRODUCT((COLUMN($G265:$P265)-COLUMN($G265)+1&lt;Reprogramaciones!O$14)*$G265:$P265)+N(INDEX($G265:$P265,1,Reprogramaciones!O$14))*IF(Reprogramaciones!O$13&gt;=(Reprogramaciones!$T$15+7*(Reprogramaciones!O$14-1))+6,1,IF(MAX(0,NETWORKDAYS.INTL(MAX(E265,(Reprogramaciones!$T$15+7*(Reprogramaciones!O$14-1))),MIN(F265,(Reprogramaciones!$T$15+7*(Reprogramaciones!O$14-1))+6),11))=0,0,MAX(0,NETWORKDAYS.INTL(MAX(E265,(Reprogramaciones!$T$15+7*(Reprogramaciones!O$14-1))),MIN(F265,Reprogramaciones!O$13),11))/MAX(0,NETWORKDAYS.INTL(MAX(E265,(Reprogramaciones!$T$15+7*(Reprogramaciones!O$14-1))),MIN(F265,(Reprogramaciones!$T$15+7*(Reprogramaciones!O$14-1))+6),11))))))))</f>
        <v/>
      </c>
      <c r="BY265" s="1" t="str">
        <f aca="false">IF(OR(NOT(AND(ISNUMBER(E265),ISNUMBER(F265))),$J$2=""),"",IF(Reprogramaciones!P$13&lt;Reprogramaciones!$T$15,0,IF(Reprogramaciones!P$14&gt;10,MIN(100,SUM($G265:$P265)),MIN(100,SUMPRODUCT((COLUMN($G265:$P265)-COLUMN($G265)+1&lt;Reprogramaciones!P$14)*$G265:$P265)+N(INDEX($G265:$P265,1,Reprogramaciones!P$14))*IF(Reprogramaciones!P$13&gt;=(Reprogramaciones!$T$15+7*(Reprogramaciones!P$14-1))+6,1,IF(MAX(0,NETWORKDAYS.INTL(MAX(E265,(Reprogramaciones!$T$15+7*(Reprogramaciones!P$14-1))),MIN(F265,(Reprogramaciones!$T$15+7*(Reprogramaciones!P$14-1))+6),11))=0,0,MAX(0,NETWORKDAYS.INTL(MAX(E265,(Reprogramaciones!$T$15+7*(Reprogramaciones!P$14-1))),MIN(F265,Reprogramaciones!P$13),11))/MAX(0,NETWORKDAYS.INTL(MAX(E265,(Reprogramaciones!$T$15+7*(Reprogramaciones!P$14-1))),MIN(F265,(Reprogramaciones!$T$15+7*(Reprogramaciones!P$14-1))+6),11))))))))</f>
        <v/>
      </c>
      <c r="BZ265" s="1" t="str">
        <f aca="false">IF(OR(NOT(AND(ISNUMBER(E265),ISNUMBER(F265))),$J$2=""),"",IF(Reprogramaciones!Q$13&lt;Reprogramaciones!$T$15,0,IF(Reprogramaciones!Q$14&gt;10,MIN(100,SUM($G265:$P265)),MIN(100,SUMPRODUCT((COLUMN($G265:$P265)-COLUMN($G265)+1&lt;Reprogramaciones!Q$14)*$G265:$P265)+N(INDEX($G265:$P265,1,Reprogramaciones!Q$14))*IF(Reprogramaciones!Q$13&gt;=(Reprogramaciones!$T$15+7*(Reprogramaciones!Q$14-1))+6,1,IF(MAX(0,NETWORKDAYS.INTL(MAX(E265,(Reprogramaciones!$T$15+7*(Reprogramaciones!Q$14-1))),MIN(F265,(Reprogramaciones!$T$15+7*(Reprogramaciones!Q$14-1))+6),11))=0,0,MAX(0,NETWORKDAYS.INTL(MAX(E265,(Reprogramaciones!$T$15+7*(Reprogramaciones!Q$14-1))),MIN(F265,Reprogramaciones!Q$13),11))/MAX(0,NETWORKDAYS.INTL(MAX(E265,(Reprogramaciones!$T$15+7*(Reprogramaciones!Q$14-1))),MIN(F265,(Reprogramaciones!$T$15+7*(Reprogramaciones!Q$14-1))+6),11))))))))</f>
        <v/>
      </c>
      <c r="CA265" s="1" t="str">
        <f aca="false">IF(OR(NOT(AND(ISNUMBER(E265),ISNUMBER(F265))),$J$2=""),"",IF(Reprogramaciones!R$13&lt;Reprogramaciones!$T$15,0,IF(Reprogramaciones!R$14&gt;10,MIN(100,SUM($G265:$P265)),MIN(100,SUMPRODUCT((COLUMN($G265:$P265)-COLUMN($G265)+1&lt;Reprogramaciones!R$14)*$G265:$P265)+N(INDEX($G265:$P265,1,Reprogramaciones!R$14))*IF(Reprogramaciones!R$13&gt;=(Reprogramaciones!$T$15+7*(Reprogramaciones!R$14-1))+6,1,IF(MAX(0,NETWORKDAYS.INTL(MAX(E265,(Reprogramaciones!$T$15+7*(Reprogramaciones!R$14-1))),MIN(F265,(Reprogramaciones!$T$15+7*(Reprogramaciones!R$14-1))+6),11))=0,0,MAX(0,NETWORKDAYS.INTL(MAX(E265,(Reprogramaciones!$T$15+7*(Reprogramaciones!R$14-1))),MIN(F265,Reprogramaciones!R$13),11))/MAX(0,NETWORKDAYS.INTL(MAX(E265,(Reprogramaciones!$T$15+7*(Reprogramaciones!R$14-1))),MIN(F265,(Reprogramaciones!$T$15+7*(Reprogramaciones!R$14-1))+6),11))))))))</f>
        <v/>
      </c>
      <c r="CB265" s="1" t="str">
        <f aca="false">IF(OR(NOT(AND(ISNUMBER(E265),ISNUMBER(F265))),$J$2=""),"",IF(Reprogramaciones!S$13&lt;Reprogramaciones!$T$15,0,IF(Reprogramaciones!S$14&gt;10,MIN(100,SUM($G265:$P265)),MIN(100,SUMPRODUCT((COLUMN($G265:$P265)-COLUMN($G265)+1&lt;Reprogramaciones!S$14)*$G265:$P265)+N(INDEX($G265:$P265,1,Reprogramaciones!S$14))*IF(Reprogramaciones!S$13&gt;=(Reprogramaciones!$T$15+7*(Reprogramaciones!S$14-1))+6,1,IF(MAX(0,NETWORKDAYS.INTL(MAX(E265,(Reprogramaciones!$T$15+7*(Reprogramaciones!S$14-1))),MIN(F265,(Reprogramaciones!$T$15+7*(Reprogramaciones!S$14-1))+6),11))=0,0,MAX(0,NETWORKDAYS.INTL(MAX(E265,(Reprogramaciones!$T$15+7*(Reprogramaciones!S$14-1))),MIN(F265,Reprogramaciones!S$13),11))/MAX(0,NETWORKDAYS.INTL(MAX(E265,(Reprogramaciones!$T$15+7*(Reprogramaciones!S$14-1))),MIN(F265,(Reprogramaciones!$T$15+7*(Reprogramaciones!S$14-1))+6),11))))))))</f>
        <v/>
      </c>
      <c r="CC265" s="1" t="str">
        <f aca="false">IF(OR(NOT(AND(ISNUMBER(E265),ISNUMBER(F265))),$J$2=""),"",IF(Reprogramaciones!T$13&lt;Reprogramaciones!$T$15,0,IF(Reprogramaciones!T$14&gt;10,MIN(100,SUM($G265:$P265)),MIN(100,SUMPRODUCT((COLUMN($G265:$P265)-COLUMN($G265)+1&lt;Reprogramaciones!T$14)*$G265:$P265)+N(INDEX($G265:$P265,1,Reprogramaciones!T$14))*IF(Reprogramaciones!T$13&gt;=(Reprogramaciones!$T$15+7*(Reprogramaciones!T$14-1))+6,1,IF(MAX(0,NETWORKDAYS.INTL(MAX(E265,(Reprogramaciones!$T$15+7*(Reprogramaciones!T$14-1))),MIN(F265,(Reprogramaciones!$T$15+7*(Reprogramaciones!T$14-1))+6),11))=0,0,MAX(0,NETWORKDAYS.INTL(MAX(E265,(Reprogramaciones!$T$15+7*(Reprogramaciones!T$14-1))),MIN(F265,Reprogramaciones!T$13),11))/MAX(0,NETWORKDAYS.INTL(MAX(E265,(Reprogramaciones!$T$15+7*(Reprogramaciones!T$14-1))),MIN(F265,(Reprogramaciones!$T$15+7*(Reprogramaciones!T$14-1))+6),11))))))))</f>
        <v/>
      </c>
      <c r="CD265" s="1" t="str">
        <f aca="false">IF(OR(NOT(AND(ISNUMBER(E265),ISNUMBER(F265))),$J$2=""),"",IF(Reprogramaciones!U$13&lt;Reprogramaciones!$T$15,0,IF(Reprogramaciones!U$14&gt;10,MIN(100,SUM($G265:$P265)),MIN(100,SUMPRODUCT((COLUMN($G265:$P265)-COLUMN($G265)+1&lt;Reprogramaciones!U$14)*$G265:$P265)+N(INDEX($G265:$P265,1,Reprogramaciones!U$14))*IF(Reprogramaciones!U$13&gt;=(Reprogramaciones!$T$15+7*(Reprogramaciones!U$14-1))+6,1,IF(MAX(0,NETWORKDAYS.INTL(MAX(E265,(Reprogramaciones!$T$15+7*(Reprogramaciones!U$14-1))),MIN(F265,(Reprogramaciones!$T$15+7*(Reprogramaciones!U$14-1))+6),11))=0,0,MAX(0,NETWORKDAYS.INTL(MAX(E265,(Reprogramaciones!$T$15+7*(Reprogramaciones!U$14-1))),MIN(F265,Reprogramaciones!U$13),11))/MAX(0,NETWORKDAYS.INTL(MAX(E265,(Reprogramaciones!$T$15+7*(Reprogramaciones!U$14-1))),MIN(F265,(Reprogramaciones!$T$15+7*(Reprogramaciones!U$14-1))+6),11))))))))</f>
        <v/>
      </c>
      <c r="CE265" s="1" t="str">
        <f aca="false">IF(OR(NOT(AND(ISNUMBER(E265),ISNUMBER(F265))),$J$2=""),"",IF(Reprogramaciones!V$13&lt;Reprogramaciones!$T$15,0,IF(Reprogramaciones!V$14&gt;10,MIN(100,SUM($G265:$P265)),MIN(100,SUMPRODUCT((COLUMN($G265:$P265)-COLUMN($G265)+1&lt;Reprogramaciones!V$14)*$G265:$P265)+N(INDEX($G265:$P265,1,Reprogramaciones!V$14))*IF(Reprogramaciones!V$13&gt;=(Reprogramaciones!$T$15+7*(Reprogramaciones!V$14-1))+6,1,IF(MAX(0,NETWORKDAYS.INTL(MAX(E265,(Reprogramaciones!$T$15+7*(Reprogramaciones!V$14-1))),MIN(F265,(Reprogramaciones!$T$15+7*(Reprogramaciones!V$14-1))+6),11))=0,0,MAX(0,NETWORKDAYS.INTL(MAX(E265,(Reprogramaciones!$T$15+7*(Reprogramaciones!V$14-1))),MIN(F265,Reprogramaciones!V$13),11))/MAX(0,NETWORKDAYS.INTL(MAX(E265,(Reprogramaciones!$T$15+7*(Reprogramaciones!V$14-1))),MIN(F265,(Reprogramaciones!$T$15+7*(Reprogramaciones!V$14-1))+6),11))))))))</f>
        <v/>
      </c>
      <c r="CF265" s="1" t="str">
        <f aca="false">IF(OR(NOT(AND(ISNUMBER(E265),ISNUMBER(F265))),$J$2=""),"",IF(Reprogramaciones!W$13&lt;Reprogramaciones!$T$15,0,IF(Reprogramaciones!W$14&gt;10,MIN(100,SUM($G265:$P265)),MIN(100,SUMPRODUCT((COLUMN($G265:$P265)-COLUMN($G265)+1&lt;Reprogramaciones!W$14)*$G265:$P265)+N(INDEX($G265:$P265,1,Reprogramaciones!W$14))*IF(Reprogramaciones!W$13&gt;=(Reprogramaciones!$T$15+7*(Reprogramaciones!W$14-1))+6,1,IF(MAX(0,NETWORKDAYS.INTL(MAX(E265,(Reprogramaciones!$T$15+7*(Reprogramaciones!W$14-1))),MIN(F265,(Reprogramaciones!$T$15+7*(Reprogramaciones!W$14-1))+6),11))=0,0,MAX(0,NETWORKDAYS.INTL(MAX(E265,(Reprogramaciones!$T$15+7*(Reprogramaciones!W$14-1))),MIN(F265,Reprogramaciones!W$13),11))/MAX(0,NETWORKDAYS.INTL(MAX(E265,(Reprogramaciones!$T$15+7*(Reprogramaciones!W$14-1))),MIN(F265,(Reprogramaciones!$T$15+7*(Reprogramaciones!W$14-1))+6),11))))))))</f>
        <v/>
      </c>
      <c r="CG265" s="1" t="str">
        <f aca="false">IF(OR(NOT(AND(ISNUMBER(E265),ISNUMBER(F265))),$J$2=""),"",IF(Reprogramaciones!X$13&lt;Reprogramaciones!$T$15,0,IF(Reprogramaciones!X$14&gt;10,MIN(100,SUM($G265:$P265)),MIN(100,SUMPRODUCT((COLUMN($G265:$P265)-COLUMN($G265)+1&lt;Reprogramaciones!X$14)*$G265:$P265)+N(INDEX($G265:$P265,1,Reprogramaciones!X$14))*IF(Reprogramaciones!X$13&gt;=(Reprogramaciones!$T$15+7*(Reprogramaciones!X$14-1))+6,1,IF(MAX(0,NETWORKDAYS.INTL(MAX(E265,(Reprogramaciones!$T$15+7*(Reprogramaciones!X$14-1))),MIN(F265,(Reprogramaciones!$T$15+7*(Reprogramaciones!X$14-1))+6),11))=0,0,MAX(0,NETWORKDAYS.INTL(MAX(E265,(Reprogramaciones!$T$15+7*(Reprogramaciones!X$14-1))),MIN(F265,Reprogramaciones!X$13),11))/MAX(0,NETWORKDAYS.INTL(MAX(E265,(Reprogramaciones!$T$15+7*(Reprogramaciones!X$14-1))),MIN(F265,(Reprogramaciones!$T$15+7*(Reprogramaciones!X$14-1))+6),11))))))))</f>
        <v/>
      </c>
      <c r="CH265" s="1" t="str">
        <f aca="false">IF(OR(NOT(AND(ISNUMBER(E265),ISNUMBER(F265))),$J$2=""),"",IF(Reprogramaciones!Y$13&lt;Reprogramaciones!$T$15,0,IF(Reprogramaciones!Y$14&gt;10,MIN(100,SUM($G265:$P265)),MIN(100,SUMPRODUCT((COLUMN($G265:$P265)-COLUMN($G265)+1&lt;Reprogramaciones!Y$14)*$G265:$P265)+N(INDEX($G265:$P265,1,Reprogramaciones!Y$14))*IF(Reprogramaciones!Y$13&gt;=(Reprogramaciones!$T$15+7*(Reprogramaciones!Y$14-1))+6,1,IF(MAX(0,NETWORKDAYS.INTL(MAX(E265,(Reprogramaciones!$T$15+7*(Reprogramaciones!Y$14-1))),MIN(F265,(Reprogramaciones!$T$15+7*(Reprogramaciones!Y$14-1))+6),11))=0,0,MAX(0,NETWORKDAYS.INTL(MAX(E265,(Reprogramaciones!$T$15+7*(Reprogramaciones!Y$14-1))),MIN(F265,Reprogramaciones!Y$13),11))/MAX(0,NETWORKDAYS.INTL(MAX(E265,(Reprogramaciones!$T$15+7*(Reprogramaciones!Y$14-1))),MIN(F265,(Reprogramaciones!$T$15+7*(Reprogramaciones!Y$14-1))+6),11))))))))</f>
        <v/>
      </c>
      <c r="CI265" s="1" t="str">
        <f aca="false">IF(OR(NOT(AND(ISNUMBER(E265),ISNUMBER(F265))),$J$2=""),"",IF(Reprogramaciones!Z$13&lt;Reprogramaciones!$T$15,0,IF(Reprogramaciones!Z$14&gt;10,MIN(100,SUM($G265:$P265)),MIN(100,SUMPRODUCT((COLUMN($G265:$P265)-COLUMN($G265)+1&lt;Reprogramaciones!Z$14)*$G265:$P265)+N(INDEX($G265:$P265,1,Reprogramaciones!Z$14))*IF(Reprogramaciones!Z$13&gt;=(Reprogramaciones!$T$15+7*(Reprogramaciones!Z$14-1))+6,1,IF(MAX(0,NETWORKDAYS.INTL(MAX(E265,(Reprogramaciones!$T$15+7*(Reprogramaciones!Z$14-1))),MIN(F265,(Reprogramaciones!$T$15+7*(Reprogramaciones!Z$14-1))+6),11))=0,0,MAX(0,NETWORKDAYS.INTL(MAX(E265,(Reprogramaciones!$T$15+7*(Reprogramaciones!Z$14-1))),MIN(F265,Reprogramaciones!Z$13),11))/MAX(0,NETWORKDAYS.INTL(MAX(E265,(Reprogramaciones!$T$15+7*(Reprogramaciones!Z$14-1))),MIN(F265,(Reprogramaciones!$T$15+7*(Reprogramaciones!Z$14-1))+6),11))))))))</f>
        <v/>
      </c>
      <c r="CJ265" s="1" t="str">
        <f aca="false">IF(OR(OR(NOT(AND(ISNUMBER(E265),ISNUMBER(F265))),$J$2=""),1&gt;Reprogramaciones!$K$16),"",IF(ROUND(SUM($Q265:Q265),1)&gt;=99.5,100,MIN(100,ROUND(SUM($Q265:Q265),1))))</f>
        <v/>
      </c>
      <c r="CK265" s="1" t="str">
        <f aca="false">IF(OR(OR(NOT(AND(ISNUMBER(E265),ISNUMBER(F265))),$J$2=""),2&gt;Reprogramaciones!$K$16),"",IF(ROUND(SUM($Q265:R265),1)&gt;=99.5,100,MIN(100,ROUND(SUM($Q265:R265),1))))</f>
        <v/>
      </c>
      <c r="CL265" s="1" t="str">
        <f aca="false">IF(OR(OR(NOT(AND(ISNUMBER(E265),ISNUMBER(F265))),$J$2=""),3&gt;Reprogramaciones!$K$16),"",IF(ROUND(SUM($Q265:S265),1)&gt;=99.5,100,MIN(100,ROUND(SUM($Q265:S265),1))))</f>
        <v/>
      </c>
      <c r="CM265" s="1" t="str">
        <f aca="false">IF(OR(OR(NOT(AND(ISNUMBER(E265),ISNUMBER(F265))),$J$2=""),4&gt;Reprogramaciones!$K$16),"",IF(ROUND(SUM($Q265:T265),1)&gt;=99.5,100,MIN(100,ROUND(SUM($Q265:T265),1))))</f>
        <v/>
      </c>
      <c r="CN265" s="1" t="str">
        <f aca="false">IF(OR(OR(NOT(AND(ISNUMBER(E265),ISNUMBER(F265))),$J$2=""),5&gt;Reprogramaciones!$K$16),"",IF(ROUND(SUM($Q265:U265),1)&gt;=99.5,100,MIN(100,ROUND(SUM($Q265:U265),1))))</f>
        <v/>
      </c>
      <c r="CO265" s="1" t="str">
        <f aca="false">IF(OR(OR(NOT(AND(ISNUMBER(E265),ISNUMBER(F265))),$J$2=""),6&gt;Reprogramaciones!$K$16),"",IF(ROUND(SUM($Q265:V265),1)&gt;=99.5,100,MIN(100,ROUND(SUM($Q265:V265),1))))</f>
        <v/>
      </c>
      <c r="CP265" s="1" t="str">
        <f aca="false">IF(OR(OR(NOT(AND(ISNUMBER(E265),ISNUMBER(F265))),$J$2=""),7&gt;Reprogramaciones!$K$16),"",IF(ROUND(SUM($Q265:W265),1)&gt;=99.5,100,MIN(100,ROUND(SUM($Q265:W265),1))))</f>
        <v/>
      </c>
      <c r="CQ265" s="1" t="str">
        <f aca="false">IF(OR(OR(NOT(AND(ISNUMBER(E265),ISNUMBER(F265))),$J$2=""),8&gt;Reprogramaciones!$K$16),"",IF(ROUND(SUM($Q265:X265),1)&gt;=99.5,100,MIN(100,ROUND(SUM($Q265:X265),1))))</f>
        <v/>
      </c>
      <c r="CR265" s="1" t="str">
        <f aca="false">IF(OR(OR(NOT(AND(ISNUMBER(E265),ISNUMBER(F265))),$J$2=""),9&gt;Reprogramaciones!$K$16),"",IF(ROUND(SUM($Q265:Y265),1)&gt;=99.5,100,MIN(100,ROUND(SUM($Q265:Y265),1))))</f>
        <v/>
      </c>
      <c r="CS265" s="1" t="str">
        <f aca="false">IF(OR(OR(NOT(AND(ISNUMBER(E265),ISNUMBER(F265))),$J$2=""),10&gt;Reprogramaciones!$K$16),"",IF(ROUND(SUM($Q265:Z265),1)&gt;=99.5,100,MIN(100,ROUND(SUM($Q265:Z265),1))))</f>
        <v/>
      </c>
      <c r="CT265" s="1" t="str">
        <f aca="false">IF(OR(OR(NOT(AND(ISNUMBER(E265),ISNUMBER(F265))),$J$2=""),11&gt;Reprogramaciones!$K$16),"",IF(ROUND(SUM($Q265:AA265),1)&gt;=99.5,100,MIN(100,ROUND(SUM($Q265:AA265),1))))</f>
        <v/>
      </c>
      <c r="CU265" s="1" t="str">
        <f aca="false">IF(OR(OR(NOT(AND(ISNUMBER(E265),ISNUMBER(F265))),$J$2=""),12&gt;Reprogramaciones!$K$16),"",IF(ROUND(SUM($Q265:AB265),1)&gt;=99.5,100,MIN(100,ROUND(SUM($Q265:AB265),1))))</f>
        <v/>
      </c>
      <c r="CV265" s="1" t="str">
        <f aca="false">IF(OR(OR(NOT(AND(ISNUMBER(E265),ISNUMBER(F265))),$J$2=""),13&gt;Reprogramaciones!$K$16),"",IF(ROUND(SUM($Q265:AC265),1)&gt;=99.5,100,MIN(100,ROUND(SUM($Q265:AC265),1))))</f>
        <v/>
      </c>
      <c r="CW265" s="1" t="str">
        <f aca="false">IF(OR(OR(NOT(AND(ISNUMBER(E265),ISNUMBER(F265))),$J$2=""),14&gt;Reprogramaciones!$K$16),"",IF(ROUND(SUM($Q265:AD265),1)&gt;=99.5,100,MIN(100,ROUND(SUM($Q265:AD265),1))))</f>
        <v/>
      </c>
      <c r="CX265" s="1" t="str">
        <f aca="false">IF(OR(OR(NOT(AND(ISNUMBER(E265),ISNUMBER(F265))),$J$2=""),15&gt;Reprogramaciones!$K$16),"",IF(ROUND(SUM($Q265:AE265),1)&gt;=99.5,100,MIN(100,ROUND(SUM($Q265:AE265),1))))</f>
        <v/>
      </c>
      <c r="CY265" s="1" t="str">
        <f aca="false">IF(OR(OR(NOT(AND(ISNUMBER(E265),ISNUMBER(F265))),$J$2=""),16&gt;Reprogramaciones!$K$16),"",IF(ROUND(SUM($Q265:AF265),1)&gt;=99.5,100,MIN(100,ROUND(SUM($Q265:AF265),1))))</f>
        <v/>
      </c>
      <c r="CZ265" s="1" t="str">
        <f aca="false">IF(D265&lt;&gt;"",D265,IF(B265&lt;&gt;"","Contractual",CZ264))</f>
        <v>Contractual</v>
      </c>
      <c r="DA265" s="1" t="str">
        <f aca="false">IF(OR(NOT(AND(ISNUMBER(E265),ISNUMBER(F265))),$J$2=""),"",IF(Reprogramaciones!$Q$15&lt;Reprogramaciones!$T$15,0,IF(Reprogramaciones!$S$15&gt;10,MIN(100,SUM($G265:$P265)),MIN(100,SUMPRODUCT((COLUMN($G265:$P265)-COLUMN($G265)+1&lt;Reprogramaciones!$S$15)*$G265:$P265)+N(INDEX($G265:$P265,1,Reprogramaciones!$S$15))*IF(Reprogramaciones!$Q$15&gt;=(Reprogramaciones!$T$15+7*(Reprogramaciones!$S$15-1))+6,1,IF(MAX(0,NETWORKDAYS.INTL(MAX(E265,(Reprogramaciones!$T$15+7*(Reprogramaciones!$S$15-1))),MIN(F265,(Reprogramaciones!$T$15+7*(Reprogramaciones!$S$15-1))+6),11))=0,0,MAX(0,NETWORKDAYS.INTL(MAX(E265,(Reprogramaciones!$T$15+7*(Reprogramaciones!$S$15-1))),MIN(F265,Reprogramaciones!$Q$15),11))/MAX(0,NETWORKDAYS.INTL(MAX(E265,(Reprogramaciones!$T$15+7*(Reprogramaciones!$S$15-1))),MIN(F265,(Reprogramaciones!$T$15+7*(Reprogramaciones!$S$15-1))+6),11))))))))</f>
        <v/>
      </c>
    </row>
    <row r="266" customFormat="false" ht="15" hidden="false" customHeight="false" outlineLevel="0" collapsed="false">
      <c r="A266" s="32"/>
      <c r="B266" s="33"/>
      <c r="C266" s="33"/>
      <c r="D266" s="34"/>
      <c r="E266" s="35"/>
      <c r="F266" s="35"/>
      <c r="G266" s="36" t="str">
        <f aca="false">IF(OR(NOT(AND(ISNUMBER(E266),ISNUMBER(F266))),$J$2=""),"",IF(Reprogramaciones!K$9&lt;E266,0,IF(NETWORKDAYS.INTL(E266,F266,11)=0,IF(Reprogramaciones!K$9&gt;=F266,100,0),ROUND(NETWORKDAYS.INTL(E266,MIN(F266,Reprogramaciones!K$9),11)/NETWORKDAYS.INTL(E266,F266,11)*100,1)))-0)</f>
        <v/>
      </c>
      <c r="H266" s="36" t="str">
        <f aca="false">IF(OR(NOT(AND(ISNUMBER(E266),ISNUMBER(F266))),$J$2=""),"",IF(Reprogramaciones!L$9&lt;E266,0,IF(NETWORKDAYS.INTL(E266,F266,11)=0,IF(Reprogramaciones!L$9&gt;=F266,100,0),ROUND(NETWORKDAYS.INTL(E266,MIN(F266,Reprogramaciones!L$9),11)/NETWORKDAYS.INTL(E266,F266,11)*100,1)))-IF(Reprogramaciones!K$9&lt;E266,0,IF(NETWORKDAYS.INTL(E266,F266,11)=0,IF(Reprogramaciones!K$9&gt;=F266,100,0),ROUND(NETWORKDAYS.INTL(E266,MIN(F266,Reprogramaciones!K$9),11)/NETWORKDAYS.INTL(E266,F266,11)*100,1))))</f>
        <v/>
      </c>
      <c r="I266" s="36" t="str">
        <f aca="false">IF(OR(NOT(AND(ISNUMBER(E266),ISNUMBER(F266))),$J$2=""),"",IF(Reprogramaciones!M$9&lt;E266,0,IF(NETWORKDAYS.INTL(E266,F266,11)=0,IF(Reprogramaciones!M$9&gt;=F266,100,0),ROUND(NETWORKDAYS.INTL(E266,MIN(F266,Reprogramaciones!M$9),11)/NETWORKDAYS.INTL(E266,F266,11)*100,1)))-IF(Reprogramaciones!L$9&lt;E266,0,IF(NETWORKDAYS.INTL(E266,F266,11)=0,IF(Reprogramaciones!L$9&gt;=F266,100,0),ROUND(NETWORKDAYS.INTL(E266,MIN(F266,Reprogramaciones!L$9),11)/NETWORKDAYS.INTL(E266,F266,11)*100,1))))</f>
        <v/>
      </c>
      <c r="J266" s="36" t="str">
        <f aca="false">IF(OR(NOT(AND(ISNUMBER(E266),ISNUMBER(F266))),$J$2=""),"",IF(Reprogramaciones!N$9&lt;E266,0,IF(NETWORKDAYS.INTL(E266,F266,11)=0,IF(Reprogramaciones!N$9&gt;=F266,100,0),ROUND(NETWORKDAYS.INTL(E266,MIN(F266,Reprogramaciones!N$9),11)/NETWORKDAYS.INTL(E266,F266,11)*100,1)))-IF(Reprogramaciones!M$9&lt;E266,0,IF(NETWORKDAYS.INTL(E266,F266,11)=0,IF(Reprogramaciones!M$9&gt;=F266,100,0),ROUND(NETWORKDAYS.INTL(E266,MIN(F266,Reprogramaciones!M$9),11)/NETWORKDAYS.INTL(E266,F266,11)*100,1))))</f>
        <v/>
      </c>
      <c r="K266" s="36" t="str">
        <f aca="false">IF(OR(NOT(AND(ISNUMBER(E266),ISNUMBER(F266))),$J$2=""),"",IF(Reprogramaciones!O$9&lt;E266,0,IF(NETWORKDAYS.INTL(E266,F266,11)=0,IF(Reprogramaciones!O$9&gt;=F266,100,0),ROUND(NETWORKDAYS.INTL(E266,MIN(F266,Reprogramaciones!O$9),11)/NETWORKDAYS.INTL(E266,F266,11)*100,1)))-IF(Reprogramaciones!N$9&lt;E266,0,IF(NETWORKDAYS.INTL(E266,F266,11)=0,IF(Reprogramaciones!N$9&gt;=F266,100,0),ROUND(NETWORKDAYS.INTL(E266,MIN(F266,Reprogramaciones!N$9),11)/NETWORKDAYS.INTL(E266,F266,11)*100,1))))</f>
        <v/>
      </c>
      <c r="L266" s="36" t="str">
        <f aca="false">IF(OR(NOT(AND(ISNUMBER(E266),ISNUMBER(F266))),$J$2=""),"",IF(Reprogramaciones!P$9&lt;E266,0,IF(NETWORKDAYS.INTL(E266,F266,11)=0,IF(Reprogramaciones!P$9&gt;=F266,100,0),ROUND(NETWORKDAYS.INTL(E266,MIN(F266,Reprogramaciones!P$9),11)/NETWORKDAYS.INTL(E266,F266,11)*100,1)))-IF(Reprogramaciones!O$9&lt;E266,0,IF(NETWORKDAYS.INTL(E266,F266,11)=0,IF(Reprogramaciones!O$9&gt;=F266,100,0),ROUND(NETWORKDAYS.INTL(E266,MIN(F266,Reprogramaciones!O$9),11)/NETWORKDAYS.INTL(E266,F266,11)*100,1))))</f>
        <v/>
      </c>
      <c r="M266" s="36" t="str">
        <f aca="false">IF(OR(NOT(AND(ISNUMBER(E266),ISNUMBER(F266))),$J$2=""),"",IF(Reprogramaciones!Q$9&lt;E266,0,IF(NETWORKDAYS.INTL(E266,F266,11)=0,IF(Reprogramaciones!Q$9&gt;=F266,100,0),ROUND(NETWORKDAYS.INTL(E266,MIN(F266,Reprogramaciones!Q$9),11)/NETWORKDAYS.INTL(E266,F266,11)*100,1)))-IF(Reprogramaciones!P$9&lt;E266,0,IF(NETWORKDAYS.INTL(E266,F266,11)=0,IF(Reprogramaciones!P$9&gt;=F266,100,0),ROUND(NETWORKDAYS.INTL(E266,MIN(F266,Reprogramaciones!P$9),11)/NETWORKDAYS.INTL(E266,F266,11)*100,1))))</f>
        <v/>
      </c>
      <c r="N266" s="36" t="str">
        <f aca="false">IF(OR(NOT(AND(ISNUMBER(E266),ISNUMBER(F266))),$J$2=""),"",IF(Reprogramaciones!R$9&lt;E266,0,IF(NETWORKDAYS.INTL(E266,F266,11)=0,IF(Reprogramaciones!R$9&gt;=F266,100,0),ROUND(NETWORKDAYS.INTL(E266,MIN(F266,Reprogramaciones!R$9),11)/NETWORKDAYS.INTL(E266,F266,11)*100,1)))-IF(Reprogramaciones!Q$9&lt;E266,0,IF(NETWORKDAYS.INTL(E266,F266,11)=0,IF(Reprogramaciones!Q$9&gt;=F266,100,0),ROUND(NETWORKDAYS.INTL(E266,MIN(F266,Reprogramaciones!Q$9),11)/NETWORKDAYS.INTL(E266,F266,11)*100,1))))</f>
        <v/>
      </c>
      <c r="O266" s="36" t="str">
        <f aca="false">IF(OR(NOT(AND(ISNUMBER(E266),ISNUMBER(F266))),$J$2=""),"",IF(Reprogramaciones!S$9&lt;E266,0,IF(NETWORKDAYS.INTL(E266,F266,11)=0,IF(Reprogramaciones!S$9&gt;=F266,100,0),ROUND(NETWORKDAYS.INTL(E266,MIN(F266,Reprogramaciones!S$9),11)/NETWORKDAYS.INTL(E266,F266,11)*100,1)))-IF(Reprogramaciones!R$9&lt;E266,0,IF(NETWORKDAYS.INTL(E266,F266,11)=0,IF(Reprogramaciones!R$9&gt;=F266,100,0),ROUND(NETWORKDAYS.INTL(E266,MIN(F266,Reprogramaciones!R$9),11)/NETWORKDAYS.INTL(E266,F266,11)*100,1))))</f>
        <v/>
      </c>
      <c r="P266" s="36" t="str">
        <f aca="false">IF(OR(NOT(AND(ISNUMBER(E266),ISNUMBER(F266))),$J$2=""),"",IF(Reprogramaciones!T$9&lt;E266,0,IF(NETWORKDAYS.INTL(E266,F266,11)=0,IF(Reprogramaciones!T$9&gt;=F266,100,0),ROUND(NETWORKDAYS.INTL(E266,MIN(F266,Reprogramaciones!T$9),11)/NETWORKDAYS.INTL(E266,F266,11)*100,1)))-IF(Reprogramaciones!S$9&lt;E266,0,IF(NETWORKDAYS.INTL(E266,F266,11)=0,IF(Reprogramaciones!S$9&gt;=F266,100,0),ROUND(NETWORKDAYS.INTL(E266,MIN(F266,Reprogramaciones!S$9),11)/NETWORKDAYS.INTL(E266,F266,11)*100,1))))</f>
        <v/>
      </c>
      <c r="Q266" s="37"/>
      <c r="R266" s="37"/>
      <c r="S266" s="37"/>
      <c r="T266" s="37"/>
      <c r="U266" s="37"/>
      <c r="V266" s="37"/>
      <c r="W266" s="37"/>
      <c r="X266" s="37"/>
      <c r="Y266" s="37"/>
      <c r="Z266" s="37"/>
      <c r="AA266" s="37"/>
      <c r="AB266" s="37"/>
      <c r="AC266" s="37"/>
      <c r="AD266" s="37"/>
      <c r="AE266" s="37"/>
      <c r="AF266" s="37"/>
      <c r="AG266" s="38" t="str">
        <f aca="false">IF(AND(ISNUMBER(E266),ISNUMBER(F266)),NETWORKDAYS.INTL(E266,F266,11),"")</f>
        <v/>
      </c>
      <c r="AH266" s="38" t="str">
        <f aca="false">IF(OR(NOT(AND(ISNUMBER(E266),ISNUMBER(F266))),$J$2=""),"",IF(Reprogramaciones!$P$15&lt;Reprogramaciones!$T$15,0,IF(Reprogramaciones!$R$15&gt;10,MIN(100,SUM($G266:$P266)),MIN(100,SUMPRODUCT((COLUMN($G266:$P266)-COLUMN($G266)+1&lt;Reprogramaciones!$R$15)*$G266:$P266)+N(INDEX($G266:$P266,1,Reprogramaciones!$R$15))*IF(Reprogramaciones!$P$15&gt;=(Reprogramaciones!$T$15+7*(Reprogramaciones!$R$15-1))+6,1,IF(MAX(0,NETWORKDAYS.INTL(MAX(E266,(Reprogramaciones!$T$15+7*(Reprogramaciones!$R$15-1))),MIN(F266,(Reprogramaciones!$T$15+7*(Reprogramaciones!$R$15-1))+6),11))=0,0,MAX(0,NETWORKDAYS.INTL(MAX(E266,(Reprogramaciones!$T$15+7*(Reprogramaciones!$R$15-1))),MIN(F266,Reprogramaciones!$P$15),11))/MAX(0,NETWORKDAYS.INTL(MAX(E266,(Reprogramaciones!$T$15+7*(Reprogramaciones!$R$15-1))),MIN(F266,(Reprogramaciones!$T$15+7*(Reprogramaciones!$R$15-1))+6),11))))))))</f>
        <v/>
      </c>
      <c r="AI266" s="38" t="str">
        <f aca="false">IF(COUNT($Q266:$AF266)=0,"",IF(ROUND(SUM($Q266:$AF266),1)&gt;=99.5,100,MIN(100,ROUND(SUM($Q266:$AF266),1))))</f>
        <v/>
      </c>
      <c r="AJ266" s="38" t="str">
        <f aca="false">IF(OR(AH266="",AI266=""),"",AI266-AH266)</f>
        <v/>
      </c>
      <c r="AK266" s="39" t="str">
        <f aca="true">IF(AH266="","",IF(OR(Ficha!$C$10="Suspendida",Ficha!$C$10="Cancelada"),Ficha!$C$10,IF(AND(AI266&lt;&gt;"",N(AI266)&gt;=100),"Completada",IF(AND(E266&gt;TODAY(),N(AI266)=0),"Por iniciar",IF(N(AI266)+0.5&lt;AH266,"Retrasada",IF(N(AI266)+0.5&lt;DA266,IF(Reprogramaciones!$K$15&gt;0,"Al día · Sem "&amp;Reprogramaciones!$K$15&amp;" en curso","Al día · en curso"),"A tiempo"))))))</f>
        <v/>
      </c>
      <c r="AL266" s="39" t="str">
        <f aca="true">IF(AND(A266="",AND(B266="",C266="",E266="",F266="",COUNT(Q266:AF266)=0)),"",IF(AND(B266="",C266="",E266="",F266="",COUNT(Q266:AF266)=0),"Falta la partida o subpartida",IF(AND(A266&lt;&gt;"",COUNTIF($A$6:$A$305,A266)&gt;1),"Ítem repetido",IF(AND(C266="",E266="",F266="",COUNT(Q266:AF266)=0),"Título de partida",IF(OR(E266="",F266=""),"Faltan fechas",IF(OR(ISTEXT(E266),ISTEXT(F266)),"Fecha escrita como texto: usa dd/mm/aaaa",IF(F266&lt;E266,"Fin antes del inicio",IF(IF($J$2="",FALSE(),OR(E266&lt;$J$2,F266&gt;Reprogramaciones!$T$15+69)),"Fuera de las 10 semanas",IF(ABS(SUM(G266:P266)-100)&gt;0.5,"La meta no suma 100%",IF(ROUND(SUM(Q266:AF266),1)&gt;100.5,"El avance pasa de 100%",IF(MIN(Q266:AF266)&lt;0,"Avance negativo",IF(COUNTA(Q266:AF266)&gt;COUNT(Q266:AF266),"Avance escrito como texto",IF(SUMPRODUCT((Q266:AF266&gt;0)*(Q266:AF266&lt;1))&gt;0,"Avance menor a 1: escribe 50, no 50%",IF(SUMPRODUCT(ISNUMBER(Q266:AF266)*(Reprogramaciones!$K$8:$Z$8&gt;TODAY()))&gt;0,"Avance en semana que aún no llega",IF(AND(N(Reprogramaciones!$E$21)&gt;0,F266&gt;Reprogramaciones!$E$21),"Pasa el fin de la obra: registra una reprogramación",IF(AND(N(Reprogramaciones!$E$21)&gt;0,SUMPRODUCT(ISNUMBER(Q266:AF266)*(Reprogramaciones!$K$8:$Z$8&gt;Reprogramaciones!$E$21))&gt;0),"Avance después del fin de la obra: registra una reprogramación por atraso","OK"))))))))))))))))</f>
        <v/>
      </c>
      <c r="AM266" s="40" t="str">
        <f aca="false">IF(OR(OR(NOT(AND(ISNUMBER(E266),ISNUMBER(F266))),$J$2=""),1&gt;MAX(1,Reprogramaciones!$U$15)),"",IF(Reprogramaciones!K$12&gt;=7,"",IF(OR(BT266-N(0)&gt;0.05,N(Q266)&gt;0),ROUNDDOWN(ROUND(BT266,6),0)&amp;"%"&amp;IF(CJ266="",""," / "&amp;CJ266&amp;"%"),IF(AND(N(0)&gt;=99.95,CJ266&lt;&gt;"",N(CJ266)&lt;100),"Pend. "&amp;CJ266&amp;"%",""))))</f>
        <v/>
      </c>
      <c r="AN266" s="40" t="str">
        <f aca="false">IF(OR(OR(NOT(AND(ISNUMBER(E266),ISNUMBER(F266))),$J$2=""),2&gt;MAX(1,Reprogramaciones!$U$15)),"",IF(Reprogramaciones!L$12&gt;=7,"",IF(OR(BU266-N(BT266)&gt;0.05,N(R266)&gt;0),ROUNDDOWN(ROUND(BU266,6),0)&amp;"%"&amp;IF(CK266="",""," / "&amp;CK266&amp;"%"),IF(AND(N(BT266)&gt;=99.95,CK266&lt;&gt;"",N(CK266)&lt;100),"Pend. "&amp;CK266&amp;"%",""))))</f>
        <v/>
      </c>
      <c r="AO266" s="40" t="str">
        <f aca="false">IF(OR(OR(NOT(AND(ISNUMBER(E266),ISNUMBER(F266))),$J$2=""),3&gt;MAX(1,Reprogramaciones!$U$15)),"",IF(Reprogramaciones!M$12&gt;=7,"",IF(OR(BV266-N(BU266)&gt;0.05,N(S266)&gt;0),ROUNDDOWN(ROUND(BV266,6),0)&amp;"%"&amp;IF(CL266="",""," / "&amp;CL266&amp;"%"),IF(AND(N(BU266)&gt;=99.95,CL266&lt;&gt;"",N(CL266)&lt;100),"Pend. "&amp;CL266&amp;"%",""))))</f>
        <v/>
      </c>
      <c r="AP266" s="40" t="str">
        <f aca="false">IF(OR(OR(NOT(AND(ISNUMBER(E266),ISNUMBER(F266))),$J$2=""),4&gt;MAX(1,Reprogramaciones!$U$15)),"",IF(Reprogramaciones!N$12&gt;=7,"",IF(OR(BW266-N(BV266)&gt;0.05,N(T266)&gt;0),ROUNDDOWN(ROUND(BW266,6),0)&amp;"%"&amp;IF(CM266="",""," / "&amp;CM266&amp;"%"),IF(AND(N(BV266)&gt;=99.95,CM266&lt;&gt;"",N(CM266)&lt;100),"Pend. "&amp;CM266&amp;"%",""))))</f>
        <v/>
      </c>
      <c r="AQ266" s="40" t="str">
        <f aca="false">IF(OR(OR(NOT(AND(ISNUMBER(E266),ISNUMBER(F266))),$J$2=""),5&gt;MAX(1,Reprogramaciones!$U$15)),"",IF(Reprogramaciones!O$12&gt;=7,"",IF(OR(BX266-N(BW266)&gt;0.05,N(U266)&gt;0),ROUNDDOWN(ROUND(BX266,6),0)&amp;"%"&amp;IF(CN266="",""," / "&amp;CN266&amp;"%"),IF(AND(N(BW266)&gt;=99.95,CN266&lt;&gt;"",N(CN266)&lt;100),"Pend. "&amp;CN266&amp;"%",""))))</f>
        <v/>
      </c>
      <c r="AR266" s="40" t="str">
        <f aca="false">IF(OR(OR(NOT(AND(ISNUMBER(E266),ISNUMBER(F266))),$J$2=""),6&gt;MAX(1,Reprogramaciones!$U$15)),"",IF(Reprogramaciones!P$12&gt;=7,"",IF(OR(BY266-N(BX266)&gt;0.05,N(V266)&gt;0),ROUNDDOWN(ROUND(BY266,6),0)&amp;"%"&amp;IF(CO266="",""," / "&amp;CO266&amp;"%"),IF(AND(N(BX266)&gt;=99.95,CO266&lt;&gt;"",N(CO266)&lt;100),"Pend. "&amp;CO266&amp;"%",""))))</f>
        <v/>
      </c>
      <c r="AS266" s="40" t="str">
        <f aca="false">IF(OR(OR(NOT(AND(ISNUMBER(E266),ISNUMBER(F266))),$J$2=""),7&gt;MAX(1,Reprogramaciones!$U$15)),"",IF(Reprogramaciones!Q$12&gt;=7,"",IF(OR(BZ266-N(BY266)&gt;0.05,N(W266)&gt;0),ROUNDDOWN(ROUND(BZ266,6),0)&amp;"%"&amp;IF(CP266="",""," / "&amp;CP266&amp;"%"),IF(AND(N(BY266)&gt;=99.95,CP266&lt;&gt;"",N(CP266)&lt;100),"Pend. "&amp;CP266&amp;"%",""))))</f>
        <v/>
      </c>
      <c r="AT266" s="40" t="str">
        <f aca="false">IF(OR(OR(NOT(AND(ISNUMBER(E266),ISNUMBER(F266))),$J$2=""),8&gt;MAX(1,Reprogramaciones!$U$15)),"",IF(Reprogramaciones!R$12&gt;=7,"",IF(OR(CA266-N(BZ266)&gt;0.05,N(X266)&gt;0),ROUNDDOWN(ROUND(CA266,6),0)&amp;"%"&amp;IF(CQ266="",""," / "&amp;CQ266&amp;"%"),IF(AND(N(BZ266)&gt;=99.95,CQ266&lt;&gt;"",N(CQ266)&lt;100),"Pend. "&amp;CQ266&amp;"%",""))))</f>
        <v/>
      </c>
      <c r="AU266" s="40" t="str">
        <f aca="false">IF(OR(OR(NOT(AND(ISNUMBER(E266),ISNUMBER(F266))),$J$2=""),9&gt;MAX(1,Reprogramaciones!$U$15)),"",IF(Reprogramaciones!S$12&gt;=7,"",IF(OR(CB266-N(CA266)&gt;0.05,N(Y266)&gt;0),ROUNDDOWN(ROUND(CB266,6),0)&amp;"%"&amp;IF(CR266="",""," / "&amp;CR266&amp;"%"),IF(AND(N(CA266)&gt;=99.95,CR266&lt;&gt;"",N(CR266)&lt;100),"Pend. "&amp;CR266&amp;"%",""))))</f>
        <v/>
      </c>
      <c r="AV266" s="40" t="str">
        <f aca="false">IF(OR(OR(NOT(AND(ISNUMBER(E266),ISNUMBER(F266))),$J$2=""),10&gt;MAX(1,Reprogramaciones!$U$15)),"",IF(Reprogramaciones!T$12&gt;=7,"",IF(OR(CC266-N(CB266)&gt;0.05,N(Z266)&gt;0),ROUNDDOWN(ROUND(CC266,6),0)&amp;"%"&amp;IF(CS266="",""," / "&amp;CS266&amp;"%"),IF(AND(N(CB266)&gt;=99.95,CS266&lt;&gt;"",N(CS266)&lt;100),"Pend. "&amp;CS266&amp;"%",""))))</f>
        <v/>
      </c>
      <c r="AW266" s="40" t="str">
        <f aca="false">IF(OR(OR(NOT(AND(ISNUMBER(E266),ISNUMBER(F266))),$J$2=""),11&gt;MAX(1,Reprogramaciones!$U$15)),"",IF(Reprogramaciones!U$12&gt;=7,"",IF(OR(CD266-N(CC266)&gt;0.05,N(AA266)&gt;0),ROUNDDOWN(ROUND(CD266,6),0)&amp;"%"&amp;IF(CT266="",""," / "&amp;CT266&amp;"%"),IF(AND(N(CC266)&gt;=99.95,CT266&lt;&gt;"",N(CT266)&lt;100),"Pend. "&amp;CT266&amp;"%",""))))</f>
        <v/>
      </c>
      <c r="AX266" s="40" t="str">
        <f aca="false">IF(OR(OR(NOT(AND(ISNUMBER(E266),ISNUMBER(F266))),$J$2=""),12&gt;MAX(1,Reprogramaciones!$U$15)),"",IF(Reprogramaciones!V$12&gt;=7,"",IF(OR(CE266-N(CD266)&gt;0.05,N(AB266)&gt;0),ROUNDDOWN(ROUND(CE266,6),0)&amp;"%"&amp;IF(CU266="",""," / "&amp;CU266&amp;"%"),IF(AND(N(CD266)&gt;=99.95,CU266&lt;&gt;"",N(CU266)&lt;100),"Pend. "&amp;CU266&amp;"%",""))))</f>
        <v/>
      </c>
      <c r="AY266" s="40" t="str">
        <f aca="false">IF(OR(OR(NOT(AND(ISNUMBER(E266),ISNUMBER(F266))),$J$2=""),13&gt;MAX(1,Reprogramaciones!$U$15)),"",IF(Reprogramaciones!W$12&gt;=7,"",IF(OR(CF266-N(CE266)&gt;0.05,N(AC266)&gt;0),ROUNDDOWN(ROUND(CF266,6),0)&amp;"%"&amp;IF(CV266="",""," / "&amp;CV266&amp;"%"),IF(AND(N(CE266)&gt;=99.95,CV266&lt;&gt;"",N(CV266)&lt;100),"Pend. "&amp;CV266&amp;"%",""))))</f>
        <v/>
      </c>
      <c r="AZ266" s="40" t="str">
        <f aca="false">IF(OR(OR(NOT(AND(ISNUMBER(E266),ISNUMBER(F266))),$J$2=""),14&gt;MAX(1,Reprogramaciones!$U$15)),"",IF(Reprogramaciones!X$12&gt;=7,"",IF(OR(CG266-N(CF266)&gt;0.05,N(AD266)&gt;0),ROUNDDOWN(ROUND(CG266,6),0)&amp;"%"&amp;IF(CW266="",""," / "&amp;CW266&amp;"%"),IF(AND(N(CF266)&gt;=99.95,CW266&lt;&gt;"",N(CW266)&lt;100),"Pend. "&amp;CW266&amp;"%",""))))</f>
        <v/>
      </c>
      <c r="BA266" s="40" t="str">
        <f aca="false">IF(OR(OR(NOT(AND(ISNUMBER(E266),ISNUMBER(F266))),$J$2=""),15&gt;MAX(1,Reprogramaciones!$U$15)),"",IF(Reprogramaciones!Y$12&gt;=7,"",IF(OR(CH266-N(CG266)&gt;0.05,N(AE266)&gt;0),ROUNDDOWN(ROUND(CH266,6),0)&amp;"%"&amp;IF(CX266="",""," / "&amp;CX266&amp;"%"),IF(AND(N(CG266)&gt;=99.95,CX266&lt;&gt;"",N(CX266)&lt;100),"Pend. "&amp;CX266&amp;"%",""))))</f>
        <v/>
      </c>
      <c r="BB266" s="40" t="str">
        <f aca="false">IF(OR(OR(NOT(AND(ISNUMBER(E266),ISNUMBER(F266))),$J$2=""),16&gt;MAX(1,Reprogramaciones!$U$15)),"",IF(Reprogramaciones!Z$12&gt;=7,"",IF(OR(CI266-N(CH266)&gt;0.05,N(AF266)&gt;0),ROUNDDOWN(ROUND(CI266,6),0)&amp;"%"&amp;IF(CY266="",""," / "&amp;CY266&amp;"%"),IF(AND(N(CH266)&gt;=99.95,CY266&lt;&gt;"",N(CY266)&lt;100),"Pend. "&amp;CY266&amp;"%",""))))</f>
        <v/>
      </c>
      <c r="BC266" s="31" t="n">
        <f aca="false">IF(AND(ISNUMBER(E266),ISNUMBER(F266)),MAX(1,NETWORKDAYS.INTL(E266,F266,11)),0)</f>
        <v>0</v>
      </c>
      <c r="BD266" s="1" t="str">
        <f aca="false">IF(OR(NOT(AND(ISNUMBER(E266),ISNUMBER(F266))),$J$2=""),"",MIN(100,ROUND(SUM($G266:G266),1)))</f>
        <v/>
      </c>
      <c r="BE266" s="1" t="str">
        <f aca="false">IF(OR(NOT(AND(ISNUMBER(E266),ISNUMBER(F266))),$J$2=""),"",MIN(100,ROUND(SUM($G266:H266),1)))</f>
        <v/>
      </c>
      <c r="BF266" s="1" t="str">
        <f aca="false">IF(OR(NOT(AND(ISNUMBER(E266),ISNUMBER(F266))),$J$2=""),"",MIN(100,ROUND(SUM($G266:I266),1)))</f>
        <v/>
      </c>
      <c r="BG266" s="1" t="str">
        <f aca="false">IF(OR(NOT(AND(ISNUMBER(E266),ISNUMBER(F266))),$J$2=""),"",MIN(100,ROUND(SUM($G266:J266),1)))</f>
        <v/>
      </c>
      <c r="BH266" s="1" t="str">
        <f aca="false">IF(OR(NOT(AND(ISNUMBER(E266),ISNUMBER(F266))),$J$2=""),"",MIN(100,ROUND(SUM($G266:K266),1)))</f>
        <v/>
      </c>
      <c r="BI266" s="1" t="str">
        <f aca="false">IF(OR(NOT(AND(ISNUMBER(E266),ISNUMBER(F266))),$J$2=""),"",MIN(100,ROUND(SUM($G266:L266),1)))</f>
        <v/>
      </c>
      <c r="BJ266" s="1" t="str">
        <f aca="false">IF(OR(NOT(AND(ISNUMBER(E266),ISNUMBER(F266))),$J$2=""),"",MIN(100,ROUND(SUM($G266:M266),1)))</f>
        <v/>
      </c>
      <c r="BK266" s="1" t="str">
        <f aca="false">IF(OR(NOT(AND(ISNUMBER(E266),ISNUMBER(F266))),$J$2=""),"",MIN(100,ROUND(SUM($G266:N266),1)))</f>
        <v/>
      </c>
      <c r="BL266" s="1" t="str">
        <f aca="false">IF(OR(NOT(AND(ISNUMBER(E266),ISNUMBER(F266))),$J$2=""),"",MIN(100,ROUND(SUM($G266:O266),1)))</f>
        <v/>
      </c>
      <c r="BM266" s="1" t="str">
        <f aca="false">IF(OR(NOT(AND(ISNUMBER(E266),ISNUMBER(F266))),$J$2=""),"",MIN(100,ROUND(SUM($G266:P266),1)))</f>
        <v/>
      </c>
      <c r="BN266" s="1" t="str">
        <f aca="false">IF(OR(NOT(AND(ISNUMBER(E266),ISNUMBER(F266))),$J$2=""),"",MIN(100,ROUND(SUM($G266:P266),1)))</f>
        <v/>
      </c>
      <c r="BO266" s="1" t="str">
        <f aca="false">IF(OR(NOT(AND(ISNUMBER(E266),ISNUMBER(F266))),$J$2=""),"",MIN(100,ROUND(SUM($G266:P266),1)))</f>
        <v/>
      </c>
      <c r="BP266" s="1" t="str">
        <f aca="false">IF(OR(NOT(AND(ISNUMBER(E266),ISNUMBER(F266))),$J$2=""),"",MIN(100,ROUND(SUM($G266:P266),1)))</f>
        <v/>
      </c>
      <c r="BQ266" s="1" t="str">
        <f aca="false">IF(OR(NOT(AND(ISNUMBER(E266),ISNUMBER(F266))),$J$2=""),"",MIN(100,ROUND(SUM($G266:P266),1)))</f>
        <v/>
      </c>
      <c r="BR266" s="1" t="str">
        <f aca="false">IF(OR(NOT(AND(ISNUMBER(E266),ISNUMBER(F266))),$J$2=""),"",MIN(100,ROUND(SUM($G266:P266),1)))</f>
        <v/>
      </c>
      <c r="BS266" s="1" t="str">
        <f aca="false">IF(OR(NOT(AND(ISNUMBER(E266),ISNUMBER(F266))),$J$2=""),"",MIN(100,ROUND(SUM($G266:P266),1)))</f>
        <v/>
      </c>
      <c r="BT266" s="1" t="str">
        <f aca="false">IF(OR(NOT(AND(ISNUMBER(E266),ISNUMBER(F266))),$J$2=""),"",IF(Reprogramaciones!K$13&lt;Reprogramaciones!$T$15,0,IF(Reprogramaciones!K$14&gt;10,MIN(100,SUM($G266:$P266)),MIN(100,SUMPRODUCT((COLUMN($G266:$P266)-COLUMN($G266)+1&lt;Reprogramaciones!K$14)*$G266:$P266)+N(INDEX($G266:$P266,1,Reprogramaciones!K$14))*IF(Reprogramaciones!K$13&gt;=(Reprogramaciones!$T$15+7*(Reprogramaciones!K$14-1))+6,1,IF(MAX(0,NETWORKDAYS.INTL(MAX(E266,(Reprogramaciones!$T$15+7*(Reprogramaciones!K$14-1))),MIN(F266,(Reprogramaciones!$T$15+7*(Reprogramaciones!K$14-1))+6),11))=0,0,MAX(0,NETWORKDAYS.INTL(MAX(E266,(Reprogramaciones!$T$15+7*(Reprogramaciones!K$14-1))),MIN(F266,Reprogramaciones!K$13),11))/MAX(0,NETWORKDAYS.INTL(MAX(E266,(Reprogramaciones!$T$15+7*(Reprogramaciones!K$14-1))),MIN(F266,(Reprogramaciones!$T$15+7*(Reprogramaciones!K$14-1))+6),11))))))))</f>
        <v/>
      </c>
      <c r="BU266" s="1" t="str">
        <f aca="false">IF(OR(NOT(AND(ISNUMBER(E266),ISNUMBER(F266))),$J$2=""),"",IF(Reprogramaciones!L$13&lt;Reprogramaciones!$T$15,0,IF(Reprogramaciones!L$14&gt;10,MIN(100,SUM($G266:$P266)),MIN(100,SUMPRODUCT((COLUMN($G266:$P266)-COLUMN($G266)+1&lt;Reprogramaciones!L$14)*$G266:$P266)+N(INDEX($G266:$P266,1,Reprogramaciones!L$14))*IF(Reprogramaciones!L$13&gt;=(Reprogramaciones!$T$15+7*(Reprogramaciones!L$14-1))+6,1,IF(MAX(0,NETWORKDAYS.INTL(MAX(E266,(Reprogramaciones!$T$15+7*(Reprogramaciones!L$14-1))),MIN(F266,(Reprogramaciones!$T$15+7*(Reprogramaciones!L$14-1))+6),11))=0,0,MAX(0,NETWORKDAYS.INTL(MAX(E266,(Reprogramaciones!$T$15+7*(Reprogramaciones!L$14-1))),MIN(F266,Reprogramaciones!L$13),11))/MAX(0,NETWORKDAYS.INTL(MAX(E266,(Reprogramaciones!$T$15+7*(Reprogramaciones!L$14-1))),MIN(F266,(Reprogramaciones!$T$15+7*(Reprogramaciones!L$14-1))+6),11))))))))</f>
        <v/>
      </c>
      <c r="BV266" s="1" t="str">
        <f aca="false">IF(OR(NOT(AND(ISNUMBER(E266),ISNUMBER(F266))),$J$2=""),"",IF(Reprogramaciones!M$13&lt;Reprogramaciones!$T$15,0,IF(Reprogramaciones!M$14&gt;10,MIN(100,SUM($G266:$P266)),MIN(100,SUMPRODUCT((COLUMN($G266:$P266)-COLUMN($G266)+1&lt;Reprogramaciones!M$14)*$G266:$P266)+N(INDEX($G266:$P266,1,Reprogramaciones!M$14))*IF(Reprogramaciones!M$13&gt;=(Reprogramaciones!$T$15+7*(Reprogramaciones!M$14-1))+6,1,IF(MAX(0,NETWORKDAYS.INTL(MAX(E266,(Reprogramaciones!$T$15+7*(Reprogramaciones!M$14-1))),MIN(F266,(Reprogramaciones!$T$15+7*(Reprogramaciones!M$14-1))+6),11))=0,0,MAX(0,NETWORKDAYS.INTL(MAX(E266,(Reprogramaciones!$T$15+7*(Reprogramaciones!M$14-1))),MIN(F266,Reprogramaciones!M$13),11))/MAX(0,NETWORKDAYS.INTL(MAX(E266,(Reprogramaciones!$T$15+7*(Reprogramaciones!M$14-1))),MIN(F266,(Reprogramaciones!$T$15+7*(Reprogramaciones!M$14-1))+6),11))))))))</f>
        <v/>
      </c>
      <c r="BW266" s="1" t="str">
        <f aca="false">IF(OR(NOT(AND(ISNUMBER(E266),ISNUMBER(F266))),$J$2=""),"",IF(Reprogramaciones!N$13&lt;Reprogramaciones!$T$15,0,IF(Reprogramaciones!N$14&gt;10,MIN(100,SUM($G266:$P266)),MIN(100,SUMPRODUCT((COLUMN($G266:$P266)-COLUMN($G266)+1&lt;Reprogramaciones!N$14)*$G266:$P266)+N(INDEX($G266:$P266,1,Reprogramaciones!N$14))*IF(Reprogramaciones!N$13&gt;=(Reprogramaciones!$T$15+7*(Reprogramaciones!N$14-1))+6,1,IF(MAX(0,NETWORKDAYS.INTL(MAX(E266,(Reprogramaciones!$T$15+7*(Reprogramaciones!N$14-1))),MIN(F266,(Reprogramaciones!$T$15+7*(Reprogramaciones!N$14-1))+6),11))=0,0,MAX(0,NETWORKDAYS.INTL(MAX(E266,(Reprogramaciones!$T$15+7*(Reprogramaciones!N$14-1))),MIN(F266,Reprogramaciones!N$13),11))/MAX(0,NETWORKDAYS.INTL(MAX(E266,(Reprogramaciones!$T$15+7*(Reprogramaciones!N$14-1))),MIN(F266,(Reprogramaciones!$T$15+7*(Reprogramaciones!N$14-1))+6),11))))))))</f>
        <v/>
      </c>
      <c r="BX266" s="1" t="str">
        <f aca="false">IF(OR(NOT(AND(ISNUMBER(E266),ISNUMBER(F266))),$J$2=""),"",IF(Reprogramaciones!O$13&lt;Reprogramaciones!$T$15,0,IF(Reprogramaciones!O$14&gt;10,MIN(100,SUM($G266:$P266)),MIN(100,SUMPRODUCT((COLUMN($G266:$P266)-COLUMN($G266)+1&lt;Reprogramaciones!O$14)*$G266:$P266)+N(INDEX($G266:$P266,1,Reprogramaciones!O$14))*IF(Reprogramaciones!O$13&gt;=(Reprogramaciones!$T$15+7*(Reprogramaciones!O$14-1))+6,1,IF(MAX(0,NETWORKDAYS.INTL(MAX(E266,(Reprogramaciones!$T$15+7*(Reprogramaciones!O$14-1))),MIN(F266,(Reprogramaciones!$T$15+7*(Reprogramaciones!O$14-1))+6),11))=0,0,MAX(0,NETWORKDAYS.INTL(MAX(E266,(Reprogramaciones!$T$15+7*(Reprogramaciones!O$14-1))),MIN(F266,Reprogramaciones!O$13),11))/MAX(0,NETWORKDAYS.INTL(MAX(E266,(Reprogramaciones!$T$15+7*(Reprogramaciones!O$14-1))),MIN(F266,(Reprogramaciones!$T$15+7*(Reprogramaciones!O$14-1))+6),11))))))))</f>
        <v/>
      </c>
      <c r="BY266" s="1" t="str">
        <f aca="false">IF(OR(NOT(AND(ISNUMBER(E266),ISNUMBER(F266))),$J$2=""),"",IF(Reprogramaciones!P$13&lt;Reprogramaciones!$T$15,0,IF(Reprogramaciones!P$14&gt;10,MIN(100,SUM($G266:$P266)),MIN(100,SUMPRODUCT((COLUMN($G266:$P266)-COLUMN($G266)+1&lt;Reprogramaciones!P$14)*$G266:$P266)+N(INDEX($G266:$P266,1,Reprogramaciones!P$14))*IF(Reprogramaciones!P$13&gt;=(Reprogramaciones!$T$15+7*(Reprogramaciones!P$14-1))+6,1,IF(MAX(0,NETWORKDAYS.INTL(MAX(E266,(Reprogramaciones!$T$15+7*(Reprogramaciones!P$14-1))),MIN(F266,(Reprogramaciones!$T$15+7*(Reprogramaciones!P$14-1))+6),11))=0,0,MAX(0,NETWORKDAYS.INTL(MAX(E266,(Reprogramaciones!$T$15+7*(Reprogramaciones!P$14-1))),MIN(F266,Reprogramaciones!P$13),11))/MAX(0,NETWORKDAYS.INTL(MAX(E266,(Reprogramaciones!$T$15+7*(Reprogramaciones!P$14-1))),MIN(F266,(Reprogramaciones!$T$15+7*(Reprogramaciones!P$14-1))+6),11))))))))</f>
        <v/>
      </c>
      <c r="BZ266" s="1" t="str">
        <f aca="false">IF(OR(NOT(AND(ISNUMBER(E266),ISNUMBER(F266))),$J$2=""),"",IF(Reprogramaciones!Q$13&lt;Reprogramaciones!$T$15,0,IF(Reprogramaciones!Q$14&gt;10,MIN(100,SUM($G266:$P266)),MIN(100,SUMPRODUCT((COLUMN($G266:$P266)-COLUMN($G266)+1&lt;Reprogramaciones!Q$14)*$G266:$P266)+N(INDEX($G266:$P266,1,Reprogramaciones!Q$14))*IF(Reprogramaciones!Q$13&gt;=(Reprogramaciones!$T$15+7*(Reprogramaciones!Q$14-1))+6,1,IF(MAX(0,NETWORKDAYS.INTL(MAX(E266,(Reprogramaciones!$T$15+7*(Reprogramaciones!Q$14-1))),MIN(F266,(Reprogramaciones!$T$15+7*(Reprogramaciones!Q$14-1))+6),11))=0,0,MAX(0,NETWORKDAYS.INTL(MAX(E266,(Reprogramaciones!$T$15+7*(Reprogramaciones!Q$14-1))),MIN(F266,Reprogramaciones!Q$13),11))/MAX(0,NETWORKDAYS.INTL(MAX(E266,(Reprogramaciones!$T$15+7*(Reprogramaciones!Q$14-1))),MIN(F266,(Reprogramaciones!$T$15+7*(Reprogramaciones!Q$14-1))+6),11))))))))</f>
        <v/>
      </c>
      <c r="CA266" s="1" t="str">
        <f aca="false">IF(OR(NOT(AND(ISNUMBER(E266),ISNUMBER(F266))),$J$2=""),"",IF(Reprogramaciones!R$13&lt;Reprogramaciones!$T$15,0,IF(Reprogramaciones!R$14&gt;10,MIN(100,SUM($G266:$P266)),MIN(100,SUMPRODUCT((COLUMN($G266:$P266)-COLUMN($G266)+1&lt;Reprogramaciones!R$14)*$G266:$P266)+N(INDEX($G266:$P266,1,Reprogramaciones!R$14))*IF(Reprogramaciones!R$13&gt;=(Reprogramaciones!$T$15+7*(Reprogramaciones!R$14-1))+6,1,IF(MAX(0,NETWORKDAYS.INTL(MAX(E266,(Reprogramaciones!$T$15+7*(Reprogramaciones!R$14-1))),MIN(F266,(Reprogramaciones!$T$15+7*(Reprogramaciones!R$14-1))+6),11))=0,0,MAX(0,NETWORKDAYS.INTL(MAX(E266,(Reprogramaciones!$T$15+7*(Reprogramaciones!R$14-1))),MIN(F266,Reprogramaciones!R$13),11))/MAX(0,NETWORKDAYS.INTL(MAX(E266,(Reprogramaciones!$T$15+7*(Reprogramaciones!R$14-1))),MIN(F266,(Reprogramaciones!$T$15+7*(Reprogramaciones!R$14-1))+6),11))))))))</f>
        <v/>
      </c>
      <c r="CB266" s="1" t="str">
        <f aca="false">IF(OR(NOT(AND(ISNUMBER(E266),ISNUMBER(F266))),$J$2=""),"",IF(Reprogramaciones!S$13&lt;Reprogramaciones!$T$15,0,IF(Reprogramaciones!S$14&gt;10,MIN(100,SUM($G266:$P266)),MIN(100,SUMPRODUCT((COLUMN($G266:$P266)-COLUMN($G266)+1&lt;Reprogramaciones!S$14)*$G266:$P266)+N(INDEX($G266:$P266,1,Reprogramaciones!S$14))*IF(Reprogramaciones!S$13&gt;=(Reprogramaciones!$T$15+7*(Reprogramaciones!S$14-1))+6,1,IF(MAX(0,NETWORKDAYS.INTL(MAX(E266,(Reprogramaciones!$T$15+7*(Reprogramaciones!S$14-1))),MIN(F266,(Reprogramaciones!$T$15+7*(Reprogramaciones!S$14-1))+6),11))=0,0,MAX(0,NETWORKDAYS.INTL(MAX(E266,(Reprogramaciones!$T$15+7*(Reprogramaciones!S$14-1))),MIN(F266,Reprogramaciones!S$13),11))/MAX(0,NETWORKDAYS.INTL(MAX(E266,(Reprogramaciones!$T$15+7*(Reprogramaciones!S$14-1))),MIN(F266,(Reprogramaciones!$T$15+7*(Reprogramaciones!S$14-1))+6),11))))))))</f>
        <v/>
      </c>
      <c r="CC266" s="1" t="str">
        <f aca="false">IF(OR(NOT(AND(ISNUMBER(E266),ISNUMBER(F266))),$J$2=""),"",IF(Reprogramaciones!T$13&lt;Reprogramaciones!$T$15,0,IF(Reprogramaciones!T$14&gt;10,MIN(100,SUM($G266:$P266)),MIN(100,SUMPRODUCT((COLUMN($G266:$P266)-COLUMN($G266)+1&lt;Reprogramaciones!T$14)*$G266:$P266)+N(INDEX($G266:$P266,1,Reprogramaciones!T$14))*IF(Reprogramaciones!T$13&gt;=(Reprogramaciones!$T$15+7*(Reprogramaciones!T$14-1))+6,1,IF(MAX(0,NETWORKDAYS.INTL(MAX(E266,(Reprogramaciones!$T$15+7*(Reprogramaciones!T$14-1))),MIN(F266,(Reprogramaciones!$T$15+7*(Reprogramaciones!T$14-1))+6),11))=0,0,MAX(0,NETWORKDAYS.INTL(MAX(E266,(Reprogramaciones!$T$15+7*(Reprogramaciones!T$14-1))),MIN(F266,Reprogramaciones!T$13),11))/MAX(0,NETWORKDAYS.INTL(MAX(E266,(Reprogramaciones!$T$15+7*(Reprogramaciones!T$14-1))),MIN(F266,(Reprogramaciones!$T$15+7*(Reprogramaciones!T$14-1))+6),11))))))))</f>
        <v/>
      </c>
      <c r="CD266" s="1" t="str">
        <f aca="false">IF(OR(NOT(AND(ISNUMBER(E266),ISNUMBER(F266))),$J$2=""),"",IF(Reprogramaciones!U$13&lt;Reprogramaciones!$T$15,0,IF(Reprogramaciones!U$14&gt;10,MIN(100,SUM($G266:$P266)),MIN(100,SUMPRODUCT((COLUMN($G266:$P266)-COLUMN($G266)+1&lt;Reprogramaciones!U$14)*$G266:$P266)+N(INDEX($G266:$P266,1,Reprogramaciones!U$14))*IF(Reprogramaciones!U$13&gt;=(Reprogramaciones!$T$15+7*(Reprogramaciones!U$14-1))+6,1,IF(MAX(0,NETWORKDAYS.INTL(MAX(E266,(Reprogramaciones!$T$15+7*(Reprogramaciones!U$14-1))),MIN(F266,(Reprogramaciones!$T$15+7*(Reprogramaciones!U$14-1))+6),11))=0,0,MAX(0,NETWORKDAYS.INTL(MAX(E266,(Reprogramaciones!$T$15+7*(Reprogramaciones!U$14-1))),MIN(F266,Reprogramaciones!U$13),11))/MAX(0,NETWORKDAYS.INTL(MAX(E266,(Reprogramaciones!$T$15+7*(Reprogramaciones!U$14-1))),MIN(F266,(Reprogramaciones!$T$15+7*(Reprogramaciones!U$14-1))+6),11))))))))</f>
        <v/>
      </c>
      <c r="CE266" s="1" t="str">
        <f aca="false">IF(OR(NOT(AND(ISNUMBER(E266),ISNUMBER(F266))),$J$2=""),"",IF(Reprogramaciones!V$13&lt;Reprogramaciones!$T$15,0,IF(Reprogramaciones!V$14&gt;10,MIN(100,SUM($G266:$P266)),MIN(100,SUMPRODUCT((COLUMN($G266:$P266)-COLUMN($G266)+1&lt;Reprogramaciones!V$14)*$G266:$P266)+N(INDEX($G266:$P266,1,Reprogramaciones!V$14))*IF(Reprogramaciones!V$13&gt;=(Reprogramaciones!$T$15+7*(Reprogramaciones!V$14-1))+6,1,IF(MAX(0,NETWORKDAYS.INTL(MAX(E266,(Reprogramaciones!$T$15+7*(Reprogramaciones!V$14-1))),MIN(F266,(Reprogramaciones!$T$15+7*(Reprogramaciones!V$14-1))+6),11))=0,0,MAX(0,NETWORKDAYS.INTL(MAX(E266,(Reprogramaciones!$T$15+7*(Reprogramaciones!V$14-1))),MIN(F266,Reprogramaciones!V$13),11))/MAX(0,NETWORKDAYS.INTL(MAX(E266,(Reprogramaciones!$T$15+7*(Reprogramaciones!V$14-1))),MIN(F266,(Reprogramaciones!$T$15+7*(Reprogramaciones!V$14-1))+6),11))))))))</f>
        <v/>
      </c>
      <c r="CF266" s="1" t="str">
        <f aca="false">IF(OR(NOT(AND(ISNUMBER(E266),ISNUMBER(F266))),$J$2=""),"",IF(Reprogramaciones!W$13&lt;Reprogramaciones!$T$15,0,IF(Reprogramaciones!W$14&gt;10,MIN(100,SUM($G266:$P266)),MIN(100,SUMPRODUCT((COLUMN($G266:$P266)-COLUMN($G266)+1&lt;Reprogramaciones!W$14)*$G266:$P266)+N(INDEX($G266:$P266,1,Reprogramaciones!W$14))*IF(Reprogramaciones!W$13&gt;=(Reprogramaciones!$T$15+7*(Reprogramaciones!W$14-1))+6,1,IF(MAX(0,NETWORKDAYS.INTL(MAX(E266,(Reprogramaciones!$T$15+7*(Reprogramaciones!W$14-1))),MIN(F266,(Reprogramaciones!$T$15+7*(Reprogramaciones!W$14-1))+6),11))=0,0,MAX(0,NETWORKDAYS.INTL(MAX(E266,(Reprogramaciones!$T$15+7*(Reprogramaciones!W$14-1))),MIN(F266,Reprogramaciones!W$13),11))/MAX(0,NETWORKDAYS.INTL(MAX(E266,(Reprogramaciones!$T$15+7*(Reprogramaciones!W$14-1))),MIN(F266,(Reprogramaciones!$T$15+7*(Reprogramaciones!W$14-1))+6),11))))))))</f>
        <v/>
      </c>
      <c r="CG266" s="1" t="str">
        <f aca="false">IF(OR(NOT(AND(ISNUMBER(E266),ISNUMBER(F266))),$J$2=""),"",IF(Reprogramaciones!X$13&lt;Reprogramaciones!$T$15,0,IF(Reprogramaciones!X$14&gt;10,MIN(100,SUM($G266:$P266)),MIN(100,SUMPRODUCT((COLUMN($G266:$P266)-COLUMN($G266)+1&lt;Reprogramaciones!X$14)*$G266:$P266)+N(INDEX($G266:$P266,1,Reprogramaciones!X$14))*IF(Reprogramaciones!X$13&gt;=(Reprogramaciones!$T$15+7*(Reprogramaciones!X$14-1))+6,1,IF(MAX(0,NETWORKDAYS.INTL(MAX(E266,(Reprogramaciones!$T$15+7*(Reprogramaciones!X$14-1))),MIN(F266,(Reprogramaciones!$T$15+7*(Reprogramaciones!X$14-1))+6),11))=0,0,MAX(0,NETWORKDAYS.INTL(MAX(E266,(Reprogramaciones!$T$15+7*(Reprogramaciones!X$14-1))),MIN(F266,Reprogramaciones!X$13),11))/MAX(0,NETWORKDAYS.INTL(MAX(E266,(Reprogramaciones!$T$15+7*(Reprogramaciones!X$14-1))),MIN(F266,(Reprogramaciones!$T$15+7*(Reprogramaciones!X$14-1))+6),11))))))))</f>
        <v/>
      </c>
      <c r="CH266" s="1" t="str">
        <f aca="false">IF(OR(NOT(AND(ISNUMBER(E266),ISNUMBER(F266))),$J$2=""),"",IF(Reprogramaciones!Y$13&lt;Reprogramaciones!$T$15,0,IF(Reprogramaciones!Y$14&gt;10,MIN(100,SUM($G266:$P266)),MIN(100,SUMPRODUCT((COLUMN($G266:$P266)-COLUMN($G266)+1&lt;Reprogramaciones!Y$14)*$G266:$P266)+N(INDEX($G266:$P266,1,Reprogramaciones!Y$14))*IF(Reprogramaciones!Y$13&gt;=(Reprogramaciones!$T$15+7*(Reprogramaciones!Y$14-1))+6,1,IF(MAX(0,NETWORKDAYS.INTL(MAX(E266,(Reprogramaciones!$T$15+7*(Reprogramaciones!Y$14-1))),MIN(F266,(Reprogramaciones!$T$15+7*(Reprogramaciones!Y$14-1))+6),11))=0,0,MAX(0,NETWORKDAYS.INTL(MAX(E266,(Reprogramaciones!$T$15+7*(Reprogramaciones!Y$14-1))),MIN(F266,Reprogramaciones!Y$13),11))/MAX(0,NETWORKDAYS.INTL(MAX(E266,(Reprogramaciones!$T$15+7*(Reprogramaciones!Y$14-1))),MIN(F266,(Reprogramaciones!$T$15+7*(Reprogramaciones!Y$14-1))+6),11))))))))</f>
        <v/>
      </c>
      <c r="CI266" s="1" t="str">
        <f aca="false">IF(OR(NOT(AND(ISNUMBER(E266),ISNUMBER(F266))),$J$2=""),"",IF(Reprogramaciones!Z$13&lt;Reprogramaciones!$T$15,0,IF(Reprogramaciones!Z$14&gt;10,MIN(100,SUM($G266:$P266)),MIN(100,SUMPRODUCT((COLUMN($G266:$P266)-COLUMN($G266)+1&lt;Reprogramaciones!Z$14)*$G266:$P266)+N(INDEX($G266:$P266,1,Reprogramaciones!Z$14))*IF(Reprogramaciones!Z$13&gt;=(Reprogramaciones!$T$15+7*(Reprogramaciones!Z$14-1))+6,1,IF(MAX(0,NETWORKDAYS.INTL(MAX(E266,(Reprogramaciones!$T$15+7*(Reprogramaciones!Z$14-1))),MIN(F266,(Reprogramaciones!$T$15+7*(Reprogramaciones!Z$14-1))+6),11))=0,0,MAX(0,NETWORKDAYS.INTL(MAX(E266,(Reprogramaciones!$T$15+7*(Reprogramaciones!Z$14-1))),MIN(F266,Reprogramaciones!Z$13),11))/MAX(0,NETWORKDAYS.INTL(MAX(E266,(Reprogramaciones!$T$15+7*(Reprogramaciones!Z$14-1))),MIN(F266,(Reprogramaciones!$T$15+7*(Reprogramaciones!Z$14-1))+6),11))))))))</f>
        <v/>
      </c>
      <c r="CJ266" s="1" t="str">
        <f aca="false">IF(OR(OR(NOT(AND(ISNUMBER(E266),ISNUMBER(F266))),$J$2=""),1&gt;Reprogramaciones!$K$16),"",IF(ROUND(SUM($Q266:Q266),1)&gt;=99.5,100,MIN(100,ROUND(SUM($Q266:Q266),1))))</f>
        <v/>
      </c>
      <c r="CK266" s="1" t="str">
        <f aca="false">IF(OR(OR(NOT(AND(ISNUMBER(E266),ISNUMBER(F266))),$J$2=""),2&gt;Reprogramaciones!$K$16),"",IF(ROUND(SUM($Q266:R266),1)&gt;=99.5,100,MIN(100,ROUND(SUM($Q266:R266),1))))</f>
        <v/>
      </c>
      <c r="CL266" s="1" t="str">
        <f aca="false">IF(OR(OR(NOT(AND(ISNUMBER(E266),ISNUMBER(F266))),$J$2=""),3&gt;Reprogramaciones!$K$16),"",IF(ROUND(SUM($Q266:S266),1)&gt;=99.5,100,MIN(100,ROUND(SUM($Q266:S266),1))))</f>
        <v/>
      </c>
      <c r="CM266" s="1" t="str">
        <f aca="false">IF(OR(OR(NOT(AND(ISNUMBER(E266),ISNUMBER(F266))),$J$2=""),4&gt;Reprogramaciones!$K$16),"",IF(ROUND(SUM($Q266:T266),1)&gt;=99.5,100,MIN(100,ROUND(SUM($Q266:T266),1))))</f>
        <v/>
      </c>
      <c r="CN266" s="1" t="str">
        <f aca="false">IF(OR(OR(NOT(AND(ISNUMBER(E266),ISNUMBER(F266))),$J$2=""),5&gt;Reprogramaciones!$K$16),"",IF(ROUND(SUM($Q266:U266),1)&gt;=99.5,100,MIN(100,ROUND(SUM($Q266:U266),1))))</f>
        <v/>
      </c>
      <c r="CO266" s="1" t="str">
        <f aca="false">IF(OR(OR(NOT(AND(ISNUMBER(E266),ISNUMBER(F266))),$J$2=""),6&gt;Reprogramaciones!$K$16),"",IF(ROUND(SUM($Q266:V266),1)&gt;=99.5,100,MIN(100,ROUND(SUM($Q266:V266),1))))</f>
        <v/>
      </c>
      <c r="CP266" s="1" t="str">
        <f aca="false">IF(OR(OR(NOT(AND(ISNUMBER(E266),ISNUMBER(F266))),$J$2=""),7&gt;Reprogramaciones!$K$16),"",IF(ROUND(SUM($Q266:W266),1)&gt;=99.5,100,MIN(100,ROUND(SUM($Q266:W266),1))))</f>
        <v/>
      </c>
      <c r="CQ266" s="1" t="str">
        <f aca="false">IF(OR(OR(NOT(AND(ISNUMBER(E266),ISNUMBER(F266))),$J$2=""),8&gt;Reprogramaciones!$K$16),"",IF(ROUND(SUM($Q266:X266),1)&gt;=99.5,100,MIN(100,ROUND(SUM($Q266:X266),1))))</f>
        <v/>
      </c>
      <c r="CR266" s="1" t="str">
        <f aca="false">IF(OR(OR(NOT(AND(ISNUMBER(E266),ISNUMBER(F266))),$J$2=""),9&gt;Reprogramaciones!$K$16),"",IF(ROUND(SUM($Q266:Y266),1)&gt;=99.5,100,MIN(100,ROUND(SUM($Q266:Y266),1))))</f>
        <v/>
      </c>
      <c r="CS266" s="1" t="str">
        <f aca="false">IF(OR(OR(NOT(AND(ISNUMBER(E266),ISNUMBER(F266))),$J$2=""),10&gt;Reprogramaciones!$K$16),"",IF(ROUND(SUM($Q266:Z266),1)&gt;=99.5,100,MIN(100,ROUND(SUM($Q266:Z266),1))))</f>
        <v/>
      </c>
      <c r="CT266" s="1" t="str">
        <f aca="false">IF(OR(OR(NOT(AND(ISNUMBER(E266),ISNUMBER(F266))),$J$2=""),11&gt;Reprogramaciones!$K$16),"",IF(ROUND(SUM($Q266:AA266),1)&gt;=99.5,100,MIN(100,ROUND(SUM($Q266:AA266),1))))</f>
        <v/>
      </c>
      <c r="CU266" s="1" t="str">
        <f aca="false">IF(OR(OR(NOT(AND(ISNUMBER(E266),ISNUMBER(F266))),$J$2=""),12&gt;Reprogramaciones!$K$16),"",IF(ROUND(SUM($Q266:AB266),1)&gt;=99.5,100,MIN(100,ROUND(SUM($Q266:AB266),1))))</f>
        <v/>
      </c>
      <c r="CV266" s="1" t="str">
        <f aca="false">IF(OR(OR(NOT(AND(ISNUMBER(E266),ISNUMBER(F266))),$J$2=""),13&gt;Reprogramaciones!$K$16),"",IF(ROUND(SUM($Q266:AC266),1)&gt;=99.5,100,MIN(100,ROUND(SUM($Q266:AC266),1))))</f>
        <v/>
      </c>
      <c r="CW266" s="1" t="str">
        <f aca="false">IF(OR(OR(NOT(AND(ISNUMBER(E266),ISNUMBER(F266))),$J$2=""),14&gt;Reprogramaciones!$K$16),"",IF(ROUND(SUM($Q266:AD266),1)&gt;=99.5,100,MIN(100,ROUND(SUM($Q266:AD266),1))))</f>
        <v/>
      </c>
      <c r="CX266" s="1" t="str">
        <f aca="false">IF(OR(OR(NOT(AND(ISNUMBER(E266),ISNUMBER(F266))),$J$2=""),15&gt;Reprogramaciones!$K$16),"",IF(ROUND(SUM($Q266:AE266),1)&gt;=99.5,100,MIN(100,ROUND(SUM($Q266:AE266),1))))</f>
        <v/>
      </c>
      <c r="CY266" s="1" t="str">
        <f aca="false">IF(OR(OR(NOT(AND(ISNUMBER(E266),ISNUMBER(F266))),$J$2=""),16&gt;Reprogramaciones!$K$16),"",IF(ROUND(SUM($Q266:AF266),1)&gt;=99.5,100,MIN(100,ROUND(SUM($Q266:AF266),1))))</f>
        <v/>
      </c>
      <c r="CZ266" s="1" t="str">
        <f aca="false">IF(D266&lt;&gt;"",D266,IF(B266&lt;&gt;"","Contractual",CZ265))</f>
        <v>Contractual</v>
      </c>
      <c r="DA266" s="1" t="str">
        <f aca="false">IF(OR(NOT(AND(ISNUMBER(E266),ISNUMBER(F266))),$J$2=""),"",IF(Reprogramaciones!$Q$15&lt;Reprogramaciones!$T$15,0,IF(Reprogramaciones!$S$15&gt;10,MIN(100,SUM($G266:$P266)),MIN(100,SUMPRODUCT((COLUMN($G266:$P266)-COLUMN($G266)+1&lt;Reprogramaciones!$S$15)*$G266:$P266)+N(INDEX($G266:$P266,1,Reprogramaciones!$S$15))*IF(Reprogramaciones!$Q$15&gt;=(Reprogramaciones!$T$15+7*(Reprogramaciones!$S$15-1))+6,1,IF(MAX(0,NETWORKDAYS.INTL(MAX(E266,(Reprogramaciones!$T$15+7*(Reprogramaciones!$S$15-1))),MIN(F266,(Reprogramaciones!$T$15+7*(Reprogramaciones!$S$15-1))+6),11))=0,0,MAX(0,NETWORKDAYS.INTL(MAX(E266,(Reprogramaciones!$T$15+7*(Reprogramaciones!$S$15-1))),MIN(F266,Reprogramaciones!$Q$15),11))/MAX(0,NETWORKDAYS.INTL(MAX(E266,(Reprogramaciones!$T$15+7*(Reprogramaciones!$S$15-1))),MIN(F266,(Reprogramaciones!$T$15+7*(Reprogramaciones!$S$15-1))+6),11))))))))</f>
        <v/>
      </c>
    </row>
    <row r="267" customFormat="false" ht="15" hidden="false" customHeight="false" outlineLevel="0" collapsed="false">
      <c r="A267" s="32"/>
      <c r="B267" s="33"/>
      <c r="C267" s="33"/>
      <c r="D267" s="34"/>
      <c r="E267" s="35"/>
      <c r="F267" s="35"/>
      <c r="G267" s="36" t="str">
        <f aca="false">IF(OR(NOT(AND(ISNUMBER(E267),ISNUMBER(F267))),$J$2=""),"",IF(Reprogramaciones!K$9&lt;E267,0,IF(NETWORKDAYS.INTL(E267,F267,11)=0,IF(Reprogramaciones!K$9&gt;=F267,100,0),ROUND(NETWORKDAYS.INTL(E267,MIN(F267,Reprogramaciones!K$9),11)/NETWORKDAYS.INTL(E267,F267,11)*100,1)))-0)</f>
        <v/>
      </c>
      <c r="H267" s="36" t="str">
        <f aca="false">IF(OR(NOT(AND(ISNUMBER(E267),ISNUMBER(F267))),$J$2=""),"",IF(Reprogramaciones!L$9&lt;E267,0,IF(NETWORKDAYS.INTL(E267,F267,11)=0,IF(Reprogramaciones!L$9&gt;=F267,100,0),ROUND(NETWORKDAYS.INTL(E267,MIN(F267,Reprogramaciones!L$9),11)/NETWORKDAYS.INTL(E267,F267,11)*100,1)))-IF(Reprogramaciones!K$9&lt;E267,0,IF(NETWORKDAYS.INTL(E267,F267,11)=0,IF(Reprogramaciones!K$9&gt;=F267,100,0),ROUND(NETWORKDAYS.INTL(E267,MIN(F267,Reprogramaciones!K$9),11)/NETWORKDAYS.INTL(E267,F267,11)*100,1))))</f>
        <v/>
      </c>
      <c r="I267" s="36" t="str">
        <f aca="false">IF(OR(NOT(AND(ISNUMBER(E267),ISNUMBER(F267))),$J$2=""),"",IF(Reprogramaciones!M$9&lt;E267,0,IF(NETWORKDAYS.INTL(E267,F267,11)=0,IF(Reprogramaciones!M$9&gt;=F267,100,0),ROUND(NETWORKDAYS.INTL(E267,MIN(F267,Reprogramaciones!M$9),11)/NETWORKDAYS.INTL(E267,F267,11)*100,1)))-IF(Reprogramaciones!L$9&lt;E267,0,IF(NETWORKDAYS.INTL(E267,F267,11)=0,IF(Reprogramaciones!L$9&gt;=F267,100,0),ROUND(NETWORKDAYS.INTL(E267,MIN(F267,Reprogramaciones!L$9),11)/NETWORKDAYS.INTL(E267,F267,11)*100,1))))</f>
        <v/>
      </c>
      <c r="J267" s="36" t="str">
        <f aca="false">IF(OR(NOT(AND(ISNUMBER(E267),ISNUMBER(F267))),$J$2=""),"",IF(Reprogramaciones!N$9&lt;E267,0,IF(NETWORKDAYS.INTL(E267,F267,11)=0,IF(Reprogramaciones!N$9&gt;=F267,100,0),ROUND(NETWORKDAYS.INTL(E267,MIN(F267,Reprogramaciones!N$9),11)/NETWORKDAYS.INTL(E267,F267,11)*100,1)))-IF(Reprogramaciones!M$9&lt;E267,0,IF(NETWORKDAYS.INTL(E267,F267,11)=0,IF(Reprogramaciones!M$9&gt;=F267,100,0),ROUND(NETWORKDAYS.INTL(E267,MIN(F267,Reprogramaciones!M$9),11)/NETWORKDAYS.INTL(E267,F267,11)*100,1))))</f>
        <v/>
      </c>
      <c r="K267" s="36" t="str">
        <f aca="false">IF(OR(NOT(AND(ISNUMBER(E267),ISNUMBER(F267))),$J$2=""),"",IF(Reprogramaciones!O$9&lt;E267,0,IF(NETWORKDAYS.INTL(E267,F267,11)=0,IF(Reprogramaciones!O$9&gt;=F267,100,0),ROUND(NETWORKDAYS.INTL(E267,MIN(F267,Reprogramaciones!O$9),11)/NETWORKDAYS.INTL(E267,F267,11)*100,1)))-IF(Reprogramaciones!N$9&lt;E267,0,IF(NETWORKDAYS.INTL(E267,F267,11)=0,IF(Reprogramaciones!N$9&gt;=F267,100,0),ROUND(NETWORKDAYS.INTL(E267,MIN(F267,Reprogramaciones!N$9),11)/NETWORKDAYS.INTL(E267,F267,11)*100,1))))</f>
        <v/>
      </c>
      <c r="L267" s="36" t="str">
        <f aca="false">IF(OR(NOT(AND(ISNUMBER(E267),ISNUMBER(F267))),$J$2=""),"",IF(Reprogramaciones!P$9&lt;E267,0,IF(NETWORKDAYS.INTL(E267,F267,11)=0,IF(Reprogramaciones!P$9&gt;=F267,100,0),ROUND(NETWORKDAYS.INTL(E267,MIN(F267,Reprogramaciones!P$9),11)/NETWORKDAYS.INTL(E267,F267,11)*100,1)))-IF(Reprogramaciones!O$9&lt;E267,0,IF(NETWORKDAYS.INTL(E267,F267,11)=0,IF(Reprogramaciones!O$9&gt;=F267,100,0),ROUND(NETWORKDAYS.INTL(E267,MIN(F267,Reprogramaciones!O$9),11)/NETWORKDAYS.INTL(E267,F267,11)*100,1))))</f>
        <v/>
      </c>
      <c r="M267" s="36" t="str">
        <f aca="false">IF(OR(NOT(AND(ISNUMBER(E267),ISNUMBER(F267))),$J$2=""),"",IF(Reprogramaciones!Q$9&lt;E267,0,IF(NETWORKDAYS.INTL(E267,F267,11)=0,IF(Reprogramaciones!Q$9&gt;=F267,100,0),ROUND(NETWORKDAYS.INTL(E267,MIN(F267,Reprogramaciones!Q$9),11)/NETWORKDAYS.INTL(E267,F267,11)*100,1)))-IF(Reprogramaciones!P$9&lt;E267,0,IF(NETWORKDAYS.INTL(E267,F267,11)=0,IF(Reprogramaciones!P$9&gt;=F267,100,0),ROUND(NETWORKDAYS.INTL(E267,MIN(F267,Reprogramaciones!P$9),11)/NETWORKDAYS.INTL(E267,F267,11)*100,1))))</f>
        <v/>
      </c>
      <c r="N267" s="36" t="str">
        <f aca="false">IF(OR(NOT(AND(ISNUMBER(E267),ISNUMBER(F267))),$J$2=""),"",IF(Reprogramaciones!R$9&lt;E267,0,IF(NETWORKDAYS.INTL(E267,F267,11)=0,IF(Reprogramaciones!R$9&gt;=F267,100,0),ROUND(NETWORKDAYS.INTL(E267,MIN(F267,Reprogramaciones!R$9),11)/NETWORKDAYS.INTL(E267,F267,11)*100,1)))-IF(Reprogramaciones!Q$9&lt;E267,0,IF(NETWORKDAYS.INTL(E267,F267,11)=0,IF(Reprogramaciones!Q$9&gt;=F267,100,0),ROUND(NETWORKDAYS.INTL(E267,MIN(F267,Reprogramaciones!Q$9),11)/NETWORKDAYS.INTL(E267,F267,11)*100,1))))</f>
        <v/>
      </c>
      <c r="O267" s="36" t="str">
        <f aca="false">IF(OR(NOT(AND(ISNUMBER(E267),ISNUMBER(F267))),$J$2=""),"",IF(Reprogramaciones!S$9&lt;E267,0,IF(NETWORKDAYS.INTL(E267,F267,11)=0,IF(Reprogramaciones!S$9&gt;=F267,100,0),ROUND(NETWORKDAYS.INTL(E267,MIN(F267,Reprogramaciones!S$9),11)/NETWORKDAYS.INTL(E267,F267,11)*100,1)))-IF(Reprogramaciones!R$9&lt;E267,0,IF(NETWORKDAYS.INTL(E267,F267,11)=0,IF(Reprogramaciones!R$9&gt;=F267,100,0),ROUND(NETWORKDAYS.INTL(E267,MIN(F267,Reprogramaciones!R$9),11)/NETWORKDAYS.INTL(E267,F267,11)*100,1))))</f>
        <v/>
      </c>
      <c r="P267" s="36" t="str">
        <f aca="false">IF(OR(NOT(AND(ISNUMBER(E267),ISNUMBER(F267))),$J$2=""),"",IF(Reprogramaciones!T$9&lt;E267,0,IF(NETWORKDAYS.INTL(E267,F267,11)=0,IF(Reprogramaciones!T$9&gt;=F267,100,0),ROUND(NETWORKDAYS.INTL(E267,MIN(F267,Reprogramaciones!T$9),11)/NETWORKDAYS.INTL(E267,F267,11)*100,1)))-IF(Reprogramaciones!S$9&lt;E267,0,IF(NETWORKDAYS.INTL(E267,F267,11)=0,IF(Reprogramaciones!S$9&gt;=F267,100,0),ROUND(NETWORKDAYS.INTL(E267,MIN(F267,Reprogramaciones!S$9),11)/NETWORKDAYS.INTL(E267,F267,11)*100,1))))</f>
        <v/>
      </c>
      <c r="Q267" s="37"/>
      <c r="R267" s="37"/>
      <c r="S267" s="37"/>
      <c r="T267" s="37"/>
      <c r="U267" s="37"/>
      <c r="V267" s="37"/>
      <c r="W267" s="37"/>
      <c r="X267" s="37"/>
      <c r="Y267" s="37"/>
      <c r="Z267" s="37"/>
      <c r="AA267" s="37"/>
      <c r="AB267" s="37"/>
      <c r="AC267" s="37"/>
      <c r="AD267" s="37"/>
      <c r="AE267" s="37"/>
      <c r="AF267" s="37"/>
      <c r="AG267" s="38" t="str">
        <f aca="false">IF(AND(ISNUMBER(E267),ISNUMBER(F267)),NETWORKDAYS.INTL(E267,F267,11),"")</f>
        <v/>
      </c>
      <c r="AH267" s="38" t="str">
        <f aca="false">IF(OR(NOT(AND(ISNUMBER(E267),ISNUMBER(F267))),$J$2=""),"",IF(Reprogramaciones!$P$15&lt;Reprogramaciones!$T$15,0,IF(Reprogramaciones!$R$15&gt;10,MIN(100,SUM($G267:$P267)),MIN(100,SUMPRODUCT((COLUMN($G267:$P267)-COLUMN($G267)+1&lt;Reprogramaciones!$R$15)*$G267:$P267)+N(INDEX($G267:$P267,1,Reprogramaciones!$R$15))*IF(Reprogramaciones!$P$15&gt;=(Reprogramaciones!$T$15+7*(Reprogramaciones!$R$15-1))+6,1,IF(MAX(0,NETWORKDAYS.INTL(MAX(E267,(Reprogramaciones!$T$15+7*(Reprogramaciones!$R$15-1))),MIN(F267,(Reprogramaciones!$T$15+7*(Reprogramaciones!$R$15-1))+6),11))=0,0,MAX(0,NETWORKDAYS.INTL(MAX(E267,(Reprogramaciones!$T$15+7*(Reprogramaciones!$R$15-1))),MIN(F267,Reprogramaciones!$P$15),11))/MAX(0,NETWORKDAYS.INTL(MAX(E267,(Reprogramaciones!$T$15+7*(Reprogramaciones!$R$15-1))),MIN(F267,(Reprogramaciones!$T$15+7*(Reprogramaciones!$R$15-1))+6),11))))))))</f>
        <v/>
      </c>
      <c r="AI267" s="38" t="str">
        <f aca="false">IF(COUNT($Q267:$AF267)=0,"",IF(ROUND(SUM($Q267:$AF267),1)&gt;=99.5,100,MIN(100,ROUND(SUM($Q267:$AF267),1))))</f>
        <v/>
      </c>
      <c r="AJ267" s="38" t="str">
        <f aca="false">IF(OR(AH267="",AI267=""),"",AI267-AH267)</f>
        <v/>
      </c>
      <c r="AK267" s="39" t="str">
        <f aca="true">IF(AH267="","",IF(OR(Ficha!$C$10="Suspendida",Ficha!$C$10="Cancelada"),Ficha!$C$10,IF(AND(AI267&lt;&gt;"",N(AI267)&gt;=100),"Completada",IF(AND(E267&gt;TODAY(),N(AI267)=0),"Por iniciar",IF(N(AI267)+0.5&lt;AH267,"Retrasada",IF(N(AI267)+0.5&lt;DA267,IF(Reprogramaciones!$K$15&gt;0,"Al día · Sem "&amp;Reprogramaciones!$K$15&amp;" en curso","Al día · en curso"),"A tiempo"))))))</f>
        <v/>
      </c>
      <c r="AL267" s="39" t="str">
        <f aca="true">IF(AND(A267="",AND(B267="",C267="",E267="",F267="",COUNT(Q267:AF267)=0)),"",IF(AND(B267="",C267="",E267="",F267="",COUNT(Q267:AF267)=0),"Falta la partida o subpartida",IF(AND(A267&lt;&gt;"",COUNTIF($A$6:$A$305,A267)&gt;1),"Ítem repetido",IF(AND(C267="",E267="",F267="",COUNT(Q267:AF267)=0),"Título de partida",IF(OR(E267="",F267=""),"Faltan fechas",IF(OR(ISTEXT(E267),ISTEXT(F267)),"Fecha escrita como texto: usa dd/mm/aaaa",IF(F267&lt;E267,"Fin antes del inicio",IF(IF($J$2="",FALSE(),OR(E267&lt;$J$2,F267&gt;Reprogramaciones!$T$15+69)),"Fuera de las 10 semanas",IF(ABS(SUM(G267:P267)-100)&gt;0.5,"La meta no suma 100%",IF(ROUND(SUM(Q267:AF267),1)&gt;100.5,"El avance pasa de 100%",IF(MIN(Q267:AF267)&lt;0,"Avance negativo",IF(COUNTA(Q267:AF267)&gt;COUNT(Q267:AF267),"Avance escrito como texto",IF(SUMPRODUCT((Q267:AF267&gt;0)*(Q267:AF267&lt;1))&gt;0,"Avance menor a 1: escribe 50, no 50%",IF(SUMPRODUCT(ISNUMBER(Q267:AF267)*(Reprogramaciones!$K$8:$Z$8&gt;TODAY()))&gt;0,"Avance en semana que aún no llega",IF(AND(N(Reprogramaciones!$E$21)&gt;0,F267&gt;Reprogramaciones!$E$21),"Pasa el fin de la obra: registra una reprogramación",IF(AND(N(Reprogramaciones!$E$21)&gt;0,SUMPRODUCT(ISNUMBER(Q267:AF267)*(Reprogramaciones!$K$8:$Z$8&gt;Reprogramaciones!$E$21))&gt;0),"Avance después del fin de la obra: registra una reprogramación por atraso","OK"))))))))))))))))</f>
        <v/>
      </c>
      <c r="AM267" s="40" t="str">
        <f aca="false">IF(OR(OR(NOT(AND(ISNUMBER(E267),ISNUMBER(F267))),$J$2=""),1&gt;MAX(1,Reprogramaciones!$U$15)),"",IF(Reprogramaciones!K$12&gt;=7,"",IF(OR(BT267-N(0)&gt;0.05,N(Q267)&gt;0),ROUNDDOWN(ROUND(BT267,6),0)&amp;"%"&amp;IF(CJ267="",""," / "&amp;CJ267&amp;"%"),IF(AND(N(0)&gt;=99.95,CJ267&lt;&gt;"",N(CJ267)&lt;100),"Pend. "&amp;CJ267&amp;"%",""))))</f>
        <v/>
      </c>
      <c r="AN267" s="40" t="str">
        <f aca="false">IF(OR(OR(NOT(AND(ISNUMBER(E267),ISNUMBER(F267))),$J$2=""),2&gt;MAX(1,Reprogramaciones!$U$15)),"",IF(Reprogramaciones!L$12&gt;=7,"",IF(OR(BU267-N(BT267)&gt;0.05,N(R267)&gt;0),ROUNDDOWN(ROUND(BU267,6),0)&amp;"%"&amp;IF(CK267="",""," / "&amp;CK267&amp;"%"),IF(AND(N(BT267)&gt;=99.95,CK267&lt;&gt;"",N(CK267)&lt;100),"Pend. "&amp;CK267&amp;"%",""))))</f>
        <v/>
      </c>
      <c r="AO267" s="40" t="str">
        <f aca="false">IF(OR(OR(NOT(AND(ISNUMBER(E267),ISNUMBER(F267))),$J$2=""),3&gt;MAX(1,Reprogramaciones!$U$15)),"",IF(Reprogramaciones!M$12&gt;=7,"",IF(OR(BV267-N(BU267)&gt;0.05,N(S267)&gt;0),ROUNDDOWN(ROUND(BV267,6),0)&amp;"%"&amp;IF(CL267="",""," / "&amp;CL267&amp;"%"),IF(AND(N(BU267)&gt;=99.95,CL267&lt;&gt;"",N(CL267)&lt;100),"Pend. "&amp;CL267&amp;"%",""))))</f>
        <v/>
      </c>
      <c r="AP267" s="40" t="str">
        <f aca="false">IF(OR(OR(NOT(AND(ISNUMBER(E267),ISNUMBER(F267))),$J$2=""),4&gt;MAX(1,Reprogramaciones!$U$15)),"",IF(Reprogramaciones!N$12&gt;=7,"",IF(OR(BW267-N(BV267)&gt;0.05,N(T267)&gt;0),ROUNDDOWN(ROUND(BW267,6),0)&amp;"%"&amp;IF(CM267="",""," / "&amp;CM267&amp;"%"),IF(AND(N(BV267)&gt;=99.95,CM267&lt;&gt;"",N(CM267)&lt;100),"Pend. "&amp;CM267&amp;"%",""))))</f>
        <v/>
      </c>
      <c r="AQ267" s="40" t="str">
        <f aca="false">IF(OR(OR(NOT(AND(ISNUMBER(E267),ISNUMBER(F267))),$J$2=""),5&gt;MAX(1,Reprogramaciones!$U$15)),"",IF(Reprogramaciones!O$12&gt;=7,"",IF(OR(BX267-N(BW267)&gt;0.05,N(U267)&gt;0),ROUNDDOWN(ROUND(BX267,6),0)&amp;"%"&amp;IF(CN267="",""," / "&amp;CN267&amp;"%"),IF(AND(N(BW267)&gt;=99.95,CN267&lt;&gt;"",N(CN267)&lt;100),"Pend. "&amp;CN267&amp;"%",""))))</f>
        <v/>
      </c>
      <c r="AR267" s="40" t="str">
        <f aca="false">IF(OR(OR(NOT(AND(ISNUMBER(E267),ISNUMBER(F267))),$J$2=""),6&gt;MAX(1,Reprogramaciones!$U$15)),"",IF(Reprogramaciones!P$12&gt;=7,"",IF(OR(BY267-N(BX267)&gt;0.05,N(V267)&gt;0),ROUNDDOWN(ROUND(BY267,6),0)&amp;"%"&amp;IF(CO267="",""," / "&amp;CO267&amp;"%"),IF(AND(N(BX267)&gt;=99.95,CO267&lt;&gt;"",N(CO267)&lt;100),"Pend. "&amp;CO267&amp;"%",""))))</f>
        <v/>
      </c>
      <c r="AS267" s="40" t="str">
        <f aca="false">IF(OR(OR(NOT(AND(ISNUMBER(E267),ISNUMBER(F267))),$J$2=""),7&gt;MAX(1,Reprogramaciones!$U$15)),"",IF(Reprogramaciones!Q$12&gt;=7,"",IF(OR(BZ267-N(BY267)&gt;0.05,N(W267)&gt;0),ROUNDDOWN(ROUND(BZ267,6),0)&amp;"%"&amp;IF(CP267="",""," / "&amp;CP267&amp;"%"),IF(AND(N(BY267)&gt;=99.95,CP267&lt;&gt;"",N(CP267)&lt;100),"Pend. "&amp;CP267&amp;"%",""))))</f>
        <v/>
      </c>
      <c r="AT267" s="40" t="str">
        <f aca="false">IF(OR(OR(NOT(AND(ISNUMBER(E267),ISNUMBER(F267))),$J$2=""),8&gt;MAX(1,Reprogramaciones!$U$15)),"",IF(Reprogramaciones!R$12&gt;=7,"",IF(OR(CA267-N(BZ267)&gt;0.05,N(X267)&gt;0),ROUNDDOWN(ROUND(CA267,6),0)&amp;"%"&amp;IF(CQ267="",""," / "&amp;CQ267&amp;"%"),IF(AND(N(BZ267)&gt;=99.95,CQ267&lt;&gt;"",N(CQ267)&lt;100),"Pend. "&amp;CQ267&amp;"%",""))))</f>
        <v/>
      </c>
      <c r="AU267" s="40" t="str">
        <f aca="false">IF(OR(OR(NOT(AND(ISNUMBER(E267),ISNUMBER(F267))),$J$2=""),9&gt;MAX(1,Reprogramaciones!$U$15)),"",IF(Reprogramaciones!S$12&gt;=7,"",IF(OR(CB267-N(CA267)&gt;0.05,N(Y267)&gt;0),ROUNDDOWN(ROUND(CB267,6),0)&amp;"%"&amp;IF(CR267="",""," / "&amp;CR267&amp;"%"),IF(AND(N(CA267)&gt;=99.95,CR267&lt;&gt;"",N(CR267)&lt;100),"Pend. "&amp;CR267&amp;"%",""))))</f>
        <v/>
      </c>
      <c r="AV267" s="40" t="str">
        <f aca="false">IF(OR(OR(NOT(AND(ISNUMBER(E267),ISNUMBER(F267))),$J$2=""),10&gt;MAX(1,Reprogramaciones!$U$15)),"",IF(Reprogramaciones!T$12&gt;=7,"",IF(OR(CC267-N(CB267)&gt;0.05,N(Z267)&gt;0),ROUNDDOWN(ROUND(CC267,6),0)&amp;"%"&amp;IF(CS267="",""," / "&amp;CS267&amp;"%"),IF(AND(N(CB267)&gt;=99.95,CS267&lt;&gt;"",N(CS267)&lt;100),"Pend. "&amp;CS267&amp;"%",""))))</f>
        <v/>
      </c>
      <c r="AW267" s="40" t="str">
        <f aca="false">IF(OR(OR(NOT(AND(ISNUMBER(E267),ISNUMBER(F267))),$J$2=""),11&gt;MAX(1,Reprogramaciones!$U$15)),"",IF(Reprogramaciones!U$12&gt;=7,"",IF(OR(CD267-N(CC267)&gt;0.05,N(AA267)&gt;0),ROUNDDOWN(ROUND(CD267,6),0)&amp;"%"&amp;IF(CT267="",""," / "&amp;CT267&amp;"%"),IF(AND(N(CC267)&gt;=99.95,CT267&lt;&gt;"",N(CT267)&lt;100),"Pend. "&amp;CT267&amp;"%",""))))</f>
        <v/>
      </c>
      <c r="AX267" s="40" t="str">
        <f aca="false">IF(OR(OR(NOT(AND(ISNUMBER(E267),ISNUMBER(F267))),$J$2=""),12&gt;MAX(1,Reprogramaciones!$U$15)),"",IF(Reprogramaciones!V$12&gt;=7,"",IF(OR(CE267-N(CD267)&gt;0.05,N(AB267)&gt;0),ROUNDDOWN(ROUND(CE267,6),0)&amp;"%"&amp;IF(CU267="",""," / "&amp;CU267&amp;"%"),IF(AND(N(CD267)&gt;=99.95,CU267&lt;&gt;"",N(CU267)&lt;100),"Pend. "&amp;CU267&amp;"%",""))))</f>
        <v/>
      </c>
      <c r="AY267" s="40" t="str">
        <f aca="false">IF(OR(OR(NOT(AND(ISNUMBER(E267),ISNUMBER(F267))),$J$2=""),13&gt;MAX(1,Reprogramaciones!$U$15)),"",IF(Reprogramaciones!W$12&gt;=7,"",IF(OR(CF267-N(CE267)&gt;0.05,N(AC267)&gt;0),ROUNDDOWN(ROUND(CF267,6),0)&amp;"%"&amp;IF(CV267="",""," / "&amp;CV267&amp;"%"),IF(AND(N(CE267)&gt;=99.95,CV267&lt;&gt;"",N(CV267)&lt;100),"Pend. "&amp;CV267&amp;"%",""))))</f>
        <v/>
      </c>
      <c r="AZ267" s="40" t="str">
        <f aca="false">IF(OR(OR(NOT(AND(ISNUMBER(E267),ISNUMBER(F267))),$J$2=""),14&gt;MAX(1,Reprogramaciones!$U$15)),"",IF(Reprogramaciones!X$12&gt;=7,"",IF(OR(CG267-N(CF267)&gt;0.05,N(AD267)&gt;0),ROUNDDOWN(ROUND(CG267,6),0)&amp;"%"&amp;IF(CW267="",""," / "&amp;CW267&amp;"%"),IF(AND(N(CF267)&gt;=99.95,CW267&lt;&gt;"",N(CW267)&lt;100),"Pend. "&amp;CW267&amp;"%",""))))</f>
        <v/>
      </c>
      <c r="BA267" s="40" t="str">
        <f aca="false">IF(OR(OR(NOT(AND(ISNUMBER(E267),ISNUMBER(F267))),$J$2=""),15&gt;MAX(1,Reprogramaciones!$U$15)),"",IF(Reprogramaciones!Y$12&gt;=7,"",IF(OR(CH267-N(CG267)&gt;0.05,N(AE267)&gt;0),ROUNDDOWN(ROUND(CH267,6),0)&amp;"%"&amp;IF(CX267="",""," / "&amp;CX267&amp;"%"),IF(AND(N(CG267)&gt;=99.95,CX267&lt;&gt;"",N(CX267)&lt;100),"Pend. "&amp;CX267&amp;"%",""))))</f>
        <v/>
      </c>
      <c r="BB267" s="40" t="str">
        <f aca="false">IF(OR(OR(NOT(AND(ISNUMBER(E267),ISNUMBER(F267))),$J$2=""),16&gt;MAX(1,Reprogramaciones!$U$15)),"",IF(Reprogramaciones!Z$12&gt;=7,"",IF(OR(CI267-N(CH267)&gt;0.05,N(AF267)&gt;0),ROUNDDOWN(ROUND(CI267,6),0)&amp;"%"&amp;IF(CY267="",""," / "&amp;CY267&amp;"%"),IF(AND(N(CH267)&gt;=99.95,CY267&lt;&gt;"",N(CY267)&lt;100),"Pend. "&amp;CY267&amp;"%",""))))</f>
        <v/>
      </c>
      <c r="BC267" s="31" t="n">
        <f aca="false">IF(AND(ISNUMBER(E267),ISNUMBER(F267)),MAX(1,NETWORKDAYS.INTL(E267,F267,11)),0)</f>
        <v>0</v>
      </c>
      <c r="BD267" s="1" t="str">
        <f aca="false">IF(OR(NOT(AND(ISNUMBER(E267),ISNUMBER(F267))),$J$2=""),"",MIN(100,ROUND(SUM($G267:G267),1)))</f>
        <v/>
      </c>
      <c r="BE267" s="1" t="str">
        <f aca="false">IF(OR(NOT(AND(ISNUMBER(E267),ISNUMBER(F267))),$J$2=""),"",MIN(100,ROUND(SUM($G267:H267),1)))</f>
        <v/>
      </c>
      <c r="BF267" s="1" t="str">
        <f aca="false">IF(OR(NOT(AND(ISNUMBER(E267),ISNUMBER(F267))),$J$2=""),"",MIN(100,ROUND(SUM($G267:I267),1)))</f>
        <v/>
      </c>
      <c r="BG267" s="1" t="str">
        <f aca="false">IF(OR(NOT(AND(ISNUMBER(E267),ISNUMBER(F267))),$J$2=""),"",MIN(100,ROUND(SUM($G267:J267),1)))</f>
        <v/>
      </c>
      <c r="BH267" s="1" t="str">
        <f aca="false">IF(OR(NOT(AND(ISNUMBER(E267),ISNUMBER(F267))),$J$2=""),"",MIN(100,ROUND(SUM($G267:K267),1)))</f>
        <v/>
      </c>
      <c r="BI267" s="1" t="str">
        <f aca="false">IF(OR(NOT(AND(ISNUMBER(E267),ISNUMBER(F267))),$J$2=""),"",MIN(100,ROUND(SUM($G267:L267),1)))</f>
        <v/>
      </c>
      <c r="BJ267" s="1" t="str">
        <f aca="false">IF(OR(NOT(AND(ISNUMBER(E267),ISNUMBER(F267))),$J$2=""),"",MIN(100,ROUND(SUM($G267:M267),1)))</f>
        <v/>
      </c>
      <c r="BK267" s="1" t="str">
        <f aca="false">IF(OR(NOT(AND(ISNUMBER(E267),ISNUMBER(F267))),$J$2=""),"",MIN(100,ROUND(SUM($G267:N267),1)))</f>
        <v/>
      </c>
      <c r="BL267" s="1" t="str">
        <f aca="false">IF(OR(NOT(AND(ISNUMBER(E267),ISNUMBER(F267))),$J$2=""),"",MIN(100,ROUND(SUM($G267:O267),1)))</f>
        <v/>
      </c>
      <c r="BM267" s="1" t="str">
        <f aca="false">IF(OR(NOT(AND(ISNUMBER(E267),ISNUMBER(F267))),$J$2=""),"",MIN(100,ROUND(SUM($G267:P267),1)))</f>
        <v/>
      </c>
      <c r="BN267" s="1" t="str">
        <f aca="false">IF(OR(NOT(AND(ISNUMBER(E267),ISNUMBER(F267))),$J$2=""),"",MIN(100,ROUND(SUM($G267:P267),1)))</f>
        <v/>
      </c>
      <c r="BO267" s="1" t="str">
        <f aca="false">IF(OR(NOT(AND(ISNUMBER(E267),ISNUMBER(F267))),$J$2=""),"",MIN(100,ROUND(SUM($G267:P267),1)))</f>
        <v/>
      </c>
      <c r="BP267" s="1" t="str">
        <f aca="false">IF(OR(NOT(AND(ISNUMBER(E267),ISNUMBER(F267))),$J$2=""),"",MIN(100,ROUND(SUM($G267:P267),1)))</f>
        <v/>
      </c>
      <c r="BQ267" s="1" t="str">
        <f aca="false">IF(OR(NOT(AND(ISNUMBER(E267),ISNUMBER(F267))),$J$2=""),"",MIN(100,ROUND(SUM($G267:P267),1)))</f>
        <v/>
      </c>
      <c r="BR267" s="1" t="str">
        <f aca="false">IF(OR(NOT(AND(ISNUMBER(E267),ISNUMBER(F267))),$J$2=""),"",MIN(100,ROUND(SUM($G267:P267),1)))</f>
        <v/>
      </c>
      <c r="BS267" s="1" t="str">
        <f aca="false">IF(OR(NOT(AND(ISNUMBER(E267),ISNUMBER(F267))),$J$2=""),"",MIN(100,ROUND(SUM($G267:P267),1)))</f>
        <v/>
      </c>
      <c r="BT267" s="1" t="str">
        <f aca="false">IF(OR(NOT(AND(ISNUMBER(E267),ISNUMBER(F267))),$J$2=""),"",IF(Reprogramaciones!K$13&lt;Reprogramaciones!$T$15,0,IF(Reprogramaciones!K$14&gt;10,MIN(100,SUM($G267:$P267)),MIN(100,SUMPRODUCT((COLUMN($G267:$P267)-COLUMN($G267)+1&lt;Reprogramaciones!K$14)*$G267:$P267)+N(INDEX($G267:$P267,1,Reprogramaciones!K$14))*IF(Reprogramaciones!K$13&gt;=(Reprogramaciones!$T$15+7*(Reprogramaciones!K$14-1))+6,1,IF(MAX(0,NETWORKDAYS.INTL(MAX(E267,(Reprogramaciones!$T$15+7*(Reprogramaciones!K$14-1))),MIN(F267,(Reprogramaciones!$T$15+7*(Reprogramaciones!K$14-1))+6),11))=0,0,MAX(0,NETWORKDAYS.INTL(MAX(E267,(Reprogramaciones!$T$15+7*(Reprogramaciones!K$14-1))),MIN(F267,Reprogramaciones!K$13),11))/MAX(0,NETWORKDAYS.INTL(MAX(E267,(Reprogramaciones!$T$15+7*(Reprogramaciones!K$14-1))),MIN(F267,(Reprogramaciones!$T$15+7*(Reprogramaciones!K$14-1))+6),11))))))))</f>
        <v/>
      </c>
      <c r="BU267" s="1" t="str">
        <f aca="false">IF(OR(NOT(AND(ISNUMBER(E267),ISNUMBER(F267))),$J$2=""),"",IF(Reprogramaciones!L$13&lt;Reprogramaciones!$T$15,0,IF(Reprogramaciones!L$14&gt;10,MIN(100,SUM($G267:$P267)),MIN(100,SUMPRODUCT((COLUMN($G267:$P267)-COLUMN($G267)+1&lt;Reprogramaciones!L$14)*$G267:$P267)+N(INDEX($G267:$P267,1,Reprogramaciones!L$14))*IF(Reprogramaciones!L$13&gt;=(Reprogramaciones!$T$15+7*(Reprogramaciones!L$14-1))+6,1,IF(MAX(0,NETWORKDAYS.INTL(MAX(E267,(Reprogramaciones!$T$15+7*(Reprogramaciones!L$14-1))),MIN(F267,(Reprogramaciones!$T$15+7*(Reprogramaciones!L$14-1))+6),11))=0,0,MAX(0,NETWORKDAYS.INTL(MAX(E267,(Reprogramaciones!$T$15+7*(Reprogramaciones!L$14-1))),MIN(F267,Reprogramaciones!L$13),11))/MAX(0,NETWORKDAYS.INTL(MAX(E267,(Reprogramaciones!$T$15+7*(Reprogramaciones!L$14-1))),MIN(F267,(Reprogramaciones!$T$15+7*(Reprogramaciones!L$14-1))+6),11))))))))</f>
        <v/>
      </c>
      <c r="BV267" s="1" t="str">
        <f aca="false">IF(OR(NOT(AND(ISNUMBER(E267),ISNUMBER(F267))),$J$2=""),"",IF(Reprogramaciones!M$13&lt;Reprogramaciones!$T$15,0,IF(Reprogramaciones!M$14&gt;10,MIN(100,SUM($G267:$P267)),MIN(100,SUMPRODUCT((COLUMN($G267:$P267)-COLUMN($G267)+1&lt;Reprogramaciones!M$14)*$G267:$P267)+N(INDEX($G267:$P267,1,Reprogramaciones!M$14))*IF(Reprogramaciones!M$13&gt;=(Reprogramaciones!$T$15+7*(Reprogramaciones!M$14-1))+6,1,IF(MAX(0,NETWORKDAYS.INTL(MAX(E267,(Reprogramaciones!$T$15+7*(Reprogramaciones!M$14-1))),MIN(F267,(Reprogramaciones!$T$15+7*(Reprogramaciones!M$14-1))+6),11))=0,0,MAX(0,NETWORKDAYS.INTL(MAX(E267,(Reprogramaciones!$T$15+7*(Reprogramaciones!M$14-1))),MIN(F267,Reprogramaciones!M$13),11))/MAX(0,NETWORKDAYS.INTL(MAX(E267,(Reprogramaciones!$T$15+7*(Reprogramaciones!M$14-1))),MIN(F267,(Reprogramaciones!$T$15+7*(Reprogramaciones!M$14-1))+6),11))))))))</f>
        <v/>
      </c>
      <c r="BW267" s="1" t="str">
        <f aca="false">IF(OR(NOT(AND(ISNUMBER(E267),ISNUMBER(F267))),$J$2=""),"",IF(Reprogramaciones!N$13&lt;Reprogramaciones!$T$15,0,IF(Reprogramaciones!N$14&gt;10,MIN(100,SUM($G267:$P267)),MIN(100,SUMPRODUCT((COLUMN($G267:$P267)-COLUMN($G267)+1&lt;Reprogramaciones!N$14)*$G267:$P267)+N(INDEX($G267:$P267,1,Reprogramaciones!N$14))*IF(Reprogramaciones!N$13&gt;=(Reprogramaciones!$T$15+7*(Reprogramaciones!N$14-1))+6,1,IF(MAX(0,NETWORKDAYS.INTL(MAX(E267,(Reprogramaciones!$T$15+7*(Reprogramaciones!N$14-1))),MIN(F267,(Reprogramaciones!$T$15+7*(Reprogramaciones!N$14-1))+6),11))=0,0,MAX(0,NETWORKDAYS.INTL(MAX(E267,(Reprogramaciones!$T$15+7*(Reprogramaciones!N$14-1))),MIN(F267,Reprogramaciones!N$13),11))/MAX(0,NETWORKDAYS.INTL(MAX(E267,(Reprogramaciones!$T$15+7*(Reprogramaciones!N$14-1))),MIN(F267,(Reprogramaciones!$T$15+7*(Reprogramaciones!N$14-1))+6),11))))))))</f>
        <v/>
      </c>
      <c r="BX267" s="1" t="str">
        <f aca="false">IF(OR(NOT(AND(ISNUMBER(E267),ISNUMBER(F267))),$J$2=""),"",IF(Reprogramaciones!O$13&lt;Reprogramaciones!$T$15,0,IF(Reprogramaciones!O$14&gt;10,MIN(100,SUM($G267:$P267)),MIN(100,SUMPRODUCT((COLUMN($G267:$P267)-COLUMN($G267)+1&lt;Reprogramaciones!O$14)*$G267:$P267)+N(INDEX($G267:$P267,1,Reprogramaciones!O$14))*IF(Reprogramaciones!O$13&gt;=(Reprogramaciones!$T$15+7*(Reprogramaciones!O$14-1))+6,1,IF(MAX(0,NETWORKDAYS.INTL(MAX(E267,(Reprogramaciones!$T$15+7*(Reprogramaciones!O$14-1))),MIN(F267,(Reprogramaciones!$T$15+7*(Reprogramaciones!O$14-1))+6),11))=0,0,MAX(0,NETWORKDAYS.INTL(MAX(E267,(Reprogramaciones!$T$15+7*(Reprogramaciones!O$14-1))),MIN(F267,Reprogramaciones!O$13),11))/MAX(0,NETWORKDAYS.INTL(MAX(E267,(Reprogramaciones!$T$15+7*(Reprogramaciones!O$14-1))),MIN(F267,(Reprogramaciones!$T$15+7*(Reprogramaciones!O$14-1))+6),11))))))))</f>
        <v/>
      </c>
      <c r="BY267" s="1" t="str">
        <f aca="false">IF(OR(NOT(AND(ISNUMBER(E267),ISNUMBER(F267))),$J$2=""),"",IF(Reprogramaciones!P$13&lt;Reprogramaciones!$T$15,0,IF(Reprogramaciones!P$14&gt;10,MIN(100,SUM($G267:$P267)),MIN(100,SUMPRODUCT((COLUMN($G267:$P267)-COLUMN($G267)+1&lt;Reprogramaciones!P$14)*$G267:$P267)+N(INDEX($G267:$P267,1,Reprogramaciones!P$14))*IF(Reprogramaciones!P$13&gt;=(Reprogramaciones!$T$15+7*(Reprogramaciones!P$14-1))+6,1,IF(MAX(0,NETWORKDAYS.INTL(MAX(E267,(Reprogramaciones!$T$15+7*(Reprogramaciones!P$14-1))),MIN(F267,(Reprogramaciones!$T$15+7*(Reprogramaciones!P$14-1))+6),11))=0,0,MAX(0,NETWORKDAYS.INTL(MAX(E267,(Reprogramaciones!$T$15+7*(Reprogramaciones!P$14-1))),MIN(F267,Reprogramaciones!P$13),11))/MAX(0,NETWORKDAYS.INTL(MAX(E267,(Reprogramaciones!$T$15+7*(Reprogramaciones!P$14-1))),MIN(F267,(Reprogramaciones!$T$15+7*(Reprogramaciones!P$14-1))+6),11))))))))</f>
        <v/>
      </c>
      <c r="BZ267" s="1" t="str">
        <f aca="false">IF(OR(NOT(AND(ISNUMBER(E267),ISNUMBER(F267))),$J$2=""),"",IF(Reprogramaciones!Q$13&lt;Reprogramaciones!$T$15,0,IF(Reprogramaciones!Q$14&gt;10,MIN(100,SUM($G267:$P267)),MIN(100,SUMPRODUCT((COLUMN($G267:$P267)-COLUMN($G267)+1&lt;Reprogramaciones!Q$14)*$G267:$P267)+N(INDEX($G267:$P267,1,Reprogramaciones!Q$14))*IF(Reprogramaciones!Q$13&gt;=(Reprogramaciones!$T$15+7*(Reprogramaciones!Q$14-1))+6,1,IF(MAX(0,NETWORKDAYS.INTL(MAX(E267,(Reprogramaciones!$T$15+7*(Reprogramaciones!Q$14-1))),MIN(F267,(Reprogramaciones!$T$15+7*(Reprogramaciones!Q$14-1))+6),11))=0,0,MAX(0,NETWORKDAYS.INTL(MAX(E267,(Reprogramaciones!$T$15+7*(Reprogramaciones!Q$14-1))),MIN(F267,Reprogramaciones!Q$13),11))/MAX(0,NETWORKDAYS.INTL(MAX(E267,(Reprogramaciones!$T$15+7*(Reprogramaciones!Q$14-1))),MIN(F267,(Reprogramaciones!$T$15+7*(Reprogramaciones!Q$14-1))+6),11))))))))</f>
        <v/>
      </c>
      <c r="CA267" s="1" t="str">
        <f aca="false">IF(OR(NOT(AND(ISNUMBER(E267),ISNUMBER(F267))),$J$2=""),"",IF(Reprogramaciones!R$13&lt;Reprogramaciones!$T$15,0,IF(Reprogramaciones!R$14&gt;10,MIN(100,SUM($G267:$P267)),MIN(100,SUMPRODUCT((COLUMN($G267:$P267)-COLUMN($G267)+1&lt;Reprogramaciones!R$14)*$G267:$P267)+N(INDEX($G267:$P267,1,Reprogramaciones!R$14))*IF(Reprogramaciones!R$13&gt;=(Reprogramaciones!$T$15+7*(Reprogramaciones!R$14-1))+6,1,IF(MAX(0,NETWORKDAYS.INTL(MAX(E267,(Reprogramaciones!$T$15+7*(Reprogramaciones!R$14-1))),MIN(F267,(Reprogramaciones!$T$15+7*(Reprogramaciones!R$14-1))+6),11))=0,0,MAX(0,NETWORKDAYS.INTL(MAX(E267,(Reprogramaciones!$T$15+7*(Reprogramaciones!R$14-1))),MIN(F267,Reprogramaciones!R$13),11))/MAX(0,NETWORKDAYS.INTL(MAX(E267,(Reprogramaciones!$T$15+7*(Reprogramaciones!R$14-1))),MIN(F267,(Reprogramaciones!$T$15+7*(Reprogramaciones!R$14-1))+6),11))))))))</f>
        <v/>
      </c>
      <c r="CB267" s="1" t="str">
        <f aca="false">IF(OR(NOT(AND(ISNUMBER(E267),ISNUMBER(F267))),$J$2=""),"",IF(Reprogramaciones!S$13&lt;Reprogramaciones!$T$15,0,IF(Reprogramaciones!S$14&gt;10,MIN(100,SUM($G267:$P267)),MIN(100,SUMPRODUCT((COLUMN($G267:$P267)-COLUMN($G267)+1&lt;Reprogramaciones!S$14)*$G267:$P267)+N(INDEX($G267:$P267,1,Reprogramaciones!S$14))*IF(Reprogramaciones!S$13&gt;=(Reprogramaciones!$T$15+7*(Reprogramaciones!S$14-1))+6,1,IF(MAX(0,NETWORKDAYS.INTL(MAX(E267,(Reprogramaciones!$T$15+7*(Reprogramaciones!S$14-1))),MIN(F267,(Reprogramaciones!$T$15+7*(Reprogramaciones!S$14-1))+6),11))=0,0,MAX(0,NETWORKDAYS.INTL(MAX(E267,(Reprogramaciones!$T$15+7*(Reprogramaciones!S$14-1))),MIN(F267,Reprogramaciones!S$13),11))/MAX(0,NETWORKDAYS.INTL(MAX(E267,(Reprogramaciones!$T$15+7*(Reprogramaciones!S$14-1))),MIN(F267,(Reprogramaciones!$T$15+7*(Reprogramaciones!S$14-1))+6),11))))))))</f>
        <v/>
      </c>
      <c r="CC267" s="1" t="str">
        <f aca="false">IF(OR(NOT(AND(ISNUMBER(E267),ISNUMBER(F267))),$J$2=""),"",IF(Reprogramaciones!T$13&lt;Reprogramaciones!$T$15,0,IF(Reprogramaciones!T$14&gt;10,MIN(100,SUM($G267:$P267)),MIN(100,SUMPRODUCT((COLUMN($G267:$P267)-COLUMN($G267)+1&lt;Reprogramaciones!T$14)*$G267:$P267)+N(INDEX($G267:$P267,1,Reprogramaciones!T$14))*IF(Reprogramaciones!T$13&gt;=(Reprogramaciones!$T$15+7*(Reprogramaciones!T$14-1))+6,1,IF(MAX(0,NETWORKDAYS.INTL(MAX(E267,(Reprogramaciones!$T$15+7*(Reprogramaciones!T$14-1))),MIN(F267,(Reprogramaciones!$T$15+7*(Reprogramaciones!T$14-1))+6),11))=0,0,MAX(0,NETWORKDAYS.INTL(MAX(E267,(Reprogramaciones!$T$15+7*(Reprogramaciones!T$14-1))),MIN(F267,Reprogramaciones!T$13),11))/MAX(0,NETWORKDAYS.INTL(MAX(E267,(Reprogramaciones!$T$15+7*(Reprogramaciones!T$14-1))),MIN(F267,(Reprogramaciones!$T$15+7*(Reprogramaciones!T$14-1))+6),11))))))))</f>
        <v/>
      </c>
      <c r="CD267" s="1" t="str">
        <f aca="false">IF(OR(NOT(AND(ISNUMBER(E267),ISNUMBER(F267))),$J$2=""),"",IF(Reprogramaciones!U$13&lt;Reprogramaciones!$T$15,0,IF(Reprogramaciones!U$14&gt;10,MIN(100,SUM($G267:$P267)),MIN(100,SUMPRODUCT((COLUMN($G267:$P267)-COLUMN($G267)+1&lt;Reprogramaciones!U$14)*$G267:$P267)+N(INDEX($G267:$P267,1,Reprogramaciones!U$14))*IF(Reprogramaciones!U$13&gt;=(Reprogramaciones!$T$15+7*(Reprogramaciones!U$14-1))+6,1,IF(MAX(0,NETWORKDAYS.INTL(MAX(E267,(Reprogramaciones!$T$15+7*(Reprogramaciones!U$14-1))),MIN(F267,(Reprogramaciones!$T$15+7*(Reprogramaciones!U$14-1))+6),11))=0,0,MAX(0,NETWORKDAYS.INTL(MAX(E267,(Reprogramaciones!$T$15+7*(Reprogramaciones!U$14-1))),MIN(F267,Reprogramaciones!U$13),11))/MAX(0,NETWORKDAYS.INTL(MAX(E267,(Reprogramaciones!$T$15+7*(Reprogramaciones!U$14-1))),MIN(F267,(Reprogramaciones!$T$15+7*(Reprogramaciones!U$14-1))+6),11))))))))</f>
        <v/>
      </c>
      <c r="CE267" s="1" t="str">
        <f aca="false">IF(OR(NOT(AND(ISNUMBER(E267),ISNUMBER(F267))),$J$2=""),"",IF(Reprogramaciones!V$13&lt;Reprogramaciones!$T$15,0,IF(Reprogramaciones!V$14&gt;10,MIN(100,SUM($G267:$P267)),MIN(100,SUMPRODUCT((COLUMN($G267:$P267)-COLUMN($G267)+1&lt;Reprogramaciones!V$14)*$G267:$P267)+N(INDEX($G267:$P267,1,Reprogramaciones!V$14))*IF(Reprogramaciones!V$13&gt;=(Reprogramaciones!$T$15+7*(Reprogramaciones!V$14-1))+6,1,IF(MAX(0,NETWORKDAYS.INTL(MAX(E267,(Reprogramaciones!$T$15+7*(Reprogramaciones!V$14-1))),MIN(F267,(Reprogramaciones!$T$15+7*(Reprogramaciones!V$14-1))+6),11))=0,0,MAX(0,NETWORKDAYS.INTL(MAX(E267,(Reprogramaciones!$T$15+7*(Reprogramaciones!V$14-1))),MIN(F267,Reprogramaciones!V$13),11))/MAX(0,NETWORKDAYS.INTL(MAX(E267,(Reprogramaciones!$T$15+7*(Reprogramaciones!V$14-1))),MIN(F267,(Reprogramaciones!$T$15+7*(Reprogramaciones!V$14-1))+6),11))))))))</f>
        <v/>
      </c>
      <c r="CF267" s="1" t="str">
        <f aca="false">IF(OR(NOT(AND(ISNUMBER(E267),ISNUMBER(F267))),$J$2=""),"",IF(Reprogramaciones!W$13&lt;Reprogramaciones!$T$15,0,IF(Reprogramaciones!W$14&gt;10,MIN(100,SUM($G267:$P267)),MIN(100,SUMPRODUCT((COLUMN($G267:$P267)-COLUMN($G267)+1&lt;Reprogramaciones!W$14)*$G267:$P267)+N(INDEX($G267:$P267,1,Reprogramaciones!W$14))*IF(Reprogramaciones!W$13&gt;=(Reprogramaciones!$T$15+7*(Reprogramaciones!W$14-1))+6,1,IF(MAX(0,NETWORKDAYS.INTL(MAX(E267,(Reprogramaciones!$T$15+7*(Reprogramaciones!W$14-1))),MIN(F267,(Reprogramaciones!$T$15+7*(Reprogramaciones!W$14-1))+6),11))=0,0,MAX(0,NETWORKDAYS.INTL(MAX(E267,(Reprogramaciones!$T$15+7*(Reprogramaciones!W$14-1))),MIN(F267,Reprogramaciones!W$13),11))/MAX(0,NETWORKDAYS.INTL(MAX(E267,(Reprogramaciones!$T$15+7*(Reprogramaciones!W$14-1))),MIN(F267,(Reprogramaciones!$T$15+7*(Reprogramaciones!W$14-1))+6),11))))))))</f>
        <v/>
      </c>
      <c r="CG267" s="1" t="str">
        <f aca="false">IF(OR(NOT(AND(ISNUMBER(E267),ISNUMBER(F267))),$J$2=""),"",IF(Reprogramaciones!X$13&lt;Reprogramaciones!$T$15,0,IF(Reprogramaciones!X$14&gt;10,MIN(100,SUM($G267:$P267)),MIN(100,SUMPRODUCT((COLUMN($G267:$P267)-COLUMN($G267)+1&lt;Reprogramaciones!X$14)*$G267:$P267)+N(INDEX($G267:$P267,1,Reprogramaciones!X$14))*IF(Reprogramaciones!X$13&gt;=(Reprogramaciones!$T$15+7*(Reprogramaciones!X$14-1))+6,1,IF(MAX(0,NETWORKDAYS.INTL(MAX(E267,(Reprogramaciones!$T$15+7*(Reprogramaciones!X$14-1))),MIN(F267,(Reprogramaciones!$T$15+7*(Reprogramaciones!X$14-1))+6),11))=0,0,MAX(0,NETWORKDAYS.INTL(MAX(E267,(Reprogramaciones!$T$15+7*(Reprogramaciones!X$14-1))),MIN(F267,Reprogramaciones!X$13),11))/MAX(0,NETWORKDAYS.INTL(MAX(E267,(Reprogramaciones!$T$15+7*(Reprogramaciones!X$14-1))),MIN(F267,(Reprogramaciones!$T$15+7*(Reprogramaciones!X$14-1))+6),11))))))))</f>
        <v/>
      </c>
      <c r="CH267" s="1" t="str">
        <f aca="false">IF(OR(NOT(AND(ISNUMBER(E267),ISNUMBER(F267))),$J$2=""),"",IF(Reprogramaciones!Y$13&lt;Reprogramaciones!$T$15,0,IF(Reprogramaciones!Y$14&gt;10,MIN(100,SUM($G267:$P267)),MIN(100,SUMPRODUCT((COLUMN($G267:$P267)-COLUMN($G267)+1&lt;Reprogramaciones!Y$14)*$G267:$P267)+N(INDEX($G267:$P267,1,Reprogramaciones!Y$14))*IF(Reprogramaciones!Y$13&gt;=(Reprogramaciones!$T$15+7*(Reprogramaciones!Y$14-1))+6,1,IF(MAX(0,NETWORKDAYS.INTL(MAX(E267,(Reprogramaciones!$T$15+7*(Reprogramaciones!Y$14-1))),MIN(F267,(Reprogramaciones!$T$15+7*(Reprogramaciones!Y$14-1))+6),11))=0,0,MAX(0,NETWORKDAYS.INTL(MAX(E267,(Reprogramaciones!$T$15+7*(Reprogramaciones!Y$14-1))),MIN(F267,Reprogramaciones!Y$13),11))/MAX(0,NETWORKDAYS.INTL(MAX(E267,(Reprogramaciones!$T$15+7*(Reprogramaciones!Y$14-1))),MIN(F267,(Reprogramaciones!$T$15+7*(Reprogramaciones!Y$14-1))+6),11))))))))</f>
        <v/>
      </c>
      <c r="CI267" s="1" t="str">
        <f aca="false">IF(OR(NOT(AND(ISNUMBER(E267),ISNUMBER(F267))),$J$2=""),"",IF(Reprogramaciones!Z$13&lt;Reprogramaciones!$T$15,0,IF(Reprogramaciones!Z$14&gt;10,MIN(100,SUM($G267:$P267)),MIN(100,SUMPRODUCT((COLUMN($G267:$P267)-COLUMN($G267)+1&lt;Reprogramaciones!Z$14)*$G267:$P267)+N(INDEX($G267:$P267,1,Reprogramaciones!Z$14))*IF(Reprogramaciones!Z$13&gt;=(Reprogramaciones!$T$15+7*(Reprogramaciones!Z$14-1))+6,1,IF(MAX(0,NETWORKDAYS.INTL(MAX(E267,(Reprogramaciones!$T$15+7*(Reprogramaciones!Z$14-1))),MIN(F267,(Reprogramaciones!$T$15+7*(Reprogramaciones!Z$14-1))+6),11))=0,0,MAX(0,NETWORKDAYS.INTL(MAX(E267,(Reprogramaciones!$T$15+7*(Reprogramaciones!Z$14-1))),MIN(F267,Reprogramaciones!Z$13),11))/MAX(0,NETWORKDAYS.INTL(MAX(E267,(Reprogramaciones!$T$15+7*(Reprogramaciones!Z$14-1))),MIN(F267,(Reprogramaciones!$T$15+7*(Reprogramaciones!Z$14-1))+6),11))))))))</f>
        <v/>
      </c>
      <c r="CJ267" s="1" t="str">
        <f aca="false">IF(OR(OR(NOT(AND(ISNUMBER(E267),ISNUMBER(F267))),$J$2=""),1&gt;Reprogramaciones!$K$16),"",IF(ROUND(SUM($Q267:Q267),1)&gt;=99.5,100,MIN(100,ROUND(SUM($Q267:Q267),1))))</f>
        <v/>
      </c>
      <c r="CK267" s="1" t="str">
        <f aca="false">IF(OR(OR(NOT(AND(ISNUMBER(E267),ISNUMBER(F267))),$J$2=""),2&gt;Reprogramaciones!$K$16),"",IF(ROUND(SUM($Q267:R267),1)&gt;=99.5,100,MIN(100,ROUND(SUM($Q267:R267),1))))</f>
        <v/>
      </c>
      <c r="CL267" s="1" t="str">
        <f aca="false">IF(OR(OR(NOT(AND(ISNUMBER(E267),ISNUMBER(F267))),$J$2=""),3&gt;Reprogramaciones!$K$16),"",IF(ROUND(SUM($Q267:S267),1)&gt;=99.5,100,MIN(100,ROUND(SUM($Q267:S267),1))))</f>
        <v/>
      </c>
      <c r="CM267" s="1" t="str">
        <f aca="false">IF(OR(OR(NOT(AND(ISNUMBER(E267),ISNUMBER(F267))),$J$2=""),4&gt;Reprogramaciones!$K$16),"",IF(ROUND(SUM($Q267:T267),1)&gt;=99.5,100,MIN(100,ROUND(SUM($Q267:T267),1))))</f>
        <v/>
      </c>
      <c r="CN267" s="1" t="str">
        <f aca="false">IF(OR(OR(NOT(AND(ISNUMBER(E267),ISNUMBER(F267))),$J$2=""),5&gt;Reprogramaciones!$K$16),"",IF(ROUND(SUM($Q267:U267),1)&gt;=99.5,100,MIN(100,ROUND(SUM($Q267:U267),1))))</f>
        <v/>
      </c>
      <c r="CO267" s="1" t="str">
        <f aca="false">IF(OR(OR(NOT(AND(ISNUMBER(E267),ISNUMBER(F267))),$J$2=""),6&gt;Reprogramaciones!$K$16),"",IF(ROUND(SUM($Q267:V267),1)&gt;=99.5,100,MIN(100,ROUND(SUM($Q267:V267),1))))</f>
        <v/>
      </c>
      <c r="CP267" s="1" t="str">
        <f aca="false">IF(OR(OR(NOT(AND(ISNUMBER(E267),ISNUMBER(F267))),$J$2=""),7&gt;Reprogramaciones!$K$16),"",IF(ROUND(SUM($Q267:W267),1)&gt;=99.5,100,MIN(100,ROUND(SUM($Q267:W267),1))))</f>
        <v/>
      </c>
      <c r="CQ267" s="1" t="str">
        <f aca="false">IF(OR(OR(NOT(AND(ISNUMBER(E267),ISNUMBER(F267))),$J$2=""),8&gt;Reprogramaciones!$K$16),"",IF(ROUND(SUM($Q267:X267),1)&gt;=99.5,100,MIN(100,ROUND(SUM($Q267:X267),1))))</f>
        <v/>
      </c>
      <c r="CR267" s="1" t="str">
        <f aca="false">IF(OR(OR(NOT(AND(ISNUMBER(E267),ISNUMBER(F267))),$J$2=""),9&gt;Reprogramaciones!$K$16),"",IF(ROUND(SUM($Q267:Y267),1)&gt;=99.5,100,MIN(100,ROUND(SUM($Q267:Y267),1))))</f>
        <v/>
      </c>
      <c r="CS267" s="1" t="str">
        <f aca="false">IF(OR(OR(NOT(AND(ISNUMBER(E267),ISNUMBER(F267))),$J$2=""),10&gt;Reprogramaciones!$K$16),"",IF(ROUND(SUM($Q267:Z267),1)&gt;=99.5,100,MIN(100,ROUND(SUM($Q267:Z267),1))))</f>
        <v/>
      </c>
      <c r="CT267" s="1" t="str">
        <f aca="false">IF(OR(OR(NOT(AND(ISNUMBER(E267),ISNUMBER(F267))),$J$2=""),11&gt;Reprogramaciones!$K$16),"",IF(ROUND(SUM($Q267:AA267),1)&gt;=99.5,100,MIN(100,ROUND(SUM($Q267:AA267),1))))</f>
        <v/>
      </c>
      <c r="CU267" s="1" t="str">
        <f aca="false">IF(OR(OR(NOT(AND(ISNUMBER(E267),ISNUMBER(F267))),$J$2=""),12&gt;Reprogramaciones!$K$16),"",IF(ROUND(SUM($Q267:AB267),1)&gt;=99.5,100,MIN(100,ROUND(SUM($Q267:AB267),1))))</f>
        <v/>
      </c>
      <c r="CV267" s="1" t="str">
        <f aca="false">IF(OR(OR(NOT(AND(ISNUMBER(E267),ISNUMBER(F267))),$J$2=""),13&gt;Reprogramaciones!$K$16),"",IF(ROUND(SUM($Q267:AC267),1)&gt;=99.5,100,MIN(100,ROUND(SUM($Q267:AC267),1))))</f>
        <v/>
      </c>
      <c r="CW267" s="1" t="str">
        <f aca="false">IF(OR(OR(NOT(AND(ISNUMBER(E267),ISNUMBER(F267))),$J$2=""),14&gt;Reprogramaciones!$K$16),"",IF(ROUND(SUM($Q267:AD267),1)&gt;=99.5,100,MIN(100,ROUND(SUM($Q267:AD267),1))))</f>
        <v/>
      </c>
      <c r="CX267" s="1" t="str">
        <f aca="false">IF(OR(OR(NOT(AND(ISNUMBER(E267),ISNUMBER(F267))),$J$2=""),15&gt;Reprogramaciones!$K$16),"",IF(ROUND(SUM($Q267:AE267),1)&gt;=99.5,100,MIN(100,ROUND(SUM($Q267:AE267),1))))</f>
        <v/>
      </c>
      <c r="CY267" s="1" t="str">
        <f aca="false">IF(OR(OR(NOT(AND(ISNUMBER(E267),ISNUMBER(F267))),$J$2=""),16&gt;Reprogramaciones!$K$16),"",IF(ROUND(SUM($Q267:AF267),1)&gt;=99.5,100,MIN(100,ROUND(SUM($Q267:AF267),1))))</f>
        <v/>
      </c>
      <c r="CZ267" s="1" t="str">
        <f aca="false">IF(D267&lt;&gt;"",D267,IF(B267&lt;&gt;"","Contractual",CZ266))</f>
        <v>Contractual</v>
      </c>
      <c r="DA267" s="1" t="str">
        <f aca="false">IF(OR(NOT(AND(ISNUMBER(E267),ISNUMBER(F267))),$J$2=""),"",IF(Reprogramaciones!$Q$15&lt;Reprogramaciones!$T$15,0,IF(Reprogramaciones!$S$15&gt;10,MIN(100,SUM($G267:$P267)),MIN(100,SUMPRODUCT((COLUMN($G267:$P267)-COLUMN($G267)+1&lt;Reprogramaciones!$S$15)*$G267:$P267)+N(INDEX($G267:$P267,1,Reprogramaciones!$S$15))*IF(Reprogramaciones!$Q$15&gt;=(Reprogramaciones!$T$15+7*(Reprogramaciones!$S$15-1))+6,1,IF(MAX(0,NETWORKDAYS.INTL(MAX(E267,(Reprogramaciones!$T$15+7*(Reprogramaciones!$S$15-1))),MIN(F267,(Reprogramaciones!$T$15+7*(Reprogramaciones!$S$15-1))+6),11))=0,0,MAX(0,NETWORKDAYS.INTL(MAX(E267,(Reprogramaciones!$T$15+7*(Reprogramaciones!$S$15-1))),MIN(F267,Reprogramaciones!$Q$15),11))/MAX(0,NETWORKDAYS.INTL(MAX(E267,(Reprogramaciones!$T$15+7*(Reprogramaciones!$S$15-1))),MIN(F267,(Reprogramaciones!$T$15+7*(Reprogramaciones!$S$15-1))+6),11))))))))</f>
        <v/>
      </c>
    </row>
    <row r="268" customFormat="false" ht="15" hidden="false" customHeight="false" outlineLevel="0" collapsed="false">
      <c r="A268" s="32"/>
      <c r="B268" s="33"/>
      <c r="C268" s="33"/>
      <c r="D268" s="34"/>
      <c r="E268" s="35"/>
      <c r="F268" s="35"/>
      <c r="G268" s="36" t="str">
        <f aca="false">IF(OR(NOT(AND(ISNUMBER(E268),ISNUMBER(F268))),$J$2=""),"",IF(Reprogramaciones!K$9&lt;E268,0,IF(NETWORKDAYS.INTL(E268,F268,11)=0,IF(Reprogramaciones!K$9&gt;=F268,100,0),ROUND(NETWORKDAYS.INTL(E268,MIN(F268,Reprogramaciones!K$9),11)/NETWORKDAYS.INTL(E268,F268,11)*100,1)))-0)</f>
        <v/>
      </c>
      <c r="H268" s="36" t="str">
        <f aca="false">IF(OR(NOT(AND(ISNUMBER(E268),ISNUMBER(F268))),$J$2=""),"",IF(Reprogramaciones!L$9&lt;E268,0,IF(NETWORKDAYS.INTL(E268,F268,11)=0,IF(Reprogramaciones!L$9&gt;=F268,100,0),ROUND(NETWORKDAYS.INTL(E268,MIN(F268,Reprogramaciones!L$9),11)/NETWORKDAYS.INTL(E268,F268,11)*100,1)))-IF(Reprogramaciones!K$9&lt;E268,0,IF(NETWORKDAYS.INTL(E268,F268,11)=0,IF(Reprogramaciones!K$9&gt;=F268,100,0),ROUND(NETWORKDAYS.INTL(E268,MIN(F268,Reprogramaciones!K$9),11)/NETWORKDAYS.INTL(E268,F268,11)*100,1))))</f>
        <v/>
      </c>
      <c r="I268" s="36" t="str">
        <f aca="false">IF(OR(NOT(AND(ISNUMBER(E268),ISNUMBER(F268))),$J$2=""),"",IF(Reprogramaciones!M$9&lt;E268,0,IF(NETWORKDAYS.INTL(E268,F268,11)=0,IF(Reprogramaciones!M$9&gt;=F268,100,0),ROUND(NETWORKDAYS.INTL(E268,MIN(F268,Reprogramaciones!M$9),11)/NETWORKDAYS.INTL(E268,F268,11)*100,1)))-IF(Reprogramaciones!L$9&lt;E268,0,IF(NETWORKDAYS.INTL(E268,F268,11)=0,IF(Reprogramaciones!L$9&gt;=F268,100,0),ROUND(NETWORKDAYS.INTL(E268,MIN(F268,Reprogramaciones!L$9),11)/NETWORKDAYS.INTL(E268,F268,11)*100,1))))</f>
        <v/>
      </c>
      <c r="J268" s="36" t="str">
        <f aca="false">IF(OR(NOT(AND(ISNUMBER(E268),ISNUMBER(F268))),$J$2=""),"",IF(Reprogramaciones!N$9&lt;E268,0,IF(NETWORKDAYS.INTL(E268,F268,11)=0,IF(Reprogramaciones!N$9&gt;=F268,100,0),ROUND(NETWORKDAYS.INTL(E268,MIN(F268,Reprogramaciones!N$9),11)/NETWORKDAYS.INTL(E268,F268,11)*100,1)))-IF(Reprogramaciones!M$9&lt;E268,0,IF(NETWORKDAYS.INTL(E268,F268,11)=0,IF(Reprogramaciones!M$9&gt;=F268,100,0),ROUND(NETWORKDAYS.INTL(E268,MIN(F268,Reprogramaciones!M$9),11)/NETWORKDAYS.INTL(E268,F268,11)*100,1))))</f>
        <v/>
      </c>
      <c r="K268" s="36" t="str">
        <f aca="false">IF(OR(NOT(AND(ISNUMBER(E268),ISNUMBER(F268))),$J$2=""),"",IF(Reprogramaciones!O$9&lt;E268,0,IF(NETWORKDAYS.INTL(E268,F268,11)=0,IF(Reprogramaciones!O$9&gt;=F268,100,0),ROUND(NETWORKDAYS.INTL(E268,MIN(F268,Reprogramaciones!O$9),11)/NETWORKDAYS.INTL(E268,F268,11)*100,1)))-IF(Reprogramaciones!N$9&lt;E268,0,IF(NETWORKDAYS.INTL(E268,F268,11)=0,IF(Reprogramaciones!N$9&gt;=F268,100,0),ROUND(NETWORKDAYS.INTL(E268,MIN(F268,Reprogramaciones!N$9),11)/NETWORKDAYS.INTL(E268,F268,11)*100,1))))</f>
        <v/>
      </c>
      <c r="L268" s="36" t="str">
        <f aca="false">IF(OR(NOT(AND(ISNUMBER(E268),ISNUMBER(F268))),$J$2=""),"",IF(Reprogramaciones!P$9&lt;E268,0,IF(NETWORKDAYS.INTL(E268,F268,11)=0,IF(Reprogramaciones!P$9&gt;=F268,100,0),ROUND(NETWORKDAYS.INTL(E268,MIN(F268,Reprogramaciones!P$9),11)/NETWORKDAYS.INTL(E268,F268,11)*100,1)))-IF(Reprogramaciones!O$9&lt;E268,0,IF(NETWORKDAYS.INTL(E268,F268,11)=0,IF(Reprogramaciones!O$9&gt;=F268,100,0),ROUND(NETWORKDAYS.INTL(E268,MIN(F268,Reprogramaciones!O$9),11)/NETWORKDAYS.INTL(E268,F268,11)*100,1))))</f>
        <v/>
      </c>
      <c r="M268" s="36" t="str">
        <f aca="false">IF(OR(NOT(AND(ISNUMBER(E268),ISNUMBER(F268))),$J$2=""),"",IF(Reprogramaciones!Q$9&lt;E268,0,IF(NETWORKDAYS.INTL(E268,F268,11)=0,IF(Reprogramaciones!Q$9&gt;=F268,100,0),ROUND(NETWORKDAYS.INTL(E268,MIN(F268,Reprogramaciones!Q$9),11)/NETWORKDAYS.INTL(E268,F268,11)*100,1)))-IF(Reprogramaciones!P$9&lt;E268,0,IF(NETWORKDAYS.INTL(E268,F268,11)=0,IF(Reprogramaciones!P$9&gt;=F268,100,0),ROUND(NETWORKDAYS.INTL(E268,MIN(F268,Reprogramaciones!P$9),11)/NETWORKDAYS.INTL(E268,F268,11)*100,1))))</f>
        <v/>
      </c>
      <c r="N268" s="36" t="str">
        <f aca="false">IF(OR(NOT(AND(ISNUMBER(E268),ISNUMBER(F268))),$J$2=""),"",IF(Reprogramaciones!R$9&lt;E268,0,IF(NETWORKDAYS.INTL(E268,F268,11)=0,IF(Reprogramaciones!R$9&gt;=F268,100,0),ROUND(NETWORKDAYS.INTL(E268,MIN(F268,Reprogramaciones!R$9),11)/NETWORKDAYS.INTL(E268,F268,11)*100,1)))-IF(Reprogramaciones!Q$9&lt;E268,0,IF(NETWORKDAYS.INTL(E268,F268,11)=0,IF(Reprogramaciones!Q$9&gt;=F268,100,0),ROUND(NETWORKDAYS.INTL(E268,MIN(F268,Reprogramaciones!Q$9),11)/NETWORKDAYS.INTL(E268,F268,11)*100,1))))</f>
        <v/>
      </c>
      <c r="O268" s="36" t="str">
        <f aca="false">IF(OR(NOT(AND(ISNUMBER(E268),ISNUMBER(F268))),$J$2=""),"",IF(Reprogramaciones!S$9&lt;E268,0,IF(NETWORKDAYS.INTL(E268,F268,11)=0,IF(Reprogramaciones!S$9&gt;=F268,100,0),ROUND(NETWORKDAYS.INTL(E268,MIN(F268,Reprogramaciones!S$9),11)/NETWORKDAYS.INTL(E268,F268,11)*100,1)))-IF(Reprogramaciones!R$9&lt;E268,0,IF(NETWORKDAYS.INTL(E268,F268,11)=0,IF(Reprogramaciones!R$9&gt;=F268,100,0),ROUND(NETWORKDAYS.INTL(E268,MIN(F268,Reprogramaciones!R$9),11)/NETWORKDAYS.INTL(E268,F268,11)*100,1))))</f>
        <v/>
      </c>
      <c r="P268" s="36" t="str">
        <f aca="false">IF(OR(NOT(AND(ISNUMBER(E268),ISNUMBER(F268))),$J$2=""),"",IF(Reprogramaciones!T$9&lt;E268,0,IF(NETWORKDAYS.INTL(E268,F268,11)=0,IF(Reprogramaciones!T$9&gt;=F268,100,0),ROUND(NETWORKDAYS.INTL(E268,MIN(F268,Reprogramaciones!T$9),11)/NETWORKDAYS.INTL(E268,F268,11)*100,1)))-IF(Reprogramaciones!S$9&lt;E268,0,IF(NETWORKDAYS.INTL(E268,F268,11)=0,IF(Reprogramaciones!S$9&gt;=F268,100,0),ROUND(NETWORKDAYS.INTL(E268,MIN(F268,Reprogramaciones!S$9),11)/NETWORKDAYS.INTL(E268,F268,11)*100,1))))</f>
        <v/>
      </c>
      <c r="Q268" s="37"/>
      <c r="R268" s="37"/>
      <c r="S268" s="37"/>
      <c r="T268" s="37"/>
      <c r="U268" s="37"/>
      <c r="V268" s="37"/>
      <c r="W268" s="37"/>
      <c r="X268" s="37"/>
      <c r="Y268" s="37"/>
      <c r="Z268" s="37"/>
      <c r="AA268" s="37"/>
      <c r="AB268" s="37"/>
      <c r="AC268" s="37"/>
      <c r="AD268" s="37"/>
      <c r="AE268" s="37"/>
      <c r="AF268" s="37"/>
      <c r="AG268" s="38" t="str">
        <f aca="false">IF(AND(ISNUMBER(E268),ISNUMBER(F268)),NETWORKDAYS.INTL(E268,F268,11),"")</f>
        <v/>
      </c>
      <c r="AH268" s="38" t="str">
        <f aca="false">IF(OR(NOT(AND(ISNUMBER(E268),ISNUMBER(F268))),$J$2=""),"",IF(Reprogramaciones!$P$15&lt;Reprogramaciones!$T$15,0,IF(Reprogramaciones!$R$15&gt;10,MIN(100,SUM($G268:$P268)),MIN(100,SUMPRODUCT((COLUMN($G268:$P268)-COLUMN($G268)+1&lt;Reprogramaciones!$R$15)*$G268:$P268)+N(INDEX($G268:$P268,1,Reprogramaciones!$R$15))*IF(Reprogramaciones!$P$15&gt;=(Reprogramaciones!$T$15+7*(Reprogramaciones!$R$15-1))+6,1,IF(MAX(0,NETWORKDAYS.INTL(MAX(E268,(Reprogramaciones!$T$15+7*(Reprogramaciones!$R$15-1))),MIN(F268,(Reprogramaciones!$T$15+7*(Reprogramaciones!$R$15-1))+6),11))=0,0,MAX(0,NETWORKDAYS.INTL(MAX(E268,(Reprogramaciones!$T$15+7*(Reprogramaciones!$R$15-1))),MIN(F268,Reprogramaciones!$P$15),11))/MAX(0,NETWORKDAYS.INTL(MAX(E268,(Reprogramaciones!$T$15+7*(Reprogramaciones!$R$15-1))),MIN(F268,(Reprogramaciones!$T$15+7*(Reprogramaciones!$R$15-1))+6),11))))))))</f>
        <v/>
      </c>
      <c r="AI268" s="38" t="str">
        <f aca="false">IF(COUNT($Q268:$AF268)=0,"",IF(ROUND(SUM($Q268:$AF268),1)&gt;=99.5,100,MIN(100,ROUND(SUM($Q268:$AF268),1))))</f>
        <v/>
      </c>
      <c r="AJ268" s="38" t="str">
        <f aca="false">IF(OR(AH268="",AI268=""),"",AI268-AH268)</f>
        <v/>
      </c>
      <c r="AK268" s="39" t="str">
        <f aca="true">IF(AH268="","",IF(OR(Ficha!$C$10="Suspendida",Ficha!$C$10="Cancelada"),Ficha!$C$10,IF(AND(AI268&lt;&gt;"",N(AI268)&gt;=100),"Completada",IF(AND(E268&gt;TODAY(),N(AI268)=0),"Por iniciar",IF(N(AI268)+0.5&lt;AH268,"Retrasada",IF(N(AI268)+0.5&lt;DA268,IF(Reprogramaciones!$K$15&gt;0,"Al día · Sem "&amp;Reprogramaciones!$K$15&amp;" en curso","Al día · en curso"),"A tiempo"))))))</f>
        <v/>
      </c>
      <c r="AL268" s="39" t="str">
        <f aca="true">IF(AND(A268="",AND(B268="",C268="",E268="",F268="",COUNT(Q268:AF268)=0)),"",IF(AND(B268="",C268="",E268="",F268="",COUNT(Q268:AF268)=0),"Falta la partida o subpartida",IF(AND(A268&lt;&gt;"",COUNTIF($A$6:$A$305,A268)&gt;1),"Ítem repetido",IF(AND(C268="",E268="",F268="",COUNT(Q268:AF268)=0),"Título de partida",IF(OR(E268="",F268=""),"Faltan fechas",IF(OR(ISTEXT(E268),ISTEXT(F268)),"Fecha escrita como texto: usa dd/mm/aaaa",IF(F268&lt;E268,"Fin antes del inicio",IF(IF($J$2="",FALSE(),OR(E268&lt;$J$2,F268&gt;Reprogramaciones!$T$15+69)),"Fuera de las 10 semanas",IF(ABS(SUM(G268:P268)-100)&gt;0.5,"La meta no suma 100%",IF(ROUND(SUM(Q268:AF268),1)&gt;100.5,"El avance pasa de 100%",IF(MIN(Q268:AF268)&lt;0,"Avance negativo",IF(COUNTA(Q268:AF268)&gt;COUNT(Q268:AF268),"Avance escrito como texto",IF(SUMPRODUCT((Q268:AF268&gt;0)*(Q268:AF268&lt;1))&gt;0,"Avance menor a 1: escribe 50, no 50%",IF(SUMPRODUCT(ISNUMBER(Q268:AF268)*(Reprogramaciones!$K$8:$Z$8&gt;TODAY()))&gt;0,"Avance en semana que aún no llega",IF(AND(N(Reprogramaciones!$E$21)&gt;0,F268&gt;Reprogramaciones!$E$21),"Pasa el fin de la obra: registra una reprogramación",IF(AND(N(Reprogramaciones!$E$21)&gt;0,SUMPRODUCT(ISNUMBER(Q268:AF268)*(Reprogramaciones!$K$8:$Z$8&gt;Reprogramaciones!$E$21))&gt;0),"Avance después del fin de la obra: registra una reprogramación por atraso","OK"))))))))))))))))</f>
        <v/>
      </c>
      <c r="AM268" s="40" t="str">
        <f aca="false">IF(OR(OR(NOT(AND(ISNUMBER(E268),ISNUMBER(F268))),$J$2=""),1&gt;MAX(1,Reprogramaciones!$U$15)),"",IF(Reprogramaciones!K$12&gt;=7,"",IF(OR(BT268-N(0)&gt;0.05,N(Q268)&gt;0),ROUNDDOWN(ROUND(BT268,6),0)&amp;"%"&amp;IF(CJ268="",""," / "&amp;CJ268&amp;"%"),IF(AND(N(0)&gt;=99.95,CJ268&lt;&gt;"",N(CJ268)&lt;100),"Pend. "&amp;CJ268&amp;"%",""))))</f>
        <v/>
      </c>
      <c r="AN268" s="40" t="str">
        <f aca="false">IF(OR(OR(NOT(AND(ISNUMBER(E268),ISNUMBER(F268))),$J$2=""),2&gt;MAX(1,Reprogramaciones!$U$15)),"",IF(Reprogramaciones!L$12&gt;=7,"",IF(OR(BU268-N(BT268)&gt;0.05,N(R268)&gt;0),ROUNDDOWN(ROUND(BU268,6),0)&amp;"%"&amp;IF(CK268="",""," / "&amp;CK268&amp;"%"),IF(AND(N(BT268)&gt;=99.95,CK268&lt;&gt;"",N(CK268)&lt;100),"Pend. "&amp;CK268&amp;"%",""))))</f>
        <v/>
      </c>
      <c r="AO268" s="40" t="str">
        <f aca="false">IF(OR(OR(NOT(AND(ISNUMBER(E268),ISNUMBER(F268))),$J$2=""),3&gt;MAX(1,Reprogramaciones!$U$15)),"",IF(Reprogramaciones!M$12&gt;=7,"",IF(OR(BV268-N(BU268)&gt;0.05,N(S268)&gt;0),ROUNDDOWN(ROUND(BV268,6),0)&amp;"%"&amp;IF(CL268="",""," / "&amp;CL268&amp;"%"),IF(AND(N(BU268)&gt;=99.95,CL268&lt;&gt;"",N(CL268)&lt;100),"Pend. "&amp;CL268&amp;"%",""))))</f>
        <v/>
      </c>
      <c r="AP268" s="40" t="str">
        <f aca="false">IF(OR(OR(NOT(AND(ISNUMBER(E268),ISNUMBER(F268))),$J$2=""),4&gt;MAX(1,Reprogramaciones!$U$15)),"",IF(Reprogramaciones!N$12&gt;=7,"",IF(OR(BW268-N(BV268)&gt;0.05,N(T268)&gt;0),ROUNDDOWN(ROUND(BW268,6),0)&amp;"%"&amp;IF(CM268="",""," / "&amp;CM268&amp;"%"),IF(AND(N(BV268)&gt;=99.95,CM268&lt;&gt;"",N(CM268)&lt;100),"Pend. "&amp;CM268&amp;"%",""))))</f>
        <v/>
      </c>
      <c r="AQ268" s="40" t="str">
        <f aca="false">IF(OR(OR(NOT(AND(ISNUMBER(E268),ISNUMBER(F268))),$J$2=""),5&gt;MAX(1,Reprogramaciones!$U$15)),"",IF(Reprogramaciones!O$12&gt;=7,"",IF(OR(BX268-N(BW268)&gt;0.05,N(U268)&gt;0),ROUNDDOWN(ROUND(BX268,6),0)&amp;"%"&amp;IF(CN268="",""," / "&amp;CN268&amp;"%"),IF(AND(N(BW268)&gt;=99.95,CN268&lt;&gt;"",N(CN268)&lt;100),"Pend. "&amp;CN268&amp;"%",""))))</f>
        <v/>
      </c>
      <c r="AR268" s="40" t="str">
        <f aca="false">IF(OR(OR(NOT(AND(ISNUMBER(E268),ISNUMBER(F268))),$J$2=""),6&gt;MAX(1,Reprogramaciones!$U$15)),"",IF(Reprogramaciones!P$12&gt;=7,"",IF(OR(BY268-N(BX268)&gt;0.05,N(V268)&gt;0),ROUNDDOWN(ROUND(BY268,6),0)&amp;"%"&amp;IF(CO268="",""," / "&amp;CO268&amp;"%"),IF(AND(N(BX268)&gt;=99.95,CO268&lt;&gt;"",N(CO268)&lt;100),"Pend. "&amp;CO268&amp;"%",""))))</f>
        <v/>
      </c>
      <c r="AS268" s="40" t="str">
        <f aca="false">IF(OR(OR(NOT(AND(ISNUMBER(E268),ISNUMBER(F268))),$J$2=""),7&gt;MAX(1,Reprogramaciones!$U$15)),"",IF(Reprogramaciones!Q$12&gt;=7,"",IF(OR(BZ268-N(BY268)&gt;0.05,N(W268)&gt;0),ROUNDDOWN(ROUND(BZ268,6),0)&amp;"%"&amp;IF(CP268="",""," / "&amp;CP268&amp;"%"),IF(AND(N(BY268)&gt;=99.95,CP268&lt;&gt;"",N(CP268)&lt;100),"Pend. "&amp;CP268&amp;"%",""))))</f>
        <v/>
      </c>
      <c r="AT268" s="40" t="str">
        <f aca="false">IF(OR(OR(NOT(AND(ISNUMBER(E268),ISNUMBER(F268))),$J$2=""),8&gt;MAX(1,Reprogramaciones!$U$15)),"",IF(Reprogramaciones!R$12&gt;=7,"",IF(OR(CA268-N(BZ268)&gt;0.05,N(X268)&gt;0),ROUNDDOWN(ROUND(CA268,6),0)&amp;"%"&amp;IF(CQ268="",""," / "&amp;CQ268&amp;"%"),IF(AND(N(BZ268)&gt;=99.95,CQ268&lt;&gt;"",N(CQ268)&lt;100),"Pend. "&amp;CQ268&amp;"%",""))))</f>
        <v/>
      </c>
      <c r="AU268" s="40" t="str">
        <f aca="false">IF(OR(OR(NOT(AND(ISNUMBER(E268),ISNUMBER(F268))),$J$2=""),9&gt;MAX(1,Reprogramaciones!$U$15)),"",IF(Reprogramaciones!S$12&gt;=7,"",IF(OR(CB268-N(CA268)&gt;0.05,N(Y268)&gt;0),ROUNDDOWN(ROUND(CB268,6),0)&amp;"%"&amp;IF(CR268="",""," / "&amp;CR268&amp;"%"),IF(AND(N(CA268)&gt;=99.95,CR268&lt;&gt;"",N(CR268)&lt;100),"Pend. "&amp;CR268&amp;"%",""))))</f>
        <v/>
      </c>
      <c r="AV268" s="40" t="str">
        <f aca="false">IF(OR(OR(NOT(AND(ISNUMBER(E268),ISNUMBER(F268))),$J$2=""),10&gt;MAX(1,Reprogramaciones!$U$15)),"",IF(Reprogramaciones!T$12&gt;=7,"",IF(OR(CC268-N(CB268)&gt;0.05,N(Z268)&gt;0),ROUNDDOWN(ROUND(CC268,6),0)&amp;"%"&amp;IF(CS268="",""," / "&amp;CS268&amp;"%"),IF(AND(N(CB268)&gt;=99.95,CS268&lt;&gt;"",N(CS268)&lt;100),"Pend. "&amp;CS268&amp;"%",""))))</f>
        <v/>
      </c>
      <c r="AW268" s="40" t="str">
        <f aca="false">IF(OR(OR(NOT(AND(ISNUMBER(E268),ISNUMBER(F268))),$J$2=""),11&gt;MAX(1,Reprogramaciones!$U$15)),"",IF(Reprogramaciones!U$12&gt;=7,"",IF(OR(CD268-N(CC268)&gt;0.05,N(AA268)&gt;0),ROUNDDOWN(ROUND(CD268,6),0)&amp;"%"&amp;IF(CT268="",""," / "&amp;CT268&amp;"%"),IF(AND(N(CC268)&gt;=99.95,CT268&lt;&gt;"",N(CT268)&lt;100),"Pend. "&amp;CT268&amp;"%",""))))</f>
        <v/>
      </c>
      <c r="AX268" s="40" t="str">
        <f aca="false">IF(OR(OR(NOT(AND(ISNUMBER(E268),ISNUMBER(F268))),$J$2=""),12&gt;MAX(1,Reprogramaciones!$U$15)),"",IF(Reprogramaciones!V$12&gt;=7,"",IF(OR(CE268-N(CD268)&gt;0.05,N(AB268)&gt;0),ROUNDDOWN(ROUND(CE268,6),0)&amp;"%"&amp;IF(CU268="",""," / "&amp;CU268&amp;"%"),IF(AND(N(CD268)&gt;=99.95,CU268&lt;&gt;"",N(CU268)&lt;100),"Pend. "&amp;CU268&amp;"%",""))))</f>
        <v/>
      </c>
      <c r="AY268" s="40" t="str">
        <f aca="false">IF(OR(OR(NOT(AND(ISNUMBER(E268),ISNUMBER(F268))),$J$2=""),13&gt;MAX(1,Reprogramaciones!$U$15)),"",IF(Reprogramaciones!W$12&gt;=7,"",IF(OR(CF268-N(CE268)&gt;0.05,N(AC268)&gt;0),ROUNDDOWN(ROUND(CF268,6),0)&amp;"%"&amp;IF(CV268="",""," / "&amp;CV268&amp;"%"),IF(AND(N(CE268)&gt;=99.95,CV268&lt;&gt;"",N(CV268)&lt;100),"Pend. "&amp;CV268&amp;"%",""))))</f>
        <v/>
      </c>
      <c r="AZ268" s="40" t="str">
        <f aca="false">IF(OR(OR(NOT(AND(ISNUMBER(E268),ISNUMBER(F268))),$J$2=""),14&gt;MAX(1,Reprogramaciones!$U$15)),"",IF(Reprogramaciones!X$12&gt;=7,"",IF(OR(CG268-N(CF268)&gt;0.05,N(AD268)&gt;0),ROUNDDOWN(ROUND(CG268,6),0)&amp;"%"&amp;IF(CW268="",""," / "&amp;CW268&amp;"%"),IF(AND(N(CF268)&gt;=99.95,CW268&lt;&gt;"",N(CW268)&lt;100),"Pend. "&amp;CW268&amp;"%",""))))</f>
        <v/>
      </c>
      <c r="BA268" s="40" t="str">
        <f aca="false">IF(OR(OR(NOT(AND(ISNUMBER(E268),ISNUMBER(F268))),$J$2=""),15&gt;MAX(1,Reprogramaciones!$U$15)),"",IF(Reprogramaciones!Y$12&gt;=7,"",IF(OR(CH268-N(CG268)&gt;0.05,N(AE268)&gt;0),ROUNDDOWN(ROUND(CH268,6),0)&amp;"%"&amp;IF(CX268="",""," / "&amp;CX268&amp;"%"),IF(AND(N(CG268)&gt;=99.95,CX268&lt;&gt;"",N(CX268)&lt;100),"Pend. "&amp;CX268&amp;"%",""))))</f>
        <v/>
      </c>
      <c r="BB268" s="40" t="str">
        <f aca="false">IF(OR(OR(NOT(AND(ISNUMBER(E268),ISNUMBER(F268))),$J$2=""),16&gt;MAX(1,Reprogramaciones!$U$15)),"",IF(Reprogramaciones!Z$12&gt;=7,"",IF(OR(CI268-N(CH268)&gt;0.05,N(AF268)&gt;0),ROUNDDOWN(ROUND(CI268,6),0)&amp;"%"&amp;IF(CY268="",""," / "&amp;CY268&amp;"%"),IF(AND(N(CH268)&gt;=99.95,CY268&lt;&gt;"",N(CY268)&lt;100),"Pend. "&amp;CY268&amp;"%",""))))</f>
        <v/>
      </c>
      <c r="BC268" s="31" t="n">
        <f aca="false">IF(AND(ISNUMBER(E268),ISNUMBER(F268)),MAX(1,NETWORKDAYS.INTL(E268,F268,11)),0)</f>
        <v>0</v>
      </c>
      <c r="BD268" s="1" t="str">
        <f aca="false">IF(OR(NOT(AND(ISNUMBER(E268),ISNUMBER(F268))),$J$2=""),"",MIN(100,ROUND(SUM($G268:G268),1)))</f>
        <v/>
      </c>
      <c r="BE268" s="1" t="str">
        <f aca="false">IF(OR(NOT(AND(ISNUMBER(E268),ISNUMBER(F268))),$J$2=""),"",MIN(100,ROUND(SUM($G268:H268),1)))</f>
        <v/>
      </c>
      <c r="BF268" s="1" t="str">
        <f aca="false">IF(OR(NOT(AND(ISNUMBER(E268),ISNUMBER(F268))),$J$2=""),"",MIN(100,ROUND(SUM($G268:I268),1)))</f>
        <v/>
      </c>
      <c r="BG268" s="1" t="str">
        <f aca="false">IF(OR(NOT(AND(ISNUMBER(E268),ISNUMBER(F268))),$J$2=""),"",MIN(100,ROUND(SUM($G268:J268),1)))</f>
        <v/>
      </c>
      <c r="BH268" s="1" t="str">
        <f aca="false">IF(OR(NOT(AND(ISNUMBER(E268),ISNUMBER(F268))),$J$2=""),"",MIN(100,ROUND(SUM($G268:K268),1)))</f>
        <v/>
      </c>
      <c r="BI268" s="1" t="str">
        <f aca="false">IF(OR(NOT(AND(ISNUMBER(E268),ISNUMBER(F268))),$J$2=""),"",MIN(100,ROUND(SUM($G268:L268),1)))</f>
        <v/>
      </c>
      <c r="BJ268" s="1" t="str">
        <f aca="false">IF(OR(NOT(AND(ISNUMBER(E268),ISNUMBER(F268))),$J$2=""),"",MIN(100,ROUND(SUM($G268:M268),1)))</f>
        <v/>
      </c>
      <c r="BK268" s="1" t="str">
        <f aca="false">IF(OR(NOT(AND(ISNUMBER(E268),ISNUMBER(F268))),$J$2=""),"",MIN(100,ROUND(SUM($G268:N268),1)))</f>
        <v/>
      </c>
      <c r="BL268" s="1" t="str">
        <f aca="false">IF(OR(NOT(AND(ISNUMBER(E268),ISNUMBER(F268))),$J$2=""),"",MIN(100,ROUND(SUM($G268:O268),1)))</f>
        <v/>
      </c>
      <c r="BM268" s="1" t="str">
        <f aca="false">IF(OR(NOT(AND(ISNUMBER(E268),ISNUMBER(F268))),$J$2=""),"",MIN(100,ROUND(SUM($G268:P268),1)))</f>
        <v/>
      </c>
      <c r="BN268" s="1" t="str">
        <f aca="false">IF(OR(NOT(AND(ISNUMBER(E268),ISNUMBER(F268))),$J$2=""),"",MIN(100,ROUND(SUM($G268:P268),1)))</f>
        <v/>
      </c>
      <c r="BO268" s="1" t="str">
        <f aca="false">IF(OR(NOT(AND(ISNUMBER(E268),ISNUMBER(F268))),$J$2=""),"",MIN(100,ROUND(SUM($G268:P268),1)))</f>
        <v/>
      </c>
      <c r="BP268" s="1" t="str">
        <f aca="false">IF(OR(NOT(AND(ISNUMBER(E268),ISNUMBER(F268))),$J$2=""),"",MIN(100,ROUND(SUM($G268:P268),1)))</f>
        <v/>
      </c>
      <c r="BQ268" s="1" t="str">
        <f aca="false">IF(OR(NOT(AND(ISNUMBER(E268),ISNUMBER(F268))),$J$2=""),"",MIN(100,ROUND(SUM($G268:P268),1)))</f>
        <v/>
      </c>
      <c r="BR268" s="1" t="str">
        <f aca="false">IF(OR(NOT(AND(ISNUMBER(E268),ISNUMBER(F268))),$J$2=""),"",MIN(100,ROUND(SUM($G268:P268),1)))</f>
        <v/>
      </c>
      <c r="BS268" s="1" t="str">
        <f aca="false">IF(OR(NOT(AND(ISNUMBER(E268),ISNUMBER(F268))),$J$2=""),"",MIN(100,ROUND(SUM($G268:P268),1)))</f>
        <v/>
      </c>
      <c r="BT268" s="1" t="str">
        <f aca="false">IF(OR(NOT(AND(ISNUMBER(E268),ISNUMBER(F268))),$J$2=""),"",IF(Reprogramaciones!K$13&lt;Reprogramaciones!$T$15,0,IF(Reprogramaciones!K$14&gt;10,MIN(100,SUM($G268:$P268)),MIN(100,SUMPRODUCT((COLUMN($G268:$P268)-COLUMN($G268)+1&lt;Reprogramaciones!K$14)*$G268:$P268)+N(INDEX($G268:$P268,1,Reprogramaciones!K$14))*IF(Reprogramaciones!K$13&gt;=(Reprogramaciones!$T$15+7*(Reprogramaciones!K$14-1))+6,1,IF(MAX(0,NETWORKDAYS.INTL(MAX(E268,(Reprogramaciones!$T$15+7*(Reprogramaciones!K$14-1))),MIN(F268,(Reprogramaciones!$T$15+7*(Reprogramaciones!K$14-1))+6),11))=0,0,MAX(0,NETWORKDAYS.INTL(MAX(E268,(Reprogramaciones!$T$15+7*(Reprogramaciones!K$14-1))),MIN(F268,Reprogramaciones!K$13),11))/MAX(0,NETWORKDAYS.INTL(MAX(E268,(Reprogramaciones!$T$15+7*(Reprogramaciones!K$14-1))),MIN(F268,(Reprogramaciones!$T$15+7*(Reprogramaciones!K$14-1))+6),11))))))))</f>
        <v/>
      </c>
      <c r="BU268" s="1" t="str">
        <f aca="false">IF(OR(NOT(AND(ISNUMBER(E268),ISNUMBER(F268))),$J$2=""),"",IF(Reprogramaciones!L$13&lt;Reprogramaciones!$T$15,0,IF(Reprogramaciones!L$14&gt;10,MIN(100,SUM($G268:$P268)),MIN(100,SUMPRODUCT((COLUMN($G268:$P268)-COLUMN($G268)+1&lt;Reprogramaciones!L$14)*$G268:$P268)+N(INDEX($G268:$P268,1,Reprogramaciones!L$14))*IF(Reprogramaciones!L$13&gt;=(Reprogramaciones!$T$15+7*(Reprogramaciones!L$14-1))+6,1,IF(MAX(0,NETWORKDAYS.INTL(MAX(E268,(Reprogramaciones!$T$15+7*(Reprogramaciones!L$14-1))),MIN(F268,(Reprogramaciones!$T$15+7*(Reprogramaciones!L$14-1))+6),11))=0,0,MAX(0,NETWORKDAYS.INTL(MAX(E268,(Reprogramaciones!$T$15+7*(Reprogramaciones!L$14-1))),MIN(F268,Reprogramaciones!L$13),11))/MAX(0,NETWORKDAYS.INTL(MAX(E268,(Reprogramaciones!$T$15+7*(Reprogramaciones!L$14-1))),MIN(F268,(Reprogramaciones!$T$15+7*(Reprogramaciones!L$14-1))+6),11))))))))</f>
        <v/>
      </c>
      <c r="BV268" s="1" t="str">
        <f aca="false">IF(OR(NOT(AND(ISNUMBER(E268),ISNUMBER(F268))),$J$2=""),"",IF(Reprogramaciones!M$13&lt;Reprogramaciones!$T$15,0,IF(Reprogramaciones!M$14&gt;10,MIN(100,SUM($G268:$P268)),MIN(100,SUMPRODUCT((COLUMN($G268:$P268)-COLUMN($G268)+1&lt;Reprogramaciones!M$14)*$G268:$P268)+N(INDEX($G268:$P268,1,Reprogramaciones!M$14))*IF(Reprogramaciones!M$13&gt;=(Reprogramaciones!$T$15+7*(Reprogramaciones!M$14-1))+6,1,IF(MAX(0,NETWORKDAYS.INTL(MAX(E268,(Reprogramaciones!$T$15+7*(Reprogramaciones!M$14-1))),MIN(F268,(Reprogramaciones!$T$15+7*(Reprogramaciones!M$14-1))+6),11))=0,0,MAX(0,NETWORKDAYS.INTL(MAX(E268,(Reprogramaciones!$T$15+7*(Reprogramaciones!M$14-1))),MIN(F268,Reprogramaciones!M$13),11))/MAX(0,NETWORKDAYS.INTL(MAX(E268,(Reprogramaciones!$T$15+7*(Reprogramaciones!M$14-1))),MIN(F268,(Reprogramaciones!$T$15+7*(Reprogramaciones!M$14-1))+6),11))))))))</f>
        <v/>
      </c>
      <c r="BW268" s="1" t="str">
        <f aca="false">IF(OR(NOT(AND(ISNUMBER(E268),ISNUMBER(F268))),$J$2=""),"",IF(Reprogramaciones!N$13&lt;Reprogramaciones!$T$15,0,IF(Reprogramaciones!N$14&gt;10,MIN(100,SUM($G268:$P268)),MIN(100,SUMPRODUCT((COLUMN($G268:$P268)-COLUMN($G268)+1&lt;Reprogramaciones!N$14)*$G268:$P268)+N(INDEX($G268:$P268,1,Reprogramaciones!N$14))*IF(Reprogramaciones!N$13&gt;=(Reprogramaciones!$T$15+7*(Reprogramaciones!N$14-1))+6,1,IF(MAX(0,NETWORKDAYS.INTL(MAX(E268,(Reprogramaciones!$T$15+7*(Reprogramaciones!N$14-1))),MIN(F268,(Reprogramaciones!$T$15+7*(Reprogramaciones!N$14-1))+6),11))=0,0,MAX(0,NETWORKDAYS.INTL(MAX(E268,(Reprogramaciones!$T$15+7*(Reprogramaciones!N$14-1))),MIN(F268,Reprogramaciones!N$13),11))/MAX(0,NETWORKDAYS.INTL(MAX(E268,(Reprogramaciones!$T$15+7*(Reprogramaciones!N$14-1))),MIN(F268,(Reprogramaciones!$T$15+7*(Reprogramaciones!N$14-1))+6),11))))))))</f>
        <v/>
      </c>
      <c r="BX268" s="1" t="str">
        <f aca="false">IF(OR(NOT(AND(ISNUMBER(E268),ISNUMBER(F268))),$J$2=""),"",IF(Reprogramaciones!O$13&lt;Reprogramaciones!$T$15,0,IF(Reprogramaciones!O$14&gt;10,MIN(100,SUM($G268:$P268)),MIN(100,SUMPRODUCT((COLUMN($G268:$P268)-COLUMN($G268)+1&lt;Reprogramaciones!O$14)*$G268:$P268)+N(INDEX($G268:$P268,1,Reprogramaciones!O$14))*IF(Reprogramaciones!O$13&gt;=(Reprogramaciones!$T$15+7*(Reprogramaciones!O$14-1))+6,1,IF(MAX(0,NETWORKDAYS.INTL(MAX(E268,(Reprogramaciones!$T$15+7*(Reprogramaciones!O$14-1))),MIN(F268,(Reprogramaciones!$T$15+7*(Reprogramaciones!O$14-1))+6),11))=0,0,MAX(0,NETWORKDAYS.INTL(MAX(E268,(Reprogramaciones!$T$15+7*(Reprogramaciones!O$14-1))),MIN(F268,Reprogramaciones!O$13),11))/MAX(0,NETWORKDAYS.INTL(MAX(E268,(Reprogramaciones!$T$15+7*(Reprogramaciones!O$14-1))),MIN(F268,(Reprogramaciones!$T$15+7*(Reprogramaciones!O$14-1))+6),11))))))))</f>
        <v/>
      </c>
      <c r="BY268" s="1" t="str">
        <f aca="false">IF(OR(NOT(AND(ISNUMBER(E268),ISNUMBER(F268))),$J$2=""),"",IF(Reprogramaciones!P$13&lt;Reprogramaciones!$T$15,0,IF(Reprogramaciones!P$14&gt;10,MIN(100,SUM($G268:$P268)),MIN(100,SUMPRODUCT((COLUMN($G268:$P268)-COLUMN($G268)+1&lt;Reprogramaciones!P$14)*$G268:$P268)+N(INDEX($G268:$P268,1,Reprogramaciones!P$14))*IF(Reprogramaciones!P$13&gt;=(Reprogramaciones!$T$15+7*(Reprogramaciones!P$14-1))+6,1,IF(MAX(0,NETWORKDAYS.INTL(MAX(E268,(Reprogramaciones!$T$15+7*(Reprogramaciones!P$14-1))),MIN(F268,(Reprogramaciones!$T$15+7*(Reprogramaciones!P$14-1))+6),11))=0,0,MAX(0,NETWORKDAYS.INTL(MAX(E268,(Reprogramaciones!$T$15+7*(Reprogramaciones!P$14-1))),MIN(F268,Reprogramaciones!P$13),11))/MAX(0,NETWORKDAYS.INTL(MAX(E268,(Reprogramaciones!$T$15+7*(Reprogramaciones!P$14-1))),MIN(F268,(Reprogramaciones!$T$15+7*(Reprogramaciones!P$14-1))+6),11))))))))</f>
        <v/>
      </c>
      <c r="BZ268" s="1" t="str">
        <f aca="false">IF(OR(NOT(AND(ISNUMBER(E268),ISNUMBER(F268))),$J$2=""),"",IF(Reprogramaciones!Q$13&lt;Reprogramaciones!$T$15,0,IF(Reprogramaciones!Q$14&gt;10,MIN(100,SUM($G268:$P268)),MIN(100,SUMPRODUCT((COLUMN($G268:$P268)-COLUMN($G268)+1&lt;Reprogramaciones!Q$14)*$G268:$P268)+N(INDEX($G268:$P268,1,Reprogramaciones!Q$14))*IF(Reprogramaciones!Q$13&gt;=(Reprogramaciones!$T$15+7*(Reprogramaciones!Q$14-1))+6,1,IF(MAX(0,NETWORKDAYS.INTL(MAX(E268,(Reprogramaciones!$T$15+7*(Reprogramaciones!Q$14-1))),MIN(F268,(Reprogramaciones!$T$15+7*(Reprogramaciones!Q$14-1))+6),11))=0,0,MAX(0,NETWORKDAYS.INTL(MAX(E268,(Reprogramaciones!$T$15+7*(Reprogramaciones!Q$14-1))),MIN(F268,Reprogramaciones!Q$13),11))/MAX(0,NETWORKDAYS.INTL(MAX(E268,(Reprogramaciones!$T$15+7*(Reprogramaciones!Q$14-1))),MIN(F268,(Reprogramaciones!$T$15+7*(Reprogramaciones!Q$14-1))+6),11))))))))</f>
        <v/>
      </c>
      <c r="CA268" s="1" t="str">
        <f aca="false">IF(OR(NOT(AND(ISNUMBER(E268),ISNUMBER(F268))),$J$2=""),"",IF(Reprogramaciones!R$13&lt;Reprogramaciones!$T$15,0,IF(Reprogramaciones!R$14&gt;10,MIN(100,SUM($G268:$P268)),MIN(100,SUMPRODUCT((COLUMN($G268:$P268)-COLUMN($G268)+1&lt;Reprogramaciones!R$14)*$G268:$P268)+N(INDEX($G268:$P268,1,Reprogramaciones!R$14))*IF(Reprogramaciones!R$13&gt;=(Reprogramaciones!$T$15+7*(Reprogramaciones!R$14-1))+6,1,IF(MAX(0,NETWORKDAYS.INTL(MAX(E268,(Reprogramaciones!$T$15+7*(Reprogramaciones!R$14-1))),MIN(F268,(Reprogramaciones!$T$15+7*(Reprogramaciones!R$14-1))+6),11))=0,0,MAX(0,NETWORKDAYS.INTL(MAX(E268,(Reprogramaciones!$T$15+7*(Reprogramaciones!R$14-1))),MIN(F268,Reprogramaciones!R$13),11))/MAX(0,NETWORKDAYS.INTL(MAX(E268,(Reprogramaciones!$T$15+7*(Reprogramaciones!R$14-1))),MIN(F268,(Reprogramaciones!$T$15+7*(Reprogramaciones!R$14-1))+6),11))))))))</f>
        <v/>
      </c>
      <c r="CB268" s="1" t="str">
        <f aca="false">IF(OR(NOT(AND(ISNUMBER(E268),ISNUMBER(F268))),$J$2=""),"",IF(Reprogramaciones!S$13&lt;Reprogramaciones!$T$15,0,IF(Reprogramaciones!S$14&gt;10,MIN(100,SUM($G268:$P268)),MIN(100,SUMPRODUCT((COLUMN($G268:$P268)-COLUMN($G268)+1&lt;Reprogramaciones!S$14)*$G268:$P268)+N(INDEX($G268:$P268,1,Reprogramaciones!S$14))*IF(Reprogramaciones!S$13&gt;=(Reprogramaciones!$T$15+7*(Reprogramaciones!S$14-1))+6,1,IF(MAX(0,NETWORKDAYS.INTL(MAX(E268,(Reprogramaciones!$T$15+7*(Reprogramaciones!S$14-1))),MIN(F268,(Reprogramaciones!$T$15+7*(Reprogramaciones!S$14-1))+6),11))=0,0,MAX(0,NETWORKDAYS.INTL(MAX(E268,(Reprogramaciones!$T$15+7*(Reprogramaciones!S$14-1))),MIN(F268,Reprogramaciones!S$13),11))/MAX(0,NETWORKDAYS.INTL(MAX(E268,(Reprogramaciones!$T$15+7*(Reprogramaciones!S$14-1))),MIN(F268,(Reprogramaciones!$T$15+7*(Reprogramaciones!S$14-1))+6),11))))))))</f>
        <v/>
      </c>
      <c r="CC268" s="1" t="str">
        <f aca="false">IF(OR(NOT(AND(ISNUMBER(E268),ISNUMBER(F268))),$J$2=""),"",IF(Reprogramaciones!T$13&lt;Reprogramaciones!$T$15,0,IF(Reprogramaciones!T$14&gt;10,MIN(100,SUM($G268:$P268)),MIN(100,SUMPRODUCT((COLUMN($G268:$P268)-COLUMN($G268)+1&lt;Reprogramaciones!T$14)*$G268:$P268)+N(INDEX($G268:$P268,1,Reprogramaciones!T$14))*IF(Reprogramaciones!T$13&gt;=(Reprogramaciones!$T$15+7*(Reprogramaciones!T$14-1))+6,1,IF(MAX(0,NETWORKDAYS.INTL(MAX(E268,(Reprogramaciones!$T$15+7*(Reprogramaciones!T$14-1))),MIN(F268,(Reprogramaciones!$T$15+7*(Reprogramaciones!T$14-1))+6),11))=0,0,MAX(0,NETWORKDAYS.INTL(MAX(E268,(Reprogramaciones!$T$15+7*(Reprogramaciones!T$14-1))),MIN(F268,Reprogramaciones!T$13),11))/MAX(0,NETWORKDAYS.INTL(MAX(E268,(Reprogramaciones!$T$15+7*(Reprogramaciones!T$14-1))),MIN(F268,(Reprogramaciones!$T$15+7*(Reprogramaciones!T$14-1))+6),11))))))))</f>
        <v/>
      </c>
      <c r="CD268" s="1" t="str">
        <f aca="false">IF(OR(NOT(AND(ISNUMBER(E268),ISNUMBER(F268))),$J$2=""),"",IF(Reprogramaciones!U$13&lt;Reprogramaciones!$T$15,0,IF(Reprogramaciones!U$14&gt;10,MIN(100,SUM($G268:$P268)),MIN(100,SUMPRODUCT((COLUMN($G268:$P268)-COLUMN($G268)+1&lt;Reprogramaciones!U$14)*$G268:$P268)+N(INDEX($G268:$P268,1,Reprogramaciones!U$14))*IF(Reprogramaciones!U$13&gt;=(Reprogramaciones!$T$15+7*(Reprogramaciones!U$14-1))+6,1,IF(MAX(0,NETWORKDAYS.INTL(MAX(E268,(Reprogramaciones!$T$15+7*(Reprogramaciones!U$14-1))),MIN(F268,(Reprogramaciones!$T$15+7*(Reprogramaciones!U$14-1))+6),11))=0,0,MAX(0,NETWORKDAYS.INTL(MAX(E268,(Reprogramaciones!$T$15+7*(Reprogramaciones!U$14-1))),MIN(F268,Reprogramaciones!U$13),11))/MAX(0,NETWORKDAYS.INTL(MAX(E268,(Reprogramaciones!$T$15+7*(Reprogramaciones!U$14-1))),MIN(F268,(Reprogramaciones!$T$15+7*(Reprogramaciones!U$14-1))+6),11))))))))</f>
        <v/>
      </c>
      <c r="CE268" s="1" t="str">
        <f aca="false">IF(OR(NOT(AND(ISNUMBER(E268),ISNUMBER(F268))),$J$2=""),"",IF(Reprogramaciones!V$13&lt;Reprogramaciones!$T$15,0,IF(Reprogramaciones!V$14&gt;10,MIN(100,SUM($G268:$P268)),MIN(100,SUMPRODUCT((COLUMN($G268:$P268)-COLUMN($G268)+1&lt;Reprogramaciones!V$14)*$G268:$P268)+N(INDEX($G268:$P268,1,Reprogramaciones!V$14))*IF(Reprogramaciones!V$13&gt;=(Reprogramaciones!$T$15+7*(Reprogramaciones!V$14-1))+6,1,IF(MAX(0,NETWORKDAYS.INTL(MAX(E268,(Reprogramaciones!$T$15+7*(Reprogramaciones!V$14-1))),MIN(F268,(Reprogramaciones!$T$15+7*(Reprogramaciones!V$14-1))+6),11))=0,0,MAX(0,NETWORKDAYS.INTL(MAX(E268,(Reprogramaciones!$T$15+7*(Reprogramaciones!V$14-1))),MIN(F268,Reprogramaciones!V$13),11))/MAX(0,NETWORKDAYS.INTL(MAX(E268,(Reprogramaciones!$T$15+7*(Reprogramaciones!V$14-1))),MIN(F268,(Reprogramaciones!$T$15+7*(Reprogramaciones!V$14-1))+6),11))))))))</f>
        <v/>
      </c>
      <c r="CF268" s="1" t="str">
        <f aca="false">IF(OR(NOT(AND(ISNUMBER(E268),ISNUMBER(F268))),$J$2=""),"",IF(Reprogramaciones!W$13&lt;Reprogramaciones!$T$15,0,IF(Reprogramaciones!W$14&gt;10,MIN(100,SUM($G268:$P268)),MIN(100,SUMPRODUCT((COLUMN($G268:$P268)-COLUMN($G268)+1&lt;Reprogramaciones!W$14)*$G268:$P268)+N(INDEX($G268:$P268,1,Reprogramaciones!W$14))*IF(Reprogramaciones!W$13&gt;=(Reprogramaciones!$T$15+7*(Reprogramaciones!W$14-1))+6,1,IF(MAX(0,NETWORKDAYS.INTL(MAX(E268,(Reprogramaciones!$T$15+7*(Reprogramaciones!W$14-1))),MIN(F268,(Reprogramaciones!$T$15+7*(Reprogramaciones!W$14-1))+6),11))=0,0,MAX(0,NETWORKDAYS.INTL(MAX(E268,(Reprogramaciones!$T$15+7*(Reprogramaciones!W$14-1))),MIN(F268,Reprogramaciones!W$13),11))/MAX(0,NETWORKDAYS.INTL(MAX(E268,(Reprogramaciones!$T$15+7*(Reprogramaciones!W$14-1))),MIN(F268,(Reprogramaciones!$T$15+7*(Reprogramaciones!W$14-1))+6),11))))))))</f>
        <v/>
      </c>
      <c r="CG268" s="1" t="str">
        <f aca="false">IF(OR(NOT(AND(ISNUMBER(E268),ISNUMBER(F268))),$J$2=""),"",IF(Reprogramaciones!X$13&lt;Reprogramaciones!$T$15,0,IF(Reprogramaciones!X$14&gt;10,MIN(100,SUM($G268:$P268)),MIN(100,SUMPRODUCT((COLUMN($G268:$P268)-COLUMN($G268)+1&lt;Reprogramaciones!X$14)*$G268:$P268)+N(INDEX($G268:$P268,1,Reprogramaciones!X$14))*IF(Reprogramaciones!X$13&gt;=(Reprogramaciones!$T$15+7*(Reprogramaciones!X$14-1))+6,1,IF(MAX(0,NETWORKDAYS.INTL(MAX(E268,(Reprogramaciones!$T$15+7*(Reprogramaciones!X$14-1))),MIN(F268,(Reprogramaciones!$T$15+7*(Reprogramaciones!X$14-1))+6),11))=0,0,MAX(0,NETWORKDAYS.INTL(MAX(E268,(Reprogramaciones!$T$15+7*(Reprogramaciones!X$14-1))),MIN(F268,Reprogramaciones!X$13),11))/MAX(0,NETWORKDAYS.INTL(MAX(E268,(Reprogramaciones!$T$15+7*(Reprogramaciones!X$14-1))),MIN(F268,(Reprogramaciones!$T$15+7*(Reprogramaciones!X$14-1))+6),11))))))))</f>
        <v/>
      </c>
      <c r="CH268" s="1" t="str">
        <f aca="false">IF(OR(NOT(AND(ISNUMBER(E268),ISNUMBER(F268))),$J$2=""),"",IF(Reprogramaciones!Y$13&lt;Reprogramaciones!$T$15,0,IF(Reprogramaciones!Y$14&gt;10,MIN(100,SUM($G268:$P268)),MIN(100,SUMPRODUCT((COLUMN($G268:$P268)-COLUMN($G268)+1&lt;Reprogramaciones!Y$14)*$G268:$P268)+N(INDEX($G268:$P268,1,Reprogramaciones!Y$14))*IF(Reprogramaciones!Y$13&gt;=(Reprogramaciones!$T$15+7*(Reprogramaciones!Y$14-1))+6,1,IF(MAX(0,NETWORKDAYS.INTL(MAX(E268,(Reprogramaciones!$T$15+7*(Reprogramaciones!Y$14-1))),MIN(F268,(Reprogramaciones!$T$15+7*(Reprogramaciones!Y$14-1))+6),11))=0,0,MAX(0,NETWORKDAYS.INTL(MAX(E268,(Reprogramaciones!$T$15+7*(Reprogramaciones!Y$14-1))),MIN(F268,Reprogramaciones!Y$13),11))/MAX(0,NETWORKDAYS.INTL(MAX(E268,(Reprogramaciones!$T$15+7*(Reprogramaciones!Y$14-1))),MIN(F268,(Reprogramaciones!$T$15+7*(Reprogramaciones!Y$14-1))+6),11))))))))</f>
        <v/>
      </c>
      <c r="CI268" s="1" t="str">
        <f aca="false">IF(OR(NOT(AND(ISNUMBER(E268),ISNUMBER(F268))),$J$2=""),"",IF(Reprogramaciones!Z$13&lt;Reprogramaciones!$T$15,0,IF(Reprogramaciones!Z$14&gt;10,MIN(100,SUM($G268:$P268)),MIN(100,SUMPRODUCT((COLUMN($G268:$P268)-COLUMN($G268)+1&lt;Reprogramaciones!Z$14)*$G268:$P268)+N(INDEX($G268:$P268,1,Reprogramaciones!Z$14))*IF(Reprogramaciones!Z$13&gt;=(Reprogramaciones!$T$15+7*(Reprogramaciones!Z$14-1))+6,1,IF(MAX(0,NETWORKDAYS.INTL(MAX(E268,(Reprogramaciones!$T$15+7*(Reprogramaciones!Z$14-1))),MIN(F268,(Reprogramaciones!$T$15+7*(Reprogramaciones!Z$14-1))+6),11))=0,0,MAX(0,NETWORKDAYS.INTL(MAX(E268,(Reprogramaciones!$T$15+7*(Reprogramaciones!Z$14-1))),MIN(F268,Reprogramaciones!Z$13),11))/MAX(0,NETWORKDAYS.INTL(MAX(E268,(Reprogramaciones!$T$15+7*(Reprogramaciones!Z$14-1))),MIN(F268,(Reprogramaciones!$T$15+7*(Reprogramaciones!Z$14-1))+6),11))))))))</f>
        <v/>
      </c>
      <c r="CJ268" s="1" t="str">
        <f aca="false">IF(OR(OR(NOT(AND(ISNUMBER(E268),ISNUMBER(F268))),$J$2=""),1&gt;Reprogramaciones!$K$16),"",IF(ROUND(SUM($Q268:Q268),1)&gt;=99.5,100,MIN(100,ROUND(SUM($Q268:Q268),1))))</f>
        <v/>
      </c>
      <c r="CK268" s="1" t="str">
        <f aca="false">IF(OR(OR(NOT(AND(ISNUMBER(E268),ISNUMBER(F268))),$J$2=""),2&gt;Reprogramaciones!$K$16),"",IF(ROUND(SUM($Q268:R268),1)&gt;=99.5,100,MIN(100,ROUND(SUM($Q268:R268),1))))</f>
        <v/>
      </c>
      <c r="CL268" s="1" t="str">
        <f aca="false">IF(OR(OR(NOT(AND(ISNUMBER(E268),ISNUMBER(F268))),$J$2=""),3&gt;Reprogramaciones!$K$16),"",IF(ROUND(SUM($Q268:S268),1)&gt;=99.5,100,MIN(100,ROUND(SUM($Q268:S268),1))))</f>
        <v/>
      </c>
      <c r="CM268" s="1" t="str">
        <f aca="false">IF(OR(OR(NOT(AND(ISNUMBER(E268),ISNUMBER(F268))),$J$2=""),4&gt;Reprogramaciones!$K$16),"",IF(ROUND(SUM($Q268:T268),1)&gt;=99.5,100,MIN(100,ROUND(SUM($Q268:T268),1))))</f>
        <v/>
      </c>
      <c r="CN268" s="1" t="str">
        <f aca="false">IF(OR(OR(NOT(AND(ISNUMBER(E268),ISNUMBER(F268))),$J$2=""),5&gt;Reprogramaciones!$K$16),"",IF(ROUND(SUM($Q268:U268),1)&gt;=99.5,100,MIN(100,ROUND(SUM($Q268:U268),1))))</f>
        <v/>
      </c>
      <c r="CO268" s="1" t="str">
        <f aca="false">IF(OR(OR(NOT(AND(ISNUMBER(E268),ISNUMBER(F268))),$J$2=""),6&gt;Reprogramaciones!$K$16),"",IF(ROUND(SUM($Q268:V268),1)&gt;=99.5,100,MIN(100,ROUND(SUM($Q268:V268),1))))</f>
        <v/>
      </c>
      <c r="CP268" s="1" t="str">
        <f aca="false">IF(OR(OR(NOT(AND(ISNUMBER(E268),ISNUMBER(F268))),$J$2=""),7&gt;Reprogramaciones!$K$16),"",IF(ROUND(SUM($Q268:W268),1)&gt;=99.5,100,MIN(100,ROUND(SUM($Q268:W268),1))))</f>
        <v/>
      </c>
      <c r="CQ268" s="1" t="str">
        <f aca="false">IF(OR(OR(NOT(AND(ISNUMBER(E268),ISNUMBER(F268))),$J$2=""),8&gt;Reprogramaciones!$K$16),"",IF(ROUND(SUM($Q268:X268),1)&gt;=99.5,100,MIN(100,ROUND(SUM($Q268:X268),1))))</f>
        <v/>
      </c>
      <c r="CR268" s="1" t="str">
        <f aca="false">IF(OR(OR(NOT(AND(ISNUMBER(E268),ISNUMBER(F268))),$J$2=""),9&gt;Reprogramaciones!$K$16),"",IF(ROUND(SUM($Q268:Y268),1)&gt;=99.5,100,MIN(100,ROUND(SUM($Q268:Y268),1))))</f>
        <v/>
      </c>
      <c r="CS268" s="1" t="str">
        <f aca="false">IF(OR(OR(NOT(AND(ISNUMBER(E268),ISNUMBER(F268))),$J$2=""),10&gt;Reprogramaciones!$K$16),"",IF(ROUND(SUM($Q268:Z268),1)&gt;=99.5,100,MIN(100,ROUND(SUM($Q268:Z268),1))))</f>
        <v/>
      </c>
      <c r="CT268" s="1" t="str">
        <f aca="false">IF(OR(OR(NOT(AND(ISNUMBER(E268),ISNUMBER(F268))),$J$2=""),11&gt;Reprogramaciones!$K$16),"",IF(ROUND(SUM($Q268:AA268),1)&gt;=99.5,100,MIN(100,ROUND(SUM($Q268:AA268),1))))</f>
        <v/>
      </c>
      <c r="CU268" s="1" t="str">
        <f aca="false">IF(OR(OR(NOT(AND(ISNUMBER(E268),ISNUMBER(F268))),$J$2=""),12&gt;Reprogramaciones!$K$16),"",IF(ROUND(SUM($Q268:AB268),1)&gt;=99.5,100,MIN(100,ROUND(SUM($Q268:AB268),1))))</f>
        <v/>
      </c>
      <c r="CV268" s="1" t="str">
        <f aca="false">IF(OR(OR(NOT(AND(ISNUMBER(E268),ISNUMBER(F268))),$J$2=""),13&gt;Reprogramaciones!$K$16),"",IF(ROUND(SUM($Q268:AC268),1)&gt;=99.5,100,MIN(100,ROUND(SUM($Q268:AC268),1))))</f>
        <v/>
      </c>
      <c r="CW268" s="1" t="str">
        <f aca="false">IF(OR(OR(NOT(AND(ISNUMBER(E268),ISNUMBER(F268))),$J$2=""),14&gt;Reprogramaciones!$K$16),"",IF(ROUND(SUM($Q268:AD268),1)&gt;=99.5,100,MIN(100,ROUND(SUM($Q268:AD268),1))))</f>
        <v/>
      </c>
      <c r="CX268" s="1" t="str">
        <f aca="false">IF(OR(OR(NOT(AND(ISNUMBER(E268),ISNUMBER(F268))),$J$2=""),15&gt;Reprogramaciones!$K$16),"",IF(ROUND(SUM($Q268:AE268),1)&gt;=99.5,100,MIN(100,ROUND(SUM($Q268:AE268),1))))</f>
        <v/>
      </c>
      <c r="CY268" s="1" t="str">
        <f aca="false">IF(OR(OR(NOT(AND(ISNUMBER(E268),ISNUMBER(F268))),$J$2=""),16&gt;Reprogramaciones!$K$16),"",IF(ROUND(SUM($Q268:AF268),1)&gt;=99.5,100,MIN(100,ROUND(SUM($Q268:AF268),1))))</f>
        <v/>
      </c>
      <c r="CZ268" s="1" t="str">
        <f aca="false">IF(D268&lt;&gt;"",D268,IF(B268&lt;&gt;"","Contractual",CZ267))</f>
        <v>Contractual</v>
      </c>
      <c r="DA268" s="1" t="str">
        <f aca="false">IF(OR(NOT(AND(ISNUMBER(E268),ISNUMBER(F268))),$J$2=""),"",IF(Reprogramaciones!$Q$15&lt;Reprogramaciones!$T$15,0,IF(Reprogramaciones!$S$15&gt;10,MIN(100,SUM($G268:$P268)),MIN(100,SUMPRODUCT((COLUMN($G268:$P268)-COLUMN($G268)+1&lt;Reprogramaciones!$S$15)*$G268:$P268)+N(INDEX($G268:$P268,1,Reprogramaciones!$S$15))*IF(Reprogramaciones!$Q$15&gt;=(Reprogramaciones!$T$15+7*(Reprogramaciones!$S$15-1))+6,1,IF(MAX(0,NETWORKDAYS.INTL(MAX(E268,(Reprogramaciones!$T$15+7*(Reprogramaciones!$S$15-1))),MIN(F268,(Reprogramaciones!$T$15+7*(Reprogramaciones!$S$15-1))+6),11))=0,0,MAX(0,NETWORKDAYS.INTL(MAX(E268,(Reprogramaciones!$T$15+7*(Reprogramaciones!$S$15-1))),MIN(F268,Reprogramaciones!$Q$15),11))/MAX(0,NETWORKDAYS.INTL(MAX(E268,(Reprogramaciones!$T$15+7*(Reprogramaciones!$S$15-1))),MIN(F268,(Reprogramaciones!$T$15+7*(Reprogramaciones!$S$15-1))+6),11))))))))</f>
        <v/>
      </c>
    </row>
    <row r="269" customFormat="false" ht="15" hidden="false" customHeight="false" outlineLevel="0" collapsed="false">
      <c r="A269" s="32"/>
      <c r="B269" s="33"/>
      <c r="C269" s="33"/>
      <c r="D269" s="34"/>
      <c r="E269" s="35"/>
      <c r="F269" s="35"/>
      <c r="G269" s="36" t="str">
        <f aca="false">IF(OR(NOT(AND(ISNUMBER(E269),ISNUMBER(F269))),$J$2=""),"",IF(Reprogramaciones!K$9&lt;E269,0,IF(NETWORKDAYS.INTL(E269,F269,11)=0,IF(Reprogramaciones!K$9&gt;=F269,100,0),ROUND(NETWORKDAYS.INTL(E269,MIN(F269,Reprogramaciones!K$9),11)/NETWORKDAYS.INTL(E269,F269,11)*100,1)))-0)</f>
        <v/>
      </c>
      <c r="H269" s="36" t="str">
        <f aca="false">IF(OR(NOT(AND(ISNUMBER(E269),ISNUMBER(F269))),$J$2=""),"",IF(Reprogramaciones!L$9&lt;E269,0,IF(NETWORKDAYS.INTL(E269,F269,11)=0,IF(Reprogramaciones!L$9&gt;=F269,100,0),ROUND(NETWORKDAYS.INTL(E269,MIN(F269,Reprogramaciones!L$9),11)/NETWORKDAYS.INTL(E269,F269,11)*100,1)))-IF(Reprogramaciones!K$9&lt;E269,0,IF(NETWORKDAYS.INTL(E269,F269,11)=0,IF(Reprogramaciones!K$9&gt;=F269,100,0),ROUND(NETWORKDAYS.INTL(E269,MIN(F269,Reprogramaciones!K$9),11)/NETWORKDAYS.INTL(E269,F269,11)*100,1))))</f>
        <v/>
      </c>
      <c r="I269" s="36" t="str">
        <f aca="false">IF(OR(NOT(AND(ISNUMBER(E269),ISNUMBER(F269))),$J$2=""),"",IF(Reprogramaciones!M$9&lt;E269,0,IF(NETWORKDAYS.INTL(E269,F269,11)=0,IF(Reprogramaciones!M$9&gt;=F269,100,0),ROUND(NETWORKDAYS.INTL(E269,MIN(F269,Reprogramaciones!M$9),11)/NETWORKDAYS.INTL(E269,F269,11)*100,1)))-IF(Reprogramaciones!L$9&lt;E269,0,IF(NETWORKDAYS.INTL(E269,F269,11)=0,IF(Reprogramaciones!L$9&gt;=F269,100,0),ROUND(NETWORKDAYS.INTL(E269,MIN(F269,Reprogramaciones!L$9),11)/NETWORKDAYS.INTL(E269,F269,11)*100,1))))</f>
        <v/>
      </c>
      <c r="J269" s="36" t="str">
        <f aca="false">IF(OR(NOT(AND(ISNUMBER(E269),ISNUMBER(F269))),$J$2=""),"",IF(Reprogramaciones!N$9&lt;E269,0,IF(NETWORKDAYS.INTL(E269,F269,11)=0,IF(Reprogramaciones!N$9&gt;=F269,100,0),ROUND(NETWORKDAYS.INTL(E269,MIN(F269,Reprogramaciones!N$9),11)/NETWORKDAYS.INTL(E269,F269,11)*100,1)))-IF(Reprogramaciones!M$9&lt;E269,0,IF(NETWORKDAYS.INTL(E269,F269,11)=0,IF(Reprogramaciones!M$9&gt;=F269,100,0),ROUND(NETWORKDAYS.INTL(E269,MIN(F269,Reprogramaciones!M$9),11)/NETWORKDAYS.INTL(E269,F269,11)*100,1))))</f>
        <v/>
      </c>
      <c r="K269" s="36" t="str">
        <f aca="false">IF(OR(NOT(AND(ISNUMBER(E269),ISNUMBER(F269))),$J$2=""),"",IF(Reprogramaciones!O$9&lt;E269,0,IF(NETWORKDAYS.INTL(E269,F269,11)=0,IF(Reprogramaciones!O$9&gt;=F269,100,0),ROUND(NETWORKDAYS.INTL(E269,MIN(F269,Reprogramaciones!O$9),11)/NETWORKDAYS.INTL(E269,F269,11)*100,1)))-IF(Reprogramaciones!N$9&lt;E269,0,IF(NETWORKDAYS.INTL(E269,F269,11)=0,IF(Reprogramaciones!N$9&gt;=F269,100,0),ROUND(NETWORKDAYS.INTL(E269,MIN(F269,Reprogramaciones!N$9),11)/NETWORKDAYS.INTL(E269,F269,11)*100,1))))</f>
        <v/>
      </c>
      <c r="L269" s="36" t="str">
        <f aca="false">IF(OR(NOT(AND(ISNUMBER(E269),ISNUMBER(F269))),$J$2=""),"",IF(Reprogramaciones!P$9&lt;E269,0,IF(NETWORKDAYS.INTL(E269,F269,11)=0,IF(Reprogramaciones!P$9&gt;=F269,100,0),ROUND(NETWORKDAYS.INTL(E269,MIN(F269,Reprogramaciones!P$9),11)/NETWORKDAYS.INTL(E269,F269,11)*100,1)))-IF(Reprogramaciones!O$9&lt;E269,0,IF(NETWORKDAYS.INTL(E269,F269,11)=0,IF(Reprogramaciones!O$9&gt;=F269,100,0),ROUND(NETWORKDAYS.INTL(E269,MIN(F269,Reprogramaciones!O$9),11)/NETWORKDAYS.INTL(E269,F269,11)*100,1))))</f>
        <v/>
      </c>
      <c r="M269" s="36" t="str">
        <f aca="false">IF(OR(NOT(AND(ISNUMBER(E269),ISNUMBER(F269))),$J$2=""),"",IF(Reprogramaciones!Q$9&lt;E269,0,IF(NETWORKDAYS.INTL(E269,F269,11)=0,IF(Reprogramaciones!Q$9&gt;=F269,100,0),ROUND(NETWORKDAYS.INTL(E269,MIN(F269,Reprogramaciones!Q$9),11)/NETWORKDAYS.INTL(E269,F269,11)*100,1)))-IF(Reprogramaciones!P$9&lt;E269,0,IF(NETWORKDAYS.INTL(E269,F269,11)=0,IF(Reprogramaciones!P$9&gt;=F269,100,0),ROUND(NETWORKDAYS.INTL(E269,MIN(F269,Reprogramaciones!P$9),11)/NETWORKDAYS.INTL(E269,F269,11)*100,1))))</f>
        <v/>
      </c>
      <c r="N269" s="36" t="str">
        <f aca="false">IF(OR(NOT(AND(ISNUMBER(E269),ISNUMBER(F269))),$J$2=""),"",IF(Reprogramaciones!R$9&lt;E269,0,IF(NETWORKDAYS.INTL(E269,F269,11)=0,IF(Reprogramaciones!R$9&gt;=F269,100,0),ROUND(NETWORKDAYS.INTL(E269,MIN(F269,Reprogramaciones!R$9),11)/NETWORKDAYS.INTL(E269,F269,11)*100,1)))-IF(Reprogramaciones!Q$9&lt;E269,0,IF(NETWORKDAYS.INTL(E269,F269,11)=0,IF(Reprogramaciones!Q$9&gt;=F269,100,0),ROUND(NETWORKDAYS.INTL(E269,MIN(F269,Reprogramaciones!Q$9),11)/NETWORKDAYS.INTL(E269,F269,11)*100,1))))</f>
        <v/>
      </c>
      <c r="O269" s="36" t="str">
        <f aca="false">IF(OR(NOT(AND(ISNUMBER(E269),ISNUMBER(F269))),$J$2=""),"",IF(Reprogramaciones!S$9&lt;E269,0,IF(NETWORKDAYS.INTL(E269,F269,11)=0,IF(Reprogramaciones!S$9&gt;=F269,100,0),ROUND(NETWORKDAYS.INTL(E269,MIN(F269,Reprogramaciones!S$9),11)/NETWORKDAYS.INTL(E269,F269,11)*100,1)))-IF(Reprogramaciones!R$9&lt;E269,0,IF(NETWORKDAYS.INTL(E269,F269,11)=0,IF(Reprogramaciones!R$9&gt;=F269,100,0),ROUND(NETWORKDAYS.INTL(E269,MIN(F269,Reprogramaciones!R$9),11)/NETWORKDAYS.INTL(E269,F269,11)*100,1))))</f>
        <v/>
      </c>
      <c r="P269" s="36" t="str">
        <f aca="false">IF(OR(NOT(AND(ISNUMBER(E269),ISNUMBER(F269))),$J$2=""),"",IF(Reprogramaciones!T$9&lt;E269,0,IF(NETWORKDAYS.INTL(E269,F269,11)=0,IF(Reprogramaciones!T$9&gt;=F269,100,0),ROUND(NETWORKDAYS.INTL(E269,MIN(F269,Reprogramaciones!T$9),11)/NETWORKDAYS.INTL(E269,F269,11)*100,1)))-IF(Reprogramaciones!S$9&lt;E269,0,IF(NETWORKDAYS.INTL(E269,F269,11)=0,IF(Reprogramaciones!S$9&gt;=F269,100,0),ROUND(NETWORKDAYS.INTL(E269,MIN(F269,Reprogramaciones!S$9),11)/NETWORKDAYS.INTL(E269,F269,11)*100,1))))</f>
        <v/>
      </c>
      <c r="Q269" s="37"/>
      <c r="R269" s="37"/>
      <c r="S269" s="37"/>
      <c r="T269" s="37"/>
      <c r="U269" s="37"/>
      <c r="V269" s="37"/>
      <c r="W269" s="37"/>
      <c r="X269" s="37"/>
      <c r="Y269" s="37"/>
      <c r="Z269" s="37"/>
      <c r="AA269" s="37"/>
      <c r="AB269" s="37"/>
      <c r="AC269" s="37"/>
      <c r="AD269" s="37"/>
      <c r="AE269" s="37"/>
      <c r="AF269" s="37"/>
      <c r="AG269" s="38" t="str">
        <f aca="false">IF(AND(ISNUMBER(E269),ISNUMBER(F269)),NETWORKDAYS.INTL(E269,F269,11),"")</f>
        <v/>
      </c>
      <c r="AH269" s="38" t="str">
        <f aca="false">IF(OR(NOT(AND(ISNUMBER(E269),ISNUMBER(F269))),$J$2=""),"",IF(Reprogramaciones!$P$15&lt;Reprogramaciones!$T$15,0,IF(Reprogramaciones!$R$15&gt;10,MIN(100,SUM($G269:$P269)),MIN(100,SUMPRODUCT((COLUMN($G269:$P269)-COLUMN($G269)+1&lt;Reprogramaciones!$R$15)*$G269:$P269)+N(INDEX($G269:$P269,1,Reprogramaciones!$R$15))*IF(Reprogramaciones!$P$15&gt;=(Reprogramaciones!$T$15+7*(Reprogramaciones!$R$15-1))+6,1,IF(MAX(0,NETWORKDAYS.INTL(MAX(E269,(Reprogramaciones!$T$15+7*(Reprogramaciones!$R$15-1))),MIN(F269,(Reprogramaciones!$T$15+7*(Reprogramaciones!$R$15-1))+6),11))=0,0,MAX(0,NETWORKDAYS.INTL(MAX(E269,(Reprogramaciones!$T$15+7*(Reprogramaciones!$R$15-1))),MIN(F269,Reprogramaciones!$P$15),11))/MAX(0,NETWORKDAYS.INTL(MAX(E269,(Reprogramaciones!$T$15+7*(Reprogramaciones!$R$15-1))),MIN(F269,(Reprogramaciones!$T$15+7*(Reprogramaciones!$R$15-1))+6),11))))))))</f>
        <v/>
      </c>
      <c r="AI269" s="38" t="str">
        <f aca="false">IF(COUNT($Q269:$AF269)=0,"",IF(ROUND(SUM($Q269:$AF269),1)&gt;=99.5,100,MIN(100,ROUND(SUM($Q269:$AF269),1))))</f>
        <v/>
      </c>
      <c r="AJ269" s="38" t="str">
        <f aca="false">IF(OR(AH269="",AI269=""),"",AI269-AH269)</f>
        <v/>
      </c>
      <c r="AK269" s="39" t="str">
        <f aca="true">IF(AH269="","",IF(OR(Ficha!$C$10="Suspendida",Ficha!$C$10="Cancelada"),Ficha!$C$10,IF(AND(AI269&lt;&gt;"",N(AI269)&gt;=100),"Completada",IF(AND(E269&gt;TODAY(),N(AI269)=0),"Por iniciar",IF(N(AI269)+0.5&lt;AH269,"Retrasada",IF(N(AI269)+0.5&lt;DA269,IF(Reprogramaciones!$K$15&gt;0,"Al día · Sem "&amp;Reprogramaciones!$K$15&amp;" en curso","Al día · en curso"),"A tiempo"))))))</f>
        <v/>
      </c>
      <c r="AL269" s="39" t="str">
        <f aca="true">IF(AND(A269="",AND(B269="",C269="",E269="",F269="",COUNT(Q269:AF269)=0)),"",IF(AND(B269="",C269="",E269="",F269="",COUNT(Q269:AF269)=0),"Falta la partida o subpartida",IF(AND(A269&lt;&gt;"",COUNTIF($A$6:$A$305,A269)&gt;1),"Ítem repetido",IF(AND(C269="",E269="",F269="",COUNT(Q269:AF269)=0),"Título de partida",IF(OR(E269="",F269=""),"Faltan fechas",IF(OR(ISTEXT(E269),ISTEXT(F269)),"Fecha escrita como texto: usa dd/mm/aaaa",IF(F269&lt;E269,"Fin antes del inicio",IF(IF($J$2="",FALSE(),OR(E269&lt;$J$2,F269&gt;Reprogramaciones!$T$15+69)),"Fuera de las 10 semanas",IF(ABS(SUM(G269:P269)-100)&gt;0.5,"La meta no suma 100%",IF(ROUND(SUM(Q269:AF269),1)&gt;100.5,"El avance pasa de 100%",IF(MIN(Q269:AF269)&lt;0,"Avance negativo",IF(COUNTA(Q269:AF269)&gt;COUNT(Q269:AF269),"Avance escrito como texto",IF(SUMPRODUCT((Q269:AF269&gt;0)*(Q269:AF269&lt;1))&gt;0,"Avance menor a 1: escribe 50, no 50%",IF(SUMPRODUCT(ISNUMBER(Q269:AF269)*(Reprogramaciones!$K$8:$Z$8&gt;TODAY()))&gt;0,"Avance en semana que aún no llega",IF(AND(N(Reprogramaciones!$E$21)&gt;0,F269&gt;Reprogramaciones!$E$21),"Pasa el fin de la obra: registra una reprogramación",IF(AND(N(Reprogramaciones!$E$21)&gt;0,SUMPRODUCT(ISNUMBER(Q269:AF269)*(Reprogramaciones!$K$8:$Z$8&gt;Reprogramaciones!$E$21))&gt;0),"Avance después del fin de la obra: registra una reprogramación por atraso","OK"))))))))))))))))</f>
        <v/>
      </c>
      <c r="AM269" s="40" t="str">
        <f aca="false">IF(OR(OR(NOT(AND(ISNUMBER(E269),ISNUMBER(F269))),$J$2=""),1&gt;MAX(1,Reprogramaciones!$U$15)),"",IF(Reprogramaciones!K$12&gt;=7,"",IF(OR(BT269-N(0)&gt;0.05,N(Q269)&gt;0),ROUNDDOWN(ROUND(BT269,6),0)&amp;"%"&amp;IF(CJ269="",""," / "&amp;CJ269&amp;"%"),IF(AND(N(0)&gt;=99.95,CJ269&lt;&gt;"",N(CJ269)&lt;100),"Pend. "&amp;CJ269&amp;"%",""))))</f>
        <v/>
      </c>
      <c r="AN269" s="40" t="str">
        <f aca="false">IF(OR(OR(NOT(AND(ISNUMBER(E269),ISNUMBER(F269))),$J$2=""),2&gt;MAX(1,Reprogramaciones!$U$15)),"",IF(Reprogramaciones!L$12&gt;=7,"",IF(OR(BU269-N(BT269)&gt;0.05,N(R269)&gt;0),ROUNDDOWN(ROUND(BU269,6),0)&amp;"%"&amp;IF(CK269="",""," / "&amp;CK269&amp;"%"),IF(AND(N(BT269)&gt;=99.95,CK269&lt;&gt;"",N(CK269)&lt;100),"Pend. "&amp;CK269&amp;"%",""))))</f>
        <v/>
      </c>
      <c r="AO269" s="40" t="str">
        <f aca="false">IF(OR(OR(NOT(AND(ISNUMBER(E269),ISNUMBER(F269))),$J$2=""),3&gt;MAX(1,Reprogramaciones!$U$15)),"",IF(Reprogramaciones!M$12&gt;=7,"",IF(OR(BV269-N(BU269)&gt;0.05,N(S269)&gt;0),ROUNDDOWN(ROUND(BV269,6),0)&amp;"%"&amp;IF(CL269="",""," / "&amp;CL269&amp;"%"),IF(AND(N(BU269)&gt;=99.95,CL269&lt;&gt;"",N(CL269)&lt;100),"Pend. "&amp;CL269&amp;"%",""))))</f>
        <v/>
      </c>
      <c r="AP269" s="40" t="str">
        <f aca="false">IF(OR(OR(NOT(AND(ISNUMBER(E269),ISNUMBER(F269))),$J$2=""),4&gt;MAX(1,Reprogramaciones!$U$15)),"",IF(Reprogramaciones!N$12&gt;=7,"",IF(OR(BW269-N(BV269)&gt;0.05,N(T269)&gt;0),ROUNDDOWN(ROUND(BW269,6),0)&amp;"%"&amp;IF(CM269="",""," / "&amp;CM269&amp;"%"),IF(AND(N(BV269)&gt;=99.95,CM269&lt;&gt;"",N(CM269)&lt;100),"Pend. "&amp;CM269&amp;"%",""))))</f>
        <v/>
      </c>
      <c r="AQ269" s="40" t="str">
        <f aca="false">IF(OR(OR(NOT(AND(ISNUMBER(E269),ISNUMBER(F269))),$J$2=""),5&gt;MAX(1,Reprogramaciones!$U$15)),"",IF(Reprogramaciones!O$12&gt;=7,"",IF(OR(BX269-N(BW269)&gt;0.05,N(U269)&gt;0),ROUNDDOWN(ROUND(BX269,6),0)&amp;"%"&amp;IF(CN269="",""," / "&amp;CN269&amp;"%"),IF(AND(N(BW269)&gt;=99.95,CN269&lt;&gt;"",N(CN269)&lt;100),"Pend. "&amp;CN269&amp;"%",""))))</f>
        <v/>
      </c>
      <c r="AR269" s="40" t="str">
        <f aca="false">IF(OR(OR(NOT(AND(ISNUMBER(E269),ISNUMBER(F269))),$J$2=""),6&gt;MAX(1,Reprogramaciones!$U$15)),"",IF(Reprogramaciones!P$12&gt;=7,"",IF(OR(BY269-N(BX269)&gt;0.05,N(V269)&gt;0),ROUNDDOWN(ROUND(BY269,6),0)&amp;"%"&amp;IF(CO269="",""," / "&amp;CO269&amp;"%"),IF(AND(N(BX269)&gt;=99.95,CO269&lt;&gt;"",N(CO269)&lt;100),"Pend. "&amp;CO269&amp;"%",""))))</f>
        <v/>
      </c>
      <c r="AS269" s="40" t="str">
        <f aca="false">IF(OR(OR(NOT(AND(ISNUMBER(E269),ISNUMBER(F269))),$J$2=""),7&gt;MAX(1,Reprogramaciones!$U$15)),"",IF(Reprogramaciones!Q$12&gt;=7,"",IF(OR(BZ269-N(BY269)&gt;0.05,N(W269)&gt;0),ROUNDDOWN(ROUND(BZ269,6),0)&amp;"%"&amp;IF(CP269="",""," / "&amp;CP269&amp;"%"),IF(AND(N(BY269)&gt;=99.95,CP269&lt;&gt;"",N(CP269)&lt;100),"Pend. "&amp;CP269&amp;"%",""))))</f>
        <v/>
      </c>
      <c r="AT269" s="40" t="str">
        <f aca="false">IF(OR(OR(NOT(AND(ISNUMBER(E269),ISNUMBER(F269))),$J$2=""),8&gt;MAX(1,Reprogramaciones!$U$15)),"",IF(Reprogramaciones!R$12&gt;=7,"",IF(OR(CA269-N(BZ269)&gt;0.05,N(X269)&gt;0),ROUNDDOWN(ROUND(CA269,6),0)&amp;"%"&amp;IF(CQ269="",""," / "&amp;CQ269&amp;"%"),IF(AND(N(BZ269)&gt;=99.95,CQ269&lt;&gt;"",N(CQ269)&lt;100),"Pend. "&amp;CQ269&amp;"%",""))))</f>
        <v/>
      </c>
      <c r="AU269" s="40" t="str">
        <f aca="false">IF(OR(OR(NOT(AND(ISNUMBER(E269),ISNUMBER(F269))),$J$2=""),9&gt;MAX(1,Reprogramaciones!$U$15)),"",IF(Reprogramaciones!S$12&gt;=7,"",IF(OR(CB269-N(CA269)&gt;0.05,N(Y269)&gt;0),ROUNDDOWN(ROUND(CB269,6),0)&amp;"%"&amp;IF(CR269="",""," / "&amp;CR269&amp;"%"),IF(AND(N(CA269)&gt;=99.95,CR269&lt;&gt;"",N(CR269)&lt;100),"Pend. "&amp;CR269&amp;"%",""))))</f>
        <v/>
      </c>
      <c r="AV269" s="40" t="str">
        <f aca="false">IF(OR(OR(NOT(AND(ISNUMBER(E269),ISNUMBER(F269))),$J$2=""),10&gt;MAX(1,Reprogramaciones!$U$15)),"",IF(Reprogramaciones!T$12&gt;=7,"",IF(OR(CC269-N(CB269)&gt;0.05,N(Z269)&gt;0),ROUNDDOWN(ROUND(CC269,6),0)&amp;"%"&amp;IF(CS269="",""," / "&amp;CS269&amp;"%"),IF(AND(N(CB269)&gt;=99.95,CS269&lt;&gt;"",N(CS269)&lt;100),"Pend. "&amp;CS269&amp;"%",""))))</f>
        <v/>
      </c>
      <c r="AW269" s="40" t="str">
        <f aca="false">IF(OR(OR(NOT(AND(ISNUMBER(E269),ISNUMBER(F269))),$J$2=""),11&gt;MAX(1,Reprogramaciones!$U$15)),"",IF(Reprogramaciones!U$12&gt;=7,"",IF(OR(CD269-N(CC269)&gt;0.05,N(AA269)&gt;0),ROUNDDOWN(ROUND(CD269,6),0)&amp;"%"&amp;IF(CT269="",""," / "&amp;CT269&amp;"%"),IF(AND(N(CC269)&gt;=99.95,CT269&lt;&gt;"",N(CT269)&lt;100),"Pend. "&amp;CT269&amp;"%",""))))</f>
        <v/>
      </c>
      <c r="AX269" s="40" t="str">
        <f aca="false">IF(OR(OR(NOT(AND(ISNUMBER(E269),ISNUMBER(F269))),$J$2=""),12&gt;MAX(1,Reprogramaciones!$U$15)),"",IF(Reprogramaciones!V$12&gt;=7,"",IF(OR(CE269-N(CD269)&gt;0.05,N(AB269)&gt;0),ROUNDDOWN(ROUND(CE269,6),0)&amp;"%"&amp;IF(CU269="",""," / "&amp;CU269&amp;"%"),IF(AND(N(CD269)&gt;=99.95,CU269&lt;&gt;"",N(CU269)&lt;100),"Pend. "&amp;CU269&amp;"%",""))))</f>
        <v/>
      </c>
      <c r="AY269" s="40" t="str">
        <f aca="false">IF(OR(OR(NOT(AND(ISNUMBER(E269),ISNUMBER(F269))),$J$2=""),13&gt;MAX(1,Reprogramaciones!$U$15)),"",IF(Reprogramaciones!W$12&gt;=7,"",IF(OR(CF269-N(CE269)&gt;0.05,N(AC269)&gt;0),ROUNDDOWN(ROUND(CF269,6),0)&amp;"%"&amp;IF(CV269="",""," / "&amp;CV269&amp;"%"),IF(AND(N(CE269)&gt;=99.95,CV269&lt;&gt;"",N(CV269)&lt;100),"Pend. "&amp;CV269&amp;"%",""))))</f>
        <v/>
      </c>
      <c r="AZ269" s="40" t="str">
        <f aca="false">IF(OR(OR(NOT(AND(ISNUMBER(E269),ISNUMBER(F269))),$J$2=""),14&gt;MAX(1,Reprogramaciones!$U$15)),"",IF(Reprogramaciones!X$12&gt;=7,"",IF(OR(CG269-N(CF269)&gt;0.05,N(AD269)&gt;0),ROUNDDOWN(ROUND(CG269,6),0)&amp;"%"&amp;IF(CW269="",""," / "&amp;CW269&amp;"%"),IF(AND(N(CF269)&gt;=99.95,CW269&lt;&gt;"",N(CW269)&lt;100),"Pend. "&amp;CW269&amp;"%",""))))</f>
        <v/>
      </c>
      <c r="BA269" s="40" t="str">
        <f aca="false">IF(OR(OR(NOT(AND(ISNUMBER(E269),ISNUMBER(F269))),$J$2=""),15&gt;MAX(1,Reprogramaciones!$U$15)),"",IF(Reprogramaciones!Y$12&gt;=7,"",IF(OR(CH269-N(CG269)&gt;0.05,N(AE269)&gt;0),ROUNDDOWN(ROUND(CH269,6),0)&amp;"%"&amp;IF(CX269="",""," / "&amp;CX269&amp;"%"),IF(AND(N(CG269)&gt;=99.95,CX269&lt;&gt;"",N(CX269)&lt;100),"Pend. "&amp;CX269&amp;"%",""))))</f>
        <v/>
      </c>
      <c r="BB269" s="40" t="str">
        <f aca="false">IF(OR(OR(NOT(AND(ISNUMBER(E269),ISNUMBER(F269))),$J$2=""),16&gt;MAX(1,Reprogramaciones!$U$15)),"",IF(Reprogramaciones!Z$12&gt;=7,"",IF(OR(CI269-N(CH269)&gt;0.05,N(AF269)&gt;0),ROUNDDOWN(ROUND(CI269,6),0)&amp;"%"&amp;IF(CY269="",""," / "&amp;CY269&amp;"%"),IF(AND(N(CH269)&gt;=99.95,CY269&lt;&gt;"",N(CY269)&lt;100),"Pend. "&amp;CY269&amp;"%",""))))</f>
        <v/>
      </c>
      <c r="BC269" s="31" t="n">
        <f aca="false">IF(AND(ISNUMBER(E269),ISNUMBER(F269)),MAX(1,NETWORKDAYS.INTL(E269,F269,11)),0)</f>
        <v>0</v>
      </c>
      <c r="BD269" s="1" t="str">
        <f aca="false">IF(OR(NOT(AND(ISNUMBER(E269),ISNUMBER(F269))),$J$2=""),"",MIN(100,ROUND(SUM($G269:G269),1)))</f>
        <v/>
      </c>
      <c r="BE269" s="1" t="str">
        <f aca="false">IF(OR(NOT(AND(ISNUMBER(E269),ISNUMBER(F269))),$J$2=""),"",MIN(100,ROUND(SUM($G269:H269),1)))</f>
        <v/>
      </c>
      <c r="BF269" s="1" t="str">
        <f aca="false">IF(OR(NOT(AND(ISNUMBER(E269),ISNUMBER(F269))),$J$2=""),"",MIN(100,ROUND(SUM($G269:I269),1)))</f>
        <v/>
      </c>
      <c r="BG269" s="1" t="str">
        <f aca="false">IF(OR(NOT(AND(ISNUMBER(E269),ISNUMBER(F269))),$J$2=""),"",MIN(100,ROUND(SUM($G269:J269),1)))</f>
        <v/>
      </c>
      <c r="BH269" s="1" t="str">
        <f aca="false">IF(OR(NOT(AND(ISNUMBER(E269),ISNUMBER(F269))),$J$2=""),"",MIN(100,ROUND(SUM($G269:K269),1)))</f>
        <v/>
      </c>
      <c r="BI269" s="1" t="str">
        <f aca="false">IF(OR(NOT(AND(ISNUMBER(E269),ISNUMBER(F269))),$J$2=""),"",MIN(100,ROUND(SUM($G269:L269),1)))</f>
        <v/>
      </c>
      <c r="BJ269" s="1" t="str">
        <f aca="false">IF(OR(NOT(AND(ISNUMBER(E269),ISNUMBER(F269))),$J$2=""),"",MIN(100,ROUND(SUM($G269:M269),1)))</f>
        <v/>
      </c>
      <c r="BK269" s="1" t="str">
        <f aca="false">IF(OR(NOT(AND(ISNUMBER(E269),ISNUMBER(F269))),$J$2=""),"",MIN(100,ROUND(SUM($G269:N269),1)))</f>
        <v/>
      </c>
      <c r="BL269" s="1" t="str">
        <f aca="false">IF(OR(NOT(AND(ISNUMBER(E269),ISNUMBER(F269))),$J$2=""),"",MIN(100,ROUND(SUM($G269:O269),1)))</f>
        <v/>
      </c>
      <c r="BM269" s="1" t="str">
        <f aca="false">IF(OR(NOT(AND(ISNUMBER(E269),ISNUMBER(F269))),$J$2=""),"",MIN(100,ROUND(SUM($G269:P269),1)))</f>
        <v/>
      </c>
      <c r="BN269" s="1" t="str">
        <f aca="false">IF(OR(NOT(AND(ISNUMBER(E269),ISNUMBER(F269))),$J$2=""),"",MIN(100,ROUND(SUM($G269:P269),1)))</f>
        <v/>
      </c>
      <c r="BO269" s="1" t="str">
        <f aca="false">IF(OR(NOT(AND(ISNUMBER(E269),ISNUMBER(F269))),$J$2=""),"",MIN(100,ROUND(SUM($G269:P269),1)))</f>
        <v/>
      </c>
      <c r="BP269" s="1" t="str">
        <f aca="false">IF(OR(NOT(AND(ISNUMBER(E269),ISNUMBER(F269))),$J$2=""),"",MIN(100,ROUND(SUM($G269:P269),1)))</f>
        <v/>
      </c>
      <c r="BQ269" s="1" t="str">
        <f aca="false">IF(OR(NOT(AND(ISNUMBER(E269),ISNUMBER(F269))),$J$2=""),"",MIN(100,ROUND(SUM($G269:P269),1)))</f>
        <v/>
      </c>
      <c r="BR269" s="1" t="str">
        <f aca="false">IF(OR(NOT(AND(ISNUMBER(E269),ISNUMBER(F269))),$J$2=""),"",MIN(100,ROUND(SUM($G269:P269),1)))</f>
        <v/>
      </c>
      <c r="BS269" s="1" t="str">
        <f aca="false">IF(OR(NOT(AND(ISNUMBER(E269),ISNUMBER(F269))),$J$2=""),"",MIN(100,ROUND(SUM($G269:P269),1)))</f>
        <v/>
      </c>
      <c r="BT269" s="1" t="str">
        <f aca="false">IF(OR(NOT(AND(ISNUMBER(E269),ISNUMBER(F269))),$J$2=""),"",IF(Reprogramaciones!K$13&lt;Reprogramaciones!$T$15,0,IF(Reprogramaciones!K$14&gt;10,MIN(100,SUM($G269:$P269)),MIN(100,SUMPRODUCT((COLUMN($G269:$P269)-COLUMN($G269)+1&lt;Reprogramaciones!K$14)*$G269:$P269)+N(INDEX($G269:$P269,1,Reprogramaciones!K$14))*IF(Reprogramaciones!K$13&gt;=(Reprogramaciones!$T$15+7*(Reprogramaciones!K$14-1))+6,1,IF(MAX(0,NETWORKDAYS.INTL(MAX(E269,(Reprogramaciones!$T$15+7*(Reprogramaciones!K$14-1))),MIN(F269,(Reprogramaciones!$T$15+7*(Reprogramaciones!K$14-1))+6),11))=0,0,MAX(0,NETWORKDAYS.INTL(MAX(E269,(Reprogramaciones!$T$15+7*(Reprogramaciones!K$14-1))),MIN(F269,Reprogramaciones!K$13),11))/MAX(0,NETWORKDAYS.INTL(MAX(E269,(Reprogramaciones!$T$15+7*(Reprogramaciones!K$14-1))),MIN(F269,(Reprogramaciones!$T$15+7*(Reprogramaciones!K$14-1))+6),11))))))))</f>
        <v/>
      </c>
      <c r="BU269" s="1" t="str">
        <f aca="false">IF(OR(NOT(AND(ISNUMBER(E269),ISNUMBER(F269))),$J$2=""),"",IF(Reprogramaciones!L$13&lt;Reprogramaciones!$T$15,0,IF(Reprogramaciones!L$14&gt;10,MIN(100,SUM($G269:$P269)),MIN(100,SUMPRODUCT((COLUMN($G269:$P269)-COLUMN($G269)+1&lt;Reprogramaciones!L$14)*$G269:$P269)+N(INDEX($G269:$P269,1,Reprogramaciones!L$14))*IF(Reprogramaciones!L$13&gt;=(Reprogramaciones!$T$15+7*(Reprogramaciones!L$14-1))+6,1,IF(MAX(0,NETWORKDAYS.INTL(MAX(E269,(Reprogramaciones!$T$15+7*(Reprogramaciones!L$14-1))),MIN(F269,(Reprogramaciones!$T$15+7*(Reprogramaciones!L$14-1))+6),11))=0,0,MAX(0,NETWORKDAYS.INTL(MAX(E269,(Reprogramaciones!$T$15+7*(Reprogramaciones!L$14-1))),MIN(F269,Reprogramaciones!L$13),11))/MAX(0,NETWORKDAYS.INTL(MAX(E269,(Reprogramaciones!$T$15+7*(Reprogramaciones!L$14-1))),MIN(F269,(Reprogramaciones!$T$15+7*(Reprogramaciones!L$14-1))+6),11))))))))</f>
        <v/>
      </c>
      <c r="BV269" s="1" t="str">
        <f aca="false">IF(OR(NOT(AND(ISNUMBER(E269),ISNUMBER(F269))),$J$2=""),"",IF(Reprogramaciones!M$13&lt;Reprogramaciones!$T$15,0,IF(Reprogramaciones!M$14&gt;10,MIN(100,SUM($G269:$P269)),MIN(100,SUMPRODUCT((COLUMN($G269:$P269)-COLUMN($G269)+1&lt;Reprogramaciones!M$14)*$G269:$P269)+N(INDEX($G269:$P269,1,Reprogramaciones!M$14))*IF(Reprogramaciones!M$13&gt;=(Reprogramaciones!$T$15+7*(Reprogramaciones!M$14-1))+6,1,IF(MAX(0,NETWORKDAYS.INTL(MAX(E269,(Reprogramaciones!$T$15+7*(Reprogramaciones!M$14-1))),MIN(F269,(Reprogramaciones!$T$15+7*(Reprogramaciones!M$14-1))+6),11))=0,0,MAX(0,NETWORKDAYS.INTL(MAX(E269,(Reprogramaciones!$T$15+7*(Reprogramaciones!M$14-1))),MIN(F269,Reprogramaciones!M$13),11))/MAX(0,NETWORKDAYS.INTL(MAX(E269,(Reprogramaciones!$T$15+7*(Reprogramaciones!M$14-1))),MIN(F269,(Reprogramaciones!$T$15+7*(Reprogramaciones!M$14-1))+6),11))))))))</f>
        <v/>
      </c>
      <c r="BW269" s="1" t="str">
        <f aca="false">IF(OR(NOT(AND(ISNUMBER(E269),ISNUMBER(F269))),$J$2=""),"",IF(Reprogramaciones!N$13&lt;Reprogramaciones!$T$15,0,IF(Reprogramaciones!N$14&gt;10,MIN(100,SUM($G269:$P269)),MIN(100,SUMPRODUCT((COLUMN($G269:$P269)-COLUMN($G269)+1&lt;Reprogramaciones!N$14)*$G269:$P269)+N(INDEX($G269:$P269,1,Reprogramaciones!N$14))*IF(Reprogramaciones!N$13&gt;=(Reprogramaciones!$T$15+7*(Reprogramaciones!N$14-1))+6,1,IF(MAX(0,NETWORKDAYS.INTL(MAX(E269,(Reprogramaciones!$T$15+7*(Reprogramaciones!N$14-1))),MIN(F269,(Reprogramaciones!$T$15+7*(Reprogramaciones!N$14-1))+6),11))=0,0,MAX(0,NETWORKDAYS.INTL(MAX(E269,(Reprogramaciones!$T$15+7*(Reprogramaciones!N$14-1))),MIN(F269,Reprogramaciones!N$13),11))/MAX(0,NETWORKDAYS.INTL(MAX(E269,(Reprogramaciones!$T$15+7*(Reprogramaciones!N$14-1))),MIN(F269,(Reprogramaciones!$T$15+7*(Reprogramaciones!N$14-1))+6),11))))))))</f>
        <v/>
      </c>
      <c r="BX269" s="1" t="str">
        <f aca="false">IF(OR(NOT(AND(ISNUMBER(E269),ISNUMBER(F269))),$J$2=""),"",IF(Reprogramaciones!O$13&lt;Reprogramaciones!$T$15,0,IF(Reprogramaciones!O$14&gt;10,MIN(100,SUM($G269:$P269)),MIN(100,SUMPRODUCT((COLUMN($G269:$P269)-COLUMN($G269)+1&lt;Reprogramaciones!O$14)*$G269:$P269)+N(INDEX($G269:$P269,1,Reprogramaciones!O$14))*IF(Reprogramaciones!O$13&gt;=(Reprogramaciones!$T$15+7*(Reprogramaciones!O$14-1))+6,1,IF(MAX(0,NETWORKDAYS.INTL(MAX(E269,(Reprogramaciones!$T$15+7*(Reprogramaciones!O$14-1))),MIN(F269,(Reprogramaciones!$T$15+7*(Reprogramaciones!O$14-1))+6),11))=0,0,MAX(0,NETWORKDAYS.INTL(MAX(E269,(Reprogramaciones!$T$15+7*(Reprogramaciones!O$14-1))),MIN(F269,Reprogramaciones!O$13),11))/MAX(0,NETWORKDAYS.INTL(MAX(E269,(Reprogramaciones!$T$15+7*(Reprogramaciones!O$14-1))),MIN(F269,(Reprogramaciones!$T$15+7*(Reprogramaciones!O$14-1))+6),11))))))))</f>
        <v/>
      </c>
      <c r="BY269" s="1" t="str">
        <f aca="false">IF(OR(NOT(AND(ISNUMBER(E269),ISNUMBER(F269))),$J$2=""),"",IF(Reprogramaciones!P$13&lt;Reprogramaciones!$T$15,0,IF(Reprogramaciones!P$14&gt;10,MIN(100,SUM($G269:$P269)),MIN(100,SUMPRODUCT((COLUMN($G269:$P269)-COLUMN($G269)+1&lt;Reprogramaciones!P$14)*$G269:$P269)+N(INDEX($G269:$P269,1,Reprogramaciones!P$14))*IF(Reprogramaciones!P$13&gt;=(Reprogramaciones!$T$15+7*(Reprogramaciones!P$14-1))+6,1,IF(MAX(0,NETWORKDAYS.INTL(MAX(E269,(Reprogramaciones!$T$15+7*(Reprogramaciones!P$14-1))),MIN(F269,(Reprogramaciones!$T$15+7*(Reprogramaciones!P$14-1))+6),11))=0,0,MAX(0,NETWORKDAYS.INTL(MAX(E269,(Reprogramaciones!$T$15+7*(Reprogramaciones!P$14-1))),MIN(F269,Reprogramaciones!P$13),11))/MAX(0,NETWORKDAYS.INTL(MAX(E269,(Reprogramaciones!$T$15+7*(Reprogramaciones!P$14-1))),MIN(F269,(Reprogramaciones!$T$15+7*(Reprogramaciones!P$14-1))+6),11))))))))</f>
        <v/>
      </c>
      <c r="BZ269" s="1" t="str">
        <f aca="false">IF(OR(NOT(AND(ISNUMBER(E269),ISNUMBER(F269))),$J$2=""),"",IF(Reprogramaciones!Q$13&lt;Reprogramaciones!$T$15,0,IF(Reprogramaciones!Q$14&gt;10,MIN(100,SUM($G269:$P269)),MIN(100,SUMPRODUCT((COLUMN($G269:$P269)-COLUMN($G269)+1&lt;Reprogramaciones!Q$14)*$G269:$P269)+N(INDEX($G269:$P269,1,Reprogramaciones!Q$14))*IF(Reprogramaciones!Q$13&gt;=(Reprogramaciones!$T$15+7*(Reprogramaciones!Q$14-1))+6,1,IF(MAX(0,NETWORKDAYS.INTL(MAX(E269,(Reprogramaciones!$T$15+7*(Reprogramaciones!Q$14-1))),MIN(F269,(Reprogramaciones!$T$15+7*(Reprogramaciones!Q$14-1))+6),11))=0,0,MAX(0,NETWORKDAYS.INTL(MAX(E269,(Reprogramaciones!$T$15+7*(Reprogramaciones!Q$14-1))),MIN(F269,Reprogramaciones!Q$13),11))/MAX(0,NETWORKDAYS.INTL(MAX(E269,(Reprogramaciones!$T$15+7*(Reprogramaciones!Q$14-1))),MIN(F269,(Reprogramaciones!$T$15+7*(Reprogramaciones!Q$14-1))+6),11))))))))</f>
        <v/>
      </c>
      <c r="CA269" s="1" t="str">
        <f aca="false">IF(OR(NOT(AND(ISNUMBER(E269),ISNUMBER(F269))),$J$2=""),"",IF(Reprogramaciones!R$13&lt;Reprogramaciones!$T$15,0,IF(Reprogramaciones!R$14&gt;10,MIN(100,SUM($G269:$P269)),MIN(100,SUMPRODUCT((COLUMN($G269:$P269)-COLUMN($G269)+1&lt;Reprogramaciones!R$14)*$G269:$P269)+N(INDEX($G269:$P269,1,Reprogramaciones!R$14))*IF(Reprogramaciones!R$13&gt;=(Reprogramaciones!$T$15+7*(Reprogramaciones!R$14-1))+6,1,IF(MAX(0,NETWORKDAYS.INTL(MAX(E269,(Reprogramaciones!$T$15+7*(Reprogramaciones!R$14-1))),MIN(F269,(Reprogramaciones!$T$15+7*(Reprogramaciones!R$14-1))+6),11))=0,0,MAX(0,NETWORKDAYS.INTL(MAX(E269,(Reprogramaciones!$T$15+7*(Reprogramaciones!R$14-1))),MIN(F269,Reprogramaciones!R$13),11))/MAX(0,NETWORKDAYS.INTL(MAX(E269,(Reprogramaciones!$T$15+7*(Reprogramaciones!R$14-1))),MIN(F269,(Reprogramaciones!$T$15+7*(Reprogramaciones!R$14-1))+6),11))))))))</f>
        <v/>
      </c>
      <c r="CB269" s="1" t="str">
        <f aca="false">IF(OR(NOT(AND(ISNUMBER(E269),ISNUMBER(F269))),$J$2=""),"",IF(Reprogramaciones!S$13&lt;Reprogramaciones!$T$15,0,IF(Reprogramaciones!S$14&gt;10,MIN(100,SUM($G269:$P269)),MIN(100,SUMPRODUCT((COLUMN($G269:$P269)-COLUMN($G269)+1&lt;Reprogramaciones!S$14)*$G269:$P269)+N(INDEX($G269:$P269,1,Reprogramaciones!S$14))*IF(Reprogramaciones!S$13&gt;=(Reprogramaciones!$T$15+7*(Reprogramaciones!S$14-1))+6,1,IF(MAX(0,NETWORKDAYS.INTL(MAX(E269,(Reprogramaciones!$T$15+7*(Reprogramaciones!S$14-1))),MIN(F269,(Reprogramaciones!$T$15+7*(Reprogramaciones!S$14-1))+6),11))=0,0,MAX(0,NETWORKDAYS.INTL(MAX(E269,(Reprogramaciones!$T$15+7*(Reprogramaciones!S$14-1))),MIN(F269,Reprogramaciones!S$13),11))/MAX(0,NETWORKDAYS.INTL(MAX(E269,(Reprogramaciones!$T$15+7*(Reprogramaciones!S$14-1))),MIN(F269,(Reprogramaciones!$T$15+7*(Reprogramaciones!S$14-1))+6),11))))))))</f>
        <v/>
      </c>
      <c r="CC269" s="1" t="str">
        <f aca="false">IF(OR(NOT(AND(ISNUMBER(E269),ISNUMBER(F269))),$J$2=""),"",IF(Reprogramaciones!T$13&lt;Reprogramaciones!$T$15,0,IF(Reprogramaciones!T$14&gt;10,MIN(100,SUM($G269:$P269)),MIN(100,SUMPRODUCT((COLUMN($G269:$P269)-COLUMN($G269)+1&lt;Reprogramaciones!T$14)*$G269:$P269)+N(INDEX($G269:$P269,1,Reprogramaciones!T$14))*IF(Reprogramaciones!T$13&gt;=(Reprogramaciones!$T$15+7*(Reprogramaciones!T$14-1))+6,1,IF(MAX(0,NETWORKDAYS.INTL(MAX(E269,(Reprogramaciones!$T$15+7*(Reprogramaciones!T$14-1))),MIN(F269,(Reprogramaciones!$T$15+7*(Reprogramaciones!T$14-1))+6),11))=0,0,MAX(0,NETWORKDAYS.INTL(MAX(E269,(Reprogramaciones!$T$15+7*(Reprogramaciones!T$14-1))),MIN(F269,Reprogramaciones!T$13),11))/MAX(0,NETWORKDAYS.INTL(MAX(E269,(Reprogramaciones!$T$15+7*(Reprogramaciones!T$14-1))),MIN(F269,(Reprogramaciones!$T$15+7*(Reprogramaciones!T$14-1))+6),11))))))))</f>
        <v/>
      </c>
      <c r="CD269" s="1" t="str">
        <f aca="false">IF(OR(NOT(AND(ISNUMBER(E269),ISNUMBER(F269))),$J$2=""),"",IF(Reprogramaciones!U$13&lt;Reprogramaciones!$T$15,0,IF(Reprogramaciones!U$14&gt;10,MIN(100,SUM($G269:$P269)),MIN(100,SUMPRODUCT((COLUMN($G269:$P269)-COLUMN($G269)+1&lt;Reprogramaciones!U$14)*$G269:$P269)+N(INDEX($G269:$P269,1,Reprogramaciones!U$14))*IF(Reprogramaciones!U$13&gt;=(Reprogramaciones!$T$15+7*(Reprogramaciones!U$14-1))+6,1,IF(MAX(0,NETWORKDAYS.INTL(MAX(E269,(Reprogramaciones!$T$15+7*(Reprogramaciones!U$14-1))),MIN(F269,(Reprogramaciones!$T$15+7*(Reprogramaciones!U$14-1))+6),11))=0,0,MAX(0,NETWORKDAYS.INTL(MAX(E269,(Reprogramaciones!$T$15+7*(Reprogramaciones!U$14-1))),MIN(F269,Reprogramaciones!U$13),11))/MAX(0,NETWORKDAYS.INTL(MAX(E269,(Reprogramaciones!$T$15+7*(Reprogramaciones!U$14-1))),MIN(F269,(Reprogramaciones!$T$15+7*(Reprogramaciones!U$14-1))+6),11))))))))</f>
        <v/>
      </c>
      <c r="CE269" s="1" t="str">
        <f aca="false">IF(OR(NOT(AND(ISNUMBER(E269),ISNUMBER(F269))),$J$2=""),"",IF(Reprogramaciones!V$13&lt;Reprogramaciones!$T$15,0,IF(Reprogramaciones!V$14&gt;10,MIN(100,SUM($G269:$P269)),MIN(100,SUMPRODUCT((COLUMN($G269:$P269)-COLUMN($G269)+1&lt;Reprogramaciones!V$14)*$G269:$P269)+N(INDEX($G269:$P269,1,Reprogramaciones!V$14))*IF(Reprogramaciones!V$13&gt;=(Reprogramaciones!$T$15+7*(Reprogramaciones!V$14-1))+6,1,IF(MAX(0,NETWORKDAYS.INTL(MAX(E269,(Reprogramaciones!$T$15+7*(Reprogramaciones!V$14-1))),MIN(F269,(Reprogramaciones!$T$15+7*(Reprogramaciones!V$14-1))+6),11))=0,0,MAX(0,NETWORKDAYS.INTL(MAX(E269,(Reprogramaciones!$T$15+7*(Reprogramaciones!V$14-1))),MIN(F269,Reprogramaciones!V$13),11))/MAX(0,NETWORKDAYS.INTL(MAX(E269,(Reprogramaciones!$T$15+7*(Reprogramaciones!V$14-1))),MIN(F269,(Reprogramaciones!$T$15+7*(Reprogramaciones!V$14-1))+6),11))))))))</f>
        <v/>
      </c>
      <c r="CF269" s="1" t="str">
        <f aca="false">IF(OR(NOT(AND(ISNUMBER(E269),ISNUMBER(F269))),$J$2=""),"",IF(Reprogramaciones!W$13&lt;Reprogramaciones!$T$15,0,IF(Reprogramaciones!W$14&gt;10,MIN(100,SUM($G269:$P269)),MIN(100,SUMPRODUCT((COLUMN($G269:$P269)-COLUMN($G269)+1&lt;Reprogramaciones!W$14)*$G269:$P269)+N(INDEX($G269:$P269,1,Reprogramaciones!W$14))*IF(Reprogramaciones!W$13&gt;=(Reprogramaciones!$T$15+7*(Reprogramaciones!W$14-1))+6,1,IF(MAX(0,NETWORKDAYS.INTL(MAX(E269,(Reprogramaciones!$T$15+7*(Reprogramaciones!W$14-1))),MIN(F269,(Reprogramaciones!$T$15+7*(Reprogramaciones!W$14-1))+6),11))=0,0,MAX(0,NETWORKDAYS.INTL(MAX(E269,(Reprogramaciones!$T$15+7*(Reprogramaciones!W$14-1))),MIN(F269,Reprogramaciones!W$13),11))/MAX(0,NETWORKDAYS.INTL(MAX(E269,(Reprogramaciones!$T$15+7*(Reprogramaciones!W$14-1))),MIN(F269,(Reprogramaciones!$T$15+7*(Reprogramaciones!W$14-1))+6),11))))))))</f>
        <v/>
      </c>
      <c r="CG269" s="1" t="str">
        <f aca="false">IF(OR(NOT(AND(ISNUMBER(E269),ISNUMBER(F269))),$J$2=""),"",IF(Reprogramaciones!X$13&lt;Reprogramaciones!$T$15,0,IF(Reprogramaciones!X$14&gt;10,MIN(100,SUM($G269:$P269)),MIN(100,SUMPRODUCT((COLUMN($G269:$P269)-COLUMN($G269)+1&lt;Reprogramaciones!X$14)*$G269:$P269)+N(INDEX($G269:$P269,1,Reprogramaciones!X$14))*IF(Reprogramaciones!X$13&gt;=(Reprogramaciones!$T$15+7*(Reprogramaciones!X$14-1))+6,1,IF(MAX(0,NETWORKDAYS.INTL(MAX(E269,(Reprogramaciones!$T$15+7*(Reprogramaciones!X$14-1))),MIN(F269,(Reprogramaciones!$T$15+7*(Reprogramaciones!X$14-1))+6),11))=0,0,MAX(0,NETWORKDAYS.INTL(MAX(E269,(Reprogramaciones!$T$15+7*(Reprogramaciones!X$14-1))),MIN(F269,Reprogramaciones!X$13),11))/MAX(0,NETWORKDAYS.INTL(MAX(E269,(Reprogramaciones!$T$15+7*(Reprogramaciones!X$14-1))),MIN(F269,(Reprogramaciones!$T$15+7*(Reprogramaciones!X$14-1))+6),11))))))))</f>
        <v/>
      </c>
      <c r="CH269" s="1" t="str">
        <f aca="false">IF(OR(NOT(AND(ISNUMBER(E269),ISNUMBER(F269))),$J$2=""),"",IF(Reprogramaciones!Y$13&lt;Reprogramaciones!$T$15,0,IF(Reprogramaciones!Y$14&gt;10,MIN(100,SUM($G269:$P269)),MIN(100,SUMPRODUCT((COLUMN($G269:$P269)-COLUMN($G269)+1&lt;Reprogramaciones!Y$14)*$G269:$P269)+N(INDEX($G269:$P269,1,Reprogramaciones!Y$14))*IF(Reprogramaciones!Y$13&gt;=(Reprogramaciones!$T$15+7*(Reprogramaciones!Y$14-1))+6,1,IF(MAX(0,NETWORKDAYS.INTL(MAX(E269,(Reprogramaciones!$T$15+7*(Reprogramaciones!Y$14-1))),MIN(F269,(Reprogramaciones!$T$15+7*(Reprogramaciones!Y$14-1))+6),11))=0,0,MAX(0,NETWORKDAYS.INTL(MAX(E269,(Reprogramaciones!$T$15+7*(Reprogramaciones!Y$14-1))),MIN(F269,Reprogramaciones!Y$13),11))/MAX(0,NETWORKDAYS.INTL(MAX(E269,(Reprogramaciones!$T$15+7*(Reprogramaciones!Y$14-1))),MIN(F269,(Reprogramaciones!$T$15+7*(Reprogramaciones!Y$14-1))+6),11))))))))</f>
        <v/>
      </c>
      <c r="CI269" s="1" t="str">
        <f aca="false">IF(OR(NOT(AND(ISNUMBER(E269),ISNUMBER(F269))),$J$2=""),"",IF(Reprogramaciones!Z$13&lt;Reprogramaciones!$T$15,0,IF(Reprogramaciones!Z$14&gt;10,MIN(100,SUM($G269:$P269)),MIN(100,SUMPRODUCT((COLUMN($G269:$P269)-COLUMN($G269)+1&lt;Reprogramaciones!Z$14)*$G269:$P269)+N(INDEX($G269:$P269,1,Reprogramaciones!Z$14))*IF(Reprogramaciones!Z$13&gt;=(Reprogramaciones!$T$15+7*(Reprogramaciones!Z$14-1))+6,1,IF(MAX(0,NETWORKDAYS.INTL(MAX(E269,(Reprogramaciones!$T$15+7*(Reprogramaciones!Z$14-1))),MIN(F269,(Reprogramaciones!$T$15+7*(Reprogramaciones!Z$14-1))+6),11))=0,0,MAX(0,NETWORKDAYS.INTL(MAX(E269,(Reprogramaciones!$T$15+7*(Reprogramaciones!Z$14-1))),MIN(F269,Reprogramaciones!Z$13),11))/MAX(0,NETWORKDAYS.INTL(MAX(E269,(Reprogramaciones!$T$15+7*(Reprogramaciones!Z$14-1))),MIN(F269,(Reprogramaciones!$T$15+7*(Reprogramaciones!Z$14-1))+6),11))))))))</f>
        <v/>
      </c>
      <c r="CJ269" s="1" t="str">
        <f aca="false">IF(OR(OR(NOT(AND(ISNUMBER(E269),ISNUMBER(F269))),$J$2=""),1&gt;Reprogramaciones!$K$16),"",IF(ROUND(SUM($Q269:Q269),1)&gt;=99.5,100,MIN(100,ROUND(SUM($Q269:Q269),1))))</f>
        <v/>
      </c>
      <c r="CK269" s="1" t="str">
        <f aca="false">IF(OR(OR(NOT(AND(ISNUMBER(E269),ISNUMBER(F269))),$J$2=""),2&gt;Reprogramaciones!$K$16),"",IF(ROUND(SUM($Q269:R269),1)&gt;=99.5,100,MIN(100,ROUND(SUM($Q269:R269),1))))</f>
        <v/>
      </c>
      <c r="CL269" s="1" t="str">
        <f aca="false">IF(OR(OR(NOT(AND(ISNUMBER(E269),ISNUMBER(F269))),$J$2=""),3&gt;Reprogramaciones!$K$16),"",IF(ROUND(SUM($Q269:S269),1)&gt;=99.5,100,MIN(100,ROUND(SUM($Q269:S269),1))))</f>
        <v/>
      </c>
      <c r="CM269" s="1" t="str">
        <f aca="false">IF(OR(OR(NOT(AND(ISNUMBER(E269),ISNUMBER(F269))),$J$2=""),4&gt;Reprogramaciones!$K$16),"",IF(ROUND(SUM($Q269:T269),1)&gt;=99.5,100,MIN(100,ROUND(SUM($Q269:T269),1))))</f>
        <v/>
      </c>
      <c r="CN269" s="1" t="str">
        <f aca="false">IF(OR(OR(NOT(AND(ISNUMBER(E269),ISNUMBER(F269))),$J$2=""),5&gt;Reprogramaciones!$K$16),"",IF(ROUND(SUM($Q269:U269),1)&gt;=99.5,100,MIN(100,ROUND(SUM($Q269:U269),1))))</f>
        <v/>
      </c>
      <c r="CO269" s="1" t="str">
        <f aca="false">IF(OR(OR(NOT(AND(ISNUMBER(E269),ISNUMBER(F269))),$J$2=""),6&gt;Reprogramaciones!$K$16),"",IF(ROUND(SUM($Q269:V269),1)&gt;=99.5,100,MIN(100,ROUND(SUM($Q269:V269),1))))</f>
        <v/>
      </c>
      <c r="CP269" s="1" t="str">
        <f aca="false">IF(OR(OR(NOT(AND(ISNUMBER(E269),ISNUMBER(F269))),$J$2=""),7&gt;Reprogramaciones!$K$16),"",IF(ROUND(SUM($Q269:W269),1)&gt;=99.5,100,MIN(100,ROUND(SUM($Q269:W269),1))))</f>
        <v/>
      </c>
      <c r="CQ269" s="1" t="str">
        <f aca="false">IF(OR(OR(NOT(AND(ISNUMBER(E269),ISNUMBER(F269))),$J$2=""),8&gt;Reprogramaciones!$K$16),"",IF(ROUND(SUM($Q269:X269),1)&gt;=99.5,100,MIN(100,ROUND(SUM($Q269:X269),1))))</f>
        <v/>
      </c>
      <c r="CR269" s="1" t="str">
        <f aca="false">IF(OR(OR(NOT(AND(ISNUMBER(E269),ISNUMBER(F269))),$J$2=""),9&gt;Reprogramaciones!$K$16),"",IF(ROUND(SUM($Q269:Y269),1)&gt;=99.5,100,MIN(100,ROUND(SUM($Q269:Y269),1))))</f>
        <v/>
      </c>
      <c r="CS269" s="1" t="str">
        <f aca="false">IF(OR(OR(NOT(AND(ISNUMBER(E269),ISNUMBER(F269))),$J$2=""),10&gt;Reprogramaciones!$K$16),"",IF(ROUND(SUM($Q269:Z269),1)&gt;=99.5,100,MIN(100,ROUND(SUM($Q269:Z269),1))))</f>
        <v/>
      </c>
      <c r="CT269" s="1" t="str">
        <f aca="false">IF(OR(OR(NOT(AND(ISNUMBER(E269),ISNUMBER(F269))),$J$2=""),11&gt;Reprogramaciones!$K$16),"",IF(ROUND(SUM($Q269:AA269),1)&gt;=99.5,100,MIN(100,ROUND(SUM($Q269:AA269),1))))</f>
        <v/>
      </c>
      <c r="CU269" s="1" t="str">
        <f aca="false">IF(OR(OR(NOT(AND(ISNUMBER(E269),ISNUMBER(F269))),$J$2=""),12&gt;Reprogramaciones!$K$16),"",IF(ROUND(SUM($Q269:AB269),1)&gt;=99.5,100,MIN(100,ROUND(SUM($Q269:AB269),1))))</f>
        <v/>
      </c>
      <c r="CV269" s="1" t="str">
        <f aca="false">IF(OR(OR(NOT(AND(ISNUMBER(E269),ISNUMBER(F269))),$J$2=""),13&gt;Reprogramaciones!$K$16),"",IF(ROUND(SUM($Q269:AC269),1)&gt;=99.5,100,MIN(100,ROUND(SUM($Q269:AC269),1))))</f>
        <v/>
      </c>
      <c r="CW269" s="1" t="str">
        <f aca="false">IF(OR(OR(NOT(AND(ISNUMBER(E269),ISNUMBER(F269))),$J$2=""),14&gt;Reprogramaciones!$K$16),"",IF(ROUND(SUM($Q269:AD269),1)&gt;=99.5,100,MIN(100,ROUND(SUM($Q269:AD269),1))))</f>
        <v/>
      </c>
      <c r="CX269" s="1" t="str">
        <f aca="false">IF(OR(OR(NOT(AND(ISNUMBER(E269),ISNUMBER(F269))),$J$2=""),15&gt;Reprogramaciones!$K$16),"",IF(ROUND(SUM($Q269:AE269),1)&gt;=99.5,100,MIN(100,ROUND(SUM($Q269:AE269),1))))</f>
        <v/>
      </c>
      <c r="CY269" s="1" t="str">
        <f aca="false">IF(OR(OR(NOT(AND(ISNUMBER(E269),ISNUMBER(F269))),$J$2=""),16&gt;Reprogramaciones!$K$16),"",IF(ROUND(SUM($Q269:AF269),1)&gt;=99.5,100,MIN(100,ROUND(SUM($Q269:AF269),1))))</f>
        <v/>
      </c>
      <c r="CZ269" s="1" t="str">
        <f aca="false">IF(D269&lt;&gt;"",D269,IF(B269&lt;&gt;"","Contractual",CZ268))</f>
        <v>Contractual</v>
      </c>
      <c r="DA269" s="1" t="str">
        <f aca="false">IF(OR(NOT(AND(ISNUMBER(E269),ISNUMBER(F269))),$J$2=""),"",IF(Reprogramaciones!$Q$15&lt;Reprogramaciones!$T$15,0,IF(Reprogramaciones!$S$15&gt;10,MIN(100,SUM($G269:$P269)),MIN(100,SUMPRODUCT((COLUMN($G269:$P269)-COLUMN($G269)+1&lt;Reprogramaciones!$S$15)*$G269:$P269)+N(INDEX($G269:$P269,1,Reprogramaciones!$S$15))*IF(Reprogramaciones!$Q$15&gt;=(Reprogramaciones!$T$15+7*(Reprogramaciones!$S$15-1))+6,1,IF(MAX(0,NETWORKDAYS.INTL(MAX(E269,(Reprogramaciones!$T$15+7*(Reprogramaciones!$S$15-1))),MIN(F269,(Reprogramaciones!$T$15+7*(Reprogramaciones!$S$15-1))+6),11))=0,0,MAX(0,NETWORKDAYS.INTL(MAX(E269,(Reprogramaciones!$T$15+7*(Reprogramaciones!$S$15-1))),MIN(F269,Reprogramaciones!$Q$15),11))/MAX(0,NETWORKDAYS.INTL(MAX(E269,(Reprogramaciones!$T$15+7*(Reprogramaciones!$S$15-1))),MIN(F269,(Reprogramaciones!$T$15+7*(Reprogramaciones!$S$15-1))+6),11))))))))</f>
        <v/>
      </c>
    </row>
    <row r="270" customFormat="false" ht="15" hidden="false" customHeight="false" outlineLevel="0" collapsed="false">
      <c r="A270" s="32"/>
      <c r="B270" s="33"/>
      <c r="C270" s="33"/>
      <c r="D270" s="34"/>
      <c r="E270" s="35"/>
      <c r="F270" s="35"/>
      <c r="G270" s="36" t="str">
        <f aca="false">IF(OR(NOT(AND(ISNUMBER(E270),ISNUMBER(F270))),$J$2=""),"",IF(Reprogramaciones!K$9&lt;E270,0,IF(NETWORKDAYS.INTL(E270,F270,11)=0,IF(Reprogramaciones!K$9&gt;=F270,100,0),ROUND(NETWORKDAYS.INTL(E270,MIN(F270,Reprogramaciones!K$9),11)/NETWORKDAYS.INTL(E270,F270,11)*100,1)))-0)</f>
        <v/>
      </c>
      <c r="H270" s="36" t="str">
        <f aca="false">IF(OR(NOT(AND(ISNUMBER(E270),ISNUMBER(F270))),$J$2=""),"",IF(Reprogramaciones!L$9&lt;E270,0,IF(NETWORKDAYS.INTL(E270,F270,11)=0,IF(Reprogramaciones!L$9&gt;=F270,100,0),ROUND(NETWORKDAYS.INTL(E270,MIN(F270,Reprogramaciones!L$9),11)/NETWORKDAYS.INTL(E270,F270,11)*100,1)))-IF(Reprogramaciones!K$9&lt;E270,0,IF(NETWORKDAYS.INTL(E270,F270,11)=0,IF(Reprogramaciones!K$9&gt;=F270,100,0),ROUND(NETWORKDAYS.INTL(E270,MIN(F270,Reprogramaciones!K$9),11)/NETWORKDAYS.INTL(E270,F270,11)*100,1))))</f>
        <v/>
      </c>
      <c r="I270" s="36" t="str">
        <f aca="false">IF(OR(NOT(AND(ISNUMBER(E270),ISNUMBER(F270))),$J$2=""),"",IF(Reprogramaciones!M$9&lt;E270,0,IF(NETWORKDAYS.INTL(E270,F270,11)=0,IF(Reprogramaciones!M$9&gt;=F270,100,0),ROUND(NETWORKDAYS.INTL(E270,MIN(F270,Reprogramaciones!M$9),11)/NETWORKDAYS.INTL(E270,F270,11)*100,1)))-IF(Reprogramaciones!L$9&lt;E270,0,IF(NETWORKDAYS.INTL(E270,F270,11)=0,IF(Reprogramaciones!L$9&gt;=F270,100,0),ROUND(NETWORKDAYS.INTL(E270,MIN(F270,Reprogramaciones!L$9),11)/NETWORKDAYS.INTL(E270,F270,11)*100,1))))</f>
        <v/>
      </c>
      <c r="J270" s="36" t="str">
        <f aca="false">IF(OR(NOT(AND(ISNUMBER(E270),ISNUMBER(F270))),$J$2=""),"",IF(Reprogramaciones!N$9&lt;E270,0,IF(NETWORKDAYS.INTL(E270,F270,11)=0,IF(Reprogramaciones!N$9&gt;=F270,100,0),ROUND(NETWORKDAYS.INTL(E270,MIN(F270,Reprogramaciones!N$9),11)/NETWORKDAYS.INTL(E270,F270,11)*100,1)))-IF(Reprogramaciones!M$9&lt;E270,0,IF(NETWORKDAYS.INTL(E270,F270,11)=0,IF(Reprogramaciones!M$9&gt;=F270,100,0),ROUND(NETWORKDAYS.INTL(E270,MIN(F270,Reprogramaciones!M$9),11)/NETWORKDAYS.INTL(E270,F270,11)*100,1))))</f>
        <v/>
      </c>
      <c r="K270" s="36" t="str">
        <f aca="false">IF(OR(NOT(AND(ISNUMBER(E270),ISNUMBER(F270))),$J$2=""),"",IF(Reprogramaciones!O$9&lt;E270,0,IF(NETWORKDAYS.INTL(E270,F270,11)=0,IF(Reprogramaciones!O$9&gt;=F270,100,0),ROUND(NETWORKDAYS.INTL(E270,MIN(F270,Reprogramaciones!O$9),11)/NETWORKDAYS.INTL(E270,F270,11)*100,1)))-IF(Reprogramaciones!N$9&lt;E270,0,IF(NETWORKDAYS.INTL(E270,F270,11)=0,IF(Reprogramaciones!N$9&gt;=F270,100,0),ROUND(NETWORKDAYS.INTL(E270,MIN(F270,Reprogramaciones!N$9),11)/NETWORKDAYS.INTL(E270,F270,11)*100,1))))</f>
        <v/>
      </c>
      <c r="L270" s="36" t="str">
        <f aca="false">IF(OR(NOT(AND(ISNUMBER(E270),ISNUMBER(F270))),$J$2=""),"",IF(Reprogramaciones!P$9&lt;E270,0,IF(NETWORKDAYS.INTL(E270,F270,11)=0,IF(Reprogramaciones!P$9&gt;=F270,100,0),ROUND(NETWORKDAYS.INTL(E270,MIN(F270,Reprogramaciones!P$9),11)/NETWORKDAYS.INTL(E270,F270,11)*100,1)))-IF(Reprogramaciones!O$9&lt;E270,0,IF(NETWORKDAYS.INTL(E270,F270,11)=0,IF(Reprogramaciones!O$9&gt;=F270,100,0),ROUND(NETWORKDAYS.INTL(E270,MIN(F270,Reprogramaciones!O$9),11)/NETWORKDAYS.INTL(E270,F270,11)*100,1))))</f>
        <v/>
      </c>
      <c r="M270" s="36" t="str">
        <f aca="false">IF(OR(NOT(AND(ISNUMBER(E270),ISNUMBER(F270))),$J$2=""),"",IF(Reprogramaciones!Q$9&lt;E270,0,IF(NETWORKDAYS.INTL(E270,F270,11)=0,IF(Reprogramaciones!Q$9&gt;=F270,100,0),ROUND(NETWORKDAYS.INTL(E270,MIN(F270,Reprogramaciones!Q$9),11)/NETWORKDAYS.INTL(E270,F270,11)*100,1)))-IF(Reprogramaciones!P$9&lt;E270,0,IF(NETWORKDAYS.INTL(E270,F270,11)=0,IF(Reprogramaciones!P$9&gt;=F270,100,0),ROUND(NETWORKDAYS.INTL(E270,MIN(F270,Reprogramaciones!P$9),11)/NETWORKDAYS.INTL(E270,F270,11)*100,1))))</f>
        <v/>
      </c>
      <c r="N270" s="36" t="str">
        <f aca="false">IF(OR(NOT(AND(ISNUMBER(E270),ISNUMBER(F270))),$J$2=""),"",IF(Reprogramaciones!R$9&lt;E270,0,IF(NETWORKDAYS.INTL(E270,F270,11)=0,IF(Reprogramaciones!R$9&gt;=F270,100,0),ROUND(NETWORKDAYS.INTL(E270,MIN(F270,Reprogramaciones!R$9),11)/NETWORKDAYS.INTL(E270,F270,11)*100,1)))-IF(Reprogramaciones!Q$9&lt;E270,0,IF(NETWORKDAYS.INTL(E270,F270,11)=0,IF(Reprogramaciones!Q$9&gt;=F270,100,0),ROUND(NETWORKDAYS.INTL(E270,MIN(F270,Reprogramaciones!Q$9),11)/NETWORKDAYS.INTL(E270,F270,11)*100,1))))</f>
        <v/>
      </c>
      <c r="O270" s="36" t="str">
        <f aca="false">IF(OR(NOT(AND(ISNUMBER(E270),ISNUMBER(F270))),$J$2=""),"",IF(Reprogramaciones!S$9&lt;E270,0,IF(NETWORKDAYS.INTL(E270,F270,11)=0,IF(Reprogramaciones!S$9&gt;=F270,100,0),ROUND(NETWORKDAYS.INTL(E270,MIN(F270,Reprogramaciones!S$9),11)/NETWORKDAYS.INTL(E270,F270,11)*100,1)))-IF(Reprogramaciones!R$9&lt;E270,0,IF(NETWORKDAYS.INTL(E270,F270,11)=0,IF(Reprogramaciones!R$9&gt;=F270,100,0),ROUND(NETWORKDAYS.INTL(E270,MIN(F270,Reprogramaciones!R$9),11)/NETWORKDAYS.INTL(E270,F270,11)*100,1))))</f>
        <v/>
      </c>
      <c r="P270" s="36" t="str">
        <f aca="false">IF(OR(NOT(AND(ISNUMBER(E270),ISNUMBER(F270))),$J$2=""),"",IF(Reprogramaciones!T$9&lt;E270,0,IF(NETWORKDAYS.INTL(E270,F270,11)=0,IF(Reprogramaciones!T$9&gt;=F270,100,0),ROUND(NETWORKDAYS.INTL(E270,MIN(F270,Reprogramaciones!T$9),11)/NETWORKDAYS.INTL(E270,F270,11)*100,1)))-IF(Reprogramaciones!S$9&lt;E270,0,IF(NETWORKDAYS.INTL(E270,F270,11)=0,IF(Reprogramaciones!S$9&gt;=F270,100,0),ROUND(NETWORKDAYS.INTL(E270,MIN(F270,Reprogramaciones!S$9),11)/NETWORKDAYS.INTL(E270,F270,11)*100,1))))</f>
        <v/>
      </c>
      <c r="Q270" s="37"/>
      <c r="R270" s="37"/>
      <c r="S270" s="37"/>
      <c r="T270" s="37"/>
      <c r="U270" s="37"/>
      <c r="V270" s="37"/>
      <c r="W270" s="37"/>
      <c r="X270" s="37"/>
      <c r="Y270" s="37"/>
      <c r="Z270" s="37"/>
      <c r="AA270" s="37"/>
      <c r="AB270" s="37"/>
      <c r="AC270" s="37"/>
      <c r="AD270" s="37"/>
      <c r="AE270" s="37"/>
      <c r="AF270" s="37"/>
      <c r="AG270" s="38" t="str">
        <f aca="false">IF(AND(ISNUMBER(E270),ISNUMBER(F270)),NETWORKDAYS.INTL(E270,F270,11),"")</f>
        <v/>
      </c>
      <c r="AH270" s="38" t="str">
        <f aca="false">IF(OR(NOT(AND(ISNUMBER(E270),ISNUMBER(F270))),$J$2=""),"",IF(Reprogramaciones!$P$15&lt;Reprogramaciones!$T$15,0,IF(Reprogramaciones!$R$15&gt;10,MIN(100,SUM($G270:$P270)),MIN(100,SUMPRODUCT((COLUMN($G270:$P270)-COLUMN($G270)+1&lt;Reprogramaciones!$R$15)*$G270:$P270)+N(INDEX($G270:$P270,1,Reprogramaciones!$R$15))*IF(Reprogramaciones!$P$15&gt;=(Reprogramaciones!$T$15+7*(Reprogramaciones!$R$15-1))+6,1,IF(MAX(0,NETWORKDAYS.INTL(MAX(E270,(Reprogramaciones!$T$15+7*(Reprogramaciones!$R$15-1))),MIN(F270,(Reprogramaciones!$T$15+7*(Reprogramaciones!$R$15-1))+6),11))=0,0,MAX(0,NETWORKDAYS.INTL(MAX(E270,(Reprogramaciones!$T$15+7*(Reprogramaciones!$R$15-1))),MIN(F270,Reprogramaciones!$P$15),11))/MAX(0,NETWORKDAYS.INTL(MAX(E270,(Reprogramaciones!$T$15+7*(Reprogramaciones!$R$15-1))),MIN(F270,(Reprogramaciones!$T$15+7*(Reprogramaciones!$R$15-1))+6),11))))))))</f>
        <v/>
      </c>
      <c r="AI270" s="38" t="str">
        <f aca="false">IF(COUNT($Q270:$AF270)=0,"",IF(ROUND(SUM($Q270:$AF270),1)&gt;=99.5,100,MIN(100,ROUND(SUM($Q270:$AF270),1))))</f>
        <v/>
      </c>
      <c r="AJ270" s="38" t="str">
        <f aca="false">IF(OR(AH270="",AI270=""),"",AI270-AH270)</f>
        <v/>
      </c>
      <c r="AK270" s="39" t="str">
        <f aca="true">IF(AH270="","",IF(OR(Ficha!$C$10="Suspendida",Ficha!$C$10="Cancelada"),Ficha!$C$10,IF(AND(AI270&lt;&gt;"",N(AI270)&gt;=100),"Completada",IF(AND(E270&gt;TODAY(),N(AI270)=0),"Por iniciar",IF(N(AI270)+0.5&lt;AH270,"Retrasada",IF(N(AI270)+0.5&lt;DA270,IF(Reprogramaciones!$K$15&gt;0,"Al día · Sem "&amp;Reprogramaciones!$K$15&amp;" en curso","Al día · en curso"),"A tiempo"))))))</f>
        <v/>
      </c>
      <c r="AL270" s="39" t="str">
        <f aca="true">IF(AND(A270="",AND(B270="",C270="",E270="",F270="",COUNT(Q270:AF270)=0)),"",IF(AND(B270="",C270="",E270="",F270="",COUNT(Q270:AF270)=0),"Falta la partida o subpartida",IF(AND(A270&lt;&gt;"",COUNTIF($A$6:$A$305,A270)&gt;1),"Ítem repetido",IF(AND(C270="",E270="",F270="",COUNT(Q270:AF270)=0),"Título de partida",IF(OR(E270="",F270=""),"Faltan fechas",IF(OR(ISTEXT(E270),ISTEXT(F270)),"Fecha escrita como texto: usa dd/mm/aaaa",IF(F270&lt;E270,"Fin antes del inicio",IF(IF($J$2="",FALSE(),OR(E270&lt;$J$2,F270&gt;Reprogramaciones!$T$15+69)),"Fuera de las 10 semanas",IF(ABS(SUM(G270:P270)-100)&gt;0.5,"La meta no suma 100%",IF(ROUND(SUM(Q270:AF270),1)&gt;100.5,"El avance pasa de 100%",IF(MIN(Q270:AF270)&lt;0,"Avance negativo",IF(COUNTA(Q270:AF270)&gt;COUNT(Q270:AF270),"Avance escrito como texto",IF(SUMPRODUCT((Q270:AF270&gt;0)*(Q270:AF270&lt;1))&gt;0,"Avance menor a 1: escribe 50, no 50%",IF(SUMPRODUCT(ISNUMBER(Q270:AF270)*(Reprogramaciones!$K$8:$Z$8&gt;TODAY()))&gt;0,"Avance en semana que aún no llega",IF(AND(N(Reprogramaciones!$E$21)&gt;0,F270&gt;Reprogramaciones!$E$21),"Pasa el fin de la obra: registra una reprogramación",IF(AND(N(Reprogramaciones!$E$21)&gt;0,SUMPRODUCT(ISNUMBER(Q270:AF270)*(Reprogramaciones!$K$8:$Z$8&gt;Reprogramaciones!$E$21))&gt;0),"Avance después del fin de la obra: registra una reprogramación por atraso","OK"))))))))))))))))</f>
        <v/>
      </c>
      <c r="AM270" s="40" t="str">
        <f aca="false">IF(OR(OR(NOT(AND(ISNUMBER(E270),ISNUMBER(F270))),$J$2=""),1&gt;MAX(1,Reprogramaciones!$U$15)),"",IF(Reprogramaciones!K$12&gt;=7,"",IF(OR(BT270-N(0)&gt;0.05,N(Q270)&gt;0),ROUNDDOWN(ROUND(BT270,6),0)&amp;"%"&amp;IF(CJ270="",""," / "&amp;CJ270&amp;"%"),IF(AND(N(0)&gt;=99.95,CJ270&lt;&gt;"",N(CJ270)&lt;100),"Pend. "&amp;CJ270&amp;"%",""))))</f>
        <v/>
      </c>
      <c r="AN270" s="40" t="str">
        <f aca="false">IF(OR(OR(NOT(AND(ISNUMBER(E270),ISNUMBER(F270))),$J$2=""),2&gt;MAX(1,Reprogramaciones!$U$15)),"",IF(Reprogramaciones!L$12&gt;=7,"",IF(OR(BU270-N(BT270)&gt;0.05,N(R270)&gt;0),ROUNDDOWN(ROUND(BU270,6),0)&amp;"%"&amp;IF(CK270="",""," / "&amp;CK270&amp;"%"),IF(AND(N(BT270)&gt;=99.95,CK270&lt;&gt;"",N(CK270)&lt;100),"Pend. "&amp;CK270&amp;"%",""))))</f>
        <v/>
      </c>
      <c r="AO270" s="40" t="str">
        <f aca="false">IF(OR(OR(NOT(AND(ISNUMBER(E270),ISNUMBER(F270))),$J$2=""),3&gt;MAX(1,Reprogramaciones!$U$15)),"",IF(Reprogramaciones!M$12&gt;=7,"",IF(OR(BV270-N(BU270)&gt;0.05,N(S270)&gt;0),ROUNDDOWN(ROUND(BV270,6),0)&amp;"%"&amp;IF(CL270="",""," / "&amp;CL270&amp;"%"),IF(AND(N(BU270)&gt;=99.95,CL270&lt;&gt;"",N(CL270)&lt;100),"Pend. "&amp;CL270&amp;"%",""))))</f>
        <v/>
      </c>
      <c r="AP270" s="40" t="str">
        <f aca="false">IF(OR(OR(NOT(AND(ISNUMBER(E270),ISNUMBER(F270))),$J$2=""),4&gt;MAX(1,Reprogramaciones!$U$15)),"",IF(Reprogramaciones!N$12&gt;=7,"",IF(OR(BW270-N(BV270)&gt;0.05,N(T270)&gt;0),ROUNDDOWN(ROUND(BW270,6),0)&amp;"%"&amp;IF(CM270="",""," / "&amp;CM270&amp;"%"),IF(AND(N(BV270)&gt;=99.95,CM270&lt;&gt;"",N(CM270)&lt;100),"Pend. "&amp;CM270&amp;"%",""))))</f>
        <v/>
      </c>
      <c r="AQ270" s="40" t="str">
        <f aca="false">IF(OR(OR(NOT(AND(ISNUMBER(E270),ISNUMBER(F270))),$J$2=""),5&gt;MAX(1,Reprogramaciones!$U$15)),"",IF(Reprogramaciones!O$12&gt;=7,"",IF(OR(BX270-N(BW270)&gt;0.05,N(U270)&gt;0),ROUNDDOWN(ROUND(BX270,6),0)&amp;"%"&amp;IF(CN270="",""," / "&amp;CN270&amp;"%"),IF(AND(N(BW270)&gt;=99.95,CN270&lt;&gt;"",N(CN270)&lt;100),"Pend. "&amp;CN270&amp;"%",""))))</f>
        <v/>
      </c>
      <c r="AR270" s="40" t="str">
        <f aca="false">IF(OR(OR(NOT(AND(ISNUMBER(E270),ISNUMBER(F270))),$J$2=""),6&gt;MAX(1,Reprogramaciones!$U$15)),"",IF(Reprogramaciones!P$12&gt;=7,"",IF(OR(BY270-N(BX270)&gt;0.05,N(V270)&gt;0),ROUNDDOWN(ROUND(BY270,6),0)&amp;"%"&amp;IF(CO270="",""," / "&amp;CO270&amp;"%"),IF(AND(N(BX270)&gt;=99.95,CO270&lt;&gt;"",N(CO270)&lt;100),"Pend. "&amp;CO270&amp;"%",""))))</f>
        <v/>
      </c>
      <c r="AS270" s="40" t="str">
        <f aca="false">IF(OR(OR(NOT(AND(ISNUMBER(E270),ISNUMBER(F270))),$J$2=""),7&gt;MAX(1,Reprogramaciones!$U$15)),"",IF(Reprogramaciones!Q$12&gt;=7,"",IF(OR(BZ270-N(BY270)&gt;0.05,N(W270)&gt;0),ROUNDDOWN(ROUND(BZ270,6),0)&amp;"%"&amp;IF(CP270="",""," / "&amp;CP270&amp;"%"),IF(AND(N(BY270)&gt;=99.95,CP270&lt;&gt;"",N(CP270)&lt;100),"Pend. "&amp;CP270&amp;"%",""))))</f>
        <v/>
      </c>
      <c r="AT270" s="40" t="str">
        <f aca="false">IF(OR(OR(NOT(AND(ISNUMBER(E270),ISNUMBER(F270))),$J$2=""),8&gt;MAX(1,Reprogramaciones!$U$15)),"",IF(Reprogramaciones!R$12&gt;=7,"",IF(OR(CA270-N(BZ270)&gt;0.05,N(X270)&gt;0),ROUNDDOWN(ROUND(CA270,6),0)&amp;"%"&amp;IF(CQ270="",""," / "&amp;CQ270&amp;"%"),IF(AND(N(BZ270)&gt;=99.95,CQ270&lt;&gt;"",N(CQ270)&lt;100),"Pend. "&amp;CQ270&amp;"%",""))))</f>
        <v/>
      </c>
      <c r="AU270" s="40" t="str">
        <f aca="false">IF(OR(OR(NOT(AND(ISNUMBER(E270),ISNUMBER(F270))),$J$2=""),9&gt;MAX(1,Reprogramaciones!$U$15)),"",IF(Reprogramaciones!S$12&gt;=7,"",IF(OR(CB270-N(CA270)&gt;0.05,N(Y270)&gt;0),ROUNDDOWN(ROUND(CB270,6),0)&amp;"%"&amp;IF(CR270="",""," / "&amp;CR270&amp;"%"),IF(AND(N(CA270)&gt;=99.95,CR270&lt;&gt;"",N(CR270)&lt;100),"Pend. "&amp;CR270&amp;"%",""))))</f>
        <v/>
      </c>
      <c r="AV270" s="40" t="str">
        <f aca="false">IF(OR(OR(NOT(AND(ISNUMBER(E270),ISNUMBER(F270))),$J$2=""),10&gt;MAX(1,Reprogramaciones!$U$15)),"",IF(Reprogramaciones!T$12&gt;=7,"",IF(OR(CC270-N(CB270)&gt;0.05,N(Z270)&gt;0),ROUNDDOWN(ROUND(CC270,6),0)&amp;"%"&amp;IF(CS270="",""," / "&amp;CS270&amp;"%"),IF(AND(N(CB270)&gt;=99.95,CS270&lt;&gt;"",N(CS270)&lt;100),"Pend. "&amp;CS270&amp;"%",""))))</f>
        <v/>
      </c>
      <c r="AW270" s="40" t="str">
        <f aca="false">IF(OR(OR(NOT(AND(ISNUMBER(E270),ISNUMBER(F270))),$J$2=""),11&gt;MAX(1,Reprogramaciones!$U$15)),"",IF(Reprogramaciones!U$12&gt;=7,"",IF(OR(CD270-N(CC270)&gt;0.05,N(AA270)&gt;0),ROUNDDOWN(ROUND(CD270,6),0)&amp;"%"&amp;IF(CT270="",""," / "&amp;CT270&amp;"%"),IF(AND(N(CC270)&gt;=99.95,CT270&lt;&gt;"",N(CT270)&lt;100),"Pend. "&amp;CT270&amp;"%",""))))</f>
        <v/>
      </c>
      <c r="AX270" s="40" t="str">
        <f aca="false">IF(OR(OR(NOT(AND(ISNUMBER(E270),ISNUMBER(F270))),$J$2=""),12&gt;MAX(1,Reprogramaciones!$U$15)),"",IF(Reprogramaciones!V$12&gt;=7,"",IF(OR(CE270-N(CD270)&gt;0.05,N(AB270)&gt;0),ROUNDDOWN(ROUND(CE270,6),0)&amp;"%"&amp;IF(CU270="",""," / "&amp;CU270&amp;"%"),IF(AND(N(CD270)&gt;=99.95,CU270&lt;&gt;"",N(CU270)&lt;100),"Pend. "&amp;CU270&amp;"%",""))))</f>
        <v/>
      </c>
      <c r="AY270" s="40" t="str">
        <f aca="false">IF(OR(OR(NOT(AND(ISNUMBER(E270),ISNUMBER(F270))),$J$2=""),13&gt;MAX(1,Reprogramaciones!$U$15)),"",IF(Reprogramaciones!W$12&gt;=7,"",IF(OR(CF270-N(CE270)&gt;0.05,N(AC270)&gt;0),ROUNDDOWN(ROUND(CF270,6),0)&amp;"%"&amp;IF(CV270="",""," / "&amp;CV270&amp;"%"),IF(AND(N(CE270)&gt;=99.95,CV270&lt;&gt;"",N(CV270)&lt;100),"Pend. "&amp;CV270&amp;"%",""))))</f>
        <v/>
      </c>
      <c r="AZ270" s="40" t="str">
        <f aca="false">IF(OR(OR(NOT(AND(ISNUMBER(E270),ISNUMBER(F270))),$J$2=""),14&gt;MAX(1,Reprogramaciones!$U$15)),"",IF(Reprogramaciones!X$12&gt;=7,"",IF(OR(CG270-N(CF270)&gt;0.05,N(AD270)&gt;0),ROUNDDOWN(ROUND(CG270,6),0)&amp;"%"&amp;IF(CW270="",""," / "&amp;CW270&amp;"%"),IF(AND(N(CF270)&gt;=99.95,CW270&lt;&gt;"",N(CW270)&lt;100),"Pend. "&amp;CW270&amp;"%",""))))</f>
        <v/>
      </c>
      <c r="BA270" s="40" t="str">
        <f aca="false">IF(OR(OR(NOT(AND(ISNUMBER(E270),ISNUMBER(F270))),$J$2=""),15&gt;MAX(1,Reprogramaciones!$U$15)),"",IF(Reprogramaciones!Y$12&gt;=7,"",IF(OR(CH270-N(CG270)&gt;0.05,N(AE270)&gt;0),ROUNDDOWN(ROUND(CH270,6),0)&amp;"%"&amp;IF(CX270="",""," / "&amp;CX270&amp;"%"),IF(AND(N(CG270)&gt;=99.95,CX270&lt;&gt;"",N(CX270)&lt;100),"Pend. "&amp;CX270&amp;"%",""))))</f>
        <v/>
      </c>
      <c r="BB270" s="40" t="str">
        <f aca="false">IF(OR(OR(NOT(AND(ISNUMBER(E270),ISNUMBER(F270))),$J$2=""),16&gt;MAX(1,Reprogramaciones!$U$15)),"",IF(Reprogramaciones!Z$12&gt;=7,"",IF(OR(CI270-N(CH270)&gt;0.05,N(AF270)&gt;0),ROUNDDOWN(ROUND(CI270,6),0)&amp;"%"&amp;IF(CY270="",""," / "&amp;CY270&amp;"%"),IF(AND(N(CH270)&gt;=99.95,CY270&lt;&gt;"",N(CY270)&lt;100),"Pend. "&amp;CY270&amp;"%",""))))</f>
        <v/>
      </c>
      <c r="BC270" s="31" t="n">
        <f aca="false">IF(AND(ISNUMBER(E270),ISNUMBER(F270)),MAX(1,NETWORKDAYS.INTL(E270,F270,11)),0)</f>
        <v>0</v>
      </c>
      <c r="BD270" s="1" t="str">
        <f aca="false">IF(OR(NOT(AND(ISNUMBER(E270),ISNUMBER(F270))),$J$2=""),"",MIN(100,ROUND(SUM($G270:G270),1)))</f>
        <v/>
      </c>
      <c r="BE270" s="1" t="str">
        <f aca="false">IF(OR(NOT(AND(ISNUMBER(E270),ISNUMBER(F270))),$J$2=""),"",MIN(100,ROUND(SUM($G270:H270),1)))</f>
        <v/>
      </c>
      <c r="BF270" s="1" t="str">
        <f aca="false">IF(OR(NOT(AND(ISNUMBER(E270),ISNUMBER(F270))),$J$2=""),"",MIN(100,ROUND(SUM($G270:I270),1)))</f>
        <v/>
      </c>
      <c r="BG270" s="1" t="str">
        <f aca="false">IF(OR(NOT(AND(ISNUMBER(E270),ISNUMBER(F270))),$J$2=""),"",MIN(100,ROUND(SUM($G270:J270),1)))</f>
        <v/>
      </c>
      <c r="BH270" s="1" t="str">
        <f aca="false">IF(OR(NOT(AND(ISNUMBER(E270),ISNUMBER(F270))),$J$2=""),"",MIN(100,ROUND(SUM($G270:K270),1)))</f>
        <v/>
      </c>
      <c r="BI270" s="1" t="str">
        <f aca="false">IF(OR(NOT(AND(ISNUMBER(E270),ISNUMBER(F270))),$J$2=""),"",MIN(100,ROUND(SUM($G270:L270),1)))</f>
        <v/>
      </c>
      <c r="BJ270" s="1" t="str">
        <f aca="false">IF(OR(NOT(AND(ISNUMBER(E270),ISNUMBER(F270))),$J$2=""),"",MIN(100,ROUND(SUM($G270:M270),1)))</f>
        <v/>
      </c>
      <c r="BK270" s="1" t="str">
        <f aca="false">IF(OR(NOT(AND(ISNUMBER(E270),ISNUMBER(F270))),$J$2=""),"",MIN(100,ROUND(SUM($G270:N270),1)))</f>
        <v/>
      </c>
      <c r="BL270" s="1" t="str">
        <f aca="false">IF(OR(NOT(AND(ISNUMBER(E270),ISNUMBER(F270))),$J$2=""),"",MIN(100,ROUND(SUM($G270:O270),1)))</f>
        <v/>
      </c>
      <c r="BM270" s="1" t="str">
        <f aca="false">IF(OR(NOT(AND(ISNUMBER(E270),ISNUMBER(F270))),$J$2=""),"",MIN(100,ROUND(SUM($G270:P270),1)))</f>
        <v/>
      </c>
      <c r="BN270" s="1" t="str">
        <f aca="false">IF(OR(NOT(AND(ISNUMBER(E270),ISNUMBER(F270))),$J$2=""),"",MIN(100,ROUND(SUM($G270:P270),1)))</f>
        <v/>
      </c>
      <c r="BO270" s="1" t="str">
        <f aca="false">IF(OR(NOT(AND(ISNUMBER(E270),ISNUMBER(F270))),$J$2=""),"",MIN(100,ROUND(SUM($G270:P270),1)))</f>
        <v/>
      </c>
      <c r="BP270" s="1" t="str">
        <f aca="false">IF(OR(NOT(AND(ISNUMBER(E270),ISNUMBER(F270))),$J$2=""),"",MIN(100,ROUND(SUM($G270:P270),1)))</f>
        <v/>
      </c>
      <c r="BQ270" s="1" t="str">
        <f aca="false">IF(OR(NOT(AND(ISNUMBER(E270),ISNUMBER(F270))),$J$2=""),"",MIN(100,ROUND(SUM($G270:P270),1)))</f>
        <v/>
      </c>
      <c r="BR270" s="1" t="str">
        <f aca="false">IF(OR(NOT(AND(ISNUMBER(E270),ISNUMBER(F270))),$J$2=""),"",MIN(100,ROUND(SUM($G270:P270),1)))</f>
        <v/>
      </c>
      <c r="BS270" s="1" t="str">
        <f aca="false">IF(OR(NOT(AND(ISNUMBER(E270),ISNUMBER(F270))),$J$2=""),"",MIN(100,ROUND(SUM($G270:P270),1)))</f>
        <v/>
      </c>
      <c r="BT270" s="1" t="str">
        <f aca="false">IF(OR(NOT(AND(ISNUMBER(E270),ISNUMBER(F270))),$J$2=""),"",IF(Reprogramaciones!K$13&lt;Reprogramaciones!$T$15,0,IF(Reprogramaciones!K$14&gt;10,MIN(100,SUM($G270:$P270)),MIN(100,SUMPRODUCT((COLUMN($G270:$P270)-COLUMN($G270)+1&lt;Reprogramaciones!K$14)*$G270:$P270)+N(INDEX($G270:$P270,1,Reprogramaciones!K$14))*IF(Reprogramaciones!K$13&gt;=(Reprogramaciones!$T$15+7*(Reprogramaciones!K$14-1))+6,1,IF(MAX(0,NETWORKDAYS.INTL(MAX(E270,(Reprogramaciones!$T$15+7*(Reprogramaciones!K$14-1))),MIN(F270,(Reprogramaciones!$T$15+7*(Reprogramaciones!K$14-1))+6),11))=0,0,MAX(0,NETWORKDAYS.INTL(MAX(E270,(Reprogramaciones!$T$15+7*(Reprogramaciones!K$14-1))),MIN(F270,Reprogramaciones!K$13),11))/MAX(0,NETWORKDAYS.INTL(MAX(E270,(Reprogramaciones!$T$15+7*(Reprogramaciones!K$14-1))),MIN(F270,(Reprogramaciones!$T$15+7*(Reprogramaciones!K$14-1))+6),11))))))))</f>
        <v/>
      </c>
      <c r="BU270" s="1" t="str">
        <f aca="false">IF(OR(NOT(AND(ISNUMBER(E270),ISNUMBER(F270))),$J$2=""),"",IF(Reprogramaciones!L$13&lt;Reprogramaciones!$T$15,0,IF(Reprogramaciones!L$14&gt;10,MIN(100,SUM($G270:$P270)),MIN(100,SUMPRODUCT((COLUMN($G270:$P270)-COLUMN($G270)+1&lt;Reprogramaciones!L$14)*$G270:$P270)+N(INDEX($G270:$P270,1,Reprogramaciones!L$14))*IF(Reprogramaciones!L$13&gt;=(Reprogramaciones!$T$15+7*(Reprogramaciones!L$14-1))+6,1,IF(MAX(0,NETWORKDAYS.INTL(MAX(E270,(Reprogramaciones!$T$15+7*(Reprogramaciones!L$14-1))),MIN(F270,(Reprogramaciones!$T$15+7*(Reprogramaciones!L$14-1))+6),11))=0,0,MAX(0,NETWORKDAYS.INTL(MAX(E270,(Reprogramaciones!$T$15+7*(Reprogramaciones!L$14-1))),MIN(F270,Reprogramaciones!L$13),11))/MAX(0,NETWORKDAYS.INTL(MAX(E270,(Reprogramaciones!$T$15+7*(Reprogramaciones!L$14-1))),MIN(F270,(Reprogramaciones!$T$15+7*(Reprogramaciones!L$14-1))+6),11))))))))</f>
        <v/>
      </c>
      <c r="BV270" s="1" t="str">
        <f aca="false">IF(OR(NOT(AND(ISNUMBER(E270),ISNUMBER(F270))),$J$2=""),"",IF(Reprogramaciones!M$13&lt;Reprogramaciones!$T$15,0,IF(Reprogramaciones!M$14&gt;10,MIN(100,SUM($G270:$P270)),MIN(100,SUMPRODUCT((COLUMN($G270:$P270)-COLUMN($G270)+1&lt;Reprogramaciones!M$14)*$G270:$P270)+N(INDEX($G270:$P270,1,Reprogramaciones!M$14))*IF(Reprogramaciones!M$13&gt;=(Reprogramaciones!$T$15+7*(Reprogramaciones!M$14-1))+6,1,IF(MAX(0,NETWORKDAYS.INTL(MAX(E270,(Reprogramaciones!$T$15+7*(Reprogramaciones!M$14-1))),MIN(F270,(Reprogramaciones!$T$15+7*(Reprogramaciones!M$14-1))+6),11))=0,0,MAX(0,NETWORKDAYS.INTL(MAX(E270,(Reprogramaciones!$T$15+7*(Reprogramaciones!M$14-1))),MIN(F270,Reprogramaciones!M$13),11))/MAX(0,NETWORKDAYS.INTL(MAX(E270,(Reprogramaciones!$T$15+7*(Reprogramaciones!M$14-1))),MIN(F270,(Reprogramaciones!$T$15+7*(Reprogramaciones!M$14-1))+6),11))))))))</f>
        <v/>
      </c>
      <c r="BW270" s="1" t="str">
        <f aca="false">IF(OR(NOT(AND(ISNUMBER(E270),ISNUMBER(F270))),$J$2=""),"",IF(Reprogramaciones!N$13&lt;Reprogramaciones!$T$15,0,IF(Reprogramaciones!N$14&gt;10,MIN(100,SUM($G270:$P270)),MIN(100,SUMPRODUCT((COLUMN($G270:$P270)-COLUMN($G270)+1&lt;Reprogramaciones!N$14)*$G270:$P270)+N(INDEX($G270:$P270,1,Reprogramaciones!N$14))*IF(Reprogramaciones!N$13&gt;=(Reprogramaciones!$T$15+7*(Reprogramaciones!N$14-1))+6,1,IF(MAX(0,NETWORKDAYS.INTL(MAX(E270,(Reprogramaciones!$T$15+7*(Reprogramaciones!N$14-1))),MIN(F270,(Reprogramaciones!$T$15+7*(Reprogramaciones!N$14-1))+6),11))=0,0,MAX(0,NETWORKDAYS.INTL(MAX(E270,(Reprogramaciones!$T$15+7*(Reprogramaciones!N$14-1))),MIN(F270,Reprogramaciones!N$13),11))/MAX(0,NETWORKDAYS.INTL(MAX(E270,(Reprogramaciones!$T$15+7*(Reprogramaciones!N$14-1))),MIN(F270,(Reprogramaciones!$T$15+7*(Reprogramaciones!N$14-1))+6),11))))))))</f>
        <v/>
      </c>
      <c r="BX270" s="1" t="str">
        <f aca="false">IF(OR(NOT(AND(ISNUMBER(E270),ISNUMBER(F270))),$J$2=""),"",IF(Reprogramaciones!O$13&lt;Reprogramaciones!$T$15,0,IF(Reprogramaciones!O$14&gt;10,MIN(100,SUM($G270:$P270)),MIN(100,SUMPRODUCT((COLUMN($G270:$P270)-COLUMN($G270)+1&lt;Reprogramaciones!O$14)*$G270:$P270)+N(INDEX($G270:$P270,1,Reprogramaciones!O$14))*IF(Reprogramaciones!O$13&gt;=(Reprogramaciones!$T$15+7*(Reprogramaciones!O$14-1))+6,1,IF(MAX(0,NETWORKDAYS.INTL(MAX(E270,(Reprogramaciones!$T$15+7*(Reprogramaciones!O$14-1))),MIN(F270,(Reprogramaciones!$T$15+7*(Reprogramaciones!O$14-1))+6),11))=0,0,MAX(0,NETWORKDAYS.INTL(MAX(E270,(Reprogramaciones!$T$15+7*(Reprogramaciones!O$14-1))),MIN(F270,Reprogramaciones!O$13),11))/MAX(0,NETWORKDAYS.INTL(MAX(E270,(Reprogramaciones!$T$15+7*(Reprogramaciones!O$14-1))),MIN(F270,(Reprogramaciones!$T$15+7*(Reprogramaciones!O$14-1))+6),11))))))))</f>
        <v/>
      </c>
      <c r="BY270" s="1" t="str">
        <f aca="false">IF(OR(NOT(AND(ISNUMBER(E270),ISNUMBER(F270))),$J$2=""),"",IF(Reprogramaciones!P$13&lt;Reprogramaciones!$T$15,0,IF(Reprogramaciones!P$14&gt;10,MIN(100,SUM($G270:$P270)),MIN(100,SUMPRODUCT((COLUMN($G270:$P270)-COLUMN($G270)+1&lt;Reprogramaciones!P$14)*$G270:$P270)+N(INDEX($G270:$P270,1,Reprogramaciones!P$14))*IF(Reprogramaciones!P$13&gt;=(Reprogramaciones!$T$15+7*(Reprogramaciones!P$14-1))+6,1,IF(MAX(0,NETWORKDAYS.INTL(MAX(E270,(Reprogramaciones!$T$15+7*(Reprogramaciones!P$14-1))),MIN(F270,(Reprogramaciones!$T$15+7*(Reprogramaciones!P$14-1))+6),11))=0,0,MAX(0,NETWORKDAYS.INTL(MAX(E270,(Reprogramaciones!$T$15+7*(Reprogramaciones!P$14-1))),MIN(F270,Reprogramaciones!P$13),11))/MAX(0,NETWORKDAYS.INTL(MAX(E270,(Reprogramaciones!$T$15+7*(Reprogramaciones!P$14-1))),MIN(F270,(Reprogramaciones!$T$15+7*(Reprogramaciones!P$14-1))+6),11))))))))</f>
        <v/>
      </c>
      <c r="BZ270" s="1" t="str">
        <f aca="false">IF(OR(NOT(AND(ISNUMBER(E270),ISNUMBER(F270))),$J$2=""),"",IF(Reprogramaciones!Q$13&lt;Reprogramaciones!$T$15,0,IF(Reprogramaciones!Q$14&gt;10,MIN(100,SUM($G270:$P270)),MIN(100,SUMPRODUCT((COLUMN($G270:$P270)-COLUMN($G270)+1&lt;Reprogramaciones!Q$14)*$G270:$P270)+N(INDEX($G270:$P270,1,Reprogramaciones!Q$14))*IF(Reprogramaciones!Q$13&gt;=(Reprogramaciones!$T$15+7*(Reprogramaciones!Q$14-1))+6,1,IF(MAX(0,NETWORKDAYS.INTL(MAX(E270,(Reprogramaciones!$T$15+7*(Reprogramaciones!Q$14-1))),MIN(F270,(Reprogramaciones!$T$15+7*(Reprogramaciones!Q$14-1))+6),11))=0,0,MAX(0,NETWORKDAYS.INTL(MAX(E270,(Reprogramaciones!$T$15+7*(Reprogramaciones!Q$14-1))),MIN(F270,Reprogramaciones!Q$13),11))/MAX(0,NETWORKDAYS.INTL(MAX(E270,(Reprogramaciones!$T$15+7*(Reprogramaciones!Q$14-1))),MIN(F270,(Reprogramaciones!$T$15+7*(Reprogramaciones!Q$14-1))+6),11))))))))</f>
        <v/>
      </c>
      <c r="CA270" s="1" t="str">
        <f aca="false">IF(OR(NOT(AND(ISNUMBER(E270),ISNUMBER(F270))),$J$2=""),"",IF(Reprogramaciones!R$13&lt;Reprogramaciones!$T$15,0,IF(Reprogramaciones!R$14&gt;10,MIN(100,SUM($G270:$P270)),MIN(100,SUMPRODUCT((COLUMN($G270:$P270)-COLUMN($G270)+1&lt;Reprogramaciones!R$14)*$G270:$P270)+N(INDEX($G270:$P270,1,Reprogramaciones!R$14))*IF(Reprogramaciones!R$13&gt;=(Reprogramaciones!$T$15+7*(Reprogramaciones!R$14-1))+6,1,IF(MAX(0,NETWORKDAYS.INTL(MAX(E270,(Reprogramaciones!$T$15+7*(Reprogramaciones!R$14-1))),MIN(F270,(Reprogramaciones!$T$15+7*(Reprogramaciones!R$14-1))+6),11))=0,0,MAX(0,NETWORKDAYS.INTL(MAX(E270,(Reprogramaciones!$T$15+7*(Reprogramaciones!R$14-1))),MIN(F270,Reprogramaciones!R$13),11))/MAX(0,NETWORKDAYS.INTL(MAX(E270,(Reprogramaciones!$T$15+7*(Reprogramaciones!R$14-1))),MIN(F270,(Reprogramaciones!$T$15+7*(Reprogramaciones!R$14-1))+6),11))))))))</f>
        <v/>
      </c>
      <c r="CB270" s="1" t="str">
        <f aca="false">IF(OR(NOT(AND(ISNUMBER(E270),ISNUMBER(F270))),$J$2=""),"",IF(Reprogramaciones!S$13&lt;Reprogramaciones!$T$15,0,IF(Reprogramaciones!S$14&gt;10,MIN(100,SUM($G270:$P270)),MIN(100,SUMPRODUCT((COLUMN($G270:$P270)-COLUMN($G270)+1&lt;Reprogramaciones!S$14)*$G270:$P270)+N(INDEX($G270:$P270,1,Reprogramaciones!S$14))*IF(Reprogramaciones!S$13&gt;=(Reprogramaciones!$T$15+7*(Reprogramaciones!S$14-1))+6,1,IF(MAX(0,NETWORKDAYS.INTL(MAX(E270,(Reprogramaciones!$T$15+7*(Reprogramaciones!S$14-1))),MIN(F270,(Reprogramaciones!$T$15+7*(Reprogramaciones!S$14-1))+6),11))=0,0,MAX(0,NETWORKDAYS.INTL(MAX(E270,(Reprogramaciones!$T$15+7*(Reprogramaciones!S$14-1))),MIN(F270,Reprogramaciones!S$13),11))/MAX(0,NETWORKDAYS.INTL(MAX(E270,(Reprogramaciones!$T$15+7*(Reprogramaciones!S$14-1))),MIN(F270,(Reprogramaciones!$T$15+7*(Reprogramaciones!S$14-1))+6),11))))))))</f>
        <v/>
      </c>
      <c r="CC270" s="1" t="str">
        <f aca="false">IF(OR(NOT(AND(ISNUMBER(E270),ISNUMBER(F270))),$J$2=""),"",IF(Reprogramaciones!T$13&lt;Reprogramaciones!$T$15,0,IF(Reprogramaciones!T$14&gt;10,MIN(100,SUM($G270:$P270)),MIN(100,SUMPRODUCT((COLUMN($G270:$P270)-COLUMN($G270)+1&lt;Reprogramaciones!T$14)*$G270:$P270)+N(INDEX($G270:$P270,1,Reprogramaciones!T$14))*IF(Reprogramaciones!T$13&gt;=(Reprogramaciones!$T$15+7*(Reprogramaciones!T$14-1))+6,1,IF(MAX(0,NETWORKDAYS.INTL(MAX(E270,(Reprogramaciones!$T$15+7*(Reprogramaciones!T$14-1))),MIN(F270,(Reprogramaciones!$T$15+7*(Reprogramaciones!T$14-1))+6),11))=0,0,MAX(0,NETWORKDAYS.INTL(MAX(E270,(Reprogramaciones!$T$15+7*(Reprogramaciones!T$14-1))),MIN(F270,Reprogramaciones!T$13),11))/MAX(0,NETWORKDAYS.INTL(MAX(E270,(Reprogramaciones!$T$15+7*(Reprogramaciones!T$14-1))),MIN(F270,(Reprogramaciones!$T$15+7*(Reprogramaciones!T$14-1))+6),11))))))))</f>
        <v/>
      </c>
      <c r="CD270" s="1" t="str">
        <f aca="false">IF(OR(NOT(AND(ISNUMBER(E270),ISNUMBER(F270))),$J$2=""),"",IF(Reprogramaciones!U$13&lt;Reprogramaciones!$T$15,0,IF(Reprogramaciones!U$14&gt;10,MIN(100,SUM($G270:$P270)),MIN(100,SUMPRODUCT((COLUMN($G270:$P270)-COLUMN($G270)+1&lt;Reprogramaciones!U$14)*$G270:$P270)+N(INDEX($G270:$P270,1,Reprogramaciones!U$14))*IF(Reprogramaciones!U$13&gt;=(Reprogramaciones!$T$15+7*(Reprogramaciones!U$14-1))+6,1,IF(MAX(0,NETWORKDAYS.INTL(MAX(E270,(Reprogramaciones!$T$15+7*(Reprogramaciones!U$14-1))),MIN(F270,(Reprogramaciones!$T$15+7*(Reprogramaciones!U$14-1))+6),11))=0,0,MAX(0,NETWORKDAYS.INTL(MAX(E270,(Reprogramaciones!$T$15+7*(Reprogramaciones!U$14-1))),MIN(F270,Reprogramaciones!U$13),11))/MAX(0,NETWORKDAYS.INTL(MAX(E270,(Reprogramaciones!$T$15+7*(Reprogramaciones!U$14-1))),MIN(F270,(Reprogramaciones!$T$15+7*(Reprogramaciones!U$14-1))+6),11))))))))</f>
        <v/>
      </c>
      <c r="CE270" s="1" t="str">
        <f aca="false">IF(OR(NOT(AND(ISNUMBER(E270),ISNUMBER(F270))),$J$2=""),"",IF(Reprogramaciones!V$13&lt;Reprogramaciones!$T$15,0,IF(Reprogramaciones!V$14&gt;10,MIN(100,SUM($G270:$P270)),MIN(100,SUMPRODUCT((COLUMN($G270:$P270)-COLUMN($G270)+1&lt;Reprogramaciones!V$14)*$G270:$P270)+N(INDEX($G270:$P270,1,Reprogramaciones!V$14))*IF(Reprogramaciones!V$13&gt;=(Reprogramaciones!$T$15+7*(Reprogramaciones!V$14-1))+6,1,IF(MAX(0,NETWORKDAYS.INTL(MAX(E270,(Reprogramaciones!$T$15+7*(Reprogramaciones!V$14-1))),MIN(F270,(Reprogramaciones!$T$15+7*(Reprogramaciones!V$14-1))+6),11))=0,0,MAX(0,NETWORKDAYS.INTL(MAX(E270,(Reprogramaciones!$T$15+7*(Reprogramaciones!V$14-1))),MIN(F270,Reprogramaciones!V$13),11))/MAX(0,NETWORKDAYS.INTL(MAX(E270,(Reprogramaciones!$T$15+7*(Reprogramaciones!V$14-1))),MIN(F270,(Reprogramaciones!$T$15+7*(Reprogramaciones!V$14-1))+6),11))))))))</f>
        <v/>
      </c>
      <c r="CF270" s="1" t="str">
        <f aca="false">IF(OR(NOT(AND(ISNUMBER(E270),ISNUMBER(F270))),$J$2=""),"",IF(Reprogramaciones!W$13&lt;Reprogramaciones!$T$15,0,IF(Reprogramaciones!W$14&gt;10,MIN(100,SUM($G270:$P270)),MIN(100,SUMPRODUCT((COLUMN($G270:$P270)-COLUMN($G270)+1&lt;Reprogramaciones!W$14)*$G270:$P270)+N(INDEX($G270:$P270,1,Reprogramaciones!W$14))*IF(Reprogramaciones!W$13&gt;=(Reprogramaciones!$T$15+7*(Reprogramaciones!W$14-1))+6,1,IF(MAX(0,NETWORKDAYS.INTL(MAX(E270,(Reprogramaciones!$T$15+7*(Reprogramaciones!W$14-1))),MIN(F270,(Reprogramaciones!$T$15+7*(Reprogramaciones!W$14-1))+6),11))=0,0,MAX(0,NETWORKDAYS.INTL(MAX(E270,(Reprogramaciones!$T$15+7*(Reprogramaciones!W$14-1))),MIN(F270,Reprogramaciones!W$13),11))/MAX(0,NETWORKDAYS.INTL(MAX(E270,(Reprogramaciones!$T$15+7*(Reprogramaciones!W$14-1))),MIN(F270,(Reprogramaciones!$T$15+7*(Reprogramaciones!W$14-1))+6),11))))))))</f>
        <v/>
      </c>
      <c r="CG270" s="1" t="str">
        <f aca="false">IF(OR(NOT(AND(ISNUMBER(E270),ISNUMBER(F270))),$J$2=""),"",IF(Reprogramaciones!X$13&lt;Reprogramaciones!$T$15,0,IF(Reprogramaciones!X$14&gt;10,MIN(100,SUM($G270:$P270)),MIN(100,SUMPRODUCT((COLUMN($G270:$P270)-COLUMN($G270)+1&lt;Reprogramaciones!X$14)*$G270:$P270)+N(INDEX($G270:$P270,1,Reprogramaciones!X$14))*IF(Reprogramaciones!X$13&gt;=(Reprogramaciones!$T$15+7*(Reprogramaciones!X$14-1))+6,1,IF(MAX(0,NETWORKDAYS.INTL(MAX(E270,(Reprogramaciones!$T$15+7*(Reprogramaciones!X$14-1))),MIN(F270,(Reprogramaciones!$T$15+7*(Reprogramaciones!X$14-1))+6),11))=0,0,MAX(0,NETWORKDAYS.INTL(MAX(E270,(Reprogramaciones!$T$15+7*(Reprogramaciones!X$14-1))),MIN(F270,Reprogramaciones!X$13),11))/MAX(0,NETWORKDAYS.INTL(MAX(E270,(Reprogramaciones!$T$15+7*(Reprogramaciones!X$14-1))),MIN(F270,(Reprogramaciones!$T$15+7*(Reprogramaciones!X$14-1))+6),11))))))))</f>
        <v/>
      </c>
      <c r="CH270" s="1" t="str">
        <f aca="false">IF(OR(NOT(AND(ISNUMBER(E270),ISNUMBER(F270))),$J$2=""),"",IF(Reprogramaciones!Y$13&lt;Reprogramaciones!$T$15,0,IF(Reprogramaciones!Y$14&gt;10,MIN(100,SUM($G270:$P270)),MIN(100,SUMPRODUCT((COLUMN($G270:$P270)-COLUMN($G270)+1&lt;Reprogramaciones!Y$14)*$G270:$P270)+N(INDEX($G270:$P270,1,Reprogramaciones!Y$14))*IF(Reprogramaciones!Y$13&gt;=(Reprogramaciones!$T$15+7*(Reprogramaciones!Y$14-1))+6,1,IF(MAX(0,NETWORKDAYS.INTL(MAX(E270,(Reprogramaciones!$T$15+7*(Reprogramaciones!Y$14-1))),MIN(F270,(Reprogramaciones!$T$15+7*(Reprogramaciones!Y$14-1))+6),11))=0,0,MAX(0,NETWORKDAYS.INTL(MAX(E270,(Reprogramaciones!$T$15+7*(Reprogramaciones!Y$14-1))),MIN(F270,Reprogramaciones!Y$13),11))/MAX(0,NETWORKDAYS.INTL(MAX(E270,(Reprogramaciones!$T$15+7*(Reprogramaciones!Y$14-1))),MIN(F270,(Reprogramaciones!$T$15+7*(Reprogramaciones!Y$14-1))+6),11))))))))</f>
        <v/>
      </c>
      <c r="CI270" s="1" t="str">
        <f aca="false">IF(OR(NOT(AND(ISNUMBER(E270),ISNUMBER(F270))),$J$2=""),"",IF(Reprogramaciones!Z$13&lt;Reprogramaciones!$T$15,0,IF(Reprogramaciones!Z$14&gt;10,MIN(100,SUM($G270:$P270)),MIN(100,SUMPRODUCT((COLUMN($G270:$P270)-COLUMN($G270)+1&lt;Reprogramaciones!Z$14)*$G270:$P270)+N(INDEX($G270:$P270,1,Reprogramaciones!Z$14))*IF(Reprogramaciones!Z$13&gt;=(Reprogramaciones!$T$15+7*(Reprogramaciones!Z$14-1))+6,1,IF(MAX(0,NETWORKDAYS.INTL(MAX(E270,(Reprogramaciones!$T$15+7*(Reprogramaciones!Z$14-1))),MIN(F270,(Reprogramaciones!$T$15+7*(Reprogramaciones!Z$14-1))+6),11))=0,0,MAX(0,NETWORKDAYS.INTL(MAX(E270,(Reprogramaciones!$T$15+7*(Reprogramaciones!Z$14-1))),MIN(F270,Reprogramaciones!Z$13),11))/MAX(0,NETWORKDAYS.INTL(MAX(E270,(Reprogramaciones!$T$15+7*(Reprogramaciones!Z$14-1))),MIN(F270,(Reprogramaciones!$T$15+7*(Reprogramaciones!Z$14-1))+6),11))))))))</f>
        <v/>
      </c>
      <c r="CJ270" s="1" t="str">
        <f aca="false">IF(OR(OR(NOT(AND(ISNUMBER(E270),ISNUMBER(F270))),$J$2=""),1&gt;Reprogramaciones!$K$16),"",IF(ROUND(SUM($Q270:Q270),1)&gt;=99.5,100,MIN(100,ROUND(SUM($Q270:Q270),1))))</f>
        <v/>
      </c>
      <c r="CK270" s="1" t="str">
        <f aca="false">IF(OR(OR(NOT(AND(ISNUMBER(E270),ISNUMBER(F270))),$J$2=""),2&gt;Reprogramaciones!$K$16),"",IF(ROUND(SUM($Q270:R270),1)&gt;=99.5,100,MIN(100,ROUND(SUM($Q270:R270),1))))</f>
        <v/>
      </c>
      <c r="CL270" s="1" t="str">
        <f aca="false">IF(OR(OR(NOT(AND(ISNUMBER(E270),ISNUMBER(F270))),$J$2=""),3&gt;Reprogramaciones!$K$16),"",IF(ROUND(SUM($Q270:S270),1)&gt;=99.5,100,MIN(100,ROUND(SUM($Q270:S270),1))))</f>
        <v/>
      </c>
      <c r="CM270" s="1" t="str">
        <f aca="false">IF(OR(OR(NOT(AND(ISNUMBER(E270),ISNUMBER(F270))),$J$2=""),4&gt;Reprogramaciones!$K$16),"",IF(ROUND(SUM($Q270:T270),1)&gt;=99.5,100,MIN(100,ROUND(SUM($Q270:T270),1))))</f>
        <v/>
      </c>
      <c r="CN270" s="1" t="str">
        <f aca="false">IF(OR(OR(NOT(AND(ISNUMBER(E270),ISNUMBER(F270))),$J$2=""),5&gt;Reprogramaciones!$K$16),"",IF(ROUND(SUM($Q270:U270),1)&gt;=99.5,100,MIN(100,ROUND(SUM($Q270:U270),1))))</f>
        <v/>
      </c>
      <c r="CO270" s="1" t="str">
        <f aca="false">IF(OR(OR(NOT(AND(ISNUMBER(E270),ISNUMBER(F270))),$J$2=""),6&gt;Reprogramaciones!$K$16),"",IF(ROUND(SUM($Q270:V270),1)&gt;=99.5,100,MIN(100,ROUND(SUM($Q270:V270),1))))</f>
        <v/>
      </c>
      <c r="CP270" s="1" t="str">
        <f aca="false">IF(OR(OR(NOT(AND(ISNUMBER(E270),ISNUMBER(F270))),$J$2=""),7&gt;Reprogramaciones!$K$16),"",IF(ROUND(SUM($Q270:W270),1)&gt;=99.5,100,MIN(100,ROUND(SUM($Q270:W270),1))))</f>
        <v/>
      </c>
      <c r="CQ270" s="1" t="str">
        <f aca="false">IF(OR(OR(NOT(AND(ISNUMBER(E270),ISNUMBER(F270))),$J$2=""),8&gt;Reprogramaciones!$K$16),"",IF(ROUND(SUM($Q270:X270),1)&gt;=99.5,100,MIN(100,ROUND(SUM($Q270:X270),1))))</f>
        <v/>
      </c>
      <c r="CR270" s="1" t="str">
        <f aca="false">IF(OR(OR(NOT(AND(ISNUMBER(E270),ISNUMBER(F270))),$J$2=""),9&gt;Reprogramaciones!$K$16),"",IF(ROUND(SUM($Q270:Y270),1)&gt;=99.5,100,MIN(100,ROUND(SUM($Q270:Y270),1))))</f>
        <v/>
      </c>
      <c r="CS270" s="1" t="str">
        <f aca="false">IF(OR(OR(NOT(AND(ISNUMBER(E270),ISNUMBER(F270))),$J$2=""),10&gt;Reprogramaciones!$K$16),"",IF(ROUND(SUM($Q270:Z270),1)&gt;=99.5,100,MIN(100,ROUND(SUM($Q270:Z270),1))))</f>
        <v/>
      </c>
      <c r="CT270" s="1" t="str">
        <f aca="false">IF(OR(OR(NOT(AND(ISNUMBER(E270),ISNUMBER(F270))),$J$2=""),11&gt;Reprogramaciones!$K$16),"",IF(ROUND(SUM($Q270:AA270),1)&gt;=99.5,100,MIN(100,ROUND(SUM($Q270:AA270),1))))</f>
        <v/>
      </c>
      <c r="CU270" s="1" t="str">
        <f aca="false">IF(OR(OR(NOT(AND(ISNUMBER(E270),ISNUMBER(F270))),$J$2=""),12&gt;Reprogramaciones!$K$16),"",IF(ROUND(SUM($Q270:AB270),1)&gt;=99.5,100,MIN(100,ROUND(SUM($Q270:AB270),1))))</f>
        <v/>
      </c>
      <c r="CV270" s="1" t="str">
        <f aca="false">IF(OR(OR(NOT(AND(ISNUMBER(E270),ISNUMBER(F270))),$J$2=""),13&gt;Reprogramaciones!$K$16),"",IF(ROUND(SUM($Q270:AC270),1)&gt;=99.5,100,MIN(100,ROUND(SUM($Q270:AC270),1))))</f>
        <v/>
      </c>
      <c r="CW270" s="1" t="str">
        <f aca="false">IF(OR(OR(NOT(AND(ISNUMBER(E270),ISNUMBER(F270))),$J$2=""),14&gt;Reprogramaciones!$K$16),"",IF(ROUND(SUM($Q270:AD270),1)&gt;=99.5,100,MIN(100,ROUND(SUM($Q270:AD270),1))))</f>
        <v/>
      </c>
      <c r="CX270" s="1" t="str">
        <f aca="false">IF(OR(OR(NOT(AND(ISNUMBER(E270),ISNUMBER(F270))),$J$2=""),15&gt;Reprogramaciones!$K$16),"",IF(ROUND(SUM($Q270:AE270),1)&gt;=99.5,100,MIN(100,ROUND(SUM($Q270:AE270),1))))</f>
        <v/>
      </c>
      <c r="CY270" s="1" t="str">
        <f aca="false">IF(OR(OR(NOT(AND(ISNUMBER(E270),ISNUMBER(F270))),$J$2=""),16&gt;Reprogramaciones!$K$16),"",IF(ROUND(SUM($Q270:AF270),1)&gt;=99.5,100,MIN(100,ROUND(SUM($Q270:AF270),1))))</f>
        <v/>
      </c>
      <c r="CZ270" s="1" t="str">
        <f aca="false">IF(D270&lt;&gt;"",D270,IF(B270&lt;&gt;"","Contractual",CZ269))</f>
        <v>Contractual</v>
      </c>
      <c r="DA270" s="1" t="str">
        <f aca="false">IF(OR(NOT(AND(ISNUMBER(E270),ISNUMBER(F270))),$J$2=""),"",IF(Reprogramaciones!$Q$15&lt;Reprogramaciones!$T$15,0,IF(Reprogramaciones!$S$15&gt;10,MIN(100,SUM($G270:$P270)),MIN(100,SUMPRODUCT((COLUMN($G270:$P270)-COLUMN($G270)+1&lt;Reprogramaciones!$S$15)*$G270:$P270)+N(INDEX($G270:$P270,1,Reprogramaciones!$S$15))*IF(Reprogramaciones!$Q$15&gt;=(Reprogramaciones!$T$15+7*(Reprogramaciones!$S$15-1))+6,1,IF(MAX(0,NETWORKDAYS.INTL(MAX(E270,(Reprogramaciones!$T$15+7*(Reprogramaciones!$S$15-1))),MIN(F270,(Reprogramaciones!$T$15+7*(Reprogramaciones!$S$15-1))+6),11))=0,0,MAX(0,NETWORKDAYS.INTL(MAX(E270,(Reprogramaciones!$T$15+7*(Reprogramaciones!$S$15-1))),MIN(F270,Reprogramaciones!$Q$15),11))/MAX(0,NETWORKDAYS.INTL(MAX(E270,(Reprogramaciones!$T$15+7*(Reprogramaciones!$S$15-1))),MIN(F270,(Reprogramaciones!$T$15+7*(Reprogramaciones!$S$15-1))+6),11))))))))</f>
        <v/>
      </c>
    </row>
    <row r="271" customFormat="false" ht="15" hidden="false" customHeight="false" outlineLevel="0" collapsed="false">
      <c r="A271" s="32"/>
      <c r="B271" s="33"/>
      <c r="C271" s="33"/>
      <c r="D271" s="34"/>
      <c r="E271" s="35"/>
      <c r="F271" s="35"/>
      <c r="G271" s="36" t="str">
        <f aca="false">IF(OR(NOT(AND(ISNUMBER(E271),ISNUMBER(F271))),$J$2=""),"",IF(Reprogramaciones!K$9&lt;E271,0,IF(NETWORKDAYS.INTL(E271,F271,11)=0,IF(Reprogramaciones!K$9&gt;=F271,100,0),ROUND(NETWORKDAYS.INTL(E271,MIN(F271,Reprogramaciones!K$9),11)/NETWORKDAYS.INTL(E271,F271,11)*100,1)))-0)</f>
        <v/>
      </c>
      <c r="H271" s="36" t="str">
        <f aca="false">IF(OR(NOT(AND(ISNUMBER(E271),ISNUMBER(F271))),$J$2=""),"",IF(Reprogramaciones!L$9&lt;E271,0,IF(NETWORKDAYS.INTL(E271,F271,11)=0,IF(Reprogramaciones!L$9&gt;=F271,100,0),ROUND(NETWORKDAYS.INTL(E271,MIN(F271,Reprogramaciones!L$9),11)/NETWORKDAYS.INTL(E271,F271,11)*100,1)))-IF(Reprogramaciones!K$9&lt;E271,0,IF(NETWORKDAYS.INTL(E271,F271,11)=0,IF(Reprogramaciones!K$9&gt;=F271,100,0),ROUND(NETWORKDAYS.INTL(E271,MIN(F271,Reprogramaciones!K$9),11)/NETWORKDAYS.INTL(E271,F271,11)*100,1))))</f>
        <v/>
      </c>
      <c r="I271" s="36" t="str">
        <f aca="false">IF(OR(NOT(AND(ISNUMBER(E271),ISNUMBER(F271))),$J$2=""),"",IF(Reprogramaciones!M$9&lt;E271,0,IF(NETWORKDAYS.INTL(E271,F271,11)=0,IF(Reprogramaciones!M$9&gt;=F271,100,0),ROUND(NETWORKDAYS.INTL(E271,MIN(F271,Reprogramaciones!M$9),11)/NETWORKDAYS.INTL(E271,F271,11)*100,1)))-IF(Reprogramaciones!L$9&lt;E271,0,IF(NETWORKDAYS.INTL(E271,F271,11)=0,IF(Reprogramaciones!L$9&gt;=F271,100,0),ROUND(NETWORKDAYS.INTL(E271,MIN(F271,Reprogramaciones!L$9),11)/NETWORKDAYS.INTL(E271,F271,11)*100,1))))</f>
        <v/>
      </c>
      <c r="J271" s="36" t="str">
        <f aca="false">IF(OR(NOT(AND(ISNUMBER(E271),ISNUMBER(F271))),$J$2=""),"",IF(Reprogramaciones!N$9&lt;E271,0,IF(NETWORKDAYS.INTL(E271,F271,11)=0,IF(Reprogramaciones!N$9&gt;=F271,100,0),ROUND(NETWORKDAYS.INTL(E271,MIN(F271,Reprogramaciones!N$9),11)/NETWORKDAYS.INTL(E271,F271,11)*100,1)))-IF(Reprogramaciones!M$9&lt;E271,0,IF(NETWORKDAYS.INTL(E271,F271,11)=0,IF(Reprogramaciones!M$9&gt;=F271,100,0),ROUND(NETWORKDAYS.INTL(E271,MIN(F271,Reprogramaciones!M$9),11)/NETWORKDAYS.INTL(E271,F271,11)*100,1))))</f>
        <v/>
      </c>
      <c r="K271" s="36" t="str">
        <f aca="false">IF(OR(NOT(AND(ISNUMBER(E271),ISNUMBER(F271))),$J$2=""),"",IF(Reprogramaciones!O$9&lt;E271,0,IF(NETWORKDAYS.INTL(E271,F271,11)=0,IF(Reprogramaciones!O$9&gt;=F271,100,0),ROUND(NETWORKDAYS.INTL(E271,MIN(F271,Reprogramaciones!O$9),11)/NETWORKDAYS.INTL(E271,F271,11)*100,1)))-IF(Reprogramaciones!N$9&lt;E271,0,IF(NETWORKDAYS.INTL(E271,F271,11)=0,IF(Reprogramaciones!N$9&gt;=F271,100,0),ROUND(NETWORKDAYS.INTL(E271,MIN(F271,Reprogramaciones!N$9),11)/NETWORKDAYS.INTL(E271,F271,11)*100,1))))</f>
        <v/>
      </c>
      <c r="L271" s="36" t="str">
        <f aca="false">IF(OR(NOT(AND(ISNUMBER(E271),ISNUMBER(F271))),$J$2=""),"",IF(Reprogramaciones!P$9&lt;E271,0,IF(NETWORKDAYS.INTL(E271,F271,11)=0,IF(Reprogramaciones!P$9&gt;=F271,100,0),ROUND(NETWORKDAYS.INTL(E271,MIN(F271,Reprogramaciones!P$9),11)/NETWORKDAYS.INTL(E271,F271,11)*100,1)))-IF(Reprogramaciones!O$9&lt;E271,0,IF(NETWORKDAYS.INTL(E271,F271,11)=0,IF(Reprogramaciones!O$9&gt;=F271,100,0),ROUND(NETWORKDAYS.INTL(E271,MIN(F271,Reprogramaciones!O$9),11)/NETWORKDAYS.INTL(E271,F271,11)*100,1))))</f>
        <v/>
      </c>
      <c r="M271" s="36" t="str">
        <f aca="false">IF(OR(NOT(AND(ISNUMBER(E271),ISNUMBER(F271))),$J$2=""),"",IF(Reprogramaciones!Q$9&lt;E271,0,IF(NETWORKDAYS.INTL(E271,F271,11)=0,IF(Reprogramaciones!Q$9&gt;=F271,100,0),ROUND(NETWORKDAYS.INTL(E271,MIN(F271,Reprogramaciones!Q$9),11)/NETWORKDAYS.INTL(E271,F271,11)*100,1)))-IF(Reprogramaciones!P$9&lt;E271,0,IF(NETWORKDAYS.INTL(E271,F271,11)=0,IF(Reprogramaciones!P$9&gt;=F271,100,0),ROUND(NETWORKDAYS.INTL(E271,MIN(F271,Reprogramaciones!P$9),11)/NETWORKDAYS.INTL(E271,F271,11)*100,1))))</f>
        <v/>
      </c>
      <c r="N271" s="36" t="str">
        <f aca="false">IF(OR(NOT(AND(ISNUMBER(E271),ISNUMBER(F271))),$J$2=""),"",IF(Reprogramaciones!R$9&lt;E271,0,IF(NETWORKDAYS.INTL(E271,F271,11)=0,IF(Reprogramaciones!R$9&gt;=F271,100,0),ROUND(NETWORKDAYS.INTL(E271,MIN(F271,Reprogramaciones!R$9),11)/NETWORKDAYS.INTL(E271,F271,11)*100,1)))-IF(Reprogramaciones!Q$9&lt;E271,0,IF(NETWORKDAYS.INTL(E271,F271,11)=0,IF(Reprogramaciones!Q$9&gt;=F271,100,0),ROUND(NETWORKDAYS.INTL(E271,MIN(F271,Reprogramaciones!Q$9),11)/NETWORKDAYS.INTL(E271,F271,11)*100,1))))</f>
        <v/>
      </c>
      <c r="O271" s="36" t="str">
        <f aca="false">IF(OR(NOT(AND(ISNUMBER(E271),ISNUMBER(F271))),$J$2=""),"",IF(Reprogramaciones!S$9&lt;E271,0,IF(NETWORKDAYS.INTL(E271,F271,11)=0,IF(Reprogramaciones!S$9&gt;=F271,100,0),ROUND(NETWORKDAYS.INTL(E271,MIN(F271,Reprogramaciones!S$9),11)/NETWORKDAYS.INTL(E271,F271,11)*100,1)))-IF(Reprogramaciones!R$9&lt;E271,0,IF(NETWORKDAYS.INTL(E271,F271,11)=0,IF(Reprogramaciones!R$9&gt;=F271,100,0),ROUND(NETWORKDAYS.INTL(E271,MIN(F271,Reprogramaciones!R$9),11)/NETWORKDAYS.INTL(E271,F271,11)*100,1))))</f>
        <v/>
      </c>
      <c r="P271" s="36" t="str">
        <f aca="false">IF(OR(NOT(AND(ISNUMBER(E271),ISNUMBER(F271))),$J$2=""),"",IF(Reprogramaciones!T$9&lt;E271,0,IF(NETWORKDAYS.INTL(E271,F271,11)=0,IF(Reprogramaciones!T$9&gt;=F271,100,0),ROUND(NETWORKDAYS.INTL(E271,MIN(F271,Reprogramaciones!T$9),11)/NETWORKDAYS.INTL(E271,F271,11)*100,1)))-IF(Reprogramaciones!S$9&lt;E271,0,IF(NETWORKDAYS.INTL(E271,F271,11)=0,IF(Reprogramaciones!S$9&gt;=F271,100,0),ROUND(NETWORKDAYS.INTL(E271,MIN(F271,Reprogramaciones!S$9),11)/NETWORKDAYS.INTL(E271,F271,11)*100,1))))</f>
        <v/>
      </c>
      <c r="Q271" s="37"/>
      <c r="R271" s="37"/>
      <c r="S271" s="37"/>
      <c r="T271" s="37"/>
      <c r="U271" s="37"/>
      <c r="V271" s="37"/>
      <c r="W271" s="37"/>
      <c r="X271" s="37"/>
      <c r="Y271" s="37"/>
      <c r="Z271" s="37"/>
      <c r="AA271" s="37"/>
      <c r="AB271" s="37"/>
      <c r="AC271" s="37"/>
      <c r="AD271" s="37"/>
      <c r="AE271" s="37"/>
      <c r="AF271" s="37"/>
      <c r="AG271" s="38" t="str">
        <f aca="false">IF(AND(ISNUMBER(E271),ISNUMBER(F271)),NETWORKDAYS.INTL(E271,F271,11),"")</f>
        <v/>
      </c>
      <c r="AH271" s="38" t="str">
        <f aca="false">IF(OR(NOT(AND(ISNUMBER(E271),ISNUMBER(F271))),$J$2=""),"",IF(Reprogramaciones!$P$15&lt;Reprogramaciones!$T$15,0,IF(Reprogramaciones!$R$15&gt;10,MIN(100,SUM($G271:$P271)),MIN(100,SUMPRODUCT((COLUMN($G271:$P271)-COLUMN($G271)+1&lt;Reprogramaciones!$R$15)*$G271:$P271)+N(INDEX($G271:$P271,1,Reprogramaciones!$R$15))*IF(Reprogramaciones!$P$15&gt;=(Reprogramaciones!$T$15+7*(Reprogramaciones!$R$15-1))+6,1,IF(MAX(0,NETWORKDAYS.INTL(MAX(E271,(Reprogramaciones!$T$15+7*(Reprogramaciones!$R$15-1))),MIN(F271,(Reprogramaciones!$T$15+7*(Reprogramaciones!$R$15-1))+6),11))=0,0,MAX(0,NETWORKDAYS.INTL(MAX(E271,(Reprogramaciones!$T$15+7*(Reprogramaciones!$R$15-1))),MIN(F271,Reprogramaciones!$P$15),11))/MAX(0,NETWORKDAYS.INTL(MAX(E271,(Reprogramaciones!$T$15+7*(Reprogramaciones!$R$15-1))),MIN(F271,(Reprogramaciones!$T$15+7*(Reprogramaciones!$R$15-1))+6),11))))))))</f>
        <v/>
      </c>
      <c r="AI271" s="38" t="str">
        <f aca="false">IF(COUNT($Q271:$AF271)=0,"",IF(ROUND(SUM($Q271:$AF271),1)&gt;=99.5,100,MIN(100,ROUND(SUM($Q271:$AF271),1))))</f>
        <v/>
      </c>
      <c r="AJ271" s="38" t="str">
        <f aca="false">IF(OR(AH271="",AI271=""),"",AI271-AH271)</f>
        <v/>
      </c>
      <c r="AK271" s="39" t="str">
        <f aca="true">IF(AH271="","",IF(OR(Ficha!$C$10="Suspendida",Ficha!$C$10="Cancelada"),Ficha!$C$10,IF(AND(AI271&lt;&gt;"",N(AI271)&gt;=100),"Completada",IF(AND(E271&gt;TODAY(),N(AI271)=0),"Por iniciar",IF(N(AI271)+0.5&lt;AH271,"Retrasada",IF(N(AI271)+0.5&lt;DA271,IF(Reprogramaciones!$K$15&gt;0,"Al día · Sem "&amp;Reprogramaciones!$K$15&amp;" en curso","Al día · en curso"),"A tiempo"))))))</f>
        <v/>
      </c>
      <c r="AL271" s="39" t="str">
        <f aca="true">IF(AND(A271="",AND(B271="",C271="",E271="",F271="",COUNT(Q271:AF271)=0)),"",IF(AND(B271="",C271="",E271="",F271="",COUNT(Q271:AF271)=0),"Falta la partida o subpartida",IF(AND(A271&lt;&gt;"",COUNTIF($A$6:$A$305,A271)&gt;1),"Ítem repetido",IF(AND(C271="",E271="",F271="",COUNT(Q271:AF271)=0),"Título de partida",IF(OR(E271="",F271=""),"Faltan fechas",IF(OR(ISTEXT(E271),ISTEXT(F271)),"Fecha escrita como texto: usa dd/mm/aaaa",IF(F271&lt;E271,"Fin antes del inicio",IF(IF($J$2="",FALSE(),OR(E271&lt;$J$2,F271&gt;Reprogramaciones!$T$15+69)),"Fuera de las 10 semanas",IF(ABS(SUM(G271:P271)-100)&gt;0.5,"La meta no suma 100%",IF(ROUND(SUM(Q271:AF271),1)&gt;100.5,"El avance pasa de 100%",IF(MIN(Q271:AF271)&lt;0,"Avance negativo",IF(COUNTA(Q271:AF271)&gt;COUNT(Q271:AF271),"Avance escrito como texto",IF(SUMPRODUCT((Q271:AF271&gt;0)*(Q271:AF271&lt;1))&gt;0,"Avance menor a 1: escribe 50, no 50%",IF(SUMPRODUCT(ISNUMBER(Q271:AF271)*(Reprogramaciones!$K$8:$Z$8&gt;TODAY()))&gt;0,"Avance en semana que aún no llega",IF(AND(N(Reprogramaciones!$E$21)&gt;0,F271&gt;Reprogramaciones!$E$21),"Pasa el fin de la obra: registra una reprogramación",IF(AND(N(Reprogramaciones!$E$21)&gt;0,SUMPRODUCT(ISNUMBER(Q271:AF271)*(Reprogramaciones!$K$8:$Z$8&gt;Reprogramaciones!$E$21))&gt;0),"Avance después del fin de la obra: registra una reprogramación por atraso","OK"))))))))))))))))</f>
        <v/>
      </c>
      <c r="AM271" s="40" t="str">
        <f aca="false">IF(OR(OR(NOT(AND(ISNUMBER(E271),ISNUMBER(F271))),$J$2=""),1&gt;MAX(1,Reprogramaciones!$U$15)),"",IF(Reprogramaciones!K$12&gt;=7,"",IF(OR(BT271-N(0)&gt;0.05,N(Q271)&gt;0),ROUNDDOWN(ROUND(BT271,6),0)&amp;"%"&amp;IF(CJ271="",""," / "&amp;CJ271&amp;"%"),IF(AND(N(0)&gt;=99.95,CJ271&lt;&gt;"",N(CJ271)&lt;100),"Pend. "&amp;CJ271&amp;"%",""))))</f>
        <v/>
      </c>
      <c r="AN271" s="40" t="str">
        <f aca="false">IF(OR(OR(NOT(AND(ISNUMBER(E271),ISNUMBER(F271))),$J$2=""),2&gt;MAX(1,Reprogramaciones!$U$15)),"",IF(Reprogramaciones!L$12&gt;=7,"",IF(OR(BU271-N(BT271)&gt;0.05,N(R271)&gt;0),ROUNDDOWN(ROUND(BU271,6),0)&amp;"%"&amp;IF(CK271="",""," / "&amp;CK271&amp;"%"),IF(AND(N(BT271)&gt;=99.95,CK271&lt;&gt;"",N(CK271)&lt;100),"Pend. "&amp;CK271&amp;"%",""))))</f>
        <v/>
      </c>
      <c r="AO271" s="40" t="str">
        <f aca="false">IF(OR(OR(NOT(AND(ISNUMBER(E271),ISNUMBER(F271))),$J$2=""),3&gt;MAX(1,Reprogramaciones!$U$15)),"",IF(Reprogramaciones!M$12&gt;=7,"",IF(OR(BV271-N(BU271)&gt;0.05,N(S271)&gt;0),ROUNDDOWN(ROUND(BV271,6),0)&amp;"%"&amp;IF(CL271="",""," / "&amp;CL271&amp;"%"),IF(AND(N(BU271)&gt;=99.95,CL271&lt;&gt;"",N(CL271)&lt;100),"Pend. "&amp;CL271&amp;"%",""))))</f>
        <v/>
      </c>
      <c r="AP271" s="40" t="str">
        <f aca="false">IF(OR(OR(NOT(AND(ISNUMBER(E271),ISNUMBER(F271))),$J$2=""),4&gt;MAX(1,Reprogramaciones!$U$15)),"",IF(Reprogramaciones!N$12&gt;=7,"",IF(OR(BW271-N(BV271)&gt;0.05,N(T271)&gt;0),ROUNDDOWN(ROUND(BW271,6),0)&amp;"%"&amp;IF(CM271="",""," / "&amp;CM271&amp;"%"),IF(AND(N(BV271)&gt;=99.95,CM271&lt;&gt;"",N(CM271)&lt;100),"Pend. "&amp;CM271&amp;"%",""))))</f>
        <v/>
      </c>
      <c r="AQ271" s="40" t="str">
        <f aca="false">IF(OR(OR(NOT(AND(ISNUMBER(E271),ISNUMBER(F271))),$J$2=""),5&gt;MAX(1,Reprogramaciones!$U$15)),"",IF(Reprogramaciones!O$12&gt;=7,"",IF(OR(BX271-N(BW271)&gt;0.05,N(U271)&gt;0),ROUNDDOWN(ROUND(BX271,6),0)&amp;"%"&amp;IF(CN271="",""," / "&amp;CN271&amp;"%"),IF(AND(N(BW271)&gt;=99.95,CN271&lt;&gt;"",N(CN271)&lt;100),"Pend. "&amp;CN271&amp;"%",""))))</f>
        <v/>
      </c>
      <c r="AR271" s="40" t="str">
        <f aca="false">IF(OR(OR(NOT(AND(ISNUMBER(E271),ISNUMBER(F271))),$J$2=""),6&gt;MAX(1,Reprogramaciones!$U$15)),"",IF(Reprogramaciones!P$12&gt;=7,"",IF(OR(BY271-N(BX271)&gt;0.05,N(V271)&gt;0),ROUNDDOWN(ROUND(BY271,6),0)&amp;"%"&amp;IF(CO271="",""," / "&amp;CO271&amp;"%"),IF(AND(N(BX271)&gt;=99.95,CO271&lt;&gt;"",N(CO271)&lt;100),"Pend. "&amp;CO271&amp;"%",""))))</f>
        <v/>
      </c>
      <c r="AS271" s="40" t="str">
        <f aca="false">IF(OR(OR(NOT(AND(ISNUMBER(E271),ISNUMBER(F271))),$J$2=""),7&gt;MAX(1,Reprogramaciones!$U$15)),"",IF(Reprogramaciones!Q$12&gt;=7,"",IF(OR(BZ271-N(BY271)&gt;0.05,N(W271)&gt;0),ROUNDDOWN(ROUND(BZ271,6),0)&amp;"%"&amp;IF(CP271="",""," / "&amp;CP271&amp;"%"),IF(AND(N(BY271)&gt;=99.95,CP271&lt;&gt;"",N(CP271)&lt;100),"Pend. "&amp;CP271&amp;"%",""))))</f>
        <v/>
      </c>
      <c r="AT271" s="40" t="str">
        <f aca="false">IF(OR(OR(NOT(AND(ISNUMBER(E271),ISNUMBER(F271))),$J$2=""),8&gt;MAX(1,Reprogramaciones!$U$15)),"",IF(Reprogramaciones!R$12&gt;=7,"",IF(OR(CA271-N(BZ271)&gt;0.05,N(X271)&gt;0),ROUNDDOWN(ROUND(CA271,6),0)&amp;"%"&amp;IF(CQ271="",""," / "&amp;CQ271&amp;"%"),IF(AND(N(BZ271)&gt;=99.95,CQ271&lt;&gt;"",N(CQ271)&lt;100),"Pend. "&amp;CQ271&amp;"%",""))))</f>
        <v/>
      </c>
      <c r="AU271" s="40" t="str">
        <f aca="false">IF(OR(OR(NOT(AND(ISNUMBER(E271),ISNUMBER(F271))),$J$2=""),9&gt;MAX(1,Reprogramaciones!$U$15)),"",IF(Reprogramaciones!S$12&gt;=7,"",IF(OR(CB271-N(CA271)&gt;0.05,N(Y271)&gt;0),ROUNDDOWN(ROUND(CB271,6),0)&amp;"%"&amp;IF(CR271="",""," / "&amp;CR271&amp;"%"),IF(AND(N(CA271)&gt;=99.95,CR271&lt;&gt;"",N(CR271)&lt;100),"Pend. "&amp;CR271&amp;"%",""))))</f>
        <v/>
      </c>
      <c r="AV271" s="40" t="str">
        <f aca="false">IF(OR(OR(NOT(AND(ISNUMBER(E271),ISNUMBER(F271))),$J$2=""),10&gt;MAX(1,Reprogramaciones!$U$15)),"",IF(Reprogramaciones!T$12&gt;=7,"",IF(OR(CC271-N(CB271)&gt;0.05,N(Z271)&gt;0),ROUNDDOWN(ROUND(CC271,6),0)&amp;"%"&amp;IF(CS271="",""," / "&amp;CS271&amp;"%"),IF(AND(N(CB271)&gt;=99.95,CS271&lt;&gt;"",N(CS271)&lt;100),"Pend. "&amp;CS271&amp;"%",""))))</f>
        <v/>
      </c>
      <c r="AW271" s="40" t="str">
        <f aca="false">IF(OR(OR(NOT(AND(ISNUMBER(E271),ISNUMBER(F271))),$J$2=""),11&gt;MAX(1,Reprogramaciones!$U$15)),"",IF(Reprogramaciones!U$12&gt;=7,"",IF(OR(CD271-N(CC271)&gt;0.05,N(AA271)&gt;0),ROUNDDOWN(ROUND(CD271,6),0)&amp;"%"&amp;IF(CT271="",""," / "&amp;CT271&amp;"%"),IF(AND(N(CC271)&gt;=99.95,CT271&lt;&gt;"",N(CT271)&lt;100),"Pend. "&amp;CT271&amp;"%",""))))</f>
        <v/>
      </c>
      <c r="AX271" s="40" t="str">
        <f aca="false">IF(OR(OR(NOT(AND(ISNUMBER(E271),ISNUMBER(F271))),$J$2=""),12&gt;MAX(1,Reprogramaciones!$U$15)),"",IF(Reprogramaciones!V$12&gt;=7,"",IF(OR(CE271-N(CD271)&gt;0.05,N(AB271)&gt;0),ROUNDDOWN(ROUND(CE271,6),0)&amp;"%"&amp;IF(CU271="",""," / "&amp;CU271&amp;"%"),IF(AND(N(CD271)&gt;=99.95,CU271&lt;&gt;"",N(CU271)&lt;100),"Pend. "&amp;CU271&amp;"%",""))))</f>
        <v/>
      </c>
      <c r="AY271" s="40" t="str">
        <f aca="false">IF(OR(OR(NOT(AND(ISNUMBER(E271),ISNUMBER(F271))),$J$2=""),13&gt;MAX(1,Reprogramaciones!$U$15)),"",IF(Reprogramaciones!W$12&gt;=7,"",IF(OR(CF271-N(CE271)&gt;0.05,N(AC271)&gt;0),ROUNDDOWN(ROUND(CF271,6),0)&amp;"%"&amp;IF(CV271="",""," / "&amp;CV271&amp;"%"),IF(AND(N(CE271)&gt;=99.95,CV271&lt;&gt;"",N(CV271)&lt;100),"Pend. "&amp;CV271&amp;"%",""))))</f>
        <v/>
      </c>
      <c r="AZ271" s="40" t="str">
        <f aca="false">IF(OR(OR(NOT(AND(ISNUMBER(E271),ISNUMBER(F271))),$J$2=""),14&gt;MAX(1,Reprogramaciones!$U$15)),"",IF(Reprogramaciones!X$12&gt;=7,"",IF(OR(CG271-N(CF271)&gt;0.05,N(AD271)&gt;0),ROUNDDOWN(ROUND(CG271,6),0)&amp;"%"&amp;IF(CW271="",""," / "&amp;CW271&amp;"%"),IF(AND(N(CF271)&gt;=99.95,CW271&lt;&gt;"",N(CW271)&lt;100),"Pend. "&amp;CW271&amp;"%",""))))</f>
        <v/>
      </c>
      <c r="BA271" s="40" t="str">
        <f aca="false">IF(OR(OR(NOT(AND(ISNUMBER(E271),ISNUMBER(F271))),$J$2=""),15&gt;MAX(1,Reprogramaciones!$U$15)),"",IF(Reprogramaciones!Y$12&gt;=7,"",IF(OR(CH271-N(CG271)&gt;0.05,N(AE271)&gt;0),ROUNDDOWN(ROUND(CH271,6),0)&amp;"%"&amp;IF(CX271="",""," / "&amp;CX271&amp;"%"),IF(AND(N(CG271)&gt;=99.95,CX271&lt;&gt;"",N(CX271)&lt;100),"Pend. "&amp;CX271&amp;"%",""))))</f>
        <v/>
      </c>
      <c r="BB271" s="40" t="str">
        <f aca="false">IF(OR(OR(NOT(AND(ISNUMBER(E271),ISNUMBER(F271))),$J$2=""),16&gt;MAX(1,Reprogramaciones!$U$15)),"",IF(Reprogramaciones!Z$12&gt;=7,"",IF(OR(CI271-N(CH271)&gt;0.05,N(AF271)&gt;0),ROUNDDOWN(ROUND(CI271,6),0)&amp;"%"&amp;IF(CY271="",""," / "&amp;CY271&amp;"%"),IF(AND(N(CH271)&gt;=99.95,CY271&lt;&gt;"",N(CY271)&lt;100),"Pend. "&amp;CY271&amp;"%",""))))</f>
        <v/>
      </c>
      <c r="BC271" s="31" t="n">
        <f aca="false">IF(AND(ISNUMBER(E271),ISNUMBER(F271)),MAX(1,NETWORKDAYS.INTL(E271,F271,11)),0)</f>
        <v>0</v>
      </c>
      <c r="BD271" s="1" t="str">
        <f aca="false">IF(OR(NOT(AND(ISNUMBER(E271),ISNUMBER(F271))),$J$2=""),"",MIN(100,ROUND(SUM($G271:G271),1)))</f>
        <v/>
      </c>
      <c r="BE271" s="1" t="str">
        <f aca="false">IF(OR(NOT(AND(ISNUMBER(E271),ISNUMBER(F271))),$J$2=""),"",MIN(100,ROUND(SUM($G271:H271),1)))</f>
        <v/>
      </c>
      <c r="BF271" s="1" t="str">
        <f aca="false">IF(OR(NOT(AND(ISNUMBER(E271),ISNUMBER(F271))),$J$2=""),"",MIN(100,ROUND(SUM($G271:I271),1)))</f>
        <v/>
      </c>
      <c r="BG271" s="1" t="str">
        <f aca="false">IF(OR(NOT(AND(ISNUMBER(E271),ISNUMBER(F271))),$J$2=""),"",MIN(100,ROUND(SUM($G271:J271),1)))</f>
        <v/>
      </c>
      <c r="BH271" s="1" t="str">
        <f aca="false">IF(OR(NOT(AND(ISNUMBER(E271),ISNUMBER(F271))),$J$2=""),"",MIN(100,ROUND(SUM($G271:K271),1)))</f>
        <v/>
      </c>
      <c r="BI271" s="1" t="str">
        <f aca="false">IF(OR(NOT(AND(ISNUMBER(E271),ISNUMBER(F271))),$J$2=""),"",MIN(100,ROUND(SUM($G271:L271),1)))</f>
        <v/>
      </c>
      <c r="BJ271" s="1" t="str">
        <f aca="false">IF(OR(NOT(AND(ISNUMBER(E271),ISNUMBER(F271))),$J$2=""),"",MIN(100,ROUND(SUM($G271:M271),1)))</f>
        <v/>
      </c>
      <c r="BK271" s="1" t="str">
        <f aca="false">IF(OR(NOT(AND(ISNUMBER(E271),ISNUMBER(F271))),$J$2=""),"",MIN(100,ROUND(SUM($G271:N271),1)))</f>
        <v/>
      </c>
      <c r="BL271" s="1" t="str">
        <f aca="false">IF(OR(NOT(AND(ISNUMBER(E271),ISNUMBER(F271))),$J$2=""),"",MIN(100,ROUND(SUM($G271:O271),1)))</f>
        <v/>
      </c>
      <c r="BM271" s="1" t="str">
        <f aca="false">IF(OR(NOT(AND(ISNUMBER(E271),ISNUMBER(F271))),$J$2=""),"",MIN(100,ROUND(SUM($G271:P271),1)))</f>
        <v/>
      </c>
      <c r="BN271" s="1" t="str">
        <f aca="false">IF(OR(NOT(AND(ISNUMBER(E271),ISNUMBER(F271))),$J$2=""),"",MIN(100,ROUND(SUM($G271:P271),1)))</f>
        <v/>
      </c>
      <c r="BO271" s="1" t="str">
        <f aca="false">IF(OR(NOT(AND(ISNUMBER(E271),ISNUMBER(F271))),$J$2=""),"",MIN(100,ROUND(SUM($G271:P271),1)))</f>
        <v/>
      </c>
      <c r="BP271" s="1" t="str">
        <f aca="false">IF(OR(NOT(AND(ISNUMBER(E271),ISNUMBER(F271))),$J$2=""),"",MIN(100,ROUND(SUM($G271:P271),1)))</f>
        <v/>
      </c>
      <c r="BQ271" s="1" t="str">
        <f aca="false">IF(OR(NOT(AND(ISNUMBER(E271),ISNUMBER(F271))),$J$2=""),"",MIN(100,ROUND(SUM($G271:P271),1)))</f>
        <v/>
      </c>
      <c r="BR271" s="1" t="str">
        <f aca="false">IF(OR(NOT(AND(ISNUMBER(E271),ISNUMBER(F271))),$J$2=""),"",MIN(100,ROUND(SUM($G271:P271),1)))</f>
        <v/>
      </c>
      <c r="BS271" s="1" t="str">
        <f aca="false">IF(OR(NOT(AND(ISNUMBER(E271),ISNUMBER(F271))),$J$2=""),"",MIN(100,ROUND(SUM($G271:P271),1)))</f>
        <v/>
      </c>
      <c r="BT271" s="1" t="str">
        <f aca="false">IF(OR(NOT(AND(ISNUMBER(E271),ISNUMBER(F271))),$J$2=""),"",IF(Reprogramaciones!K$13&lt;Reprogramaciones!$T$15,0,IF(Reprogramaciones!K$14&gt;10,MIN(100,SUM($G271:$P271)),MIN(100,SUMPRODUCT((COLUMN($G271:$P271)-COLUMN($G271)+1&lt;Reprogramaciones!K$14)*$G271:$P271)+N(INDEX($G271:$P271,1,Reprogramaciones!K$14))*IF(Reprogramaciones!K$13&gt;=(Reprogramaciones!$T$15+7*(Reprogramaciones!K$14-1))+6,1,IF(MAX(0,NETWORKDAYS.INTL(MAX(E271,(Reprogramaciones!$T$15+7*(Reprogramaciones!K$14-1))),MIN(F271,(Reprogramaciones!$T$15+7*(Reprogramaciones!K$14-1))+6),11))=0,0,MAX(0,NETWORKDAYS.INTL(MAX(E271,(Reprogramaciones!$T$15+7*(Reprogramaciones!K$14-1))),MIN(F271,Reprogramaciones!K$13),11))/MAX(0,NETWORKDAYS.INTL(MAX(E271,(Reprogramaciones!$T$15+7*(Reprogramaciones!K$14-1))),MIN(F271,(Reprogramaciones!$T$15+7*(Reprogramaciones!K$14-1))+6),11))))))))</f>
        <v/>
      </c>
      <c r="BU271" s="1" t="str">
        <f aca="false">IF(OR(NOT(AND(ISNUMBER(E271),ISNUMBER(F271))),$J$2=""),"",IF(Reprogramaciones!L$13&lt;Reprogramaciones!$T$15,0,IF(Reprogramaciones!L$14&gt;10,MIN(100,SUM($G271:$P271)),MIN(100,SUMPRODUCT((COLUMN($G271:$P271)-COLUMN($G271)+1&lt;Reprogramaciones!L$14)*$G271:$P271)+N(INDEX($G271:$P271,1,Reprogramaciones!L$14))*IF(Reprogramaciones!L$13&gt;=(Reprogramaciones!$T$15+7*(Reprogramaciones!L$14-1))+6,1,IF(MAX(0,NETWORKDAYS.INTL(MAX(E271,(Reprogramaciones!$T$15+7*(Reprogramaciones!L$14-1))),MIN(F271,(Reprogramaciones!$T$15+7*(Reprogramaciones!L$14-1))+6),11))=0,0,MAX(0,NETWORKDAYS.INTL(MAX(E271,(Reprogramaciones!$T$15+7*(Reprogramaciones!L$14-1))),MIN(F271,Reprogramaciones!L$13),11))/MAX(0,NETWORKDAYS.INTL(MAX(E271,(Reprogramaciones!$T$15+7*(Reprogramaciones!L$14-1))),MIN(F271,(Reprogramaciones!$T$15+7*(Reprogramaciones!L$14-1))+6),11))))))))</f>
        <v/>
      </c>
      <c r="BV271" s="1" t="str">
        <f aca="false">IF(OR(NOT(AND(ISNUMBER(E271),ISNUMBER(F271))),$J$2=""),"",IF(Reprogramaciones!M$13&lt;Reprogramaciones!$T$15,0,IF(Reprogramaciones!M$14&gt;10,MIN(100,SUM($G271:$P271)),MIN(100,SUMPRODUCT((COLUMN($G271:$P271)-COLUMN($G271)+1&lt;Reprogramaciones!M$14)*$G271:$P271)+N(INDEX($G271:$P271,1,Reprogramaciones!M$14))*IF(Reprogramaciones!M$13&gt;=(Reprogramaciones!$T$15+7*(Reprogramaciones!M$14-1))+6,1,IF(MAX(0,NETWORKDAYS.INTL(MAX(E271,(Reprogramaciones!$T$15+7*(Reprogramaciones!M$14-1))),MIN(F271,(Reprogramaciones!$T$15+7*(Reprogramaciones!M$14-1))+6),11))=0,0,MAX(0,NETWORKDAYS.INTL(MAX(E271,(Reprogramaciones!$T$15+7*(Reprogramaciones!M$14-1))),MIN(F271,Reprogramaciones!M$13),11))/MAX(0,NETWORKDAYS.INTL(MAX(E271,(Reprogramaciones!$T$15+7*(Reprogramaciones!M$14-1))),MIN(F271,(Reprogramaciones!$T$15+7*(Reprogramaciones!M$14-1))+6),11))))))))</f>
        <v/>
      </c>
      <c r="BW271" s="1" t="str">
        <f aca="false">IF(OR(NOT(AND(ISNUMBER(E271),ISNUMBER(F271))),$J$2=""),"",IF(Reprogramaciones!N$13&lt;Reprogramaciones!$T$15,0,IF(Reprogramaciones!N$14&gt;10,MIN(100,SUM($G271:$P271)),MIN(100,SUMPRODUCT((COLUMN($G271:$P271)-COLUMN($G271)+1&lt;Reprogramaciones!N$14)*$G271:$P271)+N(INDEX($G271:$P271,1,Reprogramaciones!N$14))*IF(Reprogramaciones!N$13&gt;=(Reprogramaciones!$T$15+7*(Reprogramaciones!N$14-1))+6,1,IF(MAX(0,NETWORKDAYS.INTL(MAX(E271,(Reprogramaciones!$T$15+7*(Reprogramaciones!N$14-1))),MIN(F271,(Reprogramaciones!$T$15+7*(Reprogramaciones!N$14-1))+6),11))=0,0,MAX(0,NETWORKDAYS.INTL(MAX(E271,(Reprogramaciones!$T$15+7*(Reprogramaciones!N$14-1))),MIN(F271,Reprogramaciones!N$13),11))/MAX(0,NETWORKDAYS.INTL(MAX(E271,(Reprogramaciones!$T$15+7*(Reprogramaciones!N$14-1))),MIN(F271,(Reprogramaciones!$T$15+7*(Reprogramaciones!N$14-1))+6),11))))))))</f>
        <v/>
      </c>
      <c r="BX271" s="1" t="str">
        <f aca="false">IF(OR(NOT(AND(ISNUMBER(E271),ISNUMBER(F271))),$J$2=""),"",IF(Reprogramaciones!O$13&lt;Reprogramaciones!$T$15,0,IF(Reprogramaciones!O$14&gt;10,MIN(100,SUM($G271:$P271)),MIN(100,SUMPRODUCT((COLUMN($G271:$P271)-COLUMN($G271)+1&lt;Reprogramaciones!O$14)*$G271:$P271)+N(INDEX($G271:$P271,1,Reprogramaciones!O$14))*IF(Reprogramaciones!O$13&gt;=(Reprogramaciones!$T$15+7*(Reprogramaciones!O$14-1))+6,1,IF(MAX(0,NETWORKDAYS.INTL(MAX(E271,(Reprogramaciones!$T$15+7*(Reprogramaciones!O$14-1))),MIN(F271,(Reprogramaciones!$T$15+7*(Reprogramaciones!O$14-1))+6),11))=0,0,MAX(0,NETWORKDAYS.INTL(MAX(E271,(Reprogramaciones!$T$15+7*(Reprogramaciones!O$14-1))),MIN(F271,Reprogramaciones!O$13),11))/MAX(0,NETWORKDAYS.INTL(MAX(E271,(Reprogramaciones!$T$15+7*(Reprogramaciones!O$14-1))),MIN(F271,(Reprogramaciones!$T$15+7*(Reprogramaciones!O$14-1))+6),11))))))))</f>
        <v/>
      </c>
      <c r="BY271" s="1" t="str">
        <f aca="false">IF(OR(NOT(AND(ISNUMBER(E271),ISNUMBER(F271))),$J$2=""),"",IF(Reprogramaciones!P$13&lt;Reprogramaciones!$T$15,0,IF(Reprogramaciones!P$14&gt;10,MIN(100,SUM($G271:$P271)),MIN(100,SUMPRODUCT((COLUMN($G271:$P271)-COLUMN($G271)+1&lt;Reprogramaciones!P$14)*$G271:$P271)+N(INDEX($G271:$P271,1,Reprogramaciones!P$14))*IF(Reprogramaciones!P$13&gt;=(Reprogramaciones!$T$15+7*(Reprogramaciones!P$14-1))+6,1,IF(MAX(0,NETWORKDAYS.INTL(MAX(E271,(Reprogramaciones!$T$15+7*(Reprogramaciones!P$14-1))),MIN(F271,(Reprogramaciones!$T$15+7*(Reprogramaciones!P$14-1))+6),11))=0,0,MAX(0,NETWORKDAYS.INTL(MAX(E271,(Reprogramaciones!$T$15+7*(Reprogramaciones!P$14-1))),MIN(F271,Reprogramaciones!P$13),11))/MAX(0,NETWORKDAYS.INTL(MAX(E271,(Reprogramaciones!$T$15+7*(Reprogramaciones!P$14-1))),MIN(F271,(Reprogramaciones!$T$15+7*(Reprogramaciones!P$14-1))+6),11))))))))</f>
        <v/>
      </c>
      <c r="BZ271" s="1" t="str">
        <f aca="false">IF(OR(NOT(AND(ISNUMBER(E271),ISNUMBER(F271))),$J$2=""),"",IF(Reprogramaciones!Q$13&lt;Reprogramaciones!$T$15,0,IF(Reprogramaciones!Q$14&gt;10,MIN(100,SUM($G271:$P271)),MIN(100,SUMPRODUCT((COLUMN($G271:$P271)-COLUMN($G271)+1&lt;Reprogramaciones!Q$14)*$G271:$P271)+N(INDEX($G271:$P271,1,Reprogramaciones!Q$14))*IF(Reprogramaciones!Q$13&gt;=(Reprogramaciones!$T$15+7*(Reprogramaciones!Q$14-1))+6,1,IF(MAX(0,NETWORKDAYS.INTL(MAX(E271,(Reprogramaciones!$T$15+7*(Reprogramaciones!Q$14-1))),MIN(F271,(Reprogramaciones!$T$15+7*(Reprogramaciones!Q$14-1))+6),11))=0,0,MAX(0,NETWORKDAYS.INTL(MAX(E271,(Reprogramaciones!$T$15+7*(Reprogramaciones!Q$14-1))),MIN(F271,Reprogramaciones!Q$13),11))/MAX(0,NETWORKDAYS.INTL(MAX(E271,(Reprogramaciones!$T$15+7*(Reprogramaciones!Q$14-1))),MIN(F271,(Reprogramaciones!$T$15+7*(Reprogramaciones!Q$14-1))+6),11))))))))</f>
        <v/>
      </c>
      <c r="CA271" s="1" t="str">
        <f aca="false">IF(OR(NOT(AND(ISNUMBER(E271),ISNUMBER(F271))),$J$2=""),"",IF(Reprogramaciones!R$13&lt;Reprogramaciones!$T$15,0,IF(Reprogramaciones!R$14&gt;10,MIN(100,SUM($G271:$P271)),MIN(100,SUMPRODUCT((COLUMN($G271:$P271)-COLUMN($G271)+1&lt;Reprogramaciones!R$14)*$G271:$P271)+N(INDEX($G271:$P271,1,Reprogramaciones!R$14))*IF(Reprogramaciones!R$13&gt;=(Reprogramaciones!$T$15+7*(Reprogramaciones!R$14-1))+6,1,IF(MAX(0,NETWORKDAYS.INTL(MAX(E271,(Reprogramaciones!$T$15+7*(Reprogramaciones!R$14-1))),MIN(F271,(Reprogramaciones!$T$15+7*(Reprogramaciones!R$14-1))+6),11))=0,0,MAX(0,NETWORKDAYS.INTL(MAX(E271,(Reprogramaciones!$T$15+7*(Reprogramaciones!R$14-1))),MIN(F271,Reprogramaciones!R$13),11))/MAX(0,NETWORKDAYS.INTL(MAX(E271,(Reprogramaciones!$T$15+7*(Reprogramaciones!R$14-1))),MIN(F271,(Reprogramaciones!$T$15+7*(Reprogramaciones!R$14-1))+6),11))))))))</f>
        <v/>
      </c>
      <c r="CB271" s="1" t="str">
        <f aca="false">IF(OR(NOT(AND(ISNUMBER(E271),ISNUMBER(F271))),$J$2=""),"",IF(Reprogramaciones!S$13&lt;Reprogramaciones!$T$15,0,IF(Reprogramaciones!S$14&gt;10,MIN(100,SUM($G271:$P271)),MIN(100,SUMPRODUCT((COLUMN($G271:$P271)-COLUMN($G271)+1&lt;Reprogramaciones!S$14)*$G271:$P271)+N(INDEX($G271:$P271,1,Reprogramaciones!S$14))*IF(Reprogramaciones!S$13&gt;=(Reprogramaciones!$T$15+7*(Reprogramaciones!S$14-1))+6,1,IF(MAX(0,NETWORKDAYS.INTL(MAX(E271,(Reprogramaciones!$T$15+7*(Reprogramaciones!S$14-1))),MIN(F271,(Reprogramaciones!$T$15+7*(Reprogramaciones!S$14-1))+6),11))=0,0,MAX(0,NETWORKDAYS.INTL(MAX(E271,(Reprogramaciones!$T$15+7*(Reprogramaciones!S$14-1))),MIN(F271,Reprogramaciones!S$13),11))/MAX(0,NETWORKDAYS.INTL(MAX(E271,(Reprogramaciones!$T$15+7*(Reprogramaciones!S$14-1))),MIN(F271,(Reprogramaciones!$T$15+7*(Reprogramaciones!S$14-1))+6),11))))))))</f>
        <v/>
      </c>
      <c r="CC271" s="1" t="str">
        <f aca="false">IF(OR(NOT(AND(ISNUMBER(E271),ISNUMBER(F271))),$J$2=""),"",IF(Reprogramaciones!T$13&lt;Reprogramaciones!$T$15,0,IF(Reprogramaciones!T$14&gt;10,MIN(100,SUM($G271:$P271)),MIN(100,SUMPRODUCT((COLUMN($G271:$P271)-COLUMN($G271)+1&lt;Reprogramaciones!T$14)*$G271:$P271)+N(INDEX($G271:$P271,1,Reprogramaciones!T$14))*IF(Reprogramaciones!T$13&gt;=(Reprogramaciones!$T$15+7*(Reprogramaciones!T$14-1))+6,1,IF(MAX(0,NETWORKDAYS.INTL(MAX(E271,(Reprogramaciones!$T$15+7*(Reprogramaciones!T$14-1))),MIN(F271,(Reprogramaciones!$T$15+7*(Reprogramaciones!T$14-1))+6),11))=0,0,MAX(0,NETWORKDAYS.INTL(MAX(E271,(Reprogramaciones!$T$15+7*(Reprogramaciones!T$14-1))),MIN(F271,Reprogramaciones!T$13),11))/MAX(0,NETWORKDAYS.INTL(MAX(E271,(Reprogramaciones!$T$15+7*(Reprogramaciones!T$14-1))),MIN(F271,(Reprogramaciones!$T$15+7*(Reprogramaciones!T$14-1))+6),11))))))))</f>
        <v/>
      </c>
      <c r="CD271" s="1" t="str">
        <f aca="false">IF(OR(NOT(AND(ISNUMBER(E271),ISNUMBER(F271))),$J$2=""),"",IF(Reprogramaciones!U$13&lt;Reprogramaciones!$T$15,0,IF(Reprogramaciones!U$14&gt;10,MIN(100,SUM($G271:$P271)),MIN(100,SUMPRODUCT((COLUMN($G271:$P271)-COLUMN($G271)+1&lt;Reprogramaciones!U$14)*$G271:$P271)+N(INDEX($G271:$P271,1,Reprogramaciones!U$14))*IF(Reprogramaciones!U$13&gt;=(Reprogramaciones!$T$15+7*(Reprogramaciones!U$14-1))+6,1,IF(MAX(0,NETWORKDAYS.INTL(MAX(E271,(Reprogramaciones!$T$15+7*(Reprogramaciones!U$14-1))),MIN(F271,(Reprogramaciones!$T$15+7*(Reprogramaciones!U$14-1))+6),11))=0,0,MAX(0,NETWORKDAYS.INTL(MAX(E271,(Reprogramaciones!$T$15+7*(Reprogramaciones!U$14-1))),MIN(F271,Reprogramaciones!U$13),11))/MAX(0,NETWORKDAYS.INTL(MAX(E271,(Reprogramaciones!$T$15+7*(Reprogramaciones!U$14-1))),MIN(F271,(Reprogramaciones!$T$15+7*(Reprogramaciones!U$14-1))+6),11))))))))</f>
        <v/>
      </c>
      <c r="CE271" s="1" t="str">
        <f aca="false">IF(OR(NOT(AND(ISNUMBER(E271),ISNUMBER(F271))),$J$2=""),"",IF(Reprogramaciones!V$13&lt;Reprogramaciones!$T$15,0,IF(Reprogramaciones!V$14&gt;10,MIN(100,SUM($G271:$P271)),MIN(100,SUMPRODUCT((COLUMN($G271:$P271)-COLUMN($G271)+1&lt;Reprogramaciones!V$14)*$G271:$P271)+N(INDEX($G271:$P271,1,Reprogramaciones!V$14))*IF(Reprogramaciones!V$13&gt;=(Reprogramaciones!$T$15+7*(Reprogramaciones!V$14-1))+6,1,IF(MAX(0,NETWORKDAYS.INTL(MAX(E271,(Reprogramaciones!$T$15+7*(Reprogramaciones!V$14-1))),MIN(F271,(Reprogramaciones!$T$15+7*(Reprogramaciones!V$14-1))+6),11))=0,0,MAX(0,NETWORKDAYS.INTL(MAX(E271,(Reprogramaciones!$T$15+7*(Reprogramaciones!V$14-1))),MIN(F271,Reprogramaciones!V$13),11))/MAX(0,NETWORKDAYS.INTL(MAX(E271,(Reprogramaciones!$T$15+7*(Reprogramaciones!V$14-1))),MIN(F271,(Reprogramaciones!$T$15+7*(Reprogramaciones!V$14-1))+6),11))))))))</f>
        <v/>
      </c>
      <c r="CF271" s="1" t="str">
        <f aca="false">IF(OR(NOT(AND(ISNUMBER(E271),ISNUMBER(F271))),$J$2=""),"",IF(Reprogramaciones!W$13&lt;Reprogramaciones!$T$15,0,IF(Reprogramaciones!W$14&gt;10,MIN(100,SUM($G271:$P271)),MIN(100,SUMPRODUCT((COLUMN($G271:$P271)-COLUMN($G271)+1&lt;Reprogramaciones!W$14)*$G271:$P271)+N(INDEX($G271:$P271,1,Reprogramaciones!W$14))*IF(Reprogramaciones!W$13&gt;=(Reprogramaciones!$T$15+7*(Reprogramaciones!W$14-1))+6,1,IF(MAX(0,NETWORKDAYS.INTL(MAX(E271,(Reprogramaciones!$T$15+7*(Reprogramaciones!W$14-1))),MIN(F271,(Reprogramaciones!$T$15+7*(Reprogramaciones!W$14-1))+6),11))=0,0,MAX(0,NETWORKDAYS.INTL(MAX(E271,(Reprogramaciones!$T$15+7*(Reprogramaciones!W$14-1))),MIN(F271,Reprogramaciones!W$13),11))/MAX(0,NETWORKDAYS.INTL(MAX(E271,(Reprogramaciones!$T$15+7*(Reprogramaciones!W$14-1))),MIN(F271,(Reprogramaciones!$T$15+7*(Reprogramaciones!W$14-1))+6),11))))))))</f>
        <v/>
      </c>
      <c r="CG271" s="1" t="str">
        <f aca="false">IF(OR(NOT(AND(ISNUMBER(E271),ISNUMBER(F271))),$J$2=""),"",IF(Reprogramaciones!X$13&lt;Reprogramaciones!$T$15,0,IF(Reprogramaciones!X$14&gt;10,MIN(100,SUM($G271:$P271)),MIN(100,SUMPRODUCT((COLUMN($G271:$P271)-COLUMN($G271)+1&lt;Reprogramaciones!X$14)*$G271:$P271)+N(INDEX($G271:$P271,1,Reprogramaciones!X$14))*IF(Reprogramaciones!X$13&gt;=(Reprogramaciones!$T$15+7*(Reprogramaciones!X$14-1))+6,1,IF(MAX(0,NETWORKDAYS.INTL(MAX(E271,(Reprogramaciones!$T$15+7*(Reprogramaciones!X$14-1))),MIN(F271,(Reprogramaciones!$T$15+7*(Reprogramaciones!X$14-1))+6),11))=0,0,MAX(0,NETWORKDAYS.INTL(MAX(E271,(Reprogramaciones!$T$15+7*(Reprogramaciones!X$14-1))),MIN(F271,Reprogramaciones!X$13),11))/MAX(0,NETWORKDAYS.INTL(MAX(E271,(Reprogramaciones!$T$15+7*(Reprogramaciones!X$14-1))),MIN(F271,(Reprogramaciones!$T$15+7*(Reprogramaciones!X$14-1))+6),11))))))))</f>
        <v/>
      </c>
      <c r="CH271" s="1" t="str">
        <f aca="false">IF(OR(NOT(AND(ISNUMBER(E271),ISNUMBER(F271))),$J$2=""),"",IF(Reprogramaciones!Y$13&lt;Reprogramaciones!$T$15,0,IF(Reprogramaciones!Y$14&gt;10,MIN(100,SUM($G271:$P271)),MIN(100,SUMPRODUCT((COLUMN($G271:$P271)-COLUMN($G271)+1&lt;Reprogramaciones!Y$14)*$G271:$P271)+N(INDEX($G271:$P271,1,Reprogramaciones!Y$14))*IF(Reprogramaciones!Y$13&gt;=(Reprogramaciones!$T$15+7*(Reprogramaciones!Y$14-1))+6,1,IF(MAX(0,NETWORKDAYS.INTL(MAX(E271,(Reprogramaciones!$T$15+7*(Reprogramaciones!Y$14-1))),MIN(F271,(Reprogramaciones!$T$15+7*(Reprogramaciones!Y$14-1))+6),11))=0,0,MAX(0,NETWORKDAYS.INTL(MAX(E271,(Reprogramaciones!$T$15+7*(Reprogramaciones!Y$14-1))),MIN(F271,Reprogramaciones!Y$13),11))/MAX(0,NETWORKDAYS.INTL(MAX(E271,(Reprogramaciones!$T$15+7*(Reprogramaciones!Y$14-1))),MIN(F271,(Reprogramaciones!$T$15+7*(Reprogramaciones!Y$14-1))+6),11))))))))</f>
        <v/>
      </c>
      <c r="CI271" s="1" t="str">
        <f aca="false">IF(OR(NOT(AND(ISNUMBER(E271),ISNUMBER(F271))),$J$2=""),"",IF(Reprogramaciones!Z$13&lt;Reprogramaciones!$T$15,0,IF(Reprogramaciones!Z$14&gt;10,MIN(100,SUM($G271:$P271)),MIN(100,SUMPRODUCT((COLUMN($G271:$P271)-COLUMN($G271)+1&lt;Reprogramaciones!Z$14)*$G271:$P271)+N(INDEX($G271:$P271,1,Reprogramaciones!Z$14))*IF(Reprogramaciones!Z$13&gt;=(Reprogramaciones!$T$15+7*(Reprogramaciones!Z$14-1))+6,1,IF(MAX(0,NETWORKDAYS.INTL(MAX(E271,(Reprogramaciones!$T$15+7*(Reprogramaciones!Z$14-1))),MIN(F271,(Reprogramaciones!$T$15+7*(Reprogramaciones!Z$14-1))+6),11))=0,0,MAX(0,NETWORKDAYS.INTL(MAX(E271,(Reprogramaciones!$T$15+7*(Reprogramaciones!Z$14-1))),MIN(F271,Reprogramaciones!Z$13),11))/MAX(0,NETWORKDAYS.INTL(MAX(E271,(Reprogramaciones!$T$15+7*(Reprogramaciones!Z$14-1))),MIN(F271,(Reprogramaciones!$T$15+7*(Reprogramaciones!Z$14-1))+6),11))))))))</f>
        <v/>
      </c>
      <c r="CJ271" s="1" t="str">
        <f aca="false">IF(OR(OR(NOT(AND(ISNUMBER(E271),ISNUMBER(F271))),$J$2=""),1&gt;Reprogramaciones!$K$16),"",IF(ROUND(SUM($Q271:Q271),1)&gt;=99.5,100,MIN(100,ROUND(SUM($Q271:Q271),1))))</f>
        <v/>
      </c>
      <c r="CK271" s="1" t="str">
        <f aca="false">IF(OR(OR(NOT(AND(ISNUMBER(E271),ISNUMBER(F271))),$J$2=""),2&gt;Reprogramaciones!$K$16),"",IF(ROUND(SUM($Q271:R271),1)&gt;=99.5,100,MIN(100,ROUND(SUM($Q271:R271),1))))</f>
        <v/>
      </c>
      <c r="CL271" s="1" t="str">
        <f aca="false">IF(OR(OR(NOT(AND(ISNUMBER(E271),ISNUMBER(F271))),$J$2=""),3&gt;Reprogramaciones!$K$16),"",IF(ROUND(SUM($Q271:S271),1)&gt;=99.5,100,MIN(100,ROUND(SUM($Q271:S271),1))))</f>
        <v/>
      </c>
      <c r="CM271" s="1" t="str">
        <f aca="false">IF(OR(OR(NOT(AND(ISNUMBER(E271),ISNUMBER(F271))),$J$2=""),4&gt;Reprogramaciones!$K$16),"",IF(ROUND(SUM($Q271:T271),1)&gt;=99.5,100,MIN(100,ROUND(SUM($Q271:T271),1))))</f>
        <v/>
      </c>
      <c r="CN271" s="1" t="str">
        <f aca="false">IF(OR(OR(NOT(AND(ISNUMBER(E271),ISNUMBER(F271))),$J$2=""),5&gt;Reprogramaciones!$K$16),"",IF(ROUND(SUM($Q271:U271),1)&gt;=99.5,100,MIN(100,ROUND(SUM($Q271:U271),1))))</f>
        <v/>
      </c>
      <c r="CO271" s="1" t="str">
        <f aca="false">IF(OR(OR(NOT(AND(ISNUMBER(E271),ISNUMBER(F271))),$J$2=""),6&gt;Reprogramaciones!$K$16),"",IF(ROUND(SUM($Q271:V271),1)&gt;=99.5,100,MIN(100,ROUND(SUM($Q271:V271),1))))</f>
        <v/>
      </c>
      <c r="CP271" s="1" t="str">
        <f aca="false">IF(OR(OR(NOT(AND(ISNUMBER(E271),ISNUMBER(F271))),$J$2=""),7&gt;Reprogramaciones!$K$16),"",IF(ROUND(SUM($Q271:W271),1)&gt;=99.5,100,MIN(100,ROUND(SUM($Q271:W271),1))))</f>
        <v/>
      </c>
      <c r="CQ271" s="1" t="str">
        <f aca="false">IF(OR(OR(NOT(AND(ISNUMBER(E271),ISNUMBER(F271))),$J$2=""),8&gt;Reprogramaciones!$K$16),"",IF(ROUND(SUM($Q271:X271),1)&gt;=99.5,100,MIN(100,ROUND(SUM($Q271:X271),1))))</f>
        <v/>
      </c>
      <c r="CR271" s="1" t="str">
        <f aca="false">IF(OR(OR(NOT(AND(ISNUMBER(E271),ISNUMBER(F271))),$J$2=""),9&gt;Reprogramaciones!$K$16),"",IF(ROUND(SUM($Q271:Y271),1)&gt;=99.5,100,MIN(100,ROUND(SUM($Q271:Y271),1))))</f>
        <v/>
      </c>
      <c r="CS271" s="1" t="str">
        <f aca="false">IF(OR(OR(NOT(AND(ISNUMBER(E271),ISNUMBER(F271))),$J$2=""),10&gt;Reprogramaciones!$K$16),"",IF(ROUND(SUM($Q271:Z271),1)&gt;=99.5,100,MIN(100,ROUND(SUM($Q271:Z271),1))))</f>
        <v/>
      </c>
      <c r="CT271" s="1" t="str">
        <f aca="false">IF(OR(OR(NOT(AND(ISNUMBER(E271),ISNUMBER(F271))),$J$2=""),11&gt;Reprogramaciones!$K$16),"",IF(ROUND(SUM($Q271:AA271),1)&gt;=99.5,100,MIN(100,ROUND(SUM($Q271:AA271),1))))</f>
        <v/>
      </c>
      <c r="CU271" s="1" t="str">
        <f aca="false">IF(OR(OR(NOT(AND(ISNUMBER(E271),ISNUMBER(F271))),$J$2=""),12&gt;Reprogramaciones!$K$16),"",IF(ROUND(SUM($Q271:AB271),1)&gt;=99.5,100,MIN(100,ROUND(SUM($Q271:AB271),1))))</f>
        <v/>
      </c>
      <c r="CV271" s="1" t="str">
        <f aca="false">IF(OR(OR(NOT(AND(ISNUMBER(E271),ISNUMBER(F271))),$J$2=""),13&gt;Reprogramaciones!$K$16),"",IF(ROUND(SUM($Q271:AC271),1)&gt;=99.5,100,MIN(100,ROUND(SUM($Q271:AC271),1))))</f>
        <v/>
      </c>
      <c r="CW271" s="1" t="str">
        <f aca="false">IF(OR(OR(NOT(AND(ISNUMBER(E271),ISNUMBER(F271))),$J$2=""),14&gt;Reprogramaciones!$K$16),"",IF(ROUND(SUM($Q271:AD271),1)&gt;=99.5,100,MIN(100,ROUND(SUM($Q271:AD271),1))))</f>
        <v/>
      </c>
      <c r="CX271" s="1" t="str">
        <f aca="false">IF(OR(OR(NOT(AND(ISNUMBER(E271),ISNUMBER(F271))),$J$2=""),15&gt;Reprogramaciones!$K$16),"",IF(ROUND(SUM($Q271:AE271),1)&gt;=99.5,100,MIN(100,ROUND(SUM($Q271:AE271),1))))</f>
        <v/>
      </c>
      <c r="CY271" s="1" t="str">
        <f aca="false">IF(OR(OR(NOT(AND(ISNUMBER(E271),ISNUMBER(F271))),$J$2=""),16&gt;Reprogramaciones!$K$16),"",IF(ROUND(SUM($Q271:AF271),1)&gt;=99.5,100,MIN(100,ROUND(SUM($Q271:AF271),1))))</f>
        <v/>
      </c>
      <c r="CZ271" s="1" t="str">
        <f aca="false">IF(D271&lt;&gt;"",D271,IF(B271&lt;&gt;"","Contractual",CZ270))</f>
        <v>Contractual</v>
      </c>
      <c r="DA271" s="1" t="str">
        <f aca="false">IF(OR(NOT(AND(ISNUMBER(E271),ISNUMBER(F271))),$J$2=""),"",IF(Reprogramaciones!$Q$15&lt;Reprogramaciones!$T$15,0,IF(Reprogramaciones!$S$15&gt;10,MIN(100,SUM($G271:$P271)),MIN(100,SUMPRODUCT((COLUMN($G271:$P271)-COLUMN($G271)+1&lt;Reprogramaciones!$S$15)*$G271:$P271)+N(INDEX($G271:$P271,1,Reprogramaciones!$S$15))*IF(Reprogramaciones!$Q$15&gt;=(Reprogramaciones!$T$15+7*(Reprogramaciones!$S$15-1))+6,1,IF(MAX(0,NETWORKDAYS.INTL(MAX(E271,(Reprogramaciones!$T$15+7*(Reprogramaciones!$S$15-1))),MIN(F271,(Reprogramaciones!$T$15+7*(Reprogramaciones!$S$15-1))+6),11))=0,0,MAX(0,NETWORKDAYS.INTL(MAX(E271,(Reprogramaciones!$T$15+7*(Reprogramaciones!$S$15-1))),MIN(F271,Reprogramaciones!$Q$15),11))/MAX(0,NETWORKDAYS.INTL(MAX(E271,(Reprogramaciones!$T$15+7*(Reprogramaciones!$S$15-1))),MIN(F271,(Reprogramaciones!$T$15+7*(Reprogramaciones!$S$15-1))+6),11))))))))</f>
        <v/>
      </c>
    </row>
    <row r="272" customFormat="false" ht="15" hidden="false" customHeight="false" outlineLevel="0" collapsed="false">
      <c r="A272" s="32"/>
      <c r="B272" s="33"/>
      <c r="C272" s="33"/>
      <c r="D272" s="34"/>
      <c r="E272" s="35"/>
      <c r="F272" s="35"/>
      <c r="G272" s="36" t="str">
        <f aca="false">IF(OR(NOT(AND(ISNUMBER(E272),ISNUMBER(F272))),$J$2=""),"",IF(Reprogramaciones!K$9&lt;E272,0,IF(NETWORKDAYS.INTL(E272,F272,11)=0,IF(Reprogramaciones!K$9&gt;=F272,100,0),ROUND(NETWORKDAYS.INTL(E272,MIN(F272,Reprogramaciones!K$9),11)/NETWORKDAYS.INTL(E272,F272,11)*100,1)))-0)</f>
        <v/>
      </c>
      <c r="H272" s="36" t="str">
        <f aca="false">IF(OR(NOT(AND(ISNUMBER(E272),ISNUMBER(F272))),$J$2=""),"",IF(Reprogramaciones!L$9&lt;E272,0,IF(NETWORKDAYS.INTL(E272,F272,11)=0,IF(Reprogramaciones!L$9&gt;=F272,100,0),ROUND(NETWORKDAYS.INTL(E272,MIN(F272,Reprogramaciones!L$9),11)/NETWORKDAYS.INTL(E272,F272,11)*100,1)))-IF(Reprogramaciones!K$9&lt;E272,0,IF(NETWORKDAYS.INTL(E272,F272,11)=0,IF(Reprogramaciones!K$9&gt;=F272,100,0),ROUND(NETWORKDAYS.INTL(E272,MIN(F272,Reprogramaciones!K$9),11)/NETWORKDAYS.INTL(E272,F272,11)*100,1))))</f>
        <v/>
      </c>
      <c r="I272" s="36" t="str">
        <f aca="false">IF(OR(NOT(AND(ISNUMBER(E272),ISNUMBER(F272))),$J$2=""),"",IF(Reprogramaciones!M$9&lt;E272,0,IF(NETWORKDAYS.INTL(E272,F272,11)=0,IF(Reprogramaciones!M$9&gt;=F272,100,0),ROUND(NETWORKDAYS.INTL(E272,MIN(F272,Reprogramaciones!M$9),11)/NETWORKDAYS.INTL(E272,F272,11)*100,1)))-IF(Reprogramaciones!L$9&lt;E272,0,IF(NETWORKDAYS.INTL(E272,F272,11)=0,IF(Reprogramaciones!L$9&gt;=F272,100,0),ROUND(NETWORKDAYS.INTL(E272,MIN(F272,Reprogramaciones!L$9),11)/NETWORKDAYS.INTL(E272,F272,11)*100,1))))</f>
        <v/>
      </c>
      <c r="J272" s="36" t="str">
        <f aca="false">IF(OR(NOT(AND(ISNUMBER(E272),ISNUMBER(F272))),$J$2=""),"",IF(Reprogramaciones!N$9&lt;E272,0,IF(NETWORKDAYS.INTL(E272,F272,11)=0,IF(Reprogramaciones!N$9&gt;=F272,100,0),ROUND(NETWORKDAYS.INTL(E272,MIN(F272,Reprogramaciones!N$9),11)/NETWORKDAYS.INTL(E272,F272,11)*100,1)))-IF(Reprogramaciones!M$9&lt;E272,0,IF(NETWORKDAYS.INTL(E272,F272,11)=0,IF(Reprogramaciones!M$9&gt;=F272,100,0),ROUND(NETWORKDAYS.INTL(E272,MIN(F272,Reprogramaciones!M$9),11)/NETWORKDAYS.INTL(E272,F272,11)*100,1))))</f>
        <v/>
      </c>
      <c r="K272" s="36" t="str">
        <f aca="false">IF(OR(NOT(AND(ISNUMBER(E272),ISNUMBER(F272))),$J$2=""),"",IF(Reprogramaciones!O$9&lt;E272,0,IF(NETWORKDAYS.INTL(E272,F272,11)=0,IF(Reprogramaciones!O$9&gt;=F272,100,0),ROUND(NETWORKDAYS.INTL(E272,MIN(F272,Reprogramaciones!O$9),11)/NETWORKDAYS.INTL(E272,F272,11)*100,1)))-IF(Reprogramaciones!N$9&lt;E272,0,IF(NETWORKDAYS.INTL(E272,F272,11)=0,IF(Reprogramaciones!N$9&gt;=F272,100,0),ROUND(NETWORKDAYS.INTL(E272,MIN(F272,Reprogramaciones!N$9),11)/NETWORKDAYS.INTL(E272,F272,11)*100,1))))</f>
        <v/>
      </c>
      <c r="L272" s="36" t="str">
        <f aca="false">IF(OR(NOT(AND(ISNUMBER(E272),ISNUMBER(F272))),$J$2=""),"",IF(Reprogramaciones!P$9&lt;E272,0,IF(NETWORKDAYS.INTL(E272,F272,11)=0,IF(Reprogramaciones!P$9&gt;=F272,100,0),ROUND(NETWORKDAYS.INTL(E272,MIN(F272,Reprogramaciones!P$9),11)/NETWORKDAYS.INTL(E272,F272,11)*100,1)))-IF(Reprogramaciones!O$9&lt;E272,0,IF(NETWORKDAYS.INTL(E272,F272,11)=0,IF(Reprogramaciones!O$9&gt;=F272,100,0),ROUND(NETWORKDAYS.INTL(E272,MIN(F272,Reprogramaciones!O$9),11)/NETWORKDAYS.INTL(E272,F272,11)*100,1))))</f>
        <v/>
      </c>
      <c r="M272" s="36" t="str">
        <f aca="false">IF(OR(NOT(AND(ISNUMBER(E272),ISNUMBER(F272))),$J$2=""),"",IF(Reprogramaciones!Q$9&lt;E272,0,IF(NETWORKDAYS.INTL(E272,F272,11)=0,IF(Reprogramaciones!Q$9&gt;=F272,100,0),ROUND(NETWORKDAYS.INTL(E272,MIN(F272,Reprogramaciones!Q$9),11)/NETWORKDAYS.INTL(E272,F272,11)*100,1)))-IF(Reprogramaciones!P$9&lt;E272,0,IF(NETWORKDAYS.INTL(E272,F272,11)=0,IF(Reprogramaciones!P$9&gt;=F272,100,0),ROUND(NETWORKDAYS.INTL(E272,MIN(F272,Reprogramaciones!P$9),11)/NETWORKDAYS.INTL(E272,F272,11)*100,1))))</f>
        <v/>
      </c>
      <c r="N272" s="36" t="str">
        <f aca="false">IF(OR(NOT(AND(ISNUMBER(E272),ISNUMBER(F272))),$J$2=""),"",IF(Reprogramaciones!R$9&lt;E272,0,IF(NETWORKDAYS.INTL(E272,F272,11)=0,IF(Reprogramaciones!R$9&gt;=F272,100,0),ROUND(NETWORKDAYS.INTL(E272,MIN(F272,Reprogramaciones!R$9),11)/NETWORKDAYS.INTL(E272,F272,11)*100,1)))-IF(Reprogramaciones!Q$9&lt;E272,0,IF(NETWORKDAYS.INTL(E272,F272,11)=0,IF(Reprogramaciones!Q$9&gt;=F272,100,0),ROUND(NETWORKDAYS.INTL(E272,MIN(F272,Reprogramaciones!Q$9),11)/NETWORKDAYS.INTL(E272,F272,11)*100,1))))</f>
        <v/>
      </c>
      <c r="O272" s="36" t="str">
        <f aca="false">IF(OR(NOT(AND(ISNUMBER(E272),ISNUMBER(F272))),$J$2=""),"",IF(Reprogramaciones!S$9&lt;E272,0,IF(NETWORKDAYS.INTL(E272,F272,11)=0,IF(Reprogramaciones!S$9&gt;=F272,100,0),ROUND(NETWORKDAYS.INTL(E272,MIN(F272,Reprogramaciones!S$9),11)/NETWORKDAYS.INTL(E272,F272,11)*100,1)))-IF(Reprogramaciones!R$9&lt;E272,0,IF(NETWORKDAYS.INTL(E272,F272,11)=0,IF(Reprogramaciones!R$9&gt;=F272,100,0),ROUND(NETWORKDAYS.INTL(E272,MIN(F272,Reprogramaciones!R$9),11)/NETWORKDAYS.INTL(E272,F272,11)*100,1))))</f>
        <v/>
      </c>
      <c r="P272" s="36" t="str">
        <f aca="false">IF(OR(NOT(AND(ISNUMBER(E272),ISNUMBER(F272))),$J$2=""),"",IF(Reprogramaciones!T$9&lt;E272,0,IF(NETWORKDAYS.INTL(E272,F272,11)=0,IF(Reprogramaciones!T$9&gt;=F272,100,0),ROUND(NETWORKDAYS.INTL(E272,MIN(F272,Reprogramaciones!T$9),11)/NETWORKDAYS.INTL(E272,F272,11)*100,1)))-IF(Reprogramaciones!S$9&lt;E272,0,IF(NETWORKDAYS.INTL(E272,F272,11)=0,IF(Reprogramaciones!S$9&gt;=F272,100,0),ROUND(NETWORKDAYS.INTL(E272,MIN(F272,Reprogramaciones!S$9),11)/NETWORKDAYS.INTL(E272,F272,11)*100,1))))</f>
        <v/>
      </c>
      <c r="Q272" s="37"/>
      <c r="R272" s="37"/>
      <c r="S272" s="37"/>
      <c r="T272" s="37"/>
      <c r="U272" s="37"/>
      <c r="V272" s="37"/>
      <c r="W272" s="37"/>
      <c r="X272" s="37"/>
      <c r="Y272" s="37"/>
      <c r="Z272" s="37"/>
      <c r="AA272" s="37"/>
      <c r="AB272" s="37"/>
      <c r="AC272" s="37"/>
      <c r="AD272" s="37"/>
      <c r="AE272" s="37"/>
      <c r="AF272" s="37"/>
      <c r="AG272" s="38" t="str">
        <f aca="false">IF(AND(ISNUMBER(E272),ISNUMBER(F272)),NETWORKDAYS.INTL(E272,F272,11),"")</f>
        <v/>
      </c>
      <c r="AH272" s="38" t="str">
        <f aca="false">IF(OR(NOT(AND(ISNUMBER(E272),ISNUMBER(F272))),$J$2=""),"",IF(Reprogramaciones!$P$15&lt;Reprogramaciones!$T$15,0,IF(Reprogramaciones!$R$15&gt;10,MIN(100,SUM($G272:$P272)),MIN(100,SUMPRODUCT((COLUMN($G272:$P272)-COLUMN($G272)+1&lt;Reprogramaciones!$R$15)*$G272:$P272)+N(INDEX($G272:$P272,1,Reprogramaciones!$R$15))*IF(Reprogramaciones!$P$15&gt;=(Reprogramaciones!$T$15+7*(Reprogramaciones!$R$15-1))+6,1,IF(MAX(0,NETWORKDAYS.INTL(MAX(E272,(Reprogramaciones!$T$15+7*(Reprogramaciones!$R$15-1))),MIN(F272,(Reprogramaciones!$T$15+7*(Reprogramaciones!$R$15-1))+6),11))=0,0,MAX(0,NETWORKDAYS.INTL(MAX(E272,(Reprogramaciones!$T$15+7*(Reprogramaciones!$R$15-1))),MIN(F272,Reprogramaciones!$P$15),11))/MAX(0,NETWORKDAYS.INTL(MAX(E272,(Reprogramaciones!$T$15+7*(Reprogramaciones!$R$15-1))),MIN(F272,(Reprogramaciones!$T$15+7*(Reprogramaciones!$R$15-1))+6),11))))))))</f>
        <v/>
      </c>
      <c r="AI272" s="38" t="str">
        <f aca="false">IF(COUNT($Q272:$AF272)=0,"",IF(ROUND(SUM($Q272:$AF272),1)&gt;=99.5,100,MIN(100,ROUND(SUM($Q272:$AF272),1))))</f>
        <v/>
      </c>
      <c r="AJ272" s="38" t="str">
        <f aca="false">IF(OR(AH272="",AI272=""),"",AI272-AH272)</f>
        <v/>
      </c>
      <c r="AK272" s="39" t="str">
        <f aca="true">IF(AH272="","",IF(OR(Ficha!$C$10="Suspendida",Ficha!$C$10="Cancelada"),Ficha!$C$10,IF(AND(AI272&lt;&gt;"",N(AI272)&gt;=100),"Completada",IF(AND(E272&gt;TODAY(),N(AI272)=0),"Por iniciar",IF(N(AI272)+0.5&lt;AH272,"Retrasada",IF(N(AI272)+0.5&lt;DA272,IF(Reprogramaciones!$K$15&gt;0,"Al día · Sem "&amp;Reprogramaciones!$K$15&amp;" en curso","Al día · en curso"),"A tiempo"))))))</f>
        <v/>
      </c>
      <c r="AL272" s="39" t="str">
        <f aca="true">IF(AND(A272="",AND(B272="",C272="",E272="",F272="",COUNT(Q272:AF272)=0)),"",IF(AND(B272="",C272="",E272="",F272="",COUNT(Q272:AF272)=0),"Falta la partida o subpartida",IF(AND(A272&lt;&gt;"",COUNTIF($A$6:$A$305,A272)&gt;1),"Ítem repetido",IF(AND(C272="",E272="",F272="",COUNT(Q272:AF272)=0),"Título de partida",IF(OR(E272="",F272=""),"Faltan fechas",IF(OR(ISTEXT(E272),ISTEXT(F272)),"Fecha escrita como texto: usa dd/mm/aaaa",IF(F272&lt;E272,"Fin antes del inicio",IF(IF($J$2="",FALSE(),OR(E272&lt;$J$2,F272&gt;Reprogramaciones!$T$15+69)),"Fuera de las 10 semanas",IF(ABS(SUM(G272:P272)-100)&gt;0.5,"La meta no suma 100%",IF(ROUND(SUM(Q272:AF272),1)&gt;100.5,"El avance pasa de 100%",IF(MIN(Q272:AF272)&lt;0,"Avance negativo",IF(COUNTA(Q272:AF272)&gt;COUNT(Q272:AF272),"Avance escrito como texto",IF(SUMPRODUCT((Q272:AF272&gt;0)*(Q272:AF272&lt;1))&gt;0,"Avance menor a 1: escribe 50, no 50%",IF(SUMPRODUCT(ISNUMBER(Q272:AF272)*(Reprogramaciones!$K$8:$Z$8&gt;TODAY()))&gt;0,"Avance en semana que aún no llega",IF(AND(N(Reprogramaciones!$E$21)&gt;0,F272&gt;Reprogramaciones!$E$21),"Pasa el fin de la obra: registra una reprogramación",IF(AND(N(Reprogramaciones!$E$21)&gt;0,SUMPRODUCT(ISNUMBER(Q272:AF272)*(Reprogramaciones!$K$8:$Z$8&gt;Reprogramaciones!$E$21))&gt;0),"Avance después del fin de la obra: registra una reprogramación por atraso","OK"))))))))))))))))</f>
        <v/>
      </c>
      <c r="AM272" s="40" t="str">
        <f aca="false">IF(OR(OR(NOT(AND(ISNUMBER(E272),ISNUMBER(F272))),$J$2=""),1&gt;MAX(1,Reprogramaciones!$U$15)),"",IF(Reprogramaciones!K$12&gt;=7,"",IF(OR(BT272-N(0)&gt;0.05,N(Q272)&gt;0),ROUNDDOWN(ROUND(BT272,6),0)&amp;"%"&amp;IF(CJ272="",""," / "&amp;CJ272&amp;"%"),IF(AND(N(0)&gt;=99.95,CJ272&lt;&gt;"",N(CJ272)&lt;100),"Pend. "&amp;CJ272&amp;"%",""))))</f>
        <v/>
      </c>
      <c r="AN272" s="40" t="str">
        <f aca="false">IF(OR(OR(NOT(AND(ISNUMBER(E272),ISNUMBER(F272))),$J$2=""),2&gt;MAX(1,Reprogramaciones!$U$15)),"",IF(Reprogramaciones!L$12&gt;=7,"",IF(OR(BU272-N(BT272)&gt;0.05,N(R272)&gt;0),ROUNDDOWN(ROUND(BU272,6),0)&amp;"%"&amp;IF(CK272="",""," / "&amp;CK272&amp;"%"),IF(AND(N(BT272)&gt;=99.95,CK272&lt;&gt;"",N(CK272)&lt;100),"Pend. "&amp;CK272&amp;"%",""))))</f>
        <v/>
      </c>
      <c r="AO272" s="40" t="str">
        <f aca="false">IF(OR(OR(NOT(AND(ISNUMBER(E272),ISNUMBER(F272))),$J$2=""),3&gt;MAX(1,Reprogramaciones!$U$15)),"",IF(Reprogramaciones!M$12&gt;=7,"",IF(OR(BV272-N(BU272)&gt;0.05,N(S272)&gt;0),ROUNDDOWN(ROUND(BV272,6),0)&amp;"%"&amp;IF(CL272="",""," / "&amp;CL272&amp;"%"),IF(AND(N(BU272)&gt;=99.95,CL272&lt;&gt;"",N(CL272)&lt;100),"Pend. "&amp;CL272&amp;"%",""))))</f>
        <v/>
      </c>
      <c r="AP272" s="40" t="str">
        <f aca="false">IF(OR(OR(NOT(AND(ISNUMBER(E272),ISNUMBER(F272))),$J$2=""),4&gt;MAX(1,Reprogramaciones!$U$15)),"",IF(Reprogramaciones!N$12&gt;=7,"",IF(OR(BW272-N(BV272)&gt;0.05,N(T272)&gt;0),ROUNDDOWN(ROUND(BW272,6),0)&amp;"%"&amp;IF(CM272="",""," / "&amp;CM272&amp;"%"),IF(AND(N(BV272)&gt;=99.95,CM272&lt;&gt;"",N(CM272)&lt;100),"Pend. "&amp;CM272&amp;"%",""))))</f>
        <v/>
      </c>
      <c r="AQ272" s="40" t="str">
        <f aca="false">IF(OR(OR(NOT(AND(ISNUMBER(E272),ISNUMBER(F272))),$J$2=""),5&gt;MAX(1,Reprogramaciones!$U$15)),"",IF(Reprogramaciones!O$12&gt;=7,"",IF(OR(BX272-N(BW272)&gt;0.05,N(U272)&gt;0),ROUNDDOWN(ROUND(BX272,6),0)&amp;"%"&amp;IF(CN272="",""," / "&amp;CN272&amp;"%"),IF(AND(N(BW272)&gt;=99.95,CN272&lt;&gt;"",N(CN272)&lt;100),"Pend. "&amp;CN272&amp;"%",""))))</f>
        <v/>
      </c>
      <c r="AR272" s="40" t="str">
        <f aca="false">IF(OR(OR(NOT(AND(ISNUMBER(E272),ISNUMBER(F272))),$J$2=""),6&gt;MAX(1,Reprogramaciones!$U$15)),"",IF(Reprogramaciones!P$12&gt;=7,"",IF(OR(BY272-N(BX272)&gt;0.05,N(V272)&gt;0),ROUNDDOWN(ROUND(BY272,6),0)&amp;"%"&amp;IF(CO272="",""," / "&amp;CO272&amp;"%"),IF(AND(N(BX272)&gt;=99.95,CO272&lt;&gt;"",N(CO272)&lt;100),"Pend. "&amp;CO272&amp;"%",""))))</f>
        <v/>
      </c>
      <c r="AS272" s="40" t="str">
        <f aca="false">IF(OR(OR(NOT(AND(ISNUMBER(E272),ISNUMBER(F272))),$J$2=""),7&gt;MAX(1,Reprogramaciones!$U$15)),"",IF(Reprogramaciones!Q$12&gt;=7,"",IF(OR(BZ272-N(BY272)&gt;0.05,N(W272)&gt;0),ROUNDDOWN(ROUND(BZ272,6),0)&amp;"%"&amp;IF(CP272="",""," / "&amp;CP272&amp;"%"),IF(AND(N(BY272)&gt;=99.95,CP272&lt;&gt;"",N(CP272)&lt;100),"Pend. "&amp;CP272&amp;"%",""))))</f>
        <v/>
      </c>
      <c r="AT272" s="40" t="str">
        <f aca="false">IF(OR(OR(NOT(AND(ISNUMBER(E272),ISNUMBER(F272))),$J$2=""),8&gt;MAX(1,Reprogramaciones!$U$15)),"",IF(Reprogramaciones!R$12&gt;=7,"",IF(OR(CA272-N(BZ272)&gt;0.05,N(X272)&gt;0),ROUNDDOWN(ROUND(CA272,6),0)&amp;"%"&amp;IF(CQ272="",""," / "&amp;CQ272&amp;"%"),IF(AND(N(BZ272)&gt;=99.95,CQ272&lt;&gt;"",N(CQ272)&lt;100),"Pend. "&amp;CQ272&amp;"%",""))))</f>
        <v/>
      </c>
      <c r="AU272" s="40" t="str">
        <f aca="false">IF(OR(OR(NOT(AND(ISNUMBER(E272),ISNUMBER(F272))),$J$2=""),9&gt;MAX(1,Reprogramaciones!$U$15)),"",IF(Reprogramaciones!S$12&gt;=7,"",IF(OR(CB272-N(CA272)&gt;0.05,N(Y272)&gt;0),ROUNDDOWN(ROUND(CB272,6),0)&amp;"%"&amp;IF(CR272="",""," / "&amp;CR272&amp;"%"),IF(AND(N(CA272)&gt;=99.95,CR272&lt;&gt;"",N(CR272)&lt;100),"Pend. "&amp;CR272&amp;"%",""))))</f>
        <v/>
      </c>
      <c r="AV272" s="40" t="str">
        <f aca="false">IF(OR(OR(NOT(AND(ISNUMBER(E272),ISNUMBER(F272))),$J$2=""),10&gt;MAX(1,Reprogramaciones!$U$15)),"",IF(Reprogramaciones!T$12&gt;=7,"",IF(OR(CC272-N(CB272)&gt;0.05,N(Z272)&gt;0),ROUNDDOWN(ROUND(CC272,6),0)&amp;"%"&amp;IF(CS272="",""," / "&amp;CS272&amp;"%"),IF(AND(N(CB272)&gt;=99.95,CS272&lt;&gt;"",N(CS272)&lt;100),"Pend. "&amp;CS272&amp;"%",""))))</f>
        <v/>
      </c>
      <c r="AW272" s="40" t="str">
        <f aca="false">IF(OR(OR(NOT(AND(ISNUMBER(E272),ISNUMBER(F272))),$J$2=""),11&gt;MAX(1,Reprogramaciones!$U$15)),"",IF(Reprogramaciones!U$12&gt;=7,"",IF(OR(CD272-N(CC272)&gt;0.05,N(AA272)&gt;0),ROUNDDOWN(ROUND(CD272,6),0)&amp;"%"&amp;IF(CT272="",""," / "&amp;CT272&amp;"%"),IF(AND(N(CC272)&gt;=99.95,CT272&lt;&gt;"",N(CT272)&lt;100),"Pend. "&amp;CT272&amp;"%",""))))</f>
        <v/>
      </c>
      <c r="AX272" s="40" t="str">
        <f aca="false">IF(OR(OR(NOT(AND(ISNUMBER(E272),ISNUMBER(F272))),$J$2=""),12&gt;MAX(1,Reprogramaciones!$U$15)),"",IF(Reprogramaciones!V$12&gt;=7,"",IF(OR(CE272-N(CD272)&gt;0.05,N(AB272)&gt;0),ROUNDDOWN(ROUND(CE272,6),0)&amp;"%"&amp;IF(CU272="",""," / "&amp;CU272&amp;"%"),IF(AND(N(CD272)&gt;=99.95,CU272&lt;&gt;"",N(CU272)&lt;100),"Pend. "&amp;CU272&amp;"%",""))))</f>
        <v/>
      </c>
      <c r="AY272" s="40" t="str">
        <f aca="false">IF(OR(OR(NOT(AND(ISNUMBER(E272),ISNUMBER(F272))),$J$2=""),13&gt;MAX(1,Reprogramaciones!$U$15)),"",IF(Reprogramaciones!W$12&gt;=7,"",IF(OR(CF272-N(CE272)&gt;0.05,N(AC272)&gt;0),ROUNDDOWN(ROUND(CF272,6),0)&amp;"%"&amp;IF(CV272="",""," / "&amp;CV272&amp;"%"),IF(AND(N(CE272)&gt;=99.95,CV272&lt;&gt;"",N(CV272)&lt;100),"Pend. "&amp;CV272&amp;"%",""))))</f>
        <v/>
      </c>
      <c r="AZ272" s="40" t="str">
        <f aca="false">IF(OR(OR(NOT(AND(ISNUMBER(E272),ISNUMBER(F272))),$J$2=""),14&gt;MAX(1,Reprogramaciones!$U$15)),"",IF(Reprogramaciones!X$12&gt;=7,"",IF(OR(CG272-N(CF272)&gt;0.05,N(AD272)&gt;0),ROUNDDOWN(ROUND(CG272,6),0)&amp;"%"&amp;IF(CW272="",""," / "&amp;CW272&amp;"%"),IF(AND(N(CF272)&gt;=99.95,CW272&lt;&gt;"",N(CW272)&lt;100),"Pend. "&amp;CW272&amp;"%",""))))</f>
        <v/>
      </c>
      <c r="BA272" s="40" t="str">
        <f aca="false">IF(OR(OR(NOT(AND(ISNUMBER(E272),ISNUMBER(F272))),$J$2=""),15&gt;MAX(1,Reprogramaciones!$U$15)),"",IF(Reprogramaciones!Y$12&gt;=7,"",IF(OR(CH272-N(CG272)&gt;0.05,N(AE272)&gt;0),ROUNDDOWN(ROUND(CH272,6),0)&amp;"%"&amp;IF(CX272="",""," / "&amp;CX272&amp;"%"),IF(AND(N(CG272)&gt;=99.95,CX272&lt;&gt;"",N(CX272)&lt;100),"Pend. "&amp;CX272&amp;"%",""))))</f>
        <v/>
      </c>
      <c r="BB272" s="40" t="str">
        <f aca="false">IF(OR(OR(NOT(AND(ISNUMBER(E272),ISNUMBER(F272))),$J$2=""),16&gt;MAX(1,Reprogramaciones!$U$15)),"",IF(Reprogramaciones!Z$12&gt;=7,"",IF(OR(CI272-N(CH272)&gt;0.05,N(AF272)&gt;0),ROUNDDOWN(ROUND(CI272,6),0)&amp;"%"&amp;IF(CY272="",""," / "&amp;CY272&amp;"%"),IF(AND(N(CH272)&gt;=99.95,CY272&lt;&gt;"",N(CY272)&lt;100),"Pend. "&amp;CY272&amp;"%",""))))</f>
        <v/>
      </c>
      <c r="BC272" s="31" t="n">
        <f aca="false">IF(AND(ISNUMBER(E272),ISNUMBER(F272)),MAX(1,NETWORKDAYS.INTL(E272,F272,11)),0)</f>
        <v>0</v>
      </c>
      <c r="BD272" s="1" t="str">
        <f aca="false">IF(OR(NOT(AND(ISNUMBER(E272),ISNUMBER(F272))),$J$2=""),"",MIN(100,ROUND(SUM($G272:G272),1)))</f>
        <v/>
      </c>
      <c r="BE272" s="1" t="str">
        <f aca="false">IF(OR(NOT(AND(ISNUMBER(E272),ISNUMBER(F272))),$J$2=""),"",MIN(100,ROUND(SUM($G272:H272),1)))</f>
        <v/>
      </c>
      <c r="BF272" s="1" t="str">
        <f aca="false">IF(OR(NOT(AND(ISNUMBER(E272),ISNUMBER(F272))),$J$2=""),"",MIN(100,ROUND(SUM($G272:I272),1)))</f>
        <v/>
      </c>
      <c r="BG272" s="1" t="str">
        <f aca="false">IF(OR(NOT(AND(ISNUMBER(E272),ISNUMBER(F272))),$J$2=""),"",MIN(100,ROUND(SUM($G272:J272),1)))</f>
        <v/>
      </c>
      <c r="BH272" s="1" t="str">
        <f aca="false">IF(OR(NOT(AND(ISNUMBER(E272),ISNUMBER(F272))),$J$2=""),"",MIN(100,ROUND(SUM($G272:K272),1)))</f>
        <v/>
      </c>
      <c r="BI272" s="1" t="str">
        <f aca="false">IF(OR(NOT(AND(ISNUMBER(E272),ISNUMBER(F272))),$J$2=""),"",MIN(100,ROUND(SUM($G272:L272),1)))</f>
        <v/>
      </c>
      <c r="BJ272" s="1" t="str">
        <f aca="false">IF(OR(NOT(AND(ISNUMBER(E272),ISNUMBER(F272))),$J$2=""),"",MIN(100,ROUND(SUM($G272:M272),1)))</f>
        <v/>
      </c>
      <c r="BK272" s="1" t="str">
        <f aca="false">IF(OR(NOT(AND(ISNUMBER(E272),ISNUMBER(F272))),$J$2=""),"",MIN(100,ROUND(SUM($G272:N272),1)))</f>
        <v/>
      </c>
      <c r="BL272" s="1" t="str">
        <f aca="false">IF(OR(NOT(AND(ISNUMBER(E272),ISNUMBER(F272))),$J$2=""),"",MIN(100,ROUND(SUM($G272:O272),1)))</f>
        <v/>
      </c>
      <c r="BM272" s="1" t="str">
        <f aca="false">IF(OR(NOT(AND(ISNUMBER(E272),ISNUMBER(F272))),$J$2=""),"",MIN(100,ROUND(SUM($G272:P272),1)))</f>
        <v/>
      </c>
      <c r="BN272" s="1" t="str">
        <f aca="false">IF(OR(NOT(AND(ISNUMBER(E272),ISNUMBER(F272))),$J$2=""),"",MIN(100,ROUND(SUM($G272:P272),1)))</f>
        <v/>
      </c>
      <c r="BO272" s="1" t="str">
        <f aca="false">IF(OR(NOT(AND(ISNUMBER(E272),ISNUMBER(F272))),$J$2=""),"",MIN(100,ROUND(SUM($G272:P272),1)))</f>
        <v/>
      </c>
      <c r="BP272" s="1" t="str">
        <f aca="false">IF(OR(NOT(AND(ISNUMBER(E272),ISNUMBER(F272))),$J$2=""),"",MIN(100,ROUND(SUM($G272:P272),1)))</f>
        <v/>
      </c>
      <c r="BQ272" s="1" t="str">
        <f aca="false">IF(OR(NOT(AND(ISNUMBER(E272),ISNUMBER(F272))),$J$2=""),"",MIN(100,ROUND(SUM($G272:P272),1)))</f>
        <v/>
      </c>
      <c r="BR272" s="1" t="str">
        <f aca="false">IF(OR(NOT(AND(ISNUMBER(E272),ISNUMBER(F272))),$J$2=""),"",MIN(100,ROUND(SUM($G272:P272),1)))</f>
        <v/>
      </c>
      <c r="BS272" s="1" t="str">
        <f aca="false">IF(OR(NOT(AND(ISNUMBER(E272),ISNUMBER(F272))),$J$2=""),"",MIN(100,ROUND(SUM($G272:P272),1)))</f>
        <v/>
      </c>
      <c r="BT272" s="1" t="str">
        <f aca="false">IF(OR(NOT(AND(ISNUMBER(E272),ISNUMBER(F272))),$J$2=""),"",IF(Reprogramaciones!K$13&lt;Reprogramaciones!$T$15,0,IF(Reprogramaciones!K$14&gt;10,MIN(100,SUM($G272:$P272)),MIN(100,SUMPRODUCT((COLUMN($G272:$P272)-COLUMN($G272)+1&lt;Reprogramaciones!K$14)*$G272:$P272)+N(INDEX($G272:$P272,1,Reprogramaciones!K$14))*IF(Reprogramaciones!K$13&gt;=(Reprogramaciones!$T$15+7*(Reprogramaciones!K$14-1))+6,1,IF(MAX(0,NETWORKDAYS.INTL(MAX(E272,(Reprogramaciones!$T$15+7*(Reprogramaciones!K$14-1))),MIN(F272,(Reprogramaciones!$T$15+7*(Reprogramaciones!K$14-1))+6),11))=0,0,MAX(0,NETWORKDAYS.INTL(MAX(E272,(Reprogramaciones!$T$15+7*(Reprogramaciones!K$14-1))),MIN(F272,Reprogramaciones!K$13),11))/MAX(0,NETWORKDAYS.INTL(MAX(E272,(Reprogramaciones!$T$15+7*(Reprogramaciones!K$14-1))),MIN(F272,(Reprogramaciones!$T$15+7*(Reprogramaciones!K$14-1))+6),11))))))))</f>
        <v/>
      </c>
      <c r="BU272" s="1" t="str">
        <f aca="false">IF(OR(NOT(AND(ISNUMBER(E272),ISNUMBER(F272))),$J$2=""),"",IF(Reprogramaciones!L$13&lt;Reprogramaciones!$T$15,0,IF(Reprogramaciones!L$14&gt;10,MIN(100,SUM($G272:$P272)),MIN(100,SUMPRODUCT((COLUMN($G272:$P272)-COLUMN($G272)+1&lt;Reprogramaciones!L$14)*$G272:$P272)+N(INDEX($G272:$P272,1,Reprogramaciones!L$14))*IF(Reprogramaciones!L$13&gt;=(Reprogramaciones!$T$15+7*(Reprogramaciones!L$14-1))+6,1,IF(MAX(0,NETWORKDAYS.INTL(MAX(E272,(Reprogramaciones!$T$15+7*(Reprogramaciones!L$14-1))),MIN(F272,(Reprogramaciones!$T$15+7*(Reprogramaciones!L$14-1))+6),11))=0,0,MAX(0,NETWORKDAYS.INTL(MAX(E272,(Reprogramaciones!$T$15+7*(Reprogramaciones!L$14-1))),MIN(F272,Reprogramaciones!L$13),11))/MAX(0,NETWORKDAYS.INTL(MAX(E272,(Reprogramaciones!$T$15+7*(Reprogramaciones!L$14-1))),MIN(F272,(Reprogramaciones!$T$15+7*(Reprogramaciones!L$14-1))+6),11))))))))</f>
        <v/>
      </c>
      <c r="BV272" s="1" t="str">
        <f aca="false">IF(OR(NOT(AND(ISNUMBER(E272),ISNUMBER(F272))),$J$2=""),"",IF(Reprogramaciones!M$13&lt;Reprogramaciones!$T$15,0,IF(Reprogramaciones!M$14&gt;10,MIN(100,SUM($G272:$P272)),MIN(100,SUMPRODUCT((COLUMN($G272:$P272)-COLUMN($G272)+1&lt;Reprogramaciones!M$14)*$G272:$P272)+N(INDEX($G272:$P272,1,Reprogramaciones!M$14))*IF(Reprogramaciones!M$13&gt;=(Reprogramaciones!$T$15+7*(Reprogramaciones!M$14-1))+6,1,IF(MAX(0,NETWORKDAYS.INTL(MAX(E272,(Reprogramaciones!$T$15+7*(Reprogramaciones!M$14-1))),MIN(F272,(Reprogramaciones!$T$15+7*(Reprogramaciones!M$14-1))+6),11))=0,0,MAX(0,NETWORKDAYS.INTL(MAX(E272,(Reprogramaciones!$T$15+7*(Reprogramaciones!M$14-1))),MIN(F272,Reprogramaciones!M$13),11))/MAX(0,NETWORKDAYS.INTL(MAX(E272,(Reprogramaciones!$T$15+7*(Reprogramaciones!M$14-1))),MIN(F272,(Reprogramaciones!$T$15+7*(Reprogramaciones!M$14-1))+6),11))))))))</f>
        <v/>
      </c>
      <c r="BW272" s="1" t="str">
        <f aca="false">IF(OR(NOT(AND(ISNUMBER(E272),ISNUMBER(F272))),$J$2=""),"",IF(Reprogramaciones!N$13&lt;Reprogramaciones!$T$15,0,IF(Reprogramaciones!N$14&gt;10,MIN(100,SUM($G272:$P272)),MIN(100,SUMPRODUCT((COLUMN($G272:$P272)-COLUMN($G272)+1&lt;Reprogramaciones!N$14)*$G272:$P272)+N(INDEX($G272:$P272,1,Reprogramaciones!N$14))*IF(Reprogramaciones!N$13&gt;=(Reprogramaciones!$T$15+7*(Reprogramaciones!N$14-1))+6,1,IF(MAX(0,NETWORKDAYS.INTL(MAX(E272,(Reprogramaciones!$T$15+7*(Reprogramaciones!N$14-1))),MIN(F272,(Reprogramaciones!$T$15+7*(Reprogramaciones!N$14-1))+6),11))=0,0,MAX(0,NETWORKDAYS.INTL(MAX(E272,(Reprogramaciones!$T$15+7*(Reprogramaciones!N$14-1))),MIN(F272,Reprogramaciones!N$13),11))/MAX(0,NETWORKDAYS.INTL(MAX(E272,(Reprogramaciones!$T$15+7*(Reprogramaciones!N$14-1))),MIN(F272,(Reprogramaciones!$T$15+7*(Reprogramaciones!N$14-1))+6),11))))))))</f>
        <v/>
      </c>
      <c r="BX272" s="1" t="str">
        <f aca="false">IF(OR(NOT(AND(ISNUMBER(E272),ISNUMBER(F272))),$J$2=""),"",IF(Reprogramaciones!O$13&lt;Reprogramaciones!$T$15,0,IF(Reprogramaciones!O$14&gt;10,MIN(100,SUM($G272:$P272)),MIN(100,SUMPRODUCT((COLUMN($G272:$P272)-COLUMN($G272)+1&lt;Reprogramaciones!O$14)*$G272:$P272)+N(INDEX($G272:$P272,1,Reprogramaciones!O$14))*IF(Reprogramaciones!O$13&gt;=(Reprogramaciones!$T$15+7*(Reprogramaciones!O$14-1))+6,1,IF(MAX(0,NETWORKDAYS.INTL(MAX(E272,(Reprogramaciones!$T$15+7*(Reprogramaciones!O$14-1))),MIN(F272,(Reprogramaciones!$T$15+7*(Reprogramaciones!O$14-1))+6),11))=0,0,MAX(0,NETWORKDAYS.INTL(MAX(E272,(Reprogramaciones!$T$15+7*(Reprogramaciones!O$14-1))),MIN(F272,Reprogramaciones!O$13),11))/MAX(0,NETWORKDAYS.INTL(MAX(E272,(Reprogramaciones!$T$15+7*(Reprogramaciones!O$14-1))),MIN(F272,(Reprogramaciones!$T$15+7*(Reprogramaciones!O$14-1))+6),11))))))))</f>
        <v/>
      </c>
      <c r="BY272" s="1" t="str">
        <f aca="false">IF(OR(NOT(AND(ISNUMBER(E272),ISNUMBER(F272))),$J$2=""),"",IF(Reprogramaciones!P$13&lt;Reprogramaciones!$T$15,0,IF(Reprogramaciones!P$14&gt;10,MIN(100,SUM($G272:$P272)),MIN(100,SUMPRODUCT((COLUMN($G272:$P272)-COLUMN($G272)+1&lt;Reprogramaciones!P$14)*$G272:$P272)+N(INDEX($G272:$P272,1,Reprogramaciones!P$14))*IF(Reprogramaciones!P$13&gt;=(Reprogramaciones!$T$15+7*(Reprogramaciones!P$14-1))+6,1,IF(MAX(0,NETWORKDAYS.INTL(MAX(E272,(Reprogramaciones!$T$15+7*(Reprogramaciones!P$14-1))),MIN(F272,(Reprogramaciones!$T$15+7*(Reprogramaciones!P$14-1))+6),11))=0,0,MAX(0,NETWORKDAYS.INTL(MAX(E272,(Reprogramaciones!$T$15+7*(Reprogramaciones!P$14-1))),MIN(F272,Reprogramaciones!P$13),11))/MAX(0,NETWORKDAYS.INTL(MAX(E272,(Reprogramaciones!$T$15+7*(Reprogramaciones!P$14-1))),MIN(F272,(Reprogramaciones!$T$15+7*(Reprogramaciones!P$14-1))+6),11))))))))</f>
        <v/>
      </c>
      <c r="BZ272" s="1" t="str">
        <f aca="false">IF(OR(NOT(AND(ISNUMBER(E272),ISNUMBER(F272))),$J$2=""),"",IF(Reprogramaciones!Q$13&lt;Reprogramaciones!$T$15,0,IF(Reprogramaciones!Q$14&gt;10,MIN(100,SUM($G272:$P272)),MIN(100,SUMPRODUCT((COLUMN($G272:$P272)-COLUMN($G272)+1&lt;Reprogramaciones!Q$14)*$G272:$P272)+N(INDEX($G272:$P272,1,Reprogramaciones!Q$14))*IF(Reprogramaciones!Q$13&gt;=(Reprogramaciones!$T$15+7*(Reprogramaciones!Q$14-1))+6,1,IF(MAX(0,NETWORKDAYS.INTL(MAX(E272,(Reprogramaciones!$T$15+7*(Reprogramaciones!Q$14-1))),MIN(F272,(Reprogramaciones!$T$15+7*(Reprogramaciones!Q$14-1))+6),11))=0,0,MAX(0,NETWORKDAYS.INTL(MAX(E272,(Reprogramaciones!$T$15+7*(Reprogramaciones!Q$14-1))),MIN(F272,Reprogramaciones!Q$13),11))/MAX(0,NETWORKDAYS.INTL(MAX(E272,(Reprogramaciones!$T$15+7*(Reprogramaciones!Q$14-1))),MIN(F272,(Reprogramaciones!$T$15+7*(Reprogramaciones!Q$14-1))+6),11))))))))</f>
        <v/>
      </c>
      <c r="CA272" s="1" t="str">
        <f aca="false">IF(OR(NOT(AND(ISNUMBER(E272),ISNUMBER(F272))),$J$2=""),"",IF(Reprogramaciones!R$13&lt;Reprogramaciones!$T$15,0,IF(Reprogramaciones!R$14&gt;10,MIN(100,SUM($G272:$P272)),MIN(100,SUMPRODUCT((COLUMN($G272:$P272)-COLUMN($G272)+1&lt;Reprogramaciones!R$14)*$G272:$P272)+N(INDEX($G272:$P272,1,Reprogramaciones!R$14))*IF(Reprogramaciones!R$13&gt;=(Reprogramaciones!$T$15+7*(Reprogramaciones!R$14-1))+6,1,IF(MAX(0,NETWORKDAYS.INTL(MAX(E272,(Reprogramaciones!$T$15+7*(Reprogramaciones!R$14-1))),MIN(F272,(Reprogramaciones!$T$15+7*(Reprogramaciones!R$14-1))+6),11))=0,0,MAX(0,NETWORKDAYS.INTL(MAX(E272,(Reprogramaciones!$T$15+7*(Reprogramaciones!R$14-1))),MIN(F272,Reprogramaciones!R$13),11))/MAX(0,NETWORKDAYS.INTL(MAX(E272,(Reprogramaciones!$T$15+7*(Reprogramaciones!R$14-1))),MIN(F272,(Reprogramaciones!$T$15+7*(Reprogramaciones!R$14-1))+6),11))))))))</f>
        <v/>
      </c>
      <c r="CB272" s="1" t="str">
        <f aca="false">IF(OR(NOT(AND(ISNUMBER(E272),ISNUMBER(F272))),$J$2=""),"",IF(Reprogramaciones!S$13&lt;Reprogramaciones!$T$15,0,IF(Reprogramaciones!S$14&gt;10,MIN(100,SUM($G272:$P272)),MIN(100,SUMPRODUCT((COLUMN($G272:$P272)-COLUMN($G272)+1&lt;Reprogramaciones!S$14)*$G272:$P272)+N(INDEX($G272:$P272,1,Reprogramaciones!S$14))*IF(Reprogramaciones!S$13&gt;=(Reprogramaciones!$T$15+7*(Reprogramaciones!S$14-1))+6,1,IF(MAX(0,NETWORKDAYS.INTL(MAX(E272,(Reprogramaciones!$T$15+7*(Reprogramaciones!S$14-1))),MIN(F272,(Reprogramaciones!$T$15+7*(Reprogramaciones!S$14-1))+6),11))=0,0,MAX(0,NETWORKDAYS.INTL(MAX(E272,(Reprogramaciones!$T$15+7*(Reprogramaciones!S$14-1))),MIN(F272,Reprogramaciones!S$13),11))/MAX(0,NETWORKDAYS.INTL(MAX(E272,(Reprogramaciones!$T$15+7*(Reprogramaciones!S$14-1))),MIN(F272,(Reprogramaciones!$T$15+7*(Reprogramaciones!S$14-1))+6),11))))))))</f>
        <v/>
      </c>
      <c r="CC272" s="1" t="str">
        <f aca="false">IF(OR(NOT(AND(ISNUMBER(E272),ISNUMBER(F272))),$J$2=""),"",IF(Reprogramaciones!T$13&lt;Reprogramaciones!$T$15,0,IF(Reprogramaciones!T$14&gt;10,MIN(100,SUM($G272:$P272)),MIN(100,SUMPRODUCT((COLUMN($G272:$P272)-COLUMN($G272)+1&lt;Reprogramaciones!T$14)*$G272:$P272)+N(INDEX($G272:$P272,1,Reprogramaciones!T$14))*IF(Reprogramaciones!T$13&gt;=(Reprogramaciones!$T$15+7*(Reprogramaciones!T$14-1))+6,1,IF(MAX(0,NETWORKDAYS.INTL(MAX(E272,(Reprogramaciones!$T$15+7*(Reprogramaciones!T$14-1))),MIN(F272,(Reprogramaciones!$T$15+7*(Reprogramaciones!T$14-1))+6),11))=0,0,MAX(0,NETWORKDAYS.INTL(MAX(E272,(Reprogramaciones!$T$15+7*(Reprogramaciones!T$14-1))),MIN(F272,Reprogramaciones!T$13),11))/MAX(0,NETWORKDAYS.INTL(MAX(E272,(Reprogramaciones!$T$15+7*(Reprogramaciones!T$14-1))),MIN(F272,(Reprogramaciones!$T$15+7*(Reprogramaciones!T$14-1))+6),11))))))))</f>
        <v/>
      </c>
      <c r="CD272" s="1" t="str">
        <f aca="false">IF(OR(NOT(AND(ISNUMBER(E272),ISNUMBER(F272))),$J$2=""),"",IF(Reprogramaciones!U$13&lt;Reprogramaciones!$T$15,0,IF(Reprogramaciones!U$14&gt;10,MIN(100,SUM($G272:$P272)),MIN(100,SUMPRODUCT((COLUMN($G272:$P272)-COLUMN($G272)+1&lt;Reprogramaciones!U$14)*$G272:$P272)+N(INDEX($G272:$P272,1,Reprogramaciones!U$14))*IF(Reprogramaciones!U$13&gt;=(Reprogramaciones!$T$15+7*(Reprogramaciones!U$14-1))+6,1,IF(MAX(0,NETWORKDAYS.INTL(MAX(E272,(Reprogramaciones!$T$15+7*(Reprogramaciones!U$14-1))),MIN(F272,(Reprogramaciones!$T$15+7*(Reprogramaciones!U$14-1))+6),11))=0,0,MAX(0,NETWORKDAYS.INTL(MAX(E272,(Reprogramaciones!$T$15+7*(Reprogramaciones!U$14-1))),MIN(F272,Reprogramaciones!U$13),11))/MAX(0,NETWORKDAYS.INTL(MAX(E272,(Reprogramaciones!$T$15+7*(Reprogramaciones!U$14-1))),MIN(F272,(Reprogramaciones!$T$15+7*(Reprogramaciones!U$14-1))+6),11))))))))</f>
        <v/>
      </c>
      <c r="CE272" s="1" t="str">
        <f aca="false">IF(OR(NOT(AND(ISNUMBER(E272),ISNUMBER(F272))),$J$2=""),"",IF(Reprogramaciones!V$13&lt;Reprogramaciones!$T$15,0,IF(Reprogramaciones!V$14&gt;10,MIN(100,SUM($G272:$P272)),MIN(100,SUMPRODUCT((COLUMN($G272:$P272)-COLUMN($G272)+1&lt;Reprogramaciones!V$14)*$G272:$P272)+N(INDEX($G272:$P272,1,Reprogramaciones!V$14))*IF(Reprogramaciones!V$13&gt;=(Reprogramaciones!$T$15+7*(Reprogramaciones!V$14-1))+6,1,IF(MAX(0,NETWORKDAYS.INTL(MAX(E272,(Reprogramaciones!$T$15+7*(Reprogramaciones!V$14-1))),MIN(F272,(Reprogramaciones!$T$15+7*(Reprogramaciones!V$14-1))+6),11))=0,0,MAX(0,NETWORKDAYS.INTL(MAX(E272,(Reprogramaciones!$T$15+7*(Reprogramaciones!V$14-1))),MIN(F272,Reprogramaciones!V$13),11))/MAX(0,NETWORKDAYS.INTL(MAX(E272,(Reprogramaciones!$T$15+7*(Reprogramaciones!V$14-1))),MIN(F272,(Reprogramaciones!$T$15+7*(Reprogramaciones!V$14-1))+6),11))))))))</f>
        <v/>
      </c>
      <c r="CF272" s="1" t="str">
        <f aca="false">IF(OR(NOT(AND(ISNUMBER(E272),ISNUMBER(F272))),$J$2=""),"",IF(Reprogramaciones!W$13&lt;Reprogramaciones!$T$15,0,IF(Reprogramaciones!W$14&gt;10,MIN(100,SUM($G272:$P272)),MIN(100,SUMPRODUCT((COLUMN($G272:$P272)-COLUMN($G272)+1&lt;Reprogramaciones!W$14)*$G272:$P272)+N(INDEX($G272:$P272,1,Reprogramaciones!W$14))*IF(Reprogramaciones!W$13&gt;=(Reprogramaciones!$T$15+7*(Reprogramaciones!W$14-1))+6,1,IF(MAX(0,NETWORKDAYS.INTL(MAX(E272,(Reprogramaciones!$T$15+7*(Reprogramaciones!W$14-1))),MIN(F272,(Reprogramaciones!$T$15+7*(Reprogramaciones!W$14-1))+6),11))=0,0,MAX(0,NETWORKDAYS.INTL(MAX(E272,(Reprogramaciones!$T$15+7*(Reprogramaciones!W$14-1))),MIN(F272,Reprogramaciones!W$13),11))/MAX(0,NETWORKDAYS.INTL(MAX(E272,(Reprogramaciones!$T$15+7*(Reprogramaciones!W$14-1))),MIN(F272,(Reprogramaciones!$T$15+7*(Reprogramaciones!W$14-1))+6),11))))))))</f>
        <v/>
      </c>
      <c r="CG272" s="1" t="str">
        <f aca="false">IF(OR(NOT(AND(ISNUMBER(E272),ISNUMBER(F272))),$J$2=""),"",IF(Reprogramaciones!X$13&lt;Reprogramaciones!$T$15,0,IF(Reprogramaciones!X$14&gt;10,MIN(100,SUM($G272:$P272)),MIN(100,SUMPRODUCT((COLUMN($G272:$P272)-COLUMN($G272)+1&lt;Reprogramaciones!X$14)*$G272:$P272)+N(INDEX($G272:$P272,1,Reprogramaciones!X$14))*IF(Reprogramaciones!X$13&gt;=(Reprogramaciones!$T$15+7*(Reprogramaciones!X$14-1))+6,1,IF(MAX(0,NETWORKDAYS.INTL(MAX(E272,(Reprogramaciones!$T$15+7*(Reprogramaciones!X$14-1))),MIN(F272,(Reprogramaciones!$T$15+7*(Reprogramaciones!X$14-1))+6),11))=0,0,MAX(0,NETWORKDAYS.INTL(MAX(E272,(Reprogramaciones!$T$15+7*(Reprogramaciones!X$14-1))),MIN(F272,Reprogramaciones!X$13),11))/MAX(0,NETWORKDAYS.INTL(MAX(E272,(Reprogramaciones!$T$15+7*(Reprogramaciones!X$14-1))),MIN(F272,(Reprogramaciones!$T$15+7*(Reprogramaciones!X$14-1))+6),11))))))))</f>
        <v/>
      </c>
      <c r="CH272" s="1" t="str">
        <f aca="false">IF(OR(NOT(AND(ISNUMBER(E272),ISNUMBER(F272))),$J$2=""),"",IF(Reprogramaciones!Y$13&lt;Reprogramaciones!$T$15,0,IF(Reprogramaciones!Y$14&gt;10,MIN(100,SUM($G272:$P272)),MIN(100,SUMPRODUCT((COLUMN($G272:$P272)-COLUMN($G272)+1&lt;Reprogramaciones!Y$14)*$G272:$P272)+N(INDEX($G272:$P272,1,Reprogramaciones!Y$14))*IF(Reprogramaciones!Y$13&gt;=(Reprogramaciones!$T$15+7*(Reprogramaciones!Y$14-1))+6,1,IF(MAX(0,NETWORKDAYS.INTL(MAX(E272,(Reprogramaciones!$T$15+7*(Reprogramaciones!Y$14-1))),MIN(F272,(Reprogramaciones!$T$15+7*(Reprogramaciones!Y$14-1))+6),11))=0,0,MAX(0,NETWORKDAYS.INTL(MAX(E272,(Reprogramaciones!$T$15+7*(Reprogramaciones!Y$14-1))),MIN(F272,Reprogramaciones!Y$13),11))/MAX(0,NETWORKDAYS.INTL(MAX(E272,(Reprogramaciones!$T$15+7*(Reprogramaciones!Y$14-1))),MIN(F272,(Reprogramaciones!$T$15+7*(Reprogramaciones!Y$14-1))+6),11))))))))</f>
        <v/>
      </c>
      <c r="CI272" s="1" t="str">
        <f aca="false">IF(OR(NOT(AND(ISNUMBER(E272),ISNUMBER(F272))),$J$2=""),"",IF(Reprogramaciones!Z$13&lt;Reprogramaciones!$T$15,0,IF(Reprogramaciones!Z$14&gt;10,MIN(100,SUM($G272:$P272)),MIN(100,SUMPRODUCT((COLUMN($G272:$P272)-COLUMN($G272)+1&lt;Reprogramaciones!Z$14)*$G272:$P272)+N(INDEX($G272:$P272,1,Reprogramaciones!Z$14))*IF(Reprogramaciones!Z$13&gt;=(Reprogramaciones!$T$15+7*(Reprogramaciones!Z$14-1))+6,1,IF(MAX(0,NETWORKDAYS.INTL(MAX(E272,(Reprogramaciones!$T$15+7*(Reprogramaciones!Z$14-1))),MIN(F272,(Reprogramaciones!$T$15+7*(Reprogramaciones!Z$14-1))+6),11))=0,0,MAX(0,NETWORKDAYS.INTL(MAX(E272,(Reprogramaciones!$T$15+7*(Reprogramaciones!Z$14-1))),MIN(F272,Reprogramaciones!Z$13),11))/MAX(0,NETWORKDAYS.INTL(MAX(E272,(Reprogramaciones!$T$15+7*(Reprogramaciones!Z$14-1))),MIN(F272,(Reprogramaciones!$T$15+7*(Reprogramaciones!Z$14-1))+6),11))))))))</f>
        <v/>
      </c>
      <c r="CJ272" s="1" t="str">
        <f aca="false">IF(OR(OR(NOT(AND(ISNUMBER(E272),ISNUMBER(F272))),$J$2=""),1&gt;Reprogramaciones!$K$16),"",IF(ROUND(SUM($Q272:Q272),1)&gt;=99.5,100,MIN(100,ROUND(SUM($Q272:Q272),1))))</f>
        <v/>
      </c>
      <c r="CK272" s="1" t="str">
        <f aca="false">IF(OR(OR(NOT(AND(ISNUMBER(E272),ISNUMBER(F272))),$J$2=""),2&gt;Reprogramaciones!$K$16),"",IF(ROUND(SUM($Q272:R272),1)&gt;=99.5,100,MIN(100,ROUND(SUM($Q272:R272),1))))</f>
        <v/>
      </c>
      <c r="CL272" s="1" t="str">
        <f aca="false">IF(OR(OR(NOT(AND(ISNUMBER(E272),ISNUMBER(F272))),$J$2=""),3&gt;Reprogramaciones!$K$16),"",IF(ROUND(SUM($Q272:S272),1)&gt;=99.5,100,MIN(100,ROUND(SUM($Q272:S272),1))))</f>
        <v/>
      </c>
      <c r="CM272" s="1" t="str">
        <f aca="false">IF(OR(OR(NOT(AND(ISNUMBER(E272),ISNUMBER(F272))),$J$2=""),4&gt;Reprogramaciones!$K$16),"",IF(ROUND(SUM($Q272:T272),1)&gt;=99.5,100,MIN(100,ROUND(SUM($Q272:T272),1))))</f>
        <v/>
      </c>
      <c r="CN272" s="1" t="str">
        <f aca="false">IF(OR(OR(NOT(AND(ISNUMBER(E272),ISNUMBER(F272))),$J$2=""),5&gt;Reprogramaciones!$K$16),"",IF(ROUND(SUM($Q272:U272),1)&gt;=99.5,100,MIN(100,ROUND(SUM($Q272:U272),1))))</f>
        <v/>
      </c>
      <c r="CO272" s="1" t="str">
        <f aca="false">IF(OR(OR(NOT(AND(ISNUMBER(E272),ISNUMBER(F272))),$J$2=""),6&gt;Reprogramaciones!$K$16),"",IF(ROUND(SUM($Q272:V272),1)&gt;=99.5,100,MIN(100,ROUND(SUM($Q272:V272),1))))</f>
        <v/>
      </c>
      <c r="CP272" s="1" t="str">
        <f aca="false">IF(OR(OR(NOT(AND(ISNUMBER(E272),ISNUMBER(F272))),$J$2=""),7&gt;Reprogramaciones!$K$16),"",IF(ROUND(SUM($Q272:W272),1)&gt;=99.5,100,MIN(100,ROUND(SUM($Q272:W272),1))))</f>
        <v/>
      </c>
      <c r="CQ272" s="1" t="str">
        <f aca="false">IF(OR(OR(NOT(AND(ISNUMBER(E272),ISNUMBER(F272))),$J$2=""),8&gt;Reprogramaciones!$K$16),"",IF(ROUND(SUM($Q272:X272),1)&gt;=99.5,100,MIN(100,ROUND(SUM($Q272:X272),1))))</f>
        <v/>
      </c>
      <c r="CR272" s="1" t="str">
        <f aca="false">IF(OR(OR(NOT(AND(ISNUMBER(E272),ISNUMBER(F272))),$J$2=""),9&gt;Reprogramaciones!$K$16),"",IF(ROUND(SUM($Q272:Y272),1)&gt;=99.5,100,MIN(100,ROUND(SUM($Q272:Y272),1))))</f>
        <v/>
      </c>
      <c r="CS272" s="1" t="str">
        <f aca="false">IF(OR(OR(NOT(AND(ISNUMBER(E272),ISNUMBER(F272))),$J$2=""),10&gt;Reprogramaciones!$K$16),"",IF(ROUND(SUM($Q272:Z272),1)&gt;=99.5,100,MIN(100,ROUND(SUM($Q272:Z272),1))))</f>
        <v/>
      </c>
      <c r="CT272" s="1" t="str">
        <f aca="false">IF(OR(OR(NOT(AND(ISNUMBER(E272),ISNUMBER(F272))),$J$2=""),11&gt;Reprogramaciones!$K$16),"",IF(ROUND(SUM($Q272:AA272),1)&gt;=99.5,100,MIN(100,ROUND(SUM($Q272:AA272),1))))</f>
        <v/>
      </c>
      <c r="CU272" s="1" t="str">
        <f aca="false">IF(OR(OR(NOT(AND(ISNUMBER(E272),ISNUMBER(F272))),$J$2=""),12&gt;Reprogramaciones!$K$16),"",IF(ROUND(SUM($Q272:AB272),1)&gt;=99.5,100,MIN(100,ROUND(SUM($Q272:AB272),1))))</f>
        <v/>
      </c>
      <c r="CV272" s="1" t="str">
        <f aca="false">IF(OR(OR(NOT(AND(ISNUMBER(E272),ISNUMBER(F272))),$J$2=""),13&gt;Reprogramaciones!$K$16),"",IF(ROUND(SUM($Q272:AC272),1)&gt;=99.5,100,MIN(100,ROUND(SUM($Q272:AC272),1))))</f>
        <v/>
      </c>
      <c r="CW272" s="1" t="str">
        <f aca="false">IF(OR(OR(NOT(AND(ISNUMBER(E272),ISNUMBER(F272))),$J$2=""),14&gt;Reprogramaciones!$K$16),"",IF(ROUND(SUM($Q272:AD272),1)&gt;=99.5,100,MIN(100,ROUND(SUM($Q272:AD272),1))))</f>
        <v/>
      </c>
      <c r="CX272" s="1" t="str">
        <f aca="false">IF(OR(OR(NOT(AND(ISNUMBER(E272),ISNUMBER(F272))),$J$2=""),15&gt;Reprogramaciones!$K$16),"",IF(ROUND(SUM($Q272:AE272),1)&gt;=99.5,100,MIN(100,ROUND(SUM($Q272:AE272),1))))</f>
        <v/>
      </c>
      <c r="CY272" s="1" t="str">
        <f aca="false">IF(OR(OR(NOT(AND(ISNUMBER(E272),ISNUMBER(F272))),$J$2=""),16&gt;Reprogramaciones!$K$16),"",IF(ROUND(SUM($Q272:AF272),1)&gt;=99.5,100,MIN(100,ROUND(SUM($Q272:AF272),1))))</f>
        <v/>
      </c>
      <c r="CZ272" s="1" t="str">
        <f aca="false">IF(D272&lt;&gt;"",D272,IF(B272&lt;&gt;"","Contractual",CZ271))</f>
        <v>Contractual</v>
      </c>
      <c r="DA272" s="1" t="str">
        <f aca="false">IF(OR(NOT(AND(ISNUMBER(E272),ISNUMBER(F272))),$J$2=""),"",IF(Reprogramaciones!$Q$15&lt;Reprogramaciones!$T$15,0,IF(Reprogramaciones!$S$15&gt;10,MIN(100,SUM($G272:$P272)),MIN(100,SUMPRODUCT((COLUMN($G272:$P272)-COLUMN($G272)+1&lt;Reprogramaciones!$S$15)*$G272:$P272)+N(INDEX($G272:$P272,1,Reprogramaciones!$S$15))*IF(Reprogramaciones!$Q$15&gt;=(Reprogramaciones!$T$15+7*(Reprogramaciones!$S$15-1))+6,1,IF(MAX(0,NETWORKDAYS.INTL(MAX(E272,(Reprogramaciones!$T$15+7*(Reprogramaciones!$S$15-1))),MIN(F272,(Reprogramaciones!$T$15+7*(Reprogramaciones!$S$15-1))+6),11))=0,0,MAX(0,NETWORKDAYS.INTL(MAX(E272,(Reprogramaciones!$T$15+7*(Reprogramaciones!$S$15-1))),MIN(F272,Reprogramaciones!$Q$15),11))/MAX(0,NETWORKDAYS.INTL(MAX(E272,(Reprogramaciones!$T$15+7*(Reprogramaciones!$S$15-1))),MIN(F272,(Reprogramaciones!$T$15+7*(Reprogramaciones!$S$15-1))+6),11))))))))</f>
        <v/>
      </c>
    </row>
    <row r="273" customFormat="false" ht="15" hidden="false" customHeight="false" outlineLevel="0" collapsed="false">
      <c r="A273" s="32"/>
      <c r="B273" s="33"/>
      <c r="C273" s="33"/>
      <c r="D273" s="34"/>
      <c r="E273" s="35"/>
      <c r="F273" s="35"/>
      <c r="G273" s="36" t="str">
        <f aca="false">IF(OR(NOT(AND(ISNUMBER(E273),ISNUMBER(F273))),$J$2=""),"",IF(Reprogramaciones!K$9&lt;E273,0,IF(NETWORKDAYS.INTL(E273,F273,11)=0,IF(Reprogramaciones!K$9&gt;=F273,100,0),ROUND(NETWORKDAYS.INTL(E273,MIN(F273,Reprogramaciones!K$9),11)/NETWORKDAYS.INTL(E273,F273,11)*100,1)))-0)</f>
        <v/>
      </c>
      <c r="H273" s="36" t="str">
        <f aca="false">IF(OR(NOT(AND(ISNUMBER(E273),ISNUMBER(F273))),$J$2=""),"",IF(Reprogramaciones!L$9&lt;E273,0,IF(NETWORKDAYS.INTL(E273,F273,11)=0,IF(Reprogramaciones!L$9&gt;=F273,100,0),ROUND(NETWORKDAYS.INTL(E273,MIN(F273,Reprogramaciones!L$9),11)/NETWORKDAYS.INTL(E273,F273,11)*100,1)))-IF(Reprogramaciones!K$9&lt;E273,0,IF(NETWORKDAYS.INTL(E273,F273,11)=0,IF(Reprogramaciones!K$9&gt;=F273,100,0),ROUND(NETWORKDAYS.INTL(E273,MIN(F273,Reprogramaciones!K$9),11)/NETWORKDAYS.INTL(E273,F273,11)*100,1))))</f>
        <v/>
      </c>
      <c r="I273" s="36" t="str">
        <f aca="false">IF(OR(NOT(AND(ISNUMBER(E273),ISNUMBER(F273))),$J$2=""),"",IF(Reprogramaciones!M$9&lt;E273,0,IF(NETWORKDAYS.INTL(E273,F273,11)=0,IF(Reprogramaciones!M$9&gt;=F273,100,0),ROUND(NETWORKDAYS.INTL(E273,MIN(F273,Reprogramaciones!M$9),11)/NETWORKDAYS.INTL(E273,F273,11)*100,1)))-IF(Reprogramaciones!L$9&lt;E273,0,IF(NETWORKDAYS.INTL(E273,F273,11)=0,IF(Reprogramaciones!L$9&gt;=F273,100,0),ROUND(NETWORKDAYS.INTL(E273,MIN(F273,Reprogramaciones!L$9),11)/NETWORKDAYS.INTL(E273,F273,11)*100,1))))</f>
        <v/>
      </c>
      <c r="J273" s="36" t="str">
        <f aca="false">IF(OR(NOT(AND(ISNUMBER(E273),ISNUMBER(F273))),$J$2=""),"",IF(Reprogramaciones!N$9&lt;E273,0,IF(NETWORKDAYS.INTL(E273,F273,11)=0,IF(Reprogramaciones!N$9&gt;=F273,100,0),ROUND(NETWORKDAYS.INTL(E273,MIN(F273,Reprogramaciones!N$9),11)/NETWORKDAYS.INTL(E273,F273,11)*100,1)))-IF(Reprogramaciones!M$9&lt;E273,0,IF(NETWORKDAYS.INTL(E273,F273,11)=0,IF(Reprogramaciones!M$9&gt;=F273,100,0),ROUND(NETWORKDAYS.INTL(E273,MIN(F273,Reprogramaciones!M$9),11)/NETWORKDAYS.INTL(E273,F273,11)*100,1))))</f>
        <v/>
      </c>
      <c r="K273" s="36" t="str">
        <f aca="false">IF(OR(NOT(AND(ISNUMBER(E273),ISNUMBER(F273))),$J$2=""),"",IF(Reprogramaciones!O$9&lt;E273,0,IF(NETWORKDAYS.INTL(E273,F273,11)=0,IF(Reprogramaciones!O$9&gt;=F273,100,0),ROUND(NETWORKDAYS.INTL(E273,MIN(F273,Reprogramaciones!O$9),11)/NETWORKDAYS.INTL(E273,F273,11)*100,1)))-IF(Reprogramaciones!N$9&lt;E273,0,IF(NETWORKDAYS.INTL(E273,F273,11)=0,IF(Reprogramaciones!N$9&gt;=F273,100,0),ROUND(NETWORKDAYS.INTL(E273,MIN(F273,Reprogramaciones!N$9),11)/NETWORKDAYS.INTL(E273,F273,11)*100,1))))</f>
        <v/>
      </c>
      <c r="L273" s="36" t="str">
        <f aca="false">IF(OR(NOT(AND(ISNUMBER(E273),ISNUMBER(F273))),$J$2=""),"",IF(Reprogramaciones!P$9&lt;E273,0,IF(NETWORKDAYS.INTL(E273,F273,11)=0,IF(Reprogramaciones!P$9&gt;=F273,100,0),ROUND(NETWORKDAYS.INTL(E273,MIN(F273,Reprogramaciones!P$9),11)/NETWORKDAYS.INTL(E273,F273,11)*100,1)))-IF(Reprogramaciones!O$9&lt;E273,0,IF(NETWORKDAYS.INTL(E273,F273,11)=0,IF(Reprogramaciones!O$9&gt;=F273,100,0),ROUND(NETWORKDAYS.INTL(E273,MIN(F273,Reprogramaciones!O$9),11)/NETWORKDAYS.INTL(E273,F273,11)*100,1))))</f>
        <v/>
      </c>
      <c r="M273" s="36" t="str">
        <f aca="false">IF(OR(NOT(AND(ISNUMBER(E273),ISNUMBER(F273))),$J$2=""),"",IF(Reprogramaciones!Q$9&lt;E273,0,IF(NETWORKDAYS.INTL(E273,F273,11)=0,IF(Reprogramaciones!Q$9&gt;=F273,100,0),ROUND(NETWORKDAYS.INTL(E273,MIN(F273,Reprogramaciones!Q$9),11)/NETWORKDAYS.INTL(E273,F273,11)*100,1)))-IF(Reprogramaciones!P$9&lt;E273,0,IF(NETWORKDAYS.INTL(E273,F273,11)=0,IF(Reprogramaciones!P$9&gt;=F273,100,0),ROUND(NETWORKDAYS.INTL(E273,MIN(F273,Reprogramaciones!P$9),11)/NETWORKDAYS.INTL(E273,F273,11)*100,1))))</f>
        <v/>
      </c>
      <c r="N273" s="36" t="str">
        <f aca="false">IF(OR(NOT(AND(ISNUMBER(E273),ISNUMBER(F273))),$J$2=""),"",IF(Reprogramaciones!R$9&lt;E273,0,IF(NETWORKDAYS.INTL(E273,F273,11)=0,IF(Reprogramaciones!R$9&gt;=F273,100,0),ROUND(NETWORKDAYS.INTL(E273,MIN(F273,Reprogramaciones!R$9),11)/NETWORKDAYS.INTL(E273,F273,11)*100,1)))-IF(Reprogramaciones!Q$9&lt;E273,0,IF(NETWORKDAYS.INTL(E273,F273,11)=0,IF(Reprogramaciones!Q$9&gt;=F273,100,0),ROUND(NETWORKDAYS.INTL(E273,MIN(F273,Reprogramaciones!Q$9),11)/NETWORKDAYS.INTL(E273,F273,11)*100,1))))</f>
        <v/>
      </c>
      <c r="O273" s="36" t="str">
        <f aca="false">IF(OR(NOT(AND(ISNUMBER(E273),ISNUMBER(F273))),$J$2=""),"",IF(Reprogramaciones!S$9&lt;E273,0,IF(NETWORKDAYS.INTL(E273,F273,11)=0,IF(Reprogramaciones!S$9&gt;=F273,100,0),ROUND(NETWORKDAYS.INTL(E273,MIN(F273,Reprogramaciones!S$9),11)/NETWORKDAYS.INTL(E273,F273,11)*100,1)))-IF(Reprogramaciones!R$9&lt;E273,0,IF(NETWORKDAYS.INTL(E273,F273,11)=0,IF(Reprogramaciones!R$9&gt;=F273,100,0),ROUND(NETWORKDAYS.INTL(E273,MIN(F273,Reprogramaciones!R$9),11)/NETWORKDAYS.INTL(E273,F273,11)*100,1))))</f>
        <v/>
      </c>
      <c r="P273" s="36" t="str">
        <f aca="false">IF(OR(NOT(AND(ISNUMBER(E273),ISNUMBER(F273))),$J$2=""),"",IF(Reprogramaciones!T$9&lt;E273,0,IF(NETWORKDAYS.INTL(E273,F273,11)=0,IF(Reprogramaciones!T$9&gt;=F273,100,0),ROUND(NETWORKDAYS.INTL(E273,MIN(F273,Reprogramaciones!T$9),11)/NETWORKDAYS.INTL(E273,F273,11)*100,1)))-IF(Reprogramaciones!S$9&lt;E273,0,IF(NETWORKDAYS.INTL(E273,F273,11)=0,IF(Reprogramaciones!S$9&gt;=F273,100,0),ROUND(NETWORKDAYS.INTL(E273,MIN(F273,Reprogramaciones!S$9),11)/NETWORKDAYS.INTL(E273,F273,11)*100,1))))</f>
        <v/>
      </c>
      <c r="Q273" s="37"/>
      <c r="R273" s="37"/>
      <c r="S273" s="37"/>
      <c r="T273" s="37"/>
      <c r="U273" s="37"/>
      <c r="V273" s="37"/>
      <c r="W273" s="37"/>
      <c r="X273" s="37"/>
      <c r="Y273" s="37"/>
      <c r="Z273" s="37"/>
      <c r="AA273" s="37"/>
      <c r="AB273" s="37"/>
      <c r="AC273" s="37"/>
      <c r="AD273" s="37"/>
      <c r="AE273" s="37"/>
      <c r="AF273" s="37"/>
      <c r="AG273" s="38" t="str">
        <f aca="false">IF(AND(ISNUMBER(E273),ISNUMBER(F273)),NETWORKDAYS.INTL(E273,F273,11),"")</f>
        <v/>
      </c>
      <c r="AH273" s="38" t="str">
        <f aca="false">IF(OR(NOT(AND(ISNUMBER(E273),ISNUMBER(F273))),$J$2=""),"",IF(Reprogramaciones!$P$15&lt;Reprogramaciones!$T$15,0,IF(Reprogramaciones!$R$15&gt;10,MIN(100,SUM($G273:$P273)),MIN(100,SUMPRODUCT((COLUMN($G273:$P273)-COLUMN($G273)+1&lt;Reprogramaciones!$R$15)*$G273:$P273)+N(INDEX($G273:$P273,1,Reprogramaciones!$R$15))*IF(Reprogramaciones!$P$15&gt;=(Reprogramaciones!$T$15+7*(Reprogramaciones!$R$15-1))+6,1,IF(MAX(0,NETWORKDAYS.INTL(MAX(E273,(Reprogramaciones!$T$15+7*(Reprogramaciones!$R$15-1))),MIN(F273,(Reprogramaciones!$T$15+7*(Reprogramaciones!$R$15-1))+6),11))=0,0,MAX(0,NETWORKDAYS.INTL(MAX(E273,(Reprogramaciones!$T$15+7*(Reprogramaciones!$R$15-1))),MIN(F273,Reprogramaciones!$P$15),11))/MAX(0,NETWORKDAYS.INTL(MAX(E273,(Reprogramaciones!$T$15+7*(Reprogramaciones!$R$15-1))),MIN(F273,(Reprogramaciones!$T$15+7*(Reprogramaciones!$R$15-1))+6),11))))))))</f>
        <v/>
      </c>
      <c r="AI273" s="38" t="str">
        <f aca="false">IF(COUNT($Q273:$AF273)=0,"",IF(ROUND(SUM($Q273:$AF273),1)&gt;=99.5,100,MIN(100,ROUND(SUM($Q273:$AF273),1))))</f>
        <v/>
      </c>
      <c r="AJ273" s="38" t="str">
        <f aca="false">IF(OR(AH273="",AI273=""),"",AI273-AH273)</f>
        <v/>
      </c>
      <c r="AK273" s="39" t="str">
        <f aca="true">IF(AH273="","",IF(OR(Ficha!$C$10="Suspendida",Ficha!$C$10="Cancelada"),Ficha!$C$10,IF(AND(AI273&lt;&gt;"",N(AI273)&gt;=100),"Completada",IF(AND(E273&gt;TODAY(),N(AI273)=0),"Por iniciar",IF(N(AI273)+0.5&lt;AH273,"Retrasada",IF(N(AI273)+0.5&lt;DA273,IF(Reprogramaciones!$K$15&gt;0,"Al día · Sem "&amp;Reprogramaciones!$K$15&amp;" en curso","Al día · en curso"),"A tiempo"))))))</f>
        <v/>
      </c>
      <c r="AL273" s="39" t="str">
        <f aca="true">IF(AND(A273="",AND(B273="",C273="",E273="",F273="",COUNT(Q273:AF273)=0)),"",IF(AND(B273="",C273="",E273="",F273="",COUNT(Q273:AF273)=0),"Falta la partida o subpartida",IF(AND(A273&lt;&gt;"",COUNTIF($A$6:$A$305,A273)&gt;1),"Ítem repetido",IF(AND(C273="",E273="",F273="",COUNT(Q273:AF273)=0),"Título de partida",IF(OR(E273="",F273=""),"Faltan fechas",IF(OR(ISTEXT(E273),ISTEXT(F273)),"Fecha escrita como texto: usa dd/mm/aaaa",IF(F273&lt;E273,"Fin antes del inicio",IF(IF($J$2="",FALSE(),OR(E273&lt;$J$2,F273&gt;Reprogramaciones!$T$15+69)),"Fuera de las 10 semanas",IF(ABS(SUM(G273:P273)-100)&gt;0.5,"La meta no suma 100%",IF(ROUND(SUM(Q273:AF273),1)&gt;100.5,"El avance pasa de 100%",IF(MIN(Q273:AF273)&lt;0,"Avance negativo",IF(COUNTA(Q273:AF273)&gt;COUNT(Q273:AF273),"Avance escrito como texto",IF(SUMPRODUCT((Q273:AF273&gt;0)*(Q273:AF273&lt;1))&gt;0,"Avance menor a 1: escribe 50, no 50%",IF(SUMPRODUCT(ISNUMBER(Q273:AF273)*(Reprogramaciones!$K$8:$Z$8&gt;TODAY()))&gt;0,"Avance en semana que aún no llega",IF(AND(N(Reprogramaciones!$E$21)&gt;0,F273&gt;Reprogramaciones!$E$21),"Pasa el fin de la obra: registra una reprogramación",IF(AND(N(Reprogramaciones!$E$21)&gt;0,SUMPRODUCT(ISNUMBER(Q273:AF273)*(Reprogramaciones!$K$8:$Z$8&gt;Reprogramaciones!$E$21))&gt;0),"Avance después del fin de la obra: registra una reprogramación por atraso","OK"))))))))))))))))</f>
        <v/>
      </c>
      <c r="AM273" s="40" t="str">
        <f aca="false">IF(OR(OR(NOT(AND(ISNUMBER(E273),ISNUMBER(F273))),$J$2=""),1&gt;MAX(1,Reprogramaciones!$U$15)),"",IF(Reprogramaciones!K$12&gt;=7,"",IF(OR(BT273-N(0)&gt;0.05,N(Q273)&gt;0),ROUNDDOWN(ROUND(BT273,6),0)&amp;"%"&amp;IF(CJ273="",""," / "&amp;CJ273&amp;"%"),IF(AND(N(0)&gt;=99.95,CJ273&lt;&gt;"",N(CJ273)&lt;100),"Pend. "&amp;CJ273&amp;"%",""))))</f>
        <v/>
      </c>
      <c r="AN273" s="40" t="str">
        <f aca="false">IF(OR(OR(NOT(AND(ISNUMBER(E273),ISNUMBER(F273))),$J$2=""),2&gt;MAX(1,Reprogramaciones!$U$15)),"",IF(Reprogramaciones!L$12&gt;=7,"",IF(OR(BU273-N(BT273)&gt;0.05,N(R273)&gt;0),ROUNDDOWN(ROUND(BU273,6),0)&amp;"%"&amp;IF(CK273="",""," / "&amp;CK273&amp;"%"),IF(AND(N(BT273)&gt;=99.95,CK273&lt;&gt;"",N(CK273)&lt;100),"Pend. "&amp;CK273&amp;"%",""))))</f>
        <v/>
      </c>
      <c r="AO273" s="40" t="str">
        <f aca="false">IF(OR(OR(NOT(AND(ISNUMBER(E273),ISNUMBER(F273))),$J$2=""),3&gt;MAX(1,Reprogramaciones!$U$15)),"",IF(Reprogramaciones!M$12&gt;=7,"",IF(OR(BV273-N(BU273)&gt;0.05,N(S273)&gt;0),ROUNDDOWN(ROUND(BV273,6),0)&amp;"%"&amp;IF(CL273="",""," / "&amp;CL273&amp;"%"),IF(AND(N(BU273)&gt;=99.95,CL273&lt;&gt;"",N(CL273)&lt;100),"Pend. "&amp;CL273&amp;"%",""))))</f>
        <v/>
      </c>
      <c r="AP273" s="40" t="str">
        <f aca="false">IF(OR(OR(NOT(AND(ISNUMBER(E273),ISNUMBER(F273))),$J$2=""),4&gt;MAX(1,Reprogramaciones!$U$15)),"",IF(Reprogramaciones!N$12&gt;=7,"",IF(OR(BW273-N(BV273)&gt;0.05,N(T273)&gt;0),ROUNDDOWN(ROUND(BW273,6),0)&amp;"%"&amp;IF(CM273="",""," / "&amp;CM273&amp;"%"),IF(AND(N(BV273)&gt;=99.95,CM273&lt;&gt;"",N(CM273)&lt;100),"Pend. "&amp;CM273&amp;"%",""))))</f>
        <v/>
      </c>
      <c r="AQ273" s="40" t="str">
        <f aca="false">IF(OR(OR(NOT(AND(ISNUMBER(E273),ISNUMBER(F273))),$J$2=""),5&gt;MAX(1,Reprogramaciones!$U$15)),"",IF(Reprogramaciones!O$12&gt;=7,"",IF(OR(BX273-N(BW273)&gt;0.05,N(U273)&gt;0),ROUNDDOWN(ROUND(BX273,6),0)&amp;"%"&amp;IF(CN273="",""," / "&amp;CN273&amp;"%"),IF(AND(N(BW273)&gt;=99.95,CN273&lt;&gt;"",N(CN273)&lt;100),"Pend. "&amp;CN273&amp;"%",""))))</f>
        <v/>
      </c>
      <c r="AR273" s="40" t="str">
        <f aca="false">IF(OR(OR(NOT(AND(ISNUMBER(E273),ISNUMBER(F273))),$J$2=""),6&gt;MAX(1,Reprogramaciones!$U$15)),"",IF(Reprogramaciones!P$12&gt;=7,"",IF(OR(BY273-N(BX273)&gt;0.05,N(V273)&gt;0),ROUNDDOWN(ROUND(BY273,6),0)&amp;"%"&amp;IF(CO273="",""," / "&amp;CO273&amp;"%"),IF(AND(N(BX273)&gt;=99.95,CO273&lt;&gt;"",N(CO273)&lt;100),"Pend. "&amp;CO273&amp;"%",""))))</f>
        <v/>
      </c>
      <c r="AS273" s="40" t="str">
        <f aca="false">IF(OR(OR(NOT(AND(ISNUMBER(E273),ISNUMBER(F273))),$J$2=""),7&gt;MAX(1,Reprogramaciones!$U$15)),"",IF(Reprogramaciones!Q$12&gt;=7,"",IF(OR(BZ273-N(BY273)&gt;0.05,N(W273)&gt;0),ROUNDDOWN(ROUND(BZ273,6),0)&amp;"%"&amp;IF(CP273="",""," / "&amp;CP273&amp;"%"),IF(AND(N(BY273)&gt;=99.95,CP273&lt;&gt;"",N(CP273)&lt;100),"Pend. "&amp;CP273&amp;"%",""))))</f>
        <v/>
      </c>
      <c r="AT273" s="40" t="str">
        <f aca="false">IF(OR(OR(NOT(AND(ISNUMBER(E273),ISNUMBER(F273))),$J$2=""),8&gt;MAX(1,Reprogramaciones!$U$15)),"",IF(Reprogramaciones!R$12&gt;=7,"",IF(OR(CA273-N(BZ273)&gt;0.05,N(X273)&gt;0),ROUNDDOWN(ROUND(CA273,6),0)&amp;"%"&amp;IF(CQ273="",""," / "&amp;CQ273&amp;"%"),IF(AND(N(BZ273)&gt;=99.95,CQ273&lt;&gt;"",N(CQ273)&lt;100),"Pend. "&amp;CQ273&amp;"%",""))))</f>
        <v/>
      </c>
      <c r="AU273" s="40" t="str">
        <f aca="false">IF(OR(OR(NOT(AND(ISNUMBER(E273),ISNUMBER(F273))),$J$2=""),9&gt;MAX(1,Reprogramaciones!$U$15)),"",IF(Reprogramaciones!S$12&gt;=7,"",IF(OR(CB273-N(CA273)&gt;0.05,N(Y273)&gt;0),ROUNDDOWN(ROUND(CB273,6),0)&amp;"%"&amp;IF(CR273="",""," / "&amp;CR273&amp;"%"),IF(AND(N(CA273)&gt;=99.95,CR273&lt;&gt;"",N(CR273)&lt;100),"Pend. "&amp;CR273&amp;"%",""))))</f>
        <v/>
      </c>
      <c r="AV273" s="40" t="str">
        <f aca="false">IF(OR(OR(NOT(AND(ISNUMBER(E273),ISNUMBER(F273))),$J$2=""),10&gt;MAX(1,Reprogramaciones!$U$15)),"",IF(Reprogramaciones!T$12&gt;=7,"",IF(OR(CC273-N(CB273)&gt;0.05,N(Z273)&gt;0),ROUNDDOWN(ROUND(CC273,6),0)&amp;"%"&amp;IF(CS273="",""," / "&amp;CS273&amp;"%"),IF(AND(N(CB273)&gt;=99.95,CS273&lt;&gt;"",N(CS273)&lt;100),"Pend. "&amp;CS273&amp;"%",""))))</f>
        <v/>
      </c>
      <c r="AW273" s="40" t="str">
        <f aca="false">IF(OR(OR(NOT(AND(ISNUMBER(E273),ISNUMBER(F273))),$J$2=""),11&gt;MAX(1,Reprogramaciones!$U$15)),"",IF(Reprogramaciones!U$12&gt;=7,"",IF(OR(CD273-N(CC273)&gt;0.05,N(AA273)&gt;0),ROUNDDOWN(ROUND(CD273,6),0)&amp;"%"&amp;IF(CT273="",""," / "&amp;CT273&amp;"%"),IF(AND(N(CC273)&gt;=99.95,CT273&lt;&gt;"",N(CT273)&lt;100),"Pend. "&amp;CT273&amp;"%",""))))</f>
        <v/>
      </c>
      <c r="AX273" s="40" t="str">
        <f aca="false">IF(OR(OR(NOT(AND(ISNUMBER(E273),ISNUMBER(F273))),$J$2=""),12&gt;MAX(1,Reprogramaciones!$U$15)),"",IF(Reprogramaciones!V$12&gt;=7,"",IF(OR(CE273-N(CD273)&gt;0.05,N(AB273)&gt;0),ROUNDDOWN(ROUND(CE273,6),0)&amp;"%"&amp;IF(CU273="",""," / "&amp;CU273&amp;"%"),IF(AND(N(CD273)&gt;=99.95,CU273&lt;&gt;"",N(CU273)&lt;100),"Pend. "&amp;CU273&amp;"%",""))))</f>
        <v/>
      </c>
      <c r="AY273" s="40" t="str">
        <f aca="false">IF(OR(OR(NOT(AND(ISNUMBER(E273),ISNUMBER(F273))),$J$2=""),13&gt;MAX(1,Reprogramaciones!$U$15)),"",IF(Reprogramaciones!W$12&gt;=7,"",IF(OR(CF273-N(CE273)&gt;0.05,N(AC273)&gt;0),ROUNDDOWN(ROUND(CF273,6),0)&amp;"%"&amp;IF(CV273="",""," / "&amp;CV273&amp;"%"),IF(AND(N(CE273)&gt;=99.95,CV273&lt;&gt;"",N(CV273)&lt;100),"Pend. "&amp;CV273&amp;"%",""))))</f>
        <v/>
      </c>
      <c r="AZ273" s="40" t="str">
        <f aca="false">IF(OR(OR(NOT(AND(ISNUMBER(E273),ISNUMBER(F273))),$J$2=""),14&gt;MAX(1,Reprogramaciones!$U$15)),"",IF(Reprogramaciones!X$12&gt;=7,"",IF(OR(CG273-N(CF273)&gt;0.05,N(AD273)&gt;0),ROUNDDOWN(ROUND(CG273,6),0)&amp;"%"&amp;IF(CW273="",""," / "&amp;CW273&amp;"%"),IF(AND(N(CF273)&gt;=99.95,CW273&lt;&gt;"",N(CW273)&lt;100),"Pend. "&amp;CW273&amp;"%",""))))</f>
        <v/>
      </c>
      <c r="BA273" s="40" t="str">
        <f aca="false">IF(OR(OR(NOT(AND(ISNUMBER(E273),ISNUMBER(F273))),$J$2=""),15&gt;MAX(1,Reprogramaciones!$U$15)),"",IF(Reprogramaciones!Y$12&gt;=7,"",IF(OR(CH273-N(CG273)&gt;0.05,N(AE273)&gt;0),ROUNDDOWN(ROUND(CH273,6),0)&amp;"%"&amp;IF(CX273="",""," / "&amp;CX273&amp;"%"),IF(AND(N(CG273)&gt;=99.95,CX273&lt;&gt;"",N(CX273)&lt;100),"Pend. "&amp;CX273&amp;"%",""))))</f>
        <v/>
      </c>
      <c r="BB273" s="40" t="str">
        <f aca="false">IF(OR(OR(NOT(AND(ISNUMBER(E273),ISNUMBER(F273))),$J$2=""),16&gt;MAX(1,Reprogramaciones!$U$15)),"",IF(Reprogramaciones!Z$12&gt;=7,"",IF(OR(CI273-N(CH273)&gt;0.05,N(AF273)&gt;0),ROUNDDOWN(ROUND(CI273,6),0)&amp;"%"&amp;IF(CY273="",""," / "&amp;CY273&amp;"%"),IF(AND(N(CH273)&gt;=99.95,CY273&lt;&gt;"",N(CY273)&lt;100),"Pend. "&amp;CY273&amp;"%",""))))</f>
        <v/>
      </c>
      <c r="BC273" s="31" t="n">
        <f aca="false">IF(AND(ISNUMBER(E273),ISNUMBER(F273)),MAX(1,NETWORKDAYS.INTL(E273,F273,11)),0)</f>
        <v>0</v>
      </c>
      <c r="BD273" s="1" t="str">
        <f aca="false">IF(OR(NOT(AND(ISNUMBER(E273),ISNUMBER(F273))),$J$2=""),"",MIN(100,ROUND(SUM($G273:G273),1)))</f>
        <v/>
      </c>
      <c r="BE273" s="1" t="str">
        <f aca="false">IF(OR(NOT(AND(ISNUMBER(E273),ISNUMBER(F273))),$J$2=""),"",MIN(100,ROUND(SUM($G273:H273),1)))</f>
        <v/>
      </c>
      <c r="BF273" s="1" t="str">
        <f aca="false">IF(OR(NOT(AND(ISNUMBER(E273),ISNUMBER(F273))),$J$2=""),"",MIN(100,ROUND(SUM($G273:I273),1)))</f>
        <v/>
      </c>
      <c r="BG273" s="1" t="str">
        <f aca="false">IF(OR(NOT(AND(ISNUMBER(E273),ISNUMBER(F273))),$J$2=""),"",MIN(100,ROUND(SUM($G273:J273),1)))</f>
        <v/>
      </c>
      <c r="BH273" s="1" t="str">
        <f aca="false">IF(OR(NOT(AND(ISNUMBER(E273),ISNUMBER(F273))),$J$2=""),"",MIN(100,ROUND(SUM($G273:K273),1)))</f>
        <v/>
      </c>
      <c r="BI273" s="1" t="str">
        <f aca="false">IF(OR(NOT(AND(ISNUMBER(E273),ISNUMBER(F273))),$J$2=""),"",MIN(100,ROUND(SUM($G273:L273),1)))</f>
        <v/>
      </c>
      <c r="BJ273" s="1" t="str">
        <f aca="false">IF(OR(NOT(AND(ISNUMBER(E273),ISNUMBER(F273))),$J$2=""),"",MIN(100,ROUND(SUM($G273:M273),1)))</f>
        <v/>
      </c>
      <c r="BK273" s="1" t="str">
        <f aca="false">IF(OR(NOT(AND(ISNUMBER(E273),ISNUMBER(F273))),$J$2=""),"",MIN(100,ROUND(SUM($G273:N273),1)))</f>
        <v/>
      </c>
      <c r="BL273" s="1" t="str">
        <f aca="false">IF(OR(NOT(AND(ISNUMBER(E273),ISNUMBER(F273))),$J$2=""),"",MIN(100,ROUND(SUM($G273:O273),1)))</f>
        <v/>
      </c>
      <c r="BM273" s="1" t="str">
        <f aca="false">IF(OR(NOT(AND(ISNUMBER(E273),ISNUMBER(F273))),$J$2=""),"",MIN(100,ROUND(SUM($G273:P273),1)))</f>
        <v/>
      </c>
      <c r="BN273" s="1" t="str">
        <f aca="false">IF(OR(NOT(AND(ISNUMBER(E273),ISNUMBER(F273))),$J$2=""),"",MIN(100,ROUND(SUM($G273:P273),1)))</f>
        <v/>
      </c>
      <c r="BO273" s="1" t="str">
        <f aca="false">IF(OR(NOT(AND(ISNUMBER(E273),ISNUMBER(F273))),$J$2=""),"",MIN(100,ROUND(SUM($G273:P273),1)))</f>
        <v/>
      </c>
      <c r="BP273" s="1" t="str">
        <f aca="false">IF(OR(NOT(AND(ISNUMBER(E273),ISNUMBER(F273))),$J$2=""),"",MIN(100,ROUND(SUM($G273:P273),1)))</f>
        <v/>
      </c>
      <c r="BQ273" s="1" t="str">
        <f aca="false">IF(OR(NOT(AND(ISNUMBER(E273),ISNUMBER(F273))),$J$2=""),"",MIN(100,ROUND(SUM($G273:P273),1)))</f>
        <v/>
      </c>
      <c r="BR273" s="1" t="str">
        <f aca="false">IF(OR(NOT(AND(ISNUMBER(E273),ISNUMBER(F273))),$J$2=""),"",MIN(100,ROUND(SUM($G273:P273),1)))</f>
        <v/>
      </c>
      <c r="BS273" s="1" t="str">
        <f aca="false">IF(OR(NOT(AND(ISNUMBER(E273),ISNUMBER(F273))),$J$2=""),"",MIN(100,ROUND(SUM($G273:P273),1)))</f>
        <v/>
      </c>
      <c r="BT273" s="1" t="str">
        <f aca="false">IF(OR(NOT(AND(ISNUMBER(E273),ISNUMBER(F273))),$J$2=""),"",IF(Reprogramaciones!K$13&lt;Reprogramaciones!$T$15,0,IF(Reprogramaciones!K$14&gt;10,MIN(100,SUM($G273:$P273)),MIN(100,SUMPRODUCT((COLUMN($G273:$P273)-COLUMN($G273)+1&lt;Reprogramaciones!K$14)*$G273:$P273)+N(INDEX($G273:$P273,1,Reprogramaciones!K$14))*IF(Reprogramaciones!K$13&gt;=(Reprogramaciones!$T$15+7*(Reprogramaciones!K$14-1))+6,1,IF(MAX(0,NETWORKDAYS.INTL(MAX(E273,(Reprogramaciones!$T$15+7*(Reprogramaciones!K$14-1))),MIN(F273,(Reprogramaciones!$T$15+7*(Reprogramaciones!K$14-1))+6),11))=0,0,MAX(0,NETWORKDAYS.INTL(MAX(E273,(Reprogramaciones!$T$15+7*(Reprogramaciones!K$14-1))),MIN(F273,Reprogramaciones!K$13),11))/MAX(0,NETWORKDAYS.INTL(MAX(E273,(Reprogramaciones!$T$15+7*(Reprogramaciones!K$14-1))),MIN(F273,(Reprogramaciones!$T$15+7*(Reprogramaciones!K$14-1))+6),11))))))))</f>
        <v/>
      </c>
      <c r="BU273" s="1" t="str">
        <f aca="false">IF(OR(NOT(AND(ISNUMBER(E273),ISNUMBER(F273))),$J$2=""),"",IF(Reprogramaciones!L$13&lt;Reprogramaciones!$T$15,0,IF(Reprogramaciones!L$14&gt;10,MIN(100,SUM($G273:$P273)),MIN(100,SUMPRODUCT((COLUMN($G273:$P273)-COLUMN($G273)+1&lt;Reprogramaciones!L$14)*$G273:$P273)+N(INDEX($G273:$P273,1,Reprogramaciones!L$14))*IF(Reprogramaciones!L$13&gt;=(Reprogramaciones!$T$15+7*(Reprogramaciones!L$14-1))+6,1,IF(MAX(0,NETWORKDAYS.INTL(MAX(E273,(Reprogramaciones!$T$15+7*(Reprogramaciones!L$14-1))),MIN(F273,(Reprogramaciones!$T$15+7*(Reprogramaciones!L$14-1))+6),11))=0,0,MAX(0,NETWORKDAYS.INTL(MAX(E273,(Reprogramaciones!$T$15+7*(Reprogramaciones!L$14-1))),MIN(F273,Reprogramaciones!L$13),11))/MAX(0,NETWORKDAYS.INTL(MAX(E273,(Reprogramaciones!$T$15+7*(Reprogramaciones!L$14-1))),MIN(F273,(Reprogramaciones!$T$15+7*(Reprogramaciones!L$14-1))+6),11))))))))</f>
        <v/>
      </c>
      <c r="BV273" s="1" t="str">
        <f aca="false">IF(OR(NOT(AND(ISNUMBER(E273),ISNUMBER(F273))),$J$2=""),"",IF(Reprogramaciones!M$13&lt;Reprogramaciones!$T$15,0,IF(Reprogramaciones!M$14&gt;10,MIN(100,SUM($G273:$P273)),MIN(100,SUMPRODUCT((COLUMN($G273:$P273)-COLUMN($G273)+1&lt;Reprogramaciones!M$14)*$G273:$P273)+N(INDEX($G273:$P273,1,Reprogramaciones!M$14))*IF(Reprogramaciones!M$13&gt;=(Reprogramaciones!$T$15+7*(Reprogramaciones!M$14-1))+6,1,IF(MAX(0,NETWORKDAYS.INTL(MAX(E273,(Reprogramaciones!$T$15+7*(Reprogramaciones!M$14-1))),MIN(F273,(Reprogramaciones!$T$15+7*(Reprogramaciones!M$14-1))+6),11))=0,0,MAX(0,NETWORKDAYS.INTL(MAX(E273,(Reprogramaciones!$T$15+7*(Reprogramaciones!M$14-1))),MIN(F273,Reprogramaciones!M$13),11))/MAX(0,NETWORKDAYS.INTL(MAX(E273,(Reprogramaciones!$T$15+7*(Reprogramaciones!M$14-1))),MIN(F273,(Reprogramaciones!$T$15+7*(Reprogramaciones!M$14-1))+6),11))))))))</f>
        <v/>
      </c>
      <c r="BW273" s="1" t="str">
        <f aca="false">IF(OR(NOT(AND(ISNUMBER(E273),ISNUMBER(F273))),$J$2=""),"",IF(Reprogramaciones!N$13&lt;Reprogramaciones!$T$15,0,IF(Reprogramaciones!N$14&gt;10,MIN(100,SUM($G273:$P273)),MIN(100,SUMPRODUCT((COLUMN($G273:$P273)-COLUMN($G273)+1&lt;Reprogramaciones!N$14)*$G273:$P273)+N(INDEX($G273:$P273,1,Reprogramaciones!N$14))*IF(Reprogramaciones!N$13&gt;=(Reprogramaciones!$T$15+7*(Reprogramaciones!N$14-1))+6,1,IF(MAX(0,NETWORKDAYS.INTL(MAX(E273,(Reprogramaciones!$T$15+7*(Reprogramaciones!N$14-1))),MIN(F273,(Reprogramaciones!$T$15+7*(Reprogramaciones!N$14-1))+6),11))=0,0,MAX(0,NETWORKDAYS.INTL(MAX(E273,(Reprogramaciones!$T$15+7*(Reprogramaciones!N$14-1))),MIN(F273,Reprogramaciones!N$13),11))/MAX(0,NETWORKDAYS.INTL(MAX(E273,(Reprogramaciones!$T$15+7*(Reprogramaciones!N$14-1))),MIN(F273,(Reprogramaciones!$T$15+7*(Reprogramaciones!N$14-1))+6),11))))))))</f>
        <v/>
      </c>
      <c r="BX273" s="1" t="str">
        <f aca="false">IF(OR(NOT(AND(ISNUMBER(E273),ISNUMBER(F273))),$J$2=""),"",IF(Reprogramaciones!O$13&lt;Reprogramaciones!$T$15,0,IF(Reprogramaciones!O$14&gt;10,MIN(100,SUM($G273:$P273)),MIN(100,SUMPRODUCT((COLUMN($G273:$P273)-COLUMN($G273)+1&lt;Reprogramaciones!O$14)*$G273:$P273)+N(INDEX($G273:$P273,1,Reprogramaciones!O$14))*IF(Reprogramaciones!O$13&gt;=(Reprogramaciones!$T$15+7*(Reprogramaciones!O$14-1))+6,1,IF(MAX(0,NETWORKDAYS.INTL(MAX(E273,(Reprogramaciones!$T$15+7*(Reprogramaciones!O$14-1))),MIN(F273,(Reprogramaciones!$T$15+7*(Reprogramaciones!O$14-1))+6),11))=0,0,MAX(0,NETWORKDAYS.INTL(MAX(E273,(Reprogramaciones!$T$15+7*(Reprogramaciones!O$14-1))),MIN(F273,Reprogramaciones!O$13),11))/MAX(0,NETWORKDAYS.INTL(MAX(E273,(Reprogramaciones!$T$15+7*(Reprogramaciones!O$14-1))),MIN(F273,(Reprogramaciones!$T$15+7*(Reprogramaciones!O$14-1))+6),11))))))))</f>
        <v/>
      </c>
      <c r="BY273" s="1" t="str">
        <f aca="false">IF(OR(NOT(AND(ISNUMBER(E273),ISNUMBER(F273))),$J$2=""),"",IF(Reprogramaciones!P$13&lt;Reprogramaciones!$T$15,0,IF(Reprogramaciones!P$14&gt;10,MIN(100,SUM($G273:$P273)),MIN(100,SUMPRODUCT((COLUMN($G273:$P273)-COLUMN($G273)+1&lt;Reprogramaciones!P$14)*$G273:$P273)+N(INDEX($G273:$P273,1,Reprogramaciones!P$14))*IF(Reprogramaciones!P$13&gt;=(Reprogramaciones!$T$15+7*(Reprogramaciones!P$14-1))+6,1,IF(MAX(0,NETWORKDAYS.INTL(MAX(E273,(Reprogramaciones!$T$15+7*(Reprogramaciones!P$14-1))),MIN(F273,(Reprogramaciones!$T$15+7*(Reprogramaciones!P$14-1))+6),11))=0,0,MAX(0,NETWORKDAYS.INTL(MAX(E273,(Reprogramaciones!$T$15+7*(Reprogramaciones!P$14-1))),MIN(F273,Reprogramaciones!P$13),11))/MAX(0,NETWORKDAYS.INTL(MAX(E273,(Reprogramaciones!$T$15+7*(Reprogramaciones!P$14-1))),MIN(F273,(Reprogramaciones!$T$15+7*(Reprogramaciones!P$14-1))+6),11))))))))</f>
        <v/>
      </c>
      <c r="BZ273" s="1" t="str">
        <f aca="false">IF(OR(NOT(AND(ISNUMBER(E273),ISNUMBER(F273))),$J$2=""),"",IF(Reprogramaciones!Q$13&lt;Reprogramaciones!$T$15,0,IF(Reprogramaciones!Q$14&gt;10,MIN(100,SUM($G273:$P273)),MIN(100,SUMPRODUCT((COLUMN($G273:$P273)-COLUMN($G273)+1&lt;Reprogramaciones!Q$14)*$G273:$P273)+N(INDEX($G273:$P273,1,Reprogramaciones!Q$14))*IF(Reprogramaciones!Q$13&gt;=(Reprogramaciones!$T$15+7*(Reprogramaciones!Q$14-1))+6,1,IF(MAX(0,NETWORKDAYS.INTL(MAX(E273,(Reprogramaciones!$T$15+7*(Reprogramaciones!Q$14-1))),MIN(F273,(Reprogramaciones!$T$15+7*(Reprogramaciones!Q$14-1))+6),11))=0,0,MAX(0,NETWORKDAYS.INTL(MAX(E273,(Reprogramaciones!$T$15+7*(Reprogramaciones!Q$14-1))),MIN(F273,Reprogramaciones!Q$13),11))/MAX(0,NETWORKDAYS.INTL(MAX(E273,(Reprogramaciones!$T$15+7*(Reprogramaciones!Q$14-1))),MIN(F273,(Reprogramaciones!$T$15+7*(Reprogramaciones!Q$14-1))+6),11))))))))</f>
        <v/>
      </c>
      <c r="CA273" s="1" t="str">
        <f aca="false">IF(OR(NOT(AND(ISNUMBER(E273),ISNUMBER(F273))),$J$2=""),"",IF(Reprogramaciones!R$13&lt;Reprogramaciones!$T$15,0,IF(Reprogramaciones!R$14&gt;10,MIN(100,SUM($G273:$P273)),MIN(100,SUMPRODUCT((COLUMN($G273:$P273)-COLUMN($G273)+1&lt;Reprogramaciones!R$14)*$G273:$P273)+N(INDEX($G273:$P273,1,Reprogramaciones!R$14))*IF(Reprogramaciones!R$13&gt;=(Reprogramaciones!$T$15+7*(Reprogramaciones!R$14-1))+6,1,IF(MAX(0,NETWORKDAYS.INTL(MAX(E273,(Reprogramaciones!$T$15+7*(Reprogramaciones!R$14-1))),MIN(F273,(Reprogramaciones!$T$15+7*(Reprogramaciones!R$14-1))+6),11))=0,0,MAX(0,NETWORKDAYS.INTL(MAX(E273,(Reprogramaciones!$T$15+7*(Reprogramaciones!R$14-1))),MIN(F273,Reprogramaciones!R$13),11))/MAX(0,NETWORKDAYS.INTL(MAX(E273,(Reprogramaciones!$T$15+7*(Reprogramaciones!R$14-1))),MIN(F273,(Reprogramaciones!$T$15+7*(Reprogramaciones!R$14-1))+6),11))))))))</f>
        <v/>
      </c>
      <c r="CB273" s="1" t="str">
        <f aca="false">IF(OR(NOT(AND(ISNUMBER(E273),ISNUMBER(F273))),$J$2=""),"",IF(Reprogramaciones!S$13&lt;Reprogramaciones!$T$15,0,IF(Reprogramaciones!S$14&gt;10,MIN(100,SUM($G273:$P273)),MIN(100,SUMPRODUCT((COLUMN($G273:$P273)-COLUMN($G273)+1&lt;Reprogramaciones!S$14)*$G273:$P273)+N(INDEX($G273:$P273,1,Reprogramaciones!S$14))*IF(Reprogramaciones!S$13&gt;=(Reprogramaciones!$T$15+7*(Reprogramaciones!S$14-1))+6,1,IF(MAX(0,NETWORKDAYS.INTL(MAX(E273,(Reprogramaciones!$T$15+7*(Reprogramaciones!S$14-1))),MIN(F273,(Reprogramaciones!$T$15+7*(Reprogramaciones!S$14-1))+6),11))=0,0,MAX(0,NETWORKDAYS.INTL(MAX(E273,(Reprogramaciones!$T$15+7*(Reprogramaciones!S$14-1))),MIN(F273,Reprogramaciones!S$13),11))/MAX(0,NETWORKDAYS.INTL(MAX(E273,(Reprogramaciones!$T$15+7*(Reprogramaciones!S$14-1))),MIN(F273,(Reprogramaciones!$T$15+7*(Reprogramaciones!S$14-1))+6),11))))))))</f>
        <v/>
      </c>
      <c r="CC273" s="1" t="str">
        <f aca="false">IF(OR(NOT(AND(ISNUMBER(E273),ISNUMBER(F273))),$J$2=""),"",IF(Reprogramaciones!T$13&lt;Reprogramaciones!$T$15,0,IF(Reprogramaciones!T$14&gt;10,MIN(100,SUM($G273:$P273)),MIN(100,SUMPRODUCT((COLUMN($G273:$P273)-COLUMN($G273)+1&lt;Reprogramaciones!T$14)*$G273:$P273)+N(INDEX($G273:$P273,1,Reprogramaciones!T$14))*IF(Reprogramaciones!T$13&gt;=(Reprogramaciones!$T$15+7*(Reprogramaciones!T$14-1))+6,1,IF(MAX(0,NETWORKDAYS.INTL(MAX(E273,(Reprogramaciones!$T$15+7*(Reprogramaciones!T$14-1))),MIN(F273,(Reprogramaciones!$T$15+7*(Reprogramaciones!T$14-1))+6),11))=0,0,MAX(0,NETWORKDAYS.INTL(MAX(E273,(Reprogramaciones!$T$15+7*(Reprogramaciones!T$14-1))),MIN(F273,Reprogramaciones!T$13),11))/MAX(0,NETWORKDAYS.INTL(MAX(E273,(Reprogramaciones!$T$15+7*(Reprogramaciones!T$14-1))),MIN(F273,(Reprogramaciones!$T$15+7*(Reprogramaciones!T$14-1))+6),11))))))))</f>
        <v/>
      </c>
      <c r="CD273" s="1" t="str">
        <f aca="false">IF(OR(NOT(AND(ISNUMBER(E273),ISNUMBER(F273))),$J$2=""),"",IF(Reprogramaciones!U$13&lt;Reprogramaciones!$T$15,0,IF(Reprogramaciones!U$14&gt;10,MIN(100,SUM($G273:$P273)),MIN(100,SUMPRODUCT((COLUMN($G273:$P273)-COLUMN($G273)+1&lt;Reprogramaciones!U$14)*$G273:$P273)+N(INDEX($G273:$P273,1,Reprogramaciones!U$14))*IF(Reprogramaciones!U$13&gt;=(Reprogramaciones!$T$15+7*(Reprogramaciones!U$14-1))+6,1,IF(MAX(0,NETWORKDAYS.INTL(MAX(E273,(Reprogramaciones!$T$15+7*(Reprogramaciones!U$14-1))),MIN(F273,(Reprogramaciones!$T$15+7*(Reprogramaciones!U$14-1))+6),11))=0,0,MAX(0,NETWORKDAYS.INTL(MAX(E273,(Reprogramaciones!$T$15+7*(Reprogramaciones!U$14-1))),MIN(F273,Reprogramaciones!U$13),11))/MAX(0,NETWORKDAYS.INTL(MAX(E273,(Reprogramaciones!$T$15+7*(Reprogramaciones!U$14-1))),MIN(F273,(Reprogramaciones!$T$15+7*(Reprogramaciones!U$14-1))+6),11))))))))</f>
        <v/>
      </c>
      <c r="CE273" s="1" t="str">
        <f aca="false">IF(OR(NOT(AND(ISNUMBER(E273),ISNUMBER(F273))),$J$2=""),"",IF(Reprogramaciones!V$13&lt;Reprogramaciones!$T$15,0,IF(Reprogramaciones!V$14&gt;10,MIN(100,SUM($G273:$P273)),MIN(100,SUMPRODUCT((COLUMN($G273:$P273)-COLUMN($G273)+1&lt;Reprogramaciones!V$14)*$G273:$P273)+N(INDEX($G273:$P273,1,Reprogramaciones!V$14))*IF(Reprogramaciones!V$13&gt;=(Reprogramaciones!$T$15+7*(Reprogramaciones!V$14-1))+6,1,IF(MAX(0,NETWORKDAYS.INTL(MAX(E273,(Reprogramaciones!$T$15+7*(Reprogramaciones!V$14-1))),MIN(F273,(Reprogramaciones!$T$15+7*(Reprogramaciones!V$14-1))+6),11))=0,0,MAX(0,NETWORKDAYS.INTL(MAX(E273,(Reprogramaciones!$T$15+7*(Reprogramaciones!V$14-1))),MIN(F273,Reprogramaciones!V$13),11))/MAX(0,NETWORKDAYS.INTL(MAX(E273,(Reprogramaciones!$T$15+7*(Reprogramaciones!V$14-1))),MIN(F273,(Reprogramaciones!$T$15+7*(Reprogramaciones!V$14-1))+6),11))))))))</f>
        <v/>
      </c>
      <c r="CF273" s="1" t="str">
        <f aca="false">IF(OR(NOT(AND(ISNUMBER(E273),ISNUMBER(F273))),$J$2=""),"",IF(Reprogramaciones!W$13&lt;Reprogramaciones!$T$15,0,IF(Reprogramaciones!W$14&gt;10,MIN(100,SUM($G273:$P273)),MIN(100,SUMPRODUCT((COLUMN($G273:$P273)-COLUMN($G273)+1&lt;Reprogramaciones!W$14)*$G273:$P273)+N(INDEX($G273:$P273,1,Reprogramaciones!W$14))*IF(Reprogramaciones!W$13&gt;=(Reprogramaciones!$T$15+7*(Reprogramaciones!W$14-1))+6,1,IF(MAX(0,NETWORKDAYS.INTL(MAX(E273,(Reprogramaciones!$T$15+7*(Reprogramaciones!W$14-1))),MIN(F273,(Reprogramaciones!$T$15+7*(Reprogramaciones!W$14-1))+6),11))=0,0,MAX(0,NETWORKDAYS.INTL(MAX(E273,(Reprogramaciones!$T$15+7*(Reprogramaciones!W$14-1))),MIN(F273,Reprogramaciones!W$13),11))/MAX(0,NETWORKDAYS.INTL(MAX(E273,(Reprogramaciones!$T$15+7*(Reprogramaciones!W$14-1))),MIN(F273,(Reprogramaciones!$T$15+7*(Reprogramaciones!W$14-1))+6),11))))))))</f>
        <v/>
      </c>
      <c r="CG273" s="1" t="str">
        <f aca="false">IF(OR(NOT(AND(ISNUMBER(E273),ISNUMBER(F273))),$J$2=""),"",IF(Reprogramaciones!X$13&lt;Reprogramaciones!$T$15,0,IF(Reprogramaciones!X$14&gt;10,MIN(100,SUM($G273:$P273)),MIN(100,SUMPRODUCT((COLUMN($G273:$P273)-COLUMN($G273)+1&lt;Reprogramaciones!X$14)*$G273:$P273)+N(INDEX($G273:$P273,1,Reprogramaciones!X$14))*IF(Reprogramaciones!X$13&gt;=(Reprogramaciones!$T$15+7*(Reprogramaciones!X$14-1))+6,1,IF(MAX(0,NETWORKDAYS.INTL(MAX(E273,(Reprogramaciones!$T$15+7*(Reprogramaciones!X$14-1))),MIN(F273,(Reprogramaciones!$T$15+7*(Reprogramaciones!X$14-1))+6),11))=0,0,MAX(0,NETWORKDAYS.INTL(MAX(E273,(Reprogramaciones!$T$15+7*(Reprogramaciones!X$14-1))),MIN(F273,Reprogramaciones!X$13),11))/MAX(0,NETWORKDAYS.INTL(MAX(E273,(Reprogramaciones!$T$15+7*(Reprogramaciones!X$14-1))),MIN(F273,(Reprogramaciones!$T$15+7*(Reprogramaciones!X$14-1))+6),11))))))))</f>
        <v/>
      </c>
      <c r="CH273" s="1" t="str">
        <f aca="false">IF(OR(NOT(AND(ISNUMBER(E273),ISNUMBER(F273))),$J$2=""),"",IF(Reprogramaciones!Y$13&lt;Reprogramaciones!$T$15,0,IF(Reprogramaciones!Y$14&gt;10,MIN(100,SUM($G273:$P273)),MIN(100,SUMPRODUCT((COLUMN($G273:$P273)-COLUMN($G273)+1&lt;Reprogramaciones!Y$14)*$G273:$P273)+N(INDEX($G273:$P273,1,Reprogramaciones!Y$14))*IF(Reprogramaciones!Y$13&gt;=(Reprogramaciones!$T$15+7*(Reprogramaciones!Y$14-1))+6,1,IF(MAX(0,NETWORKDAYS.INTL(MAX(E273,(Reprogramaciones!$T$15+7*(Reprogramaciones!Y$14-1))),MIN(F273,(Reprogramaciones!$T$15+7*(Reprogramaciones!Y$14-1))+6),11))=0,0,MAX(0,NETWORKDAYS.INTL(MAX(E273,(Reprogramaciones!$T$15+7*(Reprogramaciones!Y$14-1))),MIN(F273,Reprogramaciones!Y$13),11))/MAX(0,NETWORKDAYS.INTL(MAX(E273,(Reprogramaciones!$T$15+7*(Reprogramaciones!Y$14-1))),MIN(F273,(Reprogramaciones!$T$15+7*(Reprogramaciones!Y$14-1))+6),11))))))))</f>
        <v/>
      </c>
      <c r="CI273" s="1" t="str">
        <f aca="false">IF(OR(NOT(AND(ISNUMBER(E273),ISNUMBER(F273))),$J$2=""),"",IF(Reprogramaciones!Z$13&lt;Reprogramaciones!$T$15,0,IF(Reprogramaciones!Z$14&gt;10,MIN(100,SUM($G273:$P273)),MIN(100,SUMPRODUCT((COLUMN($G273:$P273)-COLUMN($G273)+1&lt;Reprogramaciones!Z$14)*$G273:$P273)+N(INDEX($G273:$P273,1,Reprogramaciones!Z$14))*IF(Reprogramaciones!Z$13&gt;=(Reprogramaciones!$T$15+7*(Reprogramaciones!Z$14-1))+6,1,IF(MAX(0,NETWORKDAYS.INTL(MAX(E273,(Reprogramaciones!$T$15+7*(Reprogramaciones!Z$14-1))),MIN(F273,(Reprogramaciones!$T$15+7*(Reprogramaciones!Z$14-1))+6),11))=0,0,MAX(0,NETWORKDAYS.INTL(MAX(E273,(Reprogramaciones!$T$15+7*(Reprogramaciones!Z$14-1))),MIN(F273,Reprogramaciones!Z$13),11))/MAX(0,NETWORKDAYS.INTL(MAX(E273,(Reprogramaciones!$T$15+7*(Reprogramaciones!Z$14-1))),MIN(F273,(Reprogramaciones!$T$15+7*(Reprogramaciones!Z$14-1))+6),11))))))))</f>
        <v/>
      </c>
      <c r="CJ273" s="1" t="str">
        <f aca="false">IF(OR(OR(NOT(AND(ISNUMBER(E273),ISNUMBER(F273))),$J$2=""),1&gt;Reprogramaciones!$K$16),"",IF(ROUND(SUM($Q273:Q273),1)&gt;=99.5,100,MIN(100,ROUND(SUM($Q273:Q273),1))))</f>
        <v/>
      </c>
      <c r="CK273" s="1" t="str">
        <f aca="false">IF(OR(OR(NOT(AND(ISNUMBER(E273),ISNUMBER(F273))),$J$2=""),2&gt;Reprogramaciones!$K$16),"",IF(ROUND(SUM($Q273:R273),1)&gt;=99.5,100,MIN(100,ROUND(SUM($Q273:R273),1))))</f>
        <v/>
      </c>
      <c r="CL273" s="1" t="str">
        <f aca="false">IF(OR(OR(NOT(AND(ISNUMBER(E273),ISNUMBER(F273))),$J$2=""),3&gt;Reprogramaciones!$K$16),"",IF(ROUND(SUM($Q273:S273),1)&gt;=99.5,100,MIN(100,ROUND(SUM($Q273:S273),1))))</f>
        <v/>
      </c>
      <c r="CM273" s="1" t="str">
        <f aca="false">IF(OR(OR(NOT(AND(ISNUMBER(E273),ISNUMBER(F273))),$J$2=""),4&gt;Reprogramaciones!$K$16),"",IF(ROUND(SUM($Q273:T273),1)&gt;=99.5,100,MIN(100,ROUND(SUM($Q273:T273),1))))</f>
        <v/>
      </c>
      <c r="CN273" s="1" t="str">
        <f aca="false">IF(OR(OR(NOT(AND(ISNUMBER(E273),ISNUMBER(F273))),$J$2=""),5&gt;Reprogramaciones!$K$16),"",IF(ROUND(SUM($Q273:U273),1)&gt;=99.5,100,MIN(100,ROUND(SUM($Q273:U273),1))))</f>
        <v/>
      </c>
      <c r="CO273" s="1" t="str">
        <f aca="false">IF(OR(OR(NOT(AND(ISNUMBER(E273),ISNUMBER(F273))),$J$2=""),6&gt;Reprogramaciones!$K$16),"",IF(ROUND(SUM($Q273:V273),1)&gt;=99.5,100,MIN(100,ROUND(SUM($Q273:V273),1))))</f>
        <v/>
      </c>
      <c r="CP273" s="1" t="str">
        <f aca="false">IF(OR(OR(NOT(AND(ISNUMBER(E273),ISNUMBER(F273))),$J$2=""),7&gt;Reprogramaciones!$K$16),"",IF(ROUND(SUM($Q273:W273),1)&gt;=99.5,100,MIN(100,ROUND(SUM($Q273:W273),1))))</f>
        <v/>
      </c>
      <c r="CQ273" s="1" t="str">
        <f aca="false">IF(OR(OR(NOT(AND(ISNUMBER(E273),ISNUMBER(F273))),$J$2=""),8&gt;Reprogramaciones!$K$16),"",IF(ROUND(SUM($Q273:X273),1)&gt;=99.5,100,MIN(100,ROUND(SUM($Q273:X273),1))))</f>
        <v/>
      </c>
      <c r="CR273" s="1" t="str">
        <f aca="false">IF(OR(OR(NOT(AND(ISNUMBER(E273),ISNUMBER(F273))),$J$2=""),9&gt;Reprogramaciones!$K$16),"",IF(ROUND(SUM($Q273:Y273),1)&gt;=99.5,100,MIN(100,ROUND(SUM($Q273:Y273),1))))</f>
        <v/>
      </c>
      <c r="CS273" s="1" t="str">
        <f aca="false">IF(OR(OR(NOT(AND(ISNUMBER(E273),ISNUMBER(F273))),$J$2=""),10&gt;Reprogramaciones!$K$16),"",IF(ROUND(SUM($Q273:Z273),1)&gt;=99.5,100,MIN(100,ROUND(SUM($Q273:Z273),1))))</f>
        <v/>
      </c>
      <c r="CT273" s="1" t="str">
        <f aca="false">IF(OR(OR(NOT(AND(ISNUMBER(E273),ISNUMBER(F273))),$J$2=""),11&gt;Reprogramaciones!$K$16),"",IF(ROUND(SUM($Q273:AA273),1)&gt;=99.5,100,MIN(100,ROUND(SUM($Q273:AA273),1))))</f>
        <v/>
      </c>
      <c r="CU273" s="1" t="str">
        <f aca="false">IF(OR(OR(NOT(AND(ISNUMBER(E273),ISNUMBER(F273))),$J$2=""),12&gt;Reprogramaciones!$K$16),"",IF(ROUND(SUM($Q273:AB273),1)&gt;=99.5,100,MIN(100,ROUND(SUM($Q273:AB273),1))))</f>
        <v/>
      </c>
      <c r="CV273" s="1" t="str">
        <f aca="false">IF(OR(OR(NOT(AND(ISNUMBER(E273),ISNUMBER(F273))),$J$2=""),13&gt;Reprogramaciones!$K$16),"",IF(ROUND(SUM($Q273:AC273),1)&gt;=99.5,100,MIN(100,ROUND(SUM($Q273:AC273),1))))</f>
        <v/>
      </c>
      <c r="CW273" s="1" t="str">
        <f aca="false">IF(OR(OR(NOT(AND(ISNUMBER(E273),ISNUMBER(F273))),$J$2=""),14&gt;Reprogramaciones!$K$16),"",IF(ROUND(SUM($Q273:AD273),1)&gt;=99.5,100,MIN(100,ROUND(SUM($Q273:AD273),1))))</f>
        <v/>
      </c>
      <c r="CX273" s="1" t="str">
        <f aca="false">IF(OR(OR(NOT(AND(ISNUMBER(E273),ISNUMBER(F273))),$J$2=""),15&gt;Reprogramaciones!$K$16),"",IF(ROUND(SUM($Q273:AE273),1)&gt;=99.5,100,MIN(100,ROUND(SUM($Q273:AE273),1))))</f>
        <v/>
      </c>
      <c r="CY273" s="1" t="str">
        <f aca="false">IF(OR(OR(NOT(AND(ISNUMBER(E273),ISNUMBER(F273))),$J$2=""),16&gt;Reprogramaciones!$K$16),"",IF(ROUND(SUM($Q273:AF273),1)&gt;=99.5,100,MIN(100,ROUND(SUM($Q273:AF273),1))))</f>
        <v/>
      </c>
      <c r="CZ273" s="1" t="str">
        <f aca="false">IF(D273&lt;&gt;"",D273,IF(B273&lt;&gt;"","Contractual",CZ272))</f>
        <v>Contractual</v>
      </c>
      <c r="DA273" s="1" t="str">
        <f aca="false">IF(OR(NOT(AND(ISNUMBER(E273),ISNUMBER(F273))),$J$2=""),"",IF(Reprogramaciones!$Q$15&lt;Reprogramaciones!$T$15,0,IF(Reprogramaciones!$S$15&gt;10,MIN(100,SUM($G273:$P273)),MIN(100,SUMPRODUCT((COLUMN($G273:$P273)-COLUMN($G273)+1&lt;Reprogramaciones!$S$15)*$G273:$P273)+N(INDEX($G273:$P273,1,Reprogramaciones!$S$15))*IF(Reprogramaciones!$Q$15&gt;=(Reprogramaciones!$T$15+7*(Reprogramaciones!$S$15-1))+6,1,IF(MAX(0,NETWORKDAYS.INTL(MAX(E273,(Reprogramaciones!$T$15+7*(Reprogramaciones!$S$15-1))),MIN(F273,(Reprogramaciones!$T$15+7*(Reprogramaciones!$S$15-1))+6),11))=0,0,MAX(0,NETWORKDAYS.INTL(MAX(E273,(Reprogramaciones!$T$15+7*(Reprogramaciones!$S$15-1))),MIN(F273,Reprogramaciones!$Q$15),11))/MAX(0,NETWORKDAYS.INTL(MAX(E273,(Reprogramaciones!$T$15+7*(Reprogramaciones!$S$15-1))),MIN(F273,(Reprogramaciones!$T$15+7*(Reprogramaciones!$S$15-1))+6),11))))))))</f>
        <v/>
      </c>
    </row>
    <row r="274" customFormat="false" ht="15" hidden="false" customHeight="false" outlineLevel="0" collapsed="false">
      <c r="A274" s="32"/>
      <c r="B274" s="33"/>
      <c r="C274" s="33"/>
      <c r="D274" s="34"/>
      <c r="E274" s="35"/>
      <c r="F274" s="35"/>
      <c r="G274" s="36" t="str">
        <f aca="false">IF(OR(NOT(AND(ISNUMBER(E274),ISNUMBER(F274))),$J$2=""),"",IF(Reprogramaciones!K$9&lt;E274,0,IF(NETWORKDAYS.INTL(E274,F274,11)=0,IF(Reprogramaciones!K$9&gt;=F274,100,0),ROUND(NETWORKDAYS.INTL(E274,MIN(F274,Reprogramaciones!K$9),11)/NETWORKDAYS.INTL(E274,F274,11)*100,1)))-0)</f>
        <v/>
      </c>
      <c r="H274" s="36" t="str">
        <f aca="false">IF(OR(NOT(AND(ISNUMBER(E274),ISNUMBER(F274))),$J$2=""),"",IF(Reprogramaciones!L$9&lt;E274,0,IF(NETWORKDAYS.INTL(E274,F274,11)=0,IF(Reprogramaciones!L$9&gt;=F274,100,0),ROUND(NETWORKDAYS.INTL(E274,MIN(F274,Reprogramaciones!L$9),11)/NETWORKDAYS.INTL(E274,F274,11)*100,1)))-IF(Reprogramaciones!K$9&lt;E274,0,IF(NETWORKDAYS.INTL(E274,F274,11)=0,IF(Reprogramaciones!K$9&gt;=F274,100,0),ROUND(NETWORKDAYS.INTL(E274,MIN(F274,Reprogramaciones!K$9),11)/NETWORKDAYS.INTL(E274,F274,11)*100,1))))</f>
        <v/>
      </c>
      <c r="I274" s="36" t="str">
        <f aca="false">IF(OR(NOT(AND(ISNUMBER(E274),ISNUMBER(F274))),$J$2=""),"",IF(Reprogramaciones!M$9&lt;E274,0,IF(NETWORKDAYS.INTL(E274,F274,11)=0,IF(Reprogramaciones!M$9&gt;=F274,100,0),ROUND(NETWORKDAYS.INTL(E274,MIN(F274,Reprogramaciones!M$9),11)/NETWORKDAYS.INTL(E274,F274,11)*100,1)))-IF(Reprogramaciones!L$9&lt;E274,0,IF(NETWORKDAYS.INTL(E274,F274,11)=0,IF(Reprogramaciones!L$9&gt;=F274,100,0),ROUND(NETWORKDAYS.INTL(E274,MIN(F274,Reprogramaciones!L$9),11)/NETWORKDAYS.INTL(E274,F274,11)*100,1))))</f>
        <v/>
      </c>
      <c r="J274" s="36" t="str">
        <f aca="false">IF(OR(NOT(AND(ISNUMBER(E274),ISNUMBER(F274))),$J$2=""),"",IF(Reprogramaciones!N$9&lt;E274,0,IF(NETWORKDAYS.INTL(E274,F274,11)=0,IF(Reprogramaciones!N$9&gt;=F274,100,0),ROUND(NETWORKDAYS.INTL(E274,MIN(F274,Reprogramaciones!N$9),11)/NETWORKDAYS.INTL(E274,F274,11)*100,1)))-IF(Reprogramaciones!M$9&lt;E274,0,IF(NETWORKDAYS.INTL(E274,F274,11)=0,IF(Reprogramaciones!M$9&gt;=F274,100,0),ROUND(NETWORKDAYS.INTL(E274,MIN(F274,Reprogramaciones!M$9),11)/NETWORKDAYS.INTL(E274,F274,11)*100,1))))</f>
        <v/>
      </c>
      <c r="K274" s="36" t="str">
        <f aca="false">IF(OR(NOT(AND(ISNUMBER(E274),ISNUMBER(F274))),$J$2=""),"",IF(Reprogramaciones!O$9&lt;E274,0,IF(NETWORKDAYS.INTL(E274,F274,11)=0,IF(Reprogramaciones!O$9&gt;=F274,100,0),ROUND(NETWORKDAYS.INTL(E274,MIN(F274,Reprogramaciones!O$9),11)/NETWORKDAYS.INTL(E274,F274,11)*100,1)))-IF(Reprogramaciones!N$9&lt;E274,0,IF(NETWORKDAYS.INTL(E274,F274,11)=0,IF(Reprogramaciones!N$9&gt;=F274,100,0),ROUND(NETWORKDAYS.INTL(E274,MIN(F274,Reprogramaciones!N$9),11)/NETWORKDAYS.INTL(E274,F274,11)*100,1))))</f>
        <v/>
      </c>
      <c r="L274" s="36" t="str">
        <f aca="false">IF(OR(NOT(AND(ISNUMBER(E274),ISNUMBER(F274))),$J$2=""),"",IF(Reprogramaciones!P$9&lt;E274,0,IF(NETWORKDAYS.INTL(E274,F274,11)=0,IF(Reprogramaciones!P$9&gt;=F274,100,0),ROUND(NETWORKDAYS.INTL(E274,MIN(F274,Reprogramaciones!P$9),11)/NETWORKDAYS.INTL(E274,F274,11)*100,1)))-IF(Reprogramaciones!O$9&lt;E274,0,IF(NETWORKDAYS.INTL(E274,F274,11)=0,IF(Reprogramaciones!O$9&gt;=F274,100,0),ROUND(NETWORKDAYS.INTL(E274,MIN(F274,Reprogramaciones!O$9),11)/NETWORKDAYS.INTL(E274,F274,11)*100,1))))</f>
        <v/>
      </c>
      <c r="M274" s="36" t="str">
        <f aca="false">IF(OR(NOT(AND(ISNUMBER(E274),ISNUMBER(F274))),$J$2=""),"",IF(Reprogramaciones!Q$9&lt;E274,0,IF(NETWORKDAYS.INTL(E274,F274,11)=0,IF(Reprogramaciones!Q$9&gt;=F274,100,0),ROUND(NETWORKDAYS.INTL(E274,MIN(F274,Reprogramaciones!Q$9),11)/NETWORKDAYS.INTL(E274,F274,11)*100,1)))-IF(Reprogramaciones!P$9&lt;E274,0,IF(NETWORKDAYS.INTL(E274,F274,11)=0,IF(Reprogramaciones!P$9&gt;=F274,100,0),ROUND(NETWORKDAYS.INTL(E274,MIN(F274,Reprogramaciones!P$9),11)/NETWORKDAYS.INTL(E274,F274,11)*100,1))))</f>
        <v/>
      </c>
      <c r="N274" s="36" t="str">
        <f aca="false">IF(OR(NOT(AND(ISNUMBER(E274),ISNUMBER(F274))),$J$2=""),"",IF(Reprogramaciones!R$9&lt;E274,0,IF(NETWORKDAYS.INTL(E274,F274,11)=0,IF(Reprogramaciones!R$9&gt;=F274,100,0),ROUND(NETWORKDAYS.INTL(E274,MIN(F274,Reprogramaciones!R$9),11)/NETWORKDAYS.INTL(E274,F274,11)*100,1)))-IF(Reprogramaciones!Q$9&lt;E274,0,IF(NETWORKDAYS.INTL(E274,F274,11)=0,IF(Reprogramaciones!Q$9&gt;=F274,100,0),ROUND(NETWORKDAYS.INTL(E274,MIN(F274,Reprogramaciones!Q$9),11)/NETWORKDAYS.INTL(E274,F274,11)*100,1))))</f>
        <v/>
      </c>
      <c r="O274" s="36" t="str">
        <f aca="false">IF(OR(NOT(AND(ISNUMBER(E274),ISNUMBER(F274))),$J$2=""),"",IF(Reprogramaciones!S$9&lt;E274,0,IF(NETWORKDAYS.INTL(E274,F274,11)=0,IF(Reprogramaciones!S$9&gt;=F274,100,0),ROUND(NETWORKDAYS.INTL(E274,MIN(F274,Reprogramaciones!S$9),11)/NETWORKDAYS.INTL(E274,F274,11)*100,1)))-IF(Reprogramaciones!R$9&lt;E274,0,IF(NETWORKDAYS.INTL(E274,F274,11)=0,IF(Reprogramaciones!R$9&gt;=F274,100,0),ROUND(NETWORKDAYS.INTL(E274,MIN(F274,Reprogramaciones!R$9),11)/NETWORKDAYS.INTL(E274,F274,11)*100,1))))</f>
        <v/>
      </c>
      <c r="P274" s="36" t="str">
        <f aca="false">IF(OR(NOT(AND(ISNUMBER(E274),ISNUMBER(F274))),$J$2=""),"",IF(Reprogramaciones!T$9&lt;E274,0,IF(NETWORKDAYS.INTL(E274,F274,11)=0,IF(Reprogramaciones!T$9&gt;=F274,100,0),ROUND(NETWORKDAYS.INTL(E274,MIN(F274,Reprogramaciones!T$9),11)/NETWORKDAYS.INTL(E274,F274,11)*100,1)))-IF(Reprogramaciones!S$9&lt;E274,0,IF(NETWORKDAYS.INTL(E274,F274,11)=0,IF(Reprogramaciones!S$9&gt;=F274,100,0),ROUND(NETWORKDAYS.INTL(E274,MIN(F274,Reprogramaciones!S$9),11)/NETWORKDAYS.INTL(E274,F274,11)*100,1))))</f>
        <v/>
      </c>
      <c r="Q274" s="37"/>
      <c r="R274" s="37"/>
      <c r="S274" s="37"/>
      <c r="T274" s="37"/>
      <c r="U274" s="37"/>
      <c r="V274" s="37"/>
      <c r="W274" s="37"/>
      <c r="X274" s="37"/>
      <c r="Y274" s="37"/>
      <c r="Z274" s="37"/>
      <c r="AA274" s="37"/>
      <c r="AB274" s="37"/>
      <c r="AC274" s="37"/>
      <c r="AD274" s="37"/>
      <c r="AE274" s="37"/>
      <c r="AF274" s="37"/>
      <c r="AG274" s="38" t="str">
        <f aca="false">IF(AND(ISNUMBER(E274),ISNUMBER(F274)),NETWORKDAYS.INTL(E274,F274,11),"")</f>
        <v/>
      </c>
      <c r="AH274" s="38" t="str">
        <f aca="false">IF(OR(NOT(AND(ISNUMBER(E274),ISNUMBER(F274))),$J$2=""),"",IF(Reprogramaciones!$P$15&lt;Reprogramaciones!$T$15,0,IF(Reprogramaciones!$R$15&gt;10,MIN(100,SUM($G274:$P274)),MIN(100,SUMPRODUCT((COLUMN($G274:$P274)-COLUMN($G274)+1&lt;Reprogramaciones!$R$15)*$G274:$P274)+N(INDEX($G274:$P274,1,Reprogramaciones!$R$15))*IF(Reprogramaciones!$P$15&gt;=(Reprogramaciones!$T$15+7*(Reprogramaciones!$R$15-1))+6,1,IF(MAX(0,NETWORKDAYS.INTL(MAX(E274,(Reprogramaciones!$T$15+7*(Reprogramaciones!$R$15-1))),MIN(F274,(Reprogramaciones!$T$15+7*(Reprogramaciones!$R$15-1))+6),11))=0,0,MAX(0,NETWORKDAYS.INTL(MAX(E274,(Reprogramaciones!$T$15+7*(Reprogramaciones!$R$15-1))),MIN(F274,Reprogramaciones!$P$15),11))/MAX(0,NETWORKDAYS.INTL(MAX(E274,(Reprogramaciones!$T$15+7*(Reprogramaciones!$R$15-1))),MIN(F274,(Reprogramaciones!$T$15+7*(Reprogramaciones!$R$15-1))+6),11))))))))</f>
        <v/>
      </c>
      <c r="AI274" s="38" t="str">
        <f aca="false">IF(COUNT($Q274:$AF274)=0,"",IF(ROUND(SUM($Q274:$AF274),1)&gt;=99.5,100,MIN(100,ROUND(SUM($Q274:$AF274),1))))</f>
        <v/>
      </c>
      <c r="AJ274" s="38" t="str">
        <f aca="false">IF(OR(AH274="",AI274=""),"",AI274-AH274)</f>
        <v/>
      </c>
      <c r="AK274" s="39" t="str">
        <f aca="true">IF(AH274="","",IF(OR(Ficha!$C$10="Suspendida",Ficha!$C$10="Cancelada"),Ficha!$C$10,IF(AND(AI274&lt;&gt;"",N(AI274)&gt;=100),"Completada",IF(AND(E274&gt;TODAY(),N(AI274)=0),"Por iniciar",IF(N(AI274)+0.5&lt;AH274,"Retrasada",IF(N(AI274)+0.5&lt;DA274,IF(Reprogramaciones!$K$15&gt;0,"Al día · Sem "&amp;Reprogramaciones!$K$15&amp;" en curso","Al día · en curso"),"A tiempo"))))))</f>
        <v/>
      </c>
      <c r="AL274" s="39" t="str">
        <f aca="true">IF(AND(A274="",AND(B274="",C274="",E274="",F274="",COUNT(Q274:AF274)=0)),"",IF(AND(B274="",C274="",E274="",F274="",COUNT(Q274:AF274)=0),"Falta la partida o subpartida",IF(AND(A274&lt;&gt;"",COUNTIF($A$6:$A$305,A274)&gt;1),"Ítem repetido",IF(AND(C274="",E274="",F274="",COUNT(Q274:AF274)=0),"Título de partida",IF(OR(E274="",F274=""),"Faltan fechas",IF(OR(ISTEXT(E274),ISTEXT(F274)),"Fecha escrita como texto: usa dd/mm/aaaa",IF(F274&lt;E274,"Fin antes del inicio",IF(IF($J$2="",FALSE(),OR(E274&lt;$J$2,F274&gt;Reprogramaciones!$T$15+69)),"Fuera de las 10 semanas",IF(ABS(SUM(G274:P274)-100)&gt;0.5,"La meta no suma 100%",IF(ROUND(SUM(Q274:AF274),1)&gt;100.5,"El avance pasa de 100%",IF(MIN(Q274:AF274)&lt;0,"Avance negativo",IF(COUNTA(Q274:AF274)&gt;COUNT(Q274:AF274),"Avance escrito como texto",IF(SUMPRODUCT((Q274:AF274&gt;0)*(Q274:AF274&lt;1))&gt;0,"Avance menor a 1: escribe 50, no 50%",IF(SUMPRODUCT(ISNUMBER(Q274:AF274)*(Reprogramaciones!$K$8:$Z$8&gt;TODAY()))&gt;0,"Avance en semana que aún no llega",IF(AND(N(Reprogramaciones!$E$21)&gt;0,F274&gt;Reprogramaciones!$E$21),"Pasa el fin de la obra: registra una reprogramación",IF(AND(N(Reprogramaciones!$E$21)&gt;0,SUMPRODUCT(ISNUMBER(Q274:AF274)*(Reprogramaciones!$K$8:$Z$8&gt;Reprogramaciones!$E$21))&gt;0),"Avance después del fin de la obra: registra una reprogramación por atraso","OK"))))))))))))))))</f>
        <v/>
      </c>
      <c r="AM274" s="40" t="str">
        <f aca="false">IF(OR(OR(NOT(AND(ISNUMBER(E274),ISNUMBER(F274))),$J$2=""),1&gt;MAX(1,Reprogramaciones!$U$15)),"",IF(Reprogramaciones!K$12&gt;=7,"",IF(OR(BT274-N(0)&gt;0.05,N(Q274)&gt;0),ROUNDDOWN(ROUND(BT274,6),0)&amp;"%"&amp;IF(CJ274="",""," / "&amp;CJ274&amp;"%"),IF(AND(N(0)&gt;=99.95,CJ274&lt;&gt;"",N(CJ274)&lt;100),"Pend. "&amp;CJ274&amp;"%",""))))</f>
        <v/>
      </c>
      <c r="AN274" s="40" t="str">
        <f aca="false">IF(OR(OR(NOT(AND(ISNUMBER(E274),ISNUMBER(F274))),$J$2=""),2&gt;MAX(1,Reprogramaciones!$U$15)),"",IF(Reprogramaciones!L$12&gt;=7,"",IF(OR(BU274-N(BT274)&gt;0.05,N(R274)&gt;0),ROUNDDOWN(ROUND(BU274,6),0)&amp;"%"&amp;IF(CK274="",""," / "&amp;CK274&amp;"%"),IF(AND(N(BT274)&gt;=99.95,CK274&lt;&gt;"",N(CK274)&lt;100),"Pend. "&amp;CK274&amp;"%",""))))</f>
        <v/>
      </c>
      <c r="AO274" s="40" t="str">
        <f aca="false">IF(OR(OR(NOT(AND(ISNUMBER(E274),ISNUMBER(F274))),$J$2=""),3&gt;MAX(1,Reprogramaciones!$U$15)),"",IF(Reprogramaciones!M$12&gt;=7,"",IF(OR(BV274-N(BU274)&gt;0.05,N(S274)&gt;0),ROUNDDOWN(ROUND(BV274,6),0)&amp;"%"&amp;IF(CL274="",""," / "&amp;CL274&amp;"%"),IF(AND(N(BU274)&gt;=99.95,CL274&lt;&gt;"",N(CL274)&lt;100),"Pend. "&amp;CL274&amp;"%",""))))</f>
        <v/>
      </c>
      <c r="AP274" s="40" t="str">
        <f aca="false">IF(OR(OR(NOT(AND(ISNUMBER(E274),ISNUMBER(F274))),$J$2=""),4&gt;MAX(1,Reprogramaciones!$U$15)),"",IF(Reprogramaciones!N$12&gt;=7,"",IF(OR(BW274-N(BV274)&gt;0.05,N(T274)&gt;0),ROUNDDOWN(ROUND(BW274,6),0)&amp;"%"&amp;IF(CM274="",""," / "&amp;CM274&amp;"%"),IF(AND(N(BV274)&gt;=99.95,CM274&lt;&gt;"",N(CM274)&lt;100),"Pend. "&amp;CM274&amp;"%",""))))</f>
        <v/>
      </c>
      <c r="AQ274" s="40" t="str">
        <f aca="false">IF(OR(OR(NOT(AND(ISNUMBER(E274),ISNUMBER(F274))),$J$2=""),5&gt;MAX(1,Reprogramaciones!$U$15)),"",IF(Reprogramaciones!O$12&gt;=7,"",IF(OR(BX274-N(BW274)&gt;0.05,N(U274)&gt;0),ROUNDDOWN(ROUND(BX274,6),0)&amp;"%"&amp;IF(CN274="",""," / "&amp;CN274&amp;"%"),IF(AND(N(BW274)&gt;=99.95,CN274&lt;&gt;"",N(CN274)&lt;100),"Pend. "&amp;CN274&amp;"%",""))))</f>
        <v/>
      </c>
      <c r="AR274" s="40" t="str">
        <f aca="false">IF(OR(OR(NOT(AND(ISNUMBER(E274),ISNUMBER(F274))),$J$2=""),6&gt;MAX(1,Reprogramaciones!$U$15)),"",IF(Reprogramaciones!P$12&gt;=7,"",IF(OR(BY274-N(BX274)&gt;0.05,N(V274)&gt;0),ROUNDDOWN(ROUND(BY274,6),0)&amp;"%"&amp;IF(CO274="",""," / "&amp;CO274&amp;"%"),IF(AND(N(BX274)&gt;=99.95,CO274&lt;&gt;"",N(CO274)&lt;100),"Pend. "&amp;CO274&amp;"%",""))))</f>
        <v/>
      </c>
      <c r="AS274" s="40" t="str">
        <f aca="false">IF(OR(OR(NOT(AND(ISNUMBER(E274),ISNUMBER(F274))),$J$2=""),7&gt;MAX(1,Reprogramaciones!$U$15)),"",IF(Reprogramaciones!Q$12&gt;=7,"",IF(OR(BZ274-N(BY274)&gt;0.05,N(W274)&gt;0),ROUNDDOWN(ROUND(BZ274,6),0)&amp;"%"&amp;IF(CP274="",""," / "&amp;CP274&amp;"%"),IF(AND(N(BY274)&gt;=99.95,CP274&lt;&gt;"",N(CP274)&lt;100),"Pend. "&amp;CP274&amp;"%",""))))</f>
        <v/>
      </c>
      <c r="AT274" s="40" t="str">
        <f aca="false">IF(OR(OR(NOT(AND(ISNUMBER(E274),ISNUMBER(F274))),$J$2=""),8&gt;MAX(1,Reprogramaciones!$U$15)),"",IF(Reprogramaciones!R$12&gt;=7,"",IF(OR(CA274-N(BZ274)&gt;0.05,N(X274)&gt;0),ROUNDDOWN(ROUND(CA274,6),0)&amp;"%"&amp;IF(CQ274="",""," / "&amp;CQ274&amp;"%"),IF(AND(N(BZ274)&gt;=99.95,CQ274&lt;&gt;"",N(CQ274)&lt;100),"Pend. "&amp;CQ274&amp;"%",""))))</f>
        <v/>
      </c>
      <c r="AU274" s="40" t="str">
        <f aca="false">IF(OR(OR(NOT(AND(ISNUMBER(E274),ISNUMBER(F274))),$J$2=""),9&gt;MAX(1,Reprogramaciones!$U$15)),"",IF(Reprogramaciones!S$12&gt;=7,"",IF(OR(CB274-N(CA274)&gt;0.05,N(Y274)&gt;0),ROUNDDOWN(ROUND(CB274,6),0)&amp;"%"&amp;IF(CR274="",""," / "&amp;CR274&amp;"%"),IF(AND(N(CA274)&gt;=99.95,CR274&lt;&gt;"",N(CR274)&lt;100),"Pend. "&amp;CR274&amp;"%",""))))</f>
        <v/>
      </c>
      <c r="AV274" s="40" t="str">
        <f aca="false">IF(OR(OR(NOT(AND(ISNUMBER(E274),ISNUMBER(F274))),$J$2=""),10&gt;MAX(1,Reprogramaciones!$U$15)),"",IF(Reprogramaciones!T$12&gt;=7,"",IF(OR(CC274-N(CB274)&gt;0.05,N(Z274)&gt;0),ROUNDDOWN(ROUND(CC274,6),0)&amp;"%"&amp;IF(CS274="",""," / "&amp;CS274&amp;"%"),IF(AND(N(CB274)&gt;=99.95,CS274&lt;&gt;"",N(CS274)&lt;100),"Pend. "&amp;CS274&amp;"%",""))))</f>
        <v/>
      </c>
      <c r="AW274" s="40" t="str">
        <f aca="false">IF(OR(OR(NOT(AND(ISNUMBER(E274),ISNUMBER(F274))),$J$2=""),11&gt;MAX(1,Reprogramaciones!$U$15)),"",IF(Reprogramaciones!U$12&gt;=7,"",IF(OR(CD274-N(CC274)&gt;0.05,N(AA274)&gt;0),ROUNDDOWN(ROUND(CD274,6),0)&amp;"%"&amp;IF(CT274="",""," / "&amp;CT274&amp;"%"),IF(AND(N(CC274)&gt;=99.95,CT274&lt;&gt;"",N(CT274)&lt;100),"Pend. "&amp;CT274&amp;"%",""))))</f>
        <v/>
      </c>
      <c r="AX274" s="40" t="str">
        <f aca="false">IF(OR(OR(NOT(AND(ISNUMBER(E274),ISNUMBER(F274))),$J$2=""),12&gt;MAX(1,Reprogramaciones!$U$15)),"",IF(Reprogramaciones!V$12&gt;=7,"",IF(OR(CE274-N(CD274)&gt;0.05,N(AB274)&gt;0),ROUNDDOWN(ROUND(CE274,6),0)&amp;"%"&amp;IF(CU274="",""," / "&amp;CU274&amp;"%"),IF(AND(N(CD274)&gt;=99.95,CU274&lt;&gt;"",N(CU274)&lt;100),"Pend. "&amp;CU274&amp;"%",""))))</f>
        <v/>
      </c>
      <c r="AY274" s="40" t="str">
        <f aca="false">IF(OR(OR(NOT(AND(ISNUMBER(E274),ISNUMBER(F274))),$J$2=""),13&gt;MAX(1,Reprogramaciones!$U$15)),"",IF(Reprogramaciones!W$12&gt;=7,"",IF(OR(CF274-N(CE274)&gt;0.05,N(AC274)&gt;0),ROUNDDOWN(ROUND(CF274,6),0)&amp;"%"&amp;IF(CV274="",""," / "&amp;CV274&amp;"%"),IF(AND(N(CE274)&gt;=99.95,CV274&lt;&gt;"",N(CV274)&lt;100),"Pend. "&amp;CV274&amp;"%",""))))</f>
        <v/>
      </c>
      <c r="AZ274" s="40" t="str">
        <f aca="false">IF(OR(OR(NOT(AND(ISNUMBER(E274),ISNUMBER(F274))),$J$2=""),14&gt;MAX(1,Reprogramaciones!$U$15)),"",IF(Reprogramaciones!X$12&gt;=7,"",IF(OR(CG274-N(CF274)&gt;0.05,N(AD274)&gt;0),ROUNDDOWN(ROUND(CG274,6),0)&amp;"%"&amp;IF(CW274="",""," / "&amp;CW274&amp;"%"),IF(AND(N(CF274)&gt;=99.95,CW274&lt;&gt;"",N(CW274)&lt;100),"Pend. "&amp;CW274&amp;"%",""))))</f>
        <v/>
      </c>
      <c r="BA274" s="40" t="str">
        <f aca="false">IF(OR(OR(NOT(AND(ISNUMBER(E274),ISNUMBER(F274))),$J$2=""),15&gt;MAX(1,Reprogramaciones!$U$15)),"",IF(Reprogramaciones!Y$12&gt;=7,"",IF(OR(CH274-N(CG274)&gt;0.05,N(AE274)&gt;0),ROUNDDOWN(ROUND(CH274,6),0)&amp;"%"&amp;IF(CX274="",""," / "&amp;CX274&amp;"%"),IF(AND(N(CG274)&gt;=99.95,CX274&lt;&gt;"",N(CX274)&lt;100),"Pend. "&amp;CX274&amp;"%",""))))</f>
        <v/>
      </c>
      <c r="BB274" s="40" t="str">
        <f aca="false">IF(OR(OR(NOT(AND(ISNUMBER(E274),ISNUMBER(F274))),$J$2=""),16&gt;MAX(1,Reprogramaciones!$U$15)),"",IF(Reprogramaciones!Z$12&gt;=7,"",IF(OR(CI274-N(CH274)&gt;0.05,N(AF274)&gt;0),ROUNDDOWN(ROUND(CI274,6),0)&amp;"%"&amp;IF(CY274="",""," / "&amp;CY274&amp;"%"),IF(AND(N(CH274)&gt;=99.95,CY274&lt;&gt;"",N(CY274)&lt;100),"Pend. "&amp;CY274&amp;"%",""))))</f>
        <v/>
      </c>
      <c r="BC274" s="31" t="n">
        <f aca="false">IF(AND(ISNUMBER(E274),ISNUMBER(F274)),MAX(1,NETWORKDAYS.INTL(E274,F274,11)),0)</f>
        <v>0</v>
      </c>
      <c r="BD274" s="1" t="str">
        <f aca="false">IF(OR(NOT(AND(ISNUMBER(E274),ISNUMBER(F274))),$J$2=""),"",MIN(100,ROUND(SUM($G274:G274),1)))</f>
        <v/>
      </c>
      <c r="BE274" s="1" t="str">
        <f aca="false">IF(OR(NOT(AND(ISNUMBER(E274),ISNUMBER(F274))),$J$2=""),"",MIN(100,ROUND(SUM($G274:H274),1)))</f>
        <v/>
      </c>
      <c r="BF274" s="1" t="str">
        <f aca="false">IF(OR(NOT(AND(ISNUMBER(E274),ISNUMBER(F274))),$J$2=""),"",MIN(100,ROUND(SUM($G274:I274),1)))</f>
        <v/>
      </c>
      <c r="BG274" s="1" t="str">
        <f aca="false">IF(OR(NOT(AND(ISNUMBER(E274),ISNUMBER(F274))),$J$2=""),"",MIN(100,ROUND(SUM($G274:J274),1)))</f>
        <v/>
      </c>
      <c r="BH274" s="1" t="str">
        <f aca="false">IF(OR(NOT(AND(ISNUMBER(E274),ISNUMBER(F274))),$J$2=""),"",MIN(100,ROUND(SUM($G274:K274),1)))</f>
        <v/>
      </c>
      <c r="BI274" s="1" t="str">
        <f aca="false">IF(OR(NOT(AND(ISNUMBER(E274),ISNUMBER(F274))),$J$2=""),"",MIN(100,ROUND(SUM($G274:L274),1)))</f>
        <v/>
      </c>
      <c r="BJ274" s="1" t="str">
        <f aca="false">IF(OR(NOT(AND(ISNUMBER(E274),ISNUMBER(F274))),$J$2=""),"",MIN(100,ROUND(SUM($G274:M274),1)))</f>
        <v/>
      </c>
      <c r="BK274" s="1" t="str">
        <f aca="false">IF(OR(NOT(AND(ISNUMBER(E274),ISNUMBER(F274))),$J$2=""),"",MIN(100,ROUND(SUM($G274:N274),1)))</f>
        <v/>
      </c>
      <c r="BL274" s="1" t="str">
        <f aca="false">IF(OR(NOT(AND(ISNUMBER(E274),ISNUMBER(F274))),$J$2=""),"",MIN(100,ROUND(SUM($G274:O274),1)))</f>
        <v/>
      </c>
      <c r="BM274" s="1" t="str">
        <f aca="false">IF(OR(NOT(AND(ISNUMBER(E274),ISNUMBER(F274))),$J$2=""),"",MIN(100,ROUND(SUM($G274:P274),1)))</f>
        <v/>
      </c>
      <c r="BN274" s="1" t="str">
        <f aca="false">IF(OR(NOT(AND(ISNUMBER(E274),ISNUMBER(F274))),$J$2=""),"",MIN(100,ROUND(SUM($G274:P274),1)))</f>
        <v/>
      </c>
      <c r="BO274" s="1" t="str">
        <f aca="false">IF(OR(NOT(AND(ISNUMBER(E274),ISNUMBER(F274))),$J$2=""),"",MIN(100,ROUND(SUM($G274:P274),1)))</f>
        <v/>
      </c>
      <c r="BP274" s="1" t="str">
        <f aca="false">IF(OR(NOT(AND(ISNUMBER(E274),ISNUMBER(F274))),$J$2=""),"",MIN(100,ROUND(SUM($G274:P274),1)))</f>
        <v/>
      </c>
      <c r="BQ274" s="1" t="str">
        <f aca="false">IF(OR(NOT(AND(ISNUMBER(E274),ISNUMBER(F274))),$J$2=""),"",MIN(100,ROUND(SUM($G274:P274),1)))</f>
        <v/>
      </c>
      <c r="BR274" s="1" t="str">
        <f aca="false">IF(OR(NOT(AND(ISNUMBER(E274),ISNUMBER(F274))),$J$2=""),"",MIN(100,ROUND(SUM($G274:P274),1)))</f>
        <v/>
      </c>
      <c r="BS274" s="1" t="str">
        <f aca="false">IF(OR(NOT(AND(ISNUMBER(E274),ISNUMBER(F274))),$J$2=""),"",MIN(100,ROUND(SUM($G274:P274),1)))</f>
        <v/>
      </c>
      <c r="BT274" s="1" t="str">
        <f aca="false">IF(OR(NOT(AND(ISNUMBER(E274),ISNUMBER(F274))),$J$2=""),"",IF(Reprogramaciones!K$13&lt;Reprogramaciones!$T$15,0,IF(Reprogramaciones!K$14&gt;10,MIN(100,SUM($G274:$P274)),MIN(100,SUMPRODUCT((COLUMN($G274:$P274)-COLUMN($G274)+1&lt;Reprogramaciones!K$14)*$G274:$P274)+N(INDEX($G274:$P274,1,Reprogramaciones!K$14))*IF(Reprogramaciones!K$13&gt;=(Reprogramaciones!$T$15+7*(Reprogramaciones!K$14-1))+6,1,IF(MAX(0,NETWORKDAYS.INTL(MAX(E274,(Reprogramaciones!$T$15+7*(Reprogramaciones!K$14-1))),MIN(F274,(Reprogramaciones!$T$15+7*(Reprogramaciones!K$14-1))+6),11))=0,0,MAX(0,NETWORKDAYS.INTL(MAX(E274,(Reprogramaciones!$T$15+7*(Reprogramaciones!K$14-1))),MIN(F274,Reprogramaciones!K$13),11))/MAX(0,NETWORKDAYS.INTL(MAX(E274,(Reprogramaciones!$T$15+7*(Reprogramaciones!K$14-1))),MIN(F274,(Reprogramaciones!$T$15+7*(Reprogramaciones!K$14-1))+6),11))))))))</f>
        <v/>
      </c>
      <c r="BU274" s="1" t="str">
        <f aca="false">IF(OR(NOT(AND(ISNUMBER(E274),ISNUMBER(F274))),$J$2=""),"",IF(Reprogramaciones!L$13&lt;Reprogramaciones!$T$15,0,IF(Reprogramaciones!L$14&gt;10,MIN(100,SUM($G274:$P274)),MIN(100,SUMPRODUCT((COLUMN($G274:$P274)-COLUMN($G274)+1&lt;Reprogramaciones!L$14)*$G274:$P274)+N(INDEX($G274:$P274,1,Reprogramaciones!L$14))*IF(Reprogramaciones!L$13&gt;=(Reprogramaciones!$T$15+7*(Reprogramaciones!L$14-1))+6,1,IF(MAX(0,NETWORKDAYS.INTL(MAX(E274,(Reprogramaciones!$T$15+7*(Reprogramaciones!L$14-1))),MIN(F274,(Reprogramaciones!$T$15+7*(Reprogramaciones!L$14-1))+6),11))=0,0,MAX(0,NETWORKDAYS.INTL(MAX(E274,(Reprogramaciones!$T$15+7*(Reprogramaciones!L$14-1))),MIN(F274,Reprogramaciones!L$13),11))/MAX(0,NETWORKDAYS.INTL(MAX(E274,(Reprogramaciones!$T$15+7*(Reprogramaciones!L$14-1))),MIN(F274,(Reprogramaciones!$T$15+7*(Reprogramaciones!L$14-1))+6),11))))))))</f>
        <v/>
      </c>
      <c r="BV274" s="1" t="str">
        <f aca="false">IF(OR(NOT(AND(ISNUMBER(E274),ISNUMBER(F274))),$J$2=""),"",IF(Reprogramaciones!M$13&lt;Reprogramaciones!$T$15,0,IF(Reprogramaciones!M$14&gt;10,MIN(100,SUM($G274:$P274)),MIN(100,SUMPRODUCT((COLUMN($G274:$P274)-COLUMN($G274)+1&lt;Reprogramaciones!M$14)*$G274:$P274)+N(INDEX($G274:$P274,1,Reprogramaciones!M$14))*IF(Reprogramaciones!M$13&gt;=(Reprogramaciones!$T$15+7*(Reprogramaciones!M$14-1))+6,1,IF(MAX(0,NETWORKDAYS.INTL(MAX(E274,(Reprogramaciones!$T$15+7*(Reprogramaciones!M$14-1))),MIN(F274,(Reprogramaciones!$T$15+7*(Reprogramaciones!M$14-1))+6),11))=0,0,MAX(0,NETWORKDAYS.INTL(MAX(E274,(Reprogramaciones!$T$15+7*(Reprogramaciones!M$14-1))),MIN(F274,Reprogramaciones!M$13),11))/MAX(0,NETWORKDAYS.INTL(MAX(E274,(Reprogramaciones!$T$15+7*(Reprogramaciones!M$14-1))),MIN(F274,(Reprogramaciones!$T$15+7*(Reprogramaciones!M$14-1))+6),11))))))))</f>
        <v/>
      </c>
      <c r="BW274" s="1" t="str">
        <f aca="false">IF(OR(NOT(AND(ISNUMBER(E274),ISNUMBER(F274))),$J$2=""),"",IF(Reprogramaciones!N$13&lt;Reprogramaciones!$T$15,0,IF(Reprogramaciones!N$14&gt;10,MIN(100,SUM($G274:$P274)),MIN(100,SUMPRODUCT((COLUMN($G274:$P274)-COLUMN($G274)+1&lt;Reprogramaciones!N$14)*$G274:$P274)+N(INDEX($G274:$P274,1,Reprogramaciones!N$14))*IF(Reprogramaciones!N$13&gt;=(Reprogramaciones!$T$15+7*(Reprogramaciones!N$14-1))+6,1,IF(MAX(0,NETWORKDAYS.INTL(MAX(E274,(Reprogramaciones!$T$15+7*(Reprogramaciones!N$14-1))),MIN(F274,(Reprogramaciones!$T$15+7*(Reprogramaciones!N$14-1))+6),11))=0,0,MAX(0,NETWORKDAYS.INTL(MAX(E274,(Reprogramaciones!$T$15+7*(Reprogramaciones!N$14-1))),MIN(F274,Reprogramaciones!N$13),11))/MAX(0,NETWORKDAYS.INTL(MAX(E274,(Reprogramaciones!$T$15+7*(Reprogramaciones!N$14-1))),MIN(F274,(Reprogramaciones!$T$15+7*(Reprogramaciones!N$14-1))+6),11))))))))</f>
        <v/>
      </c>
      <c r="BX274" s="1" t="str">
        <f aca="false">IF(OR(NOT(AND(ISNUMBER(E274),ISNUMBER(F274))),$J$2=""),"",IF(Reprogramaciones!O$13&lt;Reprogramaciones!$T$15,0,IF(Reprogramaciones!O$14&gt;10,MIN(100,SUM($G274:$P274)),MIN(100,SUMPRODUCT((COLUMN($G274:$P274)-COLUMN($G274)+1&lt;Reprogramaciones!O$14)*$G274:$P274)+N(INDEX($G274:$P274,1,Reprogramaciones!O$14))*IF(Reprogramaciones!O$13&gt;=(Reprogramaciones!$T$15+7*(Reprogramaciones!O$14-1))+6,1,IF(MAX(0,NETWORKDAYS.INTL(MAX(E274,(Reprogramaciones!$T$15+7*(Reprogramaciones!O$14-1))),MIN(F274,(Reprogramaciones!$T$15+7*(Reprogramaciones!O$14-1))+6),11))=0,0,MAX(0,NETWORKDAYS.INTL(MAX(E274,(Reprogramaciones!$T$15+7*(Reprogramaciones!O$14-1))),MIN(F274,Reprogramaciones!O$13),11))/MAX(0,NETWORKDAYS.INTL(MAX(E274,(Reprogramaciones!$T$15+7*(Reprogramaciones!O$14-1))),MIN(F274,(Reprogramaciones!$T$15+7*(Reprogramaciones!O$14-1))+6),11))))))))</f>
        <v/>
      </c>
      <c r="BY274" s="1" t="str">
        <f aca="false">IF(OR(NOT(AND(ISNUMBER(E274),ISNUMBER(F274))),$J$2=""),"",IF(Reprogramaciones!P$13&lt;Reprogramaciones!$T$15,0,IF(Reprogramaciones!P$14&gt;10,MIN(100,SUM($G274:$P274)),MIN(100,SUMPRODUCT((COLUMN($G274:$P274)-COLUMN($G274)+1&lt;Reprogramaciones!P$14)*$G274:$P274)+N(INDEX($G274:$P274,1,Reprogramaciones!P$14))*IF(Reprogramaciones!P$13&gt;=(Reprogramaciones!$T$15+7*(Reprogramaciones!P$14-1))+6,1,IF(MAX(0,NETWORKDAYS.INTL(MAX(E274,(Reprogramaciones!$T$15+7*(Reprogramaciones!P$14-1))),MIN(F274,(Reprogramaciones!$T$15+7*(Reprogramaciones!P$14-1))+6),11))=0,0,MAX(0,NETWORKDAYS.INTL(MAX(E274,(Reprogramaciones!$T$15+7*(Reprogramaciones!P$14-1))),MIN(F274,Reprogramaciones!P$13),11))/MAX(0,NETWORKDAYS.INTL(MAX(E274,(Reprogramaciones!$T$15+7*(Reprogramaciones!P$14-1))),MIN(F274,(Reprogramaciones!$T$15+7*(Reprogramaciones!P$14-1))+6),11))))))))</f>
        <v/>
      </c>
      <c r="BZ274" s="1" t="str">
        <f aca="false">IF(OR(NOT(AND(ISNUMBER(E274),ISNUMBER(F274))),$J$2=""),"",IF(Reprogramaciones!Q$13&lt;Reprogramaciones!$T$15,0,IF(Reprogramaciones!Q$14&gt;10,MIN(100,SUM($G274:$P274)),MIN(100,SUMPRODUCT((COLUMN($G274:$P274)-COLUMN($G274)+1&lt;Reprogramaciones!Q$14)*$G274:$P274)+N(INDEX($G274:$P274,1,Reprogramaciones!Q$14))*IF(Reprogramaciones!Q$13&gt;=(Reprogramaciones!$T$15+7*(Reprogramaciones!Q$14-1))+6,1,IF(MAX(0,NETWORKDAYS.INTL(MAX(E274,(Reprogramaciones!$T$15+7*(Reprogramaciones!Q$14-1))),MIN(F274,(Reprogramaciones!$T$15+7*(Reprogramaciones!Q$14-1))+6),11))=0,0,MAX(0,NETWORKDAYS.INTL(MAX(E274,(Reprogramaciones!$T$15+7*(Reprogramaciones!Q$14-1))),MIN(F274,Reprogramaciones!Q$13),11))/MAX(0,NETWORKDAYS.INTL(MAX(E274,(Reprogramaciones!$T$15+7*(Reprogramaciones!Q$14-1))),MIN(F274,(Reprogramaciones!$T$15+7*(Reprogramaciones!Q$14-1))+6),11))))))))</f>
        <v/>
      </c>
      <c r="CA274" s="1" t="str">
        <f aca="false">IF(OR(NOT(AND(ISNUMBER(E274),ISNUMBER(F274))),$J$2=""),"",IF(Reprogramaciones!R$13&lt;Reprogramaciones!$T$15,0,IF(Reprogramaciones!R$14&gt;10,MIN(100,SUM($G274:$P274)),MIN(100,SUMPRODUCT((COLUMN($G274:$P274)-COLUMN($G274)+1&lt;Reprogramaciones!R$14)*$G274:$P274)+N(INDEX($G274:$P274,1,Reprogramaciones!R$14))*IF(Reprogramaciones!R$13&gt;=(Reprogramaciones!$T$15+7*(Reprogramaciones!R$14-1))+6,1,IF(MAX(0,NETWORKDAYS.INTL(MAX(E274,(Reprogramaciones!$T$15+7*(Reprogramaciones!R$14-1))),MIN(F274,(Reprogramaciones!$T$15+7*(Reprogramaciones!R$14-1))+6),11))=0,0,MAX(0,NETWORKDAYS.INTL(MAX(E274,(Reprogramaciones!$T$15+7*(Reprogramaciones!R$14-1))),MIN(F274,Reprogramaciones!R$13),11))/MAX(0,NETWORKDAYS.INTL(MAX(E274,(Reprogramaciones!$T$15+7*(Reprogramaciones!R$14-1))),MIN(F274,(Reprogramaciones!$T$15+7*(Reprogramaciones!R$14-1))+6),11))))))))</f>
        <v/>
      </c>
      <c r="CB274" s="1" t="str">
        <f aca="false">IF(OR(NOT(AND(ISNUMBER(E274),ISNUMBER(F274))),$J$2=""),"",IF(Reprogramaciones!S$13&lt;Reprogramaciones!$T$15,0,IF(Reprogramaciones!S$14&gt;10,MIN(100,SUM($G274:$P274)),MIN(100,SUMPRODUCT((COLUMN($G274:$P274)-COLUMN($G274)+1&lt;Reprogramaciones!S$14)*$G274:$P274)+N(INDEX($G274:$P274,1,Reprogramaciones!S$14))*IF(Reprogramaciones!S$13&gt;=(Reprogramaciones!$T$15+7*(Reprogramaciones!S$14-1))+6,1,IF(MAX(0,NETWORKDAYS.INTL(MAX(E274,(Reprogramaciones!$T$15+7*(Reprogramaciones!S$14-1))),MIN(F274,(Reprogramaciones!$T$15+7*(Reprogramaciones!S$14-1))+6),11))=0,0,MAX(0,NETWORKDAYS.INTL(MAX(E274,(Reprogramaciones!$T$15+7*(Reprogramaciones!S$14-1))),MIN(F274,Reprogramaciones!S$13),11))/MAX(0,NETWORKDAYS.INTL(MAX(E274,(Reprogramaciones!$T$15+7*(Reprogramaciones!S$14-1))),MIN(F274,(Reprogramaciones!$T$15+7*(Reprogramaciones!S$14-1))+6),11))))))))</f>
        <v/>
      </c>
      <c r="CC274" s="1" t="str">
        <f aca="false">IF(OR(NOT(AND(ISNUMBER(E274),ISNUMBER(F274))),$J$2=""),"",IF(Reprogramaciones!T$13&lt;Reprogramaciones!$T$15,0,IF(Reprogramaciones!T$14&gt;10,MIN(100,SUM($G274:$P274)),MIN(100,SUMPRODUCT((COLUMN($G274:$P274)-COLUMN($G274)+1&lt;Reprogramaciones!T$14)*$G274:$P274)+N(INDEX($G274:$P274,1,Reprogramaciones!T$14))*IF(Reprogramaciones!T$13&gt;=(Reprogramaciones!$T$15+7*(Reprogramaciones!T$14-1))+6,1,IF(MAX(0,NETWORKDAYS.INTL(MAX(E274,(Reprogramaciones!$T$15+7*(Reprogramaciones!T$14-1))),MIN(F274,(Reprogramaciones!$T$15+7*(Reprogramaciones!T$14-1))+6),11))=0,0,MAX(0,NETWORKDAYS.INTL(MAX(E274,(Reprogramaciones!$T$15+7*(Reprogramaciones!T$14-1))),MIN(F274,Reprogramaciones!T$13),11))/MAX(0,NETWORKDAYS.INTL(MAX(E274,(Reprogramaciones!$T$15+7*(Reprogramaciones!T$14-1))),MIN(F274,(Reprogramaciones!$T$15+7*(Reprogramaciones!T$14-1))+6),11))))))))</f>
        <v/>
      </c>
      <c r="CD274" s="1" t="str">
        <f aca="false">IF(OR(NOT(AND(ISNUMBER(E274),ISNUMBER(F274))),$J$2=""),"",IF(Reprogramaciones!U$13&lt;Reprogramaciones!$T$15,0,IF(Reprogramaciones!U$14&gt;10,MIN(100,SUM($G274:$P274)),MIN(100,SUMPRODUCT((COLUMN($G274:$P274)-COLUMN($G274)+1&lt;Reprogramaciones!U$14)*$G274:$P274)+N(INDEX($G274:$P274,1,Reprogramaciones!U$14))*IF(Reprogramaciones!U$13&gt;=(Reprogramaciones!$T$15+7*(Reprogramaciones!U$14-1))+6,1,IF(MAX(0,NETWORKDAYS.INTL(MAX(E274,(Reprogramaciones!$T$15+7*(Reprogramaciones!U$14-1))),MIN(F274,(Reprogramaciones!$T$15+7*(Reprogramaciones!U$14-1))+6),11))=0,0,MAX(0,NETWORKDAYS.INTL(MAX(E274,(Reprogramaciones!$T$15+7*(Reprogramaciones!U$14-1))),MIN(F274,Reprogramaciones!U$13),11))/MAX(0,NETWORKDAYS.INTL(MAX(E274,(Reprogramaciones!$T$15+7*(Reprogramaciones!U$14-1))),MIN(F274,(Reprogramaciones!$T$15+7*(Reprogramaciones!U$14-1))+6),11))))))))</f>
        <v/>
      </c>
      <c r="CE274" s="1" t="str">
        <f aca="false">IF(OR(NOT(AND(ISNUMBER(E274),ISNUMBER(F274))),$J$2=""),"",IF(Reprogramaciones!V$13&lt;Reprogramaciones!$T$15,0,IF(Reprogramaciones!V$14&gt;10,MIN(100,SUM($G274:$P274)),MIN(100,SUMPRODUCT((COLUMN($G274:$P274)-COLUMN($G274)+1&lt;Reprogramaciones!V$14)*$G274:$P274)+N(INDEX($G274:$P274,1,Reprogramaciones!V$14))*IF(Reprogramaciones!V$13&gt;=(Reprogramaciones!$T$15+7*(Reprogramaciones!V$14-1))+6,1,IF(MAX(0,NETWORKDAYS.INTL(MAX(E274,(Reprogramaciones!$T$15+7*(Reprogramaciones!V$14-1))),MIN(F274,(Reprogramaciones!$T$15+7*(Reprogramaciones!V$14-1))+6),11))=0,0,MAX(0,NETWORKDAYS.INTL(MAX(E274,(Reprogramaciones!$T$15+7*(Reprogramaciones!V$14-1))),MIN(F274,Reprogramaciones!V$13),11))/MAX(0,NETWORKDAYS.INTL(MAX(E274,(Reprogramaciones!$T$15+7*(Reprogramaciones!V$14-1))),MIN(F274,(Reprogramaciones!$T$15+7*(Reprogramaciones!V$14-1))+6),11))))))))</f>
        <v/>
      </c>
      <c r="CF274" s="1" t="str">
        <f aca="false">IF(OR(NOT(AND(ISNUMBER(E274),ISNUMBER(F274))),$J$2=""),"",IF(Reprogramaciones!W$13&lt;Reprogramaciones!$T$15,0,IF(Reprogramaciones!W$14&gt;10,MIN(100,SUM($G274:$P274)),MIN(100,SUMPRODUCT((COLUMN($G274:$P274)-COLUMN($G274)+1&lt;Reprogramaciones!W$14)*$G274:$P274)+N(INDEX($G274:$P274,1,Reprogramaciones!W$14))*IF(Reprogramaciones!W$13&gt;=(Reprogramaciones!$T$15+7*(Reprogramaciones!W$14-1))+6,1,IF(MAX(0,NETWORKDAYS.INTL(MAX(E274,(Reprogramaciones!$T$15+7*(Reprogramaciones!W$14-1))),MIN(F274,(Reprogramaciones!$T$15+7*(Reprogramaciones!W$14-1))+6),11))=0,0,MAX(0,NETWORKDAYS.INTL(MAX(E274,(Reprogramaciones!$T$15+7*(Reprogramaciones!W$14-1))),MIN(F274,Reprogramaciones!W$13),11))/MAX(0,NETWORKDAYS.INTL(MAX(E274,(Reprogramaciones!$T$15+7*(Reprogramaciones!W$14-1))),MIN(F274,(Reprogramaciones!$T$15+7*(Reprogramaciones!W$14-1))+6),11))))))))</f>
        <v/>
      </c>
      <c r="CG274" s="1" t="str">
        <f aca="false">IF(OR(NOT(AND(ISNUMBER(E274),ISNUMBER(F274))),$J$2=""),"",IF(Reprogramaciones!X$13&lt;Reprogramaciones!$T$15,0,IF(Reprogramaciones!X$14&gt;10,MIN(100,SUM($G274:$P274)),MIN(100,SUMPRODUCT((COLUMN($G274:$P274)-COLUMN($G274)+1&lt;Reprogramaciones!X$14)*$G274:$P274)+N(INDEX($G274:$P274,1,Reprogramaciones!X$14))*IF(Reprogramaciones!X$13&gt;=(Reprogramaciones!$T$15+7*(Reprogramaciones!X$14-1))+6,1,IF(MAX(0,NETWORKDAYS.INTL(MAX(E274,(Reprogramaciones!$T$15+7*(Reprogramaciones!X$14-1))),MIN(F274,(Reprogramaciones!$T$15+7*(Reprogramaciones!X$14-1))+6),11))=0,0,MAX(0,NETWORKDAYS.INTL(MAX(E274,(Reprogramaciones!$T$15+7*(Reprogramaciones!X$14-1))),MIN(F274,Reprogramaciones!X$13),11))/MAX(0,NETWORKDAYS.INTL(MAX(E274,(Reprogramaciones!$T$15+7*(Reprogramaciones!X$14-1))),MIN(F274,(Reprogramaciones!$T$15+7*(Reprogramaciones!X$14-1))+6),11))))))))</f>
        <v/>
      </c>
      <c r="CH274" s="1" t="str">
        <f aca="false">IF(OR(NOT(AND(ISNUMBER(E274),ISNUMBER(F274))),$J$2=""),"",IF(Reprogramaciones!Y$13&lt;Reprogramaciones!$T$15,0,IF(Reprogramaciones!Y$14&gt;10,MIN(100,SUM($G274:$P274)),MIN(100,SUMPRODUCT((COLUMN($G274:$P274)-COLUMN($G274)+1&lt;Reprogramaciones!Y$14)*$G274:$P274)+N(INDEX($G274:$P274,1,Reprogramaciones!Y$14))*IF(Reprogramaciones!Y$13&gt;=(Reprogramaciones!$T$15+7*(Reprogramaciones!Y$14-1))+6,1,IF(MAX(0,NETWORKDAYS.INTL(MAX(E274,(Reprogramaciones!$T$15+7*(Reprogramaciones!Y$14-1))),MIN(F274,(Reprogramaciones!$T$15+7*(Reprogramaciones!Y$14-1))+6),11))=0,0,MAX(0,NETWORKDAYS.INTL(MAX(E274,(Reprogramaciones!$T$15+7*(Reprogramaciones!Y$14-1))),MIN(F274,Reprogramaciones!Y$13),11))/MAX(0,NETWORKDAYS.INTL(MAX(E274,(Reprogramaciones!$T$15+7*(Reprogramaciones!Y$14-1))),MIN(F274,(Reprogramaciones!$T$15+7*(Reprogramaciones!Y$14-1))+6),11))))))))</f>
        <v/>
      </c>
      <c r="CI274" s="1" t="str">
        <f aca="false">IF(OR(NOT(AND(ISNUMBER(E274),ISNUMBER(F274))),$J$2=""),"",IF(Reprogramaciones!Z$13&lt;Reprogramaciones!$T$15,0,IF(Reprogramaciones!Z$14&gt;10,MIN(100,SUM($G274:$P274)),MIN(100,SUMPRODUCT((COLUMN($G274:$P274)-COLUMN($G274)+1&lt;Reprogramaciones!Z$14)*$G274:$P274)+N(INDEX($G274:$P274,1,Reprogramaciones!Z$14))*IF(Reprogramaciones!Z$13&gt;=(Reprogramaciones!$T$15+7*(Reprogramaciones!Z$14-1))+6,1,IF(MAX(0,NETWORKDAYS.INTL(MAX(E274,(Reprogramaciones!$T$15+7*(Reprogramaciones!Z$14-1))),MIN(F274,(Reprogramaciones!$T$15+7*(Reprogramaciones!Z$14-1))+6),11))=0,0,MAX(0,NETWORKDAYS.INTL(MAX(E274,(Reprogramaciones!$T$15+7*(Reprogramaciones!Z$14-1))),MIN(F274,Reprogramaciones!Z$13),11))/MAX(0,NETWORKDAYS.INTL(MAX(E274,(Reprogramaciones!$T$15+7*(Reprogramaciones!Z$14-1))),MIN(F274,(Reprogramaciones!$T$15+7*(Reprogramaciones!Z$14-1))+6),11))))))))</f>
        <v/>
      </c>
      <c r="CJ274" s="1" t="str">
        <f aca="false">IF(OR(OR(NOT(AND(ISNUMBER(E274),ISNUMBER(F274))),$J$2=""),1&gt;Reprogramaciones!$K$16),"",IF(ROUND(SUM($Q274:Q274),1)&gt;=99.5,100,MIN(100,ROUND(SUM($Q274:Q274),1))))</f>
        <v/>
      </c>
      <c r="CK274" s="1" t="str">
        <f aca="false">IF(OR(OR(NOT(AND(ISNUMBER(E274),ISNUMBER(F274))),$J$2=""),2&gt;Reprogramaciones!$K$16),"",IF(ROUND(SUM($Q274:R274),1)&gt;=99.5,100,MIN(100,ROUND(SUM($Q274:R274),1))))</f>
        <v/>
      </c>
      <c r="CL274" s="1" t="str">
        <f aca="false">IF(OR(OR(NOT(AND(ISNUMBER(E274),ISNUMBER(F274))),$J$2=""),3&gt;Reprogramaciones!$K$16),"",IF(ROUND(SUM($Q274:S274),1)&gt;=99.5,100,MIN(100,ROUND(SUM($Q274:S274),1))))</f>
        <v/>
      </c>
      <c r="CM274" s="1" t="str">
        <f aca="false">IF(OR(OR(NOT(AND(ISNUMBER(E274),ISNUMBER(F274))),$J$2=""),4&gt;Reprogramaciones!$K$16),"",IF(ROUND(SUM($Q274:T274),1)&gt;=99.5,100,MIN(100,ROUND(SUM($Q274:T274),1))))</f>
        <v/>
      </c>
      <c r="CN274" s="1" t="str">
        <f aca="false">IF(OR(OR(NOT(AND(ISNUMBER(E274),ISNUMBER(F274))),$J$2=""),5&gt;Reprogramaciones!$K$16),"",IF(ROUND(SUM($Q274:U274),1)&gt;=99.5,100,MIN(100,ROUND(SUM($Q274:U274),1))))</f>
        <v/>
      </c>
      <c r="CO274" s="1" t="str">
        <f aca="false">IF(OR(OR(NOT(AND(ISNUMBER(E274),ISNUMBER(F274))),$J$2=""),6&gt;Reprogramaciones!$K$16),"",IF(ROUND(SUM($Q274:V274),1)&gt;=99.5,100,MIN(100,ROUND(SUM($Q274:V274),1))))</f>
        <v/>
      </c>
      <c r="CP274" s="1" t="str">
        <f aca="false">IF(OR(OR(NOT(AND(ISNUMBER(E274),ISNUMBER(F274))),$J$2=""),7&gt;Reprogramaciones!$K$16),"",IF(ROUND(SUM($Q274:W274),1)&gt;=99.5,100,MIN(100,ROUND(SUM($Q274:W274),1))))</f>
        <v/>
      </c>
      <c r="CQ274" s="1" t="str">
        <f aca="false">IF(OR(OR(NOT(AND(ISNUMBER(E274),ISNUMBER(F274))),$J$2=""),8&gt;Reprogramaciones!$K$16),"",IF(ROUND(SUM($Q274:X274),1)&gt;=99.5,100,MIN(100,ROUND(SUM($Q274:X274),1))))</f>
        <v/>
      </c>
      <c r="CR274" s="1" t="str">
        <f aca="false">IF(OR(OR(NOT(AND(ISNUMBER(E274),ISNUMBER(F274))),$J$2=""),9&gt;Reprogramaciones!$K$16),"",IF(ROUND(SUM($Q274:Y274),1)&gt;=99.5,100,MIN(100,ROUND(SUM($Q274:Y274),1))))</f>
        <v/>
      </c>
      <c r="CS274" s="1" t="str">
        <f aca="false">IF(OR(OR(NOT(AND(ISNUMBER(E274),ISNUMBER(F274))),$J$2=""),10&gt;Reprogramaciones!$K$16),"",IF(ROUND(SUM($Q274:Z274),1)&gt;=99.5,100,MIN(100,ROUND(SUM($Q274:Z274),1))))</f>
        <v/>
      </c>
      <c r="CT274" s="1" t="str">
        <f aca="false">IF(OR(OR(NOT(AND(ISNUMBER(E274),ISNUMBER(F274))),$J$2=""),11&gt;Reprogramaciones!$K$16),"",IF(ROUND(SUM($Q274:AA274),1)&gt;=99.5,100,MIN(100,ROUND(SUM($Q274:AA274),1))))</f>
        <v/>
      </c>
      <c r="CU274" s="1" t="str">
        <f aca="false">IF(OR(OR(NOT(AND(ISNUMBER(E274),ISNUMBER(F274))),$J$2=""),12&gt;Reprogramaciones!$K$16),"",IF(ROUND(SUM($Q274:AB274),1)&gt;=99.5,100,MIN(100,ROUND(SUM($Q274:AB274),1))))</f>
        <v/>
      </c>
      <c r="CV274" s="1" t="str">
        <f aca="false">IF(OR(OR(NOT(AND(ISNUMBER(E274),ISNUMBER(F274))),$J$2=""),13&gt;Reprogramaciones!$K$16),"",IF(ROUND(SUM($Q274:AC274),1)&gt;=99.5,100,MIN(100,ROUND(SUM($Q274:AC274),1))))</f>
        <v/>
      </c>
      <c r="CW274" s="1" t="str">
        <f aca="false">IF(OR(OR(NOT(AND(ISNUMBER(E274),ISNUMBER(F274))),$J$2=""),14&gt;Reprogramaciones!$K$16),"",IF(ROUND(SUM($Q274:AD274),1)&gt;=99.5,100,MIN(100,ROUND(SUM($Q274:AD274),1))))</f>
        <v/>
      </c>
      <c r="CX274" s="1" t="str">
        <f aca="false">IF(OR(OR(NOT(AND(ISNUMBER(E274),ISNUMBER(F274))),$J$2=""),15&gt;Reprogramaciones!$K$16),"",IF(ROUND(SUM($Q274:AE274),1)&gt;=99.5,100,MIN(100,ROUND(SUM($Q274:AE274),1))))</f>
        <v/>
      </c>
      <c r="CY274" s="1" t="str">
        <f aca="false">IF(OR(OR(NOT(AND(ISNUMBER(E274),ISNUMBER(F274))),$J$2=""),16&gt;Reprogramaciones!$K$16),"",IF(ROUND(SUM($Q274:AF274),1)&gt;=99.5,100,MIN(100,ROUND(SUM($Q274:AF274),1))))</f>
        <v/>
      </c>
      <c r="CZ274" s="1" t="str">
        <f aca="false">IF(D274&lt;&gt;"",D274,IF(B274&lt;&gt;"","Contractual",CZ273))</f>
        <v>Contractual</v>
      </c>
      <c r="DA274" s="1" t="str">
        <f aca="false">IF(OR(NOT(AND(ISNUMBER(E274),ISNUMBER(F274))),$J$2=""),"",IF(Reprogramaciones!$Q$15&lt;Reprogramaciones!$T$15,0,IF(Reprogramaciones!$S$15&gt;10,MIN(100,SUM($G274:$P274)),MIN(100,SUMPRODUCT((COLUMN($G274:$P274)-COLUMN($G274)+1&lt;Reprogramaciones!$S$15)*$G274:$P274)+N(INDEX($G274:$P274,1,Reprogramaciones!$S$15))*IF(Reprogramaciones!$Q$15&gt;=(Reprogramaciones!$T$15+7*(Reprogramaciones!$S$15-1))+6,1,IF(MAX(0,NETWORKDAYS.INTL(MAX(E274,(Reprogramaciones!$T$15+7*(Reprogramaciones!$S$15-1))),MIN(F274,(Reprogramaciones!$T$15+7*(Reprogramaciones!$S$15-1))+6),11))=0,0,MAX(0,NETWORKDAYS.INTL(MAX(E274,(Reprogramaciones!$T$15+7*(Reprogramaciones!$S$15-1))),MIN(F274,Reprogramaciones!$Q$15),11))/MAX(0,NETWORKDAYS.INTL(MAX(E274,(Reprogramaciones!$T$15+7*(Reprogramaciones!$S$15-1))),MIN(F274,(Reprogramaciones!$T$15+7*(Reprogramaciones!$S$15-1))+6),11))))))))</f>
        <v/>
      </c>
    </row>
    <row r="275" customFormat="false" ht="15" hidden="false" customHeight="false" outlineLevel="0" collapsed="false">
      <c r="A275" s="32"/>
      <c r="B275" s="33"/>
      <c r="C275" s="33"/>
      <c r="D275" s="34"/>
      <c r="E275" s="35"/>
      <c r="F275" s="35"/>
      <c r="G275" s="36" t="str">
        <f aca="false">IF(OR(NOT(AND(ISNUMBER(E275),ISNUMBER(F275))),$J$2=""),"",IF(Reprogramaciones!K$9&lt;E275,0,IF(NETWORKDAYS.INTL(E275,F275,11)=0,IF(Reprogramaciones!K$9&gt;=F275,100,0),ROUND(NETWORKDAYS.INTL(E275,MIN(F275,Reprogramaciones!K$9),11)/NETWORKDAYS.INTL(E275,F275,11)*100,1)))-0)</f>
        <v/>
      </c>
      <c r="H275" s="36" t="str">
        <f aca="false">IF(OR(NOT(AND(ISNUMBER(E275),ISNUMBER(F275))),$J$2=""),"",IF(Reprogramaciones!L$9&lt;E275,0,IF(NETWORKDAYS.INTL(E275,F275,11)=0,IF(Reprogramaciones!L$9&gt;=F275,100,0),ROUND(NETWORKDAYS.INTL(E275,MIN(F275,Reprogramaciones!L$9),11)/NETWORKDAYS.INTL(E275,F275,11)*100,1)))-IF(Reprogramaciones!K$9&lt;E275,0,IF(NETWORKDAYS.INTL(E275,F275,11)=0,IF(Reprogramaciones!K$9&gt;=F275,100,0),ROUND(NETWORKDAYS.INTL(E275,MIN(F275,Reprogramaciones!K$9),11)/NETWORKDAYS.INTL(E275,F275,11)*100,1))))</f>
        <v/>
      </c>
      <c r="I275" s="36" t="str">
        <f aca="false">IF(OR(NOT(AND(ISNUMBER(E275),ISNUMBER(F275))),$J$2=""),"",IF(Reprogramaciones!M$9&lt;E275,0,IF(NETWORKDAYS.INTL(E275,F275,11)=0,IF(Reprogramaciones!M$9&gt;=F275,100,0),ROUND(NETWORKDAYS.INTL(E275,MIN(F275,Reprogramaciones!M$9),11)/NETWORKDAYS.INTL(E275,F275,11)*100,1)))-IF(Reprogramaciones!L$9&lt;E275,0,IF(NETWORKDAYS.INTL(E275,F275,11)=0,IF(Reprogramaciones!L$9&gt;=F275,100,0),ROUND(NETWORKDAYS.INTL(E275,MIN(F275,Reprogramaciones!L$9),11)/NETWORKDAYS.INTL(E275,F275,11)*100,1))))</f>
        <v/>
      </c>
      <c r="J275" s="36" t="str">
        <f aca="false">IF(OR(NOT(AND(ISNUMBER(E275),ISNUMBER(F275))),$J$2=""),"",IF(Reprogramaciones!N$9&lt;E275,0,IF(NETWORKDAYS.INTL(E275,F275,11)=0,IF(Reprogramaciones!N$9&gt;=F275,100,0),ROUND(NETWORKDAYS.INTL(E275,MIN(F275,Reprogramaciones!N$9),11)/NETWORKDAYS.INTL(E275,F275,11)*100,1)))-IF(Reprogramaciones!M$9&lt;E275,0,IF(NETWORKDAYS.INTL(E275,F275,11)=0,IF(Reprogramaciones!M$9&gt;=F275,100,0),ROUND(NETWORKDAYS.INTL(E275,MIN(F275,Reprogramaciones!M$9),11)/NETWORKDAYS.INTL(E275,F275,11)*100,1))))</f>
        <v/>
      </c>
      <c r="K275" s="36" t="str">
        <f aca="false">IF(OR(NOT(AND(ISNUMBER(E275),ISNUMBER(F275))),$J$2=""),"",IF(Reprogramaciones!O$9&lt;E275,0,IF(NETWORKDAYS.INTL(E275,F275,11)=0,IF(Reprogramaciones!O$9&gt;=F275,100,0),ROUND(NETWORKDAYS.INTL(E275,MIN(F275,Reprogramaciones!O$9),11)/NETWORKDAYS.INTL(E275,F275,11)*100,1)))-IF(Reprogramaciones!N$9&lt;E275,0,IF(NETWORKDAYS.INTL(E275,F275,11)=0,IF(Reprogramaciones!N$9&gt;=F275,100,0),ROUND(NETWORKDAYS.INTL(E275,MIN(F275,Reprogramaciones!N$9),11)/NETWORKDAYS.INTL(E275,F275,11)*100,1))))</f>
        <v/>
      </c>
      <c r="L275" s="36" t="str">
        <f aca="false">IF(OR(NOT(AND(ISNUMBER(E275),ISNUMBER(F275))),$J$2=""),"",IF(Reprogramaciones!P$9&lt;E275,0,IF(NETWORKDAYS.INTL(E275,F275,11)=0,IF(Reprogramaciones!P$9&gt;=F275,100,0),ROUND(NETWORKDAYS.INTL(E275,MIN(F275,Reprogramaciones!P$9),11)/NETWORKDAYS.INTL(E275,F275,11)*100,1)))-IF(Reprogramaciones!O$9&lt;E275,0,IF(NETWORKDAYS.INTL(E275,F275,11)=0,IF(Reprogramaciones!O$9&gt;=F275,100,0),ROUND(NETWORKDAYS.INTL(E275,MIN(F275,Reprogramaciones!O$9),11)/NETWORKDAYS.INTL(E275,F275,11)*100,1))))</f>
        <v/>
      </c>
      <c r="M275" s="36" t="str">
        <f aca="false">IF(OR(NOT(AND(ISNUMBER(E275),ISNUMBER(F275))),$J$2=""),"",IF(Reprogramaciones!Q$9&lt;E275,0,IF(NETWORKDAYS.INTL(E275,F275,11)=0,IF(Reprogramaciones!Q$9&gt;=F275,100,0),ROUND(NETWORKDAYS.INTL(E275,MIN(F275,Reprogramaciones!Q$9),11)/NETWORKDAYS.INTL(E275,F275,11)*100,1)))-IF(Reprogramaciones!P$9&lt;E275,0,IF(NETWORKDAYS.INTL(E275,F275,11)=0,IF(Reprogramaciones!P$9&gt;=F275,100,0),ROUND(NETWORKDAYS.INTL(E275,MIN(F275,Reprogramaciones!P$9),11)/NETWORKDAYS.INTL(E275,F275,11)*100,1))))</f>
        <v/>
      </c>
      <c r="N275" s="36" t="str">
        <f aca="false">IF(OR(NOT(AND(ISNUMBER(E275),ISNUMBER(F275))),$J$2=""),"",IF(Reprogramaciones!R$9&lt;E275,0,IF(NETWORKDAYS.INTL(E275,F275,11)=0,IF(Reprogramaciones!R$9&gt;=F275,100,0),ROUND(NETWORKDAYS.INTL(E275,MIN(F275,Reprogramaciones!R$9),11)/NETWORKDAYS.INTL(E275,F275,11)*100,1)))-IF(Reprogramaciones!Q$9&lt;E275,0,IF(NETWORKDAYS.INTL(E275,F275,11)=0,IF(Reprogramaciones!Q$9&gt;=F275,100,0),ROUND(NETWORKDAYS.INTL(E275,MIN(F275,Reprogramaciones!Q$9),11)/NETWORKDAYS.INTL(E275,F275,11)*100,1))))</f>
        <v/>
      </c>
      <c r="O275" s="36" t="str">
        <f aca="false">IF(OR(NOT(AND(ISNUMBER(E275),ISNUMBER(F275))),$J$2=""),"",IF(Reprogramaciones!S$9&lt;E275,0,IF(NETWORKDAYS.INTL(E275,F275,11)=0,IF(Reprogramaciones!S$9&gt;=F275,100,0),ROUND(NETWORKDAYS.INTL(E275,MIN(F275,Reprogramaciones!S$9),11)/NETWORKDAYS.INTL(E275,F275,11)*100,1)))-IF(Reprogramaciones!R$9&lt;E275,0,IF(NETWORKDAYS.INTL(E275,F275,11)=0,IF(Reprogramaciones!R$9&gt;=F275,100,0),ROUND(NETWORKDAYS.INTL(E275,MIN(F275,Reprogramaciones!R$9),11)/NETWORKDAYS.INTL(E275,F275,11)*100,1))))</f>
        <v/>
      </c>
      <c r="P275" s="36" t="str">
        <f aca="false">IF(OR(NOT(AND(ISNUMBER(E275),ISNUMBER(F275))),$J$2=""),"",IF(Reprogramaciones!T$9&lt;E275,0,IF(NETWORKDAYS.INTL(E275,F275,11)=0,IF(Reprogramaciones!T$9&gt;=F275,100,0),ROUND(NETWORKDAYS.INTL(E275,MIN(F275,Reprogramaciones!T$9),11)/NETWORKDAYS.INTL(E275,F275,11)*100,1)))-IF(Reprogramaciones!S$9&lt;E275,0,IF(NETWORKDAYS.INTL(E275,F275,11)=0,IF(Reprogramaciones!S$9&gt;=F275,100,0),ROUND(NETWORKDAYS.INTL(E275,MIN(F275,Reprogramaciones!S$9),11)/NETWORKDAYS.INTL(E275,F275,11)*100,1))))</f>
        <v/>
      </c>
      <c r="Q275" s="37"/>
      <c r="R275" s="37"/>
      <c r="S275" s="37"/>
      <c r="T275" s="37"/>
      <c r="U275" s="37"/>
      <c r="V275" s="37"/>
      <c r="W275" s="37"/>
      <c r="X275" s="37"/>
      <c r="Y275" s="37"/>
      <c r="Z275" s="37"/>
      <c r="AA275" s="37"/>
      <c r="AB275" s="37"/>
      <c r="AC275" s="37"/>
      <c r="AD275" s="37"/>
      <c r="AE275" s="37"/>
      <c r="AF275" s="37"/>
      <c r="AG275" s="38" t="str">
        <f aca="false">IF(AND(ISNUMBER(E275),ISNUMBER(F275)),NETWORKDAYS.INTL(E275,F275,11),"")</f>
        <v/>
      </c>
      <c r="AH275" s="38" t="str">
        <f aca="false">IF(OR(NOT(AND(ISNUMBER(E275),ISNUMBER(F275))),$J$2=""),"",IF(Reprogramaciones!$P$15&lt;Reprogramaciones!$T$15,0,IF(Reprogramaciones!$R$15&gt;10,MIN(100,SUM($G275:$P275)),MIN(100,SUMPRODUCT((COLUMN($G275:$P275)-COLUMN($G275)+1&lt;Reprogramaciones!$R$15)*$G275:$P275)+N(INDEX($G275:$P275,1,Reprogramaciones!$R$15))*IF(Reprogramaciones!$P$15&gt;=(Reprogramaciones!$T$15+7*(Reprogramaciones!$R$15-1))+6,1,IF(MAX(0,NETWORKDAYS.INTL(MAX(E275,(Reprogramaciones!$T$15+7*(Reprogramaciones!$R$15-1))),MIN(F275,(Reprogramaciones!$T$15+7*(Reprogramaciones!$R$15-1))+6),11))=0,0,MAX(0,NETWORKDAYS.INTL(MAX(E275,(Reprogramaciones!$T$15+7*(Reprogramaciones!$R$15-1))),MIN(F275,Reprogramaciones!$P$15),11))/MAX(0,NETWORKDAYS.INTL(MAX(E275,(Reprogramaciones!$T$15+7*(Reprogramaciones!$R$15-1))),MIN(F275,(Reprogramaciones!$T$15+7*(Reprogramaciones!$R$15-1))+6),11))))))))</f>
        <v/>
      </c>
      <c r="AI275" s="38" t="str">
        <f aca="false">IF(COUNT($Q275:$AF275)=0,"",IF(ROUND(SUM($Q275:$AF275),1)&gt;=99.5,100,MIN(100,ROUND(SUM($Q275:$AF275),1))))</f>
        <v/>
      </c>
      <c r="AJ275" s="38" t="str">
        <f aca="false">IF(OR(AH275="",AI275=""),"",AI275-AH275)</f>
        <v/>
      </c>
      <c r="AK275" s="39" t="str">
        <f aca="true">IF(AH275="","",IF(OR(Ficha!$C$10="Suspendida",Ficha!$C$10="Cancelada"),Ficha!$C$10,IF(AND(AI275&lt;&gt;"",N(AI275)&gt;=100),"Completada",IF(AND(E275&gt;TODAY(),N(AI275)=0),"Por iniciar",IF(N(AI275)+0.5&lt;AH275,"Retrasada",IF(N(AI275)+0.5&lt;DA275,IF(Reprogramaciones!$K$15&gt;0,"Al día · Sem "&amp;Reprogramaciones!$K$15&amp;" en curso","Al día · en curso"),"A tiempo"))))))</f>
        <v/>
      </c>
      <c r="AL275" s="39" t="str">
        <f aca="true">IF(AND(A275="",AND(B275="",C275="",E275="",F275="",COUNT(Q275:AF275)=0)),"",IF(AND(B275="",C275="",E275="",F275="",COUNT(Q275:AF275)=0),"Falta la partida o subpartida",IF(AND(A275&lt;&gt;"",COUNTIF($A$6:$A$305,A275)&gt;1),"Ítem repetido",IF(AND(C275="",E275="",F275="",COUNT(Q275:AF275)=0),"Título de partida",IF(OR(E275="",F275=""),"Faltan fechas",IF(OR(ISTEXT(E275),ISTEXT(F275)),"Fecha escrita como texto: usa dd/mm/aaaa",IF(F275&lt;E275,"Fin antes del inicio",IF(IF($J$2="",FALSE(),OR(E275&lt;$J$2,F275&gt;Reprogramaciones!$T$15+69)),"Fuera de las 10 semanas",IF(ABS(SUM(G275:P275)-100)&gt;0.5,"La meta no suma 100%",IF(ROUND(SUM(Q275:AF275),1)&gt;100.5,"El avance pasa de 100%",IF(MIN(Q275:AF275)&lt;0,"Avance negativo",IF(COUNTA(Q275:AF275)&gt;COUNT(Q275:AF275),"Avance escrito como texto",IF(SUMPRODUCT((Q275:AF275&gt;0)*(Q275:AF275&lt;1))&gt;0,"Avance menor a 1: escribe 50, no 50%",IF(SUMPRODUCT(ISNUMBER(Q275:AF275)*(Reprogramaciones!$K$8:$Z$8&gt;TODAY()))&gt;0,"Avance en semana que aún no llega",IF(AND(N(Reprogramaciones!$E$21)&gt;0,F275&gt;Reprogramaciones!$E$21),"Pasa el fin de la obra: registra una reprogramación",IF(AND(N(Reprogramaciones!$E$21)&gt;0,SUMPRODUCT(ISNUMBER(Q275:AF275)*(Reprogramaciones!$K$8:$Z$8&gt;Reprogramaciones!$E$21))&gt;0),"Avance después del fin de la obra: registra una reprogramación por atraso","OK"))))))))))))))))</f>
        <v/>
      </c>
      <c r="AM275" s="40" t="str">
        <f aca="false">IF(OR(OR(NOT(AND(ISNUMBER(E275),ISNUMBER(F275))),$J$2=""),1&gt;MAX(1,Reprogramaciones!$U$15)),"",IF(Reprogramaciones!K$12&gt;=7,"",IF(OR(BT275-N(0)&gt;0.05,N(Q275)&gt;0),ROUNDDOWN(ROUND(BT275,6),0)&amp;"%"&amp;IF(CJ275="",""," / "&amp;CJ275&amp;"%"),IF(AND(N(0)&gt;=99.95,CJ275&lt;&gt;"",N(CJ275)&lt;100),"Pend. "&amp;CJ275&amp;"%",""))))</f>
        <v/>
      </c>
      <c r="AN275" s="40" t="str">
        <f aca="false">IF(OR(OR(NOT(AND(ISNUMBER(E275),ISNUMBER(F275))),$J$2=""),2&gt;MAX(1,Reprogramaciones!$U$15)),"",IF(Reprogramaciones!L$12&gt;=7,"",IF(OR(BU275-N(BT275)&gt;0.05,N(R275)&gt;0),ROUNDDOWN(ROUND(BU275,6),0)&amp;"%"&amp;IF(CK275="",""," / "&amp;CK275&amp;"%"),IF(AND(N(BT275)&gt;=99.95,CK275&lt;&gt;"",N(CK275)&lt;100),"Pend. "&amp;CK275&amp;"%",""))))</f>
        <v/>
      </c>
      <c r="AO275" s="40" t="str">
        <f aca="false">IF(OR(OR(NOT(AND(ISNUMBER(E275),ISNUMBER(F275))),$J$2=""),3&gt;MAX(1,Reprogramaciones!$U$15)),"",IF(Reprogramaciones!M$12&gt;=7,"",IF(OR(BV275-N(BU275)&gt;0.05,N(S275)&gt;0),ROUNDDOWN(ROUND(BV275,6),0)&amp;"%"&amp;IF(CL275="",""," / "&amp;CL275&amp;"%"),IF(AND(N(BU275)&gt;=99.95,CL275&lt;&gt;"",N(CL275)&lt;100),"Pend. "&amp;CL275&amp;"%",""))))</f>
        <v/>
      </c>
      <c r="AP275" s="40" t="str">
        <f aca="false">IF(OR(OR(NOT(AND(ISNUMBER(E275),ISNUMBER(F275))),$J$2=""),4&gt;MAX(1,Reprogramaciones!$U$15)),"",IF(Reprogramaciones!N$12&gt;=7,"",IF(OR(BW275-N(BV275)&gt;0.05,N(T275)&gt;0),ROUNDDOWN(ROUND(BW275,6),0)&amp;"%"&amp;IF(CM275="",""," / "&amp;CM275&amp;"%"),IF(AND(N(BV275)&gt;=99.95,CM275&lt;&gt;"",N(CM275)&lt;100),"Pend. "&amp;CM275&amp;"%",""))))</f>
        <v/>
      </c>
      <c r="AQ275" s="40" t="str">
        <f aca="false">IF(OR(OR(NOT(AND(ISNUMBER(E275),ISNUMBER(F275))),$J$2=""),5&gt;MAX(1,Reprogramaciones!$U$15)),"",IF(Reprogramaciones!O$12&gt;=7,"",IF(OR(BX275-N(BW275)&gt;0.05,N(U275)&gt;0),ROUNDDOWN(ROUND(BX275,6),0)&amp;"%"&amp;IF(CN275="",""," / "&amp;CN275&amp;"%"),IF(AND(N(BW275)&gt;=99.95,CN275&lt;&gt;"",N(CN275)&lt;100),"Pend. "&amp;CN275&amp;"%",""))))</f>
        <v/>
      </c>
      <c r="AR275" s="40" t="str">
        <f aca="false">IF(OR(OR(NOT(AND(ISNUMBER(E275),ISNUMBER(F275))),$J$2=""),6&gt;MAX(1,Reprogramaciones!$U$15)),"",IF(Reprogramaciones!P$12&gt;=7,"",IF(OR(BY275-N(BX275)&gt;0.05,N(V275)&gt;0),ROUNDDOWN(ROUND(BY275,6),0)&amp;"%"&amp;IF(CO275="",""," / "&amp;CO275&amp;"%"),IF(AND(N(BX275)&gt;=99.95,CO275&lt;&gt;"",N(CO275)&lt;100),"Pend. "&amp;CO275&amp;"%",""))))</f>
        <v/>
      </c>
      <c r="AS275" s="40" t="str">
        <f aca="false">IF(OR(OR(NOT(AND(ISNUMBER(E275),ISNUMBER(F275))),$J$2=""),7&gt;MAX(1,Reprogramaciones!$U$15)),"",IF(Reprogramaciones!Q$12&gt;=7,"",IF(OR(BZ275-N(BY275)&gt;0.05,N(W275)&gt;0),ROUNDDOWN(ROUND(BZ275,6),0)&amp;"%"&amp;IF(CP275="",""," / "&amp;CP275&amp;"%"),IF(AND(N(BY275)&gt;=99.95,CP275&lt;&gt;"",N(CP275)&lt;100),"Pend. "&amp;CP275&amp;"%",""))))</f>
        <v/>
      </c>
      <c r="AT275" s="40" t="str">
        <f aca="false">IF(OR(OR(NOT(AND(ISNUMBER(E275),ISNUMBER(F275))),$J$2=""),8&gt;MAX(1,Reprogramaciones!$U$15)),"",IF(Reprogramaciones!R$12&gt;=7,"",IF(OR(CA275-N(BZ275)&gt;0.05,N(X275)&gt;0),ROUNDDOWN(ROUND(CA275,6),0)&amp;"%"&amp;IF(CQ275="",""," / "&amp;CQ275&amp;"%"),IF(AND(N(BZ275)&gt;=99.95,CQ275&lt;&gt;"",N(CQ275)&lt;100),"Pend. "&amp;CQ275&amp;"%",""))))</f>
        <v/>
      </c>
      <c r="AU275" s="40" t="str">
        <f aca="false">IF(OR(OR(NOT(AND(ISNUMBER(E275),ISNUMBER(F275))),$J$2=""),9&gt;MAX(1,Reprogramaciones!$U$15)),"",IF(Reprogramaciones!S$12&gt;=7,"",IF(OR(CB275-N(CA275)&gt;0.05,N(Y275)&gt;0),ROUNDDOWN(ROUND(CB275,6),0)&amp;"%"&amp;IF(CR275="",""," / "&amp;CR275&amp;"%"),IF(AND(N(CA275)&gt;=99.95,CR275&lt;&gt;"",N(CR275)&lt;100),"Pend. "&amp;CR275&amp;"%",""))))</f>
        <v/>
      </c>
      <c r="AV275" s="40" t="str">
        <f aca="false">IF(OR(OR(NOT(AND(ISNUMBER(E275),ISNUMBER(F275))),$J$2=""),10&gt;MAX(1,Reprogramaciones!$U$15)),"",IF(Reprogramaciones!T$12&gt;=7,"",IF(OR(CC275-N(CB275)&gt;0.05,N(Z275)&gt;0),ROUNDDOWN(ROUND(CC275,6),0)&amp;"%"&amp;IF(CS275="",""," / "&amp;CS275&amp;"%"),IF(AND(N(CB275)&gt;=99.95,CS275&lt;&gt;"",N(CS275)&lt;100),"Pend. "&amp;CS275&amp;"%",""))))</f>
        <v/>
      </c>
      <c r="AW275" s="40" t="str">
        <f aca="false">IF(OR(OR(NOT(AND(ISNUMBER(E275),ISNUMBER(F275))),$J$2=""),11&gt;MAX(1,Reprogramaciones!$U$15)),"",IF(Reprogramaciones!U$12&gt;=7,"",IF(OR(CD275-N(CC275)&gt;0.05,N(AA275)&gt;0),ROUNDDOWN(ROUND(CD275,6),0)&amp;"%"&amp;IF(CT275="",""," / "&amp;CT275&amp;"%"),IF(AND(N(CC275)&gt;=99.95,CT275&lt;&gt;"",N(CT275)&lt;100),"Pend. "&amp;CT275&amp;"%",""))))</f>
        <v/>
      </c>
      <c r="AX275" s="40" t="str">
        <f aca="false">IF(OR(OR(NOT(AND(ISNUMBER(E275),ISNUMBER(F275))),$J$2=""),12&gt;MAX(1,Reprogramaciones!$U$15)),"",IF(Reprogramaciones!V$12&gt;=7,"",IF(OR(CE275-N(CD275)&gt;0.05,N(AB275)&gt;0),ROUNDDOWN(ROUND(CE275,6),0)&amp;"%"&amp;IF(CU275="",""," / "&amp;CU275&amp;"%"),IF(AND(N(CD275)&gt;=99.95,CU275&lt;&gt;"",N(CU275)&lt;100),"Pend. "&amp;CU275&amp;"%",""))))</f>
        <v/>
      </c>
      <c r="AY275" s="40" t="str">
        <f aca="false">IF(OR(OR(NOT(AND(ISNUMBER(E275),ISNUMBER(F275))),$J$2=""),13&gt;MAX(1,Reprogramaciones!$U$15)),"",IF(Reprogramaciones!W$12&gt;=7,"",IF(OR(CF275-N(CE275)&gt;0.05,N(AC275)&gt;0),ROUNDDOWN(ROUND(CF275,6),0)&amp;"%"&amp;IF(CV275="",""," / "&amp;CV275&amp;"%"),IF(AND(N(CE275)&gt;=99.95,CV275&lt;&gt;"",N(CV275)&lt;100),"Pend. "&amp;CV275&amp;"%",""))))</f>
        <v/>
      </c>
      <c r="AZ275" s="40" t="str">
        <f aca="false">IF(OR(OR(NOT(AND(ISNUMBER(E275),ISNUMBER(F275))),$J$2=""),14&gt;MAX(1,Reprogramaciones!$U$15)),"",IF(Reprogramaciones!X$12&gt;=7,"",IF(OR(CG275-N(CF275)&gt;0.05,N(AD275)&gt;0),ROUNDDOWN(ROUND(CG275,6),0)&amp;"%"&amp;IF(CW275="",""," / "&amp;CW275&amp;"%"),IF(AND(N(CF275)&gt;=99.95,CW275&lt;&gt;"",N(CW275)&lt;100),"Pend. "&amp;CW275&amp;"%",""))))</f>
        <v/>
      </c>
      <c r="BA275" s="40" t="str">
        <f aca="false">IF(OR(OR(NOT(AND(ISNUMBER(E275),ISNUMBER(F275))),$J$2=""),15&gt;MAX(1,Reprogramaciones!$U$15)),"",IF(Reprogramaciones!Y$12&gt;=7,"",IF(OR(CH275-N(CG275)&gt;0.05,N(AE275)&gt;0),ROUNDDOWN(ROUND(CH275,6),0)&amp;"%"&amp;IF(CX275="",""," / "&amp;CX275&amp;"%"),IF(AND(N(CG275)&gt;=99.95,CX275&lt;&gt;"",N(CX275)&lt;100),"Pend. "&amp;CX275&amp;"%",""))))</f>
        <v/>
      </c>
      <c r="BB275" s="40" t="str">
        <f aca="false">IF(OR(OR(NOT(AND(ISNUMBER(E275),ISNUMBER(F275))),$J$2=""),16&gt;MAX(1,Reprogramaciones!$U$15)),"",IF(Reprogramaciones!Z$12&gt;=7,"",IF(OR(CI275-N(CH275)&gt;0.05,N(AF275)&gt;0),ROUNDDOWN(ROUND(CI275,6),0)&amp;"%"&amp;IF(CY275="",""," / "&amp;CY275&amp;"%"),IF(AND(N(CH275)&gt;=99.95,CY275&lt;&gt;"",N(CY275)&lt;100),"Pend. "&amp;CY275&amp;"%",""))))</f>
        <v/>
      </c>
      <c r="BC275" s="31" t="n">
        <f aca="false">IF(AND(ISNUMBER(E275),ISNUMBER(F275)),MAX(1,NETWORKDAYS.INTL(E275,F275,11)),0)</f>
        <v>0</v>
      </c>
      <c r="BD275" s="1" t="str">
        <f aca="false">IF(OR(NOT(AND(ISNUMBER(E275),ISNUMBER(F275))),$J$2=""),"",MIN(100,ROUND(SUM($G275:G275),1)))</f>
        <v/>
      </c>
      <c r="BE275" s="1" t="str">
        <f aca="false">IF(OR(NOT(AND(ISNUMBER(E275),ISNUMBER(F275))),$J$2=""),"",MIN(100,ROUND(SUM($G275:H275),1)))</f>
        <v/>
      </c>
      <c r="BF275" s="1" t="str">
        <f aca="false">IF(OR(NOT(AND(ISNUMBER(E275),ISNUMBER(F275))),$J$2=""),"",MIN(100,ROUND(SUM($G275:I275),1)))</f>
        <v/>
      </c>
      <c r="BG275" s="1" t="str">
        <f aca="false">IF(OR(NOT(AND(ISNUMBER(E275),ISNUMBER(F275))),$J$2=""),"",MIN(100,ROUND(SUM($G275:J275),1)))</f>
        <v/>
      </c>
      <c r="BH275" s="1" t="str">
        <f aca="false">IF(OR(NOT(AND(ISNUMBER(E275),ISNUMBER(F275))),$J$2=""),"",MIN(100,ROUND(SUM($G275:K275),1)))</f>
        <v/>
      </c>
      <c r="BI275" s="1" t="str">
        <f aca="false">IF(OR(NOT(AND(ISNUMBER(E275),ISNUMBER(F275))),$J$2=""),"",MIN(100,ROUND(SUM($G275:L275),1)))</f>
        <v/>
      </c>
      <c r="BJ275" s="1" t="str">
        <f aca="false">IF(OR(NOT(AND(ISNUMBER(E275),ISNUMBER(F275))),$J$2=""),"",MIN(100,ROUND(SUM($G275:M275),1)))</f>
        <v/>
      </c>
      <c r="BK275" s="1" t="str">
        <f aca="false">IF(OR(NOT(AND(ISNUMBER(E275),ISNUMBER(F275))),$J$2=""),"",MIN(100,ROUND(SUM($G275:N275),1)))</f>
        <v/>
      </c>
      <c r="BL275" s="1" t="str">
        <f aca="false">IF(OR(NOT(AND(ISNUMBER(E275),ISNUMBER(F275))),$J$2=""),"",MIN(100,ROUND(SUM($G275:O275),1)))</f>
        <v/>
      </c>
      <c r="BM275" s="1" t="str">
        <f aca="false">IF(OR(NOT(AND(ISNUMBER(E275),ISNUMBER(F275))),$J$2=""),"",MIN(100,ROUND(SUM($G275:P275),1)))</f>
        <v/>
      </c>
      <c r="BN275" s="1" t="str">
        <f aca="false">IF(OR(NOT(AND(ISNUMBER(E275),ISNUMBER(F275))),$J$2=""),"",MIN(100,ROUND(SUM($G275:P275),1)))</f>
        <v/>
      </c>
      <c r="BO275" s="1" t="str">
        <f aca="false">IF(OR(NOT(AND(ISNUMBER(E275),ISNUMBER(F275))),$J$2=""),"",MIN(100,ROUND(SUM($G275:P275),1)))</f>
        <v/>
      </c>
      <c r="BP275" s="1" t="str">
        <f aca="false">IF(OR(NOT(AND(ISNUMBER(E275),ISNUMBER(F275))),$J$2=""),"",MIN(100,ROUND(SUM($G275:P275),1)))</f>
        <v/>
      </c>
      <c r="BQ275" s="1" t="str">
        <f aca="false">IF(OR(NOT(AND(ISNUMBER(E275),ISNUMBER(F275))),$J$2=""),"",MIN(100,ROUND(SUM($G275:P275),1)))</f>
        <v/>
      </c>
      <c r="BR275" s="1" t="str">
        <f aca="false">IF(OR(NOT(AND(ISNUMBER(E275),ISNUMBER(F275))),$J$2=""),"",MIN(100,ROUND(SUM($G275:P275),1)))</f>
        <v/>
      </c>
      <c r="BS275" s="1" t="str">
        <f aca="false">IF(OR(NOT(AND(ISNUMBER(E275),ISNUMBER(F275))),$J$2=""),"",MIN(100,ROUND(SUM($G275:P275),1)))</f>
        <v/>
      </c>
      <c r="BT275" s="1" t="str">
        <f aca="false">IF(OR(NOT(AND(ISNUMBER(E275),ISNUMBER(F275))),$J$2=""),"",IF(Reprogramaciones!K$13&lt;Reprogramaciones!$T$15,0,IF(Reprogramaciones!K$14&gt;10,MIN(100,SUM($G275:$P275)),MIN(100,SUMPRODUCT((COLUMN($G275:$P275)-COLUMN($G275)+1&lt;Reprogramaciones!K$14)*$G275:$P275)+N(INDEX($G275:$P275,1,Reprogramaciones!K$14))*IF(Reprogramaciones!K$13&gt;=(Reprogramaciones!$T$15+7*(Reprogramaciones!K$14-1))+6,1,IF(MAX(0,NETWORKDAYS.INTL(MAX(E275,(Reprogramaciones!$T$15+7*(Reprogramaciones!K$14-1))),MIN(F275,(Reprogramaciones!$T$15+7*(Reprogramaciones!K$14-1))+6),11))=0,0,MAX(0,NETWORKDAYS.INTL(MAX(E275,(Reprogramaciones!$T$15+7*(Reprogramaciones!K$14-1))),MIN(F275,Reprogramaciones!K$13),11))/MAX(0,NETWORKDAYS.INTL(MAX(E275,(Reprogramaciones!$T$15+7*(Reprogramaciones!K$14-1))),MIN(F275,(Reprogramaciones!$T$15+7*(Reprogramaciones!K$14-1))+6),11))))))))</f>
        <v/>
      </c>
      <c r="BU275" s="1" t="str">
        <f aca="false">IF(OR(NOT(AND(ISNUMBER(E275),ISNUMBER(F275))),$J$2=""),"",IF(Reprogramaciones!L$13&lt;Reprogramaciones!$T$15,0,IF(Reprogramaciones!L$14&gt;10,MIN(100,SUM($G275:$P275)),MIN(100,SUMPRODUCT((COLUMN($G275:$P275)-COLUMN($G275)+1&lt;Reprogramaciones!L$14)*$G275:$P275)+N(INDEX($G275:$P275,1,Reprogramaciones!L$14))*IF(Reprogramaciones!L$13&gt;=(Reprogramaciones!$T$15+7*(Reprogramaciones!L$14-1))+6,1,IF(MAX(0,NETWORKDAYS.INTL(MAX(E275,(Reprogramaciones!$T$15+7*(Reprogramaciones!L$14-1))),MIN(F275,(Reprogramaciones!$T$15+7*(Reprogramaciones!L$14-1))+6),11))=0,0,MAX(0,NETWORKDAYS.INTL(MAX(E275,(Reprogramaciones!$T$15+7*(Reprogramaciones!L$14-1))),MIN(F275,Reprogramaciones!L$13),11))/MAX(0,NETWORKDAYS.INTL(MAX(E275,(Reprogramaciones!$T$15+7*(Reprogramaciones!L$14-1))),MIN(F275,(Reprogramaciones!$T$15+7*(Reprogramaciones!L$14-1))+6),11))))))))</f>
        <v/>
      </c>
      <c r="BV275" s="1" t="str">
        <f aca="false">IF(OR(NOT(AND(ISNUMBER(E275),ISNUMBER(F275))),$J$2=""),"",IF(Reprogramaciones!M$13&lt;Reprogramaciones!$T$15,0,IF(Reprogramaciones!M$14&gt;10,MIN(100,SUM($G275:$P275)),MIN(100,SUMPRODUCT((COLUMN($G275:$P275)-COLUMN($G275)+1&lt;Reprogramaciones!M$14)*$G275:$P275)+N(INDEX($G275:$P275,1,Reprogramaciones!M$14))*IF(Reprogramaciones!M$13&gt;=(Reprogramaciones!$T$15+7*(Reprogramaciones!M$14-1))+6,1,IF(MAX(0,NETWORKDAYS.INTL(MAX(E275,(Reprogramaciones!$T$15+7*(Reprogramaciones!M$14-1))),MIN(F275,(Reprogramaciones!$T$15+7*(Reprogramaciones!M$14-1))+6),11))=0,0,MAX(0,NETWORKDAYS.INTL(MAX(E275,(Reprogramaciones!$T$15+7*(Reprogramaciones!M$14-1))),MIN(F275,Reprogramaciones!M$13),11))/MAX(0,NETWORKDAYS.INTL(MAX(E275,(Reprogramaciones!$T$15+7*(Reprogramaciones!M$14-1))),MIN(F275,(Reprogramaciones!$T$15+7*(Reprogramaciones!M$14-1))+6),11))))))))</f>
        <v/>
      </c>
      <c r="BW275" s="1" t="str">
        <f aca="false">IF(OR(NOT(AND(ISNUMBER(E275),ISNUMBER(F275))),$J$2=""),"",IF(Reprogramaciones!N$13&lt;Reprogramaciones!$T$15,0,IF(Reprogramaciones!N$14&gt;10,MIN(100,SUM($G275:$P275)),MIN(100,SUMPRODUCT((COLUMN($G275:$P275)-COLUMN($G275)+1&lt;Reprogramaciones!N$14)*$G275:$P275)+N(INDEX($G275:$P275,1,Reprogramaciones!N$14))*IF(Reprogramaciones!N$13&gt;=(Reprogramaciones!$T$15+7*(Reprogramaciones!N$14-1))+6,1,IF(MAX(0,NETWORKDAYS.INTL(MAX(E275,(Reprogramaciones!$T$15+7*(Reprogramaciones!N$14-1))),MIN(F275,(Reprogramaciones!$T$15+7*(Reprogramaciones!N$14-1))+6),11))=0,0,MAX(0,NETWORKDAYS.INTL(MAX(E275,(Reprogramaciones!$T$15+7*(Reprogramaciones!N$14-1))),MIN(F275,Reprogramaciones!N$13),11))/MAX(0,NETWORKDAYS.INTL(MAX(E275,(Reprogramaciones!$T$15+7*(Reprogramaciones!N$14-1))),MIN(F275,(Reprogramaciones!$T$15+7*(Reprogramaciones!N$14-1))+6),11))))))))</f>
        <v/>
      </c>
      <c r="BX275" s="1" t="str">
        <f aca="false">IF(OR(NOT(AND(ISNUMBER(E275),ISNUMBER(F275))),$J$2=""),"",IF(Reprogramaciones!O$13&lt;Reprogramaciones!$T$15,0,IF(Reprogramaciones!O$14&gt;10,MIN(100,SUM($G275:$P275)),MIN(100,SUMPRODUCT((COLUMN($G275:$P275)-COLUMN($G275)+1&lt;Reprogramaciones!O$14)*$G275:$P275)+N(INDEX($G275:$P275,1,Reprogramaciones!O$14))*IF(Reprogramaciones!O$13&gt;=(Reprogramaciones!$T$15+7*(Reprogramaciones!O$14-1))+6,1,IF(MAX(0,NETWORKDAYS.INTL(MAX(E275,(Reprogramaciones!$T$15+7*(Reprogramaciones!O$14-1))),MIN(F275,(Reprogramaciones!$T$15+7*(Reprogramaciones!O$14-1))+6),11))=0,0,MAX(0,NETWORKDAYS.INTL(MAX(E275,(Reprogramaciones!$T$15+7*(Reprogramaciones!O$14-1))),MIN(F275,Reprogramaciones!O$13),11))/MAX(0,NETWORKDAYS.INTL(MAX(E275,(Reprogramaciones!$T$15+7*(Reprogramaciones!O$14-1))),MIN(F275,(Reprogramaciones!$T$15+7*(Reprogramaciones!O$14-1))+6),11))))))))</f>
        <v/>
      </c>
      <c r="BY275" s="1" t="str">
        <f aca="false">IF(OR(NOT(AND(ISNUMBER(E275),ISNUMBER(F275))),$J$2=""),"",IF(Reprogramaciones!P$13&lt;Reprogramaciones!$T$15,0,IF(Reprogramaciones!P$14&gt;10,MIN(100,SUM($G275:$P275)),MIN(100,SUMPRODUCT((COLUMN($G275:$P275)-COLUMN($G275)+1&lt;Reprogramaciones!P$14)*$G275:$P275)+N(INDEX($G275:$P275,1,Reprogramaciones!P$14))*IF(Reprogramaciones!P$13&gt;=(Reprogramaciones!$T$15+7*(Reprogramaciones!P$14-1))+6,1,IF(MAX(0,NETWORKDAYS.INTL(MAX(E275,(Reprogramaciones!$T$15+7*(Reprogramaciones!P$14-1))),MIN(F275,(Reprogramaciones!$T$15+7*(Reprogramaciones!P$14-1))+6),11))=0,0,MAX(0,NETWORKDAYS.INTL(MAX(E275,(Reprogramaciones!$T$15+7*(Reprogramaciones!P$14-1))),MIN(F275,Reprogramaciones!P$13),11))/MAX(0,NETWORKDAYS.INTL(MAX(E275,(Reprogramaciones!$T$15+7*(Reprogramaciones!P$14-1))),MIN(F275,(Reprogramaciones!$T$15+7*(Reprogramaciones!P$14-1))+6),11))))))))</f>
        <v/>
      </c>
      <c r="BZ275" s="1" t="str">
        <f aca="false">IF(OR(NOT(AND(ISNUMBER(E275),ISNUMBER(F275))),$J$2=""),"",IF(Reprogramaciones!Q$13&lt;Reprogramaciones!$T$15,0,IF(Reprogramaciones!Q$14&gt;10,MIN(100,SUM($G275:$P275)),MIN(100,SUMPRODUCT((COLUMN($G275:$P275)-COLUMN($G275)+1&lt;Reprogramaciones!Q$14)*$G275:$P275)+N(INDEX($G275:$P275,1,Reprogramaciones!Q$14))*IF(Reprogramaciones!Q$13&gt;=(Reprogramaciones!$T$15+7*(Reprogramaciones!Q$14-1))+6,1,IF(MAX(0,NETWORKDAYS.INTL(MAX(E275,(Reprogramaciones!$T$15+7*(Reprogramaciones!Q$14-1))),MIN(F275,(Reprogramaciones!$T$15+7*(Reprogramaciones!Q$14-1))+6),11))=0,0,MAX(0,NETWORKDAYS.INTL(MAX(E275,(Reprogramaciones!$T$15+7*(Reprogramaciones!Q$14-1))),MIN(F275,Reprogramaciones!Q$13),11))/MAX(0,NETWORKDAYS.INTL(MAX(E275,(Reprogramaciones!$T$15+7*(Reprogramaciones!Q$14-1))),MIN(F275,(Reprogramaciones!$T$15+7*(Reprogramaciones!Q$14-1))+6),11))))))))</f>
        <v/>
      </c>
      <c r="CA275" s="1" t="str">
        <f aca="false">IF(OR(NOT(AND(ISNUMBER(E275),ISNUMBER(F275))),$J$2=""),"",IF(Reprogramaciones!R$13&lt;Reprogramaciones!$T$15,0,IF(Reprogramaciones!R$14&gt;10,MIN(100,SUM($G275:$P275)),MIN(100,SUMPRODUCT((COLUMN($G275:$P275)-COLUMN($G275)+1&lt;Reprogramaciones!R$14)*$G275:$P275)+N(INDEX($G275:$P275,1,Reprogramaciones!R$14))*IF(Reprogramaciones!R$13&gt;=(Reprogramaciones!$T$15+7*(Reprogramaciones!R$14-1))+6,1,IF(MAX(0,NETWORKDAYS.INTL(MAX(E275,(Reprogramaciones!$T$15+7*(Reprogramaciones!R$14-1))),MIN(F275,(Reprogramaciones!$T$15+7*(Reprogramaciones!R$14-1))+6),11))=0,0,MAX(0,NETWORKDAYS.INTL(MAX(E275,(Reprogramaciones!$T$15+7*(Reprogramaciones!R$14-1))),MIN(F275,Reprogramaciones!R$13),11))/MAX(0,NETWORKDAYS.INTL(MAX(E275,(Reprogramaciones!$T$15+7*(Reprogramaciones!R$14-1))),MIN(F275,(Reprogramaciones!$T$15+7*(Reprogramaciones!R$14-1))+6),11))))))))</f>
        <v/>
      </c>
      <c r="CB275" s="1" t="str">
        <f aca="false">IF(OR(NOT(AND(ISNUMBER(E275),ISNUMBER(F275))),$J$2=""),"",IF(Reprogramaciones!S$13&lt;Reprogramaciones!$T$15,0,IF(Reprogramaciones!S$14&gt;10,MIN(100,SUM($G275:$P275)),MIN(100,SUMPRODUCT((COLUMN($G275:$P275)-COLUMN($G275)+1&lt;Reprogramaciones!S$14)*$G275:$P275)+N(INDEX($G275:$P275,1,Reprogramaciones!S$14))*IF(Reprogramaciones!S$13&gt;=(Reprogramaciones!$T$15+7*(Reprogramaciones!S$14-1))+6,1,IF(MAX(0,NETWORKDAYS.INTL(MAX(E275,(Reprogramaciones!$T$15+7*(Reprogramaciones!S$14-1))),MIN(F275,(Reprogramaciones!$T$15+7*(Reprogramaciones!S$14-1))+6),11))=0,0,MAX(0,NETWORKDAYS.INTL(MAX(E275,(Reprogramaciones!$T$15+7*(Reprogramaciones!S$14-1))),MIN(F275,Reprogramaciones!S$13),11))/MAX(0,NETWORKDAYS.INTL(MAX(E275,(Reprogramaciones!$T$15+7*(Reprogramaciones!S$14-1))),MIN(F275,(Reprogramaciones!$T$15+7*(Reprogramaciones!S$14-1))+6),11))))))))</f>
        <v/>
      </c>
      <c r="CC275" s="1" t="str">
        <f aca="false">IF(OR(NOT(AND(ISNUMBER(E275),ISNUMBER(F275))),$J$2=""),"",IF(Reprogramaciones!T$13&lt;Reprogramaciones!$T$15,0,IF(Reprogramaciones!T$14&gt;10,MIN(100,SUM($G275:$P275)),MIN(100,SUMPRODUCT((COLUMN($G275:$P275)-COLUMN($G275)+1&lt;Reprogramaciones!T$14)*$G275:$P275)+N(INDEX($G275:$P275,1,Reprogramaciones!T$14))*IF(Reprogramaciones!T$13&gt;=(Reprogramaciones!$T$15+7*(Reprogramaciones!T$14-1))+6,1,IF(MAX(0,NETWORKDAYS.INTL(MAX(E275,(Reprogramaciones!$T$15+7*(Reprogramaciones!T$14-1))),MIN(F275,(Reprogramaciones!$T$15+7*(Reprogramaciones!T$14-1))+6),11))=0,0,MAX(0,NETWORKDAYS.INTL(MAX(E275,(Reprogramaciones!$T$15+7*(Reprogramaciones!T$14-1))),MIN(F275,Reprogramaciones!T$13),11))/MAX(0,NETWORKDAYS.INTL(MAX(E275,(Reprogramaciones!$T$15+7*(Reprogramaciones!T$14-1))),MIN(F275,(Reprogramaciones!$T$15+7*(Reprogramaciones!T$14-1))+6),11))))))))</f>
        <v/>
      </c>
      <c r="CD275" s="1" t="str">
        <f aca="false">IF(OR(NOT(AND(ISNUMBER(E275),ISNUMBER(F275))),$J$2=""),"",IF(Reprogramaciones!U$13&lt;Reprogramaciones!$T$15,0,IF(Reprogramaciones!U$14&gt;10,MIN(100,SUM($G275:$P275)),MIN(100,SUMPRODUCT((COLUMN($G275:$P275)-COLUMN($G275)+1&lt;Reprogramaciones!U$14)*$G275:$P275)+N(INDEX($G275:$P275,1,Reprogramaciones!U$14))*IF(Reprogramaciones!U$13&gt;=(Reprogramaciones!$T$15+7*(Reprogramaciones!U$14-1))+6,1,IF(MAX(0,NETWORKDAYS.INTL(MAX(E275,(Reprogramaciones!$T$15+7*(Reprogramaciones!U$14-1))),MIN(F275,(Reprogramaciones!$T$15+7*(Reprogramaciones!U$14-1))+6),11))=0,0,MAX(0,NETWORKDAYS.INTL(MAX(E275,(Reprogramaciones!$T$15+7*(Reprogramaciones!U$14-1))),MIN(F275,Reprogramaciones!U$13),11))/MAX(0,NETWORKDAYS.INTL(MAX(E275,(Reprogramaciones!$T$15+7*(Reprogramaciones!U$14-1))),MIN(F275,(Reprogramaciones!$T$15+7*(Reprogramaciones!U$14-1))+6),11))))))))</f>
        <v/>
      </c>
      <c r="CE275" s="1" t="str">
        <f aca="false">IF(OR(NOT(AND(ISNUMBER(E275),ISNUMBER(F275))),$J$2=""),"",IF(Reprogramaciones!V$13&lt;Reprogramaciones!$T$15,0,IF(Reprogramaciones!V$14&gt;10,MIN(100,SUM($G275:$P275)),MIN(100,SUMPRODUCT((COLUMN($G275:$P275)-COLUMN($G275)+1&lt;Reprogramaciones!V$14)*$G275:$P275)+N(INDEX($G275:$P275,1,Reprogramaciones!V$14))*IF(Reprogramaciones!V$13&gt;=(Reprogramaciones!$T$15+7*(Reprogramaciones!V$14-1))+6,1,IF(MAX(0,NETWORKDAYS.INTL(MAX(E275,(Reprogramaciones!$T$15+7*(Reprogramaciones!V$14-1))),MIN(F275,(Reprogramaciones!$T$15+7*(Reprogramaciones!V$14-1))+6),11))=0,0,MAX(0,NETWORKDAYS.INTL(MAX(E275,(Reprogramaciones!$T$15+7*(Reprogramaciones!V$14-1))),MIN(F275,Reprogramaciones!V$13),11))/MAX(0,NETWORKDAYS.INTL(MAX(E275,(Reprogramaciones!$T$15+7*(Reprogramaciones!V$14-1))),MIN(F275,(Reprogramaciones!$T$15+7*(Reprogramaciones!V$14-1))+6),11))))))))</f>
        <v/>
      </c>
      <c r="CF275" s="1" t="str">
        <f aca="false">IF(OR(NOT(AND(ISNUMBER(E275),ISNUMBER(F275))),$J$2=""),"",IF(Reprogramaciones!W$13&lt;Reprogramaciones!$T$15,0,IF(Reprogramaciones!W$14&gt;10,MIN(100,SUM($G275:$P275)),MIN(100,SUMPRODUCT((COLUMN($G275:$P275)-COLUMN($G275)+1&lt;Reprogramaciones!W$14)*$G275:$P275)+N(INDEX($G275:$P275,1,Reprogramaciones!W$14))*IF(Reprogramaciones!W$13&gt;=(Reprogramaciones!$T$15+7*(Reprogramaciones!W$14-1))+6,1,IF(MAX(0,NETWORKDAYS.INTL(MAX(E275,(Reprogramaciones!$T$15+7*(Reprogramaciones!W$14-1))),MIN(F275,(Reprogramaciones!$T$15+7*(Reprogramaciones!W$14-1))+6),11))=0,0,MAX(0,NETWORKDAYS.INTL(MAX(E275,(Reprogramaciones!$T$15+7*(Reprogramaciones!W$14-1))),MIN(F275,Reprogramaciones!W$13),11))/MAX(0,NETWORKDAYS.INTL(MAX(E275,(Reprogramaciones!$T$15+7*(Reprogramaciones!W$14-1))),MIN(F275,(Reprogramaciones!$T$15+7*(Reprogramaciones!W$14-1))+6),11))))))))</f>
        <v/>
      </c>
      <c r="CG275" s="1" t="str">
        <f aca="false">IF(OR(NOT(AND(ISNUMBER(E275),ISNUMBER(F275))),$J$2=""),"",IF(Reprogramaciones!X$13&lt;Reprogramaciones!$T$15,0,IF(Reprogramaciones!X$14&gt;10,MIN(100,SUM($G275:$P275)),MIN(100,SUMPRODUCT((COLUMN($G275:$P275)-COLUMN($G275)+1&lt;Reprogramaciones!X$14)*$G275:$P275)+N(INDEX($G275:$P275,1,Reprogramaciones!X$14))*IF(Reprogramaciones!X$13&gt;=(Reprogramaciones!$T$15+7*(Reprogramaciones!X$14-1))+6,1,IF(MAX(0,NETWORKDAYS.INTL(MAX(E275,(Reprogramaciones!$T$15+7*(Reprogramaciones!X$14-1))),MIN(F275,(Reprogramaciones!$T$15+7*(Reprogramaciones!X$14-1))+6),11))=0,0,MAX(0,NETWORKDAYS.INTL(MAX(E275,(Reprogramaciones!$T$15+7*(Reprogramaciones!X$14-1))),MIN(F275,Reprogramaciones!X$13),11))/MAX(0,NETWORKDAYS.INTL(MAX(E275,(Reprogramaciones!$T$15+7*(Reprogramaciones!X$14-1))),MIN(F275,(Reprogramaciones!$T$15+7*(Reprogramaciones!X$14-1))+6),11))))))))</f>
        <v/>
      </c>
      <c r="CH275" s="1" t="str">
        <f aca="false">IF(OR(NOT(AND(ISNUMBER(E275),ISNUMBER(F275))),$J$2=""),"",IF(Reprogramaciones!Y$13&lt;Reprogramaciones!$T$15,0,IF(Reprogramaciones!Y$14&gt;10,MIN(100,SUM($G275:$P275)),MIN(100,SUMPRODUCT((COLUMN($G275:$P275)-COLUMN($G275)+1&lt;Reprogramaciones!Y$14)*$G275:$P275)+N(INDEX($G275:$P275,1,Reprogramaciones!Y$14))*IF(Reprogramaciones!Y$13&gt;=(Reprogramaciones!$T$15+7*(Reprogramaciones!Y$14-1))+6,1,IF(MAX(0,NETWORKDAYS.INTL(MAX(E275,(Reprogramaciones!$T$15+7*(Reprogramaciones!Y$14-1))),MIN(F275,(Reprogramaciones!$T$15+7*(Reprogramaciones!Y$14-1))+6),11))=0,0,MAX(0,NETWORKDAYS.INTL(MAX(E275,(Reprogramaciones!$T$15+7*(Reprogramaciones!Y$14-1))),MIN(F275,Reprogramaciones!Y$13),11))/MAX(0,NETWORKDAYS.INTL(MAX(E275,(Reprogramaciones!$T$15+7*(Reprogramaciones!Y$14-1))),MIN(F275,(Reprogramaciones!$T$15+7*(Reprogramaciones!Y$14-1))+6),11))))))))</f>
        <v/>
      </c>
      <c r="CI275" s="1" t="str">
        <f aca="false">IF(OR(NOT(AND(ISNUMBER(E275),ISNUMBER(F275))),$J$2=""),"",IF(Reprogramaciones!Z$13&lt;Reprogramaciones!$T$15,0,IF(Reprogramaciones!Z$14&gt;10,MIN(100,SUM($G275:$P275)),MIN(100,SUMPRODUCT((COLUMN($G275:$P275)-COLUMN($G275)+1&lt;Reprogramaciones!Z$14)*$G275:$P275)+N(INDEX($G275:$P275,1,Reprogramaciones!Z$14))*IF(Reprogramaciones!Z$13&gt;=(Reprogramaciones!$T$15+7*(Reprogramaciones!Z$14-1))+6,1,IF(MAX(0,NETWORKDAYS.INTL(MAX(E275,(Reprogramaciones!$T$15+7*(Reprogramaciones!Z$14-1))),MIN(F275,(Reprogramaciones!$T$15+7*(Reprogramaciones!Z$14-1))+6),11))=0,0,MAX(0,NETWORKDAYS.INTL(MAX(E275,(Reprogramaciones!$T$15+7*(Reprogramaciones!Z$14-1))),MIN(F275,Reprogramaciones!Z$13),11))/MAX(0,NETWORKDAYS.INTL(MAX(E275,(Reprogramaciones!$T$15+7*(Reprogramaciones!Z$14-1))),MIN(F275,(Reprogramaciones!$T$15+7*(Reprogramaciones!Z$14-1))+6),11))))))))</f>
        <v/>
      </c>
      <c r="CJ275" s="1" t="str">
        <f aca="false">IF(OR(OR(NOT(AND(ISNUMBER(E275),ISNUMBER(F275))),$J$2=""),1&gt;Reprogramaciones!$K$16),"",IF(ROUND(SUM($Q275:Q275),1)&gt;=99.5,100,MIN(100,ROUND(SUM($Q275:Q275),1))))</f>
        <v/>
      </c>
      <c r="CK275" s="1" t="str">
        <f aca="false">IF(OR(OR(NOT(AND(ISNUMBER(E275),ISNUMBER(F275))),$J$2=""),2&gt;Reprogramaciones!$K$16),"",IF(ROUND(SUM($Q275:R275),1)&gt;=99.5,100,MIN(100,ROUND(SUM($Q275:R275),1))))</f>
        <v/>
      </c>
      <c r="CL275" s="1" t="str">
        <f aca="false">IF(OR(OR(NOT(AND(ISNUMBER(E275),ISNUMBER(F275))),$J$2=""),3&gt;Reprogramaciones!$K$16),"",IF(ROUND(SUM($Q275:S275),1)&gt;=99.5,100,MIN(100,ROUND(SUM($Q275:S275),1))))</f>
        <v/>
      </c>
      <c r="CM275" s="1" t="str">
        <f aca="false">IF(OR(OR(NOT(AND(ISNUMBER(E275),ISNUMBER(F275))),$J$2=""),4&gt;Reprogramaciones!$K$16),"",IF(ROUND(SUM($Q275:T275),1)&gt;=99.5,100,MIN(100,ROUND(SUM($Q275:T275),1))))</f>
        <v/>
      </c>
      <c r="CN275" s="1" t="str">
        <f aca="false">IF(OR(OR(NOT(AND(ISNUMBER(E275),ISNUMBER(F275))),$J$2=""),5&gt;Reprogramaciones!$K$16),"",IF(ROUND(SUM($Q275:U275),1)&gt;=99.5,100,MIN(100,ROUND(SUM($Q275:U275),1))))</f>
        <v/>
      </c>
      <c r="CO275" s="1" t="str">
        <f aca="false">IF(OR(OR(NOT(AND(ISNUMBER(E275),ISNUMBER(F275))),$J$2=""),6&gt;Reprogramaciones!$K$16),"",IF(ROUND(SUM($Q275:V275),1)&gt;=99.5,100,MIN(100,ROUND(SUM($Q275:V275),1))))</f>
        <v/>
      </c>
      <c r="CP275" s="1" t="str">
        <f aca="false">IF(OR(OR(NOT(AND(ISNUMBER(E275),ISNUMBER(F275))),$J$2=""),7&gt;Reprogramaciones!$K$16),"",IF(ROUND(SUM($Q275:W275),1)&gt;=99.5,100,MIN(100,ROUND(SUM($Q275:W275),1))))</f>
        <v/>
      </c>
      <c r="CQ275" s="1" t="str">
        <f aca="false">IF(OR(OR(NOT(AND(ISNUMBER(E275),ISNUMBER(F275))),$J$2=""),8&gt;Reprogramaciones!$K$16),"",IF(ROUND(SUM($Q275:X275),1)&gt;=99.5,100,MIN(100,ROUND(SUM($Q275:X275),1))))</f>
        <v/>
      </c>
      <c r="CR275" s="1" t="str">
        <f aca="false">IF(OR(OR(NOT(AND(ISNUMBER(E275),ISNUMBER(F275))),$J$2=""),9&gt;Reprogramaciones!$K$16),"",IF(ROUND(SUM($Q275:Y275),1)&gt;=99.5,100,MIN(100,ROUND(SUM($Q275:Y275),1))))</f>
        <v/>
      </c>
      <c r="CS275" s="1" t="str">
        <f aca="false">IF(OR(OR(NOT(AND(ISNUMBER(E275),ISNUMBER(F275))),$J$2=""),10&gt;Reprogramaciones!$K$16),"",IF(ROUND(SUM($Q275:Z275),1)&gt;=99.5,100,MIN(100,ROUND(SUM($Q275:Z275),1))))</f>
        <v/>
      </c>
      <c r="CT275" s="1" t="str">
        <f aca="false">IF(OR(OR(NOT(AND(ISNUMBER(E275),ISNUMBER(F275))),$J$2=""),11&gt;Reprogramaciones!$K$16),"",IF(ROUND(SUM($Q275:AA275),1)&gt;=99.5,100,MIN(100,ROUND(SUM($Q275:AA275),1))))</f>
        <v/>
      </c>
      <c r="CU275" s="1" t="str">
        <f aca="false">IF(OR(OR(NOT(AND(ISNUMBER(E275),ISNUMBER(F275))),$J$2=""),12&gt;Reprogramaciones!$K$16),"",IF(ROUND(SUM($Q275:AB275),1)&gt;=99.5,100,MIN(100,ROUND(SUM($Q275:AB275),1))))</f>
        <v/>
      </c>
      <c r="CV275" s="1" t="str">
        <f aca="false">IF(OR(OR(NOT(AND(ISNUMBER(E275),ISNUMBER(F275))),$J$2=""),13&gt;Reprogramaciones!$K$16),"",IF(ROUND(SUM($Q275:AC275),1)&gt;=99.5,100,MIN(100,ROUND(SUM($Q275:AC275),1))))</f>
        <v/>
      </c>
      <c r="CW275" s="1" t="str">
        <f aca="false">IF(OR(OR(NOT(AND(ISNUMBER(E275),ISNUMBER(F275))),$J$2=""),14&gt;Reprogramaciones!$K$16),"",IF(ROUND(SUM($Q275:AD275),1)&gt;=99.5,100,MIN(100,ROUND(SUM($Q275:AD275),1))))</f>
        <v/>
      </c>
      <c r="CX275" s="1" t="str">
        <f aca="false">IF(OR(OR(NOT(AND(ISNUMBER(E275),ISNUMBER(F275))),$J$2=""),15&gt;Reprogramaciones!$K$16),"",IF(ROUND(SUM($Q275:AE275),1)&gt;=99.5,100,MIN(100,ROUND(SUM($Q275:AE275),1))))</f>
        <v/>
      </c>
      <c r="CY275" s="1" t="str">
        <f aca="false">IF(OR(OR(NOT(AND(ISNUMBER(E275),ISNUMBER(F275))),$J$2=""),16&gt;Reprogramaciones!$K$16),"",IF(ROUND(SUM($Q275:AF275),1)&gt;=99.5,100,MIN(100,ROUND(SUM($Q275:AF275),1))))</f>
        <v/>
      </c>
      <c r="CZ275" s="1" t="str">
        <f aca="false">IF(D275&lt;&gt;"",D275,IF(B275&lt;&gt;"","Contractual",CZ274))</f>
        <v>Contractual</v>
      </c>
      <c r="DA275" s="1" t="str">
        <f aca="false">IF(OR(NOT(AND(ISNUMBER(E275),ISNUMBER(F275))),$J$2=""),"",IF(Reprogramaciones!$Q$15&lt;Reprogramaciones!$T$15,0,IF(Reprogramaciones!$S$15&gt;10,MIN(100,SUM($G275:$P275)),MIN(100,SUMPRODUCT((COLUMN($G275:$P275)-COLUMN($G275)+1&lt;Reprogramaciones!$S$15)*$G275:$P275)+N(INDEX($G275:$P275,1,Reprogramaciones!$S$15))*IF(Reprogramaciones!$Q$15&gt;=(Reprogramaciones!$T$15+7*(Reprogramaciones!$S$15-1))+6,1,IF(MAX(0,NETWORKDAYS.INTL(MAX(E275,(Reprogramaciones!$T$15+7*(Reprogramaciones!$S$15-1))),MIN(F275,(Reprogramaciones!$T$15+7*(Reprogramaciones!$S$15-1))+6),11))=0,0,MAX(0,NETWORKDAYS.INTL(MAX(E275,(Reprogramaciones!$T$15+7*(Reprogramaciones!$S$15-1))),MIN(F275,Reprogramaciones!$Q$15),11))/MAX(0,NETWORKDAYS.INTL(MAX(E275,(Reprogramaciones!$T$15+7*(Reprogramaciones!$S$15-1))),MIN(F275,(Reprogramaciones!$T$15+7*(Reprogramaciones!$S$15-1))+6),11))))))))</f>
        <v/>
      </c>
    </row>
    <row r="276" customFormat="false" ht="15" hidden="false" customHeight="false" outlineLevel="0" collapsed="false">
      <c r="A276" s="32"/>
      <c r="B276" s="33"/>
      <c r="C276" s="33"/>
      <c r="D276" s="34"/>
      <c r="E276" s="35"/>
      <c r="F276" s="35"/>
      <c r="G276" s="36" t="str">
        <f aca="false">IF(OR(NOT(AND(ISNUMBER(E276),ISNUMBER(F276))),$J$2=""),"",IF(Reprogramaciones!K$9&lt;E276,0,IF(NETWORKDAYS.INTL(E276,F276,11)=0,IF(Reprogramaciones!K$9&gt;=F276,100,0),ROUND(NETWORKDAYS.INTL(E276,MIN(F276,Reprogramaciones!K$9),11)/NETWORKDAYS.INTL(E276,F276,11)*100,1)))-0)</f>
        <v/>
      </c>
      <c r="H276" s="36" t="str">
        <f aca="false">IF(OR(NOT(AND(ISNUMBER(E276),ISNUMBER(F276))),$J$2=""),"",IF(Reprogramaciones!L$9&lt;E276,0,IF(NETWORKDAYS.INTL(E276,F276,11)=0,IF(Reprogramaciones!L$9&gt;=F276,100,0),ROUND(NETWORKDAYS.INTL(E276,MIN(F276,Reprogramaciones!L$9),11)/NETWORKDAYS.INTL(E276,F276,11)*100,1)))-IF(Reprogramaciones!K$9&lt;E276,0,IF(NETWORKDAYS.INTL(E276,F276,11)=0,IF(Reprogramaciones!K$9&gt;=F276,100,0),ROUND(NETWORKDAYS.INTL(E276,MIN(F276,Reprogramaciones!K$9),11)/NETWORKDAYS.INTL(E276,F276,11)*100,1))))</f>
        <v/>
      </c>
      <c r="I276" s="36" t="str">
        <f aca="false">IF(OR(NOT(AND(ISNUMBER(E276),ISNUMBER(F276))),$J$2=""),"",IF(Reprogramaciones!M$9&lt;E276,0,IF(NETWORKDAYS.INTL(E276,F276,11)=0,IF(Reprogramaciones!M$9&gt;=F276,100,0),ROUND(NETWORKDAYS.INTL(E276,MIN(F276,Reprogramaciones!M$9),11)/NETWORKDAYS.INTL(E276,F276,11)*100,1)))-IF(Reprogramaciones!L$9&lt;E276,0,IF(NETWORKDAYS.INTL(E276,F276,11)=0,IF(Reprogramaciones!L$9&gt;=F276,100,0),ROUND(NETWORKDAYS.INTL(E276,MIN(F276,Reprogramaciones!L$9),11)/NETWORKDAYS.INTL(E276,F276,11)*100,1))))</f>
        <v/>
      </c>
      <c r="J276" s="36" t="str">
        <f aca="false">IF(OR(NOT(AND(ISNUMBER(E276),ISNUMBER(F276))),$J$2=""),"",IF(Reprogramaciones!N$9&lt;E276,0,IF(NETWORKDAYS.INTL(E276,F276,11)=0,IF(Reprogramaciones!N$9&gt;=F276,100,0),ROUND(NETWORKDAYS.INTL(E276,MIN(F276,Reprogramaciones!N$9),11)/NETWORKDAYS.INTL(E276,F276,11)*100,1)))-IF(Reprogramaciones!M$9&lt;E276,0,IF(NETWORKDAYS.INTL(E276,F276,11)=0,IF(Reprogramaciones!M$9&gt;=F276,100,0),ROUND(NETWORKDAYS.INTL(E276,MIN(F276,Reprogramaciones!M$9),11)/NETWORKDAYS.INTL(E276,F276,11)*100,1))))</f>
        <v/>
      </c>
      <c r="K276" s="36" t="str">
        <f aca="false">IF(OR(NOT(AND(ISNUMBER(E276),ISNUMBER(F276))),$J$2=""),"",IF(Reprogramaciones!O$9&lt;E276,0,IF(NETWORKDAYS.INTL(E276,F276,11)=0,IF(Reprogramaciones!O$9&gt;=F276,100,0),ROUND(NETWORKDAYS.INTL(E276,MIN(F276,Reprogramaciones!O$9),11)/NETWORKDAYS.INTL(E276,F276,11)*100,1)))-IF(Reprogramaciones!N$9&lt;E276,0,IF(NETWORKDAYS.INTL(E276,F276,11)=0,IF(Reprogramaciones!N$9&gt;=F276,100,0),ROUND(NETWORKDAYS.INTL(E276,MIN(F276,Reprogramaciones!N$9),11)/NETWORKDAYS.INTL(E276,F276,11)*100,1))))</f>
        <v/>
      </c>
      <c r="L276" s="36" t="str">
        <f aca="false">IF(OR(NOT(AND(ISNUMBER(E276),ISNUMBER(F276))),$J$2=""),"",IF(Reprogramaciones!P$9&lt;E276,0,IF(NETWORKDAYS.INTL(E276,F276,11)=0,IF(Reprogramaciones!P$9&gt;=F276,100,0),ROUND(NETWORKDAYS.INTL(E276,MIN(F276,Reprogramaciones!P$9),11)/NETWORKDAYS.INTL(E276,F276,11)*100,1)))-IF(Reprogramaciones!O$9&lt;E276,0,IF(NETWORKDAYS.INTL(E276,F276,11)=0,IF(Reprogramaciones!O$9&gt;=F276,100,0),ROUND(NETWORKDAYS.INTL(E276,MIN(F276,Reprogramaciones!O$9),11)/NETWORKDAYS.INTL(E276,F276,11)*100,1))))</f>
        <v/>
      </c>
      <c r="M276" s="36" t="str">
        <f aca="false">IF(OR(NOT(AND(ISNUMBER(E276),ISNUMBER(F276))),$J$2=""),"",IF(Reprogramaciones!Q$9&lt;E276,0,IF(NETWORKDAYS.INTL(E276,F276,11)=0,IF(Reprogramaciones!Q$9&gt;=F276,100,0),ROUND(NETWORKDAYS.INTL(E276,MIN(F276,Reprogramaciones!Q$9),11)/NETWORKDAYS.INTL(E276,F276,11)*100,1)))-IF(Reprogramaciones!P$9&lt;E276,0,IF(NETWORKDAYS.INTL(E276,F276,11)=0,IF(Reprogramaciones!P$9&gt;=F276,100,0),ROUND(NETWORKDAYS.INTL(E276,MIN(F276,Reprogramaciones!P$9),11)/NETWORKDAYS.INTL(E276,F276,11)*100,1))))</f>
        <v/>
      </c>
      <c r="N276" s="36" t="str">
        <f aca="false">IF(OR(NOT(AND(ISNUMBER(E276),ISNUMBER(F276))),$J$2=""),"",IF(Reprogramaciones!R$9&lt;E276,0,IF(NETWORKDAYS.INTL(E276,F276,11)=0,IF(Reprogramaciones!R$9&gt;=F276,100,0),ROUND(NETWORKDAYS.INTL(E276,MIN(F276,Reprogramaciones!R$9),11)/NETWORKDAYS.INTL(E276,F276,11)*100,1)))-IF(Reprogramaciones!Q$9&lt;E276,0,IF(NETWORKDAYS.INTL(E276,F276,11)=0,IF(Reprogramaciones!Q$9&gt;=F276,100,0),ROUND(NETWORKDAYS.INTL(E276,MIN(F276,Reprogramaciones!Q$9),11)/NETWORKDAYS.INTL(E276,F276,11)*100,1))))</f>
        <v/>
      </c>
      <c r="O276" s="36" t="str">
        <f aca="false">IF(OR(NOT(AND(ISNUMBER(E276),ISNUMBER(F276))),$J$2=""),"",IF(Reprogramaciones!S$9&lt;E276,0,IF(NETWORKDAYS.INTL(E276,F276,11)=0,IF(Reprogramaciones!S$9&gt;=F276,100,0),ROUND(NETWORKDAYS.INTL(E276,MIN(F276,Reprogramaciones!S$9),11)/NETWORKDAYS.INTL(E276,F276,11)*100,1)))-IF(Reprogramaciones!R$9&lt;E276,0,IF(NETWORKDAYS.INTL(E276,F276,11)=0,IF(Reprogramaciones!R$9&gt;=F276,100,0),ROUND(NETWORKDAYS.INTL(E276,MIN(F276,Reprogramaciones!R$9),11)/NETWORKDAYS.INTL(E276,F276,11)*100,1))))</f>
        <v/>
      </c>
      <c r="P276" s="36" t="str">
        <f aca="false">IF(OR(NOT(AND(ISNUMBER(E276),ISNUMBER(F276))),$J$2=""),"",IF(Reprogramaciones!T$9&lt;E276,0,IF(NETWORKDAYS.INTL(E276,F276,11)=0,IF(Reprogramaciones!T$9&gt;=F276,100,0),ROUND(NETWORKDAYS.INTL(E276,MIN(F276,Reprogramaciones!T$9),11)/NETWORKDAYS.INTL(E276,F276,11)*100,1)))-IF(Reprogramaciones!S$9&lt;E276,0,IF(NETWORKDAYS.INTL(E276,F276,11)=0,IF(Reprogramaciones!S$9&gt;=F276,100,0),ROUND(NETWORKDAYS.INTL(E276,MIN(F276,Reprogramaciones!S$9),11)/NETWORKDAYS.INTL(E276,F276,11)*100,1))))</f>
        <v/>
      </c>
      <c r="Q276" s="37"/>
      <c r="R276" s="37"/>
      <c r="S276" s="37"/>
      <c r="T276" s="37"/>
      <c r="U276" s="37"/>
      <c r="V276" s="37"/>
      <c r="W276" s="37"/>
      <c r="X276" s="37"/>
      <c r="Y276" s="37"/>
      <c r="Z276" s="37"/>
      <c r="AA276" s="37"/>
      <c r="AB276" s="37"/>
      <c r="AC276" s="37"/>
      <c r="AD276" s="37"/>
      <c r="AE276" s="37"/>
      <c r="AF276" s="37"/>
      <c r="AG276" s="38" t="str">
        <f aca="false">IF(AND(ISNUMBER(E276),ISNUMBER(F276)),NETWORKDAYS.INTL(E276,F276,11),"")</f>
        <v/>
      </c>
      <c r="AH276" s="38" t="str">
        <f aca="false">IF(OR(NOT(AND(ISNUMBER(E276),ISNUMBER(F276))),$J$2=""),"",IF(Reprogramaciones!$P$15&lt;Reprogramaciones!$T$15,0,IF(Reprogramaciones!$R$15&gt;10,MIN(100,SUM($G276:$P276)),MIN(100,SUMPRODUCT((COLUMN($G276:$P276)-COLUMN($G276)+1&lt;Reprogramaciones!$R$15)*$G276:$P276)+N(INDEX($G276:$P276,1,Reprogramaciones!$R$15))*IF(Reprogramaciones!$P$15&gt;=(Reprogramaciones!$T$15+7*(Reprogramaciones!$R$15-1))+6,1,IF(MAX(0,NETWORKDAYS.INTL(MAX(E276,(Reprogramaciones!$T$15+7*(Reprogramaciones!$R$15-1))),MIN(F276,(Reprogramaciones!$T$15+7*(Reprogramaciones!$R$15-1))+6),11))=0,0,MAX(0,NETWORKDAYS.INTL(MAX(E276,(Reprogramaciones!$T$15+7*(Reprogramaciones!$R$15-1))),MIN(F276,Reprogramaciones!$P$15),11))/MAX(0,NETWORKDAYS.INTL(MAX(E276,(Reprogramaciones!$T$15+7*(Reprogramaciones!$R$15-1))),MIN(F276,(Reprogramaciones!$T$15+7*(Reprogramaciones!$R$15-1))+6),11))))))))</f>
        <v/>
      </c>
      <c r="AI276" s="38" t="str">
        <f aca="false">IF(COUNT($Q276:$AF276)=0,"",IF(ROUND(SUM($Q276:$AF276),1)&gt;=99.5,100,MIN(100,ROUND(SUM($Q276:$AF276),1))))</f>
        <v/>
      </c>
      <c r="AJ276" s="38" t="str">
        <f aca="false">IF(OR(AH276="",AI276=""),"",AI276-AH276)</f>
        <v/>
      </c>
      <c r="AK276" s="39" t="str">
        <f aca="true">IF(AH276="","",IF(OR(Ficha!$C$10="Suspendida",Ficha!$C$10="Cancelada"),Ficha!$C$10,IF(AND(AI276&lt;&gt;"",N(AI276)&gt;=100),"Completada",IF(AND(E276&gt;TODAY(),N(AI276)=0),"Por iniciar",IF(N(AI276)+0.5&lt;AH276,"Retrasada",IF(N(AI276)+0.5&lt;DA276,IF(Reprogramaciones!$K$15&gt;0,"Al día · Sem "&amp;Reprogramaciones!$K$15&amp;" en curso","Al día · en curso"),"A tiempo"))))))</f>
        <v/>
      </c>
      <c r="AL276" s="39" t="str">
        <f aca="true">IF(AND(A276="",AND(B276="",C276="",E276="",F276="",COUNT(Q276:AF276)=0)),"",IF(AND(B276="",C276="",E276="",F276="",COUNT(Q276:AF276)=0),"Falta la partida o subpartida",IF(AND(A276&lt;&gt;"",COUNTIF($A$6:$A$305,A276)&gt;1),"Ítem repetido",IF(AND(C276="",E276="",F276="",COUNT(Q276:AF276)=0),"Título de partida",IF(OR(E276="",F276=""),"Faltan fechas",IF(OR(ISTEXT(E276),ISTEXT(F276)),"Fecha escrita como texto: usa dd/mm/aaaa",IF(F276&lt;E276,"Fin antes del inicio",IF(IF($J$2="",FALSE(),OR(E276&lt;$J$2,F276&gt;Reprogramaciones!$T$15+69)),"Fuera de las 10 semanas",IF(ABS(SUM(G276:P276)-100)&gt;0.5,"La meta no suma 100%",IF(ROUND(SUM(Q276:AF276),1)&gt;100.5,"El avance pasa de 100%",IF(MIN(Q276:AF276)&lt;0,"Avance negativo",IF(COUNTA(Q276:AF276)&gt;COUNT(Q276:AF276),"Avance escrito como texto",IF(SUMPRODUCT((Q276:AF276&gt;0)*(Q276:AF276&lt;1))&gt;0,"Avance menor a 1: escribe 50, no 50%",IF(SUMPRODUCT(ISNUMBER(Q276:AF276)*(Reprogramaciones!$K$8:$Z$8&gt;TODAY()))&gt;0,"Avance en semana que aún no llega",IF(AND(N(Reprogramaciones!$E$21)&gt;0,F276&gt;Reprogramaciones!$E$21),"Pasa el fin de la obra: registra una reprogramación",IF(AND(N(Reprogramaciones!$E$21)&gt;0,SUMPRODUCT(ISNUMBER(Q276:AF276)*(Reprogramaciones!$K$8:$Z$8&gt;Reprogramaciones!$E$21))&gt;0),"Avance después del fin de la obra: registra una reprogramación por atraso","OK"))))))))))))))))</f>
        <v/>
      </c>
      <c r="AM276" s="40" t="str">
        <f aca="false">IF(OR(OR(NOT(AND(ISNUMBER(E276),ISNUMBER(F276))),$J$2=""),1&gt;MAX(1,Reprogramaciones!$U$15)),"",IF(Reprogramaciones!K$12&gt;=7,"",IF(OR(BT276-N(0)&gt;0.05,N(Q276)&gt;0),ROUNDDOWN(ROUND(BT276,6),0)&amp;"%"&amp;IF(CJ276="",""," / "&amp;CJ276&amp;"%"),IF(AND(N(0)&gt;=99.95,CJ276&lt;&gt;"",N(CJ276)&lt;100),"Pend. "&amp;CJ276&amp;"%",""))))</f>
        <v/>
      </c>
      <c r="AN276" s="40" t="str">
        <f aca="false">IF(OR(OR(NOT(AND(ISNUMBER(E276),ISNUMBER(F276))),$J$2=""),2&gt;MAX(1,Reprogramaciones!$U$15)),"",IF(Reprogramaciones!L$12&gt;=7,"",IF(OR(BU276-N(BT276)&gt;0.05,N(R276)&gt;0),ROUNDDOWN(ROUND(BU276,6),0)&amp;"%"&amp;IF(CK276="",""," / "&amp;CK276&amp;"%"),IF(AND(N(BT276)&gt;=99.95,CK276&lt;&gt;"",N(CK276)&lt;100),"Pend. "&amp;CK276&amp;"%",""))))</f>
        <v/>
      </c>
      <c r="AO276" s="40" t="str">
        <f aca="false">IF(OR(OR(NOT(AND(ISNUMBER(E276),ISNUMBER(F276))),$J$2=""),3&gt;MAX(1,Reprogramaciones!$U$15)),"",IF(Reprogramaciones!M$12&gt;=7,"",IF(OR(BV276-N(BU276)&gt;0.05,N(S276)&gt;0),ROUNDDOWN(ROUND(BV276,6),0)&amp;"%"&amp;IF(CL276="",""," / "&amp;CL276&amp;"%"),IF(AND(N(BU276)&gt;=99.95,CL276&lt;&gt;"",N(CL276)&lt;100),"Pend. "&amp;CL276&amp;"%",""))))</f>
        <v/>
      </c>
      <c r="AP276" s="40" t="str">
        <f aca="false">IF(OR(OR(NOT(AND(ISNUMBER(E276),ISNUMBER(F276))),$J$2=""),4&gt;MAX(1,Reprogramaciones!$U$15)),"",IF(Reprogramaciones!N$12&gt;=7,"",IF(OR(BW276-N(BV276)&gt;0.05,N(T276)&gt;0),ROUNDDOWN(ROUND(BW276,6),0)&amp;"%"&amp;IF(CM276="",""," / "&amp;CM276&amp;"%"),IF(AND(N(BV276)&gt;=99.95,CM276&lt;&gt;"",N(CM276)&lt;100),"Pend. "&amp;CM276&amp;"%",""))))</f>
        <v/>
      </c>
      <c r="AQ276" s="40" t="str">
        <f aca="false">IF(OR(OR(NOT(AND(ISNUMBER(E276),ISNUMBER(F276))),$J$2=""),5&gt;MAX(1,Reprogramaciones!$U$15)),"",IF(Reprogramaciones!O$12&gt;=7,"",IF(OR(BX276-N(BW276)&gt;0.05,N(U276)&gt;0),ROUNDDOWN(ROUND(BX276,6),0)&amp;"%"&amp;IF(CN276="",""," / "&amp;CN276&amp;"%"),IF(AND(N(BW276)&gt;=99.95,CN276&lt;&gt;"",N(CN276)&lt;100),"Pend. "&amp;CN276&amp;"%",""))))</f>
        <v/>
      </c>
      <c r="AR276" s="40" t="str">
        <f aca="false">IF(OR(OR(NOT(AND(ISNUMBER(E276),ISNUMBER(F276))),$J$2=""),6&gt;MAX(1,Reprogramaciones!$U$15)),"",IF(Reprogramaciones!P$12&gt;=7,"",IF(OR(BY276-N(BX276)&gt;0.05,N(V276)&gt;0),ROUNDDOWN(ROUND(BY276,6),0)&amp;"%"&amp;IF(CO276="",""," / "&amp;CO276&amp;"%"),IF(AND(N(BX276)&gt;=99.95,CO276&lt;&gt;"",N(CO276)&lt;100),"Pend. "&amp;CO276&amp;"%",""))))</f>
        <v/>
      </c>
      <c r="AS276" s="40" t="str">
        <f aca="false">IF(OR(OR(NOT(AND(ISNUMBER(E276),ISNUMBER(F276))),$J$2=""),7&gt;MAX(1,Reprogramaciones!$U$15)),"",IF(Reprogramaciones!Q$12&gt;=7,"",IF(OR(BZ276-N(BY276)&gt;0.05,N(W276)&gt;0),ROUNDDOWN(ROUND(BZ276,6),0)&amp;"%"&amp;IF(CP276="",""," / "&amp;CP276&amp;"%"),IF(AND(N(BY276)&gt;=99.95,CP276&lt;&gt;"",N(CP276)&lt;100),"Pend. "&amp;CP276&amp;"%",""))))</f>
        <v/>
      </c>
      <c r="AT276" s="40" t="str">
        <f aca="false">IF(OR(OR(NOT(AND(ISNUMBER(E276),ISNUMBER(F276))),$J$2=""),8&gt;MAX(1,Reprogramaciones!$U$15)),"",IF(Reprogramaciones!R$12&gt;=7,"",IF(OR(CA276-N(BZ276)&gt;0.05,N(X276)&gt;0),ROUNDDOWN(ROUND(CA276,6),0)&amp;"%"&amp;IF(CQ276="",""," / "&amp;CQ276&amp;"%"),IF(AND(N(BZ276)&gt;=99.95,CQ276&lt;&gt;"",N(CQ276)&lt;100),"Pend. "&amp;CQ276&amp;"%",""))))</f>
        <v/>
      </c>
      <c r="AU276" s="40" t="str">
        <f aca="false">IF(OR(OR(NOT(AND(ISNUMBER(E276),ISNUMBER(F276))),$J$2=""),9&gt;MAX(1,Reprogramaciones!$U$15)),"",IF(Reprogramaciones!S$12&gt;=7,"",IF(OR(CB276-N(CA276)&gt;0.05,N(Y276)&gt;0),ROUNDDOWN(ROUND(CB276,6),0)&amp;"%"&amp;IF(CR276="",""," / "&amp;CR276&amp;"%"),IF(AND(N(CA276)&gt;=99.95,CR276&lt;&gt;"",N(CR276)&lt;100),"Pend. "&amp;CR276&amp;"%",""))))</f>
        <v/>
      </c>
      <c r="AV276" s="40" t="str">
        <f aca="false">IF(OR(OR(NOT(AND(ISNUMBER(E276),ISNUMBER(F276))),$J$2=""),10&gt;MAX(1,Reprogramaciones!$U$15)),"",IF(Reprogramaciones!T$12&gt;=7,"",IF(OR(CC276-N(CB276)&gt;0.05,N(Z276)&gt;0),ROUNDDOWN(ROUND(CC276,6),0)&amp;"%"&amp;IF(CS276="",""," / "&amp;CS276&amp;"%"),IF(AND(N(CB276)&gt;=99.95,CS276&lt;&gt;"",N(CS276)&lt;100),"Pend. "&amp;CS276&amp;"%",""))))</f>
        <v/>
      </c>
      <c r="AW276" s="40" t="str">
        <f aca="false">IF(OR(OR(NOT(AND(ISNUMBER(E276),ISNUMBER(F276))),$J$2=""),11&gt;MAX(1,Reprogramaciones!$U$15)),"",IF(Reprogramaciones!U$12&gt;=7,"",IF(OR(CD276-N(CC276)&gt;0.05,N(AA276)&gt;0),ROUNDDOWN(ROUND(CD276,6),0)&amp;"%"&amp;IF(CT276="",""," / "&amp;CT276&amp;"%"),IF(AND(N(CC276)&gt;=99.95,CT276&lt;&gt;"",N(CT276)&lt;100),"Pend. "&amp;CT276&amp;"%",""))))</f>
        <v/>
      </c>
      <c r="AX276" s="40" t="str">
        <f aca="false">IF(OR(OR(NOT(AND(ISNUMBER(E276),ISNUMBER(F276))),$J$2=""),12&gt;MAX(1,Reprogramaciones!$U$15)),"",IF(Reprogramaciones!V$12&gt;=7,"",IF(OR(CE276-N(CD276)&gt;0.05,N(AB276)&gt;0),ROUNDDOWN(ROUND(CE276,6),0)&amp;"%"&amp;IF(CU276="",""," / "&amp;CU276&amp;"%"),IF(AND(N(CD276)&gt;=99.95,CU276&lt;&gt;"",N(CU276)&lt;100),"Pend. "&amp;CU276&amp;"%",""))))</f>
        <v/>
      </c>
      <c r="AY276" s="40" t="str">
        <f aca="false">IF(OR(OR(NOT(AND(ISNUMBER(E276),ISNUMBER(F276))),$J$2=""),13&gt;MAX(1,Reprogramaciones!$U$15)),"",IF(Reprogramaciones!W$12&gt;=7,"",IF(OR(CF276-N(CE276)&gt;0.05,N(AC276)&gt;0),ROUNDDOWN(ROUND(CF276,6),0)&amp;"%"&amp;IF(CV276="",""," / "&amp;CV276&amp;"%"),IF(AND(N(CE276)&gt;=99.95,CV276&lt;&gt;"",N(CV276)&lt;100),"Pend. "&amp;CV276&amp;"%",""))))</f>
        <v/>
      </c>
      <c r="AZ276" s="40" t="str">
        <f aca="false">IF(OR(OR(NOT(AND(ISNUMBER(E276),ISNUMBER(F276))),$J$2=""),14&gt;MAX(1,Reprogramaciones!$U$15)),"",IF(Reprogramaciones!X$12&gt;=7,"",IF(OR(CG276-N(CF276)&gt;0.05,N(AD276)&gt;0),ROUNDDOWN(ROUND(CG276,6),0)&amp;"%"&amp;IF(CW276="",""," / "&amp;CW276&amp;"%"),IF(AND(N(CF276)&gt;=99.95,CW276&lt;&gt;"",N(CW276)&lt;100),"Pend. "&amp;CW276&amp;"%",""))))</f>
        <v/>
      </c>
      <c r="BA276" s="40" t="str">
        <f aca="false">IF(OR(OR(NOT(AND(ISNUMBER(E276),ISNUMBER(F276))),$J$2=""),15&gt;MAX(1,Reprogramaciones!$U$15)),"",IF(Reprogramaciones!Y$12&gt;=7,"",IF(OR(CH276-N(CG276)&gt;0.05,N(AE276)&gt;0),ROUNDDOWN(ROUND(CH276,6),0)&amp;"%"&amp;IF(CX276="",""," / "&amp;CX276&amp;"%"),IF(AND(N(CG276)&gt;=99.95,CX276&lt;&gt;"",N(CX276)&lt;100),"Pend. "&amp;CX276&amp;"%",""))))</f>
        <v/>
      </c>
      <c r="BB276" s="40" t="str">
        <f aca="false">IF(OR(OR(NOT(AND(ISNUMBER(E276),ISNUMBER(F276))),$J$2=""),16&gt;MAX(1,Reprogramaciones!$U$15)),"",IF(Reprogramaciones!Z$12&gt;=7,"",IF(OR(CI276-N(CH276)&gt;0.05,N(AF276)&gt;0),ROUNDDOWN(ROUND(CI276,6),0)&amp;"%"&amp;IF(CY276="",""," / "&amp;CY276&amp;"%"),IF(AND(N(CH276)&gt;=99.95,CY276&lt;&gt;"",N(CY276)&lt;100),"Pend. "&amp;CY276&amp;"%",""))))</f>
        <v/>
      </c>
      <c r="BC276" s="31" t="n">
        <f aca="false">IF(AND(ISNUMBER(E276),ISNUMBER(F276)),MAX(1,NETWORKDAYS.INTL(E276,F276,11)),0)</f>
        <v>0</v>
      </c>
      <c r="BD276" s="1" t="str">
        <f aca="false">IF(OR(NOT(AND(ISNUMBER(E276),ISNUMBER(F276))),$J$2=""),"",MIN(100,ROUND(SUM($G276:G276),1)))</f>
        <v/>
      </c>
      <c r="BE276" s="1" t="str">
        <f aca="false">IF(OR(NOT(AND(ISNUMBER(E276),ISNUMBER(F276))),$J$2=""),"",MIN(100,ROUND(SUM($G276:H276),1)))</f>
        <v/>
      </c>
      <c r="BF276" s="1" t="str">
        <f aca="false">IF(OR(NOT(AND(ISNUMBER(E276),ISNUMBER(F276))),$J$2=""),"",MIN(100,ROUND(SUM($G276:I276),1)))</f>
        <v/>
      </c>
      <c r="BG276" s="1" t="str">
        <f aca="false">IF(OR(NOT(AND(ISNUMBER(E276),ISNUMBER(F276))),$J$2=""),"",MIN(100,ROUND(SUM($G276:J276),1)))</f>
        <v/>
      </c>
      <c r="BH276" s="1" t="str">
        <f aca="false">IF(OR(NOT(AND(ISNUMBER(E276),ISNUMBER(F276))),$J$2=""),"",MIN(100,ROUND(SUM($G276:K276),1)))</f>
        <v/>
      </c>
      <c r="BI276" s="1" t="str">
        <f aca="false">IF(OR(NOT(AND(ISNUMBER(E276),ISNUMBER(F276))),$J$2=""),"",MIN(100,ROUND(SUM($G276:L276),1)))</f>
        <v/>
      </c>
      <c r="BJ276" s="1" t="str">
        <f aca="false">IF(OR(NOT(AND(ISNUMBER(E276),ISNUMBER(F276))),$J$2=""),"",MIN(100,ROUND(SUM($G276:M276),1)))</f>
        <v/>
      </c>
      <c r="BK276" s="1" t="str">
        <f aca="false">IF(OR(NOT(AND(ISNUMBER(E276),ISNUMBER(F276))),$J$2=""),"",MIN(100,ROUND(SUM($G276:N276),1)))</f>
        <v/>
      </c>
      <c r="BL276" s="1" t="str">
        <f aca="false">IF(OR(NOT(AND(ISNUMBER(E276),ISNUMBER(F276))),$J$2=""),"",MIN(100,ROUND(SUM($G276:O276),1)))</f>
        <v/>
      </c>
      <c r="BM276" s="1" t="str">
        <f aca="false">IF(OR(NOT(AND(ISNUMBER(E276),ISNUMBER(F276))),$J$2=""),"",MIN(100,ROUND(SUM($G276:P276),1)))</f>
        <v/>
      </c>
      <c r="BN276" s="1" t="str">
        <f aca="false">IF(OR(NOT(AND(ISNUMBER(E276),ISNUMBER(F276))),$J$2=""),"",MIN(100,ROUND(SUM($G276:P276),1)))</f>
        <v/>
      </c>
      <c r="BO276" s="1" t="str">
        <f aca="false">IF(OR(NOT(AND(ISNUMBER(E276),ISNUMBER(F276))),$J$2=""),"",MIN(100,ROUND(SUM($G276:P276),1)))</f>
        <v/>
      </c>
      <c r="BP276" s="1" t="str">
        <f aca="false">IF(OR(NOT(AND(ISNUMBER(E276),ISNUMBER(F276))),$J$2=""),"",MIN(100,ROUND(SUM($G276:P276),1)))</f>
        <v/>
      </c>
      <c r="BQ276" s="1" t="str">
        <f aca="false">IF(OR(NOT(AND(ISNUMBER(E276),ISNUMBER(F276))),$J$2=""),"",MIN(100,ROUND(SUM($G276:P276),1)))</f>
        <v/>
      </c>
      <c r="BR276" s="1" t="str">
        <f aca="false">IF(OR(NOT(AND(ISNUMBER(E276),ISNUMBER(F276))),$J$2=""),"",MIN(100,ROUND(SUM($G276:P276),1)))</f>
        <v/>
      </c>
      <c r="BS276" s="1" t="str">
        <f aca="false">IF(OR(NOT(AND(ISNUMBER(E276),ISNUMBER(F276))),$J$2=""),"",MIN(100,ROUND(SUM($G276:P276),1)))</f>
        <v/>
      </c>
      <c r="BT276" s="1" t="str">
        <f aca="false">IF(OR(NOT(AND(ISNUMBER(E276),ISNUMBER(F276))),$J$2=""),"",IF(Reprogramaciones!K$13&lt;Reprogramaciones!$T$15,0,IF(Reprogramaciones!K$14&gt;10,MIN(100,SUM($G276:$P276)),MIN(100,SUMPRODUCT((COLUMN($G276:$P276)-COLUMN($G276)+1&lt;Reprogramaciones!K$14)*$G276:$P276)+N(INDEX($G276:$P276,1,Reprogramaciones!K$14))*IF(Reprogramaciones!K$13&gt;=(Reprogramaciones!$T$15+7*(Reprogramaciones!K$14-1))+6,1,IF(MAX(0,NETWORKDAYS.INTL(MAX(E276,(Reprogramaciones!$T$15+7*(Reprogramaciones!K$14-1))),MIN(F276,(Reprogramaciones!$T$15+7*(Reprogramaciones!K$14-1))+6),11))=0,0,MAX(0,NETWORKDAYS.INTL(MAX(E276,(Reprogramaciones!$T$15+7*(Reprogramaciones!K$14-1))),MIN(F276,Reprogramaciones!K$13),11))/MAX(0,NETWORKDAYS.INTL(MAX(E276,(Reprogramaciones!$T$15+7*(Reprogramaciones!K$14-1))),MIN(F276,(Reprogramaciones!$T$15+7*(Reprogramaciones!K$14-1))+6),11))))))))</f>
        <v/>
      </c>
      <c r="BU276" s="1" t="str">
        <f aca="false">IF(OR(NOT(AND(ISNUMBER(E276),ISNUMBER(F276))),$J$2=""),"",IF(Reprogramaciones!L$13&lt;Reprogramaciones!$T$15,0,IF(Reprogramaciones!L$14&gt;10,MIN(100,SUM($G276:$P276)),MIN(100,SUMPRODUCT((COLUMN($G276:$P276)-COLUMN($G276)+1&lt;Reprogramaciones!L$14)*$G276:$P276)+N(INDEX($G276:$P276,1,Reprogramaciones!L$14))*IF(Reprogramaciones!L$13&gt;=(Reprogramaciones!$T$15+7*(Reprogramaciones!L$14-1))+6,1,IF(MAX(0,NETWORKDAYS.INTL(MAX(E276,(Reprogramaciones!$T$15+7*(Reprogramaciones!L$14-1))),MIN(F276,(Reprogramaciones!$T$15+7*(Reprogramaciones!L$14-1))+6),11))=0,0,MAX(0,NETWORKDAYS.INTL(MAX(E276,(Reprogramaciones!$T$15+7*(Reprogramaciones!L$14-1))),MIN(F276,Reprogramaciones!L$13),11))/MAX(0,NETWORKDAYS.INTL(MAX(E276,(Reprogramaciones!$T$15+7*(Reprogramaciones!L$14-1))),MIN(F276,(Reprogramaciones!$T$15+7*(Reprogramaciones!L$14-1))+6),11))))))))</f>
        <v/>
      </c>
      <c r="BV276" s="1" t="str">
        <f aca="false">IF(OR(NOT(AND(ISNUMBER(E276),ISNUMBER(F276))),$J$2=""),"",IF(Reprogramaciones!M$13&lt;Reprogramaciones!$T$15,0,IF(Reprogramaciones!M$14&gt;10,MIN(100,SUM($G276:$P276)),MIN(100,SUMPRODUCT((COLUMN($G276:$P276)-COLUMN($G276)+1&lt;Reprogramaciones!M$14)*$G276:$P276)+N(INDEX($G276:$P276,1,Reprogramaciones!M$14))*IF(Reprogramaciones!M$13&gt;=(Reprogramaciones!$T$15+7*(Reprogramaciones!M$14-1))+6,1,IF(MAX(0,NETWORKDAYS.INTL(MAX(E276,(Reprogramaciones!$T$15+7*(Reprogramaciones!M$14-1))),MIN(F276,(Reprogramaciones!$T$15+7*(Reprogramaciones!M$14-1))+6),11))=0,0,MAX(0,NETWORKDAYS.INTL(MAX(E276,(Reprogramaciones!$T$15+7*(Reprogramaciones!M$14-1))),MIN(F276,Reprogramaciones!M$13),11))/MAX(0,NETWORKDAYS.INTL(MAX(E276,(Reprogramaciones!$T$15+7*(Reprogramaciones!M$14-1))),MIN(F276,(Reprogramaciones!$T$15+7*(Reprogramaciones!M$14-1))+6),11))))))))</f>
        <v/>
      </c>
      <c r="BW276" s="1" t="str">
        <f aca="false">IF(OR(NOT(AND(ISNUMBER(E276),ISNUMBER(F276))),$J$2=""),"",IF(Reprogramaciones!N$13&lt;Reprogramaciones!$T$15,0,IF(Reprogramaciones!N$14&gt;10,MIN(100,SUM($G276:$P276)),MIN(100,SUMPRODUCT((COLUMN($G276:$P276)-COLUMN($G276)+1&lt;Reprogramaciones!N$14)*$G276:$P276)+N(INDEX($G276:$P276,1,Reprogramaciones!N$14))*IF(Reprogramaciones!N$13&gt;=(Reprogramaciones!$T$15+7*(Reprogramaciones!N$14-1))+6,1,IF(MAX(0,NETWORKDAYS.INTL(MAX(E276,(Reprogramaciones!$T$15+7*(Reprogramaciones!N$14-1))),MIN(F276,(Reprogramaciones!$T$15+7*(Reprogramaciones!N$14-1))+6),11))=0,0,MAX(0,NETWORKDAYS.INTL(MAX(E276,(Reprogramaciones!$T$15+7*(Reprogramaciones!N$14-1))),MIN(F276,Reprogramaciones!N$13),11))/MAX(0,NETWORKDAYS.INTL(MAX(E276,(Reprogramaciones!$T$15+7*(Reprogramaciones!N$14-1))),MIN(F276,(Reprogramaciones!$T$15+7*(Reprogramaciones!N$14-1))+6),11))))))))</f>
        <v/>
      </c>
      <c r="BX276" s="1" t="str">
        <f aca="false">IF(OR(NOT(AND(ISNUMBER(E276),ISNUMBER(F276))),$J$2=""),"",IF(Reprogramaciones!O$13&lt;Reprogramaciones!$T$15,0,IF(Reprogramaciones!O$14&gt;10,MIN(100,SUM($G276:$P276)),MIN(100,SUMPRODUCT((COLUMN($G276:$P276)-COLUMN($G276)+1&lt;Reprogramaciones!O$14)*$G276:$P276)+N(INDEX($G276:$P276,1,Reprogramaciones!O$14))*IF(Reprogramaciones!O$13&gt;=(Reprogramaciones!$T$15+7*(Reprogramaciones!O$14-1))+6,1,IF(MAX(0,NETWORKDAYS.INTL(MAX(E276,(Reprogramaciones!$T$15+7*(Reprogramaciones!O$14-1))),MIN(F276,(Reprogramaciones!$T$15+7*(Reprogramaciones!O$14-1))+6),11))=0,0,MAX(0,NETWORKDAYS.INTL(MAX(E276,(Reprogramaciones!$T$15+7*(Reprogramaciones!O$14-1))),MIN(F276,Reprogramaciones!O$13),11))/MAX(0,NETWORKDAYS.INTL(MAX(E276,(Reprogramaciones!$T$15+7*(Reprogramaciones!O$14-1))),MIN(F276,(Reprogramaciones!$T$15+7*(Reprogramaciones!O$14-1))+6),11))))))))</f>
        <v/>
      </c>
      <c r="BY276" s="1" t="str">
        <f aca="false">IF(OR(NOT(AND(ISNUMBER(E276),ISNUMBER(F276))),$J$2=""),"",IF(Reprogramaciones!P$13&lt;Reprogramaciones!$T$15,0,IF(Reprogramaciones!P$14&gt;10,MIN(100,SUM($G276:$P276)),MIN(100,SUMPRODUCT((COLUMN($G276:$P276)-COLUMN($G276)+1&lt;Reprogramaciones!P$14)*$G276:$P276)+N(INDEX($G276:$P276,1,Reprogramaciones!P$14))*IF(Reprogramaciones!P$13&gt;=(Reprogramaciones!$T$15+7*(Reprogramaciones!P$14-1))+6,1,IF(MAX(0,NETWORKDAYS.INTL(MAX(E276,(Reprogramaciones!$T$15+7*(Reprogramaciones!P$14-1))),MIN(F276,(Reprogramaciones!$T$15+7*(Reprogramaciones!P$14-1))+6),11))=0,0,MAX(0,NETWORKDAYS.INTL(MAX(E276,(Reprogramaciones!$T$15+7*(Reprogramaciones!P$14-1))),MIN(F276,Reprogramaciones!P$13),11))/MAX(0,NETWORKDAYS.INTL(MAX(E276,(Reprogramaciones!$T$15+7*(Reprogramaciones!P$14-1))),MIN(F276,(Reprogramaciones!$T$15+7*(Reprogramaciones!P$14-1))+6),11))))))))</f>
        <v/>
      </c>
      <c r="BZ276" s="1" t="str">
        <f aca="false">IF(OR(NOT(AND(ISNUMBER(E276),ISNUMBER(F276))),$J$2=""),"",IF(Reprogramaciones!Q$13&lt;Reprogramaciones!$T$15,0,IF(Reprogramaciones!Q$14&gt;10,MIN(100,SUM($G276:$P276)),MIN(100,SUMPRODUCT((COLUMN($G276:$P276)-COLUMN($G276)+1&lt;Reprogramaciones!Q$14)*$G276:$P276)+N(INDEX($G276:$P276,1,Reprogramaciones!Q$14))*IF(Reprogramaciones!Q$13&gt;=(Reprogramaciones!$T$15+7*(Reprogramaciones!Q$14-1))+6,1,IF(MAX(0,NETWORKDAYS.INTL(MAX(E276,(Reprogramaciones!$T$15+7*(Reprogramaciones!Q$14-1))),MIN(F276,(Reprogramaciones!$T$15+7*(Reprogramaciones!Q$14-1))+6),11))=0,0,MAX(0,NETWORKDAYS.INTL(MAX(E276,(Reprogramaciones!$T$15+7*(Reprogramaciones!Q$14-1))),MIN(F276,Reprogramaciones!Q$13),11))/MAX(0,NETWORKDAYS.INTL(MAX(E276,(Reprogramaciones!$T$15+7*(Reprogramaciones!Q$14-1))),MIN(F276,(Reprogramaciones!$T$15+7*(Reprogramaciones!Q$14-1))+6),11))))))))</f>
        <v/>
      </c>
      <c r="CA276" s="1" t="str">
        <f aca="false">IF(OR(NOT(AND(ISNUMBER(E276),ISNUMBER(F276))),$J$2=""),"",IF(Reprogramaciones!R$13&lt;Reprogramaciones!$T$15,0,IF(Reprogramaciones!R$14&gt;10,MIN(100,SUM($G276:$P276)),MIN(100,SUMPRODUCT((COLUMN($G276:$P276)-COLUMN($G276)+1&lt;Reprogramaciones!R$14)*$G276:$P276)+N(INDEX($G276:$P276,1,Reprogramaciones!R$14))*IF(Reprogramaciones!R$13&gt;=(Reprogramaciones!$T$15+7*(Reprogramaciones!R$14-1))+6,1,IF(MAX(0,NETWORKDAYS.INTL(MAX(E276,(Reprogramaciones!$T$15+7*(Reprogramaciones!R$14-1))),MIN(F276,(Reprogramaciones!$T$15+7*(Reprogramaciones!R$14-1))+6),11))=0,0,MAX(0,NETWORKDAYS.INTL(MAX(E276,(Reprogramaciones!$T$15+7*(Reprogramaciones!R$14-1))),MIN(F276,Reprogramaciones!R$13),11))/MAX(0,NETWORKDAYS.INTL(MAX(E276,(Reprogramaciones!$T$15+7*(Reprogramaciones!R$14-1))),MIN(F276,(Reprogramaciones!$T$15+7*(Reprogramaciones!R$14-1))+6),11))))))))</f>
        <v/>
      </c>
      <c r="CB276" s="1" t="str">
        <f aca="false">IF(OR(NOT(AND(ISNUMBER(E276),ISNUMBER(F276))),$J$2=""),"",IF(Reprogramaciones!S$13&lt;Reprogramaciones!$T$15,0,IF(Reprogramaciones!S$14&gt;10,MIN(100,SUM($G276:$P276)),MIN(100,SUMPRODUCT((COLUMN($G276:$P276)-COLUMN($G276)+1&lt;Reprogramaciones!S$14)*$G276:$P276)+N(INDEX($G276:$P276,1,Reprogramaciones!S$14))*IF(Reprogramaciones!S$13&gt;=(Reprogramaciones!$T$15+7*(Reprogramaciones!S$14-1))+6,1,IF(MAX(0,NETWORKDAYS.INTL(MAX(E276,(Reprogramaciones!$T$15+7*(Reprogramaciones!S$14-1))),MIN(F276,(Reprogramaciones!$T$15+7*(Reprogramaciones!S$14-1))+6),11))=0,0,MAX(0,NETWORKDAYS.INTL(MAX(E276,(Reprogramaciones!$T$15+7*(Reprogramaciones!S$14-1))),MIN(F276,Reprogramaciones!S$13),11))/MAX(0,NETWORKDAYS.INTL(MAX(E276,(Reprogramaciones!$T$15+7*(Reprogramaciones!S$14-1))),MIN(F276,(Reprogramaciones!$T$15+7*(Reprogramaciones!S$14-1))+6),11))))))))</f>
        <v/>
      </c>
      <c r="CC276" s="1" t="str">
        <f aca="false">IF(OR(NOT(AND(ISNUMBER(E276),ISNUMBER(F276))),$J$2=""),"",IF(Reprogramaciones!T$13&lt;Reprogramaciones!$T$15,0,IF(Reprogramaciones!T$14&gt;10,MIN(100,SUM($G276:$P276)),MIN(100,SUMPRODUCT((COLUMN($G276:$P276)-COLUMN($G276)+1&lt;Reprogramaciones!T$14)*$G276:$P276)+N(INDEX($G276:$P276,1,Reprogramaciones!T$14))*IF(Reprogramaciones!T$13&gt;=(Reprogramaciones!$T$15+7*(Reprogramaciones!T$14-1))+6,1,IF(MAX(0,NETWORKDAYS.INTL(MAX(E276,(Reprogramaciones!$T$15+7*(Reprogramaciones!T$14-1))),MIN(F276,(Reprogramaciones!$T$15+7*(Reprogramaciones!T$14-1))+6),11))=0,0,MAX(0,NETWORKDAYS.INTL(MAX(E276,(Reprogramaciones!$T$15+7*(Reprogramaciones!T$14-1))),MIN(F276,Reprogramaciones!T$13),11))/MAX(0,NETWORKDAYS.INTL(MAX(E276,(Reprogramaciones!$T$15+7*(Reprogramaciones!T$14-1))),MIN(F276,(Reprogramaciones!$T$15+7*(Reprogramaciones!T$14-1))+6),11))))))))</f>
        <v/>
      </c>
      <c r="CD276" s="1" t="str">
        <f aca="false">IF(OR(NOT(AND(ISNUMBER(E276),ISNUMBER(F276))),$J$2=""),"",IF(Reprogramaciones!U$13&lt;Reprogramaciones!$T$15,0,IF(Reprogramaciones!U$14&gt;10,MIN(100,SUM($G276:$P276)),MIN(100,SUMPRODUCT((COLUMN($G276:$P276)-COLUMN($G276)+1&lt;Reprogramaciones!U$14)*$G276:$P276)+N(INDEX($G276:$P276,1,Reprogramaciones!U$14))*IF(Reprogramaciones!U$13&gt;=(Reprogramaciones!$T$15+7*(Reprogramaciones!U$14-1))+6,1,IF(MAX(0,NETWORKDAYS.INTL(MAX(E276,(Reprogramaciones!$T$15+7*(Reprogramaciones!U$14-1))),MIN(F276,(Reprogramaciones!$T$15+7*(Reprogramaciones!U$14-1))+6),11))=0,0,MAX(0,NETWORKDAYS.INTL(MAX(E276,(Reprogramaciones!$T$15+7*(Reprogramaciones!U$14-1))),MIN(F276,Reprogramaciones!U$13),11))/MAX(0,NETWORKDAYS.INTL(MAX(E276,(Reprogramaciones!$T$15+7*(Reprogramaciones!U$14-1))),MIN(F276,(Reprogramaciones!$T$15+7*(Reprogramaciones!U$14-1))+6),11))))))))</f>
        <v/>
      </c>
      <c r="CE276" s="1" t="str">
        <f aca="false">IF(OR(NOT(AND(ISNUMBER(E276),ISNUMBER(F276))),$J$2=""),"",IF(Reprogramaciones!V$13&lt;Reprogramaciones!$T$15,0,IF(Reprogramaciones!V$14&gt;10,MIN(100,SUM($G276:$P276)),MIN(100,SUMPRODUCT((COLUMN($G276:$P276)-COLUMN($G276)+1&lt;Reprogramaciones!V$14)*$G276:$P276)+N(INDEX($G276:$P276,1,Reprogramaciones!V$14))*IF(Reprogramaciones!V$13&gt;=(Reprogramaciones!$T$15+7*(Reprogramaciones!V$14-1))+6,1,IF(MAX(0,NETWORKDAYS.INTL(MAX(E276,(Reprogramaciones!$T$15+7*(Reprogramaciones!V$14-1))),MIN(F276,(Reprogramaciones!$T$15+7*(Reprogramaciones!V$14-1))+6),11))=0,0,MAX(0,NETWORKDAYS.INTL(MAX(E276,(Reprogramaciones!$T$15+7*(Reprogramaciones!V$14-1))),MIN(F276,Reprogramaciones!V$13),11))/MAX(0,NETWORKDAYS.INTL(MAX(E276,(Reprogramaciones!$T$15+7*(Reprogramaciones!V$14-1))),MIN(F276,(Reprogramaciones!$T$15+7*(Reprogramaciones!V$14-1))+6),11))))))))</f>
        <v/>
      </c>
      <c r="CF276" s="1" t="str">
        <f aca="false">IF(OR(NOT(AND(ISNUMBER(E276),ISNUMBER(F276))),$J$2=""),"",IF(Reprogramaciones!W$13&lt;Reprogramaciones!$T$15,0,IF(Reprogramaciones!W$14&gt;10,MIN(100,SUM($G276:$P276)),MIN(100,SUMPRODUCT((COLUMN($G276:$P276)-COLUMN($G276)+1&lt;Reprogramaciones!W$14)*$G276:$P276)+N(INDEX($G276:$P276,1,Reprogramaciones!W$14))*IF(Reprogramaciones!W$13&gt;=(Reprogramaciones!$T$15+7*(Reprogramaciones!W$14-1))+6,1,IF(MAX(0,NETWORKDAYS.INTL(MAX(E276,(Reprogramaciones!$T$15+7*(Reprogramaciones!W$14-1))),MIN(F276,(Reprogramaciones!$T$15+7*(Reprogramaciones!W$14-1))+6),11))=0,0,MAX(0,NETWORKDAYS.INTL(MAX(E276,(Reprogramaciones!$T$15+7*(Reprogramaciones!W$14-1))),MIN(F276,Reprogramaciones!W$13),11))/MAX(0,NETWORKDAYS.INTL(MAX(E276,(Reprogramaciones!$T$15+7*(Reprogramaciones!W$14-1))),MIN(F276,(Reprogramaciones!$T$15+7*(Reprogramaciones!W$14-1))+6),11))))))))</f>
        <v/>
      </c>
      <c r="CG276" s="1" t="str">
        <f aca="false">IF(OR(NOT(AND(ISNUMBER(E276),ISNUMBER(F276))),$J$2=""),"",IF(Reprogramaciones!X$13&lt;Reprogramaciones!$T$15,0,IF(Reprogramaciones!X$14&gt;10,MIN(100,SUM($G276:$P276)),MIN(100,SUMPRODUCT((COLUMN($G276:$P276)-COLUMN($G276)+1&lt;Reprogramaciones!X$14)*$G276:$P276)+N(INDEX($G276:$P276,1,Reprogramaciones!X$14))*IF(Reprogramaciones!X$13&gt;=(Reprogramaciones!$T$15+7*(Reprogramaciones!X$14-1))+6,1,IF(MAX(0,NETWORKDAYS.INTL(MAX(E276,(Reprogramaciones!$T$15+7*(Reprogramaciones!X$14-1))),MIN(F276,(Reprogramaciones!$T$15+7*(Reprogramaciones!X$14-1))+6),11))=0,0,MAX(0,NETWORKDAYS.INTL(MAX(E276,(Reprogramaciones!$T$15+7*(Reprogramaciones!X$14-1))),MIN(F276,Reprogramaciones!X$13),11))/MAX(0,NETWORKDAYS.INTL(MAX(E276,(Reprogramaciones!$T$15+7*(Reprogramaciones!X$14-1))),MIN(F276,(Reprogramaciones!$T$15+7*(Reprogramaciones!X$14-1))+6),11))))))))</f>
        <v/>
      </c>
      <c r="CH276" s="1" t="str">
        <f aca="false">IF(OR(NOT(AND(ISNUMBER(E276),ISNUMBER(F276))),$J$2=""),"",IF(Reprogramaciones!Y$13&lt;Reprogramaciones!$T$15,0,IF(Reprogramaciones!Y$14&gt;10,MIN(100,SUM($G276:$P276)),MIN(100,SUMPRODUCT((COLUMN($G276:$P276)-COLUMN($G276)+1&lt;Reprogramaciones!Y$14)*$G276:$P276)+N(INDEX($G276:$P276,1,Reprogramaciones!Y$14))*IF(Reprogramaciones!Y$13&gt;=(Reprogramaciones!$T$15+7*(Reprogramaciones!Y$14-1))+6,1,IF(MAX(0,NETWORKDAYS.INTL(MAX(E276,(Reprogramaciones!$T$15+7*(Reprogramaciones!Y$14-1))),MIN(F276,(Reprogramaciones!$T$15+7*(Reprogramaciones!Y$14-1))+6),11))=0,0,MAX(0,NETWORKDAYS.INTL(MAX(E276,(Reprogramaciones!$T$15+7*(Reprogramaciones!Y$14-1))),MIN(F276,Reprogramaciones!Y$13),11))/MAX(0,NETWORKDAYS.INTL(MAX(E276,(Reprogramaciones!$T$15+7*(Reprogramaciones!Y$14-1))),MIN(F276,(Reprogramaciones!$T$15+7*(Reprogramaciones!Y$14-1))+6),11))))))))</f>
        <v/>
      </c>
      <c r="CI276" s="1" t="str">
        <f aca="false">IF(OR(NOT(AND(ISNUMBER(E276),ISNUMBER(F276))),$J$2=""),"",IF(Reprogramaciones!Z$13&lt;Reprogramaciones!$T$15,0,IF(Reprogramaciones!Z$14&gt;10,MIN(100,SUM($G276:$P276)),MIN(100,SUMPRODUCT((COLUMN($G276:$P276)-COLUMN($G276)+1&lt;Reprogramaciones!Z$14)*$G276:$P276)+N(INDEX($G276:$P276,1,Reprogramaciones!Z$14))*IF(Reprogramaciones!Z$13&gt;=(Reprogramaciones!$T$15+7*(Reprogramaciones!Z$14-1))+6,1,IF(MAX(0,NETWORKDAYS.INTL(MAX(E276,(Reprogramaciones!$T$15+7*(Reprogramaciones!Z$14-1))),MIN(F276,(Reprogramaciones!$T$15+7*(Reprogramaciones!Z$14-1))+6),11))=0,0,MAX(0,NETWORKDAYS.INTL(MAX(E276,(Reprogramaciones!$T$15+7*(Reprogramaciones!Z$14-1))),MIN(F276,Reprogramaciones!Z$13),11))/MAX(0,NETWORKDAYS.INTL(MAX(E276,(Reprogramaciones!$T$15+7*(Reprogramaciones!Z$14-1))),MIN(F276,(Reprogramaciones!$T$15+7*(Reprogramaciones!Z$14-1))+6),11))))))))</f>
        <v/>
      </c>
      <c r="CJ276" s="1" t="str">
        <f aca="false">IF(OR(OR(NOT(AND(ISNUMBER(E276),ISNUMBER(F276))),$J$2=""),1&gt;Reprogramaciones!$K$16),"",IF(ROUND(SUM($Q276:Q276),1)&gt;=99.5,100,MIN(100,ROUND(SUM($Q276:Q276),1))))</f>
        <v/>
      </c>
      <c r="CK276" s="1" t="str">
        <f aca="false">IF(OR(OR(NOT(AND(ISNUMBER(E276),ISNUMBER(F276))),$J$2=""),2&gt;Reprogramaciones!$K$16),"",IF(ROUND(SUM($Q276:R276),1)&gt;=99.5,100,MIN(100,ROUND(SUM($Q276:R276),1))))</f>
        <v/>
      </c>
      <c r="CL276" s="1" t="str">
        <f aca="false">IF(OR(OR(NOT(AND(ISNUMBER(E276),ISNUMBER(F276))),$J$2=""),3&gt;Reprogramaciones!$K$16),"",IF(ROUND(SUM($Q276:S276),1)&gt;=99.5,100,MIN(100,ROUND(SUM($Q276:S276),1))))</f>
        <v/>
      </c>
      <c r="CM276" s="1" t="str">
        <f aca="false">IF(OR(OR(NOT(AND(ISNUMBER(E276),ISNUMBER(F276))),$J$2=""),4&gt;Reprogramaciones!$K$16),"",IF(ROUND(SUM($Q276:T276),1)&gt;=99.5,100,MIN(100,ROUND(SUM($Q276:T276),1))))</f>
        <v/>
      </c>
      <c r="CN276" s="1" t="str">
        <f aca="false">IF(OR(OR(NOT(AND(ISNUMBER(E276),ISNUMBER(F276))),$J$2=""),5&gt;Reprogramaciones!$K$16),"",IF(ROUND(SUM($Q276:U276),1)&gt;=99.5,100,MIN(100,ROUND(SUM($Q276:U276),1))))</f>
        <v/>
      </c>
      <c r="CO276" s="1" t="str">
        <f aca="false">IF(OR(OR(NOT(AND(ISNUMBER(E276),ISNUMBER(F276))),$J$2=""),6&gt;Reprogramaciones!$K$16),"",IF(ROUND(SUM($Q276:V276),1)&gt;=99.5,100,MIN(100,ROUND(SUM($Q276:V276),1))))</f>
        <v/>
      </c>
      <c r="CP276" s="1" t="str">
        <f aca="false">IF(OR(OR(NOT(AND(ISNUMBER(E276),ISNUMBER(F276))),$J$2=""),7&gt;Reprogramaciones!$K$16),"",IF(ROUND(SUM($Q276:W276),1)&gt;=99.5,100,MIN(100,ROUND(SUM($Q276:W276),1))))</f>
        <v/>
      </c>
      <c r="CQ276" s="1" t="str">
        <f aca="false">IF(OR(OR(NOT(AND(ISNUMBER(E276),ISNUMBER(F276))),$J$2=""),8&gt;Reprogramaciones!$K$16),"",IF(ROUND(SUM($Q276:X276),1)&gt;=99.5,100,MIN(100,ROUND(SUM($Q276:X276),1))))</f>
        <v/>
      </c>
      <c r="CR276" s="1" t="str">
        <f aca="false">IF(OR(OR(NOT(AND(ISNUMBER(E276),ISNUMBER(F276))),$J$2=""),9&gt;Reprogramaciones!$K$16),"",IF(ROUND(SUM($Q276:Y276),1)&gt;=99.5,100,MIN(100,ROUND(SUM($Q276:Y276),1))))</f>
        <v/>
      </c>
      <c r="CS276" s="1" t="str">
        <f aca="false">IF(OR(OR(NOT(AND(ISNUMBER(E276),ISNUMBER(F276))),$J$2=""),10&gt;Reprogramaciones!$K$16),"",IF(ROUND(SUM($Q276:Z276),1)&gt;=99.5,100,MIN(100,ROUND(SUM($Q276:Z276),1))))</f>
        <v/>
      </c>
      <c r="CT276" s="1" t="str">
        <f aca="false">IF(OR(OR(NOT(AND(ISNUMBER(E276),ISNUMBER(F276))),$J$2=""),11&gt;Reprogramaciones!$K$16),"",IF(ROUND(SUM($Q276:AA276),1)&gt;=99.5,100,MIN(100,ROUND(SUM($Q276:AA276),1))))</f>
        <v/>
      </c>
      <c r="CU276" s="1" t="str">
        <f aca="false">IF(OR(OR(NOT(AND(ISNUMBER(E276),ISNUMBER(F276))),$J$2=""),12&gt;Reprogramaciones!$K$16),"",IF(ROUND(SUM($Q276:AB276),1)&gt;=99.5,100,MIN(100,ROUND(SUM($Q276:AB276),1))))</f>
        <v/>
      </c>
      <c r="CV276" s="1" t="str">
        <f aca="false">IF(OR(OR(NOT(AND(ISNUMBER(E276),ISNUMBER(F276))),$J$2=""),13&gt;Reprogramaciones!$K$16),"",IF(ROUND(SUM($Q276:AC276),1)&gt;=99.5,100,MIN(100,ROUND(SUM($Q276:AC276),1))))</f>
        <v/>
      </c>
      <c r="CW276" s="1" t="str">
        <f aca="false">IF(OR(OR(NOT(AND(ISNUMBER(E276),ISNUMBER(F276))),$J$2=""),14&gt;Reprogramaciones!$K$16),"",IF(ROUND(SUM($Q276:AD276),1)&gt;=99.5,100,MIN(100,ROUND(SUM($Q276:AD276),1))))</f>
        <v/>
      </c>
      <c r="CX276" s="1" t="str">
        <f aca="false">IF(OR(OR(NOT(AND(ISNUMBER(E276),ISNUMBER(F276))),$J$2=""),15&gt;Reprogramaciones!$K$16),"",IF(ROUND(SUM($Q276:AE276),1)&gt;=99.5,100,MIN(100,ROUND(SUM($Q276:AE276),1))))</f>
        <v/>
      </c>
      <c r="CY276" s="1" t="str">
        <f aca="false">IF(OR(OR(NOT(AND(ISNUMBER(E276),ISNUMBER(F276))),$J$2=""),16&gt;Reprogramaciones!$K$16),"",IF(ROUND(SUM($Q276:AF276),1)&gt;=99.5,100,MIN(100,ROUND(SUM($Q276:AF276),1))))</f>
        <v/>
      </c>
      <c r="CZ276" s="1" t="str">
        <f aca="false">IF(D276&lt;&gt;"",D276,IF(B276&lt;&gt;"","Contractual",CZ275))</f>
        <v>Contractual</v>
      </c>
      <c r="DA276" s="1" t="str">
        <f aca="false">IF(OR(NOT(AND(ISNUMBER(E276),ISNUMBER(F276))),$J$2=""),"",IF(Reprogramaciones!$Q$15&lt;Reprogramaciones!$T$15,0,IF(Reprogramaciones!$S$15&gt;10,MIN(100,SUM($G276:$P276)),MIN(100,SUMPRODUCT((COLUMN($G276:$P276)-COLUMN($G276)+1&lt;Reprogramaciones!$S$15)*$G276:$P276)+N(INDEX($G276:$P276,1,Reprogramaciones!$S$15))*IF(Reprogramaciones!$Q$15&gt;=(Reprogramaciones!$T$15+7*(Reprogramaciones!$S$15-1))+6,1,IF(MAX(0,NETWORKDAYS.INTL(MAX(E276,(Reprogramaciones!$T$15+7*(Reprogramaciones!$S$15-1))),MIN(F276,(Reprogramaciones!$T$15+7*(Reprogramaciones!$S$15-1))+6),11))=0,0,MAX(0,NETWORKDAYS.INTL(MAX(E276,(Reprogramaciones!$T$15+7*(Reprogramaciones!$S$15-1))),MIN(F276,Reprogramaciones!$Q$15),11))/MAX(0,NETWORKDAYS.INTL(MAX(E276,(Reprogramaciones!$T$15+7*(Reprogramaciones!$S$15-1))),MIN(F276,(Reprogramaciones!$T$15+7*(Reprogramaciones!$S$15-1))+6),11))))))))</f>
        <v/>
      </c>
    </row>
    <row r="277" customFormat="false" ht="15" hidden="false" customHeight="false" outlineLevel="0" collapsed="false">
      <c r="A277" s="32"/>
      <c r="B277" s="33"/>
      <c r="C277" s="33"/>
      <c r="D277" s="34"/>
      <c r="E277" s="35"/>
      <c r="F277" s="35"/>
      <c r="G277" s="36" t="str">
        <f aca="false">IF(OR(NOT(AND(ISNUMBER(E277),ISNUMBER(F277))),$J$2=""),"",IF(Reprogramaciones!K$9&lt;E277,0,IF(NETWORKDAYS.INTL(E277,F277,11)=0,IF(Reprogramaciones!K$9&gt;=F277,100,0),ROUND(NETWORKDAYS.INTL(E277,MIN(F277,Reprogramaciones!K$9),11)/NETWORKDAYS.INTL(E277,F277,11)*100,1)))-0)</f>
        <v/>
      </c>
      <c r="H277" s="36" t="str">
        <f aca="false">IF(OR(NOT(AND(ISNUMBER(E277),ISNUMBER(F277))),$J$2=""),"",IF(Reprogramaciones!L$9&lt;E277,0,IF(NETWORKDAYS.INTL(E277,F277,11)=0,IF(Reprogramaciones!L$9&gt;=F277,100,0),ROUND(NETWORKDAYS.INTL(E277,MIN(F277,Reprogramaciones!L$9),11)/NETWORKDAYS.INTL(E277,F277,11)*100,1)))-IF(Reprogramaciones!K$9&lt;E277,0,IF(NETWORKDAYS.INTL(E277,F277,11)=0,IF(Reprogramaciones!K$9&gt;=F277,100,0),ROUND(NETWORKDAYS.INTL(E277,MIN(F277,Reprogramaciones!K$9),11)/NETWORKDAYS.INTL(E277,F277,11)*100,1))))</f>
        <v/>
      </c>
      <c r="I277" s="36" t="str">
        <f aca="false">IF(OR(NOT(AND(ISNUMBER(E277),ISNUMBER(F277))),$J$2=""),"",IF(Reprogramaciones!M$9&lt;E277,0,IF(NETWORKDAYS.INTL(E277,F277,11)=0,IF(Reprogramaciones!M$9&gt;=F277,100,0),ROUND(NETWORKDAYS.INTL(E277,MIN(F277,Reprogramaciones!M$9),11)/NETWORKDAYS.INTL(E277,F277,11)*100,1)))-IF(Reprogramaciones!L$9&lt;E277,0,IF(NETWORKDAYS.INTL(E277,F277,11)=0,IF(Reprogramaciones!L$9&gt;=F277,100,0),ROUND(NETWORKDAYS.INTL(E277,MIN(F277,Reprogramaciones!L$9),11)/NETWORKDAYS.INTL(E277,F277,11)*100,1))))</f>
        <v/>
      </c>
      <c r="J277" s="36" t="str">
        <f aca="false">IF(OR(NOT(AND(ISNUMBER(E277),ISNUMBER(F277))),$J$2=""),"",IF(Reprogramaciones!N$9&lt;E277,0,IF(NETWORKDAYS.INTL(E277,F277,11)=0,IF(Reprogramaciones!N$9&gt;=F277,100,0),ROUND(NETWORKDAYS.INTL(E277,MIN(F277,Reprogramaciones!N$9),11)/NETWORKDAYS.INTL(E277,F277,11)*100,1)))-IF(Reprogramaciones!M$9&lt;E277,0,IF(NETWORKDAYS.INTL(E277,F277,11)=0,IF(Reprogramaciones!M$9&gt;=F277,100,0),ROUND(NETWORKDAYS.INTL(E277,MIN(F277,Reprogramaciones!M$9),11)/NETWORKDAYS.INTL(E277,F277,11)*100,1))))</f>
        <v/>
      </c>
      <c r="K277" s="36" t="str">
        <f aca="false">IF(OR(NOT(AND(ISNUMBER(E277),ISNUMBER(F277))),$J$2=""),"",IF(Reprogramaciones!O$9&lt;E277,0,IF(NETWORKDAYS.INTL(E277,F277,11)=0,IF(Reprogramaciones!O$9&gt;=F277,100,0),ROUND(NETWORKDAYS.INTL(E277,MIN(F277,Reprogramaciones!O$9),11)/NETWORKDAYS.INTL(E277,F277,11)*100,1)))-IF(Reprogramaciones!N$9&lt;E277,0,IF(NETWORKDAYS.INTL(E277,F277,11)=0,IF(Reprogramaciones!N$9&gt;=F277,100,0),ROUND(NETWORKDAYS.INTL(E277,MIN(F277,Reprogramaciones!N$9),11)/NETWORKDAYS.INTL(E277,F277,11)*100,1))))</f>
        <v/>
      </c>
      <c r="L277" s="36" t="str">
        <f aca="false">IF(OR(NOT(AND(ISNUMBER(E277),ISNUMBER(F277))),$J$2=""),"",IF(Reprogramaciones!P$9&lt;E277,0,IF(NETWORKDAYS.INTL(E277,F277,11)=0,IF(Reprogramaciones!P$9&gt;=F277,100,0),ROUND(NETWORKDAYS.INTL(E277,MIN(F277,Reprogramaciones!P$9),11)/NETWORKDAYS.INTL(E277,F277,11)*100,1)))-IF(Reprogramaciones!O$9&lt;E277,0,IF(NETWORKDAYS.INTL(E277,F277,11)=0,IF(Reprogramaciones!O$9&gt;=F277,100,0),ROUND(NETWORKDAYS.INTL(E277,MIN(F277,Reprogramaciones!O$9),11)/NETWORKDAYS.INTL(E277,F277,11)*100,1))))</f>
        <v/>
      </c>
      <c r="M277" s="36" t="str">
        <f aca="false">IF(OR(NOT(AND(ISNUMBER(E277),ISNUMBER(F277))),$J$2=""),"",IF(Reprogramaciones!Q$9&lt;E277,0,IF(NETWORKDAYS.INTL(E277,F277,11)=0,IF(Reprogramaciones!Q$9&gt;=F277,100,0),ROUND(NETWORKDAYS.INTL(E277,MIN(F277,Reprogramaciones!Q$9),11)/NETWORKDAYS.INTL(E277,F277,11)*100,1)))-IF(Reprogramaciones!P$9&lt;E277,0,IF(NETWORKDAYS.INTL(E277,F277,11)=0,IF(Reprogramaciones!P$9&gt;=F277,100,0),ROUND(NETWORKDAYS.INTL(E277,MIN(F277,Reprogramaciones!P$9),11)/NETWORKDAYS.INTL(E277,F277,11)*100,1))))</f>
        <v/>
      </c>
      <c r="N277" s="36" t="str">
        <f aca="false">IF(OR(NOT(AND(ISNUMBER(E277),ISNUMBER(F277))),$J$2=""),"",IF(Reprogramaciones!R$9&lt;E277,0,IF(NETWORKDAYS.INTL(E277,F277,11)=0,IF(Reprogramaciones!R$9&gt;=F277,100,0),ROUND(NETWORKDAYS.INTL(E277,MIN(F277,Reprogramaciones!R$9),11)/NETWORKDAYS.INTL(E277,F277,11)*100,1)))-IF(Reprogramaciones!Q$9&lt;E277,0,IF(NETWORKDAYS.INTL(E277,F277,11)=0,IF(Reprogramaciones!Q$9&gt;=F277,100,0),ROUND(NETWORKDAYS.INTL(E277,MIN(F277,Reprogramaciones!Q$9),11)/NETWORKDAYS.INTL(E277,F277,11)*100,1))))</f>
        <v/>
      </c>
      <c r="O277" s="36" t="str">
        <f aca="false">IF(OR(NOT(AND(ISNUMBER(E277),ISNUMBER(F277))),$J$2=""),"",IF(Reprogramaciones!S$9&lt;E277,0,IF(NETWORKDAYS.INTL(E277,F277,11)=0,IF(Reprogramaciones!S$9&gt;=F277,100,0),ROUND(NETWORKDAYS.INTL(E277,MIN(F277,Reprogramaciones!S$9),11)/NETWORKDAYS.INTL(E277,F277,11)*100,1)))-IF(Reprogramaciones!R$9&lt;E277,0,IF(NETWORKDAYS.INTL(E277,F277,11)=0,IF(Reprogramaciones!R$9&gt;=F277,100,0),ROUND(NETWORKDAYS.INTL(E277,MIN(F277,Reprogramaciones!R$9),11)/NETWORKDAYS.INTL(E277,F277,11)*100,1))))</f>
        <v/>
      </c>
      <c r="P277" s="36" t="str">
        <f aca="false">IF(OR(NOT(AND(ISNUMBER(E277),ISNUMBER(F277))),$J$2=""),"",IF(Reprogramaciones!T$9&lt;E277,0,IF(NETWORKDAYS.INTL(E277,F277,11)=0,IF(Reprogramaciones!T$9&gt;=F277,100,0),ROUND(NETWORKDAYS.INTL(E277,MIN(F277,Reprogramaciones!T$9),11)/NETWORKDAYS.INTL(E277,F277,11)*100,1)))-IF(Reprogramaciones!S$9&lt;E277,0,IF(NETWORKDAYS.INTL(E277,F277,11)=0,IF(Reprogramaciones!S$9&gt;=F277,100,0),ROUND(NETWORKDAYS.INTL(E277,MIN(F277,Reprogramaciones!S$9),11)/NETWORKDAYS.INTL(E277,F277,11)*100,1))))</f>
        <v/>
      </c>
      <c r="Q277" s="37"/>
      <c r="R277" s="37"/>
      <c r="S277" s="37"/>
      <c r="T277" s="37"/>
      <c r="U277" s="37"/>
      <c r="V277" s="37"/>
      <c r="W277" s="37"/>
      <c r="X277" s="37"/>
      <c r="Y277" s="37"/>
      <c r="Z277" s="37"/>
      <c r="AA277" s="37"/>
      <c r="AB277" s="37"/>
      <c r="AC277" s="37"/>
      <c r="AD277" s="37"/>
      <c r="AE277" s="37"/>
      <c r="AF277" s="37"/>
      <c r="AG277" s="38" t="str">
        <f aca="false">IF(AND(ISNUMBER(E277),ISNUMBER(F277)),NETWORKDAYS.INTL(E277,F277,11),"")</f>
        <v/>
      </c>
      <c r="AH277" s="38" t="str">
        <f aca="false">IF(OR(NOT(AND(ISNUMBER(E277),ISNUMBER(F277))),$J$2=""),"",IF(Reprogramaciones!$P$15&lt;Reprogramaciones!$T$15,0,IF(Reprogramaciones!$R$15&gt;10,MIN(100,SUM($G277:$P277)),MIN(100,SUMPRODUCT((COLUMN($G277:$P277)-COLUMN($G277)+1&lt;Reprogramaciones!$R$15)*$G277:$P277)+N(INDEX($G277:$P277,1,Reprogramaciones!$R$15))*IF(Reprogramaciones!$P$15&gt;=(Reprogramaciones!$T$15+7*(Reprogramaciones!$R$15-1))+6,1,IF(MAX(0,NETWORKDAYS.INTL(MAX(E277,(Reprogramaciones!$T$15+7*(Reprogramaciones!$R$15-1))),MIN(F277,(Reprogramaciones!$T$15+7*(Reprogramaciones!$R$15-1))+6),11))=0,0,MAX(0,NETWORKDAYS.INTL(MAX(E277,(Reprogramaciones!$T$15+7*(Reprogramaciones!$R$15-1))),MIN(F277,Reprogramaciones!$P$15),11))/MAX(0,NETWORKDAYS.INTL(MAX(E277,(Reprogramaciones!$T$15+7*(Reprogramaciones!$R$15-1))),MIN(F277,(Reprogramaciones!$T$15+7*(Reprogramaciones!$R$15-1))+6),11))))))))</f>
        <v/>
      </c>
      <c r="AI277" s="38" t="str">
        <f aca="false">IF(COUNT($Q277:$AF277)=0,"",IF(ROUND(SUM($Q277:$AF277),1)&gt;=99.5,100,MIN(100,ROUND(SUM($Q277:$AF277),1))))</f>
        <v/>
      </c>
      <c r="AJ277" s="38" t="str">
        <f aca="false">IF(OR(AH277="",AI277=""),"",AI277-AH277)</f>
        <v/>
      </c>
      <c r="AK277" s="39" t="str">
        <f aca="true">IF(AH277="","",IF(OR(Ficha!$C$10="Suspendida",Ficha!$C$10="Cancelada"),Ficha!$C$10,IF(AND(AI277&lt;&gt;"",N(AI277)&gt;=100),"Completada",IF(AND(E277&gt;TODAY(),N(AI277)=0),"Por iniciar",IF(N(AI277)+0.5&lt;AH277,"Retrasada",IF(N(AI277)+0.5&lt;DA277,IF(Reprogramaciones!$K$15&gt;0,"Al día · Sem "&amp;Reprogramaciones!$K$15&amp;" en curso","Al día · en curso"),"A tiempo"))))))</f>
        <v/>
      </c>
      <c r="AL277" s="39" t="str">
        <f aca="true">IF(AND(A277="",AND(B277="",C277="",E277="",F277="",COUNT(Q277:AF277)=0)),"",IF(AND(B277="",C277="",E277="",F277="",COUNT(Q277:AF277)=0),"Falta la partida o subpartida",IF(AND(A277&lt;&gt;"",COUNTIF($A$6:$A$305,A277)&gt;1),"Ítem repetido",IF(AND(C277="",E277="",F277="",COUNT(Q277:AF277)=0),"Título de partida",IF(OR(E277="",F277=""),"Faltan fechas",IF(OR(ISTEXT(E277),ISTEXT(F277)),"Fecha escrita como texto: usa dd/mm/aaaa",IF(F277&lt;E277,"Fin antes del inicio",IF(IF($J$2="",FALSE(),OR(E277&lt;$J$2,F277&gt;Reprogramaciones!$T$15+69)),"Fuera de las 10 semanas",IF(ABS(SUM(G277:P277)-100)&gt;0.5,"La meta no suma 100%",IF(ROUND(SUM(Q277:AF277),1)&gt;100.5,"El avance pasa de 100%",IF(MIN(Q277:AF277)&lt;0,"Avance negativo",IF(COUNTA(Q277:AF277)&gt;COUNT(Q277:AF277),"Avance escrito como texto",IF(SUMPRODUCT((Q277:AF277&gt;0)*(Q277:AF277&lt;1))&gt;0,"Avance menor a 1: escribe 50, no 50%",IF(SUMPRODUCT(ISNUMBER(Q277:AF277)*(Reprogramaciones!$K$8:$Z$8&gt;TODAY()))&gt;0,"Avance en semana que aún no llega",IF(AND(N(Reprogramaciones!$E$21)&gt;0,F277&gt;Reprogramaciones!$E$21),"Pasa el fin de la obra: registra una reprogramación",IF(AND(N(Reprogramaciones!$E$21)&gt;0,SUMPRODUCT(ISNUMBER(Q277:AF277)*(Reprogramaciones!$K$8:$Z$8&gt;Reprogramaciones!$E$21))&gt;0),"Avance después del fin de la obra: registra una reprogramación por atraso","OK"))))))))))))))))</f>
        <v/>
      </c>
      <c r="AM277" s="40" t="str">
        <f aca="false">IF(OR(OR(NOT(AND(ISNUMBER(E277),ISNUMBER(F277))),$J$2=""),1&gt;MAX(1,Reprogramaciones!$U$15)),"",IF(Reprogramaciones!K$12&gt;=7,"",IF(OR(BT277-N(0)&gt;0.05,N(Q277)&gt;0),ROUNDDOWN(ROUND(BT277,6),0)&amp;"%"&amp;IF(CJ277="",""," / "&amp;CJ277&amp;"%"),IF(AND(N(0)&gt;=99.95,CJ277&lt;&gt;"",N(CJ277)&lt;100),"Pend. "&amp;CJ277&amp;"%",""))))</f>
        <v/>
      </c>
      <c r="AN277" s="40" t="str">
        <f aca="false">IF(OR(OR(NOT(AND(ISNUMBER(E277),ISNUMBER(F277))),$J$2=""),2&gt;MAX(1,Reprogramaciones!$U$15)),"",IF(Reprogramaciones!L$12&gt;=7,"",IF(OR(BU277-N(BT277)&gt;0.05,N(R277)&gt;0),ROUNDDOWN(ROUND(BU277,6),0)&amp;"%"&amp;IF(CK277="",""," / "&amp;CK277&amp;"%"),IF(AND(N(BT277)&gt;=99.95,CK277&lt;&gt;"",N(CK277)&lt;100),"Pend. "&amp;CK277&amp;"%",""))))</f>
        <v/>
      </c>
      <c r="AO277" s="40" t="str">
        <f aca="false">IF(OR(OR(NOT(AND(ISNUMBER(E277),ISNUMBER(F277))),$J$2=""),3&gt;MAX(1,Reprogramaciones!$U$15)),"",IF(Reprogramaciones!M$12&gt;=7,"",IF(OR(BV277-N(BU277)&gt;0.05,N(S277)&gt;0),ROUNDDOWN(ROUND(BV277,6),0)&amp;"%"&amp;IF(CL277="",""," / "&amp;CL277&amp;"%"),IF(AND(N(BU277)&gt;=99.95,CL277&lt;&gt;"",N(CL277)&lt;100),"Pend. "&amp;CL277&amp;"%",""))))</f>
        <v/>
      </c>
      <c r="AP277" s="40" t="str">
        <f aca="false">IF(OR(OR(NOT(AND(ISNUMBER(E277),ISNUMBER(F277))),$J$2=""),4&gt;MAX(1,Reprogramaciones!$U$15)),"",IF(Reprogramaciones!N$12&gt;=7,"",IF(OR(BW277-N(BV277)&gt;0.05,N(T277)&gt;0),ROUNDDOWN(ROUND(BW277,6),0)&amp;"%"&amp;IF(CM277="",""," / "&amp;CM277&amp;"%"),IF(AND(N(BV277)&gt;=99.95,CM277&lt;&gt;"",N(CM277)&lt;100),"Pend. "&amp;CM277&amp;"%",""))))</f>
        <v/>
      </c>
      <c r="AQ277" s="40" t="str">
        <f aca="false">IF(OR(OR(NOT(AND(ISNUMBER(E277),ISNUMBER(F277))),$J$2=""),5&gt;MAX(1,Reprogramaciones!$U$15)),"",IF(Reprogramaciones!O$12&gt;=7,"",IF(OR(BX277-N(BW277)&gt;0.05,N(U277)&gt;0),ROUNDDOWN(ROUND(BX277,6),0)&amp;"%"&amp;IF(CN277="",""," / "&amp;CN277&amp;"%"),IF(AND(N(BW277)&gt;=99.95,CN277&lt;&gt;"",N(CN277)&lt;100),"Pend. "&amp;CN277&amp;"%",""))))</f>
        <v/>
      </c>
      <c r="AR277" s="40" t="str">
        <f aca="false">IF(OR(OR(NOT(AND(ISNUMBER(E277),ISNUMBER(F277))),$J$2=""),6&gt;MAX(1,Reprogramaciones!$U$15)),"",IF(Reprogramaciones!P$12&gt;=7,"",IF(OR(BY277-N(BX277)&gt;0.05,N(V277)&gt;0),ROUNDDOWN(ROUND(BY277,6),0)&amp;"%"&amp;IF(CO277="",""," / "&amp;CO277&amp;"%"),IF(AND(N(BX277)&gt;=99.95,CO277&lt;&gt;"",N(CO277)&lt;100),"Pend. "&amp;CO277&amp;"%",""))))</f>
        <v/>
      </c>
      <c r="AS277" s="40" t="str">
        <f aca="false">IF(OR(OR(NOT(AND(ISNUMBER(E277),ISNUMBER(F277))),$J$2=""),7&gt;MAX(1,Reprogramaciones!$U$15)),"",IF(Reprogramaciones!Q$12&gt;=7,"",IF(OR(BZ277-N(BY277)&gt;0.05,N(W277)&gt;0),ROUNDDOWN(ROUND(BZ277,6),0)&amp;"%"&amp;IF(CP277="",""," / "&amp;CP277&amp;"%"),IF(AND(N(BY277)&gt;=99.95,CP277&lt;&gt;"",N(CP277)&lt;100),"Pend. "&amp;CP277&amp;"%",""))))</f>
        <v/>
      </c>
      <c r="AT277" s="40" t="str">
        <f aca="false">IF(OR(OR(NOT(AND(ISNUMBER(E277),ISNUMBER(F277))),$J$2=""),8&gt;MAX(1,Reprogramaciones!$U$15)),"",IF(Reprogramaciones!R$12&gt;=7,"",IF(OR(CA277-N(BZ277)&gt;0.05,N(X277)&gt;0),ROUNDDOWN(ROUND(CA277,6),0)&amp;"%"&amp;IF(CQ277="",""," / "&amp;CQ277&amp;"%"),IF(AND(N(BZ277)&gt;=99.95,CQ277&lt;&gt;"",N(CQ277)&lt;100),"Pend. "&amp;CQ277&amp;"%",""))))</f>
        <v/>
      </c>
      <c r="AU277" s="40" t="str">
        <f aca="false">IF(OR(OR(NOT(AND(ISNUMBER(E277),ISNUMBER(F277))),$J$2=""),9&gt;MAX(1,Reprogramaciones!$U$15)),"",IF(Reprogramaciones!S$12&gt;=7,"",IF(OR(CB277-N(CA277)&gt;0.05,N(Y277)&gt;0),ROUNDDOWN(ROUND(CB277,6),0)&amp;"%"&amp;IF(CR277="",""," / "&amp;CR277&amp;"%"),IF(AND(N(CA277)&gt;=99.95,CR277&lt;&gt;"",N(CR277)&lt;100),"Pend. "&amp;CR277&amp;"%",""))))</f>
        <v/>
      </c>
      <c r="AV277" s="40" t="str">
        <f aca="false">IF(OR(OR(NOT(AND(ISNUMBER(E277),ISNUMBER(F277))),$J$2=""),10&gt;MAX(1,Reprogramaciones!$U$15)),"",IF(Reprogramaciones!T$12&gt;=7,"",IF(OR(CC277-N(CB277)&gt;0.05,N(Z277)&gt;0),ROUNDDOWN(ROUND(CC277,6),0)&amp;"%"&amp;IF(CS277="",""," / "&amp;CS277&amp;"%"),IF(AND(N(CB277)&gt;=99.95,CS277&lt;&gt;"",N(CS277)&lt;100),"Pend. "&amp;CS277&amp;"%",""))))</f>
        <v/>
      </c>
      <c r="AW277" s="40" t="str">
        <f aca="false">IF(OR(OR(NOT(AND(ISNUMBER(E277),ISNUMBER(F277))),$J$2=""),11&gt;MAX(1,Reprogramaciones!$U$15)),"",IF(Reprogramaciones!U$12&gt;=7,"",IF(OR(CD277-N(CC277)&gt;0.05,N(AA277)&gt;0),ROUNDDOWN(ROUND(CD277,6),0)&amp;"%"&amp;IF(CT277="",""," / "&amp;CT277&amp;"%"),IF(AND(N(CC277)&gt;=99.95,CT277&lt;&gt;"",N(CT277)&lt;100),"Pend. "&amp;CT277&amp;"%",""))))</f>
        <v/>
      </c>
      <c r="AX277" s="40" t="str">
        <f aca="false">IF(OR(OR(NOT(AND(ISNUMBER(E277),ISNUMBER(F277))),$J$2=""),12&gt;MAX(1,Reprogramaciones!$U$15)),"",IF(Reprogramaciones!V$12&gt;=7,"",IF(OR(CE277-N(CD277)&gt;0.05,N(AB277)&gt;0),ROUNDDOWN(ROUND(CE277,6),0)&amp;"%"&amp;IF(CU277="",""," / "&amp;CU277&amp;"%"),IF(AND(N(CD277)&gt;=99.95,CU277&lt;&gt;"",N(CU277)&lt;100),"Pend. "&amp;CU277&amp;"%",""))))</f>
        <v/>
      </c>
      <c r="AY277" s="40" t="str">
        <f aca="false">IF(OR(OR(NOT(AND(ISNUMBER(E277),ISNUMBER(F277))),$J$2=""),13&gt;MAX(1,Reprogramaciones!$U$15)),"",IF(Reprogramaciones!W$12&gt;=7,"",IF(OR(CF277-N(CE277)&gt;0.05,N(AC277)&gt;0),ROUNDDOWN(ROUND(CF277,6),0)&amp;"%"&amp;IF(CV277="",""," / "&amp;CV277&amp;"%"),IF(AND(N(CE277)&gt;=99.95,CV277&lt;&gt;"",N(CV277)&lt;100),"Pend. "&amp;CV277&amp;"%",""))))</f>
        <v/>
      </c>
      <c r="AZ277" s="40" t="str">
        <f aca="false">IF(OR(OR(NOT(AND(ISNUMBER(E277),ISNUMBER(F277))),$J$2=""),14&gt;MAX(1,Reprogramaciones!$U$15)),"",IF(Reprogramaciones!X$12&gt;=7,"",IF(OR(CG277-N(CF277)&gt;0.05,N(AD277)&gt;0),ROUNDDOWN(ROUND(CG277,6),0)&amp;"%"&amp;IF(CW277="",""," / "&amp;CW277&amp;"%"),IF(AND(N(CF277)&gt;=99.95,CW277&lt;&gt;"",N(CW277)&lt;100),"Pend. "&amp;CW277&amp;"%",""))))</f>
        <v/>
      </c>
      <c r="BA277" s="40" t="str">
        <f aca="false">IF(OR(OR(NOT(AND(ISNUMBER(E277),ISNUMBER(F277))),$J$2=""),15&gt;MAX(1,Reprogramaciones!$U$15)),"",IF(Reprogramaciones!Y$12&gt;=7,"",IF(OR(CH277-N(CG277)&gt;0.05,N(AE277)&gt;0),ROUNDDOWN(ROUND(CH277,6),0)&amp;"%"&amp;IF(CX277="",""," / "&amp;CX277&amp;"%"),IF(AND(N(CG277)&gt;=99.95,CX277&lt;&gt;"",N(CX277)&lt;100),"Pend. "&amp;CX277&amp;"%",""))))</f>
        <v/>
      </c>
      <c r="BB277" s="40" t="str">
        <f aca="false">IF(OR(OR(NOT(AND(ISNUMBER(E277),ISNUMBER(F277))),$J$2=""),16&gt;MAX(1,Reprogramaciones!$U$15)),"",IF(Reprogramaciones!Z$12&gt;=7,"",IF(OR(CI277-N(CH277)&gt;0.05,N(AF277)&gt;0),ROUNDDOWN(ROUND(CI277,6),0)&amp;"%"&amp;IF(CY277="",""," / "&amp;CY277&amp;"%"),IF(AND(N(CH277)&gt;=99.95,CY277&lt;&gt;"",N(CY277)&lt;100),"Pend. "&amp;CY277&amp;"%",""))))</f>
        <v/>
      </c>
      <c r="BC277" s="31" t="n">
        <f aca="false">IF(AND(ISNUMBER(E277),ISNUMBER(F277)),MAX(1,NETWORKDAYS.INTL(E277,F277,11)),0)</f>
        <v>0</v>
      </c>
      <c r="BD277" s="1" t="str">
        <f aca="false">IF(OR(NOT(AND(ISNUMBER(E277),ISNUMBER(F277))),$J$2=""),"",MIN(100,ROUND(SUM($G277:G277),1)))</f>
        <v/>
      </c>
      <c r="BE277" s="1" t="str">
        <f aca="false">IF(OR(NOT(AND(ISNUMBER(E277),ISNUMBER(F277))),$J$2=""),"",MIN(100,ROUND(SUM($G277:H277),1)))</f>
        <v/>
      </c>
      <c r="BF277" s="1" t="str">
        <f aca="false">IF(OR(NOT(AND(ISNUMBER(E277),ISNUMBER(F277))),$J$2=""),"",MIN(100,ROUND(SUM($G277:I277),1)))</f>
        <v/>
      </c>
      <c r="BG277" s="1" t="str">
        <f aca="false">IF(OR(NOT(AND(ISNUMBER(E277),ISNUMBER(F277))),$J$2=""),"",MIN(100,ROUND(SUM($G277:J277),1)))</f>
        <v/>
      </c>
      <c r="BH277" s="1" t="str">
        <f aca="false">IF(OR(NOT(AND(ISNUMBER(E277),ISNUMBER(F277))),$J$2=""),"",MIN(100,ROUND(SUM($G277:K277),1)))</f>
        <v/>
      </c>
      <c r="BI277" s="1" t="str">
        <f aca="false">IF(OR(NOT(AND(ISNUMBER(E277),ISNUMBER(F277))),$J$2=""),"",MIN(100,ROUND(SUM($G277:L277),1)))</f>
        <v/>
      </c>
      <c r="BJ277" s="1" t="str">
        <f aca="false">IF(OR(NOT(AND(ISNUMBER(E277),ISNUMBER(F277))),$J$2=""),"",MIN(100,ROUND(SUM($G277:M277),1)))</f>
        <v/>
      </c>
      <c r="BK277" s="1" t="str">
        <f aca="false">IF(OR(NOT(AND(ISNUMBER(E277),ISNUMBER(F277))),$J$2=""),"",MIN(100,ROUND(SUM($G277:N277),1)))</f>
        <v/>
      </c>
      <c r="BL277" s="1" t="str">
        <f aca="false">IF(OR(NOT(AND(ISNUMBER(E277),ISNUMBER(F277))),$J$2=""),"",MIN(100,ROUND(SUM($G277:O277),1)))</f>
        <v/>
      </c>
      <c r="BM277" s="1" t="str">
        <f aca="false">IF(OR(NOT(AND(ISNUMBER(E277),ISNUMBER(F277))),$J$2=""),"",MIN(100,ROUND(SUM($G277:P277),1)))</f>
        <v/>
      </c>
      <c r="BN277" s="1" t="str">
        <f aca="false">IF(OR(NOT(AND(ISNUMBER(E277),ISNUMBER(F277))),$J$2=""),"",MIN(100,ROUND(SUM($G277:P277),1)))</f>
        <v/>
      </c>
      <c r="BO277" s="1" t="str">
        <f aca="false">IF(OR(NOT(AND(ISNUMBER(E277),ISNUMBER(F277))),$J$2=""),"",MIN(100,ROUND(SUM($G277:P277),1)))</f>
        <v/>
      </c>
      <c r="BP277" s="1" t="str">
        <f aca="false">IF(OR(NOT(AND(ISNUMBER(E277),ISNUMBER(F277))),$J$2=""),"",MIN(100,ROUND(SUM($G277:P277),1)))</f>
        <v/>
      </c>
      <c r="BQ277" s="1" t="str">
        <f aca="false">IF(OR(NOT(AND(ISNUMBER(E277),ISNUMBER(F277))),$J$2=""),"",MIN(100,ROUND(SUM($G277:P277),1)))</f>
        <v/>
      </c>
      <c r="BR277" s="1" t="str">
        <f aca="false">IF(OR(NOT(AND(ISNUMBER(E277),ISNUMBER(F277))),$J$2=""),"",MIN(100,ROUND(SUM($G277:P277),1)))</f>
        <v/>
      </c>
      <c r="BS277" s="1" t="str">
        <f aca="false">IF(OR(NOT(AND(ISNUMBER(E277),ISNUMBER(F277))),$J$2=""),"",MIN(100,ROUND(SUM($G277:P277),1)))</f>
        <v/>
      </c>
      <c r="BT277" s="1" t="str">
        <f aca="false">IF(OR(NOT(AND(ISNUMBER(E277),ISNUMBER(F277))),$J$2=""),"",IF(Reprogramaciones!K$13&lt;Reprogramaciones!$T$15,0,IF(Reprogramaciones!K$14&gt;10,MIN(100,SUM($G277:$P277)),MIN(100,SUMPRODUCT((COLUMN($G277:$P277)-COLUMN($G277)+1&lt;Reprogramaciones!K$14)*$G277:$P277)+N(INDEX($G277:$P277,1,Reprogramaciones!K$14))*IF(Reprogramaciones!K$13&gt;=(Reprogramaciones!$T$15+7*(Reprogramaciones!K$14-1))+6,1,IF(MAX(0,NETWORKDAYS.INTL(MAX(E277,(Reprogramaciones!$T$15+7*(Reprogramaciones!K$14-1))),MIN(F277,(Reprogramaciones!$T$15+7*(Reprogramaciones!K$14-1))+6),11))=0,0,MAX(0,NETWORKDAYS.INTL(MAX(E277,(Reprogramaciones!$T$15+7*(Reprogramaciones!K$14-1))),MIN(F277,Reprogramaciones!K$13),11))/MAX(0,NETWORKDAYS.INTL(MAX(E277,(Reprogramaciones!$T$15+7*(Reprogramaciones!K$14-1))),MIN(F277,(Reprogramaciones!$T$15+7*(Reprogramaciones!K$14-1))+6),11))))))))</f>
        <v/>
      </c>
      <c r="BU277" s="1" t="str">
        <f aca="false">IF(OR(NOT(AND(ISNUMBER(E277),ISNUMBER(F277))),$J$2=""),"",IF(Reprogramaciones!L$13&lt;Reprogramaciones!$T$15,0,IF(Reprogramaciones!L$14&gt;10,MIN(100,SUM($G277:$P277)),MIN(100,SUMPRODUCT((COLUMN($G277:$P277)-COLUMN($G277)+1&lt;Reprogramaciones!L$14)*$G277:$P277)+N(INDEX($G277:$P277,1,Reprogramaciones!L$14))*IF(Reprogramaciones!L$13&gt;=(Reprogramaciones!$T$15+7*(Reprogramaciones!L$14-1))+6,1,IF(MAX(0,NETWORKDAYS.INTL(MAX(E277,(Reprogramaciones!$T$15+7*(Reprogramaciones!L$14-1))),MIN(F277,(Reprogramaciones!$T$15+7*(Reprogramaciones!L$14-1))+6),11))=0,0,MAX(0,NETWORKDAYS.INTL(MAX(E277,(Reprogramaciones!$T$15+7*(Reprogramaciones!L$14-1))),MIN(F277,Reprogramaciones!L$13),11))/MAX(0,NETWORKDAYS.INTL(MAX(E277,(Reprogramaciones!$T$15+7*(Reprogramaciones!L$14-1))),MIN(F277,(Reprogramaciones!$T$15+7*(Reprogramaciones!L$14-1))+6),11))))))))</f>
        <v/>
      </c>
      <c r="BV277" s="1" t="str">
        <f aca="false">IF(OR(NOT(AND(ISNUMBER(E277),ISNUMBER(F277))),$J$2=""),"",IF(Reprogramaciones!M$13&lt;Reprogramaciones!$T$15,0,IF(Reprogramaciones!M$14&gt;10,MIN(100,SUM($G277:$P277)),MIN(100,SUMPRODUCT((COLUMN($G277:$P277)-COLUMN($G277)+1&lt;Reprogramaciones!M$14)*$G277:$P277)+N(INDEX($G277:$P277,1,Reprogramaciones!M$14))*IF(Reprogramaciones!M$13&gt;=(Reprogramaciones!$T$15+7*(Reprogramaciones!M$14-1))+6,1,IF(MAX(0,NETWORKDAYS.INTL(MAX(E277,(Reprogramaciones!$T$15+7*(Reprogramaciones!M$14-1))),MIN(F277,(Reprogramaciones!$T$15+7*(Reprogramaciones!M$14-1))+6),11))=0,0,MAX(0,NETWORKDAYS.INTL(MAX(E277,(Reprogramaciones!$T$15+7*(Reprogramaciones!M$14-1))),MIN(F277,Reprogramaciones!M$13),11))/MAX(0,NETWORKDAYS.INTL(MAX(E277,(Reprogramaciones!$T$15+7*(Reprogramaciones!M$14-1))),MIN(F277,(Reprogramaciones!$T$15+7*(Reprogramaciones!M$14-1))+6),11))))))))</f>
        <v/>
      </c>
      <c r="BW277" s="1" t="str">
        <f aca="false">IF(OR(NOT(AND(ISNUMBER(E277),ISNUMBER(F277))),$J$2=""),"",IF(Reprogramaciones!N$13&lt;Reprogramaciones!$T$15,0,IF(Reprogramaciones!N$14&gt;10,MIN(100,SUM($G277:$P277)),MIN(100,SUMPRODUCT((COLUMN($G277:$P277)-COLUMN($G277)+1&lt;Reprogramaciones!N$14)*$G277:$P277)+N(INDEX($G277:$P277,1,Reprogramaciones!N$14))*IF(Reprogramaciones!N$13&gt;=(Reprogramaciones!$T$15+7*(Reprogramaciones!N$14-1))+6,1,IF(MAX(0,NETWORKDAYS.INTL(MAX(E277,(Reprogramaciones!$T$15+7*(Reprogramaciones!N$14-1))),MIN(F277,(Reprogramaciones!$T$15+7*(Reprogramaciones!N$14-1))+6),11))=0,0,MAX(0,NETWORKDAYS.INTL(MAX(E277,(Reprogramaciones!$T$15+7*(Reprogramaciones!N$14-1))),MIN(F277,Reprogramaciones!N$13),11))/MAX(0,NETWORKDAYS.INTL(MAX(E277,(Reprogramaciones!$T$15+7*(Reprogramaciones!N$14-1))),MIN(F277,(Reprogramaciones!$T$15+7*(Reprogramaciones!N$14-1))+6),11))))))))</f>
        <v/>
      </c>
      <c r="BX277" s="1" t="str">
        <f aca="false">IF(OR(NOT(AND(ISNUMBER(E277),ISNUMBER(F277))),$J$2=""),"",IF(Reprogramaciones!O$13&lt;Reprogramaciones!$T$15,0,IF(Reprogramaciones!O$14&gt;10,MIN(100,SUM($G277:$P277)),MIN(100,SUMPRODUCT((COLUMN($G277:$P277)-COLUMN($G277)+1&lt;Reprogramaciones!O$14)*$G277:$P277)+N(INDEX($G277:$P277,1,Reprogramaciones!O$14))*IF(Reprogramaciones!O$13&gt;=(Reprogramaciones!$T$15+7*(Reprogramaciones!O$14-1))+6,1,IF(MAX(0,NETWORKDAYS.INTL(MAX(E277,(Reprogramaciones!$T$15+7*(Reprogramaciones!O$14-1))),MIN(F277,(Reprogramaciones!$T$15+7*(Reprogramaciones!O$14-1))+6),11))=0,0,MAX(0,NETWORKDAYS.INTL(MAX(E277,(Reprogramaciones!$T$15+7*(Reprogramaciones!O$14-1))),MIN(F277,Reprogramaciones!O$13),11))/MAX(0,NETWORKDAYS.INTL(MAX(E277,(Reprogramaciones!$T$15+7*(Reprogramaciones!O$14-1))),MIN(F277,(Reprogramaciones!$T$15+7*(Reprogramaciones!O$14-1))+6),11))))))))</f>
        <v/>
      </c>
      <c r="BY277" s="1" t="str">
        <f aca="false">IF(OR(NOT(AND(ISNUMBER(E277),ISNUMBER(F277))),$J$2=""),"",IF(Reprogramaciones!P$13&lt;Reprogramaciones!$T$15,0,IF(Reprogramaciones!P$14&gt;10,MIN(100,SUM($G277:$P277)),MIN(100,SUMPRODUCT((COLUMN($G277:$P277)-COLUMN($G277)+1&lt;Reprogramaciones!P$14)*$G277:$P277)+N(INDEX($G277:$P277,1,Reprogramaciones!P$14))*IF(Reprogramaciones!P$13&gt;=(Reprogramaciones!$T$15+7*(Reprogramaciones!P$14-1))+6,1,IF(MAX(0,NETWORKDAYS.INTL(MAX(E277,(Reprogramaciones!$T$15+7*(Reprogramaciones!P$14-1))),MIN(F277,(Reprogramaciones!$T$15+7*(Reprogramaciones!P$14-1))+6),11))=0,0,MAX(0,NETWORKDAYS.INTL(MAX(E277,(Reprogramaciones!$T$15+7*(Reprogramaciones!P$14-1))),MIN(F277,Reprogramaciones!P$13),11))/MAX(0,NETWORKDAYS.INTL(MAX(E277,(Reprogramaciones!$T$15+7*(Reprogramaciones!P$14-1))),MIN(F277,(Reprogramaciones!$T$15+7*(Reprogramaciones!P$14-1))+6),11))))))))</f>
        <v/>
      </c>
      <c r="BZ277" s="1" t="str">
        <f aca="false">IF(OR(NOT(AND(ISNUMBER(E277),ISNUMBER(F277))),$J$2=""),"",IF(Reprogramaciones!Q$13&lt;Reprogramaciones!$T$15,0,IF(Reprogramaciones!Q$14&gt;10,MIN(100,SUM($G277:$P277)),MIN(100,SUMPRODUCT((COLUMN($G277:$P277)-COLUMN($G277)+1&lt;Reprogramaciones!Q$14)*$G277:$P277)+N(INDEX($G277:$P277,1,Reprogramaciones!Q$14))*IF(Reprogramaciones!Q$13&gt;=(Reprogramaciones!$T$15+7*(Reprogramaciones!Q$14-1))+6,1,IF(MAX(0,NETWORKDAYS.INTL(MAX(E277,(Reprogramaciones!$T$15+7*(Reprogramaciones!Q$14-1))),MIN(F277,(Reprogramaciones!$T$15+7*(Reprogramaciones!Q$14-1))+6),11))=0,0,MAX(0,NETWORKDAYS.INTL(MAX(E277,(Reprogramaciones!$T$15+7*(Reprogramaciones!Q$14-1))),MIN(F277,Reprogramaciones!Q$13),11))/MAX(0,NETWORKDAYS.INTL(MAX(E277,(Reprogramaciones!$T$15+7*(Reprogramaciones!Q$14-1))),MIN(F277,(Reprogramaciones!$T$15+7*(Reprogramaciones!Q$14-1))+6),11))))))))</f>
        <v/>
      </c>
      <c r="CA277" s="1" t="str">
        <f aca="false">IF(OR(NOT(AND(ISNUMBER(E277),ISNUMBER(F277))),$J$2=""),"",IF(Reprogramaciones!R$13&lt;Reprogramaciones!$T$15,0,IF(Reprogramaciones!R$14&gt;10,MIN(100,SUM($G277:$P277)),MIN(100,SUMPRODUCT((COLUMN($G277:$P277)-COLUMN($G277)+1&lt;Reprogramaciones!R$14)*$G277:$P277)+N(INDEX($G277:$P277,1,Reprogramaciones!R$14))*IF(Reprogramaciones!R$13&gt;=(Reprogramaciones!$T$15+7*(Reprogramaciones!R$14-1))+6,1,IF(MAX(0,NETWORKDAYS.INTL(MAX(E277,(Reprogramaciones!$T$15+7*(Reprogramaciones!R$14-1))),MIN(F277,(Reprogramaciones!$T$15+7*(Reprogramaciones!R$14-1))+6),11))=0,0,MAX(0,NETWORKDAYS.INTL(MAX(E277,(Reprogramaciones!$T$15+7*(Reprogramaciones!R$14-1))),MIN(F277,Reprogramaciones!R$13),11))/MAX(0,NETWORKDAYS.INTL(MAX(E277,(Reprogramaciones!$T$15+7*(Reprogramaciones!R$14-1))),MIN(F277,(Reprogramaciones!$T$15+7*(Reprogramaciones!R$14-1))+6),11))))))))</f>
        <v/>
      </c>
      <c r="CB277" s="1" t="str">
        <f aca="false">IF(OR(NOT(AND(ISNUMBER(E277),ISNUMBER(F277))),$J$2=""),"",IF(Reprogramaciones!S$13&lt;Reprogramaciones!$T$15,0,IF(Reprogramaciones!S$14&gt;10,MIN(100,SUM($G277:$P277)),MIN(100,SUMPRODUCT((COLUMN($G277:$P277)-COLUMN($G277)+1&lt;Reprogramaciones!S$14)*$G277:$P277)+N(INDEX($G277:$P277,1,Reprogramaciones!S$14))*IF(Reprogramaciones!S$13&gt;=(Reprogramaciones!$T$15+7*(Reprogramaciones!S$14-1))+6,1,IF(MAX(0,NETWORKDAYS.INTL(MAX(E277,(Reprogramaciones!$T$15+7*(Reprogramaciones!S$14-1))),MIN(F277,(Reprogramaciones!$T$15+7*(Reprogramaciones!S$14-1))+6),11))=0,0,MAX(0,NETWORKDAYS.INTL(MAX(E277,(Reprogramaciones!$T$15+7*(Reprogramaciones!S$14-1))),MIN(F277,Reprogramaciones!S$13),11))/MAX(0,NETWORKDAYS.INTL(MAX(E277,(Reprogramaciones!$T$15+7*(Reprogramaciones!S$14-1))),MIN(F277,(Reprogramaciones!$T$15+7*(Reprogramaciones!S$14-1))+6),11))))))))</f>
        <v/>
      </c>
      <c r="CC277" s="1" t="str">
        <f aca="false">IF(OR(NOT(AND(ISNUMBER(E277),ISNUMBER(F277))),$J$2=""),"",IF(Reprogramaciones!T$13&lt;Reprogramaciones!$T$15,0,IF(Reprogramaciones!T$14&gt;10,MIN(100,SUM($G277:$P277)),MIN(100,SUMPRODUCT((COLUMN($G277:$P277)-COLUMN($G277)+1&lt;Reprogramaciones!T$14)*$G277:$P277)+N(INDEX($G277:$P277,1,Reprogramaciones!T$14))*IF(Reprogramaciones!T$13&gt;=(Reprogramaciones!$T$15+7*(Reprogramaciones!T$14-1))+6,1,IF(MAX(0,NETWORKDAYS.INTL(MAX(E277,(Reprogramaciones!$T$15+7*(Reprogramaciones!T$14-1))),MIN(F277,(Reprogramaciones!$T$15+7*(Reprogramaciones!T$14-1))+6),11))=0,0,MAX(0,NETWORKDAYS.INTL(MAX(E277,(Reprogramaciones!$T$15+7*(Reprogramaciones!T$14-1))),MIN(F277,Reprogramaciones!T$13),11))/MAX(0,NETWORKDAYS.INTL(MAX(E277,(Reprogramaciones!$T$15+7*(Reprogramaciones!T$14-1))),MIN(F277,(Reprogramaciones!$T$15+7*(Reprogramaciones!T$14-1))+6),11))))))))</f>
        <v/>
      </c>
      <c r="CD277" s="1" t="str">
        <f aca="false">IF(OR(NOT(AND(ISNUMBER(E277),ISNUMBER(F277))),$J$2=""),"",IF(Reprogramaciones!U$13&lt;Reprogramaciones!$T$15,0,IF(Reprogramaciones!U$14&gt;10,MIN(100,SUM($G277:$P277)),MIN(100,SUMPRODUCT((COLUMN($G277:$P277)-COLUMN($G277)+1&lt;Reprogramaciones!U$14)*$G277:$P277)+N(INDEX($G277:$P277,1,Reprogramaciones!U$14))*IF(Reprogramaciones!U$13&gt;=(Reprogramaciones!$T$15+7*(Reprogramaciones!U$14-1))+6,1,IF(MAX(0,NETWORKDAYS.INTL(MAX(E277,(Reprogramaciones!$T$15+7*(Reprogramaciones!U$14-1))),MIN(F277,(Reprogramaciones!$T$15+7*(Reprogramaciones!U$14-1))+6),11))=0,0,MAX(0,NETWORKDAYS.INTL(MAX(E277,(Reprogramaciones!$T$15+7*(Reprogramaciones!U$14-1))),MIN(F277,Reprogramaciones!U$13),11))/MAX(0,NETWORKDAYS.INTL(MAX(E277,(Reprogramaciones!$T$15+7*(Reprogramaciones!U$14-1))),MIN(F277,(Reprogramaciones!$T$15+7*(Reprogramaciones!U$14-1))+6),11))))))))</f>
        <v/>
      </c>
      <c r="CE277" s="1" t="str">
        <f aca="false">IF(OR(NOT(AND(ISNUMBER(E277),ISNUMBER(F277))),$J$2=""),"",IF(Reprogramaciones!V$13&lt;Reprogramaciones!$T$15,0,IF(Reprogramaciones!V$14&gt;10,MIN(100,SUM($G277:$P277)),MIN(100,SUMPRODUCT((COLUMN($G277:$P277)-COLUMN($G277)+1&lt;Reprogramaciones!V$14)*$G277:$P277)+N(INDEX($G277:$P277,1,Reprogramaciones!V$14))*IF(Reprogramaciones!V$13&gt;=(Reprogramaciones!$T$15+7*(Reprogramaciones!V$14-1))+6,1,IF(MAX(0,NETWORKDAYS.INTL(MAX(E277,(Reprogramaciones!$T$15+7*(Reprogramaciones!V$14-1))),MIN(F277,(Reprogramaciones!$T$15+7*(Reprogramaciones!V$14-1))+6),11))=0,0,MAX(0,NETWORKDAYS.INTL(MAX(E277,(Reprogramaciones!$T$15+7*(Reprogramaciones!V$14-1))),MIN(F277,Reprogramaciones!V$13),11))/MAX(0,NETWORKDAYS.INTL(MAX(E277,(Reprogramaciones!$T$15+7*(Reprogramaciones!V$14-1))),MIN(F277,(Reprogramaciones!$T$15+7*(Reprogramaciones!V$14-1))+6),11))))))))</f>
        <v/>
      </c>
      <c r="CF277" s="1" t="str">
        <f aca="false">IF(OR(NOT(AND(ISNUMBER(E277),ISNUMBER(F277))),$J$2=""),"",IF(Reprogramaciones!W$13&lt;Reprogramaciones!$T$15,0,IF(Reprogramaciones!W$14&gt;10,MIN(100,SUM($G277:$P277)),MIN(100,SUMPRODUCT((COLUMN($G277:$P277)-COLUMN($G277)+1&lt;Reprogramaciones!W$14)*$G277:$P277)+N(INDEX($G277:$P277,1,Reprogramaciones!W$14))*IF(Reprogramaciones!W$13&gt;=(Reprogramaciones!$T$15+7*(Reprogramaciones!W$14-1))+6,1,IF(MAX(0,NETWORKDAYS.INTL(MAX(E277,(Reprogramaciones!$T$15+7*(Reprogramaciones!W$14-1))),MIN(F277,(Reprogramaciones!$T$15+7*(Reprogramaciones!W$14-1))+6),11))=0,0,MAX(0,NETWORKDAYS.INTL(MAX(E277,(Reprogramaciones!$T$15+7*(Reprogramaciones!W$14-1))),MIN(F277,Reprogramaciones!W$13),11))/MAX(0,NETWORKDAYS.INTL(MAX(E277,(Reprogramaciones!$T$15+7*(Reprogramaciones!W$14-1))),MIN(F277,(Reprogramaciones!$T$15+7*(Reprogramaciones!W$14-1))+6),11))))))))</f>
        <v/>
      </c>
      <c r="CG277" s="1" t="str">
        <f aca="false">IF(OR(NOT(AND(ISNUMBER(E277),ISNUMBER(F277))),$J$2=""),"",IF(Reprogramaciones!X$13&lt;Reprogramaciones!$T$15,0,IF(Reprogramaciones!X$14&gt;10,MIN(100,SUM($G277:$P277)),MIN(100,SUMPRODUCT((COLUMN($G277:$P277)-COLUMN($G277)+1&lt;Reprogramaciones!X$14)*$G277:$P277)+N(INDEX($G277:$P277,1,Reprogramaciones!X$14))*IF(Reprogramaciones!X$13&gt;=(Reprogramaciones!$T$15+7*(Reprogramaciones!X$14-1))+6,1,IF(MAX(0,NETWORKDAYS.INTL(MAX(E277,(Reprogramaciones!$T$15+7*(Reprogramaciones!X$14-1))),MIN(F277,(Reprogramaciones!$T$15+7*(Reprogramaciones!X$14-1))+6),11))=0,0,MAX(0,NETWORKDAYS.INTL(MAX(E277,(Reprogramaciones!$T$15+7*(Reprogramaciones!X$14-1))),MIN(F277,Reprogramaciones!X$13),11))/MAX(0,NETWORKDAYS.INTL(MAX(E277,(Reprogramaciones!$T$15+7*(Reprogramaciones!X$14-1))),MIN(F277,(Reprogramaciones!$T$15+7*(Reprogramaciones!X$14-1))+6),11))))))))</f>
        <v/>
      </c>
      <c r="CH277" s="1" t="str">
        <f aca="false">IF(OR(NOT(AND(ISNUMBER(E277),ISNUMBER(F277))),$J$2=""),"",IF(Reprogramaciones!Y$13&lt;Reprogramaciones!$T$15,0,IF(Reprogramaciones!Y$14&gt;10,MIN(100,SUM($G277:$P277)),MIN(100,SUMPRODUCT((COLUMN($G277:$P277)-COLUMN($G277)+1&lt;Reprogramaciones!Y$14)*$G277:$P277)+N(INDEX($G277:$P277,1,Reprogramaciones!Y$14))*IF(Reprogramaciones!Y$13&gt;=(Reprogramaciones!$T$15+7*(Reprogramaciones!Y$14-1))+6,1,IF(MAX(0,NETWORKDAYS.INTL(MAX(E277,(Reprogramaciones!$T$15+7*(Reprogramaciones!Y$14-1))),MIN(F277,(Reprogramaciones!$T$15+7*(Reprogramaciones!Y$14-1))+6),11))=0,0,MAX(0,NETWORKDAYS.INTL(MAX(E277,(Reprogramaciones!$T$15+7*(Reprogramaciones!Y$14-1))),MIN(F277,Reprogramaciones!Y$13),11))/MAX(0,NETWORKDAYS.INTL(MAX(E277,(Reprogramaciones!$T$15+7*(Reprogramaciones!Y$14-1))),MIN(F277,(Reprogramaciones!$T$15+7*(Reprogramaciones!Y$14-1))+6),11))))))))</f>
        <v/>
      </c>
      <c r="CI277" s="1" t="str">
        <f aca="false">IF(OR(NOT(AND(ISNUMBER(E277),ISNUMBER(F277))),$J$2=""),"",IF(Reprogramaciones!Z$13&lt;Reprogramaciones!$T$15,0,IF(Reprogramaciones!Z$14&gt;10,MIN(100,SUM($G277:$P277)),MIN(100,SUMPRODUCT((COLUMN($G277:$P277)-COLUMN($G277)+1&lt;Reprogramaciones!Z$14)*$G277:$P277)+N(INDEX($G277:$P277,1,Reprogramaciones!Z$14))*IF(Reprogramaciones!Z$13&gt;=(Reprogramaciones!$T$15+7*(Reprogramaciones!Z$14-1))+6,1,IF(MAX(0,NETWORKDAYS.INTL(MAX(E277,(Reprogramaciones!$T$15+7*(Reprogramaciones!Z$14-1))),MIN(F277,(Reprogramaciones!$T$15+7*(Reprogramaciones!Z$14-1))+6),11))=0,0,MAX(0,NETWORKDAYS.INTL(MAX(E277,(Reprogramaciones!$T$15+7*(Reprogramaciones!Z$14-1))),MIN(F277,Reprogramaciones!Z$13),11))/MAX(0,NETWORKDAYS.INTL(MAX(E277,(Reprogramaciones!$T$15+7*(Reprogramaciones!Z$14-1))),MIN(F277,(Reprogramaciones!$T$15+7*(Reprogramaciones!Z$14-1))+6),11))))))))</f>
        <v/>
      </c>
      <c r="CJ277" s="1" t="str">
        <f aca="false">IF(OR(OR(NOT(AND(ISNUMBER(E277),ISNUMBER(F277))),$J$2=""),1&gt;Reprogramaciones!$K$16),"",IF(ROUND(SUM($Q277:Q277),1)&gt;=99.5,100,MIN(100,ROUND(SUM($Q277:Q277),1))))</f>
        <v/>
      </c>
      <c r="CK277" s="1" t="str">
        <f aca="false">IF(OR(OR(NOT(AND(ISNUMBER(E277),ISNUMBER(F277))),$J$2=""),2&gt;Reprogramaciones!$K$16),"",IF(ROUND(SUM($Q277:R277),1)&gt;=99.5,100,MIN(100,ROUND(SUM($Q277:R277),1))))</f>
        <v/>
      </c>
      <c r="CL277" s="1" t="str">
        <f aca="false">IF(OR(OR(NOT(AND(ISNUMBER(E277),ISNUMBER(F277))),$J$2=""),3&gt;Reprogramaciones!$K$16),"",IF(ROUND(SUM($Q277:S277),1)&gt;=99.5,100,MIN(100,ROUND(SUM($Q277:S277),1))))</f>
        <v/>
      </c>
      <c r="CM277" s="1" t="str">
        <f aca="false">IF(OR(OR(NOT(AND(ISNUMBER(E277),ISNUMBER(F277))),$J$2=""),4&gt;Reprogramaciones!$K$16),"",IF(ROUND(SUM($Q277:T277),1)&gt;=99.5,100,MIN(100,ROUND(SUM($Q277:T277),1))))</f>
        <v/>
      </c>
      <c r="CN277" s="1" t="str">
        <f aca="false">IF(OR(OR(NOT(AND(ISNUMBER(E277),ISNUMBER(F277))),$J$2=""),5&gt;Reprogramaciones!$K$16),"",IF(ROUND(SUM($Q277:U277),1)&gt;=99.5,100,MIN(100,ROUND(SUM($Q277:U277),1))))</f>
        <v/>
      </c>
      <c r="CO277" s="1" t="str">
        <f aca="false">IF(OR(OR(NOT(AND(ISNUMBER(E277),ISNUMBER(F277))),$J$2=""),6&gt;Reprogramaciones!$K$16),"",IF(ROUND(SUM($Q277:V277),1)&gt;=99.5,100,MIN(100,ROUND(SUM($Q277:V277),1))))</f>
        <v/>
      </c>
      <c r="CP277" s="1" t="str">
        <f aca="false">IF(OR(OR(NOT(AND(ISNUMBER(E277),ISNUMBER(F277))),$J$2=""),7&gt;Reprogramaciones!$K$16),"",IF(ROUND(SUM($Q277:W277),1)&gt;=99.5,100,MIN(100,ROUND(SUM($Q277:W277),1))))</f>
        <v/>
      </c>
      <c r="CQ277" s="1" t="str">
        <f aca="false">IF(OR(OR(NOT(AND(ISNUMBER(E277),ISNUMBER(F277))),$J$2=""),8&gt;Reprogramaciones!$K$16),"",IF(ROUND(SUM($Q277:X277),1)&gt;=99.5,100,MIN(100,ROUND(SUM($Q277:X277),1))))</f>
        <v/>
      </c>
      <c r="CR277" s="1" t="str">
        <f aca="false">IF(OR(OR(NOT(AND(ISNUMBER(E277),ISNUMBER(F277))),$J$2=""),9&gt;Reprogramaciones!$K$16),"",IF(ROUND(SUM($Q277:Y277),1)&gt;=99.5,100,MIN(100,ROUND(SUM($Q277:Y277),1))))</f>
        <v/>
      </c>
      <c r="CS277" s="1" t="str">
        <f aca="false">IF(OR(OR(NOT(AND(ISNUMBER(E277),ISNUMBER(F277))),$J$2=""),10&gt;Reprogramaciones!$K$16),"",IF(ROUND(SUM($Q277:Z277),1)&gt;=99.5,100,MIN(100,ROUND(SUM($Q277:Z277),1))))</f>
        <v/>
      </c>
      <c r="CT277" s="1" t="str">
        <f aca="false">IF(OR(OR(NOT(AND(ISNUMBER(E277),ISNUMBER(F277))),$J$2=""),11&gt;Reprogramaciones!$K$16),"",IF(ROUND(SUM($Q277:AA277),1)&gt;=99.5,100,MIN(100,ROUND(SUM($Q277:AA277),1))))</f>
        <v/>
      </c>
      <c r="CU277" s="1" t="str">
        <f aca="false">IF(OR(OR(NOT(AND(ISNUMBER(E277),ISNUMBER(F277))),$J$2=""),12&gt;Reprogramaciones!$K$16),"",IF(ROUND(SUM($Q277:AB277),1)&gt;=99.5,100,MIN(100,ROUND(SUM($Q277:AB277),1))))</f>
        <v/>
      </c>
      <c r="CV277" s="1" t="str">
        <f aca="false">IF(OR(OR(NOT(AND(ISNUMBER(E277),ISNUMBER(F277))),$J$2=""),13&gt;Reprogramaciones!$K$16),"",IF(ROUND(SUM($Q277:AC277),1)&gt;=99.5,100,MIN(100,ROUND(SUM($Q277:AC277),1))))</f>
        <v/>
      </c>
      <c r="CW277" s="1" t="str">
        <f aca="false">IF(OR(OR(NOT(AND(ISNUMBER(E277),ISNUMBER(F277))),$J$2=""),14&gt;Reprogramaciones!$K$16),"",IF(ROUND(SUM($Q277:AD277),1)&gt;=99.5,100,MIN(100,ROUND(SUM($Q277:AD277),1))))</f>
        <v/>
      </c>
      <c r="CX277" s="1" t="str">
        <f aca="false">IF(OR(OR(NOT(AND(ISNUMBER(E277),ISNUMBER(F277))),$J$2=""),15&gt;Reprogramaciones!$K$16),"",IF(ROUND(SUM($Q277:AE277),1)&gt;=99.5,100,MIN(100,ROUND(SUM($Q277:AE277),1))))</f>
        <v/>
      </c>
      <c r="CY277" s="1" t="str">
        <f aca="false">IF(OR(OR(NOT(AND(ISNUMBER(E277),ISNUMBER(F277))),$J$2=""),16&gt;Reprogramaciones!$K$16),"",IF(ROUND(SUM($Q277:AF277),1)&gt;=99.5,100,MIN(100,ROUND(SUM($Q277:AF277),1))))</f>
        <v/>
      </c>
      <c r="CZ277" s="1" t="str">
        <f aca="false">IF(D277&lt;&gt;"",D277,IF(B277&lt;&gt;"","Contractual",CZ276))</f>
        <v>Contractual</v>
      </c>
      <c r="DA277" s="1" t="str">
        <f aca="false">IF(OR(NOT(AND(ISNUMBER(E277),ISNUMBER(F277))),$J$2=""),"",IF(Reprogramaciones!$Q$15&lt;Reprogramaciones!$T$15,0,IF(Reprogramaciones!$S$15&gt;10,MIN(100,SUM($G277:$P277)),MIN(100,SUMPRODUCT((COLUMN($G277:$P277)-COLUMN($G277)+1&lt;Reprogramaciones!$S$15)*$G277:$P277)+N(INDEX($G277:$P277,1,Reprogramaciones!$S$15))*IF(Reprogramaciones!$Q$15&gt;=(Reprogramaciones!$T$15+7*(Reprogramaciones!$S$15-1))+6,1,IF(MAX(0,NETWORKDAYS.INTL(MAX(E277,(Reprogramaciones!$T$15+7*(Reprogramaciones!$S$15-1))),MIN(F277,(Reprogramaciones!$T$15+7*(Reprogramaciones!$S$15-1))+6),11))=0,0,MAX(0,NETWORKDAYS.INTL(MAX(E277,(Reprogramaciones!$T$15+7*(Reprogramaciones!$S$15-1))),MIN(F277,Reprogramaciones!$Q$15),11))/MAX(0,NETWORKDAYS.INTL(MAX(E277,(Reprogramaciones!$T$15+7*(Reprogramaciones!$S$15-1))),MIN(F277,(Reprogramaciones!$T$15+7*(Reprogramaciones!$S$15-1))+6),11))))))))</f>
        <v/>
      </c>
    </row>
    <row r="278" customFormat="false" ht="15" hidden="false" customHeight="false" outlineLevel="0" collapsed="false">
      <c r="A278" s="32"/>
      <c r="B278" s="33"/>
      <c r="C278" s="33"/>
      <c r="D278" s="34"/>
      <c r="E278" s="35"/>
      <c r="F278" s="35"/>
      <c r="G278" s="36" t="str">
        <f aca="false">IF(OR(NOT(AND(ISNUMBER(E278),ISNUMBER(F278))),$J$2=""),"",IF(Reprogramaciones!K$9&lt;E278,0,IF(NETWORKDAYS.INTL(E278,F278,11)=0,IF(Reprogramaciones!K$9&gt;=F278,100,0),ROUND(NETWORKDAYS.INTL(E278,MIN(F278,Reprogramaciones!K$9),11)/NETWORKDAYS.INTL(E278,F278,11)*100,1)))-0)</f>
        <v/>
      </c>
      <c r="H278" s="36" t="str">
        <f aca="false">IF(OR(NOT(AND(ISNUMBER(E278),ISNUMBER(F278))),$J$2=""),"",IF(Reprogramaciones!L$9&lt;E278,0,IF(NETWORKDAYS.INTL(E278,F278,11)=0,IF(Reprogramaciones!L$9&gt;=F278,100,0),ROUND(NETWORKDAYS.INTL(E278,MIN(F278,Reprogramaciones!L$9),11)/NETWORKDAYS.INTL(E278,F278,11)*100,1)))-IF(Reprogramaciones!K$9&lt;E278,0,IF(NETWORKDAYS.INTL(E278,F278,11)=0,IF(Reprogramaciones!K$9&gt;=F278,100,0),ROUND(NETWORKDAYS.INTL(E278,MIN(F278,Reprogramaciones!K$9),11)/NETWORKDAYS.INTL(E278,F278,11)*100,1))))</f>
        <v/>
      </c>
      <c r="I278" s="36" t="str">
        <f aca="false">IF(OR(NOT(AND(ISNUMBER(E278),ISNUMBER(F278))),$J$2=""),"",IF(Reprogramaciones!M$9&lt;E278,0,IF(NETWORKDAYS.INTL(E278,F278,11)=0,IF(Reprogramaciones!M$9&gt;=F278,100,0),ROUND(NETWORKDAYS.INTL(E278,MIN(F278,Reprogramaciones!M$9),11)/NETWORKDAYS.INTL(E278,F278,11)*100,1)))-IF(Reprogramaciones!L$9&lt;E278,0,IF(NETWORKDAYS.INTL(E278,F278,11)=0,IF(Reprogramaciones!L$9&gt;=F278,100,0),ROUND(NETWORKDAYS.INTL(E278,MIN(F278,Reprogramaciones!L$9),11)/NETWORKDAYS.INTL(E278,F278,11)*100,1))))</f>
        <v/>
      </c>
      <c r="J278" s="36" t="str">
        <f aca="false">IF(OR(NOT(AND(ISNUMBER(E278),ISNUMBER(F278))),$J$2=""),"",IF(Reprogramaciones!N$9&lt;E278,0,IF(NETWORKDAYS.INTL(E278,F278,11)=0,IF(Reprogramaciones!N$9&gt;=F278,100,0),ROUND(NETWORKDAYS.INTL(E278,MIN(F278,Reprogramaciones!N$9),11)/NETWORKDAYS.INTL(E278,F278,11)*100,1)))-IF(Reprogramaciones!M$9&lt;E278,0,IF(NETWORKDAYS.INTL(E278,F278,11)=0,IF(Reprogramaciones!M$9&gt;=F278,100,0),ROUND(NETWORKDAYS.INTL(E278,MIN(F278,Reprogramaciones!M$9),11)/NETWORKDAYS.INTL(E278,F278,11)*100,1))))</f>
        <v/>
      </c>
      <c r="K278" s="36" t="str">
        <f aca="false">IF(OR(NOT(AND(ISNUMBER(E278),ISNUMBER(F278))),$J$2=""),"",IF(Reprogramaciones!O$9&lt;E278,0,IF(NETWORKDAYS.INTL(E278,F278,11)=0,IF(Reprogramaciones!O$9&gt;=F278,100,0),ROUND(NETWORKDAYS.INTL(E278,MIN(F278,Reprogramaciones!O$9),11)/NETWORKDAYS.INTL(E278,F278,11)*100,1)))-IF(Reprogramaciones!N$9&lt;E278,0,IF(NETWORKDAYS.INTL(E278,F278,11)=0,IF(Reprogramaciones!N$9&gt;=F278,100,0),ROUND(NETWORKDAYS.INTL(E278,MIN(F278,Reprogramaciones!N$9),11)/NETWORKDAYS.INTL(E278,F278,11)*100,1))))</f>
        <v/>
      </c>
      <c r="L278" s="36" t="str">
        <f aca="false">IF(OR(NOT(AND(ISNUMBER(E278),ISNUMBER(F278))),$J$2=""),"",IF(Reprogramaciones!P$9&lt;E278,0,IF(NETWORKDAYS.INTL(E278,F278,11)=0,IF(Reprogramaciones!P$9&gt;=F278,100,0),ROUND(NETWORKDAYS.INTL(E278,MIN(F278,Reprogramaciones!P$9),11)/NETWORKDAYS.INTL(E278,F278,11)*100,1)))-IF(Reprogramaciones!O$9&lt;E278,0,IF(NETWORKDAYS.INTL(E278,F278,11)=0,IF(Reprogramaciones!O$9&gt;=F278,100,0),ROUND(NETWORKDAYS.INTL(E278,MIN(F278,Reprogramaciones!O$9),11)/NETWORKDAYS.INTL(E278,F278,11)*100,1))))</f>
        <v/>
      </c>
      <c r="M278" s="36" t="str">
        <f aca="false">IF(OR(NOT(AND(ISNUMBER(E278),ISNUMBER(F278))),$J$2=""),"",IF(Reprogramaciones!Q$9&lt;E278,0,IF(NETWORKDAYS.INTL(E278,F278,11)=0,IF(Reprogramaciones!Q$9&gt;=F278,100,0),ROUND(NETWORKDAYS.INTL(E278,MIN(F278,Reprogramaciones!Q$9),11)/NETWORKDAYS.INTL(E278,F278,11)*100,1)))-IF(Reprogramaciones!P$9&lt;E278,0,IF(NETWORKDAYS.INTL(E278,F278,11)=0,IF(Reprogramaciones!P$9&gt;=F278,100,0),ROUND(NETWORKDAYS.INTL(E278,MIN(F278,Reprogramaciones!P$9),11)/NETWORKDAYS.INTL(E278,F278,11)*100,1))))</f>
        <v/>
      </c>
      <c r="N278" s="36" t="str">
        <f aca="false">IF(OR(NOT(AND(ISNUMBER(E278),ISNUMBER(F278))),$J$2=""),"",IF(Reprogramaciones!R$9&lt;E278,0,IF(NETWORKDAYS.INTL(E278,F278,11)=0,IF(Reprogramaciones!R$9&gt;=F278,100,0),ROUND(NETWORKDAYS.INTL(E278,MIN(F278,Reprogramaciones!R$9),11)/NETWORKDAYS.INTL(E278,F278,11)*100,1)))-IF(Reprogramaciones!Q$9&lt;E278,0,IF(NETWORKDAYS.INTL(E278,F278,11)=0,IF(Reprogramaciones!Q$9&gt;=F278,100,0),ROUND(NETWORKDAYS.INTL(E278,MIN(F278,Reprogramaciones!Q$9),11)/NETWORKDAYS.INTL(E278,F278,11)*100,1))))</f>
        <v/>
      </c>
      <c r="O278" s="36" t="str">
        <f aca="false">IF(OR(NOT(AND(ISNUMBER(E278),ISNUMBER(F278))),$J$2=""),"",IF(Reprogramaciones!S$9&lt;E278,0,IF(NETWORKDAYS.INTL(E278,F278,11)=0,IF(Reprogramaciones!S$9&gt;=F278,100,0),ROUND(NETWORKDAYS.INTL(E278,MIN(F278,Reprogramaciones!S$9),11)/NETWORKDAYS.INTL(E278,F278,11)*100,1)))-IF(Reprogramaciones!R$9&lt;E278,0,IF(NETWORKDAYS.INTL(E278,F278,11)=0,IF(Reprogramaciones!R$9&gt;=F278,100,0),ROUND(NETWORKDAYS.INTL(E278,MIN(F278,Reprogramaciones!R$9),11)/NETWORKDAYS.INTL(E278,F278,11)*100,1))))</f>
        <v/>
      </c>
      <c r="P278" s="36" t="str">
        <f aca="false">IF(OR(NOT(AND(ISNUMBER(E278),ISNUMBER(F278))),$J$2=""),"",IF(Reprogramaciones!T$9&lt;E278,0,IF(NETWORKDAYS.INTL(E278,F278,11)=0,IF(Reprogramaciones!T$9&gt;=F278,100,0),ROUND(NETWORKDAYS.INTL(E278,MIN(F278,Reprogramaciones!T$9),11)/NETWORKDAYS.INTL(E278,F278,11)*100,1)))-IF(Reprogramaciones!S$9&lt;E278,0,IF(NETWORKDAYS.INTL(E278,F278,11)=0,IF(Reprogramaciones!S$9&gt;=F278,100,0),ROUND(NETWORKDAYS.INTL(E278,MIN(F278,Reprogramaciones!S$9),11)/NETWORKDAYS.INTL(E278,F278,11)*100,1))))</f>
        <v/>
      </c>
      <c r="Q278" s="37"/>
      <c r="R278" s="37"/>
      <c r="S278" s="37"/>
      <c r="T278" s="37"/>
      <c r="U278" s="37"/>
      <c r="V278" s="37"/>
      <c r="W278" s="37"/>
      <c r="X278" s="37"/>
      <c r="Y278" s="37"/>
      <c r="Z278" s="37"/>
      <c r="AA278" s="37"/>
      <c r="AB278" s="37"/>
      <c r="AC278" s="37"/>
      <c r="AD278" s="37"/>
      <c r="AE278" s="37"/>
      <c r="AF278" s="37"/>
      <c r="AG278" s="38" t="str">
        <f aca="false">IF(AND(ISNUMBER(E278),ISNUMBER(F278)),NETWORKDAYS.INTL(E278,F278,11),"")</f>
        <v/>
      </c>
      <c r="AH278" s="38" t="str">
        <f aca="false">IF(OR(NOT(AND(ISNUMBER(E278),ISNUMBER(F278))),$J$2=""),"",IF(Reprogramaciones!$P$15&lt;Reprogramaciones!$T$15,0,IF(Reprogramaciones!$R$15&gt;10,MIN(100,SUM($G278:$P278)),MIN(100,SUMPRODUCT((COLUMN($G278:$P278)-COLUMN($G278)+1&lt;Reprogramaciones!$R$15)*$G278:$P278)+N(INDEX($G278:$P278,1,Reprogramaciones!$R$15))*IF(Reprogramaciones!$P$15&gt;=(Reprogramaciones!$T$15+7*(Reprogramaciones!$R$15-1))+6,1,IF(MAX(0,NETWORKDAYS.INTL(MAX(E278,(Reprogramaciones!$T$15+7*(Reprogramaciones!$R$15-1))),MIN(F278,(Reprogramaciones!$T$15+7*(Reprogramaciones!$R$15-1))+6),11))=0,0,MAX(0,NETWORKDAYS.INTL(MAX(E278,(Reprogramaciones!$T$15+7*(Reprogramaciones!$R$15-1))),MIN(F278,Reprogramaciones!$P$15),11))/MAX(0,NETWORKDAYS.INTL(MAX(E278,(Reprogramaciones!$T$15+7*(Reprogramaciones!$R$15-1))),MIN(F278,(Reprogramaciones!$T$15+7*(Reprogramaciones!$R$15-1))+6),11))))))))</f>
        <v/>
      </c>
      <c r="AI278" s="38" t="str">
        <f aca="false">IF(COUNT($Q278:$AF278)=0,"",IF(ROUND(SUM($Q278:$AF278),1)&gt;=99.5,100,MIN(100,ROUND(SUM($Q278:$AF278),1))))</f>
        <v/>
      </c>
      <c r="AJ278" s="38" t="str">
        <f aca="false">IF(OR(AH278="",AI278=""),"",AI278-AH278)</f>
        <v/>
      </c>
      <c r="AK278" s="39" t="str">
        <f aca="true">IF(AH278="","",IF(OR(Ficha!$C$10="Suspendida",Ficha!$C$10="Cancelada"),Ficha!$C$10,IF(AND(AI278&lt;&gt;"",N(AI278)&gt;=100),"Completada",IF(AND(E278&gt;TODAY(),N(AI278)=0),"Por iniciar",IF(N(AI278)+0.5&lt;AH278,"Retrasada",IF(N(AI278)+0.5&lt;DA278,IF(Reprogramaciones!$K$15&gt;0,"Al día · Sem "&amp;Reprogramaciones!$K$15&amp;" en curso","Al día · en curso"),"A tiempo"))))))</f>
        <v/>
      </c>
      <c r="AL278" s="39" t="str">
        <f aca="true">IF(AND(A278="",AND(B278="",C278="",E278="",F278="",COUNT(Q278:AF278)=0)),"",IF(AND(B278="",C278="",E278="",F278="",COUNT(Q278:AF278)=0),"Falta la partida o subpartida",IF(AND(A278&lt;&gt;"",COUNTIF($A$6:$A$305,A278)&gt;1),"Ítem repetido",IF(AND(C278="",E278="",F278="",COUNT(Q278:AF278)=0),"Título de partida",IF(OR(E278="",F278=""),"Faltan fechas",IF(OR(ISTEXT(E278),ISTEXT(F278)),"Fecha escrita como texto: usa dd/mm/aaaa",IF(F278&lt;E278,"Fin antes del inicio",IF(IF($J$2="",FALSE(),OR(E278&lt;$J$2,F278&gt;Reprogramaciones!$T$15+69)),"Fuera de las 10 semanas",IF(ABS(SUM(G278:P278)-100)&gt;0.5,"La meta no suma 100%",IF(ROUND(SUM(Q278:AF278),1)&gt;100.5,"El avance pasa de 100%",IF(MIN(Q278:AF278)&lt;0,"Avance negativo",IF(COUNTA(Q278:AF278)&gt;COUNT(Q278:AF278),"Avance escrito como texto",IF(SUMPRODUCT((Q278:AF278&gt;0)*(Q278:AF278&lt;1))&gt;0,"Avance menor a 1: escribe 50, no 50%",IF(SUMPRODUCT(ISNUMBER(Q278:AF278)*(Reprogramaciones!$K$8:$Z$8&gt;TODAY()))&gt;0,"Avance en semana que aún no llega",IF(AND(N(Reprogramaciones!$E$21)&gt;0,F278&gt;Reprogramaciones!$E$21),"Pasa el fin de la obra: registra una reprogramación",IF(AND(N(Reprogramaciones!$E$21)&gt;0,SUMPRODUCT(ISNUMBER(Q278:AF278)*(Reprogramaciones!$K$8:$Z$8&gt;Reprogramaciones!$E$21))&gt;0),"Avance después del fin de la obra: registra una reprogramación por atraso","OK"))))))))))))))))</f>
        <v/>
      </c>
      <c r="AM278" s="40" t="str">
        <f aca="false">IF(OR(OR(NOT(AND(ISNUMBER(E278),ISNUMBER(F278))),$J$2=""),1&gt;MAX(1,Reprogramaciones!$U$15)),"",IF(Reprogramaciones!K$12&gt;=7,"",IF(OR(BT278-N(0)&gt;0.05,N(Q278)&gt;0),ROUNDDOWN(ROUND(BT278,6),0)&amp;"%"&amp;IF(CJ278="",""," / "&amp;CJ278&amp;"%"),IF(AND(N(0)&gt;=99.95,CJ278&lt;&gt;"",N(CJ278)&lt;100),"Pend. "&amp;CJ278&amp;"%",""))))</f>
        <v/>
      </c>
      <c r="AN278" s="40" t="str">
        <f aca="false">IF(OR(OR(NOT(AND(ISNUMBER(E278),ISNUMBER(F278))),$J$2=""),2&gt;MAX(1,Reprogramaciones!$U$15)),"",IF(Reprogramaciones!L$12&gt;=7,"",IF(OR(BU278-N(BT278)&gt;0.05,N(R278)&gt;0),ROUNDDOWN(ROUND(BU278,6),0)&amp;"%"&amp;IF(CK278="",""," / "&amp;CK278&amp;"%"),IF(AND(N(BT278)&gt;=99.95,CK278&lt;&gt;"",N(CK278)&lt;100),"Pend. "&amp;CK278&amp;"%",""))))</f>
        <v/>
      </c>
      <c r="AO278" s="40" t="str">
        <f aca="false">IF(OR(OR(NOT(AND(ISNUMBER(E278),ISNUMBER(F278))),$J$2=""),3&gt;MAX(1,Reprogramaciones!$U$15)),"",IF(Reprogramaciones!M$12&gt;=7,"",IF(OR(BV278-N(BU278)&gt;0.05,N(S278)&gt;0),ROUNDDOWN(ROUND(BV278,6),0)&amp;"%"&amp;IF(CL278="",""," / "&amp;CL278&amp;"%"),IF(AND(N(BU278)&gt;=99.95,CL278&lt;&gt;"",N(CL278)&lt;100),"Pend. "&amp;CL278&amp;"%",""))))</f>
        <v/>
      </c>
      <c r="AP278" s="40" t="str">
        <f aca="false">IF(OR(OR(NOT(AND(ISNUMBER(E278),ISNUMBER(F278))),$J$2=""),4&gt;MAX(1,Reprogramaciones!$U$15)),"",IF(Reprogramaciones!N$12&gt;=7,"",IF(OR(BW278-N(BV278)&gt;0.05,N(T278)&gt;0),ROUNDDOWN(ROUND(BW278,6),0)&amp;"%"&amp;IF(CM278="",""," / "&amp;CM278&amp;"%"),IF(AND(N(BV278)&gt;=99.95,CM278&lt;&gt;"",N(CM278)&lt;100),"Pend. "&amp;CM278&amp;"%",""))))</f>
        <v/>
      </c>
      <c r="AQ278" s="40" t="str">
        <f aca="false">IF(OR(OR(NOT(AND(ISNUMBER(E278),ISNUMBER(F278))),$J$2=""),5&gt;MAX(1,Reprogramaciones!$U$15)),"",IF(Reprogramaciones!O$12&gt;=7,"",IF(OR(BX278-N(BW278)&gt;0.05,N(U278)&gt;0),ROUNDDOWN(ROUND(BX278,6),0)&amp;"%"&amp;IF(CN278="",""," / "&amp;CN278&amp;"%"),IF(AND(N(BW278)&gt;=99.95,CN278&lt;&gt;"",N(CN278)&lt;100),"Pend. "&amp;CN278&amp;"%",""))))</f>
        <v/>
      </c>
      <c r="AR278" s="40" t="str">
        <f aca="false">IF(OR(OR(NOT(AND(ISNUMBER(E278),ISNUMBER(F278))),$J$2=""),6&gt;MAX(1,Reprogramaciones!$U$15)),"",IF(Reprogramaciones!P$12&gt;=7,"",IF(OR(BY278-N(BX278)&gt;0.05,N(V278)&gt;0),ROUNDDOWN(ROUND(BY278,6),0)&amp;"%"&amp;IF(CO278="",""," / "&amp;CO278&amp;"%"),IF(AND(N(BX278)&gt;=99.95,CO278&lt;&gt;"",N(CO278)&lt;100),"Pend. "&amp;CO278&amp;"%",""))))</f>
        <v/>
      </c>
      <c r="AS278" s="40" t="str">
        <f aca="false">IF(OR(OR(NOT(AND(ISNUMBER(E278),ISNUMBER(F278))),$J$2=""),7&gt;MAX(1,Reprogramaciones!$U$15)),"",IF(Reprogramaciones!Q$12&gt;=7,"",IF(OR(BZ278-N(BY278)&gt;0.05,N(W278)&gt;0),ROUNDDOWN(ROUND(BZ278,6),0)&amp;"%"&amp;IF(CP278="",""," / "&amp;CP278&amp;"%"),IF(AND(N(BY278)&gt;=99.95,CP278&lt;&gt;"",N(CP278)&lt;100),"Pend. "&amp;CP278&amp;"%",""))))</f>
        <v/>
      </c>
      <c r="AT278" s="40" t="str">
        <f aca="false">IF(OR(OR(NOT(AND(ISNUMBER(E278),ISNUMBER(F278))),$J$2=""),8&gt;MAX(1,Reprogramaciones!$U$15)),"",IF(Reprogramaciones!R$12&gt;=7,"",IF(OR(CA278-N(BZ278)&gt;0.05,N(X278)&gt;0),ROUNDDOWN(ROUND(CA278,6),0)&amp;"%"&amp;IF(CQ278="",""," / "&amp;CQ278&amp;"%"),IF(AND(N(BZ278)&gt;=99.95,CQ278&lt;&gt;"",N(CQ278)&lt;100),"Pend. "&amp;CQ278&amp;"%",""))))</f>
        <v/>
      </c>
      <c r="AU278" s="40" t="str">
        <f aca="false">IF(OR(OR(NOT(AND(ISNUMBER(E278),ISNUMBER(F278))),$J$2=""),9&gt;MAX(1,Reprogramaciones!$U$15)),"",IF(Reprogramaciones!S$12&gt;=7,"",IF(OR(CB278-N(CA278)&gt;0.05,N(Y278)&gt;0),ROUNDDOWN(ROUND(CB278,6),0)&amp;"%"&amp;IF(CR278="",""," / "&amp;CR278&amp;"%"),IF(AND(N(CA278)&gt;=99.95,CR278&lt;&gt;"",N(CR278)&lt;100),"Pend. "&amp;CR278&amp;"%",""))))</f>
        <v/>
      </c>
      <c r="AV278" s="40" t="str">
        <f aca="false">IF(OR(OR(NOT(AND(ISNUMBER(E278),ISNUMBER(F278))),$J$2=""),10&gt;MAX(1,Reprogramaciones!$U$15)),"",IF(Reprogramaciones!T$12&gt;=7,"",IF(OR(CC278-N(CB278)&gt;0.05,N(Z278)&gt;0),ROUNDDOWN(ROUND(CC278,6),0)&amp;"%"&amp;IF(CS278="",""," / "&amp;CS278&amp;"%"),IF(AND(N(CB278)&gt;=99.95,CS278&lt;&gt;"",N(CS278)&lt;100),"Pend. "&amp;CS278&amp;"%",""))))</f>
        <v/>
      </c>
      <c r="AW278" s="40" t="str">
        <f aca="false">IF(OR(OR(NOT(AND(ISNUMBER(E278),ISNUMBER(F278))),$J$2=""),11&gt;MAX(1,Reprogramaciones!$U$15)),"",IF(Reprogramaciones!U$12&gt;=7,"",IF(OR(CD278-N(CC278)&gt;0.05,N(AA278)&gt;0),ROUNDDOWN(ROUND(CD278,6),0)&amp;"%"&amp;IF(CT278="",""," / "&amp;CT278&amp;"%"),IF(AND(N(CC278)&gt;=99.95,CT278&lt;&gt;"",N(CT278)&lt;100),"Pend. "&amp;CT278&amp;"%",""))))</f>
        <v/>
      </c>
      <c r="AX278" s="40" t="str">
        <f aca="false">IF(OR(OR(NOT(AND(ISNUMBER(E278),ISNUMBER(F278))),$J$2=""),12&gt;MAX(1,Reprogramaciones!$U$15)),"",IF(Reprogramaciones!V$12&gt;=7,"",IF(OR(CE278-N(CD278)&gt;0.05,N(AB278)&gt;0),ROUNDDOWN(ROUND(CE278,6),0)&amp;"%"&amp;IF(CU278="",""," / "&amp;CU278&amp;"%"),IF(AND(N(CD278)&gt;=99.95,CU278&lt;&gt;"",N(CU278)&lt;100),"Pend. "&amp;CU278&amp;"%",""))))</f>
        <v/>
      </c>
      <c r="AY278" s="40" t="str">
        <f aca="false">IF(OR(OR(NOT(AND(ISNUMBER(E278),ISNUMBER(F278))),$J$2=""),13&gt;MAX(1,Reprogramaciones!$U$15)),"",IF(Reprogramaciones!W$12&gt;=7,"",IF(OR(CF278-N(CE278)&gt;0.05,N(AC278)&gt;0),ROUNDDOWN(ROUND(CF278,6),0)&amp;"%"&amp;IF(CV278="",""," / "&amp;CV278&amp;"%"),IF(AND(N(CE278)&gt;=99.95,CV278&lt;&gt;"",N(CV278)&lt;100),"Pend. "&amp;CV278&amp;"%",""))))</f>
        <v/>
      </c>
      <c r="AZ278" s="40" t="str">
        <f aca="false">IF(OR(OR(NOT(AND(ISNUMBER(E278),ISNUMBER(F278))),$J$2=""),14&gt;MAX(1,Reprogramaciones!$U$15)),"",IF(Reprogramaciones!X$12&gt;=7,"",IF(OR(CG278-N(CF278)&gt;0.05,N(AD278)&gt;0),ROUNDDOWN(ROUND(CG278,6),0)&amp;"%"&amp;IF(CW278="",""," / "&amp;CW278&amp;"%"),IF(AND(N(CF278)&gt;=99.95,CW278&lt;&gt;"",N(CW278)&lt;100),"Pend. "&amp;CW278&amp;"%",""))))</f>
        <v/>
      </c>
      <c r="BA278" s="40" t="str">
        <f aca="false">IF(OR(OR(NOT(AND(ISNUMBER(E278),ISNUMBER(F278))),$J$2=""),15&gt;MAX(1,Reprogramaciones!$U$15)),"",IF(Reprogramaciones!Y$12&gt;=7,"",IF(OR(CH278-N(CG278)&gt;0.05,N(AE278)&gt;0),ROUNDDOWN(ROUND(CH278,6),0)&amp;"%"&amp;IF(CX278="",""," / "&amp;CX278&amp;"%"),IF(AND(N(CG278)&gt;=99.95,CX278&lt;&gt;"",N(CX278)&lt;100),"Pend. "&amp;CX278&amp;"%",""))))</f>
        <v/>
      </c>
      <c r="BB278" s="40" t="str">
        <f aca="false">IF(OR(OR(NOT(AND(ISNUMBER(E278),ISNUMBER(F278))),$J$2=""),16&gt;MAX(1,Reprogramaciones!$U$15)),"",IF(Reprogramaciones!Z$12&gt;=7,"",IF(OR(CI278-N(CH278)&gt;0.05,N(AF278)&gt;0),ROUNDDOWN(ROUND(CI278,6),0)&amp;"%"&amp;IF(CY278="",""," / "&amp;CY278&amp;"%"),IF(AND(N(CH278)&gt;=99.95,CY278&lt;&gt;"",N(CY278)&lt;100),"Pend. "&amp;CY278&amp;"%",""))))</f>
        <v/>
      </c>
      <c r="BC278" s="31" t="n">
        <f aca="false">IF(AND(ISNUMBER(E278),ISNUMBER(F278)),MAX(1,NETWORKDAYS.INTL(E278,F278,11)),0)</f>
        <v>0</v>
      </c>
      <c r="BD278" s="1" t="str">
        <f aca="false">IF(OR(NOT(AND(ISNUMBER(E278),ISNUMBER(F278))),$J$2=""),"",MIN(100,ROUND(SUM($G278:G278),1)))</f>
        <v/>
      </c>
      <c r="BE278" s="1" t="str">
        <f aca="false">IF(OR(NOT(AND(ISNUMBER(E278),ISNUMBER(F278))),$J$2=""),"",MIN(100,ROUND(SUM($G278:H278),1)))</f>
        <v/>
      </c>
      <c r="BF278" s="1" t="str">
        <f aca="false">IF(OR(NOT(AND(ISNUMBER(E278),ISNUMBER(F278))),$J$2=""),"",MIN(100,ROUND(SUM($G278:I278),1)))</f>
        <v/>
      </c>
      <c r="BG278" s="1" t="str">
        <f aca="false">IF(OR(NOT(AND(ISNUMBER(E278),ISNUMBER(F278))),$J$2=""),"",MIN(100,ROUND(SUM($G278:J278),1)))</f>
        <v/>
      </c>
      <c r="BH278" s="1" t="str">
        <f aca="false">IF(OR(NOT(AND(ISNUMBER(E278),ISNUMBER(F278))),$J$2=""),"",MIN(100,ROUND(SUM($G278:K278),1)))</f>
        <v/>
      </c>
      <c r="BI278" s="1" t="str">
        <f aca="false">IF(OR(NOT(AND(ISNUMBER(E278),ISNUMBER(F278))),$J$2=""),"",MIN(100,ROUND(SUM($G278:L278),1)))</f>
        <v/>
      </c>
      <c r="BJ278" s="1" t="str">
        <f aca="false">IF(OR(NOT(AND(ISNUMBER(E278),ISNUMBER(F278))),$J$2=""),"",MIN(100,ROUND(SUM($G278:M278),1)))</f>
        <v/>
      </c>
      <c r="BK278" s="1" t="str">
        <f aca="false">IF(OR(NOT(AND(ISNUMBER(E278),ISNUMBER(F278))),$J$2=""),"",MIN(100,ROUND(SUM($G278:N278),1)))</f>
        <v/>
      </c>
      <c r="BL278" s="1" t="str">
        <f aca="false">IF(OR(NOT(AND(ISNUMBER(E278),ISNUMBER(F278))),$J$2=""),"",MIN(100,ROUND(SUM($G278:O278),1)))</f>
        <v/>
      </c>
      <c r="BM278" s="1" t="str">
        <f aca="false">IF(OR(NOT(AND(ISNUMBER(E278),ISNUMBER(F278))),$J$2=""),"",MIN(100,ROUND(SUM($G278:P278),1)))</f>
        <v/>
      </c>
      <c r="BN278" s="1" t="str">
        <f aca="false">IF(OR(NOT(AND(ISNUMBER(E278),ISNUMBER(F278))),$J$2=""),"",MIN(100,ROUND(SUM($G278:P278),1)))</f>
        <v/>
      </c>
      <c r="BO278" s="1" t="str">
        <f aca="false">IF(OR(NOT(AND(ISNUMBER(E278),ISNUMBER(F278))),$J$2=""),"",MIN(100,ROUND(SUM($G278:P278),1)))</f>
        <v/>
      </c>
      <c r="BP278" s="1" t="str">
        <f aca="false">IF(OR(NOT(AND(ISNUMBER(E278),ISNUMBER(F278))),$J$2=""),"",MIN(100,ROUND(SUM($G278:P278),1)))</f>
        <v/>
      </c>
      <c r="BQ278" s="1" t="str">
        <f aca="false">IF(OR(NOT(AND(ISNUMBER(E278),ISNUMBER(F278))),$J$2=""),"",MIN(100,ROUND(SUM($G278:P278),1)))</f>
        <v/>
      </c>
      <c r="BR278" s="1" t="str">
        <f aca="false">IF(OR(NOT(AND(ISNUMBER(E278),ISNUMBER(F278))),$J$2=""),"",MIN(100,ROUND(SUM($G278:P278),1)))</f>
        <v/>
      </c>
      <c r="BS278" s="1" t="str">
        <f aca="false">IF(OR(NOT(AND(ISNUMBER(E278),ISNUMBER(F278))),$J$2=""),"",MIN(100,ROUND(SUM($G278:P278),1)))</f>
        <v/>
      </c>
      <c r="BT278" s="1" t="str">
        <f aca="false">IF(OR(NOT(AND(ISNUMBER(E278),ISNUMBER(F278))),$J$2=""),"",IF(Reprogramaciones!K$13&lt;Reprogramaciones!$T$15,0,IF(Reprogramaciones!K$14&gt;10,MIN(100,SUM($G278:$P278)),MIN(100,SUMPRODUCT((COLUMN($G278:$P278)-COLUMN($G278)+1&lt;Reprogramaciones!K$14)*$G278:$P278)+N(INDEX($G278:$P278,1,Reprogramaciones!K$14))*IF(Reprogramaciones!K$13&gt;=(Reprogramaciones!$T$15+7*(Reprogramaciones!K$14-1))+6,1,IF(MAX(0,NETWORKDAYS.INTL(MAX(E278,(Reprogramaciones!$T$15+7*(Reprogramaciones!K$14-1))),MIN(F278,(Reprogramaciones!$T$15+7*(Reprogramaciones!K$14-1))+6),11))=0,0,MAX(0,NETWORKDAYS.INTL(MAX(E278,(Reprogramaciones!$T$15+7*(Reprogramaciones!K$14-1))),MIN(F278,Reprogramaciones!K$13),11))/MAX(0,NETWORKDAYS.INTL(MAX(E278,(Reprogramaciones!$T$15+7*(Reprogramaciones!K$14-1))),MIN(F278,(Reprogramaciones!$T$15+7*(Reprogramaciones!K$14-1))+6),11))))))))</f>
        <v/>
      </c>
      <c r="BU278" s="1" t="str">
        <f aca="false">IF(OR(NOT(AND(ISNUMBER(E278),ISNUMBER(F278))),$J$2=""),"",IF(Reprogramaciones!L$13&lt;Reprogramaciones!$T$15,0,IF(Reprogramaciones!L$14&gt;10,MIN(100,SUM($G278:$P278)),MIN(100,SUMPRODUCT((COLUMN($G278:$P278)-COLUMN($G278)+1&lt;Reprogramaciones!L$14)*$G278:$P278)+N(INDEX($G278:$P278,1,Reprogramaciones!L$14))*IF(Reprogramaciones!L$13&gt;=(Reprogramaciones!$T$15+7*(Reprogramaciones!L$14-1))+6,1,IF(MAX(0,NETWORKDAYS.INTL(MAX(E278,(Reprogramaciones!$T$15+7*(Reprogramaciones!L$14-1))),MIN(F278,(Reprogramaciones!$T$15+7*(Reprogramaciones!L$14-1))+6),11))=0,0,MAX(0,NETWORKDAYS.INTL(MAX(E278,(Reprogramaciones!$T$15+7*(Reprogramaciones!L$14-1))),MIN(F278,Reprogramaciones!L$13),11))/MAX(0,NETWORKDAYS.INTL(MAX(E278,(Reprogramaciones!$T$15+7*(Reprogramaciones!L$14-1))),MIN(F278,(Reprogramaciones!$T$15+7*(Reprogramaciones!L$14-1))+6),11))))))))</f>
        <v/>
      </c>
      <c r="BV278" s="1" t="str">
        <f aca="false">IF(OR(NOT(AND(ISNUMBER(E278),ISNUMBER(F278))),$J$2=""),"",IF(Reprogramaciones!M$13&lt;Reprogramaciones!$T$15,0,IF(Reprogramaciones!M$14&gt;10,MIN(100,SUM($G278:$P278)),MIN(100,SUMPRODUCT((COLUMN($G278:$P278)-COLUMN($G278)+1&lt;Reprogramaciones!M$14)*$G278:$P278)+N(INDEX($G278:$P278,1,Reprogramaciones!M$14))*IF(Reprogramaciones!M$13&gt;=(Reprogramaciones!$T$15+7*(Reprogramaciones!M$14-1))+6,1,IF(MAX(0,NETWORKDAYS.INTL(MAX(E278,(Reprogramaciones!$T$15+7*(Reprogramaciones!M$14-1))),MIN(F278,(Reprogramaciones!$T$15+7*(Reprogramaciones!M$14-1))+6),11))=0,0,MAX(0,NETWORKDAYS.INTL(MAX(E278,(Reprogramaciones!$T$15+7*(Reprogramaciones!M$14-1))),MIN(F278,Reprogramaciones!M$13),11))/MAX(0,NETWORKDAYS.INTL(MAX(E278,(Reprogramaciones!$T$15+7*(Reprogramaciones!M$14-1))),MIN(F278,(Reprogramaciones!$T$15+7*(Reprogramaciones!M$14-1))+6),11))))))))</f>
        <v/>
      </c>
      <c r="BW278" s="1" t="str">
        <f aca="false">IF(OR(NOT(AND(ISNUMBER(E278),ISNUMBER(F278))),$J$2=""),"",IF(Reprogramaciones!N$13&lt;Reprogramaciones!$T$15,0,IF(Reprogramaciones!N$14&gt;10,MIN(100,SUM($G278:$P278)),MIN(100,SUMPRODUCT((COLUMN($G278:$P278)-COLUMN($G278)+1&lt;Reprogramaciones!N$14)*$G278:$P278)+N(INDEX($G278:$P278,1,Reprogramaciones!N$14))*IF(Reprogramaciones!N$13&gt;=(Reprogramaciones!$T$15+7*(Reprogramaciones!N$14-1))+6,1,IF(MAX(0,NETWORKDAYS.INTL(MAX(E278,(Reprogramaciones!$T$15+7*(Reprogramaciones!N$14-1))),MIN(F278,(Reprogramaciones!$T$15+7*(Reprogramaciones!N$14-1))+6),11))=0,0,MAX(0,NETWORKDAYS.INTL(MAX(E278,(Reprogramaciones!$T$15+7*(Reprogramaciones!N$14-1))),MIN(F278,Reprogramaciones!N$13),11))/MAX(0,NETWORKDAYS.INTL(MAX(E278,(Reprogramaciones!$T$15+7*(Reprogramaciones!N$14-1))),MIN(F278,(Reprogramaciones!$T$15+7*(Reprogramaciones!N$14-1))+6),11))))))))</f>
        <v/>
      </c>
      <c r="BX278" s="1" t="str">
        <f aca="false">IF(OR(NOT(AND(ISNUMBER(E278),ISNUMBER(F278))),$J$2=""),"",IF(Reprogramaciones!O$13&lt;Reprogramaciones!$T$15,0,IF(Reprogramaciones!O$14&gt;10,MIN(100,SUM($G278:$P278)),MIN(100,SUMPRODUCT((COLUMN($G278:$P278)-COLUMN($G278)+1&lt;Reprogramaciones!O$14)*$G278:$P278)+N(INDEX($G278:$P278,1,Reprogramaciones!O$14))*IF(Reprogramaciones!O$13&gt;=(Reprogramaciones!$T$15+7*(Reprogramaciones!O$14-1))+6,1,IF(MAX(0,NETWORKDAYS.INTL(MAX(E278,(Reprogramaciones!$T$15+7*(Reprogramaciones!O$14-1))),MIN(F278,(Reprogramaciones!$T$15+7*(Reprogramaciones!O$14-1))+6),11))=0,0,MAX(0,NETWORKDAYS.INTL(MAX(E278,(Reprogramaciones!$T$15+7*(Reprogramaciones!O$14-1))),MIN(F278,Reprogramaciones!O$13),11))/MAX(0,NETWORKDAYS.INTL(MAX(E278,(Reprogramaciones!$T$15+7*(Reprogramaciones!O$14-1))),MIN(F278,(Reprogramaciones!$T$15+7*(Reprogramaciones!O$14-1))+6),11))))))))</f>
        <v/>
      </c>
      <c r="BY278" s="1" t="str">
        <f aca="false">IF(OR(NOT(AND(ISNUMBER(E278),ISNUMBER(F278))),$J$2=""),"",IF(Reprogramaciones!P$13&lt;Reprogramaciones!$T$15,0,IF(Reprogramaciones!P$14&gt;10,MIN(100,SUM($G278:$P278)),MIN(100,SUMPRODUCT((COLUMN($G278:$P278)-COLUMN($G278)+1&lt;Reprogramaciones!P$14)*$G278:$P278)+N(INDEX($G278:$P278,1,Reprogramaciones!P$14))*IF(Reprogramaciones!P$13&gt;=(Reprogramaciones!$T$15+7*(Reprogramaciones!P$14-1))+6,1,IF(MAX(0,NETWORKDAYS.INTL(MAX(E278,(Reprogramaciones!$T$15+7*(Reprogramaciones!P$14-1))),MIN(F278,(Reprogramaciones!$T$15+7*(Reprogramaciones!P$14-1))+6),11))=0,0,MAX(0,NETWORKDAYS.INTL(MAX(E278,(Reprogramaciones!$T$15+7*(Reprogramaciones!P$14-1))),MIN(F278,Reprogramaciones!P$13),11))/MAX(0,NETWORKDAYS.INTL(MAX(E278,(Reprogramaciones!$T$15+7*(Reprogramaciones!P$14-1))),MIN(F278,(Reprogramaciones!$T$15+7*(Reprogramaciones!P$14-1))+6),11))))))))</f>
        <v/>
      </c>
      <c r="BZ278" s="1" t="str">
        <f aca="false">IF(OR(NOT(AND(ISNUMBER(E278),ISNUMBER(F278))),$J$2=""),"",IF(Reprogramaciones!Q$13&lt;Reprogramaciones!$T$15,0,IF(Reprogramaciones!Q$14&gt;10,MIN(100,SUM($G278:$P278)),MIN(100,SUMPRODUCT((COLUMN($G278:$P278)-COLUMN($G278)+1&lt;Reprogramaciones!Q$14)*$G278:$P278)+N(INDEX($G278:$P278,1,Reprogramaciones!Q$14))*IF(Reprogramaciones!Q$13&gt;=(Reprogramaciones!$T$15+7*(Reprogramaciones!Q$14-1))+6,1,IF(MAX(0,NETWORKDAYS.INTL(MAX(E278,(Reprogramaciones!$T$15+7*(Reprogramaciones!Q$14-1))),MIN(F278,(Reprogramaciones!$T$15+7*(Reprogramaciones!Q$14-1))+6),11))=0,0,MAX(0,NETWORKDAYS.INTL(MAX(E278,(Reprogramaciones!$T$15+7*(Reprogramaciones!Q$14-1))),MIN(F278,Reprogramaciones!Q$13),11))/MAX(0,NETWORKDAYS.INTL(MAX(E278,(Reprogramaciones!$T$15+7*(Reprogramaciones!Q$14-1))),MIN(F278,(Reprogramaciones!$T$15+7*(Reprogramaciones!Q$14-1))+6),11))))))))</f>
        <v/>
      </c>
      <c r="CA278" s="1" t="str">
        <f aca="false">IF(OR(NOT(AND(ISNUMBER(E278),ISNUMBER(F278))),$J$2=""),"",IF(Reprogramaciones!R$13&lt;Reprogramaciones!$T$15,0,IF(Reprogramaciones!R$14&gt;10,MIN(100,SUM($G278:$P278)),MIN(100,SUMPRODUCT((COLUMN($G278:$P278)-COLUMN($G278)+1&lt;Reprogramaciones!R$14)*$G278:$P278)+N(INDEX($G278:$P278,1,Reprogramaciones!R$14))*IF(Reprogramaciones!R$13&gt;=(Reprogramaciones!$T$15+7*(Reprogramaciones!R$14-1))+6,1,IF(MAX(0,NETWORKDAYS.INTL(MAX(E278,(Reprogramaciones!$T$15+7*(Reprogramaciones!R$14-1))),MIN(F278,(Reprogramaciones!$T$15+7*(Reprogramaciones!R$14-1))+6),11))=0,0,MAX(0,NETWORKDAYS.INTL(MAX(E278,(Reprogramaciones!$T$15+7*(Reprogramaciones!R$14-1))),MIN(F278,Reprogramaciones!R$13),11))/MAX(0,NETWORKDAYS.INTL(MAX(E278,(Reprogramaciones!$T$15+7*(Reprogramaciones!R$14-1))),MIN(F278,(Reprogramaciones!$T$15+7*(Reprogramaciones!R$14-1))+6),11))))))))</f>
        <v/>
      </c>
      <c r="CB278" s="1" t="str">
        <f aca="false">IF(OR(NOT(AND(ISNUMBER(E278),ISNUMBER(F278))),$J$2=""),"",IF(Reprogramaciones!S$13&lt;Reprogramaciones!$T$15,0,IF(Reprogramaciones!S$14&gt;10,MIN(100,SUM($G278:$P278)),MIN(100,SUMPRODUCT((COLUMN($G278:$P278)-COLUMN($G278)+1&lt;Reprogramaciones!S$14)*$G278:$P278)+N(INDEX($G278:$P278,1,Reprogramaciones!S$14))*IF(Reprogramaciones!S$13&gt;=(Reprogramaciones!$T$15+7*(Reprogramaciones!S$14-1))+6,1,IF(MAX(0,NETWORKDAYS.INTL(MAX(E278,(Reprogramaciones!$T$15+7*(Reprogramaciones!S$14-1))),MIN(F278,(Reprogramaciones!$T$15+7*(Reprogramaciones!S$14-1))+6),11))=0,0,MAX(0,NETWORKDAYS.INTL(MAX(E278,(Reprogramaciones!$T$15+7*(Reprogramaciones!S$14-1))),MIN(F278,Reprogramaciones!S$13),11))/MAX(0,NETWORKDAYS.INTL(MAX(E278,(Reprogramaciones!$T$15+7*(Reprogramaciones!S$14-1))),MIN(F278,(Reprogramaciones!$T$15+7*(Reprogramaciones!S$14-1))+6),11))))))))</f>
        <v/>
      </c>
      <c r="CC278" s="1" t="str">
        <f aca="false">IF(OR(NOT(AND(ISNUMBER(E278),ISNUMBER(F278))),$J$2=""),"",IF(Reprogramaciones!T$13&lt;Reprogramaciones!$T$15,0,IF(Reprogramaciones!T$14&gt;10,MIN(100,SUM($G278:$P278)),MIN(100,SUMPRODUCT((COLUMN($G278:$P278)-COLUMN($G278)+1&lt;Reprogramaciones!T$14)*$G278:$P278)+N(INDEX($G278:$P278,1,Reprogramaciones!T$14))*IF(Reprogramaciones!T$13&gt;=(Reprogramaciones!$T$15+7*(Reprogramaciones!T$14-1))+6,1,IF(MAX(0,NETWORKDAYS.INTL(MAX(E278,(Reprogramaciones!$T$15+7*(Reprogramaciones!T$14-1))),MIN(F278,(Reprogramaciones!$T$15+7*(Reprogramaciones!T$14-1))+6),11))=0,0,MAX(0,NETWORKDAYS.INTL(MAX(E278,(Reprogramaciones!$T$15+7*(Reprogramaciones!T$14-1))),MIN(F278,Reprogramaciones!T$13),11))/MAX(0,NETWORKDAYS.INTL(MAX(E278,(Reprogramaciones!$T$15+7*(Reprogramaciones!T$14-1))),MIN(F278,(Reprogramaciones!$T$15+7*(Reprogramaciones!T$14-1))+6),11))))))))</f>
        <v/>
      </c>
      <c r="CD278" s="1" t="str">
        <f aca="false">IF(OR(NOT(AND(ISNUMBER(E278),ISNUMBER(F278))),$J$2=""),"",IF(Reprogramaciones!U$13&lt;Reprogramaciones!$T$15,0,IF(Reprogramaciones!U$14&gt;10,MIN(100,SUM($G278:$P278)),MIN(100,SUMPRODUCT((COLUMN($G278:$P278)-COLUMN($G278)+1&lt;Reprogramaciones!U$14)*$G278:$P278)+N(INDEX($G278:$P278,1,Reprogramaciones!U$14))*IF(Reprogramaciones!U$13&gt;=(Reprogramaciones!$T$15+7*(Reprogramaciones!U$14-1))+6,1,IF(MAX(0,NETWORKDAYS.INTL(MAX(E278,(Reprogramaciones!$T$15+7*(Reprogramaciones!U$14-1))),MIN(F278,(Reprogramaciones!$T$15+7*(Reprogramaciones!U$14-1))+6),11))=0,0,MAX(0,NETWORKDAYS.INTL(MAX(E278,(Reprogramaciones!$T$15+7*(Reprogramaciones!U$14-1))),MIN(F278,Reprogramaciones!U$13),11))/MAX(0,NETWORKDAYS.INTL(MAX(E278,(Reprogramaciones!$T$15+7*(Reprogramaciones!U$14-1))),MIN(F278,(Reprogramaciones!$T$15+7*(Reprogramaciones!U$14-1))+6),11))))))))</f>
        <v/>
      </c>
      <c r="CE278" s="1" t="str">
        <f aca="false">IF(OR(NOT(AND(ISNUMBER(E278),ISNUMBER(F278))),$J$2=""),"",IF(Reprogramaciones!V$13&lt;Reprogramaciones!$T$15,0,IF(Reprogramaciones!V$14&gt;10,MIN(100,SUM($G278:$P278)),MIN(100,SUMPRODUCT((COLUMN($G278:$P278)-COLUMN($G278)+1&lt;Reprogramaciones!V$14)*$G278:$P278)+N(INDEX($G278:$P278,1,Reprogramaciones!V$14))*IF(Reprogramaciones!V$13&gt;=(Reprogramaciones!$T$15+7*(Reprogramaciones!V$14-1))+6,1,IF(MAX(0,NETWORKDAYS.INTL(MAX(E278,(Reprogramaciones!$T$15+7*(Reprogramaciones!V$14-1))),MIN(F278,(Reprogramaciones!$T$15+7*(Reprogramaciones!V$14-1))+6),11))=0,0,MAX(0,NETWORKDAYS.INTL(MAX(E278,(Reprogramaciones!$T$15+7*(Reprogramaciones!V$14-1))),MIN(F278,Reprogramaciones!V$13),11))/MAX(0,NETWORKDAYS.INTL(MAX(E278,(Reprogramaciones!$T$15+7*(Reprogramaciones!V$14-1))),MIN(F278,(Reprogramaciones!$T$15+7*(Reprogramaciones!V$14-1))+6),11))))))))</f>
        <v/>
      </c>
      <c r="CF278" s="1" t="str">
        <f aca="false">IF(OR(NOT(AND(ISNUMBER(E278),ISNUMBER(F278))),$J$2=""),"",IF(Reprogramaciones!W$13&lt;Reprogramaciones!$T$15,0,IF(Reprogramaciones!W$14&gt;10,MIN(100,SUM($G278:$P278)),MIN(100,SUMPRODUCT((COLUMN($G278:$P278)-COLUMN($G278)+1&lt;Reprogramaciones!W$14)*$G278:$P278)+N(INDEX($G278:$P278,1,Reprogramaciones!W$14))*IF(Reprogramaciones!W$13&gt;=(Reprogramaciones!$T$15+7*(Reprogramaciones!W$14-1))+6,1,IF(MAX(0,NETWORKDAYS.INTL(MAX(E278,(Reprogramaciones!$T$15+7*(Reprogramaciones!W$14-1))),MIN(F278,(Reprogramaciones!$T$15+7*(Reprogramaciones!W$14-1))+6),11))=0,0,MAX(0,NETWORKDAYS.INTL(MAX(E278,(Reprogramaciones!$T$15+7*(Reprogramaciones!W$14-1))),MIN(F278,Reprogramaciones!W$13),11))/MAX(0,NETWORKDAYS.INTL(MAX(E278,(Reprogramaciones!$T$15+7*(Reprogramaciones!W$14-1))),MIN(F278,(Reprogramaciones!$T$15+7*(Reprogramaciones!W$14-1))+6),11))))))))</f>
        <v/>
      </c>
      <c r="CG278" s="1" t="str">
        <f aca="false">IF(OR(NOT(AND(ISNUMBER(E278),ISNUMBER(F278))),$J$2=""),"",IF(Reprogramaciones!X$13&lt;Reprogramaciones!$T$15,0,IF(Reprogramaciones!X$14&gt;10,MIN(100,SUM($G278:$P278)),MIN(100,SUMPRODUCT((COLUMN($G278:$P278)-COLUMN($G278)+1&lt;Reprogramaciones!X$14)*$G278:$P278)+N(INDEX($G278:$P278,1,Reprogramaciones!X$14))*IF(Reprogramaciones!X$13&gt;=(Reprogramaciones!$T$15+7*(Reprogramaciones!X$14-1))+6,1,IF(MAX(0,NETWORKDAYS.INTL(MAX(E278,(Reprogramaciones!$T$15+7*(Reprogramaciones!X$14-1))),MIN(F278,(Reprogramaciones!$T$15+7*(Reprogramaciones!X$14-1))+6),11))=0,0,MAX(0,NETWORKDAYS.INTL(MAX(E278,(Reprogramaciones!$T$15+7*(Reprogramaciones!X$14-1))),MIN(F278,Reprogramaciones!X$13),11))/MAX(0,NETWORKDAYS.INTL(MAX(E278,(Reprogramaciones!$T$15+7*(Reprogramaciones!X$14-1))),MIN(F278,(Reprogramaciones!$T$15+7*(Reprogramaciones!X$14-1))+6),11))))))))</f>
        <v/>
      </c>
      <c r="CH278" s="1" t="str">
        <f aca="false">IF(OR(NOT(AND(ISNUMBER(E278),ISNUMBER(F278))),$J$2=""),"",IF(Reprogramaciones!Y$13&lt;Reprogramaciones!$T$15,0,IF(Reprogramaciones!Y$14&gt;10,MIN(100,SUM($G278:$P278)),MIN(100,SUMPRODUCT((COLUMN($G278:$P278)-COLUMN($G278)+1&lt;Reprogramaciones!Y$14)*$G278:$P278)+N(INDEX($G278:$P278,1,Reprogramaciones!Y$14))*IF(Reprogramaciones!Y$13&gt;=(Reprogramaciones!$T$15+7*(Reprogramaciones!Y$14-1))+6,1,IF(MAX(0,NETWORKDAYS.INTL(MAX(E278,(Reprogramaciones!$T$15+7*(Reprogramaciones!Y$14-1))),MIN(F278,(Reprogramaciones!$T$15+7*(Reprogramaciones!Y$14-1))+6),11))=0,0,MAX(0,NETWORKDAYS.INTL(MAX(E278,(Reprogramaciones!$T$15+7*(Reprogramaciones!Y$14-1))),MIN(F278,Reprogramaciones!Y$13),11))/MAX(0,NETWORKDAYS.INTL(MAX(E278,(Reprogramaciones!$T$15+7*(Reprogramaciones!Y$14-1))),MIN(F278,(Reprogramaciones!$T$15+7*(Reprogramaciones!Y$14-1))+6),11))))))))</f>
        <v/>
      </c>
      <c r="CI278" s="1" t="str">
        <f aca="false">IF(OR(NOT(AND(ISNUMBER(E278),ISNUMBER(F278))),$J$2=""),"",IF(Reprogramaciones!Z$13&lt;Reprogramaciones!$T$15,0,IF(Reprogramaciones!Z$14&gt;10,MIN(100,SUM($G278:$P278)),MIN(100,SUMPRODUCT((COLUMN($G278:$P278)-COLUMN($G278)+1&lt;Reprogramaciones!Z$14)*$G278:$P278)+N(INDEX($G278:$P278,1,Reprogramaciones!Z$14))*IF(Reprogramaciones!Z$13&gt;=(Reprogramaciones!$T$15+7*(Reprogramaciones!Z$14-1))+6,1,IF(MAX(0,NETWORKDAYS.INTL(MAX(E278,(Reprogramaciones!$T$15+7*(Reprogramaciones!Z$14-1))),MIN(F278,(Reprogramaciones!$T$15+7*(Reprogramaciones!Z$14-1))+6),11))=0,0,MAX(0,NETWORKDAYS.INTL(MAX(E278,(Reprogramaciones!$T$15+7*(Reprogramaciones!Z$14-1))),MIN(F278,Reprogramaciones!Z$13),11))/MAX(0,NETWORKDAYS.INTL(MAX(E278,(Reprogramaciones!$T$15+7*(Reprogramaciones!Z$14-1))),MIN(F278,(Reprogramaciones!$T$15+7*(Reprogramaciones!Z$14-1))+6),11))))))))</f>
        <v/>
      </c>
      <c r="CJ278" s="1" t="str">
        <f aca="false">IF(OR(OR(NOT(AND(ISNUMBER(E278),ISNUMBER(F278))),$J$2=""),1&gt;Reprogramaciones!$K$16),"",IF(ROUND(SUM($Q278:Q278),1)&gt;=99.5,100,MIN(100,ROUND(SUM($Q278:Q278),1))))</f>
        <v/>
      </c>
      <c r="CK278" s="1" t="str">
        <f aca="false">IF(OR(OR(NOT(AND(ISNUMBER(E278),ISNUMBER(F278))),$J$2=""),2&gt;Reprogramaciones!$K$16),"",IF(ROUND(SUM($Q278:R278),1)&gt;=99.5,100,MIN(100,ROUND(SUM($Q278:R278),1))))</f>
        <v/>
      </c>
      <c r="CL278" s="1" t="str">
        <f aca="false">IF(OR(OR(NOT(AND(ISNUMBER(E278),ISNUMBER(F278))),$J$2=""),3&gt;Reprogramaciones!$K$16),"",IF(ROUND(SUM($Q278:S278),1)&gt;=99.5,100,MIN(100,ROUND(SUM($Q278:S278),1))))</f>
        <v/>
      </c>
      <c r="CM278" s="1" t="str">
        <f aca="false">IF(OR(OR(NOT(AND(ISNUMBER(E278),ISNUMBER(F278))),$J$2=""),4&gt;Reprogramaciones!$K$16),"",IF(ROUND(SUM($Q278:T278),1)&gt;=99.5,100,MIN(100,ROUND(SUM($Q278:T278),1))))</f>
        <v/>
      </c>
      <c r="CN278" s="1" t="str">
        <f aca="false">IF(OR(OR(NOT(AND(ISNUMBER(E278),ISNUMBER(F278))),$J$2=""),5&gt;Reprogramaciones!$K$16),"",IF(ROUND(SUM($Q278:U278),1)&gt;=99.5,100,MIN(100,ROUND(SUM($Q278:U278),1))))</f>
        <v/>
      </c>
      <c r="CO278" s="1" t="str">
        <f aca="false">IF(OR(OR(NOT(AND(ISNUMBER(E278),ISNUMBER(F278))),$J$2=""),6&gt;Reprogramaciones!$K$16),"",IF(ROUND(SUM($Q278:V278),1)&gt;=99.5,100,MIN(100,ROUND(SUM($Q278:V278),1))))</f>
        <v/>
      </c>
      <c r="CP278" s="1" t="str">
        <f aca="false">IF(OR(OR(NOT(AND(ISNUMBER(E278),ISNUMBER(F278))),$J$2=""),7&gt;Reprogramaciones!$K$16),"",IF(ROUND(SUM($Q278:W278),1)&gt;=99.5,100,MIN(100,ROUND(SUM($Q278:W278),1))))</f>
        <v/>
      </c>
      <c r="CQ278" s="1" t="str">
        <f aca="false">IF(OR(OR(NOT(AND(ISNUMBER(E278),ISNUMBER(F278))),$J$2=""),8&gt;Reprogramaciones!$K$16),"",IF(ROUND(SUM($Q278:X278),1)&gt;=99.5,100,MIN(100,ROUND(SUM($Q278:X278),1))))</f>
        <v/>
      </c>
      <c r="CR278" s="1" t="str">
        <f aca="false">IF(OR(OR(NOT(AND(ISNUMBER(E278),ISNUMBER(F278))),$J$2=""),9&gt;Reprogramaciones!$K$16),"",IF(ROUND(SUM($Q278:Y278),1)&gt;=99.5,100,MIN(100,ROUND(SUM($Q278:Y278),1))))</f>
        <v/>
      </c>
      <c r="CS278" s="1" t="str">
        <f aca="false">IF(OR(OR(NOT(AND(ISNUMBER(E278),ISNUMBER(F278))),$J$2=""),10&gt;Reprogramaciones!$K$16),"",IF(ROUND(SUM($Q278:Z278),1)&gt;=99.5,100,MIN(100,ROUND(SUM($Q278:Z278),1))))</f>
        <v/>
      </c>
      <c r="CT278" s="1" t="str">
        <f aca="false">IF(OR(OR(NOT(AND(ISNUMBER(E278),ISNUMBER(F278))),$J$2=""),11&gt;Reprogramaciones!$K$16),"",IF(ROUND(SUM($Q278:AA278),1)&gt;=99.5,100,MIN(100,ROUND(SUM($Q278:AA278),1))))</f>
        <v/>
      </c>
      <c r="CU278" s="1" t="str">
        <f aca="false">IF(OR(OR(NOT(AND(ISNUMBER(E278),ISNUMBER(F278))),$J$2=""),12&gt;Reprogramaciones!$K$16),"",IF(ROUND(SUM($Q278:AB278),1)&gt;=99.5,100,MIN(100,ROUND(SUM($Q278:AB278),1))))</f>
        <v/>
      </c>
      <c r="CV278" s="1" t="str">
        <f aca="false">IF(OR(OR(NOT(AND(ISNUMBER(E278),ISNUMBER(F278))),$J$2=""),13&gt;Reprogramaciones!$K$16),"",IF(ROUND(SUM($Q278:AC278),1)&gt;=99.5,100,MIN(100,ROUND(SUM($Q278:AC278),1))))</f>
        <v/>
      </c>
      <c r="CW278" s="1" t="str">
        <f aca="false">IF(OR(OR(NOT(AND(ISNUMBER(E278),ISNUMBER(F278))),$J$2=""),14&gt;Reprogramaciones!$K$16),"",IF(ROUND(SUM($Q278:AD278),1)&gt;=99.5,100,MIN(100,ROUND(SUM($Q278:AD278),1))))</f>
        <v/>
      </c>
      <c r="CX278" s="1" t="str">
        <f aca="false">IF(OR(OR(NOT(AND(ISNUMBER(E278),ISNUMBER(F278))),$J$2=""),15&gt;Reprogramaciones!$K$16),"",IF(ROUND(SUM($Q278:AE278),1)&gt;=99.5,100,MIN(100,ROUND(SUM($Q278:AE278),1))))</f>
        <v/>
      </c>
      <c r="CY278" s="1" t="str">
        <f aca="false">IF(OR(OR(NOT(AND(ISNUMBER(E278),ISNUMBER(F278))),$J$2=""),16&gt;Reprogramaciones!$K$16),"",IF(ROUND(SUM($Q278:AF278),1)&gt;=99.5,100,MIN(100,ROUND(SUM($Q278:AF278),1))))</f>
        <v/>
      </c>
      <c r="CZ278" s="1" t="str">
        <f aca="false">IF(D278&lt;&gt;"",D278,IF(B278&lt;&gt;"","Contractual",CZ277))</f>
        <v>Contractual</v>
      </c>
      <c r="DA278" s="1" t="str">
        <f aca="false">IF(OR(NOT(AND(ISNUMBER(E278),ISNUMBER(F278))),$J$2=""),"",IF(Reprogramaciones!$Q$15&lt;Reprogramaciones!$T$15,0,IF(Reprogramaciones!$S$15&gt;10,MIN(100,SUM($G278:$P278)),MIN(100,SUMPRODUCT((COLUMN($G278:$P278)-COLUMN($G278)+1&lt;Reprogramaciones!$S$15)*$G278:$P278)+N(INDEX($G278:$P278,1,Reprogramaciones!$S$15))*IF(Reprogramaciones!$Q$15&gt;=(Reprogramaciones!$T$15+7*(Reprogramaciones!$S$15-1))+6,1,IF(MAX(0,NETWORKDAYS.INTL(MAX(E278,(Reprogramaciones!$T$15+7*(Reprogramaciones!$S$15-1))),MIN(F278,(Reprogramaciones!$T$15+7*(Reprogramaciones!$S$15-1))+6),11))=0,0,MAX(0,NETWORKDAYS.INTL(MAX(E278,(Reprogramaciones!$T$15+7*(Reprogramaciones!$S$15-1))),MIN(F278,Reprogramaciones!$Q$15),11))/MAX(0,NETWORKDAYS.INTL(MAX(E278,(Reprogramaciones!$T$15+7*(Reprogramaciones!$S$15-1))),MIN(F278,(Reprogramaciones!$T$15+7*(Reprogramaciones!$S$15-1))+6),11))))))))</f>
        <v/>
      </c>
    </row>
    <row r="279" customFormat="false" ht="15" hidden="false" customHeight="false" outlineLevel="0" collapsed="false">
      <c r="A279" s="32"/>
      <c r="B279" s="33"/>
      <c r="C279" s="33"/>
      <c r="D279" s="34"/>
      <c r="E279" s="35"/>
      <c r="F279" s="35"/>
      <c r="G279" s="36" t="str">
        <f aca="false">IF(OR(NOT(AND(ISNUMBER(E279),ISNUMBER(F279))),$J$2=""),"",IF(Reprogramaciones!K$9&lt;E279,0,IF(NETWORKDAYS.INTL(E279,F279,11)=0,IF(Reprogramaciones!K$9&gt;=F279,100,0),ROUND(NETWORKDAYS.INTL(E279,MIN(F279,Reprogramaciones!K$9),11)/NETWORKDAYS.INTL(E279,F279,11)*100,1)))-0)</f>
        <v/>
      </c>
      <c r="H279" s="36" t="str">
        <f aca="false">IF(OR(NOT(AND(ISNUMBER(E279),ISNUMBER(F279))),$J$2=""),"",IF(Reprogramaciones!L$9&lt;E279,0,IF(NETWORKDAYS.INTL(E279,F279,11)=0,IF(Reprogramaciones!L$9&gt;=F279,100,0),ROUND(NETWORKDAYS.INTL(E279,MIN(F279,Reprogramaciones!L$9),11)/NETWORKDAYS.INTL(E279,F279,11)*100,1)))-IF(Reprogramaciones!K$9&lt;E279,0,IF(NETWORKDAYS.INTL(E279,F279,11)=0,IF(Reprogramaciones!K$9&gt;=F279,100,0),ROUND(NETWORKDAYS.INTL(E279,MIN(F279,Reprogramaciones!K$9),11)/NETWORKDAYS.INTL(E279,F279,11)*100,1))))</f>
        <v/>
      </c>
      <c r="I279" s="36" t="str">
        <f aca="false">IF(OR(NOT(AND(ISNUMBER(E279),ISNUMBER(F279))),$J$2=""),"",IF(Reprogramaciones!M$9&lt;E279,0,IF(NETWORKDAYS.INTL(E279,F279,11)=0,IF(Reprogramaciones!M$9&gt;=F279,100,0),ROUND(NETWORKDAYS.INTL(E279,MIN(F279,Reprogramaciones!M$9),11)/NETWORKDAYS.INTL(E279,F279,11)*100,1)))-IF(Reprogramaciones!L$9&lt;E279,0,IF(NETWORKDAYS.INTL(E279,F279,11)=0,IF(Reprogramaciones!L$9&gt;=F279,100,0),ROUND(NETWORKDAYS.INTL(E279,MIN(F279,Reprogramaciones!L$9),11)/NETWORKDAYS.INTL(E279,F279,11)*100,1))))</f>
        <v/>
      </c>
      <c r="J279" s="36" t="str">
        <f aca="false">IF(OR(NOT(AND(ISNUMBER(E279),ISNUMBER(F279))),$J$2=""),"",IF(Reprogramaciones!N$9&lt;E279,0,IF(NETWORKDAYS.INTL(E279,F279,11)=0,IF(Reprogramaciones!N$9&gt;=F279,100,0),ROUND(NETWORKDAYS.INTL(E279,MIN(F279,Reprogramaciones!N$9),11)/NETWORKDAYS.INTL(E279,F279,11)*100,1)))-IF(Reprogramaciones!M$9&lt;E279,0,IF(NETWORKDAYS.INTL(E279,F279,11)=0,IF(Reprogramaciones!M$9&gt;=F279,100,0),ROUND(NETWORKDAYS.INTL(E279,MIN(F279,Reprogramaciones!M$9),11)/NETWORKDAYS.INTL(E279,F279,11)*100,1))))</f>
        <v/>
      </c>
      <c r="K279" s="36" t="str">
        <f aca="false">IF(OR(NOT(AND(ISNUMBER(E279),ISNUMBER(F279))),$J$2=""),"",IF(Reprogramaciones!O$9&lt;E279,0,IF(NETWORKDAYS.INTL(E279,F279,11)=0,IF(Reprogramaciones!O$9&gt;=F279,100,0),ROUND(NETWORKDAYS.INTL(E279,MIN(F279,Reprogramaciones!O$9),11)/NETWORKDAYS.INTL(E279,F279,11)*100,1)))-IF(Reprogramaciones!N$9&lt;E279,0,IF(NETWORKDAYS.INTL(E279,F279,11)=0,IF(Reprogramaciones!N$9&gt;=F279,100,0),ROUND(NETWORKDAYS.INTL(E279,MIN(F279,Reprogramaciones!N$9),11)/NETWORKDAYS.INTL(E279,F279,11)*100,1))))</f>
        <v/>
      </c>
      <c r="L279" s="36" t="str">
        <f aca="false">IF(OR(NOT(AND(ISNUMBER(E279),ISNUMBER(F279))),$J$2=""),"",IF(Reprogramaciones!P$9&lt;E279,0,IF(NETWORKDAYS.INTL(E279,F279,11)=0,IF(Reprogramaciones!P$9&gt;=F279,100,0),ROUND(NETWORKDAYS.INTL(E279,MIN(F279,Reprogramaciones!P$9),11)/NETWORKDAYS.INTL(E279,F279,11)*100,1)))-IF(Reprogramaciones!O$9&lt;E279,0,IF(NETWORKDAYS.INTL(E279,F279,11)=0,IF(Reprogramaciones!O$9&gt;=F279,100,0),ROUND(NETWORKDAYS.INTL(E279,MIN(F279,Reprogramaciones!O$9),11)/NETWORKDAYS.INTL(E279,F279,11)*100,1))))</f>
        <v/>
      </c>
      <c r="M279" s="36" t="str">
        <f aca="false">IF(OR(NOT(AND(ISNUMBER(E279),ISNUMBER(F279))),$J$2=""),"",IF(Reprogramaciones!Q$9&lt;E279,0,IF(NETWORKDAYS.INTL(E279,F279,11)=0,IF(Reprogramaciones!Q$9&gt;=F279,100,0),ROUND(NETWORKDAYS.INTL(E279,MIN(F279,Reprogramaciones!Q$9),11)/NETWORKDAYS.INTL(E279,F279,11)*100,1)))-IF(Reprogramaciones!P$9&lt;E279,0,IF(NETWORKDAYS.INTL(E279,F279,11)=0,IF(Reprogramaciones!P$9&gt;=F279,100,0),ROUND(NETWORKDAYS.INTL(E279,MIN(F279,Reprogramaciones!P$9),11)/NETWORKDAYS.INTL(E279,F279,11)*100,1))))</f>
        <v/>
      </c>
      <c r="N279" s="36" t="str">
        <f aca="false">IF(OR(NOT(AND(ISNUMBER(E279),ISNUMBER(F279))),$J$2=""),"",IF(Reprogramaciones!R$9&lt;E279,0,IF(NETWORKDAYS.INTL(E279,F279,11)=0,IF(Reprogramaciones!R$9&gt;=F279,100,0),ROUND(NETWORKDAYS.INTL(E279,MIN(F279,Reprogramaciones!R$9),11)/NETWORKDAYS.INTL(E279,F279,11)*100,1)))-IF(Reprogramaciones!Q$9&lt;E279,0,IF(NETWORKDAYS.INTL(E279,F279,11)=0,IF(Reprogramaciones!Q$9&gt;=F279,100,0),ROUND(NETWORKDAYS.INTL(E279,MIN(F279,Reprogramaciones!Q$9),11)/NETWORKDAYS.INTL(E279,F279,11)*100,1))))</f>
        <v/>
      </c>
      <c r="O279" s="36" t="str">
        <f aca="false">IF(OR(NOT(AND(ISNUMBER(E279),ISNUMBER(F279))),$J$2=""),"",IF(Reprogramaciones!S$9&lt;E279,0,IF(NETWORKDAYS.INTL(E279,F279,11)=0,IF(Reprogramaciones!S$9&gt;=F279,100,0),ROUND(NETWORKDAYS.INTL(E279,MIN(F279,Reprogramaciones!S$9),11)/NETWORKDAYS.INTL(E279,F279,11)*100,1)))-IF(Reprogramaciones!R$9&lt;E279,0,IF(NETWORKDAYS.INTL(E279,F279,11)=0,IF(Reprogramaciones!R$9&gt;=F279,100,0),ROUND(NETWORKDAYS.INTL(E279,MIN(F279,Reprogramaciones!R$9),11)/NETWORKDAYS.INTL(E279,F279,11)*100,1))))</f>
        <v/>
      </c>
      <c r="P279" s="36" t="str">
        <f aca="false">IF(OR(NOT(AND(ISNUMBER(E279),ISNUMBER(F279))),$J$2=""),"",IF(Reprogramaciones!T$9&lt;E279,0,IF(NETWORKDAYS.INTL(E279,F279,11)=0,IF(Reprogramaciones!T$9&gt;=F279,100,0),ROUND(NETWORKDAYS.INTL(E279,MIN(F279,Reprogramaciones!T$9),11)/NETWORKDAYS.INTL(E279,F279,11)*100,1)))-IF(Reprogramaciones!S$9&lt;E279,0,IF(NETWORKDAYS.INTL(E279,F279,11)=0,IF(Reprogramaciones!S$9&gt;=F279,100,0),ROUND(NETWORKDAYS.INTL(E279,MIN(F279,Reprogramaciones!S$9),11)/NETWORKDAYS.INTL(E279,F279,11)*100,1))))</f>
        <v/>
      </c>
      <c r="Q279" s="37"/>
      <c r="R279" s="37"/>
      <c r="S279" s="37"/>
      <c r="T279" s="37"/>
      <c r="U279" s="37"/>
      <c r="V279" s="37"/>
      <c r="W279" s="37"/>
      <c r="X279" s="37"/>
      <c r="Y279" s="37"/>
      <c r="Z279" s="37"/>
      <c r="AA279" s="37"/>
      <c r="AB279" s="37"/>
      <c r="AC279" s="37"/>
      <c r="AD279" s="37"/>
      <c r="AE279" s="37"/>
      <c r="AF279" s="37"/>
      <c r="AG279" s="38" t="str">
        <f aca="false">IF(AND(ISNUMBER(E279),ISNUMBER(F279)),NETWORKDAYS.INTL(E279,F279,11),"")</f>
        <v/>
      </c>
      <c r="AH279" s="38" t="str">
        <f aca="false">IF(OR(NOT(AND(ISNUMBER(E279),ISNUMBER(F279))),$J$2=""),"",IF(Reprogramaciones!$P$15&lt;Reprogramaciones!$T$15,0,IF(Reprogramaciones!$R$15&gt;10,MIN(100,SUM($G279:$P279)),MIN(100,SUMPRODUCT((COLUMN($G279:$P279)-COLUMN($G279)+1&lt;Reprogramaciones!$R$15)*$G279:$P279)+N(INDEX($G279:$P279,1,Reprogramaciones!$R$15))*IF(Reprogramaciones!$P$15&gt;=(Reprogramaciones!$T$15+7*(Reprogramaciones!$R$15-1))+6,1,IF(MAX(0,NETWORKDAYS.INTL(MAX(E279,(Reprogramaciones!$T$15+7*(Reprogramaciones!$R$15-1))),MIN(F279,(Reprogramaciones!$T$15+7*(Reprogramaciones!$R$15-1))+6),11))=0,0,MAX(0,NETWORKDAYS.INTL(MAX(E279,(Reprogramaciones!$T$15+7*(Reprogramaciones!$R$15-1))),MIN(F279,Reprogramaciones!$P$15),11))/MAX(0,NETWORKDAYS.INTL(MAX(E279,(Reprogramaciones!$T$15+7*(Reprogramaciones!$R$15-1))),MIN(F279,(Reprogramaciones!$T$15+7*(Reprogramaciones!$R$15-1))+6),11))))))))</f>
        <v/>
      </c>
      <c r="AI279" s="38" t="str">
        <f aca="false">IF(COUNT($Q279:$AF279)=0,"",IF(ROUND(SUM($Q279:$AF279),1)&gt;=99.5,100,MIN(100,ROUND(SUM($Q279:$AF279),1))))</f>
        <v/>
      </c>
      <c r="AJ279" s="38" t="str">
        <f aca="false">IF(OR(AH279="",AI279=""),"",AI279-AH279)</f>
        <v/>
      </c>
      <c r="AK279" s="39" t="str">
        <f aca="true">IF(AH279="","",IF(OR(Ficha!$C$10="Suspendida",Ficha!$C$10="Cancelada"),Ficha!$C$10,IF(AND(AI279&lt;&gt;"",N(AI279)&gt;=100),"Completada",IF(AND(E279&gt;TODAY(),N(AI279)=0),"Por iniciar",IF(N(AI279)+0.5&lt;AH279,"Retrasada",IF(N(AI279)+0.5&lt;DA279,IF(Reprogramaciones!$K$15&gt;0,"Al día · Sem "&amp;Reprogramaciones!$K$15&amp;" en curso","Al día · en curso"),"A tiempo"))))))</f>
        <v/>
      </c>
      <c r="AL279" s="39" t="str">
        <f aca="true">IF(AND(A279="",AND(B279="",C279="",E279="",F279="",COUNT(Q279:AF279)=0)),"",IF(AND(B279="",C279="",E279="",F279="",COUNT(Q279:AF279)=0),"Falta la partida o subpartida",IF(AND(A279&lt;&gt;"",COUNTIF($A$6:$A$305,A279)&gt;1),"Ítem repetido",IF(AND(C279="",E279="",F279="",COUNT(Q279:AF279)=0),"Título de partida",IF(OR(E279="",F279=""),"Faltan fechas",IF(OR(ISTEXT(E279),ISTEXT(F279)),"Fecha escrita como texto: usa dd/mm/aaaa",IF(F279&lt;E279,"Fin antes del inicio",IF(IF($J$2="",FALSE(),OR(E279&lt;$J$2,F279&gt;Reprogramaciones!$T$15+69)),"Fuera de las 10 semanas",IF(ABS(SUM(G279:P279)-100)&gt;0.5,"La meta no suma 100%",IF(ROUND(SUM(Q279:AF279),1)&gt;100.5,"El avance pasa de 100%",IF(MIN(Q279:AF279)&lt;0,"Avance negativo",IF(COUNTA(Q279:AF279)&gt;COUNT(Q279:AF279),"Avance escrito como texto",IF(SUMPRODUCT((Q279:AF279&gt;0)*(Q279:AF279&lt;1))&gt;0,"Avance menor a 1: escribe 50, no 50%",IF(SUMPRODUCT(ISNUMBER(Q279:AF279)*(Reprogramaciones!$K$8:$Z$8&gt;TODAY()))&gt;0,"Avance en semana que aún no llega",IF(AND(N(Reprogramaciones!$E$21)&gt;0,F279&gt;Reprogramaciones!$E$21),"Pasa el fin de la obra: registra una reprogramación",IF(AND(N(Reprogramaciones!$E$21)&gt;0,SUMPRODUCT(ISNUMBER(Q279:AF279)*(Reprogramaciones!$K$8:$Z$8&gt;Reprogramaciones!$E$21))&gt;0),"Avance después del fin de la obra: registra una reprogramación por atraso","OK"))))))))))))))))</f>
        <v/>
      </c>
      <c r="AM279" s="40" t="str">
        <f aca="false">IF(OR(OR(NOT(AND(ISNUMBER(E279),ISNUMBER(F279))),$J$2=""),1&gt;MAX(1,Reprogramaciones!$U$15)),"",IF(Reprogramaciones!K$12&gt;=7,"",IF(OR(BT279-N(0)&gt;0.05,N(Q279)&gt;0),ROUNDDOWN(ROUND(BT279,6),0)&amp;"%"&amp;IF(CJ279="",""," / "&amp;CJ279&amp;"%"),IF(AND(N(0)&gt;=99.95,CJ279&lt;&gt;"",N(CJ279)&lt;100),"Pend. "&amp;CJ279&amp;"%",""))))</f>
        <v/>
      </c>
      <c r="AN279" s="40" t="str">
        <f aca="false">IF(OR(OR(NOT(AND(ISNUMBER(E279),ISNUMBER(F279))),$J$2=""),2&gt;MAX(1,Reprogramaciones!$U$15)),"",IF(Reprogramaciones!L$12&gt;=7,"",IF(OR(BU279-N(BT279)&gt;0.05,N(R279)&gt;0),ROUNDDOWN(ROUND(BU279,6),0)&amp;"%"&amp;IF(CK279="",""," / "&amp;CK279&amp;"%"),IF(AND(N(BT279)&gt;=99.95,CK279&lt;&gt;"",N(CK279)&lt;100),"Pend. "&amp;CK279&amp;"%",""))))</f>
        <v/>
      </c>
      <c r="AO279" s="40" t="str">
        <f aca="false">IF(OR(OR(NOT(AND(ISNUMBER(E279),ISNUMBER(F279))),$J$2=""),3&gt;MAX(1,Reprogramaciones!$U$15)),"",IF(Reprogramaciones!M$12&gt;=7,"",IF(OR(BV279-N(BU279)&gt;0.05,N(S279)&gt;0),ROUNDDOWN(ROUND(BV279,6),0)&amp;"%"&amp;IF(CL279="",""," / "&amp;CL279&amp;"%"),IF(AND(N(BU279)&gt;=99.95,CL279&lt;&gt;"",N(CL279)&lt;100),"Pend. "&amp;CL279&amp;"%",""))))</f>
        <v/>
      </c>
      <c r="AP279" s="40" t="str">
        <f aca="false">IF(OR(OR(NOT(AND(ISNUMBER(E279),ISNUMBER(F279))),$J$2=""),4&gt;MAX(1,Reprogramaciones!$U$15)),"",IF(Reprogramaciones!N$12&gt;=7,"",IF(OR(BW279-N(BV279)&gt;0.05,N(T279)&gt;0),ROUNDDOWN(ROUND(BW279,6),0)&amp;"%"&amp;IF(CM279="",""," / "&amp;CM279&amp;"%"),IF(AND(N(BV279)&gt;=99.95,CM279&lt;&gt;"",N(CM279)&lt;100),"Pend. "&amp;CM279&amp;"%",""))))</f>
        <v/>
      </c>
      <c r="AQ279" s="40" t="str">
        <f aca="false">IF(OR(OR(NOT(AND(ISNUMBER(E279),ISNUMBER(F279))),$J$2=""),5&gt;MAX(1,Reprogramaciones!$U$15)),"",IF(Reprogramaciones!O$12&gt;=7,"",IF(OR(BX279-N(BW279)&gt;0.05,N(U279)&gt;0),ROUNDDOWN(ROUND(BX279,6),0)&amp;"%"&amp;IF(CN279="",""," / "&amp;CN279&amp;"%"),IF(AND(N(BW279)&gt;=99.95,CN279&lt;&gt;"",N(CN279)&lt;100),"Pend. "&amp;CN279&amp;"%",""))))</f>
        <v/>
      </c>
      <c r="AR279" s="40" t="str">
        <f aca="false">IF(OR(OR(NOT(AND(ISNUMBER(E279),ISNUMBER(F279))),$J$2=""),6&gt;MAX(1,Reprogramaciones!$U$15)),"",IF(Reprogramaciones!P$12&gt;=7,"",IF(OR(BY279-N(BX279)&gt;0.05,N(V279)&gt;0),ROUNDDOWN(ROUND(BY279,6),0)&amp;"%"&amp;IF(CO279="",""," / "&amp;CO279&amp;"%"),IF(AND(N(BX279)&gt;=99.95,CO279&lt;&gt;"",N(CO279)&lt;100),"Pend. "&amp;CO279&amp;"%",""))))</f>
        <v/>
      </c>
      <c r="AS279" s="40" t="str">
        <f aca="false">IF(OR(OR(NOT(AND(ISNUMBER(E279),ISNUMBER(F279))),$J$2=""),7&gt;MAX(1,Reprogramaciones!$U$15)),"",IF(Reprogramaciones!Q$12&gt;=7,"",IF(OR(BZ279-N(BY279)&gt;0.05,N(W279)&gt;0),ROUNDDOWN(ROUND(BZ279,6),0)&amp;"%"&amp;IF(CP279="",""," / "&amp;CP279&amp;"%"),IF(AND(N(BY279)&gt;=99.95,CP279&lt;&gt;"",N(CP279)&lt;100),"Pend. "&amp;CP279&amp;"%",""))))</f>
        <v/>
      </c>
      <c r="AT279" s="40" t="str">
        <f aca="false">IF(OR(OR(NOT(AND(ISNUMBER(E279),ISNUMBER(F279))),$J$2=""),8&gt;MAX(1,Reprogramaciones!$U$15)),"",IF(Reprogramaciones!R$12&gt;=7,"",IF(OR(CA279-N(BZ279)&gt;0.05,N(X279)&gt;0),ROUNDDOWN(ROUND(CA279,6),0)&amp;"%"&amp;IF(CQ279="",""," / "&amp;CQ279&amp;"%"),IF(AND(N(BZ279)&gt;=99.95,CQ279&lt;&gt;"",N(CQ279)&lt;100),"Pend. "&amp;CQ279&amp;"%",""))))</f>
        <v/>
      </c>
      <c r="AU279" s="40" t="str">
        <f aca="false">IF(OR(OR(NOT(AND(ISNUMBER(E279),ISNUMBER(F279))),$J$2=""),9&gt;MAX(1,Reprogramaciones!$U$15)),"",IF(Reprogramaciones!S$12&gt;=7,"",IF(OR(CB279-N(CA279)&gt;0.05,N(Y279)&gt;0),ROUNDDOWN(ROUND(CB279,6),0)&amp;"%"&amp;IF(CR279="",""," / "&amp;CR279&amp;"%"),IF(AND(N(CA279)&gt;=99.95,CR279&lt;&gt;"",N(CR279)&lt;100),"Pend. "&amp;CR279&amp;"%",""))))</f>
        <v/>
      </c>
      <c r="AV279" s="40" t="str">
        <f aca="false">IF(OR(OR(NOT(AND(ISNUMBER(E279),ISNUMBER(F279))),$J$2=""),10&gt;MAX(1,Reprogramaciones!$U$15)),"",IF(Reprogramaciones!T$12&gt;=7,"",IF(OR(CC279-N(CB279)&gt;0.05,N(Z279)&gt;0),ROUNDDOWN(ROUND(CC279,6),0)&amp;"%"&amp;IF(CS279="",""," / "&amp;CS279&amp;"%"),IF(AND(N(CB279)&gt;=99.95,CS279&lt;&gt;"",N(CS279)&lt;100),"Pend. "&amp;CS279&amp;"%",""))))</f>
        <v/>
      </c>
      <c r="AW279" s="40" t="str">
        <f aca="false">IF(OR(OR(NOT(AND(ISNUMBER(E279),ISNUMBER(F279))),$J$2=""),11&gt;MAX(1,Reprogramaciones!$U$15)),"",IF(Reprogramaciones!U$12&gt;=7,"",IF(OR(CD279-N(CC279)&gt;0.05,N(AA279)&gt;0),ROUNDDOWN(ROUND(CD279,6),0)&amp;"%"&amp;IF(CT279="",""," / "&amp;CT279&amp;"%"),IF(AND(N(CC279)&gt;=99.95,CT279&lt;&gt;"",N(CT279)&lt;100),"Pend. "&amp;CT279&amp;"%",""))))</f>
        <v/>
      </c>
      <c r="AX279" s="40" t="str">
        <f aca="false">IF(OR(OR(NOT(AND(ISNUMBER(E279),ISNUMBER(F279))),$J$2=""),12&gt;MAX(1,Reprogramaciones!$U$15)),"",IF(Reprogramaciones!V$12&gt;=7,"",IF(OR(CE279-N(CD279)&gt;0.05,N(AB279)&gt;0),ROUNDDOWN(ROUND(CE279,6),0)&amp;"%"&amp;IF(CU279="",""," / "&amp;CU279&amp;"%"),IF(AND(N(CD279)&gt;=99.95,CU279&lt;&gt;"",N(CU279)&lt;100),"Pend. "&amp;CU279&amp;"%",""))))</f>
        <v/>
      </c>
      <c r="AY279" s="40" t="str">
        <f aca="false">IF(OR(OR(NOT(AND(ISNUMBER(E279),ISNUMBER(F279))),$J$2=""),13&gt;MAX(1,Reprogramaciones!$U$15)),"",IF(Reprogramaciones!W$12&gt;=7,"",IF(OR(CF279-N(CE279)&gt;0.05,N(AC279)&gt;0),ROUNDDOWN(ROUND(CF279,6),0)&amp;"%"&amp;IF(CV279="",""," / "&amp;CV279&amp;"%"),IF(AND(N(CE279)&gt;=99.95,CV279&lt;&gt;"",N(CV279)&lt;100),"Pend. "&amp;CV279&amp;"%",""))))</f>
        <v/>
      </c>
      <c r="AZ279" s="40" t="str">
        <f aca="false">IF(OR(OR(NOT(AND(ISNUMBER(E279),ISNUMBER(F279))),$J$2=""),14&gt;MAX(1,Reprogramaciones!$U$15)),"",IF(Reprogramaciones!X$12&gt;=7,"",IF(OR(CG279-N(CF279)&gt;0.05,N(AD279)&gt;0),ROUNDDOWN(ROUND(CG279,6),0)&amp;"%"&amp;IF(CW279="",""," / "&amp;CW279&amp;"%"),IF(AND(N(CF279)&gt;=99.95,CW279&lt;&gt;"",N(CW279)&lt;100),"Pend. "&amp;CW279&amp;"%",""))))</f>
        <v/>
      </c>
      <c r="BA279" s="40" t="str">
        <f aca="false">IF(OR(OR(NOT(AND(ISNUMBER(E279),ISNUMBER(F279))),$J$2=""),15&gt;MAX(1,Reprogramaciones!$U$15)),"",IF(Reprogramaciones!Y$12&gt;=7,"",IF(OR(CH279-N(CG279)&gt;0.05,N(AE279)&gt;0),ROUNDDOWN(ROUND(CH279,6),0)&amp;"%"&amp;IF(CX279="",""," / "&amp;CX279&amp;"%"),IF(AND(N(CG279)&gt;=99.95,CX279&lt;&gt;"",N(CX279)&lt;100),"Pend. "&amp;CX279&amp;"%",""))))</f>
        <v/>
      </c>
      <c r="BB279" s="40" t="str">
        <f aca="false">IF(OR(OR(NOT(AND(ISNUMBER(E279),ISNUMBER(F279))),$J$2=""),16&gt;MAX(1,Reprogramaciones!$U$15)),"",IF(Reprogramaciones!Z$12&gt;=7,"",IF(OR(CI279-N(CH279)&gt;0.05,N(AF279)&gt;0),ROUNDDOWN(ROUND(CI279,6),0)&amp;"%"&amp;IF(CY279="",""," / "&amp;CY279&amp;"%"),IF(AND(N(CH279)&gt;=99.95,CY279&lt;&gt;"",N(CY279)&lt;100),"Pend. "&amp;CY279&amp;"%",""))))</f>
        <v/>
      </c>
      <c r="BC279" s="31" t="n">
        <f aca="false">IF(AND(ISNUMBER(E279),ISNUMBER(F279)),MAX(1,NETWORKDAYS.INTL(E279,F279,11)),0)</f>
        <v>0</v>
      </c>
      <c r="BD279" s="1" t="str">
        <f aca="false">IF(OR(NOT(AND(ISNUMBER(E279),ISNUMBER(F279))),$J$2=""),"",MIN(100,ROUND(SUM($G279:G279),1)))</f>
        <v/>
      </c>
      <c r="BE279" s="1" t="str">
        <f aca="false">IF(OR(NOT(AND(ISNUMBER(E279),ISNUMBER(F279))),$J$2=""),"",MIN(100,ROUND(SUM($G279:H279),1)))</f>
        <v/>
      </c>
      <c r="BF279" s="1" t="str">
        <f aca="false">IF(OR(NOT(AND(ISNUMBER(E279),ISNUMBER(F279))),$J$2=""),"",MIN(100,ROUND(SUM($G279:I279),1)))</f>
        <v/>
      </c>
      <c r="BG279" s="1" t="str">
        <f aca="false">IF(OR(NOT(AND(ISNUMBER(E279),ISNUMBER(F279))),$J$2=""),"",MIN(100,ROUND(SUM($G279:J279),1)))</f>
        <v/>
      </c>
      <c r="BH279" s="1" t="str">
        <f aca="false">IF(OR(NOT(AND(ISNUMBER(E279),ISNUMBER(F279))),$J$2=""),"",MIN(100,ROUND(SUM($G279:K279),1)))</f>
        <v/>
      </c>
      <c r="BI279" s="1" t="str">
        <f aca="false">IF(OR(NOT(AND(ISNUMBER(E279),ISNUMBER(F279))),$J$2=""),"",MIN(100,ROUND(SUM($G279:L279),1)))</f>
        <v/>
      </c>
      <c r="BJ279" s="1" t="str">
        <f aca="false">IF(OR(NOT(AND(ISNUMBER(E279),ISNUMBER(F279))),$J$2=""),"",MIN(100,ROUND(SUM($G279:M279),1)))</f>
        <v/>
      </c>
      <c r="BK279" s="1" t="str">
        <f aca="false">IF(OR(NOT(AND(ISNUMBER(E279),ISNUMBER(F279))),$J$2=""),"",MIN(100,ROUND(SUM($G279:N279),1)))</f>
        <v/>
      </c>
      <c r="BL279" s="1" t="str">
        <f aca="false">IF(OR(NOT(AND(ISNUMBER(E279),ISNUMBER(F279))),$J$2=""),"",MIN(100,ROUND(SUM($G279:O279),1)))</f>
        <v/>
      </c>
      <c r="BM279" s="1" t="str">
        <f aca="false">IF(OR(NOT(AND(ISNUMBER(E279),ISNUMBER(F279))),$J$2=""),"",MIN(100,ROUND(SUM($G279:P279),1)))</f>
        <v/>
      </c>
      <c r="BN279" s="1" t="str">
        <f aca="false">IF(OR(NOT(AND(ISNUMBER(E279),ISNUMBER(F279))),$J$2=""),"",MIN(100,ROUND(SUM($G279:P279),1)))</f>
        <v/>
      </c>
      <c r="BO279" s="1" t="str">
        <f aca="false">IF(OR(NOT(AND(ISNUMBER(E279),ISNUMBER(F279))),$J$2=""),"",MIN(100,ROUND(SUM($G279:P279),1)))</f>
        <v/>
      </c>
      <c r="BP279" s="1" t="str">
        <f aca="false">IF(OR(NOT(AND(ISNUMBER(E279),ISNUMBER(F279))),$J$2=""),"",MIN(100,ROUND(SUM($G279:P279),1)))</f>
        <v/>
      </c>
      <c r="BQ279" s="1" t="str">
        <f aca="false">IF(OR(NOT(AND(ISNUMBER(E279),ISNUMBER(F279))),$J$2=""),"",MIN(100,ROUND(SUM($G279:P279),1)))</f>
        <v/>
      </c>
      <c r="BR279" s="1" t="str">
        <f aca="false">IF(OR(NOT(AND(ISNUMBER(E279),ISNUMBER(F279))),$J$2=""),"",MIN(100,ROUND(SUM($G279:P279),1)))</f>
        <v/>
      </c>
      <c r="BS279" s="1" t="str">
        <f aca="false">IF(OR(NOT(AND(ISNUMBER(E279),ISNUMBER(F279))),$J$2=""),"",MIN(100,ROUND(SUM($G279:P279),1)))</f>
        <v/>
      </c>
      <c r="BT279" s="1" t="str">
        <f aca="false">IF(OR(NOT(AND(ISNUMBER(E279),ISNUMBER(F279))),$J$2=""),"",IF(Reprogramaciones!K$13&lt;Reprogramaciones!$T$15,0,IF(Reprogramaciones!K$14&gt;10,MIN(100,SUM($G279:$P279)),MIN(100,SUMPRODUCT((COLUMN($G279:$P279)-COLUMN($G279)+1&lt;Reprogramaciones!K$14)*$G279:$P279)+N(INDEX($G279:$P279,1,Reprogramaciones!K$14))*IF(Reprogramaciones!K$13&gt;=(Reprogramaciones!$T$15+7*(Reprogramaciones!K$14-1))+6,1,IF(MAX(0,NETWORKDAYS.INTL(MAX(E279,(Reprogramaciones!$T$15+7*(Reprogramaciones!K$14-1))),MIN(F279,(Reprogramaciones!$T$15+7*(Reprogramaciones!K$14-1))+6),11))=0,0,MAX(0,NETWORKDAYS.INTL(MAX(E279,(Reprogramaciones!$T$15+7*(Reprogramaciones!K$14-1))),MIN(F279,Reprogramaciones!K$13),11))/MAX(0,NETWORKDAYS.INTL(MAX(E279,(Reprogramaciones!$T$15+7*(Reprogramaciones!K$14-1))),MIN(F279,(Reprogramaciones!$T$15+7*(Reprogramaciones!K$14-1))+6),11))))))))</f>
        <v/>
      </c>
      <c r="BU279" s="1" t="str">
        <f aca="false">IF(OR(NOT(AND(ISNUMBER(E279),ISNUMBER(F279))),$J$2=""),"",IF(Reprogramaciones!L$13&lt;Reprogramaciones!$T$15,0,IF(Reprogramaciones!L$14&gt;10,MIN(100,SUM($G279:$P279)),MIN(100,SUMPRODUCT((COLUMN($G279:$P279)-COLUMN($G279)+1&lt;Reprogramaciones!L$14)*$G279:$P279)+N(INDEX($G279:$P279,1,Reprogramaciones!L$14))*IF(Reprogramaciones!L$13&gt;=(Reprogramaciones!$T$15+7*(Reprogramaciones!L$14-1))+6,1,IF(MAX(0,NETWORKDAYS.INTL(MAX(E279,(Reprogramaciones!$T$15+7*(Reprogramaciones!L$14-1))),MIN(F279,(Reprogramaciones!$T$15+7*(Reprogramaciones!L$14-1))+6),11))=0,0,MAX(0,NETWORKDAYS.INTL(MAX(E279,(Reprogramaciones!$T$15+7*(Reprogramaciones!L$14-1))),MIN(F279,Reprogramaciones!L$13),11))/MAX(0,NETWORKDAYS.INTL(MAX(E279,(Reprogramaciones!$T$15+7*(Reprogramaciones!L$14-1))),MIN(F279,(Reprogramaciones!$T$15+7*(Reprogramaciones!L$14-1))+6),11))))))))</f>
        <v/>
      </c>
      <c r="BV279" s="1" t="str">
        <f aca="false">IF(OR(NOT(AND(ISNUMBER(E279),ISNUMBER(F279))),$J$2=""),"",IF(Reprogramaciones!M$13&lt;Reprogramaciones!$T$15,0,IF(Reprogramaciones!M$14&gt;10,MIN(100,SUM($G279:$P279)),MIN(100,SUMPRODUCT((COLUMN($G279:$P279)-COLUMN($G279)+1&lt;Reprogramaciones!M$14)*$G279:$P279)+N(INDEX($G279:$P279,1,Reprogramaciones!M$14))*IF(Reprogramaciones!M$13&gt;=(Reprogramaciones!$T$15+7*(Reprogramaciones!M$14-1))+6,1,IF(MAX(0,NETWORKDAYS.INTL(MAX(E279,(Reprogramaciones!$T$15+7*(Reprogramaciones!M$14-1))),MIN(F279,(Reprogramaciones!$T$15+7*(Reprogramaciones!M$14-1))+6),11))=0,0,MAX(0,NETWORKDAYS.INTL(MAX(E279,(Reprogramaciones!$T$15+7*(Reprogramaciones!M$14-1))),MIN(F279,Reprogramaciones!M$13),11))/MAX(0,NETWORKDAYS.INTL(MAX(E279,(Reprogramaciones!$T$15+7*(Reprogramaciones!M$14-1))),MIN(F279,(Reprogramaciones!$T$15+7*(Reprogramaciones!M$14-1))+6),11))))))))</f>
        <v/>
      </c>
      <c r="BW279" s="1" t="str">
        <f aca="false">IF(OR(NOT(AND(ISNUMBER(E279),ISNUMBER(F279))),$J$2=""),"",IF(Reprogramaciones!N$13&lt;Reprogramaciones!$T$15,0,IF(Reprogramaciones!N$14&gt;10,MIN(100,SUM($G279:$P279)),MIN(100,SUMPRODUCT((COLUMN($G279:$P279)-COLUMN($G279)+1&lt;Reprogramaciones!N$14)*$G279:$P279)+N(INDEX($G279:$P279,1,Reprogramaciones!N$14))*IF(Reprogramaciones!N$13&gt;=(Reprogramaciones!$T$15+7*(Reprogramaciones!N$14-1))+6,1,IF(MAX(0,NETWORKDAYS.INTL(MAX(E279,(Reprogramaciones!$T$15+7*(Reprogramaciones!N$14-1))),MIN(F279,(Reprogramaciones!$T$15+7*(Reprogramaciones!N$14-1))+6),11))=0,0,MAX(0,NETWORKDAYS.INTL(MAX(E279,(Reprogramaciones!$T$15+7*(Reprogramaciones!N$14-1))),MIN(F279,Reprogramaciones!N$13),11))/MAX(0,NETWORKDAYS.INTL(MAX(E279,(Reprogramaciones!$T$15+7*(Reprogramaciones!N$14-1))),MIN(F279,(Reprogramaciones!$T$15+7*(Reprogramaciones!N$14-1))+6),11))))))))</f>
        <v/>
      </c>
      <c r="BX279" s="1" t="str">
        <f aca="false">IF(OR(NOT(AND(ISNUMBER(E279),ISNUMBER(F279))),$J$2=""),"",IF(Reprogramaciones!O$13&lt;Reprogramaciones!$T$15,0,IF(Reprogramaciones!O$14&gt;10,MIN(100,SUM($G279:$P279)),MIN(100,SUMPRODUCT((COLUMN($G279:$P279)-COLUMN($G279)+1&lt;Reprogramaciones!O$14)*$G279:$P279)+N(INDEX($G279:$P279,1,Reprogramaciones!O$14))*IF(Reprogramaciones!O$13&gt;=(Reprogramaciones!$T$15+7*(Reprogramaciones!O$14-1))+6,1,IF(MAX(0,NETWORKDAYS.INTL(MAX(E279,(Reprogramaciones!$T$15+7*(Reprogramaciones!O$14-1))),MIN(F279,(Reprogramaciones!$T$15+7*(Reprogramaciones!O$14-1))+6),11))=0,0,MAX(0,NETWORKDAYS.INTL(MAX(E279,(Reprogramaciones!$T$15+7*(Reprogramaciones!O$14-1))),MIN(F279,Reprogramaciones!O$13),11))/MAX(0,NETWORKDAYS.INTL(MAX(E279,(Reprogramaciones!$T$15+7*(Reprogramaciones!O$14-1))),MIN(F279,(Reprogramaciones!$T$15+7*(Reprogramaciones!O$14-1))+6),11))))))))</f>
        <v/>
      </c>
      <c r="BY279" s="1" t="str">
        <f aca="false">IF(OR(NOT(AND(ISNUMBER(E279),ISNUMBER(F279))),$J$2=""),"",IF(Reprogramaciones!P$13&lt;Reprogramaciones!$T$15,0,IF(Reprogramaciones!P$14&gt;10,MIN(100,SUM($G279:$P279)),MIN(100,SUMPRODUCT((COLUMN($G279:$P279)-COLUMN($G279)+1&lt;Reprogramaciones!P$14)*$G279:$P279)+N(INDEX($G279:$P279,1,Reprogramaciones!P$14))*IF(Reprogramaciones!P$13&gt;=(Reprogramaciones!$T$15+7*(Reprogramaciones!P$14-1))+6,1,IF(MAX(0,NETWORKDAYS.INTL(MAX(E279,(Reprogramaciones!$T$15+7*(Reprogramaciones!P$14-1))),MIN(F279,(Reprogramaciones!$T$15+7*(Reprogramaciones!P$14-1))+6),11))=0,0,MAX(0,NETWORKDAYS.INTL(MAX(E279,(Reprogramaciones!$T$15+7*(Reprogramaciones!P$14-1))),MIN(F279,Reprogramaciones!P$13),11))/MAX(0,NETWORKDAYS.INTL(MAX(E279,(Reprogramaciones!$T$15+7*(Reprogramaciones!P$14-1))),MIN(F279,(Reprogramaciones!$T$15+7*(Reprogramaciones!P$14-1))+6),11))))))))</f>
        <v/>
      </c>
      <c r="BZ279" s="1" t="str">
        <f aca="false">IF(OR(NOT(AND(ISNUMBER(E279),ISNUMBER(F279))),$J$2=""),"",IF(Reprogramaciones!Q$13&lt;Reprogramaciones!$T$15,0,IF(Reprogramaciones!Q$14&gt;10,MIN(100,SUM($G279:$P279)),MIN(100,SUMPRODUCT((COLUMN($G279:$P279)-COLUMN($G279)+1&lt;Reprogramaciones!Q$14)*$G279:$P279)+N(INDEX($G279:$P279,1,Reprogramaciones!Q$14))*IF(Reprogramaciones!Q$13&gt;=(Reprogramaciones!$T$15+7*(Reprogramaciones!Q$14-1))+6,1,IF(MAX(0,NETWORKDAYS.INTL(MAX(E279,(Reprogramaciones!$T$15+7*(Reprogramaciones!Q$14-1))),MIN(F279,(Reprogramaciones!$T$15+7*(Reprogramaciones!Q$14-1))+6),11))=0,0,MAX(0,NETWORKDAYS.INTL(MAX(E279,(Reprogramaciones!$T$15+7*(Reprogramaciones!Q$14-1))),MIN(F279,Reprogramaciones!Q$13),11))/MAX(0,NETWORKDAYS.INTL(MAX(E279,(Reprogramaciones!$T$15+7*(Reprogramaciones!Q$14-1))),MIN(F279,(Reprogramaciones!$T$15+7*(Reprogramaciones!Q$14-1))+6),11))))))))</f>
        <v/>
      </c>
      <c r="CA279" s="1" t="str">
        <f aca="false">IF(OR(NOT(AND(ISNUMBER(E279),ISNUMBER(F279))),$J$2=""),"",IF(Reprogramaciones!R$13&lt;Reprogramaciones!$T$15,0,IF(Reprogramaciones!R$14&gt;10,MIN(100,SUM($G279:$P279)),MIN(100,SUMPRODUCT((COLUMN($G279:$P279)-COLUMN($G279)+1&lt;Reprogramaciones!R$14)*$G279:$P279)+N(INDEX($G279:$P279,1,Reprogramaciones!R$14))*IF(Reprogramaciones!R$13&gt;=(Reprogramaciones!$T$15+7*(Reprogramaciones!R$14-1))+6,1,IF(MAX(0,NETWORKDAYS.INTL(MAX(E279,(Reprogramaciones!$T$15+7*(Reprogramaciones!R$14-1))),MIN(F279,(Reprogramaciones!$T$15+7*(Reprogramaciones!R$14-1))+6),11))=0,0,MAX(0,NETWORKDAYS.INTL(MAX(E279,(Reprogramaciones!$T$15+7*(Reprogramaciones!R$14-1))),MIN(F279,Reprogramaciones!R$13),11))/MAX(0,NETWORKDAYS.INTL(MAX(E279,(Reprogramaciones!$T$15+7*(Reprogramaciones!R$14-1))),MIN(F279,(Reprogramaciones!$T$15+7*(Reprogramaciones!R$14-1))+6),11))))))))</f>
        <v/>
      </c>
      <c r="CB279" s="1" t="str">
        <f aca="false">IF(OR(NOT(AND(ISNUMBER(E279),ISNUMBER(F279))),$J$2=""),"",IF(Reprogramaciones!S$13&lt;Reprogramaciones!$T$15,0,IF(Reprogramaciones!S$14&gt;10,MIN(100,SUM($G279:$P279)),MIN(100,SUMPRODUCT((COLUMN($G279:$P279)-COLUMN($G279)+1&lt;Reprogramaciones!S$14)*$G279:$P279)+N(INDEX($G279:$P279,1,Reprogramaciones!S$14))*IF(Reprogramaciones!S$13&gt;=(Reprogramaciones!$T$15+7*(Reprogramaciones!S$14-1))+6,1,IF(MAX(0,NETWORKDAYS.INTL(MAX(E279,(Reprogramaciones!$T$15+7*(Reprogramaciones!S$14-1))),MIN(F279,(Reprogramaciones!$T$15+7*(Reprogramaciones!S$14-1))+6),11))=0,0,MAX(0,NETWORKDAYS.INTL(MAX(E279,(Reprogramaciones!$T$15+7*(Reprogramaciones!S$14-1))),MIN(F279,Reprogramaciones!S$13),11))/MAX(0,NETWORKDAYS.INTL(MAX(E279,(Reprogramaciones!$T$15+7*(Reprogramaciones!S$14-1))),MIN(F279,(Reprogramaciones!$T$15+7*(Reprogramaciones!S$14-1))+6),11))))))))</f>
        <v/>
      </c>
      <c r="CC279" s="1" t="str">
        <f aca="false">IF(OR(NOT(AND(ISNUMBER(E279),ISNUMBER(F279))),$J$2=""),"",IF(Reprogramaciones!T$13&lt;Reprogramaciones!$T$15,0,IF(Reprogramaciones!T$14&gt;10,MIN(100,SUM($G279:$P279)),MIN(100,SUMPRODUCT((COLUMN($G279:$P279)-COLUMN($G279)+1&lt;Reprogramaciones!T$14)*$G279:$P279)+N(INDEX($G279:$P279,1,Reprogramaciones!T$14))*IF(Reprogramaciones!T$13&gt;=(Reprogramaciones!$T$15+7*(Reprogramaciones!T$14-1))+6,1,IF(MAX(0,NETWORKDAYS.INTL(MAX(E279,(Reprogramaciones!$T$15+7*(Reprogramaciones!T$14-1))),MIN(F279,(Reprogramaciones!$T$15+7*(Reprogramaciones!T$14-1))+6),11))=0,0,MAX(0,NETWORKDAYS.INTL(MAX(E279,(Reprogramaciones!$T$15+7*(Reprogramaciones!T$14-1))),MIN(F279,Reprogramaciones!T$13),11))/MAX(0,NETWORKDAYS.INTL(MAX(E279,(Reprogramaciones!$T$15+7*(Reprogramaciones!T$14-1))),MIN(F279,(Reprogramaciones!$T$15+7*(Reprogramaciones!T$14-1))+6),11))))))))</f>
        <v/>
      </c>
      <c r="CD279" s="1" t="str">
        <f aca="false">IF(OR(NOT(AND(ISNUMBER(E279),ISNUMBER(F279))),$J$2=""),"",IF(Reprogramaciones!U$13&lt;Reprogramaciones!$T$15,0,IF(Reprogramaciones!U$14&gt;10,MIN(100,SUM($G279:$P279)),MIN(100,SUMPRODUCT((COLUMN($G279:$P279)-COLUMN($G279)+1&lt;Reprogramaciones!U$14)*$G279:$P279)+N(INDEX($G279:$P279,1,Reprogramaciones!U$14))*IF(Reprogramaciones!U$13&gt;=(Reprogramaciones!$T$15+7*(Reprogramaciones!U$14-1))+6,1,IF(MAX(0,NETWORKDAYS.INTL(MAX(E279,(Reprogramaciones!$T$15+7*(Reprogramaciones!U$14-1))),MIN(F279,(Reprogramaciones!$T$15+7*(Reprogramaciones!U$14-1))+6),11))=0,0,MAX(0,NETWORKDAYS.INTL(MAX(E279,(Reprogramaciones!$T$15+7*(Reprogramaciones!U$14-1))),MIN(F279,Reprogramaciones!U$13),11))/MAX(0,NETWORKDAYS.INTL(MAX(E279,(Reprogramaciones!$T$15+7*(Reprogramaciones!U$14-1))),MIN(F279,(Reprogramaciones!$T$15+7*(Reprogramaciones!U$14-1))+6),11))))))))</f>
        <v/>
      </c>
      <c r="CE279" s="1" t="str">
        <f aca="false">IF(OR(NOT(AND(ISNUMBER(E279),ISNUMBER(F279))),$J$2=""),"",IF(Reprogramaciones!V$13&lt;Reprogramaciones!$T$15,0,IF(Reprogramaciones!V$14&gt;10,MIN(100,SUM($G279:$P279)),MIN(100,SUMPRODUCT((COLUMN($G279:$P279)-COLUMN($G279)+1&lt;Reprogramaciones!V$14)*$G279:$P279)+N(INDEX($G279:$P279,1,Reprogramaciones!V$14))*IF(Reprogramaciones!V$13&gt;=(Reprogramaciones!$T$15+7*(Reprogramaciones!V$14-1))+6,1,IF(MAX(0,NETWORKDAYS.INTL(MAX(E279,(Reprogramaciones!$T$15+7*(Reprogramaciones!V$14-1))),MIN(F279,(Reprogramaciones!$T$15+7*(Reprogramaciones!V$14-1))+6),11))=0,0,MAX(0,NETWORKDAYS.INTL(MAX(E279,(Reprogramaciones!$T$15+7*(Reprogramaciones!V$14-1))),MIN(F279,Reprogramaciones!V$13),11))/MAX(0,NETWORKDAYS.INTL(MAX(E279,(Reprogramaciones!$T$15+7*(Reprogramaciones!V$14-1))),MIN(F279,(Reprogramaciones!$T$15+7*(Reprogramaciones!V$14-1))+6),11))))))))</f>
        <v/>
      </c>
      <c r="CF279" s="1" t="str">
        <f aca="false">IF(OR(NOT(AND(ISNUMBER(E279),ISNUMBER(F279))),$J$2=""),"",IF(Reprogramaciones!W$13&lt;Reprogramaciones!$T$15,0,IF(Reprogramaciones!W$14&gt;10,MIN(100,SUM($G279:$P279)),MIN(100,SUMPRODUCT((COLUMN($G279:$P279)-COLUMN($G279)+1&lt;Reprogramaciones!W$14)*$G279:$P279)+N(INDEX($G279:$P279,1,Reprogramaciones!W$14))*IF(Reprogramaciones!W$13&gt;=(Reprogramaciones!$T$15+7*(Reprogramaciones!W$14-1))+6,1,IF(MAX(0,NETWORKDAYS.INTL(MAX(E279,(Reprogramaciones!$T$15+7*(Reprogramaciones!W$14-1))),MIN(F279,(Reprogramaciones!$T$15+7*(Reprogramaciones!W$14-1))+6),11))=0,0,MAX(0,NETWORKDAYS.INTL(MAX(E279,(Reprogramaciones!$T$15+7*(Reprogramaciones!W$14-1))),MIN(F279,Reprogramaciones!W$13),11))/MAX(0,NETWORKDAYS.INTL(MAX(E279,(Reprogramaciones!$T$15+7*(Reprogramaciones!W$14-1))),MIN(F279,(Reprogramaciones!$T$15+7*(Reprogramaciones!W$14-1))+6),11))))))))</f>
        <v/>
      </c>
      <c r="CG279" s="1" t="str">
        <f aca="false">IF(OR(NOT(AND(ISNUMBER(E279),ISNUMBER(F279))),$J$2=""),"",IF(Reprogramaciones!X$13&lt;Reprogramaciones!$T$15,0,IF(Reprogramaciones!X$14&gt;10,MIN(100,SUM($G279:$P279)),MIN(100,SUMPRODUCT((COLUMN($G279:$P279)-COLUMN($G279)+1&lt;Reprogramaciones!X$14)*$G279:$P279)+N(INDEX($G279:$P279,1,Reprogramaciones!X$14))*IF(Reprogramaciones!X$13&gt;=(Reprogramaciones!$T$15+7*(Reprogramaciones!X$14-1))+6,1,IF(MAX(0,NETWORKDAYS.INTL(MAX(E279,(Reprogramaciones!$T$15+7*(Reprogramaciones!X$14-1))),MIN(F279,(Reprogramaciones!$T$15+7*(Reprogramaciones!X$14-1))+6),11))=0,0,MAX(0,NETWORKDAYS.INTL(MAX(E279,(Reprogramaciones!$T$15+7*(Reprogramaciones!X$14-1))),MIN(F279,Reprogramaciones!X$13),11))/MAX(0,NETWORKDAYS.INTL(MAX(E279,(Reprogramaciones!$T$15+7*(Reprogramaciones!X$14-1))),MIN(F279,(Reprogramaciones!$T$15+7*(Reprogramaciones!X$14-1))+6),11))))))))</f>
        <v/>
      </c>
      <c r="CH279" s="1" t="str">
        <f aca="false">IF(OR(NOT(AND(ISNUMBER(E279),ISNUMBER(F279))),$J$2=""),"",IF(Reprogramaciones!Y$13&lt;Reprogramaciones!$T$15,0,IF(Reprogramaciones!Y$14&gt;10,MIN(100,SUM($G279:$P279)),MIN(100,SUMPRODUCT((COLUMN($G279:$P279)-COLUMN($G279)+1&lt;Reprogramaciones!Y$14)*$G279:$P279)+N(INDEX($G279:$P279,1,Reprogramaciones!Y$14))*IF(Reprogramaciones!Y$13&gt;=(Reprogramaciones!$T$15+7*(Reprogramaciones!Y$14-1))+6,1,IF(MAX(0,NETWORKDAYS.INTL(MAX(E279,(Reprogramaciones!$T$15+7*(Reprogramaciones!Y$14-1))),MIN(F279,(Reprogramaciones!$T$15+7*(Reprogramaciones!Y$14-1))+6),11))=0,0,MAX(0,NETWORKDAYS.INTL(MAX(E279,(Reprogramaciones!$T$15+7*(Reprogramaciones!Y$14-1))),MIN(F279,Reprogramaciones!Y$13),11))/MAX(0,NETWORKDAYS.INTL(MAX(E279,(Reprogramaciones!$T$15+7*(Reprogramaciones!Y$14-1))),MIN(F279,(Reprogramaciones!$T$15+7*(Reprogramaciones!Y$14-1))+6),11))))))))</f>
        <v/>
      </c>
      <c r="CI279" s="1" t="str">
        <f aca="false">IF(OR(NOT(AND(ISNUMBER(E279),ISNUMBER(F279))),$J$2=""),"",IF(Reprogramaciones!Z$13&lt;Reprogramaciones!$T$15,0,IF(Reprogramaciones!Z$14&gt;10,MIN(100,SUM($G279:$P279)),MIN(100,SUMPRODUCT((COLUMN($G279:$P279)-COLUMN($G279)+1&lt;Reprogramaciones!Z$14)*$G279:$P279)+N(INDEX($G279:$P279,1,Reprogramaciones!Z$14))*IF(Reprogramaciones!Z$13&gt;=(Reprogramaciones!$T$15+7*(Reprogramaciones!Z$14-1))+6,1,IF(MAX(0,NETWORKDAYS.INTL(MAX(E279,(Reprogramaciones!$T$15+7*(Reprogramaciones!Z$14-1))),MIN(F279,(Reprogramaciones!$T$15+7*(Reprogramaciones!Z$14-1))+6),11))=0,0,MAX(0,NETWORKDAYS.INTL(MAX(E279,(Reprogramaciones!$T$15+7*(Reprogramaciones!Z$14-1))),MIN(F279,Reprogramaciones!Z$13),11))/MAX(0,NETWORKDAYS.INTL(MAX(E279,(Reprogramaciones!$T$15+7*(Reprogramaciones!Z$14-1))),MIN(F279,(Reprogramaciones!$T$15+7*(Reprogramaciones!Z$14-1))+6),11))))))))</f>
        <v/>
      </c>
      <c r="CJ279" s="1" t="str">
        <f aca="false">IF(OR(OR(NOT(AND(ISNUMBER(E279),ISNUMBER(F279))),$J$2=""),1&gt;Reprogramaciones!$K$16),"",IF(ROUND(SUM($Q279:Q279),1)&gt;=99.5,100,MIN(100,ROUND(SUM($Q279:Q279),1))))</f>
        <v/>
      </c>
      <c r="CK279" s="1" t="str">
        <f aca="false">IF(OR(OR(NOT(AND(ISNUMBER(E279),ISNUMBER(F279))),$J$2=""),2&gt;Reprogramaciones!$K$16),"",IF(ROUND(SUM($Q279:R279),1)&gt;=99.5,100,MIN(100,ROUND(SUM($Q279:R279),1))))</f>
        <v/>
      </c>
      <c r="CL279" s="1" t="str">
        <f aca="false">IF(OR(OR(NOT(AND(ISNUMBER(E279),ISNUMBER(F279))),$J$2=""),3&gt;Reprogramaciones!$K$16),"",IF(ROUND(SUM($Q279:S279),1)&gt;=99.5,100,MIN(100,ROUND(SUM($Q279:S279),1))))</f>
        <v/>
      </c>
      <c r="CM279" s="1" t="str">
        <f aca="false">IF(OR(OR(NOT(AND(ISNUMBER(E279),ISNUMBER(F279))),$J$2=""),4&gt;Reprogramaciones!$K$16),"",IF(ROUND(SUM($Q279:T279),1)&gt;=99.5,100,MIN(100,ROUND(SUM($Q279:T279),1))))</f>
        <v/>
      </c>
      <c r="CN279" s="1" t="str">
        <f aca="false">IF(OR(OR(NOT(AND(ISNUMBER(E279),ISNUMBER(F279))),$J$2=""),5&gt;Reprogramaciones!$K$16),"",IF(ROUND(SUM($Q279:U279),1)&gt;=99.5,100,MIN(100,ROUND(SUM($Q279:U279),1))))</f>
        <v/>
      </c>
      <c r="CO279" s="1" t="str">
        <f aca="false">IF(OR(OR(NOT(AND(ISNUMBER(E279),ISNUMBER(F279))),$J$2=""),6&gt;Reprogramaciones!$K$16),"",IF(ROUND(SUM($Q279:V279),1)&gt;=99.5,100,MIN(100,ROUND(SUM($Q279:V279),1))))</f>
        <v/>
      </c>
      <c r="CP279" s="1" t="str">
        <f aca="false">IF(OR(OR(NOT(AND(ISNUMBER(E279),ISNUMBER(F279))),$J$2=""),7&gt;Reprogramaciones!$K$16),"",IF(ROUND(SUM($Q279:W279),1)&gt;=99.5,100,MIN(100,ROUND(SUM($Q279:W279),1))))</f>
        <v/>
      </c>
      <c r="CQ279" s="1" t="str">
        <f aca="false">IF(OR(OR(NOT(AND(ISNUMBER(E279),ISNUMBER(F279))),$J$2=""),8&gt;Reprogramaciones!$K$16),"",IF(ROUND(SUM($Q279:X279),1)&gt;=99.5,100,MIN(100,ROUND(SUM($Q279:X279),1))))</f>
        <v/>
      </c>
      <c r="CR279" s="1" t="str">
        <f aca="false">IF(OR(OR(NOT(AND(ISNUMBER(E279),ISNUMBER(F279))),$J$2=""),9&gt;Reprogramaciones!$K$16),"",IF(ROUND(SUM($Q279:Y279),1)&gt;=99.5,100,MIN(100,ROUND(SUM($Q279:Y279),1))))</f>
        <v/>
      </c>
      <c r="CS279" s="1" t="str">
        <f aca="false">IF(OR(OR(NOT(AND(ISNUMBER(E279),ISNUMBER(F279))),$J$2=""),10&gt;Reprogramaciones!$K$16),"",IF(ROUND(SUM($Q279:Z279),1)&gt;=99.5,100,MIN(100,ROUND(SUM($Q279:Z279),1))))</f>
        <v/>
      </c>
      <c r="CT279" s="1" t="str">
        <f aca="false">IF(OR(OR(NOT(AND(ISNUMBER(E279),ISNUMBER(F279))),$J$2=""),11&gt;Reprogramaciones!$K$16),"",IF(ROUND(SUM($Q279:AA279),1)&gt;=99.5,100,MIN(100,ROUND(SUM($Q279:AA279),1))))</f>
        <v/>
      </c>
      <c r="CU279" s="1" t="str">
        <f aca="false">IF(OR(OR(NOT(AND(ISNUMBER(E279),ISNUMBER(F279))),$J$2=""),12&gt;Reprogramaciones!$K$16),"",IF(ROUND(SUM($Q279:AB279),1)&gt;=99.5,100,MIN(100,ROUND(SUM($Q279:AB279),1))))</f>
        <v/>
      </c>
      <c r="CV279" s="1" t="str">
        <f aca="false">IF(OR(OR(NOT(AND(ISNUMBER(E279),ISNUMBER(F279))),$J$2=""),13&gt;Reprogramaciones!$K$16),"",IF(ROUND(SUM($Q279:AC279),1)&gt;=99.5,100,MIN(100,ROUND(SUM($Q279:AC279),1))))</f>
        <v/>
      </c>
      <c r="CW279" s="1" t="str">
        <f aca="false">IF(OR(OR(NOT(AND(ISNUMBER(E279),ISNUMBER(F279))),$J$2=""),14&gt;Reprogramaciones!$K$16),"",IF(ROUND(SUM($Q279:AD279),1)&gt;=99.5,100,MIN(100,ROUND(SUM($Q279:AD279),1))))</f>
        <v/>
      </c>
      <c r="CX279" s="1" t="str">
        <f aca="false">IF(OR(OR(NOT(AND(ISNUMBER(E279),ISNUMBER(F279))),$J$2=""),15&gt;Reprogramaciones!$K$16),"",IF(ROUND(SUM($Q279:AE279),1)&gt;=99.5,100,MIN(100,ROUND(SUM($Q279:AE279),1))))</f>
        <v/>
      </c>
      <c r="CY279" s="1" t="str">
        <f aca="false">IF(OR(OR(NOT(AND(ISNUMBER(E279),ISNUMBER(F279))),$J$2=""),16&gt;Reprogramaciones!$K$16),"",IF(ROUND(SUM($Q279:AF279),1)&gt;=99.5,100,MIN(100,ROUND(SUM($Q279:AF279),1))))</f>
        <v/>
      </c>
      <c r="CZ279" s="1" t="str">
        <f aca="false">IF(D279&lt;&gt;"",D279,IF(B279&lt;&gt;"","Contractual",CZ278))</f>
        <v>Contractual</v>
      </c>
      <c r="DA279" s="1" t="str">
        <f aca="false">IF(OR(NOT(AND(ISNUMBER(E279),ISNUMBER(F279))),$J$2=""),"",IF(Reprogramaciones!$Q$15&lt;Reprogramaciones!$T$15,0,IF(Reprogramaciones!$S$15&gt;10,MIN(100,SUM($G279:$P279)),MIN(100,SUMPRODUCT((COLUMN($G279:$P279)-COLUMN($G279)+1&lt;Reprogramaciones!$S$15)*$G279:$P279)+N(INDEX($G279:$P279,1,Reprogramaciones!$S$15))*IF(Reprogramaciones!$Q$15&gt;=(Reprogramaciones!$T$15+7*(Reprogramaciones!$S$15-1))+6,1,IF(MAX(0,NETWORKDAYS.INTL(MAX(E279,(Reprogramaciones!$T$15+7*(Reprogramaciones!$S$15-1))),MIN(F279,(Reprogramaciones!$T$15+7*(Reprogramaciones!$S$15-1))+6),11))=0,0,MAX(0,NETWORKDAYS.INTL(MAX(E279,(Reprogramaciones!$T$15+7*(Reprogramaciones!$S$15-1))),MIN(F279,Reprogramaciones!$Q$15),11))/MAX(0,NETWORKDAYS.INTL(MAX(E279,(Reprogramaciones!$T$15+7*(Reprogramaciones!$S$15-1))),MIN(F279,(Reprogramaciones!$T$15+7*(Reprogramaciones!$S$15-1))+6),11))))))))</f>
        <v/>
      </c>
    </row>
    <row r="280" customFormat="false" ht="15" hidden="false" customHeight="false" outlineLevel="0" collapsed="false">
      <c r="A280" s="32"/>
      <c r="B280" s="33"/>
      <c r="C280" s="33"/>
      <c r="D280" s="34"/>
      <c r="E280" s="35"/>
      <c r="F280" s="35"/>
      <c r="G280" s="36" t="str">
        <f aca="false">IF(OR(NOT(AND(ISNUMBER(E280),ISNUMBER(F280))),$J$2=""),"",IF(Reprogramaciones!K$9&lt;E280,0,IF(NETWORKDAYS.INTL(E280,F280,11)=0,IF(Reprogramaciones!K$9&gt;=F280,100,0),ROUND(NETWORKDAYS.INTL(E280,MIN(F280,Reprogramaciones!K$9),11)/NETWORKDAYS.INTL(E280,F280,11)*100,1)))-0)</f>
        <v/>
      </c>
      <c r="H280" s="36" t="str">
        <f aca="false">IF(OR(NOT(AND(ISNUMBER(E280),ISNUMBER(F280))),$J$2=""),"",IF(Reprogramaciones!L$9&lt;E280,0,IF(NETWORKDAYS.INTL(E280,F280,11)=0,IF(Reprogramaciones!L$9&gt;=F280,100,0),ROUND(NETWORKDAYS.INTL(E280,MIN(F280,Reprogramaciones!L$9),11)/NETWORKDAYS.INTL(E280,F280,11)*100,1)))-IF(Reprogramaciones!K$9&lt;E280,0,IF(NETWORKDAYS.INTL(E280,F280,11)=0,IF(Reprogramaciones!K$9&gt;=F280,100,0),ROUND(NETWORKDAYS.INTL(E280,MIN(F280,Reprogramaciones!K$9),11)/NETWORKDAYS.INTL(E280,F280,11)*100,1))))</f>
        <v/>
      </c>
      <c r="I280" s="36" t="str">
        <f aca="false">IF(OR(NOT(AND(ISNUMBER(E280),ISNUMBER(F280))),$J$2=""),"",IF(Reprogramaciones!M$9&lt;E280,0,IF(NETWORKDAYS.INTL(E280,F280,11)=0,IF(Reprogramaciones!M$9&gt;=F280,100,0),ROUND(NETWORKDAYS.INTL(E280,MIN(F280,Reprogramaciones!M$9),11)/NETWORKDAYS.INTL(E280,F280,11)*100,1)))-IF(Reprogramaciones!L$9&lt;E280,0,IF(NETWORKDAYS.INTL(E280,F280,11)=0,IF(Reprogramaciones!L$9&gt;=F280,100,0),ROUND(NETWORKDAYS.INTL(E280,MIN(F280,Reprogramaciones!L$9),11)/NETWORKDAYS.INTL(E280,F280,11)*100,1))))</f>
        <v/>
      </c>
      <c r="J280" s="36" t="str">
        <f aca="false">IF(OR(NOT(AND(ISNUMBER(E280),ISNUMBER(F280))),$J$2=""),"",IF(Reprogramaciones!N$9&lt;E280,0,IF(NETWORKDAYS.INTL(E280,F280,11)=0,IF(Reprogramaciones!N$9&gt;=F280,100,0),ROUND(NETWORKDAYS.INTL(E280,MIN(F280,Reprogramaciones!N$9),11)/NETWORKDAYS.INTL(E280,F280,11)*100,1)))-IF(Reprogramaciones!M$9&lt;E280,0,IF(NETWORKDAYS.INTL(E280,F280,11)=0,IF(Reprogramaciones!M$9&gt;=F280,100,0),ROUND(NETWORKDAYS.INTL(E280,MIN(F280,Reprogramaciones!M$9),11)/NETWORKDAYS.INTL(E280,F280,11)*100,1))))</f>
        <v/>
      </c>
      <c r="K280" s="36" t="str">
        <f aca="false">IF(OR(NOT(AND(ISNUMBER(E280),ISNUMBER(F280))),$J$2=""),"",IF(Reprogramaciones!O$9&lt;E280,0,IF(NETWORKDAYS.INTL(E280,F280,11)=0,IF(Reprogramaciones!O$9&gt;=F280,100,0),ROUND(NETWORKDAYS.INTL(E280,MIN(F280,Reprogramaciones!O$9),11)/NETWORKDAYS.INTL(E280,F280,11)*100,1)))-IF(Reprogramaciones!N$9&lt;E280,0,IF(NETWORKDAYS.INTL(E280,F280,11)=0,IF(Reprogramaciones!N$9&gt;=F280,100,0),ROUND(NETWORKDAYS.INTL(E280,MIN(F280,Reprogramaciones!N$9),11)/NETWORKDAYS.INTL(E280,F280,11)*100,1))))</f>
        <v/>
      </c>
      <c r="L280" s="36" t="str">
        <f aca="false">IF(OR(NOT(AND(ISNUMBER(E280),ISNUMBER(F280))),$J$2=""),"",IF(Reprogramaciones!P$9&lt;E280,0,IF(NETWORKDAYS.INTL(E280,F280,11)=0,IF(Reprogramaciones!P$9&gt;=F280,100,0),ROUND(NETWORKDAYS.INTL(E280,MIN(F280,Reprogramaciones!P$9),11)/NETWORKDAYS.INTL(E280,F280,11)*100,1)))-IF(Reprogramaciones!O$9&lt;E280,0,IF(NETWORKDAYS.INTL(E280,F280,11)=0,IF(Reprogramaciones!O$9&gt;=F280,100,0),ROUND(NETWORKDAYS.INTL(E280,MIN(F280,Reprogramaciones!O$9),11)/NETWORKDAYS.INTL(E280,F280,11)*100,1))))</f>
        <v/>
      </c>
      <c r="M280" s="36" t="str">
        <f aca="false">IF(OR(NOT(AND(ISNUMBER(E280),ISNUMBER(F280))),$J$2=""),"",IF(Reprogramaciones!Q$9&lt;E280,0,IF(NETWORKDAYS.INTL(E280,F280,11)=0,IF(Reprogramaciones!Q$9&gt;=F280,100,0),ROUND(NETWORKDAYS.INTL(E280,MIN(F280,Reprogramaciones!Q$9),11)/NETWORKDAYS.INTL(E280,F280,11)*100,1)))-IF(Reprogramaciones!P$9&lt;E280,0,IF(NETWORKDAYS.INTL(E280,F280,11)=0,IF(Reprogramaciones!P$9&gt;=F280,100,0),ROUND(NETWORKDAYS.INTL(E280,MIN(F280,Reprogramaciones!P$9),11)/NETWORKDAYS.INTL(E280,F280,11)*100,1))))</f>
        <v/>
      </c>
      <c r="N280" s="36" t="str">
        <f aca="false">IF(OR(NOT(AND(ISNUMBER(E280),ISNUMBER(F280))),$J$2=""),"",IF(Reprogramaciones!R$9&lt;E280,0,IF(NETWORKDAYS.INTL(E280,F280,11)=0,IF(Reprogramaciones!R$9&gt;=F280,100,0),ROUND(NETWORKDAYS.INTL(E280,MIN(F280,Reprogramaciones!R$9),11)/NETWORKDAYS.INTL(E280,F280,11)*100,1)))-IF(Reprogramaciones!Q$9&lt;E280,0,IF(NETWORKDAYS.INTL(E280,F280,11)=0,IF(Reprogramaciones!Q$9&gt;=F280,100,0),ROUND(NETWORKDAYS.INTL(E280,MIN(F280,Reprogramaciones!Q$9),11)/NETWORKDAYS.INTL(E280,F280,11)*100,1))))</f>
        <v/>
      </c>
      <c r="O280" s="36" t="str">
        <f aca="false">IF(OR(NOT(AND(ISNUMBER(E280),ISNUMBER(F280))),$J$2=""),"",IF(Reprogramaciones!S$9&lt;E280,0,IF(NETWORKDAYS.INTL(E280,F280,11)=0,IF(Reprogramaciones!S$9&gt;=F280,100,0),ROUND(NETWORKDAYS.INTL(E280,MIN(F280,Reprogramaciones!S$9),11)/NETWORKDAYS.INTL(E280,F280,11)*100,1)))-IF(Reprogramaciones!R$9&lt;E280,0,IF(NETWORKDAYS.INTL(E280,F280,11)=0,IF(Reprogramaciones!R$9&gt;=F280,100,0),ROUND(NETWORKDAYS.INTL(E280,MIN(F280,Reprogramaciones!R$9),11)/NETWORKDAYS.INTL(E280,F280,11)*100,1))))</f>
        <v/>
      </c>
      <c r="P280" s="36" t="str">
        <f aca="false">IF(OR(NOT(AND(ISNUMBER(E280),ISNUMBER(F280))),$J$2=""),"",IF(Reprogramaciones!T$9&lt;E280,0,IF(NETWORKDAYS.INTL(E280,F280,11)=0,IF(Reprogramaciones!T$9&gt;=F280,100,0),ROUND(NETWORKDAYS.INTL(E280,MIN(F280,Reprogramaciones!T$9),11)/NETWORKDAYS.INTL(E280,F280,11)*100,1)))-IF(Reprogramaciones!S$9&lt;E280,0,IF(NETWORKDAYS.INTL(E280,F280,11)=0,IF(Reprogramaciones!S$9&gt;=F280,100,0),ROUND(NETWORKDAYS.INTL(E280,MIN(F280,Reprogramaciones!S$9),11)/NETWORKDAYS.INTL(E280,F280,11)*100,1))))</f>
        <v/>
      </c>
      <c r="Q280" s="37"/>
      <c r="R280" s="37"/>
      <c r="S280" s="37"/>
      <c r="T280" s="37"/>
      <c r="U280" s="37"/>
      <c r="V280" s="37"/>
      <c r="W280" s="37"/>
      <c r="X280" s="37"/>
      <c r="Y280" s="37"/>
      <c r="Z280" s="37"/>
      <c r="AA280" s="37"/>
      <c r="AB280" s="37"/>
      <c r="AC280" s="37"/>
      <c r="AD280" s="37"/>
      <c r="AE280" s="37"/>
      <c r="AF280" s="37"/>
      <c r="AG280" s="38" t="str">
        <f aca="false">IF(AND(ISNUMBER(E280),ISNUMBER(F280)),NETWORKDAYS.INTL(E280,F280,11),"")</f>
        <v/>
      </c>
      <c r="AH280" s="38" t="str">
        <f aca="false">IF(OR(NOT(AND(ISNUMBER(E280),ISNUMBER(F280))),$J$2=""),"",IF(Reprogramaciones!$P$15&lt;Reprogramaciones!$T$15,0,IF(Reprogramaciones!$R$15&gt;10,MIN(100,SUM($G280:$P280)),MIN(100,SUMPRODUCT((COLUMN($G280:$P280)-COLUMN($G280)+1&lt;Reprogramaciones!$R$15)*$G280:$P280)+N(INDEX($G280:$P280,1,Reprogramaciones!$R$15))*IF(Reprogramaciones!$P$15&gt;=(Reprogramaciones!$T$15+7*(Reprogramaciones!$R$15-1))+6,1,IF(MAX(0,NETWORKDAYS.INTL(MAX(E280,(Reprogramaciones!$T$15+7*(Reprogramaciones!$R$15-1))),MIN(F280,(Reprogramaciones!$T$15+7*(Reprogramaciones!$R$15-1))+6),11))=0,0,MAX(0,NETWORKDAYS.INTL(MAX(E280,(Reprogramaciones!$T$15+7*(Reprogramaciones!$R$15-1))),MIN(F280,Reprogramaciones!$P$15),11))/MAX(0,NETWORKDAYS.INTL(MAX(E280,(Reprogramaciones!$T$15+7*(Reprogramaciones!$R$15-1))),MIN(F280,(Reprogramaciones!$T$15+7*(Reprogramaciones!$R$15-1))+6),11))))))))</f>
        <v/>
      </c>
      <c r="AI280" s="38" t="str">
        <f aca="false">IF(COUNT($Q280:$AF280)=0,"",IF(ROUND(SUM($Q280:$AF280),1)&gt;=99.5,100,MIN(100,ROUND(SUM($Q280:$AF280),1))))</f>
        <v/>
      </c>
      <c r="AJ280" s="38" t="str">
        <f aca="false">IF(OR(AH280="",AI280=""),"",AI280-AH280)</f>
        <v/>
      </c>
      <c r="AK280" s="39" t="str">
        <f aca="true">IF(AH280="","",IF(OR(Ficha!$C$10="Suspendida",Ficha!$C$10="Cancelada"),Ficha!$C$10,IF(AND(AI280&lt;&gt;"",N(AI280)&gt;=100),"Completada",IF(AND(E280&gt;TODAY(),N(AI280)=0),"Por iniciar",IF(N(AI280)+0.5&lt;AH280,"Retrasada",IF(N(AI280)+0.5&lt;DA280,IF(Reprogramaciones!$K$15&gt;0,"Al día · Sem "&amp;Reprogramaciones!$K$15&amp;" en curso","Al día · en curso"),"A tiempo"))))))</f>
        <v/>
      </c>
      <c r="AL280" s="39" t="str">
        <f aca="true">IF(AND(A280="",AND(B280="",C280="",E280="",F280="",COUNT(Q280:AF280)=0)),"",IF(AND(B280="",C280="",E280="",F280="",COUNT(Q280:AF280)=0),"Falta la partida o subpartida",IF(AND(A280&lt;&gt;"",COUNTIF($A$6:$A$305,A280)&gt;1),"Ítem repetido",IF(AND(C280="",E280="",F280="",COUNT(Q280:AF280)=0),"Título de partida",IF(OR(E280="",F280=""),"Faltan fechas",IF(OR(ISTEXT(E280),ISTEXT(F280)),"Fecha escrita como texto: usa dd/mm/aaaa",IF(F280&lt;E280,"Fin antes del inicio",IF(IF($J$2="",FALSE(),OR(E280&lt;$J$2,F280&gt;Reprogramaciones!$T$15+69)),"Fuera de las 10 semanas",IF(ABS(SUM(G280:P280)-100)&gt;0.5,"La meta no suma 100%",IF(ROUND(SUM(Q280:AF280),1)&gt;100.5,"El avance pasa de 100%",IF(MIN(Q280:AF280)&lt;0,"Avance negativo",IF(COUNTA(Q280:AF280)&gt;COUNT(Q280:AF280),"Avance escrito como texto",IF(SUMPRODUCT((Q280:AF280&gt;0)*(Q280:AF280&lt;1))&gt;0,"Avance menor a 1: escribe 50, no 50%",IF(SUMPRODUCT(ISNUMBER(Q280:AF280)*(Reprogramaciones!$K$8:$Z$8&gt;TODAY()))&gt;0,"Avance en semana que aún no llega",IF(AND(N(Reprogramaciones!$E$21)&gt;0,F280&gt;Reprogramaciones!$E$21),"Pasa el fin de la obra: registra una reprogramación",IF(AND(N(Reprogramaciones!$E$21)&gt;0,SUMPRODUCT(ISNUMBER(Q280:AF280)*(Reprogramaciones!$K$8:$Z$8&gt;Reprogramaciones!$E$21))&gt;0),"Avance después del fin de la obra: registra una reprogramación por atraso","OK"))))))))))))))))</f>
        <v/>
      </c>
      <c r="AM280" s="40" t="str">
        <f aca="false">IF(OR(OR(NOT(AND(ISNUMBER(E280),ISNUMBER(F280))),$J$2=""),1&gt;MAX(1,Reprogramaciones!$U$15)),"",IF(Reprogramaciones!K$12&gt;=7,"",IF(OR(BT280-N(0)&gt;0.05,N(Q280)&gt;0),ROUNDDOWN(ROUND(BT280,6),0)&amp;"%"&amp;IF(CJ280="",""," / "&amp;CJ280&amp;"%"),IF(AND(N(0)&gt;=99.95,CJ280&lt;&gt;"",N(CJ280)&lt;100),"Pend. "&amp;CJ280&amp;"%",""))))</f>
        <v/>
      </c>
      <c r="AN280" s="40" t="str">
        <f aca="false">IF(OR(OR(NOT(AND(ISNUMBER(E280),ISNUMBER(F280))),$J$2=""),2&gt;MAX(1,Reprogramaciones!$U$15)),"",IF(Reprogramaciones!L$12&gt;=7,"",IF(OR(BU280-N(BT280)&gt;0.05,N(R280)&gt;0),ROUNDDOWN(ROUND(BU280,6),0)&amp;"%"&amp;IF(CK280="",""," / "&amp;CK280&amp;"%"),IF(AND(N(BT280)&gt;=99.95,CK280&lt;&gt;"",N(CK280)&lt;100),"Pend. "&amp;CK280&amp;"%",""))))</f>
        <v/>
      </c>
      <c r="AO280" s="40" t="str">
        <f aca="false">IF(OR(OR(NOT(AND(ISNUMBER(E280),ISNUMBER(F280))),$J$2=""),3&gt;MAX(1,Reprogramaciones!$U$15)),"",IF(Reprogramaciones!M$12&gt;=7,"",IF(OR(BV280-N(BU280)&gt;0.05,N(S280)&gt;0),ROUNDDOWN(ROUND(BV280,6),0)&amp;"%"&amp;IF(CL280="",""," / "&amp;CL280&amp;"%"),IF(AND(N(BU280)&gt;=99.95,CL280&lt;&gt;"",N(CL280)&lt;100),"Pend. "&amp;CL280&amp;"%",""))))</f>
        <v/>
      </c>
      <c r="AP280" s="40" t="str">
        <f aca="false">IF(OR(OR(NOT(AND(ISNUMBER(E280),ISNUMBER(F280))),$J$2=""),4&gt;MAX(1,Reprogramaciones!$U$15)),"",IF(Reprogramaciones!N$12&gt;=7,"",IF(OR(BW280-N(BV280)&gt;0.05,N(T280)&gt;0),ROUNDDOWN(ROUND(BW280,6),0)&amp;"%"&amp;IF(CM280="",""," / "&amp;CM280&amp;"%"),IF(AND(N(BV280)&gt;=99.95,CM280&lt;&gt;"",N(CM280)&lt;100),"Pend. "&amp;CM280&amp;"%",""))))</f>
        <v/>
      </c>
      <c r="AQ280" s="40" t="str">
        <f aca="false">IF(OR(OR(NOT(AND(ISNUMBER(E280),ISNUMBER(F280))),$J$2=""),5&gt;MAX(1,Reprogramaciones!$U$15)),"",IF(Reprogramaciones!O$12&gt;=7,"",IF(OR(BX280-N(BW280)&gt;0.05,N(U280)&gt;0),ROUNDDOWN(ROUND(BX280,6),0)&amp;"%"&amp;IF(CN280="",""," / "&amp;CN280&amp;"%"),IF(AND(N(BW280)&gt;=99.95,CN280&lt;&gt;"",N(CN280)&lt;100),"Pend. "&amp;CN280&amp;"%",""))))</f>
        <v/>
      </c>
      <c r="AR280" s="40" t="str">
        <f aca="false">IF(OR(OR(NOT(AND(ISNUMBER(E280),ISNUMBER(F280))),$J$2=""),6&gt;MAX(1,Reprogramaciones!$U$15)),"",IF(Reprogramaciones!P$12&gt;=7,"",IF(OR(BY280-N(BX280)&gt;0.05,N(V280)&gt;0),ROUNDDOWN(ROUND(BY280,6),0)&amp;"%"&amp;IF(CO280="",""," / "&amp;CO280&amp;"%"),IF(AND(N(BX280)&gt;=99.95,CO280&lt;&gt;"",N(CO280)&lt;100),"Pend. "&amp;CO280&amp;"%",""))))</f>
        <v/>
      </c>
      <c r="AS280" s="40" t="str">
        <f aca="false">IF(OR(OR(NOT(AND(ISNUMBER(E280),ISNUMBER(F280))),$J$2=""),7&gt;MAX(1,Reprogramaciones!$U$15)),"",IF(Reprogramaciones!Q$12&gt;=7,"",IF(OR(BZ280-N(BY280)&gt;0.05,N(W280)&gt;0),ROUNDDOWN(ROUND(BZ280,6),0)&amp;"%"&amp;IF(CP280="",""," / "&amp;CP280&amp;"%"),IF(AND(N(BY280)&gt;=99.95,CP280&lt;&gt;"",N(CP280)&lt;100),"Pend. "&amp;CP280&amp;"%",""))))</f>
        <v/>
      </c>
      <c r="AT280" s="40" t="str">
        <f aca="false">IF(OR(OR(NOT(AND(ISNUMBER(E280),ISNUMBER(F280))),$J$2=""),8&gt;MAX(1,Reprogramaciones!$U$15)),"",IF(Reprogramaciones!R$12&gt;=7,"",IF(OR(CA280-N(BZ280)&gt;0.05,N(X280)&gt;0),ROUNDDOWN(ROUND(CA280,6),0)&amp;"%"&amp;IF(CQ280="",""," / "&amp;CQ280&amp;"%"),IF(AND(N(BZ280)&gt;=99.95,CQ280&lt;&gt;"",N(CQ280)&lt;100),"Pend. "&amp;CQ280&amp;"%",""))))</f>
        <v/>
      </c>
      <c r="AU280" s="40" t="str">
        <f aca="false">IF(OR(OR(NOT(AND(ISNUMBER(E280),ISNUMBER(F280))),$J$2=""),9&gt;MAX(1,Reprogramaciones!$U$15)),"",IF(Reprogramaciones!S$12&gt;=7,"",IF(OR(CB280-N(CA280)&gt;0.05,N(Y280)&gt;0),ROUNDDOWN(ROUND(CB280,6),0)&amp;"%"&amp;IF(CR280="",""," / "&amp;CR280&amp;"%"),IF(AND(N(CA280)&gt;=99.95,CR280&lt;&gt;"",N(CR280)&lt;100),"Pend. "&amp;CR280&amp;"%",""))))</f>
        <v/>
      </c>
      <c r="AV280" s="40" t="str">
        <f aca="false">IF(OR(OR(NOT(AND(ISNUMBER(E280),ISNUMBER(F280))),$J$2=""),10&gt;MAX(1,Reprogramaciones!$U$15)),"",IF(Reprogramaciones!T$12&gt;=7,"",IF(OR(CC280-N(CB280)&gt;0.05,N(Z280)&gt;0),ROUNDDOWN(ROUND(CC280,6),0)&amp;"%"&amp;IF(CS280="",""," / "&amp;CS280&amp;"%"),IF(AND(N(CB280)&gt;=99.95,CS280&lt;&gt;"",N(CS280)&lt;100),"Pend. "&amp;CS280&amp;"%",""))))</f>
        <v/>
      </c>
      <c r="AW280" s="40" t="str">
        <f aca="false">IF(OR(OR(NOT(AND(ISNUMBER(E280),ISNUMBER(F280))),$J$2=""),11&gt;MAX(1,Reprogramaciones!$U$15)),"",IF(Reprogramaciones!U$12&gt;=7,"",IF(OR(CD280-N(CC280)&gt;0.05,N(AA280)&gt;0),ROUNDDOWN(ROUND(CD280,6),0)&amp;"%"&amp;IF(CT280="",""," / "&amp;CT280&amp;"%"),IF(AND(N(CC280)&gt;=99.95,CT280&lt;&gt;"",N(CT280)&lt;100),"Pend. "&amp;CT280&amp;"%",""))))</f>
        <v/>
      </c>
      <c r="AX280" s="40" t="str">
        <f aca="false">IF(OR(OR(NOT(AND(ISNUMBER(E280),ISNUMBER(F280))),$J$2=""),12&gt;MAX(1,Reprogramaciones!$U$15)),"",IF(Reprogramaciones!V$12&gt;=7,"",IF(OR(CE280-N(CD280)&gt;0.05,N(AB280)&gt;0),ROUNDDOWN(ROUND(CE280,6),0)&amp;"%"&amp;IF(CU280="",""," / "&amp;CU280&amp;"%"),IF(AND(N(CD280)&gt;=99.95,CU280&lt;&gt;"",N(CU280)&lt;100),"Pend. "&amp;CU280&amp;"%",""))))</f>
        <v/>
      </c>
      <c r="AY280" s="40" t="str">
        <f aca="false">IF(OR(OR(NOT(AND(ISNUMBER(E280),ISNUMBER(F280))),$J$2=""),13&gt;MAX(1,Reprogramaciones!$U$15)),"",IF(Reprogramaciones!W$12&gt;=7,"",IF(OR(CF280-N(CE280)&gt;0.05,N(AC280)&gt;0),ROUNDDOWN(ROUND(CF280,6),0)&amp;"%"&amp;IF(CV280="",""," / "&amp;CV280&amp;"%"),IF(AND(N(CE280)&gt;=99.95,CV280&lt;&gt;"",N(CV280)&lt;100),"Pend. "&amp;CV280&amp;"%",""))))</f>
        <v/>
      </c>
      <c r="AZ280" s="40" t="str">
        <f aca="false">IF(OR(OR(NOT(AND(ISNUMBER(E280),ISNUMBER(F280))),$J$2=""),14&gt;MAX(1,Reprogramaciones!$U$15)),"",IF(Reprogramaciones!X$12&gt;=7,"",IF(OR(CG280-N(CF280)&gt;0.05,N(AD280)&gt;0),ROUNDDOWN(ROUND(CG280,6),0)&amp;"%"&amp;IF(CW280="",""," / "&amp;CW280&amp;"%"),IF(AND(N(CF280)&gt;=99.95,CW280&lt;&gt;"",N(CW280)&lt;100),"Pend. "&amp;CW280&amp;"%",""))))</f>
        <v/>
      </c>
      <c r="BA280" s="40" t="str">
        <f aca="false">IF(OR(OR(NOT(AND(ISNUMBER(E280),ISNUMBER(F280))),$J$2=""),15&gt;MAX(1,Reprogramaciones!$U$15)),"",IF(Reprogramaciones!Y$12&gt;=7,"",IF(OR(CH280-N(CG280)&gt;0.05,N(AE280)&gt;0),ROUNDDOWN(ROUND(CH280,6),0)&amp;"%"&amp;IF(CX280="",""," / "&amp;CX280&amp;"%"),IF(AND(N(CG280)&gt;=99.95,CX280&lt;&gt;"",N(CX280)&lt;100),"Pend. "&amp;CX280&amp;"%",""))))</f>
        <v/>
      </c>
      <c r="BB280" s="40" t="str">
        <f aca="false">IF(OR(OR(NOT(AND(ISNUMBER(E280),ISNUMBER(F280))),$J$2=""),16&gt;MAX(1,Reprogramaciones!$U$15)),"",IF(Reprogramaciones!Z$12&gt;=7,"",IF(OR(CI280-N(CH280)&gt;0.05,N(AF280)&gt;0),ROUNDDOWN(ROUND(CI280,6),0)&amp;"%"&amp;IF(CY280="",""," / "&amp;CY280&amp;"%"),IF(AND(N(CH280)&gt;=99.95,CY280&lt;&gt;"",N(CY280)&lt;100),"Pend. "&amp;CY280&amp;"%",""))))</f>
        <v/>
      </c>
      <c r="BC280" s="31" t="n">
        <f aca="false">IF(AND(ISNUMBER(E280),ISNUMBER(F280)),MAX(1,NETWORKDAYS.INTL(E280,F280,11)),0)</f>
        <v>0</v>
      </c>
      <c r="BD280" s="1" t="str">
        <f aca="false">IF(OR(NOT(AND(ISNUMBER(E280),ISNUMBER(F280))),$J$2=""),"",MIN(100,ROUND(SUM($G280:G280),1)))</f>
        <v/>
      </c>
      <c r="BE280" s="1" t="str">
        <f aca="false">IF(OR(NOT(AND(ISNUMBER(E280),ISNUMBER(F280))),$J$2=""),"",MIN(100,ROUND(SUM($G280:H280),1)))</f>
        <v/>
      </c>
      <c r="BF280" s="1" t="str">
        <f aca="false">IF(OR(NOT(AND(ISNUMBER(E280),ISNUMBER(F280))),$J$2=""),"",MIN(100,ROUND(SUM($G280:I280),1)))</f>
        <v/>
      </c>
      <c r="BG280" s="1" t="str">
        <f aca="false">IF(OR(NOT(AND(ISNUMBER(E280),ISNUMBER(F280))),$J$2=""),"",MIN(100,ROUND(SUM($G280:J280),1)))</f>
        <v/>
      </c>
      <c r="BH280" s="1" t="str">
        <f aca="false">IF(OR(NOT(AND(ISNUMBER(E280),ISNUMBER(F280))),$J$2=""),"",MIN(100,ROUND(SUM($G280:K280),1)))</f>
        <v/>
      </c>
      <c r="BI280" s="1" t="str">
        <f aca="false">IF(OR(NOT(AND(ISNUMBER(E280),ISNUMBER(F280))),$J$2=""),"",MIN(100,ROUND(SUM($G280:L280),1)))</f>
        <v/>
      </c>
      <c r="BJ280" s="1" t="str">
        <f aca="false">IF(OR(NOT(AND(ISNUMBER(E280),ISNUMBER(F280))),$J$2=""),"",MIN(100,ROUND(SUM($G280:M280),1)))</f>
        <v/>
      </c>
      <c r="BK280" s="1" t="str">
        <f aca="false">IF(OR(NOT(AND(ISNUMBER(E280),ISNUMBER(F280))),$J$2=""),"",MIN(100,ROUND(SUM($G280:N280),1)))</f>
        <v/>
      </c>
      <c r="BL280" s="1" t="str">
        <f aca="false">IF(OR(NOT(AND(ISNUMBER(E280),ISNUMBER(F280))),$J$2=""),"",MIN(100,ROUND(SUM($G280:O280),1)))</f>
        <v/>
      </c>
      <c r="BM280" s="1" t="str">
        <f aca="false">IF(OR(NOT(AND(ISNUMBER(E280),ISNUMBER(F280))),$J$2=""),"",MIN(100,ROUND(SUM($G280:P280),1)))</f>
        <v/>
      </c>
      <c r="BN280" s="1" t="str">
        <f aca="false">IF(OR(NOT(AND(ISNUMBER(E280),ISNUMBER(F280))),$J$2=""),"",MIN(100,ROUND(SUM($G280:P280),1)))</f>
        <v/>
      </c>
      <c r="BO280" s="1" t="str">
        <f aca="false">IF(OR(NOT(AND(ISNUMBER(E280),ISNUMBER(F280))),$J$2=""),"",MIN(100,ROUND(SUM($G280:P280),1)))</f>
        <v/>
      </c>
      <c r="BP280" s="1" t="str">
        <f aca="false">IF(OR(NOT(AND(ISNUMBER(E280),ISNUMBER(F280))),$J$2=""),"",MIN(100,ROUND(SUM($G280:P280),1)))</f>
        <v/>
      </c>
      <c r="BQ280" s="1" t="str">
        <f aca="false">IF(OR(NOT(AND(ISNUMBER(E280),ISNUMBER(F280))),$J$2=""),"",MIN(100,ROUND(SUM($G280:P280),1)))</f>
        <v/>
      </c>
      <c r="BR280" s="1" t="str">
        <f aca="false">IF(OR(NOT(AND(ISNUMBER(E280),ISNUMBER(F280))),$J$2=""),"",MIN(100,ROUND(SUM($G280:P280),1)))</f>
        <v/>
      </c>
      <c r="BS280" s="1" t="str">
        <f aca="false">IF(OR(NOT(AND(ISNUMBER(E280),ISNUMBER(F280))),$J$2=""),"",MIN(100,ROUND(SUM($G280:P280),1)))</f>
        <v/>
      </c>
      <c r="BT280" s="1" t="str">
        <f aca="false">IF(OR(NOT(AND(ISNUMBER(E280),ISNUMBER(F280))),$J$2=""),"",IF(Reprogramaciones!K$13&lt;Reprogramaciones!$T$15,0,IF(Reprogramaciones!K$14&gt;10,MIN(100,SUM($G280:$P280)),MIN(100,SUMPRODUCT((COLUMN($G280:$P280)-COLUMN($G280)+1&lt;Reprogramaciones!K$14)*$G280:$P280)+N(INDEX($G280:$P280,1,Reprogramaciones!K$14))*IF(Reprogramaciones!K$13&gt;=(Reprogramaciones!$T$15+7*(Reprogramaciones!K$14-1))+6,1,IF(MAX(0,NETWORKDAYS.INTL(MAX(E280,(Reprogramaciones!$T$15+7*(Reprogramaciones!K$14-1))),MIN(F280,(Reprogramaciones!$T$15+7*(Reprogramaciones!K$14-1))+6),11))=0,0,MAX(0,NETWORKDAYS.INTL(MAX(E280,(Reprogramaciones!$T$15+7*(Reprogramaciones!K$14-1))),MIN(F280,Reprogramaciones!K$13),11))/MAX(0,NETWORKDAYS.INTL(MAX(E280,(Reprogramaciones!$T$15+7*(Reprogramaciones!K$14-1))),MIN(F280,(Reprogramaciones!$T$15+7*(Reprogramaciones!K$14-1))+6),11))))))))</f>
        <v/>
      </c>
      <c r="BU280" s="1" t="str">
        <f aca="false">IF(OR(NOT(AND(ISNUMBER(E280),ISNUMBER(F280))),$J$2=""),"",IF(Reprogramaciones!L$13&lt;Reprogramaciones!$T$15,0,IF(Reprogramaciones!L$14&gt;10,MIN(100,SUM($G280:$P280)),MIN(100,SUMPRODUCT((COLUMN($G280:$P280)-COLUMN($G280)+1&lt;Reprogramaciones!L$14)*$G280:$P280)+N(INDEX($G280:$P280,1,Reprogramaciones!L$14))*IF(Reprogramaciones!L$13&gt;=(Reprogramaciones!$T$15+7*(Reprogramaciones!L$14-1))+6,1,IF(MAX(0,NETWORKDAYS.INTL(MAX(E280,(Reprogramaciones!$T$15+7*(Reprogramaciones!L$14-1))),MIN(F280,(Reprogramaciones!$T$15+7*(Reprogramaciones!L$14-1))+6),11))=0,0,MAX(0,NETWORKDAYS.INTL(MAX(E280,(Reprogramaciones!$T$15+7*(Reprogramaciones!L$14-1))),MIN(F280,Reprogramaciones!L$13),11))/MAX(0,NETWORKDAYS.INTL(MAX(E280,(Reprogramaciones!$T$15+7*(Reprogramaciones!L$14-1))),MIN(F280,(Reprogramaciones!$T$15+7*(Reprogramaciones!L$14-1))+6),11))))))))</f>
        <v/>
      </c>
      <c r="BV280" s="1" t="str">
        <f aca="false">IF(OR(NOT(AND(ISNUMBER(E280),ISNUMBER(F280))),$J$2=""),"",IF(Reprogramaciones!M$13&lt;Reprogramaciones!$T$15,0,IF(Reprogramaciones!M$14&gt;10,MIN(100,SUM($G280:$P280)),MIN(100,SUMPRODUCT((COLUMN($G280:$P280)-COLUMN($G280)+1&lt;Reprogramaciones!M$14)*$G280:$P280)+N(INDEX($G280:$P280,1,Reprogramaciones!M$14))*IF(Reprogramaciones!M$13&gt;=(Reprogramaciones!$T$15+7*(Reprogramaciones!M$14-1))+6,1,IF(MAX(0,NETWORKDAYS.INTL(MAX(E280,(Reprogramaciones!$T$15+7*(Reprogramaciones!M$14-1))),MIN(F280,(Reprogramaciones!$T$15+7*(Reprogramaciones!M$14-1))+6),11))=0,0,MAX(0,NETWORKDAYS.INTL(MAX(E280,(Reprogramaciones!$T$15+7*(Reprogramaciones!M$14-1))),MIN(F280,Reprogramaciones!M$13),11))/MAX(0,NETWORKDAYS.INTL(MAX(E280,(Reprogramaciones!$T$15+7*(Reprogramaciones!M$14-1))),MIN(F280,(Reprogramaciones!$T$15+7*(Reprogramaciones!M$14-1))+6),11))))))))</f>
        <v/>
      </c>
      <c r="BW280" s="1" t="str">
        <f aca="false">IF(OR(NOT(AND(ISNUMBER(E280),ISNUMBER(F280))),$J$2=""),"",IF(Reprogramaciones!N$13&lt;Reprogramaciones!$T$15,0,IF(Reprogramaciones!N$14&gt;10,MIN(100,SUM($G280:$P280)),MIN(100,SUMPRODUCT((COLUMN($G280:$P280)-COLUMN($G280)+1&lt;Reprogramaciones!N$14)*$G280:$P280)+N(INDEX($G280:$P280,1,Reprogramaciones!N$14))*IF(Reprogramaciones!N$13&gt;=(Reprogramaciones!$T$15+7*(Reprogramaciones!N$14-1))+6,1,IF(MAX(0,NETWORKDAYS.INTL(MAX(E280,(Reprogramaciones!$T$15+7*(Reprogramaciones!N$14-1))),MIN(F280,(Reprogramaciones!$T$15+7*(Reprogramaciones!N$14-1))+6),11))=0,0,MAX(0,NETWORKDAYS.INTL(MAX(E280,(Reprogramaciones!$T$15+7*(Reprogramaciones!N$14-1))),MIN(F280,Reprogramaciones!N$13),11))/MAX(0,NETWORKDAYS.INTL(MAX(E280,(Reprogramaciones!$T$15+7*(Reprogramaciones!N$14-1))),MIN(F280,(Reprogramaciones!$T$15+7*(Reprogramaciones!N$14-1))+6),11))))))))</f>
        <v/>
      </c>
      <c r="BX280" s="1" t="str">
        <f aca="false">IF(OR(NOT(AND(ISNUMBER(E280),ISNUMBER(F280))),$J$2=""),"",IF(Reprogramaciones!O$13&lt;Reprogramaciones!$T$15,0,IF(Reprogramaciones!O$14&gt;10,MIN(100,SUM($G280:$P280)),MIN(100,SUMPRODUCT((COLUMN($G280:$P280)-COLUMN($G280)+1&lt;Reprogramaciones!O$14)*$G280:$P280)+N(INDEX($G280:$P280,1,Reprogramaciones!O$14))*IF(Reprogramaciones!O$13&gt;=(Reprogramaciones!$T$15+7*(Reprogramaciones!O$14-1))+6,1,IF(MAX(0,NETWORKDAYS.INTL(MAX(E280,(Reprogramaciones!$T$15+7*(Reprogramaciones!O$14-1))),MIN(F280,(Reprogramaciones!$T$15+7*(Reprogramaciones!O$14-1))+6),11))=0,0,MAX(0,NETWORKDAYS.INTL(MAX(E280,(Reprogramaciones!$T$15+7*(Reprogramaciones!O$14-1))),MIN(F280,Reprogramaciones!O$13),11))/MAX(0,NETWORKDAYS.INTL(MAX(E280,(Reprogramaciones!$T$15+7*(Reprogramaciones!O$14-1))),MIN(F280,(Reprogramaciones!$T$15+7*(Reprogramaciones!O$14-1))+6),11))))))))</f>
        <v/>
      </c>
      <c r="BY280" s="1" t="str">
        <f aca="false">IF(OR(NOT(AND(ISNUMBER(E280),ISNUMBER(F280))),$J$2=""),"",IF(Reprogramaciones!P$13&lt;Reprogramaciones!$T$15,0,IF(Reprogramaciones!P$14&gt;10,MIN(100,SUM($G280:$P280)),MIN(100,SUMPRODUCT((COLUMN($G280:$P280)-COLUMN($G280)+1&lt;Reprogramaciones!P$14)*$G280:$P280)+N(INDEX($G280:$P280,1,Reprogramaciones!P$14))*IF(Reprogramaciones!P$13&gt;=(Reprogramaciones!$T$15+7*(Reprogramaciones!P$14-1))+6,1,IF(MAX(0,NETWORKDAYS.INTL(MAX(E280,(Reprogramaciones!$T$15+7*(Reprogramaciones!P$14-1))),MIN(F280,(Reprogramaciones!$T$15+7*(Reprogramaciones!P$14-1))+6),11))=0,0,MAX(0,NETWORKDAYS.INTL(MAX(E280,(Reprogramaciones!$T$15+7*(Reprogramaciones!P$14-1))),MIN(F280,Reprogramaciones!P$13),11))/MAX(0,NETWORKDAYS.INTL(MAX(E280,(Reprogramaciones!$T$15+7*(Reprogramaciones!P$14-1))),MIN(F280,(Reprogramaciones!$T$15+7*(Reprogramaciones!P$14-1))+6),11))))))))</f>
        <v/>
      </c>
      <c r="BZ280" s="1" t="str">
        <f aca="false">IF(OR(NOT(AND(ISNUMBER(E280),ISNUMBER(F280))),$J$2=""),"",IF(Reprogramaciones!Q$13&lt;Reprogramaciones!$T$15,0,IF(Reprogramaciones!Q$14&gt;10,MIN(100,SUM($G280:$P280)),MIN(100,SUMPRODUCT((COLUMN($G280:$P280)-COLUMN($G280)+1&lt;Reprogramaciones!Q$14)*$G280:$P280)+N(INDEX($G280:$P280,1,Reprogramaciones!Q$14))*IF(Reprogramaciones!Q$13&gt;=(Reprogramaciones!$T$15+7*(Reprogramaciones!Q$14-1))+6,1,IF(MAX(0,NETWORKDAYS.INTL(MAX(E280,(Reprogramaciones!$T$15+7*(Reprogramaciones!Q$14-1))),MIN(F280,(Reprogramaciones!$T$15+7*(Reprogramaciones!Q$14-1))+6),11))=0,0,MAX(0,NETWORKDAYS.INTL(MAX(E280,(Reprogramaciones!$T$15+7*(Reprogramaciones!Q$14-1))),MIN(F280,Reprogramaciones!Q$13),11))/MAX(0,NETWORKDAYS.INTL(MAX(E280,(Reprogramaciones!$T$15+7*(Reprogramaciones!Q$14-1))),MIN(F280,(Reprogramaciones!$T$15+7*(Reprogramaciones!Q$14-1))+6),11))))))))</f>
        <v/>
      </c>
      <c r="CA280" s="1" t="str">
        <f aca="false">IF(OR(NOT(AND(ISNUMBER(E280),ISNUMBER(F280))),$J$2=""),"",IF(Reprogramaciones!R$13&lt;Reprogramaciones!$T$15,0,IF(Reprogramaciones!R$14&gt;10,MIN(100,SUM($G280:$P280)),MIN(100,SUMPRODUCT((COLUMN($G280:$P280)-COLUMN($G280)+1&lt;Reprogramaciones!R$14)*$G280:$P280)+N(INDEX($G280:$P280,1,Reprogramaciones!R$14))*IF(Reprogramaciones!R$13&gt;=(Reprogramaciones!$T$15+7*(Reprogramaciones!R$14-1))+6,1,IF(MAX(0,NETWORKDAYS.INTL(MAX(E280,(Reprogramaciones!$T$15+7*(Reprogramaciones!R$14-1))),MIN(F280,(Reprogramaciones!$T$15+7*(Reprogramaciones!R$14-1))+6),11))=0,0,MAX(0,NETWORKDAYS.INTL(MAX(E280,(Reprogramaciones!$T$15+7*(Reprogramaciones!R$14-1))),MIN(F280,Reprogramaciones!R$13),11))/MAX(0,NETWORKDAYS.INTL(MAX(E280,(Reprogramaciones!$T$15+7*(Reprogramaciones!R$14-1))),MIN(F280,(Reprogramaciones!$T$15+7*(Reprogramaciones!R$14-1))+6),11))))))))</f>
        <v/>
      </c>
      <c r="CB280" s="1" t="str">
        <f aca="false">IF(OR(NOT(AND(ISNUMBER(E280),ISNUMBER(F280))),$J$2=""),"",IF(Reprogramaciones!S$13&lt;Reprogramaciones!$T$15,0,IF(Reprogramaciones!S$14&gt;10,MIN(100,SUM($G280:$P280)),MIN(100,SUMPRODUCT((COLUMN($G280:$P280)-COLUMN($G280)+1&lt;Reprogramaciones!S$14)*$G280:$P280)+N(INDEX($G280:$P280,1,Reprogramaciones!S$14))*IF(Reprogramaciones!S$13&gt;=(Reprogramaciones!$T$15+7*(Reprogramaciones!S$14-1))+6,1,IF(MAX(0,NETWORKDAYS.INTL(MAX(E280,(Reprogramaciones!$T$15+7*(Reprogramaciones!S$14-1))),MIN(F280,(Reprogramaciones!$T$15+7*(Reprogramaciones!S$14-1))+6),11))=0,0,MAX(0,NETWORKDAYS.INTL(MAX(E280,(Reprogramaciones!$T$15+7*(Reprogramaciones!S$14-1))),MIN(F280,Reprogramaciones!S$13),11))/MAX(0,NETWORKDAYS.INTL(MAX(E280,(Reprogramaciones!$T$15+7*(Reprogramaciones!S$14-1))),MIN(F280,(Reprogramaciones!$T$15+7*(Reprogramaciones!S$14-1))+6),11))))))))</f>
        <v/>
      </c>
      <c r="CC280" s="1" t="str">
        <f aca="false">IF(OR(NOT(AND(ISNUMBER(E280),ISNUMBER(F280))),$J$2=""),"",IF(Reprogramaciones!T$13&lt;Reprogramaciones!$T$15,0,IF(Reprogramaciones!T$14&gt;10,MIN(100,SUM($G280:$P280)),MIN(100,SUMPRODUCT((COLUMN($G280:$P280)-COLUMN($G280)+1&lt;Reprogramaciones!T$14)*$G280:$P280)+N(INDEX($G280:$P280,1,Reprogramaciones!T$14))*IF(Reprogramaciones!T$13&gt;=(Reprogramaciones!$T$15+7*(Reprogramaciones!T$14-1))+6,1,IF(MAX(0,NETWORKDAYS.INTL(MAX(E280,(Reprogramaciones!$T$15+7*(Reprogramaciones!T$14-1))),MIN(F280,(Reprogramaciones!$T$15+7*(Reprogramaciones!T$14-1))+6),11))=0,0,MAX(0,NETWORKDAYS.INTL(MAX(E280,(Reprogramaciones!$T$15+7*(Reprogramaciones!T$14-1))),MIN(F280,Reprogramaciones!T$13),11))/MAX(0,NETWORKDAYS.INTL(MAX(E280,(Reprogramaciones!$T$15+7*(Reprogramaciones!T$14-1))),MIN(F280,(Reprogramaciones!$T$15+7*(Reprogramaciones!T$14-1))+6),11))))))))</f>
        <v/>
      </c>
      <c r="CD280" s="1" t="str">
        <f aca="false">IF(OR(NOT(AND(ISNUMBER(E280),ISNUMBER(F280))),$J$2=""),"",IF(Reprogramaciones!U$13&lt;Reprogramaciones!$T$15,0,IF(Reprogramaciones!U$14&gt;10,MIN(100,SUM($G280:$P280)),MIN(100,SUMPRODUCT((COLUMN($G280:$P280)-COLUMN($G280)+1&lt;Reprogramaciones!U$14)*$G280:$P280)+N(INDEX($G280:$P280,1,Reprogramaciones!U$14))*IF(Reprogramaciones!U$13&gt;=(Reprogramaciones!$T$15+7*(Reprogramaciones!U$14-1))+6,1,IF(MAX(0,NETWORKDAYS.INTL(MAX(E280,(Reprogramaciones!$T$15+7*(Reprogramaciones!U$14-1))),MIN(F280,(Reprogramaciones!$T$15+7*(Reprogramaciones!U$14-1))+6),11))=0,0,MAX(0,NETWORKDAYS.INTL(MAX(E280,(Reprogramaciones!$T$15+7*(Reprogramaciones!U$14-1))),MIN(F280,Reprogramaciones!U$13),11))/MAX(0,NETWORKDAYS.INTL(MAX(E280,(Reprogramaciones!$T$15+7*(Reprogramaciones!U$14-1))),MIN(F280,(Reprogramaciones!$T$15+7*(Reprogramaciones!U$14-1))+6),11))))))))</f>
        <v/>
      </c>
      <c r="CE280" s="1" t="str">
        <f aca="false">IF(OR(NOT(AND(ISNUMBER(E280),ISNUMBER(F280))),$J$2=""),"",IF(Reprogramaciones!V$13&lt;Reprogramaciones!$T$15,0,IF(Reprogramaciones!V$14&gt;10,MIN(100,SUM($G280:$P280)),MIN(100,SUMPRODUCT((COLUMN($G280:$P280)-COLUMN($G280)+1&lt;Reprogramaciones!V$14)*$G280:$P280)+N(INDEX($G280:$P280,1,Reprogramaciones!V$14))*IF(Reprogramaciones!V$13&gt;=(Reprogramaciones!$T$15+7*(Reprogramaciones!V$14-1))+6,1,IF(MAX(0,NETWORKDAYS.INTL(MAX(E280,(Reprogramaciones!$T$15+7*(Reprogramaciones!V$14-1))),MIN(F280,(Reprogramaciones!$T$15+7*(Reprogramaciones!V$14-1))+6),11))=0,0,MAX(0,NETWORKDAYS.INTL(MAX(E280,(Reprogramaciones!$T$15+7*(Reprogramaciones!V$14-1))),MIN(F280,Reprogramaciones!V$13),11))/MAX(0,NETWORKDAYS.INTL(MAX(E280,(Reprogramaciones!$T$15+7*(Reprogramaciones!V$14-1))),MIN(F280,(Reprogramaciones!$T$15+7*(Reprogramaciones!V$14-1))+6),11))))))))</f>
        <v/>
      </c>
      <c r="CF280" s="1" t="str">
        <f aca="false">IF(OR(NOT(AND(ISNUMBER(E280),ISNUMBER(F280))),$J$2=""),"",IF(Reprogramaciones!W$13&lt;Reprogramaciones!$T$15,0,IF(Reprogramaciones!W$14&gt;10,MIN(100,SUM($G280:$P280)),MIN(100,SUMPRODUCT((COLUMN($G280:$P280)-COLUMN($G280)+1&lt;Reprogramaciones!W$14)*$G280:$P280)+N(INDEX($G280:$P280,1,Reprogramaciones!W$14))*IF(Reprogramaciones!W$13&gt;=(Reprogramaciones!$T$15+7*(Reprogramaciones!W$14-1))+6,1,IF(MAX(0,NETWORKDAYS.INTL(MAX(E280,(Reprogramaciones!$T$15+7*(Reprogramaciones!W$14-1))),MIN(F280,(Reprogramaciones!$T$15+7*(Reprogramaciones!W$14-1))+6),11))=0,0,MAX(0,NETWORKDAYS.INTL(MAX(E280,(Reprogramaciones!$T$15+7*(Reprogramaciones!W$14-1))),MIN(F280,Reprogramaciones!W$13),11))/MAX(0,NETWORKDAYS.INTL(MAX(E280,(Reprogramaciones!$T$15+7*(Reprogramaciones!W$14-1))),MIN(F280,(Reprogramaciones!$T$15+7*(Reprogramaciones!W$14-1))+6),11))))))))</f>
        <v/>
      </c>
      <c r="CG280" s="1" t="str">
        <f aca="false">IF(OR(NOT(AND(ISNUMBER(E280),ISNUMBER(F280))),$J$2=""),"",IF(Reprogramaciones!X$13&lt;Reprogramaciones!$T$15,0,IF(Reprogramaciones!X$14&gt;10,MIN(100,SUM($G280:$P280)),MIN(100,SUMPRODUCT((COLUMN($G280:$P280)-COLUMN($G280)+1&lt;Reprogramaciones!X$14)*$G280:$P280)+N(INDEX($G280:$P280,1,Reprogramaciones!X$14))*IF(Reprogramaciones!X$13&gt;=(Reprogramaciones!$T$15+7*(Reprogramaciones!X$14-1))+6,1,IF(MAX(0,NETWORKDAYS.INTL(MAX(E280,(Reprogramaciones!$T$15+7*(Reprogramaciones!X$14-1))),MIN(F280,(Reprogramaciones!$T$15+7*(Reprogramaciones!X$14-1))+6),11))=0,0,MAX(0,NETWORKDAYS.INTL(MAX(E280,(Reprogramaciones!$T$15+7*(Reprogramaciones!X$14-1))),MIN(F280,Reprogramaciones!X$13),11))/MAX(0,NETWORKDAYS.INTL(MAX(E280,(Reprogramaciones!$T$15+7*(Reprogramaciones!X$14-1))),MIN(F280,(Reprogramaciones!$T$15+7*(Reprogramaciones!X$14-1))+6),11))))))))</f>
        <v/>
      </c>
      <c r="CH280" s="1" t="str">
        <f aca="false">IF(OR(NOT(AND(ISNUMBER(E280),ISNUMBER(F280))),$J$2=""),"",IF(Reprogramaciones!Y$13&lt;Reprogramaciones!$T$15,0,IF(Reprogramaciones!Y$14&gt;10,MIN(100,SUM($G280:$P280)),MIN(100,SUMPRODUCT((COLUMN($G280:$P280)-COLUMN($G280)+1&lt;Reprogramaciones!Y$14)*$G280:$P280)+N(INDEX($G280:$P280,1,Reprogramaciones!Y$14))*IF(Reprogramaciones!Y$13&gt;=(Reprogramaciones!$T$15+7*(Reprogramaciones!Y$14-1))+6,1,IF(MAX(0,NETWORKDAYS.INTL(MAX(E280,(Reprogramaciones!$T$15+7*(Reprogramaciones!Y$14-1))),MIN(F280,(Reprogramaciones!$T$15+7*(Reprogramaciones!Y$14-1))+6),11))=0,0,MAX(0,NETWORKDAYS.INTL(MAX(E280,(Reprogramaciones!$T$15+7*(Reprogramaciones!Y$14-1))),MIN(F280,Reprogramaciones!Y$13),11))/MAX(0,NETWORKDAYS.INTL(MAX(E280,(Reprogramaciones!$T$15+7*(Reprogramaciones!Y$14-1))),MIN(F280,(Reprogramaciones!$T$15+7*(Reprogramaciones!Y$14-1))+6),11))))))))</f>
        <v/>
      </c>
      <c r="CI280" s="1" t="str">
        <f aca="false">IF(OR(NOT(AND(ISNUMBER(E280),ISNUMBER(F280))),$J$2=""),"",IF(Reprogramaciones!Z$13&lt;Reprogramaciones!$T$15,0,IF(Reprogramaciones!Z$14&gt;10,MIN(100,SUM($G280:$P280)),MIN(100,SUMPRODUCT((COLUMN($G280:$P280)-COLUMN($G280)+1&lt;Reprogramaciones!Z$14)*$G280:$P280)+N(INDEX($G280:$P280,1,Reprogramaciones!Z$14))*IF(Reprogramaciones!Z$13&gt;=(Reprogramaciones!$T$15+7*(Reprogramaciones!Z$14-1))+6,1,IF(MAX(0,NETWORKDAYS.INTL(MAX(E280,(Reprogramaciones!$T$15+7*(Reprogramaciones!Z$14-1))),MIN(F280,(Reprogramaciones!$T$15+7*(Reprogramaciones!Z$14-1))+6),11))=0,0,MAX(0,NETWORKDAYS.INTL(MAX(E280,(Reprogramaciones!$T$15+7*(Reprogramaciones!Z$14-1))),MIN(F280,Reprogramaciones!Z$13),11))/MAX(0,NETWORKDAYS.INTL(MAX(E280,(Reprogramaciones!$T$15+7*(Reprogramaciones!Z$14-1))),MIN(F280,(Reprogramaciones!$T$15+7*(Reprogramaciones!Z$14-1))+6),11))))))))</f>
        <v/>
      </c>
      <c r="CJ280" s="1" t="str">
        <f aca="false">IF(OR(OR(NOT(AND(ISNUMBER(E280),ISNUMBER(F280))),$J$2=""),1&gt;Reprogramaciones!$K$16),"",IF(ROUND(SUM($Q280:Q280),1)&gt;=99.5,100,MIN(100,ROUND(SUM($Q280:Q280),1))))</f>
        <v/>
      </c>
      <c r="CK280" s="1" t="str">
        <f aca="false">IF(OR(OR(NOT(AND(ISNUMBER(E280),ISNUMBER(F280))),$J$2=""),2&gt;Reprogramaciones!$K$16),"",IF(ROUND(SUM($Q280:R280),1)&gt;=99.5,100,MIN(100,ROUND(SUM($Q280:R280),1))))</f>
        <v/>
      </c>
      <c r="CL280" s="1" t="str">
        <f aca="false">IF(OR(OR(NOT(AND(ISNUMBER(E280),ISNUMBER(F280))),$J$2=""),3&gt;Reprogramaciones!$K$16),"",IF(ROUND(SUM($Q280:S280),1)&gt;=99.5,100,MIN(100,ROUND(SUM($Q280:S280),1))))</f>
        <v/>
      </c>
      <c r="CM280" s="1" t="str">
        <f aca="false">IF(OR(OR(NOT(AND(ISNUMBER(E280),ISNUMBER(F280))),$J$2=""),4&gt;Reprogramaciones!$K$16),"",IF(ROUND(SUM($Q280:T280),1)&gt;=99.5,100,MIN(100,ROUND(SUM($Q280:T280),1))))</f>
        <v/>
      </c>
      <c r="CN280" s="1" t="str">
        <f aca="false">IF(OR(OR(NOT(AND(ISNUMBER(E280),ISNUMBER(F280))),$J$2=""),5&gt;Reprogramaciones!$K$16),"",IF(ROUND(SUM($Q280:U280),1)&gt;=99.5,100,MIN(100,ROUND(SUM($Q280:U280),1))))</f>
        <v/>
      </c>
      <c r="CO280" s="1" t="str">
        <f aca="false">IF(OR(OR(NOT(AND(ISNUMBER(E280),ISNUMBER(F280))),$J$2=""),6&gt;Reprogramaciones!$K$16),"",IF(ROUND(SUM($Q280:V280),1)&gt;=99.5,100,MIN(100,ROUND(SUM($Q280:V280),1))))</f>
        <v/>
      </c>
      <c r="CP280" s="1" t="str">
        <f aca="false">IF(OR(OR(NOT(AND(ISNUMBER(E280),ISNUMBER(F280))),$J$2=""),7&gt;Reprogramaciones!$K$16),"",IF(ROUND(SUM($Q280:W280),1)&gt;=99.5,100,MIN(100,ROUND(SUM($Q280:W280),1))))</f>
        <v/>
      </c>
      <c r="CQ280" s="1" t="str">
        <f aca="false">IF(OR(OR(NOT(AND(ISNUMBER(E280),ISNUMBER(F280))),$J$2=""),8&gt;Reprogramaciones!$K$16),"",IF(ROUND(SUM($Q280:X280),1)&gt;=99.5,100,MIN(100,ROUND(SUM($Q280:X280),1))))</f>
        <v/>
      </c>
      <c r="CR280" s="1" t="str">
        <f aca="false">IF(OR(OR(NOT(AND(ISNUMBER(E280),ISNUMBER(F280))),$J$2=""),9&gt;Reprogramaciones!$K$16),"",IF(ROUND(SUM($Q280:Y280),1)&gt;=99.5,100,MIN(100,ROUND(SUM($Q280:Y280),1))))</f>
        <v/>
      </c>
      <c r="CS280" s="1" t="str">
        <f aca="false">IF(OR(OR(NOT(AND(ISNUMBER(E280),ISNUMBER(F280))),$J$2=""),10&gt;Reprogramaciones!$K$16),"",IF(ROUND(SUM($Q280:Z280),1)&gt;=99.5,100,MIN(100,ROUND(SUM($Q280:Z280),1))))</f>
        <v/>
      </c>
      <c r="CT280" s="1" t="str">
        <f aca="false">IF(OR(OR(NOT(AND(ISNUMBER(E280),ISNUMBER(F280))),$J$2=""),11&gt;Reprogramaciones!$K$16),"",IF(ROUND(SUM($Q280:AA280),1)&gt;=99.5,100,MIN(100,ROUND(SUM($Q280:AA280),1))))</f>
        <v/>
      </c>
      <c r="CU280" s="1" t="str">
        <f aca="false">IF(OR(OR(NOT(AND(ISNUMBER(E280),ISNUMBER(F280))),$J$2=""),12&gt;Reprogramaciones!$K$16),"",IF(ROUND(SUM($Q280:AB280),1)&gt;=99.5,100,MIN(100,ROUND(SUM($Q280:AB280),1))))</f>
        <v/>
      </c>
      <c r="CV280" s="1" t="str">
        <f aca="false">IF(OR(OR(NOT(AND(ISNUMBER(E280),ISNUMBER(F280))),$J$2=""),13&gt;Reprogramaciones!$K$16),"",IF(ROUND(SUM($Q280:AC280),1)&gt;=99.5,100,MIN(100,ROUND(SUM($Q280:AC280),1))))</f>
        <v/>
      </c>
      <c r="CW280" s="1" t="str">
        <f aca="false">IF(OR(OR(NOT(AND(ISNUMBER(E280),ISNUMBER(F280))),$J$2=""),14&gt;Reprogramaciones!$K$16),"",IF(ROUND(SUM($Q280:AD280),1)&gt;=99.5,100,MIN(100,ROUND(SUM($Q280:AD280),1))))</f>
        <v/>
      </c>
      <c r="CX280" s="1" t="str">
        <f aca="false">IF(OR(OR(NOT(AND(ISNUMBER(E280),ISNUMBER(F280))),$J$2=""),15&gt;Reprogramaciones!$K$16),"",IF(ROUND(SUM($Q280:AE280),1)&gt;=99.5,100,MIN(100,ROUND(SUM($Q280:AE280),1))))</f>
        <v/>
      </c>
      <c r="CY280" s="1" t="str">
        <f aca="false">IF(OR(OR(NOT(AND(ISNUMBER(E280),ISNUMBER(F280))),$J$2=""),16&gt;Reprogramaciones!$K$16),"",IF(ROUND(SUM($Q280:AF280),1)&gt;=99.5,100,MIN(100,ROUND(SUM($Q280:AF280),1))))</f>
        <v/>
      </c>
      <c r="CZ280" s="1" t="str">
        <f aca="false">IF(D280&lt;&gt;"",D280,IF(B280&lt;&gt;"","Contractual",CZ279))</f>
        <v>Contractual</v>
      </c>
      <c r="DA280" s="1" t="str">
        <f aca="false">IF(OR(NOT(AND(ISNUMBER(E280),ISNUMBER(F280))),$J$2=""),"",IF(Reprogramaciones!$Q$15&lt;Reprogramaciones!$T$15,0,IF(Reprogramaciones!$S$15&gt;10,MIN(100,SUM($G280:$P280)),MIN(100,SUMPRODUCT((COLUMN($G280:$P280)-COLUMN($G280)+1&lt;Reprogramaciones!$S$15)*$G280:$P280)+N(INDEX($G280:$P280,1,Reprogramaciones!$S$15))*IF(Reprogramaciones!$Q$15&gt;=(Reprogramaciones!$T$15+7*(Reprogramaciones!$S$15-1))+6,1,IF(MAX(0,NETWORKDAYS.INTL(MAX(E280,(Reprogramaciones!$T$15+7*(Reprogramaciones!$S$15-1))),MIN(F280,(Reprogramaciones!$T$15+7*(Reprogramaciones!$S$15-1))+6),11))=0,0,MAX(0,NETWORKDAYS.INTL(MAX(E280,(Reprogramaciones!$T$15+7*(Reprogramaciones!$S$15-1))),MIN(F280,Reprogramaciones!$Q$15),11))/MAX(0,NETWORKDAYS.INTL(MAX(E280,(Reprogramaciones!$T$15+7*(Reprogramaciones!$S$15-1))),MIN(F280,(Reprogramaciones!$T$15+7*(Reprogramaciones!$S$15-1))+6),11))))))))</f>
        <v/>
      </c>
    </row>
    <row r="281" customFormat="false" ht="15" hidden="false" customHeight="false" outlineLevel="0" collapsed="false">
      <c r="A281" s="32"/>
      <c r="B281" s="33"/>
      <c r="C281" s="33"/>
      <c r="D281" s="34"/>
      <c r="E281" s="35"/>
      <c r="F281" s="35"/>
      <c r="G281" s="36" t="str">
        <f aca="false">IF(OR(NOT(AND(ISNUMBER(E281),ISNUMBER(F281))),$J$2=""),"",IF(Reprogramaciones!K$9&lt;E281,0,IF(NETWORKDAYS.INTL(E281,F281,11)=0,IF(Reprogramaciones!K$9&gt;=F281,100,0),ROUND(NETWORKDAYS.INTL(E281,MIN(F281,Reprogramaciones!K$9),11)/NETWORKDAYS.INTL(E281,F281,11)*100,1)))-0)</f>
        <v/>
      </c>
      <c r="H281" s="36" t="str">
        <f aca="false">IF(OR(NOT(AND(ISNUMBER(E281),ISNUMBER(F281))),$J$2=""),"",IF(Reprogramaciones!L$9&lt;E281,0,IF(NETWORKDAYS.INTL(E281,F281,11)=0,IF(Reprogramaciones!L$9&gt;=F281,100,0),ROUND(NETWORKDAYS.INTL(E281,MIN(F281,Reprogramaciones!L$9),11)/NETWORKDAYS.INTL(E281,F281,11)*100,1)))-IF(Reprogramaciones!K$9&lt;E281,0,IF(NETWORKDAYS.INTL(E281,F281,11)=0,IF(Reprogramaciones!K$9&gt;=F281,100,0),ROUND(NETWORKDAYS.INTL(E281,MIN(F281,Reprogramaciones!K$9),11)/NETWORKDAYS.INTL(E281,F281,11)*100,1))))</f>
        <v/>
      </c>
      <c r="I281" s="36" t="str">
        <f aca="false">IF(OR(NOT(AND(ISNUMBER(E281),ISNUMBER(F281))),$J$2=""),"",IF(Reprogramaciones!M$9&lt;E281,0,IF(NETWORKDAYS.INTL(E281,F281,11)=0,IF(Reprogramaciones!M$9&gt;=F281,100,0),ROUND(NETWORKDAYS.INTL(E281,MIN(F281,Reprogramaciones!M$9),11)/NETWORKDAYS.INTL(E281,F281,11)*100,1)))-IF(Reprogramaciones!L$9&lt;E281,0,IF(NETWORKDAYS.INTL(E281,F281,11)=0,IF(Reprogramaciones!L$9&gt;=F281,100,0),ROUND(NETWORKDAYS.INTL(E281,MIN(F281,Reprogramaciones!L$9),11)/NETWORKDAYS.INTL(E281,F281,11)*100,1))))</f>
        <v/>
      </c>
      <c r="J281" s="36" t="str">
        <f aca="false">IF(OR(NOT(AND(ISNUMBER(E281),ISNUMBER(F281))),$J$2=""),"",IF(Reprogramaciones!N$9&lt;E281,0,IF(NETWORKDAYS.INTL(E281,F281,11)=0,IF(Reprogramaciones!N$9&gt;=F281,100,0),ROUND(NETWORKDAYS.INTL(E281,MIN(F281,Reprogramaciones!N$9),11)/NETWORKDAYS.INTL(E281,F281,11)*100,1)))-IF(Reprogramaciones!M$9&lt;E281,0,IF(NETWORKDAYS.INTL(E281,F281,11)=0,IF(Reprogramaciones!M$9&gt;=F281,100,0),ROUND(NETWORKDAYS.INTL(E281,MIN(F281,Reprogramaciones!M$9),11)/NETWORKDAYS.INTL(E281,F281,11)*100,1))))</f>
        <v/>
      </c>
      <c r="K281" s="36" t="str">
        <f aca="false">IF(OR(NOT(AND(ISNUMBER(E281),ISNUMBER(F281))),$J$2=""),"",IF(Reprogramaciones!O$9&lt;E281,0,IF(NETWORKDAYS.INTL(E281,F281,11)=0,IF(Reprogramaciones!O$9&gt;=F281,100,0),ROUND(NETWORKDAYS.INTL(E281,MIN(F281,Reprogramaciones!O$9),11)/NETWORKDAYS.INTL(E281,F281,11)*100,1)))-IF(Reprogramaciones!N$9&lt;E281,0,IF(NETWORKDAYS.INTL(E281,F281,11)=0,IF(Reprogramaciones!N$9&gt;=F281,100,0),ROUND(NETWORKDAYS.INTL(E281,MIN(F281,Reprogramaciones!N$9),11)/NETWORKDAYS.INTL(E281,F281,11)*100,1))))</f>
        <v/>
      </c>
      <c r="L281" s="36" t="str">
        <f aca="false">IF(OR(NOT(AND(ISNUMBER(E281),ISNUMBER(F281))),$J$2=""),"",IF(Reprogramaciones!P$9&lt;E281,0,IF(NETWORKDAYS.INTL(E281,F281,11)=0,IF(Reprogramaciones!P$9&gt;=F281,100,0),ROUND(NETWORKDAYS.INTL(E281,MIN(F281,Reprogramaciones!P$9),11)/NETWORKDAYS.INTL(E281,F281,11)*100,1)))-IF(Reprogramaciones!O$9&lt;E281,0,IF(NETWORKDAYS.INTL(E281,F281,11)=0,IF(Reprogramaciones!O$9&gt;=F281,100,0),ROUND(NETWORKDAYS.INTL(E281,MIN(F281,Reprogramaciones!O$9),11)/NETWORKDAYS.INTL(E281,F281,11)*100,1))))</f>
        <v/>
      </c>
      <c r="M281" s="36" t="str">
        <f aca="false">IF(OR(NOT(AND(ISNUMBER(E281),ISNUMBER(F281))),$J$2=""),"",IF(Reprogramaciones!Q$9&lt;E281,0,IF(NETWORKDAYS.INTL(E281,F281,11)=0,IF(Reprogramaciones!Q$9&gt;=F281,100,0),ROUND(NETWORKDAYS.INTL(E281,MIN(F281,Reprogramaciones!Q$9),11)/NETWORKDAYS.INTL(E281,F281,11)*100,1)))-IF(Reprogramaciones!P$9&lt;E281,0,IF(NETWORKDAYS.INTL(E281,F281,11)=0,IF(Reprogramaciones!P$9&gt;=F281,100,0),ROUND(NETWORKDAYS.INTL(E281,MIN(F281,Reprogramaciones!P$9),11)/NETWORKDAYS.INTL(E281,F281,11)*100,1))))</f>
        <v/>
      </c>
      <c r="N281" s="36" t="str">
        <f aca="false">IF(OR(NOT(AND(ISNUMBER(E281),ISNUMBER(F281))),$J$2=""),"",IF(Reprogramaciones!R$9&lt;E281,0,IF(NETWORKDAYS.INTL(E281,F281,11)=0,IF(Reprogramaciones!R$9&gt;=F281,100,0),ROUND(NETWORKDAYS.INTL(E281,MIN(F281,Reprogramaciones!R$9),11)/NETWORKDAYS.INTL(E281,F281,11)*100,1)))-IF(Reprogramaciones!Q$9&lt;E281,0,IF(NETWORKDAYS.INTL(E281,F281,11)=0,IF(Reprogramaciones!Q$9&gt;=F281,100,0),ROUND(NETWORKDAYS.INTL(E281,MIN(F281,Reprogramaciones!Q$9),11)/NETWORKDAYS.INTL(E281,F281,11)*100,1))))</f>
        <v/>
      </c>
      <c r="O281" s="36" t="str">
        <f aca="false">IF(OR(NOT(AND(ISNUMBER(E281),ISNUMBER(F281))),$J$2=""),"",IF(Reprogramaciones!S$9&lt;E281,0,IF(NETWORKDAYS.INTL(E281,F281,11)=0,IF(Reprogramaciones!S$9&gt;=F281,100,0),ROUND(NETWORKDAYS.INTL(E281,MIN(F281,Reprogramaciones!S$9),11)/NETWORKDAYS.INTL(E281,F281,11)*100,1)))-IF(Reprogramaciones!R$9&lt;E281,0,IF(NETWORKDAYS.INTL(E281,F281,11)=0,IF(Reprogramaciones!R$9&gt;=F281,100,0),ROUND(NETWORKDAYS.INTL(E281,MIN(F281,Reprogramaciones!R$9),11)/NETWORKDAYS.INTL(E281,F281,11)*100,1))))</f>
        <v/>
      </c>
      <c r="P281" s="36" t="str">
        <f aca="false">IF(OR(NOT(AND(ISNUMBER(E281),ISNUMBER(F281))),$J$2=""),"",IF(Reprogramaciones!T$9&lt;E281,0,IF(NETWORKDAYS.INTL(E281,F281,11)=0,IF(Reprogramaciones!T$9&gt;=F281,100,0),ROUND(NETWORKDAYS.INTL(E281,MIN(F281,Reprogramaciones!T$9),11)/NETWORKDAYS.INTL(E281,F281,11)*100,1)))-IF(Reprogramaciones!S$9&lt;E281,0,IF(NETWORKDAYS.INTL(E281,F281,11)=0,IF(Reprogramaciones!S$9&gt;=F281,100,0),ROUND(NETWORKDAYS.INTL(E281,MIN(F281,Reprogramaciones!S$9),11)/NETWORKDAYS.INTL(E281,F281,11)*100,1))))</f>
        <v/>
      </c>
      <c r="Q281" s="37"/>
      <c r="R281" s="37"/>
      <c r="S281" s="37"/>
      <c r="T281" s="37"/>
      <c r="U281" s="37"/>
      <c r="V281" s="37"/>
      <c r="W281" s="37"/>
      <c r="X281" s="37"/>
      <c r="Y281" s="37"/>
      <c r="Z281" s="37"/>
      <c r="AA281" s="37"/>
      <c r="AB281" s="37"/>
      <c r="AC281" s="37"/>
      <c r="AD281" s="37"/>
      <c r="AE281" s="37"/>
      <c r="AF281" s="37"/>
      <c r="AG281" s="38" t="str">
        <f aca="false">IF(AND(ISNUMBER(E281),ISNUMBER(F281)),NETWORKDAYS.INTL(E281,F281,11),"")</f>
        <v/>
      </c>
      <c r="AH281" s="38" t="str">
        <f aca="false">IF(OR(NOT(AND(ISNUMBER(E281),ISNUMBER(F281))),$J$2=""),"",IF(Reprogramaciones!$P$15&lt;Reprogramaciones!$T$15,0,IF(Reprogramaciones!$R$15&gt;10,MIN(100,SUM($G281:$P281)),MIN(100,SUMPRODUCT((COLUMN($G281:$P281)-COLUMN($G281)+1&lt;Reprogramaciones!$R$15)*$G281:$P281)+N(INDEX($G281:$P281,1,Reprogramaciones!$R$15))*IF(Reprogramaciones!$P$15&gt;=(Reprogramaciones!$T$15+7*(Reprogramaciones!$R$15-1))+6,1,IF(MAX(0,NETWORKDAYS.INTL(MAX(E281,(Reprogramaciones!$T$15+7*(Reprogramaciones!$R$15-1))),MIN(F281,(Reprogramaciones!$T$15+7*(Reprogramaciones!$R$15-1))+6),11))=0,0,MAX(0,NETWORKDAYS.INTL(MAX(E281,(Reprogramaciones!$T$15+7*(Reprogramaciones!$R$15-1))),MIN(F281,Reprogramaciones!$P$15),11))/MAX(0,NETWORKDAYS.INTL(MAX(E281,(Reprogramaciones!$T$15+7*(Reprogramaciones!$R$15-1))),MIN(F281,(Reprogramaciones!$T$15+7*(Reprogramaciones!$R$15-1))+6),11))))))))</f>
        <v/>
      </c>
      <c r="AI281" s="38" t="str">
        <f aca="false">IF(COUNT($Q281:$AF281)=0,"",IF(ROUND(SUM($Q281:$AF281),1)&gt;=99.5,100,MIN(100,ROUND(SUM($Q281:$AF281),1))))</f>
        <v/>
      </c>
      <c r="AJ281" s="38" t="str">
        <f aca="false">IF(OR(AH281="",AI281=""),"",AI281-AH281)</f>
        <v/>
      </c>
      <c r="AK281" s="39" t="str">
        <f aca="true">IF(AH281="","",IF(OR(Ficha!$C$10="Suspendida",Ficha!$C$10="Cancelada"),Ficha!$C$10,IF(AND(AI281&lt;&gt;"",N(AI281)&gt;=100),"Completada",IF(AND(E281&gt;TODAY(),N(AI281)=0),"Por iniciar",IF(N(AI281)+0.5&lt;AH281,"Retrasada",IF(N(AI281)+0.5&lt;DA281,IF(Reprogramaciones!$K$15&gt;0,"Al día · Sem "&amp;Reprogramaciones!$K$15&amp;" en curso","Al día · en curso"),"A tiempo"))))))</f>
        <v/>
      </c>
      <c r="AL281" s="39" t="str">
        <f aca="true">IF(AND(A281="",AND(B281="",C281="",E281="",F281="",COUNT(Q281:AF281)=0)),"",IF(AND(B281="",C281="",E281="",F281="",COUNT(Q281:AF281)=0),"Falta la partida o subpartida",IF(AND(A281&lt;&gt;"",COUNTIF($A$6:$A$305,A281)&gt;1),"Ítem repetido",IF(AND(C281="",E281="",F281="",COUNT(Q281:AF281)=0),"Título de partida",IF(OR(E281="",F281=""),"Faltan fechas",IF(OR(ISTEXT(E281),ISTEXT(F281)),"Fecha escrita como texto: usa dd/mm/aaaa",IF(F281&lt;E281,"Fin antes del inicio",IF(IF($J$2="",FALSE(),OR(E281&lt;$J$2,F281&gt;Reprogramaciones!$T$15+69)),"Fuera de las 10 semanas",IF(ABS(SUM(G281:P281)-100)&gt;0.5,"La meta no suma 100%",IF(ROUND(SUM(Q281:AF281),1)&gt;100.5,"El avance pasa de 100%",IF(MIN(Q281:AF281)&lt;0,"Avance negativo",IF(COUNTA(Q281:AF281)&gt;COUNT(Q281:AF281),"Avance escrito como texto",IF(SUMPRODUCT((Q281:AF281&gt;0)*(Q281:AF281&lt;1))&gt;0,"Avance menor a 1: escribe 50, no 50%",IF(SUMPRODUCT(ISNUMBER(Q281:AF281)*(Reprogramaciones!$K$8:$Z$8&gt;TODAY()))&gt;0,"Avance en semana que aún no llega",IF(AND(N(Reprogramaciones!$E$21)&gt;0,F281&gt;Reprogramaciones!$E$21),"Pasa el fin de la obra: registra una reprogramación",IF(AND(N(Reprogramaciones!$E$21)&gt;0,SUMPRODUCT(ISNUMBER(Q281:AF281)*(Reprogramaciones!$K$8:$Z$8&gt;Reprogramaciones!$E$21))&gt;0),"Avance después del fin de la obra: registra una reprogramación por atraso","OK"))))))))))))))))</f>
        <v/>
      </c>
      <c r="AM281" s="40" t="str">
        <f aca="false">IF(OR(OR(NOT(AND(ISNUMBER(E281),ISNUMBER(F281))),$J$2=""),1&gt;MAX(1,Reprogramaciones!$U$15)),"",IF(Reprogramaciones!K$12&gt;=7,"",IF(OR(BT281-N(0)&gt;0.05,N(Q281)&gt;0),ROUNDDOWN(ROUND(BT281,6),0)&amp;"%"&amp;IF(CJ281="",""," / "&amp;CJ281&amp;"%"),IF(AND(N(0)&gt;=99.95,CJ281&lt;&gt;"",N(CJ281)&lt;100),"Pend. "&amp;CJ281&amp;"%",""))))</f>
        <v/>
      </c>
      <c r="AN281" s="40" t="str">
        <f aca="false">IF(OR(OR(NOT(AND(ISNUMBER(E281),ISNUMBER(F281))),$J$2=""),2&gt;MAX(1,Reprogramaciones!$U$15)),"",IF(Reprogramaciones!L$12&gt;=7,"",IF(OR(BU281-N(BT281)&gt;0.05,N(R281)&gt;0),ROUNDDOWN(ROUND(BU281,6),0)&amp;"%"&amp;IF(CK281="",""," / "&amp;CK281&amp;"%"),IF(AND(N(BT281)&gt;=99.95,CK281&lt;&gt;"",N(CK281)&lt;100),"Pend. "&amp;CK281&amp;"%",""))))</f>
        <v/>
      </c>
      <c r="AO281" s="40" t="str">
        <f aca="false">IF(OR(OR(NOT(AND(ISNUMBER(E281),ISNUMBER(F281))),$J$2=""),3&gt;MAX(1,Reprogramaciones!$U$15)),"",IF(Reprogramaciones!M$12&gt;=7,"",IF(OR(BV281-N(BU281)&gt;0.05,N(S281)&gt;0),ROUNDDOWN(ROUND(BV281,6),0)&amp;"%"&amp;IF(CL281="",""," / "&amp;CL281&amp;"%"),IF(AND(N(BU281)&gt;=99.95,CL281&lt;&gt;"",N(CL281)&lt;100),"Pend. "&amp;CL281&amp;"%",""))))</f>
        <v/>
      </c>
      <c r="AP281" s="40" t="str">
        <f aca="false">IF(OR(OR(NOT(AND(ISNUMBER(E281),ISNUMBER(F281))),$J$2=""),4&gt;MAX(1,Reprogramaciones!$U$15)),"",IF(Reprogramaciones!N$12&gt;=7,"",IF(OR(BW281-N(BV281)&gt;0.05,N(T281)&gt;0),ROUNDDOWN(ROUND(BW281,6),0)&amp;"%"&amp;IF(CM281="",""," / "&amp;CM281&amp;"%"),IF(AND(N(BV281)&gt;=99.95,CM281&lt;&gt;"",N(CM281)&lt;100),"Pend. "&amp;CM281&amp;"%",""))))</f>
        <v/>
      </c>
      <c r="AQ281" s="40" t="str">
        <f aca="false">IF(OR(OR(NOT(AND(ISNUMBER(E281),ISNUMBER(F281))),$J$2=""),5&gt;MAX(1,Reprogramaciones!$U$15)),"",IF(Reprogramaciones!O$12&gt;=7,"",IF(OR(BX281-N(BW281)&gt;0.05,N(U281)&gt;0),ROUNDDOWN(ROUND(BX281,6),0)&amp;"%"&amp;IF(CN281="",""," / "&amp;CN281&amp;"%"),IF(AND(N(BW281)&gt;=99.95,CN281&lt;&gt;"",N(CN281)&lt;100),"Pend. "&amp;CN281&amp;"%",""))))</f>
        <v/>
      </c>
      <c r="AR281" s="40" t="str">
        <f aca="false">IF(OR(OR(NOT(AND(ISNUMBER(E281),ISNUMBER(F281))),$J$2=""),6&gt;MAX(1,Reprogramaciones!$U$15)),"",IF(Reprogramaciones!P$12&gt;=7,"",IF(OR(BY281-N(BX281)&gt;0.05,N(V281)&gt;0),ROUNDDOWN(ROUND(BY281,6),0)&amp;"%"&amp;IF(CO281="",""," / "&amp;CO281&amp;"%"),IF(AND(N(BX281)&gt;=99.95,CO281&lt;&gt;"",N(CO281)&lt;100),"Pend. "&amp;CO281&amp;"%",""))))</f>
        <v/>
      </c>
      <c r="AS281" s="40" t="str">
        <f aca="false">IF(OR(OR(NOT(AND(ISNUMBER(E281),ISNUMBER(F281))),$J$2=""),7&gt;MAX(1,Reprogramaciones!$U$15)),"",IF(Reprogramaciones!Q$12&gt;=7,"",IF(OR(BZ281-N(BY281)&gt;0.05,N(W281)&gt;0),ROUNDDOWN(ROUND(BZ281,6),0)&amp;"%"&amp;IF(CP281="",""," / "&amp;CP281&amp;"%"),IF(AND(N(BY281)&gt;=99.95,CP281&lt;&gt;"",N(CP281)&lt;100),"Pend. "&amp;CP281&amp;"%",""))))</f>
        <v/>
      </c>
      <c r="AT281" s="40" t="str">
        <f aca="false">IF(OR(OR(NOT(AND(ISNUMBER(E281),ISNUMBER(F281))),$J$2=""),8&gt;MAX(1,Reprogramaciones!$U$15)),"",IF(Reprogramaciones!R$12&gt;=7,"",IF(OR(CA281-N(BZ281)&gt;0.05,N(X281)&gt;0),ROUNDDOWN(ROUND(CA281,6),0)&amp;"%"&amp;IF(CQ281="",""," / "&amp;CQ281&amp;"%"),IF(AND(N(BZ281)&gt;=99.95,CQ281&lt;&gt;"",N(CQ281)&lt;100),"Pend. "&amp;CQ281&amp;"%",""))))</f>
        <v/>
      </c>
      <c r="AU281" s="40" t="str">
        <f aca="false">IF(OR(OR(NOT(AND(ISNUMBER(E281),ISNUMBER(F281))),$J$2=""),9&gt;MAX(1,Reprogramaciones!$U$15)),"",IF(Reprogramaciones!S$12&gt;=7,"",IF(OR(CB281-N(CA281)&gt;0.05,N(Y281)&gt;0),ROUNDDOWN(ROUND(CB281,6),0)&amp;"%"&amp;IF(CR281="",""," / "&amp;CR281&amp;"%"),IF(AND(N(CA281)&gt;=99.95,CR281&lt;&gt;"",N(CR281)&lt;100),"Pend. "&amp;CR281&amp;"%",""))))</f>
        <v/>
      </c>
      <c r="AV281" s="40" t="str">
        <f aca="false">IF(OR(OR(NOT(AND(ISNUMBER(E281),ISNUMBER(F281))),$J$2=""),10&gt;MAX(1,Reprogramaciones!$U$15)),"",IF(Reprogramaciones!T$12&gt;=7,"",IF(OR(CC281-N(CB281)&gt;0.05,N(Z281)&gt;0),ROUNDDOWN(ROUND(CC281,6),0)&amp;"%"&amp;IF(CS281="",""," / "&amp;CS281&amp;"%"),IF(AND(N(CB281)&gt;=99.95,CS281&lt;&gt;"",N(CS281)&lt;100),"Pend. "&amp;CS281&amp;"%",""))))</f>
        <v/>
      </c>
      <c r="AW281" s="40" t="str">
        <f aca="false">IF(OR(OR(NOT(AND(ISNUMBER(E281),ISNUMBER(F281))),$J$2=""),11&gt;MAX(1,Reprogramaciones!$U$15)),"",IF(Reprogramaciones!U$12&gt;=7,"",IF(OR(CD281-N(CC281)&gt;0.05,N(AA281)&gt;0),ROUNDDOWN(ROUND(CD281,6),0)&amp;"%"&amp;IF(CT281="",""," / "&amp;CT281&amp;"%"),IF(AND(N(CC281)&gt;=99.95,CT281&lt;&gt;"",N(CT281)&lt;100),"Pend. "&amp;CT281&amp;"%",""))))</f>
        <v/>
      </c>
      <c r="AX281" s="40" t="str">
        <f aca="false">IF(OR(OR(NOT(AND(ISNUMBER(E281),ISNUMBER(F281))),$J$2=""),12&gt;MAX(1,Reprogramaciones!$U$15)),"",IF(Reprogramaciones!V$12&gt;=7,"",IF(OR(CE281-N(CD281)&gt;0.05,N(AB281)&gt;0),ROUNDDOWN(ROUND(CE281,6),0)&amp;"%"&amp;IF(CU281="",""," / "&amp;CU281&amp;"%"),IF(AND(N(CD281)&gt;=99.95,CU281&lt;&gt;"",N(CU281)&lt;100),"Pend. "&amp;CU281&amp;"%",""))))</f>
        <v/>
      </c>
      <c r="AY281" s="40" t="str">
        <f aca="false">IF(OR(OR(NOT(AND(ISNUMBER(E281),ISNUMBER(F281))),$J$2=""),13&gt;MAX(1,Reprogramaciones!$U$15)),"",IF(Reprogramaciones!W$12&gt;=7,"",IF(OR(CF281-N(CE281)&gt;0.05,N(AC281)&gt;0),ROUNDDOWN(ROUND(CF281,6),0)&amp;"%"&amp;IF(CV281="",""," / "&amp;CV281&amp;"%"),IF(AND(N(CE281)&gt;=99.95,CV281&lt;&gt;"",N(CV281)&lt;100),"Pend. "&amp;CV281&amp;"%",""))))</f>
        <v/>
      </c>
      <c r="AZ281" s="40" t="str">
        <f aca="false">IF(OR(OR(NOT(AND(ISNUMBER(E281),ISNUMBER(F281))),$J$2=""),14&gt;MAX(1,Reprogramaciones!$U$15)),"",IF(Reprogramaciones!X$12&gt;=7,"",IF(OR(CG281-N(CF281)&gt;0.05,N(AD281)&gt;0),ROUNDDOWN(ROUND(CG281,6),0)&amp;"%"&amp;IF(CW281="",""," / "&amp;CW281&amp;"%"),IF(AND(N(CF281)&gt;=99.95,CW281&lt;&gt;"",N(CW281)&lt;100),"Pend. "&amp;CW281&amp;"%",""))))</f>
        <v/>
      </c>
      <c r="BA281" s="40" t="str">
        <f aca="false">IF(OR(OR(NOT(AND(ISNUMBER(E281),ISNUMBER(F281))),$J$2=""),15&gt;MAX(1,Reprogramaciones!$U$15)),"",IF(Reprogramaciones!Y$12&gt;=7,"",IF(OR(CH281-N(CG281)&gt;0.05,N(AE281)&gt;0),ROUNDDOWN(ROUND(CH281,6),0)&amp;"%"&amp;IF(CX281="",""," / "&amp;CX281&amp;"%"),IF(AND(N(CG281)&gt;=99.95,CX281&lt;&gt;"",N(CX281)&lt;100),"Pend. "&amp;CX281&amp;"%",""))))</f>
        <v/>
      </c>
      <c r="BB281" s="40" t="str">
        <f aca="false">IF(OR(OR(NOT(AND(ISNUMBER(E281),ISNUMBER(F281))),$J$2=""),16&gt;MAX(1,Reprogramaciones!$U$15)),"",IF(Reprogramaciones!Z$12&gt;=7,"",IF(OR(CI281-N(CH281)&gt;0.05,N(AF281)&gt;0),ROUNDDOWN(ROUND(CI281,6),0)&amp;"%"&amp;IF(CY281="",""," / "&amp;CY281&amp;"%"),IF(AND(N(CH281)&gt;=99.95,CY281&lt;&gt;"",N(CY281)&lt;100),"Pend. "&amp;CY281&amp;"%",""))))</f>
        <v/>
      </c>
      <c r="BC281" s="31" t="n">
        <f aca="false">IF(AND(ISNUMBER(E281),ISNUMBER(F281)),MAX(1,NETWORKDAYS.INTL(E281,F281,11)),0)</f>
        <v>0</v>
      </c>
      <c r="BD281" s="1" t="str">
        <f aca="false">IF(OR(NOT(AND(ISNUMBER(E281),ISNUMBER(F281))),$J$2=""),"",MIN(100,ROUND(SUM($G281:G281),1)))</f>
        <v/>
      </c>
      <c r="BE281" s="1" t="str">
        <f aca="false">IF(OR(NOT(AND(ISNUMBER(E281),ISNUMBER(F281))),$J$2=""),"",MIN(100,ROUND(SUM($G281:H281),1)))</f>
        <v/>
      </c>
      <c r="BF281" s="1" t="str">
        <f aca="false">IF(OR(NOT(AND(ISNUMBER(E281),ISNUMBER(F281))),$J$2=""),"",MIN(100,ROUND(SUM($G281:I281),1)))</f>
        <v/>
      </c>
      <c r="BG281" s="1" t="str">
        <f aca="false">IF(OR(NOT(AND(ISNUMBER(E281),ISNUMBER(F281))),$J$2=""),"",MIN(100,ROUND(SUM($G281:J281),1)))</f>
        <v/>
      </c>
      <c r="BH281" s="1" t="str">
        <f aca="false">IF(OR(NOT(AND(ISNUMBER(E281),ISNUMBER(F281))),$J$2=""),"",MIN(100,ROUND(SUM($G281:K281),1)))</f>
        <v/>
      </c>
      <c r="BI281" s="1" t="str">
        <f aca="false">IF(OR(NOT(AND(ISNUMBER(E281),ISNUMBER(F281))),$J$2=""),"",MIN(100,ROUND(SUM($G281:L281),1)))</f>
        <v/>
      </c>
      <c r="BJ281" s="1" t="str">
        <f aca="false">IF(OR(NOT(AND(ISNUMBER(E281),ISNUMBER(F281))),$J$2=""),"",MIN(100,ROUND(SUM($G281:M281),1)))</f>
        <v/>
      </c>
      <c r="BK281" s="1" t="str">
        <f aca="false">IF(OR(NOT(AND(ISNUMBER(E281),ISNUMBER(F281))),$J$2=""),"",MIN(100,ROUND(SUM($G281:N281),1)))</f>
        <v/>
      </c>
      <c r="BL281" s="1" t="str">
        <f aca="false">IF(OR(NOT(AND(ISNUMBER(E281),ISNUMBER(F281))),$J$2=""),"",MIN(100,ROUND(SUM($G281:O281),1)))</f>
        <v/>
      </c>
      <c r="BM281" s="1" t="str">
        <f aca="false">IF(OR(NOT(AND(ISNUMBER(E281),ISNUMBER(F281))),$J$2=""),"",MIN(100,ROUND(SUM($G281:P281),1)))</f>
        <v/>
      </c>
      <c r="BN281" s="1" t="str">
        <f aca="false">IF(OR(NOT(AND(ISNUMBER(E281),ISNUMBER(F281))),$J$2=""),"",MIN(100,ROUND(SUM($G281:P281),1)))</f>
        <v/>
      </c>
      <c r="BO281" s="1" t="str">
        <f aca="false">IF(OR(NOT(AND(ISNUMBER(E281),ISNUMBER(F281))),$J$2=""),"",MIN(100,ROUND(SUM($G281:P281),1)))</f>
        <v/>
      </c>
      <c r="BP281" s="1" t="str">
        <f aca="false">IF(OR(NOT(AND(ISNUMBER(E281),ISNUMBER(F281))),$J$2=""),"",MIN(100,ROUND(SUM($G281:P281),1)))</f>
        <v/>
      </c>
      <c r="BQ281" s="1" t="str">
        <f aca="false">IF(OR(NOT(AND(ISNUMBER(E281),ISNUMBER(F281))),$J$2=""),"",MIN(100,ROUND(SUM($G281:P281),1)))</f>
        <v/>
      </c>
      <c r="BR281" s="1" t="str">
        <f aca="false">IF(OR(NOT(AND(ISNUMBER(E281),ISNUMBER(F281))),$J$2=""),"",MIN(100,ROUND(SUM($G281:P281),1)))</f>
        <v/>
      </c>
      <c r="BS281" s="1" t="str">
        <f aca="false">IF(OR(NOT(AND(ISNUMBER(E281),ISNUMBER(F281))),$J$2=""),"",MIN(100,ROUND(SUM($G281:P281),1)))</f>
        <v/>
      </c>
      <c r="BT281" s="1" t="str">
        <f aca="false">IF(OR(NOT(AND(ISNUMBER(E281),ISNUMBER(F281))),$J$2=""),"",IF(Reprogramaciones!K$13&lt;Reprogramaciones!$T$15,0,IF(Reprogramaciones!K$14&gt;10,MIN(100,SUM($G281:$P281)),MIN(100,SUMPRODUCT((COLUMN($G281:$P281)-COLUMN($G281)+1&lt;Reprogramaciones!K$14)*$G281:$P281)+N(INDEX($G281:$P281,1,Reprogramaciones!K$14))*IF(Reprogramaciones!K$13&gt;=(Reprogramaciones!$T$15+7*(Reprogramaciones!K$14-1))+6,1,IF(MAX(0,NETWORKDAYS.INTL(MAX(E281,(Reprogramaciones!$T$15+7*(Reprogramaciones!K$14-1))),MIN(F281,(Reprogramaciones!$T$15+7*(Reprogramaciones!K$14-1))+6),11))=0,0,MAX(0,NETWORKDAYS.INTL(MAX(E281,(Reprogramaciones!$T$15+7*(Reprogramaciones!K$14-1))),MIN(F281,Reprogramaciones!K$13),11))/MAX(0,NETWORKDAYS.INTL(MAX(E281,(Reprogramaciones!$T$15+7*(Reprogramaciones!K$14-1))),MIN(F281,(Reprogramaciones!$T$15+7*(Reprogramaciones!K$14-1))+6),11))))))))</f>
        <v/>
      </c>
      <c r="BU281" s="1" t="str">
        <f aca="false">IF(OR(NOT(AND(ISNUMBER(E281),ISNUMBER(F281))),$J$2=""),"",IF(Reprogramaciones!L$13&lt;Reprogramaciones!$T$15,0,IF(Reprogramaciones!L$14&gt;10,MIN(100,SUM($G281:$P281)),MIN(100,SUMPRODUCT((COLUMN($G281:$P281)-COLUMN($G281)+1&lt;Reprogramaciones!L$14)*$G281:$P281)+N(INDEX($G281:$P281,1,Reprogramaciones!L$14))*IF(Reprogramaciones!L$13&gt;=(Reprogramaciones!$T$15+7*(Reprogramaciones!L$14-1))+6,1,IF(MAX(0,NETWORKDAYS.INTL(MAX(E281,(Reprogramaciones!$T$15+7*(Reprogramaciones!L$14-1))),MIN(F281,(Reprogramaciones!$T$15+7*(Reprogramaciones!L$14-1))+6),11))=0,0,MAX(0,NETWORKDAYS.INTL(MAX(E281,(Reprogramaciones!$T$15+7*(Reprogramaciones!L$14-1))),MIN(F281,Reprogramaciones!L$13),11))/MAX(0,NETWORKDAYS.INTL(MAX(E281,(Reprogramaciones!$T$15+7*(Reprogramaciones!L$14-1))),MIN(F281,(Reprogramaciones!$T$15+7*(Reprogramaciones!L$14-1))+6),11))))))))</f>
        <v/>
      </c>
      <c r="BV281" s="1" t="str">
        <f aca="false">IF(OR(NOT(AND(ISNUMBER(E281),ISNUMBER(F281))),$J$2=""),"",IF(Reprogramaciones!M$13&lt;Reprogramaciones!$T$15,0,IF(Reprogramaciones!M$14&gt;10,MIN(100,SUM($G281:$P281)),MIN(100,SUMPRODUCT((COLUMN($G281:$P281)-COLUMN($G281)+1&lt;Reprogramaciones!M$14)*$G281:$P281)+N(INDEX($G281:$P281,1,Reprogramaciones!M$14))*IF(Reprogramaciones!M$13&gt;=(Reprogramaciones!$T$15+7*(Reprogramaciones!M$14-1))+6,1,IF(MAX(0,NETWORKDAYS.INTL(MAX(E281,(Reprogramaciones!$T$15+7*(Reprogramaciones!M$14-1))),MIN(F281,(Reprogramaciones!$T$15+7*(Reprogramaciones!M$14-1))+6),11))=0,0,MAX(0,NETWORKDAYS.INTL(MAX(E281,(Reprogramaciones!$T$15+7*(Reprogramaciones!M$14-1))),MIN(F281,Reprogramaciones!M$13),11))/MAX(0,NETWORKDAYS.INTL(MAX(E281,(Reprogramaciones!$T$15+7*(Reprogramaciones!M$14-1))),MIN(F281,(Reprogramaciones!$T$15+7*(Reprogramaciones!M$14-1))+6),11))))))))</f>
        <v/>
      </c>
      <c r="BW281" s="1" t="str">
        <f aca="false">IF(OR(NOT(AND(ISNUMBER(E281),ISNUMBER(F281))),$J$2=""),"",IF(Reprogramaciones!N$13&lt;Reprogramaciones!$T$15,0,IF(Reprogramaciones!N$14&gt;10,MIN(100,SUM($G281:$P281)),MIN(100,SUMPRODUCT((COLUMN($G281:$P281)-COLUMN($G281)+1&lt;Reprogramaciones!N$14)*$G281:$P281)+N(INDEX($G281:$P281,1,Reprogramaciones!N$14))*IF(Reprogramaciones!N$13&gt;=(Reprogramaciones!$T$15+7*(Reprogramaciones!N$14-1))+6,1,IF(MAX(0,NETWORKDAYS.INTL(MAX(E281,(Reprogramaciones!$T$15+7*(Reprogramaciones!N$14-1))),MIN(F281,(Reprogramaciones!$T$15+7*(Reprogramaciones!N$14-1))+6),11))=0,0,MAX(0,NETWORKDAYS.INTL(MAX(E281,(Reprogramaciones!$T$15+7*(Reprogramaciones!N$14-1))),MIN(F281,Reprogramaciones!N$13),11))/MAX(0,NETWORKDAYS.INTL(MAX(E281,(Reprogramaciones!$T$15+7*(Reprogramaciones!N$14-1))),MIN(F281,(Reprogramaciones!$T$15+7*(Reprogramaciones!N$14-1))+6),11))))))))</f>
        <v/>
      </c>
      <c r="BX281" s="1" t="str">
        <f aca="false">IF(OR(NOT(AND(ISNUMBER(E281),ISNUMBER(F281))),$J$2=""),"",IF(Reprogramaciones!O$13&lt;Reprogramaciones!$T$15,0,IF(Reprogramaciones!O$14&gt;10,MIN(100,SUM($G281:$P281)),MIN(100,SUMPRODUCT((COLUMN($G281:$P281)-COLUMN($G281)+1&lt;Reprogramaciones!O$14)*$G281:$P281)+N(INDEX($G281:$P281,1,Reprogramaciones!O$14))*IF(Reprogramaciones!O$13&gt;=(Reprogramaciones!$T$15+7*(Reprogramaciones!O$14-1))+6,1,IF(MAX(0,NETWORKDAYS.INTL(MAX(E281,(Reprogramaciones!$T$15+7*(Reprogramaciones!O$14-1))),MIN(F281,(Reprogramaciones!$T$15+7*(Reprogramaciones!O$14-1))+6),11))=0,0,MAX(0,NETWORKDAYS.INTL(MAX(E281,(Reprogramaciones!$T$15+7*(Reprogramaciones!O$14-1))),MIN(F281,Reprogramaciones!O$13),11))/MAX(0,NETWORKDAYS.INTL(MAX(E281,(Reprogramaciones!$T$15+7*(Reprogramaciones!O$14-1))),MIN(F281,(Reprogramaciones!$T$15+7*(Reprogramaciones!O$14-1))+6),11))))))))</f>
        <v/>
      </c>
      <c r="BY281" s="1" t="str">
        <f aca="false">IF(OR(NOT(AND(ISNUMBER(E281),ISNUMBER(F281))),$J$2=""),"",IF(Reprogramaciones!P$13&lt;Reprogramaciones!$T$15,0,IF(Reprogramaciones!P$14&gt;10,MIN(100,SUM($G281:$P281)),MIN(100,SUMPRODUCT((COLUMN($G281:$P281)-COLUMN($G281)+1&lt;Reprogramaciones!P$14)*$G281:$P281)+N(INDEX($G281:$P281,1,Reprogramaciones!P$14))*IF(Reprogramaciones!P$13&gt;=(Reprogramaciones!$T$15+7*(Reprogramaciones!P$14-1))+6,1,IF(MAX(0,NETWORKDAYS.INTL(MAX(E281,(Reprogramaciones!$T$15+7*(Reprogramaciones!P$14-1))),MIN(F281,(Reprogramaciones!$T$15+7*(Reprogramaciones!P$14-1))+6),11))=0,0,MAX(0,NETWORKDAYS.INTL(MAX(E281,(Reprogramaciones!$T$15+7*(Reprogramaciones!P$14-1))),MIN(F281,Reprogramaciones!P$13),11))/MAX(0,NETWORKDAYS.INTL(MAX(E281,(Reprogramaciones!$T$15+7*(Reprogramaciones!P$14-1))),MIN(F281,(Reprogramaciones!$T$15+7*(Reprogramaciones!P$14-1))+6),11))))))))</f>
        <v/>
      </c>
      <c r="BZ281" s="1" t="str">
        <f aca="false">IF(OR(NOT(AND(ISNUMBER(E281),ISNUMBER(F281))),$J$2=""),"",IF(Reprogramaciones!Q$13&lt;Reprogramaciones!$T$15,0,IF(Reprogramaciones!Q$14&gt;10,MIN(100,SUM($G281:$P281)),MIN(100,SUMPRODUCT((COLUMN($G281:$P281)-COLUMN($G281)+1&lt;Reprogramaciones!Q$14)*$G281:$P281)+N(INDEX($G281:$P281,1,Reprogramaciones!Q$14))*IF(Reprogramaciones!Q$13&gt;=(Reprogramaciones!$T$15+7*(Reprogramaciones!Q$14-1))+6,1,IF(MAX(0,NETWORKDAYS.INTL(MAX(E281,(Reprogramaciones!$T$15+7*(Reprogramaciones!Q$14-1))),MIN(F281,(Reprogramaciones!$T$15+7*(Reprogramaciones!Q$14-1))+6),11))=0,0,MAX(0,NETWORKDAYS.INTL(MAX(E281,(Reprogramaciones!$T$15+7*(Reprogramaciones!Q$14-1))),MIN(F281,Reprogramaciones!Q$13),11))/MAX(0,NETWORKDAYS.INTL(MAX(E281,(Reprogramaciones!$T$15+7*(Reprogramaciones!Q$14-1))),MIN(F281,(Reprogramaciones!$T$15+7*(Reprogramaciones!Q$14-1))+6),11))))))))</f>
        <v/>
      </c>
      <c r="CA281" s="1" t="str">
        <f aca="false">IF(OR(NOT(AND(ISNUMBER(E281),ISNUMBER(F281))),$J$2=""),"",IF(Reprogramaciones!R$13&lt;Reprogramaciones!$T$15,0,IF(Reprogramaciones!R$14&gt;10,MIN(100,SUM($G281:$P281)),MIN(100,SUMPRODUCT((COLUMN($G281:$P281)-COLUMN($G281)+1&lt;Reprogramaciones!R$14)*$G281:$P281)+N(INDEX($G281:$P281,1,Reprogramaciones!R$14))*IF(Reprogramaciones!R$13&gt;=(Reprogramaciones!$T$15+7*(Reprogramaciones!R$14-1))+6,1,IF(MAX(0,NETWORKDAYS.INTL(MAX(E281,(Reprogramaciones!$T$15+7*(Reprogramaciones!R$14-1))),MIN(F281,(Reprogramaciones!$T$15+7*(Reprogramaciones!R$14-1))+6),11))=0,0,MAX(0,NETWORKDAYS.INTL(MAX(E281,(Reprogramaciones!$T$15+7*(Reprogramaciones!R$14-1))),MIN(F281,Reprogramaciones!R$13),11))/MAX(0,NETWORKDAYS.INTL(MAX(E281,(Reprogramaciones!$T$15+7*(Reprogramaciones!R$14-1))),MIN(F281,(Reprogramaciones!$T$15+7*(Reprogramaciones!R$14-1))+6),11))))))))</f>
        <v/>
      </c>
      <c r="CB281" s="1" t="str">
        <f aca="false">IF(OR(NOT(AND(ISNUMBER(E281),ISNUMBER(F281))),$J$2=""),"",IF(Reprogramaciones!S$13&lt;Reprogramaciones!$T$15,0,IF(Reprogramaciones!S$14&gt;10,MIN(100,SUM($G281:$P281)),MIN(100,SUMPRODUCT((COLUMN($G281:$P281)-COLUMN($G281)+1&lt;Reprogramaciones!S$14)*$G281:$P281)+N(INDEX($G281:$P281,1,Reprogramaciones!S$14))*IF(Reprogramaciones!S$13&gt;=(Reprogramaciones!$T$15+7*(Reprogramaciones!S$14-1))+6,1,IF(MAX(0,NETWORKDAYS.INTL(MAX(E281,(Reprogramaciones!$T$15+7*(Reprogramaciones!S$14-1))),MIN(F281,(Reprogramaciones!$T$15+7*(Reprogramaciones!S$14-1))+6),11))=0,0,MAX(0,NETWORKDAYS.INTL(MAX(E281,(Reprogramaciones!$T$15+7*(Reprogramaciones!S$14-1))),MIN(F281,Reprogramaciones!S$13),11))/MAX(0,NETWORKDAYS.INTL(MAX(E281,(Reprogramaciones!$T$15+7*(Reprogramaciones!S$14-1))),MIN(F281,(Reprogramaciones!$T$15+7*(Reprogramaciones!S$14-1))+6),11))))))))</f>
        <v/>
      </c>
      <c r="CC281" s="1" t="str">
        <f aca="false">IF(OR(NOT(AND(ISNUMBER(E281),ISNUMBER(F281))),$J$2=""),"",IF(Reprogramaciones!T$13&lt;Reprogramaciones!$T$15,0,IF(Reprogramaciones!T$14&gt;10,MIN(100,SUM($G281:$P281)),MIN(100,SUMPRODUCT((COLUMN($G281:$P281)-COLUMN($G281)+1&lt;Reprogramaciones!T$14)*$G281:$P281)+N(INDEX($G281:$P281,1,Reprogramaciones!T$14))*IF(Reprogramaciones!T$13&gt;=(Reprogramaciones!$T$15+7*(Reprogramaciones!T$14-1))+6,1,IF(MAX(0,NETWORKDAYS.INTL(MAX(E281,(Reprogramaciones!$T$15+7*(Reprogramaciones!T$14-1))),MIN(F281,(Reprogramaciones!$T$15+7*(Reprogramaciones!T$14-1))+6),11))=0,0,MAX(0,NETWORKDAYS.INTL(MAX(E281,(Reprogramaciones!$T$15+7*(Reprogramaciones!T$14-1))),MIN(F281,Reprogramaciones!T$13),11))/MAX(0,NETWORKDAYS.INTL(MAX(E281,(Reprogramaciones!$T$15+7*(Reprogramaciones!T$14-1))),MIN(F281,(Reprogramaciones!$T$15+7*(Reprogramaciones!T$14-1))+6),11))))))))</f>
        <v/>
      </c>
      <c r="CD281" s="1" t="str">
        <f aca="false">IF(OR(NOT(AND(ISNUMBER(E281),ISNUMBER(F281))),$J$2=""),"",IF(Reprogramaciones!U$13&lt;Reprogramaciones!$T$15,0,IF(Reprogramaciones!U$14&gt;10,MIN(100,SUM($G281:$P281)),MIN(100,SUMPRODUCT((COLUMN($G281:$P281)-COLUMN($G281)+1&lt;Reprogramaciones!U$14)*$G281:$P281)+N(INDEX($G281:$P281,1,Reprogramaciones!U$14))*IF(Reprogramaciones!U$13&gt;=(Reprogramaciones!$T$15+7*(Reprogramaciones!U$14-1))+6,1,IF(MAX(0,NETWORKDAYS.INTL(MAX(E281,(Reprogramaciones!$T$15+7*(Reprogramaciones!U$14-1))),MIN(F281,(Reprogramaciones!$T$15+7*(Reprogramaciones!U$14-1))+6),11))=0,0,MAX(0,NETWORKDAYS.INTL(MAX(E281,(Reprogramaciones!$T$15+7*(Reprogramaciones!U$14-1))),MIN(F281,Reprogramaciones!U$13),11))/MAX(0,NETWORKDAYS.INTL(MAX(E281,(Reprogramaciones!$T$15+7*(Reprogramaciones!U$14-1))),MIN(F281,(Reprogramaciones!$T$15+7*(Reprogramaciones!U$14-1))+6),11))))))))</f>
        <v/>
      </c>
      <c r="CE281" s="1" t="str">
        <f aca="false">IF(OR(NOT(AND(ISNUMBER(E281),ISNUMBER(F281))),$J$2=""),"",IF(Reprogramaciones!V$13&lt;Reprogramaciones!$T$15,0,IF(Reprogramaciones!V$14&gt;10,MIN(100,SUM($G281:$P281)),MIN(100,SUMPRODUCT((COLUMN($G281:$P281)-COLUMN($G281)+1&lt;Reprogramaciones!V$14)*$G281:$P281)+N(INDEX($G281:$P281,1,Reprogramaciones!V$14))*IF(Reprogramaciones!V$13&gt;=(Reprogramaciones!$T$15+7*(Reprogramaciones!V$14-1))+6,1,IF(MAX(0,NETWORKDAYS.INTL(MAX(E281,(Reprogramaciones!$T$15+7*(Reprogramaciones!V$14-1))),MIN(F281,(Reprogramaciones!$T$15+7*(Reprogramaciones!V$14-1))+6),11))=0,0,MAX(0,NETWORKDAYS.INTL(MAX(E281,(Reprogramaciones!$T$15+7*(Reprogramaciones!V$14-1))),MIN(F281,Reprogramaciones!V$13),11))/MAX(0,NETWORKDAYS.INTL(MAX(E281,(Reprogramaciones!$T$15+7*(Reprogramaciones!V$14-1))),MIN(F281,(Reprogramaciones!$T$15+7*(Reprogramaciones!V$14-1))+6),11))))))))</f>
        <v/>
      </c>
      <c r="CF281" s="1" t="str">
        <f aca="false">IF(OR(NOT(AND(ISNUMBER(E281),ISNUMBER(F281))),$J$2=""),"",IF(Reprogramaciones!W$13&lt;Reprogramaciones!$T$15,0,IF(Reprogramaciones!W$14&gt;10,MIN(100,SUM($G281:$P281)),MIN(100,SUMPRODUCT((COLUMN($G281:$P281)-COLUMN($G281)+1&lt;Reprogramaciones!W$14)*$G281:$P281)+N(INDEX($G281:$P281,1,Reprogramaciones!W$14))*IF(Reprogramaciones!W$13&gt;=(Reprogramaciones!$T$15+7*(Reprogramaciones!W$14-1))+6,1,IF(MAX(0,NETWORKDAYS.INTL(MAX(E281,(Reprogramaciones!$T$15+7*(Reprogramaciones!W$14-1))),MIN(F281,(Reprogramaciones!$T$15+7*(Reprogramaciones!W$14-1))+6),11))=0,0,MAX(0,NETWORKDAYS.INTL(MAX(E281,(Reprogramaciones!$T$15+7*(Reprogramaciones!W$14-1))),MIN(F281,Reprogramaciones!W$13),11))/MAX(0,NETWORKDAYS.INTL(MAX(E281,(Reprogramaciones!$T$15+7*(Reprogramaciones!W$14-1))),MIN(F281,(Reprogramaciones!$T$15+7*(Reprogramaciones!W$14-1))+6),11))))))))</f>
        <v/>
      </c>
      <c r="CG281" s="1" t="str">
        <f aca="false">IF(OR(NOT(AND(ISNUMBER(E281),ISNUMBER(F281))),$J$2=""),"",IF(Reprogramaciones!X$13&lt;Reprogramaciones!$T$15,0,IF(Reprogramaciones!X$14&gt;10,MIN(100,SUM($G281:$P281)),MIN(100,SUMPRODUCT((COLUMN($G281:$P281)-COLUMN($G281)+1&lt;Reprogramaciones!X$14)*$G281:$P281)+N(INDEX($G281:$P281,1,Reprogramaciones!X$14))*IF(Reprogramaciones!X$13&gt;=(Reprogramaciones!$T$15+7*(Reprogramaciones!X$14-1))+6,1,IF(MAX(0,NETWORKDAYS.INTL(MAX(E281,(Reprogramaciones!$T$15+7*(Reprogramaciones!X$14-1))),MIN(F281,(Reprogramaciones!$T$15+7*(Reprogramaciones!X$14-1))+6),11))=0,0,MAX(0,NETWORKDAYS.INTL(MAX(E281,(Reprogramaciones!$T$15+7*(Reprogramaciones!X$14-1))),MIN(F281,Reprogramaciones!X$13),11))/MAX(0,NETWORKDAYS.INTL(MAX(E281,(Reprogramaciones!$T$15+7*(Reprogramaciones!X$14-1))),MIN(F281,(Reprogramaciones!$T$15+7*(Reprogramaciones!X$14-1))+6),11))))))))</f>
        <v/>
      </c>
      <c r="CH281" s="1" t="str">
        <f aca="false">IF(OR(NOT(AND(ISNUMBER(E281),ISNUMBER(F281))),$J$2=""),"",IF(Reprogramaciones!Y$13&lt;Reprogramaciones!$T$15,0,IF(Reprogramaciones!Y$14&gt;10,MIN(100,SUM($G281:$P281)),MIN(100,SUMPRODUCT((COLUMN($G281:$P281)-COLUMN($G281)+1&lt;Reprogramaciones!Y$14)*$G281:$P281)+N(INDEX($G281:$P281,1,Reprogramaciones!Y$14))*IF(Reprogramaciones!Y$13&gt;=(Reprogramaciones!$T$15+7*(Reprogramaciones!Y$14-1))+6,1,IF(MAX(0,NETWORKDAYS.INTL(MAX(E281,(Reprogramaciones!$T$15+7*(Reprogramaciones!Y$14-1))),MIN(F281,(Reprogramaciones!$T$15+7*(Reprogramaciones!Y$14-1))+6),11))=0,0,MAX(0,NETWORKDAYS.INTL(MAX(E281,(Reprogramaciones!$T$15+7*(Reprogramaciones!Y$14-1))),MIN(F281,Reprogramaciones!Y$13),11))/MAX(0,NETWORKDAYS.INTL(MAX(E281,(Reprogramaciones!$T$15+7*(Reprogramaciones!Y$14-1))),MIN(F281,(Reprogramaciones!$T$15+7*(Reprogramaciones!Y$14-1))+6),11))))))))</f>
        <v/>
      </c>
      <c r="CI281" s="1" t="str">
        <f aca="false">IF(OR(NOT(AND(ISNUMBER(E281),ISNUMBER(F281))),$J$2=""),"",IF(Reprogramaciones!Z$13&lt;Reprogramaciones!$T$15,0,IF(Reprogramaciones!Z$14&gt;10,MIN(100,SUM($G281:$P281)),MIN(100,SUMPRODUCT((COLUMN($G281:$P281)-COLUMN($G281)+1&lt;Reprogramaciones!Z$14)*$G281:$P281)+N(INDEX($G281:$P281,1,Reprogramaciones!Z$14))*IF(Reprogramaciones!Z$13&gt;=(Reprogramaciones!$T$15+7*(Reprogramaciones!Z$14-1))+6,1,IF(MAX(0,NETWORKDAYS.INTL(MAX(E281,(Reprogramaciones!$T$15+7*(Reprogramaciones!Z$14-1))),MIN(F281,(Reprogramaciones!$T$15+7*(Reprogramaciones!Z$14-1))+6),11))=0,0,MAX(0,NETWORKDAYS.INTL(MAX(E281,(Reprogramaciones!$T$15+7*(Reprogramaciones!Z$14-1))),MIN(F281,Reprogramaciones!Z$13),11))/MAX(0,NETWORKDAYS.INTL(MAX(E281,(Reprogramaciones!$T$15+7*(Reprogramaciones!Z$14-1))),MIN(F281,(Reprogramaciones!$T$15+7*(Reprogramaciones!Z$14-1))+6),11))))))))</f>
        <v/>
      </c>
      <c r="CJ281" s="1" t="str">
        <f aca="false">IF(OR(OR(NOT(AND(ISNUMBER(E281),ISNUMBER(F281))),$J$2=""),1&gt;Reprogramaciones!$K$16),"",IF(ROUND(SUM($Q281:Q281),1)&gt;=99.5,100,MIN(100,ROUND(SUM($Q281:Q281),1))))</f>
        <v/>
      </c>
      <c r="CK281" s="1" t="str">
        <f aca="false">IF(OR(OR(NOT(AND(ISNUMBER(E281),ISNUMBER(F281))),$J$2=""),2&gt;Reprogramaciones!$K$16),"",IF(ROUND(SUM($Q281:R281),1)&gt;=99.5,100,MIN(100,ROUND(SUM($Q281:R281),1))))</f>
        <v/>
      </c>
      <c r="CL281" s="1" t="str">
        <f aca="false">IF(OR(OR(NOT(AND(ISNUMBER(E281),ISNUMBER(F281))),$J$2=""),3&gt;Reprogramaciones!$K$16),"",IF(ROUND(SUM($Q281:S281),1)&gt;=99.5,100,MIN(100,ROUND(SUM($Q281:S281),1))))</f>
        <v/>
      </c>
      <c r="CM281" s="1" t="str">
        <f aca="false">IF(OR(OR(NOT(AND(ISNUMBER(E281),ISNUMBER(F281))),$J$2=""),4&gt;Reprogramaciones!$K$16),"",IF(ROUND(SUM($Q281:T281),1)&gt;=99.5,100,MIN(100,ROUND(SUM($Q281:T281),1))))</f>
        <v/>
      </c>
      <c r="CN281" s="1" t="str">
        <f aca="false">IF(OR(OR(NOT(AND(ISNUMBER(E281),ISNUMBER(F281))),$J$2=""),5&gt;Reprogramaciones!$K$16),"",IF(ROUND(SUM($Q281:U281),1)&gt;=99.5,100,MIN(100,ROUND(SUM($Q281:U281),1))))</f>
        <v/>
      </c>
      <c r="CO281" s="1" t="str">
        <f aca="false">IF(OR(OR(NOT(AND(ISNUMBER(E281),ISNUMBER(F281))),$J$2=""),6&gt;Reprogramaciones!$K$16),"",IF(ROUND(SUM($Q281:V281),1)&gt;=99.5,100,MIN(100,ROUND(SUM($Q281:V281),1))))</f>
        <v/>
      </c>
      <c r="CP281" s="1" t="str">
        <f aca="false">IF(OR(OR(NOT(AND(ISNUMBER(E281),ISNUMBER(F281))),$J$2=""),7&gt;Reprogramaciones!$K$16),"",IF(ROUND(SUM($Q281:W281),1)&gt;=99.5,100,MIN(100,ROUND(SUM($Q281:W281),1))))</f>
        <v/>
      </c>
      <c r="CQ281" s="1" t="str">
        <f aca="false">IF(OR(OR(NOT(AND(ISNUMBER(E281),ISNUMBER(F281))),$J$2=""),8&gt;Reprogramaciones!$K$16),"",IF(ROUND(SUM($Q281:X281),1)&gt;=99.5,100,MIN(100,ROUND(SUM($Q281:X281),1))))</f>
        <v/>
      </c>
      <c r="CR281" s="1" t="str">
        <f aca="false">IF(OR(OR(NOT(AND(ISNUMBER(E281),ISNUMBER(F281))),$J$2=""),9&gt;Reprogramaciones!$K$16),"",IF(ROUND(SUM($Q281:Y281),1)&gt;=99.5,100,MIN(100,ROUND(SUM($Q281:Y281),1))))</f>
        <v/>
      </c>
      <c r="CS281" s="1" t="str">
        <f aca="false">IF(OR(OR(NOT(AND(ISNUMBER(E281),ISNUMBER(F281))),$J$2=""),10&gt;Reprogramaciones!$K$16),"",IF(ROUND(SUM($Q281:Z281),1)&gt;=99.5,100,MIN(100,ROUND(SUM($Q281:Z281),1))))</f>
        <v/>
      </c>
      <c r="CT281" s="1" t="str">
        <f aca="false">IF(OR(OR(NOT(AND(ISNUMBER(E281),ISNUMBER(F281))),$J$2=""),11&gt;Reprogramaciones!$K$16),"",IF(ROUND(SUM($Q281:AA281),1)&gt;=99.5,100,MIN(100,ROUND(SUM($Q281:AA281),1))))</f>
        <v/>
      </c>
      <c r="CU281" s="1" t="str">
        <f aca="false">IF(OR(OR(NOT(AND(ISNUMBER(E281),ISNUMBER(F281))),$J$2=""),12&gt;Reprogramaciones!$K$16),"",IF(ROUND(SUM($Q281:AB281),1)&gt;=99.5,100,MIN(100,ROUND(SUM($Q281:AB281),1))))</f>
        <v/>
      </c>
      <c r="CV281" s="1" t="str">
        <f aca="false">IF(OR(OR(NOT(AND(ISNUMBER(E281),ISNUMBER(F281))),$J$2=""),13&gt;Reprogramaciones!$K$16),"",IF(ROUND(SUM($Q281:AC281),1)&gt;=99.5,100,MIN(100,ROUND(SUM($Q281:AC281),1))))</f>
        <v/>
      </c>
      <c r="CW281" s="1" t="str">
        <f aca="false">IF(OR(OR(NOT(AND(ISNUMBER(E281),ISNUMBER(F281))),$J$2=""),14&gt;Reprogramaciones!$K$16),"",IF(ROUND(SUM($Q281:AD281),1)&gt;=99.5,100,MIN(100,ROUND(SUM($Q281:AD281),1))))</f>
        <v/>
      </c>
      <c r="CX281" s="1" t="str">
        <f aca="false">IF(OR(OR(NOT(AND(ISNUMBER(E281),ISNUMBER(F281))),$J$2=""),15&gt;Reprogramaciones!$K$16),"",IF(ROUND(SUM($Q281:AE281),1)&gt;=99.5,100,MIN(100,ROUND(SUM($Q281:AE281),1))))</f>
        <v/>
      </c>
      <c r="CY281" s="1" t="str">
        <f aca="false">IF(OR(OR(NOT(AND(ISNUMBER(E281),ISNUMBER(F281))),$J$2=""),16&gt;Reprogramaciones!$K$16),"",IF(ROUND(SUM($Q281:AF281),1)&gt;=99.5,100,MIN(100,ROUND(SUM($Q281:AF281),1))))</f>
        <v/>
      </c>
      <c r="CZ281" s="1" t="str">
        <f aca="false">IF(D281&lt;&gt;"",D281,IF(B281&lt;&gt;"","Contractual",CZ280))</f>
        <v>Contractual</v>
      </c>
      <c r="DA281" s="1" t="str">
        <f aca="false">IF(OR(NOT(AND(ISNUMBER(E281),ISNUMBER(F281))),$J$2=""),"",IF(Reprogramaciones!$Q$15&lt;Reprogramaciones!$T$15,0,IF(Reprogramaciones!$S$15&gt;10,MIN(100,SUM($G281:$P281)),MIN(100,SUMPRODUCT((COLUMN($G281:$P281)-COLUMN($G281)+1&lt;Reprogramaciones!$S$15)*$G281:$P281)+N(INDEX($G281:$P281,1,Reprogramaciones!$S$15))*IF(Reprogramaciones!$Q$15&gt;=(Reprogramaciones!$T$15+7*(Reprogramaciones!$S$15-1))+6,1,IF(MAX(0,NETWORKDAYS.INTL(MAX(E281,(Reprogramaciones!$T$15+7*(Reprogramaciones!$S$15-1))),MIN(F281,(Reprogramaciones!$T$15+7*(Reprogramaciones!$S$15-1))+6),11))=0,0,MAX(0,NETWORKDAYS.INTL(MAX(E281,(Reprogramaciones!$T$15+7*(Reprogramaciones!$S$15-1))),MIN(F281,Reprogramaciones!$Q$15),11))/MAX(0,NETWORKDAYS.INTL(MAX(E281,(Reprogramaciones!$T$15+7*(Reprogramaciones!$S$15-1))),MIN(F281,(Reprogramaciones!$T$15+7*(Reprogramaciones!$S$15-1))+6),11))))))))</f>
        <v/>
      </c>
    </row>
    <row r="282" customFormat="false" ht="15" hidden="false" customHeight="false" outlineLevel="0" collapsed="false">
      <c r="A282" s="32"/>
      <c r="B282" s="33"/>
      <c r="C282" s="33"/>
      <c r="D282" s="34"/>
      <c r="E282" s="35"/>
      <c r="F282" s="35"/>
      <c r="G282" s="36" t="str">
        <f aca="false">IF(OR(NOT(AND(ISNUMBER(E282),ISNUMBER(F282))),$J$2=""),"",IF(Reprogramaciones!K$9&lt;E282,0,IF(NETWORKDAYS.INTL(E282,F282,11)=0,IF(Reprogramaciones!K$9&gt;=F282,100,0),ROUND(NETWORKDAYS.INTL(E282,MIN(F282,Reprogramaciones!K$9),11)/NETWORKDAYS.INTL(E282,F282,11)*100,1)))-0)</f>
        <v/>
      </c>
      <c r="H282" s="36" t="str">
        <f aca="false">IF(OR(NOT(AND(ISNUMBER(E282),ISNUMBER(F282))),$J$2=""),"",IF(Reprogramaciones!L$9&lt;E282,0,IF(NETWORKDAYS.INTL(E282,F282,11)=0,IF(Reprogramaciones!L$9&gt;=F282,100,0),ROUND(NETWORKDAYS.INTL(E282,MIN(F282,Reprogramaciones!L$9),11)/NETWORKDAYS.INTL(E282,F282,11)*100,1)))-IF(Reprogramaciones!K$9&lt;E282,0,IF(NETWORKDAYS.INTL(E282,F282,11)=0,IF(Reprogramaciones!K$9&gt;=F282,100,0),ROUND(NETWORKDAYS.INTL(E282,MIN(F282,Reprogramaciones!K$9),11)/NETWORKDAYS.INTL(E282,F282,11)*100,1))))</f>
        <v/>
      </c>
      <c r="I282" s="36" t="str">
        <f aca="false">IF(OR(NOT(AND(ISNUMBER(E282),ISNUMBER(F282))),$J$2=""),"",IF(Reprogramaciones!M$9&lt;E282,0,IF(NETWORKDAYS.INTL(E282,F282,11)=0,IF(Reprogramaciones!M$9&gt;=F282,100,0),ROUND(NETWORKDAYS.INTL(E282,MIN(F282,Reprogramaciones!M$9),11)/NETWORKDAYS.INTL(E282,F282,11)*100,1)))-IF(Reprogramaciones!L$9&lt;E282,0,IF(NETWORKDAYS.INTL(E282,F282,11)=0,IF(Reprogramaciones!L$9&gt;=F282,100,0),ROUND(NETWORKDAYS.INTL(E282,MIN(F282,Reprogramaciones!L$9),11)/NETWORKDAYS.INTL(E282,F282,11)*100,1))))</f>
        <v/>
      </c>
      <c r="J282" s="36" t="str">
        <f aca="false">IF(OR(NOT(AND(ISNUMBER(E282),ISNUMBER(F282))),$J$2=""),"",IF(Reprogramaciones!N$9&lt;E282,0,IF(NETWORKDAYS.INTL(E282,F282,11)=0,IF(Reprogramaciones!N$9&gt;=F282,100,0),ROUND(NETWORKDAYS.INTL(E282,MIN(F282,Reprogramaciones!N$9),11)/NETWORKDAYS.INTL(E282,F282,11)*100,1)))-IF(Reprogramaciones!M$9&lt;E282,0,IF(NETWORKDAYS.INTL(E282,F282,11)=0,IF(Reprogramaciones!M$9&gt;=F282,100,0),ROUND(NETWORKDAYS.INTL(E282,MIN(F282,Reprogramaciones!M$9),11)/NETWORKDAYS.INTL(E282,F282,11)*100,1))))</f>
        <v/>
      </c>
      <c r="K282" s="36" t="str">
        <f aca="false">IF(OR(NOT(AND(ISNUMBER(E282),ISNUMBER(F282))),$J$2=""),"",IF(Reprogramaciones!O$9&lt;E282,0,IF(NETWORKDAYS.INTL(E282,F282,11)=0,IF(Reprogramaciones!O$9&gt;=F282,100,0),ROUND(NETWORKDAYS.INTL(E282,MIN(F282,Reprogramaciones!O$9),11)/NETWORKDAYS.INTL(E282,F282,11)*100,1)))-IF(Reprogramaciones!N$9&lt;E282,0,IF(NETWORKDAYS.INTL(E282,F282,11)=0,IF(Reprogramaciones!N$9&gt;=F282,100,0),ROUND(NETWORKDAYS.INTL(E282,MIN(F282,Reprogramaciones!N$9),11)/NETWORKDAYS.INTL(E282,F282,11)*100,1))))</f>
        <v/>
      </c>
      <c r="L282" s="36" t="str">
        <f aca="false">IF(OR(NOT(AND(ISNUMBER(E282),ISNUMBER(F282))),$J$2=""),"",IF(Reprogramaciones!P$9&lt;E282,0,IF(NETWORKDAYS.INTL(E282,F282,11)=0,IF(Reprogramaciones!P$9&gt;=F282,100,0),ROUND(NETWORKDAYS.INTL(E282,MIN(F282,Reprogramaciones!P$9),11)/NETWORKDAYS.INTL(E282,F282,11)*100,1)))-IF(Reprogramaciones!O$9&lt;E282,0,IF(NETWORKDAYS.INTL(E282,F282,11)=0,IF(Reprogramaciones!O$9&gt;=F282,100,0),ROUND(NETWORKDAYS.INTL(E282,MIN(F282,Reprogramaciones!O$9),11)/NETWORKDAYS.INTL(E282,F282,11)*100,1))))</f>
        <v/>
      </c>
      <c r="M282" s="36" t="str">
        <f aca="false">IF(OR(NOT(AND(ISNUMBER(E282),ISNUMBER(F282))),$J$2=""),"",IF(Reprogramaciones!Q$9&lt;E282,0,IF(NETWORKDAYS.INTL(E282,F282,11)=0,IF(Reprogramaciones!Q$9&gt;=F282,100,0),ROUND(NETWORKDAYS.INTL(E282,MIN(F282,Reprogramaciones!Q$9),11)/NETWORKDAYS.INTL(E282,F282,11)*100,1)))-IF(Reprogramaciones!P$9&lt;E282,0,IF(NETWORKDAYS.INTL(E282,F282,11)=0,IF(Reprogramaciones!P$9&gt;=F282,100,0),ROUND(NETWORKDAYS.INTL(E282,MIN(F282,Reprogramaciones!P$9),11)/NETWORKDAYS.INTL(E282,F282,11)*100,1))))</f>
        <v/>
      </c>
      <c r="N282" s="36" t="str">
        <f aca="false">IF(OR(NOT(AND(ISNUMBER(E282),ISNUMBER(F282))),$J$2=""),"",IF(Reprogramaciones!R$9&lt;E282,0,IF(NETWORKDAYS.INTL(E282,F282,11)=0,IF(Reprogramaciones!R$9&gt;=F282,100,0),ROUND(NETWORKDAYS.INTL(E282,MIN(F282,Reprogramaciones!R$9),11)/NETWORKDAYS.INTL(E282,F282,11)*100,1)))-IF(Reprogramaciones!Q$9&lt;E282,0,IF(NETWORKDAYS.INTL(E282,F282,11)=0,IF(Reprogramaciones!Q$9&gt;=F282,100,0),ROUND(NETWORKDAYS.INTL(E282,MIN(F282,Reprogramaciones!Q$9),11)/NETWORKDAYS.INTL(E282,F282,11)*100,1))))</f>
        <v/>
      </c>
      <c r="O282" s="36" t="str">
        <f aca="false">IF(OR(NOT(AND(ISNUMBER(E282),ISNUMBER(F282))),$J$2=""),"",IF(Reprogramaciones!S$9&lt;E282,0,IF(NETWORKDAYS.INTL(E282,F282,11)=0,IF(Reprogramaciones!S$9&gt;=F282,100,0),ROUND(NETWORKDAYS.INTL(E282,MIN(F282,Reprogramaciones!S$9),11)/NETWORKDAYS.INTL(E282,F282,11)*100,1)))-IF(Reprogramaciones!R$9&lt;E282,0,IF(NETWORKDAYS.INTL(E282,F282,11)=0,IF(Reprogramaciones!R$9&gt;=F282,100,0),ROUND(NETWORKDAYS.INTL(E282,MIN(F282,Reprogramaciones!R$9),11)/NETWORKDAYS.INTL(E282,F282,11)*100,1))))</f>
        <v/>
      </c>
      <c r="P282" s="36" t="str">
        <f aca="false">IF(OR(NOT(AND(ISNUMBER(E282),ISNUMBER(F282))),$J$2=""),"",IF(Reprogramaciones!T$9&lt;E282,0,IF(NETWORKDAYS.INTL(E282,F282,11)=0,IF(Reprogramaciones!T$9&gt;=F282,100,0),ROUND(NETWORKDAYS.INTL(E282,MIN(F282,Reprogramaciones!T$9),11)/NETWORKDAYS.INTL(E282,F282,11)*100,1)))-IF(Reprogramaciones!S$9&lt;E282,0,IF(NETWORKDAYS.INTL(E282,F282,11)=0,IF(Reprogramaciones!S$9&gt;=F282,100,0),ROUND(NETWORKDAYS.INTL(E282,MIN(F282,Reprogramaciones!S$9),11)/NETWORKDAYS.INTL(E282,F282,11)*100,1))))</f>
        <v/>
      </c>
      <c r="Q282" s="37"/>
      <c r="R282" s="37"/>
      <c r="S282" s="37"/>
      <c r="T282" s="37"/>
      <c r="U282" s="37"/>
      <c r="V282" s="37"/>
      <c r="W282" s="37"/>
      <c r="X282" s="37"/>
      <c r="Y282" s="37"/>
      <c r="Z282" s="37"/>
      <c r="AA282" s="37"/>
      <c r="AB282" s="37"/>
      <c r="AC282" s="37"/>
      <c r="AD282" s="37"/>
      <c r="AE282" s="37"/>
      <c r="AF282" s="37"/>
      <c r="AG282" s="38" t="str">
        <f aca="false">IF(AND(ISNUMBER(E282),ISNUMBER(F282)),NETWORKDAYS.INTL(E282,F282,11),"")</f>
        <v/>
      </c>
      <c r="AH282" s="38" t="str">
        <f aca="false">IF(OR(NOT(AND(ISNUMBER(E282),ISNUMBER(F282))),$J$2=""),"",IF(Reprogramaciones!$P$15&lt;Reprogramaciones!$T$15,0,IF(Reprogramaciones!$R$15&gt;10,MIN(100,SUM($G282:$P282)),MIN(100,SUMPRODUCT((COLUMN($G282:$P282)-COLUMN($G282)+1&lt;Reprogramaciones!$R$15)*$G282:$P282)+N(INDEX($G282:$P282,1,Reprogramaciones!$R$15))*IF(Reprogramaciones!$P$15&gt;=(Reprogramaciones!$T$15+7*(Reprogramaciones!$R$15-1))+6,1,IF(MAX(0,NETWORKDAYS.INTL(MAX(E282,(Reprogramaciones!$T$15+7*(Reprogramaciones!$R$15-1))),MIN(F282,(Reprogramaciones!$T$15+7*(Reprogramaciones!$R$15-1))+6),11))=0,0,MAX(0,NETWORKDAYS.INTL(MAX(E282,(Reprogramaciones!$T$15+7*(Reprogramaciones!$R$15-1))),MIN(F282,Reprogramaciones!$P$15),11))/MAX(0,NETWORKDAYS.INTL(MAX(E282,(Reprogramaciones!$T$15+7*(Reprogramaciones!$R$15-1))),MIN(F282,(Reprogramaciones!$T$15+7*(Reprogramaciones!$R$15-1))+6),11))))))))</f>
        <v/>
      </c>
      <c r="AI282" s="38" t="str">
        <f aca="false">IF(COUNT($Q282:$AF282)=0,"",IF(ROUND(SUM($Q282:$AF282),1)&gt;=99.5,100,MIN(100,ROUND(SUM($Q282:$AF282),1))))</f>
        <v/>
      </c>
      <c r="AJ282" s="38" t="str">
        <f aca="false">IF(OR(AH282="",AI282=""),"",AI282-AH282)</f>
        <v/>
      </c>
      <c r="AK282" s="39" t="str">
        <f aca="true">IF(AH282="","",IF(OR(Ficha!$C$10="Suspendida",Ficha!$C$10="Cancelada"),Ficha!$C$10,IF(AND(AI282&lt;&gt;"",N(AI282)&gt;=100),"Completada",IF(AND(E282&gt;TODAY(),N(AI282)=0),"Por iniciar",IF(N(AI282)+0.5&lt;AH282,"Retrasada",IF(N(AI282)+0.5&lt;DA282,IF(Reprogramaciones!$K$15&gt;0,"Al día · Sem "&amp;Reprogramaciones!$K$15&amp;" en curso","Al día · en curso"),"A tiempo"))))))</f>
        <v/>
      </c>
      <c r="AL282" s="39" t="str">
        <f aca="true">IF(AND(A282="",AND(B282="",C282="",E282="",F282="",COUNT(Q282:AF282)=0)),"",IF(AND(B282="",C282="",E282="",F282="",COUNT(Q282:AF282)=0),"Falta la partida o subpartida",IF(AND(A282&lt;&gt;"",COUNTIF($A$6:$A$305,A282)&gt;1),"Ítem repetido",IF(AND(C282="",E282="",F282="",COUNT(Q282:AF282)=0),"Título de partida",IF(OR(E282="",F282=""),"Faltan fechas",IF(OR(ISTEXT(E282),ISTEXT(F282)),"Fecha escrita como texto: usa dd/mm/aaaa",IF(F282&lt;E282,"Fin antes del inicio",IF(IF($J$2="",FALSE(),OR(E282&lt;$J$2,F282&gt;Reprogramaciones!$T$15+69)),"Fuera de las 10 semanas",IF(ABS(SUM(G282:P282)-100)&gt;0.5,"La meta no suma 100%",IF(ROUND(SUM(Q282:AF282),1)&gt;100.5,"El avance pasa de 100%",IF(MIN(Q282:AF282)&lt;0,"Avance negativo",IF(COUNTA(Q282:AF282)&gt;COUNT(Q282:AF282),"Avance escrito como texto",IF(SUMPRODUCT((Q282:AF282&gt;0)*(Q282:AF282&lt;1))&gt;0,"Avance menor a 1: escribe 50, no 50%",IF(SUMPRODUCT(ISNUMBER(Q282:AF282)*(Reprogramaciones!$K$8:$Z$8&gt;TODAY()))&gt;0,"Avance en semana que aún no llega",IF(AND(N(Reprogramaciones!$E$21)&gt;0,F282&gt;Reprogramaciones!$E$21),"Pasa el fin de la obra: registra una reprogramación",IF(AND(N(Reprogramaciones!$E$21)&gt;0,SUMPRODUCT(ISNUMBER(Q282:AF282)*(Reprogramaciones!$K$8:$Z$8&gt;Reprogramaciones!$E$21))&gt;0),"Avance después del fin de la obra: registra una reprogramación por atraso","OK"))))))))))))))))</f>
        <v/>
      </c>
      <c r="AM282" s="40" t="str">
        <f aca="false">IF(OR(OR(NOT(AND(ISNUMBER(E282),ISNUMBER(F282))),$J$2=""),1&gt;MAX(1,Reprogramaciones!$U$15)),"",IF(Reprogramaciones!K$12&gt;=7,"",IF(OR(BT282-N(0)&gt;0.05,N(Q282)&gt;0),ROUNDDOWN(ROUND(BT282,6),0)&amp;"%"&amp;IF(CJ282="",""," / "&amp;CJ282&amp;"%"),IF(AND(N(0)&gt;=99.95,CJ282&lt;&gt;"",N(CJ282)&lt;100),"Pend. "&amp;CJ282&amp;"%",""))))</f>
        <v/>
      </c>
      <c r="AN282" s="40" t="str">
        <f aca="false">IF(OR(OR(NOT(AND(ISNUMBER(E282),ISNUMBER(F282))),$J$2=""),2&gt;MAX(1,Reprogramaciones!$U$15)),"",IF(Reprogramaciones!L$12&gt;=7,"",IF(OR(BU282-N(BT282)&gt;0.05,N(R282)&gt;0),ROUNDDOWN(ROUND(BU282,6),0)&amp;"%"&amp;IF(CK282="",""," / "&amp;CK282&amp;"%"),IF(AND(N(BT282)&gt;=99.95,CK282&lt;&gt;"",N(CK282)&lt;100),"Pend. "&amp;CK282&amp;"%",""))))</f>
        <v/>
      </c>
      <c r="AO282" s="40" t="str">
        <f aca="false">IF(OR(OR(NOT(AND(ISNUMBER(E282),ISNUMBER(F282))),$J$2=""),3&gt;MAX(1,Reprogramaciones!$U$15)),"",IF(Reprogramaciones!M$12&gt;=7,"",IF(OR(BV282-N(BU282)&gt;0.05,N(S282)&gt;0),ROUNDDOWN(ROUND(BV282,6),0)&amp;"%"&amp;IF(CL282="",""," / "&amp;CL282&amp;"%"),IF(AND(N(BU282)&gt;=99.95,CL282&lt;&gt;"",N(CL282)&lt;100),"Pend. "&amp;CL282&amp;"%",""))))</f>
        <v/>
      </c>
      <c r="AP282" s="40" t="str">
        <f aca="false">IF(OR(OR(NOT(AND(ISNUMBER(E282),ISNUMBER(F282))),$J$2=""),4&gt;MAX(1,Reprogramaciones!$U$15)),"",IF(Reprogramaciones!N$12&gt;=7,"",IF(OR(BW282-N(BV282)&gt;0.05,N(T282)&gt;0),ROUNDDOWN(ROUND(BW282,6),0)&amp;"%"&amp;IF(CM282="",""," / "&amp;CM282&amp;"%"),IF(AND(N(BV282)&gt;=99.95,CM282&lt;&gt;"",N(CM282)&lt;100),"Pend. "&amp;CM282&amp;"%",""))))</f>
        <v/>
      </c>
      <c r="AQ282" s="40" t="str">
        <f aca="false">IF(OR(OR(NOT(AND(ISNUMBER(E282),ISNUMBER(F282))),$J$2=""),5&gt;MAX(1,Reprogramaciones!$U$15)),"",IF(Reprogramaciones!O$12&gt;=7,"",IF(OR(BX282-N(BW282)&gt;0.05,N(U282)&gt;0),ROUNDDOWN(ROUND(BX282,6),0)&amp;"%"&amp;IF(CN282="",""," / "&amp;CN282&amp;"%"),IF(AND(N(BW282)&gt;=99.95,CN282&lt;&gt;"",N(CN282)&lt;100),"Pend. "&amp;CN282&amp;"%",""))))</f>
        <v/>
      </c>
      <c r="AR282" s="40" t="str">
        <f aca="false">IF(OR(OR(NOT(AND(ISNUMBER(E282),ISNUMBER(F282))),$J$2=""),6&gt;MAX(1,Reprogramaciones!$U$15)),"",IF(Reprogramaciones!P$12&gt;=7,"",IF(OR(BY282-N(BX282)&gt;0.05,N(V282)&gt;0),ROUNDDOWN(ROUND(BY282,6),0)&amp;"%"&amp;IF(CO282="",""," / "&amp;CO282&amp;"%"),IF(AND(N(BX282)&gt;=99.95,CO282&lt;&gt;"",N(CO282)&lt;100),"Pend. "&amp;CO282&amp;"%",""))))</f>
        <v/>
      </c>
      <c r="AS282" s="40" t="str">
        <f aca="false">IF(OR(OR(NOT(AND(ISNUMBER(E282),ISNUMBER(F282))),$J$2=""),7&gt;MAX(1,Reprogramaciones!$U$15)),"",IF(Reprogramaciones!Q$12&gt;=7,"",IF(OR(BZ282-N(BY282)&gt;0.05,N(W282)&gt;0),ROUNDDOWN(ROUND(BZ282,6),0)&amp;"%"&amp;IF(CP282="",""," / "&amp;CP282&amp;"%"),IF(AND(N(BY282)&gt;=99.95,CP282&lt;&gt;"",N(CP282)&lt;100),"Pend. "&amp;CP282&amp;"%",""))))</f>
        <v/>
      </c>
      <c r="AT282" s="40" t="str">
        <f aca="false">IF(OR(OR(NOT(AND(ISNUMBER(E282),ISNUMBER(F282))),$J$2=""),8&gt;MAX(1,Reprogramaciones!$U$15)),"",IF(Reprogramaciones!R$12&gt;=7,"",IF(OR(CA282-N(BZ282)&gt;0.05,N(X282)&gt;0),ROUNDDOWN(ROUND(CA282,6),0)&amp;"%"&amp;IF(CQ282="",""," / "&amp;CQ282&amp;"%"),IF(AND(N(BZ282)&gt;=99.95,CQ282&lt;&gt;"",N(CQ282)&lt;100),"Pend. "&amp;CQ282&amp;"%",""))))</f>
        <v/>
      </c>
      <c r="AU282" s="40" t="str">
        <f aca="false">IF(OR(OR(NOT(AND(ISNUMBER(E282),ISNUMBER(F282))),$J$2=""),9&gt;MAX(1,Reprogramaciones!$U$15)),"",IF(Reprogramaciones!S$12&gt;=7,"",IF(OR(CB282-N(CA282)&gt;0.05,N(Y282)&gt;0),ROUNDDOWN(ROUND(CB282,6),0)&amp;"%"&amp;IF(CR282="",""," / "&amp;CR282&amp;"%"),IF(AND(N(CA282)&gt;=99.95,CR282&lt;&gt;"",N(CR282)&lt;100),"Pend. "&amp;CR282&amp;"%",""))))</f>
        <v/>
      </c>
      <c r="AV282" s="40" t="str">
        <f aca="false">IF(OR(OR(NOT(AND(ISNUMBER(E282),ISNUMBER(F282))),$J$2=""),10&gt;MAX(1,Reprogramaciones!$U$15)),"",IF(Reprogramaciones!T$12&gt;=7,"",IF(OR(CC282-N(CB282)&gt;0.05,N(Z282)&gt;0),ROUNDDOWN(ROUND(CC282,6),0)&amp;"%"&amp;IF(CS282="",""," / "&amp;CS282&amp;"%"),IF(AND(N(CB282)&gt;=99.95,CS282&lt;&gt;"",N(CS282)&lt;100),"Pend. "&amp;CS282&amp;"%",""))))</f>
        <v/>
      </c>
      <c r="AW282" s="40" t="str">
        <f aca="false">IF(OR(OR(NOT(AND(ISNUMBER(E282),ISNUMBER(F282))),$J$2=""),11&gt;MAX(1,Reprogramaciones!$U$15)),"",IF(Reprogramaciones!U$12&gt;=7,"",IF(OR(CD282-N(CC282)&gt;0.05,N(AA282)&gt;0),ROUNDDOWN(ROUND(CD282,6),0)&amp;"%"&amp;IF(CT282="",""," / "&amp;CT282&amp;"%"),IF(AND(N(CC282)&gt;=99.95,CT282&lt;&gt;"",N(CT282)&lt;100),"Pend. "&amp;CT282&amp;"%",""))))</f>
        <v/>
      </c>
      <c r="AX282" s="40" t="str">
        <f aca="false">IF(OR(OR(NOT(AND(ISNUMBER(E282),ISNUMBER(F282))),$J$2=""),12&gt;MAX(1,Reprogramaciones!$U$15)),"",IF(Reprogramaciones!V$12&gt;=7,"",IF(OR(CE282-N(CD282)&gt;0.05,N(AB282)&gt;0),ROUNDDOWN(ROUND(CE282,6),0)&amp;"%"&amp;IF(CU282="",""," / "&amp;CU282&amp;"%"),IF(AND(N(CD282)&gt;=99.95,CU282&lt;&gt;"",N(CU282)&lt;100),"Pend. "&amp;CU282&amp;"%",""))))</f>
        <v/>
      </c>
      <c r="AY282" s="40" t="str">
        <f aca="false">IF(OR(OR(NOT(AND(ISNUMBER(E282),ISNUMBER(F282))),$J$2=""),13&gt;MAX(1,Reprogramaciones!$U$15)),"",IF(Reprogramaciones!W$12&gt;=7,"",IF(OR(CF282-N(CE282)&gt;0.05,N(AC282)&gt;0),ROUNDDOWN(ROUND(CF282,6),0)&amp;"%"&amp;IF(CV282="",""," / "&amp;CV282&amp;"%"),IF(AND(N(CE282)&gt;=99.95,CV282&lt;&gt;"",N(CV282)&lt;100),"Pend. "&amp;CV282&amp;"%",""))))</f>
        <v/>
      </c>
      <c r="AZ282" s="40" t="str">
        <f aca="false">IF(OR(OR(NOT(AND(ISNUMBER(E282),ISNUMBER(F282))),$J$2=""),14&gt;MAX(1,Reprogramaciones!$U$15)),"",IF(Reprogramaciones!X$12&gt;=7,"",IF(OR(CG282-N(CF282)&gt;0.05,N(AD282)&gt;0),ROUNDDOWN(ROUND(CG282,6),0)&amp;"%"&amp;IF(CW282="",""," / "&amp;CW282&amp;"%"),IF(AND(N(CF282)&gt;=99.95,CW282&lt;&gt;"",N(CW282)&lt;100),"Pend. "&amp;CW282&amp;"%",""))))</f>
        <v/>
      </c>
      <c r="BA282" s="40" t="str">
        <f aca="false">IF(OR(OR(NOT(AND(ISNUMBER(E282),ISNUMBER(F282))),$J$2=""),15&gt;MAX(1,Reprogramaciones!$U$15)),"",IF(Reprogramaciones!Y$12&gt;=7,"",IF(OR(CH282-N(CG282)&gt;0.05,N(AE282)&gt;0),ROUNDDOWN(ROUND(CH282,6),0)&amp;"%"&amp;IF(CX282="",""," / "&amp;CX282&amp;"%"),IF(AND(N(CG282)&gt;=99.95,CX282&lt;&gt;"",N(CX282)&lt;100),"Pend. "&amp;CX282&amp;"%",""))))</f>
        <v/>
      </c>
      <c r="BB282" s="40" t="str">
        <f aca="false">IF(OR(OR(NOT(AND(ISNUMBER(E282),ISNUMBER(F282))),$J$2=""),16&gt;MAX(1,Reprogramaciones!$U$15)),"",IF(Reprogramaciones!Z$12&gt;=7,"",IF(OR(CI282-N(CH282)&gt;0.05,N(AF282)&gt;0),ROUNDDOWN(ROUND(CI282,6),0)&amp;"%"&amp;IF(CY282="",""," / "&amp;CY282&amp;"%"),IF(AND(N(CH282)&gt;=99.95,CY282&lt;&gt;"",N(CY282)&lt;100),"Pend. "&amp;CY282&amp;"%",""))))</f>
        <v/>
      </c>
      <c r="BC282" s="31" t="n">
        <f aca="false">IF(AND(ISNUMBER(E282),ISNUMBER(F282)),MAX(1,NETWORKDAYS.INTL(E282,F282,11)),0)</f>
        <v>0</v>
      </c>
      <c r="BD282" s="1" t="str">
        <f aca="false">IF(OR(NOT(AND(ISNUMBER(E282),ISNUMBER(F282))),$J$2=""),"",MIN(100,ROUND(SUM($G282:G282),1)))</f>
        <v/>
      </c>
      <c r="BE282" s="1" t="str">
        <f aca="false">IF(OR(NOT(AND(ISNUMBER(E282),ISNUMBER(F282))),$J$2=""),"",MIN(100,ROUND(SUM($G282:H282),1)))</f>
        <v/>
      </c>
      <c r="BF282" s="1" t="str">
        <f aca="false">IF(OR(NOT(AND(ISNUMBER(E282),ISNUMBER(F282))),$J$2=""),"",MIN(100,ROUND(SUM($G282:I282),1)))</f>
        <v/>
      </c>
      <c r="BG282" s="1" t="str">
        <f aca="false">IF(OR(NOT(AND(ISNUMBER(E282),ISNUMBER(F282))),$J$2=""),"",MIN(100,ROUND(SUM($G282:J282),1)))</f>
        <v/>
      </c>
      <c r="BH282" s="1" t="str">
        <f aca="false">IF(OR(NOT(AND(ISNUMBER(E282),ISNUMBER(F282))),$J$2=""),"",MIN(100,ROUND(SUM($G282:K282),1)))</f>
        <v/>
      </c>
      <c r="BI282" s="1" t="str">
        <f aca="false">IF(OR(NOT(AND(ISNUMBER(E282),ISNUMBER(F282))),$J$2=""),"",MIN(100,ROUND(SUM($G282:L282),1)))</f>
        <v/>
      </c>
      <c r="BJ282" s="1" t="str">
        <f aca="false">IF(OR(NOT(AND(ISNUMBER(E282),ISNUMBER(F282))),$J$2=""),"",MIN(100,ROUND(SUM($G282:M282),1)))</f>
        <v/>
      </c>
      <c r="BK282" s="1" t="str">
        <f aca="false">IF(OR(NOT(AND(ISNUMBER(E282),ISNUMBER(F282))),$J$2=""),"",MIN(100,ROUND(SUM($G282:N282),1)))</f>
        <v/>
      </c>
      <c r="BL282" s="1" t="str">
        <f aca="false">IF(OR(NOT(AND(ISNUMBER(E282),ISNUMBER(F282))),$J$2=""),"",MIN(100,ROUND(SUM($G282:O282),1)))</f>
        <v/>
      </c>
      <c r="BM282" s="1" t="str">
        <f aca="false">IF(OR(NOT(AND(ISNUMBER(E282),ISNUMBER(F282))),$J$2=""),"",MIN(100,ROUND(SUM($G282:P282),1)))</f>
        <v/>
      </c>
      <c r="BN282" s="1" t="str">
        <f aca="false">IF(OR(NOT(AND(ISNUMBER(E282),ISNUMBER(F282))),$J$2=""),"",MIN(100,ROUND(SUM($G282:P282),1)))</f>
        <v/>
      </c>
      <c r="BO282" s="1" t="str">
        <f aca="false">IF(OR(NOT(AND(ISNUMBER(E282),ISNUMBER(F282))),$J$2=""),"",MIN(100,ROUND(SUM($G282:P282),1)))</f>
        <v/>
      </c>
      <c r="BP282" s="1" t="str">
        <f aca="false">IF(OR(NOT(AND(ISNUMBER(E282),ISNUMBER(F282))),$J$2=""),"",MIN(100,ROUND(SUM($G282:P282),1)))</f>
        <v/>
      </c>
      <c r="BQ282" s="1" t="str">
        <f aca="false">IF(OR(NOT(AND(ISNUMBER(E282),ISNUMBER(F282))),$J$2=""),"",MIN(100,ROUND(SUM($G282:P282),1)))</f>
        <v/>
      </c>
      <c r="BR282" s="1" t="str">
        <f aca="false">IF(OR(NOT(AND(ISNUMBER(E282),ISNUMBER(F282))),$J$2=""),"",MIN(100,ROUND(SUM($G282:P282),1)))</f>
        <v/>
      </c>
      <c r="BS282" s="1" t="str">
        <f aca="false">IF(OR(NOT(AND(ISNUMBER(E282),ISNUMBER(F282))),$J$2=""),"",MIN(100,ROUND(SUM($G282:P282),1)))</f>
        <v/>
      </c>
      <c r="BT282" s="1" t="str">
        <f aca="false">IF(OR(NOT(AND(ISNUMBER(E282),ISNUMBER(F282))),$J$2=""),"",IF(Reprogramaciones!K$13&lt;Reprogramaciones!$T$15,0,IF(Reprogramaciones!K$14&gt;10,MIN(100,SUM($G282:$P282)),MIN(100,SUMPRODUCT((COLUMN($G282:$P282)-COLUMN($G282)+1&lt;Reprogramaciones!K$14)*$G282:$P282)+N(INDEX($G282:$P282,1,Reprogramaciones!K$14))*IF(Reprogramaciones!K$13&gt;=(Reprogramaciones!$T$15+7*(Reprogramaciones!K$14-1))+6,1,IF(MAX(0,NETWORKDAYS.INTL(MAX(E282,(Reprogramaciones!$T$15+7*(Reprogramaciones!K$14-1))),MIN(F282,(Reprogramaciones!$T$15+7*(Reprogramaciones!K$14-1))+6),11))=0,0,MAX(0,NETWORKDAYS.INTL(MAX(E282,(Reprogramaciones!$T$15+7*(Reprogramaciones!K$14-1))),MIN(F282,Reprogramaciones!K$13),11))/MAX(0,NETWORKDAYS.INTL(MAX(E282,(Reprogramaciones!$T$15+7*(Reprogramaciones!K$14-1))),MIN(F282,(Reprogramaciones!$T$15+7*(Reprogramaciones!K$14-1))+6),11))))))))</f>
        <v/>
      </c>
      <c r="BU282" s="1" t="str">
        <f aca="false">IF(OR(NOT(AND(ISNUMBER(E282),ISNUMBER(F282))),$J$2=""),"",IF(Reprogramaciones!L$13&lt;Reprogramaciones!$T$15,0,IF(Reprogramaciones!L$14&gt;10,MIN(100,SUM($G282:$P282)),MIN(100,SUMPRODUCT((COLUMN($G282:$P282)-COLUMN($G282)+1&lt;Reprogramaciones!L$14)*$G282:$P282)+N(INDEX($G282:$P282,1,Reprogramaciones!L$14))*IF(Reprogramaciones!L$13&gt;=(Reprogramaciones!$T$15+7*(Reprogramaciones!L$14-1))+6,1,IF(MAX(0,NETWORKDAYS.INTL(MAX(E282,(Reprogramaciones!$T$15+7*(Reprogramaciones!L$14-1))),MIN(F282,(Reprogramaciones!$T$15+7*(Reprogramaciones!L$14-1))+6),11))=0,0,MAX(0,NETWORKDAYS.INTL(MAX(E282,(Reprogramaciones!$T$15+7*(Reprogramaciones!L$14-1))),MIN(F282,Reprogramaciones!L$13),11))/MAX(0,NETWORKDAYS.INTL(MAX(E282,(Reprogramaciones!$T$15+7*(Reprogramaciones!L$14-1))),MIN(F282,(Reprogramaciones!$T$15+7*(Reprogramaciones!L$14-1))+6),11))))))))</f>
        <v/>
      </c>
      <c r="BV282" s="1" t="str">
        <f aca="false">IF(OR(NOT(AND(ISNUMBER(E282),ISNUMBER(F282))),$J$2=""),"",IF(Reprogramaciones!M$13&lt;Reprogramaciones!$T$15,0,IF(Reprogramaciones!M$14&gt;10,MIN(100,SUM($G282:$P282)),MIN(100,SUMPRODUCT((COLUMN($G282:$P282)-COLUMN($G282)+1&lt;Reprogramaciones!M$14)*$G282:$P282)+N(INDEX($G282:$P282,1,Reprogramaciones!M$14))*IF(Reprogramaciones!M$13&gt;=(Reprogramaciones!$T$15+7*(Reprogramaciones!M$14-1))+6,1,IF(MAX(0,NETWORKDAYS.INTL(MAX(E282,(Reprogramaciones!$T$15+7*(Reprogramaciones!M$14-1))),MIN(F282,(Reprogramaciones!$T$15+7*(Reprogramaciones!M$14-1))+6),11))=0,0,MAX(0,NETWORKDAYS.INTL(MAX(E282,(Reprogramaciones!$T$15+7*(Reprogramaciones!M$14-1))),MIN(F282,Reprogramaciones!M$13),11))/MAX(0,NETWORKDAYS.INTL(MAX(E282,(Reprogramaciones!$T$15+7*(Reprogramaciones!M$14-1))),MIN(F282,(Reprogramaciones!$T$15+7*(Reprogramaciones!M$14-1))+6),11))))))))</f>
        <v/>
      </c>
      <c r="BW282" s="1" t="str">
        <f aca="false">IF(OR(NOT(AND(ISNUMBER(E282),ISNUMBER(F282))),$J$2=""),"",IF(Reprogramaciones!N$13&lt;Reprogramaciones!$T$15,0,IF(Reprogramaciones!N$14&gt;10,MIN(100,SUM($G282:$P282)),MIN(100,SUMPRODUCT((COLUMN($G282:$P282)-COLUMN($G282)+1&lt;Reprogramaciones!N$14)*$G282:$P282)+N(INDEX($G282:$P282,1,Reprogramaciones!N$14))*IF(Reprogramaciones!N$13&gt;=(Reprogramaciones!$T$15+7*(Reprogramaciones!N$14-1))+6,1,IF(MAX(0,NETWORKDAYS.INTL(MAX(E282,(Reprogramaciones!$T$15+7*(Reprogramaciones!N$14-1))),MIN(F282,(Reprogramaciones!$T$15+7*(Reprogramaciones!N$14-1))+6),11))=0,0,MAX(0,NETWORKDAYS.INTL(MAX(E282,(Reprogramaciones!$T$15+7*(Reprogramaciones!N$14-1))),MIN(F282,Reprogramaciones!N$13),11))/MAX(0,NETWORKDAYS.INTL(MAX(E282,(Reprogramaciones!$T$15+7*(Reprogramaciones!N$14-1))),MIN(F282,(Reprogramaciones!$T$15+7*(Reprogramaciones!N$14-1))+6),11))))))))</f>
        <v/>
      </c>
      <c r="BX282" s="1" t="str">
        <f aca="false">IF(OR(NOT(AND(ISNUMBER(E282),ISNUMBER(F282))),$J$2=""),"",IF(Reprogramaciones!O$13&lt;Reprogramaciones!$T$15,0,IF(Reprogramaciones!O$14&gt;10,MIN(100,SUM($G282:$P282)),MIN(100,SUMPRODUCT((COLUMN($G282:$P282)-COLUMN($G282)+1&lt;Reprogramaciones!O$14)*$G282:$P282)+N(INDEX($G282:$P282,1,Reprogramaciones!O$14))*IF(Reprogramaciones!O$13&gt;=(Reprogramaciones!$T$15+7*(Reprogramaciones!O$14-1))+6,1,IF(MAX(0,NETWORKDAYS.INTL(MAX(E282,(Reprogramaciones!$T$15+7*(Reprogramaciones!O$14-1))),MIN(F282,(Reprogramaciones!$T$15+7*(Reprogramaciones!O$14-1))+6),11))=0,0,MAX(0,NETWORKDAYS.INTL(MAX(E282,(Reprogramaciones!$T$15+7*(Reprogramaciones!O$14-1))),MIN(F282,Reprogramaciones!O$13),11))/MAX(0,NETWORKDAYS.INTL(MAX(E282,(Reprogramaciones!$T$15+7*(Reprogramaciones!O$14-1))),MIN(F282,(Reprogramaciones!$T$15+7*(Reprogramaciones!O$14-1))+6),11))))))))</f>
        <v/>
      </c>
      <c r="BY282" s="1" t="str">
        <f aca="false">IF(OR(NOT(AND(ISNUMBER(E282),ISNUMBER(F282))),$J$2=""),"",IF(Reprogramaciones!P$13&lt;Reprogramaciones!$T$15,0,IF(Reprogramaciones!P$14&gt;10,MIN(100,SUM($G282:$P282)),MIN(100,SUMPRODUCT((COLUMN($G282:$P282)-COLUMN($G282)+1&lt;Reprogramaciones!P$14)*$G282:$P282)+N(INDEX($G282:$P282,1,Reprogramaciones!P$14))*IF(Reprogramaciones!P$13&gt;=(Reprogramaciones!$T$15+7*(Reprogramaciones!P$14-1))+6,1,IF(MAX(0,NETWORKDAYS.INTL(MAX(E282,(Reprogramaciones!$T$15+7*(Reprogramaciones!P$14-1))),MIN(F282,(Reprogramaciones!$T$15+7*(Reprogramaciones!P$14-1))+6),11))=0,0,MAX(0,NETWORKDAYS.INTL(MAX(E282,(Reprogramaciones!$T$15+7*(Reprogramaciones!P$14-1))),MIN(F282,Reprogramaciones!P$13),11))/MAX(0,NETWORKDAYS.INTL(MAX(E282,(Reprogramaciones!$T$15+7*(Reprogramaciones!P$14-1))),MIN(F282,(Reprogramaciones!$T$15+7*(Reprogramaciones!P$14-1))+6),11))))))))</f>
        <v/>
      </c>
      <c r="BZ282" s="1" t="str">
        <f aca="false">IF(OR(NOT(AND(ISNUMBER(E282),ISNUMBER(F282))),$J$2=""),"",IF(Reprogramaciones!Q$13&lt;Reprogramaciones!$T$15,0,IF(Reprogramaciones!Q$14&gt;10,MIN(100,SUM($G282:$P282)),MIN(100,SUMPRODUCT((COLUMN($G282:$P282)-COLUMN($G282)+1&lt;Reprogramaciones!Q$14)*$G282:$P282)+N(INDEX($G282:$P282,1,Reprogramaciones!Q$14))*IF(Reprogramaciones!Q$13&gt;=(Reprogramaciones!$T$15+7*(Reprogramaciones!Q$14-1))+6,1,IF(MAX(0,NETWORKDAYS.INTL(MAX(E282,(Reprogramaciones!$T$15+7*(Reprogramaciones!Q$14-1))),MIN(F282,(Reprogramaciones!$T$15+7*(Reprogramaciones!Q$14-1))+6),11))=0,0,MAX(0,NETWORKDAYS.INTL(MAX(E282,(Reprogramaciones!$T$15+7*(Reprogramaciones!Q$14-1))),MIN(F282,Reprogramaciones!Q$13),11))/MAX(0,NETWORKDAYS.INTL(MAX(E282,(Reprogramaciones!$T$15+7*(Reprogramaciones!Q$14-1))),MIN(F282,(Reprogramaciones!$T$15+7*(Reprogramaciones!Q$14-1))+6),11))))))))</f>
        <v/>
      </c>
      <c r="CA282" s="1" t="str">
        <f aca="false">IF(OR(NOT(AND(ISNUMBER(E282),ISNUMBER(F282))),$J$2=""),"",IF(Reprogramaciones!R$13&lt;Reprogramaciones!$T$15,0,IF(Reprogramaciones!R$14&gt;10,MIN(100,SUM($G282:$P282)),MIN(100,SUMPRODUCT((COLUMN($G282:$P282)-COLUMN($G282)+1&lt;Reprogramaciones!R$14)*$G282:$P282)+N(INDEX($G282:$P282,1,Reprogramaciones!R$14))*IF(Reprogramaciones!R$13&gt;=(Reprogramaciones!$T$15+7*(Reprogramaciones!R$14-1))+6,1,IF(MAX(0,NETWORKDAYS.INTL(MAX(E282,(Reprogramaciones!$T$15+7*(Reprogramaciones!R$14-1))),MIN(F282,(Reprogramaciones!$T$15+7*(Reprogramaciones!R$14-1))+6),11))=0,0,MAX(0,NETWORKDAYS.INTL(MAX(E282,(Reprogramaciones!$T$15+7*(Reprogramaciones!R$14-1))),MIN(F282,Reprogramaciones!R$13),11))/MAX(0,NETWORKDAYS.INTL(MAX(E282,(Reprogramaciones!$T$15+7*(Reprogramaciones!R$14-1))),MIN(F282,(Reprogramaciones!$T$15+7*(Reprogramaciones!R$14-1))+6),11))))))))</f>
        <v/>
      </c>
      <c r="CB282" s="1" t="str">
        <f aca="false">IF(OR(NOT(AND(ISNUMBER(E282),ISNUMBER(F282))),$J$2=""),"",IF(Reprogramaciones!S$13&lt;Reprogramaciones!$T$15,0,IF(Reprogramaciones!S$14&gt;10,MIN(100,SUM($G282:$P282)),MIN(100,SUMPRODUCT((COLUMN($G282:$P282)-COLUMN($G282)+1&lt;Reprogramaciones!S$14)*$G282:$P282)+N(INDEX($G282:$P282,1,Reprogramaciones!S$14))*IF(Reprogramaciones!S$13&gt;=(Reprogramaciones!$T$15+7*(Reprogramaciones!S$14-1))+6,1,IF(MAX(0,NETWORKDAYS.INTL(MAX(E282,(Reprogramaciones!$T$15+7*(Reprogramaciones!S$14-1))),MIN(F282,(Reprogramaciones!$T$15+7*(Reprogramaciones!S$14-1))+6),11))=0,0,MAX(0,NETWORKDAYS.INTL(MAX(E282,(Reprogramaciones!$T$15+7*(Reprogramaciones!S$14-1))),MIN(F282,Reprogramaciones!S$13),11))/MAX(0,NETWORKDAYS.INTL(MAX(E282,(Reprogramaciones!$T$15+7*(Reprogramaciones!S$14-1))),MIN(F282,(Reprogramaciones!$T$15+7*(Reprogramaciones!S$14-1))+6),11))))))))</f>
        <v/>
      </c>
      <c r="CC282" s="1" t="str">
        <f aca="false">IF(OR(NOT(AND(ISNUMBER(E282),ISNUMBER(F282))),$J$2=""),"",IF(Reprogramaciones!T$13&lt;Reprogramaciones!$T$15,0,IF(Reprogramaciones!T$14&gt;10,MIN(100,SUM($G282:$P282)),MIN(100,SUMPRODUCT((COLUMN($G282:$P282)-COLUMN($G282)+1&lt;Reprogramaciones!T$14)*$G282:$P282)+N(INDEX($G282:$P282,1,Reprogramaciones!T$14))*IF(Reprogramaciones!T$13&gt;=(Reprogramaciones!$T$15+7*(Reprogramaciones!T$14-1))+6,1,IF(MAX(0,NETWORKDAYS.INTL(MAX(E282,(Reprogramaciones!$T$15+7*(Reprogramaciones!T$14-1))),MIN(F282,(Reprogramaciones!$T$15+7*(Reprogramaciones!T$14-1))+6),11))=0,0,MAX(0,NETWORKDAYS.INTL(MAX(E282,(Reprogramaciones!$T$15+7*(Reprogramaciones!T$14-1))),MIN(F282,Reprogramaciones!T$13),11))/MAX(0,NETWORKDAYS.INTL(MAX(E282,(Reprogramaciones!$T$15+7*(Reprogramaciones!T$14-1))),MIN(F282,(Reprogramaciones!$T$15+7*(Reprogramaciones!T$14-1))+6),11))))))))</f>
        <v/>
      </c>
      <c r="CD282" s="1" t="str">
        <f aca="false">IF(OR(NOT(AND(ISNUMBER(E282),ISNUMBER(F282))),$J$2=""),"",IF(Reprogramaciones!U$13&lt;Reprogramaciones!$T$15,0,IF(Reprogramaciones!U$14&gt;10,MIN(100,SUM($G282:$P282)),MIN(100,SUMPRODUCT((COLUMN($G282:$P282)-COLUMN($G282)+1&lt;Reprogramaciones!U$14)*$G282:$P282)+N(INDEX($G282:$P282,1,Reprogramaciones!U$14))*IF(Reprogramaciones!U$13&gt;=(Reprogramaciones!$T$15+7*(Reprogramaciones!U$14-1))+6,1,IF(MAX(0,NETWORKDAYS.INTL(MAX(E282,(Reprogramaciones!$T$15+7*(Reprogramaciones!U$14-1))),MIN(F282,(Reprogramaciones!$T$15+7*(Reprogramaciones!U$14-1))+6),11))=0,0,MAX(0,NETWORKDAYS.INTL(MAX(E282,(Reprogramaciones!$T$15+7*(Reprogramaciones!U$14-1))),MIN(F282,Reprogramaciones!U$13),11))/MAX(0,NETWORKDAYS.INTL(MAX(E282,(Reprogramaciones!$T$15+7*(Reprogramaciones!U$14-1))),MIN(F282,(Reprogramaciones!$T$15+7*(Reprogramaciones!U$14-1))+6),11))))))))</f>
        <v/>
      </c>
      <c r="CE282" s="1" t="str">
        <f aca="false">IF(OR(NOT(AND(ISNUMBER(E282),ISNUMBER(F282))),$J$2=""),"",IF(Reprogramaciones!V$13&lt;Reprogramaciones!$T$15,0,IF(Reprogramaciones!V$14&gt;10,MIN(100,SUM($G282:$P282)),MIN(100,SUMPRODUCT((COLUMN($G282:$P282)-COLUMN($G282)+1&lt;Reprogramaciones!V$14)*$G282:$P282)+N(INDEX($G282:$P282,1,Reprogramaciones!V$14))*IF(Reprogramaciones!V$13&gt;=(Reprogramaciones!$T$15+7*(Reprogramaciones!V$14-1))+6,1,IF(MAX(0,NETWORKDAYS.INTL(MAX(E282,(Reprogramaciones!$T$15+7*(Reprogramaciones!V$14-1))),MIN(F282,(Reprogramaciones!$T$15+7*(Reprogramaciones!V$14-1))+6),11))=0,0,MAX(0,NETWORKDAYS.INTL(MAX(E282,(Reprogramaciones!$T$15+7*(Reprogramaciones!V$14-1))),MIN(F282,Reprogramaciones!V$13),11))/MAX(0,NETWORKDAYS.INTL(MAX(E282,(Reprogramaciones!$T$15+7*(Reprogramaciones!V$14-1))),MIN(F282,(Reprogramaciones!$T$15+7*(Reprogramaciones!V$14-1))+6),11))))))))</f>
        <v/>
      </c>
      <c r="CF282" s="1" t="str">
        <f aca="false">IF(OR(NOT(AND(ISNUMBER(E282),ISNUMBER(F282))),$J$2=""),"",IF(Reprogramaciones!W$13&lt;Reprogramaciones!$T$15,0,IF(Reprogramaciones!W$14&gt;10,MIN(100,SUM($G282:$P282)),MIN(100,SUMPRODUCT((COLUMN($G282:$P282)-COLUMN($G282)+1&lt;Reprogramaciones!W$14)*$G282:$P282)+N(INDEX($G282:$P282,1,Reprogramaciones!W$14))*IF(Reprogramaciones!W$13&gt;=(Reprogramaciones!$T$15+7*(Reprogramaciones!W$14-1))+6,1,IF(MAX(0,NETWORKDAYS.INTL(MAX(E282,(Reprogramaciones!$T$15+7*(Reprogramaciones!W$14-1))),MIN(F282,(Reprogramaciones!$T$15+7*(Reprogramaciones!W$14-1))+6),11))=0,0,MAX(0,NETWORKDAYS.INTL(MAX(E282,(Reprogramaciones!$T$15+7*(Reprogramaciones!W$14-1))),MIN(F282,Reprogramaciones!W$13),11))/MAX(0,NETWORKDAYS.INTL(MAX(E282,(Reprogramaciones!$T$15+7*(Reprogramaciones!W$14-1))),MIN(F282,(Reprogramaciones!$T$15+7*(Reprogramaciones!W$14-1))+6),11))))))))</f>
        <v/>
      </c>
      <c r="CG282" s="1" t="str">
        <f aca="false">IF(OR(NOT(AND(ISNUMBER(E282),ISNUMBER(F282))),$J$2=""),"",IF(Reprogramaciones!X$13&lt;Reprogramaciones!$T$15,0,IF(Reprogramaciones!X$14&gt;10,MIN(100,SUM($G282:$P282)),MIN(100,SUMPRODUCT((COLUMN($G282:$P282)-COLUMN($G282)+1&lt;Reprogramaciones!X$14)*$G282:$P282)+N(INDEX($G282:$P282,1,Reprogramaciones!X$14))*IF(Reprogramaciones!X$13&gt;=(Reprogramaciones!$T$15+7*(Reprogramaciones!X$14-1))+6,1,IF(MAX(0,NETWORKDAYS.INTL(MAX(E282,(Reprogramaciones!$T$15+7*(Reprogramaciones!X$14-1))),MIN(F282,(Reprogramaciones!$T$15+7*(Reprogramaciones!X$14-1))+6),11))=0,0,MAX(0,NETWORKDAYS.INTL(MAX(E282,(Reprogramaciones!$T$15+7*(Reprogramaciones!X$14-1))),MIN(F282,Reprogramaciones!X$13),11))/MAX(0,NETWORKDAYS.INTL(MAX(E282,(Reprogramaciones!$T$15+7*(Reprogramaciones!X$14-1))),MIN(F282,(Reprogramaciones!$T$15+7*(Reprogramaciones!X$14-1))+6),11))))))))</f>
        <v/>
      </c>
      <c r="CH282" s="1" t="str">
        <f aca="false">IF(OR(NOT(AND(ISNUMBER(E282),ISNUMBER(F282))),$J$2=""),"",IF(Reprogramaciones!Y$13&lt;Reprogramaciones!$T$15,0,IF(Reprogramaciones!Y$14&gt;10,MIN(100,SUM($G282:$P282)),MIN(100,SUMPRODUCT((COLUMN($G282:$P282)-COLUMN($G282)+1&lt;Reprogramaciones!Y$14)*$G282:$P282)+N(INDEX($G282:$P282,1,Reprogramaciones!Y$14))*IF(Reprogramaciones!Y$13&gt;=(Reprogramaciones!$T$15+7*(Reprogramaciones!Y$14-1))+6,1,IF(MAX(0,NETWORKDAYS.INTL(MAX(E282,(Reprogramaciones!$T$15+7*(Reprogramaciones!Y$14-1))),MIN(F282,(Reprogramaciones!$T$15+7*(Reprogramaciones!Y$14-1))+6),11))=0,0,MAX(0,NETWORKDAYS.INTL(MAX(E282,(Reprogramaciones!$T$15+7*(Reprogramaciones!Y$14-1))),MIN(F282,Reprogramaciones!Y$13),11))/MAX(0,NETWORKDAYS.INTL(MAX(E282,(Reprogramaciones!$T$15+7*(Reprogramaciones!Y$14-1))),MIN(F282,(Reprogramaciones!$T$15+7*(Reprogramaciones!Y$14-1))+6),11))))))))</f>
        <v/>
      </c>
      <c r="CI282" s="1" t="str">
        <f aca="false">IF(OR(NOT(AND(ISNUMBER(E282),ISNUMBER(F282))),$J$2=""),"",IF(Reprogramaciones!Z$13&lt;Reprogramaciones!$T$15,0,IF(Reprogramaciones!Z$14&gt;10,MIN(100,SUM($G282:$P282)),MIN(100,SUMPRODUCT((COLUMN($G282:$P282)-COLUMN($G282)+1&lt;Reprogramaciones!Z$14)*$G282:$P282)+N(INDEX($G282:$P282,1,Reprogramaciones!Z$14))*IF(Reprogramaciones!Z$13&gt;=(Reprogramaciones!$T$15+7*(Reprogramaciones!Z$14-1))+6,1,IF(MAX(0,NETWORKDAYS.INTL(MAX(E282,(Reprogramaciones!$T$15+7*(Reprogramaciones!Z$14-1))),MIN(F282,(Reprogramaciones!$T$15+7*(Reprogramaciones!Z$14-1))+6),11))=0,0,MAX(0,NETWORKDAYS.INTL(MAX(E282,(Reprogramaciones!$T$15+7*(Reprogramaciones!Z$14-1))),MIN(F282,Reprogramaciones!Z$13),11))/MAX(0,NETWORKDAYS.INTL(MAX(E282,(Reprogramaciones!$T$15+7*(Reprogramaciones!Z$14-1))),MIN(F282,(Reprogramaciones!$T$15+7*(Reprogramaciones!Z$14-1))+6),11))))))))</f>
        <v/>
      </c>
      <c r="CJ282" s="1" t="str">
        <f aca="false">IF(OR(OR(NOT(AND(ISNUMBER(E282),ISNUMBER(F282))),$J$2=""),1&gt;Reprogramaciones!$K$16),"",IF(ROUND(SUM($Q282:Q282),1)&gt;=99.5,100,MIN(100,ROUND(SUM($Q282:Q282),1))))</f>
        <v/>
      </c>
      <c r="CK282" s="1" t="str">
        <f aca="false">IF(OR(OR(NOT(AND(ISNUMBER(E282),ISNUMBER(F282))),$J$2=""),2&gt;Reprogramaciones!$K$16),"",IF(ROUND(SUM($Q282:R282),1)&gt;=99.5,100,MIN(100,ROUND(SUM($Q282:R282),1))))</f>
        <v/>
      </c>
      <c r="CL282" s="1" t="str">
        <f aca="false">IF(OR(OR(NOT(AND(ISNUMBER(E282),ISNUMBER(F282))),$J$2=""),3&gt;Reprogramaciones!$K$16),"",IF(ROUND(SUM($Q282:S282),1)&gt;=99.5,100,MIN(100,ROUND(SUM($Q282:S282),1))))</f>
        <v/>
      </c>
      <c r="CM282" s="1" t="str">
        <f aca="false">IF(OR(OR(NOT(AND(ISNUMBER(E282),ISNUMBER(F282))),$J$2=""),4&gt;Reprogramaciones!$K$16),"",IF(ROUND(SUM($Q282:T282),1)&gt;=99.5,100,MIN(100,ROUND(SUM($Q282:T282),1))))</f>
        <v/>
      </c>
      <c r="CN282" s="1" t="str">
        <f aca="false">IF(OR(OR(NOT(AND(ISNUMBER(E282),ISNUMBER(F282))),$J$2=""),5&gt;Reprogramaciones!$K$16),"",IF(ROUND(SUM($Q282:U282),1)&gt;=99.5,100,MIN(100,ROUND(SUM($Q282:U282),1))))</f>
        <v/>
      </c>
      <c r="CO282" s="1" t="str">
        <f aca="false">IF(OR(OR(NOT(AND(ISNUMBER(E282),ISNUMBER(F282))),$J$2=""),6&gt;Reprogramaciones!$K$16),"",IF(ROUND(SUM($Q282:V282),1)&gt;=99.5,100,MIN(100,ROUND(SUM($Q282:V282),1))))</f>
        <v/>
      </c>
      <c r="CP282" s="1" t="str">
        <f aca="false">IF(OR(OR(NOT(AND(ISNUMBER(E282),ISNUMBER(F282))),$J$2=""),7&gt;Reprogramaciones!$K$16),"",IF(ROUND(SUM($Q282:W282),1)&gt;=99.5,100,MIN(100,ROUND(SUM($Q282:W282),1))))</f>
        <v/>
      </c>
      <c r="CQ282" s="1" t="str">
        <f aca="false">IF(OR(OR(NOT(AND(ISNUMBER(E282),ISNUMBER(F282))),$J$2=""),8&gt;Reprogramaciones!$K$16),"",IF(ROUND(SUM($Q282:X282),1)&gt;=99.5,100,MIN(100,ROUND(SUM($Q282:X282),1))))</f>
        <v/>
      </c>
      <c r="CR282" s="1" t="str">
        <f aca="false">IF(OR(OR(NOT(AND(ISNUMBER(E282),ISNUMBER(F282))),$J$2=""),9&gt;Reprogramaciones!$K$16),"",IF(ROUND(SUM($Q282:Y282),1)&gt;=99.5,100,MIN(100,ROUND(SUM($Q282:Y282),1))))</f>
        <v/>
      </c>
      <c r="CS282" s="1" t="str">
        <f aca="false">IF(OR(OR(NOT(AND(ISNUMBER(E282),ISNUMBER(F282))),$J$2=""),10&gt;Reprogramaciones!$K$16),"",IF(ROUND(SUM($Q282:Z282),1)&gt;=99.5,100,MIN(100,ROUND(SUM($Q282:Z282),1))))</f>
        <v/>
      </c>
      <c r="CT282" s="1" t="str">
        <f aca="false">IF(OR(OR(NOT(AND(ISNUMBER(E282),ISNUMBER(F282))),$J$2=""),11&gt;Reprogramaciones!$K$16),"",IF(ROUND(SUM($Q282:AA282),1)&gt;=99.5,100,MIN(100,ROUND(SUM($Q282:AA282),1))))</f>
        <v/>
      </c>
      <c r="CU282" s="1" t="str">
        <f aca="false">IF(OR(OR(NOT(AND(ISNUMBER(E282),ISNUMBER(F282))),$J$2=""),12&gt;Reprogramaciones!$K$16),"",IF(ROUND(SUM($Q282:AB282),1)&gt;=99.5,100,MIN(100,ROUND(SUM($Q282:AB282),1))))</f>
        <v/>
      </c>
      <c r="CV282" s="1" t="str">
        <f aca="false">IF(OR(OR(NOT(AND(ISNUMBER(E282),ISNUMBER(F282))),$J$2=""),13&gt;Reprogramaciones!$K$16),"",IF(ROUND(SUM($Q282:AC282),1)&gt;=99.5,100,MIN(100,ROUND(SUM($Q282:AC282),1))))</f>
        <v/>
      </c>
      <c r="CW282" s="1" t="str">
        <f aca="false">IF(OR(OR(NOT(AND(ISNUMBER(E282),ISNUMBER(F282))),$J$2=""),14&gt;Reprogramaciones!$K$16),"",IF(ROUND(SUM($Q282:AD282),1)&gt;=99.5,100,MIN(100,ROUND(SUM($Q282:AD282),1))))</f>
        <v/>
      </c>
      <c r="CX282" s="1" t="str">
        <f aca="false">IF(OR(OR(NOT(AND(ISNUMBER(E282),ISNUMBER(F282))),$J$2=""),15&gt;Reprogramaciones!$K$16),"",IF(ROUND(SUM($Q282:AE282),1)&gt;=99.5,100,MIN(100,ROUND(SUM($Q282:AE282),1))))</f>
        <v/>
      </c>
      <c r="CY282" s="1" t="str">
        <f aca="false">IF(OR(OR(NOT(AND(ISNUMBER(E282),ISNUMBER(F282))),$J$2=""),16&gt;Reprogramaciones!$K$16),"",IF(ROUND(SUM($Q282:AF282),1)&gt;=99.5,100,MIN(100,ROUND(SUM($Q282:AF282),1))))</f>
        <v/>
      </c>
      <c r="CZ282" s="1" t="str">
        <f aca="false">IF(D282&lt;&gt;"",D282,IF(B282&lt;&gt;"","Contractual",CZ281))</f>
        <v>Contractual</v>
      </c>
      <c r="DA282" s="1" t="str">
        <f aca="false">IF(OR(NOT(AND(ISNUMBER(E282),ISNUMBER(F282))),$J$2=""),"",IF(Reprogramaciones!$Q$15&lt;Reprogramaciones!$T$15,0,IF(Reprogramaciones!$S$15&gt;10,MIN(100,SUM($G282:$P282)),MIN(100,SUMPRODUCT((COLUMN($G282:$P282)-COLUMN($G282)+1&lt;Reprogramaciones!$S$15)*$G282:$P282)+N(INDEX($G282:$P282,1,Reprogramaciones!$S$15))*IF(Reprogramaciones!$Q$15&gt;=(Reprogramaciones!$T$15+7*(Reprogramaciones!$S$15-1))+6,1,IF(MAX(0,NETWORKDAYS.INTL(MAX(E282,(Reprogramaciones!$T$15+7*(Reprogramaciones!$S$15-1))),MIN(F282,(Reprogramaciones!$T$15+7*(Reprogramaciones!$S$15-1))+6),11))=0,0,MAX(0,NETWORKDAYS.INTL(MAX(E282,(Reprogramaciones!$T$15+7*(Reprogramaciones!$S$15-1))),MIN(F282,Reprogramaciones!$Q$15),11))/MAX(0,NETWORKDAYS.INTL(MAX(E282,(Reprogramaciones!$T$15+7*(Reprogramaciones!$S$15-1))),MIN(F282,(Reprogramaciones!$T$15+7*(Reprogramaciones!$S$15-1))+6),11))))))))</f>
        <v/>
      </c>
    </row>
    <row r="283" customFormat="false" ht="15" hidden="false" customHeight="false" outlineLevel="0" collapsed="false">
      <c r="A283" s="32"/>
      <c r="B283" s="33"/>
      <c r="C283" s="33"/>
      <c r="D283" s="34"/>
      <c r="E283" s="35"/>
      <c r="F283" s="35"/>
      <c r="G283" s="36" t="str">
        <f aca="false">IF(OR(NOT(AND(ISNUMBER(E283),ISNUMBER(F283))),$J$2=""),"",IF(Reprogramaciones!K$9&lt;E283,0,IF(NETWORKDAYS.INTL(E283,F283,11)=0,IF(Reprogramaciones!K$9&gt;=F283,100,0),ROUND(NETWORKDAYS.INTL(E283,MIN(F283,Reprogramaciones!K$9),11)/NETWORKDAYS.INTL(E283,F283,11)*100,1)))-0)</f>
        <v/>
      </c>
      <c r="H283" s="36" t="str">
        <f aca="false">IF(OR(NOT(AND(ISNUMBER(E283),ISNUMBER(F283))),$J$2=""),"",IF(Reprogramaciones!L$9&lt;E283,0,IF(NETWORKDAYS.INTL(E283,F283,11)=0,IF(Reprogramaciones!L$9&gt;=F283,100,0),ROUND(NETWORKDAYS.INTL(E283,MIN(F283,Reprogramaciones!L$9),11)/NETWORKDAYS.INTL(E283,F283,11)*100,1)))-IF(Reprogramaciones!K$9&lt;E283,0,IF(NETWORKDAYS.INTL(E283,F283,11)=0,IF(Reprogramaciones!K$9&gt;=F283,100,0),ROUND(NETWORKDAYS.INTL(E283,MIN(F283,Reprogramaciones!K$9),11)/NETWORKDAYS.INTL(E283,F283,11)*100,1))))</f>
        <v/>
      </c>
      <c r="I283" s="36" t="str">
        <f aca="false">IF(OR(NOT(AND(ISNUMBER(E283),ISNUMBER(F283))),$J$2=""),"",IF(Reprogramaciones!M$9&lt;E283,0,IF(NETWORKDAYS.INTL(E283,F283,11)=0,IF(Reprogramaciones!M$9&gt;=F283,100,0),ROUND(NETWORKDAYS.INTL(E283,MIN(F283,Reprogramaciones!M$9),11)/NETWORKDAYS.INTL(E283,F283,11)*100,1)))-IF(Reprogramaciones!L$9&lt;E283,0,IF(NETWORKDAYS.INTL(E283,F283,11)=0,IF(Reprogramaciones!L$9&gt;=F283,100,0),ROUND(NETWORKDAYS.INTL(E283,MIN(F283,Reprogramaciones!L$9),11)/NETWORKDAYS.INTL(E283,F283,11)*100,1))))</f>
        <v/>
      </c>
      <c r="J283" s="36" t="str">
        <f aca="false">IF(OR(NOT(AND(ISNUMBER(E283),ISNUMBER(F283))),$J$2=""),"",IF(Reprogramaciones!N$9&lt;E283,0,IF(NETWORKDAYS.INTL(E283,F283,11)=0,IF(Reprogramaciones!N$9&gt;=F283,100,0),ROUND(NETWORKDAYS.INTL(E283,MIN(F283,Reprogramaciones!N$9),11)/NETWORKDAYS.INTL(E283,F283,11)*100,1)))-IF(Reprogramaciones!M$9&lt;E283,0,IF(NETWORKDAYS.INTL(E283,F283,11)=0,IF(Reprogramaciones!M$9&gt;=F283,100,0),ROUND(NETWORKDAYS.INTL(E283,MIN(F283,Reprogramaciones!M$9),11)/NETWORKDAYS.INTL(E283,F283,11)*100,1))))</f>
        <v/>
      </c>
      <c r="K283" s="36" t="str">
        <f aca="false">IF(OR(NOT(AND(ISNUMBER(E283),ISNUMBER(F283))),$J$2=""),"",IF(Reprogramaciones!O$9&lt;E283,0,IF(NETWORKDAYS.INTL(E283,F283,11)=0,IF(Reprogramaciones!O$9&gt;=F283,100,0),ROUND(NETWORKDAYS.INTL(E283,MIN(F283,Reprogramaciones!O$9),11)/NETWORKDAYS.INTL(E283,F283,11)*100,1)))-IF(Reprogramaciones!N$9&lt;E283,0,IF(NETWORKDAYS.INTL(E283,F283,11)=0,IF(Reprogramaciones!N$9&gt;=F283,100,0),ROUND(NETWORKDAYS.INTL(E283,MIN(F283,Reprogramaciones!N$9),11)/NETWORKDAYS.INTL(E283,F283,11)*100,1))))</f>
        <v/>
      </c>
      <c r="L283" s="36" t="str">
        <f aca="false">IF(OR(NOT(AND(ISNUMBER(E283),ISNUMBER(F283))),$J$2=""),"",IF(Reprogramaciones!P$9&lt;E283,0,IF(NETWORKDAYS.INTL(E283,F283,11)=0,IF(Reprogramaciones!P$9&gt;=F283,100,0),ROUND(NETWORKDAYS.INTL(E283,MIN(F283,Reprogramaciones!P$9),11)/NETWORKDAYS.INTL(E283,F283,11)*100,1)))-IF(Reprogramaciones!O$9&lt;E283,0,IF(NETWORKDAYS.INTL(E283,F283,11)=0,IF(Reprogramaciones!O$9&gt;=F283,100,0),ROUND(NETWORKDAYS.INTL(E283,MIN(F283,Reprogramaciones!O$9),11)/NETWORKDAYS.INTL(E283,F283,11)*100,1))))</f>
        <v/>
      </c>
      <c r="M283" s="36" t="str">
        <f aca="false">IF(OR(NOT(AND(ISNUMBER(E283),ISNUMBER(F283))),$J$2=""),"",IF(Reprogramaciones!Q$9&lt;E283,0,IF(NETWORKDAYS.INTL(E283,F283,11)=0,IF(Reprogramaciones!Q$9&gt;=F283,100,0),ROUND(NETWORKDAYS.INTL(E283,MIN(F283,Reprogramaciones!Q$9),11)/NETWORKDAYS.INTL(E283,F283,11)*100,1)))-IF(Reprogramaciones!P$9&lt;E283,0,IF(NETWORKDAYS.INTL(E283,F283,11)=0,IF(Reprogramaciones!P$9&gt;=F283,100,0),ROUND(NETWORKDAYS.INTL(E283,MIN(F283,Reprogramaciones!P$9),11)/NETWORKDAYS.INTL(E283,F283,11)*100,1))))</f>
        <v/>
      </c>
      <c r="N283" s="36" t="str">
        <f aca="false">IF(OR(NOT(AND(ISNUMBER(E283),ISNUMBER(F283))),$J$2=""),"",IF(Reprogramaciones!R$9&lt;E283,0,IF(NETWORKDAYS.INTL(E283,F283,11)=0,IF(Reprogramaciones!R$9&gt;=F283,100,0),ROUND(NETWORKDAYS.INTL(E283,MIN(F283,Reprogramaciones!R$9),11)/NETWORKDAYS.INTL(E283,F283,11)*100,1)))-IF(Reprogramaciones!Q$9&lt;E283,0,IF(NETWORKDAYS.INTL(E283,F283,11)=0,IF(Reprogramaciones!Q$9&gt;=F283,100,0),ROUND(NETWORKDAYS.INTL(E283,MIN(F283,Reprogramaciones!Q$9),11)/NETWORKDAYS.INTL(E283,F283,11)*100,1))))</f>
        <v/>
      </c>
      <c r="O283" s="36" t="str">
        <f aca="false">IF(OR(NOT(AND(ISNUMBER(E283),ISNUMBER(F283))),$J$2=""),"",IF(Reprogramaciones!S$9&lt;E283,0,IF(NETWORKDAYS.INTL(E283,F283,11)=0,IF(Reprogramaciones!S$9&gt;=F283,100,0),ROUND(NETWORKDAYS.INTL(E283,MIN(F283,Reprogramaciones!S$9),11)/NETWORKDAYS.INTL(E283,F283,11)*100,1)))-IF(Reprogramaciones!R$9&lt;E283,0,IF(NETWORKDAYS.INTL(E283,F283,11)=0,IF(Reprogramaciones!R$9&gt;=F283,100,0),ROUND(NETWORKDAYS.INTL(E283,MIN(F283,Reprogramaciones!R$9),11)/NETWORKDAYS.INTL(E283,F283,11)*100,1))))</f>
        <v/>
      </c>
      <c r="P283" s="36" t="str">
        <f aca="false">IF(OR(NOT(AND(ISNUMBER(E283),ISNUMBER(F283))),$J$2=""),"",IF(Reprogramaciones!T$9&lt;E283,0,IF(NETWORKDAYS.INTL(E283,F283,11)=0,IF(Reprogramaciones!T$9&gt;=F283,100,0),ROUND(NETWORKDAYS.INTL(E283,MIN(F283,Reprogramaciones!T$9),11)/NETWORKDAYS.INTL(E283,F283,11)*100,1)))-IF(Reprogramaciones!S$9&lt;E283,0,IF(NETWORKDAYS.INTL(E283,F283,11)=0,IF(Reprogramaciones!S$9&gt;=F283,100,0),ROUND(NETWORKDAYS.INTL(E283,MIN(F283,Reprogramaciones!S$9),11)/NETWORKDAYS.INTL(E283,F283,11)*100,1))))</f>
        <v/>
      </c>
      <c r="Q283" s="37"/>
      <c r="R283" s="37"/>
      <c r="S283" s="37"/>
      <c r="T283" s="37"/>
      <c r="U283" s="37"/>
      <c r="V283" s="37"/>
      <c r="W283" s="37"/>
      <c r="X283" s="37"/>
      <c r="Y283" s="37"/>
      <c r="Z283" s="37"/>
      <c r="AA283" s="37"/>
      <c r="AB283" s="37"/>
      <c r="AC283" s="37"/>
      <c r="AD283" s="37"/>
      <c r="AE283" s="37"/>
      <c r="AF283" s="37"/>
      <c r="AG283" s="38" t="str">
        <f aca="false">IF(AND(ISNUMBER(E283),ISNUMBER(F283)),NETWORKDAYS.INTL(E283,F283,11),"")</f>
        <v/>
      </c>
      <c r="AH283" s="38" t="str">
        <f aca="false">IF(OR(NOT(AND(ISNUMBER(E283),ISNUMBER(F283))),$J$2=""),"",IF(Reprogramaciones!$P$15&lt;Reprogramaciones!$T$15,0,IF(Reprogramaciones!$R$15&gt;10,MIN(100,SUM($G283:$P283)),MIN(100,SUMPRODUCT((COLUMN($G283:$P283)-COLUMN($G283)+1&lt;Reprogramaciones!$R$15)*$G283:$P283)+N(INDEX($G283:$P283,1,Reprogramaciones!$R$15))*IF(Reprogramaciones!$P$15&gt;=(Reprogramaciones!$T$15+7*(Reprogramaciones!$R$15-1))+6,1,IF(MAX(0,NETWORKDAYS.INTL(MAX(E283,(Reprogramaciones!$T$15+7*(Reprogramaciones!$R$15-1))),MIN(F283,(Reprogramaciones!$T$15+7*(Reprogramaciones!$R$15-1))+6),11))=0,0,MAX(0,NETWORKDAYS.INTL(MAX(E283,(Reprogramaciones!$T$15+7*(Reprogramaciones!$R$15-1))),MIN(F283,Reprogramaciones!$P$15),11))/MAX(0,NETWORKDAYS.INTL(MAX(E283,(Reprogramaciones!$T$15+7*(Reprogramaciones!$R$15-1))),MIN(F283,(Reprogramaciones!$T$15+7*(Reprogramaciones!$R$15-1))+6),11))))))))</f>
        <v/>
      </c>
      <c r="AI283" s="38" t="str">
        <f aca="false">IF(COUNT($Q283:$AF283)=0,"",IF(ROUND(SUM($Q283:$AF283),1)&gt;=99.5,100,MIN(100,ROUND(SUM($Q283:$AF283),1))))</f>
        <v/>
      </c>
      <c r="AJ283" s="38" t="str">
        <f aca="false">IF(OR(AH283="",AI283=""),"",AI283-AH283)</f>
        <v/>
      </c>
      <c r="AK283" s="39" t="str">
        <f aca="true">IF(AH283="","",IF(OR(Ficha!$C$10="Suspendida",Ficha!$C$10="Cancelada"),Ficha!$C$10,IF(AND(AI283&lt;&gt;"",N(AI283)&gt;=100),"Completada",IF(AND(E283&gt;TODAY(),N(AI283)=0),"Por iniciar",IF(N(AI283)+0.5&lt;AH283,"Retrasada",IF(N(AI283)+0.5&lt;DA283,IF(Reprogramaciones!$K$15&gt;0,"Al día · Sem "&amp;Reprogramaciones!$K$15&amp;" en curso","Al día · en curso"),"A tiempo"))))))</f>
        <v/>
      </c>
      <c r="AL283" s="39" t="str">
        <f aca="true">IF(AND(A283="",AND(B283="",C283="",E283="",F283="",COUNT(Q283:AF283)=0)),"",IF(AND(B283="",C283="",E283="",F283="",COUNT(Q283:AF283)=0),"Falta la partida o subpartida",IF(AND(A283&lt;&gt;"",COUNTIF($A$6:$A$305,A283)&gt;1),"Ítem repetido",IF(AND(C283="",E283="",F283="",COUNT(Q283:AF283)=0),"Título de partida",IF(OR(E283="",F283=""),"Faltan fechas",IF(OR(ISTEXT(E283),ISTEXT(F283)),"Fecha escrita como texto: usa dd/mm/aaaa",IF(F283&lt;E283,"Fin antes del inicio",IF(IF($J$2="",FALSE(),OR(E283&lt;$J$2,F283&gt;Reprogramaciones!$T$15+69)),"Fuera de las 10 semanas",IF(ABS(SUM(G283:P283)-100)&gt;0.5,"La meta no suma 100%",IF(ROUND(SUM(Q283:AF283),1)&gt;100.5,"El avance pasa de 100%",IF(MIN(Q283:AF283)&lt;0,"Avance negativo",IF(COUNTA(Q283:AF283)&gt;COUNT(Q283:AF283),"Avance escrito como texto",IF(SUMPRODUCT((Q283:AF283&gt;0)*(Q283:AF283&lt;1))&gt;0,"Avance menor a 1: escribe 50, no 50%",IF(SUMPRODUCT(ISNUMBER(Q283:AF283)*(Reprogramaciones!$K$8:$Z$8&gt;TODAY()))&gt;0,"Avance en semana que aún no llega",IF(AND(N(Reprogramaciones!$E$21)&gt;0,F283&gt;Reprogramaciones!$E$21),"Pasa el fin de la obra: registra una reprogramación",IF(AND(N(Reprogramaciones!$E$21)&gt;0,SUMPRODUCT(ISNUMBER(Q283:AF283)*(Reprogramaciones!$K$8:$Z$8&gt;Reprogramaciones!$E$21))&gt;0),"Avance después del fin de la obra: registra una reprogramación por atraso","OK"))))))))))))))))</f>
        <v/>
      </c>
      <c r="AM283" s="40" t="str">
        <f aca="false">IF(OR(OR(NOT(AND(ISNUMBER(E283),ISNUMBER(F283))),$J$2=""),1&gt;MAX(1,Reprogramaciones!$U$15)),"",IF(Reprogramaciones!K$12&gt;=7,"",IF(OR(BT283-N(0)&gt;0.05,N(Q283)&gt;0),ROUNDDOWN(ROUND(BT283,6),0)&amp;"%"&amp;IF(CJ283="",""," / "&amp;CJ283&amp;"%"),IF(AND(N(0)&gt;=99.95,CJ283&lt;&gt;"",N(CJ283)&lt;100),"Pend. "&amp;CJ283&amp;"%",""))))</f>
        <v/>
      </c>
      <c r="AN283" s="40" t="str">
        <f aca="false">IF(OR(OR(NOT(AND(ISNUMBER(E283),ISNUMBER(F283))),$J$2=""),2&gt;MAX(1,Reprogramaciones!$U$15)),"",IF(Reprogramaciones!L$12&gt;=7,"",IF(OR(BU283-N(BT283)&gt;0.05,N(R283)&gt;0),ROUNDDOWN(ROUND(BU283,6),0)&amp;"%"&amp;IF(CK283="",""," / "&amp;CK283&amp;"%"),IF(AND(N(BT283)&gt;=99.95,CK283&lt;&gt;"",N(CK283)&lt;100),"Pend. "&amp;CK283&amp;"%",""))))</f>
        <v/>
      </c>
      <c r="AO283" s="40" t="str">
        <f aca="false">IF(OR(OR(NOT(AND(ISNUMBER(E283),ISNUMBER(F283))),$J$2=""),3&gt;MAX(1,Reprogramaciones!$U$15)),"",IF(Reprogramaciones!M$12&gt;=7,"",IF(OR(BV283-N(BU283)&gt;0.05,N(S283)&gt;0),ROUNDDOWN(ROUND(BV283,6),0)&amp;"%"&amp;IF(CL283="",""," / "&amp;CL283&amp;"%"),IF(AND(N(BU283)&gt;=99.95,CL283&lt;&gt;"",N(CL283)&lt;100),"Pend. "&amp;CL283&amp;"%",""))))</f>
        <v/>
      </c>
      <c r="AP283" s="40" t="str">
        <f aca="false">IF(OR(OR(NOT(AND(ISNUMBER(E283),ISNUMBER(F283))),$J$2=""),4&gt;MAX(1,Reprogramaciones!$U$15)),"",IF(Reprogramaciones!N$12&gt;=7,"",IF(OR(BW283-N(BV283)&gt;0.05,N(T283)&gt;0),ROUNDDOWN(ROUND(BW283,6),0)&amp;"%"&amp;IF(CM283="",""," / "&amp;CM283&amp;"%"),IF(AND(N(BV283)&gt;=99.95,CM283&lt;&gt;"",N(CM283)&lt;100),"Pend. "&amp;CM283&amp;"%",""))))</f>
        <v/>
      </c>
      <c r="AQ283" s="40" t="str">
        <f aca="false">IF(OR(OR(NOT(AND(ISNUMBER(E283),ISNUMBER(F283))),$J$2=""),5&gt;MAX(1,Reprogramaciones!$U$15)),"",IF(Reprogramaciones!O$12&gt;=7,"",IF(OR(BX283-N(BW283)&gt;0.05,N(U283)&gt;0),ROUNDDOWN(ROUND(BX283,6),0)&amp;"%"&amp;IF(CN283="",""," / "&amp;CN283&amp;"%"),IF(AND(N(BW283)&gt;=99.95,CN283&lt;&gt;"",N(CN283)&lt;100),"Pend. "&amp;CN283&amp;"%",""))))</f>
        <v/>
      </c>
      <c r="AR283" s="40" t="str">
        <f aca="false">IF(OR(OR(NOT(AND(ISNUMBER(E283),ISNUMBER(F283))),$J$2=""),6&gt;MAX(1,Reprogramaciones!$U$15)),"",IF(Reprogramaciones!P$12&gt;=7,"",IF(OR(BY283-N(BX283)&gt;0.05,N(V283)&gt;0),ROUNDDOWN(ROUND(BY283,6),0)&amp;"%"&amp;IF(CO283="",""," / "&amp;CO283&amp;"%"),IF(AND(N(BX283)&gt;=99.95,CO283&lt;&gt;"",N(CO283)&lt;100),"Pend. "&amp;CO283&amp;"%",""))))</f>
        <v/>
      </c>
      <c r="AS283" s="40" t="str">
        <f aca="false">IF(OR(OR(NOT(AND(ISNUMBER(E283),ISNUMBER(F283))),$J$2=""),7&gt;MAX(1,Reprogramaciones!$U$15)),"",IF(Reprogramaciones!Q$12&gt;=7,"",IF(OR(BZ283-N(BY283)&gt;0.05,N(W283)&gt;0),ROUNDDOWN(ROUND(BZ283,6),0)&amp;"%"&amp;IF(CP283="",""," / "&amp;CP283&amp;"%"),IF(AND(N(BY283)&gt;=99.95,CP283&lt;&gt;"",N(CP283)&lt;100),"Pend. "&amp;CP283&amp;"%",""))))</f>
        <v/>
      </c>
      <c r="AT283" s="40" t="str">
        <f aca="false">IF(OR(OR(NOT(AND(ISNUMBER(E283),ISNUMBER(F283))),$J$2=""),8&gt;MAX(1,Reprogramaciones!$U$15)),"",IF(Reprogramaciones!R$12&gt;=7,"",IF(OR(CA283-N(BZ283)&gt;0.05,N(X283)&gt;0),ROUNDDOWN(ROUND(CA283,6),0)&amp;"%"&amp;IF(CQ283="",""," / "&amp;CQ283&amp;"%"),IF(AND(N(BZ283)&gt;=99.95,CQ283&lt;&gt;"",N(CQ283)&lt;100),"Pend. "&amp;CQ283&amp;"%",""))))</f>
        <v/>
      </c>
      <c r="AU283" s="40" t="str">
        <f aca="false">IF(OR(OR(NOT(AND(ISNUMBER(E283),ISNUMBER(F283))),$J$2=""),9&gt;MAX(1,Reprogramaciones!$U$15)),"",IF(Reprogramaciones!S$12&gt;=7,"",IF(OR(CB283-N(CA283)&gt;0.05,N(Y283)&gt;0),ROUNDDOWN(ROUND(CB283,6),0)&amp;"%"&amp;IF(CR283="",""," / "&amp;CR283&amp;"%"),IF(AND(N(CA283)&gt;=99.95,CR283&lt;&gt;"",N(CR283)&lt;100),"Pend. "&amp;CR283&amp;"%",""))))</f>
        <v/>
      </c>
      <c r="AV283" s="40" t="str">
        <f aca="false">IF(OR(OR(NOT(AND(ISNUMBER(E283),ISNUMBER(F283))),$J$2=""),10&gt;MAX(1,Reprogramaciones!$U$15)),"",IF(Reprogramaciones!T$12&gt;=7,"",IF(OR(CC283-N(CB283)&gt;0.05,N(Z283)&gt;0),ROUNDDOWN(ROUND(CC283,6),0)&amp;"%"&amp;IF(CS283="",""," / "&amp;CS283&amp;"%"),IF(AND(N(CB283)&gt;=99.95,CS283&lt;&gt;"",N(CS283)&lt;100),"Pend. "&amp;CS283&amp;"%",""))))</f>
        <v/>
      </c>
      <c r="AW283" s="40" t="str">
        <f aca="false">IF(OR(OR(NOT(AND(ISNUMBER(E283),ISNUMBER(F283))),$J$2=""),11&gt;MAX(1,Reprogramaciones!$U$15)),"",IF(Reprogramaciones!U$12&gt;=7,"",IF(OR(CD283-N(CC283)&gt;0.05,N(AA283)&gt;0),ROUNDDOWN(ROUND(CD283,6),0)&amp;"%"&amp;IF(CT283="",""," / "&amp;CT283&amp;"%"),IF(AND(N(CC283)&gt;=99.95,CT283&lt;&gt;"",N(CT283)&lt;100),"Pend. "&amp;CT283&amp;"%",""))))</f>
        <v/>
      </c>
      <c r="AX283" s="40" t="str">
        <f aca="false">IF(OR(OR(NOT(AND(ISNUMBER(E283),ISNUMBER(F283))),$J$2=""),12&gt;MAX(1,Reprogramaciones!$U$15)),"",IF(Reprogramaciones!V$12&gt;=7,"",IF(OR(CE283-N(CD283)&gt;0.05,N(AB283)&gt;0),ROUNDDOWN(ROUND(CE283,6),0)&amp;"%"&amp;IF(CU283="",""," / "&amp;CU283&amp;"%"),IF(AND(N(CD283)&gt;=99.95,CU283&lt;&gt;"",N(CU283)&lt;100),"Pend. "&amp;CU283&amp;"%",""))))</f>
        <v/>
      </c>
      <c r="AY283" s="40" t="str">
        <f aca="false">IF(OR(OR(NOT(AND(ISNUMBER(E283),ISNUMBER(F283))),$J$2=""),13&gt;MAX(1,Reprogramaciones!$U$15)),"",IF(Reprogramaciones!W$12&gt;=7,"",IF(OR(CF283-N(CE283)&gt;0.05,N(AC283)&gt;0),ROUNDDOWN(ROUND(CF283,6),0)&amp;"%"&amp;IF(CV283="",""," / "&amp;CV283&amp;"%"),IF(AND(N(CE283)&gt;=99.95,CV283&lt;&gt;"",N(CV283)&lt;100),"Pend. "&amp;CV283&amp;"%",""))))</f>
        <v/>
      </c>
      <c r="AZ283" s="40" t="str">
        <f aca="false">IF(OR(OR(NOT(AND(ISNUMBER(E283),ISNUMBER(F283))),$J$2=""),14&gt;MAX(1,Reprogramaciones!$U$15)),"",IF(Reprogramaciones!X$12&gt;=7,"",IF(OR(CG283-N(CF283)&gt;0.05,N(AD283)&gt;0),ROUNDDOWN(ROUND(CG283,6),0)&amp;"%"&amp;IF(CW283="",""," / "&amp;CW283&amp;"%"),IF(AND(N(CF283)&gt;=99.95,CW283&lt;&gt;"",N(CW283)&lt;100),"Pend. "&amp;CW283&amp;"%",""))))</f>
        <v/>
      </c>
      <c r="BA283" s="40" t="str">
        <f aca="false">IF(OR(OR(NOT(AND(ISNUMBER(E283),ISNUMBER(F283))),$J$2=""),15&gt;MAX(1,Reprogramaciones!$U$15)),"",IF(Reprogramaciones!Y$12&gt;=7,"",IF(OR(CH283-N(CG283)&gt;0.05,N(AE283)&gt;0),ROUNDDOWN(ROUND(CH283,6),0)&amp;"%"&amp;IF(CX283="",""," / "&amp;CX283&amp;"%"),IF(AND(N(CG283)&gt;=99.95,CX283&lt;&gt;"",N(CX283)&lt;100),"Pend. "&amp;CX283&amp;"%",""))))</f>
        <v/>
      </c>
      <c r="BB283" s="40" t="str">
        <f aca="false">IF(OR(OR(NOT(AND(ISNUMBER(E283),ISNUMBER(F283))),$J$2=""),16&gt;MAX(1,Reprogramaciones!$U$15)),"",IF(Reprogramaciones!Z$12&gt;=7,"",IF(OR(CI283-N(CH283)&gt;0.05,N(AF283)&gt;0),ROUNDDOWN(ROUND(CI283,6),0)&amp;"%"&amp;IF(CY283="",""," / "&amp;CY283&amp;"%"),IF(AND(N(CH283)&gt;=99.95,CY283&lt;&gt;"",N(CY283)&lt;100),"Pend. "&amp;CY283&amp;"%",""))))</f>
        <v/>
      </c>
      <c r="BC283" s="31" t="n">
        <f aca="false">IF(AND(ISNUMBER(E283),ISNUMBER(F283)),MAX(1,NETWORKDAYS.INTL(E283,F283,11)),0)</f>
        <v>0</v>
      </c>
      <c r="BD283" s="1" t="str">
        <f aca="false">IF(OR(NOT(AND(ISNUMBER(E283),ISNUMBER(F283))),$J$2=""),"",MIN(100,ROUND(SUM($G283:G283),1)))</f>
        <v/>
      </c>
      <c r="BE283" s="1" t="str">
        <f aca="false">IF(OR(NOT(AND(ISNUMBER(E283),ISNUMBER(F283))),$J$2=""),"",MIN(100,ROUND(SUM($G283:H283),1)))</f>
        <v/>
      </c>
      <c r="BF283" s="1" t="str">
        <f aca="false">IF(OR(NOT(AND(ISNUMBER(E283),ISNUMBER(F283))),$J$2=""),"",MIN(100,ROUND(SUM($G283:I283),1)))</f>
        <v/>
      </c>
      <c r="BG283" s="1" t="str">
        <f aca="false">IF(OR(NOT(AND(ISNUMBER(E283),ISNUMBER(F283))),$J$2=""),"",MIN(100,ROUND(SUM($G283:J283),1)))</f>
        <v/>
      </c>
      <c r="BH283" s="1" t="str">
        <f aca="false">IF(OR(NOT(AND(ISNUMBER(E283),ISNUMBER(F283))),$J$2=""),"",MIN(100,ROUND(SUM($G283:K283),1)))</f>
        <v/>
      </c>
      <c r="BI283" s="1" t="str">
        <f aca="false">IF(OR(NOT(AND(ISNUMBER(E283),ISNUMBER(F283))),$J$2=""),"",MIN(100,ROUND(SUM($G283:L283),1)))</f>
        <v/>
      </c>
      <c r="BJ283" s="1" t="str">
        <f aca="false">IF(OR(NOT(AND(ISNUMBER(E283),ISNUMBER(F283))),$J$2=""),"",MIN(100,ROUND(SUM($G283:M283),1)))</f>
        <v/>
      </c>
      <c r="BK283" s="1" t="str">
        <f aca="false">IF(OR(NOT(AND(ISNUMBER(E283),ISNUMBER(F283))),$J$2=""),"",MIN(100,ROUND(SUM($G283:N283),1)))</f>
        <v/>
      </c>
      <c r="BL283" s="1" t="str">
        <f aca="false">IF(OR(NOT(AND(ISNUMBER(E283),ISNUMBER(F283))),$J$2=""),"",MIN(100,ROUND(SUM($G283:O283),1)))</f>
        <v/>
      </c>
      <c r="BM283" s="1" t="str">
        <f aca="false">IF(OR(NOT(AND(ISNUMBER(E283),ISNUMBER(F283))),$J$2=""),"",MIN(100,ROUND(SUM($G283:P283),1)))</f>
        <v/>
      </c>
      <c r="BN283" s="1" t="str">
        <f aca="false">IF(OR(NOT(AND(ISNUMBER(E283),ISNUMBER(F283))),$J$2=""),"",MIN(100,ROUND(SUM($G283:P283),1)))</f>
        <v/>
      </c>
      <c r="BO283" s="1" t="str">
        <f aca="false">IF(OR(NOT(AND(ISNUMBER(E283),ISNUMBER(F283))),$J$2=""),"",MIN(100,ROUND(SUM($G283:P283),1)))</f>
        <v/>
      </c>
      <c r="BP283" s="1" t="str">
        <f aca="false">IF(OR(NOT(AND(ISNUMBER(E283),ISNUMBER(F283))),$J$2=""),"",MIN(100,ROUND(SUM($G283:P283),1)))</f>
        <v/>
      </c>
      <c r="BQ283" s="1" t="str">
        <f aca="false">IF(OR(NOT(AND(ISNUMBER(E283),ISNUMBER(F283))),$J$2=""),"",MIN(100,ROUND(SUM($G283:P283),1)))</f>
        <v/>
      </c>
      <c r="BR283" s="1" t="str">
        <f aca="false">IF(OR(NOT(AND(ISNUMBER(E283),ISNUMBER(F283))),$J$2=""),"",MIN(100,ROUND(SUM($G283:P283),1)))</f>
        <v/>
      </c>
      <c r="BS283" s="1" t="str">
        <f aca="false">IF(OR(NOT(AND(ISNUMBER(E283),ISNUMBER(F283))),$J$2=""),"",MIN(100,ROUND(SUM($G283:P283),1)))</f>
        <v/>
      </c>
      <c r="BT283" s="1" t="str">
        <f aca="false">IF(OR(NOT(AND(ISNUMBER(E283),ISNUMBER(F283))),$J$2=""),"",IF(Reprogramaciones!K$13&lt;Reprogramaciones!$T$15,0,IF(Reprogramaciones!K$14&gt;10,MIN(100,SUM($G283:$P283)),MIN(100,SUMPRODUCT((COLUMN($G283:$P283)-COLUMN($G283)+1&lt;Reprogramaciones!K$14)*$G283:$P283)+N(INDEX($G283:$P283,1,Reprogramaciones!K$14))*IF(Reprogramaciones!K$13&gt;=(Reprogramaciones!$T$15+7*(Reprogramaciones!K$14-1))+6,1,IF(MAX(0,NETWORKDAYS.INTL(MAX(E283,(Reprogramaciones!$T$15+7*(Reprogramaciones!K$14-1))),MIN(F283,(Reprogramaciones!$T$15+7*(Reprogramaciones!K$14-1))+6),11))=0,0,MAX(0,NETWORKDAYS.INTL(MAX(E283,(Reprogramaciones!$T$15+7*(Reprogramaciones!K$14-1))),MIN(F283,Reprogramaciones!K$13),11))/MAX(0,NETWORKDAYS.INTL(MAX(E283,(Reprogramaciones!$T$15+7*(Reprogramaciones!K$14-1))),MIN(F283,(Reprogramaciones!$T$15+7*(Reprogramaciones!K$14-1))+6),11))))))))</f>
        <v/>
      </c>
      <c r="BU283" s="1" t="str">
        <f aca="false">IF(OR(NOT(AND(ISNUMBER(E283),ISNUMBER(F283))),$J$2=""),"",IF(Reprogramaciones!L$13&lt;Reprogramaciones!$T$15,0,IF(Reprogramaciones!L$14&gt;10,MIN(100,SUM($G283:$P283)),MIN(100,SUMPRODUCT((COLUMN($G283:$P283)-COLUMN($G283)+1&lt;Reprogramaciones!L$14)*$G283:$P283)+N(INDEX($G283:$P283,1,Reprogramaciones!L$14))*IF(Reprogramaciones!L$13&gt;=(Reprogramaciones!$T$15+7*(Reprogramaciones!L$14-1))+6,1,IF(MAX(0,NETWORKDAYS.INTL(MAX(E283,(Reprogramaciones!$T$15+7*(Reprogramaciones!L$14-1))),MIN(F283,(Reprogramaciones!$T$15+7*(Reprogramaciones!L$14-1))+6),11))=0,0,MAX(0,NETWORKDAYS.INTL(MAX(E283,(Reprogramaciones!$T$15+7*(Reprogramaciones!L$14-1))),MIN(F283,Reprogramaciones!L$13),11))/MAX(0,NETWORKDAYS.INTL(MAX(E283,(Reprogramaciones!$T$15+7*(Reprogramaciones!L$14-1))),MIN(F283,(Reprogramaciones!$T$15+7*(Reprogramaciones!L$14-1))+6),11))))))))</f>
        <v/>
      </c>
      <c r="BV283" s="1" t="str">
        <f aca="false">IF(OR(NOT(AND(ISNUMBER(E283),ISNUMBER(F283))),$J$2=""),"",IF(Reprogramaciones!M$13&lt;Reprogramaciones!$T$15,0,IF(Reprogramaciones!M$14&gt;10,MIN(100,SUM($G283:$P283)),MIN(100,SUMPRODUCT((COLUMN($G283:$P283)-COLUMN($G283)+1&lt;Reprogramaciones!M$14)*$G283:$P283)+N(INDEX($G283:$P283,1,Reprogramaciones!M$14))*IF(Reprogramaciones!M$13&gt;=(Reprogramaciones!$T$15+7*(Reprogramaciones!M$14-1))+6,1,IF(MAX(0,NETWORKDAYS.INTL(MAX(E283,(Reprogramaciones!$T$15+7*(Reprogramaciones!M$14-1))),MIN(F283,(Reprogramaciones!$T$15+7*(Reprogramaciones!M$14-1))+6),11))=0,0,MAX(0,NETWORKDAYS.INTL(MAX(E283,(Reprogramaciones!$T$15+7*(Reprogramaciones!M$14-1))),MIN(F283,Reprogramaciones!M$13),11))/MAX(0,NETWORKDAYS.INTL(MAX(E283,(Reprogramaciones!$T$15+7*(Reprogramaciones!M$14-1))),MIN(F283,(Reprogramaciones!$T$15+7*(Reprogramaciones!M$14-1))+6),11))))))))</f>
        <v/>
      </c>
      <c r="BW283" s="1" t="str">
        <f aca="false">IF(OR(NOT(AND(ISNUMBER(E283),ISNUMBER(F283))),$J$2=""),"",IF(Reprogramaciones!N$13&lt;Reprogramaciones!$T$15,0,IF(Reprogramaciones!N$14&gt;10,MIN(100,SUM($G283:$P283)),MIN(100,SUMPRODUCT((COLUMN($G283:$P283)-COLUMN($G283)+1&lt;Reprogramaciones!N$14)*$G283:$P283)+N(INDEX($G283:$P283,1,Reprogramaciones!N$14))*IF(Reprogramaciones!N$13&gt;=(Reprogramaciones!$T$15+7*(Reprogramaciones!N$14-1))+6,1,IF(MAX(0,NETWORKDAYS.INTL(MAX(E283,(Reprogramaciones!$T$15+7*(Reprogramaciones!N$14-1))),MIN(F283,(Reprogramaciones!$T$15+7*(Reprogramaciones!N$14-1))+6),11))=0,0,MAX(0,NETWORKDAYS.INTL(MAX(E283,(Reprogramaciones!$T$15+7*(Reprogramaciones!N$14-1))),MIN(F283,Reprogramaciones!N$13),11))/MAX(0,NETWORKDAYS.INTL(MAX(E283,(Reprogramaciones!$T$15+7*(Reprogramaciones!N$14-1))),MIN(F283,(Reprogramaciones!$T$15+7*(Reprogramaciones!N$14-1))+6),11))))))))</f>
        <v/>
      </c>
      <c r="BX283" s="1" t="str">
        <f aca="false">IF(OR(NOT(AND(ISNUMBER(E283),ISNUMBER(F283))),$J$2=""),"",IF(Reprogramaciones!O$13&lt;Reprogramaciones!$T$15,0,IF(Reprogramaciones!O$14&gt;10,MIN(100,SUM($G283:$P283)),MIN(100,SUMPRODUCT((COLUMN($G283:$P283)-COLUMN($G283)+1&lt;Reprogramaciones!O$14)*$G283:$P283)+N(INDEX($G283:$P283,1,Reprogramaciones!O$14))*IF(Reprogramaciones!O$13&gt;=(Reprogramaciones!$T$15+7*(Reprogramaciones!O$14-1))+6,1,IF(MAX(0,NETWORKDAYS.INTL(MAX(E283,(Reprogramaciones!$T$15+7*(Reprogramaciones!O$14-1))),MIN(F283,(Reprogramaciones!$T$15+7*(Reprogramaciones!O$14-1))+6),11))=0,0,MAX(0,NETWORKDAYS.INTL(MAX(E283,(Reprogramaciones!$T$15+7*(Reprogramaciones!O$14-1))),MIN(F283,Reprogramaciones!O$13),11))/MAX(0,NETWORKDAYS.INTL(MAX(E283,(Reprogramaciones!$T$15+7*(Reprogramaciones!O$14-1))),MIN(F283,(Reprogramaciones!$T$15+7*(Reprogramaciones!O$14-1))+6),11))))))))</f>
        <v/>
      </c>
      <c r="BY283" s="1" t="str">
        <f aca="false">IF(OR(NOT(AND(ISNUMBER(E283),ISNUMBER(F283))),$J$2=""),"",IF(Reprogramaciones!P$13&lt;Reprogramaciones!$T$15,0,IF(Reprogramaciones!P$14&gt;10,MIN(100,SUM($G283:$P283)),MIN(100,SUMPRODUCT((COLUMN($G283:$P283)-COLUMN($G283)+1&lt;Reprogramaciones!P$14)*$G283:$P283)+N(INDEX($G283:$P283,1,Reprogramaciones!P$14))*IF(Reprogramaciones!P$13&gt;=(Reprogramaciones!$T$15+7*(Reprogramaciones!P$14-1))+6,1,IF(MAX(0,NETWORKDAYS.INTL(MAX(E283,(Reprogramaciones!$T$15+7*(Reprogramaciones!P$14-1))),MIN(F283,(Reprogramaciones!$T$15+7*(Reprogramaciones!P$14-1))+6),11))=0,0,MAX(0,NETWORKDAYS.INTL(MAX(E283,(Reprogramaciones!$T$15+7*(Reprogramaciones!P$14-1))),MIN(F283,Reprogramaciones!P$13),11))/MAX(0,NETWORKDAYS.INTL(MAX(E283,(Reprogramaciones!$T$15+7*(Reprogramaciones!P$14-1))),MIN(F283,(Reprogramaciones!$T$15+7*(Reprogramaciones!P$14-1))+6),11))))))))</f>
        <v/>
      </c>
      <c r="BZ283" s="1" t="str">
        <f aca="false">IF(OR(NOT(AND(ISNUMBER(E283),ISNUMBER(F283))),$J$2=""),"",IF(Reprogramaciones!Q$13&lt;Reprogramaciones!$T$15,0,IF(Reprogramaciones!Q$14&gt;10,MIN(100,SUM($G283:$P283)),MIN(100,SUMPRODUCT((COLUMN($G283:$P283)-COLUMN($G283)+1&lt;Reprogramaciones!Q$14)*$G283:$P283)+N(INDEX($G283:$P283,1,Reprogramaciones!Q$14))*IF(Reprogramaciones!Q$13&gt;=(Reprogramaciones!$T$15+7*(Reprogramaciones!Q$14-1))+6,1,IF(MAX(0,NETWORKDAYS.INTL(MAX(E283,(Reprogramaciones!$T$15+7*(Reprogramaciones!Q$14-1))),MIN(F283,(Reprogramaciones!$T$15+7*(Reprogramaciones!Q$14-1))+6),11))=0,0,MAX(0,NETWORKDAYS.INTL(MAX(E283,(Reprogramaciones!$T$15+7*(Reprogramaciones!Q$14-1))),MIN(F283,Reprogramaciones!Q$13),11))/MAX(0,NETWORKDAYS.INTL(MAX(E283,(Reprogramaciones!$T$15+7*(Reprogramaciones!Q$14-1))),MIN(F283,(Reprogramaciones!$T$15+7*(Reprogramaciones!Q$14-1))+6),11))))))))</f>
        <v/>
      </c>
      <c r="CA283" s="1" t="str">
        <f aca="false">IF(OR(NOT(AND(ISNUMBER(E283),ISNUMBER(F283))),$J$2=""),"",IF(Reprogramaciones!R$13&lt;Reprogramaciones!$T$15,0,IF(Reprogramaciones!R$14&gt;10,MIN(100,SUM($G283:$P283)),MIN(100,SUMPRODUCT((COLUMN($G283:$P283)-COLUMN($G283)+1&lt;Reprogramaciones!R$14)*$G283:$P283)+N(INDEX($G283:$P283,1,Reprogramaciones!R$14))*IF(Reprogramaciones!R$13&gt;=(Reprogramaciones!$T$15+7*(Reprogramaciones!R$14-1))+6,1,IF(MAX(0,NETWORKDAYS.INTL(MAX(E283,(Reprogramaciones!$T$15+7*(Reprogramaciones!R$14-1))),MIN(F283,(Reprogramaciones!$T$15+7*(Reprogramaciones!R$14-1))+6),11))=0,0,MAX(0,NETWORKDAYS.INTL(MAX(E283,(Reprogramaciones!$T$15+7*(Reprogramaciones!R$14-1))),MIN(F283,Reprogramaciones!R$13),11))/MAX(0,NETWORKDAYS.INTL(MAX(E283,(Reprogramaciones!$T$15+7*(Reprogramaciones!R$14-1))),MIN(F283,(Reprogramaciones!$T$15+7*(Reprogramaciones!R$14-1))+6),11))))))))</f>
        <v/>
      </c>
      <c r="CB283" s="1" t="str">
        <f aca="false">IF(OR(NOT(AND(ISNUMBER(E283),ISNUMBER(F283))),$J$2=""),"",IF(Reprogramaciones!S$13&lt;Reprogramaciones!$T$15,0,IF(Reprogramaciones!S$14&gt;10,MIN(100,SUM($G283:$P283)),MIN(100,SUMPRODUCT((COLUMN($G283:$P283)-COLUMN($G283)+1&lt;Reprogramaciones!S$14)*$G283:$P283)+N(INDEX($G283:$P283,1,Reprogramaciones!S$14))*IF(Reprogramaciones!S$13&gt;=(Reprogramaciones!$T$15+7*(Reprogramaciones!S$14-1))+6,1,IF(MAX(0,NETWORKDAYS.INTL(MAX(E283,(Reprogramaciones!$T$15+7*(Reprogramaciones!S$14-1))),MIN(F283,(Reprogramaciones!$T$15+7*(Reprogramaciones!S$14-1))+6),11))=0,0,MAX(0,NETWORKDAYS.INTL(MAX(E283,(Reprogramaciones!$T$15+7*(Reprogramaciones!S$14-1))),MIN(F283,Reprogramaciones!S$13),11))/MAX(0,NETWORKDAYS.INTL(MAX(E283,(Reprogramaciones!$T$15+7*(Reprogramaciones!S$14-1))),MIN(F283,(Reprogramaciones!$T$15+7*(Reprogramaciones!S$14-1))+6),11))))))))</f>
        <v/>
      </c>
      <c r="CC283" s="1" t="str">
        <f aca="false">IF(OR(NOT(AND(ISNUMBER(E283),ISNUMBER(F283))),$J$2=""),"",IF(Reprogramaciones!T$13&lt;Reprogramaciones!$T$15,0,IF(Reprogramaciones!T$14&gt;10,MIN(100,SUM($G283:$P283)),MIN(100,SUMPRODUCT((COLUMN($G283:$P283)-COLUMN($G283)+1&lt;Reprogramaciones!T$14)*$G283:$P283)+N(INDEX($G283:$P283,1,Reprogramaciones!T$14))*IF(Reprogramaciones!T$13&gt;=(Reprogramaciones!$T$15+7*(Reprogramaciones!T$14-1))+6,1,IF(MAX(0,NETWORKDAYS.INTL(MAX(E283,(Reprogramaciones!$T$15+7*(Reprogramaciones!T$14-1))),MIN(F283,(Reprogramaciones!$T$15+7*(Reprogramaciones!T$14-1))+6),11))=0,0,MAX(0,NETWORKDAYS.INTL(MAX(E283,(Reprogramaciones!$T$15+7*(Reprogramaciones!T$14-1))),MIN(F283,Reprogramaciones!T$13),11))/MAX(0,NETWORKDAYS.INTL(MAX(E283,(Reprogramaciones!$T$15+7*(Reprogramaciones!T$14-1))),MIN(F283,(Reprogramaciones!$T$15+7*(Reprogramaciones!T$14-1))+6),11))))))))</f>
        <v/>
      </c>
      <c r="CD283" s="1" t="str">
        <f aca="false">IF(OR(NOT(AND(ISNUMBER(E283),ISNUMBER(F283))),$J$2=""),"",IF(Reprogramaciones!U$13&lt;Reprogramaciones!$T$15,0,IF(Reprogramaciones!U$14&gt;10,MIN(100,SUM($G283:$P283)),MIN(100,SUMPRODUCT((COLUMN($G283:$P283)-COLUMN($G283)+1&lt;Reprogramaciones!U$14)*$G283:$P283)+N(INDEX($G283:$P283,1,Reprogramaciones!U$14))*IF(Reprogramaciones!U$13&gt;=(Reprogramaciones!$T$15+7*(Reprogramaciones!U$14-1))+6,1,IF(MAX(0,NETWORKDAYS.INTL(MAX(E283,(Reprogramaciones!$T$15+7*(Reprogramaciones!U$14-1))),MIN(F283,(Reprogramaciones!$T$15+7*(Reprogramaciones!U$14-1))+6),11))=0,0,MAX(0,NETWORKDAYS.INTL(MAX(E283,(Reprogramaciones!$T$15+7*(Reprogramaciones!U$14-1))),MIN(F283,Reprogramaciones!U$13),11))/MAX(0,NETWORKDAYS.INTL(MAX(E283,(Reprogramaciones!$T$15+7*(Reprogramaciones!U$14-1))),MIN(F283,(Reprogramaciones!$T$15+7*(Reprogramaciones!U$14-1))+6),11))))))))</f>
        <v/>
      </c>
      <c r="CE283" s="1" t="str">
        <f aca="false">IF(OR(NOT(AND(ISNUMBER(E283),ISNUMBER(F283))),$J$2=""),"",IF(Reprogramaciones!V$13&lt;Reprogramaciones!$T$15,0,IF(Reprogramaciones!V$14&gt;10,MIN(100,SUM($G283:$P283)),MIN(100,SUMPRODUCT((COLUMN($G283:$P283)-COLUMN($G283)+1&lt;Reprogramaciones!V$14)*$G283:$P283)+N(INDEX($G283:$P283,1,Reprogramaciones!V$14))*IF(Reprogramaciones!V$13&gt;=(Reprogramaciones!$T$15+7*(Reprogramaciones!V$14-1))+6,1,IF(MAX(0,NETWORKDAYS.INTL(MAX(E283,(Reprogramaciones!$T$15+7*(Reprogramaciones!V$14-1))),MIN(F283,(Reprogramaciones!$T$15+7*(Reprogramaciones!V$14-1))+6),11))=0,0,MAX(0,NETWORKDAYS.INTL(MAX(E283,(Reprogramaciones!$T$15+7*(Reprogramaciones!V$14-1))),MIN(F283,Reprogramaciones!V$13),11))/MAX(0,NETWORKDAYS.INTL(MAX(E283,(Reprogramaciones!$T$15+7*(Reprogramaciones!V$14-1))),MIN(F283,(Reprogramaciones!$T$15+7*(Reprogramaciones!V$14-1))+6),11))))))))</f>
        <v/>
      </c>
      <c r="CF283" s="1" t="str">
        <f aca="false">IF(OR(NOT(AND(ISNUMBER(E283),ISNUMBER(F283))),$J$2=""),"",IF(Reprogramaciones!W$13&lt;Reprogramaciones!$T$15,0,IF(Reprogramaciones!W$14&gt;10,MIN(100,SUM($G283:$P283)),MIN(100,SUMPRODUCT((COLUMN($G283:$P283)-COLUMN($G283)+1&lt;Reprogramaciones!W$14)*$G283:$P283)+N(INDEX($G283:$P283,1,Reprogramaciones!W$14))*IF(Reprogramaciones!W$13&gt;=(Reprogramaciones!$T$15+7*(Reprogramaciones!W$14-1))+6,1,IF(MAX(0,NETWORKDAYS.INTL(MAX(E283,(Reprogramaciones!$T$15+7*(Reprogramaciones!W$14-1))),MIN(F283,(Reprogramaciones!$T$15+7*(Reprogramaciones!W$14-1))+6),11))=0,0,MAX(0,NETWORKDAYS.INTL(MAX(E283,(Reprogramaciones!$T$15+7*(Reprogramaciones!W$14-1))),MIN(F283,Reprogramaciones!W$13),11))/MAX(0,NETWORKDAYS.INTL(MAX(E283,(Reprogramaciones!$T$15+7*(Reprogramaciones!W$14-1))),MIN(F283,(Reprogramaciones!$T$15+7*(Reprogramaciones!W$14-1))+6),11))))))))</f>
        <v/>
      </c>
      <c r="CG283" s="1" t="str">
        <f aca="false">IF(OR(NOT(AND(ISNUMBER(E283),ISNUMBER(F283))),$J$2=""),"",IF(Reprogramaciones!X$13&lt;Reprogramaciones!$T$15,0,IF(Reprogramaciones!X$14&gt;10,MIN(100,SUM($G283:$P283)),MIN(100,SUMPRODUCT((COLUMN($G283:$P283)-COLUMN($G283)+1&lt;Reprogramaciones!X$14)*$G283:$P283)+N(INDEX($G283:$P283,1,Reprogramaciones!X$14))*IF(Reprogramaciones!X$13&gt;=(Reprogramaciones!$T$15+7*(Reprogramaciones!X$14-1))+6,1,IF(MAX(0,NETWORKDAYS.INTL(MAX(E283,(Reprogramaciones!$T$15+7*(Reprogramaciones!X$14-1))),MIN(F283,(Reprogramaciones!$T$15+7*(Reprogramaciones!X$14-1))+6),11))=0,0,MAX(0,NETWORKDAYS.INTL(MAX(E283,(Reprogramaciones!$T$15+7*(Reprogramaciones!X$14-1))),MIN(F283,Reprogramaciones!X$13),11))/MAX(0,NETWORKDAYS.INTL(MAX(E283,(Reprogramaciones!$T$15+7*(Reprogramaciones!X$14-1))),MIN(F283,(Reprogramaciones!$T$15+7*(Reprogramaciones!X$14-1))+6),11))))))))</f>
        <v/>
      </c>
      <c r="CH283" s="1" t="str">
        <f aca="false">IF(OR(NOT(AND(ISNUMBER(E283),ISNUMBER(F283))),$J$2=""),"",IF(Reprogramaciones!Y$13&lt;Reprogramaciones!$T$15,0,IF(Reprogramaciones!Y$14&gt;10,MIN(100,SUM($G283:$P283)),MIN(100,SUMPRODUCT((COLUMN($G283:$P283)-COLUMN($G283)+1&lt;Reprogramaciones!Y$14)*$G283:$P283)+N(INDEX($G283:$P283,1,Reprogramaciones!Y$14))*IF(Reprogramaciones!Y$13&gt;=(Reprogramaciones!$T$15+7*(Reprogramaciones!Y$14-1))+6,1,IF(MAX(0,NETWORKDAYS.INTL(MAX(E283,(Reprogramaciones!$T$15+7*(Reprogramaciones!Y$14-1))),MIN(F283,(Reprogramaciones!$T$15+7*(Reprogramaciones!Y$14-1))+6),11))=0,0,MAX(0,NETWORKDAYS.INTL(MAX(E283,(Reprogramaciones!$T$15+7*(Reprogramaciones!Y$14-1))),MIN(F283,Reprogramaciones!Y$13),11))/MAX(0,NETWORKDAYS.INTL(MAX(E283,(Reprogramaciones!$T$15+7*(Reprogramaciones!Y$14-1))),MIN(F283,(Reprogramaciones!$T$15+7*(Reprogramaciones!Y$14-1))+6),11))))))))</f>
        <v/>
      </c>
      <c r="CI283" s="1" t="str">
        <f aca="false">IF(OR(NOT(AND(ISNUMBER(E283),ISNUMBER(F283))),$J$2=""),"",IF(Reprogramaciones!Z$13&lt;Reprogramaciones!$T$15,0,IF(Reprogramaciones!Z$14&gt;10,MIN(100,SUM($G283:$P283)),MIN(100,SUMPRODUCT((COLUMN($G283:$P283)-COLUMN($G283)+1&lt;Reprogramaciones!Z$14)*$G283:$P283)+N(INDEX($G283:$P283,1,Reprogramaciones!Z$14))*IF(Reprogramaciones!Z$13&gt;=(Reprogramaciones!$T$15+7*(Reprogramaciones!Z$14-1))+6,1,IF(MAX(0,NETWORKDAYS.INTL(MAX(E283,(Reprogramaciones!$T$15+7*(Reprogramaciones!Z$14-1))),MIN(F283,(Reprogramaciones!$T$15+7*(Reprogramaciones!Z$14-1))+6),11))=0,0,MAX(0,NETWORKDAYS.INTL(MAX(E283,(Reprogramaciones!$T$15+7*(Reprogramaciones!Z$14-1))),MIN(F283,Reprogramaciones!Z$13),11))/MAX(0,NETWORKDAYS.INTL(MAX(E283,(Reprogramaciones!$T$15+7*(Reprogramaciones!Z$14-1))),MIN(F283,(Reprogramaciones!$T$15+7*(Reprogramaciones!Z$14-1))+6),11))))))))</f>
        <v/>
      </c>
      <c r="CJ283" s="1" t="str">
        <f aca="false">IF(OR(OR(NOT(AND(ISNUMBER(E283),ISNUMBER(F283))),$J$2=""),1&gt;Reprogramaciones!$K$16),"",IF(ROUND(SUM($Q283:Q283),1)&gt;=99.5,100,MIN(100,ROUND(SUM($Q283:Q283),1))))</f>
        <v/>
      </c>
      <c r="CK283" s="1" t="str">
        <f aca="false">IF(OR(OR(NOT(AND(ISNUMBER(E283),ISNUMBER(F283))),$J$2=""),2&gt;Reprogramaciones!$K$16),"",IF(ROUND(SUM($Q283:R283),1)&gt;=99.5,100,MIN(100,ROUND(SUM($Q283:R283),1))))</f>
        <v/>
      </c>
      <c r="CL283" s="1" t="str">
        <f aca="false">IF(OR(OR(NOT(AND(ISNUMBER(E283),ISNUMBER(F283))),$J$2=""),3&gt;Reprogramaciones!$K$16),"",IF(ROUND(SUM($Q283:S283),1)&gt;=99.5,100,MIN(100,ROUND(SUM($Q283:S283),1))))</f>
        <v/>
      </c>
      <c r="CM283" s="1" t="str">
        <f aca="false">IF(OR(OR(NOT(AND(ISNUMBER(E283),ISNUMBER(F283))),$J$2=""),4&gt;Reprogramaciones!$K$16),"",IF(ROUND(SUM($Q283:T283),1)&gt;=99.5,100,MIN(100,ROUND(SUM($Q283:T283),1))))</f>
        <v/>
      </c>
      <c r="CN283" s="1" t="str">
        <f aca="false">IF(OR(OR(NOT(AND(ISNUMBER(E283),ISNUMBER(F283))),$J$2=""),5&gt;Reprogramaciones!$K$16),"",IF(ROUND(SUM($Q283:U283),1)&gt;=99.5,100,MIN(100,ROUND(SUM($Q283:U283),1))))</f>
        <v/>
      </c>
      <c r="CO283" s="1" t="str">
        <f aca="false">IF(OR(OR(NOT(AND(ISNUMBER(E283),ISNUMBER(F283))),$J$2=""),6&gt;Reprogramaciones!$K$16),"",IF(ROUND(SUM($Q283:V283),1)&gt;=99.5,100,MIN(100,ROUND(SUM($Q283:V283),1))))</f>
        <v/>
      </c>
      <c r="CP283" s="1" t="str">
        <f aca="false">IF(OR(OR(NOT(AND(ISNUMBER(E283),ISNUMBER(F283))),$J$2=""),7&gt;Reprogramaciones!$K$16),"",IF(ROUND(SUM($Q283:W283),1)&gt;=99.5,100,MIN(100,ROUND(SUM($Q283:W283),1))))</f>
        <v/>
      </c>
      <c r="CQ283" s="1" t="str">
        <f aca="false">IF(OR(OR(NOT(AND(ISNUMBER(E283),ISNUMBER(F283))),$J$2=""),8&gt;Reprogramaciones!$K$16),"",IF(ROUND(SUM($Q283:X283),1)&gt;=99.5,100,MIN(100,ROUND(SUM($Q283:X283),1))))</f>
        <v/>
      </c>
      <c r="CR283" s="1" t="str">
        <f aca="false">IF(OR(OR(NOT(AND(ISNUMBER(E283),ISNUMBER(F283))),$J$2=""),9&gt;Reprogramaciones!$K$16),"",IF(ROUND(SUM($Q283:Y283),1)&gt;=99.5,100,MIN(100,ROUND(SUM($Q283:Y283),1))))</f>
        <v/>
      </c>
      <c r="CS283" s="1" t="str">
        <f aca="false">IF(OR(OR(NOT(AND(ISNUMBER(E283),ISNUMBER(F283))),$J$2=""),10&gt;Reprogramaciones!$K$16),"",IF(ROUND(SUM($Q283:Z283),1)&gt;=99.5,100,MIN(100,ROUND(SUM($Q283:Z283),1))))</f>
        <v/>
      </c>
      <c r="CT283" s="1" t="str">
        <f aca="false">IF(OR(OR(NOT(AND(ISNUMBER(E283),ISNUMBER(F283))),$J$2=""),11&gt;Reprogramaciones!$K$16),"",IF(ROUND(SUM($Q283:AA283),1)&gt;=99.5,100,MIN(100,ROUND(SUM($Q283:AA283),1))))</f>
        <v/>
      </c>
      <c r="CU283" s="1" t="str">
        <f aca="false">IF(OR(OR(NOT(AND(ISNUMBER(E283),ISNUMBER(F283))),$J$2=""),12&gt;Reprogramaciones!$K$16),"",IF(ROUND(SUM($Q283:AB283),1)&gt;=99.5,100,MIN(100,ROUND(SUM($Q283:AB283),1))))</f>
        <v/>
      </c>
      <c r="CV283" s="1" t="str">
        <f aca="false">IF(OR(OR(NOT(AND(ISNUMBER(E283),ISNUMBER(F283))),$J$2=""),13&gt;Reprogramaciones!$K$16),"",IF(ROUND(SUM($Q283:AC283),1)&gt;=99.5,100,MIN(100,ROUND(SUM($Q283:AC283),1))))</f>
        <v/>
      </c>
      <c r="CW283" s="1" t="str">
        <f aca="false">IF(OR(OR(NOT(AND(ISNUMBER(E283),ISNUMBER(F283))),$J$2=""),14&gt;Reprogramaciones!$K$16),"",IF(ROUND(SUM($Q283:AD283),1)&gt;=99.5,100,MIN(100,ROUND(SUM($Q283:AD283),1))))</f>
        <v/>
      </c>
      <c r="CX283" s="1" t="str">
        <f aca="false">IF(OR(OR(NOT(AND(ISNUMBER(E283),ISNUMBER(F283))),$J$2=""),15&gt;Reprogramaciones!$K$16),"",IF(ROUND(SUM($Q283:AE283),1)&gt;=99.5,100,MIN(100,ROUND(SUM($Q283:AE283),1))))</f>
        <v/>
      </c>
      <c r="CY283" s="1" t="str">
        <f aca="false">IF(OR(OR(NOT(AND(ISNUMBER(E283),ISNUMBER(F283))),$J$2=""),16&gt;Reprogramaciones!$K$16),"",IF(ROUND(SUM($Q283:AF283),1)&gt;=99.5,100,MIN(100,ROUND(SUM($Q283:AF283),1))))</f>
        <v/>
      </c>
      <c r="CZ283" s="1" t="str">
        <f aca="false">IF(D283&lt;&gt;"",D283,IF(B283&lt;&gt;"","Contractual",CZ282))</f>
        <v>Contractual</v>
      </c>
      <c r="DA283" s="1" t="str">
        <f aca="false">IF(OR(NOT(AND(ISNUMBER(E283),ISNUMBER(F283))),$J$2=""),"",IF(Reprogramaciones!$Q$15&lt;Reprogramaciones!$T$15,0,IF(Reprogramaciones!$S$15&gt;10,MIN(100,SUM($G283:$P283)),MIN(100,SUMPRODUCT((COLUMN($G283:$P283)-COLUMN($G283)+1&lt;Reprogramaciones!$S$15)*$G283:$P283)+N(INDEX($G283:$P283,1,Reprogramaciones!$S$15))*IF(Reprogramaciones!$Q$15&gt;=(Reprogramaciones!$T$15+7*(Reprogramaciones!$S$15-1))+6,1,IF(MAX(0,NETWORKDAYS.INTL(MAX(E283,(Reprogramaciones!$T$15+7*(Reprogramaciones!$S$15-1))),MIN(F283,(Reprogramaciones!$T$15+7*(Reprogramaciones!$S$15-1))+6),11))=0,0,MAX(0,NETWORKDAYS.INTL(MAX(E283,(Reprogramaciones!$T$15+7*(Reprogramaciones!$S$15-1))),MIN(F283,Reprogramaciones!$Q$15),11))/MAX(0,NETWORKDAYS.INTL(MAX(E283,(Reprogramaciones!$T$15+7*(Reprogramaciones!$S$15-1))),MIN(F283,(Reprogramaciones!$T$15+7*(Reprogramaciones!$S$15-1))+6),11))))))))</f>
        <v/>
      </c>
    </row>
    <row r="284" customFormat="false" ht="15" hidden="false" customHeight="false" outlineLevel="0" collapsed="false">
      <c r="A284" s="32"/>
      <c r="B284" s="33"/>
      <c r="C284" s="33"/>
      <c r="D284" s="34"/>
      <c r="E284" s="35"/>
      <c r="F284" s="35"/>
      <c r="G284" s="36" t="str">
        <f aca="false">IF(OR(NOT(AND(ISNUMBER(E284),ISNUMBER(F284))),$J$2=""),"",IF(Reprogramaciones!K$9&lt;E284,0,IF(NETWORKDAYS.INTL(E284,F284,11)=0,IF(Reprogramaciones!K$9&gt;=F284,100,0),ROUND(NETWORKDAYS.INTL(E284,MIN(F284,Reprogramaciones!K$9),11)/NETWORKDAYS.INTL(E284,F284,11)*100,1)))-0)</f>
        <v/>
      </c>
      <c r="H284" s="36" t="str">
        <f aca="false">IF(OR(NOT(AND(ISNUMBER(E284),ISNUMBER(F284))),$J$2=""),"",IF(Reprogramaciones!L$9&lt;E284,0,IF(NETWORKDAYS.INTL(E284,F284,11)=0,IF(Reprogramaciones!L$9&gt;=F284,100,0),ROUND(NETWORKDAYS.INTL(E284,MIN(F284,Reprogramaciones!L$9),11)/NETWORKDAYS.INTL(E284,F284,11)*100,1)))-IF(Reprogramaciones!K$9&lt;E284,0,IF(NETWORKDAYS.INTL(E284,F284,11)=0,IF(Reprogramaciones!K$9&gt;=F284,100,0),ROUND(NETWORKDAYS.INTL(E284,MIN(F284,Reprogramaciones!K$9),11)/NETWORKDAYS.INTL(E284,F284,11)*100,1))))</f>
        <v/>
      </c>
      <c r="I284" s="36" t="str">
        <f aca="false">IF(OR(NOT(AND(ISNUMBER(E284),ISNUMBER(F284))),$J$2=""),"",IF(Reprogramaciones!M$9&lt;E284,0,IF(NETWORKDAYS.INTL(E284,F284,11)=0,IF(Reprogramaciones!M$9&gt;=F284,100,0),ROUND(NETWORKDAYS.INTL(E284,MIN(F284,Reprogramaciones!M$9),11)/NETWORKDAYS.INTL(E284,F284,11)*100,1)))-IF(Reprogramaciones!L$9&lt;E284,0,IF(NETWORKDAYS.INTL(E284,F284,11)=0,IF(Reprogramaciones!L$9&gt;=F284,100,0),ROUND(NETWORKDAYS.INTL(E284,MIN(F284,Reprogramaciones!L$9),11)/NETWORKDAYS.INTL(E284,F284,11)*100,1))))</f>
        <v/>
      </c>
      <c r="J284" s="36" t="str">
        <f aca="false">IF(OR(NOT(AND(ISNUMBER(E284),ISNUMBER(F284))),$J$2=""),"",IF(Reprogramaciones!N$9&lt;E284,0,IF(NETWORKDAYS.INTL(E284,F284,11)=0,IF(Reprogramaciones!N$9&gt;=F284,100,0),ROUND(NETWORKDAYS.INTL(E284,MIN(F284,Reprogramaciones!N$9),11)/NETWORKDAYS.INTL(E284,F284,11)*100,1)))-IF(Reprogramaciones!M$9&lt;E284,0,IF(NETWORKDAYS.INTL(E284,F284,11)=0,IF(Reprogramaciones!M$9&gt;=F284,100,0),ROUND(NETWORKDAYS.INTL(E284,MIN(F284,Reprogramaciones!M$9),11)/NETWORKDAYS.INTL(E284,F284,11)*100,1))))</f>
        <v/>
      </c>
      <c r="K284" s="36" t="str">
        <f aca="false">IF(OR(NOT(AND(ISNUMBER(E284),ISNUMBER(F284))),$J$2=""),"",IF(Reprogramaciones!O$9&lt;E284,0,IF(NETWORKDAYS.INTL(E284,F284,11)=0,IF(Reprogramaciones!O$9&gt;=F284,100,0),ROUND(NETWORKDAYS.INTL(E284,MIN(F284,Reprogramaciones!O$9),11)/NETWORKDAYS.INTL(E284,F284,11)*100,1)))-IF(Reprogramaciones!N$9&lt;E284,0,IF(NETWORKDAYS.INTL(E284,F284,11)=0,IF(Reprogramaciones!N$9&gt;=F284,100,0),ROUND(NETWORKDAYS.INTL(E284,MIN(F284,Reprogramaciones!N$9),11)/NETWORKDAYS.INTL(E284,F284,11)*100,1))))</f>
        <v/>
      </c>
      <c r="L284" s="36" t="str">
        <f aca="false">IF(OR(NOT(AND(ISNUMBER(E284),ISNUMBER(F284))),$J$2=""),"",IF(Reprogramaciones!P$9&lt;E284,0,IF(NETWORKDAYS.INTL(E284,F284,11)=0,IF(Reprogramaciones!P$9&gt;=F284,100,0),ROUND(NETWORKDAYS.INTL(E284,MIN(F284,Reprogramaciones!P$9),11)/NETWORKDAYS.INTL(E284,F284,11)*100,1)))-IF(Reprogramaciones!O$9&lt;E284,0,IF(NETWORKDAYS.INTL(E284,F284,11)=0,IF(Reprogramaciones!O$9&gt;=F284,100,0),ROUND(NETWORKDAYS.INTL(E284,MIN(F284,Reprogramaciones!O$9),11)/NETWORKDAYS.INTL(E284,F284,11)*100,1))))</f>
        <v/>
      </c>
      <c r="M284" s="36" t="str">
        <f aca="false">IF(OR(NOT(AND(ISNUMBER(E284),ISNUMBER(F284))),$J$2=""),"",IF(Reprogramaciones!Q$9&lt;E284,0,IF(NETWORKDAYS.INTL(E284,F284,11)=0,IF(Reprogramaciones!Q$9&gt;=F284,100,0),ROUND(NETWORKDAYS.INTL(E284,MIN(F284,Reprogramaciones!Q$9),11)/NETWORKDAYS.INTL(E284,F284,11)*100,1)))-IF(Reprogramaciones!P$9&lt;E284,0,IF(NETWORKDAYS.INTL(E284,F284,11)=0,IF(Reprogramaciones!P$9&gt;=F284,100,0),ROUND(NETWORKDAYS.INTL(E284,MIN(F284,Reprogramaciones!P$9),11)/NETWORKDAYS.INTL(E284,F284,11)*100,1))))</f>
        <v/>
      </c>
      <c r="N284" s="36" t="str">
        <f aca="false">IF(OR(NOT(AND(ISNUMBER(E284),ISNUMBER(F284))),$J$2=""),"",IF(Reprogramaciones!R$9&lt;E284,0,IF(NETWORKDAYS.INTL(E284,F284,11)=0,IF(Reprogramaciones!R$9&gt;=F284,100,0),ROUND(NETWORKDAYS.INTL(E284,MIN(F284,Reprogramaciones!R$9),11)/NETWORKDAYS.INTL(E284,F284,11)*100,1)))-IF(Reprogramaciones!Q$9&lt;E284,0,IF(NETWORKDAYS.INTL(E284,F284,11)=0,IF(Reprogramaciones!Q$9&gt;=F284,100,0),ROUND(NETWORKDAYS.INTL(E284,MIN(F284,Reprogramaciones!Q$9),11)/NETWORKDAYS.INTL(E284,F284,11)*100,1))))</f>
        <v/>
      </c>
      <c r="O284" s="36" t="str">
        <f aca="false">IF(OR(NOT(AND(ISNUMBER(E284),ISNUMBER(F284))),$J$2=""),"",IF(Reprogramaciones!S$9&lt;E284,0,IF(NETWORKDAYS.INTL(E284,F284,11)=0,IF(Reprogramaciones!S$9&gt;=F284,100,0),ROUND(NETWORKDAYS.INTL(E284,MIN(F284,Reprogramaciones!S$9),11)/NETWORKDAYS.INTL(E284,F284,11)*100,1)))-IF(Reprogramaciones!R$9&lt;E284,0,IF(NETWORKDAYS.INTL(E284,F284,11)=0,IF(Reprogramaciones!R$9&gt;=F284,100,0),ROUND(NETWORKDAYS.INTL(E284,MIN(F284,Reprogramaciones!R$9),11)/NETWORKDAYS.INTL(E284,F284,11)*100,1))))</f>
        <v/>
      </c>
      <c r="P284" s="36" t="str">
        <f aca="false">IF(OR(NOT(AND(ISNUMBER(E284),ISNUMBER(F284))),$J$2=""),"",IF(Reprogramaciones!T$9&lt;E284,0,IF(NETWORKDAYS.INTL(E284,F284,11)=0,IF(Reprogramaciones!T$9&gt;=F284,100,0),ROUND(NETWORKDAYS.INTL(E284,MIN(F284,Reprogramaciones!T$9),11)/NETWORKDAYS.INTL(E284,F284,11)*100,1)))-IF(Reprogramaciones!S$9&lt;E284,0,IF(NETWORKDAYS.INTL(E284,F284,11)=0,IF(Reprogramaciones!S$9&gt;=F284,100,0),ROUND(NETWORKDAYS.INTL(E284,MIN(F284,Reprogramaciones!S$9),11)/NETWORKDAYS.INTL(E284,F284,11)*100,1))))</f>
        <v/>
      </c>
      <c r="Q284" s="37"/>
      <c r="R284" s="37"/>
      <c r="S284" s="37"/>
      <c r="T284" s="37"/>
      <c r="U284" s="37"/>
      <c r="V284" s="37"/>
      <c r="W284" s="37"/>
      <c r="X284" s="37"/>
      <c r="Y284" s="37"/>
      <c r="Z284" s="37"/>
      <c r="AA284" s="37"/>
      <c r="AB284" s="37"/>
      <c r="AC284" s="37"/>
      <c r="AD284" s="37"/>
      <c r="AE284" s="37"/>
      <c r="AF284" s="37"/>
      <c r="AG284" s="38" t="str">
        <f aca="false">IF(AND(ISNUMBER(E284),ISNUMBER(F284)),NETWORKDAYS.INTL(E284,F284,11),"")</f>
        <v/>
      </c>
      <c r="AH284" s="38" t="str">
        <f aca="false">IF(OR(NOT(AND(ISNUMBER(E284),ISNUMBER(F284))),$J$2=""),"",IF(Reprogramaciones!$P$15&lt;Reprogramaciones!$T$15,0,IF(Reprogramaciones!$R$15&gt;10,MIN(100,SUM($G284:$P284)),MIN(100,SUMPRODUCT((COLUMN($G284:$P284)-COLUMN($G284)+1&lt;Reprogramaciones!$R$15)*$G284:$P284)+N(INDEX($G284:$P284,1,Reprogramaciones!$R$15))*IF(Reprogramaciones!$P$15&gt;=(Reprogramaciones!$T$15+7*(Reprogramaciones!$R$15-1))+6,1,IF(MAX(0,NETWORKDAYS.INTL(MAX(E284,(Reprogramaciones!$T$15+7*(Reprogramaciones!$R$15-1))),MIN(F284,(Reprogramaciones!$T$15+7*(Reprogramaciones!$R$15-1))+6),11))=0,0,MAX(0,NETWORKDAYS.INTL(MAX(E284,(Reprogramaciones!$T$15+7*(Reprogramaciones!$R$15-1))),MIN(F284,Reprogramaciones!$P$15),11))/MAX(0,NETWORKDAYS.INTL(MAX(E284,(Reprogramaciones!$T$15+7*(Reprogramaciones!$R$15-1))),MIN(F284,(Reprogramaciones!$T$15+7*(Reprogramaciones!$R$15-1))+6),11))))))))</f>
        <v/>
      </c>
      <c r="AI284" s="38" t="str">
        <f aca="false">IF(COUNT($Q284:$AF284)=0,"",IF(ROUND(SUM($Q284:$AF284),1)&gt;=99.5,100,MIN(100,ROUND(SUM($Q284:$AF284),1))))</f>
        <v/>
      </c>
      <c r="AJ284" s="38" t="str">
        <f aca="false">IF(OR(AH284="",AI284=""),"",AI284-AH284)</f>
        <v/>
      </c>
      <c r="AK284" s="39" t="str">
        <f aca="true">IF(AH284="","",IF(OR(Ficha!$C$10="Suspendida",Ficha!$C$10="Cancelada"),Ficha!$C$10,IF(AND(AI284&lt;&gt;"",N(AI284)&gt;=100),"Completada",IF(AND(E284&gt;TODAY(),N(AI284)=0),"Por iniciar",IF(N(AI284)+0.5&lt;AH284,"Retrasada",IF(N(AI284)+0.5&lt;DA284,IF(Reprogramaciones!$K$15&gt;0,"Al día · Sem "&amp;Reprogramaciones!$K$15&amp;" en curso","Al día · en curso"),"A tiempo"))))))</f>
        <v/>
      </c>
      <c r="AL284" s="39" t="str">
        <f aca="true">IF(AND(A284="",AND(B284="",C284="",E284="",F284="",COUNT(Q284:AF284)=0)),"",IF(AND(B284="",C284="",E284="",F284="",COUNT(Q284:AF284)=0),"Falta la partida o subpartida",IF(AND(A284&lt;&gt;"",COUNTIF($A$6:$A$305,A284)&gt;1),"Ítem repetido",IF(AND(C284="",E284="",F284="",COUNT(Q284:AF284)=0),"Título de partida",IF(OR(E284="",F284=""),"Faltan fechas",IF(OR(ISTEXT(E284),ISTEXT(F284)),"Fecha escrita como texto: usa dd/mm/aaaa",IF(F284&lt;E284,"Fin antes del inicio",IF(IF($J$2="",FALSE(),OR(E284&lt;$J$2,F284&gt;Reprogramaciones!$T$15+69)),"Fuera de las 10 semanas",IF(ABS(SUM(G284:P284)-100)&gt;0.5,"La meta no suma 100%",IF(ROUND(SUM(Q284:AF284),1)&gt;100.5,"El avance pasa de 100%",IF(MIN(Q284:AF284)&lt;0,"Avance negativo",IF(COUNTA(Q284:AF284)&gt;COUNT(Q284:AF284),"Avance escrito como texto",IF(SUMPRODUCT((Q284:AF284&gt;0)*(Q284:AF284&lt;1))&gt;0,"Avance menor a 1: escribe 50, no 50%",IF(SUMPRODUCT(ISNUMBER(Q284:AF284)*(Reprogramaciones!$K$8:$Z$8&gt;TODAY()))&gt;0,"Avance en semana que aún no llega",IF(AND(N(Reprogramaciones!$E$21)&gt;0,F284&gt;Reprogramaciones!$E$21),"Pasa el fin de la obra: registra una reprogramación",IF(AND(N(Reprogramaciones!$E$21)&gt;0,SUMPRODUCT(ISNUMBER(Q284:AF284)*(Reprogramaciones!$K$8:$Z$8&gt;Reprogramaciones!$E$21))&gt;0),"Avance después del fin de la obra: registra una reprogramación por atraso","OK"))))))))))))))))</f>
        <v/>
      </c>
      <c r="AM284" s="40" t="str">
        <f aca="false">IF(OR(OR(NOT(AND(ISNUMBER(E284),ISNUMBER(F284))),$J$2=""),1&gt;MAX(1,Reprogramaciones!$U$15)),"",IF(Reprogramaciones!K$12&gt;=7,"",IF(OR(BT284-N(0)&gt;0.05,N(Q284)&gt;0),ROUNDDOWN(ROUND(BT284,6),0)&amp;"%"&amp;IF(CJ284="",""," / "&amp;CJ284&amp;"%"),IF(AND(N(0)&gt;=99.95,CJ284&lt;&gt;"",N(CJ284)&lt;100),"Pend. "&amp;CJ284&amp;"%",""))))</f>
        <v/>
      </c>
      <c r="AN284" s="40" t="str">
        <f aca="false">IF(OR(OR(NOT(AND(ISNUMBER(E284),ISNUMBER(F284))),$J$2=""),2&gt;MAX(1,Reprogramaciones!$U$15)),"",IF(Reprogramaciones!L$12&gt;=7,"",IF(OR(BU284-N(BT284)&gt;0.05,N(R284)&gt;0),ROUNDDOWN(ROUND(BU284,6),0)&amp;"%"&amp;IF(CK284="",""," / "&amp;CK284&amp;"%"),IF(AND(N(BT284)&gt;=99.95,CK284&lt;&gt;"",N(CK284)&lt;100),"Pend. "&amp;CK284&amp;"%",""))))</f>
        <v/>
      </c>
      <c r="AO284" s="40" t="str">
        <f aca="false">IF(OR(OR(NOT(AND(ISNUMBER(E284),ISNUMBER(F284))),$J$2=""),3&gt;MAX(1,Reprogramaciones!$U$15)),"",IF(Reprogramaciones!M$12&gt;=7,"",IF(OR(BV284-N(BU284)&gt;0.05,N(S284)&gt;0),ROUNDDOWN(ROUND(BV284,6),0)&amp;"%"&amp;IF(CL284="",""," / "&amp;CL284&amp;"%"),IF(AND(N(BU284)&gt;=99.95,CL284&lt;&gt;"",N(CL284)&lt;100),"Pend. "&amp;CL284&amp;"%",""))))</f>
        <v/>
      </c>
      <c r="AP284" s="40" t="str">
        <f aca="false">IF(OR(OR(NOT(AND(ISNUMBER(E284),ISNUMBER(F284))),$J$2=""),4&gt;MAX(1,Reprogramaciones!$U$15)),"",IF(Reprogramaciones!N$12&gt;=7,"",IF(OR(BW284-N(BV284)&gt;0.05,N(T284)&gt;0),ROUNDDOWN(ROUND(BW284,6),0)&amp;"%"&amp;IF(CM284="",""," / "&amp;CM284&amp;"%"),IF(AND(N(BV284)&gt;=99.95,CM284&lt;&gt;"",N(CM284)&lt;100),"Pend. "&amp;CM284&amp;"%",""))))</f>
        <v/>
      </c>
      <c r="AQ284" s="40" t="str">
        <f aca="false">IF(OR(OR(NOT(AND(ISNUMBER(E284),ISNUMBER(F284))),$J$2=""),5&gt;MAX(1,Reprogramaciones!$U$15)),"",IF(Reprogramaciones!O$12&gt;=7,"",IF(OR(BX284-N(BW284)&gt;0.05,N(U284)&gt;0),ROUNDDOWN(ROUND(BX284,6),0)&amp;"%"&amp;IF(CN284="",""," / "&amp;CN284&amp;"%"),IF(AND(N(BW284)&gt;=99.95,CN284&lt;&gt;"",N(CN284)&lt;100),"Pend. "&amp;CN284&amp;"%",""))))</f>
        <v/>
      </c>
      <c r="AR284" s="40" t="str">
        <f aca="false">IF(OR(OR(NOT(AND(ISNUMBER(E284),ISNUMBER(F284))),$J$2=""),6&gt;MAX(1,Reprogramaciones!$U$15)),"",IF(Reprogramaciones!P$12&gt;=7,"",IF(OR(BY284-N(BX284)&gt;0.05,N(V284)&gt;0),ROUNDDOWN(ROUND(BY284,6),0)&amp;"%"&amp;IF(CO284="",""," / "&amp;CO284&amp;"%"),IF(AND(N(BX284)&gt;=99.95,CO284&lt;&gt;"",N(CO284)&lt;100),"Pend. "&amp;CO284&amp;"%",""))))</f>
        <v/>
      </c>
      <c r="AS284" s="40" t="str">
        <f aca="false">IF(OR(OR(NOT(AND(ISNUMBER(E284),ISNUMBER(F284))),$J$2=""),7&gt;MAX(1,Reprogramaciones!$U$15)),"",IF(Reprogramaciones!Q$12&gt;=7,"",IF(OR(BZ284-N(BY284)&gt;0.05,N(W284)&gt;0),ROUNDDOWN(ROUND(BZ284,6),0)&amp;"%"&amp;IF(CP284="",""," / "&amp;CP284&amp;"%"),IF(AND(N(BY284)&gt;=99.95,CP284&lt;&gt;"",N(CP284)&lt;100),"Pend. "&amp;CP284&amp;"%",""))))</f>
        <v/>
      </c>
      <c r="AT284" s="40" t="str">
        <f aca="false">IF(OR(OR(NOT(AND(ISNUMBER(E284),ISNUMBER(F284))),$J$2=""),8&gt;MAX(1,Reprogramaciones!$U$15)),"",IF(Reprogramaciones!R$12&gt;=7,"",IF(OR(CA284-N(BZ284)&gt;0.05,N(X284)&gt;0),ROUNDDOWN(ROUND(CA284,6),0)&amp;"%"&amp;IF(CQ284="",""," / "&amp;CQ284&amp;"%"),IF(AND(N(BZ284)&gt;=99.95,CQ284&lt;&gt;"",N(CQ284)&lt;100),"Pend. "&amp;CQ284&amp;"%",""))))</f>
        <v/>
      </c>
      <c r="AU284" s="40" t="str">
        <f aca="false">IF(OR(OR(NOT(AND(ISNUMBER(E284),ISNUMBER(F284))),$J$2=""),9&gt;MAX(1,Reprogramaciones!$U$15)),"",IF(Reprogramaciones!S$12&gt;=7,"",IF(OR(CB284-N(CA284)&gt;0.05,N(Y284)&gt;0),ROUNDDOWN(ROUND(CB284,6),0)&amp;"%"&amp;IF(CR284="",""," / "&amp;CR284&amp;"%"),IF(AND(N(CA284)&gt;=99.95,CR284&lt;&gt;"",N(CR284)&lt;100),"Pend. "&amp;CR284&amp;"%",""))))</f>
        <v/>
      </c>
      <c r="AV284" s="40" t="str">
        <f aca="false">IF(OR(OR(NOT(AND(ISNUMBER(E284),ISNUMBER(F284))),$J$2=""),10&gt;MAX(1,Reprogramaciones!$U$15)),"",IF(Reprogramaciones!T$12&gt;=7,"",IF(OR(CC284-N(CB284)&gt;0.05,N(Z284)&gt;0),ROUNDDOWN(ROUND(CC284,6),0)&amp;"%"&amp;IF(CS284="",""," / "&amp;CS284&amp;"%"),IF(AND(N(CB284)&gt;=99.95,CS284&lt;&gt;"",N(CS284)&lt;100),"Pend. "&amp;CS284&amp;"%",""))))</f>
        <v/>
      </c>
      <c r="AW284" s="40" t="str">
        <f aca="false">IF(OR(OR(NOT(AND(ISNUMBER(E284),ISNUMBER(F284))),$J$2=""),11&gt;MAX(1,Reprogramaciones!$U$15)),"",IF(Reprogramaciones!U$12&gt;=7,"",IF(OR(CD284-N(CC284)&gt;0.05,N(AA284)&gt;0),ROUNDDOWN(ROUND(CD284,6),0)&amp;"%"&amp;IF(CT284="",""," / "&amp;CT284&amp;"%"),IF(AND(N(CC284)&gt;=99.95,CT284&lt;&gt;"",N(CT284)&lt;100),"Pend. "&amp;CT284&amp;"%",""))))</f>
        <v/>
      </c>
      <c r="AX284" s="40" t="str">
        <f aca="false">IF(OR(OR(NOT(AND(ISNUMBER(E284),ISNUMBER(F284))),$J$2=""),12&gt;MAX(1,Reprogramaciones!$U$15)),"",IF(Reprogramaciones!V$12&gt;=7,"",IF(OR(CE284-N(CD284)&gt;0.05,N(AB284)&gt;0),ROUNDDOWN(ROUND(CE284,6),0)&amp;"%"&amp;IF(CU284="",""," / "&amp;CU284&amp;"%"),IF(AND(N(CD284)&gt;=99.95,CU284&lt;&gt;"",N(CU284)&lt;100),"Pend. "&amp;CU284&amp;"%",""))))</f>
        <v/>
      </c>
      <c r="AY284" s="40" t="str">
        <f aca="false">IF(OR(OR(NOT(AND(ISNUMBER(E284),ISNUMBER(F284))),$J$2=""),13&gt;MAX(1,Reprogramaciones!$U$15)),"",IF(Reprogramaciones!W$12&gt;=7,"",IF(OR(CF284-N(CE284)&gt;0.05,N(AC284)&gt;0),ROUNDDOWN(ROUND(CF284,6),0)&amp;"%"&amp;IF(CV284="",""," / "&amp;CV284&amp;"%"),IF(AND(N(CE284)&gt;=99.95,CV284&lt;&gt;"",N(CV284)&lt;100),"Pend. "&amp;CV284&amp;"%",""))))</f>
        <v/>
      </c>
      <c r="AZ284" s="40" t="str">
        <f aca="false">IF(OR(OR(NOT(AND(ISNUMBER(E284),ISNUMBER(F284))),$J$2=""),14&gt;MAX(1,Reprogramaciones!$U$15)),"",IF(Reprogramaciones!X$12&gt;=7,"",IF(OR(CG284-N(CF284)&gt;0.05,N(AD284)&gt;0),ROUNDDOWN(ROUND(CG284,6),0)&amp;"%"&amp;IF(CW284="",""," / "&amp;CW284&amp;"%"),IF(AND(N(CF284)&gt;=99.95,CW284&lt;&gt;"",N(CW284)&lt;100),"Pend. "&amp;CW284&amp;"%",""))))</f>
        <v/>
      </c>
      <c r="BA284" s="40" t="str">
        <f aca="false">IF(OR(OR(NOT(AND(ISNUMBER(E284),ISNUMBER(F284))),$J$2=""),15&gt;MAX(1,Reprogramaciones!$U$15)),"",IF(Reprogramaciones!Y$12&gt;=7,"",IF(OR(CH284-N(CG284)&gt;0.05,N(AE284)&gt;0),ROUNDDOWN(ROUND(CH284,6),0)&amp;"%"&amp;IF(CX284="",""," / "&amp;CX284&amp;"%"),IF(AND(N(CG284)&gt;=99.95,CX284&lt;&gt;"",N(CX284)&lt;100),"Pend. "&amp;CX284&amp;"%",""))))</f>
        <v/>
      </c>
      <c r="BB284" s="40" t="str">
        <f aca="false">IF(OR(OR(NOT(AND(ISNUMBER(E284),ISNUMBER(F284))),$J$2=""),16&gt;MAX(1,Reprogramaciones!$U$15)),"",IF(Reprogramaciones!Z$12&gt;=7,"",IF(OR(CI284-N(CH284)&gt;0.05,N(AF284)&gt;0),ROUNDDOWN(ROUND(CI284,6),0)&amp;"%"&amp;IF(CY284="",""," / "&amp;CY284&amp;"%"),IF(AND(N(CH284)&gt;=99.95,CY284&lt;&gt;"",N(CY284)&lt;100),"Pend. "&amp;CY284&amp;"%",""))))</f>
        <v/>
      </c>
      <c r="BC284" s="31" t="n">
        <f aca="false">IF(AND(ISNUMBER(E284),ISNUMBER(F284)),MAX(1,NETWORKDAYS.INTL(E284,F284,11)),0)</f>
        <v>0</v>
      </c>
      <c r="BD284" s="1" t="str">
        <f aca="false">IF(OR(NOT(AND(ISNUMBER(E284),ISNUMBER(F284))),$J$2=""),"",MIN(100,ROUND(SUM($G284:G284),1)))</f>
        <v/>
      </c>
      <c r="BE284" s="1" t="str">
        <f aca="false">IF(OR(NOT(AND(ISNUMBER(E284),ISNUMBER(F284))),$J$2=""),"",MIN(100,ROUND(SUM($G284:H284),1)))</f>
        <v/>
      </c>
      <c r="BF284" s="1" t="str">
        <f aca="false">IF(OR(NOT(AND(ISNUMBER(E284),ISNUMBER(F284))),$J$2=""),"",MIN(100,ROUND(SUM($G284:I284),1)))</f>
        <v/>
      </c>
      <c r="BG284" s="1" t="str">
        <f aca="false">IF(OR(NOT(AND(ISNUMBER(E284),ISNUMBER(F284))),$J$2=""),"",MIN(100,ROUND(SUM($G284:J284),1)))</f>
        <v/>
      </c>
      <c r="BH284" s="1" t="str">
        <f aca="false">IF(OR(NOT(AND(ISNUMBER(E284),ISNUMBER(F284))),$J$2=""),"",MIN(100,ROUND(SUM($G284:K284),1)))</f>
        <v/>
      </c>
      <c r="BI284" s="1" t="str">
        <f aca="false">IF(OR(NOT(AND(ISNUMBER(E284),ISNUMBER(F284))),$J$2=""),"",MIN(100,ROUND(SUM($G284:L284),1)))</f>
        <v/>
      </c>
      <c r="BJ284" s="1" t="str">
        <f aca="false">IF(OR(NOT(AND(ISNUMBER(E284),ISNUMBER(F284))),$J$2=""),"",MIN(100,ROUND(SUM($G284:M284),1)))</f>
        <v/>
      </c>
      <c r="BK284" s="1" t="str">
        <f aca="false">IF(OR(NOT(AND(ISNUMBER(E284),ISNUMBER(F284))),$J$2=""),"",MIN(100,ROUND(SUM($G284:N284),1)))</f>
        <v/>
      </c>
      <c r="BL284" s="1" t="str">
        <f aca="false">IF(OR(NOT(AND(ISNUMBER(E284),ISNUMBER(F284))),$J$2=""),"",MIN(100,ROUND(SUM($G284:O284),1)))</f>
        <v/>
      </c>
      <c r="BM284" s="1" t="str">
        <f aca="false">IF(OR(NOT(AND(ISNUMBER(E284),ISNUMBER(F284))),$J$2=""),"",MIN(100,ROUND(SUM($G284:P284),1)))</f>
        <v/>
      </c>
      <c r="BN284" s="1" t="str">
        <f aca="false">IF(OR(NOT(AND(ISNUMBER(E284),ISNUMBER(F284))),$J$2=""),"",MIN(100,ROUND(SUM($G284:P284),1)))</f>
        <v/>
      </c>
      <c r="BO284" s="1" t="str">
        <f aca="false">IF(OR(NOT(AND(ISNUMBER(E284),ISNUMBER(F284))),$J$2=""),"",MIN(100,ROUND(SUM($G284:P284),1)))</f>
        <v/>
      </c>
      <c r="BP284" s="1" t="str">
        <f aca="false">IF(OR(NOT(AND(ISNUMBER(E284),ISNUMBER(F284))),$J$2=""),"",MIN(100,ROUND(SUM($G284:P284),1)))</f>
        <v/>
      </c>
      <c r="BQ284" s="1" t="str">
        <f aca="false">IF(OR(NOT(AND(ISNUMBER(E284),ISNUMBER(F284))),$J$2=""),"",MIN(100,ROUND(SUM($G284:P284),1)))</f>
        <v/>
      </c>
      <c r="BR284" s="1" t="str">
        <f aca="false">IF(OR(NOT(AND(ISNUMBER(E284),ISNUMBER(F284))),$J$2=""),"",MIN(100,ROUND(SUM($G284:P284),1)))</f>
        <v/>
      </c>
      <c r="BS284" s="1" t="str">
        <f aca="false">IF(OR(NOT(AND(ISNUMBER(E284),ISNUMBER(F284))),$J$2=""),"",MIN(100,ROUND(SUM($G284:P284),1)))</f>
        <v/>
      </c>
      <c r="BT284" s="1" t="str">
        <f aca="false">IF(OR(NOT(AND(ISNUMBER(E284),ISNUMBER(F284))),$J$2=""),"",IF(Reprogramaciones!K$13&lt;Reprogramaciones!$T$15,0,IF(Reprogramaciones!K$14&gt;10,MIN(100,SUM($G284:$P284)),MIN(100,SUMPRODUCT((COLUMN($G284:$P284)-COLUMN($G284)+1&lt;Reprogramaciones!K$14)*$G284:$P284)+N(INDEX($G284:$P284,1,Reprogramaciones!K$14))*IF(Reprogramaciones!K$13&gt;=(Reprogramaciones!$T$15+7*(Reprogramaciones!K$14-1))+6,1,IF(MAX(0,NETWORKDAYS.INTL(MAX(E284,(Reprogramaciones!$T$15+7*(Reprogramaciones!K$14-1))),MIN(F284,(Reprogramaciones!$T$15+7*(Reprogramaciones!K$14-1))+6),11))=0,0,MAX(0,NETWORKDAYS.INTL(MAX(E284,(Reprogramaciones!$T$15+7*(Reprogramaciones!K$14-1))),MIN(F284,Reprogramaciones!K$13),11))/MAX(0,NETWORKDAYS.INTL(MAX(E284,(Reprogramaciones!$T$15+7*(Reprogramaciones!K$14-1))),MIN(F284,(Reprogramaciones!$T$15+7*(Reprogramaciones!K$14-1))+6),11))))))))</f>
        <v/>
      </c>
      <c r="BU284" s="1" t="str">
        <f aca="false">IF(OR(NOT(AND(ISNUMBER(E284),ISNUMBER(F284))),$J$2=""),"",IF(Reprogramaciones!L$13&lt;Reprogramaciones!$T$15,0,IF(Reprogramaciones!L$14&gt;10,MIN(100,SUM($G284:$P284)),MIN(100,SUMPRODUCT((COLUMN($G284:$P284)-COLUMN($G284)+1&lt;Reprogramaciones!L$14)*$G284:$P284)+N(INDEX($G284:$P284,1,Reprogramaciones!L$14))*IF(Reprogramaciones!L$13&gt;=(Reprogramaciones!$T$15+7*(Reprogramaciones!L$14-1))+6,1,IF(MAX(0,NETWORKDAYS.INTL(MAX(E284,(Reprogramaciones!$T$15+7*(Reprogramaciones!L$14-1))),MIN(F284,(Reprogramaciones!$T$15+7*(Reprogramaciones!L$14-1))+6),11))=0,0,MAX(0,NETWORKDAYS.INTL(MAX(E284,(Reprogramaciones!$T$15+7*(Reprogramaciones!L$14-1))),MIN(F284,Reprogramaciones!L$13),11))/MAX(0,NETWORKDAYS.INTL(MAX(E284,(Reprogramaciones!$T$15+7*(Reprogramaciones!L$14-1))),MIN(F284,(Reprogramaciones!$T$15+7*(Reprogramaciones!L$14-1))+6),11))))))))</f>
        <v/>
      </c>
      <c r="BV284" s="1" t="str">
        <f aca="false">IF(OR(NOT(AND(ISNUMBER(E284),ISNUMBER(F284))),$J$2=""),"",IF(Reprogramaciones!M$13&lt;Reprogramaciones!$T$15,0,IF(Reprogramaciones!M$14&gt;10,MIN(100,SUM($G284:$P284)),MIN(100,SUMPRODUCT((COLUMN($G284:$P284)-COLUMN($G284)+1&lt;Reprogramaciones!M$14)*$G284:$P284)+N(INDEX($G284:$P284,1,Reprogramaciones!M$14))*IF(Reprogramaciones!M$13&gt;=(Reprogramaciones!$T$15+7*(Reprogramaciones!M$14-1))+6,1,IF(MAX(0,NETWORKDAYS.INTL(MAX(E284,(Reprogramaciones!$T$15+7*(Reprogramaciones!M$14-1))),MIN(F284,(Reprogramaciones!$T$15+7*(Reprogramaciones!M$14-1))+6),11))=0,0,MAX(0,NETWORKDAYS.INTL(MAX(E284,(Reprogramaciones!$T$15+7*(Reprogramaciones!M$14-1))),MIN(F284,Reprogramaciones!M$13),11))/MAX(0,NETWORKDAYS.INTL(MAX(E284,(Reprogramaciones!$T$15+7*(Reprogramaciones!M$14-1))),MIN(F284,(Reprogramaciones!$T$15+7*(Reprogramaciones!M$14-1))+6),11))))))))</f>
        <v/>
      </c>
      <c r="BW284" s="1" t="str">
        <f aca="false">IF(OR(NOT(AND(ISNUMBER(E284),ISNUMBER(F284))),$J$2=""),"",IF(Reprogramaciones!N$13&lt;Reprogramaciones!$T$15,0,IF(Reprogramaciones!N$14&gt;10,MIN(100,SUM($G284:$P284)),MIN(100,SUMPRODUCT((COLUMN($G284:$P284)-COLUMN($G284)+1&lt;Reprogramaciones!N$14)*$G284:$P284)+N(INDEX($G284:$P284,1,Reprogramaciones!N$14))*IF(Reprogramaciones!N$13&gt;=(Reprogramaciones!$T$15+7*(Reprogramaciones!N$14-1))+6,1,IF(MAX(0,NETWORKDAYS.INTL(MAX(E284,(Reprogramaciones!$T$15+7*(Reprogramaciones!N$14-1))),MIN(F284,(Reprogramaciones!$T$15+7*(Reprogramaciones!N$14-1))+6),11))=0,0,MAX(0,NETWORKDAYS.INTL(MAX(E284,(Reprogramaciones!$T$15+7*(Reprogramaciones!N$14-1))),MIN(F284,Reprogramaciones!N$13),11))/MAX(0,NETWORKDAYS.INTL(MAX(E284,(Reprogramaciones!$T$15+7*(Reprogramaciones!N$14-1))),MIN(F284,(Reprogramaciones!$T$15+7*(Reprogramaciones!N$14-1))+6),11))))))))</f>
        <v/>
      </c>
      <c r="BX284" s="1" t="str">
        <f aca="false">IF(OR(NOT(AND(ISNUMBER(E284),ISNUMBER(F284))),$J$2=""),"",IF(Reprogramaciones!O$13&lt;Reprogramaciones!$T$15,0,IF(Reprogramaciones!O$14&gt;10,MIN(100,SUM($G284:$P284)),MIN(100,SUMPRODUCT((COLUMN($G284:$P284)-COLUMN($G284)+1&lt;Reprogramaciones!O$14)*$G284:$P284)+N(INDEX($G284:$P284,1,Reprogramaciones!O$14))*IF(Reprogramaciones!O$13&gt;=(Reprogramaciones!$T$15+7*(Reprogramaciones!O$14-1))+6,1,IF(MAX(0,NETWORKDAYS.INTL(MAX(E284,(Reprogramaciones!$T$15+7*(Reprogramaciones!O$14-1))),MIN(F284,(Reprogramaciones!$T$15+7*(Reprogramaciones!O$14-1))+6),11))=0,0,MAX(0,NETWORKDAYS.INTL(MAX(E284,(Reprogramaciones!$T$15+7*(Reprogramaciones!O$14-1))),MIN(F284,Reprogramaciones!O$13),11))/MAX(0,NETWORKDAYS.INTL(MAX(E284,(Reprogramaciones!$T$15+7*(Reprogramaciones!O$14-1))),MIN(F284,(Reprogramaciones!$T$15+7*(Reprogramaciones!O$14-1))+6),11))))))))</f>
        <v/>
      </c>
      <c r="BY284" s="1" t="str">
        <f aca="false">IF(OR(NOT(AND(ISNUMBER(E284),ISNUMBER(F284))),$J$2=""),"",IF(Reprogramaciones!P$13&lt;Reprogramaciones!$T$15,0,IF(Reprogramaciones!P$14&gt;10,MIN(100,SUM($G284:$P284)),MIN(100,SUMPRODUCT((COLUMN($G284:$P284)-COLUMN($G284)+1&lt;Reprogramaciones!P$14)*$G284:$P284)+N(INDEX($G284:$P284,1,Reprogramaciones!P$14))*IF(Reprogramaciones!P$13&gt;=(Reprogramaciones!$T$15+7*(Reprogramaciones!P$14-1))+6,1,IF(MAX(0,NETWORKDAYS.INTL(MAX(E284,(Reprogramaciones!$T$15+7*(Reprogramaciones!P$14-1))),MIN(F284,(Reprogramaciones!$T$15+7*(Reprogramaciones!P$14-1))+6),11))=0,0,MAX(0,NETWORKDAYS.INTL(MAX(E284,(Reprogramaciones!$T$15+7*(Reprogramaciones!P$14-1))),MIN(F284,Reprogramaciones!P$13),11))/MAX(0,NETWORKDAYS.INTL(MAX(E284,(Reprogramaciones!$T$15+7*(Reprogramaciones!P$14-1))),MIN(F284,(Reprogramaciones!$T$15+7*(Reprogramaciones!P$14-1))+6),11))))))))</f>
        <v/>
      </c>
      <c r="BZ284" s="1" t="str">
        <f aca="false">IF(OR(NOT(AND(ISNUMBER(E284),ISNUMBER(F284))),$J$2=""),"",IF(Reprogramaciones!Q$13&lt;Reprogramaciones!$T$15,0,IF(Reprogramaciones!Q$14&gt;10,MIN(100,SUM($G284:$P284)),MIN(100,SUMPRODUCT((COLUMN($G284:$P284)-COLUMN($G284)+1&lt;Reprogramaciones!Q$14)*$G284:$P284)+N(INDEX($G284:$P284,1,Reprogramaciones!Q$14))*IF(Reprogramaciones!Q$13&gt;=(Reprogramaciones!$T$15+7*(Reprogramaciones!Q$14-1))+6,1,IF(MAX(0,NETWORKDAYS.INTL(MAX(E284,(Reprogramaciones!$T$15+7*(Reprogramaciones!Q$14-1))),MIN(F284,(Reprogramaciones!$T$15+7*(Reprogramaciones!Q$14-1))+6),11))=0,0,MAX(0,NETWORKDAYS.INTL(MAX(E284,(Reprogramaciones!$T$15+7*(Reprogramaciones!Q$14-1))),MIN(F284,Reprogramaciones!Q$13),11))/MAX(0,NETWORKDAYS.INTL(MAX(E284,(Reprogramaciones!$T$15+7*(Reprogramaciones!Q$14-1))),MIN(F284,(Reprogramaciones!$T$15+7*(Reprogramaciones!Q$14-1))+6),11))))))))</f>
        <v/>
      </c>
      <c r="CA284" s="1" t="str">
        <f aca="false">IF(OR(NOT(AND(ISNUMBER(E284),ISNUMBER(F284))),$J$2=""),"",IF(Reprogramaciones!R$13&lt;Reprogramaciones!$T$15,0,IF(Reprogramaciones!R$14&gt;10,MIN(100,SUM($G284:$P284)),MIN(100,SUMPRODUCT((COLUMN($G284:$P284)-COLUMN($G284)+1&lt;Reprogramaciones!R$14)*$G284:$P284)+N(INDEX($G284:$P284,1,Reprogramaciones!R$14))*IF(Reprogramaciones!R$13&gt;=(Reprogramaciones!$T$15+7*(Reprogramaciones!R$14-1))+6,1,IF(MAX(0,NETWORKDAYS.INTL(MAX(E284,(Reprogramaciones!$T$15+7*(Reprogramaciones!R$14-1))),MIN(F284,(Reprogramaciones!$T$15+7*(Reprogramaciones!R$14-1))+6),11))=0,0,MAX(0,NETWORKDAYS.INTL(MAX(E284,(Reprogramaciones!$T$15+7*(Reprogramaciones!R$14-1))),MIN(F284,Reprogramaciones!R$13),11))/MAX(0,NETWORKDAYS.INTL(MAX(E284,(Reprogramaciones!$T$15+7*(Reprogramaciones!R$14-1))),MIN(F284,(Reprogramaciones!$T$15+7*(Reprogramaciones!R$14-1))+6),11))))))))</f>
        <v/>
      </c>
      <c r="CB284" s="1" t="str">
        <f aca="false">IF(OR(NOT(AND(ISNUMBER(E284),ISNUMBER(F284))),$J$2=""),"",IF(Reprogramaciones!S$13&lt;Reprogramaciones!$T$15,0,IF(Reprogramaciones!S$14&gt;10,MIN(100,SUM($G284:$P284)),MIN(100,SUMPRODUCT((COLUMN($G284:$P284)-COLUMN($G284)+1&lt;Reprogramaciones!S$14)*$G284:$P284)+N(INDEX($G284:$P284,1,Reprogramaciones!S$14))*IF(Reprogramaciones!S$13&gt;=(Reprogramaciones!$T$15+7*(Reprogramaciones!S$14-1))+6,1,IF(MAX(0,NETWORKDAYS.INTL(MAX(E284,(Reprogramaciones!$T$15+7*(Reprogramaciones!S$14-1))),MIN(F284,(Reprogramaciones!$T$15+7*(Reprogramaciones!S$14-1))+6),11))=0,0,MAX(0,NETWORKDAYS.INTL(MAX(E284,(Reprogramaciones!$T$15+7*(Reprogramaciones!S$14-1))),MIN(F284,Reprogramaciones!S$13),11))/MAX(0,NETWORKDAYS.INTL(MAX(E284,(Reprogramaciones!$T$15+7*(Reprogramaciones!S$14-1))),MIN(F284,(Reprogramaciones!$T$15+7*(Reprogramaciones!S$14-1))+6),11))))))))</f>
        <v/>
      </c>
      <c r="CC284" s="1" t="str">
        <f aca="false">IF(OR(NOT(AND(ISNUMBER(E284),ISNUMBER(F284))),$J$2=""),"",IF(Reprogramaciones!T$13&lt;Reprogramaciones!$T$15,0,IF(Reprogramaciones!T$14&gt;10,MIN(100,SUM($G284:$P284)),MIN(100,SUMPRODUCT((COLUMN($G284:$P284)-COLUMN($G284)+1&lt;Reprogramaciones!T$14)*$G284:$P284)+N(INDEX($G284:$P284,1,Reprogramaciones!T$14))*IF(Reprogramaciones!T$13&gt;=(Reprogramaciones!$T$15+7*(Reprogramaciones!T$14-1))+6,1,IF(MAX(0,NETWORKDAYS.INTL(MAX(E284,(Reprogramaciones!$T$15+7*(Reprogramaciones!T$14-1))),MIN(F284,(Reprogramaciones!$T$15+7*(Reprogramaciones!T$14-1))+6),11))=0,0,MAX(0,NETWORKDAYS.INTL(MAX(E284,(Reprogramaciones!$T$15+7*(Reprogramaciones!T$14-1))),MIN(F284,Reprogramaciones!T$13),11))/MAX(0,NETWORKDAYS.INTL(MAX(E284,(Reprogramaciones!$T$15+7*(Reprogramaciones!T$14-1))),MIN(F284,(Reprogramaciones!$T$15+7*(Reprogramaciones!T$14-1))+6),11))))))))</f>
        <v/>
      </c>
      <c r="CD284" s="1" t="str">
        <f aca="false">IF(OR(NOT(AND(ISNUMBER(E284),ISNUMBER(F284))),$J$2=""),"",IF(Reprogramaciones!U$13&lt;Reprogramaciones!$T$15,0,IF(Reprogramaciones!U$14&gt;10,MIN(100,SUM($G284:$P284)),MIN(100,SUMPRODUCT((COLUMN($G284:$P284)-COLUMN($G284)+1&lt;Reprogramaciones!U$14)*$G284:$P284)+N(INDEX($G284:$P284,1,Reprogramaciones!U$14))*IF(Reprogramaciones!U$13&gt;=(Reprogramaciones!$T$15+7*(Reprogramaciones!U$14-1))+6,1,IF(MAX(0,NETWORKDAYS.INTL(MAX(E284,(Reprogramaciones!$T$15+7*(Reprogramaciones!U$14-1))),MIN(F284,(Reprogramaciones!$T$15+7*(Reprogramaciones!U$14-1))+6),11))=0,0,MAX(0,NETWORKDAYS.INTL(MAX(E284,(Reprogramaciones!$T$15+7*(Reprogramaciones!U$14-1))),MIN(F284,Reprogramaciones!U$13),11))/MAX(0,NETWORKDAYS.INTL(MAX(E284,(Reprogramaciones!$T$15+7*(Reprogramaciones!U$14-1))),MIN(F284,(Reprogramaciones!$T$15+7*(Reprogramaciones!U$14-1))+6),11))))))))</f>
        <v/>
      </c>
      <c r="CE284" s="1" t="str">
        <f aca="false">IF(OR(NOT(AND(ISNUMBER(E284),ISNUMBER(F284))),$J$2=""),"",IF(Reprogramaciones!V$13&lt;Reprogramaciones!$T$15,0,IF(Reprogramaciones!V$14&gt;10,MIN(100,SUM($G284:$P284)),MIN(100,SUMPRODUCT((COLUMN($G284:$P284)-COLUMN($G284)+1&lt;Reprogramaciones!V$14)*$G284:$P284)+N(INDEX($G284:$P284,1,Reprogramaciones!V$14))*IF(Reprogramaciones!V$13&gt;=(Reprogramaciones!$T$15+7*(Reprogramaciones!V$14-1))+6,1,IF(MAX(0,NETWORKDAYS.INTL(MAX(E284,(Reprogramaciones!$T$15+7*(Reprogramaciones!V$14-1))),MIN(F284,(Reprogramaciones!$T$15+7*(Reprogramaciones!V$14-1))+6),11))=0,0,MAX(0,NETWORKDAYS.INTL(MAX(E284,(Reprogramaciones!$T$15+7*(Reprogramaciones!V$14-1))),MIN(F284,Reprogramaciones!V$13),11))/MAX(0,NETWORKDAYS.INTL(MAX(E284,(Reprogramaciones!$T$15+7*(Reprogramaciones!V$14-1))),MIN(F284,(Reprogramaciones!$T$15+7*(Reprogramaciones!V$14-1))+6),11))))))))</f>
        <v/>
      </c>
      <c r="CF284" s="1" t="str">
        <f aca="false">IF(OR(NOT(AND(ISNUMBER(E284),ISNUMBER(F284))),$J$2=""),"",IF(Reprogramaciones!W$13&lt;Reprogramaciones!$T$15,0,IF(Reprogramaciones!W$14&gt;10,MIN(100,SUM($G284:$P284)),MIN(100,SUMPRODUCT((COLUMN($G284:$P284)-COLUMN($G284)+1&lt;Reprogramaciones!W$14)*$G284:$P284)+N(INDEX($G284:$P284,1,Reprogramaciones!W$14))*IF(Reprogramaciones!W$13&gt;=(Reprogramaciones!$T$15+7*(Reprogramaciones!W$14-1))+6,1,IF(MAX(0,NETWORKDAYS.INTL(MAX(E284,(Reprogramaciones!$T$15+7*(Reprogramaciones!W$14-1))),MIN(F284,(Reprogramaciones!$T$15+7*(Reprogramaciones!W$14-1))+6),11))=0,0,MAX(0,NETWORKDAYS.INTL(MAX(E284,(Reprogramaciones!$T$15+7*(Reprogramaciones!W$14-1))),MIN(F284,Reprogramaciones!W$13),11))/MAX(0,NETWORKDAYS.INTL(MAX(E284,(Reprogramaciones!$T$15+7*(Reprogramaciones!W$14-1))),MIN(F284,(Reprogramaciones!$T$15+7*(Reprogramaciones!W$14-1))+6),11))))))))</f>
        <v/>
      </c>
      <c r="CG284" s="1" t="str">
        <f aca="false">IF(OR(NOT(AND(ISNUMBER(E284),ISNUMBER(F284))),$J$2=""),"",IF(Reprogramaciones!X$13&lt;Reprogramaciones!$T$15,0,IF(Reprogramaciones!X$14&gt;10,MIN(100,SUM($G284:$P284)),MIN(100,SUMPRODUCT((COLUMN($G284:$P284)-COLUMN($G284)+1&lt;Reprogramaciones!X$14)*$G284:$P284)+N(INDEX($G284:$P284,1,Reprogramaciones!X$14))*IF(Reprogramaciones!X$13&gt;=(Reprogramaciones!$T$15+7*(Reprogramaciones!X$14-1))+6,1,IF(MAX(0,NETWORKDAYS.INTL(MAX(E284,(Reprogramaciones!$T$15+7*(Reprogramaciones!X$14-1))),MIN(F284,(Reprogramaciones!$T$15+7*(Reprogramaciones!X$14-1))+6),11))=0,0,MAX(0,NETWORKDAYS.INTL(MAX(E284,(Reprogramaciones!$T$15+7*(Reprogramaciones!X$14-1))),MIN(F284,Reprogramaciones!X$13),11))/MAX(0,NETWORKDAYS.INTL(MAX(E284,(Reprogramaciones!$T$15+7*(Reprogramaciones!X$14-1))),MIN(F284,(Reprogramaciones!$T$15+7*(Reprogramaciones!X$14-1))+6),11))))))))</f>
        <v/>
      </c>
      <c r="CH284" s="1" t="str">
        <f aca="false">IF(OR(NOT(AND(ISNUMBER(E284),ISNUMBER(F284))),$J$2=""),"",IF(Reprogramaciones!Y$13&lt;Reprogramaciones!$T$15,0,IF(Reprogramaciones!Y$14&gt;10,MIN(100,SUM($G284:$P284)),MIN(100,SUMPRODUCT((COLUMN($G284:$P284)-COLUMN($G284)+1&lt;Reprogramaciones!Y$14)*$G284:$P284)+N(INDEX($G284:$P284,1,Reprogramaciones!Y$14))*IF(Reprogramaciones!Y$13&gt;=(Reprogramaciones!$T$15+7*(Reprogramaciones!Y$14-1))+6,1,IF(MAX(0,NETWORKDAYS.INTL(MAX(E284,(Reprogramaciones!$T$15+7*(Reprogramaciones!Y$14-1))),MIN(F284,(Reprogramaciones!$T$15+7*(Reprogramaciones!Y$14-1))+6),11))=0,0,MAX(0,NETWORKDAYS.INTL(MAX(E284,(Reprogramaciones!$T$15+7*(Reprogramaciones!Y$14-1))),MIN(F284,Reprogramaciones!Y$13),11))/MAX(0,NETWORKDAYS.INTL(MAX(E284,(Reprogramaciones!$T$15+7*(Reprogramaciones!Y$14-1))),MIN(F284,(Reprogramaciones!$T$15+7*(Reprogramaciones!Y$14-1))+6),11))))))))</f>
        <v/>
      </c>
      <c r="CI284" s="1" t="str">
        <f aca="false">IF(OR(NOT(AND(ISNUMBER(E284),ISNUMBER(F284))),$J$2=""),"",IF(Reprogramaciones!Z$13&lt;Reprogramaciones!$T$15,0,IF(Reprogramaciones!Z$14&gt;10,MIN(100,SUM($G284:$P284)),MIN(100,SUMPRODUCT((COLUMN($G284:$P284)-COLUMN($G284)+1&lt;Reprogramaciones!Z$14)*$G284:$P284)+N(INDEX($G284:$P284,1,Reprogramaciones!Z$14))*IF(Reprogramaciones!Z$13&gt;=(Reprogramaciones!$T$15+7*(Reprogramaciones!Z$14-1))+6,1,IF(MAX(0,NETWORKDAYS.INTL(MAX(E284,(Reprogramaciones!$T$15+7*(Reprogramaciones!Z$14-1))),MIN(F284,(Reprogramaciones!$T$15+7*(Reprogramaciones!Z$14-1))+6),11))=0,0,MAX(0,NETWORKDAYS.INTL(MAX(E284,(Reprogramaciones!$T$15+7*(Reprogramaciones!Z$14-1))),MIN(F284,Reprogramaciones!Z$13),11))/MAX(0,NETWORKDAYS.INTL(MAX(E284,(Reprogramaciones!$T$15+7*(Reprogramaciones!Z$14-1))),MIN(F284,(Reprogramaciones!$T$15+7*(Reprogramaciones!Z$14-1))+6),11))))))))</f>
        <v/>
      </c>
      <c r="CJ284" s="1" t="str">
        <f aca="false">IF(OR(OR(NOT(AND(ISNUMBER(E284),ISNUMBER(F284))),$J$2=""),1&gt;Reprogramaciones!$K$16),"",IF(ROUND(SUM($Q284:Q284),1)&gt;=99.5,100,MIN(100,ROUND(SUM($Q284:Q284),1))))</f>
        <v/>
      </c>
      <c r="CK284" s="1" t="str">
        <f aca="false">IF(OR(OR(NOT(AND(ISNUMBER(E284),ISNUMBER(F284))),$J$2=""),2&gt;Reprogramaciones!$K$16),"",IF(ROUND(SUM($Q284:R284),1)&gt;=99.5,100,MIN(100,ROUND(SUM($Q284:R284),1))))</f>
        <v/>
      </c>
      <c r="CL284" s="1" t="str">
        <f aca="false">IF(OR(OR(NOT(AND(ISNUMBER(E284),ISNUMBER(F284))),$J$2=""),3&gt;Reprogramaciones!$K$16),"",IF(ROUND(SUM($Q284:S284),1)&gt;=99.5,100,MIN(100,ROUND(SUM($Q284:S284),1))))</f>
        <v/>
      </c>
      <c r="CM284" s="1" t="str">
        <f aca="false">IF(OR(OR(NOT(AND(ISNUMBER(E284),ISNUMBER(F284))),$J$2=""),4&gt;Reprogramaciones!$K$16),"",IF(ROUND(SUM($Q284:T284),1)&gt;=99.5,100,MIN(100,ROUND(SUM($Q284:T284),1))))</f>
        <v/>
      </c>
      <c r="CN284" s="1" t="str">
        <f aca="false">IF(OR(OR(NOT(AND(ISNUMBER(E284),ISNUMBER(F284))),$J$2=""),5&gt;Reprogramaciones!$K$16),"",IF(ROUND(SUM($Q284:U284),1)&gt;=99.5,100,MIN(100,ROUND(SUM($Q284:U284),1))))</f>
        <v/>
      </c>
      <c r="CO284" s="1" t="str">
        <f aca="false">IF(OR(OR(NOT(AND(ISNUMBER(E284),ISNUMBER(F284))),$J$2=""),6&gt;Reprogramaciones!$K$16),"",IF(ROUND(SUM($Q284:V284),1)&gt;=99.5,100,MIN(100,ROUND(SUM($Q284:V284),1))))</f>
        <v/>
      </c>
      <c r="CP284" s="1" t="str">
        <f aca="false">IF(OR(OR(NOT(AND(ISNUMBER(E284),ISNUMBER(F284))),$J$2=""),7&gt;Reprogramaciones!$K$16),"",IF(ROUND(SUM($Q284:W284),1)&gt;=99.5,100,MIN(100,ROUND(SUM($Q284:W284),1))))</f>
        <v/>
      </c>
      <c r="CQ284" s="1" t="str">
        <f aca="false">IF(OR(OR(NOT(AND(ISNUMBER(E284),ISNUMBER(F284))),$J$2=""),8&gt;Reprogramaciones!$K$16),"",IF(ROUND(SUM($Q284:X284),1)&gt;=99.5,100,MIN(100,ROUND(SUM($Q284:X284),1))))</f>
        <v/>
      </c>
      <c r="CR284" s="1" t="str">
        <f aca="false">IF(OR(OR(NOT(AND(ISNUMBER(E284),ISNUMBER(F284))),$J$2=""),9&gt;Reprogramaciones!$K$16),"",IF(ROUND(SUM($Q284:Y284),1)&gt;=99.5,100,MIN(100,ROUND(SUM($Q284:Y284),1))))</f>
        <v/>
      </c>
      <c r="CS284" s="1" t="str">
        <f aca="false">IF(OR(OR(NOT(AND(ISNUMBER(E284),ISNUMBER(F284))),$J$2=""),10&gt;Reprogramaciones!$K$16),"",IF(ROUND(SUM($Q284:Z284),1)&gt;=99.5,100,MIN(100,ROUND(SUM($Q284:Z284),1))))</f>
        <v/>
      </c>
      <c r="CT284" s="1" t="str">
        <f aca="false">IF(OR(OR(NOT(AND(ISNUMBER(E284),ISNUMBER(F284))),$J$2=""),11&gt;Reprogramaciones!$K$16),"",IF(ROUND(SUM($Q284:AA284),1)&gt;=99.5,100,MIN(100,ROUND(SUM($Q284:AA284),1))))</f>
        <v/>
      </c>
      <c r="CU284" s="1" t="str">
        <f aca="false">IF(OR(OR(NOT(AND(ISNUMBER(E284),ISNUMBER(F284))),$J$2=""),12&gt;Reprogramaciones!$K$16),"",IF(ROUND(SUM($Q284:AB284),1)&gt;=99.5,100,MIN(100,ROUND(SUM($Q284:AB284),1))))</f>
        <v/>
      </c>
      <c r="CV284" s="1" t="str">
        <f aca="false">IF(OR(OR(NOT(AND(ISNUMBER(E284),ISNUMBER(F284))),$J$2=""),13&gt;Reprogramaciones!$K$16),"",IF(ROUND(SUM($Q284:AC284),1)&gt;=99.5,100,MIN(100,ROUND(SUM($Q284:AC284),1))))</f>
        <v/>
      </c>
      <c r="CW284" s="1" t="str">
        <f aca="false">IF(OR(OR(NOT(AND(ISNUMBER(E284),ISNUMBER(F284))),$J$2=""),14&gt;Reprogramaciones!$K$16),"",IF(ROUND(SUM($Q284:AD284),1)&gt;=99.5,100,MIN(100,ROUND(SUM($Q284:AD284),1))))</f>
        <v/>
      </c>
      <c r="CX284" s="1" t="str">
        <f aca="false">IF(OR(OR(NOT(AND(ISNUMBER(E284),ISNUMBER(F284))),$J$2=""),15&gt;Reprogramaciones!$K$16),"",IF(ROUND(SUM($Q284:AE284),1)&gt;=99.5,100,MIN(100,ROUND(SUM($Q284:AE284),1))))</f>
        <v/>
      </c>
      <c r="CY284" s="1" t="str">
        <f aca="false">IF(OR(OR(NOT(AND(ISNUMBER(E284),ISNUMBER(F284))),$J$2=""),16&gt;Reprogramaciones!$K$16),"",IF(ROUND(SUM($Q284:AF284),1)&gt;=99.5,100,MIN(100,ROUND(SUM($Q284:AF284),1))))</f>
        <v/>
      </c>
      <c r="CZ284" s="1" t="str">
        <f aca="false">IF(D284&lt;&gt;"",D284,IF(B284&lt;&gt;"","Contractual",CZ283))</f>
        <v>Contractual</v>
      </c>
      <c r="DA284" s="1" t="str">
        <f aca="false">IF(OR(NOT(AND(ISNUMBER(E284),ISNUMBER(F284))),$J$2=""),"",IF(Reprogramaciones!$Q$15&lt;Reprogramaciones!$T$15,0,IF(Reprogramaciones!$S$15&gt;10,MIN(100,SUM($G284:$P284)),MIN(100,SUMPRODUCT((COLUMN($G284:$P284)-COLUMN($G284)+1&lt;Reprogramaciones!$S$15)*$G284:$P284)+N(INDEX($G284:$P284,1,Reprogramaciones!$S$15))*IF(Reprogramaciones!$Q$15&gt;=(Reprogramaciones!$T$15+7*(Reprogramaciones!$S$15-1))+6,1,IF(MAX(0,NETWORKDAYS.INTL(MAX(E284,(Reprogramaciones!$T$15+7*(Reprogramaciones!$S$15-1))),MIN(F284,(Reprogramaciones!$T$15+7*(Reprogramaciones!$S$15-1))+6),11))=0,0,MAX(0,NETWORKDAYS.INTL(MAX(E284,(Reprogramaciones!$T$15+7*(Reprogramaciones!$S$15-1))),MIN(F284,Reprogramaciones!$Q$15),11))/MAX(0,NETWORKDAYS.INTL(MAX(E284,(Reprogramaciones!$T$15+7*(Reprogramaciones!$S$15-1))),MIN(F284,(Reprogramaciones!$T$15+7*(Reprogramaciones!$S$15-1))+6),11))))))))</f>
        <v/>
      </c>
    </row>
    <row r="285" customFormat="false" ht="15" hidden="false" customHeight="false" outlineLevel="0" collapsed="false">
      <c r="A285" s="32"/>
      <c r="B285" s="33"/>
      <c r="C285" s="33"/>
      <c r="D285" s="34"/>
      <c r="E285" s="35"/>
      <c r="F285" s="35"/>
      <c r="G285" s="36" t="str">
        <f aca="false">IF(OR(NOT(AND(ISNUMBER(E285),ISNUMBER(F285))),$J$2=""),"",IF(Reprogramaciones!K$9&lt;E285,0,IF(NETWORKDAYS.INTL(E285,F285,11)=0,IF(Reprogramaciones!K$9&gt;=F285,100,0),ROUND(NETWORKDAYS.INTL(E285,MIN(F285,Reprogramaciones!K$9),11)/NETWORKDAYS.INTL(E285,F285,11)*100,1)))-0)</f>
        <v/>
      </c>
      <c r="H285" s="36" t="str">
        <f aca="false">IF(OR(NOT(AND(ISNUMBER(E285),ISNUMBER(F285))),$J$2=""),"",IF(Reprogramaciones!L$9&lt;E285,0,IF(NETWORKDAYS.INTL(E285,F285,11)=0,IF(Reprogramaciones!L$9&gt;=F285,100,0),ROUND(NETWORKDAYS.INTL(E285,MIN(F285,Reprogramaciones!L$9),11)/NETWORKDAYS.INTL(E285,F285,11)*100,1)))-IF(Reprogramaciones!K$9&lt;E285,0,IF(NETWORKDAYS.INTL(E285,F285,11)=0,IF(Reprogramaciones!K$9&gt;=F285,100,0),ROUND(NETWORKDAYS.INTL(E285,MIN(F285,Reprogramaciones!K$9),11)/NETWORKDAYS.INTL(E285,F285,11)*100,1))))</f>
        <v/>
      </c>
      <c r="I285" s="36" t="str">
        <f aca="false">IF(OR(NOT(AND(ISNUMBER(E285),ISNUMBER(F285))),$J$2=""),"",IF(Reprogramaciones!M$9&lt;E285,0,IF(NETWORKDAYS.INTL(E285,F285,11)=0,IF(Reprogramaciones!M$9&gt;=F285,100,0),ROUND(NETWORKDAYS.INTL(E285,MIN(F285,Reprogramaciones!M$9),11)/NETWORKDAYS.INTL(E285,F285,11)*100,1)))-IF(Reprogramaciones!L$9&lt;E285,0,IF(NETWORKDAYS.INTL(E285,F285,11)=0,IF(Reprogramaciones!L$9&gt;=F285,100,0),ROUND(NETWORKDAYS.INTL(E285,MIN(F285,Reprogramaciones!L$9),11)/NETWORKDAYS.INTL(E285,F285,11)*100,1))))</f>
        <v/>
      </c>
      <c r="J285" s="36" t="str">
        <f aca="false">IF(OR(NOT(AND(ISNUMBER(E285),ISNUMBER(F285))),$J$2=""),"",IF(Reprogramaciones!N$9&lt;E285,0,IF(NETWORKDAYS.INTL(E285,F285,11)=0,IF(Reprogramaciones!N$9&gt;=F285,100,0),ROUND(NETWORKDAYS.INTL(E285,MIN(F285,Reprogramaciones!N$9),11)/NETWORKDAYS.INTL(E285,F285,11)*100,1)))-IF(Reprogramaciones!M$9&lt;E285,0,IF(NETWORKDAYS.INTL(E285,F285,11)=0,IF(Reprogramaciones!M$9&gt;=F285,100,0),ROUND(NETWORKDAYS.INTL(E285,MIN(F285,Reprogramaciones!M$9),11)/NETWORKDAYS.INTL(E285,F285,11)*100,1))))</f>
        <v/>
      </c>
      <c r="K285" s="36" t="str">
        <f aca="false">IF(OR(NOT(AND(ISNUMBER(E285),ISNUMBER(F285))),$J$2=""),"",IF(Reprogramaciones!O$9&lt;E285,0,IF(NETWORKDAYS.INTL(E285,F285,11)=0,IF(Reprogramaciones!O$9&gt;=F285,100,0),ROUND(NETWORKDAYS.INTL(E285,MIN(F285,Reprogramaciones!O$9),11)/NETWORKDAYS.INTL(E285,F285,11)*100,1)))-IF(Reprogramaciones!N$9&lt;E285,0,IF(NETWORKDAYS.INTL(E285,F285,11)=0,IF(Reprogramaciones!N$9&gt;=F285,100,0),ROUND(NETWORKDAYS.INTL(E285,MIN(F285,Reprogramaciones!N$9),11)/NETWORKDAYS.INTL(E285,F285,11)*100,1))))</f>
        <v/>
      </c>
      <c r="L285" s="36" t="str">
        <f aca="false">IF(OR(NOT(AND(ISNUMBER(E285),ISNUMBER(F285))),$J$2=""),"",IF(Reprogramaciones!P$9&lt;E285,0,IF(NETWORKDAYS.INTL(E285,F285,11)=0,IF(Reprogramaciones!P$9&gt;=F285,100,0),ROUND(NETWORKDAYS.INTL(E285,MIN(F285,Reprogramaciones!P$9),11)/NETWORKDAYS.INTL(E285,F285,11)*100,1)))-IF(Reprogramaciones!O$9&lt;E285,0,IF(NETWORKDAYS.INTL(E285,F285,11)=0,IF(Reprogramaciones!O$9&gt;=F285,100,0),ROUND(NETWORKDAYS.INTL(E285,MIN(F285,Reprogramaciones!O$9),11)/NETWORKDAYS.INTL(E285,F285,11)*100,1))))</f>
        <v/>
      </c>
      <c r="M285" s="36" t="str">
        <f aca="false">IF(OR(NOT(AND(ISNUMBER(E285),ISNUMBER(F285))),$J$2=""),"",IF(Reprogramaciones!Q$9&lt;E285,0,IF(NETWORKDAYS.INTL(E285,F285,11)=0,IF(Reprogramaciones!Q$9&gt;=F285,100,0),ROUND(NETWORKDAYS.INTL(E285,MIN(F285,Reprogramaciones!Q$9),11)/NETWORKDAYS.INTL(E285,F285,11)*100,1)))-IF(Reprogramaciones!P$9&lt;E285,0,IF(NETWORKDAYS.INTL(E285,F285,11)=0,IF(Reprogramaciones!P$9&gt;=F285,100,0),ROUND(NETWORKDAYS.INTL(E285,MIN(F285,Reprogramaciones!P$9),11)/NETWORKDAYS.INTL(E285,F285,11)*100,1))))</f>
        <v/>
      </c>
      <c r="N285" s="36" t="str">
        <f aca="false">IF(OR(NOT(AND(ISNUMBER(E285),ISNUMBER(F285))),$J$2=""),"",IF(Reprogramaciones!R$9&lt;E285,0,IF(NETWORKDAYS.INTL(E285,F285,11)=0,IF(Reprogramaciones!R$9&gt;=F285,100,0),ROUND(NETWORKDAYS.INTL(E285,MIN(F285,Reprogramaciones!R$9),11)/NETWORKDAYS.INTL(E285,F285,11)*100,1)))-IF(Reprogramaciones!Q$9&lt;E285,0,IF(NETWORKDAYS.INTL(E285,F285,11)=0,IF(Reprogramaciones!Q$9&gt;=F285,100,0),ROUND(NETWORKDAYS.INTL(E285,MIN(F285,Reprogramaciones!Q$9),11)/NETWORKDAYS.INTL(E285,F285,11)*100,1))))</f>
        <v/>
      </c>
      <c r="O285" s="36" t="str">
        <f aca="false">IF(OR(NOT(AND(ISNUMBER(E285),ISNUMBER(F285))),$J$2=""),"",IF(Reprogramaciones!S$9&lt;E285,0,IF(NETWORKDAYS.INTL(E285,F285,11)=0,IF(Reprogramaciones!S$9&gt;=F285,100,0),ROUND(NETWORKDAYS.INTL(E285,MIN(F285,Reprogramaciones!S$9),11)/NETWORKDAYS.INTL(E285,F285,11)*100,1)))-IF(Reprogramaciones!R$9&lt;E285,0,IF(NETWORKDAYS.INTL(E285,F285,11)=0,IF(Reprogramaciones!R$9&gt;=F285,100,0),ROUND(NETWORKDAYS.INTL(E285,MIN(F285,Reprogramaciones!R$9),11)/NETWORKDAYS.INTL(E285,F285,11)*100,1))))</f>
        <v/>
      </c>
      <c r="P285" s="36" t="str">
        <f aca="false">IF(OR(NOT(AND(ISNUMBER(E285),ISNUMBER(F285))),$J$2=""),"",IF(Reprogramaciones!T$9&lt;E285,0,IF(NETWORKDAYS.INTL(E285,F285,11)=0,IF(Reprogramaciones!T$9&gt;=F285,100,0),ROUND(NETWORKDAYS.INTL(E285,MIN(F285,Reprogramaciones!T$9),11)/NETWORKDAYS.INTL(E285,F285,11)*100,1)))-IF(Reprogramaciones!S$9&lt;E285,0,IF(NETWORKDAYS.INTL(E285,F285,11)=0,IF(Reprogramaciones!S$9&gt;=F285,100,0),ROUND(NETWORKDAYS.INTL(E285,MIN(F285,Reprogramaciones!S$9),11)/NETWORKDAYS.INTL(E285,F285,11)*100,1))))</f>
        <v/>
      </c>
      <c r="Q285" s="37"/>
      <c r="R285" s="37"/>
      <c r="S285" s="37"/>
      <c r="T285" s="37"/>
      <c r="U285" s="37"/>
      <c r="V285" s="37"/>
      <c r="W285" s="37"/>
      <c r="X285" s="37"/>
      <c r="Y285" s="37"/>
      <c r="Z285" s="37"/>
      <c r="AA285" s="37"/>
      <c r="AB285" s="37"/>
      <c r="AC285" s="37"/>
      <c r="AD285" s="37"/>
      <c r="AE285" s="37"/>
      <c r="AF285" s="37"/>
      <c r="AG285" s="38" t="str">
        <f aca="false">IF(AND(ISNUMBER(E285),ISNUMBER(F285)),NETWORKDAYS.INTL(E285,F285,11),"")</f>
        <v/>
      </c>
      <c r="AH285" s="38" t="str">
        <f aca="false">IF(OR(NOT(AND(ISNUMBER(E285),ISNUMBER(F285))),$J$2=""),"",IF(Reprogramaciones!$P$15&lt;Reprogramaciones!$T$15,0,IF(Reprogramaciones!$R$15&gt;10,MIN(100,SUM($G285:$P285)),MIN(100,SUMPRODUCT((COLUMN($G285:$P285)-COLUMN($G285)+1&lt;Reprogramaciones!$R$15)*$G285:$P285)+N(INDEX($G285:$P285,1,Reprogramaciones!$R$15))*IF(Reprogramaciones!$P$15&gt;=(Reprogramaciones!$T$15+7*(Reprogramaciones!$R$15-1))+6,1,IF(MAX(0,NETWORKDAYS.INTL(MAX(E285,(Reprogramaciones!$T$15+7*(Reprogramaciones!$R$15-1))),MIN(F285,(Reprogramaciones!$T$15+7*(Reprogramaciones!$R$15-1))+6),11))=0,0,MAX(0,NETWORKDAYS.INTL(MAX(E285,(Reprogramaciones!$T$15+7*(Reprogramaciones!$R$15-1))),MIN(F285,Reprogramaciones!$P$15),11))/MAX(0,NETWORKDAYS.INTL(MAX(E285,(Reprogramaciones!$T$15+7*(Reprogramaciones!$R$15-1))),MIN(F285,(Reprogramaciones!$T$15+7*(Reprogramaciones!$R$15-1))+6),11))))))))</f>
        <v/>
      </c>
      <c r="AI285" s="38" t="str">
        <f aca="false">IF(COUNT($Q285:$AF285)=0,"",IF(ROUND(SUM($Q285:$AF285),1)&gt;=99.5,100,MIN(100,ROUND(SUM($Q285:$AF285),1))))</f>
        <v/>
      </c>
      <c r="AJ285" s="38" t="str">
        <f aca="false">IF(OR(AH285="",AI285=""),"",AI285-AH285)</f>
        <v/>
      </c>
      <c r="AK285" s="39" t="str">
        <f aca="true">IF(AH285="","",IF(OR(Ficha!$C$10="Suspendida",Ficha!$C$10="Cancelada"),Ficha!$C$10,IF(AND(AI285&lt;&gt;"",N(AI285)&gt;=100),"Completada",IF(AND(E285&gt;TODAY(),N(AI285)=0),"Por iniciar",IF(N(AI285)+0.5&lt;AH285,"Retrasada",IF(N(AI285)+0.5&lt;DA285,IF(Reprogramaciones!$K$15&gt;0,"Al día · Sem "&amp;Reprogramaciones!$K$15&amp;" en curso","Al día · en curso"),"A tiempo"))))))</f>
        <v/>
      </c>
      <c r="AL285" s="39" t="str">
        <f aca="true">IF(AND(A285="",AND(B285="",C285="",E285="",F285="",COUNT(Q285:AF285)=0)),"",IF(AND(B285="",C285="",E285="",F285="",COUNT(Q285:AF285)=0),"Falta la partida o subpartida",IF(AND(A285&lt;&gt;"",COUNTIF($A$6:$A$305,A285)&gt;1),"Ítem repetido",IF(AND(C285="",E285="",F285="",COUNT(Q285:AF285)=0),"Título de partida",IF(OR(E285="",F285=""),"Faltan fechas",IF(OR(ISTEXT(E285),ISTEXT(F285)),"Fecha escrita como texto: usa dd/mm/aaaa",IF(F285&lt;E285,"Fin antes del inicio",IF(IF($J$2="",FALSE(),OR(E285&lt;$J$2,F285&gt;Reprogramaciones!$T$15+69)),"Fuera de las 10 semanas",IF(ABS(SUM(G285:P285)-100)&gt;0.5,"La meta no suma 100%",IF(ROUND(SUM(Q285:AF285),1)&gt;100.5,"El avance pasa de 100%",IF(MIN(Q285:AF285)&lt;0,"Avance negativo",IF(COUNTA(Q285:AF285)&gt;COUNT(Q285:AF285),"Avance escrito como texto",IF(SUMPRODUCT((Q285:AF285&gt;0)*(Q285:AF285&lt;1))&gt;0,"Avance menor a 1: escribe 50, no 50%",IF(SUMPRODUCT(ISNUMBER(Q285:AF285)*(Reprogramaciones!$K$8:$Z$8&gt;TODAY()))&gt;0,"Avance en semana que aún no llega",IF(AND(N(Reprogramaciones!$E$21)&gt;0,F285&gt;Reprogramaciones!$E$21),"Pasa el fin de la obra: registra una reprogramación",IF(AND(N(Reprogramaciones!$E$21)&gt;0,SUMPRODUCT(ISNUMBER(Q285:AF285)*(Reprogramaciones!$K$8:$Z$8&gt;Reprogramaciones!$E$21))&gt;0),"Avance después del fin de la obra: registra una reprogramación por atraso","OK"))))))))))))))))</f>
        <v/>
      </c>
      <c r="AM285" s="40" t="str">
        <f aca="false">IF(OR(OR(NOT(AND(ISNUMBER(E285),ISNUMBER(F285))),$J$2=""),1&gt;MAX(1,Reprogramaciones!$U$15)),"",IF(Reprogramaciones!K$12&gt;=7,"",IF(OR(BT285-N(0)&gt;0.05,N(Q285)&gt;0),ROUNDDOWN(ROUND(BT285,6),0)&amp;"%"&amp;IF(CJ285="",""," / "&amp;CJ285&amp;"%"),IF(AND(N(0)&gt;=99.95,CJ285&lt;&gt;"",N(CJ285)&lt;100),"Pend. "&amp;CJ285&amp;"%",""))))</f>
        <v/>
      </c>
      <c r="AN285" s="40" t="str">
        <f aca="false">IF(OR(OR(NOT(AND(ISNUMBER(E285),ISNUMBER(F285))),$J$2=""),2&gt;MAX(1,Reprogramaciones!$U$15)),"",IF(Reprogramaciones!L$12&gt;=7,"",IF(OR(BU285-N(BT285)&gt;0.05,N(R285)&gt;0),ROUNDDOWN(ROUND(BU285,6),0)&amp;"%"&amp;IF(CK285="",""," / "&amp;CK285&amp;"%"),IF(AND(N(BT285)&gt;=99.95,CK285&lt;&gt;"",N(CK285)&lt;100),"Pend. "&amp;CK285&amp;"%",""))))</f>
        <v/>
      </c>
      <c r="AO285" s="40" t="str">
        <f aca="false">IF(OR(OR(NOT(AND(ISNUMBER(E285),ISNUMBER(F285))),$J$2=""),3&gt;MAX(1,Reprogramaciones!$U$15)),"",IF(Reprogramaciones!M$12&gt;=7,"",IF(OR(BV285-N(BU285)&gt;0.05,N(S285)&gt;0),ROUNDDOWN(ROUND(BV285,6),0)&amp;"%"&amp;IF(CL285="",""," / "&amp;CL285&amp;"%"),IF(AND(N(BU285)&gt;=99.95,CL285&lt;&gt;"",N(CL285)&lt;100),"Pend. "&amp;CL285&amp;"%",""))))</f>
        <v/>
      </c>
      <c r="AP285" s="40" t="str">
        <f aca="false">IF(OR(OR(NOT(AND(ISNUMBER(E285),ISNUMBER(F285))),$J$2=""),4&gt;MAX(1,Reprogramaciones!$U$15)),"",IF(Reprogramaciones!N$12&gt;=7,"",IF(OR(BW285-N(BV285)&gt;0.05,N(T285)&gt;0),ROUNDDOWN(ROUND(BW285,6),0)&amp;"%"&amp;IF(CM285="",""," / "&amp;CM285&amp;"%"),IF(AND(N(BV285)&gt;=99.95,CM285&lt;&gt;"",N(CM285)&lt;100),"Pend. "&amp;CM285&amp;"%",""))))</f>
        <v/>
      </c>
      <c r="AQ285" s="40" t="str">
        <f aca="false">IF(OR(OR(NOT(AND(ISNUMBER(E285),ISNUMBER(F285))),$J$2=""),5&gt;MAX(1,Reprogramaciones!$U$15)),"",IF(Reprogramaciones!O$12&gt;=7,"",IF(OR(BX285-N(BW285)&gt;0.05,N(U285)&gt;0),ROUNDDOWN(ROUND(BX285,6),0)&amp;"%"&amp;IF(CN285="",""," / "&amp;CN285&amp;"%"),IF(AND(N(BW285)&gt;=99.95,CN285&lt;&gt;"",N(CN285)&lt;100),"Pend. "&amp;CN285&amp;"%",""))))</f>
        <v/>
      </c>
      <c r="AR285" s="40" t="str">
        <f aca="false">IF(OR(OR(NOT(AND(ISNUMBER(E285),ISNUMBER(F285))),$J$2=""),6&gt;MAX(1,Reprogramaciones!$U$15)),"",IF(Reprogramaciones!P$12&gt;=7,"",IF(OR(BY285-N(BX285)&gt;0.05,N(V285)&gt;0),ROUNDDOWN(ROUND(BY285,6),0)&amp;"%"&amp;IF(CO285="",""," / "&amp;CO285&amp;"%"),IF(AND(N(BX285)&gt;=99.95,CO285&lt;&gt;"",N(CO285)&lt;100),"Pend. "&amp;CO285&amp;"%",""))))</f>
        <v/>
      </c>
      <c r="AS285" s="40" t="str">
        <f aca="false">IF(OR(OR(NOT(AND(ISNUMBER(E285),ISNUMBER(F285))),$J$2=""),7&gt;MAX(1,Reprogramaciones!$U$15)),"",IF(Reprogramaciones!Q$12&gt;=7,"",IF(OR(BZ285-N(BY285)&gt;0.05,N(W285)&gt;0),ROUNDDOWN(ROUND(BZ285,6),0)&amp;"%"&amp;IF(CP285="",""," / "&amp;CP285&amp;"%"),IF(AND(N(BY285)&gt;=99.95,CP285&lt;&gt;"",N(CP285)&lt;100),"Pend. "&amp;CP285&amp;"%",""))))</f>
        <v/>
      </c>
      <c r="AT285" s="40" t="str">
        <f aca="false">IF(OR(OR(NOT(AND(ISNUMBER(E285),ISNUMBER(F285))),$J$2=""),8&gt;MAX(1,Reprogramaciones!$U$15)),"",IF(Reprogramaciones!R$12&gt;=7,"",IF(OR(CA285-N(BZ285)&gt;0.05,N(X285)&gt;0),ROUNDDOWN(ROUND(CA285,6),0)&amp;"%"&amp;IF(CQ285="",""," / "&amp;CQ285&amp;"%"),IF(AND(N(BZ285)&gt;=99.95,CQ285&lt;&gt;"",N(CQ285)&lt;100),"Pend. "&amp;CQ285&amp;"%",""))))</f>
        <v/>
      </c>
      <c r="AU285" s="40" t="str">
        <f aca="false">IF(OR(OR(NOT(AND(ISNUMBER(E285),ISNUMBER(F285))),$J$2=""),9&gt;MAX(1,Reprogramaciones!$U$15)),"",IF(Reprogramaciones!S$12&gt;=7,"",IF(OR(CB285-N(CA285)&gt;0.05,N(Y285)&gt;0),ROUNDDOWN(ROUND(CB285,6),0)&amp;"%"&amp;IF(CR285="",""," / "&amp;CR285&amp;"%"),IF(AND(N(CA285)&gt;=99.95,CR285&lt;&gt;"",N(CR285)&lt;100),"Pend. "&amp;CR285&amp;"%",""))))</f>
        <v/>
      </c>
      <c r="AV285" s="40" t="str">
        <f aca="false">IF(OR(OR(NOT(AND(ISNUMBER(E285),ISNUMBER(F285))),$J$2=""),10&gt;MAX(1,Reprogramaciones!$U$15)),"",IF(Reprogramaciones!T$12&gt;=7,"",IF(OR(CC285-N(CB285)&gt;0.05,N(Z285)&gt;0),ROUNDDOWN(ROUND(CC285,6),0)&amp;"%"&amp;IF(CS285="",""," / "&amp;CS285&amp;"%"),IF(AND(N(CB285)&gt;=99.95,CS285&lt;&gt;"",N(CS285)&lt;100),"Pend. "&amp;CS285&amp;"%",""))))</f>
        <v/>
      </c>
      <c r="AW285" s="40" t="str">
        <f aca="false">IF(OR(OR(NOT(AND(ISNUMBER(E285),ISNUMBER(F285))),$J$2=""),11&gt;MAX(1,Reprogramaciones!$U$15)),"",IF(Reprogramaciones!U$12&gt;=7,"",IF(OR(CD285-N(CC285)&gt;0.05,N(AA285)&gt;0),ROUNDDOWN(ROUND(CD285,6),0)&amp;"%"&amp;IF(CT285="",""," / "&amp;CT285&amp;"%"),IF(AND(N(CC285)&gt;=99.95,CT285&lt;&gt;"",N(CT285)&lt;100),"Pend. "&amp;CT285&amp;"%",""))))</f>
        <v/>
      </c>
      <c r="AX285" s="40" t="str">
        <f aca="false">IF(OR(OR(NOT(AND(ISNUMBER(E285),ISNUMBER(F285))),$J$2=""),12&gt;MAX(1,Reprogramaciones!$U$15)),"",IF(Reprogramaciones!V$12&gt;=7,"",IF(OR(CE285-N(CD285)&gt;0.05,N(AB285)&gt;0),ROUNDDOWN(ROUND(CE285,6),0)&amp;"%"&amp;IF(CU285="",""," / "&amp;CU285&amp;"%"),IF(AND(N(CD285)&gt;=99.95,CU285&lt;&gt;"",N(CU285)&lt;100),"Pend. "&amp;CU285&amp;"%",""))))</f>
        <v/>
      </c>
      <c r="AY285" s="40" t="str">
        <f aca="false">IF(OR(OR(NOT(AND(ISNUMBER(E285),ISNUMBER(F285))),$J$2=""),13&gt;MAX(1,Reprogramaciones!$U$15)),"",IF(Reprogramaciones!W$12&gt;=7,"",IF(OR(CF285-N(CE285)&gt;0.05,N(AC285)&gt;0),ROUNDDOWN(ROUND(CF285,6),0)&amp;"%"&amp;IF(CV285="",""," / "&amp;CV285&amp;"%"),IF(AND(N(CE285)&gt;=99.95,CV285&lt;&gt;"",N(CV285)&lt;100),"Pend. "&amp;CV285&amp;"%",""))))</f>
        <v/>
      </c>
      <c r="AZ285" s="40" t="str">
        <f aca="false">IF(OR(OR(NOT(AND(ISNUMBER(E285),ISNUMBER(F285))),$J$2=""),14&gt;MAX(1,Reprogramaciones!$U$15)),"",IF(Reprogramaciones!X$12&gt;=7,"",IF(OR(CG285-N(CF285)&gt;0.05,N(AD285)&gt;0),ROUNDDOWN(ROUND(CG285,6),0)&amp;"%"&amp;IF(CW285="",""," / "&amp;CW285&amp;"%"),IF(AND(N(CF285)&gt;=99.95,CW285&lt;&gt;"",N(CW285)&lt;100),"Pend. "&amp;CW285&amp;"%",""))))</f>
        <v/>
      </c>
      <c r="BA285" s="40" t="str">
        <f aca="false">IF(OR(OR(NOT(AND(ISNUMBER(E285),ISNUMBER(F285))),$J$2=""),15&gt;MAX(1,Reprogramaciones!$U$15)),"",IF(Reprogramaciones!Y$12&gt;=7,"",IF(OR(CH285-N(CG285)&gt;0.05,N(AE285)&gt;0),ROUNDDOWN(ROUND(CH285,6),0)&amp;"%"&amp;IF(CX285="",""," / "&amp;CX285&amp;"%"),IF(AND(N(CG285)&gt;=99.95,CX285&lt;&gt;"",N(CX285)&lt;100),"Pend. "&amp;CX285&amp;"%",""))))</f>
        <v/>
      </c>
      <c r="BB285" s="40" t="str">
        <f aca="false">IF(OR(OR(NOT(AND(ISNUMBER(E285),ISNUMBER(F285))),$J$2=""),16&gt;MAX(1,Reprogramaciones!$U$15)),"",IF(Reprogramaciones!Z$12&gt;=7,"",IF(OR(CI285-N(CH285)&gt;0.05,N(AF285)&gt;0),ROUNDDOWN(ROUND(CI285,6),0)&amp;"%"&amp;IF(CY285="",""," / "&amp;CY285&amp;"%"),IF(AND(N(CH285)&gt;=99.95,CY285&lt;&gt;"",N(CY285)&lt;100),"Pend. "&amp;CY285&amp;"%",""))))</f>
        <v/>
      </c>
      <c r="BC285" s="31" t="n">
        <f aca="false">IF(AND(ISNUMBER(E285),ISNUMBER(F285)),MAX(1,NETWORKDAYS.INTL(E285,F285,11)),0)</f>
        <v>0</v>
      </c>
      <c r="BD285" s="1" t="str">
        <f aca="false">IF(OR(NOT(AND(ISNUMBER(E285),ISNUMBER(F285))),$J$2=""),"",MIN(100,ROUND(SUM($G285:G285),1)))</f>
        <v/>
      </c>
      <c r="BE285" s="1" t="str">
        <f aca="false">IF(OR(NOT(AND(ISNUMBER(E285),ISNUMBER(F285))),$J$2=""),"",MIN(100,ROUND(SUM($G285:H285),1)))</f>
        <v/>
      </c>
      <c r="BF285" s="1" t="str">
        <f aca="false">IF(OR(NOT(AND(ISNUMBER(E285),ISNUMBER(F285))),$J$2=""),"",MIN(100,ROUND(SUM($G285:I285),1)))</f>
        <v/>
      </c>
      <c r="BG285" s="1" t="str">
        <f aca="false">IF(OR(NOT(AND(ISNUMBER(E285),ISNUMBER(F285))),$J$2=""),"",MIN(100,ROUND(SUM($G285:J285),1)))</f>
        <v/>
      </c>
      <c r="BH285" s="1" t="str">
        <f aca="false">IF(OR(NOT(AND(ISNUMBER(E285),ISNUMBER(F285))),$J$2=""),"",MIN(100,ROUND(SUM($G285:K285),1)))</f>
        <v/>
      </c>
      <c r="BI285" s="1" t="str">
        <f aca="false">IF(OR(NOT(AND(ISNUMBER(E285),ISNUMBER(F285))),$J$2=""),"",MIN(100,ROUND(SUM($G285:L285),1)))</f>
        <v/>
      </c>
      <c r="BJ285" s="1" t="str">
        <f aca="false">IF(OR(NOT(AND(ISNUMBER(E285),ISNUMBER(F285))),$J$2=""),"",MIN(100,ROUND(SUM($G285:M285),1)))</f>
        <v/>
      </c>
      <c r="BK285" s="1" t="str">
        <f aca="false">IF(OR(NOT(AND(ISNUMBER(E285),ISNUMBER(F285))),$J$2=""),"",MIN(100,ROUND(SUM($G285:N285),1)))</f>
        <v/>
      </c>
      <c r="BL285" s="1" t="str">
        <f aca="false">IF(OR(NOT(AND(ISNUMBER(E285),ISNUMBER(F285))),$J$2=""),"",MIN(100,ROUND(SUM($G285:O285),1)))</f>
        <v/>
      </c>
      <c r="BM285" s="1" t="str">
        <f aca="false">IF(OR(NOT(AND(ISNUMBER(E285),ISNUMBER(F285))),$J$2=""),"",MIN(100,ROUND(SUM($G285:P285),1)))</f>
        <v/>
      </c>
      <c r="BN285" s="1" t="str">
        <f aca="false">IF(OR(NOT(AND(ISNUMBER(E285),ISNUMBER(F285))),$J$2=""),"",MIN(100,ROUND(SUM($G285:P285),1)))</f>
        <v/>
      </c>
      <c r="BO285" s="1" t="str">
        <f aca="false">IF(OR(NOT(AND(ISNUMBER(E285),ISNUMBER(F285))),$J$2=""),"",MIN(100,ROUND(SUM($G285:P285),1)))</f>
        <v/>
      </c>
      <c r="BP285" s="1" t="str">
        <f aca="false">IF(OR(NOT(AND(ISNUMBER(E285),ISNUMBER(F285))),$J$2=""),"",MIN(100,ROUND(SUM($G285:P285),1)))</f>
        <v/>
      </c>
      <c r="BQ285" s="1" t="str">
        <f aca="false">IF(OR(NOT(AND(ISNUMBER(E285),ISNUMBER(F285))),$J$2=""),"",MIN(100,ROUND(SUM($G285:P285),1)))</f>
        <v/>
      </c>
      <c r="BR285" s="1" t="str">
        <f aca="false">IF(OR(NOT(AND(ISNUMBER(E285),ISNUMBER(F285))),$J$2=""),"",MIN(100,ROUND(SUM($G285:P285),1)))</f>
        <v/>
      </c>
      <c r="BS285" s="1" t="str">
        <f aca="false">IF(OR(NOT(AND(ISNUMBER(E285),ISNUMBER(F285))),$J$2=""),"",MIN(100,ROUND(SUM($G285:P285),1)))</f>
        <v/>
      </c>
      <c r="BT285" s="1" t="str">
        <f aca="false">IF(OR(NOT(AND(ISNUMBER(E285),ISNUMBER(F285))),$J$2=""),"",IF(Reprogramaciones!K$13&lt;Reprogramaciones!$T$15,0,IF(Reprogramaciones!K$14&gt;10,MIN(100,SUM($G285:$P285)),MIN(100,SUMPRODUCT((COLUMN($G285:$P285)-COLUMN($G285)+1&lt;Reprogramaciones!K$14)*$G285:$P285)+N(INDEX($G285:$P285,1,Reprogramaciones!K$14))*IF(Reprogramaciones!K$13&gt;=(Reprogramaciones!$T$15+7*(Reprogramaciones!K$14-1))+6,1,IF(MAX(0,NETWORKDAYS.INTL(MAX(E285,(Reprogramaciones!$T$15+7*(Reprogramaciones!K$14-1))),MIN(F285,(Reprogramaciones!$T$15+7*(Reprogramaciones!K$14-1))+6),11))=0,0,MAX(0,NETWORKDAYS.INTL(MAX(E285,(Reprogramaciones!$T$15+7*(Reprogramaciones!K$14-1))),MIN(F285,Reprogramaciones!K$13),11))/MAX(0,NETWORKDAYS.INTL(MAX(E285,(Reprogramaciones!$T$15+7*(Reprogramaciones!K$14-1))),MIN(F285,(Reprogramaciones!$T$15+7*(Reprogramaciones!K$14-1))+6),11))))))))</f>
        <v/>
      </c>
      <c r="BU285" s="1" t="str">
        <f aca="false">IF(OR(NOT(AND(ISNUMBER(E285),ISNUMBER(F285))),$J$2=""),"",IF(Reprogramaciones!L$13&lt;Reprogramaciones!$T$15,0,IF(Reprogramaciones!L$14&gt;10,MIN(100,SUM($G285:$P285)),MIN(100,SUMPRODUCT((COLUMN($G285:$P285)-COLUMN($G285)+1&lt;Reprogramaciones!L$14)*$G285:$P285)+N(INDEX($G285:$P285,1,Reprogramaciones!L$14))*IF(Reprogramaciones!L$13&gt;=(Reprogramaciones!$T$15+7*(Reprogramaciones!L$14-1))+6,1,IF(MAX(0,NETWORKDAYS.INTL(MAX(E285,(Reprogramaciones!$T$15+7*(Reprogramaciones!L$14-1))),MIN(F285,(Reprogramaciones!$T$15+7*(Reprogramaciones!L$14-1))+6),11))=0,0,MAX(0,NETWORKDAYS.INTL(MAX(E285,(Reprogramaciones!$T$15+7*(Reprogramaciones!L$14-1))),MIN(F285,Reprogramaciones!L$13),11))/MAX(0,NETWORKDAYS.INTL(MAX(E285,(Reprogramaciones!$T$15+7*(Reprogramaciones!L$14-1))),MIN(F285,(Reprogramaciones!$T$15+7*(Reprogramaciones!L$14-1))+6),11))))))))</f>
        <v/>
      </c>
      <c r="BV285" s="1" t="str">
        <f aca="false">IF(OR(NOT(AND(ISNUMBER(E285),ISNUMBER(F285))),$J$2=""),"",IF(Reprogramaciones!M$13&lt;Reprogramaciones!$T$15,0,IF(Reprogramaciones!M$14&gt;10,MIN(100,SUM($G285:$P285)),MIN(100,SUMPRODUCT((COLUMN($G285:$P285)-COLUMN($G285)+1&lt;Reprogramaciones!M$14)*$G285:$P285)+N(INDEX($G285:$P285,1,Reprogramaciones!M$14))*IF(Reprogramaciones!M$13&gt;=(Reprogramaciones!$T$15+7*(Reprogramaciones!M$14-1))+6,1,IF(MAX(0,NETWORKDAYS.INTL(MAX(E285,(Reprogramaciones!$T$15+7*(Reprogramaciones!M$14-1))),MIN(F285,(Reprogramaciones!$T$15+7*(Reprogramaciones!M$14-1))+6),11))=0,0,MAX(0,NETWORKDAYS.INTL(MAX(E285,(Reprogramaciones!$T$15+7*(Reprogramaciones!M$14-1))),MIN(F285,Reprogramaciones!M$13),11))/MAX(0,NETWORKDAYS.INTL(MAX(E285,(Reprogramaciones!$T$15+7*(Reprogramaciones!M$14-1))),MIN(F285,(Reprogramaciones!$T$15+7*(Reprogramaciones!M$14-1))+6),11))))))))</f>
        <v/>
      </c>
      <c r="BW285" s="1" t="str">
        <f aca="false">IF(OR(NOT(AND(ISNUMBER(E285),ISNUMBER(F285))),$J$2=""),"",IF(Reprogramaciones!N$13&lt;Reprogramaciones!$T$15,0,IF(Reprogramaciones!N$14&gt;10,MIN(100,SUM($G285:$P285)),MIN(100,SUMPRODUCT((COLUMN($G285:$P285)-COLUMN($G285)+1&lt;Reprogramaciones!N$14)*$G285:$P285)+N(INDEX($G285:$P285,1,Reprogramaciones!N$14))*IF(Reprogramaciones!N$13&gt;=(Reprogramaciones!$T$15+7*(Reprogramaciones!N$14-1))+6,1,IF(MAX(0,NETWORKDAYS.INTL(MAX(E285,(Reprogramaciones!$T$15+7*(Reprogramaciones!N$14-1))),MIN(F285,(Reprogramaciones!$T$15+7*(Reprogramaciones!N$14-1))+6),11))=0,0,MAX(0,NETWORKDAYS.INTL(MAX(E285,(Reprogramaciones!$T$15+7*(Reprogramaciones!N$14-1))),MIN(F285,Reprogramaciones!N$13),11))/MAX(0,NETWORKDAYS.INTL(MAX(E285,(Reprogramaciones!$T$15+7*(Reprogramaciones!N$14-1))),MIN(F285,(Reprogramaciones!$T$15+7*(Reprogramaciones!N$14-1))+6),11))))))))</f>
        <v/>
      </c>
      <c r="BX285" s="1" t="str">
        <f aca="false">IF(OR(NOT(AND(ISNUMBER(E285),ISNUMBER(F285))),$J$2=""),"",IF(Reprogramaciones!O$13&lt;Reprogramaciones!$T$15,0,IF(Reprogramaciones!O$14&gt;10,MIN(100,SUM($G285:$P285)),MIN(100,SUMPRODUCT((COLUMN($G285:$P285)-COLUMN($G285)+1&lt;Reprogramaciones!O$14)*$G285:$P285)+N(INDEX($G285:$P285,1,Reprogramaciones!O$14))*IF(Reprogramaciones!O$13&gt;=(Reprogramaciones!$T$15+7*(Reprogramaciones!O$14-1))+6,1,IF(MAX(0,NETWORKDAYS.INTL(MAX(E285,(Reprogramaciones!$T$15+7*(Reprogramaciones!O$14-1))),MIN(F285,(Reprogramaciones!$T$15+7*(Reprogramaciones!O$14-1))+6),11))=0,0,MAX(0,NETWORKDAYS.INTL(MAX(E285,(Reprogramaciones!$T$15+7*(Reprogramaciones!O$14-1))),MIN(F285,Reprogramaciones!O$13),11))/MAX(0,NETWORKDAYS.INTL(MAX(E285,(Reprogramaciones!$T$15+7*(Reprogramaciones!O$14-1))),MIN(F285,(Reprogramaciones!$T$15+7*(Reprogramaciones!O$14-1))+6),11))))))))</f>
        <v/>
      </c>
      <c r="BY285" s="1" t="str">
        <f aca="false">IF(OR(NOT(AND(ISNUMBER(E285),ISNUMBER(F285))),$J$2=""),"",IF(Reprogramaciones!P$13&lt;Reprogramaciones!$T$15,0,IF(Reprogramaciones!P$14&gt;10,MIN(100,SUM($G285:$P285)),MIN(100,SUMPRODUCT((COLUMN($G285:$P285)-COLUMN($G285)+1&lt;Reprogramaciones!P$14)*$G285:$P285)+N(INDEX($G285:$P285,1,Reprogramaciones!P$14))*IF(Reprogramaciones!P$13&gt;=(Reprogramaciones!$T$15+7*(Reprogramaciones!P$14-1))+6,1,IF(MAX(0,NETWORKDAYS.INTL(MAX(E285,(Reprogramaciones!$T$15+7*(Reprogramaciones!P$14-1))),MIN(F285,(Reprogramaciones!$T$15+7*(Reprogramaciones!P$14-1))+6),11))=0,0,MAX(0,NETWORKDAYS.INTL(MAX(E285,(Reprogramaciones!$T$15+7*(Reprogramaciones!P$14-1))),MIN(F285,Reprogramaciones!P$13),11))/MAX(0,NETWORKDAYS.INTL(MAX(E285,(Reprogramaciones!$T$15+7*(Reprogramaciones!P$14-1))),MIN(F285,(Reprogramaciones!$T$15+7*(Reprogramaciones!P$14-1))+6),11))))))))</f>
        <v/>
      </c>
      <c r="BZ285" s="1" t="str">
        <f aca="false">IF(OR(NOT(AND(ISNUMBER(E285),ISNUMBER(F285))),$J$2=""),"",IF(Reprogramaciones!Q$13&lt;Reprogramaciones!$T$15,0,IF(Reprogramaciones!Q$14&gt;10,MIN(100,SUM($G285:$P285)),MIN(100,SUMPRODUCT((COLUMN($G285:$P285)-COLUMN($G285)+1&lt;Reprogramaciones!Q$14)*$G285:$P285)+N(INDEX($G285:$P285,1,Reprogramaciones!Q$14))*IF(Reprogramaciones!Q$13&gt;=(Reprogramaciones!$T$15+7*(Reprogramaciones!Q$14-1))+6,1,IF(MAX(0,NETWORKDAYS.INTL(MAX(E285,(Reprogramaciones!$T$15+7*(Reprogramaciones!Q$14-1))),MIN(F285,(Reprogramaciones!$T$15+7*(Reprogramaciones!Q$14-1))+6),11))=0,0,MAX(0,NETWORKDAYS.INTL(MAX(E285,(Reprogramaciones!$T$15+7*(Reprogramaciones!Q$14-1))),MIN(F285,Reprogramaciones!Q$13),11))/MAX(0,NETWORKDAYS.INTL(MAX(E285,(Reprogramaciones!$T$15+7*(Reprogramaciones!Q$14-1))),MIN(F285,(Reprogramaciones!$T$15+7*(Reprogramaciones!Q$14-1))+6),11))))))))</f>
        <v/>
      </c>
      <c r="CA285" s="1" t="str">
        <f aca="false">IF(OR(NOT(AND(ISNUMBER(E285),ISNUMBER(F285))),$J$2=""),"",IF(Reprogramaciones!R$13&lt;Reprogramaciones!$T$15,0,IF(Reprogramaciones!R$14&gt;10,MIN(100,SUM($G285:$P285)),MIN(100,SUMPRODUCT((COLUMN($G285:$P285)-COLUMN($G285)+1&lt;Reprogramaciones!R$14)*$G285:$P285)+N(INDEX($G285:$P285,1,Reprogramaciones!R$14))*IF(Reprogramaciones!R$13&gt;=(Reprogramaciones!$T$15+7*(Reprogramaciones!R$14-1))+6,1,IF(MAX(0,NETWORKDAYS.INTL(MAX(E285,(Reprogramaciones!$T$15+7*(Reprogramaciones!R$14-1))),MIN(F285,(Reprogramaciones!$T$15+7*(Reprogramaciones!R$14-1))+6),11))=0,0,MAX(0,NETWORKDAYS.INTL(MAX(E285,(Reprogramaciones!$T$15+7*(Reprogramaciones!R$14-1))),MIN(F285,Reprogramaciones!R$13),11))/MAX(0,NETWORKDAYS.INTL(MAX(E285,(Reprogramaciones!$T$15+7*(Reprogramaciones!R$14-1))),MIN(F285,(Reprogramaciones!$T$15+7*(Reprogramaciones!R$14-1))+6),11))))))))</f>
        <v/>
      </c>
      <c r="CB285" s="1" t="str">
        <f aca="false">IF(OR(NOT(AND(ISNUMBER(E285),ISNUMBER(F285))),$J$2=""),"",IF(Reprogramaciones!S$13&lt;Reprogramaciones!$T$15,0,IF(Reprogramaciones!S$14&gt;10,MIN(100,SUM($G285:$P285)),MIN(100,SUMPRODUCT((COLUMN($G285:$P285)-COLUMN($G285)+1&lt;Reprogramaciones!S$14)*$G285:$P285)+N(INDEX($G285:$P285,1,Reprogramaciones!S$14))*IF(Reprogramaciones!S$13&gt;=(Reprogramaciones!$T$15+7*(Reprogramaciones!S$14-1))+6,1,IF(MAX(0,NETWORKDAYS.INTL(MAX(E285,(Reprogramaciones!$T$15+7*(Reprogramaciones!S$14-1))),MIN(F285,(Reprogramaciones!$T$15+7*(Reprogramaciones!S$14-1))+6),11))=0,0,MAX(0,NETWORKDAYS.INTL(MAX(E285,(Reprogramaciones!$T$15+7*(Reprogramaciones!S$14-1))),MIN(F285,Reprogramaciones!S$13),11))/MAX(0,NETWORKDAYS.INTL(MAX(E285,(Reprogramaciones!$T$15+7*(Reprogramaciones!S$14-1))),MIN(F285,(Reprogramaciones!$T$15+7*(Reprogramaciones!S$14-1))+6),11))))))))</f>
        <v/>
      </c>
      <c r="CC285" s="1" t="str">
        <f aca="false">IF(OR(NOT(AND(ISNUMBER(E285),ISNUMBER(F285))),$J$2=""),"",IF(Reprogramaciones!T$13&lt;Reprogramaciones!$T$15,0,IF(Reprogramaciones!T$14&gt;10,MIN(100,SUM($G285:$P285)),MIN(100,SUMPRODUCT((COLUMN($G285:$P285)-COLUMN($G285)+1&lt;Reprogramaciones!T$14)*$G285:$P285)+N(INDEX($G285:$P285,1,Reprogramaciones!T$14))*IF(Reprogramaciones!T$13&gt;=(Reprogramaciones!$T$15+7*(Reprogramaciones!T$14-1))+6,1,IF(MAX(0,NETWORKDAYS.INTL(MAX(E285,(Reprogramaciones!$T$15+7*(Reprogramaciones!T$14-1))),MIN(F285,(Reprogramaciones!$T$15+7*(Reprogramaciones!T$14-1))+6),11))=0,0,MAX(0,NETWORKDAYS.INTL(MAX(E285,(Reprogramaciones!$T$15+7*(Reprogramaciones!T$14-1))),MIN(F285,Reprogramaciones!T$13),11))/MAX(0,NETWORKDAYS.INTL(MAX(E285,(Reprogramaciones!$T$15+7*(Reprogramaciones!T$14-1))),MIN(F285,(Reprogramaciones!$T$15+7*(Reprogramaciones!T$14-1))+6),11))))))))</f>
        <v/>
      </c>
      <c r="CD285" s="1" t="str">
        <f aca="false">IF(OR(NOT(AND(ISNUMBER(E285),ISNUMBER(F285))),$J$2=""),"",IF(Reprogramaciones!U$13&lt;Reprogramaciones!$T$15,0,IF(Reprogramaciones!U$14&gt;10,MIN(100,SUM($G285:$P285)),MIN(100,SUMPRODUCT((COLUMN($G285:$P285)-COLUMN($G285)+1&lt;Reprogramaciones!U$14)*$G285:$P285)+N(INDEX($G285:$P285,1,Reprogramaciones!U$14))*IF(Reprogramaciones!U$13&gt;=(Reprogramaciones!$T$15+7*(Reprogramaciones!U$14-1))+6,1,IF(MAX(0,NETWORKDAYS.INTL(MAX(E285,(Reprogramaciones!$T$15+7*(Reprogramaciones!U$14-1))),MIN(F285,(Reprogramaciones!$T$15+7*(Reprogramaciones!U$14-1))+6),11))=0,0,MAX(0,NETWORKDAYS.INTL(MAX(E285,(Reprogramaciones!$T$15+7*(Reprogramaciones!U$14-1))),MIN(F285,Reprogramaciones!U$13),11))/MAX(0,NETWORKDAYS.INTL(MAX(E285,(Reprogramaciones!$T$15+7*(Reprogramaciones!U$14-1))),MIN(F285,(Reprogramaciones!$T$15+7*(Reprogramaciones!U$14-1))+6),11))))))))</f>
        <v/>
      </c>
      <c r="CE285" s="1" t="str">
        <f aca="false">IF(OR(NOT(AND(ISNUMBER(E285),ISNUMBER(F285))),$J$2=""),"",IF(Reprogramaciones!V$13&lt;Reprogramaciones!$T$15,0,IF(Reprogramaciones!V$14&gt;10,MIN(100,SUM($G285:$P285)),MIN(100,SUMPRODUCT((COLUMN($G285:$P285)-COLUMN($G285)+1&lt;Reprogramaciones!V$14)*$G285:$P285)+N(INDEX($G285:$P285,1,Reprogramaciones!V$14))*IF(Reprogramaciones!V$13&gt;=(Reprogramaciones!$T$15+7*(Reprogramaciones!V$14-1))+6,1,IF(MAX(0,NETWORKDAYS.INTL(MAX(E285,(Reprogramaciones!$T$15+7*(Reprogramaciones!V$14-1))),MIN(F285,(Reprogramaciones!$T$15+7*(Reprogramaciones!V$14-1))+6),11))=0,0,MAX(0,NETWORKDAYS.INTL(MAX(E285,(Reprogramaciones!$T$15+7*(Reprogramaciones!V$14-1))),MIN(F285,Reprogramaciones!V$13),11))/MAX(0,NETWORKDAYS.INTL(MAX(E285,(Reprogramaciones!$T$15+7*(Reprogramaciones!V$14-1))),MIN(F285,(Reprogramaciones!$T$15+7*(Reprogramaciones!V$14-1))+6),11))))))))</f>
        <v/>
      </c>
      <c r="CF285" s="1" t="str">
        <f aca="false">IF(OR(NOT(AND(ISNUMBER(E285),ISNUMBER(F285))),$J$2=""),"",IF(Reprogramaciones!W$13&lt;Reprogramaciones!$T$15,0,IF(Reprogramaciones!W$14&gt;10,MIN(100,SUM($G285:$P285)),MIN(100,SUMPRODUCT((COLUMN($G285:$P285)-COLUMN($G285)+1&lt;Reprogramaciones!W$14)*$G285:$P285)+N(INDEX($G285:$P285,1,Reprogramaciones!W$14))*IF(Reprogramaciones!W$13&gt;=(Reprogramaciones!$T$15+7*(Reprogramaciones!W$14-1))+6,1,IF(MAX(0,NETWORKDAYS.INTL(MAX(E285,(Reprogramaciones!$T$15+7*(Reprogramaciones!W$14-1))),MIN(F285,(Reprogramaciones!$T$15+7*(Reprogramaciones!W$14-1))+6),11))=0,0,MAX(0,NETWORKDAYS.INTL(MAX(E285,(Reprogramaciones!$T$15+7*(Reprogramaciones!W$14-1))),MIN(F285,Reprogramaciones!W$13),11))/MAX(0,NETWORKDAYS.INTL(MAX(E285,(Reprogramaciones!$T$15+7*(Reprogramaciones!W$14-1))),MIN(F285,(Reprogramaciones!$T$15+7*(Reprogramaciones!W$14-1))+6),11))))))))</f>
        <v/>
      </c>
      <c r="CG285" s="1" t="str">
        <f aca="false">IF(OR(NOT(AND(ISNUMBER(E285),ISNUMBER(F285))),$J$2=""),"",IF(Reprogramaciones!X$13&lt;Reprogramaciones!$T$15,0,IF(Reprogramaciones!X$14&gt;10,MIN(100,SUM($G285:$P285)),MIN(100,SUMPRODUCT((COLUMN($G285:$P285)-COLUMN($G285)+1&lt;Reprogramaciones!X$14)*$G285:$P285)+N(INDEX($G285:$P285,1,Reprogramaciones!X$14))*IF(Reprogramaciones!X$13&gt;=(Reprogramaciones!$T$15+7*(Reprogramaciones!X$14-1))+6,1,IF(MAX(0,NETWORKDAYS.INTL(MAX(E285,(Reprogramaciones!$T$15+7*(Reprogramaciones!X$14-1))),MIN(F285,(Reprogramaciones!$T$15+7*(Reprogramaciones!X$14-1))+6),11))=0,0,MAX(0,NETWORKDAYS.INTL(MAX(E285,(Reprogramaciones!$T$15+7*(Reprogramaciones!X$14-1))),MIN(F285,Reprogramaciones!X$13),11))/MAX(0,NETWORKDAYS.INTL(MAX(E285,(Reprogramaciones!$T$15+7*(Reprogramaciones!X$14-1))),MIN(F285,(Reprogramaciones!$T$15+7*(Reprogramaciones!X$14-1))+6),11))))))))</f>
        <v/>
      </c>
      <c r="CH285" s="1" t="str">
        <f aca="false">IF(OR(NOT(AND(ISNUMBER(E285),ISNUMBER(F285))),$J$2=""),"",IF(Reprogramaciones!Y$13&lt;Reprogramaciones!$T$15,0,IF(Reprogramaciones!Y$14&gt;10,MIN(100,SUM($G285:$P285)),MIN(100,SUMPRODUCT((COLUMN($G285:$P285)-COLUMN($G285)+1&lt;Reprogramaciones!Y$14)*$G285:$P285)+N(INDEX($G285:$P285,1,Reprogramaciones!Y$14))*IF(Reprogramaciones!Y$13&gt;=(Reprogramaciones!$T$15+7*(Reprogramaciones!Y$14-1))+6,1,IF(MAX(0,NETWORKDAYS.INTL(MAX(E285,(Reprogramaciones!$T$15+7*(Reprogramaciones!Y$14-1))),MIN(F285,(Reprogramaciones!$T$15+7*(Reprogramaciones!Y$14-1))+6),11))=0,0,MAX(0,NETWORKDAYS.INTL(MAX(E285,(Reprogramaciones!$T$15+7*(Reprogramaciones!Y$14-1))),MIN(F285,Reprogramaciones!Y$13),11))/MAX(0,NETWORKDAYS.INTL(MAX(E285,(Reprogramaciones!$T$15+7*(Reprogramaciones!Y$14-1))),MIN(F285,(Reprogramaciones!$T$15+7*(Reprogramaciones!Y$14-1))+6),11))))))))</f>
        <v/>
      </c>
      <c r="CI285" s="1" t="str">
        <f aca="false">IF(OR(NOT(AND(ISNUMBER(E285),ISNUMBER(F285))),$J$2=""),"",IF(Reprogramaciones!Z$13&lt;Reprogramaciones!$T$15,0,IF(Reprogramaciones!Z$14&gt;10,MIN(100,SUM($G285:$P285)),MIN(100,SUMPRODUCT((COLUMN($G285:$P285)-COLUMN($G285)+1&lt;Reprogramaciones!Z$14)*$G285:$P285)+N(INDEX($G285:$P285,1,Reprogramaciones!Z$14))*IF(Reprogramaciones!Z$13&gt;=(Reprogramaciones!$T$15+7*(Reprogramaciones!Z$14-1))+6,1,IF(MAX(0,NETWORKDAYS.INTL(MAX(E285,(Reprogramaciones!$T$15+7*(Reprogramaciones!Z$14-1))),MIN(F285,(Reprogramaciones!$T$15+7*(Reprogramaciones!Z$14-1))+6),11))=0,0,MAX(0,NETWORKDAYS.INTL(MAX(E285,(Reprogramaciones!$T$15+7*(Reprogramaciones!Z$14-1))),MIN(F285,Reprogramaciones!Z$13),11))/MAX(0,NETWORKDAYS.INTL(MAX(E285,(Reprogramaciones!$T$15+7*(Reprogramaciones!Z$14-1))),MIN(F285,(Reprogramaciones!$T$15+7*(Reprogramaciones!Z$14-1))+6),11))))))))</f>
        <v/>
      </c>
      <c r="CJ285" s="1" t="str">
        <f aca="false">IF(OR(OR(NOT(AND(ISNUMBER(E285),ISNUMBER(F285))),$J$2=""),1&gt;Reprogramaciones!$K$16),"",IF(ROUND(SUM($Q285:Q285),1)&gt;=99.5,100,MIN(100,ROUND(SUM($Q285:Q285),1))))</f>
        <v/>
      </c>
      <c r="CK285" s="1" t="str">
        <f aca="false">IF(OR(OR(NOT(AND(ISNUMBER(E285),ISNUMBER(F285))),$J$2=""),2&gt;Reprogramaciones!$K$16),"",IF(ROUND(SUM($Q285:R285),1)&gt;=99.5,100,MIN(100,ROUND(SUM($Q285:R285),1))))</f>
        <v/>
      </c>
      <c r="CL285" s="1" t="str">
        <f aca="false">IF(OR(OR(NOT(AND(ISNUMBER(E285),ISNUMBER(F285))),$J$2=""),3&gt;Reprogramaciones!$K$16),"",IF(ROUND(SUM($Q285:S285),1)&gt;=99.5,100,MIN(100,ROUND(SUM($Q285:S285),1))))</f>
        <v/>
      </c>
      <c r="CM285" s="1" t="str">
        <f aca="false">IF(OR(OR(NOT(AND(ISNUMBER(E285),ISNUMBER(F285))),$J$2=""),4&gt;Reprogramaciones!$K$16),"",IF(ROUND(SUM($Q285:T285),1)&gt;=99.5,100,MIN(100,ROUND(SUM($Q285:T285),1))))</f>
        <v/>
      </c>
      <c r="CN285" s="1" t="str">
        <f aca="false">IF(OR(OR(NOT(AND(ISNUMBER(E285),ISNUMBER(F285))),$J$2=""),5&gt;Reprogramaciones!$K$16),"",IF(ROUND(SUM($Q285:U285),1)&gt;=99.5,100,MIN(100,ROUND(SUM($Q285:U285),1))))</f>
        <v/>
      </c>
      <c r="CO285" s="1" t="str">
        <f aca="false">IF(OR(OR(NOT(AND(ISNUMBER(E285),ISNUMBER(F285))),$J$2=""),6&gt;Reprogramaciones!$K$16),"",IF(ROUND(SUM($Q285:V285),1)&gt;=99.5,100,MIN(100,ROUND(SUM($Q285:V285),1))))</f>
        <v/>
      </c>
      <c r="CP285" s="1" t="str">
        <f aca="false">IF(OR(OR(NOT(AND(ISNUMBER(E285),ISNUMBER(F285))),$J$2=""),7&gt;Reprogramaciones!$K$16),"",IF(ROUND(SUM($Q285:W285),1)&gt;=99.5,100,MIN(100,ROUND(SUM($Q285:W285),1))))</f>
        <v/>
      </c>
      <c r="CQ285" s="1" t="str">
        <f aca="false">IF(OR(OR(NOT(AND(ISNUMBER(E285),ISNUMBER(F285))),$J$2=""),8&gt;Reprogramaciones!$K$16),"",IF(ROUND(SUM($Q285:X285),1)&gt;=99.5,100,MIN(100,ROUND(SUM($Q285:X285),1))))</f>
        <v/>
      </c>
      <c r="CR285" s="1" t="str">
        <f aca="false">IF(OR(OR(NOT(AND(ISNUMBER(E285),ISNUMBER(F285))),$J$2=""),9&gt;Reprogramaciones!$K$16),"",IF(ROUND(SUM($Q285:Y285),1)&gt;=99.5,100,MIN(100,ROUND(SUM($Q285:Y285),1))))</f>
        <v/>
      </c>
      <c r="CS285" s="1" t="str">
        <f aca="false">IF(OR(OR(NOT(AND(ISNUMBER(E285),ISNUMBER(F285))),$J$2=""),10&gt;Reprogramaciones!$K$16),"",IF(ROUND(SUM($Q285:Z285),1)&gt;=99.5,100,MIN(100,ROUND(SUM($Q285:Z285),1))))</f>
        <v/>
      </c>
      <c r="CT285" s="1" t="str">
        <f aca="false">IF(OR(OR(NOT(AND(ISNUMBER(E285),ISNUMBER(F285))),$J$2=""),11&gt;Reprogramaciones!$K$16),"",IF(ROUND(SUM($Q285:AA285),1)&gt;=99.5,100,MIN(100,ROUND(SUM($Q285:AA285),1))))</f>
        <v/>
      </c>
      <c r="CU285" s="1" t="str">
        <f aca="false">IF(OR(OR(NOT(AND(ISNUMBER(E285),ISNUMBER(F285))),$J$2=""),12&gt;Reprogramaciones!$K$16),"",IF(ROUND(SUM($Q285:AB285),1)&gt;=99.5,100,MIN(100,ROUND(SUM($Q285:AB285),1))))</f>
        <v/>
      </c>
      <c r="CV285" s="1" t="str">
        <f aca="false">IF(OR(OR(NOT(AND(ISNUMBER(E285),ISNUMBER(F285))),$J$2=""),13&gt;Reprogramaciones!$K$16),"",IF(ROUND(SUM($Q285:AC285),1)&gt;=99.5,100,MIN(100,ROUND(SUM($Q285:AC285),1))))</f>
        <v/>
      </c>
      <c r="CW285" s="1" t="str">
        <f aca="false">IF(OR(OR(NOT(AND(ISNUMBER(E285),ISNUMBER(F285))),$J$2=""),14&gt;Reprogramaciones!$K$16),"",IF(ROUND(SUM($Q285:AD285),1)&gt;=99.5,100,MIN(100,ROUND(SUM($Q285:AD285),1))))</f>
        <v/>
      </c>
      <c r="CX285" s="1" t="str">
        <f aca="false">IF(OR(OR(NOT(AND(ISNUMBER(E285),ISNUMBER(F285))),$J$2=""),15&gt;Reprogramaciones!$K$16),"",IF(ROUND(SUM($Q285:AE285),1)&gt;=99.5,100,MIN(100,ROUND(SUM($Q285:AE285),1))))</f>
        <v/>
      </c>
      <c r="CY285" s="1" t="str">
        <f aca="false">IF(OR(OR(NOT(AND(ISNUMBER(E285),ISNUMBER(F285))),$J$2=""),16&gt;Reprogramaciones!$K$16),"",IF(ROUND(SUM($Q285:AF285),1)&gt;=99.5,100,MIN(100,ROUND(SUM($Q285:AF285),1))))</f>
        <v/>
      </c>
      <c r="CZ285" s="1" t="str">
        <f aca="false">IF(D285&lt;&gt;"",D285,IF(B285&lt;&gt;"","Contractual",CZ284))</f>
        <v>Contractual</v>
      </c>
      <c r="DA285" s="1" t="str">
        <f aca="false">IF(OR(NOT(AND(ISNUMBER(E285),ISNUMBER(F285))),$J$2=""),"",IF(Reprogramaciones!$Q$15&lt;Reprogramaciones!$T$15,0,IF(Reprogramaciones!$S$15&gt;10,MIN(100,SUM($G285:$P285)),MIN(100,SUMPRODUCT((COLUMN($G285:$P285)-COLUMN($G285)+1&lt;Reprogramaciones!$S$15)*$G285:$P285)+N(INDEX($G285:$P285,1,Reprogramaciones!$S$15))*IF(Reprogramaciones!$Q$15&gt;=(Reprogramaciones!$T$15+7*(Reprogramaciones!$S$15-1))+6,1,IF(MAX(0,NETWORKDAYS.INTL(MAX(E285,(Reprogramaciones!$T$15+7*(Reprogramaciones!$S$15-1))),MIN(F285,(Reprogramaciones!$T$15+7*(Reprogramaciones!$S$15-1))+6),11))=0,0,MAX(0,NETWORKDAYS.INTL(MAX(E285,(Reprogramaciones!$T$15+7*(Reprogramaciones!$S$15-1))),MIN(F285,Reprogramaciones!$Q$15),11))/MAX(0,NETWORKDAYS.INTL(MAX(E285,(Reprogramaciones!$T$15+7*(Reprogramaciones!$S$15-1))),MIN(F285,(Reprogramaciones!$T$15+7*(Reprogramaciones!$S$15-1))+6),11))))))))</f>
        <v/>
      </c>
    </row>
    <row r="286" customFormat="false" ht="15" hidden="false" customHeight="false" outlineLevel="0" collapsed="false">
      <c r="A286" s="32"/>
      <c r="B286" s="33"/>
      <c r="C286" s="33"/>
      <c r="D286" s="34"/>
      <c r="E286" s="35"/>
      <c r="F286" s="35"/>
      <c r="G286" s="36" t="str">
        <f aca="false">IF(OR(NOT(AND(ISNUMBER(E286),ISNUMBER(F286))),$J$2=""),"",IF(Reprogramaciones!K$9&lt;E286,0,IF(NETWORKDAYS.INTL(E286,F286,11)=0,IF(Reprogramaciones!K$9&gt;=F286,100,0),ROUND(NETWORKDAYS.INTL(E286,MIN(F286,Reprogramaciones!K$9),11)/NETWORKDAYS.INTL(E286,F286,11)*100,1)))-0)</f>
        <v/>
      </c>
      <c r="H286" s="36" t="str">
        <f aca="false">IF(OR(NOT(AND(ISNUMBER(E286),ISNUMBER(F286))),$J$2=""),"",IF(Reprogramaciones!L$9&lt;E286,0,IF(NETWORKDAYS.INTL(E286,F286,11)=0,IF(Reprogramaciones!L$9&gt;=F286,100,0),ROUND(NETWORKDAYS.INTL(E286,MIN(F286,Reprogramaciones!L$9),11)/NETWORKDAYS.INTL(E286,F286,11)*100,1)))-IF(Reprogramaciones!K$9&lt;E286,0,IF(NETWORKDAYS.INTL(E286,F286,11)=0,IF(Reprogramaciones!K$9&gt;=F286,100,0),ROUND(NETWORKDAYS.INTL(E286,MIN(F286,Reprogramaciones!K$9),11)/NETWORKDAYS.INTL(E286,F286,11)*100,1))))</f>
        <v/>
      </c>
      <c r="I286" s="36" t="str">
        <f aca="false">IF(OR(NOT(AND(ISNUMBER(E286),ISNUMBER(F286))),$J$2=""),"",IF(Reprogramaciones!M$9&lt;E286,0,IF(NETWORKDAYS.INTL(E286,F286,11)=0,IF(Reprogramaciones!M$9&gt;=F286,100,0),ROUND(NETWORKDAYS.INTL(E286,MIN(F286,Reprogramaciones!M$9),11)/NETWORKDAYS.INTL(E286,F286,11)*100,1)))-IF(Reprogramaciones!L$9&lt;E286,0,IF(NETWORKDAYS.INTL(E286,F286,11)=0,IF(Reprogramaciones!L$9&gt;=F286,100,0),ROUND(NETWORKDAYS.INTL(E286,MIN(F286,Reprogramaciones!L$9),11)/NETWORKDAYS.INTL(E286,F286,11)*100,1))))</f>
        <v/>
      </c>
      <c r="J286" s="36" t="str">
        <f aca="false">IF(OR(NOT(AND(ISNUMBER(E286),ISNUMBER(F286))),$J$2=""),"",IF(Reprogramaciones!N$9&lt;E286,0,IF(NETWORKDAYS.INTL(E286,F286,11)=0,IF(Reprogramaciones!N$9&gt;=F286,100,0),ROUND(NETWORKDAYS.INTL(E286,MIN(F286,Reprogramaciones!N$9),11)/NETWORKDAYS.INTL(E286,F286,11)*100,1)))-IF(Reprogramaciones!M$9&lt;E286,0,IF(NETWORKDAYS.INTL(E286,F286,11)=0,IF(Reprogramaciones!M$9&gt;=F286,100,0),ROUND(NETWORKDAYS.INTL(E286,MIN(F286,Reprogramaciones!M$9),11)/NETWORKDAYS.INTL(E286,F286,11)*100,1))))</f>
        <v/>
      </c>
      <c r="K286" s="36" t="str">
        <f aca="false">IF(OR(NOT(AND(ISNUMBER(E286),ISNUMBER(F286))),$J$2=""),"",IF(Reprogramaciones!O$9&lt;E286,0,IF(NETWORKDAYS.INTL(E286,F286,11)=0,IF(Reprogramaciones!O$9&gt;=F286,100,0),ROUND(NETWORKDAYS.INTL(E286,MIN(F286,Reprogramaciones!O$9),11)/NETWORKDAYS.INTL(E286,F286,11)*100,1)))-IF(Reprogramaciones!N$9&lt;E286,0,IF(NETWORKDAYS.INTL(E286,F286,11)=0,IF(Reprogramaciones!N$9&gt;=F286,100,0),ROUND(NETWORKDAYS.INTL(E286,MIN(F286,Reprogramaciones!N$9),11)/NETWORKDAYS.INTL(E286,F286,11)*100,1))))</f>
        <v/>
      </c>
      <c r="L286" s="36" t="str">
        <f aca="false">IF(OR(NOT(AND(ISNUMBER(E286),ISNUMBER(F286))),$J$2=""),"",IF(Reprogramaciones!P$9&lt;E286,0,IF(NETWORKDAYS.INTL(E286,F286,11)=0,IF(Reprogramaciones!P$9&gt;=F286,100,0),ROUND(NETWORKDAYS.INTL(E286,MIN(F286,Reprogramaciones!P$9),11)/NETWORKDAYS.INTL(E286,F286,11)*100,1)))-IF(Reprogramaciones!O$9&lt;E286,0,IF(NETWORKDAYS.INTL(E286,F286,11)=0,IF(Reprogramaciones!O$9&gt;=F286,100,0),ROUND(NETWORKDAYS.INTL(E286,MIN(F286,Reprogramaciones!O$9),11)/NETWORKDAYS.INTL(E286,F286,11)*100,1))))</f>
        <v/>
      </c>
      <c r="M286" s="36" t="str">
        <f aca="false">IF(OR(NOT(AND(ISNUMBER(E286),ISNUMBER(F286))),$J$2=""),"",IF(Reprogramaciones!Q$9&lt;E286,0,IF(NETWORKDAYS.INTL(E286,F286,11)=0,IF(Reprogramaciones!Q$9&gt;=F286,100,0),ROUND(NETWORKDAYS.INTL(E286,MIN(F286,Reprogramaciones!Q$9),11)/NETWORKDAYS.INTL(E286,F286,11)*100,1)))-IF(Reprogramaciones!P$9&lt;E286,0,IF(NETWORKDAYS.INTL(E286,F286,11)=0,IF(Reprogramaciones!P$9&gt;=F286,100,0),ROUND(NETWORKDAYS.INTL(E286,MIN(F286,Reprogramaciones!P$9),11)/NETWORKDAYS.INTL(E286,F286,11)*100,1))))</f>
        <v/>
      </c>
      <c r="N286" s="36" t="str">
        <f aca="false">IF(OR(NOT(AND(ISNUMBER(E286),ISNUMBER(F286))),$J$2=""),"",IF(Reprogramaciones!R$9&lt;E286,0,IF(NETWORKDAYS.INTL(E286,F286,11)=0,IF(Reprogramaciones!R$9&gt;=F286,100,0),ROUND(NETWORKDAYS.INTL(E286,MIN(F286,Reprogramaciones!R$9),11)/NETWORKDAYS.INTL(E286,F286,11)*100,1)))-IF(Reprogramaciones!Q$9&lt;E286,0,IF(NETWORKDAYS.INTL(E286,F286,11)=0,IF(Reprogramaciones!Q$9&gt;=F286,100,0),ROUND(NETWORKDAYS.INTL(E286,MIN(F286,Reprogramaciones!Q$9),11)/NETWORKDAYS.INTL(E286,F286,11)*100,1))))</f>
        <v/>
      </c>
      <c r="O286" s="36" t="str">
        <f aca="false">IF(OR(NOT(AND(ISNUMBER(E286),ISNUMBER(F286))),$J$2=""),"",IF(Reprogramaciones!S$9&lt;E286,0,IF(NETWORKDAYS.INTL(E286,F286,11)=0,IF(Reprogramaciones!S$9&gt;=F286,100,0),ROUND(NETWORKDAYS.INTL(E286,MIN(F286,Reprogramaciones!S$9),11)/NETWORKDAYS.INTL(E286,F286,11)*100,1)))-IF(Reprogramaciones!R$9&lt;E286,0,IF(NETWORKDAYS.INTL(E286,F286,11)=0,IF(Reprogramaciones!R$9&gt;=F286,100,0),ROUND(NETWORKDAYS.INTL(E286,MIN(F286,Reprogramaciones!R$9),11)/NETWORKDAYS.INTL(E286,F286,11)*100,1))))</f>
        <v/>
      </c>
      <c r="P286" s="36" t="str">
        <f aca="false">IF(OR(NOT(AND(ISNUMBER(E286),ISNUMBER(F286))),$J$2=""),"",IF(Reprogramaciones!T$9&lt;E286,0,IF(NETWORKDAYS.INTL(E286,F286,11)=0,IF(Reprogramaciones!T$9&gt;=F286,100,0),ROUND(NETWORKDAYS.INTL(E286,MIN(F286,Reprogramaciones!T$9),11)/NETWORKDAYS.INTL(E286,F286,11)*100,1)))-IF(Reprogramaciones!S$9&lt;E286,0,IF(NETWORKDAYS.INTL(E286,F286,11)=0,IF(Reprogramaciones!S$9&gt;=F286,100,0),ROUND(NETWORKDAYS.INTL(E286,MIN(F286,Reprogramaciones!S$9),11)/NETWORKDAYS.INTL(E286,F286,11)*100,1))))</f>
        <v/>
      </c>
      <c r="Q286" s="37"/>
      <c r="R286" s="37"/>
      <c r="S286" s="37"/>
      <c r="T286" s="37"/>
      <c r="U286" s="37"/>
      <c r="V286" s="37"/>
      <c r="W286" s="37"/>
      <c r="X286" s="37"/>
      <c r="Y286" s="37"/>
      <c r="Z286" s="37"/>
      <c r="AA286" s="37"/>
      <c r="AB286" s="37"/>
      <c r="AC286" s="37"/>
      <c r="AD286" s="37"/>
      <c r="AE286" s="37"/>
      <c r="AF286" s="37"/>
      <c r="AG286" s="38" t="str">
        <f aca="false">IF(AND(ISNUMBER(E286),ISNUMBER(F286)),NETWORKDAYS.INTL(E286,F286,11),"")</f>
        <v/>
      </c>
      <c r="AH286" s="38" t="str">
        <f aca="false">IF(OR(NOT(AND(ISNUMBER(E286),ISNUMBER(F286))),$J$2=""),"",IF(Reprogramaciones!$P$15&lt;Reprogramaciones!$T$15,0,IF(Reprogramaciones!$R$15&gt;10,MIN(100,SUM($G286:$P286)),MIN(100,SUMPRODUCT((COLUMN($G286:$P286)-COLUMN($G286)+1&lt;Reprogramaciones!$R$15)*$G286:$P286)+N(INDEX($G286:$P286,1,Reprogramaciones!$R$15))*IF(Reprogramaciones!$P$15&gt;=(Reprogramaciones!$T$15+7*(Reprogramaciones!$R$15-1))+6,1,IF(MAX(0,NETWORKDAYS.INTL(MAX(E286,(Reprogramaciones!$T$15+7*(Reprogramaciones!$R$15-1))),MIN(F286,(Reprogramaciones!$T$15+7*(Reprogramaciones!$R$15-1))+6),11))=0,0,MAX(0,NETWORKDAYS.INTL(MAX(E286,(Reprogramaciones!$T$15+7*(Reprogramaciones!$R$15-1))),MIN(F286,Reprogramaciones!$P$15),11))/MAX(0,NETWORKDAYS.INTL(MAX(E286,(Reprogramaciones!$T$15+7*(Reprogramaciones!$R$15-1))),MIN(F286,(Reprogramaciones!$T$15+7*(Reprogramaciones!$R$15-1))+6),11))))))))</f>
        <v/>
      </c>
      <c r="AI286" s="38" t="str">
        <f aca="false">IF(COUNT($Q286:$AF286)=0,"",IF(ROUND(SUM($Q286:$AF286),1)&gt;=99.5,100,MIN(100,ROUND(SUM($Q286:$AF286),1))))</f>
        <v/>
      </c>
      <c r="AJ286" s="38" t="str">
        <f aca="false">IF(OR(AH286="",AI286=""),"",AI286-AH286)</f>
        <v/>
      </c>
      <c r="AK286" s="39" t="str">
        <f aca="true">IF(AH286="","",IF(OR(Ficha!$C$10="Suspendida",Ficha!$C$10="Cancelada"),Ficha!$C$10,IF(AND(AI286&lt;&gt;"",N(AI286)&gt;=100),"Completada",IF(AND(E286&gt;TODAY(),N(AI286)=0),"Por iniciar",IF(N(AI286)+0.5&lt;AH286,"Retrasada",IF(N(AI286)+0.5&lt;DA286,IF(Reprogramaciones!$K$15&gt;0,"Al día · Sem "&amp;Reprogramaciones!$K$15&amp;" en curso","Al día · en curso"),"A tiempo"))))))</f>
        <v/>
      </c>
      <c r="AL286" s="39" t="str">
        <f aca="true">IF(AND(A286="",AND(B286="",C286="",E286="",F286="",COUNT(Q286:AF286)=0)),"",IF(AND(B286="",C286="",E286="",F286="",COUNT(Q286:AF286)=0),"Falta la partida o subpartida",IF(AND(A286&lt;&gt;"",COUNTIF($A$6:$A$305,A286)&gt;1),"Ítem repetido",IF(AND(C286="",E286="",F286="",COUNT(Q286:AF286)=0),"Título de partida",IF(OR(E286="",F286=""),"Faltan fechas",IF(OR(ISTEXT(E286),ISTEXT(F286)),"Fecha escrita como texto: usa dd/mm/aaaa",IF(F286&lt;E286,"Fin antes del inicio",IF(IF($J$2="",FALSE(),OR(E286&lt;$J$2,F286&gt;Reprogramaciones!$T$15+69)),"Fuera de las 10 semanas",IF(ABS(SUM(G286:P286)-100)&gt;0.5,"La meta no suma 100%",IF(ROUND(SUM(Q286:AF286),1)&gt;100.5,"El avance pasa de 100%",IF(MIN(Q286:AF286)&lt;0,"Avance negativo",IF(COUNTA(Q286:AF286)&gt;COUNT(Q286:AF286),"Avance escrito como texto",IF(SUMPRODUCT((Q286:AF286&gt;0)*(Q286:AF286&lt;1))&gt;0,"Avance menor a 1: escribe 50, no 50%",IF(SUMPRODUCT(ISNUMBER(Q286:AF286)*(Reprogramaciones!$K$8:$Z$8&gt;TODAY()))&gt;0,"Avance en semana que aún no llega",IF(AND(N(Reprogramaciones!$E$21)&gt;0,F286&gt;Reprogramaciones!$E$21),"Pasa el fin de la obra: registra una reprogramación",IF(AND(N(Reprogramaciones!$E$21)&gt;0,SUMPRODUCT(ISNUMBER(Q286:AF286)*(Reprogramaciones!$K$8:$Z$8&gt;Reprogramaciones!$E$21))&gt;0),"Avance después del fin de la obra: registra una reprogramación por atraso","OK"))))))))))))))))</f>
        <v/>
      </c>
      <c r="AM286" s="40" t="str">
        <f aca="false">IF(OR(OR(NOT(AND(ISNUMBER(E286),ISNUMBER(F286))),$J$2=""),1&gt;MAX(1,Reprogramaciones!$U$15)),"",IF(Reprogramaciones!K$12&gt;=7,"",IF(OR(BT286-N(0)&gt;0.05,N(Q286)&gt;0),ROUNDDOWN(ROUND(BT286,6),0)&amp;"%"&amp;IF(CJ286="",""," / "&amp;CJ286&amp;"%"),IF(AND(N(0)&gt;=99.95,CJ286&lt;&gt;"",N(CJ286)&lt;100),"Pend. "&amp;CJ286&amp;"%",""))))</f>
        <v/>
      </c>
      <c r="AN286" s="40" t="str">
        <f aca="false">IF(OR(OR(NOT(AND(ISNUMBER(E286),ISNUMBER(F286))),$J$2=""),2&gt;MAX(1,Reprogramaciones!$U$15)),"",IF(Reprogramaciones!L$12&gt;=7,"",IF(OR(BU286-N(BT286)&gt;0.05,N(R286)&gt;0),ROUNDDOWN(ROUND(BU286,6),0)&amp;"%"&amp;IF(CK286="",""," / "&amp;CK286&amp;"%"),IF(AND(N(BT286)&gt;=99.95,CK286&lt;&gt;"",N(CK286)&lt;100),"Pend. "&amp;CK286&amp;"%",""))))</f>
        <v/>
      </c>
      <c r="AO286" s="40" t="str">
        <f aca="false">IF(OR(OR(NOT(AND(ISNUMBER(E286),ISNUMBER(F286))),$J$2=""),3&gt;MAX(1,Reprogramaciones!$U$15)),"",IF(Reprogramaciones!M$12&gt;=7,"",IF(OR(BV286-N(BU286)&gt;0.05,N(S286)&gt;0),ROUNDDOWN(ROUND(BV286,6),0)&amp;"%"&amp;IF(CL286="",""," / "&amp;CL286&amp;"%"),IF(AND(N(BU286)&gt;=99.95,CL286&lt;&gt;"",N(CL286)&lt;100),"Pend. "&amp;CL286&amp;"%",""))))</f>
        <v/>
      </c>
      <c r="AP286" s="40" t="str">
        <f aca="false">IF(OR(OR(NOT(AND(ISNUMBER(E286),ISNUMBER(F286))),$J$2=""),4&gt;MAX(1,Reprogramaciones!$U$15)),"",IF(Reprogramaciones!N$12&gt;=7,"",IF(OR(BW286-N(BV286)&gt;0.05,N(T286)&gt;0),ROUNDDOWN(ROUND(BW286,6),0)&amp;"%"&amp;IF(CM286="",""," / "&amp;CM286&amp;"%"),IF(AND(N(BV286)&gt;=99.95,CM286&lt;&gt;"",N(CM286)&lt;100),"Pend. "&amp;CM286&amp;"%",""))))</f>
        <v/>
      </c>
      <c r="AQ286" s="40" t="str">
        <f aca="false">IF(OR(OR(NOT(AND(ISNUMBER(E286),ISNUMBER(F286))),$J$2=""),5&gt;MAX(1,Reprogramaciones!$U$15)),"",IF(Reprogramaciones!O$12&gt;=7,"",IF(OR(BX286-N(BW286)&gt;0.05,N(U286)&gt;0),ROUNDDOWN(ROUND(BX286,6),0)&amp;"%"&amp;IF(CN286="",""," / "&amp;CN286&amp;"%"),IF(AND(N(BW286)&gt;=99.95,CN286&lt;&gt;"",N(CN286)&lt;100),"Pend. "&amp;CN286&amp;"%",""))))</f>
        <v/>
      </c>
      <c r="AR286" s="40" t="str">
        <f aca="false">IF(OR(OR(NOT(AND(ISNUMBER(E286),ISNUMBER(F286))),$J$2=""),6&gt;MAX(1,Reprogramaciones!$U$15)),"",IF(Reprogramaciones!P$12&gt;=7,"",IF(OR(BY286-N(BX286)&gt;0.05,N(V286)&gt;0),ROUNDDOWN(ROUND(BY286,6),0)&amp;"%"&amp;IF(CO286="",""," / "&amp;CO286&amp;"%"),IF(AND(N(BX286)&gt;=99.95,CO286&lt;&gt;"",N(CO286)&lt;100),"Pend. "&amp;CO286&amp;"%",""))))</f>
        <v/>
      </c>
      <c r="AS286" s="40" t="str">
        <f aca="false">IF(OR(OR(NOT(AND(ISNUMBER(E286),ISNUMBER(F286))),$J$2=""),7&gt;MAX(1,Reprogramaciones!$U$15)),"",IF(Reprogramaciones!Q$12&gt;=7,"",IF(OR(BZ286-N(BY286)&gt;0.05,N(W286)&gt;0),ROUNDDOWN(ROUND(BZ286,6),0)&amp;"%"&amp;IF(CP286="",""," / "&amp;CP286&amp;"%"),IF(AND(N(BY286)&gt;=99.95,CP286&lt;&gt;"",N(CP286)&lt;100),"Pend. "&amp;CP286&amp;"%",""))))</f>
        <v/>
      </c>
      <c r="AT286" s="40" t="str">
        <f aca="false">IF(OR(OR(NOT(AND(ISNUMBER(E286),ISNUMBER(F286))),$J$2=""),8&gt;MAX(1,Reprogramaciones!$U$15)),"",IF(Reprogramaciones!R$12&gt;=7,"",IF(OR(CA286-N(BZ286)&gt;0.05,N(X286)&gt;0),ROUNDDOWN(ROUND(CA286,6),0)&amp;"%"&amp;IF(CQ286="",""," / "&amp;CQ286&amp;"%"),IF(AND(N(BZ286)&gt;=99.95,CQ286&lt;&gt;"",N(CQ286)&lt;100),"Pend. "&amp;CQ286&amp;"%",""))))</f>
        <v/>
      </c>
      <c r="AU286" s="40" t="str">
        <f aca="false">IF(OR(OR(NOT(AND(ISNUMBER(E286),ISNUMBER(F286))),$J$2=""),9&gt;MAX(1,Reprogramaciones!$U$15)),"",IF(Reprogramaciones!S$12&gt;=7,"",IF(OR(CB286-N(CA286)&gt;0.05,N(Y286)&gt;0),ROUNDDOWN(ROUND(CB286,6),0)&amp;"%"&amp;IF(CR286="",""," / "&amp;CR286&amp;"%"),IF(AND(N(CA286)&gt;=99.95,CR286&lt;&gt;"",N(CR286)&lt;100),"Pend. "&amp;CR286&amp;"%",""))))</f>
        <v/>
      </c>
      <c r="AV286" s="40" t="str">
        <f aca="false">IF(OR(OR(NOT(AND(ISNUMBER(E286),ISNUMBER(F286))),$J$2=""),10&gt;MAX(1,Reprogramaciones!$U$15)),"",IF(Reprogramaciones!T$12&gt;=7,"",IF(OR(CC286-N(CB286)&gt;0.05,N(Z286)&gt;0),ROUNDDOWN(ROUND(CC286,6),0)&amp;"%"&amp;IF(CS286="",""," / "&amp;CS286&amp;"%"),IF(AND(N(CB286)&gt;=99.95,CS286&lt;&gt;"",N(CS286)&lt;100),"Pend. "&amp;CS286&amp;"%",""))))</f>
        <v/>
      </c>
      <c r="AW286" s="40" t="str">
        <f aca="false">IF(OR(OR(NOT(AND(ISNUMBER(E286),ISNUMBER(F286))),$J$2=""),11&gt;MAX(1,Reprogramaciones!$U$15)),"",IF(Reprogramaciones!U$12&gt;=7,"",IF(OR(CD286-N(CC286)&gt;0.05,N(AA286)&gt;0),ROUNDDOWN(ROUND(CD286,6),0)&amp;"%"&amp;IF(CT286="",""," / "&amp;CT286&amp;"%"),IF(AND(N(CC286)&gt;=99.95,CT286&lt;&gt;"",N(CT286)&lt;100),"Pend. "&amp;CT286&amp;"%",""))))</f>
        <v/>
      </c>
      <c r="AX286" s="40" t="str">
        <f aca="false">IF(OR(OR(NOT(AND(ISNUMBER(E286),ISNUMBER(F286))),$J$2=""),12&gt;MAX(1,Reprogramaciones!$U$15)),"",IF(Reprogramaciones!V$12&gt;=7,"",IF(OR(CE286-N(CD286)&gt;0.05,N(AB286)&gt;0),ROUNDDOWN(ROUND(CE286,6),0)&amp;"%"&amp;IF(CU286="",""," / "&amp;CU286&amp;"%"),IF(AND(N(CD286)&gt;=99.95,CU286&lt;&gt;"",N(CU286)&lt;100),"Pend. "&amp;CU286&amp;"%",""))))</f>
        <v/>
      </c>
      <c r="AY286" s="40" t="str">
        <f aca="false">IF(OR(OR(NOT(AND(ISNUMBER(E286),ISNUMBER(F286))),$J$2=""),13&gt;MAX(1,Reprogramaciones!$U$15)),"",IF(Reprogramaciones!W$12&gt;=7,"",IF(OR(CF286-N(CE286)&gt;0.05,N(AC286)&gt;0),ROUNDDOWN(ROUND(CF286,6),0)&amp;"%"&amp;IF(CV286="",""," / "&amp;CV286&amp;"%"),IF(AND(N(CE286)&gt;=99.95,CV286&lt;&gt;"",N(CV286)&lt;100),"Pend. "&amp;CV286&amp;"%",""))))</f>
        <v/>
      </c>
      <c r="AZ286" s="40" t="str">
        <f aca="false">IF(OR(OR(NOT(AND(ISNUMBER(E286),ISNUMBER(F286))),$J$2=""),14&gt;MAX(1,Reprogramaciones!$U$15)),"",IF(Reprogramaciones!X$12&gt;=7,"",IF(OR(CG286-N(CF286)&gt;0.05,N(AD286)&gt;0),ROUNDDOWN(ROUND(CG286,6),0)&amp;"%"&amp;IF(CW286="",""," / "&amp;CW286&amp;"%"),IF(AND(N(CF286)&gt;=99.95,CW286&lt;&gt;"",N(CW286)&lt;100),"Pend. "&amp;CW286&amp;"%",""))))</f>
        <v/>
      </c>
      <c r="BA286" s="40" t="str">
        <f aca="false">IF(OR(OR(NOT(AND(ISNUMBER(E286),ISNUMBER(F286))),$J$2=""),15&gt;MAX(1,Reprogramaciones!$U$15)),"",IF(Reprogramaciones!Y$12&gt;=7,"",IF(OR(CH286-N(CG286)&gt;0.05,N(AE286)&gt;0),ROUNDDOWN(ROUND(CH286,6),0)&amp;"%"&amp;IF(CX286="",""," / "&amp;CX286&amp;"%"),IF(AND(N(CG286)&gt;=99.95,CX286&lt;&gt;"",N(CX286)&lt;100),"Pend. "&amp;CX286&amp;"%",""))))</f>
        <v/>
      </c>
      <c r="BB286" s="40" t="str">
        <f aca="false">IF(OR(OR(NOT(AND(ISNUMBER(E286),ISNUMBER(F286))),$J$2=""),16&gt;MAX(1,Reprogramaciones!$U$15)),"",IF(Reprogramaciones!Z$12&gt;=7,"",IF(OR(CI286-N(CH286)&gt;0.05,N(AF286)&gt;0),ROUNDDOWN(ROUND(CI286,6),0)&amp;"%"&amp;IF(CY286="",""," / "&amp;CY286&amp;"%"),IF(AND(N(CH286)&gt;=99.95,CY286&lt;&gt;"",N(CY286)&lt;100),"Pend. "&amp;CY286&amp;"%",""))))</f>
        <v/>
      </c>
      <c r="BC286" s="31" t="n">
        <f aca="false">IF(AND(ISNUMBER(E286),ISNUMBER(F286)),MAX(1,NETWORKDAYS.INTL(E286,F286,11)),0)</f>
        <v>0</v>
      </c>
      <c r="BD286" s="1" t="str">
        <f aca="false">IF(OR(NOT(AND(ISNUMBER(E286),ISNUMBER(F286))),$J$2=""),"",MIN(100,ROUND(SUM($G286:G286),1)))</f>
        <v/>
      </c>
      <c r="BE286" s="1" t="str">
        <f aca="false">IF(OR(NOT(AND(ISNUMBER(E286),ISNUMBER(F286))),$J$2=""),"",MIN(100,ROUND(SUM($G286:H286),1)))</f>
        <v/>
      </c>
      <c r="BF286" s="1" t="str">
        <f aca="false">IF(OR(NOT(AND(ISNUMBER(E286),ISNUMBER(F286))),$J$2=""),"",MIN(100,ROUND(SUM($G286:I286),1)))</f>
        <v/>
      </c>
      <c r="BG286" s="1" t="str">
        <f aca="false">IF(OR(NOT(AND(ISNUMBER(E286),ISNUMBER(F286))),$J$2=""),"",MIN(100,ROUND(SUM($G286:J286),1)))</f>
        <v/>
      </c>
      <c r="BH286" s="1" t="str">
        <f aca="false">IF(OR(NOT(AND(ISNUMBER(E286),ISNUMBER(F286))),$J$2=""),"",MIN(100,ROUND(SUM($G286:K286),1)))</f>
        <v/>
      </c>
      <c r="BI286" s="1" t="str">
        <f aca="false">IF(OR(NOT(AND(ISNUMBER(E286),ISNUMBER(F286))),$J$2=""),"",MIN(100,ROUND(SUM($G286:L286),1)))</f>
        <v/>
      </c>
      <c r="BJ286" s="1" t="str">
        <f aca="false">IF(OR(NOT(AND(ISNUMBER(E286),ISNUMBER(F286))),$J$2=""),"",MIN(100,ROUND(SUM($G286:M286),1)))</f>
        <v/>
      </c>
      <c r="BK286" s="1" t="str">
        <f aca="false">IF(OR(NOT(AND(ISNUMBER(E286),ISNUMBER(F286))),$J$2=""),"",MIN(100,ROUND(SUM($G286:N286),1)))</f>
        <v/>
      </c>
      <c r="BL286" s="1" t="str">
        <f aca="false">IF(OR(NOT(AND(ISNUMBER(E286),ISNUMBER(F286))),$J$2=""),"",MIN(100,ROUND(SUM($G286:O286),1)))</f>
        <v/>
      </c>
      <c r="BM286" s="1" t="str">
        <f aca="false">IF(OR(NOT(AND(ISNUMBER(E286),ISNUMBER(F286))),$J$2=""),"",MIN(100,ROUND(SUM($G286:P286),1)))</f>
        <v/>
      </c>
      <c r="BN286" s="1" t="str">
        <f aca="false">IF(OR(NOT(AND(ISNUMBER(E286),ISNUMBER(F286))),$J$2=""),"",MIN(100,ROUND(SUM($G286:P286),1)))</f>
        <v/>
      </c>
      <c r="BO286" s="1" t="str">
        <f aca="false">IF(OR(NOT(AND(ISNUMBER(E286),ISNUMBER(F286))),$J$2=""),"",MIN(100,ROUND(SUM($G286:P286),1)))</f>
        <v/>
      </c>
      <c r="BP286" s="1" t="str">
        <f aca="false">IF(OR(NOT(AND(ISNUMBER(E286),ISNUMBER(F286))),$J$2=""),"",MIN(100,ROUND(SUM($G286:P286),1)))</f>
        <v/>
      </c>
      <c r="BQ286" s="1" t="str">
        <f aca="false">IF(OR(NOT(AND(ISNUMBER(E286),ISNUMBER(F286))),$J$2=""),"",MIN(100,ROUND(SUM($G286:P286),1)))</f>
        <v/>
      </c>
      <c r="BR286" s="1" t="str">
        <f aca="false">IF(OR(NOT(AND(ISNUMBER(E286),ISNUMBER(F286))),$J$2=""),"",MIN(100,ROUND(SUM($G286:P286),1)))</f>
        <v/>
      </c>
      <c r="BS286" s="1" t="str">
        <f aca="false">IF(OR(NOT(AND(ISNUMBER(E286),ISNUMBER(F286))),$J$2=""),"",MIN(100,ROUND(SUM($G286:P286),1)))</f>
        <v/>
      </c>
      <c r="BT286" s="1" t="str">
        <f aca="false">IF(OR(NOT(AND(ISNUMBER(E286),ISNUMBER(F286))),$J$2=""),"",IF(Reprogramaciones!K$13&lt;Reprogramaciones!$T$15,0,IF(Reprogramaciones!K$14&gt;10,MIN(100,SUM($G286:$P286)),MIN(100,SUMPRODUCT((COLUMN($G286:$P286)-COLUMN($G286)+1&lt;Reprogramaciones!K$14)*$G286:$P286)+N(INDEX($G286:$P286,1,Reprogramaciones!K$14))*IF(Reprogramaciones!K$13&gt;=(Reprogramaciones!$T$15+7*(Reprogramaciones!K$14-1))+6,1,IF(MAX(0,NETWORKDAYS.INTL(MAX(E286,(Reprogramaciones!$T$15+7*(Reprogramaciones!K$14-1))),MIN(F286,(Reprogramaciones!$T$15+7*(Reprogramaciones!K$14-1))+6),11))=0,0,MAX(0,NETWORKDAYS.INTL(MAX(E286,(Reprogramaciones!$T$15+7*(Reprogramaciones!K$14-1))),MIN(F286,Reprogramaciones!K$13),11))/MAX(0,NETWORKDAYS.INTL(MAX(E286,(Reprogramaciones!$T$15+7*(Reprogramaciones!K$14-1))),MIN(F286,(Reprogramaciones!$T$15+7*(Reprogramaciones!K$14-1))+6),11))))))))</f>
        <v/>
      </c>
      <c r="BU286" s="1" t="str">
        <f aca="false">IF(OR(NOT(AND(ISNUMBER(E286),ISNUMBER(F286))),$J$2=""),"",IF(Reprogramaciones!L$13&lt;Reprogramaciones!$T$15,0,IF(Reprogramaciones!L$14&gt;10,MIN(100,SUM($G286:$P286)),MIN(100,SUMPRODUCT((COLUMN($G286:$P286)-COLUMN($G286)+1&lt;Reprogramaciones!L$14)*$G286:$P286)+N(INDEX($G286:$P286,1,Reprogramaciones!L$14))*IF(Reprogramaciones!L$13&gt;=(Reprogramaciones!$T$15+7*(Reprogramaciones!L$14-1))+6,1,IF(MAX(0,NETWORKDAYS.INTL(MAX(E286,(Reprogramaciones!$T$15+7*(Reprogramaciones!L$14-1))),MIN(F286,(Reprogramaciones!$T$15+7*(Reprogramaciones!L$14-1))+6),11))=0,0,MAX(0,NETWORKDAYS.INTL(MAX(E286,(Reprogramaciones!$T$15+7*(Reprogramaciones!L$14-1))),MIN(F286,Reprogramaciones!L$13),11))/MAX(0,NETWORKDAYS.INTL(MAX(E286,(Reprogramaciones!$T$15+7*(Reprogramaciones!L$14-1))),MIN(F286,(Reprogramaciones!$T$15+7*(Reprogramaciones!L$14-1))+6),11))))))))</f>
        <v/>
      </c>
      <c r="BV286" s="1" t="str">
        <f aca="false">IF(OR(NOT(AND(ISNUMBER(E286),ISNUMBER(F286))),$J$2=""),"",IF(Reprogramaciones!M$13&lt;Reprogramaciones!$T$15,0,IF(Reprogramaciones!M$14&gt;10,MIN(100,SUM($G286:$P286)),MIN(100,SUMPRODUCT((COLUMN($G286:$P286)-COLUMN($G286)+1&lt;Reprogramaciones!M$14)*$G286:$P286)+N(INDEX($G286:$P286,1,Reprogramaciones!M$14))*IF(Reprogramaciones!M$13&gt;=(Reprogramaciones!$T$15+7*(Reprogramaciones!M$14-1))+6,1,IF(MAX(0,NETWORKDAYS.INTL(MAX(E286,(Reprogramaciones!$T$15+7*(Reprogramaciones!M$14-1))),MIN(F286,(Reprogramaciones!$T$15+7*(Reprogramaciones!M$14-1))+6),11))=0,0,MAX(0,NETWORKDAYS.INTL(MAX(E286,(Reprogramaciones!$T$15+7*(Reprogramaciones!M$14-1))),MIN(F286,Reprogramaciones!M$13),11))/MAX(0,NETWORKDAYS.INTL(MAX(E286,(Reprogramaciones!$T$15+7*(Reprogramaciones!M$14-1))),MIN(F286,(Reprogramaciones!$T$15+7*(Reprogramaciones!M$14-1))+6),11))))))))</f>
        <v/>
      </c>
      <c r="BW286" s="1" t="str">
        <f aca="false">IF(OR(NOT(AND(ISNUMBER(E286),ISNUMBER(F286))),$J$2=""),"",IF(Reprogramaciones!N$13&lt;Reprogramaciones!$T$15,0,IF(Reprogramaciones!N$14&gt;10,MIN(100,SUM($G286:$P286)),MIN(100,SUMPRODUCT((COLUMN($G286:$P286)-COLUMN($G286)+1&lt;Reprogramaciones!N$14)*$G286:$P286)+N(INDEX($G286:$P286,1,Reprogramaciones!N$14))*IF(Reprogramaciones!N$13&gt;=(Reprogramaciones!$T$15+7*(Reprogramaciones!N$14-1))+6,1,IF(MAX(0,NETWORKDAYS.INTL(MAX(E286,(Reprogramaciones!$T$15+7*(Reprogramaciones!N$14-1))),MIN(F286,(Reprogramaciones!$T$15+7*(Reprogramaciones!N$14-1))+6),11))=0,0,MAX(0,NETWORKDAYS.INTL(MAX(E286,(Reprogramaciones!$T$15+7*(Reprogramaciones!N$14-1))),MIN(F286,Reprogramaciones!N$13),11))/MAX(0,NETWORKDAYS.INTL(MAX(E286,(Reprogramaciones!$T$15+7*(Reprogramaciones!N$14-1))),MIN(F286,(Reprogramaciones!$T$15+7*(Reprogramaciones!N$14-1))+6),11))))))))</f>
        <v/>
      </c>
      <c r="BX286" s="1" t="str">
        <f aca="false">IF(OR(NOT(AND(ISNUMBER(E286),ISNUMBER(F286))),$J$2=""),"",IF(Reprogramaciones!O$13&lt;Reprogramaciones!$T$15,0,IF(Reprogramaciones!O$14&gt;10,MIN(100,SUM($G286:$P286)),MIN(100,SUMPRODUCT((COLUMN($G286:$P286)-COLUMN($G286)+1&lt;Reprogramaciones!O$14)*$G286:$P286)+N(INDEX($G286:$P286,1,Reprogramaciones!O$14))*IF(Reprogramaciones!O$13&gt;=(Reprogramaciones!$T$15+7*(Reprogramaciones!O$14-1))+6,1,IF(MAX(0,NETWORKDAYS.INTL(MAX(E286,(Reprogramaciones!$T$15+7*(Reprogramaciones!O$14-1))),MIN(F286,(Reprogramaciones!$T$15+7*(Reprogramaciones!O$14-1))+6),11))=0,0,MAX(0,NETWORKDAYS.INTL(MAX(E286,(Reprogramaciones!$T$15+7*(Reprogramaciones!O$14-1))),MIN(F286,Reprogramaciones!O$13),11))/MAX(0,NETWORKDAYS.INTL(MAX(E286,(Reprogramaciones!$T$15+7*(Reprogramaciones!O$14-1))),MIN(F286,(Reprogramaciones!$T$15+7*(Reprogramaciones!O$14-1))+6),11))))))))</f>
        <v/>
      </c>
      <c r="BY286" s="1" t="str">
        <f aca="false">IF(OR(NOT(AND(ISNUMBER(E286),ISNUMBER(F286))),$J$2=""),"",IF(Reprogramaciones!P$13&lt;Reprogramaciones!$T$15,0,IF(Reprogramaciones!P$14&gt;10,MIN(100,SUM($G286:$P286)),MIN(100,SUMPRODUCT((COLUMN($G286:$P286)-COLUMN($G286)+1&lt;Reprogramaciones!P$14)*$G286:$P286)+N(INDEX($G286:$P286,1,Reprogramaciones!P$14))*IF(Reprogramaciones!P$13&gt;=(Reprogramaciones!$T$15+7*(Reprogramaciones!P$14-1))+6,1,IF(MAX(0,NETWORKDAYS.INTL(MAX(E286,(Reprogramaciones!$T$15+7*(Reprogramaciones!P$14-1))),MIN(F286,(Reprogramaciones!$T$15+7*(Reprogramaciones!P$14-1))+6),11))=0,0,MAX(0,NETWORKDAYS.INTL(MAX(E286,(Reprogramaciones!$T$15+7*(Reprogramaciones!P$14-1))),MIN(F286,Reprogramaciones!P$13),11))/MAX(0,NETWORKDAYS.INTL(MAX(E286,(Reprogramaciones!$T$15+7*(Reprogramaciones!P$14-1))),MIN(F286,(Reprogramaciones!$T$15+7*(Reprogramaciones!P$14-1))+6),11))))))))</f>
        <v/>
      </c>
      <c r="BZ286" s="1" t="str">
        <f aca="false">IF(OR(NOT(AND(ISNUMBER(E286),ISNUMBER(F286))),$J$2=""),"",IF(Reprogramaciones!Q$13&lt;Reprogramaciones!$T$15,0,IF(Reprogramaciones!Q$14&gt;10,MIN(100,SUM($G286:$P286)),MIN(100,SUMPRODUCT((COLUMN($G286:$P286)-COLUMN($G286)+1&lt;Reprogramaciones!Q$14)*$G286:$P286)+N(INDEX($G286:$P286,1,Reprogramaciones!Q$14))*IF(Reprogramaciones!Q$13&gt;=(Reprogramaciones!$T$15+7*(Reprogramaciones!Q$14-1))+6,1,IF(MAX(0,NETWORKDAYS.INTL(MAX(E286,(Reprogramaciones!$T$15+7*(Reprogramaciones!Q$14-1))),MIN(F286,(Reprogramaciones!$T$15+7*(Reprogramaciones!Q$14-1))+6),11))=0,0,MAX(0,NETWORKDAYS.INTL(MAX(E286,(Reprogramaciones!$T$15+7*(Reprogramaciones!Q$14-1))),MIN(F286,Reprogramaciones!Q$13),11))/MAX(0,NETWORKDAYS.INTL(MAX(E286,(Reprogramaciones!$T$15+7*(Reprogramaciones!Q$14-1))),MIN(F286,(Reprogramaciones!$T$15+7*(Reprogramaciones!Q$14-1))+6),11))))))))</f>
        <v/>
      </c>
      <c r="CA286" s="1" t="str">
        <f aca="false">IF(OR(NOT(AND(ISNUMBER(E286),ISNUMBER(F286))),$J$2=""),"",IF(Reprogramaciones!R$13&lt;Reprogramaciones!$T$15,0,IF(Reprogramaciones!R$14&gt;10,MIN(100,SUM($G286:$P286)),MIN(100,SUMPRODUCT((COLUMN($G286:$P286)-COLUMN($G286)+1&lt;Reprogramaciones!R$14)*$G286:$P286)+N(INDEX($G286:$P286,1,Reprogramaciones!R$14))*IF(Reprogramaciones!R$13&gt;=(Reprogramaciones!$T$15+7*(Reprogramaciones!R$14-1))+6,1,IF(MAX(0,NETWORKDAYS.INTL(MAX(E286,(Reprogramaciones!$T$15+7*(Reprogramaciones!R$14-1))),MIN(F286,(Reprogramaciones!$T$15+7*(Reprogramaciones!R$14-1))+6),11))=0,0,MAX(0,NETWORKDAYS.INTL(MAX(E286,(Reprogramaciones!$T$15+7*(Reprogramaciones!R$14-1))),MIN(F286,Reprogramaciones!R$13),11))/MAX(0,NETWORKDAYS.INTL(MAX(E286,(Reprogramaciones!$T$15+7*(Reprogramaciones!R$14-1))),MIN(F286,(Reprogramaciones!$T$15+7*(Reprogramaciones!R$14-1))+6),11))))))))</f>
        <v/>
      </c>
      <c r="CB286" s="1" t="str">
        <f aca="false">IF(OR(NOT(AND(ISNUMBER(E286),ISNUMBER(F286))),$J$2=""),"",IF(Reprogramaciones!S$13&lt;Reprogramaciones!$T$15,0,IF(Reprogramaciones!S$14&gt;10,MIN(100,SUM($G286:$P286)),MIN(100,SUMPRODUCT((COLUMN($G286:$P286)-COLUMN($G286)+1&lt;Reprogramaciones!S$14)*$G286:$P286)+N(INDEX($G286:$P286,1,Reprogramaciones!S$14))*IF(Reprogramaciones!S$13&gt;=(Reprogramaciones!$T$15+7*(Reprogramaciones!S$14-1))+6,1,IF(MAX(0,NETWORKDAYS.INTL(MAX(E286,(Reprogramaciones!$T$15+7*(Reprogramaciones!S$14-1))),MIN(F286,(Reprogramaciones!$T$15+7*(Reprogramaciones!S$14-1))+6),11))=0,0,MAX(0,NETWORKDAYS.INTL(MAX(E286,(Reprogramaciones!$T$15+7*(Reprogramaciones!S$14-1))),MIN(F286,Reprogramaciones!S$13),11))/MAX(0,NETWORKDAYS.INTL(MAX(E286,(Reprogramaciones!$T$15+7*(Reprogramaciones!S$14-1))),MIN(F286,(Reprogramaciones!$T$15+7*(Reprogramaciones!S$14-1))+6),11))))))))</f>
        <v/>
      </c>
      <c r="CC286" s="1" t="str">
        <f aca="false">IF(OR(NOT(AND(ISNUMBER(E286),ISNUMBER(F286))),$J$2=""),"",IF(Reprogramaciones!T$13&lt;Reprogramaciones!$T$15,0,IF(Reprogramaciones!T$14&gt;10,MIN(100,SUM($G286:$P286)),MIN(100,SUMPRODUCT((COLUMN($G286:$P286)-COLUMN($G286)+1&lt;Reprogramaciones!T$14)*$G286:$P286)+N(INDEX($G286:$P286,1,Reprogramaciones!T$14))*IF(Reprogramaciones!T$13&gt;=(Reprogramaciones!$T$15+7*(Reprogramaciones!T$14-1))+6,1,IF(MAX(0,NETWORKDAYS.INTL(MAX(E286,(Reprogramaciones!$T$15+7*(Reprogramaciones!T$14-1))),MIN(F286,(Reprogramaciones!$T$15+7*(Reprogramaciones!T$14-1))+6),11))=0,0,MAX(0,NETWORKDAYS.INTL(MAX(E286,(Reprogramaciones!$T$15+7*(Reprogramaciones!T$14-1))),MIN(F286,Reprogramaciones!T$13),11))/MAX(0,NETWORKDAYS.INTL(MAX(E286,(Reprogramaciones!$T$15+7*(Reprogramaciones!T$14-1))),MIN(F286,(Reprogramaciones!$T$15+7*(Reprogramaciones!T$14-1))+6),11))))))))</f>
        <v/>
      </c>
      <c r="CD286" s="1" t="str">
        <f aca="false">IF(OR(NOT(AND(ISNUMBER(E286),ISNUMBER(F286))),$J$2=""),"",IF(Reprogramaciones!U$13&lt;Reprogramaciones!$T$15,0,IF(Reprogramaciones!U$14&gt;10,MIN(100,SUM($G286:$P286)),MIN(100,SUMPRODUCT((COLUMN($G286:$P286)-COLUMN($G286)+1&lt;Reprogramaciones!U$14)*$G286:$P286)+N(INDEX($G286:$P286,1,Reprogramaciones!U$14))*IF(Reprogramaciones!U$13&gt;=(Reprogramaciones!$T$15+7*(Reprogramaciones!U$14-1))+6,1,IF(MAX(0,NETWORKDAYS.INTL(MAX(E286,(Reprogramaciones!$T$15+7*(Reprogramaciones!U$14-1))),MIN(F286,(Reprogramaciones!$T$15+7*(Reprogramaciones!U$14-1))+6),11))=0,0,MAX(0,NETWORKDAYS.INTL(MAX(E286,(Reprogramaciones!$T$15+7*(Reprogramaciones!U$14-1))),MIN(F286,Reprogramaciones!U$13),11))/MAX(0,NETWORKDAYS.INTL(MAX(E286,(Reprogramaciones!$T$15+7*(Reprogramaciones!U$14-1))),MIN(F286,(Reprogramaciones!$T$15+7*(Reprogramaciones!U$14-1))+6),11))))))))</f>
        <v/>
      </c>
      <c r="CE286" s="1" t="str">
        <f aca="false">IF(OR(NOT(AND(ISNUMBER(E286),ISNUMBER(F286))),$J$2=""),"",IF(Reprogramaciones!V$13&lt;Reprogramaciones!$T$15,0,IF(Reprogramaciones!V$14&gt;10,MIN(100,SUM($G286:$P286)),MIN(100,SUMPRODUCT((COLUMN($G286:$P286)-COLUMN($G286)+1&lt;Reprogramaciones!V$14)*$G286:$P286)+N(INDEX($G286:$P286,1,Reprogramaciones!V$14))*IF(Reprogramaciones!V$13&gt;=(Reprogramaciones!$T$15+7*(Reprogramaciones!V$14-1))+6,1,IF(MAX(0,NETWORKDAYS.INTL(MAX(E286,(Reprogramaciones!$T$15+7*(Reprogramaciones!V$14-1))),MIN(F286,(Reprogramaciones!$T$15+7*(Reprogramaciones!V$14-1))+6),11))=0,0,MAX(0,NETWORKDAYS.INTL(MAX(E286,(Reprogramaciones!$T$15+7*(Reprogramaciones!V$14-1))),MIN(F286,Reprogramaciones!V$13),11))/MAX(0,NETWORKDAYS.INTL(MAX(E286,(Reprogramaciones!$T$15+7*(Reprogramaciones!V$14-1))),MIN(F286,(Reprogramaciones!$T$15+7*(Reprogramaciones!V$14-1))+6),11))))))))</f>
        <v/>
      </c>
      <c r="CF286" s="1" t="str">
        <f aca="false">IF(OR(NOT(AND(ISNUMBER(E286),ISNUMBER(F286))),$J$2=""),"",IF(Reprogramaciones!W$13&lt;Reprogramaciones!$T$15,0,IF(Reprogramaciones!W$14&gt;10,MIN(100,SUM($G286:$P286)),MIN(100,SUMPRODUCT((COLUMN($G286:$P286)-COLUMN($G286)+1&lt;Reprogramaciones!W$14)*$G286:$P286)+N(INDEX($G286:$P286,1,Reprogramaciones!W$14))*IF(Reprogramaciones!W$13&gt;=(Reprogramaciones!$T$15+7*(Reprogramaciones!W$14-1))+6,1,IF(MAX(0,NETWORKDAYS.INTL(MAX(E286,(Reprogramaciones!$T$15+7*(Reprogramaciones!W$14-1))),MIN(F286,(Reprogramaciones!$T$15+7*(Reprogramaciones!W$14-1))+6),11))=0,0,MAX(0,NETWORKDAYS.INTL(MAX(E286,(Reprogramaciones!$T$15+7*(Reprogramaciones!W$14-1))),MIN(F286,Reprogramaciones!W$13),11))/MAX(0,NETWORKDAYS.INTL(MAX(E286,(Reprogramaciones!$T$15+7*(Reprogramaciones!W$14-1))),MIN(F286,(Reprogramaciones!$T$15+7*(Reprogramaciones!W$14-1))+6),11))))))))</f>
        <v/>
      </c>
      <c r="CG286" s="1" t="str">
        <f aca="false">IF(OR(NOT(AND(ISNUMBER(E286),ISNUMBER(F286))),$J$2=""),"",IF(Reprogramaciones!X$13&lt;Reprogramaciones!$T$15,0,IF(Reprogramaciones!X$14&gt;10,MIN(100,SUM($G286:$P286)),MIN(100,SUMPRODUCT((COLUMN($G286:$P286)-COLUMN($G286)+1&lt;Reprogramaciones!X$14)*$G286:$P286)+N(INDEX($G286:$P286,1,Reprogramaciones!X$14))*IF(Reprogramaciones!X$13&gt;=(Reprogramaciones!$T$15+7*(Reprogramaciones!X$14-1))+6,1,IF(MAX(0,NETWORKDAYS.INTL(MAX(E286,(Reprogramaciones!$T$15+7*(Reprogramaciones!X$14-1))),MIN(F286,(Reprogramaciones!$T$15+7*(Reprogramaciones!X$14-1))+6),11))=0,0,MAX(0,NETWORKDAYS.INTL(MAX(E286,(Reprogramaciones!$T$15+7*(Reprogramaciones!X$14-1))),MIN(F286,Reprogramaciones!X$13),11))/MAX(0,NETWORKDAYS.INTL(MAX(E286,(Reprogramaciones!$T$15+7*(Reprogramaciones!X$14-1))),MIN(F286,(Reprogramaciones!$T$15+7*(Reprogramaciones!X$14-1))+6),11))))))))</f>
        <v/>
      </c>
      <c r="CH286" s="1" t="str">
        <f aca="false">IF(OR(NOT(AND(ISNUMBER(E286),ISNUMBER(F286))),$J$2=""),"",IF(Reprogramaciones!Y$13&lt;Reprogramaciones!$T$15,0,IF(Reprogramaciones!Y$14&gt;10,MIN(100,SUM($G286:$P286)),MIN(100,SUMPRODUCT((COLUMN($G286:$P286)-COLUMN($G286)+1&lt;Reprogramaciones!Y$14)*$G286:$P286)+N(INDEX($G286:$P286,1,Reprogramaciones!Y$14))*IF(Reprogramaciones!Y$13&gt;=(Reprogramaciones!$T$15+7*(Reprogramaciones!Y$14-1))+6,1,IF(MAX(0,NETWORKDAYS.INTL(MAX(E286,(Reprogramaciones!$T$15+7*(Reprogramaciones!Y$14-1))),MIN(F286,(Reprogramaciones!$T$15+7*(Reprogramaciones!Y$14-1))+6),11))=0,0,MAX(0,NETWORKDAYS.INTL(MAX(E286,(Reprogramaciones!$T$15+7*(Reprogramaciones!Y$14-1))),MIN(F286,Reprogramaciones!Y$13),11))/MAX(0,NETWORKDAYS.INTL(MAX(E286,(Reprogramaciones!$T$15+7*(Reprogramaciones!Y$14-1))),MIN(F286,(Reprogramaciones!$T$15+7*(Reprogramaciones!Y$14-1))+6),11))))))))</f>
        <v/>
      </c>
      <c r="CI286" s="1" t="str">
        <f aca="false">IF(OR(NOT(AND(ISNUMBER(E286),ISNUMBER(F286))),$J$2=""),"",IF(Reprogramaciones!Z$13&lt;Reprogramaciones!$T$15,0,IF(Reprogramaciones!Z$14&gt;10,MIN(100,SUM($G286:$P286)),MIN(100,SUMPRODUCT((COLUMN($G286:$P286)-COLUMN($G286)+1&lt;Reprogramaciones!Z$14)*$G286:$P286)+N(INDEX($G286:$P286,1,Reprogramaciones!Z$14))*IF(Reprogramaciones!Z$13&gt;=(Reprogramaciones!$T$15+7*(Reprogramaciones!Z$14-1))+6,1,IF(MAX(0,NETWORKDAYS.INTL(MAX(E286,(Reprogramaciones!$T$15+7*(Reprogramaciones!Z$14-1))),MIN(F286,(Reprogramaciones!$T$15+7*(Reprogramaciones!Z$14-1))+6),11))=0,0,MAX(0,NETWORKDAYS.INTL(MAX(E286,(Reprogramaciones!$T$15+7*(Reprogramaciones!Z$14-1))),MIN(F286,Reprogramaciones!Z$13),11))/MAX(0,NETWORKDAYS.INTL(MAX(E286,(Reprogramaciones!$T$15+7*(Reprogramaciones!Z$14-1))),MIN(F286,(Reprogramaciones!$T$15+7*(Reprogramaciones!Z$14-1))+6),11))))))))</f>
        <v/>
      </c>
      <c r="CJ286" s="1" t="str">
        <f aca="false">IF(OR(OR(NOT(AND(ISNUMBER(E286),ISNUMBER(F286))),$J$2=""),1&gt;Reprogramaciones!$K$16),"",IF(ROUND(SUM($Q286:Q286),1)&gt;=99.5,100,MIN(100,ROUND(SUM($Q286:Q286),1))))</f>
        <v/>
      </c>
      <c r="CK286" s="1" t="str">
        <f aca="false">IF(OR(OR(NOT(AND(ISNUMBER(E286),ISNUMBER(F286))),$J$2=""),2&gt;Reprogramaciones!$K$16),"",IF(ROUND(SUM($Q286:R286),1)&gt;=99.5,100,MIN(100,ROUND(SUM($Q286:R286),1))))</f>
        <v/>
      </c>
      <c r="CL286" s="1" t="str">
        <f aca="false">IF(OR(OR(NOT(AND(ISNUMBER(E286),ISNUMBER(F286))),$J$2=""),3&gt;Reprogramaciones!$K$16),"",IF(ROUND(SUM($Q286:S286),1)&gt;=99.5,100,MIN(100,ROUND(SUM($Q286:S286),1))))</f>
        <v/>
      </c>
      <c r="CM286" s="1" t="str">
        <f aca="false">IF(OR(OR(NOT(AND(ISNUMBER(E286),ISNUMBER(F286))),$J$2=""),4&gt;Reprogramaciones!$K$16),"",IF(ROUND(SUM($Q286:T286),1)&gt;=99.5,100,MIN(100,ROUND(SUM($Q286:T286),1))))</f>
        <v/>
      </c>
      <c r="CN286" s="1" t="str">
        <f aca="false">IF(OR(OR(NOT(AND(ISNUMBER(E286),ISNUMBER(F286))),$J$2=""),5&gt;Reprogramaciones!$K$16),"",IF(ROUND(SUM($Q286:U286),1)&gt;=99.5,100,MIN(100,ROUND(SUM($Q286:U286),1))))</f>
        <v/>
      </c>
      <c r="CO286" s="1" t="str">
        <f aca="false">IF(OR(OR(NOT(AND(ISNUMBER(E286),ISNUMBER(F286))),$J$2=""),6&gt;Reprogramaciones!$K$16),"",IF(ROUND(SUM($Q286:V286),1)&gt;=99.5,100,MIN(100,ROUND(SUM($Q286:V286),1))))</f>
        <v/>
      </c>
      <c r="CP286" s="1" t="str">
        <f aca="false">IF(OR(OR(NOT(AND(ISNUMBER(E286),ISNUMBER(F286))),$J$2=""),7&gt;Reprogramaciones!$K$16),"",IF(ROUND(SUM($Q286:W286),1)&gt;=99.5,100,MIN(100,ROUND(SUM($Q286:W286),1))))</f>
        <v/>
      </c>
      <c r="CQ286" s="1" t="str">
        <f aca="false">IF(OR(OR(NOT(AND(ISNUMBER(E286),ISNUMBER(F286))),$J$2=""),8&gt;Reprogramaciones!$K$16),"",IF(ROUND(SUM($Q286:X286),1)&gt;=99.5,100,MIN(100,ROUND(SUM($Q286:X286),1))))</f>
        <v/>
      </c>
      <c r="CR286" s="1" t="str">
        <f aca="false">IF(OR(OR(NOT(AND(ISNUMBER(E286),ISNUMBER(F286))),$J$2=""),9&gt;Reprogramaciones!$K$16),"",IF(ROUND(SUM($Q286:Y286),1)&gt;=99.5,100,MIN(100,ROUND(SUM($Q286:Y286),1))))</f>
        <v/>
      </c>
      <c r="CS286" s="1" t="str">
        <f aca="false">IF(OR(OR(NOT(AND(ISNUMBER(E286),ISNUMBER(F286))),$J$2=""),10&gt;Reprogramaciones!$K$16),"",IF(ROUND(SUM($Q286:Z286),1)&gt;=99.5,100,MIN(100,ROUND(SUM($Q286:Z286),1))))</f>
        <v/>
      </c>
      <c r="CT286" s="1" t="str">
        <f aca="false">IF(OR(OR(NOT(AND(ISNUMBER(E286),ISNUMBER(F286))),$J$2=""),11&gt;Reprogramaciones!$K$16),"",IF(ROUND(SUM($Q286:AA286),1)&gt;=99.5,100,MIN(100,ROUND(SUM($Q286:AA286),1))))</f>
        <v/>
      </c>
      <c r="CU286" s="1" t="str">
        <f aca="false">IF(OR(OR(NOT(AND(ISNUMBER(E286),ISNUMBER(F286))),$J$2=""),12&gt;Reprogramaciones!$K$16),"",IF(ROUND(SUM($Q286:AB286),1)&gt;=99.5,100,MIN(100,ROUND(SUM($Q286:AB286),1))))</f>
        <v/>
      </c>
      <c r="CV286" s="1" t="str">
        <f aca="false">IF(OR(OR(NOT(AND(ISNUMBER(E286),ISNUMBER(F286))),$J$2=""),13&gt;Reprogramaciones!$K$16),"",IF(ROUND(SUM($Q286:AC286),1)&gt;=99.5,100,MIN(100,ROUND(SUM($Q286:AC286),1))))</f>
        <v/>
      </c>
      <c r="CW286" s="1" t="str">
        <f aca="false">IF(OR(OR(NOT(AND(ISNUMBER(E286),ISNUMBER(F286))),$J$2=""),14&gt;Reprogramaciones!$K$16),"",IF(ROUND(SUM($Q286:AD286),1)&gt;=99.5,100,MIN(100,ROUND(SUM($Q286:AD286),1))))</f>
        <v/>
      </c>
      <c r="CX286" s="1" t="str">
        <f aca="false">IF(OR(OR(NOT(AND(ISNUMBER(E286),ISNUMBER(F286))),$J$2=""),15&gt;Reprogramaciones!$K$16),"",IF(ROUND(SUM($Q286:AE286),1)&gt;=99.5,100,MIN(100,ROUND(SUM($Q286:AE286),1))))</f>
        <v/>
      </c>
      <c r="CY286" s="1" t="str">
        <f aca="false">IF(OR(OR(NOT(AND(ISNUMBER(E286),ISNUMBER(F286))),$J$2=""),16&gt;Reprogramaciones!$K$16),"",IF(ROUND(SUM($Q286:AF286),1)&gt;=99.5,100,MIN(100,ROUND(SUM($Q286:AF286),1))))</f>
        <v/>
      </c>
      <c r="CZ286" s="1" t="str">
        <f aca="false">IF(D286&lt;&gt;"",D286,IF(B286&lt;&gt;"","Contractual",CZ285))</f>
        <v>Contractual</v>
      </c>
      <c r="DA286" s="1" t="str">
        <f aca="false">IF(OR(NOT(AND(ISNUMBER(E286),ISNUMBER(F286))),$J$2=""),"",IF(Reprogramaciones!$Q$15&lt;Reprogramaciones!$T$15,0,IF(Reprogramaciones!$S$15&gt;10,MIN(100,SUM($G286:$P286)),MIN(100,SUMPRODUCT((COLUMN($G286:$P286)-COLUMN($G286)+1&lt;Reprogramaciones!$S$15)*$G286:$P286)+N(INDEX($G286:$P286,1,Reprogramaciones!$S$15))*IF(Reprogramaciones!$Q$15&gt;=(Reprogramaciones!$T$15+7*(Reprogramaciones!$S$15-1))+6,1,IF(MAX(0,NETWORKDAYS.INTL(MAX(E286,(Reprogramaciones!$T$15+7*(Reprogramaciones!$S$15-1))),MIN(F286,(Reprogramaciones!$T$15+7*(Reprogramaciones!$S$15-1))+6),11))=0,0,MAX(0,NETWORKDAYS.INTL(MAX(E286,(Reprogramaciones!$T$15+7*(Reprogramaciones!$S$15-1))),MIN(F286,Reprogramaciones!$Q$15),11))/MAX(0,NETWORKDAYS.INTL(MAX(E286,(Reprogramaciones!$T$15+7*(Reprogramaciones!$S$15-1))),MIN(F286,(Reprogramaciones!$T$15+7*(Reprogramaciones!$S$15-1))+6),11))))))))</f>
        <v/>
      </c>
    </row>
    <row r="287" customFormat="false" ht="15" hidden="false" customHeight="false" outlineLevel="0" collapsed="false">
      <c r="A287" s="32"/>
      <c r="B287" s="33"/>
      <c r="C287" s="33"/>
      <c r="D287" s="34"/>
      <c r="E287" s="35"/>
      <c r="F287" s="35"/>
      <c r="G287" s="36" t="str">
        <f aca="false">IF(OR(NOT(AND(ISNUMBER(E287),ISNUMBER(F287))),$J$2=""),"",IF(Reprogramaciones!K$9&lt;E287,0,IF(NETWORKDAYS.INTL(E287,F287,11)=0,IF(Reprogramaciones!K$9&gt;=F287,100,0),ROUND(NETWORKDAYS.INTL(E287,MIN(F287,Reprogramaciones!K$9),11)/NETWORKDAYS.INTL(E287,F287,11)*100,1)))-0)</f>
        <v/>
      </c>
      <c r="H287" s="36" t="str">
        <f aca="false">IF(OR(NOT(AND(ISNUMBER(E287),ISNUMBER(F287))),$J$2=""),"",IF(Reprogramaciones!L$9&lt;E287,0,IF(NETWORKDAYS.INTL(E287,F287,11)=0,IF(Reprogramaciones!L$9&gt;=F287,100,0),ROUND(NETWORKDAYS.INTL(E287,MIN(F287,Reprogramaciones!L$9),11)/NETWORKDAYS.INTL(E287,F287,11)*100,1)))-IF(Reprogramaciones!K$9&lt;E287,0,IF(NETWORKDAYS.INTL(E287,F287,11)=0,IF(Reprogramaciones!K$9&gt;=F287,100,0),ROUND(NETWORKDAYS.INTL(E287,MIN(F287,Reprogramaciones!K$9),11)/NETWORKDAYS.INTL(E287,F287,11)*100,1))))</f>
        <v/>
      </c>
      <c r="I287" s="36" t="str">
        <f aca="false">IF(OR(NOT(AND(ISNUMBER(E287),ISNUMBER(F287))),$J$2=""),"",IF(Reprogramaciones!M$9&lt;E287,0,IF(NETWORKDAYS.INTL(E287,F287,11)=0,IF(Reprogramaciones!M$9&gt;=F287,100,0),ROUND(NETWORKDAYS.INTL(E287,MIN(F287,Reprogramaciones!M$9),11)/NETWORKDAYS.INTL(E287,F287,11)*100,1)))-IF(Reprogramaciones!L$9&lt;E287,0,IF(NETWORKDAYS.INTL(E287,F287,11)=0,IF(Reprogramaciones!L$9&gt;=F287,100,0),ROUND(NETWORKDAYS.INTL(E287,MIN(F287,Reprogramaciones!L$9),11)/NETWORKDAYS.INTL(E287,F287,11)*100,1))))</f>
        <v/>
      </c>
      <c r="J287" s="36" t="str">
        <f aca="false">IF(OR(NOT(AND(ISNUMBER(E287),ISNUMBER(F287))),$J$2=""),"",IF(Reprogramaciones!N$9&lt;E287,0,IF(NETWORKDAYS.INTL(E287,F287,11)=0,IF(Reprogramaciones!N$9&gt;=F287,100,0),ROUND(NETWORKDAYS.INTL(E287,MIN(F287,Reprogramaciones!N$9),11)/NETWORKDAYS.INTL(E287,F287,11)*100,1)))-IF(Reprogramaciones!M$9&lt;E287,0,IF(NETWORKDAYS.INTL(E287,F287,11)=0,IF(Reprogramaciones!M$9&gt;=F287,100,0),ROUND(NETWORKDAYS.INTL(E287,MIN(F287,Reprogramaciones!M$9),11)/NETWORKDAYS.INTL(E287,F287,11)*100,1))))</f>
        <v/>
      </c>
      <c r="K287" s="36" t="str">
        <f aca="false">IF(OR(NOT(AND(ISNUMBER(E287),ISNUMBER(F287))),$J$2=""),"",IF(Reprogramaciones!O$9&lt;E287,0,IF(NETWORKDAYS.INTL(E287,F287,11)=0,IF(Reprogramaciones!O$9&gt;=F287,100,0),ROUND(NETWORKDAYS.INTL(E287,MIN(F287,Reprogramaciones!O$9),11)/NETWORKDAYS.INTL(E287,F287,11)*100,1)))-IF(Reprogramaciones!N$9&lt;E287,0,IF(NETWORKDAYS.INTL(E287,F287,11)=0,IF(Reprogramaciones!N$9&gt;=F287,100,0),ROUND(NETWORKDAYS.INTL(E287,MIN(F287,Reprogramaciones!N$9),11)/NETWORKDAYS.INTL(E287,F287,11)*100,1))))</f>
        <v/>
      </c>
      <c r="L287" s="36" t="str">
        <f aca="false">IF(OR(NOT(AND(ISNUMBER(E287),ISNUMBER(F287))),$J$2=""),"",IF(Reprogramaciones!P$9&lt;E287,0,IF(NETWORKDAYS.INTL(E287,F287,11)=0,IF(Reprogramaciones!P$9&gt;=F287,100,0),ROUND(NETWORKDAYS.INTL(E287,MIN(F287,Reprogramaciones!P$9),11)/NETWORKDAYS.INTL(E287,F287,11)*100,1)))-IF(Reprogramaciones!O$9&lt;E287,0,IF(NETWORKDAYS.INTL(E287,F287,11)=0,IF(Reprogramaciones!O$9&gt;=F287,100,0),ROUND(NETWORKDAYS.INTL(E287,MIN(F287,Reprogramaciones!O$9),11)/NETWORKDAYS.INTL(E287,F287,11)*100,1))))</f>
        <v/>
      </c>
      <c r="M287" s="36" t="str">
        <f aca="false">IF(OR(NOT(AND(ISNUMBER(E287),ISNUMBER(F287))),$J$2=""),"",IF(Reprogramaciones!Q$9&lt;E287,0,IF(NETWORKDAYS.INTL(E287,F287,11)=0,IF(Reprogramaciones!Q$9&gt;=F287,100,0),ROUND(NETWORKDAYS.INTL(E287,MIN(F287,Reprogramaciones!Q$9),11)/NETWORKDAYS.INTL(E287,F287,11)*100,1)))-IF(Reprogramaciones!P$9&lt;E287,0,IF(NETWORKDAYS.INTL(E287,F287,11)=0,IF(Reprogramaciones!P$9&gt;=F287,100,0),ROUND(NETWORKDAYS.INTL(E287,MIN(F287,Reprogramaciones!P$9),11)/NETWORKDAYS.INTL(E287,F287,11)*100,1))))</f>
        <v/>
      </c>
      <c r="N287" s="36" t="str">
        <f aca="false">IF(OR(NOT(AND(ISNUMBER(E287),ISNUMBER(F287))),$J$2=""),"",IF(Reprogramaciones!R$9&lt;E287,0,IF(NETWORKDAYS.INTL(E287,F287,11)=0,IF(Reprogramaciones!R$9&gt;=F287,100,0),ROUND(NETWORKDAYS.INTL(E287,MIN(F287,Reprogramaciones!R$9),11)/NETWORKDAYS.INTL(E287,F287,11)*100,1)))-IF(Reprogramaciones!Q$9&lt;E287,0,IF(NETWORKDAYS.INTL(E287,F287,11)=0,IF(Reprogramaciones!Q$9&gt;=F287,100,0),ROUND(NETWORKDAYS.INTL(E287,MIN(F287,Reprogramaciones!Q$9),11)/NETWORKDAYS.INTL(E287,F287,11)*100,1))))</f>
        <v/>
      </c>
      <c r="O287" s="36" t="str">
        <f aca="false">IF(OR(NOT(AND(ISNUMBER(E287),ISNUMBER(F287))),$J$2=""),"",IF(Reprogramaciones!S$9&lt;E287,0,IF(NETWORKDAYS.INTL(E287,F287,11)=0,IF(Reprogramaciones!S$9&gt;=F287,100,0),ROUND(NETWORKDAYS.INTL(E287,MIN(F287,Reprogramaciones!S$9),11)/NETWORKDAYS.INTL(E287,F287,11)*100,1)))-IF(Reprogramaciones!R$9&lt;E287,0,IF(NETWORKDAYS.INTL(E287,F287,11)=0,IF(Reprogramaciones!R$9&gt;=F287,100,0),ROUND(NETWORKDAYS.INTL(E287,MIN(F287,Reprogramaciones!R$9),11)/NETWORKDAYS.INTL(E287,F287,11)*100,1))))</f>
        <v/>
      </c>
      <c r="P287" s="36" t="str">
        <f aca="false">IF(OR(NOT(AND(ISNUMBER(E287),ISNUMBER(F287))),$J$2=""),"",IF(Reprogramaciones!T$9&lt;E287,0,IF(NETWORKDAYS.INTL(E287,F287,11)=0,IF(Reprogramaciones!T$9&gt;=F287,100,0),ROUND(NETWORKDAYS.INTL(E287,MIN(F287,Reprogramaciones!T$9),11)/NETWORKDAYS.INTL(E287,F287,11)*100,1)))-IF(Reprogramaciones!S$9&lt;E287,0,IF(NETWORKDAYS.INTL(E287,F287,11)=0,IF(Reprogramaciones!S$9&gt;=F287,100,0),ROUND(NETWORKDAYS.INTL(E287,MIN(F287,Reprogramaciones!S$9),11)/NETWORKDAYS.INTL(E287,F287,11)*100,1))))</f>
        <v/>
      </c>
      <c r="Q287" s="37"/>
      <c r="R287" s="37"/>
      <c r="S287" s="37"/>
      <c r="T287" s="37"/>
      <c r="U287" s="37"/>
      <c r="V287" s="37"/>
      <c r="W287" s="37"/>
      <c r="X287" s="37"/>
      <c r="Y287" s="37"/>
      <c r="Z287" s="37"/>
      <c r="AA287" s="37"/>
      <c r="AB287" s="37"/>
      <c r="AC287" s="37"/>
      <c r="AD287" s="37"/>
      <c r="AE287" s="37"/>
      <c r="AF287" s="37"/>
      <c r="AG287" s="38" t="str">
        <f aca="false">IF(AND(ISNUMBER(E287),ISNUMBER(F287)),NETWORKDAYS.INTL(E287,F287,11),"")</f>
        <v/>
      </c>
      <c r="AH287" s="38" t="str">
        <f aca="false">IF(OR(NOT(AND(ISNUMBER(E287),ISNUMBER(F287))),$J$2=""),"",IF(Reprogramaciones!$P$15&lt;Reprogramaciones!$T$15,0,IF(Reprogramaciones!$R$15&gt;10,MIN(100,SUM($G287:$P287)),MIN(100,SUMPRODUCT((COLUMN($G287:$P287)-COLUMN($G287)+1&lt;Reprogramaciones!$R$15)*$G287:$P287)+N(INDEX($G287:$P287,1,Reprogramaciones!$R$15))*IF(Reprogramaciones!$P$15&gt;=(Reprogramaciones!$T$15+7*(Reprogramaciones!$R$15-1))+6,1,IF(MAX(0,NETWORKDAYS.INTL(MAX(E287,(Reprogramaciones!$T$15+7*(Reprogramaciones!$R$15-1))),MIN(F287,(Reprogramaciones!$T$15+7*(Reprogramaciones!$R$15-1))+6),11))=0,0,MAX(0,NETWORKDAYS.INTL(MAX(E287,(Reprogramaciones!$T$15+7*(Reprogramaciones!$R$15-1))),MIN(F287,Reprogramaciones!$P$15),11))/MAX(0,NETWORKDAYS.INTL(MAX(E287,(Reprogramaciones!$T$15+7*(Reprogramaciones!$R$15-1))),MIN(F287,(Reprogramaciones!$T$15+7*(Reprogramaciones!$R$15-1))+6),11))))))))</f>
        <v/>
      </c>
      <c r="AI287" s="38" t="str">
        <f aca="false">IF(COUNT($Q287:$AF287)=0,"",IF(ROUND(SUM($Q287:$AF287),1)&gt;=99.5,100,MIN(100,ROUND(SUM($Q287:$AF287),1))))</f>
        <v/>
      </c>
      <c r="AJ287" s="38" t="str">
        <f aca="false">IF(OR(AH287="",AI287=""),"",AI287-AH287)</f>
        <v/>
      </c>
      <c r="AK287" s="39" t="str">
        <f aca="true">IF(AH287="","",IF(OR(Ficha!$C$10="Suspendida",Ficha!$C$10="Cancelada"),Ficha!$C$10,IF(AND(AI287&lt;&gt;"",N(AI287)&gt;=100),"Completada",IF(AND(E287&gt;TODAY(),N(AI287)=0),"Por iniciar",IF(N(AI287)+0.5&lt;AH287,"Retrasada",IF(N(AI287)+0.5&lt;DA287,IF(Reprogramaciones!$K$15&gt;0,"Al día · Sem "&amp;Reprogramaciones!$K$15&amp;" en curso","Al día · en curso"),"A tiempo"))))))</f>
        <v/>
      </c>
      <c r="AL287" s="39" t="str">
        <f aca="true">IF(AND(A287="",AND(B287="",C287="",E287="",F287="",COUNT(Q287:AF287)=0)),"",IF(AND(B287="",C287="",E287="",F287="",COUNT(Q287:AF287)=0),"Falta la partida o subpartida",IF(AND(A287&lt;&gt;"",COUNTIF($A$6:$A$305,A287)&gt;1),"Ítem repetido",IF(AND(C287="",E287="",F287="",COUNT(Q287:AF287)=0),"Título de partida",IF(OR(E287="",F287=""),"Faltan fechas",IF(OR(ISTEXT(E287),ISTEXT(F287)),"Fecha escrita como texto: usa dd/mm/aaaa",IF(F287&lt;E287,"Fin antes del inicio",IF(IF($J$2="",FALSE(),OR(E287&lt;$J$2,F287&gt;Reprogramaciones!$T$15+69)),"Fuera de las 10 semanas",IF(ABS(SUM(G287:P287)-100)&gt;0.5,"La meta no suma 100%",IF(ROUND(SUM(Q287:AF287),1)&gt;100.5,"El avance pasa de 100%",IF(MIN(Q287:AF287)&lt;0,"Avance negativo",IF(COUNTA(Q287:AF287)&gt;COUNT(Q287:AF287),"Avance escrito como texto",IF(SUMPRODUCT((Q287:AF287&gt;0)*(Q287:AF287&lt;1))&gt;0,"Avance menor a 1: escribe 50, no 50%",IF(SUMPRODUCT(ISNUMBER(Q287:AF287)*(Reprogramaciones!$K$8:$Z$8&gt;TODAY()))&gt;0,"Avance en semana que aún no llega",IF(AND(N(Reprogramaciones!$E$21)&gt;0,F287&gt;Reprogramaciones!$E$21),"Pasa el fin de la obra: registra una reprogramación",IF(AND(N(Reprogramaciones!$E$21)&gt;0,SUMPRODUCT(ISNUMBER(Q287:AF287)*(Reprogramaciones!$K$8:$Z$8&gt;Reprogramaciones!$E$21))&gt;0),"Avance después del fin de la obra: registra una reprogramación por atraso","OK"))))))))))))))))</f>
        <v/>
      </c>
      <c r="AM287" s="40" t="str">
        <f aca="false">IF(OR(OR(NOT(AND(ISNUMBER(E287),ISNUMBER(F287))),$J$2=""),1&gt;MAX(1,Reprogramaciones!$U$15)),"",IF(Reprogramaciones!K$12&gt;=7,"",IF(OR(BT287-N(0)&gt;0.05,N(Q287)&gt;0),ROUNDDOWN(ROUND(BT287,6),0)&amp;"%"&amp;IF(CJ287="",""," / "&amp;CJ287&amp;"%"),IF(AND(N(0)&gt;=99.95,CJ287&lt;&gt;"",N(CJ287)&lt;100),"Pend. "&amp;CJ287&amp;"%",""))))</f>
        <v/>
      </c>
      <c r="AN287" s="40" t="str">
        <f aca="false">IF(OR(OR(NOT(AND(ISNUMBER(E287),ISNUMBER(F287))),$J$2=""),2&gt;MAX(1,Reprogramaciones!$U$15)),"",IF(Reprogramaciones!L$12&gt;=7,"",IF(OR(BU287-N(BT287)&gt;0.05,N(R287)&gt;0),ROUNDDOWN(ROUND(BU287,6),0)&amp;"%"&amp;IF(CK287="",""," / "&amp;CK287&amp;"%"),IF(AND(N(BT287)&gt;=99.95,CK287&lt;&gt;"",N(CK287)&lt;100),"Pend. "&amp;CK287&amp;"%",""))))</f>
        <v/>
      </c>
      <c r="AO287" s="40" t="str">
        <f aca="false">IF(OR(OR(NOT(AND(ISNUMBER(E287),ISNUMBER(F287))),$J$2=""),3&gt;MAX(1,Reprogramaciones!$U$15)),"",IF(Reprogramaciones!M$12&gt;=7,"",IF(OR(BV287-N(BU287)&gt;0.05,N(S287)&gt;0),ROUNDDOWN(ROUND(BV287,6),0)&amp;"%"&amp;IF(CL287="",""," / "&amp;CL287&amp;"%"),IF(AND(N(BU287)&gt;=99.95,CL287&lt;&gt;"",N(CL287)&lt;100),"Pend. "&amp;CL287&amp;"%",""))))</f>
        <v/>
      </c>
      <c r="AP287" s="40" t="str">
        <f aca="false">IF(OR(OR(NOT(AND(ISNUMBER(E287),ISNUMBER(F287))),$J$2=""),4&gt;MAX(1,Reprogramaciones!$U$15)),"",IF(Reprogramaciones!N$12&gt;=7,"",IF(OR(BW287-N(BV287)&gt;0.05,N(T287)&gt;0),ROUNDDOWN(ROUND(BW287,6),0)&amp;"%"&amp;IF(CM287="",""," / "&amp;CM287&amp;"%"),IF(AND(N(BV287)&gt;=99.95,CM287&lt;&gt;"",N(CM287)&lt;100),"Pend. "&amp;CM287&amp;"%",""))))</f>
        <v/>
      </c>
      <c r="AQ287" s="40" t="str">
        <f aca="false">IF(OR(OR(NOT(AND(ISNUMBER(E287),ISNUMBER(F287))),$J$2=""),5&gt;MAX(1,Reprogramaciones!$U$15)),"",IF(Reprogramaciones!O$12&gt;=7,"",IF(OR(BX287-N(BW287)&gt;0.05,N(U287)&gt;0),ROUNDDOWN(ROUND(BX287,6),0)&amp;"%"&amp;IF(CN287="",""," / "&amp;CN287&amp;"%"),IF(AND(N(BW287)&gt;=99.95,CN287&lt;&gt;"",N(CN287)&lt;100),"Pend. "&amp;CN287&amp;"%",""))))</f>
        <v/>
      </c>
      <c r="AR287" s="40" t="str">
        <f aca="false">IF(OR(OR(NOT(AND(ISNUMBER(E287),ISNUMBER(F287))),$J$2=""),6&gt;MAX(1,Reprogramaciones!$U$15)),"",IF(Reprogramaciones!P$12&gt;=7,"",IF(OR(BY287-N(BX287)&gt;0.05,N(V287)&gt;0),ROUNDDOWN(ROUND(BY287,6),0)&amp;"%"&amp;IF(CO287="",""," / "&amp;CO287&amp;"%"),IF(AND(N(BX287)&gt;=99.95,CO287&lt;&gt;"",N(CO287)&lt;100),"Pend. "&amp;CO287&amp;"%",""))))</f>
        <v/>
      </c>
      <c r="AS287" s="40" t="str">
        <f aca="false">IF(OR(OR(NOT(AND(ISNUMBER(E287),ISNUMBER(F287))),$J$2=""),7&gt;MAX(1,Reprogramaciones!$U$15)),"",IF(Reprogramaciones!Q$12&gt;=7,"",IF(OR(BZ287-N(BY287)&gt;0.05,N(W287)&gt;0),ROUNDDOWN(ROUND(BZ287,6),0)&amp;"%"&amp;IF(CP287="",""," / "&amp;CP287&amp;"%"),IF(AND(N(BY287)&gt;=99.95,CP287&lt;&gt;"",N(CP287)&lt;100),"Pend. "&amp;CP287&amp;"%",""))))</f>
        <v/>
      </c>
      <c r="AT287" s="40" t="str">
        <f aca="false">IF(OR(OR(NOT(AND(ISNUMBER(E287),ISNUMBER(F287))),$J$2=""),8&gt;MAX(1,Reprogramaciones!$U$15)),"",IF(Reprogramaciones!R$12&gt;=7,"",IF(OR(CA287-N(BZ287)&gt;0.05,N(X287)&gt;0),ROUNDDOWN(ROUND(CA287,6),0)&amp;"%"&amp;IF(CQ287="",""," / "&amp;CQ287&amp;"%"),IF(AND(N(BZ287)&gt;=99.95,CQ287&lt;&gt;"",N(CQ287)&lt;100),"Pend. "&amp;CQ287&amp;"%",""))))</f>
        <v/>
      </c>
      <c r="AU287" s="40" t="str">
        <f aca="false">IF(OR(OR(NOT(AND(ISNUMBER(E287),ISNUMBER(F287))),$J$2=""),9&gt;MAX(1,Reprogramaciones!$U$15)),"",IF(Reprogramaciones!S$12&gt;=7,"",IF(OR(CB287-N(CA287)&gt;0.05,N(Y287)&gt;0),ROUNDDOWN(ROUND(CB287,6),0)&amp;"%"&amp;IF(CR287="",""," / "&amp;CR287&amp;"%"),IF(AND(N(CA287)&gt;=99.95,CR287&lt;&gt;"",N(CR287)&lt;100),"Pend. "&amp;CR287&amp;"%",""))))</f>
        <v/>
      </c>
      <c r="AV287" s="40" t="str">
        <f aca="false">IF(OR(OR(NOT(AND(ISNUMBER(E287),ISNUMBER(F287))),$J$2=""),10&gt;MAX(1,Reprogramaciones!$U$15)),"",IF(Reprogramaciones!T$12&gt;=7,"",IF(OR(CC287-N(CB287)&gt;0.05,N(Z287)&gt;0),ROUNDDOWN(ROUND(CC287,6),0)&amp;"%"&amp;IF(CS287="",""," / "&amp;CS287&amp;"%"),IF(AND(N(CB287)&gt;=99.95,CS287&lt;&gt;"",N(CS287)&lt;100),"Pend. "&amp;CS287&amp;"%",""))))</f>
        <v/>
      </c>
      <c r="AW287" s="40" t="str">
        <f aca="false">IF(OR(OR(NOT(AND(ISNUMBER(E287),ISNUMBER(F287))),$J$2=""),11&gt;MAX(1,Reprogramaciones!$U$15)),"",IF(Reprogramaciones!U$12&gt;=7,"",IF(OR(CD287-N(CC287)&gt;0.05,N(AA287)&gt;0),ROUNDDOWN(ROUND(CD287,6),0)&amp;"%"&amp;IF(CT287="",""," / "&amp;CT287&amp;"%"),IF(AND(N(CC287)&gt;=99.95,CT287&lt;&gt;"",N(CT287)&lt;100),"Pend. "&amp;CT287&amp;"%",""))))</f>
        <v/>
      </c>
      <c r="AX287" s="40" t="str">
        <f aca="false">IF(OR(OR(NOT(AND(ISNUMBER(E287),ISNUMBER(F287))),$J$2=""),12&gt;MAX(1,Reprogramaciones!$U$15)),"",IF(Reprogramaciones!V$12&gt;=7,"",IF(OR(CE287-N(CD287)&gt;0.05,N(AB287)&gt;0),ROUNDDOWN(ROUND(CE287,6),0)&amp;"%"&amp;IF(CU287="",""," / "&amp;CU287&amp;"%"),IF(AND(N(CD287)&gt;=99.95,CU287&lt;&gt;"",N(CU287)&lt;100),"Pend. "&amp;CU287&amp;"%",""))))</f>
        <v/>
      </c>
      <c r="AY287" s="40" t="str">
        <f aca="false">IF(OR(OR(NOT(AND(ISNUMBER(E287),ISNUMBER(F287))),$J$2=""),13&gt;MAX(1,Reprogramaciones!$U$15)),"",IF(Reprogramaciones!W$12&gt;=7,"",IF(OR(CF287-N(CE287)&gt;0.05,N(AC287)&gt;0),ROUNDDOWN(ROUND(CF287,6),0)&amp;"%"&amp;IF(CV287="",""," / "&amp;CV287&amp;"%"),IF(AND(N(CE287)&gt;=99.95,CV287&lt;&gt;"",N(CV287)&lt;100),"Pend. "&amp;CV287&amp;"%",""))))</f>
        <v/>
      </c>
      <c r="AZ287" s="40" t="str">
        <f aca="false">IF(OR(OR(NOT(AND(ISNUMBER(E287),ISNUMBER(F287))),$J$2=""),14&gt;MAX(1,Reprogramaciones!$U$15)),"",IF(Reprogramaciones!X$12&gt;=7,"",IF(OR(CG287-N(CF287)&gt;0.05,N(AD287)&gt;0),ROUNDDOWN(ROUND(CG287,6),0)&amp;"%"&amp;IF(CW287="",""," / "&amp;CW287&amp;"%"),IF(AND(N(CF287)&gt;=99.95,CW287&lt;&gt;"",N(CW287)&lt;100),"Pend. "&amp;CW287&amp;"%",""))))</f>
        <v/>
      </c>
      <c r="BA287" s="40" t="str">
        <f aca="false">IF(OR(OR(NOT(AND(ISNUMBER(E287),ISNUMBER(F287))),$J$2=""),15&gt;MAX(1,Reprogramaciones!$U$15)),"",IF(Reprogramaciones!Y$12&gt;=7,"",IF(OR(CH287-N(CG287)&gt;0.05,N(AE287)&gt;0),ROUNDDOWN(ROUND(CH287,6),0)&amp;"%"&amp;IF(CX287="",""," / "&amp;CX287&amp;"%"),IF(AND(N(CG287)&gt;=99.95,CX287&lt;&gt;"",N(CX287)&lt;100),"Pend. "&amp;CX287&amp;"%",""))))</f>
        <v/>
      </c>
      <c r="BB287" s="40" t="str">
        <f aca="false">IF(OR(OR(NOT(AND(ISNUMBER(E287),ISNUMBER(F287))),$J$2=""),16&gt;MAX(1,Reprogramaciones!$U$15)),"",IF(Reprogramaciones!Z$12&gt;=7,"",IF(OR(CI287-N(CH287)&gt;0.05,N(AF287)&gt;0),ROUNDDOWN(ROUND(CI287,6),0)&amp;"%"&amp;IF(CY287="",""," / "&amp;CY287&amp;"%"),IF(AND(N(CH287)&gt;=99.95,CY287&lt;&gt;"",N(CY287)&lt;100),"Pend. "&amp;CY287&amp;"%",""))))</f>
        <v/>
      </c>
      <c r="BC287" s="31" t="n">
        <f aca="false">IF(AND(ISNUMBER(E287),ISNUMBER(F287)),MAX(1,NETWORKDAYS.INTL(E287,F287,11)),0)</f>
        <v>0</v>
      </c>
      <c r="BD287" s="1" t="str">
        <f aca="false">IF(OR(NOT(AND(ISNUMBER(E287),ISNUMBER(F287))),$J$2=""),"",MIN(100,ROUND(SUM($G287:G287),1)))</f>
        <v/>
      </c>
      <c r="BE287" s="1" t="str">
        <f aca="false">IF(OR(NOT(AND(ISNUMBER(E287),ISNUMBER(F287))),$J$2=""),"",MIN(100,ROUND(SUM($G287:H287),1)))</f>
        <v/>
      </c>
      <c r="BF287" s="1" t="str">
        <f aca="false">IF(OR(NOT(AND(ISNUMBER(E287),ISNUMBER(F287))),$J$2=""),"",MIN(100,ROUND(SUM($G287:I287),1)))</f>
        <v/>
      </c>
      <c r="BG287" s="1" t="str">
        <f aca="false">IF(OR(NOT(AND(ISNUMBER(E287),ISNUMBER(F287))),$J$2=""),"",MIN(100,ROUND(SUM($G287:J287),1)))</f>
        <v/>
      </c>
      <c r="BH287" s="1" t="str">
        <f aca="false">IF(OR(NOT(AND(ISNUMBER(E287),ISNUMBER(F287))),$J$2=""),"",MIN(100,ROUND(SUM($G287:K287),1)))</f>
        <v/>
      </c>
      <c r="BI287" s="1" t="str">
        <f aca="false">IF(OR(NOT(AND(ISNUMBER(E287),ISNUMBER(F287))),$J$2=""),"",MIN(100,ROUND(SUM($G287:L287),1)))</f>
        <v/>
      </c>
      <c r="BJ287" s="1" t="str">
        <f aca="false">IF(OR(NOT(AND(ISNUMBER(E287),ISNUMBER(F287))),$J$2=""),"",MIN(100,ROUND(SUM($G287:M287),1)))</f>
        <v/>
      </c>
      <c r="BK287" s="1" t="str">
        <f aca="false">IF(OR(NOT(AND(ISNUMBER(E287),ISNUMBER(F287))),$J$2=""),"",MIN(100,ROUND(SUM($G287:N287),1)))</f>
        <v/>
      </c>
      <c r="BL287" s="1" t="str">
        <f aca="false">IF(OR(NOT(AND(ISNUMBER(E287),ISNUMBER(F287))),$J$2=""),"",MIN(100,ROUND(SUM($G287:O287),1)))</f>
        <v/>
      </c>
      <c r="BM287" s="1" t="str">
        <f aca="false">IF(OR(NOT(AND(ISNUMBER(E287),ISNUMBER(F287))),$J$2=""),"",MIN(100,ROUND(SUM($G287:P287),1)))</f>
        <v/>
      </c>
      <c r="BN287" s="1" t="str">
        <f aca="false">IF(OR(NOT(AND(ISNUMBER(E287),ISNUMBER(F287))),$J$2=""),"",MIN(100,ROUND(SUM($G287:P287),1)))</f>
        <v/>
      </c>
      <c r="BO287" s="1" t="str">
        <f aca="false">IF(OR(NOT(AND(ISNUMBER(E287),ISNUMBER(F287))),$J$2=""),"",MIN(100,ROUND(SUM($G287:P287),1)))</f>
        <v/>
      </c>
      <c r="BP287" s="1" t="str">
        <f aca="false">IF(OR(NOT(AND(ISNUMBER(E287),ISNUMBER(F287))),$J$2=""),"",MIN(100,ROUND(SUM($G287:P287),1)))</f>
        <v/>
      </c>
      <c r="BQ287" s="1" t="str">
        <f aca="false">IF(OR(NOT(AND(ISNUMBER(E287),ISNUMBER(F287))),$J$2=""),"",MIN(100,ROUND(SUM($G287:P287),1)))</f>
        <v/>
      </c>
      <c r="BR287" s="1" t="str">
        <f aca="false">IF(OR(NOT(AND(ISNUMBER(E287),ISNUMBER(F287))),$J$2=""),"",MIN(100,ROUND(SUM($G287:P287),1)))</f>
        <v/>
      </c>
      <c r="BS287" s="1" t="str">
        <f aca="false">IF(OR(NOT(AND(ISNUMBER(E287),ISNUMBER(F287))),$J$2=""),"",MIN(100,ROUND(SUM($G287:P287),1)))</f>
        <v/>
      </c>
      <c r="BT287" s="1" t="str">
        <f aca="false">IF(OR(NOT(AND(ISNUMBER(E287),ISNUMBER(F287))),$J$2=""),"",IF(Reprogramaciones!K$13&lt;Reprogramaciones!$T$15,0,IF(Reprogramaciones!K$14&gt;10,MIN(100,SUM($G287:$P287)),MIN(100,SUMPRODUCT((COLUMN($G287:$P287)-COLUMN($G287)+1&lt;Reprogramaciones!K$14)*$G287:$P287)+N(INDEX($G287:$P287,1,Reprogramaciones!K$14))*IF(Reprogramaciones!K$13&gt;=(Reprogramaciones!$T$15+7*(Reprogramaciones!K$14-1))+6,1,IF(MAX(0,NETWORKDAYS.INTL(MAX(E287,(Reprogramaciones!$T$15+7*(Reprogramaciones!K$14-1))),MIN(F287,(Reprogramaciones!$T$15+7*(Reprogramaciones!K$14-1))+6),11))=0,0,MAX(0,NETWORKDAYS.INTL(MAX(E287,(Reprogramaciones!$T$15+7*(Reprogramaciones!K$14-1))),MIN(F287,Reprogramaciones!K$13),11))/MAX(0,NETWORKDAYS.INTL(MAX(E287,(Reprogramaciones!$T$15+7*(Reprogramaciones!K$14-1))),MIN(F287,(Reprogramaciones!$T$15+7*(Reprogramaciones!K$14-1))+6),11))))))))</f>
        <v/>
      </c>
      <c r="BU287" s="1" t="str">
        <f aca="false">IF(OR(NOT(AND(ISNUMBER(E287),ISNUMBER(F287))),$J$2=""),"",IF(Reprogramaciones!L$13&lt;Reprogramaciones!$T$15,0,IF(Reprogramaciones!L$14&gt;10,MIN(100,SUM($G287:$P287)),MIN(100,SUMPRODUCT((COLUMN($G287:$P287)-COLUMN($G287)+1&lt;Reprogramaciones!L$14)*$G287:$P287)+N(INDEX($G287:$P287,1,Reprogramaciones!L$14))*IF(Reprogramaciones!L$13&gt;=(Reprogramaciones!$T$15+7*(Reprogramaciones!L$14-1))+6,1,IF(MAX(0,NETWORKDAYS.INTL(MAX(E287,(Reprogramaciones!$T$15+7*(Reprogramaciones!L$14-1))),MIN(F287,(Reprogramaciones!$T$15+7*(Reprogramaciones!L$14-1))+6),11))=0,0,MAX(0,NETWORKDAYS.INTL(MAX(E287,(Reprogramaciones!$T$15+7*(Reprogramaciones!L$14-1))),MIN(F287,Reprogramaciones!L$13),11))/MAX(0,NETWORKDAYS.INTL(MAX(E287,(Reprogramaciones!$T$15+7*(Reprogramaciones!L$14-1))),MIN(F287,(Reprogramaciones!$T$15+7*(Reprogramaciones!L$14-1))+6),11))))))))</f>
        <v/>
      </c>
      <c r="BV287" s="1" t="str">
        <f aca="false">IF(OR(NOT(AND(ISNUMBER(E287),ISNUMBER(F287))),$J$2=""),"",IF(Reprogramaciones!M$13&lt;Reprogramaciones!$T$15,0,IF(Reprogramaciones!M$14&gt;10,MIN(100,SUM($G287:$P287)),MIN(100,SUMPRODUCT((COLUMN($G287:$P287)-COLUMN($G287)+1&lt;Reprogramaciones!M$14)*$G287:$P287)+N(INDEX($G287:$P287,1,Reprogramaciones!M$14))*IF(Reprogramaciones!M$13&gt;=(Reprogramaciones!$T$15+7*(Reprogramaciones!M$14-1))+6,1,IF(MAX(0,NETWORKDAYS.INTL(MAX(E287,(Reprogramaciones!$T$15+7*(Reprogramaciones!M$14-1))),MIN(F287,(Reprogramaciones!$T$15+7*(Reprogramaciones!M$14-1))+6),11))=0,0,MAX(0,NETWORKDAYS.INTL(MAX(E287,(Reprogramaciones!$T$15+7*(Reprogramaciones!M$14-1))),MIN(F287,Reprogramaciones!M$13),11))/MAX(0,NETWORKDAYS.INTL(MAX(E287,(Reprogramaciones!$T$15+7*(Reprogramaciones!M$14-1))),MIN(F287,(Reprogramaciones!$T$15+7*(Reprogramaciones!M$14-1))+6),11))))))))</f>
        <v/>
      </c>
      <c r="BW287" s="1" t="str">
        <f aca="false">IF(OR(NOT(AND(ISNUMBER(E287),ISNUMBER(F287))),$J$2=""),"",IF(Reprogramaciones!N$13&lt;Reprogramaciones!$T$15,0,IF(Reprogramaciones!N$14&gt;10,MIN(100,SUM($G287:$P287)),MIN(100,SUMPRODUCT((COLUMN($G287:$P287)-COLUMN($G287)+1&lt;Reprogramaciones!N$14)*$G287:$P287)+N(INDEX($G287:$P287,1,Reprogramaciones!N$14))*IF(Reprogramaciones!N$13&gt;=(Reprogramaciones!$T$15+7*(Reprogramaciones!N$14-1))+6,1,IF(MAX(0,NETWORKDAYS.INTL(MAX(E287,(Reprogramaciones!$T$15+7*(Reprogramaciones!N$14-1))),MIN(F287,(Reprogramaciones!$T$15+7*(Reprogramaciones!N$14-1))+6),11))=0,0,MAX(0,NETWORKDAYS.INTL(MAX(E287,(Reprogramaciones!$T$15+7*(Reprogramaciones!N$14-1))),MIN(F287,Reprogramaciones!N$13),11))/MAX(0,NETWORKDAYS.INTL(MAX(E287,(Reprogramaciones!$T$15+7*(Reprogramaciones!N$14-1))),MIN(F287,(Reprogramaciones!$T$15+7*(Reprogramaciones!N$14-1))+6),11))))))))</f>
        <v/>
      </c>
      <c r="BX287" s="1" t="str">
        <f aca="false">IF(OR(NOT(AND(ISNUMBER(E287),ISNUMBER(F287))),$J$2=""),"",IF(Reprogramaciones!O$13&lt;Reprogramaciones!$T$15,0,IF(Reprogramaciones!O$14&gt;10,MIN(100,SUM($G287:$P287)),MIN(100,SUMPRODUCT((COLUMN($G287:$P287)-COLUMN($G287)+1&lt;Reprogramaciones!O$14)*$G287:$P287)+N(INDEX($G287:$P287,1,Reprogramaciones!O$14))*IF(Reprogramaciones!O$13&gt;=(Reprogramaciones!$T$15+7*(Reprogramaciones!O$14-1))+6,1,IF(MAX(0,NETWORKDAYS.INTL(MAX(E287,(Reprogramaciones!$T$15+7*(Reprogramaciones!O$14-1))),MIN(F287,(Reprogramaciones!$T$15+7*(Reprogramaciones!O$14-1))+6),11))=0,0,MAX(0,NETWORKDAYS.INTL(MAX(E287,(Reprogramaciones!$T$15+7*(Reprogramaciones!O$14-1))),MIN(F287,Reprogramaciones!O$13),11))/MAX(0,NETWORKDAYS.INTL(MAX(E287,(Reprogramaciones!$T$15+7*(Reprogramaciones!O$14-1))),MIN(F287,(Reprogramaciones!$T$15+7*(Reprogramaciones!O$14-1))+6),11))))))))</f>
        <v/>
      </c>
      <c r="BY287" s="1" t="str">
        <f aca="false">IF(OR(NOT(AND(ISNUMBER(E287),ISNUMBER(F287))),$J$2=""),"",IF(Reprogramaciones!P$13&lt;Reprogramaciones!$T$15,0,IF(Reprogramaciones!P$14&gt;10,MIN(100,SUM($G287:$P287)),MIN(100,SUMPRODUCT((COLUMN($G287:$P287)-COLUMN($G287)+1&lt;Reprogramaciones!P$14)*$G287:$P287)+N(INDEX($G287:$P287,1,Reprogramaciones!P$14))*IF(Reprogramaciones!P$13&gt;=(Reprogramaciones!$T$15+7*(Reprogramaciones!P$14-1))+6,1,IF(MAX(0,NETWORKDAYS.INTL(MAX(E287,(Reprogramaciones!$T$15+7*(Reprogramaciones!P$14-1))),MIN(F287,(Reprogramaciones!$T$15+7*(Reprogramaciones!P$14-1))+6),11))=0,0,MAX(0,NETWORKDAYS.INTL(MAX(E287,(Reprogramaciones!$T$15+7*(Reprogramaciones!P$14-1))),MIN(F287,Reprogramaciones!P$13),11))/MAX(0,NETWORKDAYS.INTL(MAX(E287,(Reprogramaciones!$T$15+7*(Reprogramaciones!P$14-1))),MIN(F287,(Reprogramaciones!$T$15+7*(Reprogramaciones!P$14-1))+6),11))))))))</f>
        <v/>
      </c>
      <c r="BZ287" s="1" t="str">
        <f aca="false">IF(OR(NOT(AND(ISNUMBER(E287),ISNUMBER(F287))),$J$2=""),"",IF(Reprogramaciones!Q$13&lt;Reprogramaciones!$T$15,0,IF(Reprogramaciones!Q$14&gt;10,MIN(100,SUM($G287:$P287)),MIN(100,SUMPRODUCT((COLUMN($G287:$P287)-COLUMN($G287)+1&lt;Reprogramaciones!Q$14)*$G287:$P287)+N(INDEX($G287:$P287,1,Reprogramaciones!Q$14))*IF(Reprogramaciones!Q$13&gt;=(Reprogramaciones!$T$15+7*(Reprogramaciones!Q$14-1))+6,1,IF(MAX(0,NETWORKDAYS.INTL(MAX(E287,(Reprogramaciones!$T$15+7*(Reprogramaciones!Q$14-1))),MIN(F287,(Reprogramaciones!$T$15+7*(Reprogramaciones!Q$14-1))+6),11))=0,0,MAX(0,NETWORKDAYS.INTL(MAX(E287,(Reprogramaciones!$T$15+7*(Reprogramaciones!Q$14-1))),MIN(F287,Reprogramaciones!Q$13),11))/MAX(0,NETWORKDAYS.INTL(MAX(E287,(Reprogramaciones!$T$15+7*(Reprogramaciones!Q$14-1))),MIN(F287,(Reprogramaciones!$T$15+7*(Reprogramaciones!Q$14-1))+6),11))))))))</f>
        <v/>
      </c>
      <c r="CA287" s="1" t="str">
        <f aca="false">IF(OR(NOT(AND(ISNUMBER(E287),ISNUMBER(F287))),$J$2=""),"",IF(Reprogramaciones!R$13&lt;Reprogramaciones!$T$15,0,IF(Reprogramaciones!R$14&gt;10,MIN(100,SUM($G287:$P287)),MIN(100,SUMPRODUCT((COLUMN($G287:$P287)-COLUMN($G287)+1&lt;Reprogramaciones!R$14)*$G287:$P287)+N(INDEX($G287:$P287,1,Reprogramaciones!R$14))*IF(Reprogramaciones!R$13&gt;=(Reprogramaciones!$T$15+7*(Reprogramaciones!R$14-1))+6,1,IF(MAX(0,NETWORKDAYS.INTL(MAX(E287,(Reprogramaciones!$T$15+7*(Reprogramaciones!R$14-1))),MIN(F287,(Reprogramaciones!$T$15+7*(Reprogramaciones!R$14-1))+6),11))=0,0,MAX(0,NETWORKDAYS.INTL(MAX(E287,(Reprogramaciones!$T$15+7*(Reprogramaciones!R$14-1))),MIN(F287,Reprogramaciones!R$13),11))/MAX(0,NETWORKDAYS.INTL(MAX(E287,(Reprogramaciones!$T$15+7*(Reprogramaciones!R$14-1))),MIN(F287,(Reprogramaciones!$T$15+7*(Reprogramaciones!R$14-1))+6),11))))))))</f>
        <v/>
      </c>
      <c r="CB287" s="1" t="str">
        <f aca="false">IF(OR(NOT(AND(ISNUMBER(E287),ISNUMBER(F287))),$J$2=""),"",IF(Reprogramaciones!S$13&lt;Reprogramaciones!$T$15,0,IF(Reprogramaciones!S$14&gt;10,MIN(100,SUM($G287:$P287)),MIN(100,SUMPRODUCT((COLUMN($G287:$P287)-COLUMN($G287)+1&lt;Reprogramaciones!S$14)*$G287:$P287)+N(INDEX($G287:$P287,1,Reprogramaciones!S$14))*IF(Reprogramaciones!S$13&gt;=(Reprogramaciones!$T$15+7*(Reprogramaciones!S$14-1))+6,1,IF(MAX(0,NETWORKDAYS.INTL(MAX(E287,(Reprogramaciones!$T$15+7*(Reprogramaciones!S$14-1))),MIN(F287,(Reprogramaciones!$T$15+7*(Reprogramaciones!S$14-1))+6),11))=0,0,MAX(0,NETWORKDAYS.INTL(MAX(E287,(Reprogramaciones!$T$15+7*(Reprogramaciones!S$14-1))),MIN(F287,Reprogramaciones!S$13),11))/MAX(0,NETWORKDAYS.INTL(MAX(E287,(Reprogramaciones!$T$15+7*(Reprogramaciones!S$14-1))),MIN(F287,(Reprogramaciones!$T$15+7*(Reprogramaciones!S$14-1))+6),11))))))))</f>
        <v/>
      </c>
      <c r="CC287" s="1" t="str">
        <f aca="false">IF(OR(NOT(AND(ISNUMBER(E287),ISNUMBER(F287))),$J$2=""),"",IF(Reprogramaciones!T$13&lt;Reprogramaciones!$T$15,0,IF(Reprogramaciones!T$14&gt;10,MIN(100,SUM($G287:$P287)),MIN(100,SUMPRODUCT((COLUMN($G287:$P287)-COLUMN($G287)+1&lt;Reprogramaciones!T$14)*$G287:$P287)+N(INDEX($G287:$P287,1,Reprogramaciones!T$14))*IF(Reprogramaciones!T$13&gt;=(Reprogramaciones!$T$15+7*(Reprogramaciones!T$14-1))+6,1,IF(MAX(0,NETWORKDAYS.INTL(MAX(E287,(Reprogramaciones!$T$15+7*(Reprogramaciones!T$14-1))),MIN(F287,(Reprogramaciones!$T$15+7*(Reprogramaciones!T$14-1))+6),11))=0,0,MAX(0,NETWORKDAYS.INTL(MAX(E287,(Reprogramaciones!$T$15+7*(Reprogramaciones!T$14-1))),MIN(F287,Reprogramaciones!T$13),11))/MAX(0,NETWORKDAYS.INTL(MAX(E287,(Reprogramaciones!$T$15+7*(Reprogramaciones!T$14-1))),MIN(F287,(Reprogramaciones!$T$15+7*(Reprogramaciones!T$14-1))+6),11))))))))</f>
        <v/>
      </c>
      <c r="CD287" s="1" t="str">
        <f aca="false">IF(OR(NOT(AND(ISNUMBER(E287),ISNUMBER(F287))),$J$2=""),"",IF(Reprogramaciones!U$13&lt;Reprogramaciones!$T$15,0,IF(Reprogramaciones!U$14&gt;10,MIN(100,SUM($G287:$P287)),MIN(100,SUMPRODUCT((COLUMN($G287:$P287)-COLUMN($G287)+1&lt;Reprogramaciones!U$14)*$G287:$P287)+N(INDEX($G287:$P287,1,Reprogramaciones!U$14))*IF(Reprogramaciones!U$13&gt;=(Reprogramaciones!$T$15+7*(Reprogramaciones!U$14-1))+6,1,IF(MAX(0,NETWORKDAYS.INTL(MAX(E287,(Reprogramaciones!$T$15+7*(Reprogramaciones!U$14-1))),MIN(F287,(Reprogramaciones!$T$15+7*(Reprogramaciones!U$14-1))+6),11))=0,0,MAX(0,NETWORKDAYS.INTL(MAX(E287,(Reprogramaciones!$T$15+7*(Reprogramaciones!U$14-1))),MIN(F287,Reprogramaciones!U$13),11))/MAX(0,NETWORKDAYS.INTL(MAX(E287,(Reprogramaciones!$T$15+7*(Reprogramaciones!U$14-1))),MIN(F287,(Reprogramaciones!$T$15+7*(Reprogramaciones!U$14-1))+6),11))))))))</f>
        <v/>
      </c>
      <c r="CE287" s="1" t="str">
        <f aca="false">IF(OR(NOT(AND(ISNUMBER(E287),ISNUMBER(F287))),$J$2=""),"",IF(Reprogramaciones!V$13&lt;Reprogramaciones!$T$15,0,IF(Reprogramaciones!V$14&gt;10,MIN(100,SUM($G287:$P287)),MIN(100,SUMPRODUCT((COLUMN($G287:$P287)-COLUMN($G287)+1&lt;Reprogramaciones!V$14)*$G287:$P287)+N(INDEX($G287:$P287,1,Reprogramaciones!V$14))*IF(Reprogramaciones!V$13&gt;=(Reprogramaciones!$T$15+7*(Reprogramaciones!V$14-1))+6,1,IF(MAX(0,NETWORKDAYS.INTL(MAX(E287,(Reprogramaciones!$T$15+7*(Reprogramaciones!V$14-1))),MIN(F287,(Reprogramaciones!$T$15+7*(Reprogramaciones!V$14-1))+6),11))=0,0,MAX(0,NETWORKDAYS.INTL(MAX(E287,(Reprogramaciones!$T$15+7*(Reprogramaciones!V$14-1))),MIN(F287,Reprogramaciones!V$13),11))/MAX(0,NETWORKDAYS.INTL(MAX(E287,(Reprogramaciones!$T$15+7*(Reprogramaciones!V$14-1))),MIN(F287,(Reprogramaciones!$T$15+7*(Reprogramaciones!V$14-1))+6),11))))))))</f>
        <v/>
      </c>
      <c r="CF287" s="1" t="str">
        <f aca="false">IF(OR(NOT(AND(ISNUMBER(E287),ISNUMBER(F287))),$J$2=""),"",IF(Reprogramaciones!W$13&lt;Reprogramaciones!$T$15,0,IF(Reprogramaciones!W$14&gt;10,MIN(100,SUM($G287:$P287)),MIN(100,SUMPRODUCT((COLUMN($G287:$P287)-COLUMN($G287)+1&lt;Reprogramaciones!W$14)*$G287:$P287)+N(INDEX($G287:$P287,1,Reprogramaciones!W$14))*IF(Reprogramaciones!W$13&gt;=(Reprogramaciones!$T$15+7*(Reprogramaciones!W$14-1))+6,1,IF(MAX(0,NETWORKDAYS.INTL(MAX(E287,(Reprogramaciones!$T$15+7*(Reprogramaciones!W$14-1))),MIN(F287,(Reprogramaciones!$T$15+7*(Reprogramaciones!W$14-1))+6),11))=0,0,MAX(0,NETWORKDAYS.INTL(MAX(E287,(Reprogramaciones!$T$15+7*(Reprogramaciones!W$14-1))),MIN(F287,Reprogramaciones!W$13),11))/MAX(0,NETWORKDAYS.INTL(MAX(E287,(Reprogramaciones!$T$15+7*(Reprogramaciones!W$14-1))),MIN(F287,(Reprogramaciones!$T$15+7*(Reprogramaciones!W$14-1))+6),11))))))))</f>
        <v/>
      </c>
      <c r="CG287" s="1" t="str">
        <f aca="false">IF(OR(NOT(AND(ISNUMBER(E287),ISNUMBER(F287))),$J$2=""),"",IF(Reprogramaciones!X$13&lt;Reprogramaciones!$T$15,0,IF(Reprogramaciones!X$14&gt;10,MIN(100,SUM($G287:$P287)),MIN(100,SUMPRODUCT((COLUMN($G287:$P287)-COLUMN($G287)+1&lt;Reprogramaciones!X$14)*$G287:$P287)+N(INDEX($G287:$P287,1,Reprogramaciones!X$14))*IF(Reprogramaciones!X$13&gt;=(Reprogramaciones!$T$15+7*(Reprogramaciones!X$14-1))+6,1,IF(MAX(0,NETWORKDAYS.INTL(MAX(E287,(Reprogramaciones!$T$15+7*(Reprogramaciones!X$14-1))),MIN(F287,(Reprogramaciones!$T$15+7*(Reprogramaciones!X$14-1))+6),11))=0,0,MAX(0,NETWORKDAYS.INTL(MAX(E287,(Reprogramaciones!$T$15+7*(Reprogramaciones!X$14-1))),MIN(F287,Reprogramaciones!X$13),11))/MAX(0,NETWORKDAYS.INTL(MAX(E287,(Reprogramaciones!$T$15+7*(Reprogramaciones!X$14-1))),MIN(F287,(Reprogramaciones!$T$15+7*(Reprogramaciones!X$14-1))+6),11))))))))</f>
        <v/>
      </c>
      <c r="CH287" s="1" t="str">
        <f aca="false">IF(OR(NOT(AND(ISNUMBER(E287),ISNUMBER(F287))),$J$2=""),"",IF(Reprogramaciones!Y$13&lt;Reprogramaciones!$T$15,0,IF(Reprogramaciones!Y$14&gt;10,MIN(100,SUM($G287:$P287)),MIN(100,SUMPRODUCT((COLUMN($G287:$P287)-COLUMN($G287)+1&lt;Reprogramaciones!Y$14)*$G287:$P287)+N(INDEX($G287:$P287,1,Reprogramaciones!Y$14))*IF(Reprogramaciones!Y$13&gt;=(Reprogramaciones!$T$15+7*(Reprogramaciones!Y$14-1))+6,1,IF(MAX(0,NETWORKDAYS.INTL(MAX(E287,(Reprogramaciones!$T$15+7*(Reprogramaciones!Y$14-1))),MIN(F287,(Reprogramaciones!$T$15+7*(Reprogramaciones!Y$14-1))+6),11))=0,0,MAX(0,NETWORKDAYS.INTL(MAX(E287,(Reprogramaciones!$T$15+7*(Reprogramaciones!Y$14-1))),MIN(F287,Reprogramaciones!Y$13),11))/MAX(0,NETWORKDAYS.INTL(MAX(E287,(Reprogramaciones!$T$15+7*(Reprogramaciones!Y$14-1))),MIN(F287,(Reprogramaciones!$T$15+7*(Reprogramaciones!Y$14-1))+6),11))))))))</f>
        <v/>
      </c>
      <c r="CI287" s="1" t="str">
        <f aca="false">IF(OR(NOT(AND(ISNUMBER(E287),ISNUMBER(F287))),$J$2=""),"",IF(Reprogramaciones!Z$13&lt;Reprogramaciones!$T$15,0,IF(Reprogramaciones!Z$14&gt;10,MIN(100,SUM($G287:$P287)),MIN(100,SUMPRODUCT((COLUMN($G287:$P287)-COLUMN($G287)+1&lt;Reprogramaciones!Z$14)*$G287:$P287)+N(INDEX($G287:$P287,1,Reprogramaciones!Z$14))*IF(Reprogramaciones!Z$13&gt;=(Reprogramaciones!$T$15+7*(Reprogramaciones!Z$14-1))+6,1,IF(MAX(0,NETWORKDAYS.INTL(MAX(E287,(Reprogramaciones!$T$15+7*(Reprogramaciones!Z$14-1))),MIN(F287,(Reprogramaciones!$T$15+7*(Reprogramaciones!Z$14-1))+6),11))=0,0,MAX(0,NETWORKDAYS.INTL(MAX(E287,(Reprogramaciones!$T$15+7*(Reprogramaciones!Z$14-1))),MIN(F287,Reprogramaciones!Z$13),11))/MAX(0,NETWORKDAYS.INTL(MAX(E287,(Reprogramaciones!$T$15+7*(Reprogramaciones!Z$14-1))),MIN(F287,(Reprogramaciones!$T$15+7*(Reprogramaciones!Z$14-1))+6),11))))))))</f>
        <v/>
      </c>
      <c r="CJ287" s="1" t="str">
        <f aca="false">IF(OR(OR(NOT(AND(ISNUMBER(E287),ISNUMBER(F287))),$J$2=""),1&gt;Reprogramaciones!$K$16),"",IF(ROUND(SUM($Q287:Q287),1)&gt;=99.5,100,MIN(100,ROUND(SUM($Q287:Q287),1))))</f>
        <v/>
      </c>
      <c r="CK287" s="1" t="str">
        <f aca="false">IF(OR(OR(NOT(AND(ISNUMBER(E287),ISNUMBER(F287))),$J$2=""),2&gt;Reprogramaciones!$K$16),"",IF(ROUND(SUM($Q287:R287),1)&gt;=99.5,100,MIN(100,ROUND(SUM($Q287:R287),1))))</f>
        <v/>
      </c>
      <c r="CL287" s="1" t="str">
        <f aca="false">IF(OR(OR(NOT(AND(ISNUMBER(E287),ISNUMBER(F287))),$J$2=""),3&gt;Reprogramaciones!$K$16),"",IF(ROUND(SUM($Q287:S287),1)&gt;=99.5,100,MIN(100,ROUND(SUM($Q287:S287),1))))</f>
        <v/>
      </c>
      <c r="CM287" s="1" t="str">
        <f aca="false">IF(OR(OR(NOT(AND(ISNUMBER(E287),ISNUMBER(F287))),$J$2=""),4&gt;Reprogramaciones!$K$16),"",IF(ROUND(SUM($Q287:T287),1)&gt;=99.5,100,MIN(100,ROUND(SUM($Q287:T287),1))))</f>
        <v/>
      </c>
      <c r="CN287" s="1" t="str">
        <f aca="false">IF(OR(OR(NOT(AND(ISNUMBER(E287),ISNUMBER(F287))),$J$2=""),5&gt;Reprogramaciones!$K$16),"",IF(ROUND(SUM($Q287:U287),1)&gt;=99.5,100,MIN(100,ROUND(SUM($Q287:U287),1))))</f>
        <v/>
      </c>
      <c r="CO287" s="1" t="str">
        <f aca="false">IF(OR(OR(NOT(AND(ISNUMBER(E287),ISNUMBER(F287))),$J$2=""),6&gt;Reprogramaciones!$K$16),"",IF(ROUND(SUM($Q287:V287),1)&gt;=99.5,100,MIN(100,ROUND(SUM($Q287:V287),1))))</f>
        <v/>
      </c>
      <c r="CP287" s="1" t="str">
        <f aca="false">IF(OR(OR(NOT(AND(ISNUMBER(E287),ISNUMBER(F287))),$J$2=""),7&gt;Reprogramaciones!$K$16),"",IF(ROUND(SUM($Q287:W287),1)&gt;=99.5,100,MIN(100,ROUND(SUM($Q287:W287),1))))</f>
        <v/>
      </c>
      <c r="CQ287" s="1" t="str">
        <f aca="false">IF(OR(OR(NOT(AND(ISNUMBER(E287),ISNUMBER(F287))),$J$2=""),8&gt;Reprogramaciones!$K$16),"",IF(ROUND(SUM($Q287:X287),1)&gt;=99.5,100,MIN(100,ROUND(SUM($Q287:X287),1))))</f>
        <v/>
      </c>
      <c r="CR287" s="1" t="str">
        <f aca="false">IF(OR(OR(NOT(AND(ISNUMBER(E287),ISNUMBER(F287))),$J$2=""),9&gt;Reprogramaciones!$K$16),"",IF(ROUND(SUM($Q287:Y287),1)&gt;=99.5,100,MIN(100,ROUND(SUM($Q287:Y287),1))))</f>
        <v/>
      </c>
      <c r="CS287" s="1" t="str">
        <f aca="false">IF(OR(OR(NOT(AND(ISNUMBER(E287),ISNUMBER(F287))),$J$2=""),10&gt;Reprogramaciones!$K$16),"",IF(ROUND(SUM($Q287:Z287),1)&gt;=99.5,100,MIN(100,ROUND(SUM($Q287:Z287),1))))</f>
        <v/>
      </c>
      <c r="CT287" s="1" t="str">
        <f aca="false">IF(OR(OR(NOT(AND(ISNUMBER(E287),ISNUMBER(F287))),$J$2=""),11&gt;Reprogramaciones!$K$16),"",IF(ROUND(SUM($Q287:AA287),1)&gt;=99.5,100,MIN(100,ROUND(SUM($Q287:AA287),1))))</f>
        <v/>
      </c>
      <c r="CU287" s="1" t="str">
        <f aca="false">IF(OR(OR(NOT(AND(ISNUMBER(E287),ISNUMBER(F287))),$J$2=""),12&gt;Reprogramaciones!$K$16),"",IF(ROUND(SUM($Q287:AB287),1)&gt;=99.5,100,MIN(100,ROUND(SUM($Q287:AB287),1))))</f>
        <v/>
      </c>
      <c r="CV287" s="1" t="str">
        <f aca="false">IF(OR(OR(NOT(AND(ISNUMBER(E287),ISNUMBER(F287))),$J$2=""),13&gt;Reprogramaciones!$K$16),"",IF(ROUND(SUM($Q287:AC287),1)&gt;=99.5,100,MIN(100,ROUND(SUM($Q287:AC287),1))))</f>
        <v/>
      </c>
      <c r="CW287" s="1" t="str">
        <f aca="false">IF(OR(OR(NOT(AND(ISNUMBER(E287),ISNUMBER(F287))),$J$2=""),14&gt;Reprogramaciones!$K$16),"",IF(ROUND(SUM($Q287:AD287),1)&gt;=99.5,100,MIN(100,ROUND(SUM($Q287:AD287),1))))</f>
        <v/>
      </c>
      <c r="CX287" s="1" t="str">
        <f aca="false">IF(OR(OR(NOT(AND(ISNUMBER(E287),ISNUMBER(F287))),$J$2=""),15&gt;Reprogramaciones!$K$16),"",IF(ROUND(SUM($Q287:AE287),1)&gt;=99.5,100,MIN(100,ROUND(SUM($Q287:AE287),1))))</f>
        <v/>
      </c>
      <c r="CY287" s="1" t="str">
        <f aca="false">IF(OR(OR(NOT(AND(ISNUMBER(E287),ISNUMBER(F287))),$J$2=""),16&gt;Reprogramaciones!$K$16),"",IF(ROUND(SUM($Q287:AF287),1)&gt;=99.5,100,MIN(100,ROUND(SUM($Q287:AF287),1))))</f>
        <v/>
      </c>
      <c r="CZ287" s="1" t="str">
        <f aca="false">IF(D287&lt;&gt;"",D287,IF(B287&lt;&gt;"","Contractual",CZ286))</f>
        <v>Contractual</v>
      </c>
      <c r="DA287" s="1" t="str">
        <f aca="false">IF(OR(NOT(AND(ISNUMBER(E287),ISNUMBER(F287))),$J$2=""),"",IF(Reprogramaciones!$Q$15&lt;Reprogramaciones!$T$15,0,IF(Reprogramaciones!$S$15&gt;10,MIN(100,SUM($G287:$P287)),MIN(100,SUMPRODUCT((COLUMN($G287:$P287)-COLUMN($G287)+1&lt;Reprogramaciones!$S$15)*$G287:$P287)+N(INDEX($G287:$P287,1,Reprogramaciones!$S$15))*IF(Reprogramaciones!$Q$15&gt;=(Reprogramaciones!$T$15+7*(Reprogramaciones!$S$15-1))+6,1,IF(MAX(0,NETWORKDAYS.INTL(MAX(E287,(Reprogramaciones!$T$15+7*(Reprogramaciones!$S$15-1))),MIN(F287,(Reprogramaciones!$T$15+7*(Reprogramaciones!$S$15-1))+6),11))=0,0,MAX(0,NETWORKDAYS.INTL(MAX(E287,(Reprogramaciones!$T$15+7*(Reprogramaciones!$S$15-1))),MIN(F287,Reprogramaciones!$Q$15),11))/MAX(0,NETWORKDAYS.INTL(MAX(E287,(Reprogramaciones!$T$15+7*(Reprogramaciones!$S$15-1))),MIN(F287,(Reprogramaciones!$T$15+7*(Reprogramaciones!$S$15-1))+6),11))))))))</f>
        <v/>
      </c>
    </row>
    <row r="288" customFormat="false" ht="15" hidden="false" customHeight="false" outlineLevel="0" collapsed="false">
      <c r="A288" s="32"/>
      <c r="B288" s="33"/>
      <c r="C288" s="33"/>
      <c r="D288" s="34"/>
      <c r="E288" s="35"/>
      <c r="F288" s="35"/>
      <c r="G288" s="36" t="str">
        <f aca="false">IF(OR(NOT(AND(ISNUMBER(E288),ISNUMBER(F288))),$J$2=""),"",IF(Reprogramaciones!K$9&lt;E288,0,IF(NETWORKDAYS.INTL(E288,F288,11)=0,IF(Reprogramaciones!K$9&gt;=F288,100,0),ROUND(NETWORKDAYS.INTL(E288,MIN(F288,Reprogramaciones!K$9),11)/NETWORKDAYS.INTL(E288,F288,11)*100,1)))-0)</f>
        <v/>
      </c>
      <c r="H288" s="36" t="str">
        <f aca="false">IF(OR(NOT(AND(ISNUMBER(E288),ISNUMBER(F288))),$J$2=""),"",IF(Reprogramaciones!L$9&lt;E288,0,IF(NETWORKDAYS.INTL(E288,F288,11)=0,IF(Reprogramaciones!L$9&gt;=F288,100,0),ROUND(NETWORKDAYS.INTL(E288,MIN(F288,Reprogramaciones!L$9),11)/NETWORKDAYS.INTL(E288,F288,11)*100,1)))-IF(Reprogramaciones!K$9&lt;E288,0,IF(NETWORKDAYS.INTL(E288,F288,11)=0,IF(Reprogramaciones!K$9&gt;=F288,100,0),ROUND(NETWORKDAYS.INTL(E288,MIN(F288,Reprogramaciones!K$9),11)/NETWORKDAYS.INTL(E288,F288,11)*100,1))))</f>
        <v/>
      </c>
      <c r="I288" s="36" t="str">
        <f aca="false">IF(OR(NOT(AND(ISNUMBER(E288),ISNUMBER(F288))),$J$2=""),"",IF(Reprogramaciones!M$9&lt;E288,0,IF(NETWORKDAYS.INTL(E288,F288,11)=0,IF(Reprogramaciones!M$9&gt;=F288,100,0),ROUND(NETWORKDAYS.INTL(E288,MIN(F288,Reprogramaciones!M$9),11)/NETWORKDAYS.INTL(E288,F288,11)*100,1)))-IF(Reprogramaciones!L$9&lt;E288,0,IF(NETWORKDAYS.INTL(E288,F288,11)=0,IF(Reprogramaciones!L$9&gt;=F288,100,0),ROUND(NETWORKDAYS.INTL(E288,MIN(F288,Reprogramaciones!L$9),11)/NETWORKDAYS.INTL(E288,F288,11)*100,1))))</f>
        <v/>
      </c>
      <c r="J288" s="36" t="str">
        <f aca="false">IF(OR(NOT(AND(ISNUMBER(E288),ISNUMBER(F288))),$J$2=""),"",IF(Reprogramaciones!N$9&lt;E288,0,IF(NETWORKDAYS.INTL(E288,F288,11)=0,IF(Reprogramaciones!N$9&gt;=F288,100,0),ROUND(NETWORKDAYS.INTL(E288,MIN(F288,Reprogramaciones!N$9),11)/NETWORKDAYS.INTL(E288,F288,11)*100,1)))-IF(Reprogramaciones!M$9&lt;E288,0,IF(NETWORKDAYS.INTL(E288,F288,11)=0,IF(Reprogramaciones!M$9&gt;=F288,100,0),ROUND(NETWORKDAYS.INTL(E288,MIN(F288,Reprogramaciones!M$9),11)/NETWORKDAYS.INTL(E288,F288,11)*100,1))))</f>
        <v/>
      </c>
      <c r="K288" s="36" t="str">
        <f aca="false">IF(OR(NOT(AND(ISNUMBER(E288),ISNUMBER(F288))),$J$2=""),"",IF(Reprogramaciones!O$9&lt;E288,0,IF(NETWORKDAYS.INTL(E288,F288,11)=0,IF(Reprogramaciones!O$9&gt;=F288,100,0),ROUND(NETWORKDAYS.INTL(E288,MIN(F288,Reprogramaciones!O$9),11)/NETWORKDAYS.INTL(E288,F288,11)*100,1)))-IF(Reprogramaciones!N$9&lt;E288,0,IF(NETWORKDAYS.INTL(E288,F288,11)=0,IF(Reprogramaciones!N$9&gt;=F288,100,0),ROUND(NETWORKDAYS.INTL(E288,MIN(F288,Reprogramaciones!N$9),11)/NETWORKDAYS.INTL(E288,F288,11)*100,1))))</f>
        <v/>
      </c>
      <c r="L288" s="36" t="str">
        <f aca="false">IF(OR(NOT(AND(ISNUMBER(E288),ISNUMBER(F288))),$J$2=""),"",IF(Reprogramaciones!P$9&lt;E288,0,IF(NETWORKDAYS.INTL(E288,F288,11)=0,IF(Reprogramaciones!P$9&gt;=F288,100,0),ROUND(NETWORKDAYS.INTL(E288,MIN(F288,Reprogramaciones!P$9),11)/NETWORKDAYS.INTL(E288,F288,11)*100,1)))-IF(Reprogramaciones!O$9&lt;E288,0,IF(NETWORKDAYS.INTL(E288,F288,11)=0,IF(Reprogramaciones!O$9&gt;=F288,100,0),ROUND(NETWORKDAYS.INTL(E288,MIN(F288,Reprogramaciones!O$9),11)/NETWORKDAYS.INTL(E288,F288,11)*100,1))))</f>
        <v/>
      </c>
      <c r="M288" s="36" t="str">
        <f aca="false">IF(OR(NOT(AND(ISNUMBER(E288),ISNUMBER(F288))),$J$2=""),"",IF(Reprogramaciones!Q$9&lt;E288,0,IF(NETWORKDAYS.INTL(E288,F288,11)=0,IF(Reprogramaciones!Q$9&gt;=F288,100,0),ROUND(NETWORKDAYS.INTL(E288,MIN(F288,Reprogramaciones!Q$9),11)/NETWORKDAYS.INTL(E288,F288,11)*100,1)))-IF(Reprogramaciones!P$9&lt;E288,0,IF(NETWORKDAYS.INTL(E288,F288,11)=0,IF(Reprogramaciones!P$9&gt;=F288,100,0),ROUND(NETWORKDAYS.INTL(E288,MIN(F288,Reprogramaciones!P$9),11)/NETWORKDAYS.INTL(E288,F288,11)*100,1))))</f>
        <v/>
      </c>
      <c r="N288" s="36" t="str">
        <f aca="false">IF(OR(NOT(AND(ISNUMBER(E288),ISNUMBER(F288))),$J$2=""),"",IF(Reprogramaciones!R$9&lt;E288,0,IF(NETWORKDAYS.INTL(E288,F288,11)=0,IF(Reprogramaciones!R$9&gt;=F288,100,0),ROUND(NETWORKDAYS.INTL(E288,MIN(F288,Reprogramaciones!R$9),11)/NETWORKDAYS.INTL(E288,F288,11)*100,1)))-IF(Reprogramaciones!Q$9&lt;E288,0,IF(NETWORKDAYS.INTL(E288,F288,11)=0,IF(Reprogramaciones!Q$9&gt;=F288,100,0),ROUND(NETWORKDAYS.INTL(E288,MIN(F288,Reprogramaciones!Q$9),11)/NETWORKDAYS.INTL(E288,F288,11)*100,1))))</f>
        <v/>
      </c>
      <c r="O288" s="36" t="str">
        <f aca="false">IF(OR(NOT(AND(ISNUMBER(E288),ISNUMBER(F288))),$J$2=""),"",IF(Reprogramaciones!S$9&lt;E288,0,IF(NETWORKDAYS.INTL(E288,F288,11)=0,IF(Reprogramaciones!S$9&gt;=F288,100,0),ROUND(NETWORKDAYS.INTL(E288,MIN(F288,Reprogramaciones!S$9),11)/NETWORKDAYS.INTL(E288,F288,11)*100,1)))-IF(Reprogramaciones!R$9&lt;E288,0,IF(NETWORKDAYS.INTL(E288,F288,11)=0,IF(Reprogramaciones!R$9&gt;=F288,100,0),ROUND(NETWORKDAYS.INTL(E288,MIN(F288,Reprogramaciones!R$9),11)/NETWORKDAYS.INTL(E288,F288,11)*100,1))))</f>
        <v/>
      </c>
      <c r="P288" s="36" t="str">
        <f aca="false">IF(OR(NOT(AND(ISNUMBER(E288),ISNUMBER(F288))),$J$2=""),"",IF(Reprogramaciones!T$9&lt;E288,0,IF(NETWORKDAYS.INTL(E288,F288,11)=0,IF(Reprogramaciones!T$9&gt;=F288,100,0),ROUND(NETWORKDAYS.INTL(E288,MIN(F288,Reprogramaciones!T$9),11)/NETWORKDAYS.INTL(E288,F288,11)*100,1)))-IF(Reprogramaciones!S$9&lt;E288,0,IF(NETWORKDAYS.INTL(E288,F288,11)=0,IF(Reprogramaciones!S$9&gt;=F288,100,0),ROUND(NETWORKDAYS.INTL(E288,MIN(F288,Reprogramaciones!S$9),11)/NETWORKDAYS.INTL(E288,F288,11)*100,1))))</f>
        <v/>
      </c>
      <c r="Q288" s="37"/>
      <c r="R288" s="37"/>
      <c r="S288" s="37"/>
      <c r="T288" s="37"/>
      <c r="U288" s="37"/>
      <c r="V288" s="37"/>
      <c r="W288" s="37"/>
      <c r="X288" s="37"/>
      <c r="Y288" s="37"/>
      <c r="Z288" s="37"/>
      <c r="AA288" s="37"/>
      <c r="AB288" s="37"/>
      <c r="AC288" s="37"/>
      <c r="AD288" s="37"/>
      <c r="AE288" s="37"/>
      <c r="AF288" s="37"/>
      <c r="AG288" s="38" t="str">
        <f aca="false">IF(AND(ISNUMBER(E288),ISNUMBER(F288)),NETWORKDAYS.INTL(E288,F288,11),"")</f>
        <v/>
      </c>
      <c r="AH288" s="38" t="str">
        <f aca="false">IF(OR(NOT(AND(ISNUMBER(E288),ISNUMBER(F288))),$J$2=""),"",IF(Reprogramaciones!$P$15&lt;Reprogramaciones!$T$15,0,IF(Reprogramaciones!$R$15&gt;10,MIN(100,SUM($G288:$P288)),MIN(100,SUMPRODUCT((COLUMN($G288:$P288)-COLUMN($G288)+1&lt;Reprogramaciones!$R$15)*$G288:$P288)+N(INDEX($G288:$P288,1,Reprogramaciones!$R$15))*IF(Reprogramaciones!$P$15&gt;=(Reprogramaciones!$T$15+7*(Reprogramaciones!$R$15-1))+6,1,IF(MAX(0,NETWORKDAYS.INTL(MAX(E288,(Reprogramaciones!$T$15+7*(Reprogramaciones!$R$15-1))),MIN(F288,(Reprogramaciones!$T$15+7*(Reprogramaciones!$R$15-1))+6),11))=0,0,MAX(0,NETWORKDAYS.INTL(MAX(E288,(Reprogramaciones!$T$15+7*(Reprogramaciones!$R$15-1))),MIN(F288,Reprogramaciones!$P$15),11))/MAX(0,NETWORKDAYS.INTL(MAX(E288,(Reprogramaciones!$T$15+7*(Reprogramaciones!$R$15-1))),MIN(F288,(Reprogramaciones!$T$15+7*(Reprogramaciones!$R$15-1))+6),11))))))))</f>
        <v/>
      </c>
      <c r="AI288" s="38" t="str">
        <f aca="false">IF(COUNT($Q288:$AF288)=0,"",IF(ROUND(SUM($Q288:$AF288),1)&gt;=99.5,100,MIN(100,ROUND(SUM($Q288:$AF288),1))))</f>
        <v/>
      </c>
      <c r="AJ288" s="38" t="str">
        <f aca="false">IF(OR(AH288="",AI288=""),"",AI288-AH288)</f>
        <v/>
      </c>
      <c r="AK288" s="39" t="str">
        <f aca="true">IF(AH288="","",IF(OR(Ficha!$C$10="Suspendida",Ficha!$C$10="Cancelada"),Ficha!$C$10,IF(AND(AI288&lt;&gt;"",N(AI288)&gt;=100),"Completada",IF(AND(E288&gt;TODAY(),N(AI288)=0),"Por iniciar",IF(N(AI288)+0.5&lt;AH288,"Retrasada",IF(N(AI288)+0.5&lt;DA288,IF(Reprogramaciones!$K$15&gt;0,"Al día · Sem "&amp;Reprogramaciones!$K$15&amp;" en curso","Al día · en curso"),"A tiempo"))))))</f>
        <v/>
      </c>
      <c r="AL288" s="39" t="str">
        <f aca="true">IF(AND(A288="",AND(B288="",C288="",E288="",F288="",COUNT(Q288:AF288)=0)),"",IF(AND(B288="",C288="",E288="",F288="",COUNT(Q288:AF288)=0),"Falta la partida o subpartida",IF(AND(A288&lt;&gt;"",COUNTIF($A$6:$A$305,A288)&gt;1),"Ítem repetido",IF(AND(C288="",E288="",F288="",COUNT(Q288:AF288)=0),"Título de partida",IF(OR(E288="",F288=""),"Faltan fechas",IF(OR(ISTEXT(E288),ISTEXT(F288)),"Fecha escrita como texto: usa dd/mm/aaaa",IF(F288&lt;E288,"Fin antes del inicio",IF(IF($J$2="",FALSE(),OR(E288&lt;$J$2,F288&gt;Reprogramaciones!$T$15+69)),"Fuera de las 10 semanas",IF(ABS(SUM(G288:P288)-100)&gt;0.5,"La meta no suma 100%",IF(ROUND(SUM(Q288:AF288),1)&gt;100.5,"El avance pasa de 100%",IF(MIN(Q288:AF288)&lt;0,"Avance negativo",IF(COUNTA(Q288:AF288)&gt;COUNT(Q288:AF288),"Avance escrito como texto",IF(SUMPRODUCT((Q288:AF288&gt;0)*(Q288:AF288&lt;1))&gt;0,"Avance menor a 1: escribe 50, no 50%",IF(SUMPRODUCT(ISNUMBER(Q288:AF288)*(Reprogramaciones!$K$8:$Z$8&gt;TODAY()))&gt;0,"Avance en semana que aún no llega",IF(AND(N(Reprogramaciones!$E$21)&gt;0,F288&gt;Reprogramaciones!$E$21),"Pasa el fin de la obra: registra una reprogramación",IF(AND(N(Reprogramaciones!$E$21)&gt;0,SUMPRODUCT(ISNUMBER(Q288:AF288)*(Reprogramaciones!$K$8:$Z$8&gt;Reprogramaciones!$E$21))&gt;0),"Avance después del fin de la obra: registra una reprogramación por atraso","OK"))))))))))))))))</f>
        <v/>
      </c>
      <c r="AM288" s="40" t="str">
        <f aca="false">IF(OR(OR(NOT(AND(ISNUMBER(E288),ISNUMBER(F288))),$J$2=""),1&gt;MAX(1,Reprogramaciones!$U$15)),"",IF(Reprogramaciones!K$12&gt;=7,"",IF(OR(BT288-N(0)&gt;0.05,N(Q288)&gt;0),ROUNDDOWN(ROUND(BT288,6),0)&amp;"%"&amp;IF(CJ288="",""," / "&amp;CJ288&amp;"%"),IF(AND(N(0)&gt;=99.95,CJ288&lt;&gt;"",N(CJ288)&lt;100),"Pend. "&amp;CJ288&amp;"%",""))))</f>
        <v/>
      </c>
      <c r="AN288" s="40" t="str">
        <f aca="false">IF(OR(OR(NOT(AND(ISNUMBER(E288),ISNUMBER(F288))),$J$2=""),2&gt;MAX(1,Reprogramaciones!$U$15)),"",IF(Reprogramaciones!L$12&gt;=7,"",IF(OR(BU288-N(BT288)&gt;0.05,N(R288)&gt;0),ROUNDDOWN(ROUND(BU288,6),0)&amp;"%"&amp;IF(CK288="",""," / "&amp;CK288&amp;"%"),IF(AND(N(BT288)&gt;=99.95,CK288&lt;&gt;"",N(CK288)&lt;100),"Pend. "&amp;CK288&amp;"%",""))))</f>
        <v/>
      </c>
      <c r="AO288" s="40" t="str">
        <f aca="false">IF(OR(OR(NOT(AND(ISNUMBER(E288),ISNUMBER(F288))),$J$2=""),3&gt;MAX(1,Reprogramaciones!$U$15)),"",IF(Reprogramaciones!M$12&gt;=7,"",IF(OR(BV288-N(BU288)&gt;0.05,N(S288)&gt;0),ROUNDDOWN(ROUND(BV288,6),0)&amp;"%"&amp;IF(CL288="",""," / "&amp;CL288&amp;"%"),IF(AND(N(BU288)&gt;=99.95,CL288&lt;&gt;"",N(CL288)&lt;100),"Pend. "&amp;CL288&amp;"%",""))))</f>
        <v/>
      </c>
      <c r="AP288" s="40" t="str">
        <f aca="false">IF(OR(OR(NOT(AND(ISNUMBER(E288),ISNUMBER(F288))),$J$2=""),4&gt;MAX(1,Reprogramaciones!$U$15)),"",IF(Reprogramaciones!N$12&gt;=7,"",IF(OR(BW288-N(BV288)&gt;0.05,N(T288)&gt;0),ROUNDDOWN(ROUND(BW288,6),0)&amp;"%"&amp;IF(CM288="",""," / "&amp;CM288&amp;"%"),IF(AND(N(BV288)&gt;=99.95,CM288&lt;&gt;"",N(CM288)&lt;100),"Pend. "&amp;CM288&amp;"%",""))))</f>
        <v/>
      </c>
      <c r="AQ288" s="40" t="str">
        <f aca="false">IF(OR(OR(NOT(AND(ISNUMBER(E288),ISNUMBER(F288))),$J$2=""),5&gt;MAX(1,Reprogramaciones!$U$15)),"",IF(Reprogramaciones!O$12&gt;=7,"",IF(OR(BX288-N(BW288)&gt;0.05,N(U288)&gt;0),ROUNDDOWN(ROUND(BX288,6),0)&amp;"%"&amp;IF(CN288="",""," / "&amp;CN288&amp;"%"),IF(AND(N(BW288)&gt;=99.95,CN288&lt;&gt;"",N(CN288)&lt;100),"Pend. "&amp;CN288&amp;"%",""))))</f>
        <v/>
      </c>
      <c r="AR288" s="40" t="str">
        <f aca="false">IF(OR(OR(NOT(AND(ISNUMBER(E288),ISNUMBER(F288))),$J$2=""),6&gt;MAX(1,Reprogramaciones!$U$15)),"",IF(Reprogramaciones!P$12&gt;=7,"",IF(OR(BY288-N(BX288)&gt;0.05,N(V288)&gt;0),ROUNDDOWN(ROUND(BY288,6),0)&amp;"%"&amp;IF(CO288="",""," / "&amp;CO288&amp;"%"),IF(AND(N(BX288)&gt;=99.95,CO288&lt;&gt;"",N(CO288)&lt;100),"Pend. "&amp;CO288&amp;"%",""))))</f>
        <v/>
      </c>
      <c r="AS288" s="40" t="str">
        <f aca="false">IF(OR(OR(NOT(AND(ISNUMBER(E288),ISNUMBER(F288))),$J$2=""),7&gt;MAX(1,Reprogramaciones!$U$15)),"",IF(Reprogramaciones!Q$12&gt;=7,"",IF(OR(BZ288-N(BY288)&gt;0.05,N(W288)&gt;0),ROUNDDOWN(ROUND(BZ288,6),0)&amp;"%"&amp;IF(CP288="",""," / "&amp;CP288&amp;"%"),IF(AND(N(BY288)&gt;=99.95,CP288&lt;&gt;"",N(CP288)&lt;100),"Pend. "&amp;CP288&amp;"%",""))))</f>
        <v/>
      </c>
      <c r="AT288" s="40" t="str">
        <f aca="false">IF(OR(OR(NOT(AND(ISNUMBER(E288),ISNUMBER(F288))),$J$2=""),8&gt;MAX(1,Reprogramaciones!$U$15)),"",IF(Reprogramaciones!R$12&gt;=7,"",IF(OR(CA288-N(BZ288)&gt;0.05,N(X288)&gt;0),ROUNDDOWN(ROUND(CA288,6),0)&amp;"%"&amp;IF(CQ288="",""," / "&amp;CQ288&amp;"%"),IF(AND(N(BZ288)&gt;=99.95,CQ288&lt;&gt;"",N(CQ288)&lt;100),"Pend. "&amp;CQ288&amp;"%",""))))</f>
        <v/>
      </c>
      <c r="AU288" s="40" t="str">
        <f aca="false">IF(OR(OR(NOT(AND(ISNUMBER(E288),ISNUMBER(F288))),$J$2=""),9&gt;MAX(1,Reprogramaciones!$U$15)),"",IF(Reprogramaciones!S$12&gt;=7,"",IF(OR(CB288-N(CA288)&gt;0.05,N(Y288)&gt;0),ROUNDDOWN(ROUND(CB288,6),0)&amp;"%"&amp;IF(CR288="",""," / "&amp;CR288&amp;"%"),IF(AND(N(CA288)&gt;=99.95,CR288&lt;&gt;"",N(CR288)&lt;100),"Pend. "&amp;CR288&amp;"%",""))))</f>
        <v/>
      </c>
      <c r="AV288" s="40" t="str">
        <f aca="false">IF(OR(OR(NOT(AND(ISNUMBER(E288),ISNUMBER(F288))),$J$2=""),10&gt;MAX(1,Reprogramaciones!$U$15)),"",IF(Reprogramaciones!T$12&gt;=7,"",IF(OR(CC288-N(CB288)&gt;0.05,N(Z288)&gt;0),ROUNDDOWN(ROUND(CC288,6),0)&amp;"%"&amp;IF(CS288="",""," / "&amp;CS288&amp;"%"),IF(AND(N(CB288)&gt;=99.95,CS288&lt;&gt;"",N(CS288)&lt;100),"Pend. "&amp;CS288&amp;"%",""))))</f>
        <v/>
      </c>
      <c r="AW288" s="40" t="str">
        <f aca="false">IF(OR(OR(NOT(AND(ISNUMBER(E288),ISNUMBER(F288))),$J$2=""),11&gt;MAX(1,Reprogramaciones!$U$15)),"",IF(Reprogramaciones!U$12&gt;=7,"",IF(OR(CD288-N(CC288)&gt;0.05,N(AA288)&gt;0),ROUNDDOWN(ROUND(CD288,6),0)&amp;"%"&amp;IF(CT288="",""," / "&amp;CT288&amp;"%"),IF(AND(N(CC288)&gt;=99.95,CT288&lt;&gt;"",N(CT288)&lt;100),"Pend. "&amp;CT288&amp;"%",""))))</f>
        <v/>
      </c>
      <c r="AX288" s="40" t="str">
        <f aca="false">IF(OR(OR(NOT(AND(ISNUMBER(E288),ISNUMBER(F288))),$J$2=""),12&gt;MAX(1,Reprogramaciones!$U$15)),"",IF(Reprogramaciones!V$12&gt;=7,"",IF(OR(CE288-N(CD288)&gt;0.05,N(AB288)&gt;0),ROUNDDOWN(ROUND(CE288,6),0)&amp;"%"&amp;IF(CU288="",""," / "&amp;CU288&amp;"%"),IF(AND(N(CD288)&gt;=99.95,CU288&lt;&gt;"",N(CU288)&lt;100),"Pend. "&amp;CU288&amp;"%",""))))</f>
        <v/>
      </c>
      <c r="AY288" s="40" t="str">
        <f aca="false">IF(OR(OR(NOT(AND(ISNUMBER(E288),ISNUMBER(F288))),$J$2=""),13&gt;MAX(1,Reprogramaciones!$U$15)),"",IF(Reprogramaciones!W$12&gt;=7,"",IF(OR(CF288-N(CE288)&gt;0.05,N(AC288)&gt;0),ROUNDDOWN(ROUND(CF288,6),0)&amp;"%"&amp;IF(CV288="",""," / "&amp;CV288&amp;"%"),IF(AND(N(CE288)&gt;=99.95,CV288&lt;&gt;"",N(CV288)&lt;100),"Pend. "&amp;CV288&amp;"%",""))))</f>
        <v/>
      </c>
      <c r="AZ288" s="40" t="str">
        <f aca="false">IF(OR(OR(NOT(AND(ISNUMBER(E288),ISNUMBER(F288))),$J$2=""),14&gt;MAX(1,Reprogramaciones!$U$15)),"",IF(Reprogramaciones!X$12&gt;=7,"",IF(OR(CG288-N(CF288)&gt;0.05,N(AD288)&gt;0),ROUNDDOWN(ROUND(CG288,6),0)&amp;"%"&amp;IF(CW288="",""," / "&amp;CW288&amp;"%"),IF(AND(N(CF288)&gt;=99.95,CW288&lt;&gt;"",N(CW288)&lt;100),"Pend. "&amp;CW288&amp;"%",""))))</f>
        <v/>
      </c>
      <c r="BA288" s="40" t="str">
        <f aca="false">IF(OR(OR(NOT(AND(ISNUMBER(E288),ISNUMBER(F288))),$J$2=""),15&gt;MAX(1,Reprogramaciones!$U$15)),"",IF(Reprogramaciones!Y$12&gt;=7,"",IF(OR(CH288-N(CG288)&gt;0.05,N(AE288)&gt;0),ROUNDDOWN(ROUND(CH288,6),0)&amp;"%"&amp;IF(CX288="",""," / "&amp;CX288&amp;"%"),IF(AND(N(CG288)&gt;=99.95,CX288&lt;&gt;"",N(CX288)&lt;100),"Pend. "&amp;CX288&amp;"%",""))))</f>
        <v/>
      </c>
      <c r="BB288" s="40" t="str">
        <f aca="false">IF(OR(OR(NOT(AND(ISNUMBER(E288),ISNUMBER(F288))),$J$2=""),16&gt;MAX(1,Reprogramaciones!$U$15)),"",IF(Reprogramaciones!Z$12&gt;=7,"",IF(OR(CI288-N(CH288)&gt;0.05,N(AF288)&gt;0),ROUNDDOWN(ROUND(CI288,6),0)&amp;"%"&amp;IF(CY288="",""," / "&amp;CY288&amp;"%"),IF(AND(N(CH288)&gt;=99.95,CY288&lt;&gt;"",N(CY288)&lt;100),"Pend. "&amp;CY288&amp;"%",""))))</f>
        <v/>
      </c>
      <c r="BC288" s="31" t="n">
        <f aca="false">IF(AND(ISNUMBER(E288),ISNUMBER(F288)),MAX(1,NETWORKDAYS.INTL(E288,F288,11)),0)</f>
        <v>0</v>
      </c>
      <c r="BD288" s="1" t="str">
        <f aca="false">IF(OR(NOT(AND(ISNUMBER(E288),ISNUMBER(F288))),$J$2=""),"",MIN(100,ROUND(SUM($G288:G288),1)))</f>
        <v/>
      </c>
      <c r="BE288" s="1" t="str">
        <f aca="false">IF(OR(NOT(AND(ISNUMBER(E288),ISNUMBER(F288))),$J$2=""),"",MIN(100,ROUND(SUM($G288:H288),1)))</f>
        <v/>
      </c>
      <c r="BF288" s="1" t="str">
        <f aca="false">IF(OR(NOT(AND(ISNUMBER(E288),ISNUMBER(F288))),$J$2=""),"",MIN(100,ROUND(SUM($G288:I288),1)))</f>
        <v/>
      </c>
      <c r="BG288" s="1" t="str">
        <f aca="false">IF(OR(NOT(AND(ISNUMBER(E288),ISNUMBER(F288))),$J$2=""),"",MIN(100,ROUND(SUM($G288:J288),1)))</f>
        <v/>
      </c>
      <c r="BH288" s="1" t="str">
        <f aca="false">IF(OR(NOT(AND(ISNUMBER(E288),ISNUMBER(F288))),$J$2=""),"",MIN(100,ROUND(SUM($G288:K288),1)))</f>
        <v/>
      </c>
      <c r="BI288" s="1" t="str">
        <f aca="false">IF(OR(NOT(AND(ISNUMBER(E288),ISNUMBER(F288))),$J$2=""),"",MIN(100,ROUND(SUM($G288:L288),1)))</f>
        <v/>
      </c>
      <c r="BJ288" s="1" t="str">
        <f aca="false">IF(OR(NOT(AND(ISNUMBER(E288),ISNUMBER(F288))),$J$2=""),"",MIN(100,ROUND(SUM($G288:M288),1)))</f>
        <v/>
      </c>
      <c r="BK288" s="1" t="str">
        <f aca="false">IF(OR(NOT(AND(ISNUMBER(E288),ISNUMBER(F288))),$J$2=""),"",MIN(100,ROUND(SUM($G288:N288),1)))</f>
        <v/>
      </c>
      <c r="BL288" s="1" t="str">
        <f aca="false">IF(OR(NOT(AND(ISNUMBER(E288),ISNUMBER(F288))),$J$2=""),"",MIN(100,ROUND(SUM($G288:O288),1)))</f>
        <v/>
      </c>
      <c r="BM288" s="1" t="str">
        <f aca="false">IF(OR(NOT(AND(ISNUMBER(E288),ISNUMBER(F288))),$J$2=""),"",MIN(100,ROUND(SUM($G288:P288),1)))</f>
        <v/>
      </c>
      <c r="BN288" s="1" t="str">
        <f aca="false">IF(OR(NOT(AND(ISNUMBER(E288),ISNUMBER(F288))),$J$2=""),"",MIN(100,ROUND(SUM($G288:P288),1)))</f>
        <v/>
      </c>
      <c r="BO288" s="1" t="str">
        <f aca="false">IF(OR(NOT(AND(ISNUMBER(E288),ISNUMBER(F288))),$J$2=""),"",MIN(100,ROUND(SUM($G288:P288),1)))</f>
        <v/>
      </c>
      <c r="BP288" s="1" t="str">
        <f aca="false">IF(OR(NOT(AND(ISNUMBER(E288),ISNUMBER(F288))),$J$2=""),"",MIN(100,ROUND(SUM($G288:P288),1)))</f>
        <v/>
      </c>
      <c r="BQ288" s="1" t="str">
        <f aca="false">IF(OR(NOT(AND(ISNUMBER(E288),ISNUMBER(F288))),$J$2=""),"",MIN(100,ROUND(SUM($G288:P288),1)))</f>
        <v/>
      </c>
      <c r="BR288" s="1" t="str">
        <f aca="false">IF(OR(NOT(AND(ISNUMBER(E288),ISNUMBER(F288))),$J$2=""),"",MIN(100,ROUND(SUM($G288:P288),1)))</f>
        <v/>
      </c>
      <c r="BS288" s="1" t="str">
        <f aca="false">IF(OR(NOT(AND(ISNUMBER(E288),ISNUMBER(F288))),$J$2=""),"",MIN(100,ROUND(SUM($G288:P288),1)))</f>
        <v/>
      </c>
      <c r="BT288" s="1" t="str">
        <f aca="false">IF(OR(NOT(AND(ISNUMBER(E288),ISNUMBER(F288))),$J$2=""),"",IF(Reprogramaciones!K$13&lt;Reprogramaciones!$T$15,0,IF(Reprogramaciones!K$14&gt;10,MIN(100,SUM($G288:$P288)),MIN(100,SUMPRODUCT((COLUMN($G288:$P288)-COLUMN($G288)+1&lt;Reprogramaciones!K$14)*$G288:$P288)+N(INDEX($G288:$P288,1,Reprogramaciones!K$14))*IF(Reprogramaciones!K$13&gt;=(Reprogramaciones!$T$15+7*(Reprogramaciones!K$14-1))+6,1,IF(MAX(0,NETWORKDAYS.INTL(MAX(E288,(Reprogramaciones!$T$15+7*(Reprogramaciones!K$14-1))),MIN(F288,(Reprogramaciones!$T$15+7*(Reprogramaciones!K$14-1))+6),11))=0,0,MAX(0,NETWORKDAYS.INTL(MAX(E288,(Reprogramaciones!$T$15+7*(Reprogramaciones!K$14-1))),MIN(F288,Reprogramaciones!K$13),11))/MAX(0,NETWORKDAYS.INTL(MAX(E288,(Reprogramaciones!$T$15+7*(Reprogramaciones!K$14-1))),MIN(F288,(Reprogramaciones!$T$15+7*(Reprogramaciones!K$14-1))+6),11))))))))</f>
        <v/>
      </c>
      <c r="BU288" s="1" t="str">
        <f aca="false">IF(OR(NOT(AND(ISNUMBER(E288),ISNUMBER(F288))),$J$2=""),"",IF(Reprogramaciones!L$13&lt;Reprogramaciones!$T$15,0,IF(Reprogramaciones!L$14&gt;10,MIN(100,SUM($G288:$P288)),MIN(100,SUMPRODUCT((COLUMN($G288:$P288)-COLUMN($G288)+1&lt;Reprogramaciones!L$14)*$G288:$P288)+N(INDEX($G288:$P288,1,Reprogramaciones!L$14))*IF(Reprogramaciones!L$13&gt;=(Reprogramaciones!$T$15+7*(Reprogramaciones!L$14-1))+6,1,IF(MAX(0,NETWORKDAYS.INTL(MAX(E288,(Reprogramaciones!$T$15+7*(Reprogramaciones!L$14-1))),MIN(F288,(Reprogramaciones!$T$15+7*(Reprogramaciones!L$14-1))+6),11))=0,0,MAX(0,NETWORKDAYS.INTL(MAX(E288,(Reprogramaciones!$T$15+7*(Reprogramaciones!L$14-1))),MIN(F288,Reprogramaciones!L$13),11))/MAX(0,NETWORKDAYS.INTL(MAX(E288,(Reprogramaciones!$T$15+7*(Reprogramaciones!L$14-1))),MIN(F288,(Reprogramaciones!$T$15+7*(Reprogramaciones!L$14-1))+6),11))))))))</f>
        <v/>
      </c>
      <c r="BV288" s="1" t="str">
        <f aca="false">IF(OR(NOT(AND(ISNUMBER(E288),ISNUMBER(F288))),$J$2=""),"",IF(Reprogramaciones!M$13&lt;Reprogramaciones!$T$15,0,IF(Reprogramaciones!M$14&gt;10,MIN(100,SUM($G288:$P288)),MIN(100,SUMPRODUCT((COLUMN($G288:$P288)-COLUMN($G288)+1&lt;Reprogramaciones!M$14)*$G288:$P288)+N(INDEX($G288:$P288,1,Reprogramaciones!M$14))*IF(Reprogramaciones!M$13&gt;=(Reprogramaciones!$T$15+7*(Reprogramaciones!M$14-1))+6,1,IF(MAX(0,NETWORKDAYS.INTL(MAX(E288,(Reprogramaciones!$T$15+7*(Reprogramaciones!M$14-1))),MIN(F288,(Reprogramaciones!$T$15+7*(Reprogramaciones!M$14-1))+6),11))=0,0,MAX(0,NETWORKDAYS.INTL(MAX(E288,(Reprogramaciones!$T$15+7*(Reprogramaciones!M$14-1))),MIN(F288,Reprogramaciones!M$13),11))/MAX(0,NETWORKDAYS.INTL(MAX(E288,(Reprogramaciones!$T$15+7*(Reprogramaciones!M$14-1))),MIN(F288,(Reprogramaciones!$T$15+7*(Reprogramaciones!M$14-1))+6),11))))))))</f>
        <v/>
      </c>
      <c r="BW288" s="1" t="str">
        <f aca="false">IF(OR(NOT(AND(ISNUMBER(E288),ISNUMBER(F288))),$J$2=""),"",IF(Reprogramaciones!N$13&lt;Reprogramaciones!$T$15,0,IF(Reprogramaciones!N$14&gt;10,MIN(100,SUM($G288:$P288)),MIN(100,SUMPRODUCT((COLUMN($G288:$P288)-COLUMN($G288)+1&lt;Reprogramaciones!N$14)*$G288:$P288)+N(INDEX($G288:$P288,1,Reprogramaciones!N$14))*IF(Reprogramaciones!N$13&gt;=(Reprogramaciones!$T$15+7*(Reprogramaciones!N$14-1))+6,1,IF(MAX(0,NETWORKDAYS.INTL(MAX(E288,(Reprogramaciones!$T$15+7*(Reprogramaciones!N$14-1))),MIN(F288,(Reprogramaciones!$T$15+7*(Reprogramaciones!N$14-1))+6),11))=0,0,MAX(0,NETWORKDAYS.INTL(MAX(E288,(Reprogramaciones!$T$15+7*(Reprogramaciones!N$14-1))),MIN(F288,Reprogramaciones!N$13),11))/MAX(0,NETWORKDAYS.INTL(MAX(E288,(Reprogramaciones!$T$15+7*(Reprogramaciones!N$14-1))),MIN(F288,(Reprogramaciones!$T$15+7*(Reprogramaciones!N$14-1))+6),11))))))))</f>
        <v/>
      </c>
      <c r="BX288" s="1" t="str">
        <f aca="false">IF(OR(NOT(AND(ISNUMBER(E288),ISNUMBER(F288))),$J$2=""),"",IF(Reprogramaciones!O$13&lt;Reprogramaciones!$T$15,0,IF(Reprogramaciones!O$14&gt;10,MIN(100,SUM($G288:$P288)),MIN(100,SUMPRODUCT((COLUMN($G288:$P288)-COLUMN($G288)+1&lt;Reprogramaciones!O$14)*$G288:$P288)+N(INDEX($G288:$P288,1,Reprogramaciones!O$14))*IF(Reprogramaciones!O$13&gt;=(Reprogramaciones!$T$15+7*(Reprogramaciones!O$14-1))+6,1,IF(MAX(0,NETWORKDAYS.INTL(MAX(E288,(Reprogramaciones!$T$15+7*(Reprogramaciones!O$14-1))),MIN(F288,(Reprogramaciones!$T$15+7*(Reprogramaciones!O$14-1))+6),11))=0,0,MAX(0,NETWORKDAYS.INTL(MAX(E288,(Reprogramaciones!$T$15+7*(Reprogramaciones!O$14-1))),MIN(F288,Reprogramaciones!O$13),11))/MAX(0,NETWORKDAYS.INTL(MAX(E288,(Reprogramaciones!$T$15+7*(Reprogramaciones!O$14-1))),MIN(F288,(Reprogramaciones!$T$15+7*(Reprogramaciones!O$14-1))+6),11))))))))</f>
        <v/>
      </c>
      <c r="BY288" s="1" t="str">
        <f aca="false">IF(OR(NOT(AND(ISNUMBER(E288),ISNUMBER(F288))),$J$2=""),"",IF(Reprogramaciones!P$13&lt;Reprogramaciones!$T$15,0,IF(Reprogramaciones!P$14&gt;10,MIN(100,SUM($G288:$P288)),MIN(100,SUMPRODUCT((COLUMN($G288:$P288)-COLUMN($G288)+1&lt;Reprogramaciones!P$14)*$G288:$P288)+N(INDEX($G288:$P288,1,Reprogramaciones!P$14))*IF(Reprogramaciones!P$13&gt;=(Reprogramaciones!$T$15+7*(Reprogramaciones!P$14-1))+6,1,IF(MAX(0,NETWORKDAYS.INTL(MAX(E288,(Reprogramaciones!$T$15+7*(Reprogramaciones!P$14-1))),MIN(F288,(Reprogramaciones!$T$15+7*(Reprogramaciones!P$14-1))+6),11))=0,0,MAX(0,NETWORKDAYS.INTL(MAX(E288,(Reprogramaciones!$T$15+7*(Reprogramaciones!P$14-1))),MIN(F288,Reprogramaciones!P$13),11))/MAX(0,NETWORKDAYS.INTL(MAX(E288,(Reprogramaciones!$T$15+7*(Reprogramaciones!P$14-1))),MIN(F288,(Reprogramaciones!$T$15+7*(Reprogramaciones!P$14-1))+6),11))))))))</f>
        <v/>
      </c>
      <c r="BZ288" s="1" t="str">
        <f aca="false">IF(OR(NOT(AND(ISNUMBER(E288),ISNUMBER(F288))),$J$2=""),"",IF(Reprogramaciones!Q$13&lt;Reprogramaciones!$T$15,0,IF(Reprogramaciones!Q$14&gt;10,MIN(100,SUM($G288:$P288)),MIN(100,SUMPRODUCT((COLUMN($G288:$P288)-COLUMN($G288)+1&lt;Reprogramaciones!Q$14)*$G288:$P288)+N(INDEX($G288:$P288,1,Reprogramaciones!Q$14))*IF(Reprogramaciones!Q$13&gt;=(Reprogramaciones!$T$15+7*(Reprogramaciones!Q$14-1))+6,1,IF(MAX(0,NETWORKDAYS.INTL(MAX(E288,(Reprogramaciones!$T$15+7*(Reprogramaciones!Q$14-1))),MIN(F288,(Reprogramaciones!$T$15+7*(Reprogramaciones!Q$14-1))+6),11))=0,0,MAX(0,NETWORKDAYS.INTL(MAX(E288,(Reprogramaciones!$T$15+7*(Reprogramaciones!Q$14-1))),MIN(F288,Reprogramaciones!Q$13),11))/MAX(0,NETWORKDAYS.INTL(MAX(E288,(Reprogramaciones!$T$15+7*(Reprogramaciones!Q$14-1))),MIN(F288,(Reprogramaciones!$T$15+7*(Reprogramaciones!Q$14-1))+6),11))))))))</f>
        <v/>
      </c>
      <c r="CA288" s="1" t="str">
        <f aca="false">IF(OR(NOT(AND(ISNUMBER(E288),ISNUMBER(F288))),$J$2=""),"",IF(Reprogramaciones!R$13&lt;Reprogramaciones!$T$15,0,IF(Reprogramaciones!R$14&gt;10,MIN(100,SUM($G288:$P288)),MIN(100,SUMPRODUCT((COLUMN($G288:$P288)-COLUMN($G288)+1&lt;Reprogramaciones!R$14)*$G288:$P288)+N(INDEX($G288:$P288,1,Reprogramaciones!R$14))*IF(Reprogramaciones!R$13&gt;=(Reprogramaciones!$T$15+7*(Reprogramaciones!R$14-1))+6,1,IF(MAX(0,NETWORKDAYS.INTL(MAX(E288,(Reprogramaciones!$T$15+7*(Reprogramaciones!R$14-1))),MIN(F288,(Reprogramaciones!$T$15+7*(Reprogramaciones!R$14-1))+6),11))=0,0,MAX(0,NETWORKDAYS.INTL(MAX(E288,(Reprogramaciones!$T$15+7*(Reprogramaciones!R$14-1))),MIN(F288,Reprogramaciones!R$13),11))/MAX(0,NETWORKDAYS.INTL(MAX(E288,(Reprogramaciones!$T$15+7*(Reprogramaciones!R$14-1))),MIN(F288,(Reprogramaciones!$T$15+7*(Reprogramaciones!R$14-1))+6),11))))))))</f>
        <v/>
      </c>
      <c r="CB288" s="1" t="str">
        <f aca="false">IF(OR(NOT(AND(ISNUMBER(E288),ISNUMBER(F288))),$J$2=""),"",IF(Reprogramaciones!S$13&lt;Reprogramaciones!$T$15,0,IF(Reprogramaciones!S$14&gt;10,MIN(100,SUM($G288:$P288)),MIN(100,SUMPRODUCT((COLUMN($G288:$P288)-COLUMN($G288)+1&lt;Reprogramaciones!S$14)*$G288:$P288)+N(INDEX($G288:$P288,1,Reprogramaciones!S$14))*IF(Reprogramaciones!S$13&gt;=(Reprogramaciones!$T$15+7*(Reprogramaciones!S$14-1))+6,1,IF(MAX(0,NETWORKDAYS.INTL(MAX(E288,(Reprogramaciones!$T$15+7*(Reprogramaciones!S$14-1))),MIN(F288,(Reprogramaciones!$T$15+7*(Reprogramaciones!S$14-1))+6),11))=0,0,MAX(0,NETWORKDAYS.INTL(MAX(E288,(Reprogramaciones!$T$15+7*(Reprogramaciones!S$14-1))),MIN(F288,Reprogramaciones!S$13),11))/MAX(0,NETWORKDAYS.INTL(MAX(E288,(Reprogramaciones!$T$15+7*(Reprogramaciones!S$14-1))),MIN(F288,(Reprogramaciones!$T$15+7*(Reprogramaciones!S$14-1))+6),11))))))))</f>
        <v/>
      </c>
      <c r="CC288" s="1" t="str">
        <f aca="false">IF(OR(NOT(AND(ISNUMBER(E288),ISNUMBER(F288))),$J$2=""),"",IF(Reprogramaciones!T$13&lt;Reprogramaciones!$T$15,0,IF(Reprogramaciones!T$14&gt;10,MIN(100,SUM($G288:$P288)),MIN(100,SUMPRODUCT((COLUMN($G288:$P288)-COLUMN($G288)+1&lt;Reprogramaciones!T$14)*$G288:$P288)+N(INDEX($G288:$P288,1,Reprogramaciones!T$14))*IF(Reprogramaciones!T$13&gt;=(Reprogramaciones!$T$15+7*(Reprogramaciones!T$14-1))+6,1,IF(MAX(0,NETWORKDAYS.INTL(MAX(E288,(Reprogramaciones!$T$15+7*(Reprogramaciones!T$14-1))),MIN(F288,(Reprogramaciones!$T$15+7*(Reprogramaciones!T$14-1))+6),11))=0,0,MAX(0,NETWORKDAYS.INTL(MAX(E288,(Reprogramaciones!$T$15+7*(Reprogramaciones!T$14-1))),MIN(F288,Reprogramaciones!T$13),11))/MAX(0,NETWORKDAYS.INTL(MAX(E288,(Reprogramaciones!$T$15+7*(Reprogramaciones!T$14-1))),MIN(F288,(Reprogramaciones!$T$15+7*(Reprogramaciones!T$14-1))+6),11))))))))</f>
        <v/>
      </c>
      <c r="CD288" s="1" t="str">
        <f aca="false">IF(OR(NOT(AND(ISNUMBER(E288),ISNUMBER(F288))),$J$2=""),"",IF(Reprogramaciones!U$13&lt;Reprogramaciones!$T$15,0,IF(Reprogramaciones!U$14&gt;10,MIN(100,SUM($G288:$P288)),MIN(100,SUMPRODUCT((COLUMN($G288:$P288)-COLUMN($G288)+1&lt;Reprogramaciones!U$14)*$G288:$P288)+N(INDEX($G288:$P288,1,Reprogramaciones!U$14))*IF(Reprogramaciones!U$13&gt;=(Reprogramaciones!$T$15+7*(Reprogramaciones!U$14-1))+6,1,IF(MAX(0,NETWORKDAYS.INTL(MAX(E288,(Reprogramaciones!$T$15+7*(Reprogramaciones!U$14-1))),MIN(F288,(Reprogramaciones!$T$15+7*(Reprogramaciones!U$14-1))+6),11))=0,0,MAX(0,NETWORKDAYS.INTL(MAX(E288,(Reprogramaciones!$T$15+7*(Reprogramaciones!U$14-1))),MIN(F288,Reprogramaciones!U$13),11))/MAX(0,NETWORKDAYS.INTL(MAX(E288,(Reprogramaciones!$T$15+7*(Reprogramaciones!U$14-1))),MIN(F288,(Reprogramaciones!$T$15+7*(Reprogramaciones!U$14-1))+6),11))))))))</f>
        <v/>
      </c>
      <c r="CE288" s="1" t="str">
        <f aca="false">IF(OR(NOT(AND(ISNUMBER(E288),ISNUMBER(F288))),$J$2=""),"",IF(Reprogramaciones!V$13&lt;Reprogramaciones!$T$15,0,IF(Reprogramaciones!V$14&gt;10,MIN(100,SUM($G288:$P288)),MIN(100,SUMPRODUCT((COLUMN($G288:$P288)-COLUMN($G288)+1&lt;Reprogramaciones!V$14)*$G288:$P288)+N(INDEX($G288:$P288,1,Reprogramaciones!V$14))*IF(Reprogramaciones!V$13&gt;=(Reprogramaciones!$T$15+7*(Reprogramaciones!V$14-1))+6,1,IF(MAX(0,NETWORKDAYS.INTL(MAX(E288,(Reprogramaciones!$T$15+7*(Reprogramaciones!V$14-1))),MIN(F288,(Reprogramaciones!$T$15+7*(Reprogramaciones!V$14-1))+6),11))=0,0,MAX(0,NETWORKDAYS.INTL(MAX(E288,(Reprogramaciones!$T$15+7*(Reprogramaciones!V$14-1))),MIN(F288,Reprogramaciones!V$13),11))/MAX(0,NETWORKDAYS.INTL(MAX(E288,(Reprogramaciones!$T$15+7*(Reprogramaciones!V$14-1))),MIN(F288,(Reprogramaciones!$T$15+7*(Reprogramaciones!V$14-1))+6),11))))))))</f>
        <v/>
      </c>
      <c r="CF288" s="1" t="str">
        <f aca="false">IF(OR(NOT(AND(ISNUMBER(E288),ISNUMBER(F288))),$J$2=""),"",IF(Reprogramaciones!W$13&lt;Reprogramaciones!$T$15,0,IF(Reprogramaciones!W$14&gt;10,MIN(100,SUM($G288:$P288)),MIN(100,SUMPRODUCT((COLUMN($G288:$P288)-COLUMN($G288)+1&lt;Reprogramaciones!W$14)*$G288:$P288)+N(INDEX($G288:$P288,1,Reprogramaciones!W$14))*IF(Reprogramaciones!W$13&gt;=(Reprogramaciones!$T$15+7*(Reprogramaciones!W$14-1))+6,1,IF(MAX(0,NETWORKDAYS.INTL(MAX(E288,(Reprogramaciones!$T$15+7*(Reprogramaciones!W$14-1))),MIN(F288,(Reprogramaciones!$T$15+7*(Reprogramaciones!W$14-1))+6),11))=0,0,MAX(0,NETWORKDAYS.INTL(MAX(E288,(Reprogramaciones!$T$15+7*(Reprogramaciones!W$14-1))),MIN(F288,Reprogramaciones!W$13),11))/MAX(0,NETWORKDAYS.INTL(MAX(E288,(Reprogramaciones!$T$15+7*(Reprogramaciones!W$14-1))),MIN(F288,(Reprogramaciones!$T$15+7*(Reprogramaciones!W$14-1))+6),11))))))))</f>
        <v/>
      </c>
      <c r="CG288" s="1" t="str">
        <f aca="false">IF(OR(NOT(AND(ISNUMBER(E288),ISNUMBER(F288))),$J$2=""),"",IF(Reprogramaciones!X$13&lt;Reprogramaciones!$T$15,0,IF(Reprogramaciones!X$14&gt;10,MIN(100,SUM($G288:$P288)),MIN(100,SUMPRODUCT((COLUMN($G288:$P288)-COLUMN($G288)+1&lt;Reprogramaciones!X$14)*$G288:$P288)+N(INDEX($G288:$P288,1,Reprogramaciones!X$14))*IF(Reprogramaciones!X$13&gt;=(Reprogramaciones!$T$15+7*(Reprogramaciones!X$14-1))+6,1,IF(MAX(0,NETWORKDAYS.INTL(MAX(E288,(Reprogramaciones!$T$15+7*(Reprogramaciones!X$14-1))),MIN(F288,(Reprogramaciones!$T$15+7*(Reprogramaciones!X$14-1))+6),11))=0,0,MAX(0,NETWORKDAYS.INTL(MAX(E288,(Reprogramaciones!$T$15+7*(Reprogramaciones!X$14-1))),MIN(F288,Reprogramaciones!X$13),11))/MAX(0,NETWORKDAYS.INTL(MAX(E288,(Reprogramaciones!$T$15+7*(Reprogramaciones!X$14-1))),MIN(F288,(Reprogramaciones!$T$15+7*(Reprogramaciones!X$14-1))+6),11))))))))</f>
        <v/>
      </c>
      <c r="CH288" s="1" t="str">
        <f aca="false">IF(OR(NOT(AND(ISNUMBER(E288),ISNUMBER(F288))),$J$2=""),"",IF(Reprogramaciones!Y$13&lt;Reprogramaciones!$T$15,0,IF(Reprogramaciones!Y$14&gt;10,MIN(100,SUM($G288:$P288)),MIN(100,SUMPRODUCT((COLUMN($G288:$P288)-COLUMN($G288)+1&lt;Reprogramaciones!Y$14)*$G288:$P288)+N(INDEX($G288:$P288,1,Reprogramaciones!Y$14))*IF(Reprogramaciones!Y$13&gt;=(Reprogramaciones!$T$15+7*(Reprogramaciones!Y$14-1))+6,1,IF(MAX(0,NETWORKDAYS.INTL(MAX(E288,(Reprogramaciones!$T$15+7*(Reprogramaciones!Y$14-1))),MIN(F288,(Reprogramaciones!$T$15+7*(Reprogramaciones!Y$14-1))+6),11))=0,0,MAX(0,NETWORKDAYS.INTL(MAX(E288,(Reprogramaciones!$T$15+7*(Reprogramaciones!Y$14-1))),MIN(F288,Reprogramaciones!Y$13),11))/MAX(0,NETWORKDAYS.INTL(MAX(E288,(Reprogramaciones!$T$15+7*(Reprogramaciones!Y$14-1))),MIN(F288,(Reprogramaciones!$T$15+7*(Reprogramaciones!Y$14-1))+6),11))))))))</f>
        <v/>
      </c>
      <c r="CI288" s="1" t="str">
        <f aca="false">IF(OR(NOT(AND(ISNUMBER(E288),ISNUMBER(F288))),$J$2=""),"",IF(Reprogramaciones!Z$13&lt;Reprogramaciones!$T$15,0,IF(Reprogramaciones!Z$14&gt;10,MIN(100,SUM($G288:$P288)),MIN(100,SUMPRODUCT((COLUMN($G288:$P288)-COLUMN($G288)+1&lt;Reprogramaciones!Z$14)*$G288:$P288)+N(INDEX($G288:$P288,1,Reprogramaciones!Z$14))*IF(Reprogramaciones!Z$13&gt;=(Reprogramaciones!$T$15+7*(Reprogramaciones!Z$14-1))+6,1,IF(MAX(0,NETWORKDAYS.INTL(MAX(E288,(Reprogramaciones!$T$15+7*(Reprogramaciones!Z$14-1))),MIN(F288,(Reprogramaciones!$T$15+7*(Reprogramaciones!Z$14-1))+6),11))=0,0,MAX(0,NETWORKDAYS.INTL(MAX(E288,(Reprogramaciones!$T$15+7*(Reprogramaciones!Z$14-1))),MIN(F288,Reprogramaciones!Z$13),11))/MAX(0,NETWORKDAYS.INTL(MAX(E288,(Reprogramaciones!$T$15+7*(Reprogramaciones!Z$14-1))),MIN(F288,(Reprogramaciones!$T$15+7*(Reprogramaciones!Z$14-1))+6),11))))))))</f>
        <v/>
      </c>
      <c r="CJ288" s="1" t="str">
        <f aca="false">IF(OR(OR(NOT(AND(ISNUMBER(E288),ISNUMBER(F288))),$J$2=""),1&gt;Reprogramaciones!$K$16),"",IF(ROUND(SUM($Q288:Q288),1)&gt;=99.5,100,MIN(100,ROUND(SUM($Q288:Q288),1))))</f>
        <v/>
      </c>
      <c r="CK288" s="1" t="str">
        <f aca="false">IF(OR(OR(NOT(AND(ISNUMBER(E288),ISNUMBER(F288))),$J$2=""),2&gt;Reprogramaciones!$K$16),"",IF(ROUND(SUM($Q288:R288),1)&gt;=99.5,100,MIN(100,ROUND(SUM($Q288:R288),1))))</f>
        <v/>
      </c>
      <c r="CL288" s="1" t="str">
        <f aca="false">IF(OR(OR(NOT(AND(ISNUMBER(E288),ISNUMBER(F288))),$J$2=""),3&gt;Reprogramaciones!$K$16),"",IF(ROUND(SUM($Q288:S288),1)&gt;=99.5,100,MIN(100,ROUND(SUM($Q288:S288),1))))</f>
        <v/>
      </c>
      <c r="CM288" s="1" t="str">
        <f aca="false">IF(OR(OR(NOT(AND(ISNUMBER(E288),ISNUMBER(F288))),$J$2=""),4&gt;Reprogramaciones!$K$16),"",IF(ROUND(SUM($Q288:T288),1)&gt;=99.5,100,MIN(100,ROUND(SUM($Q288:T288),1))))</f>
        <v/>
      </c>
      <c r="CN288" s="1" t="str">
        <f aca="false">IF(OR(OR(NOT(AND(ISNUMBER(E288),ISNUMBER(F288))),$J$2=""),5&gt;Reprogramaciones!$K$16),"",IF(ROUND(SUM($Q288:U288),1)&gt;=99.5,100,MIN(100,ROUND(SUM($Q288:U288),1))))</f>
        <v/>
      </c>
      <c r="CO288" s="1" t="str">
        <f aca="false">IF(OR(OR(NOT(AND(ISNUMBER(E288),ISNUMBER(F288))),$J$2=""),6&gt;Reprogramaciones!$K$16),"",IF(ROUND(SUM($Q288:V288),1)&gt;=99.5,100,MIN(100,ROUND(SUM($Q288:V288),1))))</f>
        <v/>
      </c>
      <c r="CP288" s="1" t="str">
        <f aca="false">IF(OR(OR(NOT(AND(ISNUMBER(E288),ISNUMBER(F288))),$J$2=""),7&gt;Reprogramaciones!$K$16),"",IF(ROUND(SUM($Q288:W288),1)&gt;=99.5,100,MIN(100,ROUND(SUM($Q288:W288),1))))</f>
        <v/>
      </c>
      <c r="CQ288" s="1" t="str">
        <f aca="false">IF(OR(OR(NOT(AND(ISNUMBER(E288),ISNUMBER(F288))),$J$2=""),8&gt;Reprogramaciones!$K$16),"",IF(ROUND(SUM($Q288:X288),1)&gt;=99.5,100,MIN(100,ROUND(SUM($Q288:X288),1))))</f>
        <v/>
      </c>
      <c r="CR288" s="1" t="str">
        <f aca="false">IF(OR(OR(NOT(AND(ISNUMBER(E288),ISNUMBER(F288))),$J$2=""),9&gt;Reprogramaciones!$K$16),"",IF(ROUND(SUM($Q288:Y288),1)&gt;=99.5,100,MIN(100,ROUND(SUM($Q288:Y288),1))))</f>
        <v/>
      </c>
      <c r="CS288" s="1" t="str">
        <f aca="false">IF(OR(OR(NOT(AND(ISNUMBER(E288),ISNUMBER(F288))),$J$2=""),10&gt;Reprogramaciones!$K$16),"",IF(ROUND(SUM($Q288:Z288),1)&gt;=99.5,100,MIN(100,ROUND(SUM($Q288:Z288),1))))</f>
        <v/>
      </c>
      <c r="CT288" s="1" t="str">
        <f aca="false">IF(OR(OR(NOT(AND(ISNUMBER(E288),ISNUMBER(F288))),$J$2=""),11&gt;Reprogramaciones!$K$16),"",IF(ROUND(SUM($Q288:AA288),1)&gt;=99.5,100,MIN(100,ROUND(SUM($Q288:AA288),1))))</f>
        <v/>
      </c>
      <c r="CU288" s="1" t="str">
        <f aca="false">IF(OR(OR(NOT(AND(ISNUMBER(E288),ISNUMBER(F288))),$J$2=""),12&gt;Reprogramaciones!$K$16),"",IF(ROUND(SUM($Q288:AB288),1)&gt;=99.5,100,MIN(100,ROUND(SUM($Q288:AB288),1))))</f>
        <v/>
      </c>
      <c r="CV288" s="1" t="str">
        <f aca="false">IF(OR(OR(NOT(AND(ISNUMBER(E288),ISNUMBER(F288))),$J$2=""),13&gt;Reprogramaciones!$K$16),"",IF(ROUND(SUM($Q288:AC288),1)&gt;=99.5,100,MIN(100,ROUND(SUM($Q288:AC288),1))))</f>
        <v/>
      </c>
      <c r="CW288" s="1" t="str">
        <f aca="false">IF(OR(OR(NOT(AND(ISNUMBER(E288),ISNUMBER(F288))),$J$2=""),14&gt;Reprogramaciones!$K$16),"",IF(ROUND(SUM($Q288:AD288),1)&gt;=99.5,100,MIN(100,ROUND(SUM($Q288:AD288),1))))</f>
        <v/>
      </c>
      <c r="CX288" s="1" t="str">
        <f aca="false">IF(OR(OR(NOT(AND(ISNUMBER(E288),ISNUMBER(F288))),$J$2=""),15&gt;Reprogramaciones!$K$16),"",IF(ROUND(SUM($Q288:AE288),1)&gt;=99.5,100,MIN(100,ROUND(SUM($Q288:AE288),1))))</f>
        <v/>
      </c>
      <c r="CY288" s="1" t="str">
        <f aca="false">IF(OR(OR(NOT(AND(ISNUMBER(E288),ISNUMBER(F288))),$J$2=""),16&gt;Reprogramaciones!$K$16),"",IF(ROUND(SUM($Q288:AF288),1)&gt;=99.5,100,MIN(100,ROUND(SUM($Q288:AF288),1))))</f>
        <v/>
      </c>
      <c r="CZ288" s="1" t="str">
        <f aca="false">IF(D288&lt;&gt;"",D288,IF(B288&lt;&gt;"","Contractual",CZ287))</f>
        <v>Contractual</v>
      </c>
      <c r="DA288" s="1" t="str">
        <f aca="false">IF(OR(NOT(AND(ISNUMBER(E288),ISNUMBER(F288))),$J$2=""),"",IF(Reprogramaciones!$Q$15&lt;Reprogramaciones!$T$15,0,IF(Reprogramaciones!$S$15&gt;10,MIN(100,SUM($G288:$P288)),MIN(100,SUMPRODUCT((COLUMN($G288:$P288)-COLUMN($G288)+1&lt;Reprogramaciones!$S$15)*$G288:$P288)+N(INDEX($G288:$P288,1,Reprogramaciones!$S$15))*IF(Reprogramaciones!$Q$15&gt;=(Reprogramaciones!$T$15+7*(Reprogramaciones!$S$15-1))+6,1,IF(MAX(0,NETWORKDAYS.INTL(MAX(E288,(Reprogramaciones!$T$15+7*(Reprogramaciones!$S$15-1))),MIN(F288,(Reprogramaciones!$T$15+7*(Reprogramaciones!$S$15-1))+6),11))=0,0,MAX(0,NETWORKDAYS.INTL(MAX(E288,(Reprogramaciones!$T$15+7*(Reprogramaciones!$S$15-1))),MIN(F288,Reprogramaciones!$Q$15),11))/MAX(0,NETWORKDAYS.INTL(MAX(E288,(Reprogramaciones!$T$15+7*(Reprogramaciones!$S$15-1))),MIN(F288,(Reprogramaciones!$T$15+7*(Reprogramaciones!$S$15-1))+6),11))))))))</f>
        <v/>
      </c>
    </row>
    <row r="289" customFormat="false" ht="15" hidden="false" customHeight="false" outlineLevel="0" collapsed="false">
      <c r="A289" s="32"/>
      <c r="B289" s="33"/>
      <c r="C289" s="33"/>
      <c r="D289" s="34"/>
      <c r="E289" s="35"/>
      <c r="F289" s="35"/>
      <c r="G289" s="36" t="str">
        <f aca="false">IF(OR(NOT(AND(ISNUMBER(E289),ISNUMBER(F289))),$J$2=""),"",IF(Reprogramaciones!K$9&lt;E289,0,IF(NETWORKDAYS.INTL(E289,F289,11)=0,IF(Reprogramaciones!K$9&gt;=F289,100,0),ROUND(NETWORKDAYS.INTL(E289,MIN(F289,Reprogramaciones!K$9),11)/NETWORKDAYS.INTL(E289,F289,11)*100,1)))-0)</f>
        <v/>
      </c>
      <c r="H289" s="36" t="str">
        <f aca="false">IF(OR(NOT(AND(ISNUMBER(E289),ISNUMBER(F289))),$J$2=""),"",IF(Reprogramaciones!L$9&lt;E289,0,IF(NETWORKDAYS.INTL(E289,F289,11)=0,IF(Reprogramaciones!L$9&gt;=F289,100,0),ROUND(NETWORKDAYS.INTL(E289,MIN(F289,Reprogramaciones!L$9),11)/NETWORKDAYS.INTL(E289,F289,11)*100,1)))-IF(Reprogramaciones!K$9&lt;E289,0,IF(NETWORKDAYS.INTL(E289,F289,11)=0,IF(Reprogramaciones!K$9&gt;=F289,100,0),ROUND(NETWORKDAYS.INTL(E289,MIN(F289,Reprogramaciones!K$9),11)/NETWORKDAYS.INTL(E289,F289,11)*100,1))))</f>
        <v/>
      </c>
      <c r="I289" s="36" t="str">
        <f aca="false">IF(OR(NOT(AND(ISNUMBER(E289),ISNUMBER(F289))),$J$2=""),"",IF(Reprogramaciones!M$9&lt;E289,0,IF(NETWORKDAYS.INTL(E289,F289,11)=0,IF(Reprogramaciones!M$9&gt;=F289,100,0),ROUND(NETWORKDAYS.INTL(E289,MIN(F289,Reprogramaciones!M$9),11)/NETWORKDAYS.INTL(E289,F289,11)*100,1)))-IF(Reprogramaciones!L$9&lt;E289,0,IF(NETWORKDAYS.INTL(E289,F289,11)=0,IF(Reprogramaciones!L$9&gt;=F289,100,0),ROUND(NETWORKDAYS.INTL(E289,MIN(F289,Reprogramaciones!L$9),11)/NETWORKDAYS.INTL(E289,F289,11)*100,1))))</f>
        <v/>
      </c>
      <c r="J289" s="36" t="str">
        <f aca="false">IF(OR(NOT(AND(ISNUMBER(E289),ISNUMBER(F289))),$J$2=""),"",IF(Reprogramaciones!N$9&lt;E289,0,IF(NETWORKDAYS.INTL(E289,F289,11)=0,IF(Reprogramaciones!N$9&gt;=F289,100,0),ROUND(NETWORKDAYS.INTL(E289,MIN(F289,Reprogramaciones!N$9),11)/NETWORKDAYS.INTL(E289,F289,11)*100,1)))-IF(Reprogramaciones!M$9&lt;E289,0,IF(NETWORKDAYS.INTL(E289,F289,11)=0,IF(Reprogramaciones!M$9&gt;=F289,100,0),ROUND(NETWORKDAYS.INTL(E289,MIN(F289,Reprogramaciones!M$9),11)/NETWORKDAYS.INTL(E289,F289,11)*100,1))))</f>
        <v/>
      </c>
      <c r="K289" s="36" t="str">
        <f aca="false">IF(OR(NOT(AND(ISNUMBER(E289),ISNUMBER(F289))),$J$2=""),"",IF(Reprogramaciones!O$9&lt;E289,0,IF(NETWORKDAYS.INTL(E289,F289,11)=0,IF(Reprogramaciones!O$9&gt;=F289,100,0),ROUND(NETWORKDAYS.INTL(E289,MIN(F289,Reprogramaciones!O$9),11)/NETWORKDAYS.INTL(E289,F289,11)*100,1)))-IF(Reprogramaciones!N$9&lt;E289,0,IF(NETWORKDAYS.INTL(E289,F289,11)=0,IF(Reprogramaciones!N$9&gt;=F289,100,0),ROUND(NETWORKDAYS.INTL(E289,MIN(F289,Reprogramaciones!N$9),11)/NETWORKDAYS.INTL(E289,F289,11)*100,1))))</f>
        <v/>
      </c>
      <c r="L289" s="36" t="str">
        <f aca="false">IF(OR(NOT(AND(ISNUMBER(E289),ISNUMBER(F289))),$J$2=""),"",IF(Reprogramaciones!P$9&lt;E289,0,IF(NETWORKDAYS.INTL(E289,F289,11)=0,IF(Reprogramaciones!P$9&gt;=F289,100,0),ROUND(NETWORKDAYS.INTL(E289,MIN(F289,Reprogramaciones!P$9),11)/NETWORKDAYS.INTL(E289,F289,11)*100,1)))-IF(Reprogramaciones!O$9&lt;E289,0,IF(NETWORKDAYS.INTL(E289,F289,11)=0,IF(Reprogramaciones!O$9&gt;=F289,100,0),ROUND(NETWORKDAYS.INTL(E289,MIN(F289,Reprogramaciones!O$9),11)/NETWORKDAYS.INTL(E289,F289,11)*100,1))))</f>
        <v/>
      </c>
      <c r="M289" s="36" t="str">
        <f aca="false">IF(OR(NOT(AND(ISNUMBER(E289),ISNUMBER(F289))),$J$2=""),"",IF(Reprogramaciones!Q$9&lt;E289,0,IF(NETWORKDAYS.INTL(E289,F289,11)=0,IF(Reprogramaciones!Q$9&gt;=F289,100,0),ROUND(NETWORKDAYS.INTL(E289,MIN(F289,Reprogramaciones!Q$9),11)/NETWORKDAYS.INTL(E289,F289,11)*100,1)))-IF(Reprogramaciones!P$9&lt;E289,0,IF(NETWORKDAYS.INTL(E289,F289,11)=0,IF(Reprogramaciones!P$9&gt;=F289,100,0),ROUND(NETWORKDAYS.INTL(E289,MIN(F289,Reprogramaciones!P$9),11)/NETWORKDAYS.INTL(E289,F289,11)*100,1))))</f>
        <v/>
      </c>
      <c r="N289" s="36" t="str">
        <f aca="false">IF(OR(NOT(AND(ISNUMBER(E289),ISNUMBER(F289))),$J$2=""),"",IF(Reprogramaciones!R$9&lt;E289,0,IF(NETWORKDAYS.INTL(E289,F289,11)=0,IF(Reprogramaciones!R$9&gt;=F289,100,0),ROUND(NETWORKDAYS.INTL(E289,MIN(F289,Reprogramaciones!R$9),11)/NETWORKDAYS.INTL(E289,F289,11)*100,1)))-IF(Reprogramaciones!Q$9&lt;E289,0,IF(NETWORKDAYS.INTL(E289,F289,11)=0,IF(Reprogramaciones!Q$9&gt;=F289,100,0),ROUND(NETWORKDAYS.INTL(E289,MIN(F289,Reprogramaciones!Q$9),11)/NETWORKDAYS.INTL(E289,F289,11)*100,1))))</f>
        <v/>
      </c>
      <c r="O289" s="36" t="str">
        <f aca="false">IF(OR(NOT(AND(ISNUMBER(E289),ISNUMBER(F289))),$J$2=""),"",IF(Reprogramaciones!S$9&lt;E289,0,IF(NETWORKDAYS.INTL(E289,F289,11)=0,IF(Reprogramaciones!S$9&gt;=F289,100,0),ROUND(NETWORKDAYS.INTL(E289,MIN(F289,Reprogramaciones!S$9),11)/NETWORKDAYS.INTL(E289,F289,11)*100,1)))-IF(Reprogramaciones!R$9&lt;E289,0,IF(NETWORKDAYS.INTL(E289,F289,11)=0,IF(Reprogramaciones!R$9&gt;=F289,100,0),ROUND(NETWORKDAYS.INTL(E289,MIN(F289,Reprogramaciones!R$9),11)/NETWORKDAYS.INTL(E289,F289,11)*100,1))))</f>
        <v/>
      </c>
      <c r="P289" s="36" t="str">
        <f aca="false">IF(OR(NOT(AND(ISNUMBER(E289),ISNUMBER(F289))),$J$2=""),"",IF(Reprogramaciones!T$9&lt;E289,0,IF(NETWORKDAYS.INTL(E289,F289,11)=0,IF(Reprogramaciones!T$9&gt;=F289,100,0),ROUND(NETWORKDAYS.INTL(E289,MIN(F289,Reprogramaciones!T$9),11)/NETWORKDAYS.INTL(E289,F289,11)*100,1)))-IF(Reprogramaciones!S$9&lt;E289,0,IF(NETWORKDAYS.INTL(E289,F289,11)=0,IF(Reprogramaciones!S$9&gt;=F289,100,0),ROUND(NETWORKDAYS.INTL(E289,MIN(F289,Reprogramaciones!S$9),11)/NETWORKDAYS.INTL(E289,F289,11)*100,1))))</f>
        <v/>
      </c>
      <c r="Q289" s="37"/>
      <c r="R289" s="37"/>
      <c r="S289" s="37"/>
      <c r="T289" s="37"/>
      <c r="U289" s="37"/>
      <c r="V289" s="37"/>
      <c r="W289" s="37"/>
      <c r="X289" s="37"/>
      <c r="Y289" s="37"/>
      <c r="Z289" s="37"/>
      <c r="AA289" s="37"/>
      <c r="AB289" s="37"/>
      <c r="AC289" s="37"/>
      <c r="AD289" s="37"/>
      <c r="AE289" s="37"/>
      <c r="AF289" s="37"/>
      <c r="AG289" s="38" t="str">
        <f aca="false">IF(AND(ISNUMBER(E289),ISNUMBER(F289)),NETWORKDAYS.INTL(E289,F289,11),"")</f>
        <v/>
      </c>
      <c r="AH289" s="38" t="str">
        <f aca="false">IF(OR(NOT(AND(ISNUMBER(E289),ISNUMBER(F289))),$J$2=""),"",IF(Reprogramaciones!$P$15&lt;Reprogramaciones!$T$15,0,IF(Reprogramaciones!$R$15&gt;10,MIN(100,SUM($G289:$P289)),MIN(100,SUMPRODUCT((COLUMN($G289:$P289)-COLUMN($G289)+1&lt;Reprogramaciones!$R$15)*$G289:$P289)+N(INDEX($G289:$P289,1,Reprogramaciones!$R$15))*IF(Reprogramaciones!$P$15&gt;=(Reprogramaciones!$T$15+7*(Reprogramaciones!$R$15-1))+6,1,IF(MAX(0,NETWORKDAYS.INTL(MAX(E289,(Reprogramaciones!$T$15+7*(Reprogramaciones!$R$15-1))),MIN(F289,(Reprogramaciones!$T$15+7*(Reprogramaciones!$R$15-1))+6),11))=0,0,MAX(0,NETWORKDAYS.INTL(MAX(E289,(Reprogramaciones!$T$15+7*(Reprogramaciones!$R$15-1))),MIN(F289,Reprogramaciones!$P$15),11))/MAX(0,NETWORKDAYS.INTL(MAX(E289,(Reprogramaciones!$T$15+7*(Reprogramaciones!$R$15-1))),MIN(F289,(Reprogramaciones!$T$15+7*(Reprogramaciones!$R$15-1))+6),11))))))))</f>
        <v/>
      </c>
      <c r="AI289" s="38" t="str">
        <f aca="false">IF(COUNT($Q289:$AF289)=0,"",IF(ROUND(SUM($Q289:$AF289),1)&gt;=99.5,100,MIN(100,ROUND(SUM($Q289:$AF289),1))))</f>
        <v/>
      </c>
      <c r="AJ289" s="38" t="str">
        <f aca="false">IF(OR(AH289="",AI289=""),"",AI289-AH289)</f>
        <v/>
      </c>
      <c r="AK289" s="39" t="str">
        <f aca="true">IF(AH289="","",IF(OR(Ficha!$C$10="Suspendida",Ficha!$C$10="Cancelada"),Ficha!$C$10,IF(AND(AI289&lt;&gt;"",N(AI289)&gt;=100),"Completada",IF(AND(E289&gt;TODAY(),N(AI289)=0),"Por iniciar",IF(N(AI289)+0.5&lt;AH289,"Retrasada",IF(N(AI289)+0.5&lt;DA289,IF(Reprogramaciones!$K$15&gt;0,"Al día · Sem "&amp;Reprogramaciones!$K$15&amp;" en curso","Al día · en curso"),"A tiempo"))))))</f>
        <v/>
      </c>
      <c r="AL289" s="39" t="str">
        <f aca="true">IF(AND(A289="",AND(B289="",C289="",E289="",F289="",COUNT(Q289:AF289)=0)),"",IF(AND(B289="",C289="",E289="",F289="",COUNT(Q289:AF289)=0),"Falta la partida o subpartida",IF(AND(A289&lt;&gt;"",COUNTIF($A$6:$A$305,A289)&gt;1),"Ítem repetido",IF(AND(C289="",E289="",F289="",COUNT(Q289:AF289)=0),"Título de partida",IF(OR(E289="",F289=""),"Faltan fechas",IF(OR(ISTEXT(E289),ISTEXT(F289)),"Fecha escrita como texto: usa dd/mm/aaaa",IF(F289&lt;E289,"Fin antes del inicio",IF(IF($J$2="",FALSE(),OR(E289&lt;$J$2,F289&gt;Reprogramaciones!$T$15+69)),"Fuera de las 10 semanas",IF(ABS(SUM(G289:P289)-100)&gt;0.5,"La meta no suma 100%",IF(ROUND(SUM(Q289:AF289),1)&gt;100.5,"El avance pasa de 100%",IF(MIN(Q289:AF289)&lt;0,"Avance negativo",IF(COUNTA(Q289:AF289)&gt;COUNT(Q289:AF289),"Avance escrito como texto",IF(SUMPRODUCT((Q289:AF289&gt;0)*(Q289:AF289&lt;1))&gt;0,"Avance menor a 1: escribe 50, no 50%",IF(SUMPRODUCT(ISNUMBER(Q289:AF289)*(Reprogramaciones!$K$8:$Z$8&gt;TODAY()))&gt;0,"Avance en semana que aún no llega",IF(AND(N(Reprogramaciones!$E$21)&gt;0,F289&gt;Reprogramaciones!$E$21),"Pasa el fin de la obra: registra una reprogramación",IF(AND(N(Reprogramaciones!$E$21)&gt;0,SUMPRODUCT(ISNUMBER(Q289:AF289)*(Reprogramaciones!$K$8:$Z$8&gt;Reprogramaciones!$E$21))&gt;0),"Avance después del fin de la obra: registra una reprogramación por atraso","OK"))))))))))))))))</f>
        <v/>
      </c>
      <c r="AM289" s="40" t="str">
        <f aca="false">IF(OR(OR(NOT(AND(ISNUMBER(E289),ISNUMBER(F289))),$J$2=""),1&gt;MAX(1,Reprogramaciones!$U$15)),"",IF(Reprogramaciones!K$12&gt;=7,"",IF(OR(BT289-N(0)&gt;0.05,N(Q289)&gt;0),ROUNDDOWN(ROUND(BT289,6),0)&amp;"%"&amp;IF(CJ289="",""," / "&amp;CJ289&amp;"%"),IF(AND(N(0)&gt;=99.95,CJ289&lt;&gt;"",N(CJ289)&lt;100),"Pend. "&amp;CJ289&amp;"%",""))))</f>
        <v/>
      </c>
      <c r="AN289" s="40" t="str">
        <f aca="false">IF(OR(OR(NOT(AND(ISNUMBER(E289),ISNUMBER(F289))),$J$2=""),2&gt;MAX(1,Reprogramaciones!$U$15)),"",IF(Reprogramaciones!L$12&gt;=7,"",IF(OR(BU289-N(BT289)&gt;0.05,N(R289)&gt;0),ROUNDDOWN(ROUND(BU289,6),0)&amp;"%"&amp;IF(CK289="",""," / "&amp;CK289&amp;"%"),IF(AND(N(BT289)&gt;=99.95,CK289&lt;&gt;"",N(CK289)&lt;100),"Pend. "&amp;CK289&amp;"%",""))))</f>
        <v/>
      </c>
      <c r="AO289" s="40" t="str">
        <f aca="false">IF(OR(OR(NOT(AND(ISNUMBER(E289),ISNUMBER(F289))),$J$2=""),3&gt;MAX(1,Reprogramaciones!$U$15)),"",IF(Reprogramaciones!M$12&gt;=7,"",IF(OR(BV289-N(BU289)&gt;0.05,N(S289)&gt;0),ROUNDDOWN(ROUND(BV289,6),0)&amp;"%"&amp;IF(CL289="",""," / "&amp;CL289&amp;"%"),IF(AND(N(BU289)&gt;=99.95,CL289&lt;&gt;"",N(CL289)&lt;100),"Pend. "&amp;CL289&amp;"%",""))))</f>
        <v/>
      </c>
      <c r="AP289" s="40" t="str">
        <f aca="false">IF(OR(OR(NOT(AND(ISNUMBER(E289),ISNUMBER(F289))),$J$2=""),4&gt;MAX(1,Reprogramaciones!$U$15)),"",IF(Reprogramaciones!N$12&gt;=7,"",IF(OR(BW289-N(BV289)&gt;0.05,N(T289)&gt;0),ROUNDDOWN(ROUND(BW289,6),0)&amp;"%"&amp;IF(CM289="",""," / "&amp;CM289&amp;"%"),IF(AND(N(BV289)&gt;=99.95,CM289&lt;&gt;"",N(CM289)&lt;100),"Pend. "&amp;CM289&amp;"%",""))))</f>
        <v/>
      </c>
      <c r="AQ289" s="40" t="str">
        <f aca="false">IF(OR(OR(NOT(AND(ISNUMBER(E289),ISNUMBER(F289))),$J$2=""),5&gt;MAX(1,Reprogramaciones!$U$15)),"",IF(Reprogramaciones!O$12&gt;=7,"",IF(OR(BX289-N(BW289)&gt;0.05,N(U289)&gt;0),ROUNDDOWN(ROUND(BX289,6),0)&amp;"%"&amp;IF(CN289="",""," / "&amp;CN289&amp;"%"),IF(AND(N(BW289)&gt;=99.95,CN289&lt;&gt;"",N(CN289)&lt;100),"Pend. "&amp;CN289&amp;"%",""))))</f>
        <v/>
      </c>
      <c r="AR289" s="40" t="str">
        <f aca="false">IF(OR(OR(NOT(AND(ISNUMBER(E289),ISNUMBER(F289))),$J$2=""),6&gt;MAX(1,Reprogramaciones!$U$15)),"",IF(Reprogramaciones!P$12&gt;=7,"",IF(OR(BY289-N(BX289)&gt;0.05,N(V289)&gt;0),ROUNDDOWN(ROUND(BY289,6),0)&amp;"%"&amp;IF(CO289="",""," / "&amp;CO289&amp;"%"),IF(AND(N(BX289)&gt;=99.95,CO289&lt;&gt;"",N(CO289)&lt;100),"Pend. "&amp;CO289&amp;"%",""))))</f>
        <v/>
      </c>
      <c r="AS289" s="40" t="str">
        <f aca="false">IF(OR(OR(NOT(AND(ISNUMBER(E289),ISNUMBER(F289))),$J$2=""),7&gt;MAX(1,Reprogramaciones!$U$15)),"",IF(Reprogramaciones!Q$12&gt;=7,"",IF(OR(BZ289-N(BY289)&gt;0.05,N(W289)&gt;0),ROUNDDOWN(ROUND(BZ289,6),0)&amp;"%"&amp;IF(CP289="",""," / "&amp;CP289&amp;"%"),IF(AND(N(BY289)&gt;=99.95,CP289&lt;&gt;"",N(CP289)&lt;100),"Pend. "&amp;CP289&amp;"%",""))))</f>
        <v/>
      </c>
      <c r="AT289" s="40" t="str">
        <f aca="false">IF(OR(OR(NOT(AND(ISNUMBER(E289),ISNUMBER(F289))),$J$2=""),8&gt;MAX(1,Reprogramaciones!$U$15)),"",IF(Reprogramaciones!R$12&gt;=7,"",IF(OR(CA289-N(BZ289)&gt;0.05,N(X289)&gt;0),ROUNDDOWN(ROUND(CA289,6),0)&amp;"%"&amp;IF(CQ289="",""," / "&amp;CQ289&amp;"%"),IF(AND(N(BZ289)&gt;=99.95,CQ289&lt;&gt;"",N(CQ289)&lt;100),"Pend. "&amp;CQ289&amp;"%",""))))</f>
        <v/>
      </c>
      <c r="AU289" s="40" t="str">
        <f aca="false">IF(OR(OR(NOT(AND(ISNUMBER(E289),ISNUMBER(F289))),$J$2=""),9&gt;MAX(1,Reprogramaciones!$U$15)),"",IF(Reprogramaciones!S$12&gt;=7,"",IF(OR(CB289-N(CA289)&gt;0.05,N(Y289)&gt;0),ROUNDDOWN(ROUND(CB289,6),0)&amp;"%"&amp;IF(CR289="",""," / "&amp;CR289&amp;"%"),IF(AND(N(CA289)&gt;=99.95,CR289&lt;&gt;"",N(CR289)&lt;100),"Pend. "&amp;CR289&amp;"%",""))))</f>
        <v/>
      </c>
      <c r="AV289" s="40" t="str">
        <f aca="false">IF(OR(OR(NOT(AND(ISNUMBER(E289),ISNUMBER(F289))),$J$2=""),10&gt;MAX(1,Reprogramaciones!$U$15)),"",IF(Reprogramaciones!T$12&gt;=7,"",IF(OR(CC289-N(CB289)&gt;0.05,N(Z289)&gt;0),ROUNDDOWN(ROUND(CC289,6),0)&amp;"%"&amp;IF(CS289="",""," / "&amp;CS289&amp;"%"),IF(AND(N(CB289)&gt;=99.95,CS289&lt;&gt;"",N(CS289)&lt;100),"Pend. "&amp;CS289&amp;"%",""))))</f>
        <v/>
      </c>
      <c r="AW289" s="40" t="str">
        <f aca="false">IF(OR(OR(NOT(AND(ISNUMBER(E289),ISNUMBER(F289))),$J$2=""),11&gt;MAX(1,Reprogramaciones!$U$15)),"",IF(Reprogramaciones!U$12&gt;=7,"",IF(OR(CD289-N(CC289)&gt;0.05,N(AA289)&gt;0),ROUNDDOWN(ROUND(CD289,6),0)&amp;"%"&amp;IF(CT289="",""," / "&amp;CT289&amp;"%"),IF(AND(N(CC289)&gt;=99.95,CT289&lt;&gt;"",N(CT289)&lt;100),"Pend. "&amp;CT289&amp;"%",""))))</f>
        <v/>
      </c>
      <c r="AX289" s="40" t="str">
        <f aca="false">IF(OR(OR(NOT(AND(ISNUMBER(E289),ISNUMBER(F289))),$J$2=""),12&gt;MAX(1,Reprogramaciones!$U$15)),"",IF(Reprogramaciones!V$12&gt;=7,"",IF(OR(CE289-N(CD289)&gt;0.05,N(AB289)&gt;0),ROUNDDOWN(ROUND(CE289,6),0)&amp;"%"&amp;IF(CU289="",""," / "&amp;CU289&amp;"%"),IF(AND(N(CD289)&gt;=99.95,CU289&lt;&gt;"",N(CU289)&lt;100),"Pend. "&amp;CU289&amp;"%",""))))</f>
        <v/>
      </c>
      <c r="AY289" s="40" t="str">
        <f aca="false">IF(OR(OR(NOT(AND(ISNUMBER(E289),ISNUMBER(F289))),$J$2=""),13&gt;MAX(1,Reprogramaciones!$U$15)),"",IF(Reprogramaciones!W$12&gt;=7,"",IF(OR(CF289-N(CE289)&gt;0.05,N(AC289)&gt;0),ROUNDDOWN(ROUND(CF289,6),0)&amp;"%"&amp;IF(CV289="",""," / "&amp;CV289&amp;"%"),IF(AND(N(CE289)&gt;=99.95,CV289&lt;&gt;"",N(CV289)&lt;100),"Pend. "&amp;CV289&amp;"%",""))))</f>
        <v/>
      </c>
      <c r="AZ289" s="40" t="str">
        <f aca="false">IF(OR(OR(NOT(AND(ISNUMBER(E289),ISNUMBER(F289))),$J$2=""),14&gt;MAX(1,Reprogramaciones!$U$15)),"",IF(Reprogramaciones!X$12&gt;=7,"",IF(OR(CG289-N(CF289)&gt;0.05,N(AD289)&gt;0),ROUNDDOWN(ROUND(CG289,6),0)&amp;"%"&amp;IF(CW289="",""," / "&amp;CW289&amp;"%"),IF(AND(N(CF289)&gt;=99.95,CW289&lt;&gt;"",N(CW289)&lt;100),"Pend. "&amp;CW289&amp;"%",""))))</f>
        <v/>
      </c>
      <c r="BA289" s="40" t="str">
        <f aca="false">IF(OR(OR(NOT(AND(ISNUMBER(E289),ISNUMBER(F289))),$J$2=""),15&gt;MAX(1,Reprogramaciones!$U$15)),"",IF(Reprogramaciones!Y$12&gt;=7,"",IF(OR(CH289-N(CG289)&gt;0.05,N(AE289)&gt;0),ROUNDDOWN(ROUND(CH289,6),0)&amp;"%"&amp;IF(CX289="",""," / "&amp;CX289&amp;"%"),IF(AND(N(CG289)&gt;=99.95,CX289&lt;&gt;"",N(CX289)&lt;100),"Pend. "&amp;CX289&amp;"%",""))))</f>
        <v/>
      </c>
      <c r="BB289" s="40" t="str">
        <f aca="false">IF(OR(OR(NOT(AND(ISNUMBER(E289),ISNUMBER(F289))),$J$2=""),16&gt;MAX(1,Reprogramaciones!$U$15)),"",IF(Reprogramaciones!Z$12&gt;=7,"",IF(OR(CI289-N(CH289)&gt;0.05,N(AF289)&gt;0),ROUNDDOWN(ROUND(CI289,6),0)&amp;"%"&amp;IF(CY289="",""," / "&amp;CY289&amp;"%"),IF(AND(N(CH289)&gt;=99.95,CY289&lt;&gt;"",N(CY289)&lt;100),"Pend. "&amp;CY289&amp;"%",""))))</f>
        <v/>
      </c>
      <c r="BC289" s="31" t="n">
        <f aca="false">IF(AND(ISNUMBER(E289),ISNUMBER(F289)),MAX(1,NETWORKDAYS.INTL(E289,F289,11)),0)</f>
        <v>0</v>
      </c>
      <c r="BD289" s="1" t="str">
        <f aca="false">IF(OR(NOT(AND(ISNUMBER(E289),ISNUMBER(F289))),$J$2=""),"",MIN(100,ROUND(SUM($G289:G289),1)))</f>
        <v/>
      </c>
      <c r="BE289" s="1" t="str">
        <f aca="false">IF(OR(NOT(AND(ISNUMBER(E289),ISNUMBER(F289))),$J$2=""),"",MIN(100,ROUND(SUM($G289:H289),1)))</f>
        <v/>
      </c>
      <c r="BF289" s="1" t="str">
        <f aca="false">IF(OR(NOT(AND(ISNUMBER(E289),ISNUMBER(F289))),$J$2=""),"",MIN(100,ROUND(SUM($G289:I289),1)))</f>
        <v/>
      </c>
      <c r="BG289" s="1" t="str">
        <f aca="false">IF(OR(NOT(AND(ISNUMBER(E289),ISNUMBER(F289))),$J$2=""),"",MIN(100,ROUND(SUM($G289:J289),1)))</f>
        <v/>
      </c>
      <c r="BH289" s="1" t="str">
        <f aca="false">IF(OR(NOT(AND(ISNUMBER(E289),ISNUMBER(F289))),$J$2=""),"",MIN(100,ROUND(SUM($G289:K289),1)))</f>
        <v/>
      </c>
      <c r="BI289" s="1" t="str">
        <f aca="false">IF(OR(NOT(AND(ISNUMBER(E289),ISNUMBER(F289))),$J$2=""),"",MIN(100,ROUND(SUM($G289:L289),1)))</f>
        <v/>
      </c>
      <c r="BJ289" s="1" t="str">
        <f aca="false">IF(OR(NOT(AND(ISNUMBER(E289),ISNUMBER(F289))),$J$2=""),"",MIN(100,ROUND(SUM($G289:M289),1)))</f>
        <v/>
      </c>
      <c r="BK289" s="1" t="str">
        <f aca="false">IF(OR(NOT(AND(ISNUMBER(E289),ISNUMBER(F289))),$J$2=""),"",MIN(100,ROUND(SUM($G289:N289),1)))</f>
        <v/>
      </c>
      <c r="BL289" s="1" t="str">
        <f aca="false">IF(OR(NOT(AND(ISNUMBER(E289),ISNUMBER(F289))),$J$2=""),"",MIN(100,ROUND(SUM($G289:O289),1)))</f>
        <v/>
      </c>
      <c r="BM289" s="1" t="str">
        <f aca="false">IF(OR(NOT(AND(ISNUMBER(E289),ISNUMBER(F289))),$J$2=""),"",MIN(100,ROUND(SUM($G289:P289),1)))</f>
        <v/>
      </c>
      <c r="BN289" s="1" t="str">
        <f aca="false">IF(OR(NOT(AND(ISNUMBER(E289),ISNUMBER(F289))),$J$2=""),"",MIN(100,ROUND(SUM($G289:P289),1)))</f>
        <v/>
      </c>
      <c r="BO289" s="1" t="str">
        <f aca="false">IF(OR(NOT(AND(ISNUMBER(E289),ISNUMBER(F289))),$J$2=""),"",MIN(100,ROUND(SUM($G289:P289),1)))</f>
        <v/>
      </c>
      <c r="BP289" s="1" t="str">
        <f aca="false">IF(OR(NOT(AND(ISNUMBER(E289),ISNUMBER(F289))),$J$2=""),"",MIN(100,ROUND(SUM($G289:P289),1)))</f>
        <v/>
      </c>
      <c r="BQ289" s="1" t="str">
        <f aca="false">IF(OR(NOT(AND(ISNUMBER(E289),ISNUMBER(F289))),$J$2=""),"",MIN(100,ROUND(SUM($G289:P289),1)))</f>
        <v/>
      </c>
      <c r="BR289" s="1" t="str">
        <f aca="false">IF(OR(NOT(AND(ISNUMBER(E289),ISNUMBER(F289))),$J$2=""),"",MIN(100,ROUND(SUM($G289:P289),1)))</f>
        <v/>
      </c>
      <c r="BS289" s="1" t="str">
        <f aca="false">IF(OR(NOT(AND(ISNUMBER(E289),ISNUMBER(F289))),$J$2=""),"",MIN(100,ROUND(SUM($G289:P289),1)))</f>
        <v/>
      </c>
      <c r="BT289" s="1" t="str">
        <f aca="false">IF(OR(NOT(AND(ISNUMBER(E289),ISNUMBER(F289))),$J$2=""),"",IF(Reprogramaciones!K$13&lt;Reprogramaciones!$T$15,0,IF(Reprogramaciones!K$14&gt;10,MIN(100,SUM($G289:$P289)),MIN(100,SUMPRODUCT((COLUMN($G289:$P289)-COLUMN($G289)+1&lt;Reprogramaciones!K$14)*$G289:$P289)+N(INDEX($G289:$P289,1,Reprogramaciones!K$14))*IF(Reprogramaciones!K$13&gt;=(Reprogramaciones!$T$15+7*(Reprogramaciones!K$14-1))+6,1,IF(MAX(0,NETWORKDAYS.INTL(MAX(E289,(Reprogramaciones!$T$15+7*(Reprogramaciones!K$14-1))),MIN(F289,(Reprogramaciones!$T$15+7*(Reprogramaciones!K$14-1))+6),11))=0,0,MAX(0,NETWORKDAYS.INTL(MAX(E289,(Reprogramaciones!$T$15+7*(Reprogramaciones!K$14-1))),MIN(F289,Reprogramaciones!K$13),11))/MAX(0,NETWORKDAYS.INTL(MAX(E289,(Reprogramaciones!$T$15+7*(Reprogramaciones!K$14-1))),MIN(F289,(Reprogramaciones!$T$15+7*(Reprogramaciones!K$14-1))+6),11))))))))</f>
        <v/>
      </c>
      <c r="BU289" s="1" t="str">
        <f aca="false">IF(OR(NOT(AND(ISNUMBER(E289),ISNUMBER(F289))),$J$2=""),"",IF(Reprogramaciones!L$13&lt;Reprogramaciones!$T$15,0,IF(Reprogramaciones!L$14&gt;10,MIN(100,SUM($G289:$P289)),MIN(100,SUMPRODUCT((COLUMN($G289:$P289)-COLUMN($G289)+1&lt;Reprogramaciones!L$14)*$G289:$P289)+N(INDEX($G289:$P289,1,Reprogramaciones!L$14))*IF(Reprogramaciones!L$13&gt;=(Reprogramaciones!$T$15+7*(Reprogramaciones!L$14-1))+6,1,IF(MAX(0,NETWORKDAYS.INTL(MAX(E289,(Reprogramaciones!$T$15+7*(Reprogramaciones!L$14-1))),MIN(F289,(Reprogramaciones!$T$15+7*(Reprogramaciones!L$14-1))+6),11))=0,0,MAX(0,NETWORKDAYS.INTL(MAX(E289,(Reprogramaciones!$T$15+7*(Reprogramaciones!L$14-1))),MIN(F289,Reprogramaciones!L$13),11))/MAX(0,NETWORKDAYS.INTL(MAX(E289,(Reprogramaciones!$T$15+7*(Reprogramaciones!L$14-1))),MIN(F289,(Reprogramaciones!$T$15+7*(Reprogramaciones!L$14-1))+6),11))))))))</f>
        <v/>
      </c>
      <c r="BV289" s="1" t="str">
        <f aca="false">IF(OR(NOT(AND(ISNUMBER(E289),ISNUMBER(F289))),$J$2=""),"",IF(Reprogramaciones!M$13&lt;Reprogramaciones!$T$15,0,IF(Reprogramaciones!M$14&gt;10,MIN(100,SUM($G289:$P289)),MIN(100,SUMPRODUCT((COLUMN($G289:$P289)-COLUMN($G289)+1&lt;Reprogramaciones!M$14)*$G289:$P289)+N(INDEX($G289:$P289,1,Reprogramaciones!M$14))*IF(Reprogramaciones!M$13&gt;=(Reprogramaciones!$T$15+7*(Reprogramaciones!M$14-1))+6,1,IF(MAX(0,NETWORKDAYS.INTL(MAX(E289,(Reprogramaciones!$T$15+7*(Reprogramaciones!M$14-1))),MIN(F289,(Reprogramaciones!$T$15+7*(Reprogramaciones!M$14-1))+6),11))=0,0,MAX(0,NETWORKDAYS.INTL(MAX(E289,(Reprogramaciones!$T$15+7*(Reprogramaciones!M$14-1))),MIN(F289,Reprogramaciones!M$13),11))/MAX(0,NETWORKDAYS.INTL(MAX(E289,(Reprogramaciones!$T$15+7*(Reprogramaciones!M$14-1))),MIN(F289,(Reprogramaciones!$T$15+7*(Reprogramaciones!M$14-1))+6),11))))))))</f>
        <v/>
      </c>
      <c r="BW289" s="1" t="str">
        <f aca="false">IF(OR(NOT(AND(ISNUMBER(E289),ISNUMBER(F289))),$J$2=""),"",IF(Reprogramaciones!N$13&lt;Reprogramaciones!$T$15,0,IF(Reprogramaciones!N$14&gt;10,MIN(100,SUM($G289:$P289)),MIN(100,SUMPRODUCT((COLUMN($G289:$P289)-COLUMN($G289)+1&lt;Reprogramaciones!N$14)*$G289:$P289)+N(INDEX($G289:$P289,1,Reprogramaciones!N$14))*IF(Reprogramaciones!N$13&gt;=(Reprogramaciones!$T$15+7*(Reprogramaciones!N$14-1))+6,1,IF(MAX(0,NETWORKDAYS.INTL(MAX(E289,(Reprogramaciones!$T$15+7*(Reprogramaciones!N$14-1))),MIN(F289,(Reprogramaciones!$T$15+7*(Reprogramaciones!N$14-1))+6),11))=0,0,MAX(0,NETWORKDAYS.INTL(MAX(E289,(Reprogramaciones!$T$15+7*(Reprogramaciones!N$14-1))),MIN(F289,Reprogramaciones!N$13),11))/MAX(0,NETWORKDAYS.INTL(MAX(E289,(Reprogramaciones!$T$15+7*(Reprogramaciones!N$14-1))),MIN(F289,(Reprogramaciones!$T$15+7*(Reprogramaciones!N$14-1))+6),11))))))))</f>
        <v/>
      </c>
      <c r="BX289" s="1" t="str">
        <f aca="false">IF(OR(NOT(AND(ISNUMBER(E289),ISNUMBER(F289))),$J$2=""),"",IF(Reprogramaciones!O$13&lt;Reprogramaciones!$T$15,0,IF(Reprogramaciones!O$14&gt;10,MIN(100,SUM($G289:$P289)),MIN(100,SUMPRODUCT((COLUMN($G289:$P289)-COLUMN($G289)+1&lt;Reprogramaciones!O$14)*$G289:$P289)+N(INDEX($G289:$P289,1,Reprogramaciones!O$14))*IF(Reprogramaciones!O$13&gt;=(Reprogramaciones!$T$15+7*(Reprogramaciones!O$14-1))+6,1,IF(MAX(0,NETWORKDAYS.INTL(MAX(E289,(Reprogramaciones!$T$15+7*(Reprogramaciones!O$14-1))),MIN(F289,(Reprogramaciones!$T$15+7*(Reprogramaciones!O$14-1))+6),11))=0,0,MAX(0,NETWORKDAYS.INTL(MAX(E289,(Reprogramaciones!$T$15+7*(Reprogramaciones!O$14-1))),MIN(F289,Reprogramaciones!O$13),11))/MAX(0,NETWORKDAYS.INTL(MAX(E289,(Reprogramaciones!$T$15+7*(Reprogramaciones!O$14-1))),MIN(F289,(Reprogramaciones!$T$15+7*(Reprogramaciones!O$14-1))+6),11))))))))</f>
        <v/>
      </c>
      <c r="BY289" s="1" t="str">
        <f aca="false">IF(OR(NOT(AND(ISNUMBER(E289),ISNUMBER(F289))),$J$2=""),"",IF(Reprogramaciones!P$13&lt;Reprogramaciones!$T$15,0,IF(Reprogramaciones!P$14&gt;10,MIN(100,SUM($G289:$P289)),MIN(100,SUMPRODUCT((COLUMN($G289:$P289)-COLUMN($G289)+1&lt;Reprogramaciones!P$14)*$G289:$P289)+N(INDEX($G289:$P289,1,Reprogramaciones!P$14))*IF(Reprogramaciones!P$13&gt;=(Reprogramaciones!$T$15+7*(Reprogramaciones!P$14-1))+6,1,IF(MAX(0,NETWORKDAYS.INTL(MAX(E289,(Reprogramaciones!$T$15+7*(Reprogramaciones!P$14-1))),MIN(F289,(Reprogramaciones!$T$15+7*(Reprogramaciones!P$14-1))+6),11))=0,0,MAX(0,NETWORKDAYS.INTL(MAX(E289,(Reprogramaciones!$T$15+7*(Reprogramaciones!P$14-1))),MIN(F289,Reprogramaciones!P$13),11))/MAX(0,NETWORKDAYS.INTL(MAX(E289,(Reprogramaciones!$T$15+7*(Reprogramaciones!P$14-1))),MIN(F289,(Reprogramaciones!$T$15+7*(Reprogramaciones!P$14-1))+6),11))))))))</f>
        <v/>
      </c>
      <c r="BZ289" s="1" t="str">
        <f aca="false">IF(OR(NOT(AND(ISNUMBER(E289),ISNUMBER(F289))),$J$2=""),"",IF(Reprogramaciones!Q$13&lt;Reprogramaciones!$T$15,0,IF(Reprogramaciones!Q$14&gt;10,MIN(100,SUM($G289:$P289)),MIN(100,SUMPRODUCT((COLUMN($G289:$P289)-COLUMN($G289)+1&lt;Reprogramaciones!Q$14)*$G289:$P289)+N(INDEX($G289:$P289,1,Reprogramaciones!Q$14))*IF(Reprogramaciones!Q$13&gt;=(Reprogramaciones!$T$15+7*(Reprogramaciones!Q$14-1))+6,1,IF(MAX(0,NETWORKDAYS.INTL(MAX(E289,(Reprogramaciones!$T$15+7*(Reprogramaciones!Q$14-1))),MIN(F289,(Reprogramaciones!$T$15+7*(Reprogramaciones!Q$14-1))+6),11))=0,0,MAX(0,NETWORKDAYS.INTL(MAX(E289,(Reprogramaciones!$T$15+7*(Reprogramaciones!Q$14-1))),MIN(F289,Reprogramaciones!Q$13),11))/MAX(0,NETWORKDAYS.INTL(MAX(E289,(Reprogramaciones!$T$15+7*(Reprogramaciones!Q$14-1))),MIN(F289,(Reprogramaciones!$T$15+7*(Reprogramaciones!Q$14-1))+6),11))))))))</f>
        <v/>
      </c>
      <c r="CA289" s="1" t="str">
        <f aca="false">IF(OR(NOT(AND(ISNUMBER(E289),ISNUMBER(F289))),$J$2=""),"",IF(Reprogramaciones!R$13&lt;Reprogramaciones!$T$15,0,IF(Reprogramaciones!R$14&gt;10,MIN(100,SUM($G289:$P289)),MIN(100,SUMPRODUCT((COLUMN($G289:$P289)-COLUMN($G289)+1&lt;Reprogramaciones!R$14)*$G289:$P289)+N(INDEX($G289:$P289,1,Reprogramaciones!R$14))*IF(Reprogramaciones!R$13&gt;=(Reprogramaciones!$T$15+7*(Reprogramaciones!R$14-1))+6,1,IF(MAX(0,NETWORKDAYS.INTL(MAX(E289,(Reprogramaciones!$T$15+7*(Reprogramaciones!R$14-1))),MIN(F289,(Reprogramaciones!$T$15+7*(Reprogramaciones!R$14-1))+6),11))=0,0,MAX(0,NETWORKDAYS.INTL(MAX(E289,(Reprogramaciones!$T$15+7*(Reprogramaciones!R$14-1))),MIN(F289,Reprogramaciones!R$13),11))/MAX(0,NETWORKDAYS.INTL(MAX(E289,(Reprogramaciones!$T$15+7*(Reprogramaciones!R$14-1))),MIN(F289,(Reprogramaciones!$T$15+7*(Reprogramaciones!R$14-1))+6),11))))))))</f>
        <v/>
      </c>
      <c r="CB289" s="1" t="str">
        <f aca="false">IF(OR(NOT(AND(ISNUMBER(E289),ISNUMBER(F289))),$J$2=""),"",IF(Reprogramaciones!S$13&lt;Reprogramaciones!$T$15,0,IF(Reprogramaciones!S$14&gt;10,MIN(100,SUM($G289:$P289)),MIN(100,SUMPRODUCT((COLUMN($G289:$P289)-COLUMN($G289)+1&lt;Reprogramaciones!S$14)*$G289:$P289)+N(INDEX($G289:$P289,1,Reprogramaciones!S$14))*IF(Reprogramaciones!S$13&gt;=(Reprogramaciones!$T$15+7*(Reprogramaciones!S$14-1))+6,1,IF(MAX(0,NETWORKDAYS.INTL(MAX(E289,(Reprogramaciones!$T$15+7*(Reprogramaciones!S$14-1))),MIN(F289,(Reprogramaciones!$T$15+7*(Reprogramaciones!S$14-1))+6),11))=0,0,MAX(0,NETWORKDAYS.INTL(MAX(E289,(Reprogramaciones!$T$15+7*(Reprogramaciones!S$14-1))),MIN(F289,Reprogramaciones!S$13),11))/MAX(0,NETWORKDAYS.INTL(MAX(E289,(Reprogramaciones!$T$15+7*(Reprogramaciones!S$14-1))),MIN(F289,(Reprogramaciones!$T$15+7*(Reprogramaciones!S$14-1))+6),11))))))))</f>
        <v/>
      </c>
      <c r="CC289" s="1" t="str">
        <f aca="false">IF(OR(NOT(AND(ISNUMBER(E289),ISNUMBER(F289))),$J$2=""),"",IF(Reprogramaciones!T$13&lt;Reprogramaciones!$T$15,0,IF(Reprogramaciones!T$14&gt;10,MIN(100,SUM($G289:$P289)),MIN(100,SUMPRODUCT((COLUMN($G289:$P289)-COLUMN($G289)+1&lt;Reprogramaciones!T$14)*$G289:$P289)+N(INDEX($G289:$P289,1,Reprogramaciones!T$14))*IF(Reprogramaciones!T$13&gt;=(Reprogramaciones!$T$15+7*(Reprogramaciones!T$14-1))+6,1,IF(MAX(0,NETWORKDAYS.INTL(MAX(E289,(Reprogramaciones!$T$15+7*(Reprogramaciones!T$14-1))),MIN(F289,(Reprogramaciones!$T$15+7*(Reprogramaciones!T$14-1))+6),11))=0,0,MAX(0,NETWORKDAYS.INTL(MAX(E289,(Reprogramaciones!$T$15+7*(Reprogramaciones!T$14-1))),MIN(F289,Reprogramaciones!T$13),11))/MAX(0,NETWORKDAYS.INTL(MAX(E289,(Reprogramaciones!$T$15+7*(Reprogramaciones!T$14-1))),MIN(F289,(Reprogramaciones!$T$15+7*(Reprogramaciones!T$14-1))+6),11))))))))</f>
        <v/>
      </c>
      <c r="CD289" s="1" t="str">
        <f aca="false">IF(OR(NOT(AND(ISNUMBER(E289),ISNUMBER(F289))),$J$2=""),"",IF(Reprogramaciones!U$13&lt;Reprogramaciones!$T$15,0,IF(Reprogramaciones!U$14&gt;10,MIN(100,SUM($G289:$P289)),MIN(100,SUMPRODUCT((COLUMN($G289:$P289)-COLUMN($G289)+1&lt;Reprogramaciones!U$14)*$G289:$P289)+N(INDEX($G289:$P289,1,Reprogramaciones!U$14))*IF(Reprogramaciones!U$13&gt;=(Reprogramaciones!$T$15+7*(Reprogramaciones!U$14-1))+6,1,IF(MAX(0,NETWORKDAYS.INTL(MAX(E289,(Reprogramaciones!$T$15+7*(Reprogramaciones!U$14-1))),MIN(F289,(Reprogramaciones!$T$15+7*(Reprogramaciones!U$14-1))+6),11))=0,0,MAX(0,NETWORKDAYS.INTL(MAX(E289,(Reprogramaciones!$T$15+7*(Reprogramaciones!U$14-1))),MIN(F289,Reprogramaciones!U$13),11))/MAX(0,NETWORKDAYS.INTL(MAX(E289,(Reprogramaciones!$T$15+7*(Reprogramaciones!U$14-1))),MIN(F289,(Reprogramaciones!$T$15+7*(Reprogramaciones!U$14-1))+6),11))))))))</f>
        <v/>
      </c>
      <c r="CE289" s="1" t="str">
        <f aca="false">IF(OR(NOT(AND(ISNUMBER(E289),ISNUMBER(F289))),$J$2=""),"",IF(Reprogramaciones!V$13&lt;Reprogramaciones!$T$15,0,IF(Reprogramaciones!V$14&gt;10,MIN(100,SUM($G289:$P289)),MIN(100,SUMPRODUCT((COLUMN($G289:$P289)-COLUMN($G289)+1&lt;Reprogramaciones!V$14)*$G289:$P289)+N(INDEX($G289:$P289,1,Reprogramaciones!V$14))*IF(Reprogramaciones!V$13&gt;=(Reprogramaciones!$T$15+7*(Reprogramaciones!V$14-1))+6,1,IF(MAX(0,NETWORKDAYS.INTL(MAX(E289,(Reprogramaciones!$T$15+7*(Reprogramaciones!V$14-1))),MIN(F289,(Reprogramaciones!$T$15+7*(Reprogramaciones!V$14-1))+6),11))=0,0,MAX(0,NETWORKDAYS.INTL(MAX(E289,(Reprogramaciones!$T$15+7*(Reprogramaciones!V$14-1))),MIN(F289,Reprogramaciones!V$13),11))/MAX(0,NETWORKDAYS.INTL(MAX(E289,(Reprogramaciones!$T$15+7*(Reprogramaciones!V$14-1))),MIN(F289,(Reprogramaciones!$T$15+7*(Reprogramaciones!V$14-1))+6),11))))))))</f>
        <v/>
      </c>
      <c r="CF289" s="1" t="str">
        <f aca="false">IF(OR(NOT(AND(ISNUMBER(E289),ISNUMBER(F289))),$J$2=""),"",IF(Reprogramaciones!W$13&lt;Reprogramaciones!$T$15,0,IF(Reprogramaciones!W$14&gt;10,MIN(100,SUM($G289:$P289)),MIN(100,SUMPRODUCT((COLUMN($G289:$P289)-COLUMN($G289)+1&lt;Reprogramaciones!W$14)*$G289:$P289)+N(INDEX($G289:$P289,1,Reprogramaciones!W$14))*IF(Reprogramaciones!W$13&gt;=(Reprogramaciones!$T$15+7*(Reprogramaciones!W$14-1))+6,1,IF(MAX(0,NETWORKDAYS.INTL(MAX(E289,(Reprogramaciones!$T$15+7*(Reprogramaciones!W$14-1))),MIN(F289,(Reprogramaciones!$T$15+7*(Reprogramaciones!W$14-1))+6),11))=0,0,MAX(0,NETWORKDAYS.INTL(MAX(E289,(Reprogramaciones!$T$15+7*(Reprogramaciones!W$14-1))),MIN(F289,Reprogramaciones!W$13),11))/MAX(0,NETWORKDAYS.INTL(MAX(E289,(Reprogramaciones!$T$15+7*(Reprogramaciones!W$14-1))),MIN(F289,(Reprogramaciones!$T$15+7*(Reprogramaciones!W$14-1))+6),11))))))))</f>
        <v/>
      </c>
      <c r="CG289" s="1" t="str">
        <f aca="false">IF(OR(NOT(AND(ISNUMBER(E289),ISNUMBER(F289))),$J$2=""),"",IF(Reprogramaciones!X$13&lt;Reprogramaciones!$T$15,0,IF(Reprogramaciones!X$14&gt;10,MIN(100,SUM($G289:$P289)),MIN(100,SUMPRODUCT((COLUMN($G289:$P289)-COLUMN($G289)+1&lt;Reprogramaciones!X$14)*$G289:$P289)+N(INDEX($G289:$P289,1,Reprogramaciones!X$14))*IF(Reprogramaciones!X$13&gt;=(Reprogramaciones!$T$15+7*(Reprogramaciones!X$14-1))+6,1,IF(MAX(0,NETWORKDAYS.INTL(MAX(E289,(Reprogramaciones!$T$15+7*(Reprogramaciones!X$14-1))),MIN(F289,(Reprogramaciones!$T$15+7*(Reprogramaciones!X$14-1))+6),11))=0,0,MAX(0,NETWORKDAYS.INTL(MAX(E289,(Reprogramaciones!$T$15+7*(Reprogramaciones!X$14-1))),MIN(F289,Reprogramaciones!X$13),11))/MAX(0,NETWORKDAYS.INTL(MAX(E289,(Reprogramaciones!$T$15+7*(Reprogramaciones!X$14-1))),MIN(F289,(Reprogramaciones!$T$15+7*(Reprogramaciones!X$14-1))+6),11))))))))</f>
        <v/>
      </c>
      <c r="CH289" s="1" t="str">
        <f aca="false">IF(OR(NOT(AND(ISNUMBER(E289),ISNUMBER(F289))),$J$2=""),"",IF(Reprogramaciones!Y$13&lt;Reprogramaciones!$T$15,0,IF(Reprogramaciones!Y$14&gt;10,MIN(100,SUM($G289:$P289)),MIN(100,SUMPRODUCT((COLUMN($G289:$P289)-COLUMN($G289)+1&lt;Reprogramaciones!Y$14)*$G289:$P289)+N(INDEX($G289:$P289,1,Reprogramaciones!Y$14))*IF(Reprogramaciones!Y$13&gt;=(Reprogramaciones!$T$15+7*(Reprogramaciones!Y$14-1))+6,1,IF(MAX(0,NETWORKDAYS.INTL(MAX(E289,(Reprogramaciones!$T$15+7*(Reprogramaciones!Y$14-1))),MIN(F289,(Reprogramaciones!$T$15+7*(Reprogramaciones!Y$14-1))+6),11))=0,0,MAX(0,NETWORKDAYS.INTL(MAX(E289,(Reprogramaciones!$T$15+7*(Reprogramaciones!Y$14-1))),MIN(F289,Reprogramaciones!Y$13),11))/MAX(0,NETWORKDAYS.INTL(MAX(E289,(Reprogramaciones!$T$15+7*(Reprogramaciones!Y$14-1))),MIN(F289,(Reprogramaciones!$T$15+7*(Reprogramaciones!Y$14-1))+6),11))))))))</f>
        <v/>
      </c>
      <c r="CI289" s="1" t="str">
        <f aca="false">IF(OR(NOT(AND(ISNUMBER(E289),ISNUMBER(F289))),$J$2=""),"",IF(Reprogramaciones!Z$13&lt;Reprogramaciones!$T$15,0,IF(Reprogramaciones!Z$14&gt;10,MIN(100,SUM($G289:$P289)),MIN(100,SUMPRODUCT((COLUMN($G289:$P289)-COLUMN($G289)+1&lt;Reprogramaciones!Z$14)*$G289:$P289)+N(INDEX($G289:$P289,1,Reprogramaciones!Z$14))*IF(Reprogramaciones!Z$13&gt;=(Reprogramaciones!$T$15+7*(Reprogramaciones!Z$14-1))+6,1,IF(MAX(0,NETWORKDAYS.INTL(MAX(E289,(Reprogramaciones!$T$15+7*(Reprogramaciones!Z$14-1))),MIN(F289,(Reprogramaciones!$T$15+7*(Reprogramaciones!Z$14-1))+6),11))=0,0,MAX(0,NETWORKDAYS.INTL(MAX(E289,(Reprogramaciones!$T$15+7*(Reprogramaciones!Z$14-1))),MIN(F289,Reprogramaciones!Z$13),11))/MAX(0,NETWORKDAYS.INTL(MAX(E289,(Reprogramaciones!$T$15+7*(Reprogramaciones!Z$14-1))),MIN(F289,(Reprogramaciones!$T$15+7*(Reprogramaciones!Z$14-1))+6),11))))))))</f>
        <v/>
      </c>
      <c r="CJ289" s="1" t="str">
        <f aca="false">IF(OR(OR(NOT(AND(ISNUMBER(E289),ISNUMBER(F289))),$J$2=""),1&gt;Reprogramaciones!$K$16),"",IF(ROUND(SUM($Q289:Q289),1)&gt;=99.5,100,MIN(100,ROUND(SUM($Q289:Q289),1))))</f>
        <v/>
      </c>
      <c r="CK289" s="1" t="str">
        <f aca="false">IF(OR(OR(NOT(AND(ISNUMBER(E289),ISNUMBER(F289))),$J$2=""),2&gt;Reprogramaciones!$K$16),"",IF(ROUND(SUM($Q289:R289),1)&gt;=99.5,100,MIN(100,ROUND(SUM($Q289:R289),1))))</f>
        <v/>
      </c>
      <c r="CL289" s="1" t="str">
        <f aca="false">IF(OR(OR(NOT(AND(ISNUMBER(E289),ISNUMBER(F289))),$J$2=""),3&gt;Reprogramaciones!$K$16),"",IF(ROUND(SUM($Q289:S289),1)&gt;=99.5,100,MIN(100,ROUND(SUM($Q289:S289),1))))</f>
        <v/>
      </c>
      <c r="CM289" s="1" t="str">
        <f aca="false">IF(OR(OR(NOT(AND(ISNUMBER(E289),ISNUMBER(F289))),$J$2=""),4&gt;Reprogramaciones!$K$16),"",IF(ROUND(SUM($Q289:T289),1)&gt;=99.5,100,MIN(100,ROUND(SUM($Q289:T289),1))))</f>
        <v/>
      </c>
      <c r="CN289" s="1" t="str">
        <f aca="false">IF(OR(OR(NOT(AND(ISNUMBER(E289),ISNUMBER(F289))),$J$2=""),5&gt;Reprogramaciones!$K$16),"",IF(ROUND(SUM($Q289:U289),1)&gt;=99.5,100,MIN(100,ROUND(SUM($Q289:U289),1))))</f>
        <v/>
      </c>
      <c r="CO289" s="1" t="str">
        <f aca="false">IF(OR(OR(NOT(AND(ISNUMBER(E289),ISNUMBER(F289))),$J$2=""),6&gt;Reprogramaciones!$K$16),"",IF(ROUND(SUM($Q289:V289),1)&gt;=99.5,100,MIN(100,ROUND(SUM($Q289:V289),1))))</f>
        <v/>
      </c>
      <c r="CP289" s="1" t="str">
        <f aca="false">IF(OR(OR(NOT(AND(ISNUMBER(E289),ISNUMBER(F289))),$J$2=""),7&gt;Reprogramaciones!$K$16),"",IF(ROUND(SUM($Q289:W289),1)&gt;=99.5,100,MIN(100,ROUND(SUM($Q289:W289),1))))</f>
        <v/>
      </c>
      <c r="CQ289" s="1" t="str">
        <f aca="false">IF(OR(OR(NOT(AND(ISNUMBER(E289),ISNUMBER(F289))),$J$2=""),8&gt;Reprogramaciones!$K$16),"",IF(ROUND(SUM($Q289:X289),1)&gt;=99.5,100,MIN(100,ROUND(SUM($Q289:X289),1))))</f>
        <v/>
      </c>
      <c r="CR289" s="1" t="str">
        <f aca="false">IF(OR(OR(NOT(AND(ISNUMBER(E289),ISNUMBER(F289))),$J$2=""),9&gt;Reprogramaciones!$K$16),"",IF(ROUND(SUM($Q289:Y289),1)&gt;=99.5,100,MIN(100,ROUND(SUM($Q289:Y289),1))))</f>
        <v/>
      </c>
      <c r="CS289" s="1" t="str">
        <f aca="false">IF(OR(OR(NOT(AND(ISNUMBER(E289),ISNUMBER(F289))),$J$2=""),10&gt;Reprogramaciones!$K$16),"",IF(ROUND(SUM($Q289:Z289),1)&gt;=99.5,100,MIN(100,ROUND(SUM($Q289:Z289),1))))</f>
        <v/>
      </c>
      <c r="CT289" s="1" t="str">
        <f aca="false">IF(OR(OR(NOT(AND(ISNUMBER(E289),ISNUMBER(F289))),$J$2=""),11&gt;Reprogramaciones!$K$16),"",IF(ROUND(SUM($Q289:AA289),1)&gt;=99.5,100,MIN(100,ROUND(SUM($Q289:AA289),1))))</f>
        <v/>
      </c>
      <c r="CU289" s="1" t="str">
        <f aca="false">IF(OR(OR(NOT(AND(ISNUMBER(E289),ISNUMBER(F289))),$J$2=""),12&gt;Reprogramaciones!$K$16),"",IF(ROUND(SUM($Q289:AB289),1)&gt;=99.5,100,MIN(100,ROUND(SUM($Q289:AB289),1))))</f>
        <v/>
      </c>
      <c r="CV289" s="1" t="str">
        <f aca="false">IF(OR(OR(NOT(AND(ISNUMBER(E289),ISNUMBER(F289))),$J$2=""),13&gt;Reprogramaciones!$K$16),"",IF(ROUND(SUM($Q289:AC289),1)&gt;=99.5,100,MIN(100,ROUND(SUM($Q289:AC289),1))))</f>
        <v/>
      </c>
      <c r="CW289" s="1" t="str">
        <f aca="false">IF(OR(OR(NOT(AND(ISNUMBER(E289),ISNUMBER(F289))),$J$2=""),14&gt;Reprogramaciones!$K$16),"",IF(ROUND(SUM($Q289:AD289),1)&gt;=99.5,100,MIN(100,ROUND(SUM($Q289:AD289),1))))</f>
        <v/>
      </c>
      <c r="CX289" s="1" t="str">
        <f aca="false">IF(OR(OR(NOT(AND(ISNUMBER(E289),ISNUMBER(F289))),$J$2=""),15&gt;Reprogramaciones!$K$16),"",IF(ROUND(SUM($Q289:AE289),1)&gt;=99.5,100,MIN(100,ROUND(SUM($Q289:AE289),1))))</f>
        <v/>
      </c>
      <c r="CY289" s="1" t="str">
        <f aca="false">IF(OR(OR(NOT(AND(ISNUMBER(E289),ISNUMBER(F289))),$J$2=""),16&gt;Reprogramaciones!$K$16),"",IF(ROUND(SUM($Q289:AF289),1)&gt;=99.5,100,MIN(100,ROUND(SUM($Q289:AF289),1))))</f>
        <v/>
      </c>
      <c r="CZ289" s="1" t="str">
        <f aca="false">IF(D289&lt;&gt;"",D289,IF(B289&lt;&gt;"","Contractual",CZ288))</f>
        <v>Contractual</v>
      </c>
      <c r="DA289" s="1" t="str">
        <f aca="false">IF(OR(NOT(AND(ISNUMBER(E289),ISNUMBER(F289))),$J$2=""),"",IF(Reprogramaciones!$Q$15&lt;Reprogramaciones!$T$15,0,IF(Reprogramaciones!$S$15&gt;10,MIN(100,SUM($G289:$P289)),MIN(100,SUMPRODUCT((COLUMN($G289:$P289)-COLUMN($G289)+1&lt;Reprogramaciones!$S$15)*$G289:$P289)+N(INDEX($G289:$P289,1,Reprogramaciones!$S$15))*IF(Reprogramaciones!$Q$15&gt;=(Reprogramaciones!$T$15+7*(Reprogramaciones!$S$15-1))+6,1,IF(MAX(0,NETWORKDAYS.INTL(MAX(E289,(Reprogramaciones!$T$15+7*(Reprogramaciones!$S$15-1))),MIN(F289,(Reprogramaciones!$T$15+7*(Reprogramaciones!$S$15-1))+6),11))=0,0,MAX(0,NETWORKDAYS.INTL(MAX(E289,(Reprogramaciones!$T$15+7*(Reprogramaciones!$S$15-1))),MIN(F289,Reprogramaciones!$Q$15),11))/MAX(0,NETWORKDAYS.INTL(MAX(E289,(Reprogramaciones!$T$15+7*(Reprogramaciones!$S$15-1))),MIN(F289,(Reprogramaciones!$T$15+7*(Reprogramaciones!$S$15-1))+6),11))))))))</f>
        <v/>
      </c>
    </row>
    <row r="290" customFormat="false" ht="15" hidden="false" customHeight="false" outlineLevel="0" collapsed="false">
      <c r="A290" s="32"/>
      <c r="B290" s="33"/>
      <c r="C290" s="33"/>
      <c r="D290" s="34"/>
      <c r="E290" s="35"/>
      <c r="F290" s="35"/>
      <c r="G290" s="36" t="str">
        <f aca="false">IF(OR(NOT(AND(ISNUMBER(E290),ISNUMBER(F290))),$J$2=""),"",IF(Reprogramaciones!K$9&lt;E290,0,IF(NETWORKDAYS.INTL(E290,F290,11)=0,IF(Reprogramaciones!K$9&gt;=F290,100,0),ROUND(NETWORKDAYS.INTL(E290,MIN(F290,Reprogramaciones!K$9),11)/NETWORKDAYS.INTL(E290,F290,11)*100,1)))-0)</f>
        <v/>
      </c>
      <c r="H290" s="36" t="str">
        <f aca="false">IF(OR(NOT(AND(ISNUMBER(E290),ISNUMBER(F290))),$J$2=""),"",IF(Reprogramaciones!L$9&lt;E290,0,IF(NETWORKDAYS.INTL(E290,F290,11)=0,IF(Reprogramaciones!L$9&gt;=F290,100,0),ROUND(NETWORKDAYS.INTL(E290,MIN(F290,Reprogramaciones!L$9),11)/NETWORKDAYS.INTL(E290,F290,11)*100,1)))-IF(Reprogramaciones!K$9&lt;E290,0,IF(NETWORKDAYS.INTL(E290,F290,11)=0,IF(Reprogramaciones!K$9&gt;=F290,100,0),ROUND(NETWORKDAYS.INTL(E290,MIN(F290,Reprogramaciones!K$9),11)/NETWORKDAYS.INTL(E290,F290,11)*100,1))))</f>
        <v/>
      </c>
      <c r="I290" s="36" t="str">
        <f aca="false">IF(OR(NOT(AND(ISNUMBER(E290),ISNUMBER(F290))),$J$2=""),"",IF(Reprogramaciones!M$9&lt;E290,0,IF(NETWORKDAYS.INTL(E290,F290,11)=0,IF(Reprogramaciones!M$9&gt;=F290,100,0),ROUND(NETWORKDAYS.INTL(E290,MIN(F290,Reprogramaciones!M$9),11)/NETWORKDAYS.INTL(E290,F290,11)*100,1)))-IF(Reprogramaciones!L$9&lt;E290,0,IF(NETWORKDAYS.INTL(E290,F290,11)=0,IF(Reprogramaciones!L$9&gt;=F290,100,0),ROUND(NETWORKDAYS.INTL(E290,MIN(F290,Reprogramaciones!L$9),11)/NETWORKDAYS.INTL(E290,F290,11)*100,1))))</f>
        <v/>
      </c>
      <c r="J290" s="36" t="str">
        <f aca="false">IF(OR(NOT(AND(ISNUMBER(E290),ISNUMBER(F290))),$J$2=""),"",IF(Reprogramaciones!N$9&lt;E290,0,IF(NETWORKDAYS.INTL(E290,F290,11)=0,IF(Reprogramaciones!N$9&gt;=F290,100,0),ROUND(NETWORKDAYS.INTL(E290,MIN(F290,Reprogramaciones!N$9),11)/NETWORKDAYS.INTL(E290,F290,11)*100,1)))-IF(Reprogramaciones!M$9&lt;E290,0,IF(NETWORKDAYS.INTL(E290,F290,11)=0,IF(Reprogramaciones!M$9&gt;=F290,100,0),ROUND(NETWORKDAYS.INTL(E290,MIN(F290,Reprogramaciones!M$9),11)/NETWORKDAYS.INTL(E290,F290,11)*100,1))))</f>
        <v/>
      </c>
      <c r="K290" s="36" t="str">
        <f aca="false">IF(OR(NOT(AND(ISNUMBER(E290),ISNUMBER(F290))),$J$2=""),"",IF(Reprogramaciones!O$9&lt;E290,0,IF(NETWORKDAYS.INTL(E290,F290,11)=0,IF(Reprogramaciones!O$9&gt;=F290,100,0),ROUND(NETWORKDAYS.INTL(E290,MIN(F290,Reprogramaciones!O$9),11)/NETWORKDAYS.INTL(E290,F290,11)*100,1)))-IF(Reprogramaciones!N$9&lt;E290,0,IF(NETWORKDAYS.INTL(E290,F290,11)=0,IF(Reprogramaciones!N$9&gt;=F290,100,0),ROUND(NETWORKDAYS.INTL(E290,MIN(F290,Reprogramaciones!N$9),11)/NETWORKDAYS.INTL(E290,F290,11)*100,1))))</f>
        <v/>
      </c>
      <c r="L290" s="36" t="str">
        <f aca="false">IF(OR(NOT(AND(ISNUMBER(E290),ISNUMBER(F290))),$J$2=""),"",IF(Reprogramaciones!P$9&lt;E290,0,IF(NETWORKDAYS.INTL(E290,F290,11)=0,IF(Reprogramaciones!P$9&gt;=F290,100,0),ROUND(NETWORKDAYS.INTL(E290,MIN(F290,Reprogramaciones!P$9),11)/NETWORKDAYS.INTL(E290,F290,11)*100,1)))-IF(Reprogramaciones!O$9&lt;E290,0,IF(NETWORKDAYS.INTL(E290,F290,11)=0,IF(Reprogramaciones!O$9&gt;=F290,100,0),ROUND(NETWORKDAYS.INTL(E290,MIN(F290,Reprogramaciones!O$9),11)/NETWORKDAYS.INTL(E290,F290,11)*100,1))))</f>
        <v/>
      </c>
      <c r="M290" s="36" t="str">
        <f aca="false">IF(OR(NOT(AND(ISNUMBER(E290),ISNUMBER(F290))),$J$2=""),"",IF(Reprogramaciones!Q$9&lt;E290,0,IF(NETWORKDAYS.INTL(E290,F290,11)=0,IF(Reprogramaciones!Q$9&gt;=F290,100,0),ROUND(NETWORKDAYS.INTL(E290,MIN(F290,Reprogramaciones!Q$9),11)/NETWORKDAYS.INTL(E290,F290,11)*100,1)))-IF(Reprogramaciones!P$9&lt;E290,0,IF(NETWORKDAYS.INTL(E290,F290,11)=0,IF(Reprogramaciones!P$9&gt;=F290,100,0),ROUND(NETWORKDAYS.INTL(E290,MIN(F290,Reprogramaciones!P$9),11)/NETWORKDAYS.INTL(E290,F290,11)*100,1))))</f>
        <v/>
      </c>
      <c r="N290" s="36" t="str">
        <f aca="false">IF(OR(NOT(AND(ISNUMBER(E290),ISNUMBER(F290))),$J$2=""),"",IF(Reprogramaciones!R$9&lt;E290,0,IF(NETWORKDAYS.INTL(E290,F290,11)=0,IF(Reprogramaciones!R$9&gt;=F290,100,0),ROUND(NETWORKDAYS.INTL(E290,MIN(F290,Reprogramaciones!R$9),11)/NETWORKDAYS.INTL(E290,F290,11)*100,1)))-IF(Reprogramaciones!Q$9&lt;E290,0,IF(NETWORKDAYS.INTL(E290,F290,11)=0,IF(Reprogramaciones!Q$9&gt;=F290,100,0),ROUND(NETWORKDAYS.INTL(E290,MIN(F290,Reprogramaciones!Q$9),11)/NETWORKDAYS.INTL(E290,F290,11)*100,1))))</f>
        <v/>
      </c>
      <c r="O290" s="36" t="str">
        <f aca="false">IF(OR(NOT(AND(ISNUMBER(E290),ISNUMBER(F290))),$J$2=""),"",IF(Reprogramaciones!S$9&lt;E290,0,IF(NETWORKDAYS.INTL(E290,F290,11)=0,IF(Reprogramaciones!S$9&gt;=F290,100,0),ROUND(NETWORKDAYS.INTL(E290,MIN(F290,Reprogramaciones!S$9),11)/NETWORKDAYS.INTL(E290,F290,11)*100,1)))-IF(Reprogramaciones!R$9&lt;E290,0,IF(NETWORKDAYS.INTL(E290,F290,11)=0,IF(Reprogramaciones!R$9&gt;=F290,100,0),ROUND(NETWORKDAYS.INTL(E290,MIN(F290,Reprogramaciones!R$9),11)/NETWORKDAYS.INTL(E290,F290,11)*100,1))))</f>
        <v/>
      </c>
      <c r="P290" s="36" t="str">
        <f aca="false">IF(OR(NOT(AND(ISNUMBER(E290),ISNUMBER(F290))),$J$2=""),"",IF(Reprogramaciones!T$9&lt;E290,0,IF(NETWORKDAYS.INTL(E290,F290,11)=0,IF(Reprogramaciones!T$9&gt;=F290,100,0),ROUND(NETWORKDAYS.INTL(E290,MIN(F290,Reprogramaciones!T$9),11)/NETWORKDAYS.INTL(E290,F290,11)*100,1)))-IF(Reprogramaciones!S$9&lt;E290,0,IF(NETWORKDAYS.INTL(E290,F290,11)=0,IF(Reprogramaciones!S$9&gt;=F290,100,0),ROUND(NETWORKDAYS.INTL(E290,MIN(F290,Reprogramaciones!S$9),11)/NETWORKDAYS.INTL(E290,F290,11)*100,1))))</f>
        <v/>
      </c>
      <c r="Q290" s="37"/>
      <c r="R290" s="37"/>
      <c r="S290" s="37"/>
      <c r="T290" s="37"/>
      <c r="U290" s="37"/>
      <c r="V290" s="37"/>
      <c r="W290" s="37"/>
      <c r="X290" s="37"/>
      <c r="Y290" s="37"/>
      <c r="Z290" s="37"/>
      <c r="AA290" s="37"/>
      <c r="AB290" s="37"/>
      <c r="AC290" s="37"/>
      <c r="AD290" s="37"/>
      <c r="AE290" s="37"/>
      <c r="AF290" s="37"/>
      <c r="AG290" s="38" t="str">
        <f aca="false">IF(AND(ISNUMBER(E290),ISNUMBER(F290)),NETWORKDAYS.INTL(E290,F290,11),"")</f>
        <v/>
      </c>
      <c r="AH290" s="38" t="str">
        <f aca="false">IF(OR(NOT(AND(ISNUMBER(E290),ISNUMBER(F290))),$J$2=""),"",IF(Reprogramaciones!$P$15&lt;Reprogramaciones!$T$15,0,IF(Reprogramaciones!$R$15&gt;10,MIN(100,SUM($G290:$P290)),MIN(100,SUMPRODUCT((COLUMN($G290:$P290)-COLUMN($G290)+1&lt;Reprogramaciones!$R$15)*$G290:$P290)+N(INDEX($G290:$P290,1,Reprogramaciones!$R$15))*IF(Reprogramaciones!$P$15&gt;=(Reprogramaciones!$T$15+7*(Reprogramaciones!$R$15-1))+6,1,IF(MAX(0,NETWORKDAYS.INTL(MAX(E290,(Reprogramaciones!$T$15+7*(Reprogramaciones!$R$15-1))),MIN(F290,(Reprogramaciones!$T$15+7*(Reprogramaciones!$R$15-1))+6),11))=0,0,MAX(0,NETWORKDAYS.INTL(MAX(E290,(Reprogramaciones!$T$15+7*(Reprogramaciones!$R$15-1))),MIN(F290,Reprogramaciones!$P$15),11))/MAX(0,NETWORKDAYS.INTL(MAX(E290,(Reprogramaciones!$T$15+7*(Reprogramaciones!$R$15-1))),MIN(F290,(Reprogramaciones!$T$15+7*(Reprogramaciones!$R$15-1))+6),11))))))))</f>
        <v/>
      </c>
      <c r="AI290" s="38" t="str">
        <f aca="false">IF(COUNT($Q290:$AF290)=0,"",IF(ROUND(SUM($Q290:$AF290),1)&gt;=99.5,100,MIN(100,ROUND(SUM($Q290:$AF290),1))))</f>
        <v/>
      </c>
      <c r="AJ290" s="38" t="str">
        <f aca="false">IF(OR(AH290="",AI290=""),"",AI290-AH290)</f>
        <v/>
      </c>
      <c r="AK290" s="39" t="str">
        <f aca="true">IF(AH290="","",IF(OR(Ficha!$C$10="Suspendida",Ficha!$C$10="Cancelada"),Ficha!$C$10,IF(AND(AI290&lt;&gt;"",N(AI290)&gt;=100),"Completada",IF(AND(E290&gt;TODAY(),N(AI290)=0),"Por iniciar",IF(N(AI290)+0.5&lt;AH290,"Retrasada",IF(N(AI290)+0.5&lt;DA290,IF(Reprogramaciones!$K$15&gt;0,"Al día · Sem "&amp;Reprogramaciones!$K$15&amp;" en curso","Al día · en curso"),"A tiempo"))))))</f>
        <v/>
      </c>
      <c r="AL290" s="39" t="str">
        <f aca="true">IF(AND(A290="",AND(B290="",C290="",E290="",F290="",COUNT(Q290:AF290)=0)),"",IF(AND(B290="",C290="",E290="",F290="",COUNT(Q290:AF290)=0),"Falta la partida o subpartida",IF(AND(A290&lt;&gt;"",COUNTIF($A$6:$A$305,A290)&gt;1),"Ítem repetido",IF(AND(C290="",E290="",F290="",COUNT(Q290:AF290)=0),"Título de partida",IF(OR(E290="",F290=""),"Faltan fechas",IF(OR(ISTEXT(E290),ISTEXT(F290)),"Fecha escrita como texto: usa dd/mm/aaaa",IF(F290&lt;E290,"Fin antes del inicio",IF(IF($J$2="",FALSE(),OR(E290&lt;$J$2,F290&gt;Reprogramaciones!$T$15+69)),"Fuera de las 10 semanas",IF(ABS(SUM(G290:P290)-100)&gt;0.5,"La meta no suma 100%",IF(ROUND(SUM(Q290:AF290),1)&gt;100.5,"El avance pasa de 100%",IF(MIN(Q290:AF290)&lt;0,"Avance negativo",IF(COUNTA(Q290:AF290)&gt;COUNT(Q290:AF290),"Avance escrito como texto",IF(SUMPRODUCT((Q290:AF290&gt;0)*(Q290:AF290&lt;1))&gt;0,"Avance menor a 1: escribe 50, no 50%",IF(SUMPRODUCT(ISNUMBER(Q290:AF290)*(Reprogramaciones!$K$8:$Z$8&gt;TODAY()))&gt;0,"Avance en semana que aún no llega",IF(AND(N(Reprogramaciones!$E$21)&gt;0,F290&gt;Reprogramaciones!$E$21),"Pasa el fin de la obra: registra una reprogramación",IF(AND(N(Reprogramaciones!$E$21)&gt;0,SUMPRODUCT(ISNUMBER(Q290:AF290)*(Reprogramaciones!$K$8:$Z$8&gt;Reprogramaciones!$E$21))&gt;0),"Avance después del fin de la obra: registra una reprogramación por atraso","OK"))))))))))))))))</f>
        <v/>
      </c>
      <c r="AM290" s="40" t="str">
        <f aca="false">IF(OR(OR(NOT(AND(ISNUMBER(E290),ISNUMBER(F290))),$J$2=""),1&gt;MAX(1,Reprogramaciones!$U$15)),"",IF(Reprogramaciones!K$12&gt;=7,"",IF(OR(BT290-N(0)&gt;0.05,N(Q290)&gt;0),ROUNDDOWN(ROUND(BT290,6),0)&amp;"%"&amp;IF(CJ290="",""," / "&amp;CJ290&amp;"%"),IF(AND(N(0)&gt;=99.95,CJ290&lt;&gt;"",N(CJ290)&lt;100),"Pend. "&amp;CJ290&amp;"%",""))))</f>
        <v/>
      </c>
      <c r="AN290" s="40" t="str">
        <f aca="false">IF(OR(OR(NOT(AND(ISNUMBER(E290),ISNUMBER(F290))),$J$2=""),2&gt;MAX(1,Reprogramaciones!$U$15)),"",IF(Reprogramaciones!L$12&gt;=7,"",IF(OR(BU290-N(BT290)&gt;0.05,N(R290)&gt;0),ROUNDDOWN(ROUND(BU290,6),0)&amp;"%"&amp;IF(CK290="",""," / "&amp;CK290&amp;"%"),IF(AND(N(BT290)&gt;=99.95,CK290&lt;&gt;"",N(CK290)&lt;100),"Pend. "&amp;CK290&amp;"%",""))))</f>
        <v/>
      </c>
      <c r="AO290" s="40" t="str">
        <f aca="false">IF(OR(OR(NOT(AND(ISNUMBER(E290),ISNUMBER(F290))),$J$2=""),3&gt;MAX(1,Reprogramaciones!$U$15)),"",IF(Reprogramaciones!M$12&gt;=7,"",IF(OR(BV290-N(BU290)&gt;0.05,N(S290)&gt;0),ROUNDDOWN(ROUND(BV290,6),0)&amp;"%"&amp;IF(CL290="",""," / "&amp;CL290&amp;"%"),IF(AND(N(BU290)&gt;=99.95,CL290&lt;&gt;"",N(CL290)&lt;100),"Pend. "&amp;CL290&amp;"%",""))))</f>
        <v/>
      </c>
      <c r="AP290" s="40" t="str">
        <f aca="false">IF(OR(OR(NOT(AND(ISNUMBER(E290),ISNUMBER(F290))),$J$2=""),4&gt;MAX(1,Reprogramaciones!$U$15)),"",IF(Reprogramaciones!N$12&gt;=7,"",IF(OR(BW290-N(BV290)&gt;0.05,N(T290)&gt;0),ROUNDDOWN(ROUND(BW290,6),0)&amp;"%"&amp;IF(CM290="",""," / "&amp;CM290&amp;"%"),IF(AND(N(BV290)&gt;=99.95,CM290&lt;&gt;"",N(CM290)&lt;100),"Pend. "&amp;CM290&amp;"%",""))))</f>
        <v/>
      </c>
      <c r="AQ290" s="40" t="str">
        <f aca="false">IF(OR(OR(NOT(AND(ISNUMBER(E290),ISNUMBER(F290))),$J$2=""),5&gt;MAX(1,Reprogramaciones!$U$15)),"",IF(Reprogramaciones!O$12&gt;=7,"",IF(OR(BX290-N(BW290)&gt;0.05,N(U290)&gt;0),ROUNDDOWN(ROUND(BX290,6),0)&amp;"%"&amp;IF(CN290="",""," / "&amp;CN290&amp;"%"),IF(AND(N(BW290)&gt;=99.95,CN290&lt;&gt;"",N(CN290)&lt;100),"Pend. "&amp;CN290&amp;"%",""))))</f>
        <v/>
      </c>
      <c r="AR290" s="40" t="str">
        <f aca="false">IF(OR(OR(NOT(AND(ISNUMBER(E290),ISNUMBER(F290))),$J$2=""),6&gt;MAX(1,Reprogramaciones!$U$15)),"",IF(Reprogramaciones!P$12&gt;=7,"",IF(OR(BY290-N(BX290)&gt;0.05,N(V290)&gt;0),ROUNDDOWN(ROUND(BY290,6),0)&amp;"%"&amp;IF(CO290="",""," / "&amp;CO290&amp;"%"),IF(AND(N(BX290)&gt;=99.95,CO290&lt;&gt;"",N(CO290)&lt;100),"Pend. "&amp;CO290&amp;"%",""))))</f>
        <v/>
      </c>
      <c r="AS290" s="40" t="str">
        <f aca="false">IF(OR(OR(NOT(AND(ISNUMBER(E290),ISNUMBER(F290))),$J$2=""),7&gt;MAX(1,Reprogramaciones!$U$15)),"",IF(Reprogramaciones!Q$12&gt;=7,"",IF(OR(BZ290-N(BY290)&gt;0.05,N(W290)&gt;0),ROUNDDOWN(ROUND(BZ290,6),0)&amp;"%"&amp;IF(CP290="",""," / "&amp;CP290&amp;"%"),IF(AND(N(BY290)&gt;=99.95,CP290&lt;&gt;"",N(CP290)&lt;100),"Pend. "&amp;CP290&amp;"%",""))))</f>
        <v/>
      </c>
      <c r="AT290" s="40" t="str">
        <f aca="false">IF(OR(OR(NOT(AND(ISNUMBER(E290),ISNUMBER(F290))),$J$2=""),8&gt;MAX(1,Reprogramaciones!$U$15)),"",IF(Reprogramaciones!R$12&gt;=7,"",IF(OR(CA290-N(BZ290)&gt;0.05,N(X290)&gt;0),ROUNDDOWN(ROUND(CA290,6),0)&amp;"%"&amp;IF(CQ290="",""," / "&amp;CQ290&amp;"%"),IF(AND(N(BZ290)&gt;=99.95,CQ290&lt;&gt;"",N(CQ290)&lt;100),"Pend. "&amp;CQ290&amp;"%",""))))</f>
        <v/>
      </c>
      <c r="AU290" s="40" t="str">
        <f aca="false">IF(OR(OR(NOT(AND(ISNUMBER(E290),ISNUMBER(F290))),$J$2=""),9&gt;MAX(1,Reprogramaciones!$U$15)),"",IF(Reprogramaciones!S$12&gt;=7,"",IF(OR(CB290-N(CA290)&gt;0.05,N(Y290)&gt;0),ROUNDDOWN(ROUND(CB290,6),0)&amp;"%"&amp;IF(CR290="",""," / "&amp;CR290&amp;"%"),IF(AND(N(CA290)&gt;=99.95,CR290&lt;&gt;"",N(CR290)&lt;100),"Pend. "&amp;CR290&amp;"%",""))))</f>
        <v/>
      </c>
      <c r="AV290" s="40" t="str">
        <f aca="false">IF(OR(OR(NOT(AND(ISNUMBER(E290),ISNUMBER(F290))),$J$2=""),10&gt;MAX(1,Reprogramaciones!$U$15)),"",IF(Reprogramaciones!T$12&gt;=7,"",IF(OR(CC290-N(CB290)&gt;0.05,N(Z290)&gt;0),ROUNDDOWN(ROUND(CC290,6),0)&amp;"%"&amp;IF(CS290="",""," / "&amp;CS290&amp;"%"),IF(AND(N(CB290)&gt;=99.95,CS290&lt;&gt;"",N(CS290)&lt;100),"Pend. "&amp;CS290&amp;"%",""))))</f>
        <v/>
      </c>
      <c r="AW290" s="40" t="str">
        <f aca="false">IF(OR(OR(NOT(AND(ISNUMBER(E290),ISNUMBER(F290))),$J$2=""),11&gt;MAX(1,Reprogramaciones!$U$15)),"",IF(Reprogramaciones!U$12&gt;=7,"",IF(OR(CD290-N(CC290)&gt;0.05,N(AA290)&gt;0),ROUNDDOWN(ROUND(CD290,6),0)&amp;"%"&amp;IF(CT290="",""," / "&amp;CT290&amp;"%"),IF(AND(N(CC290)&gt;=99.95,CT290&lt;&gt;"",N(CT290)&lt;100),"Pend. "&amp;CT290&amp;"%",""))))</f>
        <v/>
      </c>
      <c r="AX290" s="40" t="str">
        <f aca="false">IF(OR(OR(NOT(AND(ISNUMBER(E290),ISNUMBER(F290))),$J$2=""),12&gt;MAX(1,Reprogramaciones!$U$15)),"",IF(Reprogramaciones!V$12&gt;=7,"",IF(OR(CE290-N(CD290)&gt;0.05,N(AB290)&gt;0),ROUNDDOWN(ROUND(CE290,6),0)&amp;"%"&amp;IF(CU290="",""," / "&amp;CU290&amp;"%"),IF(AND(N(CD290)&gt;=99.95,CU290&lt;&gt;"",N(CU290)&lt;100),"Pend. "&amp;CU290&amp;"%",""))))</f>
        <v/>
      </c>
      <c r="AY290" s="40" t="str">
        <f aca="false">IF(OR(OR(NOT(AND(ISNUMBER(E290),ISNUMBER(F290))),$J$2=""),13&gt;MAX(1,Reprogramaciones!$U$15)),"",IF(Reprogramaciones!W$12&gt;=7,"",IF(OR(CF290-N(CE290)&gt;0.05,N(AC290)&gt;0),ROUNDDOWN(ROUND(CF290,6),0)&amp;"%"&amp;IF(CV290="",""," / "&amp;CV290&amp;"%"),IF(AND(N(CE290)&gt;=99.95,CV290&lt;&gt;"",N(CV290)&lt;100),"Pend. "&amp;CV290&amp;"%",""))))</f>
        <v/>
      </c>
      <c r="AZ290" s="40" t="str">
        <f aca="false">IF(OR(OR(NOT(AND(ISNUMBER(E290),ISNUMBER(F290))),$J$2=""),14&gt;MAX(1,Reprogramaciones!$U$15)),"",IF(Reprogramaciones!X$12&gt;=7,"",IF(OR(CG290-N(CF290)&gt;0.05,N(AD290)&gt;0),ROUNDDOWN(ROUND(CG290,6),0)&amp;"%"&amp;IF(CW290="",""," / "&amp;CW290&amp;"%"),IF(AND(N(CF290)&gt;=99.95,CW290&lt;&gt;"",N(CW290)&lt;100),"Pend. "&amp;CW290&amp;"%",""))))</f>
        <v/>
      </c>
      <c r="BA290" s="40" t="str">
        <f aca="false">IF(OR(OR(NOT(AND(ISNUMBER(E290),ISNUMBER(F290))),$J$2=""),15&gt;MAX(1,Reprogramaciones!$U$15)),"",IF(Reprogramaciones!Y$12&gt;=7,"",IF(OR(CH290-N(CG290)&gt;0.05,N(AE290)&gt;0),ROUNDDOWN(ROUND(CH290,6),0)&amp;"%"&amp;IF(CX290="",""," / "&amp;CX290&amp;"%"),IF(AND(N(CG290)&gt;=99.95,CX290&lt;&gt;"",N(CX290)&lt;100),"Pend. "&amp;CX290&amp;"%",""))))</f>
        <v/>
      </c>
      <c r="BB290" s="40" t="str">
        <f aca="false">IF(OR(OR(NOT(AND(ISNUMBER(E290),ISNUMBER(F290))),$J$2=""),16&gt;MAX(1,Reprogramaciones!$U$15)),"",IF(Reprogramaciones!Z$12&gt;=7,"",IF(OR(CI290-N(CH290)&gt;0.05,N(AF290)&gt;0),ROUNDDOWN(ROUND(CI290,6),0)&amp;"%"&amp;IF(CY290="",""," / "&amp;CY290&amp;"%"),IF(AND(N(CH290)&gt;=99.95,CY290&lt;&gt;"",N(CY290)&lt;100),"Pend. "&amp;CY290&amp;"%",""))))</f>
        <v/>
      </c>
      <c r="BC290" s="31" t="n">
        <f aca="false">IF(AND(ISNUMBER(E290),ISNUMBER(F290)),MAX(1,NETWORKDAYS.INTL(E290,F290,11)),0)</f>
        <v>0</v>
      </c>
      <c r="BD290" s="1" t="str">
        <f aca="false">IF(OR(NOT(AND(ISNUMBER(E290),ISNUMBER(F290))),$J$2=""),"",MIN(100,ROUND(SUM($G290:G290),1)))</f>
        <v/>
      </c>
      <c r="BE290" s="1" t="str">
        <f aca="false">IF(OR(NOT(AND(ISNUMBER(E290),ISNUMBER(F290))),$J$2=""),"",MIN(100,ROUND(SUM($G290:H290),1)))</f>
        <v/>
      </c>
      <c r="BF290" s="1" t="str">
        <f aca="false">IF(OR(NOT(AND(ISNUMBER(E290),ISNUMBER(F290))),$J$2=""),"",MIN(100,ROUND(SUM($G290:I290),1)))</f>
        <v/>
      </c>
      <c r="BG290" s="1" t="str">
        <f aca="false">IF(OR(NOT(AND(ISNUMBER(E290),ISNUMBER(F290))),$J$2=""),"",MIN(100,ROUND(SUM($G290:J290),1)))</f>
        <v/>
      </c>
      <c r="BH290" s="1" t="str">
        <f aca="false">IF(OR(NOT(AND(ISNUMBER(E290),ISNUMBER(F290))),$J$2=""),"",MIN(100,ROUND(SUM($G290:K290),1)))</f>
        <v/>
      </c>
      <c r="BI290" s="1" t="str">
        <f aca="false">IF(OR(NOT(AND(ISNUMBER(E290),ISNUMBER(F290))),$J$2=""),"",MIN(100,ROUND(SUM($G290:L290),1)))</f>
        <v/>
      </c>
      <c r="BJ290" s="1" t="str">
        <f aca="false">IF(OR(NOT(AND(ISNUMBER(E290),ISNUMBER(F290))),$J$2=""),"",MIN(100,ROUND(SUM($G290:M290),1)))</f>
        <v/>
      </c>
      <c r="BK290" s="1" t="str">
        <f aca="false">IF(OR(NOT(AND(ISNUMBER(E290),ISNUMBER(F290))),$J$2=""),"",MIN(100,ROUND(SUM($G290:N290),1)))</f>
        <v/>
      </c>
      <c r="BL290" s="1" t="str">
        <f aca="false">IF(OR(NOT(AND(ISNUMBER(E290),ISNUMBER(F290))),$J$2=""),"",MIN(100,ROUND(SUM($G290:O290),1)))</f>
        <v/>
      </c>
      <c r="BM290" s="1" t="str">
        <f aca="false">IF(OR(NOT(AND(ISNUMBER(E290),ISNUMBER(F290))),$J$2=""),"",MIN(100,ROUND(SUM($G290:P290),1)))</f>
        <v/>
      </c>
      <c r="BN290" s="1" t="str">
        <f aca="false">IF(OR(NOT(AND(ISNUMBER(E290),ISNUMBER(F290))),$J$2=""),"",MIN(100,ROUND(SUM($G290:P290),1)))</f>
        <v/>
      </c>
      <c r="BO290" s="1" t="str">
        <f aca="false">IF(OR(NOT(AND(ISNUMBER(E290),ISNUMBER(F290))),$J$2=""),"",MIN(100,ROUND(SUM($G290:P290),1)))</f>
        <v/>
      </c>
      <c r="BP290" s="1" t="str">
        <f aca="false">IF(OR(NOT(AND(ISNUMBER(E290),ISNUMBER(F290))),$J$2=""),"",MIN(100,ROUND(SUM($G290:P290),1)))</f>
        <v/>
      </c>
      <c r="BQ290" s="1" t="str">
        <f aca="false">IF(OR(NOT(AND(ISNUMBER(E290),ISNUMBER(F290))),$J$2=""),"",MIN(100,ROUND(SUM($G290:P290),1)))</f>
        <v/>
      </c>
      <c r="BR290" s="1" t="str">
        <f aca="false">IF(OR(NOT(AND(ISNUMBER(E290),ISNUMBER(F290))),$J$2=""),"",MIN(100,ROUND(SUM($G290:P290),1)))</f>
        <v/>
      </c>
      <c r="BS290" s="1" t="str">
        <f aca="false">IF(OR(NOT(AND(ISNUMBER(E290),ISNUMBER(F290))),$J$2=""),"",MIN(100,ROUND(SUM($G290:P290),1)))</f>
        <v/>
      </c>
      <c r="BT290" s="1" t="str">
        <f aca="false">IF(OR(NOT(AND(ISNUMBER(E290),ISNUMBER(F290))),$J$2=""),"",IF(Reprogramaciones!K$13&lt;Reprogramaciones!$T$15,0,IF(Reprogramaciones!K$14&gt;10,MIN(100,SUM($G290:$P290)),MIN(100,SUMPRODUCT((COLUMN($G290:$P290)-COLUMN($G290)+1&lt;Reprogramaciones!K$14)*$G290:$P290)+N(INDEX($G290:$P290,1,Reprogramaciones!K$14))*IF(Reprogramaciones!K$13&gt;=(Reprogramaciones!$T$15+7*(Reprogramaciones!K$14-1))+6,1,IF(MAX(0,NETWORKDAYS.INTL(MAX(E290,(Reprogramaciones!$T$15+7*(Reprogramaciones!K$14-1))),MIN(F290,(Reprogramaciones!$T$15+7*(Reprogramaciones!K$14-1))+6),11))=0,0,MAX(0,NETWORKDAYS.INTL(MAX(E290,(Reprogramaciones!$T$15+7*(Reprogramaciones!K$14-1))),MIN(F290,Reprogramaciones!K$13),11))/MAX(0,NETWORKDAYS.INTL(MAX(E290,(Reprogramaciones!$T$15+7*(Reprogramaciones!K$14-1))),MIN(F290,(Reprogramaciones!$T$15+7*(Reprogramaciones!K$14-1))+6),11))))))))</f>
        <v/>
      </c>
      <c r="BU290" s="1" t="str">
        <f aca="false">IF(OR(NOT(AND(ISNUMBER(E290),ISNUMBER(F290))),$J$2=""),"",IF(Reprogramaciones!L$13&lt;Reprogramaciones!$T$15,0,IF(Reprogramaciones!L$14&gt;10,MIN(100,SUM($G290:$P290)),MIN(100,SUMPRODUCT((COLUMN($G290:$P290)-COLUMN($G290)+1&lt;Reprogramaciones!L$14)*$G290:$P290)+N(INDEX($G290:$P290,1,Reprogramaciones!L$14))*IF(Reprogramaciones!L$13&gt;=(Reprogramaciones!$T$15+7*(Reprogramaciones!L$14-1))+6,1,IF(MAX(0,NETWORKDAYS.INTL(MAX(E290,(Reprogramaciones!$T$15+7*(Reprogramaciones!L$14-1))),MIN(F290,(Reprogramaciones!$T$15+7*(Reprogramaciones!L$14-1))+6),11))=0,0,MAX(0,NETWORKDAYS.INTL(MAX(E290,(Reprogramaciones!$T$15+7*(Reprogramaciones!L$14-1))),MIN(F290,Reprogramaciones!L$13),11))/MAX(0,NETWORKDAYS.INTL(MAX(E290,(Reprogramaciones!$T$15+7*(Reprogramaciones!L$14-1))),MIN(F290,(Reprogramaciones!$T$15+7*(Reprogramaciones!L$14-1))+6),11))))))))</f>
        <v/>
      </c>
      <c r="BV290" s="1" t="str">
        <f aca="false">IF(OR(NOT(AND(ISNUMBER(E290),ISNUMBER(F290))),$J$2=""),"",IF(Reprogramaciones!M$13&lt;Reprogramaciones!$T$15,0,IF(Reprogramaciones!M$14&gt;10,MIN(100,SUM($G290:$P290)),MIN(100,SUMPRODUCT((COLUMN($G290:$P290)-COLUMN($G290)+1&lt;Reprogramaciones!M$14)*$G290:$P290)+N(INDEX($G290:$P290,1,Reprogramaciones!M$14))*IF(Reprogramaciones!M$13&gt;=(Reprogramaciones!$T$15+7*(Reprogramaciones!M$14-1))+6,1,IF(MAX(0,NETWORKDAYS.INTL(MAX(E290,(Reprogramaciones!$T$15+7*(Reprogramaciones!M$14-1))),MIN(F290,(Reprogramaciones!$T$15+7*(Reprogramaciones!M$14-1))+6),11))=0,0,MAX(0,NETWORKDAYS.INTL(MAX(E290,(Reprogramaciones!$T$15+7*(Reprogramaciones!M$14-1))),MIN(F290,Reprogramaciones!M$13),11))/MAX(0,NETWORKDAYS.INTL(MAX(E290,(Reprogramaciones!$T$15+7*(Reprogramaciones!M$14-1))),MIN(F290,(Reprogramaciones!$T$15+7*(Reprogramaciones!M$14-1))+6),11))))))))</f>
        <v/>
      </c>
      <c r="BW290" s="1" t="str">
        <f aca="false">IF(OR(NOT(AND(ISNUMBER(E290),ISNUMBER(F290))),$J$2=""),"",IF(Reprogramaciones!N$13&lt;Reprogramaciones!$T$15,0,IF(Reprogramaciones!N$14&gt;10,MIN(100,SUM($G290:$P290)),MIN(100,SUMPRODUCT((COLUMN($G290:$P290)-COLUMN($G290)+1&lt;Reprogramaciones!N$14)*$G290:$P290)+N(INDEX($G290:$P290,1,Reprogramaciones!N$14))*IF(Reprogramaciones!N$13&gt;=(Reprogramaciones!$T$15+7*(Reprogramaciones!N$14-1))+6,1,IF(MAX(0,NETWORKDAYS.INTL(MAX(E290,(Reprogramaciones!$T$15+7*(Reprogramaciones!N$14-1))),MIN(F290,(Reprogramaciones!$T$15+7*(Reprogramaciones!N$14-1))+6),11))=0,0,MAX(0,NETWORKDAYS.INTL(MAX(E290,(Reprogramaciones!$T$15+7*(Reprogramaciones!N$14-1))),MIN(F290,Reprogramaciones!N$13),11))/MAX(0,NETWORKDAYS.INTL(MAX(E290,(Reprogramaciones!$T$15+7*(Reprogramaciones!N$14-1))),MIN(F290,(Reprogramaciones!$T$15+7*(Reprogramaciones!N$14-1))+6),11))))))))</f>
        <v/>
      </c>
      <c r="BX290" s="1" t="str">
        <f aca="false">IF(OR(NOT(AND(ISNUMBER(E290),ISNUMBER(F290))),$J$2=""),"",IF(Reprogramaciones!O$13&lt;Reprogramaciones!$T$15,0,IF(Reprogramaciones!O$14&gt;10,MIN(100,SUM($G290:$P290)),MIN(100,SUMPRODUCT((COLUMN($G290:$P290)-COLUMN($G290)+1&lt;Reprogramaciones!O$14)*$G290:$P290)+N(INDEX($G290:$P290,1,Reprogramaciones!O$14))*IF(Reprogramaciones!O$13&gt;=(Reprogramaciones!$T$15+7*(Reprogramaciones!O$14-1))+6,1,IF(MAX(0,NETWORKDAYS.INTL(MAX(E290,(Reprogramaciones!$T$15+7*(Reprogramaciones!O$14-1))),MIN(F290,(Reprogramaciones!$T$15+7*(Reprogramaciones!O$14-1))+6),11))=0,0,MAX(0,NETWORKDAYS.INTL(MAX(E290,(Reprogramaciones!$T$15+7*(Reprogramaciones!O$14-1))),MIN(F290,Reprogramaciones!O$13),11))/MAX(0,NETWORKDAYS.INTL(MAX(E290,(Reprogramaciones!$T$15+7*(Reprogramaciones!O$14-1))),MIN(F290,(Reprogramaciones!$T$15+7*(Reprogramaciones!O$14-1))+6),11))))))))</f>
        <v/>
      </c>
      <c r="BY290" s="1" t="str">
        <f aca="false">IF(OR(NOT(AND(ISNUMBER(E290),ISNUMBER(F290))),$J$2=""),"",IF(Reprogramaciones!P$13&lt;Reprogramaciones!$T$15,0,IF(Reprogramaciones!P$14&gt;10,MIN(100,SUM($G290:$P290)),MIN(100,SUMPRODUCT((COLUMN($G290:$P290)-COLUMN($G290)+1&lt;Reprogramaciones!P$14)*$G290:$P290)+N(INDEX($G290:$P290,1,Reprogramaciones!P$14))*IF(Reprogramaciones!P$13&gt;=(Reprogramaciones!$T$15+7*(Reprogramaciones!P$14-1))+6,1,IF(MAX(0,NETWORKDAYS.INTL(MAX(E290,(Reprogramaciones!$T$15+7*(Reprogramaciones!P$14-1))),MIN(F290,(Reprogramaciones!$T$15+7*(Reprogramaciones!P$14-1))+6),11))=0,0,MAX(0,NETWORKDAYS.INTL(MAX(E290,(Reprogramaciones!$T$15+7*(Reprogramaciones!P$14-1))),MIN(F290,Reprogramaciones!P$13),11))/MAX(0,NETWORKDAYS.INTL(MAX(E290,(Reprogramaciones!$T$15+7*(Reprogramaciones!P$14-1))),MIN(F290,(Reprogramaciones!$T$15+7*(Reprogramaciones!P$14-1))+6),11))))))))</f>
        <v/>
      </c>
      <c r="BZ290" s="1" t="str">
        <f aca="false">IF(OR(NOT(AND(ISNUMBER(E290),ISNUMBER(F290))),$J$2=""),"",IF(Reprogramaciones!Q$13&lt;Reprogramaciones!$T$15,0,IF(Reprogramaciones!Q$14&gt;10,MIN(100,SUM($G290:$P290)),MIN(100,SUMPRODUCT((COLUMN($G290:$P290)-COLUMN($G290)+1&lt;Reprogramaciones!Q$14)*$G290:$P290)+N(INDEX($G290:$P290,1,Reprogramaciones!Q$14))*IF(Reprogramaciones!Q$13&gt;=(Reprogramaciones!$T$15+7*(Reprogramaciones!Q$14-1))+6,1,IF(MAX(0,NETWORKDAYS.INTL(MAX(E290,(Reprogramaciones!$T$15+7*(Reprogramaciones!Q$14-1))),MIN(F290,(Reprogramaciones!$T$15+7*(Reprogramaciones!Q$14-1))+6),11))=0,0,MAX(0,NETWORKDAYS.INTL(MAX(E290,(Reprogramaciones!$T$15+7*(Reprogramaciones!Q$14-1))),MIN(F290,Reprogramaciones!Q$13),11))/MAX(0,NETWORKDAYS.INTL(MAX(E290,(Reprogramaciones!$T$15+7*(Reprogramaciones!Q$14-1))),MIN(F290,(Reprogramaciones!$T$15+7*(Reprogramaciones!Q$14-1))+6),11))))))))</f>
        <v/>
      </c>
      <c r="CA290" s="1" t="str">
        <f aca="false">IF(OR(NOT(AND(ISNUMBER(E290),ISNUMBER(F290))),$J$2=""),"",IF(Reprogramaciones!R$13&lt;Reprogramaciones!$T$15,0,IF(Reprogramaciones!R$14&gt;10,MIN(100,SUM($G290:$P290)),MIN(100,SUMPRODUCT((COLUMN($G290:$P290)-COLUMN($G290)+1&lt;Reprogramaciones!R$14)*$G290:$P290)+N(INDEX($G290:$P290,1,Reprogramaciones!R$14))*IF(Reprogramaciones!R$13&gt;=(Reprogramaciones!$T$15+7*(Reprogramaciones!R$14-1))+6,1,IF(MAX(0,NETWORKDAYS.INTL(MAX(E290,(Reprogramaciones!$T$15+7*(Reprogramaciones!R$14-1))),MIN(F290,(Reprogramaciones!$T$15+7*(Reprogramaciones!R$14-1))+6),11))=0,0,MAX(0,NETWORKDAYS.INTL(MAX(E290,(Reprogramaciones!$T$15+7*(Reprogramaciones!R$14-1))),MIN(F290,Reprogramaciones!R$13),11))/MAX(0,NETWORKDAYS.INTL(MAX(E290,(Reprogramaciones!$T$15+7*(Reprogramaciones!R$14-1))),MIN(F290,(Reprogramaciones!$T$15+7*(Reprogramaciones!R$14-1))+6),11))))))))</f>
        <v/>
      </c>
      <c r="CB290" s="1" t="str">
        <f aca="false">IF(OR(NOT(AND(ISNUMBER(E290),ISNUMBER(F290))),$J$2=""),"",IF(Reprogramaciones!S$13&lt;Reprogramaciones!$T$15,0,IF(Reprogramaciones!S$14&gt;10,MIN(100,SUM($G290:$P290)),MIN(100,SUMPRODUCT((COLUMN($G290:$P290)-COLUMN($G290)+1&lt;Reprogramaciones!S$14)*$G290:$P290)+N(INDEX($G290:$P290,1,Reprogramaciones!S$14))*IF(Reprogramaciones!S$13&gt;=(Reprogramaciones!$T$15+7*(Reprogramaciones!S$14-1))+6,1,IF(MAX(0,NETWORKDAYS.INTL(MAX(E290,(Reprogramaciones!$T$15+7*(Reprogramaciones!S$14-1))),MIN(F290,(Reprogramaciones!$T$15+7*(Reprogramaciones!S$14-1))+6),11))=0,0,MAX(0,NETWORKDAYS.INTL(MAX(E290,(Reprogramaciones!$T$15+7*(Reprogramaciones!S$14-1))),MIN(F290,Reprogramaciones!S$13),11))/MAX(0,NETWORKDAYS.INTL(MAX(E290,(Reprogramaciones!$T$15+7*(Reprogramaciones!S$14-1))),MIN(F290,(Reprogramaciones!$T$15+7*(Reprogramaciones!S$14-1))+6),11))))))))</f>
        <v/>
      </c>
      <c r="CC290" s="1" t="str">
        <f aca="false">IF(OR(NOT(AND(ISNUMBER(E290),ISNUMBER(F290))),$J$2=""),"",IF(Reprogramaciones!T$13&lt;Reprogramaciones!$T$15,0,IF(Reprogramaciones!T$14&gt;10,MIN(100,SUM($G290:$P290)),MIN(100,SUMPRODUCT((COLUMN($G290:$P290)-COLUMN($G290)+1&lt;Reprogramaciones!T$14)*$G290:$P290)+N(INDEX($G290:$P290,1,Reprogramaciones!T$14))*IF(Reprogramaciones!T$13&gt;=(Reprogramaciones!$T$15+7*(Reprogramaciones!T$14-1))+6,1,IF(MAX(0,NETWORKDAYS.INTL(MAX(E290,(Reprogramaciones!$T$15+7*(Reprogramaciones!T$14-1))),MIN(F290,(Reprogramaciones!$T$15+7*(Reprogramaciones!T$14-1))+6),11))=0,0,MAX(0,NETWORKDAYS.INTL(MAX(E290,(Reprogramaciones!$T$15+7*(Reprogramaciones!T$14-1))),MIN(F290,Reprogramaciones!T$13),11))/MAX(0,NETWORKDAYS.INTL(MAX(E290,(Reprogramaciones!$T$15+7*(Reprogramaciones!T$14-1))),MIN(F290,(Reprogramaciones!$T$15+7*(Reprogramaciones!T$14-1))+6),11))))))))</f>
        <v/>
      </c>
      <c r="CD290" s="1" t="str">
        <f aca="false">IF(OR(NOT(AND(ISNUMBER(E290),ISNUMBER(F290))),$J$2=""),"",IF(Reprogramaciones!U$13&lt;Reprogramaciones!$T$15,0,IF(Reprogramaciones!U$14&gt;10,MIN(100,SUM($G290:$P290)),MIN(100,SUMPRODUCT((COLUMN($G290:$P290)-COLUMN($G290)+1&lt;Reprogramaciones!U$14)*$G290:$P290)+N(INDEX($G290:$P290,1,Reprogramaciones!U$14))*IF(Reprogramaciones!U$13&gt;=(Reprogramaciones!$T$15+7*(Reprogramaciones!U$14-1))+6,1,IF(MAX(0,NETWORKDAYS.INTL(MAX(E290,(Reprogramaciones!$T$15+7*(Reprogramaciones!U$14-1))),MIN(F290,(Reprogramaciones!$T$15+7*(Reprogramaciones!U$14-1))+6),11))=0,0,MAX(0,NETWORKDAYS.INTL(MAX(E290,(Reprogramaciones!$T$15+7*(Reprogramaciones!U$14-1))),MIN(F290,Reprogramaciones!U$13),11))/MAX(0,NETWORKDAYS.INTL(MAX(E290,(Reprogramaciones!$T$15+7*(Reprogramaciones!U$14-1))),MIN(F290,(Reprogramaciones!$T$15+7*(Reprogramaciones!U$14-1))+6),11))))))))</f>
        <v/>
      </c>
      <c r="CE290" s="1" t="str">
        <f aca="false">IF(OR(NOT(AND(ISNUMBER(E290),ISNUMBER(F290))),$J$2=""),"",IF(Reprogramaciones!V$13&lt;Reprogramaciones!$T$15,0,IF(Reprogramaciones!V$14&gt;10,MIN(100,SUM($G290:$P290)),MIN(100,SUMPRODUCT((COLUMN($G290:$P290)-COLUMN($G290)+1&lt;Reprogramaciones!V$14)*$G290:$P290)+N(INDEX($G290:$P290,1,Reprogramaciones!V$14))*IF(Reprogramaciones!V$13&gt;=(Reprogramaciones!$T$15+7*(Reprogramaciones!V$14-1))+6,1,IF(MAX(0,NETWORKDAYS.INTL(MAX(E290,(Reprogramaciones!$T$15+7*(Reprogramaciones!V$14-1))),MIN(F290,(Reprogramaciones!$T$15+7*(Reprogramaciones!V$14-1))+6),11))=0,0,MAX(0,NETWORKDAYS.INTL(MAX(E290,(Reprogramaciones!$T$15+7*(Reprogramaciones!V$14-1))),MIN(F290,Reprogramaciones!V$13),11))/MAX(0,NETWORKDAYS.INTL(MAX(E290,(Reprogramaciones!$T$15+7*(Reprogramaciones!V$14-1))),MIN(F290,(Reprogramaciones!$T$15+7*(Reprogramaciones!V$14-1))+6),11))))))))</f>
        <v/>
      </c>
      <c r="CF290" s="1" t="str">
        <f aca="false">IF(OR(NOT(AND(ISNUMBER(E290),ISNUMBER(F290))),$J$2=""),"",IF(Reprogramaciones!W$13&lt;Reprogramaciones!$T$15,0,IF(Reprogramaciones!W$14&gt;10,MIN(100,SUM($G290:$P290)),MIN(100,SUMPRODUCT((COLUMN($G290:$P290)-COLUMN($G290)+1&lt;Reprogramaciones!W$14)*$G290:$P290)+N(INDEX($G290:$P290,1,Reprogramaciones!W$14))*IF(Reprogramaciones!W$13&gt;=(Reprogramaciones!$T$15+7*(Reprogramaciones!W$14-1))+6,1,IF(MAX(0,NETWORKDAYS.INTL(MAX(E290,(Reprogramaciones!$T$15+7*(Reprogramaciones!W$14-1))),MIN(F290,(Reprogramaciones!$T$15+7*(Reprogramaciones!W$14-1))+6),11))=0,0,MAX(0,NETWORKDAYS.INTL(MAX(E290,(Reprogramaciones!$T$15+7*(Reprogramaciones!W$14-1))),MIN(F290,Reprogramaciones!W$13),11))/MAX(0,NETWORKDAYS.INTL(MAX(E290,(Reprogramaciones!$T$15+7*(Reprogramaciones!W$14-1))),MIN(F290,(Reprogramaciones!$T$15+7*(Reprogramaciones!W$14-1))+6),11))))))))</f>
        <v/>
      </c>
      <c r="CG290" s="1" t="str">
        <f aca="false">IF(OR(NOT(AND(ISNUMBER(E290),ISNUMBER(F290))),$J$2=""),"",IF(Reprogramaciones!X$13&lt;Reprogramaciones!$T$15,0,IF(Reprogramaciones!X$14&gt;10,MIN(100,SUM($G290:$P290)),MIN(100,SUMPRODUCT((COLUMN($G290:$P290)-COLUMN($G290)+1&lt;Reprogramaciones!X$14)*$G290:$P290)+N(INDEX($G290:$P290,1,Reprogramaciones!X$14))*IF(Reprogramaciones!X$13&gt;=(Reprogramaciones!$T$15+7*(Reprogramaciones!X$14-1))+6,1,IF(MAX(0,NETWORKDAYS.INTL(MAX(E290,(Reprogramaciones!$T$15+7*(Reprogramaciones!X$14-1))),MIN(F290,(Reprogramaciones!$T$15+7*(Reprogramaciones!X$14-1))+6),11))=0,0,MAX(0,NETWORKDAYS.INTL(MAX(E290,(Reprogramaciones!$T$15+7*(Reprogramaciones!X$14-1))),MIN(F290,Reprogramaciones!X$13),11))/MAX(0,NETWORKDAYS.INTL(MAX(E290,(Reprogramaciones!$T$15+7*(Reprogramaciones!X$14-1))),MIN(F290,(Reprogramaciones!$T$15+7*(Reprogramaciones!X$14-1))+6),11))))))))</f>
        <v/>
      </c>
      <c r="CH290" s="1" t="str">
        <f aca="false">IF(OR(NOT(AND(ISNUMBER(E290),ISNUMBER(F290))),$J$2=""),"",IF(Reprogramaciones!Y$13&lt;Reprogramaciones!$T$15,0,IF(Reprogramaciones!Y$14&gt;10,MIN(100,SUM($G290:$P290)),MIN(100,SUMPRODUCT((COLUMN($G290:$P290)-COLUMN($G290)+1&lt;Reprogramaciones!Y$14)*$G290:$P290)+N(INDEX($G290:$P290,1,Reprogramaciones!Y$14))*IF(Reprogramaciones!Y$13&gt;=(Reprogramaciones!$T$15+7*(Reprogramaciones!Y$14-1))+6,1,IF(MAX(0,NETWORKDAYS.INTL(MAX(E290,(Reprogramaciones!$T$15+7*(Reprogramaciones!Y$14-1))),MIN(F290,(Reprogramaciones!$T$15+7*(Reprogramaciones!Y$14-1))+6),11))=0,0,MAX(0,NETWORKDAYS.INTL(MAX(E290,(Reprogramaciones!$T$15+7*(Reprogramaciones!Y$14-1))),MIN(F290,Reprogramaciones!Y$13),11))/MAX(0,NETWORKDAYS.INTL(MAX(E290,(Reprogramaciones!$T$15+7*(Reprogramaciones!Y$14-1))),MIN(F290,(Reprogramaciones!$T$15+7*(Reprogramaciones!Y$14-1))+6),11))))))))</f>
        <v/>
      </c>
      <c r="CI290" s="1" t="str">
        <f aca="false">IF(OR(NOT(AND(ISNUMBER(E290),ISNUMBER(F290))),$J$2=""),"",IF(Reprogramaciones!Z$13&lt;Reprogramaciones!$T$15,0,IF(Reprogramaciones!Z$14&gt;10,MIN(100,SUM($G290:$P290)),MIN(100,SUMPRODUCT((COLUMN($G290:$P290)-COLUMN($G290)+1&lt;Reprogramaciones!Z$14)*$G290:$P290)+N(INDEX($G290:$P290,1,Reprogramaciones!Z$14))*IF(Reprogramaciones!Z$13&gt;=(Reprogramaciones!$T$15+7*(Reprogramaciones!Z$14-1))+6,1,IF(MAX(0,NETWORKDAYS.INTL(MAX(E290,(Reprogramaciones!$T$15+7*(Reprogramaciones!Z$14-1))),MIN(F290,(Reprogramaciones!$T$15+7*(Reprogramaciones!Z$14-1))+6),11))=0,0,MAX(0,NETWORKDAYS.INTL(MAX(E290,(Reprogramaciones!$T$15+7*(Reprogramaciones!Z$14-1))),MIN(F290,Reprogramaciones!Z$13),11))/MAX(0,NETWORKDAYS.INTL(MAX(E290,(Reprogramaciones!$T$15+7*(Reprogramaciones!Z$14-1))),MIN(F290,(Reprogramaciones!$T$15+7*(Reprogramaciones!Z$14-1))+6),11))))))))</f>
        <v/>
      </c>
      <c r="CJ290" s="1" t="str">
        <f aca="false">IF(OR(OR(NOT(AND(ISNUMBER(E290),ISNUMBER(F290))),$J$2=""),1&gt;Reprogramaciones!$K$16),"",IF(ROUND(SUM($Q290:Q290),1)&gt;=99.5,100,MIN(100,ROUND(SUM($Q290:Q290),1))))</f>
        <v/>
      </c>
      <c r="CK290" s="1" t="str">
        <f aca="false">IF(OR(OR(NOT(AND(ISNUMBER(E290),ISNUMBER(F290))),$J$2=""),2&gt;Reprogramaciones!$K$16),"",IF(ROUND(SUM($Q290:R290),1)&gt;=99.5,100,MIN(100,ROUND(SUM($Q290:R290),1))))</f>
        <v/>
      </c>
      <c r="CL290" s="1" t="str">
        <f aca="false">IF(OR(OR(NOT(AND(ISNUMBER(E290),ISNUMBER(F290))),$J$2=""),3&gt;Reprogramaciones!$K$16),"",IF(ROUND(SUM($Q290:S290),1)&gt;=99.5,100,MIN(100,ROUND(SUM($Q290:S290),1))))</f>
        <v/>
      </c>
      <c r="CM290" s="1" t="str">
        <f aca="false">IF(OR(OR(NOT(AND(ISNUMBER(E290),ISNUMBER(F290))),$J$2=""),4&gt;Reprogramaciones!$K$16),"",IF(ROUND(SUM($Q290:T290),1)&gt;=99.5,100,MIN(100,ROUND(SUM($Q290:T290),1))))</f>
        <v/>
      </c>
      <c r="CN290" s="1" t="str">
        <f aca="false">IF(OR(OR(NOT(AND(ISNUMBER(E290),ISNUMBER(F290))),$J$2=""),5&gt;Reprogramaciones!$K$16),"",IF(ROUND(SUM($Q290:U290),1)&gt;=99.5,100,MIN(100,ROUND(SUM($Q290:U290),1))))</f>
        <v/>
      </c>
      <c r="CO290" s="1" t="str">
        <f aca="false">IF(OR(OR(NOT(AND(ISNUMBER(E290),ISNUMBER(F290))),$J$2=""),6&gt;Reprogramaciones!$K$16),"",IF(ROUND(SUM($Q290:V290),1)&gt;=99.5,100,MIN(100,ROUND(SUM($Q290:V290),1))))</f>
        <v/>
      </c>
      <c r="CP290" s="1" t="str">
        <f aca="false">IF(OR(OR(NOT(AND(ISNUMBER(E290),ISNUMBER(F290))),$J$2=""),7&gt;Reprogramaciones!$K$16),"",IF(ROUND(SUM($Q290:W290),1)&gt;=99.5,100,MIN(100,ROUND(SUM($Q290:W290),1))))</f>
        <v/>
      </c>
      <c r="CQ290" s="1" t="str">
        <f aca="false">IF(OR(OR(NOT(AND(ISNUMBER(E290),ISNUMBER(F290))),$J$2=""),8&gt;Reprogramaciones!$K$16),"",IF(ROUND(SUM($Q290:X290),1)&gt;=99.5,100,MIN(100,ROUND(SUM($Q290:X290),1))))</f>
        <v/>
      </c>
      <c r="CR290" s="1" t="str">
        <f aca="false">IF(OR(OR(NOT(AND(ISNUMBER(E290),ISNUMBER(F290))),$J$2=""),9&gt;Reprogramaciones!$K$16),"",IF(ROUND(SUM($Q290:Y290),1)&gt;=99.5,100,MIN(100,ROUND(SUM($Q290:Y290),1))))</f>
        <v/>
      </c>
      <c r="CS290" s="1" t="str">
        <f aca="false">IF(OR(OR(NOT(AND(ISNUMBER(E290),ISNUMBER(F290))),$J$2=""),10&gt;Reprogramaciones!$K$16),"",IF(ROUND(SUM($Q290:Z290),1)&gt;=99.5,100,MIN(100,ROUND(SUM($Q290:Z290),1))))</f>
        <v/>
      </c>
      <c r="CT290" s="1" t="str">
        <f aca="false">IF(OR(OR(NOT(AND(ISNUMBER(E290),ISNUMBER(F290))),$J$2=""),11&gt;Reprogramaciones!$K$16),"",IF(ROUND(SUM($Q290:AA290),1)&gt;=99.5,100,MIN(100,ROUND(SUM($Q290:AA290),1))))</f>
        <v/>
      </c>
      <c r="CU290" s="1" t="str">
        <f aca="false">IF(OR(OR(NOT(AND(ISNUMBER(E290),ISNUMBER(F290))),$J$2=""),12&gt;Reprogramaciones!$K$16),"",IF(ROUND(SUM($Q290:AB290),1)&gt;=99.5,100,MIN(100,ROUND(SUM($Q290:AB290),1))))</f>
        <v/>
      </c>
      <c r="CV290" s="1" t="str">
        <f aca="false">IF(OR(OR(NOT(AND(ISNUMBER(E290),ISNUMBER(F290))),$J$2=""),13&gt;Reprogramaciones!$K$16),"",IF(ROUND(SUM($Q290:AC290),1)&gt;=99.5,100,MIN(100,ROUND(SUM($Q290:AC290),1))))</f>
        <v/>
      </c>
      <c r="CW290" s="1" t="str">
        <f aca="false">IF(OR(OR(NOT(AND(ISNUMBER(E290),ISNUMBER(F290))),$J$2=""),14&gt;Reprogramaciones!$K$16),"",IF(ROUND(SUM($Q290:AD290),1)&gt;=99.5,100,MIN(100,ROUND(SUM($Q290:AD290),1))))</f>
        <v/>
      </c>
      <c r="CX290" s="1" t="str">
        <f aca="false">IF(OR(OR(NOT(AND(ISNUMBER(E290),ISNUMBER(F290))),$J$2=""),15&gt;Reprogramaciones!$K$16),"",IF(ROUND(SUM($Q290:AE290),1)&gt;=99.5,100,MIN(100,ROUND(SUM($Q290:AE290),1))))</f>
        <v/>
      </c>
      <c r="CY290" s="1" t="str">
        <f aca="false">IF(OR(OR(NOT(AND(ISNUMBER(E290),ISNUMBER(F290))),$J$2=""),16&gt;Reprogramaciones!$K$16),"",IF(ROUND(SUM($Q290:AF290),1)&gt;=99.5,100,MIN(100,ROUND(SUM($Q290:AF290),1))))</f>
        <v/>
      </c>
      <c r="CZ290" s="1" t="str">
        <f aca="false">IF(D290&lt;&gt;"",D290,IF(B290&lt;&gt;"","Contractual",CZ289))</f>
        <v>Contractual</v>
      </c>
      <c r="DA290" s="1" t="str">
        <f aca="false">IF(OR(NOT(AND(ISNUMBER(E290),ISNUMBER(F290))),$J$2=""),"",IF(Reprogramaciones!$Q$15&lt;Reprogramaciones!$T$15,0,IF(Reprogramaciones!$S$15&gt;10,MIN(100,SUM($G290:$P290)),MIN(100,SUMPRODUCT((COLUMN($G290:$P290)-COLUMN($G290)+1&lt;Reprogramaciones!$S$15)*$G290:$P290)+N(INDEX($G290:$P290,1,Reprogramaciones!$S$15))*IF(Reprogramaciones!$Q$15&gt;=(Reprogramaciones!$T$15+7*(Reprogramaciones!$S$15-1))+6,1,IF(MAX(0,NETWORKDAYS.INTL(MAX(E290,(Reprogramaciones!$T$15+7*(Reprogramaciones!$S$15-1))),MIN(F290,(Reprogramaciones!$T$15+7*(Reprogramaciones!$S$15-1))+6),11))=0,0,MAX(0,NETWORKDAYS.INTL(MAX(E290,(Reprogramaciones!$T$15+7*(Reprogramaciones!$S$15-1))),MIN(F290,Reprogramaciones!$Q$15),11))/MAX(0,NETWORKDAYS.INTL(MAX(E290,(Reprogramaciones!$T$15+7*(Reprogramaciones!$S$15-1))),MIN(F290,(Reprogramaciones!$T$15+7*(Reprogramaciones!$S$15-1))+6),11))))))))</f>
        <v/>
      </c>
    </row>
    <row r="291" customFormat="false" ht="15" hidden="false" customHeight="false" outlineLevel="0" collapsed="false">
      <c r="A291" s="32"/>
      <c r="B291" s="33"/>
      <c r="C291" s="33"/>
      <c r="D291" s="34"/>
      <c r="E291" s="35"/>
      <c r="F291" s="35"/>
      <c r="G291" s="36" t="str">
        <f aca="false">IF(OR(NOT(AND(ISNUMBER(E291),ISNUMBER(F291))),$J$2=""),"",IF(Reprogramaciones!K$9&lt;E291,0,IF(NETWORKDAYS.INTL(E291,F291,11)=0,IF(Reprogramaciones!K$9&gt;=F291,100,0),ROUND(NETWORKDAYS.INTL(E291,MIN(F291,Reprogramaciones!K$9),11)/NETWORKDAYS.INTL(E291,F291,11)*100,1)))-0)</f>
        <v/>
      </c>
      <c r="H291" s="36" t="str">
        <f aca="false">IF(OR(NOT(AND(ISNUMBER(E291),ISNUMBER(F291))),$J$2=""),"",IF(Reprogramaciones!L$9&lt;E291,0,IF(NETWORKDAYS.INTL(E291,F291,11)=0,IF(Reprogramaciones!L$9&gt;=F291,100,0),ROUND(NETWORKDAYS.INTL(E291,MIN(F291,Reprogramaciones!L$9),11)/NETWORKDAYS.INTL(E291,F291,11)*100,1)))-IF(Reprogramaciones!K$9&lt;E291,0,IF(NETWORKDAYS.INTL(E291,F291,11)=0,IF(Reprogramaciones!K$9&gt;=F291,100,0),ROUND(NETWORKDAYS.INTL(E291,MIN(F291,Reprogramaciones!K$9),11)/NETWORKDAYS.INTL(E291,F291,11)*100,1))))</f>
        <v/>
      </c>
      <c r="I291" s="36" t="str">
        <f aca="false">IF(OR(NOT(AND(ISNUMBER(E291),ISNUMBER(F291))),$J$2=""),"",IF(Reprogramaciones!M$9&lt;E291,0,IF(NETWORKDAYS.INTL(E291,F291,11)=0,IF(Reprogramaciones!M$9&gt;=F291,100,0),ROUND(NETWORKDAYS.INTL(E291,MIN(F291,Reprogramaciones!M$9),11)/NETWORKDAYS.INTL(E291,F291,11)*100,1)))-IF(Reprogramaciones!L$9&lt;E291,0,IF(NETWORKDAYS.INTL(E291,F291,11)=0,IF(Reprogramaciones!L$9&gt;=F291,100,0),ROUND(NETWORKDAYS.INTL(E291,MIN(F291,Reprogramaciones!L$9),11)/NETWORKDAYS.INTL(E291,F291,11)*100,1))))</f>
        <v/>
      </c>
      <c r="J291" s="36" t="str">
        <f aca="false">IF(OR(NOT(AND(ISNUMBER(E291),ISNUMBER(F291))),$J$2=""),"",IF(Reprogramaciones!N$9&lt;E291,0,IF(NETWORKDAYS.INTL(E291,F291,11)=0,IF(Reprogramaciones!N$9&gt;=F291,100,0),ROUND(NETWORKDAYS.INTL(E291,MIN(F291,Reprogramaciones!N$9),11)/NETWORKDAYS.INTL(E291,F291,11)*100,1)))-IF(Reprogramaciones!M$9&lt;E291,0,IF(NETWORKDAYS.INTL(E291,F291,11)=0,IF(Reprogramaciones!M$9&gt;=F291,100,0),ROUND(NETWORKDAYS.INTL(E291,MIN(F291,Reprogramaciones!M$9),11)/NETWORKDAYS.INTL(E291,F291,11)*100,1))))</f>
        <v/>
      </c>
      <c r="K291" s="36" t="str">
        <f aca="false">IF(OR(NOT(AND(ISNUMBER(E291),ISNUMBER(F291))),$J$2=""),"",IF(Reprogramaciones!O$9&lt;E291,0,IF(NETWORKDAYS.INTL(E291,F291,11)=0,IF(Reprogramaciones!O$9&gt;=F291,100,0),ROUND(NETWORKDAYS.INTL(E291,MIN(F291,Reprogramaciones!O$9),11)/NETWORKDAYS.INTL(E291,F291,11)*100,1)))-IF(Reprogramaciones!N$9&lt;E291,0,IF(NETWORKDAYS.INTL(E291,F291,11)=0,IF(Reprogramaciones!N$9&gt;=F291,100,0),ROUND(NETWORKDAYS.INTL(E291,MIN(F291,Reprogramaciones!N$9),11)/NETWORKDAYS.INTL(E291,F291,11)*100,1))))</f>
        <v/>
      </c>
      <c r="L291" s="36" t="str">
        <f aca="false">IF(OR(NOT(AND(ISNUMBER(E291),ISNUMBER(F291))),$J$2=""),"",IF(Reprogramaciones!P$9&lt;E291,0,IF(NETWORKDAYS.INTL(E291,F291,11)=0,IF(Reprogramaciones!P$9&gt;=F291,100,0),ROUND(NETWORKDAYS.INTL(E291,MIN(F291,Reprogramaciones!P$9),11)/NETWORKDAYS.INTL(E291,F291,11)*100,1)))-IF(Reprogramaciones!O$9&lt;E291,0,IF(NETWORKDAYS.INTL(E291,F291,11)=0,IF(Reprogramaciones!O$9&gt;=F291,100,0),ROUND(NETWORKDAYS.INTL(E291,MIN(F291,Reprogramaciones!O$9),11)/NETWORKDAYS.INTL(E291,F291,11)*100,1))))</f>
        <v/>
      </c>
      <c r="M291" s="36" t="str">
        <f aca="false">IF(OR(NOT(AND(ISNUMBER(E291),ISNUMBER(F291))),$J$2=""),"",IF(Reprogramaciones!Q$9&lt;E291,0,IF(NETWORKDAYS.INTL(E291,F291,11)=0,IF(Reprogramaciones!Q$9&gt;=F291,100,0),ROUND(NETWORKDAYS.INTL(E291,MIN(F291,Reprogramaciones!Q$9),11)/NETWORKDAYS.INTL(E291,F291,11)*100,1)))-IF(Reprogramaciones!P$9&lt;E291,0,IF(NETWORKDAYS.INTL(E291,F291,11)=0,IF(Reprogramaciones!P$9&gt;=F291,100,0),ROUND(NETWORKDAYS.INTL(E291,MIN(F291,Reprogramaciones!P$9),11)/NETWORKDAYS.INTL(E291,F291,11)*100,1))))</f>
        <v/>
      </c>
      <c r="N291" s="36" t="str">
        <f aca="false">IF(OR(NOT(AND(ISNUMBER(E291),ISNUMBER(F291))),$J$2=""),"",IF(Reprogramaciones!R$9&lt;E291,0,IF(NETWORKDAYS.INTL(E291,F291,11)=0,IF(Reprogramaciones!R$9&gt;=F291,100,0),ROUND(NETWORKDAYS.INTL(E291,MIN(F291,Reprogramaciones!R$9),11)/NETWORKDAYS.INTL(E291,F291,11)*100,1)))-IF(Reprogramaciones!Q$9&lt;E291,0,IF(NETWORKDAYS.INTL(E291,F291,11)=0,IF(Reprogramaciones!Q$9&gt;=F291,100,0),ROUND(NETWORKDAYS.INTL(E291,MIN(F291,Reprogramaciones!Q$9),11)/NETWORKDAYS.INTL(E291,F291,11)*100,1))))</f>
        <v/>
      </c>
      <c r="O291" s="36" t="str">
        <f aca="false">IF(OR(NOT(AND(ISNUMBER(E291),ISNUMBER(F291))),$J$2=""),"",IF(Reprogramaciones!S$9&lt;E291,0,IF(NETWORKDAYS.INTL(E291,F291,11)=0,IF(Reprogramaciones!S$9&gt;=F291,100,0),ROUND(NETWORKDAYS.INTL(E291,MIN(F291,Reprogramaciones!S$9),11)/NETWORKDAYS.INTL(E291,F291,11)*100,1)))-IF(Reprogramaciones!R$9&lt;E291,0,IF(NETWORKDAYS.INTL(E291,F291,11)=0,IF(Reprogramaciones!R$9&gt;=F291,100,0),ROUND(NETWORKDAYS.INTL(E291,MIN(F291,Reprogramaciones!R$9),11)/NETWORKDAYS.INTL(E291,F291,11)*100,1))))</f>
        <v/>
      </c>
      <c r="P291" s="36" t="str">
        <f aca="false">IF(OR(NOT(AND(ISNUMBER(E291),ISNUMBER(F291))),$J$2=""),"",IF(Reprogramaciones!T$9&lt;E291,0,IF(NETWORKDAYS.INTL(E291,F291,11)=0,IF(Reprogramaciones!T$9&gt;=F291,100,0),ROUND(NETWORKDAYS.INTL(E291,MIN(F291,Reprogramaciones!T$9),11)/NETWORKDAYS.INTL(E291,F291,11)*100,1)))-IF(Reprogramaciones!S$9&lt;E291,0,IF(NETWORKDAYS.INTL(E291,F291,11)=0,IF(Reprogramaciones!S$9&gt;=F291,100,0),ROUND(NETWORKDAYS.INTL(E291,MIN(F291,Reprogramaciones!S$9),11)/NETWORKDAYS.INTL(E291,F291,11)*100,1))))</f>
        <v/>
      </c>
      <c r="Q291" s="37"/>
      <c r="R291" s="37"/>
      <c r="S291" s="37"/>
      <c r="T291" s="37"/>
      <c r="U291" s="37"/>
      <c r="V291" s="37"/>
      <c r="W291" s="37"/>
      <c r="X291" s="37"/>
      <c r="Y291" s="37"/>
      <c r="Z291" s="37"/>
      <c r="AA291" s="37"/>
      <c r="AB291" s="37"/>
      <c r="AC291" s="37"/>
      <c r="AD291" s="37"/>
      <c r="AE291" s="37"/>
      <c r="AF291" s="37"/>
      <c r="AG291" s="38" t="str">
        <f aca="false">IF(AND(ISNUMBER(E291),ISNUMBER(F291)),NETWORKDAYS.INTL(E291,F291,11),"")</f>
        <v/>
      </c>
      <c r="AH291" s="38" t="str">
        <f aca="false">IF(OR(NOT(AND(ISNUMBER(E291),ISNUMBER(F291))),$J$2=""),"",IF(Reprogramaciones!$P$15&lt;Reprogramaciones!$T$15,0,IF(Reprogramaciones!$R$15&gt;10,MIN(100,SUM($G291:$P291)),MIN(100,SUMPRODUCT((COLUMN($G291:$P291)-COLUMN($G291)+1&lt;Reprogramaciones!$R$15)*$G291:$P291)+N(INDEX($G291:$P291,1,Reprogramaciones!$R$15))*IF(Reprogramaciones!$P$15&gt;=(Reprogramaciones!$T$15+7*(Reprogramaciones!$R$15-1))+6,1,IF(MAX(0,NETWORKDAYS.INTL(MAX(E291,(Reprogramaciones!$T$15+7*(Reprogramaciones!$R$15-1))),MIN(F291,(Reprogramaciones!$T$15+7*(Reprogramaciones!$R$15-1))+6),11))=0,0,MAX(0,NETWORKDAYS.INTL(MAX(E291,(Reprogramaciones!$T$15+7*(Reprogramaciones!$R$15-1))),MIN(F291,Reprogramaciones!$P$15),11))/MAX(0,NETWORKDAYS.INTL(MAX(E291,(Reprogramaciones!$T$15+7*(Reprogramaciones!$R$15-1))),MIN(F291,(Reprogramaciones!$T$15+7*(Reprogramaciones!$R$15-1))+6),11))))))))</f>
        <v/>
      </c>
      <c r="AI291" s="38" t="str">
        <f aca="false">IF(COUNT($Q291:$AF291)=0,"",IF(ROUND(SUM($Q291:$AF291),1)&gt;=99.5,100,MIN(100,ROUND(SUM($Q291:$AF291),1))))</f>
        <v/>
      </c>
      <c r="AJ291" s="38" t="str">
        <f aca="false">IF(OR(AH291="",AI291=""),"",AI291-AH291)</f>
        <v/>
      </c>
      <c r="AK291" s="39" t="str">
        <f aca="true">IF(AH291="","",IF(OR(Ficha!$C$10="Suspendida",Ficha!$C$10="Cancelada"),Ficha!$C$10,IF(AND(AI291&lt;&gt;"",N(AI291)&gt;=100),"Completada",IF(AND(E291&gt;TODAY(),N(AI291)=0),"Por iniciar",IF(N(AI291)+0.5&lt;AH291,"Retrasada",IF(N(AI291)+0.5&lt;DA291,IF(Reprogramaciones!$K$15&gt;0,"Al día · Sem "&amp;Reprogramaciones!$K$15&amp;" en curso","Al día · en curso"),"A tiempo"))))))</f>
        <v/>
      </c>
      <c r="AL291" s="39" t="str">
        <f aca="true">IF(AND(A291="",AND(B291="",C291="",E291="",F291="",COUNT(Q291:AF291)=0)),"",IF(AND(B291="",C291="",E291="",F291="",COUNT(Q291:AF291)=0),"Falta la partida o subpartida",IF(AND(A291&lt;&gt;"",COUNTIF($A$6:$A$305,A291)&gt;1),"Ítem repetido",IF(AND(C291="",E291="",F291="",COUNT(Q291:AF291)=0),"Título de partida",IF(OR(E291="",F291=""),"Faltan fechas",IF(OR(ISTEXT(E291),ISTEXT(F291)),"Fecha escrita como texto: usa dd/mm/aaaa",IF(F291&lt;E291,"Fin antes del inicio",IF(IF($J$2="",FALSE(),OR(E291&lt;$J$2,F291&gt;Reprogramaciones!$T$15+69)),"Fuera de las 10 semanas",IF(ABS(SUM(G291:P291)-100)&gt;0.5,"La meta no suma 100%",IF(ROUND(SUM(Q291:AF291),1)&gt;100.5,"El avance pasa de 100%",IF(MIN(Q291:AF291)&lt;0,"Avance negativo",IF(COUNTA(Q291:AF291)&gt;COUNT(Q291:AF291),"Avance escrito como texto",IF(SUMPRODUCT((Q291:AF291&gt;0)*(Q291:AF291&lt;1))&gt;0,"Avance menor a 1: escribe 50, no 50%",IF(SUMPRODUCT(ISNUMBER(Q291:AF291)*(Reprogramaciones!$K$8:$Z$8&gt;TODAY()))&gt;0,"Avance en semana que aún no llega",IF(AND(N(Reprogramaciones!$E$21)&gt;0,F291&gt;Reprogramaciones!$E$21),"Pasa el fin de la obra: registra una reprogramación",IF(AND(N(Reprogramaciones!$E$21)&gt;0,SUMPRODUCT(ISNUMBER(Q291:AF291)*(Reprogramaciones!$K$8:$Z$8&gt;Reprogramaciones!$E$21))&gt;0),"Avance después del fin de la obra: registra una reprogramación por atraso","OK"))))))))))))))))</f>
        <v/>
      </c>
      <c r="AM291" s="40" t="str">
        <f aca="false">IF(OR(OR(NOT(AND(ISNUMBER(E291),ISNUMBER(F291))),$J$2=""),1&gt;MAX(1,Reprogramaciones!$U$15)),"",IF(Reprogramaciones!K$12&gt;=7,"",IF(OR(BT291-N(0)&gt;0.05,N(Q291)&gt;0),ROUNDDOWN(ROUND(BT291,6),0)&amp;"%"&amp;IF(CJ291="",""," / "&amp;CJ291&amp;"%"),IF(AND(N(0)&gt;=99.95,CJ291&lt;&gt;"",N(CJ291)&lt;100),"Pend. "&amp;CJ291&amp;"%",""))))</f>
        <v/>
      </c>
      <c r="AN291" s="40" t="str">
        <f aca="false">IF(OR(OR(NOT(AND(ISNUMBER(E291),ISNUMBER(F291))),$J$2=""),2&gt;MAX(1,Reprogramaciones!$U$15)),"",IF(Reprogramaciones!L$12&gt;=7,"",IF(OR(BU291-N(BT291)&gt;0.05,N(R291)&gt;0),ROUNDDOWN(ROUND(BU291,6),0)&amp;"%"&amp;IF(CK291="",""," / "&amp;CK291&amp;"%"),IF(AND(N(BT291)&gt;=99.95,CK291&lt;&gt;"",N(CK291)&lt;100),"Pend. "&amp;CK291&amp;"%",""))))</f>
        <v/>
      </c>
      <c r="AO291" s="40" t="str">
        <f aca="false">IF(OR(OR(NOT(AND(ISNUMBER(E291),ISNUMBER(F291))),$J$2=""),3&gt;MAX(1,Reprogramaciones!$U$15)),"",IF(Reprogramaciones!M$12&gt;=7,"",IF(OR(BV291-N(BU291)&gt;0.05,N(S291)&gt;0),ROUNDDOWN(ROUND(BV291,6),0)&amp;"%"&amp;IF(CL291="",""," / "&amp;CL291&amp;"%"),IF(AND(N(BU291)&gt;=99.95,CL291&lt;&gt;"",N(CL291)&lt;100),"Pend. "&amp;CL291&amp;"%",""))))</f>
        <v/>
      </c>
      <c r="AP291" s="40" t="str">
        <f aca="false">IF(OR(OR(NOT(AND(ISNUMBER(E291),ISNUMBER(F291))),$J$2=""),4&gt;MAX(1,Reprogramaciones!$U$15)),"",IF(Reprogramaciones!N$12&gt;=7,"",IF(OR(BW291-N(BV291)&gt;0.05,N(T291)&gt;0),ROUNDDOWN(ROUND(BW291,6),0)&amp;"%"&amp;IF(CM291="",""," / "&amp;CM291&amp;"%"),IF(AND(N(BV291)&gt;=99.95,CM291&lt;&gt;"",N(CM291)&lt;100),"Pend. "&amp;CM291&amp;"%",""))))</f>
        <v/>
      </c>
      <c r="AQ291" s="40" t="str">
        <f aca="false">IF(OR(OR(NOT(AND(ISNUMBER(E291),ISNUMBER(F291))),$J$2=""),5&gt;MAX(1,Reprogramaciones!$U$15)),"",IF(Reprogramaciones!O$12&gt;=7,"",IF(OR(BX291-N(BW291)&gt;0.05,N(U291)&gt;0),ROUNDDOWN(ROUND(BX291,6),0)&amp;"%"&amp;IF(CN291="",""," / "&amp;CN291&amp;"%"),IF(AND(N(BW291)&gt;=99.95,CN291&lt;&gt;"",N(CN291)&lt;100),"Pend. "&amp;CN291&amp;"%",""))))</f>
        <v/>
      </c>
      <c r="AR291" s="40" t="str">
        <f aca="false">IF(OR(OR(NOT(AND(ISNUMBER(E291),ISNUMBER(F291))),$J$2=""),6&gt;MAX(1,Reprogramaciones!$U$15)),"",IF(Reprogramaciones!P$12&gt;=7,"",IF(OR(BY291-N(BX291)&gt;0.05,N(V291)&gt;0),ROUNDDOWN(ROUND(BY291,6),0)&amp;"%"&amp;IF(CO291="",""," / "&amp;CO291&amp;"%"),IF(AND(N(BX291)&gt;=99.95,CO291&lt;&gt;"",N(CO291)&lt;100),"Pend. "&amp;CO291&amp;"%",""))))</f>
        <v/>
      </c>
      <c r="AS291" s="40" t="str">
        <f aca="false">IF(OR(OR(NOT(AND(ISNUMBER(E291),ISNUMBER(F291))),$J$2=""),7&gt;MAX(1,Reprogramaciones!$U$15)),"",IF(Reprogramaciones!Q$12&gt;=7,"",IF(OR(BZ291-N(BY291)&gt;0.05,N(W291)&gt;0),ROUNDDOWN(ROUND(BZ291,6),0)&amp;"%"&amp;IF(CP291="",""," / "&amp;CP291&amp;"%"),IF(AND(N(BY291)&gt;=99.95,CP291&lt;&gt;"",N(CP291)&lt;100),"Pend. "&amp;CP291&amp;"%",""))))</f>
        <v/>
      </c>
      <c r="AT291" s="40" t="str">
        <f aca="false">IF(OR(OR(NOT(AND(ISNUMBER(E291),ISNUMBER(F291))),$J$2=""),8&gt;MAX(1,Reprogramaciones!$U$15)),"",IF(Reprogramaciones!R$12&gt;=7,"",IF(OR(CA291-N(BZ291)&gt;0.05,N(X291)&gt;0),ROUNDDOWN(ROUND(CA291,6),0)&amp;"%"&amp;IF(CQ291="",""," / "&amp;CQ291&amp;"%"),IF(AND(N(BZ291)&gt;=99.95,CQ291&lt;&gt;"",N(CQ291)&lt;100),"Pend. "&amp;CQ291&amp;"%",""))))</f>
        <v/>
      </c>
      <c r="AU291" s="40" t="str">
        <f aca="false">IF(OR(OR(NOT(AND(ISNUMBER(E291),ISNUMBER(F291))),$J$2=""),9&gt;MAX(1,Reprogramaciones!$U$15)),"",IF(Reprogramaciones!S$12&gt;=7,"",IF(OR(CB291-N(CA291)&gt;0.05,N(Y291)&gt;0),ROUNDDOWN(ROUND(CB291,6),0)&amp;"%"&amp;IF(CR291="",""," / "&amp;CR291&amp;"%"),IF(AND(N(CA291)&gt;=99.95,CR291&lt;&gt;"",N(CR291)&lt;100),"Pend. "&amp;CR291&amp;"%",""))))</f>
        <v/>
      </c>
      <c r="AV291" s="40" t="str">
        <f aca="false">IF(OR(OR(NOT(AND(ISNUMBER(E291),ISNUMBER(F291))),$J$2=""),10&gt;MAX(1,Reprogramaciones!$U$15)),"",IF(Reprogramaciones!T$12&gt;=7,"",IF(OR(CC291-N(CB291)&gt;0.05,N(Z291)&gt;0),ROUNDDOWN(ROUND(CC291,6),0)&amp;"%"&amp;IF(CS291="",""," / "&amp;CS291&amp;"%"),IF(AND(N(CB291)&gt;=99.95,CS291&lt;&gt;"",N(CS291)&lt;100),"Pend. "&amp;CS291&amp;"%",""))))</f>
        <v/>
      </c>
      <c r="AW291" s="40" t="str">
        <f aca="false">IF(OR(OR(NOT(AND(ISNUMBER(E291),ISNUMBER(F291))),$J$2=""),11&gt;MAX(1,Reprogramaciones!$U$15)),"",IF(Reprogramaciones!U$12&gt;=7,"",IF(OR(CD291-N(CC291)&gt;0.05,N(AA291)&gt;0),ROUNDDOWN(ROUND(CD291,6),0)&amp;"%"&amp;IF(CT291="",""," / "&amp;CT291&amp;"%"),IF(AND(N(CC291)&gt;=99.95,CT291&lt;&gt;"",N(CT291)&lt;100),"Pend. "&amp;CT291&amp;"%",""))))</f>
        <v/>
      </c>
      <c r="AX291" s="40" t="str">
        <f aca="false">IF(OR(OR(NOT(AND(ISNUMBER(E291),ISNUMBER(F291))),$J$2=""),12&gt;MAX(1,Reprogramaciones!$U$15)),"",IF(Reprogramaciones!V$12&gt;=7,"",IF(OR(CE291-N(CD291)&gt;0.05,N(AB291)&gt;0),ROUNDDOWN(ROUND(CE291,6),0)&amp;"%"&amp;IF(CU291="",""," / "&amp;CU291&amp;"%"),IF(AND(N(CD291)&gt;=99.95,CU291&lt;&gt;"",N(CU291)&lt;100),"Pend. "&amp;CU291&amp;"%",""))))</f>
        <v/>
      </c>
      <c r="AY291" s="40" t="str">
        <f aca="false">IF(OR(OR(NOT(AND(ISNUMBER(E291),ISNUMBER(F291))),$J$2=""),13&gt;MAX(1,Reprogramaciones!$U$15)),"",IF(Reprogramaciones!W$12&gt;=7,"",IF(OR(CF291-N(CE291)&gt;0.05,N(AC291)&gt;0),ROUNDDOWN(ROUND(CF291,6),0)&amp;"%"&amp;IF(CV291="",""," / "&amp;CV291&amp;"%"),IF(AND(N(CE291)&gt;=99.95,CV291&lt;&gt;"",N(CV291)&lt;100),"Pend. "&amp;CV291&amp;"%",""))))</f>
        <v/>
      </c>
      <c r="AZ291" s="40" t="str">
        <f aca="false">IF(OR(OR(NOT(AND(ISNUMBER(E291),ISNUMBER(F291))),$J$2=""),14&gt;MAX(1,Reprogramaciones!$U$15)),"",IF(Reprogramaciones!X$12&gt;=7,"",IF(OR(CG291-N(CF291)&gt;0.05,N(AD291)&gt;0),ROUNDDOWN(ROUND(CG291,6),0)&amp;"%"&amp;IF(CW291="",""," / "&amp;CW291&amp;"%"),IF(AND(N(CF291)&gt;=99.95,CW291&lt;&gt;"",N(CW291)&lt;100),"Pend. "&amp;CW291&amp;"%",""))))</f>
        <v/>
      </c>
      <c r="BA291" s="40" t="str">
        <f aca="false">IF(OR(OR(NOT(AND(ISNUMBER(E291),ISNUMBER(F291))),$J$2=""),15&gt;MAX(1,Reprogramaciones!$U$15)),"",IF(Reprogramaciones!Y$12&gt;=7,"",IF(OR(CH291-N(CG291)&gt;0.05,N(AE291)&gt;0),ROUNDDOWN(ROUND(CH291,6),0)&amp;"%"&amp;IF(CX291="",""," / "&amp;CX291&amp;"%"),IF(AND(N(CG291)&gt;=99.95,CX291&lt;&gt;"",N(CX291)&lt;100),"Pend. "&amp;CX291&amp;"%",""))))</f>
        <v/>
      </c>
      <c r="BB291" s="40" t="str">
        <f aca="false">IF(OR(OR(NOT(AND(ISNUMBER(E291),ISNUMBER(F291))),$J$2=""),16&gt;MAX(1,Reprogramaciones!$U$15)),"",IF(Reprogramaciones!Z$12&gt;=7,"",IF(OR(CI291-N(CH291)&gt;0.05,N(AF291)&gt;0),ROUNDDOWN(ROUND(CI291,6),0)&amp;"%"&amp;IF(CY291="",""," / "&amp;CY291&amp;"%"),IF(AND(N(CH291)&gt;=99.95,CY291&lt;&gt;"",N(CY291)&lt;100),"Pend. "&amp;CY291&amp;"%",""))))</f>
        <v/>
      </c>
      <c r="BC291" s="31" t="n">
        <f aca="false">IF(AND(ISNUMBER(E291),ISNUMBER(F291)),MAX(1,NETWORKDAYS.INTL(E291,F291,11)),0)</f>
        <v>0</v>
      </c>
      <c r="BD291" s="1" t="str">
        <f aca="false">IF(OR(NOT(AND(ISNUMBER(E291),ISNUMBER(F291))),$J$2=""),"",MIN(100,ROUND(SUM($G291:G291),1)))</f>
        <v/>
      </c>
      <c r="BE291" s="1" t="str">
        <f aca="false">IF(OR(NOT(AND(ISNUMBER(E291),ISNUMBER(F291))),$J$2=""),"",MIN(100,ROUND(SUM($G291:H291),1)))</f>
        <v/>
      </c>
      <c r="BF291" s="1" t="str">
        <f aca="false">IF(OR(NOT(AND(ISNUMBER(E291),ISNUMBER(F291))),$J$2=""),"",MIN(100,ROUND(SUM($G291:I291),1)))</f>
        <v/>
      </c>
      <c r="BG291" s="1" t="str">
        <f aca="false">IF(OR(NOT(AND(ISNUMBER(E291),ISNUMBER(F291))),$J$2=""),"",MIN(100,ROUND(SUM($G291:J291),1)))</f>
        <v/>
      </c>
      <c r="BH291" s="1" t="str">
        <f aca="false">IF(OR(NOT(AND(ISNUMBER(E291),ISNUMBER(F291))),$J$2=""),"",MIN(100,ROUND(SUM($G291:K291),1)))</f>
        <v/>
      </c>
      <c r="BI291" s="1" t="str">
        <f aca="false">IF(OR(NOT(AND(ISNUMBER(E291),ISNUMBER(F291))),$J$2=""),"",MIN(100,ROUND(SUM($G291:L291),1)))</f>
        <v/>
      </c>
      <c r="BJ291" s="1" t="str">
        <f aca="false">IF(OR(NOT(AND(ISNUMBER(E291),ISNUMBER(F291))),$J$2=""),"",MIN(100,ROUND(SUM($G291:M291),1)))</f>
        <v/>
      </c>
      <c r="BK291" s="1" t="str">
        <f aca="false">IF(OR(NOT(AND(ISNUMBER(E291),ISNUMBER(F291))),$J$2=""),"",MIN(100,ROUND(SUM($G291:N291),1)))</f>
        <v/>
      </c>
      <c r="BL291" s="1" t="str">
        <f aca="false">IF(OR(NOT(AND(ISNUMBER(E291),ISNUMBER(F291))),$J$2=""),"",MIN(100,ROUND(SUM($G291:O291),1)))</f>
        <v/>
      </c>
      <c r="BM291" s="1" t="str">
        <f aca="false">IF(OR(NOT(AND(ISNUMBER(E291),ISNUMBER(F291))),$J$2=""),"",MIN(100,ROUND(SUM($G291:P291),1)))</f>
        <v/>
      </c>
      <c r="BN291" s="1" t="str">
        <f aca="false">IF(OR(NOT(AND(ISNUMBER(E291),ISNUMBER(F291))),$J$2=""),"",MIN(100,ROUND(SUM($G291:P291),1)))</f>
        <v/>
      </c>
      <c r="BO291" s="1" t="str">
        <f aca="false">IF(OR(NOT(AND(ISNUMBER(E291),ISNUMBER(F291))),$J$2=""),"",MIN(100,ROUND(SUM($G291:P291),1)))</f>
        <v/>
      </c>
      <c r="BP291" s="1" t="str">
        <f aca="false">IF(OR(NOT(AND(ISNUMBER(E291),ISNUMBER(F291))),$J$2=""),"",MIN(100,ROUND(SUM($G291:P291),1)))</f>
        <v/>
      </c>
      <c r="BQ291" s="1" t="str">
        <f aca="false">IF(OR(NOT(AND(ISNUMBER(E291),ISNUMBER(F291))),$J$2=""),"",MIN(100,ROUND(SUM($G291:P291),1)))</f>
        <v/>
      </c>
      <c r="BR291" s="1" t="str">
        <f aca="false">IF(OR(NOT(AND(ISNUMBER(E291),ISNUMBER(F291))),$J$2=""),"",MIN(100,ROUND(SUM($G291:P291),1)))</f>
        <v/>
      </c>
      <c r="BS291" s="1" t="str">
        <f aca="false">IF(OR(NOT(AND(ISNUMBER(E291),ISNUMBER(F291))),$J$2=""),"",MIN(100,ROUND(SUM($G291:P291),1)))</f>
        <v/>
      </c>
      <c r="BT291" s="1" t="str">
        <f aca="false">IF(OR(NOT(AND(ISNUMBER(E291),ISNUMBER(F291))),$J$2=""),"",IF(Reprogramaciones!K$13&lt;Reprogramaciones!$T$15,0,IF(Reprogramaciones!K$14&gt;10,MIN(100,SUM($G291:$P291)),MIN(100,SUMPRODUCT((COLUMN($G291:$P291)-COLUMN($G291)+1&lt;Reprogramaciones!K$14)*$G291:$P291)+N(INDEX($G291:$P291,1,Reprogramaciones!K$14))*IF(Reprogramaciones!K$13&gt;=(Reprogramaciones!$T$15+7*(Reprogramaciones!K$14-1))+6,1,IF(MAX(0,NETWORKDAYS.INTL(MAX(E291,(Reprogramaciones!$T$15+7*(Reprogramaciones!K$14-1))),MIN(F291,(Reprogramaciones!$T$15+7*(Reprogramaciones!K$14-1))+6),11))=0,0,MAX(0,NETWORKDAYS.INTL(MAX(E291,(Reprogramaciones!$T$15+7*(Reprogramaciones!K$14-1))),MIN(F291,Reprogramaciones!K$13),11))/MAX(0,NETWORKDAYS.INTL(MAX(E291,(Reprogramaciones!$T$15+7*(Reprogramaciones!K$14-1))),MIN(F291,(Reprogramaciones!$T$15+7*(Reprogramaciones!K$14-1))+6),11))))))))</f>
        <v/>
      </c>
      <c r="BU291" s="1" t="str">
        <f aca="false">IF(OR(NOT(AND(ISNUMBER(E291),ISNUMBER(F291))),$J$2=""),"",IF(Reprogramaciones!L$13&lt;Reprogramaciones!$T$15,0,IF(Reprogramaciones!L$14&gt;10,MIN(100,SUM($G291:$P291)),MIN(100,SUMPRODUCT((COLUMN($G291:$P291)-COLUMN($G291)+1&lt;Reprogramaciones!L$14)*$G291:$P291)+N(INDEX($G291:$P291,1,Reprogramaciones!L$14))*IF(Reprogramaciones!L$13&gt;=(Reprogramaciones!$T$15+7*(Reprogramaciones!L$14-1))+6,1,IF(MAX(0,NETWORKDAYS.INTL(MAX(E291,(Reprogramaciones!$T$15+7*(Reprogramaciones!L$14-1))),MIN(F291,(Reprogramaciones!$T$15+7*(Reprogramaciones!L$14-1))+6),11))=0,0,MAX(0,NETWORKDAYS.INTL(MAX(E291,(Reprogramaciones!$T$15+7*(Reprogramaciones!L$14-1))),MIN(F291,Reprogramaciones!L$13),11))/MAX(0,NETWORKDAYS.INTL(MAX(E291,(Reprogramaciones!$T$15+7*(Reprogramaciones!L$14-1))),MIN(F291,(Reprogramaciones!$T$15+7*(Reprogramaciones!L$14-1))+6),11))))))))</f>
        <v/>
      </c>
      <c r="BV291" s="1" t="str">
        <f aca="false">IF(OR(NOT(AND(ISNUMBER(E291),ISNUMBER(F291))),$J$2=""),"",IF(Reprogramaciones!M$13&lt;Reprogramaciones!$T$15,0,IF(Reprogramaciones!M$14&gt;10,MIN(100,SUM($G291:$P291)),MIN(100,SUMPRODUCT((COLUMN($G291:$P291)-COLUMN($G291)+1&lt;Reprogramaciones!M$14)*$G291:$P291)+N(INDEX($G291:$P291,1,Reprogramaciones!M$14))*IF(Reprogramaciones!M$13&gt;=(Reprogramaciones!$T$15+7*(Reprogramaciones!M$14-1))+6,1,IF(MAX(0,NETWORKDAYS.INTL(MAX(E291,(Reprogramaciones!$T$15+7*(Reprogramaciones!M$14-1))),MIN(F291,(Reprogramaciones!$T$15+7*(Reprogramaciones!M$14-1))+6),11))=0,0,MAX(0,NETWORKDAYS.INTL(MAX(E291,(Reprogramaciones!$T$15+7*(Reprogramaciones!M$14-1))),MIN(F291,Reprogramaciones!M$13),11))/MAX(0,NETWORKDAYS.INTL(MAX(E291,(Reprogramaciones!$T$15+7*(Reprogramaciones!M$14-1))),MIN(F291,(Reprogramaciones!$T$15+7*(Reprogramaciones!M$14-1))+6),11))))))))</f>
        <v/>
      </c>
      <c r="BW291" s="1" t="str">
        <f aca="false">IF(OR(NOT(AND(ISNUMBER(E291),ISNUMBER(F291))),$J$2=""),"",IF(Reprogramaciones!N$13&lt;Reprogramaciones!$T$15,0,IF(Reprogramaciones!N$14&gt;10,MIN(100,SUM($G291:$P291)),MIN(100,SUMPRODUCT((COLUMN($G291:$P291)-COLUMN($G291)+1&lt;Reprogramaciones!N$14)*$G291:$P291)+N(INDEX($G291:$P291,1,Reprogramaciones!N$14))*IF(Reprogramaciones!N$13&gt;=(Reprogramaciones!$T$15+7*(Reprogramaciones!N$14-1))+6,1,IF(MAX(0,NETWORKDAYS.INTL(MAX(E291,(Reprogramaciones!$T$15+7*(Reprogramaciones!N$14-1))),MIN(F291,(Reprogramaciones!$T$15+7*(Reprogramaciones!N$14-1))+6),11))=0,0,MAX(0,NETWORKDAYS.INTL(MAX(E291,(Reprogramaciones!$T$15+7*(Reprogramaciones!N$14-1))),MIN(F291,Reprogramaciones!N$13),11))/MAX(0,NETWORKDAYS.INTL(MAX(E291,(Reprogramaciones!$T$15+7*(Reprogramaciones!N$14-1))),MIN(F291,(Reprogramaciones!$T$15+7*(Reprogramaciones!N$14-1))+6),11))))))))</f>
        <v/>
      </c>
      <c r="BX291" s="1" t="str">
        <f aca="false">IF(OR(NOT(AND(ISNUMBER(E291),ISNUMBER(F291))),$J$2=""),"",IF(Reprogramaciones!O$13&lt;Reprogramaciones!$T$15,0,IF(Reprogramaciones!O$14&gt;10,MIN(100,SUM($G291:$P291)),MIN(100,SUMPRODUCT((COLUMN($G291:$P291)-COLUMN($G291)+1&lt;Reprogramaciones!O$14)*$G291:$P291)+N(INDEX($G291:$P291,1,Reprogramaciones!O$14))*IF(Reprogramaciones!O$13&gt;=(Reprogramaciones!$T$15+7*(Reprogramaciones!O$14-1))+6,1,IF(MAX(0,NETWORKDAYS.INTL(MAX(E291,(Reprogramaciones!$T$15+7*(Reprogramaciones!O$14-1))),MIN(F291,(Reprogramaciones!$T$15+7*(Reprogramaciones!O$14-1))+6),11))=0,0,MAX(0,NETWORKDAYS.INTL(MAX(E291,(Reprogramaciones!$T$15+7*(Reprogramaciones!O$14-1))),MIN(F291,Reprogramaciones!O$13),11))/MAX(0,NETWORKDAYS.INTL(MAX(E291,(Reprogramaciones!$T$15+7*(Reprogramaciones!O$14-1))),MIN(F291,(Reprogramaciones!$T$15+7*(Reprogramaciones!O$14-1))+6),11))))))))</f>
        <v/>
      </c>
      <c r="BY291" s="1" t="str">
        <f aca="false">IF(OR(NOT(AND(ISNUMBER(E291),ISNUMBER(F291))),$J$2=""),"",IF(Reprogramaciones!P$13&lt;Reprogramaciones!$T$15,0,IF(Reprogramaciones!P$14&gt;10,MIN(100,SUM($G291:$P291)),MIN(100,SUMPRODUCT((COLUMN($G291:$P291)-COLUMN($G291)+1&lt;Reprogramaciones!P$14)*$G291:$P291)+N(INDEX($G291:$P291,1,Reprogramaciones!P$14))*IF(Reprogramaciones!P$13&gt;=(Reprogramaciones!$T$15+7*(Reprogramaciones!P$14-1))+6,1,IF(MAX(0,NETWORKDAYS.INTL(MAX(E291,(Reprogramaciones!$T$15+7*(Reprogramaciones!P$14-1))),MIN(F291,(Reprogramaciones!$T$15+7*(Reprogramaciones!P$14-1))+6),11))=0,0,MAX(0,NETWORKDAYS.INTL(MAX(E291,(Reprogramaciones!$T$15+7*(Reprogramaciones!P$14-1))),MIN(F291,Reprogramaciones!P$13),11))/MAX(0,NETWORKDAYS.INTL(MAX(E291,(Reprogramaciones!$T$15+7*(Reprogramaciones!P$14-1))),MIN(F291,(Reprogramaciones!$T$15+7*(Reprogramaciones!P$14-1))+6),11))))))))</f>
        <v/>
      </c>
      <c r="BZ291" s="1" t="str">
        <f aca="false">IF(OR(NOT(AND(ISNUMBER(E291),ISNUMBER(F291))),$J$2=""),"",IF(Reprogramaciones!Q$13&lt;Reprogramaciones!$T$15,0,IF(Reprogramaciones!Q$14&gt;10,MIN(100,SUM($G291:$P291)),MIN(100,SUMPRODUCT((COLUMN($G291:$P291)-COLUMN($G291)+1&lt;Reprogramaciones!Q$14)*$G291:$P291)+N(INDEX($G291:$P291,1,Reprogramaciones!Q$14))*IF(Reprogramaciones!Q$13&gt;=(Reprogramaciones!$T$15+7*(Reprogramaciones!Q$14-1))+6,1,IF(MAX(0,NETWORKDAYS.INTL(MAX(E291,(Reprogramaciones!$T$15+7*(Reprogramaciones!Q$14-1))),MIN(F291,(Reprogramaciones!$T$15+7*(Reprogramaciones!Q$14-1))+6),11))=0,0,MAX(0,NETWORKDAYS.INTL(MAX(E291,(Reprogramaciones!$T$15+7*(Reprogramaciones!Q$14-1))),MIN(F291,Reprogramaciones!Q$13),11))/MAX(0,NETWORKDAYS.INTL(MAX(E291,(Reprogramaciones!$T$15+7*(Reprogramaciones!Q$14-1))),MIN(F291,(Reprogramaciones!$T$15+7*(Reprogramaciones!Q$14-1))+6),11))))))))</f>
        <v/>
      </c>
      <c r="CA291" s="1" t="str">
        <f aca="false">IF(OR(NOT(AND(ISNUMBER(E291),ISNUMBER(F291))),$J$2=""),"",IF(Reprogramaciones!R$13&lt;Reprogramaciones!$T$15,0,IF(Reprogramaciones!R$14&gt;10,MIN(100,SUM($G291:$P291)),MIN(100,SUMPRODUCT((COLUMN($G291:$P291)-COLUMN($G291)+1&lt;Reprogramaciones!R$14)*$G291:$P291)+N(INDEX($G291:$P291,1,Reprogramaciones!R$14))*IF(Reprogramaciones!R$13&gt;=(Reprogramaciones!$T$15+7*(Reprogramaciones!R$14-1))+6,1,IF(MAX(0,NETWORKDAYS.INTL(MAX(E291,(Reprogramaciones!$T$15+7*(Reprogramaciones!R$14-1))),MIN(F291,(Reprogramaciones!$T$15+7*(Reprogramaciones!R$14-1))+6),11))=0,0,MAX(0,NETWORKDAYS.INTL(MAX(E291,(Reprogramaciones!$T$15+7*(Reprogramaciones!R$14-1))),MIN(F291,Reprogramaciones!R$13),11))/MAX(0,NETWORKDAYS.INTL(MAX(E291,(Reprogramaciones!$T$15+7*(Reprogramaciones!R$14-1))),MIN(F291,(Reprogramaciones!$T$15+7*(Reprogramaciones!R$14-1))+6),11))))))))</f>
        <v/>
      </c>
      <c r="CB291" s="1" t="str">
        <f aca="false">IF(OR(NOT(AND(ISNUMBER(E291),ISNUMBER(F291))),$J$2=""),"",IF(Reprogramaciones!S$13&lt;Reprogramaciones!$T$15,0,IF(Reprogramaciones!S$14&gt;10,MIN(100,SUM($G291:$P291)),MIN(100,SUMPRODUCT((COLUMN($G291:$P291)-COLUMN($G291)+1&lt;Reprogramaciones!S$14)*$G291:$P291)+N(INDEX($G291:$P291,1,Reprogramaciones!S$14))*IF(Reprogramaciones!S$13&gt;=(Reprogramaciones!$T$15+7*(Reprogramaciones!S$14-1))+6,1,IF(MAX(0,NETWORKDAYS.INTL(MAX(E291,(Reprogramaciones!$T$15+7*(Reprogramaciones!S$14-1))),MIN(F291,(Reprogramaciones!$T$15+7*(Reprogramaciones!S$14-1))+6),11))=0,0,MAX(0,NETWORKDAYS.INTL(MAX(E291,(Reprogramaciones!$T$15+7*(Reprogramaciones!S$14-1))),MIN(F291,Reprogramaciones!S$13),11))/MAX(0,NETWORKDAYS.INTL(MAX(E291,(Reprogramaciones!$T$15+7*(Reprogramaciones!S$14-1))),MIN(F291,(Reprogramaciones!$T$15+7*(Reprogramaciones!S$14-1))+6),11))))))))</f>
        <v/>
      </c>
      <c r="CC291" s="1" t="str">
        <f aca="false">IF(OR(NOT(AND(ISNUMBER(E291),ISNUMBER(F291))),$J$2=""),"",IF(Reprogramaciones!T$13&lt;Reprogramaciones!$T$15,0,IF(Reprogramaciones!T$14&gt;10,MIN(100,SUM($G291:$P291)),MIN(100,SUMPRODUCT((COLUMN($G291:$P291)-COLUMN($G291)+1&lt;Reprogramaciones!T$14)*$G291:$P291)+N(INDEX($G291:$P291,1,Reprogramaciones!T$14))*IF(Reprogramaciones!T$13&gt;=(Reprogramaciones!$T$15+7*(Reprogramaciones!T$14-1))+6,1,IF(MAX(0,NETWORKDAYS.INTL(MAX(E291,(Reprogramaciones!$T$15+7*(Reprogramaciones!T$14-1))),MIN(F291,(Reprogramaciones!$T$15+7*(Reprogramaciones!T$14-1))+6),11))=0,0,MAX(0,NETWORKDAYS.INTL(MAX(E291,(Reprogramaciones!$T$15+7*(Reprogramaciones!T$14-1))),MIN(F291,Reprogramaciones!T$13),11))/MAX(0,NETWORKDAYS.INTL(MAX(E291,(Reprogramaciones!$T$15+7*(Reprogramaciones!T$14-1))),MIN(F291,(Reprogramaciones!$T$15+7*(Reprogramaciones!T$14-1))+6),11))))))))</f>
        <v/>
      </c>
      <c r="CD291" s="1" t="str">
        <f aca="false">IF(OR(NOT(AND(ISNUMBER(E291),ISNUMBER(F291))),$J$2=""),"",IF(Reprogramaciones!U$13&lt;Reprogramaciones!$T$15,0,IF(Reprogramaciones!U$14&gt;10,MIN(100,SUM($G291:$P291)),MIN(100,SUMPRODUCT((COLUMN($G291:$P291)-COLUMN($G291)+1&lt;Reprogramaciones!U$14)*$G291:$P291)+N(INDEX($G291:$P291,1,Reprogramaciones!U$14))*IF(Reprogramaciones!U$13&gt;=(Reprogramaciones!$T$15+7*(Reprogramaciones!U$14-1))+6,1,IF(MAX(0,NETWORKDAYS.INTL(MAX(E291,(Reprogramaciones!$T$15+7*(Reprogramaciones!U$14-1))),MIN(F291,(Reprogramaciones!$T$15+7*(Reprogramaciones!U$14-1))+6),11))=0,0,MAX(0,NETWORKDAYS.INTL(MAX(E291,(Reprogramaciones!$T$15+7*(Reprogramaciones!U$14-1))),MIN(F291,Reprogramaciones!U$13),11))/MAX(0,NETWORKDAYS.INTL(MAX(E291,(Reprogramaciones!$T$15+7*(Reprogramaciones!U$14-1))),MIN(F291,(Reprogramaciones!$T$15+7*(Reprogramaciones!U$14-1))+6),11))))))))</f>
        <v/>
      </c>
      <c r="CE291" s="1" t="str">
        <f aca="false">IF(OR(NOT(AND(ISNUMBER(E291),ISNUMBER(F291))),$J$2=""),"",IF(Reprogramaciones!V$13&lt;Reprogramaciones!$T$15,0,IF(Reprogramaciones!V$14&gt;10,MIN(100,SUM($G291:$P291)),MIN(100,SUMPRODUCT((COLUMN($G291:$P291)-COLUMN($G291)+1&lt;Reprogramaciones!V$14)*$G291:$P291)+N(INDEX($G291:$P291,1,Reprogramaciones!V$14))*IF(Reprogramaciones!V$13&gt;=(Reprogramaciones!$T$15+7*(Reprogramaciones!V$14-1))+6,1,IF(MAX(0,NETWORKDAYS.INTL(MAX(E291,(Reprogramaciones!$T$15+7*(Reprogramaciones!V$14-1))),MIN(F291,(Reprogramaciones!$T$15+7*(Reprogramaciones!V$14-1))+6),11))=0,0,MAX(0,NETWORKDAYS.INTL(MAX(E291,(Reprogramaciones!$T$15+7*(Reprogramaciones!V$14-1))),MIN(F291,Reprogramaciones!V$13),11))/MAX(0,NETWORKDAYS.INTL(MAX(E291,(Reprogramaciones!$T$15+7*(Reprogramaciones!V$14-1))),MIN(F291,(Reprogramaciones!$T$15+7*(Reprogramaciones!V$14-1))+6),11))))))))</f>
        <v/>
      </c>
      <c r="CF291" s="1" t="str">
        <f aca="false">IF(OR(NOT(AND(ISNUMBER(E291),ISNUMBER(F291))),$J$2=""),"",IF(Reprogramaciones!W$13&lt;Reprogramaciones!$T$15,0,IF(Reprogramaciones!W$14&gt;10,MIN(100,SUM($G291:$P291)),MIN(100,SUMPRODUCT((COLUMN($G291:$P291)-COLUMN($G291)+1&lt;Reprogramaciones!W$14)*$G291:$P291)+N(INDEX($G291:$P291,1,Reprogramaciones!W$14))*IF(Reprogramaciones!W$13&gt;=(Reprogramaciones!$T$15+7*(Reprogramaciones!W$14-1))+6,1,IF(MAX(0,NETWORKDAYS.INTL(MAX(E291,(Reprogramaciones!$T$15+7*(Reprogramaciones!W$14-1))),MIN(F291,(Reprogramaciones!$T$15+7*(Reprogramaciones!W$14-1))+6),11))=0,0,MAX(0,NETWORKDAYS.INTL(MAX(E291,(Reprogramaciones!$T$15+7*(Reprogramaciones!W$14-1))),MIN(F291,Reprogramaciones!W$13),11))/MAX(0,NETWORKDAYS.INTL(MAX(E291,(Reprogramaciones!$T$15+7*(Reprogramaciones!W$14-1))),MIN(F291,(Reprogramaciones!$T$15+7*(Reprogramaciones!W$14-1))+6),11))))))))</f>
        <v/>
      </c>
      <c r="CG291" s="1" t="str">
        <f aca="false">IF(OR(NOT(AND(ISNUMBER(E291),ISNUMBER(F291))),$J$2=""),"",IF(Reprogramaciones!X$13&lt;Reprogramaciones!$T$15,0,IF(Reprogramaciones!X$14&gt;10,MIN(100,SUM($G291:$P291)),MIN(100,SUMPRODUCT((COLUMN($G291:$P291)-COLUMN($G291)+1&lt;Reprogramaciones!X$14)*$G291:$P291)+N(INDEX($G291:$P291,1,Reprogramaciones!X$14))*IF(Reprogramaciones!X$13&gt;=(Reprogramaciones!$T$15+7*(Reprogramaciones!X$14-1))+6,1,IF(MAX(0,NETWORKDAYS.INTL(MAX(E291,(Reprogramaciones!$T$15+7*(Reprogramaciones!X$14-1))),MIN(F291,(Reprogramaciones!$T$15+7*(Reprogramaciones!X$14-1))+6),11))=0,0,MAX(0,NETWORKDAYS.INTL(MAX(E291,(Reprogramaciones!$T$15+7*(Reprogramaciones!X$14-1))),MIN(F291,Reprogramaciones!X$13),11))/MAX(0,NETWORKDAYS.INTL(MAX(E291,(Reprogramaciones!$T$15+7*(Reprogramaciones!X$14-1))),MIN(F291,(Reprogramaciones!$T$15+7*(Reprogramaciones!X$14-1))+6),11))))))))</f>
        <v/>
      </c>
      <c r="CH291" s="1" t="str">
        <f aca="false">IF(OR(NOT(AND(ISNUMBER(E291),ISNUMBER(F291))),$J$2=""),"",IF(Reprogramaciones!Y$13&lt;Reprogramaciones!$T$15,0,IF(Reprogramaciones!Y$14&gt;10,MIN(100,SUM($G291:$P291)),MIN(100,SUMPRODUCT((COLUMN($G291:$P291)-COLUMN($G291)+1&lt;Reprogramaciones!Y$14)*$G291:$P291)+N(INDEX($G291:$P291,1,Reprogramaciones!Y$14))*IF(Reprogramaciones!Y$13&gt;=(Reprogramaciones!$T$15+7*(Reprogramaciones!Y$14-1))+6,1,IF(MAX(0,NETWORKDAYS.INTL(MAX(E291,(Reprogramaciones!$T$15+7*(Reprogramaciones!Y$14-1))),MIN(F291,(Reprogramaciones!$T$15+7*(Reprogramaciones!Y$14-1))+6),11))=0,0,MAX(0,NETWORKDAYS.INTL(MAX(E291,(Reprogramaciones!$T$15+7*(Reprogramaciones!Y$14-1))),MIN(F291,Reprogramaciones!Y$13),11))/MAX(0,NETWORKDAYS.INTL(MAX(E291,(Reprogramaciones!$T$15+7*(Reprogramaciones!Y$14-1))),MIN(F291,(Reprogramaciones!$T$15+7*(Reprogramaciones!Y$14-1))+6),11))))))))</f>
        <v/>
      </c>
      <c r="CI291" s="1" t="str">
        <f aca="false">IF(OR(NOT(AND(ISNUMBER(E291),ISNUMBER(F291))),$J$2=""),"",IF(Reprogramaciones!Z$13&lt;Reprogramaciones!$T$15,0,IF(Reprogramaciones!Z$14&gt;10,MIN(100,SUM($G291:$P291)),MIN(100,SUMPRODUCT((COLUMN($G291:$P291)-COLUMN($G291)+1&lt;Reprogramaciones!Z$14)*$G291:$P291)+N(INDEX($G291:$P291,1,Reprogramaciones!Z$14))*IF(Reprogramaciones!Z$13&gt;=(Reprogramaciones!$T$15+7*(Reprogramaciones!Z$14-1))+6,1,IF(MAX(0,NETWORKDAYS.INTL(MAX(E291,(Reprogramaciones!$T$15+7*(Reprogramaciones!Z$14-1))),MIN(F291,(Reprogramaciones!$T$15+7*(Reprogramaciones!Z$14-1))+6),11))=0,0,MAX(0,NETWORKDAYS.INTL(MAX(E291,(Reprogramaciones!$T$15+7*(Reprogramaciones!Z$14-1))),MIN(F291,Reprogramaciones!Z$13),11))/MAX(0,NETWORKDAYS.INTL(MAX(E291,(Reprogramaciones!$T$15+7*(Reprogramaciones!Z$14-1))),MIN(F291,(Reprogramaciones!$T$15+7*(Reprogramaciones!Z$14-1))+6),11))))))))</f>
        <v/>
      </c>
      <c r="CJ291" s="1" t="str">
        <f aca="false">IF(OR(OR(NOT(AND(ISNUMBER(E291),ISNUMBER(F291))),$J$2=""),1&gt;Reprogramaciones!$K$16),"",IF(ROUND(SUM($Q291:Q291),1)&gt;=99.5,100,MIN(100,ROUND(SUM($Q291:Q291),1))))</f>
        <v/>
      </c>
      <c r="CK291" s="1" t="str">
        <f aca="false">IF(OR(OR(NOT(AND(ISNUMBER(E291),ISNUMBER(F291))),$J$2=""),2&gt;Reprogramaciones!$K$16),"",IF(ROUND(SUM($Q291:R291),1)&gt;=99.5,100,MIN(100,ROUND(SUM($Q291:R291),1))))</f>
        <v/>
      </c>
      <c r="CL291" s="1" t="str">
        <f aca="false">IF(OR(OR(NOT(AND(ISNUMBER(E291),ISNUMBER(F291))),$J$2=""),3&gt;Reprogramaciones!$K$16),"",IF(ROUND(SUM($Q291:S291),1)&gt;=99.5,100,MIN(100,ROUND(SUM($Q291:S291),1))))</f>
        <v/>
      </c>
      <c r="CM291" s="1" t="str">
        <f aca="false">IF(OR(OR(NOT(AND(ISNUMBER(E291),ISNUMBER(F291))),$J$2=""),4&gt;Reprogramaciones!$K$16),"",IF(ROUND(SUM($Q291:T291),1)&gt;=99.5,100,MIN(100,ROUND(SUM($Q291:T291),1))))</f>
        <v/>
      </c>
      <c r="CN291" s="1" t="str">
        <f aca="false">IF(OR(OR(NOT(AND(ISNUMBER(E291),ISNUMBER(F291))),$J$2=""),5&gt;Reprogramaciones!$K$16),"",IF(ROUND(SUM($Q291:U291),1)&gt;=99.5,100,MIN(100,ROUND(SUM($Q291:U291),1))))</f>
        <v/>
      </c>
      <c r="CO291" s="1" t="str">
        <f aca="false">IF(OR(OR(NOT(AND(ISNUMBER(E291),ISNUMBER(F291))),$J$2=""),6&gt;Reprogramaciones!$K$16),"",IF(ROUND(SUM($Q291:V291),1)&gt;=99.5,100,MIN(100,ROUND(SUM($Q291:V291),1))))</f>
        <v/>
      </c>
      <c r="CP291" s="1" t="str">
        <f aca="false">IF(OR(OR(NOT(AND(ISNUMBER(E291),ISNUMBER(F291))),$J$2=""),7&gt;Reprogramaciones!$K$16),"",IF(ROUND(SUM($Q291:W291),1)&gt;=99.5,100,MIN(100,ROUND(SUM($Q291:W291),1))))</f>
        <v/>
      </c>
      <c r="CQ291" s="1" t="str">
        <f aca="false">IF(OR(OR(NOT(AND(ISNUMBER(E291),ISNUMBER(F291))),$J$2=""),8&gt;Reprogramaciones!$K$16),"",IF(ROUND(SUM($Q291:X291),1)&gt;=99.5,100,MIN(100,ROUND(SUM($Q291:X291),1))))</f>
        <v/>
      </c>
      <c r="CR291" s="1" t="str">
        <f aca="false">IF(OR(OR(NOT(AND(ISNUMBER(E291),ISNUMBER(F291))),$J$2=""),9&gt;Reprogramaciones!$K$16),"",IF(ROUND(SUM($Q291:Y291),1)&gt;=99.5,100,MIN(100,ROUND(SUM($Q291:Y291),1))))</f>
        <v/>
      </c>
      <c r="CS291" s="1" t="str">
        <f aca="false">IF(OR(OR(NOT(AND(ISNUMBER(E291),ISNUMBER(F291))),$J$2=""),10&gt;Reprogramaciones!$K$16),"",IF(ROUND(SUM($Q291:Z291),1)&gt;=99.5,100,MIN(100,ROUND(SUM($Q291:Z291),1))))</f>
        <v/>
      </c>
      <c r="CT291" s="1" t="str">
        <f aca="false">IF(OR(OR(NOT(AND(ISNUMBER(E291),ISNUMBER(F291))),$J$2=""),11&gt;Reprogramaciones!$K$16),"",IF(ROUND(SUM($Q291:AA291),1)&gt;=99.5,100,MIN(100,ROUND(SUM($Q291:AA291),1))))</f>
        <v/>
      </c>
      <c r="CU291" s="1" t="str">
        <f aca="false">IF(OR(OR(NOT(AND(ISNUMBER(E291),ISNUMBER(F291))),$J$2=""),12&gt;Reprogramaciones!$K$16),"",IF(ROUND(SUM($Q291:AB291),1)&gt;=99.5,100,MIN(100,ROUND(SUM($Q291:AB291),1))))</f>
        <v/>
      </c>
      <c r="CV291" s="1" t="str">
        <f aca="false">IF(OR(OR(NOT(AND(ISNUMBER(E291),ISNUMBER(F291))),$J$2=""),13&gt;Reprogramaciones!$K$16),"",IF(ROUND(SUM($Q291:AC291),1)&gt;=99.5,100,MIN(100,ROUND(SUM($Q291:AC291),1))))</f>
        <v/>
      </c>
      <c r="CW291" s="1" t="str">
        <f aca="false">IF(OR(OR(NOT(AND(ISNUMBER(E291),ISNUMBER(F291))),$J$2=""),14&gt;Reprogramaciones!$K$16),"",IF(ROUND(SUM($Q291:AD291),1)&gt;=99.5,100,MIN(100,ROUND(SUM($Q291:AD291),1))))</f>
        <v/>
      </c>
      <c r="CX291" s="1" t="str">
        <f aca="false">IF(OR(OR(NOT(AND(ISNUMBER(E291),ISNUMBER(F291))),$J$2=""),15&gt;Reprogramaciones!$K$16),"",IF(ROUND(SUM($Q291:AE291),1)&gt;=99.5,100,MIN(100,ROUND(SUM($Q291:AE291),1))))</f>
        <v/>
      </c>
      <c r="CY291" s="1" t="str">
        <f aca="false">IF(OR(OR(NOT(AND(ISNUMBER(E291),ISNUMBER(F291))),$J$2=""),16&gt;Reprogramaciones!$K$16),"",IF(ROUND(SUM($Q291:AF291),1)&gt;=99.5,100,MIN(100,ROUND(SUM($Q291:AF291),1))))</f>
        <v/>
      </c>
      <c r="CZ291" s="1" t="str">
        <f aca="false">IF(D291&lt;&gt;"",D291,IF(B291&lt;&gt;"","Contractual",CZ290))</f>
        <v>Contractual</v>
      </c>
      <c r="DA291" s="1" t="str">
        <f aca="false">IF(OR(NOT(AND(ISNUMBER(E291),ISNUMBER(F291))),$J$2=""),"",IF(Reprogramaciones!$Q$15&lt;Reprogramaciones!$T$15,0,IF(Reprogramaciones!$S$15&gt;10,MIN(100,SUM($G291:$P291)),MIN(100,SUMPRODUCT((COLUMN($G291:$P291)-COLUMN($G291)+1&lt;Reprogramaciones!$S$15)*$G291:$P291)+N(INDEX($G291:$P291,1,Reprogramaciones!$S$15))*IF(Reprogramaciones!$Q$15&gt;=(Reprogramaciones!$T$15+7*(Reprogramaciones!$S$15-1))+6,1,IF(MAX(0,NETWORKDAYS.INTL(MAX(E291,(Reprogramaciones!$T$15+7*(Reprogramaciones!$S$15-1))),MIN(F291,(Reprogramaciones!$T$15+7*(Reprogramaciones!$S$15-1))+6),11))=0,0,MAX(0,NETWORKDAYS.INTL(MAX(E291,(Reprogramaciones!$T$15+7*(Reprogramaciones!$S$15-1))),MIN(F291,Reprogramaciones!$Q$15),11))/MAX(0,NETWORKDAYS.INTL(MAX(E291,(Reprogramaciones!$T$15+7*(Reprogramaciones!$S$15-1))),MIN(F291,(Reprogramaciones!$T$15+7*(Reprogramaciones!$S$15-1))+6),11))))))))</f>
        <v/>
      </c>
    </row>
    <row r="292" customFormat="false" ht="15" hidden="false" customHeight="false" outlineLevel="0" collapsed="false">
      <c r="A292" s="32"/>
      <c r="B292" s="33"/>
      <c r="C292" s="33"/>
      <c r="D292" s="34"/>
      <c r="E292" s="35"/>
      <c r="F292" s="35"/>
      <c r="G292" s="36" t="str">
        <f aca="false">IF(OR(NOT(AND(ISNUMBER(E292),ISNUMBER(F292))),$J$2=""),"",IF(Reprogramaciones!K$9&lt;E292,0,IF(NETWORKDAYS.INTL(E292,F292,11)=0,IF(Reprogramaciones!K$9&gt;=F292,100,0),ROUND(NETWORKDAYS.INTL(E292,MIN(F292,Reprogramaciones!K$9),11)/NETWORKDAYS.INTL(E292,F292,11)*100,1)))-0)</f>
        <v/>
      </c>
      <c r="H292" s="36" t="str">
        <f aca="false">IF(OR(NOT(AND(ISNUMBER(E292),ISNUMBER(F292))),$J$2=""),"",IF(Reprogramaciones!L$9&lt;E292,0,IF(NETWORKDAYS.INTL(E292,F292,11)=0,IF(Reprogramaciones!L$9&gt;=F292,100,0),ROUND(NETWORKDAYS.INTL(E292,MIN(F292,Reprogramaciones!L$9),11)/NETWORKDAYS.INTL(E292,F292,11)*100,1)))-IF(Reprogramaciones!K$9&lt;E292,0,IF(NETWORKDAYS.INTL(E292,F292,11)=0,IF(Reprogramaciones!K$9&gt;=F292,100,0),ROUND(NETWORKDAYS.INTL(E292,MIN(F292,Reprogramaciones!K$9),11)/NETWORKDAYS.INTL(E292,F292,11)*100,1))))</f>
        <v/>
      </c>
      <c r="I292" s="36" t="str">
        <f aca="false">IF(OR(NOT(AND(ISNUMBER(E292),ISNUMBER(F292))),$J$2=""),"",IF(Reprogramaciones!M$9&lt;E292,0,IF(NETWORKDAYS.INTL(E292,F292,11)=0,IF(Reprogramaciones!M$9&gt;=F292,100,0),ROUND(NETWORKDAYS.INTL(E292,MIN(F292,Reprogramaciones!M$9),11)/NETWORKDAYS.INTL(E292,F292,11)*100,1)))-IF(Reprogramaciones!L$9&lt;E292,0,IF(NETWORKDAYS.INTL(E292,F292,11)=0,IF(Reprogramaciones!L$9&gt;=F292,100,0),ROUND(NETWORKDAYS.INTL(E292,MIN(F292,Reprogramaciones!L$9),11)/NETWORKDAYS.INTL(E292,F292,11)*100,1))))</f>
        <v/>
      </c>
      <c r="J292" s="36" t="str">
        <f aca="false">IF(OR(NOT(AND(ISNUMBER(E292),ISNUMBER(F292))),$J$2=""),"",IF(Reprogramaciones!N$9&lt;E292,0,IF(NETWORKDAYS.INTL(E292,F292,11)=0,IF(Reprogramaciones!N$9&gt;=F292,100,0),ROUND(NETWORKDAYS.INTL(E292,MIN(F292,Reprogramaciones!N$9),11)/NETWORKDAYS.INTL(E292,F292,11)*100,1)))-IF(Reprogramaciones!M$9&lt;E292,0,IF(NETWORKDAYS.INTL(E292,F292,11)=0,IF(Reprogramaciones!M$9&gt;=F292,100,0),ROUND(NETWORKDAYS.INTL(E292,MIN(F292,Reprogramaciones!M$9),11)/NETWORKDAYS.INTL(E292,F292,11)*100,1))))</f>
        <v/>
      </c>
      <c r="K292" s="36" t="str">
        <f aca="false">IF(OR(NOT(AND(ISNUMBER(E292),ISNUMBER(F292))),$J$2=""),"",IF(Reprogramaciones!O$9&lt;E292,0,IF(NETWORKDAYS.INTL(E292,F292,11)=0,IF(Reprogramaciones!O$9&gt;=F292,100,0),ROUND(NETWORKDAYS.INTL(E292,MIN(F292,Reprogramaciones!O$9),11)/NETWORKDAYS.INTL(E292,F292,11)*100,1)))-IF(Reprogramaciones!N$9&lt;E292,0,IF(NETWORKDAYS.INTL(E292,F292,11)=0,IF(Reprogramaciones!N$9&gt;=F292,100,0),ROUND(NETWORKDAYS.INTL(E292,MIN(F292,Reprogramaciones!N$9),11)/NETWORKDAYS.INTL(E292,F292,11)*100,1))))</f>
        <v/>
      </c>
      <c r="L292" s="36" t="str">
        <f aca="false">IF(OR(NOT(AND(ISNUMBER(E292),ISNUMBER(F292))),$J$2=""),"",IF(Reprogramaciones!P$9&lt;E292,0,IF(NETWORKDAYS.INTL(E292,F292,11)=0,IF(Reprogramaciones!P$9&gt;=F292,100,0),ROUND(NETWORKDAYS.INTL(E292,MIN(F292,Reprogramaciones!P$9),11)/NETWORKDAYS.INTL(E292,F292,11)*100,1)))-IF(Reprogramaciones!O$9&lt;E292,0,IF(NETWORKDAYS.INTL(E292,F292,11)=0,IF(Reprogramaciones!O$9&gt;=F292,100,0),ROUND(NETWORKDAYS.INTL(E292,MIN(F292,Reprogramaciones!O$9),11)/NETWORKDAYS.INTL(E292,F292,11)*100,1))))</f>
        <v/>
      </c>
      <c r="M292" s="36" t="str">
        <f aca="false">IF(OR(NOT(AND(ISNUMBER(E292),ISNUMBER(F292))),$J$2=""),"",IF(Reprogramaciones!Q$9&lt;E292,0,IF(NETWORKDAYS.INTL(E292,F292,11)=0,IF(Reprogramaciones!Q$9&gt;=F292,100,0),ROUND(NETWORKDAYS.INTL(E292,MIN(F292,Reprogramaciones!Q$9),11)/NETWORKDAYS.INTL(E292,F292,11)*100,1)))-IF(Reprogramaciones!P$9&lt;E292,0,IF(NETWORKDAYS.INTL(E292,F292,11)=0,IF(Reprogramaciones!P$9&gt;=F292,100,0),ROUND(NETWORKDAYS.INTL(E292,MIN(F292,Reprogramaciones!P$9),11)/NETWORKDAYS.INTL(E292,F292,11)*100,1))))</f>
        <v/>
      </c>
      <c r="N292" s="36" t="str">
        <f aca="false">IF(OR(NOT(AND(ISNUMBER(E292),ISNUMBER(F292))),$J$2=""),"",IF(Reprogramaciones!R$9&lt;E292,0,IF(NETWORKDAYS.INTL(E292,F292,11)=0,IF(Reprogramaciones!R$9&gt;=F292,100,0),ROUND(NETWORKDAYS.INTL(E292,MIN(F292,Reprogramaciones!R$9),11)/NETWORKDAYS.INTL(E292,F292,11)*100,1)))-IF(Reprogramaciones!Q$9&lt;E292,0,IF(NETWORKDAYS.INTL(E292,F292,11)=0,IF(Reprogramaciones!Q$9&gt;=F292,100,0),ROUND(NETWORKDAYS.INTL(E292,MIN(F292,Reprogramaciones!Q$9),11)/NETWORKDAYS.INTL(E292,F292,11)*100,1))))</f>
        <v/>
      </c>
      <c r="O292" s="36" t="str">
        <f aca="false">IF(OR(NOT(AND(ISNUMBER(E292),ISNUMBER(F292))),$J$2=""),"",IF(Reprogramaciones!S$9&lt;E292,0,IF(NETWORKDAYS.INTL(E292,F292,11)=0,IF(Reprogramaciones!S$9&gt;=F292,100,0),ROUND(NETWORKDAYS.INTL(E292,MIN(F292,Reprogramaciones!S$9),11)/NETWORKDAYS.INTL(E292,F292,11)*100,1)))-IF(Reprogramaciones!R$9&lt;E292,0,IF(NETWORKDAYS.INTL(E292,F292,11)=0,IF(Reprogramaciones!R$9&gt;=F292,100,0),ROUND(NETWORKDAYS.INTL(E292,MIN(F292,Reprogramaciones!R$9),11)/NETWORKDAYS.INTL(E292,F292,11)*100,1))))</f>
        <v/>
      </c>
      <c r="P292" s="36" t="str">
        <f aca="false">IF(OR(NOT(AND(ISNUMBER(E292),ISNUMBER(F292))),$J$2=""),"",IF(Reprogramaciones!T$9&lt;E292,0,IF(NETWORKDAYS.INTL(E292,F292,11)=0,IF(Reprogramaciones!T$9&gt;=F292,100,0),ROUND(NETWORKDAYS.INTL(E292,MIN(F292,Reprogramaciones!T$9),11)/NETWORKDAYS.INTL(E292,F292,11)*100,1)))-IF(Reprogramaciones!S$9&lt;E292,0,IF(NETWORKDAYS.INTL(E292,F292,11)=0,IF(Reprogramaciones!S$9&gt;=F292,100,0),ROUND(NETWORKDAYS.INTL(E292,MIN(F292,Reprogramaciones!S$9),11)/NETWORKDAYS.INTL(E292,F292,11)*100,1))))</f>
        <v/>
      </c>
      <c r="Q292" s="37"/>
      <c r="R292" s="37"/>
      <c r="S292" s="37"/>
      <c r="T292" s="37"/>
      <c r="U292" s="37"/>
      <c r="V292" s="37"/>
      <c r="W292" s="37"/>
      <c r="X292" s="37"/>
      <c r="Y292" s="37"/>
      <c r="Z292" s="37"/>
      <c r="AA292" s="37"/>
      <c r="AB292" s="37"/>
      <c r="AC292" s="37"/>
      <c r="AD292" s="37"/>
      <c r="AE292" s="37"/>
      <c r="AF292" s="37"/>
      <c r="AG292" s="38" t="str">
        <f aca="false">IF(AND(ISNUMBER(E292),ISNUMBER(F292)),NETWORKDAYS.INTL(E292,F292,11),"")</f>
        <v/>
      </c>
      <c r="AH292" s="38" t="str">
        <f aca="false">IF(OR(NOT(AND(ISNUMBER(E292),ISNUMBER(F292))),$J$2=""),"",IF(Reprogramaciones!$P$15&lt;Reprogramaciones!$T$15,0,IF(Reprogramaciones!$R$15&gt;10,MIN(100,SUM($G292:$P292)),MIN(100,SUMPRODUCT((COLUMN($G292:$P292)-COLUMN($G292)+1&lt;Reprogramaciones!$R$15)*$G292:$P292)+N(INDEX($G292:$P292,1,Reprogramaciones!$R$15))*IF(Reprogramaciones!$P$15&gt;=(Reprogramaciones!$T$15+7*(Reprogramaciones!$R$15-1))+6,1,IF(MAX(0,NETWORKDAYS.INTL(MAX(E292,(Reprogramaciones!$T$15+7*(Reprogramaciones!$R$15-1))),MIN(F292,(Reprogramaciones!$T$15+7*(Reprogramaciones!$R$15-1))+6),11))=0,0,MAX(0,NETWORKDAYS.INTL(MAX(E292,(Reprogramaciones!$T$15+7*(Reprogramaciones!$R$15-1))),MIN(F292,Reprogramaciones!$P$15),11))/MAX(0,NETWORKDAYS.INTL(MAX(E292,(Reprogramaciones!$T$15+7*(Reprogramaciones!$R$15-1))),MIN(F292,(Reprogramaciones!$T$15+7*(Reprogramaciones!$R$15-1))+6),11))))))))</f>
        <v/>
      </c>
      <c r="AI292" s="38" t="str">
        <f aca="false">IF(COUNT($Q292:$AF292)=0,"",IF(ROUND(SUM($Q292:$AF292),1)&gt;=99.5,100,MIN(100,ROUND(SUM($Q292:$AF292),1))))</f>
        <v/>
      </c>
      <c r="AJ292" s="38" t="str">
        <f aca="false">IF(OR(AH292="",AI292=""),"",AI292-AH292)</f>
        <v/>
      </c>
      <c r="AK292" s="39" t="str">
        <f aca="true">IF(AH292="","",IF(OR(Ficha!$C$10="Suspendida",Ficha!$C$10="Cancelada"),Ficha!$C$10,IF(AND(AI292&lt;&gt;"",N(AI292)&gt;=100),"Completada",IF(AND(E292&gt;TODAY(),N(AI292)=0),"Por iniciar",IF(N(AI292)+0.5&lt;AH292,"Retrasada",IF(N(AI292)+0.5&lt;DA292,IF(Reprogramaciones!$K$15&gt;0,"Al día · Sem "&amp;Reprogramaciones!$K$15&amp;" en curso","Al día · en curso"),"A tiempo"))))))</f>
        <v/>
      </c>
      <c r="AL292" s="39" t="str">
        <f aca="true">IF(AND(A292="",AND(B292="",C292="",E292="",F292="",COUNT(Q292:AF292)=0)),"",IF(AND(B292="",C292="",E292="",F292="",COUNT(Q292:AF292)=0),"Falta la partida o subpartida",IF(AND(A292&lt;&gt;"",COUNTIF($A$6:$A$305,A292)&gt;1),"Ítem repetido",IF(AND(C292="",E292="",F292="",COUNT(Q292:AF292)=0),"Título de partida",IF(OR(E292="",F292=""),"Faltan fechas",IF(OR(ISTEXT(E292),ISTEXT(F292)),"Fecha escrita como texto: usa dd/mm/aaaa",IF(F292&lt;E292,"Fin antes del inicio",IF(IF($J$2="",FALSE(),OR(E292&lt;$J$2,F292&gt;Reprogramaciones!$T$15+69)),"Fuera de las 10 semanas",IF(ABS(SUM(G292:P292)-100)&gt;0.5,"La meta no suma 100%",IF(ROUND(SUM(Q292:AF292),1)&gt;100.5,"El avance pasa de 100%",IF(MIN(Q292:AF292)&lt;0,"Avance negativo",IF(COUNTA(Q292:AF292)&gt;COUNT(Q292:AF292),"Avance escrito como texto",IF(SUMPRODUCT((Q292:AF292&gt;0)*(Q292:AF292&lt;1))&gt;0,"Avance menor a 1: escribe 50, no 50%",IF(SUMPRODUCT(ISNUMBER(Q292:AF292)*(Reprogramaciones!$K$8:$Z$8&gt;TODAY()))&gt;0,"Avance en semana que aún no llega",IF(AND(N(Reprogramaciones!$E$21)&gt;0,F292&gt;Reprogramaciones!$E$21),"Pasa el fin de la obra: registra una reprogramación",IF(AND(N(Reprogramaciones!$E$21)&gt;0,SUMPRODUCT(ISNUMBER(Q292:AF292)*(Reprogramaciones!$K$8:$Z$8&gt;Reprogramaciones!$E$21))&gt;0),"Avance después del fin de la obra: registra una reprogramación por atraso","OK"))))))))))))))))</f>
        <v/>
      </c>
      <c r="AM292" s="40" t="str">
        <f aca="false">IF(OR(OR(NOT(AND(ISNUMBER(E292),ISNUMBER(F292))),$J$2=""),1&gt;MAX(1,Reprogramaciones!$U$15)),"",IF(Reprogramaciones!K$12&gt;=7,"",IF(OR(BT292-N(0)&gt;0.05,N(Q292)&gt;0),ROUNDDOWN(ROUND(BT292,6),0)&amp;"%"&amp;IF(CJ292="",""," / "&amp;CJ292&amp;"%"),IF(AND(N(0)&gt;=99.95,CJ292&lt;&gt;"",N(CJ292)&lt;100),"Pend. "&amp;CJ292&amp;"%",""))))</f>
        <v/>
      </c>
      <c r="AN292" s="40" t="str">
        <f aca="false">IF(OR(OR(NOT(AND(ISNUMBER(E292),ISNUMBER(F292))),$J$2=""),2&gt;MAX(1,Reprogramaciones!$U$15)),"",IF(Reprogramaciones!L$12&gt;=7,"",IF(OR(BU292-N(BT292)&gt;0.05,N(R292)&gt;0),ROUNDDOWN(ROUND(BU292,6),0)&amp;"%"&amp;IF(CK292="",""," / "&amp;CK292&amp;"%"),IF(AND(N(BT292)&gt;=99.95,CK292&lt;&gt;"",N(CK292)&lt;100),"Pend. "&amp;CK292&amp;"%",""))))</f>
        <v/>
      </c>
      <c r="AO292" s="40" t="str">
        <f aca="false">IF(OR(OR(NOT(AND(ISNUMBER(E292),ISNUMBER(F292))),$J$2=""),3&gt;MAX(1,Reprogramaciones!$U$15)),"",IF(Reprogramaciones!M$12&gt;=7,"",IF(OR(BV292-N(BU292)&gt;0.05,N(S292)&gt;0),ROUNDDOWN(ROUND(BV292,6),0)&amp;"%"&amp;IF(CL292="",""," / "&amp;CL292&amp;"%"),IF(AND(N(BU292)&gt;=99.95,CL292&lt;&gt;"",N(CL292)&lt;100),"Pend. "&amp;CL292&amp;"%",""))))</f>
        <v/>
      </c>
      <c r="AP292" s="40" t="str">
        <f aca="false">IF(OR(OR(NOT(AND(ISNUMBER(E292),ISNUMBER(F292))),$J$2=""),4&gt;MAX(1,Reprogramaciones!$U$15)),"",IF(Reprogramaciones!N$12&gt;=7,"",IF(OR(BW292-N(BV292)&gt;0.05,N(T292)&gt;0),ROUNDDOWN(ROUND(BW292,6),0)&amp;"%"&amp;IF(CM292="",""," / "&amp;CM292&amp;"%"),IF(AND(N(BV292)&gt;=99.95,CM292&lt;&gt;"",N(CM292)&lt;100),"Pend. "&amp;CM292&amp;"%",""))))</f>
        <v/>
      </c>
      <c r="AQ292" s="40" t="str">
        <f aca="false">IF(OR(OR(NOT(AND(ISNUMBER(E292),ISNUMBER(F292))),$J$2=""),5&gt;MAX(1,Reprogramaciones!$U$15)),"",IF(Reprogramaciones!O$12&gt;=7,"",IF(OR(BX292-N(BW292)&gt;0.05,N(U292)&gt;0),ROUNDDOWN(ROUND(BX292,6),0)&amp;"%"&amp;IF(CN292="",""," / "&amp;CN292&amp;"%"),IF(AND(N(BW292)&gt;=99.95,CN292&lt;&gt;"",N(CN292)&lt;100),"Pend. "&amp;CN292&amp;"%",""))))</f>
        <v/>
      </c>
      <c r="AR292" s="40" t="str">
        <f aca="false">IF(OR(OR(NOT(AND(ISNUMBER(E292),ISNUMBER(F292))),$J$2=""),6&gt;MAX(1,Reprogramaciones!$U$15)),"",IF(Reprogramaciones!P$12&gt;=7,"",IF(OR(BY292-N(BX292)&gt;0.05,N(V292)&gt;0),ROUNDDOWN(ROUND(BY292,6),0)&amp;"%"&amp;IF(CO292="",""," / "&amp;CO292&amp;"%"),IF(AND(N(BX292)&gt;=99.95,CO292&lt;&gt;"",N(CO292)&lt;100),"Pend. "&amp;CO292&amp;"%",""))))</f>
        <v/>
      </c>
      <c r="AS292" s="40" t="str">
        <f aca="false">IF(OR(OR(NOT(AND(ISNUMBER(E292),ISNUMBER(F292))),$J$2=""),7&gt;MAX(1,Reprogramaciones!$U$15)),"",IF(Reprogramaciones!Q$12&gt;=7,"",IF(OR(BZ292-N(BY292)&gt;0.05,N(W292)&gt;0),ROUNDDOWN(ROUND(BZ292,6),0)&amp;"%"&amp;IF(CP292="",""," / "&amp;CP292&amp;"%"),IF(AND(N(BY292)&gt;=99.95,CP292&lt;&gt;"",N(CP292)&lt;100),"Pend. "&amp;CP292&amp;"%",""))))</f>
        <v/>
      </c>
      <c r="AT292" s="40" t="str">
        <f aca="false">IF(OR(OR(NOT(AND(ISNUMBER(E292),ISNUMBER(F292))),$J$2=""),8&gt;MAX(1,Reprogramaciones!$U$15)),"",IF(Reprogramaciones!R$12&gt;=7,"",IF(OR(CA292-N(BZ292)&gt;0.05,N(X292)&gt;0),ROUNDDOWN(ROUND(CA292,6),0)&amp;"%"&amp;IF(CQ292="",""," / "&amp;CQ292&amp;"%"),IF(AND(N(BZ292)&gt;=99.95,CQ292&lt;&gt;"",N(CQ292)&lt;100),"Pend. "&amp;CQ292&amp;"%",""))))</f>
        <v/>
      </c>
      <c r="AU292" s="40" t="str">
        <f aca="false">IF(OR(OR(NOT(AND(ISNUMBER(E292),ISNUMBER(F292))),$J$2=""),9&gt;MAX(1,Reprogramaciones!$U$15)),"",IF(Reprogramaciones!S$12&gt;=7,"",IF(OR(CB292-N(CA292)&gt;0.05,N(Y292)&gt;0),ROUNDDOWN(ROUND(CB292,6),0)&amp;"%"&amp;IF(CR292="",""," / "&amp;CR292&amp;"%"),IF(AND(N(CA292)&gt;=99.95,CR292&lt;&gt;"",N(CR292)&lt;100),"Pend. "&amp;CR292&amp;"%",""))))</f>
        <v/>
      </c>
      <c r="AV292" s="40" t="str">
        <f aca="false">IF(OR(OR(NOT(AND(ISNUMBER(E292),ISNUMBER(F292))),$J$2=""),10&gt;MAX(1,Reprogramaciones!$U$15)),"",IF(Reprogramaciones!T$12&gt;=7,"",IF(OR(CC292-N(CB292)&gt;0.05,N(Z292)&gt;0),ROUNDDOWN(ROUND(CC292,6),0)&amp;"%"&amp;IF(CS292="",""," / "&amp;CS292&amp;"%"),IF(AND(N(CB292)&gt;=99.95,CS292&lt;&gt;"",N(CS292)&lt;100),"Pend. "&amp;CS292&amp;"%",""))))</f>
        <v/>
      </c>
      <c r="AW292" s="40" t="str">
        <f aca="false">IF(OR(OR(NOT(AND(ISNUMBER(E292),ISNUMBER(F292))),$J$2=""),11&gt;MAX(1,Reprogramaciones!$U$15)),"",IF(Reprogramaciones!U$12&gt;=7,"",IF(OR(CD292-N(CC292)&gt;0.05,N(AA292)&gt;0),ROUNDDOWN(ROUND(CD292,6),0)&amp;"%"&amp;IF(CT292="",""," / "&amp;CT292&amp;"%"),IF(AND(N(CC292)&gt;=99.95,CT292&lt;&gt;"",N(CT292)&lt;100),"Pend. "&amp;CT292&amp;"%",""))))</f>
        <v/>
      </c>
      <c r="AX292" s="40" t="str">
        <f aca="false">IF(OR(OR(NOT(AND(ISNUMBER(E292),ISNUMBER(F292))),$J$2=""),12&gt;MAX(1,Reprogramaciones!$U$15)),"",IF(Reprogramaciones!V$12&gt;=7,"",IF(OR(CE292-N(CD292)&gt;0.05,N(AB292)&gt;0),ROUNDDOWN(ROUND(CE292,6),0)&amp;"%"&amp;IF(CU292="",""," / "&amp;CU292&amp;"%"),IF(AND(N(CD292)&gt;=99.95,CU292&lt;&gt;"",N(CU292)&lt;100),"Pend. "&amp;CU292&amp;"%",""))))</f>
        <v/>
      </c>
      <c r="AY292" s="40" t="str">
        <f aca="false">IF(OR(OR(NOT(AND(ISNUMBER(E292),ISNUMBER(F292))),$J$2=""),13&gt;MAX(1,Reprogramaciones!$U$15)),"",IF(Reprogramaciones!W$12&gt;=7,"",IF(OR(CF292-N(CE292)&gt;0.05,N(AC292)&gt;0),ROUNDDOWN(ROUND(CF292,6),0)&amp;"%"&amp;IF(CV292="",""," / "&amp;CV292&amp;"%"),IF(AND(N(CE292)&gt;=99.95,CV292&lt;&gt;"",N(CV292)&lt;100),"Pend. "&amp;CV292&amp;"%",""))))</f>
        <v/>
      </c>
      <c r="AZ292" s="40" t="str">
        <f aca="false">IF(OR(OR(NOT(AND(ISNUMBER(E292),ISNUMBER(F292))),$J$2=""),14&gt;MAX(1,Reprogramaciones!$U$15)),"",IF(Reprogramaciones!X$12&gt;=7,"",IF(OR(CG292-N(CF292)&gt;0.05,N(AD292)&gt;0),ROUNDDOWN(ROUND(CG292,6),0)&amp;"%"&amp;IF(CW292="",""," / "&amp;CW292&amp;"%"),IF(AND(N(CF292)&gt;=99.95,CW292&lt;&gt;"",N(CW292)&lt;100),"Pend. "&amp;CW292&amp;"%",""))))</f>
        <v/>
      </c>
      <c r="BA292" s="40" t="str">
        <f aca="false">IF(OR(OR(NOT(AND(ISNUMBER(E292),ISNUMBER(F292))),$J$2=""),15&gt;MAX(1,Reprogramaciones!$U$15)),"",IF(Reprogramaciones!Y$12&gt;=7,"",IF(OR(CH292-N(CG292)&gt;0.05,N(AE292)&gt;0),ROUNDDOWN(ROUND(CH292,6),0)&amp;"%"&amp;IF(CX292="",""," / "&amp;CX292&amp;"%"),IF(AND(N(CG292)&gt;=99.95,CX292&lt;&gt;"",N(CX292)&lt;100),"Pend. "&amp;CX292&amp;"%",""))))</f>
        <v/>
      </c>
      <c r="BB292" s="40" t="str">
        <f aca="false">IF(OR(OR(NOT(AND(ISNUMBER(E292),ISNUMBER(F292))),$J$2=""),16&gt;MAX(1,Reprogramaciones!$U$15)),"",IF(Reprogramaciones!Z$12&gt;=7,"",IF(OR(CI292-N(CH292)&gt;0.05,N(AF292)&gt;0),ROUNDDOWN(ROUND(CI292,6),0)&amp;"%"&amp;IF(CY292="",""," / "&amp;CY292&amp;"%"),IF(AND(N(CH292)&gt;=99.95,CY292&lt;&gt;"",N(CY292)&lt;100),"Pend. "&amp;CY292&amp;"%",""))))</f>
        <v/>
      </c>
      <c r="BC292" s="31" t="n">
        <f aca="false">IF(AND(ISNUMBER(E292),ISNUMBER(F292)),MAX(1,NETWORKDAYS.INTL(E292,F292,11)),0)</f>
        <v>0</v>
      </c>
      <c r="BD292" s="1" t="str">
        <f aca="false">IF(OR(NOT(AND(ISNUMBER(E292),ISNUMBER(F292))),$J$2=""),"",MIN(100,ROUND(SUM($G292:G292),1)))</f>
        <v/>
      </c>
      <c r="BE292" s="1" t="str">
        <f aca="false">IF(OR(NOT(AND(ISNUMBER(E292),ISNUMBER(F292))),$J$2=""),"",MIN(100,ROUND(SUM($G292:H292),1)))</f>
        <v/>
      </c>
      <c r="BF292" s="1" t="str">
        <f aca="false">IF(OR(NOT(AND(ISNUMBER(E292),ISNUMBER(F292))),$J$2=""),"",MIN(100,ROUND(SUM($G292:I292),1)))</f>
        <v/>
      </c>
      <c r="BG292" s="1" t="str">
        <f aca="false">IF(OR(NOT(AND(ISNUMBER(E292),ISNUMBER(F292))),$J$2=""),"",MIN(100,ROUND(SUM($G292:J292),1)))</f>
        <v/>
      </c>
      <c r="BH292" s="1" t="str">
        <f aca="false">IF(OR(NOT(AND(ISNUMBER(E292),ISNUMBER(F292))),$J$2=""),"",MIN(100,ROUND(SUM($G292:K292),1)))</f>
        <v/>
      </c>
      <c r="BI292" s="1" t="str">
        <f aca="false">IF(OR(NOT(AND(ISNUMBER(E292),ISNUMBER(F292))),$J$2=""),"",MIN(100,ROUND(SUM($G292:L292),1)))</f>
        <v/>
      </c>
      <c r="BJ292" s="1" t="str">
        <f aca="false">IF(OR(NOT(AND(ISNUMBER(E292),ISNUMBER(F292))),$J$2=""),"",MIN(100,ROUND(SUM($G292:M292),1)))</f>
        <v/>
      </c>
      <c r="BK292" s="1" t="str">
        <f aca="false">IF(OR(NOT(AND(ISNUMBER(E292),ISNUMBER(F292))),$J$2=""),"",MIN(100,ROUND(SUM($G292:N292),1)))</f>
        <v/>
      </c>
      <c r="BL292" s="1" t="str">
        <f aca="false">IF(OR(NOT(AND(ISNUMBER(E292),ISNUMBER(F292))),$J$2=""),"",MIN(100,ROUND(SUM($G292:O292),1)))</f>
        <v/>
      </c>
      <c r="BM292" s="1" t="str">
        <f aca="false">IF(OR(NOT(AND(ISNUMBER(E292),ISNUMBER(F292))),$J$2=""),"",MIN(100,ROUND(SUM($G292:P292),1)))</f>
        <v/>
      </c>
      <c r="BN292" s="1" t="str">
        <f aca="false">IF(OR(NOT(AND(ISNUMBER(E292),ISNUMBER(F292))),$J$2=""),"",MIN(100,ROUND(SUM($G292:P292),1)))</f>
        <v/>
      </c>
      <c r="BO292" s="1" t="str">
        <f aca="false">IF(OR(NOT(AND(ISNUMBER(E292),ISNUMBER(F292))),$J$2=""),"",MIN(100,ROUND(SUM($G292:P292),1)))</f>
        <v/>
      </c>
      <c r="BP292" s="1" t="str">
        <f aca="false">IF(OR(NOT(AND(ISNUMBER(E292),ISNUMBER(F292))),$J$2=""),"",MIN(100,ROUND(SUM($G292:P292),1)))</f>
        <v/>
      </c>
      <c r="BQ292" s="1" t="str">
        <f aca="false">IF(OR(NOT(AND(ISNUMBER(E292),ISNUMBER(F292))),$J$2=""),"",MIN(100,ROUND(SUM($G292:P292),1)))</f>
        <v/>
      </c>
      <c r="BR292" s="1" t="str">
        <f aca="false">IF(OR(NOT(AND(ISNUMBER(E292),ISNUMBER(F292))),$J$2=""),"",MIN(100,ROUND(SUM($G292:P292),1)))</f>
        <v/>
      </c>
      <c r="BS292" s="1" t="str">
        <f aca="false">IF(OR(NOT(AND(ISNUMBER(E292),ISNUMBER(F292))),$J$2=""),"",MIN(100,ROUND(SUM($G292:P292),1)))</f>
        <v/>
      </c>
      <c r="BT292" s="1" t="str">
        <f aca="false">IF(OR(NOT(AND(ISNUMBER(E292),ISNUMBER(F292))),$J$2=""),"",IF(Reprogramaciones!K$13&lt;Reprogramaciones!$T$15,0,IF(Reprogramaciones!K$14&gt;10,MIN(100,SUM($G292:$P292)),MIN(100,SUMPRODUCT((COLUMN($G292:$P292)-COLUMN($G292)+1&lt;Reprogramaciones!K$14)*$G292:$P292)+N(INDEX($G292:$P292,1,Reprogramaciones!K$14))*IF(Reprogramaciones!K$13&gt;=(Reprogramaciones!$T$15+7*(Reprogramaciones!K$14-1))+6,1,IF(MAX(0,NETWORKDAYS.INTL(MAX(E292,(Reprogramaciones!$T$15+7*(Reprogramaciones!K$14-1))),MIN(F292,(Reprogramaciones!$T$15+7*(Reprogramaciones!K$14-1))+6),11))=0,0,MAX(0,NETWORKDAYS.INTL(MAX(E292,(Reprogramaciones!$T$15+7*(Reprogramaciones!K$14-1))),MIN(F292,Reprogramaciones!K$13),11))/MAX(0,NETWORKDAYS.INTL(MAX(E292,(Reprogramaciones!$T$15+7*(Reprogramaciones!K$14-1))),MIN(F292,(Reprogramaciones!$T$15+7*(Reprogramaciones!K$14-1))+6),11))))))))</f>
        <v/>
      </c>
      <c r="BU292" s="1" t="str">
        <f aca="false">IF(OR(NOT(AND(ISNUMBER(E292),ISNUMBER(F292))),$J$2=""),"",IF(Reprogramaciones!L$13&lt;Reprogramaciones!$T$15,0,IF(Reprogramaciones!L$14&gt;10,MIN(100,SUM($G292:$P292)),MIN(100,SUMPRODUCT((COLUMN($G292:$P292)-COLUMN($G292)+1&lt;Reprogramaciones!L$14)*$G292:$P292)+N(INDEX($G292:$P292,1,Reprogramaciones!L$14))*IF(Reprogramaciones!L$13&gt;=(Reprogramaciones!$T$15+7*(Reprogramaciones!L$14-1))+6,1,IF(MAX(0,NETWORKDAYS.INTL(MAX(E292,(Reprogramaciones!$T$15+7*(Reprogramaciones!L$14-1))),MIN(F292,(Reprogramaciones!$T$15+7*(Reprogramaciones!L$14-1))+6),11))=0,0,MAX(0,NETWORKDAYS.INTL(MAX(E292,(Reprogramaciones!$T$15+7*(Reprogramaciones!L$14-1))),MIN(F292,Reprogramaciones!L$13),11))/MAX(0,NETWORKDAYS.INTL(MAX(E292,(Reprogramaciones!$T$15+7*(Reprogramaciones!L$14-1))),MIN(F292,(Reprogramaciones!$T$15+7*(Reprogramaciones!L$14-1))+6),11))))))))</f>
        <v/>
      </c>
      <c r="BV292" s="1" t="str">
        <f aca="false">IF(OR(NOT(AND(ISNUMBER(E292),ISNUMBER(F292))),$J$2=""),"",IF(Reprogramaciones!M$13&lt;Reprogramaciones!$T$15,0,IF(Reprogramaciones!M$14&gt;10,MIN(100,SUM($G292:$P292)),MIN(100,SUMPRODUCT((COLUMN($G292:$P292)-COLUMN($G292)+1&lt;Reprogramaciones!M$14)*$G292:$P292)+N(INDEX($G292:$P292,1,Reprogramaciones!M$14))*IF(Reprogramaciones!M$13&gt;=(Reprogramaciones!$T$15+7*(Reprogramaciones!M$14-1))+6,1,IF(MAX(0,NETWORKDAYS.INTL(MAX(E292,(Reprogramaciones!$T$15+7*(Reprogramaciones!M$14-1))),MIN(F292,(Reprogramaciones!$T$15+7*(Reprogramaciones!M$14-1))+6),11))=0,0,MAX(0,NETWORKDAYS.INTL(MAX(E292,(Reprogramaciones!$T$15+7*(Reprogramaciones!M$14-1))),MIN(F292,Reprogramaciones!M$13),11))/MAX(0,NETWORKDAYS.INTL(MAX(E292,(Reprogramaciones!$T$15+7*(Reprogramaciones!M$14-1))),MIN(F292,(Reprogramaciones!$T$15+7*(Reprogramaciones!M$14-1))+6),11))))))))</f>
        <v/>
      </c>
      <c r="BW292" s="1" t="str">
        <f aca="false">IF(OR(NOT(AND(ISNUMBER(E292),ISNUMBER(F292))),$J$2=""),"",IF(Reprogramaciones!N$13&lt;Reprogramaciones!$T$15,0,IF(Reprogramaciones!N$14&gt;10,MIN(100,SUM($G292:$P292)),MIN(100,SUMPRODUCT((COLUMN($G292:$P292)-COLUMN($G292)+1&lt;Reprogramaciones!N$14)*$G292:$P292)+N(INDEX($G292:$P292,1,Reprogramaciones!N$14))*IF(Reprogramaciones!N$13&gt;=(Reprogramaciones!$T$15+7*(Reprogramaciones!N$14-1))+6,1,IF(MAX(0,NETWORKDAYS.INTL(MAX(E292,(Reprogramaciones!$T$15+7*(Reprogramaciones!N$14-1))),MIN(F292,(Reprogramaciones!$T$15+7*(Reprogramaciones!N$14-1))+6),11))=0,0,MAX(0,NETWORKDAYS.INTL(MAX(E292,(Reprogramaciones!$T$15+7*(Reprogramaciones!N$14-1))),MIN(F292,Reprogramaciones!N$13),11))/MAX(0,NETWORKDAYS.INTL(MAX(E292,(Reprogramaciones!$T$15+7*(Reprogramaciones!N$14-1))),MIN(F292,(Reprogramaciones!$T$15+7*(Reprogramaciones!N$14-1))+6),11))))))))</f>
        <v/>
      </c>
      <c r="BX292" s="1" t="str">
        <f aca="false">IF(OR(NOT(AND(ISNUMBER(E292),ISNUMBER(F292))),$J$2=""),"",IF(Reprogramaciones!O$13&lt;Reprogramaciones!$T$15,0,IF(Reprogramaciones!O$14&gt;10,MIN(100,SUM($G292:$P292)),MIN(100,SUMPRODUCT((COLUMN($G292:$P292)-COLUMN($G292)+1&lt;Reprogramaciones!O$14)*$G292:$P292)+N(INDEX($G292:$P292,1,Reprogramaciones!O$14))*IF(Reprogramaciones!O$13&gt;=(Reprogramaciones!$T$15+7*(Reprogramaciones!O$14-1))+6,1,IF(MAX(0,NETWORKDAYS.INTL(MAX(E292,(Reprogramaciones!$T$15+7*(Reprogramaciones!O$14-1))),MIN(F292,(Reprogramaciones!$T$15+7*(Reprogramaciones!O$14-1))+6),11))=0,0,MAX(0,NETWORKDAYS.INTL(MAX(E292,(Reprogramaciones!$T$15+7*(Reprogramaciones!O$14-1))),MIN(F292,Reprogramaciones!O$13),11))/MAX(0,NETWORKDAYS.INTL(MAX(E292,(Reprogramaciones!$T$15+7*(Reprogramaciones!O$14-1))),MIN(F292,(Reprogramaciones!$T$15+7*(Reprogramaciones!O$14-1))+6),11))))))))</f>
        <v/>
      </c>
      <c r="BY292" s="1" t="str">
        <f aca="false">IF(OR(NOT(AND(ISNUMBER(E292),ISNUMBER(F292))),$J$2=""),"",IF(Reprogramaciones!P$13&lt;Reprogramaciones!$T$15,0,IF(Reprogramaciones!P$14&gt;10,MIN(100,SUM($G292:$P292)),MIN(100,SUMPRODUCT((COLUMN($G292:$P292)-COLUMN($G292)+1&lt;Reprogramaciones!P$14)*$G292:$P292)+N(INDEX($G292:$P292,1,Reprogramaciones!P$14))*IF(Reprogramaciones!P$13&gt;=(Reprogramaciones!$T$15+7*(Reprogramaciones!P$14-1))+6,1,IF(MAX(0,NETWORKDAYS.INTL(MAX(E292,(Reprogramaciones!$T$15+7*(Reprogramaciones!P$14-1))),MIN(F292,(Reprogramaciones!$T$15+7*(Reprogramaciones!P$14-1))+6),11))=0,0,MAX(0,NETWORKDAYS.INTL(MAX(E292,(Reprogramaciones!$T$15+7*(Reprogramaciones!P$14-1))),MIN(F292,Reprogramaciones!P$13),11))/MAX(0,NETWORKDAYS.INTL(MAX(E292,(Reprogramaciones!$T$15+7*(Reprogramaciones!P$14-1))),MIN(F292,(Reprogramaciones!$T$15+7*(Reprogramaciones!P$14-1))+6),11))))))))</f>
        <v/>
      </c>
      <c r="BZ292" s="1" t="str">
        <f aca="false">IF(OR(NOT(AND(ISNUMBER(E292),ISNUMBER(F292))),$J$2=""),"",IF(Reprogramaciones!Q$13&lt;Reprogramaciones!$T$15,0,IF(Reprogramaciones!Q$14&gt;10,MIN(100,SUM($G292:$P292)),MIN(100,SUMPRODUCT((COLUMN($G292:$P292)-COLUMN($G292)+1&lt;Reprogramaciones!Q$14)*$G292:$P292)+N(INDEX($G292:$P292,1,Reprogramaciones!Q$14))*IF(Reprogramaciones!Q$13&gt;=(Reprogramaciones!$T$15+7*(Reprogramaciones!Q$14-1))+6,1,IF(MAX(0,NETWORKDAYS.INTL(MAX(E292,(Reprogramaciones!$T$15+7*(Reprogramaciones!Q$14-1))),MIN(F292,(Reprogramaciones!$T$15+7*(Reprogramaciones!Q$14-1))+6),11))=0,0,MAX(0,NETWORKDAYS.INTL(MAX(E292,(Reprogramaciones!$T$15+7*(Reprogramaciones!Q$14-1))),MIN(F292,Reprogramaciones!Q$13),11))/MAX(0,NETWORKDAYS.INTL(MAX(E292,(Reprogramaciones!$T$15+7*(Reprogramaciones!Q$14-1))),MIN(F292,(Reprogramaciones!$T$15+7*(Reprogramaciones!Q$14-1))+6),11))))))))</f>
        <v/>
      </c>
      <c r="CA292" s="1" t="str">
        <f aca="false">IF(OR(NOT(AND(ISNUMBER(E292),ISNUMBER(F292))),$J$2=""),"",IF(Reprogramaciones!R$13&lt;Reprogramaciones!$T$15,0,IF(Reprogramaciones!R$14&gt;10,MIN(100,SUM($G292:$P292)),MIN(100,SUMPRODUCT((COLUMN($G292:$P292)-COLUMN($G292)+1&lt;Reprogramaciones!R$14)*$G292:$P292)+N(INDEX($G292:$P292,1,Reprogramaciones!R$14))*IF(Reprogramaciones!R$13&gt;=(Reprogramaciones!$T$15+7*(Reprogramaciones!R$14-1))+6,1,IF(MAX(0,NETWORKDAYS.INTL(MAX(E292,(Reprogramaciones!$T$15+7*(Reprogramaciones!R$14-1))),MIN(F292,(Reprogramaciones!$T$15+7*(Reprogramaciones!R$14-1))+6),11))=0,0,MAX(0,NETWORKDAYS.INTL(MAX(E292,(Reprogramaciones!$T$15+7*(Reprogramaciones!R$14-1))),MIN(F292,Reprogramaciones!R$13),11))/MAX(0,NETWORKDAYS.INTL(MAX(E292,(Reprogramaciones!$T$15+7*(Reprogramaciones!R$14-1))),MIN(F292,(Reprogramaciones!$T$15+7*(Reprogramaciones!R$14-1))+6),11))))))))</f>
        <v/>
      </c>
      <c r="CB292" s="1" t="str">
        <f aca="false">IF(OR(NOT(AND(ISNUMBER(E292),ISNUMBER(F292))),$J$2=""),"",IF(Reprogramaciones!S$13&lt;Reprogramaciones!$T$15,0,IF(Reprogramaciones!S$14&gt;10,MIN(100,SUM($G292:$P292)),MIN(100,SUMPRODUCT((COLUMN($G292:$P292)-COLUMN($G292)+1&lt;Reprogramaciones!S$14)*$G292:$P292)+N(INDEX($G292:$P292,1,Reprogramaciones!S$14))*IF(Reprogramaciones!S$13&gt;=(Reprogramaciones!$T$15+7*(Reprogramaciones!S$14-1))+6,1,IF(MAX(0,NETWORKDAYS.INTL(MAX(E292,(Reprogramaciones!$T$15+7*(Reprogramaciones!S$14-1))),MIN(F292,(Reprogramaciones!$T$15+7*(Reprogramaciones!S$14-1))+6),11))=0,0,MAX(0,NETWORKDAYS.INTL(MAX(E292,(Reprogramaciones!$T$15+7*(Reprogramaciones!S$14-1))),MIN(F292,Reprogramaciones!S$13),11))/MAX(0,NETWORKDAYS.INTL(MAX(E292,(Reprogramaciones!$T$15+7*(Reprogramaciones!S$14-1))),MIN(F292,(Reprogramaciones!$T$15+7*(Reprogramaciones!S$14-1))+6),11))))))))</f>
        <v/>
      </c>
      <c r="CC292" s="1" t="str">
        <f aca="false">IF(OR(NOT(AND(ISNUMBER(E292),ISNUMBER(F292))),$J$2=""),"",IF(Reprogramaciones!T$13&lt;Reprogramaciones!$T$15,0,IF(Reprogramaciones!T$14&gt;10,MIN(100,SUM($G292:$P292)),MIN(100,SUMPRODUCT((COLUMN($G292:$P292)-COLUMN($G292)+1&lt;Reprogramaciones!T$14)*$G292:$P292)+N(INDEX($G292:$P292,1,Reprogramaciones!T$14))*IF(Reprogramaciones!T$13&gt;=(Reprogramaciones!$T$15+7*(Reprogramaciones!T$14-1))+6,1,IF(MAX(0,NETWORKDAYS.INTL(MAX(E292,(Reprogramaciones!$T$15+7*(Reprogramaciones!T$14-1))),MIN(F292,(Reprogramaciones!$T$15+7*(Reprogramaciones!T$14-1))+6),11))=0,0,MAX(0,NETWORKDAYS.INTL(MAX(E292,(Reprogramaciones!$T$15+7*(Reprogramaciones!T$14-1))),MIN(F292,Reprogramaciones!T$13),11))/MAX(0,NETWORKDAYS.INTL(MAX(E292,(Reprogramaciones!$T$15+7*(Reprogramaciones!T$14-1))),MIN(F292,(Reprogramaciones!$T$15+7*(Reprogramaciones!T$14-1))+6),11))))))))</f>
        <v/>
      </c>
      <c r="CD292" s="1" t="str">
        <f aca="false">IF(OR(NOT(AND(ISNUMBER(E292),ISNUMBER(F292))),$J$2=""),"",IF(Reprogramaciones!U$13&lt;Reprogramaciones!$T$15,0,IF(Reprogramaciones!U$14&gt;10,MIN(100,SUM($G292:$P292)),MIN(100,SUMPRODUCT((COLUMN($G292:$P292)-COLUMN($G292)+1&lt;Reprogramaciones!U$14)*$G292:$P292)+N(INDEX($G292:$P292,1,Reprogramaciones!U$14))*IF(Reprogramaciones!U$13&gt;=(Reprogramaciones!$T$15+7*(Reprogramaciones!U$14-1))+6,1,IF(MAX(0,NETWORKDAYS.INTL(MAX(E292,(Reprogramaciones!$T$15+7*(Reprogramaciones!U$14-1))),MIN(F292,(Reprogramaciones!$T$15+7*(Reprogramaciones!U$14-1))+6),11))=0,0,MAX(0,NETWORKDAYS.INTL(MAX(E292,(Reprogramaciones!$T$15+7*(Reprogramaciones!U$14-1))),MIN(F292,Reprogramaciones!U$13),11))/MAX(0,NETWORKDAYS.INTL(MAX(E292,(Reprogramaciones!$T$15+7*(Reprogramaciones!U$14-1))),MIN(F292,(Reprogramaciones!$T$15+7*(Reprogramaciones!U$14-1))+6),11))))))))</f>
        <v/>
      </c>
      <c r="CE292" s="1" t="str">
        <f aca="false">IF(OR(NOT(AND(ISNUMBER(E292),ISNUMBER(F292))),$J$2=""),"",IF(Reprogramaciones!V$13&lt;Reprogramaciones!$T$15,0,IF(Reprogramaciones!V$14&gt;10,MIN(100,SUM($G292:$P292)),MIN(100,SUMPRODUCT((COLUMN($G292:$P292)-COLUMN($G292)+1&lt;Reprogramaciones!V$14)*$G292:$P292)+N(INDEX($G292:$P292,1,Reprogramaciones!V$14))*IF(Reprogramaciones!V$13&gt;=(Reprogramaciones!$T$15+7*(Reprogramaciones!V$14-1))+6,1,IF(MAX(0,NETWORKDAYS.INTL(MAX(E292,(Reprogramaciones!$T$15+7*(Reprogramaciones!V$14-1))),MIN(F292,(Reprogramaciones!$T$15+7*(Reprogramaciones!V$14-1))+6),11))=0,0,MAX(0,NETWORKDAYS.INTL(MAX(E292,(Reprogramaciones!$T$15+7*(Reprogramaciones!V$14-1))),MIN(F292,Reprogramaciones!V$13),11))/MAX(0,NETWORKDAYS.INTL(MAX(E292,(Reprogramaciones!$T$15+7*(Reprogramaciones!V$14-1))),MIN(F292,(Reprogramaciones!$T$15+7*(Reprogramaciones!V$14-1))+6),11))))))))</f>
        <v/>
      </c>
      <c r="CF292" s="1" t="str">
        <f aca="false">IF(OR(NOT(AND(ISNUMBER(E292),ISNUMBER(F292))),$J$2=""),"",IF(Reprogramaciones!W$13&lt;Reprogramaciones!$T$15,0,IF(Reprogramaciones!W$14&gt;10,MIN(100,SUM($G292:$P292)),MIN(100,SUMPRODUCT((COLUMN($G292:$P292)-COLUMN($G292)+1&lt;Reprogramaciones!W$14)*$G292:$P292)+N(INDEX($G292:$P292,1,Reprogramaciones!W$14))*IF(Reprogramaciones!W$13&gt;=(Reprogramaciones!$T$15+7*(Reprogramaciones!W$14-1))+6,1,IF(MAX(0,NETWORKDAYS.INTL(MAX(E292,(Reprogramaciones!$T$15+7*(Reprogramaciones!W$14-1))),MIN(F292,(Reprogramaciones!$T$15+7*(Reprogramaciones!W$14-1))+6),11))=0,0,MAX(0,NETWORKDAYS.INTL(MAX(E292,(Reprogramaciones!$T$15+7*(Reprogramaciones!W$14-1))),MIN(F292,Reprogramaciones!W$13),11))/MAX(0,NETWORKDAYS.INTL(MAX(E292,(Reprogramaciones!$T$15+7*(Reprogramaciones!W$14-1))),MIN(F292,(Reprogramaciones!$T$15+7*(Reprogramaciones!W$14-1))+6),11))))))))</f>
        <v/>
      </c>
      <c r="CG292" s="1" t="str">
        <f aca="false">IF(OR(NOT(AND(ISNUMBER(E292),ISNUMBER(F292))),$J$2=""),"",IF(Reprogramaciones!X$13&lt;Reprogramaciones!$T$15,0,IF(Reprogramaciones!X$14&gt;10,MIN(100,SUM($G292:$P292)),MIN(100,SUMPRODUCT((COLUMN($G292:$P292)-COLUMN($G292)+1&lt;Reprogramaciones!X$14)*$G292:$P292)+N(INDEX($G292:$P292,1,Reprogramaciones!X$14))*IF(Reprogramaciones!X$13&gt;=(Reprogramaciones!$T$15+7*(Reprogramaciones!X$14-1))+6,1,IF(MAX(0,NETWORKDAYS.INTL(MAX(E292,(Reprogramaciones!$T$15+7*(Reprogramaciones!X$14-1))),MIN(F292,(Reprogramaciones!$T$15+7*(Reprogramaciones!X$14-1))+6),11))=0,0,MAX(0,NETWORKDAYS.INTL(MAX(E292,(Reprogramaciones!$T$15+7*(Reprogramaciones!X$14-1))),MIN(F292,Reprogramaciones!X$13),11))/MAX(0,NETWORKDAYS.INTL(MAX(E292,(Reprogramaciones!$T$15+7*(Reprogramaciones!X$14-1))),MIN(F292,(Reprogramaciones!$T$15+7*(Reprogramaciones!X$14-1))+6),11))))))))</f>
        <v/>
      </c>
      <c r="CH292" s="1" t="str">
        <f aca="false">IF(OR(NOT(AND(ISNUMBER(E292),ISNUMBER(F292))),$J$2=""),"",IF(Reprogramaciones!Y$13&lt;Reprogramaciones!$T$15,0,IF(Reprogramaciones!Y$14&gt;10,MIN(100,SUM($G292:$P292)),MIN(100,SUMPRODUCT((COLUMN($G292:$P292)-COLUMN($G292)+1&lt;Reprogramaciones!Y$14)*$G292:$P292)+N(INDEX($G292:$P292,1,Reprogramaciones!Y$14))*IF(Reprogramaciones!Y$13&gt;=(Reprogramaciones!$T$15+7*(Reprogramaciones!Y$14-1))+6,1,IF(MAX(0,NETWORKDAYS.INTL(MAX(E292,(Reprogramaciones!$T$15+7*(Reprogramaciones!Y$14-1))),MIN(F292,(Reprogramaciones!$T$15+7*(Reprogramaciones!Y$14-1))+6),11))=0,0,MAX(0,NETWORKDAYS.INTL(MAX(E292,(Reprogramaciones!$T$15+7*(Reprogramaciones!Y$14-1))),MIN(F292,Reprogramaciones!Y$13),11))/MAX(0,NETWORKDAYS.INTL(MAX(E292,(Reprogramaciones!$T$15+7*(Reprogramaciones!Y$14-1))),MIN(F292,(Reprogramaciones!$T$15+7*(Reprogramaciones!Y$14-1))+6),11))))))))</f>
        <v/>
      </c>
      <c r="CI292" s="1" t="str">
        <f aca="false">IF(OR(NOT(AND(ISNUMBER(E292),ISNUMBER(F292))),$J$2=""),"",IF(Reprogramaciones!Z$13&lt;Reprogramaciones!$T$15,0,IF(Reprogramaciones!Z$14&gt;10,MIN(100,SUM($G292:$P292)),MIN(100,SUMPRODUCT((COLUMN($G292:$P292)-COLUMN($G292)+1&lt;Reprogramaciones!Z$14)*$G292:$P292)+N(INDEX($G292:$P292,1,Reprogramaciones!Z$14))*IF(Reprogramaciones!Z$13&gt;=(Reprogramaciones!$T$15+7*(Reprogramaciones!Z$14-1))+6,1,IF(MAX(0,NETWORKDAYS.INTL(MAX(E292,(Reprogramaciones!$T$15+7*(Reprogramaciones!Z$14-1))),MIN(F292,(Reprogramaciones!$T$15+7*(Reprogramaciones!Z$14-1))+6),11))=0,0,MAX(0,NETWORKDAYS.INTL(MAX(E292,(Reprogramaciones!$T$15+7*(Reprogramaciones!Z$14-1))),MIN(F292,Reprogramaciones!Z$13),11))/MAX(0,NETWORKDAYS.INTL(MAX(E292,(Reprogramaciones!$T$15+7*(Reprogramaciones!Z$14-1))),MIN(F292,(Reprogramaciones!$T$15+7*(Reprogramaciones!Z$14-1))+6),11))))))))</f>
        <v/>
      </c>
      <c r="CJ292" s="1" t="str">
        <f aca="false">IF(OR(OR(NOT(AND(ISNUMBER(E292),ISNUMBER(F292))),$J$2=""),1&gt;Reprogramaciones!$K$16),"",IF(ROUND(SUM($Q292:Q292),1)&gt;=99.5,100,MIN(100,ROUND(SUM($Q292:Q292),1))))</f>
        <v/>
      </c>
      <c r="CK292" s="1" t="str">
        <f aca="false">IF(OR(OR(NOT(AND(ISNUMBER(E292),ISNUMBER(F292))),$J$2=""),2&gt;Reprogramaciones!$K$16),"",IF(ROUND(SUM($Q292:R292),1)&gt;=99.5,100,MIN(100,ROUND(SUM($Q292:R292),1))))</f>
        <v/>
      </c>
      <c r="CL292" s="1" t="str">
        <f aca="false">IF(OR(OR(NOT(AND(ISNUMBER(E292),ISNUMBER(F292))),$J$2=""),3&gt;Reprogramaciones!$K$16),"",IF(ROUND(SUM($Q292:S292),1)&gt;=99.5,100,MIN(100,ROUND(SUM($Q292:S292),1))))</f>
        <v/>
      </c>
      <c r="CM292" s="1" t="str">
        <f aca="false">IF(OR(OR(NOT(AND(ISNUMBER(E292),ISNUMBER(F292))),$J$2=""),4&gt;Reprogramaciones!$K$16),"",IF(ROUND(SUM($Q292:T292),1)&gt;=99.5,100,MIN(100,ROUND(SUM($Q292:T292),1))))</f>
        <v/>
      </c>
      <c r="CN292" s="1" t="str">
        <f aca="false">IF(OR(OR(NOT(AND(ISNUMBER(E292),ISNUMBER(F292))),$J$2=""),5&gt;Reprogramaciones!$K$16),"",IF(ROUND(SUM($Q292:U292),1)&gt;=99.5,100,MIN(100,ROUND(SUM($Q292:U292),1))))</f>
        <v/>
      </c>
      <c r="CO292" s="1" t="str">
        <f aca="false">IF(OR(OR(NOT(AND(ISNUMBER(E292),ISNUMBER(F292))),$J$2=""),6&gt;Reprogramaciones!$K$16),"",IF(ROUND(SUM($Q292:V292),1)&gt;=99.5,100,MIN(100,ROUND(SUM($Q292:V292),1))))</f>
        <v/>
      </c>
      <c r="CP292" s="1" t="str">
        <f aca="false">IF(OR(OR(NOT(AND(ISNUMBER(E292),ISNUMBER(F292))),$J$2=""),7&gt;Reprogramaciones!$K$16),"",IF(ROUND(SUM($Q292:W292),1)&gt;=99.5,100,MIN(100,ROUND(SUM($Q292:W292),1))))</f>
        <v/>
      </c>
      <c r="CQ292" s="1" t="str">
        <f aca="false">IF(OR(OR(NOT(AND(ISNUMBER(E292),ISNUMBER(F292))),$J$2=""),8&gt;Reprogramaciones!$K$16),"",IF(ROUND(SUM($Q292:X292),1)&gt;=99.5,100,MIN(100,ROUND(SUM($Q292:X292),1))))</f>
        <v/>
      </c>
      <c r="CR292" s="1" t="str">
        <f aca="false">IF(OR(OR(NOT(AND(ISNUMBER(E292),ISNUMBER(F292))),$J$2=""),9&gt;Reprogramaciones!$K$16),"",IF(ROUND(SUM($Q292:Y292),1)&gt;=99.5,100,MIN(100,ROUND(SUM($Q292:Y292),1))))</f>
        <v/>
      </c>
      <c r="CS292" s="1" t="str">
        <f aca="false">IF(OR(OR(NOT(AND(ISNUMBER(E292),ISNUMBER(F292))),$J$2=""),10&gt;Reprogramaciones!$K$16),"",IF(ROUND(SUM($Q292:Z292),1)&gt;=99.5,100,MIN(100,ROUND(SUM($Q292:Z292),1))))</f>
        <v/>
      </c>
      <c r="CT292" s="1" t="str">
        <f aca="false">IF(OR(OR(NOT(AND(ISNUMBER(E292),ISNUMBER(F292))),$J$2=""),11&gt;Reprogramaciones!$K$16),"",IF(ROUND(SUM($Q292:AA292),1)&gt;=99.5,100,MIN(100,ROUND(SUM($Q292:AA292),1))))</f>
        <v/>
      </c>
      <c r="CU292" s="1" t="str">
        <f aca="false">IF(OR(OR(NOT(AND(ISNUMBER(E292),ISNUMBER(F292))),$J$2=""),12&gt;Reprogramaciones!$K$16),"",IF(ROUND(SUM($Q292:AB292),1)&gt;=99.5,100,MIN(100,ROUND(SUM($Q292:AB292),1))))</f>
        <v/>
      </c>
      <c r="CV292" s="1" t="str">
        <f aca="false">IF(OR(OR(NOT(AND(ISNUMBER(E292),ISNUMBER(F292))),$J$2=""),13&gt;Reprogramaciones!$K$16),"",IF(ROUND(SUM($Q292:AC292),1)&gt;=99.5,100,MIN(100,ROUND(SUM($Q292:AC292),1))))</f>
        <v/>
      </c>
      <c r="CW292" s="1" t="str">
        <f aca="false">IF(OR(OR(NOT(AND(ISNUMBER(E292),ISNUMBER(F292))),$J$2=""),14&gt;Reprogramaciones!$K$16),"",IF(ROUND(SUM($Q292:AD292),1)&gt;=99.5,100,MIN(100,ROUND(SUM($Q292:AD292),1))))</f>
        <v/>
      </c>
      <c r="CX292" s="1" t="str">
        <f aca="false">IF(OR(OR(NOT(AND(ISNUMBER(E292),ISNUMBER(F292))),$J$2=""),15&gt;Reprogramaciones!$K$16),"",IF(ROUND(SUM($Q292:AE292),1)&gt;=99.5,100,MIN(100,ROUND(SUM($Q292:AE292),1))))</f>
        <v/>
      </c>
      <c r="CY292" s="1" t="str">
        <f aca="false">IF(OR(OR(NOT(AND(ISNUMBER(E292),ISNUMBER(F292))),$J$2=""),16&gt;Reprogramaciones!$K$16),"",IF(ROUND(SUM($Q292:AF292),1)&gt;=99.5,100,MIN(100,ROUND(SUM($Q292:AF292),1))))</f>
        <v/>
      </c>
      <c r="CZ292" s="1" t="str">
        <f aca="false">IF(D292&lt;&gt;"",D292,IF(B292&lt;&gt;"","Contractual",CZ291))</f>
        <v>Contractual</v>
      </c>
      <c r="DA292" s="1" t="str">
        <f aca="false">IF(OR(NOT(AND(ISNUMBER(E292),ISNUMBER(F292))),$J$2=""),"",IF(Reprogramaciones!$Q$15&lt;Reprogramaciones!$T$15,0,IF(Reprogramaciones!$S$15&gt;10,MIN(100,SUM($G292:$P292)),MIN(100,SUMPRODUCT((COLUMN($G292:$P292)-COLUMN($G292)+1&lt;Reprogramaciones!$S$15)*$G292:$P292)+N(INDEX($G292:$P292,1,Reprogramaciones!$S$15))*IF(Reprogramaciones!$Q$15&gt;=(Reprogramaciones!$T$15+7*(Reprogramaciones!$S$15-1))+6,1,IF(MAX(0,NETWORKDAYS.INTL(MAX(E292,(Reprogramaciones!$T$15+7*(Reprogramaciones!$S$15-1))),MIN(F292,(Reprogramaciones!$T$15+7*(Reprogramaciones!$S$15-1))+6),11))=0,0,MAX(0,NETWORKDAYS.INTL(MAX(E292,(Reprogramaciones!$T$15+7*(Reprogramaciones!$S$15-1))),MIN(F292,Reprogramaciones!$Q$15),11))/MAX(0,NETWORKDAYS.INTL(MAX(E292,(Reprogramaciones!$T$15+7*(Reprogramaciones!$S$15-1))),MIN(F292,(Reprogramaciones!$T$15+7*(Reprogramaciones!$S$15-1))+6),11))))))))</f>
        <v/>
      </c>
    </row>
    <row r="293" customFormat="false" ht="15" hidden="false" customHeight="false" outlineLevel="0" collapsed="false">
      <c r="A293" s="32"/>
      <c r="B293" s="33"/>
      <c r="C293" s="33"/>
      <c r="D293" s="34"/>
      <c r="E293" s="35"/>
      <c r="F293" s="35"/>
      <c r="G293" s="36" t="str">
        <f aca="false">IF(OR(NOT(AND(ISNUMBER(E293),ISNUMBER(F293))),$J$2=""),"",IF(Reprogramaciones!K$9&lt;E293,0,IF(NETWORKDAYS.INTL(E293,F293,11)=0,IF(Reprogramaciones!K$9&gt;=F293,100,0),ROUND(NETWORKDAYS.INTL(E293,MIN(F293,Reprogramaciones!K$9),11)/NETWORKDAYS.INTL(E293,F293,11)*100,1)))-0)</f>
        <v/>
      </c>
      <c r="H293" s="36" t="str">
        <f aca="false">IF(OR(NOT(AND(ISNUMBER(E293),ISNUMBER(F293))),$J$2=""),"",IF(Reprogramaciones!L$9&lt;E293,0,IF(NETWORKDAYS.INTL(E293,F293,11)=0,IF(Reprogramaciones!L$9&gt;=F293,100,0),ROUND(NETWORKDAYS.INTL(E293,MIN(F293,Reprogramaciones!L$9),11)/NETWORKDAYS.INTL(E293,F293,11)*100,1)))-IF(Reprogramaciones!K$9&lt;E293,0,IF(NETWORKDAYS.INTL(E293,F293,11)=0,IF(Reprogramaciones!K$9&gt;=F293,100,0),ROUND(NETWORKDAYS.INTL(E293,MIN(F293,Reprogramaciones!K$9),11)/NETWORKDAYS.INTL(E293,F293,11)*100,1))))</f>
        <v/>
      </c>
      <c r="I293" s="36" t="str">
        <f aca="false">IF(OR(NOT(AND(ISNUMBER(E293),ISNUMBER(F293))),$J$2=""),"",IF(Reprogramaciones!M$9&lt;E293,0,IF(NETWORKDAYS.INTL(E293,F293,11)=0,IF(Reprogramaciones!M$9&gt;=F293,100,0),ROUND(NETWORKDAYS.INTL(E293,MIN(F293,Reprogramaciones!M$9),11)/NETWORKDAYS.INTL(E293,F293,11)*100,1)))-IF(Reprogramaciones!L$9&lt;E293,0,IF(NETWORKDAYS.INTL(E293,F293,11)=0,IF(Reprogramaciones!L$9&gt;=F293,100,0),ROUND(NETWORKDAYS.INTL(E293,MIN(F293,Reprogramaciones!L$9),11)/NETWORKDAYS.INTL(E293,F293,11)*100,1))))</f>
        <v/>
      </c>
      <c r="J293" s="36" t="str">
        <f aca="false">IF(OR(NOT(AND(ISNUMBER(E293),ISNUMBER(F293))),$J$2=""),"",IF(Reprogramaciones!N$9&lt;E293,0,IF(NETWORKDAYS.INTL(E293,F293,11)=0,IF(Reprogramaciones!N$9&gt;=F293,100,0),ROUND(NETWORKDAYS.INTL(E293,MIN(F293,Reprogramaciones!N$9),11)/NETWORKDAYS.INTL(E293,F293,11)*100,1)))-IF(Reprogramaciones!M$9&lt;E293,0,IF(NETWORKDAYS.INTL(E293,F293,11)=0,IF(Reprogramaciones!M$9&gt;=F293,100,0),ROUND(NETWORKDAYS.INTL(E293,MIN(F293,Reprogramaciones!M$9),11)/NETWORKDAYS.INTL(E293,F293,11)*100,1))))</f>
        <v/>
      </c>
      <c r="K293" s="36" t="str">
        <f aca="false">IF(OR(NOT(AND(ISNUMBER(E293),ISNUMBER(F293))),$J$2=""),"",IF(Reprogramaciones!O$9&lt;E293,0,IF(NETWORKDAYS.INTL(E293,F293,11)=0,IF(Reprogramaciones!O$9&gt;=F293,100,0),ROUND(NETWORKDAYS.INTL(E293,MIN(F293,Reprogramaciones!O$9),11)/NETWORKDAYS.INTL(E293,F293,11)*100,1)))-IF(Reprogramaciones!N$9&lt;E293,0,IF(NETWORKDAYS.INTL(E293,F293,11)=0,IF(Reprogramaciones!N$9&gt;=F293,100,0),ROUND(NETWORKDAYS.INTL(E293,MIN(F293,Reprogramaciones!N$9),11)/NETWORKDAYS.INTL(E293,F293,11)*100,1))))</f>
        <v/>
      </c>
      <c r="L293" s="36" t="str">
        <f aca="false">IF(OR(NOT(AND(ISNUMBER(E293),ISNUMBER(F293))),$J$2=""),"",IF(Reprogramaciones!P$9&lt;E293,0,IF(NETWORKDAYS.INTL(E293,F293,11)=0,IF(Reprogramaciones!P$9&gt;=F293,100,0),ROUND(NETWORKDAYS.INTL(E293,MIN(F293,Reprogramaciones!P$9),11)/NETWORKDAYS.INTL(E293,F293,11)*100,1)))-IF(Reprogramaciones!O$9&lt;E293,0,IF(NETWORKDAYS.INTL(E293,F293,11)=0,IF(Reprogramaciones!O$9&gt;=F293,100,0),ROUND(NETWORKDAYS.INTL(E293,MIN(F293,Reprogramaciones!O$9),11)/NETWORKDAYS.INTL(E293,F293,11)*100,1))))</f>
        <v/>
      </c>
      <c r="M293" s="36" t="str">
        <f aca="false">IF(OR(NOT(AND(ISNUMBER(E293),ISNUMBER(F293))),$J$2=""),"",IF(Reprogramaciones!Q$9&lt;E293,0,IF(NETWORKDAYS.INTL(E293,F293,11)=0,IF(Reprogramaciones!Q$9&gt;=F293,100,0),ROUND(NETWORKDAYS.INTL(E293,MIN(F293,Reprogramaciones!Q$9),11)/NETWORKDAYS.INTL(E293,F293,11)*100,1)))-IF(Reprogramaciones!P$9&lt;E293,0,IF(NETWORKDAYS.INTL(E293,F293,11)=0,IF(Reprogramaciones!P$9&gt;=F293,100,0),ROUND(NETWORKDAYS.INTL(E293,MIN(F293,Reprogramaciones!P$9),11)/NETWORKDAYS.INTL(E293,F293,11)*100,1))))</f>
        <v/>
      </c>
      <c r="N293" s="36" t="str">
        <f aca="false">IF(OR(NOT(AND(ISNUMBER(E293),ISNUMBER(F293))),$J$2=""),"",IF(Reprogramaciones!R$9&lt;E293,0,IF(NETWORKDAYS.INTL(E293,F293,11)=0,IF(Reprogramaciones!R$9&gt;=F293,100,0),ROUND(NETWORKDAYS.INTL(E293,MIN(F293,Reprogramaciones!R$9),11)/NETWORKDAYS.INTL(E293,F293,11)*100,1)))-IF(Reprogramaciones!Q$9&lt;E293,0,IF(NETWORKDAYS.INTL(E293,F293,11)=0,IF(Reprogramaciones!Q$9&gt;=F293,100,0),ROUND(NETWORKDAYS.INTL(E293,MIN(F293,Reprogramaciones!Q$9),11)/NETWORKDAYS.INTL(E293,F293,11)*100,1))))</f>
        <v/>
      </c>
      <c r="O293" s="36" t="str">
        <f aca="false">IF(OR(NOT(AND(ISNUMBER(E293),ISNUMBER(F293))),$J$2=""),"",IF(Reprogramaciones!S$9&lt;E293,0,IF(NETWORKDAYS.INTL(E293,F293,11)=0,IF(Reprogramaciones!S$9&gt;=F293,100,0),ROUND(NETWORKDAYS.INTL(E293,MIN(F293,Reprogramaciones!S$9),11)/NETWORKDAYS.INTL(E293,F293,11)*100,1)))-IF(Reprogramaciones!R$9&lt;E293,0,IF(NETWORKDAYS.INTL(E293,F293,11)=0,IF(Reprogramaciones!R$9&gt;=F293,100,0),ROUND(NETWORKDAYS.INTL(E293,MIN(F293,Reprogramaciones!R$9),11)/NETWORKDAYS.INTL(E293,F293,11)*100,1))))</f>
        <v/>
      </c>
      <c r="P293" s="36" t="str">
        <f aca="false">IF(OR(NOT(AND(ISNUMBER(E293),ISNUMBER(F293))),$J$2=""),"",IF(Reprogramaciones!T$9&lt;E293,0,IF(NETWORKDAYS.INTL(E293,F293,11)=0,IF(Reprogramaciones!T$9&gt;=F293,100,0),ROUND(NETWORKDAYS.INTL(E293,MIN(F293,Reprogramaciones!T$9),11)/NETWORKDAYS.INTL(E293,F293,11)*100,1)))-IF(Reprogramaciones!S$9&lt;E293,0,IF(NETWORKDAYS.INTL(E293,F293,11)=0,IF(Reprogramaciones!S$9&gt;=F293,100,0),ROUND(NETWORKDAYS.INTL(E293,MIN(F293,Reprogramaciones!S$9),11)/NETWORKDAYS.INTL(E293,F293,11)*100,1))))</f>
        <v/>
      </c>
      <c r="Q293" s="37"/>
      <c r="R293" s="37"/>
      <c r="S293" s="37"/>
      <c r="T293" s="37"/>
      <c r="U293" s="37"/>
      <c r="V293" s="37"/>
      <c r="W293" s="37"/>
      <c r="X293" s="37"/>
      <c r="Y293" s="37"/>
      <c r="Z293" s="37"/>
      <c r="AA293" s="37"/>
      <c r="AB293" s="37"/>
      <c r="AC293" s="37"/>
      <c r="AD293" s="37"/>
      <c r="AE293" s="37"/>
      <c r="AF293" s="37"/>
      <c r="AG293" s="38" t="str">
        <f aca="false">IF(AND(ISNUMBER(E293),ISNUMBER(F293)),NETWORKDAYS.INTL(E293,F293,11),"")</f>
        <v/>
      </c>
      <c r="AH293" s="38" t="str">
        <f aca="false">IF(OR(NOT(AND(ISNUMBER(E293),ISNUMBER(F293))),$J$2=""),"",IF(Reprogramaciones!$P$15&lt;Reprogramaciones!$T$15,0,IF(Reprogramaciones!$R$15&gt;10,MIN(100,SUM($G293:$P293)),MIN(100,SUMPRODUCT((COLUMN($G293:$P293)-COLUMN($G293)+1&lt;Reprogramaciones!$R$15)*$G293:$P293)+N(INDEX($G293:$P293,1,Reprogramaciones!$R$15))*IF(Reprogramaciones!$P$15&gt;=(Reprogramaciones!$T$15+7*(Reprogramaciones!$R$15-1))+6,1,IF(MAX(0,NETWORKDAYS.INTL(MAX(E293,(Reprogramaciones!$T$15+7*(Reprogramaciones!$R$15-1))),MIN(F293,(Reprogramaciones!$T$15+7*(Reprogramaciones!$R$15-1))+6),11))=0,0,MAX(0,NETWORKDAYS.INTL(MAX(E293,(Reprogramaciones!$T$15+7*(Reprogramaciones!$R$15-1))),MIN(F293,Reprogramaciones!$P$15),11))/MAX(0,NETWORKDAYS.INTL(MAX(E293,(Reprogramaciones!$T$15+7*(Reprogramaciones!$R$15-1))),MIN(F293,(Reprogramaciones!$T$15+7*(Reprogramaciones!$R$15-1))+6),11))))))))</f>
        <v/>
      </c>
      <c r="AI293" s="38" t="str">
        <f aca="false">IF(COUNT($Q293:$AF293)=0,"",IF(ROUND(SUM($Q293:$AF293),1)&gt;=99.5,100,MIN(100,ROUND(SUM($Q293:$AF293),1))))</f>
        <v/>
      </c>
      <c r="AJ293" s="38" t="str">
        <f aca="false">IF(OR(AH293="",AI293=""),"",AI293-AH293)</f>
        <v/>
      </c>
      <c r="AK293" s="39" t="str">
        <f aca="true">IF(AH293="","",IF(OR(Ficha!$C$10="Suspendida",Ficha!$C$10="Cancelada"),Ficha!$C$10,IF(AND(AI293&lt;&gt;"",N(AI293)&gt;=100),"Completada",IF(AND(E293&gt;TODAY(),N(AI293)=0),"Por iniciar",IF(N(AI293)+0.5&lt;AH293,"Retrasada",IF(N(AI293)+0.5&lt;DA293,IF(Reprogramaciones!$K$15&gt;0,"Al día · Sem "&amp;Reprogramaciones!$K$15&amp;" en curso","Al día · en curso"),"A tiempo"))))))</f>
        <v/>
      </c>
      <c r="AL293" s="39" t="str">
        <f aca="true">IF(AND(A293="",AND(B293="",C293="",E293="",F293="",COUNT(Q293:AF293)=0)),"",IF(AND(B293="",C293="",E293="",F293="",COUNT(Q293:AF293)=0),"Falta la partida o subpartida",IF(AND(A293&lt;&gt;"",COUNTIF($A$6:$A$305,A293)&gt;1),"Ítem repetido",IF(AND(C293="",E293="",F293="",COUNT(Q293:AF293)=0),"Título de partida",IF(OR(E293="",F293=""),"Faltan fechas",IF(OR(ISTEXT(E293),ISTEXT(F293)),"Fecha escrita como texto: usa dd/mm/aaaa",IF(F293&lt;E293,"Fin antes del inicio",IF(IF($J$2="",FALSE(),OR(E293&lt;$J$2,F293&gt;Reprogramaciones!$T$15+69)),"Fuera de las 10 semanas",IF(ABS(SUM(G293:P293)-100)&gt;0.5,"La meta no suma 100%",IF(ROUND(SUM(Q293:AF293),1)&gt;100.5,"El avance pasa de 100%",IF(MIN(Q293:AF293)&lt;0,"Avance negativo",IF(COUNTA(Q293:AF293)&gt;COUNT(Q293:AF293),"Avance escrito como texto",IF(SUMPRODUCT((Q293:AF293&gt;0)*(Q293:AF293&lt;1))&gt;0,"Avance menor a 1: escribe 50, no 50%",IF(SUMPRODUCT(ISNUMBER(Q293:AF293)*(Reprogramaciones!$K$8:$Z$8&gt;TODAY()))&gt;0,"Avance en semana que aún no llega",IF(AND(N(Reprogramaciones!$E$21)&gt;0,F293&gt;Reprogramaciones!$E$21),"Pasa el fin de la obra: registra una reprogramación",IF(AND(N(Reprogramaciones!$E$21)&gt;0,SUMPRODUCT(ISNUMBER(Q293:AF293)*(Reprogramaciones!$K$8:$Z$8&gt;Reprogramaciones!$E$21))&gt;0),"Avance después del fin de la obra: registra una reprogramación por atraso","OK"))))))))))))))))</f>
        <v/>
      </c>
      <c r="AM293" s="40" t="str">
        <f aca="false">IF(OR(OR(NOT(AND(ISNUMBER(E293),ISNUMBER(F293))),$J$2=""),1&gt;MAX(1,Reprogramaciones!$U$15)),"",IF(Reprogramaciones!K$12&gt;=7,"",IF(OR(BT293-N(0)&gt;0.05,N(Q293)&gt;0),ROUNDDOWN(ROUND(BT293,6),0)&amp;"%"&amp;IF(CJ293="",""," / "&amp;CJ293&amp;"%"),IF(AND(N(0)&gt;=99.95,CJ293&lt;&gt;"",N(CJ293)&lt;100),"Pend. "&amp;CJ293&amp;"%",""))))</f>
        <v/>
      </c>
      <c r="AN293" s="40" t="str">
        <f aca="false">IF(OR(OR(NOT(AND(ISNUMBER(E293),ISNUMBER(F293))),$J$2=""),2&gt;MAX(1,Reprogramaciones!$U$15)),"",IF(Reprogramaciones!L$12&gt;=7,"",IF(OR(BU293-N(BT293)&gt;0.05,N(R293)&gt;0),ROUNDDOWN(ROUND(BU293,6),0)&amp;"%"&amp;IF(CK293="",""," / "&amp;CK293&amp;"%"),IF(AND(N(BT293)&gt;=99.95,CK293&lt;&gt;"",N(CK293)&lt;100),"Pend. "&amp;CK293&amp;"%",""))))</f>
        <v/>
      </c>
      <c r="AO293" s="40" t="str">
        <f aca="false">IF(OR(OR(NOT(AND(ISNUMBER(E293),ISNUMBER(F293))),$J$2=""),3&gt;MAX(1,Reprogramaciones!$U$15)),"",IF(Reprogramaciones!M$12&gt;=7,"",IF(OR(BV293-N(BU293)&gt;0.05,N(S293)&gt;0),ROUNDDOWN(ROUND(BV293,6),0)&amp;"%"&amp;IF(CL293="",""," / "&amp;CL293&amp;"%"),IF(AND(N(BU293)&gt;=99.95,CL293&lt;&gt;"",N(CL293)&lt;100),"Pend. "&amp;CL293&amp;"%",""))))</f>
        <v/>
      </c>
      <c r="AP293" s="40" t="str">
        <f aca="false">IF(OR(OR(NOT(AND(ISNUMBER(E293),ISNUMBER(F293))),$J$2=""),4&gt;MAX(1,Reprogramaciones!$U$15)),"",IF(Reprogramaciones!N$12&gt;=7,"",IF(OR(BW293-N(BV293)&gt;0.05,N(T293)&gt;0),ROUNDDOWN(ROUND(BW293,6),0)&amp;"%"&amp;IF(CM293="",""," / "&amp;CM293&amp;"%"),IF(AND(N(BV293)&gt;=99.95,CM293&lt;&gt;"",N(CM293)&lt;100),"Pend. "&amp;CM293&amp;"%",""))))</f>
        <v/>
      </c>
      <c r="AQ293" s="40" t="str">
        <f aca="false">IF(OR(OR(NOT(AND(ISNUMBER(E293),ISNUMBER(F293))),$J$2=""),5&gt;MAX(1,Reprogramaciones!$U$15)),"",IF(Reprogramaciones!O$12&gt;=7,"",IF(OR(BX293-N(BW293)&gt;0.05,N(U293)&gt;0),ROUNDDOWN(ROUND(BX293,6),0)&amp;"%"&amp;IF(CN293="",""," / "&amp;CN293&amp;"%"),IF(AND(N(BW293)&gt;=99.95,CN293&lt;&gt;"",N(CN293)&lt;100),"Pend. "&amp;CN293&amp;"%",""))))</f>
        <v/>
      </c>
      <c r="AR293" s="40" t="str">
        <f aca="false">IF(OR(OR(NOT(AND(ISNUMBER(E293),ISNUMBER(F293))),$J$2=""),6&gt;MAX(1,Reprogramaciones!$U$15)),"",IF(Reprogramaciones!P$12&gt;=7,"",IF(OR(BY293-N(BX293)&gt;0.05,N(V293)&gt;0),ROUNDDOWN(ROUND(BY293,6),0)&amp;"%"&amp;IF(CO293="",""," / "&amp;CO293&amp;"%"),IF(AND(N(BX293)&gt;=99.95,CO293&lt;&gt;"",N(CO293)&lt;100),"Pend. "&amp;CO293&amp;"%",""))))</f>
        <v/>
      </c>
      <c r="AS293" s="40" t="str">
        <f aca="false">IF(OR(OR(NOT(AND(ISNUMBER(E293),ISNUMBER(F293))),$J$2=""),7&gt;MAX(1,Reprogramaciones!$U$15)),"",IF(Reprogramaciones!Q$12&gt;=7,"",IF(OR(BZ293-N(BY293)&gt;0.05,N(W293)&gt;0),ROUNDDOWN(ROUND(BZ293,6),0)&amp;"%"&amp;IF(CP293="",""," / "&amp;CP293&amp;"%"),IF(AND(N(BY293)&gt;=99.95,CP293&lt;&gt;"",N(CP293)&lt;100),"Pend. "&amp;CP293&amp;"%",""))))</f>
        <v/>
      </c>
      <c r="AT293" s="40" t="str">
        <f aca="false">IF(OR(OR(NOT(AND(ISNUMBER(E293),ISNUMBER(F293))),$J$2=""),8&gt;MAX(1,Reprogramaciones!$U$15)),"",IF(Reprogramaciones!R$12&gt;=7,"",IF(OR(CA293-N(BZ293)&gt;0.05,N(X293)&gt;0),ROUNDDOWN(ROUND(CA293,6),0)&amp;"%"&amp;IF(CQ293="",""," / "&amp;CQ293&amp;"%"),IF(AND(N(BZ293)&gt;=99.95,CQ293&lt;&gt;"",N(CQ293)&lt;100),"Pend. "&amp;CQ293&amp;"%",""))))</f>
        <v/>
      </c>
      <c r="AU293" s="40" t="str">
        <f aca="false">IF(OR(OR(NOT(AND(ISNUMBER(E293),ISNUMBER(F293))),$J$2=""),9&gt;MAX(1,Reprogramaciones!$U$15)),"",IF(Reprogramaciones!S$12&gt;=7,"",IF(OR(CB293-N(CA293)&gt;0.05,N(Y293)&gt;0),ROUNDDOWN(ROUND(CB293,6),0)&amp;"%"&amp;IF(CR293="",""," / "&amp;CR293&amp;"%"),IF(AND(N(CA293)&gt;=99.95,CR293&lt;&gt;"",N(CR293)&lt;100),"Pend. "&amp;CR293&amp;"%",""))))</f>
        <v/>
      </c>
      <c r="AV293" s="40" t="str">
        <f aca="false">IF(OR(OR(NOT(AND(ISNUMBER(E293),ISNUMBER(F293))),$J$2=""),10&gt;MAX(1,Reprogramaciones!$U$15)),"",IF(Reprogramaciones!T$12&gt;=7,"",IF(OR(CC293-N(CB293)&gt;0.05,N(Z293)&gt;0),ROUNDDOWN(ROUND(CC293,6),0)&amp;"%"&amp;IF(CS293="",""," / "&amp;CS293&amp;"%"),IF(AND(N(CB293)&gt;=99.95,CS293&lt;&gt;"",N(CS293)&lt;100),"Pend. "&amp;CS293&amp;"%",""))))</f>
        <v/>
      </c>
      <c r="AW293" s="40" t="str">
        <f aca="false">IF(OR(OR(NOT(AND(ISNUMBER(E293),ISNUMBER(F293))),$J$2=""),11&gt;MAX(1,Reprogramaciones!$U$15)),"",IF(Reprogramaciones!U$12&gt;=7,"",IF(OR(CD293-N(CC293)&gt;0.05,N(AA293)&gt;0),ROUNDDOWN(ROUND(CD293,6),0)&amp;"%"&amp;IF(CT293="",""," / "&amp;CT293&amp;"%"),IF(AND(N(CC293)&gt;=99.95,CT293&lt;&gt;"",N(CT293)&lt;100),"Pend. "&amp;CT293&amp;"%",""))))</f>
        <v/>
      </c>
      <c r="AX293" s="40" t="str">
        <f aca="false">IF(OR(OR(NOT(AND(ISNUMBER(E293),ISNUMBER(F293))),$J$2=""),12&gt;MAX(1,Reprogramaciones!$U$15)),"",IF(Reprogramaciones!V$12&gt;=7,"",IF(OR(CE293-N(CD293)&gt;0.05,N(AB293)&gt;0),ROUNDDOWN(ROUND(CE293,6),0)&amp;"%"&amp;IF(CU293="",""," / "&amp;CU293&amp;"%"),IF(AND(N(CD293)&gt;=99.95,CU293&lt;&gt;"",N(CU293)&lt;100),"Pend. "&amp;CU293&amp;"%",""))))</f>
        <v/>
      </c>
      <c r="AY293" s="40" t="str">
        <f aca="false">IF(OR(OR(NOT(AND(ISNUMBER(E293),ISNUMBER(F293))),$J$2=""),13&gt;MAX(1,Reprogramaciones!$U$15)),"",IF(Reprogramaciones!W$12&gt;=7,"",IF(OR(CF293-N(CE293)&gt;0.05,N(AC293)&gt;0),ROUNDDOWN(ROUND(CF293,6),0)&amp;"%"&amp;IF(CV293="",""," / "&amp;CV293&amp;"%"),IF(AND(N(CE293)&gt;=99.95,CV293&lt;&gt;"",N(CV293)&lt;100),"Pend. "&amp;CV293&amp;"%",""))))</f>
        <v/>
      </c>
      <c r="AZ293" s="40" t="str">
        <f aca="false">IF(OR(OR(NOT(AND(ISNUMBER(E293),ISNUMBER(F293))),$J$2=""),14&gt;MAX(1,Reprogramaciones!$U$15)),"",IF(Reprogramaciones!X$12&gt;=7,"",IF(OR(CG293-N(CF293)&gt;0.05,N(AD293)&gt;0),ROUNDDOWN(ROUND(CG293,6),0)&amp;"%"&amp;IF(CW293="",""," / "&amp;CW293&amp;"%"),IF(AND(N(CF293)&gt;=99.95,CW293&lt;&gt;"",N(CW293)&lt;100),"Pend. "&amp;CW293&amp;"%",""))))</f>
        <v/>
      </c>
      <c r="BA293" s="40" t="str">
        <f aca="false">IF(OR(OR(NOT(AND(ISNUMBER(E293),ISNUMBER(F293))),$J$2=""),15&gt;MAX(1,Reprogramaciones!$U$15)),"",IF(Reprogramaciones!Y$12&gt;=7,"",IF(OR(CH293-N(CG293)&gt;0.05,N(AE293)&gt;0),ROUNDDOWN(ROUND(CH293,6),0)&amp;"%"&amp;IF(CX293="",""," / "&amp;CX293&amp;"%"),IF(AND(N(CG293)&gt;=99.95,CX293&lt;&gt;"",N(CX293)&lt;100),"Pend. "&amp;CX293&amp;"%",""))))</f>
        <v/>
      </c>
      <c r="BB293" s="40" t="str">
        <f aca="false">IF(OR(OR(NOT(AND(ISNUMBER(E293),ISNUMBER(F293))),$J$2=""),16&gt;MAX(1,Reprogramaciones!$U$15)),"",IF(Reprogramaciones!Z$12&gt;=7,"",IF(OR(CI293-N(CH293)&gt;0.05,N(AF293)&gt;0),ROUNDDOWN(ROUND(CI293,6),0)&amp;"%"&amp;IF(CY293="",""," / "&amp;CY293&amp;"%"),IF(AND(N(CH293)&gt;=99.95,CY293&lt;&gt;"",N(CY293)&lt;100),"Pend. "&amp;CY293&amp;"%",""))))</f>
        <v/>
      </c>
      <c r="BC293" s="31" t="n">
        <f aca="false">IF(AND(ISNUMBER(E293),ISNUMBER(F293)),MAX(1,NETWORKDAYS.INTL(E293,F293,11)),0)</f>
        <v>0</v>
      </c>
      <c r="BD293" s="1" t="str">
        <f aca="false">IF(OR(NOT(AND(ISNUMBER(E293),ISNUMBER(F293))),$J$2=""),"",MIN(100,ROUND(SUM($G293:G293),1)))</f>
        <v/>
      </c>
      <c r="BE293" s="1" t="str">
        <f aca="false">IF(OR(NOT(AND(ISNUMBER(E293),ISNUMBER(F293))),$J$2=""),"",MIN(100,ROUND(SUM($G293:H293),1)))</f>
        <v/>
      </c>
      <c r="BF293" s="1" t="str">
        <f aca="false">IF(OR(NOT(AND(ISNUMBER(E293),ISNUMBER(F293))),$J$2=""),"",MIN(100,ROUND(SUM($G293:I293),1)))</f>
        <v/>
      </c>
      <c r="BG293" s="1" t="str">
        <f aca="false">IF(OR(NOT(AND(ISNUMBER(E293),ISNUMBER(F293))),$J$2=""),"",MIN(100,ROUND(SUM($G293:J293),1)))</f>
        <v/>
      </c>
      <c r="BH293" s="1" t="str">
        <f aca="false">IF(OR(NOT(AND(ISNUMBER(E293),ISNUMBER(F293))),$J$2=""),"",MIN(100,ROUND(SUM($G293:K293),1)))</f>
        <v/>
      </c>
      <c r="BI293" s="1" t="str">
        <f aca="false">IF(OR(NOT(AND(ISNUMBER(E293),ISNUMBER(F293))),$J$2=""),"",MIN(100,ROUND(SUM($G293:L293),1)))</f>
        <v/>
      </c>
      <c r="BJ293" s="1" t="str">
        <f aca="false">IF(OR(NOT(AND(ISNUMBER(E293),ISNUMBER(F293))),$J$2=""),"",MIN(100,ROUND(SUM($G293:M293),1)))</f>
        <v/>
      </c>
      <c r="BK293" s="1" t="str">
        <f aca="false">IF(OR(NOT(AND(ISNUMBER(E293),ISNUMBER(F293))),$J$2=""),"",MIN(100,ROUND(SUM($G293:N293),1)))</f>
        <v/>
      </c>
      <c r="BL293" s="1" t="str">
        <f aca="false">IF(OR(NOT(AND(ISNUMBER(E293),ISNUMBER(F293))),$J$2=""),"",MIN(100,ROUND(SUM($G293:O293),1)))</f>
        <v/>
      </c>
      <c r="BM293" s="1" t="str">
        <f aca="false">IF(OR(NOT(AND(ISNUMBER(E293),ISNUMBER(F293))),$J$2=""),"",MIN(100,ROUND(SUM($G293:P293),1)))</f>
        <v/>
      </c>
      <c r="BN293" s="1" t="str">
        <f aca="false">IF(OR(NOT(AND(ISNUMBER(E293),ISNUMBER(F293))),$J$2=""),"",MIN(100,ROUND(SUM($G293:P293),1)))</f>
        <v/>
      </c>
      <c r="BO293" s="1" t="str">
        <f aca="false">IF(OR(NOT(AND(ISNUMBER(E293),ISNUMBER(F293))),$J$2=""),"",MIN(100,ROUND(SUM($G293:P293),1)))</f>
        <v/>
      </c>
      <c r="BP293" s="1" t="str">
        <f aca="false">IF(OR(NOT(AND(ISNUMBER(E293),ISNUMBER(F293))),$J$2=""),"",MIN(100,ROUND(SUM($G293:P293),1)))</f>
        <v/>
      </c>
      <c r="BQ293" s="1" t="str">
        <f aca="false">IF(OR(NOT(AND(ISNUMBER(E293),ISNUMBER(F293))),$J$2=""),"",MIN(100,ROUND(SUM($G293:P293),1)))</f>
        <v/>
      </c>
      <c r="BR293" s="1" t="str">
        <f aca="false">IF(OR(NOT(AND(ISNUMBER(E293),ISNUMBER(F293))),$J$2=""),"",MIN(100,ROUND(SUM($G293:P293),1)))</f>
        <v/>
      </c>
      <c r="BS293" s="1" t="str">
        <f aca="false">IF(OR(NOT(AND(ISNUMBER(E293),ISNUMBER(F293))),$J$2=""),"",MIN(100,ROUND(SUM($G293:P293),1)))</f>
        <v/>
      </c>
      <c r="BT293" s="1" t="str">
        <f aca="false">IF(OR(NOT(AND(ISNUMBER(E293),ISNUMBER(F293))),$J$2=""),"",IF(Reprogramaciones!K$13&lt;Reprogramaciones!$T$15,0,IF(Reprogramaciones!K$14&gt;10,MIN(100,SUM($G293:$P293)),MIN(100,SUMPRODUCT((COLUMN($G293:$P293)-COLUMN($G293)+1&lt;Reprogramaciones!K$14)*$G293:$P293)+N(INDEX($G293:$P293,1,Reprogramaciones!K$14))*IF(Reprogramaciones!K$13&gt;=(Reprogramaciones!$T$15+7*(Reprogramaciones!K$14-1))+6,1,IF(MAX(0,NETWORKDAYS.INTL(MAX(E293,(Reprogramaciones!$T$15+7*(Reprogramaciones!K$14-1))),MIN(F293,(Reprogramaciones!$T$15+7*(Reprogramaciones!K$14-1))+6),11))=0,0,MAX(0,NETWORKDAYS.INTL(MAX(E293,(Reprogramaciones!$T$15+7*(Reprogramaciones!K$14-1))),MIN(F293,Reprogramaciones!K$13),11))/MAX(0,NETWORKDAYS.INTL(MAX(E293,(Reprogramaciones!$T$15+7*(Reprogramaciones!K$14-1))),MIN(F293,(Reprogramaciones!$T$15+7*(Reprogramaciones!K$14-1))+6),11))))))))</f>
        <v/>
      </c>
      <c r="BU293" s="1" t="str">
        <f aca="false">IF(OR(NOT(AND(ISNUMBER(E293),ISNUMBER(F293))),$J$2=""),"",IF(Reprogramaciones!L$13&lt;Reprogramaciones!$T$15,0,IF(Reprogramaciones!L$14&gt;10,MIN(100,SUM($G293:$P293)),MIN(100,SUMPRODUCT((COLUMN($G293:$P293)-COLUMN($G293)+1&lt;Reprogramaciones!L$14)*$G293:$P293)+N(INDEX($G293:$P293,1,Reprogramaciones!L$14))*IF(Reprogramaciones!L$13&gt;=(Reprogramaciones!$T$15+7*(Reprogramaciones!L$14-1))+6,1,IF(MAX(0,NETWORKDAYS.INTL(MAX(E293,(Reprogramaciones!$T$15+7*(Reprogramaciones!L$14-1))),MIN(F293,(Reprogramaciones!$T$15+7*(Reprogramaciones!L$14-1))+6),11))=0,0,MAX(0,NETWORKDAYS.INTL(MAX(E293,(Reprogramaciones!$T$15+7*(Reprogramaciones!L$14-1))),MIN(F293,Reprogramaciones!L$13),11))/MAX(0,NETWORKDAYS.INTL(MAX(E293,(Reprogramaciones!$T$15+7*(Reprogramaciones!L$14-1))),MIN(F293,(Reprogramaciones!$T$15+7*(Reprogramaciones!L$14-1))+6),11))))))))</f>
        <v/>
      </c>
      <c r="BV293" s="1" t="str">
        <f aca="false">IF(OR(NOT(AND(ISNUMBER(E293),ISNUMBER(F293))),$J$2=""),"",IF(Reprogramaciones!M$13&lt;Reprogramaciones!$T$15,0,IF(Reprogramaciones!M$14&gt;10,MIN(100,SUM($G293:$P293)),MIN(100,SUMPRODUCT((COLUMN($G293:$P293)-COLUMN($G293)+1&lt;Reprogramaciones!M$14)*$G293:$P293)+N(INDEX($G293:$P293,1,Reprogramaciones!M$14))*IF(Reprogramaciones!M$13&gt;=(Reprogramaciones!$T$15+7*(Reprogramaciones!M$14-1))+6,1,IF(MAX(0,NETWORKDAYS.INTL(MAX(E293,(Reprogramaciones!$T$15+7*(Reprogramaciones!M$14-1))),MIN(F293,(Reprogramaciones!$T$15+7*(Reprogramaciones!M$14-1))+6),11))=0,0,MAX(0,NETWORKDAYS.INTL(MAX(E293,(Reprogramaciones!$T$15+7*(Reprogramaciones!M$14-1))),MIN(F293,Reprogramaciones!M$13),11))/MAX(0,NETWORKDAYS.INTL(MAX(E293,(Reprogramaciones!$T$15+7*(Reprogramaciones!M$14-1))),MIN(F293,(Reprogramaciones!$T$15+7*(Reprogramaciones!M$14-1))+6),11))))))))</f>
        <v/>
      </c>
      <c r="BW293" s="1" t="str">
        <f aca="false">IF(OR(NOT(AND(ISNUMBER(E293),ISNUMBER(F293))),$J$2=""),"",IF(Reprogramaciones!N$13&lt;Reprogramaciones!$T$15,0,IF(Reprogramaciones!N$14&gt;10,MIN(100,SUM($G293:$P293)),MIN(100,SUMPRODUCT((COLUMN($G293:$P293)-COLUMN($G293)+1&lt;Reprogramaciones!N$14)*$G293:$P293)+N(INDEX($G293:$P293,1,Reprogramaciones!N$14))*IF(Reprogramaciones!N$13&gt;=(Reprogramaciones!$T$15+7*(Reprogramaciones!N$14-1))+6,1,IF(MAX(0,NETWORKDAYS.INTL(MAX(E293,(Reprogramaciones!$T$15+7*(Reprogramaciones!N$14-1))),MIN(F293,(Reprogramaciones!$T$15+7*(Reprogramaciones!N$14-1))+6),11))=0,0,MAX(0,NETWORKDAYS.INTL(MAX(E293,(Reprogramaciones!$T$15+7*(Reprogramaciones!N$14-1))),MIN(F293,Reprogramaciones!N$13),11))/MAX(0,NETWORKDAYS.INTL(MAX(E293,(Reprogramaciones!$T$15+7*(Reprogramaciones!N$14-1))),MIN(F293,(Reprogramaciones!$T$15+7*(Reprogramaciones!N$14-1))+6),11))))))))</f>
        <v/>
      </c>
      <c r="BX293" s="1" t="str">
        <f aca="false">IF(OR(NOT(AND(ISNUMBER(E293),ISNUMBER(F293))),$J$2=""),"",IF(Reprogramaciones!O$13&lt;Reprogramaciones!$T$15,0,IF(Reprogramaciones!O$14&gt;10,MIN(100,SUM($G293:$P293)),MIN(100,SUMPRODUCT((COLUMN($G293:$P293)-COLUMN($G293)+1&lt;Reprogramaciones!O$14)*$G293:$P293)+N(INDEX($G293:$P293,1,Reprogramaciones!O$14))*IF(Reprogramaciones!O$13&gt;=(Reprogramaciones!$T$15+7*(Reprogramaciones!O$14-1))+6,1,IF(MAX(0,NETWORKDAYS.INTL(MAX(E293,(Reprogramaciones!$T$15+7*(Reprogramaciones!O$14-1))),MIN(F293,(Reprogramaciones!$T$15+7*(Reprogramaciones!O$14-1))+6),11))=0,0,MAX(0,NETWORKDAYS.INTL(MAX(E293,(Reprogramaciones!$T$15+7*(Reprogramaciones!O$14-1))),MIN(F293,Reprogramaciones!O$13),11))/MAX(0,NETWORKDAYS.INTL(MAX(E293,(Reprogramaciones!$T$15+7*(Reprogramaciones!O$14-1))),MIN(F293,(Reprogramaciones!$T$15+7*(Reprogramaciones!O$14-1))+6),11))))))))</f>
        <v/>
      </c>
      <c r="BY293" s="1" t="str">
        <f aca="false">IF(OR(NOT(AND(ISNUMBER(E293),ISNUMBER(F293))),$J$2=""),"",IF(Reprogramaciones!P$13&lt;Reprogramaciones!$T$15,0,IF(Reprogramaciones!P$14&gt;10,MIN(100,SUM($G293:$P293)),MIN(100,SUMPRODUCT((COLUMN($G293:$P293)-COLUMN($G293)+1&lt;Reprogramaciones!P$14)*$G293:$P293)+N(INDEX($G293:$P293,1,Reprogramaciones!P$14))*IF(Reprogramaciones!P$13&gt;=(Reprogramaciones!$T$15+7*(Reprogramaciones!P$14-1))+6,1,IF(MAX(0,NETWORKDAYS.INTL(MAX(E293,(Reprogramaciones!$T$15+7*(Reprogramaciones!P$14-1))),MIN(F293,(Reprogramaciones!$T$15+7*(Reprogramaciones!P$14-1))+6),11))=0,0,MAX(0,NETWORKDAYS.INTL(MAX(E293,(Reprogramaciones!$T$15+7*(Reprogramaciones!P$14-1))),MIN(F293,Reprogramaciones!P$13),11))/MAX(0,NETWORKDAYS.INTL(MAX(E293,(Reprogramaciones!$T$15+7*(Reprogramaciones!P$14-1))),MIN(F293,(Reprogramaciones!$T$15+7*(Reprogramaciones!P$14-1))+6),11))))))))</f>
        <v/>
      </c>
      <c r="BZ293" s="1" t="str">
        <f aca="false">IF(OR(NOT(AND(ISNUMBER(E293),ISNUMBER(F293))),$J$2=""),"",IF(Reprogramaciones!Q$13&lt;Reprogramaciones!$T$15,0,IF(Reprogramaciones!Q$14&gt;10,MIN(100,SUM($G293:$P293)),MIN(100,SUMPRODUCT((COLUMN($G293:$P293)-COLUMN($G293)+1&lt;Reprogramaciones!Q$14)*$G293:$P293)+N(INDEX($G293:$P293,1,Reprogramaciones!Q$14))*IF(Reprogramaciones!Q$13&gt;=(Reprogramaciones!$T$15+7*(Reprogramaciones!Q$14-1))+6,1,IF(MAX(0,NETWORKDAYS.INTL(MAX(E293,(Reprogramaciones!$T$15+7*(Reprogramaciones!Q$14-1))),MIN(F293,(Reprogramaciones!$T$15+7*(Reprogramaciones!Q$14-1))+6),11))=0,0,MAX(0,NETWORKDAYS.INTL(MAX(E293,(Reprogramaciones!$T$15+7*(Reprogramaciones!Q$14-1))),MIN(F293,Reprogramaciones!Q$13),11))/MAX(0,NETWORKDAYS.INTL(MAX(E293,(Reprogramaciones!$T$15+7*(Reprogramaciones!Q$14-1))),MIN(F293,(Reprogramaciones!$T$15+7*(Reprogramaciones!Q$14-1))+6),11))))))))</f>
        <v/>
      </c>
      <c r="CA293" s="1" t="str">
        <f aca="false">IF(OR(NOT(AND(ISNUMBER(E293),ISNUMBER(F293))),$J$2=""),"",IF(Reprogramaciones!R$13&lt;Reprogramaciones!$T$15,0,IF(Reprogramaciones!R$14&gt;10,MIN(100,SUM($G293:$P293)),MIN(100,SUMPRODUCT((COLUMN($G293:$P293)-COLUMN($G293)+1&lt;Reprogramaciones!R$14)*$G293:$P293)+N(INDEX($G293:$P293,1,Reprogramaciones!R$14))*IF(Reprogramaciones!R$13&gt;=(Reprogramaciones!$T$15+7*(Reprogramaciones!R$14-1))+6,1,IF(MAX(0,NETWORKDAYS.INTL(MAX(E293,(Reprogramaciones!$T$15+7*(Reprogramaciones!R$14-1))),MIN(F293,(Reprogramaciones!$T$15+7*(Reprogramaciones!R$14-1))+6),11))=0,0,MAX(0,NETWORKDAYS.INTL(MAX(E293,(Reprogramaciones!$T$15+7*(Reprogramaciones!R$14-1))),MIN(F293,Reprogramaciones!R$13),11))/MAX(0,NETWORKDAYS.INTL(MAX(E293,(Reprogramaciones!$T$15+7*(Reprogramaciones!R$14-1))),MIN(F293,(Reprogramaciones!$T$15+7*(Reprogramaciones!R$14-1))+6),11))))))))</f>
        <v/>
      </c>
      <c r="CB293" s="1" t="str">
        <f aca="false">IF(OR(NOT(AND(ISNUMBER(E293),ISNUMBER(F293))),$J$2=""),"",IF(Reprogramaciones!S$13&lt;Reprogramaciones!$T$15,0,IF(Reprogramaciones!S$14&gt;10,MIN(100,SUM($G293:$P293)),MIN(100,SUMPRODUCT((COLUMN($G293:$P293)-COLUMN($G293)+1&lt;Reprogramaciones!S$14)*$G293:$P293)+N(INDEX($G293:$P293,1,Reprogramaciones!S$14))*IF(Reprogramaciones!S$13&gt;=(Reprogramaciones!$T$15+7*(Reprogramaciones!S$14-1))+6,1,IF(MAX(0,NETWORKDAYS.INTL(MAX(E293,(Reprogramaciones!$T$15+7*(Reprogramaciones!S$14-1))),MIN(F293,(Reprogramaciones!$T$15+7*(Reprogramaciones!S$14-1))+6),11))=0,0,MAX(0,NETWORKDAYS.INTL(MAX(E293,(Reprogramaciones!$T$15+7*(Reprogramaciones!S$14-1))),MIN(F293,Reprogramaciones!S$13),11))/MAX(0,NETWORKDAYS.INTL(MAX(E293,(Reprogramaciones!$T$15+7*(Reprogramaciones!S$14-1))),MIN(F293,(Reprogramaciones!$T$15+7*(Reprogramaciones!S$14-1))+6),11))))))))</f>
        <v/>
      </c>
      <c r="CC293" s="1" t="str">
        <f aca="false">IF(OR(NOT(AND(ISNUMBER(E293),ISNUMBER(F293))),$J$2=""),"",IF(Reprogramaciones!T$13&lt;Reprogramaciones!$T$15,0,IF(Reprogramaciones!T$14&gt;10,MIN(100,SUM($G293:$P293)),MIN(100,SUMPRODUCT((COLUMN($G293:$P293)-COLUMN($G293)+1&lt;Reprogramaciones!T$14)*$G293:$P293)+N(INDEX($G293:$P293,1,Reprogramaciones!T$14))*IF(Reprogramaciones!T$13&gt;=(Reprogramaciones!$T$15+7*(Reprogramaciones!T$14-1))+6,1,IF(MAX(0,NETWORKDAYS.INTL(MAX(E293,(Reprogramaciones!$T$15+7*(Reprogramaciones!T$14-1))),MIN(F293,(Reprogramaciones!$T$15+7*(Reprogramaciones!T$14-1))+6),11))=0,0,MAX(0,NETWORKDAYS.INTL(MAX(E293,(Reprogramaciones!$T$15+7*(Reprogramaciones!T$14-1))),MIN(F293,Reprogramaciones!T$13),11))/MAX(0,NETWORKDAYS.INTL(MAX(E293,(Reprogramaciones!$T$15+7*(Reprogramaciones!T$14-1))),MIN(F293,(Reprogramaciones!$T$15+7*(Reprogramaciones!T$14-1))+6),11))))))))</f>
        <v/>
      </c>
      <c r="CD293" s="1" t="str">
        <f aca="false">IF(OR(NOT(AND(ISNUMBER(E293),ISNUMBER(F293))),$J$2=""),"",IF(Reprogramaciones!U$13&lt;Reprogramaciones!$T$15,0,IF(Reprogramaciones!U$14&gt;10,MIN(100,SUM($G293:$P293)),MIN(100,SUMPRODUCT((COLUMN($G293:$P293)-COLUMN($G293)+1&lt;Reprogramaciones!U$14)*$G293:$P293)+N(INDEX($G293:$P293,1,Reprogramaciones!U$14))*IF(Reprogramaciones!U$13&gt;=(Reprogramaciones!$T$15+7*(Reprogramaciones!U$14-1))+6,1,IF(MAX(0,NETWORKDAYS.INTL(MAX(E293,(Reprogramaciones!$T$15+7*(Reprogramaciones!U$14-1))),MIN(F293,(Reprogramaciones!$T$15+7*(Reprogramaciones!U$14-1))+6),11))=0,0,MAX(0,NETWORKDAYS.INTL(MAX(E293,(Reprogramaciones!$T$15+7*(Reprogramaciones!U$14-1))),MIN(F293,Reprogramaciones!U$13),11))/MAX(0,NETWORKDAYS.INTL(MAX(E293,(Reprogramaciones!$T$15+7*(Reprogramaciones!U$14-1))),MIN(F293,(Reprogramaciones!$T$15+7*(Reprogramaciones!U$14-1))+6),11))))))))</f>
        <v/>
      </c>
      <c r="CE293" s="1" t="str">
        <f aca="false">IF(OR(NOT(AND(ISNUMBER(E293),ISNUMBER(F293))),$J$2=""),"",IF(Reprogramaciones!V$13&lt;Reprogramaciones!$T$15,0,IF(Reprogramaciones!V$14&gt;10,MIN(100,SUM($G293:$P293)),MIN(100,SUMPRODUCT((COLUMN($G293:$P293)-COLUMN($G293)+1&lt;Reprogramaciones!V$14)*$G293:$P293)+N(INDEX($G293:$P293,1,Reprogramaciones!V$14))*IF(Reprogramaciones!V$13&gt;=(Reprogramaciones!$T$15+7*(Reprogramaciones!V$14-1))+6,1,IF(MAX(0,NETWORKDAYS.INTL(MAX(E293,(Reprogramaciones!$T$15+7*(Reprogramaciones!V$14-1))),MIN(F293,(Reprogramaciones!$T$15+7*(Reprogramaciones!V$14-1))+6),11))=0,0,MAX(0,NETWORKDAYS.INTL(MAX(E293,(Reprogramaciones!$T$15+7*(Reprogramaciones!V$14-1))),MIN(F293,Reprogramaciones!V$13),11))/MAX(0,NETWORKDAYS.INTL(MAX(E293,(Reprogramaciones!$T$15+7*(Reprogramaciones!V$14-1))),MIN(F293,(Reprogramaciones!$T$15+7*(Reprogramaciones!V$14-1))+6),11))))))))</f>
        <v/>
      </c>
      <c r="CF293" s="1" t="str">
        <f aca="false">IF(OR(NOT(AND(ISNUMBER(E293),ISNUMBER(F293))),$J$2=""),"",IF(Reprogramaciones!W$13&lt;Reprogramaciones!$T$15,0,IF(Reprogramaciones!W$14&gt;10,MIN(100,SUM($G293:$P293)),MIN(100,SUMPRODUCT((COLUMN($G293:$P293)-COLUMN($G293)+1&lt;Reprogramaciones!W$14)*$G293:$P293)+N(INDEX($G293:$P293,1,Reprogramaciones!W$14))*IF(Reprogramaciones!W$13&gt;=(Reprogramaciones!$T$15+7*(Reprogramaciones!W$14-1))+6,1,IF(MAX(0,NETWORKDAYS.INTL(MAX(E293,(Reprogramaciones!$T$15+7*(Reprogramaciones!W$14-1))),MIN(F293,(Reprogramaciones!$T$15+7*(Reprogramaciones!W$14-1))+6),11))=0,0,MAX(0,NETWORKDAYS.INTL(MAX(E293,(Reprogramaciones!$T$15+7*(Reprogramaciones!W$14-1))),MIN(F293,Reprogramaciones!W$13),11))/MAX(0,NETWORKDAYS.INTL(MAX(E293,(Reprogramaciones!$T$15+7*(Reprogramaciones!W$14-1))),MIN(F293,(Reprogramaciones!$T$15+7*(Reprogramaciones!W$14-1))+6),11))))))))</f>
        <v/>
      </c>
      <c r="CG293" s="1" t="str">
        <f aca="false">IF(OR(NOT(AND(ISNUMBER(E293),ISNUMBER(F293))),$J$2=""),"",IF(Reprogramaciones!X$13&lt;Reprogramaciones!$T$15,0,IF(Reprogramaciones!X$14&gt;10,MIN(100,SUM($G293:$P293)),MIN(100,SUMPRODUCT((COLUMN($G293:$P293)-COLUMN($G293)+1&lt;Reprogramaciones!X$14)*$G293:$P293)+N(INDEX($G293:$P293,1,Reprogramaciones!X$14))*IF(Reprogramaciones!X$13&gt;=(Reprogramaciones!$T$15+7*(Reprogramaciones!X$14-1))+6,1,IF(MAX(0,NETWORKDAYS.INTL(MAX(E293,(Reprogramaciones!$T$15+7*(Reprogramaciones!X$14-1))),MIN(F293,(Reprogramaciones!$T$15+7*(Reprogramaciones!X$14-1))+6),11))=0,0,MAX(0,NETWORKDAYS.INTL(MAX(E293,(Reprogramaciones!$T$15+7*(Reprogramaciones!X$14-1))),MIN(F293,Reprogramaciones!X$13),11))/MAX(0,NETWORKDAYS.INTL(MAX(E293,(Reprogramaciones!$T$15+7*(Reprogramaciones!X$14-1))),MIN(F293,(Reprogramaciones!$T$15+7*(Reprogramaciones!X$14-1))+6),11))))))))</f>
        <v/>
      </c>
      <c r="CH293" s="1" t="str">
        <f aca="false">IF(OR(NOT(AND(ISNUMBER(E293),ISNUMBER(F293))),$J$2=""),"",IF(Reprogramaciones!Y$13&lt;Reprogramaciones!$T$15,0,IF(Reprogramaciones!Y$14&gt;10,MIN(100,SUM($G293:$P293)),MIN(100,SUMPRODUCT((COLUMN($G293:$P293)-COLUMN($G293)+1&lt;Reprogramaciones!Y$14)*$G293:$P293)+N(INDEX($G293:$P293,1,Reprogramaciones!Y$14))*IF(Reprogramaciones!Y$13&gt;=(Reprogramaciones!$T$15+7*(Reprogramaciones!Y$14-1))+6,1,IF(MAX(0,NETWORKDAYS.INTL(MAX(E293,(Reprogramaciones!$T$15+7*(Reprogramaciones!Y$14-1))),MIN(F293,(Reprogramaciones!$T$15+7*(Reprogramaciones!Y$14-1))+6),11))=0,0,MAX(0,NETWORKDAYS.INTL(MAX(E293,(Reprogramaciones!$T$15+7*(Reprogramaciones!Y$14-1))),MIN(F293,Reprogramaciones!Y$13),11))/MAX(0,NETWORKDAYS.INTL(MAX(E293,(Reprogramaciones!$T$15+7*(Reprogramaciones!Y$14-1))),MIN(F293,(Reprogramaciones!$T$15+7*(Reprogramaciones!Y$14-1))+6),11))))))))</f>
        <v/>
      </c>
      <c r="CI293" s="1" t="str">
        <f aca="false">IF(OR(NOT(AND(ISNUMBER(E293),ISNUMBER(F293))),$J$2=""),"",IF(Reprogramaciones!Z$13&lt;Reprogramaciones!$T$15,0,IF(Reprogramaciones!Z$14&gt;10,MIN(100,SUM($G293:$P293)),MIN(100,SUMPRODUCT((COLUMN($G293:$P293)-COLUMN($G293)+1&lt;Reprogramaciones!Z$14)*$G293:$P293)+N(INDEX($G293:$P293,1,Reprogramaciones!Z$14))*IF(Reprogramaciones!Z$13&gt;=(Reprogramaciones!$T$15+7*(Reprogramaciones!Z$14-1))+6,1,IF(MAX(0,NETWORKDAYS.INTL(MAX(E293,(Reprogramaciones!$T$15+7*(Reprogramaciones!Z$14-1))),MIN(F293,(Reprogramaciones!$T$15+7*(Reprogramaciones!Z$14-1))+6),11))=0,0,MAX(0,NETWORKDAYS.INTL(MAX(E293,(Reprogramaciones!$T$15+7*(Reprogramaciones!Z$14-1))),MIN(F293,Reprogramaciones!Z$13),11))/MAX(0,NETWORKDAYS.INTL(MAX(E293,(Reprogramaciones!$T$15+7*(Reprogramaciones!Z$14-1))),MIN(F293,(Reprogramaciones!$T$15+7*(Reprogramaciones!Z$14-1))+6),11))))))))</f>
        <v/>
      </c>
      <c r="CJ293" s="1" t="str">
        <f aca="false">IF(OR(OR(NOT(AND(ISNUMBER(E293),ISNUMBER(F293))),$J$2=""),1&gt;Reprogramaciones!$K$16),"",IF(ROUND(SUM($Q293:Q293),1)&gt;=99.5,100,MIN(100,ROUND(SUM($Q293:Q293),1))))</f>
        <v/>
      </c>
      <c r="CK293" s="1" t="str">
        <f aca="false">IF(OR(OR(NOT(AND(ISNUMBER(E293),ISNUMBER(F293))),$J$2=""),2&gt;Reprogramaciones!$K$16),"",IF(ROUND(SUM($Q293:R293),1)&gt;=99.5,100,MIN(100,ROUND(SUM($Q293:R293),1))))</f>
        <v/>
      </c>
      <c r="CL293" s="1" t="str">
        <f aca="false">IF(OR(OR(NOT(AND(ISNUMBER(E293),ISNUMBER(F293))),$J$2=""),3&gt;Reprogramaciones!$K$16),"",IF(ROUND(SUM($Q293:S293),1)&gt;=99.5,100,MIN(100,ROUND(SUM($Q293:S293),1))))</f>
        <v/>
      </c>
      <c r="CM293" s="1" t="str">
        <f aca="false">IF(OR(OR(NOT(AND(ISNUMBER(E293),ISNUMBER(F293))),$J$2=""),4&gt;Reprogramaciones!$K$16),"",IF(ROUND(SUM($Q293:T293),1)&gt;=99.5,100,MIN(100,ROUND(SUM($Q293:T293),1))))</f>
        <v/>
      </c>
      <c r="CN293" s="1" t="str">
        <f aca="false">IF(OR(OR(NOT(AND(ISNUMBER(E293),ISNUMBER(F293))),$J$2=""),5&gt;Reprogramaciones!$K$16),"",IF(ROUND(SUM($Q293:U293),1)&gt;=99.5,100,MIN(100,ROUND(SUM($Q293:U293),1))))</f>
        <v/>
      </c>
      <c r="CO293" s="1" t="str">
        <f aca="false">IF(OR(OR(NOT(AND(ISNUMBER(E293),ISNUMBER(F293))),$J$2=""),6&gt;Reprogramaciones!$K$16),"",IF(ROUND(SUM($Q293:V293),1)&gt;=99.5,100,MIN(100,ROUND(SUM($Q293:V293),1))))</f>
        <v/>
      </c>
      <c r="CP293" s="1" t="str">
        <f aca="false">IF(OR(OR(NOT(AND(ISNUMBER(E293),ISNUMBER(F293))),$J$2=""),7&gt;Reprogramaciones!$K$16),"",IF(ROUND(SUM($Q293:W293),1)&gt;=99.5,100,MIN(100,ROUND(SUM($Q293:W293),1))))</f>
        <v/>
      </c>
      <c r="CQ293" s="1" t="str">
        <f aca="false">IF(OR(OR(NOT(AND(ISNUMBER(E293),ISNUMBER(F293))),$J$2=""),8&gt;Reprogramaciones!$K$16),"",IF(ROUND(SUM($Q293:X293),1)&gt;=99.5,100,MIN(100,ROUND(SUM($Q293:X293),1))))</f>
        <v/>
      </c>
      <c r="CR293" s="1" t="str">
        <f aca="false">IF(OR(OR(NOT(AND(ISNUMBER(E293),ISNUMBER(F293))),$J$2=""),9&gt;Reprogramaciones!$K$16),"",IF(ROUND(SUM($Q293:Y293),1)&gt;=99.5,100,MIN(100,ROUND(SUM($Q293:Y293),1))))</f>
        <v/>
      </c>
      <c r="CS293" s="1" t="str">
        <f aca="false">IF(OR(OR(NOT(AND(ISNUMBER(E293),ISNUMBER(F293))),$J$2=""),10&gt;Reprogramaciones!$K$16),"",IF(ROUND(SUM($Q293:Z293),1)&gt;=99.5,100,MIN(100,ROUND(SUM($Q293:Z293),1))))</f>
        <v/>
      </c>
      <c r="CT293" s="1" t="str">
        <f aca="false">IF(OR(OR(NOT(AND(ISNUMBER(E293),ISNUMBER(F293))),$J$2=""),11&gt;Reprogramaciones!$K$16),"",IF(ROUND(SUM($Q293:AA293),1)&gt;=99.5,100,MIN(100,ROUND(SUM($Q293:AA293),1))))</f>
        <v/>
      </c>
      <c r="CU293" s="1" t="str">
        <f aca="false">IF(OR(OR(NOT(AND(ISNUMBER(E293),ISNUMBER(F293))),$J$2=""),12&gt;Reprogramaciones!$K$16),"",IF(ROUND(SUM($Q293:AB293),1)&gt;=99.5,100,MIN(100,ROUND(SUM($Q293:AB293),1))))</f>
        <v/>
      </c>
      <c r="CV293" s="1" t="str">
        <f aca="false">IF(OR(OR(NOT(AND(ISNUMBER(E293),ISNUMBER(F293))),$J$2=""),13&gt;Reprogramaciones!$K$16),"",IF(ROUND(SUM($Q293:AC293),1)&gt;=99.5,100,MIN(100,ROUND(SUM($Q293:AC293),1))))</f>
        <v/>
      </c>
      <c r="CW293" s="1" t="str">
        <f aca="false">IF(OR(OR(NOT(AND(ISNUMBER(E293),ISNUMBER(F293))),$J$2=""),14&gt;Reprogramaciones!$K$16),"",IF(ROUND(SUM($Q293:AD293),1)&gt;=99.5,100,MIN(100,ROUND(SUM($Q293:AD293),1))))</f>
        <v/>
      </c>
      <c r="CX293" s="1" t="str">
        <f aca="false">IF(OR(OR(NOT(AND(ISNUMBER(E293),ISNUMBER(F293))),$J$2=""),15&gt;Reprogramaciones!$K$16),"",IF(ROUND(SUM($Q293:AE293),1)&gt;=99.5,100,MIN(100,ROUND(SUM($Q293:AE293),1))))</f>
        <v/>
      </c>
      <c r="CY293" s="1" t="str">
        <f aca="false">IF(OR(OR(NOT(AND(ISNUMBER(E293),ISNUMBER(F293))),$J$2=""),16&gt;Reprogramaciones!$K$16),"",IF(ROUND(SUM($Q293:AF293),1)&gt;=99.5,100,MIN(100,ROUND(SUM($Q293:AF293),1))))</f>
        <v/>
      </c>
      <c r="CZ293" s="1" t="str">
        <f aca="false">IF(D293&lt;&gt;"",D293,IF(B293&lt;&gt;"","Contractual",CZ292))</f>
        <v>Contractual</v>
      </c>
      <c r="DA293" s="1" t="str">
        <f aca="false">IF(OR(NOT(AND(ISNUMBER(E293),ISNUMBER(F293))),$J$2=""),"",IF(Reprogramaciones!$Q$15&lt;Reprogramaciones!$T$15,0,IF(Reprogramaciones!$S$15&gt;10,MIN(100,SUM($G293:$P293)),MIN(100,SUMPRODUCT((COLUMN($G293:$P293)-COLUMN($G293)+1&lt;Reprogramaciones!$S$15)*$G293:$P293)+N(INDEX($G293:$P293,1,Reprogramaciones!$S$15))*IF(Reprogramaciones!$Q$15&gt;=(Reprogramaciones!$T$15+7*(Reprogramaciones!$S$15-1))+6,1,IF(MAX(0,NETWORKDAYS.INTL(MAX(E293,(Reprogramaciones!$T$15+7*(Reprogramaciones!$S$15-1))),MIN(F293,(Reprogramaciones!$T$15+7*(Reprogramaciones!$S$15-1))+6),11))=0,0,MAX(0,NETWORKDAYS.INTL(MAX(E293,(Reprogramaciones!$T$15+7*(Reprogramaciones!$S$15-1))),MIN(F293,Reprogramaciones!$Q$15),11))/MAX(0,NETWORKDAYS.INTL(MAX(E293,(Reprogramaciones!$T$15+7*(Reprogramaciones!$S$15-1))),MIN(F293,(Reprogramaciones!$T$15+7*(Reprogramaciones!$S$15-1))+6),11))))))))</f>
        <v/>
      </c>
    </row>
    <row r="294" customFormat="false" ht="15" hidden="false" customHeight="false" outlineLevel="0" collapsed="false">
      <c r="A294" s="32"/>
      <c r="B294" s="33"/>
      <c r="C294" s="33"/>
      <c r="D294" s="34"/>
      <c r="E294" s="35"/>
      <c r="F294" s="35"/>
      <c r="G294" s="36" t="str">
        <f aca="false">IF(OR(NOT(AND(ISNUMBER(E294),ISNUMBER(F294))),$J$2=""),"",IF(Reprogramaciones!K$9&lt;E294,0,IF(NETWORKDAYS.INTL(E294,F294,11)=0,IF(Reprogramaciones!K$9&gt;=F294,100,0),ROUND(NETWORKDAYS.INTL(E294,MIN(F294,Reprogramaciones!K$9),11)/NETWORKDAYS.INTL(E294,F294,11)*100,1)))-0)</f>
        <v/>
      </c>
      <c r="H294" s="36" t="str">
        <f aca="false">IF(OR(NOT(AND(ISNUMBER(E294),ISNUMBER(F294))),$J$2=""),"",IF(Reprogramaciones!L$9&lt;E294,0,IF(NETWORKDAYS.INTL(E294,F294,11)=0,IF(Reprogramaciones!L$9&gt;=F294,100,0),ROUND(NETWORKDAYS.INTL(E294,MIN(F294,Reprogramaciones!L$9),11)/NETWORKDAYS.INTL(E294,F294,11)*100,1)))-IF(Reprogramaciones!K$9&lt;E294,0,IF(NETWORKDAYS.INTL(E294,F294,11)=0,IF(Reprogramaciones!K$9&gt;=F294,100,0),ROUND(NETWORKDAYS.INTL(E294,MIN(F294,Reprogramaciones!K$9),11)/NETWORKDAYS.INTL(E294,F294,11)*100,1))))</f>
        <v/>
      </c>
      <c r="I294" s="36" t="str">
        <f aca="false">IF(OR(NOT(AND(ISNUMBER(E294),ISNUMBER(F294))),$J$2=""),"",IF(Reprogramaciones!M$9&lt;E294,0,IF(NETWORKDAYS.INTL(E294,F294,11)=0,IF(Reprogramaciones!M$9&gt;=F294,100,0),ROUND(NETWORKDAYS.INTL(E294,MIN(F294,Reprogramaciones!M$9),11)/NETWORKDAYS.INTL(E294,F294,11)*100,1)))-IF(Reprogramaciones!L$9&lt;E294,0,IF(NETWORKDAYS.INTL(E294,F294,11)=0,IF(Reprogramaciones!L$9&gt;=F294,100,0),ROUND(NETWORKDAYS.INTL(E294,MIN(F294,Reprogramaciones!L$9),11)/NETWORKDAYS.INTL(E294,F294,11)*100,1))))</f>
        <v/>
      </c>
      <c r="J294" s="36" t="str">
        <f aca="false">IF(OR(NOT(AND(ISNUMBER(E294),ISNUMBER(F294))),$J$2=""),"",IF(Reprogramaciones!N$9&lt;E294,0,IF(NETWORKDAYS.INTL(E294,F294,11)=0,IF(Reprogramaciones!N$9&gt;=F294,100,0),ROUND(NETWORKDAYS.INTL(E294,MIN(F294,Reprogramaciones!N$9),11)/NETWORKDAYS.INTL(E294,F294,11)*100,1)))-IF(Reprogramaciones!M$9&lt;E294,0,IF(NETWORKDAYS.INTL(E294,F294,11)=0,IF(Reprogramaciones!M$9&gt;=F294,100,0),ROUND(NETWORKDAYS.INTL(E294,MIN(F294,Reprogramaciones!M$9),11)/NETWORKDAYS.INTL(E294,F294,11)*100,1))))</f>
        <v/>
      </c>
      <c r="K294" s="36" t="str">
        <f aca="false">IF(OR(NOT(AND(ISNUMBER(E294),ISNUMBER(F294))),$J$2=""),"",IF(Reprogramaciones!O$9&lt;E294,0,IF(NETWORKDAYS.INTL(E294,F294,11)=0,IF(Reprogramaciones!O$9&gt;=F294,100,0),ROUND(NETWORKDAYS.INTL(E294,MIN(F294,Reprogramaciones!O$9),11)/NETWORKDAYS.INTL(E294,F294,11)*100,1)))-IF(Reprogramaciones!N$9&lt;E294,0,IF(NETWORKDAYS.INTL(E294,F294,11)=0,IF(Reprogramaciones!N$9&gt;=F294,100,0),ROUND(NETWORKDAYS.INTL(E294,MIN(F294,Reprogramaciones!N$9),11)/NETWORKDAYS.INTL(E294,F294,11)*100,1))))</f>
        <v/>
      </c>
      <c r="L294" s="36" t="str">
        <f aca="false">IF(OR(NOT(AND(ISNUMBER(E294),ISNUMBER(F294))),$J$2=""),"",IF(Reprogramaciones!P$9&lt;E294,0,IF(NETWORKDAYS.INTL(E294,F294,11)=0,IF(Reprogramaciones!P$9&gt;=F294,100,0),ROUND(NETWORKDAYS.INTL(E294,MIN(F294,Reprogramaciones!P$9),11)/NETWORKDAYS.INTL(E294,F294,11)*100,1)))-IF(Reprogramaciones!O$9&lt;E294,0,IF(NETWORKDAYS.INTL(E294,F294,11)=0,IF(Reprogramaciones!O$9&gt;=F294,100,0),ROUND(NETWORKDAYS.INTL(E294,MIN(F294,Reprogramaciones!O$9),11)/NETWORKDAYS.INTL(E294,F294,11)*100,1))))</f>
        <v/>
      </c>
      <c r="M294" s="36" t="str">
        <f aca="false">IF(OR(NOT(AND(ISNUMBER(E294),ISNUMBER(F294))),$J$2=""),"",IF(Reprogramaciones!Q$9&lt;E294,0,IF(NETWORKDAYS.INTL(E294,F294,11)=0,IF(Reprogramaciones!Q$9&gt;=F294,100,0),ROUND(NETWORKDAYS.INTL(E294,MIN(F294,Reprogramaciones!Q$9),11)/NETWORKDAYS.INTL(E294,F294,11)*100,1)))-IF(Reprogramaciones!P$9&lt;E294,0,IF(NETWORKDAYS.INTL(E294,F294,11)=0,IF(Reprogramaciones!P$9&gt;=F294,100,0),ROUND(NETWORKDAYS.INTL(E294,MIN(F294,Reprogramaciones!P$9),11)/NETWORKDAYS.INTL(E294,F294,11)*100,1))))</f>
        <v/>
      </c>
      <c r="N294" s="36" t="str">
        <f aca="false">IF(OR(NOT(AND(ISNUMBER(E294),ISNUMBER(F294))),$J$2=""),"",IF(Reprogramaciones!R$9&lt;E294,0,IF(NETWORKDAYS.INTL(E294,F294,11)=0,IF(Reprogramaciones!R$9&gt;=F294,100,0),ROUND(NETWORKDAYS.INTL(E294,MIN(F294,Reprogramaciones!R$9),11)/NETWORKDAYS.INTL(E294,F294,11)*100,1)))-IF(Reprogramaciones!Q$9&lt;E294,0,IF(NETWORKDAYS.INTL(E294,F294,11)=0,IF(Reprogramaciones!Q$9&gt;=F294,100,0),ROUND(NETWORKDAYS.INTL(E294,MIN(F294,Reprogramaciones!Q$9),11)/NETWORKDAYS.INTL(E294,F294,11)*100,1))))</f>
        <v/>
      </c>
      <c r="O294" s="36" t="str">
        <f aca="false">IF(OR(NOT(AND(ISNUMBER(E294),ISNUMBER(F294))),$J$2=""),"",IF(Reprogramaciones!S$9&lt;E294,0,IF(NETWORKDAYS.INTL(E294,F294,11)=0,IF(Reprogramaciones!S$9&gt;=F294,100,0),ROUND(NETWORKDAYS.INTL(E294,MIN(F294,Reprogramaciones!S$9),11)/NETWORKDAYS.INTL(E294,F294,11)*100,1)))-IF(Reprogramaciones!R$9&lt;E294,0,IF(NETWORKDAYS.INTL(E294,F294,11)=0,IF(Reprogramaciones!R$9&gt;=F294,100,0),ROUND(NETWORKDAYS.INTL(E294,MIN(F294,Reprogramaciones!R$9),11)/NETWORKDAYS.INTL(E294,F294,11)*100,1))))</f>
        <v/>
      </c>
      <c r="P294" s="36" t="str">
        <f aca="false">IF(OR(NOT(AND(ISNUMBER(E294),ISNUMBER(F294))),$J$2=""),"",IF(Reprogramaciones!T$9&lt;E294,0,IF(NETWORKDAYS.INTL(E294,F294,11)=0,IF(Reprogramaciones!T$9&gt;=F294,100,0),ROUND(NETWORKDAYS.INTL(E294,MIN(F294,Reprogramaciones!T$9),11)/NETWORKDAYS.INTL(E294,F294,11)*100,1)))-IF(Reprogramaciones!S$9&lt;E294,0,IF(NETWORKDAYS.INTL(E294,F294,11)=0,IF(Reprogramaciones!S$9&gt;=F294,100,0),ROUND(NETWORKDAYS.INTL(E294,MIN(F294,Reprogramaciones!S$9),11)/NETWORKDAYS.INTL(E294,F294,11)*100,1))))</f>
        <v/>
      </c>
      <c r="Q294" s="37"/>
      <c r="R294" s="37"/>
      <c r="S294" s="37"/>
      <c r="T294" s="37"/>
      <c r="U294" s="37"/>
      <c r="V294" s="37"/>
      <c r="W294" s="37"/>
      <c r="X294" s="37"/>
      <c r="Y294" s="37"/>
      <c r="Z294" s="37"/>
      <c r="AA294" s="37"/>
      <c r="AB294" s="37"/>
      <c r="AC294" s="37"/>
      <c r="AD294" s="37"/>
      <c r="AE294" s="37"/>
      <c r="AF294" s="37"/>
      <c r="AG294" s="38" t="str">
        <f aca="false">IF(AND(ISNUMBER(E294),ISNUMBER(F294)),NETWORKDAYS.INTL(E294,F294,11),"")</f>
        <v/>
      </c>
      <c r="AH294" s="38" t="str">
        <f aca="false">IF(OR(NOT(AND(ISNUMBER(E294),ISNUMBER(F294))),$J$2=""),"",IF(Reprogramaciones!$P$15&lt;Reprogramaciones!$T$15,0,IF(Reprogramaciones!$R$15&gt;10,MIN(100,SUM($G294:$P294)),MIN(100,SUMPRODUCT((COLUMN($G294:$P294)-COLUMN($G294)+1&lt;Reprogramaciones!$R$15)*$G294:$P294)+N(INDEX($G294:$P294,1,Reprogramaciones!$R$15))*IF(Reprogramaciones!$P$15&gt;=(Reprogramaciones!$T$15+7*(Reprogramaciones!$R$15-1))+6,1,IF(MAX(0,NETWORKDAYS.INTL(MAX(E294,(Reprogramaciones!$T$15+7*(Reprogramaciones!$R$15-1))),MIN(F294,(Reprogramaciones!$T$15+7*(Reprogramaciones!$R$15-1))+6),11))=0,0,MAX(0,NETWORKDAYS.INTL(MAX(E294,(Reprogramaciones!$T$15+7*(Reprogramaciones!$R$15-1))),MIN(F294,Reprogramaciones!$P$15),11))/MAX(0,NETWORKDAYS.INTL(MAX(E294,(Reprogramaciones!$T$15+7*(Reprogramaciones!$R$15-1))),MIN(F294,(Reprogramaciones!$T$15+7*(Reprogramaciones!$R$15-1))+6),11))))))))</f>
        <v/>
      </c>
      <c r="AI294" s="38" t="str">
        <f aca="false">IF(COUNT($Q294:$AF294)=0,"",IF(ROUND(SUM($Q294:$AF294),1)&gt;=99.5,100,MIN(100,ROUND(SUM($Q294:$AF294),1))))</f>
        <v/>
      </c>
      <c r="AJ294" s="38" t="str">
        <f aca="false">IF(OR(AH294="",AI294=""),"",AI294-AH294)</f>
        <v/>
      </c>
      <c r="AK294" s="39" t="str">
        <f aca="true">IF(AH294="","",IF(OR(Ficha!$C$10="Suspendida",Ficha!$C$10="Cancelada"),Ficha!$C$10,IF(AND(AI294&lt;&gt;"",N(AI294)&gt;=100),"Completada",IF(AND(E294&gt;TODAY(),N(AI294)=0),"Por iniciar",IF(N(AI294)+0.5&lt;AH294,"Retrasada",IF(N(AI294)+0.5&lt;DA294,IF(Reprogramaciones!$K$15&gt;0,"Al día · Sem "&amp;Reprogramaciones!$K$15&amp;" en curso","Al día · en curso"),"A tiempo"))))))</f>
        <v/>
      </c>
      <c r="AL294" s="39" t="str">
        <f aca="true">IF(AND(A294="",AND(B294="",C294="",E294="",F294="",COUNT(Q294:AF294)=0)),"",IF(AND(B294="",C294="",E294="",F294="",COUNT(Q294:AF294)=0),"Falta la partida o subpartida",IF(AND(A294&lt;&gt;"",COUNTIF($A$6:$A$305,A294)&gt;1),"Ítem repetido",IF(AND(C294="",E294="",F294="",COUNT(Q294:AF294)=0),"Título de partida",IF(OR(E294="",F294=""),"Faltan fechas",IF(OR(ISTEXT(E294),ISTEXT(F294)),"Fecha escrita como texto: usa dd/mm/aaaa",IF(F294&lt;E294,"Fin antes del inicio",IF(IF($J$2="",FALSE(),OR(E294&lt;$J$2,F294&gt;Reprogramaciones!$T$15+69)),"Fuera de las 10 semanas",IF(ABS(SUM(G294:P294)-100)&gt;0.5,"La meta no suma 100%",IF(ROUND(SUM(Q294:AF294),1)&gt;100.5,"El avance pasa de 100%",IF(MIN(Q294:AF294)&lt;0,"Avance negativo",IF(COUNTA(Q294:AF294)&gt;COUNT(Q294:AF294),"Avance escrito como texto",IF(SUMPRODUCT((Q294:AF294&gt;0)*(Q294:AF294&lt;1))&gt;0,"Avance menor a 1: escribe 50, no 50%",IF(SUMPRODUCT(ISNUMBER(Q294:AF294)*(Reprogramaciones!$K$8:$Z$8&gt;TODAY()))&gt;0,"Avance en semana que aún no llega",IF(AND(N(Reprogramaciones!$E$21)&gt;0,F294&gt;Reprogramaciones!$E$21),"Pasa el fin de la obra: registra una reprogramación",IF(AND(N(Reprogramaciones!$E$21)&gt;0,SUMPRODUCT(ISNUMBER(Q294:AF294)*(Reprogramaciones!$K$8:$Z$8&gt;Reprogramaciones!$E$21))&gt;0),"Avance después del fin de la obra: registra una reprogramación por atraso","OK"))))))))))))))))</f>
        <v/>
      </c>
      <c r="AM294" s="40" t="str">
        <f aca="false">IF(OR(OR(NOT(AND(ISNUMBER(E294),ISNUMBER(F294))),$J$2=""),1&gt;MAX(1,Reprogramaciones!$U$15)),"",IF(Reprogramaciones!K$12&gt;=7,"",IF(OR(BT294-N(0)&gt;0.05,N(Q294)&gt;0),ROUNDDOWN(ROUND(BT294,6),0)&amp;"%"&amp;IF(CJ294="",""," / "&amp;CJ294&amp;"%"),IF(AND(N(0)&gt;=99.95,CJ294&lt;&gt;"",N(CJ294)&lt;100),"Pend. "&amp;CJ294&amp;"%",""))))</f>
        <v/>
      </c>
      <c r="AN294" s="40" t="str">
        <f aca="false">IF(OR(OR(NOT(AND(ISNUMBER(E294),ISNUMBER(F294))),$J$2=""),2&gt;MAX(1,Reprogramaciones!$U$15)),"",IF(Reprogramaciones!L$12&gt;=7,"",IF(OR(BU294-N(BT294)&gt;0.05,N(R294)&gt;0),ROUNDDOWN(ROUND(BU294,6),0)&amp;"%"&amp;IF(CK294="",""," / "&amp;CK294&amp;"%"),IF(AND(N(BT294)&gt;=99.95,CK294&lt;&gt;"",N(CK294)&lt;100),"Pend. "&amp;CK294&amp;"%",""))))</f>
        <v/>
      </c>
      <c r="AO294" s="40" t="str">
        <f aca="false">IF(OR(OR(NOT(AND(ISNUMBER(E294),ISNUMBER(F294))),$J$2=""),3&gt;MAX(1,Reprogramaciones!$U$15)),"",IF(Reprogramaciones!M$12&gt;=7,"",IF(OR(BV294-N(BU294)&gt;0.05,N(S294)&gt;0),ROUNDDOWN(ROUND(BV294,6),0)&amp;"%"&amp;IF(CL294="",""," / "&amp;CL294&amp;"%"),IF(AND(N(BU294)&gt;=99.95,CL294&lt;&gt;"",N(CL294)&lt;100),"Pend. "&amp;CL294&amp;"%",""))))</f>
        <v/>
      </c>
      <c r="AP294" s="40" t="str">
        <f aca="false">IF(OR(OR(NOT(AND(ISNUMBER(E294),ISNUMBER(F294))),$J$2=""),4&gt;MAX(1,Reprogramaciones!$U$15)),"",IF(Reprogramaciones!N$12&gt;=7,"",IF(OR(BW294-N(BV294)&gt;0.05,N(T294)&gt;0),ROUNDDOWN(ROUND(BW294,6),0)&amp;"%"&amp;IF(CM294="",""," / "&amp;CM294&amp;"%"),IF(AND(N(BV294)&gt;=99.95,CM294&lt;&gt;"",N(CM294)&lt;100),"Pend. "&amp;CM294&amp;"%",""))))</f>
        <v/>
      </c>
      <c r="AQ294" s="40" t="str">
        <f aca="false">IF(OR(OR(NOT(AND(ISNUMBER(E294),ISNUMBER(F294))),$J$2=""),5&gt;MAX(1,Reprogramaciones!$U$15)),"",IF(Reprogramaciones!O$12&gt;=7,"",IF(OR(BX294-N(BW294)&gt;0.05,N(U294)&gt;0),ROUNDDOWN(ROUND(BX294,6),0)&amp;"%"&amp;IF(CN294="",""," / "&amp;CN294&amp;"%"),IF(AND(N(BW294)&gt;=99.95,CN294&lt;&gt;"",N(CN294)&lt;100),"Pend. "&amp;CN294&amp;"%",""))))</f>
        <v/>
      </c>
      <c r="AR294" s="40" t="str">
        <f aca="false">IF(OR(OR(NOT(AND(ISNUMBER(E294),ISNUMBER(F294))),$J$2=""),6&gt;MAX(1,Reprogramaciones!$U$15)),"",IF(Reprogramaciones!P$12&gt;=7,"",IF(OR(BY294-N(BX294)&gt;0.05,N(V294)&gt;0),ROUNDDOWN(ROUND(BY294,6),0)&amp;"%"&amp;IF(CO294="",""," / "&amp;CO294&amp;"%"),IF(AND(N(BX294)&gt;=99.95,CO294&lt;&gt;"",N(CO294)&lt;100),"Pend. "&amp;CO294&amp;"%",""))))</f>
        <v/>
      </c>
      <c r="AS294" s="40" t="str">
        <f aca="false">IF(OR(OR(NOT(AND(ISNUMBER(E294),ISNUMBER(F294))),$J$2=""),7&gt;MAX(1,Reprogramaciones!$U$15)),"",IF(Reprogramaciones!Q$12&gt;=7,"",IF(OR(BZ294-N(BY294)&gt;0.05,N(W294)&gt;0),ROUNDDOWN(ROUND(BZ294,6),0)&amp;"%"&amp;IF(CP294="",""," / "&amp;CP294&amp;"%"),IF(AND(N(BY294)&gt;=99.95,CP294&lt;&gt;"",N(CP294)&lt;100),"Pend. "&amp;CP294&amp;"%",""))))</f>
        <v/>
      </c>
      <c r="AT294" s="40" t="str">
        <f aca="false">IF(OR(OR(NOT(AND(ISNUMBER(E294),ISNUMBER(F294))),$J$2=""),8&gt;MAX(1,Reprogramaciones!$U$15)),"",IF(Reprogramaciones!R$12&gt;=7,"",IF(OR(CA294-N(BZ294)&gt;0.05,N(X294)&gt;0),ROUNDDOWN(ROUND(CA294,6),0)&amp;"%"&amp;IF(CQ294="",""," / "&amp;CQ294&amp;"%"),IF(AND(N(BZ294)&gt;=99.95,CQ294&lt;&gt;"",N(CQ294)&lt;100),"Pend. "&amp;CQ294&amp;"%",""))))</f>
        <v/>
      </c>
      <c r="AU294" s="40" t="str">
        <f aca="false">IF(OR(OR(NOT(AND(ISNUMBER(E294),ISNUMBER(F294))),$J$2=""),9&gt;MAX(1,Reprogramaciones!$U$15)),"",IF(Reprogramaciones!S$12&gt;=7,"",IF(OR(CB294-N(CA294)&gt;0.05,N(Y294)&gt;0),ROUNDDOWN(ROUND(CB294,6),0)&amp;"%"&amp;IF(CR294="",""," / "&amp;CR294&amp;"%"),IF(AND(N(CA294)&gt;=99.95,CR294&lt;&gt;"",N(CR294)&lt;100),"Pend. "&amp;CR294&amp;"%",""))))</f>
        <v/>
      </c>
      <c r="AV294" s="40" t="str">
        <f aca="false">IF(OR(OR(NOT(AND(ISNUMBER(E294),ISNUMBER(F294))),$J$2=""),10&gt;MAX(1,Reprogramaciones!$U$15)),"",IF(Reprogramaciones!T$12&gt;=7,"",IF(OR(CC294-N(CB294)&gt;0.05,N(Z294)&gt;0),ROUNDDOWN(ROUND(CC294,6),0)&amp;"%"&amp;IF(CS294="",""," / "&amp;CS294&amp;"%"),IF(AND(N(CB294)&gt;=99.95,CS294&lt;&gt;"",N(CS294)&lt;100),"Pend. "&amp;CS294&amp;"%",""))))</f>
        <v/>
      </c>
      <c r="AW294" s="40" t="str">
        <f aca="false">IF(OR(OR(NOT(AND(ISNUMBER(E294),ISNUMBER(F294))),$J$2=""),11&gt;MAX(1,Reprogramaciones!$U$15)),"",IF(Reprogramaciones!U$12&gt;=7,"",IF(OR(CD294-N(CC294)&gt;0.05,N(AA294)&gt;0),ROUNDDOWN(ROUND(CD294,6),0)&amp;"%"&amp;IF(CT294="",""," / "&amp;CT294&amp;"%"),IF(AND(N(CC294)&gt;=99.95,CT294&lt;&gt;"",N(CT294)&lt;100),"Pend. "&amp;CT294&amp;"%",""))))</f>
        <v/>
      </c>
      <c r="AX294" s="40" t="str">
        <f aca="false">IF(OR(OR(NOT(AND(ISNUMBER(E294),ISNUMBER(F294))),$J$2=""),12&gt;MAX(1,Reprogramaciones!$U$15)),"",IF(Reprogramaciones!V$12&gt;=7,"",IF(OR(CE294-N(CD294)&gt;0.05,N(AB294)&gt;0),ROUNDDOWN(ROUND(CE294,6),0)&amp;"%"&amp;IF(CU294="",""," / "&amp;CU294&amp;"%"),IF(AND(N(CD294)&gt;=99.95,CU294&lt;&gt;"",N(CU294)&lt;100),"Pend. "&amp;CU294&amp;"%",""))))</f>
        <v/>
      </c>
      <c r="AY294" s="40" t="str">
        <f aca="false">IF(OR(OR(NOT(AND(ISNUMBER(E294),ISNUMBER(F294))),$J$2=""),13&gt;MAX(1,Reprogramaciones!$U$15)),"",IF(Reprogramaciones!W$12&gt;=7,"",IF(OR(CF294-N(CE294)&gt;0.05,N(AC294)&gt;0),ROUNDDOWN(ROUND(CF294,6),0)&amp;"%"&amp;IF(CV294="",""," / "&amp;CV294&amp;"%"),IF(AND(N(CE294)&gt;=99.95,CV294&lt;&gt;"",N(CV294)&lt;100),"Pend. "&amp;CV294&amp;"%",""))))</f>
        <v/>
      </c>
      <c r="AZ294" s="40" t="str">
        <f aca="false">IF(OR(OR(NOT(AND(ISNUMBER(E294),ISNUMBER(F294))),$J$2=""),14&gt;MAX(1,Reprogramaciones!$U$15)),"",IF(Reprogramaciones!X$12&gt;=7,"",IF(OR(CG294-N(CF294)&gt;0.05,N(AD294)&gt;0),ROUNDDOWN(ROUND(CG294,6),0)&amp;"%"&amp;IF(CW294="",""," / "&amp;CW294&amp;"%"),IF(AND(N(CF294)&gt;=99.95,CW294&lt;&gt;"",N(CW294)&lt;100),"Pend. "&amp;CW294&amp;"%",""))))</f>
        <v/>
      </c>
      <c r="BA294" s="40" t="str">
        <f aca="false">IF(OR(OR(NOT(AND(ISNUMBER(E294),ISNUMBER(F294))),$J$2=""),15&gt;MAX(1,Reprogramaciones!$U$15)),"",IF(Reprogramaciones!Y$12&gt;=7,"",IF(OR(CH294-N(CG294)&gt;0.05,N(AE294)&gt;0),ROUNDDOWN(ROUND(CH294,6),0)&amp;"%"&amp;IF(CX294="",""," / "&amp;CX294&amp;"%"),IF(AND(N(CG294)&gt;=99.95,CX294&lt;&gt;"",N(CX294)&lt;100),"Pend. "&amp;CX294&amp;"%",""))))</f>
        <v/>
      </c>
      <c r="BB294" s="40" t="str">
        <f aca="false">IF(OR(OR(NOT(AND(ISNUMBER(E294),ISNUMBER(F294))),$J$2=""),16&gt;MAX(1,Reprogramaciones!$U$15)),"",IF(Reprogramaciones!Z$12&gt;=7,"",IF(OR(CI294-N(CH294)&gt;0.05,N(AF294)&gt;0),ROUNDDOWN(ROUND(CI294,6),0)&amp;"%"&amp;IF(CY294="",""," / "&amp;CY294&amp;"%"),IF(AND(N(CH294)&gt;=99.95,CY294&lt;&gt;"",N(CY294)&lt;100),"Pend. "&amp;CY294&amp;"%",""))))</f>
        <v/>
      </c>
      <c r="BC294" s="31" t="n">
        <f aca="false">IF(AND(ISNUMBER(E294),ISNUMBER(F294)),MAX(1,NETWORKDAYS.INTL(E294,F294,11)),0)</f>
        <v>0</v>
      </c>
      <c r="BD294" s="1" t="str">
        <f aca="false">IF(OR(NOT(AND(ISNUMBER(E294),ISNUMBER(F294))),$J$2=""),"",MIN(100,ROUND(SUM($G294:G294),1)))</f>
        <v/>
      </c>
      <c r="BE294" s="1" t="str">
        <f aca="false">IF(OR(NOT(AND(ISNUMBER(E294),ISNUMBER(F294))),$J$2=""),"",MIN(100,ROUND(SUM($G294:H294),1)))</f>
        <v/>
      </c>
      <c r="BF294" s="1" t="str">
        <f aca="false">IF(OR(NOT(AND(ISNUMBER(E294),ISNUMBER(F294))),$J$2=""),"",MIN(100,ROUND(SUM($G294:I294),1)))</f>
        <v/>
      </c>
      <c r="BG294" s="1" t="str">
        <f aca="false">IF(OR(NOT(AND(ISNUMBER(E294),ISNUMBER(F294))),$J$2=""),"",MIN(100,ROUND(SUM($G294:J294),1)))</f>
        <v/>
      </c>
      <c r="BH294" s="1" t="str">
        <f aca="false">IF(OR(NOT(AND(ISNUMBER(E294),ISNUMBER(F294))),$J$2=""),"",MIN(100,ROUND(SUM($G294:K294),1)))</f>
        <v/>
      </c>
      <c r="BI294" s="1" t="str">
        <f aca="false">IF(OR(NOT(AND(ISNUMBER(E294),ISNUMBER(F294))),$J$2=""),"",MIN(100,ROUND(SUM($G294:L294),1)))</f>
        <v/>
      </c>
      <c r="BJ294" s="1" t="str">
        <f aca="false">IF(OR(NOT(AND(ISNUMBER(E294),ISNUMBER(F294))),$J$2=""),"",MIN(100,ROUND(SUM($G294:M294),1)))</f>
        <v/>
      </c>
      <c r="BK294" s="1" t="str">
        <f aca="false">IF(OR(NOT(AND(ISNUMBER(E294),ISNUMBER(F294))),$J$2=""),"",MIN(100,ROUND(SUM($G294:N294),1)))</f>
        <v/>
      </c>
      <c r="BL294" s="1" t="str">
        <f aca="false">IF(OR(NOT(AND(ISNUMBER(E294),ISNUMBER(F294))),$J$2=""),"",MIN(100,ROUND(SUM($G294:O294),1)))</f>
        <v/>
      </c>
      <c r="BM294" s="1" t="str">
        <f aca="false">IF(OR(NOT(AND(ISNUMBER(E294),ISNUMBER(F294))),$J$2=""),"",MIN(100,ROUND(SUM($G294:P294),1)))</f>
        <v/>
      </c>
      <c r="BN294" s="1" t="str">
        <f aca="false">IF(OR(NOT(AND(ISNUMBER(E294),ISNUMBER(F294))),$J$2=""),"",MIN(100,ROUND(SUM($G294:P294),1)))</f>
        <v/>
      </c>
      <c r="BO294" s="1" t="str">
        <f aca="false">IF(OR(NOT(AND(ISNUMBER(E294),ISNUMBER(F294))),$J$2=""),"",MIN(100,ROUND(SUM($G294:P294),1)))</f>
        <v/>
      </c>
      <c r="BP294" s="1" t="str">
        <f aca="false">IF(OR(NOT(AND(ISNUMBER(E294),ISNUMBER(F294))),$J$2=""),"",MIN(100,ROUND(SUM($G294:P294),1)))</f>
        <v/>
      </c>
      <c r="BQ294" s="1" t="str">
        <f aca="false">IF(OR(NOT(AND(ISNUMBER(E294),ISNUMBER(F294))),$J$2=""),"",MIN(100,ROUND(SUM($G294:P294),1)))</f>
        <v/>
      </c>
      <c r="BR294" s="1" t="str">
        <f aca="false">IF(OR(NOT(AND(ISNUMBER(E294),ISNUMBER(F294))),$J$2=""),"",MIN(100,ROUND(SUM($G294:P294),1)))</f>
        <v/>
      </c>
      <c r="BS294" s="1" t="str">
        <f aca="false">IF(OR(NOT(AND(ISNUMBER(E294),ISNUMBER(F294))),$J$2=""),"",MIN(100,ROUND(SUM($G294:P294),1)))</f>
        <v/>
      </c>
      <c r="BT294" s="1" t="str">
        <f aca="false">IF(OR(NOT(AND(ISNUMBER(E294),ISNUMBER(F294))),$J$2=""),"",IF(Reprogramaciones!K$13&lt;Reprogramaciones!$T$15,0,IF(Reprogramaciones!K$14&gt;10,MIN(100,SUM($G294:$P294)),MIN(100,SUMPRODUCT((COLUMN($G294:$P294)-COLUMN($G294)+1&lt;Reprogramaciones!K$14)*$G294:$P294)+N(INDEX($G294:$P294,1,Reprogramaciones!K$14))*IF(Reprogramaciones!K$13&gt;=(Reprogramaciones!$T$15+7*(Reprogramaciones!K$14-1))+6,1,IF(MAX(0,NETWORKDAYS.INTL(MAX(E294,(Reprogramaciones!$T$15+7*(Reprogramaciones!K$14-1))),MIN(F294,(Reprogramaciones!$T$15+7*(Reprogramaciones!K$14-1))+6),11))=0,0,MAX(0,NETWORKDAYS.INTL(MAX(E294,(Reprogramaciones!$T$15+7*(Reprogramaciones!K$14-1))),MIN(F294,Reprogramaciones!K$13),11))/MAX(0,NETWORKDAYS.INTL(MAX(E294,(Reprogramaciones!$T$15+7*(Reprogramaciones!K$14-1))),MIN(F294,(Reprogramaciones!$T$15+7*(Reprogramaciones!K$14-1))+6),11))))))))</f>
        <v/>
      </c>
      <c r="BU294" s="1" t="str">
        <f aca="false">IF(OR(NOT(AND(ISNUMBER(E294),ISNUMBER(F294))),$J$2=""),"",IF(Reprogramaciones!L$13&lt;Reprogramaciones!$T$15,0,IF(Reprogramaciones!L$14&gt;10,MIN(100,SUM($G294:$P294)),MIN(100,SUMPRODUCT((COLUMN($G294:$P294)-COLUMN($G294)+1&lt;Reprogramaciones!L$14)*$G294:$P294)+N(INDEX($G294:$P294,1,Reprogramaciones!L$14))*IF(Reprogramaciones!L$13&gt;=(Reprogramaciones!$T$15+7*(Reprogramaciones!L$14-1))+6,1,IF(MAX(0,NETWORKDAYS.INTL(MAX(E294,(Reprogramaciones!$T$15+7*(Reprogramaciones!L$14-1))),MIN(F294,(Reprogramaciones!$T$15+7*(Reprogramaciones!L$14-1))+6),11))=0,0,MAX(0,NETWORKDAYS.INTL(MAX(E294,(Reprogramaciones!$T$15+7*(Reprogramaciones!L$14-1))),MIN(F294,Reprogramaciones!L$13),11))/MAX(0,NETWORKDAYS.INTL(MAX(E294,(Reprogramaciones!$T$15+7*(Reprogramaciones!L$14-1))),MIN(F294,(Reprogramaciones!$T$15+7*(Reprogramaciones!L$14-1))+6),11))))))))</f>
        <v/>
      </c>
      <c r="BV294" s="1" t="str">
        <f aca="false">IF(OR(NOT(AND(ISNUMBER(E294),ISNUMBER(F294))),$J$2=""),"",IF(Reprogramaciones!M$13&lt;Reprogramaciones!$T$15,0,IF(Reprogramaciones!M$14&gt;10,MIN(100,SUM($G294:$P294)),MIN(100,SUMPRODUCT((COLUMN($G294:$P294)-COLUMN($G294)+1&lt;Reprogramaciones!M$14)*$G294:$P294)+N(INDEX($G294:$P294,1,Reprogramaciones!M$14))*IF(Reprogramaciones!M$13&gt;=(Reprogramaciones!$T$15+7*(Reprogramaciones!M$14-1))+6,1,IF(MAX(0,NETWORKDAYS.INTL(MAX(E294,(Reprogramaciones!$T$15+7*(Reprogramaciones!M$14-1))),MIN(F294,(Reprogramaciones!$T$15+7*(Reprogramaciones!M$14-1))+6),11))=0,0,MAX(0,NETWORKDAYS.INTL(MAX(E294,(Reprogramaciones!$T$15+7*(Reprogramaciones!M$14-1))),MIN(F294,Reprogramaciones!M$13),11))/MAX(0,NETWORKDAYS.INTL(MAX(E294,(Reprogramaciones!$T$15+7*(Reprogramaciones!M$14-1))),MIN(F294,(Reprogramaciones!$T$15+7*(Reprogramaciones!M$14-1))+6),11))))))))</f>
        <v/>
      </c>
      <c r="BW294" s="1" t="str">
        <f aca="false">IF(OR(NOT(AND(ISNUMBER(E294),ISNUMBER(F294))),$J$2=""),"",IF(Reprogramaciones!N$13&lt;Reprogramaciones!$T$15,0,IF(Reprogramaciones!N$14&gt;10,MIN(100,SUM($G294:$P294)),MIN(100,SUMPRODUCT((COLUMN($G294:$P294)-COLUMN($G294)+1&lt;Reprogramaciones!N$14)*$G294:$P294)+N(INDEX($G294:$P294,1,Reprogramaciones!N$14))*IF(Reprogramaciones!N$13&gt;=(Reprogramaciones!$T$15+7*(Reprogramaciones!N$14-1))+6,1,IF(MAX(0,NETWORKDAYS.INTL(MAX(E294,(Reprogramaciones!$T$15+7*(Reprogramaciones!N$14-1))),MIN(F294,(Reprogramaciones!$T$15+7*(Reprogramaciones!N$14-1))+6),11))=0,0,MAX(0,NETWORKDAYS.INTL(MAX(E294,(Reprogramaciones!$T$15+7*(Reprogramaciones!N$14-1))),MIN(F294,Reprogramaciones!N$13),11))/MAX(0,NETWORKDAYS.INTL(MAX(E294,(Reprogramaciones!$T$15+7*(Reprogramaciones!N$14-1))),MIN(F294,(Reprogramaciones!$T$15+7*(Reprogramaciones!N$14-1))+6),11))))))))</f>
        <v/>
      </c>
      <c r="BX294" s="1" t="str">
        <f aca="false">IF(OR(NOT(AND(ISNUMBER(E294),ISNUMBER(F294))),$J$2=""),"",IF(Reprogramaciones!O$13&lt;Reprogramaciones!$T$15,0,IF(Reprogramaciones!O$14&gt;10,MIN(100,SUM($G294:$P294)),MIN(100,SUMPRODUCT((COLUMN($G294:$P294)-COLUMN($G294)+1&lt;Reprogramaciones!O$14)*$G294:$P294)+N(INDEX($G294:$P294,1,Reprogramaciones!O$14))*IF(Reprogramaciones!O$13&gt;=(Reprogramaciones!$T$15+7*(Reprogramaciones!O$14-1))+6,1,IF(MAX(0,NETWORKDAYS.INTL(MAX(E294,(Reprogramaciones!$T$15+7*(Reprogramaciones!O$14-1))),MIN(F294,(Reprogramaciones!$T$15+7*(Reprogramaciones!O$14-1))+6),11))=0,0,MAX(0,NETWORKDAYS.INTL(MAX(E294,(Reprogramaciones!$T$15+7*(Reprogramaciones!O$14-1))),MIN(F294,Reprogramaciones!O$13),11))/MAX(0,NETWORKDAYS.INTL(MAX(E294,(Reprogramaciones!$T$15+7*(Reprogramaciones!O$14-1))),MIN(F294,(Reprogramaciones!$T$15+7*(Reprogramaciones!O$14-1))+6),11))))))))</f>
        <v/>
      </c>
      <c r="BY294" s="1" t="str">
        <f aca="false">IF(OR(NOT(AND(ISNUMBER(E294),ISNUMBER(F294))),$J$2=""),"",IF(Reprogramaciones!P$13&lt;Reprogramaciones!$T$15,0,IF(Reprogramaciones!P$14&gt;10,MIN(100,SUM($G294:$P294)),MIN(100,SUMPRODUCT((COLUMN($G294:$P294)-COLUMN($G294)+1&lt;Reprogramaciones!P$14)*$G294:$P294)+N(INDEX($G294:$P294,1,Reprogramaciones!P$14))*IF(Reprogramaciones!P$13&gt;=(Reprogramaciones!$T$15+7*(Reprogramaciones!P$14-1))+6,1,IF(MAX(0,NETWORKDAYS.INTL(MAX(E294,(Reprogramaciones!$T$15+7*(Reprogramaciones!P$14-1))),MIN(F294,(Reprogramaciones!$T$15+7*(Reprogramaciones!P$14-1))+6),11))=0,0,MAX(0,NETWORKDAYS.INTL(MAX(E294,(Reprogramaciones!$T$15+7*(Reprogramaciones!P$14-1))),MIN(F294,Reprogramaciones!P$13),11))/MAX(0,NETWORKDAYS.INTL(MAX(E294,(Reprogramaciones!$T$15+7*(Reprogramaciones!P$14-1))),MIN(F294,(Reprogramaciones!$T$15+7*(Reprogramaciones!P$14-1))+6),11))))))))</f>
        <v/>
      </c>
      <c r="BZ294" s="1" t="str">
        <f aca="false">IF(OR(NOT(AND(ISNUMBER(E294),ISNUMBER(F294))),$J$2=""),"",IF(Reprogramaciones!Q$13&lt;Reprogramaciones!$T$15,0,IF(Reprogramaciones!Q$14&gt;10,MIN(100,SUM($G294:$P294)),MIN(100,SUMPRODUCT((COLUMN($G294:$P294)-COLUMN($G294)+1&lt;Reprogramaciones!Q$14)*$G294:$P294)+N(INDEX($G294:$P294,1,Reprogramaciones!Q$14))*IF(Reprogramaciones!Q$13&gt;=(Reprogramaciones!$T$15+7*(Reprogramaciones!Q$14-1))+6,1,IF(MAX(0,NETWORKDAYS.INTL(MAX(E294,(Reprogramaciones!$T$15+7*(Reprogramaciones!Q$14-1))),MIN(F294,(Reprogramaciones!$T$15+7*(Reprogramaciones!Q$14-1))+6),11))=0,0,MAX(0,NETWORKDAYS.INTL(MAX(E294,(Reprogramaciones!$T$15+7*(Reprogramaciones!Q$14-1))),MIN(F294,Reprogramaciones!Q$13),11))/MAX(0,NETWORKDAYS.INTL(MAX(E294,(Reprogramaciones!$T$15+7*(Reprogramaciones!Q$14-1))),MIN(F294,(Reprogramaciones!$T$15+7*(Reprogramaciones!Q$14-1))+6),11))))))))</f>
        <v/>
      </c>
      <c r="CA294" s="1" t="str">
        <f aca="false">IF(OR(NOT(AND(ISNUMBER(E294),ISNUMBER(F294))),$J$2=""),"",IF(Reprogramaciones!R$13&lt;Reprogramaciones!$T$15,0,IF(Reprogramaciones!R$14&gt;10,MIN(100,SUM($G294:$P294)),MIN(100,SUMPRODUCT((COLUMN($G294:$P294)-COLUMN($G294)+1&lt;Reprogramaciones!R$14)*$G294:$P294)+N(INDEX($G294:$P294,1,Reprogramaciones!R$14))*IF(Reprogramaciones!R$13&gt;=(Reprogramaciones!$T$15+7*(Reprogramaciones!R$14-1))+6,1,IF(MAX(0,NETWORKDAYS.INTL(MAX(E294,(Reprogramaciones!$T$15+7*(Reprogramaciones!R$14-1))),MIN(F294,(Reprogramaciones!$T$15+7*(Reprogramaciones!R$14-1))+6),11))=0,0,MAX(0,NETWORKDAYS.INTL(MAX(E294,(Reprogramaciones!$T$15+7*(Reprogramaciones!R$14-1))),MIN(F294,Reprogramaciones!R$13),11))/MAX(0,NETWORKDAYS.INTL(MAX(E294,(Reprogramaciones!$T$15+7*(Reprogramaciones!R$14-1))),MIN(F294,(Reprogramaciones!$T$15+7*(Reprogramaciones!R$14-1))+6),11))))))))</f>
        <v/>
      </c>
      <c r="CB294" s="1" t="str">
        <f aca="false">IF(OR(NOT(AND(ISNUMBER(E294),ISNUMBER(F294))),$J$2=""),"",IF(Reprogramaciones!S$13&lt;Reprogramaciones!$T$15,0,IF(Reprogramaciones!S$14&gt;10,MIN(100,SUM($G294:$P294)),MIN(100,SUMPRODUCT((COLUMN($G294:$P294)-COLUMN($G294)+1&lt;Reprogramaciones!S$14)*$G294:$P294)+N(INDEX($G294:$P294,1,Reprogramaciones!S$14))*IF(Reprogramaciones!S$13&gt;=(Reprogramaciones!$T$15+7*(Reprogramaciones!S$14-1))+6,1,IF(MAX(0,NETWORKDAYS.INTL(MAX(E294,(Reprogramaciones!$T$15+7*(Reprogramaciones!S$14-1))),MIN(F294,(Reprogramaciones!$T$15+7*(Reprogramaciones!S$14-1))+6),11))=0,0,MAX(0,NETWORKDAYS.INTL(MAX(E294,(Reprogramaciones!$T$15+7*(Reprogramaciones!S$14-1))),MIN(F294,Reprogramaciones!S$13),11))/MAX(0,NETWORKDAYS.INTL(MAX(E294,(Reprogramaciones!$T$15+7*(Reprogramaciones!S$14-1))),MIN(F294,(Reprogramaciones!$T$15+7*(Reprogramaciones!S$14-1))+6),11))))))))</f>
        <v/>
      </c>
      <c r="CC294" s="1" t="str">
        <f aca="false">IF(OR(NOT(AND(ISNUMBER(E294),ISNUMBER(F294))),$J$2=""),"",IF(Reprogramaciones!T$13&lt;Reprogramaciones!$T$15,0,IF(Reprogramaciones!T$14&gt;10,MIN(100,SUM($G294:$P294)),MIN(100,SUMPRODUCT((COLUMN($G294:$P294)-COLUMN($G294)+1&lt;Reprogramaciones!T$14)*$G294:$P294)+N(INDEX($G294:$P294,1,Reprogramaciones!T$14))*IF(Reprogramaciones!T$13&gt;=(Reprogramaciones!$T$15+7*(Reprogramaciones!T$14-1))+6,1,IF(MAX(0,NETWORKDAYS.INTL(MAX(E294,(Reprogramaciones!$T$15+7*(Reprogramaciones!T$14-1))),MIN(F294,(Reprogramaciones!$T$15+7*(Reprogramaciones!T$14-1))+6),11))=0,0,MAX(0,NETWORKDAYS.INTL(MAX(E294,(Reprogramaciones!$T$15+7*(Reprogramaciones!T$14-1))),MIN(F294,Reprogramaciones!T$13),11))/MAX(0,NETWORKDAYS.INTL(MAX(E294,(Reprogramaciones!$T$15+7*(Reprogramaciones!T$14-1))),MIN(F294,(Reprogramaciones!$T$15+7*(Reprogramaciones!T$14-1))+6),11))))))))</f>
        <v/>
      </c>
      <c r="CD294" s="1" t="str">
        <f aca="false">IF(OR(NOT(AND(ISNUMBER(E294),ISNUMBER(F294))),$J$2=""),"",IF(Reprogramaciones!U$13&lt;Reprogramaciones!$T$15,0,IF(Reprogramaciones!U$14&gt;10,MIN(100,SUM($G294:$P294)),MIN(100,SUMPRODUCT((COLUMN($G294:$P294)-COLUMN($G294)+1&lt;Reprogramaciones!U$14)*$G294:$P294)+N(INDEX($G294:$P294,1,Reprogramaciones!U$14))*IF(Reprogramaciones!U$13&gt;=(Reprogramaciones!$T$15+7*(Reprogramaciones!U$14-1))+6,1,IF(MAX(0,NETWORKDAYS.INTL(MAX(E294,(Reprogramaciones!$T$15+7*(Reprogramaciones!U$14-1))),MIN(F294,(Reprogramaciones!$T$15+7*(Reprogramaciones!U$14-1))+6),11))=0,0,MAX(0,NETWORKDAYS.INTL(MAX(E294,(Reprogramaciones!$T$15+7*(Reprogramaciones!U$14-1))),MIN(F294,Reprogramaciones!U$13),11))/MAX(0,NETWORKDAYS.INTL(MAX(E294,(Reprogramaciones!$T$15+7*(Reprogramaciones!U$14-1))),MIN(F294,(Reprogramaciones!$T$15+7*(Reprogramaciones!U$14-1))+6),11))))))))</f>
        <v/>
      </c>
      <c r="CE294" s="1" t="str">
        <f aca="false">IF(OR(NOT(AND(ISNUMBER(E294),ISNUMBER(F294))),$J$2=""),"",IF(Reprogramaciones!V$13&lt;Reprogramaciones!$T$15,0,IF(Reprogramaciones!V$14&gt;10,MIN(100,SUM($G294:$P294)),MIN(100,SUMPRODUCT((COLUMN($G294:$P294)-COLUMN($G294)+1&lt;Reprogramaciones!V$14)*$G294:$P294)+N(INDEX($G294:$P294,1,Reprogramaciones!V$14))*IF(Reprogramaciones!V$13&gt;=(Reprogramaciones!$T$15+7*(Reprogramaciones!V$14-1))+6,1,IF(MAX(0,NETWORKDAYS.INTL(MAX(E294,(Reprogramaciones!$T$15+7*(Reprogramaciones!V$14-1))),MIN(F294,(Reprogramaciones!$T$15+7*(Reprogramaciones!V$14-1))+6),11))=0,0,MAX(0,NETWORKDAYS.INTL(MAX(E294,(Reprogramaciones!$T$15+7*(Reprogramaciones!V$14-1))),MIN(F294,Reprogramaciones!V$13),11))/MAX(0,NETWORKDAYS.INTL(MAX(E294,(Reprogramaciones!$T$15+7*(Reprogramaciones!V$14-1))),MIN(F294,(Reprogramaciones!$T$15+7*(Reprogramaciones!V$14-1))+6),11))))))))</f>
        <v/>
      </c>
      <c r="CF294" s="1" t="str">
        <f aca="false">IF(OR(NOT(AND(ISNUMBER(E294),ISNUMBER(F294))),$J$2=""),"",IF(Reprogramaciones!W$13&lt;Reprogramaciones!$T$15,0,IF(Reprogramaciones!W$14&gt;10,MIN(100,SUM($G294:$P294)),MIN(100,SUMPRODUCT((COLUMN($G294:$P294)-COLUMN($G294)+1&lt;Reprogramaciones!W$14)*$G294:$P294)+N(INDEX($G294:$P294,1,Reprogramaciones!W$14))*IF(Reprogramaciones!W$13&gt;=(Reprogramaciones!$T$15+7*(Reprogramaciones!W$14-1))+6,1,IF(MAX(0,NETWORKDAYS.INTL(MAX(E294,(Reprogramaciones!$T$15+7*(Reprogramaciones!W$14-1))),MIN(F294,(Reprogramaciones!$T$15+7*(Reprogramaciones!W$14-1))+6),11))=0,0,MAX(0,NETWORKDAYS.INTL(MAX(E294,(Reprogramaciones!$T$15+7*(Reprogramaciones!W$14-1))),MIN(F294,Reprogramaciones!W$13),11))/MAX(0,NETWORKDAYS.INTL(MAX(E294,(Reprogramaciones!$T$15+7*(Reprogramaciones!W$14-1))),MIN(F294,(Reprogramaciones!$T$15+7*(Reprogramaciones!W$14-1))+6),11))))))))</f>
        <v/>
      </c>
      <c r="CG294" s="1" t="str">
        <f aca="false">IF(OR(NOT(AND(ISNUMBER(E294),ISNUMBER(F294))),$J$2=""),"",IF(Reprogramaciones!X$13&lt;Reprogramaciones!$T$15,0,IF(Reprogramaciones!X$14&gt;10,MIN(100,SUM($G294:$P294)),MIN(100,SUMPRODUCT((COLUMN($G294:$P294)-COLUMN($G294)+1&lt;Reprogramaciones!X$14)*$G294:$P294)+N(INDEX($G294:$P294,1,Reprogramaciones!X$14))*IF(Reprogramaciones!X$13&gt;=(Reprogramaciones!$T$15+7*(Reprogramaciones!X$14-1))+6,1,IF(MAX(0,NETWORKDAYS.INTL(MAX(E294,(Reprogramaciones!$T$15+7*(Reprogramaciones!X$14-1))),MIN(F294,(Reprogramaciones!$T$15+7*(Reprogramaciones!X$14-1))+6),11))=0,0,MAX(0,NETWORKDAYS.INTL(MAX(E294,(Reprogramaciones!$T$15+7*(Reprogramaciones!X$14-1))),MIN(F294,Reprogramaciones!X$13),11))/MAX(0,NETWORKDAYS.INTL(MAX(E294,(Reprogramaciones!$T$15+7*(Reprogramaciones!X$14-1))),MIN(F294,(Reprogramaciones!$T$15+7*(Reprogramaciones!X$14-1))+6),11))))))))</f>
        <v/>
      </c>
      <c r="CH294" s="1" t="str">
        <f aca="false">IF(OR(NOT(AND(ISNUMBER(E294),ISNUMBER(F294))),$J$2=""),"",IF(Reprogramaciones!Y$13&lt;Reprogramaciones!$T$15,0,IF(Reprogramaciones!Y$14&gt;10,MIN(100,SUM($G294:$P294)),MIN(100,SUMPRODUCT((COLUMN($G294:$P294)-COLUMN($G294)+1&lt;Reprogramaciones!Y$14)*$G294:$P294)+N(INDEX($G294:$P294,1,Reprogramaciones!Y$14))*IF(Reprogramaciones!Y$13&gt;=(Reprogramaciones!$T$15+7*(Reprogramaciones!Y$14-1))+6,1,IF(MAX(0,NETWORKDAYS.INTL(MAX(E294,(Reprogramaciones!$T$15+7*(Reprogramaciones!Y$14-1))),MIN(F294,(Reprogramaciones!$T$15+7*(Reprogramaciones!Y$14-1))+6),11))=0,0,MAX(0,NETWORKDAYS.INTL(MAX(E294,(Reprogramaciones!$T$15+7*(Reprogramaciones!Y$14-1))),MIN(F294,Reprogramaciones!Y$13),11))/MAX(0,NETWORKDAYS.INTL(MAX(E294,(Reprogramaciones!$T$15+7*(Reprogramaciones!Y$14-1))),MIN(F294,(Reprogramaciones!$T$15+7*(Reprogramaciones!Y$14-1))+6),11))))))))</f>
        <v/>
      </c>
      <c r="CI294" s="1" t="str">
        <f aca="false">IF(OR(NOT(AND(ISNUMBER(E294),ISNUMBER(F294))),$J$2=""),"",IF(Reprogramaciones!Z$13&lt;Reprogramaciones!$T$15,0,IF(Reprogramaciones!Z$14&gt;10,MIN(100,SUM($G294:$P294)),MIN(100,SUMPRODUCT((COLUMN($G294:$P294)-COLUMN($G294)+1&lt;Reprogramaciones!Z$14)*$G294:$P294)+N(INDEX($G294:$P294,1,Reprogramaciones!Z$14))*IF(Reprogramaciones!Z$13&gt;=(Reprogramaciones!$T$15+7*(Reprogramaciones!Z$14-1))+6,1,IF(MAX(0,NETWORKDAYS.INTL(MAX(E294,(Reprogramaciones!$T$15+7*(Reprogramaciones!Z$14-1))),MIN(F294,(Reprogramaciones!$T$15+7*(Reprogramaciones!Z$14-1))+6),11))=0,0,MAX(0,NETWORKDAYS.INTL(MAX(E294,(Reprogramaciones!$T$15+7*(Reprogramaciones!Z$14-1))),MIN(F294,Reprogramaciones!Z$13),11))/MAX(0,NETWORKDAYS.INTL(MAX(E294,(Reprogramaciones!$T$15+7*(Reprogramaciones!Z$14-1))),MIN(F294,(Reprogramaciones!$T$15+7*(Reprogramaciones!Z$14-1))+6),11))))))))</f>
        <v/>
      </c>
      <c r="CJ294" s="1" t="str">
        <f aca="false">IF(OR(OR(NOT(AND(ISNUMBER(E294),ISNUMBER(F294))),$J$2=""),1&gt;Reprogramaciones!$K$16),"",IF(ROUND(SUM($Q294:Q294),1)&gt;=99.5,100,MIN(100,ROUND(SUM($Q294:Q294),1))))</f>
        <v/>
      </c>
      <c r="CK294" s="1" t="str">
        <f aca="false">IF(OR(OR(NOT(AND(ISNUMBER(E294),ISNUMBER(F294))),$J$2=""),2&gt;Reprogramaciones!$K$16),"",IF(ROUND(SUM($Q294:R294),1)&gt;=99.5,100,MIN(100,ROUND(SUM($Q294:R294),1))))</f>
        <v/>
      </c>
      <c r="CL294" s="1" t="str">
        <f aca="false">IF(OR(OR(NOT(AND(ISNUMBER(E294),ISNUMBER(F294))),$J$2=""),3&gt;Reprogramaciones!$K$16),"",IF(ROUND(SUM($Q294:S294),1)&gt;=99.5,100,MIN(100,ROUND(SUM($Q294:S294),1))))</f>
        <v/>
      </c>
      <c r="CM294" s="1" t="str">
        <f aca="false">IF(OR(OR(NOT(AND(ISNUMBER(E294),ISNUMBER(F294))),$J$2=""),4&gt;Reprogramaciones!$K$16),"",IF(ROUND(SUM($Q294:T294),1)&gt;=99.5,100,MIN(100,ROUND(SUM($Q294:T294),1))))</f>
        <v/>
      </c>
      <c r="CN294" s="1" t="str">
        <f aca="false">IF(OR(OR(NOT(AND(ISNUMBER(E294),ISNUMBER(F294))),$J$2=""),5&gt;Reprogramaciones!$K$16),"",IF(ROUND(SUM($Q294:U294),1)&gt;=99.5,100,MIN(100,ROUND(SUM($Q294:U294),1))))</f>
        <v/>
      </c>
      <c r="CO294" s="1" t="str">
        <f aca="false">IF(OR(OR(NOT(AND(ISNUMBER(E294),ISNUMBER(F294))),$J$2=""),6&gt;Reprogramaciones!$K$16),"",IF(ROUND(SUM($Q294:V294),1)&gt;=99.5,100,MIN(100,ROUND(SUM($Q294:V294),1))))</f>
        <v/>
      </c>
      <c r="CP294" s="1" t="str">
        <f aca="false">IF(OR(OR(NOT(AND(ISNUMBER(E294),ISNUMBER(F294))),$J$2=""),7&gt;Reprogramaciones!$K$16),"",IF(ROUND(SUM($Q294:W294),1)&gt;=99.5,100,MIN(100,ROUND(SUM($Q294:W294),1))))</f>
        <v/>
      </c>
      <c r="CQ294" s="1" t="str">
        <f aca="false">IF(OR(OR(NOT(AND(ISNUMBER(E294),ISNUMBER(F294))),$J$2=""),8&gt;Reprogramaciones!$K$16),"",IF(ROUND(SUM($Q294:X294),1)&gt;=99.5,100,MIN(100,ROUND(SUM($Q294:X294),1))))</f>
        <v/>
      </c>
      <c r="CR294" s="1" t="str">
        <f aca="false">IF(OR(OR(NOT(AND(ISNUMBER(E294),ISNUMBER(F294))),$J$2=""),9&gt;Reprogramaciones!$K$16),"",IF(ROUND(SUM($Q294:Y294),1)&gt;=99.5,100,MIN(100,ROUND(SUM($Q294:Y294),1))))</f>
        <v/>
      </c>
      <c r="CS294" s="1" t="str">
        <f aca="false">IF(OR(OR(NOT(AND(ISNUMBER(E294),ISNUMBER(F294))),$J$2=""),10&gt;Reprogramaciones!$K$16),"",IF(ROUND(SUM($Q294:Z294),1)&gt;=99.5,100,MIN(100,ROUND(SUM($Q294:Z294),1))))</f>
        <v/>
      </c>
      <c r="CT294" s="1" t="str">
        <f aca="false">IF(OR(OR(NOT(AND(ISNUMBER(E294),ISNUMBER(F294))),$J$2=""),11&gt;Reprogramaciones!$K$16),"",IF(ROUND(SUM($Q294:AA294),1)&gt;=99.5,100,MIN(100,ROUND(SUM($Q294:AA294),1))))</f>
        <v/>
      </c>
      <c r="CU294" s="1" t="str">
        <f aca="false">IF(OR(OR(NOT(AND(ISNUMBER(E294),ISNUMBER(F294))),$J$2=""),12&gt;Reprogramaciones!$K$16),"",IF(ROUND(SUM($Q294:AB294),1)&gt;=99.5,100,MIN(100,ROUND(SUM($Q294:AB294),1))))</f>
        <v/>
      </c>
      <c r="CV294" s="1" t="str">
        <f aca="false">IF(OR(OR(NOT(AND(ISNUMBER(E294),ISNUMBER(F294))),$J$2=""),13&gt;Reprogramaciones!$K$16),"",IF(ROUND(SUM($Q294:AC294),1)&gt;=99.5,100,MIN(100,ROUND(SUM($Q294:AC294),1))))</f>
        <v/>
      </c>
      <c r="CW294" s="1" t="str">
        <f aca="false">IF(OR(OR(NOT(AND(ISNUMBER(E294),ISNUMBER(F294))),$J$2=""),14&gt;Reprogramaciones!$K$16),"",IF(ROUND(SUM($Q294:AD294),1)&gt;=99.5,100,MIN(100,ROUND(SUM($Q294:AD294),1))))</f>
        <v/>
      </c>
      <c r="CX294" s="1" t="str">
        <f aca="false">IF(OR(OR(NOT(AND(ISNUMBER(E294),ISNUMBER(F294))),$J$2=""),15&gt;Reprogramaciones!$K$16),"",IF(ROUND(SUM($Q294:AE294),1)&gt;=99.5,100,MIN(100,ROUND(SUM($Q294:AE294),1))))</f>
        <v/>
      </c>
      <c r="CY294" s="1" t="str">
        <f aca="false">IF(OR(OR(NOT(AND(ISNUMBER(E294),ISNUMBER(F294))),$J$2=""),16&gt;Reprogramaciones!$K$16),"",IF(ROUND(SUM($Q294:AF294),1)&gt;=99.5,100,MIN(100,ROUND(SUM($Q294:AF294),1))))</f>
        <v/>
      </c>
      <c r="CZ294" s="1" t="str">
        <f aca="false">IF(D294&lt;&gt;"",D294,IF(B294&lt;&gt;"","Contractual",CZ293))</f>
        <v>Contractual</v>
      </c>
      <c r="DA294" s="1" t="str">
        <f aca="false">IF(OR(NOT(AND(ISNUMBER(E294),ISNUMBER(F294))),$J$2=""),"",IF(Reprogramaciones!$Q$15&lt;Reprogramaciones!$T$15,0,IF(Reprogramaciones!$S$15&gt;10,MIN(100,SUM($G294:$P294)),MIN(100,SUMPRODUCT((COLUMN($G294:$P294)-COLUMN($G294)+1&lt;Reprogramaciones!$S$15)*$G294:$P294)+N(INDEX($G294:$P294,1,Reprogramaciones!$S$15))*IF(Reprogramaciones!$Q$15&gt;=(Reprogramaciones!$T$15+7*(Reprogramaciones!$S$15-1))+6,1,IF(MAX(0,NETWORKDAYS.INTL(MAX(E294,(Reprogramaciones!$T$15+7*(Reprogramaciones!$S$15-1))),MIN(F294,(Reprogramaciones!$T$15+7*(Reprogramaciones!$S$15-1))+6),11))=0,0,MAX(0,NETWORKDAYS.INTL(MAX(E294,(Reprogramaciones!$T$15+7*(Reprogramaciones!$S$15-1))),MIN(F294,Reprogramaciones!$Q$15),11))/MAX(0,NETWORKDAYS.INTL(MAX(E294,(Reprogramaciones!$T$15+7*(Reprogramaciones!$S$15-1))),MIN(F294,(Reprogramaciones!$T$15+7*(Reprogramaciones!$S$15-1))+6),11))))))))</f>
        <v/>
      </c>
    </row>
    <row r="295" customFormat="false" ht="15" hidden="false" customHeight="false" outlineLevel="0" collapsed="false">
      <c r="A295" s="32"/>
      <c r="B295" s="33"/>
      <c r="C295" s="33"/>
      <c r="D295" s="34"/>
      <c r="E295" s="35"/>
      <c r="F295" s="35"/>
      <c r="G295" s="36" t="str">
        <f aca="false">IF(OR(NOT(AND(ISNUMBER(E295),ISNUMBER(F295))),$J$2=""),"",IF(Reprogramaciones!K$9&lt;E295,0,IF(NETWORKDAYS.INTL(E295,F295,11)=0,IF(Reprogramaciones!K$9&gt;=F295,100,0),ROUND(NETWORKDAYS.INTL(E295,MIN(F295,Reprogramaciones!K$9),11)/NETWORKDAYS.INTL(E295,F295,11)*100,1)))-0)</f>
        <v/>
      </c>
      <c r="H295" s="36" t="str">
        <f aca="false">IF(OR(NOT(AND(ISNUMBER(E295),ISNUMBER(F295))),$J$2=""),"",IF(Reprogramaciones!L$9&lt;E295,0,IF(NETWORKDAYS.INTL(E295,F295,11)=0,IF(Reprogramaciones!L$9&gt;=F295,100,0),ROUND(NETWORKDAYS.INTL(E295,MIN(F295,Reprogramaciones!L$9),11)/NETWORKDAYS.INTL(E295,F295,11)*100,1)))-IF(Reprogramaciones!K$9&lt;E295,0,IF(NETWORKDAYS.INTL(E295,F295,11)=0,IF(Reprogramaciones!K$9&gt;=F295,100,0),ROUND(NETWORKDAYS.INTL(E295,MIN(F295,Reprogramaciones!K$9),11)/NETWORKDAYS.INTL(E295,F295,11)*100,1))))</f>
        <v/>
      </c>
      <c r="I295" s="36" t="str">
        <f aca="false">IF(OR(NOT(AND(ISNUMBER(E295),ISNUMBER(F295))),$J$2=""),"",IF(Reprogramaciones!M$9&lt;E295,0,IF(NETWORKDAYS.INTL(E295,F295,11)=0,IF(Reprogramaciones!M$9&gt;=F295,100,0),ROUND(NETWORKDAYS.INTL(E295,MIN(F295,Reprogramaciones!M$9),11)/NETWORKDAYS.INTL(E295,F295,11)*100,1)))-IF(Reprogramaciones!L$9&lt;E295,0,IF(NETWORKDAYS.INTL(E295,F295,11)=0,IF(Reprogramaciones!L$9&gt;=F295,100,0),ROUND(NETWORKDAYS.INTL(E295,MIN(F295,Reprogramaciones!L$9),11)/NETWORKDAYS.INTL(E295,F295,11)*100,1))))</f>
        <v/>
      </c>
      <c r="J295" s="36" t="str">
        <f aca="false">IF(OR(NOT(AND(ISNUMBER(E295),ISNUMBER(F295))),$J$2=""),"",IF(Reprogramaciones!N$9&lt;E295,0,IF(NETWORKDAYS.INTL(E295,F295,11)=0,IF(Reprogramaciones!N$9&gt;=F295,100,0),ROUND(NETWORKDAYS.INTL(E295,MIN(F295,Reprogramaciones!N$9),11)/NETWORKDAYS.INTL(E295,F295,11)*100,1)))-IF(Reprogramaciones!M$9&lt;E295,0,IF(NETWORKDAYS.INTL(E295,F295,11)=0,IF(Reprogramaciones!M$9&gt;=F295,100,0),ROUND(NETWORKDAYS.INTL(E295,MIN(F295,Reprogramaciones!M$9),11)/NETWORKDAYS.INTL(E295,F295,11)*100,1))))</f>
        <v/>
      </c>
      <c r="K295" s="36" t="str">
        <f aca="false">IF(OR(NOT(AND(ISNUMBER(E295),ISNUMBER(F295))),$J$2=""),"",IF(Reprogramaciones!O$9&lt;E295,0,IF(NETWORKDAYS.INTL(E295,F295,11)=0,IF(Reprogramaciones!O$9&gt;=F295,100,0),ROUND(NETWORKDAYS.INTL(E295,MIN(F295,Reprogramaciones!O$9),11)/NETWORKDAYS.INTL(E295,F295,11)*100,1)))-IF(Reprogramaciones!N$9&lt;E295,0,IF(NETWORKDAYS.INTL(E295,F295,11)=0,IF(Reprogramaciones!N$9&gt;=F295,100,0),ROUND(NETWORKDAYS.INTL(E295,MIN(F295,Reprogramaciones!N$9),11)/NETWORKDAYS.INTL(E295,F295,11)*100,1))))</f>
        <v/>
      </c>
      <c r="L295" s="36" t="str">
        <f aca="false">IF(OR(NOT(AND(ISNUMBER(E295),ISNUMBER(F295))),$J$2=""),"",IF(Reprogramaciones!P$9&lt;E295,0,IF(NETWORKDAYS.INTL(E295,F295,11)=0,IF(Reprogramaciones!P$9&gt;=F295,100,0),ROUND(NETWORKDAYS.INTL(E295,MIN(F295,Reprogramaciones!P$9),11)/NETWORKDAYS.INTL(E295,F295,11)*100,1)))-IF(Reprogramaciones!O$9&lt;E295,0,IF(NETWORKDAYS.INTL(E295,F295,11)=0,IF(Reprogramaciones!O$9&gt;=F295,100,0),ROUND(NETWORKDAYS.INTL(E295,MIN(F295,Reprogramaciones!O$9),11)/NETWORKDAYS.INTL(E295,F295,11)*100,1))))</f>
        <v/>
      </c>
      <c r="M295" s="36" t="str">
        <f aca="false">IF(OR(NOT(AND(ISNUMBER(E295),ISNUMBER(F295))),$J$2=""),"",IF(Reprogramaciones!Q$9&lt;E295,0,IF(NETWORKDAYS.INTL(E295,F295,11)=0,IF(Reprogramaciones!Q$9&gt;=F295,100,0),ROUND(NETWORKDAYS.INTL(E295,MIN(F295,Reprogramaciones!Q$9),11)/NETWORKDAYS.INTL(E295,F295,11)*100,1)))-IF(Reprogramaciones!P$9&lt;E295,0,IF(NETWORKDAYS.INTL(E295,F295,11)=0,IF(Reprogramaciones!P$9&gt;=F295,100,0),ROUND(NETWORKDAYS.INTL(E295,MIN(F295,Reprogramaciones!P$9),11)/NETWORKDAYS.INTL(E295,F295,11)*100,1))))</f>
        <v/>
      </c>
      <c r="N295" s="36" t="str">
        <f aca="false">IF(OR(NOT(AND(ISNUMBER(E295),ISNUMBER(F295))),$J$2=""),"",IF(Reprogramaciones!R$9&lt;E295,0,IF(NETWORKDAYS.INTL(E295,F295,11)=0,IF(Reprogramaciones!R$9&gt;=F295,100,0),ROUND(NETWORKDAYS.INTL(E295,MIN(F295,Reprogramaciones!R$9),11)/NETWORKDAYS.INTL(E295,F295,11)*100,1)))-IF(Reprogramaciones!Q$9&lt;E295,0,IF(NETWORKDAYS.INTL(E295,F295,11)=0,IF(Reprogramaciones!Q$9&gt;=F295,100,0),ROUND(NETWORKDAYS.INTL(E295,MIN(F295,Reprogramaciones!Q$9),11)/NETWORKDAYS.INTL(E295,F295,11)*100,1))))</f>
        <v/>
      </c>
      <c r="O295" s="36" t="str">
        <f aca="false">IF(OR(NOT(AND(ISNUMBER(E295),ISNUMBER(F295))),$J$2=""),"",IF(Reprogramaciones!S$9&lt;E295,0,IF(NETWORKDAYS.INTL(E295,F295,11)=0,IF(Reprogramaciones!S$9&gt;=F295,100,0),ROUND(NETWORKDAYS.INTL(E295,MIN(F295,Reprogramaciones!S$9),11)/NETWORKDAYS.INTL(E295,F295,11)*100,1)))-IF(Reprogramaciones!R$9&lt;E295,0,IF(NETWORKDAYS.INTL(E295,F295,11)=0,IF(Reprogramaciones!R$9&gt;=F295,100,0),ROUND(NETWORKDAYS.INTL(E295,MIN(F295,Reprogramaciones!R$9),11)/NETWORKDAYS.INTL(E295,F295,11)*100,1))))</f>
        <v/>
      </c>
      <c r="P295" s="36" t="str">
        <f aca="false">IF(OR(NOT(AND(ISNUMBER(E295),ISNUMBER(F295))),$J$2=""),"",IF(Reprogramaciones!T$9&lt;E295,0,IF(NETWORKDAYS.INTL(E295,F295,11)=0,IF(Reprogramaciones!T$9&gt;=F295,100,0),ROUND(NETWORKDAYS.INTL(E295,MIN(F295,Reprogramaciones!T$9),11)/NETWORKDAYS.INTL(E295,F295,11)*100,1)))-IF(Reprogramaciones!S$9&lt;E295,0,IF(NETWORKDAYS.INTL(E295,F295,11)=0,IF(Reprogramaciones!S$9&gt;=F295,100,0),ROUND(NETWORKDAYS.INTL(E295,MIN(F295,Reprogramaciones!S$9),11)/NETWORKDAYS.INTL(E295,F295,11)*100,1))))</f>
        <v/>
      </c>
      <c r="Q295" s="37"/>
      <c r="R295" s="37"/>
      <c r="S295" s="37"/>
      <c r="T295" s="37"/>
      <c r="U295" s="37"/>
      <c r="V295" s="37"/>
      <c r="W295" s="37"/>
      <c r="X295" s="37"/>
      <c r="Y295" s="37"/>
      <c r="Z295" s="37"/>
      <c r="AA295" s="37"/>
      <c r="AB295" s="37"/>
      <c r="AC295" s="37"/>
      <c r="AD295" s="37"/>
      <c r="AE295" s="37"/>
      <c r="AF295" s="37"/>
      <c r="AG295" s="38" t="str">
        <f aca="false">IF(AND(ISNUMBER(E295),ISNUMBER(F295)),NETWORKDAYS.INTL(E295,F295,11),"")</f>
        <v/>
      </c>
      <c r="AH295" s="38" t="str">
        <f aca="false">IF(OR(NOT(AND(ISNUMBER(E295),ISNUMBER(F295))),$J$2=""),"",IF(Reprogramaciones!$P$15&lt;Reprogramaciones!$T$15,0,IF(Reprogramaciones!$R$15&gt;10,MIN(100,SUM($G295:$P295)),MIN(100,SUMPRODUCT((COLUMN($G295:$P295)-COLUMN($G295)+1&lt;Reprogramaciones!$R$15)*$G295:$P295)+N(INDEX($G295:$P295,1,Reprogramaciones!$R$15))*IF(Reprogramaciones!$P$15&gt;=(Reprogramaciones!$T$15+7*(Reprogramaciones!$R$15-1))+6,1,IF(MAX(0,NETWORKDAYS.INTL(MAX(E295,(Reprogramaciones!$T$15+7*(Reprogramaciones!$R$15-1))),MIN(F295,(Reprogramaciones!$T$15+7*(Reprogramaciones!$R$15-1))+6),11))=0,0,MAX(0,NETWORKDAYS.INTL(MAX(E295,(Reprogramaciones!$T$15+7*(Reprogramaciones!$R$15-1))),MIN(F295,Reprogramaciones!$P$15),11))/MAX(0,NETWORKDAYS.INTL(MAX(E295,(Reprogramaciones!$T$15+7*(Reprogramaciones!$R$15-1))),MIN(F295,(Reprogramaciones!$T$15+7*(Reprogramaciones!$R$15-1))+6),11))))))))</f>
        <v/>
      </c>
      <c r="AI295" s="38" t="str">
        <f aca="false">IF(COUNT($Q295:$AF295)=0,"",IF(ROUND(SUM($Q295:$AF295),1)&gt;=99.5,100,MIN(100,ROUND(SUM($Q295:$AF295),1))))</f>
        <v/>
      </c>
      <c r="AJ295" s="38" t="str">
        <f aca="false">IF(OR(AH295="",AI295=""),"",AI295-AH295)</f>
        <v/>
      </c>
      <c r="AK295" s="39" t="str">
        <f aca="true">IF(AH295="","",IF(OR(Ficha!$C$10="Suspendida",Ficha!$C$10="Cancelada"),Ficha!$C$10,IF(AND(AI295&lt;&gt;"",N(AI295)&gt;=100),"Completada",IF(AND(E295&gt;TODAY(),N(AI295)=0),"Por iniciar",IF(N(AI295)+0.5&lt;AH295,"Retrasada",IF(N(AI295)+0.5&lt;DA295,IF(Reprogramaciones!$K$15&gt;0,"Al día · Sem "&amp;Reprogramaciones!$K$15&amp;" en curso","Al día · en curso"),"A tiempo"))))))</f>
        <v/>
      </c>
      <c r="AL295" s="39" t="str">
        <f aca="true">IF(AND(A295="",AND(B295="",C295="",E295="",F295="",COUNT(Q295:AF295)=0)),"",IF(AND(B295="",C295="",E295="",F295="",COUNT(Q295:AF295)=0),"Falta la partida o subpartida",IF(AND(A295&lt;&gt;"",COUNTIF($A$6:$A$305,A295)&gt;1),"Ítem repetido",IF(AND(C295="",E295="",F295="",COUNT(Q295:AF295)=0),"Título de partida",IF(OR(E295="",F295=""),"Faltan fechas",IF(OR(ISTEXT(E295),ISTEXT(F295)),"Fecha escrita como texto: usa dd/mm/aaaa",IF(F295&lt;E295,"Fin antes del inicio",IF(IF($J$2="",FALSE(),OR(E295&lt;$J$2,F295&gt;Reprogramaciones!$T$15+69)),"Fuera de las 10 semanas",IF(ABS(SUM(G295:P295)-100)&gt;0.5,"La meta no suma 100%",IF(ROUND(SUM(Q295:AF295),1)&gt;100.5,"El avance pasa de 100%",IF(MIN(Q295:AF295)&lt;0,"Avance negativo",IF(COUNTA(Q295:AF295)&gt;COUNT(Q295:AF295),"Avance escrito como texto",IF(SUMPRODUCT((Q295:AF295&gt;0)*(Q295:AF295&lt;1))&gt;0,"Avance menor a 1: escribe 50, no 50%",IF(SUMPRODUCT(ISNUMBER(Q295:AF295)*(Reprogramaciones!$K$8:$Z$8&gt;TODAY()))&gt;0,"Avance en semana que aún no llega",IF(AND(N(Reprogramaciones!$E$21)&gt;0,F295&gt;Reprogramaciones!$E$21),"Pasa el fin de la obra: registra una reprogramación",IF(AND(N(Reprogramaciones!$E$21)&gt;0,SUMPRODUCT(ISNUMBER(Q295:AF295)*(Reprogramaciones!$K$8:$Z$8&gt;Reprogramaciones!$E$21))&gt;0),"Avance después del fin de la obra: registra una reprogramación por atraso","OK"))))))))))))))))</f>
        <v/>
      </c>
      <c r="AM295" s="40" t="str">
        <f aca="false">IF(OR(OR(NOT(AND(ISNUMBER(E295),ISNUMBER(F295))),$J$2=""),1&gt;MAX(1,Reprogramaciones!$U$15)),"",IF(Reprogramaciones!K$12&gt;=7,"",IF(OR(BT295-N(0)&gt;0.05,N(Q295)&gt;0),ROUNDDOWN(ROUND(BT295,6),0)&amp;"%"&amp;IF(CJ295="",""," / "&amp;CJ295&amp;"%"),IF(AND(N(0)&gt;=99.95,CJ295&lt;&gt;"",N(CJ295)&lt;100),"Pend. "&amp;CJ295&amp;"%",""))))</f>
        <v/>
      </c>
      <c r="AN295" s="40" t="str">
        <f aca="false">IF(OR(OR(NOT(AND(ISNUMBER(E295),ISNUMBER(F295))),$J$2=""),2&gt;MAX(1,Reprogramaciones!$U$15)),"",IF(Reprogramaciones!L$12&gt;=7,"",IF(OR(BU295-N(BT295)&gt;0.05,N(R295)&gt;0),ROUNDDOWN(ROUND(BU295,6),0)&amp;"%"&amp;IF(CK295="",""," / "&amp;CK295&amp;"%"),IF(AND(N(BT295)&gt;=99.95,CK295&lt;&gt;"",N(CK295)&lt;100),"Pend. "&amp;CK295&amp;"%",""))))</f>
        <v/>
      </c>
      <c r="AO295" s="40" t="str">
        <f aca="false">IF(OR(OR(NOT(AND(ISNUMBER(E295),ISNUMBER(F295))),$J$2=""),3&gt;MAX(1,Reprogramaciones!$U$15)),"",IF(Reprogramaciones!M$12&gt;=7,"",IF(OR(BV295-N(BU295)&gt;0.05,N(S295)&gt;0),ROUNDDOWN(ROUND(BV295,6),0)&amp;"%"&amp;IF(CL295="",""," / "&amp;CL295&amp;"%"),IF(AND(N(BU295)&gt;=99.95,CL295&lt;&gt;"",N(CL295)&lt;100),"Pend. "&amp;CL295&amp;"%",""))))</f>
        <v/>
      </c>
      <c r="AP295" s="40" t="str">
        <f aca="false">IF(OR(OR(NOT(AND(ISNUMBER(E295),ISNUMBER(F295))),$J$2=""),4&gt;MAX(1,Reprogramaciones!$U$15)),"",IF(Reprogramaciones!N$12&gt;=7,"",IF(OR(BW295-N(BV295)&gt;0.05,N(T295)&gt;0),ROUNDDOWN(ROUND(BW295,6),0)&amp;"%"&amp;IF(CM295="",""," / "&amp;CM295&amp;"%"),IF(AND(N(BV295)&gt;=99.95,CM295&lt;&gt;"",N(CM295)&lt;100),"Pend. "&amp;CM295&amp;"%",""))))</f>
        <v/>
      </c>
      <c r="AQ295" s="40" t="str">
        <f aca="false">IF(OR(OR(NOT(AND(ISNUMBER(E295),ISNUMBER(F295))),$J$2=""),5&gt;MAX(1,Reprogramaciones!$U$15)),"",IF(Reprogramaciones!O$12&gt;=7,"",IF(OR(BX295-N(BW295)&gt;0.05,N(U295)&gt;0),ROUNDDOWN(ROUND(BX295,6),0)&amp;"%"&amp;IF(CN295="",""," / "&amp;CN295&amp;"%"),IF(AND(N(BW295)&gt;=99.95,CN295&lt;&gt;"",N(CN295)&lt;100),"Pend. "&amp;CN295&amp;"%",""))))</f>
        <v/>
      </c>
      <c r="AR295" s="40" t="str">
        <f aca="false">IF(OR(OR(NOT(AND(ISNUMBER(E295),ISNUMBER(F295))),$J$2=""),6&gt;MAX(1,Reprogramaciones!$U$15)),"",IF(Reprogramaciones!P$12&gt;=7,"",IF(OR(BY295-N(BX295)&gt;0.05,N(V295)&gt;0),ROUNDDOWN(ROUND(BY295,6),0)&amp;"%"&amp;IF(CO295="",""," / "&amp;CO295&amp;"%"),IF(AND(N(BX295)&gt;=99.95,CO295&lt;&gt;"",N(CO295)&lt;100),"Pend. "&amp;CO295&amp;"%",""))))</f>
        <v/>
      </c>
      <c r="AS295" s="40" t="str">
        <f aca="false">IF(OR(OR(NOT(AND(ISNUMBER(E295),ISNUMBER(F295))),$J$2=""),7&gt;MAX(1,Reprogramaciones!$U$15)),"",IF(Reprogramaciones!Q$12&gt;=7,"",IF(OR(BZ295-N(BY295)&gt;0.05,N(W295)&gt;0),ROUNDDOWN(ROUND(BZ295,6),0)&amp;"%"&amp;IF(CP295="",""," / "&amp;CP295&amp;"%"),IF(AND(N(BY295)&gt;=99.95,CP295&lt;&gt;"",N(CP295)&lt;100),"Pend. "&amp;CP295&amp;"%",""))))</f>
        <v/>
      </c>
      <c r="AT295" s="40" t="str">
        <f aca="false">IF(OR(OR(NOT(AND(ISNUMBER(E295),ISNUMBER(F295))),$J$2=""),8&gt;MAX(1,Reprogramaciones!$U$15)),"",IF(Reprogramaciones!R$12&gt;=7,"",IF(OR(CA295-N(BZ295)&gt;0.05,N(X295)&gt;0),ROUNDDOWN(ROUND(CA295,6),0)&amp;"%"&amp;IF(CQ295="",""," / "&amp;CQ295&amp;"%"),IF(AND(N(BZ295)&gt;=99.95,CQ295&lt;&gt;"",N(CQ295)&lt;100),"Pend. "&amp;CQ295&amp;"%",""))))</f>
        <v/>
      </c>
      <c r="AU295" s="40" t="str">
        <f aca="false">IF(OR(OR(NOT(AND(ISNUMBER(E295),ISNUMBER(F295))),$J$2=""),9&gt;MAX(1,Reprogramaciones!$U$15)),"",IF(Reprogramaciones!S$12&gt;=7,"",IF(OR(CB295-N(CA295)&gt;0.05,N(Y295)&gt;0),ROUNDDOWN(ROUND(CB295,6),0)&amp;"%"&amp;IF(CR295="",""," / "&amp;CR295&amp;"%"),IF(AND(N(CA295)&gt;=99.95,CR295&lt;&gt;"",N(CR295)&lt;100),"Pend. "&amp;CR295&amp;"%",""))))</f>
        <v/>
      </c>
      <c r="AV295" s="40" t="str">
        <f aca="false">IF(OR(OR(NOT(AND(ISNUMBER(E295),ISNUMBER(F295))),$J$2=""),10&gt;MAX(1,Reprogramaciones!$U$15)),"",IF(Reprogramaciones!T$12&gt;=7,"",IF(OR(CC295-N(CB295)&gt;0.05,N(Z295)&gt;0),ROUNDDOWN(ROUND(CC295,6),0)&amp;"%"&amp;IF(CS295="",""," / "&amp;CS295&amp;"%"),IF(AND(N(CB295)&gt;=99.95,CS295&lt;&gt;"",N(CS295)&lt;100),"Pend. "&amp;CS295&amp;"%",""))))</f>
        <v/>
      </c>
      <c r="AW295" s="40" t="str">
        <f aca="false">IF(OR(OR(NOT(AND(ISNUMBER(E295),ISNUMBER(F295))),$J$2=""),11&gt;MAX(1,Reprogramaciones!$U$15)),"",IF(Reprogramaciones!U$12&gt;=7,"",IF(OR(CD295-N(CC295)&gt;0.05,N(AA295)&gt;0),ROUNDDOWN(ROUND(CD295,6),0)&amp;"%"&amp;IF(CT295="",""," / "&amp;CT295&amp;"%"),IF(AND(N(CC295)&gt;=99.95,CT295&lt;&gt;"",N(CT295)&lt;100),"Pend. "&amp;CT295&amp;"%",""))))</f>
        <v/>
      </c>
      <c r="AX295" s="40" t="str">
        <f aca="false">IF(OR(OR(NOT(AND(ISNUMBER(E295),ISNUMBER(F295))),$J$2=""),12&gt;MAX(1,Reprogramaciones!$U$15)),"",IF(Reprogramaciones!V$12&gt;=7,"",IF(OR(CE295-N(CD295)&gt;0.05,N(AB295)&gt;0),ROUNDDOWN(ROUND(CE295,6),0)&amp;"%"&amp;IF(CU295="",""," / "&amp;CU295&amp;"%"),IF(AND(N(CD295)&gt;=99.95,CU295&lt;&gt;"",N(CU295)&lt;100),"Pend. "&amp;CU295&amp;"%",""))))</f>
        <v/>
      </c>
      <c r="AY295" s="40" t="str">
        <f aca="false">IF(OR(OR(NOT(AND(ISNUMBER(E295),ISNUMBER(F295))),$J$2=""),13&gt;MAX(1,Reprogramaciones!$U$15)),"",IF(Reprogramaciones!W$12&gt;=7,"",IF(OR(CF295-N(CE295)&gt;0.05,N(AC295)&gt;0),ROUNDDOWN(ROUND(CF295,6),0)&amp;"%"&amp;IF(CV295="",""," / "&amp;CV295&amp;"%"),IF(AND(N(CE295)&gt;=99.95,CV295&lt;&gt;"",N(CV295)&lt;100),"Pend. "&amp;CV295&amp;"%",""))))</f>
        <v/>
      </c>
      <c r="AZ295" s="40" t="str">
        <f aca="false">IF(OR(OR(NOT(AND(ISNUMBER(E295),ISNUMBER(F295))),$J$2=""),14&gt;MAX(1,Reprogramaciones!$U$15)),"",IF(Reprogramaciones!X$12&gt;=7,"",IF(OR(CG295-N(CF295)&gt;0.05,N(AD295)&gt;0),ROUNDDOWN(ROUND(CG295,6),0)&amp;"%"&amp;IF(CW295="",""," / "&amp;CW295&amp;"%"),IF(AND(N(CF295)&gt;=99.95,CW295&lt;&gt;"",N(CW295)&lt;100),"Pend. "&amp;CW295&amp;"%",""))))</f>
        <v/>
      </c>
      <c r="BA295" s="40" t="str">
        <f aca="false">IF(OR(OR(NOT(AND(ISNUMBER(E295),ISNUMBER(F295))),$J$2=""),15&gt;MAX(1,Reprogramaciones!$U$15)),"",IF(Reprogramaciones!Y$12&gt;=7,"",IF(OR(CH295-N(CG295)&gt;0.05,N(AE295)&gt;0),ROUNDDOWN(ROUND(CH295,6),0)&amp;"%"&amp;IF(CX295="",""," / "&amp;CX295&amp;"%"),IF(AND(N(CG295)&gt;=99.95,CX295&lt;&gt;"",N(CX295)&lt;100),"Pend. "&amp;CX295&amp;"%",""))))</f>
        <v/>
      </c>
      <c r="BB295" s="40" t="str">
        <f aca="false">IF(OR(OR(NOT(AND(ISNUMBER(E295),ISNUMBER(F295))),$J$2=""),16&gt;MAX(1,Reprogramaciones!$U$15)),"",IF(Reprogramaciones!Z$12&gt;=7,"",IF(OR(CI295-N(CH295)&gt;0.05,N(AF295)&gt;0),ROUNDDOWN(ROUND(CI295,6),0)&amp;"%"&amp;IF(CY295="",""," / "&amp;CY295&amp;"%"),IF(AND(N(CH295)&gt;=99.95,CY295&lt;&gt;"",N(CY295)&lt;100),"Pend. "&amp;CY295&amp;"%",""))))</f>
        <v/>
      </c>
      <c r="BC295" s="31" t="n">
        <f aca="false">IF(AND(ISNUMBER(E295),ISNUMBER(F295)),MAX(1,NETWORKDAYS.INTL(E295,F295,11)),0)</f>
        <v>0</v>
      </c>
      <c r="BD295" s="1" t="str">
        <f aca="false">IF(OR(NOT(AND(ISNUMBER(E295),ISNUMBER(F295))),$J$2=""),"",MIN(100,ROUND(SUM($G295:G295),1)))</f>
        <v/>
      </c>
      <c r="BE295" s="1" t="str">
        <f aca="false">IF(OR(NOT(AND(ISNUMBER(E295),ISNUMBER(F295))),$J$2=""),"",MIN(100,ROUND(SUM($G295:H295),1)))</f>
        <v/>
      </c>
      <c r="BF295" s="1" t="str">
        <f aca="false">IF(OR(NOT(AND(ISNUMBER(E295),ISNUMBER(F295))),$J$2=""),"",MIN(100,ROUND(SUM($G295:I295),1)))</f>
        <v/>
      </c>
      <c r="BG295" s="1" t="str">
        <f aca="false">IF(OR(NOT(AND(ISNUMBER(E295),ISNUMBER(F295))),$J$2=""),"",MIN(100,ROUND(SUM($G295:J295),1)))</f>
        <v/>
      </c>
      <c r="BH295" s="1" t="str">
        <f aca="false">IF(OR(NOT(AND(ISNUMBER(E295),ISNUMBER(F295))),$J$2=""),"",MIN(100,ROUND(SUM($G295:K295),1)))</f>
        <v/>
      </c>
      <c r="BI295" s="1" t="str">
        <f aca="false">IF(OR(NOT(AND(ISNUMBER(E295),ISNUMBER(F295))),$J$2=""),"",MIN(100,ROUND(SUM($G295:L295),1)))</f>
        <v/>
      </c>
      <c r="BJ295" s="1" t="str">
        <f aca="false">IF(OR(NOT(AND(ISNUMBER(E295),ISNUMBER(F295))),$J$2=""),"",MIN(100,ROUND(SUM($G295:M295),1)))</f>
        <v/>
      </c>
      <c r="BK295" s="1" t="str">
        <f aca="false">IF(OR(NOT(AND(ISNUMBER(E295),ISNUMBER(F295))),$J$2=""),"",MIN(100,ROUND(SUM($G295:N295),1)))</f>
        <v/>
      </c>
      <c r="BL295" s="1" t="str">
        <f aca="false">IF(OR(NOT(AND(ISNUMBER(E295),ISNUMBER(F295))),$J$2=""),"",MIN(100,ROUND(SUM($G295:O295),1)))</f>
        <v/>
      </c>
      <c r="BM295" s="1" t="str">
        <f aca="false">IF(OR(NOT(AND(ISNUMBER(E295),ISNUMBER(F295))),$J$2=""),"",MIN(100,ROUND(SUM($G295:P295),1)))</f>
        <v/>
      </c>
      <c r="BN295" s="1" t="str">
        <f aca="false">IF(OR(NOT(AND(ISNUMBER(E295),ISNUMBER(F295))),$J$2=""),"",MIN(100,ROUND(SUM($G295:P295),1)))</f>
        <v/>
      </c>
      <c r="BO295" s="1" t="str">
        <f aca="false">IF(OR(NOT(AND(ISNUMBER(E295),ISNUMBER(F295))),$J$2=""),"",MIN(100,ROUND(SUM($G295:P295),1)))</f>
        <v/>
      </c>
      <c r="BP295" s="1" t="str">
        <f aca="false">IF(OR(NOT(AND(ISNUMBER(E295),ISNUMBER(F295))),$J$2=""),"",MIN(100,ROUND(SUM($G295:P295),1)))</f>
        <v/>
      </c>
      <c r="BQ295" s="1" t="str">
        <f aca="false">IF(OR(NOT(AND(ISNUMBER(E295),ISNUMBER(F295))),$J$2=""),"",MIN(100,ROUND(SUM($G295:P295),1)))</f>
        <v/>
      </c>
      <c r="BR295" s="1" t="str">
        <f aca="false">IF(OR(NOT(AND(ISNUMBER(E295),ISNUMBER(F295))),$J$2=""),"",MIN(100,ROUND(SUM($G295:P295),1)))</f>
        <v/>
      </c>
      <c r="BS295" s="1" t="str">
        <f aca="false">IF(OR(NOT(AND(ISNUMBER(E295),ISNUMBER(F295))),$J$2=""),"",MIN(100,ROUND(SUM($G295:P295),1)))</f>
        <v/>
      </c>
      <c r="BT295" s="1" t="str">
        <f aca="false">IF(OR(NOT(AND(ISNUMBER(E295),ISNUMBER(F295))),$J$2=""),"",IF(Reprogramaciones!K$13&lt;Reprogramaciones!$T$15,0,IF(Reprogramaciones!K$14&gt;10,MIN(100,SUM($G295:$P295)),MIN(100,SUMPRODUCT((COLUMN($G295:$P295)-COLUMN($G295)+1&lt;Reprogramaciones!K$14)*$G295:$P295)+N(INDEX($G295:$P295,1,Reprogramaciones!K$14))*IF(Reprogramaciones!K$13&gt;=(Reprogramaciones!$T$15+7*(Reprogramaciones!K$14-1))+6,1,IF(MAX(0,NETWORKDAYS.INTL(MAX(E295,(Reprogramaciones!$T$15+7*(Reprogramaciones!K$14-1))),MIN(F295,(Reprogramaciones!$T$15+7*(Reprogramaciones!K$14-1))+6),11))=0,0,MAX(0,NETWORKDAYS.INTL(MAX(E295,(Reprogramaciones!$T$15+7*(Reprogramaciones!K$14-1))),MIN(F295,Reprogramaciones!K$13),11))/MAX(0,NETWORKDAYS.INTL(MAX(E295,(Reprogramaciones!$T$15+7*(Reprogramaciones!K$14-1))),MIN(F295,(Reprogramaciones!$T$15+7*(Reprogramaciones!K$14-1))+6),11))))))))</f>
        <v/>
      </c>
      <c r="BU295" s="1" t="str">
        <f aca="false">IF(OR(NOT(AND(ISNUMBER(E295),ISNUMBER(F295))),$J$2=""),"",IF(Reprogramaciones!L$13&lt;Reprogramaciones!$T$15,0,IF(Reprogramaciones!L$14&gt;10,MIN(100,SUM($G295:$P295)),MIN(100,SUMPRODUCT((COLUMN($G295:$P295)-COLUMN($G295)+1&lt;Reprogramaciones!L$14)*$G295:$P295)+N(INDEX($G295:$P295,1,Reprogramaciones!L$14))*IF(Reprogramaciones!L$13&gt;=(Reprogramaciones!$T$15+7*(Reprogramaciones!L$14-1))+6,1,IF(MAX(0,NETWORKDAYS.INTL(MAX(E295,(Reprogramaciones!$T$15+7*(Reprogramaciones!L$14-1))),MIN(F295,(Reprogramaciones!$T$15+7*(Reprogramaciones!L$14-1))+6),11))=0,0,MAX(0,NETWORKDAYS.INTL(MAX(E295,(Reprogramaciones!$T$15+7*(Reprogramaciones!L$14-1))),MIN(F295,Reprogramaciones!L$13),11))/MAX(0,NETWORKDAYS.INTL(MAX(E295,(Reprogramaciones!$T$15+7*(Reprogramaciones!L$14-1))),MIN(F295,(Reprogramaciones!$T$15+7*(Reprogramaciones!L$14-1))+6),11))))))))</f>
        <v/>
      </c>
      <c r="BV295" s="1" t="str">
        <f aca="false">IF(OR(NOT(AND(ISNUMBER(E295),ISNUMBER(F295))),$J$2=""),"",IF(Reprogramaciones!M$13&lt;Reprogramaciones!$T$15,0,IF(Reprogramaciones!M$14&gt;10,MIN(100,SUM($G295:$P295)),MIN(100,SUMPRODUCT((COLUMN($G295:$P295)-COLUMN($G295)+1&lt;Reprogramaciones!M$14)*$G295:$P295)+N(INDEX($G295:$P295,1,Reprogramaciones!M$14))*IF(Reprogramaciones!M$13&gt;=(Reprogramaciones!$T$15+7*(Reprogramaciones!M$14-1))+6,1,IF(MAX(0,NETWORKDAYS.INTL(MAX(E295,(Reprogramaciones!$T$15+7*(Reprogramaciones!M$14-1))),MIN(F295,(Reprogramaciones!$T$15+7*(Reprogramaciones!M$14-1))+6),11))=0,0,MAX(0,NETWORKDAYS.INTL(MAX(E295,(Reprogramaciones!$T$15+7*(Reprogramaciones!M$14-1))),MIN(F295,Reprogramaciones!M$13),11))/MAX(0,NETWORKDAYS.INTL(MAX(E295,(Reprogramaciones!$T$15+7*(Reprogramaciones!M$14-1))),MIN(F295,(Reprogramaciones!$T$15+7*(Reprogramaciones!M$14-1))+6),11))))))))</f>
        <v/>
      </c>
      <c r="BW295" s="1" t="str">
        <f aca="false">IF(OR(NOT(AND(ISNUMBER(E295),ISNUMBER(F295))),$J$2=""),"",IF(Reprogramaciones!N$13&lt;Reprogramaciones!$T$15,0,IF(Reprogramaciones!N$14&gt;10,MIN(100,SUM($G295:$P295)),MIN(100,SUMPRODUCT((COLUMN($G295:$P295)-COLUMN($G295)+1&lt;Reprogramaciones!N$14)*$G295:$P295)+N(INDEX($G295:$P295,1,Reprogramaciones!N$14))*IF(Reprogramaciones!N$13&gt;=(Reprogramaciones!$T$15+7*(Reprogramaciones!N$14-1))+6,1,IF(MAX(0,NETWORKDAYS.INTL(MAX(E295,(Reprogramaciones!$T$15+7*(Reprogramaciones!N$14-1))),MIN(F295,(Reprogramaciones!$T$15+7*(Reprogramaciones!N$14-1))+6),11))=0,0,MAX(0,NETWORKDAYS.INTL(MAX(E295,(Reprogramaciones!$T$15+7*(Reprogramaciones!N$14-1))),MIN(F295,Reprogramaciones!N$13),11))/MAX(0,NETWORKDAYS.INTL(MAX(E295,(Reprogramaciones!$T$15+7*(Reprogramaciones!N$14-1))),MIN(F295,(Reprogramaciones!$T$15+7*(Reprogramaciones!N$14-1))+6),11))))))))</f>
        <v/>
      </c>
      <c r="BX295" s="1" t="str">
        <f aca="false">IF(OR(NOT(AND(ISNUMBER(E295),ISNUMBER(F295))),$J$2=""),"",IF(Reprogramaciones!O$13&lt;Reprogramaciones!$T$15,0,IF(Reprogramaciones!O$14&gt;10,MIN(100,SUM($G295:$P295)),MIN(100,SUMPRODUCT((COLUMN($G295:$P295)-COLUMN($G295)+1&lt;Reprogramaciones!O$14)*$G295:$P295)+N(INDEX($G295:$P295,1,Reprogramaciones!O$14))*IF(Reprogramaciones!O$13&gt;=(Reprogramaciones!$T$15+7*(Reprogramaciones!O$14-1))+6,1,IF(MAX(0,NETWORKDAYS.INTL(MAX(E295,(Reprogramaciones!$T$15+7*(Reprogramaciones!O$14-1))),MIN(F295,(Reprogramaciones!$T$15+7*(Reprogramaciones!O$14-1))+6),11))=0,0,MAX(0,NETWORKDAYS.INTL(MAX(E295,(Reprogramaciones!$T$15+7*(Reprogramaciones!O$14-1))),MIN(F295,Reprogramaciones!O$13),11))/MAX(0,NETWORKDAYS.INTL(MAX(E295,(Reprogramaciones!$T$15+7*(Reprogramaciones!O$14-1))),MIN(F295,(Reprogramaciones!$T$15+7*(Reprogramaciones!O$14-1))+6),11))))))))</f>
        <v/>
      </c>
      <c r="BY295" s="1" t="str">
        <f aca="false">IF(OR(NOT(AND(ISNUMBER(E295),ISNUMBER(F295))),$J$2=""),"",IF(Reprogramaciones!P$13&lt;Reprogramaciones!$T$15,0,IF(Reprogramaciones!P$14&gt;10,MIN(100,SUM($G295:$P295)),MIN(100,SUMPRODUCT((COLUMN($G295:$P295)-COLUMN($G295)+1&lt;Reprogramaciones!P$14)*$G295:$P295)+N(INDEX($G295:$P295,1,Reprogramaciones!P$14))*IF(Reprogramaciones!P$13&gt;=(Reprogramaciones!$T$15+7*(Reprogramaciones!P$14-1))+6,1,IF(MAX(0,NETWORKDAYS.INTL(MAX(E295,(Reprogramaciones!$T$15+7*(Reprogramaciones!P$14-1))),MIN(F295,(Reprogramaciones!$T$15+7*(Reprogramaciones!P$14-1))+6),11))=0,0,MAX(0,NETWORKDAYS.INTL(MAX(E295,(Reprogramaciones!$T$15+7*(Reprogramaciones!P$14-1))),MIN(F295,Reprogramaciones!P$13),11))/MAX(0,NETWORKDAYS.INTL(MAX(E295,(Reprogramaciones!$T$15+7*(Reprogramaciones!P$14-1))),MIN(F295,(Reprogramaciones!$T$15+7*(Reprogramaciones!P$14-1))+6),11))))))))</f>
        <v/>
      </c>
      <c r="BZ295" s="1" t="str">
        <f aca="false">IF(OR(NOT(AND(ISNUMBER(E295),ISNUMBER(F295))),$J$2=""),"",IF(Reprogramaciones!Q$13&lt;Reprogramaciones!$T$15,0,IF(Reprogramaciones!Q$14&gt;10,MIN(100,SUM($G295:$P295)),MIN(100,SUMPRODUCT((COLUMN($G295:$P295)-COLUMN($G295)+1&lt;Reprogramaciones!Q$14)*$G295:$P295)+N(INDEX($G295:$P295,1,Reprogramaciones!Q$14))*IF(Reprogramaciones!Q$13&gt;=(Reprogramaciones!$T$15+7*(Reprogramaciones!Q$14-1))+6,1,IF(MAX(0,NETWORKDAYS.INTL(MAX(E295,(Reprogramaciones!$T$15+7*(Reprogramaciones!Q$14-1))),MIN(F295,(Reprogramaciones!$T$15+7*(Reprogramaciones!Q$14-1))+6),11))=0,0,MAX(0,NETWORKDAYS.INTL(MAX(E295,(Reprogramaciones!$T$15+7*(Reprogramaciones!Q$14-1))),MIN(F295,Reprogramaciones!Q$13),11))/MAX(0,NETWORKDAYS.INTL(MAX(E295,(Reprogramaciones!$T$15+7*(Reprogramaciones!Q$14-1))),MIN(F295,(Reprogramaciones!$T$15+7*(Reprogramaciones!Q$14-1))+6),11))))))))</f>
        <v/>
      </c>
      <c r="CA295" s="1" t="str">
        <f aca="false">IF(OR(NOT(AND(ISNUMBER(E295),ISNUMBER(F295))),$J$2=""),"",IF(Reprogramaciones!R$13&lt;Reprogramaciones!$T$15,0,IF(Reprogramaciones!R$14&gt;10,MIN(100,SUM($G295:$P295)),MIN(100,SUMPRODUCT((COLUMN($G295:$P295)-COLUMN($G295)+1&lt;Reprogramaciones!R$14)*$G295:$P295)+N(INDEX($G295:$P295,1,Reprogramaciones!R$14))*IF(Reprogramaciones!R$13&gt;=(Reprogramaciones!$T$15+7*(Reprogramaciones!R$14-1))+6,1,IF(MAX(0,NETWORKDAYS.INTL(MAX(E295,(Reprogramaciones!$T$15+7*(Reprogramaciones!R$14-1))),MIN(F295,(Reprogramaciones!$T$15+7*(Reprogramaciones!R$14-1))+6),11))=0,0,MAX(0,NETWORKDAYS.INTL(MAX(E295,(Reprogramaciones!$T$15+7*(Reprogramaciones!R$14-1))),MIN(F295,Reprogramaciones!R$13),11))/MAX(0,NETWORKDAYS.INTL(MAX(E295,(Reprogramaciones!$T$15+7*(Reprogramaciones!R$14-1))),MIN(F295,(Reprogramaciones!$T$15+7*(Reprogramaciones!R$14-1))+6),11))))))))</f>
        <v/>
      </c>
      <c r="CB295" s="1" t="str">
        <f aca="false">IF(OR(NOT(AND(ISNUMBER(E295),ISNUMBER(F295))),$J$2=""),"",IF(Reprogramaciones!S$13&lt;Reprogramaciones!$T$15,0,IF(Reprogramaciones!S$14&gt;10,MIN(100,SUM($G295:$P295)),MIN(100,SUMPRODUCT((COLUMN($G295:$P295)-COLUMN($G295)+1&lt;Reprogramaciones!S$14)*$G295:$P295)+N(INDEX($G295:$P295,1,Reprogramaciones!S$14))*IF(Reprogramaciones!S$13&gt;=(Reprogramaciones!$T$15+7*(Reprogramaciones!S$14-1))+6,1,IF(MAX(0,NETWORKDAYS.INTL(MAX(E295,(Reprogramaciones!$T$15+7*(Reprogramaciones!S$14-1))),MIN(F295,(Reprogramaciones!$T$15+7*(Reprogramaciones!S$14-1))+6),11))=0,0,MAX(0,NETWORKDAYS.INTL(MAX(E295,(Reprogramaciones!$T$15+7*(Reprogramaciones!S$14-1))),MIN(F295,Reprogramaciones!S$13),11))/MAX(0,NETWORKDAYS.INTL(MAX(E295,(Reprogramaciones!$T$15+7*(Reprogramaciones!S$14-1))),MIN(F295,(Reprogramaciones!$T$15+7*(Reprogramaciones!S$14-1))+6),11))))))))</f>
        <v/>
      </c>
      <c r="CC295" s="1" t="str">
        <f aca="false">IF(OR(NOT(AND(ISNUMBER(E295),ISNUMBER(F295))),$J$2=""),"",IF(Reprogramaciones!T$13&lt;Reprogramaciones!$T$15,0,IF(Reprogramaciones!T$14&gt;10,MIN(100,SUM($G295:$P295)),MIN(100,SUMPRODUCT((COLUMN($G295:$P295)-COLUMN($G295)+1&lt;Reprogramaciones!T$14)*$G295:$P295)+N(INDEX($G295:$P295,1,Reprogramaciones!T$14))*IF(Reprogramaciones!T$13&gt;=(Reprogramaciones!$T$15+7*(Reprogramaciones!T$14-1))+6,1,IF(MAX(0,NETWORKDAYS.INTL(MAX(E295,(Reprogramaciones!$T$15+7*(Reprogramaciones!T$14-1))),MIN(F295,(Reprogramaciones!$T$15+7*(Reprogramaciones!T$14-1))+6),11))=0,0,MAX(0,NETWORKDAYS.INTL(MAX(E295,(Reprogramaciones!$T$15+7*(Reprogramaciones!T$14-1))),MIN(F295,Reprogramaciones!T$13),11))/MAX(0,NETWORKDAYS.INTL(MAX(E295,(Reprogramaciones!$T$15+7*(Reprogramaciones!T$14-1))),MIN(F295,(Reprogramaciones!$T$15+7*(Reprogramaciones!T$14-1))+6),11))))))))</f>
        <v/>
      </c>
      <c r="CD295" s="1" t="str">
        <f aca="false">IF(OR(NOT(AND(ISNUMBER(E295),ISNUMBER(F295))),$J$2=""),"",IF(Reprogramaciones!U$13&lt;Reprogramaciones!$T$15,0,IF(Reprogramaciones!U$14&gt;10,MIN(100,SUM($G295:$P295)),MIN(100,SUMPRODUCT((COLUMN($G295:$P295)-COLUMN($G295)+1&lt;Reprogramaciones!U$14)*$G295:$P295)+N(INDEX($G295:$P295,1,Reprogramaciones!U$14))*IF(Reprogramaciones!U$13&gt;=(Reprogramaciones!$T$15+7*(Reprogramaciones!U$14-1))+6,1,IF(MAX(0,NETWORKDAYS.INTL(MAX(E295,(Reprogramaciones!$T$15+7*(Reprogramaciones!U$14-1))),MIN(F295,(Reprogramaciones!$T$15+7*(Reprogramaciones!U$14-1))+6),11))=0,0,MAX(0,NETWORKDAYS.INTL(MAX(E295,(Reprogramaciones!$T$15+7*(Reprogramaciones!U$14-1))),MIN(F295,Reprogramaciones!U$13),11))/MAX(0,NETWORKDAYS.INTL(MAX(E295,(Reprogramaciones!$T$15+7*(Reprogramaciones!U$14-1))),MIN(F295,(Reprogramaciones!$T$15+7*(Reprogramaciones!U$14-1))+6),11))))))))</f>
        <v/>
      </c>
      <c r="CE295" s="1" t="str">
        <f aca="false">IF(OR(NOT(AND(ISNUMBER(E295),ISNUMBER(F295))),$J$2=""),"",IF(Reprogramaciones!V$13&lt;Reprogramaciones!$T$15,0,IF(Reprogramaciones!V$14&gt;10,MIN(100,SUM($G295:$P295)),MIN(100,SUMPRODUCT((COLUMN($G295:$P295)-COLUMN($G295)+1&lt;Reprogramaciones!V$14)*$G295:$P295)+N(INDEX($G295:$P295,1,Reprogramaciones!V$14))*IF(Reprogramaciones!V$13&gt;=(Reprogramaciones!$T$15+7*(Reprogramaciones!V$14-1))+6,1,IF(MAX(0,NETWORKDAYS.INTL(MAX(E295,(Reprogramaciones!$T$15+7*(Reprogramaciones!V$14-1))),MIN(F295,(Reprogramaciones!$T$15+7*(Reprogramaciones!V$14-1))+6),11))=0,0,MAX(0,NETWORKDAYS.INTL(MAX(E295,(Reprogramaciones!$T$15+7*(Reprogramaciones!V$14-1))),MIN(F295,Reprogramaciones!V$13),11))/MAX(0,NETWORKDAYS.INTL(MAX(E295,(Reprogramaciones!$T$15+7*(Reprogramaciones!V$14-1))),MIN(F295,(Reprogramaciones!$T$15+7*(Reprogramaciones!V$14-1))+6),11))))))))</f>
        <v/>
      </c>
      <c r="CF295" s="1" t="str">
        <f aca="false">IF(OR(NOT(AND(ISNUMBER(E295),ISNUMBER(F295))),$J$2=""),"",IF(Reprogramaciones!W$13&lt;Reprogramaciones!$T$15,0,IF(Reprogramaciones!W$14&gt;10,MIN(100,SUM($G295:$P295)),MIN(100,SUMPRODUCT((COLUMN($G295:$P295)-COLUMN($G295)+1&lt;Reprogramaciones!W$14)*$G295:$P295)+N(INDEX($G295:$P295,1,Reprogramaciones!W$14))*IF(Reprogramaciones!W$13&gt;=(Reprogramaciones!$T$15+7*(Reprogramaciones!W$14-1))+6,1,IF(MAX(0,NETWORKDAYS.INTL(MAX(E295,(Reprogramaciones!$T$15+7*(Reprogramaciones!W$14-1))),MIN(F295,(Reprogramaciones!$T$15+7*(Reprogramaciones!W$14-1))+6),11))=0,0,MAX(0,NETWORKDAYS.INTL(MAX(E295,(Reprogramaciones!$T$15+7*(Reprogramaciones!W$14-1))),MIN(F295,Reprogramaciones!W$13),11))/MAX(0,NETWORKDAYS.INTL(MAX(E295,(Reprogramaciones!$T$15+7*(Reprogramaciones!W$14-1))),MIN(F295,(Reprogramaciones!$T$15+7*(Reprogramaciones!W$14-1))+6),11))))))))</f>
        <v/>
      </c>
      <c r="CG295" s="1" t="str">
        <f aca="false">IF(OR(NOT(AND(ISNUMBER(E295),ISNUMBER(F295))),$J$2=""),"",IF(Reprogramaciones!X$13&lt;Reprogramaciones!$T$15,0,IF(Reprogramaciones!X$14&gt;10,MIN(100,SUM($G295:$P295)),MIN(100,SUMPRODUCT((COLUMN($G295:$P295)-COLUMN($G295)+1&lt;Reprogramaciones!X$14)*$G295:$P295)+N(INDEX($G295:$P295,1,Reprogramaciones!X$14))*IF(Reprogramaciones!X$13&gt;=(Reprogramaciones!$T$15+7*(Reprogramaciones!X$14-1))+6,1,IF(MAX(0,NETWORKDAYS.INTL(MAX(E295,(Reprogramaciones!$T$15+7*(Reprogramaciones!X$14-1))),MIN(F295,(Reprogramaciones!$T$15+7*(Reprogramaciones!X$14-1))+6),11))=0,0,MAX(0,NETWORKDAYS.INTL(MAX(E295,(Reprogramaciones!$T$15+7*(Reprogramaciones!X$14-1))),MIN(F295,Reprogramaciones!X$13),11))/MAX(0,NETWORKDAYS.INTL(MAX(E295,(Reprogramaciones!$T$15+7*(Reprogramaciones!X$14-1))),MIN(F295,(Reprogramaciones!$T$15+7*(Reprogramaciones!X$14-1))+6),11))))))))</f>
        <v/>
      </c>
      <c r="CH295" s="1" t="str">
        <f aca="false">IF(OR(NOT(AND(ISNUMBER(E295),ISNUMBER(F295))),$J$2=""),"",IF(Reprogramaciones!Y$13&lt;Reprogramaciones!$T$15,0,IF(Reprogramaciones!Y$14&gt;10,MIN(100,SUM($G295:$P295)),MIN(100,SUMPRODUCT((COLUMN($G295:$P295)-COLUMN($G295)+1&lt;Reprogramaciones!Y$14)*$G295:$P295)+N(INDEX($G295:$P295,1,Reprogramaciones!Y$14))*IF(Reprogramaciones!Y$13&gt;=(Reprogramaciones!$T$15+7*(Reprogramaciones!Y$14-1))+6,1,IF(MAX(0,NETWORKDAYS.INTL(MAX(E295,(Reprogramaciones!$T$15+7*(Reprogramaciones!Y$14-1))),MIN(F295,(Reprogramaciones!$T$15+7*(Reprogramaciones!Y$14-1))+6),11))=0,0,MAX(0,NETWORKDAYS.INTL(MAX(E295,(Reprogramaciones!$T$15+7*(Reprogramaciones!Y$14-1))),MIN(F295,Reprogramaciones!Y$13),11))/MAX(0,NETWORKDAYS.INTL(MAX(E295,(Reprogramaciones!$T$15+7*(Reprogramaciones!Y$14-1))),MIN(F295,(Reprogramaciones!$T$15+7*(Reprogramaciones!Y$14-1))+6),11))))))))</f>
        <v/>
      </c>
      <c r="CI295" s="1" t="str">
        <f aca="false">IF(OR(NOT(AND(ISNUMBER(E295),ISNUMBER(F295))),$J$2=""),"",IF(Reprogramaciones!Z$13&lt;Reprogramaciones!$T$15,0,IF(Reprogramaciones!Z$14&gt;10,MIN(100,SUM($G295:$P295)),MIN(100,SUMPRODUCT((COLUMN($G295:$P295)-COLUMN($G295)+1&lt;Reprogramaciones!Z$14)*$G295:$P295)+N(INDEX($G295:$P295,1,Reprogramaciones!Z$14))*IF(Reprogramaciones!Z$13&gt;=(Reprogramaciones!$T$15+7*(Reprogramaciones!Z$14-1))+6,1,IF(MAX(0,NETWORKDAYS.INTL(MAX(E295,(Reprogramaciones!$T$15+7*(Reprogramaciones!Z$14-1))),MIN(F295,(Reprogramaciones!$T$15+7*(Reprogramaciones!Z$14-1))+6),11))=0,0,MAX(0,NETWORKDAYS.INTL(MAX(E295,(Reprogramaciones!$T$15+7*(Reprogramaciones!Z$14-1))),MIN(F295,Reprogramaciones!Z$13),11))/MAX(0,NETWORKDAYS.INTL(MAX(E295,(Reprogramaciones!$T$15+7*(Reprogramaciones!Z$14-1))),MIN(F295,(Reprogramaciones!$T$15+7*(Reprogramaciones!Z$14-1))+6),11))))))))</f>
        <v/>
      </c>
      <c r="CJ295" s="1" t="str">
        <f aca="false">IF(OR(OR(NOT(AND(ISNUMBER(E295),ISNUMBER(F295))),$J$2=""),1&gt;Reprogramaciones!$K$16),"",IF(ROUND(SUM($Q295:Q295),1)&gt;=99.5,100,MIN(100,ROUND(SUM($Q295:Q295),1))))</f>
        <v/>
      </c>
      <c r="CK295" s="1" t="str">
        <f aca="false">IF(OR(OR(NOT(AND(ISNUMBER(E295),ISNUMBER(F295))),$J$2=""),2&gt;Reprogramaciones!$K$16),"",IF(ROUND(SUM($Q295:R295),1)&gt;=99.5,100,MIN(100,ROUND(SUM($Q295:R295),1))))</f>
        <v/>
      </c>
      <c r="CL295" s="1" t="str">
        <f aca="false">IF(OR(OR(NOT(AND(ISNUMBER(E295),ISNUMBER(F295))),$J$2=""),3&gt;Reprogramaciones!$K$16),"",IF(ROUND(SUM($Q295:S295),1)&gt;=99.5,100,MIN(100,ROUND(SUM($Q295:S295),1))))</f>
        <v/>
      </c>
      <c r="CM295" s="1" t="str">
        <f aca="false">IF(OR(OR(NOT(AND(ISNUMBER(E295),ISNUMBER(F295))),$J$2=""),4&gt;Reprogramaciones!$K$16),"",IF(ROUND(SUM($Q295:T295),1)&gt;=99.5,100,MIN(100,ROUND(SUM($Q295:T295),1))))</f>
        <v/>
      </c>
      <c r="CN295" s="1" t="str">
        <f aca="false">IF(OR(OR(NOT(AND(ISNUMBER(E295),ISNUMBER(F295))),$J$2=""),5&gt;Reprogramaciones!$K$16),"",IF(ROUND(SUM($Q295:U295),1)&gt;=99.5,100,MIN(100,ROUND(SUM($Q295:U295),1))))</f>
        <v/>
      </c>
      <c r="CO295" s="1" t="str">
        <f aca="false">IF(OR(OR(NOT(AND(ISNUMBER(E295),ISNUMBER(F295))),$J$2=""),6&gt;Reprogramaciones!$K$16),"",IF(ROUND(SUM($Q295:V295),1)&gt;=99.5,100,MIN(100,ROUND(SUM($Q295:V295),1))))</f>
        <v/>
      </c>
      <c r="CP295" s="1" t="str">
        <f aca="false">IF(OR(OR(NOT(AND(ISNUMBER(E295),ISNUMBER(F295))),$J$2=""),7&gt;Reprogramaciones!$K$16),"",IF(ROUND(SUM($Q295:W295),1)&gt;=99.5,100,MIN(100,ROUND(SUM($Q295:W295),1))))</f>
        <v/>
      </c>
      <c r="CQ295" s="1" t="str">
        <f aca="false">IF(OR(OR(NOT(AND(ISNUMBER(E295),ISNUMBER(F295))),$J$2=""),8&gt;Reprogramaciones!$K$16),"",IF(ROUND(SUM($Q295:X295),1)&gt;=99.5,100,MIN(100,ROUND(SUM($Q295:X295),1))))</f>
        <v/>
      </c>
      <c r="CR295" s="1" t="str">
        <f aca="false">IF(OR(OR(NOT(AND(ISNUMBER(E295),ISNUMBER(F295))),$J$2=""),9&gt;Reprogramaciones!$K$16),"",IF(ROUND(SUM($Q295:Y295),1)&gt;=99.5,100,MIN(100,ROUND(SUM($Q295:Y295),1))))</f>
        <v/>
      </c>
      <c r="CS295" s="1" t="str">
        <f aca="false">IF(OR(OR(NOT(AND(ISNUMBER(E295),ISNUMBER(F295))),$J$2=""),10&gt;Reprogramaciones!$K$16),"",IF(ROUND(SUM($Q295:Z295),1)&gt;=99.5,100,MIN(100,ROUND(SUM($Q295:Z295),1))))</f>
        <v/>
      </c>
      <c r="CT295" s="1" t="str">
        <f aca="false">IF(OR(OR(NOT(AND(ISNUMBER(E295),ISNUMBER(F295))),$J$2=""),11&gt;Reprogramaciones!$K$16),"",IF(ROUND(SUM($Q295:AA295),1)&gt;=99.5,100,MIN(100,ROUND(SUM($Q295:AA295),1))))</f>
        <v/>
      </c>
      <c r="CU295" s="1" t="str">
        <f aca="false">IF(OR(OR(NOT(AND(ISNUMBER(E295),ISNUMBER(F295))),$J$2=""),12&gt;Reprogramaciones!$K$16),"",IF(ROUND(SUM($Q295:AB295),1)&gt;=99.5,100,MIN(100,ROUND(SUM($Q295:AB295),1))))</f>
        <v/>
      </c>
      <c r="CV295" s="1" t="str">
        <f aca="false">IF(OR(OR(NOT(AND(ISNUMBER(E295),ISNUMBER(F295))),$J$2=""),13&gt;Reprogramaciones!$K$16),"",IF(ROUND(SUM($Q295:AC295),1)&gt;=99.5,100,MIN(100,ROUND(SUM($Q295:AC295),1))))</f>
        <v/>
      </c>
      <c r="CW295" s="1" t="str">
        <f aca="false">IF(OR(OR(NOT(AND(ISNUMBER(E295),ISNUMBER(F295))),$J$2=""),14&gt;Reprogramaciones!$K$16),"",IF(ROUND(SUM($Q295:AD295),1)&gt;=99.5,100,MIN(100,ROUND(SUM($Q295:AD295),1))))</f>
        <v/>
      </c>
      <c r="CX295" s="1" t="str">
        <f aca="false">IF(OR(OR(NOT(AND(ISNUMBER(E295),ISNUMBER(F295))),$J$2=""),15&gt;Reprogramaciones!$K$16),"",IF(ROUND(SUM($Q295:AE295),1)&gt;=99.5,100,MIN(100,ROUND(SUM($Q295:AE295),1))))</f>
        <v/>
      </c>
      <c r="CY295" s="1" t="str">
        <f aca="false">IF(OR(OR(NOT(AND(ISNUMBER(E295),ISNUMBER(F295))),$J$2=""),16&gt;Reprogramaciones!$K$16),"",IF(ROUND(SUM($Q295:AF295),1)&gt;=99.5,100,MIN(100,ROUND(SUM($Q295:AF295),1))))</f>
        <v/>
      </c>
      <c r="CZ295" s="1" t="str">
        <f aca="false">IF(D295&lt;&gt;"",D295,IF(B295&lt;&gt;"","Contractual",CZ294))</f>
        <v>Contractual</v>
      </c>
      <c r="DA295" s="1" t="str">
        <f aca="false">IF(OR(NOT(AND(ISNUMBER(E295),ISNUMBER(F295))),$J$2=""),"",IF(Reprogramaciones!$Q$15&lt;Reprogramaciones!$T$15,0,IF(Reprogramaciones!$S$15&gt;10,MIN(100,SUM($G295:$P295)),MIN(100,SUMPRODUCT((COLUMN($G295:$P295)-COLUMN($G295)+1&lt;Reprogramaciones!$S$15)*$G295:$P295)+N(INDEX($G295:$P295,1,Reprogramaciones!$S$15))*IF(Reprogramaciones!$Q$15&gt;=(Reprogramaciones!$T$15+7*(Reprogramaciones!$S$15-1))+6,1,IF(MAX(0,NETWORKDAYS.INTL(MAX(E295,(Reprogramaciones!$T$15+7*(Reprogramaciones!$S$15-1))),MIN(F295,(Reprogramaciones!$T$15+7*(Reprogramaciones!$S$15-1))+6),11))=0,0,MAX(0,NETWORKDAYS.INTL(MAX(E295,(Reprogramaciones!$T$15+7*(Reprogramaciones!$S$15-1))),MIN(F295,Reprogramaciones!$Q$15),11))/MAX(0,NETWORKDAYS.INTL(MAX(E295,(Reprogramaciones!$T$15+7*(Reprogramaciones!$S$15-1))),MIN(F295,(Reprogramaciones!$T$15+7*(Reprogramaciones!$S$15-1))+6),11))))))))</f>
        <v/>
      </c>
    </row>
    <row r="296" customFormat="false" ht="15" hidden="false" customHeight="false" outlineLevel="0" collapsed="false">
      <c r="A296" s="32"/>
      <c r="B296" s="33"/>
      <c r="C296" s="33"/>
      <c r="D296" s="34"/>
      <c r="E296" s="35"/>
      <c r="F296" s="35"/>
      <c r="G296" s="36" t="str">
        <f aca="false">IF(OR(NOT(AND(ISNUMBER(E296),ISNUMBER(F296))),$J$2=""),"",IF(Reprogramaciones!K$9&lt;E296,0,IF(NETWORKDAYS.INTL(E296,F296,11)=0,IF(Reprogramaciones!K$9&gt;=F296,100,0),ROUND(NETWORKDAYS.INTL(E296,MIN(F296,Reprogramaciones!K$9),11)/NETWORKDAYS.INTL(E296,F296,11)*100,1)))-0)</f>
        <v/>
      </c>
      <c r="H296" s="36" t="str">
        <f aca="false">IF(OR(NOT(AND(ISNUMBER(E296),ISNUMBER(F296))),$J$2=""),"",IF(Reprogramaciones!L$9&lt;E296,0,IF(NETWORKDAYS.INTL(E296,F296,11)=0,IF(Reprogramaciones!L$9&gt;=F296,100,0),ROUND(NETWORKDAYS.INTL(E296,MIN(F296,Reprogramaciones!L$9),11)/NETWORKDAYS.INTL(E296,F296,11)*100,1)))-IF(Reprogramaciones!K$9&lt;E296,0,IF(NETWORKDAYS.INTL(E296,F296,11)=0,IF(Reprogramaciones!K$9&gt;=F296,100,0),ROUND(NETWORKDAYS.INTL(E296,MIN(F296,Reprogramaciones!K$9),11)/NETWORKDAYS.INTL(E296,F296,11)*100,1))))</f>
        <v/>
      </c>
      <c r="I296" s="36" t="str">
        <f aca="false">IF(OR(NOT(AND(ISNUMBER(E296),ISNUMBER(F296))),$J$2=""),"",IF(Reprogramaciones!M$9&lt;E296,0,IF(NETWORKDAYS.INTL(E296,F296,11)=0,IF(Reprogramaciones!M$9&gt;=F296,100,0),ROUND(NETWORKDAYS.INTL(E296,MIN(F296,Reprogramaciones!M$9),11)/NETWORKDAYS.INTL(E296,F296,11)*100,1)))-IF(Reprogramaciones!L$9&lt;E296,0,IF(NETWORKDAYS.INTL(E296,F296,11)=0,IF(Reprogramaciones!L$9&gt;=F296,100,0),ROUND(NETWORKDAYS.INTL(E296,MIN(F296,Reprogramaciones!L$9),11)/NETWORKDAYS.INTL(E296,F296,11)*100,1))))</f>
        <v/>
      </c>
      <c r="J296" s="36" t="str">
        <f aca="false">IF(OR(NOT(AND(ISNUMBER(E296),ISNUMBER(F296))),$J$2=""),"",IF(Reprogramaciones!N$9&lt;E296,0,IF(NETWORKDAYS.INTL(E296,F296,11)=0,IF(Reprogramaciones!N$9&gt;=F296,100,0),ROUND(NETWORKDAYS.INTL(E296,MIN(F296,Reprogramaciones!N$9),11)/NETWORKDAYS.INTL(E296,F296,11)*100,1)))-IF(Reprogramaciones!M$9&lt;E296,0,IF(NETWORKDAYS.INTL(E296,F296,11)=0,IF(Reprogramaciones!M$9&gt;=F296,100,0),ROUND(NETWORKDAYS.INTL(E296,MIN(F296,Reprogramaciones!M$9),11)/NETWORKDAYS.INTL(E296,F296,11)*100,1))))</f>
        <v/>
      </c>
      <c r="K296" s="36" t="str">
        <f aca="false">IF(OR(NOT(AND(ISNUMBER(E296),ISNUMBER(F296))),$J$2=""),"",IF(Reprogramaciones!O$9&lt;E296,0,IF(NETWORKDAYS.INTL(E296,F296,11)=0,IF(Reprogramaciones!O$9&gt;=F296,100,0),ROUND(NETWORKDAYS.INTL(E296,MIN(F296,Reprogramaciones!O$9),11)/NETWORKDAYS.INTL(E296,F296,11)*100,1)))-IF(Reprogramaciones!N$9&lt;E296,0,IF(NETWORKDAYS.INTL(E296,F296,11)=0,IF(Reprogramaciones!N$9&gt;=F296,100,0),ROUND(NETWORKDAYS.INTL(E296,MIN(F296,Reprogramaciones!N$9),11)/NETWORKDAYS.INTL(E296,F296,11)*100,1))))</f>
        <v/>
      </c>
      <c r="L296" s="36" t="str">
        <f aca="false">IF(OR(NOT(AND(ISNUMBER(E296),ISNUMBER(F296))),$J$2=""),"",IF(Reprogramaciones!P$9&lt;E296,0,IF(NETWORKDAYS.INTL(E296,F296,11)=0,IF(Reprogramaciones!P$9&gt;=F296,100,0),ROUND(NETWORKDAYS.INTL(E296,MIN(F296,Reprogramaciones!P$9),11)/NETWORKDAYS.INTL(E296,F296,11)*100,1)))-IF(Reprogramaciones!O$9&lt;E296,0,IF(NETWORKDAYS.INTL(E296,F296,11)=0,IF(Reprogramaciones!O$9&gt;=F296,100,0),ROUND(NETWORKDAYS.INTL(E296,MIN(F296,Reprogramaciones!O$9),11)/NETWORKDAYS.INTL(E296,F296,11)*100,1))))</f>
        <v/>
      </c>
      <c r="M296" s="36" t="str">
        <f aca="false">IF(OR(NOT(AND(ISNUMBER(E296),ISNUMBER(F296))),$J$2=""),"",IF(Reprogramaciones!Q$9&lt;E296,0,IF(NETWORKDAYS.INTL(E296,F296,11)=0,IF(Reprogramaciones!Q$9&gt;=F296,100,0),ROUND(NETWORKDAYS.INTL(E296,MIN(F296,Reprogramaciones!Q$9),11)/NETWORKDAYS.INTL(E296,F296,11)*100,1)))-IF(Reprogramaciones!P$9&lt;E296,0,IF(NETWORKDAYS.INTL(E296,F296,11)=0,IF(Reprogramaciones!P$9&gt;=F296,100,0),ROUND(NETWORKDAYS.INTL(E296,MIN(F296,Reprogramaciones!P$9),11)/NETWORKDAYS.INTL(E296,F296,11)*100,1))))</f>
        <v/>
      </c>
      <c r="N296" s="36" t="str">
        <f aca="false">IF(OR(NOT(AND(ISNUMBER(E296),ISNUMBER(F296))),$J$2=""),"",IF(Reprogramaciones!R$9&lt;E296,0,IF(NETWORKDAYS.INTL(E296,F296,11)=0,IF(Reprogramaciones!R$9&gt;=F296,100,0),ROUND(NETWORKDAYS.INTL(E296,MIN(F296,Reprogramaciones!R$9),11)/NETWORKDAYS.INTL(E296,F296,11)*100,1)))-IF(Reprogramaciones!Q$9&lt;E296,0,IF(NETWORKDAYS.INTL(E296,F296,11)=0,IF(Reprogramaciones!Q$9&gt;=F296,100,0),ROUND(NETWORKDAYS.INTL(E296,MIN(F296,Reprogramaciones!Q$9),11)/NETWORKDAYS.INTL(E296,F296,11)*100,1))))</f>
        <v/>
      </c>
      <c r="O296" s="36" t="str">
        <f aca="false">IF(OR(NOT(AND(ISNUMBER(E296),ISNUMBER(F296))),$J$2=""),"",IF(Reprogramaciones!S$9&lt;E296,0,IF(NETWORKDAYS.INTL(E296,F296,11)=0,IF(Reprogramaciones!S$9&gt;=F296,100,0),ROUND(NETWORKDAYS.INTL(E296,MIN(F296,Reprogramaciones!S$9),11)/NETWORKDAYS.INTL(E296,F296,11)*100,1)))-IF(Reprogramaciones!R$9&lt;E296,0,IF(NETWORKDAYS.INTL(E296,F296,11)=0,IF(Reprogramaciones!R$9&gt;=F296,100,0),ROUND(NETWORKDAYS.INTL(E296,MIN(F296,Reprogramaciones!R$9),11)/NETWORKDAYS.INTL(E296,F296,11)*100,1))))</f>
        <v/>
      </c>
      <c r="P296" s="36" t="str">
        <f aca="false">IF(OR(NOT(AND(ISNUMBER(E296),ISNUMBER(F296))),$J$2=""),"",IF(Reprogramaciones!T$9&lt;E296,0,IF(NETWORKDAYS.INTL(E296,F296,11)=0,IF(Reprogramaciones!T$9&gt;=F296,100,0),ROUND(NETWORKDAYS.INTL(E296,MIN(F296,Reprogramaciones!T$9),11)/NETWORKDAYS.INTL(E296,F296,11)*100,1)))-IF(Reprogramaciones!S$9&lt;E296,0,IF(NETWORKDAYS.INTL(E296,F296,11)=0,IF(Reprogramaciones!S$9&gt;=F296,100,0),ROUND(NETWORKDAYS.INTL(E296,MIN(F296,Reprogramaciones!S$9),11)/NETWORKDAYS.INTL(E296,F296,11)*100,1))))</f>
        <v/>
      </c>
      <c r="Q296" s="37"/>
      <c r="R296" s="37"/>
      <c r="S296" s="37"/>
      <c r="T296" s="37"/>
      <c r="U296" s="37"/>
      <c r="V296" s="37"/>
      <c r="W296" s="37"/>
      <c r="X296" s="37"/>
      <c r="Y296" s="37"/>
      <c r="Z296" s="37"/>
      <c r="AA296" s="37"/>
      <c r="AB296" s="37"/>
      <c r="AC296" s="37"/>
      <c r="AD296" s="37"/>
      <c r="AE296" s="37"/>
      <c r="AF296" s="37"/>
      <c r="AG296" s="38" t="str">
        <f aca="false">IF(AND(ISNUMBER(E296),ISNUMBER(F296)),NETWORKDAYS.INTL(E296,F296,11),"")</f>
        <v/>
      </c>
      <c r="AH296" s="38" t="str">
        <f aca="false">IF(OR(NOT(AND(ISNUMBER(E296),ISNUMBER(F296))),$J$2=""),"",IF(Reprogramaciones!$P$15&lt;Reprogramaciones!$T$15,0,IF(Reprogramaciones!$R$15&gt;10,MIN(100,SUM($G296:$P296)),MIN(100,SUMPRODUCT((COLUMN($G296:$P296)-COLUMN($G296)+1&lt;Reprogramaciones!$R$15)*$G296:$P296)+N(INDEX($G296:$P296,1,Reprogramaciones!$R$15))*IF(Reprogramaciones!$P$15&gt;=(Reprogramaciones!$T$15+7*(Reprogramaciones!$R$15-1))+6,1,IF(MAX(0,NETWORKDAYS.INTL(MAX(E296,(Reprogramaciones!$T$15+7*(Reprogramaciones!$R$15-1))),MIN(F296,(Reprogramaciones!$T$15+7*(Reprogramaciones!$R$15-1))+6),11))=0,0,MAX(0,NETWORKDAYS.INTL(MAX(E296,(Reprogramaciones!$T$15+7*(Reprogramaciones!$R$15-1))),MIN(F296,Reprogramaciones!$P$15),11))/MAX(0,NETWORKDAYS.INTL(MAX(E296,(Reprogramaciones!$T$15+7*(Reprogramaciones!$R$15-1))),MIN(F296,(Reprogramaciones!$T$15+7*(Reprogramaciones!$R$15-1))+6),11))))))))</f>
        <v/>
      </c>
      <c r="AI296" s="38" t="str">
        <f aca="false">IF(COUNT($Q296:$AF296)=0,"",IF(ROUND(SUM($Q296:$AF296),1)&gt;=99.5,100,MIN(100,ROUND(SUM($Q296:$AF296),1))))</f>
        <v/>
      </c>
      <c r="AJ296" s="38" t="str">
        <f aca="false">IF(OR(AH296="",AI296=""),"",AI296-AH296)</f>
        <v/>
      </c>
      <c r="AK296" s="39" t="str">
        <f aca="true">IF(AH296="","",IF(OR(Ficha!$C$10="Suspendida",Ficha!$C$10="Cancelada"),Ficha!$C$10,IF(AND(AI296&lt;&gt;"",N(AI296)&gt;=100),"Completada",IF(AND(E296&gt;TODAY(),N(AI296)=0),"Por iniciar",IF(N(AI296)+0.5&lt;AH296,"Retrasada",IF(N(AI296)+0.5&lt;DA296,IF(Reprogramaciones!$K$15&gt;0,"Al día · Sem "&amp;Reprogramaciones!$K$15&amp;" en curso","Al día · en curso"),"A tiempo"))))))</f>
        <v/>
      </c>
      <c r="AL296" s="39" t="str">
        <f aca="true">IF(AND(A296="",AND(B296="",C296="",E296="",F296="",COUNT(Q296:AF296)=0)),"",IF(AND(B296="",C296="",E296="",F296="",COUNT(Q296:AF296)=0),"Falta la partida o subpartida",IF(AND(A296&lt;&gt;"",COUNTIF($A$6:$A$305,A296)&gt;1),"Ítem repetido",IF(AND(C296="",E296="",F296="",COUNT(Q296:AF296)=0),"Título de partida",IF(OR(E296="",F296=""),"Faltan fechas",IF(OR(ISTEXT(E296),ISTEXT(F296)),"Fecha escrita como texto: usa dd/mm/aaaa",IF(F296&lt;E296,"Fin antes del inicio",IF(IF($J$2="",FALSE(),OR(E296&lt;$J$2,F296&gt;Reprogramaciones!$T$15+69)),"Fuera de las 10 semanas",IF(ABS(SUM(G296:P296)-100)&gt;0.5,"La meta no suma 100%",IF(ROUND(SUM(Q296:AF296),1)&gt;100.5,"El avance pasa de 100%",IF(MIN(Q296:AF296)&lt;0,"Avance negativo",IF(COUNTA(Q296:AF296)&gt;COUNT(Q296:AF296),"Avance escrito como texto",IF(SUMPRODUCT((Q296:AF296&gt;0)*(Q296:AF296&lt;1))&gt;0,"Avance menor a 1: escribe 50, no 50%",IF(SUMPRODUCT(ISNUMBER(Q296:AF296)*(Reprogramaciones!$K$8:$Z$8&gt;TODAY()))&gt;0,"Avance en semana que aún no llega",IF(AND(N(Reprogramaciones!$E$21)&gt;0,F296&gt;Reprogramaciones!$E$21),"Pasa el fin de la obra: registra una reprogramación",IF(AND(N(Reprogramaciones!$E$21)&gt;0,SUMPRODUCT(ISNUMBER(Q296:AF296)*(Reprogramaciones!$K$8:$Z$8&gt;Reprogramaciones!$E$21))&gt;0),"Avance después del fin de la obra: registra una reprogramación por atraso","OK"))))))))))))))))</f>
        <v/>
      </c>
      <c r="AM296" s="40" t="str">
        <f aca="false">IF(OR(OR(NOT(AND(ISNUMBER(E296),ISNUMBER(F296))),$J$2=""),1&gt;MAX(1,Reprogramaciones!$U$15)),"",IF(Reprogramaciones!K$12&gt;=7,"",IF(OR(BT296-N(0)&gt;0.05,N(Q296)&gt;0),ROUNDDOWN(ROUND(BT296,6),0)&amp;"%"&amp;IF(CJ296="",""," / "&amp;CJ296&amp;"%"),IF(AND(N(0)&gt;=99.95,CJ296&lt;&gt;"",N(CJ296)&lt;100),"Pend. "&amp;CJ296&amp;"%",""))))</f>
        <v/>
      </c>
      <c r="AN296" s="40" t="str">
        <f aca="false">IF(OR(OR(NOT(AND(ISNUMBER(E296),ISNUMBER(F296))),$J$2=""),2&gt;MAX(1,Reprogramaciones!$U$15)),"",IF(Reprogramaciones!L$12&gt;=7,"",IF(OR(BU296-N(BT296)&gt;0.05,N(R296)&gt;0),ROUNDDOWN(ROUND(BU296,6),0)&amp;"%"&amp;IF(CK296="",""," / "&amp;CK296&amp;"%"),IF(AND(N(BT296)&gt;=99.95,CK296&lt;&gt;"",N(CK296)&lt;100),"Pend. "&amp;CK296&amp;"%",""))))</f>
        <v/>
      </c>
      <c r="AO296" s="40" t="str">
        <f aca="false">IF(OR(OR(NOT(AND(ISNUMBER(E296),ISNUMBER(F296))),$J$2=""),3&gt;MAX(1,Reprogramaciones!$U$15)),"",IF(Reprogramaciones!M$12&gt;=7,"",IF(OR(BV296-N(BU296)&gt;0.05,N(S296)&gt;0),ROUNDDOWN(ROUND(BV296,6),0)&amp;"%"&amp;IF(CL296="",""," / "&amp;CL296&amp;"%"),IF(AND(N(BU296)&gt;=99.95,CL296&lt;&gt;"",N(CL296)&lt;100),"Pend. "&amp;CL296&amp;"%",""))))</f>
        <v/>
      </c>
      <c r="AP296" s="40" t="str">
        <f aca="false">IF(OR(OR(NOT(AND(ISNUMBER(E296),ISNUMBER(F296))),$J$2=""),4&gt;MAX(1,Reprogramaciones!$U$15)),"",IF(Reprogramaciones!N$12&gt;=7,"",IF(OR(BW296-N(BV296)&gt;0.05,N(T296)&gt;0),ROUNDDOWN(ROUND(BW296,6),0)&amp;"%"&amp;IF(CM296="",""," / "&amp;CM296&amp;"%"),IF(AND(N(BV296)&gt;=99.95,CM296&lt;&gt;"",N(CM296)&lt;100),"Pend. "&amp;CM296&amp;"%",""))))</f>
        <v/>
      </c>
      <c r="AQ296" s="40" t="str">
        <f aca="false">IF(OR(OR(NOT(AND(ISNUMBER(E296),ISNUMBER(F296))),$J$2=""),5&gt;MAX(1,Reprogramaciones!$U$15)),"",IF(Reprogramaciones!O$12&gt;=7,"",IF(OR(BX296-N(BW296)&gt;0.05,N(U296)&gt;0),ROUNDDOWN(ROUND(BX296,6),0)&amp;"%"&amp;IF(CN296="",""," / "&amp;CN296&amp;"%"),IF(AND(N(BW296)&gt;=99.95,CN296&lt;&gt;"",N(CN296)&lt;100),"Pend. "&amp;CN296&amp;"%",""))))</f>
        <v/>
      </c>
      <c r="AR296" s="40" t="str">
        <f aca="false">IF(OR(OR(NOT(AND(ISNUMBER(E296),ISNUMBER(F296))),$J$2=""),6&gt;MAX(1,Reprogramaciones!$U$15)),"",IF(Reprogramaciones!P$12&gt;=7,"",IF(OR(BY296-N(BX296)&gt;0.05,N(V296)&gt;0),ROUNDDOWN(ROUND(BY296,6),0)&amp;"%"&amp;IF(CO296="",""," / "&amp;CO296&amp;"%"),IF(AND(N(BX296)&gt;=99.95,CO296&lt;&gt;"",N(CO296)&lt;100),"Pend. "&amp;CO296&amp;"%",""))))</f>
        <v/>
      </c>
      <c r="AS296" s="40" t="str">
        <f aca="false">IF(OR(OR(NOT(AND(ISNUMBER(E296),ISNUMBER(F296))),$J$2=""),7&gt;MAX(1,Reprogramaciones!$U$15)),"",IF(Reprogramaciones!Q$12&gt;=7,"",IF(OR(BZ296-N(BY296)&gt;0.05,N(W296)&gt;0),ROUNDDOWN(ROUND(BZ296,6),0)&amp;"%"&amp;IF(CP296="",""," / "&amp;CP296&amp;"%"),IF(AND(N(BY296)&gt;=99.95,CP296&lt;&gt;"",N(CP296)&lt;100),"Pend. "&amp;CP296&amp;"%",""))))</f>
        <v/>
      </c>
      <c r="AT296" s="40" t="str">
        <f aca="false">IF(OR(OR(NOT(AND(ISNUMBER(E296),ISNUMBER(F296))),$J$2=""),8&gt;MAX(1,Reprogramaciones!$U$15)),"",IF(Reprogramaciones!R$12&gt;=7,"",IF(OR(CA296-N(BZ296)&gt;0.05,N(X296)&gt;0),ROUNDDOWN(ROUND(CA296,6),0)&amp;"%"&amp;IF(CQ296="",""," / "&amp;CQ296&amp;"%"),IF(AND(N(BZ296)&gt;=99.95,CQ296&lt;&gt;"",N(CQ296)&lt;100),"Pend. "&amp;CQ296&amp;"%",""))))</f>
        <v/>
      </c>
      <c r="AU296" s="40" t="str">
        <f aca="false">IF(OR(OR(NOT(AND(ISNUMBER(E296),ISNUMBER(F296))),$J$2=""),9&gt;MAX(1,Reprogramaciones!$U$15)),"",IF(Reprogramaciones!S$12&gt;=7,"",IF(OR(CB296-N(CA296)&gt;0.05,N(Y296)&gt;0),ROUNDDOWN(ROUND(CB296,6),0)&amp;"%"&amp;IF(CR296="",""," / "&amp;CR296&amp;"%"),IF(AND(N(CA296)&gt;=99.95,CR296&lt;&gt;"",N(CR296)&lt;100),"Pend. "&amp;CR296&amp;"%",""))))</f>
        <v/>
      </c>
      <c r="AV296" s="40" t="str">
        <f aca="false">IF(OR(OR(NOT(AND(ISNUMBER(E296),ISNUMBER(F296))),$J$2=""),10&gt;MAX(1,Reprogramaciones!$U$15)),"",IF(Reprogramaciones!T$12&gt;=7,"",IF(OR(CC296-N(CB296)&gt;0.05,N(Z296)&gt;0),ROUNDDOWN(ROUND(CC296,6),0)&amp;"%"&amp;IF(CS296="",""," / "&amp;CS296&amp;"%"),IF(AND(N(CB296)&gt;=99.95,CS296&lt;&gt;"",N(CS296)&lt;100),"Pend. "&amp;CS296&amp;"%",""))))</f>
        <v/>
      </c>
      <c r="AW296" s="40" t="str">
        <f aca="false">IF(OR(OR(NOT(AND(ISNUMBER(E296),ISNUMBER(F296))),$J$2=""),11&gt;MAX(1,Reprogramaciones!$U$15)),"",IF(Reprogramaciones!U$12&gt;=7,"",IF(OR(CD296-N(CC296)&gt;0.05,N(AA296)&gt;0),ROUNDDOWN(ROUND(CD296,6),0)&amp;"%"&amp;IF(CT296="",""," / "&amp;CT296&amp;"%"),IF(AND(N(CC296)&gt;=99.95,CT296&lt;&gt;"",N(CT296)&lt;100),"Pend. "&amp;CT296&amp;"%",""))))</f>
        <v/>
      </c>
      <c r="AX296" s="40" t="str">
        <f aca="false">IF(OR(OR(NOT(AND(ISNUMBER(E296),ISNUMBER(F296))),$J$2=""),12&gt;MAX(1,Reprogramaciones!$U$15)),"",IF(Reprogramaciones!V$12&gt;=7,"",IF(OR(CE296-N(CD296)&gt;0.05,N(AB296)&gt;0),ROUNDDOWN(ROUND(CE296,6),0)&amp;"%"&amp;IF(CU296="",""," / "&amp;CU296&amp;"%"),IF(AND(N(CD296)&gt;=99.95,CU296&lt;&gt;"",N(CU296)&lt;100),"Pend. "&amp;CU296&amp;"%",""))))</f>
        <v/>
      </c>
      <c r="AY296" s="40" t="str">
        <f aca="false">IF(OR(OR(NOT(AND(ISNUMBER(E296),ISNUMBER(F296))),$J$2=""),13&gt;MAX(1,Reprogramaciones!$U$15)),"",IF(Reprogramaciones!W$12&gt;=7,"",IF(OR(CF296-N(CE296)&gt;0.05,N(AC296)&gt;0),ROUNDDOWN(ROUND(CF296,6),0)&amp;"%"&amp;IF(CV296="",""," / "&amp;CV296&amp;"%"),IF(AND(N(CE296)&gt;=99.95,CV296&lt;&gt;"",N(CV296)&lt;100),"Pend. "&amp;CV296&amp;"%",""))))</f>
        <v/>
      </c>
      <c r="AZ296" s="40" t="str">
        <f aca="false">IF(OR(OR(NOT(AND(ISNUMBER(E296),ISNUMBER(F296))),$J$2=""),14&gt;MAX(1,Reprogramaciones!$U$15)),"",IF(Reprogramaciones!X$12&gt;=7,"",IF(OR(CG296-N(CF296)&gt;0.05,N(AD296)&gt;0),ROUNDDOWN(ROUND(CG296,6),0)&amp;"%"&amp;IF(CW296="",""," / "&amp;CW296&amp;"%"),IF(AND(N(CF296)&gt;=99.95,CW296&lt;&gt;"",N(CW296)&lt;100),"Pend. "&amp;CW296&amp;"%",""))))</f>
        <v/>
      </c>
      <c r="BA296" s="40" t="str">
        <f aca="false">IF(OR(OR(NOT(AND(ISNUMBER(E296),ISNUMBER(F296))),$J$2=""),15&gt;MAX(1,Reprogramaciones!$U$15)),"",IF(Reprogramaciones!Y$12&gt;=7,"",IF(OR(CH296-N(CG296)&gt;0.05,N(AE296)&gt;0),ROUNDDOWN(ROUND(CH296,6),0)&amp;"%"&amp;IF(CX296="",""," / "&amp;CX296&amp;"%"),IF(AND(N(CG296)&gt;=99.95,CX296&lt;&gt;"",N(CX296)&lt;100),"Pend. "&amp;CX296&amp;"%",""))))</f>
        <v/>
      </c>
      <c r="BB296" s="40" t="str">
        <f aca="false">IF(OR(OR(NOT(AND(ISNUMBER(E296),ISNUMBER(F296))),$J$2=""),16&gt;MAX(1,Reprogramaciones!$U$15)),"",IF(Reprogramaciones!Z$12&gt;=7,"",IF(OR(CI296-N(CH296)&gt;0.05,N(AF296)&gt;0),ROUNDDOWN(ROUND(CI296,6),0)&amp;"%"&amp;IF(CY296="",""," / "&amp;CY296&amp;"%"),IF(AND(N(CH296)&gt;=99.95,CY296&lt;&gt;"",N(CY296)&lt;100),"Pend. "&amp;CY296&amp;"%",""))))</f>
        <v/>
      </c>
      <c r="BC296" s="31" t="n">
        <f aca="false">IF(AND(ISNUMBER(E296),ISNUMBER(F296)),MAX(1,NETWORKDAYS.INTL(E296,F296,11)),0)</f>
        <v>0</v>
      </c>
      <c r="BD296" s="1" t="str">
        <f aca="false">IF(OR(NOT(AND(ISNUMBER(E296),ISNUMBER(F296))),$J$2=""),"",MIN(100,ROUND(SUM($G296:G296),1)))</f>
        <v/>
      </c>
      <c r="BE296" s="1" t="str">
        <f aca="false">IF(OR(NOT(AND(ISNUMBER(E296),ISNUMBER(F296))),$J$2=""),"",MIN(100,ROUND(SUM($G296:H296),1)))</f>
        <v/>
      </c>
      <c r="BF296" s="1" t="str">
        <f aca="false">IF(OR(NOT(AND(ISNUMBER(E296),ISNUMBER(F296))),$J$2=""),"",MIN(100,ROUND(SUM($G296:I296),1)))</f>
        <v/>
      </c>
      <c r="BG296" s="1" t="str">
        <f aca="false">IF(OR(NOT(AND(ISNUMBER(E296),ISNUMBER(F296))),$J$2=""),"",MIN(100,ROUND(SUM($G296:J296),1)))</f>
        <v/>
      </c>
      <c r="BH296" s="1" t="str">
        <f aca="false">IF(OR(NOT(AND(ISNUMBER(E296),ISNUMBER(F296))),$J$2=""),"",MIN(100,ROUND(SUM($G296:K296),1)))</f>
        <v/>
      </c>
      <c r="BI296" s="1" t="str">
        <f aca="false">IF(OR(NOT(AND(ISNUMBER(E296),ISNUMBER(F296))),$J$2=""),"",MIN(100,ROUND(SUM($G296:L296),1)))</f>
        <v/>
      </c>
      <c r="BJ296" s="1" t="str">
        <f aca="false">IF(OR(NOT(AND(ISNUMBER(E296),ISNUMBER(F296))),$J$2=""),"",MIN(100,ROUND(SUM($G296:M296),1)))</f>
        <v/>
      </c>
      <c r="BK296" s="1" t="str">
        <f aca="false">IF(OR(NOT(AND(ISNUMBER(E296),ISNUMBER(F296))),$J$2=""),"",MIN(100,ROUND(SUM($G296:N296),1)))</f>
        <v/>
      </c>
      <c r="BL296" s="1" t="str">
        <f aca="false">IF(OR(NOT(AND(ISNUMBER(E296),ISNUMBER(F296))),$J$2=""),"",MIN(100,ROUND(SUM($G296:O296),1)))</f>
        <v/>
      </c>
      <c r="BM296" s="1" t="str">
        <f aca="false">IF(OR(NOT(AND(ISNUMBER(E296),ISNUMBER(F296))),$J$2=""),"",MIN(100,ROUND(SUM($G296:P296),1)))</f>
        <v/>
      </c>
      <c r="BN296" s="1" t="str">
        <f aca="false">IF(OR(NOT(AND(ISNUMBER(E296),ISNUMBER(F296))),$J$2=""),"",MIN(100,ROUND(SUM($G296:P296),1)))</f>
        <v/>
      </c>
      <c r="BO296" s="1" t="str">
        <f aca="false">IF(OR(NOT(AND(ISNUMBER(E296),ISNUMBER(F296))),$J$2=""),"",MIN(100,ROUND(SUM($G296:P296),1)))</f>
        <v/>
      </c>
      <c r="BP296" s="1" t="str">
        <f aca="false">IF(OR(NOT(AND(ISNUMBER(E296),ISNUMBER(F296))),$J$2=""),"",MIN(100,ROUND(SUM($G296:P296),1)))</f>
        <v/>
      </c>
      <c r="BQ296" s="1" t="str">
        <f aca="false">IF(OR(NOT(AND(ISNUMBER(E296),ISNUMBER(F296))),$J$2=""),"",MIN(100,ROUND(SUM($G296:P296),1)))</f>
        <v/>
      </c>
      <c r="BR296" s="1" t="str">
        <f aca="false">IF(OR(NOT(AND(ISNUMBER(E296),ISNUMBER(F296))),$J$2=""),"",MIN(100,ROUND(SUM($G296:P296),1)))</f>
        <v/>
      </c>
      <c r="BS296" s="1" t="str">
        <f aca="false">IF(OR(NOT(AND(ISNUMBER(E296),ISNUMBER(F296))),$J$2=""),"",MIN(100,ROUND(SUM($G296:P296),1)))</f>
        <v/>
      </c>
      <c r="BT296" s="1" t="str">
        <f aca="false">IF(OR(NOT(AND(ISNUMBER(E296),ISNUMBER(F296))),$J$2=""),"",IF(Reprogramaciones!K$13&lt;Reprogramaciones!$T$15,0,IF(Reprogramaciones!K$14&gt;10,MIN(100,SUM($G296:$P296)),MIN(100,SUMPRODUCT((COLUMN($G296:$P296)-COLUMN($G296)+1&lt;Reprogramaciones!K$14)*$G296:$P296)+N(INDEX($G296:$P296,1,Reprogramaciones!K$14))*IF(Reprogramaciones!K$13&gt;=(Reprogramaciones!$T$15+7*(Reprogramaciones!K$14-1))+6,1,IF(MAX(0,NETWORKDAYS.INTL(MAX(E296,(Reprogramaciones!$T$15+7*(Reprogramaciones!K$14-1))),MIN(F296,(Reprogramaciones!$T$15+7*(Reprogramaciones!K$14-1))+6),11))=0,0,MAX(0,NETWORKDAYS.INTL(MAX(E296,(Reprogramaciones!$T$15+7*(Reprogramaciones!K$14-1))),MIN(F296,Reprogramaciones!K$13),11))/MAX(0,NETWORKDAYS.INTL(MAX(E296,(Reprogramaciones!$T$15+7*(Reprogramaciones!K$14-1))),MIN(F296,(Reprogramaciones!$T$15+7*(Reprogramaciones!K$14-1))+6),11))))))))</f>
        <v/>
      </c>
      <c r="BU296" s="1" t="str">
        <f aca="false">IF(OR(NOT(AND(ISNUMBER(E296),ISNUMBER(F296))),$J$2=""),"",IF(Reprogramaciones!L$13&lt;Reprogramaciones!$T$15,0,IF(Reprogramaciones!L$14&gt;10,MIN(100,SUM($G296:$P296)),MIN(100,SUMPRODUCT((COLUMN($G296:$P296)-COLUMN($G296)+1&lt;Reprogramaciones!L$14)*$G296:$P296)+N(INDEX($G296:$P296,1,Reprogramaciones!L$14))*IF(Reprogramaciones!L$13&gt;=(Reprogramaciones!$T$15+7*(Reprogramaciones!L$14-1))+6,1,IF(MAX(0,NETWORKDAYS.INTL(MAX(E296,(Reprogramaciones!$T$15+7*(Reprogramaciones!L$14-1))),MIN(F296,(Reprogramaciones!$T$15+7*(Reprogramaciones!L$14-1))+6),11))=0,0,MAX(0,NETWORKDAYS.INTL(MAX(E296,(Reprogramaciones!$T$15+7*(Reprogramaciones!L$14-1))),MIN(F296,Reprogramaciones!L$13),11))/MAX(0,NETWORKDAYS.INTL(MAX(E296,(Reprogramaciones!$T$15+7*(Reprogramaciones!L$14-1))),MIN(F296,(Reprogramaciones!$T$15+7*(Reprogramaciones!L$14-1))+6),11))))))))</f>
        <v/>
      </c>
      <c r="BV296" s="1" t="str">
        <f aca="false">IF(OR(NOT(AND(ISNUMBER(E296),ISNUMBER(F296))),$J$2=""),"",IF(Reprogramaciones!M$13&lt;Reprogramaciones!$T$15,0,IF(Reprogramaciones!M$14&gt;10,MIN(100,SUM($G296:$P296)),MIN(100,SUMPRODUCT((COLUMN($G296:$P296)-COLUMN($G296)+1&lt;Reprogramaciones!M$14)*$G296:$P296)+N(INDEX($G296:$P296,1,Reprogramaciones!M$14))*IF(Reprogramaciones!M$13&gt;=(Reprogramaciones!$T$15+7*(Reprogramaciones!M$14-1))+6,1,IF(MAX(0,NETWORKDAYS.INTL(MAX(E296,(Reprogramaciones!$T$15+7*(Reprogramaciones!M$14-1))),MIN(F296,(Reprogramaciones!$T$15+7*(Reprogramaciones!M$14-1))+6),11))=0,0,MAX(0,NETWORKDAYS.INTL(MAX(E296,(Reprogramaciones!$T$15+7*(Reprogramaciones!M$14-1))),MIN(F296,Reprogramaciones!M$13),11))/MAX(0,NETWORKDAYS.INTL(MAX(E296,(Reprogramaciones!$T$15+7*(Reprogramaciones!M$14-1))),MIN(F296,(Reprogramaciones!$T$15+7*(Reprogramaciones!M$14-1))+6),11))))))))</f>
        <v/>
      </c>
      <c r="BW296" s="1" t="str">
        <f aca="false">IF(OR(NOT(AND(ISNUMBER(E296),ISNUMBER(F296))),$J$2=""),"",IF(Reprogramaciones!N$13&lt;Reprogramaciones!$T$15,0,IF(Reprogramaciones!N$14&gt;10,MIN(100,SUM($G296:$P296)),MIN(100,SUMPRODUCT((COLUMN($G296:$P296)-COLUMN($G296)+1&lt;Reprogramaciones!N$14)*$G296:$P296)+N(INDEX($G296:$P296,1,Reprogramaciones!N$14))*IF(Reprogramaciones!N$13&gt;=(Reprogramaciones!$T$15+7*(Reprogramaciones!N$14-1))+6,1,IF(MAX(0,NETWORKDAYS.INTL(MAX(E296,(Reprogramaciones!$T$15+7*(Reprogramaciones!N$14-1))),MIN(F296,(Reprogramaciones!$T$15+7*(Reprogramaciones!N$14-1))+6),11))=0,0,MAX(0,NETWORKDAYS.INTL(MAX(E296,(Reprogramaciones!$T$15+7*(Reprogramaciones!N$14-1))),MIN(F296,Reprogramaciones!N$13),11))/MAX(0,NETWORKDAYS.INTL(MAX(E296,(Reprogramaciones!$T$15+7*(Reprogramaciones!N$14-1))),MIN(F296,(Reprogramaciones!$T$15+7*(Reprogramaciones!N$14-1))+6),11))))))))</f>
        <v/>
      </c>
      <c r="BX296" s="1" t="str">
        <f aca="false">IF(OR(NOT(AND(ISNUMBER(E296),ISNUMBER(F296))),$J$2=""),"",IF(Reprogramaciones!O$13&lt;Reprogramaciones!$T$15,0,IF(Reprogramaciones!O$14&gt;10,MIN(100,SUM($G296:$P296)),MIN(100,SUMPRODUCT((COLUMN($G296:$P296)-COLUMN($G296)+1&lt;Reprogramaciones!O$14)*$G296:$P296)+N(INDEX($G296:$P296,1,Reprogramaciones!O$14))*IF(Reprogramaciones!O$13&gt;=(Reprogramaciones!$T$15+7*(Reprogramaciones!O$14-1))+6,1,IF(MAX(0,NETWORKDAYS.INTL(MAX(E296,(Reprogramaciones!$T$15+7*(Reprogramaciones!O$14-1))),MIN(F296,(Reprogramaciones!$T$15+7*(Reprogramaciones!O$14-1))+6),11))=0,0,MAX(0,NETWORKDAYS.INTL(MAX(E296,(Reprogramaciones!$T$15+7*(Reprogramaciones!O$14-1))),MIN(F296,Reprogramaciones!O$13),11))/MAX(0,NETWORKDAYS.INTL(MAX(E296,(Reprogramaciones!$T$15+7*(Reprogramaciones!O$14-1))),MIN(F296,(Reprogramaciones!$T$15+7*(Reprogramaciones!O$14-1))+6),11))))))))</f>
        <v/>
      </c>
      <c r="BY296" s="1" t="str">
        <f aca="false">IF(OR(NOT(AND(ISNUMBER(E296),ISNUMBER(F296))),$J$2=""),"",IF(Reprogramaciones!P$13&lt;Reprogramaciones!$T$15,0,IF(Reprogramaciones!P$14&gt;10,MIN(100,SUM($G296:$P296)),MIN(100,SUMPRODUCT((COLUMN($G296:$P296)-COLUMN($G296)+1&lt;Reprogramaciones!P$14)*$G296:$P296)+N(INDEX($G296:$P296,1,Reprogramaciones!P$14))*IF(Reprogramaciones!P$13&gt;=(Reprogramaciones!$T$15+7*(Reprogramaciones!P$14-1))+6,1,IF(MAX(0,NETWORKDAYS.INTL(MAX(E296,(Reprogramaciones!$T$15+7*(Reprogramaciones!P$14-1))),MIN(F296,(Reprogramaciones!$T$15+7*(Reprogramaciones!P$14-1))+6),11))=0,0,MAX(0,NETWORKDAYS.INTL(MAX(E296,(Reprogramaciones!$T$15+7*(Reprogramaciones!P$14-1))),MIN(F296,Reprogramaciones!P$13),11))/MAX(0,NETWORKDAYS.INTL(MAX(E296,(Reprogramaciones!$T$15+7*(Reprogramaciones!P$14-1))),MIN(F296,(Reprogramaciones!$T$15+7*(Reprogramaciones!P$14-1))+6),11))))))))</f>
        <v/>
      </c>
      <c r="BZ296" s="1" t="str">
        <f aca="false">IF(OR(NOT(AND(ISNUMBER(E296),ISNUMBER(F296))),$J$2=""),"",IF(Reprogramaciones!Q$13&lt;Reprogramaciones!$T$15,0,IF(Reprogramaciones!Q$14&gt;10,MIN(100,SUM($G296:$P296)),MIN(100,SUMPRODUCT((COLUMN($G296:$P296)-COLUMN($G296)+1&lt;Reprogramaciones!Q$14)*$G296:$P296)+N(INDEX($G296:$P296,1,Reprogramaciones!Q$14))*IF(Reprogramaciones!Q$13&gt;=(Reprogramaciones!$T$15+7*(Reprogramaciones!Q$14-1))+6,1,IF(MAX(0,NETWORKDAYS.INTL(MAX(E296,(Reprogramaciones!$T$15+7*(Reprogramaciones!Q$14-1))),MIN(F296,(Reprogramaciones!$T$15+7*(Reprogramaciones!Q$14-1))+6),11))=0,0,MAX(0,NETWORKDAYS.INTL(MAX(E296,(Reprogramaciones!$T$15+7*(Reprogramaciones!Q$14-1))),MIN(F296,Reprogramaciones!Q$13),11))/MAX(0,NETWORKDAYS.INTL(MAX(E296,(Reprogramaciones!$T$15+7*(Reprogramaciones!Q$14-1))),MIN(F296,(Reprogramaciones!$T$15+7*(Reprogramaciones!Q$14-1))+6),11))))))))</f>
        <v/>
      </c>
      <c r="CA296" s="1" t="str">
        <f aca="false">IF(OR(NOT(AND(ISNUMBER(E296),ISNUMBER(F296))),$J$2=""),"",IF(Reprogramaciones!R$13&lt;Reprogramaciones!$T$15,0,IF(Reprogramaciones!R$14&gt;10,MIN(100,SUM($G296:$P296)),MIN(100,SUMPRODUCT((COLUMN($G296:$P296)-COLUMN($G296)+1&lt;Reprogramaciones!R$14)*$G296:$P296)+N(INDEX($G296:$P296,1,Reprogramaciones!R$14))*IF(Reprogramaciones!R$13&gt;=(Reprogramaciones!$T$15+7*(Reprogramaciones!R$14-1))+6,1,IF(MAX(0,NETWORKDAYS.INTL(MAX(E296,(Reprogramaciones!$T$15+7*(Reprogramaciones!R$14-1))),MIN(F296,(Reprogramaciones!$T$15+7*(Reprogramaciones!R$14-1))+6),11))=0,0,MAX(0,NETWORKDAYS.INTL(MAX(E296,(Reprogramaciones!$T$15+7*(Reprogramaciones!R$14-1))),MIN(F296,Reprogramaciones!R$13),11))/MAX(0,NETWORKDAYS.INTL(MAX(E296,(Reprogramaciones!$T$15+7*(Reprogramaciones!R$14-1))),MIN(F296,(Reprogramaciones!$T$15+7*(Reprogramaciones!R$14-1))+6),11))))))))</f>
        <v/>
      </c>
      <c r="CB296" s="1" t="str">
        <f aca="false">IF(OR(NOT(AND(ISNUMBER(E296),ISNUMBER(F296))),$J$2=""),"",IF(Reprogramaciones!S$13&lt;Reprogramaciones!$T$15,0,IF(Reprogramaciones!S$14&gt;10,MIN(100,SUM($G296:$P296)),MIN(100,SUMPRODUCT((COLUMN($G296:$P296)-COLUMN($G296)+1&lt;Reprogramaciones!S$14)*$G296:$P296)+N(INDEX($G296:$P296,1,Reprogramaciones!S$14))*IF(Reprogramaciones!S$13&gt;=(Reprogramaciones!$T$15+7*(Reprogramaciones!S$14-1))+6,1,IF(MAX(0,NETWORKDAYS.INTL(MAX(E296,(Reprogramaciones!$T$15+7*(Reprogramaciones!S$14-1))),MIN(F296,(Reprogramaciones!$T$15+7*(Reprogramaciones!S$14-1))+6),11))=0,0,MAX(0,NETWORKDAYS.INTL(MAX(E296,(Reprogramaciones!$T$15+7*(Reprogramaciones!S$14-1))),MIN(F296,Reprogramaciones!S$13),11))/MAX(0,NETWORKDAYS.INTL(MAX(E296,(Reprogramaciones!$T$15+7*(Reprogramaciones!S$14-1))),MIN(F296,(Reprogramaciones!$T$15+7*(Reprogramaciones!S$14-1))+6),11))))))))</f>
        <v/>
      </c>
      <c r="CC296" s="1" t="str">
        <f aca="false">IF(OR(NOT(AND(ISNUMBER(E296),ISNUMBER(F296))),$J$2=""),"",IF(Reprogramaciones!T$13&lt;Reprogramaciones!$T$15,0,IF(Reprogramaciones!T$14&gt;10,MIN(100,SUM($G296:$P296)),MIN(100,SUMPRODUCT((COLUMN($G296:$P296)-COLUMN($G296)+1&lt;Reprogramaciones!T$14)*$G296:$P296)+N(INDEX($G296:$P296,1,Reprogramaciones!T$14))*IF(Reprogramaciones!T$13&gt;=(Reprogramaciones!$T$15+7*(Reprogramaciones!T$14-1))+6,1,IF(MAX(0,NETWORKDAYS.INTL(MAX(E296,(Reprogramaciones!$T$15+7*(Reprogramaciones!T$14-1))),MIN(F296,(Reprogramaciones!$T$15+7*(Reprogramaciones!T$14-1))+6),11))=0,0,MAX(0,NETWORKDAYS.INTL(MAX(E296,(Reprogramaciones!$T$15+7*(Reprogramaciones!T$14-1))),MIN(F296,Reprogramaciones!T$13),11))/MAX(0,NETWORKDAYS.INTL(MAX(E296,(Reprogramaciones!$T$15+7*(Reprogramaciones!T$14-1))),MIN(F296,(Reprogramaciones!$T$15+7*(Reprogramaciones!T$14-1))+6),11))))))))</f>
        <v/>
      </c>
      <c r="CD296" s="1" t="str">
        <f aca="false">IF(OR(NOT(AND(ISNUMBER(E296),ISNUMBER(F296))),$J$2=""),"",IF(Reprogramaciones!U$13&lt;Reprogramaciones!$T$15,0,IF(Reprogramaciones!U$14&gt;10,MIN(100,SUM($G296:$P296)),MIN(100,SUMPRODUCT((COLUMN($G296:$P296)-COLUMN($G296)+1&lt;Reprogramaciones!U$14)*$G296:$P296)+N(INDEX($G296:$P296,1,Reprogramaciones!U$14))*IF(Reprogramaciones!U$13&gt;=(Reprogramaciones!$T$15+7*(Reprogramaciones!U$14-1))+6,1,IF(MAX(0,NETWORKDAYS.INTL(MAX(E296,(Reprogramaciones!$T$15+7*(Reprogramaciones!U$14-1))),MIN(F296,(Reprogramaciones!$T$15+7*(Reprogramaciones!U$14-1))+6),11))=0,0,MAX(0,NETWORKDAYS.INTL(MAX(E296,(Reprogramaciones!$T$15+7*(Reprogramaciones!U$14-1))),MIN(F296,Reprogramaciones!U$13),11))/MAX(0,NETWORKDAYS.INTL(MAX(E296,(Reprogramaciones!$T$15+7*(Reprogramaciones!U$14-1))),MIN(F296,(Reprogramaciones!$T$15+7*(Reprogramaciones!U$14-1))+6),11))))))))</f>
        <v/>
      </c>
      <c r="CE296" s="1" t="str">
        <f aca="false">IF(OR(NOT(AND(ISNUMBER(E296),ISNUMBER(F296))),$J$2=""),"",IF(Reprogramaciones!V$13&lt;Reprogramaciones!$T$15,0,IF(Reprogramaciones!V$14&gt;10,MIN(100,SUM($G296:$P296)),MIN(100,SUMPRODUCT((COLUMN($G296:$P296)-COLUMN($G296)+1&lt;Reprogramaciones!V$14)*$G296:$P296)+N(INDEX($G296:$P296,1,Reprogramaciones!V$14))*IF(Reprogramaciones!V$13&gt;=(Reprogramaciones!$T$15+7*(Reprogramaciones!V$14-1))+6,1,IF(MAX(0,NETWORKDAYS.INTL(MAX(E296,(Reprogramaciones!$T$15+7*(Reprogramaciones!V$14-1))),MIN(F296,(Reprogramaciones!$T$15+7*(Reprogramaciones!V$14-1))+6),11))=0,0,MAX(0,NETWORKDAYS.INTL(MAX(E296,(Reprogramaciones!$T$15+7*(Reprogramaciones!V$14-1))),MIN(F296,Reprogramaciones!V$13),11))/MAX(0,NETWORKDAYS.INTL(MAX(E296,(Reprogramaciones!$T$15+7*(Reprogramaciones!V$14-1))),MIN(F296,(Reprogramaciones!$T$15+7*(Reprogramaciones!V$14-1))+6),11))))))))</f>
        <v/>
      </c>
      <c r="CF296" s="1" t="str">
        <f aca="false">IF(OR(NOT(AND(ISNUMBER(E296),ISNUMBER(F296))),$J$2=""),"",IF(Reprogramaciones!W$13&lt;Reprogramaciones!$T$15,0,IF(Reprogramaciones!W$14&gt;10,MIN(100,SUM($G296:$P296)),MIN(100,SUMPRODUCT((COLUMN($G296:$P296)-COLUMN($G296)+1&lt;Reprogramaciones!W$14)*$G296:$P296)+N(INDEX($G296:$P296,1,Reprogramaciones!W$14))*IF(Reprogramaciones!W$13&gt;=(Reprogramaciones!$T$15+7*(Reprogramaciones!W$14-1))+6,1,IF(MAX(0,NETWORKDAYS.INTL(MAX(E296,(Reprogramaciones!$T$15+7*(Reprogramaciones!W$14-1))),MIN(F296,(Reprogramaciones!$T$15+7*(Reprogramaciones!W$14-1))+6),11))=0,0,MAX(0,NETWORKDAYS.INTL(MAX(E296,(Reprogramaciones!$T$15+7*(Reprogramaciones!W$14-1))),MIN(F296,Reprogramaciones!W$13),11))/MAX(0,NETWORKDAYS.INTL(MAX(E296,(Reprogramaciones!$T$15+7*(Reprogramaciones!W$14-1))),MIN(F296,(Reprogramaciones!$T$15+7*(Reprogramaciones!W$14-1))+6),11))))))))</f>
        <v/>
      </c>
      <c r="CG296" s="1" t="str">
        <f aca="false">IF(OR(NOT(AND(ISNUMBER(E296),ISNUMBER(F296))),$J$2=""),"",IF(Reprogramaciones!X$13&lt;Reprogramaciones!$T$15,0,IF(Reprogramaciones!X$14&gt;10,MIN(100,SUM($G296:$P296)),MIN(100,SUMPRODUCT((COLUMN($G296:$P296)-COLUMN($G296)+1&lt;Reprogramaciones!X$14)*$G296:$P296)+N(INDEX($G296:$P296,1,Reprogramaciones!X$14))*IF(Reprogramaciones!X$13&gt;=(Reprogramaciones!$T$15+7*(Reprogramaciones!X$14-1))+6,1,IF(MAX(0,NETWORKDAYS.INTL(MAX(E296,(Reprogramaciones!$T$15+7*(Reprogramaciones!X$14-1))),MIN(F296,(Reprogramaciones!$T$15+7*(Reprogramaciones!X$14-1))+6),11))=0,0,MAX(0,NETWORKDAYS.INTL(MAX(E296,(Reprogramaciones!$T$15+7*(Reprogramaciones!X$14-1))),MIN(F296,Reprogramaciones!X$13),11))/MAX(0,NETWORKDAYS.INTL(MAX(E296,(Reprogramaciones!$T$15+7*(Reprogramaciones!X$14-1))),MIN(F296,(Reprogramaciones!$T$15+7*(Reprogramaciones!X$14-1))+6),11))))))))</f>
        <v/>
      </c>
      <c r="CH296" s="1" t="str">
        <f aca="false">IF(OR(NOT(AND(ISNUMBER(E296),ISNUMBER(F296))),$J$2=""),"",IF(Reprogramaciones!Y$13&lt;Reprogramaciones!$T$15,0,IF(Reprogramaciones!Y$14&gt;10,MIN(100,SUM($G296:$P296)),MIN(100,SUMPRODUCT((COLUMN($G296:$P296)-COLUMN($G296)+1&lt;Reprogramaciones!Y$14)*$G296:$P296)+N(INDEX($G296:$P296,1,Reprogramaciones!Y$14))*IF(Reprogramaciones!Y$13&gt;=(Reprogramaciones!$T$15+7*(Reprogramaciones!Y$14-1))+6,1,IF(MAX(0,NETWORKDAYS.INTL(MAX(E296,(Reprogramaciones!$T$15+7*(Reprogramaciones!Y$14-1))),MIN(F296,(Reprogramaciones!$T$15+7*(Reprogramaciones!Y$14-1))+6),11))=0,0,MAX(0,NETWORKDAYS.INTL(MAX(E296,(Reprogramaciones!$T$15+7*(Reprogramaciones!Y$14-1))),MIN(F296,Reprogramaciones!Y$13),11))/MAX(0,NETWORKDAYS.INTL(MAX(E296,(Reprogramaciones!$T$15+7*(Reprogramaciones!Y$14-1))),MIN(F296,(Reprogramaciones!$T$15+7*(Reprogramaciones!Y$14-1))+6),11))))))))</f>
        <v/>
      </c>
      <c r="CI296" s="1" t="str">
        <f aca="false">IF(OR(NOT(AND(ISNUMBER(E296),ISNUMBER(F296))),$J$2=""),"",IF(Reprogramaciones!Z$13&lt;Reprogramaciones!$T$15,0,IF(Reprogramaciones!Z$14&gt;10,MIN(100,SUM($G296:$P296)),MIN(100,SUMPRODUCT((COLUMN($G296:$P296)-COLUMN($G296)+1&lt;Reprogramaciones!Z$14)*$G296:$P296)+N(INDEX($G296:$P296,1,Reprogramaciones!Z$14))*IF(Reprogramaciones!Z$13&gt;=(Reprogramaciones!$T$15+7*(Reprogramaciones!Z$14-1))+6,1,IF(MAX(0,NETWORKDAYS.INTL(MAX(E296,(Reprogramaciones!$T$15+7*(Reprogramaciones!Z$14-1))),MIN(F296,(Reprogramaciones!$T$15+7*(Reprogramaciones!Z$14-1))+6),11))=0,0,MAX(0,NETWORKDAYS.INTL(MAX(E296,(Reprogramaciones!$T$15+7*(Reprogramaciones!Z$14-1))),MIN(F296,Reprogramaciones!Z$13),11))/MAX(0,NETWORKDAYS.INTL(MAX(E296,(Reprogramaciones!$T$15+7*(Reprogramaciones!Z$14-1))),MIN(F296,(Reprogramaciones!$T$15+7*(Reprogramaciones!Z$14-1))+6),11))))))))</f>
        <v/>
      </c>
      <c r="CJ296" s="1" t="str">
        <f aca="false">IF(OR(OR(NOT(AND(ISNUMBER(E296),ISNUMBER(F296))),$J$2=""),1&gt;Reprogramaciones!$K$16),"",IF(ROUND(SUM($Q296:Q296),1)&gt;=99.5,100,MIN(100,ROUND(SUM($Q296:Q296),1))))</f>
        <v/>
      </c>
      <c r="CK296" s="1" t="str">
        <f aca="false">IF(OR(OR(NOT(AND(ISNUMBER(E296),ISNUMBER(F296))),$J$2=""),2&gt;Reprogramaciones!$K$16),"",IF(ROUND(SUM($Q296:R296),1)&gt;=99.5,100,MIN(100,ROUND(SUM($Q296:R296),1))))</f>
        <v/>
      </c>
      <c r="CL296" s="1" t="str">
        <f aca="false">IF(OR(OR(NOT(AND(ISNUMBER(E296),ISNUMBER(F296))),$J$2=""),3&gt;Reprogramaciones!$K$16),"",IF(ROUND(SUM($Q296:S296),1)&gt;=99.5,100,MIN(100,ROUND(SUM($Q296:S296),1))))</f>
        <v/>
      </c>
      <c r="CM296" s="1" t="str">
        <f aca="false">IF(OR(OR(NOT(AND(ISNUMBER(E296),ISNUMBER(F296))),$J$2=""),4&gt;Reprogramaciones!$K$16),"",IF(ROUND(SUM($Q296:T296),1)&gt;=99.5,100,MIN(100,ROUND(SUM($Q296:T296),1))))</f>
        <v/>
      </c>
      <c r="CN296" s="1" t="str">
        <f aca="false">IF(OR(OR(NOT(AND(ISNUMBER(E296),ISNUMBER(F296))),$J$2=""),5&gt;Reprogramaciones!$K$16),"",IF(ROUND(SUM($Q296:U296),1)&gt;=99.5,100,MIN(100,ROUND(SUM($Q296:U296),1))))</f>
        <v/>
      </c>
      <c r="CO296" s="1" t="str">
        <f aca="false">IF(OR(OR(NOT(AND(ISNUMBER(E296),ISNUMBER(F296))),$J$2=""),6&gt;Reprogramaciones!$K$16),"",IF(ROUND(SUM($Q296:V296),1)&gt;=99.5,100,MIN(100,ROUND(SUM($Q296:V296),1))))</f>
        <v/>
      </c>
      <c r="CP296" s="1" t="str">
        <f aca="false">IF(OR(OR(NOT(AND(ISNUMBER(E296),ISNUMBER(F296))),$J$2=""),7&gt;Reprogramaciones!$K$16),"",IF(ROUND(SUM($Q296:W296),1)&gt;=99.5,100,MIN(100,ROUND(SUM($Q296:W296),1))))</f>
        <v/>
      </c>
      <c r="CQ296" s="1" t="str">
        <f aca="false">IF(OR(OR(NOT(AND(ISNUMBER(E296),ISNUMBER(F296))),$J$2=""),8&gt;Reprogramaciones!$K$16),"",IF(ROUND(SUM($Q296:X296),1)&gt;=99.5,100,MIN(100,ROUND(SUM($Q296:X296),1))))</f>
        <v/>
      </c>
      <c r="CR296" s="1" t="str">
        <f aca="false">IF(OR(OR(NOT(AND(ISNUMBER(E296),ISNUMBER(F296))),$J$2=""),9&gt;Reprogramaciones!$K$16),"",IF(ROUND(SUM($Q296:Y296),1)&gt;=99.5,100,MIN(100,ROUND(SUM($Q296:Y296),1))))</f>
        <v/>
      </c>
      <c r="CS296" s="1" t="str">
        <f aca="false">IF(OR(OR(NOT(AND(ISNUMBER(E296),ISNUMBER(F296))),$J$2=""),10&gt;Reprogramaciones!$K$16),"",IF(ROUND(SUM($Q296:Z296),1)&gt;=99.5,100,MIN(100,ROUND(SUM($Q296:Z296),1))))</f>
        <v/>
      </c>
      <c r="CT296" s="1" t="str">
        <f aca="false">IF(OR(OR(NOT(AND(ISNUMBER(E296),ISNUMBER(F296))),$J$2=""),11&gt;Reprogramaciones!$K$16),"",IF(ROUND(SUM($Q296:AA296),1)&gt;=99.5,100,MIN(100,ROUND(SUM($Q296:AA296),1))))</f>
        <v/>
      </c>
      <c r="CU296" s="1" t="str">
        <f aca="false">IF(OR(OR(NOT(AND(ISNUMBER(E296),ISNUMBER(F296))),$J$2=""),12&gt;Reprogramaciones!$K$16),"",IF(ROUND(SUM($Q296:AB296),1)&gt;=99.5,100,MIN(100,ROUND(SUM($Q296:AB296),1))))</f>
        <v/>
      </c>
      <c r="CV296" s="1" t="str">
        <f aca="false">IF(OR(OR(NOT(AND(ISNUMBER(E296),ISNUMBER(F296))),$J$2=""),13&gt;Reprogramaciones!$K$16),"",IF(ROUND(SUM($Q296:AC296),1)&gt;=99.5,100,MIN(100,ROUND(SUM($Q296:AC296),1))))</f>
        <v/>
      </c>
      <c r="CW296" s="1" t="str">
        <f aca="false">IF(OR(OR(NOT(AND(ISNUMBER(E296),ISNUMBER(F296))),$J$2=""),14&gt;Reprogramaciones!$K$16),"",IF(ROUND(SUM($Q296:AD296),1)&gt;=99.5,100,MIN(100,ROUND(SUM($Q296:AD296),1))))</f>
        <v/>
      </c>
      <c r="CX296" s="1" t="str">
        <f aca="false">IF(OR(OR(NOT(AND(ISNUMBER(E296),ISNUMBER(F296))),$J$2=""),15&gt;Reprogramaciones!$K$16),"",IF(ROUND(SUM($Q296:AE296),1)&gt;=99.5,100,MIN(100,ROUND(SUM($Q296:AE296),1))))</f>
        <v/>
      </c>
      <c r="CY296" s="1" t="str">
        <f aca="false">IF(OR(OR(NOT(AND(ISNUMBER(E296),ISNUMBER(F296))),$J$2=""),16&gt;Reprogramaciones!$K$16),"",IF(ROUND(SUM($Q296:AF296),1)&gt;=99.5,100,MIN(100,ROUND(SUM($Q296:AF296),1))))</f>
        <v/>
      </c>
      <c r="CZ296" s="1" t="str">
        <f aca="false">IF(D296&lt;&gt;"",D296,IF(B296&lt;&gt;"","Contractual",CZ295))</f>
        <v>Contractual</v>
      </c>
      <c r="DA296" s="1" t="str">
        <f aca="false">IF(OR(NOT(AND(ISNUMBER(E296),ISNUMBER(F296))),$J$2=""),"",IF(Reprogramaciones!$Q$15&lt;Reprogramaciones!$T$15,0,IF(Reprogramaciones!$S$15&gt;10,MIN(100,SUM($G296:$P296)),MIN(100,SUMPRODUCT((COLUMN($G296:$P296)-COLUMN($G296)+1&lt;Reprogramaciones!$S$15)*$G296:$P296)+N(INDEX($G296:$P296,1,Reprogramaciones!$S$15))*IF(Reprogramaciones!$Q$15&gt;=(Reprogramaciones!$T$15+7*(Reprogramaciones!$S$15-1))+6,1,IF(MAX(0,NETWORKDAYS.INTL(MAX(E296,(Reprogramaciones!$T$15+7*(Reprogramaciones!$S$15-1))),MIN(F296,(Reprogramaciones!$T$15+7*(Reprogramaciones!$S$15-1))+6),11))=0,0,MAX(0,NETWORKDAYS.INTL(MAX(E296,(Reprogramaciones!$T$15+7*(Reprogramaciones!$S$15-1))),MIN(F296,Reprogramaciones!$Q$15),11))/MAX(0,NETWORKDAYS.INTL(MAX(E296,(Reprogramaciones!$T$15+7*(Reprogramaciones!$S$15-1))),MIN(F296,(Reprogramaciones!$T$15+7*(Reprogramaciones!$S$15-1))+6),11))))))))</f>
        <v/>
      </c>
    </row>
    <row r="297" customFormat="false" ht="15" hidden="false" customHeight="false" outlineLevel="0" collapsed="false">
      <c r="A297" s="32"/>
      <c r="B297" s="33"/>
      <c r="C297" s="33"/>
      <c r="D297" s="34"/>
      <c r="E297" s="35"/>
      <c r="F297" s="35"/>
      <c r="G297" s="36" t="str">
        <f aca="false">IF(OR(NOT(AND(ISNUMBER(E297),ISNUMBER(F297))),$J$2=""),"",IF(Reprogramaciones!K$9&lt;E297,0,IF(NETWORKDAYS.INTL(E297,F297,11)=0,IF(Reprogramaciones!K$9&gt;=F297,100,0),ROUND(NETWORKDAYS.INTL(E297,MIN(F297,Reprogramaciones!K$9),11)/NETWORKDAYS.INTL(E297,F297,11)*100,1)))-0)</f>
        <v/>
      </c>
      <c r="H297" s="36" t="str">
        <f aca="false">IF(OR(NOT(AND(ISNUMBER(E297),ISNUMBER(F297))),$J$2=""),"",IF(Reprogramaciones!L$9&lt;E297,0,IF(NETWORKDAYS.INTL(E297,F297,11)=0,IF(Reprogramaciones!L$9&gt;=F297,100,0),ROUND(NETWORKDAYS.INTL(E297,MIN(F297,Reprogramaciones!L$9),11)/NETWORKDAYS.INTL(E297,F297,11)*100,1)))-IF(Reprogramaciones!K$9&lt;E297,0,IF(NETWORKDAYS.INTL(E297,F297,11)=0,IF(Reprogramaciones!K$9&gt;=F297,100,0),ROUND(NETWORKDAYS.INTL(E297,MIN(F297,Reprogramaciones!K$9),11)/NETWORKDAYS.INTL(E297,F297,11)*100,1))))</f>
        <v/>
      </c>
      <c r="I297" s="36" t="str">
        <f aca="false">IF(OR(NOT(AND(ISNUMBER(E297),ISNUMBER(F297))),$J$2=""),"",IF(Reprogramaciones!M$9&lt;E297,0,IF(NETWORKDAYS.INTL(E297,F297,11)=0,IF(Reprogramaciones!M$9&gt;=F297,100,0),ROUND(NETWORKDAYS.INTL(E297,MIN(F297,Reprogramaciones!M$9),11)/NETWORKDAYS.INTL(E297,F297,11)*100,1)))-IF(Reprogramaciones!L$9&lt;E297,0,IF(NETWORKDAYS.INTL(E297,F297,11)=0,IF(Reprogramaciones!L$9&gt;=F297,100,0),ROUND(NETWORKDAYS.INTL(E297,MIN(F297,Reprogramaciones!L$9),11)/NETWORKDAYS.INTL(E297,F297,11)*100,1))))</f>
        <v/>
      </c>
      <c r="J297" s="36" t="str">
        <f aca="false">IF(OR(NOT(AND(ISNUMBER(E297),ISNUMBER(F297))),$J$2=""),"",IF(Reprogramaciones!N$9&lt;E297,0,IF(NETWORKDAYS.INTL(E297,F297,11)=0,IF(Reprogramaciones!N$9&gt;=F297,100,0),ROUND(NETWORKDAYS.INTL(E297,MIN(F297,Reprogramaciones!N$9),11)/NETWORKDAYS.INTL(E297,F297,11)*100,1)))-IF(Reprogramaciones!M$9&lt;E297,0,IF(NETWORKDAYS.INTL(E297,F297,11)=0,IF(Reprogramaciones!M$9&gt;=F297,100,0),ROUND(NETWORKDAYS.INTL(E297,MIN(F297,Reprogramaciones!M$9),11)/NETWORKDAYS.INTL(E297,F297,11)*100,1))))</f>
        <v/>
      </c>
      <c r="K297" s="36" t="str">
        <f aca="false">IF(OR(NOT(AND(ISNUMBER(E297),ISNUMBER(F297))),$J$2=""),"",IF(Reprogramaciones!O$9&lt;E297,0,IF(NETWORKDAYS.INTL(E297,F297,11)=0,IF(Reprogramaciones!O$9&gt;=F297,100,0),ROUND(NETWORKDAYS.INTL(E297,MIN(F297,Reprogramaciones!O$9),11)/NETWORKDAYS.INTL(E297,F297,11)*100,1)))-IF(Reprogramaciones!N$9&lt;E297,0,IF(NETWORKDAYS.INTL(E297,F297,11)=0,IF(Reprogramaciones!N$9&gt;=F297,100,0),ROUND(NETWORKDAYS.INTL(E297,MIN(F297,Reprogramaciones!N$9),11)/NETWORKDAYS.INTL(E297,F297,11)*100,1))))</f>
        <v/>
      </c>
      <c r="L297" s="36" t="str">
        <f aca="false">IF(OR(NOT(AND(ISNUMBER(E297),ISNUMBER(F297))),$J$2=""),"",IF(Reprogramaciones!P$9&lt;E297,0,IF(NETWORKDAYS.INTL(E297,F297,11)=0,IF(Reprogramaciones!P$9&gt;=F297,100,0),ROUND(NETWORKDAYS.INTL(E297,MIN(F297,Reprogramaciones!P$9),11)/NETWORKDAYS.INTL(E297,F297,11)*100,1)))-IF(Reprogramaciones!O$9&lt;E297,0,IF(NETWORKDAYS.INTL(E297,F297,11)=0,IF(Reprogramaciones!O$9&gt;=F297,100,0),ROUND(NETWORKDAYS.INTL(E297,MIN(F297,Reprogramaciones!O$9),11)/NETWORKDAYS.INTL(E297,F297,11)*100,1))))</f>
        <v/>
      </c>
      <c r="M297" s="36" t="str">
        <f aca="false">IF(OR(NOT(AND(ISNUMBER(E297),ISNUMBER(F297))),$J$2=""),"",IF(Reprogramaciones!Q$9&lt;E297,0,IF(NETWORKDAYS.INTL(E297,F297,11)=0,IF(Reprogramaciones!Q$9&gt;=F297,100,0),ROUND(NETWORKDAYS.INTL(E297,MIN(F297,Reprogramaciones!Q$9),11)/NETWORKDAYS.INTL(E297,F297,11)*100,1)))-IF(Reprogramaciones!P$9&lt;E297,0,IF(NETWORKDAYS.INTL(E297,F297,11)=0,IF(Reprogramaciones!P$9&gt;=F297,100,0),ROUND(NETWORKDAYS.INTL(E297,MIN(F297,Reprogramaciones!P$9),11)/NETWORKDAYS.INTL(E297,F297,11)*100,1))))</f>
        <v/>
      </c>
      <c r="N297" s="36" t="str">
        <f aca="false">IF(OR(NOT(AND(ISNUMBER(E297),ISNUMBER(F297))),$J$2=""),"",IF(Reprogramaciones!R$9&lt;E297,0,IF(NETWORKDAYS.INTL(E297,F297,11)=0,IF(Reprogramaciones!R$9&gt;=F297,100,0),ROUND(NETWORKDAYS.INTL(E297,MIN(F297,Reprogramaciones!R$9),11)/NETWORKDAYS.INTL(E297,F297,11)*100,1)))-IF(Reprogramaciones!Q$9&lt;E297,0,IF(NETWORKDAYS.INTL(E297,F297,11)=0,IF(Reprogramaciones!Q$9&gt;=F297,100,0),ROUND(NETWORKDAYS.INTL(E297,MIN(F297,Reprogramaciones!Q$9),11)/NETWORKDAYS.INTL(E297,F297,11)*100,1))))</f>
        <v/>
      </c>
      <c r="O297" s="36" t="str">
        <f aca="false">IF(OR(NOT(AND(ISNUMBER(E297),ISNUMBER(F297))),$J$2=""),"",IF(Reprogramaciones!S$9&lt;E297,0,IF(NETWORKDAYS.INTL(E297,F297,11)=0,IF(Reprogramaciones!S$9&gt;=F297,100,0),ROUND(NETWORKDAYS.INTL(E297,MIN(F297,Reprogramaciones!S$9),11)/NETWORKDAYS.INTL(E297,F297,11)*100,1)))-IF(Reprogramaciones!R$9&lt;E297,0,IF(NETWORKDAYS.INTL(E297,F297,11)=0,IF(Reprogramaciones!R$9&gt;=F297,100,0),ROUND(NETWORKDAYS.INTL(E297,MIN(F297,Reprogramaciones!R$9),11)/NETWORKDAYS.INTL(E297,F297,11)*100,1))))</f>
        <v/>
      </c>
      <c r="P297" s="36" t="str">
        <f aca="false">IF(OR(NOT(AND(ISNUMBER(E297),ISNUMBER(F297))),$J$2=""),"",IF(Reprogramaciones!T$9&lt;E297,0,IF(NETWORKDAYS.INTL(E297,F297,11)=0,IF(Reprogramaciones!T$9&gt;=F297,100,0),ROUND(NETWORKDAYS.INTL(E297,MIN(F297,Reprogramaciones!T$9),11)/NETWORKDAYS.INTL(E297,F297,11)*100,1)))-IF(Reprogramaciones!S$9&lt;E297,0,IF(NETWORKDAYS.INTL(E297,F297,11)=0,IF(Reprogramaciones!S$9&gt;=F297,100,0),ROUND(NETWORKDAYS.INTL(E297,MIN(F297,Reprogramaciones!S$9),11)/NETWORKDAYS.INTL(E297,F297,11)*100,1))))</f>
        <v/>
      </c>
      <c r="Q297" s="37"/>
      <c r="R297" s="37"/>
      <c r="S297" s="37"/>
      <c r="T297" s="37"/>
      <c r="U297" s="37"/>
      <c r="V297" s="37"/>
      <c r="W297" s="37"/>
      <c r="X297" s="37"/>
      <c r="Y297" s="37"/>
      <c r="Z297" s="37"/>
      <c r="AA297" s="37"/>
      <c r="AB297" s="37"/>
      <c r="AC297" s="37"/>
      <c r="AD297" s="37"/>
      <c r="AE297" s="37"/>
      <c r="AF297" s="37"/>
      <c r="AG297" s="38" t="str">
        <f aca="false">IF(AND(ISNUMBER(E297),ISNUMBER(F297)),NETWORKDAYS.INTL(E297,F297,11),"")</f>
        <v/>
      </c>
      <c r="AH297" s="38" t="str">
        <f aca="false">IF(OR(NOT(AND(ISNUMBER(E297),ISNUMBER(F297))),$J$2=""),"",IF(Reprogramaciones!$P$15&lt;Reprogramaciones!$T$15,0,IF(Reprogramaciones!$R$15&gt;10,MIN(100,SUM($G297:$P297)),MIN(100,SUMPRODUCT((COLUMN($G297:$P297)-COLUMN($G297)+1&lt;Reprogramaciones!$R$15)*$G297:$P297)+N(INDEX($G297:$P297,1,Reprogramaciones!$R$15))*IF(Reprogramaciones!$P$15&gt;=(Reprogramaciones!$T$15+7*(Reprogramaciones!$R$15-1))+6,1,IF(MAX(0,NETWORKDAYS.INTL(MAX(E297,(Reprogramaciones!$T$15+7*(Reprogramaciones!$R$15-1))),MIN(F297,(Reprogramaciones!$T$15+7*(Reprogramaciones!$R$15-1))+6),11))=0,0,MAX(0,NETWORKDAYS.INTL(MAX(E297,(Reprogramaciones!$T$15+7*(Reprogramaciones!$R$15-1))),MIN(F297,Reprogramaciones!$P$15),11))/MAX(0,NETWORKDAYS.INTL(MAX(E297,(Reprogramaciones!$T$15+7*(Reprogramaciones!$R$15-1))),MIN(F297,(Reprogramaciones!$T$15+7*(Reprogramaciones!$R$15-1))+6),11))))))))</f>
        <v/>
      </c>
      <c r="AI297" s="38" t="str">
        <f aca="false">IF(COUNT($Q297:$AF297)=0,"",IF(ROUND(SUM($Q297:$AF297),1)&gt;=99.5,100,MIN(100,ROUND(SUM($Q297:$AF297),1))))</f>
        <v/>
      </c>
      <c r="AJ297" s="38" t="str">
        <f aca="false">IF(OR(AH297="",AI297=""),"",AI297-AH297)</f>
        <v/>
      </c>
      <c r="AK297" s="39" t="str">
        <f aca="true">IF(AH297="","",IF(OR(Ficha!$C$10="Suspendida",Ficha!$C$10="Cancelada"),Ficha!$C$10,IF(AND(AI297&lt;&gt;"",N(AI297)&gt;=100),"Completada",IF(AND(E297&gt;TODAY(),N(AI297)=0),"Por iniciar",IF(N(AI297)+0.5&lt;AH297,"Retrasada",IF(N(AI297)+0.5&lt;DA297,IF(Reprogramaciones!$K$15&gt;0,"Al día · Sem "&amp;Reprogramaciones!$K$15&amp;" en curso","Al día · en curso"),"A tiempo"))))))</f>
        <v/>
      </c>
      <c r="AL297" s="39" t="str">
        <f aca="true">IF(AND(A297="",AND(B297="",C297="",E297="",F297="",COUNT(Q297:AF297)=0)),"",IF(AND(B297="",C297="",E297="",F297="",COUNT(Q297:AF297)=0),"Falta la partida o subpartida",IF(AND(A297&lt;&gt;"",COUNTIF($A$6:$A$305,A297)&gt;1),"Ítem repetido",IF(AND(C297="",E297="",F297="",COUNT(Q297:AF297)=0),"Título de partida",IF(OR(E297="",F297=""),"Faltan fechas",IF(OR(ISTEXT(E297),ISTEXT(F297)),"Fecha escrita como texto: usa dd/mm/aaaa",IF(F297&lt;E297,"Fin antes del inicio",IF(IF($J$2="",FALSE(),OR(E297&lt;$J$2,F297&gt;Reprogramaciones!$T$15+69)),"Fuera de las 10 semanas",IF(ABS(SUM(G297:P297)-100)&gt;0.5,"La meta no suma 100%",IF(ROUND(SUM(Q297:AF297),1)&gt;100.5,"El avance pasa de 100%",IF(MIN(Q297:AF297)&lt;0,"Avance negativo",IF(COUNTA(Q297:AF297)&gt;COUNT(Q297:AF297),"Avance escrito como texto",IF(SUMPRODUCT((Q297:AF297&gt;0)*(Q297:AF297&lt;1))&gt;0,"Avance menor a 1: escribe 50, no 50%",IF(SUMPRODUCT(ISNUMBER(Q297:AF297)*(Reprogramaciones!$K$8:$Z$8&gt;TODAY()))&gt;0,"Avance en semana que aún no llega",IF(AND(N(Reprogramaciones!$E$21)&gt;0,F297&gt;Reprogramaciones!$E$21),"Pasa el fin de la obra: registra una reprogramación",IF(AND(N(Reprogramaciones!$E$21)&gt;0,SUMPRODUCT(ISNUMBER(Q297:AF297)*(Reprogramaciones!$K$8:$Z$8&gt;Reprogramaciones!$E$21))&gt;0),"Avance después del fin de la obra: registra una reprogramación por atraso","OK"))))))))))))))))</f>
        <v/>
      </c>
      <c r="AM297" s="40" t="str">
        <f aca="false">IF(OR(OR(NOT(AND(ISNUMBER(E297),ISNUMBER(F297))),$J$2=""),1&gt;MAX(1,Reprogramaciones!$U$15)),"",IF(Reprogramaciones!K$12&gt;=7,"",IF(OR(BT297-N(0)&gt;0.05,N(Q297)&gt;0),ROUNDDOWN(ROUND(BT297,6),0)&amp;"%"&amp;IF(CJ297="",""," / "&amp;CJ297&amp;"%"),IF(AND(N(0)&gt;=99.95,CJ297&lt;&gt;"",N(CJ297)&lt;100),"Pend. "&amp;CJ297&amp;"%",""))))</f>
        <v/>
      </c>
      <c r="AN297" s="40" t="str">
        <f aca="false">IF(OR(OR(NOT(AND(ISNUMBER(E297),ISNUMBER(F297))),$J$2=""),2&gt;MAX(1,Reprogramaciones!$U$15)),"",IF(Reprogramaciones!L$12&gt;=7,"",IF(OR(BU297-N(BT297)&gt;0.05,N(R297)&gt;0),ROUNDDOWN(ROUND(BU297,6),0)&amp;"%"&amp;IF(CK297="",""," / "&amp;CK297&amp;"%"),IF(AND(N(BT297)&gt;=99.95,CK297&lt;&gt;"",N(CK297)&lt;100),"Pend. "&amp;CK297&amp;"%",""))))</f>
        <v/>
      </c>
      <c r="AO297" s="40" t="str">
        <f aca="false">IF(OR(OR(NOT(AND(ISNUMBER(E297),ISNUMBER(F297))),$J$2=""),3&gt;MAX(1,Reprogramaciones!$U$15)),"",IF(Reprogramaciones!M$12&gt;=7,"",IF(OR(BV297-N(BU297)&gt;0.05,N(S297)&gt;0),ROUNDDOWN(ROUND(BV297,6),0)&amp;"%"&amp;IF(CL297="",""," / "&amp;CL297&amp;"%"),IF(AND(N(BU297)&gt;=99.95,CL297&lt;&gt;"",N(CL297)&lt;100),"Pend. "&amp;CL297&amp;"%",""))))</f>
        <v/>
      </c>
      <c r="AP297" s="40" t="str">
        <f aca="false">IF(OR(OR(NOT(AND(ISNUMBER(E297),ISNUMBER(F297))),$J$2=""),4&gt;MAX(1,Reprogramaciones!$U$15)),"",IF(Reprogramaciones!N$12&gt;=7,"",IF(OR(BW297-N(BV297)&gt;0.05,N(T297)&gt;0),ROUNDDOWN(ROUND(BW297,6),0)&amp;"%"&amp;IF(CM297="",""," / "&amp;CM297&amp;"%"),IF(AND(N(BV297)&gt;=99.95,CM297&lt;&gt;"",N(CM297)&lt;100),"Pend. "&amp;CM297&amp;"%",""))))</f>
        <v/>
      </c>
      <c r="AQ297" s="40" t="str">
        <f aca="false">IF(OR(OR(NOT(AND(ISNUMBER(E297),ISNUMBER(F297))),$J$2=""),5&gt;MAX(1,Reprogramaciones!$U$15)),"",IF(Reprogramaciones!O$12&gt;=7,"",IF(OR(BX297-N(BW297)&gt;0.05,N(U297)&gt;0),ROUNDDOWN(ROUND(BX297,6),0)&amp;"%"&amp;IF(CN297="",""," / "&amp;CN297&amp;"%"),IF(AND(N(BW297)&gt;=99.95,CN297&lt;&gt;"",N(CN297)&lt;100),"Pend. "&amp;CN297&amp;"%",""))))</f>
        <v/>
      </c>
      <c r="AR297" s="40" t="str">
        <f aca="false">IF(OR(OR(NOT(AND(ISNUMBER(E297),ISNUMBER(F297))),$J$2=""),6&gt;MAX(1,Reprogramaciones!$U$15)),"",IF(Reprogramaciones!P$12&gt;=7,"",IF(OR(BY297-N(BX297)&gt;0.05,N(V297)&gt;0),ROUNDDOWN(ROUND(BY297,6),0)&amp;"%"&amp;IF(CO297="",""," / "&amp;CO297&amp;"%"),IF(AND(N(BX297)&gt;=99.95,CO297&lt;&gt;"",N(CO297)&lt;100),"Pend. "&amp;CO297&amp;"%",""))))</f>
        <v/>
      </c>
      <c r="AS297" s="40" t="str">
        <f aca="false">IF(OR(OR(NOT(AND(ISNUMBER(E297),ISNUMBER(F297))),$J$2=""),7&gt;MAX(1,Reprogramaciones!$U$15)),"",IF(Reprogramaciones!Q$12&gt;=7,"",IF(OR(BZ297-N(BY297)&gt;0.05,N(W297)&gt;0),ROUNDDOWN(ROUND(BZ297,6),0)&amp;"%"&amp;IF(CP297="",""," / "&amp;CP297&amp;"%"),IF(AND(N(BY297)&gt;=99.95,CP297&lt;&gt;"",N(CP297)&lt;100),"Pend. "&amp;CP297&amp;"%",""))))</f>
        <v/>
      </c>
      <c r="AT297" s="40" t="str">
        <f aca="false">IF(OR(OR(NOT(AND(ISNUMBER(E297),ISNUMBER(F297))),$J$2=""),8&gt;MAX(1,Reprogramaciones!$U$15)),"",IF(Reprogramaciones!R$12&gt;=7,"",IF(OR(CA297-N(BZ297)&gt;0.05,N(X297)&gt;0),ROUNDDOWN(ROUND(CA297,6),0)&amp;"%"&amp;IF(CQ297="",""," / "&amp;CQ297&amp;"%"),IF(AND(N(BZ297)&gt;=99.95,CQ297&lt;&gt;"",N(CQ297)&lt;100),"Pend. "&amp;CQ297&amp;"%",""))))</f>
        <v/>
      </c>
      <c r="AU297" s="40" t="str">
        <f aca="false">IF(OR(OR(NOT(AND(ISNUMBER(E297),ISNUMBER(F297))),$J$2=""),9&gt;MAX(1,Reprogramaciones!$U$15)),"",IF(Reprogramaciones!S$12&gt;=7,"",IF(OR(CB297-N(CA297)&gt;0.05,N(Y297)&gt;0),ROUNDDOWN(ROUND(CB297,6),0)&amp;"%"&amp;IF(CR297="",""," / "&amp;CR297&amp;"%"),IF(AND(N(CA297)&gt;=99.95,CR297&lt;&gt;"",N(CR297)&lt;100),"Pend. "&amp;CR297&amp;"%",""))))</f>
        <v/>
      </c>
      <c r="AV297" s="40" t="str">
        <f aca="false">IF(OR(OR(NOT(AND(ISNUMBER(E297),ISNUMBER(F297))),$J$2=""),10&gt;MAX(1,Reprogramaciones!$U$15)),"",IF(Reprogramaciones!T$12&gt;=7,"",IF(OR(CC297-N(CB297)&gt;0.05,N(Z297)&gt;0),ROUNDDOWN(ROUND(CC297,6),0)&amp;"%"&amp;IF(CS297="",""," / "&amp;CS297&amp;"%"),IF(AND(N(CB297)&gt;=99.95,CS297&lt;&gt;"",N(CS297)&lt;100),"Pend. "&amp;CS297&amp;"%",""))))</f>
        <v/>
      </c>
      <c r="AW297" s="40" t="str">
        <f aca="false">IF(OR(OR(NOT(AND(ISNUMBER(E297),ISNUMBER(F297))),$J$2=""),11&gt;MAX(1,Reprogramaciones!$U$15)),"",IF(Reprogramaciones!U$12&gt;=7,"",IF(OR(CD297-N(CC297)&gt;0.05,N(AA297)&gt;0),ROUNDDOWN(ROUND(CD297,6),0)&amp;"%"&amp;IF(CT297="",""," / "&amp;CT297&amp;"%"),IF(AND(N(CC297)&gt;=99.95,CT297&lt;&gt;"",N(CT297)&lt;100),"Pend. "&amp;CT297&amp;"%",""))))</f>
        <v/>
      </c>
      <c r="AX297" s="40" t="str">
        <f aca="false">IF(OR(OR(NOT(AND(ISNUMBER(E297),ISNUMBER(F297))),$J$2=""),12&gt;MAX(1,Reprogramaciones!$U$15)),"",IF(Reprogramaciones!V$12&gt;=7,"",IF(OR(CE297-N(CD297)&gt;0.05,N(AB297)&gt;0),ROUNDDOWN(ROUND(CE297,6),0)&amp;"%"&amp;IF(CU297="",""," / "&amp;CU297&amp;"%"),IF(AND(N(CD297)&gt;=99.95,CU297&lt;&gt;"",N(CU297)&lt;100),"Pend. "&amp;CU297&amp;"%",""))))</f>
        <v/>
      </c>
      <c r="AY297" s="40" t="str">
        <f aca="false">IF(OR(OR(NOT(AND(ISNUMBER(E297),ISNUMBER(F297))),$J$2=""),13&gt;MAX(1,Reprogramaciones!$U$15)),"",IF(Reprogramaciones!W$12&gt;=7,"",IF(OR(CF297-N(CE297)&gt;0.05,N(AC297)&gt;0),ROUNDDOWN(ROUND(CF297,6),0)&amp;"%"&amp;IF(CV297="",""," / "&amp;CV297&amp;"%"),IF(AND(N(CE297)&gt;=99.95,CV297&lt;&gt;"",N(CV297)&lt;100),"Pend. "&amp;CV297&amp;"%",""))))</f>
        <v/>
      </c>
      <c r="AZ297" s="40" t="str">
        <f aca="false">IF(OR(OR(NOT(AND(ISNUMBER(E297),ISNUMBER(F297))),$J$2=""),14&gt;MAX(1,Reprogramaciones!$U$15)),"",IF(Reprogramaciones!X$12&gt;=7,"",IF(OR(CG297-N(CF297)&gt;0.05,N(AD297)&gt;0),ROUNDDOWN(ROUND(CG297,6),0)&amp;"%"&amp;IF(CW297="",""," / "&amp;CW297&amp;"%"),IF(AND(N(CF297)&gt;=99.95,CW297&lt;&gt;"",N(CW297)&lt;100),"Pend. "&amp;CW297&amp;"%",""))))</f>
        <v/>
      </c>
      <c r="BA297" s="40" t="str">
        <f aca="false">IF(OR(OR(NOT(AND(ISNUMBER(E297),ISNUMBER(F297))),$J$2=""),15&gt;MAX(1,Reprogramaciones!$U$15)),"",IF(Reprogramaciones!Y$12&gt;=7,"",IF(OR(CH297-N(CG297)&gt;0.05,N(AE297)&gt;0),ROUNDDOWN(ROUND(CH297,6),0)&amp;"%"&amp;IF(CX297="",""," / "&amp;CX297&amp;"%"),IF(AND(N(CG297)&gt;=99.95,CX297&lt;&gt;"",N(CX297)&lt;100),"Pend. "&amp;CX297&amp;"%",""))))</f>
        <v/>
      </c>
      <c r="BB297" s="40" t="str">
        <f aca="false">IF(OR(OR(NOT(AND(ISNUMBER(E297),ISNUMBER(F297))),$J$2=""),16&gt;MAX(1,Reprogramaciones!$U$15)),"",IF(Reprogramaciones!Z$12&gt;=7,"",IF(OR(CI297-N(CH297)&gt;0.05,N(AF297)&gt;0),ROUNDDOWN(ROUND(CI297,6),0)&amp;"%"&amp;IF(CY297="",""," / "&amp;CY297&amp;"%"),IF(AND(N(CH297)&gt;=99.95,CY297&lt;&gt;"",N(CY297)&lt;100),"Pend. "&amp;CY297&amp;"%",""))))</f>
        <v/>
      </c>
      <c r="BC297" s="31" t="n">
        <f aca="false">IF(AND(ISNUMBER(E297),ISNUMBER(F297)),MAX(1,NETWORKDAYS.INTL(E297,F297,11)),0)</f>
        <v>0</v>
      </c>
      <c r="BD297" s="1" t="str">
        <f aca="false">IF(OR(NOT(AND(ISNUMBER(E297),ISNUMBER(F297))),$J$2=""),"",MIN(100,ROUND(SUM($G297:G297),1)))</f>
        <v/>
      </c>
      <c r="BE297" s="1" t="str">
        <f aca="false">IF(OR(NOT(AND(ISNUMBER(E297),ISNUMBER(F297))),$J$2=""),"",MIN(100,ROUND(SUM($G297:H297),1)))</f>
        <v/>
      </c>
      <c r="BF297" s="1" t="str">
        <f aca="false">IF(OR(NOT(AND(ISNUMBER(E297),ISNUMBER(F297))),$J$2=""),"",MIN(100,ROUND(SUM($G297:I297),1)))</f>
        <v/>
      </c>
      <c r="BG297" s="1" t="str">
        <f aca="false">IF(OR(NOT(AND(ISNUMBER(E297),ISNUMBER(F297))),$J$2=""),"",MIN(100,ROUND(SUM($G297:J297),1)))</f>
        <v/>
      </c>
      <c r="BH297" s="1" t="str">
        <f aca="false">IF(OR(NOT(AND(ISNUMBER(E297),ISNUMBER(F297))),$J$2=""),"",MIN(100,ROUND(SUM($G297:K297),1)))</f>
        <v/>
      </c>
      <c r="BI297" s="1" t="str">
        <f aca="false">IF(OR(NOT(AND(ISNUMBER(E297),ISNUMBER(F297))),$J$2=""),"",MIN(100,ROUND(SUM($G297:L297),1)))</f>
        <v/>
      </c>
      <c r="BJ297" s="1" t="str">
        <f aca="false">IF(OR(NOT(AND(ISNUMBER(E297),ISNUMBER(F297))),$J$2=""),"",MIN(100,ROUND(SUM($G297:M297),1)))</f>
        <v/>
      </c>
      <c r="BK297" s="1" t="str">
        <f aca="false">IF(OR(NOT(AND(ISNUMBER(E297),ISNUMBER(F297))),$J$2=""),"",MIN(100,ROUND(SUM($G297:N297),1)))</f>
        <v/>
      </c>
      <c r="BL297" s="1" t="str">
        <f aca="false">IF(OR(NOT(AND(ISNUMBER(E297),ISNUMBER(F297))),$J$2=""),"",MIN(100,ROUND(SUM($G297:O297),1)))</f>
        <v/>
      </c>
      <c r="BM297" s="1" t="str">
        <f aca="false">IF(OR(NOT(AND(ISNUMBER(E297),ISNUMBER(F297))),$J$2=""),"",MIN(100,ROUND(SUM($G297:P297),1)))</f>
        <v/>
      </c>
      <c r="BN297" s="1" t="str">
        <f aca="false">IF(OR(NOT(AND(ISNUMBER(E297),ISNUMBER(F297))),$J$2=""),"",MIN(100,ROUND(SUM($G297:P297),1)))</f>
        <v/>
      </c>
      <c r="BO297" s="1" t="str">
        <f aca="false">IF(OR(NOT(AND(ISNUMBER(E297),ISNUMBER(F297))),$J$2=""),"",MIN(100,ROUND(SUM($G297:P297),1)))</f>
        <v/>
      </c>
      <c r="BP297" s="1" t="str">
        <f aca="false">IF(OR(NOT(AND(ISNUMBER(E297),ISNUMBER(F297))),$J$2=""),"",MIN(100,ROUND(SUM($G297:P297),1)))</f>
        <v/>
      </c>
      <c r="BQ297" s="1" t="str">
        <f aca="false">IF(OR(NOT(AND(ISNUMBER(E297),ISNUMBER(F297))),$J$2=""),"",MIN(100,ROUND(SUM($G297:P297),1)))</f>
        <v/>
      </c>
      <c r="BR297" s="1" t="str">
        <f aca="false">IF(OR(NOT(AND(ISNUMBER(E297),ISNUMBER(F297))),$J$2=""),"",MIN(100,ROUND(SUM($G297:P297),1)))</f>
        <v/>
      </c>
      <c r="BS297" s="1" t="str">
        <f aca="false">IF(OR(NOT(AND(ISNUMBER(E297),ISNUMBER(F297))),$J$2=""),"",MIN(100,ROUND(SUM($G297:P297),1)))</f>
        <v/>
      </c>
      <c r="BT297" s="1" t="str">
        <f aca="false">IF(OR(NOT(AND(ISNUMBER(E297),ISNUMBER(F297))),$J$2=""),"",IF(Reprogramaciones!K$13&lt;Reprogramaciones!$T$15,0,IF(Reprogramaciones!K$14&gt;10,MIN(100,SUM($G297:$P297)),MIN(100,SUMPRODUCT((COLUMN($G297:$P297)-COLUMN($G297)+1&lt;Reprogramaciones!K$14)*$G297:$P297)+N(INDEX($G297:$P297,1,Reprogramaciones!K$14))*IF(Reprogramaciones!K$13&gt;=(Reprogramaciones!$T$15+7*(Reprogramaciones!K$14-1))+6,1,IF(MAX(0,NETWORKDAYS.INTL(MAX(E297,(Reprogramaciones!$T$15+7*(Reprogramaciones!K$14-1))),MIN(F297,(Reprogramaciones!$T$15+7*(Reprogramaciones!K$14-1))+6),11))=0,0,MAX(0,NETWORKDAYS.INTL(MAX(E297,(Reprogramaciones!$T$15+7*(Reprogramaciones!K$14-1))),MIN(F297,Reprogramaciones!K$13),11))/MAX(0,NETWORKDAYS.INTL(MAX(E297,(Reprogramaciones!$T$15+7*(Reprogramaciones!K$14-1))),MIN(F297,(Reprogramaciones!$T$15+7*(Reprogramaciones!K$14-1))+6),11))))))))</f>
        <v/>
      </c>
      <c r="BU297" s="1" t="str">
        <f aca="false">IF(OR(NOT(AND(ISNUMBER(E297),ISNUMBER(F297))),$J$2=""),"",IF(Reprogramaciones!L$13&lt;Reprogramaciones!$T$15,0,IF(Reprogramaciones!L$14&gt;10,MIN(100,SUM($G297:$P297)),MIN(100,SUMPRODUCT((COLUMN($G297:$P297)-COLUMN($G297)+1&lt;Reprogramaciones!L$14)*$G297:$P297)+N(INDEX($G297:$P297,1,Reprogramaciones!L$14))*IF(Reprogramaciones!L$13&gt;=(Reprogramaciones!$T$15+7*(Reprogramaciones!L$14-1))+6,1,IF(MAX(0,NETWORKDAYS.INTL(MAX(E297,(Reprogramaciones!$T$15+7*(Reprogramaciones!L$14-1))),MIN(F297,(Reprogramaciones!$T$15+7*(Reprogramaciones!L$14-1))+6),11))=0,0,MAX(0,NETWORKDAYS.INTL(MAX(E297,(Reprogramaciones!$T$15+7*(Reprogramaciones!L$14-1))),MIN(F297,Reprogramaciones!L$13),11))/MAX(0,NETWORKDAYS.INTL(MAX(E297,(Reprogramaciones!$T$15+7*(Reprogramaciones!L$14-1))),MIN(F297,(Reprogramaciones!$T$15+7*(Reprogramaciones!L$14-1))+6),11))))))))</f>
        <v/>
      </c>
      <c r="BV297" s="1" t="str">
        <f aca="false">IF(OR(NOT(AND(ISNUMBER(E297),ISNUMBER(F297))),$J$2=""),"",IF(Reprogramaciones!M$13&lt;Reprogramaciones!$T$15,0,IF(Reprogramaciones!M$14&gt;10,MIN(100,SUM($G297:$P297)),MIN(100,SUMPRODUCT((COLUMN($G297:$P297)-COLUMN($G297)+1&lt;Reprogramaciones!M$14)*$G297:$P297)+N(INDEX($G297:$P297,1,Reprogramaciones!M$14))*IF(Reprogramaciones!M$13&gt;=(Reprogramaciones!$T$15+7*(Reprogramaciones!M$14-1))+6,1,IF(MAX(0,NETWORKDAYS.INTL(MAX(E297,(Reprogramaciones!$T$15+7*(Reprogramaciones!M$14-1))),MIN(F297,(Reprogramaciones!$T$15+7*(Reprogramaciones!M$14-1))+6),11))=0,0,MAX(0,NETWORKDAYS.INTL(MAX(E297,(Reprogramaciones!$T$15+7*(Reprogramaciones!M$14-1))),MIN(F297,Reprogramaciones!M$13),11))/MAX(0,NETWORKDAYS.INTL(MAX(E297,(Reprogramaciones!$T$15+7*(Reprogramaciones!M$14-1))),MIN(F297,(Reprogramaciones!$T$15+7*(Reprogramaciones!M$14-1))+6),11))))))))</f>
        <v/>
      </c>
      <c r="BW297" s="1" t="str">
        <f aca="false">IF(OR(NOT(AND(ISNUMBER(E297),ISNUMBER(F297))),$J$2=""),"",IF(Reprogramaciones!N$13&lt;Reprogramaciones!$T$15,0,IF(Reprogramaciones!N$14&gt;10,MIN(100,SUM($G297:$P297)),MIN(100,SUMPRODUCT((COLUMN($G297:$P297)-COLUMN($G297)+1&lt;Reprogramaciones!N$14)*$G297:$P297)+N(INDEX($G297:$P297,1,Reprogramaciones!N$14))*IF(Reprogramaciones!N$13&gt;=(Reprogramaciones!$T$15+7*(Reprogramaciones!N$14-1))+6,1,IF(MAX(0,NETWORKDAYS.INTL(MAX(E297,(Reprogramaciones!$T$15+7*(Reprogramaciones!N$14-1))),MIN(F297,(Reprogramaciones!$T$15+7*(Reprogramaciones!N$14-1))+6),11))=0,0,MAX(0,NETWORKDAYS.INTL(MAX(E297,(Reprogramaciones!$T$15+7*(Reprogramaciones!N$14-1))),MIN(F297,Reprogramaciones!N$13),11))/MAX(0,NETWORKDAYS.INTL(MAX(E297,(Reprogramaciones!$T$15+7*(Reprogramaciones!N$14-1))),MIN(F297,(Reprogramaciones!$T$15+7*(Reprogramaciones!N$14-1))+6),11))))))))</f>
        <v/>
      </c>
      <c r="BX297" s="1" t="str">
        <f aca="false">IF(OR(NOT(AND(ISNUMBER(E297),ISNUMBER(F297))),$J$2=""),"",IF(Reprogramaciones!O$13&lt;Reprogramaciones!$T$15,0,IF(Reprogramaciones!O$14&gt;10,MIN(100,SUM($G297:$P297)),MIN(100,SUMPRODUCT((COLUMN($G297:$P297)-COLUMN($G297)+1&lt;Reprogramaciones!O$14)*$G297:$P297)+N(INDEX($G297:$P297,1,Reprogramaciones!O$14))*IF(Reprogramaciones!O$13&gt;=(Reprogramaciones!$T$15+7*(Reprogramaciones!O$14-1))+6,1,IF(MAX(0,NETWORKDAYS.INTL(MAX(E297,(Reprogramaciones!$T$15+7*(Reprogramaciones!O$14-1))),MIN(F297,(Reprogramaciones!$T$15+7*(Reprogramaciones!O$14-1))+6),11))=0,0,MAX(0,NETWORKDAYS.INTL(MAX(E297,(Reprogramaciones!$T$15+7*(Reprogramaciones!O$14-1))),MIN(F297,Reprogramaciones!O$13),11))/MAX(0,NETWORKDAYS.INTL(MAX(E297,(Reprogramaciones!$T$15+7*(Reprogramaciones!O$14-1))),MIN(F297,(Reprogramaciones!$T$15+7*(Reprogramaciones!O$14-1))+6),11))))))))</f>
        <v/>
      </c>
      <c r="BY297" s="1" t="str">
        <f aca="false">IF(OR(NOT(AND(ISNUMBER(E297),ISNUMBER(F297))),$J$2=""),"",IF(Reprogramaciones!P$13&lt;Reprogramaciones!$T$15,0,IF(Reprogramaciones!P$14&gt;10,MIN(100,SUM($G297:$P297)),MIN(100,SUMPRODUCT((COLUMN($G297:$P297)-COLUMN($G297)+1&lt;Reprogramaciones!P$14)*$G297:$P297)+N(INDEX($G297:$P297,1,Reprogramaciones!P$14))*IF(Reprogramaciones!P$13&gt;=(Reprogramaciones!$T$15+7*(Reprogramaciones!P$14-1))+6,1,IF(MAX(0,NETWORKDAYS.INTL(MAX(E297,(Reprogramaciones!$T$15+7*(Reprogramaciones!P$14-1))),MIN(F297,(Reprogramaciones!$T$15+7*(Reprogramaciones!P$14-1))+6),11))=0,0,MAX(0,NETWORKDAYS.INTL(MAX(E297,(Reprogramaciones!$T$15+7*(Reprogramaciones!P$14-1))),MIN(F297,Reprogramaciones!P$13),11))/MAX(0,NETWORKDAYS.INTL(MAX(E297,(Reprogramaciones!$T$15+7*(Reprogramaciones!P$14-1))),MIN(F297,(Reprogramaciones!$T$15+7*(Reprogramaciones!P$14-1))+6),11))))))))</f>
        <v/>
      </c>
      <c r="BZ297" s="1" t="str">
        <f aca="false">IF(OR(NOT(AND(ISNUMBER(E297),ISNUMBER(F297))),$J$2=""),"",IF(Reprogramaciones!Q$13&lt;Reprogramaciones!$T$15,0,IF(Reprogramaciones!Q$14&gt;10,MIN(100,SUM($G297:$P297)),MIN(100,SUMPRODUCT((COLUMN($G297:$P297)-COLUMN($G297)+1&lt;Reprogramaciones!Q$14)*$G297:$P297)+N(INDEX($G297:$P297,1,Reprogramaciones!Q$14))*IF(Reprogramaciones!Q$13&gt;=(Reprogramaciones!$T$15+7*(Reprogramaciones!Q$14-1))+6,1,IF(MAX(0,NETWORKDAYS.INTL(MAX(E297,(Reprogramaciones!$T$15+7*(Reprogramaciones!Q$14-1))),MIN(F297,(Reprogramaciones!$T$15+7*(Reprogramaciones!Q$14-1))+6),11))=0,0,MAX(0,NETWORKDAYS.INTL(MAX(E297,(Reprogramaciones!$T$15+7*(Reprogramaciones!Q$14-1))),MIN(F297,Reprogramaciones!Q$13),11))/MAX(0,NETWORKDAYS.INTL(MAX(E297,(Reprogramaciones!$T$15+7*(Reprogramaciones!Q$14-1))),MIN(F297,(Reprogramaciones!$T$15+7*(Reprogramaciones!Q$14-1))+6),11))))))))</f>
        <v/>
      </c>
      <c r="CA297" s="1" t="str">
        <f aca="false">IF(OR(NOT(AND(ISNUMBER(E297),ISNUMBER(F297))),$J$2=""),"",IF(Reprogramaciones!R$13&lt;Reprogramaciones!$T$15,0,IF(Reprogramaciones!R$14&gt;10,MIN(100,SUM($G297:$P297)),MIN(100,SUMPRODUCT((COLUMN($G297:$P297)-COLUMN($G297)+1&lt;Reprogramaciones!R$14)*$G297:$P297)+N(INDEX($G297:$P297,1,Reprogramaciones!R$14))*IF(Reprogramaciones!R$13&gt;=(Reprogramaciones!$T$15+7*(Reprogramaciones!R$14-1))+6,1,IF(MAX(0,NETWORKDAYS.INTL(MAX(E297,(Reprogramaciones!$T$15+7*(Reprogramaciones!R$14-1))),MIN(F297,(Reprogramaciones!$T$15+7*(Reprogramaciones!R$14-1))+6),11))=0,0,MAX(0,NETWORKDAYS.INTL(MAX(E297,(Reprogramaciones!$T$15+7*(Reprogramaciones!R$14-1))),MIN(F297,Reprogramaciones!R$13),11))/MAX(0,NETWORKDAYS.INTL(MAX(E297,(Reprogramaciones!$T$15+7*(Reprogramaciones!R$14-1))),MIN(F297,(Reprogramaciones!$T$15+7*(Reprogramaciones!R$14-1))+6),11))))))))</f>
        <v/>
      </c>
      <c r="CB297" s="1" t="str">
        <f aca="false">IF(OR(NOT(AND(ISNUMBER(E297),ISNUMBER(F297))),$J$2=""),"",IF(Reprogramaciones!S$13&lt;Reprogramaciones!$T$15,0,IF(Reprogramaciones!S$14&gt;10,MIN(100,SUM($G297:$P297)),MIN(100,SUMPRODUCT((COLUMN($G297:$P297)-COLUMN($G297)+1&lt;Reprogramaciones!S$14)*$G297:$P297)+N(INDEX($G297:$P297,1,Reprogramaciones!S$14))*IF(Reprogramaciones!S$13&gt;=(Reprogramaciones!$T$15+7*(Reprogramaciones!S$14-1))+6,1,IF(MAX(0,NETWORKDAYS.INTL(MAX(E297,(Reprogramaciones!$T$15+7*(Reprogramaciones!S$14-1))),MIN(F297,(Reprogramaciones!$T$15+7*(Reprogramaciones!S$14-1))+6),11))=0,0,MAX(0,NETWORKDAYS.INTL(MAX(E297,(Reprogramaciones!$T$15+7*(Reprogramaciones!S$14-1))),MIN(F297,Reprogramaciones!S$13),11))/MAX(0,NETWORKDAYS.INTL(MAX(E297,(Reprogramaciones!$T$15+7*(Reprogramaciones!S$14-1))),MIN(F297,(Reprogramaciones!$T$15+7*(Reprogramaciones!S$14-1))+6),11))))))))</f>
        <v/>
      </c>
      <c r="CC297" s="1" t="str">
        <f aca="false">IF(OR(NOT(AND(ISNUMBER(E297),ISNUMBER(F297))),$J$2=""),"",IF(Reprogramaciones!T$13&lt;Reprogramaciones!$T$15,0,IF(Reprogramaciones!T$14&gt;10,MIN(100,SUM($G297:$P297)),MIN(100,SUMPRODUCT((COLUMN($G297:$P297)-COLUMN($G297)+1&lt;Reprogramaciones!T$14)*$G297:$P297)+N(INDEX($G297:$P297,1,Reprogramaciones!T$14))*IF(Reprogramaciones!T$13&gt;=(Reprogramaciones!$T$15+7*(Reprogramaciones!T$14-1))+6,1,IF(MAX(0,NETWORKDAYS.INTL(MAX(E297,(Reprogramaciones!$T$15+7*(Reprogramaciones!T$14-1))),MIN(F297,(Reprogramaciones!$T$15+7*(Reprogramaciones!T$14-1))+6),11))=0,0,MAX(0,NETWORKDAYS.INTL(MAX(E297,(Reprogramaciones!$T$15+7*(Reprogramaciones!T$14-1))),MIN(F297,Reprogramaciones!T$13),11))/MAX(0,NETWORKDAYS.INTL(MAX(E297,(Reprogramaciones!$T$15+7*(Reprogramaciones!T$14-1))),MIN(F297,(Reprogramaciones!$T$15+7*(Reprogramaciones!T$14-1))+6),11))))))))</f>
        <v/>
      </c>
      <c r="CD297" s="1" t="str">
        <f aca="false">IF(OR(NOT(AND(ISNUMBER(E297),ISNUMBER(F297))),$J$2=""),"",IF(Reprogramaciones!U$13&lt;Reprogramaciones!$T$15,0,IF(Reprogramaciones!U$14&gt;10,MIN(100,SUM($G297:$P297)),MIN(100,SUMPRODUCT((COLUMN($G297:$P297)-COLUMN($G297)+1&lt;Reprogramaciones!U$14)*$G297:$P297)+N(INDEX($G297:$P297,1,Reprogramaciones!U$14))*IF(Reprogramaciones!U$13&gt;=(Reprogramaciones!$T$15+7*(Reprogramaciones!U$14-1))+6,1,IF(MAX(0,NETWORKDAYS.INTL(MAX(E297,(Reprogramaciones!$T$15+7*(Reprogramaciones!U$14-1))),MIN(F297,(Reprogramaciones!$T$15+7*(Reprogramaciones!U$14-1))+6),11))=0,0,MAX(0,NETWORKDAYS.INTL(MAX(E297,(Reprogramaciones!$T$15+7*(Reprogramaciones!U$14-1))),MIN(F297,Reprogramaciones!U$13),11))/MAX(0,NETWORKDAYS.INTL(MAX(E297,(Reprogramaciones!$T$15+7*(Reprogramaciones!U$14-1))),MIN(F297,(Reprogramaciones!$T$15+7*(Reprogramaciones!U$14-1))+6),11))))))))</f>
        <v/>
      </c>
      <c r="CE297" s="1" t="str">
        <f aca="false">IF(OR(NOT(AND(ISNUMBER(E297),ISNUMBER(F297))),$J$2=""),"",IF(Reprogramaciones!V$13&lt;Reprogramaciones!$T$15,0,IF(Reprogramaciones!V$14&gt;10,MIN(100,SUM($G297:$P297)),MIN(100,SUMPRODUCT((COLUMN($G297:$P297)-COLUMN($G297)+1&lt;Reprogramaciones!V$14)*$G297:$P297)+N(INDEX($G297:$P297,1,Reprogramaciones!V$14))*IF(Reprogramaciones!V$13&gt;=(Reprogramaciones!$T$15+7*(Reprogramaciones!V$14-1))+6,1,IF(MAX(0,NETWORKDAYS.INTL(MAX(E297,(Reprogramaciones!$T$15+7*(Reprogramaciones!V$14-1))),MIN(F297,(Reprogramaciones!$T$15+7*(Reprogramaciones!V$14-1))+6),11))=0,0,MAX(0,NETWORKDAYS.INTL(MAX(E297,(Reprogramaciones!$T$15+7*(Reprogramaciones!V$14-1))),MIN(F297,Reprogramaciones!V$13),11))/MAX(0,NETWORKDAYS.INTL(MAX(E297,(Reprogramaciones!$T$15+7*(Reprogramaciones!V$14-1))),MIN(F297,(Reprogramaciones!$T$15+7*(Reprogramaciones!V$14-1))+6),11))))))))</f>
        <v/>
      </c>
      <c r="CF297" s="1" t="str">
        <f aca="false">IF(OR(NOT(AND(ISNUMBER(E297),ISNUMBER(F297))),$J$2=""),"",IF(Reprogramaciones!W$13&lt;Reprogramaciones!$T$15,0,IF(Reprogramaciones!W$14&gt;10,MIN(100,SUM($G297:$P297)),MIN(100,SUMPRODUCT((COLUMN($G297:$P297)-COLUMN($G297)+1&lt;Reprogramaciones!W$14)*$G297:$P297)+N(INDEX($G297:$P297,1,Reprogramaciones!W$14))*IF(Reprogramaciones!W$13&gt;=(Reprogramaciones!$T$15+7*(Reprogramaciones!W$14-1))+6,1,IF(MAX(0,NETWORKDAYS.INTL(MAX(E297,(Reprogramaciones!$T$15+7*(Reprogramaciones!W$14-1))),MIN(F297,(Reprogramaciones!$T$15+7*(Reprogramaciones!W$14-1))+6),11))=0,0,MAX(0,NETWORKDAYS.INTL(MAX(E297,(Reprogramaciones!$T$15+7*(Reprogramaciones!W$14-1))),MIN(F297,Reprogramaciones!W$13),11))/MAX(0,NETWORKDAYS.INTL(MAX(E297,(Reprogramaciones!$T$15+7*(Reprogramaciones!W$14-1))),MIN(F297,(Reprogramaciones!$T$15+7*(Reprogramaciones!W$14-1))+6),11))))))))</f>
        <v/>
      </c>
      <c r="CG297" s="1" t="str">
        <f aca="false">IF(OR(NOT(AND(ISNUMBER(E297),ISNUMBER(F297))),$J$2=""),"",IF(Reprogramaciones!X$13&lt;Reprogramaciones!$T$15,0,IF(Reprogramaciones!X$14&gt;10,MIN(100,SUM($G297:$P297)),MIN(100,SUMPRODUCT((COLUMN($G297:$P297)-COLUMN($G297)+1&lt;Reprogramaciones!X$14)*$G297:$P297)+N(INDEX($G297:$P297,1,Reprogramaciones!X$14))*IF(Reprogramaciones!X$13&gt;=(Reprogramaciones!$T$15+7*(Reprogramaciones!X$14-1))+6,1,IF(MAX(0,NETWORKDAYS.INTL(MAX(E297,(Reprogramaciones!$T$15+7*(Reprogramaciones!X$14-1))),MIN(F297,(Reprogramaciones!$T$15+7*(Reprogramaciones!X$14-1))+6),11))=0,0,MAX(0,NETWORKDAYS.INTL(MAX(E297,(Reprogramaciones!$T$15+7*(Reprogramaciones!X$14-1))),MIN(F297,Reprogramaciones!X$13),11))/MAX(0,NETWORKDAYS.INTL(MAX(E297,(Reprogramaciones!$T$15+7*(Reprogramaciones!X$14-1))),MIN(F297,(Reprogramaciones!$T$15+7*(Reprogramaciones!X$14-1))+6),11))))))))</f>
        <v/>
      </c>
      <c r="CH297" s="1" t="str">
        <f aca="false">IF(OR(NOT(AND(ISNUMBER(E297),ISNUMBER(F297))),$J$2=""),"",IF(Reprogramaciones!Y$13&lt;Reprogramaciones!$T$15,0,IF(Reprogramaciones!Y$14&gt;10,MIN(100,SUM($G297:$P297)),MIN(100,SUMPRODUCT((COLUMN($G297:$P297)-COLUMN($G297)+1&lt;Reprogramaciones!Y$14)*$G297:$P297)+N(INDEX($G297:$P297,1,Reprogramaciones!Y$14))*IF(Reprogramaciones!Y$13&gt;=(Reprogramaciones!$T$15+7*(Reprogramaciones!Y$14-1))+6,1,IF(MAX(0,NETWORKDAYS.INTL(MAX(E297,(Reprogramaciones!$T$15+7*(Reprogramaciones!Y$14-1))),MIN(F297,(Reprogramaciones!$T$15+7*(Reprogramaciones!Y$14-1))+6),11))=0,0,MAX(0,NETWORKDAYS.INTL(MAX(E297,(Reprogramaciones!$T$15+7*(Reprogramaciones!Y$14-1))),MIN(F297,Reprogramaciones!Y$13),11))/MAX(0,NETWORKDAYS.INTL(MAX(E297,(Reprogramaciones!$T$15+7*(Reprogramaciones!Y$14-1))),MIN(F297,(Reprogramaciones!$T$15+7*(Reprogramaciones!Y$14-1))+6),11))))))))</f>
        <v/>
      </c>
      <c r="CI297" s="1" t="str">
        <f aca="false">IF(OR(NOT(AND(ISNUMBER(E297),ISNUMBER(F297))),$J$2=""),"",IF(Reprogramaciones!Z$13&lt;Reprogramaciones!$T$15,0,IF(Reprogramaciones!Z$14&gt;10,MIN(100,SUM($G297:$P297)),MIN(100,SUMPRODUCT((COLUMN($G297:$P297)-COLUMN($G297)+1&lt;Reprogramaciones!Z$14)*$G297:$P297)+N(INDEX($G297:$P297,1,Reprogramaciones!Z$14))*IF(Reprogramaciones!Z$13&gt;=(Reprogramaciones!$T$15+7*(Reprogramaciones!Z$14-1))+6,1,IF(MAX(0,NETWORKDAYS.INTL(MAX(E297,(Reprogramaciones!$T$15+7*(Reprogramaciones!Z$14-1))),MIN(F297,(Reprogramaciones!$T$15+7*(Reprogramaciones!Z$14-1))+6),11))=0,0,MAX(0,NETWORKDAYS.INTL(MAX(E297,(Reprogramaciones!$T$15+7*(Reprogramaciones!Z$14-1))),MIN(F297,Reprogramaciones!Z$13),11))/MAX(0,NETWORKDAYS.INTL(MAX(E297,(Reprogramaciones!$T$15+7*(Reprogramaciones!Z$14-1))),MIN(F297,(Reprogramaciones!$T$15+7*(Reprogramaciones!Z$14-1))+6),11))))))))</f>
        <v/>
      </c>
      <c r="CJ297" s="1" t="str">
        <f aca="false">IF(OR(OR(NOT(AND(ISNUMBER(E297),ISNUMBER(F297))),$J$2=""),1&gt;Reprogramaciones!$K$16),"",IF(ROUND(SUM($Q297:Q297),1)&gt;=99.5,100,MIN(100,ROUND(SUM($Q297:Q297),1))))</f>
        <v/>
      </c>
      <c r="CK297" s="1" t="str">
        <f aca="false">IF(OR(OR(NOT(AND(ISNUMBER(E297),ISNUMBER(F297))),$J$2=""),2&gt;Reprogramaciones!$K$16),"",IF(ROUND(SUM($Q297:R297),1)&gt;=99.5,100,MIN(100,ROUND(SUM($Q297:R297),1))))</f>
        <v/>
      </c>
      <c r="CL297" s="1" t="str">
        <f aca="false">IF(OR(OR(NOT(AND(ISNUMBER(E297),ISNUMBER(F297))),$J$2=""),3&gt;Reprogramaciones!$K$16),"",IF(ROUND(SUM($Q297:S297),1)&gt;=99.5,100,MIN(100,ROUND(SUM($Q297:S297),1))))</f>
        <v/>
      </c>
      <c r="CM297" s="1" t="str">
        <f aca="false">IF(OR(OR(NOT(AND(ISNUMBER(E297),ISNUMBER(F297))),$J$2=""),4&gt;Reprogramaciones!$K$16),"",IF(ROUND(SUM($Q297:T297),1)&gt;=99.5,100,MIN(100,ROUND(SUM($Q297:T297),1))))</f>
        <v/>
      </c>
      <c r="CN297" s="1" t="str">
        <f aca="false">IF(OR(OR(NOT(AND(ISNUMBER(E297),ISNUMBER(F297))),$J$2=""),5&gt;Reprogramaciones!$K$16),"",IF(ROUND(SUM($Q297:U297),1)&gt;=99.5,100,MIN(100,ROUND(SUM($Q297:U297),1))))</f>
        <v/>
      </c>
      <c r="CO297" s="1" t="str">
        <f aca="false">IF(OR(OR(NOT(AND(ISNUMBER(E297),ISNUMBER(F297))),$J$2=""),6&gt;Reprogramaciones!$K$16),"",IF(ROUND(SUM($Q297:V297),1)&gt;=99.5,100,MIN(100,ROUND(SUM($Q297:V297),1))))</f>
        <v/>
      </c>
      <c r="CP297" s="1" t="str">
        <f aca="false">IF(OR(OR(NOT(AND(ISNUMBER(E297),ISNUMBER(F297))),$J$2=""),7&gt;Reprogramaciones!$K$16),"",IF(ROUND(SUM($Q297:W297),1)&gt;=99.5,100,MIN(100,ROUND(SUM($Q297:W297),1))))</f>
        <v/>
      </c>
      <c r="CQ297" s="1" t="str">
        <f aca="false">IF(OR(OR(NOT(AND(ISNUMBER(E297),ISNUMBER(F297))),$J$2=""),8&gt;Reprogramaciones!$K$16),"",IF(ROUND(SUM($Q297:X297),1)&gt;=99.5,100,MIN(100,ROUND(SUM($Q297:X297),1))))</f>
        <v/>
      </c>
      <c r="CR297" s="1" t="str">
        <f aca="false">IF(OR(OR(NOT(AND(ISNUMBER(E297),ISNUMBER(F297))),$J$2=""),9&gt;Reprogramaciones!$K$16),"",IF(ROUND(SUM($Q297:Y297),1)&gt;=99.5,100,MIN(100,ROUND(SUM($Q297:Y297),1))))</f>
        <v/>
      </c>
      <c r="CS297" s="1" t="str">
        <f aca="false">IF(OR(OR(NOT(AND(ISNUMBER(E297),ISNUMBER(F297))),$J$2=""),10&gt;Reprogramaciones!$K$16),"",IF(ROUND(SUM($Q297:Z297),1)&gt;=99.5,100,MIN(100,ROUND(SUM($Q297:Z297),1))))</f>
        <v/>
      </c>
      <c r="CT297" s="1" t="str">
        <f aca="false">IF(OR(OR(NOT(AND(ISNUMBER(E297),ISNUMBER(F297))),$J$2=""),11&gt;Reprogramaciones!$K$16),"",IF(ROUND(SUM($Q297:AA297),1)&gt;=99.5,100,MIN(100,ROUND(SUM($Q297:AA297),1))))</f>
        <v/>
      </c>
      <c r="CU297" s="1" t="str">
        <f aca="false">IF(OR(OR(NOT(AND(ISNUMBER(E297),ISNUMBER(F297))),$J$2=""),12&gt;Reprogramaciones!$K$16),"",IF(ROUND(SUM($Q297:AB297),1)&gt;=99.5,100,MIN(100,ROUND(SUM($Q297:AB297),1))))</f>
        <v/>
      </c>
      <c r="CV297" s="1" t="str">
        <f aca="false">IF(OR(OR(NOT(AND(ISNUMBER(E297),ISNUMBER(F297))),$J$2=""),13&gt;Reprogramaciones!$K$16),"",IF(ROUND(SUM($Q297:AC297),1)&gt;=99.5,100,MIN(100,ROUND(SUM($Q297:AC297),1))))</f>
        <v/>
      </c>
      <c r="CW297" s="1" t="str">
        <f aca="false">IF(OR(OR(NOT(AND(ISNUMBER(E297),ISNUMBER(F297))),$J$2=""),14&gt;Reprogramaciones!$K$16),"",IF(ROUND(SUM($Q297:AD297),1)&gt;=99.5,100,MIN(100,ROUND(SUM($Q297:AD297),1))))</f>
        <v/>
      </c>
      <c r="CX297" s="1" t="str">
        <f aca="false">IF(OR(OR(NOT(AND(ISNUMBER(E297),ISNUMBER(F297))),$J$2=""),15&gt;Reprogramaciones!$K$16),"",IF(ROUND(SUM($Q297:AE297),1)&gt;=99.5,100,MIN(100,ROUND(SUM($Q297:AE297),1))))</f>
        <v/>
      </c>
      <c r="CY297" s="1" t="str">
        <f aca="false">IF(OR(OR(NOT(AND(ISNUMBER(E297),ISNUMBER(F297))),$J$2=""),16&gt;Reprogramaciones!$K$16),"",IF(ROUND(SUM($Q297:AF297),1)&gt;=99.5,100,MIN(100,ROUND(SUM($Q297:AF297),1))))</f>
        <v/>
      </c>
      <c r="CZ297" s="1" t="str">
        <f aca="false">IF(D297&lt;&gt;"",D297,IF(B297&lt;&gt;"","Contractual",CZ296))</f>
        <v>Contractual</v>
      </c>
      <c r="DA297" s="1" t="str">
        <f aca="false">IF(OR(NOT(AND(ISNUMBER(E297),ISNUMBER(F297))),$J$2=""),"",IF(Reprogramaciones!$Q$15&lt;Reprogramaciones!$T$15,0,IF(Reprogramaciones!$S$15&gt;10,MIN(100,SUM($G297:$P297)),MIN(100,SUMPRODUCT((COLUMN($G297:$P297)-COLUMN($G297)+1&lt;Reprogramaciones!$S$15)*$G297:$P297)+N(INDEX($G297:$P297,1,Reprogramaciones!$S$15))*IF(Reprogramaciones!$Q$15&gt;=(Reprogramaciones!$T$15+7*(Reprogramaciones!$S$15-1))+6,1,IF(MAX(0,NETWORKDAYS.INTL(MAX(E297,(Reprogramaciones!$T$15+7*(Reprogramaciones!$S$15-1))),MIN(F297,(Reprogramaciones!$T$15+7*(Reprogramaciones!$S$15-1))+6),11))=0,0,MAX(0,NETWORKDAYS.INTL(MAX(E297,(Reprogramaciones!$T$15+7*(Reprogramaciones!$S$15-1))),MIN(F297,Reprogramaciones!$Q$15),11))/MAX(0,NETWORKDAYS.INTL(MAX(E297,(Reprogramaciones!$T$15+7*(Reprogramaciones!$S$15-1))),MIN(F297,(Reprogramaciones!$T$15+7*(Reprogramaciones!$S$15-1))+6),11))))))))</f>
        <v/>
      </c>
    </row>
    <row r="298" customFormat="false" ht="15" hidden="false" customHeight="false" outlineLevel="0" collapsed="false">
      <c r="A298" s="32"/>
      <c r="B298" s="33"/>
      <c r="C298" s="33"/>
      <c r="D298" s="34"/>
      <c r="E298" s="35"/>
      <c r="F298" s="35"/>
      <c r="G298" s="36" t="str">
        <f aca="false">IF(OR(NOT(AND(ISNUMBER(E298),ISNUMBER(F298))),$J$2=""),"",IF(Reprogramaciones!K$9&lt;E298,0,IF(NETWORKDAYS.INTL(E298,F298,11)=0,IF(Reprogramaciones!K$9&gt;=F298,100,0),ROUND(NETWORKDAYS.INTL(E298,MIN(F298,Reprogramaciones!K$9),11)/NETWORKDAYS.INTL(E298,F298,11)*100,1)))-0)</f>
        <v/>
      </c>
      <c r="H298" s="36" t="str">
        <f aca="false">IF(OR(NOT(AND(ISNUMBER(E298),ISNUMBER(F298))),$J$2=""),"",IF(Reprogramaciones!L$9&lt;E298,0,IF(NETWORKDAYS.INTL(E298,F298,11)=0,IF(Reprogramaciones!L$9&gt;=F298,100,0),ROUND(NETWORKDAYS.INTL(E298,MIN(F298,Reprogramaciones!L$9),11)/NETWORKDAYS.INTL(E298,F298,11)*100,1)))-IF(Reprogramaciones!K$9&lt;E298,0,IF(NETWORKDAYS.INTL(E298,F298,11)=0,IF(Reprogramaciones!K$9&gt;=F298,100,0),ROUND(NETWORKDAYS.INTL(E298,MIN(F298,Reprogramaciones!K$9),11)/NETWORKDAYS.INTL(E298,F298,11)*100,1))))</f>
        <v/>
      </c>
      <c r="I298" s="36" t="str">
        <f aca="false">IF(OR(NOT(AND(ISNUMBER(E298),ISNUMBER(F298))),$J$2=""),"",IF(Reprogramaciones!M$9&lt;E298,0,IF(NETWORKDAYS.INTL(E298,F298,11)=0,IF(Reprogramaciones!M$9&gt;=F298,100,0),ROUND(NETWORKDAYS.INTL(E298,MIN(F298,Reprogramaciones!M$9),11)/NETWORKDAYS.INTL(E298,F298,11)*100,1)))-IF(Reprogramaciones!L$9&lt;E298,0,IF(NETWORKDAYS.INTL(E298,F298,11)=0,IF(Reprogramaciones!L$9&gt;=F298,100,0),ROUND(NETWORKDAYS.INTL(E298,MIN(F298,Reprogramaciones!L$9),11)/NETWORKDAYS.INTL(E298,F298,11)*100,1))))</f>
        <v/>
      </c>
      <c r="J298" s="36" t="str">
        <f aca="false">IF(OR(NOT(AND(ISNUMBER(E298),ISNUMBER(F298))),$J$2=""),"",IF(Reprogramaciones!N$9&lt;E298,0,IF(NETWORKDAYS.INTL(E298,F298,11)=0,IF(Reprogramaciones!N$9&gt;=F298,100,0),ROUND(NETWORKDAYS.INTL(E298,MIN(F298,Reprogramaciones!N$9),11)/NETWORKDAYS.INTL(E298,F298,11)*100,1)))-IF(Reprogramaciones!M$9&lt;E298,0,IF(NETWORKDAYS.INTL(E298,F298,11)=0,IF(Reprogramaciones!M$9&gt;=F298,100,0),ROUND(NETWORKDAYS.INTL(E298,MIN(F298,Reprogramaciones!M$9),11)/NETWORKDAYS.INTL(E298,F298,11)*100,1))))</f>
        <v/>
      </c>
      <c r="K298" s="36" t="str">
        <f aca="false">IF(OR(NOT(AND(ISNUMBER(E298),ISNUMBER(F298))),$J$2=""),"",IF(Reprogramaciones!O$9&lt;E298,0,IF(NETWORKDAYS.INTL(E298,F298,11)=0,IF(Reprogramaciones!O$9&gt;=F298,100,0),ROUND(NETWORKDAYS.INTL(E298,MIN(F298,Reprogramaciones!O$9),11)/NETWORKDAYS.INTL(E298,F298,11)*100,1)))-IF(Reprogramaciones!N$9&lt;E298,0,IF(NETWORKDAYS.INTL(E298,F298,11)=0,IF(Reprogramaciones!N$9&gt;=F298,100,0),ROUND(NETWORKDAYS.INTL(E298,MIN(F298,Reprogramaciones!N$9),11)/NETWORKDAYS.INTL(E298,F298,11)*100,1))))</f>
        <v/>
      </c>
      <c r="L298" s="36" t="str">
        <f aca="false">IF(OR(NOT(AND(ISNUMBER(E298),ISNUMBER(F298))),$J$2=""),"",IF(Reprogramaciones!P$9&lt;E298,0,IF(NETWORKDAYS.INTL(E298,F298,11)=0,IF(Reprogramaciones!P$9&gt;=F298,100,0),ROUND(NETWORKDAYS.INTL(E298,MIN(F298,Reprogramaciones!P$9),11)/NETWORKDAYS.INTL(E298,F298,11)*100,1)))-IF(Reprogramaciones!O$9&lt;E298,0,IF(NETWORKDAYS.INTL(E298,F298,11)=0,IF(Reprogramaciones!O$9&gt;=F298,100,0),ROUND(NETWORKDAYS.INTL(E298,MIN(F298,Reprogramaciones!O$9),11)/NETWORKDAYS.INTL(E298,F298,11)*100,1))))</f>
        <v/>
      </c>
      <c r="M298" s="36" t="str">
        <f aca="false">IF(OR(NOT(AND(ISNUMBER(E298),ISNUMBER(F298))),$J$2=""),"",IF(Reprogramaciones!Q$9&lt;E298,0,IF(NETWORKDAYS.INTL(E298,F298,11)=0,IF(Reprogramaciones!Q$9&gt;=F298,100,0),ROUND(NETWORKDAYS.INTL(E298,MIN(F298,Reprogramaciones!Q$9),11)/NETWORKDAYS.INTL(E298,F298,11)*100,1)))-IF(Reprogramaciones!P$9&lt;E298,0,IF(NETWORKDAYS.INTL(E298,F298,11)=0,IF(Reprogramaciones!P$9&gt;=F298,100,0),ROUND(NETWORKDAYS.INTL(E298,MIN(F298,Reprogramaciones!P$9),11)/NETWORKDAYS.INTL(E298,F298,11)*100,1))))</f>
        <v/>
      </c>
      <c r="N298" s="36" t="str">
        <f aca="false">IF(OR(NOT(AND(ISNUMBER(E298),ISNUMBER(F298))),$J$2=""),"",IF(Reprogramaciones!R$9&lt;E298,0,IF(NETWORKDAYS.INTL(E298,F298,11)=0,IF(Reprogramaciones!R$9&gt;=F298,100,0),ROUND(NETWORKDAYS.INTL(E298,MIN(F298,Reprogramaciones!R$9),11)/NETWORKDAYS.INTL(E298,F298,11)*100,1)))-IF(Reprogramaciones!Q$9&lt;E298,0,IF(NETWORKDAYS.INTL(E298,F298,11)=0,IF(Reprogramaciones!Q$9&gt;=F298,100,0),ROUND(NETWORKDAYS.INTL(E298,MIN(F298,Reprogramaciones!Q$9),11)/NETWORKDAYS.INTL(E298,F298,11)*100,1))))</f>
        <v/>
      </c>
      <c r="O298" s="36" t="str">
        <f aca="false">IF(OR(NOT(AND(ISNUMBER(E298),ISNUMBER(F298))),$J$2=""),"",IF(Reprogramaciones!S$9&lt;E298,0,IF(NETWORKDAYS.INTL(E298,F298,11)=0,IF(Reprogramaciones!S$9&gt;=F298,100,0),ROUND(NETWORKDAYS.INTL(E298,MIN(F298,Reprogramaciones!S$9),11)/NETWORKDAYS.INTL(E298,F298,11)*100,1)))-IF(Reprogramaciones!R$9&lt;E298,0,IF(NETWORKDAYS.INTL(E298,F298,11)=0,IF(Reprogramaciones!R$9&gt;=F298,100,0),ROUND(NETWORKDAYS.INTL(E298,MIN(F298,Reprogramaciones!R$9),11)/NETWORKDAYS.INTL(E298,F298,11)*100,1))))</f>
        <v/>
      </c>
      <c r="P298" s="36" t="str">
        <f aca="false">IF(OR(NOT(AND(ISNUMBER(E298),ISNUMBER(F298))),$J$2=""),"",IF(Reprogramaciones!T$9&lt;E298,0,IF(NETWORKDAYS.INTL(E298,F298,11)=0,IF(Reprogramaciones!T$9&gt;=F298,100,0),ROUND(NETWORKDAYS.INTL(E298,MIN(F298,Reprogramaciones!T$9),11)/NETWORKDAYS.INTL(E298,F298,11)*100,1)))-IF(Reprogramaciones!S$9&lt;E298,0,IF(NETWORKDAYS.INTL(E298,F298,11)=0,IF(Reprogramaciones!S$9&gt;=F298,100,0),ROUND(NETWORKDAYS.INTL(E298,MIN(F298,Reprogramaciones!S$9),11)/NETWORKDAYS.INTL(E298,F298,11)*100,1))))</f>
        <v/>
      </c>
      <c r="Q298" s="37"/>
      <c r="R298" s="37"/>
      <c r="S298" s="37"/>
      <c r="T298" s="37"/>
      <c r="U298" s="37"/>
      <c r="V298" s="37"/>
      <c r="W298" s="37"/>
      <c r="X298" s="37"/>
      <c r="Y298" s="37"/>
      <c r="Z298" s="37"/>
      <c r="AA298" s="37"/>
      <c r="AB298" s="37"/>
      <c r="AC298" s="37"/>
      <c r="AD298" s="37"/>
      <c r="AE298" s="37"/>
      <c r="AF298" s="37"/>
      <c r="AG298" s="38" t="str">
        <f aca="false">IF(AND(ISNUMBER(E298),ISNUMBER(F298)),NETWORKDAYS.INTL(E298,F298,11),"")</f>
        <v/>
      </c>
      <c r="AH298" s="38" t="str">
        <f aca="false">IF(OR(NOT(AND(ISNUMBER(E298),ISNUMBER(F298))),$J$2=""),"",IF(Reprogramaciones!$P$15&lt;Reprogramaciones!$T$15,0,IF(Reprogramaciones!$R$15&gt;10,MIN(100,SUM($G298:$P298)),MIN(100,SUMPRODUCT((COLUMN($G298:$P298)-COLUMN($G298)+1&lt;Reprogramaciones!$R$15)*$G298:$P298)+N(INDEX($G298:$P298,1,Reprogramaciones!$R$15))*IF(Reprogramaciones!$P$15&gt;=(Reprogramaciones!$T$15+7*(Reprogramaciones!$R$15-1))+6,1,IF(MAX(0,NETWORKDAYS.INTL(MAX(E298,(Reprogramaciones!$T$15+7*(Reprogramaciones!$R$15-1))),MIN(F298,(Reprogramaciones!$T$15+7*(Reprogramaciones!$R$15-1))+6),11))=0,0,MAX(0,NETWORKDAYS.INTL(MAX(E298,(Reprogramaciones!$T$15+7*(Reprogramaciones!$R$15-1))),MIN(F298,Reprogramaciones!$P$15),11))/MAX(0,NETWORKDAYS.INTL(MAX(E298,(Reprogramaciones!$T$15+7*(Reprogramaciones!$R$15-1))),MIN(F298,(Reprogramaciones!$T$15+7*(Reprogramaciones!$R$15-1))+6),11))))))))</f>
        <v/>
      </c>
      <c r="AI298" s="38" t="str">
        <f aca="false">IF(COUNT($Q298:$AF298)=0,"",IF(ROUND(SUM($Q298:$AF298),1)&gt;=99.5,100,MIN(100,ROUND(SUM($Q298:$AF298),1))))</f>
        <v/>
      </c>
      <c r="AJ298" s="38" t="str">
        <f aca="false">IF(OR(AH298="",AI298=""),"",AI298-AH298)</f>
        <v/>
      </c>
      <c r="AK298" s="39" t="str">
        <f aca="true">IF(AH298="","",IF(OR(Ficha!$C$10="Suspendida",Ficha!$C$10="Cancelada"),Ficha!$C$10,IF(AND(AI298&lt;&gt;"",N(AI298)&gt;=100),"Completada",IF(AND(E298&gt;TODAY(),N(AI298)=0),"Por iniciar",IF(N(AI298)+0.5&lt;AH298,"Retrasada",IF(N(AI298)+0.5&lt;DA298,IF(Reprogramaciones!$K$15&gt;0,"Al día · Sem "&amp;Reprogramaciones!$K$15&amp;" en curso","Al día · en curso"),"A tiempo"))))))</f>
        <v/>
      </c>
      <c r="AL298" s="39" t="str">
        <f aca="true">IF(AND(A298="",AND(B298="",C298="",E298="",F298="",COUNT(Q298:AF298)=0)),"",IF(AND(B298="",C298="",E298="",F298="",COUNT(Q298:AF298)=0),"Falta la partida o subpartida",IF(AND(A298&lt;&gt;"",COUNTIF($A$6:$A$305,A298)&gt;1),"Ítem repetido",IF(AND(C298="",E298="",F298="",COUNT(Q298:AF298)=0),"Título de partida",IF(OR(E298="",F298=""),"Faltan fechas",IF(OR(ISTEXT(E298),ISTEXT(F298)),"Fecha escrita como texto: usa dd/mm/aaaa",IF(F298&lt;E298,"Fin antes del inicio",IF(IF($J$2="",FALSE(),OR(E298&lt;$J$2,F298&gt;Reprogramaciones!$T$15+69)),"Fuera de las 10 semanas",IF(ABS(SUM(G298:P298)-100)&gt;0.5,"La meta no suma 100%",IF(ROUND(SUM(Q298:AF298),1)&gt;100.5,"El avance pasa de 100%",IF(MIN(Q298:AF298)&lt;0,"Avance negativo",IF(COUNTA(Q298:AF298)&gt;COUNT(Q298:AF298),"Avance escrito como texto",IF(SUMPRODUCT((Q298:AF298&gt;0)*(Q298:AF298&lt;1))&gt;0,"Avance menor a 1: escribe 50, no 50%",IF(SUMPRODUCT(ISNUMBER(Q298:AF298)*(Reprogramaciones!$K$8:$Z$8&gt;TODAY()))&gt;0,"Avance en semana que aún no llega",IF(AND(N(Reprogramaciones!$E$21)&gt;0,F298&gt;Reprogramaciones!$E$21),"Pasa el fin de la obra: registra una reprogramación",IF(AND(N(Reprogramaciones!$E$21)&gt;0,SUMPRODUCT(ISNUMBER(Q298:AF298)*(Reprogramaciones!$K$8:$Z$8&gt;Reprogramaciones!$E$21))&gt;0),"Avance después del fin de la obra: registra una reprogramación por atraso","OK"))))))))))))))))</f>
        <v/>
      </c>
      <c r="AM298" s="40" t="str">
        <f aca="false">IF(OR(OR(NOT(AND(ISNUMBER(E298),ISNUMBER(F298))),$J$2=""),1&gt;MAX(1,Reprogramaciones!$U$15)),"",IF(Reprogramaciones!K$12&gt;=7,"",IF(OR(BT298-N(0)&gt;0.05,N(Q298)&gt;0),ROUNDDOWN(ROUND(BT298,6),0)&amp;"%"&amp;IF(CJ298="",""," / "&amp;CJ298&amp;"%"),IF(AND(N(0)&gt;=99.95,CJ298&lt;&gt;"",N(CJ298)&lt;100),"Pend. "&amp;CJ298&amp;"%",""))))</f>
        <v/>
      </c>
      <c r="AN298" s="40" t="str">
        <f aca="false">IF(OR(OR(NOT(AND(ISNUMBER(E298),ISNUMBER(F298))),$J$2=""),2&gt;MAX(1,Reprogramaciones!$U$15)),"",IF(Reprogramaciones!L$12&gt;=7,"",IF(OR(BU298-N(BT298)&gt;0.05,N(R298)&gt;0),ROUNDDOWN(ROUND(BU298,6),0)&amp;"%"&amp;IF(CK298="",""," / "&amp;CK298&amp;"%"),IF(AND(N(BT298)&gt;=99.95,CK298&lt;&gt;"",N(CK298)&lt;100),"Pend. "&amp;CK298&amp;"%",""))))</f>
        <v/>
      </c>
      <c r="AO298" s="40" t="str">
        <f aca="false">IF(OR(OR(NOT(AND(ISNUMBER(E298),ISNUMBER(F298))),$J$2=""),3&gt;MAX(1,Reprogramaciones!$U$15)),"",IF(Reprogramaciones!M$12&gt;=7,"",IF(OR(BV298-N(BU298)&gt;0.05,N(S298)&gt;0),ROUNDDOWN(ROUND(BV298,6),0)&amp;"%"&amp;IF(CL298="",""," / "&amp;CL298&amp;"%"),IF(AND(N(BU298)&gt;=99.95,CL298&lt;&gt;"",N(CL298)&lt;100),"Pend. "&amp;CL298&amp;"%",""))))</f>
        <v/>
      </c>
      <c r="AP298" s="40" t="str">
        <f aca="false">IF(OR(OR(NOT(AND(ISNUMBER(E298),ISNUMBER(F298))),$J$2=""),4&gt;MAX(1,Reprogramaciones!$U$15)),"",IF(Reprogramaciones!N$12&gt;=7,"",IF(OR(BW298-N(BV298)&gt;0.05,N(T298)&gt;0),ROUNDDOWN(ROUND(BW298,6),0)&amp;"%"&amp;IF(CM298="",""," / "&amp;CM298&amp;"%"),IF(AND(N(BV298)&gt;=99.95,CM298&lt;&gt;"",N(CM298)&lt;100),"Pend. "&amp;CM298&amp;"%",""))))</f>
        <v/>
      </c>
      <c r="AQ298" s="40" t="str">
        <f aca="false">IF(OR(OR(NOT(AND(ISNUMBER(E298),ISNUMBER(F298))),$J$2=""),5&gt;MAX(1,Reprogramaciones!$U$15)),"",IF(Reprogramaciones!O$12&gt;=7,"",IF(OR(BX298-N(BW298)&gt;0.05,N(U298)&gt;0),ROUNDDOWN(ROUND(BX298,6),0)&amp;"%"&amp;IF(CN298="",""," / "&amp;CN298&amp;"%"),IF(AND(N(BW298)&gt;=99.95,CN298&lt;&gt;"",N(CN298)&lt;100),"Pend. "&amp;CN298&amp;"%",""))))</f>
        <v/>
      </c>
      <c r="AR298" s="40" t="str">
        <f aca="false">IF(OR(OR(NOT(AND(ISNUMBER(E298),ISNUMBER(F298))),$J$2=""),6&gt;MAX(1,Reprogramaciones!$U$15)),"",IF(Reprogramaciones!P$12&gt;=7,"",IF(OR(BY298-N(BX298)&gt;0.05,N(V298)&gt;0),ROUNDDOWN(ROUND(BY298,6),0)&amp;"%"&amp;IF(CO298="",""," / "&amp;CO298&amp;"%"),IF(AND(N(BX298)&gt;=99.95,CO298&lt;&gt;"",N(CO298)&lt;100),"Pend. "&amp;CO298&amp;"%",""))))</f>
        <v/>
      </c>
      <c r="AS298" s="40" t="str">
        <f aca="false">IF(OR(OR(NOT(AND(ISNUMBER(E298),ISNUMBER(F298))),$J$2=""),7&gt;MAX(1,Reprogramaciones!$U$15)),"",IF(Reprogramaciones!Q$12&gt;=7,"",IF(OR(BZ298-N(BY298)&gt;0.05,N(W298)&gt;0),ROUNDDOWN(ROUND(BZ298,6),0)&amp;"%"&amp;IF(CP298="",""," / "&amp;CP298&amp;"%"),IF(AND(N(BY298)&gt;=99.95,CP298&lt;&gt;"",N(CP298)&lt;100),"Pend. "&amp;CP298&amp;"%",""))))</f>
        <v/>
      </c>
      <c r="AT298" s="40" t="str">
        <f aca="false">IF(OR(OR(NOT(AND(ISNUMBER(E298),ISNUMBER(F298))),$J$2=""),8&gt;MAX(1,Reprogramaciones!$U$15)),"",IF(Reprogramaciones!R$12&gt;=7,"",IF(OR(CA298-N(BZ298)&gt;0.05,N(X298)&gt;0),ROUNDDOWN(ROUND(CA298,6),0)&amp;"%"&amp;IF(CQ298="",""," / "&amp;CQ298&amp;"%"),IF(AND(N(BZ298)&gt;=99.95,CQ298&lt;&gt;"",N(CQ298)&lt;100),"Pend. "&amp;CQ298&amp;"%",""))))</f>
        <v/>
      </c>
      <c r="AU298" s="40" t="str">
        <f aca="false">IF(OR(OR(NOT(AND(ISNUMBER(E298),ISNUMBER(F298))),$J$2=""),9&gt;MAX(1,Reprogramaciones!$U$15)),"",IF(Reprogramaciones!S$12&gt;=7,"",IF(OR(CB298-N(CA298)&gt;0.05,N(Y298)&gt;0),ROUNDDOWN(ROUND(CB298,6),0)&amp;"%"&amp;IF(CR298="",""," / "&amp;CR298&amp;"%"),IF(AND(N(CA298)&gt;=99.95,CR298&lt;&gt;"",N(CR298)&lt;100),"Pend. "&amp;CR298&amp;"%",""))))</f>
        <v/>
      </c>
      <c r="AV298" s="40" t="str">
        <f aca="false">IF(OR(OR(NOT(AND(ISNUMBER(E298),ISNUMBER(F298))),$J$2=""),10&gt;MAX(1,Reprogramaciones!$U$15)),"",IF(Reprogramaciones!T$12&gt;=7,"",IF(OR(CC298-N(CB298)&gt;0.05,N(Z298)&gt;0),ROUNDDOWN(ROUND(CC298,6),0)&amp;"%"&amp;IF(CS298="",""," / "&amp;CS298&amp;"%"),IF(AND(N(CB298)&gt;=99.95,CS298&lt;&gt;"",N(CS298)&lt;100),"Pend. "&amp;CS298&amp;"%",""))))</f>
        <v/>
      </c>
      <c r="AW298" s="40" t="str">
        <f aca="false">IF(OR(OR(NOT(AND(ISNUMBER(E298),ISNUMBER(F298))),$J$2=""),11&gt;MAX(1,Reprogramaciones!$U$15)),"",IF(Reprogramaciones!U$12&gt;=7,"",IF(OR(CD298-N(CC298)&gt;0.05,N(AA298)&gt;0),ROUNDDOWN(ROUND(CD298,6),0)&amp;"%"&amp;IF(CT298="",""," / "&amp;CT298&amp;"%"),IF(AND(N(CC298)&gt;=99.95,CT298&lt;&gt;"",N(CT298)&lt;100),"Pend. "&amp;CT298&amp;"%",""))))</f>
        <v/>
      </c>
      <c r="AX298" s="40" t="str">
        <f aca="false">IF(OR(OR(NOT(AND(ISNUMBER(E298),ISNUMBER(F298))),$J$2=""),12&gt;MAX(1,Reprogramaciones!$U$15)),"",IF(Reprogramaciones!V$12&gt;=7,"",IF(OR(CE298-N(CD298)&gt;0.05,N(AB298)&gt;0),ROUNDDOWN(ROUND(CE298,6),0)&amp;"%"&amp;IF(CU298="",""," / "&amp;CU298&amp;"%"),IF(AND(N(CD298)&gt;=99.95,CU298&lt;&gt;"",N(CU298)&lt;100),"Pend. "&amp;CU298&amp;"%",""))))</f>
        <v/>
      </c>
      <c r="AY298" s="40" t="str">
        <f aca="false">IF(OR(OR(NOT(AND(ISNUMBER(E298),ISNUMBER(F298))),$J$2=""),13&gt;MAX(1,Reprogramaciones!$U$15)),"",IF(Reprogramaciones!W$12&gt;=7,"",IF(OR(CF298-N(CE298)&gt;0.05,N(AC298)&gt;0),ROUNDDOWN(ROUND(CF298,6),0)&amp;"%"&amp;IF(CV298="",""," / "&amp;CV298&amp;"%"),IF(AND(N(CE298)&gt;=99.95,CV298&lt;&gt;"",N(CV298)&lt;100),"Pend. "&amp;CV298&amp;"%",""))))</f>
        <v/>
      </c>
      <c r="AZ298" s="40" t="str">
        <f aca="false">IF(OR(OR(NOT(AND(ISNUMBER(E298),ISNUMBER(F298))),$J$2=""),14&gt;MAX(1,Reprogramaciones!$U$15)),"",IF(Reprogramaciones!X$12&gt;=7,"",IF(OR(CG298-N(CF298)&gt;0.05,N(AD298)&gt;0),ROUNDDOWN(ROUND(CG298,6),0)&amp;"%"&amp;IF(CW298="",""," / "&amp;CW298&amp;"%"),IF(AND(N(CF298)&gt;=99.95,CW298&lt;&gt;"",N(CW298)&lt;100),"Pend. "&amp;CW298&amp;"%",""))))</f>
        <v/>
      </c>
      <c r="BA298" s="40" t="str">
        <f aca="false">IF(OR(OR(NOT(AND(ISNUMBER(E298),ISNUMBER(F298))),$J$2=""),15&gt;MAX(1,Reprogramaciones!$U$15)),"",IF(Reprogramaciones!Y$12&gt;=7,"",IF(OR(CH298-N(CG298)&gt;0.05,N(AE298)&gt;0),ROUNDDOWN(ROUND(CH298,6),0)&amp;"%"&amp;IF(CX298="",""," / "&amp;CX298&amp;"%"),IF(AND(N(CG298)&gt;=99.95,CX298&lt;&gt;"",N(CX298)&lt;100),"Pend. "&amp;CX298&amp;"%",""))))</f>
        <v/>
      </c>
      <c r="BB298" s="40" t="str">
        <f aca="false">IF(OR(OR(NOT(AND(ISNUMBER(E298),ISNUMBER(F298))),$J$2=""),16&gt;MAX(1,Reprogramaciones!$U$15)),"",IF(Reprogramaciones!Z$12&gt;=7,"",IF(OR(CI298-N(CH298)&gt;0.05,N(AF298)&gt;0),ROUNDDOWN(ROUND(CI298,6),0)&amp;"%"&amp;IF(CY298="",""," / "&amp;CY298&amp;"%"),IF(AND(N(CH298)&gt;=99.95,CY298&lt;&gt;"",N(CY298)&lt;100),"Pend. "&amp;CY298&amp;"%",""))))</f>
        <v/>
      </c>
      <c r="BC298" s="31" t="n">
        <f aca="false">IF(AND(ISNUMBER(E298),ISNUMBER(F298)),MAX(1,NETWORKDAYS.INTL(E298,F298,11)),0)</f>
        <v>0</v>
      </c>
      <c r="BD298" s="1" t="str">
        <f aca="false">IF(OR(NOT(AND(ISNUMBER(E298),ISNUMBER(F298))),$J$2=""),"",MIN(100,ROUND(SUM($G298:G298),1)))</f>
        <v/>
      </c>
      <c r="BE298" s="1" t="str">
        <f aca="false">IF(OR(NOT(AND(ISNUMBER(E298),ISNUMBER(F298))),$J$2=""),"",MIN(100,ROUND(SUM($G298:H298),1)))</f>
        <v/>
      </c>
      <c r="BF298" s="1" t="str">
        <f aca="false">IF(OR(NOT(AND(ISNUMBER(E298),ISNUMBER(F298))),$J$2=""),"",MIN(100,ROUND(SUM($G298:I298),1)))</f>
        <v/>
      </c>
      <c r="BG298" s="1" t="str">
        <f aca="false">IF(OR(NOT(AND(ISNUMBER(E298),ISNUMBER(F298))),$J$2=""),"",MIN(100,ROUND(SUM($G298:J298),1)))</f>
        <v/>
      </c>
      <c r="BH298" s="1" t="str">
        <f aca="false">IF(OR(NOT(AND(ISNUMBER(E298),ISNUMBER(F298))),$J$2=""),"",MIN(100,ROUND(SUM($G298:K298),1)))</f>
        <v/>
      </c>
      <c r="BI298" s="1" t="str">
        <f aca="false">IF(OR(NOT(AND(ISNUMBER(E298),ISNUMBER(F298))),$J$2=""),"",MIN(100,ROUND(SUM($G298:L298),1)))</f>
        <v/>
      </c>
      <c r="BJ298" s="1" t="str">
        <f aca="false">IF(OR(NOT(AND(ISNUMBER(E298),ISNUMBER(F298))),$J$2=""),"",MIN(100,ROUND(SUM($G298:M298),1)))</f>
        <v/>
      </c>
      <c r="BK298" s="1" t="str">
        <f aca="false">IF(OR(NOT(AND(ISNUMBER(E298),ISNUMBER(F298))),$J$2=""),"",MIN(100,ROUND(SUM($G298:N298),1)))</f>
        <v/>
      </c>
      <c r="BL298" s="1" t="str">
        <f aca="false">IF(OR(NOT(AND(ISNUMBER(E298),ISNUMBER(F298))),$J$2=""),"",MIN(100,ROUND(SUM($G298:O298),1)))</f>
        <v/>
      </c>
      <c r="BM298" s="1" t="str">
        <f aca="false">IF(OR(NOT(AND(ISNUMBER(E298),ISNUMBER(F298))),$J$2=""),"",MIN(100,ROUND(SUM($G298:P298),1)))</f>
        <v/>
      </c>
      <c r="BN298" s="1" t="str">
        <f aca="false">IF(OR(NOT(AND(ISNUMBER(E298),ISNUMBER(F298))),$J$2=""),"",MIN(100,ROUND(SUM($G298:P298),1)))</f>
        <v/>
      </c>
      <c r="BO298" s="1" t="str">
        <f aca="false">IF(OR(NOT(AND(ISNUMBER(E298),ISNUMBER(F298))),$J$2=""),"",MIN(100,ROUND(SUM($G298:P298),1)))</f>
        <v/>
      </c>
      <c r="BP298" s="1" t="str">
        <f aca="false">IF(OR(NOT(AND(ISNUMBER(E298),ISNUMBER(F298))),$J$2=""),"",MIN(100,ROUND(SUM($G298:P298),1)))</f>
        <v/>
      </c>
      <c r="BQ298" s="1" t="str">
        <f aca="false">IF(OR(NOT(AND(ISNUMBER(E298),ISNUMBER(F298))),$J$2=""),"",MIN(100,ROUND(SUM($G298:P298),1)))</f>
        <v/>
      </c>
      <c r="BR298" s="1" t="str">
        <f aca="false">IF(OR(NOT(AND(ISNUMBER(E298),ISNUMBER(F298))),$J$2=""),"",MIN(100,ROUND(SUM($G298:P298),1)))</f>
        <v/>
      </c>
      <c r="BS298" s="1" t="str">
        <f aca="false">IF(OR(NOT(AND(ISNUMBER(E298),ISNUMBER(F298))),$J$2=""),"",MIN(100,ROUND(SUM($G298:P298),1)))</f>
        <v/>
      </c>
      <c r="BT298" s="1" t="str">
        <f aca="false">IF(OR(NOT(AND(ISNUMBER(E298),ISNUMBER(F298))),$J$2=""),"",IF(Reprogramaciones!K$13&lt;Reprogramaciones!$T$15,0,IF(Reprogramaciones!K$14&gt;10,MIN(100,SUM($G298:$P298)),MIN(100,SUMPRODUCT((COLUMN($G298:$P298)-COLUMN($G298)+1&lt;Reprogramaciones!K$14)*$G298:$P298)+N(INDEX($G298:$P298,1,Reprogramaciones!K$14))*IF(Reprogramaciones!K$13&gt;=(Reprogramaciones!$T$15+7*(Reprogramaciones!K$14-1))+6,1,IF(MAX(0,NETWORKDAYS.INTL(MAX(E298,(Reprogramaciones!$T$15+7*(Reprogramaciones!K$14-1))),MIN(F298,(Reprogramaciones!$T$15+7*(Reprogramaciones!K$14-1))+6),11))=0,0,MAX(0,NETWORKDAYS.INTL(MAX(E298,(Reprogramaciones!$T$15+7*(Reprogramaciones!K$14-1))),MIN(F298,Reprogramaciones!K$13),11))/MAX(0,NETWORKDAYS.INTL(MAX(E298,(Reprogramaciones!$T$15+7*(Reprogramaciones!K$14-1))),MIN(F298,(Reprogramaciones!$T$15+7*(Reprogramaciones!K$14-1))+6),11))))))))</f>
        <v/>
      </c>
      <c r="BU298" s="1" t="str">
        <f aca="false">IF(OR(NOT(AND(ISNUMBER(E298),ISNUMBER(F298))),$J$2=""),"",IF(Reprogramaciones!L$13&lt;Reprogramaciones!$T$15,0,IF(Reprogramaciones!L$14&gt;10,MIN(100,SUM($G298:$P298)),MIN(100,SUMPRODUCT((COLUMN($G298:$P298)-COLUMN($G298)+1&lt;Reprogramaciones!L$14)*$G298:$P298)+N(INDEX($G298:$P298,1,Reprogramaciones!L$14))*IF(Reprogramaciones!L$13&gt;=(Reprogramaciones!$T$15+7*(Reprogramaciones!L$14-1))+6,1,IF(MAX(0,NETWORKDAYS.INTL(MAX(E298,(Reprogramaciones!$T$15+7*(Reprogramaciones!L$14-1))),MIN(F298,(Reprogramaciones!$T$15+7*(Reprogramaciones!L$14-1))+6),11))=0,0,MAX(0,NETWORKDAYS.INTL(MAX(E298,(Reprogramaciones!$T$15+7*(Reprogramaciones!L$14-1))),MIN(F298,Reprogramaciones!L$13),11))/MAX(0,NETWORKDAYS.INTL(MAX(E298,(Reprogramaciones!$T$15+7*(Reprogramaciones!L$14-1))),MIN(F298,(Reprogramaciones!$T$15+7*(Reprogramaciones!L$14-1))+6),11))))))))</f>
        <v/>
      </c>
      <c r="BV298" s="1" t="str">
        <f aca="false">IF(OR(NOT(AND(ISNUMBER(E298),ISNUMBER(F298))),$J$2=""),"",IF(Reprogramaciones!M$13&lt;Reprogramaciones!$T$15,0,IF(Reprogramaciones!M$14&gt;10,MIN(100,SUM($G298:$P298)),MIN(100,SUMPRODUCT((COLUMN($G298:$P298)-COLUMN($G298)+1&lt;Reprogramaciones!M$14)*$G298:$P298)+N(INDEX($G298:$P298,1,Reprogramaciones!M$14))*IF(Reprogramaciones!M$13&gt;=(Reprogramaciones!$T$15+7*(Reprogramaciones!M$14-1))+6,1,IF(MAX(0,NETWORKDAYS.INTL(MAX(E298,(Reprogramaciones!$T$15+7*(Reprogramaciones!M$14-1))),MIN(F298,(Reprogramaciones!$T$15+7*(Reprogramaciones!M$14-1))+6),11))=0,0,MAX(0,NETWORKDAYS.INTL(MAX(E298,(Reprogramaciones!$T$15+7*(Reprogramaciones!M$14-1))),MIN(F298,Reprogramaciones!M$13),11))/MAX(0,NETWORKDAYS.INTL(MAX(E298,(Reprogramaciones!$T$15+7*(Reprogramaciones!M$14-1))),MIN(F298,(Reprogramaciones!$T$15+7*(Reprogramaciones!M$14-1))+6),11))))))))</f>
        <v/>
      </c>
      <c r="BW298" s="1" t="str">
        <f aca="false">IF(OR(NOT(AND(ISNUMBER(E298),ISNUMBER(F298))),$J$2=""),"",IF(Reprogramaciones!N$13&lt;Reprogramaciones!$T$15,0,IF(Reprogramaciones!N$14&gt;10,MIN(100,SUM($G298:$P298)),MIN(100,SUMPRODUCT((COLUMN($G298:$P298)-COLUMN($G298)+1&lt;Reprogramaciones!N$14)*$G298:$P298)+N(INDEX($G298:$P298,1,Reprogramaciones!N$14))*IF(Reprogramaciones!N$13&gt;=(Reprogramaciones!$T$15+7*(Reprogramaciones!N$14-1))+6,1,IF(MAX(0,NETWORKDAYS.INTL(MAX(E298,(Reprogramaciones!$T$15+7*(Reprogramaciones!N$14-1))),MIN(F298,(Reprogramaciones!$T$15+7*(Reprogramaciones!N$14-1))+6),11))=0,0,MAX(0,NETWORKDAYS.INTL(MAX(E298,(Reprogramaciones!$T$15+7*(Reprogramaciones!N$14-1))),MIN(F298,Reprogramaciones!N$13),11))/MAX(0,NETWORKDAYS.INTL(MAX(E298,(Reprogramaciones!$T$15+7*(Reprogramaciones!N$14-1))),MIN(F298,(Reprogramaciones!$T$15+7*(Reprogramaciones!N$14-1))+6),11))))))))</f>
        <v/>
      </c>
      <c r="BX298" s="1" t="str">
        <f aca="false">IF(OR(NOT(AND(ISNUMBER(E298),ISNUMBER(F298))),$J$2=""),"",IF(Reprogramaciones!O$13&lt;Reprogramaciones!$T$15,0,IF(Reprogramaciones!O$14&gt;10,MIN(100,SUM($G298:$P298)),MIN(100,SUMPRODUCT((COLUMN($G298:$P298)-COLUMN($G298)+1&lt;Reprogramaciones!O$14)*$G298:$P298)+N(INDEX($G298:$P298,1,Reprogramaciones!O$14))*IF(Reprogramaciones!O$13&gt;=(Reprogramaciones!$T$15+7*(Reprogramaciones!O$14-1))+6,1,IF(MAX(0,NETWORKDAYS.INTL(MAX(E298,(Reprogramaciones!$T$15+7*(Reprogramaciones!O$14-1))),MIN(F298,(Reprogramaciones!$T$15+7*(Reprogramaciones!O$14-1))+6),11))=0,0,MAX(0,NETWORKDAYS.INTL(MAX(E298,(Reprogramaciones!$T$15+7*(Reprogramaciones!O$14-1))),MIN(F298,Reprogramaciones!O$13),11))/MAX(0,NETWORKDAYS.INTL(MAX(E298,(Reprogramaciones!$T$15+7*(Reprogramaciones!O$14-1))),MIN(F298,(Reprogramaciones!$T$15+7*(Reprogramaciones!O$14-1))+6),11))))))))</f>
        <v/>
      </c>
      <c r="BY298" s="1" t="str">
        <f aca="false">IF(OR(NOT(AND(ISNUMBER(E298),ISNUMBER(F298))),$J$2=""),"",IF(Reprogramaciones!P$13&lt;Reprogramaciones!$T$15,0,IF(Reprogramaciones!P$14&gt;10,MIN(100,SUM($G298:$P298)),MIN(100,SUMPRODUCT((COLUMN($G298:$P298)-COLUMN($G298)+1&lt;Reprogramaciones!P$14)*$G298:$P298)+N(INDEX($G298:$P298,1,Reprogramaciones!P$14))*IF(Reprogramaciones!P$13&gt;=(Reprogramaciones!$T$15+7*(Reprogramaciones!P$14-1))+6,1,IF(MAX(0,NETWORKDAYS.INTL(MAX(E298,(Reprogramaciones!$T$15+7*(Reprogramaciones!P$14-1))),MIN(F298,(Reprogramaciones!$T$15+7*(Reprogramaciones!P$14-1))+6),11))=0,0,MAX(0,NETWORKDAYS.INTL(MAX(E298,(Reprogramaciones!$T$15+7*(Reprogramaciones!P$14-1))),MIN(F298,Reprogramaciones!P$13),11))/MAX(0,NETWORKDAYS.INTL(MAX(E298,(Reprogramaciones!$T$15+7*(Reprogramaciones!P$14-1))),MIN(F298,(Reprogramaciones!$T$15+7*(Reprogramaciones!P$14-1))+6),11))))))))</f>
        <v/>
      </c>
      <c r="BZ298" s="1" t="str">
        <f aca="false">IF(OR(NOT(AND(ISNUMBER(E298),ISNUMBER(F298))),$J$2=""),"",IF(Reprogramaciones!Q$13&lt;Reprogramaciones!$T$15,0,IF(Reprogramaciones!Q$14&gt;10,MIN(100,SUM($G298:$P298)),MIN(100,SUMPRODUCT((COLUMN($G298:$P298)-COLUMN($G298)+1&lt;Reprogramaciones!Q$14)*$G298:$P298)+N(INDEX($G298:$P298,1,Reprogramaciones!Q$14))*IF(Reprogramaciones!Q$13&gt;=(Reprogramaciones!$T$15+7*(Reprogramaciones!Q$14-1))+6,1,IF(MAX(0,NETWORKDAYS.INTL(MAX(E298,(Reprogramaciones!$T$15+7*(Reprogramaciones!Q$14-1))),MIN(F298,(Reprogramaciones!$T$15+7*(Reprogramaciones!Q$14-1))+6),11))=0,0,MAX(0,NETWORKDAYS.INTL(MAX(E298,(Reprogramaciones!$T$15+7*(Reprogramaciones!Q$14-1))),MIN(F298,Reprogramaciones!Q$13),11))/MAX(0,NETWORKDAYS.INTL(MAX(E298,(Reprogramaciones!$T$15+7*(Reprogramaciones!Q$14-1))),MIN(F298,(Reprogramaciones!$T$15+7*(Reprogramaciones!Q$14-1))+6),11))))))))</f>
        <v/>
      </c>
      <c r="CA298" s="1" t="str">
        <f aca="false">IF(OR(NOT(AND(ISNUMBER(E298),ISNUMBER(F298))),$J$2=""),"",IF(Reprogramaciones!R$13&lt;Reprogramaciones!$T$15,0,IF(Reprogramaciones!R$14&gt;10,MIN(100,SUM($G298:$P298)),MIN(100,SUMPRODUCT((COLUMN($G298:$P298)-COLUMN($G298)+1&lt;Reprogramaciones!R$14)*$G298:$P298)+N(INDEX($G298:$P298,1,Reprogramaciones!R$14))*IF(Reprogramaciones!R$13&gt;=(Reprogramaciones!$T$15+7*(Reprogramaciones!R$14-1))+6,1,IF(MAX(0,NETWORKDAYS.INTL(MAX(E298,(Reprogramaciones!$T$15+7*(Reprogramaciones!R$14-1))),MIN(F298,(Reprogramaciones!$T$15+7*(Reprogramaciones!R$14-1))+6),11))=0,0,MAX(0,NETWORKDAYS.INTL(MAX(E298,(Reprogramaciones!$T$15+7*(Reprogramaciones!R$14-1))),MIN(F298,Reprogramaciones!R$13),11))/MAX(0,NETWORKDAYS.INTL(MAX(E298,(Reprogramaciones!$T$15+7*(Reprogramaciones!R$14-1))),MIN(F298,(Reprogramaciones!$T$15+7*(Reprogramaciones!R$14-1))+6),11))))))))</f>
        <v/>
      </c>
      <c r="CB298" s="1" t="str">
        <f aca="false">IF(OR(NOT(AND(ISNUMBER(E298),ISNUMBER(F298))),$J$2=""),"",IF(Reprogramaciones!S$13&lt;Reprogramaciones!$T$15,0,IF(Reprogramaciones!S$14&gt;10,MIN(100,SUM($G298:$P298)),MIN(100,SUMPRODUCT((COLUMN($G298:$P298)-COLUMN($G298)+1&lt;Reprogramaciones!S$14)*$G298:$P298)+N(INDEX($G298:$P298,1,Reprogramaciones!S$14))*IF(Reprogramaciones!S$13&gt;=(Reprogramaciones!$T$15+7*(Reprogramaciones!S$14-1))+6,1,IF(MAX(0,NETWORKDAYS.INTL(MAX(E298,(Reprogramaciones!$T$15+7*(Reprogramaciones!S$14-1))),MIN(F298,(Reprogramaciones!$T$15+7*(Reprogramaciones!S$14-1))+6),11))=0,0,MAX(0,NETWORKDAYS.INTL(MAX(E298,(Reprogramaciones!$T$15+7*(Reprogramaciones!S$14-1))),MIN(F298,Reprogramaciones!S$13),11))/MAX(0,NETWORKDAYS.INTL(MAX(E298,(Reprogramaciones!$T$15+7*(Reprogramaciones!S$14-1))),MIN(F298,(Reprogramaciones!$T$15+7*(Reprogramaciones!S$14-1))+6),11))))))))</f>
        <v/>
      </c>
      <c r="CC298" s="1" t="str">
        <f aca="false">IF(OR(NOT(AND(ISNUMBER(E298),ISNUMBER(F298))),$J$2=""),"",IF(Reprogramaciones!T$13&lt;Reprogramaciones!$T$15,0,IF(Reprogramaciones!T$14&gt;10,MIN(100,SUM($G298:$P298)),MIN(100,SUMPRODUCT((COLUMN($G298:$P298)-COLUMN($G298)+1&lt;Reprogramaciones!T$14)*$G298:$P298)+N(INDEX($G298:$P298,1,Reprogramaciones!T$14))*IF(Reprogramaciones!T$13&gt;=(Reprogramaciones!$T$15+7*(Reprogramaciones!T$14-1))+6,1,IF(MAX(0,NETWORKDAYS.INTL(MAX(E298,(Reprogramaciones!$T$15+7*(Reprogramaciones!T$14-1))),MIN(F298,(Reprogramaciones!$T$15+7*(Reprogramaciones!T$14-1))+6),11))=0,0,MAX(0,NETWORKDAYS.INTL(MAX(E298,(Reprogramaciones!$T$15+7*(Reprogramaciones!T$14-1))),MIN(F298,Reprogramaciones!T$13),11))/MAX(0,NETWORKDAYS.INTL(MAX(E298,(Reprogramaciones!$T$15+7*(Reprogramaciones!T$14-1))),MIN(F298,(Reprogramaciones!$T$15+7*(Reprogramaciones!T$14-1))+6),11))))))))</f>
        <v/>
      </c>
      <c r="CD298" s="1" t="str">
        <f aca="false">IF(OR(NOT(AND(ISNUMBER(E298),ISNUMBER(F298))),$J$2=""),"",IF(Reprogramaciones!U$13&lt;Reprogramaciones!$T$15,0,IF(Reprogramaciones!U$14&gt;10,MIN(100,SUM($G298:$P298)),MIN(100,SUMPRODUCT((COLUMN($G298:$P298)-COLUMN($G298)+1&lt;Reprogramaciones!U$14)*$G298:$P298)+N(INDEX($G298:$P298,1,Reprogramaciones!U$14))*IF(Reprogramaciones!U$13&gt;=(Reprogramaciones!$T$15+7*(Reprogramaciones!U$14-1))+6,1,IF(MAX(0,NETWORKDAYS.INTL(MAX(E298,(Reprogramaciones!$T$15+7*(Reprogramaciones!U$14-1))),MIN(F298,(Reprogramaciones!$T$15+7*(Reprogramaciones!U$14-1))+6),11))=0,0,MAX(0,NETWORKDAYS.INTL(MAX(E298,(Reprogramaciones!$T$15+7*(Reprogramaciones!U$14-1))),MIN(F298,Reprogramaciones!U$13),11))/MAX(0,NETWORKDAYS.INTL(MAX(E298,(Reprogramaciones!$T$15+7*(Reprogramaciones!U$14-1))),MIN(F298,(Reprogramaciones!$T$15+7*(Reprogramaciones!U$14-1))+6),11))))))))</f>
        <v/>
      </c>
      <c r="CE298" s="1" t="str">
        <f aca="false">IF(OR(NOT(AND(ISNUMBER(E298),ISNUMBER(F298))),$J$2=""),"",IF(Reprogramaciones!V$13&lt;Reprogramaciones!$T$15,0,IF(Reprogramaciones!V$14&gt;10,MIN(100,SUM($G298:$P298)),MIN(100,SUMPRODUCT((COLUMN($G298:$P298)-COLUMN($G298)+1&lt;Reprogramaciones!V$14)*$G298:$P298)+N(INDEX($G298:$P298,1,Reprogramaciones!V$14))*IF(Reprogramaciones!V$13&gt;=(Reprogramaciones!$T$15+7*(Reprogramaciones!V$14-1))+6,1,IF(MAX(0,NETWORKDAYS.INTL(MAX(E298,(Reprogramaciones!$T$15+7*(Reprogramaciones!V$14-1))),MIN(F298,(Reprogramaciones!$T$15+7*(Reprogramaciones!V$14-1))+6),11))=0,0,MAX(0,NETWORKDAYS.INTL(MAX(E298,(Reprogramaciones!$T$15+7*(Reprogramaciones!V$14-1))),MIN(F298,Reprogramaciones!V$13),11))/MAX(0,NETWORKDAYS.INTL(MAX(E298,(Reprogramaciones!$T$15+7*(Reprogramaciones!V$14-1))),MIN(F298,(Reprogramaciones!$T$15+7*(Reprogramaciones!V$14-1))+6),11))))))))</f>
        <v/>
      </c>
      <c r="CF298" s="1" t="str">
        <f aca="false">IF(OR(NOT(AND(ISNUMBER(E298),ISNUMBER(F298))),$J$2=""),"",IF(Reprogramaciones!W$13&lt;Reprogramaciones!$T$15,0,IF(Reprogramaciones!W$14&gt;10,MIN(100,SUM($G298:$P298)),MIN(100,SUMPRODUCT((COLUMN($G298:$P298)-COLUMN($G298)+1&lt;Reprogramaciones!W$14)*$G298:$P298)+N(INDEX($G298:$P298,1,Reprogramaciones!W$14))*IF(Reprogramaciones!W$13&gt;=(Reprogramaciones!$T$15+7*(Reprogramaciones!W$14-1))+6,1,IF(MAX(0,NETWORKDAYS.INTL(MAX(E298,(Reprogramaciones!$T$15+7*(Reprogramaciones!W$14-1))),MIN(F298,(Reprogramaciones!$T$15+7*(Reprogramaciones!W$14-1))+6),11))=0,0,MAX(0,NETWORKDAYS.INTL(MAX(E298,(Reprogramaciones!$T$15+7*(Reprogramaciones!W$14-1))),MIN(F298,Reprogramaciones!W$13),11))/MAX(0,NETWORKDAYS.INTL(MAX(E298,(Reprogramaciones!$T$15+7*(Reprogramaciones!W$14-1))),MIN(F298,(Reprogramaciones!$T$15+7*(Reprogramaciones!W$14-1))+6),11))))))))</f>
        <v/>
      </c>
      <c r="CG298" s="1" t="str">
        <f aca="false">IF(OR(NOT(AND(ISNUMBER(E298),ISNUMBER(F298))),$J$2=""),"",IF(Reprogramaciones!X$13&lt;Reprogramaciones!$T$15,0,IF(Reprogramaciones!X$14&gt;10,MIN(100,SUM($G298:$P298)),MIN(100,SUMPRODUCT((COLUMN($G298:$P298)-COLUMN($G298)+1&lt;Reprogramaciones!X$14)*$G298:$P298)+N(INDEX($G298:$P298,1,Reprogramaciones!X$14))*IF(Reprogramaciones!X$13&gt;=(Reprogramaciones!$T$15+7*(Reprogramaciones!X$14-1))+6,1,IF(MAX(0,NETWORKDAYS.INTL(MAX(E298,(Reprogramaciones!$T$15+7*(Reprogramaciones!X$14-1))),MIN(F298,(Reprogramaciones!$T$15+7*(Reprogramaciones!X$14-1))+6),11))=0,0,MAX(0,NETWORKDAYS.INTL(MAX(E298,(Reprogramaciones!$T$15+7*(Reprogramaciones!X$14-1))),MIN(F298,Reprogramaciones!X$13),11))/MAX(0,NETWORKDAYS.INTL(MAX(E298,(Reprogramaciones!$T$15+7*(Reprogramaciones!X$14-1))),MIN(F298,(Reprogramaciones!$T$15+7*(Reprogramaciones!X$14-1))+6),11))))))))</f>
        <v/>
      </c>
      <c r="CH298" s="1" t="str">
        <f aca="false">IF(OR(NOT(AND(ISNUMBER(E298),ISNUMBER(F298))),$J$2=""),"",IF(Reprogramaciones!Y$13&lt;Reprogramaciones!$T$15,0,IF(Reprogramaciones!Y$14&gt;10,MIN(100,SUM($G298:$P298)),MIN(100,SUMPRODUCT((COLUMN($G298:$P298)-COLUMN($G298)+1&lt;Reprogramaciones!Y$14)*$G298:$P298)+N(INDEX($G298:$P298,1,Reprogramaciones!Y$14))*IF(Reprogramaciones!Y$13&gt;=(Reprogramaciones!$T$15+7*(Reprogramaciones!Y$14-1))+6,1,IF(MAX(0,NETWORKDAYS.INTL(MAX(E298,(Reprogramaciones!$T$15+7*(Reprogramaciones!Y$14-1))),MIN(F298,(Reprogramaciones!$T$15+7*(Reprogramaciones!Y$14-1))+6),11))=0,0,MAX(0,NETWORKDAYS.INTL(MAX(E298,(Reprogramaciones!$T$15+7*(Reprogramaciones!Y$14-1))),MIN(F298,Reprogramaciones!Y$13),11))/MAX(0,NETWORKDAYS.INTL(MAX(E298,(Reprogramaciones!$T$15+7*(Reprogramaciones!Y$14-1))),MIN(F298,(Reprogramaciones!$T$15+7*(Reprogramaciones!Y$14-1))+6),11))))))))</f>
        <v/>
      </c>
      <c r="CI298" s="1" t="str">
        <f aca="false">IF(OR(NOT(AND(ISNUMBER(E298),ISNUMBER(F298))),$J$2=""),"",IF(Reprogramaciones!Z$13&lt;Reprogramaciones!$T$15,0,IF(Reprogramaciones!Z$14&gt;10,MIN(100,SUM($G298:$P298)),MIN(100,SUMPRODUCT((COLUMN($G298:$P298)-COLUMN($G298)+1&lt;Reprogramaciones!Z$14)*$G298:$P298)+N(INDEX($G298:$P298,1,Reprogramaciones!Z$14))*IF(Reprogramaciones!Z$13&gt;=(Reprogramaciones!$T$15+7*(Reprogramaciones!Z$14-1))+6,1,IF(MAX(0,NETWORKDAYS.INTL(MAX(E298,(Reprogramaciones!$T$15+7*(Reprogramaciones!Z$14-1))),MIN(F298,(Reprogramaciones!$T$15+7*(Reprogramaciones!Z$14-1))+6),11))=0,0,MAX(0,NETWORKDAYS.INTL(MAX(E298,(Reprogramaciones!$T$15+7*(Reprogramaciones!Z$14-1))),MIN(F298,Reprogramaciones!Z$13),11))/MAX(0,NETWORKDAYS.INTL(MAX(E298,(Reprogramaciones!$T$15+7*(Reprogramaciones!Z$14-1))),MIN(F298,(Reprogramaciones!$T$15+7*(Reprogramaciones!Z$14-1))+6),11))))))))</f>
        <v/>
      </c>
      <c r="CJ298" s="1" t="str">
        <f aca="false">IF(OR(OR(NOT(AND(ISNUMBER(E298),ISNUMBER(F298))),$J$2=""),1&gt;Reprogramaciones!$K$16),"",IF(ROUND(SUM($Q298:Q298),1)&gt;=99.5,100,MIN(100,ROUND(SUM($Q298:Q298),1))))</f>
        <v/>
      </c>
      <c r="CK298" s="1" t="str">
        <f aca="false">IF(OR(OR(NOT(AND(ISNUMBER(E298),ISNUMBER(F298))),$J$2=""),2&gt;Reprogramaciones!$K$16),"",IF(ROUND(SUM($Q298:R298),1)&gt;=99.5,100,MIN(100,ROUND(SUM($Q298:R298),1))))</f>
        <v/>
      </c>
      <c r="CL298" s="1" t="str">
        <f aca="false">IF(OR(OR(NOT(AND(ISNUMBER(E298),ISNUMBER(F298))),$J$2=""),3&gt;Reprogramaciones!$K$16),"",IF(ROUND(SUM($Q298:S298),1)&gt;=99.5,100,MIN(100,ROUND(SUM($Q298:S298),1))))</f>
        <v/>
      </c>
      <c r="CM298" s="1" t="str">
        <f aca="false">IF(OR(OR(NOT(AND(ISNUMBER(E298),ISNUMBER(F298))),$J$2=""),4&gt;Reprogramaciones!$K$16),"",IF(ROUND(SUM($Q298:T298),1)&gt;=99.5,100,MIN(100,ROUND(SUM($Q298:T298),1))))</f>
        <v/>
      </c>
      <c r="CN298" s="1" t="str">
        <f aca="false">IF(OR(OR(NOT(AND(ISNUMBER(E298),ISNUMBER(F298))),$J$2=""),5&gt;Reprogramaciones!$K$16),"",IF(ROUND(SUM($Q298:U298),1)&gt;=99.5,100,MIN(100,ROUND(SUM($Q298:U298),1))))</f>
        <v/>
      </c>
      <c r="CO298" s="1" t="str">
        <f aca="false">IF(OR(OR(NOT(AND(ISNUMBER(E298),ISNUMBER(F298))),$J$2=""),6&gt;Reprogramaciones!$K$16),"",IF(ROUND(SUM($Q298:V298),1)&gt;=99.5,100,MIN(100,ROUND(SUM($Q298:V298),1))))</f>
        <v/>
      </c>
      <c r="CP298" s="1" t="str">
        <f aca="false">IF(OR(OR(NOT(AND(ISNUMBER(E298),ISNUMBER(F298))),$J$2=""),7&gt;Reprogramaciones!$K$16),"",IF(ROUND(SUM($Q298:W298),1)&gt;=99.5,100,MIN(100,ROUND(SUM($Q298:W298),1))))</f>
        <v/>
      </c>
      <c r="CQ298" s="1" t="str">
        <f aca="false">IF(OR(OR(NOT(AND(ISNUMBER(E298),ISNUMBER(F298))),$J$2=""),8&gt;Reprogramaciones!$K$16),"",IF(ROUND(SUM($Q298:X298),1)&gt;=99.5,100,MIN(100,ROUND(SUM($Q298:X298),1))))</f>
        <v/>
      </c>
      <c r="CR298" s="1" t="str">
        <f aca="false">IF(OR(OR(NOT(AND(ISNUMBER(E298),ISNUMBER(F298))),$J$2=""),9&gt;Reprogramaciones!$K$16),"",IF(ROUND(SUM($Q298:Y298),1)&gt;=99.5,100,MIN(100,ROUND(SUM($Q298:Y298),1))))</f>
        <v/>
      </c>
      <c r="CS298" s="1" t="str">
        <f aca="false">IF(OR(OR(NOT(AND(ISNUMBER(E298),ISNUMBER(F298))),$J$2=""),10&gt;Reprogramaciones!$K$16),"",IF(ROUND(SUM($Q298:Z298),1)&gt;=99.5,100,MIN(100,ROUND(SUM($Q298:Z298),1))))</f>
        <v/>
      </c>
      <c r="CT298" s="1" t="str">
        <f aca="false">IF(OR(OR(NOT(AND(ISNUMBER(E298),ISNUMBER(F298))),$J$2=""),11&gt;Reprogramaciones!$K$16),"",IF(ROUND(SUM($Q298:AA298),1)&gt;=99.5,100,MIN(100,ROUND(SUM($Q298:AA298),1))))</f>
        <v/>
      </c>
      <c r="CU298" s="1" t="str">
        <f aca="false">IF(OR(OR(NOT(AND(ISNUMBER(E298),ISNUMBER(F298))),$J$2=""),12&gt;Reprogramaciones!$K$16),"",IF(ROUND(SUM($Q298:AB298),1)&gt;=99.5,100,MIN(100,ROUND(SUM($Q298:AB298),1))))</f>
        <v/>
      </c>
      <c r="CV298" s="1" t="str">
        <f aca="false">IF(OR(OR(NOT(AND(ISNUMBER(E298),ISNUMBER(F298))),$J$2=""),13&gt;Reprogramaciones!$K$16),"",IF(ROUND(SUM($Q298:AC298),1)&gt;=99.5,100,MIN(100,ROUND(SUM($Q298:AC298),1))))</f>
        <v/>
      </c>
      <c r="CW298" s="1" t="str">
        <f aca="false">IF(OR(OR(NOT(AND(ISNUMBER(E298),ISNUMBER(F298))),$J$2=""),14&gt;Reprogramaciones!$K$16),"",IF(ROUND(SUM($Q298:AD298),1)&gt;=99.5,100,MIN(100,ROUND(SUM($Q298:AD298),1))))</f>
        <v/>
      </c>
      <c r="CX298" s="1" t="str">
        <f aca="false">IF(OR(OR(NOT(AND(ISNUMBER(E298),ISNUMBER(F298))),$J$2=""),15&gt;Reprogramaciones!$K$16),"",IF(ROUND(SUM($Q298:AE298),1)&gt;=99.5,100,MIN(100,ROUND(SUM($Q298:AE298),1))))</f>
        <v/>
      </c>
      <c r="CY298" s="1" t="str">
        <f aca="false">IF(OR(OR(NOT(AND(ISNUMBER(E298),ISNUMBER(F298))),$J$2=""),16&gt;Reprogramaciones!$K$16),"",IF(ROUND(SUM($Q298:AF298),1)&gt;=99.5,100,MIN(100,ROUND(SUM($Q298:AF298),1))))</f>
        <v/>
      </c>
      <c r="CZ298" s="1" t="str">
        <f aca="false">IF(D298&lt;&gt;"",D298,IF(B298&lt;&gt;"","Contractual",CZ297))</f>
        <v>Contractual</v>
      </c>
      <c r="DA298" s="1" t="str">
        <f aca="false">IF(OR(NOT(AND(ISNUMBER(E298),ISNUMBER(F298))),$J$2=""),"",IF(Reprogramaciones!$Q$15&lt;Reprogramaciones!$T$15,0,IF(Reprogramaciones!$S$15&gt;10,MIN(100,SUM($G298:$P298)),MIN(100,SUMPRODUCT((COLUMN($G298:$P298)-COLUMN($G298)+1&lt;Reprogramaciones!$S$15)*$G298:$P298)+N(INDEX($G298:$P298,1,Reprogramaciones!$S$15))*IF(Reprogramaciones!$Q$15&gt;=(Reprogramaciones!$T$15+7*(Reprogramaciones!$S$15-1))+6,1,IF(MAX(0,NETWORKDAYS.INTL(MAX(E298,(Reprogramaciones!$T$15+7*(Reprogramaciones!$S$15-1))),MIN(F298,(Reprogramaciones!$T$15+7*(Reprogramaciones!$S$15-1))+6),11))=0,0,MAX(0,NETWORKDAYS.INTL(MAX(E298,(Reprogramaciones!$T$15+7*(Reprogramaciones!$S$15-1))),MIN(F298,Reprogramaciones!$Q$15),11))/MAX(0,NETWORKDAYS.INTL(MAX(E298,(Reprogramaciones!$T$15+7*(Reprogramaciones!$S$15-1))),MIN(F298,(Reprogramaciones!$T$15+7*(Reprogramaciones!$S$15-1))+6),11))))))))</f>
        <v/>
      </c>
    </row>
    <row r="299" customFormat="false" ht="15" hidden="false" customHeight="false" outlineLevel="0" collapsed="false">
      <c r="A299" s="32"/>
      <c r="B299" s="33"/>
      <c r="C299" s="33"/>
      <c r="D299" s="34"/>
      <c r="E299" s="35"/>
      <c r="F299" s="35"/>
      <c r="G299" s="36" t="str">
        <f aca="false">IF(OR(NOT(AND(ISNUMBER(E299),ISNUMBER(F299))),$J$2=""),"",IF(Reprogramaciones!K$9&lt;E299,0,IF(NETWORKDAYS.INTL(E299,F299,11)=0,IF(Reprogramaciones!K$9&gt;=F299,100,0),ROUND(NETWORKDAYS.INTL(E299,MIN(F299,Reprogramaciones!K$9),11)/NETWORKDAYS.INTL(E299,F299,11)*100,1)))-0)</f>
        <v/>
      </c>
      <c r="H299" s="36" t="str">
        <f aca="false">IF(OR(NOT(AND(ISNUMBER(E299),ISNUMBER(F299))),$J$2=""),"",IF(Reprogramaciones!L$9&lt;E299,0,IF(NETWORKDAYS.INTL(E299,F299,11)=0,IF(Reprogramaciones!L$9&gt;=F299,100,0),ROUND(NETWORKDAYS.INTL(E299,MIN(F299,Reprogramaciones!L$9),11)/NETWORKDAYS.INTL(E299,F299,11)*100,1)))-IF(Reprogramaciones!K$9&lt;E299,0,IF(NETWORKDAYS.INTL(E299,F299,11)=0,IF(Reprogramaciones!K$9&gt;=F299,100,0),ROUND(NETWORKDAYS.INTL(E299,MIN(F299,Reprogramaciones!K$9),11)/NETWORKDAYS.INTL(E299,F299,11)*100,1))))</f>
        <v/>
      </c>
      <c r="I299" s="36" t="str">
        <f aca="false">IF(OR(NOT(AND(ISNUMBER(E299),ISNUMBER(F299))),$J$2=""),"",IF(Reprogramaciones!M$9&lt;E299,0,IF(NETWORKDAYS.INTL(E299,F299,11)=0,IF(Reprogramaciones!M$9&gt;=F299,100,0),ROUND(NETWORKDAYS.INTL(E299,MIN(F299,Reprogramaciones!M$9),11)/NETWORKDAYS.INTL(E299,F299,11)*100,1)))-IF(Reprogramaciones!L$9&lt;E299,0,IF(NETWORKDAYS.INTL(E299,F299,11)=0,IF(Reprogramaciones!L$9&gt;=F299,100,0),ROUND(NETWORKDAYS.INTL(E299,MIN(F299,Reprogramaciones!L$9),11)/NETWORKDAYS.INTL(E299,F299,11)*100,1))))</f>
        <v/>
      </c>
      <c r="J299" s="36" t="str">
        <f aca="false">IF(OR(NOT(AND(ISNUMBER(E299),ISNUMBER(F299))),$J$2=""),"",IF(Reprogramaciones!N$9&lt;E299,0,IF(NETWORKDAYS.INTL(E299,F299,11)=0,IF(Reprogramaciones!N$9&gt;=F299,100,0),ROUND(NETWORKDAYS.INTL(E299,MIN(F299,Reprogramaciones!N$9),11)/NETWORKDAYS.INTL(E299,F299,11)*100,1)))-IF(Reprogramaciones!M$9&lt;E299,0,IF(NETWORKDAYS.INTL(E299,F299,11)=0,IF(Reprogramaciones!M$9&gt;=F299,100,0),ROUND(NETWORKDAYS.INTL(E299,MIN(F299,Reprogramaciones!M$9),11)/NETWORKDAYS.INTL(E299,F299,11)*100,1))))</f>
        <v/>
      </c>
      <c r="K299" s="36" t="str">
        <f aca="false">IF(OR(NOT(AND(ISNUMBER(E299),ISNUMBER(F299))),$J$2=""),"",IF(Reprogramaciones!O$9&lt;E299,0,IF(NETWORKDAYS.INTL(E299,F299,11)=0,IF(Reprogramaciones!O$9&gt;=F299,100,0),ROUND(NETWORKDAYS.INTL(E299,MIN(F299,Reprogramaciones!O$9),11)/NETWORKDAYS.INTL(E299,F299,11)*100,1)))-IF(Reprogramaciones!N$9&lt;E299,0,IF(NETWORKDAYS.INTL(E299,F299,11)=0,IF(Reprogramaciones!N$9&gt;=F299,100,0),ROUND(NETWORKDAYS.INTL(E299,MIN(F299,Reprogramaciones!N$9),11)/NETWORKDAYS.INTL(E299,F299,11)*100,1))))</f>
        <v/>
      </c>
      <c r="L299" s="36" t="str">
        <f aca="false">IF(OR(NOT(AND(ISNUMBER(E299),ISNUMBER(F299))),$J$2=""),"",IF(Reprogramaciones!P$9&lt;E299,0,IF(NETWORKDAYS.INTL(E299,F299,11)=0,IF(Reprogramaciones!P$9&gt;=F299,100,0),ROUND(NETWORKDAYS.INTL(E299,MIN(F299,Reprogramaciones!P$9),11)/NETWORKDAYS.INTL(E299,F299,11)*100,1)))-IF(Reprogramaciones!O$9&lt;E299,0,IF(NETWORKDAYS.INTL(E299,F299,11)=0,IF(Reprogramaciones!O$9&gt;=F299,100,0),ROUND(NETWORKDAYS.INTL(E299,MIN(F299,Reprogramaciones!O$9),11)/NETWORKDAYS.INTL(E299,F299,11)*100,1))))</f>
        <v/>
      </c>
      <c r="M299" s="36" t="str">
        <f aca="false">IF(OR(NOT(AND(ISNUMBER(E299),ISNUMBER(F299))),$J$2=""),"",IF(Reprogramaciones!Q$9&lt;E299,0,IF(NETWORKDAYS.INTL(E299,F299,11)=0,IF(Reprogramaciones!Q$9&gt;=F299,100,0),ROUND(NETWORKDAYS.INTL(E299,MIN(F299,Reprogramaciones!Q$9),11)/NETWORKDAYS.INTL(E299,F299,11)*100,1)))-IF(Reprogramaciones!P$9&lt;E299,0,IF(NETWORKDAYS.INTL(E299,F299,11)=0,IF(Reprogramaciones!P$9&gt;=F299,100,0),ROUND(NETWORKDAYS.INTL(E299,MIN(F299,Reprogramaciones!P$9),11)/NETWORKDAYS.INTL(E299,F299,11)*100,1))))</f>
        <v/>
      </c>
      <c r="N299" s="36" t="str">
        <f aca="false">IF(OR(NOT(AND(ISNUMBER(E299),ISNUMBER(F299))),$J$2=""),"",IF(Reprogramaciones!R$9&lt;E299,0,IF(NETWORKDAYS.INTL(E299,F299,11)=0,IF(Reprogramaciones!R$9&gt;=F299,100,0),ROUND(NETWORKDAYS.INTL(E299,MIN(F299,Reprogramaciones!R$9),11)/NETWORKDAYS.INTL(E299,F299,11)*100,1)))-IF(Reprogramaciones!Q$9&lt;E299,0,IF(NETWORKDAYS.INTL(E299,F299,11)=0,IF(Reprogramaciones!Q$9&gt;=F299,100,0),ROUND(NETWORKDAYS.INTL(E299,MIN(F299,Reprogramaciones!Q$9),11)/NETWORKDAYS.INTL(E299,F299,11)*100,1))))</f>
        <v/>
      </c>
      <c r="O299" s="36" t="str">
        <f aca="false">IF(OR(NOT(AND(ISNUMBER(E299),ISNUMBER(F299))),$J$2=""),"",IF(Reprogramaciones!S$9&lt;E299,0,IF(NETWORKDAYS.INTL(E299,F299,11)=0,IF(Reprogramaciones!S$9&gt;=F299,100,0),ROUND(NETWORKDAYS.INTL(E299,MIN(F299,Reprogramaciones!S$9),11)/NETWORKDAYS.INTL(E299,F299,11)*100,1)))-IF(Reprogramaciones!R$9&lt;E299,0,IF(NETWORKDAYS.INTL(E299,F299,11)=0,IF(Reprogramaciones!R$9&gt;=F299,100,0),ROUND(NETWORKDAYS.INTL(E299,MIN(F299,Reprogramaciones!R$9),11)/NETWORKDAYS.INTL(E299,F299,11)*100,1))))</f>
        <v/>
      </c>
      <c r="P299" s="36" t="str">
        <f aca="false">IF(OR(NOT(AND(ISNUMBER(E299),ISNUMBER(F299))),$J$2=""),"",IF(Reprogramaciones!T$9&lt;E299,0,IF(NETWORKDAYS.INTL(E299,F299,11)=0,IF(Reprogramaciones!T$9&gt;=F299,100,0),ROUND(NETWORKDAYS.INTL(E299,MIN(F299,Reprogramaciones!T$9),11)/NETWORKDAYS.INTL(E299,F299,11)*100,1)))-IF(Reprogramaciones!S$9&lt;E299,0,IF(NETWORKDAYS.INTL(E299,F299,11)=0,IF(Reprogramaciones!S$9&gt;=F299,100,0),ROUND(NETWORKDAYS.INTL(E299,MIN(F299,Reprogramaciones!S$9),11)/NETWORKDAYS.INTL(E299,F299,11)*100,1))))</f>
        <v/>
      </c>
      <c r="Q299" s="37"/>
      <c r="R299" s="37"/>
      <c r="S299" s="37"/>
      <c r="T299" s="37"/>
      <c r="U299" s="37"/>
      <c r="V299" s="37"/>
      <c r="W299" s="37"/>
      <c r="X299" s="37"/>
      <c r="Y299" s="37"/>
      <c r="Z299" s="37"/>
      <c r="AA299" s="37"/>
      <c r="AB299" s="37"/>
      <c r="AC299" s="37"/>
      <c r="AD299" s="37"/>
      <c r="AE299" s="37"/>
      <c r="AF299" s="37"/>
      <c r="AG299" s="38" t="str">
        <f aca="false">IF(AND(ISNUMBER(E299),ISNUMBER(F299)),NETWORKDAYS.INTL(E299,F299,11),"")</f>
        <v/>
      </c>
      <c r="AH299" s="38" t="str">
        <f aca="false">IF(OR(NOT(AND(ISNUMBER(E299),ISNUMBER(F299))),$J$2=""),"",IF(Reprogramaciones!$P$15&lt;Reprogramaciones!$T$15,0,IF(Reprogramaciones!$R$15&gt;10,MIN(100,SUM($G299:$P299)),MIN(100,SUMPRODUCT((COLUMN($G299:$P299)-COLUMN($G299)+1&lt;Reprogramaciones!$R$15)*$G299:$P299)+N(INDEX($G299:$P299,1,Reprogramaciones!$R$15))*IF(Reprogramaciones!$P$15&gt;=(Reprogramaciones!$T$15+7*(Reprogramaciones!$R$15-1))+6,1,IF(MAX(0,NETWORKDAYS.INTL(MAX(E299,(Reprogramaciones!$T$15+7*(Reprogramaciones!$R$15-1))),MIN(F299,(Reprogramaciones!$T$15+7*(Reprogramaciones!$R$15-1))+6),11))=0,0,MAX(0,NETWORKDAYS.INTL(MAX(E299,(Reprogramaciones!$T$15+7*(Reprogramaciones!$R$15-1))),MIN(F299,Reprogramaciones!$P$15),11))/MAX(0,NETWORKDAYS.INTL(MAX(E299,(Reprogramaciones!$T$15+7*(Reprogramaciones!$R$15-1))),MIN(F299,(Reprogramaciones!$T$15+7*(Reprogramaciones!$R$15-1))+6),11))))))))</f>
        <v/>
      </c>
      <c r="AI299" s="38" t="str">
        <f aca="false">IF(COUNT($Q299:$AF299)=0,"",IF(ROUND(SUM($Q299:$AF299),1)&gt;=99.5,100,MIN(100,ROUND(SUM($Q299:$AF299),1))))</f>
        <v/>
      </c>
      <c r="AJ299" s="38" t="str">
        <f aca="false">IF(OR(AH299="",AI299=""),"",AI299-AH299)</f>
        <v/>
      </c>
      <c r="AK299" s="39" t="str">
        <f aca="true">IF(AH299="","",IF(OR(Ficha!$C$10="Suspendida",Ficha!$C$10="Cancelada"),Ficha!$C$10,IF(AND(AI299&lt;&gt;"",N(AI299)&gt;=100),"Completada",IF(AND(E299&gt;TODAY(),N(AI299)=0),"Por iniciar",IF(N(AI299)+0.5&lt;AH299,"Retrasada",IF(N(AI299)+0.5&lt;DA299,IF(Reprogramaciones!$K$15&gt;0,"Al día · Sem "&amp;Reprogramaciones!$K$15&amp;" en curso","Al día · en curso"),"A tiempo"))))))</f>
        <v/>
      </c>
      <c r="AL299" s="39" t="str">
        <f aca="true">IF(AND(A299="",AND(B299="",C299="",E299="",F299="",COUNT(Q299:AF299)=0)),"",IF(AND(B299="",C299="",E299="",F299="",COUNT(Q299:AF299)=0),"Falta la partida o subpartida",IF(AND(A299&lt;&gt;"",COUNTIF($A$6:$A$305,A299)&gt;1),"Ítem repetido",IF(AND(C299="",E299="",F299="",COUNT(Q299:AF299)=0),"Título de partida",IF(OR(E299="",F299=""),"Faltan fechas",IF(OR(ISTEXT(E299),ISTEXT(F299)),"Fecha escrita como texto: usa dd/mm/aaaa",IF(F299&lt;E299,"Fin antes del inicio",IF(IF($J$2="",FALSE(),OR(E299&lt;$J$2,F299&gt;Reprogramaciones!$T$15+69)),"Fuera de las 10 semanas",IF(ABS(SUM(G299:P299)-100)&gt;0.5,"La meta no suma 100%",IF(ROUND(SUM(Q299:AF299),1)&gt;100.5,"El avance pasa de 100%",IF(MIN(Q299:AF299)&lt;0,"Avance negativo",IF(COUNTA(Q299:AF299)&gt;COUNT(Q299:AF299),"Avance escrito como texto",IF(SUMPRODUCT((Q299:AF299&gt;0)*(Q299:AF299&lt;1))&gt;0,"Avance menor a 1: escribe 50, no 50%",IF(SUMPRODUCT(ISNUMBER(Q299:AF299)*(Reprogramaciones!$K$8:$Z$8&gt;TODAY()))&gt;0,"Avance en semana que aún no llega",IF(AND(N(Reprogramaciones!$E$21)&gt;0,F299&gt;Reprogramaciones!$E$21),"Pasa el fin de la obra: registra una reprogramación",IF(AND(N(Reprogramaciones!$E$21)&gt;0,SUMPRODUCT(ISNUMBER(Q299:AF299)*(Reprogramaciones!$K$8:$Z$8&gt;Reprogramaciones!$E$21))&gt;0),"Avance después del fin de la obra: registra una reprogramación por atraso","OK"))))))))))))))))</f>
        <v/>
      </c>
      <c r="AM299" s="40" t="str">
        <f aca="false">IF(OR(OR(NOT(AND(ISNUMBER(E299),ISNUMBER(F299))),$J$2=""),1&gt;MAX(1,Reprogramaciones!$U$15)),"",IF(Reprogramaciones!K$12&gt;=7,"",IF(OR(BT299-N(0)&gt;0.05,N(Q299)&gt;0),ROUNDDOWN(ROUND(BT299,6),0)&amp;"%"&amp;IF(CJ299="",""," / "&amp;CJ299&amp;"%"),IF(AND(N(0)&gt;=99.95,CJ299&lt;&gt;"",N(CJ299)&lt;100),"Pend. "&amp;CJ299&amp;"%",""))))</f>
        <v/>
      </c>
      <c r="AN299" s="40" t="str">
        <f aca="false">IF(OR(OR(NOT(AND(ISNUMBER(E299),ISNUMBER(F299))),$J$2=""),2&gt;MAX(1,Reprogramaciones!$U$15)),"",IF(Reprogramaciones!L$12&gt;=7,"",IF(OR(BU299-N(BT299)&gt;0.05,N(R299)&gt;0),ROUNDDOWN(ROUND(BU299,6),0)&amp;"%"&amp;IF(CK299="",""," / "&amp;CK299&amp;"%"),IF(AND(N(BT299)&gt;=99.95,CK299&lt;&gt;"",N(CK299)&lt;100),"Pend. "&amp;CK299&amp;"%",""))))</f>
        <v/>
      </c>
      <c r="AO299" s="40" t="str">
        <f aca="false">IF(OR(OR(NOT(AND(ISNUMBER(E299),ISNUMBER(F299))),$J$2=""),3&gt;MAX(1,Reprogramaciones!$U$15)),"",IF(Reprogramaciones!M$12&gt;=7,"",IF(OR(BV299-N(BU299)&gt;0.05,N(S299)&gt;0),ROUNDDOWN(ROUND(BV299,6),0)&amp;"%"&amp;IF(CL299="",""," / "&amp;CL299&amp;"%"),IF(AND(N(BU299)&gt;=99.95,CL299&lt;&gt;"",N(CL299)&lt;100),"Pend. "&amp;CL299&amp;"%",""))))</f>
        <v/>
      </c>
      <c r="AP299" s="40" t="str">
        <f aca="false">IF(OR(OR(NOT(AND(ISNUMBER(E299),ISNUMBER(F299))),$J$2=""),4&gt;MAX(1,Reprogramaciones!$U$15)),"",IF(Reprogramaciones!N$12&gt;=7,"",IF(OR(BW299-N(BV299)&gt;0.05,N(T299)&gt;0),ROUNDDOWN(ROUND(BW299,6),0)&amp;"%"&amp;IF(CM299="",""," / "&amp;CM299&amp;"%"),IF(AND(N(BV299)&gt;=99.95,CM299&lt;&gt;"",N(CM299)&lt;100),"Pend. "&amp;CM299&amp;"%",""))))</f>
        <v/>
      </c>
      <c r="AQ299" s="40" t="str">
        <f aca="false">IF(OR(OR(NOT(AND(ISNUMBER(E299),ISNUMBER(F299))),$J$2=""),5&gt;MAX(1,Reprogramaciones!$U$15)),"",IF(Reprogramaciones!O$12&gt;=7,"",IF(OR(BX299-N(BW299)&gt;0.05,N(U299)&gt;0),ROUNDDOWN(ROUND(BX299,6),0)&amp;"%"&amp;IF(CN299="",""," / "&amp;CN299&amp;"%"),IF(AND(N(BW299)&gt;=99.95,CN299&lt;&gt;"",N(CN299)&lt;100),"Pend. "&amp;CN299&amp;"%",""))))</f>
        <v/>
      </c>
      <c r="AR299" s="40" t="str">
        <f aca="false">IF(OR(OR(NOT(AND(ISNUMBER(E299),ISNUMBER(F299))),$J$2=""),6&gt;MAX(1,Reprogramaciones!$U$15)),"",IF(Reprogramaciones!P$12&gt;=7,"",IF(OR(BY299-N(BX299)&gt;0.05,N(V299)&gt;0),ROUNDDOWN(ROUND(BY299,6),0)&amp;"%"&amp;IF(CO299="",""," / "&amp;CO299&amp;"%"),IF(AND(N(BX299)&gt;=99.95,CO299&lt;&gt;"",N(CO299)&lt;100),"Pend. "&amp;CO299&amp;"%",""))))</f>
        <v/>
      </c>
      <c r="AS299" s="40" t="str">
        <f aca="false">IF(OR(OR(NOT(AND(ISNUMBER(E299),ISNUMBER(F299))),$J$2=""),7&gt;MAX(1,Reprogramaciones!$U$15)),"",IF(Reprogramaciones!Q$12&gt;=7,"",IF(OR(BZ299-N(BY299)&gt;0.05,N(W299)&gt;0),ROUNDDOWN(ROUND(BZ299,6),0)&amp;"%"&amp;IF(CP299="",""," / "&amp;CP299&amp;"%"),IF(AND(N(BY299)&gt;=99.95,CP299&lt;&gt;"",N(CP299)&lt;100),"Pend. "&amp;CP299&amp;"%",""))))</f>
        <v/>
      </c>
      <c r="AT299" s="40" t="str">
        <f aca="false">IF(OR(OR(NOT(AND(ISNUMBER(E299),ISNUMBER(F299))),$J$2=""),8&gt;MAX(1,Reprogramaciones!$U$15)),"",IF(Reprogramaciones!R$12&gt;=7,"",IF(OR(CA299-N(BZ299)&gt;0.05,N(X299)&gt;0),ROUNDDOWN(ROUND(CA299,6),0)&amp;"%"&amp;IF(CQ299="",""," / "&amp;CQ299&amp;"%"),IF(AND(N(BZ299)&gt;=99.95,CQ299&lt;&gt;"",N(CQ299)&lt;100),"Pend. "&amp;CQ299&amp;"%",""))))</f>
        <v/>
      </c>
      <c r="AU299" s="40" t="str">
        <f aca="false">IF(OR(OR(NOT(AND(ISNUMBER(E299),ISNUMBER(F299))),$J$2=""),9&gt;MAX(1,Reprogramaciones!$U$15)),"",IF(Reprogramaciones!S$12&gt;=7,"",IF(OR(CB299-N(CA299)&gt;0.05,N(Y299)&gt;0),ROUNDDOWN(ROUND(CB299,6),0)&amp;"%"&amp;IF(CR299="",""," / "&amp;CR299&amp;"%"),IF(AND(N(CA299)&gt;=99.95,CR299&lt;&gt;"",N(CR299)&lt;100),"Pend. "&amp;CR299&amp;"%",""))))</f>
        <v/>
      </c>
      <c r="AV299" s="40" t="str">
        <f aca="false">IF(OR(OR(NOT(AND(ISNUMBER(E299),ISNUMBER(F299))),$J$2=""),10&gt;MAX(1,Reprogramaciones!$U$15)),"",IF(Reprogramaciones!T$12&gt;=7,"",IF(OR(CC299-N(CB299)&gt;0.05,N(Z299)&gt;0),ROUNDDOWN(ROUND(CC299,6),0)&amp;"%"&amp;IF(CS299="",""," / "&amp;CS299&amp;"%"),IF(AND(N(CB299)&gt;=99.95,CS299&lt;&gt;"",N(CS299)&lt;100),"Pend. "&amp;CS299&amp;"%",""))))</f>
        <v/>
      </c>
      <c r="AW299" s="40" t="str">
        <f aca="false">IF(OR(OR(NOT(AND(ISNUMBER(E299),ISNUMBER(F299))),$J$2=""),11&gt;MAX(1,Reprogramaciones!$U$15)),"",IF(Reprogramaciones!U$12&gt;=7,"",IF(OR(CD299-N(CC299)&gt;0.05,N(AA299)&gt;0),ROUNDDOWN(ROUND(CD299,6),0)&amp;"%"&amp;IF(CT299="",""," / "&amp;CT299&amp;"%"),IF(AND(N(CC299)&gt;=99.95,CT299&lt;&gt;"",N(CT299)&lt;100),"Pend. "&amp;CT299&amp;"%",""))))</f>
        <v/>
      </c>
      <c r="AX299" s="40" t="str">
        <f aca="false">IF(OR(OR(NOT(AND(ISNUMBER(E299),ISNUMBER(F299))),$J$2=""),12&gt;MAX(1,Reprogramaciones!$U$15)),"",IF(Reprogramaciones!V$12&gt;=7,"",IF(OR(CE299-N(CD299)&gt;0.05,N(AB299)&gt;0),ROUNDDOWN(ROUND(CE299,6),0)&amp;"%"&amp;IF(CU299="",""," / "&amp;CU299&amp;"%"),IF(AND(N(CD299)&gt;=99.95,CU299&lt;&gt;"",N(CU299)&lt;100),"Pend. "&amp;CU299&amp;"%",""))))</f>
        <v/>
      </c>
      <c r="AY299" s="40" t="str">
        <f aca="false">IF(OR(OR(NOT(AND(ISNUMBER(E299),ISNUMBER(F299))),$J$2=""),13&gt;MAX(1,Reprogramaciones!$U$15)),"",IF(Reprogramaciones!W$12&gt;=7,"",IF(OR(CF299-N(CE299)&gt;0.05,N(AC299)&gt;0),ROUNDDOWN(ROUND(CF299,6),0)&amp;"%"&amp;IF(CV299="",""," / "&amp;CV299&amp;"%"),IF(AND(N(CE299)&gt;=99.95,CV299&lt;&gt;"",N(CV299)&lt;100),"Pend. "&amp;CV299&amp;"%",""))))</f>
        <v/>
      </c>
      <c r="AZ299" s="40" t="str">
        <f aca="false">IF(OR(OR(NOT(AND(ISNUMBER(E299),ISNUMBER(F299))),$J$2=""),14&gt;MAX(1,Reprogramaciones!$U$15)),"",IF(Reprogramaciones!X$12&gt;=7,"",IF(OR(CG299-N(CF299)&gt;0.05,N(AD299)&gt;0),ROUNDDOWN(ROUND(CG299,6),0)&amp;"%"&amp;IF(CW299="",""," / "&amp;CW299&amp;"%"),IF(AND(N(CF299)&gt;=99.95,CW299&lt;&gt;"",N(CW299)&lt;100),"Pend. "&amp;CW299&amp;"%",""))))</f>
        <v/>
      </c>
      <c r="BA299" s="40" t="str">
        <f aca="false">IF(OR(OR(NOT(AND(ISNUMBER(E299),ISNUMBER(F299))),$J$2=""),15&gt;MAX(1,Reprogramaciones!$U$15)),"",IF(Reprogramaciones!Y$12&gt;=7,"",IF(OR(CH299-N(CG299)&gt;0.05,N(AE299)&gt;0),ROUNDDOWN(ROUND(CH299,6),0)&amp;"%"&amp;IF(CX299="",""," / "&amp;CX299&amp;"%"),IF(AND(N(CG299)&gt;=99.95,CX299&lt;&gt;"",N(CX299)&lt;100),"Pend. "&amp;CX299&amp;"%",""))))</f>
        <v/>
      </c>
      <c r="BB299" s="40" t="str">
        <f aca="false">IF(OR(OR(NOT(AND(ISNUMBER(E299),ISNUMBER(F299))),$J$2=""),16&gt;MAX(1,Reprogramaciones!$U$15)),"",IF(Reprogramaciones!Z$12&gt;=7,"",IF(OR(CI299-N(CH299)&gt;0.05,N(AF299)&gt;0),ROUNDDOWN(ROUND(CI299,6),0)&amp;"%"&amp;IF(CY299="",""," / "&amp;CY299&amp;"%"),IF(AND(N(CH299)&gt;=99.95,CY299&lt;&gt;"",N(CY299)&lt;100),"Pend. "&amp;CY299&amp;"%",""))))</f>
        <v/>
      </c>
      <c r="BC299" s="31" t="n">
        <f aca="false">IF(AND(ISNUMBER(E299),ISNUMBER(F299)),MAX(1,NETWORKDAYS.INTL(E299,F299,11)),0)</f>
        <v>0</v>
      </c>
      <c r="BD299" s="1" t="str">
        <f aca="false">IF(OR(NOT(AND(ISNUMBER(E299),ISNUMBER(F299))),$J$2=""),"",MIN(100,ROUND(SUM($G299:G299),1)))</f>
        <v/>
      </c>
      <c r="BE299" s="1" t="str">
        <f aca="false">IF(OR(NOT(AND(ISNUMBER(E299),ISNUMBER(F299))),$J$2=""),"",MIN(100,ROUND(SUM($G299:H299),1)))</f>
        <v/>
      </c>
      <c r="BF299" s="1" t="str">
        <f aca="false">IF(OR(NOT(AND(ISNUMBER(E299),ISNUMBER(F299))),$J$2=""),"",MIN(100,ROUND(SUM($G299:I299),1)))</f>
        <v/>
      </c>
      <c r="BG299" s="1" t="str">
        <f aca="false">IF(OR(NOT(AND(ISNUMBER(E299),ISNUMBER(F299))),$J$2=""),"",MIN(100,ROUND(SUM($G299:J299),1)))</f>
        <v/>
      </c>
      <c r="BH299" s="1" t="str">
        <f aca="false">IF(OR(NOT(AND(ISNUMBER(E299),ISNUMBER(F299))),$J$2=""),"",MIN(100,ROUND(SUM($G299:K299),1)))</f>
        <v/>
      </c>
      <c r="BI299" s="1" t="str">
        <f aca="false">IF(OR(NOT(AND(ISNUMBER(E299),ISNUMBER(F299))),$J$2=""),"",MIN(100,ROUND(SUM($G299:L299),1)))</f>
        <v/>
      </c>
      <c r="BJ299" s="1" t="str">
        <f aca="false">IF(OR(NOT(AND(ISNUMBER(E299),ISNUMBER(F299))),$J$2=""),"",MIN(100,ROUND(SUM($G299:M299),1)))</f>
        <v/>
      </c>
      <c r="BK299" s="1" t="str">
        <f aca="false">IF(OR(NOT(AND(ISNUMBER(E299),ISNUMBER(F299))),$J$2=""),"",MIN(100,ROUND(SUM($G299:N299),1)))</f>
        <v/>
      </c>
      <c r="BL299" s="1" t="str">
        <f aca="false">IF(OR(NOT(AND(ISNUMBER(E299),ISNUMBER(F299))),$J$2=""),"",MIN(100,ROUND(SUM($G299:O299),1)))</f>
        <v/>
      </c>
      <c r="BM299" s="1" t="str">
        <f aca="false">IF(OR(NOT(AND(ISNUMBER(E299),ISNUMBER(F299))),$J$2=""),"",MIN(100,ROUND(SUM($G299:P299),1)))</f>
        <v/>
      </c>
      <c r="BN299" s="1" t="str">
        <f aca="false">IF(OR(NOT(AND(ISNUMBER(E299),ISNUMBER(F299))),$J$2=""),"",MIN(100,ROUND(SUM($G299:P299),1)))</f>
        <v/>
      </c>
      <c r="BO299" s="1" t="str">
        <f aca="false">IF(OR(NOT(AND(ISNUMBER(E299),ISNUMBER(F299))),$J$2=""),"",MIN(100,ROUND(SUM($G299:P299),1)))</f>
        <v/>
      </c>
      <c r="BP299" s="1" t="str">
        <f aca="false">IF(OR(NOT(AND(ISNUMBER(E299),ISNUMBER(F299))),$J$2=""),"",MIN(100,ROUND(SUM($G299:P299),1)))</f>
        <v/>
      </c>
      <c r="BQ299" s="1" t="str">
        <f aca="false">IF(OR(NOT(AND(ISNUMBER(E299),ISNUMBER(F299))),$J$2=""),"",MIN(100,ROUND(SUM($G299:P299),1)))</f>
        <v/>
      </c>
      <c r="BR299" s="1" t="str">
        <f aca="false">IF(OR(NOT(AND(ISNUMBER(E299),ISNUMBER(F299))),$J$2=""),"",MIN(100,ROUND(SUM($G299:P299),1)))</f>
        <v/>
      </c>
      <c r="BS299" s="1" t="str">
        <f aca="false">IF(OR(NOT(AND(ISNUMBER(E299),ISNUMBER(F299))),$J$2=""),"",MIN(100,ROUND(SUM($G299:P299),1)))</f>
        <v/>
      </c>
      <c r="BT299" s="1" t="str">
        <f aca="false">IF(OR(NOT(AND(ISNUMBER(E299),ISNUMBER(F299))),$J$2=""),"",IF(Reprogramaciones!K$13&lt;Reprogramaciones!$T$15,0,IF(Reprogramaciones!K$14&gt;10,MIN(100,SUM($G299:$P299)),MIN(100,SUMPRODUCT((COLUMN($G299:$P299)-COLUMN($G299)+1&lt;Reprogramaciones!K$14)*$G299:$P299)+N(INDEX($G299:$P299,1,Reprogramaciones!K$14))*IF(Reprogramaciones!K$13&gt;=(Reprogramaciones!$T$15+7*(Reprogramaciones!K$14-1))+6,1,IF(MAX(0,NETWORKDAYS.INTL(MAX(E299,(Reprogramaciones!$T$15+7*(Reprogramaciones!K$14-1))),MIN(F299,(Reprogramaciones!$T$15+7*(Reprogramaciones!K$14-1))+6),11))=0,0,MAX(0,NETWORKDAYS.INTL(MAX(E299,(Reprogramaciones!$T$15+7*(Reprogramaciones!K$14-1))),MIN(F299,Reprogramaciones!K$13),11))/MAX(0,NETWORKDAYS.INTL(MAX(E299,(Reprogramaciones!$T$15+7*(Reprogramaciones!K$14-1))),MIN(F299,(Reprogramaciones!$T$15+7*(Reprogramaciones!K$14-1))+6),11))))))))</f>
        <v/>
      </c>
      <c r="BU299" s="1" t="str">
        <f aca="false">IF(OR(NOT(AND(ISNUMBER(E299),ISNUMBER(F299))),$J$2=""),"",IF(Reprogramaciones!L$13&lt;Reprogramaciones!$T$15,0,IF(Reprogramaciones!L$14&gt;10,MIN(100,SUM($G299:$P299)),MIN(100,SUMPRODUCT((COLUMN($G299:$P299)-COLUMN($G299)+1&lt;Reprogramaciones!L$14)*$G299:$P299)+N(INDEX($G299:$P299,1,Reprogramaciones!L$14))*IF(Reprogramaciones!L$13&gt;=(Reprogramaciones!$T$15+7*(Reprogramaciones!L$14-1))+6,1,IF(MAX(0,NETWORKDAYS.INTL(MAX(E299,(Reprogramaciones!$T$15+7*(Reprogramaciones!L$14-1))),MIN(F299,(Reprogramaciones!$T$15+7*(Reprogramaciones!L$14-1))+6),11))=0,0,MAX(0,NETWORKDAYS.INTL(MAX(E299,(Reprogramaciones!$T$15+7*(Reprogramaciones!L$14-1))),MIN(F299,Reprogramaciones!L$13),11))/MAX(0,NETWORKDAYS.INTL(MAX(E299,(Reprogramaciones!$T$15+7*(Reprogramaciones!L$14-1))),MIN(F299,(Reprogramaciones!$T$15+7*(Reprogramaciones!L$14-1))+6),11))))))))</f>
        <v/>
      </c>
      <c r="BV299" s="1" t="str">
        <f aca="false">IF(OR(NOT(AND(ISNUMBER(E299),ISNUMBER(F299))),$J$2=""),"",IF(Reprogramaciones!M$13&lt;Reprogramaciones!$T$15,0,IF(Reprogramaciones!M$14&gt;10,MIN(100,SUM($G299:$P299)),MIN(100,SUMPRODUCT((COLUMN($G299:$P299)-COLUMN($G299)+1&lt;Reprogramaciones!M$14)*$G299:$P299)+N(INDEX($G299:$P299,1,Reprogramaciones!M$14))*IF(Reprogramaciones!M$13&gt;=(Reprogramaciones!$T$15+7*(Reprogramaciones!M$14-1))+6,1,IF(MAX(0,NETWORKDAYS.INTL(MAX(E299,(Reprogramaciones!$T$15+7*(Reprogramaciones!M$14-1))),MIN(F299,(Reprogramaciones!$T$15+7*(Reprogramaciones!M$14-1))+6),11))=0,0,MAX(0,NETWORKDAYS.INTL(MAX(E299,(Reprogramaciones!$T$15+7*(Reprogramaciones!M$14-1))),MIN(F299,Reprogramaciones!M$13),11))/MAX(0,NETWORKDAYS.INTL(MAX(E299,(Reprogramaciones!$T$15+7*(Reprogramaciones!M$14-1))),MIN(F299,(Reprogramaciones!$T$15+7*(Reprogramaciones!M$14-1))+6),11))))))))</f>
        <v/>
      </c>
      <c r="BW299" s="1" t="str">
        <f aca="false">IF(OR(NOT(AND(ISNUMBER(E299),ISNUMBER(F299))),$J$2=""),"",IF(Reprogramaciones!N$13&lt;Reprogramaciones!$T$15,0,IF(Reprogramaciones!N$14&gt;10,MIN(100,SUM($G299:$P299)),MIN(100,SUMPRODUCT((COLUMN($G299:$P299)-COLUMN($G299)+1&lt;Reprogramaciones!N$14)*$G299:$P299)+N(INDEX($G299:$P299,1,Reprogramaciones!N$14))*IF(Reprogramaciones!N$13&gt;=(Reprogramaciones!$T$15+7*(Reprogramaciones!N$14-1))+6,1,IF(MAX(0,NETWORKDAYS.INTL(MAX(E299,(Reprogramaciones!$T$15+7*(Reprogramaciones!N$14-1))),MIN(F299,(Reprogramaciones!$T$15+7*(Reprogramaciones!N$14-1))+6),11))=0,0,MAX(0,NETWORKDAYS.INTL(MAX(E299,(Reprogramaciones!$T$15+7*(Reprogramaciones!N$14-1))),MIN(F299,Reprogramaciones!N$13),11))/MAX(0,NETWORKDAYS.INTL(MAX(E299,(Reprogramaciones!$T$15+7*(Reprogramaciones!N$14-1))),MIN(F299,(Reprogramaciones!$T$15+7*(Reprogramaciones!N$14-1))+6),11))))))))</f>
        <v/>
      </c>
      <c r="BX299" s="1" t="str">
        <f aca="false">IF(OR(NOT(AND(ISNUMBER(E299),ISNUMBER(F299))),$J$2=""),"",IF(Reprogramaciones!O$13&lt;Reprogramaciones!$T$15,0,IF(Reprogramaciones!O$14&gt;10,MIN(100,SUM($G299:$P299)),MIN(100,SUMPRODUCT((COLUMN($G299:$P299)-COLUMN($G299)+1&lt;Reprogramaciones!O$14)*$G299:$P299)+N(INDEX($G299:$P299,1,Reprogramaciones!O$14))*IF(Reprogramaciones!O$13&gt;=(Reprogramaciones!$T$15+7*(Reprogramaciones!O$14-1))+6,1,IF(MAX(0,NETWORKDAYS.INTL(MAX(E299,(Reprogramaciones!$T$15+7*(Reprogramaciones!O$14-1))),MIN(F299,(Reprogramaciones!$T$15+7*(Reprogramaciones!O$14-1))+6),11))=0,0,MAX(0,NETWORKDAYS.INTL(MAX(E299,(Reprogramaciones!$T$15+7*(Reprogramaciones!O$14-1))),MIN(F299,Reprogramaciones!O$13),11))/MAX(0,NETWORKDAYS.INTL(MAX(E299,(Reprogramaciones!$T$15+7*(Reprogramaciones!O$14-1))),MIN(F299,(Reprogramaciones!$T$15+7*(Reprogramaciones!O$14-1))+6),11))))))))</f>
        <v/>
      </c>
      <c r="BY299" s="1" t="str">
        <f aca="false">IF(OR(NOT(AND(ISNUMBER(E299),ISNUMBER(F299))),$J$2=""),"",IF(Reprogramaciones!P$13&lt;Reprogramaciones!$T$15,0,IF(Reprogramaciones!P$14&gt;10,MIN(100,SUM($G299:$P299)),MIN(100,SUMPRODUCT((COLUMN($G299:$P299)-COLUMN($G299)+1&lt;Reprogramaciones!P$14)*$G299:$P299)+N(INDEX($G299:$P299,1,Reprogramaciones!P$14))*IF(Reprogramaciones!P$13&gt;=(Reprogramaciones!$T$15+7*(Reprogramaciones!P$14-1))+6,1,IF(MAX(0,NETWORKDAYS.INTL(MAX(E299,(Reprogramaciones!$T$15+7*(Reprogramaciones!P$14-1))),MIN(F299,(Reprogramaciones!$T$15+7*(Reprogramaciones!P$14-1))+6),11))=0,0,MAX(0,NETWORKDAYS.INTL(MAX(E299,(Reprogramaciones!$T$15+7*(Reprogramaciones!P$14-1))),MIN(F299,Reprogramaciones!P$13),11))/MAX(0,NETWORKDAYS.INTL(MAX(E299,(Reprogramaciones!$T$15+7*(Reprogramaciones!P$14-1))),MIN(F299,(Reprogramaciones!$T$15+7*(Reprogramaciones!P$14-1))+6),11))))))))</f>
        <v/>
      </c>
      <c r="BZ299" s="1" t="str">
        <f aca="false">IF(OR(NOT(AND(ISNUMBER(E299),ISNUMBER(F299))),$J$2=""),"",IF(Reprogramaciones!Q$13&lt;Reprogramaciones!$T$15,0,IF(Reprogramaciones!Q$14&gt;10,MIN(100,SUM($G299:$P299)),MIN(100,SUMPRODUCT((COLUMN($G299:$P299)-COLUMN($G299)+1&lt;Reprogramaciones!Q$14)*$G299:$P299)+N(INDEX($G299:$P299,1,Reprogramaciones!Q$14))*IF(Reprogramaciones!Q$13&gt;=(Reprogramaciones!$T$15+7*(Reprogramaciones!Q$14-1))+6,1,IF(MAX(0,NETWORKDAYS.INTL(MAX(E299,(Reprogramaciones!$T$15+7*(Reprogramaciones!Q$14-1))),MIN(F299,(Reprogramaciones!$T$15+7*(Reprogramaciones!Q$14-1))+6),11))=0,0,MAX(0,NETWORKDAYS.INTL(MAX(E299,(Reprogramaciones!$T$15+7*(Reprogramaciones!Q$14-1))),MIN(F299,Reprogramaciones!Q$13),11))/MAX(0,NETWORKDAYS.INTL(MAX(E299,(Reprogramaciones!$T$15+7*(Reprogramaciones!Q$14-1))),MIN(F299,(Reprogramaciones!$T$15+7*(Reprogramaciones!Q$14-1))+6),11))))))))</f>
        <v/>
      </c>
      <c r="CA299" s="1" t="str">
        <f aca="false">IF(OR(NOT(AND(ISNUMBER(E299),ISNUMBER(F299))),$J$2=""),"",IF(Reprogramaciones!R$13&lt;Reprogramaciones!$T$15,0,IF(Reprogramaciones!R$14&gt;10,MIN(100,SUM($G299:$P299)),MIN(100,SUMPRODUCT((COLUMN($G299:$P299)-COLUMN($G299)+1&lt;Reprogramaciones!R$14)*$G299:$P299)+N(INDEX($G299:$P299,1,Reprogramaciones!R$14))*IF(Reprogramaciones!R$13&gt;=(Reprogramaciones!$T$15+7*(Reprogramaciones!R$14-1))+6,1,IF(MAX(0,NETWORKDAYS.INTL(MAX(E299,(Reprogramaciones!$T$15+7*(Reprogramaciones!R$14-1))),MIN(F299,(Reprogramaciones!$T$15+7*(Reprogramaciones!R$14-1))+6),11))=0,0,MAX(0,NETWORKDAYS.INTL(MAX(E299,(Reprogramaciones!$T$15+7*(Reprogramaciones!R$14-1))),MIN(F299,Reprogramaciones!R$13),11))/MAX(0,NETWORKDAYS.INTL(MAX(E299,(Reprogramaciones!$T$15+7*(Reprogramaciones!R$14-1))),MIN(F299,(Reprogramaciones!$T$15+7*(Reprogramaciones!R$14-1))+6),11))))))))</f>
        <v/>
      </c>
      <c r="CB299" s="1" t="str">
        <f aca="false">IF(OR(NOT(AND(ISNUMBER(E299),ISNUMBER(F299))),$J$2=""),"",IF(Reprogramaciones!S$13&lt;Reprogramaciones!$T$15,0,IF(Reprogramaciones!S$14&gt;10,MIN(100,SUM($G299:$P299)),MIN(100,SUMPRODUCT((COLUMN($G299:$P299)-COLUMN($G299)+1&lt;Reprogramaciones!S$14)*$G299:$P299)+N(INDEX($G299:$P299,1,Reprogramaciones!S$14))*IF(Reprogramaciones!S$13&gt;=(Reprogramaciones!$T$15+7*(Reprogramaciones!S$14-1))+6,1,IF(MAX(0,NETWORKDAYS.INTL(MAX(E299,(Reprogramaciones!$T$15+7*(Reprogramaciones!S$14-1))),MIN(F299,(Reprogramaciones!$T$15+7*(Reprogramaciones!S$14-1))+6),11))=0,0,MAX(0,NETWORKDAYS.INTL(MAX(E299,(Reprogramaciones!$T$15+7*(Reprogramaciones!S$14-1))),MIN(F299,Reprogramaciones!S$13),11))/MAX(0,NETWORKDAYS.INTL(MAX(E299,(Reprogramaciones!$T$15+7*(Reprogramaciones!S$14-1))),MIN(F299,(Reprogramaciones!$T$15+7*(Reprogramaciones!S$14-1))+6),11))))))))</f>
        <v/>
      </c>
      <c r="CC299" s="1" t="str">
        <f aca="false">IF(OR(NOT(AND(ISNUMBER(E299),ISNUMBER(F299))),$J$2=""),"",IF(Reprogramaciones!T$13&lt;Reprogramaciones!$T$15,0,IF(Reprogramaciones!T$14&gt;10,MIN(100,SUM($G299:$P299)),MIN(100,SUMPRODUCT((COLUMN($G299:$P299)-COLUMN($G299)+1&lt;Reprogramaciones!T$14)*$G299:$P299)+N(INDEX($G299:$P299,1,Reprogramaciones!T$14))*IF(Reprogramaciones!T$13&gt;=(Reprogramaciones!$T$15+7*(Reprogramaciones!T$14-1))+6,1,IF(MAX(0,NETWORKDAYS.INTL(MAX(E299,(Reprogramaciones!$T$15+7*(Reprogramaciones!T$14-1))),MIN(F299,(Reprogramaciones!$T$15+7*(Reprogramaciones!T$14-1))+6),11))=0,0,MAX(0,NETWORKDAYS.INTL(MAX(E299,(Reprogramaciones!$T$15+7*(Reprogramaciones!T$14-1))),MIN(F299,Reprogramaciones!T$13),11))/MAX(0,NETWORKDAYS.INTL(MAX(E299,(Reprogramaciones!$T$15+7*(Reprogramaciones!T$14-1))),MIN(F299,(Reprogramaciones!$T$15+7*(Reprogramaciones!T$14-1))+6),11))))))))</f>
        <v/>
      </c>
      <c r="CD299" s="1" t="str">
        <f aca="false">IF(OR(NOT(AND(ISNUMBER(E299),ISNUMBER(F299))),$J$2=""),"",IF(Reprogramaciones!U$13&lt;Reprogramaciones!$T$15,0,IF(Reprogramaciones!U$14&gt;10,MIN(100,SUM($G299:$P299)),MIN(100,SUMPRODUCT((COLUMN($G299:$P299)-COLUMN($G299)+1&lt;Reprogramaciones!U$14)*$G299:$P299)+N(INDEX($G299:$P299,1,Reprogramaciones!U$14))*IF(Reprogramaciones!U$13&gt;=(Reprogramaciones!$T$15+7*(Reprogramaciones!U$14-1))+6,1,IF(MAX(0,NETWORKDAYS.INTL(MAX(E299,(Reprogramaciones!$T$15+7*(Reprogramaciones!U$14-1))),MIN(F299,(Reprogramaciones!$T$15+7*(Reprogramaciones!U$14-1))+6),11))=0,0,MAX(0,NETWORKDAYS.INTL(MAX(E299,(Reprogramaciones!$T$15+7*(Reprogramaciones!U$14-1))),MIN(F299,Reprogramaciones!U$13),11))/MAX(0,NETWORKDAYS.INTL(MAX(E299,(Reprogramaciones!$T$15+7*(Reprogramaciones!U$14-1))),MIN(F299,(Reprogramaciones!$T$15+7*(Reprogramaciones!U$14-1))+6),11))))))))</f>
        <v/>
      </c>
      <c r="CE299" s="1" t="str">
        <f aca="false">IF(OR(NOT(AND(ISNUMBER(E299),ISNUMBER(F299))),$J$2=""),"",IF(Reprogramaciones!V$13&lt;Reprogramaciones!$T$15,0,IF(Reprogramaciones!V$14&gt;10,MIN(100,SUM($G299:$P299)),MIN(100,SUMPRODUCT((COLUMN($G299:$P299)-COLUMN($G299)+1&lt;Reprogramaciones!V$14)*$G299:$P299)+N(INDEX($G299:$P299,1,Reprogramaciones!V$14))*IF(Reprogramaciones!V$13&gt;=(Reprogramaciones!$T$15+7*(Reprogramaciones!V$14-1))+6,1,IF(MAX(0,NETWORKDAYS.INTL(MAX(E299,(Reprogramaciones!$T$15+7*(Reprogramaciones!V$14-1))),MIN(F299,(Reprogramaciones!$T$15+7*(Reprogramaciones!V$14-1))+6),11))=0,0,MAX(0,NETWORKDAYS.INTL(MAX(E299,(Reprogramaciones!$T$15+7*(Reprogramaciones!V$14-1))),MIN(F299,Reprogramaciones!V$13),11))/MAX(0,NETWORKDAYS.INTL(MAX(E299,(Reprogramaciones!$T$15+7*(Reprogramaciones!V$14-1))),MIN(F299,(Reprogramaciones!$T$15+7*(Reprogramaciones!V$14-1))+6),11))))))))</f>
        <v/>
      </c>
      <c r="CF299" s="1" t="str">
        <f aca="false">IF(OR(NOT(AND(ISNUMBER(E299),ISNUMBER(F299))),$J$2=""),"",IF(Reprogramaciones!W$13&lt;Reprogramaciones!$T$15,0,IF(Reprogramaciones!W$14&gt;10,MIN(100,SUM($G299:$P299)),MIN(100,SUMPRODUCT((COLUMN($G299:$P299)-COLUMN($G299)+1&lt;Reprogramaciones!W$14)*$G299:$P299)+N(INDEX($G299:$P299,1,Reprogramaciones!W$14))*IF(Reprogramaciones!W$13&gt;=(Reprogramaciones!$T$15+7*(Reprogramaciones!W$14-1))+6,1,IF(MAX(0,NETWORKDAYS.INTL(MAX(E299,(Reprogramaciones!$T$15+7*(Reprogramaciones!W$14-1))),MIN(F299,(Reprogramaciones!$T$15+7*(Reprogramaciones!W$14-1))+6),11))=0,0,MAX(0,NETWORKDAYS.INTL(MAX(E299,(Reprogramaciones!$T$15+7*(Reprogramaciones!W$14-1))),MIN(F299,Reprogramaciones!W$13),11))/MAX(0,NETWORKDAYS.INTL(MAX(E299,(Reprogramaciones!$T$15+7*(Reprogramaciones!W$14-1))),MIN(F299,(Reprogramaciones!$T$15+7*(Reprogramaciones!W$14-1))+6),11))))))))</f>
        <v/>
      </c>
      <c r="CG299" s="1" t="str">
        <f aca="false">IF(OR(NOT(AND(ISNUMBER(E299),ISNUMBER(F299))),$J$2=""),"",IF(Reprogramaciones!X$13&lt;Reprogramaciones!$T$15,0,IF(Reprogramaciones!X$14&gt;10,MIN(100,SUM($G299:$P299)),MIN(100,SUMPRODUCT((COLUMN($G299:$P299)-COLUMN($G299)+1&lt;Reprogramaciones!X$14)*$G299:$P299)+N(INDEX($G299:$P299,1,Reprogramaciones!X$14))*IF(Reprogramaciones!X$13&gt;=(Reprogramaciones!$T$15+7*(Reprogramaciones!X$14-1))+6,1,IF(MAX(0,NETWORKDAYS.INTL(MAX(E299,(Reprogramaciones!$T$15+7*(Reprogramaciones!X$14-1))),MIN(F299,(Reprogramaciones!$T$15+7*(Reprogramaciones!X$14-1))+6),11))=0,0,MAX(0,NETWORKDAYS.INTL(MAX(E299,(Reprogramaciones!$T$15+7*(Reprogramaciones!X$14-1))),MIN(F299,Reprogramaciones!X$13),11))/MAX(0,NETWORKDAYS.INTL(MAX(E299,(Reprogramaciones!$T$15+7*(Reprogramaciones!X$14-1))),MIN(F299,(Reprogramaciones!$T$15+7*(Reprogramaciones!X$14-1))+6),11))))))))</f>
        <v/>
      </c>
      <c r="CH299" s="1" t="str">
        <f aca="false">IF(OR(NOT(AND(ISNUMBER(E299),ISNUMBER(F299))),$J$2=""),"",IF(Reprogramaciones!Y$13&lt;Reprogramaciones!$T$15,0,IF(Reprogramaciones!Y$14&gt;10,MIN(100,SUM($G299:$P299)),MIN(100,SUMPRODUCT((COLUMN($G299:$P299)-COLUMN($G299)+1&lt;Reprogramaciones!Y$14)*$G299:$P299)+N(INDEX($G299:$P299,1,Reprogramaciones!Y$14))*IF(Reprogramaciones!Y$13&gt;=(Reprogramaciones!$T$15+7*(Reprogramaciones!Y$14-1))+6,1,IF(MAX(0,NETWORKDAYS.INTL(MAX(E299,(Reprogramaciones!$T$15+7*(Reprogramaciones!Y$14-1))),MIN(F299,(Reprogramaciones!$T$15+7*(Reprogramaciones!Y$14-1))+6),11))=0,0,MAX(0,NETWORKDAYS.INTL(MAX(E299,(Reprogramaciones!$T$15+7*(Reprogramaciones!Y$14-1))),MIN(F299,Reprogramaciones!Y$13),11))/MAX(0,NETWORKDAYS.INTL(MAX(E299,(Reprogramaciones!$T$15+7*(Reprogramaciones!Y$14-1))),MIN(F299,(Reprogramaciones!$T$15+7*(Reprogramaciones!Y$14-1))+6),11))))))))</f>
        <v/>
      </c>
      <c r="CI299" s="1" t="str">
        <f aca="false">IF(OR(NOT(AND(ISNUMBER(E299),ISNUMBER(F299))),$J$2=""),"",IF(Reprogramaciones!Z$13&lt;Reprogramaciones!$T$15,0,IF(Reprogramaciones!Z$14&gt;10,MIN(100,SUM($G299:$P299)),MIN(100,SUMPRODUCT((COLUMN($G299:$P299)-COLUMN($G299)+1&lt;Reprogramaciones!Z$14)*$G299:$P299)+N(INDEX($G299:$P299,1,Reprogramaciones!Z$14))*IF(Reprogramaciones!Z$13&gt;=(Reprogramaciones!$T$15+7*(Reprogramaciones!Z$14-1))+6,1,IF(MAX(0,NETWORKDAYS.INTL(MAX(E299,(Reprogramaciones!$T$15+7*(Reprogramaciones!Z$14-1))),MIN(F299,(Reprogramaciones!$T$15+7*(Reprogramaciones!Z$14-1))+6),11))=0,0,MAX(0,NETWORKDAYS.INTL(MAX(E299,(Reprogramaciones!$T$15+7*(Reprogramaciones!Z$14-1))),MIN(F299,Reprogramaciones!Z$13),11))/MAX(0,NETWORKDAYS.INTL(MAX(E299,(Reprogramaciones!$T$15+7*(Reprogramaciones!Z$14-1))),MIN(F299,(Reprogramaciones!$T$15+7*(Reprogramaciones!Z$14-1))+6),11))))))))</f>
        <v/>
      </c>
      <c r="CJ299" s="1" t="str">
        <f aca="false">IF(OR(OR(NOT(AND(ISNUMBER(E299),ISNUMBER(F299))),$J$2=""),1&gt;Reprogramaciones!$K$16),"",IF(ROUND(SUM($Q299:Q299),1)&gt;=99.5,100,MIN(100,ROUND(SUM($Q299:Q299),1))))</f>
        <v/>
      </c>
      <c r="CK299" s="1" t="str">
        <f aca="false">IF(OR(OR(NOT(AND(ISNUMBER(E299),ISNUMBER(F299))),$J$2=""),2&gt;Reprogramaciones!$K$16),"",IF(ROUND(SUM($Q299:R299),1)&gt;=99.5,100,MIN(100,ROUND(SUM($Q299:R299),1))))</f>
        <v/>
      </c>
      <c r="CL299" s="1" t="str">
        <f aca="false">IF(OR(OR(NOT(AND(ISNUMBER(E299),ISNUMBER(F299))),$J$2=""),3&gt;Reprogramaciones!$K$16),"",IF(ROUND(SUM($Q299:S299),1)&gt;=99.5,100,MIN(100,ROUND(SUM($Q299:S299),1))))</f>
        <v/>
      </c>
      <c r="CM299" s="1" t="str">
        <f aca="false">IF(OR(OR(NOT(AND(ISNUMBER(E299),ISNUMBER(F299))),$J$2=""),4&gt;Reprogramaciones!$K$16),"",IF(ROUND(SUM($Q299:T299),1)&gt;=99.5,100,MIN(100,ROUND(SUM($Q299:T299),1))))</f>
        <v/>
      </c>
      <c r="CN299" s="1" t="str">
        <f aca="false">IF(OR(OR(NOT(AND(ISNUMBER(E299),ISNUMBER(F299))),$J$2=""),5&gt;Reprogramaciones!$K$16),"",IF(ROUND(SUM($Q299:U299),1)&gt;=99.5,100,MIN(100,ROUND(SUM($Q299:U299),1))))</f>
        <v/>
      </c>
      <c r="CO299" s="1" t="str">
        <f aca="false">IF(OR(OR(NOT(AND(ISNUMBER(E299),ISNUMBER(F299))),$J$2=""),6&gt;Reprogramaciones!$K$16),"",IF(ROUND(SUM($Q299:V299),1)&gt;=99.5,100,MIN(100,ROUND(SUM($Q299:V299),1))))</f>
        <v/>
      </c>
      <c r="CP299" s="1" t="str">
        <f aca="false">IF(OR(OR(NOT(AND(ISNUMBER(E299),ISNUMBER(F299))),$J$2=""),7&gt;Reprogramaciones!$K$16),"",IF(ROUND(SUM($Q299:W299),1)&gt;=99.5,100,MIN(100,ROUND(SUM($Q299:W299),1))))</f>
        <v/>
      </c>
      <c r="CQ299" s="1" t="str">
        <f aca="false">IF(OR(OR(NOT(AND(ISNUMBER(E299),ISNUMBER(F299))),$J$2=""),8&gt;Reprogramaciones!$K$16),"",IF(ROUND(SUM($Q299:X299),1)&gt;=99.5,100,MIN(100,ROUND(SUM($Q299:X299),1))))</f>
        <v/>
      </c>
      <c r="CR299" s="1" t="str">
        <f aca="false">IF(OR(OR(NOT(AND(ISNUMBER(E299),ISNUMBER(F299))),$J$2=""),9&gt;Reprogramaciones!$K$16),"",IF(ROUND(SUM($Q299:Y299),1)&gt;=99.5,100,MIN(100,ROUND(SUM($Q299:Y299),1))))</f>
        <v/>
      </c>
      <c r="CS299" s="1" t="str">
        <f aca="false">IF(OR(OR(NOT(AND(ISNUMBER(E299),ISNUMBER(F299))),$J$2=""),10&gt;Reprogramaciones!$K$16),"",IF(ROUND(SUM($Q299:Z299),1)&gt;=99.5,100,MIN(100,ROUND(SUM($Q299:Z299),1))))</f>
        <v/>
      </c>
      <c r="CT299" s="1" t="str">
        <f aca="false">IF(OR(OR(NOT(AND(ISNUMBER(E299),ISNUMBER(F299))),$J$2=""),11&gt;Reprogramaciones!$K$16),"",IF(ROUND(SUM($Q299:AA299),1)&gt;=99.5,100,MIN(100,ROUND(SUM($Q299:AA299),1))))</f>
        <v/>
      </c>
      <c r="CU299" s="1" t="str">
        <f aca="false">IF(OR(OR(NOT(AND(ISNUMBER(E299),ISNUMBER(F299))),$J$2=""),12&gt;Reprogramaciones!$K$16),"",IF(ROUND(SUM($Q299:AB299),1)&gt;=99.5,100,MIN(100,ROUND(SUM($Q299:AB299),1))))</f>
        <v/>
      </c>
      <c r="CV299" s="1" t="str">
        <f aca="false">IF(OR(OR(NOT(AND(ISNUMBER(E299),ISNUMBER(F299))),$J$2=""),13&gt;Reprogramaciones!$K$16),"",IF(ROUND(SUM($Q299:AC299),1)&gt;=99.5,100,MIN(100,ROUND(SUM($Q299:AC299),1))))</f>
        <v/>
      </c>
      <c r="CW299" s="1" t="str">
        <f aca="false">IF(OR(OR(NOT(AND(ISNUMBER(E299),ISNUMBER(F299))),$J$2=""),14&gt;Reprogramaciones!$K$16),"",IF(ROUND(SUM($Q299:AD299),1)&gt;=99.5,100,MIN(100,ROUND(SUM($Q299:AD299),1))))</f>
        <v/>
      </c>
      <c r="CX299" s="1" t="str">
        <f aca="false">IF(OR(OR(NOT(AND(ISNUMBER(E299),ISNUMBER(F299))),$J$2=""),15&gt;Reprogramaciones!$K$16),"",IF(ROUND(SUM($Q299:AE299),1)&gt;=99.5,100,MIN(100,ROUND(SUM($Q299:AE299),1))))</f>
        <v/>
      </c>
      <c r="CY299" s="1" t="str">
        <f aca="false">IF(OR(OR(NOT(AND(ISNUMBER(E299),ISNUMBER(F299))),$J$2=""),16&gt;Reprogramaciones!$K$16),"",IF(ROUND(SUM($Q299:AF299),1)&gt;=99.5,100,MIN(100,ROUND(SUM($Q299:AF299),1))))</f>
        <v/>
      </c>
      <c r="CZ299" s="1" t="str">
        <f aca="false">IF(D299&lt;&gt;"",D299,IF(B299&lt;&gt;"","Contractual",CZ298))</f>
        <v>Contractual</v>
      </c>
      <c r="DA299" s="1" t="str">
        <f aca="false">IF(OR(NOT(AND(ISNUMBER(E299),ISNUMBER(F299))),$J$2=""),"",IF(Reprogramaciones!$Q$15&lt;Reprogramaciones!$T$15,0,IF(Reprogramaciones!$S$15&gt;10,MIN(100,SUM($G299:$P299)),MIN(100,SUMPRODUCT((COLUMN($G299:$P299)-COLUMN($G299)+1&lt;Reprogramaciones!$S$15)*$G299:$P299)+N(INDEX($G299:$P299,1,Reprogramaciones!$S$15))*IF(Reprogramaciones!$Q$15&gt;=(Reprogramaciones!$T$15+7*(Reprogramaciones!$S$15-1))+6,1,IF(MAX(0,NETWORKDAYS.INTL(MAX(E299,(Reprogramaciones!$T$15+7*(Reprogramaciones!$S$15-1))),MIN(F299,(Reprogramaciones!$T$15+7*(Reprogramaciones!$S$15-1))+6),11))=0,0,MAX(0,NETWORKDAYS.INTL(MAX(E299,(Reprogramaciones!$T$15+7*(Reprogramaciones!$S$15-1))),MIN(F299,Reprogramaciones!$Q$15),11))/MAX(0,NETWORKDAYS.INTL(MAX(E299,(Reprogramaciones!$T$15+7*(Reprogramaciones!$S$15-1))),MIN(F299,(Reprogramaciones!$T$15+7*(Reprogramaciones!$S$15-1))+6),11))))))))</f>
        <v/>
      </c>
    </row>
    <row r="300" customFormat="false" ht="15" hidden="false" customHeight="false" outlineLevel="0" collapsed="false">
      <c r="A300" s="32"/>
      <c r="B300" s="33"/>
      <c r="C300" s="33"/>
      <c r="D300" s="34"/>
      <c r="E300" s="35"/>
      <c r="F300" s="35"/>
      <c r="G300" s="36" t="str">
        <f aca="false">IF(OR(NOT(AND(ISNUMBER(E300),ISNUMBER(F300))),$J$2=""),"",IF(Reprogramaciones!K$9&lt;E300,0,IF(NETWORKDAYS.INTL(E300,F300,11)=0,IF(Reprogramaciones!K$9&gt;=F300,100,0),ROUND(NETWORKDAYS.INTL(E300,MIN(F300,Reprogramaciones!K$9),11)/NETWORKDAYS.INTL(E300,F300,11)*100,1)))-0)</f>
        <v/>
      </c>
      <c r="H300" s="36" t="str">
        <f aca="false">IF(OR(NOT(AND(ISNUMBER(E300),ISNUMBER(F300))),$J$2=""),"",IF(Reprogramaciones!L$9&lt;E300,0,IF(NETWORKDAYS.INTL(E300,F300,11)=0,IF(Reprogramaciones!L$9&gt;=F300,100,0),ROUND(NETWORKDAYS.INTL(E300,MIN(F300,Reprogramaciones!L$9),11)/NETWORKDAYS.INTL(E300,F300,11)*100,1)))-IF(Reprogramaciones!K$9&lt;E300,0,IF(NETWORKDAYS.INTL(E300,F300,11)=0,IF(Reprogramaciones!K$9&gt;=F300,100,0),ROUND(NETWORKDAYS.INTL(E300,MIN(F300,Reprogramaciones!K$9),11)/NETWORKDAYS.INTL(E300,F300,11)*100,1))))</f>
        <v/>
      </c>
      <c r="I300" s="36" t="str">
        <f aca="false">IF(OR(NOT(AND(ISNUMBER(E300),ISNUMBER(F300))),$J$2=""),"",IF(Reprogramaciones!M$9&lt;E300,0,IF(NETWORKDAYS.INTL(E300,F300,11)=0,IF(Reprogramaciones!M$9&gt;=F300,100,0),ROUND(NETWORKDAYS.INTL(E300,MIN(F300,Reprogramaciones!M$9),11)/NETWORKDAYS.INTL(E300,F300,11)*100,1)))-IF(Reprogramaciones!L$9&lt;E300,0,IF(NETWORKDAYS.INTL(E300,F300,11)=0,IF(Reprogramaciones!L$9&gt;=F300,100,0),ROUND(NETWORKDAYS.INTL(E300,MIN(F300,Reprogramaciones!L$9),11)/NETWORKDAYS.INTL(E300,F300,11)*100,1))))</f>
        <v/>
      </c>
      <c r="J300" s="36" t="str">
        <f aca="false">IF(OR(NOT(AND(ISNUMBER(E300),ISNUMBER(F300))),$J$2=""),"",IF(Reprogramaciones!N$9&lt;E300,0,IF(NETWORKDAYS.INTL(E300,F300,11)=0,IF(Reprogramaciones!N$9&gt;=F300,100,0),ROUND(NETWORKDAYS.INTL(E300,MIN(F300,Reprogramaciones!N$9),11)/NETWORKDAYS.INTL(E300,F300,11)*100,1)))-IF(Reprogramaciones!M$9&lt;E300,0,IF(NETWORKDAYS.INTL(E300,F300,11)=0,IF(Reprogramaciones!M$9&gt;=F300,100,0),ROUND(NETWORKDAYS.INTL(E300,MIN(F300,Reprogramaciones!M$9),11)/NETWORKDAYS.INTL(E300,F300,11)*100,1))))</f>
        <v/>
      </c>
      <c r="K300" s="36" t="str">
        <f aca="false">IF(OR(NOT(AND(ISNUMBER(E300),ISNUMBER(F300))),$J$2=""),"",IF(Reprogramaciones!O$9&lt;E300,0,IF(NETWORKDAYS.INTL(E300,F300,11)=0,IF(Reprogramaciones!O$9&gt;=F300,100,0),ROUND(NETWORKDAYS.INTL(E300,MIN(F300,Reprogramaciones!O$9),11)/NETWORKDAYS.INTL(E300,F300,11)*100,1)))-IF(Reprogramaciones!N$9&lt;E300,0,IF(NETWORKDAYS.INTL(E300,F300,11)=0,IF(Reprogramaciones!N$9&gt;=F300,100,0),ROUND(NETWORKDAYS.INTL(E300,MIN(F300,Reprogramaciones!N$9),11)/NETWORKDAYS.INTL(E300,F300,11)*100,1))))</f>
        <v/>
      </c>
      <c r="L300" s="36" t="str">
        <f aca="false">IF(OR(NOT(AND(ISNUMBER(E300),ISNUMBER(F300))),$J$2=""),"",IF(Reprogramaciones!P$9&lt;E300,0,IF(NETWORKDAYS.INTL(E300,F300,11)=0,IF(Reprogramaciones!P$9&gt;=F300,100,0),ROUND(NETWORKDAYS.INTL(E300,MIN(F300,Reprogramaciones!P$9),11)/NETWORKDAYS.INTL(E300,F300,11)*100,1)))-IF(Reprogramaciones!O$9&lt;E300,0,IF(NETWORKDAYS.INTL(E300,F300,11)=0,IF(Reprogramaciones!O$9&gt;=F300,100,0),ROUND(NETWORKDAYS.INTL(E300,MIN(F300,Reprogramaciones!O$9),11)/NETWORKDAYS.INTL(E300,F300,11)*100,1))))</f>
        <v/>
      </c>
      <c r="M300" s="36" t="str">
        <f aca="false">IF(OR(NOT(AND(ISNUMBER(E300),ISNUMBER(F300))),$J$2=""),"",IF(Reprogramaciones!Q$9&lt;E300,0,IF(NETWORKDAYS.INTL(E300,F300,11)=0,IF(Reprogramaciones!Q$9&gt;=F300,100,0),ROUND(NETWORKDAYS.INTL(E300,MIN(F300,Reprogramaciones!Q$9),11)/NETWORKDAYS.INTL(E300,F300,11)*100,1)))-IF(Reprogramaciones!P$9&lt;E300,0,IF(NETWORKDAYS.INTL(E300,F300,11)=0,IF(Reprogramaciones!P$9&gt;=F300,100,0),ROUND(NETWORKDAYS.INTL(E300,MIN(F300,Reprogramaciones!P$9),11)/NETWORKDAYS.INTL(E300,F300,11)*100,1))))</f>
        <v/>
      </c>
      <c r="N300" s="36" t="str">
        <f aca="false">IF(OR(NOT(AND(ISNUMBER(E300),ISNUMBER(F300))),$J$2=""),"",IF(Reprogramaciones!R$9&lt;E300,0,IF(NETWORKDAYS.INTL(E300,F300,11)=0,IF(Reprogramaciones!R$9&gt;=F300,100,0),ROUND(NETWORKDAYS.INTL(E300,MIN(F300,Reprogramaciones!R$9),11)/NETWORKDAYS.INTL(E300,F300,11)*100,1)))-IF(Reprogramaciones!Q$9&lt;E300,0,IF(NETWORKDAYS.INTL(E300,F300,11)=0,IF(Reprogramaciones!Q$9&gt;=F300,100,0),ROUND(NETWORKDAYS.INTL(E300,MIN(F300,Reprogramaciones!Q$9),11)/NETWORKDAYS.INTL(E300,F300,11)*100,1))))</f>
        <v/>
      </c>
      <c r="O300" s="36" t="str">
        <f aca="false">IF(OR(NOT(AND(ISNUMBER(E300),ISNUMBER(F300))),$J$2=""),"",IF(Reprogramaciones!S$9&lt;E300,0,IF(NETWORKDAYS.INTL(E300,F300,11)=0,IF(Reprogramaciones!S$9&gt;=F300,100,0),ROUND(NETWORKDAYS.INTL(E300,MIN(F300,Reprogramaciones!S$9),11)/NETWORKDAYS.INTL(E300,F300,11)*100,1)))-IF(Reprogramaciones!R$9&lt;E300,0,IF(NETWORKDAYS.INTL(E300,F300,11)=0,IF(Reprogramaciones!R$9&gt;=F300,100,0),ROUND(NETWORKDAYS.INTL(E300,MIN(F300,Reprogramaciones!R$9),11)/NETWORKDAYS.INTL(E300,F300,11)*100,1))))</f>
        <v/>
      </c>
      <c r="P300" s="36" t="str">
        <f aca="false">IF(OR(NOT(AND(ISNUMBER(E300),ISNUMBER(F300))),$J$2=""),"",IF(Reprogramaciones!T$9&lt;E300,0,IF(NETWORKDAYS.INTL(E300,F300,11)=0,IF(Reprogramaciones!T$9&gt;=F300,100,0),ROUND(NETWORKDAYS.INTL(E300,MIN(F300,Reprogramaciones!T$9),11)/NETWORKDAYS.INTL(E300,F300,11)*100,1)))-IF(Reprogramaciones!S$9&lt;E300,0,IF(NETWORKDAYS.INTL(E300,F300,11)=0,IF(Reprogramaciones!S$9&gt;=F300,100,0),ROUND(NETWORKDAYS.INTL(E300,MIN(F300,Reprogramaciones!S$9),11)/NETWORKDAYS.INTL(E300,F300,11)*100,1))))</f>
        <v/>
      </c>
      <c r="Q300" s="37"/>
      <c r="R300" s="37"/>
      <c r="S300" s="37"/>
      <c r="T300" s="37"/>
      <c r="U300" s="37"/>
      <c r="V300" s="37"/>
      <c r="W300" s="37"/>
      <c r="X300" s="37"/>
      <c r="Y300" s="37"/>
      <c r="Z300" s="37"/>
      <c r="AA300" s="37"/>
      <c r="AB300" s="37"/>
      <c r="AC300" s="37"/>
      <c r="AD300" s="37"/>
      <c r="AE300" s="37"/>
      <c r="AF300" s="37"/>
      <c r="AG300" s="38" t="str">
        <f aca="false">IF(AND(ISNUMBER(E300),ISNUMBER(F300)),NETWORKDAYS.INTL(E300,F300,11),"")</f>
        <v/>
      </c>
      <c r="AH300" s="38" t="str">
        <f aca="false">IF(OR(NOT(AND(ISNUMBER(E300),ISNUMBER(F300))),$J$2=""),"",IF(Reprogramaciones!$P$15&lt;Reprogramaciones!$T$15,0,IF(Reprogramaciones!$R$15&gt;10,MIN(100,SUM($G300:$P300)),MIN(100,SUMPRODUCT((COLUMN($G300:$P300)-COLUMN($G300)+1&lt;Reprogramaciones!$R$15)*$G300:$P300)+N(INDEX($G300:$P300,1,Reprogramaciones!$R$15))*IF(Reprogramaciones!$P$15&gt;=(Reprogramaciones!$T$15+7*(Reprogramaciones!$R$15-1))+6,1,IF(MAX(0,NETWORKDAYS.INTL(MAX(E300,(Reprogramaciones!$T$15+7*(Reprogramaciones!$R$15-1))),MIN(F300,(Reprogramaciones!$T$15+7*(Reprogramaciones!$R$15-1))+6),11))=0,0,MAX(0,NETWORKDAYS.INTL(MAX(E300,(Reprogramaciones!$T$15+7*(Reprogramaciones!$R$15-1))),MIN(F300,Reprogramaciones!$P$15),11))/MAX(0,NETWORKDAYS.INTL(MAX(E300,(Reprogramaciones!$T$15+7*(Reprogramaciones!$R$15-1))),MIN(F300,(Reprogramaciones!$T$15+7*(Reprogramaciones!$R$15-1))+6),11))))))))</f>
        <v/>
      </c>
      <c r="AI300" s="38" t="str">
        <f aca="false">IF(COUNT($Q300:$AF300)=0,"",IF(ROUND(SUM($Q300:$AF300),1)&gt;=99.5,100,MIN(100,ROUND(SUM($Q300:$AF300),1))))</f>
        <v/>
      </c>
      <c r="AJ300" s="38" t="str">
        <f aca="false">IF(OR(AH300="",AI300=""),"",AI300-AH300)</f>
        <v/>
      </c>
      <c r="AK300" s="39" t="str">
        <f aca="true">IF(AH300="","",IF(OR(Ficha!$C$10="Suspendida",Ficha!$C$10="Cancelada"),Ficha!$C$10,IF(AND(AI300&lt;&gt;"",N(AI300)&gt;=100),"Completada",IF(AND(E300&gt;TODAY(),N(AI300)=0),"Por iniciar",IF(N(AI300)+0.5&lt;AH300,"Retrasada",IF(N(AI300)+0.5&lt;DA300,IF(Reprogramaciones!$K$15&gt;0,"Al día · Sem "&amp;Reprogramaciones!$K$15&amp;" en curso","Al día · en curso"),"A tiempo"))))))</f>
        <v/>
      </c>
      <c r="AL300" s="39" t="str">
        <f aca="true">IF(AND(A300="",AND(B300="",C300="",E300="",F300="",COUNT(Q300:AF300)=0)),"",IF(AND(B300="",C300="",E300="",F300="",COUNT(Q300:AF300)=0),"Falta la partida o subpartida",IF(AND(A300&lt;&gt;"",COUNTIF($A$6:$A$305,A300)&gt;1),"Ítem repetido",IF(AND(C300="",E300="",F300="",COUNT(Q300:AF300)=0),"Título de partida",IF(OR(E300="",F300=""),"Faltan fechas",IF(OR(ISTEXT(E300),ISTEXT(F300)),"Fecha escrita como texto: usa dd/mm/aaaa",IF(F300&lt;E300,"Fin antes del inicio",IF(IF($J$2="",FALSE(),OR(E300&lt;$J$2,F300&gt;Reprogramaciones!$T$15+69)),"Fuera de las 10 semanas",IF(ABS(SUM(G300:P300)-100)&gt;0.5,"La meta no suma 100%",IF(ROUND(SUM(Q300:AF300),1)&gt;100.5,"El avance pasa de 100%",IF(MIN(Q300:AF300)&lt;0,"Avance negativo",IF(COUNTA(Q300:AF300)&gt;COUNT(Q300:AF300),"Avance escrito como texto",IF(SUMPRODUCT((Q300:AF300&gt;0)*(Q300:AF300&lt;1))&gt;0,"Avance menor a 1: escribe 50, no 50%",IF(SUMPRODUCT(ISNUMBER(Q300:AF300)*(Reprogramaciones!$K$8:$Z$8&gt;TODAY()))&gt;0,"Avance en semana que aún no llega",IF(AND(N(Reprogramaciones!$E$21)&gt;0,F300&gt;Reprogramaciones!$E$21),"Pasa el fin de la obra: registra una reprogramación",IF(AND(N(Reprogramaciones!$E$21)&gt;0,SUMPRODUCT(ISNUMBER(Q300:AF300)*(Reprogramaciones!$K$8:$Z$8&gt;Reprogramaciones!$E$21))&gt;0),"Avance después del fin de la obra: registra una reprogramación por atraso","OK"))))))))))))))))</f>
        <v/>
      </c>
      <c r="AM300" s="40" t="str">
        <f aca="false">IF(OR(OR(NOT(AND(ISNUMBER(E300),ISNUMBER(F300))),$J$2=""),1&gt;MAX(1,Reprogramaciones!$U$15)),"",IF(Reprogramaciones!K$12&gt;=7,"",IF(OR(BT300-N(0)&gt;0.05,N(Q300)&gt;0),ROUNDDOWN(ROUND(BT300,6),0)&amp;"%"&amp;IF(CJ300="",""," / "&amp;CJ300&amp;"%"),IF(AND(N(0)&gt;=99.95,CJ300&lt;&gt;"",N(CJ300)&lt;100),"Pend. "&amp;CJ300&amp;"%",""))))</f>
        <v/>
      </c>
      <c r="AN300" s="40" t="str">
        <f aca="false">IF(OR(OR(NOT(AND(ISNUMBER(E300),ISNUMBER(F300))),$J$2=""),2&gt;MAX(1,Reprogramaciones!$U$15)),"",IF(Reprogramaciones!L$12&gt;=7,"",IF(OR(BU300-N(BT300)&gt;0.05,N(R300)&gt;0),ROUNDDOWN(ROUND(BU300,6),0)&amp;"%"&amp;IF(CK300="",""," / "&amp;CK300&amp;"%"),IF(AND(N(BT300)&gt;=99.95,CK300&lt;&gt;"",N(CK300)&lt;100),"Pend. "&amp;CK300&amp;"%",""))))</f>
        <v/>
      </c>
      <c r="AO300" s="40" t="str">
        <f aca="false">IF(OR(OR(NOT(AND(ISNUMBER(E300),ISNUMBER(F300))),$J$2=""),3&gt;MAX(1,Reprogramaciones!$U$15)),"",IF(Reprogramaciones!M$12&gt;=7,"",IF(OR(BV300-N(BU300)&gt;0.05,N(S300)&gt;0),ROUNDDOWN(ROUND(BV300,6),0)&amp;"%"&amp;IF(CL300="",""," / "&amp;CL300&amp;"%"),IF(AND(N(BU300)&gt;=99.95,CL300&lt;&gt;"",N(CL300)&lt;100),"Pend. "&amp;CL300&amp;"%",""))))</f>
        <v/>
      </c>
      <c r="AP300" s="40" t="str">
        <f aca="false">IF(OR(OR(NOT(AND(ISNUMBER(E300),ISNUMBER(F300))),$J$2=""),4&gt;MAX(1,Reprogramaciones!$U$15)),"",IF(Reprogramaciones!N$12&gt;=7,"",IF(OR(BW300-N(BV300)&gt;0.05,N(T300)&gt;0),ROUNDDOWN(ROUND(BW300,6),0)&amp;"%"&amp;IF(CM300="",""," / "&amp;CM300&amp;"%"),IF(AND(N(BV300)&gt;=99.95,CM300&lt;&gt;"",N(CM300)&lt;100),"Pend. "&amp;CM300&amp;"%",""))))</f>
        <v/>
      </c>
      <c r="AQ300" s="40" t="str">
        <f aca="false">IF(OR(OR(NOT(AND(ISNUMBER(E300),ISNUMBER(F300))),$J$2=""),5&gt;MAX(1,Reprogramaciones!$U$15)),"",IF(Reprogramaciones!O$12&gt;=7,"",IF(OR(BX300-N(BW300)&gt;0.05,N(U300)&gt;0),ROUNDDOWN(ROUND(BX300,6),0)&amp;"%"&amp;IF(CN300="",""," / "&amp;CN300&amp;"%"),IF(AND(N(BW300)&gt;=99.95,CN300&lt;&gt;"",N(CN300)&lt;100),"Pend. "&amp;CN300&amp;"%",""))))</f>
        <v/>
      </c>
      <c r="AR300" s="40" t="str">
        <f aca="false">IF(OR(OR(NOT(AND(ISNUMBER(E300),ISNUMBER(F300))),$J$2=""),6&gt;MAX(1,Reprogramaciones!$U$15)),"",IF(Reprogramaciones!P$12&gt;=7,"",IF(OR(BY300-N(BX300)&gt;0.05,N(V300)&gt;0),ROUNDDOWN(ROUND(BY300,6),0)&amp;"%"&amp;IF(CO300="",""," / "&amp;CO300&amp;"%"),IF(AND(N(BX300)&gt;=99.95,CO300&lt;&gt;"",N(CO300)&lt;100),"Pend. "&amp;CO300&amp;"%",""))))</f>
        <v/>
      </c>
      <c r="AS300" s="40" t="str">
        <f aca="false">IF(OR(OR(NOT(AND(ISNUMBER(E300),ISNUMBER(F300))),$J$2=""),7&gt;MAX(1,Reprogramaciones!$U$15)),"",IF(Reprogramaciones!Q$12&gt;=7,"",IF(OR(BZ300-N(BY300)&gt;0.05,N(W300)&gt;0),ROUNDDOWN(ROUND(BZ300,6),0)&amp;"%"&amp;IF(CP300="",""," / "&amp;CP300&amp;"%"),IF(AND(N(BY300)&gt;=99.95,CP300&lt;&gt;"",N(CP300)&lt;100),"Pend. "&amp;CP300&amp;"%",""))))</f>
        <v/>
      </c>
      <c r="AT300" s="40" t="str">
        <f aca="false">IF(OR(OR(NOT(AND(ISNUMBER(E300),ISNUMBER(F300))),$J$2=""),8&gt;MAX(1,Reprogramaciones!$U$15)),"",IF(Reprogramaciones!R$12&gt;=7,"",IF(OR(CA300-N(BZ300)&gt;0.05,N(X300)&gt;0),ROUNDDOWN(ROUND(CA300,6),0)&amp;"%"&amp;IF(CQ300="",""," / "&amp;CQ300&amp;"%"),IF(AND(N(BZ300)&gt;=99.95,CQ300&lt;&gt;"",N(CQ300)&lt;100),"Pend. "&amp;CQ300&amp;"%",""))))</f>
        <v/>
      </c>
      <c r="AU300" s="40" t="str">
        <f aca="false">IF(OR(OR(NOT(AND(ISNUMBER(E300),ISNUMBER(F300))),$J$2=""),9&gt;MAX(1,Reprogramaciones!$U$15)),"",IF(Reprogramaciones!S$12&gt;=7,"",IF(OR(CB300-N(CA300)&gt;0.05,N(Y300)&gt;0),ROUNDDOWN(ROUND(CB300,6),0)&amp;"%"&amp;IF(CR300="",""," / "&amp;CR300&amp;"%"),IF(AND(N(CA300)&gt;=99.95,CR300&lt;&gt;"",N(CR300)&lt;100),"Pend. "&amp;CR300&amp;"%",""))))</f>
        <v/>
      </c>
      <c r="AV300" s="40" t="str">
        <f aca="false">IF(OR(OR(NOT(AND(ISNUMBER(E300),ISNUMBER(F300))),$J$2=""),10&gt;MAX(1,Reprogramaciones!$U$15)),"",IF(Reprogramaciones!T$12&gt;=7,"",IF(OR(CC300-N(CB300)&gt;0.05,N(Z300)&gt;0),ROUNDDOWN(ROUND(CC300,6),0)&amp;"%"&amp;IF(CS300="",""," / "&amp;CS300&amp;"%"),IF(AND(N(CB300)&gt;=99.95,CS300&lt;&gt;"",N(CS300)&lt;100),"Pend. "&amp;CS300&amp;"%",""))))</f>
        <v/>
      </c>
      <c r="AW300" s="40" t="str">
        <f aca="false">IF(OR(OR(NOT(AND(ISNUMBER(E300),ISNUMBER(F300))),$J$2=""),11&gt;MAX(1,Reprogramaciones!$U$15)),"",IF(Reprogramaciones!U$12&gt;=7,"",IF(OR(CD300-N(CC300)&gt;0.05,N(AA300)&gt;0),ROUNDDOWN(ROUND(CD300,6),0)&amp;"%"&amp;IF(CT300="",""," / "&amp;CT300&amp;"%"),IF(AND(N(CC300)&gt;=99.95,CT300&lt;&gt;"",N(CT300)&lt;100),"Pend. "&amp;CT300&amp;"%",""))))</f>
        <v/>
      </c>
      <c r="AX300" s="40" t="str">
        <f aca="false">IF(OR(OR(NOT(AND(ISNUMBER(E300),ISNUMBER(F300))),$J$2=""),12&gt;MAX(1,Reprogramaciones!$U$15)),"",IF(Reprogramaciones!V$12&gt;=7,"",IF(OR(CE300-N(CD300)&gt;0.05,N(AB300)&gt;0),ROUNDDOWN(ROUND(CE300,6),0)&amp;"%"&amp;IF(CU300="",""," / "&amp;CU300&amp;"%"),IF(AND(N(CD300)&gt;=99.95,CU300&lt;&gt;"",N(CU300)&lt;100),"Pend. "&amp;CU300&amp;"%",""))))</f>
        <v/>
      </c>
      <c r="AY300" s="40" t="str">
        <f aca="false">IF(OR(OR(NOT(AND(ISNUMBER(E300),ISNUMBER(F300))),$J$2=""),13&gt;MAX(1,Reprogramaciones!$U$15)),"",IF(Reprogramaciones!W$12&gt;=7,"",IF(OR(CF300-N(CE300)&gt;0.05,N(AC300)&gt;0),ROUNDDOWN(ROUND(CF300,6),0)&amp;"%"&amp;IF(CV300="",""," / "&amp;CV300&amp;"%"),IF(AND(N(CE300)&gt;=99.95,CV300&lt;&gt;"",N(CV300)&lt;100),"Pend. "&amp;CV300&amp;"%",""))))</f>
        <v/>
      </c>
      <c r="AZ300" s="40" t="str">
        <f aca="false">IF(OR(OR(NOT(AND(ISNUMBER(E300),ISNUMBER(F300))),$J$2=""),14&gt;MAX(1,Reprogramaciones!$U$15)),"",IF(Reprogramaciones!X$12&gt;=7,"",IF(OR(CG300-N(CF300)&gt;0.05,N(AD300)&gt;0),ROUNDDOWN(ROUND(CG300,6),0)&amp;"%"&amp;IF(CW300="",""," / "&amp;CW300&amp;"%"),IF(AND(N(CF300)&gt;=99.95,CW300&lt;&gt;"",N(CW300)&lt;100),"Pend. "&amp;CW300&amp;"%",""))))</f>
        <v/>
      </c>
      <c r="BA300" s="40" t="str">
        <f aca="false">IF(OR(OR(NOT(AND(ISNUMBER(E300),ISNUMBER(F300))),$J$2=""),15&gt;MAX(1,Reprogramaciones!$U$15)),"",IF(Reprogramaciones!Y$12&gt;=7,"",IF(OR(CH300-N(CG300)&gt;0.05,N(AE300)&gt;0),ROUNDDOWN(ROUND(CH300,6),0)&amp;"%"&amp;IF(CX300="",""," / "&amp;CX300&amp;"%"),IF(AND(N(CG300)&gt;=99.95,CX300&lt;&gt;"",N(CX300)&lt;100),"Pend. "&amp;CX300&amp;"%",""))))</f>
        <v/>
      </c>
      <c r="BB300" s="40" t="str">
        <f aca="false">IF(OR(OR(NOT(AND(ISNUMBER(E300),ISNUMBER(F300))),$J$2=""),16&gt;MAX(1,Reprogramaciones!$U$15)),"",IF(Reprogramaciones!Z$12&gt;=7,"",IF(OR(CI300-N(CH300)&gt;0.05,N(AF300)&gt;0),ROUNDDOWN(ROUND(CI300,6),0)&amp;"%"&amp;IF(CY300="",""," / "&amp;CY300&amp;"%"),IF(AND(N(CH300)&gt;=99.95,CY300&lt;&gt;"",N(CY300)&lt;100),"Pend. "&amp;CY300&amp;"%",""))))</f>
        <v/>
      </c>
      <c r="BC300" s="31" t="n">
        <f aca="false">IF(AND(ISNUMBER(E300),ISNUMBER(F300)),MAX(1,NETWORKDAYS.INTL(E300,F300,11)),0)</f>
        <v>0</v>
      </c>
      <c r="BD300" s="1" t="str">
        <f aca="false">IF(OR(NOT(AND(ISNUMBER(E300),ISNUMBER(F300))),$J$2=""),"",MIN(100,ROUND(SUM($G300:G300),1)))</f>
        <v/>
      </c>
      <c r="BE300" s="1" t="str">
        <f aca="false">IF(OR(NOT(AND(ISNUMBER(E300),ISNUMBER(F300))),$J$2=""),"",MIN(100,ROUND(SUM($G300:H300),1)))</f>
        <v/>
      </c>
      <c r="BF300" s="1" t="str">
        <f aca="false">IF(OR(NOT(AND(ISNUMBER(E300),ISNUMBER(F300))),$J$2=""),"",MIN(100,ROUND(SUM($G300:I300),1)))</f>
        <v/>
      </c>
      <c r="BG300" s="1" t="str">
        <f aca="false">IF(OR(NOT(AND(ISNUMBER(E300),ISNUMBER(F300))),$J$2=""),"",MIN(100,ROUND(SUM($G300:J300),1)))</f>
        <v/>
      </c>
      <c r="BH300" s="1" t="str">
        <f aca="false">IF(OR(NOT(AND(ISNUMBER(E300),ISNUMBER(F300))),$J$2=""),"",MIN(100,ROUND(SUM($G300:K300),1)))</f>
        <v/>
      </c>
      <c r="BI300" s="1" t="str">
        <f aca="false">IF(OR(NOT(AND(ISNUMBER(E300),ISNUMBER(F300))),$J$2=""),"",MIN(100,ROUND(SUM($G300:L300),1)))</f>
        <v/>
      </c>
      <c r="BJ300" s="1" t="str">
        <f aca="false">IF(OR(NOT(AND(ISNUMBER(E300),ISNUMBER(F300))),$J$2=""),"",MIN(100,ROUND(SUM($G300:M300),1)))</f>
        <v/>
      </c>
      <c r="BK300" s="1" t="str">
        <f aca="false">IF(OR(NOT(AND(ISNUMBER(E300),ISNUMBER(F300))),$J$2=""),"",MIN(100,ROUND(SUM($G300:N300),1)))</f>
        <v/>
      </c>
      <c r="BL300" s="1" t="str">
        <f aca="false">IF(OR(NOT(AND(ISNUMBER(E300),ISNUMBER(F300))),$J$2=""),"",MIN(100,ROUND(SUM($G300:O300),1)))</f>
        <v/>
      </c>
      <c r="BM300" s="1" t="str">
        <f aca="false">IF(OR(NOT(AND(ISNUMBER(E300),ISNUMBER(F300))),$J$2=""),"",MIN(100,ROUND(SUM($G300:P300),1)))</f>
        <v/>
      </c>
      <c r="BN300" s="1" t="str">
        <f aca="false">IF(OR(NOT(AND(ISNUMBER(E300),ISNUMBER(F300))),$J$2=""),"",MIN(100,ROUND(SUM($G300:P300),1)))</f>
        <v/>
      </c>
      <c r="BO300" s="1" t="str">
        <f aca="false">IF(OR(NOT(AND(ISNUMBER(E300),ISNUMBER(F300))),$J$2=""),"",MIN(100,ROUND(SUM($G300:P300),1)))</f>
        <v/>
      </c>
      <c r="BP300" s="1" t="str">
        <f aca="false">IF(OR(NOT(AND(ISNUMBER(E300),ISNUMBER(F300))),$J$2=""),"",MIN(100,ROUND(SUM($G300:P300),1)))</f>
        <v/>
      </c>
      <c r="BQ300" s="1" t="str">
        <f aca="false">IF(OR(NOT(AND(ISNUMBER(E300),ISNUMBER(F300))),$J$2=""),"",MIN(100,ROUND(SUM($G300:P300),1)))</f>
        <v/>
      </c>
      <c r="BR300" s="1" t="str">
        <f aca="false">IF(OR(NOT(AND(ISNUMBER(E300),ISNUMBER(F300))),$J$2=""),"",MIN(100,ROUND(SUM($G300:P300),1)))</f>
        <v/>
      </c>
      <c r="BS300" s="1" t="str">
        <f aca="false">IF(OR(NOT(AND(ISNUMBER(E300),ISNUMBER(F300))),$J$2=""),"",MIN(100,ROUND(SUM($G300:P300),1)))</f>
        <v/>
      </c>
      <c r="BT300" s="1" t="str">
        <f aca="false">IF(OR(NOT(AND(ISNUMBER(E300),ISNUMBER(F300))),$J$2=""),"",IF(Reprogramaciones!K$13&lt;Reprogramaciones!$T$15,0,IF(Reprogramaciones!K$14&gt;10,MIN(100,SUM($G300:$P300)),MIN(100,SUMPRODUCT((COLUMN($G300:$P300)-COLUMN($G300)+1&lt;Reprogramaciones!K$14)*$G300:$P300)+N(INDEX($G300:$P300,1,Reprogramaciones!K$14))*IF(Reprogramaciones!K$13&gt;=(Reprogramaciones!$T$15+7*(Reprogramaciones!K$14-1))+6,1,IF(MAX(0,NETWORKDAYS.INTL(MAX(E300,(Reprogramaciones!$T$15+7*(Reprogramaciones!K$14-1))),MIN(F300,(Reprogramaciones!$T$15+7*(Reprogramaciones!K$14-1))+6),11))=0,0,MAX(0,NETWORKDAYS.INTL(MAX(E300,(Reprogramaciones!$T$15+7*(Reprogramaciones!K$14-1))),MIN(F300,Reprogramaciones!K$13),11))/MAX(0,NETWORKDAYS.INTL(MAX(E300,(Reprogramaciones!$T$15+7*(Reprogramaciones!K$14-1))),MIN(F300,(Reprogramaciones!$T$15+7*(Reprogramaciones!K$14-1))+6),11))))))))</f>
        <v/>
      </c>
      <c r="BU300" s="1" t="str">
        <f aca="false">IF(OR(NOT(AND(ISNUMBER(E300),ISNUMBER(F300))),$J$2=""),"",IF(Reprogramaciones!L$13&lt;Reprogramaciones!$T$15,0,IF(Reprogramaciones!L$14&gt;10,MIN(100,SUM($G300:$P300)),MIN(100,SUMPRODUCT((COLUMN($G300:$P300)-COLUMN($G300)+1&lt;Reprogramaciones!L$14)*$G300:$P300)+N(INDEX($G300:$P300,1,Reprogramaciones!L$14))*IF(Reprogramaciones!L$13&gt;=(Reprogramaciones!$T$15+7*(Reprogramaciones!L$14-1))+6,1,IF(MAX(0,NETWORKDAYS.INTL(MAX(E300,(Reprogramaciones!$T$15+7*(Reprogramaciones!L$14-1))),MIN(F300,(Reprogramaciones!$T$15+7*(Reprogramaciones!L$14-1))+6),11))=0,0,MAX(0,NETWORKDAYS.INTL(MAX(E300,(Reprogramaciones!$T$15+7*(Reprogramaciones!L$14-1))),MIN(F300,Reprogramaciones!L$13),11))/MAX(0,NETWORKDAYS.INTL(MAX(E300,(Reprogramaciones!$T$15+7*(Reprogramaciones!L$14-1))),MIN(F300,(Reprogramaciones!$T$15+7*(Reprogramaciones!L$14-1))+6),11))))))))</f>
        <v/>
      </c>
      <c r="BV300" s="1" t="str">
        <f aca="false">IF(OR(NOT(AND(ISNUMBER(E300),ISNUMBER(F300))),$J$2=""),"",IF(Reprogramaciones!M$13&lt;Reprogramaciones!$T$15,0,IF(Reprogramaciones!M$14&gt;10,MIN(100,SUM($G300:$P300)),MIN(100,SUMPRODUCT((COLUMN($G300:$P300)-COLUMN($G300)+1&lt;Reprogramaciones!M$14)*$G300:$P300)+N(INDEX($G300:$P300,1,Reprogramaciones!M$14))*IF(Reprogramaciones!M$13&gt;=(Reprogramaciones!$T$15+7*(Reprogramaciones!M$14-1))+6,1,IF(MAX(0,NETWORKDAYS.INTL(MAX(E300,(Reprogramaciones!$T$15+7*(Reprogramaciones!M$14-1))),MIN(F300,(Reprogramaciones!$T$15+7*(Reprogramaciones!M$14-1))+6),11))=0,0,MAX(0,NETWORKDAYS.INTL(MAX(E300,(Reprogramaciones!$T$15+7*(Reprogramaciones!M$14-1))),MIN(F300,Reprogramaciones!M$13),11))/MAX(0,NETWORKDAYS.INTL(MAX(E300,(Reprogramaciones!$T$15+7*(Reprogramaciones!M$14-1))),MIN(F300,(Reprogramaciones!$T$15+7*(Reprogramaciones!M$14-1))+6),11))))))))</f>
        <v/>
      </c>
      <c r="BW300" s="1" t="str">
        <f aca="false">IF(OR(NOT(AND(ISNUMBER(E300),ISNUMBER(F300))),$J$2=""),"",IF(Reprogramaciones!N$13&lt;Reprogramaciones!$T$15,0,IF(Reprogramaciones!N$14&gt;10,MIN(100,SUM($G300:$P300)),MIN(100,SUMPRODUCT((COLUMN($G300:$P300)-COLUMN($G300)+1&lt;Reprogramaciones!N$14)*$G300:$P300)+N(INDEX($G300:$P300,1,Reprogramaciones!N$14))*IF(Reprogramaciones!N$13&gt;=(Reprogramaciones!$T$15+7*(Reprogramaciones!N$14-1))+6,1,IF(MAX(0,NETWORKDAYS.INTL(MAX(E300,(Reprogramaciones!$T$15+7*(Reprogramaciones!N$14-1))),MIN(F300,(Reprogramaciones!$T$15+7*(Reprogramaciones!N$14-1))+6),11))=0,0,MAX(0,NETWORKDAYS.INTL(MAX(E300,(Reprogramaciones!$T$15+7*(Reprogramaciones!N$14-1))),MIN(F300,Reprogramaciones!N$13),11))/MAX(0,NETWORKDAYS.INTL(MAX(E300,(Reprogramaciones!$T$15+7*(Reprogramaciones!N$14-1))),MIN(F300,(Reprogramaciones!$T$15+7*(Reprogramaciones!N$14-1))+6),11))))))))</f>
        <v/>
      </c>
      <c r="BX300" s="1" t="str">
        <f aca="false">IF(OR(NOT(AND(ISNUMBER(E300),ISNUMBER(F300))),$J$2=""),"",IF(Reprogramaciones!O$13&lt;Reprogramaciones!$T$15,0,IF(Reprogramaciones!O$14&gt;10,MIN(100,SUM($G300:$P300)),MIN(100,SUMPRODUCT((COLUMN($G300:$P300)-COLUMN($G300)+1&lt;Reprogramaciones!O$14)*$G300:$P300)+N(INDEX($G300:$P300,1,Reprogramaciones!O$14))*IF(Reprogramaciones!O$13&gt;=(Reprogramaciones!$T$15+7*(Reprogramaciones!O$14-1))+6,1,IF(MAX(0,NETWORKDAYS.INTL(MAX(E300,(Reprogramaciones!$T$15+7*(Reprogramaciones!O$14-1))),MIN(F300,(Reprogramaciones!$T$15+7*(Reprogramaciones!O$14-1))+6),11))=0,0,MAX(0,NETWORKDAYS.INTL(MAX(E300,(Reprogramaciones!$T$15+7*(Reprogramaciones!O$14-1))),MIN(F300,Reprogramaciones!O$13),11))/MAX(0,NETWORKDAYS.INTL(MAX(E300,(Reprogramaciones!$T$15+7*(Reprogramaciones!O$14-1))),MIN(F300,(Reprogramaciones!$T$15+7*(Reprogramaciones!O$14-1))+6),11))))))))</f>
        <v/>
      </c>
      <c r="BY300" s="1" t="str">
        <f aca="false">IF(OR(NOT(AND(ISNUMBER(E300),ISNUMBER(F300))),$J$2=""),"",IF(Reprogramaciones!P$13&lt;Reprogramaciones!$T$15,0,IF(Reprogramaciones!P$14&gt;10,MIN(100,SUM($G300:$P300)),MIN(100,SUMPRODUCT((COLUMN($G300:$P300)-COLUMN($G300)+1&lt;Reprogramaciones!P$14)*$G300:$P300)+N(INDEX($G300:$P300,1,Reprogramaciones!P$14))*IF(Reprogramaciones!P$13&gt;=(Reprogramaciones!$T$15+7*(Reprogramaciones!P$14-1))+6,1,IF(MAX(0,NETWORKDAYS.INTL(MAX(E300,(Reprogramaciones!$T$15+7*(Reprogramaciones!P$14-1))),MIN(F300,(Reprogramaciones!$T$15+7*(Reprogramaciones!P$14-1))+6),11))=0,0,MAX(0,NETWORKDAYS.INTL(MAX(E300,(Reprogramaciones!$T$15+7*(Reprogramaciones!P$14-1))),MIN(F300,Reprogramaciones!P$13),11))/MAX(0,NETWORKDAYS.INTL(MAX(E300,(Reprogramaciones!$T$15+7*(Reprogramaciones!P$14-1))),MIN(F300,(Reprogramaciones!$T$15+7*(Reprogramaciones!P$14-1))+6),11))))))))</f>
        <v/>
      </c>
      <c r="BZ300" s="1" t="str">
        <f aca="false">IF(OR(NOT(AND(ISNUMBER(E300),ISNUMBER(F300))),$J$2=""),"",IF(Reprogramaciones!Q$13&lt;Reprogramaciones!$T$15,0,IF(Reprogramaciones!Q$14&gt;10,MIN(100,SUM($G300:$P300)),MIN(100,SUMPRODUCT((COLUMN($G300:$P300)-COLUMN($G300)+1&lt;Reprogramaciones!Q$14)*$G300:$P300)+N(INDEX($G300:$P300,1,Reprogramaciones!Q$14))*IF(Reprogramaciones!Q$13&gt;=(Reprogramaciones!$T$15+7*(Reprogramaciones!Q$14-1))+6,1,IF(MAX(0,NETWORKDAYS.INTL(MAX(E300,(Reprogramaciones!$T$15+7*(Reprogramaciones!Q$14-1))),MIN(F300,(Reprogramaciones!$T$15+7*(Reprogramaciones!Q$14-1))+6),11))=0,0,MAX(0,NETWORKDAYS.INTL(MAX(E300,(Reprogramaciones!$T$15+7*(Reprogramaciones!Q$14-1))),MIN(F300,Reprogramaciones!Q$13),11))/MAX(0,NETWORKDAYS.INTL(MAX(E300,(Reprogramaciones!$T$15+7*(Reprogramaciones!Q$14-1))),MIN(F300,(Reprogramaciones!$T$15+7*(Reprogramaciones!Q$14-1))+6),11))))))))</f>
        <v/>
      </c>
      <c r="CA300" s="1" t="str">
        <f aca="false">IF(OR(NOT(AND(ISNUMBER(E300),ISNUMBER(F300))),$J$2=""),"",IF(Reprogramaciones!R$13&lt;Reprogramaciones!$T$15,0,IF(Reprogramaciones!R$14&gt;10,MIN(100,SUM($G300:$P300)),MIN(100,SUMPRODUCT((COLUMN($G300:$P300)-COLUMN($G300)+1&lt;Reprogramaciones!R$14)*$G300:$P300)+N(INDEX($G300:$P300,1,Reprogramaciones!R$14))*IF(Reprogramaciones!R$13&gt;=(Reprogramaciones!$T$15+7*(Reprogramaciones!R$14-1))+6,1,IF(MAX(0,NETWORKDAYS.INTL(MAX(E300,(Reprogramaciones!$T$15+7*(Reprogramaciones!R$14-1))),MIN(F300,(Reprogramaciones!$T$15+7*(Reprogramaciones!R$14-1))+6),11))=0,0,MAX(0,NETWORKDAYS.INTL(MAX(E300,(Reprogramaciones!$T$15+7*(Reprogramaciones!R$14-1))),MIN(F300,Reprogramaciones!R$13),11))/MAX(0,NETWORKDAYS.INTL(MAX(E300,(Reprogramaciones!$T$15+7*(Reprogramaciones!R$14-1))),MIN(F300,(Reprogramaciones!$T$15+7*(Reprogramaciones!R$14-1))+6),11))))))))</f>
        <v/>
      </c>
      <c r="CB300" s="1" t="str">
        <f aca="false">IF(OR(NOT(AND(ISNUMBER(E300),ISNUMBER(F300))),$J$2=""),"",IF(Reprogramaciones!S$13&lt;Reprogramaciones!$T$15,0,IF(Reprogramaciones!S$14&gt;10,MIN(100,SUM($G300:$P300)),MIN(100,SUMPRODUCT((COLUMN($G300:$P300)-COLUMN($G300)+1&lt;Reprogramaciones!S$14)*$G300:$P300)+N(INDEX($G300:$P300,1,Reprogramaciones!S$14))*IF(Reprogramaciones!S$13&gt;=(Reprogramaciones!$T$15+7*(Reprogramaciones!S$14-1))+6,1,IF(MAX(0,NETWORKDAYS.INTL(MAX(E300,(Reprogramaciones!$T$15+7*(Reprogramaciones!S$14-1))),MIN(F300,(Reprogramaciones!$T$15+7*(Reprogramaciones!S$14-1))+6),11))=0,0,MAX(0,NETWORKDAYS.INTL(MAX(E300,(Reprogramaciones!$T$15+7*(Reprogramaciones!S$14-1))),MIN(F300,Reprogramaciones!S$13),11))/MAX(0,NETWORKDAYS.INTL(MAX(E300,(Reprogramaciones!$T$15+7*(Reprogramaciones!S$14-1))),MIN(F300,(Reprogramaciones!$T$15+7*(Reprogramaciones!S$14-1))+6),11))))))))</f>
        <v/>
      </c>
      <c r="CC300" s="1" t="str">
        <f aca="false">IF(OR(NOT(AND(ISNUMBER(E300),ISNUMBER(F300))),$J$2=""),"",IF(Reprogramaciones!T$13&lt;Reprogramaciones!$T$15,0,IF(Reprogramaciones!T$14&gt;10,MIN(100,SUM($G300:$P300)),MIN(100,SUMPRODUCT((COLUMN($G300:$P300)-COLUMN($G300)+1&lt;Reprogramaciones!T$14)*$G300:$P300)+N(INDEX($G300:$P300,1,Reprogramaciones!T$14))*IF(Reprogramaciones!T$13&gt;=(Reprogramaciones!$T$15+7*(Reprogramaciones!T$14-1))+6,1,IF(MAX(0,NETWORKDAYS.INTL(MAX(E300,(Reprogramaciones!$T$15+7*(Reprogramaciones!T$14-1))),MIN(F300,(Reprogramaciones!$T$15+7*(Reprogramaciones!T$14-1))+6),11))=0,0,MAX(0,NETWORKDAYS.INTL(MAX(E300,(Reprogramaciones!$T$15+7*(Reprogramaciones!T$14-1))),MIN(F300,Reprogramaciones!T$13),11))/MAX(0,NETWORKDAYS.INTL(MAX(E300,(Reprogramaciones!$T$15+7*(Reprogramaciones!T$14-1))),MIN(F300,(Reprogramaciones!$T$15+7*(Reprogramaciones!T$14-1))+6),11))))))))</f>
        <v/>
      </c>
      <c r="CD300" s="1" t="str">
        <f aca="false">IF(OR(NOT(AND(ISNUMBER(E300),ISNUMBER(F300))),$J$2=""),"",IF(Reprogramaciones!U$13&lt;Reprogramaciones!$T$15,0,IF(Reprogramaciones!U$14&gt;10,MIN(100,SUM($G300:$P300)),MIN(100,SUMPRODUCT((COLUMN($G300:$P300)-COLUMN($G300)+1&lt;Reprogramaciones!U$14)*$G300:$P300)+N(INDEX($G300:$P300,1,Reprogramaciones!U$14))*IF(Reprogramaciones!U$13&gt;=(Reprogramaciones!$T$15+7*(Reprogramaciones!U$14-1))+6,1,IF(MAX(0,NETWORKDAYS.INTL(MAX(E300,(Reprogramaciones!$T$15+7*(Reprogramaciones!U$14-1))),MIN(F300,(Reprogramaciones!$T$15+7*(Reprogramaciones!U$14-1))+6),11))=0,0,MAX(0,NETWORKDAYS.INTL(MAX(E300,(Reprogramaciones!$T$15+7*(Reprogramaciones!U$14-1))),MIN(F300,Reprogramaciones!U$13),11))/MAX(0,NETWORKDAYS.INTL(MAX(E300,(Reprogramaciones!$T$15+7*(Reprogramaciones!U$14-1))),MIN(F300,(Reprogramaciones!$T$15+7*(Reprogramaciones!U$14-1))+6),11))))))))</f>
        <v/>
      </c>
      <c r="CE300" s="1" t="str">
        <f aca="false">IF(OR(NOT(AND(ISNUMBER(E300),ISNUMBER(F300))),$J$2=""),"",IF(Reprogramaciones!V$13&lt;Reprogramaciones!$T$15,0,IF(Reprogramaciones!V$14&gt;10,MIN(100,SUM($G300:$P300)),MIN(100,SUMPRODUCT((COLUMN($G300:$P300)-COLUMN($G300)+1&lt;Reprogramaciones!V$14)*$G300:$P300)+N(INDEX($G300:$P300,1,Reprogramaciones!V$14))*IF(Reprogramaciones!V$13&gt;=(Reprogramaciones!$T$15+7*(Reprogramaciones!V$14-1))+6,1,IF(MAX(0,NETWORKDAYS.INTL(MAX(E300,(Reprogramaciones!$T$15+7*(Reprogramaciones!V$14-1))),MIN(F300,(Reprogramaciones!$T$15+7*(Reprogramaciones!V$14-1))+6),11))=0,0,MAX(0,NETWORKDAYS.INTL(MAX(E300,(Reprogramaciones!$T$15+7*(Reprogramaciones!V$14-1))),MIN(F300,Reprogramaciones!V$13),11))/MAX(0,NETWORKDAYS.INTL(MAX(E300,(Reprogramaciones!$T$15+7*(Reprogramaciones!V$14-1))),MIN(F300,(Reprogramaciones!$T$15+7*(Reprogramaciones!V$14-1))+6),11))))))))</f>
        <v/>
      </c>
      <c r="CF300" s="1" t="str">
        <f aca="false">IF(OR(NOT(AND(ISNUMBER(E300),ISNUMBER(F300))),$J$2=""),"",IF(Reprogramaciones!W$13&lt;Reprogramaciones!$T$15,0,IF(Reprogramaciones!W$14&gt;10,MIN(100,SUM($G300:$P300)),MIN(100,SUMPRODUCT((COLUMN($G300:$P300)-COLUMN($G300)+1&lt;Reprogramaciones!W$14)*$G300:$P300)+N(INDEX($G300:$P300,1,Reprogramaciones!W$14))*IF(Reprogramaciones!W$13&gt;=(Reprogramaciones!$T$15+7*(Reprogramaciones!W$14-1))+6,1,IF(MAX(0,NETWORKDAYS.INTL(MAX(E300,(Reprogramaciones!$T$15+7*(Reprogramaciones!W$14-1))),MIN(F300,(Reprogramaciones!$T$15+7*(Reprogramaciones!W$14-1))+6),11))=0,0,MAX(0,NETWORKDAYS.INTL(MAX(E300,(Reprogramaciones!$T$15+7*(Reprogramaciones!W$14-1))),MIN(F300,Reprogramaciones!W$13),11))/MAX(0,NETWORKDAYS.INTL(MAX(E300,(Reprogramaciones!$T$15+7*(Reprogramaciones!W$14-1))),MIN(F300,(Reprogramaciones!$T$15+7*(Reprogramaciones!W$14-1))+6),11))))))))</f>
        <v/>
      </c>
      <c r="CG300" s="1" t="str">
        <f aca="false">IF(OR(NOT(AND(ISNUMBER(E300),ISNUMBER(F300))),$J$2=""),"",IF(Reprogramaciones!X$13&lt;Reprogramaciones!$T$15,0,IF(Reprogramaciones!X$14&gt;10,MIN(100,SUM($G300:$P300)),MIN(100,SUMPRODUCT((COLUMN($G300:$P300)-COLUMN($G300)+1&lt;Reprogramaciones!X$14)*$G300:$P300)+N(INDEX($G300:$P300,1,Reprogramaciones!X$14))*IF(Reprogramaciones!X$13&gt;=(Reprogramaciones!$T$15+7*(Reprogramaciones!X$14-1))+6,1,IF(MAX(0,NETWORKDAYS.INTL(MAX(E300,(Reprogramaciones!$T$15+7*(Reprogramaciones!X$14-1))),MIN(F300,(Reprogramaciones!$T$15+7*(Reprogramaciones!X$14-1))+6),11))=0,0,MAX(0,NETWORKDAYS.INTL(MAX(E300,(Reprogramaciones!$T$15+7*(Reprogramaciones!X$14-1))),MIN(F300,Reprogramaciones!X$13),11))/MAX(0,NETWORKDAYS.INTL(MAX(E300,(Reprogramaciones!$T$15+7*(Reprogramaciones!X$14-1))),MIN(F300,(Reprogramaciones!$T$15+7*(Reprogramaciones!X$14-1))+6),11))))))))</f>
        <v/>
      </c>
      <c r="CH300" s="1" t="str">
        <f aca="false">IF(OR(NOT(AND(ISNUMBER(E300),ISNUMBER(F300))),$J$2=""),"",IF(Reprogramaciones!Y$13&lt;Reprogramaciones!$T$15,0,IF(Reprogramaciones!Y$14&gt;10,MIN(100,SUM($G300:$P300)),MIN(100,SUMPRODUCT((COLUMN($G300:$P300)-COLUMN($G300)+1&lt;Reprogramaciones!Y$14)*$G300:$P300)+N(INDEX($G300:$P300,1,Reprogramaciones!Y$14))*IF(Reprogramaciones!Y$13&gt;=(Reprogramaciones!$T$15+7*(Reprogramaciones!Y$14-1))+6,1,IF(MAX(0,NETWORKDAYS.INTL(MAX(E300,(Reprogramaciones!$T$15+7*(Reprogramaciones!Y$14-1))),MIN(F300,(Reprogramaciones!$T$15+7*(Reprogramaciones!Y$14-1))+6),11))=0,0,MAX(0,NETWORKDAYS.INTL(MAX(E300,(Reprogramaciones!$T$15+7*(Reprogramaciones!Y$14-1))),MIN(F300,Reprogramaciones!Y$13),11))/MAX(0,NETWORKDAYS.INTL(MAX(E300,(Reprogramaciones!$T$15+7*(Reprogramaciones!Y$14-1))),MIN(F300,(Reprogramaciones!$T$15+7*(Reprogramaciones!Y$14-1))+6),11))))))))</f>
        <v/>
      </c>
      <c r="CI300" s="1" t="str">
        <f aca="false">IF(OR(NOT(AND(ISNUMBER(E300),ISNUMBER(F300))),$J$2=""),"",IF(Reprogramaciones!Z$13&lt;Reprogramaciones!$T$15,0,IF(Reprogramaciones!Z$14&gt;10,MIN(100,SUM($G300:$P300)),MIN(100,SUMPRODUCT((COLUMN($G300:$P300)-COLUMN($G300)+1&lt;Reprogramaciones!Z$14)*$G300:$P300)+N(INDEX($G300:$P300,1,Reprogramaciones!Z$14))*IF(Reprogramaciones!Z$13&gt;=(Reprogramaciones!$T$15+7*(Reprogramaciones!Z$14-1))+6,1,IF(MAX(0,NETWORKDAYS.INTL(MAX(E300,(Reprogramaciones!$T$15+7*(Reprogramaciones!Z$14-1))),MIN(F300,(Reprogramaciones!$T$15+7*(Reprogramaciones!Z$14-1))+6),11))=0,0,MAX(0,NETWORKDAYS.INTL(MAX(E300,(Reprogramaciones!$T$15+7*(Reprogramaciones!Z$14-1))),MIN(F300,Reprogramaciones!Z$13),11))/MAX(0,NETWORKDAYS.INTL(MAX(E300,(Reprogramaciones!$T$15+7*(Reprogramaciones!Z$14-1))),MIN(F300,(Reprogramaciones!$T$15+7*(Reprogramaciones!Z$14-1))+6),11))))))))</f>
        <v/>
      </c>
      <c r="CJ300" s="1" t="str">
        <f aca="false">IF(OR(OR(NOT(AND(ISNUMBER(E300),ISNUMBER(F300))),$J$2=""),1&gt;Reprogramaciones!$K$16),"",IF(ROUND(SUM($Q300:Q300),1)&gt;=99.5,100,MIN(100,ROUND(SUM($Q300:Q300),1))))</f>
        <v/>
      </c>
      <c r="CK300" s="1" t="str">
        <f aca="false">IF(OR(OR(NOT(AND(ISNUMBER(E300),ISNUMBER(F300))),$J$2=""),2&gt;Reprogramaciones!$K$16),"",IF(ROUND(SUM($Q300:R300),1)&gt;=99.5,100,MIN(100,ROUND(SUM($Q300:R300),1))))</f>
        <v/>
      </c>
      <c r="CL300" s="1" t="str">
        <f aca="false">IF(OR(OR(NOT(AND(ISNUMBER(E300),ISNUMBER(F300))),$J$2=""),3&gt;Reprogramaciones!$K$16),"",IF(ROUND(SUM($Q300:S300),1)&gt;=99.5,100,MIN(100,ROUND(SUM($Q300:S300),1))))</f>
        <v/>
      </c>
      <c r="CM300" s="1" t="str">
        <f aca="false">IF(OR(OR(NOT(AND(ISNUMBER(E300),ISNUMBER(F300))),$J$2=""),4&gt;Reprogramaciones!$K$16),"",IF(ROUND(SUM($Q300:T300),1)&gt;=99.5,100,MIN(100,ROUND(SUM($Q300:T300),1))))</f>
        <v/>
      </c>
      <c r="CN300" s="1" t="str">
        <f aca="false">IF(OR(OR(NOT(AND(ISNUMBER(E300),ISNUMBER(F300))),$J$2=""),5&gt;Reprogramaciones!$K$16),"",IF(ROUND(SUM($Q300:U300),1)&gt;=99.5,100,MIN(100,ROUND(SUM($Q300:U300),1))))</f>
        <v/>
      </c>
      <c r="CO300" s="1" t="str">
        <f aca="false">IF(OR(OR(NOT(AND(ISNUMBER(E300),ISNUMBER(F300))),$J$2=""),6&gt;Reprogramaciones!$K$16),"",IF(ROUND(SUM($Q300:V300),1)&gt;=99.5,100,MIN(100,ROUND(SUM($Q300:V300),1))))</f>
        <v/>
      </c>
      <c r="CP300" s="1" t="str">
        <f aca="false">IF(OR(OR(NOT(AND(ISNUMBER(E300),ISNUMBER(F300))),$J$2=""),7&gt;Reprogramaciones!$K$16),"",IF(ROUND(SUM($Q300:W300),1)&gt;=99.5,100,MIN(100,ROUND(SUM($Q300:W300),1))))</f>
        <v/>
      </c>
      <c r="CQ300" s="1" t="str">
        <f aca="false">IF(OR(OR(NOT(AND(ISNUMBER(E300),ISNUMBER(F300))),$J$2=""),8&gt;Reprogramaciones!$K$16),"",IF(ROUND(SUM($Q300:X300),1)&gt;=99.5,100,MIN(100,ROUND(SUM($Q300:X300),1))))</f>
        <v/>
      </c>
      <c r="CR300" s="1" t="str">
        <f aca="false">IF(OR(OR(NOT(AND(ISNUMBER(E300),ISNUMBER(F300))),$J$2=""),9&gt;Reprogramaciones!$K$16),"",IF(ROUND(SUM($Q300:Y300),1)&gt;=99.5,100,MIN(100,ROUND(SUM($Q300:Y300),1))))</f>
        <v/>
      </c>
      <c r="CS300" s="1" t="str">
        <f aca="false">IF(OR(OR(NOT(AND(ISNUMBER(E300),ISNUMBER(F300))),$J$2=""),10&gt;Reprogramaciones!$K$16),"",IF(ROUND(SUM($Q300:Z300),1)&gt;=99.5,100,MIN(100,ROUND(SUM($Q300:Z300),1))))</f>
        <v/>
      </c>
      <c r="CT300" s="1" t="str">
        <f aca="false">IF(OR(OR(NOT(AND(ISNUMBER(E300),ISNUMBER(F300))),$J$2=""),11&gt;Reprogramaciones!$K$16),"",IF(ROUND(SUM($Q300:AA300),1)&gt;=99.5,100,MIN(100,ROUND(SUM($Q300:AA300),1))))</f>
        <v/>
      </c>
      <c r="CU300" s="1" t="str">
        <f aca="false">IF(OR(OR(NOT(AND(ISNUMBER(E300),ISNUMBER(F300))),$J$2=""),12&gt;Reprogramaciones!$K$16),"",IF(ROUND(SUM($Q300:AB300),1)&gt;=99.5,100,MIN(100,ROUND(SUM($Q300:AB300),1))))</f>
        <v/>
      </c>
      <c r="CV300" s="1" t="str">
        <f aca="false">IF(OR(OR(NOT(AND(ISNUMBER(E300),ISNUMBER(F300))),$J$2=""),13&gt;Reprogramaciones!$K$16),"",IF(ROUND(SUM($Q300:AC300),1)&gt;=99.5,100,MIN(100,ROUND(SUM($Q300:AC300),1))))</f>
        <v/>
      </c>
      <c r="CW300" s="1" t="str">
        <f aca="false">IF(OR(OR(NOT(AND(ISNUMBER(E300),ISNUMBER(F300))),$J$2=""),14&gt;Reprogramaciones!$K$16),"",IF(ROUND(SUM($Q300:AD300),1)&gt;=99.5,100,MIN(100,ROUND(SUM($Q300:AD300),1))))</f>
        <v/>
      </c>
      <c r="CX300" s="1" t="str">
        <f aca="false">IF(OR(OR(NOT(AND(ISNUMBER(E300),ISNUMBER(F300))),$J$2=""),15&gt;Reprogramaciones!$K$16),"",IF(ROUND(SUM($Q300:AE300),1)&gt;=99.5,100,MIN(100,ROUND(SUM($Q300:AE300),1))))</f>
        <v/>
      </c>
      <c r="CY300" s="1" t="str">
        <f aca="false">IF(OR(OR(NOT(AND(ISNUMBER(E300),ISNUMBER(F300))),$J$2=""),16&gt;Reprogramaciones!$K$16),"",IF(ROUND(SUM($Q300:AF300),1)&gt;=99.5,100,MIN(100,ROUND(SUM($Q300:AF300),1))))</f>
        <v/>
      </c>
      <c r="CZ300" s="1" t="str">
        <f aca="false">IF(D300&lt;&gt;"",D300,IF(B300&lt;&gt;"","Contractual",CZ299))</f>
        <v>Contractual</v>
      </c>
      <c r="DA300" s="1" t="str">
        <f aca="false">IF(OR(NOT(AND(ISNUMBER(E300),ISNUMBER(F300))),$J$2=""),"",IF(Reprogramaciones!$Q$15&lt;Reprogramaciones!$T$15,0,IF(Reprogramaciones!$S$15&gt;10,MIN(100,SUM($G300:$P300)),MIN(100,SUMPRODUCT((COLUMN($G300:$P300)-COLUMN($G300)+1&lt;Reprogramaciones!$S$15)*$G300:$P300)+N(INDEX($G300:$P300,1,Reprogramaciones!$S$15))*IF(Reprogramaciones!$Q$15&gt;=(Reprogramaciones!$T$15+7*(Reprogramaciones!$S$15-1))+6,1,IF(MAX(0,NETWORKDAYS.INTL(MAX(E300,(Reprogramaciones!$T$15+7*(Reprogramaciones!$S$15-1))),MIN(F300,(Reprogramaciones!$T$15+7*(Reprogramaciones!$S$15-1))+6),11))=0,0,MAX(0,NETWORKDAYS.INTL(MAX(E300,(Reprogramaciones!$T$15+7*(Reprogramaciones!$S$15-1))),MIN(F300,Reprogramaciones!$Q$15),11))/MAX(0,NETWORKDAYS.INTL(MAX(E300,(Reprogramaciones!$T$15+7*(Reprogramaciones!$S$15-1))),MIN(F300,(Reprogramaciones!$T$15+7*(Reprogramaciones!$S$15-1))+6),11))))))))</f>
        <v/>
      </c>
    </row>
    <row r="301" customFormat="false" ht="15" hidden="false" customHeight="false" outlineLevel="0" collapsed="false">
      <c r="A301" s="32"/>
      <c r="B301" s="33"/>
      <c r="C301" s="33"/>
      <c r="D301" s="34"/>
      <c r="E301" s="35"/>
      <c r="F301" s="35"/>
      <c r="G301" s="36" t="str">
        <f aca="false">IF(OR(NOT(AND(ISNUMBER(E301),ISNUMBER(F301))),$J$2=""),"",IF(Reprogramaciones!K$9&lt;E301,0,IF(NETWORKDAYS.INTL(E301,F301,11)=0,IF(Reprogramaciones!K$9&gt;=F301,100,0),ROUND(NETWORKDAYS.INTL(E301,MIN(F301,Reprogramaciones!K$9),11)/NETWORKDAYS.INTL(E301,F301,11)*100,1)))-0)</f>
        <v/>
      </c>
      <c r="H301" s="36" t="str">
        <f aca="false">IF(OR(NOT(AND(ISNUMBER(E301),ISNUMBER(F301))),$J$2=""),"",IF(Reprogramaciones!L$9&lt;E301,0,IF(NETWORKDAYS.INTL(E301,F301,11)=0,IF(Reprogramaciones!L$9&gt;=F301,100,0),ROUND(NETWORKDAYS.INTL(E301,MIN(F301,Reprogramaciones!L$9),11)/NETWORKDAYS.INTL(E301,F301,11)*100,1)))-IF(Reprogramaciones!K$9&lt;E301,0,IF(NETWORKDAYS.INTL(E301,F301,11)=0,IF(Reprogramaciones!K$9&gt;=F301,100,0),ROUND(NETWORKDAYS.INTL(E301,MIN(F301,Reprogramaciones!K$9),11)/NETWORKDAYS.INTL(E301,F301,11)*100,1))))</f>
        <v/>
      </c>
      <c r="I301" s="36" t="str">
        <f aca="false">IF(OR(NOT(AND(ISNUMBER(E301),ISNUMBER(F301))),$J$2=""),"",IF(Reprogramaciones!M$9&lt;E301,0,IF(NETWORKDAYS.INTL(E301,F301,11)=0,IF(Reprogramaciones!M$9&gt;=F301,100,0),ROUND(NETWORKDAYS.INTL(E301,MIN(F301,Reprogramaciones!M$9),11)/NETWORKDAYS.INTL(E301,F301,11)*100,1)))-IF(Reprogramaciones!L$9&lt;E301,0,IF(NETWORKDAYS.INTL(E301,F301,11)=0,IF(Reprogramaciones!L$9&gt;=F301,100,0),ROUND(NETWORKDAYS.INTL(E301,MIN(F301,Reprogramaciones!L$9),11)/NETWORKDAYS.INTL(E301,F301,11)*100,1))))</f>
        <v/>
      </c>
      <c r="J301" s="36" t="str">
        <f aca="false">IF(OR(NOT(AND(ISNUMBER(E301),ISNUMBER(F301))),$J$2=""),"",IF(Reprogramaciones!N$9&lt;E301,0,IF(NETWORKDAYS.INTL(E301,F301,11)=0,IF(Reprogramaciones!N$9&gt;=F301,100,0),ROUND(NETWORKDAYS.INTL(E301,MIN(F301,Reprogramaciones!N$9),11)/NETWORKDAYS.INTL(E301,F301,11)*100,1)))-IF(Reprogramaciones!M$9&lt;E301,0,IF(NETWORKDAYS.INTL(E301,F301,11)=0,IF(Reprogramaciones!M$9&gt;=F301,100,0),ROUND(NETWORKDAYS.INTL(E301,MIN(F301,Reprogramaciones!M$9),11)/NETWORKDAYS.INTL(E301,F301,11)*100,1))))</f>
        <v/>
      </c>
      <c r="K301" s="36" t="str">
        <f aca="false">IF(OR(NOT(AND(ISNUMBER(E301),ISNUMBER(F301))),$J$2=""),"",IF(Reprogramaciones!O$9&lt;E301,0,IF(NETWORKDAYS.INTL(E301,F301,11)=0,IF(Reprogramaciones!O$9&gt;=F301,100,0),ROUND(NETWORKDAYS.INTL(E301,MIN(F301,Reprogramaciones!O$9),11)/NETWORKDAYS.INTL(E301,F301,11)*100,1)))-IF(Reprogramaciones!N$9&lt;E301,0,IF(NETWORKDAYS.INTL(E301,F301,11)=0,IF(Reprogramaciones!N$9&gt;=F301,100,0),ROUND(NETWORKDAYS.INTL(E301,MIN(F301,Reprogramaciones!N$9),11)/NETWORKDAYS.INTL(E301,F301,11)*100,1))))</f>
        <v/>
      </c>
      <c r="L301" s="36" t="str">
        <f aca="false">IF(OR(NOT(AND(ISNUMBER(E301),ISNUMBER(F301))),$J$2=""),"",IF(Reprogramaciones!P$9&lt;E301,0,IF(NETWORKDAYS.INTL(E301,F301,11)=0,IF(Reprogramaciones!P$9&gt;=F301,100,0),ROUND(NETWORKDAYS.INTL(E301,MIN(F301,Reprogramaciones!P$9),11)/NETWORKDAYS.INTL(E301,F301,11)*100,1)))-IF(Reprogramaciones!O$9&lt;E301,0,IF(NETWORKDAYS.INTL(E301,F301,11)=0,IF(Reprogramaciones!O$9&gt;=F301,100,0),ROUND(NETWORKDAYS.INTL(E301,MIN(F301,Reprogramaciones!O$9),11)/NETWORKDAYS.INTL(E301,F301,11)*100,1))))</f>
        <v/>
      </c>
      <c r="M301" s="36" t="str">
        <f aca="false">IF(OR(NOT(AND(ISNUMBER(E301),ISNUMBER(F301))),$J$2=""),"",IF(Reprogramaciones!Q$9&lt;E301,0,IF(NETWORKDAYS.INTL(E301,F301,11)=0,IF(Reprogramaciones!Q$9&gt;=F301,100,0),ROUND(NETWORKDAYS.INTL(E301,MIN(F301,Reprogramaciones!Q$9),11)/NETWORKDAYS.INTL(E301,F301,11)*100,1)))-IF(Reprogramaciones!P$9&lt;E301,0,IF(NETWORKDAYS.INTL(E301,F301,11)=0,IF(Reprogramaciones!P$9&gt;=F301,100,0),ROUND(NETWORKDAYS.INTL(E301,MIN(F301,Reprogramaciones!P$9),11)/NETWORKDAYS.INTL(E301,F301,11)*100,1))))</f>
        <v/>
      </c>
      <c r="N301" s="36" t="str">
        <f aca="false">IF(OR(NOT(AND(ISNUMBER(E301),ISNUMBER(F301))),$J$2=""),"",IF(Reprogramaciones!R$9&lt;E301,0,IF(NETWORKDAYS.INTL(E301,F301,11)=0,IF(Reprogramaciones!R$9&gt;=F301,100,0),ROUND(NETWORKDAYS.INTL(E301,MIN(F301,Reprogramaciones!R$9),11)/NETWORKDAYS.INTL(E301,F301,11)*100,1)))-IF(Reprogramaciones!Q$9&lt;E301,0,IF(NETWORKDAYS.INTL(E301,F301,11)=0,IF(Reprogramaciones!Q$9&gt;=F301,100,0),ROUND(NETWORKDAYS.INTL(E301,MIN(F301,Reprogramaciones!Q$9),11)/NETWORKDAYS.INTL(E301,F301,11)*100,1))))</f>
        <v/>
      </c>
      <c r="O301" s="36" t="str">
        <f aca="false">IF(OR(NOT(AND(ISNUMBER(E301),ISNUMBER(F301))),$J$2=""),"",IF(Reprogramaciones!S$9&lt;E301,0,IF(NETWORKDAYS.INTL(E301,F301,11)=0,IF(Reprogramaciones!S$9&gt;=F301,100,0),ROUND(NETWORKDAYS.INTL(E301,MIN(F301,Reprogramaciones!S$9),11)/NETWORKDAYS.INTL(E301,F301,11)*100,1)))-IF(Reprogramaciones!R$9&lt;E301,0,IF(NETWORKDAYS.INTL(E301,F301,11)=0,IF(Reprogramaciones!R$9&gt;=F301,100,0),ROUND(NETWORKDAYS.INTL(E301,MIN(F301,Reprogramaciones!R$9),11)/NETWORKDAYS.INTL(E301,F301,11)*100,1))))</f>
        <v/>
      </c>
      <c r="P301" s="36" t="str">
        <f aca="false">IF(OR(NOT(AND(ISNUMBER(E301),ISNUMBER(F301))),$J$2=""),"",IF(Reprogramaciones!T$9&lt;E301,0,IF(NETWORKDAYS.INTL(E301,F301,11)=0,IF(Reprogramaciones!T$9&gt;=F301,100,0),ROUND(NETWORKDAYS.INTL(E301,MIN(F301,Reprogramaciones!T$9),11)/NETWORKDAYS.INTL(E301,F301,11)*100,1)))-IF(Reprogramaciones!S$9&lt;E301,0,IF(NETWORKDAYS.INTL(E301,F301,11)=0,IF(Reprogramaciones!S$9&gt;=F301,100,0),ROUND(NETWORKDAYS.INTL(E301,MIN(F301,Reprogramaciones!S$9),11)/NETWORKDAYS.INTL(E301,F301,11)*100,1))))</f>
        <v/>
      </c>
      <c r="Q301" s="37"/>
      <c r="R301" s="37"/>
      <c r="S301" s="37"/>
      <c r="T301" s="37"/>
      <c r="U301" s="37"/>
      <c r="V301" s="37"/>
      <c r="W301" s="37"/>
      <c r="X301" s="37"/>
      <c r="Y301" s="37"/>
      <c r="Z301" s="37"/>
      <c r="AA301" s="37"/>
      <c r="AB301" s="37"/>
      <c r="AC301" s="37"/>
      <c r="AD301" s="37"/>
      <c r="AE301" s="37"/>
      <c r="AF301" s="37"/>
      <c r="AG301" s="38" t="str">
        <f aca="false">IF(AND(ISNUMBER(E301),ISNUMBER(F301)),NETWORKDAYS.INTL(E301,F301,11),"")</f>
        <v/>
      </c>
      <c r="AH301" s="38" t="str">
        <f aca="false">IF(OR(NOT(AND(ISNUMBER(E301),ISNUMBER(F301))),$J$2=""),"",IF(Reprogramaciones!$P$15&lt;Reprogramaciones!$T$15,0,IF(Reprogramaciones!$R$15&gt;10,MIN(100,SUM($G301:$P301)),MIN(100,SUMPRODUCT((COLUMN($G301:$P301)-COLUMN($G301)+1&lt;Reprogramaciones!$R$15)*$G301:$P301)+N(INDEX($G301:$P301,1,Reprogramaciones!$R$15))*IF(Reprogramaciones!$P$15&gt;=(Reprogramaciones!$T$15+7*(Reprogramaciones!$R$15-1))+6,1,IF(MAX(0,NETWORKDAYS.INTL(MAX(E301,(Reprogramaciones!$T$15+7*(Reprogramaciones!$R$15-1))),MIN(F301,(Reprogramaciones!$T$15+7*(Reprogramaciones!$R$15-1))+6),11))=0,0,MAX(0,NETWORKDAYS.INTL(MAX(E301,(Reprogramaciones!$T$15+7*(Reprogramaciones!$R$15-1))),MIN(F301,Reprogramaciones!$P$15),11))/MAX(0,NETWORKDAYS.INTL(MAX(E301,(Reprogramaciones!$T$15+7*(Reprogramaciones!$R$15-1))),MIN(F301,(Reprogramaciones!$T$15+7*(Reprogramaciones!$R$15-1))+6),11))))))))</f>
        <v/>
      </c>
      <c r="AI301" s="38" t="str">
        <f aca="false">IF(COUNT($Q301:$AF301)=0,"",IF(ROUND(SUM($Q301:$AF301),1)&gt;=99.5,100,MIN(100,ROUND(SUM($Q301:$AF301),1))))</f>
        <v/>
      </c>
      <c r="AJ301" s="38" t="str">
        <f aca="false">IF(OR(AH301="",AI301=""),"",AI301-AH301)</f>
        <v/>
      </c>
      <c r="AK301" s="39" t="str">
        <f aca="true">IF(AH301="","",IF(OR(Ficha!$C$10="Suspendida",Ficha!$C$10="Cancelada"),Ficha!$C$10,IF(AND(AI301&lt;&gt;"",N(AI301)&gt;=100),"Completada",IF(AND(E301&gt;TODAY(),N(AI301)=0),"Por iniciar",IF(N(AI301)+0.5&lt;AH301,"Retrasada",IF(N(AI301)+0.5&lt;DA301,IF(Reprogramaciones!$K$15&gt;0,"Al día · Sem "&amp;Reprogramaciones!$K$15&amp;" en curso","Al día · en curso"),"A tiempo"))))))</f>
        <v/>
      </c>
      <c r="AL301" s="39" t="str">
        <f aca="true">IF(AND(A301="",AND(B301="",C301="",E301="",F301="",COUNT(Q301:AF301)=0)),"",IF(AND(B301="",C301="",E301="",F301="",COUNT(Q301:AF301)=0),"Falta la partida o subpartida",IF(AND(A301&lt;&gt;"",COUNTIF($A$6:$A$305,A301)&gt;1),"Ítem repetido",IF(AND(C301="",E301="",F301="",COUNT(Q301:AF301)=0),"Título de partida",IF(OR(E301="",F301=""),"Faltan fechas",IF(OR(ISTEXT(E301),ISTEXT(F301)),"Fecha escrita como texto: usa dd/mm/aaaa",IF(F301&lt;E301,"Fin antes del inicio",IF(IF($J$2="",FALSE(),OR(E301&lt;$J$2,F301&gt;Reprogramaciones!$T$15+69)),"Fuera de las 10 semanas",IF(ABS(SUM(G301:P301)-100)&gt;0.5,"La meta no suma 100%",IF(ROUND(SUM(Q301:AF301),1)&gt;100.5,"El avance pasa de 100%",IF(MIN(Q301:AF301)&lt;0,"Avance negativo",IF(COUNTA(Q301:AF301)&gt;COUNT(Q301:AF301),"Avance escrito como texto",IF(SUMPRODUCT((Q301:AF301&gt;0)*(Q301:AF301&lt;1))&gt;0,"Avance menor a 1: escribe 50, no 50%",IF(SUMPRODUCT(ISNUMBER(Q301:AF301)*(Reprogramaciones!$K$8:$Z$8&gt;TODAY()))&gt;0,"Avance en semana que aún no llega",IF(AND(N(Reprogramaciones!$E$21)&gt;0,F301&gt;Reprogramaciones!$E$21),"Pasa el fin de la obra: registra una reprogramación",IF(AND(N(Reprogramaciones!$E$21)&gt;0,SUMPRODUCT(ISNUMBER(Q301:AF301)*(Reprogramaciones!$K$8:$Z$8&gt;Reprogramaciones!$E$21))&gt;0),"Avance después del fin de la obra: registra una reprogramación por atraso","OK"))))))))))))))))</f>
        <v/>
      </c>
      <c r="AM301" s="40" t="str">
        <f aca="false">IF(OR(OR(NOT(AND(ISNUMBER(E301),ISNUMBER(F301))),$J$2=""),1&gt;MAX(1,Reprogramaciones!$U$15)),"",IF(Reprogramaciones!K$12&gt;=7,"",IF(OR(BT301-N(0)&gt;0.05,N(Q301)&gt;0),ROUNDDOWN(ROUND(BT301,6),0)&amp;"%"&amp;IF(CJ301="",""," / "&amp;CJ301&amp;"%"),IF(AND(N(0)&gt;=99.95,CJ301&lt;&gt;"",N(CJ301)&lt;100),"Pend. "&amp;CJ301&amp;"%",""))))</f>
        <v/>
      </c>
      <c r="AN301" s="40" t="str">
        <f aca="false">IF(OR(OR(NOT(AND(ISNUMBER(E301),ISNUMBER(F301))),$J$2=""),2&gt;MAX(1,Reprogramaciones!$U$15)),"",IF(Reprogramaciones!L$12&gt;=7,"",IF(OR(BU301-N(BT301)&gt;0.05,N(R301)&gt;0),ROUNDDOWN(ROUND(BU301,6),0)&amp;"%"&amp;IF(CK301="",""," / "&amp;CK301&amp;"%"),IF(AND(N(BT301)&gt;=99.95,CK301&lt;&gt;"",N(CK301)&lt;100),"Pend. "&amp;CK301&amp;"%",""))))</f>
        <v/>
      </c>
      <c r="AO301" s="40" t="str">
        <f aca="false">IF(OR(OR(NOT(AND(ISNUMBER(E301),ISNUMBER(F301))),$J$2=""),3&gt;MAX(1,Reprogramaciones!$U$15)),"",IF(Reprogramaciones!M$12&gt;=7,"",IF(OR(BV301-N(BU301)&gt;0.05,N(S301)&gt;0),ROUNDDOWN(ROUND(BV301,6),0)&amp;"%"&amp;IF(CL301="",""," / "&amp;CL301&amp;"%"),IF(AND(N(BU301)&gt;=99.95,CL301&lt;&gt;"",N(CL301)&lt;100),"Pend. "&amp;CL301&amp;"%",""))))</f>
        <v/>
      </c>
      <c r="AP301" s="40" t="str">
        <f aca="false">IF(OR(OR(NOT(AND(ISNUMBER(E301),ISNUMBER(F301))),$J$2=""),4&gt;MAX(1,Reprogramaciones!$U$15)),"",IF(Reprogramaciones!N$12&gt;=7,"",IF(OR(BW301-N(BV301)&gt;0.05,N(T301)&gt;0),ROUNDDOWN(ROUND(BW301,6),0)&amp;"%"&amp;IF(CM301="",""," / "&amp;CM301&amp;"%"),IF(AND(N(BV301)&gt;=99.95,CM301&lt;&gt;"",N(CM301)&lt;100),"Pend. "&amp;CM301&amp;"%",""))))</f>
        <v/>
      </c>
      <c r="AQ301" s="40" t="str">
        <f aca="false">IF(OR(OR(NOT(AND(ISNUMBER(E301),ISNUMBER(F301))),$J$2=""),5&gt;MAX(1,Reprogramaciones!$U$15)),"",IF(Reprogramaciones!O$12&gt;=7,"",IF(OR(BX301-N(BW301)&gt;0.05,N(U301)&gt;0),ROUNDDOWN(ROUND(BX301,6),0)&amp;"%"&amp;IF(CN301="",""," / "&amp;CN301&amp;"%"),IF(AND(N(BW301)&gt;=99.95,CN301&lt;&gt;"",N(CN301)&lt;100),"Pend. "&amp;CN301&amp;"%",""))))</f>
        <v/>
      </c>
      <c r="AR301" s="40" t="str">
        <f aca="false">IF(OR(OR(NOT(AND(ISNUMBER(E301),ISNUMBER(F301))),$J$2=""),6&gt;MAX(1,Reprogramaciones!$U$15)),"",IF(Reprogramaciones!P$12&gt;=7,"",IF(OR(BY301-N(BX301)&gt;0.05,N(V301)&gt;0),ROUNDDOWN(ROUND(BY301,6),0)&amp;"%"&amp;IF(CO301="",""," / "&amp;CO301&amp;"%"),IF(AND(N(BX301)&gt;=99.95,CO301&lt;&gt;"",N(CO301)&lt;100),"Pend. "&amp;CO301&amp;"%",""))))</f>
        <v/>
      </c>
      <c r="AS301" s="40" t="str">
        <f aca="false">IF(OR(OR(NOT(AND(ISNUMBER(E301),ISNUMBER(F301))),$J$2=""),7&gt;MAX(1,Reprogramaciones!$U$15)),"",IF(Reprogramaciones!Q$12&gt;=7,"",IF(OR(BZ301-N(BY301)&gt;0.05,N(W301)&gt;0),ROUNDDOWN(ROUND(BZ301,6),0)&amp;"%"&amp;IF(CP301="",""," / "&amp;CP301&amp;"%"),IF(AND(N(BY301)&gt;=99.95,CP301&lt;&gt;"",N(CP301)&lt;100),"Pend. "&amp;CP301&amp;"%",""))))</f>
        <v/>
      </c>
      <c r="AT301" s="40" t="str">
        <f aca="false">IF(OR(OR(NOT(AND(ISNUMBER(E301),ISNUMBER(F301))),$J$2=""),8&gt;MAX(1,Reprogramaciones!$U$15)),"",IF(Reprogramaciones!R$12&gt;=7,"",IF(OR(CA301-N(BZ301)&gt;0.05,N(X301)&gt;0),ROUNDDOWN(ROUND(CA301,6),0)&amp;"%"&amp;IF(CQ301="",""," / "&amp;CQ301&amp;"%"),IF(AND(N(BZ301)&gt;=99.95,CQ301&lt;&gt;"",N(CQ301)&lt;100),"Pend. "&amp;CQ301&amp;"%",""))))</f>
        <v/>
      </c>
      <c r="AU301" s="40" t="str">
        <f aca="false">IF(OR(OR(NOT(AND(ISNUMBER(E301),ISNUMBER(F301))),$J$2=""),9&gt;MAX(1,Reprogramaciones!$U$15)),"",IF(Reprogramaciones!S$12&gt;=7,"",IF(OR(CB301-N(CA301)&gt;0.05,N(Y301)&gt;0),ROUNDDOWN(ROUND(CB301,6),0)&amp;"%"&amp;IF(CR301="",""," / "&amp;CR301&amp;"%"),IF(AND(N(CA301)&gt;=99.95,CR301&lt;&gt;"",N(CR301)&lt;100),"Pend. "&amp;CR301&amp;"%",""))))</f>
        <v/>
      </c>
      <c r="AV301" s="40" t="str">
        <f aca="false">IF(OR(OR(NOT(AND(ISNUMBER(E301),ISNUMBER(F301))),$J$2=""),10&gt;MAX(1,Reprogramaciones!$U$15)),"",IF(Reprogramaciones!T$12&gt;=7,"",IF(OR(CC301-N(CB301)&gt;0.05,N(Z301)&gt;0),ROUNDDOWN(ROUND(CC301,6),0)&amp;"%"&amp;IF(CS301="",""," / "&amp;CS301&amp;"%"),IF(AND(N(CB301)&gt;=99.95,CS301&lt;&gt;"",N(CS301)&lt;100),"Pend. "&amp;CS301&amp;"%",""))))</f>
        <v/>
      </c>
      <c r="AW301" s="40" t="str">
        <f aca="false">IF(OR(OR(NOT(AND(ISNUMBER(E301),ISNUMBER(F301))),$J$2=""),11&gt;MAX(1,Reprogramaciones!$U$15)),"",IF(Reprogramaciones!U$12&gt;=7,"",IF(OR(CD301-N(CC301)&gt;0.05,N(AA301)&gt;0),ROUNDDOWN(ROUND(CD301,6),0)&amp;"%"&amp;IF(CT301="",""," / "&amp;CT301&amp;"%"),IF(AND(N(CC301)&gt;=99.95,CT301&lt;&gt;"",N(CT301)&lt;100),"Pend. "&amp;CT301&amp;"%",""))))</f>
        <v/>
      </c>
      <c r="AX301" s="40" t="str">
        <f aca="false">IF(OR(OR(NOT(AND(ISNUMBER(E301),ISNUMBER(F301))),$J$2=""),12&gt;MAX(1,Reprogramaciones!$U$15)),"",IF(Reprogramaciones!V$12&gt;=7,"",IF(OR(CE301-N(CD301)&gt;0.05,N(AB301)&gt;0),ROUNDDOWN(ROUND(CE301,6),0)&amp;"%"&amp;IF(CU301="",""," / "&amp;CU301&amp;"%"),IF(AND(N(CD301)&gt;=99.95,CU301&lt;&gt;"",N(CU301)&lt;100),"Pend. "&amp;CU301&amp;"%",""))))</f>
        <v/>
      </c>
      <c r="AY301" s="40" t="str">
        <f aca="false">IF(OR(OR(NOT(AND(ISNUMBER(E301),ISNUMBER(F301))),$J$2=""),13&gt;MAX(1,Reprogramaciones!$U$15)),"",IF(Reprogramaciones!W$12&gt;=7,"",IF(OR(CF301-N(CE301)&gt;0.05,N(AC301)&gt;0),ROUNDDOWN(ROUND(CF301,6),0)&amp;"%"&amp;IF(CV301="",""," / "&amp;CV301&amp;"%"),IF(AND(N(CE301)&gt;=99.95,CV301&lt;&gt;"",N(CV301)&lt;100),"Pend. "&amp;CV301&amp;"%",""))))</f>
        <v/>
      </c>
      <c r="AZ301" s="40" t="str">
        <f aca="false">IF(OR(OR(NOT(AND(ISNUMBER(E301),ISNUMBER(F301))),$J$2=""),14&gt;MAX(1,Reprogramaciones!$U$15)),"",IF(Reprogramaciones!X$12&gt;=7,"",IF(OR(CG301-N(CF301)&gt;0.05,N(AD301)&gt;0),ROUNDDOWN(ROUND(CG301,6),0)&amp;"%"&amp;IF(CW301="",""," / "&amp;CW301&amp;"%"),IF(AND(N(CF301)&gt;=99.95,CW301&lt;&gt;"",N(CW301)&lt;100),"Pend. "&amp;CW301&amp;"%",""))))</f>
        <v/>
      </c>
      <c r="BA301" s="40" t="str">
        <f aca="false">IF(OR(OR(NOT(AND(ISNUMBER(E301),ISNUMBER(F301))),$J$2=""),15&gt;MAX(1,Reprogramaciones!$U$15)),"",IF(Reprogramaciones!Y$12&gt;=7,"",IF(OR(CH301-N(CG301)&gt;0.05,N(AE301)&gt;0),ROUNDDOWN(ROUND(CH301,6),0)&amp;"%"&amp;IF(CX301="",""," / "&amp;CX301&amp;"%"),IF(AND(N(CG301)&gt;=99.95,CX301&lt;&gt;"",N(CX301)&lt;100),"Pend. "&amp;CX301&amp;"%",""))))</f>
        <v/>
      </c>
      <c r="BB301" s="40" t="str">
        <f aca="false">IF(OR(OR(NOT(AND(ISNUMBER(E301),ISNUMBER(F301))),$J$2=""),16&gt;MAX(1,Reprogramaciones!$U$15)),"",IF(Reprogramaciones!Z$12&gt;=7,"",IF(OR(CI301-N(CH301)&gt;0.05,N(AF301)&gt;0),ROUNDDOWN(ROUND(CI301,6),0)&amp;"%"&amp;IF(CY301="",""," / "&amp;CY301&amp;"%"),IF(AND(N(CH301)&gt;=99.95,CY301&lt;&gt;"",N(CY301)&lt;100),"Pend. "&amp;CY301&amp;"%",""))))</f>
        <v/>
      </c>
      <c r="BC301" s="31" t="n">
        <f aca="false">IF(AND(ISNUMBER(E301),ISNUMBER(F301)),MAX(1,NETWORKDAYS.INTL(E301,F301,11)),0)</f>
        <v>0</v>
      </c>
      <c r="BD301" s="1" t="str">
        <f aca="false">IF(OR(NOT(AND(ISNUMBER(E301),ISNUMBER(F301))),$J$2=""),"",MIN(100,ROUND(SUM($G301:G301),1)))</f>
        <v/>
      </c>
      <c r="BE301" s="1" t="str">
        <f aca="false">IF(OR(NOT(AND(ISNUMBER(E301),ISNUMBER(F301))),$J$2=""),"",MIN(100,ROUND(SUM($G301:H301),1)))</f>
        <v/>
      </c>
      <c r="BF301" s="1" t="str">
        <f aca="false">IF(OR(NOT(AND(ISNUMBER(E301),ISNUMBER(F301))),$J$2=""),"",MIN(100,ROUND(SUM($G301:I301),1)))</f>
        <v/>
      </c>
      <c r="BG301" s="1" t="str">
        <f aca="false">IF(OR(NOT(AND(ISNUMBER(E301),ISNUMBER(F301))),$J$2=""),"",MIN(100,ROUND(SUM($G301:J301),1)))</f>
        <v/>
      </c>
      <c r="BH301" s="1" t="str">
        <f aca="false">IF(OR(NOT(AND(ISNUMBER(E301),ISNUMBER(F301))),$J$2=""),"",MIN(100,ROUND(SUM($G301:K301),1)))</f>
        <v/>
      </c>
      <c r="BI301" s="1" t="str">
        <f aca="false">IF(OR(NOT(AND(ISNUMBER(E301),ISNUMBER(F301))),$J$2=""),"",MIN(100,ROUND(SUM($G301:L301),1)))</f>
        <v/>
      </c>
      <c r="BJ301" s="1" t="str">
        <f aca="false">IF(OR(NOT(AND(ISNUMBER(E301),ISNUMBER(F301))),$J$2=""),"",MIN(100,ROUND(SUM($G301:M301),1)))</f>
        <v/>
      </c>
      <c r="BK301" s="1" t="str">
        <f aca="false">IF(OR(NOT(AND(ISNUMBER(E301),ISNUMBER(F301))),$J$2=""),"",MIN(100,ROUND(SUM($G301:N301),1)))</f>
        <v/>
      </c>
      <c r="BL301" s="1" t="str">
        <f aca="false">IF(OR(NOT(AND(ISNUMBER(E301),ISNUMBER(F301))),$J$2=""),"",MIN(100,ROUND(SUM($G301:O301),1)))</f>
        <v/>
      </c>
      <c r="BM301" s="1" t="str">
        <f aca="false">IF(OR(NOT(AND(ISNUMBER(E301),ISNUMBER(F301))),$J$2=""),"",MIN(100,ROUND(SUM($G301:P301),1)))</f>
        <v/>
      </c>
      <c r="BN301" s="1" t="str">
        <f aca="false">IF(OR(NOT(AND(ISNUMBER(E301),ISNUMBER(F301))),$J$2=""),"",MIN(100,ROUND(SUM($G301:P301),1)))</f>
        <v/>
      </c>
      <c r="BO301" s="1" t="str">
        <f aca="false">IF(OR(NOT(AND(ISNUMBER(E301),ISNUMBER(F301))),$J$2=""),"",MIN(100,ROUND(SUM($G301:P301),1)))</f>
        <v/>
      </c>
      <c r="BP301" s="1" t="str">
        <f aca="false">IF(OR(NOT(AND(ISNUMBER(E301),ISNUMBER(F301))),$J$2=""),"",MIN(100,ROUND(SUM($G301:P301),1)))</f>
        <v/>
      </c>
      <c r="BQ301" s="1" t="str">
        <f aca="false">IF(OR(NOT(AND(ISNUMBER(E301),ISNUMBER(F301))),$J$2=""),"",MIN(100,ROUND(SUM($G301:P301),1)))</f>
        <v/>
      </c>
      <c r="BR301" s="1" t="str">
        <f aca="false">IF(OR(NOT(AND(ISNUMBER(E301),ISNUMBER(F301))),$J$2=""),"",MIN(100,ROUND(SUM($G301:P301),1)))</f>
        <v/>
      </c>
      <c r="BS301" s="1" t="str">
        <f aca="false">IF(OR(NOT(AND(ISNUMBER(E301),ISNUMBER(F301))),$J$2=""),"",MIN(100,ROUND(SUM($G301:P301),1)))</f>
        <v/>
      </c>
      <c r="BT301" s="1" t="str">
        <f aca="false">IF(OR(NOT(AND(ISNUMBER(E301),ISNUMBER(F301))),$J$2=""),"",IF(Reprogramaciones!K$13&lt;Reprogramaciones!$T$15,0,IF(Reprogramaciones!K$14&gt;10,MIN(100,SUM($G301:$P301)),MIN(100,SUMPRODUCT((COLUMN($G301:$P301)-COLUMN($G301)+1&lt;Reprogramaciones!K$14)*$G301:$P301)+N(INDEX($G301:$P301,1,Reprogramaciones!K$14))*IF(Reprogramaciones!K$13&gt;=(Reprogramaciones!$T$15+7*(Reprogramaciones!K$14-1))+6,1,IF(MAX(0,NETWORKDAYS.INTL(MAX(E301,(Reprogramaciones!$T$15+7*(Reprogramaciones!K$14-1))),MIN(F301,(Reprogramaciones!$T$15+7*(Reprogramaciones!K$14-1))+6),11))=0,0,MAX(0,NETWORKDAYS.INTL(MAX(E301,(Reprogramaciones!$T$15+7*(Reprogramaciones!K$14-1))),MIN(F301,Reprogramaciones!K$13),11))/MAX(0,NETWORKDAYS.INTL(MAX(E301,(Reprogramaciones!$T$15+7*(Reprogramaciones!K$14-1))),MIN(F301,(Reprogramaciones!$T$15+7*(Reprogramaciones!K$14-1))+6),11))))))))</f>
        <v/>
      </c>
      <c r="BU301" s="1" t="str">
        <f aca="false">IF(OR(NOT(AND(ISNUMBER(E301),ISNUMBER(F301))),$J$2=""),"",IF(Reprogramaciones!L$13&lt;Reprogramaciones!$T$15,0,IF(Reprogramaciones!L$14&gt;10,MIN(100,SUM($G301:$P301)),MIN(100,SUMPRODUCT((COLUMN($G301:$P301)-COLUMN($G301)+1&lt;Reprogramaciones!L$14)*$G301:$P301)+N(INDEX($G301:$P301,1,Reprogramaciones!L$14))*IF(Reprogramaciones!L$13&gt;=(Reprogramaciones!$T$15+7*(Reprogramaciones!L$14-1))+6,1,IF(MAX(0,NETWORKDAYS.INTL(MAX(E301,(Reprogramaciones!$T$15+7*(Reprogramaciones!L$14-1))),MIN(F301,(Reprogramaciones!$T$15+7*(Reprogramaciones!L$14-1))+6),11))=0,0,MAX(0,NETWORKDAYS.INTL(MAX(E301,(Reprogramaciones!$T$15+7*(Reprogramaciones!L$14-1))),MIN(F301,Reprogramaciones!L$13),11))/MAX(0,NETWORKDAYS.INTL(MAX(E301,(Reprogramaciones!$T$15+7*(Reprogramaciones!L$14-1))),MIN(F301,(Reprogramaciones!$T$15+7*(Reprogramaciones!L$14-1))+6),11))))))))</f>
        <v/>
      </c>
      <c r="BV301" s="1" t="str">
        <f aca="false">IF(OR(NOT(AND(ISNUMBER(E301),ISNUMBER(F301))),$J$2=""),"",IF(Reprogramaciones!M$13&lt;Reprogramaciones!$T$15,0,IF(Reprogramaciones!M$14&gt;10,MIN(100,SUM($G301:$P301)),MIN(100,SUMPRODUCT((COLUMN($G301:$P301)-COLUMN($G301)+1&lt;Reprogramaciones!M$14)*$G301:$P301)+N(INDEX($G301:$P301,1,Reprogramaciones!M$14))*IF(Reprogramaciones!M$13&gt;=(Reprogramaciones!$T$15+7*(Reprogramaciones!M$14-1))+6,1,IF(MAX(0,NETWORKDAYS.INTL(MAX(E301,(Reprogramaciones!$T$15+7*(Reprogramaciones!M$14-1))),MIN(F301,(Reprogramaciones!$T$15+7*(Reprogramaciones!M$14-1))+6),11))=0,0,MAX(0,NETWORKDAYS.INTL(MAX(E301,(Reprogramaciones!$T$15+7*(Reprogramaciones!M$14-1))),MIN(F301,Reprogramaciones!M$13),11))/MAX(0,NETWORKDAYS.INTL(MAX(E301,(Reprogramaciones!$T$15+7*(Reprogramaciones!M$14-1))),MIN(F301,(Reprogramaciones!$T$15+7*(Reprogramaciones!M$14-1))+6),11))))))))</f>
        <v/>
      </c>
      <c r="BW301" s="1" t="str">
        <f aca="false">IF(OR(NOT(AND(ISNUMBER(E301),ISNUMBER(F301))),$J$2=""),"",IF(Reprogramaciones!N$13&lt;Reprogramaciones!$T$15,0,IF(Reprogramaciones!N$14&gt;10,MIN(100,SUM($G301:$P301)),MIN(100,SUMPRODUCT((COLUMN($G301:$P301)-COLUMN($G301)+1&lt;Reprogramaciones!N$14)*$G301:$P301)+N(INDEX($G301:$P301,1,Reprogramaciones!N$14))*IF(Reprogramaciones!N$13&gt;=(Reprogramaciones!$T$15+7*(Reprogramaciones!N$14-1))+6,1,IF(MAX(0,NETWORKDAYS.INTL(MAX(E301,(Reprogramaciones!$T$15+7*(Reprogramaciones!N$14-1))),MIN(F301,(Reprogramaciones!$T$15+7*(Reprogramaciones!N$14-1))+6),11))=0,0,MAX(0,NETWORKDAYS.INTL(MAX(E301,(Reprogramaciones!$T$15+7*(Reprogramaciones!N$14-1))),MIN(F301,Reprogramaciones!N$13),11))/MAX(0,NETWORKDAYS.INTL(MAX(E301,(Reprogramaciones!$T$15+7*(Reprogramaciones!N$14-1))),MIN(F301,(Reprogramaciones!$T$15+7*(Reprogramaciones!N$14-1))+6),11))))))))</f>
        <v/>
      </c>
      <c r="BX301" s="1" t="str">
        <f aca="false">IF(OR(NOT(AND(ISNUMBER(E301),ISNUMBER(F301))),$J$2=""),"",IF(Reprogramaciones!O$13&lt;Reprogramaciones!$T$15,0,IF(Reprogramaciones!O$14&gt;10,MIN(100,SUM($G301:$P301)),MIN(100,SUMPRODUCT((COLUMN($G301:$P301)-COLUMN($G301)+1&lt;Reprogramaciones!O$14)*$G301:$P301)+N(INDEX($G301:$P301,1,Reprogramaciones!O$14))*IF(Reprogramaciones!O$13&gt;=(Reprogramaciones!$T$15+7*(Reprogramaciones!O$14-1))+6,1,IF(MAX(0,NETWORKDAYS.INTL(MAX(E301,(Reprogramaciones!$T$15+7*(Reprogramaciones!O$14-1))),MIN(F301,(Reprogramaciones!$T$15+7*(Reprogramaciones!O$14-1))+6),11))=0,0,MAX(0,NETWORKDAYS.INTL(MAX(E301,(Reprogramaciones!$T$15+7*(Reprogramaciones!O$14-1))),MIN(F301,Reprogramaciones!O$13),11))/MAX(0,NETWORKDAYS.INTL(MAX(E301,(Reprogramaciones!$T$15+7*(Reprogramaciones!O$14-1))),MIN(F301,(Reprogramaciones!$T$15+7*(Reprogramaciones!O$14-1))+6),11))))))))</f>
        <v/>
      </c>
      <c r="BY301" s="1" t="str">
        <f aca="false">IF(OR(NOT(AND(ISNUMBER(E301),ISNUMBER(F301))),$J$2=""),"",IF(Reprogramaciones!P$13&lt;Reprogramaciones!$T$15,0,IF(Reprogramaciones!P$14&gt;10,MIN(100,SUM($G301:$P301)),MIN(100,SUMPRODUCT((COLUMN($G301:$P301)-COLUMN($G301)+1&lt;Reprogramaciones!P$14)*$G301:$P301)+N(INDEX($G301:$P301,1,Reprogramaciones!P$14))*IF(Reprogramaciones!P$13&gt;=(Reprogramaciones!$T$15+7*(Reprogramaciones!P$14-1))+6,1,IF(MAX(0,NETWORKDAYS.INTL(MAX(E301,(Reprogramaciones!$T$15+7*(Reprogramaciones!P$14-1))),MIN(F301,(Reprogramaciones!$T$15+7*(Reprogramaciones!P$14-1))+6),11))=0,0,MAX(0,NETWORKDAYS.INTL(MAX(E301,(Reprogramaciones!$T$15+7*(Reprogramaciones!P$14-1))),MIN(F301,Reprogramaciones!P$13),11))/MAX(0,NETWORKDAYS.INTL(MAX(E301,(Reprogramaciones!$T$15+7*(Reprogramaciones!P$14-1))),MIN(F301,(Reprogramaciones!$T$15+7*(Reprogramaciones!P$14-1))+6),11))))))))</f>
        <v/>
      </c>
      <c r="BZ301" s="1" t="str">
        <f aca="false">IF(OR(NOT(AND(ISNUMBER(E301),ISNUMBER(F301))),$J$2=""),"",IF(Reprogramaciones!Q$13&lt;Reprogramaciones!$T$15,0,IF(Reprogramaciones!Q$14&gt;10,MIN(100,SUM($G301:$P301)),MIN(100,SUMPRODUCT((COLUMN($G301:$P301)-COLUMN($G301)+1&lt;Reprogramaciones!Q$14)*$G301:$P301)+N(INDEX($G301:$P301,1,Reprogramaciones!Q$14))*IF(Reprogramaciones!Q$13&gt;=(Reprogramaciones!$T$15+7*(Reprogramaciones!Q$14-1))+6,1,IF(MAX(0,NETWORKDAYS.INTL(MAX(E301,(Reprogramaciones!$T$15+7*(Reprogramaciones!Q$14-1))),MIN(F301,(Reprogramaciones!$T$15+7*(Reprogramaciones!Q$14-1))+6),11))=0,0,MAX(0,NETWORKDAYS.INTL(MAX(E301,(Reprogramaciones!$T$15+7*(Reprogramaciones!Q$14-1))),MIN(F301,Reprogramaciones!Q$13),11))/MAX(0,NETWORKDAYS.INTL(MAX(E301,(Reprogramaciones!$T$15+7*(Reprogramaciones!Q$14-1))),MIN(F301,(Reprogramaciones!$T$15+7*(Reprogramaciones!Q$14-1))+6),11))))))))</f>
        <v/>
      </c>
      <c r="CA301" s="1" t="str">
        <f aca="false">IF(OR(NOT(AND(ISNUMBER(E301),ISNUMBER(F301))),$J$2=""),"",IF(Reprogramaciones!R$13&lt;Reprogramaciones!$T$15,0,IF(Reprogramaciones!R$14&gt;10,MIN(100,SUM($G301:$P301)),MIN(100,SUMPRODUCT((COLUMN($G301:$P301)-COLUMN($G301)+1&lt;Reprogramaciones!R$14)*$G301:$P301)+N(INDEX($G301:$P301,1,Reprogramaciones!R$14))*IF(Reprogramaciones!R$13&gt;=(Reprogramaciones!$T$15+7*(Reprogramaciones!R$14-1))+6,1,IF(MAX(0,NETWORKDAYS.INTL(MAX(E301,(Reprogramaciones!$T$15+7*(Reprogramaciones!R$14-1))),MIN(F301,(Reprogramaciones!$T$15+7*(Reprogramaciones!R$14-1))+6),11))=0,0,MAX(0,NETWORKDAYS.INTL(MAX(E301,(Reprogramaciones!$T$15+7*(Reprogramaciones!R$14-1))),MIN(F301,Reprogramaciones!R$13),11))/MAX(0,NETWORKDAYS.INTL(MAX(E301,(Reprogramaciones!$T$15+7*(Reprogramaciones!R$14-1))),MIN(F301,(Reprogramaciones!$T$15+7*(Reprogramaciones!R$14-1))+6),11))))))))</f>
        <v/>
      </c>
      <c r="CB301" s="1" t="str">
        <f aca="false">IF(OR(NOT(AND(ISNUMBER(E301),ISNUMBER(F301))),$J$2=""),"",IF(Reprogramaciones!S$13&lt;Reprogramaciones!$T$15,0,IF(Reprogramaciones!S$14&gt;10,MIN(100,SUM($G301:$P301)),MIN(100,SUMPRODUCT((COLUMN($G301:$P301)-COLUMN($G301)+1&lt;Reprogramaciones!S$14)*$G301:$P301)+N(INDEX($G301:$P301,1,Reprogramaciones!S$14))*IF(Reprogramaciones!S$13&gt;=(Reprogramaciones!$T$15+7*(Reprogramaciones!S$14-1))+6,1,IF(MAX(0,NETWORKDAYS.INTL(MAX(E301,(Reprogramaciones!$T$15+7*(Reprogramaciones!S$14-1))),MIN(F301,(Reprogramaciones!$T$15+7*(Reprogramaciones!S$14-1))+6),11))=0,0,MAX(0,NETWORKDAYS.INTL(MAX(E301,(Reprogramaciones!$T$15+7*(Reprogramaciones!S$14-1))),MIN(F301,Reprogramaciones!S$13),11))/MAX(0,NETWORKDAYS.INTL(MAX(E301,(Reprogramaciones!$T$15+7*(Reprogramaciones!S$14-1))),MIN(F301,(Reprogramaciones!$T$15+7*(Reprogramaciones!S$14-1))+6),11))))))))</f>
        <v/>
      </c>
      <c r="CC301" s="1" t="str">
        <f aca="false">IF(OR(NOT(AND(ISNUMBER(E301),ISNUMBER(F301))),$J$2=""),"",IF(Reprogramaciones!T$13&lt;Reprogramaciones!$T$15,0,IF(Reprogramaciones!T$14&gt;10,MIN(100,SUM($G301:$P301)),MIN(100,SUMPRODUCT((COLUMN($G301:$P301)-COLUMN($G301)+1&lt;Reprogramaciones!T$14)*$G301:$P301)+N(INDEX($G301:$P301,1,Reprogramaciones!T$14))*IF(Reprogramaciones!T$13&gt;=(Reprogramaciones!$T$15+7*(Reprogramaciones!T$14-1))+6,1,IF(MAX(0,NETWORKDAYS.INTL(MAX(E301,(Reprogramaciones!$T$15+7*(Reprogramaciones!T$14-1))),MIN(F301,(Reprogramaciones!$T$15+7*(Reprogramaciones!T$14-1))+6),11))=0,0,MAX(0,NETWORKDAYS.INTL(MAX(E301,(Reprogramaciones!$T$15+7*(Reprogramaciones!T$14-1))),MIN(F301,Reprogramaciones!T$13),11))/MAX(0,NETWORKDAYS.INTL(MAX(E301,(Reprogramaciones!$T$15+7*(Reprogramaciones!T$14-1))),MIN(F301,(Reprogramaciones!$T$15+7*(Reprogramaciones!T$14-1))+6),11))))))))</f>
        <v/>
      </c>
      <c r="CD301" s="1" t="str">
        <f aca="false">IF(OR(NOT(AND(ISNUMBER(E301),ISNUMBER(F301))),$J$2=""),"",IF(Reprogramaciones!U$13&lt;Reprogramaciones!$T$15,0,IF(Reprogramaciones!U$14&gt;10,MIN(100,SUM($G301:$P301)),MIN(100,SUMPRODUCT((COLUMN($G301:$P301)-COLUMN($G301)+1&lt;Reprogramaciones!U$14)*$G301:$P301)+N(INDEX($G301:$P301,1,Reprogramaciones!U$14))*IF(Reprogramaciones!U$13&gt;=(Reprogramaciones!$T$15+7*(Reprogramaciones!U$14-1))+6,1,IF(MAX(0,NETWORKDAYS.INTL(MAX(E301,(Reprogramaciones!$T$15+7*(Reprogramaciones!U$14-1))),MIN(F301,(Reprogramaciones!$T$15+7*(Reprogramaciones!U$14-1))+6),11))=0,0,MAX(0,NETWORKDAYS.INTL(MAX(E301,(Reprogramaciones!$T$15+7*(Reprogramaciones!U$14-1))),MIN(F301,Reprogramaciones!U$13),11))/MAX(0,NETWORKDAYS.INTL(MAX(E301,(Reprogramaciones!$T$15+7*(Reprogramaciones!U$14-1))),MIN(F301,(Reprogramaciones!$T$15+7*(Reprogramaciones!U$14-1))+6),11))))))))</f>
        <v/>
      </c>
      <c r="CE301" s="1" t="str">
        <f aca="false">IF(OR(NOT(AND(ISNUMBER(E301),ISNUMBER(F301))),$J$2=""),"",IF(Reprogramaciones!V$13&lt;Reprogramaciones!$T$15,0,IF(Reprogramaciones!V$14&gt;10,MIN(100,SUM($G301:$P301)),MIN(100,SUMPRODUCT((COLUMN($G301:$P301)-COLUMN($G301)+1&lt;Reprogramaciones!V$14)*$G301:$P301)+N(INDEX($G301:$P301,1,Reprogramaciones!V$14))*IF(Reprogramaciones!V$13&gt;=(Reprogramaciones!$T$15+7*(Reprogramaciones!V$14-1))+6,1,IF(MAX(0,NETWORKDAYS.INTL(MAX(E301,(Reprogramaciones!$T$15+7*(Reprogramaciones!V$14-1))),MIN(F301,(Reprogramaciones!$T$15+7*(Reprogramaciones!V$14-1))+6),11))=0,0,MAX(0,NETWORKDAYS.INTL(MAX(E301,(Reprogramaciones!$T$15+7*(Reprogramaciones!V$14-1))),MIN(F301,Reprogramaciones!V$13),11))/MAX(0,NETWORKDAYS.INTL(MAX(E301,(Reprogramaciones!$T$15+7*(Reprogramaciones!V$14-1))),MIN(F301,(Reprogramaciones!$T$15+7*(Reprogramaciones!V$14-1))+6),11))))))))</f>
        <v/>
      </c>
      <c r="CF301" s="1" t="str">
        <f aca="false">IF(OR(NOT(AND(ISNUMBER(E301),ISNUMBER(F301))),$J$2=""),"",IF(Reprogramaciones!W$13&lt;Reprogramaciones!$T$15,0,IF(Reprogramaciones!W$14&gt;10,MIN(100,SUM($G301:$P301)),MIN(100,SUMPRODUCT((COLUMN($G301:$P301)-COLUMN($G301)+1&lt;Reprogramaciones!W$14)*$G301:$P301)+N(INDEX($G301:$P301,1,Reprogramaciones!W$14))*IF(Reprogramaciones!W$13&gt;=(Reprogramaciones!$T$15+7*(Reprogramaciones!W$14-1))+6,1,IF(MAX(0,NETWORKDAYS.INTL(MAX(E301,(Reprogramaciones!$T$15+7*(Reprogramaciones!W$14-1))),MIN(F301,(Reprogramaciones!$T$15+7*(Reprogramaciones!W$14-1))+6),11))=0,0,MAX(0,NETWORKDAYS.INTL(MAX(E301,(Reprogramaciones!$T$15+7*(Reprogramaciones!W$14-1))),MIN(F301,Reprogramaciones!W$13),11))/MAX(0,NETWORKDAYS.INTL(MAX(E301,(Reprogramaciones!$T$15+7*(Reprogramaciones!W$14-1))),MIN(F301,(Reprogramaciones!$T$15+7*(Reprogramaciones!W$14-1))+6),11))))))))</f>
        <v/>
      </c>
      <c r="CG301" s="1" t="str">
        <f aca="false">IF(OR(NOT(AND(ISNUMBER(E301),ISNUMBER(F301))),$J$2=""),"",IF(Reprogramaciones!X$13&lt;Reprogramaciones!$T$15,0,IF(Reprogramaciones!X$14&gt;10,MIN(100,SUM($G301:$P301)),MIN(100,SUMPRODUCT((COLUMN($G301:$P301)-COLUMN($G301)+1&lt;Reprogramaciones!X$14)*$G301:$P301)+N(INDEX($G301:$P301,1,Reprogramaciones!X$14))*IF(Reprogramaciones!X$13&gt;=(Reprogramaciones!$T$15+7*(Reprogramaciones!X$14-1))+6,1,IF(MAX(0,NETWORKDAYS.INTL(MAX(E301,(Reprogramaciones!$T$15+7*(Reprogramaciones!X$14-1))),MIN(F301,(Reprogramaciones!$T$15+7*(Reprogramaciones!X$14-1))+6),11))=0,0,MAX(0,NETWORKDAYS.INTL(MAX(E301,(Reprogramaciones!$T$15+7*(Reprogramaciones!X$14-1))),MIN(F301,Reprogramaciones!X$13),11))/MAX(0,NETWORKDAYS.INTL(MAX(E301,(Reprogramaciones!$T$15+7*(Reprogramaciones!X$14-1))),MIN(F301,(Reprogramaciones!$T$15+7*(Reprogramaciones!X$14-1))+6),11))))))))</f>
        <v/>
      </c>
      <c r="CH301" s="1" t="str">
        <f aca="false">IF(OR(NOT(AND(ISNUMBER(E301),ISNUMBER(F301))),$J$2=""),"",IF(Reprogramaciones!Y$13&lt;Reprogramaciones!$T$15,0,IF(Reprogramaciones!Y$14&gt;10,MIN(100,SUM($G301:$P301)),MIN(100,SUMPRODUCT((COLUMN($G301:$P301)-COLUMN($G301)+1&lt;Reprogramaciones!Y$14)*$G301:$P301)+N(INDEX($G301:$P301,1,Reprogramaciones!Y$14))*IF(Reprogramaciones!Y$13&gt;=(Reprogramaciones!$T$15+7*(Reprogramaciones!Y$14-1))+6,1,IF(MAX(0,NETWORKDAYS.INTL(MAX(E301,(Reprogramaciones!$T$15+7*(Reprogramaciones!Y$14-1))),MIN(F301,(Reprogramaciones!$T$15+7*(Reprogramaciones!Y$14-1))+6),11))=0,0,MAX(0,NETWORKDAYS.INTL(MAX(E301,(Reprogramaciones!$T$15+7*(Reprogramaciones!Y$14-1))),MIN(F301,Reprogramaciones!Y$13),11))/MAX(0,NETWORKDAYS.INTL(MAX(E301,(Reprogramaciones!$T$15+7*(Reprogramaciones!Y$14-1))),MIN(F301,(Reprogramaciones!$T$15+7*(Reprogramaciones!Y$14-1))+6),11))))))))</f>
        <v/>
      </c>
      <c r="CI301" s="1" t="str">
        <f aca="false">IF(OR(NOT(AND(ISNUMBER(E301),ISNUMBER(F301))),$J$2=""),"",IF(Reprogramaciones!Z$13&lt;Reprogramaciones!$T$15,0,IF(Reprogramaciones!Z$14&gt;10,MIN(100,SUM($G301:$P301)),MIN(100,SUMPRODUCT((COLUMN($G301:$P301)-COLUMN($G301)+1&lt;Reprogramaciones!Z$14)*$G301:$P301)+N(INDEX($G301:$P301,1,Reprogramaciones!Z$14))*IF(Reprogramaciones!Z$13&gt;=(Reprogramaciones!$T$15+7*(Reprogramaciones!Z$14-1))+6,1,IF(MAX(0,NETWORKDAYS.INTL(MAX(E301,(Reprogramaciones!$T$15+7*(Reprogramaciones!Z$14-1))),MIN(F301,(Reprogramaciones!$T$15+7*(Reprogramaciones!Z$14-1))+6),11))=0,0,MAX(0,NETWORKDAYS.INTL(MAX(E301,(Reprogramaciones!$T$15+7*(Reprogramaciones!Z$14-1))),MIN(F301,Reprogramaciones!Z$13),11))/MAX(0,NETWORKDAYS.INTL(MAX(E301,(Reprogramaciones!$T$15+7*(Reprogramaciones!Z$14-1))),MIN(F301,(Reprogramaciones!$T$15+7*(Reprogramaciones!Z$14-1))+6),11))))))))</f>
        <v/>
      </c>
      <c r="CJ301" s="1" t="str">
        <f aca="false">IF(OR(OR(NOT(AND(ISNUMBER(E301),ISNUMBER(F301))),$J$2=""),1&gt;Reprogramaciones!$K$16),"",IF(ROUND(SUM($Q301:Q301),1)&gt;=99.5,100,MIN(100,ROUND(SUM($Q301:Q301),1))))</f>
        <v/>
      </c>
      <c r="CK301" s="1" t="str">
        <f aca="false">IF(OR(OR(NOT(AND(ISNUMBER(E301),ISNUMBER(F301))),$J$2=""),2&gt;Reprogramaciones!$K$16),"",IF(ROUND(SUM($Q301:R301),1)&gt;=99.5,100,MIN(100,ROUND(SUM($Q301:R301),1))))</f>
        <v/>
      </c>
      <c r="CL301" s="1" t="str">
        <f aca="false">IF(OR(OR(NOT(AND(ISNUMBER(E301),ISNUMBER(F301))),$J$2=""),3&gt;Reprogramaciones!$K$16),"",IF(ROUND(SUM($Q301:S301),1)&gt;=99.5,100,MIN(100,ROUND(SUM($Q301:S301),1))))</f>
        <v/>
      </c>
      <c r="CM301" s="1" t="str">
        <f aca="false">IF(OR(OR(NOT(AND(ISNUMBER(E301),ISNUMBER(F301))),$J$2=""),4&gt;Reprogramaciones!$K$16),"",IF(ROUND(SUM($Q301:T301),1)&gt;=99.5,100,MIN(100,ROUND(SUM($Q301:T301),1))))</f>
        <v/>
      </c>
      <c r="CN301" s="1" t="str">
        <f aca="false">IF(OR(OR(NOT(AND(ISNUMBER(E301),ISNUMBER(F301))),$J$2=""),5&gt;Reprogramaciones!$K$16),"",IF(ROUND(SUM($Q301:U301),1)&gt;=99.5,100,MIN(100,ROUND(SUM($Q301:U301),1))))</f>
        <v/>
      </c>
      <c r="CO301" s="1" t="str">
        <f aca="false">IF(OR(OR(NOT(AND(ISNUMBER(E301),ISNUMBER(F301))),$J$2=""),6&gt;Reprogramaciones!$K$16),"",IF(ROUND(SUM($Q301:V301),1)&gt;=99.5,100,MIN(100,ROUND(SUM($Q301:V301),1))))</f>
        <v/>
      </c>
      <c r="CP301" s="1" t="str">
        <f aca="false">IF(OR(OR(NOT(AND(ISNUMBER(E301),ISNUMBER(F301))),$J$2=""),7&gt;Reprogramaciones!$K$16),"",IF(ROUND(SUM($Q301:W301),1)&gt;=99.5,100,MIN(100,ROUND(SUM($Q301:W301),1))))</f>
        <v/>
      </c>
      <c r="CQ301" s="1" t="str">
        <f aca="false">IF(OR(OR(NOT(AND(ISNUMBER(E301),ISNUMBER(F301))),$J$2=""),8&gt;Reprogramaciones!$K$16),"",IF(ROUND(SUM($Q301:X301),1)&gt;=99.5,100,MIN(100,ROUND(SUM($Q301:X301),1))))</f>
        <v/>
      </c>
      <c r="CR301" s="1" t="str">
        <f aca="false">IF(OR(OR(NOT(AND(ISNUMBER(E301),ISNUMBER(F301))),$J$2=""),9&gt;Reprogramaciones!$K$16),"",IF(ROUND(SUM($Q301:Y301),1)&gt;=99.5,100,MIN(100,ROUND(SUM($Q301:Y301),1))))</f>
        <v/>
      </c>
      <c r="CS301" s="1" t="str">
        <f aca="false">IF(OR(OR(NOT(AND(ISNUMBER(E301),ISNUMBER(F301))),$J$2=""),10&gt;Reprogramaciones!$K$16),"",IF(ROUND(SUM($Q301:Z301),1)&gt;=99.5,100,MIN(100,ROUND(SUM($Q301:Z301),1))))</f>
        <v/>
      </c>
      <c r="CT301" s="1" t="str">
        <f aca="false">IF(OR(OR(NOT(AND(ISNUMBER(E301),ISNUMBER(F301))),$J$2=""),11&gt;Reprogramaciones!$K$16),"",IF(ROUND(SUM($Q301:AA301),1)&gt;=99.5,100,MIN(100,ROUND(SUM($Q301:AA301),1))))</f>
        <v/>
      </c>
      <c r="CU301" s="1" t="str">
        <f aca="false">IF(OR(OR(NOT(AND(ISNUMBER(E301),ISNUMBER(F301))),$J$2=""),12&gt;Reprogramaciones!$K$16),"",IF(ROUND(SUM($Q301:AB301),1)&gt;=99.5,100,MIN(100,ROUND(SUM($Q301:AB301),1))))</f>
        <v/>
      </c>
      <c r="CV301" s="1" t="str">
        <f aca="false">IF(OR(OR(NOT(AND(ISNUMBER(E301),ISNUMBER(F301))),$J$2=""),13&gt;Reprogramaciones!$K$16),"",IF(ROUND(SUM($Q301:AC301),1)&gt;=99.5,100,MIN(100,ROUND(SUM($Q301:AC301),1))))</f>
        <v/>
      </c>
      <c r="CW301" s="1" t="str">
        <f aca="false">IF(OR(OR(NOT(AND(ISNUMBER(E301),ISNUMBER(F301))),$J$2=""),14&gt;Reprogramaciones!$K$16),"",IF(ROUND(SUM($Q301:AD301),1)&gt;=99.5,100,MIN(100,ROUND(SUM($Q301:AD301),1))))</f>
        <v/>
      </c>
      <c r="CX301" s="1" t="str">
        <f aca="false">IF(OR(OR(NOT(AND(ISNUMBER(E301),ISNUMBER(F301))),$J$2=""),15&gt;Reprogramaciones!$K$16),"",IF(ROUND(SUM($Q301:AE301),1)&gt;=99.5,100,MIN(100,ROUND(SUM($Q301:AE301),1))))</f>
        <v/>
      </c>
      <c r="CY301" s="1" t="str">
        <f aca="false">IF(OR(OR(NOT(AND(ISNUMBER(E301),ISNUMBER(F301))),$J$2=""),16&gt;Reprogramaciones!$K$16),"",IF(ROUND(SUM($Q301:AF301),1)&gt;=99.5,100,MIN(100,ROUND(SUM($Q301:AF301),1))))</f>
        <v/>
      </c>
      <c r="CZ301" s="1" t="str">
        <f aca="false">IF(D301&lt;&gt;"",D301,IF(B301&lt;&gt;"","Contractual",CZ300))</f>
        <v>Contractual</v>
      </c>
      <c r="DA301" s="1" t="str">
        <f aca="false">IF(OR(NOT(AND(ISNUMBER(E301),ISNUMBER(F301))),$J$2=""),"",IF(Reprogramaciones!$Q$15&lt;Reprogramaciones!$T$15,0,IF(Reprogramaciones!$S$15&gt;10,MIN(100,SUM($G301:$P301)),MIN(100,SUMPRODUCT((COLUMN($G301:$P301)-COLUMN($G301)+1&lt;Reprogramaciones!$S$15)*$G301:$P301)+N(INDEX($G301:$P301,1,Reprogramaciones!$S$15))*IF(Reprogramaciones!$Q$15&gt;=(Reprogramaciones!$T$15+7*(Reprogramaciones!$S$15-1))+6,1,IF(MAX(0,NETWORKDAYS.INTL(MAX(E301,(Reprogramaciones!$T$15+7*(Reprogramaciones!$S$15-1))),MIN(F301,(Reprogramaciones!$T$15+7*(Reprogramaciones!$S$15-1))+6),11))=0,0,MAX(0,NETWORKDAYS.INTL(MAX(E301,(Reprogramaciones!$T$15+7*(Reprogramaciones!$S$15-1))),MIN(F301,Reprogramaciones!$Q$15),11))/MAX(0,NETWORKDAYS.INTL(MAX(E301,(Reprogramaciones!$T$15+7*(Reprogramaciones!$S$15-1))),MIN(F301,(Reprogramaciones!$T$15+7*(Reprogramaciones!$S$15-1))+6),11))))))))</f>
        <v/>
      </c>
    </row>
    <row r="302" customFormat="false" ht="15" hidden="false" customHeight="false" outlineLevel="0" collapsed="false">
      <c r="A302" s="32"/>
      <c r="B302" s="33"/>
      <c r="C302" s="33"/>
      <c r="D302" s="34"/>
      <c r="E302" s="35"/>
      <c r="F302" s="35"/>
      <c r="G302" s="36" t="str">
        <f aca="false">IF(OR(NOT(AND(ISNUMBER(E302),ISNUMBER(F302))),$J$2=""),"",IF(Reprogramaciones!K$9&lt;E302,0,IF(NETWORKDAYS.INTL(E302,F302,11)=0,IF(Reprogramaciones!K$9&gt;=F302,100,0),ROUND(NETWORKDAYS.INTL(E302,MIN(F302,Reprogramaciones!K$9),11)/NETWORKDAYS.INTL(E302,F302,11)*100,1)))-0)</f>
        <v/>
      </c>
      <c r="H302" s="36" t="str">
        <f aca="false">IF(OR(NOT(AND(ISNUMBER(E302),ISNUMBER(F302))),$J$2=""),"",IF(Reprogramaciones!L$9&lt;E302,0,IF(NETWORKDAYS.INTL(E302,F302,11)=0,IF(Reprogramaciones!L$9&gt;=F302,100,0),ROUND(NETWORKDAYS.INTL(E302,MIN(F302,Reprogramaciones!L$9),11)/NETWORKDAYS.INTL(E302,F302,11)*100,1)))-IF(Reprogramaciones!K$9&lt;E302,0,IF(NETWORKDAYS.INTL(E302,F302,11)=0,IF(Reprogramaciones!K$9&gt;=F302,100,0),ROUND(NETWORKDAYS.INTL(E302,MIN(F302,Reprogramaciones!K$9),11)/NETWORKDAYS.INTL(E302,F302,11)*100,1))))</f>
        <v/>
      </c>
      <c r="I302" s="36" t="str">
        <f aca="false">IF(OR(NOT(AND(ISNUMBER(E302),ISNUMBER(F302))),$J$2=""),"",IF(Reprogramaciones!M$9&lt;E302,0,IF(NETWORKDAYS.INTL(E302,F302,11)=0,IF(Reprogramaciones!M$9&gt;=F302,100,0),ROUND(NETWORKDAYS.INTL(E302,MIN(F302,Reprogramaciones!M$9),11)/NETWORKDAYS.INTL(E302,F302,11)*100,1)))-IF(Reprogramaciones!L$9&lt;E302,0,IF(NETWORKDAYS.INTL(E302,F302,11)=0,IF(Reprogramaciones!L$9&gt;=F302,100,0),ROUND(NETWORKDAYS.INTL(E302,MIN(F302,Reprogramaciones!L$9),11)/NETWORKDAYS.INTL(E302,F302,11)*100,1))))</f>
        <v/>
      </c>
      <c r="J302" s="36" t="str">
        <f aca="false">IF(OR(NOT(AND(ISNUMBER(E302),ISNUMBER(F302))),$J$2=""),"",IF(Reprogramaciones!N$9&lt;E302,0,IF(NETWORKDAYS.INTL(E302,F302,11)=0,IF(Reprogramaciones!N$9&gt;=F302,100,0),ROUND(NETWORKDAYS.INTL(E302,MIN(F302,Reprogramaciones!N$9),11)/NETWORKDAYS.INTL(E302,F302,11)*100,1)))-IF(Reprogramaciones!M$9&lt;E302,0,IF(NETWORKDAYS.INTL(E302,F302,11)=0,IF(Reprogramaciones!M$9&gt;=F302,100,0),ROUND(NETWORKDAYS.INTL(E302,MIN(F302,Reprogramaciones!M$9),11)/NETWORKDAYS.INTL(E302,F302,11)*100,1))))</f>
        <v/>
      </c>
      <c r="K302" s="36" t="str">
        <f aca="false">IF(OR(NOT(AND(ISNUMBER(E302),ISNUMBER(F302))),$J$2=""),"",IF(Reprogramaciones!O$9&lt;E302,0,IF(NETWORKDAYS.INTL(E302,F302,11)=0,IF(Reprogramaciones!O$9&gt;=F302,100,0),ROUND(NETWORKDAYS.INTL(E302,MIN(F302,Reprogramaciones!O$9),11)/NETWORKDAYS.INTL(E302,F302,11)*100,1)))-IF(Reprogramaciones!N$9&lt;E302,0,IF(NETWORKDAYS.INTL(E302,F302,11)=0,IF(Reprogramaciones!N$9&gt;=F302,100,0),ROUND(NETWORKDAYS.INTL(E302,MIN(F302,Reprogramaciones!N$9),11)/NETWORKDAYS.INTL(E302,F302,11)*100,1))))</f>
        <v/>
      </c>
      <c r="L302" s="36" t="str">
        <f aca="false">IF(OR(NOT(AND(ISNUMBER(E302),ISNUMBER(F302))),$J$2=""),"",IF(Reprogramaciones!P$9&lt;E302,0,IF(NETWORKDAYS.INTL(E302,F302,11)=0,IF(Reprogramaciones!P$9&gt;=F302,100,0),ROUND(NETWORKDAYS.INTL(E302,MIN(F302,Reprogramaciones!P$9),11)/NETWORKDAYS.INTL(E302,F302,11)*100,1)))-IF(Reprogramaciones!O$9&lt;E302,0,IF(NETWORKDAYS.INTL(E302,F302,11)=0,IF(Reprogramaciones!O$9&gt;=F302,100,0),ROUND(NETWORKDAYS.INTL(E302,MIN(F302,Reprogramaciones!O$9),11)/NETWORKDAYS.INTL(E302,F302,11)*100,1))))</f>
        <v/>
      </c>
      <c r="M302" s="36" t="str">
        <f aca="false">IF(OR(NOT(AND(ISNUMBER(E302),ISNUMBER(F302))),$J$2=""),"",IF(Reprogramaciones!Q$9&lt;E302,0,IF(NETWORKDAYS.INTL(E302,F302,11)=0,IF(Reprogramaciones!Q$9&gt;=F302,100,0),ROUND(NETWORKDAYS.INTL(E302,MIN(F302,Reprogramaciones!Q$9),11)/NETWORKDAYS.INTL(E302,F302,11)*100,1)))-IF(Reprogramaciones!P$9&lt;E302,0,IF(NETWORKDAYS.INTL(E302,F302,11)=0,IF(Reprogramaciones!P$9&gt;=F302,100,0),ROUND(NETWORKDAYS.INTL(E302,MIN(F302,Reprogramaciones!P$9),11)/NETWORKDAYS.INTL(E302,F302,11)*100,1))))</f>
        <v/>
      </c>
      <c r="N302" s="36" t="str">
        <f aca="false">IF(OR(NOT(AND(ISNUMBER(E302),ISNUMBER(F302))),$J$2=""),"",IF(Reprogramaciones!R$9&lt;E302,0,IF(NETWORKDAYS.INTL(E302,F302,11)=0,IF(Reprogramaciones!R$9&gt;=F302,100,0),ROUND(NETWORKDAYS.INTL(E302,MIN(F302,Reprogramaciones!R$9),11)/NETWORKDAYS.INTL(E302,F302,11)*100,1)))-IF(Reprogramaciones!Q$9&lt;E302,0,IF(NETWORKDAYS.INTL(E302,F302,11)=0,IF(Reprogramaciones!Q$9&gt;=F302,100,0),ROUND(NETWORKDAYS.INTL(E302,MIN(F302,Reprogramaciones!Q$9),11)/NETWORKDAYS.INTL(E302,F302,11)*100,1))))</f>
        <v/>
      </c>
      <c r="O302" s="36" t="str">
        <f aca="false">IF(OR(NOT(AND(ISNUMBER(E302),ISNUMBER(F302))),$J$2=""),"",IF(Reprogramaciones!S$9&lt;E302,0,IF(NETWORKDAYS.INTL(E302,F302,11)=0,IF(Reprogramaciones!S$9&gt;=F302,100,0),ROUND(NETWORKDAYS.INTL(E302,MIN(F302,Reprogramaciones!S$9),11)/NETWORKDAYS.INTL(E302,F302,11)*100,1)))-IF(Reprogramaciones!R$9&lt;E302,0,IF(NETWORKDAYS.INTL(E302,F302,11)=0,IF(Reprogramaciones!R$9&gt;=F302,100,0),ROUND(NETWORKDAYS.INTL(E302,MIN(F302,Reprogramaciones!R$9),11)/NETWORKDAYS.INTL(E302,F302,11)*100,1))))</f>
        <v/>
      </c>
      <c r="P302" s="36" t="str">
        <f aca="false">IF(OR(NOT(AND(ISNUMBER(E302),ISNUMBER(F302))),$J$2=""),"",IF(Reprogramaciones!T$9&lt;E302,0,IF(NETWORKDAYS.INTL(E302,F302,11)=0,IF(Reprogramaciones!T$9&gt;=F302,100,0),ROUND(NETWORKDAYS.INTL(E302,MIN(F302,Reprogramaciones!T$9),11)/NETWORKDAYS.INTL(E302,F302,11)*100,1)))-IF(Reprogramaciones!S$9&lt;E302,0,IF(NETWORKDAYS.INTL(E302,F302,11)=0,IF(Reprogramaciones!S$9&gt;=F302,100,0),ROUND(NETWORKDAYS.INTL(E302,MIN(F302,Reprogramaciones!S$9),11)/NETWORKDAYS.INTL(E302,F302,11)*100,1))))</f>
        <v/>
      </c>
      <c r="Q302" s="37"/>
      <c r="R302" s="37"/>
      <c r="S302" s="37"/>
      <c r="T302" s="37"/>
      <c r="U302" s="37"/>
      <c r="V302" s="37"/>
      <c r="W302" s="37"/>
      <c r="X302" s="37"/>
      <c r="Y302" s="37"/>
      <c r="Z302" s="37"/>
      <c r="AA302" s="37"/>
      <c r="AB302" s="37"/>
      <c r="AC302" s="37"/>
      <c r="AD302" s="37"/>
      <c r="AE302" s="37"/>
      <c r="AF302" s="37"/>
      <c r="AG302" s="38" t="str">
        <f aca="false">IF(AND(ISNUMBER(E302),ISNUMBER(F302)),NETWORKDAYS.INTL(E302,F302,11),"")</f>
        <v/>
      </c>
      <c r="AH302" s="38" t="str">
        <f aca="false">IF(OR(NOT(AND(ISNUMBER(E302),ISNUMBER(F302))),$J$2=""),"",IF(Reprogramaciones!$P$15&lt;Reprogramaciones!$T$15,0,IF(Reprogramaciones!$R$15&gt;10,MIN(100,SUM($G302:$P302)),MIN(100,SUMPRODUCT((COLUMN($G302:$P302)-COLUMN($G302)+1&lt;Reprogramaciones!$R$15)*$G302:$P302)+N(INDEX($G302:$P302,1,Reprogramaciones!$R$15))*IF(Reprogramaciones!$P$15&gt;=(Reprogramaciones!$T$15+7*(Reprogramaciones!$R$15-1))+6,1,IF(MAX(0,NETWORKDAYS.INTL(MAX(E302,(Reprogramaciones!$T$15+7*(Reprogramaciones!$R$15-1))),MIN(F302,(Reprogramaciones!$T$15+7*(Reprogramaciones!$R$15-1))+6),11))=0,0,MAX(0,NETWORKDAYS.INTL(MAX(E302,(Reprogramaciones!$T$15+7*(Reprogramaciones!$R$15-1))),MIN(F302,Reprogramaciones!$P$15),11))/MAX(0,NETWORKDAYS.INTL(MAX(E302,(Reprogramaciones!$T$15+7*(Reprogramaciones!$R$15-1))),MIN(F302,(Reprogramaciones!$T$15+7*(Reprogramaciones!$R$15-1))+6),11))))))))</f>
        <v/>
      </c>
      <c r="AI302" s="38" t="str">
        <f aca="false">IF(COUNT($Q302:$AF302)=0,"",IF(ROUND(SUM($Q302:$AF302),1)&gt;=99.5,100,MIN(100,ROUND(SUM($Q302:$AF302),1))))</f>
        <v/>
      </c>
      <c r="AJ302" s="38" t="str">
        <f aca="false">IF(OR(AH302="",AI302=""),"",AI302-AH302)</f>
        <v/>
      </c>
      <c r="AK302" s="39" t="str">
        <f aca="true">IF(AH302="","",IF(OR(Ficha!$C$10="Suspendida",Ficha!$C$10="Cancelada"),Ficha!$C$10,IF(AND(AI302&lt;&gt;"",N(AI302)&gt;=100),"Completada",IF(AND(E302&gt;TODAY(),N(AI302)=0),"Por iniciar",IF(N(AI302)+0.5&lt;AH302,"Retrasada",IF(N(AI302)+0.5&lt;DA302,IF(Reprogramaciones!$K$15&gt;0,"Al día · Sem "&amp;Reprogramaciones!$K$15&amp;" en curso","Al día · en curso"),"A tiempo"))))))</f>
        <v/>
      </c>
      <c r="AL302" s="39" t="str">
        <f aca="true">IF(AND(A302="",AND(B302="",C302="",E302="",F302="",COUNT(Q302:AF302)=0)),"",IF(AND(B302="",C302="",E302="",F302="",COUNT(Q302:AF302)=0),"Falta la partida o subpartida",IF(AND(A302&lt;&gt;"",COUNTIF($A$6:$A$305,A302)&gt;1),"Ítem repetido",IF(AND(C302="",E302="",F302="",COUNT(Q302:AF302)=0),"Título de partida",IF(OR(E302="",F302=""),"Faltan fechas",IF(OR(ISTEXT(E302),ISTEXT(F302)),"Fecha escrita como texto: usa dd/mm/aaaa",IF(F302&lt;E302,"Fin antes del inicio",IF(IF($J$2="",FALSE(),OR(E302&lt;$J$2,F302&gt;Reprogramaciones!$T$15+69)),"Fuera de las 10 semanas",IF(ABS(SUM(G302:P302)-100)&gt;0.5,"La meta no suma 100%",IF(ROUND(SUM(Q302:AF302),1)&gt;100.5,"El avance pasa de 100%",IF(MIN(Q302:AF302)&lt;0,"Avance negativo",IF(COUNTA(Q302:AF302)&gt;COUNT(Q302:AF302),"Avance escrito como texto",IF(SUMPRODUCT((Q302:AF302&gt;0)*(Q302:AF302&lt;1))&gt;0,"Avance menor a 1: escribe 50, no 50%",IF(SUMPRODUCT(ISNUMBER(Q302:AF302)*(Reprogramaciones!$K$8:$Z$8&gt;TODAY()))&gt;0,"Avance en semana que aún no llega",IF(AND(N(Reprogramaciones!$E$21)&gt;0,F302&gt;Reprogramaciones!$E$21),"Pasa el fin de la obra: registra una reprogramación",IF(AND(N(Reprogramaciones!$E$21)&gt;0,SUMPRODUCT(ISNUMBER(Q302:AF302)*(Reprogramaciones!$K$8:$Z$8&gt;Reprogramaciones!$E$21))&gt;0),"Avance después del fin de la obra: registra una reprogramación por atraso","OK"))))))))))))))))</f>
        <v/>
      </c>
      <c r="AM302" s="40" t="str">
        <f aca="false">IF(OR(OR(NOT(AND(ISNUMBER(E302),ISNUMBER(F302))),$J$2=""),1&gt;MAX(1,Reprogramaciones!$U$15)),"",IF(Reprogramaciones!K$12&gt;=7,"",IF(OR(BT302-N(0)&gt;0.05,N(Q302)&gt;0),ROUNDDOWN(ROUND(BT302,6),0)&amp;"%"&amp;IF(CJ302="",""," / "&amp;CJ302&amp;"%"),IF(AND(N(0)&gt;=99.95,CJ302&lt;&gt;"",N(CJ302)&lt;100),"Pend. "&amp;CJ302&amp;"%",""))))</f>
        <v/>
      </c>
      <c r="AN302" s="40" t="str">
        <f aca="false">IF(OR(OR(NOT(AND(ISNUMBER(E302),ISNUMBER(F302))),$J$2=""),2&gt;MAX(1,Reprogramaciones!$U$15)),"",IF(Reprogramaciones!L$12&gt;=7,"",IF(OR(BU302-N(BT302)&gt;0.05,N(R302)&gt;0),ROUNDDOWN(ROUND(BU302,6),0)&amp;"%"&amp;IF(CK302="",""," / "&amp;CK302&amp;"%"),IF(AND(N(BT302)&gt;=99.95,CK302&lt;&gt;"",N(CK302)&lt;100),"Pend. "&amp;CK302&amp;"%",""))))</f>
        <v/>
      </c>
      <c r="AO302" s="40" t="str">
        <f aca="false">IF(OR(OR(NOT(AND(ISNUMBER(E302),ISNUMBER(F302))),$J$2=""),3&gt;MAX(1,Reprogramaciones!$U$15)),"",IF(Reprogramaciones!M$12&gt;=7,"",IF(OR(BV302-N(BU302)&gt;0.05,N(S302)&gt;0),ROUNDDOWN(ROUND(BV302,6),0)&amp;"%"&amp;IF(CL302="",""," / "&amp;CL302&amp;"%"),IF(AND(N(BU302)&gt;=99.95,CL302&lt;&gt;"",N(CL302)&lt;100),"Pend. "&amp;CL302&amp;"%",""))))</f>
        <v/>
      </c>
      <c r="AP302" s="40" t="str">
        <f aca="false">IF(OR(OR(NOT(AND(ISNUMBER(E302),ISNUMBER(F302))),$J$2=""),4&gt;MAX(1,Reprogramaciones!$U$15)),"",IF(Reprogramaciones!N$12&gt;=7,"",IF(OR(BW302-N(BV302)&gt;0.05,N(T302)&gt;0),ROUNDDOWN(ROUND(BW302,6),0)&amp;"%"&amp;IF(CM302="",""," / "&amp;CM302&amp;"%"),IF(AND(N(BV302)&gt;=99.95,CM302&lt;&gt;"",N(CM302)&lt;100),"Pend. "&amp;CM302&amp;"%",""))))</f>
        <v/>
      </c>
      <c r="AQ302" s="40" t="str">
        <f aca="false">IF(OR(OR(NOT(AND(ISNUMBER(E302),ISNUMBER(F302))),$J$2=""),5&gt;MAX(1,Reprogramaciones!$U$15)),"",IF(Reprogramaciones!O$12&gt;=7,"",IF(OR(BX302-N(BW302)&gt;0.05,N(U302)&gt;0),ROUNDDOWN(ROUND(BX302,6),0)&amp;"%"&amp;IF(CN302="",""," / "&amp;CN302&amp;"%"),IF(AND(N(BW302)&gt;=99.95,CN302&lt;&gt;"",N(CN302)&lt;100),"Pend. "&amp;CN302&amp;"%",""))))</f>
        <v/>
      </c>
      <c r="AR302" s="40" t="str">
        <f aca="false">IF(OR(OR(NOT(AND(ISNUMBER(E302),ISNUMBER(F302))),$J$2=""),6&gt;MAX(1,Reprogramaciones!$U$15)),"",IF(Reprogramaciones!P$12&gt;=7,"",IF(OR(BY302-N(BX302)&gt;0.05,N(V302)&gt;0),ROUNDDOWN(ROUND(BY302,6),0)&amp;"%"&amp;IF(CO302="",""," / "&amp;CO302&amp;"%"),IF(AND(N(BX302)&gt;=99.95,CO302&lt;&gt;"",N(CO302)&lt;100),"Pend. "&amp;CO302&amp;"%",""))))</f>
        <v/>
      </c>
      <c r="AS302" s="40" t="str">
        <f aca="false">IF(OR(OR(NOT(AND(ISNUMBER(E302),ISNUMBER(F302))),$J$2=""),7&gt;MAX(1,Reprogramaciones!$U$15)),"",IF(Reprogramaciones!Q$12&gt;=7,"",IF(OR(BZ302-N(BY302)&gt;0.05,N(W302)&gt;0),ROUNDDOWN(ROUND(BZ302,6),0)&amp;"%"&amp;IF(CP302="",""," / "&amp;CP302&amp;"%"),IF(AND(N(BY302)&gt;=99.95,CP302&lt;&gt;"",N(CP302)&lt;100),"Pend. "&amp;CP302&amp;"%",""))))</f>
        <v/>
      </c>
      <c r="AT302" s="40" t="str">
        <f aca="false">IF(OR(OR(NOT(AND(ISNUMBER(E302),ISNUMBER(F302))),$J$2=""),8&gt;MAX(1,Reprogramaciones!$U$15)),"",IF(Reprogramaciones!R$12&gt;=7,"",IF(OR(CA302-N(BZ302)&gt;0.05,N(X302)&gt;0),ROUNDDOWN(ROUND(CA302,6),0)&amp;"%"&amp;IF(CQ302="",""," / "&amp;CQ302&amp;"%"),IF(AND(N(BZ302)&gt;=99.95,CQ302&lt;&gt;"",N(CQ302)&lt;100),"Pend. "&amp;CQ302&amp;"%",""))))</f>
        <v/>
      </c>
      <c r="AU302" s="40" t="str">
        <f aca="false">IF(OR(OR(NOT(AND(ISNUMBER(E302),ISNUMBER(F302))),$J$2=""),9&gt;MAX(1,Reprogramaciones!$U$15)),"",IF(Reprogramaciones!S$12&gt;=7,"",IF(OR(CB302-N(CA302)&gt;0.05,N(Y302)&gt;0),ROUNDDOWN(ROUND(CB302,6),0)&amp;"%"&amp;IF(CR302="",""," / "&amp;CR302&amp;"%"),IF(AND(N(CA302)&gt;=99.95,CR302&lt;&gt;"",N(CR302)&lt;100),"Pend. "&amp;CR302&amp;"%",""))))</f>
        <v/>
      </c>
      <c r="AV302" s="40" t="str">
        <f aca="false">IF(OR(OR(NOT(AND(ISNUMBER(E302),ISNUMBER(F302))),$J$2=""),10&gt;MAX(1,Reprogramaciones!$U$15)),"",IF(Reprogramaciones!T$12&gt;=7,"",IF(OR(CC302-N(CB302)&gt;0.05,N(Z302)&gt;0),ROUNDDOWN(ROUND(CC302,6),0)&amp;"%"&amp;IF(CS302="",""," / "&amp;CS302&amp;"%"),IF(AND(N(CB302)&gt;=99.95,CS302&lt;&gt;"",N(CS302)&lt;100),"Pend. "&amp;CS302&amp;"%",""))))</f>
        <v/>
      </c>
      <c r="AW302" s="40" t="str">
        <f aca="false">IF(OR(OR(NOT(AND(ISNUMBER(E302),ISNUMBER(F302))),$J$2=""),11&gt;MAX(1,Reprogramaciones!$U$15)),"",IF(Reprogramaciones!U$12&gt;=7,"",IF(OR(CD302-N(CC302)&gt;0.05,N(AA302)&gt;0),ROUNDDOWN(ROUND(CD302,6),0)&amp;"%"&amp;IF(CT302="",""," / "&amp;CT302&amp;"%"),IF(AND(N(CC302)&gt;=99.95,CT302&lt;&gt;"",N(CT302)&lt;100),"Pend. "&amp;CT302&amp;"%",""))))</f>
        <v/>
      </c>
      <c r="AX302" s="40" t="str">
        <f aca="false">IF(OR(OR(NOT(AND(ISNUMBER(E302),ISNUMBER(F302))),$J$2=""),12&gt;MAX(1,Reprogramaciones!$U$15)),"",IF(Reprogramaciones!V$12&gt;=7,"",IF(OR(CE302-N(CD302)&gt;0.05,N(AB302)&gt;0),ROUNDDOWN(ROUND(CE302,6),0)&amp;"%"&amp;IF(CU302="",""," / "&amp;CU302&amp;"%"),IF(AND(N(CD302)&gt;=99.95,CU302&lt;&gt;"",N(CU302)&lt;100),"Pend. "&amp;CU302&amp;"%",""))))</f>
        <v/>
      </c>
      <c r="AY302" s="40" t="str">
        <f aca="false">IF(OR(OR(NOT(AND(ISNUMBER(E302),ISNUMBER(F302))),$J$2=""),13&gt;MAX(1,Reprogramaciones!$U$15)),"",IF(Reprogramaciones!W$12&gt;=7,"",IF(OR(CF302-N(CE302)&gt;0.05,N(AC302)&gt;0),ROUNDDOWN(ROUND(CF302,6),0)&amp;"%"&amp;IF(CV302="",""," / "&amp;CV302&amp;"%"),IF(AND(N(CE302)&gt;=99.95,CV302&lt;&gt;"",N(CV302)&lt;100),"Pend. "&amp;CV302&amp;"%",""))))</f>
        <v/>
      </c>
      <c r="AZ302" s="40" t="str">
        <f aca="false">IF(OR(OR(NOT(AND(ISNUMBER(E302),ISNUMBER(F302))),$J$2=""),14&gt;MAX(1,Reprogramaciones!$U$15)),"",IF(Reprogramaciones!X$12&gt;=7,"",IF(OR(CG302-N(CF302)&gt;0.05,N(AD302)&gt;0),ROUNDDOWN(ROUND(CG302,6),0)&amp;"%"&amp;IF(CW302="",""," / "&amp;CW302&amp;"%"),IF(AND(N(CF302)&gt;=99.95,CW302&lt;&gt;"",N(CW302)&lt;100),"Pend. "&amp;CW302&amp;"%",""))))</f>
        <v/>
      </c>
      <c r="BA302" s="40" t="str">
        <f aca="false">IF(OR(OR(NOT(AND(ISNUMBER(E302),ISNUMBER(F302))),$J$2=""),15&gt;MAX(1,Reprogramaciones!$U$15)),"",IF(Reprogramaciones!Y$12&gt;=7,"",IF(OR(CH302-N(CG302)&gt;0.05,N(AE302)&gt;0),ROUNDDOWN(ROUND(CH302,6),0)&amp;"%"&amp;IF(CX302="",""," / "&amp;CX302&amp;"%"),IF(AND(N(CG302)&gt;=99.95,CX302&lt;&gt;"",N(CX302)&lt;100),"Pend. "&amp;CX302&amp;"%",""))))</f>
        <v/>
      </c>
      <c r="BB302" s="40" t="str">
        <f aca="false">IF(OR(OR(NOT(AND(ISNUMBER(E302),ISNUMBER(F302))),$J$2=""),16&gt;MAX(1,Reprogramaciones!$U$15)),"",IF(Reprogramaciones!Z$12&gt;=7,"",IF(OR(CI302-N(CH302)&gt;0.05,N(AF302)&gt;0),ROUNDDOWN(ROUND(CI302,6),0)&amp;"%"&amp;IF(CY302="",""," / "&amp;CY302&amp;"%"),IF(AND(N(CH302)&gt;=99.95,CY302&lt;&gt;"",N(CY302)&lt;100),"Pend. "&amp;CY302&amp;"%",""))))</f>
        <v/>
      </c>
      <c r="BC302" s="31" t="n">
        <f aca="false">IF(AND(ISNUMBER(E302),ISNUMBER(F302)),MAX(1,NETWORKDAYS.INTL(E302,F302,11)),0)</f>
        <v>0</v>
      </c>
      <c r="BD302" s="1" t="str">
        <f aca="false">IF(OR(NOT(AND(ISNUMBER(E302),ISNUMBER(F302))),$J$2=""),"",MIN(100,ROUND(SUM($G302:G302),1)))</f>
        <v/>
      </c>
      <c r="BE302" s="1" t="str">
        <f aca="false">IF(OR(NOT(AND(ISNUMBER(E302),ISNUMBER(F302))),$J$2=""),"",MIN(100,ROUND(SUM($G302:H302),1)))</f>
        <v/>
      </c>
      <c r="BF302" s="1" t="str">
        <f aca="false">IF(OR(NOT(AND(ISNUMBER(E302),ISNUMBER(F302))),$J$2=""),"",MIN(100,ROUND(SUM($G302:I302),1)))</f>
        <v/>
      </c>
      <c r="BG302" s="1" t="str">
        <f aca="false">IF(OR(NOT(AND(ISNUMBER(E302),ISNUMBER(F302))),$J$2=""),"",MIN(100,ROUND(SUM($G302:J302),1)))</f>
        <v/>
      </c>
      <c r="BH302" s="1" t="str">
        <f aca="false">IF(OR(NOT(AND(ISNUMBER(E302),ISNUMBER(F302))),$J$2=""),"",MIN(100,ROUND(SUM($G302:K302),1)))</f>
        <v/>
      </c>
      <c r="BI302" s="1" t="str">
        <f aca="false">IF(OR(NOT(AND(ISNUMBER(E302),ISNUMBER(F302))),$J$2=""),"",MIN(100,ROUND(SUM($G302:L302),1)))</f>
        <v/>
      </c>
      <c r="BJ302" s="1" t="str">
        <f aca="false">IF(OR(NOT(AND(ISNUMBER(E302),ISNUMBER(F302))),$J$2=""),"",MIN(100,ROUND(SUM($G302:M302),1)))</f>
        <v/>
      </c>
      <c r="BK302" s="1" t="str">
        <f aca="false">IF(OR(NOT(AND(ISNUMBER(E302),ISNUMBER(F302))),$J$2=""),"",MIN(100,ROUND(SUM($G302:N302),1)))</f>
        <v/>
      </c>
      <c r="BL302" s="1" t="str">
        <f aca="false">IF(OR(NOT(AND(ISNUMBER(E302),ISNUMBER(F302))),$J$2=""),"",MIN(100,ROUND(SUM($G302:O302),1)))</f>
        <v/>
      </c>
      <c r="BM302" s="1" t="str">
        <f aca="false">IF(OR(NOT(AND(ISNUMBER(E302),ISNUMBER(F302))),$J$2=""),"",MIN(100,ROUND(SUM($G302:P302),1)))</f>
        <v/>
      </c>
      <c r="BN302" s="1" t="str">
        <f aca="false">IF(OR(NOT(AND(ISNUMBER(E302),ISNUMBER(F302))),$J$2=""),"",MIN(100,ROUND(SUM($G302:P302),1)))</f>
        <v/>
      </c>
      <c r="BO302" s="1" t="str">
        <f aca="false">IF(OR(NOT(AND(ISNUMBER(E302),ISNUMBER(F302))),$J$2=""),"",MIN(100,ROUND(SUM($G302:P302),1)))</f>
        <v/>
      </c>
      <c r="BP302" s="1" t="str">
        <f aca="false">IF(OR(NOT(AND(ISNUMBER(E302),ISNUMBER(F302))),$J$2=""),"",MIN(100,ROUND(SUM($G302:P302),1)))</f>
        <v/>
      </c>
      <c r="BQ302" s="1" t="str">
        <f aca="false">IF(OR(NOT(AND(ISNUMBER(E302),ISNUMBER(F302))),$J$2=""),"",MIN(100,ROUND(SUM($G302:P302),1)))</f>
        <v/>
      </c>
      <c r="BR302" s="1" t="str">
        <f aca="false">IF(OR(NOT(AND(ISNUMBER(E302),ISNUMBER(F302))),$J$2=""),"",MIN(100,ROUND(SUM($G302:P302),1)))</f>
        <v/>
      </c>
      <c r="BS302" s="1" t="str">
        <f aca="false">IF(OR(NOT(AND(ISNUMBER(E302),ISNUMBER(F302))),$J$2=""),"",MIN(100,ROUND(SUM($G302:P302),1)))</f>
        <v/>
      </c>
      <c r="BT302" s="1" t="str">
        <f aca="false">IF(OR(NOT(AND(ISNUMBER(E302),ISNUMBER(F302))),$J$2=""),"",IF(Reprogramaciones!K$13&lt;Reprogramaciones!$T$15,0,IF(Reprogramaciones!K$14&gt;10,MIN(100,SUM($G302:$P302)),MIN(100,SUMPRODUCT((COLUMN($G302:$P302)-COLUMN($G302)+1&lt;Reprogramaciones!K$14)*$G302:$P302)+N(INDEX($G302:$P302,1,Reprogramaciones!K$14))*IF(Reprogramaciones!K$13&gt;=(Reprogramaciones!$T$15+7*(Reprogramaciones!K$14-1))+6,1,IF(MAX(0,NETWORKDAYS.INTL(MAX(E302,(Reprogramaciones!$T$15+7*(Reprogramaciones!K$14-1))),MIN(F302,(Reprogramaciones!$T$15+7*(Reprogramaciones!K$14-1))+6),11))=0,0,MAX(0,NETWORKDAYS.INTL(MAX(E302,(Reprogramaciones!$T$15+7*(Reprogramaciones!K$14-1))),MIN(F302,Reprogramaciones!K$13),11))/MAX(0,NETWORKDAYS.INTL(MAX(E302,(Reprogramaciones!$T$15+7*(Reprogramaciones!K$14-1))),MIN(F302,(Reprogramaciones!$T$15+7*(Reprogramaciones!K$14-1))+6),11))))))))</f>
        <v/>
      </c>
      <c r="BU302" s="1" t="str">
        <f aca="false">IF(OR(NOT(AND(ISNUMBER(E302),ISNUMBER(F302))),$J$2=""),"",IF(Reprogramaciones!L$13&lt;Reprogramaciones!$T$15,0,IF(Reprogramaciones!L$14&gt;10,MIN(100,SUM($G302:$P302)),MIN(100,SUMPRODUCT((COLUMN($G302:$P302)-COLUMN($G302)+1&lt;Reprogramaciones!L$14)*$G302:$P302)+N(INDEX($G302:$P302,1,Reprogramaciones!L$14))*IF(Reprogramaciones!L$13&gt;=(Reprogramaciones!$T$15+7*(Reprogramaciones!L$14-1))+6,1,IF(MAX(0,NETWORKDAYS.INTL(MAX(E302,(Reprogramaciones!$T$15+7*(Reprogramaciones!L$14-1))),MIN(F302,(Reprogramaciones!$T$15+7*(Reprogramaciones!L$14-1))+6),11))=0,0,MAX(0,NETWORKDAYS.INTL(MAX(E302,(Reprogramaciones!$T$15+7*(Reprogramaciones!L$14-1))),MIN(F302,Reprogramaciones!L$13),11))/MAX(0,NETWORKDAYS.INTL(MAX(E302,(Reprogramaciones!$T$15+7*(Reprogramaciones!L$14-1))),MIN(F302,(Reprogramaciones!$T$15+7*(Reprogramaciones!L$14-1))+6),11))))))))</f>
        <v/>
      </c>
      <c r="BV302" s="1" t="str">
        <f aca="false">IF(OR(NOT(AND(ISNUMBER(E302),ISNUMBER(F302))),$J$2=""),"",IF(Reprogramaciones!M$13&lt;Reprogramaciones!$T$15,0,IF(Reprogramaciones!M$14&gt;10,MIN(100,SUM($G302:$P302)),MIN(100,SUMPRODUCT((COLUMN($G302:$P302)-COLUMN($G302)+1&lt;Reprogramaciones!M$14)*$G302:$P302)+N(INDEX($G302:$P302,1,Reprogramaciones!M$14))*IF(Reprogramaciones!M$13&gt;=(Reprogramaciones!$T$15+7*(Reprogramaciones!M$14-1))+6,1,IF(MAX(0,NETWORKDAYS.INTL(MAX(E302,(Reprogramaciones!$T$15+7*(Reprogramaciones!M$14-1))),MIN(F302,(Reprogramaciones!$T$15+7*(Reprogramaciones!M$14-1))+6),11))=0,0,MAX(0,NETWORKDAYS.INTL(MAX(E302,(Reprogramaciones!$T$15+7*(Reprogramaciones!M$14-1))),MIN(F302,Reprogramaciones!M$13),11))/MAX(0,NETWORKDAYS.INTL(MAX(E302,(Reprogramaciones!$T$15+7*(Reprogramaciones!M$14-1))),MIN(F302,(Reprogramaciones!$T$15+7*(Reprogramaciones!M$14-1))+6),11))))))))</f>
        <v/>
      </c>
      <c r="BW302" s="1" t="str">
        <f aca="false">IF(OR(NOT(AND(ISNUMBER(E302),ISNUMBER(F302))),$J$2=""),"",IF(Reprogramaciones!N$13&lt;Reprogramaciones!$T$15,0,IF(Reprogramaciones!N$14&gt;10,MIN(100,SUM($G302:$P302)),MIN(100,SUMPRODUCT((COLUMN($G302:$P302)-COLUMN($G302)+1&lt;Reprogramaciones!N$14)*$G302:$P302)+N(INDEX($G302:$P302,1,Reprogramaciones!N$14))*IF(Reprogramaciones!N$13&gt;=(Reprogramaciones!$T$15+7*(Reprogramaciones!N$14-1))+6,1,IF(MAX(0,NETWORKDAYS.INTL(MAX(E302,(Reprogramaciones!$T$15+7*(Reprogramaciones!N$14-1))),MIN(F302,(Reprogramaciones!$T$15+7*(Reprogramaciones!N$14-1))+6),11))=0,0,MAX(0,NETWORKDAYS.INTL(MAX(E302,(Reprogramaciones!$T$15+7*(Reprogramaciones!N$14-1))),MIN(F302,Reprogramaciones!N$13),11))/MAX(0,NETWORKDAYS.INTL(MAX(E302,(Reprogramaciones!$T$15+7*(Reprogramaciones!N$14-1))),MIN(F302,(Reprogramaciones!$T$15+7*(Reprogramaciones!N$14-1))+6),11))))))))</f>
        <v/>
      </c>
      <c r="BX302" s="1" t="str">
        <f aca="false">IF(OR(NOT(AND(ISNUMBER(E302),ISNUMBER(F302))),$J$2=""),"",IF(Reprogramaciones!O$13&lt;Reprogramaciones!$T$15,0,IF(Reprogramaciones!O$14&gt;10,MIN(100,SUM($G302:$P302)),MIN(100,SUMPRODUCT((COLUMN($G302:$P302)-COLUMN($G302)+1&lt;Reprogramaciones!O$14)*$G302:$P302)+N(INDEX($G302:$P302,1,Reprogramaciones!O$14))*IF(Reprogramaciones!O$13&gt;=(Reprogramaciones!$T$15+7*(Reprogramaciones!O$14-1))+6,1,IF(MAX(0,NETWORKDAYS.INTL(MAX(E302,(Reprogramaciones!$T$15+7*(Reprogramaciones!O$14-1))),MIN(F302,(Reprogramaciones!$T$15+7*(Reprogramaciones!O$14-1))+6),11))=0,0,MAX(0,NETWORKDAYS.INTL(MAX(E302,(Reprogramaciones!$T$15+7*(Reprogramaciones!O$14-1))),MIN(F302,Reprogramaciones!O$13),11))/MAX(0,NETWORKDAYS.INTL(MAX(E302,(Reprogramaciones!$T$15+7*(Reprogramaciones!O$14-1))),MIN(F302,(Reprogramaciones!$T$15+7*(Reprogramaciones!O$14-1))+6),11))))))))</f>
        <v/>
      </c>
      <c r="BY302" s="1" t="str">
        <f aca="false">IF(OR(NOT(AND(ISNUMBER(E302),ISNUMBER(F302))),$J$2=""),"",IF(Reprogramaciones!P$13&lt;Reprogramaciones!$T$15,0,IF(Reprogramaciones!P$14&gt;10,MIN(100,SUM($G302:$P302)),MIN(100,SUMPRODUCT((COLUMN($G302:$P302)-COLUMN($G302)+1&lt;Reprogramaciones!P$14)*$G302:$P302)+N(INDEX($G302:$P302,1,Reprogramaciones!P$14))*IF(Reprogramaciones!P$13&gt;=(Reprogramaciones!$T$15+7*(Reprogramaciones!P$14-1))+6,1,IF(MAX(0,NETWORKDAYS.INTL(MAX(E302,(Reprogramaciones!$T$15+7*(Reprogramaciones!P$14-1))),MIN(F302,(Reprogramaciones!$T$15+7*(Reprogramaciones!P$14-1))+6),11))=0,0,MAX(0,NETWORKDAYS.INTL(MAX(E302,(Reprogramaciones!$T$15+7*(Reprogramaciones!P$14-1))),MIN(F302,Reprogramaciones!P$13),11))/MAX(0,NETWORKDAYS.INTL(MAX(E302,(Reprogramaciones!$T$15+7*(Reprogramaciones!P$14-1))),MIN(F302,(Reprogramaciones!$T$15+7*(Reprogramaciones!P$14-1))+6),11))))))))</f>
        <v/>
      </c>
      <c r="BZ302" s="1" t="str">
        <f aca="false">IF(OR(NOT(AND(ISNUMBER(E302),ISNUMBER(F302))),$J$2=""),"",IF(Reprogramaciones!Q$13&lt;Reprogramaciones!$T$15,0,IF(Reprogramaciones!Q$14&gt;10,MIN(100,SUM($G302:$P302)),MIN(100,SUMPRODUCT((COLUMN($G302:$P302)-COLUMN($G302)+1&lt;Reprogramaciones!Q$14)*$G302:$P302)+N(INDEX($G302:$P302,1,Reprogramaciones!Q$14))*IF(Reprogramaciones!Q$13&gt;=(Reprogramaciones!$T$15+7*(Reprogramaciones!Q$14-1))+6,1,IF(MAX(0,NETWORKDAYS.INTL(MAX(E302,(Reprogramaciones!$T$15+7*(Reprogramaciones!Q$14-1))),MIN(F302,(Reprogramaciones!$T$15+7*(Reprogramaciones!Q$14-1))+6),11))=0,0,MAX(0,NETWORKDAYS.INTL(MAX(E302,(Reprogramaciones!$T$15+7*(Reprogramaciones!Q$14-1))),MIN(F302,Reprogramaciones!Q$13),11))/MAX(0,NETWORKDAYS.INTL(MAX(E302,(Reprogramaciones!$T$15+7*(Reprogramaciones!Q$14-1))),MIN(F302,(Reprogramaciones!$T$15+7*(Reprogramaciones!Q$14-1))+6),11))))))))</f>
        <v/>
      </c>
      <c r="CA302" s="1" t="str">
        <f aca="false">IF(OR(NOT(AND(ISNUMBER(E302),ISNUMBER(F302))),$J$2=""),"",IF(Reprogramaciones!R$13&lt;Reprogramaciones!$T$15,0,IF(Reprogramaciones!R$14&gt;10,MIN(100,SUM($G302:$P302)),MIN(100,SUMPRODUCT((COLUMN($G302:$P302)-COLUMN($G302)+1&lt;Reprogramaciones!R$14)*$G302:$P302)+N(INDEX($G302:$P302,1,Reprogramaciones!R$14))*IF(Reprogramaciones!R$13&gt;=(Reprogramaciones!$T$15+7*(Reprogramaciones!R$14-1))+6,1,IF(MAX(0,NETWORKDAYS.INTL(MAX(E302,(Reprogramaciones!$T$15+7*(Reprogramaciones!R$14-1))),MIN(F302,(Reprogramaciones!$T$15+7*(Reprogramaciones!R$14-1))+6),11))=0,0,MAX(0,NETWORKDAYS.INTL(MAX(E302,(Reprogramaciones!$T$15+7*(Reprogramaciones!R$14-1))),MIN(F302,Reprogramaciones!R$13),11))/MAX(0,NETWORKDAYS.INTL(MAX(E302,(Reprogramaciones!$T$15+7*(Reprogramaciones!R$14-1))),MIN(F302,(Reprogramaciones!$T$15+7*(Reprogramaciones!R$14-1))+6),11))))))))</f>
        <v/>
      </c>
      <c r="CB302" s="1" t="str">
        <f aca="false">IF(OR(NOT(AND(ISNUMBER(E302),ISNUMBER(F302))),$J$2=""),"",IF(Reprogramaciones!S$13&lt;Reprogramaciones!$T$15,0,IF(Reprogramaciones!S$14&gt;10,MIN(100,SUM($G302:$P302)),MIN(100,SUMPRODUCT((COLUMN($G302:$P302)-COLUMN($G302)+1&lt;Reprogramaciones!S$14)*$G302:$P302)+N(INDEX($G302:$P302,1,Reprogramaciones!S$14))*IF(Reprogramaciones!S$13&gt;=(Reprogramaciones!$T$15+7*(Reprogramaciones!S$14-1))+6,1,IF(MAX(0,NETWORKDAYS.INTL(MAX(E302,(Reprogramaciones!$T$15+7*(Reprogramaciones!S$14-1))),MIN(F302,(Reprogramaciones!$T$15+7*(Reprogramaciones!S$14-1))+6),11))=0,0,MAX(0,NETWORKDAYS.INTL(MAX(E302,(Reprogramaciones!$T$15+7*(Reprogramaciones!S$14-1))),MIN(F302,Reprogramaciones!S$13),11))/MAX(0,NETWORKDAYS.INTL(MAX(E302,(Reprogramaciones!$T$15+7*(Reprogramaciones!S$14-1))),MIN(F302,(Reprogramaciones!$T$15+7*(Reprogramaciones!S$14-1))+6),11))))))))</f>
        <v/>
      </c>
      <c r="CC302" s="1" t="str">
        <f aca="false">IF(OR(NOT(AND(ISNUMBER(E302),ISNUMBER(F302))),$J$2=""),"",IF(Reprogramaciones!T$13&lt;Reprogramaciones!$T$15,0,IF(Reprogramaciones!T$14&gt;10,MIN(100,SUM($G302:$P302)),MIN(100,SUMPRODUCT((COLUMN($G302:$P302)-COLUMN($G302)+1&lt;Reprogramaciones!T$14)*$G302:$P302)+N(INDEX($G302:$P302,1,Reprogramaciones!T$14))*IF(Reprogramaciones!T$13&gt;=(Reprogramaciones!$T$15+7*(Reprogramaciones!T$14-1))+6,1,IF(MAX(0,NETWORKDAYS.INTL(MAX(E302,(Reprogramaciones!$T$15+7*(Reprogramaciones!T$14-1))),MIN(F302,(Reprogramaciones!$T$15+7*(Reprogramaciones!T$14-1))+6),11))=0,0,MAX(0,NETWORKDAYS.INTL(MAX(E302,(Reprogramaciones!$T$15+7*(Reprogramaciones!T$14-1))),MIN(F302,Reprogramaciones!T$13),11))/MAX(0,NETWORKDAYS.INTL(MAX(E302,(Reprogramaciones!$T$15+7*(Reprogramaciones!T$14-1))),MIN(F302,(Reprogramaciones!$T$15+7*(Reprogramaciones!T$14-1))+6),11))))))))</f>
        <v/>
      </c>
      <c r="CD302" s="1" t="str">
        <f aca="false">IF(OR(NOT(AND(ISNUMBER(E302),ISNUMBER(F302))),$J$2=""),"",IF(Reprogramaciones!U$13&lt;Reprogramaciones!$T$15,0,IF(Reprogramaciones!U$14&gt;10,MIN(100,SUM($G302:$P302)),MIN(100,SUMPRODUCT((COLUMN($G302:$P302)-COLUMN($G302)+1&lt;Reprogramaciones!U$14)*$G302:$P302)+N(INDEX($G302:$P302,1,Reprogramaciones!U$14))*IF(Reprogramaciones!U$13&gt;=(Reprogramaciones!$T$15+7*(Reprogramaciones!U$14-1))+6,1,IF(MAX(0,NETWORKDAYS.INTL(MAX(E302,(Reprogramaciones!$T$15+7*(Reprogramaciones!U$14-1))),MIN(F302,(Reprogramaciones!$T$15+7*(Reprogramaciones!U$14-1))+6),11))=0,0,MAX(0,NETWORKDAYS.INTL(MAX(E302,(Reprogramaciones!$T$15+7*(Reprogramaciones!U$14-1))),MIN(F302,Reprogramaciones!U$13),11))/MAX(0,NETWORKDAYS.INTL(MAX(E302,(Reprogramaciones!$T$15+7*(Reprogramaciones!U$14-1))),MIN(F302,(Reprogramaciones!$T$15+7*(Reprogramaciones!U$14-1))+6),11))))))))</f>
        <v/>
      </c>
      <c r="CE302" s="1" t="str">
        <f aca="false">IF(OR(NOT(AND(ISNUMBER(E302),ISNUMBER(F302))),$J$2=""),"",IF(Reprogramaciones!V$13&lt;Reprogramaciones!$T$15,0,IF(Reprogramaciones!V$14&gt;10,MIN(100,SUM($G302:$P302)),MIN(100,SUMPRODUCT((COLUMN($G302:$P302)-COLUMN($G302)+1&lt;Reprogramaciones!V$14)*$G302:$P302)+N(INDEX($G302:$P302,1,Reprogramaciones!V$14))*IF(Reprogramaciones!V$13&gt;=(Reprogramaciones!$T$15+7*(Reprogramaciones!V$14-1))+6,1,IF(MAX(0,NETWORKDAYS.INTL(MAX(E302,(Reprogramaciones!$T$15+7*(Reprogramaciones!V$14-1))),MIN(F302,(Reprogramaciones!$T$15+7*(Reprogramaciones!V$14-1))+6),11))=0,0,MAX(0,NETWORKDAYS.INTL(MAX(E302,(Reprogramaciones!$T$15+7*(Reprogramaciones!V$14-1))),MIN(F302,Reprogramaciones!V$13),11))/MAX(0,NETWORKDAYS.INTL(MAX(E302,(Reprogramaciones!$T$15+7*(Reprogramaciones!V$14-1))),MIN(F302,(Reprogramaciones!$T$15+7*(Reprogramaciones!V$14-1))+6),11))))))))</f>
        <v/>
      </c>
      <c r="CF302" s="1" t="str">
        <f aca="false">IF(OR(NOT(AND(ISNUMBER(E302),ISNUMBER(F302))),$J$2=""),"",IF(Reprogramaciones!W$13&lt;Reprogramaciones!$T$15,0,IF(Reprogramaciones!W$14&gt;10,MIN(100,SUM($G302:$P302)),MIN(100,SUMPRODUCT((COLUMN($G302:$P302)-COLUMN($G302)+1&lt;Reprogramaciones!W$14)*$G302:$P302)+N(INDEX($G302:$P302,1,Reprogramaciones!W$14))*IF(Reprogramaciones!W$13&gt;=(Reprogramaciones!$T$15+7*(Reprogramaciones!W$14-1))+6,1,IF(MAX(0,NETWORKDAYS.INTL(MAX(E302,(Reprogramaciones!$T$15+7*(Reprogramaciones!W$14-1))),MIN(F302,(Reprogramaciones!$T$15+7*(Reprogramaciones!W$14-1))+6),11))=0,0,MAX(0,NETWORKDAYS.INTL(MAX(E302,(Reprogramaciones!$T$15+7*(Reprogramaciones!W$14-1))),MIN(F302,Reprogramaciones!W$13),11))/MAX(0,NETWORKDAYS.INTL(MAX(E302,(Reprogramaciones!$T$15+7*(Reprogramaciones!W$14-1))),MIN(F302,(Reprogramaciones!$T$15+7*(Reprogramaciones!W$14-1))+6),11))))))))</f>
        <v/>
      </c>
      <c r="CG302" s="1" t="str">
        <f aca="false">IF(OR(NOT(AND(ISNUMBER(E302),ISNUMBER(F302))),$J$2=""),"",IF(Reprogramaciones!X$13&lt;Reprogramaciones!$T$15,0,IF(Reprogramaciones!X$14&gt;10,MIN(100,SUM($G302:$P302)),MIN(100,SUMPRODUCT((COLUMN($G302:$P302)-COLUMN($G302)+1&lt;Reprogramaciones!X$14)*$G302:$P302)+N(INDEX($G302:$P302,1,Reprogramaciones!X$14))*IF(Reprogramaciones!X$13&gt;=(Reprogramaciones!$T$15+7*(Reprogramaciones!X$14-1))+6,1,IF(MAX(0,NETWORKDAYS.INTL(MAX(E302,(Reprogramaciones!$T$15+7*(Reprogramaciones!X$14-1))),MIN(F302,(Reprogramaciones!$T$15+7*(Reprogramaciones!X$14-1))+6),11))=0,0,MAX(0,NETWORKDAYS.INTL(MAX(E302,(Reprogramaciones!$T$15+7*(Reprogramaciones!X$14-1))),MIN(F302,Reprogramaciones!X$13),11))/MAX(0,NETWORKDAYS.INTL(MAX(E302,(Reprogramaciones!$T$15+7*(Reprogramaciones!X$14-1))),MIN(F302,(Reprogramaciones!$T$15+7*(Reprogramaciones!X$14-1))+6),11))))))))</f>
        <v/>
      </c>
      <c r="CH302" s="1" t="str">
        <f aca="false">IF(OR(NOT(AND(ISNUMBER(E302),ISNUMBER(F302))),$J$2=""),"",IF(Reprogramaciones!Y$13&lt;Reprogramaciones!$T$15,0,IF(Reprogramaciones!Y$14&gt;10,MIN(100,SUM($G302:$P302)),MIN(100,SUMPRODUCT((COLUMN($G302:$P302)-COLUMN($G302)+1&lt;Reprogramaciones!Y$14)*$G302:$P302)+N(INDEX($G302:$P302,1,Reprogramaciones!Y$14))*IF(Reprogramaciones!Y$13&gt;=(Reprogramaciones!$T$15+7*(Reprogramaciones!Y$14-1))+6,1,IF(MAX(0,NETWORKDAYS.INTL(MAX(E302,(Reprogramaciones!$T$15+7*(Reprogramaciones!Y$14-1))),MIN(F302,(Reprogramaciones!$T$15+7*(Reprogramaciones!Y$14-1))+6),11))=0,0,MAX(0,NETWORKDAYS.INTL(MAX(E302,(Reprogramaciones!$T$15+7*(Reprogramaciones!Y$14-1))),MIN(F302,Reprogramaciones!Y$13),11))/MAX(0,NETWORKDAYS.INTL(MAX(E302,(Reprogramaciones!$T$15+7*(Reprogramaciones!Y$14-1))),MIN(F302,(Reprogramaciones!$T$15+7*(Reprogramaciones!Y$14-1))+6),11))))))))</f>
        <v/>
      </c>
      <c r="CI302" s="1" t="str">
        <f aca="false">IF(OR(NOT(AND(ISNUMBER(E302),ISNUMBER(F302))),$J$2=""),"",IF(Reprogramaciones!Z$13&lt;Reprogramaciones!$T$15,0,IF(Reprogramaciones!Z$14&gt;10,MIN(100,SUM($G302:$P302)),MIN(100,SUMPRODUCT((COLUMN($G302:$P302)-COLUMN($G302)+1&lt;Reprogramaciones!Z$14)*$G302:$P302)+N(INDEX($G302:$P302,1,Reprogramaciones!Z$14))*IF(Reprogramaciones!Z$13&gt;=(Reprogramaciones!$T$15+7*(Reprogramaciones!Z$14-1))+6,1,IF(MAX(0,NETWORKDAYS.INTL(MAX(E302,(Reprogramaciones!$T$15+7*(Reprogramaciones!Z$14-1))),MIN(F302,(Reprogramaciones!$T$15+7*(Reprogramaciones!Z$14-1))+6),11))=0,0,MAX(0,NETWORKDAYS.INTL(MAX(E302,(Reprogramaciones!$T$15+7*(Reprogramaciones!Z$14-1))),MIN(F302,Reprogramaciones!Z$13),11))/MAX(0,NETWORKDAYS.INTL(MAX(E302,(Reprogramaciones!$T$15+7*(Reprogramaciones!Z$14-1))),MIN(F302,(Reprogramaciones!$T$15+7*(Reprogramaciones!Z$14-1))+6),11))))))))</f>
        <v/>
      </c>
      <c r="CJ302" s="1" t="str">
        <f aca="false">IF(OR(OR(NOT(AND(ISNUMBER(E302),ISNUMBER(F302))),$J$2=""),1&gt;Reprogramaciones!$K$16),"",IF(ROUND(SUM($Q302:Q302),1)&gt;=99.5,100,MIN(100,ROUND(SUM($Q302:Q302),1))))</f>
        <v/>
      </c>
      <c r="CK302" s="1" t="str">
        <f aca="false">IF(OR(OR(NOT(AND(ISNUMBER(E302),ISNUMBER(F302))),$J$2=""),2&gt;Reprogramaciones!$K$16),"",IF(ROUND(SUM($Q302:R302),1)&gt;=99.5,100,MIN(100,ROUND(SUM($Q302:R302),1))))</f>
        <v/>
      </c>
      <c r="CL302" s="1" t="str">
        <f aca="false">IF(OR(OR(NOT(AND(ISNUMBER(E302),ISNUMBER(F302))),$J$2=""),3&gt;Reprogramaciones!$K$16),"",IF(ROUND(SUM($Q302:S302),1)&gt;=99.5,100,MIN(100,ROUND(SUM($Q302:S302),1))))</f>
        <v/>
      </c>
      <c r="CM302" s="1" t="str">
        <f aca="false">IF(OR(OR(NOT(AND(ISNUMBER(E302),ISNUMBER(F302))),$J$2=""),4&gt;Reprogramaciones!$K$16),"",IF(ROUND(SUM($Q302:T302),1)&gt;=99.5,100,MIN(100,ROUND(SUM($Q302:T302),1))))</f>
        <v/>
      </c>
      <c r="CN302" s="1" t="str">
        <f aca="false">IF(OR(OR(NOT(AND(ISNUMBER(E302),ISNUMBER(F302))),$J$2=""),5&gt;Reprogramaciones!$K$16),"",IF(ROUND(SUM($Q302:U302),1)&gt;=99.5,100,MIN(100,ROUND(SUM($Q302:U302),1))))</f>
        <v/>
      </c>
      <c r="CO302" s="1" t="str">
        <f aca="false">IF(OR(OR(NOT(AND(ISNUMBER(E302),ISNUMBER(F302))),$J$2=""),6&gt;Reprogramaciones!$K$16),"",IF(ROUND(SUM($Q302:V302),1)&gt;=99.5,100,MIN(100,ROUND(SUM($Q302:V302),1))))</f>
        <v/>
      </c>
      <c r="CP302" s="1" t="str">
        <f aca="false">IF(OR(OR(NOT(AND(ISNUMBER(E302),ISNUMBER(F302))),$J$2=""),7&gt;Reprogramaciones!$K$16),"",IF(ROUND(SUM($Q302:W302),1)&gt;=99.5,100,MIN(100,ROUND(SUM($Q302:W302),1))))</f>
        <v/>
      </c>
      <c r="CQ302" s="1" t="str">
        <f aca="false">IF(OR(OR(NOT(AND(ISNUMBER(E302),ISNUMBER(F302))),$J$2=""),8&gt;Reprogramaciones!$K$16),"",IF(ROUND(SUM($Q302:X302),1)&gt;=99.5,100,MIN(100,ROUND(SUM($Q302:X302),1))))</f>
        <v/>
      </c>
      <c r="CR302" s="1" t="str">
        <f aca="false">IF(OR(OR(NOT(AND(ISNUMBER(E302),ISNUMBER(F302))),$J$2=""),9&gt;Reprogramaciones!$K$16),"",IF(ROUND(SUM($Q302:Y302),1)&gt;=99.5,100,MIN(100,ROUND(SUM($Q302:Y302),1))))</f>
        <v/>
      </c>
      <c r="CS302" s="1" t="str">
        <f aca="false">IF(OR(OR(NOT(AND(ISNUMBER(E302),ISNUMBER(F302))),$J$2=""),10&gt;Reprogramaciones!$K$16),"",IF(ROUND(SUM($Q302:Z302),1)&gt;=99.5,100,MIN(100,ROUND(SUM($Q302:Z302),1))))</f>
        <v/>
      </c>
      <c r="CT302" s="1" t="str">
        <f aca="false">IF(OR(OR(NOT(AND(ISNUMBER(E302),ISNUMBER(F302))),$J$2=""),11&gt;Reprogramaciones!$K$16),"",IF(ROUND(SUM($Q302:AA302),1)&gt;=99.5,100,MIN(100,ROUND(SUM($Q302:AA302),1))))</f>
        <v/>
      </c>
      <c r="CU302" s="1" t="str">
        <f aca="false">IF(OR(OR(NOT(AND(ISNUMBER(E302),ISNUMBER(F302))),$J$2=""),12&gt;Reprogramaciones!$K$16),"",IF(ROUND(SUM($Q302:AB302),1)&gt;=99.5,100,MIN(100,ROUND(SUM($Q302:AB302),1))))</f>
        <v/>
      </c>
      <c r="CV302" s="1" t="str">
        <f aca="false">IF(OR(OR(NOT(AND(ISNUMBER(E302),ISNUMBER(F302))),$J$2=""),13&gt;Reprogramaciones!$K$16),"",IF(ROUND(SUM($Q302:AC302),1)&gt;=99.5,100,MIN(100,ROUND(SUM($Q302:AC302),1))))</f>
        <v/>
      </c>
      <c r="CW302" s="1" t="str">
        <f aca="false">IF(OR(OR(NOT(AND(ISNUMBER(E302),ISNUMBER(F302))),$J$2=""),14&gt;Reprogramaciones!$K$16),"",IF(ROUND(SUM($Q302:AD302),1)&gt;=99.5,100,MIN(100,ROUND(SUM($Q302:AD302),1))))</f>
        <v/>
      </c>
      <c r="CX302" s="1" t="str">
        <f aca="false">IF(OR(OR(NOT(AND(ISNUMBER(E302),ISNUMBER(F302))),$J$2=""),15&gt;Reprogramaciones!$K$16),"",IF(ROUND(SUM($Q302:AE302),1)&gt;=99.5,100,MIN(100,ROUND(SUM($Q302:AE302),1))))</f>
        <v/>
      </c>
      <c r="CY302" s="1" t="str">
        <f aca="false">IF(OR(OR(NOT(AND(ISNUMBER(E302),ISNUMBER(F302))),$J$2=""),16&gt;Reprogramaciones!$K$16),"",IF(ROUND(SUM($Q302:AF302),1)&gt;=99.5,100,MIN(100,ROUND(SUM($Q302:AF302),1))))</f>
        <v/>
      </c>
      <c r="CZ302" s="1" t="str">
        <f aca="false">IF(D302&lt;&gt;"",D302,IF(B302&lt;&gt;"","Contractual",CZ301))</f>
        <v>Contractual</v>
      </c>
      <c r="DA302" s="1" t="str">
        <f aca="false">IF(OR(NOT(AND(ISNUMBER(E302),ISNUMBER(F302))),$J$2=""),"",IF(Reprogramaciones!$Q$15&lt;Reprogramaciones!$T$15,0,IF(Reprogramaciones!$S$15&gt;10,MIN(100,SUM($G302:$P302)),MIN(100,SUMPRODUCT((COLUMN($G302:$P302)-COLUMN($G302)+1&lt;Reprogramaciones!$S$15)*$G302:$P302)+N(INDEX($G302:$P302,1,Reprogramaciones!$S$15))*IF(Reprogramaciones!$Q$15&gt;=(Reprogramaciones!$T$15+7*(Reprogramaciones!$S$15-1))+6,1,IF(MAX(0,NETWORKDAYS.INTL(MAX(E302,(Reprogramaciones!$T$15+7*(Reprogramaciones!$S$15-1))),MIN(F302,(Reprogramaciones!$T$15+7*(Reprogramaciones!$S$15-1))+6),11))=0,0,MAX(0,NETWORKDAYS.INTL(MAX(E302,(Reprogramaciones!$T$15+7*(Reprogramaciones!$S$15-1))),MIN(F302,Reprogramaciones!$Q$15),11))/MAX(0,NETWORKDAYS.INTL(MAX(E302,(Reprogramaciones!$T$15+7*(Reprogramaciones!$S$15-1))),MIN(F302,(Reprogramaciones!$T$15+7*(Reprogramaciones!$S$15-1))+6),11))))))))</f>
        <v/>
      </c>
    </row>
    <row r="303" customFormat="false" ht="15" hidden="false" customHeight="false" outlineLevel="0" collapsed="false">
      <c r="A303" s="32"/>
      <c r="B303" s="33"/>
      <c r="C303" s="33"/>
      <c r="D303" s="34"/>
      <c r="E303" s="35"/>
      <c r="F303" s="35"/>
      <c r="G303" s="36" t="str">
        <f aca="false">IF(OR(NOT(AND(ISNUMBER(E303),ISNUMBER(F303))),$J$2=""),"",IF(Reprogramaciones!K$9&lt;E303,0,IF(NETWORKDAYS.INTL(E303,F303,11)=0,IF(Reprogramaciones!K$9&gt;=F303,100,0),ROUND(NETWORKDAYS.INTL(E303,MIN(F303,Reprogramaciones!K$9),11)/NETWORKDAYS.INTL(E303,F303,11)*100,1)))-0)</f>
        <v/>
      </c>
      <c r="H303" s="36" t="str">
        <f aca="false">IF(OR(NOT(AND(ISNUMBER(E303),ISNUMBER(F303))),$J$2=""),"",IF(Reprogramaciones!L$9&lt;E303,0,IF(NETWORKDAYS.INTL(E303,F303,11)=0,IF(Reprogramaciones!L$9&gt;=F303,100,0),ROUND(NETWORKDAYS.INTL(E303,MIN(F303,Reprogramaciones!L$9),11)/NETWORKDAYS.INTL(E303,F303,11)*100,1)))-IF(Reprogramaciones!K$9&lt;E303,0,IF(NETWORKDAYS.INTL(E303,F303,11)=0,IF(Reprogramaciones!K$9&gt;=F303,100,0),ROUND(NETWORKDAYS.INTL(E303,MIN(F303,Reprogramaciones!K$9),11)/NETWORKDAYS.INTL(E303,F303,11)*100,1))))</f>
        <v/>
      </c>
      <c r="I303" s="36" t="str">
        <f aca="false">IF(OR(NOT(AND(ISNUMBER(E303),ISNUMBER(F303))),$J$2=""),"",IF(Reprogramaciones!M$9&lt;E303,0,IF(NETWORKDAYS.INTL(E303,F303,11)=0,IF(Reprogramaciones!M$9&gt;=F303,100,0),ROUND(NETWORKDAYS.INTL(E303,MIN(F303,Reprogramaciones!M$9),11)/NETWORKDAYS.INTL(E303,F303,11)*100,1)))-IF(Reprogramaciones!L$9&lt;E303,0,IF(NETWORKDAYS.INTL(E303,F303,11)=0,IF(Reprogramaciones!L$9&gt;=F303,100,0),ROUND(NETWORKDAYS.INTL(E303,MIN(F303,Reprogramaciones!L$9),11)/NETWORKDAYS.INTL(E303,F303,11)*100,1))))</f>
        <v/>
      </c>
      <c r="J303" s="36" t="str">
        <f aca="false">IF(OR(NOT(AND(ISNUMBER(E303),ISNUMBER(F303))),$J$2=""),"",IF(Reprogramaciones!N$9&lt;E303,0,IF(NETWORKDAYS.INTL(E303,F303,11)=0,IF(Reprogramaciones!N$9&gt;=F303,100,0),ROUND(NETWORKDAYS.INTL(E303,MIN(F303,Reprogramaciones!N$9),11)/NETWORKDAYS.INTL(E303,F303,11)*100,1)))-IF(Reprogramaciones!M$9&lt;E303,0,IF(NETWORKDAYS.INTL(E303,F303,11)=0,IF(Reprogramaciones!M$9&gt;=F303,100,0),ROUND(NETWORKDAYS.INTL(E303,MIN(F303,Reprogramaciones!M$9),11)/NETWORKDAYS.INTL(E303,F303,11)*100,1))))</f>
        <v/>
      </c>
      <c r="K303" s="36" t="str">
        <f aca="false">IF(OR(NOT(AND(ISNUMBER(E303),ISNUMBER(F303))),$J$2=""),"",IF(Reprogramaciones!O$9&lt;E303,0,IF(NETWORKDAYS.INTL(E303,F303,11)=0,IF(Reprogramaciones!O$9&gt;=F303,100,0),ROUND(NETWORKDAYS.INTL(E303,MIN(F303,Reprogramaciones!O$9),11)/NETWORKDAYS.INTL(E303,F303,11)*100,1)))-IF(Reprogramaciones!N$9&lt;E303,0,IF(NETWORKDAYS.INTL(E303,F303,11)=0,IF(Reprogramaciones!N$9&gt;=F303,100,0),ROUND(NETWORKDAYS.INTL(E303,MIN(F303,Reprogramaciones!N$9),11)/NETWORKDAYS.INTL(E303,F303,11)*100,1))))</f>
        <v/>
      </c>
      <c r="L303" s="36" t="str">
        <f aca="false">IF(OR(NOT(AND(ISNUMBER(E303),ISNUMBER(F303))),$J$2=""),"",IF(Reprogramaciones!P$9&lt;E303,0,IF(NETWORKDAYS.INTL(E303,F303,11)=0,IF(Reprogramaciones!P$9&gt;=F303,100,0),ROUND(NETWORKDAYS.INTL(E303,MIN(F303,Reprogramaciones!P$9),11)/NETWORKDAYS.INTL(E303,F303,11)*100,1)))-IF(Reprogramaciones!O$9&lt;E303,0,IF(NETWORKDAYS.INTL(E303,F303,11)=0,IF(Reprogramaciones!O$9&gt;=F303,100,0),ROUND(NETWORKDAYS.INTL(E303,MIN(F303,Reprogramaciones!O$9),11)/NETWORKDAYS.INTL(E303,F303,11)*100,1))))</f>
        <v/>
      </c>
      <c r="M303" s="36" t="str">
        <f aca="false">IF(OR(NOT(AND(ISNUMBER(E303),ISNUMBER(F303))),$J$2=""),"",IF(Reprogramaciones!Q$9&lt;E303,0,IF(NETWORKDAYS.INTL(E303,F303,11)=0,IF(Reprogramaciones!Q$9&gt;=F303,100,0),ROUND(NETWORKDAYS.INTL(E303,MIN(F303,Reprogramaciones!Q$9),11)/NETWORKDAYS.INTL(E303,F303,11)*100,1)))-IF(Reprogramaciones!P$9&lt;E303,0,IF(NETWORKDAYS.INTL(E303,F303,11)=0,IF(Reprogramaciones!P$9&gt;=F303,100,0),ROUND(NETWORKDAYS.INTL(E303,MIN(F303,Reprogramaciones!P$9),11)/NETWORKDAYS.INTL(E303,F303,11)*100,1))))</f>
        <v/>
      </c>
      <c r="N303" s="36" t="str">
        <f aca="false">IF(OR(NOT(AND(ISNUMBER(E303),ISNUMBER(F303))),$J$2=""),"",IF(Reprogramaciones!R$9&lt;E303,0,IF(NETWORKDAYS.INTL(E303,F303,11)=0,IF(Reprogramaciones!R$9&gt;=F303,100,0),ROUND(NETWORKDAYS.INTL(E303,MIN(F303,Reprogramaciones!R$9),11)/NETWORKDAYS.INTL(E303,F303,11)*100,1)))-IF(Reprogramaciones!Q$9&lt;E303,0,IF(NETWORKDAYS.INTL(E303,F303,11)=0,IF(Reprogramaciones!Q$9&gt;=F303,100,0),ROUND(NETWORKDAYS.INTL(E303,MIN(F303,Reprogramaciones!Q$9),11)/NETWORKDAYS.INTL(E303,F303,11)*100,1))))</f>
        <v/>
      </c>
      <c r="O303" s="36" t="str">
        <f aca="false">IF(OR(NOT(AND(ISNUMBER(E303),ISNUMBER(F303))),$J$2=""),"",IF(Reprogramaciones!S$9&lt;E303,0,IF(NETWORKDAYS.INTL(E303,F303,11)=0,IF(Reprogramaciones!S$9&gt;=F303,100,0),ROUND(NETWORKDAYS.INTL(E303,MIN(F303,Reprogramaciones!S$9),11)/NETWORKDAYS.INTL(E303,F303,11)*100,1)))-IF(Reprogramaciones!R$9&lt;E303,0,IF(NETWORKDAYS.INTL(E303,F303,11)=0,IF(Reprogramaciones!R$9&gt;=F303,100,0),ROUND(NETWORKDAYS.INTL(E303,MIN(F303,Reprogramaciones!R$9),11)/NETWORKDAYS.INTL(E303,F303,11)*100,1))))</f>
        <v/>
      </c>
      <c r="P303" s="36" t="str">
        <f aca="false">IF(OR(NOT(AND(ISNUMBER(E303),ISNUMBER(F303))),$J$2=""),"",IF(Reprogramaciones!T$9&lt;E303,0,IF(NETWORKDAYS.INTL(E303,F303,11)=0,IF(Reprogramaciones!T$9&gt;=F303,100,0),ROUND(NETWORKDAYS.INTL(E303,MIN(F303,Reprogramaciones!T$9),11)/NETWORKDAYS.INTL(E303,F303,11)*100,1)))-IF(Reprogramaciones!S$9&lt;E303,0,IF(NETWORKDAYS.INTL(E303,F303,11)=0,IF(Reprogramaciones!S$9&gt;=F303,100,0),ROUND(NETWORKDAYS.INTL(E303,MIN(F303,Reprogramaciones!S$9),11)/NETWORKDAYS.INTL(E303,F303,11)*100,1))))</f>
        <v/>
      </c>
      <c r="Q303" s="37"/>
      <c r="R303" s="37"/>
      <c r="S303" s="37"/>
      <c r="T303" s="37"/>
      <c r="U303" s="37"/>
      <c r="V303" s="37"/>
      <c r="W303" s="37"/>
      <c r="X303" s="37"/>
      <c r="Y303" s="37"/>
      <c r="Z303" s="37"/>
      <c r="AA303" s="37"/>
      <c r="AB303" s="37"/>
      <c r="AC303" s="37"/>
      <c r="AD303" s="37"/>
      <c r="AE303" s="37"/>
      <c r="AF303" s="37"/>
      <c r="AG303" s="38" t="str">
        <f aca="false">IF(AND(ISNUMBER(E303),ISNUMBER(F303)),NETWORKDAYS.INTL(E303,F303,11),"")</f>
        <v/>
      </c>
      <c r="AH303" s="38" t="str">
        <f aca="false">IF(OR(NOT(AND(ISNUMBER(E303),ISNUMBER(F303))),$J$2=""),"",IF(Reprogramaciones!$P$15&lt;Reprogramaciones!$T$15,0,IF(Reprogramaciones!$R$15&gt;10,MIN(100,SUM($G303:$P303)),MIN(100,SUMPRODUCT((COLUMN($G303:$P303)-COLUMN($G303)+1&lt;Reprogramaciones!$R$15)*$G303:$P303)+N(INDEX($G303:$P303,1,Reprogramaciones!$R$15))*IF(Reprogramaciones!$P$15&gt;=(Reprogramaciones!$T$15+7*(Reprogramaciones!$R$15-1))+6,1,IF(MAX(0,NETWORKDAYS.INTL(MAX(E303,(Reprogramaciones!$T$15+7*(Reprogramaciones!$R$15-1))),MIN(F303,(Reprogramaciones!$T$15+7*(Reprogramaciones!$R$15-1))+6),11))=0,0,MAX(0,NETWORKDAYS.INTL(MAX(E303,(Reprogramaciones!$T$15+7*(Reprogramaciones!$R$15-1))),MIN(F303,Reprogramaciones!$P$15),11))/MAX(0,NETWORKDAYS.INTL(MAX(E303,(Reprogramaciones!$T$15+7*(Reprogramaciones!$R$15-1))),MIN(F303,(Reprogramaciones!$T$15+7*(Reprogramaciones!$R$15-1))+6),11))))))))</f>
        <v/>
      </c>
      <c r="AI303" s="38" t="str">
        <f aca="false">IF(COUNT($Q303:$AF303)=0,"",IF(ROUND(SUM($Q303:$AF303),1)&gt;=99.5,100,MIN(100,ROUND(SUM($Q303:$AF303),1))))</f>
        <v/>
      </c>
      <c r="AJ303" s="38" t="str">
        <f aca="false">IF(OR(AH303="",AI303=""),"",AI303-AH303)</f>
        <v/>
      </c>
      <c r="AK303" s="39" t="str">
        <f aca="true">IF(AH303="","",IF(OR(Ficha!$C$10="Suspendida",Ficha!$C$10="Cancelada"),Ficha!$C$10,IF(AND(AI303&lt;&gt;"",N(AI303)&gt;=100),"Completada",IF(AND(E303&gt;TODAY(),N(AI303)=0),"Por iniciar",IF(N(AI303)+0.5&lt;AH303,"Retrasada",IF(N(AI303)+0.5&lt;DA303,IF(Reprogramaciones!$K$15&gt;0,"Al día · Sem "&amp;Reprogramaciones!$K$15&amp;" en curso","Al día · en curso"),"A tiempo"))))))</f>
        <v/>
      </c>
      <c r="AL303" s="39" t="str">
        <f aca="true">IF(AND(A303="",AND(B303="",C303="",E303="",F303="",COUNT(Q303:AF303)=0)),"",IF(AND(B303="",C303="",E303="",F303="",COUNT(Q303:AF303)=0),"Falta la partida o subpartida",IF(AND(A303&lt;&gt;"",COUNTIF($A$6:$A$305,A303)&gt;1),"Ítem repetido",IF(AND(C303="",E303="",F303="",COUNT(Q303:AF303)=0),"Título de partida",IF(OR(E303="",F303=""),"Faltan fechas",IF(OR(ISTEXT(E303),ISTEXT(F303)),"Fecha escrita como texto: usa dd/mm/aaaa",IF(F303&lt;E303,"Fin antes del inicio",IF(IF($J$2="",FALSE(),OR(E303&lt;$J$2,F303&gt;Reprogramaciones!$T$15+69)),"Fuera de las 10 semanas",IF(ABS(SUM(G303:P303)-100)&gt;0.5,"La meta no suma 100%",IF(ROUND(SUM(Q303:AF303),1)&gt;100.5,"El avance pasa de 100%",IF(MIN(Q303:AF303)&lt;0,"Avance negativo",IF(COUNTA(Q303:AF303)&gt;COUNT(Q303:AF303),"Avance escrito como texto",IF(SUMPRODUCT((Q303:AF303&gt;0)*(Q303:AF303&lt;1))&gt;0,"Avance menor a 1: escribe 50, no 50%",IF(SUMPRODUCT(ISNUMBER(Q303:AF303)*(Reprogramaciones!$K$8:$Z$8&gt;TODAY()))&gt;0,"Avance en semana que aún no llega",IF(AND(N(Reprogramaciones!$E$21)&gt;0,F303&gt;Reprogramaciones!$E$21),"Pasa el fin de la obra: registra una reprogramación",IF(AND(N(Reprogramaciones!$E$21)&gt;0,SUMPRODUCT(ISNUMBER(Q303:AF303)*(Reprogramaciones!$K$8:$Z$8&gt;Reprogramaciones!$E$21))&gt;0),"Avance después del fin de la obra: registra una reprogramación por atraso","OK"))))))))))))))))</f>
        <v/>
      </c>
      <c r="AM303" s="40" t="str">
        <f aca="false">IF(OR(OR(NOT(AND(ISNUMBER(E303),ISNUMBER(F303))),$J$2=""),1&gt;MAX(1,Reprogramaciones!$U$15)),"",IF(Reprogramaciones!K$12&gt;=7,"",IF(OR(BT303-N(0)&gt;0.05,N(Q303)&gt;0),ROUNDDOWN(ROUND(BT303,6),0)&amp;"%"&amp;IF(CJ303="",""," / "&amp;CJ303&amp;"%"),IF(AND(N(0)&gt;=99.95,CJ303&lt;&gt;"",N(CJ303)&lt;100),"Pend. "&amp;CJ303&amp;"%",""))))</f>
        <v/>
      </c>
      <c r="AN303" s="40" t="str">
        <f aca="false">IF(OR(OR(NOT(AND(ISNUMBER(E303),ISNUMBER(F303))),$J$2=""),2&gt;MAX(1,Reprogramaciones!$U$15)),"",IF(Reprogramaciones!L$12&gt;=7,"",IF(OR(BU303-N(BT303)&gt;0.05,N(R303)&gt;0),ROUNDDOWN(ROUND(BU303,6),0)&amp;"%"&amp;IF(CK303="",""," / "&amp;CK303&amp;"%"),IF(AND(N(BT303)&gt;=99.95,CK303&lt;&gt;"",N(CK303)&lt;100),"Pend. "&amp;CK303&amp;"%",""))))</f>
        <v/>
      </c>
      <c r="AO303" s="40" t="str">
        <f aca="false">IF(OR(OR(NOT(AND(ISNUMBER(E303),ISNUMBER(F303))),$J$2=""),3&gt;MAX(1,Reprogramaciones!$U$15)),"",IF(Reprogramaciones!M$12&gt;=7,"",IF(OR(BV303-N(BU303)&gt;0.05,N(S303)&gt;0),ROUNDDOWN(ROUND(BV303,6),0)&amp;"%"&amp;IF(CL303="",""," / "&amp;CL303&amp;"%"),IF(AND(N(BU303)&gt;=99.95,CL303&lt;&gt;"",N(CL303)&lt;100),"Pend. "&amp;CL303&amp;"%",""))))</f>
        <v/>
      </c>
      <c r="AP303" s="40" t="str">
        <f aca="false">IF(OR(OR(NOT(AND(ISNUMBER(E303),ISNUMBER(F303))),$J$2=""),4&gt;MAX(1,Reprogramaciones!$U$15)),"",IF(Reprogramaciones!N$12&gt;=7,"",IF(OR(BW303-N(BV303)&gt;0.05,N(T303)&gt;0),ROUNDDOWN(ROUND(BW303,6),0)&amp;"%"&amp;IF(CM303="",""," / "&amp;CM303&amp;"%"),IF(AND(N(BV303)&gt;=99.95,CM303&lt;&gt;"",N(CM303)&lt;100),"Pend. "&amp;CM303&amp;"%",""))))</f>
        <v/>
      </c>
      <c r="AQ303" s="40" t="str">
        <f aca="false">IF(OR(OR(NOT(AND(ISNUMBER(E303),ISNUMBER(F303))),$J$2=""),5&gt;MAX(1,Reprogramaciones!$U$15)),"",IF(Reprogramaciones!O$12&gt;=7,"",IF(OR(BX303-N(BW303)&gt;0.05,N(U303)&gt;0),ROUNDDOWN(ROUND(BX303,6),0)&amp;"%"&amp;IF(CN303="",""," / "&amp;CN303&amp;"%"),IF(AND(N(BW303)&gt;=99.95,CN303&lt;&gt;"",N(CN303)&lt;100),"Pend. "&amp;CN303&amp;"%",""))))</f>
        <v/>
      </c>
      <c r="AR303" s="40" t="str">
        <f aca="false">IF(OR(OR(NOT(AND(ISNUMBER(E303),ISNUMBER(F303))),$J$2=""),6&gt;MAX(1,Reprogramaciones!$U$15)),"",IF(Reprogramaciones!P$12&gt;=7,"",IF(OR(BY303-N(BX303)&gt;0.05,N(V303)&gt;0),ROUNDDOWN(ROUND(BY303,6),0)&amp;"%"&amp;IF(CO303="",""," / "&amp;CO303&amp;"%"),IF(AND(N(BX303)&gt;=99.95,CO303&lt;&gt;"",N(CO303)&lt;100),"Pend. "&amp;CO303&amp;"%",""))))</f>
        <v/>
      </c>
      <c r="AS303" s="40" t="str">
        <f aca="false">IF(OR(OR(NOT(AND(ISNUMBER(E303),ISNUMBER(F303))),$J$2=""),7&gt;MAX(1,Reprogramaciones!$U$15)),"",IF(Reprogramaciones!Q$12&gt;=7,"",IF(OR(BZ303-N(BY303)&gt;0.05,N(W303)&gt;0),ROUNDDOWN(ROUND(BZ303,6),0)&amp;"%"&amp;IF(CP303="",""," / "&amp;CP303&amp;"%"),IF(AND(N(BY303)&gt;=99.95,CP303&lt;&gt;"",N(CP303)&lt;100),"Pend. "&amp;CP303&amp;"%",""))))</f>
        <v/>
      </c>
      <c r="AT303" s="40" t="str">
        <f aca="false">IF(OR(OR(NOT(AND(ISNUMBER(E303),ISNUMBER(F303))),$J$2=""),8&gt;MAX(1,Reprogramaciones!$U$15)),"",IF(Reprogramaciones!R$12&gt;=7,"",IF(OR(CA303-N(BZ303)&gt;0.05,N(X303)&gt;0),ROUNDDOWN(ROUND(CA303,6),0)&amp;"%"&amp;IF(CQ303="",""," / "&amp;CQ303&amp;"%"),IF(AND(N(BZ303)&gt;=99.95,CQ303&lt;&gt;"",N(CQ303)&lt;100),"Pend. "&amp;CQ303&amp;"%",""))))</f>
        <v/>
      </c>
      <c r="AU303" s="40" t="str">
        <f aca="false">IF(OR(OR(NOT(AND(ISNUMBER(E303),ISNUMBER(F303))),$J$2=""),9&gt;MAX(1,Reprogramaciones!$U$15)),"",IF(Reprogramaciones!S$12&gt;=7,"",IF(OR(CB303-N(CA303)&gt;0.05,N(Y303)&gt;0),ROUNDDOWN(ROUND(CB303,6),0)&amp;"%"&amp;IF(CR303="",""," / "&amp;CR303&amp;"%"),IF(AND(N(CA303)&gt;=99.95,CR303&lt;&gt;"",N(CR303)&lt;100),"Pend. "&amp;CR303&amp;"%",""))))</f>
        <v/>
      </c>
      <c r="AV303" s="40" t="str">
        <f aca="false">IF(OR(OR(NOT(AND(ISNUMBER(E303),ISNUMBER(F303))),$J$2=""),10&gt;MAX(1,Reprogramaciones!$U$15)),"",IF(Reprogramaciones!T$12&gt;=7,"",IF(OR(CC303-N(CB303)&gt;0.05,N(Z303)&gt;0),ROUNDDOWN(ROUND(CC303,6),0)&amp;"%"&amp;IF(CS303="",""," / "&amp;CS303&amp;"%"),IF(AND(N(CB303)&gt;=99.95,CS303&lt;&gt;"",N(CS303)&lt;100),"Pend. "&amp;CS303&amp;"%",""))))</f>
        <v/>
      </c>
      <c r="AW303" s="40" t="str">
        <f aca="false">IF(OR(OR(NOT(AND(ISNUMBER(E303),ISNUMBER(F303))),$J$2=""),11&gt;MAX(1,Reprogramaciones!$U$15)),"",IF(Reprogramaciones!U$12&gt;=7,"",IF(OR(CD303-N(CC303)&gt;0.05,N(AA303)&gt;0),ROUNDDOWN(ROUND(CD303,6),0)&amp;"%"&amp;IF(CT303="",""," / "&amp;CT303&amp;"%"),IF(AND(N(CC303)&gt;=99.95,CT303&lt;&gt;"",N(CT303)&lt;100),"Pend. "&amp;CT303&amp;"%",""))))</f>
        <v/>
      </c>
      <c r="AX303" s="40" t="str">
        <f aca="false">IF(OR(OR(NOT(AND(ISNUMBER(E303),ISNUMBER(F303))),$J$2=""),12&gt;MAX(1,Reprogramaciones!$U$15)),"",IF(Reprogramaciones!V$12&gt;=7,"",IF(OR(CE303-N(CD303)&gt;0.05,N(AB303)&gt;0),ROUNDDOWN(ROUND(CE303,6),0)&amp;"%"&amp;IF(CU303="",""," / "&amp;CU303&amp;"%"),IF(AND(N(CD303)&gt;=99.95,CU303&lt;&gt;"",N(CU303)&lt;100),"Pend. "&amp;CU303&amp;"%",""))))</f>
        <v/>
      </c>
      <c r="AY303" s="40" t="str">
        <f aca="false">IF(OR(OR(NOT(AND(ISNUMBER(E303),ISNUMBER(F303))),$J$2=""),13&gt;MAX(1,Reprogramaciones!$U$15)),"",IF(Reprogramaciones!W$12&gt;=7,"",IF(OR(CF303-N(CE303)&gt;0.05,N(AC303)&gt;0),ROUNDDOWN(ROUND(CF303,6),0)&amp;"%"&amp;IF(CV303="",""," / "&amp;CV303&amp;"%"),IF(AND(N(CE303)&gt;=99.95,CV303&lt;&gt;"",N(CV303)&lt;100),"Pend. "&amp;CV303&amp;"%",""))))</f>
        <v/>
      </c>
      <c r="AZ303" s="40" t="str">
        <f aca="false">IF(OR(OR(NOT(AND(ISNUMBER(E303),ISNUMBER(F303))),$J$2=""),14&gt;MAX(1,Reprogramaciones!$U$15)),"",IF(Reprogramaciones!X$12&gt;=7,"",IF(OR(CG303-N(CF303)&gt;0.05,N(AD303)&gt;0),ROUNDDOWN(ROUND(CG303,6),0)&amp;"%"&amp;IF(CW303="",""," / "&amp;CW303&amp;"%"),IF(AND(N(CF303)&gt;=99.95,CW303&lt;&gt;"",N(CW303)&lt;100),"Pend. "&amp;CW303&amp;"%",""))))</f>
        <v/>
      </c>
      <c r="BA303" s="40" t="str">
        <f aca="false">IF(OR(OR(NOT(AND(ISNUMBER(E303),ISNUMBER(F303))),$J$2=""),15&gt;MAX(1,Reprogramaciones!$U$15)),"",IF(Reprogramaciones!Y$12&gt;=7,"",IF(OR(CH303-N(CG303)&gt;0.05,N(AE303)&gt;0),ROUNDDOWN(ROUND(CH303,6),0)&amp;"%"&amp;IF(CX303="",""," / "&amp;CX303&amp;"%"),IF(AND(N(CG303)&gt;=99.95,CX303&lt;&gt;"",N(CX303)&lt;100),"Pend. "&amp;CX303&amp;"%",""))))</f>
        <v/>
      </c>
      <c r="BB303" s="40" t="str">
        <f aca="false">IF(OR(OR(NOT(AND(ISNUMBER(E303),ISNUMBER(F303))),$J$2=""),16&gt;MAX(1,Reprogramaciones!$U$15)),"",IF(Reprogramaciones!Z$12&gt;=7,"",IF(OR(CI303-N(CH303)&gt;0.05,N(AF303)&gt;0),ROUNDDOWN(ROUND(CI303,6),0)&amp;"%"&amp;IF(CY303="",""," / "&amp;CY303&amp;"%"),IF(AND(N(CH303)&gt;=99.95,CY303&lt;&gt;"",N(CY303)&lt;100),"Pend. "&amp;CY303&amp;"%",""))))</f>
        <v/>
      </c>
      <c r="BC303" s="31" t="n">
        <f aca="false">IF(AND(ISNUMBER(E303),ISNUMBER(F303)),MAX(1,NETWORKDAYS.INTL(E303,F303,11)),0)</f>
        <v>0</v>
      </c>
      <c r="BD303" s="1" t="str">
        <f aca="false">IF(OR(NOT(AND(ISNUMBER(E303),ISNUMBER(F303))),$J$2=""),"",MIN(100,ROUND(SUM($G303:G303),1)))</f>
        <v/>
      </c>
      <c r="BE303" s="1" t="str">
        <f aca="false">IF(OR(NOT(AND(ISNUMBER(E303),ISNUMBER(F303))),$J$2=""),"",MIN(100,ROUND(SUM($G303:H303),1)))</f>
        <v/>
      </c>
      <c r="BF303" s="1" t="str">
        <f aca="false">IF(OR(NOT(AND(ISNUMBER(E303),ISNUMBER(F303))),$J$2=""),"",MIN(100,ROUND(SUM($G303:I303),1)))</f>
        <v/>
      </c>
      <c r="BG303" s="1" t="str">
        <f aca="false">IF(OR(NOT(AND(ISNUMBER(E303),ISNUMBER(F303))),$J$2=""),"",MIN(100,ROUND(SUM($G303:J303),1)))</f>
        <v/>
      </c>
      <c r="BH303" s="1" t="str">
        <f aca="false">IF(OR(NOT(AND(ISNUMBER(E303),ISNUMBER(F303))),$J$2=""),"",MIN(100,ROUND(SUM($G303:K303),1)))</f>
        <v/>
      </c>
      <c r="BI303" s="1" t="str">
        <f aca="false">IF(OR(NOT(AND(ISNUMBER(E303),ISNUMBER(F303))),$J$2=""),"",MIN(100,ROUND(SUM($G303:L303),1)))</f>
        <v/>
      </c>
      <c r="BJ303" s="1" t="str">
        <f aca="false">IF(OR(NOT(AND(ISNUMBER(E303),ISNUMBER(F303))),$J$2=""),"",MIN(100,ROUND(SUM($G303:M303),1)))</f>
        <v/>
      </c>
      <c r="BK303" s="1" t="str">
        <f aca="false">IF(OR(NOT(AND(ISNUMBER(E303),ISNUMBER(F303))),$J$2=""),"",MIN(100,ROUND(SUM($G303:N303),1)))</f>
        <v/>
      </c>
      <c r="BL303" s="1" t="str">
        <f aca="false">IF(OR(NOT(AND(ISNUMBER(E303),ISNUMBER(F303))),$J$2=""),"",MIN(100,ROUND(SUM($G303:O303),1)))</f>
        <v/>
      </c>
      <c r="BM303" s="1" t="str">
        <f aca="false">IF(OR(NOT(AND(ISNUMBER(E303),ISNUMBER(F303))),$J$2=""),"",MIN(100,ROUND(SUM($G303:P303),1)))</f>
        <v/>
      </c>
      <c r="BN303" s="1" t="str">
        <f aca="false">IF(OR(NOT(AND(ISNUMBER(E303),ISNUMBER(F303))),$J$2=""),"",MIN(100,ROUND(SUM($G303:P303),1)))</f>
        <v/>
      </c>
      <c r="BO303" s="1" t="str">
        <f aca="false">IF(OR(NOT(AND(ISNUMBER(E303),ISNUMBER(F303))),$J$2=""),"",MIN(100,ROUND(SUM($G303:P303),1)))</f>
        <v/>
      </c>
      <c r="BP303" s="1" t="str">
        <f aca="false">IF(OR(NOT(AND(ISNUMBER(E303),ISNUMBER(F303))),$J$2=""),"",MIN(100,ROUND(SUM($G303:P303),1)))</f>
        <v/>
      </c>
      <c r="BQ303" s="1" t="str">
        <f aca="false">IF(OR(NOT(AND(ISNUMBER(E303),ISNUMBER(F303))),$J$2=""),"",MIN(100,ROUND(SUM($G303:P303),1)))</f>
        <v/>
      </c>
      <c r="BR303" s="1" t="str">
        <f aca="false">IF(OR(NOT(AND(ISNUMBER(E303),ISNUMBER(F303))),$J$2=""),"",MIN(100,ROUND(SUM($G303:P303),1)))</f>
        <v/>
      </c>
      <c r="BS303" s="1" t="str">
        <f aca="false">IF(OR(NOT(AND(ISNUMBER(E303),ISNUMBER(F303))),$J$2=""),"",MIN(100,ROUND(SUM($G303:P303),1)))</f>
        <v/>
      </c>
      <c r="BT303" s="1" t="str">
        <f aca="false">IF(OR(NOT(AND(ISNUMBER(E303),ISNUMBER(F303))),$J$2=""),"",IF(Reprogramaciones!K$13&lt;Reprogramaciones!$T$15,0,IF(Reprogramaciones!K$14&gt;10,MIN(100,SUM($G303:$P303)),MIN(100,SUMPRODUCT((COLUMN($G303:$P303)-COLUMN($G303)+1&lt;Reprogramaciones!K$14)*$G303:$P303)+N(INDEX($G303:$P303,1,Reprogramaciones!K$14))*IF(Reprogramaciones!K$13&gt;=(Reprogramaciones!$T$15+7*(Reprogramaciones!K$14-1))+6,1,IF(MAX(0,NETWORKDAYS.INTL(MAX(E303,(Reprogramaciones!$T$15+7*(Reprogramaciones!K$14-1))),MIN(F303,(Reprogramaciones!$T$15+7*(Reprogramaciones!K$14-1))+6),11))=0,0,MAX(0,NETWORKDAYS.INTL(MAX(E303,(Reprogramaciones!$T$15+7*(Reprogramaciones!K$14-1))),MIN(F303,Reprogramaciones!K$13),11))/MAX(0,NETWORKDAYS.INTL(MAX(E303,(Reprogramaciones!$T$15+7*(Reprogramaciones!K$14-1))),MIN(F303,(Reprogramaciones!$T$15+7*(Reprogramaciones!K$14-1))+6),11))))))))</f>
        <v/>
      </c>
      <c r="BU303" s="1" t="str">
        <f aca="false">IF(OR(NOT(AND(ISNUMBER(E303),ISNUMBER(F303))),$J$2=""),"",IF(Reprogramaciones!L$13&lt;Reprogramaciones!$T$15,0,IF(Reprogramaciones!L$14&gt;10,MIN(100,SUM($G303:$P303)),MIN(100,SUMPRODUCT((COLUMN($G303:$P303)-COLUMN($G303)+1&lt;Reprogramaciones!L$14)*$G303:$P303)+N(INDEX($G303:$P303,1,Reprogramaciones!L$14))*IF(Reprogramaciones!L$13&gt;=(Reprogramaciones!$T$15+7*(Reprogramaciones!L$14-1))+6,1,IF(MAX(0,NETWORKDAYS.INTL(MAX(E303,(Reprogramaciones!$T$15+7*(Reprogramaciones!L$14-1))),MIN(F303,(Reprogramaciones!$T$15+7*(Reprogramaciones!L$14-1))+6),11))=0,0,MAX(0,NETWORKDAYS.INTL(MAX(E303,(Reprogramaciones!$T$15+7*(Reprogramaciones!L$14-1))),MIN(F303,Reprogramaciones!L$13),11))/MAX(0,NETWORKDAYS.INTL(MAX(E303,(Reprogramaciones!$T$15+7*(Reprogramaciones!L$14-1))),MIN(F303,(Reprogramaciones!$T$15+7*(Reprogramaciones!L$14-1))+6),11))))))))</f>
        <v/>
      </c>
      <c r="BV303" s="1" t="str">
        <f aca="false">IF(OR(NOT(AND(ISNUMBER(E303),ISNUMBER(F303))),$J$2=""),"",IF(Reprogramaciones!M$13&lt;Reprogramaciones!$T$15,0,IF(Reprogramaciones!M$14&gt;10,MIN(100,SUM($G303:$P303)),MIN(100,SUMPRODUCT((COLUMN($G303:$P303)-COLUMN($G303)+1&lt;Reprogramaciones!M$14)*$G303:$P303)+N(INDEX($G303:$P303,1,Reprogramaciones!M$14))*IF(Reprogramaciones!M$13&gt;=(Reprogramaciones!$T$15+7*(Reprogramaciones!M$14-1))+6,1,IF(MAX(0,NETWORKDAYS.INTL(MAX(E303,(Reprogramaciones!$T$15+7*(Reprogramaciones!M$14-1))),MIN(F303,(Reprogramaciones!$T$15+7*(Reprogramaciones!M$14-1))+6),11))=0,0,MAX(0,NETWORKDAYS.INTL(MAX(E303,(Reprogramaciones!$T$15+7*(Reprogramaciones!M$14-1))),MIN(F303,Reprogramaciones!M$13),11))/MAX(0,NETWORKDAYS.INTL(MAX(E303,(Reprogramaciones!$T$15+7*(Reprogramaciones!M$14-1))),MIN(F303,(Reprogramaciones!$T$15+7*(Reprogramaciones!M$14-1))+6),11))))))))</f>
        <v/>
      </c>
      <c r="BW303" s="1" t="str">
        <f aca="false">IF(OR(NOT(AND(ISNUMBER(E303),ISNUMBER(F303))),$J$2=""),"",IF(Reprogramaciones!N$13&lt;Reprogramaciones!$T$15,0,IF(Reprogramaciones!N$14&gt;10,MIN(100,SUM($G303:$P303)),MIN(100,SUMPRODUCT((COLUMN($G303:$P303)-COLUMN($G303)+1&lt;Reprogramaciones!N$14)*$G303:$P303)+N(INDEX($G303:$P303,1,Reprogramaciones!N$14))*IF(Reprogramaciones!N$13&gt;=(Reprogramaciones!$T$15+7*(Reprogramaciones!N$14-1))+6,1,IF(MAX(0,NETWORKDAYS.INTL(MAX(E303,(Reprogramaciones!$T$15+7*(Reprogramaciones!N$14-1))),MIN(F303,(Reprogramaciones!$T$15+7*(Reprogramaciones!N$14-1))+6),11))=0,0,MAX(0,NETWORKDAYS.INTL(MAX(E303,(Reprogramaciones!$T$15+7*(Reprogramaciones!N$14-1))),MIN(F303,Reprogramaciones!N$13),11))/MAX(0,NETWORKDAYS.INTL(MAX(E303,(Reprogramaciones!$T$15+7*(Reprogramaciones!N$14-1))),MIN(F303,(Reprogramaciones!$T$15+7*(Reprogramaciones!N$14-1))+6),11))))))))</f>
        <v/>
      </c>
      <c r="BX303" s="1" t="str">
        <f aca="false">IF(OR(NOT(AND(ISNUMBER(E303),ISNUMBER(F303))),$J$2=""),"",IF(Reprogramaciones!O$13&lt;Reprogramaciones!$T$15,0,IF(Reprogramaciones!O$14&gt;10,MIN(100,SUM($G303:$P303)),MIN(100,SUMPRODUCT((COLUMN($G303:$P303)-COLUMN($G303)+1&lt;Reprogramaciones!O$14)*$G303:$P303)+N(INDEX($G303:$P303,1,Reprogramaciones!O$14))*IF(Reprogramaciones!O$13&gt;=(Reprogramaciones!$T$15+7*(Reprogramaciones!O$14-1))+6,1,IF(MAX(0,NETWORKDAYS.INTL(MAX(E303,(Reprogramaciones!$T$15+7*(Reprogramaciones!O$14-1))),MIN(F303,(Reprogramaciones!$T$15+7*(Reprogramaciones!O$14-1))+6),11))=0,0,MAX(0,NETWORKDAYS.INTL(MAX(E303,(Reprogramaciones!$T$15+7*(Reprogramaciones!O$14-1))),MIN(F303,Reprogramaciones!O$13),11))/MAX(0,NETWORKDAYS.INTL(MAX(E303,(Reprogramaciones!$T$15+7*(Reprogramaciones!O$14-1))),MIN(F303,(Reprogramaciones!$T$15+7*(Reprogramaciones!O$14-1))+6),11))))))))</f>
        <v/>
      </c>
      <c r="BY303" s="1" t="str">
        <f aca="false">IF(OR(NOT(AND(ISNUMBER(E303),ISNUMBER(F303))),$J$2=""),"",IF(Reprogramaciones!P$13&lt;Reprogramaciones!$T$15,0,IF(Reprogramaciones!P$14&gt;10,MIN(100,SUM($G303:$P303)),MIN(100,SUMPRODUCT((COLUMN($G303:$P303)-COLUMN($G303)+1&lt;Reprogramaciones!P$14)*$G303:$P303)+N(INDEX($G303:$P303,1,Reprogramaciones!P$14))*IF(Reprogramaciones!P$13&gt;=(Reprogramaciones!$T$15+7*(Reprogramaciones!P$14-1))+6,1,IF(MAX(0,NETWORKDAYS.INTL(MAX(E303,(Reprogramaciones!$T$15+7*(Reprogramaciones!P$14-1))),MIN(F303,(Reprogramaciones!$T$15+7*(Reprogramaciones!P$14-1))+6),11))=0,0,MAX(0,NETWORKDAYS.INTL(MAX(E303,(Reprogramaciones!$T$15+7*(Reprogramaciones!P$14-1))),MIN(F303,Reprogramaciones!P$13),11))/MAX(0,NETWORKDAYS.INTL(MAX(E303,(Reprogramaciones!$T$15+7*(Reprogramaciones!P$14-1))),MIN(F303,(Reprogramaciones!$T$15+7*(Reprogramaciones!P$14-1))+6),11))))))))</f>
        <v/>
      </c>
      <c r="BZ303" s="1" t="str">
        <f aca="false">IF(OR(NOT(AND(ISNUMBER(E303),ISNUMBER(F303))),$J$2=""),"",IF(Reprogramaciones!Q$13&lt;Reprogramaciones!$T$15,0,IF(Reprogramaciones!Q$14&gt;10,MIN(100,SUM($G303:$P303)),MIN(100,SUMPRODUCT((COLUMN($G303:$P303)-COLUMN($G303)+1&lt;Reprogramaciones!Q$14)*$G303:$P303)+N(INDEX($G303:$P303,1,Reprogramaciones!Q$14))*IF(Reprogramaciones!Q$13&gt;=(Reprogramaciones!$T$15+7*(Reprogramaciones!Q$14-1))+6,1,IF(MAX(0,NETWORKDAYS.INTL(MAX(E303,(Reprogramaciones!$T$15+7*(Reprogramaciones!Q$14-1))),MIN(F303,(Reprogramaciones!$T$15+7*(Reprogramaciones!Q$14-1))+6),11))=0,0,MAX(0,NETWORKDAYS.INTL(MAX(E303,(Reprogramaciones!$T$15+7*(Reprogramaciones!Q$14-1))),MIN(F303,Reprogramaciones!Q$13),11))/MAX(0,NETWORKDAYS.INTL(MAX(E303,(Reprogramaciones!$T$15+7*(Reprogramaciones!Q$14-1))),MIN(F303,(Reprogramaciones!$T$15+7*(Reprogramaciones!Q$14-1))+6),11))))))))</f>
        <v/>
      </c>
      <c r="CA303" s="1" t="str">
        <f aca="false">IF(OR(NOT(AND(ISNUMBER(E303),ISNUMBER(F303))),$J$2=""),"",IF(Reprogramaciones!R$13&lt;Reprogramaciones!$T$15,0,IF(Reprogramaciones!R$14&gt;10,MIN(100,SUM($G303:$P303)),MIN(100,SUMPRODUCT((COLUMN($G303:$P303)-COLUMN($G303)+1&lt;Reprogramaciones!R$14)*$G303:$P303)+N(INDEX($G303:$P303,1,Reprogramaciones!R$14))*IF(Reprogramaciones!R$13&gt;=(Reprogramaciones!$T$15+7*(Reprogramaciones!R$14-1))+6,1,IF(MAX(0,NETWORKDAYS.INTL(MAX(E303,(Reprogramaciones!$T$15+7*(Reprogramaciones!R$14-1))),MIN(F303,(Reprogramaciones!$T$15+7*(Reprogramaciones!R$14-1))+6),11))=0,0,MAX(0,NETWORKDAYS.INTL(MAX(E303,(Reprogramaciones!$T$15+7*(Reprogramaciones!R$14-1))),MIN(F303,Reprogramaciones!R$13),11))/MAX(0,NETWORKDAYS.INTL(MAX(E303,(Reprogramaciones!$T$15+7*(Reprogramaciones!R$14-1))),MIN(F303,(Reprogramaciones!$T$15+7*(Reprogramaciones!R$14-1))+6),11))))))))</f>
        <v/>
      </c>
      <c r="CB303" s="1" t="str">
        <f aca="false">IF(OR(NOT(AND(ISNUMBER(E303),ISNUMBER(F303))),$J$2=""),"",IF(Reprogramaciones!S$13&lt;Reprogramaciones!$T$15,0,IF(Reprogramaciones!S$14&gt;10,MIN(100,SUM($G303:$P303)),MIN(100,SUMPRODUCT((COLUMN($G303:$P303)-COLUMN($G303)+1&lt;Reprogramaciones!S$14)*$G303:$P303)+N(INDEX($G303:$P303,1,Reprogramaciones!S$14))*IF(Reprogramaciones!S$13&gt;=(Reprogramaciones!$T$15+7*(Reprogramaciones!S$14-1))+6,1,IF(MAX(0,NETWORKDAYS.INTL(MAX(E303,(Reprogramaciones!$T$15+7*(Reprogramaciones!S$14-1))),MIN(F303,(Reprogramaciones!$T$15+7*(Reprogramaciones!S$14-1))+6),11))=0,0,MAX(0,NETWORKDAYS.INTL(MAX(E303,(Reprogramaciones!$T$15+7*(Reprogramaciones!S$14-1))),MIN(F303,Reprogramaciones!S$13),11))/MAX(0,NETWORKDAYS.INTL(MAX(E303,(Reprogramaciones!$T$15+7*(Reprogramaciones!S$14-1))),MIN(F303,(Reprogramaciones!$T$15+7*(Reprogramaciones!S$14-1))+6),11))))))))</f>
        <v/>
      </c>
      <c r="CC303" s="1" t="str">
        <f aca="false">IF(OR(NOT(AND(ISNUMBER(E303),ISNUMBER(F303))),$J$2=""),"",IF(Reprogramaciones!T$13&lt;Reprogramaciones!$T$15,0,IF(Reprogramaciones!T$14&gt;10,MIN(100,SUM($G303:$P303)),MIN(100,SUMPRODUCT((COLUMN($G303:$P303)-COLUMN($G303)+1&lt;Reprogramaciones!T$14)*$G303:$P303)+N(INDEX($G303:$P303,1,Reprogramaciones!T$14))*IF(Reprogramaciones!T$13&gt;=(Reprogramaciones!$T$15+7*(Reprogramaciones!T$14-1))+6,1,IF(MAX(0,NETWORKDAYS.INTL(MAX(E303,(Reprogramaciones!$T$15+7*(Reprogramaciones!T$14-1))),MIN(F303,(Reprogramaciones!$T$15+7*(Reprogramaciones!T$14-1))+6),11))=0,0,MAX(0,NETWORKDAYS.INTL(MAX(E303,(Reprogramaciones!$T$15+7*(Reprogramaciones!T$14-1))),MIN(F303,Reprogramaciones!T$13),11))/MAX(0,NETWORKDAYS.INTL(MAX(E303,(Reprogramaciones!$T$15+7*(Reprogramaciones!T$14-1))),MIN(F303,(Reprogramaciones!$T$15+7*(Reprogramaciones!T$14-1))+6),11))))))))</f>
        <v/>
      </c>
      <c r="CD303" s="1" t="str">
        <f aca="false">IF(OR(NOT(AND(ISNUMBER(E303),ISNUMBER(F303))),$J$2=""),"",IF(Reprogramaciones!U$13&lt;Reprogramaciones!$T$15,0,IF(Reprogramaciones!U$14&gt;10,MIN(100,SUM($G303:$P303)),MIN(100,SUMPRODUCT((COLUMN($G303:$P303)-COLUMN($G303)+1&lt;Reprogramaciones!U$14)*$G303:$P303)+N(INDEX($G303:$P303,1,Reprogramaciones!U$14))*IF(Reprogramaciones!U$13&gt;=(Reprogramaciones!$T$15+7*(Reprogramaciones!U$14-1))+6,1,IF(MAX(0,NETWORKDAYS.INTL(MAX(E303,(Reprogramaciones!$T$15+7*(Reprogramaciones!U$14-1))),MIN(F303,(Reprogramaciones!$T$15+7*(Reprogramaciones!U$14-1))+6),11))=0,0,MAX(0,NETWORKDAYS.INTL(MAX(E303,(Reprogramaciones!$T$15+7*(Reprogramaciones!U$14-1))),MIN(F303,Reprogramaciones!U$13),11))/MAX(0,NETWORKDAYS.INTL(MAX(E303,(Reprogramaciones!$T$15+7*(Reprogramaciones!U$14-1))),MIN(F303,(Reprogramaciones!$T$15+7*(Reprogramaciones!U$14-1))+6),11))))))))</f>
        <v/>
      </c>
      <c r="CE303" s="1" t="str">
        <f aca="false">IF(OR(NOT(AND(ISNUMBER(E303),ISNUMBER(F303))),$J$2=""),"",IF(Reprogramaciones!V$13&lt;Reprogramaciones!$T$15,0,IF(Reprogramaciones!V$14&gt;10,MIN(100,SUM($G303:$P303)),MIN(100,SUMPRODUCT((COLUMN($G303:$P303)-COLUMN($G303)+1&lt;Reprogramaciones!V$14)*$G303:$P303)+N(INDEX($G303:$P303,1,Reprogramaciones!V$14))*IF(Reprogramaciones!V$13&gt;=(Reprogramaciones!$T$15+7*(Reprogramaciones!V$14-1))+6,1,IF(MAX(0,NETWORKDAYS.INTL(MAX(E303,(Reprogramaciones!$T$15+7*(Reprogramaciones!V$14-1))),MIN(F303,(Reprogramaciones!$T$15+7*(Reprogramaciones!V$14-1))+6),11))=0,0,MAX(0,NETWORKDAYS.INTL(MAX(E303,(Reprogramaciones!$T$15+7*(Reprogramaciones!V$14-1))),MIN(F303,Reprogramaciones!V$13),11))/MAX(0,NETWORKDAYS.INTL(MAX(E303,(Reprogramaciones!$T$15+7*(Reprogramaciones!V$14-1))),MIN(F303,(Reprogramaciones!$T$15+7*(Reprogramaciones!V$14-1))+6),11))))))))</f>
        <v/>
      </c>
      <c r="CF303" s="1" t="str">
        <f aca="false">IF(OR(NOT(AND(ISNUMBER(E303),ISNUMBER(F303))),$J$2=""),"",IF(Reprogramaciones!W$13&lt;Reprogramaciones!$T$15,0,IF(Reprogramaciones!W$14&gt;10,MIN(100,SUM($G303:$P303)),MIN(100,SUMPRODUCT((COLUMN($G303:$P303)-COLUMN($G303)+1&lt;Reprogramaciones!W$14)*$G303:$P303)+N(INDEX($G303:$P303,1,Reprogramaciones!W$14))*IF(Reprogramaciones!W$13&gt;=(Reprogramaciones!$T$15+7*(Reprogramaciones!W$14-1))+6,1,IF(MAX(0,NETWORKDAYS.INTL(MAX(E303,(Reprogramaciones!$T$15+7*(Reprogramaciones!W$14-1))),MIN(F303,(Reprogramaciones!$T$15+7*(Reprogramaciones!W$14-1))+6),11))=0,0,MAX(0,NETWORKDAYS.INTL(MAX(E303,(Reprogramaciones!$T$15+7*(Reprogramaciones!W$14-1))),MIN(F303,Reprogramaciones!W$13),11))/MAX(0,NETWORKDAYS.INTL(MAX(E303,(Reprogramaciones!$T$15+7*(Reprogramaciones!W$14-1))),MIN(F303,(Reprogramaciones!$T$15+7*(Reprogramaciones!W$14-1))+6),11))))))))</f>
        <v/>
      </c>
      <c r="CG303" s="1" t="str">
        <f aca="false">IF(OR(NOT(AND(ISNUMBER(E303),ISNUMBER(F303))),$J$2=""),"",IF(Reprogramaciones!X$13&lt;Reprogramaciones!$T$15,0,IF(Reprogramaciones!X$14&gt;10,MIN(100,SUM($G303:$P303)),MIN(100,SUMPRODUCT((COLUMN($G303:$P303)-COLUMN($G303)+1&lt;Reprogramaciones!X$14)*$G303:$P303)+N(INDEX($G303:$P303,1,Reprogramaciones!X$14))*IF(Reprogramaciones!X$13&gt;=(Reprogramaciones!$T$15+7*(Reprogramaciones!X$14-1))+6,1,IF(MAX(0,NETWORKDAYS.INTL(MAX(E303,(Reprogramaciones!$T$15+7*(Reprogramaciones!X$14-1))),MIN(F303,(Reprogramaciones!$T$15+7*(Reprogramaciones!X$14-1))+6),11))=0,0,MAX(0,NETWORKDAYS.INTL(MAX(E303,(Reprogramaciones!$T$15+7*(Reprogramaciones!X$14-1))),MIN(F303,Reprogramaciones!X$13),11))/MAX(0,NETWORKDAYS.INTL(MAX(E303,(Reprogramaciones!$T$15+7*(Reprogramaciones!X$14-1))),MIN(F303,(Reprogramaciones!$T$15+7*(Reprogramaciones!X$14-1))+6),11))))))))</f>
        <v/>
      </c>
      <c r="CH303" s="1" t="str">
        <f aca="false">IF(OR(NOT(AND(ISNUMBER(E303),ISNUMBER(F303))),$J$2=""),"",IF(Reprogramaciones!Y$13&lt;Reprogramaciones!$T$15,0,IF(Reprogramaciones!Y$14&gt;10,MIN(100,SUM($G303:$P303)),MIN(100,SUMPRODUCT((COLUMN($G303:$P303)-COLUMN($G303)+1&lt;Reprogramaciones!Y$14)*$G303:$P303)+N(INDEX($G303:$P303,1,Reprogramaciones!Y$14))*IF(Reprogramaciones!Y$13&gt;=(Reprogramaciones!$T$15+7*(Reprogramaciones!Y$14-1))+6,1,IF(MAX(0,NETWORKDAYS.INTL(MAX(E303,(Reprogramaciones!$T$15+7*(Reprogramaciones!Y$14-1))),MIN(F303,(Reprogramaciones!$T$15+7*(Reprogramaciones!Y$14-1))+6),11))=0,0,MAX(0,NETWORKDAYS.INTL(MAX(E303,(Reprogramaciones!$T$15+7*(Reprogramaciones!Y$14-1))),MIN(F303,Reprogramaciones!Y$13),11))/MAX(0,NETWORKDAYS.INTL(MAX(E303,(Reprogramaciones!$T$15+7*(Reprogramaciones!Y$14-1))),MIN(F303,(Reprogramaciones!$T$15+7*(Reprogramaciones!Y$14-1))+6),11))))))))</f>
        <v/>
      </c>
      <c r="CI303" s="1" t="str">
        <f aca="false">IF(OR(NOT(AND(ISNUMBER(E303),ISNUMBER(F303))),$J$2=""),"",IF(Reprogramaciones!Z$13&lt;Reprogramaciones!$T$15,0,IF(Reprogramaciones!Z$14&gt;10,MIN(100,SUM($G303:$P303)),MIN(100,SUMPRODUCT((COLUMN($G303:$P303)-COLUMN($G303)+1&lt;Reprogramaciones!Z$14)*$G303:$P303)+N(INDEX($G303:$P303,1,Reprogramaciones!Z$14))*IF(Reprogramaciones!Z$13&gt;=(Reprogramaciones!$T$15+7*(Reprogramaciones!Z$14-1))+6,1,IF(MAX(0,NETWORKDAYS.INTL(MAX(E303,(Reprogramaciones!$T$15+7*(Reprogramaciones!Z$14-1))),MIN(F303,(Reprogramaciones!$T$15+7*(Reprogramaciones!Z$14-1))+6),11))=0,0,MAX(0,NETWORKDAYS.INTL(MAX(E303,(Reprogramaciones!$T$15+7*(Reprogramaciones!Z$14-1))),MIN(F303,Reprogramaciones!Z$13),11))/MAX(0,NETWORKDAYS.INTL(MAX(E303,(Reprogramaciones!$T$15+7*(Reprogramaciones!Z$14-1))),MIN(F303,(Reprogramaciones!$T$15+7*(Reprogramaciones!Z$14-1))+6),11))))))))</f>
        <v/>
      </c>
      <c r="CJ303" s="1" t="str">
        <f aca="false">IF(OR(OR(NOT(AND(ISNUMBER(E303),ISNUMBER(F303))),$J$2=""),1&gt;Reprogramaciones!$K$16),"",IF(ROUND(SUM($Q303:Q303),1)&gt;=99.5,100,MIN(100,ROUND(SUM($Q303:Q303),1))))</f>
        <v/>
      </c>
      <c r="CK303" s="1" t="str">
        <f aca="false">IF(OR(OR(NOT(AND(ISNUMBER(E303),ISNUMBER(F303))),$J$2=""),2&gt;Reprogramaciones!$K$16),"",IF(ROUND(SUM($Q303:R303),1)&gt;=99.5,100,MIN(100,ROUND(SUM($Q303:R303),1))))</f>
        <v/>
      </c>
      <c r="CL303" s="1" t="str">
        <f aca="false">IF(OR(OR(NOT(AND(ISNUMBER(E303),ISNUMBER(F303))),$J$2=""),3&gt;Reprogramaciones!$K$16),"",IF(ROUND(SUM($Q303:S303),1)&gt;=99.5,100,MIN(100,ROUND(SUM($Q303:S303),1))))</f>
        <v/>
      </c>
      <c r="CM303" s="1" t="str">
        <f aca="false">IF(OR(OR(NOT(AND(ISNUMBER(E303),ISNUMBER(F303))),$J$2=""),4&gt;Reprogramaciones!$K$16),"",IF(ROUND(SUM($Q303:T303),1)&gt;=99.5,100,MIN(100,ROUND(SUM($Q303:T303),1))))</f>
        <v/>
      </c>
      <c r="CN303" s="1" t="str">
        <f aca="false">IF(OR(OR(NOT(AND(ISNUMBER(E303),ISNUMBER(F303))),$J$2=""),5&gt;Reprogramaciones!$K$16),"",IF(ROUND(SUM($Q303:U303),1)&gt;=99.5,100,MIN(100,ROUND(SUM($Q303:U303),1))))</f>
        <v/>
      </c>
      <c r="CO303" s="1" t="str">
        <f aca="false">IF(OR(OR(NOT(AND(ISNUMBER(E303),ISNUMBER(F303))),$J$2=""),6&gt;Reprogramaciones!$K$16),"",IF(ROUND(SUM($Q303:V303),1)&gt;=99.5,100,MIN(100,ROUND(SUM($Q303:V303),1))))</f>
        <v/>
      </c>
      <c r="CP303" s="1" t="str">
        <f aca="false">IF(OR(OR(NOT(AND(ISNUMBER(E303),ISNUMBER(F303))),$J$2=""),7&gt;Reprogramaciones!$K$16),"",IF(ROUND(SUM($Q303:W303),1)&gt;=99.5,100,MIN(100,ROUND(SUM($Q303:W303),1))))</f>
        <v/>
      </c>
      <c r="CQ303" s="1" t="str">
        <f aca="false">IF(OR(OR(NOT(AND(ISNUMBER(E303),ISNUMBER(F303))),$J$2=""),8&gt;Reprogramaciones!$K$16),"",IF(ROUND(SUM($Q303:X303),1)&gt;=99.5,100,MIN(100,ROUND(SUM($Q303:X303),1))))</f>
        <v/>
      </c>
      <c r="CR303" s="1" t="str">
        <f aca="false">IF(OR(OR(NOT(AND(ISNUMBER(E303),ISNUMBER(F303))),$J$2=""),9&gt;Reprogramaciones!$K$16),"",IF(ROUND(SUM($Q303:Y303),1)&gt;=99.5,100,MIN(100,ROUND(SUM($Q303:Y303),1))))</f>
        <v/>
      </c>
      <c r="CS303" s="1" t="str">
        <f aca="false">IF(OR(OR(NOT(AND(ISNUMBER(E303),ISNUMBER(F303))),$J$2=""),10&gt;Reprogramaciones!$K$16),"",IF(ROUND(SUM($Q303:Z303),1)&gt;=99.5,100,MIN(100,ROUND(SUM($Q303:Z303),1))))</f>
        <v/>
      </c>
      <c r="CT303" s="1" t="str">
        <f aca="false">IF(OR(OR(NOT(AND(ISNUMBER(E303),ISNUMBER(F303))),$J$2=""),11&gt;Reprogramaciones!$K$16),"",IF(ROUND(SUM($Q303:AA303),1)&gt;=99.5,100,MIN(100,ROUND(SUM($Q303:AA303),1))))</f>
        <v/>
      </c>
      <c r="CU303" s="1" t="str">
        <f aca="false">IF(OR(OR(NOT(AND(ISNUMBER(E303),ISNUMBER(F303))),$J$2=""),12&gt;Reprogramaciones!$K$16),"",IF(ROUND(SUM($Q303:AB303),1)&gt;=99.5,100,MIN(100,ROUND(SUM($Q303:AB303),1))))</f>
        <v/>
      </c>
      <c r="CV303" s="1" t="str">
        <f aca="false">IF(OR(OR(NOT(AND(ISNUMBER(E303),ISNUMBER(F303))),$J$2=""),13&gt;Reprogramaciones!$K$16),"",IF(ROUND(SUM($Q303:AC303),1)&gt;=99.5,100,MIN(100,ROUND(SUM($Q303:AC303),1))))</f>
        <v/>
      </c>
      <c r="CW303" s="1" t="str">
        <f aca="false">IF(OR(OR(NOT(AND(ISNUMBER(E303),ISNUMBER(F303))),$J$2=""),14&gt;Reprogramaciones!$K$16),"",IF(ROUND(SUM($Q303:AD303),1)&gt;=99.5,100,MIN(100,ROUND(SUM($Q303:AD303),1))))</f>
        <v/>
      </c>
      <c r="CX303" s="1" t="str">
        <f aca="false">IF(OR(OR(NOT(AND(ISNUMBER(E303),ISNUMBER(F303))),$J$2=""),15&gt;Reprogramaciones!$K$16),"",IF(ROUND(SUM($Q303:AE303),1)&gt;=99.5,100,MIN(100,ROUND(SUM($Q303:AE303),1))))</f>
        <v/>
      </c>
      <c r="CY303" s="1" t="str">
        <f aca="false">IF(OR(OR(NOT(AND(ISNUMBER(E303),ISNUMBER(F303))),$J$2=""),16&gt;Reprogramaciones!$K$16),"",IF(ROUND(SUM($Q303:AF303),1)&gt;=99.5,100,MIN(100,ROUND(SUM($Q303:AF303),1))))</f>
        <v/>
      </c>
      <c r="CZ303" s="1" t="str">
        <f aca="false">IF(D303&lt;&gt;"",D303,IF(B303&lt;&gt;"","Contractual",CZ302))</f>
        <v>Contractual</v>
      </c>
      <c r="DA303" s="1" t="str">
        <f aca="false">IF(OR(NOT(AND(ISNUMBER(E303),ISNUMBER(F303))),$J$2=""),"",IF(Reprogramaciones!$Q$15&lt;Reprogramaciones!$T$15,0,IF(Reprogramaciones!$S$15&gt;10,MIN(100,SUM($G303:$P303)),MIN(100,SUMPRODUCT((COLUMN($G303:$P303)-COLUMN($G303)+1&lt;Reprogramaciones!$S$15)*$G303:$P303)+N(INDEX($G303:$P303,1,Reprogramaciones!$S$15))*IF(Reprogramaciones!$Q$15&gt;=(Reprogramaciones!$T$15+7*(Reprogramaciones!$S$15-1))+6,1,IF(MAX(0,NETWORKDAYS.INTL(MAX(E303,(Reprogramaciones!$T$15+7*(Reprogramaciones!$S$15-1))),MIN(F303,(Reprogramaciones!$T$15+7*(Reprogramaciones!$S$15-1))+6),11))=0,0,MAX(0,NETWORKDAYS.INTL(MAX(E303,(Reprogramaciones!$T$15+7*(Reprogramaciones!$S$15-1))),MIN(F303,Reprogramaciones!$Q$15),11))/MAX(0,NETWORKDAYS.INTL(MAX(E303,(Reprogramaciones!$T$15+7*(Reprogramaciones!$S$15-1))),MIN(F303,(Reprogramaciones!$T$15+7*(Reprogramaciones!$S$15-1))+6),11))))))))</f>
        <v/>
      </c>
    </row>
    <row r="304" customFormat="false" ht="15" hidden="false" customHeight="false" outlineLevel="0" collapsed="false">
      <c r="A304" s="32"/>
      <c r="B304" s="33"/>
      <c r="C304" s="33"/>
      <c r="D304" s="34"/>
      <c r="E304" s="35"/>
      <c r="F304" s="35"/>
      <c r="G304" s="36" t="str">
        <f aca="false">IF(OR(NOT(AND(ISNUMBER(E304),ISNUMBER(F304))),$J$2=""),"",IF(Reprogramaciones!K$9&lt;E304,0,IF(NETWORKDAYS.INTL(E304,F304,11)=0,IF(Reprogramaciones!K$9&gt;=F304,100,0),ROUND(NETWORKDAYS.INTL(E304,MIN(F304,Reprogramaciones!K$9),11)/NETWORKDAYS.INTL(E304,F304,11)*100,1)))-0)</f>
        <v/>
      </c>
      <c r="H304" s="36" t="str">
        <f aca="false">IF(OR(NOT(AND(ISNUMBER(E304),ISNUMBER(F304))),$J$2=""),"",IF(Reprogramaciones!L$9&lt;E304,0,IF(NETWORKDAYS.INTL(E304,F304,11)=0,IF(Reprogramaciones!L$9&gt;=F304,100,0),ROUND(NETWORKDAYS.INTL(E304,MIN(F304,Reprogramaciones!L$9),11)/NETWORKDAYS.INTL(E304,F304,11)*100,1)))-IF(Reprogramaciones!K$9&lt;E304,0,IF(NETWORKDAYS.INTL(E304,F304,11)=0,IF(Reprogramaciones!K$9&gt;=F304,100,0),ROUND(NETWORKDAYS.INTL(E304,MIN(F304,Reprogramaciones!K$9),11)/NETWORKDAYS.INTL(E304,F304,11)*100,1))))</f>
        <v/>
      </c>
      <c r="I304" s="36" t="str">
        <f aca="false">IF(OR(NOT(AND(ISNUMBER(E304),ISNUMBER(F304))),$J$2=""),"",IF(Reprogramaciones!M$9&lt;E304,0,IF(NETWORKDAYS.INTL(E304,F304,11)=0,IF(Reprogramaciones!M$9&gt;=F304,100,0),ROUND(NETWORKDAYS.INTL(E304,MIN(F304,Reprogramaciones!M$9),11)/NETWORKDAYS.INTL(E304,F304,11)*100,1)))-IF(Reprogramaciones!L$9&lt;E304,0,IF(NETWORKDAYS.INTL(E304,F304,11)=0,IF(Reprogramaciones!L$9&gt;=F304,100,0),ROUND(NETWORKDAYS.INTL(E304,MIN(F304,Reprogramaciones!L$9),11)/NETWORKDAYS.INTL(E304,F304,11)*100,1))))</f>
        <v/>
      </c>
      <c r="J304" s="36" t="str">
        <f aca="false">IF(OR(NOT(AND(ISNUMBER(E304),ISNUMBER(F304))),$J$2=""),"",IF(Reprogramaciones!N$9&lt;E304,0,IF(NETWORKDAYS.INTL(E304,F304,11)=0,IF(Reprogramaciones!N$9&gt;=F304,100,0),ROUND(NETWORKDAYS.INTL(E304,MIN(F304,Reprogramaciones!N$9),11)/NETWORKDAYS.INTL(E304,F304,11)*100,1)))-IF(Reprogramaciones!M$9&lt;E304,0,IF(NETWORKDAYS.INTL(E304,F304,11)=0,IF(Reprogramaciones!M$9&gt;=F304,100,0),ROUND(NETWORKDAYS.INTL(E304,MIN(F304,Reprogramaciones!M$9),11)/NETWORKDAYS.INTL(E304,F304,11)*100,1))))</f>
        <v/>
      </c>
      <c r="K304" s="36" t="str">
        <f aca="false">IF(OR(NOT(AND(ISNUMBER(E304),ISNUMBER(F304))),$J$2=""),"",IF(Reprogramaciones!O$9&lt;E304,0,IF(NETWORKDAYS.INTL(E304,F304,11)=0,IF(Reprogramaciones!O$9&gt;=F304,100,0),ROUND(NETWORKDAYS.INTL(E304,MIN(F304,Reprogramaciones!O$9),11)/NETWORKDAYS.INTL(E304,F304,11)*100,1)))-IF(Reprogramaciones!N$9&lt;E304,0,IF(NETWORKDAYS.INTL(E304,F304,11)=0,IF(Reprogramaciones!N$9&gt;=F304,100,0),ROUND(NETWORKDAYS.INTL(E304,MIN(F304,Reprogramaciones!N$9),11)/NETWORKDAYS.INTL(E304,F304,11)*100,1))))</f>
        <v/>
      </c>
      <c r="L304" s="36" t="str">
        <f aca="false">IF(OR(NOT(AND(ISNUMBER(E304),ISNUMBER(F304))),$J$2=""),"",IF(Reprogramaciones!P$9&lt;E304,0,IF(NETWORKDAYS.INTL(E304,F304,11)=0,IF(Reprogramaciones!P$9&gt;=F304,100,0),ROUND(NETWORKDAYS.INTL(E304,MIN(F304,Reprogramaciones!P$9),11)/NETWORKDAYS.INTL(E304,F304,11)*100,1)))-IF(Reprogramaciones!O$9&lt;E304,0,IF(NETWORKDAYS.INTL(E304,F304,11)=0,IF(Reprogramaciones!O$9&gt;=F304,100,0),ROUND(NETWORKDAYS.INTL(E304,MIN(F304,Reprogramaciones!O$9),11)/NETWORKDAYS.INTL(E304,F304,11)*100,1))))</f>
        <v/>
      </c>
      <c r="M304" s="36" t="str">
        <f aca="false">IF(OR(NOT(AND(ISNUMBER(E304),ISNUMBER(F304))),$J$2=""),"",IF(Reprogramaciones!Q$9&lt;E304,0,IF(NETWORKDAYS.INTL(E304,F304,11)=0,IF(Reprogramaciones!Q$9&gt;=F304,100,0),ROUND(NETWORKDAYS.INTL(E304,MIN(F304,Reprogramaciones!Q$9),11)/NETWORKDAYS.INTL(E304,F304,11)*100,1)))-IF(Reprogramaciones!P$9&lt;E304,0,IF(NETWORKDAYS.INTL(E304,F304,11)=0,IF(Reprogramaciones!P$9&gt;=F304,100,0),ROUND(NETWORKDAYS.INTL(E304,MIN(F304,Reprogramaciones!P$9),11)/NETWORKDAYS.INTL(E304,F304,11)*100,1))))</f>
        <v/>
      </c>
      <c r="N304" s="36" t="str">
        <f aca="false">IF(OR(NOT(AND(ISNUMBER(E304),ISNUMBER(F304))),$J$2=""),"",IF(Reprogramaciones!R$9&lt;E304,0,IF(NETWORKDAYS.INTL(E304,F304,11)=0,IF(Reprogramaciones!R$9&gt;=F304,100,0),ROUND(NETWORKDAYS.INTL(E304,MIN(F304,Reprogramaciones!R$9),11)/NETWORKDAYS.INTL(E304,F304,11)*100,1)))-IF(Reprogramaciones!Q$9&lt;E304,0,IF(NETWORKDAYS.INTL(E304,F304,11)=0,IF(Reprogramaciones!Q$9&gt;=F304,100,0),ROUND(NETWORKDAYS.INTL(E304,MIN(F304,Reprogramaciones!Q$9),11)/NETWORKDAYS.INTL(E304,F304,11)*100,1))))</f>
        <v/>
      </c>
      <c r="O304" s="36" t="str">
        <f aca="false">IF(OR(NOT(AND(ISNUMBER(E304),ISNUMBER(F304))),$J$2=""),"",IF(Reprogramaciones!S$9&lt;E304,0,IF(NETWORKDAYS.INTL(E304,F304,11)=0,IF(Reprogramaciones!S$9&gt;=F304,100,0),ROUND(NETWORKDAYS.INTL(E304,MIN(F304,Reprogramaciones!S$9),11)/NETWORKDAYS.INTL(E304,F304,11)*100,1)))-IF(Reprogramaciones!R$9&lt;E304,0,IF(NETWORKDAYS.INTL(E304,F304,11)=0,IF(Reprogramaciones!R$9&gt;=F304,100,0),ROUND(NETWORKDAYS.INTL(E304,MIN(F304,Reprogramaciones!R$9),11)/NETWORKDAYS.INTL(E304,F304,11)*100,1))))</f>
        <v/>
      </c>
      <c r="P304" s="36" t="str">
        <f aca="false">IF(OR(NOT(AND(ISNUMBER(E304),ISNUMBER(F304))),$J$2=""),"",IF(Reprogramaciones!T$9&lt;E304,0,IF(NETWORKDAYS.INTL(E304,F304,11)=0,IF(Reprogramaciones!T$9&gt;=F304,100,0),ROUND(NETWORKDAYS.INTL(E304,MIN(F304,Reprogramaciones!T$9),11)/NETWORKDAYS.INTL(E304,F304,11)*100,1)))-IF(Reprogramaciones!S$9&lt;E304,0,IF(NETWORKDAYS.INTL(E304,F304,11)=0,IF(Reprogramaciones!S$9&gt;=F304,100,0),ROUND(NETWORKDAYS.INTL(E304,MIN(F304,Reprogramaciones!S$9),11)/NETWORKDAYS.INTL(E304,F304,11)*100,1))))</f>
        <v/>
      </c>
      <c r="Q304" s="37"/>
      <c r="R304" s="37"/>
      <c r="S304" s="37"/>
      <c r="T304" s="37"/>
      <c r="U304" s="37"/>
      <c r="V304" s="37"/>
      <c r="W304" s="37"/>
      <c r="X304" s="37"/>
      <c r="Y304" s="37"/>
      <c r="Z304" s="37"/>
      <c r="AA304" s="37"/>
      <c r="AB304" s="37"/>
      <c r="AC304" s="37"/>
      <c r="AD304" s="37"/>
      <c r="AE304" s="37"/>
      <c r="AF304" s="37"/>
      <c r="AG304" s="38" t="str">
        <f aca="false">IF(AND(ISNUMBER(E304),ISNUMBER(F304)),NETWORKDAYS.INTL(E304,F304,11),"")</f>
        <v/>
      </c>
      <c r="AH304" s="38" t="str">
        <f aca="false">IF(OR(NOT(AND(ISNUMBER(E304),ISNUMBER(F304))),$J$2=""),"",IF(Reprogramaciones!$P$15&lt;Reprogramaciones!$T$15,0,IF(Reprogramaciones!$R$15&gt;10,MIN(100,SUM($G304:$P304)),MIN(100,SUMPRODUCT((COLUMN($G304:$P304)-COLUMN($G304)+1&lt;Reprogramaciones!$R$15)*$G304:$P304)+N(INDEX($G304:$P304,1,Reprogramaciones!$R$15))*IF(Reprogramaciones!$P$15&gt;=(Reprogramaciones!$T$15+7*(Reprogramaciones!$R$15-1))+6,1,IF(MAX(0,NETWORKDAYS.INTL(MAX(E304,(Reprogramaciones!$T$15+7*(Reprogramaciones!$R$15-1))),MIN(F304,(Reprogramaciones!$T$15+7*(Reprogramaciones!$R$15-1))+6),11))=0,0,MAX(0,NETWORKDAYS.INTL(MAX(E304,(Reprogramaciones!$T$15+7*(Reprogramaciones!$R$15-1))),MIN(F304,Reprogramaciones!$P$15),11))/MAX(0,NETWORKDAYS.INTL(MAX(E304,(Reprogramaciones!$T$15+7*(Reprogramaciones!$R$15-1))),MIN(F304,(Reprogramaciones!$T$15+7*(Reprogramaciones!$R$15-1))+6),11))))))))</f>
        <v/>
      </c>
      <c r="AI304" s="38" t="str">
        <f aca="false">IF(COUNT($Q304:$AF304)=0,"",IF(ROUND(SUM($Q304:$AF304),1)&gt;=99.5,100,MIN(100,ROUND(SUM($Q304:$AF304),1))))</f>
        <v/>
      </c>
      <c r="AJ304" s="38" t="str">
        <f aca="false">IF(OR(AH304="",AI304=""),"",AI304-AH304)</f>
        <v/>
      </c>
      <c r="AK304" s="39" t="str">
        <f aca="true">IF(AH304="","",IF(OR(Ficha!$C$10="Suspendida",Ficha!$C$10="Cancelada"),Ficha!$C$10,IF(AND(AI304&lt;&gt;"",N(AI304)&gt;=100),"Completada",IF(AND(E304&gt;TODAY(),N(AI304)=0),"Por iniciar",IF(N(AI304)+0.5&lt;AH304,"Retrasada",IF(N(AI304)+0.5&lt;DA304,IF(Reprogramaciones!$K$15&gt;0,"Al día · Sem "&amp;Reprogramaciones!$K$15&amp;" en curso","Al día · en curso"),"A tiempo"))))))</f>
        <v/>
      </c>
      <c r="AL304" s="39" t="str">
        <f aca="true">IF(AND(A304="",AND(B304="",C304="",E304="",F304="",COUNT(Q304:AF304)=0)),"",IF(AND(B304="",C304="",E304="",F304="",COUNT(Q304:AF304)=0),"Falta la partida o subpartida",IF(AND(A304&lt;&gt;"",COUNTIF($A$6:$A$305,A304)&gt;1),"Ítem repetido",IF(AND(C304="",E304="",F304="",COUNT(Q304:AF304)=0),"Título de partida",IF(OR(E304="",F304=""),"Faltan fechas",IF(OR(ISTEXT(E304),ISTEXT(F304)),"Fecha escrita como texto: usa dd/mm/aaaa",IF(F304&lt;E304,"Fin antes del inicio",IF(IF($J$2="",FALSE(),OR(E304&lt;$J$2,F304&gt;Reprogramaciones!$T$15+69)),"Fuera de las 10 semanas",IF(ABS(SUM(G304:P304)-100)&gt;0.5,"La meta no suma 100%",IF(ROUND(SUM(Q304:AF304),1)&gt;100.5,"El avance pasa de 100%",IF(MIN(Q304:AF304)&lt;0,"Avance negativo",IF(COUNTA(Q304:AF304)&gt;COUNT(Q304:AF304),"Avance escrito como texto",IF(SUMPRODUCT((Q304:AF304&gt;0)*(Q304:AF304&lt;1))&gt;0,"Avance menor a 1: escribe 50, no 50%",IF(SUMPRODUCT(ISNUMBER(Q304:AF304)*(Reprogramaciones!$K$8:$Z$8&gt;TODAY()))&gt;0,"Avance en semana que aún no llega",IF(AND(N(Reprogramaciones!$E$21)&gt;0,F304&gt;Reprogramaciones!$E$21),"Pasa el fin de la obra: registra una reprogramación",IF(AND(N(Reprogramaciones!$E$21)&gt;0,SUMPRODUCT(ISNUMBER(Q304:AF304)*(Reprogramaciones!$K$8:$Z$8&gt;Reprogramaciones!$E$21))&gt;0),"Avance después del fin de la obra: registra una reprogramación por atraso","OK"))))))))))))))))</f>
        <v/>
      </c>
      <c r="AM304" s="40" t="str">
        <f aca="false">IF(OR(OR(NOT(AND(ISNUMBER(E304),ISNUMBER(F304))),$J$2=""),1&gt;MAX(1,Reprogramaciones!$U$15)),"",IF(Reprogramaciones!K$12&gt;=7,"",IF(OR(BT304-N(0)&gt;0.05,N(Q304)&gt;0),ROUNDDOWN(ROUND(BT304,6),0)&amp;"%"&amp;IF(CJ304="",""," / "&amp;CJ304&amp;"%"),IF(AND(N(0)&gt;=99.95,CJ304&lt;&gt;"",N(CJ304)&lt;100),"Pend. "&amp;CJ304&amp;"%",""))))</f>
        <v/>
      </c>
      <c r="AN304" s="40" t="str">
        <f aca="false">IF(OR(OR(NOT(AND(ISNUMBER(E304),ISNUMBER(F304))),$J$2=""),2&gt;MAX(1,Reprogramaciones!$U$15)),"",IF(Reprogramaciones!L$12&gt;=7,"",IF(OR(BU304-N(BT304)&gt;0.05,N(R304)&gt;0),ROUNDDOWN(ROUND(BU304,6),0)&amp;"%"&amp;IF(CK304="",""," / "&amp;CK304&amp;"%"),IF(AND(N(BT304)&gt;=99.95,CK304&lt;&gt;"",N(CK304)&lt;100),"Pend. "&amp;CK304&amp;"%",""))))</f>
        <v/>
      </c>
      <c r="AO304" s="40" t="str">
        <f aca="false">IF(OR(OR(NOT(AND(ISNUMBER(E304),ISNUMBER(F304))),$J$2=""),3&gt;MAX(1,Reprogramaciones!$U$15)),"",IF(Reprogramaciones!M$12&gt;=7,"",IF(OR(BV304-N(BU304)&gt;0.05,N(S304)&gt;0),ROUNDDOWN(ROUND(BV304,6),0)&amp;"%"&amp;IF(CL304="",""," / "&amp;CL304&amp;"%"),IF(AND(N(BU304)&gt;=99.95,CL304&lt;&gt;"",N(CL304)&lt;100),"Pend. "&amp;CL304&amp;"%",""))))</f>
        <v/>
      </c>
      <c r="AP304" s="40" t="str">
        <f aca="false">IF(OR(OR(NOT(AND(ISNUMBER(E304),ISNUMBER(F304))),$J$2=""),4&gt;MAX(1,Reprogramaciones!$U$15)),"",IF(Reprogramaciones!N$12&gt;=7,"",IF(OR(BW304-N(BV304)&gt;0.05,N(T304)&gt;0),ROUNDDOWN(ROUND(BW304,6),0)&amp;"%"&amp;IF(CM304="",""," / "&amp;CM304&amp;"%"),IF(AND(N(BV304)&gt;=99.95,CM304&lt;&gt;"",N(CM304)&lt;100),"Pend. "&amp;CM304&amp;"%",""))))</f>
        <v/>
      </c>
      <c r="AQ304" s="40" t="str">
        <f aca="false">IF(OR(OR(NOT(AND(ISNUMBER(E304),ISNUMBER(F304))),$J$2=""),5&gt;MAX(1,Reprogramaciones!$U$15)),"",IF(Reprogramaciones!O$12&gt;=7,"",IF(OR(BX304-N(BW304)&gt;0.05,N(U304)&gt;0),ROUNDDOWN(ROUND(BX304,6),0)&amp;"%"&amp;IF(CN304="",""," / "&amp;CN304&amp;"%"),IF(AND(N(BW304)&gt;=99.95,CN304&lt;&gt;"",N(CN304)&lt;100),"Pend. "&amp;CN304&amp;"%",""))))</f>
        <v/>
      </c>
      <c r="AR304" s="40" t="str">
        <f aca="false">IF(OR(OR(NOT(AND(ISNUMBER(E304),ISNUMBER(F304))),$J$2=""),6&gt;MAX(1,Reprogramaciones!$U$15)),"",IF(Reprogramaciones!P$12&gt;=7,"",IF(OR(BY304-N(BX304)&gt;0.05,N(V304)&gt;0),ROUNDDOWN(ROUND(BY304,6),0)&amp;"%"&amp;IF(CO304="",""," / "&amp;CO304&amp;"%"),IF(AND(N(BX304)&gt;=99.95,CO304&lt;&gt;"",N(CO304)&lt;100),"Pend. "&amp;CO304&amp;"%",""))))</f>
        <v/>
      </c>
      <c r="AS304" s="40" t="str">
        <f aca="false">IF(OR(OR(NOT(AND(ISNUMBER(E304),ISNUMBER(F304))),$J$2=""),7&gt;MAX(1,Reprogramaciones!$U$15)),"",IF(Reprogramaciones!Q$12&gt;=7,"",IF(OR(BZ304-N(BY304)&gt;0.05,N(W304)&gt;0),ROUNDDOWN(ROUND(BZ304,6),0)&amp;"%"&amp;IF(CP304="",""," / "&amp;CP304&amp;"%"),IF(AND(N(BY304)&gt;=99.95,CP304&lt;&gt;"",N(CP304)&lt;100),"Pend. "&amp;CP304&amp;"%",""))))</f>
        <v/>
      </c>
      <c r="AT304" s="40" t="str">
        <f aca="false">IF(OR(OR(NOT(AND(ISNUMBER(E304),ISNUMBER(F304))),$J$2=""),8&gt;MAX(1,Reprogramaciones!$U$15)),"",IF(Reprogramaciones!R$12&gt;=7,"",IF(OR(CA304-N(BZ304)&gt;0.05,N(X304)&gt;0),ROUNDDOWN(ROUND(CA304,6),0)&amp;"%"&amp;IF(CQ304="",""," / "&amp;CQ304&amp;"%"),IF(AND(N(BZ304)&gt;=99.95,CQ304&lt;&gt;"",N(CQ304)&lt;100),"Pend. "&amp;CQ304&amp;"%",""))))</f>
        <v/>
      </c>
      <c r="AU304" s="40" t="str">
        <f aca="false">IF(OR(OR(NOT(AND(ISNUMBER(E304),ISNUMBER(F304))),$J$2=""),9&gt;MAX(1,Reprogramaciones!$U$15)),"",IF(Reprogramaciones!S$12&gt;=7,"",IF(OR(CB304-N(CA304)&gt;0.05,N(Y304)&gt;0),ROUNDDOWN(ROUND(CB304,6),0)&amp;"%"&amp;IF(CR304="",""," / "&amp;CR304&amp;"%"),IF(AND(N(CA304)&gt;=99.95,CR304&lt;&gt;"",N(CR304)&lt;100),"Pend. "&amp;CR304&amp;"%",""))))</f>
        <v/>
      </c>
      <c r="AV304" s="40" t="str">
        <f aca="false">IF(OR(OR(NOT(AND(ISNUMBER(E304),ISNUMBER(F304))),$J$2=""),10&gt;MAX(1,Reprogramaciones!$U$15)),"",IF(Reprogramaciones!T$12&gt;=7,"",IF(OR(CC304-N(CB304)&gt;0.05,N(Z304)&gt;0),ROUNDDOWN(ROUND(CC304,6),0)&amp;"%"&amp;IF(CS304="",""," / "&amp;CS304&amp;"%"),IF(AND(N(CB304)&gt;=99.95,CS304&lt;&gt;"",N(CS304)&lt;100),"Pend. "&amp;CS304&amp;"%",""))))</f>
        <v/>
      </c>
      <c r="AW304" s="40" t="str">
        <f aca="false">IF(OR(OR(NOT(AND(ISNUMBER(E304),ISNUMBER(F304))),$J$2=""),11&gt;MAX(1,Reprogramaciones!$U$15)),"",IF(Reprogramaciones!U$12&gt;=7,"",IF(OR(CD304-N(CC304)&gt;0.05,N(AA304)&gt;0),ROUNDDOWN(ROUND(CD304,6),0)&amp;"%"&amp;IF(CT304="",""," / "&amp;CT304&amp;"%"),IF(AND(N(CC304)&gt;=99.95,CT304&lt;&gt;"",N(CT304)&lt;100),"Pend. "&amp;CT304&amp;"%",""))))</f>
        <v/>
      </c>
      <c r="AX304" s="40" t="str">
        <f aca="false">IF(OR(OR(NOT(AND(ISNUMBER(E304),ISNUMBER(F304))),$J$2=""),12&gt;MAX(1,Reprogramaciones!$U$15)),"",IF(Reprogramaciones!V$12&gt;=7,"",IF(OR(CE304-N(CD304)&gt;0.05,N(AB304)&gt;0),ROUNDDOWN(ROUND(CE304,6),0)&amp;"%"&amp;IF(CU304="",""," / "&amp;CU304&amp;"%"),IF(AND(N(CD304)&gt;=99.95,CU304&lt;&gt;"",N(CU304)&lt;100),"Pend. "&amp;CU304&amp;"%",""))))</f>
        <v/>
      </c>
      <c r="AY304" s="40" t="str">
        <f aca="false">IF(OR(OR(NOT(AND(ISNUMBER(E304),ISNUMBER(F304))),$J$2=""),13&gt;MAX(1,Reprogramaciones!$U$15)),"",IF(Reprogramaciones!W$12&gt;=7,"",IF(OR(CF304-N(CE304)&gt;0.05,N(AC304)&gt;0),ROUNDDOWN(ROUND(CF304,6),0)&amp;"%"&amp;IF(CV304="",""," / "&amp;CV304&amp;"%"),IF(AND(N(CE304)&gt;=99.95,CV304&lt;&gt;"",N(CV304)&lt;100),"Pend. "&amp;CV304&amp;"%",""))))</f>
        <v/>
      </c>
      <c r="AZ304" s="40" t="str">
        <f aca="false">IF(OR(OR(NOT(AND(ISNUMBER(E304),ISNUMBER(F304))),$J$2=""),14&gt;MAX(1,Reprogramaciones!$U$15)),"",IF(Reprogramaciones!X$12&gt;=7,"",IF(OR(CG304-N(CF304)&gt;0.05,N(AD304)&gt;0),ROUNDDOWN(ROUND(CG304,6),0)&amp;"%"&amp;IF(CW304="",""," / "&amp;CW304&amp;"%"),IF(AND(N(CF304)&gt;=99.95,CW304&lt;&gt;"",N(CW304)&lt;100),"Pend. "&amp;CW304&amp;"%",""))))</f>
        <v/>
      </c>
      <c r="BA304" s="40" t="str">
        <f aca="false">IF(OR(OR(NOT(AND(ISNUMBER(E304),ISNUMBER(F304))),$J$2=""),15&gt;MAX(1,Reprogramaciones!$U$15)),"",IF(Reprogramaciones!Y$12&gt;=7,"",IF(OR(CH304-N(CG304)&gt;0.05,N(AE304)&gt;0),ROUNDDOWN(ROUND(CH304,6),0)&amp;"%"&amp;IF(CX304="",""," / "&amp;CX304&amp;"%"),IF(AND(N(CG304)&gt;=99.95,CX304&lt;&gt;"",N(CX304)&lt;100),"Pend. "&amp;CX304&amp;"%",""))))</f>
        <v/>
      </c>
      <c r="BB304" s="40" t="str">
        <f aca="false">IF(OR(OR(NOT(AND(ISNUMBER(E304),ISNUMBER(F304))),$J$2=""),16&gt;MAX(1,Reprogramaciones!$U$15)),"",IF(Reprogramaciones!Z$12&gt;=7,"",IF(OR(CI304-N(CH304)&gt;0.05,N(AF304)&gt;0),ROUNDDOWN(ROUND(CI304,6),0)&amp;"%"&amp;IF(CY304="",""," / "&amp;CY304&amp;"%"),IF(AND(N(CH304)&gt;=99.95,CY304&lt;&gt;"",N(CY304)&lt;100),"Pend. "&amp;CY304&amp;"%",""))))</f>
        <v/>
      </c>
      <c r="BC304" s="31" t="n">
        <f aca="false">IF(AND(ISNUMBER(E304),ISNUMBER(F304)),MAX(1,NETWORKDAYS.INTL(E304,F304,11)),0)</f>
        <v>0</v>
      </c>
      <c r="BD304" s="1" t="str">
        <f aca="false">IF(OR(NOT(AND(ISNUMBER(E304),ISNUMBER(F304))),$J$2=""),"",MIN(100,ROUND(SUM($G304:G304),1)))</f>
        <v/>
      </c>
      <c r="BE304" s="1" t="str">
        <f aca="false">IF(OR(NOT(AND(ISNUMBER(E304),ISNUMBER(F304))),$J$2=""),"",MIN(100,ROUND(SUM($G304:H304),1)))</f>
        <v/>
      </c>
      <c r="BF304" s="1" t="str">
        <f aca="false">IF(OR(NOT(AND(ISNUMBER(E304),ISNUMBER(F304))),$J$2=""),"",MIN(100,ROUND(SUM($G304:I304),1)))</f>
        <v/>
      </c>
      <c r="BG304" s="1" t="str">
        <f aca="false">IF(OR(NOT(AND(ISNUMBER(E304),ISNUMBER(F304))),$J$2=""),"",MIN(100,ROUND(SUM($G304:J304),1)))</f>
        <v/>
      </c>
      <c r="BH304" s="1" t="str">
        <f aca="false">IF(OR(NOT(AND(ISNUMBER(E304),ISNUMBER(F304))),$J$2=""),"",MIN(100,ROUND(SUM($G304:K304),1)))</f>
        <v/>
      </c>
      <c r="BI304" s="1" t="str">
        <f aca="false">IF(OR(NOT(AND(ISNUMBER(E304),ISNUMBER(F304))),$J$2=""),"",MIN(100,ROUND(SUM($G304:L304),1)))</f>
        <v/>
      </c>
      <c r="BJ304" s="1" t="str">
        <f aca="false">IF(OR(NOT(AND(ISNUMBER(E304),ISNUMBER(F304))),$J$2=""),"",MIN(100,ROUND(SUM($G304:M304),1)))</f>
        <v/>
      </c>
      <c r="BK304" s="1" t="str">
        <f aca="false">IF(OR(NOT(AND(ISNUMBER(E304),ISNUMBER(F304))),$J$2=""),"",MIN(100,ROUND(SUM($G304:N304),1)))</f>
        <v/>
      </c>
      <c r="BL304" s="1" t="str">
        <f aca="false">IF(OR(NOT(AND(ISNUMBER(E304),ISNUMBER(F304))),$J$2=""),"",MIN(100,ROUND(SUM($G304:O304),1)))</f>
        <v/>
      </c>
      <c r="BM304" s="1" t="str">
        <f aca="false">IF(OR(NOT(AND(ISNUMBER(E304),ISNUMBER(F304))),$J$2=""),"",MIN(100,ROUND(SUM($G304:P304),1)))</f>
        <v/>
      </c>
      <c r="BN304" s="1" t="str">
        <f aca="false">IF(OR(NOT(AND(ISNUMBER(E304),ISNUMBER(F304))),$J$2=""),"",MIN(100,ROUND(SUM($G304:P304),1)))</f>
        <v/>
      </c>
      <c r="BO304" s="1" t="str">
        <f aca="false">IF(OR(NOT(AND(ISNUMBER(E304),ISNUMBER(F304))),$J$2=""),"",MIN(100,ROUND(SUM($G304:P304),1)))</f>
        <v/>
      </c>
      <c r="BP304" s="1" t="str">
        <f aca="false">IF(OR(NOT(AND(ISNUMBER(E304),ISNUMBER(F304))),$J$2=""),"",MIN(100,ROUND(SUM($G304:P304),1)))</f>
        <v/>
      </c>
      <c r="BQ304" s="1" t="str">
        <f aca="false">IF(OR(NOT(AND(ISNUMBER(E304),ISNUMBER(F304))),$J$2=""),"",MIN(100,ROUND(SUM($G304:P304),1)))</f>
        <v/>
      </c>
      <c r="BR304" s="1" t="str">
        <f aca="false">IF(OR(NOT(AND(ISNUMBER(E304),ISNUMBER(F304))),$J$2=""),"",MIN(100,ROUND(SUM($G304:P304),1)))</f>
        <v/>
      </c>
      <c r="BS304" s="1" t="str">
        <f aca="false">IF(OR(NOT(AND(ISNUMBER(E304),ISNUMBER(F304))),$J$2=""),"",MIN(100,ROUND(SUM($G304:P304),1)))</f>
        <v/>
      </c>
      <c r="BT304" s="1" t="str">
        <f aca="false">IF(OR(NOT(AND(ISNUMBER(E304),ISNUMBER(F304))),$J$2=""),"",IF(Reprogramaciones!K$13&lt;Reprogramaciones!$T$15,0,IF(Reprogramaciones!K$14&gt;10,MIN(100,SUM($G304:$P304)),MIN(100,SUMPRODUCT((COLUMN($G304:$P304)-COLUMN($G304)+1&lt;Reprogramaciones!K$14)*$G304:$P304)+N(INDEX($G304:$P304,1,Reprogramaciones!K$14))*IF(Reprogramaciones!K$13&gt;=(Reprogramaciones!$T$15+7*(Reprogramaciones!K$14-1))+6,1,IF(MAX(0,NETWORKDAYS.INTL(MAX(E304,(Reprogramaciones!$T$15+7*(Reprogramaciones!K$14-1))),MIN(F304,(Reprogramaciones!$T$15+7*(Reprogramaciones!K$14-1))+6),11))=0,0,MAX(0,NETWORKDAYS.INTL(MAX(E304,(Reprogramaciones!$T$15+7*(Reprogramaciones!K$14-1))),MIN(F304,Reprogramaciones!K$13),11))/MAX(0,NETWORKDAYS.INTL(MAX(E304,(Reprogramaciones!$T$15+7*(Reprogramaciones!K$14-1))),MIN(F304,(Reprogramaciones!$T$15+7*(Reprogramaciones!K$14-1))+6),11))))))))</f>
        <v/>
      </c>
      <c r="BU304" s="1" t="str">
        <f aca="false">IF(OR(NOT(AND(ISNUMBER(E304),ISNUMBER(F304))),$J$2=""),"",IF(Reprogramaciones!L$13&lt;Reprogramaciones!$T$15,0,IF(Reprogramaciones!L$14&gt;10,MIN(100,SUM($G304:$P304)),MIN(100,SUMPRODUCT((COLUMN($G304:$P304)-COLUMN($G304)+1&lt;Reprogramaciones!L$14)*$G304:$P304)+N(INDEX($G304:$P304,1,Reprogramaciones!L$14))*IF(Reprogramaciones!L$13&gt;=(Reprogramaciones!$T$15+7*(Reprogramaciones!L$14-1))+6,1,IF(MAX(0,NETWORKDAYS.INTL(MAX(E304,(Reprogramaciones!$T$15+7*(Reprogramaciones!L$14-1))),MIN(F304,(Reprogramaciones!$T$15+7*(Reprogramaciones!L$14-1))+6),11))=0,0,MAX(0,NETWORKDAYS.INTL(MAX(E304,(Reprogramaciones!$T$15+7*(Reprogramaciones!L$14-1))),MIN(F304,Reprogramaciones!L$13),11))/MAX(0,NETWORKDAYS.INTL(MAX(E304,(Reprogramaciones!$T$15+7*(Reprogramaciones!L$14-1))),MIN(F304,(Reprogramaciones!$T$15+7*(Reprogramaciones!L$14-1))+6),11))))))))</f>
        <v/>
      </c>
      <c r="BV304" s="1" t="str">
        <f aca="false">IF(OR(NOT(AND(ISNUMBER(E304),ISNUMBER(F304))),$J$2=""),"",IF(Reprogramaciones!M$13&lt;Reprogramaciones!$T$15,0,IF(Reprogramaciones!M$14&gt;10,MIN(100,SUM($G304:$P304)),MIN(100,SUMPRODUCT((COLUMN($G304:$P304)-COLUMN($G304)+1&lt;Reprogramaciones!M$14)*$G304:$P304)+N(INDEX($G304:$P304,1,Reprogramaciones!M$14))*IF(Reprogramaciones!M$13&gt;=(Reprogramaciones!$T$15+7*(Reprogramaciones!M$14-1))+6,1,IF(MAX(0,NETWORKDAYS.INTL(MAX(E304,(Reprogramaciones!$T$15+7*(Reprogramaciones!M$14-1))),MIN(F304,(Reprogramaciones!$T$15+7*(Reprogramaciones!M$14-1))+6),11))=0,0,MAX(0,NETWORKDAYS.INTL(MAX(E304,(Reprogramaciones!$T$15+7*(Reprogramaciones!M$14-1))),MIN(F304,Reprogramaciones!M$13),11))/MAX(0,NETWORKDAYS.INTL(MAX(E304,(Reprogramaciones!$T$15+7*(Reprogramaciones!M$14-1))),MIN(F304,(Reprogramaciones!$T$15+7*(Reprogramaciones!M$14-1))+6),11))))))))</f>
        <v/>
      </c>
      <c r="BW304" s="1" t="str">
        <f aca="false">IF(OR(NOT(AND(ISNUMBER(E304),ISNUMBER(F304))),$J$2=""),"",IF(Reprogramaciones!N$13&lt;Reprogramaciones!$T$15,0,IF(Reprogramaciones!N$14&gt;10,MIN(100,SUM($G304:$P304)),MIN(100,SUMPRODUCT((COLUMN($G304:$P304)-COLUMN($G304)+1&lt;Reprogramaciones!N$14)*$G304:$P304)+N(INDEX($G304:$P304,1,Reprogramaciones!N$14))*IF(Reprogramaciones!N$13&gt;=(Reprogramaciones!$T$15+7*(Reprogramaciones!N$14-1))+6,1,IF(MAX(0,NETWORKDAYS.INTL(MAX(E304,(Reprogramaciones!$T$15+7*(Reprogramaciones!N$14-1))),MIN(F304,(Reprogramaciones!$T$15+7*(Reprogramaciones!N$14-1))+6),11))=0,0,MAX(0,NETWORKDAYS.INTL(MAX(E304,(Reprogramaciones!$T$15+7*(Reprogramaciones!N$14-1))),MIN(F304,Reprogramaciones!N$13),11))/MAX(0,NETWORKDAYS.INTL(MAX(E304,(Reprogramaciones!$T$15+7*(Reprogramaciones!N$14-1))),MIN(F304,(Reprogramaciones!$T$15+7*(Reprogramaciones!N$14-1))+6),11))))))))</f>
        <v/>
      </c>
      <c r="BX304" s="1" t="str">
        <f aca="false">IF(OR(NOT(AND(ISNUMBER(E304),ISNUMBER(F304))),$J$2=""),"",IF(Reprogramaciones!O$13&lt;Reprogramaciones!$T$15,0,IF(Reprogramaciones!O$14&gt;10,MIN(100,SUM($G304:$P304)),MIN(100,SUMPRODUCT((COLUMN($G304:$P304)-COLUMN($G304)+1&lt;Reprogramaciones!O$14)*$G304:$P304)+N(INDEX($G304:$P304,1,Reprogramaciones!O$14))*IF(Reprogramaciones!O$13&gt;=(Reprogramaciones!$T$15+7*(Reprogramaciones!O$14-1))+6,1,IF(MAX(0,NETWORKDAYS.INTL(MAX(E304,(Reprogramaciones!$T$15+7*(Reprogramaciones!O$14-1))),MIN(F304,(Reprogramaciones!$T$15+7*(Reprogramaciones!O$14-1))+6),11))=0,0,MAX(0,NETWORKDAYS.INTL(MAX(E304,(Reprogramaciones!$T$15+7*(Reprogramaciones!O$14-1))),MIN(F304,Reprogramaciones!O$13),11))/MAX(0,NETWORKDAYS.INTL(MAX(E304,(Reprogramaciones!$T$15+7*(Reprogramaciones!O$14-1))),MIN(F304,(Reprogramaciones!$T$15+7*(Reprogramaciones!O$14-1))+6),11))))))))</f>
        <v/>
      </c>
      <c r="BY304" s="1" t="str">
        <f aca="false">IF(OR(NOT(AND(ISNUMBER(E304),ISNUMBER(F304))),$J$2=""),"",IF(Reprogramaciones!P$13&lt;Reprogramaciones!$T$15,0,IF(Reprogramaciones!P$14&gt;10,MIN(100,SUM($G304:$P304)),MIN(100,SUMPRODUCT((COLUMN($G304:$P304)-COLUMN($G304)+1&lt;Reprogramaciones!P$14)*$G304:$P304)+N(INDEX($G304:$P304,1,Reprogramaciones!P$14))*IF(Reprogramaciones!P$13&gt;=(Reprogramaciones!$T$15+7*(Reprogramaciones!P$14-1))+6,1,IF(MAX(0,NETWORKDAYS.INTL(MAX(E304,(Reprogramaciones!$T$15+7*(Reprogramaciones!P$14-1))),MIN(F304,(Reprogramaciones!$T$15+7*(Reprogramaciones!P$14-1))+6),11))=0,0,MAX(0,NETWORKDAYS.INTL(MAX(E304,(Reprogramaciones!$T$15+7*(Reprogramaciones!P$14-1))),MIN(F304,Reprogramaciones!P$13),11))/MAX(0,NETWORKDAYS.INTL(MAX(E304,(Reprogramaciones!$T$15+7*(Reprogramaciones!P$14-1))),MIN(F304,(Reprogramaciones!$T$15+7*(Reprogramaciones!P$14-1))+6),11))))))))</f>
        <v/>
      </c>
      <c r="BZ304" s="1" t="str">
        <f aca="false">IF(OR(NOT(AND(ISNUMBER(E304),ISNUMBER(F304))),$J$2=""),"",IF(Reprogramaciones!Q$13&lt;Reprogramaciones!$T$15,0,IF(Reprogramaciones!Q$14&gt;10,MIN(100,SUM($G304:$P304)),MIN(100,SUMPRODUCT((COLUMN($G304:$P304)-COLUMN($G304)+1&lt;Reprogramaciones!Q$14)*$G304:$P304)+N(INDEX($G304:$P304,1,Reprogramaciones!Q$14))*IF(Reprogramaciones!Q$13&gt;=(Reprogramaciones!$T$15+7*(Reprogramaciones!Q$14-1))+6,1,IF(MAX(0,NETWORKDAYS.INTL(MAX(E304,(Reprogramaciones!$T$15+7*(Reprogramaciones!Q$14-1))),MIN(F304,(Reprogramaciones!$T$15+7*(Reprogramaciones!Q$14-1))+6),11))=0,0,MAX(0,NETWORKDAYS.INTL(MAX(E304,(Reprogramaciones!$T$15+7*(Reprogramaciones!Q$14-1))),MIN(F304,Reprogramaciones!Q$13),11))/MAX(0,NETWORKDAYS.INTL(MAX(E304,(Reprogramaciones!$T$15+7*(Reprogramaciones!Q$14-1))),MIN(F304,(Reprogramaciones!$T$15+7*(Reprogramaciones!Q$14-1))+6),11))))))))</f>
        <v/>
      </c>
      <c r="CA304" s="1" t="str">
        <f aca="false">IF(OR(NOT(AND(ISNUMBER(E304),ISNUMBER(F304))),$J$2=""),"",IF(Reprogramaciones!R$13&lt;Reprogramaciones!$T$15,0,IF(Reprogramaciones!R$14&gt;10,MIN(100,SUM($G304:$P304)),MIN(100,SUMPRODUCT((COLUMN($G304:$P304)-COLUMN($G304)+1&lt;Reprogramaciones!R$14)*$G304:$P304)+N(INDEX($G304:$P304,1,Reprogramaciones!R$14))*IF(Reprogramaciones!R$13&gt;=(Reprogramaciones!$T$15+7*(Reprogramaciones!R$14-1))+6,1,IF(MAX(0,NETWORKDAYS.INTL(MAX(E304,(Reprogramaciones!$T$15+7*(Reprogramaciones!R$14-1))),MIN(F304,(Reprogramaciones!$T$15+7*(Reprogramaciones!R$14-1))+6),11))=0,0,MAX(0,NETWORKDAYS.INTL(MAX(E304,(Reprogramaciones!$T$15+7*(Reprogramaciones!R$14-1))),MIN(F304,Reprogramaciones!R$13),11))/MAX(0,NETWORKDAYS.INTL(MAX(E304,(Reprogramaciones!$T$15+7*(Reprogramaciones!R$14-1))),MIN(F304,(Reprogramaciones!$T$15+7*(Reprogramaciones!R$14-1))+6),11))))))))</f>
        <v/>
      </c>
      <c r="CB304" s="1" t="str">
        <f aca="false">IF(OR(NOT(AND(ISNUMBER(E304),ISNUMBER(F304))),$J$2=""),"",IF(Reprogramaciones!S$13&lt;Reprogramaciones!$T$15,0,IF(Reprogramaciones!S$14&gt;10,MIN(100,SUM($G304:$P304)),MIN(100,SUMPRODUCT((COLUMN($G304:$P304)-COLUMN($G304)+1&lt;Reprogramaciones!S$14)*$G304:$P304)+N(INDEX($G304:$P304,1,Reprogramaciones!S$14))*IF(Reprogramaciones!S$13&gt;=(Reprogramaciones!$T$15+7*(Reprogramaciones!S$14-1))+6,1,IF(MAX(0,NETWORKDAYS.INTL(MAX(E304,(Reprogramaciones!$T$15+7*(Reprogramaciones!S$14-1))),MIN(F304,(Reprogramaciones!$T$15+7*(Reprogramaciones!S$14-1))+6),11))=0,0,MAX(0,NETWORKDAYS.INTL(MAX(E304,(Reprogramaciones!$T$15+7*(Reprogramaciones!S$14-1))),MIN(F304,Reprogramaciones!S$13),11))/MAX(0,NETWORKDAYS.INTL(MAX(E304,(Reprogramaciones!$T$15+7*(Reprogramaciones!S$14-1))),MIN(F304,(Reprogramaciones!$T$15+7*(Reprogramaciones!S$14-1))+6),11))))))))</f>
        <v/>
      </c>
      <c r="CC304" s="1" t="str">
        <f aca="false">IF(OR(NOT(AND(ISNUMBER(E304),ISNUMBER(F304))),$J$2=""),"",IF(Reprogramaciones!T$13&lt;Reprogramaciones!$T$15,0,IF(Reprogramaciones!T$14&gt;10,MIN(100,SUM($G304:$P304)),MIN(100,SUMPRODUCT((COLUMN($G304:$P304)-COLUMN($G304)+1&lt;Reprogramaciones!T$14)*$G304:$P304)+N(INDEX($G304:$P304,1,Reprogramaciones!T$14))*IF(Reprogramaciones!T$13&gt;=(Reprogramaciones!$T$15+7*(Reprogramaciones!T$14-1))+6,1,IF(MAX(0,NETWORKDAYS.INTL(MAX(E304,(Reprogramaciones!$T$15+7*(Reprogramaciones!T$14-1))),MIN(F304,(Reprogramaciones!$T$15+7*(Reprogramaciones!T$14-1))+6),11))=0,0,MAX(0,NETWORKDAYS.INTL(MAX(E304,(Reprogramaciones!$T$15+7*(Reprogramaciones!T$14-1))),MIN(F304,Reprogramaciones!T$13),11))/MAX(0,NETWORKDAYS.INTL(MAX(E304,(Reprogramaciones!$T$15+7*(Reprogramaciones!T$14-1))),MIN(F304,(Reprogramaciones!$T$15+7*(Reprogramaciones!T$14-1))+6),11))))))))</f>
        <v/>
      </c>
      <c r="CD304" s="1" t="str">
        <f aca="false">IF(OR(NOT(AND(ISNUMBER(E304),ISNUMBER(F304))),$J$2=""),"",IF(Reprogramaciones!U$13&lt;Reprogramaciones!$T$15,0,IF(Reprogramaciones!U$14&gt;10,MIN(100,SUM($G304:$P304)),MIN(100,SUMPRODUCT((COLUMN($G304:$P304)-COLUMN($G304)+1&lt;Reprogramaciones!U$14)*$G304:$P304)+N(INDEX($G304:$P304,1,Reprogramaciones!U$14))*IF(Reprogramaciones!U$13&gt;=(Reprogramaciones!$T$15+7*(Reprogramaciones!U$14-1))+6,1,IF(MAX(0,NETWORKDAYS.INTL(MAX(E304,(Reprogramaciones!$T$15+7*(Reprogramaciones!U$14-1))),MIN(F304,(Reprogramaciones!$T$15+7*(Reprogramaciones!U$14-1))+6),11))=0,0,MAX(0,NETWORKDAYS.INTL(MAX(E304,(Reprogramaciones!$T$15+7*(Reprogramaciones!U$14-1))),MIN(F304,Reprogramaciones!U$13),11))/MAX(0,NETWORKDAYS.INTL(MAX(E304,(Reprogramaciones!$T$15+7*(Reprogramaciones!U$14-1))),MIN(F304,(Reprogramaciones!$T$15+7*(Reprogramaciones!U$14-1))+6),11))))))))</f>
        <v/>
      </c>
      <c r="CE304" s="1" t="str">
        <f aca="false">IF(OR(NOT(AND(ISNUMBER(E304),ISNUMBER(F304))),$J$2=""),"",IF(Reprogramaciones!V$13&lt;Reprogramaciones!$T$15,0,IF(Reprogramaciones!V$14&gt;10,MIN(100,SUM($G304:$P304)),MIN(100,SUMPRODUCT((COLUMN($G304:$P304)-COLUMN($G304)+1&lt;Reprogramaciones!V$14)*$G304:$P304)+N(INDEX($G304:$P304,1,Reprogramaciones!V$14))*IF(Reprogramaciones!V$13&gt;=(Reprogramaciones!$T$15+7*(Reprogramaciones!V$14-1))+6,1,IF(MAX(0,NETWORKDAYS.INTL(MAX(E304,(Reprogramaciones!$T$15+7*(Reprogramaciones!V$14-1))),MIN(F304,(Reprogramaciones!$T$15+7*(Reprogramaciones!V$14-1))+6),11))=0,0,MAX(0,NETWORKDAYS.INTL(MAX(E304,(Reprogramaciones!$T$15+7*(Reprogramaciones!V$14-1))),MIN(F304,Reprogramaciones!V$13),11))/MAX(0,NETWORKDAYS.INTL(MAX(E304,(Reprogramaciones!$T$15+7*(Reprogramaciones!V$14-1))),MIN(F304,(Reprogramaciones!$T$15+7*(Reprogramaciones!V$14-1))+6),11))))))))</f>
        <v/>
      </c>
      <c r="CF304" s="1" t="str">
        <f aca="false">IF(OR(NOT(AND(ISNUMBER(E304),ISNUMBER(F304))),$J$2=""),"",IF(Reprogramaciones!W$13&lt;Reprogramaciones!$T$15,0,IF(Reprogramaciones!W$14&gt;10,MIN(100,SUM($G304:$P304)),MIN(100,SUMPRODUCT((COLUMN($G304:$P304)-COLUMN($G304)+1&lt;Reprogramaciones!W$14)*$G304:$P304)+N(INDEX($G304:$P304,1,Reprogramaciones!W$14))*IF(Reprogramaciones!W$13&gt;=(Reprogramaciones!$T$15+7*(Reprogramaciones!W$14-1))+6,1,IF(MAX(0,NETWORKDAYS.INTL(MAX(E304,(Reprogramaciones!$T$15+7*(Reprogramaciones!W$14-1))),MIN(F304,(Reprogramaciones!$T$15+7*(Reprogramaciones!W$14-1))+6),11))=0,0,MAX(0,NETWORKDAYS.INTL(MAX(E304,(Reprogramaciones!$T$15+7*(Reprogramaciones!W$14-1))),MIN(F304,Reprogramaciones!W$13),11))/MAX(0,NETWORKDAYS.INTL(MAX(E304,(Reprogramaciones!$T$15+7*(Reprogramaciones!W$14-1))),MIN(F304,(Reprogramaciones!$T$15+7*(Reprogramaciones!W$14-1))+6),11))))))))</f>
        <v/>
      </c>
      <c r="CG304" s="1" t="str">
        <f aca="false">IF(OR(NOT(AND(ISNUMBER(E304),ISNUMBER(F304))),$J$2=""),"",IF(Reprogramaciones!X$13&lt;Reprogramaciones!$T$15,0,IF(Reprogramaciones!X$14&gt;10,MIN(100,SUM($G304:$P304)),MIN(100,SUMPRODUCT((COLUMN($G304:$P304)-COLUMN($G304)+1&lt;Reprogramaciones!X$14)*$G304:$P304)+N(INDEX($G304:$P304,1,Reprogramaciones!X$14))*IF(Reprogramaciones!X$13&gt;=(Reprogramaciones!$T$15+7*(Reprogramaciones!X$14-1))+6,1,IF(MAX(0,NETWORKDAYS.INTL(MAX(E304,(Reprogramaciones!$T$15+7*(Reprogramaciones!X$14-1))),MIN(F304,(Reprogramaciones!$T$15+7*(Reprogramaciones!X$14-1))+6),11))=0,0,MAX(0,NETWORKDAYS.INTL(MAX(E304,(Reprogramaciones!$T$15+7*(Reprogramaciones!X$14-1))),MIN(F304,Reprogramaciones!X$13),11))/MAX(0,NETWORKDAYS.INTL(MAX(E304,(Reprogramaciones!$T$15+7*(Reprogramaciones!X$14-1))),MIN(F304,(Reprogramaciones!$T$15+7*(Reprogramaciones!X$14-1))+6),11))))))))</f>
        <v/>
      </c>
      <c r="CH304" s="1" t="str">
        <f aca="false">IF(OR(NOT(AND(ISNUMBER(E304),ISNUMBER(F304))),$J$2=""),"",IF(Reprogramaciones!Y$13&lt;Reprogramaciones!$T$15,0,IF(Reprogramaciones!Y$14&gt;10,MIN(100,SUM($G304:$P304)),MIN(100,SUMPRODUCT((COLUMN($G304:$P304)-COLUMN($G304)+1&lt;Reprogramaciones!Y$14)*$G304:$P304)+N(INDEX($G304:$P304,1,Reprogramaciones!Y$14))*IF(Reprogramaciones!Y$13&gt;=(Reprogramaciones!$T$15+7*(Reprogramaciones!Y$14-1))+6,1,IF(MAX(0,NETWORKDAYS.INTL(MAX(E304,(Reprogramaciones!$T$15+7*(Reprogramaciones!Y$14-1))),MIN(F304,(Reprogramaciones!$T$15+7*(Reprogramaciones!Y$14-1))+6),11))=0,0,MAX(0,NETWORKDAYS.INTL(MAX(E304,(Reprogramaciones!$T$15+7*(Reprogramaciones!Y$14-1))),MIN(F304,Reprogramaciones!Y$13),11))/MAX(0,NETWORKDAYS.INTL(MAX(E304,(Reprogramaciones!$T$15+7*(Reprogramaciones!Y$14-1))),MIN(F304,(Reprogramaciones!$T$15+7*(Reprogramaciones!Y$14-1))+6),11))))))))</f>
        <v/>
      </c>
      <c r="CI304" s="1" t="str">
        <f aca="false">IF(OR(NOT(AND(ISNUMBER(E304),ISNUMBER(F304))),$J$2=""),"",IF(Reprogramaciones!Z$13&lt;Reprogramaciones!$T$15,0,IF(Reprogramaciones!Z$14&gt;10,MIN(100,SUM($G304:$P304)),MIN(100,SUMPRODUCT((COLUMN($G304:$P304)-COLUMN($G304)+1&lt;Reprogramaciones!Z$14)*$G304:$P304)+N(INDEX($G304:$P304,1,Reprogramaciones!Z$14))*IF(Reprogramaciones!Z$13&gt;=(Reprogramaciones!$T$15+7*(Reprogramaciones!Z$14-1))+6,1,IF(MAX(0,NETWORKDAYS.INTL(MAX(E304,(Reprogramaciones!$T$15+7*(Reprogramaciones!Z$14-1))),MIN(F304,(Reprogramaciones!$T$15+7*(Reprogramaciones!Z$14-1))+6),11))=0,0,MAX(0,NETWORKDAYS.INTL(MAX(E304,(Reprogramaciones!$T$15+7*(Reprogramaciones!Z$14-1))),MIN(F304,Reprogramaciones!Z$13),11))/MAX(0,NETWORKDAYS.INTL(MAX(E304,(Reprogramaciones!$T$15+7*(Reprogramaciones!Z$14-1))),MIN(F304,(Reprogramaciones!$T$15+7*(Reprogramaciones!Z$14-1))+6),11))))))))</f>
        <v/>
      </c>
      <c r="CJ304" s="1" t="str">
        <f aca="false">IF(OR(OR(NOT(AND(ISNUMBER(E304),ISNUMBER(F304))),$J$2=""),1&gt;Reprogramaciones!$K$16),"",IF(ROUND(SUM($Q304:Q304),1)&gt;=99.5,100,MIN(100,ROUND(SUM($Q304:Q304),1))))</f>
        <v/>
      </c>
      <c r="CK304" s="1" t="str">
        <f aca="false">IF(OR(OR(NOT(AND(ISNUMBER(E304),ISNUMBER(F304))),$J$2=""),2&gt;Reprogramaciones!$K$16),"",IF(ROUND(SUM($Q304:R304),1)&gt;=99.5,100,MIN(100,ROUND(SUM($Q304:R304),1))))</f>
        <v/>
      </c>
      <c r="CL304" s="1" t="str">
        <f aca="false">IF(OR(OR(NOT(AND(ISNUMBER(E304),ISNUMBER(F304))),$J$2=""),3&gt;Reprogramaciones!$K$16),"",IF(ROUND(SUM($Q304:S304),1)&gt;=99.5,100,MIN(100,ROUND(SUM($Q304:S304),1))))</f>
        <v/>
      </c>
      <c r="CM304" s="1" t="str">
        <f aca="false">IF(OR(OR(NOT(AND(ISNUMBER(E304),ISNUMBER(F304))),$J$2=""),4&gt;Reprogramaciones!$K$16),"",IF(ROUND(SUM($Q304:T304),1)&gt;=99.5,100,MIN(100,ROUND(SUM($Q304:T304),1))))</f>
        <v/>
      </c>
      <c r="CN304" s="1" t="str">
        <f aca="false">IF(OR(OR(NOT(AND(ISNUMBER(E304),ISNUMBER(F304))),$J$2=""),5&gt;Reprogramaciones!$K$16),"",IF(ROUND(SUM($Q304:U304),1)&gt;=99.5,100,MIN(100,ROUND(SUM($Q304:U304),1))))</f>
        <v/>
      </c>
      <c r="CO304" s="1" t="str">
        <f aca="false">IF(OR(OR(NOT(AND(ISNUMBER(E304),ISNUMBER(F304))),$J$2=""),6&gt;Reprogramaciones!$K$16),"",IF(ROUND(SUM($Q304:V304),1)&gt;=99.5,100,MIN(100,ROUND(SUM($Q304:V304),1))))</f>
        <v/>
      </c>
      <c r="CP304" s="1" t="str">
        <f aca="false">IF(OR(OR(NOT(AND(ISNUMBER(E304),ISNUMBER(F304))),$J$2=""),7&gt;Reprogramaciones!$K$16),"",IF(ROUND(SUM($Q304:W304),1)&gt;=99.5,100,MIN(100,ROUND(SUM($Q304:W304),1))))</f>
        <v/>
      </c>
      <c r="CQ304" s="1" t="str">
        <f aca="false">IF(OR(OR(NOT(AND(ISNUMBER(E304),ISNUMBER(F304))),$J$2=""),8&gt;Reprogramaciones!$K$16),"",IF(ROUND(SUM($Q304:X304),1)&gt;=99.5,100,MIN(100,ROUND(SUM($Q304:X304),1))))</f>
        <v/>
      </c>
      <c r="CR304" s="1" t="str">
        <f aca="false">IF(OR(OR(NOT(AND(ISNUMBER(E304),ISNUMBER(F304))),$J$2=""),9&gt;Reprogramaciones!$K$16),"",IF(ROUND(SUM($Q304:Y304),1)&gt;=99.5,100,MIN(100,ROUND(SUM($Q304:Y304),1))))</f>
        <v/>
      </c>
      <c r="CS304" s="1" t="str">
        <f aca="false">IF(OR(OR(NOT(AND(ISNUMBER(E304),ISNUMBER(F304))),$J$2=""),10&gt;Reprogramaciones!$K$16),"",IF(ROUND(SUM($Q304:Z304),1)&gt;=99.5,100,MIN(100,ROUND(SUM($Q304:Z304),1))))</f>
        <v/>
      </c>
      <c r="CT304" s="1" t="str">
        <f aca="false">IF(OR(OR(NOT(AND(ISNUMBER(E304),ISNUMBER(F304))),$J$2=""),11&gt;Reprogramaciones!$K$16),"",IF(ROUND(SUM($Q304:AA304),1)&gt;=99.5,100,MIN(100,ROUND(SUM($Q304:AA304),1))))</f>
        <v/>
      </c>
      <c r="CU304" s="1" t="str">
        <f aca="false">IF(OR(OR(NOT(AND(ISNUMBER(E304),ISNUMBER(F304))),$J$2=""),12&gt;Reprogramaciones!$K$16),"",IF(ROUND(SUM($Q304:AB304),1)&gt;=99.5,100,MIN(100,ROUND(SUM($Q304:AB304),1))))</f>
        <v/>
      </c>
      <c r="CV304" s="1" t="str">
        <f aca="false">IF(OR(OR(NOT(AND(ISNUMBER(E304),ISNUMBER(F304))),$J$2=""),13&gt;Reprogramaciones!$K$16),"",IF(ROUND(SUM($Q304:AC304),1)&gt;=99.5,100,MIN(100,ROUND(SUM($Q304:AC304),1))))</f>
        <v/>
      </c>
      <c r="CW304" s="1" t="str">
        <f aca="false">IF(OR(OR(NOT(AND(ISNUMBER(E304),ISNUMBER(F304))),$J$2=""),14&gt;Reprogramaciones!$K$16),"",IF(ROUND(SUM($Q304:AD304),1)&gt;=99.5,100,MIN(100,ROUND(SUM($Q304:AD304),1))))</f>
        <v/>
      </c>
      <c r="CX304" s="1" t="str">
        <f aca="false">IF(OR(OR(NOT(AND(ISNUMBER(E304),ISNUMBER(F304))),$J$2=""),15&gt;Reprogramaciones!$K$16),"",IF(ROUND(SUM($Q304:AE304),1)&gt;=99.5,100,MIN(100,ROUND(SUM($Q304:AE304),1))))</f>
        <v/>
      </c>
      <c r="CY304" s="1" t="str">
        <f aca="false">IF(OR(OR(NOT(AND(ISNUMBER(E304),ISNUMBER(F304))),$J$2=""),16&gt;Reprogramaciones!$K$16),"",IF(ROUND(SUM($Q304:AF304),1)&gt;=99.5,100,MIN(100,ROUND(SUM($Q304:AF304),1))))</f>
        <v/>
      </c>
      <c r="CZ304" s="1" t="str">
        <f aca="false">IF(D304&lt;&gt;"",D304,IF(B304&lt;&gt;"","Contractual",CZ303))</f>
        <v>Contractual</v>
      </c>
      <c r="DA304" s="1" t="str">
        <f aca="false">IF(OR(NOT(AND(ISNUMBER(E304),ISNUMBER(F304))),$J$2=""),"",IF(Reprogramaciones!$Q$15&lt;Reprogramaciones!$T$15,0,IF(Reprogramaciones!$S$15&gt;10,MIN(100,SUM($G304:$P304)),MIN(100,SUMPRODUCT((COLUMN($G304:$P304)-COLUMN($G304)+1&lt;Reprogramaciones!$S$15)*$G304:$P304)+N(INDEX($G304:$P304,1,Reprogramaciones!$S$15))*IF(Reprogramaciones!$Q$15&gt;=(Reprogramaciones!$T$15+7*(Reprogramaciones!$S$15-1))+6,1,IF(MAX(0,NETWORKDAYS.INTL(MAX(E304,(Reprogramaciones!$T$15+7*(Reprogramaciones!$S$15-1))),MIN(F304,(Reprogramaciones!$T$15+7*(Reprogramaciones!$S$15-1))+6),11))=0,0,MAX(0,NETWORKDAYS.INTL(MAX(E304,(Reprogramaciones!$T$15+7*(Reprogramaciones!$S$15-1))),MIN(F304,Reprogramaciones!$Q$15),11))/MAX(0,NETWORKDAYS.INTL(MAX(E304,(Reprogramaciones!$T$15+7*(Reprogramaciones!$S$15-1))),MIN(F304,(Reprogramaciones!$T$15+7*(Reprogramaciones!$S$15-1))+6),11))))))))</f>
        <v/>
      </c>
    </row>
    <row r="305" customFormat="false" ht="15" hidden="false" customHeight="false" outlineLevel="0" collapsed="false">
      <c r="A305" s="32"/>
      <c r="B305" s="33"/>
      <c r="C305" s="33"/>
      <c r="D305" s="34"/>
      <c r="E305" s="35"/>
      <c r="F305" s="35"/>
      <c r="G305" s="36" t="str">
        <f aca="false">IF(OR(NOT(AND(ISNUMBER(E305),ISNUMBER(F305))),$J$2=""),"",IF(Reprogramaciones!K$9&lt;E305,0,IF(NETWORKDAYS.INTL(E305,F305,11)=0,IF(Reprogramaciones!K$9&gt;=F305,100,0),ROUND(NETWORKDAYS.INTL(E305,MIN(F305,Reprogramaciones!K$9),11)/NETWORKDAYS.INTL(E305,F305,11)*100,1)))-0)</f>
        <v/>
      </c>
      <c r="H305" s="36" t="str">
        <f aca="false">IF(OR(NOT(AND(ISNUMBER(E305),ISNUMBER(F305))),$J$2=""),"",IF(Reprogramaciones!L$9&lt;E305,0,IF(NETWORKDAYS.INTL(E305,F305,11)=0,IF(Reprogramaciones!L$9&gt;=F305,100,0),ROUND(NETWORKDAYS.INTL(E305,MIN(F305,Reprogramaciones!L$9),11)/NETWORKDAYS.INTL(E305,F305,11)*100,1)))-IF(Reprogramaciones!K$9&lt;E305,0,IF(NETWORKDAYS.INTL(E305,F305,11)=0,IF(Reprogramaciones!K$9&gt;=F305,100,0),ROUND(NETWORKDAYS.INTL(E305,MIN(F305,Reprogramaciones!K$9),11)/NETWORKDAYS.INTL(E305,F305,11)*100,1))))</f>
        <v/>
      </c>
      <c r="I305" s="36" t="str">
        <f aca="false">IF(OR(NOT(AND(ISNUMBER(E305),ISNUMBER(F305))),$J$2=""),"",IF(Reprogramaciones!M$9&lt;E305,0,IF(NETWORKDAYS.INTL(E305,F305,11)=0,IF(Reprogramaciones!M$9&gt;=F305,100,0),ROUND(NETWORKDAYS.INTL(E305,MIN(F305,Reprogramaciones!M$9),11)/NETWORKDAYS.INTL(E305,F305,11)*100,1)))-IF(Reprogramaciones!L$9&lt;E305,0,IF(NETWORKDAYS.INTL(E305,F305,11)=0,IF(Reprogramaciones!L$9&gt;=F305,100,0),ROUND(NETWORKDAYS.INTL(E305,MIN(F305,Reprogramaciones!L$9),11)/NETWORKDAYS.INTL(E305,F305,11)*100,1))))</f>
        <v/>
      </c>
      <c r="J305" s="36" t="str">
        <f aca="false">IF(OR(NOT(AND(ISNUMBER(E305),ISNUMBER(F305))),$J$2=""),"",IF(Reprogramaciones!N$9&lt;E305,0,IF(NETWORKDAYS.INTL(E305,F305,11)=0,IF(Reprogramaciones!N$9&gt;=F305,100,0),ROUND(NETWORKDAYS.INTL(E305,MIN(F305,Reprogramaciones!N$9),11)/NETWORKDAYS.INTL(E305,F305,11)*100,1)))-IF(Reprogramaciones!M$9&lt;E305,0,IF(NETWORKDAYS.INTL(E305,F305,11)=0,IF(Reprogramaciones!M$9&gt;=F305,100,0),ROUND(NETWORKDAYS.INTL(E305,MIN(F305,Reprogramaciones!M$9),11)/NETWORKDAYS.INTL(E305,F305,11)*100,1))))</f>
        <v/>
      </c>
      <c r="K305" s="36" t="str">
        <f aca="false">IF(OR(NOT(AND(ISNUMBER(E305),ISNUMBER(F305))),$J$2=""),"",IF(Reprogramaciones!O$9&lt;E305,0,IF(NETWORKDAYS.INTL(E305,F305,11)=0,IF(Reprogramaciones!O$9&gt;=F305,100,0),ROUND(NETWORKDAYS.INTL(E305,MIN(F305,Reprogramaciones!O$9),11)/NETWORKDAYS.INTL(E305,F305,11)*100,1)))-IF(Reprogramaciones!N$9&lt;E305,0,IF(NETWORKDAYS.INTL(E305,F305,11)=0,IF(Reprogramaciones!N$9&gt;=F305,100,0),ROUND(NETWORKDAYS.INTL(E305,MIN(F305,Reprogramaciones!N$9),11)/NETWORKDAYS.INTL(E305,F305,11)*100,1))))</f>
        <v/>
      </c>
      <c r="L305" s="36" t="str">
        <f aca="false">IF(OR(NOT(AND(ISNUMBER(E305),ISNUMBER(F305))),$J$2=""),"",IF(Reprogramaciones!P$9&lt;E305,0,IF(NETWORKDAYS.INTL(E305,F305,11)=0,IF(Reprogramaciones!P$9&gt;=F305,100,0),ROUND(NETWORKDAYS.INTL(E305,MIN(F305,Reprogramaciones!P$9),11)/NETWORKDAYS.INTL(E305,F305,11)*100,1)))-IF(Reprogramaciones!O$9&lt;E305,0,IF(NETWORKDAYS.INTL(E305,F305,11)=0,IF(Reprogramaciones!O$9&gt;=F305,100,0),ROUND(NETWORKDAYS.INTL(E305,MIN(F305,Reprogramaciones!O$9),11)/NETWORKDAYS.INTL(E305,F305,11)*100,1))))</f>
        <v/>
      </c>
      <c r="M305" s="36" t="str">
        <f aca="false">IF(OR(NOT(AND(ISNUMBER(E305),ISNUMBER(F305))),$J$2=""),"",IF(Reprogramaciones!Q$9&lt;E305,0,IF(NETWORKDAYS.INTL(E305,F305,11)=0,IF(Reprogramaciones!Q$9&gt;=F305,100,0),ROUND(NETWORKDAYS.INTL(E305,MIN(F305,Reprogramaciones!Q$9),11)/NETWORKDAYS.INTL(E305,F305,11)*100,1)))-IF(Reprogramaciones!P$9&lt;E305,0,IF(NETWORKDAYS.INTL(E305,F305,11)=0,IF(Reprogramaciones!P$9&gt;=F305,100,0),ROUND(NETWORKDAYS.INTL(E305,MIN(F305,Reprogramaciones!P$9),11)/NETWORKDAYS.INTL(E305,F305,11)*100,1))))</f>
        <v/>
      </c>
      <c r="N305" s="36" t="str">
        <f aca="false">IF(OR(NOT(AND(ISNUMBER(E305),ISNUMBER(F305))),$J$2=""),"",IF(Reprogramaciones!R$9&lt;E305,0,IF(NETWORKDAYS.INTL(E305,F305,11)=0,IF(Reprogramaciones!R$9&gt;=F305,100,0),ROUND(NETWORKDAYS.INTL(E305,MIN(F305,Reprogramaciones!R$9),11)/NETWORKDAYS.INTL(E305,F305,11)*100,1)))-IF(Reprogramaciones!Q$9&lt;E305,0,IF(NETWORKDAYS.INTL(E305,F305,11)=0,IF(Reprogramaciones!Q$9&gt;=F305,100,0),ROUND(NETWORKDAYS.INTL(E305,MIN(F305,Reprogramaciones!Q$9),11)/NETWORKDAYS.INTL(E305,F305,11)*100,1))))</f>
        <v/>
      </c>
      <c r="O305" s="36" t="str">
        <f aca="false">IF(OR(NOT(AND(ISNUMBER(E305),ISNUMBER(F305))),$J$2=""),"",IF(Reprogramaciones!S$9&lt;E305,0,IF(NETWORKDAYS.INTL(E305,F305,11)=0,IF(Reprogramaciones!S$9&gt;=F305,100,0),ROUND(NETWORKDAYS.INTL(E305,MIN(F305,Reprogramaciones!S$9),11)/NETWORKDAYS.INTL(E305,F305,11)*100,1)))-IF(Reprogramaciones!R$9&lt;E305,0,IF(NETWORKDAYS.INTL(E305,F305,11)=0,IF(Reprogramaciones!R$9&gt;=F305,100,0),ROUND(NETWORKDAYS.INTL(E305,MIN(F305,Reprogramaciones!R$9),11)/NETWORKDAYS.INTL(E305,F305,11)*100,1))))</f>
        <v/>
      </c>
      <c r="P305" s="36" t="str">
        <f aca="false">IF(OR(NOT(AND(ISNUMBER(E305),ISNUMBER(F305))),$J$2=""),"",IF(Reprogramaciones!T$9&lt;E305,0,IF(NETWORKDAYS.INTL(E305,F305,11)=0,IF(Reprogramaciones!T$9&gt;=F305,100,0),ROUND(NETWORKDAYS.INTL(E305,MIN(F305,Reprogramaciones!T$9),11)/NETWORKDAYS.INTL(E305,F305,11)*100,1)))-IF(Reprogramaciones!S$9&lt;E305,0,IF(NETWORKDAYS.INTL(E305,F305,11)=0,IF(Reprogramaciones!S$9&gt;=F305,100,0),ROUND(NETWORKDAYS.INTL(E305,MIN(F305,Reprogramaciones!S$9),11)/NETWORKDAYS.INTL(E305,F305,11)*100,1))))</f>
        <v/>
      </c>
      <c r="Q305" s="37"/>
      <c r="R305" s="37"/>
      <c r="S305" s="37"/>
      <c r="T305" s="37"/>
      <c r="U305" s="37"/>
      <c r="V305" s="37"/>
      <c r="W305" s="37"/>
      <c r="X305" s="37"/>
      <c r="Y305" s="37"/>
      <c r="Z305" s="37"/>
      <c r="AA305" s="37"/>
      <c r="AB305" s="37"/>
      <c r="AC305" s="37"/>
      <c r="AD305" s="37"/>
      <c r="AE305" s="37"/>
      <c r="AF305" s="37"/>
      <c r="AG305" s="38" t="str">
        <f aca="false">IF(AND(ISNUMBER(E305),ISNUMBER(F305)),NETWORKDAYS.INTL(E305,F305,11),"")</f>
        <v/>
      </c>
      <c r="AH305" s="38" t="str">
        <f aca="false">IF(OR(NOT(AND(ISNUMBER(E305),ISNUMBER(F305))),$J$2=""),"",IF(Reprogramaciones!$P$15&lt;Reprogramaciones!$T$15,0,IF(Reprogramaciones!$R$15&gt;10,MIN(100,SUM($G305:$P305)),MIN(100,SUMPRODUCT((COLUMN($G305:$P305)-COLUMN($G305)+1&lt;Reprogramaciones!$R$15)*$G305:$P305)+N(INDEX($G305:$P305,1,Reprogramaciones!$R$15))*IF(Reprogramaciones!$P$15&gt;=(Reprogramaciones!$T$15+7*(Reprogramaciones!$R$15-1))+6,1,IF(MAX(0,NETWORKDAYS.INTL(MAX(E305,(Reprogramaciones!$T$15+7*(Reprogramaciones!$R$15-1))),MIN(F305,(Reprogramaciones!$T$15+7*(Reprogramaciones!$R$15-1))+6),11))=0,0,MAX(0,NETWORKDAYS.INTL(MAX(E305,(Reprogramaciones!$T$15+7*(Reprogramaciones!$R$15-1))),MIN(F305,Reprogramaciones!$P$15),11))/MAX(0,NETWORKDAYS.INTL(MAX(E305,(Reprogramaciones!$T$15+7*(Reprogramaciones!$R$15-1))),MIN(F305,(Reprogramaciones!$T$15+7*(Reprogramaciones!$R$15-1))+6),11))))))))</f>
        <v/>
      </c>
      <c r="AI305" s="38" t="str">
        <f aca="false">IF(COUNT($Q305:$AF305)=0,"",IF(ROUND(SUM($Q305:$AF305),1)&gt;=99.5,100,MIN(100,ROUND(SUM($Q305:$AF305),1))))</f>
        <v/>
      </c>
      <c r="AJ305" s="38" t="str">
        <f aca="false">IF(OR(AH305="",AI305=""),"",AI305-AH305)</f>
        <v/>
      </c>
      <c r="AK305" s="39" t="str">
        <f aca="true">IF(AH305="","",IF(OR(Ficha!$C$10="Suspendida",Ficha!$C$10="Cancelada"),Ficha!$C$10,IF(AND(AI305&lt;&gt;"",N(AI305)&gt;=100),"Completada",IF(AND(E305&gt;TODAY(),N(AI305)=0),"Por iniciar",IF(N(AI305)+0.5&lt;AH305,"Retrasada",IF(N(AI305)+0.5&lt;DA305,IF(Reprogramaciones!$K$15&gt;0,"Al día · Sem "&amp;Reprogramaciones!$K$15&amp;" en curso","Al día · en curso"),"A tiempo"))))))</f>
        <v/>
      </c>
      <c r="AL305" s="39" t="str">
        <f aca="true">IF(AND(A305="",AND(B305="",C305="",E305="",F305="",COUNT(Q305:AF305)=0)),"",IF(AND(B305="",C305="",E305="",F305="",COUNT(Q305:AF305)=0),"Falta la partida o subpartida",IF(AND(A305&lt;&gt;"",COUNTIF($A$6:$A$305,A305)&gt;1),"Ítem repetido",IF(AND(C305="",E305="",F305="",COUNT(Q305:AF305)=0),"Título de partida",IF(OR(E305="",F305=""),"Faltan fechas",IF(OR(ISTEXT(E305),ISTEXT(F305)),"Fecha escrita como texto: usa dd/mm/aaaa",IF(F305&lt;E305,"Fin antes del inicio",IF(IF($J$2="",FALSE(),OR(E305&lt;$J$2,F305&gt;Reprogramaciones!$T$15+69)),"Fuera de las 10 semanas",IF(ABS(SUM(G305:P305)-100)&gt;0.5,"La meta no suma 100%",IF(ROUND(SUM(Q305:AF305),1)&gt;100.5,"El avance pasa de 100%",IF(MIN(Q305:AF305)&lt;0,"Avance negativo",IF(COUNTA(Q305:AF305)&gt;COUNT(Q305:AF305),"Avance escrito como texto",IF(SUMPRODUCT((Q305:AF305&gt;0)*(Q305:AF305&lt;1))&gt;0,"Avance menor a 1: escribe 50, no 50%",IF(SUMPRODUCT(ISNUMBER(Q305:AF305)*(Reprogramaciones!$K$8:$Z$8&gt;TODAY()))&gt;0,"Avance en semana que aún no llega",IF(AND(N(Reprogramaciones!$E$21)&gt;0,F305&gt;Reprogramaciones!$E$21),"Pasa el fin de la obra: registra una reprogramación",IF(AND(N(Reprogramaciones!$E$21)&gt;0,SUMPRODUCT(ISNUMBER(Q305:AF305)*(Reprogramaciones!$K$8:$Z$8&gt;Reprogramaciones!$E$21))&gt;0),"Avance después del fin de la obra: registra una reprogramación por atraso","OK"))))))))))))))))</f>
        <v/>
      </c>
      <c r="AM305" s="40" t="str">
        <f aca="false">IF(OR(OR(NOT(AND(ISNUMBER(E305),ISNUMBER(F305))),$J$2=""),1&gt;MAX(1,Reprogramaciones!$U$15)),"",IF(Reprogramaciones!K$12&gt;=7,"",IF(OR(BT305-N(0)&gt;0.05,N(Q305)&gt;0),ROUNDDOWN(ROUND(BT305,6),0)&amp;"%"&amp;IF(CJ305="",""," / "&amp;CJ305&amp;"%"),IF(AND(N(0)&gt;=99.95,CJ305&lt;&gt;"",N(CJ305)&lt;100),"Pend. "&amp;CJ305&amp;"%",""))))</f>
        <v/>
      </c>
      <c r="AN305" s="40" t="str">
        <f aca="false">IF(OR(OR(NOT(AND(ISNUMBER(E305),ISNUMBER(F305))),$J$2=""),2&gt;MAX(1,Reprogramaciones!$U$15)),"",IF(Reprogramaciones!L$12&gt;=7,"",IF(OR(BU305-N(BT305)&gt;0.05,N(R305)&gt;0),ROUNDDOWN(ROUND(BU305,6),0)&amp;"%"&amp;IF(CK305="",""," / "&amp;CK305&amp;"%"),IF(AND(N(BT305)&gt;=99.95,CK305&lt;&gt;"",N(CK305)&lt;100),"Pend. "&amp;CK305&amp;"%",""))))</f>
        <v/>
      </c>
      <c r="AO305" s="40" t="str">
        <f aca="false">IF(OR(OR(NOT(AND(ISNUMBER(E305),ISNUMBER(F305))),$J$2=""),3&gt;MAX(1,Reprogramaciones!$U$15)),"",IF(Reprogramaciones!M$12&gt;=7,"",IF(OR(BV305-N(BU305)&gt;0.05,N(S305)&gt;0),ROUNDDOWN(ROUND(BV305,6),0)&amp;"%"&amp;IF(CL305="",""," / "&amp;CL305&amp;"%"),IF(AND(N(BU305)&gt;=99.95,CL305&lt;&gt;"",N(CL305)&lt;100),"Pend. "&amp;CL305&amp;"%",""))))</f>
        <v/>
      </c>
      <c r="AP305" s="40" t="str">
        <f aca="false">IF(OR(OR(NOT(AND(ISNUMBER(E305),ISNUMBER(F305))),$J$2=""),4&gt;MAX(1,Reprogramaciones!$U$15)),"",IF(Reprogramaciones!N$12&gt;=7,"",IF(OR(BW305-N(BV305)&gt;0.05,N(T305)&gt;0),ROUNDDOWN(ROUND(BW305,6),0)&amp;"%"&amp;IF(CM305="",""," / "&amp;CM305&amp;"%"),IF(AND(N(BV305)&gt;=99.95,CM305&lt;&gt;"",N(CM305)&lt;100),"Pend. "&amp;CM305&amp;"%",""))))</f>
        <v/>
      </c>
      <c r="AQ305" s="40" t="str">
        <f aca="false">IF(OR(OR(NOT(AND(ISNUMBER(E305),ISNUMBER(F305))),$J$2=""),5&gt;MAX(1,Reprogramaciones!$U$15)),"",IF(Reprogramaciones!O$12&gt;=7,"",IF(OR(BX305-N(BW305)&gt;0.05,N(U305)&gt;0),ROUNDDOWN(ROUND(BX305,6),0)&amp;"%"&amp;IF(CN305="",""," / "&amp;CN305&amp;"%"),IF(AND(N(BW305)&gt;=99.95,CN305&lt;&gt;"",N(CN305)&lt;100),"Pend. "&amp;CN305&amp;"%",""))))</f>
        <v/>
      </c>
      <c r="AR305" s="40" t="str">
        <f aca="false">IF(OR(OR(NOT(AND(ISNUMBER(E305),ISNUMBER(F305))),$J$2=""),6&gt;MAX(1,Reprogramaciones!$U$15)),"",IF(Reprogramaciones!P$12&gt;=7,"",IF(OR(BY305-N(BX305)&gt;0.05,N(V305)&gt;0),ROUNDDOWN(ROUND(BY305,6),0)&amp;"%"&amp;IF(CO305="",""," / "&amp;CO305&amp;"%"),IF(AND(N(BX305)&gt;=99.95,CO305&lt;&gt;"",N(CO305)&lt;100),"Pend. "&amp;CO305&amp;"%",""))))</f>
        <v/>
      </c>
      <c r="AS305" s="40" t="str">
        <f aca="false">IF(OR(OR(NOT(AND(ISNUMBER(E305),ISNUMBER(F305))),$J$2=""),7&gt;MAX(1,Reprogramaciones!$U$15)),"",IF(Reprogramaciones!Q$12&gt;=7,"",IF(OR(BZ305-N(BY305)&gt;0.05,N(W305)&gt;0),ROUNDDOWN(ROUND(BZ305,6),0)&amp;"%"&amp;IF(CP305="",""," / "&amp;CP305&amp;"%"),IF(AND(N(BY305)&gt;=99.95,CP305&lt;&gt;"",N(CP305)&lt;100),"Pend. "&amp;CP305&amp;"%",""))))</f>
        <v/>
      </c>
      <c r="AT305" s="40" t="str">
        <f aca="false">IF(OR(OR(NOT(AND(ISNUMBER(E305),ISNUMBER(F305))),$J$2=""),8&gt;MAX(1,Reprogramaciones!$U$15)),"",IF(Reprogramaciones!R$12&gt;=7,"",IF(OR(CA305-N(BZ305)&gt;0.05,N(X305)&gt;0),ROUNDDOWN(ROUND(CA305,6),0)&amp;"%"&amp;IF(CQ305="",""," / "&amp;CQ305&amp;"%"),IF(AND(N(BZ305)&gt;=99.95,CQ305&lt;&gt;"",N(CQ305)&lt;100),"Pend. "&amp;CQ305&amp;"%",""))))</f>
        <v/>
      </c>
      <c r="AU305" s="40" t="str">
        <f aca="false">IF(OR(OR(NOT(AND(ISNUMBER(E305),ISNUMBER(F305))),$J$2=""),9&gt;MAX(1,Reprogramaciones!$U$15)),"",IF(Reprogramaciones!S$12&gt;=7,"",IF(OR(CB305-N(CA305)&gt;0.05,N(Y305)&gt;0),ROUNDDOWN(ROUND(CB305,6),0)&amp;"%"&amp;IF(CR305="",""," / "&amp;CR305&amp;"%"),IF(AND(N(CA305)&gt;=99.95,CR305&lt;&gt;"",N(CR305)&lt;100),"Pend. "&amp;CR305&amp;"%",""))))</f>
        <v/>
      </c>
      <c r="AV305" s="40" t="str">
        <f aca="false">IF(OR(OR(NOT(AND(ISNUMBER(E305),ISNUMBER(F305))),$J$2=""),10&gt;MAX(1,Reprogramaciones!$U$15)),"",IF(Reprogramaciones!T$12&gt;=7,"",IF(OR(CC305-N(CB305)&gt;0.05,N(Z305)&gt;0),ROUNDDOWN(ROUND(CC305,6),0)&amp;"%"&amp;IF(CS305="",""," / "&amp;CS305&amp;"%"),IF(AND(N(CB305)&gt;=99.95,CS305&lt;&gt;"",N(CS305)&lt;100),"Pend. "&amp;CS305&amp;"%",""))))</f>
        <v/>
      </c>
      <c r="AW305" s="40" t="str">
        <f aca="false">IF(OR(OR(NOT(AND(ISNUMBER(E305),ISNUMBER(F305))),$J$2=""),11&gt;MAX(1,Reprogramaciones!$U$15)),"",IF(Reprogramaciones!U$12&gt;=7,"",IF(OR(CD305-N(CC305)&gt;0.05,N(AA305)&gt;0),ROUNDDOWN(ROUND(CD305,6),0)&amp;"%"&amp;IF(CT305="",""," / "&amp;CT305&amp;"%"),IF(AND(N(CC305)&gt;=99.95,CT305&lt;&gt;"",N(CT305)&lt;100),"Pend. "&amp;CT305&amp;"%",""))))</f>
        <v/>
      </c>
      <c r="AX305" s="40" t="str">
        <f aca="false">IF(OR(OR(NOT(AND(ISNUMBER(E305),ISNUMBER(F305))),$J$2=""),12&gt;MAX(1,Reprogramaciones!$U$15)),"",IF(Reprogramaciones!V$12&gt;=7,"",IF(OR(CE305-N(CD305)&gt;0.05,N(AB305)&gt;0),ROUNDDOWN(ROUND(CE305,6),0)&amp;"%"&amp;IF(CU305="",""," / "&amp;CU305&amp;"%"),IF(AND(N(CD305)&gt;=99.95,CU305&lt;&gt;"",N(CU305)&lt;100),"Pend. "&amp;CU305&amp;"%",""))))</f>
        <v/>
      </c>
      <c r="AY305" s="40" t="str">
        <f aca="false">IF(OR(OR(NOT(AND(ISNUMBER(E305),ISNUMBER(F305))),$J$2=""),13&gt;MAX(1,Reprogramaciones!$U$15)),"",IF(Reprogramaciones!W$12&gt;=7,"",IF(OR(CF305-N(CE305)&gt;0.05,N(AC305)&gt;0),ROUNDDOWN(ROUND(CF305,6),0)&amp;"%"&amp;IF(CV305="",""," / "&amp;CV305&amp;"%"),IF(AND(N(CE305)&gt;=99.95,CV305&lt;&gt;"",N(CV305)&lt;100),"Pend. "&amp;CV305&amp;"%",""))))</f>
        <v/>
      </c>
      <c r="AZ305" s="40" t="str">
        <f aca="false">IF(OR(OR(NOT(AND(ISNUMBER(E305),ISNUMBER(F305))),$J$2=""),14&gt;MAX(1,Reprogramaciones!$U$15)),"",IF(Reprogramaciones!X$12&gt;=7,"",IF(OR(CG305-N(CF305)&gt;0.05,N(AD305)&gt;0),ROUNDDOWN(ROUND(CG305,6),0)&amp;"%"&amp;IF(CW305="",""," / "&amp;CW305&amp;"%"),IF(AND(N(CF305)&gt;=99.95,CW305&lt;&gt;"",N(CW305)&lt;100),"Pend. "&amp;CW305&amp;"%",""))))</f>
        <v/>
      </c>
      <c r="BA305" s="40" t="str">
        <f aca="false">IF(OR(OR(NOT(AND(ISNUMBER(E305),ISNUMBER(F305))),$J$2=""),15&gt;MAX(1,Reprogramaciones!$U$15)),"",IF(Reprogramaciones!Y$12&gt;=7,"",IF(OR(CH305-N(CG305)&gt;0.05,N(AE305)&gt;0),ROUNDDOWN(ROUND(CH305,6),0)&amp;"%"&amp;IF(CX305="",""," / "&amp;CX305&amp;"%"),IF(AND(N(CG305)&gt;=99.95,CX305&lt;&gt;"",N(CX305)&lt;100),"Pend. "&amp;CX305&amp;"%",""))))</f>
        <v/>
      </c>
      <c r="BB305" s="40" t="str">
        <f aca="false">IF(OR(OR(NOT(AND(ISNUMBER(E305),ISNUMBER(F305))),$J$2=""),16&gt;MAX(1,Reprogramaciones!$U$15)),"",IF(Reprogramaciones!Z$12&gt;=7,"",IF(OR(CI305-N(CH305)&gt;0.05,N(AF305)&gt;0),ROUNDDOWN(ROUND(CI305,6),0)&amp;"%"&amp;IF(CY305="",""," / "&amp;CY305&amp;"%"),IF(AND(N(CH305)&gt;=99.95,CY305&lt;&gt;"",N(CY305)&lt;100),"Pend. "&amp;CY305&amp;"%",""))))</f>
        <v/>
      </c>
      <c r="BC305" s="31" t="n">
        <f aca="false">IF(AND(ISNUMBER(E305),ISNUMBER(F305)),MAX(1,NETWORKDAYS.INTL(E305,F305,11)),0)</f>
        <v>0</v>
      </c>
      <c r="BD305" s="1" t="str">
        <f aca="false">IF(OR(NOT(AND(ISNUMBER(E305),ISNUMBER(F305))),$J$2=""),"",MIN(100,ROUND(SUM($G305:G305),1)))</f>
        <v/>
      </c>
      <c r="BE305" s="1" t="str">
        <f aca="false">IF(OR(NOT(AND(ISNUMBER(E305),ISNUMBER(F305))),$J$2=""),"",MIN(100,ROUND(SUM($G305:H305),1)))</f>
        <v/>
      </c>
      <c r="BF305" s="1" t="str">
        <f aca="false">IF(OR(NOT(AND(ISNUMBER(E305),ISNUMBER(F305))),$J$2=""),"",MIN(100,ROUND(SUM($G305:I305),1)))</f>
        <v/>
      </c>
      <c r="BG305" s="1" t="str">
        <f aca="false">IF(OR(NOT(AND(ISNUMBER(E305),ISNUMBER(F305))),$J$2=""),"",MIN(100,ROUND(SUM($G305:J305),1)))</f>
        <v/>
      </c>
      <c r="BH305" s="1" t="str">
        <f aca="false">IF(OR(NOT(AND(ISNUMBER(E305),ISNUMBER(F305))),$J$2=""),"",MIN(100,ROUND(SUM($G305:K305),1)))</f>
        <v/>
      </c>
      <c r="BI305" s="1" t="str">
        <f aca="false">IF(OR(NOT(AND(ISNUMBER(E305),ISNUMBER(F305))),$J$2=""),"",MIN(100,ROUND(SUM($G305:L305),1)))</f>
        <v/>
      </c>
      <c r="BJ305" s="1" t="str">
        <f aca="false">IF(OR(NOT(AND(ISNUMBER(E305),ISNUMBER(F305))),$J$2=""),"",MIN(100,ROUND(SUM($G305:M305),1)))</f>
        <v/>
      </c>
      <c r="BK305" s="1" t="str">
        <f aca="false">IF(OR(NOT(AND(ISNUMBER(E305),ISNUMBER(F305))),$J$2=""),"",MIN(100,ROUND(SUM($G305:N305),1)))</f>
        <v/>
      </c>
      <c r="BL305" s="1" t="str">
        <f aca="false">IF(OR(NOT(AND(ISNUMBER(E305),ISNUMBER(F305))),$J$2=""),"",MIN(100,ROUND(SUM($G305:O305),1)))</f>
        <v/>
      </c>
      <c r="BM305" s="1" t="str">
        <f aca="false">IF(OR(NOT(AND(ISNUMBER(E305),ISNUMBER(F305))),$J$2=""),"",MIN(100,ROUND(SUM($G305:P305),1)))</f>
        <v/>
      </c>
      <c r="BN305" s="1" t="str">
        <f aca="false">IF(OR(NOT(AND(ISNUMBER(E305),ISNUMBER(F305))),$J$2=""),"",MIN(100,ROUND(SUM($G305:P305),1)))</f>
        <v/>
      </c>
      <c r="BO305" s="1" t="str">
        <f aca="false">IF(OR(NOT(AND(ISNUMBER(E305),ISNUMBER(F305))),$J$2=""),"",MIN(100,ROUND(SUM($G305:P305),1)))</f>
        <v/>
      </c>
      <c r="BP305" s="1" t="str">
        <f aca="false">IF(OR(NOT(AND(ISNUMBER(E305),ISNUMBER(F305))),$J$2=""),"",MIN(100,ROUND(SUM($G305:P305),1)))</f>
        <v/>
      </c>
      <c r="BQ305" s="1" t="str">
        <f aca="false">IF(OR(NOT(AND(ISNUMBER(E305),ISNUMBER(F305))),$J$2=""),"",MIN(100,ROUND(SUM($G305:P305),1)))</f>
        <v/>
      </c>
      <c r="BR305" s="1" t="str">
        <f aca="false">IF(OR(NOT(AND(ISNUMBER(E305),ISNUMBER(F305))),$J$2=""),"",MIN(100,ROUND(SUM($G305:P305),1)))</f>
        <v/>
      </c>
      <c r="BS305" s="1" t="str">
        <f aca="false">IF(OR(NOT(AND(ISNUMBER(E305),ISNUMBER(F305))),$J$2=""),"",MIN(100,ROUND(SUM($G305:P305),1)))</f>
        <v/>
      </c>
      <c r="BT305" s="1" t="str">
        <f aca="false">IF(OR(NOT(AND(ISNUMBER(E305),ISNUMBER(F305))),$J$2=""),"",IF(Reprogramaciones!K$13&lt;Reprogramaciones!$T$15,0,IF(Reprogramaciones!K$14&gt;10,MIN(100,SUM($G305:$P305)),MIN(100,SUMPRODUCT((COLUMN($G305:$P305)-COLUMN($G305)+1&lt;Reprogramaciones!K$14)*$G305:$P305)+N(INDEX($G305:$P305,1,Reprogramaciones!K$14))*IF(Reprogramaciones!K$13&gt;=(Reprogramaciones!$T$15+7*(Reprogramaciones!K$14-1))+6,1,IF(MAX(0,NETWORKDAYS.INTL(MAX(E305,(Reprogramaciones!$T$15+7*(Reprogramaciones!K$14-1))),MIN(F305,(Reprogramaciones!$T$15+7*(Reprogramaciones!K$14-1))+6),11))=0,0,MAX(0,NETWORKDAYS.INTL(MAX(E305,(Reprogramaciones!$T$15+7*(Reprogramaciones!K$14-1))),MIN(F305,Reprogramaciones!K$13),11))/MAX(0,NETWORKDAYS.INTL(MAX(E305,(Reprogramaciones!$T$15+7*(Reprogramaciones!K$14-1))),MIN(F305,(Reprogramaciones!$T$15+7*(Reprogramaciones!K$14-1))+6),11))))))))</f>
        <v/>
      </c>
      <c r="BU305" s="1" t="str">
        <f aca="false">IF(OR(NOT(AND(ISNUMBER(E305),ISNUMBER(F305))),$J$2=""),"",IF(Reprogramaciones!L$13&lt;Reprogramaciones!$T$15,0,IF(Reprogramaciones!L$14&gt;10,MIN(100,SUM($G305:$P305)),MIN(100,SUMPRODUCT((COLUMN($G305:$P305)-COLUMN($G305)+1&lt;Reprogramaciones!L$14)*$G305:$P305)+N(INDEX($G305:$P305,1,Reprogramaciones!L$14))*IF(Reprogramaciones!L$13&gt;=(Reprogramaciones!$T$15+7*(Reprogramaciones!L$14-1))+6,1,IF(MAX(0,NETWORKDAYS.INTL(MAX(E305,(Reprogramaciones!$T$15+7*(Reprogramaciones!L$14-1))),MIN(F305,(Reprogramaciones!$T$15+7*(Reprogramaciones!L$14-1))+6),11))=0,0,MAX(0,NETWORKDAYS.INTL(MAX(E305,(Reprogramaciones!$T$15+7*(Reprogramaciones!L$14-1))),MIN(F305,Reprogramaciones!L$13),11))/MAX(0,NETWORKDAYS.INTL(MAX(E305,(Reprogramaciones!$T$15+7*(Reprogramaciones!L$14-1))),MIN(F305,(Reprogramaciones!$T$15+7*(Reprogramaciones!L$14-1))+6),11))))))))</f>
        <v/>
      </c>
      <c r="BV305" s="1" t="str">
        <f aca="false">IF(OR(NOT(AND(ISNUMBER(E305),ISNUMBER(F305))),$J$2=""),"",IF(Reprogramaciones!M$13&lt;Reprogramaciones!$T$15,0,IF(Reprogramaciones!M$14&gt;10,MIN(100,SUM($G305:$P305)),MIN(100,SUMPRODUCT((COLUMN($G305:$P305)-COLUMN($G305)+1&lt;Reprogramaciones!M$14)*$G305:$P305)+N(INDEX($G305:$P305,1,Reprogramaciones!M$14))*IF(Reprogramaciones!M$13&gt;=(Reprogramaciones!$T$15+7*(Reprogramaciones!M$14-1))+6,1,IF(MAX(0,NETWORKDAYS.INTL(MAX(E305,(Reprogramaciones!$T$15+7*(Reprogramaciones!M$14-1))),MIN(F305,(Reprogramaciones!$T$15+7*(Reprogramaciones!M$14-1))+6),11))=0,0,MAX(0,NETWORKDAYS.INTL(MAX(E305,(Reprogramaciones!$T$15+7*(Reprogramaciones!M$14-1))),MIN(F305,Reprogramaciones!M$13),11))/MAX(0,NETWORKDAYS.INTL(MAX(E305,(Reprogramaciones!$T$15+7*(Reprogramaciones!M$14-1))),MIN(F305,(Reprogramaciones!$T$15+7*(Reprogramaciones!M$14-1))+6),11))))))))</f>
        <v/>
      </c>
      <c r="BW305" s="1" t="str">
        <f aca="false">IF(OR(NOT(AND(ISNUMBER(E305),ISNUMBER(F305))),$J$2=""),"",IF(Reprogramaciones!N$13&lt;Reprogramaciones!$T$15,0,IF(Reprogramaciones!N$14&gt;10,MIN(100,SUM($G305:$P305)),MIN(100,SUMPRODUCT((COLUMN($G305:$P305)-COLUMN($G305)+1&lt;Reprogramaciones!N$14)*$G305:$P305)+N(INDEX($G305:$P305,1,Reprogramaciones!N$14))*IF(Reprogramaciones!N$13&gt;=(Reprogramaciones!$T$15+7*(Reprogramaciones!N$14-1))+6,1,IF(MAX(0,NETWORKDAYS.INTL(MAX(E305,(Reprogramaciones!$T$15+7*(Reprogramaciones!N$14-1))),MIN(F305,(Reprogramaciones!$T$15+7*(Reprogramaciones!N$14-1))+6),11))=0,0,MAX(0,NETWORKDAYS.INTL(MAX(E305,(Reprogramaciones!$T$15+7*(Reprogramaciones!N$14-1))),MIN(F305,Reprogramaciones!N$13),11))/MAX(0,NETWORKDAYS.INTL(MAX(E305,(Reprogramaciones!$T$15+7*(Reprogramaciones!N$14-1))),MIN(F305,(Reprogramaciones!$T$15+7*(Reprogramaciones!N$14-1))+6),11))))))))</f>
        <v/>
      </c>
      <c r="BX305" s="1" t="str">
        <f aca="false">IF(OR(NOT(AND(ISNUMBER(E305),ISNUMBER(F305))),$J$2=""),"",IF(Reprogramaciones!O$13&lt;Reprogramaciones!$T$15,0,IF(Reprogramaciones!O$14&gt;10,MIN(100,SUM($G305:$P305)),MIN(100,SUMPRODUCT((COLUMN($G305:$P305)-COLUMN($G305)+1&lt;Reprogramaciones!O$14)*$G305:$P305)+N(INDEX($G305:$P305,1,Reprogramaciones!O$14))*IF(Reprogramaciones!O$13&gt;=(Reprogramaciones!$T$15+7*(Reprogramaciones!O$14-1))+6,1,IF(MAX(0,NETWORKDAYS.INTL(MAX(E305,(Reprogramaciones!$T$15+7*(Reprogramaciones!O$14-1))),MIN(F305,(Reprogramaciones!$T$15+7*(Reprogramaciones!O$14-1))+6),11))=0,0,MAX(0,NETWORKDAYS.INTL(MAX(E305,(Reprogramaciones!$T$15+7*(Reprogramaciones!O$14-1))),MIN(F305,Reprogramaciones!O$13),11))/MAX(0,NETWORKDAYS.INTL(MAX(E305,(Reprogramaciones!$T$15+7*(Reprogramaciones!O$14-1))),MIN(F305,(Reprogramaciones!$T$15+7*(Reprogramaciones!O$14-1))+6),11))))))))</f>
        <v/>
      </c>
      <c r="BY305" s="1" t="str">
        <f aca="false">IF(OR(NOT(AND(ISNUMBER(E305),ISNUMBER(F305))),$J$2=""),"",IF(Reprogramaciones!P$13&lt;Reprogramaciones!$T$15,0,IF(Reprogramaciones!P$14&gt;10,MIN(100,SUM($G305:$P305)),MIN(100,SUMPRODUCT((COLUMN($G305:$P305)-COLUMN($G305)+1&lt;Reprogramaciones!P$14)*$G305:$P305)+N(INDEX($G305:$P305,1,Reprogramaciones!P$14))*IF(Reprogramaciones!P$13&gt;=(Reprogramaciones!$T$15+7*(Reprogramaciones!P$14-1))+6,1,IF(MAX(0,NETWORKDAYS.INTL(MAX(E305,(Reprogramaciones!$T$15+7*(Reprogramaciones!P$14-1))),MIN(F305,(Reprogramaciones!$T$15+7*(Reprogramaciones!P$14-1))+6),11))=0,0,MAX(0,NETWORKDAYS.INTL(MAX(E305,(Reprogramaciones!$T$15+7*(Reprogramaciones!P$14-1))),MIN(F305,Reprogramaciones!P$13),11))/MAX(0,NETWORKDAYS.INTL(MAX(E305,(Reprogramaciones!$T$15+7*(Reprogramaciones!P$14-1))),MIN(F305,(Reprogramaciones!$T$15+7*(Reprogramaciones!P$14-1))+6),11))))))))</f>
        <v/>
      </c>
      <c r="BZ305" s="1" t="str">
        <f aca="false">IF(OR(NOT(AND(ISNUMBER(E305),ISNUMBER(F305))),$J$2=""),"",IF(Reprogramaciones!Q$13&lt;Reprogramaciones!$T$15,0,IF(Reprogramaciones!Q$14&gt;10,MIN(100,SUM($G305:$P305)),MIN(100,SUMPRODUCT((COLUMN($G305:$P305)-COLUMN($G305)+1&lt;Reprogramaciones!Q$14)*$G305:$P305)+N(INDEX($G305:$P305,1,Reprogramaciones!Q$14))*IF(Reprogramaciones!Q$13&gt;=(Reprogramaciones!$T$15+7*(Reprogramaciones!Q$14-1))+6,1,IF(MAX(0,NETWORKDAYS.INTL(MAX(E305,(Reprogramaciones!$T$15+7*(Reprogramaciones!Q$14-1))),MIN(F305,(Reprogramaciones!$T$15+7*(Reprogramaciones!Q$14-1))+6),11))=0,0,MAX(0,NETWORKDAYS.INTL(MAX(E305,(Reprogramaciones!$T$15+7*(Reprogramaciones!Q$14-1))),MIN(F305,Reprogramaciones!Q$13),11))/MAX(0,NETWORKDAYS.INTL(MAX(E305,(Reprogramaciones!$T$15+7*(Reprogramaciones!Q$14-1))),MIN(F305,(Reprogramaciones!$T$15+7*(Reprogramaciones!Q$14-1))+6),11))))))))</f>
        <v/>
      </c>
      <c r="CA305" s="1" t="str">
        <f aca="false">IF(OR(NOT(AND(ISNUMBER(E305),ISNUMBER(F305))),$J$2=""),"",IF(Reprogramaciones!R$13&lt;Reprogramaciones!$T$15,0,IF(Reprogramaciones!R$14&gt;10,MIN(100,SUM($G305:$P305)),MIN(100,SUMPRODUCT((COLUMN($G305:$P305)-COLUMN($G305)+1&lt;Reprogramaciones!R$14)*$G305:$P305)+N(INDEX($G305:$P305,1,Reprogramaciones!R$14))*IF(Reprogramaciones!R$13&gt;=(Reprogramaciones!$T$15+7*(Reprogramaciones!R$14-1))+6,1,IF(MAX(0,NETWORKDAYS.INTL(MAX(E305,(Reprogramaciones!$T$15+7*(Reprogramaciones!R$14-1))),MIN(F305,(Reprogramaciones!$T$15+7*(Reprogramaciones!R$14-1))+6),11))=0,0,MAX(0,NETWORKDAYS.INTL(MAX(E305,(Reprogramaciones!$T$15+7*(Reprogramaciones!R$14-1))),MIN(F305,Reprogramaciones!R$13),11))/MAX(0,NETWORKDAYS.INTL(MAX(E305,(Reprogramaciones!$T$15+7*(Reprogramaciones!R$14-1))),MIN(F305,(Reprogramaciones!$T$15+7*(Reprogramaciones!R$14-1))+6),11))))))))</f>
        <v/>
      </c>
      <c r="CB305" s="1" t="str">
        <f aca="false">IF(OR(NOT(AND(ISNUMBER(E305),ISNUMBER(F305))),$J$2=""),"",IF(Reprogramaciones!S$13&lt;Reprogramaciones!$T$15,0,IF(Reprogramaciones!S$14&gt;10,MIN(100,SUM($G305:$P305)),MIN(100,SUMPRODUCT((COLUMN($G305:$P305)-COLUMN($G305)+1&lt;Reprogramaciones!S$14)*$G305:$P305)+N(INDEX($G305:$P305,1,Reprogramaciones!S$14))*IF(Reprogramaciones!S$13&gt;=(Reprogramaciones!$T$15+7*(Reprogramaciones!S$14-1))+6,1,IF(MAX(0,NETWORKDAYS.INTL(MAX(E305,(Reprogramaciones!$T$15+7*(Reprogramaciones!S$14-1))),MIN(F305,(Reprogramaciones!$T$15+7*(Reprogramaciones!S$14-1))+6),11))=0,0,MAX(0,NETWORKDAYS.INTL(MAX(E305,(Reprogramaciones!$T$15+7*(Reprogramaciones!S$14-1))),MIN(F305,Reprogramaciones!S$13),11))/MAX(0,NETWORKDAYS.INTL(MAX(E305,(Reprogramaciones!$T$15+7*(Reprogramaciones!S$14-1))),MIN(F305,(Reprogramaciones!$T$15+7*(Reprogramaciones!S$14-1))+6),11))))))))</f>
        <v/>
      </c>
      <c r="CC305" s="1" t="str">
        <f aca="false">IF(OR(NOT(AND(ISNUMBER(E305),ISNUMBER(F305))),$J$2=""),"",IF(Reprogramaciones!T$13&lt;Reprogramaciones!$T$15,0,IF(Reprogramaciones!T$14&gt;10,MIN(100,SUM($G305:$P305)),MIN(100,SUMPRODUCT((COLUMN($G305:$P305)-COLUMN($G305)+1&lt;Reprogramaciones!T$14)*$G305:$P305)+N(INDEX($G305:$P305,1,Reprogramaciones!T$14))*IF(Reprogramaciones!T$13&gt;=(Reprogramaciones!$T$15+7*(Reprogramaciones!T$14-1))+6,1,IF(MAX(0,NETWORKDAYS.INTL(MAX(E305,(Reprogramaciones!$T$15+7*(Reprogramaciones!T$14-1))),MIN(F305,(Reprogramaciones!$T$15+7*(Reprogramaciones!T$14-1))+6),11))=0,0,MAX(0,NETWORKDAYS.INTL(MAX(E305,(Reprogramaciones!$T$15+7*(Reprogramaciones!T$14-1))),MIN(F305,Reprogramaciones!T$13),11))/MAX(0,NETWORKDAYS.INTL(MAX(E305,(Reprogramaciones!$T$15+7*(Reprogramaciones!T$14-1))),MIN(F305,(Reprogramaciones!$T$15+7*(Reprogramaciones!T$14-1))+6),11))))))))</f>
        <v/>
      </c>
      <c r="CD305" s="1" t="str">
        <f aca="false">IF(OR(NOT(AND(ISNUMBER(E305),ISNUMBER(F305))),$J$2=""),"",IF(Reprogramaciones!U$13&lt;Reprogramaciones!$T$15,0,IF(Reprogramaciones!U$14&gt;10,MIN(100,SUM($G305:$P305)),MIN(100,SUMPRODUCT((COLUMN($G305:$P305)-COLUMN($G305)+1&lt;Reprogramaciones!U$14)*$G305:$P305)+N(INDEX($G305:$P305,1,Reprogramaciones!U$14))*IF(Reprogramaciones!U$13&gt;=(Reprogramaciones!$T$15+7*(Reprogramaciones!U$14-1))+6,1,IF(MAX(0,NETWORKDAYS.INTL(MAX(E305,(Reprogramaciones!$T$15+7*(Reprogramaciones!U$14-1))),MIN(F305,(Reprogramaciones!$T$15+7*(Reprogramaciones!U$14-1))+6),11))=0,0,MAX(0,NETWORKDAYS.INTL(MAX(E305,(Reprogramaciones!$T$15+7*(Reprogramaciones!U$14-1))),MIN(F305,Reprogramaciones!U$13),11))/MAX(0,NETWORKDAYS.INTL(MAX(E305,(Reprogramaciones!$T$15+7*(Reprogramaciones!U$14-1))),MIN(F305,(Reprogramaciones!$T$15+7*(Reprogramaciones!U$14-1))+6),11))))))))</f>
        <v/>
      </c>
      <c r="CE305" s="1" t="str">
        <f aca="false">IF(OR(NOT(AND(ISNUMBER(E305),ISNUMBER(F305))),$J$2=""),"",IF(Reprogramaciones!V$13&lt;Reprogramaciones!$T$15,0,IF(Reprogramaciones!V$14&gt;10,MIN(100,SUM($G305:$P305)),MIN(100,SUMPRODUCT((COLUMN($G305:$P305)-COLUMN($G305)+1&lt;Reprogramaciones!V$14)*$G305:$P305)+N(INDEX($G305:$P305,1,Reprogramaciones!V$14))*IF(Reprogramaciones!V$13&gt;=(Reprogramaciones!$T$15+7*(Reprogramaciones!V$14-1))+6,1,IF(MAX(0,NETWORKDAYS.INTL(MAX(E305,(Reprogramaciones!$T$15+7*(Reprogramaciones!V$14-1))),MIN(F305,(Reprogramaciones!$T$15+7*(Reprogramaciones!V$14-1))+6),11))=0,0,MAX(0,NETWORKDAYS.INTL(MAX(E305,(Reprogramaciones!$T$15+7*(Reprogramaciones!V$14-1))),MIN(F305,Reprogramaciones!V$13),11))/MAX(0,NETWORKDAYS.INTL(MAX(E305,(Reprogramaciones!$T$15+7*(Reprogramaciones!V$14-1))),MIN(F305,(Reprogramaciones!$T$15+7*(Reprogramaciones!V$14-1))+6),11))))))))</f>
        <v/>
      </c>
      <c r="CF305" s="1" t="str">
        <f aca="false">IF(OR(NOT(AND(ISNUMBER(E305),ISNUMBER(F305))),$J$2=""),"",IF(Reprogramaciones!W$13&lt;Reprogramaciones!$T$15,0,IF(Reprogramaciones!W$14&gt;10,MIN(100,SUM($G305:$P305)),MIN(100,SUMPRODUCT((COLUMN($G305:$P305)-COLUMN($G305)+1&lt;Reprogramaciones!W$14)*$G305:$P305)+N(INDEX($G305:$P305,1,Reprogramaciones!W$14))*IF(Reprogramaciones!W$13&gt;=(Reprogramaciones!$T$15+7*(Reprogramaciones!W$14-1))+6,1,IF(MAX(0,NETWORKDAYS.INTL(MAX(E305,(Reprogramaciones!$T$15+7*(Reprogramaciones!W$14-1))),MIN(F305,(Reprogramaciones!$T$15+7*(Reprogramaciones!W$14-1))+6),11))=0,0,MAX(0,NETWORKDAYS.INTL(MAX(E305,(Reprogramaciones!$T$15+7*(Reprogramaciones!W$14-1))),MIN(F305,Reprogramaciones!W$13),11))/MAX(0,NETWORKDAYS.INTL(MAX(E305,(Reprogramaciones!$T$15+7*(Reprogramaciones!W$14-1))),MIN(F305,(Reprogramaciones!$T$15+7*(Reprogramaciones!W$14-1))+6),11))))))))</f>
        <v/>
      </c>
      <c r="CG305" s="1" t="str">
        <f aca="false">IF(OR(NOT(AND(ISNUMBER(E305),ISNUMBER(F305))),$J$2=""),"",IF(Reprogramaciones!X$13&lt;Reprogramaciones!$T$15,0,IF(Reprogramaciones!X$14&gt;10,MIN(100,SUM($G305:$P305)),MIN(100,SUMPRODUCT((COLUMN($G305:$P305)-COLUMN($G305)+1&lt;Reprogramaciones!X$14)*$G305:$P305)+N(INDEX($G305:$P305,1,Reprogramaciones!X$14))*IF(Reprogramaciones!X$13&gt;=(Reprogramaciones!$T$15+7*(Reprogramaciones!X$14-1))+6,1,IF(MAX(0,NETWORKDAYS.INTL(MAX(E305,(Reprogramaciones!$T$15+7*(Reprogramaciones!X$14-1))),MIN(F305,(Reprogramaciones!$T$15+7*(Reprogramaciones!X$14-1))+6),11))=0,0,MAX(0,NETWORKDAYS.INTL(MAX(E305,(Reprogramaciones!$T$15+7*(Reprogramaciones!X$14-1))),MIN(F305,Reprogramaciones!X$13),11))/MAX(0,NETWORKDAYS.INTL(MAX(E305,(Reprogramaciones!$T$15+7*(Reprogramaciones!X$14-1))),MIN(F305,(Reprogramaciones!$T$15+7*(Reprogramaciones!X$14-1))+6),11))))))))</f>
        <v/>
      </c>
      <c r="CH305" s="1" t="str">
        <f aca="false">IF(OR(NOT(AND(ISNUMBER(E305),ISNUMBER(F305))),$J$2=""),"",IF(Reprogramaciones!Y$13&lt;Reprogramaciones!$T$15,0,IF(Reprogramaciones!Y$14&gt;10,MIN(100,SUM($G305:$P305)),MIN(100,SUMPRODUCT((COLUMN($G305:$P305)-COLUMN($G305)+1&lt;Reprogramaciones!Y$14)*$G305:$P305)+N(INDEX($G305:$P305,1,Reprogramaciones!Y$14))*IF(Reprogramaciones!Y$13&gt;=(Reprogramaciones!$T$15+7*(Reprogramaciones!Y$14-1))+6,1,IF(MAX(0,NETWORKDAYS.INTL(MAX(E305,(Reprogramaciones!$T$15+7*(Reprogramaciones!Y$14-1))),MIN(F305,(Reprogramaciones!$T$15+7*(Reprogramaciones!Y$14-1))+6),11))=0,0,MAX(0,NETWORKDAYS.INTL(MAX(E305,(Reprogramaciones!$T$15+7*(Reprogramaciones!Y$14-1))),MIN(F305,Reprogramaciones!Y$13),11))/MAX(0,NETWORKDAYS.INTL(MAX(E305,(Reprogramaciones!$T$15+7*(Reprogramaciones!Y$14-1))),MIN(F305,(Reprogramaciones!$T$15+7*(Reprogramaciones!Y$14-1))+6),11))))))))</f>
        <v/>
      </c>
      <c r="CI305" s="1" t="str">
        <f aca="false">IF(OR(NOT(AND(ISNUMBER(E305),ISNUMBER(F305))),$J$2=""),"",IF(Reprogramaciones!Z$13&lt;Reprogramaciones!$T$15,0,IF(Reprogramaciones!Z$14&gt;10,MIN(100,SUM($G305:$P305)),MIN(100,SUMPRODUCT((COLUMN($G305:$P305)-COLUMN($G305)+1&lt;Reprogramaciones!Z$14)*$G305:$P305)+N(INDEX($G305:$P305,1,Reprogramaciones!Z$14))*IF(Reprogramaciones!Z$13&gt;=(Reprogramaciones!$T$15+7*(Reprogramaciones!Z$14-1))+6,1,IF(MAX(0,NETWORKDAYS.INTL(MAX(E305,(Reprogramaciones!$T$15+7*(Reprogramaciones!Z$14-1))),MIN(F305,(Reprogramaciones!$T$15+7*(Reprogramaciones!Z$14-1))+6),11))=0,0,MAX(0,NETWORKDAYS.INTL(MAX(E305,(Reprogramaciones!$T$15+7*(Reprogramaciones!Z$14-1))),MIN(F305,Reprogramaciones!Z$13),11))/MAX(0,NETWORKDAYS.INTL(MAX(E305,(Reprogramaciones!$T$15+7*(Reprogramaciones!Z$14-1))),MIN(F305,(Reprogramaciones!$T$15+7*(Reprogramaciones!Z$14-1))+6),11))))))))</f>
        <v/>
      </c>
      <c r="CJ305" s="1" t="str">
        <f aca="false">IF(OR(OR(NOT(AND(ISNUMBER(E305),ISNUMBER(F305))),$J$2=""),1&gt;Reprogramaciones!$K$16),"",IF(ROUND(SUM($Q305:Q305),1)&gt;=99.5,100,MIN(100,ROUND(SUM($Q305:Q305),1))))</f>
        <v/>
      </c>
      <c r="CK305" s="1" t="str">
        <f aca="false">IF(OR(OR(NOT(AND(ISNUMBER(E305),ISNUMBER(F305))),$J$2=""),2&gt;Reprogramaciones!$K$16),"",IF(ROUND(SUM($Q305:R305),1)&gt;=99.5,100,MIN(100,ROUND(SUM($Q305:R305),1))))</f>
        <v/>
      </c>
      <c r="CL305" s="1" t="str">
        <f aca="false">IF(OR(OR(NOT(AND(ISNUMBER(E305),ISNUMBER(F305))),$J$2=""),3&gt;Reprogramaciones!$K$16),"",IF(ROUND(SUM($Q305:S305),1)&gt;=99.5,100,MIN(100,ROUND(SUM($Q305:S305),1))))</f>
        <v/>
      </c>
      <c r="CM305" s="1" t="str">
        <f aca="false">IF(OR(OR(NOT(AND(ISNUMBER(E305),ISNUMBER(F305))),$J$2=""),4&gt;Reprogramaciones!$K$16),"",IF(ROUND(SUM($Q305:T305),1)&gt;=99.5,100,MIN(100,ROUND(SUM($Q305:T305),1))))</f>
        <v/>
      </c>
      <c r="CN305" s="1" t="str">
        <f aca="false">IF(OR(OR(NOT(AND(ISNUMBER(E305),ISNUMBER(F305))),$J$2=""),5&gt;Reprogramaciones!$K$16),"",IF(ROUND(SUM($Q305:U305),1)&gt;=99.5,100,MIN(100,ROUND(SUM($Q305:U305),1))))</f>
        <v/>
      </c>
      <c r="CO305" s="1" t="str">
        <f aca="false">IF(OR(OR(NOT(AND(ISNUMBER(E305),ISNUMBER(F305))),$J$2=""),6&gt;Reprogramaciones!$K$16),"",IF(ROUND(SUM($Q305:V305),1)&gt;=99.5,100,MIN(100,ROUND(SUM($Q305:V305),1))))</f>
        <v/>
      </c>
      <c r="CP305" s="1" t="str">
        <f aca="false">IF(OR(OR(NOT(AND(ISNUMBER(E305),ISNUMBER(F305))),$J$2=""),7&gt;Reprogramaciones!$K$16),"",IF(ROUND(SUM($Q305:W305),1)&gt;=99.5,100,MIN(100,ROUND(SUM($Q305:W305),1))))</f>
        <v/>
      </c>
      <c r="CQ305" s="1" t="str">
        <f aca="false">IF(OR(OR(NOT(AND(ISNUMBER(E305),ISNUMBER(F305))),$J$2=""),8&gt;Reprogramaciones!$K$16),"",IF(ROUND(SUM($Q305:X305),1)&gt;=99.5,100,MIN(100,ROUND(SUM($Q305:X305),1))))</f>
        <v/>
      </c>
      <c r="CR305" s="1" t="str">
        <f aca="false">IF(OR(OR(NOT(AND(ISNUMBER(E305),ISNUMBER(F305))),$J$2=""),9&gt;Reprogramaciones!$K$16),"",IF(ROUND(SUM($Q305:Y305),1)&gt;=99.5,100,MIN(100,ROUND(SUM($Q305:Y305),1))))</f>
        <v/>
      </c>
      <c r="CS305" s="1" t="str">
        <f aca="false">IF(OR(OR(NOT(AND(ISNUMBER(E305),ISNUMBER(F305))),$J$2=""),10&gt;Reprogramaciones!$K$16),"",IF(ROUND(SUM($Q305:Z305),1)&gt;=99.5,100,MIN(100,ROUND(SUM($Q305:Z305),1))))</f>
        <v/>
      </c>
      <c r="CT305" s="1" t="str">
        <f aca="false">IF(OR(OR(NOT(AND(ISNUMBER(E305),ISNUMBER(F305))),$J$2=""),11&gt;Reprogramaciones!$K$16),"",IF(ROUND(SUM($Q305:AA305),1)&gt;=99.5,100,MIN(100,ROUND(SUM($Q305:AA305),1))))</f>
        <v/>
      </c>
      <c r="CU305" s="1" t="str">
        <f aca="false">IF(OR(OR(NOT(AND(ISNUMBER(E305),ISNUMBER(F305))),$J$2=""),12&gt;Reprogramaciones!$K$16),"",IF(ROUND(SUM($Q305:AB305),1)&gt;=99.5,100,MIN(100,ROUND(SUM($Q305:AB305),1))))</f>
        <v/>
      </c>
      <c r="CV305" s="1" t="str">
        <f aca="false">IF(OR(OR(NOT(AND(ISNUMBER(E305),ISNUMBER(F305))),$J$2=""),13&gt;Reprogramaciones!$K$16),"",IF(ROUND(SUM($Q305:AC305),1)&gt;=99.5,100,MIN(100,ROUND(SUM($Q305:AC305),1))))</f>
        <v/>
      </c>
      <c r="CW305" s="1" t="str">
        <f aca="false">IF(OR(OR(NOT(AND(ISNUMBER(E305),ISNUMBER(F305))),$J$2=""),14&gt;Reprogramaciones!$K$16),"",IF(ROUND(SUM($Q305:AD305),1)&gt;=99.5,100,MIN(100,ROUND(SUM($Q305:AD305),1))))</f>
        <v/>
      </c>
      <c r="CX305" s="1" t="str">
        <f aca="false">IF(OR(OR(NOT(AND(ISNUMBER(E305),ISNUMBER(F305))),$J$2=""),15&gt;Reprogramaciones!$K$16),"",IF(ROUND(SUM($Q305:AE305),1)&gt;=99.5,100,MIN(100,ROUND(SUM($Q305:AE305),1))))</f>
        <v/>
      </c>
      <c r="CY305" s="1" t="str">
        <f aca="false">IF(OR(OR(NOT(AND(ISNUMBER(E305),ISNUMBER(F305))),$J$2=""),16&gt;Reprogramaciones!$K$16),"",IF(ROUND(SUM($Q305:AF305),1)&gt;=99.5,100,MIN(100,ROUND(SUM($Q305:AF305),1))))</f>
        <v/>
      </c>
      <c r="CZ305" s="1" t="str">
        <f aca="false">IF(D305&lt;&gt;"",D305,IF(B305&lt;&gt;"","Contractual",CZ304))</f>
        <v>Contractual</v>
      </c>
      <c r="DA305" s="1" t="str">
        <f aca="false">IF(OR(NOT(AND(ISNUMBER(E305),ISNUMBER(F305))),$J$2=""),"",IF(Reprogramaciones!$Q$15&lt;Reprogramaciones!$T$15,0,IF(Reprogramaciones!$S$15&gt;10,MIN(100,SUM($G305:$P305)),MIN(100,SUMPRODUCT((COLUMN($G305:$P305)-COLUMN($G305)+1&lt;Reprogramaciones!$S$15)*$G305:$P305)+N(INDEX($G305:$P305,1,Reprogramaciones!$S$15))*IF(Reprogramaciones!$Q$15&gt;=(Reprogramaciones!$T$15+7*(Reprogramaciones!$S$15-1))+6,1,IF(MAX(0,NETWORKDAYS.INTL(MAX(E305,(Reprogramaciones!$T$15+7*(Reprogramaciones!$S$15-1))),MIN(F305,(Reprogramaciones!$T$15+7*(Reprogramaciones!$S$15-1))+6),11))=0,0,MAX(0,NETWORKDAYS.INTL(MAX(E305,(Reprogramaciones!$T$15+7*(Reprogramaciones!$S$15-1))),MIN(F305,Reprogramaciones!$Q$15),11))/MAX(0,NETWORKDAYS.INTL(MAX(E305,(Reprogramaciones!$T$15+7*(Reprogramaciones!$S$15-1))),MIN(F305,(Reprogramaciones!$T$15+7*(Reprogramaciones!$S$15-1))+6),11))))))))</f>
        <v/>
      </c>
    </row>
  </sheetData>
  <sheetProtection sheet="true" password="c4ae" formatColumns="false" formatRows="false"/>
  <mergeCells count="11">
    <mergeCell ref="AM1:BB1"/>
    <mergeCell ref="G2:I2"/>
    <mergeCell ref="J2:K2"/>
    <mergeCell ref="M2:O2"/>
    <mergeCell ref="Q2:AL2"/>
    <mergeCell ref="AM2:AN2"/>
    <mergeCell ref="AO2:BB2"/>
    <mergeCell ref="A3:F4"/>
    <mergeCell ref="G3:P3"/>
    <mergeCell ref="Q3:AF3"/>
    <mergeCell ref="AM3:BB3"/>
  </mergeCells>
  <conditionalFormatting sqref="AK6:AK305">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2">
      <formula>"A tiempo"</formula>
    </cfRule>
    <cfRule type="cellIs" priority="5" operator="equal" aboveAverage="0" equalAverage="0" bottom="0" percent="0" rank="0" text="" dxfId="2">
      <formula>"Completada"</formula>
    </cfRule>
  </conditionalFormatting>
  <conditionalFormatting sqref="AL6:AL305">
    <cfRule type="expression" priority="6" aboveAverage="0" equalAverage="0" bottom="0" percent="0" rank="0" text="" dxfId="0">
      <formula>AND(AL6&lt;&gt;"OK",AL6&lt;&gt;"",AL6&lt;&gt;"Título de partida")</formula>
    </cfRule>
  </conditionalFormatting>
  <conditionalFormatting sqref="A6:C305">
    <cfRule type="expression" priority="7" aboveAverage="0" equalAverage="0" bottom="0" percent="0" rank="0" text="" dxfId="3">
      <formula>AND($B6&lt;&gt;"",$C6="",$E6="")</formula>
    </cfRule>
    <cfRule type="expression" priority="8" aboveAverage="0" equalAverage="0" bottom="0" percent="0" rank="0" text="" dxfId="4">
      <formula>AND($CZ6="Adicional",OR($B6&lt;&gt;"",$C6&lt;&gt;""))</formula>
    </cfRule>
  </conditionalFormatting>
  <conditionalFormatting sqref="G6:P305">
    <cfRule type="cellIs" priority="9" operator="equal" aboveAverage="0" equalAverage="0" bottom="0" percent="0" rank="0" text="" dxfId="5">
      <formula>0</formula>
    </cfRule>
  </conditionalFormatting>
  <conditionalFormatting sqref="D6:D305">
    <cfRule type="cellIs" priority="10" operator="equal" aboveAverage="0" equalAverage="0" bottom="0" percent="0" rank="0" text="" dxfId="6">
      <formula>"Adicional"</formula>
    </cfRule>
  </conditionalFormatting>
  <conditionalFormatting sqref="AM6:AM305">
    <cfRule type="expression" priority="11" aboveAverage="0" equalAverage="0" bottom="0" percent="0" rank="0" text="" dxfId="7">
      <formula>AND($J$2&lt;&gt;"",$DC$3&gt;=7,1&lt;=MAX(1,$DS$2))</formula>
    </cfRule>
    <cfRule type="expression" priority="12" aboveAverage="0" equalAverage="0" bottom="0" percent="0" rank="0" text="" dxfId="8">
      <formula>LEFT(AM6,5)="Pend."</formula>
    </cfRule>
    <cfRule type="expression" priority="13" aboveAverage="0" equalAverage="0" bottom="0" percent="0" rank="0" text="" dxfId="9">
      <formula>AND(AM6&lt;&gt;"",CJ6&lt;&gt;"",1&lt;$DS$1,CJ6+0.5&lt;BT6)</formula>
    </cfRule>
    <cfRule type="expression" priority="14" aboveAverage="0" equalAverage="0" bottom="0" percent="0" rank="0" text="" dxfId="10">
      <formula>AND(AM6&lt;&gt;"",CJ6&lt;&gt;"",1=$DS$1,CJ6+0.5&lt;BT6)</formula>
    </cfRule>
    <cfRule type="expression" priority="15" aboveAverage="0" equalAverage="0" bottom="0" percent="0" rank="0" text="" dxfId="11">
      <formula>AND(AM6&lt;&gt;"",CJ6&lt;&gt;"")</formula>
    </cfRule>
    <cfRule type="expression" priority="16" aboveAverage="0" equalAverage="0" bottom="0" percent="0" rank="0" text="" dxfId="12">
      <formula>AM6&lt;&gt;""</formula>
    </cfRule>
  </conditionalFormatting>
  <conditionalFormatting sqref="AM4">
    <cfRule type="expression" priority="17" aboveAverage="0" equalAverage="0" bottom="0" percent="0" rank="0" text="" dxfId="13">
      <formula>AND($J$2&lt;&gt;"",$DC$3&gt;=7,1&lt;=MAX(1,$DS$2))</formula>
    </cfRule>
  </conditionalFormatting>
  <conditionalFormatting sqref="AM5">
    <cfRule type="expression" priority="18" aboveAverage="0" equalAverage="0" bottom="0" percent="0" rank="0" text="" dxfId="14">
      <formula>AND($J$2&lt;&gt;"",$DC$3&gt;=7,1&lt;=MAX(1,$DS$2))</formula>
    </cfRule>
  </conditionalFormatting>
  <conditionalFormatting sqref="AM5">
    <cfRule type="expression" priority="19" aboveAverage="0" equalAverage="0" bottom="0" percent="0" rank="0" text="" dxfId="15">
      <formula>AND($J$2&lt;&gt;"",TODAY()&gt;=$DC$1,TODAY()&lt;=$DC$2)</formula>
    </cfRule>
  </conditionalFormatting>
  <conditionalFormatting sqref="AM5">
    <cfRule type="expression" priority="20" aboveAverage="0" equalAverage="0" bottom="0" percent="0" rank="0" text="" dxfId="16">
      <formula>AM5&lt;&gt;""</formula>
    </cfRule>
  </conditionalFormatting>
  <conditionalFormatting sqref="AN6:AN305">
    <cfRule type="expression" priority="21" aboveAverage="0" equalAverage="0" bottom="0" percent="0" rank="0" text="" dxfId="7">
      <formula>AND($J$2&lt;&gt;"",$DD$3&gt;=7,2&lt;=MAX(1,$DS$2))</formula>
    </cfRule>
    <cfRule type="expression" priority="22" aboveAverage="0" equalAverage="0" bottom="0" percent="0" rank="0" text="" dxfId="8">
      <formula>LEFT(AN6,5)="Pend."</formula>
    </cfRule>
    <cfRule type="expression" priority="23" aboveAverage="0" equalAverage="0" bottom="0" percent="0" rank="0" text="" dxfId="9">
      <formula>AND(AN6&lt;&gt;"",CK6&lt;&gt;"",2&lt;$DS$1,CK6+0.5&lt;BU6)</formula>
    </cfRule>
    <cfRule type="expression" priority="24" aboveAverage="0" equalAverage="0" bottom="0" percent="0" rank="0" text="" dxfId="10">
      <formula>AND(AN6&lt;&gt;"",CK6&lt;&gt;"",2=$DS$1,CK6+0.5&lt;BU6)</formula>
    </cfRule>
    <cfRule type="expression" priority="25" aboveAverage="0" equalAverage="0" bottom="0" percent="0" rank="0" text="" dxfId="11">
      <formula>AND(AN6&lt;&gt;"",CK6&lt;&gt;"")</formula>
    </cfRule>
    <cfRule type="expression" priority="26" aboveAverage="0" equalAverage="0" bottom="0" percent="0" rank="0" text="" dxfId="12">
      <formula>AN6&lt;&gt;""</formula>
    </cfRule>
  </conditionalFormatting>
  <conditionalFormatting sqref="AN4">
    <cfRule type="expression" priority="27" aboveAverage="0" equalAverage="0" bottom="0" percent="0" rank="0" text="" dxfId="13">
      <formula>AND($J$2&lt;&gt;"",$DD$3&gt;=7,2&lt;=MAX(1,$DS$2))</formula>
    </cfRule>
  </conditionalFormatting>
  <conditionalFormatting sqref="AN5">
    <cfRule type="expression" priority="28" aboveAverage="0" equalAverage="0" bottom="0" percent="0" rank="0" text="" dxfId="14">
      <formula>AND($J$2&lt;&gt;"",$DD$3&gt;=7,2&lt;=MAX(1,$DS$2))</formula>
    </cfRule>
  </conditionalFormatting>
  <conditionalFormatting sqref="AN5">
    <cfRule type="expression" priority="29" aboveAverage="0" equalAverage="0" bottom="0" percent="0" rank="0" text="" dxfId="15">
      <formula>AND($J$2&lt;&gt;"",TODAY()&gt;=$DD$1,TODAY()&lt;=$DD$2)</formula>
    </cfRule>
  </conditionalFormatting>
  <conditionalFormatting sqref="AN5">
    <cfRule type="expression" priority="30" aboveAverage="0" equalAverage="0" bottom="0" percent="0" rank="0" text="" dxfId="16">
      <formula>AN5&lt;&gt;""</formula>
    </cfRule>
  </conditionalFormatting>
  <conditionalFormatting sqref="AO6:AO305">
    <cfRule type="expression" priority="31" aboveAverage="0" equalAverage="0" bottom="0" percent="0" rank="0" text="" dxfId="7">
      <formula>AND($J$2&lt;&gt;"",$DE$3&gt;=7,3&lt;=MAX(1,$DS$2))</formula>
    </cfRule>
    <cfRule type="expression" priority="32" aboveAverage="0" equalAverage="0" bottom="0" percent="0" rank="0" text="" dxfId="8">
      <formula>LEFT(AO6,5)="Pend."</formula>
    </cfRule>
    <cfRule type="expression" priority="33" aboveAverage="0" equalAverage="0" bottom="0" percent="0" rank="0" text="" dxfId="9">
      <formula>AND(AO6&lt;&gt;"",CL6&lt;&gt;"",3&lt;$DS$1,CL6+0.5&lt;BV6)</formula>
    </cfRule>
    <cfRule type="expression" priority="34" aboveAverage="0" equalAverage="0" bottom="0" percent="0" rank="0" text="" dxfId="10">
      <formula>AND(AO6&lt;&gt;"",CL6&lt;&gt;"",3=$DS$1,CL6+0.5&lt;BV6)</formula>
    </cfRule>
    <cfRule type="expression" priority="35" aboveAverage="0" equalAverage="0" bottom="0" percent="0" rank="0" text="" dxfId="11">
      <formula>AND(AO6&lt;&gt;"",CL6&lt;&gt;"")</formula>
    </cfRule>
    <cfRule type="expression" priority="36" aboveAverage="0" equalAverage="0" bottom="0" percent="0" rank="0" text="" dxfId="12">
      <formula>AO6&lt;&gt;""</formula>
    </cfRule>
  </conditionalFormatting>
  <conditionalFormatting sqref="AO4">
    <cfRule type="expression" priority="37" aboveAverage="0" equalAverage="0" bottom="0" percent="0" rank="0" text="" dxfId="13">
      <formula>AND($J$2&lt;&gt;"",$DE$3&gt;=7,3&lt;=MAX(1,$DS$2))</formula>
    </cfRule>
  </conditionalFormatting>
  <conditionalFormatting sqref="AO5">
    <cfRule type="expression" priority="38" aboveAverage="0" equalAverage="0" bottom="0" percent="0" rank="0" text="" dxfId="14">
      <formula>AND($J$2&lt;&gt;"",$DE$3&gt;=7,3&lt;=MAX(1,$DS$2))</formula>
    </cfRule>
  </conditionalFormatting>
  <conditionalFormatting sqref="AO5">
    <cfRule type="expression" priority="39" aboveAverage="0" equalAverage="0" bottom="0" percent="0" rank="0" text="" dxfId="15">
      <formula>AND($J$2&lt;&gt;"",TODAY()&gt;=$DE$1,TODAY()&lt;=$DE$2)</formula>
    </cfRule>
  </conditionalFormatting>
  <conditionalFormatting sqref="AO5">
    <cfRule type="expression" priority="40" aboveAverage="0" equalAverage="0" bottom="0" percent="0" rank="0" text="" dxfId="16">
      <formula>AO5&lt;&gt;""</formula>
    </cfRule>
  </conditionalFormatting>
  <conditionalFormatting sqref="AP6:AP305">
    <cfRule type="expression" priority="41" aboveAverage="0" equalAverage="0" bottom="0" percent="0" rank="0" text="" dxfId="7">
      <formula>AND($J$2&lt;&gt;"",$DF$3&gt;=7,4&lt;=MAX(1,$DS$2))</formula>
    </cfRule>
    <cfRule type="expression" priority="42" aboveAverage="0" equalAverage="0" bottom="0" percent="0" rank="0" text="" dxfId="8">
      <formula>LEFT(AP6,5)="Pend."</formula>
    </cfRule>
    <cfRule type="expression" priority="43" aboveAverage="0" equalAverage="0" bottom="0" percent="0" rank="0" text="" dxfId="9">
      <formula>AND(AP6&lt;&gt;"",CM6&lt;&gt;"",4&lt;$DS$1,CM6+0.5&lt;BW6)</formula>
    </cfRule>
    <cfRule type="expression" priority="44" aboveAverage="0" equalAverage="0" bottom="0" percent="0" rank="0" text="" dxfId="10">
      <formula>AND(AP6&lt;&gt;"",CM6&lt;&gt;"",4=$DS$1,CM6+0.5&lt;BW6)</formula>
    </cfRule>
    <cfRule type="expression" priority="45" aboveAverage="0" equalAverage="0" bottom="0" percent="0" rank="0" text="" dxfId="11">
      <formula>AND(AP6&lt;&gt;"",CM6&lt;&gt;"")</formula>
    </cfRule>
    <cfRule type="expression" priority="46" aboveAverage="0" equalAverage="0" bottom="0" percent="0" rank="0" text="" dxfId="12">
      <formula>AP6&lt;&gt;""</formula>
    </cfRule>
  </conditionalFormatting>
  <conditionalFormatting sqref="AP4">
    <cfRule type="expression" priority="47" aboveAverage="0" equalAverage="0" bottom="0" percent="0" rank="0" text="" dxfId="13">
      <formula>AND($J$2&lt;&gt;"",$DF$3&gt;=7,4&lt;=MAX(1,$DS$2))</formula>
    </cfRule>
  </conditionalFormatting>
  <conditionalFormatting sqref="AP5">
    <cfRule type="expression" priority="48" aboveAverage="0" equalAverage="0" bottom="0" percent="0" rank="0" text="" dxfId="14">
      <formula>AND($J$2&lt;&gt;"",$DF$3&gt;=7,4&lt;=MAX(1,$DS$2))</formula>
    </cfRule>
  </conditionalFormatting>
  <conditionalFormatting sqref="AP5">
    <cfRule type="expression" priority="49" aboveAverage="0" equalAverage="0" bottom="0" percent="0" rank="0" text="" dxfId="15">
      <formula>AND($J$2&lt;&gt;"",TODAY()&gt;=$DF$1,TODAY()&lt;=$DF$2)</formula>
    </cfRule>
  </conditionalFormatting>
  <conditionalFormatting sqref="AP5">
    <cfRule type="expression" priority="50" aboveAverage="0" equalAverage="0" bottom="0" percent="0" rank="0" text="" dxfId="16">
      <formula>AP5&lt;&gt;""</formula>
    </cfRule>
  </conditionalFormatting>
  <conditionalFormatting sqref="AQ6:AQ305">
    <cfRule type="expression" priority="51" aboveAverage="0" equalAverage="0" bottom="0" percent="0" rank="0" text="" dxfId="7">
      <formula>AND($J$2&lt;&gt;"",$DG$3&gt;=7,5&lt;=MAX(1,$DS$2))</formula>
    </cfRule>
    <cfRule type="expression" priority="52" aboveAverage="0" equalAverage="0" bottom="0" percent="0" rank="0" text="" dxfId="8">
      <formula>LEFT(AQ6,5)="Pend."</formula>
    </cfRule>
    <cfRule type="expression" priority="53" aboveAverage="0" equalAverage="0" bottom="0" percent="0" rank="0" text="" dxfId="9">
      <formula>AND(AQ6&lt;&gt;"",CN6&lt;&gt;"",5&lt;$DS$1,CN6+0.5&lt;BX6)</formula>
    </cfRule>
    <cfRule type="expression" priority="54" aboveAverage="0" equalAverage="0" bottom="0" percent="0" rank="0" text="" dxfId="10">
      <formula>AND(AQ6&lt;&gt;"",CN6&lt;&gt;"",5=$DS$1,CN6+0.5&lt;BX6)</formula>
    </cfRule>
    <cfRule type="expression" priority="55" aboveAverage="0" equalAverage="0" bottom="0" percent="0" rank="0" text="" dxfId="11">
      <formula>AND(AQ6&lt;&gt;"",CN6&lt;&gt;"")</formula>
    </cfRule>
    <cfRule type="expression" priority="56" aboveAverage="0" equalAverage="0" bottom="0" percent="0" rank="0" text="" dxfId="12">
      <formula>AQ6&lt;&gt;""</formula>
    </cfRule>
  </conditionalFormatting>
  <conditionalFormatting sqref="AQ4">
    <cfRule type="expression" priority="57" aboveAverage="0" equalAverage="0" bottom="0" percent="0" rank="0" text="" dxfId="13">
      <formula>AND($J$2&lt;&gt;"",$DG$3&gt;=7,5&lt;=MAX(1,$DS$2))</formula>
    </cfRule>
  </conditionalFormatting>
  <conditionalFormatting sqref="AQ5">
    <cfRule type="expression" priority="58" aboveAverage="0" equalAverage="0" bottom="0" percent="0" rank="0" text="" dxfId="14">
      <formula>AND($J$2&lt;&gt;"",$DG$3&gt;=7,5&lt;=MAX(1,$DS$2))</formula>
    </cfRule>
  </conditionalFormatting>
  <conditionalFormatting sqref="AQ5">
    <cfRule type="expression" priority="59" aboveAverage="0" equalAverage="0" bottom="0" percent="0" rank="0" text="" dxfId="15">
      <formula>AND($J$2&lt;&gt;"",TODAY()&gt;=$DG$1,TODAY()&lt;=$DG$2)</formula>
    </cfRule>
  </conditionalFormatting>
  <conditionalFormatting sqref="AQ5">
    <cfRule type="expression" priority="60" aboveAverage="0" equalAverage="0" bottom="0" percent="0" rank="0" text="" dxfId="16">
      <formula>AQ5&lt;&gt;""</formula>
    </cfRule>
  </conditionalFormatting>
  <conditionalFormatting sqref="AR6:AR305">
    <cfRule type="expression" priority="61" aboveAverage="0" equalAverage="0" bottom="0" percent="0" rank="0" text="" dxfId="7">
      <formula>AND($J$2&lt;&gt;"",$DH$3&gt;=7,6&lt;=MAX(1,$DS$2))</formula>
    </cfRule>
    <cfRule type="expression" priority="62" aboveAverage="0" equalAverage="0" bottom="0" percent="0" rank="0" text="" dxfId="8">
      <formula>LEFT(AR6,5)="Pend."</formula>
    </cfRule>
    <cfRule type="expression" priority="63" aboveAverage="0" equalAverage="0" bottom="0" percent="0" rank="0" text="" dxfId="9">
      <formula>AND(AR6&lt;&gt;"",CO6&lt;&gt;"",6&lt;$DS$1,CO6+0.5&lt;BY6)</formula>
    </cfRule>
    <cfRule type="expression" priority="64" aboveAverage="0" equalAverage="0" bottom="0" percent="0" rank="0" text="" dxfId="10">
      <formula>AND(AR6&lt;&gt;"",CO6&lt;&gt;"",6=$DS$1,CO6+0.5&lt;BY6)</formula>
    </cfRule>
    <cfRule type="expression" priority="65" aboveAverage="0" equalAverage="0" bottom="0" percent="0" rank="0" text="" dxfId="11">
      <formula>AND(AR6&lt;&gt;"",CO6&lt;&gt;"")</formula>
    </cfRule>
    <cfRule type="expression" priority="66" aboveAverage="0" equalAverage="0" bottom="0" percent="0" rank="0" text="" dxfId="12">
      <formula>AR6&lt;&gt;""</formula>
    </cfRule>
  </conditionalFormatting>
  <conditionalFormatting sqref="AR4">
    <cfRule type="expression" priority="67" aboveAverage="0" equalAverage="0" bottom="0" percent="0" rank="0" text="" dxfId="13">
      <formula>AND($J$2&lt;&gt;"",$DH$3&gt;=7,6&lt;=MAX(1,$DS$2))</formula>
    </cfRule>
  </conditionalFormatting>
  <conditionalFormatting sqref="AR5">
    <cfRule type="expression" priority="68" aboveAverage="0" equalAverage="0" bottom="0" percent="0" rank="0" text="" dxfId="14">
      <formula>AND($J$2&lt;&gt;"",$DH$3&gt;=7,6&lt;=MAX(1,$DS$2))</formula>
    </cfRule>
  </conditionalFormatting>
  <conditionalFormatting sqref="AR5">
    <cfRule type="expression" priority="69" aboveAverage="0" equalAverage="0" bottom="0" percent="0" rank="0" text="" dxfId="15">
      <formula>AND($J$2&lt;&gt;"",TODAY()&gt;=$DH$1,TODAY()&lt;=$DH$2)</formula>
    </cfRule>
  </conditionalFormatting>
  <conditionalFormatting sqref="AR5">
    <cfRule type="expression" priority="70" aboveAverage="0" equalAverage="0" bottom="0" percent="0" rank="0" text="" dxfId="16">
      <formula>AR5&lt;&gt;""</formula>
    </cfRule>
  </conditionalFormatting>
  <conditionalFormatting sqref="AS6:AS305">
    <cfRule type="expression" priority="71" aboveAverage="0" equalAverage="0" bottom="0" percent="0" rank="0" text="" dxfId="7">
      <formula>AND($J$2&lt;&gt;"",$DI$3&gt;=7,7&lt;=MAX(1,$DS$2))</formula>
    </cfRule>
    <cfRule type="expression" priority="72" aboveAverage="0" equalAverage="0" bottom="0" percent="0" rank="0" text="" dxfId="8">
      <formula>LEFT(AS6,5)="Pend."</formula>
    </cfRule>
    <cfRule type="expression" priority="73" aboveAverage="0" equalAverage="0" bottom="0" percent="0" rank="0" text="" dxfId="9">
      <formula>AND(AS6&lt;&gt;"",CP6&lt;&gt;"",7&lt;$DS$1,CP6+0.5&lt;BZ6)</formula>
    </cfRule>
    <cfRule type="expression" priority="74" aboveAverage="0" equalAverage="0" bottom="0" percent="0" rank="0" text="" dxfId="10">
      <formula>AND(AS6&lt;&gt;"",CP6&lt;&gt;"",7=$DS$1,CP6+0.5&lt;BZ6)</formula>
    </cfRule>
    <cfRule type="expression" priority="75" aboveAverage="0" equalAverage="0" bottom="0" percent="0" rank="0" text="" dxfId="11">
      <formula>AND(AS6&lt;&gt;"",CP6&lt;&gt;"")</formula>
    </cfRule>
    <cfRule type="expression" priority="76" aboveAverage="0" equalAverage="0" bottom="0" percent="0" rank="0" text="" dxfId="12">
      <formula>AS6&lt;&gt;""</formula>
    </cfRule>
  </conditionalFormatting>
  <conditionalFormatting sqref="AS4">
    <cfRule type="expression" priority="77" aboveAverage="0" equalAverage="0" bottom="0" percent="0" rank="0" text="" dxfId="13">
      <formula>AND($J$2&lt;&gt;"",$DI$3&gt;=7,7&lt;=MAX(1,$DS$2))</formula>
    </cfRule>
  </conditionalFormatting>
  <conditionalFormatting sqref="AS5">
    <cfRule type="expression" priority="78" aboveAverage="0" equalAverage="0" bottom="0" percent="0" rank="0" text="" dxfId="14">
      <formula>AND($J$2&lt;&gt;"",$DI$3&gt;=7,7&lt;=MAX(1,$DS$2))</formula>
    </cfRule>
  </conditionalFormatting>
  <conditionalFormatting sqref="AS5">
    <cfRule type="expression" priority="79" aboveAverage="0" equalAverage="0" bottom="0" percent="0" rank="0" text="" dxfId="15">
      <formula>AND($J$2&lt;&gt;"",TODAY()&gt;=$DI$1,TODAY()&lt;=$DI$2)</formula>
    </cfRule>
  </conditionalFormatting>
  <conditionalFormatting sqref="AS5">
    <cfRule type="expression" priority="80" aboveAverage="0" equalAverage="0" bottom="0" percent="0" rank="0" text="" dxfId="16">
      <formula>AS5&lt;&gt;""</formula>
    </cfRule>
  </conditionalFormatting>
  <conditionalFormatting sqref="AT6:AT305">
    <cfRule type="expression" priority="81" aboveAverage="0" equalAverage="0" bottom="0" percent="0" rank="0" text="" dxfId="7">
      <formula>AND($J$2&lt;&gt;"",$DJ$3&gt;=7,8&lt;=MAX(1,$DS$2))</formula>
    </cfRule>
    <cfRule type="expression" priority="82" aboveAverage="0" equalAverage="0" bottom="0" percent="0" rank="0" text="" dxfId="8">
      <formula>LEFT(AT6,5)="Pend."</formula>
    </cfRule>
    <cfRule type="expression" priority="83" aboveAverage="0" equalAverage="0" bottom="0" percent="0" rank="0" text="" dxfId="9">
      <formula>AND(AT6&lt;&gt;"",CQ6&lt;&gt;"",8&lt;$DS$1,CQ6+0.5&lt;CA6)</formula>
    </cfRule>
    <cfRule type="expression" priority="84" aboveAverage="0" equalAverage="0" bottom="0" percent="0" rank="0" text="" dxfId="10">
      <formula>AND(AT6&lt;&gt;"",CQ6&lt;&gt;"",8=$DS$1,CQ6+0.5&lt;CA6)</formula>
    </cfRule>
    <cfRule type="expression" priority="85" aboveAverage="0" equalAverage="0" bottom="0" percent="0" rank="0" text="" dxfId="11">
      <formula>AND(AT6&lt;&gt;"",CQ6&lt;&gt;"")</formula>
    </cfRule>
    <cfRule type="expression" priority="86" aboveAverage="0" equalAverage="0" bottom="0" percent="0" rank="0" text="" dxfId="12">
      <formula>AT6&lt;&gt;""</formula>
    </cfRule>
  </conditionalFormatting>
  <conditionalFormatting sqref="AT4">
    <cfRule type="expression" priority="87" aboveAverage="0" equalAverage="0" bottom="0" percent="0" rank="0" text="" dxfId="13">
      <formula>AND($J$2&lt;&gt;"",$DJ$3&gt;=7,8&lt;=MAX(1,$DS$2))</formula>
    </cfRule>
  </conditionalFormatting>
  <conditionalFormatting sqref="AT5">
    <cfRule type="expression" priority="88" aboveAverage="0" equalAverage="0" bottom="0" percent="0" rank="0" text="" dxfId="14">
      <formula>AND($J$2&lt;&gt;"",$DJ$3&gt;=7,8&lt;=MAX(1,$DS$2))</formula>
    </cfRule>
  </conditionalFormatting>
  <conditionalFormatting sqref="AT5">
    <cfRule type="expression" priority="89" aboveAverage="0" equalAverage="0" bottom="0" percent="0" rank="0" text="" dxfId="15">
      <formula>AND($J$2&lt;&gt;"",TODAY()&gt;=$DJ$1,TODAY()&lt;=$DJ$2)</formula>
    </cfRule>
  </conditionalFormatting>
  <conditionalFormatting sqref="AT5">
    <cfRule type="expression" priority="90" aboveAverage="0" equalAverage="0" bottom="0" percent="0" rank="0" text="" dxfId="16">
      <formula>AT5&lt;&gt;""</formula>
    </cfRule>
  </conditionalFormatting>
  <conditionalFormatting sqref="AU6:AU305">
    <cfRule type="expression" priority="91" aboveAverage="0" equalAverage="0" bottom="0" percent="0" rank="0" text="" dxfId="7">
      <formula>AND($J$2&lt;&gt;"",$DK$3&gt;=7,9&lt;=MAX(1,$DS$2))</formula>
    </cfRule>
    <cfRule type="expression" priority="92" aboveAverage="0" equalAverage="0" bottom="0" percent="0" rank="0" text="" dxfId="8">
      <formula>LEFT(AU6,5)="Pend."</formula>
    </cfRule>
    <cfRule type="expression" priority="93" aboveAverage="0" equalAverage="0" bottom="0" percent="0" rank="0" text="" dxfId="9">
      <formula>AND(AU6&lt;&gt;"",CR6&lt;&gt;"",9&lt;$DS$1,CR6+0.5&lt;CB6)</formula>
    </cfRule>
    <cfRule type="expression" priority="94" aboveAverage="0" equalAverage="0" bottom="0" percent="0" rank="0" text="" dxfId="10">
      <formula>AND(AU6&lt;&gt;"",CR6&lt;&gt;"",9=$DS$1,CR6+0.5&lt;CB6)</formula>
    </cfRule>
    <cfRule type="expression" priority="95" aboveAverage="0" equalAverage="0" bottom="0" percent="0" rank="0" text="" dxfId="11">
      <formula>AND(AU6&lt;&gt;"",CR6&lt;&gt;"")</formula>
    </cfRule>
    <cfRule type="expression" priority="96" aboveAverage="0" equalAverage="0" bottom="0" percent="0" rank="0" text="" dxfId="12">
      <formula>AU6&lt;&gt;""</formula>
    </cfRule>
  </conditionalFormatting>
  <conditionalFormatting sqref="AU4">
    <cfRule type="expression" priority="97" aboveAverage="0" equalAverage="0" bottom="0" percent="0" rank="0" text="" dxfId="13">
      <formula>AND($J$2&lt;&gt;"",$DK$3&gt;=7,9&lt;=MAX(1,$DS$2))</formula>
    </cfRule>
  </conditionalFormatting>
  <conditionalFormatting sqref="AU5">
    <cfRule type="expression" priority="98" aboveAverage="0" equalAverage="0" bottom="0" percent="0" rank="0" text="" dxfId="14">
      <formula>AND($J$2&lt;&gt;"",$DK$3&gt;=7,9&lt;=MAX(1,$DS$2))</formula>
    </cfRule>
  </conditionalFormatting>
  <conditionalFormatting sqref="AU5">
    <cfRule type="expression" priority="99" aboveAverage="0" equalAverage="0" bottom="0" percent="0" rank="0" text="" dxfId="15">
      <formula>AND($J$2&lt;&gt;"",TODAY()&gt;=$DK$1,TODAY()&lt;=$DK$2)</formula>
    </cfRule>
  </conditionalFormatting>
  <conditionalFormatting sqref="AU5">
    <cfRule type="expression" priority="100" aboveAverage="0" equalAverage="0" bottom="0" percent="0" rank="0" text="" dxfId="16">
      <formula>AU5&lt;&gt;""</formula>
    </cfRule>
  </conditionalFormatting>
  <conditionalFormatting sqref="AV6:AV305">
    <cfRule type="expression" priority="101" aboveAverage="0" equalAverage="0" bottom="0" percent="0" rank="0" text="" dxfId="7">
      <formula>AND($J$2&lt;&gt;"",$DL$3&gt;=7,10&lt;=MAX(1,$DS$2))</formula>
    </cfRule>
    <cfRule type="expression" priority="102" aboveAverage="0" equalAverage="0" bottom="0" percent="0" rank="0" text="" dxfId="8">
      <formula>LEFT(AV6,5)="Pend."</formula>
    </cfRule>
    <cfRule type="expression" priority="103" aboveAverage="0" equalAverage="0" bottom="0" percent="0" rank="0" text="" dxfId="9">
      <formula>AND(AV6&lt;&gt;"",CS6&lt;&gt;"",10&lt;$DS$1,CS6+0.5&lt;CC6)</formula>
    </cfRule>
    <cfRule type="expression" priority="104" aboveAverage="0" equalAverage="0" bottom="0" percent="0" rank="0" text="" dxfId="10">
      <formula>AND(AV6&lt;&gt;"",CS6&lt;&gt;"",10=$DS$1,CS6+0.5&lt;CC6)</formula>
    </cfRule>
    <cfRule type="expression" priority="105" aboveAverage="0" equalAverage="0" bottom="0" percent="0" rank="0" text="" dxfId="11">
      <formula>AND(AV6&lt;&gt;"",CS6&lt;&gt;"")</formula>
    </cfRule>
    <cfRule type="expression" priority="106" aboveAverage="0" equalAverage="0" bottom="0" percent="0" rank="0" text="" dxfId="12">
      <formula>AV6&lt;&gt;""</formula>
    </cfRule>
  </conditionalFormatting>
  <conditionalFormatting sqref="AV4">
    <cfRule type="expression" priority="107" aboveAverage="0" equalAverage="0" bottom="0" percent="0" rank="0" text="" dxfId="13">
      <formula>AND($J$2&lt;&gt;"",$DL$3&gt;=7,10&lt;=MAX(1,$DS$2))</formula>
    </cfRule>
  </conditionalFormatting>
  <conditionalFormatting sqref="AV5">
    <cfRule type="expression" priority="108" aboveAverage="0" equalAverage="0" bottom="0" percent="0" rank="0" text="" dxfId="14">
      <formula>AND($J$2&lt;&gt;"",$DL$3&gt;=7,10&lt;=MAX(1,$DS$2))</formula>
    </cfRule>
  </conditionalFormatting>
  <conditionalFormatting sqref="AV5">
    <cfRule type="expression" priority="109" aboveAverage="0" equalAverage="0" bottom="0" percent="0" rank="0" text="" dxfId="15">
      <formula>AND($J$2&lt;&gt;"",TODAY()&gt;=$DL$1,TODAY()&lt;=$DL$2)</formula>
    </cfRule>
  </conditionalFormatting>
  <conditionalFormatting sqref="AV5">
    <cfRule type="expression" priority="110" aboveAverage="0" equalAverage="0" bottom="0" percent="0" rank="0" text="" dxfId="16">
      <formula>AV5&lt;&gt;""</formula>
    </cfRule>
  </conditionalFormatting>
  <conditionalFormatting sqref="AW6:AW305">
    <cfRule type="expression" priority="111" aboveAverage="0" equalAverage="0" bottom="0" percent="0" rank="0" text="" dxfId="7">
      <formula>AND($J$2&lt;&gt;"",$DM$3&gt;=7,11&lt;=MAX(1,$DS$2))</formula>
    </cfRule>
    <cfRule type="expression" priority="112" aboveAverage="0" equalAverage="0" bottom="0" percent="0" rank="0" text="" dxfId="8">
      <formula>LEFT(AW6,5)="Pend."</formula>
    </cfRule>
    <cfRule type="expression" priority="113" aboveAverage="0" equalAverage="0" bottom="0" percent="0" rank="0" text="" dxfId="9">
      <formula>AND(AW6&lt;&gt;"",CT6&lt;&gt;"",11&lt;$DS$1,CT6+0.5&lt;CD6)</formula>
    </cfRule>
    <cfRule type="expression" priority="114" aboveAverage="0" equalAverage="0" bottom="0" percent="0" rank="0" text="" dxfId="10">
      <formula>AND(AW6&lt;&gt;"",CT6&lt;&gt;"",11=$DS$1,CT6+0.5&lt;CD6)</formula>
    </cfRule>
    <cfRule type="expression" priority="115" aboveAverage="0" equalAverage="0" bottom="0" percent="0" rank="0" text="" dxfId="11">
      <formula>AND(AW6&lt;&gt;"",CT6&lt;&gt;"")</formula>
    </cfRule>
    <cfRule type="expression" priority="116" aboveAverage="0" equalAverage="0" bottom="0" percent="0" rank="0" text="" dxfId="12">
      <formula>AW6&lt;&gt;""</formula>
    </cfRule>
  </conditionalFormatting>
  <conditionalFormatting sqref="AW4">
    <cfRule type="expression" priority="117" aboveAverage="0" equalAverage="0" bottom="0" percent="0" rank="0" text="" dxfId="13">
      <formula>AND($J$2&lt;&gt;"",$DM$3&gt;=7,11&lt;=MAX(1,$DS$2))</formula>
    </cfRule>
  </conditionalFormatting>
  <conditionalFormatting sqref="AW5">
    <cfRule type="expression" priority="118" aboveAverage="0" equalAverage="0" bottom="0" percent="0" rank="0" text="" dxfId="14">
      <formula>AND($J$2&lt;&gt;"",$DM$3&gt;=7,11&lt;=MAX(1,$DS$2))</formula>
    </cfRule>
  </conditionalFormatting>
  <conditionalFormatting sqref="AW5">
    <cfRule type="expression" priority="119" aboveAverage="0" equalAverage="0" bottom="0" percent="0" rank="0" text="" dxfId="15">
      <formula>AND($J$2&lt;&gt;"",TODAY()&gt;=$DM$1,TODAY()&lt;=$DM$2)</formula>
    </cfRule>
  </conditionalFormatting>
  <conditionalFormatting sqref="AW5">
    <cfRule type="expression" priority="120" aboveAverage="0" equalAverage="0" bottom="0" percent="0" rank="0" text="" dxfId="16">
      <formula>AW5&lt;&gt;""</formula>
    </cfRule>
  </conditionalFormatting>
  <conditionalFormatting sqref="AX6:AX305">
    <cfRule type="expression" priority="121" aboveAverage="0" equalAverage="0" bottom="0" percent="0" rank="0" text="" dxfId="7">
      <formula>AND($J$2&lt;&gt;"",$DN$3&gt;=7,12&lt;=MAX(1,$DS$2))</formula>
    </cfRule>
    <cfRule type="expression" priority="122" aboveAverage="0" equalAverage="0" bottom="0" percent="0" rank="0" text="" dxfId="8">
      <formula>LEFT(AX6,5)="Pend."</formula>
    </cfRule>
    <cfRule type="expression" priority="123" aboveAverage="0" equalAverage="0" bottom="0" percent="0" rank="0" text="" dxfId="9">
      <formula>AND(AX6&lt;&gt;"",CU6&lt;&gt;"",12&lt;$DS$1,CU6+0.5&lt;CE6)</formula>
    </cfRule>
    <cfRule type="expression" priority="124" aboveAverage="0" equalAverage="0" bottom="0" percent="0" rank="0" text="" dxfId="10">
      <formula>AND(AX6&lt;&gt;"",CU6&lt;&gt;"",12=$DS$1,CU6+0.5&lt;CE6)</formula>
    </cfRule>
    <cfRule type="expression" priority="125" aboveAverage="0" equalAverage="0" bottom="0" percent="0" rank="0" text="" dxfId="11">
      <formula>AND(AX6&lt;&gt;"",CU6&lt;&gt;"")</formula>
    </cfRule>
    <cfRule type="expression" priority="126" aboveAverage="0" equalAverage="0" bottom="0" percent="0" rank="0" text="" dxfId="12">
      <formula>AX6&lt;&gt;""</formula>
    </cfRule>
  </conditionalFormatting>
  <conditionalFormatting sqref="AX4">
    <cfRule type="expression" priority="127" aboveAverage="0" equalAverage="0" bottom="0" percent="0" rank="0" text="" dxfId="13">
      <formula>AND($J$2&lt;&gt;"",$DN$3&gt;=7,12&lt;=MAX(1,$DS$2))</formula>
    </cfRule>
  </conditionalFormatting>
  <conditionalFormatting sqref="AX5">
    <cfRule type="expression" priority="128" aboveAverage="0" equalAverage="0" bottom="0" percent="0" rank="0" text="" dxfId="14">
      <formula>AND($J$2&lt;&gt;"",$DN$3&gt;=7,12&lt;=MAX(1,$DS$2))</formula>
    </cfRule>
  </conditionalFormatting>
  <conditionalFormatting sqref="AX5">
    <cfRule type="expression" priority="129" aboveAverage="0" equalAverage="0" bottom="0" percent="0" rank="0" text="" dxfId="15">
      <formula>AND($J$2&lt;&gt;"",TODAY()&gt;=$DN$1,TODAY()&lt;=$DN$2)</formula>
    </cfRule>
  </conditionalFormatting>
  <conditionalFormatting sqref="AX5">
    <cfRule type="expression" priority="130" aboveAverage="0" equalAverage="0" bottom="0" percent="0" rank="0" text="" dxfId="16">
      <formula>AX5&lt;&gt;""</formula>
    </cfRule>
  </conditionalFormatting>
  <conditionalFormatting sqref="AY6:AY305">
    <cfRule type="expression" priority="131" aboveAverage="0" equalAverage="0" bottom="0" percent="0" rank="0" text="" dxfId="7">
      <formula>AND($J$2&lt;&gt;"",$DO$3&gt;=7,13&lt;=MAX(1,$DS$2))</formula>
    </cfRule>
    <cfRule type="expression" priority="132" aboveAverage="0" equalAverage="0" bottom="0" percent="0" rank="0" text="" dxfId="8">
      <formula>LEFT(AY6,5)="Pend."</formula>
    </cfRule>
    <cfRule type="expression" priority="133" aboveAverage="0" equalAverage="0" bottom="0" percent="0" rank="0" text="" dxfId="9">
      <formula>AND(AY6&lt;&gt;"",CV6&lt;&gt;"",13&lt;$DS$1,CV6+0.5&lt;CF6)</formula>
    </cfRule>
    <cfRule type="expression" priority="134" aboveAverage="0" equalAverage="0" bottom="0" percent="0" rank="0" text="" dxfId="10">
      <formula>AND(AY6&lt;&gt;"",CV6&lt;&gt;"",13=$DS$1,CV6+0.5&lt;CF6)</formula>
    </cfRule>
    <cfRule type="expression" priority="135" aboveAverage="0" equalAverage="0" bottom="0" percent="0" rank="0" text="" dxfId="11">
      <formula>AND(AY6&lt;&gt;"",CV6&lt;&gt;"")</formula>
    </cfRule>
    <cfRule type="expression" priority="136" aboveAverage="0" equalAverage="0" bottom="0" percent="0" rank="0" text="" dxfId="12">
      <formula>AY6&lt;&gt;""</formula>
    </cfRule>
  </conditionalFormatting>
  <conditionalFormatting sqref="AY4">
    <cfRule type="expression" priority="137" aboveAverage="0" equalAverage="0" bottom="0" percent="0" rank="0" text="" dxfId="13">
      <formula>AND($J$2&lt;&gt;"",$DO$3&gt;=7,13&lt;=MAX(1,$DS$2))</formula>
    </cfRule>
  </conditionalFormatting>
  <conditionalFormatting sqref="AY5">
    <cfRule type="expression" priority="138" aboveAverage="0" equalAverage="0" bottom="0" percent="0" rank="0" text="" dxfId="14">
      <formula>AND($J$2&lt;&gt;"",$DO$3&gt;=7,13&lt;=MAX(1,$DS$2))</formula>
    </cfRule>
  </conditionalFormatting>
  <conditionalFormatting sqref="AY5">
    <cfRule type="expression" priority="139" aboveAverage="0" equalAverage="0" bottom="0" percent="0" rank="0" text="" dxfId="15">
      <formula>AND($J$2&lt;&gt;"",TODAY()&gt;=$DO$1,TODAY()&lt;=$DO$2)</formula>
    </cfRule>
  </conditionalFormatting>
  <conditionalFormatting sqref="AY5">
    <cfRule type="expression" priority="140" aboveAverage="0" equalAverage="0" bottom="0" percent="0" rank="0" text="" dxfId="16">
      <formula>AY5&lt;&gt;""</formula>
    </cfRule>
  </conditionalFormatting>
  <conditionalFormatting sqref="AZ6:AZ305">
    <cfRule type="expression" priority="141" aboveAverage="0" equalAverage="0" bottom="0" percent="0" rank="0" text="" dxfId="7">
      <formula>AND($J$2&lt;&gt;"",$DP$3&gt;=7,14&lt;=MAX(1,$DS$2))</formula>
    </cfRule>
    <cfRule type="expression" priority="142" aboveAverage="0" equalAverage="0" bottom="0" percent="0" rank="0" text="" dxfId="8">
      <formula>LEFT(AZ6,5)="Pend."</formula>
    </cfRule>
    <cfRule type="expression" priority="143" aboveAverage="0" equalAverage="0" bottom="0" percent="0" rank="0" text="" dxfId="9">
      <formula>AND(AZ6&lt;&gt;"",CW6&lt;&gt;"",14&lt;$DS$1,CW6+0.5&lt;CG6)</formula>
    </cfRule>
    <cfRule type="expression" priority="144" aboveAverage="0" equalAverage="0" bottom="0" percent="0" rank="0" text="" dxfId="10">
      <formula>AND(AZ6&lt;&gt;"",CW6&lt;&gt;"",14=$DS$1,CW6+0.5&lt;CG6)</formula>
    </cfRule>
    <cfRule type="expression" priority="145" aboveAverage="0" equalAverage="0" bottom="0" percent="0" rank="0" text="" dxfId="11">
      <formula>AND(AZ6&lt;&gt;"",CW6&lt;&gt;"")</formula>
    </cfRule>
    <cfRule type="expression" priority="146" aboveAverage="0" equalAverage="0" bottom="0" percent="0" rank="0" text="" dxfId="12">
      <formula>AZ6&lt;&gt;""</formula>
    </cfRule>
  </conditionalFormatting>
  <conditionalFormatting sqref="AZ4">
    <cfRule type="expression" priority="147" aboveAverage="0" equalAverage="0" bottom="0" percent="0" rank="0" text="" dxfId="13">
      <formula>AND($J$2&lt;&gt;"",$DP$3&gt;=7,14&lt;=MAX(1,$DS$2))</formula>
    </cfRule>
  </conditionalFormatting>
  <conditionalFormatting sqref="AZ5">
    <cfRule type="expression" priority="148" aboveAverage="0" equalAverage="0" bottom="0" percent="0" rank="0" text="" dxfId="14">
      <formula>AND($J$2&lt;&gt;"",$DP$3&gt;=7,14&lt;=MAX(1,$DS$2))</formula>
    </cfRule>
  </conditionalFormatting>
  <conditionalFormatting sqref="AZ5">
    <cfRule type="expression" priority="149" aboveAverage="0" equalAverage="0" bottom="0" percent="0" rank="0" text="" dxfId="15">
      <formula>AND($J$2&lt;&gt;"",TODAY()&gt;=$DP$1,TODAY()&lt;=$DP$2)</formula>
    </cfRule>
  </conditionalFormatting>
  <conditionalFormatting sqref="AZ5">
    <cfRule type="expression" priority="150" aboveAverage="0" equalAverage="0" bottom="0" percent="0" rank="0" text="" dxfId="16">
      <formula>AZ5&lt;&gt;""</formula>
    </cfRule>
  </conditionalFormatting>
  <conditionalFormatting sqref="BA6:BA305">
    <cfRule type="expression" priority="151" aboveAverage="0" equalAverage="0" bottom="0" percent="0" rank="0" text="" dxfId="7">
      <formula>AND($J$2&lt;&gt;"",$DQ$3&gt;=7,15&lt;=MAX(1,$DS$2))</formula>
    </cfRule>
    <cfRule type="expression" priority="152" aboveAverage="0" equalAverage="0" bottom="0" percent="0" rank="0" text="" dxfId="8">
      <formula>LEFT(BA6,5)="Pend."</formula>
    </cfRule>
    <cfRule type="expression" priority="153" aboveAverage="0" equalAverage="0" bottom="0" percent="0" rank="0" text="" dxfId="9">
      <formula>AND(BA6&lt;&gt;"",CX6&lt;&gt;"",15&lt;$DS$1,CX6+0.5&lt;CH6)</formula>
    </cfRule>
    <cfRule type="expression" priority="154" aboveAverage="0" equalAverage="0" bottom="0" percent="0" rank="0" text="" dxfId="10">
      <formula>AND(BA6&lt;&gt;"",CX6&lt;&gt;"",15=$DS$1,CX6+0.5&lt;CH6)</formula>
    </cfRule>
    <cfRule type="expression" priority="155" aboveAverage="0" equalAverage="0" bottom="0" percent="0" rank="0" text="" dxfId="11">
      <formula>AND(BA6&lt;&gt;"",CX6&lt;&gt;"")</formula>
    </cfRule>
    <cfRule type="expression" priority="156" aboveAverage="0" equalAverage="0" bottom="0" percent="0" rank="0" text="" dxfId="12">
      <formula>BA6&lt;&gt;""</formula>
    </cfRule>
  </conditionalFormatting>
  <conditionalFormatting sqref="BA4">
    <cfRule type="expression" priority="157" aboveAverage="0" equalAverage="0" bottom="0" percent="0" rank="0" text="" dxfId="13">
      <formula>AND($J$2&lt;&gt;"",$DQ$3&gt;=7,15&lt;=MAX(1,$DS$2))</formula>
    </cfRule>
  </conditionalFormatting>
  <conditionalFormatting sqref="BA5">
    <cfRule type="expression" priority="158" aboveAverage="0" equalAverage="0" bottom="0" percent="0" rank="0" text="" dxfId="14">
      <formula>AND($J$2&lt;&gt;"",$DQ$3&gt;=7,15&lt;=MAX(1,$DS$2))</formula>
    </cfRule>
  </conditionalFormatting>
  <conditionalFormatting sqref="BA5">
    <cfRule type="expression" priority="159" aboveAverage="0" equalAverage="0" bottom="0" percent="0" rank="0" text="" dxfId="15">
      <formula>AND($J$2&lt;&gt;"",TODAY()&gt;=$DQ$1,TODAY()&lt;=$DQ$2)</formula>
    </cfRule>
  </conditionalFormatting>
  <conditionalFormatting sqref="BA5">
    <cfRule type="expression" priority="160" aboveAverage="0" equalAverage="0" bottom="0" percent="0" rank="0" text="" dxfId="16">
      <formula>BA5&lt;&gt;""</formula>
    </cfRule>
  </conditionalFormatting>
  <conditionalFormatting sqref="BB6:BB305">
    <cfRule type="expression" priority="161" aboveAverage="0" equalAverage="0" bottom="0" percent="0" rank="0" text="" dxfId="7">
      <formula>AND($J$2&lt;&gt;"",$DR$3&gt;=7,16&lt;=MAX(1,$DS$2))</formula>
    </cfRule>
    <cfRule type="expression" priority="162" aboveAverage="0" equalAverage="0" bottom="0" percent="0" rank="0" text="" dxfId="8">
      <formula>LEFT(BB6,5)="Pend."</formula>
    </cfRule>
    <cfRule type="expression" priority="163" aboveAverage="0" equalAverage="0" bottom="0" percent="0" rank="0" text="" dxfId="9">
      <formula>AND(BB6&lt;&gt;"",CY6&lt;&gt;"",16&lt;$DS$1,CY6+0.5&lt;CI6)</formula>
    </cfRule>
    <cfRule type="expression" priority="164" aboveAverage="0" equalAverage="0" bottom="0" percent="0" rank="0" text="" dxfId="10">
      <formula>AND(BB6&lt;&gt;"",CY6&lt;&gt;"",16=$DS$1,CY6+0.5&lt;CI6)</formula>
    </cfRule>
    <cfRule type="expression" priority="165" aboveAverage="0" equalAverage="0" bottom="0" percent="0" rank="0" text="" dxfId="11">
      <formula>AND(BB6&lt;&gt;"",CY6&lt;&gt;"")</formula>
    </cfRule>
    <cfRule type="expression" priority="166" aboveAverage="0" equalAverage="0" bottom="0" percent="0" rank="0" text="" dxfId="12">
      <formula>BB6&lt;&gt;""</formula>
    </cfRule>
  </conditionalFormatting>
  <conditionalFormatting sqref="BB4">
    <cfRule type="expression" priority="167" aboveAverage="0" equalAverage="0" bottom="0" percent="0" rank="0" text="" dxfId="13">
      <formula>AND($J$2&lt;&gt;"",$DR$3&gt;=7,16&lt;=MAX(1,$DS$2))</formula>
    </cfRule>
  </conditionalFormatting>
  <conditionalFormatting sqref="BB5">
    <cfRule type="expression" priority="168" aboveAverage="0" equalAverage="0" bottom="0" percent="0" rank="0" text="" dxfId="14">
      <formula>AND($J$2&lt;&gt;"",$DR$3&gt;=7,16&lt;=MAX(1,$DS$2))</formula>
    </cfRule>
  </conditionalFormatting>
  <conditionalFormatting sqref="BB5">
    <cfRule type="expression" priority="169" aboveAverage="0" equalAverage="0" bottom="0" percent="0" rank="0" text="" dxfId="15">
      <formula>AND($J$2&lt;&gt;"",TODAY()&gt;=$DR$1,TODAY()&lt;=$DR$2)</formula>
    </cfRule>
  </conditionalFormatting>
  <conditionalFormatting sqref="BB5">
    <cfRule type="expression" priority="170" aboveAverage="0" equalAverage="0" bottom="0" percent="0" rank="0" text="" dxfId="16">
      <formula>BB5&lt;&gt;""</formula>
    </cfRule>
  </conditionalFormatting>
  <conditionalFormatting sqref="G5">
    <cfRule type="expression" priority="171" aboveAverage="0" equalAverage="0" bottom="0" percent="0" rank="0" text="" dxfId="15">
      <formula>AND($J$2&lt;&gt;"",TODAY()&gt;=$DC$1,TODAY()&lt;=$DC$2)</formula>
    </cfRule>
  </conditionalFormatting>
  <conditionalFormatting sqref="Q5">
    <cfRule type="expression" priority="172" aboveAverage="0" equalAverage="0" bottom="0" percent="0" rank="0" text="" dxfId="15">
      <formula>AND($J$2&lt;&gt;"",TODAY()&gt;=$DC$1,TODAY()&lt;=$DC$2)</formula>
    </cfRule>
  </conditionalFormatting>
  <conditionalFormatting sqref="H5">
    <cfRule type="expression" priority="173" aboveAverage="0" equalAverage="0" bottom="0" percent="0" rank="0" text="" dxfId="15">
      <formula>AND($J$2&lt;&gt;"",TODAY()&gt;=$DD$1,TODAY()&lt;=$DD$2)</formula>
    </cfRule>
  </conditionalFormatting>
  <conditionalFormatting sqref="R5">
    <cfRule type="expression" priority="174" aboveAverage="0" equalAverage="0" bottom="0" percent="0" rank="0" text="" dxfId="15">
      <formula>AND($J$2&lt;&gt;"",TODAY()&gt;=$DD$1,TODAY()&lt;=$DD$2)</formula>
    </cfRule>
  </conditionalFormatting>
  <conditionalFormatting sqref="I5">
    <cfRule type="expression" priority="175" aboveAverage="0" equalAverage="0" bottom="0" percent="0" rank="0" text="" dxfId="15">
      <formula>AND($J$2&lt;&gt;"",TODAY()&gt;=$DE$1,TODAY()&lt;=$DE$2)</formula>
    </cfRule>
  </conditionalFormatting>
  <conditionalFormatting sqref="S5">
    <cfRule type="expression" priority="176" aboveAverage="0" equalAverage="0" bottom="0" percent="0" rank="0" text="" dxfId="15">
      <formula>AND($J$2&lt;&gt;"",TODAY()&gt;=$DE$1,TODAY()&lt;=$DE$2)</formula>
    </cfRule>
  </conditionalFormatting>
  <conditionalFormatting sqref="J5">
    <cfRule type="expression" priority="177" aboveAverage="0" equalAverage="0" bottom="0" percent="0" rank="0" text="" dxfId="15">
      <formula>AND($J$2&lt;&gt;"",TODAY()&gt;=$DF$1,TODAY()&lt;=$DF$2)</formula>
    </cfRule>
  </conditionalFormatting>
  <conditionalFormatting sqref="T5">
    <cfRule type="expression" priority="178" aboveAverage="0" equalAverage="0" bottom="0" percent="0" rank="0" text="" dxfId="15">
      <formula>AND($J$2&lt;&gt;"",TODAY()&gt;=$DF$1,TODAY()&lt;=$DF$2)</formula>
    </cfRule>
  </conditionalFormatting>
  <conditionalFormatting sqref="K5">
    <cfRule type="expression" priority="179" aboveAverage="0" equalAverage="0" bottom="0" percent="0" rank="0" text="" dxfId="15">
      <formula>AND($J$2&lt;&gt;"",TODAY()&gt;=$DG$1,TODAY()&lt;=$DG$2)</formula>
    </cfRule>
  </conditionalFormatting>
  <conditionalFormatting sqref="U5">
    <cfRule type="expression" priority="180" aboveAverage="0" equalAverage="0" bottom="0" percent="0" rank="0" text="" dxfId="15">
      <formula>AND($J$2&lt;&gt;"",TODAY()&gt;=$DG$1,TODAY()&lt;=$DG$2)</formula>
    </cfRule>
  </conditionalFormatting>
  <conditionalFormatting sqref="L5">
    <cfRule type="expression" priority="181" aboveAverage="0" equalAverage="0" bottom="0" percent="0" rank="0" text="" dxfId="15">
      <formula>AND($J$2&lt;&gt;"",TODAY()&gt;=$DH$1,TODAY()&lt;=$DH$2)</formula>
    </cfRule>
  </conditionalFormatting>
  <conditionalFormatting sqref="V5">
    <cfRule type="expression" priority="182" aboveAverage="0" equalAverage="0" bottom="0" percent="0" rank="0" text="" dxfId="15">
      <formula>AND($J$2&lt;&gt;"",TODAY()&gt;=$DH$1,TODAY()&lt;=$DH$2)</formula>
    </cfRule>
  </conditionalFormatting>
  <conditionalFormatting sqref="M5">
    <cfRule type="expression" priority="183" aboveAverage="0" equalAverage="0" bottom="0" percent="0" rank="0" text="" dxfId="15">
      <formula>AND($J$2&lt;&gt;"",TODAY()&gt;=$DI$1,TODAY()&lt;=$DI$2)</formula>
    </cfRule>
  </conditionalFormatting>
  <conditionalFormatting sqref="W5">
    <cfRule type="expression" priority="184" aboveAverage="0" equalAverage="0" bottom="0" percent="0" rank="0" text="" dxfId="15">
      <formula>AND($J$2&lt;&gt;"",TODAY()&gt;=$DI$1,TODAY()&lt;=$DI$2)</formula>
    </cfRule>
  </conditionalFormatting>
  <conditionalFormatting sqref="N5">
    <cfRule type="expression" priority="185" aboveAverage="0" equalAverage="0" bottom="0" percent="0" rank="0" text="" dxfId="15">
      <formula>AND($J$2&lt;&gt;"",TODAY()&gt;=$DJ$1,TODAY()&lt;=$DJ$2)</formula>
    </cfRule>
  </conditionalFormatting>
  <conditionalFormatting sqref="X5">
    <cfRule type="expression" priority="186" aboveAverage="0" equalAverage="0" bottom="0" percent="0" rank="0" text="" dxfId="15">
      <formula>AND($J$2&lt;&gt;"",TODAY()&gt;=$DJ$1,TODAY()&lt;=$DJ$2)</formula>
    </cfRule>
  </conditionalFormatting>
  <conditionalFormatting sqref="O5">
    <cfRule type="expression" priority="187" aboveAverage="0" equalAverage="0" bottom="0" percent="0" rank="0" text="" dxfId="15">
      <formula>AND($J$2&lt;&gt;"",TODAY()&gt;=$DK$1,TODAY()&lt;=$DK$2)</formula>
    </cfRule>
  </conditionalFormatting>
  <conditionalFormatting sqref="Y5">
    <cfRule type="expression" priority="188" aboveAverage="0" equalAverage="0" bottom="0" percent="0" rank="0" text="" dxfId="15">
      <formula>AND($J$2&lt;&gt;"",TODAY()&gt;=$DK$1,TODAY()&lt;=$DK$2)</formula>
    </cfRule>
  </conditionalFormatting>
  <conditionalFormatting sqref="P5">
    <cfRule type="expression" priority="189" aboveAverage="0" equalAverage="0" bottom="0" percent="0" rank="0" text="" dxfId="15">
      <formula>AND($J$2&lt;&gt;"",TODAY()&gt;=$DL$1,TODAY()&lt;=$DL$2)</formula>
    </cfRule>
  </conditionalFormatting>
  <conditionalFormatting sqref="Z5">
    <cfRule type="expression" priority="190" aboveAverage="0" equalAverage="0" bottom="0" percent="0" rank="0" text="" dxfId="15">
      <formula>AND($J$2&lt;&gt;"",TODAY()&gt;=$DL$1,TODAY()&lt;=$DL$2)</formula>
    </cfRule>
  </conditionalFormatting>
  <conditionalFormatting sqref="AA5">
    <cfRule type="expression" priority="191" aboveAverage="0" equalAverage="0" bottom="0" percent="0" rank="0" text="" dxfId="15">
      <formula>AND($J$2&lt;&gt;"",TODAY()&gt;=$DM$1,TODAY()&lt;=$DM$2)</formula>
    </cfRule>
  </conditionalFormatting>
  <conditionalFormatting sqref="AA5">
    <cfRule type="expression" priority="192" aboveAverage="0" equalAverage="0" bottom="0" percent="0" rank="0" text="" dxfId="16">
      <formula>AND(AA4&lt;&gt;"",OR(TODAY()&lt;$DM$1,TODAY()&gt;$DM$2))</formula>
    </cfRule>
  </conditionalFormatting>
  <conditionalFormatting sqref="AB5">
    <cfRule type="expression" priority="193" aboveAverage="0" equalAverage="0" bottom="0" percent="0" rank="0" text="" dxfId="15">
      <formula>AND($J$2&lt;&gt;"",TODAY()&gt;=$DN$1,TODAY()&lt;=$DN$2)</formula>
    </cfRule>
  </conditionalFormatting>
  <conditionalFormatting sqref="AB5">
    <cfRule type="expression" priority="194" aboveAverage="0" equalAverage="0" bottom="0" percent="0" rank="0" text="" dxfId="16">
      <formula>AND(AB4&lt;&gt;"",OR(TODAY()&lt;$DN$1,TODAY()&gt;$DN$2))</formula>
    </cfRule>
  </conditionalFormatting>
  <conditionalFormatting sqref="AC5">
    <cfRule type="expression" priority="195" aboveAverage="0" equalAverage="0" bottom="0" percent="0" rank="0" text="" dxfId="15">
      <formula>AND($J$2&lt;&gt;"",TODAY()&gt;=$DO$1,TODAY()&lt;=$DO$2)</formula>
    </cfRule>
  </conditionalFormatting>
  <conditionalFormatting sqref="AC5">
    <cfRule type="expression" priority="196" aboveAverage="0" equalAverage="0" bottom="0" percent="0" rank="0" text="" dxfId="16">
      <formula>AND(AC4&lt;&gt;"",OR(TODAY()&lt;$DO$1,TODAY()&gt;$DO$2))</formula>
    </cfRule>
  </conditionalFormatting>
  <conditionalFormatting sqref="AD5">
    <cfRule type="expression" priority="197" aboveAverage="0" equalAverage="0" bottom="0" percent="0" rank="0" text="" dxfId="15">
      <formula>AND($J$2&lt;&gt;"",TODAY()&gt;=$DP$1,TODAY()&lt;=$DP$2)</formula>
    </cfRule>
  </conditionalFormatting>
  <conditionalFormatting sqref="AD5">
    <cfRule type="expression" priority="198" aboveAverage="0" equalAverage="0" bottom="0" percent="0" rank="0" text="" dxfId="16">
      <formula>AND(AD4&lt;&gt;"",OR(TODAY()&lt;$DP$1,TODAY()&gt;$DP$2))</formula>
    </cfRule>
  </conditionalFormatting>
  <conditionalFormatting sqref="AE5">
    <cfRule type="expression" priority="199" aboveAverage="0" equalAverage="0" bottom="0" percent="0" rank="0" text="" dxfId="15">
      <formula>AND($J$2&lt;&gt;"",TODAY()&gt;=$DQ$1,TODAY()&lt;=$DQ$2)</formula>
    </cfRule>
  </conditionalFormatting>
  <conditionalFormatting sqref="AE5">
    <cfRule type="expression" priority="200" aboveAverage="0" equalAverage="0" bottom="0" percent="0" rank="0" text="" dxfId="16">
      <formula>AND(AE4&lt;&gt;"",OR(TODAY()&lt;$DQ$1,TODAY()&gt;$DQ$2))</formula>
    </cfRule>
  </conditionalFormatting>
  <conditionalFormatting sqref="AF5">
    <cfRule type="expression" priority="201" aboveAverage="0" equalAverage="0" bottom="0" percent="0" rank="0" text="" dxfId="15">
      <formula>AND($J$2&lt;&gt;"",TODAY()&gt;=$DR$1,TODAY()&lt;=$DR$2)</formula>
    </cfRule>
  </conditionalFormatting>
  <conditionalFormatting sqref="AF5">
    <cfRule type="expression" priority="202" aboveAverage="0" equalAverage="0" bottom="0" percent="0" rank="0" text="" dxfId="16">
      <formula>AND(AF4&lt;&gt;"",OR(TODAY()&lt;$DR$1,TODAY()&gt;$DR$2))</formula>
    </cfRule>
  </conditionalFormatting>
  <conditionalFormatting sqref="Q2">
    <cfRule type="expression" priority="203" aboveAverage="0" equalAverage="0" bottom="0" percent="0" rank="0" text="" dxfId="8">
      <formula>Q2&lt;&gt;""</formula>
    </cfRule>
  </conditionalFormatting>
  <conditionalFormatting sqref="Q6:AF305">
    <cfRule type="expression" priority="204" aboveAverage="0" equalAverage="0" bottom="0" percent="0" rank="0" text="" dxfId="8">
      <formula>AND(ISNUMBER(Q6),N($DS$3)&gt;0,DC$1&gt;$DS$3)</formula>
    </cfRule>
  </conditionalFormatting>
  <dataValidations count="5">
    <dataValidation allowBlank="true" error="Escribe una fecha dd/mm/aaaa" errorStyle="stop" operator="greaterThan" showDropDown="false" showErrorMessage="true" showInputMessage="false" sqref="E6:F305" type="date">
      <formula1>36526</formula1>
      <formula2>0</formula2>
    </dataValidation>
    <dataValidation allowBlank="true" error="Escribe lo avanzado en la semana como número de 0 a 100, sin % (ej.: 50, no 50%)." errorStyle="stop" errorTitle="Avance no válido" operator="between" prompt="Lo avanzado SOLO en esta semana, de 0 a 100 (sin %). La suma de las semanas no debe pasar de 100" promptTitle="Avance de la semana" showDropDown="false" showErrorMessage="true" showInputMessage="true" sqref="Q6:AF305" type="custom">
      <formula1>AND(ISNUMBER(Q6),Q6&gt;=0,Q6&lt;=100,OR(Q6=0,Q6&gt;=1))</formula1>
      <formula2>0</formula2>
    </dataValidation>
    <dataValidation allowBlank="true" error="Número de 0 a 100" errorStyle="stop" operator="between" prompt="% de la subpartida que se espera lograr en esta semana. Viene calculado con las fechas; reemplázalo por el reparto del cronograma si es distinto. Las 10 semanas deben sumar 100" promptTitle="Meta de la semana" showDropDown="false" showErrorMessage="true" showInputMessage="true" sqref="G6:P305" type="decimal">
      <formula1>0</formula1>
      <formula2>100</formula2>
    </dataValidation>
    <dataValidation allowBlank="true" error="Elige Contractual o Adicional" errorStyle="stop" operator="between" prompt="Adicional = trabajo fuera del contrato. En blanco = Contractual. Si lo pones en la partida, sus subpartidas lo heredan" promptTitle="Tipo" showDropDown="false" showErrorMessage="true" showInputMessage="true" sqref="D6:D305" type="list">
      <formula1>"Contractual,Adicional"</formula1>
      <formula2>0</formula2>
    </dataValidation>
    <dataValidation allowBlank="true" error="Máximo 20 caracteres" errorStyle="stop" operator="lessThanOrEqual" prompt="Código del presupuesto. Ej.: 02 para la partida y 02.01 para sus subpartidas" promptTitle="Ítem" showDropDown="false" showErrorMessage="true" showInputMessage="true" sqref="A6:A305" type="textLength">
      <formula1>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13"/>
    <col collapsed="false" customWidth="true" hidden="false" outlineLevel="0" max="4" min="4" style="1" width="8"/>
    <col collapsed="false" customWidth="true" hidden="false" outlineLevel="0" max="5" min="5" style="1" width="22"/>
    <col collapsed="false" customWidth="true" hidden="false" outlineLevel="0" max="6" min="6" style="1" width="44"/>
    <col collapsed="false" customWidth="true" hidden="false" outlineLevel="0" max="7" min="7" style="1" width="12"/>
    <col collapsed="false" customWidth="true" hidden="false" outlineLevel="0" max="8" min="8" style="1" width="26"/>
    <col collapsed="false" customWidth="true" hidden="true" outlineLevel="0" max="27" min="10" style="1" width="13"/>
  </cols>
  <sheetData>
    <row r="1" customFormat="false" ht="17.35" hidden="false" customHeight="false" outlineLevel="0" collapsed="false">
      <c r="B1" s="2" t="s">
        <v>241</v>
      </c>
    </row>
    <row r="2" customFormat="false" ht="30" hidden="false" customHeight="true" outlineLevel="0" collapsed="false">
      <c r="B2" s="26" t="s">
        <v>242</v>
      </c>
      <c r="C2" s="26"/>
      <c r="D2" s="26"/>
      <c r="E2" s="26"/>
      <c r="F2" s="26"/>
      <c r="G2" s="26"/>
      <c r="H2" s="26"/>
    </row>
    <row r="3" customFormat="false" ht="15" hidden="false" customHeight="false" outlineLevel="0" collapsed="false">
      <c r="B3" s="26"/>
      <c r="C3" s="26"/>
      <c r="D3" s="26"/>
      <c r="E3" s="26"/>
      <c r="F3" s="26"/>
      <c r="G3" s="26"/>
      <c r="H3" s="26"/>
    </row>
    <row r="4" customFormat="false" ht="15" hidden="false" customHeight="false" outlineLevel="0" collapsed="false">
      <c r="B4" s="41" t="s">
        <v>243</v>
      </c>
      <c r="C4" s="41" t="s">
        <v>244</v>
      </c>
      <c r="D4" s="41" t="s">
        <v>245</v>
      </c>
      <c r="E4" s="41" t="s">
        <v>246</v>
      </c>
      <c r="F4" s="41" t="s">
        <v>247</v>
      </c>
      <c r="G4" s="41" t="s">
        <v>248</v>
      </c>
      <c r="H4" s="41" t="s">
        <v>101</v>
      </c>
      <c r="J4" s="31" t="s">
        <v>249</v>
      </c>
      <c r="K4" s="1" t="n">
        <v>1</v>
      </c>
      <c r="L4" s="1" t="n">
        <v>2</v>
      </c>
      <c r="M4" s="1" t="n">
        <v>3</v>
      </c>
      <c r="N4" s="1" t="n">
        <v>4</v>
      </c>
      <c r="O4" s="1" t="n">
        <v>5</v>
      </c>
      <c r="P4" s="1" t="n">
        <v>6</v>
      </c>
      <c r="Q4" s="1" t="n">
        <v>7</v>
      </c>
      <c r="R4" s="1" t="n">
        <v>8</v>
      </c>
      <c r="S4" s="1" t="n">
        <v>9</v>
      </c>
      <c r="T4" s="1" t="n">
        <v>10</v>
      </c>
      <c r="U4" s="1" t="n">
        <v>11</v>
      </c>
      <c r="V4" s="1" t="n">
        <v>12</v>
      </c>
      <c r="W4" s="1" t="n">
        <v>13</v>
      </c>
      <c r="X4" s="1" t="n">
        <v>14</v>
      </c>
      <c r="Y4" s="1" t="n">
        <v>15</v>
      </c>
      <c r="Z4" s="1" t="n">
        <v>16</v>
      </c>
    </row>
    <row r="5" customFormat="false" ht="15" hidden="false" customHeight="false" outlineLevel="0" collapsed="false">
      <c r="B5" s="42" t="n">
        <v>1</v>
      </c>
      <c r="C5" s="43"/>
      <c r="D5" s="44"/>
      <c r="E5" s="45"/>
      <c r="F5" s="45"/>
      <c r="G5" s="46" t="str">
        <f aca="false">IF(E5="","",IF(E5="Interno","Sí","No"))</f>
        <v/>
      </c>
      <c r="H5" s="46" t="str">
        <f aca="false">IF(AND(C5="",D5="",E5=""),"",IF(C5="","Falta la fecha «Desde»",IF(D5="","Faltan los días",IF(E5="","Falta el motivo",IF(D5&lt;=0,"Los días deben ser mayores a 0",IF($E$16="","OK",IF(C5&lt;$E$16,"Antes del inicio de la obra",IF($E$17="","OK",IF(C5&gt;$E$17+SUM($D$5:$D$14),"Después del fin vigente","OK")))))))))</f>
        <v/>
      </c>
    </row>
    <row r="6" customFormat="false" ht="15" hidden="false" customHeight="false" outlineLevel="0" collapsed="false">
      <c r="B6" s="42" t="n">
        <v>2</v>
      </c>
      <c r="C6" s="43"/>
      <c r="D6" s="44"/>
      <c r="E6" s="45"/>
      <c r="F6" s="45"/>
      <c r="G6" s="46" t="str">
        <f aca="false">IF(E6="","",IF(E6="Interno","Sí","No"))</f>
        <v/>
      </c>
      <c r="H6" s="46" t="str">
        <f aca="false">IF(AND(C6="",D6="",E6=""),"",IF(C6="","Falta la fecha «Desde»",IF(D6="","Faltan los días",IF(E6="","Falta el motivo",IF(D6&lt;=0,"Los días deben ser mayores a 0",IF($E$16="","OK",IF(C6&lt;$E$16,"Antes del inicio de la obra",IF($E$17="","OK",IF(C6&gt;$E$17+SUM($D$5:$D$14),"Después del fin vigente","OK")))))))))</f>
        <v/>
      </c>
    </row>
    <row r="7" customFormat="false" ht="15" hidden="false" customHeight="false" outlineLevel="0" collapsed="false">
      <c r="B7" s="42" t="n">
        <v>3</v>
      </c>
      <c r="C7" s="43"/>
      <c r="D7" s="44"/>
      <c r="E7" s="45"/>
      <c r="F7" s="45"/>
      <c r="G7" s="46" t="str">
        <f aca="false">IF(E7="","",IF(E7="Interno","Sí","No"))</f>
        <v/>
      </c>
      <c r="H7" s="46" t="str">
        <f aca="false">IF(AND(C7="",D7="",E7=""),"",IF(C7="","Falta la fecha «Desde»",IF(D7="","Faltan los días",IF(E7="","Falta el motivo",IF(D7&lt;=0,"Los días deben ser mayores a 0",IF($E$16="","OK",IF(C7&lt;$E$16,"Antes del inicio de la obra",IF($E$17="","OK",IF(C7&gt;$E$17+SUM($D$5:$D$14),"Después del fin vigente","OK")))))))))</f>
        <v/>
      </c>
    </row>
    <row r="8" customFormat="false" ht="15" hidden="false" customHeight="false" outlineLevel="0" collapsed="false">
      <c r="B8" s="42" t="n">
        <v>4</v>
      </c>
      <c r="C8" s="43"/>
      <c r="D8" s="44"/>
      <c r="E8" s="45"/>
      <c r="F8" s="45"/>
      <c r="G8" s="46" t="str">
        <f aca="false">IF(E8="","",IF(E8="Interno","Sí","No"))</f>
        <v/>
      </c>
      <c r="H8" s="46" t="str">
        <f aca="false">IF(AND(C8="",D8="",E8=""),"",IF(C8="","Falta la fecha «Desde»",IF(D8="","Faltan los días",IF(E8="","Falta el motivo",IF(D8&lt;=0,"Los días deben ser mayores a 0",IF($E$16="","OK",IF(C8&lt;$E$16,"Antes del inicio de la obra",IF($E$17="","OK",IF(C8&gt;$E$17+SUM($D$5:$D$14),"Después del fin vigente","OK")))))))))</f>
        <v/>
      </c>
      <c r="J8" s="31" t="s">
        <v>250</v>
      </c>
      <c r="K8" s="20" t="n">
        <f aca="false">IF(Partidas!$J$2="","",$T$15+0)</f>
        <v>46286</v>
      </c>
      <c r="L8" s="20" t="n">
        <f aca="false">IF(Partidas!$J$2="","",$T$15+7)</f>
        <v>46293</v>
      </c>
      <c r="M8" s="20" t="n">
        <f aca="false">IF(Partidas!$J$2="","",$T$15+14)</f>
        <v>46300</v>
      </c>
      <c r="N8" s="20" t="n">
        <f aca="false">IF(Partidas!$J$2="","",$T$15+21)</f>
        <v>46307</v>
      </c>
      <c r="O8" s="20" t="n">
        <f aca="false">IF(Partidas!$J$2="","",$T$15+28)</f>
        <v>46314</v>
      </c>
      <c r="P8" s="20" t="n">
        <f aca="false">IF(Partidas!$J$2="","",$T$15+35)</f>
        <v>46321</v>
      </c>
      <c r="Q8" s="20" t="n">
        <f aca="false">IF(Partidas!$J$2="","",$T$15+42)</f>
        <v>46328</v>
      </c>
      <c r="R8" s="20" t="n">
        <f aca="false">IF(Partidas!$J$2="","",$T$15+49)</f>
        <v>46335</v>
      </c>
      <c r="S8" s="20" t="n">
        <f aca="false">IF(Partidas!$J$2="","",$T$15+56)</f>
        <v>46342</v>
      </c>
      <c r="T8" s="20" t="n">
        <f aca="false">IF(Partidas!$J$2="","",$T$15+63)</f>
        <v>46349</v>
      </c>
      <c r="U8" s="20" t="n">
        <f aca="false">IF(Partidas!$J$2="","",$T$15+70)</f>
        <v>46356</v>
      </c>
      <c r="V8" s="20" t="n">
        <f aca="false">IF(Partidas!$J$2="","",$T$15+77)</f>
        <v>46363</v>
      </c>
      <c r="W8" s="20" t="n">
        <f aca="false">IF(Partidas!$J$2="","",$T$15+84)</f>
        <v>46370</v>
      </c>
      <c r="X8" s="20" t="n">
        <f aca="false">IF(Partidas!$J$2="","",$T$15+91)</f>
        <v>46377</v>
      </c>
      <c r="Y8" s="20" t="n">
        <f aca="false">IF(Partidas!$J$2="","",$T$15+98)</f>
        <v>46384</v>
      </c>
      <c r="Z8" s="20" t="n">
        <f aca="false">IF(Partidas!$J$2="","",$T$15+105)</f>
        <v>46391</v>
      </c>
    </row>
    <row r="9" customFormat="false" ht="15" hidden="false" customHeight="false" outlineLevel="0" collapsed="false">
      <c r="B9" s="42" t="n">
        <v>5</v>
      </c>
      <c r="C9" s="43"/>
      <c r="D9" s="44"/>
      <c r="E9" s="45"/>
      <c r="F9" s="45"/>
      <c r="G9" s="46" t="str">
        <f aca="false">IF(E9="","",IF(E9="Interno","Sí","No"))</f>
        <v/>
      </c>
      <c r="H9" s="46" t="str">
        <f aca="false">IF(AND(C9="",D9="",E9=""),"",IF(C9="","Falta la fecha «Desde»",IF(D9="","Faltan los días",IF(E9="","Falta el motivo",IF(D9&lt;=0,"Los días deben ser mayores a 0",IF($E$16="","OK",IF(C9&lt;$E$16,"Antes del inicio de la obra",IF($E$17="","OK",IF(C9&gt;$E$17+SUM($D$5:$D$14),"Después del fin vigente","OK")))))))))</f>
        <v/>
      </c>
      <c r="J9" s="31" t="s">
        <v>251</v>
      </c>
      <c r="K9" s="20" t="n">
        <f aca="false">IF(K8="","",K8+6)</f>
        <v>46292</v>
      </c>
      <c r="L9" s="20" t="n">
        <f aca="false">IF(L8="","",L8+6)</f>
        <v>46299</v>
      </c>
      <c r="M9" s="20" t="n">
        <f aca="false">IF(M8="","",M8+6)</f>
        <v>46306</v>
      </c>
      <c r="N9" s="20" t="n">
        <f aca="false">IF(N8="","",N8+6)</f>
        <v>46313</v>
      </c>
      <c r="O9" s="20" t="n">
        <f aca="false">IF(O8="","",O8+6)</f>
        <v>46320</v>
      </c>
      <c r="P9" s="20" t="n">
        <f aca="false">IF(P8="","",P8+6)</f>
        <v>46327</v>
      </c>
      <c r="Q9" s="20" t="n">
        <f aca="false">IF(Q8="","",Q8+6)</f>
        <v>46334</v>
      </c>
      <c r="R9" s="20" t="n">
        <f aca="false">IF(R8="","",R8+6)</f>
        <v>46341</v>
      </c>
      <c r="S9" s="20" t="n">
        <f aca="false">IF(S8="","",S8+6)</f>
        <v>46348</v>
      </c>
      <c r="T9" s="20" t="n">
        <f aca="false">IF(T8="","",T8+6)</f>
        <v>46355</v>
      </c>
      <c r="U9" s="20" t="n">
        <f aca="false">IF(U8="","",U8+6)</f>
        <v>46362</v>
      </c>
      <c r="V9" s="20" t="n">
        <f aca="false">IF(V8="","",V8+6)</f>
        <v>46369</v>
      </c>
      <c r="W9" s="20" t="n">
        <f aca="false">IF(W8="","",W8+6)</f>
        <v>46376</v>
      </c>
      <c r="X9" s="20" t="n">
        <f aca="false">IF(X8="","",X8+6)</f>
        <v>46383</v>
      </c>
      <c r="Y9" s="20" t="n">
        <f aca="false">IF(Y8="","",Y8+6)</f>
        <v>46390</v>
      </c>
      <c r="Z9" s="20" t="n">
        <f aca="false">IF(Z8="","",Z8+6)</f>
        <v>46397</v>
      </c>
    </row>
    <row r="10" customFormat="false" ht="15" hidden="false" customHeight="false" outlineLevel="0" collapsed="false">
      <c r="B10" s="42" t="n">
        <v>6</v>
      </c>
      <c r="C10" s="43"/>
      <c r="D10" s="44"/>
      <c r="E10" s="45"/>
      <c r="F10" s="45"/>
      <c r="G10" s="46" t="str">
        <f aca="false">IF(E10="","",IF(E10="Interno","Sí","No"))</f>
        <v/>
      </c>
      <c r="H10" s="46" t="str">
        <f aca="false">IF(AND(C10="",D10="",E10=""),"",IF(C10="","Falta la fecha «Desde»",IF(D10="","Faltan los días",IF(E10="","Falta el motivo",IF(D10&lt;=0,"Los días deben ser mayores a 0",IF($E$16="","OK",IF(C10&lt;$E$16,"Antes del inicio de la obra",IF($E$17="","OK",IF(C10&gt;$E$17+SUM($D$5:$D$14),"Después del fin vigente","OK")))))))))</f>
        <v/>
      </c>
      <c r="J10" s="31" t="s">
        <v>252</v>
      </c>
      <c r="K10" s="31" t="n">
        <f aca="false">IF(K9="",0,SUMPRODUCT(($H$5:$H$14="OK")*($E$5:$E$14&lt;&gt;"Interno")*ISNUMBER($C$5:$C$14)*((K9-$C$5:$C$14+1)&gt;0)*(((K9-$C$5:$C$14+1)&lt;$D$5:$D$14)*(K9-$C$5:$C$14+1)+((K9-$C$5:$C$14+1)&gt;=$D$5:$D$14)*$D$5:$D$14)))</f>
        <v>0</v>
      </c>
      <c r="L10" s="31" t="n">
        <f aca="false">IF(L9="",0,SUMPRODUCT(($H$5:$H$14="OK")*($E$5:$E$14&lt;&gt;"Interno")*ISNUMBER($C$5:$C$14)*((L9-$C$5:$C$14+1)&gt;0)*(((L9-$C$5:$C$14+1)&lt;$D$5:$D$14)*(L9-$C$5:$C$14+1)+((L9-$C$5:$C$14+1)&gt;=$D$5:$D$14)*$D$5:$D$14)))</f>
        <v>0</v>
      </c>
      <c r="M10" s="31" t="n">
        <f aca="false">IF(M9="",0,SUMPRODUCT(($H$5:$H$14="OK")*($E$5:$E$14&lt;&gt;"Interno")*ISNUMBER($C$5:$C$14)*((M9-$C$5:$C$14+1)&gt;0)*(((M9-$C$5:$C$14+1)&lt;$D$5:$D$14)*(M9-$C$5:$C$14+1)+((M9-$C$5:$C$14+1)&gt;=$D$5:$D$14)*$D$5:$D$14)))</f>
        <v>0</v>
      </c>
      <c r="N10" s="31" t="n">
        <f aca="false">IF(N9="",0,SUMPRODUCT(($H$5:$H$14="OK")*($E$5:$E$14&lt;&gt;"Interno")*ISNUMBER($C$5:$C$14)*((N9-$C$5:$C$14+1)&gt;0)*(((N9-$C$5:$C$14+1)&lt;$D$5:$D$14)*(N9-$C$5:$C$14+1)+((N9-$C$5:$C$14+1)&gt;=$D$5:$D$14)*$D$5:$D$14)))</f>
        <v>0</v>
      </c>
      <c r="O10" s="31" t="n">
        <f aca="false">IF(O9="",0,SUMPRODUCT(($H$5:$H$14="OK")*($E$5:$E$14&lt;&gt;"Interno")*ISNUMBER($C$5:$C$14)*((O9-$C$5:$C$14+1)&gt;0)*(((O9-$C$5:$C$14+1)&lt;$D$5:$D$14)*(O9-$C$5:$C$14+1)+((O9-$C$5:$C$14+1)&gt;=$D$5:$D$14)*$D$5:$D$14)))</f>
        <v>0</v>
      </c>
      <c r="P10" s="31" t="n">
        <f aca="false">IF(P9="",0,SUMPRODUCT(($H$5:$H$14="OK")*($E$5:$E$14&lt;&gt;"Interno")*ISNUMBER($C$5:$C$14)*((P9-$C$5:$C$14+1)&gt;0)*(((P9-$C$5:$C$14+1)&lt;$D$5:$D$14)*(P9-$C$5:$C$14+1)+((P9-$C$5:$C$14+1)&gt;=$D$5:$D$14)*$D$5:$D$14)))</f>
        <v>0</v>
      </c>
      <c r="Q10" s="31" t="n">
        <f aca="false">IF(Q9="",0,SUMPRODUCT(($H$5:$H$14="OK")*($E$5:$E$14&lt;&gt;"Interno")*ISNUMBER($C$5:$C$14)*((Q9-$C$5:$C$14+1)&gt;0)*(((Q9-$C$5:$C$14+1)&lt;$D$5:$D$14)*(Q9-$C$5:$C$14+1)+((Q9-$C$5:$C$14+1)&gt;=$D$5:$D$14)*$D$5:$D$14)))</f>
        <v>0</v>
      </c>
      <c r="R10" s="31" t="n">
        <f aca="false">IF(R9="",0,SUMPRODUCT(($H$5:$H$14="OK")*($E$5:$E$14&lt;&gt;"Interno")*ISNUMBER($C$5:$C$14)*((R9-$C$5:$C$14+1)&gt;0)*(((R9-$C$5:$C$14+1)&lt;$D$5:$D$14)*(R9-$C$5:$C$14+1)+((R9-$C$5:$C$14+1)&gt;=$D$5:$D$14)*$D$5:$D$14)))</f>
        <v>0</v>
      </c>
      <c r="S10" s="31" t="n">
        <f aca="false">IF(S9="",0,SUMPRODUCT(($H$5:$H$14="OK")*($E$5:$E$14&lt;&gt;"Interno")*ISNUMBER($C$5:$C$14)*((S9-$C$5:$C$14+1)&gt;0)*(((S9-$C$5:$C$14+1)&lt;$D$5:$D$14)*(S9-$C$5:$C$14+1)+((S9-$C$5:$C$14+1)&gt;=$D$5:$D$14)*$D$5:$D$14)))</f>
        <v>0</v>
      </c>
      <c r="T10" s="31" t="n">
        <f aca="false">IF(T9="",0,SUMPRODUCT(($H$5:$H$14="OK")*($E$5:$E$14&lt;&gt;"Interno")*ISNUMBER($C$5:$C$14)*((T9-$C$5:$C$14+1)&gt;0)*(((T9-$C$5:$C$14+1)&lt;$D$5:$D$14)*(T9-$C$5:$C$14+1)+((T9-$C$5:$C$14+1)&gt;=$D$5:$D$14)*$D$5:$D$14)))</f>
        <v>0</v>
      </c>
      <c r="U10" s="31" t="n">
        <f aca="false">IF(U9="",0,SUMPRODUCT(($H$5:$H$14="OK")*($E$5:$E$14&lt;&gt;"Interno")*ISNUMBER($C$5:$C$14)*((U9-$C$5:$C$14+1)&gt;0)*(((U9-$C$5:$C$14+1)&lt;$D$5:$D$14)*(U9-$C$5:$C$14+1)+((U9-$C$5:$C$14+1)&gt;=$D$5:$D$14)*$D$5:$D$14)))</f>
        <v>0</v>
      </c>
      <c r="V10" s="31" t="n">
        <f aca="false">IF(V9="",0,SUMPRODUCT(($H$5:$H$14="OK")*($E$5:$E$14&lt;&gt;"Interno")*ISNUMBER($C$5:$C$14)*((V9-$C$5:$C$14+1)&gt;0)*(((V9-$C$5:$C$14+1)&lt;$D$5:$D$14)*(V9-$C$5:$C$14+1)+((V9-$C$5:$C$14+1)&gt;=$D$5:$D$14)*$D$5:$D$14)))</f>
        <v>0</v>
      </c>
      <c r="W10" s="31" t="n">
        <f aca="false">IF(W9="",0,SUMPRODUCT(($H$5:$H$14="OK")*($E$5:$E$14&lt;&gt;"Interno")*ISNUMBER($C$5:$C$14)*((W9-$C$5:$C$14+1)&gt;0)*(((W9-$C$5:$C$14+1)&lt;$D$5:$D$14)*(W9-$C$5:$C$14+1)+((W9-$C$5:$C$14+1)&gt;=$D$5:$D$14)*$D$5:$D$14)))</f>
        <v>0</v>
      </c>
      <c r="X10" s="31" t="n">
        <f aca="false">IF(X9="",0,SUMPRODUCT(($H$5:$H$14="OK")*($E$5:$E$14&lt;&gt;"Interno")*ISNUMBER($C$5:$C$14)*((X9-$C$5:$C$14+1)&gt;0)*(((X9-$C$5:$C$14+1)&lt;$D$5:$D$14)*(X9-$C$5:$C$14+1)+((X9-$C$5:$C$14+1)&gt;=$D$5:$D$14)*$D$5:$D$14)))</f>
        <v>0</v>
      </c>
      <c r="Y10" s="31" t="n">
        <f aca="false">IF(Y9="",0,SUMPRODUCT(($H$5:$H$14="OK")*($E$5:$E$14&lt;&gt;"Interno")*ISNUMBER($C$5:$C$14)*((Y9-$C$5:$C$14+1)&gt;0)*(((Y9-$C$5:$C$14+1)&lt;$D$5:$D$14)*(Y9-$C$5:$C$14+1)+((Y9-$C$5:$C$14+1)&gt;=$D$5:$D$14)*$D$5:$D$14)))</f>
        <v>0</v>
      </c>
      <c r="Z10" s="31" t="n">
        <f aca="false">IF(Z9="",0,SUMPRODUCT(($H$5:$H$14="OK")*($E$5:$E$14&lt;&gt;"Interno")*ISNUMBER($C$5:$C$14)*((Z9-$C$5:$C$14+1)&gt;0)*(((Z9-$C$5:$C$14+1)&lt;$D$5:$D$14)*(Z9-$C$5:$C$14+1)+((Z9-$C$5:$C$14+1)&gt;=$D$5:$D$14)*$D$5:$D$14)))</f>
        <v>0</v>
      </c>
    </row>
    <row r="11" customFormat="false" ht="15" hidden="false" customHeight="false" outlineLevel="0" collapsed="false">
      <c r="B11" s="42" t="n">
        <v>7</v>
      </c>
      <c r="C11" s="43"/>
      <c r="D11" s="44"/>
      <c r="E11" s="45"/>
      <c r="F11" s="45"/>
      <c r="G11" s="46" t="str">
        <f aca="false">IF(E11="","",IF(E11="Interno","Sí","No"))</f>
        <v/>
      </c>
      <c r="H11" s="46" t="str">
        <f aca="false">IF(AND(C11="",D11="",E11=""),"",IF(C11="","Falta la fecha «Desde»",IF(D11="","Faltan los días",IF(E11="","Falta el motivo",IF(D11&lt;=0,"Los días deben ser mayores a 0",IF($E$16="","OK",IF(C11&lt;$E$16,"Antes del inicio de la obra",IF($E$17="","OK",IF(C11&gt;$E$17+SUM($D$5:$D$14),"Después del fin vigente","OK")))))))))</f>
        <v/>
      </c>
      <c r="J11" s="31" t="s">
        <v>253</v>
      </c>
      <c r="K11" s="31" t="n">
        <f aca="false">IF(K9="",0,SUMPRODUCT(($H$5:$H$14="OK")*ISNUMBER($C$5:$C$14)*((K9-$C$5:$C$14+1)&gt;0)*(((K9-$C$5:$C$14+1)&lt;$D$5:$D$14)*(K9-$C$5:$C$14+1)+((K9-$C$5:$C$14+1)&gt;=$D$5:$D$14)*$D$5:$D$14)))</f>
        <v>0</v>
      </c>
      <c r="L11" s="31" t="n">
        <f aca="false">IF(L9="",0,SUMPRODUCT(($H$5:$H$14="OK")*ISNUMBER($C$5:$C$14)*((L9-$C$5:$C$14+1)&gt;0)*(((L9-$C$5:$C$14+1)&lt;$D$5:$D$14)*(L9-$C$5:$C$14+1)+((L9-$C$5:$C$14+1)&gt;=$D$5:$D$14)*$D$5:$D$14)))</f>
        <v>0</v>
      </c>
      <c r="M11" s="31" t="n">
        <f aca="false">IF(M9="",0,SUMPRODUCT(($H$5:$H$14="OK")*ISNUMBER($C$5:$C$14)*((M9-$C$5:$C$14+1)&gt;0)*(((M9-$C$5:$C$14+1)&lt;$D$5:$D$14)*(M9-$C$5:$C$14+1)+((M9-$C$5:$C$14+1)&gt;=$D$5:$D$14)*$D$5:$D$14)))</f>
        <v>0</v>
      </c>
      <c r="N11" s="31" t="n">
        <f aca="false">IF(N9="",0,SUMPRODUCT(($H$5:$H$14="OK")*ISNUMBER($C$5:$C$14)*((N9-$C$5:$C$14+1)&gt;0)*(((N9-$C$5:$C$14+1)&lt;$D$5:$D$14)*(N9-$C$5:$C$14+1)+((N9-$C$5:$C$14+1)&gt;=$D$5:$D$14)*$D$5:$D$14)))</f>
        <v>0</v>
      </c>
      <c r="O11" s="31" t="n">
        <f aca="false">IF(O9="",0,SUMPRODUCT(($H$5:$H$14="OK")*ISNUMBER($C$5:$C$14)*((O9-$C$5:$C$14+1)&gt;0)*(((O9-$C$5:$C$14+1)&lt;$D$5:$D$14)*(O9-$C$5:$C$14+1)+((O9-$C$5:$C$14+1)&gt;=$D$5:$D$14)*$D$5:$D$14)))</f>
        <v>0</v>
      </c>
      <c r="P11" s="31" t="n">
        <f aca="false">IF(P9="",0,SUMPRODUCT(($H$5:$H$14="OK")*ISNUMBER($C$5:$C$14)*((P9-$C$5:$C$14+1)&gt;0)*(((P9-$C$5:$C$14+1)&lt;$D$5:$D$14)*(P9-$C$5:$C$14+1)+((P9-$C$5:$C$14+1)&gt;=$D$5:$D$14)*$D$5:$D$14)))</f>
        <v>0</v>
      </c>
      <c r="Q11" s="31" t="n">
        <f aca="false">IF(Q9="",0,SUMPRODUCT(($H$5:$H$14="OK")*ISNUMBER($C$5:$C$14)*((Q9-$C$5:$C$14+1)&gt;0)*(((Q9-$C$5:$C$14+1)&lt;$D$5:$D$14)*(Q9-$C$5:$C$14+1)+((Q9-$C$5:$C$14+1)&gt;=$D$5:$D$14)*$D$5:$D$14)))</f>
        <v>0</v>
      </c>
      <c r="R11" s="31" t="n">
        <f aca="false">IF(R9="",0,SUMPRODUCT(($H$5:$H$14="OK")*ISNUMBER($C$5:$C$14)*((R9-$C$5:$C$14+1)&gt;0)*(((R9-$C$5:$C$14+1)&lt;$D$5:$D$14)*(R9-$C$5:$C$14+1)+((R9-$C$5:$C$14+1)&gt;=$D$5:$D$14)*$D$5:$D$14)))</f>
        <v>0</v>
      </c>
      <c r="S11" s="31" t="n">
        <f aca="false">IF(S9="",0,SUMPRODUCT(($H$5:$H$14="OK")*ISNUMBER($C$5:$C$14)*((S9-$C$5:$C$14+1)&gt;0)*(((S9-$C$5:$C$14+1)&lt;$D$5:$D$14)*(S9-$C$5:$C$14+1)+((S9-$C$5:$C$14+1)&gt;=$D$5:$D$14)*$D$5:$D$14)))</f>
        <v>0</v>
      </c>
      <c r="T11" s="31" t="n">
        <f aca="false">IF(T9="",0,SUMPRODUCT(($H$5:$H$14="OK")*ISNUMBER($C$5:$C$14)*((T9-$C$5:$C$14+1)&gt;0)*(((T9-$C$5:$C$14+1)&lt;$D$5:$D$14)*(T9-$C$5:$C$14+1)+((T9-$C$5:$C$14+1)&gt;=$D$5:$D$14)*$D$5:$D$14)))</f>
        <v>0</v>
      </c>
      <c r="U11" s="31" t="n">
        <f aca="false">IF(U9="",0,SUMPRODUCT(($H$5:$H$14="OK")*ISNUMBER($C$5:$C$14)*((U9-$C$5:$C$14+1)&gt;0)*(((U9-$C$5:$C$14+1)&lt;$D$5:$D$14)*(U9-$C$5:$C$14+1)+((U9-$C$5:$C$14+1)&gt;=$D$5:$D$14)*$D$5:$D$14)))</f>
        <v>0</v>
      </c>
      <c r="V11" s="31" t="n">
        <f aca="false">IF(V9="",0,SUMPRODUCT(($H$5:$H$14="OK")*ISNUMBER($C$5:$C$14)*((V9-$C$5:$C$14+1)&gt;0)*(((V9-$C$5:$C$14+1)&lt;$D$5:$D$14)*(V9-$C$5:$C$14+1)+((V9-$C$5:$C$14+1)&gt;=$D$5:$D$14)*$D$5:$D$14)))</f>
        <v>0</v>
      </c>
      <c r="W11" s="31" t="n">
        <f aca="false">IF(W9="",0,SUMPRODUCT(($H$5:$H$14="OK")*ISNUMBER($C$5:$C$14)*((W9-$C$5:$C$14+1)&gt;0)*(((W9-$C$5:$C$14+1)&lt;$D$5:$D$14)*(W9-$C$5:$C$14+1)+((W9-$C$5:$C$14+1)&gt;=$D$5:$D$14)*$D$5:$D$14)))</f>
        <v>0</v>
      </c>
      <c r="X11" s="31" t="n">
        <f aca="false">IF(X9="",0,SUMPRODUCT(($H$5:$H$14="OK")*ISNUMBER($C$5:$C$14)*((X9-$C$5:$C$14+1)&gt;0)*(((X9-$C$5:$C$14+1)&lt;$D$5:$D$14)*(X9-$C$5:$C$14+1)+((X9-$C$5:$C$14+1)&gt;=$D$5:$D$14)*$D$5:$D$14)))</f>
        <v>0</v>
      </c>
      <c r="Y11" s="31" t="n">
        <f aca="false">IF(Y9="",0,SUMPRODUCT(($H$5:$H$14="OK")*ISNUMBER($C$5:$C$14)*((Y9-$C$5:$C$14+1)&gt;0)*(((Y9-$C$5:$C$14+1)&lt;$D$5:$D$14)*(Y9-$C$5:$C$14+1)+((Y9-$C$5:$C$14+1)&gt;=$D$5:$D$14)*$D$5:$D$14)))</f>
        <v>0</v>
      </c>
      <c r="Z11" s="31" t="n">
        <f aca="false">IF(Z9="",0,SUMPRODUCT(($H$5:$H$14="OK")*ISNUMBER($C$5:$C$14)*((Z9-$C$5:$C$14+1)&gt;0)*(((Z9-$C$5:$C$14+1)&lt;$D$5:$D$14)*(Z9-$C$5:$C$14+1)+((Z9-$C$5:$C$14+1)&gt;=$D$5:$D$14)*$D$5:$D$14)))</f>
        <v>0</v>
      </c>
    </row>
    <row r="12" customFormat="false" ht="15" hidden="false" customHeight="false" outlineLevel="0" collapsed="false">
      <c r="B12" s="42" t="n">
        <v>8</v>
      </c>
      <c r="C12" s="43"/>
      <c r="D12" s="44"/>
      <c r="E12" s="45"/>
      <c r="F12" s="45"/>
      <c r="G12" s="46" t="str">
        <f aca="false">IF(E12="","",IF(E12="Interno","Sí","No"))</f>
        <v/>
      </c>
      <c r="H12" s="46" t="str">
        <f aca="false">IF(AND(C12="",D12="",E12=""),"",IF(C12="","Falta la fecha «Desde»",IF(D12="","Faltan los días",IF(E12="","Falta el motivo",IF(D12&lt;=0,"Los días deben ser mayores a 0",IF($E$16="","OK",IF(C12&lt;$E$16,"Antes del inicio de la obra",IF($E$17="","OK",IF(C12&gt;$E$17+SUM($D$5:$D$14),"Después del fin vigente","OK")))))))))</f>
        <v/>
      </c>
      <c r="J12" s="31" t="s">
        <v>254</v>
      </c>
      <c r="K12" s="31" t="n">
        <f aca="false">IF(K8="",0,K11-SUMPRODUCT(($H$5:$H$14="OK")*ISNUMBER($C$5:$C$14)*(((K8-1)-$C$5:$C$14+1)&gt;0)*((((K8-1)-$C$5:$C$14+1)&lt;$D$5:$D$14)*((K8-1)-$C$5:$C$14+1)+(((K8-1)-$C$5:$C$14+1)&gt;=$D$5:$D$14)*$D$5:$D$14)))</f>
        <v>0</v>
      </c>
      <c r="L12" s="31" t="n">
        <f aca="false">IF(L8="",0,L11-SUMPRODUCT(($H$5:$H$14="OK")*ISNUMBER($C$5:$C$14)*(((L8-1)-$C$5:$C$14+1)&gt;0)*((((L8-1)-$C$5:$C$14+1)&lt;$D$5:$D$14)*((L8-1)-$C$5:$C$14+1)+(((L8-1)-$C$5:$C$14+1)&gt;=$D$5:$D$14)*$D$5:$D$14)))</f>
        <v>0</v>
      </c>
      <c r="M12" s="31" t="n">
        <f aca="false">IF(M8="",0,M11-SUMPRODUCT(($H$5:$H$14="OK")*ISNUMBER($C$5:$C$14)*(((M8-1)-$C$5:$C$14+1)&gt;0)*((((M8-1)-$C$5:$C$14+1)&lt;$D$5:$D$14)*((M8-1)-$C$5:$C$14+1)+(((M8-1)-$C$5:$C$14+1)&gt;=$D$5:$D$14)*$D$5:$D$14)))</f>
        <v>0</v>
      </c>
      <c r="N12" s="31" t="n">
        <f aca="false">IF(N8="",0,N11-SUMPRODUCT(($H$5:$H$14="OK")*ISNUMBER($C$5:$C$14)*(((N8-1)-$C$5:$C$14+1)&gt;0)*((((N8-1)-$C$5:$C$14+1)&lt;$D$5:$D$14)*((N8-1)-$C$5:$C$14+1)+(((N8-1)-$C$5:$C$14+1)&gt;=$D$5:$D$14)*$D$5:$D$14)))</f>
        <v>0</v>
      </c>
      <c r="O12" s="31" t="n">
        <f aca="false">IF(O8="",0,O11-SUMPRODUCT(($H$5:$H$14="OK")*ISNUMBER($C$5:$C$14)*(((O8-1)-$C$5:$C$14+1)&gt;0)*((((O8-1)-$C$5:$C$14+1)&lt;$D$5:$D$14)*((O8-1)-$C$5:$C$14+1)+(((O8-1)-$C$5:$C$14+1)&gt;=$D$5:$D$14)*$D$5:$D$14)))</f>
        <v>0</v>
      </c>
      <c r="P12" s="31" t="n">
        <f aca="false">IF(P8="",0,P11-SUMPRODUCT(($H$5:$H$14="OK")*ISNUMBER($C$5:$C$14)*(((P8-1)-$C$5:$C$14+1)&gt;0)*((((P8-1)-$C$5:$C$14+1)&lt;$D$5:$D$14)*((P8-1)-$C$5:$C$14+1)+(((P8-1)-$C$5:$C$14+1)&gt;=$D$5:$D$14)*$D$5:$D$14)))</f>
        <v>0</v>
      </c>
      <c r="Q12" s="31" t="n">
        <f aca="false">IF(Q8="",0,Q11-SUMPRODUCT(($H$5:$H$14="OK")*ISNUMBER($C$5:$C$14)*(((Q8-1)-$C$5:$C$14+1)&gt;0)*((((Q8-1)-$C$5:$C$14+1)&lt;$D$5:$D$14)*((Q8-1)-$C$5:$C$14+1)+(((Q8-1)-$C$5:$C$14+1)&gt;=$D$5:$D$14)*$D$5:$D$14)))</f>
        <v>0</v>
      </c>
      <c r="R12" s="31" t="n">
        <f aca="false">IF(R8="",0,R11-SUMPRODUCT(($H$5:$H$14="OK")*ISNUMBER($C$5:$C$14)*(((R8-1)-$C$5:$C$14+1)&gt;0)*((((R8-1)-$C$5:$C$14+1)&lt;$D$5:$D$14)*((R8-1)-$C$5:$C$14+1)+(((R8-1)-$C$5:$C$14+1)&gt;=$D$5:$D$14)*$D$5:$D$14)))</f>
        <v>0</v>
      </c>
      <c r="S12" s="31" t="n">
        <f aca="false">IF(S8="",0,S11-SUMPRODUCT(($H$5:$H$14="OK")*ISNUMBER($C$5:$C$14)*(((S8-1)-$C$5:$C$14+1)&gt;0)*((((S8-1)-$C$5:$C$14+1)&lt;$D$5:$D$14)*((S8-1)-$C$5:$C$14+1)+(((S8-1)-$C$5:$C$14+1)&gt;=$D$5:$D$14)*$D$5:$D$14)))</f>
        <v>0</v>
      </c>
      <c r="T12" s="31" t="n">
        <f aca="false">IF(T8="",0,T11-SUMPRODUCT(($H$5:$H$14="OK")*ISNUMBER($C$5:$C$14)*(((T8-1)-$C$5:$C$14+1)&gt;0)*((((T8-1)-$C$5:$C$14+1)&lt;$D$5:$D$14)*((T8-1)-$C$5:$C$14+1)+(((T8-1)-$C$5:$C$14+1)&gt;=$D$5:$D$14)*$D$5:$D$14)))</f>
        <v>0</v>
      </c>
      <c r="U12" s="31" t="n">
        <f aca="false">IF(U8="",0,U11-SUMPRODUCT(($H$5:$H$14="OK")*ISNUMBER($C$5:$C$14)*(((U8-1)-$C$5:$C$14+1)&gt;0)*((((U8-1)-$C$5:$C$14+1)&lt;$D$5:$D$14)*((U8-1)-$C$5:$C$14+1)+(((U8-1)-$C$5:$C$14+1)&gt;=$D$5:$D$14)*$D$5:$D$14)))</f>
        <v>0</v>
      </c>
      <c r="V12" s="31" t="n">
        <f aca="false">IF(V8="",0,V11-SUMPRODUCT(($H$5:$H$14="OK")*ISNUMBER($C$5:$C$14)*(((V8-1)-$C$5:$C$14+1)&gt;0)*((((V8-1)-$C$5:$C$14+1)&lt;$D$5:$D$14)*((V8-1)-$C$5:$C$14+1)+(((V8-1)-$C$5:$C$14+1)&gt;=$D$5:$D$14)*$D$5:$D$14)))</f>
        <v>0</v>
      </c>
      <c r="W12" s="31" t="n">
        <f aca="false">IF(W8="",0,W11-SUMPRODUCT(($H$5:$H$14="OK")*ISNUMBER($C$5:$C$14)*(((W8-1)-$C$5:$C$14+1)&gt;0)*((((W8-1)-$C$5:$C$14+1)&lt;$D$5:$D$14)*((W8-1)-$C$5:$C$14+1)+(((W8-1)-$C$5:$C$14+1)&gt;=$D$5:$D$14)*$D$5:$D$14)))</f>
        <v>0</v>
      </c>
      <c r="X12" s="31" t="n">
        <f aca="false">IF(X8="",0,X11-SUMPRODUCT(($H$5:$H$14="OK")*ISNUMBER($C$5:$C$14)*(((X8-1)-$C$5:$C$14+1)&gt;0)*((((X8-1)-$C$5:$C$14+1)&lt;$D$5:$D$14)*((X8-1)-$C$5:$C$14+1)+(((X8-1)-$C$5:$C$14+1)&gt;=$D$5:$D$14)*$D$5:$D$14)))</f>
        <v>0</v>
      </c>
      <c r="Y12" s="31" t="n">
        <f aca="false">IF(Y8="",0,Y11-SUMPRODUCT(($H$5:$H$14="OK")*ISNUMBER($C$5:$C$14)*(((Y8-1)-$C$5:$C$14+1)&gt;0)*((((Y8-1)-$C$5:$C$14+1)&lt;$D$5:$D$14)*((Y8-1)-$C$5:$C$14+1)+(((Y8-1)-$C$5:$C$14+1)&gt;=$D$5:$D$14)*$D$5:$D$14)))</f>
        <v>0</v>
      </c>
      <c r="Z12" s="31" t="n">
        <f aca="false">IF(Z8="",0,Z11-SUMPRODUCT(($H$5:$H$14="OK")*ISNUMBER($C$5:$C$14)*(((Z8-1)-$C$5:$C$14+1)&gt;0)*((((Z8-1)-$C$5:$C$14+1)&lt;$D$5:$D$14)*((Z8-1)-$C$5:$C$14+1)+(((Z8-1)-$C$5:$C$14+1)&gt;=$D$5:$D$14)*$D$5:$D$14)))</f>
        <v>0</v>
      </c>
    </row>
    <row r="13" customFormat="false" ht="15" hidden="false" customHeight="false" outlineLevel="0" collapsed="false">
      <c r="B13" s="42" t="n">
        <v>9</v>
      </c>
      <c r="C13" s="43"/>
      <c r="D13" s="44"/>
      <c r="E13" s="45"/>
      <c r="F13" s="45"/>
      <c r="G13" s="46" t="str">
        <f aca="false">IF(E13="","",IF(E13="Interno","Sí","No"))</f>
        <v/>
      </c>
      <c r="H13" s="46" t="str">
        <f aca="false">IF(AND(C13="",D13="",E13=""),"",IF(C13="","Falta la fecha «Desde»",IF(D13="","Faltan los días",IF(E13="","Falta el motivo",IF(D13&lt;=0,"Los días deben ser mayores a 0",IF($E$16="","OK",IF(C13&lt;$E$16,"Antes del inicio de la obra",IF($E$17="","OK",IF(C13&gt;$E$17+SUM($D$5:$D$14),"Después del fin vigente","OK")))))))))</f>
        <v/>
      </c>
      <c r="J13" s="31" t="s">
        <v>255</v>
      </c>
      <c r="K13" s="20" t="n">
        <f aca="false">IF(K9="","",K9-K10)</f>
        <v>46292</v>
      </c>
      <c r="L13" s="20" t="n">
        <f aca="false">IF(L9="","",L9-L10)</f>
        <v>46299</v>
      </c>
      <c r="M13" s="20" t="n">
        <f aca="false">IF(M9="","",M9-M10)</f>
        <v>46306</v>
      </c>
      <c r="N13" s="20" t="n">
        <f aca="false">IF(N9="","",N9-N10)</f>
        <v>46313</v>
      </c>
      <c r="O13" s="20" t="n">
        <f aca="false">IF(O9="","",O9-O10)</f>
        <v>46320</v>
      </c>
      <c r="P13" s="20" t="n">
        <f aca="false">IF(P9="","",P9-P10)</f>
        <v>46327</v>
      </c>
      <c r="Q13" s="20" t="n">
        <f aca="false">IF(Q9="","",Q9-Q10)</f>
        <v>46334</v>
      </c>
      <c r="R13" s="20" t="n">
        <f aca="false">IF(R9="","",R9-R10)</f>
        <v>46341</v>
      </c>
      <c r="S13" s="20" t="n">
        <f aca="false">IF(S9="","",S9-S10)</f>
        <v>46348</v>
      </c>
      <c r="T13" s="20" t="n">
        <f aca="false">IF(T9="","",T9-T10)</f>
        <v>46355</v>
      </c>
      <c r="U13" s="20" t="n">
        <f aca="false">IF(U9="","",U9-U10)</f>
        <v>46362</v>
      </c>
      <c r="V13" s="20" t="n">
        <f aca="false">IF(V9="","",V9-V10)</f>
        <v>46369</v>
      </c>
      <c r="W13" s="20" t="n">
        <f aca="false">IF(W9="","",W9-W10)</f>
        <v>46376</v>
      </c>
      <c r="X13" s="20" t="n">
        <f aca="false">IF(X9="","",X9-X10)</f>
        <v>46383</v>
      </c>
      <c r="Y13" s="20" t="n">
        <f aca="false">IF(Y9="","",Y9-Y10)</f>
        <v>46390</v>
      </c>
      <c r="Z13" s="20" t="n">
        <f aca="false">IF(Z9="","",Z9-Z10)</f>
        <v>46397</v>
      </c>
    </row>
    <row r="14" customFormat="false" ht="15" hidden="false" customHeight="false" outlineLevel="0" collapsed="false">
      <c r="B14" s="42" t="n">
        <v>10</v>
      </c>
      <c r="C14" s="43"/>
      <c r="D14" s="44"/>
      <c r="E14" s="45"/>
      <c r="F14" s="45"/>
      <c r="G14" s="46" t="str">
        <f aca="false">IF(E14="","",IF(E14="Interno","Sí","No"))</f>
        <v/>
      </c>
      <c r="H14" s="46" t="str">
        <f aca="false">IF(AND(C14="",D14="",E14=""),"",IF(C14="","Falta la fecha «Desde»",IF(D14="","Faltan los días",IF(E14="","Falta el motivo",IF(D14&lt;=0,"Los días deben ser mayores a 0",IF($E$16="","OK",IF(C14&lt;$E$16,"Antes del inicio de la obra",IF($E$17="","OK",IF(C14&gt;$E$17+SUM($D$5:$D$14),"Después del fin vigente","OK")))))))))</f>
        <v/>
      </c>
      <c r="J14" s="31" t="s">
        <v>256</v>
      </c>
      <c r="K14" s="31" t="n">
        <f aca="false">IF(K13="","",INT((K13-$T$15)/7)+1)</f>
        <v>1</v>
      </c>
      <c r="L14" s="31" t="n">
        <f aca="false">IF(L13="","",INT((L13-$T$15)/7)+1)</f>
        <v>2</v>
      </c>
      <c r="M14" s="31" t="n">
        <f aca="false">IF(M13="","",INT((M13-$T$15)/7)+1)</f>
        <v>3</v>
      </c>
      <c r="N14" s="31" t="n">
        <f aca="false">IF(N13="","",INT((N13-$T$15)/7)+1)</f>
        <v>4</v>
      </c>
      <c r="O14" s="31" t="n">
        <f aca="false">IF(O13="","",INT((O13-$T$15)/7)+1)</f>
        <v>5</v>
      </c>
      <c r="P14" s="31" t="n">
        <f aca="false">IF(P13="","",INT((P13-$T$15)/7)+1)</f>
        <v>6</v>
      </c>
      <c r="Q14" s="31" t="n">
        <f aca="false">IF(Q13="","",INT((Q13-$T$15)/7)+1)</f>
        <v>7</v>
      </c>
      <c r="R14" s="31" t="n">
        <f aca="false">IF(R13="","",INT((R13-$T$15)/7)+1)</f>
        <v>8</v>
      </c>
      <c r="S14" s="31" t="n">
        <f aca="false">IF(S13="","",INT((S13-$T$15)/7)+1)</f>
        <v>9</v>
      </c>
      <c r="T14" s="31" t="n">
        <f aca="false">IF(T13="","",INT((T13-$T$15)/7)+1)</f>
        <v>10</v>
      </c>
      <c r="U14" s="31" t="n">
        <f aca="false">IF(U13="","",INT((U13-$T$15)/7)+1)</f>
        <v>11</v>
      </c>
      <c r="V14" s="31" t="n">
        <f aca="false">IF(V13="","",INT((V13-$T$15)/7)+1)</f>
        <v>12</v>
      </c>
      <c r="W14" s="31" t="n">
        <f aca="false">IF(W13="","",INT((W13-$T$15)/7)+1)</f>
        <v>13</v>
      </c>
      <c r="X14" s="31" t="n">
        <f aca="false">IF(X13="","",INT((X13-$T$15)/7)+1)</f>
        <v>14</v>
      </c>
      <c r="Y14" s="31" t="n">
        <f aca="false">IF(Y13="","",INT((Y13-$T$15)/7)+1)</f>
        <v>15</v>
      </c>
      <c r="Z14" s="31" t="n">
        <f aca="false">IF(Z13="","",INT((Z13-$T$15)/7)+1)</f>
        <v>16</v>
      </c>
    </row>
    <row r="15" customFormat="false" ht="15" hidden="false" customHeight="false" outlineLevel="0" collapsed="false">
      <c r="J15" s="31" t="s">
        <v>257</v>
      </c>
      <c r="K15" s="31" t="n">
        <f aca="false">IF(OR(Partidas!$J$2="",$T$15=""),0,MAX(0,INT((L15+1-$T$15)/7)+1))</f>
        <v>5</v>
      </c>
      <c r="L15" s="20" t="n">
        <f aca="true">TODAY()-WEEKDAY(TODAY(),3)-1</f>
        <v>46313</v>
      </c>
      <c r="M15" s="20" t="n">
        <f aca="false">L15+7</f>
        <v>46320</v>
      </c>
      <c r="N15" s="31" t="n">
        <f aca="false">IF(Partidas!$J$2="",0,SUMPRODUCT(($H$5:$H$14="OK")*($E$5:$E$14&lt;&gt;"Interno")*ISNUMBER($C$5:$C$14)*((L15-$C$5:$C$14+1)&gt;0)*(((L15-$C$5:$C$14+1)&lt;$D$5:$D$14)*(L15-$C$5:$C$14+1)+((L15-$C$5:$C$14+1)&gt;=$D$5:$D$14)*$D$5:$D$14)))</f>
        <v>0</v>
      </c>
      <c r="O15" s="31" t="n">
        <f aca="false">IF(Partidas!$J$2="",0,SUMPRODUCT(($H$5:$H$14="OK")*($E$5:$E$14&lt;&gt;"Interno")*ISNUMBER($C$5:$C$14)*((M15-$C$5:$C$14+1)&gt;0)*(((M15-$C$5:$C$14+1)&lt;$D$5:$D$14)*(M15-$C$5:$C$14+1)+((M15-$C$5:$C$14+1)&gt;=$D$5:$D$14)*$D$5:$D$14)))</f>
        <v>0</v>
      </c>
      <c r="P15" s="20" t="n">
        <f aca="false">L15-N15</f>
        <v>46313</v>
      </c>
      <c r="Q15" s="20" t="n">
        <f aca="false">M15-O15</f>
        <v>46320</v>
      </c>
      <c r="R15" s="31" t="n">
        <f aca="false">IF($T$15="",0,INT((P15-$T$15)/7)+1)</f>
        <v>4</v>
      </c>
      <c r="S15" s="31" t="n">
        <f aca="false">IF($T$15="",0,INT((Q15-$T$15)/7)+1)</f>
        <v>5</v>
      </c>
      <c r="T15" s="20" t="n">
        <f aca="false">IF(Partidas!$J$2="","",Partidas!$J$2-WEEKDAY(Partidas!$J$2,3))</f>
        <v>46286</v>
      </c>
      <c r="U15" s="31" t="n">
        <f aca="false">IF(OR($T$15="",$E$21=""),0,INT(($E$21-$T$15)/7)+1)</f>
        <v>6</v>
      </c>
      <c r="V15" s="31" t="n">
        <f aca="false">IF(SUM(Partidas!$BC$6:$BC$305)=0,IF(Ficha!$C$13="","",N(Ficha!$C$13)),SUMPRODUCT(Partidas!$BC$6:$BC$305,Partidas!$AI$6:$AI$305)/SUM(Partidas!$BC$6:$BC$305))</f>
        <v>79.4117647058824</v>
      </c>
      <c r="W15" s="31" t="n">
        <f aca="false">IF(SUM(Partidas!$BC$6:$BC$305)=0,IF(OR(Ficha!$C$11="",Ficha!$C$12=""),"",IF(M15&lt;Ficha!$C$11,0,IF(NETWORKDAYS.INTL(Ficha!$C$11,Ficha!$C$12,11)=0,IF(M15&gt;=Ficha!$C$12,100,0),MIN(100,MAX(0,NETWORKDAYS.INTL(Ficha!$C$11,MIN(Ficha!$C$12,M15),11))/NETWORKDAYS.INTL(Ficha!$C$11,Ficha!$C$12,11)*100)))),SUMPRODUCT(Partidas!$BC$6:$BC$305,Partidas!$DA$6:$DA$305)/SUM(Partidas!$BC$6:$BC$305))</f>
        <v>98.5294117647059</v>
      </c>
      <c r="X15" s="31" t="n">
        <f aca="false">IF(SUM(Partidas!$BC$6:$BC$305)=0,IF(OR(Ficha!$C$11="",Ficha!$C$12=""),"",IF(L15&lt;Ficha!$C$11,0,IF(NETWORKDAYS.INTL(Ficha!$C$11,Ficha!$C$12,11)=0,IF(L15&gt;=Ficha!$C$12,100,0),MIN(100,MAX(0,NETWORKDAYS.INTL(Ficha!$C$11,MIN(Ficha!$C$12,L15),11))/NETWORKDAYS.INTL(Ficha!$C$11,Ficha!$C$12,11)*100)))),SUMPRODUCT(Partidas!$BC$6:$BC$305,Partidas!$AH$6:$AH$305)/SUM(Partidas!$BC$6:$BC$305))</f>
        <v>79.4117647058824</v>
      </c>
      <c r="Y15" s="47" t="b">
        <f aca="false">AND(V15&lt;&gt;"",N(V15)&lt;100,COUNTIF(Partidas!$AK$6:$AK$305,"Retrasada")&gt;0)</f>
        <v>0</v>
      </c>
    </row>
    <row r="16" customFormat="false" ht="15" hidden="false" customHeight="false" outlineLevel="0" collapsed="false">
      <c r="B16" s="48" t="s">
        <v>258</v>
      </c>
      <c r="C16" s="48"/>
      <c r="D16" s="48"/>
      <c r="E16" s="16" t="n">
        <f aca="false">Partidas!$J$2</f>
        <v>46288</v>
      </c>
      <c r="J16" s="31" t="s">
        <v>259</v>
      </c>
      <c r="K16" s="31" t="n">
        <f aca="false">MAX(K15,IF(COUNT(Partidas!$Q$6:$Q$305)&gt;0,1,0),IF(COUNT(Partidas!$R$6:$R$305)&gt;0,2,0),IF(COUNT(Partidas!$S$6:$S$305)&gt;0,3,0),IF(COUNT(Partidas!$T$6:$T$305)&gt;0,4,0),IF(COUNT(Partidas!$U$6:$U$305)&gt;0,5,0),IF(COUNT(Partidas!$V$6:$V$305)&gt;0,6,0),IF(COUNT(Partidas!$W$6:$W$305)&gt;0,7,0),IF(COUNT(Partidas!$X$6:$X$305)&gt;0,8,0),IF(COUNT(Partidas!$Y$6:$Y$305)&gt;0,9,0),IF(COUNT(Partidas!$Z$6:$Z$305)&gt;0,10,0),IF(COUNT(Partidas!$AA$6:$AA$305)&gt;0,11,0),IF(COUNT(Partidas!$AB$6:$AB$305)&gt;0,12,0),IF(COUNT(Partidas!$AC$6:$AC$305)&gt;0,13,0),IF(COUNT(Partidas!$AD$6:$AD$305)&gt;0,14,0),IF(COUNT(Partidas!$AE$6:$AE$305)&gt;0,15,0),IF(COUNT(Partidas!$AF$6:$AF$305)&gt;0,16,0))</f>
        <v>5</v>
      </c>
    </row>
    <row r="17" customFormat="false" ht="15" hidden="false" customHeight="false" outlineLevel="0" collapsed="false">
      <c r="B17" s="48" t="s">
        <v>260</v>
      </c>
      <c r="C17" s="48"/>
      <c r="D17" s="48"/>
      <c r="E17" s="16" t="n">
        <f aca="false">IF(Ficha!C12&lt;&gt;"",Ficha!C12,IF(COUNT(Partidas!F6:F305)=0,"",MAX(Partidas!F6:F305)))</f>
        <v>46321</v>
      </c>
    </row>
    <row r="18" customFormat="false" ht="15" hidden="false" customHeight="false" outlineLevel="0" collapsed="false">
      <c r="B18" s="48" t="s">
        <v>261</v>
      </c>
      <c r="C18" s="48"/>
      <c r="D18" s="48"/>
      <c r="E18" s="49" t="n">
        <f aca="false">SUMIFS(D5:D14,$H$5:$H$14,"OK")</f>
        <v>0</v>
      </c>
    </row>
    <row r="19" customFormat="false" ht="15" hidden="false" customHeight="false" outlineLevel="0" collapsed="false">
      <c r="B19" s="48" t="s">
        <v>262</v>
      </c>
      <c r="C19" s="48"/>
      <c r="D19" s="48"/>
      <c r="E19" s="49" t="n">
        <f aca="false">SUMIFS(D5:D14,$H$5:$H$14,"OK",E5:E14,"&lt;&gt;Interno")</f>
        <v>0</v>
      </c>
    </row>
    <row r="20" customFormat="false" ht="15" hidden="false" customHeight="false" outlineLevel="0" collapsed="false">
      <c r="B20" s="48" t="s">
        <v>263</v>
      </c>
      <c r="C20" s="48"/>
      <c r="D20" s="48"/>
      <c r="E20" s="49" t="n">
        <f aca="false">SUMIFS(D5:D14,$H$5:$H$14,"OK",E5:E14,"Interno")</f>
        <v>0</v>
      </c>
    </row>
    <row r="21" customFormat="false" ht="15" hidden="false" customHeight="false" outlineLevel="0" collapsed="false">
      <c r="B21" s="50" t="s">
        <v>264</v>
      </c>
      <c r="C21" s="50"/>
      <c r="D21" s="50"/>
      <c r="E21" s="16" t="n">
        <f aca="false">IF(E17="","",E17+E18)</f>
        <v>46321</v>
      </c>
    </row>
    <row r="22" customFormat="false" ht="15" hidden="false" customHeight="false" outlineLevel="0" collapsed="false">
      <c r="B22" s="50" t="s">
        <v>265</v>
      </c>
      <c r="C22" s="50"/>
      <c r="D22" s="50"/>
      <c r="E22" s="51" t="str">
        <f aca="false">IF(E18=0,"Sin reprogramación","+"&amp;E18&amp;" días · fin vigente "&amp;TEXT(E21,"dd/mm/yyyy")&amp;IF(E20&gt;0," · "&amp;E20&amp;" días internos cuentan como atraso",""))</f>
        <v>Sin reprogramación</v>
      </c>
      <c r="F22" s="51"/>
      <c r="G22" s="51"/>
      <c r="H22" s="51"/>
    </row>
    <row r="23" customFormat="false" ht="15" hidden="false" customHeight="false" outlineLevel="0" collapsed="false">
      <c r="B23" s="50" t="s">
        <v>101</v>
      </c>
      <c r="C23" s="50"/>
      <c r="D23" s="50"/>
      <c r="E23" s="51" t="str">
        <f aca="false">IF(COUNTIFS(H5:H14,"&lt;&gt;OK",H5:H14,"?*")&gt;0,"Revisar las filas marcadas",IF(U15&gt;16,"La obra supera 16 semanas","OK"))</f>
        <v>OK</v>
      </c>
      <c r="F23" s="51"/>
      <c r="G23" s="51"/>
      <c r="H23" s="51"/>
    </row>
  </sheetData>
  <sheetProtection sheet="true" password="c4ae" formatColumns="false" formatRows="false"/>
  <mergeCells count="11">
    <mergeCell ref="B2:H3"/>
    <mergeCell ref="B16:D16"/>
    <mergeCell ref="B17:D17"/>
    <mergeCell ref="B18:D18"/>
    <mergeCell ref="B19:D19"/>
    <mergeCell ref="B20:D20"/>
    <mergeCell ref="B21:D21"/>
    <mergeCell ref="B22:D22"/>
    <mergeCell ref="E22:H22"/>
    <mergeCell ref="B23:D23"/>
    <mergeCell ref="E23:H23"/>
  </mergeCells>
  <conditionalFormatting sqref="H5:H14">
    <cfRule type="expression" priority="2" aboveAverage="0" equalAverage="0" bottom="0" percent="0" rank="0" text="" dxfId="0">
      <formula>AND(H5&lt;&gt;"",H5&lt;&gt;"OK")</formula>
    </cfRule>
  </conditionalFormatting>
  <conditionalFormatting sqref="E23">
    <cfRule type="expression" priority="3" aboveAverage="0" equalAverage="0" bottom="0" percent="0" rank="0" text="" dxfId="0">
      <formula>E23&lt;&gt;"OK"</formula>
    </cfRule>
  </conditionalFormatting>
  <conditionalFormatting sqref="G5:G14">
    <cfRule type="cellIs" priority="4" operator="equal" aboveAverage="0" equalAverage="0" bottom="0" percent="0" rank="0" text="" dxfId="17">
      <formula>"Sí"</formula>
    </cfRule>
  </conditionalFormatting>
  <dataValidations count="3">
    <dataValidation allowBlank="true" error="Elige un motivo de la lista" errorStyle="stop" operator="between" prompt="Interno = causa nuestra (cuenta como atraso). Las demás son externas (no cuentan como atraso)" promptTitle="Motivo" showDropDown="false" showErrorMessage="true" showInputMessage="true" sqref="E5:E14" type="list">
      <formula1>"Cliente,Permiso / licencia,Proveedor del cliente,Fuerza mayor,Interno"</formula1>
      <formula2>0</formula2>
    </dataValidation>
    <dataValidation allowBlank="true" error="Escribe una fecha dd/mm/aaaa" errorStyle="stop" operator="greaterThan" prompt="Día en que se detiene o se corre el trabajo" promptTitle="Desde" showDropDown="false" showErrorMessage="true" showInputMessage="true" sqref="C5:C14" type="date">
      <formula1>36526</formula1>
      <formula2>0</formula2>
    </dataValidation>
    <dataValidation allowBlank="true" error="Días calendario, de 1 a 60" errorStyle="stop" operator="between" prompt="Días calendario que se amplía la obra" promptTitle="Días" showDropDown="false" showErrorMessage="true" showInputMessage="true" sqref="D5:D14" type="whole">
      <formula1>1</formula1>
      <formula2>60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3" min="3" style="1" width="14"/>
    <col collapsed="false" customWidth="true" hidden="false" outlineLevel="0" max="5" min="4" style="1" width="11"/>
    <col collapsed="false" customWidth="true" hidden="false" outlineLevel="0" max="8" min="6" style="1" width="12"/>
    <col collapsed="false" customWidth="true" hidden="false" outlineLevel="0" max="9" min="9" style="1" width="14"/>
    <col collapsed="false" customWidth="true" hidden="false" outlineLevel="0" max="10" min="10" style="1" width="12"/>
  </cols>
  <sheetData>
    <row r="1" customFormat="false" ht="17.35" hidden="false" customHeight="false" outlineLevel="0" collapsed="false">
      <c r="B1" s="2" t="s">
        <v>266</v>
      </c>
    </row>
    <row r="2" customFormat="false" ht="15" hidden="false" customHeight="false" outlineLevel="0" collapsed="false">
      <c r="B2" s="21" t="str">
        <f aca="false">Partidas!A2</f>
        <v>OP-26-020  Tambo Samame Surco</v>
      </c>
    </row>
    <row r="3" customFormat="false" ht="15" hidden="false" customHeight="false" outlineLevel="0" collapsed="false">
      <c r="B3" s="3" t="str">
        <f aca="false">IF(Reprogramaciones!$E$18=0,"Avance ponderado por la duración de cada subpartida. El real se muestra en semanas cerradas o ya reportadas.","Reprogramación: "&amp;Reprogramaciones!$E$22&amp;". Las semanas en pausa no suman trabajo; el pactado solo se corre por causas externas.")</f>
        <v>Avance ponderado por la duración de cada subpartida. El real se muestra en semanas cerradas o ya reportadas.</v>
      </c>
    </row>
    <row r="5" customFormat="false" ht="30" hidden="false" customHeight="true" outlineLevel="0" collapsed="false">
      <c r="B5" s="29" t="s">
        <v>267</v>
      </c>
      <c r="C5" s="29" t="s">
        <v>268</v>
      </c>
      <c r="D5" s="29" t="s">
        <v>269</v>
      </c>
      <c r="E5" s="29" t="s">
        <v>270</v>
      </c>
      <c r="F5" s="29" t="s">
        <v>271</v>
      </c>
      <c r="G5" s="29" t="s">
        <v>272</v>
      </c>
      <c r="H5" s="29" t="s">
        <v>99</v>
      </c>
      <c r="I5" s="29" t="s">
        <v>100</v>
      </c>
      <c r="J5" s="29" t="s">
        <v>273</v>
      </c>
    </row>
    <row r="6" customFormat="false" ht="15" hidden="false" customHeight="false" outlineLevel="0" collapsed="false">
      <c r="B6" s="52" t="str">
        <f aca="false">IF(OR(Partidas!$J$2="",1&gt;MAX(1,Reprogramaciones!$U$15)),"","Sem 1")</f>
        <v>Sem 1</v>
      </c>
      <c r="C6" s="52" t="str">
        <f aca="false">IF(B6="","",TEXT(Reprogramaciones!K$8,"dd/mm")&amp;" – "&amp;TEXT(Reprogramaciones!K$9,"dd/mm"))</f>
        <v>21/09 – 27/09</v>
      </c>
      <c r="D6" s="53" t="n">
        <f aca="false">IF(F6="","",F6-0)</f>
        <v>7.4</v>
      </c>
      <c r="E6" s="53" t="n">
        <f aca="false">IF(G6="","",G6-0)</f>
        <v>7.4</v>
      </c>
      <c r="F6" s="53" t="n">
        <f aca="false">IF(OR(B6="",SUM(Partidas!$BC$6:$BC$305)=0),"",ROUND(SUMPRODUCT(Partidas!$BC$6:$BC$305,Partidas!BT6:BT305)/SUM(Partidas!$BC$6:$BC$305),1))</f>
        <v>7.4</v>
      </c>
      <c r="G6" s="53" t="n">
        <f aca="false">IF(OR(F6="",1&gt;Reprogramaciones!$K$15),"",ROUND(SUMPRODUCT(Partidas!$BC$6:$BC$305,Partidas!CJ6:CJ305)/SUM(Partidas!$BC$6:$BC$305),1))</f>
        <v>7.4</v>
      </c>
      <c r="H6" s="53" t="n">
        <f aca="false">IF(G6="","",G6-F6)</f>
        <v>0</v>
      </c>
      <c r="I6" s="54" t="str">
        <f aca="false">IF(F6="","",IF(Reprogramaciones!K$12&gt;=7,"Reprogramada",IF(1=Reprogramaciones!$K$15,"En curso",IF(1&gt;Reprogramaciones!$K$15,"Por venir",IF(G6+0.5&lt;F6,"Retrasada","A tiempo")))))</f>
        <v>A tiempo</v>
      </c>
      <c r="J6" s="53" t="n">
        <f aca="false">IF(OR(B6="",SUM(Partidas!$BC$6:$BC$305)=0),"",ROUND(SUMPRODUCT(Partidas!$BC$6:$BC$305,Partidas!BD6:BD305)/SUM(Partidas!$BC$6:$BC$305),1))</f>
        <v>7.4</v>
      </c>
    </row>
    <row r="7" customFormat="false" ht="15" hidden="false" customHeight="false" outlineLevel="0" collapsed="false">
      <c r="B7" s="52" t="str">
        <f aca="false">IF(OR(Partidas!$J$2="",2&gt;MAX(1,Reprogramaciones!$U$15)),"","Sem 2")</f>
        <v>Sem 2</v>
      </c>
      <c r="C7" s="52" t="str">
        <f aca="false">IF(B7="","",TEXT(Reprogramaciones!L$8,"dd/mm")&amp;" – "&amp;TEXT(Reprogramaciones!L$9,"dd/mm"))</f>
        <v>28/09 – 04/10</v>
      </c>
      <c r="D7" s="53" t="n">
        <f aca="false">IF(F7="","",F7-N(F6))</f>
        <v>14.7</v>
      </c>
      <c r="E7" s="53" t="n">
        <f aca="false">IF(G7="","",G7-N(G6))</f>
        <v>14.7</v>
      </c>
      <c r="F7" s="53" t="n">
        <f aca="false">IF(OR(B7="",SUM(Partidas!$BC$6:$BC$305)=0),"",ROUND(SUMPRODUCT(Partidas!$BC$6:$BC$305,Partidas!BU6:BU305)/SUM(Partidas!$BC$6:$BC$305),1))</f>
        <v>22.1</v>
      </c>
      <c r="G7" s="53" t="n">
        <f aca="false">IF(OR(F7="",2&gt;Reprogramaciones!$K$15),"",ROUND(SUMPRODUCT(Partidas!$BC$6:$BC$305,Partidas!CK6:CK305)/SUM(Partidas!$BC$6:$BC$305),1))</f>
        <v>22.1</v>
      </c>
      <c r="H7" s="53" t="n">
        <f aca="false">IF(G7="","",G7-F7)</f>
        <v>0</v>
      </c>
      <c r="I7" s="54" t="str">
        <f aca="false">IF(F7="","",IF(Reprogramaciones!L$12&gt;=7,"Reprogramada",IF(2=Reprogramaciones!$K$15,"En curso",IF(2&gt;Reprogramaciones!$K$15,"Por venir",IF(G7+0.5&lt;F7,"Retrasada","A tiempo")))))</f>
        <v>A tiempo</v>
      </c>
      <c r="J7" s="53" t="n">
        <f aca="false">IF(OR(B7="",SUM(Partidas!$BC$6:$BC$305)=0),"",ROUND(SUMPRODUCT(Partidas!$BC$6:$BC$305,Partidas!BE6:BE305)/SUM(Partidas!$BC$6:$BC$305),1))</f>
        <v>22.1</v>
      </c>
    </row>
    <row r="8" customFormat="false" ht="15" hidden="false" customHeight="false" outlineLevel="0" collapsed="false">
      <c r="B8" s="52" t="str">
        <f aca="false">IF(OR(Partidas!$J$2="",3&gt;MAX(1,Reprogramaciones!$U$15)),"","Sem 3")</f>
        <v>Sem 3</v>
      </c>
      <c r="C8" s="52" t="str">
        <f aca="false">IF(B8="","",TEXT(Reprogramaciones!M$8,"dd/mm")&amp;" – "&amp;TEXT(Reprogramaciones!M$9,"dd/mm"))</f>
        <v>05/10 – 11/10</v>
      </c>
      <c r="D8" s="53" t="n">
        <f aca="false">IF(F8="","",F8-N(F7))</f>
        <v>29.4</v>
      </c>
      <c r="E8" s="53" t="n">
        <f aca="false">IF(G8="","",G8-N(G7))</f>
        <v>29.4</v>
      </c>
      <c r="F8" s="53" t="n">
        <f aca="false">IF(OR(B8="",SUM(Partidas!$BC$6:$BC$305)=0),"",ROUND(SUMPRODUCT(Partidas!$BC$6:$BC$305,Partidas!BV6:BV305)/SUM(Partidas!$BC$6:$BC$305),1))</f>
        <v>51.5</v>
      </c>
      <c r="G8" s="53" t="n">
        <f aca="false">IF(OR(F8="",3&gt;Reprogramaciones!$K$15),"",ROUND(SUMPRODUCT(Partidas!$BC$6:$BC$305,Partidas!CL6:CL305)/SUM(Partidas!$BC$6:$BC$305),1))</f>
        <v>51.5</v>
      </c>
      <c r="H8" s="53" t="n">
        <f aca="false">IF(G8="","",G8-F8)</f>
        <v>0</v>
      </c>
      <c r="I8" s="54" t="str">
        <f aca="false">IF(F8="","",IF(Reprogramaciones!M$12&gt;=7,"Reprogramada",IF(3=Reprogramaciones!$K$15,"En curso",IF(3&gt;Reprogramaciones!$K$15,"Por venir",IF(G8+0.5&lt;F8,"Retrasada","A tiempo")))))</f>
        <v>A tiempo</v>
      </c>
      <c r="J8" s="53" t="n">
        <f aca="false">IF(OR(B8="",SUM(Partidas!$BC$6:$BC$305)=0),"",ROUND(SUMPRODUCT(Partidas!$BC$6:$BC$305,Partidas!BF6:BF305)/SUM(Partidas!$BC$6:$BC$305),1))</f>
        <v>51.5</v>
      </c>
    </row>
    <row r="9" customFormat="false" ht="15" hidden="false" customHeight="false" outlineLevel="0" collapsed="false">
      <c r="B9" s="52" t="str">
        <f aca="false">IF(OR(Partidas!$J$2="",4&gt;MAX(1,Reprogramaciones!$U$15)),"","Sem 4")</f>
        <v>Sem 4</v>
      </c>
      <c r="C9" s="52" t="str">
        <f aca="false">IF(B9="","",TEXT(Reprogramaciones!N$8,"dd/mm")&amp;" – "&amp;TEXT(Reprogramaciones!N$9,"dd/mm"))</f>
        <v>12/10 – 18/10</v>
      </c>
      <c r="D9" s="53" t="n">
        <f aca="false">IF(F9="","",F9-N(F8))</f>
        <v>27.9</v>
      </c>
      <c r="E9" s="53" t="n">
        <f aca="false">IF(G9="","",G9-N(G8))</f>
        <v>27.9</v>
      </c>
      <c r="F9" s="53" t="n">
        <f aca="false">IF(OR(B9="",SUM(Partidas!$BC$6:$BC$305)=0),"",ROUND(SUMPRODUCT(Partidas!$BC$6:$BC$305,Partidas!BW6:BW305)/SUM(Partidas!$BC$6:$BC$305),1))</f>
        <v>79.4</v>
      </c>
      <c r="G9" s="53" t="n">
        <f aca="false">IF(OR(F9="",4&gt;Reprogramaciones!$K$15),"",ROUND(SUMPRODUCT(Partidas!$BC$6:$BC$305,Partidas!CM6:CM305)/SUM(Partidas!$BC$6:$BC$305),1))</f>
        <v>79.4</v>
      </c>
      <c r="H9" s="53" t="n">
        <f aca="false">IF(G9="","",G9-F9)</f>
        <v>0</v>
      </c>
      <c r="I9" s="54" t="str">
        <f aca="false">IF(F9="","",IF(Reprogramaciones!N$12&gt;=7,"Reprogramada",IF(4=Reprogramaciones!$K$15,"En curso",IF(4&gt;Reprogramaciones!$K$15,"Por venir",IF(G9+0.5&lt;F9,"Retrasada","A tiempo")))))</f>
        <v>A tiempo</v>
      </c>
      <c r="J9" s="53" t="n">
        <f aca="false">IF(OR(B9="",SUM(Partidas!$BC$6:$BC$305)=0),"",ROUND(SUMPRODUCT(Partidas!$BC$6:$BC$305,Partidas!BG6:BG305)/SUM(Partidas!$BC$6:$BC$305),1))</f>
        <v>79.4</v>
      </c>
    </row>
    <row r="10" customFormat="false" ht="15" hidden="false" customHeight="false" outlineLevel="0" collapsed="false">
      <c r="B10" s="52" t="str">
        <f aca="false">IF(OR(Partidas!$J$2="",5&gt;MAX(1,Reprogramaciones!$U$15)),"","Sem 5")</f>
        <v>Sem 5</v>
      </c>
      <c r="C10" s="52" t="str">
        <f aca="false">IF(B10="","",TEXT(Reprogramaciones!O$8,"dd/mm")&amp;" – "&amp;TEXT(Reprogramaciones!O$9,"dd/mm"))</f>
        <v>19/10 – 25/10</v>
      </c>
      <c r="D10" s="53" t="n">
        <f aca="false">IF(F10="","",F10-N(F9))</f>
        <v>19.1</v>
      </c>
      <c r="E10" s="53" t="n">
        <f aca="false">IF(G10="","",G10-N(G9))</f>
        <v>0</v>
      </c>
      <c r="F10" s="53" t="n">
        <f aca="false">IF(OR(B10="",SUM(Partidas!$BC$6:$BC$305)=0),"",ROUND(SUMPRODUCT(Partidas!$BC$6:$BC$305,Partidas!BX6:BX305)/SUM(Partidas!$BC$6:$BC$305),1))</f>
        <v>98.5</v>
      </c>
      <c r="G10" s="53" t="n">
        <f aca="false">IF(OR(F10="",5&gt;Reprogramaciones!$K$15),"",ROUND(SUMPRODUCT(Partidas!$BC$6:$BC$305,Partidas!CN6:CN305)/SUM(Partidas!$BC$6:$BC$305),1))</f>
        <v>79.4</v>
      </c>
      <c r="H10" s="53" t="n">
        <f aca="false">IF(G10="","",G10-F10)</f>
        <v>-19.1</v>
      </c>
      <c r="I10" s="54" t="str">
        <f aca="false">IF(F10="","",IF(Reprogramaciones!O$12&gt;=7,"Reprogramada",IF(5=Reprogramaciones!$K$15,"En curso",IF(5&gt;Reprogramaciones!$K$15,"Por venir",IF(G10+0.5&lt;F10,"Retrasada","A tiempo")))))</f>
        <v>En curso</v>
      </c>
      <c r="J10" s="53" t="n">
        <f aca="false">IF(OR(B10="",SUM(Partidas!$BC$6:$BC$305)=0),"",ROUND(SUMPRODUCT(Partidas!$BC$6:$BC$305,Partidas!BH6:BH305)/SUM(Partidas!$BC$6:$BC$305),1))</f>
        <v>98.5</v>
      </c>
    </row>
    <row r="11" customFormat="false" ht="15" hidden="false" customHeight="false" outlineLevel="0" collapsed="false">
      <c r="B11" s="52" t="str">
        <f aca="false">IF(OR(Partidas!$J$2="",6&gt;MAX(1,Reprogramaciones!$U$15)),"","Sem 6")</f>
        <v>Sem 6</v>
      </c>
      <c r="C11" s="52" t="str">
        <f aca="false">IF(B11="","",TEXT(Reprogramaciones!P$8,"dd/mm")&amp;" – "&amp;TEXT(Reprogramaciones!P$9,"dd/mm"))</f>
        <v>26/10 – 01/11</v>
      </c>
      <c r="D11" s="53" t="n">
        <f aca="false">IF(F11="","",F11-N(F10))</f>
        <v>1.5</v>
      </c>
      <c r="E11" s="53" t="str">
        <f aca="false">IF(G11="","",G11-N(G10))</f>
        <v/>
      </c>
      <c r="F11" s="53" t="n">
        <f aca="false">IF(OR(B11="",SUM(Partidas!$BC$6:$BC$305)=0),"",ROUND(SUMPRODUCT(Partidas!$BC$6:$BC$305,Partidas!BY6:BY305)/SUM(Partidas!$BC$6:$BC$305),1))</f>
        <v>100</v>
      </c>
      <c r="G11" s="53" t="str">
        <f aca="false">IF(OR(F11="",6&gt;Reprogramaciones!$K$15),"",ROUND(SUMPRODUCT(Partidas!$BC$6:$BC$305,Partidas!CO6:CO305)/SUM(Partidas!$BC$6:$BC$305),1))</f>
        <v/>
      </c>
      <c r="H11" s="53" t="str">
        <f aca="false">IF(G11="","",G11-F11)</f>
        <v/>
      </c>
      <c r="I11" s="54" t="str">
        <f aca="false">IF(F11="","",IF(Reprogramaciones!P$12&gt;=7,"Reprogramada",IF(6=Reprogramaciones!$K$15,"En curso",IF(6&gt;Reprogramaciones!$K$15,"Por venir",IF(G11+0.5&lt;F11,"Retrasada","A tiempo")))))</f>
        <v>Por venir</v>
      </c>
      <c r="J11" s="53" t="n">
        <f aca="false">IF(OR(B11="",SUM(Partidas!$BC$6:$BC$305)=0),"",ROUND(SUMPRODUCT(Partidas!$BC$6:$BC$305,Partidas!BI6:BI305)/SUM(Partidas!$BC$6:$BC$305),1))</f>
        <v>100</v>
      </c>
    </row>
    <row r="12" customFormat="false" ht="15" hidden="false" customHeight="false" outlineLevel="0" collapsed="false">
      <c r="B12" s="52" t="str">
        <f aca="false">IF(OR(Partidas!$J$2="",7&gt;MAX(1,Reprogramaciones!$U$15)),"","Sem 7")</f>
        <v/>
      </c>
      <c r="C12" s="52" t="str">
        <f aca="false">IF(B12="","",TEXT(Reprogramaciones!Q$8,"dd/mm")&amp;" – "&amp;TEXT(Reprogramaciones!Q$9,"dd/mm"))</f>
        <v/>
      </c>
      <c r="D12" s="53" t="str">
        <f aca="false">IF(F12="","",F12-N(F11))</f>
        <v/>
      </c>
      <c r="E12" s="53" t="str">
        <f aca="false">IF(G12="","",G12-N(G11))</f>
        <v/>
      </c>
      <c r="F12" s="53" t="str">
        <f aca="false">IF(OR(B12="",SUM(Partidas!$BC$6:$BC$305)=0),"",ROUND(SUMPRODUCT(Partidas!$BC$6:$BC$305,Partidas!BZ6:BZ305)/SUM(Partidas!$BC$6:$BC$305),1))</f>
        <v/>
      </c>
      <c r="G12" s="53" t="str">
        <f aca="false">IF(OR(F12="",7&gt;Reprogramaciones!$K$15),"",ROUND(SUMPRODUCT(Partidas!$BC$6:$BC$305,Partidas!CP6:CP305)/SUM(Partidas!$BC$6:$BC$305),1))</f>
        <v/>
      </c>
      <c r="H12" s="53" t="str">
        <f aca="false">IF(G12="","",G12-F12)</f>
        <v/>
      </c>
      <c r="I12" s="54" t="str">
        <f aca="false">IF(F12="","",IF(Reprogramaciones!Q$12&gt;=7,"Reprogramada",IF(7=Reprogramaciones!$K$15,"En curso",IF(7&gt;Reprogramaciones!$K$15,"Por venir",IF(G12+0.5&lt;F12,"Retrasada","A tiempo")))))</f>
        <v/>
      </c>
      <c r="J12" s="53" t="str">
        <f aca="false">IF(OR(B12="",SUM(Partidas!$BC$6:$BC$305)=0),"",ROUND(SUMPRODUCT(Partidas!$BC$6:$BC$305,Partidas!BJ6:BJ305)/SUM(Partidas!$BC$6:$BC$305),1))</f>
        <v/>
      </c>
    </row>
    <row r="13" customFormat="false" ht="15" hidden="false" customHeight="false" outlineLevel="0" collapsed="false">
      <c r="B13" s="52" t="str">
        <f aca="false">IF(OR(Partidas!$J$2="",8&gt;MAX(1,Reprogramaciones!$U$15)),"","Sem 8")</f>
        <v/>
      </c>
      <c r="C13" s="52" t="str">
        <f aca="false">IF(B13="","",TEXT(Reprogramaciones!R$8,"dd/mm")&amp;" – "&amp;TEXT(Reprogramaciones!R$9,"dd/mm"))</f>
        <v/>
      </c>
      <c r="D13" s="53" t="str">
        <f aca="false">IF(F13="","",F13-N(F12))</f>
        <v/>
      </c>
      <c r="E13" s="53" t="str">
        <f aca="false">IF(G13="","",G13-N(G12))</f>
        <v/>
      </c>
      <c r="F13" s="53" t="str">
        <f aca="false">IF(OR(B13="",SUM(Partidas!$BC$6:$BC$305)=0),"",ROUND(SUMPRODUCT(Partidas!$BC$6:$BC$305,Partidas!CA6:CA305)/SUM(Partidas!$BC$6:$BC$305),1))</f>
        <v/>
      </c>
      <c r="G13" s="53" t="str">
        <f aca="false">IF(OR(F13="",8&gt;Reprogramaciones!$K$15),"",ROUND(SUMPRODUCT(Partidas!$BC$6:$BC$305,Partidas!CQ6:CQ305)/SUM(Partidas!$BC$6:$BC$305),1))</f>
        <v/>
      </c>
      <c r="H13" s="53" t="str">
        <f aca="false">IF(G13="","",G13-F13)</f>
        <v/>
      </c>
      <c r="I13" s="54" t="str">
        <f aca="false">IF(F13="","",IF(Reprogramaciones!R$12&gt;=7,"Reprogramada",IF(8=Reprogramaciones!$K$15,"En curso",IF(8&gt;Reprogramaciones!$K$15,"Por venir",IF(G13+0.5&lt;F13,"Retrasada","A tiempo")))))</f>
        <v/>
      </c>
      <c r="J13" s="53" t="str">
        <f aca="false">IF(OR(B13="",SUM(Partidas!$BC$6:$BC$305)=0),"",ROUND(SUMPRODUCT(Partidas!$BC$6:$BC$305,Partidas!BK6:BK305)/SUM(Partidas!$BC$6:$BC$305),1))</f>
        <v/>
      </c>
    </row>
    <row r="14" customFormat="false" ht="15" hidden="false" customHeight="false" outlineLevel="0" collapsed="false">
      <c r="B14" s="52" t="str">
        <f aca="false">IF(OR(Partidas!$J$2="",9&gt;MAX(1,Reprogramaciones!$U$15)),"","Sem 9")</f>
        <v/>
      </c>
      <c r="C14" s="52" t="str">
        <f aca="false">IF(B14="","",TEXT(Reprogramaciones!S$8,"dd/mm")&amp;" – "&amp;TEXT(Reprogramaciones!S$9,"dd/mm"))</f>
        <v/>
      </c>
      <c r="D14" s="53" t="str">
        <f aca="false">IF(F14="","",F14-N(F13))</f>
        <v/>
      </c>
      <c r="E14" s="53" t="str">
        <f aca="false">IF(G14="","",G14-N(G13))</f>
        <v/>
      </c>
      <c r="F14" s="53" t="str">
        <f aca="false">IF(OR(B14="",SUM(Partidas!$BC$6:$BC$305)=0),"",ROUND(SUMPRODUCT(Partidas!$BC$6:$BC$305,Partidas!CB6:CB305)/SUM(Partidas!$BC$6:$BC$305),1))</f>
        <v/>
      </c>
      <c r="G14" s="53" t="str">
        <f aca="false">IF(OR(F14="",9&gt;Reprogramaciones!$K$15),"",ROUND(SUMPRODUCT(Partidas!$BC$6:$BC$305,Partidas!CR6:CR305)/SUM(Partidas!$BC$6:$BC$305),1))</f>
        <v/>
      </c>
      <c r="H14" s="53" t="str">
        <f aca="false">IF(G14="","",G14-F14)</f>
        <v/>
      </c>
      <c r="I14" s="54" t="str">
        <f aca="false">IF(F14="","",IF(Reprogramaciones!S$12&gt;=7,"Reprogramada",IF(9=Reprogramaciones!$K$15,"En curso",IF(9&gt;Reprogramaciones!$K$15,"Por venir",IF(G14+0.5&lt;F14,"Retrasada","A tiempo")))))</f>
        <v/>
      </c>
      <c r="J14" s="53" t="str">
        <f aca="false">IF(OR(B14="",SUM(Partidas!$BC$6:$BC$305)=0),"",ROUND(SUMPRODUCT(Partidas!$BC$6:$BC$305,Partidas!BL6:BL305)/SUM(Partidas!$BC$6:$BC$305),1))</f>
        <v/>
      </c>
    </row>
    <row r="15" customFormat="false" ht="15" hidden="false" customHeight="false" outlineLevel="0" collapsed="false">
      <c r="B15" s="52" t="str">
        <f aca="false">IF(OR(Partidas!$J$2="",10&gt;MAX(1,Reprogramaciones!$U$15)),"","Sem 10")</f>
        <v/>
      </c>
      <c r="C15" s="52" t="str">
        <f aca="false">IF(B15="","",TEXT(Reprogramaciones!T$8,"dd/mm")&amp;" – "&amp;TEXT(Reprogramaciones!T$9,"dd/mm"))</f>
        <v/>
      </c>
      <c r="D15" s="53" t="str">
        <f aca="false">IF(F15="","",F15-N(F14))</f>
        <v/>
      </c>
      <c r="E15" s="53" t="str">
        <f aca="false">IF(G15="","",G15-N(G14))</f>
        <v/>
      </c>
      <c r="F15" s="53" t="str">
        <f aca="false">IF(OR(B15="",SUM(Partidas!$BC$6:$BC$305)=0),"",ROUND(SUMPRODUCT(Partidas!$BC$6:$BC$305,Partidas!CC6:CC305)/SUM(Partidas!$BC$6:$BC$305),1))</f>
        <v/>
      </c>
      <c r="G15" s="53" t="str">
        <f aca="false">IF(OR(F15="",10&gt;Reprogramaciones!$K$15),"",ROUND(SUMPRODUCT(Partidas!$BC$6:$BC$305,Partidas!CS6:CS305)/SUM(Partidas!$BC$6:$BC$305),1))</f>
        <v/>
      </c>
      <c r="H15" s="53" t="str">
        <f aca="false">IF(G15="","",G15-F15)</f>
        <v/>
      </c>
      <c r="I15" s="54" t="str">
        <f aca="false">IF(F15="","",IF(Reprogramaciones!T$12&gt;=7,"Reprogramada",IF(10=Reprogramaciones!$K$15,"En curso",IF(10&gt;Reprogramaciones!$K$15,"Por venir",IF(G15+0.5&lt;F15,"Retrasada","A tiempo")))))</f>
        <v/>
      </c>
      <c r="J15" s="53" t="str">
        <f aca="false">IF(OR(B15="",SUM(Partidas!$BC$6:$BC$305)=0),"",ROUND(SUMPRODUCT(Partidas!$BC$6:$BC$305,Partidas!BM6:BM305)/SUM(Partidas!$BC$6:$BC$305),1))</f>
        <v/>
      </c>
    </row>
    <row r="16" customFormat="false" ht="15" hidden="false" customHeight="false" outlineLevel="0" collapsed="false">
      <c r="B16" s="52" t="str">
        <f aca="false">IF(OR(Partidas!$J$2="",11&gt;MAX(1,Reprogramaciones!$U$15)),"","Sem 11")</f>
        <v/>
      </c>
      <c r="C16" s="52" t="str">
        <f aca="false">IF(B16="","",TEXT(Reprogramaciones!U$8,"dd/mm")&amp;" – "&amp;TEXT(Reprogramaciones!U$9,"dd/mm"))</f>
        <v/>
      </c>
      <c r="D16" s="53" t="str">
        <f aca="false">IF(F16="","",F16-N(F15))</f>
        <v/>
      </c>
      <c r="E16" s="53" t="str">
        <f aca="false">IF(G16="","",G16-N(G15))</f>
        <v/>
      </c>
      <c r="F16" s="53" t="str">
        <f aca="false">IF(OR(B16="",SUM(Partidas!$BC$6:$BC$305)=0),"",ROUND(SUMPRODUCT(Partidas!$BC$6:$BC$305,Partidas!CD6:CD305)/SUM(Partidas!$BC$6:$BC$305),1))</f>
        <v/>
      </c>
      <c r="G16" s="53" t="str">
        <f aca="false">IF(OR(F16="",11&gt;Reprogramaciones!$K$15),"",ROUND(SUMPRODUCT(Partidas!$BC$6:$BC$305,Partidas!CT6:CT305)/SUM(Partidas!$BC$6:$BC$305),1))</f>
        <v/>
      </c>
      <c r="H16" s="53" t="str">
        <f aca="false">IF(G16="","",G16-F16)</f>
        <v/>
      </c>
      <c r="I16" s="54" t="str">
        <f aca="false">IF(F16="","",IF(Reprogramaciones!U$12&gt;=7,"Reprogramada",IF(11=Reprogramaciones!$K$15,"En curso",IF(11&gt;Reprogramaciones!$K$15,"Por venir",IF(G16+0.5&lt;F16,"Retrasada","A tiempo")))))</f>
        <v/>
      </c>
      <c r="J16" s="53" t="str">
        <f aca="false">IF(OR(B16="",SUM(Partidas!$BC$6:$BC$305)=0),"",ROUND(SUMPRODUCT(Partidas!$BC$6:$BC$305,Partidas!BN6:BN305)/SUM(Partidas!$BC$6:$BC$305),1))</f>
        <v/>
      </c>
    </row>
    <row r="17" customFormat="false" ht="15" hidden="false" customHeight="false" outlineLevel="0" collapsed="false">
      <c r="B17" s="52" t="str">
        <f aca="false">IF(OR(Partidas!$J$2="",12&gt;MAX(1,Reprogramaciones!$U$15)),"","Sem 12")</f>
        <v/>
      </c>
      <c r="C17" s="52" t="str">
        <f aca="false">IF(B17="","",TEXT(Reprogramaciones!V$8,"dd/mm")&amp;" – "&amp;TEXT(Reprogramaciones!V$9,"dd/mm"))</f>
        <v/>
      </c>
      <c r="D17" s="53" t="str">
        <f aca="false">IF(F17="","",F17-N(F16))</f>
        <v/>
      </c>
      <c r="E17" s="53" t="str">
        <f aca="false">IF(G17="","",G17-N(G16))</f>
        <v/>
      </c>
      <c r="F17" s="53" t="str">
        <f aca="false">IF(OR(B17="",SUM(Partidas!$BC$6:$BC$305)=0),"",ROUND(SUMPRODUCT(Partidas!$BC$6:$BC$305,Partidas!CE6:CE305)/SUM(Partidas!$BC$6:$BC$305),1))</f>
        <v/>
      </c>
      <c r="G17" s="53" t="str">
        <f aca="false">IF(OR(F17="",12&gt;Reprogramaciones!$K$15),"",ROUND(SUMPRODUCT(Partidas!$BC$6:$BC$305,Partidas!CU6:CU305)/SUM(Partidas!$BC$6:$BC$305),1))</f>
        <v/>
      </c>
      <c r="H17" s="53" t="str">
        <f aca="false">IF(G17="","",G17-F17)</f>
        <v/>
      </c>
      <c r="I17" s="54" t="str">
        <f aca="false">IF(F17="","",IF(Reprogramaciones!V$12&gt;=7,"Reprogramada",IF(12=Reprogramaciones!$K$15,"En curso",IF(12&gt;Reprogramaciones!$K$15,"Por venir",IF(G17+0.5&lt;F17,"Retrasada","A tiempo")))))</f>
        <v/>
      </c>
      <c r="J17" s="53" t="str">
        <f aca="false">IF(OR(B17="",SUM(Partidas!$BC$6:$BC$305)=0),"",ROUND(SUMPRODUCT(Partidas!$BC$6:$BC$305,Partidas!BO6:BO305)/SUM(Partidas!$BC$6:$BC$305),1))</f>
        <v/>
      </c>
    </row>
    <row r="18" customFormat="false" ht="15" hidden="false" customHeight="false" outlineLevel="0" collapsed="false">
      <c r="B18" s="52" t="str">
        <f aca="false">IF(OR(Partidas!$J$2="",13&gt;MAX(1,Reprogramaciones!$U$15)),"","Sem 13")</f>
        <v/>
      </c>
      <c r="C18" s="52" t="str">
        <f aca="false">IF(B18="","",TEXT(Reprogramaciones!W$8,"dd/mm")&amp;" – "&amp;TEXT(Reprogramaciones!W$9,"dd/mm"))</f>
        <v/>
      </c>
      <c r="D18" s="53" t="str">
        <f aca="false">IF(F18="","",F18-N(F17))</f>
        <v/>
      </c>
      <c r="E18" s="53" t="str">
        <f aca="false">IF(G18="","",G18-N(G17))</f>
        <v/>
      </c>
      <c r="F18" s="53" t="str">
        <f aca="false">IF(OR(B18="",SUM(Partidas!$BC$6:$BC$305)=0),"",ROUND(SUMPRODUCT(Partidas!$BC$6:$BC$305,Partidas!CF6:CF305)/SUM(Partidas!$BC$6:$BC$305),1))</f>
        <v/>
      </c>
      <c r="G18" s="53" t="str">
        <f aca="false">IF(OR(F18="",13&gt;Reprogramaciones!$K$15),"",ROUND(SUMPRODUCT(Partidas!$BC$6:$BC$305,Partidas!CV6:CV305)/SUM(Partidas!$BC$6:$BC$305),1))</f>
        <v/>
      </c>
      <c r="H18" s="53" t="str">
        <f aca="false">IF(G18="","",G18-F18)</f>
        <v/>
      </c>
      <c r="I18" s="54" t="str">
        <f aca="false">IF(F18="","",IF(Reprogramaciones!W$12&gt;=7,"Reprogramada",IF(13=Reprogramaciones!$K$15,"En curso",IF(13&gt;Reprogramaciones!$K$15,"Por venir",IF(G18+0.5&lt;F18,"Retrasada","A tiempo")))))</f>
        <v/>
      </c>
      <c r="J18" s="53" t="str">
        <f aca="false">IF(OR(B18="",SUM(Partidas!$BC$6:$BC$305)=0),"",ROUND(SUMPRODUCT(Partidas!$BC$6:$BC$305,Partidas!BP6:BP305)/SUM(Partidas!$BC$6:$BC$305),1))</f>
        <v/>
      </c>
    </row>
    <row r="19" customFormat="false" ht="15" hidden="false" customHeight="false" outlineLevel="0" collapsed="false">
      <c r="B19" s="52" t="str">
        <f aca="false">IF(OR(Partidas!$J$2="",14&gt;MAX(1,Reprogramaciones!$U$15)),"","Sem 14")</f>
        <v/>
      </c>
      <c r="C19" s="52" t="str">
        <f aca="false">IF(B19="","",TEXT(Reprogramaciones!X$8,"dd/mm")&amp;" – "&amp;TEXT(Reprogramaciones!X$9,"dd/mm"))</f>
        <v/>
      </c>
      <c r="D19" s="53" t="str">
        <f aca="false">IF(F19="","",F19-N(F18))</f>
        <v/>
      </c>
      <c r="E19" s="53" t="str">
        <f aca="false">IF(G19="","",G19-N(G18))</f>
        <v/>
      </c>
      <c r="F19" s="53" t="str">
        <f aca="false">IF(OR(B19="",SUM(Partidas!$BC$6:$BC$305)=0),"",ROUND(SUMPRODUCT(Partidas!$BC$6:$BC$305,Partidas!CG6:CG305)/SUM(Partidas!$BC$6:$BC$305),1))</f>
        <v/>
      </c>
      <c r="G19" s="53" t="str">
        <f aca="false">IF(OR(F19="",14&gt;Reprogramaciones!$K$15),"",ROUND(SUMPRODUCT(Partidas!$BC$6:$BC$305,Partidas!CW6:CW305)/SUM(Partidas!$BC$6:$BC$305),1))</f>
        <v/>
      </c>
      <c r="H19" s="53" t="str">
        <f aca="false">IF(G19="","",G19-F19)</f>
        <v/>
      </c>
      <c r="I19" s="54" t="str">
        <f aca="false">IF(F19="","",IF(Reprogramaciones!X$12&gt;=7,"Reprogramada",IF(14=Reprogramaciones!$K$15,"En curso",IF(14&gt;Reprogramaciones!$K$15,"Por venir",IF(G19+0.5&lt;F19,"Retrasada","A tiempo")))))</f>
        <v/>
      </c>
      <c r="J19" s="53" t="str">
        <f aca="false">IF(OR(B19="",SUM(Partidas!$BC$6:$BC$305)=0),"",ROUND(SUMPRODUCT(Partidas!$BC$6:$BC$305,Partidas!BQ6:BQ305)/SUM(Partidas!$BC$6:$BC$305),1))</f>
        <v/>
      </c>
    </row>
    <row r="20" customFormat="false" ht="15" hidden="false" customHeight="false" outlineLevel="0" collapsed="false">
      <c r="B20" s="52" t="str">
        <f aca="false">IF(OR(Partidas!$J$2="",15&gt;MAX(1,Reprogramaciones!$U$15)),"","Sem 15")</f>
        <v/>
      </c>
      <c r="C20" s="52" t="str">
        <f aca="false">IF(B20="","",TEXT(Reprogramaciones!Y$8,"dd/mm")&amp;" – "&amp;TEXT(Reprogramaciones!Y$9,"dd/mm"))</f>
        <v/>
      </c>
      <c r="D20" s="53" t="str">
        <f aca="false">IF(F20="","",F20-N(F19))</f>
        <v/>
      </c>
      <c r="E20" s="53" t="str">
        <f aca="false">IF(G20="","",G20-N(G19))</f>
        <v/>
      </c>
      <c r="F20" s="53" t="str">
        <f aca="false">IF(OR(B20="",SUM(Partidas!$BC$6:$BC$305)=0),"",ROUND(SUMPRODUCT(Partidas!$BC$6:$BC$305,Partidas!CH6:CH305)/SUM(Partidas!$BC$6:$BC$305),1))</f>
        <v/>
      </c>
      <c r="G20" s="53" t="str">
        <f aca="false">IF(OR(F20="",15&gt;Reprogramaciones!$K$15),"",ROUND(SUMPRODUCT(Partidas!$BC$6:$BC$305,Partidas!CX6:CX305)/SUM(Partidas!$BC$6:$BC$305),1))</f>
        <v/>
      </c>
      <c r="H20" s="53" t="str">
        <f aca="false">IF(G20="","",G20-F20)</f>
        <v/>
      </c>
      <c r="I20" s="54" t="str">
        <f aca="false">IF(F20="","",IF(Reprogramaciones!Y$12&gt;=7,"Reprogramada",IF(15=Reprogramaciones!$K$15,"En curso",IF(15&gt;Reprogramaciones!$K$15,"Por venir",IF(G20+0.5&lt;F20,"Retrasada","A tiempo")))))</f>
        <v/>
      </c>
      <c r="J20" s="53" t="str">
        <f aca="false">IF(OR(B20="",SUM(Partidas!$BC$6:$BC$305)=0),"",ROUND(SUMPRODUCT(Partidas!$BC$6:$BC$305,Partidas!BR6:BR305)/SUM(Partidas!$BC$6:$BC$305),1))</f>
        <v/>
      </c>
    </row>
    <row r="21" customFormat="false" ht="15" hidden="false" customHeight="false" outlineLevel="0" collapsed="false">
      <c r="B21" s="52" t="str">
        <f aca="false">IF(OR(Partidas!$J$2="",16&gt;MAX(1,Reprogramaciones!$U$15)),"","Sem 16")</f>
        <v/>
      </c>
      <c r="C21" s="52" t="str">
        <f aca="false">IF(B21="","",TEXT(Reprogramaciones!Z$8,"dd/mm")&amp;" – "&amp;TEXT(Reprogramaciones!Z$9,"dd/mm"))</f>
        <v/>
      </c>
      <c r="D21" s="53" t="str">
        <f aca="false">IF(F21="","",F21-N(F20))</f>
        <v/>
      </c>
      <c r="E21" s="53" t="str">
        <f aca="false">IF(G21="","",G21-N(G20))</f>
        <v/>
      </c>
      <c r="F21" s="53" t="str">
        <f aca="false">IF(OR(B21="",SUM(Partidas!$BC$6:$BC$305)=0),"",ROUND(SUMPRODUCT(Partidas!$BC$6:$BC$305,Partidas!CI6:CI305)/SUM(Partidas!$BC$6:$BC$305),1))</f>
        <v/>
      </c>
      <c r="G21" s="53" t="str">
        <f aca="false">IF(OR(F21="",16&gt;Reprogramaciones!$K$15),"",ROUND(SUMPRODUCT(Partidas!$BC$6:$BC$305,Partidas!CY6:CY305)/SUM(Partidas!$BC$6:$BC$305),1))</f>
        <v/>
      </c>
      <c r="H21" s="53" t="str">
        <f aca="false">IF(G21="","",G21-F21)</f>
        <v/>
      </c>
      <c r="I21" s="54" t="str">
        <f aca="false">IF(F21="","",IF(Reprogramaciones!Z$12&gt;=7,"Reprogramada",IF(16=Reprogramaciones!$K$15,"En curso",IF(16&gt;Reprogramaciones!$K$15,"Por venir",IF(G21+0.5&lt;F21,"Retrasada","A tiempo")))))</f>
        <v/>
      </c>
      <c r="J21" s="53" t="str">
        <f aca="false">IF(OR(B21="",SUM(Partidas!$BC$6:$BC$305)=0),"",ROUND(SUMPRODUCT(Partidas!$BC$6:$BC$305,Partidas!BS6:BS305)/SUM(Partidas!$BC$6:$BC$305),1))</f>
        <v/>
      </c>
    </row>
  </sheetData>
  <sheetProtection sheet="true" password="c4ae" formatColumns="false" formatRows="false"/>
  <conditionalFormatting sqref="I6:I21">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2">
      <formula>"A tiempo"</formula>
    </cfRule>
    <cfRule type="cellIs" priority="5" operator="equal" aboveAverage="0" equalAverage="0" bottom="0" percent="0" rank="0" text="" dxfId="18">
      <formula>"Reprogramada"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30"/>
    <col collapsed="false" customWidth="true" hidden="false" outlineLevel="0" max="10" min="4" style="1" width="12"/>
  </cols>
  <sheetData>
    <row r="1" customFormat="false" ht="17.35" hidden="false" customHeight="false" outlineLevel="0" collapsed="false">
      <c r="B1" s="2" t="s">
        <v>274</v>
      </c>
    </row>
    <row r="3" customFormat="false" ht="27.75" hidden="false" customHeight="true" outlineLevel="0" collapsed="false">
      <c r="B3" s="21" t="s">
        <v>275</v>
      </c>
      <c r="C3" s="55" t="s">
        <v>276</v>
      </c>
      <c r="D3" s="55"/>
      <c r="E3" s="55"/>
      <c r="F3" s="55"/>
      <c r="G3" s="55"/>
    </row>
    <row r="4" customFormat="false" ht="27.75" hidden="false" customHeight="true" outlineLevel="0" collapsed="false">
      <c r="B4" s="21" t="s">
        <v>277</v>
      </c>
      <c r="C4" s="55" t="s">
        <v>278</v>
      </c>
      <c r="D4" s="55"/>
      <c r="E4" s="55"/>
      <c r="F4" s="55"/>
      <c r="G4" s="55"/>
    </row>
    <row r="5" customFormat="false" ht="27.75" hidden="false" customHeight="true" outlineLevel="0" collapsed="false">
      <c r="B5" s="21" t="s">
        <v>279</v>
      </c>
      <c r="C5" s="55" t="s">
        <v>280</v>
      </c>
      <c r="D5" s="55"/>
      <c r="E5" s="55"/>
      <c r="F5" s="55"/>
      <c r="G5" s="55"/>
    </row>
    <row r="6" customFormat="false" ht="27.75" hidden="false" customHeight="true" outlineLevel="0" collapsed="false">
      <c r="B6" s="21" t="s">
        <v>281</v>
      </c>
      <c r="C6" s="55" t="s">
        <v>282</v>
      </c>
      <c r="D6" s="55"/>
      <c r="E6" s="55"/>
      <c r="F6" s="55"/>
      <c r="G6" s="55"/>
    </row>
    <row r="7" customFormat="false" ht="27.75" hidden="false" customHeight="true" outlineLevel="0" collapsed="false">
      <c r="B7" s="21" t="s">
        <v>283</v>
      </c>
      <c r="C7" s="55" t="s">
        <v>284</v>
      </c>
      <c r="D7" s="55"/>
      <c r="E7" s="55"/>
      <c r="F7" s="55"/>
      <c r="G7" s="55"/>
    </row>
    <row r="8" customFormat="false" ht="27.75" hidden="false" customHeight="true" outlineLevel="0" collapsed="false">
      <c r="B8" s="21" t="s">
        <v>285</v>
      </c>
      <c r="C8" s="55" t="s">
        <v>286</v>
      </c>
      <c r="D8" s="55"/>
      <c r="E8" s="55"/>
      <c r="F8" s="55"/>
      <c r="G8" s="55"/>
    </row>
    <row r="9" customFormat="false" ht="27.75" hidden="false" customHeight="true" outlineLevel="0" collapsed="false">
      <c r="B9" s="21" t="s">
        <v>287</v>
      </c>
      <c r="C9" s="55" t="s">
        <v>288</v>
      </c>
      <c r="D9" s="55"/>
      <c r="E9" s="55"/>
      <c r="F9" s="55"/>
      <c r="G9" s="55"/>
    </row>
    <row r="10" customFormat="false" ht="27.75" hidden="false" customHeight="true" outlineLevel="0" collapsed="false">
      <c r="B10" s="21" t="s">
        <v>289</v>
      </c>
      <c r="C10" s="55" t="s">
        <v>290</v>
      </c>
      <c r="D10" s="55"/>
      <c r="E10" s="55"/>
      <c r="F10" s="55"/>
      <c r="G10" s="55"/>
    </row>
    <row r="11" customFormat="false" ht="15" hidden="false" customHeight="false" outlineLevel="0" collapsed="false">
      <c r="B11" s="56" t="s">
        <v>291</v>
      </c>
    </row>
    <row r="12" customFormat="false" ht="15" hidden="false" customHeight="false" outlineLevel="0" collapsed="false">
      <c r="B12" s="57" t="s">
        <v>70</v>
      </c>
      <c r="C12" s="57" t="s">
        <v>71</v>
      </c>
      <c r="D12" s="57" t="s">
        <v>72</v>
      </c>
      <c r="E12" s="57" t="s">
        <v>292</v>
      </c>
      <c r="F12" s="57" t="s">
        <v>293</v>
      </c>
      <c r="G12" s="57" t="s">
        <v>86</v>
      </c>
      <c r="H12" s="57" t="s">
        <v>87</v>
      </c>
      <c r="I12" s="57" t="s">
        <v>88</v>
      </c>
      <c r="J12" s="57" t="s">
        <v>89</v>
      </c>
    </row>
    <row r="13" customFormat="false" ht="15" hidden="false" customHeight="false" outlineLevel="0" collapsed="false">
      <c r="B13" s="58" t="s">
        <v>153</v>
      </c>
      <c r="C13" s="58" t="s">
        <v>154</v>
      </c>
      <c r="D13" s="58"/>
      <c r="E13" s="58"/>
      <c r="F13" s="58"/>
      <c r="G13" s="58"/>
      <c r="H13" s="58"/>
      <c r="I13" s="58"/>
      <c r="J13" s="58"/>
    </row>
    <row r="14" customFormat="false" ht="15" hidden="false" customHeight="false" outlineLevel="0" collapsed="false">
      <c r="B14" s="58" t="s">
        <v>155</v>
      </c>
      <c r="C14" s="58"/>
      <c r="D14" s="58" t="s">
        <v>294</v>
      </c>
      <c r="E14" s="58" t="s">
        <v>295</v>
      </c>
      <c r="F14" s="58" t="s">
        <v>296</v>
      </c>
      <c r="G14" s="58" t="n">
        <v>100</v>
      </c>
      <c r="H14" s="58"/>
      <c r="I14" s="58"/>
      <c r="J14" s="58"/>
    </row>
    <row r="15" customFormat="false" ht="15" hidden="false" customHeight="false" outlineLevel="0" collapsed="false">
      <c r="B15" s="58" t="s">
        <v>161</v>
      </c>
      <c r="C15" s="58" t="s">
        <v>170</v>
      </c>
      <c r="D15" s="58" t="s">
        <v>297</v>
      </c>
      <c r="E15" s="58" t="s">
        <v>295</v>
      </c>
      <c r="F15" s="58" t="s">
        <v>298</v>
      </c>
      <c r="G15" s="58" t="n">
        <v>20</v>
      </c>
      <c r="H15" s="58" t="n">
        <v>30</v>
      </c>
      <c r="I15" s="58" t="n">
        <v>25</v>
      </c>
      <c r="J15" s="58" t="n">
        <v>25</v>
      </c>
    </row>
    <row r="16" customFormat="false" ht="15" hidden="false" customHeight="false" outlineLevel="0" collapsed="false">
      <c r="B16" s="58" t="s">
        <v>169</v>
      </c>
      <c r="C16" s="58" t="s">
        <v>186</v>
      </c>
      <c r="D16" s="58" t="s">
        <v>299</v>
      </c>
      <c r="E16" s="58" t="s">
        <v>300</v>
      </c>
      <c r="F16" s="58" t="s">
        <v>298</v>
      </c>
      <c r="G16" s="58"/>
      <c r="H16" s="58"/>
      <c r="I16" s="58" t="n">
        <v>40</v>
      </c>
      <c r="J16" s="58" t="n">
        <v>60</v>
      </c>
    </row>
    <row r="17" customFormat="false" ht="15" hidden="false" customHeight="false" outlineLevel="0" collapsed="false">
      <c r="B17" s="58" t="s">
        <v>177</v>
      </c>
      <c r="C17" s="58" t="s">
        <v>234</v>
      </c>
      <c r="D17" s="58"/>
      <c r="E17" s="58" t="s">
        <v>301</v>
      </c>
      <c r="F17" s="58" t="s">
        <v>298</v>
      </c>
      <c r="G17" s="58"/>
      <c r="H17" s="58"/>
      <c r="I17" s="58"/>
      <c r="J17" s="58" t="n">
        <v>100</v>
      </c>
    </row>
    <row r="19" customFormat="false" ht="15" hidden="false" customHeight="false" outlineLevel="0" collapsed="false">
      <c r="B19" s="56" t="s">
        <v>302</v>
      </c>
    </row>
    <row r="20" customFormat="false" ht="15" hidden="false" customHeight="false" outlineLevel="0" collapsed="false">
      <c r="B20" s="59"/>
      <c r="C20" s="60" t="s">
        <v>303</v>
      </c>
    </row>
    <row r="21" customFormat="false" ht="15" hidden="false" customHeight="false" outlineLevel="0" collapsed="false">
      <c r="B21" s="61"/>
      <c r="C21" s="60" t="s">
        <v>304</v>
      </c>
    </row>
    <row r="22" customFormat="false" ht="15" hidden="false" customHeight="false" outlineLevel="0" collapsed="false">
      <c r="B22" s="62"/>
      <c r="C22" s="60" t="s">
        <v>305</v>
      </c>
    </row>
    <row r="24" customFormat="false" ht="15" hidden="false" customHeight="false" outlineLevel="0" collapsed="false">
      <c r="B24" s="3" t="s">
        <v>306</v>
      </c>
    </row>
  </sheetData>
  <sheetProtection sheet="true" password="c4ae" formatColumns="false" formatRows="false"/>
  <mergeCells count="8">
    <mergeCell ref="C3:G3"/>
    <mergeCell ref="C4:G4"/>
    <mergeCell ref="C5:G5"/>
    <mergeCell ref="C6:G6"/>
    <mergeCell ref="C7:G7"/>
    <mergeCell ref="C8:G8"/>
    <mergeCell ref="C9:G9"/>
    <mergeCell ref="C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24"/>
  </cols>
  <sheetData>
    <row r="1" customFormat="false" ht="15" hidden="false" customHeight="false" outlineLevel="0" collapsed="false">
      <c r="A1" s="12" t="s">
        <v>307</v>
      </c>
      <c r="B1" s="12" t="s">
        <v>308</v>
      </c>
      <c r="C1" s="12" t="s">
        <v>309</v>
      </c>
      <c r="D1" s="12" t="s">
        <v>310</v>
      </c>
      <c r="E1" s="12" t="s">
        <v>311</v>
      </c>
      <c r="F1" s="12" t="s">
        <v>312</v>
      </c>
      <c r="G1" s="12" t="s">
        <v>313</v>
      </c>
      <c r="H1" s="12" t="s">
        <v>314</v>
      </c>
    </row>
    <row r="2" customFormat="false" ht="15" hidden="false" customHeight="false" outlineLevel="0" collapsed="false">
      <c r="A2" s="60" t="s">
        <v>9</v>
      </c>
      <c r="B2" s="60" t="s">
        <v>315</v>
      </c>
      <c r="C2" s="60" t="s">
        <v>316</v>
      </c>
      <c r="D2" s="60" t="s">
        <v>20</v>
      </c>
      <c r="E2" s="60" t="s">
        <v>317</v>
      </c>
      <c r="F2" s="63"/>
      <c r="G2" s="63"/>
      <c r="H2" s="63"/>
    </row>
    <row r="3" customFormat="false" ht="15" hidden="false" customHeight="false" outlineLevel="0" collapsed="false">
      <c r="A3" s="60" t="s">
        <v>318</v>
      </c>
      <c r="B3" s="60" t="s">
        <v>319</v>
      </c>
      <c r="C3" s="60" t="s">
        <v>17</v>
      </c>
      <c r="D3" s="60" t="s">
        <v>320</v>
      </c>
      <c r="E3" s="60" t="s">
        <v>22</v>
      </c>
      <c r="F3" s="63"/>
      <c r="G3" s="63"/>
      <c r="H3" s="63"/>
    </row>
    <row r="4" customFormat="false" ht="15" hidden="false" customHeight="false" outlineLevel="0" collapsed="false">
      <c r="A4" s="60" t="s">
        <v>321</v>
      </c>
      <c r="B4" s="60" t="s">
        <v>322</v>
      </c>
      <c r="C4" s="60" t="s">
        <v>323</v>
      </c>
      <c r="D4" s="60" t="s">
        <v>324</v>
      </c>
      <c r="E4" s="60" t="s">
        <v>325</v>
      </c>
      <c r="F4" s="63"/>
      <c r="G4" s="63"/>
      <c r="H4" s="63"/>
    </row>
    <row r="5" customFormat="false" ht="15" hidden="false" customHeight="false" outlineLevel="0" collapsed="false">
      <c r="A5" s="60" t="s">
        <v>326</v>
      </c>
      <c r="B5" s="60" t="s">
        <v>327</v>
      </c>
      <c r="C5" s="60" t="s">
        <v>328</v>
      </c>
      <c r="D5" s="60" t="s">
        <v>329</v>
      </c>
      <c r="E5" s="60" t="s">
        <v>330</v>
      </c>
      <c r="F5" s="63"/>
      <c r="G5" s="63"/>
      <c r="H5" s="63"/>
    </row>
    <row r="6" customFormat="false" ht="15" hidden="false" customHeight="false" outlineLevel="0" collapsed="false">
      <c r="A6" s="60" t="s">
        <v>331</v>
      </c>
      <c r="B6" s="60" t="s">
        <v>332</v>
      </c>
      <c r="C6" s="63"/>
      <c r="D6" s="63"/>
      <c r="E6" s="60" t="s">
        <v>333</v>
      </c>
      <c r="F6" s="63"/>
      <c r="G6" s="63"/>
      <c r="H6" s="63"/>
    </row>
    <row r="7" customFormat="false" ht="15" hidden="false" customHeight="false" outlineLevel="0" collapsed="false">
      <c r="A7" s="63"/>
      <c r="B7" s="60" t="s">
        <v>334</v>
      </c>
      <c r="C7" s="63"/>
      <c r="D7" s="63"/>
      <c r="E7" s="60" t="s">
        <v>335</v>
      </c>
      <c r="F7" s="63"/>
      <c r="G7" s="63"/>
      <c r="H7" s="63"/>
    </row>
    <row r="8" customFormat="false" ht="15" hidden="false" customHeight="false" outlineLevel="0" collapsed="false">
      <c r="A8" s="63"/>
      <c r="B8" s="60" t="s">
        <v>336</v>
      </c>
      <c r="C8" s="63"/>
      <c r="D8" s="63"/>
      <c r="F8" s="63"/>
      <c r="G8" s="63"/>
      <c r="H8" s="63"/>
    </row>
    <row r="9" customFormat="false" ht="15" hidden="false" customHeight="false" outlineLevel="0" collapsed="false">
      <c r="A9" s="63"/>
      <c r="B9" s="60" t="s">
        <v>337</v>
      </c>
      <c r="C9" s="63"/>
      <c r="D9" s="63"/>
      <c r="F9" s="63"/>
      <c r="G9" s="63"/>
      <c r="H9" s="63"/>
    </row>
    <row r="10" customFormat="false" ht="15" hidden="false" customHeight="false" outlineLevel="0" collapsed="false">
      <c r="A10" s="63"/>
      <c r="B10" s="60" t="s">
        <v>338</v>
      </c>
      <c r="C10" s="63"/>
      <c r="D10" s="63"/>
      <c r="F10" s="63"/>
      <c r="G10" s="63"/>
      <c r="H10" s="63"/>
    </row>
    <row r="11" customFormat="false" ht="15" hidden="false" customHeight="false" outlineLevel="0" collapsed="false">
      <c r="A11" s="63"/>
      <c r="B11" s="60" t="s">
        <v>339</v>
      </c>
      <c r="C11" s="63"/>
      <c r="D11" s="63"/>
      <c r="F11" s="63"/>
      <c r="G11" s="63"/>
      <c r="H11" s="63"/>
    </row>
    <row r="12" customFormat="false" ht="15" hidden="false" customHeight="false" outlineLevel="0" collapsed="false">
      <c r="A12" s="63"/>
      <c r="B12" s="60" t="s">
        <v>340</v>
      </c>
      <c r="C12" s="63"/>
      <c r="D12" s="63"/>
      <c r="F12" s="63"/>
      <c r="G12" s="63"/>
      <c r="H12" s="63"/>
    </row>
    <row r="13" customFormat="false" ht="15" hidden="false" customHeight="false" outlineLevel="0" collapsed="false">
      <c r="A13" s="63"/>
      <c r="B13" s="60" t="s">
        <v>341</v>
      </c>
      <c r="C13" s="63"/>
      <c r="D13" s="63"/>
      <c r="F13" s="63"/>
      <c r="G13" s="63"/>
      <c r="H13" s="63"/>
    </row>
    <row r="14" customFormat="false" ht="15" hidden="false" customHeight="false" outlineLevel="0" collapsed="false">
      <c r="A14" s="63"/>
      <c r="B14" s="60" t="s">
        <v>342</v>
      </c>
      <c r="C14" s="63"/>
      <c r="D14" s="63"/>
      <c r="F14" s="63"/>
      <c r="G14" s="63"/>
      <c r="H14" s="63"/>
    </row>
    <row r="15" customFormat="false" ht="15" hidden="false" customHeight="false" outlineLevel="0" collapsed="false">
      <c r="A15" s="63"/>
      <c r="B15" s="60" t="s">
        <v>343</v>
      </c>
      <c r="C15" s="63"/>
      <c r="D15" s="63"/>
      <c r="F15" s="63"/>
      <c r="G15" s="63"/>
      <c r="H15" s="63"/>
    </row>
    <row r="16" customFormat="false" ht="15" hidden="false" customHeight="false" outlineLevel="0" collapsed="false">
      <c r="A16" s="63"/>
      <c r="B16" s="60" t="s">
        <v>15</v>
      </c>
      <c r="C16" s="63"/>
      <c r="D16" s="63"/>
      <c r="F16" s="63"/>
      <c r="G16" s="63"/>
      <c r="H16" s="63"/>
    </row>
    <row r="17" customFormat="false" ht="15" hidden="false" customHeight="false" outlineLevel="0" collapsed="false">
      <c r="A17" s="63"/>
      <c r="B17" s="60" t="s">
        <v>344</v>
      </c>
      <c r="C17" s="63"/>
      <c r="D17" s="63"/>
      <c r="F17" s="63"/>
      <c r="G17" s="63"/>
      <c r="H17" s="63"/>
    </row>
    <row r="18" customFormat="false" ht="15" hidden="false" customHeight="false" outlineLevel="0" collapsed="false">
      <c r="A18" s="63"/>
      <c r="B18" s="60" t="s">
        <v>345</v>
      </c>
      <c r="C18" s="63"/>
      <c r="D18" s="63"/>
      <c r="F18" s="63"/>
      <c r="G18" s="63"/>
      <c r="H18" s="63"/>
    </row>
    <row r="19" customFormat="false" ht="15" hidden="false" customHeight="false" outlineLevel="0" collapsed="false">
      <c r="A19" s="63"/>
      <c r="B19" s="60" t="s">
        <v>346</v>
      </c>
      <c r="C19" s="63"/>
      <c r="D19" s="63"/>
      <c r="F19" s="63"/>
      <c r="G19" s="63"/>
      <c r="H19" s="63"/>
    </row>
    <row r="20" customFormat="false" ht="15" hidden="false" customHeight="false" outlineLevel="0" collapsed="false">
      <c r="A20" s="63"/>
      <c r="B20" s="60" t="s">
        <v>347</v>
      </c>
      <c r="C20" s="63"/>
      <c r="D20" s="63"/>
      <c r="F20" s="63"/>
      <c r="G20" s="63"/>
      <c r="H20" s="63"/>
    </row>
    <row r="21" customFormat="false" ht="15" hidden="false" customHeight="false" outlineLevel="0" collapsed="false">
      <c r="A21" s="63"/>
      <c r="B21" s="60" t="s">
        <v>348</v>
      </c>
      <c r="C21" s="63"/>
      <c r="D21" s="63"/>
      <c r="F21" s="63"/>
      <c r="G21" s="63"/>
      <c r="H21" s="63"/>
    </row>
    <row r="22" customFormat="false" ht="15" hidden="false" customHeight="false" outlineLevel="0" collapsed="false">
      <c r="A22" s="63"/>
      <c r="B22" s="60" t="s">
        <v>349</v>
      </c>
      <c r="C22" s="63"/>
      <c r="D22" s="63"/>
      <c r="F22" s="63"/>
      <c r="G22" s="63"/>
      <c r="H22" s="63"/>
    </row>
    <row r="23" customFormat="false" ht="15" hidden="false" customHeight="false" outlineLevel="0" collapsed="false">
      <c r="A23" s="63"/>
      <c r="B23" s="60" t="s">
        <v>350</v>
      </c>
      <c r="C23" s="63"/>
      <c r="D23" s="63"/>
      <c r="F23" s="63"/>
      <c r="G23" s="63"/>
      <c r="H23" s="63"/>
    </row>
    <row r="24" customFormat="false" ht="15" hidden="false" customHeight="false" outlineLevel="0" collapsed="false">
      <c r="A24" s="63"/>
      <c r="B24" s="60" t="s">
        <v>351</v>
      </c>
      <c r="C24" s="63"/>
      <c r="D24" s="63"/>
      <c r="F24" s="63"/>
      <c r="G24" s="63"/>
      <c r="H24" s="63"/>
    </row>
    <row r="25" customFormat="false" ht="15" hidden="false" customHeight="false" outlineLevel="0" collapsed="false">
      <c r="A25" s="63"/>
      <c r="B25" s="60" t="s">
        <v>352</v>
      </c>
      <c r="C25" s="63"/>
      <c r="D25" s="63"/>
      <c r="F25" s="63"/>
      <c r="G25" s="63"/>
      <c r="H25" s="63"/>
    </row>
    <row r="26" customFormat="false" ht="15" hidden="false" customHeight="false" outlineLevel="0" collapsed="false">
      <c r="A26" s="63"/>
      <c r="B26" s="60" t="s">
        <v>353</v>
      </c>
      <c r="C26" s="63"/>
      <c r="D26" s="63"/>
      <c r="F26" s="63"/>
      <c r="G26" s="63"/>
      <c r="H26" s="63"/>
    </row>
    <row r="27" customFormat="false" ht="15" hidden="false" customHeight="false" outlineLevel="0" collapsed="false">
      <c r="A27" s="63"/>
      <c r="C27" s="63"/>
      <c r="D27" s="63"/>
      <c r="F27" s="63"/>
      <c r="G27" s="63"/>
      <c r="H27" s="63"/>
    </row>
    <row r="28" customFormat="false" ht="15" hidden="false" customHeight="false" outlineLevel="0" collapsed="false">
      <c r="A28" s="63"/>
      <c r="C28" s="63"/>
      <c r="D28" s="63"/>
      <c r="F28" s="63"/>
      <c r="G28" s="63"/>
      <c r="H28" s="63"/>
    </row>
    <row r="29" customFormat="false" ht="15" hidden="false" customHeight="false" outlineLevel="0" collapsed="false">
      <c r="A29" s="63"/>
      <c r="C29" s="63"/>
      <c r="D29" s="63"/>
      <c r="F29" s="63"/>
      <c r="G29" s="63"/>
      <c r="H29" s="63"/>
    </row>
    <row r="30" customFormat="false" ht="15" hidden="false" customHeight="false" outlineLevel="0" collapsed="false">
      <c r="A30" s="63"/>
      <c r="C30" s="63"/>
      <c r="D30" s="63"/>
      <c r="F30" s="63"/>
      <c r="G30" s="63"/>
      <c r="H30" s="63"/>
    </row>
    <row r="31" customFormat="false" ht="15" hidden="false" customHeight="false" outlineLevel="0" collapsed="false">
      <c r="A31" s="63"/>
      <c r="C31" s="63"/>
      <c r="D31" s="63"/>
      <c r="F31" s="63"/>
      <c r="G31" s="63"/>
      <c r="H31" s="63"/>
    </row>
    <row r="32" customFormat="false" ht="15" hidden="false" customHeight="false" outlineLevel="0" collapsed="false">
      <c r="A32" s="63"/>
      <c r="C32" s="63"/>
      <c r="D32" s="63"/>
      <c r="F32" s="63"/>
      <c r="G32" s="63"/>
      <c r="H32" s="63"/>
    </row>
    <row r="33" customFormat="false" ht="15" hidden="false" customHeight="false" outlineLevel="0" collapsed="false">
      <c r="A33" s="63"/>
      <c r="C33" s="63"/>
      <c r="D33" s="63"/>
      <c r="F33" s="63"/>
      <c r="G33" s="63"/>
      <c r="H33" s="63"/>
    </row>
    <row r="34" customFormat="false" ht="15" hidden="false" customHeight="false" outlineLevel="0" collapsed="false">
      <c r="A34" s="63"/>
      <c r="C34" s="63"/>
      <c r="D34" s="63"/>
      <c r="F34" s="63"/>
      <c r="G34" s="63"/>
      <c r="H34" s="63"/>
    </row>
    <row r="35" customFormat="false" ht="15" hidden="false" customHeight="false" outlineLevel="0" collapsed="false">
      <c r="A35" s="63"/>
      <c r="C35" s="63"/>
      <c r="D35" s="63"/>
      <c r="F35" s="63"/>
      <c r="G35" s="63"/>
      <c r="H35" s="63"/>
    </row>
    <row r="36" customFormat="false" ht="15" hidden="false" customHeight="false" outlineLevel="0" collapsed="false">
      <c r="A36" s="63"/>
      <c r="C36" s="63"/>
      <c r="D36" s="63"/>
      <c r="F36" s="63"/>
      <c r="G36" s="63"/>
      <c r="H36" s="63"/>
    </row>
    <row r="37" customFormat="false" ht="15" hidden="false" customHeight="false" outlineLevel="0" collapsed="false">
      <c r="A37" s="63"/>
      <c r="C37" s="63"/>
      <c r="D37" s="63"/>
      <c r="F37" s="63"/>
      <c r="G37" s="63"/>
      <c r="H37" s="63"/>
    </row>
    <row r="38" customFormat="false" ht="15" hidden="false" customHeight="false" outlineLevel="0" collapsed="false">
      <c r="A38" s="63"/>
      <c r="C38" s="63"/>
      <c r="D38" s="63"/>
      <c r="F38" s="63"/>
      <c r="G38" s="63"/>
      <c r="H38" s="63"/>
    </row>
    <row r="39" customFormat="false" ht="15" hidden="false" customHeight="false" outlineLevel="0" collapsed="false">
      <c r="A39" s="63"/>
      <c r="C39" s="63"/>
      <c r="D39" s="63"/>
      <c r="F39" s="63"/>
      <c r="G39" s="63"/>
      <c r="H39" s="63"/>
    </row>
    <row r="40" customFormat="false" ht="15" hidden="false" customHeight="false" outlineLevel="0" collapsed="false">
      <c r="A40" s="63"/>
      <c r="C40" s="63"/>
      <c r="D40" s="63"/>
      <c r="F40" s="63"/>
      <c r="G40" s="63"/>
      <c r="H40" s="63"/>
    </row>
    <row r="41" customFormat="false" ht="15" hidden="false" customHeight="false" outlineLevel="0" collapsed="false">
      <c r="A41" s="63"/>
      <c r="C41" s="63"/>
      <c r="D41" s="63"/>
      <c r="F41" s="63"/>
      <c r="G41" s="63"/>
      <c r="H41" s="63"/>
    </row>
    <row r="42" customFormat="false" ht="15" hidden="false" customHeight="false" outlineLevel="0" collapsed="false">
      <c r="A42" s="63"/>
      <c r="C42" s="63"/>
      <c r="D42" s="63"/>
      <c r="F42" s="63"/>
      <c r="G42" s="63"/>
      <c r="H42" s="63"/>
    </row>
    <row r="43" customFormat="false" ht="15" hidden="false" customHeight="false" outlineLevel="0" collapsed="false">
      <c r="A43" s="63"/>
      <c r="C43" s="63"/>
      <c r="D43" s="63"/>
      <c r="F43" s="63"/>
      <c r="G43" s="63"/>
      <c r="H43" s="63"/>
    </row>
    <row r="44" customFormat="false" ht="15" hidden="false" customHeight="false" outlineLevel="0" collapsed="false">
      <c r="A44" s="63"/>
      <c r="C44" s="63"/>
      <c r="D44" s="63"/>
      <c r="F44" s="63"/>
      <c r="G44" s="63"/>
      <c r="H44" s="63"/>
    </row>
    <row r="45" customFormat="false" ht="15" hidden="false" customHeight="false" outlineLevel="0" collapsed="false">
      <c r="A45" s="63"/>
      <c r="C45" s="63"/>
      <c r="D45" s="63"/>
      <c r="F45" s="63"/>
      <c r="G45" s="63"/>
      <c r="H45" s="63"/>
    </row>
    <row r="46" customFormat="false" ht="15" hidden="false" customHeight="false" outlineLevel="0" collapsed="false">
      <c r="A46" s="63"/>
      <c r="C46" s="63"/>
      <c r="D46" s="63"/>
      <c r="F46" s="63"/>
      <c r="G46" s="63"/>
      <c r="H46" s="63"/>
    </row>
    <row r="47" customFormat="false" ht="15" hidden="false" customHeight="false" outlineLevel="0" collapsed="false">
      <c r="A47" s="63"/>
      <c r="C47" s="63"/>
      <c r="D47" s="63"/>
      <c r="F47" s="63"/>
      <c r="G47" s="63"/>
      <c r="H47" s="63"/>
    </row>
    <row r="48" customFormat="false" ht="15" hidden="false" customHeight="false" outlineLevel="0" collapsed="false">
      <c r="A48" s="63"/>
      <c r="C48" s="63"/>
      <c r="D48" s="63"/>
      <c r="F48" s="63"/>
      <c r="G48" s="63"/>
      <c r="H48" s="63"/>
    </row>
    <row r="49" customFormat="false" ht="15" hidden="false" customHeight="false" outlineLevel="0" collapsed="false">
      <c r="A49" s="63"/>
      <c r="C49" s="63"/>
      <c r="D49" s="63"/>
      <c r="F49" s="63"/>
      <c r="G49" s="63"/>
      <c r="H49" s="63"/>
    </row>
    <row r="50" customFormat="false" ht="15" hidden="false" customHeight="false" outlineLevel="0" collapsed="false">
      <c r="A50" s="63"/>
      <c r="C50" s="63"/>
      <c r="D50" s="63"/>
      <c r="F50" s="63"/>
      <c r="G50" s="63"/>
      <c r="H50" s="63"/>
    </row>
    <row r="51" customFormat="false" ht="15" hidden="false" customHeight="false" outlineLevel="0" collapsed="false">
      <c r="A51" s="63"/>
      <c r="C51" s="63"/>
      <c r="D51" s="63"/>
      <c r="F51" s="63"/>
      <c r="G51" s="63"/>
      <c r="H51" s="63"/>
    </row>
    <row r="52" customFormat="false" ht="15" hidden="false" customHeight="false" outlineLevel="0" collapsed="false">
      <c r="A52" s="63"/>
      <c r="C52" s="63"/>
      <c r="D52" s="63"/>
      <c r="F52" s="63"/>
      <c r="G52" s="63"/>
      <c r="H52" s="63"/>
    </row>
    <row r="53" customFormat="false" ht="15" hidden="false" customHeight="false" outlineLevel="0" collapsed="false">
      <c r="A53" s="63"/>
      <c r="C53" s="63"/>
      <c r="D53" s="63"/>
      <c r="F53" s="63"/>
      <c r="G53" s="63"/>
      <c r="H53" s="63"/>
    </row>
    <row r="54" customFormat="false" ht="15" hidden="false" customHeight="false" outlineLevel="0" collapsed="false">
      <c r="A54" s="63"/>
      <c r="C54" s="63"/>
      <c r="D54" s="63"/>
      <c r="F54" s="63"/>
      <c r="G54" s="63"/>
      <c r="H54" s="63"/>
    </row>
    <row r="55" customFormat="false" ht="15" hidden="false" customHeight="false" outlineLevel="0" collapsed="false">
      <c r="A55" s="63"/>
      <c r="C55" s="63"/>
      <c r="D55" s="63"/>
      <c r="F55" s="63"/>
      <c r="G55" s="63"/>
      <c r="H55" s="63"/>
    </row>
    <row r="56" customFormat="false" ht="15" hidden="false" customHeight="false" outlineLevel="0" collapsed="false">
      <c r="A56" s="63"/>
      <c r="C56" s="63"/>
      <c r="D56" s="63"/>
      <c r="F56" s="63"/>
      <c r="G56" s="63"/>
      <c r="H56" s="63"/>
    </row>
    <row r="57" customFormat="false" ht="15" hidden="false" customHeight="false" outlineLevel="0" collapsed="false">
      <c r="A57" s="63"/>
      <c r="C57" s="63"/>
      <c r="D57" s="63"/>
      <c r="F57" s="63"/>
      <c r="G57" s="63"/>
      <c r="H57" s="63"/>
    </row>
    <row r="58" customFormat="false" ht="15" hidden="false" customHeight="false" outlineLevel="0" collapsed="false">
      <c r="A58" s="63"/>
      <c r="C58" s="63"/>
      <c r="D58" s="63"/>
      <c r="F58" s="63"/>
      <c r="G58" s="63"/>
      <c r="H58" s="63"/>
    </row>
    <row r="59" customFormat="false" ht="15" hidden="false" customHeight="false" outlineLevel="0" collapsed="false">
      <c r="A59" s="63"/>
      <c r="C59" s="63"/>
      <c r="D59" s="63"/>
      <c r="F59" s="63"/>
      <c r="G59" s="63"/>
      <c r="H59" s="63"/>
    </row>
    <row r="60" customFormat="false" ht="15" hidden="false" customHeight="false" outlineLevel="0" collapsed="false">
      <c r="A60" s="63"/>
      <c r="C60" s="63"/>
      <c r="D60" s="63"/>
      <c r="F60" s="63"/>
      <c r="G60" s="63"/>
      <c r="H60" s="63"/>
    </row>
    <row r="61" customFormat="false" ht="15" hidden="false" customHeight="false" outlineLevel="0" collapsed="false">
      <c r="A61" s="63"/>
      <c r="C61" s="63"/>
      <c r="D61" s="63"/>
      <c r="F61" s="63"/>
      <c r="G61" s="63"/>
      <c r="H61"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2026-10-13T18:01:27Z</dcterms:created>
  <dc:creator>openpyxl</dc:creator>
  <dc:description/>
  <dc:language>en-US</dc:language>
  <cp:lastModifiedBy/>
  <dcterms:modified xsi:type="dcterms:W3CDTF">2026-10-18T00:19:51Z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